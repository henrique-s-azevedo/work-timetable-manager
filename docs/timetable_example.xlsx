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sonaecapital-my.sharepoint.com/personal/joao_costa_solinca_pt/Documents/Documentos/1. SC Maia Jardim/1. FITNESS/FI's/TT's/2026/6. Junho/"/>
    </mc:Choice>
  </mc:AlternateContent>
  <xr:revisionPtr revIDLastSave="10008" documentId="13_ncr:1_{0D0B1B02-551D-4757-B20A-E3BCE4FB5D2D}" xr6:coauthVersionLast="47" xr6:coauthVersionMax="47" xr10:uidLastSave="{8D64D395-BDC5-415C-B48E-D3A9B04F635C}"/>
  <bookViews>
    <workbookView xWindow="-108" yWindow="-108" windowWidth="23256" windowHeight="13896" tabRatio="628" xr2:uid="{00000000-000D-0000-FFFF-FFFF00000000}"/>
  </bookViews>
  <sheets>
    <sheet name="Tim" sheetId="63" r:id="rId1"/>
    <sheet name="Ins" sheetId="24" r:id="rId2"/>
    <sheet name="IT Ctrl" sheetId="88" r:id="rId3"/>
    <sheet name="Max" sheetId="74" state="hidden" r:id="rId4"/>
    <sheet name="Map" sheetId="75" state="hidden" r:id="rId5"/>
    <sheet name="Map Ins" sheetId="64" state="hidden" r:id="rId6"/>
    <sheet name="Ins AG" sheetId="76" state="hidden" r:id="rId7"/>
    <sheet name="Nsm" sheetId="77" state="hidden" r:id="rId8"/>
    <sheet name="CC" sheetId="87" state="hidden" r:id="rId9"/>
    <sheet name="H2O" sheetId="37" state="hidden" r:id="rId10"/>
    <sheet name="Nat" sheetId="60" state="hidden" r:id="rId11"/>
    <sheet name="av" sheetId="91" r:id="rId12"/>
    <sheet name="Gra" sheetId="97" r:id="rId13"/>
    <sheet name="FIT" sheetId="95" r:id="rId14"/>
    <sheet name="Info" sheetId="86" state="hidden" r:id="rId15"/>
    <sheet name="Sheet6" sheetId="85" state="hidden" r:id="rId16"/>
  </sheets>
  <externalReferences>
    <externalReference r:id="rId17"/>
  </externalReferences>
  <definedNames>
    <definedName name="__xlnm.Print_Area_37">"#REF!"</definedName>
    <definedName name="_xlnm._FilterDatabase" localSheetId="1" hidden="1">Ins!$CO$2:$DA$59</definedName>
    <definedName name="_xlnm.Print_Area" localSheetId="11">av!$E$1:$DB$68</definedName>
    <definedName name="_xlnm.Print_Area" localSheetId="8">CC!$D$1:$U$93</definedName>
    <definedName name="_xlnm.Print_Area" localSheetId="13">FIT!$E$1:$LA$68</definedName>
    <definedName name="_xlnm.Print_Area" localSheetId="9">H2O!$A$1:$O$68</definedName>
    <definedName name="_xlnm.Print_Area" localSheetId="14">Info!$E$1:$DW$68</definedName>
    <definedName name="_xlnm.Print_Area" localSheetId="1">Ins!$A$1:$DI$61</definedName>
    <definedName name="_xlnm.Print_Area" localSheetId="6">'Ins AG'!#REF!</definedName>
    <definedName name="_xlnm.Print_Area" localSheetId="2">'IT Ctrl'!$E$1:$CB$68</definedName>
    <definedName name="_xlnm.Print_Area" localSheetId="4">Map!$A$1:$O$93</definedName>
    <definedName name="_xlnm.Print_Area" localSheetId="5">'Map Ins'!$A$1:$O$93</definedName>
    <definedName name="_xlnm.Print_Area" localSheetId="3">Max!#REF!</definedName>
    <definedName name="_xlnm.Print_Area" localSheetId="10">Nat!$A$1:$O$77</definedName>
    <definedName name="_xlnm.Print_Area" localSheetId="7">Nsm!$B$1:$P$85</definedName>
    <definedName name="_xlnm.Print_Area" localSheetId="0">Tim!$GD$1:$LE$70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5" i="24" l="1"/>
  <c r="I15" i="24"/>
  <c r="J15" i="24"/>
  <c r="K15" i="24"/>
  <c r="L15" i="24"/>
  <c r="M15" i="24"/>
  <c r="N15" i="24"/>
  <c r="O15" i="24"/>
  <c r="P15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AM15" i="24"/>
  <c r="AN15" i="24"/>
  <c r="AO15" i="24"/>
  <c r="AP15" i="24"/>
  <c r="AQ15" i="24"/>
  <c r="AR15" i="24"/>
  <c r="AS15" i="24"/>
  <c r="AT15" i="24"/>
  <c r="AU15" i="24"/>
  <c r="AV15" i="24"/>
  <c r="AW15" i="24"/>
  <c r="AX15" i="24"/>
  <c r="AY15" i="24"/>
  <c r="AZ15" i="24"/>
  <c r="BA15" i="24"/>
  <c r="BB15" i="24"/>
  <c r="BC15" i="24"/>
  <c r="BD15" i="24"/>
  <c r="BE15" i="24"/>
  <c r="BF15" i="24"/>
  <c r="BG15" i="24"/>
  <c r="BH15" i="24"/>
  <c r="BI15" i="24"/>
  <c r="BJ15" i="24"/>
  <c r="BK15" i="24"/>
  <c r="BL15" i="24"/>
  <c r="BM15" i="24"/>
  <c r="BN15" i="24"/>
  <c r="BO15" i="24"/>
  <c r="BP15" i="24"/>
  <c r="BQ15" i="24"/>
  <c r="BR15" i="24"/>
  <c r="BS15" i="24"/>
  <c r="BT15" i="24"/>
  <c r="BU15" i="24"/>
  <c r="BV15" i="24"/>
  <c r="BW15" i="24"/>
  <c r="BX15" i="24"/>
  <c r="BY15" i="24"/>
  <c r="BZ15" i="24"/>
  <c r="CA15" i="24"/>
  <c r="CB15" i="24"/>
  <c r="CC15" i="24"/>
  <c r="CD15" i="24"/>
  <c r="CE15" i="24"/>
  <c r="CF15" i="24"/>
  <c r="CG15" i="24"/>
  <c r="CH15" i="24"/>
  <c r="CI15" i="24"/>
  <c r="CJ15" i="24"/>
  <c r="CK15" i="24"/>
  <c r="CL15" i="24"/>
  <c r="CM15" i="24"/>
  <c r="CU15" i="24" l="1"/>
  <c r="CX15" i="24"/>
  <c r="CY15" i="24"/>
  <c r="CV15" i="24"/>
  <c r="CO15" i="24"/>
  <c r="CS15" i="24"/>
  <c r="CP15" i="24"/>
  <c r="CQ15" i="24"/>
  <c r="CZ15" i="24"/>
  <c r="CT15" i="24"/>
  <c r="CR15" i="24"/>
  <c r="CW15" i="24"/>
  <c r="DC15" i="24"/>
  <c r="DE15" i="24"/>
  <c r="DF15" i="24"/>
  <c r="DG15" i="24"/>
  <c r="DH15" i="24"/>
  <c r="DI15" i="24"/>
  <c r="DD15" i="24"/>
  <c r="DA15" i="24" l="1"/>
  <c r="T3" i="24" l="1"/>
  <c r="H11" i="24" l="1"/>
  <c r="I11" i="24"/>
  <c r="J11" i="24"/>
  <c r="K11" i="24"/>
  <c r="L11" i="24"/>
  <c r="M11" i="24"/>
  <c r="N11" i="24"/>
  <c r="O11" i="24"/>
  <c r="P11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AM11" i="24"/>
  <c r="AN11" i="24"/>
  <c r="AO11" i="24"/>
  <c r="AP11" i="24"/>
  <c r="AQ11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BS11" i="24"/>
  <c r="BT11" i="24"/>
  <c r="BU11" i="24"/>
  <c r="BV11" i="24"/>
  <c r="BW11" i="24"/>
  <c r="BX11" i="24"/>
  <c r="BY11" i="24"/>
  <c r="BZ11" i="24"/>
  <c r="CA11" i="24"/>
  <c r="CB11" i="24"/>
  <c r="CC11" i="24"/>
  <c r="CD11" i="24"/>
  <c r="CE11" i="24"/>
  <c r="CF11" i="24"/>
  <c r="CG11" i="24"/>
  <c r="CH11" i="24"/>
  <c r="CI11" i="24"/>
  <c r="CJ11" i="24"/>
  <c r="CK11" i="24"/>
  <c r="CL11" i="24"/>
  <c r="CM11" i="24"/>
  <c r="CY11" i="24" l="1"/>
  <c r="CX11" i="24"/>
  <c r="DI11" i="24"/>
  <c r="CU11" i="24"/>
  <c r="CV11" i="24"/>
  <c r="CW11" i="24"/>
  <c r="DG11" i="24"/>
  <c r="DF11" i="24"/>
  <c r="CT11" i="24"/>
  <c r="CQ11" i="24"/>
  <c r="CS11" i="24"/>
  <c r="DD11" i="24"/>
  <c r="CO11" i="24"/>
  <c r="CP11" i="24"/>
  <c r="CR11" i="24"/>
  <c r="DC11" i="24"/>
  <c r="CZ11" i="24"/>
  <c r="DH11" i="24"/>
  <c r="DE11" i="24"/>
  <c r="DA11" i="24" l="1"/>
  <c r="H41" i="24"/>
  <c r="I41" i="24"/>
  <c r="J41" i="24"/>
  <c r="K41" i="24"/>
  <c r="L41" i="24"/>
  <c r="M41" i="24"/>
  <c r="N41" i="24"/>
  <c r="O41" i="24"/>
  <c r="P41" i="24"/>
  <c r="Q41" i="24"/>
  <c r="R41" i="24"/>
  <c r="S41" i="24"/>
  <c r="T41" i="24"/>
  <c r="U41" i="24"/>
  <c r="V41" i="24"/>
  <c r="W41" i="24"/>
  <c r="X41" i="24"/>
  <c r="Y41" i="24"/>
  <c r="Z41" i="24"/>
  <c r="AA41" i="24"/>
  <c r="AB41" i="24"/>
  <c r="AC41" i="24"/>
  <c r="AD41" i="24"/>
  <c r="AE41" i="24"/>
  <c r="AF41" i="24"/>
  <c r="AG41" i="24"/>
  <c r="AH41" i="24"/>
  <c r="AI41" i="24"/>
  <c r="AJ41" i="24"/>
  <c r="AK41" i="24"/>
  <c r="AL41" i="24"/>
  <c r="AM41" i="24"/>
  <c r="AN41" i="24"/>
  <c r="AO41" i="24"/>
  <c r="AP41" i="24"/>
  <c r="AQ41" i="24"/>
  <c r="AR41" i="24"/>
  <c r="AS41" i="24"/>
  <c r="AT41" i="24"/>
  <c r="AU41" i="24"/>
  <c r="AV41" i="24"/>
  <c r="AW41" i="24"/>
  <c r="AX41" i="24"/>
  <c r="AY41" i="24"/>
  <c r="AZ41" i="24"/>
  <c r="BA41" i="24"/>
  <c r="BB41" i="24"/>
  <c r="BC41" i="24"/>
  <c r="BD41" i="24"/>
  <c r="BE41" i="24"/>
  <c r="BF41" i="24"/>
  <c r="BG41" i="24"/>
  <c r="BH41" i="24"/>
  <c r="BI41" i="24"/>
  <c r="BJ41" i="24"/>
  <c r="BK41" i="24"/>
  <c r="BL41" i="24"/>
  <c r="BM41" i="24"/>
  <c r="BN41" i="24"/>
  <c r="BO41" i="24"/>
  <c r="BP41" i="24"/>
  <c r="BQ41" i="24"/>
  <c r="BR41" i="24"/>
  <c r="BS41" i="24"/>
  <c r="BT41" i="24"/>
  <c r="BU41" i="24"/>
  <c r="BV41" i="24"/>
  <c r="BW41" i="24"/>
  <c r="BX41" i="24"/>
  <c r="BY41" i="24"/>
  <c r="BZ41" i="24"/>
  <c r="CA41" i="24"/>
  <c r="CB41" i="24"/>
  <c r="CC41" i="24"/>
  <c r="CD41" i="24"/>
  <c r="CE41" i="24"/>
  <c r="CF41" i="24"/>
  <c r="CG41" i="24"/>
  <c r="CH41" i="24"/>
  <c r="CI41" i="24"/>
  <c r="CJ41" i="24"/>
  <c r="CK41" i="24"/>
  <c r="CL41" i="24"/>
  <c r="CM41" i="24"/>
  <c r="H54" i="24"/>
  <c r="I54" i="24"/>
  <c r="J54" i="24"/>
  <c r="K54" i="24"/>
  <c r="L54" i="24"/>
  <c r="M54" i="24"/>
  <c r="N54" i="24"/>
  <c r="O54" i="24"/>
  <c r="P54" i="24"/>
  <c r="Q54" i="24"/>
  <c r="R54" i="24"/>
  <c r="S54" i="24"/>
  <c r="T54" i="24"/>
  <c r="U54" i="24"/>
  <c r="V54" i="24"/>
  <c r="W54" i="24"/>
  <c r="X54" i="24"/>
  <c r="Y54" i="24"/>
  <c r="Z54" i="24"/>
  <c r="AA54" i="24"/>
  <c r="AB54" i="24"/>
  <c r="AC54" i="24"/>
  <c r="AD54" i="24"/>
  <c r="AE54" i="24"/>
  <c r="AF54" i="24"/>
  <c r="AG54" i="24"/>
  <c r="AH54" i="24"/>
  <c r="AI54" i="24"/>
  <c r="AJ54" i="24"/>
  <c r="AK54" i="24"/>
  <c r="AL54" i="24"/>
  <c r="AM54" i="24"/>
  <c r="AN54" i="24"/>
  <c r="AO54" i="24"/>
  <c r="AP54" i="24"/>
  <c r="AQ54" i="24"/>
  <c r="AR54" i="24"/>
  <c r="AS54" i="24"/>
  <c r="AT54" i="24"/>
  <c r="AU54" i="24"/>
  <c r="AV54" i="24"/>
  <c r="AW54" i="24"/>
  <c r="AX54" i="24"/>
  <c r="AY54" i="24"/>
  <c r="AZ54" i="24"/>
  <c r="BA54" i="24"/>
  <c r="BB54" i="24"/>
  <c r="BC54" i="24"/>
  <c r="BD54" i="24"/>
  <c r="BE54" i="24"/>
  <c r="BF54" i="24"/>
  <c r="BG54" i="24"/>
  <c r="BH54" i="24"/>
  <c r="BI54" i="24"/>
  <c r="BJ54" i="24"/>
  <c r="BK54" i="24"/>
  <c r="BL54" i="24"/>
  <c r="BM54" i="24"/>
  <c r="BN54" i="24"/>
  <c r="BO54" i="24"/>
  <c r="BP54" i="24"/>
  <c r="BQ54" i="24"/>
  <c r="BR54" i="24"/>
  <c r="BS54" i="24"/>
  <c r="BT54" i="24"/>
  <c r="BU54" i="24"/>
  <c r="BV54" i="24"/>
  <c r="BW54" i="24"/>
  <c r="BX54" i="24"/>
  <c r="BY54" i="24"/>
  <c r="BZ54" i="24"/>
  <c r="CA54" i="24"/>
  <c r="CB54" i="24"/>
  <c r="CC54" i="24"/>
  <c r="CD54" i="24"/>
  <c r="CE54" i="24"/>
  <c r="CF54" i="24"/>
  <c r="CG54" i="24"/>
  <c r="CH54" i="24"/>
  <c r="CI54" i="24"/>
  <c r="CJ54" i="24"/>
  <c r="CK54" i="24"/>
  <c r="CL54" i="24"/>
  <c r="CM54" i="24"/>
  <c r="H55" i="24"/>
  <c r="I55" i="24"/>
  <c r="J55" i="24"/>
  <c r="K55" i="24"/>
  <c r="L55" i="24"/>
  <c r="M55" i="24"/>
  <c r="N55" i="24"/>
  <c r="O55" i="24"/>
  <c r="P55" i="24"/>
  <c r="Q55" i="24"/>
  <c r="R55" i="24"/>
  <c r="S55" i="24"/>
  <c r="T55" i="24"/>
  <c r="U55" i="24"/>
  <c r="V55" i="24"/>
  <c r="W55" i="24"/>
  <c r="X55" i="24"/>
  <c r="Y55" i="24"/>
  <c r="Z55" i="24"/>
  <c r="AA55" i="24"/>
  <c r="AB55" i="24"/>
  <c r="AC55" i="24"/>
  <c r="AD55" i="24"/>
  <c r="AE55" i="24"/>
  <c r="AF55" i="24"/>
  <c r="AG55" i="24"/>
  <c r="AH55" i="24"/>
  <c r="AI55" i="24"/>
  <c r="AJ55" i="24"/>
  <c r="AK55" i="24"/>
  <c r="AL55" i="24"/>
  <c r="AM55" i="24"/>
  <c r="AN55" i="24"/>
  <c r="AO55" i="24"/>
  <c r="AP55" i="24"/>
  <c r="AQ55" i="24"/>
  <c r="AR55" i="24"/>
  <c r="AS55" i="24"/>
  <c r="AT55" i="24"/>
  <c r="AU55" i="24"/>
  <c r="AV55" i="24"/>
  <c r="AW55" i="24"/>
  <c r="AX55" i="24"/>
  <c r="AY55" i="24"/>
  <c r="AZ55" i="24"/>
  <c r="BA55" i="24"/>
  <c r="BB55" i="24"/>
  <c r="BC55" i="24"/>
  <c r="BD55" i="24"/>
  <c r="BE55" i="24"/>
  <c r="BF55" i="24"/>
  <c r="BG55" i="24"/>
  <c r="BH55" i="24"/>
  <c r="BI55" i="24"/>
  <c r="BJ55" i="24"/>
  <c r="BK55" i="24"/>
  <c r="BL55" i="24"/>
  <c r="BM55" i="24"/>
  <c r="BN55" i="24"/>
  <c r="BO55" i="24"/>
  <c r="BP55" i="24"/>
  <c r="BQ55" i="24"/>
  <c r="BR55" i="24"/>
  <c r="BS55" i="24"/>
  <c r="BT55" i="24"/>
  <c r="BU55" i="24"/>
  <c r="BV55" i="24"/>
  <c r="BW55" i="24"/>
  <c r="BX55" i="24"/>
  <c r="BY55" i="24"/>
  <c r="BZ55" i="24"/>
  <c r="CA55" i="24"/>
  <c r="CB55" i="24"/>
  <c r="CC55" i="24"/>
  <c r="CD55" i="24"/>
  <c r="CE55" i="24"/>
  <c r="CF55" i="24"/>
  <c r="CG55" i="24"/>
  <c r="CH55" i="24"/>
  <c r="CI55" i="24"/>
  <c r="CJ55" i="24"/>
  <c r="CK55" i="24"/>
  <c r="CL55" i="24"/>
  <c r="CM55" i="24"/>
  <c r="H53" i="24"/>
  <c r="I53" i="24"/>
  <c r="J53" i="24"/>
  <c r="K53" i="24"/>
  <c r="L53" i="24"/>
  <c r="M53" i="24"/>
  <c r="N53" i="24"/>
  <c r="O53" i="24"/>
  <c r="P53" i="24"/>
  <c r="Q53" i="24"/>
  <c r="R53" i="24"/>
  <c r="S53" i="24"/>
  <c r="T53" i="24"/>
  <c r="U53" i="24"/>
  <c r="V53" i="24"/>
  <c r="W53" i="24"/>
  <c r="X53" i="24"/>
  <c r="Y53" i="24"/>
  <c r="Z53" i="24"/>
  <c r="AA53" i="24"/>
  <c r="AB53" i="24"/>
  <c r="AC53" i="24"/>
  <c r="AD53" i="24"/>
  <c r="AE53" i="24"/>
  <c r="AF53" i="24"/>
  <c r="AG53" i="24"/>
  <c r="AH53" i="24"/>
  <c r="AI53" i="24"/>
  <c r="AJ53" i="24"/>
  <c r="AK53" i="24"/>
  <c r="AL53" i="24"/>
  <c r="AM53" i="24"/>
  <c r="AN53" i="24"/>
  <c r="AO53" i="24"/>
  <c r="AP53" i="24"/>
  <c r="AQ53" i="24"/>
  <c r="AR53" i="24"/>
  <c r="AS53" i="24"/>
  <c r="AT53" i="24"/>
  <c r="AU53" i="24"/>
  <c r="AV53" i="24"/>
  <c r="AW53" i="24"/>
  <c r="AX53" i="24"/>
  <c r="AY53" i="24"/>
  <c r="AZ53" i="24"/>
  <c r="BA53" i="24"/>
  <c r="BB53" i="24"/>
  <c r="BC53" i="24"/>
  <c r="BD53" i="24"/>
  <c r="BE53" i="24"/>
  <c r="BF53" i="24"/>
  <c r="BG53" i="24"/>
  <c r="BH53" i="24"/>
  <c r="BI53" i="24"/>
  <c r="BJ53" i="24"/>
  <c r="BK53" i="24"/>
  <c r="BL53" i="24"/>
  <c r="BM53" i="24"/>
  <c r="BN53" i="24"/>
  <c r="BO53" i="24"/>
  <c r="BP53" i="24"/>
  <c r="BQ53" i="24"/>
  <c r="BR53" i="24"/>
  <c r="BS53" i="24"/>
  <c r="BT53" i="24"/>
  <c r="BU53" i="24"/>
  <c r="BV53" i="24"/>
  <c r="BW53" i="24"/>
  <c r="BX53" i="24"/>
  <c r="BY53" i="24"/>
  <c r="BZ53" i="24"/>
  <c r="CA53" i="24"/>
  <c r="CB53" i="24"/>
  <c r="CC53" i="24"/>
  <c r="CD53" i="24"/>
  <c r="CE53" i="24"/>
  <c r="CF53" i="24"/>
  <c r="CG53" i="24"/>
  <c r="CH53" i="24"/>
  <c r="CI53" i="24"/>
  <c r="CJ53" i="24"/>
  <c r="CK53" i="24"/>
  <c r="CL53" i="24"/>
  <c r="CM53" i="24"/>
  <c r="H52" i="24"/>
  <c r="I52" i="24"/>
  <c r="J52" i="24"/>
  <c r="K52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Q52" i="24"/>
  <c r="AR52" i="24"/>
  <c r="AS52" i="24"/>
  <c r="AT52" i="24"/>
  <c r="AU52" i="24"/>
  <c r="AV52" i="24"/>
  <c r="AW52" i="24"/>
  <c r="AX52" i="24"/>
  <c r="AY52" i="24"/>
  <c r="AZ52" i="24"/>
  <c r="BA52" i="24"/>
  <c r="BB52" i="24"/>
  <c r="BC52" i="24"/>
  <c r="BD52" i="24"/>
  <c r="BE52" i="24"/>
  <c r="BF52" i="24"/>
  <c r="BG52" i="24"/>
  <c r="BH52" i="24"/>
  <c r="BI52" i="24"/>
  <c r="BJ52" i="24"/>
  <c r="BK52" i="24"/>
  <c r="BL52" i="24"/>
  <c r="BM52" i="24"/>
  <c r="BN52" i="24"/>
  <c r="BO52" i="24"/>
  <c r="BP52" i="24"/>
  <c r="BQ52" i="24"/>
  <c r="BR52" i="24"/>
  <c r="BS52" i="24"/>
  <c r="BT52" i="24"/>
  <c r="BU52" i="24"/>
  <c r="BV52" i="24"/>
  <c r="BW52" i="24"/>
  <c r="BX52" i="24"/>
  <c r="BY52" i="24"/>
  <c r="BZ52" i="24"/>
  <c r="CA52" i="24"/>
  <c r="CB52" i="24"/>
  <c r="CC52" i="24"/>
  <c r="CD52" i="24"/>
  <c r="CE52" i="24"/>
  <c r="CF52" i="24"/>
  <c r="CG52" i="24"/>
  <c r="CH52" i="24"/>
  <c r="CI52" i="24"/>
  <c r="CJ52" i="24"/>
  <c r="CK52" i="24"/>
  <c r="CL52" i="24"/>
  <c r="CM52" i="24"/>
  <c r="H51" i="24"/>
  <c r="I51" i="24"/>
  <c r="J51" i="24"/>
  <c r="K51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AQ51" i="24"/>
  <c r="AR51" i="24"/>
  <c r="AS51" i="24"/>
  <c r="AT51" i="24"/>
  <c r="AU51" i="24"/>
  <c r="AV51" i="24"/>
  <c r="AW51" i="24"/>
  <c r="AX51" i="24"/>
  <c r="AY51" i="24"/>
  <c r="AZ51" i="24"/>
  <c r="BA51" i="24"/>
  <c r="BB51" i="24"/>
  <c r="BC51" i="24"/>
  <c r="BD51" i="24"/>
  <c r="BE51" i="24"/>
  <c r="BF51" i="24"/>
  <c r="BG51" i="24"/>
  <c r="BH51" i="24"/>
  <c r="BI51" i="24"/>
  <c r="BJ51" i="24"/>
  <c r="BK51" i="24"/>
  <c r="BL51" i="24"/>
  <c r="BM51" i="24"/>
  <c r="BN51" i="24"/>
  <c r="BO51" i="24"/>
  <c r="BP51" i="24"/>
  <c r="BQ51" i="24"/>
  <c r="BR51" i="24"/>
  <c r="BS51" i="24"/>
  <c r="BT51" i="24"/>
  <c r="BU51" i="24"/>
  <c r="BV51" i="24"/>
  <c r="BW51" i="24"/>
  <c r="BX51" i="24"/>
  <c r="BY51" i="24"/>
  <c r="BZ51" i="24"/>
  <c r="CA51" i="24"/>
  <c r="CB51" i="24"/>
  <c r="CC51" i="24"/>
  <c r="CD51" i="24"/>
  <c r="CE51" i="24"/>
  <c r="CF51" i="24"/>
  <c r="CG51" i="24"/>
  <c r="CH51" i="24"/>
  <c r="CI51" i="24"/>
  <c r="CJ51" i="24"/>
  <c r="CK51" i="24"/>
  <c r="CL51" i="24"/>
  <c r="CM51" i="24"/>
  <c r="H50" i="24"/>
  <c r="I50" i="24"/>
  <c r="J50" i="24"/>
  <c r="K50" i="24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AQ50" i="24"/>
  <c r="AR50" i="24"/>
  <c r="AS50" i="24"/>
  <c r="AT50" i="24"/>
  <c r="AU50" i="24"/>
  <c r="AV50" i="24"/>
  <c r="AW50" i="24"/>
  <c r="AX50" i="24"/>
  <c r="AY50" i="24"/>
  <c r="AZ50" i="24"/>
  <c r="BA50" i="24"/>
  <c r="BB50" i="24"/>
  <c r="BC50" i="24"/>
  <c r="BD50" i="24"/>
  <c r="BE50" i="24"/>
  <c r="BF50" i="24"/>
  <c r="BG50" i="24"/>
  <c r="BH50" i="24"/>
  <c r="BI50" i="24"/>
  <c r="BJ50" i="24"/>
  <c r="BK50" i="24"/>
  <c r="BL50" i="24"/>
  <c r="BM50" i="24"/>
  <c r="BN50" i="24"/>
  <c r="BO50" i="24"/>
  <c r="BP50" i="24"/>
  <c r="BQ50" i="24"/>
  <c r="BR50" i="24"/>
  <c r="BS50" i="24"/>
  <c r="BT50" i="24"/>
  <c r="BU50" i="24"/>
  <c r="BV50" i="24"/>
  <c r="BW50" i="24"/>
  <c r="BX50" i="24"/>
  <c r="BY50" i="24"/>
  <c r="BZ50" i="24"/>
  <c r="CA50" i="24"/>
  <c r="CB50" i="24"/>
  <c r="CC50" i="24"/>
  <c r="CD50" i="24"/>
  <c r="CE50" i="24"/>
  <c r="CF50" i="24"/>
  <c r="CG50" i="24"/>
  <c r="CH50" i="24"/>
  <c r="CI50" i="24"/>
  <c r="CJ50" i="24"/>
  <c r="CK50" i="24"/>
  <c r="CL50" i="24"/>
  <c r="CM50" i="24"/>
  <c r="DI41" i="24" l="1"/>
  <c r="DI54" i="24"/>
  <c r="CU41" i="24"/>
  <c r="DE54" i="24"/>
  <c r="DE41" i="24"/>
  <c r="CU54" i="24"/>
  <c r="CW41" i="24"/>
  <c r="CW54" i="24"/>
  <c r="CQ54" i="24"/>
  <c r="CS54" i="24"/>
  <c r="CS55" i="24"/>
  <c r="CS41" i="24"/>
  <c r="CR41" i="24"/>
  <c r="CO54" i="24"/>
  <c r="DC41" i="24"/>
  <c r="DC54" i="24"/>
  <c r="CT55" i="24"/>
  <c r="CT54" i="24"/>
  <c r="CO41" i="24"/>
  <c r="CZ54" i="24"/>
  <c r="CR54" i="24"/>
  <c r="CT41" i="24"/>
  <c r="CX55" i="24"/>
  <c r="CY41" i="24"/>
  <c r="CQ41" i="24"/>
  <c r="CX54" i="24"/>
  <c r="CP54" i="24"/>
  <c r="CX41" i="24"/>
  <c r="CP41" i="24"/>
  <c r="CX53" i="24"/>
  <c r="CQ55" i="24"/>
  <c r="DG41" i="24"/>
  <c r="CP55" i="24"/>
  <c r="CU55" i="24"/>
  <c r="CZ41" i="24"/>
  <c r="DD41" i="24"/>
  <c r="DF41" i="24"/>
  <c r="DH41" i="24"/>
  <c r="CV41" i="24"/>
  <c r="DF54" i="24"/>
  <c r="DD54" i="24"/>
  <c r="DH54" i="24"/>
  <c r="CY53" i="24"/>
  <c r="CY55" i="24"/>
  <c r="DG54" i="24"/>
  <c r="CY54" i="24"/>
  <c r="CW55" i="24"/>
  <c r="DI55" i="24"/>
  <c r="CO55" i="24"/>
  <c r="DE55" i="24"/>
  <c r="CZ55" i="24"/>
  <c r="DC55" i="24"/>
  <c r="CV54" i="24"/>
  <c r="DH55" i="24"/>
  <c r="CV55" i="24"/>
  <c r="DF55" i="24"/>
  <c r="DD55" i="24"/>
  <c r="CR55" i="24"/>
  <c r="DG55" i="24"/>
  <c r="CW52" i="24"/>
  <c r="CW53" i="24"/>
  <c r="CT52" i="24"/>
  <c r="CU53" i="24"/>
  <c r="CU52" i="24"/>
  <c r="CT53" i="24"/>
  <c r="DI53" i="24"/>
  <c r="DI52" i="24"/>
  <c r="CO53" i="24"/>
  <c r="CO52" i="24"/>
  <c r="CR53" i="24"/>
  <c r="DG53" i="24"/>
  <c r="DC53" i="24"/>
  <c r="CS53" i="24"/>
  <c r="DE53" i="24"/>
  <c r="CQ53" i="24"/>
  <c r="CP53" i="24"/>
  <c r="CS52" i="24"/>
  <c r="DD53" i="24"/>
  <c r="CZ53" i="24"/>
  <c r="DF53" i="24"/>
  <c r="DH53" i="24"/>
  <c r="CV53" i="24"/>
  <c r="DC52" i="24"/>
  <c r="CQ52" i="24"/>
  <c r="CW51" i="24"/>
  <c r="CO51" i="24"/>
  <c r="CT51" i="24"/>
  <c r="CY52" i="24"/>
  <c r="CR52" i="24"/>
  <c r="DF52" i="24"/>
  <c r="DD52" i="24"/>
  <c r="CZ52" i="24"/>
  <c r="CX52" i="24"/>
  <c r="CP52" i="24"/>
  <c r="DI51" i="24"/>
  <c r="CW50" i="24"/>
  <c r="CO50" i="24"/>
  <c r="CV52" i="24"/>
  <c r="DH52" i="24"/>
  <c r="DG52" i="24"/>
  <c r="DE52" i="24"/>
  <c r="CY51" i="24"/>
  <c r="CY50" i="24"/>
  <c r="DI50" i="24"/>
  <c r="CX50" i="24"/>
  <c r="CR51" i="24"/>
  <c r="CX51" i="24"/>
  <c r="CQ51" i="24"/>
  <c r="DC51" i="24"/>
  <c r="CR50" i="24"/>
  <c r="CU50" i="24"/>
  <c r="DE51" i="24"/>
  <c r="DD51" i="24"/>
  <c r="CP51" i="24"/>
  <c r="CS51" i="24"/>
  <c r="CS50" i="24"/>
  <c r="CZ51" i="24"/>
  <c r="CZ50" i="24"/>
  <c r="DG50" i="24"/>
  <c r="DG51" i="24"/>
  <c r="DF51" i="24"/>
  <c r="CV50" i="24"/>
  <c r="DH51" i="24"/>
  <c r="CV51" i="24"/>
  <c r="CU51" i="24"/>
  <c r="DH50" i="24"/>
  <c r="DF50" i="24"/>
  <c r="DE50" i="24"/>
  <c r="DD50" i="24"/>
  <c r="CT50" i="24"/>
  <c r="CQ50" i="24"/>
  <c r="CP50" i="24"/>
  <c r="DC50" i="24"/>
  <c r="H12" i="24"/>
  <c r="I12" i="24"/>
  <c r="J12" i="24"/>
  <c r="K12" i="24"/>
  <c r="L12" i="24"/>
  <c r="M12" i="24"/>
  <c r="N12" i="24"/>
  <c r="O12" i="24"/>
  <c r="P12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AM12" i="24"/>
  <c r="AN12" i="24"/>
  <c r="AO12" i="24"/>
  <c r="AP12" i="24"/>
  <c r="AQ12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BS12" i="24"/>
  <c r="BT12" i="24"/>
  <c r="BU12" i="24"/>
  <c r="BV12" i="24"/>
  <c r="BW12" i="24"/>
  <c r="BX12" i="24"/>
  <c r="BY12" i="24"/>
  <c r="BZ12" i="24"/>
  <c r="CA12" i="24"/>
  <c r="CB12" i="24"/>
  <c r="CC12" i="24"/>
  <c r="CD12" i="24"/>
  <c r="CE12" i="24"/>
  <c r="CF12" i="24"/>
  <c r="CG12" i="24"/>
  <c r="CH12" i="24"/>
  <c r="CI12" i="24"/>
  <c r="CJ12" i="24"/>
  <c r="CK12" i="24"/>
  <c r="CL12" i="24"/>
  <c r="CM12" i="24"/>
  <c r="H13" i="24"/>
  <c r="I13" i="24"/>
  <c r="J13" i="24"/>
  <c r="K13" i="24"/>
  <c r="L13" i="24"/>
  <c r="M13" i="24"/>
  <c r="N13" i="24"/>
  <c r="O13" i="24"/>
  <c r="P13" i="24"/>
  <c r="Q13" i="24"/>
  <c r="R13" i="24"/>
  <c r="S13" i="24"/>
  <c r="T13" i="24"/>
  <c r="U13" i="24"/>
  <c r="V13" i="24"/>
  <c r="W13" i="24"/>
  <c r="X13" i="24"/>
  <c r="Y13" i="24"/>
  <c r="Z13" i="24"/>
  <c r="AA13" i="24"/>
  <c r="AB13" i="24"/>
  <c r="AC13" i="24"/>
  <c r="AD13" i="24"/>
  <c r="AE13" i="24"/>
  <c r="AF13" i="24"/>
  <c r="AG13" i="24"/>
  <c r="AH13" i="24"/>
  <c r="AI13" i="24"/>
  <c r="AJ13" i="24"/>
  <c r="AK13" i="24"/>
  <c r="AL13" i="24"/>
  <c r="AM13" i="24"/>
  <c r="AN13" i="24"/>
  <c r="AO13" i="24"/>
  <c r="AP13" i="24"/>
  <c r="AQ13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BS13" i="24"/>
  <c r="BT13" i="24"/>
  <c r="BU13" i="24"/>
  <c r="BV13" i="24"/>
  <c r="BW13" i="24"/>
  <c r="BX13" i="24"/>
  <c r="BY13" i="24"/>
  <c r="BZ13" i="24"/>
  <c r="CA13" i="24"/>
  <c r="CB13" i="24"/>
  <c r="CC13" i="24"/>
  <c r="CD13" i="24"/>
  <c r="CE13" i="24"/>
  <c r="CF13" i="24"/>
  <c r="CG13" i="24"/>
  <c r="CH13" i="24"/>
  <c r="CI13" i="24"/>
  <c r="CJ13" i="24"/>
  <c r="CK13" i="24"/>
  <c r="CL13" i="24"/>
  <c r="CM13" i="24"/>
  <c r="H47" i="24"/>
  <c r="I47" i="24"/>
  <c r="J47" i="24"/>
  <c r="K47" i="24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AQ47" i="24"/>
  <c r="AR47" i="24"/>
  <c r="AS47" i="24"/>
  <c r="AT47" i="24"/>
  <c r="AU47" i="24"/>
  <c r="AV47" i="24"/>
  <c r="AW47" i="24"/>
  <c r="AX47" i="24"/>
  <c r="AY47" i="24"/>
  <c r="AZ47" i="24"/>
  <c r="BA47" i="24"/>
  <c r="BB47" i="24"/>
  <c r="BC47" i="24"/>
  <c r="BD47" i="24"/>
  <c r="BE47" i="24"/>
  <c r="BF47" i="24"/>
  <c r="BG47" i="24"/>
  <c r="BH47" i="24"/>
  <c r="BI47" i="24"/>
  <c r="BJ47" i="24"/>
  <c r="BK47" i="24"/>
  <c r="BL47" i="24"/>
  <c r="BM47" i="24"/>
  <c r="BN47" i="24"/>
  <c r="BO47" i="24"/>
  <c r="BP47" i="24"/>
  <c r="BQ47" i="24"/>
  <c r="BR47" i="24"/>
  <c r="BS47" i="24"/>
  <c r="BT47" i="24"/>
  <c r="BU47" i="24"/>
  <c r="BV47" i="24"/>
  <c r="BW47" i="24"/>
  <c r="BX47" i="24"/>
  <c r="BY47" i="24"/>
  <c r="BZ47" i="24"/>
  <c r="CA47" i="24"/>
  <c r="CB47" i="24"/>
  <c r="CC47" i="24"/>
  <c r="CD47" i="24"/>
  <c r="CE47" i="24"/>
  <c r="CF47" i="24"/>
  <c r="CG47" i="24"/>
  <c r="CH47" i="24"/>
  <c r="CI47" i="24"/>
  <c r="CJ47" i="24"/>
  <c r="CK47" i="24"/>
  <c r="CL47" i="24"/>
  <c r="CM47" i="24"/>
  <c r="EL72" i="63"/>
  <c r="EL71" i="63" s="1"/>
  <c r="EM72" i="63"/>
  <c r="EM71" i="63" s="1"/>
  <c r="EN72" i="63"/>
  <c r="EN71" i="63" s="1"/>
  <c r="EO72" i="63"/>
  <c r="EO71" i="63" s="1"/>
  <c r="EP72" i="63"/>
  <c r="EP71" i="63" s="1"/>
  <c r="EQ72" i="63"/>
  <c r="EQ71" i="63" s="1"/>
  <c r="ER72" i="63"/>
  <c r="ER71" i="63" s="1"/>
  <c r="ES72" i="63"/>
  <c r="ES71" i="63" s="1"/>
  <c r="ET72" i="63"/>
  <c r="ET71" i="63" s="1"/>
  <c r="EU72" i="63"/>
  <c r="EU71" i="63" s="1"/>
  <c r="EV72" i="63"/>
  <c r="EV71" i="63" s="1"/>
  <c r="EW72" i="63"/>
  <c r="EW71" i="63" s="1"/>
  <c r="EX72" i="63"/>
  <c r="EX71" i="63" s="1"/>
  <c r="EY72" i="63"/>
  <c r="EY71" i="63" s="1"/>
  <c r="EZ72" i="63"/>
  <c r="EZ71" i="63" s="1"/>
  <c r="FA72" i="63"/>
  <c r="FA71" i="63" s="1"/>
  <c r="FB72" i="63"/>
  <c r="FB71" i="63" s="1"/>
  <c r="FC72" i="63"/>
  <c r="FC71" i="63" s="1"/>
  <c r="FD72" i="63"/>
  <c r="FD71" i="63" s="1"/>
  <c r="FE72" i="63"/>
  <c r="FE71" i="63" s="1"/>
  <c r="FF72" i="63"/>
  <c r="FF71" i="63" s="1"/>
  <c r="FG72" i="63"/>
  <c r="FG71" i="63" s="1"/>
  <c r="FH72" i="63"/>
  <c r="FH71" i="63" s="1"/>
  <c r="FI72" i="63"/>
  <c r="FI71" i="63" s="1"/>
  <c r="FJ72" i="63"/>
  <c r="FJ71" i="63" s="1"/>
  <c r="FK72" i="63"/>
  <c r="FK71" i="63" s="1"/>
  <c r="FL72" i="63"/>
  <c r="FL71" i="63" s="1"/>
  <c r="FM72" i="63"/>
  <c r="FM71" i="63" s="1"/>
  <c r="FN72" i="63"/>
  <c r="FN71" i="63" s="1"/>
  <c r="FO72" i="63"/>
  <c r="FO71" i="63" s="1"/>
  <c r="FP72" i="63"/>
  <c r="FP71" i="63" s="1"/>
  <c r="FQ72" i="63"/>
  <c r="FQ71" i="63" s="1"/>
  <c r="FR72" i="63"/>
  <c r="FR71" i="63" s="1"/>
  <c r="FS72" i="63"/>
  <c r="FS71" i="63" s="1"/>
  <c r="FT72" i="63"/>
  <c r="FT71" i="63" s="1"/>
  <c r="FU72" i="63"/>
  <c r="FU71" i="63" s="1"/>
  <c r="FV72" i="63"/>
  <c r="FV71" i="63" s="1"/>
  <c r="FW72" i="63"/>
  <c r="FW71" i="63" s="1"/>
  <c r="FX72" i="63"/>
  <c r="FX71" i="63" s="1"/>
  <c r="FY72" i="63"/>
  <c r="FY71" i="63" s="1"/>
  <c r="FZ72" i="63"/>
  <c r="FZ71" i="63" s="1"/>
  <c r="GA72" i="63"/>
  <c r="GA71" i="63" s="1"/>
  <c r="GB72" i="63"/>
  <c r="GB71" i="63" s="1"/>
  <c r="GC72" i="63"/>
  <c r="GC71" i="63" s="1"/>
  <c r="GD72" i="63"/>
  <c r="GD71" i="63" s="1"/>
  <c r="GE72" i="63"/>
  <c r="GE71" i="63" s="1"/>
  <c r="GF72" i="63"/>
  <c r="GF71" i="63" s="1"/>
  <c r="DA41" i="24" l="1"/>
  <c r="DA54" i="24"/>
  <c r="DA55" i="24"/>
  <c r="DA53" i="24"/>
  <c r="DA52" i="24"/>
  <c r="DA50" i="24"/>
  <c r="DA51" i="24"/>
  <c r="CX12" i="24"/>
  <c r="CX13" i="24"/>
  <c r="CY12" i="24"/>
  <c r="DG12" i="24"/>
  <c r="DG13" i="24"/>
  <c r="CW13" i="24"/>
  <c r="CY13" i="24"/>
  <c r="CT13" i="24"/>
  <c r="DI12" i="24"/>
  <c r="DI13" i="24"/>
  <c r="CT12" i="24"/>
  <c r="DH12" i="24"/>
  <c r="DF13" i="24"/>
  <c r="DF12" i="24"/>
  <c r="CQ12" i="24"/>
  <c r="CV13" i="24"/>
  <c r="CU13" i="24"/>
  <c r="CP12" i="24"/>
  <c r="CS12" i="24"/>
  <c r="CS13" i="24"/>
  <c r="CO13" i="24"/>
  <c r="DE13" i="24"/>
  <c r="CQ13" i="24"/>
  <c r="CZ13" i="24"/>
  <c r="CZ12" i="24"/>
  <c r="CP13" i="24"/>
  <c r="CO12" i="24"/>
  <c r="CW12" i="24"/>
  <c r="DD12" i="24"/>
  <c r="CR13" i="24"/>
  <c r="DD13" i="24"/>
  <c r="DC12" i="24"/>
  <c r="DC13" i="24"/>
  <c r="CU12" i="24"/>
  <c r="CR12" i="24"/>
  <c r="DE12" i="24"/>
  <c r="CV12" i="24"/>
  <c r="DH13" i="24"/>
  <c r="CY47" i="24"/>
  <c r="CX47" i="24"/>
  <c r="DI47" i="24"/>
  <c r="DH47" i="24"/>
  <c r="CW47" i="24"/>
  <c r="DF47" i="24"/>
  <c r="CT47" i="24"/>
  <c r="CU47" i="24"/>
  <c r="CP47" i="24"/>
  <c r="CO47" i="24"/>
  <c r="CS47" i="24"/>
  <c r="CR47" i="24"/>
  <c r="CQ47" i="24"/>
  <c r="DC47" i="24"/>
  <c r="DE47" i="24"/>
  <c r="DG47" i="24"/>
  <c r="CZ47" i="24"/>
  <c r="DD47" i="24"/>
  <c r="CV47" i="24"/>
  <c r="H46" i="24"/>
  <c r="I46" i="24"/>
  <c r="J46" i="24"/>
  <c r="K46" i="24"/>
  <c r="L46" i="24"/>
  <c r="M46" i="24"/>
  <c r="N46" i="24"/>
  <c r="O46" i="24"/>
  <c r="P46" i="24"/>
  <c r="Q46" i="24"/>
  <c r="R46" i="24"/>
  <c r="S46" i="24"/>
  <c r="T46" i="24"/>
  <c r="U46" i="24"/>
  <c r="V46" i="24"/>
  <c r="W46" i="24"/>
  <c r="X46" i="24"/>
  <c r="Y46" i="24"/>
  <c r="Z46" i="24"/>
  <c r="AA46" i="24"/>
  <c r="AB46" i="24"/>
  <c r="AC46" i="24"/>
  <c r="AD46" i="24"/>
  <c r="AE46" i="24"/>
  <c r="AF46" i="24"/>
  <c r="AG46" i="24"/>
  <c r="AH46" i="24"/>
  <c r="AI46" i="24"/>
  <c r="AJ46" i="24"/>
  <c r="AK46" i="24"/>
  <c r="AL46" i="24"/>
  <c r="AM46" i="24"/>
  <c r="AN46" i="24"/>
  <c r="AO46" i="24"/>
  <c r="AP46" i="24"/>
  <c r="AQ46" i="24"/>
  <c r="AR46" i="24"/>
  <c r="AS46" i="24"/>
  <c r="AT46" i="24"/>
  <c r="AU46" i="24"/>
  <c r="AV46" i="24"/>
  <c r="AW46" i="24"/>
  <c r="AX46" i="24"/>
  <c r="AY46" i="24"/>
  <c r="AZ46" i="24"/>
  <c r="BA46" i="24"/>
  <c r="BB46" i="24"/>
  <c r="BC46" i="24"/>
  <c r="BD46" i="24"/>
  <c r="BE46" i="24"/>
  <c r="BF46" i="24"/>
  <c r="BG46" i="24"/>
  <c r="BH46" i="24"/>
  <c r="BI46" i="24"/>
  <c r="BJ46" i="24"/>
  <c r="BK46" i="24"/>
  <c r="BL46" i="24"/>
  <c r="BM46" i="24"/>
  <c r="BN46" i="24"/>
  <c r="BO46" i="24"/>
  <c r="BP46" i="24"/>
  <c r="BQ46" i="24"/>
  <c r="BR46" i="24"/>
  <c r="BS46" i="24"/>
  <c r="BT46" i="24"/>
  <c r="BU46" i="24"/>
  <c r="BV46" i="24"/>
  <c r="BW46" i="24"/>
  <c r="BX46" i="24"/>
  <c r="BY46" i="24"/>
  <c r="BZ46" i="24"/>
  <c r="CA46" i="24"/>
  <c r="CB46" i="24"/>
  <c r="CC46" i="24"/>
  <c r="CD46" i="24"/>
  <c r="CE46" i="24"/>
  <c r="CF46" i="24"/>
  <c r="CG46" i="24"/>
  <c r="CH46" i="24"/>
  <c r="CI46" i="24"/>
  <c r="CJ46" i="24"/>
  <c r="CK46" i="24"/>
  <c r="CL46" i="24"/>
  <c r="CM46" i="24"/>
  <c r="H49" i="24"/>
  <c r="I49" i="24"/>
  <c r="J49" i="24"/>
  <c r="K49" i="24"/>
  <c r="L49" i="24"/>
  <c r="M49" i="24"/>
  <c r="N49" i="24"/>
  <c r="O49" i="24"/>
  <c r="P49" i="24"/>
  <c r="Q49" i="24"/>
  <c r="R49" i="24"/>
  <c r="S49" i="24"/>
  <c r="T49" i="24"/>
  <c r="U49" i="24"/>
  <c r="V49" i="24"/>
  <c r="W49" i="24"/>
  <c r="X49" i="24"/>
  <c r="Y49" i="24"/>
  <c r="Z49" i="24"/>
  <c r="AA49" i="24"/>
  <c r="AB49" i="24"/>
  <c r="AC49" i="24"/>
  <c r="AD49" i="24"/>
  <c r="AE49" i="24"/>
  <c r="AF49" i="24"/>
  <c r="AG49" i="24"/>
  <c r="AH49" i="24"/>
  <c r="AI49" i="24"/>
  <c r="AJ49" i="24"/>
  <c r="AK49" i="24"/>
  <c r="AL49" i="24"/>
  <c r="AM49" i="24"/>
  <c r="AN49" i="24"/>
  <c r="AO49" i="24"/>
  <c r="AP49" i="24"/>
  <c r="AQ49" i="24"/>
  <c r="AR49" i="24"/>
  <c r="AS49" i="24"/>
  <c r="AT49" i="24"/>
  <c r="AU49" i="24"/>
  <c r="AV49" i="24"/>
  <c r="AW49" i="24"/>
  <c r="AX49" i="24"/>
  <c r="AY49" i="24"/>
  <c r="AZ49" i="24"/>
  <c r="BA49" i="24"/>
  <c r="BB49" i="24"/>
  <c r="BC49" i="24"/>
  <c r="BD49" i="24"/>
  <c r="BE49" i="24"/>
  <c r="BF49" i="24"/>
  <c r="BG49" i="24"/>
  <c r="BH49" i="24"/>
  <c r="BI49" i="24"/>
  <c r="BJ49" i="24"/>
  <c r="BK49" i="24"/>
  <c r="BL49" i="24"/>
  <c r="BM49" i="24"/>
  <c r="BN49" i="24"/>
  <c r="BO49" i="24"/>
  <c r="BP49" i="24"/>
  <c r="BQ49" i="24"/>
  <c r="BR49" i="24"/>
  <c r="BS49" i="24"/>
  <c r="BT49" i="24"/>
  <c r="BU49" i="24"/>
  <c r="BV49" i="24"/>
  <c r="BW49" i="24"/>
  <c r="BX49" i="24"/>
  <c r="BY49" i="24"/>
  <c r="BZ49" i="24"/>
  <c r="CA49" i="24"/>
  <c r="CB49" i="24"/>
  <c r="CC49" i="24"/>
  <c r="CD49" i="24"/>
  <c r="CE49" i="24"/>
  <c r="CF49" i="24"/>
  <c r="CG49" i="24"/>
  <c r="CH49" i="24"/>
  <c r="CI49" i="24"/>
  <c r="CJ49" i="24"/>
  <c r="CK49" i="24"/>
  <c r="CL49" i="24"/>
  <c r="CM49" i="24"/>
  <c r="H48" i="24"/>
  <c r="I48" i="24"/>
  <c r="J48" i="24"/>
  <c r="K48" i="24"/>
  <c r="L48" i="24"/>
  <c r="M48" i="24"/>
  <c r="N48" i="24"/>
  <c r="O48" i="24"/>
  <c r="P48" i="24"/>
  <c r="Q48" i="24"/>
  <c r="R48" i="24"/>
  <c r="S48" i="24"/>
  <c r="T48" i="24"/>
  <c r="U48" i="24"/>
  <c r="V48" i="24"/>
  <c r="W48" i="24"/>
  <c r="X48" i="24"/>
  <c r="Y48" i="24"/>
  <c r="Z48" i="24"/>
  <c r="AA48" i="24"/>
  <c r="AB48" i="24"/>
  <c r="AC48" i="24"/>
  <c r="AD48" i="24"/>
  <c r="AE48" i="24"/>
  <c r="AF48" i="24"/>
  <c r="AG48" i="24"/>
  <c r="AH48" i="24"/>
  <c r="AI48" i="24"/>
  <c r="AJ48" i="24"/>
  <c r="AK48" i="24"/>
  <c r="AL48" i="24"/>
  <c r="AM48" i="24"/>
  <c r="AN48" i="24"/>
  <c r="AO48" i="24"/>
  <c r="AP48" i="24"/>
  <c r="AQ48" i="24"/>
  <c r="AR48" i="24"/>
  <c r="AS48" i="24"/>
  <c r="AT48" i="24"/>
  <c r="AU48" i="24"/>
  <c r="AV48" i="24"/>
  <c r="AW48" i="24"/>
  <c r="AX48" i="24"/>
  <c r="AY48" i="24"/>
  <c r="AZ48" i="24"/>
  <c r="BA48" i="24"/>
  <c r="BB48" i="24"/>
  <c r="BC48" i="24"/>
  <c r="BD48" i="24"/>
  <c r="BE48" i="24"/>
  <c r="BF48" i="24"/>
  <c r="BG48" i="24"/>
  <c r="BH48" i="24"/>
  <c r="BI48" i="24"/>
  <c r="BJ48" i="24"/>
  <c r="BK48" i="24"/>
  <c r="BL48" i="24"/>
  <c r="BM48" i="24"/>
  <c r="BN48" i="24"/>
  <c r="BO48" i="24"/>
  <c r="BP48" i="24"/>
  <c r="BQ48" i="24"/>
  <c r="BR48" i="24"/>
  <c r="BS48" i="24"/>
  <c r="BT48" i="24"/>
  <c r="BU48" i="24"/>
  <c r="BV48" i="24"/>
  <c r="BW48" i="24"/>
  <c r="BX48" i="24"/>
  <c r="BY48" i="24"/>
  <c r="BZ48" i="24"/>
  <c r="CA48" i="24"/>
  <c r="CB48" i="24"/>
  <c r="CC48" i="24"/>
  <c r="CD48" i="24"/>
  <c r="CE48" i="24"/>
  <c r="CF48" i="24"/>
  <c r="CG48" i="24"/>
  <c r="CH48" i="24"/>
  <c r="CI48" i="24"/>
  <c r="CJ48" i="24"/>
  <c r="CK48" i="24"/>
  <c r="CL48" i="24"/>
  <c r="CM48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D8" i="24"/>
  <c r="BE8" i="24"/>
  <c r="BF8" i="24"/>
  <c r="BG8" i="24"/>
  <c r="BH8" i="24"/>
  <c r="BI8" i="24"/>
  <c r="BJ8" i="24"/>
  <c r="BK8" i="24"/>
  <c r="BL8" i="24"/>
  <c r="BM8" i="24"/>
  <c r="BN8" i="24"/>
  <c r="BO8" i="24"/>
  <c r="BD9" i="24"/>
  <c r="BE9" i="24"/>
  <c r="BF9" i="24"/>
  <c r="BG9" i="24"/>
  <c r="BH9" i="24"/>
  <c r="BI9" i="24"/>
  <c r="BJ9" i="24"/>
  <c r="BK9" i="24"/>
  <c r="BL9" i="24"/>
  <c r="BM9" i="24"/>
  <c r="BN9" i="24"/>
  <c r="BO9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D16" i="24"/>
  <c r="BE16" i="24"/>
  <c r="BF16" i="24"/>
  <c r="BG16" i="24"/>
  <c r="BH16" i="24"/>
  <c r="BI16" i="24"/>
  <c r="BJ16" i="24"/>
  <c r="BK16" i="24"/>
  <c r="BL16" i="24"/>
  <c r="BM16" i="24"/>
  <c r="BN16" i="24"/>
  <c r="BO16" i="24"/>
  <c r="BD17" i="24"/>
  <c r="BE17" i="24"/>
  <c r="BF17" i="24"/>
  <c r="BG17" i="24"/>
  <c r="BH17" i="24"/>
  <c r="BI17" i="24"/>
  <c r="BJ17" i="24"/>
  <c r="BK17" i="24"/>
  <c r="BL17" i="24"/>
  <c r="BM17" i="24"/>
  <c r="BN17" i="24"/>
  <c r="BO17" i="24"/>
  <c r="BD18" i="24"/>
  <c r="BE18" i="24"/>
  <c r="BF18" i="24"/>
  <c r="BG18" i="24"/>
  <c r="BH18" i="24"/>
  <c r="BI18" i="24"/>
  <c r="BJ18" i="24"/>
  <c r="BK18" i="24"/>
  <c r="BL18" i="24"/>
  <c r="BM18" i="24"/>
  <c r="BN18" i="24"/>
  <c r="BO18" i="24"/>
  <c r="BD19" i="24"/>
  <c r="BE19" i="24"/>
  <c r="BF19" i="24"/>
  <c r="BG19" i="24"/>
  <c r="BH19" i="24"/>
  <c r="BI19" i="24"/>
  <c r="BJ19" i="24"/>
  <c r="BK19" i="24"/>
  <c r="BL19" i="24"/>
  <c r="BM19" i="24"/>
  <c r="BN19" i="24"/>
  <c r="BO19" i="24"/>
  <c r="BD20" i="24"/>
  <c r="BE20" i="24"/>
  <c r="BF20" i="24"/>
  <c r="BG20" i="24"/>
  <c r="BH20" i="24"/>
  <c r="BI20" i="24"/>
  <c r="BJ20" i="24"/>
  <c r="BK20" i="24"/>
  <c r="BL20" i="24"/>
  <c r="BM20" i="24"/>
  <c r="BN20" i="24"/>
  <c r="BO20" i="24"/>
  <c r="BD21" i="24"/>
  <c r="BE21" i="24"/>
  <c r="BF21" i="24"/>
  <c r="BG21" i="24"/>
  <c r="BH21" i="24"/>
  <c r="BI21" i="24"/>
  <c r="BJ21" i="24"/>
  <c r="BK21" i="24"/>
  <c r="BL21" i="24"/>
  <c r="BM21" i="24"/>
  <c r="BN21" i="24"/>
  <c r="BO21" i="24"/>
  <c r="BD22" i="24"/>
  <c r="BE22" i="24"/>
  <c r="BF22" i="24"/>
  <c r="BG22" i="24"/>
  <c r="BH22" i="24"/>
  <c r="BI22" i="24"/>
  <c r="BJ22" i="24"/>
  <c r="BK22" i="24"/>
  <c r="BL22" i="24"/>
  <c r="BM22" i="24"/>
  <c r="BN22" i="24"/>
  <c r="BO22" i="24"/>
  <c r="BD23" i="24"/>
  <c r="BE23" i="24"/>
  <c r="BF23" i="24"/>
  <c r="BG23" i="24"/>
  <c r="BH23" i="24"/>
  <c r="BI23" i="24"/>
  <c r="BJ23" i="24"/>
  <c r="BK23" i="24"/>
  <c r="BL23" i="24"/>
  <c r="BM23" i="24"/>
  <c r="BN23" i="24"/>
  <c r="BO23" i="24"/>
  <c r="BD24" i="24"/>
  <c r="BE24" i="24"/>
  <c r="BF24" i="24"/>
  <c r="BG24" i="24"/>
  <c r="BH24" i="24"/>
  <c r="BI24" i="24"/>
  <c r="BJ24" i="24"/>
  <c r="BK24" i="24"/>
  <c r="BL24" i="24"/>
  <c r="BM24" i="24"/>
  <c r="BN24" i="24"/>
  <c r="BO24" i="24"/>
  <c r="BD25" i="24"/>
  <c r="BE25" i="24"/>
  <c r="BF25" i="24"/>
  <c r="BG25" i="24"/>
  <c r="BH25" i="24"/>
  <c r="BI25" i="24"/>
  <c r="BJ25" i="24"/>
  <c r="BK25" i="24"/>
  <c r="BL25" i="24"/>
  <c r="BM25" i="24"/>
  <c r="BN25" i="24"/>
  <c r="BO25" i="24"/>
  <c r="BD26" i="24"/>
  <c r="BE26" i="24"/>
  <c r="BF26" i="24"/>
  <c r="BG26" i="24"/>
  <c r="BH26" i="24"/>
  <c r="BI26" i="24"/>
  <c r="BJ26" i="24"/>
  <c r="BK26" i="24"/>
  <c r="BL26" i="24"/>
  <c r="BM26" i="24"/>
  <c r="BN26" i="24"/>
  <c r="BO26" i="24"/>
  <c r="BD27" i="24"/>
  <c r="BE27" i="24"/>
  <c r="BF27" i="24"/>
  <c r="BG27" i="24"/>
  <c r="BH27" i="24"/>
  <c r="BI27" i="24"/>
  <c r="BJ27" i="24"/>
  <c r="BK27" i="24"/>
  <c r="BL27" i="24"/>
  <c r="BM27" i="24"/>
  <c r="BN27" i="24"/>
  <c r="BO27" i="24"/>
  <c r="BD28" i="24"/>
  <c r="BE28" i="24"/>
  <c r="BF28" i="24"/>
  <c r="BG28" i="24"/>
  <c r="BH28" i="24"/>
  <c r="BI28" i="24"/>
  <c r="BJ28" i="24"/>
  <c r="BK28" i="24"/>
  <c r="BL28" i="24"/>
  <c r="BM28" i="24"/>
  <c r="BN28" i="24"/>
  <c r="BO28" i="24"/>
  <c r="BD29" i="24"/>
  <c r="BE29" i="24"/>
  <c r="BF29" i="24"/>
  <c r="BG29" i="24"/>
  <c r="BH29" i="24"/>
  <c r="BI29" i="24"/>
  <c r="BJ29" i="24"/>
  <c r="BK29" i="24"/>
  <c r="BL29" i="24"/>
  <c r="BM29" i="24"/>
  <c r="BN29" i="24"/>
  <c r="BO29" i="24"/>
  <c r="BD30" i="24"/>
  <c r="BE30" i="24"/>
  <c r="BF30" i="24"/>
  <c r="BG30" i="24"/>
  <c r="BH30" i="24"/>
  <c r="BI30" i="24"/>
  <c r="BJ30" i="24"/>
  <c r="BK30" i="24"/>
  <c r="BL30" i="24"/>
  <c r="BM30" i="24"/>
  <c r="BN30" i="24"/>
  <c r="BO30" i="24"/>
  <c r="BD31" i="24"/>
  <c r="BE31" i="24"/>
  <c r="BF31" i="24"/>
  <c r="BG31" i="24"/>
  <c r="BH31" i="24"/>
  <c r="BI31" i="24"/>
  <c r="BJ31" i="24"/>
  <c r="BK31" i="24"/>
  <c r="BL31" i="24"/>
  <c r="BM31" i="24"/>
  <c r="BN31" i="24"/>
  <c r="BO31" i="24"/>
  <c r="BD32" i="24"/>
  <c r="BE32" i="24"/>
  <c r="BF32" i="24"/>
  <c r="BG32" i="24"/>
  <c r="BH32" i="24"/>
  <c r="BI32" i="24"/>
  <c r="BJ32" i="24"/>
  <c r="BK32" i="24"/>
  <c r="BL32" i="24"/>
  <c r="BM32" i="24"/>
  <c r="BN32" i="24"/>
  <c r="BO32" i="24"/>
  <c r="BD33" i="24"/>
  <c r="BE33" i="24"/>
  <c r="BF33" i="24"/>
  <c r="BG33" i="24"/>
  <c r="BH33" i="24"/>
  <c r="BI33" i="24"/>
  <c r="BJ33" i="24"/>
  <c r="BK33" i="24"/>
  <c r="BL33" i="24"/>
  <c r="BM33" i="24"/>
  <c r="BN33" i="24"/>
  <c r="BO33" i="24"/>
  <c r="BD34" i="24"/>
  <c r="BE34" i="24"/>
  <c r="BF34" i="24"/>
  <c r="BG34" i="24"/>
  <c r="BH34" i="24"/>
  <c r="BI34" i="24"/>
  <c r="BJ34" i="24"/>
  <c r="BK34" i="24"/>
  <c r="BL34" i="24"/>
  <c r="BM34" i="24"/>
  <c r="BN34" i="24"/>
  <c r="BO34" i="24"/>
  <c r="BD35" i="24"/>
  <c r="BE35" i="24"/>
  <c r="BF35" i="24"/>
  <c r="BG35" i="24"/>
  <c r="BH35" i="24"/>
  <c r="BI35" i="24"/>
  <c r="BJ35" i="24"/>
  <c r="BK35" i="24"/>
  <c r="BL35" i="24"/>
  <c r="BM35" i="24"/>
  <c r="BN35" i="24"/>
  <c r="BO35" i="24"/>
  <c r="BD36" i="24"/>
  <c r="BE36" i="24"/>
  <c r="BF36" i="24"/>
  <c r="BG36" i="24"/>
  <c r="BH36" i="24"/>
  <c r="BI36" i="24"/>
  <c r="BJ36" i="24"/>
  <c r="BK36" i="24"/>
  <c r="BL36" i="24"/>
  <c r="BM36" i="24"/>
  <c r="BN36" i="24"/>
  <c r="BO36" i="24"/>
  <c r="BD37" i="24"/>
  <c r="BE37" i="24"/>
  <c r="BF37" i="24"/>
  <c r="BG37" i="24"/>
  <c r="BH37" i="24"/>
  <c r="BI37" i="24"/>
  <c r="BJ37" i="24"/>
  <c r="BK37" i="24"/>
  <c r="BL37" i="24"/>
  <c r="BM37" i="24"/>
  <c r="BN37" i="24"/>
  <c r="BO37" i="24"/>
  <c r="BD38" i="24"/>
  <c r="BE38" i="24"/>
  <c r="BF38" i="24"/>
  <c r="BG38" i="24"/>
  <c r="BH38" i="24"/>
  <c r="BI38" i="24"/>
  <c r="BJ38" i="24"/>
  <c r="BK38" i="24"/>
  <c r="BL38" i="24"/>
  <c r="BM38" i="24"/>
  <c r="BN38" i="24"/>
  <c r="BO38" i="24"/>
  <c r="BD39" i="24"/>
  <c r="BE39" i="24"/>
  <c r="BF39" i="24"/>
  <c r="BG39" i="24"/>
  <c r="BH39" i="24"/>
  <c r="BI39" i="24"/>
  <c r="BJ39" i="24"/>
  <c r="BK39" i="24"/>
  <c r="BL39" i="24"/>
  <c r="BM39" i="24"/>
  <c r="BN39" i="24"/>
  <c r="BO39" i="24"/>
  <c r="BD40" i="24"/>
  <c r="BE40" i="24"/>
  <c r="BF40" i="24"/>
  <c r="BG40" i="24"/>
  <c r="BH40" i="24"/>
  <c r="BI40" i="24"/>
  <c r="BJ40" i="24"/>
  <c r="BK40" i="24"/>
  <c r="BL40" i="24"/>
  <c r="BM40" i="24"/>
  <c r="BN40" i="24"/>
  <c r="BO40" i="24"/>
  <c r="BD42" i="24"/>
  <c r="BE42" i="24"/>
  <c r="BF42" i="24"/>
  <c r="BG42" i="24"/>
  <c r="BH42" i="24"/>
  <c r="BI42" i="24"/>
  <c r="BJ42" i="24"/>
  <c r="BK42" i="24"/>
  <c r="BL42" i="24"/>
  <c r="BM42" i="24"/>
  <c r="BN42" i="24"/>
  <c r="BO42" i="24"/>
  <c r="BD43" i="24"/>
  <c r="BE43" i="24"/>
  <c r="BF43" i="24"/>
  <c r="BG43" i="24"/>
  <c r="BH43" i="24"/>
  <c r="BI43" i="24"/>
  <c r="BJ43" i="24"/>
  <c r="BK43" i="24"/>
  <c r="BL43" i="24"/>
  <c r="BM43" i="24"/>
  <c r="BN43" i="24"/>
  <c r="BO43" i="24"/>
  <c r="BD44" i="24"/>
  <c r="BE44" i="24"/>
  <c r="BF44" i="24"/>
  <c r="BG44" i="24"/>
  <c r="BH44" i="24"/>
  <c r="BI44" i="24"/>
  <c r="BJ44" i="24"/>
  <c r="BK44" i="24"/>
  <c r="BL44" i="24"/>
  <c r="BM44" i="24"/>
  <c r="BN44" i="24"/>
  <c r="BO44" i="24"/>
  <c r="BD45" i="24"/>
  <c r="BE45" i="24"/>
  <c r="BF45" i="24"/>
  <c r="BG45" i="24"/>
  <c r="BH45" i="24"/>
  <c r="BI45" i="24"/>
  <c r="BJ45" i="24"/>
  <c r="BK45" i="24"/>
  <c r="BL45" i="24"/>
  <c r="BM45" i="24"/>
  <c r="BN45" i="24"/>
  <c r="BO45" i="24"/>
  <c r="BO3" i="24"/>
  <c r="BN3" i="24"/>
  <c r="BM3" i="24"/>
  <c r="BL3" i="24"/>
  <c r="BK3" i="24"/>
  <c r="BJ3" i="24"/>
  <c r="BI3" i="24"/>
  <c r="BH3" i="24"/>
  <c r="BG3" i="24"/>
  <c r="BF3" i="24"/>
  <c r="BE3" i="24"/>
  <c r="BD3" i="24"/>
  <c r="AR10" i="24"/>
  <c r="AR4" i="24"/>
  <c r="AS4" i="24"/>
  <c r="AT4" i="24"/>
  <c r="AU4" i="24"/>
  <c r="AV4" i="24"/>
  <c r="AW4" i="24"/>
  <c r="AX4" i="24"/>
  <c r="AY4" i="24"/>
  <c r="AZ4" i="24"/>
  <c r="BA4" i="24"/>
  <c r="BB4" i="24"/>
  <c r="BC4" i="24"/>
  <c r="AR5" i="24"/>
  <c r="AS5" i="24"/>
  <c r="AT5" i="24"/>
  <c r="AU5" i="24"/>
  <c r="AV5" i="24"/>
  <c r="AW5" i="24"/>
  <c r="AX5" i="24"/>
  <c r="AY5" i="24"/>
  <c r="AZ5" i="24"/>
  <c r="BA5" i="24"/>
  <c r="BB5" i="24"/>
  <c r="BC5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AR7" i="24"/>
  <c r="AS7" i="24"/>
  <c r="AT7" i="24"/>
  <c r="AU7" i="24"/>
  <c r="AV7" i="24"/>
  <c r="AW7" i="24"/>
  <c r="AX7" i="24"/>
  <c r="AY7" i="24"/>
  <c r="AZ7" i="24"/>
  <c r="BA7" i="24"/>
  <c r="BB7" i="24"/>
  <c r="BC7" i="24"/>
  <c r="AR8" i="24"/>
  <c r="AS8" i="24"/>
  <c r="AT8" i="24"/>
  <c r="AU8" i="24"/>
  <c r="AV8" i="24"/>
  <c r="AW8" i="24"/>
  <c r="AX8" i="24"/>
  <c r="AY8" i="24"/>
  <c r="AZ8" i="24"/>
  <c r="BA8" i="24"/>
  <c r="BB8" i="24"/>
  <c r="BC8" i="24"/>
  <c r="AR9" i="24"/>
  <c r="AS9" i="24"/>
  <c r="AT9" i="24"/>
  <c r="AU9" i="24"/>
  <c r="AV9" i="24"/>
  <c r="AW9" i="24"/>
  <c r="AX9" i="24"/>
  <c r="AY9" i="24"/>
  <c r="AZ9" i="24"/>
  <c r="BA9" i="24"/>
  <c r="BB9" i="24"/>
  <c r="BC9" i="24"/>
  <c r="AS10" i="24"/>
  <c r="AT10" i="24"/>
  <c r="AU10" i="24"/>
  <c r="AV10" i="24"/>
  <c r="AW10" i="24"/>
  <c r="AX10" i="24"/>
  <c r="AY10" i="24"/>
  <c r="AZ10" i="24"/>
  <c r="BA10" i="24"/>
  <c r="BB10" i="24"/>
  <c r="BC10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AR16" i="24"/>
  <c r="AS16" i="24"/>
  <c r="AT16" i="24"/>
  <c r="AU16" i="24"/>
  <c r="AV16" i="24"/>
  <c r="AW16" i="24"/>
  <c r="AX16" i="24"/>
  <c r="AY16" i="24"/>
  <c r="AZ16" i="24"/>
  <c r="BA16" i="24"/>
  <c r="BB16" i="24"/>
  <c r="BC16" i="24"/>
  <c r="AR17" i="24"/>
  <c r="AS17" i="24"/>
  <c r="AT17" i="24"/>
  <c r="AU17" i="24"/>
  <c r="AV17" i="24"/>
  <c r="AW17" i="24"/>
  <c r="AX17" i="24"/>
  <c r="AY17" i="24"/>
  <c r="AZ17" i="24"/>
  <c r="BA17" i="24"/>
  <c r="BB17" i="24"/>
  <c r="BC17" i="24"/>
  <c r="AR18" i="24"/>
  <c r="AS18" i="24"/>
  <c r="AT18" i="24"/>
  <c r="AU18" i="24"/>
  <c r="AV18" i="24"/>
  <c r="AW18" i="24"/>
  <c r="AX18" i="24"/>
  <c r="AY18" i="24"/>
  <c r="AZ18" i="24"/>
  <c r="BA18" i="24"/>
  <c r="BB18" i="24"/>
  <c r="BC18" i="24"/>
  <c r="AR19" i="24"/>
  <c r="AS19" i="24"/>
  <c r="AT19" i="24"/>
  <c r="AU19" i="24"/>
  <c r="AV19" i="24"/>
  <c r="AW19" i="24"/>
  <c r="AX19" i="24"/>
  <c r="AY19" i="24"/>
  <c r="AZ19" i="24"/>
  <c r="BA19" i="24"/>
  <c r="BB19" i="24"/>
  <c r="BC19" i="24"/>
  <c r="AR20" i="24"/>
  <c r="AS20" i="24"/>
  <c r="AT20" i="24"/>
  <c r="AU20" i="24"/>
  <c r="AV20" i="24"/>
  <c r="AW20" i="24"/>
  <c r="AX20" i="24"/>
  <c r="AY20" i="24"/>
  <c r="AZ20" i="24"/>
  <c r="BA20" i="24"/>
  <c r="BB20" i="24"/>
  <c r="BC20" i="24"/>
  <c r="AR21" i="24"/>
  <c r="AS21" i="24"/>
  <c r="AT21" i="24"/>
  <c r="AU21" i="24"/>
  <c r="AV21" i="24"/>
  <c r="AW21" i="24"/>
  <c r="AX21" i="24"/>
  <c r="AY21" i="24"/>
  <c r="AZ21" i="24"/>
  <c r="BA21" i="24"/>
  <c r="BB21" i="24"/>
  <c r="BC21" i="24"/>
  <c r="AR22" i="24"/>
  <c r="AS22" i="24"/>
  <c r="AT22" i="24"/>
  <c r="AU22" i="24"/>
  <c r="AV22" i="24"/>
  <c r="AW22" i="24"/>
  <c r="AX22" i="24"/>
  <c r="AY22" i="24"/>
  <c r="AZ22" i="24"/>
  <c r="BA22" i="24"/>
  <c r="BB22" i="24"/>
  <c r="BC22" i="24"/>
  <c r="AR23" i="24"/>
  <c r="AS23" i="24"/>
  <c r="AT23" i="24"/>
  <c r="AU23" i="24"/>
  <c r="AV23" i="24"/>
  <c r="AW23" i="24"/>
  <c r="AX23" i="24"/>
  <c r="AY23" i="24"/>
  <c r="AZ23" i="24"/>
  <c r="BA23" i="24"/>
  <c r="BB23" i="24"/>
  <c r="BC23" i="24"/>
  <c r="AR24" i="24"/>
  <c r="AS24" i="24"/>
  <c r="AT24" i="24"/>
  <c r="AU24" i="24"/>
  <c r="AV24" i="24"/>
  <c r="AW24" i="24"/>
  <c r="AX24" i="24"/>
  <c r="AY24" i="24"/>
  <c r="AZ24" i="24"/>
  <c r="BA24" i="24"/>
  <c r="BB24" i="24"/>
  <c r="BC24" i="24"/>
  <c r="AR25" i="24"/>
  <c r="AS25" i="24"/>
  <c r="AT25" i="24"/>
  <c r="AU25" i="24"/>
  <c r="AV25" i="24"/>
  <c r="AW25" i="24"/>
  <c r="AX25" i="24"/>
  <c r="AY25" i="24"/>
  <c r="AZ25" i="24"/>
  <c r="BA25" i="24"/>
  <c r="BB25" i="24"/>
  <c r="BC25" i="24"/>
  <c r="AR26" i="24"/>
  <c r="AS26" i="24"/>
  <c r="AT26" i="24"/>
  <c r="AU26" i="24"/>
  <c r="AV26" i="24"/>
  <c r="AW26" i="24"/>
  <c r="AX26" i="24"/>
  <c r="AY26" i="24"/>
  <c r="AZ26" i="24"/>
  <c r="BA26" i="24"/>
  <c r="BB26" i="24"/>
  <c r="BC26" i="24"/>
  <c r="AR27" i="24"/>
  <c r="AS27" i="24"/>
  <c r="AT27" i="24"/>
  <c r="AU27" i="24"/>
  <c r="AV27" i="24"/>
  <c r="AW27" i="24"/>
  <c r="AX27" i="24"/>
  <c r="AY27" i="24"/>
  <c r="AZ27" i="24"/>
  <c r="BA27" i="24"/>
  <c r="BB27" i="24"/>
  <c r="BC27" i="24"/>
  <c r="AR28" i="24"/>
  <c r="AS28" i="24"/>
  <c r="AT28" i="24"/>
  <c r="AU28" i="24"/>
  <c r="AV28" i="24"/>
  <c r="AW28" i="24"/>
  <c r="AX28" i="24"/>
  <c r="AY28" i="24"/>
  <c r="AZ28" i="24"/>
  <c r="BA28" i="24"/>
  <c r="BB28" i="24"/>
  <c r="BC28" i="24"/>
  <c r="AR29" i="24"/>
  <c r="AS29" i="24"/>
  <c r="AT29" i="24"/>
  <c r="AU29" i="24"/>
  <c r="AV29" i="24"/>
  <c r="AW29" i="24"/>
  <c r="AX29" i="24"/>
  <c r="AY29" i="24"/>
  <c r="AZ29" i="24"/>
  <c r="BA29" i="24"/>
  <c r="BB29" i="24"/>
  <c r="BC29" i="24"/>
  <c r="AR30" i="24"/>
  <c r="AS30" i="24"/>
  <c r="AT30" i="24"/>
  <c r="AU30" i="24"/>
  <c r="AV30" i="24"/>
  <c r="AW30" i="24"/>
  <c r="AX30" i="24"/>
  <c r="AY30" i="24"/>
  <c r="AZ30" i="24"/>
  <c r="BA30" i="24"/>
  <c r="BB30" i="24"/>
  <c r="BC30" i="24"/>
  <c r="AR31" i="24"/>
  <c r="AS31" i="24"/>
  <c r="AT31" i="24"/>
  <c r="AU31" i="24"/>
  <c r="AV31" i="24"/>
  <c r="AW31" i="24"/>
  <c r="AX31" i="24"/>
  <c r="AY31" i="24"/>
  <c r="AZ31" i="24"/>
  <c r="BA31" i="24"/>
  <c r="BB31" i="24"/>
  <c r="BC31" i="24"/>
  <c r="AR32" i="24"/>
  <c r="AS32" i="24"/>
  <c r="AT32" i="24"/>
  <c r="AU32" i="24"/>
  <c r="AV32" i="24"/>
  <c r="AW32" i="24"/>
  <c r="AX32" i="24"/>
  <c r="AY32" i="24"/>
  <c r="AZ32" i="24"/>
  <c r="BA32" i="24"/>
  <c r="BB32" i="24"/>
  <c r="BC32" i="24"/>
  <c r="AR33" i="24"/>
  <c r="AS33" i="24"/>
  <c r="AT33" i="24"/>
  <c r="AU33" i="24"/>
  <c r="AV33" i="24"/>
  <c r="AW33" i="24"/>
  <c r="AX33" i="24"/>
  <c r="AY33" i="24"/>
  <c r="AZ33" i="24"/>
  <c r="BA33" i="24"/>
  <c r="BB33" i="24"/>
  <c r="BC33" i="24"/>
  <c r="AR34" i="24"/>
  <c r="AS34" i="24"/>
  <c r="AT34" i="24"/>
  <c r="AU34" i="24"/>
  <c r="AV34" i="24"/>
  <c r="AW34" i="24"/>
  <c r="AX34" i="24"/>
  <c r="AY34" i="24"/>
  <c r="AZ34" i="24"/>
  <c r="BA34" i="24"/>
  <c r="BB34" i="24"/>
  <c r="BC34" i="24"/>
  <c r="AR35" i="24"/>
  <c r="AS35" i="24"/>
  <c r="AT35" i="24"/>
  <c r="AU35" i="24"/>
  <c r="AV35" i="24"/>
  <c r="AW35" i="24"/>
  <c r="AX35" i="24"/>
  <c r="AY35" i="24"/>
  <c r="AZ35" i="24"/>
  <c r="BA35" i="24"/>
  <c r="BB35" i="24"/>
  <c r="BC35" i="24"/>
  <c r="AR36" i="24"/>
  <c r="AS36" i="24"/>
  <c r="AT36" i="24"/>
  <c r="AU36" i="24"/>
  <c r="AV36" i="24"/>
  <c r="AW36" i="24"/>
  <c r="AX36" i="24"/>
  <c r="AY36" i="24"/>
  <c r="AZ36" i="24"/>
  <c r="BA36" i="24"/>
  <c r="BB36" i="24"/>
  <c r="BC36" i="24"/>
  <c r="AR37" i="24"/>
  <c r="AS37" i="24"/>
  <c r="AT37" i="24"/>
  <c r="AU37" i="24"/>
  <c r="AV37" i="24"/>
  <c r="AW37" i="24"/>
  <c r="AX37" i="24"/>
  <c r="AY37" i="24"/>
  <c r="AZ37" i="24"/>
  <c r="BA37" i="24"/>
  <c r="BB37" i="24"/>
  <c r="BC37" i="24"/>
  <c r="AR38" i="24"/>
  <c r="AS38" i="24"/>
  <c r="AT38" i="24"/>
  <c r="AU38" i="24"/>
  <c r="AV38" i="24"/>
  <c r="AW38" i="24"/>
  <c r="AX38" i="24"/>
  <c r="AY38" i="24"/>
  <c r="AZ38" i="24"/>
  <c r="BA38" i="24"/>
  <c r="BB38" i="24"/>
  <c r="BC38" i="24"/>
  <c r="AR39" i="24"/>
  <c r="AS39" i="24"/>
  <c r="AT39" i="24"/>
  <c r="AU39" i="24"/>
  <c r="AV39" i="24"/>
  <c r="AW39" i="24"/>
  <c r="AX39" i="24"/>
  <c r="AY39" i="24"/>
  <c r="AZ39" i="24"/>
  <c r="BA39" i="24"/>
  <c r="BB39" i="24"/>
  <c r="BC39" i="24"/>
  <c r="AR40" i="24"/>
  <c r="AS40" i="24"/>
  <c r="AT40" i="24"/>
  <c r="AU40" i="24"/>
  <c r="AV40" i="24"/>
  <c r="AW40" i="24"/>
  <c r="AX40" i="24"/>
  <c r="AY40" i="24"/>
  <c r="AZ40" i="24"/>
  <c r="BA40" i="24"/>
  <c r="BB40" i="24"/>
  <c r="BC40" i="24"/>
  <c r="AR42" i="24"/>
  <c r="AS42" i="24"/>
  <c r="AT42" i="24"/>
  <c r="AU42" i="24"/>
  <c r="AV42" i="24"/>
  <c r="AW42" i="24"/>
  <c r="AX42" i="24"/>
  <c r="AY42" i="24"/>
  <c r="AZ42" i="24"/>
  <c r="BA42" i="24"/>
  <c r="BB42" i="24"/>
  <c r="BC42" i="24"/>
  <c r="AR43" i="24"/>
  <c r="AS43" i="24"/>
  <c r="AT43" i="24"/>
  <c r="AU43" i="24"/>
  <c r="AV43" i="24"/>
  <c r="AW43" i="24"/>
  <c r="AX43" i="24"/>
  <c r="AY43" i="24"/>
  <c r="AZ43" i="24"/>
  <c r="BA43" i="24"/>
  <c r="BB43" i="24"/>
  <c r="BC43" i="24"/>
  <c r="AR44" i="24"/>
  <c r="AS44" i="24"/>
  <c r="AT44" i="24"/>
  <c r="AU44" i="24"/>
  <c r="AV44" i="24"/>
  <c r="AW44" i="24"/>
  <c r="AX44" i="24"/>
  <c r="AY44" i="24"/>
  <c r="AZ44" i="24"/>
  <c r="BA44" i="24"/>
  <c r="BB44" i="24"/>
  <c r="BC44" i="24"/>
  <c r="AR45" i="24"/>
  <c r="AS45" i="24"/>
  <c r="AT45" i="24"/>
  <c r="AU45" i="24"/>
  <c r="AV45" i="24"/>
  <c r="AW45" i="24"/>
  <c r="AX45" i="24"/>
  <c r="AY45" i="24"/>
  <c r="AZ45" i="24"/>
  <c r="BA45" i="24"/>
  <c r="BB45" i="24"/>
  <c r="BC45" i="24"/>
  <c r="BC3" i="24"/>
  <c r="BB3" i="24"/>
  <c r="BA3" i="24"/>
  <c r="AZ3" i="24"/>
  <c r="AY3" i="24"/>
  <c r="AX3" i="24"/>
  <c r="AW3" i="24"/>
  <c r="AV3" i="24"/>
  <c r="AU3" i="24"/>
  <c r="AT3" i="24"/>
  <c r="AS3" i="24"/>
  <c r="AR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AH23" i="24"/>
  <c r="AI23" i="24"/>
  <c r="AJ23" i="24"/>
  <c r="AK23" i="24"/>
  <c r="AL23" i="24"/>
  <c r="AM23" i="24"/>
  <c r="AN23" i="24"/>
  <c r="AO23" i="24"/>
  <c r="AP23" i="24"/>
  <c r="AQ23" i="24"/>
  <c r="BP23" i="24"/>
  <c r="BQ23" i="24"/>
  <c r="BR23" i="24"/>
  <c r="BS23" i="24"/>
  <c r="BT23" i="24"/>
  <c r="BU23" i="24"/>
  <c r="BV23" i="24"/>
  <c r="BW23" i="24"/>
  <c r="BX23" i="24"/>
  <c r="BY23" i="24"/>
  <c r="BZ23" i="24"/>
  <c r="CA23" i="24"/>
  <c r="CB23" i="24"/>
  <c r="CC23" i="24"/>
  <c r="CD23" i="24"/>
  <c r="CE23" i="24"/>
  <c r="CF23" i="24"/>
  <c r="CG23" i="24"/>
  <c r="CH23" i="24"/>
  <c r="CI23" i="24"/>
  <c r="CJ23" i="24"/>
  <c r="CK23" i="24"/>
  <c r="CL23" i="24"/>
  <c r="CM23" i="24"/>
  <c r="H8" i="24"/>
  <c r="I8" i="24"/>
  <c r="J8" i="24"/>
  <c r="K8" i="24"/>
  <c r="L8" i="24"/>
  <c r="M8" i="24"/>
  <c r="N8" i="24"/>
  <c r="O8" i="24"/>
  <c r="P8" i="24"/>
  <c r="Q8" i="24"/>
  <c r="R8" i="24"/>
  <c r="S8" i="24"/>
  <c r="T8" i="24"/>
  <c r="U8" i="24"/>
  <c r="V8" i="24"/>
  <c r="W8" i="24"/>
  <c r="X8" i="24"/>
  <c r="Y8" i="24"/>
  <c r="Z8" i="24"/>
  <c r="AA8" i="24"/>
  <c r="AB8" i="24"/>
  <c r="AC8" i="24"/>
  <c r="AD8" i="24"/>
  <c r="AE8" i="24"/>
  <c r="AF8" i="24"/>
  <c r="AG8" i="24"/>
  <c r="AH8" i="24"/>
  <c r="AI8" i="24"/>
  <c r="AJ8" i="24"/>
  <c r="AK8" i="24"/>
  <c r="AL8" i="24"/>
  <c r="AM8" i="24"/>
  <c r="AN8" i="24"/>
  <c r="AO8" i="24"/>
  <c r="AP8" i="24"/>
  <c r="AQ8" i="24"/>
  <c r="BP8" i="24"/>
  <c r="BQ8" i="24"/>
  <c r="BR8" i="24"/>
  <c r="BS8" i="24"/>
  <c r="BT8" i="24"/>
  <c r="BU8" i="24"/>
  <c r="BV8" i="24"/>
  <c r="BW8" i="24"/>
  <c r="BX8" i="24"/>
  <c r="BY8" i="24"/>
  <c r="BZ8" i="24"/>
  <c r="CA8" i="24"/>
  <c r="CB8" i="24"/>
  <c r="CC8" i="24"/>
  <c r="CD8" i="24"/>
  <c r="CE8" i="24"/>
  <c r="CF8" i="24"/>
  <c r="CG8" i="24"/>
  <c r="CH8" i="24"/>
  <c r="CI8" i="24"/>
  <c r="CJ8" i="24"/>
  <c r="CK8" i="24"/>
  <c r="CL8" i="24"/>
  <c r="CM8" i="24"/>
  <c r="H9" i="24"/>
  <c r="I9" i="24"/>
  <c r="J9" i="24"/>
  <c r="K9" i="24"/>
  <c r="L9" i="24"/>
  <c r="M9" i="24"/>
  <c r="N9" i="24"/>
  <c r="O9" i="24"/>
  <c r="P9" i="24"/>
  <c r="Q9" i="24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AM9" i="24"/>
  <c r="AN9" i="24"/>
  <c r="AO9" i="24"/>
  <c r="AP9" i="24"/>
  <c r="AQ9" i="24"/>
  <c r="BP9" i="24"/>
  <c r="BQ9" i="24"/>
  <c r="BR9" i="24"/>
  <c r="BS9" i="24"/>
  <c r="BT9" i="24"/>
  <c r="BU9" i="24"/>
  <c r="BV9" i="24"/>
  <c r="BW9" i="24"/>
  <c r="BX9" i="24"/>
  <c r="BY9" i="24"/>
  <c r="BZ9" i="24"/>
  <c r="CA9" i="24"/>
  <c r="CB9" i="24"/>
  <c r="CC9" i="24"/>
  <c r="CD9" i="24"/>
  <c r="CE9" i="24"/>
  <c r="CF9" i="24"/>
  <c r="CG9" i="24"/>
  <c r="CH9" i="24"/>
  <c r="CI9" i="24"/>
  <c r="CJ9" i="24"/>
  <c r="CK9" i="24"/>
  <c r="CL9" i="24"/>
  <c r="CM9" i="24"/>
  <c r="H10" i="24"/>
  <c r="I10" i="24"/>
  <c r="J10" i="24"/>
  <c r="K10" i="24"/>
  <c r="L10" i="24"/>
  <c r="M10" i="24"/>
  <c r="N10" i="24"/>
  <c r="O10" i="24"/>
  <c r="P10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AM10" i="24"/>
  <c r="AN10" i="24"/>
  <c r="AO10" i="24"/>
  <c r="AP10" i="24"/>
  <c r="AQ10" i="24"/>
  <c r="BP10" i="24"/>
  <c r="BQ10" i="24"/>
  <c r="BR10" i="24"/>
  <c r="BS10" i="24"/>
  <c r="BT10" i="24"/>
  <c r="BU10" i="24"/>
  <c r="BV10" i="24"/>
  <c r="BW10" i="24"/>
  <c r="BX10" i="24"/>
  <c r="BY10" i="24"/>
  <c r="BZ10" i="24"/>
  <c r="CA10" i="24"/>
  <c r="CB10" i="24"/>
  <c r="CC10" i="24"/>
  <c r="CD10" i="24"/>
  <c r="CE10" i="24"/>
  <c r="CF10" i="24"/>
  <c r="CG10" i="24"/>
  <c r="CH10" i="24"/>
  <c r="CI10" i="24"/>
  <c r="CJ10" i="24"/>
  <c r="CK10" i="24"/>
  <c r="CL10" i="24"/>
  <c r="CM10" i="24"/>
  <c r="DA13" i="24" l="1"/>
  <c r="DA12" i="24"/>
  <c r="DA47" i="24"/>
  <c r="DC46" i="24"/>
  <c r="DD46" i="24"/>
  <c r="DE46" i="24"/>
  <c r="CS46" i="24"/>
  <c r="DG46" i="24"/>
  <c r="DI46" i="24"/>
  <c r="CU48" i="24"/>
  <c r="CU49" i="24"/>
  <c r="CR46" i="24"/>
  <c r="CY46" i="24"/>
  <c r="CQ46" i="24"/>
  <c r="DH46" i="24"/>
  <c r="CO46" i="24"/>
  <c r="CX46" i="24"/>
  <c r="CW46" i="24"/>
  <c r="CX49" i="24"/>
  <c r="DF46" i="24"/>
  <c r="CU46" i="24"/>
  <c r="CP46" i="24"/>
  <c r="CT46" i="24"/>
  <c r="CV46" i="24"/>
  <c r="CZ46" i="24"/>
  <c r="CW48" i="24"/>
  <c r="CW49" i="24"/>
  <c r="CY49" i="24"/>
  <c r="CX48" i="24"/>
  <c r="CV49" i="24"/>
  <c r="CR49" i="24"/>
  <c r="CT49" i="24"/>
  <c r="CT48" i="24"/>
  <c r="CS49" i="24"/>
  <c r="CQ49" i="24"/>
  <c r="CP49" i="24"/>
  <c r="CP48" i="24"/>
  <c r="DI49" i="24"/>
  <c r="CO49" i="24"/>
  <c r="DH49" i="24"/>
  <c r="DE49" i="24"/>
  <c r="DF48" i="24"/>
  <c r="CZ49" i="24"/>
  <c r="DG49" i="24"/>
  <c r="DD49" i="24"/>
  <c r="DF49" i="24"/>
  <c r="DC49" i="24"/>
  <c r="DH48" i="24"/>
  <c r="CO48" i="24"/>
  <c r="DD48" i="24"/>
  <c r="CS48" i="24"/>
  <c r="DI48" i="24"/>
  <c r="CV48" i="24"/>
  <c r="DC48" i="24"/>
  <c r="CY48" i="24"/>
  <c r="CQ48" i="24"/>
  <c r="DG48" i="24"/>
  <c r="DE48" i="24"/>
  <c r="CZ48" i="24"/>
  <c r="CR48" i="24"/>
  <c r="DF4" i="24"/>
  <c r="DI23" i="24"/>
  <c r="DD23" i="24"/>
  <c r="CT23" i="24"/>
  <c r="DI8" i="24"/>
  <c r="CX10" i="24"/>
  <c r="CW23" i="24"/>
  <c r="DF23" i="24"/>
  <c r="CU23" i="24"/>
  <c r="CS23" i="24"/>
  <c r="CY23" i="24"/>
  <c r="CW9" i="24"/>
  <c r="CX23" i="24"/>
  <c r="CO23" i="24"/>
  <c r="DC23" i="24"/>
  <c r="CQ23" i="24"/>
  <c r="CP23" i="24"/>
  <c r="CR23" i="24"/>
  <c r="DG23" i="24"/>
  <c r="CZ23" i="24"/>
  <c r="DE23" i="24"/>
  <c r="DH23" i="24"/>
  <c r="CV23" i="24"/>
  <c r="DH10" i="24"/>
  <c r="DI9" i="24"/>
  <c r="CW10" i="24"/>
  <c r="DH9" i="24"/>
  <c r="CX9" i="24"/>
  <c r="CX8" i="24"/>
  <c r="DH8" i="24"/>
  <c r="DI10" i="24"/>
  <c r="CR8" i="24"/>
  <c r="CR9" i="24"/>
  <c r="CR10" i="24"/>
  <c r="DE10" i="24"/>
  <c r="DE8" i="24"/>
  <c r="DE9" i="24"/>
  <c r="CS8" i="24"/>
  <c r="CS10" i="24"/>
  <c r="DG10" i="24"/>
  <c r="DG9" i="24"/>
  <c r="DG8" i="24"/>
  <c r="CZ8" i="24"/>
  <c r="DF8" i="24"/>
  <c r="CY8" i="24"/>
  <c r="DF9" i="24"/>
  <c r="DF10" i="24"/>
  <c r="CS9" i="24"/>
  <c r="CW8" i="24"/>
  <c r="CP9" i="24"/>
  <c r="CP10" i="24"/>
  <c r="CY9" i="24"/>
  <c r="CY10" i="24"/>
  <c r="CO9" i="24"/>
  <c r="CO10" i="24"/>
  <c r="CO8" i="24"/>
  <c r="CQ8" i="24"/>
  <c r="CT8" i="24"/>
  <c r="CV8" i="24"/>
  <c r="CV9" i="24"/>
  <c r="CV10" i="24"/>
  <c r="CZ9" i="24"/>
  <c r="CZ10" i="24"/>
  <c r="DD9" i="24"/>
  <c r="DD8" i="24"/>
  <c r="DD10" i="24"/>
  <c r="CU10" i="24"/>
  <c r="CP8" i="24"/>
  <c r="CQ10" i="24"/>
  <c r="CQ9" i="24"/>
  <c r="DC8" i="24"/>
  <c r="CT10" i="24"/>
  <c r="DC10" i="24"/>
  <c r="DC9" i="24"/>
  <c r="CT9" i="24"/>
  <c r="CU9" i="24"/>
  <c r="CU8" i="24"/>
  <c r="DA46" i="24" l="1"/>
  <c r="DA49" i="24"/>
  <c r="DA48" i="24"/>
  <c r="DA23" i="24"/>
  <c r="DA8" i="24"/>
  <c r="DA9" i="24"/>
  <c r="DA10" i="24"/>
  <c r="H45" i="24" l="1"/>
  <c r="I45" i="24"/>
  <c r="J45" i="24"/>
  <c r="K45" i="24"/>
  <c r="L45" i="24"/>
  <c r="M45" i="24"/>
  <c r="N45" i="24"/>
  <c r="O45" i="24"/>
  <c r="P45" i="24"/>
  <c r="Q45" i="24"/>
  <c r="R45" i="24"/>
  <c r="S45" i="24"/>
  <c r="T45" i="24"/>
  <c r="U45" i="24"/>
  <c r="V45" i="24"/>
  <c r="W45" i="24"/>
  <c r="X45" i="24"/>
  <c r="Y45" i="24"/>
  <c r="Z45" i="24"/>
  <c r="AA45" i="24"/>
  <c r="AB45" i="24"/>
  <c r="AC45" i="24"/>
  <c r="AD45" i="24"/>
  <c r="AE45" i="24"/>
  <c r="AF45" i="24"/>
  <c r="AG45" i="24"/>
  <c r="AH45" i="24"/>
  <c r="AI45" i="24"/>
  <c r="AJ45" i="24"/>
  <c r="AK45" i="24"/>
  <c r="AL45" i="24"/>
  <c r="AM45" i="24"/>
  <c r="AN45" i="24"/>
  <c r="AO45" i="24"/>
  <c r="AP45" i="24"/>
  <c r="AQ45" i="24"/>
  <c r="BP45" i="24"/>
  <c r="BQ45" i="24"/>
  <c r="BR45" i="24"/>
  <c r="BS45" i="24"/>
  <c r="BT45" i="24"/>
  <c r="BU45" i="24"/>
  <c r="BV45" i="24"/>
  <c r="BW45" i="24"/>
  <c r="BX45" i="24"/>
  <c r="BY45" i="24"/>
  <c r="BZ45" i="24"/>
  <c r="CA45" i="24"/>
  <c r="CB45" i="24"/>
  <c r="CC45" i="24"/>
  <c r="CD45" i="24"/>
  <c r="CE45" i="24"/>
  <c r="CF45" i="24"/>
  <c r="CG45" i="24"/>
  <c r="CH45" i="24"/>
  <c r="CI45" i="24"/>
  <c r="CJ45" i="24"/>
  <c r="CK45" i="24"/>
  <c r="CL45" i="24"/>
  <c r="CM45" i="24"/>
  <c r="H44" i="24"/>
  <c r="I44" i="24"/>
  <c r="J44" i="24"/>
  <c r="K44" i="24"/>
  <c r="L44" i="24"/>
  <c r="M44" i="24"/>
  <c r="N44" i="24"/>
  <c r="O44" i="24"/>
  <c r="P44" i="24"/>
  <c r="Q44" i="24"/>
  <c r="R44" i="24"/>
  <c r="S44" i="24"/>
  <c r="T44" i="24"/>
  <c r="U44" i="24"/>
  <c r="V44" i="24"/>
  <c r="W44" i="24"/>
  <c r="X44" i="24"/>
  <c r="Y44" i="24"/>
  <c r="Z44" i="24"/>
  <c r="AA44" i="24"/>
  <c r="AB44" i="24"/>
  <c r="AC44" i="24"/>
  <c r="AD44" i="24"/>
  <c r="AE44" i="24"/>
  <c r="AF44" i="24"/>
  <c r="AG44" i="24"/>
  <c r="AH44" i="24"/>
  <c r="AI44" i="24"/>
  <c r="AJ44" i="24"/>
  <c r="AK44" i="24"/>
  <c r="AL44" i="24"/>
  <c r="AM44" i="24"/>
  <c r="AN44" i="24"/>
  <c r="AO44" i="24"/>
  <c r="AP44" i="24"/>
  <c r="AQ44" i="24"/>
  <c r="BP44" i="24"/>
  <c r="BQ44" i="24"/>
  <c r="BR44" i="24"/>
  <c r="BS44" i="24"/>
  <c r="BT44" i="24"/>
  <c r="BU44" i="24"/>
  <c r="BV44" i="24"/>
  <c r="BW44" i="24"/>
  <c r="BX44" i="24"/>
  <c r="BY44" i="24"/>
  <c r="BZ44" i="24"/>
  <c r="CA44" i="24"/>
  <c r="CB44" i="24"/>
  <c r="CC44" i="24"/>
  <c r="CD44" i="24"/>
  <c r="CE44" i="24"/>
  <c r="CF44" i="24"/>
  <c r="CG44" i="24"/>
  <c r="CH44" i="24"/>
  <c r="CI44" i="24"/>
  <c r="CJ44" i="24"/>
  <c r="CK44" i="24"/>
  <c r="CL44" i="24"/>
  <c r="CM44" i="24"/>
  <c r="H43" i="24"/>
  <c r="I43" i="24"/>
  <c r="J43" i="24"/>
  <c r="K43" i="24"/>
  <c r="L43" i="24"/>
  <c r="M43" i="24"/>
  <c r="N43" i="24"/>
  <c r="O43" i="24"/>
  <c r="P43" i="24"/>
  <c r="Q43" i="24"/>
  <c r="R43" i="24"/>
  <c r="S43" i="24"/>
  <c r="T43" i="24"/>
  <c r="U43" i="24"/>
  <c r="V43" i="24"/>
  <c r="W43" i="24"/>
  <c r="X43" i="24"/>
  <c r="Y43" i="24"/>
  <c r="Z43" i="24"/>
  <c r="AA43" i="24"/>
  <c r="AB43" i="24"/>
  <c r="AC43" i="24"/>
  <c r="AD43" i="24"/>
  <c r="AE43" i="24"/>
  <c r="AF43" i="24"/>
  <c r="AG43" i="24"/>
  <c r="AH43" i="24"/>
  <c r="AI43" i="24"/>
  <c r="AJ43" i="24"/>
  <c r="AK43" i="24"/>
  <c r="AL43" i="24"/>
  <c r="AM43" i="24"/>
  <c r="AN43" i="24"/>
  <c r="AO43" i="24"/>
  <c r="AP43" i="24"/>
  <c r="AQ43" i="24"/>
  <c r="BP43" i="24"/>
  <c r="BQ43" i="24"/>
  <c r="BR43" i="24"/>
  <c r="BS43" i="24"/>
  <c r="BT43" i="24"/>
  <c r="BU43" i="24"/>
  <c r="BV43" i="24"/>
  <c r="BW43" i="24"/>
  <c r="BX43" i="24"/>
  <c r="BY43" i="24"/>
  <c r="BZ43" i="24"/>
  <c r="CA43" i="24"/>
  <c r="CB43" i="24"/>
  <c r="CC43" i="24"/>
  <c r="CD43" i="24"/>
  <c r="CE43" i="24"/>
  <c r="CF43" i="24"/>
  <c r="CG43" i="24"/>
  <c r="CH43" i="24"/>
  <c r="CI43" i="24"/>
  <c r="CJ43" i="24"/>
  <c r="CK43" i="24"/>
  <c r="CL43" i="24"/>
  <c r="CM43" i="24"/>
  <c r="H42" i="24"/>
  <c r="I42" i="24"/>
  <c r="J42" i="24"/>
  <c r="K42" i="24"/>
  <c r="L42" i="24"/>
  <c r="M42" i="24"/>
  <c r="N42" i="24"/>
  <c r="O42" i="24"/>
  <c r="P42" i="24"/>
  <c r="Q42" i="24"/>
  <c r="R42" i="24"/>
  <c r="S42" i="24"/>
  <c r="T42" i="24"/>
  <c r="U42" i="24"/>
  <c r="V42" i="24"/>
  <c r="W42" i="24"/>
  <c r="X42" i="24"/>
  <c r="Y42" i="24"/>
  <c r="Z42" i="24"/>
  <c r="AA42" i="24"/>
  <c r="AB42" i="24"/>
  <c r="AC42" i="24"/>
  <c r="AD42" i="24"/>
  <c r="AE42" i="24"/>
  <c r="AF42" i="24"/>
  <c r="AG42" i="24"/>
  <c r="AH42" i="24"/>
  <c r="AI42" i="24"/>
  <c r="AJ42" i="24"/>
  <c r="AK42" i="24"/>
  <c r="AL42" i="24"/>
  <c r="AM42" i="24"/>
  <c r="AN42" i="24"/>
  <c r="AO42" i="24"/>
  <c r="AP42" i="24"/>
  <c r="AQ42" i="24"/>
  <c r="BP42" i="24"/>
  <c r="BQ42" i="24"/>
  <c r="BR42" i="24"/>
  <c r="BS42" i="24"/>
  <c r="BT42" i="24"/>
  <c r="BU42" i="24"/>
  <c r="BV42" i="24"/>
  <c r="BW42" i="24"/>
  <c r="BX42" i="24"/>
  <c r="BY42" i="24"/>
  <c r="BZ42" i="24"/>
  <c r="CA42" i="24"/>
  <c r="CB42" i="24"/>
  <c r="CC42" i="24"/>
  <c r="CD42" i="24"/>
  <c r="CE42" i="24"/>
  <c r="CF42" i="24"/>
  <c r="CG42" i="24"/>
  <c r="CH42" i="24"/>
  <c r="CI42" i="24"/>
  <c r="CJ42" i="24"/>
  <c r="CK42" i="24"/>
  <c r="CL42" i="24"/>
  <c r="CM42" i="24"/>
  <c r="CW45" i="24" l="1"/>
  <c r="CW44" i="24"/>
  <c r="CX45" i="24"/>
  <c r="CY45" i="24"/>
  <c r="DI45" i="24"/>
  <c r="DI44" i="24"/>
  <c r="CV45" i="24"/>
  <c r="DG45" i="24"/>
  <c r="CZ45" i="24"/>
  <c r="CU44" i="24"/>
  <c r="DF45" i="24"/>
  <c r="CO45" i="24"/>
  <c r="CP45" i="24"/>
  <c r="CT44" i="24"/>
  <c r="CT45" i="24"/>
  <c r="DE45" i="24"/>
  <c r="DD44" i="24"/>
  <c r="CS45" i="24"/>
  <c r="CS44" i="24"/>
  <c r="CR45" i="24"/>
  <c r="DC44" i="24"/>
  <c r="CQ45" i="24"/>
  <c r="DC45" i="24"/>
  <c r="DD45" i="24"/>
  <c r="CU45" i="24"/>
  <c r="DH45" i="24"/>
  <c r="DF44" i="24"/>
  <c r="CY44" i="24"/>
  <c r="CV44" i="24"/>
  <c r="CX44" i="24"/>
  <c r="CP44" i="24"/>
  <c r="CO44" i="24"/>
  <c r="CR44" i="24"/>
  <c r="CQ44" i="24"/>
  <c r="CZ44" i="24"/>
  <c r="DH44" i="24"/>
  <c r="DG44" i="24"/>
  <c r="DE44" i="24"/>
  <c r="DF43" i="24"/>
  <c r="CX42" i="24"/>
  <c r="CY43" i="24"/>
  <c r="CX43" i="24"/>
  <c r="CW43" i="24"/>
  <c r="CV43" i="24"/>
  <c r="CT43" i="24"/>
  <c r="CP43" i="24"/>
  <c r="CQ43" i="24"/>
  <c r="CS43" i="24"/>
  <c r="DC43" i="24"/>
  <c r="CR43" i="24"/>
  <c r="DI43" i="24"/>
  <c r="DH43" i="24"/>
  <c r="CO43" i="24"/>
  <c r="CU43" i="24"/>
  <c r="DD43" i="24"/>
  <c r="CZ43" i="24"/>
  <c r="DG43" i="24"/>
  <c r="DE43" i="24"/>
  <c r="CY42" i="24"/>
  <c r="DI42" i="24"/>
  <c r="CW42" i="24"/>
  <c r="DC42" i="24"/>
  <c r="DG42" i="24"/>
  <c r="DH42" i="24"/>
  <c r="CZ42" i="24"/>
  <c r="CP42" i="24"/>
  <c r="CR42" i="24"/>
  <c r="CQ42" i="24"/>
  <c r="CO42" i="24"/>
  <c r="DD42" i="24"/>
  <c r="CS42" i="24"/>
  <c r="CT42" i="24"/>
  <c r="CU42" i="24"/>
  <c r="DF42" i="24"/>
  <c r="DE42" i="24"/>
  <c r="CV42" i="24"/>
  <c r="DA45" i="24" l="1"/>
  <c r="DA44" i="24"/>
  <c r="DA43" i="24"/>
  <c r="DA42" i="24"/>
  <c r="H14" i="24" l="1"/>
  <c r="I14" i="24"/>
  <c r="J14" i="24"/>
  <c r="K14" i="24"/>
  <c r="L14" i="24"/>
  <c r="M14" i="24"/>
  <c r="N14" i="24"/>
  <c r="O14" i="24"/>
  <c r="P14" i="24"/>
  <c r="Q14" i="24"/>
  <c r="R14" i="24"/>
  <c r="S14" i="24"/>
  <c r="T14" i="24"/>
  <c r="U14" i="24"/>
  <c r="V14" i="24"/>
  <c r="W14" i="24"/>
  <c r="X14" i="24"/>
  <c r="Y14" i="24"/>
  <c r="Z14" i="24"/>
  <c r="AA14" i="24"/>
  <c r="AB14" i="24"/>
  <c r="AC14" i="24"/>
  <c r="AD14" i="24"/>
  <c r="AE14" i="24"/>
  <c r="AF14" i="24"/>
  <c r="AG14" i="24"/>
  <c r="AH14" i="24"/>
  <c r="AI14" i="24"/>
  <c r="AJ14" i="24"/>
  <c r="AK14" i="24"/>
  <c r="AL14" i="24"/>
  <c r="AM14" i="24"/>
  <c r="AN14" i="24"/>
  <c r="AO14" i="24"/>
  <c r="AP14" i="24"/>
  <c r="AQ14" i="24"/>
  <c r="BP14" i="24"/>
  <c r="BQ14" i="24"/>
  <c r="BR14" i="24"/>
  <c r="BS14" i="24"/>
  <c r="BT14" i="24"/>
  <c r="BU14" i="24"/>
  <c r="BV14" i="24"/>
  <c r="BW14" i="24"/>
  <c r="BX14" i="24"/>
  <c r="BY14" i="24"/>
  <c r="BZ14" i="24"/>
  <c r="CA14" i="24"/>
  <c r="CB14" i="24"/>
  <c r="CC14" i="24"/>
  <c r="CD14" i="24"/>
  <c r="CE14" i="24"/>
  <c r="CF14" i="24"/>
  <c r="CG14" i="24"/>
  <c r="CH14" i="24"/>
  <c r="CI14" i="24"/>
  <c r="CJ14" i="24"/>
  <c r="CK14" i="24"/>
  <c r="CL14" i="24"/>
  <c r="CM14" i="24"/>
  <c r="H16" i="24"/>
  <c r="I16" i="24"/>
  <c r="J16" i="24"/>
  <c r="K16" i="24"/>
  <c r="L16" i="24"/>
  <c r="M16" i="24"/>
  <c r="N16" i="24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AF16" i="24"/>
  <c r="AG16" i="24"/>
  <c r="AH16" i="24"/>
  <c r="AI16" i="24"/>
  <c r="AJ16" i="24"/>
  <c r="AK16" i="24"/>
  <c r="AL16" i="24"/>
  <c r="AM16" i="24"/>
  <c r="AN16" i="24"/>
  <c r="AO16" i="24"/>
  <c r="AP16" i="24"/>
  <c r="AQ16" i="24"/>
  <c r="BP16" i="24"/>
  <c r="BQ16" i="24"/>
  <c r="BR16" i="24"/>
  <c r="BS16" i="24"/>
  <c r="BT16" i="24"/>
  <c r="BU16" i="24"/>
  <c r="BV16" i="24"/>
  <c r="BW16" i="24"/>
  <c r="BX16" i="24"/>
  <c r="BY16" i="24"/>
  <c r="BZ16" i="24"/>
  <c r="CA16" i="24"/>
  <c r="CB16" i="24"/>
  <c r="CC16" i="24"/>
  <c r="CD16" i="24"/>
  <c r="CE16" i="24"/>
  <c r="CF16" i="24"/>
  <c r="CG16" i="24"/>
  <c r="CH16" i="24"/>
  <c r="CI16" i="24"/>
  <c r="CJ16" i="24"/>
  <c r="CK16" i="24"/>
  <c r="CL16" i="24"/>
  <c r="CM16" i="24"/>
  <c r="CX14" i="24" l="1"/>
  <c r="CX16" i="24"/>
  <c r="CW14" i="24"/>
  <c r="CW16" i="24"/>
  <c r="DF16" i="24"/>
  <c r="DF14" i="24"/>
  <c r="CV14" i="24"/>
  <c r="CY16" i="24"/>
  <c r="CY14" i="24"/>
  <c r="CU14" i="24"/>
  <c r="CZ14" i="24"/>
  <c r="CP14" i="24"/>
  <c r="DI16" i="24"/>
  <c r="DI14" i="24"/>
  <c r="CS14" i="24"/>
  <c r="DH14" i="24"/>
  <c r="DG14" i="24"/>
  <c r="CQ14" i="24"/>
  <c r="DE14" i="24"/>
  <c r="CT14" i="24"/>
  <c r="CO14" i="24"/>
  <c r="DD14" i="24"/>
  <c r="DD16" i="24"/>
  <c r="CR14" i="24"/>
  <c r="DC14" i="24"/>
  <c r="CR16" i="24"/>
  <c r="CU16" i="24"/>
  <c r="DH16" i="24"/>
  <c r="CQ16" i="24"/>
  <c r="DG16" i="24"/>
  <c r="CP16" i="24"/>
  <c r="CS16" i="24"/>
  <c r="CO16" i="24"/>
  <c r="CV16" i="24"/>
  <c r="CT16" i="24"/>
  <c r="CZ16" i="24"/>
  <c r="DE16" i="24"/>
  <c r="DC16" i="24"/>
  <c r="BK72" i="63"/>
  <c r="BK71" i="63" s="1"/>
  <c r="H38" i="24"/>
  <c r="I38" i="24"/>
  <c r="J38" i="24"/>
  <c r="K38" i="24"/>
  <c r="L38" i="24"/>
  <c r="M38" i="24"/>
  <c r="N38" i="24"/>
  <c r="O38" i="24"/>
  <c r="P38" i="24"/>
  <c r="Q38" i="24"/>
  <c r="R38" i="24"/>
  <c r="S38" i="24"/>
  <c r="T38" i="24"/>
  <c r="U38" i="24"/>
  <c r="V38" i="24"/>
  <c r="W38" i="24"/>
  <c r="X38" i="24"/>
  <c r="Y38" i="24"/>
  <c r="Z38" i="24"/>
  <c r="AA38" i="24"/>
  <c r="AB38" i="24"/>
  <c r="AC38" i="24"/>
  <c r="AD38" i="24"/>
  <c r="AE38" i="24"/>
  <c r="AF38" i="24"/>
  <c r="AG38" i="24"/>
  <c r="AH38" i="24"/>
  <c r="AI38" i="24"/>
  <c r="AJ38" i="24"/>
  <c r="AK38" i="24"/>
  <c r="AL38" i="24"/>
  <c r="AM38" i="24"/>
  <c r="AN38" i="24"/>
  <c r="AO38" i="24"/>
  <c r="AP38" i="24"/>
  <c r="AQ38" i="24"/>
  <c r="BP38" i="24"/>
  <c r="BQ38" i="24"/>
  <c r="BR38" i="24"/>
  <c r="BS38" i="24"/>
  <c r="BT38" i="24"/>
  <c r="BU38" i="24"/>
  <c r="BV38" i="24"/>
  <c r="BW38" i="24"/>
  <c r="BX38" i="24"/>
  <c r="BY38" i="24"/>
  <c r="BZ38" i="24"/>
  <c r="CA38" i="24"/>
  <c r="CB38" i="24"/>
  <c r="CC38" i="24"/>
  <c r="CD38" i="24"/>
  <c r="CE38" i="24"/>
  <c r="CF38" i="24"/>
  <c r="CG38" i="24"/>
  <c r="CH38" i="24"/>
  <c r="CI38" i="24"/>
  <c r="CJ38" i="24"/>
  <c r="CK38" i="24"/>
  <c r="CL38" i="24"/>
  <c r="CM38" i="24"/>
  <c r="DA14" i="24" l="1"/>
  <c r="DA16" i="24"/>
  <c r="AF17" i="24"/>
  <c r="AG17" i="24"/>
  <c r="AH17" i="24"/>
  <c r="AI17" i="24"/>
  <c r="AJ17" i="24"/>
  <c r="AK17" i="24"/>
  <c r="AL17" i="24"/>
  <c r="AM17" i="24"/>
  <c r="AN17" i="24"/>
  <c r="AO17" i="24"/>
  <c r="AP17" i="24"/>
  <c r="AQ17" i="24"/>
  <c r="CB17" i="24"/>
  <c r="CC17" i="24"/>
  <c r="CD17" i="24"/>
  <c r="CE17" i="24"/>
  <c r="CF17" i="24"/>
  <c r="CG17" i="24"/>
  <c r="CH17" i="24"/>
  <c r="CI17" i="24"/>
  <c r="CJ17" i="24"/>
  <c r="CK17" i="24"/>
  <c r="CL17" i="24"/>
  <c r="CM17" i="24"/>
  <c r="BP17" i="24"/>
  <c r="BQ17" i="24"/>
  <c r="BR17" i="24"/>
  <c r="BS17" i="24"/>
  <c r="BT17" i="24"/>
  <c r="BU17" i="24"/>
  <c r="BV17" i="24"/>
  <c r="BW17" i="24"/>
  <c r="BX17" i="24"/>
  <c r="BY17" i="24"/>
  <c r="BZ17" i="24"/>
  <c r="CA17" i="24"/>
  <c r="T7" i="24"/>
  <c r="U7" i="24"/>
  <c r="V7" i="24"/>
  <c r="W7" i="24"/>
  <c r="X7" i="24"/>
  <c r="Y7" i="24"/>
  <c r="Z7" i="24"/>
  <c r="AA7" i="24"/>
  <c r="AB7" i="24"/>
  <c r="AC7" i="24"/>
  <c r="AD7" i="24"/>
  <c r="AE7" i="24"/>
  <c r="T17" i="24"/>
  <c r="U17" i="24"/>
  <c r="V17" i="24"/>
  <c r="W17" i="24"/>
  <c r="X17" i="24"/>
  <c r="Y17" i="24"/>
  <c r="Z17" i="24"/>
  <c r="AA17" i="24"/>
  <c r="AB17" i="24"/>
  <c r="AC17" i="24"/>
  <c r="AD17" i="24"/>
  <c r="AE17" i="24"/>
  <c r="H5" i="24"/>
  <c r="I5" i="24"/>
  <c r="J5" i="24"/>
  <c r="K5" i="24"/>
  <c r="L5" i="24"/>
  <c r="M5" i="24"/>
  <c r="N5" i="24"/>
  <c r="O5" i="24"/>
  <c r="P5" i="24"/>
  <c r="Q5" i="24"/>
  <c r="R5" i="24"/>
  <c r="S5" i="24"/>
  <c r="H6" i="24"/>
  <c r="I6" i="24"/>
  <c r="J6" i="24"/>
  <c r="K6" i="24"/>
  <c r="L6" i="24"/>
  <c r="M6" i="24"/>
  <c r="N6" i="24"/>
  <c r="O6" i="24"/>
  <c r="P6" i="24"/>
  <c r="Q6" i="24"/>
  <c r="R6" i="24"/>
  <c r="S6" i="24"/>
  <c r="H7" i="24"/>
  <c r="I7" i="24"/>
  <c r="J7" i="24"/>
  <c r="K7" i="24"/>
  <c r="L7" i="24"/>
  <c r="M7" i="24"/>
  <c r="N7" i="24"/>
  <c r="O7" i="24"/>
  <c r="P7" i="24"/>
  <c r="Q7" i="24"/>
  <c r="R7" i="24"/>
  <c r="S7" i="24"/>
  <c r="H17" i="24"/>
  <c r="I17" i="24"/>
  <c r="J17" i="24"/>
  <c r="K17" i="24"/>
  <c r="L17" i="24"/>
  <c r="M17" i="24"/>
  <c r="N17" i="24"/>
  <c r="O17" i="24"/>
  <c r="P17" i="24"/>
  <c r="Q17" i="24"/>
  <c r="R17" i="24"/>
  <c r="S17" i="24"/>
  <c r="I3" i="24"/>
  <c r="J3" i="24"/>
  <c r="K3" i="24"/>
  <c r="L3" i="24"/>
  <c r="M3" i="24"/>
  <c r="N3" i="24"/>
  <c r="O3" i="24"/>
  <c r="P3" i="24"/>
  <c r="Q3" i="24"/>
  <c r="R3" i="24"/>
  <c r="S3" i="24"/>
  <c r="LF73" i="63"/>
  <c r="LE72" i="63"/>
  <c r="LE71" i="63" s="1"/>
  <c r="LD72" i="63"/>
  <c r="LD71" i="63" s="1"/>
  <c r="LC72" i="63"/>
  <c r="LC71" i="63" s="1"/>
  <c r="LB72" i="63"/>
  <c r="LB71" i="63" s="1"/>
  <c r="LA72" i="63"/>
  <c r="LA71" i="63" s="1"/>
  <c r="KZ72" i="63"/>
  <c r="KZ71" i="63" s="1"/>
  <c r="KY72" i="63"/>
  <c r="KY71" i="63" s="1"/>
  <c r="KX72" i="63"/>
  <c r="KX71" i="63" s="1"/>
  <c r="KW72" i="63"/>
  <c r="KV72" i="63"/>
  <c r="KV71" i="63" s="1"/>
  <c r="JV75" i="63" s="1"/>
  <c r="KU72" i="63"/>
  <c r="KU71" i="63" s="1"/>
  <c r="KT72" i="63"/>
  <c r="KT71" i="63" s="1"/>
  <c r="KS72" i="63"/>
  <c r="KS71" i="63" s="1"/>
  <c r="KR72" i="63"/>
  <c r="KR71" i="63" s="1"/>
  <c r="KQ72" i="63"/>
  <c r="KQ71" i="63" s="1"/>
  <c r="KP72" i="63"/>
  <c r="KP71" i="63" s="1"/>
  <c r="KO72" i="63"/>
  <c r="KO71" i="63" s="1"/>
  <c r="KN72" i="63"/>
  <c r="KN71" i="63" s="1"/>
  <c r="KM72" i="63"/>
  <c r="KM71" i="63" s="1"/>
  <c r="KL72" i="63"/>
  <c r="KL71" i="63" s="1"/>
  <c r="KK72" i="63"/>
  <c r="KK71" i="63" s="1"/>
  <c r="KJ72" i="63"/>
  <c r="KJ71" i="63" s="1"/>
  <c r="KI72" i="63"/>
  <c r="KH72" i="63"/>
  <c r="KH71" i="63" s="1"/>
  <c r="KG72" i="63"/>
  <c r="KF72" i="63"/>
  <c r="KF71" i="63" s="1"/>
  <c r="KE72" i="63"/>
  <c r="KE71" i="63" s="1"/>
  <c r="KD72" i="63"/>
  <c r="KD71" i="63" s="1"/>
  <c r="KC72" i="63"/>
  <c r="KC71" i="63" s="1"/>
  <c r="KB72" i="63"/>
  <c r="KB71" i="63" s="1"/>
  <c r="KA72" i="63"/>
  <c r="KA71" i="63" s="1"/>
  <c r="JZ72" i="63"/>
  <c r="JZ71" i="63" s="1"/>
  <c r="JY72" i="63"/>
  <c r="JY71" i="63" s="1"/>
  <c r="JX72" i="63"/>
  <c r="JX71" i="63" s="1"/>
  <c r="JW72" i="63"/>
  <c r="JW71" i="63" s="1"/>
  <c r="JV72" i="63"/>
  <c r="JV71" i="63" s="1"/>
  <c r="JU72" i="63"/>
  <c r="JU71" i="63" s="1"/>
  <c r="JT72" i="63"/>
  <c r="JT71" i="63" s="1"/>
  <c r="JS72" i="63"/>
  <c r="JS71" i="63" s="1"/>
  <c r="JR72" i="63"/>
  <c r="JR71" i="63" s="1"/>
  <c r="JQ72" i="63"/>
  <c r="JQ71" i="63" s="1"/>
  <c r="JP72" i="63"/>
  <c r="JP71" i="63" s="1"/>
  <c r="JO72" i="63"/>
  <c r="JO71" i="63" s="1"/>
  <c r="JN72" i="63"/>
  <c r="JM72" i="63"/>
  <c r="JM71" i="63" s="1"/>
  <c r="JL72" i="63"/>
  <c r="JL71" i="63" s="1"/>
  <c r="JK72" i="63"/>
  <c r="JK71" i="63" s="1"/>
  <c r="JJ72" i="63"/>
  <c r="JJ71" i="63" s="1"/>
  <c r="JI72" i="63"/>
  <c r="JI71" i="63" s="1"/>
  <c r="JH72" i="63"/>
  <c r="JH71" i="63" s="1"/>
  <c r="JG72" i="63"/>
  <c r="JG71" i="63" s="1"/>
  <c r="JF72" i="63"/>
  <c r="JF71" i="63" s="1"/>
  <c r="IF75" i="63" s="1"/>
  <c r="JE72" i="63"/>
  <c r="JE71" i="63" s="1"/>
  <c r="IE75" i="63" s="1"/>
  <c r="JD72" i="63"/>
  <c r="JD71" i="63" s="1"/>
  <c r="ID75" i="63" s="1"/>
  <c r="JC72" i="63"/>
  <c r="JC71" i="63" s="1"/>
  <c r="JB72" i="63"/>
  <c r="JB71" i="63" s="1"/>
  <c r="JA72" i="63"/>
  <c r="JA71" i="63" s="1"/>
  <c r="IZ72" i="63"/>
  <c r="IZ71" i="63" s="1"/>
  <c r="IY72" i="63"/>
  <c r="IY71" i="63" s="1"/>
  <c r="IX72" i="63"/>
  <c r="IX71" i="63" s="1"/>
  <c r="IW72" i="63"/>
  <c r="IW71" i="63" s="1"/>
  <c r="IV72" i="63"/>
  <c r="IV71" i="63" s="1"/>
  <c r="IU72" i="63"/>
  <c r="IU71" i="63" s="1"/>
  <c r="IT72" i="63"/>
  <c r="IT71" i="63" s="1"/>
  <c r="IS72" i="63"/>
  <c r="IS71" i="63" s="1"/>
  <c r="IR72" i="63"/>
  <c r="IR71" i="63" s="1"/>
  <c r="IQ72" i="63"/>
  <c r="IQ71" i="63" s="1"/>
  <c r="IB75" i="63" s="1"/>
  <c r="IP72" i="63"/>
  <c r="IP71" i="63" s="1"/>
  <c r="IO72" i="63"/>
  <c r="IO71" i="63" s="1"/>
  <c r="IN72" i="63"/>
  <c r="IN71" i="63" s="1"/>
  <c r="IM72" i="63"/>
  <c r="IM71" i="63" s="1"/>
  <c r="IL72" i="63"/>
  <c r="IL71" i="63" s="1"/>
  <c r="IK72" i="63"/>
  <c r="IJ72" i="63"/>
  <c r="IJ71" i="63" s="1"/>
  <c r="II72" i="63"/>
  <c r="II71" i="63" s="1"/>
  <c r="IH72" i="63"/>
  <c r="IH71" i="63" s="1"/>
  <c r="IG72" i="63"/>
  <c r="IG71" i="63" s="1"/>
  <c r="IF72" i="63"/>
  <c r="IF71" i="63" s="1"/>
  <c r="IE72" i="63"/>
  <c r="IE71" i="63" s="1"/>
  <c r="ID72" i="63"/>
  <c r="ID71" i="63" s="1"/>
  <c r="IC72" i="63"/>
  <c r="IB72" i="63"/>
  <c r="IB71" i="63" s="1"/>
  <c r="IA72" i="63"/>
  <c r="IA71" i="63" s="1"/>
  <c r="HZ72" i="63"/>
  <c r="HZ71" i="63" s="1"/>
  <c r="HY72" i="63"/>
  <c r="HY71" i="63" s="1"/>
  <c r="HX72" i="63"/>
  <c r="HX71" i="63" s="1"/>
  <c r="HW72" i="63"/>
  <c r="HW71" i="63" s="1"/>
  <c r="HV72" i="63"/>
  <c r="HV71" i="63" s="1"/>
  <c r="HU72" i="63"/>
  <c r="HU71" i="63" s="1"/>
  <c r="HT72" i="63"/>
  <c r="HT71" i="63" s="1"/>
  <c r="HS72" i="63"/>
  <c r="HS71" i="63" s="1"/>
  <c r="HR72" i="63"/>
  <c r="HR71" i="63" s="1"/>
  <c r="HQ72" i="63"/>
  <c r="HQ71" i="63" s="1"/>
  <c r="HP72" i="63"/>
  <c r="HP71" i="63" s="1"/>
  <c r="HO72" i="63"/>
  <c r="HO71" i="63" s="1"/>
  <c r="HN72" i="63"/>
  <c r="HN71" i="63" s="1"/>
  <c r="HM72" i="63"/>
  <c r="HL72" i="63"/>
  <c r="HL71" i="63" s="1"/>
  <c r="GL75" i="63" s="1"/>
  <c r="HK72" i="63"/>
  <c r="HK71" i="63" s="1"/>
  <c r="HJ72" i="63"/>
  <c r="HJ71" i="63" s="1"/>
  <c r="HI72" i="63"/>
  <c r="HI71" i="63" s="1"/>
  <c r="HH72" i="63"/>
  <c r="HH71" i="63" s="1"/>
  <c r="HG72" i="63"/>
  <c r="HG71" i="63" s="1"/>
  <c r="HF72" i="63"/>
  <c r="HF71" i="63" s="1"/>
  <c r="HE72" i="63"/>
  <c r="HE71" i="63" s="1"/>
  <c r="HD72" i="63"/>
  <c r="HD71" i="63" s="1"/>
  <c r="HC72" i="63"/>
  <c r="HC71" i="63" s="1"/>
  <c r="HB72" i="63"/>
  <c r="HB71" i="63" s="1"/>
  <c r="HA72" i="63"/>
  <c r="HA71" i="63" s="1"/>
  <c r="GZ72" i="63"/>
  <c r="GZ71" i="63" s="1"/>
  <c r="GY72" i="63"/>
  <c r="GX72" i="63"/>
  <c r="GX71" i="63" s="1"/>
  <c r="GW72" i="63"/>
  <c r="GV72" i="63"/>
  <c r="GV71" i="63" s="1"/>
  <c r="GU72" i="63"/>
  <c r="GU71" i="63" s="1"/>
  <c r="GT72" i="63"/>
  <c r="GT71" i="63" s="1"/>
  <c r="GS72" i="63"/>
  <c r="GS71" i="63" s="1"/>
  <c r="GR72" i="63"/>
  <c r="GR71" i="63" s="1"/>
  <c r="GQ72" i="63"/>
  <c r="GQ71" i="63" s="1"/>
  <c r="GP72" i="63"/>
  <c r="GP71" i="63" s="1"/>
  <c r="GO72" i="63"/>
  <c r="GO71" i="63" s="1"/>
  <c r="GN72" i="63"/>
  <c r="GN71" i="63" s="1"/>
  <c r="GM72" i="63"/>
  <c r="GM71" i="63" s="1"/>
  <c r="GL72" i="63"/>
  <c r="GL71" i="63" s="1"/>
  <c r="GK72" i="63"/>
  <c r="GJ72" i="63"/>
  <c r="GJ71" i="63" s="1"/>
  <c r="GI72" i="63"/>
  <c r="GI71" i="63" s="1"/>
  <c r="GH72" i="63"/>
  <c r="GH71" i="63" s="1"/>
  <c r="GG72" i="63"/>
  <c r="GG71" i="63" s="1"/>
  <c r="EU75" i="63"/>
  <c r="EL75" i="63"/>
  <c r="EK72" i="63"/>
  <c r="EK71" i="63" s="1"/>
  <c r="EJ72" i="63"/>
  <c r="EJ71" i="63" s="1"/>
  <c r="EI72" i="63"/>
  <c r="EI71" i="63" s="1"/>
  <c r="EH72" i="63"/>
  <c r="EH71" i="63" s="1"/>
  <c r="EG72" i="63"/>
  <c r="EG71" i="63" s="1"/>
  <c r="EF72" i="63"/>
  <c r="EF71" i="63" s="1"/>
  <c r="EE72" i="63"/>
  <c r="EE71" i="63" s="1"/>
  <c r="ED72" i="63"/>
  <c r="ED71" i="63" s="1"/>
  <c r="EC72" i="63"/>
  <c r="EB72" i="63"/>
  <c r="EB71" i="63" s="1"/>
  <c r="CY75" i="63" s="1"/>
  <c r="EA72" i="63"/>
  <c r="EA71" i="63" s="1"/>
  <c r="DZ72" i="63"/>
  <c r="DZ71" i="63" s="1"/>
  <c r="DY72" i="63"/>
  <c r="DY71" i="63" s="1"/>
  <c r="DX72" i="63"/>
  <c r="DX71" i="63" s="1"/>
  <c r="DW72" i="63"/>
  <c r="DW71" i="63" s="1"/>
  <c r="DV72" i="63"/>
  <c r="DV71" i="63" s="1"/>
  <c r="DU72" i="63"/>
  <c r="DU71" i="63" s="1"/>
  <c r="DT72" i="63"/>
  <c r="DS72" i="63"/>
  <c r="DS71" i="63" s="1"/>
  <c r="DR72" i="63"/>
  <c r="DR71" i="63" s="1"/>
  <c r="DQ72" i="63"/>
  <c r="DQ71" i="63" s="1"/>
  <c r="DP72" i="63"/>
  <c r="DP71" i="63" s="1"/>
  <c r="DO72" i="63"/>
  <c r="DO71" i="63" s="1"/>
  <c r="CW75" i="63" s="1"/>
  <c r="DN72" i="63"/>
  <c r="DN71" i="63" s="1"/>
  <c r="DM72" i="63"/>
  <c r="DI72" i="63"/>
  <c r="DI71" i="63" s="1"/>
  <c r="DH72" i="63"/>
  <c r="DH71" i="63" s="1"/>
  <c r="DG72" i="63"/>
  <c r="DG71" i="63" s="1"/>
  <c r="DF72" i="63"/>
  <c r="DE72" i="63"/>
  <c r="DE71" i="63" s="1"/>
  <c r="DD72" i="63"/>
  <c r="DD71" i="63" s="1"/>
  <c r="DC72" i="63"/>
  <c r="DC71" i="63" s="1"/>
  <c r="DB72" i="63"/>
  <c r="DB71" i="63" s="1"/>
  <c r="DA72" i="63"/>
  <c r="DA71" i="63" s="1"/>
  <c r="CZ72" i="63"/>
  <c r="CZ71" i="63" s="1"/>
  <c r="CY72" i="63"/>
  <c r="CY71" i="63" s="1"/>
  <c r="CX72" i="63"/>
  <c r="CX71" i="63" s="1"/>
  <c r="CW72" i="63"/>
  <c r="CW71" i="63" s="1"/>
  <c r="CV72" i="63"/>
  <c r="CV71" i="63" s="1"/>
  <c r="CU72" i="63"/>
  <c r="CU71" i="63" s="1"/>
  <c r="CT72" i="63"/>
  <c r="CT71" i="63" s="1"/>
  <c r="CS72" i="63"/>
  <c r="CS71" i="63" s="1"/>
  <c r="CR72" i="63"/>
  <c r="CR71" i="63" s="1"/>
  <c r="CQ72" i="63"/>
  <c r="CP72" i="63"/>
  <c r="CP71" i="63" s="1"/>
  <c r="CO72" i="63"/>
  <c r="CO71" i="63" s="1"/>
  <c r="CN72" i="63"/>
  <c r="CN71" i="63" s="1"/>
  <c r="CM72" i="63"/>
  <c r="CM71" i="63" s="1"/>
  <c r="CL72" i="63"/>
  <c r="CL71" i="63" s="1"/>
  <c r="CK72" i="63"/>
  <c r="CK71" i="63" s="1"/>
  <c r="CJ72" i="63"/>
  <c r="CJ71" i="63" s="1"/>
  <c r="CI72" i="63"/>
  <c r="CI71" i="63" s="1"/>
  <c r="CH72" i="63"/>
  <c r="CH71" i="63" s="1"/>
  <c r="BH75" i="63" s="1"/>
  <c r="CG72" i="63"/>
  <c r="CG71" i="63" s="1"/>
  <c r="BG75" i="63" s="1"/>
  <c r="CF72" i="63"/>
  <c r="CF71" i="63" s="1"/>
  <c r="CE72" i="63"/>
  <c r="CE71" i="63" s="1"/>
  <c r="CD72" i="63"/>
  <c r="CD71" i="63" s="1"/>
  <c r="CC72" i="63"/>
  <c r="CC71" i="63" s="1"/>
  <c r="CB72" i="63"/>
  <c r="CB71" i="63" s="1"/>
  <c r="CA72" i="63"/>
  <c r="CA71" i="63" s="1"/>
  <c r="BZ72" i="63"/>
  <c r="BZ71" i="63" s="1"/>
  <c r="BY72" i="63"/>
  <c r="BY71" i="63" s="1"/>
  <c r="BX72" i="63"/>
  <c r="BX71" i="63" s="1"/>
  <c r="BW72" i="63"/>
  <c r="BW71" i="63" s="1"/>
  <c r="BV72" i="63"/>
  <c r="BV71" i="63" s="1"/>
  <c r="BU72" i="63"/>
  <c r="BU71" i="63" s="1"/>
  <c r="BT72" i="63"/>
  <c r="BT71" i="63" s="1"/>
  <c r="BE75" i="63" s="1"/>
  <c r="BS72" i="63"/>
  <c r="BS71" i="63" s="1"/>
  <c r="BR72" i="63"/>
  <c r="BR71" i="63" s="1"/>
  <c r="BQ72" i="63"/>
  <c r="BQ71" i="63" s="1"/>
  <c r="BP72" i="63"/>
  <c r="BP71" i="63" s="1"/>
  <c r="BO72" i="63"/>
  <c r="BO71" i="63" s="1"/>
  <c r="BN72" i="63"/>
  <c r="BN71" i="63" s="1"/>
  <c r="BM72" i="63"/>
  <c r="BM71" i="63" s="1"/>
  <c r="BL72" i="63"/>
  <c r="BL71" i="63" s="1"/>
  <c r="BJ72" i="63"/>
  <c r="BJ71" i="63" s="1"/>
  <c r="BI72" i="63"/>
  <c r="BI71" i="63" s="1"/>
  <c r="BH72" i="63"/>
  <c r="BH71" i="63" s="1"/>
  <c r="BG72" i="63"/>
  <c r="BG71" i="63" s="1"/>
  <c r="BF72" i="63"/>
  <c r="BF71" i="63" s="1"/>
  <c r="BE72" i="63"/>
  <c r="BE71" i="63" s="1"/>
  <c r="BD72" i="63"/>
  <c r="BD71" i="63" s="1"/>
  <c r="BC72" i="63"/>
  <c r="BC71" i="63" s="1"/>
  <c r="BB72" i="63"/>
  <c r="BB71" i="63" s="1"/>
  <c r="BA72" i="63"/>
  <c r="BA71" i="63" s="1"/>
  <c r="AZ72" i="63"/>
  <c r="AZ71" i="63" s="1"/>
  <c r="AY72" i="63"/>
  <c r="AX72" i="63"/>
  <c r="AX71" i="63" s="1"/>
  <c r="AW72" i="63"/>
  <c r="AW71" i="63" s="1"/>
  <c r="AV72" i="63"/>
  <c r="AV71" i="63" s="1"/>
  <c r="AU72" i="63"/>
  <c r="AU71" i="63" s="1"/>
  <c r="AT72" i="63"/>
  <c r="AT71" i="63" s="1"/>
  <c r="AS72" i="63"/>
  <c r="AS71" i="63" s="1"/>
  <c r="AR72" i="63"/>
  <c r="AR71" i="63" s="1"/>
  <c r="AQ72" i="63"/>
  <c r="AQ71" i="63" s="1"/>
  <c r="AP72" i="63"/>
  <c r="AP71" i="63" s="1"/>
  <c r="O75" i="63" s="1"/>
  <c r="AO72" i="63"/>
  <c r="AO71" i="63" s="1"/>
  <c r="N75" i="63" s="1"/>
  <c r="AN72" i="63"/>
  <c r="AN71" i="63" s="1"/>
  <c r="AM72" i="63"/>
  <c r="AM71" i="63" s="1"/>
  <c r="AL72" i="63"/>
  <c r="AL71" i="63" s="1"/>
  <c r="AK72" i="63"/>
  <c r="AK71" i="63" s="1"/>
  <c r="AJ72" i="63"/>
  <c r="AJ71" i="63" s="1"/>
  <c r="AI72" i="63"/>
  <c r="AI71" i="63" s="1"/>
  <c r="AH72" i="63"/>
  <c r="AH71" i="63" s="1"/>
  <c r="AG72" i="63"/>
  <c r="AG71" i="63" s="1"/>
  <c r="AF72" i="63"/>
  <c r="AF71" i="63" s="1"/>
  <c r="AE72" i="63"/>
  <c r="AE71" i="63" s="1"/>
  <c r="AD72" i="63"/>
  <c r="AD71" i="63" s="1"/>
  <c r="AC72" i="63"/>
  <c r="AC71" i="63" s="1"/>
  <c r="AB72" i="63"/>
  <c r="AB71" i="63" s="1"/>
  <c r="L75" i="63" s="1"/>
  <c r="AA72" i="63"/>
  <c r="AA71" i="63" s="1"/>
  <c r="Z72" i="63"/>
  <c r="Z71" i="63" s="1"/>
  <c r="Y72" i="63"/>
  <c r="Y71" i="63" s="1"/>
  <c r="X72" i="63"/>
  <c r="X71" i="63" s="1"/>
  <c r="W72" i="63"/>
  <c r="W71" i="63" s="1"/>
  <c r="U72" i="63"/>
  <c r="U71" i="63" s="1"/>
  <c r="T72" i="63"/>
  <c r="T71" i="63" s="1"/>
  <c r="S72" i="63"/>
  <c r="S71" i="63" s="1"/>
  <c r="R72" i="63"/>
  <c r="R71" i="63" s="1"/>
  <c r="Q72" i="63"/>
  <c r="Q71" i="63" s="1"/>
  <c r="P72" i="63"/>
  <c r="P71" i="63" s="1"/>
  <c r="O72" i="63"/>
  <c r="O71" i="63" s="1"/>
  <c r="N72" i="63"/>
  <c r="N71" i="63" s="1"/>
  <c r="M72" i="63"/>
  <c r="M71" i="63" s="1"/>
  <c r="L72" i="63"/>
  <c r="L71" i="63" s="1"/>
  <c r="K72" i="63"/>
  <c r="K71" i="63" s="1"/>
  <c r="J72" i="63"/>
  <c r="J71" i="63" s="1"/>
  <c r="I72" i="63"/>
  <c r="I71" i="63" s="1"/>
  <c r="H72" i="63"/>
  <c r="H71" i="63" s="1"/>
  <c r="G72" i="63"/>
  <c r="G71" i="63" s="1"/>
  <c r="F72" i="63"/>
  <c r="GN75" i="63" l="1"/>
  <c r="DA75" i="63"/>
  <c r="JQ75" i="63"/>
  <c r="DD7" i="24"/>
  <c r="CX17" i="24"/>
  <c r="DF6" i="24"/>
  <c r="DF7" i="24"/>
  <c r="DC7" i="24"/>
  <c r="DC6" i="24"/>
  <c r="DC5" i="24"/>
  <c r="CY17" i="24"/>
  <c r="BI75" i="63"/>
  <c r="GH75" i="63"/>
  <c r="J75" i="63"/>
  <c r="CW17" i="24"/>
  <c r="CT17" i="24"/>
  <c r="DI17" i="24"/>
  <c r="DD17" i="24"/>
  <c r="DF17" i="24"/>
  <c r="DE17" i="24"/>
  <c r="DC17" i="24"/>
  <c r="CV17" i="24"/>
  <c r="JO75" i="63"/>
  <c r="CU17" i="24"/>
  <c r="CS17" i="24"/>
  <c r="CQ17" i="24"/>
  <c r="JR75" i="63"/>
  <c r="CO17" i="24"/>
  <c r="CZ17" i="24"/>
  <c r="CR17" i="24"/>
  <c r="DG17" i="24"/>
  <c r="DH17" i="24"/>
  <c r="CP17" i="24"/>
  <c r="HW75" i="63"/>
  <c r="HY75" i="63"/>
  <c r="JP75" i="63"/>
  <c r="P75" i="63"/>
  <c r="BC75" i="63"/>
  <c r="JX75" i="63"/>
  <c r="IA75" i="63"/>
  <c r="H75" i="63"/>
  <c r="BD75" i="63"/>
  <c r="K75" i="63"/>
  <c r="BJ75" i="63"/>
  <c r="GY71" i="63"/>
  <c r="GJ75" i="63" s="1"/>
  <c r="DF71" i="63"/>
  <c r="CU75" i="63" s="1"/>
  <c r="GK71" i="63"/>
  <c r="GF75" i="63" s="1"/>
  <c r="GD75" i="63"/>
  <c r="JN71" i="63"/>
  <c r="JN75" i="63" s="1"/>
  <c r="ER75" i="63"/>
  <c r="CQ71" i="63"/>
  <c r="CQ75" i="63" s="1"/>
  <c r="DM71" i="63"/>
  <c r="CV75" i="63" s="1"/>
  <c r="EC71" i="63"/>
  <c r="CZ75" i="63" s="1"/>
  <c r="GW71" i="63"/>
  <c r="GI75" i="63" s="1"/>
  <c r="HM71" i="63"/>
  <c r="GM75" i="63" s="1"/>
  <c r="IC71" i="63"/>
  <c r="HX75" i="63" s="1"/>
  <c r="IK71" i="63"/>
  <c r="HZ75" i="63" s="1"/>
  <c r="KG71" i="63"/>
  <c r="JS75" i="63" s="1"/>
  <c r="KW71" i="63"/>
  <c r="JW75" i="63" s="1"/>
  <c r="KI71" i="63"/>
  <c r="JT75" i="63" s="1"/>
  <c r="EO75" i="63"/>
  <c r="EQ75" i="63"/>
  <c r="ET75" i="63"/>
  <c r="GK75" i="63"/>
  <c r="JY75" i="63"/>
  <c r="IG75" i="63"/>
  <c r="CX75" i="63"/>
  <c r="EV75" i="63"/>
  <c r="EN75" i="63"/>
  <c r="EP75" i="63"/>
  <c r="EW75" i="63"/>
  <c r="BB75" i="63"/>
  <c r="CS75" i="63"/>
  <c r="CR75" i="63"/>
  <c r="HV73" i="63"/>
  <c r="CQ73" i="63"/>
  <c r="CT75" i="63"/>
  <c r="EM75" i="63"/>
  <c r="EL73" i="63"/>
  <c r="GD73" i="63"/>
  <c r="HV75" i="63"/>
  <c r="BA75" i="63"/>
  <c r="AZ75" i="63"/>
  <c r="AY73" i="63"/>
  <c r="AY71" i="63"/>
  <c r="AY75" i="63" s="1"/>
  <c r="F73" i="63"/>
  <c r="F71" i="63"/>
  <c r="DB75" i="63"/>
  <c r="ES75" i="63"/>
  <c r="Q75" i="63"/>
  <c r="JU75" i="63"/>
  <c r="G75" i="63"/>
  <c r="BF75" i="63"/>
  <c r="M75" i="63"/>
  <c r="GE75" i="63"/>
  <c r="GG75" i="63"/>
  <c r="I75" i="63"/>
  <c r="GO75" i="63"/>
  <c r="IC75" i="63"/>
  <c r="LF72" i="63"/>
  <c r="JN73" i="63"/>
  <c r="CM19" i="24"/>
  <c r="CL19" i="24"/>
  <c r="CK19" i="24"/>
  <c r="CJ19" i="24"/>
  <c r="CI19" i="24"/>
  <c r="CH19" i="24"/>
  <c r="CG19" i="24"/>
  <c r="CF19" i="24"/>
  <c r="CE19" i="24"/>
  <c r="CD19" i="24"/>
  <c r="CC19" i="24"/>
  <c r="CB19" i="24"/>
  <c r="CA19" i="24"/>
  <c r="BZ19" i="24"/>
  <c r="BY19" i="24"/>
  <c r="BX19" i="24"/>
  <c r="BW19" i="24"/>
  <c r="BV19" i="24"/>
  <c r="BU19" i="24"/>
  <c r="BT19" i="24"/>
  <c r="BS19" i="24"/>
  <c r="BR19" i="24"/>
  <c r="BQ19" i="24"/>
  <c r="BP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DA17" i="24" l="1"/>
  <c r="CW19" i="24"/>
  <c r="CY19" i="24"/>
  <c r="LF71" i="63"/>
  <c r="LF74" i="63" s="1"/>
  <c r="F75" i="63"/>
  <c r="CX19" i="24"/>
  <c r="CV19" i="24"/>
  <c r="DF19" i="24"/>
  <c r="DE19" i="24"/>
  <c r="DD19" i="24"/>
  <c r="DC19" i="24"/>
  <c r="CQ19" i="24"/>
  <c r="DG19" i="24"/>
  <c r="DI19" i="24"/>
  <c r="CZ19" i="24"/>
  <c r="CR19" i="24"/>
  <c r="CT19" i="24"/>
  <c r="CO19" i="24"/>
  <c r="CS19" i="24"/>
  <c r="DH19" i="24"/>
  <c r="CU19" i="24"/>
  <c r="CP19" i="24"/>
  <c r="DA19" i="24" l="1"/>
  <c r="R18" i="24" l="1"/>
  <c r="AD18" i="24"/>
  <c r="AP18" i="24"/>
  <c r="BZ18" i="24"/>
  <c r="CL18" i="24"/>
  <c r="S18" i="24"/>
  <c r="AE18" i="24"/>
  <c r="AQ18" i="24"/>
  <c r="CA18" i="24"/>
  <c r="CM18" i="24"/>
  <c r="H18" i="24"/>
  <c r="T18" i="24"/>
  <c r="AF18" i="24"/>
  <c r="BP18" i="24"/>
  <c r="CB18" i="24"/>
  <c r="I18" i="24"/>
  <c r="U18" i="24"/>
  <c r="AG18" i="24"/>
  <c r="BQ18" i="24"/>
  <c r="CC18" i="24"/>
  <c r="J18" i="24"/>
  <c r="V18" i="24"/>
  <c r="AH18" i="24"/>
  <c r="BR18" i="24"/>
  <c r="CD18" i="24"/>
  <c r="K18" i="24"/>
  <c r="W18" i="24"/>
  <c r="AI18" i="24"/>
  <c r="BS18" i="24"/>
  <c r="CE18" i="24"/>
  <c r="L18" i="24"/>
  <c r="X18" i="24"/>
  <c r="AJ18" i="24"/>
  <c r="BT18" i="24"/>
  <c r="CF18" i="24"/>
  <c r="M18" i="24"/>
  <c r="Y18" i="24"/>
  <c r="AK18" i="24"/>
  <c r="BU18" i="24"/>
  <c r="CG18" i="24"/>
  <c r="N18" i="24"/>
  <c r="Z18" i="24"/>
  <c r="AL18" i="24"/>
  <c r="BV18" i="24"/>
  <c r="CH18" i="24"/>
  <c r="O18" i="24"/>
  <c r="AA18" i="24"/>
  <c r="AM18" i="24"/>
  <c r="BW18" i="24"/>
  <c r="CI18" i="24"/>
  <c r="P18" i="24"/>
  <c r="AB18" i="24"/>
  <c r="AN18" i="24"/>
  <c r="BX18" i="24"/>
  <c r="CJ18" i="24"/>
  <c r="Q18" i="24"/>
  <c r="AC18" i="24"/>
  <c r="AO18" i="24"/>
  <c r="BY18" i="24"/>
  <c r="CK18" i="24"/>
  <c r="CM58" i="24"/>
  <c r="CK58" i="24"/>
  <c r="CJ58" i="24"/>
  <c r="CA58" i="24"/>
  <c r="BY58" i="24"/>
  <c r="BX58" i="24"/>
  <c r="BW58" i="24"/>
  <c r="CM34" i="24"/>
  <c r="CL34" i="24"/>
  <c r="CK34" i="24"/>
  <c r="CJ34" i="24"/>
  <c r="CI34" i="24"/>
  <c r="CH34" i="24"/>
  <c r="CG34" i="24"/>
  <c r="CF34" i="24"/>
  <c r="CE34" i="24"/>
  <c r="CD34" i="24"/>
  <c r="CC34" i="24"/>
  <c r="CB34" i="24"/>
  <c r="CA34" i="24"/>
  <c r="BZ34" i="24"/>
  <c r="BY34" i="24"/>
  <c r="BX34" i="24"/>
  <c r="BW34" i="24"/>
  <c r="BV34" i="24"/>
  <c r="BU34" i="24"/>
  <c r="BT34" i="24"/>
  <c r="BS34" i="24"/>
  <c r="BR34" i="24"/>
  <c r="BQ34" i="24"/>
  <c r="BP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CM33" i="24"/>
  <c r="CL33" i="24"/>
  <c r="CK33" i="24"/>
  <c r="CJ33" i="24"/>
  <c r="CI33" i="24"/>
  <c r="CH33" i="24"/>
  <c r="CG33" i="24"/>
  <c r="CF33" i="24"/>
  <c r="CE33" i="24"/>
  <c r="CD33" i="24"/>
  <c r="CC33" i="24"/>
  <c r="CB33" i="24"/>
  <c r="CA33" i="24"/>
  <c r="BZ33" i="24"/>
  <c r="BY33" i="24"/>
  <c r="BX33" i="24"/>
  <c r="BW33" i="24"/>
  <c r="BV33" i="24"/>
  <c r="BU33" i="24"/>
  <c r="BT33" i="24"/>
  <c r="BS33" i="24"/>
  <c r="BR33" i="24"/>
  <c r="BQ33" i="24"/>
  <c r="BP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CM4" i="24"/>
  <c r="CM5" i="24"/>
  <c r="CM6" i="24"/>
  <c r="CM7" i="24"/>
  <c r="CM20" i="24"/>
  <c r="CM21" i="24"/>
  <c r="CM22" i="24"/>
  <c r="CM24" i="24"/>
  <c r="CM25" i="24"/>
  <c r="CM26" i="24"/>
  <c r="CM27" i="24"/>
  <c r="CM28" i="24"/>
  <c r="CM29" i="24"/>
  <c r="CM30" i="24"/>
  <c r="CM31" i="24"/>
  <c r="CM32" i="24"/>
  <c r="CM35" i="24"/>
  <c r="CM36" i="24"/>
  <c r="CM37" i="24"/>
  <c r="CM39" i="24"/>
  <c r="CM40" i="24"/>
  <c r="CM56" i="24"/>
  <c r="CA4" i="24"/>
  <c r="CA5" i="24"/>
  <c r="CA6" i="24"/>
  <c r="CA7" i="24"/>
  <c r="CA20" i="24"/>
  <c r="CA21" i="24"/>
  <c r="CA22" i="24"/>
  <c r="CA24" i="24"/>
  <c r="CA25" i="24"/>
  <c r="CA26" i="24"/>
  <c r="CA27" i="24"/>
  <c r="CA28" i="24"/>
  <c r="CA29" i="24"/>
  <c r="CA30" i="24"/>
  <c r="CA31" i="24"/>
  <c r="CA32" i="24"/>
  <c r="CA35" i="24"/>
  <c r="CA36" i="24"/>
  <c r="CA37" i="24"/>
  <c r="CA39" i="24"/>
  <c r="CA40" i="24"/>
  <c r="CA56" i="24"/>
  <c r="BO56" i="24"/>
  <c r="BL56" i="24"/>
  <c r="BC56" i="24"/>
  <c r="AY56" i="24"/>
  <c r="AP4" i="24"/>
  <c r="AP5" i="24"/>
  <c r="AP6" i="24"/>
  <c r="AP7" i="24"/>
  <c r="AP20" i="24"/>
  <c r="AP21" i="24"/>
  <c r="AP22" i="24"/>
  <c r="AP24" i="24"/>
  <c r="AP25" i="24"/>
  <c r="AP26" i="24"/>
  <c r="AP27" i="24"/>
  <c r="AP28" i="24"/>
  <c r="AP29" i="24"/>
  <c r="AP30" i="24"/>
  <c r="AP31" i="24"/>
  <c r="AP32" i="24"/>
  <c r="AP35" i="24"/>
  <c r="AP36" i="24"/>
  <c r="AP37" i="24"/>
  <c r="AP39" i="24"/>
  <c r="AP40" i="24"/>
  <c r="AP56" i="24"/>
  <c r="AQ4" i="24"/>
  <c r="AQ5" i="24"/>
  <c r="AQ6" i="24"/>
  <c r="AQ7" i="24"/>
  <c r="AQ20" i="24"/>
  <c r="AQ21" i="24"/>
  <c r="AQ22" i="24"/>
  <c r="AQ24" i="24"/>
  <c r="AQ25" i="24"/>
  <c r="AQ26" i="24"/>
  <c r="AQ27" i="24"/>
  <c r="AQ28" i="24"/>
  <c r="AQ29" i="24"/>
  <c r="AQ30" i="24"/>
  <c r="AQ31" i="24"/>
  <c r="AQ32" i="24"/>
  <c r="AQ35" i="24"/>
  <c r="AQ36" i="24"/>
  <c r="AQ37" i="24"/>
  <c r="AQ39" i="24"/>
  <c r="AQ40" i="24"/>
  <c r="AQ56" i="24"/>
  <c r="AM4" i="24"/>
  <c r="AM5" i="24"/>
  <c r="AM6" i="24"/>
  <c r="AM7" i="24"/>
  <c r="AM20" i="24"/>
  <c r="AM21" i="24"/>
  <c r="AM22" i="24"/>
  <c r="AM24" i="24"/>
  <c r="AM25" i="24"/>
  <c r="AM26" i="24"/>
  <c r="AM27" i="24"/>
  <c r="AM28" i="24"/>
  <c r="AM29" i="24"/>
  <c r="AM30" i="24"/>
  <c r="AM31" i="24"/>
  <c r="AM32" i="24"/>
  <c r="AM35" i="24"/>
  <c r="AM36" i="24"/>
  <c r="AM37" i="24"/>
  <c r="AM39" i="24"/>
  <c r="AM40" i="24"/>
  <c r="AM56" i="24"/>
  <c r="AD4" i="24"/>
  <c r="AD5" i="24"/>
  <c r="AD6" i="24"/>
  <c r="AD20" i="24"/>
  <c r="AD21" i="24"/>
  <c r="AD22" i="24"/>
  <c r="AD24" i="24"/>
  <c r="AD25" i="24"/>
  <c r="AD26" i="24"/>
  <c r="AD27" i="24"/>
  <c r="AD28" i="24"/>
  <c r="AD29" i="24"/>
  <c r="AD30" i="24"/>
  <c r="AD31" i="24"/>
  <c r="AD32" i="24"/>
  <c r="AD35" i="24"/>
  <c r="AD36" i="24"/>
  <c r="AD37" i="24"/>
  <c r="AD39" i="24"/>
  <c r="AD40" i="24"/>
  <c r="AD56" i="24"/>
  <c r="AE4" i="24"/>
  <c r="AE5" i="24"/>
  <c r="AE6" i="24"/>
  <c r="AE20" i="24"/>
  <c r="AE21" i="24"/>
  <c r="AE22" i="24"/>
  <c r="AE24" i="24"/>
  <c r="AE25" i="24"/>
  <c r="AE26" i="24"/>
  <c r="AE27" i="24"/>
  <c r="AE28" i="24"/>
  <c r="AE29" i="24"/>
  <c r="AE30" i="24"/>
  <c r="AE31" i="24"/>
  <c r="AE32" i="24"/>
  <c r="AE35" i="24"/>
  <c r="AE36" i="24"/>
  <c r="AE37" i="24"/>
  <c r="AE39" i="24"/>
  <c r="AE40" i="24"/>
  <c r="AE56" i="24"/>
  <c r="AA4" i="24"/>
  <c r="AA5" i="24"/>
  <c r="AA6" i="24"/>
  <c r="AA20" i="24"/>
  <c r="AA21" i="24"/>
  <c r="AA22" i="24"/>
  <c r="AA24" i="24"/>
  <c r="AA25" i="24"/>
  <c r="AA26" i="24"/>
  <c r="AA27" i="24"/>
  <c r="AA28" i="24"/>
  <c r="AA29" i="24"/>
  <c r="AA30" i="24"/>
  <c r="AA31" i="24"/>
  <c r="AA32" i="24"/>
  <c r="AA35" i="24"/>
  <c r="AA36" i="24"/>
  <c r="AA37" i="24"/>
  <c r="AA39" i="24"/>
  <c r="AA40" i="24"/>
  <c r="AA56" i="24"/>
  <c r="O4" i="24"/>
  <c r="O20" i="24"/>
  <c r="O21" i="24"/>
  <c r="O22" i="24"/>
  <c r="O24" i="24"/>
  <c r="O25" i="24"/>
  <c r="O26" i="24"/>
  <c r="O27" i="24"/>
  <c r="O28" i="24"/>
  <c r="O29" i="24"/>
  <c r="O30" i="24"/>
  <c r="O31" i="24"/>
  <c r="O32" i="24"/>
  <c r="O35" i="24"/>
  <c r="O36" i="24"/>
  <c r="O37" i="24"/>
  <c r="O39" i="24"/>
  <c r="O40" i="24"/>
  <c r="O56" i="24"/>
  <c r="R4" i="24"/>
  <c r="R20" i="24"/>
  <c r="R21" i="24"/>
  <c r="R22" i="24"/>
  <c r="R24" i="24"/>
  <c r="R25" i="24"/>
  <c r="R26" i="24"/>
  <c r="R27" i="24"/>
  <c r="R28" i="24"/>
  <c r="R29" i="24"/>
  <c r="R30" i="24"/>
  <c r="R31" i="24"/>
  <c r="R32" i="24"/>
  <c r="R35" i="24"/>
  <c r="R36" i="24"/>
  <c r="R37" i="24"/>
  <c r="R39" i="24"/>
  <c r="R40" i="24"/>
  <c r="R56" i="24"/>
  <c r="S4" i="24"/>
  <c r="S20" i="24"/>
  <c r="S21" i="24"/>
  <c r="S22" i="24"/>
  <c r="S24" i="24"/>
  <c r="S25" i="24"/>
  <c r="S26" i="24"/>
  <c r="S27" i="24"/>
  <c r="S28" i="24"/>
  <c r="S29" i="24"/>
  <c r="S30" i="24"/>
  <c r="S31" i="24"/>
  <c r="S32" i="24"/>
  <c r="S35" i="24"/>
  <c r="S36" i="24"/>
  <c r="S37" i="24"/>
  <c r="S39" i="24"/>
  <c r="S40" i="24"/>
  <c r="S56" i="24"/>
  <c r="AN3" i="24"/>
  <c r="AG3" i="24"/>
  <c r="H3" i="24"/>
  <c r="I4" i="24"/>
  <c r="I20" i="24"/>
  <c r="I21" i="24"/>
  <c r="I22" i="24"/>
  <c r="I24" i="24"/>
  <c r="I25" i="24"/>
  <c r="I26" i="24"/>
  <c r="I27" i="24"/>
  <c r="I28" i="24"/>
  <c r="I29" i="24"/>
  <c r="I30" i="24"/>
  <c r="I31" i="24"/>
  <c r="I32" i="24"/>
  <c r="I35" i="24"/>
  <c r="I36" i="24"/>
  <c r="I37" i="24"/>
  <c r="I39" i="24"/>
  <c r="I40" i="24"/>
  <c r="I56" i="24"/>
  <c r="J4" i="24"/>
  <c r="J20" i="24"/>
  <c r="J21" i="24"/>
  <c r="J22" i="24"/>
  <c r="J24" i="24"/>
  <c r="J25" i="24"/>
  <c r="J26" i="24"/>
  <c r="J27" i="24"/>
  <c r="J28" i="24"/>
  <c r="J29" i="24"/>
  <c r="J30" i="24"/>
  <c r="J31" i="24"/>
  <c r="J32" i="24"/>
  <c r="J35" i="24"/>
  <c r="J36" i="24"/>
  <c r="J37" i="24"/>
  <c r="J39" i="24"/>
  <c r="J40" i="24"/>
  <c r="J56" i="24"/>
  <c r="BC27" i="88"/>
  <c r="BC28" i="88"/>
  <c r="BC29" i="88"/>
  <c r="BC30" i="88"/>
  <c r="BC31" i="88"/>
  <c r="BC32" i="88"/>
  <c r="BC33" i="88"/>
  <c r="BC34" i="88"/>
  <c r="G18" i="91"/>
  <c r="G19" i="91"/>
  <c r="G20" i="91"/>
  <c r="G21" i="91"/>
  <c r="G22" i="91"/>
  <c r="G23" i="91"/>
  <c r="G24" i="91"/>
  <c r="G25" i="91"/>
  <c r="G26" i="91"/>
  <c r="G27" i="91"/>
  <c r="G28" i="91"/>
  <c r="G29" i="91"/>
  <c r="G30" i="91"/>
  <c r="G31" i="91"/>
  <c r="CH14" i="88"/>
  <c r="CI14" i="88"/>
  <c r="CJ14" i="88"/>
  <c r="CK14" i="88"/>
  <c r="CL14" i="88"/>
  <c r="CH15" i="88"/>
  <c r="CI15" i="88"/>
  <c r="CJ15" i="88"/>
  <c r="CK15" i="88"/>
  <c r="CL15" i="88"/>
  <c r="CH16" i="88"/>
  <c r="CI16" i="88"/>
  <c r="CJ16" i="88"/>
  <c r="CK16" i="88"/>
  <c r="CL16" i="88"/>
  <c r="CH17" i="88"/>
  <c r="CI17" i="88"/>
  <c r="CJ17" i="88"/>
  <c r="CK17" i="88"/>
  <c r="CL17" i="88"/>
  <c r="CH18" i="88"/>
  <c r="CI18" i="88"/>
  <c r="CJ18" i="88"/>
  <c r="CK18" i="88"/>
  <c r="CL18" i="88"/>
  <c r="CH19" i="88"/>
  <c r="CI19" i="88"/>
  <c r="CJ19" i="88"/>
  <c r="CK19" i="88"/>
  <c r="CL19" i="88"/>
  <c r="CH20" i="88"/>
  <c r="CI20" i="88"/>
  <c r="CJ20" i="88"/>
  <c r="CK20" i="88"/>
  <c r="CL20" i="88"/>
  <c r="CH21" i="88"/>
  <c r="CI21" i="88"/>
  <c r="CJ21" i="88"/>
  <c r="CK21" i="88"/>
  <c r="CL21" i="88"/>
  <c r="CH22" i="88"/>
  <c r="CI22" i="88"/>
  <c r="CJ22" i="88"/>
  <c r="CK22" i="88"/>
  <c r="CL22" i="88"/>
  <c r="CH23" i="88"/>
  <c r="CI23" i="88"/>
  <c r="CJ23" i="88"/>
  <c r="CK23" i="88"/>
  <c r="CL23" i="88"/>
  <c r="CH24" i="88"/>
  <c r="CI24" i="88"/>
  <c r="CJ24" i="88"/>
  <c r="CK24" i="88"/>
  <c r="CL24" i="88"/>
  <c r="CH25" i="88"/>
  <c r="CI25" i="88"/>
  <c r="CJ25" i="88"/>
  <c r="CK25" i="88"/>
  <c r="CL25" i="88"/>
  <c r="CH26" i="88"/>
  <c r="CI26" i="88"/>
  <c r="CJ26" i="88"/>
  <c r="CK26" i="88"/>
  <c r="CL26" i="88"/>
  <c r="CH27" i="88"/>
  <c r="CI27" i="88"/>
  <c r="CJ27" i="88"/>
  <c r="CK27" i="88"/>
  <c r="CL27" i="88"/>
  <c r="CH28" i="88"/>
  <c r="CI28" i="88"/>
  <c r="CJ28" i="88"/>
  <c r="CK28" i="88"/>
  <c r="CL28" i="88"/>
  <c r="CH29" i="88"/>
  <c r="CI29" i="88"/>
  <c r="CJ29" i="88"/>
  <c r="CK29" i="88"/>
  <c r="CL29" i="88"/>
  <c r="CH30" i="88"/>
  <c r="CI30" i="88"/>
  <c r="CJ30" i="88"/>
  <c r="CK30" i="88"/>
  <c r="CL30" i="88"/>
  <c r="CH31" i="88"/>
  <c r="CI31" i="88"/>
  <c r="CJ31" i="88"/>
  <c r="CK31" i="88"/>
  <c r="CL31" i="88"/>
  <c r="CH32" i="88"/>
  <c r="CI32" i="88"/>
  <c r="CJ32" i="88"/>
  <c r="CK32" i="88"/>
  <c r="CL32" i="88"/>
  <c r="CH33" i="88"/>
  <c r="CI33" i="88"/>
  <c r="CJ33" i="88"/>
  <c r="CK33" i="88"/>
  <c r="CL33" i="88"/>
  <c r="CH34" i="88"/>
  <c r="CI34" i="88"/>
  <c r="CJ34" i="88"/>
  <c r="CK34" i="88"/>
  <c r="CL34" i="88"/>
  <c r="CH35" i="88"/>
  <c r="CI35" i="88"/>
  <c r="CJ35" i="88"/>
  <c r="CK35" i="88"/>
  <c r="CL35" i="88"/>
  <c r="CH36" i="88"/>
  <c r="CI36" i="88"/>
  <c r="CJ36" i="88"/>
  <c r="CK36" i="88"/>
  <c r="CL36" i="88"/>
  <c r="CH37" i="88"/>
  <c r="CI37" i="88"/>
  <c r="CJ37" i="88"/>
  <c r="CK37" i="88"/>
  <c r="CL37" i="88"/>
  <c r="CH38" i="88"/>
  <c r="CI38" i="88"/>
  <c r="CJ38" i="88"/>
  <c r="CK38" i="88"/>
  <c r="CL38" i="88"/>
  <c r="CH39" i="88"/>
  <c r="CI39" i="88"/>
  <c r="CJ39" i="88"/>
  <c r="CK39" i="88"/>
  <c r="CL39" i="88"/>
  <c r="CH40" i="88"/>
  <c r="CI40" i="88"/>
  <c r="CJ40" i="88"/>
  <c r="CK40" i="88"/>
  <c r="CL40" i="88"/>
  <c r="CH41" i="88"/>
  <c r="CI41" i="88"/>
  <c r="CJ41" i="88"/>
  <c r="CK41" i="88"/>
  <c r="CL41" i="88"/>
  <c r="CH42" i="88"/>
  <c r="CI42" i="88"/>
  <c r="CJ42" i="88"/>
  <c r="CK42" i="88"/>
  <c r="CL42" i="88"/>
  <c r="CH43" i="88"/>
  <c r="CI43" i="88"/>
  <c r="CJ43" i="88"/>
  <c r="CK43" i="88"/>
  <c r="CL43" i="88"/>
  <c r="CH44" i="88"/>
  <c r="CI44" i="88"/>
  <c r="CJ44" i="88"/>
  <c r="CK44" i="88"/>
  <c r="CL44" i="88"/>
  <c r="CH45" i="88"/>
  <c r="CI45" i="88"/>
  <c r="CJ45" i="88"/>
  <c r="CK45" i="88"/>
  <c r="CL45" i="88"/>
  <c r="CH46" i="88"/>
  <c r="CI46" i="88"/>
  <c r="CJ46" i="88"/>
  <c r="CK46" i="88"/>
  <c r="CL46" i="88"/>
  <c r="CH47" i="88"/>
  <c r="CI47" i="88"/>
  <c r="CJ47" i="88"/>
  <c r="CK47" i="88"/>
  <c r="CL47" i="88"/>
  <c r="CH48" i="88"/>
  <c r="CI48" i="88"/>
  <c r="CJ48" i="88"/>
  <c r="CK48" i="88"/>
  <c r="CL48" i="88"/>
  <c r="CI13" i="88"/>
  <c r="CJ13" i="88"/>
  <c r="CK13" i="88"/>
  <c r="CL13" i="88"/>
  <c r="CH13" i="88"/>
  <c r="BV14" i="88"/>
  <c r="BW14" i="88"/>
  <c r="BX14" i="88"/>
  <c r="BY14" i="88"/>
  <c r="BZ14" i="88"/>
  <c r="BV15" i="88"/>
  <c r="BW15" i="88"/>
  <c r="BX15" i="88"/>
  <c r="BY15" i="88"/>
  <c r="BZ15" i="88"/>
  <c r="BV16" i="88"/>
  <c r="BW16" i="88"/>
  <c r="BX16" i="88"/>
  <c r="BY16" i="88"/>
  <c r="BZ16" i="88"/>
  <c r="BV17" i="88"/>
  <c r="BW17" i="88"/>
  <c r="BX17" i="88"/>
  <c r="BY17" i="88"/>
  <c r="BZ17" i="88"/>
  <c r="BV18" i="88"/>
  <c r="BW18" i="88"/>
  <c r="BX18" i="88"/>
  <c r="BY18" i="88"/>
  <c r="BZ18" i="88"/>
  <c r="BV19" i="88"/>
  <c r="BW19" i="88"/>
  <c r="BX19" i="88"/>
  <c r="BY19" i="88"/>
  <c r="BZ19" i="88"/>
  <c r="BV20" i="88"/>
  <c r="BW20" i="88"/>
  <c r="BX20" i="88"/>
  <c r="BY20" i="88"/>
  <c r="BZ20" i="88"/>
  <c r="BV21" i="88"/>
  <c r="BW21" i="88"/>
  <c r="BX21" i="88"/>
  <c r="BY21" i="88"/>
  <c r="BZ21" i="88"/>
  <c r="BV22" i="88"/>
  <c r="BW22" i="88"/>
  <c r="BX22" i="88"/>
  <c r="BY22" i="88"/>
  <c r="BZ22" i="88"/>
  <c r="BV23" i="88"/>
  <c r="BW23" i="88"/>
  <c r="BX23" i="88"/>
  <c r="BY23" i="88"/>
  <c r="BZ23" i="88"/>
  <c r="BV24" i="88"/>
  <c r="BW24" i="88"/>
  <c r="BX24" i="88"/>
  <c r="BY24" i="88"/>
  <c r="BZ24" i="88"/>
  <c r="BV25" i="88"/>
  <c r="BW25" i="88"/>
  <c r="BX25" i="88"/>
  <c r="BY25" i="88"/>
  <c r="BZ25" i="88"/>
  <c r="BV26" i="88"/>
  <c r="BW26" i="88"/>
  <c r="BX26" i="88"/>
  <c r="BY26" i="88"/>
  <c r="BZ26" i="88"/>
  <c r="BV27" i="88"/>
  <c r="BW27" i="88"/>
  <c r="BX27" i="88"/>
  <c r="BY27" i="88"/>
  <c r="BZ27" i="88"/>
  <c r="BV28" i="88"/>
  <c r="BW28" i="88"/>
  <c r="BX28" i="88"/>
  <c r="BY28" i="88"/>
  <c r="BZ28" i="88"/>
  <c r="BV29" i="88"/>
  <c r="BW29" i="88"/>
  <c r="BX29" i="88"/>
  <c r="BY29" i="88"/>
  <c r="BZ29" i="88"/>
  <c r="BV30" i="88"/>
  <c r="BW30" i="88"/>
  <c r="BX30" i="88"/>
  <c r="BY30" i="88"/>
  <c r="BZ30" i="88"/>
  <c r="BV31" i="88"/>
  <c r="BW31" i="88"/>
  <c r="BX31" i="88"/>
  <c r="BY31" i="88"/>
  <c r="BZ31" i="88"/>
  <c r="BV32" i="88"/>
  <c r="BW32" i="88"/>
  <c r="BX32" i="88"/>
  <c r="BY32" i="88"/>
  <c r="BZ32" i="88"/>
  <c r="BV33" i="88"/>
  <c r="BW33" i="88"/>
  <c r="BX33" i="88"/>
  <c r="BY33" i="88"/>
  <c r="BZ33" i="88"/>
  <c r="BV34" i="88"/>
  <c r="BW34" i="88"/>
  <c r="BX34" i="88"/>
  <c r="BY34" i="88"/>
  <c r="BZ34" i="88"/>
  <c r="BV35" i="88"/>
  <c r="BW35" i="88"/>
  <c r="BX35" i="88"/>
  <c r="BY35" i="88"/>
  <c r="BZ35" i="88"/>
  <c r="BV36" i="88"/>
  <c r="BW36" i="88"/>
  <c r="BX36" i="88"/>
  <c r="BY36" i="88"/>
  <c r="BZ36" i="88"/>
  <c r="BV37" i="88"/>
  <c r="BW37" i="88"/>
  <c r="BX37" i="88"/>
  <c r="BY37" i="88"/>
  <c r="BZ37" i="88"/>
  <c r="BV38" i="88"/>
  <c r="BW38" i="88"/>
  <c r="BX38" i="88"/>
  <c r="BY38" i="88"/>
  <c r="BZ38" i="88"/>
  <c r="BV39" i="88"/>
  <c r="BW39" i="88"/>
  <c r="BX39" i="88"/>
  <c r="BY39" i="88"/>
  <c r="BZ39" i="88"/>
  <c r="BV40" i="88"/>
  <c r="BW40" i="88"/>
  <c r="BX40" i="88"/>
  <c r="BY40" i="88"/>
  <c r="BZ40" i="88"/>
  <c r="BV41" i="88"/>
  <c r="BW41" i="88"/>
  <c r="BX41" i="88"/>
  <c r="BY41" i="88"/>
  <c r="BZ41" i="88"/>
  <c r="BV42" i="88"/>
  <c r="BW42" i="88"/>
  <c r="BX42" i="88"/>
  <c r="BY42" i="88"/>
  <c r="BZ42" i="88"/>
  <c r="BV43" i="88"/>
  <c r="BW43" i="88"/>
  <c r="BX43" i="88"/>
  <c r="BY43" i="88"/>
  <c r="BZ43" i="88"/>
  <c r="BV44" i="88"/>
  <c r="BW44" i="88"/>
  <c r="BX44" i="88"/>
  <c r="BY44" i="88"/>
  <c r="BZ44" i="88"/>
  <c r="BV45" i="88"/>
  <c r="BW45" i="88"/>
  <c r="BX45" i="88"/>
  <c r="BY45" i="88"/>
  <c r="BZ45" i="88"/>
  <c r="BV46" i="88"/>
  <c r="BW46" i="88"/>
  <c r="BX46" i="88"/>
  <c r="BY46" i="88"/>
  <c r="BZ46" i="88"/>
  <c r="BV47" i="88"/>
  <c r="BW47" i="88"/>
  <c r="BX47" i="88"/>
  <c r="BY47" i="88"/>
  <c r="BZ47" i="88"/>
  <c r="BV48" i="88"/>
  <c r="BW48" i="88"/>
  <c r="BX48" i="88"/>
  <c r="BY48" i="88"/>
  <c r="BZ48" i="88"/>
  <c r="BV49" i="88"/>
  <c r="BW49" i="88"/>
  <c r="BX49" i="88"/>
  <c r="BY49" i="88"/>
  <c r="BZ49" i="88"/>
  <c r="BV50" i="88"/>
  <c r="BW50" i="88"/>
  <c r="BX50" i="88"/>
  <c r="BY50" i="88"/>
  <c r="BZ50" i="88"/>
  <c r="BV51" i="88"/>
  <c r="BW51" i="88"/>
  <c r="BX51" i="88"/>
  <c r="BY51" i="88"/>
  <c r="BZ51" i="88"/>
  <c r="BV52" i="88"/>
  <c r="BW52" i="88"/>
  <c r="BX52" i="88"/>
  <c r="BY52" i="88"/>
  <c r="BZ52" i="88"/>
  <c r="BV53" i="88"/>
  <c r="BW53" i="88"/>
  <c r="BX53" i="88"/>
  <c r="BY53" i="88"/>
  <c r="BZ53" i="88"/>
  <c r="BV54" i="88"/>
  <c r="BW54" i="88"/>
  <c r="BX54" i="88"/>
  <c r="BY54" i="88"/>
  <c r="BZ54" i="88"/>
  <c r="BV55" i="88"/>
  <c r="BW55" i="88"/>
  <c r="BX55" i="88"/>
  <c r="BY55" i="88"/>
  <c r="BZ55" i="88"/>
  <c r="BV56" i="88"/>
  <c r="BW56" i="88"/>
  <c r="BX56" i="88"/>
  <c r="BY56" i="88"/>
  <c r="BZ56" i="88"/>
  <c r="BW13" i="88"/>
  <c r="BX13" i="88"/>
  <c r="BY13" i="88"/>
  <c r="BZ13" i="88"/>
  <c r="BV13" i="88"/>
  <c r="BJ6" i="88"/>
  <c r="BK6" i="88"/>
  <c r="BL6" i="88"/>
  <c r="BM6" i="88"/>
  <c r="BN6" i="88"/>
  <c r="BJ7" i="88"/>
  <c r="BK7" i="88"/>
  <c r="BL7" i="88"/>
  <c r="BM7" i="88"/>
  <c r="BN7" i="88"/>
  <c r="BJ8" i="88"/>
  <c r="BK8" i="88"/>
  <c r="BL8" i="88"/>
  <c r="BM8" i="88"/>
  <c r="BN8" i="88"/>
  <c r="BJ9" i="88"/>
  <c r="BK9" i="88"/>
  <c r="BL9" i="88"/>
  <c r="BM9" i="88"/>
  <c r="BN9" i="88"/>
  <c r="BJ10" i="88"/>
  <c r="BK10" i="88"/>
  <c r="BL10" i="88"/>
  <c r="BM10" i="88"/>
  <c r="BN10" i="88"/>
  <c r="BJ11" i="88"/>
  <c r="BK11" i="88"/>
  <c r="BL11" i="88"/>
  <c r="BM11" i="88"/>
  <c r="BN11" i="88"/>
  <c r="BJ12" i="88"/>
  <c r="BK12" i="88"/>
  <c r="BL12" i="88"/>
  <c r="BM12" i="88"/>
  <c r="BN12" i="88"/>
  <c r="BJ13" i="88"/>
  <c r="BK13" i="88"/>
  <c r="BL13" i="88"/>
  <c r="BM13" i="88"/>
  <c r="BN13" i="88"/>
  <c r="BJ14" i="88"/>
  <c r="BK14" i="88"/>
  <c r="BL14" i="88"/>
  <c r="BM14" i="88"/>
  <c r="BN14" i="88"/>
  <c r="BJ15" i="88"/>
  <c r="BK15" i="88"/>
  <c r="BL15" i="88"/>
  <c r="BM15" i="88"/>
  <c r="BN15" i="88"/>
  <c r="BJ16" i="88"/>
  <c r="BK16" i="88"/>
  <c r="BL16" i="88"/>
  <c r="BM16" i="88"/>
  <c r="BN16" i="88"/>
  <c r="BJ17" i="88"/>
  <c r="BK17" i="88"/>
  <c r="BL17" i="88"/>
  <c r="BM17" i="88"/>
  <c r="BN17" i="88"/>
  <c r="BJ18" i="88"/>
  <c r="BK18" i="88"/>
  <c r="BL18" i="88"/>
  <c r="BM18" i="88"/>
  <c r="BN18" i="88"/>
  <c r="BJ19" i="88"/>
  <c r="BK19" i="88"/>
  <c r="BL19" i="88"/>
  <c r="BM19" i="88"/>
  <c r="BN19" i="88"/>
  <c r="BJ20" i="88"/>
  <c r="BK20" i="88"/>
  <c r="BL20" i="88"/>
  <c r="BM20" i="88"/>
  <c r="BN20" i="88"/>
  <c r="BJ21" i="88"/>
  <c r="BK21" i="88"/>
  <c r="BL21" i="88"/>
  <c r="BM21" i="88"/>
  <c r="BN21" i="88"/>
  <c r="BJ22" i="88"/>
  <c r="BK22" i="88"/>
  <c r="BL22" i="88"/>
  <c r="BM22" i="88"/>
  <c r="BN22" i="88"/>
  <c r="BJ23" i="88"/>
  <c r="BK23" i="88"/>
  <c r="BL23" i="88"/>
  <c r="BM23" i="88"/>
  <c r="BN23" i="88"/>
  <c r="BJ24" i="88"/>
  <c r="BK24" i="88"/>
  <c r="BL24" i="88"/>
  <c r="BM24" i="88"/>
  <c r="BN24" i="88"/>
  <c r="BJ25" i="88"/>
  <c r="BK25" i="88"/>
  <c r="BL25" i="88"/>
  <c r="BM25" i="88"/>
  <c r="BN25" i="88"/>
  <c r="BJ26" i="88"/>
  <c r="BK26" i="88"/>
  <c r="BL26" i="88"/>
  <c r="BM26" i="88"/>
  <c r="BN26" i="88"/>
  <c r="BJ27" i="88"/>
  <c r="BK27" i="88"/>
  <c r="BL27" i="88"/>
  <c r="BM27" i="88"/>
  <c r="BN27" i="88"/>
  <c r="BJ28" i="88"/>
  <c r="BK28" i="88"/>
  <c r="BL28" i="88"/>
  <c r="BM28" i="88"/>
  <c r="BN28" i="88"/>
  <c r="BJ29" i="88"/>
  <c r="BK29" i="88"/>
  <c r="BL29" i="88"/>
  <c r="BM29" i="88"/>
  <c r="BN29" i="88"/>
  <c r="BJ30" i="88"/>
  <c r="BK30" i="88"/>
  <c r="BL30" i="88"/>
  <c r="BM30" i="88"/>
  <c r="BN30" i="88"/>
  <c r="BJ31" i="88"/>
  <c r="BK31" i="88"/>
  <c r="BL31" i="88"/>
  <c r="BM31" i="88"/>
  <c r="BN31" i="88"/>
  <c r="BJ32" i="88"/>
  <c r="BK32" i="88"/>
  <c r="BL32" i="88"/>
  <c r="BM32" i="88"/>
  <c r="BN32" i="88"/>
  <c r="BJ33" i="88"/>
  <c r="BK33" i="88"/>
  <c r="BL33" i="88"/>
  <c r="BM33" i="88"/>
  <c r="BN33" i="88"/>
  <c r="BJ34" i="88"/>
  <c r="BK34" i="88"/>
  <c r="BL34" i="88"/>
  <c r="BM34" i="88"/>
  <c r="BN34" i="88"/>
  <c r="BJ35" i="88"/>
  <c r="BK35" i="88"/>
  <c r="BL35" i="88"/>
  <c r="BM35" i="88"/>
  <c r="BN35" i="88"/>
  <c r="BJ36" i="88"/>
  <c r="BK36" i="88"/>
  <c r="BL36" i="88"/>
  <c r="BM36" i="88"/>
  <c r="BN36" i="88"/>
  <c r="BJ37" i="88"/>
  <c r="BK37" i="88"/>
  <c r="BL37" i="88"/>
  <c r="BM37" i="88"/>
  <c r="BN37" i="88"/>
  <c r="BJ38" i="88"/>
  <c r="BK38" i="88"/>
  <c r="BL38" i="88"/>
  <c r="BM38" i="88"/>
  <c r="BN38" i="88"/>
  <c r="BJ39" i="88"/>
  <c r="BK39" i="88"/>
  <c r="BL39" i="88"/>
  <c r="BM39" i="88"/>
  <c r="BN39" i="88"/>
  <c r="BJ40" i="88"/>
  <c r="BK40" i="88"/>
  <c r="BL40" i="88"/>
  <c r="BM40" i="88"/>
  <c r="BN40" i="88"/>
  <c r="BJ41" i="88"/>
  <c r="BK41" i="88"/>
  <c r="BL41" i="88"/>
  <c r="BM41" i="88"/>
  <c r="BN41" i="88"/>
  <c r="BJ42" i="88"/>
  <c r="BK42" i="88"/>
  <c r="BL42" i="88"/>
  <c r="BM42" i="88"/>
  <c r="BN42" i="88"/>
  <c r="BJ43" i="88"/>
  <c r="BK43" i="88"/>
  <c r="BL43" i="88"/>
  <c r="BM43" i="88"/>
  <c r="BN43" i="88"/>
  <c r="BJ44" i="88"/>
  <c r="BK44" i="88"/>
  <c r="BL44" i="88"/>
  <c r="BM44" i="88"/>
  <c r="BN44" i="88"/>
  <c r="BJ45" i="88"/>
  <c r="BK45" i="88"/>
  <c r="BL45" i="88"/>
  <c r="BM45" i="88"/>
  <c r="BN45" i="88"/>
  <c r="BJ46" i="88"/>
  <c r="BK46" i="88"/>
  <c r="BL46" i="88"/>
  <c r="BM46" i="88"/>
  <c r="BN46" i="88"/>
  <c r="BJ47" i="88"/>
  <c r="BK47" i="88"/>
  <c r="BL47" i="88"/>
  <c r="BM47" i="88"/>
  <c r="BN47" i="88"/>
  <c r="BJ48" i="88"/>
  <c r="BK48" i="88"/>
  <c r="BL48" i="88"/>
  <c r="BM48" i="88"/>
  <c r="BN48" i="88"/>
  <c r="BJ49" i="88"/>
  <c r="BK49" i="88"/>
  <c r="BL49" i="88"/>
  <c r="BM49" i="88"/>
  <c r="BN49" i="88"/>
  <c r="BJ50" i="88"/>
  <c r="BK50" i="88"/>
  <c r="BL50" i="88"/>
  <c r="BM50" i="88"/>
  <c r="BN50" i="88"/>
  <c r="BJ51" i="88"/>
  <c r="BK51" i="88"/>
  <c r="BL51" i="88"/>
  <c r="BM51" i="88"/>
  <c r="BN51" i="88"/>
  <c r="BJ52" i="88"/>
  <c r="BK52" i="88"/>
  <c r="BL52" i="88"/>
  <c r="BM52" i="88"/>
  <c r="BN52" i="88"/>
  <c r="BJ53" i="88"/>
  <c r="BK53" i="88"/>
  <c r="BL53" i="88"/>
  <c r="BM53" i="88"/>
  <c r="BN53" i="88"/>
  <c r="BJ54" i="88"/>
  <c r="BK54" i="88"/>
  <c r="BL54" i="88"/>
  <c r="BM54" i="88"/>
  <c r="BN54" i="88"/>
  <c r="BJ55" i="88"/>
  <c r="BK55" i="88"/>
  <c r="BL55" i="88"/>
  <c r="BM55" i="88"/>
  <c r="BN55" i="88"/>
  <c r="BJ56" i="88"/>
  <c r="BK56" i="88"/>
  <c r="BL56" i="88"/>
  <c r="BM56" i="88"/>
  <c r="BN56" i="88"/>
  <c r="BJ57" i="88"/>
  <c r="BK57" i="88"/>
  <c r="BL57" i="88"/>
  <c r="BM57" i="88"/>
  <c r="BN57" i="88"/>
  <c r="BJ58" i="88"/>
  <c r="BK58" i="88"/>
  <c r="BL58" i="88"/>
  <c r="BM58" i="88"/>
  <c r="BN58" i="88"/>
  <c r="BJ59" i="88"/>
  <c r="BK59" i="88"/>
  <c r="BL59" i="88"/>
  <c r="BM59" i="88"/>
  <c r="BN59" i="88"/>
  <c r="BJ60" i="88"/>
  <c r="BK60" i="88"/>
  <c r="BL60" i="88"/>
  <c r="BM60" i="88"/>
  <c r="BN60" i="88"/>
  <c r="BJ61" i="88"/>
  <c r="BK61" i="88"/>
  <c r="BL61" i="88"/>
  <c r="BM61" i="88"/>
  <c r="BN61" i="88"/>
  <c r="BJ62" i="88"/>
  <c r="BK62" i="88"/>
  <c r="BL62" i="88"/>
  <c r="BM62" i="88"/>
  <c r="BN62" i="88"/>
  <c r="BJ63" i="88"/>
  <c r="BK63" i="88"/>
  <c r="BL63" i="88"/>
  <c r="BM63" i="88"/>
  <c r="BN63" i="88"/>
  <c r="BJ64" i="88"/>
  <c r="BK64" i="88"/>
  <c r="BL64" i="88"/>
  <c r="BM64" i="88"/>
  <c r="BN64" i="88"/>
  <c r="BJ65" i="88"/>
  <c r="BK65" i="88"/>
  <c r="BL65" i="88"/>
  <c r="BM65" i="88"/>
  <c r="BN65" i="88"/>
  <c r="BJ66" i="88"/>
  <c r="BK66" i="88"/>
  <c r="BL66" i="88"/>
  <c r="BM66" i="88"/>
  <c r="BN66" i="88"/>
  <c r="BJ67" i="88"/>
  <c r="BK67" i="88"/>
  <c r="BL67" i="88"/>
  <c r="BM67" i="88"/>
  <c r="BN67" i="88"/>
  <c r="BJ68" i="88"/>
  <c r="BK68" i="88"/>
  <c r="BL68" i="88"/>
  <c r="BM68" i="88"/>
  <c r="BN68" i="88"/>
  <c r="BK5" i="88"/>
  <c r="BL5" i="88"/>
  <c r="BM5" i="88"/>
  <c r="BN5" i="88"/>
  <c r="BJ5" i="88"/>
  <c r="AX6" i="88"/>
  <c r="AY6" i="88"/>
  <c r="AZ6" i="88"/>
  <c r="BA6" i="88"/>
  <c r="BB6" i="88"/>
  <c r="AX7" i="88"/>
  <c r="AY7" i="88"/>
  <c r="AZ7" i="88"/>
  <c r="BA7" i="88"/>
  <c r="BB7" i="88"/>
  <c r="AX8" i="88"/>
  <c r="AY8" i="88"/>
  <c r="AZ8" i="88"/>
  <c r="BA8" i="88"/>
  <c r="BB8" i="88"/>
  <c r="AX9" i="88"/>
  <c r="AY9" i="88"/>
  <c r="AZ9" i="88"/>
  <c r="BA9" i="88"/>
  <c r="BB9" i="88"/>
  <c r="AX10" i="88"/>
  <c r="AY10" i="88"/>
  <c r="AZ10" i="88"/>
  <c r="BA10" i="88"/>
  <c r="BB10" i="88"/>
  <c r="AX11" i="88"/>
  <c r="AY11" i="88"/>
  <c r="AZ11" i="88"/>
  <c r="BA11" i="88"/>
  <c r="BB11" i="88"/>
  <c r="AX12" i="88"/>
  <c r="AY12" i="88"/>
  <c r="AZ12" i="88"/>
  <c r="BA12" i="88"/>
  <c r="BB12" i="88"/>
  <c r="AX13" i="88"/>
  <c r="AY13" i="88"/>
  <c r="AZ13" i="88"/>
  <c r="BA13" i="88"/>
  <c r="BB13" i="88"/>
  <c r="AX14" i="88"/>
  <c r="AY14" i="88"/>
  <c r="AZ14" i="88"/>
  <c r="BA14" i="88"/>
  <c r="BB14" i="88"/>
  <c r="AX15" i="88"/>
  <c r="AY15" i="88"/>
  <c r="AZ15" i="88"/>
  <c r="BA15" i="88"/>
  <c r="BB15" i="88"/>
  <c r="AX16" i="88"/>
  <c r="AY16" i="88"/>
  <c r="AZ16" i="88"/>
  <c r="BA16" i="88"/>
  <c r="BB16" i="88"/>
  <c r="AX17" i="88"/>
  <c r="AY17" i="88"/>
  <c r="AZ17" i="88"/>
  <c r="BA17" i="88"/>
  <c r="BB17" i="88"/>
  <c r="AX18" i="88"/>
  <c r="AY18" i="88"/>
  <c r="AZ18" i="88"/>
  <c r="BA18" i="88"/>
  <c r="BB18" i="88"/>
  <c r="AX19" i="88"/>
  <c r="AY19" i="88"/>
  <c r="AZ19" i="88"/>
  <c r="BA19" i="88"/>
  <c r="BB19" i="88"/>
  <c r="AX20" i="88"/>
  <c r="AY20" i="88"/>
  <c r="AZ20" i="88"/>
  <c r="BA20" i="88"/>
  <c r="BB20" i="88"/>
  <c r="AX21" i="88"/>
  <c r="AY21" i="88"/>
  <c r="AZ21" i="88"/>
  <c r="BA21" i="88"/>
  <c r="BB21" i="88"/>
  <c r="AX22" i="88"/>
  <c r="AY22" i="88"/>
  <c r="AZ22" i="88"/>
  <c r="BA22" i="88"/>
  <c r="BB22" i="88"/>
  <c r="AX23" i="88"/>
  <c r="AY23" i="88"/>
  <c r="AZ23" i="88"/>
  <c r="BA23" i="88"/>
  <c r="BB23" i="88"/>
  <c r="AX24" i="88"/>
  <c r="AY24" i="88"/>
  <c r="AZ24" i="88"/>
  <c r="BA24" i="88"/>
  <c r="BB24" i="88"/>
  <c r="AX25" i="88"/>
  <c r="AY25" i="88"/>
  <c r="AZ25" i="88"/>
  <c r="BA25" i="88"/>
  <c r="BB25" i="88"/>
  <c r="AX26" i="88"/>
  <c r="AY26" i="88"/>
  <c r="AZ26" i="88"/>
  <c r="BA26" i="88"/>
  <c r="BB26" i="88"/>
  <c r="AX27" i="88"/>
  <c r="AY27" i="88"/>
  <c r="AZ27" i="88"/>
  <c r="BA27" i="88"/>
  <c r="BB27" i="88"/>
  <c r="AX28" i="88"/>
  <c r="AY28" i="88"/>
  <c r="AZ28" i="88"/>
  <c r="BA28" i="88"/>
  <c r="BB28" i="88"/>
  <c r="AX29" i="88"/>
  <c r="AY29" i="88"/>
  <c r="AZ29" i="88"/>
  <c r="BA29" i="88"/>
  <c r="BB29" i="88"/>
  <c r="AX30" i="88"/>
  <c r="AY30" i="88"/>
  <c r="AZ30" i="88"/>
  <c r="BA30" i="88"/>
  <c r="BB30" i="88"/>
  <c r="AX31" i="88"/>
  <c r="AY31" i="88"/>
  <c r="AZ31" i="88"/>
  <c r="BA31" i="88"/>
  <c r="BB31" i="88"/>
  <c r="AX32" i="88"/>
  <c r="AY32" i="88"/>
  <c r="AZ32" i="88"/>
  <c r="BA32" i="88"/>
  <c r="BB32" i="88"/>
  <c r="AX33" i="88"/>
  <c r="AY33" i="88"/>
  <c r="AZ33" i="88"/>
  <c r="BA33" i="88"/>
  <c r="BB33" i="88"/>
  <c r="AX34" i="88"/>
  <c r="AY34" i="88"/>
  <c r="AZ34" i="88"/>
  <c r="BA34" i="88"/>
  <c r="BB34" i="88"/>
  <c r="AX35" i="88"/>
  <c r="AY35" i="88"/>
  <c r="AZ35" i="88"/>
  <c r="BA35" i="88"/>
  <c r="BB35" i="88"/>
  <c r="AX36" i="88"/>
  <c r="AY36" i="88"/>
  <c r="AZ36" i="88"/>
  <c r="BA36" i="88"/>
  <c r="BB36" i="88"/>
  <c r="AX37" i="88"/>
  <c r="AY37" i="88"/>
  <c r="AZ37" i="88"/>
  <c r="BA37" i="88"/>
  <c r="BB37" i="88"/>
  <c r="AX38" i="88"/>
  <c r="AY38" i="88"/>
  <c r="AZ38" i="88"/>
  <c r="BA38" i="88"/>
  <c r="BB38" i="88"/>
  <c r="AX39" i="88"/>
  <c r="AY39" i="88"/>
  <c r="AZ39" i="88"/>
  <c r="BA39" i="88"/>
  <c r="BB39" i="88"/>
  <c r="AX40" i="88"/>
  <c r="AY40" i="88"/>
  <c r="AZ40" i="88"/>
  <c r="BA40" i="88"/>
  <c r="BB40" i="88"/>
  <c r="AX41" i="88"/>
  <c r="AY41" i="88"/>
  <c r="AZ41" i="88"/>
  <c r="BA41" i="88"/>
  <c r="BB41" i="88"/>
  <c r="AX42" i="88"/>
  <c r="AY42" i="88"/>
  <c r="AZ42" i="88"/>
  <c r="BA42" i="88"/>
  <c r="BB42" i="88"/>
  <c r="AX43" i="88"/>
  <c r="AY43" i="88"/>
  <c r="AZ43" i="88"/>
  <c r="BA43" i="88"/>
  <c r="BB43" i="88"/>
  <c r="AX44" i="88"/>
  <c r="AY44" i="88"/>
  <c r="AZ44" i="88"/>
  <c r="BA44" i="88"/>
  <c r="BB44" i="88"/>
  <c r="AX45" i="88"/>
  <c r="AY45" i="88"/>
  <c r="AZ45" i="88"/>
  <c r="BA45" i="88"/>
  <c r="BB45" i="88"/>
  <c r="AX46" i="88"/>
  <c r="AY46" i="88"/>
  <c r="AZ46" i="88"/>
  <c r="BA46" i="88"/>
  <c r="BB46" i="88"/>
  <c r="AX47" i="88"/>
  <c r="AY47" i="88"/>
  <c r="AZ47" i="88"/>
  <c r="BA47" i="88"/>
  <c r="BB47" i="88"/>
  <c r="AX48" i="88"/>
  <c r="AY48" i="88"/>
  <c r="AZ48" i="88"/>
  <c r="BA48" i="88"/>
  <c r="BB48" i="88"/>
  <c r="AX49" i="88"/>
  <c r="AY49" i="88"/>
  <c r="AZ49" i="88"/>
  <c r="BA49" i="88"/>
  <c r="BB49" i="88"/>
  <c r="AX50" i="88"/>
  <c r="AY50" i="88"/>
  <c r="AZ50" i="88"/>
  <c r="BA50" i="88"/>
  <c r="BB50" i="88"/>
  <c r="AX51" i="88"/>
  <c r="AY51" i="88"/>
  <c r="AZ51" i="88"/>
  <c r="BA51" i="88"/>
  <c r="BB51" i="88"/>
  <c r="AX52" i="88"/>
  <c r="AY52" i="88"/>
  <c r="AZ52" i="88"/>
  <c r="BA52" i="88"/>
  <c r="BB52" i="88"/>
  <c r="AX53" i="88"/>
  <c r="AY53" i="88"/>
  <c r="AZ53" i="88"/>
  <c r="BA53" i="88"/>
  <c r="BB53" i="88"/>
  <c r="AX54" i="88"/>
  <c r="AY54" i="88"/>
  <c r="AZ54" i="88"/>
  <c r="BA54" i="88"/>
  <c r="BB54" i="88"/>
  <c r="AX55" i="88"/>
  <c r="AY55" i="88"/>
  <c r="AZ55" i="88"/>
  <c r="BA55" i="88"/>
  <c r="BB55" i="88"/>
  <c r="AX56" i="88"/>
  <c r="AY56" i="88"/>
  <c r="AZ56" i="88"/>
  <c r="BA56" i="88"/>
  <c r="BB56" i="88"/>
  <c r="AX57" i="88"/>
  <c r="AY57" i="88"/>
  <c r="AZ57" i="88"/>
  <c r="BA57" i="88"/>
  <c r="BB57" i="88"/>
  <c r="AX58" i="88"/>
  <c r="AY58" i="88"/>
  <c r="AZ58" i="88"/>
  <c r="BA58" i="88"/>
  <c r="BB58" i="88"/>
  <c r="AX59" i="88"/>
  <c r="AY59" i="88"/>
  <c r="AZ59" i="88"/>
  <c r="BA59" i="88"/>
  <c r="BB59" i="88"/>
  <c r="AX60" i="88"/>
  <c r="AY60" i="88"/>
  <c r="AZ60" i="88"/>
  <c r="BA60" i="88"/>
  <c r="BB60" i="88"/>
  <c r="AX61" i="88"/>
  <c r="AY61" i="88"/>
  <c r="AZ61" i="88"/>
  <c r="BA61" i="88"/>
  <c r="BB61" i="88"/>
  <c r="AX62" i="88"/>
  <c r="AY62" i="88"/>
  <c r="AZ62" i="88"/>
  <c r="BA62" i="88"/>
  <c r="BB62" i="88"/>
  <c r="AX63" i="88"/>
  <c r="AY63" i="88"/>
  <c r="AZ63" i="88"/>
  <c r="BA63" i="88"/>
  <c r="BB63" i="88"/>
  <c r="AX64" i="88"/>
  <c r="AY64" i="88"/>
  <c r="AZ64" i="88"/>
  <c r="BA64" i="88"/>
  <c r="BB64" i="88"/>
  <c r="AY5" i="88"/>
  <c r="AZ5" i="88"/>
  <c r="BA5" i="88"/>
  <c r="BB5" i="88"/>
  <c r="AX5" i="88"/>
  <c r="AM6" i="88"/>
  <c r="AN6" i="88"/>
  <c r="AO6" i="88"/>
  <c r="AP6" i="88"/>
  <c r="AM7" i="88"/>
  <c r="AN7" i="88"/>
  <c r="AO7" i="88"/>
  <c r="AP7" i="88"/>
  <c r="AM8" i="88"/>
  <c r="AN8" i="88"/>
  <c r="AO8" i="88"/>
  <c r="AP8" i="88"/>
  <c r="AM9" i="88"/>
  <c r="AN9" i="88"/>
  <c r="AO9" i="88"/>
  <c r="AP9" i="88"/>
  <c r="AM10" i="88"/>
  <c r="AN10" i="88"/>
  <c r="AO10" i="88"/>
  <c r="AP10" i="88"/>
  <c r="AM11" i="88"/>
  <c r="AN11" i="88"/>
  <c r="AO11" i="88"/>
  <c r="AP11" i="88"/>
  <c r="AM12" i="88"/>
  <c r="AN12" i="88"/>
  <c r="AO12" i="88"/>
  <c r="AP12" i="88"/>
  <c r="AM13" i="88"/>
  <c r="AN13" i="88"/>
  <c r="AO13" i="88"/>
  <c r="AP13" i="88"/>
  <c r="AM14" i="88"/>
  <c r="AN14" i="88"/>
  <c r="AO14" i="88"/>
  <c r="AP14" i="88"/>
  <c r="AM15" i="88"/>
  <c r="AN15" i="88"/>
  <c r="AO15" i="88"/>
  <c r="AP15" i="88"/>
  <c r="AM16" i="88"/>
  <c r="AN16" i="88"/>
  <c r="AO16" i="88"/>
  <c r="AP16" i="88"/>
  <c r="AM17" i="88"/>
  <c r="AN17" i="88"/>
  <c r="AO17" i="88"/>
  <c r="AP17" i="88"/>
  <c r="AM18" i="88"/>
  <c r="AN18" i="88"/>
  <c r="AO18" i="88"/>
  <c r="AP18" i="88"/>
  <c r="AM19" i="88"/>
  <c r="AN19" i="88"/>
  <c r="AO19" i="88"/>
  <c r="AP19" i="88"/>
  <c r="AM20" i="88"/>
  <c r="AN20" i="88"/>
  <c r="AO20" i="88"/>
  <c r="AP20" i="88"/>
  <c r="AM21" i="88"/>
  <c r="AN21" i="88"/>
  <c r="AO21" i="88"/>
  <c r="AP21" i="88"/>
  <c r="AM22" i="88"/>
  <c r="AN22" i="88"/>
  <c r="AO22" i="88"/>
  <c r="AP22" i="88"/>
  <c r="AM23" i="88"/>
  <c r="AN23" i="88"/>
  <c r="AO23" i="88"/>
  <c r="AP23" i="88"/>
  <c r="AM24" i="88"/>
  <c r="AN24" i="88"/>
  <c r="AO24" i="88"/>
  <c r="AP24" i="88"/>
  <c r="AM25" i="88"/>
  <c r="AN25" i="88"/>
  <c r="AO25" i="88"/>
  <c r="AP25" i="88"/>
  <c r="AM26" i="88"/>
  <c r="AN26" i="88"/>
  <c r="AO26" i="88"/>
  <c r="AP26" i="88"/>
  <c r="AM27" i="88"/>
  <c r="AN27" i="88"/>
  <c r="AO27" i="88"/>
  <c r="AP27" i="88"/>
  <c r="AM28" i="88"/>
  <c r="AN28" i="88"/>
  <c r="AO28" i="88"/>
  <c r="AP28" i="88"/>
  <c r="AM29" i="88"/>
  <c r="AN29" i="88"/>
  <c r="AO29" i="88"/>
  <c r="AP29" i="88"/>
  <c r="AM30" i="88"/>
  <c r="AN30" i="88"/>
  <c r="AO30" i="88"/>
  <c r="AP30" i="88"/>
  <c r="AM31" i="88"/>
  <c r="AN31" i="88"/>
  <c r="AO31" i="88"/>
  <c r="AP31" i="88"/>
  <c r="AM32" i="88"/>
  <c r="AN32" i="88"/>
  <c r="AO32" i="88"/>
  <c r="AP32" i="88"/>
  <c r="AM33" i="88"/>
  <c r="AN33" i="88"/>
  <c r="AO33" i="88"/>
  <c r="AP33" i="88"/>
  <c r="AM34" i="88"/>
  <c r="AN34" i="88"/>
  <c r="AO34" i="88"/>
  <c r="AP34" i="88"/>
  <c r="AM35" i="88"/>
  <c r="AN35" i="88"/>
  <c r="AO35" i="88"/>
  <c r="AP35" i="88"/>
  <c r="AM36" i="88"/>
  <c r="AN36" i="88"/>
  <c r="AO36" i="88"/>
  <c r="AP36" i="88"/>
  <c r="AM37" i="88"/>
  <c r="AN37" i="88"/>
  <c r="AO37" i="88"/>
  <c r="AP37" i="88"/>
  <c r="AM38" i="88"/>
  <c r="AN38" i="88"/>
  <c r="AO38" i="88"/>
  <c r="AP38" i="88"/>
  <c r="AM39" i="88"/>
  <c r="AN39" i="88"/>
  <c r="AO39" i="88"/>
  <c r="AP39" i="88"/>
  <c r="AM40" i="88"/>
  <c r="AN40" i="88"/>
  <c r="AO40" i="88"/>
  <c r="AP40" i="88"/>
  <c r="AM41" i="88"/>
  <c r="AN41" i="88"/>
  <c r="AO41" i="88"/>
  <c r="AP41" i="88"/>
  <c r="AM42" i="88"/>
  <c r="AN42" i="88"/>
  <c r="AO42" i="88"/>
  <c r="AP42" i="88"/>
  <c r="AM43" i="88"/>
  <c r="AN43" i="88"/>
  <c r="AO43" i="88"/>
  <c r="AP43" i="88"/>
  <c r="AM44" i="88"/>
  <c r="AN44" i="88"/>
  <c r="AO44" i="88"/>
  <c r="AP44" i="88"/>
  <c r="AM45" i="88"/>
  <c r="AN45" i="88"/>
  <c r="AO45" i="88"/>
  <c r="AP45" i="88"/>
  <c r="AM46" i="88"/>
  <c r="AN46" i="88"/>
  <c r="AO46" i="88"/>
  <c r="AP46" i="88"/>
  <c r="AM47" i="88"/>
  <c r="AN47" i="88"/>
  <c r="AO47" i="88"/>
  <c r="AP47" i="88"/>
  <c r="AM48" i="88"/>
  <c r="AN48" i="88"/>
  <c r="AO48" i="88"/>
  <c r="AP48" i="88"/>
  <c r="AM49" i="88"/>
  <c r="AN49" i="88"/>
  <c r="AO49" i="88"/>
  <c r="AP49" i="88"/>
  <c r="AM50" i="88"/>
  <c r="AN50" i="88"/>
  <c r="AO50" i="88"/>
  <c r="AP50" i="88"/>
  <c r="AM51" i="88"/>
  <c r="AN51" i="88"/>
  <c r="AO51" i="88"/>
  <c r="AP51" i="88"/>
  <c r="AM52" i="88"/>
  <c r="AN52" i="88"/>
  <c r="AO52" i="88"/>
  <c r="AP52" i="88"/>
  <c r="AM53" i="88"/>
  <c r="AN53" i="88"/>
  <c r="AO53" i="88"/>
  <c r="AP53" i="88"/>
  <c r="AM54" i="88"/>
  <c r="AN54" i="88"/>
  <c r="AO54" i="88"/>
  <c r="AP54" i="88"/>
  <c r="AM55" i="88"/>
  <c r="AN55" i="88"/>
  <c r="AO55" i="88"/>
  <c r="AP55" i="88"/>
  <c r="AM56" i="88"/>
  <c r="AN56" i="88"/>
  <c r="AO56" i="88"/>
  <c r="AP56" i="88"/>
  <c r="AM57" i="88"/>
  <c r="AN57" i="88"/>
  <c r="AO57" i="88"/>
  <c r="AP57" i="88"/>
  <c r="AM58" i="88"/>
  <c r="AN58" i="88"/>
  <c r="AO58" i="88"/>
  <c r="AP58" i="88"/>
  <c r="AM59" i="88"/>
  <c r="AN59" i="88"/>
  <c r="AO59" i="88"/>
  <c r="AP59" i="88"/>
  <c r="AM60" i="88"/>
  <c r="AN60" i="88"/>
  <c r="AO60" i="88"/>
  <c r="AP60" i="88"/>
  <c r="AM61" i="88"/>
  <c r="AN61" i="88"/>
  <c r="AO61" i="88"/>
  <c r="AP61" i="88"/>
  <c r="AM62" i="88"/>
  <c r="AN62" i="88"/>
  <c r="AO62" i="88"/>
  <c r="AP62" i="88"/>
  <c r="AM63" i="88"/>
  <c r="AN63" i="88"/>
  <c r="AO63" i="88"/>
  <c r="AP63" i="88"/>
  <c r="AM64" i="88"/>
  <c r="AN64" i="88"/>
  <c r="AO64" i="88"/>
  <c r="AP64" i="88"/>
  <c r="AN5" i="88"/>
  <c r="AO5" i="88"/>
  <c r="AP5" i="88"/>
  <c r="AM5" i="88"/>
  <c r="AL6" i="88"/>
  <c r="AL7" i="88"/>
  <c r="AL8" i="88"/>
  <c r="AL9" i="88"/>
  <c r="AL10" i="88"/>
  <c r="AL11" i="88"/>
  <c r="AL12" i="88"/>
  <c r="AL13" i="88"/>
  <c r="AL14" i="88"/>
  <c r="AL15" i="88"/>
  <c r="AL16" i="88"/>
  <c r="AL17" i="88"/>
  <c r="AL18" i="88"/>
  <c r="AL19" i="88"/>
  <c r="AL20" i="88"/>
  <c r="AL21" i="88"/>
  <c r="AL22" i="88"/>
  <c r="AL23" i="88"/>
  <c r="AL24" i="88"/>
  <c r="AL25" i="88"/>
  <c r="AL26" i="88"/>
  <c r="AL27" i="88"/>
  <c r="AL28" i="88"/>
  <c r="AL29" i="88"/>
  <c r="AL30" i="88"/>
  <c r="AL31" i="88"/>
  <c r="AL32" i="88"/>
  <c r="AL33" i="88"/>
  <c r="AL34" i="88"/>
  <c r="AL35" i="88"/>
  <c r="AL36" i="88"/>
  <c r="AL37" i="88"/>
  <c r="AL38" i="88"/>
  <c r="AL39" i="88"/>
  <c r="AL40" i="88"/>
  <c r="AL41" i="88"/>
  <c r="AL42" i="88"/>
  <c r="AL43" i="88"/>
  <c r="AL44" i="88"/>
  <c r="AL45" i="88"/>
  <c r="AL46" i="88"/>
  <c r="AL47" i="88"/>
  <c r="AL48" i="88"/>
  <c r="AL49" i="88"/>
  <c r="AL50" i="88"/>
  <c r="AL51" i="88"/>
  <c r="AL52" i="88"/>
  <c r="AL53" i="88"/>
  <c r="AL54" i="88"/>
  <c r="AL55" i="88"/>
  <c r="AL56" i="88"/>
  <c r="AL57" i="88"/>
  <c r="AL58" i="88"/>
  <c r="AL59" i="88"/>
  <c r="AL60" i="88"/>
  <c r="AL61" i="88"/>
  <c r="AL62" i="88"/>
  <c r="AL63" i="88"/>
  <c r="AL64" i="88"/>
  <c r="AL5" i="88"/>
  <c r="AL65" i="88"/>
  <c r="AM65" i="88"/>
  <c r="AN65" i="88"/>
  <c r="AO65" i="88"/>
  <c r="AP65" i="88"/>
  <c r="AL66" i="88"/>
  <c r="AM66" i="88"/>
  <c r="AN66" i="88"/>
  <c r="AO66" i="88"/>
  <c r="AP66" i="88"/>
  <c r="AL67" i="88"/>
  <c r="AM67" i="88"/>
  <c r="AN67" i="88"/>
  <c r="AO67" i="88"/>
  <c r="AP67" i="88"/>
  <c r="AL68" i="88"/>
  <c r="AM68" i="88"/>
  <c r="AN68" i="88"/>
  <c r="AO68" i="88"/>
  <c r="AP68" i="88"/>
  <c r="AX65" i="88"/>
  <c r="AY65" i="88"/>
  <c r="AZ65" i="88"/>
  <c r="BA65" i="88"/>
  <c r="BB65" i="88"/>
  <c r="AX66" i="88"/>
  <c r="AY66" i="88"/>
  <c r="AZ66" i="88"/>
  <c r="BA66" i="88"/>
  <c r="BB66" i="88"/>
  <c r="AX67" i="88"/>
  <c r="AY67" i="88"/>
  <c r="AZ67" i="88"/>
  <c r="BA67" i="88"/>
  <c r="BB67" i="88"/>
  <c r="AX68" i="88"/>
  <c r="AY68" i="88"/>
  <c r="AZ68" i="88"/>
  <c r="BA68" i="88"/>
  <c r="BB68" i="88"/>
  <c r="Z14" i="88"/>
  <c r="CA49" i="88"/>
  <c r="CA5" i="88"/>
  <c r="BO57" i="88"/>
  <c r="BO5" i="88"/>
  <c r="D2" i="97"/>
  <c r="R2" i="97" s="1"/>
  <c r="E2" i="97"/>
  <c r="S2" i="97" s="1"/>
  <c r="F2" i="97"/>
  <c r="T2" i="97" s="1"/>
  <c r="G2" i="97"/>
  <c r="U2" i="97" s="1"/>
  <c r="H2" i="97"/>
  <c r="V2" i="97" s="1"/>
  <c r="I2" i="97"/>
  <c r="W2" i="97" s="1"/>
  <c r="J2" i="97"/>
  <c r="X2" i="97" s="1"/>
  <c r="K2" i="97"/>
  <c r="Y2" i="97" s="1"/>
  <c r="L2" i="97"/>
  <c r="Z2" i="97" s="1"/>
  <c r="M2" i="97"/>
  <c r="AA2" i="97" s="1"/>
  <c r="N2" i="97"/>
  <c r="AB2" i="97" s="1"/>
  <c r="C2" i="97"/>
  <c r="Q2" i="97" s="1"/>
  <c r="B4" i="97"/>
  <c r="B5" i="97"/>
  <c r="B6" i="97"/>
  <c r="B7" i="97"/>
  <c r="B8" i="97"/>
  <c r="B9" i="97"/>
  <c r="B10" i="97"/>
  <c r="B11" i="97"/>
  <c r="B3" i="97"/>
  <c r="JJ13" i="95"/>
  <c r="JK13" i="95"/>
  <c r="JL13" i="95"/>
  <c r="JM13" i="95"/>
  <c r="JN13" i="95"/>
  <c r="JO13" i="95"/>
  <c r="JP13" i="95"/>
  <c r="JQ13" i="95"/>
  <c r="JR13" i="95"/>
  <c r="JS13" i="95"/>
  <c r="JT13" i="95"/>
  <c r="JU13" i="95"/>
  <c r="JV13" i="95"/>
  <c r="JW13" i="95"/>
  <c r="JX13" i="95"/>
  <c r="JY13" i="95"/>
  <c r="JZ13" i="95"/>
  <c r="KA13" i="95"/>
  <c r="KB13" i="95"/>
  <c r="KC13" i="95"/>
  <c r="KD13" i="95"/>
  <c r="KE13" i="95"/>
  <c r="KF13" i="95"/>
  <c r="KG13" i="95"/>
  <c r="KH13" i="95"/>
  <c r="KI13" i="95"/>
  <c r="KJ13" i="95"/>
  <c r="KK13" i="95"/>
  <c r="KL13" i="95"/>
  <c r="KM13" i="95"/>
  <c r="KN13" i="95"/>
  <c r="KO13" i="95"/>
  <c r="KP13" i="95"/>
  <c r="KQ13" i="95"/>
  <c r="KR13" i="95"/>
  <c r="KS13" i="95"/>
  <c r="KT13" i="95"/>
  <c r="KU13" i="95"/>
  <c r="KV13" i="95"/>
  <c r="KW13" i="95"/>
  <c r="KX13" i="95"/>
  <c r="KY13" i="95"/>
  <c r="KZ13" i="95"/>
  <c r="LA13" i="95"/>
  <c r="JJ14" i="95"/>
  <c r="JK14" i="95"/>
  <c r="JL14" i="95"/>
  <c r="JM14" i="95"/>
  <c r="JN14" i="95"/>
  <c r="JO14" i="95"/>
  <c r="JP14" i="95"/>
  <c r="JQ14" i="95"/>
  <c r="JR14" i="95"/>
  <c r="JS14" i="95"/>
  <c r="JT14" i="95"/>
  <c r="JU14" i="95"/>
  <c r="JV14" i="95"/>
  <c r="JW14" i="95"/>
  <c r="JX14" i="95"/>
  <c r="JY14" i="95"/>
  <c r="JZ14" i="95"/>
  <c r="KA14" i="95"/>
  <c r="KB14" i="95"/>
  <c r="KC14" i="95"/>
  <c r="KD14" i="95"/>
  <c r="KE14" i="95"/>
  <c r="KF14" i="95"/>
  <c r="KG14" i="95"/>
  <c r="KH14" i="95"/>
  <c r="KI14" i="95"/>
  <c r="KJ14" i="95"/>
  <c r="KK14" i="95"/>
  <c r="KL14" i="95"/>
  <c r="KM14" i="95"/>
  <c r="KN14" i="95"/>
  <c r="KO14" i="95"/>
  <c r="KP14" i="95"/>
  <c r="KQ14" i="95"/>
  <c r="KR14" i="95"/>
  <c r="KS14" i="95"/>
  <c r="KT14" i="95"/>
  <c r="KU14" i="95"/>
  <c r="KV14" i="95"/>
  <c r="KW14" i="95"/>
  <c r="KX14" i="95"/>
  <c r="KY14" i="95"/>
  <c r="KZ14" i="95"/>
  <c r="LA14" i="95"/>
  <c r="JJ15" i="95"/>
  <c r="JK15" i="95"/>
  <c r="JL15" i="95"/>
  <c r="JM15" i="95"/>
  <c r="JN15" i="95"/>
  <c r="JO15" i="95"/>
  <c r="JP15" i="95"/>
  <c r="JQ15" i="95"/>
  <c r="JR15" i="95"/>
  <c r="JS15" i="95"/>
  <c r="JT15" i="95"/>
  <c r="JU15" i="95"/>
  <c r="JV15" i="95"/>
  <c r="JW15" i="95"/>
  <c r="JX15" i="95"/>
  <c r="JY15" i="95"/>
  <c r="JZ15" i="95"/>
  <c r="KA15" i="95"/>
  <c r="KB15" i="95"/>
  <c r="KC15" i="95"/>
  <c r="KD15" i="95"/>
  <c r="KE15" i="95"/>
  <c r="KF15" i="95"/>
  <c r="KG15" i="95"/>
  <c r="KH15" i="95"/>
  <c r="KI15" i="95"/>
  <c r="KJ15" i="95"/>
  <c r="KK15" i="95"/>
  <c r="KL15" i="95"/>
  <c r="KM15" i="95"/>
  <c r="KN15" i="95"/>
  <c r="KO15" i="95"/>
  <c r="KP15" i="95"/>
  <c r="KQ15" i="95"/>
  <c r="KR15" i="95"/>
  <c r="KS15" i="95"/>
  <c r="KT15" i="95"/>
  <c r="KU15" i="95"/>
  <c r="KV15" i="95"/>
  <c r="KW15" i="95"/>
  <c r="KX15" i="95"/>
  <c r="KY15" i="95"/>
  <c r="KZ15" i="95"/>
  <c r="LA15" i="95"/>
  <c r="JJ16" i="95"/>
  <c r="JK16" i="95"/>
  <c r="JL16" i="95"/>
  <c r="JM16" i="95"/>
  <c r="JN16" i="95"/>
  <c r="JO16" i="95"/>
  <c r="JP16" i="95"/>
  <c r="JQ16" i="95"/>
  <c r="JR16" i="95"/>
  <c r="JS16" i="95"/>
  <c r="JT16" i="95"/>
  <c r="JU16" i="95"/>
  <c r="JV16" i="95"/>
  <c r="JW16" i="95"/>
  <c r="JX16" i="95"/>
  <c r="JY16" i="95"/>
  <c r="JZ16" i="95"/>
  <c r="KA16" i="95"/>
  <c r="KB16" i="95"/>
  <c r="KC16" i="95"/>
  <c r="KD16" i="95"/>
  <c r="KE16" i="95"/>
  <c r="KF16" i="95"/>
  <c r="KG16" i="95"/>
  <c r="KH16" i="95"/>
  <c r="KI16" i="95"/>
  <c r="KJ16" i="95"/>
  <c r="KK16" i="95"/>
  <c r="KL16" i="95"/>
  <c r="KM16" i="95"/>
  <c r="KN16" i="95"/>
  <c r="KO16" i="95"/>
  <c r="KP16" i="95"/>
  <c r="KQ16" i="95"/>
  <c r="KR16" i="95"/>
  <c r="KS16" i="95"/>
  <c r="KT16" i="95"/>
  <c r="KU16" i="95"/>
  <c r="KV16" i="95"/>
  <c r="KW16" i="95"/>
  <c r="KX16" i="95"/>
  <c r="KY16" i="95"/>
  <c r="KZ16" i="95"/>
  <c r="LA16" i="95"/>
  <c r="JJ17" i="95"/>
  <c r="JK17" i="95"/>
  <c r="JL17" i="95"/>
  <c r="JM17" i="95"/>
  <c r="JN17" i="95"/>
  <c r="JO17" i="95"/>
  <c r="JP17" i="95"/>
  <c r="JQ17" i="95"/>
  <c r="JR17" i="95"/>
  <c r="JS17" i="95"/>
  <c r="JT17" i="95"/>
  <c r="JU17" i="95"/>
  <c r="JV17" i="95"/>
  <c r="JW17" i="95"/>
  <c r="JX17" i="95"/>
  <c r="JY17" i="95"/>
  <c r="JZ17" i="95"/>
  <c r="KA17" i="95"/>
  <c r="KB17" i="95"/>
  <c r="KC17" i="95"/>
  <c r="KD17" i="95"/>
  <c r="KE17" i="95"/>
  <c r="KF17" i="95"/>
  <c r="KG17" i="95"/>
  <c r="KH17" i="95"/>
  <c r="KI17" i="95"/>
  <c r="KJ17" i="95"/>
  <c r="KK17" i="95"/>
  <c r="KL17" i="95"/>
  <c r="KM17" i="95"/>
  <c r="KN17" i="95"/>
  <c r="KO17" i="95"/>
  <c r="KP17" i="95"/>
  <c r="KQ17" i="95"/>
  <c r="KR17" i="95"/>
  <c r="KS17" i="95"/>
  <c r="KT17" i="95"/>
  <c r="KU17" i="95"/>
  <c r="KV17" i="95"/>
  <c r="KW17" i="95"/>
  <c r="KX17" i="95"/>
  <c r="KY17" i="95"/>
  <c r="KZ17" i="95"/>
  <c r="LA17" i="95"/>
  <c r="JJ18" i="95"/>
  <c r="JK18" i="95"/>
  <c r="JL18" i="95"/>
  <c r="JM18" i="95"/>
  <c r="JN18" i="95"/>
  <c r="JO18" i="95"/>
  <c r="JP18" i="95"/>
  <c r="JQ18" i="95"/>
  <c r="JR18" i="95"/>
  <c r="JS18" i="95"/>
  <c r="JT18" i="95"/>
  <c r="JU18" i="95"/>
  <c r="JV18" i="95"/>
  <c r="JW18" i="95"/>
  <c r="JX18" i="95"/>
  <c r="JY18" i="95"/>
  <c r="JZ18" i="95"/>
  <c r="KA18" i="95"/>
  <c r="KB18" i="95"/>
  <c r="KC18" i="95"/>
  <c r="KD18" i="95"/>
  <c r="KE18" i="95"/>
  <c r="KF18" i="95"/>
  <c r="KG18" i="95"/>
  <c r="KH18" i="95"/>
  <c r="KI18" i="95"/>
  <c r="KJ18" i="95"/>
  <c r="KK18" i="95"/>
  <c r="KL18" i="95"/>
  <c r="KM18" i="95"/>
  <c r="KN18" i="95"/>
  <c r="KO18" i="95"/>
  <c r="KP18" i="95"/>
  <c r="KQ18" i="95"/>
  <c r="KR18" i="95"/>
  <c r="KS18" i="95"/>
  <c r="KT18" i="95"/>
  <c r="KU18" i="95"/>
  <c r="KV18" i="95"/>
  <c r="KW18" i="95"/>
  <c r="KX18" i="95"/>
  <c r="KY18" i="95"/>
  <c r="KZ18" i="95"/>
  <c r="LA18" i="95"/>
  <c r="JJ19" i="95"/>
  <c r="JK19" i="95"/>
  <c r="JL19" i="95"/>
  <c r="JM19" i="95"/>
  <c r="JN19" i="95"/>
  <c r="JO19" i="95"/>
  <c r="JP19" i="95"/>
  <c r="JQ19" i="95"/>
  <c r="JR19" i="95"/>
  <c r="JS19" i="95"/>
  <c r="JT19" i="95"/>
  <c r="JU19" i="95"/>
  <c r="JV19" i="95"/>
  <c r="JW19" i="95"/>
  <c r="JX19" i="95"/>
  <c r="JY19" i="95"/>
  <c r="JZ19" i="95"/>
  <c r="KA19" i="95"/>
  <c r="KB19" i="95"/>
  <c r="KC19" i="95"/>
  <c r="KD19" i="95"/>
  <c r="KE19" i="95"/>
  <c r="KF19" i="95"/>
  <c r="KG19" i="95"/>
  <c r="KH19" i="95"/>
  <c r="KI19" i="95"/>
  <c r="KJ19" i="95"/>
  <c r="KK19" i="95"/>
  <c r="KL19" i="95"/>
  <c r="KM19" i="95"/>
  <c r="KN19" i="95"/>
  <c r="KO19" i="95"/>
  <c r="KP19" i="95"/>
  <c r="KQ19" i="95"/>
  <c r="KR19" i="95"/>
  <c r="KS19" i="95"/>
  <c r="KT19" i="95"/>
  <c r="KU19" i="95"/>
  <c r="KV19" i="95"/>
  <c r="KW19" i="95"/>
  <c r="KX19" i="95"/>
  <c r="KY19" i="95"/>
  <c r="KZ19" i="95"/>
  <c r="LA19" i="95"/>
  <c r="JJ20" i="95"/>
  <c r="JK20" i="95"/>
  <c r="JL20" i="95"/>
  <c r="JM20" i="95"/>
  <c r="JN20" i="95"/>
  <c r="JO20" i="95"/>
  <c r="JP20" i="95"/>
  <c r="JQ20" i="95"/>
  <c r="JR20" i="95"/>
  <c r="JS20" i="95"/>
  <c r="JT20" i="95"/>
  <c r="JU20" i="95"/>
  <c r="JV20" i="95"/>
  <c r="JW20" i="95"/>
  <c r="JX20" i="95"/>
  <c r="JY20" i="95"/>
  <c r="JZ20" i="95"/>
  <c r="KA20" i="95"/>
  <c r="KB20" i="95"/>
  <c r="KC20" i="95"/>
  <c r="KD20" i="95"/>
  <c r="KE20" i="95"/>
  <c r="KF20" i="95"/>
  <c r="KG20" i="95"/>
  <c r="KH20" i="95"/>
  <c r="KI20" i="95"/>
  <c r="KJ20" i="95"/>
  <c r="KK20" i="95"/>
  <c r="KL20" i="95"/>
  <c r="KM20" i="95"/>
  <c r="KN20" i="95"/>
  <c r="KO20" i="95"/>
  <c r="KP20" i="95"/>
  <c r="KQ20" i="95"/>
  <c r="KR20" i="95"/>
  <c r="KS20" i="95"/>
  <c r="KT20" i="95"/>
  <c r="KU20" i="95"/>
  <c r="KV20" i="95"/>
  <c r="KW20" i="95"/>
  <c r="KX20" i="95"/>
  <c r="KY20" i="95"/>
  <c r="KZ20" i="95"/>
  <c r="LA20" i="95"/>
  <c r="JJ21" i="95"/>
  <c r="JK21" i="95"/>
  <c r="JL21" i="95"/>
  <c r="JM21" i="95"/>
  <c r="JN21" i="95"/>
  <c r="JO21" i="95"/>
  <c r="JP21" i="95"/>
  <c r="JQ21" i="95"/>
  <c r="JR21" i="95"/>
  <c r="JS21" i="95"/>
  <c r="JT21" i="95"/>
  <c r="JU21" i="95"/>
  <c r="JV21" i="95"/>
  <c r="JW21" i="95"/>
  <c r="JX21" i="95"/>
  <c r="JY21" i="95"/>
  <c r="JZ21" i="95"/>
  <c r="KA21" i="95"/>
  <c r="KB21" i="95"/>
  <c r="KC21" i="95"/>
  <c r="KD21" i="95"/>
  <c r="KE21" i="95"/>
  <c r="KF21" i="95"/>
  <c r="KG21" i="95"/>
  <c r="KH21" i="95"/>
  <c r="KI21" i="95"/>
  <c r="KJ21" i="95"/>
  <c r="KK21" i="95"/>
  <c r="KL21" i="95"/>
  <c r="KM21" i="95"/>
  <c r="KN21" i="95"/>
  <c r="KO21" i="95"/>
  <c r="KP21" i="95"/>
  <c r="KQ21" i="95"/>
  <c r="KR21" i="95"/>
  <c r="KS21" i="95"/>
  <c r="KT21" i="95"/>
  <c r="KU21" i="95"/>
  <c r="KV21" i="95"/>
  <c r="KW21" i="95"/>
  <c r="KX21" i="95"/>
  <c r="KY21" i="95"/>
  <c r="KZ21" i="95"/>
  <c r="LA21" i="95"/>
  <c r="JJ22" i="95"/>
  <c r="JK22" i="95"/>
  <c r="JL22" i="95"/>
  <c r="JM22" i="95"/>
  <c r="JN22" i="95"/>
  <c r="JO22" i="95"/>
  <c r="JP22" i="95"/>
  <c r="JQ22" i="95"/>
  <c r="JR22" i="95"/>
  <c r="JS22" i="95"/>
  <c r="JT22" i="95"/>
  <c r="JU22" i="95"/>
  <c r="JV22" i="95"/>
  <c r="JW22" i="95"/>
  <c r="JX22" i="95"/>
  <c r="JY22" i="95"/>
  <c r="JZ22" i="95"/>
  <c r="KA22" i="95"/>
  <c r="KB22" i="95"/>
  <c r="KC22" i="95"/>
  <c r="KD22" i="95"/>
  <c r="KE22" i="95"/>
  <c r="KF22" i="95"/>
  <c r="KG22" i="95"/>
  <c r="KH22" i="95"/>
  <c r="KI22" i="95"/>
  <c r="KJ22" i="95"/>
  <c r="KK22" i="95"/>
  <c r="KL22" i="95"/>
  <c r="KM22" i="95"/>
  <c r="KN22" i="95"/>
  <c r="KO22" i="95"/>
  <c r="KP22" i="95"/>
  <c r="KQ22" i="95"/>
  <c r="KR22" i="95"/>
  <c r="KS22" i="95"/>
  <c r="KT22" i="95"/>
  <c r="KU22" i="95"/>
  <c r="KV22" i="95"/>
  <c r="KW22" i="95"/>
  <c r="KX22" i="95"/>
  <c r="KY22" i="95"/>
  <c r="KZ22" i="95"/>
  <c r="LA22" i="95"/>
  <c r="JJ23" i="95"/>
  <c r="JK23" i="95"/>
  <c r="JL23" i="95"/>
  <c r="JM23" i="95"/>
  <c r="JN23" i="95"/>
  <c r="JO23" i="95"/>
  <c r="JP23" i="95"/>
  <c r="JQ23" i="95"/>
  <c r="JR23" i="95"/>
  <c r="JS23" i="95"/>
  <c r="JT23" i="95"/>
  <c r="JU23" i="95"/>
  <c r="JV23" i="95"/>
  <c r="JW23" i="95"/>
  <c r="JX23" i="95"/>
  <c r="JY23" i="95"/>
  <c r="JZ23" i="95"/>
  <c r="KA23" i="95"/>
  <c r="KB23" i="95"/>
  <c r="KC23" i="95"/>
  <c r="KD23" i="95"/>
  <c r="KE23" i="95"/>
  <c r="KF23" i="95"/>
  <c r="KG23" i="95"/>
  <c r="KH23" i="95"/>
  <c r="KI23" i="95"/>
  <c r="KJ23" i="95"/>
  <c r="KK23" i="95"/>
  <c r="KL23" i="95"/>
  <c r="KM23" i="95"/>
  <c r="KN23" i="95"/>
  <c r="KO23" i="95"/>
  <c r="KP23" i="95"/>
  <c r="KQ23" i="95"/>
  <c r="KR23" i="95"/>
  <c r="KS23" i="95"/>
  <c r="KT23" i="95"/>
  <c r="KU23" i="95"/>
  <c r="KV23" i="95"/>
  <c r="KW23" i="95"/>
  <c r="KX23" i="95"/>
  <c r="KY23" i="95"/>
  <c r="KZ23" i="95"/>
  <c r="LA23" i="95"/>
  <c r="JJ24" i="95"/>
  <c r="JK24" i="95"/>
  <c r="JL24" i="95"/>
  <c r="JM24" i="95"/>
  <c r="JN24" i="95"/>
  <c r="JO24" i="95"/>
  <c r="JP24" i="95"/>
  <c r="JQ24" i="95"/>
  <c r="JR24" i="95"/>
  <c r="JS24" i="95"/>
  <c r="JT24" i="95"/>
  <c r="JU24" i="95"/>
  <c r="JV24" i="95"/>
  <c r="JW24" i="95"/>
  <c r="JX24" i="95"/>
  <c r="JY24" i="95"/>
  <c r="JZ24" i="95"/>
  <c r="KA24" i="95"/>
  <c r="KB24" i="95"/>
  <c r="KC24" i="95"/>
  <c r="KD24" i="95"/>
  <c r="KE24" i="95"/>
  <c r="KF24" i="95"/>
  <c r="KG24" i="95"/>
  <c r="KH24" i="95"/>
  <c r="KI24" i="95"/>
  <c r="KJ24" i="95"/>
  <c r="KK24" i="95"/>
  <c r="KL24" i="95"/>
  <c r="KM24" i="95"/>
  <c r="KN24" i="95"/>
  <c r="KO24" i="95"/>
  <c r="KP24" i="95"/>
  <c r="KQ24" i="95"/>
  <c r="KR24" i="95"/>
  <c r="KS24" i="95"/>
  <c r="KT24" i="95"/>
  <c r="KU24" i="95"/>
  <c r="KV24" i="95"/>
  <c r="KW24" i="95"/>
  <c r="KX24" i="95"/>
  <c r="KY24" i="95"/>
  <c r="KZ24" i="95"/>
  <c r="LA24" i="95"/>
  <c r="JJ25" i="95"/>
  <c r="JK25" i="95"/>
  <c r="JL25" i="95"/>
  <c r="JM25" i="95"/>
  <c r="JN25" i="95"/>
  <c r="JO25" i="95"/>
  <c r="JP25" i="95"/>
  <c r="JQ25" i="95"/>
  <c r="JR25" i="95"/>
  <c r="JS25" i="95"/>
  <c r="JT25" i="95"/>
  <c r="JU25" i="95"/>
  <c r="JV25" i="95"/>
  <c r="JW25" i="95"/>
  <c r="JX25" i="95"/>
  <c r="JY25" i="95"/>
  <c r="JZ25" i="95"/>
  <c r="KA25" i="95"/>
  <c r="KB25" i="95"/>
  <c r="KC25" i="95"/>
  <c r="KD25" i="95"/>
  <c r="KE25" i="95"/>
  <c r="KF25" i="95"/>
  <c r="KG25" i="95"/>
  <c r="KH25" i="95"/>
  <c r="KI25" i="95"/>
  <c r="KJ25" i="95"/>
  <c r="KK25" i="95"/>
  <c r="KL25" i="95"/>
  <c r="KM25" i="95"/>
  <c r="KN25" i="95"/>
  <c r="KO25" i="95"/>
  <c r="KP25" i="95"/>
  <c r="KQ25" i="95"/>
  <c r="KR25" i="95"/>
  <c r="KS25" i="95"/>
  <c r="KT25" i="95"/>
  <c r="KU25" i="95"/>
  <c r="KV25" i="95"/>
  <c r="KW25" i="95"/>
  <c r="KX25" i="95"/>
  <c r="KY25" i="95"/>
  <c r="KZ25" i="95"/>
  <c r="LA25" i="95"/>
  <c r="JJ26" i="95"/>
  <c r="JK26" i="95"/>
  <c r="JL26" i="95"/>
  <c r="JM26" i="95"/>
  <c r="JN26" i="95"/>
  <c r="JO26" i="95"/>
  <c r="JP26" i="95"/>
  <c r="JQ26" i="95"/>
  <c r="JR26" i="95"/>
  <c r="JS26" i="95"/>
  <c r="JT26" i="95"/>
  <c r="JU26" i="95"/>
  <c r="JV26" i="95"/>
  <c r="JW26" i="95"/>
  <c r="JX26" i="95"/>
  <c r="JY26" i="95"/>
  <c r="JZ26" i="95"/>
  <c r="KA26" i="95"/>
  <c r="KB26" i="95"/>
  <c r="KC26" i="95"/>
  <c r="KD26" i="95"/>
  <c r="KE26" i="95"/>
  <c r="KF26" i="95"/>
  <c r="KG26" i="95"/>
  <c r="KH26" i="95"/>
  <c r="KI26" i="95"/>
  <c r="KJ26" i="95"/>
  <c r="KK26" i="95"/>
  <c r="KL26" i="95"/>
  <c r="KM26" i="95"/>
  <c r="KN26" i="95"/>
  <c r="KO26" i="95"/>
  <c r="KP26" i="95"/>
  <c r="KQ26" i="95"/>
  <c r="KR26" i="95"/>
  <c r="KS26" i="95"/>
  <c r="KT26" i="95"/>
  <c r="KU26" i="95"/>
  <c r="KV26" i="95"/>
  <c r="KW26" i="95"/>
  <c r="KX26" i="95"/>
  <c r="KY26" i="95"/>
  <c r="KZ26" i="95"/>
  <c r="LA26" i="95"/>
  <c r="JJ27" i="95"/>
  <c r="JK27" i="95"/>
  <c r="JL27" i="95"/>
  <c r="JM27" i="95"/>
  <c r="JN27" i="95"/>
  <c r="JO27" i="95"/>
  <c r="JP27" i="95"/>
  <c r="JQ27" i="95"/>
  <c r="JR27" i="95"/>
  <c r="JS27" i="95"/>
  <c r="JT27" i="95"/>
  <c r="JU27" i="95"/>
  <c r="JV27" i="95"/>
  <c r="JW27" i="95"/>
  <c r="JX27" i="95"/>
  <c r="JY27" i="95"/>
  <c r="JZ27" i="95"/>
  <c r="KA27" i="95"/>
  <c r="KB27" i="95"/>
  <c r="KC27" i="95"/>
  <c r="KD27" i="95"/>
  <c r="KE27" i="95"/>
  <c r="KF27" i="95"/>
  <c r="KG27" i="95"/>
  <c r="KH27" i="95"/>
  <c r="KI27" i="95"/>
  <c r="KJ27" i="95"/>
  <c r="KK27" i="95"/>
  <c r="KL27" i="95"/>
  <c r="KM27" i="95"/>
  <c r="KN27" i="95"/>
  <c r="KO27" i="95"/>
  <c r="KP27" i="95"/>
  <c r="KQ27" i="95"/>
  <c r="KR27" i="95"/>
  <c r="KS27" i="95"/>
  <c r="KT27" i="95"/>
  <c r="KU27" i="95"/>
  <c r="KV27" i="95"/>
  <c r="KW27" i="95"/>
  <c r="KX27" i="95"/>
  <c r="KY27" i="95"/>
  <c r="KZ27" i="95"/>
  <c r="LA27" i="95"/>
  <c r="JJ28" i="95"/>
  <c r="JK28" i="95"/>
  <c r="JL28" i="95"/>
  <c r="JM28" i="95"/>
  <c r="JN28" i="95"/>
  <c r="JO28" i="95"/>
  <c r="JP28" i="95"/>
  <c r="JQ28" i="95"/>
  <c r="JR28" i="95"/>
  <c r="JS28" i="95"/>
  <c r="JT28" i="95"/>
  <c r="JU28" i="95"/>
  <c r="JV28" i="95"/>
  <c r="JW28" i="95"/>
  <c r="JX28" i="95"/>
  <c r="JY28" i="95"/>
  <c r="JZ28" i="95"/>
  <c r="KA28" i="95"/>
  <c r="KB28" i="95"/>
  <c r="KC28" i="95"/>
  <c r="KD28" i="95"/>
  <c r="KE28" i="95"/>
  <c r="KF28" i="95"/>
  <c r="KG28" i="95"/>
  <c r="KH28" i="95"/>
  <c r="KI28" i="95"/>
  <c r="KJ28" i="95"/>
  <c r="KK28" i="95"/>
  <c r="KL28" i="95"/>
  <c r="KM28" i="95"/>
  <c r="KN28" i="95"/>
  <c r="KO28" i="95"/>
  <c r="KP28" i="95"/>
  <c r="KQ28" i="95"/>
  <c r="KR28" i="95"/>
  <c r="KS28" i="95"/>
  <c r="KT28" i="95"/>
  <c r="KU28" i="95"/>
  <c r="KV28" i="95"/>
  <c r="KW28" i="95"/>
  <c r="KX28" i="95"/>
  <c r="KY28" i="95"/>
  <c r="KZ28" i="95"/>
  <c r="LA28" i="95"/>
  <c r="JJ29" i="95"/>
  <c r="JK29" i="95"/>
  <c r="JL29" i="95"/>
  <c r="JM29" i="95"/>
  <c r="JN29" i="95"/>
  <c r="JO29" i="95"/>
  <c r="JP29" i="95"/>
  <c r="JQ29" i="95"/>
  <c r="JR29" i="95"/>
  <c r="JS29" i="95"/>
  <c r="JT29" i="95"/>
  <c r="JU29" i="95"/>
  <c r="JV29" i="95"/>
  <c r="JW29" i="95"/>
  <c r="JX29" i="95"/>
  <c r="JY29" i="95"/>
  <c r="JZ29" i="95"/>
  <c r="KA29" i="95"/>
  <c r="KB29" i="95"/>
  <c r="KC29" i="95"/>
  <c r="KD29" i="95"/>
  <c r="KE29" i="95"/>
  <c r="KF29" i="95"/>
  <c r="KG29" i="95"/>
  <c r="KH29" i="95"/>
  <c r="KI29" i="95"/>
  <c r="KJ29" i="95"/>
  <c r="KK29" i="95"/>
  <c r="KL29" i="95"/>
  <c r="KM29" i="95"/>
  <c r="KN29" i="95"/>
  <c r="KO29" i="95"/>
  <c r="KP29" i="95"/>
  <c r="KQ29" i="95"/>
  <c r="KR29" i="95"/>
  <c r="KS29" i="95"/>
  <c r="KT29" i="95"/>
  <c r="KU29" i="95"/>
  <c r="KV29" i="95"/>
  <c r="KW29" i="95"/>
  <c r="KX29" i="95"/>
  <c r="KY29" i="95"/>
  <c r="KZ29" i="95"/>
  <c r="LA29" i="95"/>
  <c r="JJ30" i="95"/>
  <c r="JK30" i="95"/>
  <c r="JL30" i="95"/>
  <c r="JM30" i="95"/>
  <c r="JN30" i="95"/>
  <c r="JO30" i="95"/>
  <c r="JP30" i="95"/>
  <c r="JQ30" i="95"/>
  <c r="JR30" i="95"/>
  <c r="JS30" i="95"/>
  <c r="JT30" i="95"/>
  <c r="JU30" i="95"/>
  <c r="JV30" i="95"/>
  <c r="JW30" i="95"/>
  <c r="JX30" i="95"/>
  <c r="JY30" i="95"/>
  <c r="JZ30" i="95"/>
  <c r="KA30" i="95"/>
  <c r="KB30" i="95"/>
  <c r="KC30" i="95"/>
  <c r="KD30" i="95"/>
  <c r="KE30" i="95"/>
  <c r="KF30" i="95"/>
  <c r="KG30" i="95"/>
  <c r="KH30" i="95"/>
  <c r="KI30" i="95"/>
  <c r="KJ30" i="95"/>
  <c r="KK30" i="95"/>
  <c r="KL30" i="95"/>
  <c r="KM30" i="95"/>
  <c r="KN30" i="95"/>
  <c r="KO30" i="95"/>
  <c r="KP30" i="95"/>
  <c r="KQ30" i="95"/>
  <c r="KR30" i="95"/>
  <c r="KS30" i="95"/>
  <c r="KT30" i="95"/>
  <c r="KU30" i="95"/>
  <c r="KV30" i="95"/>
  <c r="KW30" i="95"/>
  <c r="KX30" i="95"/>
  <c r="KY30" i="95"/>
  <c r="KZ30" i="95"/>
  <c r="LA30" i="95"/>
  <c r="JJ31" i="95"/>
  <c r="JK31" i="95"/>
  <c r="JL31" i="95"/>
  <c r="JM31" i="95"/>
  <c r="JN31" i="95"/>
  <c r="JO31" i="95"/>
  <c r="JP31" i="95"/>
  <c r="JQ31" i="95"/>
  <c r="JR31" i="95"/>
  <c r="JS31" i="95"/>
  <c r="JT31" i="95"/>
  <c r="JU31" i="95"/>
  <c r="JV31" i="95"/>
  <c r="JW31" i="95"/>
  <c r="JX31" i="95"/>
  <c r="JY31" i="95"/>
  <c r="JZ31" i="95"/>
  <c r="KA31" i="95"/>
  <c r="KB31" i="95"/>
  <c r="KC31" i="95"/>
  <c r="KD31" i="95"/>
  <c r="KE31" i="95"/>
  <c r="KF31" i="95"/>
  <c r="KG31" i="95"/>
  <c r="KH31" i="95"/>
  <c r="KI31" i="95"/>
  <c r="KJ31" i="95"/>
  <c r="KK31" i="95"/>
  <c r="KL31" i="95"/>
  <c r="KM31" i="95"/>
  <c r="KN31" i="95"/>
  <c r="KO31" i="95"/>
  <c r="KP31" i="95"/>
  <c r="KQ31" i="95"/>
  <c r="KR31" i="95"/>
  <c r="KS31" i="95"/>
  <c r="KT31" i="95"/>
  <c r="KU31" i="95"/>
  <c r="KV31" i="95"/>
  <c r="KW31" i="95"/>
  <c r="KX31" i="95"/>
  <c r="KY31" i="95"/>
  <c r="KZ31" i="95"/>
  <c r="LA31" i="95"/>
  <c r="JJ32" i="95"/>
  <c r="JK32" i="95"/>
  <c r="JL32" i="95"/>
  <c r="JM32" i="95"/>
  <c r="JN32" i="95"/>
  <c r="JO32" i="95"/>
  <c r="JP32" i="95"/>
  <c r="JQ32" i="95"/>
  <c r="JR32" i="95"/>
  <c r="JS32" i="95"/>
  <c r="JT32" i="95"/>
  <c r="JU32" i="95"/>
  <c r="JV32" i="95"/>
  <c r="JW32" i="95"/>
  <c r="JX32" i="95"/>
  <c r="JY32" i="95"/>
  <c r="JZ32" i="95"/>
  <c r="KA32" i="95"/>
  <c r="KB32" i="95"/>
  <c r="KC32" i="95"/>
  <c r="KD32" i="95"/>
  <c r="KE32" i="95"/>
  <c r="KF32" i="95"/>
  <c r="KG32" i="95"/>
  <c r="KH32" i="95"/>
  <c r="KI32" i="95"/>
  <c r="KJ32" i="95"/>
  <c r="KK32" i="95"/>
  <c r="KL32" i="95"/>
  <c r="KM32" i="95"/>
  <c r="KN32" i="95"/>
  <c r="KO32" i="95"/>
  <c r="KP32" i="95"/>
  <c r="KQ32" i="95"/>
  <c r="KR32" i="95"/>
  <c r="KS32" i="95"/>
  <c r="KT32" i="95"/>
  <c r="KU32" i="95"/>
  <c r="KV32" i="95"/>
  <c r="KW32" i="95"/>
  <c r="KX32" i="95"/>
  <c r="KY32" i="95"/>
  <c r="KZ32" i="95"/>
  <c r="LA32" i="95"/>
  <c r="JJ33" i="95"/>
  <c r="JK33" i="95"/>
  <c r="JL33" i="95"/>
  <c r="JM33" i="95"/>
  <c r="JN33" i="95"/>
  <c r="JO33" i="95"/>
  <c r="JP33" i="95"/>
  <c r="JQ33" i="95"/>
  <c r="JR33" i="95"/>
  <c r="JS33" i="95"/>
  <c r="JT33" i="95"/>
  <c r="JU33" i="95"/>
  <c r="JV33" i="95"/>
  <c r="JW33" i="95"/>
  <c r="JX33" i="95"/>
  <c r="JY33" i="95"/>
  <c r="JZ33" i="95"/>
  <c r="KA33" i="95"/>
  <c r="KB33" i="95"/>
  <c r="KC33" i="95"/>
  <c r="KD33" i="95"/>
  <c r="KE33" i="95"/>
  <c r="KF33" i="95"/>
  <c r="KG33" i="95"/>
  <c r="KH33" i="95"/>
  <c r="KI33" i="95"/>
  <c r="KJ33" i="95"/>
  <c r="KK33" i="95"/>
  <c r="KL33" i="95"/>
  <c r="KM33" i="95"/>
  <c r="KN33" i="95"/>
  <c r="KO33" i="95"/>
  <c r="KP33" i="95"/>
  <c r="KQ33" i="95"/>
  <c r="KR33" i="95"/>
  <c r="KS33" i="95"/>
  <c r="KT33" i="95"/>
  <c r="KU33" i="95"/>
  <c r="KV33" i="95"/>
  <c r="KW33" i="95"/>
  <c r="KX33" i="95"/>
  <c r="KY33" i="95"/>
  <c r="KZ33" i="95"/>
  <c r="LA33" i="95"/>
  <c r="JJ34" i="95"/>
  <c r="JK34" i="95"/>
  <c r="JL34" i="95"/>
  <c r="JM34" i="95"/>
  <c r="JN34" i="95"/>
  <c r="JO34" i="95"/>
  <c r="JP34" i="95"/>
  <c r="JQ34" i="95"/>
  <c r="JR34" i="95"/>
  <c r="JS34" i="95"/>
  <c r="JT34" i="95"/>
  <c r="JU34" i="95"/>
  <c r="JV34" i="95"/>
  <c r="JW34" i="95"/>
  <c r="JX34" i="95"/>
  <c r="JY34" i="95"/>
  <c r="JZ34" i="95"/>
  <c r="KA34" i="95"/>
  <c r="KB34" i="95"/>
  <c r="KC34" i="95"/>
  <c r="KD34" i="95"/>
  <c r="KE34" i="95"/>
  <c r="KF34" i="95"/>
  <c r="KG34" i="95"/>
  <c r="KH34" i="95"/>
  <c r="KI34" i="95"/>
  <c r="KJ34" i="95"/>
  <c r="KK34" i="95"/>
  <c r="KL34" i="95"/>
  <c r="KM34" i="95"/>
  <c r="KN34" i="95"/>
  <c r="KO34" i="95"/>
  <c r="KP34" i="95"/>
  <c r="KQ34" i="95"/>
  <c r="KR34" i="95"/>
  <c r="KS34" i="95"/>
  <c r="KT34" i="95"/>
  <c r="KU34" i="95"/>
  <c r="KV34" i="95"/>
  <c r="KW34" i="95"/>
  <c r="KX34" i="95"/>
  <c r="KY34" i="95"/>
  <c r="KZ34" i="95"/>
  <c r="LA34" i="95"/>
  <c r="JJ35" i="95"/>
  <c r="JK35" i="95"/>
  <c r="JL35" i="95"/>
  <c r="JM35" i="95"/>
  <c r="JN35" i="95"/>
  <c r="JO35" i="95"/>
  <c r="JP35" i="95"/>
  <c r="JQ35" i="95"/>
  <c r="JR35" i="95"/>
  <c r="JS35" i="95"/>
  <c r="JT35" i="95"/>
  <c r="JU35" i="95"/>
  <c r="JV35" i="95"/>
  <c r="JW35" i="95"/>
  <c r="JX35" i="95"/>
  <c r="JY35" i="95"/>
  <c r="JZ35" i="95"/>
  <c r="KA35" i="95"/>
  <c r="KB35" i="95"/>
  <c r="KC35" i="95"/>
  <c r="KD35" i="95"/>
  <c r="KE35" i="95"/>
  <c r="KF35" i="95"/>
  <c r="KG35" i="95"/>
  <c r="KH35" i="95"/>
  <c r="KI35" i="95"/>
  <c r="KJ35" i="95"/>
  <c r="KK35" i="95"/>
  <c r="KL35" i="95"/>
  <c r="KM35" i="95"/>
  <c r="KN35" i="95"/>
  <c r="KO35" i="95"/>
  <c r="KP35" i="95"/>
  <c r="KQ35" i="95"/>
  <c r="KR35" i="95"/>
  <c r="KS35" i="95"/>
  <c r="KT35" i="95"/>
  <c r="KU35" i="95"/>
  <c r="KV35" i="95"/>
  <c r="KW35" i="95"/>
  <c r="KX35" i="95"/>
  <c r="KY35" i="95"/>
  <c r="KZ35" i="95"/>
  <c r="LA35" i="95"/>
  <c r="JJ36" i="95"/>
  <c r="JK36" i="95"/>
  <c r="JL36" i="95"/>
  <c r="JM36" i="95"/>
  <c r="JN36" i="95"/>
  <c r="JO36" i="95"/>
  <c r="JP36" i="95"/>
  <c r="JQ36" i="95"/>
  <c r="JR36" i="95"/>
  <c r="JS36" i="95"/>
  <c r="JT36" i="95"/>
  <c r="JU36" i="95"/>
  <c r="JV36" i="95"/>
  <c r="JW36" i="95"/>
  <c r="JX36" i="95"/>
  <c r="JY36" i="95"/>
  <c r="JZ36" i="95"/>
  <c r="KA36" i="95"/>
  <c r="KB36" i="95"/>
  <c r="KC36" i="95"/>
  <c r="KD36" i="95"/>
  <c r="KE36" i="95"/>
  <c r="KF36" i="95"/>
  <c r="KG36" i="95"/>
  <c r="KH36" i="95"/>
  <c r="KI36" i="95"/>
  <c r="KJ36" i="95"/>
  <c r="KK36" i="95"/>
  <c r="KL36" i="95"/>
  <c r="KM36" i="95"/>
  <c r="KN36" i="95"/>
  <c r="KO36" i="95"/>
  <c r="KP36" i="95"/>
  <c r="KQ36" i="95"/>
  <c r="KR36" i="95"/>
  <c r="KS36" i="95"/>
  <c r="KT36" i="95"/>
  <c r="KU36" i="95"/>
  <c r="KV36" i="95"/>
  <c r="KW36" i="95"/>
  <c r="KX36" i="95"/>
  <c r="KY36" i="95"/>
  <c r="KZ36" i="95"/>
  <c r="LA36" i="95"/>
  <c r="JJ37" i="95"/>
  <c r="JK37" i="95"/>
  <c r="JL37" i="95"/>
  <c r="JM37" i="95"/>
  <c r="JN37" i="95"/>
  <c r="JO37" i="95"/>
  <c r="JP37" i="95"/>
  <c r="JQ37" i="95"/>
  <c r="JR37" i="95"/>
  <c r="JS37" i="95"/>
  <c r="JT37" i="95"/>
  <c r="JU37" i="95"/>
  <c r="JV37" i="95"/>
  <c r="JW37" i="95"/>
  <c r="JX37" i="95"/>
  <c r="JY37" i="95"/>
  <c r="JZ37" i="95"/>
  <c r="KA37" i="95"/>
  <c r="KB37" i="95"/>
  <c r="KC37" i="95"/>
  <c r="KD37" i="95"/>
  <c r="KE37" i="95"/>
  <c r="KF37" i="95"/>
  <c r="KG37" i="95"/>
  <c r="KH37" i="95"/>
  <c r="KI37" i="95"/>
  <c r="KJ37" i="95"/>
  <c r="KK37" i="95"/>
  <c r="KL37" i="95"/>
  <c r="KM37" i="95"/>
  <c r="KN37" i="95"/>
  <c r="KO37" i="95"/>
  <c r="KP37" i="95"/>
  <c r="KQ37" i="95"/>
  <c r="KR37" i="95"/>
  <c r="KS37" i="95"/>
  <c r="KT37" i="95"/>
  <c r="KU37" i="95"/>
  <c r="KV37" i="95"/>
  <c r="KW37" i="95"/>
  <c r="KX37" i="95"/>
  <c r="KY37" i="95"/>
  <c r="KZ37" i="95"/>
  <c r="LA37" i="95"/>
  <c r="JJ38" i="95"/>
  <c r="JK38" i="95"/>
  <c r="JL38" i="95"/>
  <c r="JM38" i="95"/>
  <c r="JN38" i="95"/>
  <c r="JO38" i="95"/>
  <c r="JP38" i="95"/>
  <c r="JQ38" i="95"/>
  <c r="JR38" i="95"/>
  <c r="JS38" i="95"/>
  <c r="JT38" i="95"/>
  <c r="JU38" i="95"/>
  <c r="JV38" i="95"/>
  <c r="JW38" i="95"/>
  <c r="JX38" i="95"/>
  <c r="JY38" i="95"/>
  <c r="JZ38" i="95"/>
  <c r="KA38" i="95"/>
  <c r="KB38" i="95"/>
  <c r="KC38" i="95"/>
  <c r="KD38" i="95"/>
  <c r="KE38" i="95"/>
  <c r="KF38" i="95"/>
  <c r="KG38" i="95"/>
  <c r="KH38" i="95"/>
  <c r="KI38" i="95"/>
  <c r="KJ38" i="95"/>
  <c r="KK38" i="95"/>
  <c r="KL38" i="95"/>
  <c r="KM38" i="95"/>
  <c r="KN38" i="95"/>
  <c r="KO38" i="95"/>
  <c r="KP38" i="95"/>
  <c r="KQ38" i="95"/>
  <c r="KR38" i="95"/>
  <c r="KS38" i="95"/>
  <c r="KT38" i="95"/>
  <c r="KU38" i="95"/>
  <c r="KV38" i="95"/>
  <c r="KW38" i="95"/>
  <c r="KX38" i="95"/>
  <c r="KY38" i="95"/>
  <c r="KZ38" i="95"/>
  <c r="LA38" i="95"/>
  <c r="JJ39" i="95"/>
  <c r="JK39" i="95"/>
  <c r="JL39" i="95"/>
  <c r="JM39" i="95"/>
  <c r="JN39" i="95"/>
  <c r="JO39" i="95"/>
  <c r="JP39" i="95"/>
  <c r="JQ39" i="95"/>
  <c r="JR39" i="95"/>
  <c r="JS39" i="95"/>
  <c r="JT39" i="95"/>
  <c r="JU39" i="95"/>
  <c r="JV39" i="95"/>
  <c r="JW39" i="95"/>
  <c r="JX39" i="95"/>
  <c r="JY39" i="95"/>
  <c r="JZ39" i="95"/>
  <c r="KA39" i="95"/>
  <c r="KB39" i="95"/>
  <c r="KC39" i="95"/>
  <c r="KD39" i="95"/>
  <c r="KE39" i="95"/>
  <c r="KF39" i="95"/>
  <c r="KG39" i="95"/>
  <c r="KH39" i="95"/>
  <c r="KI39" i="95"/>
  <c r="KJ39" i="95"/>
  <c r="KK39" i="95"/>
  <c r="KL39" i="95"/>
  <c r="KM39" i="95"/>
  <c r="KN39" i="95"/>
  <c r="KO39" i="95"/>
  <c r="KP39" i="95"/>
  <c r="KQ39" i="95"/>
  <c r="KR39" i="95"/>
  <c r="KS39" i="95"/>
  <c r="KT39" i="95"/>
  <c r="KU39" i="95"/>
  <c r="KV39" i="95"/>
  <c r="KW39" i="95"/>
  <c r="KX39" i="95"/>
  <c r="KY39" i="95"/>
  <c r="KZ39" i="95"/>
  <c r="LA39" i="95"/>
  <c r="JJ40" i="95"/>
  <c r="JK40" i="95"/>
  <c r="JL40" i="95"/>
  <c r="JM40" i="95"/>
  <c r="JN40" i="95"/>
  <c r="JO40" i="95"/>
  <c r="JP40" i="95"/>
  <c r="JQ40" i="95"/>
  <c r="JR40" i="95"/>
  <c r="JS40" i="95"/>
  <c r="JT40" i="95"/>
  <c r="JU40" i="95"/>
  <c r="JV40" i="95"/>
  <c r="JW40" i="95"/>
  <c r="JX40" i="95"/>
  <c r="JY40" i="95"/>
  <c r="JZ40" i="95"/>
  <c r="KA40" i="95"/>
  <c r="KB40" i="95"/>
  <c r="KC40" i="95"/>
  <c r="KD40" i="95"/>
  <c r="KE40" i="95"/>
  <c r="KF40" i="95"/>
  <c r="KG40" i="95"/>
  <c r="KH40" i="95"/>
  <c r="KI40" i="95"/>
  <c r="KJ40" i="95"/>
  <c r="KK40" i="95"/>
  <c r="KL40" i="95"/>
  <c r="KM40" i="95"/>
  <c r="KN40" i="95"/>
  <c r="KO40" i="95"/>
  <c r="KP40" i="95"/>
  <c r="KQ40" i="95"/>
  <c r="KR40" i="95"/>
  <c r="KS40" i="95"/>
  <c r="KT40" i="95"/>
  <c r="KU40" i="95"/>
  <c r="KV40" i="95"/>
  <c r="KW40" i="95"/>
  <c r="KX40" i="95"/>
  <c r="KY40" i="95"/>
  <c r="KZ40" i="95"/>
  <c r="LA40" i="95"/>
  <c r="JJ41" i="95"/>
  <c r="JK41" i="95"/>
  <c r="JL41" i="95"/>
  <c r="JM41" i="95"/>
  <c r="JN41" i="95"/>
  <c r="JO41" i="95"/>
  <c r="JP41" i="95"/>
  <c r="JQ41" i="95"/>
  <c r="JR41" i="95"/>
  <c r="JS41" i="95"/>
  <c r="JT41" i="95"/>
  <c r="JU41" i="95"/>
  <c r="JV41" i="95"/>
  <c r="JW41" i="95"/>
  <c r="JX41" i="95"/>
  <c r="JY41" i="95"/>
  <c r="JZ41" i="95"/>
  <c r="KA41" i="95"/>
  <c r="KB41" i="95"/>
  <c r="KC41" i="95"/>
  <c r="KD41" i="95"/>
  <c r="KE41" i="95"/>
  <c r="KF41" i="95"/>
  <c r="KG41" i="95"/>
  <c r="KH41" i="95"/>
  <c r="KI41" i="95"/>
  <c r="KJ41" i="95"/>
  <c r="KK41" i="95"/>
  <c r="KL41" i="95"/>
  <c r="KM41" i="95"/>
  <c r="KN41" i="95"/>
  <c r="KO41" i="95"/>
  <c r="KP41" i="95"/>
  <c r="KQ41" i="95"/>
  <c r="KR41" i="95"/>
  <c r="KS41" i="95"/>
  <c r="KT41" i="95"/>
  <c r="KU41" i="95"/>
  <c r="KV41" i="95"/>
  <c r="KW41" i="95"/>
  <c r="KX41" i="95"/>
  <c r="KY41" i="95"/>
  <c r="KZ41" i="95"/>
  <c r="LA41" i="95"/>
  <c r="JJ42" i="95"/>
  <c r="JK42" i="95"/>
  <c r="JL42" i="95"/>
  <c r="JM42" i="95"/>
  <c r="JN42" i="95"/>
  <c r="JO42" i="95"/>
  <c r="JP42" i="95"/>
  <c r="JQ42" i="95"/>
  <c r="JR42" i="95"/>
  <c r="JS42" i="95"/>
  <c r="JT42" i="95"/>
  <c r="JU42" i="95"/>
  <c r="JV42" i="95"/>
  <c r="JW42" i="95"/>
  <c r="JX42" i="95"/>
  <c r="JY42" i="95"/>
  <c r="JZ42" i="95"/>
  <c r="KA42" i="95"/>
  <c r="KB42" i="95"/>
  <c r="KC42" i="95"/>
  <c r="KD42" i="95"/>
  <c r="KE42" i="95"/>
  <c r="KF42" i="95"/>
  <c r="KG42" i="95"/>
  <c r="KH42" i="95"/>
  <c r="KI42" i="95"/>
  <c r="KJ42" i="95"/>
  <c r="KK42" i="95"/>
  <c r="KL42" i="95"/>
  <c r="KM42" i="95"/>
  <c r="KN42" i="95"/>
  <c r="KO42" i="95"/>
  <c r="KP42" i="95"/>
  <c r="KQ42" i="95"/>
  <c r="KR42" i="95"/>
  <c r="KS42" i="95"/>
  <c r="KT42" i="95"/>
  <c r="KU42" i="95"/>
  <c r="KV42" i="95"/>
  <c r="KW42" i="95"/>
  <c r="KX42" i="95"/>
  <c r="KY42" i="95"/>
  <c r="KZ42" i="95"/>
  <c r="LA42" i="95"/>
  <c r="JJ43" i="95"/>
  <c r="JK43" i="95"/>
  <c r="JL43" i="95"/>
  <c r="JM43" i="95"/>
  <c r="JN43" i="95"/>
  <c r="JO43" i="95"/>
  <c r="JP43" i="95"/>
  <c r="JQ43" i="95"/>
  <c r="JR43" i="95"/>
  <c r="JS43" i="95"/>
  <c r="JT43" i="95"/>
  <c r="JU43" i="95"/>
  <c r="JV43" i="95"/>
  <c r="JW43" i="95"/>
  <c r="JX43" i="95"/>
  <c r="JY43" i="95"/>
  <c r="JZ43" i="95"/>
  <c r="KA43" i="95"/>
  <c r="KB43" i="95"/>
  <c r="KC43" i="95"/>
  <c r="KD43" i="95"/>
  <c r="KE43" i="95"/>
  <c r="KF43" i="95"/>
  <c r="KG43" i="95"/>
  <c r="KH43" i="95"/>
  <c r="KI43" i="95"/>
  <c r="KJ43" i="95"/>
  <c r="KK43" i="95"/>
  <c r="KL43" i="95"/>
  <c r="KM43" i="95"/>
  <c r="KN43" i="95"/>
  <c r="KO43" i="95"/>
  <c r="KP43" i="95"/>
  <c r="KQ43" i="95"/>
  <c r="KR43" i="95"/>
  <c r="KS43" i="95"/>
  <c r="KT43" i="95"/>
  <c r="KU43" i="95"/>
  <c r="KV43" i="95"/>
  <c r="KW43" i="95"/>
  <c r="KX43" i="95"/>
  <c r="KY43" i="95"/>
  <c r="KZ43" i="95"/>
  <c r="LA43" i="95"/>
  <c r="JJ44" i="95"/>
  <c r="JK44" i="95"/>
  <c r="JL44" i="95"/>
  <c r="JM44" i="95"/>
  <c r="JN44" i="95"/>
  <c r="JO44" i="95"/>
  <c r="JP44" i="95"/>
  <c r="JQ44" i="95"/>
  <c r="JR44" i="95"/>
  <c r="JS44" i="95"/>
  <c r="JT44" i="95"/>
  <c r="JU44" i="95"/>
  <c r="JV44" i="95"/>
  <c r="JW44" i="95"/>
  <c r="JX44" i="95"/>
  <c r="JY44" i="95"/>
  <c r="JZ44" i="95"/>
  <c r="KA44" i="95"/>
  <c r="KB44" i="95"/>
  <c r="KC44" i="95"/>
  <c r="KD44" i="95"/>
  <c r="KE44" i="95"/>
  <c r="KF44" i="95"/>
  <c r="KG44" i="95"/>
  <c r="KH44" i="95"/>
  <c r="KI44" i="95"/>
  <c r="KJ44" i="95"/>
  <c r="KK44" i="95"/>
  <c r="KL44" i="95"/>
  <c r="KM44" i="95"/>
  <c r="KN44" i="95"/>
  <c r="KO44" i="95"/>
  <c r="KP44" i="95"/>
  <c r="KQ44" i="95"/>
  <c r="KR44" i="95"/>
  <c r="KS44" i="95"/>
  <c r="KT44" i="95"/>
  <c r="KU44" i="95"/>
  <c r="KV44" i="95"/>
  <c r="KW44" i="95"/>
  <c r="KX44" i="95"/>
  <c r="KY44" i="95"/>
  <c r="KZ44" i="95"/>
  <c r="LA44" i="95"/>
  <c r="JJ45" i="95"/>
  <c r="JK45" i="95"/>
  <c r="JL45" i="95"/>
  <c r="JM45" i="95"/>
  <c r="JN45" i="95"/>
  <c r="JO45" i="95"/>
  <c r="JP45" i="95"/>
  <c r="JQ45" i="95"/>
  <c r="JR45" i="95"/>
  <c r="JS45" i="95"/>
  <c r="JT45" i="95"/>
  <c r="JU45" i="95"/>
  <c r="JV45" i="95"/>
  <c r="JW45" i="95"/>
  <c r="JX45" i="95"/>
  <c r="JY45" i="95"/>
  <c r="JZ45" i="95"/>
  <c r="KA45" i="95"/>
  <c r="KB45" i="95"/>
  <c r="KC45" i="95"/>
  <c r="KD45" i="95"/>
  <c r="KE45" i="95"/>
  <c r="KF45" i="95"/>
  <c r="KG45" i="95"/>
  <c r="KH45" i="95"/>
  <c r="KI45" i="95"/>
  <c r="KJ45" i="95"/>
  <c r="KK45" i="95"/>
  <c r="KL45" i="95"/>
  <c r="KM45" i="95"/>
  <c r="KN45" i="95"/>
  <c r="KO45" i="95"/>
  <c r="KP45" i="95"/>
  <c r="KQ45" i="95"/>
  <c r="KR45" i="95"/>
  <c r="KS45" i="95"/>
  <c r="KT45" i="95"/>
  <c r="KU45" i="95"/>
  <c r="KV45" i="95"/>
  <c r="KW45" i="95"/>
  <c r="KX45" i="95"/>
  <c r="KY45" i="95"/>
  <c r="KZ45" i="95"/>
  <c r="LA45" i="95"/>
  <c r="JJ46" i="95"/>
  <c r="JK46" i="95"/>
  <c r="JL46" i="95"/>
  <c r="JM46" i="95"/>
  <c r="JN46" i="95"/>
  <c r="JO46" i="95"/>
  <c r="JP46" i="95"/>
  <c r="JQ46" i="95"/>
  <c r="JR46" i="95"/>
  <c r="JS46" i="95"/>
  <c r="JT46" i="95"/>
  <c r="JU46" i="95"/>
  <c r="JV46" i="95"/>
  <c r="JW46" i="95"/>
  <c r="JX46" i="95"/>
  <c r="JY46" i="95"/>
  <c r="JZ46" i="95"/>
  <c r="KA46" i="95"/>
  <c r="KB46" i="95"/>
  <c r="KC46" i="95"/>
  <c r="KD46" i="95"/>
  <c r="KE46" i="95"/>
  <c r="KF46" i="95"/>
  <c r="KG46" i="95"/>
  <c r="KH46" i="95"/>
  <c r="KI46" i="95"/>
  <c r="KJ46" i="95"/>
  <c r="KK46" i="95"/>
  <c r="KL46" i="95"/>
  <c r="KM46" i="95"/>
  <c r="KN46" i="95"/>
  <c r="KO46" i="95"/>
  <c r="KP46" i="95"/>
  <c r="KQ46" i="95"/>
  <c r="KR46" i="95"/>
  <c r="KS46" i="95"/>
  <c r="KT46" i="95"/>
  <c r="KU46" i="95"/>
  <c r="KV46" i="95"/>
  <c r="KW46" i="95"/>
  <c r="KX46" i="95"/>
  <c r="KY46" i="95"/>
  <c r="KZ46" i="95"/>
  <c r="LA46" i="95"/>
  <c r="JJ47" i="95"/>
  <c r="JK47" i="95"/>
  <c r="JL47" i="95"/>
  <c r="JM47" i="95"/>
  <c r="JN47" i="95"/>
  <c r="JO47" i="95"/>
  <c r="JP47" i="95"/>
  <c r="JQ47" i="95"/>
  <c r="JR47" i="95"/>
  <c r="JS47" i="95"/>
  <c r="JT47" i="95"/>
  <c r="JU47" i="95"/>
  <c r="JV47" i="95"/>
  <c r="JW47" i="95"/>
  <c r="JX47" i="95"/>
  <c r="JY47" i="95"/>
  <c r="JZ47" i="95"/>
  <c r="KA47" i="95"/>
  <c r="KB47" i="95"/>
  <c r="KC47" i="95"/>
  <c r="KD47" i="95"/>
  <c r="KE47" i="95"/>
  <c r="KF47" i="95"/>
  <c r="KG47" i="95"/>
  <c r="KH47" i="95"/>
  <c r="KI47" i="95"/>
  <c r="KJ47" i="95"/>
  <c r="KK47" i="95"/>
  <c r="KL47" i="95"/>
  <c r="KM47" i="95"/>
  <c r="KN47" i="95"/>
  <c r="KO47" i="95"/>
  <c r="KP47" i="95"/>
  <c r="KQ47" i="95"/>
  <c r="KR47" i="95"/>
  <c r="KS47" i="95"/>
  <c r="KT47" i="95"/>
  <c r="KU47" i="95"/>
  <c r="KV47" i="95"/>
  <c r="KW47" i="95"/>
  <c r="KX47" i="95"/>
  <c r="KY47" i="95"/>
  <c r="KZ47" i="95"/>
  <c r="LA47" i="95"/>
  <c r="JJ48" i="95"/>
  <c r="JK48" i="95"/>
  <c r="JL48" i="95"/>
  <c r="JM48" i="95"/>
  <c r="JN48" i="95"/>
  <c r="JO48" i="95"/>
  <c r="JP48" i="95"/>
  <c r="JQ48" i="95"/>
  <c r="JR48" i="95"/>
  <c r="JS48" i="95"/>
  <c r="JT48" i="95"/>
  <c r="JU48" i="95"/>
  <c r="JV48" i="95"/>
  <c r="JW48" i="95"/>
  <c r="JX48" i="95"/>
  <c r="JY48" i="95"/>
  <c r="JZ48" i="95"/>
  <c r="KA48" i="95"/>
  <c r="KB48" i="95"/>
  <c r="KC48" i="95"/>
  <c r="KD48" i="95"/>
  <c r="KE48" i="95"/>
  <c r="KF48" i="95"/>
  <c r="KG48" i="95"/>
  <c r="KH48" i="95"/>
  <c r="KI48" i="95"/>
  <c r="KJ48" i="95"/>
  <c r="KK48" i="95"/>
  <c r="KL48" i="95"/>
  <c r="KM48" i="95"/>
  <c r="KN48" i="95"/>
  <c r="KO48" i="95"/>
  <c r="KP48" i="95"/>
  <c r="KQ48" i="95"/>
  <c r="KR48" i="95"/>
  <c r="KS48" i="95"/>
  <c r="KT48" i="95"/>
  <c r="KU48" i="95"/>
  <c r="KV48" i="95"/>
  <c r="KW48" i="95"/>
  <c r="KX48" i="95"/>
  <c r="KY48" i="95"/>
  <c r="KZ48" i="95"/>
  <c r="LA48" i="95"/>
  <c r="HR13" i="95"/>
  <c r="HS13" i="95"/>
  <c r="HT13" i="95"/>
  <c r="HU13" i="95"/>
  <c r="HV13" i="95"/>
  <c r="HW13" i="95"/>
  <c r="HX13" i="95"/>
  <c r="HY13" i="95"/>
  <c r="HZ13" i="95"/>
  <c r="IA13" i="95"/>
  <c r="IB13" i="95"/>
  <c r="IC13" i="95"/>
  <c r="ID13" i="95"/>
  <c r="IE13" i="95"/>
  <c r="IF13" i="95"/>
  <c r="IG13" i="95"/>
  <c r="IH13" i="95"/>
  <c r="II13" i="95"/>
  <c r="IJ13" i="95"/>
  <c r="IK13" i="95"/>
  <c r="IL13" i="95"/>
  <c r="IM13" i="95"/>
  <c r="IN13" i="95"/>
  <c r="IO13" i="95"/>
  <c r="IP13" i="95"/>
  <c r="IQ13" i="95"/>
  <c r="IR13" i="95"/>
  <c r="IS13" i="95"/>
  <c r="IT13" i="95"/>
  <c r="IU13" i="95"/>
  <c r="IV13" i="95"/>
  <c r="IW13" i="95"/>
  <c r="IX13" i="95"/>
  <c r="IY13" i="95"/>
  <c r="IZ13" i="95"/>
  <c r="JA13" i="95"/>
  <c r="JB13" i="95"/>
  <c r="JC13" i="95"/>
  <c r="JD13" i="95"/>
  <c r="JE13" i="95"/>
  <c r="JF13" i="95"/>
  <c r="JG13" i="95"/>
  <c r="JH13" i="95"/>
  <c r="JI13" i="95"/>
  <c r="HR14" i="95"/>
  <c r="HS14" i="95"/>
  <c r="HT14" i="95"/>
  <c r="HU14" i="95"/>
  <c r="HV14" i="95"/>
  <c r="HW14" i="95"/>
  <c r="HX14" i="95"/>
  <c r="HY14" i="95"/>
  <c r="HZ14" i="95"/>
  <c r="IA14" i="95"/>
  <c r="IB14" i="95"/>
  <c r="IC14" i="95"/>
  <c r="ID14" i="95"/>
  <c r="IE14" i="95"/>
  <c r="IF14" i="95"/>
  <c r="IG14" i="95"/>
  <c r="IH14" i="95"/>
  <c r="II14" i="95"/>
  <c r="IJ14" i="95"/>
  <c r="IK14" i="95"/>
  <c r="IL14" i="95"/>
  <c r="IM14" i="95"/>
  <c r="IN14" i="95"/>
  <c r="IO14" i="95"/>
  <c r="IP14" i="95"/>
  <c r="IQ14" i="95"/>
  <c r="IR14" i="95"/>
  <c r="IS14" i="95"/>
  <c r="IT14" i="95"/>
  <c r="IU14" i="95"/>
  <c r="IV14" i="95"/>
  <c r="IW14" i="95"/>
  <c r="IX14" i="95"/>
  <c r="IY14" i="95"/>
  <c r="IZ14" i="95"/>
  <c r="JA14" i="95"/>
  <c r="JB14" i="95"/>
  <c r="JC14" i="95"/>
  <c r="JD14" i="95"/>
  <c r="JE14" i="95"/>
  <c r="JF14" i="95"/>
  <c r="JG14" i="95"/>
  <c r="JH14" i="95"/>
  <c r="JI14" i="95"/>
  <c r="HR15" i="95"/>
  <c r="HS15" i="95"/>
  <c r="HT15" i="95"/>
  <c r="HU15" i="95"/>
  <c r="HV15" i="95"/>
  <c r="HW15" i="95"/>
  <c r="HX15" i="95"/>
  <c r="HY15" i="95"/>
  <c r="HZ15" i="95"/>
  <c r="IA15" i="95"/>
  <c r="IB15" i="95"/>
  <c r="IC15" i="95"/>
  <c r="ID15" i="95"/>
  <c r="IE15" i="95"/>
  <c r="IF15" i="95"/>
  <c r="IG15" i="95"/>
  <c r="IH15" i="95"/>
  <c r="II15" i="95"/>
  <c r="IJ15" i="95"/>
  <c r="IK15" i="95"/>
  <c r="IL15" i="95"/>
  <c r="IM15" i="95"/>
  <c r="IN15" i="95"/>
  <c r="IO15" i="95"/>
  <c r="IP15" i="95"/>
  <c r="IQ15" i="95"/>
  <c r="IR15" i="95"/>
  <c r="IS15" i="95"/>
  <c r="IT15" i="95"/>
  <c r="IU15" i="95"/>
  <c r="IV15" i="95"/>
  <c r="IW15" i="95"/>
  <c r="IX15" i="95"/>
  <c r="IY15" i="95"/>
  <c r="IZ15" i="95"/>
  <c r="JA15" i="95"/>
  <c r="JB15" i="95"/>
  <c r="JC15" i="95"/>
  <c r="JD15" i="95"/>
  <c r="JE15" i="95"/>
  <c r="JF15" i="95"/>
  <c r="JG15" i="95"/>
  <c r="JH15" i="95"/>
  <c r="JI15" i="95"/>
  <c r="HR16" i="95"/>
  <c r="HS16" i="95"/>
  <c r="HT16" i="95"/>
  <c r="HU16" i="95"/>
  <c r="HV16" i="95"/>
  <c r="HW16" i="95"/>
  <c r="HX16" i="95"/>
  <c r="HY16" i="95"/>
  <c r="HZ16" i="95"/>
  <c r="IA16" i="95"/>
  <c r="IB16" i="95"/>
  <c r="IC16" i="95"/>
  <c r="ID16" i="95"/>
  <c r="IE16" i="95"/>
  <c r="IF16" i="95"/>
  <c r="IG16" i="95"/>
  <c r="IH16" i="95"/>
  <c r="II16" i="95"/>
  <c r="IJ16" i="95"/>
  <c r="IK16" i="95"/>
  <c r="IL16" i="95"/>
  <c r="IM16" i="95"/>
  <c r="IN16" i="95"/>
  <c r="IO16" i="95"/>
  <c r="IP16" i="95"/>
  <c r="IQ16" i="95"/>
  <c r="IR16" i="95"/>
  <c r="IS16" i="95"/>
  <c r="IT16" i="95"/>
  <c r="IU16" i="95"/>
  <c r="IV16" i="95"/>
  <c r="IW16" i="95"/>
  <c r="IX16" i="95"/>
  <c r="IY16" i="95"/>
  <c r="IZ16" i="95"/>
  <c r="JA16" i="95"/>
  <c r="JB16" i="95"/>
  <c r="JC16" i="95"/>
  <c r="JD16" i="95"/>
  <c r="JE16" i="95"/>
  <c r="JF16" i="95"/>
  <c r="JG16" i="95"/>
  <c r="JH16" i="95"/>
  <c r="JI16" i="95"/>
  <c r="HR17" i="95"/>
  <c r="HS17" i="95"/>
  <c r="HT17" i="95"/>
  <c r="HU17" i="95"/>
  <c r="HV17" i="95"/>
  <c r="HW17" i="95"/>
  <c r="HX17" i="95"/>
  <c r="HY17" i="95"/>
  <c r="HZ17" i="95"/>
  <c r="IA17" i="95"/>
  <c r="IB17" i="95"/>
  <c r="IC17" i="95"/>
  <c r="ID17" i="95"/>
  <c r="IE17" i="95"/>
  <c r="IF17" i="95"/>
  <c r="IG17" i="95"/>
  <c r="IH17" i="95"/>
  <c r="II17" i="95"/>
  <c r="IJ17" i="95"/>
  <c r="IK17" i="95"/>
  <c r="IL17" i="95"/>
  <c r="IM17" i="95"/>
  <c r="IN17" i="95"/>
  <c r="IO17" i="95"/>
  <c r="IP17" i="95"/>
  <c r="IQ17" i="95"/>
  <c r="IR17" i="95"/>
  <c r="IS17" i="95"/>
  <c r="IT17" i="95"/>
  <c r="IU17" i="95"/>
  <c r="IV17" i="95"/>
  <c r="IW17" i="95"/>
  <c r="IX17" i="95"/>
  <c r="IY17" i="95"/>
  <c r="IZ17" i="95"/>
  <c r="JA17" i="95"/>
  <c r="JB17" i="95"/>
  <c r="JC17" i="95"/>
  <c r="JD17" i="95"/>
  <c r="JE17" i="95"/>
  <c r="JF17" i="95"/>
  <c r="JG17" i="95"/>
  <c r="JH17" i="95"/>
  <c r="JI17" i="95"/>
  <c r="HR18" i="95"/>
  <c r="HS18" i="95"/>
  <c r="HT18" i="95"/>
  <c r="HU18" i="95"/>
  <c r="HV18" i="95"/>
  <c r="HW18" i="95"/>
  <c r="HX18" i="95"/>
  <c r="HY18" i="95"/>
  <c r="HZ18" i="95"/>
  <c r="IA18" i="95"/>
  <c r="IB18" i="95"/>
  <c r="IC18" i="95"/>
  <c r="ID18" i="95"/>
  <c r="IE18" i="95"/>
  <c r="IF18" i="95"/>
  <c r="IG18" i="95"/>
  <c r="IH18" i="95"/>
  <c r="II18" i="95"/>
  <c r="IJ18" i="95"/>
  <c r="IK18" i="95"/>
  <c r="IL18" i="95"/>
  <c r="IM18" i="95"/>
  <c r="IN18" i="95"/>
  <c r="IO18" i="95"/>
  <c r="IP18" i="95"/>
  <c r="IQ18" i="95"/>
  <c r="IR18" i="95"/>
  <c r="IS18" i="95"/>
  <c r="IT18" i="95"/>
  <c r="IU18" i="95"/>
  <c r="IV18" i="95"/>
  <c r="IW18" i="95"/>
  <c r="IX18" i="95"/>
  <c r="IY18" i="95"/>
  <c r="IZ18" i="95"/>
  <c r="JA18" i="95"/>
  <c r="JB18" i="95"/>
  <c r="JC18" i="95"/>
  <c r="JD18" i="95"/>
  <c r="JE18" i="95"/>
  <c r="JF18" i="95"/>
  <c r="JG18" i="95"/>
  <c r="JH18" i="95"/>
  <c r="JI18" i="95"/>
  <c r="HR19" i="95"/>
  <c r="HS19" i="95"/>
  <c r="HT19" i="95"/>
  <c r="HU19" i="95"/>
  <c r="HV19" i="95"/>
  <c r="HW19" i="95"/>
  <c r="HX19" i="95"/>
  <c r="HY19" i="95"/>
  <c r="HZ19" i="95"/>
  <c r="IA19" i="95"/>
  <c r="IB19" i="95"/>
  <c r="IC19" i="95"/>
  <c r="ID19" i="95"/>
  <c r="IE19" i="95"/>
  <c r="IF19" i="95"/>
  <c r="IG19" i="95"/>
  <c r="IH19" i="95"/>
  <c r="II19" i="95"/>
  <c r="IJ19" i="95"/>
  <c r="IK19" i="95"/>
  <c r="IL19" i="95"/>
  <c r="IM19" i="95"/>
  <c r="IN19" i="95"/>
  <c r="IO19" i="95"/>
  <c r="IP19" i="95"/>
  <c r="IQ19" i="95"/>
  <c r="IR19" i="95"/>
  <c r="IS19" i="95"/>
  <c r="IT19" i="95"/>
  <c r="IU19" i="95"/>
  <c r="IV19" i="95"/>
  <c r="IW19" i="95"/>
  <c r="IX19" i="95"/>
  <c r="IY19" i="95"/>
  <c r="IZ19" i="95"/>
  <c r="JA19" i="95"/>
  <c r="JB19" i="95"/>
  <c r="JC19" i="95"/>
  <c r="JD19" i="95"/>
  <c r="JE19" i="95"/>
  <c r="JF19" i="95"/>
  <c r="JG19" i="95"/>
  <c r="JH19" i="95"/>
  <c r="JI19" i="95"/>
  <c r="HR20" i="95"/>
  <c r="HS20" i="95"/>
  <c r="HT20" i="95"/>
  <c r="HU20" i="95"/>
  <c r="HV20" i="95"/>
  <c r="HW20" i="95"/>
  <c r="HX20" i="95"/>
  <c r="HY20" i="95"/>
  <c r="HZ20" i="95"/>
  <c r="IA20" i="95"/>
  <c r="IB20" i="95"/>
  <c r="IC20" i="95"/>
  <c r="ID20" i="95"/>
  <c r="IE20" i="95"/>
  <c r="IF20" i="95"/>
  <c r="IG20" i="95"/>
  <c r="IH20" i="95"/>
  <c r="II20" i="95"/>
  <c r="IJ20" i="95"/>
  <c r="IK20" i="95"/>
  <c r="IL20" i="95"/>
  <c r="IM20" i="95"/>
  <c r="IN20" i="95"/>
  <c r="IO20" i="95"/>
  <c r="IP20" i="95"/>
  <c r="IQ20" i="95"/>
  <c r="IR20" i="95"/>
  <c r="IS20" i="95"/>
  <c r="IT20" i="95"/>
  <c r="IU20" i="95"/>
  <c r="IV20" i="95"/>
  <c r="IW20" i="95"/>
  <c r="IX20" i="95"/>
  <c r="IY20" i="95"/>
  <c r="IZ20" i="95"/>
  <c r="JA20" i="95"/>
  <c r="JB20" i="95"/>
  <c r="JC20" i="95"/>
  <c r="JD20" i="95"/>
  <c r="JE20" i="95"/>
  <c r="JF20" i="95"/>
  <c r="JG20" i="95"/>
  <c r="JH20" i="95"/>
  <c r="JI20" i="95"/>
  <c r="HR21" i="95"/>
  <c r="HS21" i="95"/>
  <c r="HT21" i="95"/>
  <c r="HU21" i="95"/>
  <c r="HV21" i="95"/>
  <c r="HW21" i="95"/>
  <c r="HX21" i="95"/>
  <c r="HY21" i="95"/>
  <c r="HZ21" i="95"/>
  <c r="IA21" i="95"/>
  <c r="IB21" i="95"/>
  <c r="IC21" i="95"/>
  <c r="ID21" i="95"/>
  <c r="IE21" i="95"/>
  <c r="IF21" i="95"/>
  <c r="IG21" i="95"/>
  <c r="IH21" i="95"/>
  <c r="II21" i="95"/>
  <c r="IJ21" i="95"/>
  <c r="IK21" i="95"/>
  <c r="IL21" i="95"/>
  <c r="IM21" i="95"/>
  <c r="IN21" i="95"/>
  <c r="IO21" i="95"/>
  <c r="IP21" i="95"/>
  <c r="IQ21" i="95"/>
  <c r="IR21" i="95"/>
  <c r="IS21" i="95"/>
  <c r="IT21" i="95"/>
  <c r="IU21" i="95"/>
  <c r="IV21" i="95"/>
  <c r="IW21" i="95"/>
  <c r="IX21" i="95"/>
  <c r="IY21" i="95"/>
  <c r="IZ21" i="95"/>
  <c r="JA21" i="95"/>
  <c r="JB21" i="95"/>
  <c r="JC21" i="95"/>
  <c r="JD21" i="95"/>
  <c r="JE21" i="95"/>
  <c r="JF21" i="95"/>
  <c r="JG21" i="95"/>
  <c r="JH21" i="95"/>
  <c r="JI21" i="95"/>
  <c r="HR22" i="95"/>
  <c r="HS22" i="95"/>
  <c r="HT22" i="95"/>
  <c r="HU22" i="95"/>
  <c r="HV22" i="95"/>
  <c r="HW22" i="95"/>
  <c r="HX22" i="95"/>
  <c r="HY22" i="95"/>
  <c r="HZ22" i="95"/>
  <c r="IA22" i="95"/>
  <c r="IB22" i="95"/>
  <c r="IC22" i="95"/>
  <c r="ID22" i="95"/>
  <c r="IE22" i="95"/>
  <c r="IF22" i="95"/>
  <c r="IG22" i="95"/>
  <c r="IH22" i="95"/>
  <c r="II22" i="95"/>
  <c r="IJ22" i="95"/>
  <c r="IK22" i="95"/>
  <c r="IL22" i="95"/>
  <c r="IM22" i="95"/>
  <c r="IN22" i="95"/>
  <c r="IO22" i="95"/>
  <c r="IP22" i="95"/>
  <c r="IQ22" i="95"/>
  <c r="IR22" i="95"/>
  <c r="IS22" i="95"/>
  <c r="IT22" i="95"/>
  <c r="IU22" i="95"/>
  <c r="IV22" i="95"/>
  <c r="IW22" i="95"/>
  <c r="IX22" i="95"/>
  <c r="IY22" i="95"/>
  <c r="IZ22" i="95"/>
  <c r="JA22" i="95"/>
  <c r="JB22" i="95"/>
  <c r="JC22" i="95"/>
  <c r="JD22" i="95"/>
  <c r="JE22" i="95"/>
  <c r="JF22" i="95"/>
  <c r="JG22" i="95"/>
  <c r="JH22" i="95"/>
  <c r="JI22" i="95"/>
  <c r="HR23" i="95"/>
  <c r="HS23" i="95"/>
  <c r="HT23" i="95"/>
  <c r="HU23" i="95"/>
  <c r="HV23" i="95"/>
  <c r="HW23" i="95"/>
  <c r="HX23" i="95"/>
  <c r="HY23" i="95"/>
  <c r="HZ23" i="95"/>
  <c r="IA23" i="95"/>
  <c r="IB23" i="95"/>
  <c r="IC23" i="95"/>
  <c r="ID23" i="95"/>
  <c r="IE23" i="95"/>
  <c r="IF23" i="95"/>
  <c r="IG23" i="95"/>
  <c r="IH23" i="95"/>
  <c r="II23" i="95"/>
  <c r="IJ23" i="95"/>
  <c r="IK23" i="95"/>
  <c r="IL23" i="95"/>
  <c r="IM23" i="95"/>
  <c r="IN23" i="95"/>
  <c r="IO23" i="95"/>
  <c r="IP23" i="95"/>
  <c r="IQ23" i="95"/>
  <c r="IR23" i="95"/>
  <c r="IS23" i="95"/>
  <c r="IT23" i="95"/>
  <c r="IU23" i="95"/>
  <c r="IV23" i="95"/>
  <c r="IW23" i="95"/>
  <c r="IX23" i="95"/>
  <c r="IY23" i="95"/>
  <c r="IZ23" i="95"/>
  <c r="JA23" i="95"/>
  <c r="JB23" i="95"/>
  <c r="JC23" i="95"/>
  <c r="JD23" i="95"/>
  <c r="JE23" i="95"/>
  <c r="JF23" i="95"/>
  <c r="JG23" i="95"/>
  <c r="JH23" i="95"/>
  <c r="JI23" i="95"/>
  <c r="HR24" i="95"/>
  <c r="HS24" i="95"/>
  <c r="HT24" i="95"/>
  <c r="HU24" i="95"/>
  <c r="HV24" i="95"/>
  <c r="HW24" i="95"/>
  <c r="HX24" i="95"/>
  <c r="HY24" i="95"/>
  <c r="HZ24" i="95"/>
  <c r="IA24" i="95"/>
  <c r="IB24" i="95"/>
  <c r="IC24" i="95"/>
  <c r="ID24" i="95"/>
  <c r="IE24" i="95"/>
  <c r="IF24" i="95"/>
  <c r="IG24" i="95"/>
  <c r="IH24" i="95"/>
  <c r="II24" i="95"/>
  <c r="IJ24" i="95"/>
  <c r="IK24" i="95"/>
  <c r="IL24" i="95"/>
  <c r="IM24" i="95"/>
  <c r="IN24" i="95"/>
  <c r="IO24" i="95"/>
  <c r="IP24" i="95"/>
  <c r="IQ24" i="95"/>
  <c r="IR24" i="95"/>
  <c r="IS24" i="95"/>
  <c r="IT24" i="95"/>
  <c r="IU24" i="95"/>
  <c r="IV24" i="95"/>
  <c r="IW24" i="95"/>
  <c r="IX24" i="95"/>
  <c r="IY24" i="95"/>
  <c r="IZ24" i="95"/>
  <c r="JA24" i="95"/>
  <c r="JB24" i="95"/>
  <c r="JC24" i="95"/>
  <c r="JD24" i="95"/>
  <c r="JE24" i="95"/>
  <c r="JF24" i="95"/>
  <c r="JG24" i="95"/>
  <c r="JH24" i="95"/>
  <c r="JI24" i="95"/>
  <c r="HR25" i="95"/>
  <c r="HS25" i="95"/>
  <c r="HT25" i="95"/>
  <c r="HU25" i="95"/>
  <c r="HV25" i="95"/>
  <c r="HW25" i="95"/>
  <c r="HX25" i="95"/>
  <c r="HY25" i="95"/>
  <c r="HZ25" i="95"/>
  <c r="IA25" i="95"/>
  <c r="IB25" i="95"/>
  <c r="IC25" i="95"/>
  <c r="ID25" i="95"/>
  <c r="IE25" i="95"/>
  <c r="IF25" i="95"/>
  <c r="IG25" i="95"/>
  <c r="IH25" i="95"/>
  <c r="II25" i="95"/>
  <c r="IJ25" i="95"/>
  <c r="IK25" i="95"/>
  <c r="IL25" i="95"/>
  <c r="IM25" i="95"/>
  <c r="IN25" i="95"/>
  <c r="IO25" i="95"/>
  <c r="IP25" i="95"/>
  <c r="IQ25" i="95"/>
  <c r="IR25" i="95"/>
  <c r="IS25" i="95"/>
  <c r="IT25" i="95"/>
  <c r="IU25" i="95"/>
  <c r="IV25" i="95"/>
  <c r="IW25" i="95"/>
  <c r="IX25" i="95"/>
  <c r="IY25" i="95"/>
  <c r="IZ25" i="95"/>
  <c r="JA25" i="95"/>
  <c r="JB25" i="95"/>
  <c r="JC25" i="95"/>
  <c r="JD25" i="95"/>
  <c r="JE25" i="95"/>
  <c r="JF25" i="95"/>
  <c r="JG25" i="95"/>
  <c r="JH25" i="95"/>
  <c r="JI25" i="95"/>
  <c r="HR26" i="95"/>
  <c r="HS26" i="95"/>
  <c r="HT26" i="95"/>
  <c r="HU26" i="95"/>
  <c r="HV26" i="95"/>
  <c r="HW26" i="95"/>
  <c r="HX26" i="95"/>
  <c r="HY26" i="95"/>
  <c r="HZ26" i="95"/>
  <c r="IA26" i="95"/>
  <c r="IB26" i="95"/>
  <c r="IC26" i="95"/>
  <c r="ID26" i="95"/>
  <c r="IE26" i="95"/>
  <c r="IF26" i="95"/>
  <c r="IG26" i="95"/>
  <c r="IH26" i="95"/>
  <c r="II26" i="95"/>
  <c r="IJ26" i="95"/>
  <c r="IK26" i="95"/>
  <c r="IL26" i="95"/>
  <c r="IM26" i="95"/>
  <c r="IN26" i="95"/>
  <c r="IO26" i="95"/>
  <c r="IP26" i="95"/>
  <c r="IQ26" i="95"/>
  <c r="IR26" i="95"/>
  <c r="IS26" i="95"/>
  <c r="IT26" i="95"/>
  <c r="IU26" i="95"/>
  <c r="IV26" i="95"/>
  <c r="IW26" i="95"/>
  <c r="IX26" i="95"/>
  <c r="IY26" i="95"/>
  <c r="IZ26" i="95"/>
  <c r="JA26" i="95"/>
  <c r="JB26" i="95"/>
  <c r="JC26" i="95"/>
  <c r="JD26" i="95"/>
  <c r="JE26" i="95"/>
  <c r="JF26" i="95"/>
  <c r="JG26" i="95"/>
  <c r="JH26" i="95"/>
  <c r="JI26" i="95"/>
  <c r="HR27" i="95"/>
  <c r="HS27" i="95"/>
  <c r="HT27" i="95"/>
  <c r="HU27" i="95"/>
  <c r="HV27" i="95"/>
  <c r="HW27" i="95"/>
  <c r="HX27" i="95"/>
  <c r="HY27" i="95"/>
  <c r="HZ27" i="95"/>
  <c r="IA27" i="95"/>
  <c r="IB27" i="95"/>
  <c r="IC27" i="95"/>
  <c r="ID27" i="95"/>
  <c r="IE27" i="95"/>
  <c r="IF27" i="95"/>
  <c r="IG27" i="95"/>
  <c r="IH27" i="95"/>
  <c r="II27" i="95"/>
  <c r="IJ27" i="95"/>
  <c r="IK27" i="95"/>
  <c r="IL27" i="95"/>
  <c r="IM27" i="95"/>
  <c r="IN27" i="95"/>
  <c r="IO27" i="95"/>
  <c r="IP27" i="95"/>
  <c r="IQ27" i="95"/>
  <c r="IR27" i="95"/>
  <c r="IS27" i="95"/>
  <c r="IT27" i="95"/>
  <c r="IU27" i="95"/>
  <c r="IV27" i="95"/>
  <c r="IW27" i="95"/>
  <c r="IX27" i="95"/>
  <c r="IY27" i="95"/>
  <c r="IZ27" i="95"/>
  <c r="JA27" i="95"/>
  <c r="JB27" i="95"/>
  <c r="JC27" i="95"/>
  <c r="JD27" i="95"/>
  <c r="JE27" i="95"/>
  <c r="JF27" i="95"/>
  <c r="JG27" i="95"/>
  <c r="JH27" i="95"/>
  <c r="JI27" i="95"/>
  <c r="HR28" i="95"/>
  <c r="HS28" i="95"/>
  <c r="HT28" i="95"/>
  <c r="HU28" i="95"/>
  <c r="HV28" i="95"/>
  <c r="HW28" i="95"/>
  <c r="HX28" i="95"/>
  <c r="HY28" i="95"/>
  <c r="HZ28" i="95"/>
  <c r="IA28" i="95"/>
  <c r="IB28" i="95"/>
  <c r="IC28" i="95"/>
  <c r="ID28" i="95"/>
  <c r="IE28" i="95"/>
  <c r="IF28" i="95"/>
  <c r="IG28" i="95"/>
  <c r="IH28" i="95"/>
  <c r="II28" i="95"/>
  <c r="IJ28" i="95"/>
  <c r="IK28" i="95"/>
  <c r="IL28" i="95"/>
  <c r="IM28" i="95"/>
  <c r="IN28" i="95"/>
  <c r="IO28" i="95"/>
  <c r="IP28" i="95"/>
  <c r="IQ28" i="95"/>
  <c r="IR28" i="95"/>
  <c r="IS28" i="95"/>
  <c r="IT28" i="95"/>
  <c r="IU28" i="95"/>
  <c r="IV28" i="95"/>
  <c r="IW28" i="95"/>
  <c r="IX28" i="95"/>
  <c r="IY28" i="95"/>
  <c r="IZ28" i="95"/>
  <c r="JA28" i="95"/>
  <c r="JB28" i="95"/>
  <c r="JC28" i="95"/>
  <c r="JD28" i="95"/>
  <c r="JE28" i="95"/>
  <c r="JF28" i="95"/>
  <c r="JG28" i="95"/>
  <c r="JH28" i="95"/>
  <c r="JI28" i="95"/>
  <c r="HR29" i="95"/>
  <c r="HS29" i="95"/>
  <c r="HT29" i="95"/>
  <c r="HU29" i="95"/>
  <c r="HV29" i="95"/>
  <c r="HW29" i="95"/>
  <c r="HX29" i="95"/>
  <c r="HY29" i="95"/>
  <c r="HZ29" i="95"/>
  <c r="IA29" i="95"/>
  <c r="IB29" i="95"/>
  <c r="IC29" i="95"/>
  <c r="ID29" i="95"/>
  <c r="IE29" i="95"/>
  <c r="IF29" i="95"/>
  <c r="IG29" i="95"/>
  <c r="IH29" i="95"/>
  <c r="II29" i="95"/>
  <c r="IJ29" i="95"/>
  <c r="IK29" i="95"/>
  <c r="IL29" i="95"/>
  <c r="IM29" i="95"/>
  <c r="IN29" i="95"/>
  <c r="IO29" i="95"/>
  <c r="IP29" i="95"/>
  <c r="IQ29" i="95"/>
  <c r="IR29" i="95"/>
  <c r="IS29" i="95"/>
  <c r="IT29" i="95"/>
  <c r="IU29" i="95"/>
  <c r="IV29" i="95"/>
  <c r="IW29" i="95"/>
  <c r="IX29" i="95"/>
  <c r="IY29" i="95"/>
  <c r="IZ29" i="95"/>
  <c r="JA29" i="95"/>
  <c r="JB29" i="95"/>
  <c r="JC29" i="95"/>
  <c r="JD29" i="95"/>
  <c r="JE29" i="95"/>
  <c r="JF29" i="95"/>
  <c r="JG29" i="95"/>
  <c r="JH29" i="95"/>
  <c r="JI29" i="95"/>
  <c r="HR30" i="95"/>
  <c r="HS30" i="95"/>
  <c r="HT30" i="95"/>
  <c r="HU30" i="95"/>
  <c r="HV30" i="95"/>
  <c r="HW30" i="95"/>
  <c r="HX30" i="95"/>
  <c r="HY30" i="95"/>
  <c r="HZ30" i="95"/>
  <c r="IA30" i="95"/>
  <c r="IB30" i="95"/>
  <c r="IC30" i="95"/>
  <c r="ID30" i="95"/>
  <c r="IE30" i="95"/>
  <c r="IF30" i="95"/>
  <c r="IG30" i="95"/>
  <c r="IH30" i="95"/>
  <c r="II30" i="95"/>
  <c r="IJ30" i="95"/>
  <c r="IK30" i="95"/>
  <c r="IL30" i="95"/>
  <c r="IM30" i="95"/>
  <c r="IN30" i="95"/>
  <c r="IO30" i="95"/>
  <c r="IP30" i="95"/>
  <c r="IQ30" i="95"/>
  <c r="IR30" i="95"/>
  <c r="IS30" i="95"/>
  <c r="IT30" i="95"/>
  <c r="IU30" i="95"/>
  <c r="IV30" i="95"/>
  <c r="IW30" i="95"/>
  <c r="IX30" i="95"/>
  <c r="IY30" i="95"/>
  <c r="IZ30" i="95"/>
  <c r="JA30" i="95"/>
  <c r="JB30" i="95"/>
  <c r="JC30" i="95"/>
  <c r="JD30" i="95"/>
  <c r="JE30" i="95"/>
  <c r="JF30" i="95"/>
  <c r="JG30" i="95"/>
  <c r="JH30" i="95"/>
  <c r="JI30" i="95"/>
  <c r="HR31" i="95"/>
  <c r="HS31" i="95"/>
  <c r="HT31" i="95"/>
  <c r="HU31" i="95"/>
  <c r="HV31" i="95"/>
  <c r="HW31" i="95"/>
  <c r="HX31" i="95"/>
  <c r="HY31" i="95"/>
  <c r="HZ31" i="95"/>
  <c r="IA31" i="95"/>
  <c r="IB31" i="95"/>
  <c r="IC31" i="95"/>
  <c r="ID31" i="95"/>
  <c r="IE31" i="95"/>
  <c r="IF31" i="95"/>
  <c r="IG31" i="95"/>
  <c r="IH31" i="95"/>
  <c r="II31" i="95"/>
  <c r="IJ31" i="95"/>
  <c r="IK31" i="95"/>
  <c r="IL31" i="95"/>
  <c r="IM31" i="95"/>
  <c r="IN31" i="95"/>
  <c r="IO31" i="95"/>
  <c r="IP31" i="95"/>
  <c r="IQ31" i="95"/>
  <c r="IR31" i="95"/>
  <c r="IS31" i="95"/>
  <c r="IT31" i="95"/>
  <c r="IU31" i="95"/>
  <c r="IV31" i="95"/>
  <c r="IW31" i="95"/>
  <c r="IX31" i="95"/>
  <c r="IY31" i="95"/>
  <c r="IZ31" i="95"/>
  <c r="JA31" i="95"/>
  <c r="JB31" i="95"/>
  <c r="JC31" i="95"/>
  <c r="JD31" i="95"/>
  <c r="JE31" i="95"/>
  <c r="JF31" i="95"/>
  <c r="JG31" i="95"/>
  <c r="JH31" i="95"/>
  <c r="JI31" i="95"/>
  <c r="HR32" i="95"/>
  <c r="HS32" i="95"/>
  <c r="HT32" i="95"/>
  <c r="HU32" i="95"/>
  <c r="HV32" i="95"/>
  <c r="HW32" i="95"/>
  <c r="HX32" i="95"/>
  <c r="HY32" i="95"/>
  <c r="HZ32" i="95"/>
  <c r="IA32" i="95"/>
  <c r="IB32" i="95"/>
  <c r="IC32" i="95"/>
  <c r="ID32" i="95"/>
  <c r="IE32" i="95"/>
  <c r="IF32" i="95"/>
  <c r="IG32" i="95"/>
  <c r="IH32" i="95"/>
  <c r="II32" i="95"/>
  <c r="IJ32" i="95"/>
  <c r="IK32" i="95"/>
  <c r="IL32" i="95"/>
  <c r="IM32" i="95"/>
  <c r="IN32" i="95"/>
  <c r="IO32" i="95"/>
  <c r="IP32" i="95"/>
  <c r="IQ32" i="95"/>
  <c r="IR32" i="95"/>
  <c r="IS32" i="95"/>
  <c r="IT32" i="95"/>
  <c r="IU32" i="95"/>
  <c r="IV32" i="95"/>
  <c r="IW32" i="95"/>
  <c r="IX32" i="95"/>
  <c r="IY32" i="95"/>
  <c r="IZ32" i="95"/>
  <c r="JA32" i="95"/>
  <c r="JB32" i="95"/>
  <c r="JC32" i="95"/>
  <c r="JD32" i="95"/>
  <c r="JE32" i="95"/>
  <c r="JF32" i="95"/>
  <c r="JG32" i="95"/>
  <c r="JH32" i="95"/>
  <c r="JI32" i="95"/>
  <c r="HR33" i="95"/>
  <c r="HS33" i="95"/>
  <c r="HT33" i="95"/>
  <c r="HU33" i="95"/>
  <c r="HV33" i="95"/>
  <c r="HW33" i="95"/>
  <c r="HX33" i="95"/>
  <c r="HY33" i="95"/>
  <c r="HZ33" i="95"/>
  <c r="IA33" i="95"/>
  <c r="IB33" i="95"/>
  <c r="IC33" i="95"/>
  <c r="ID33" i="95"/>
  <c r="IE33" i="95"/>
  <c r="IF33" i="95"/>
  <c r="IG33" i="95"/>
  <c r="IH33" i="95"/>
  <c r="II33" i="95"/>
  <c r="IJ33" i="95"/>
  <c r="IK33" i="95"/>
  <c r="IL33" i="95"/>
  <c r="IM33" i="95"/>
  <c r="IN33" i="95"/>
  <c r="IO33" i="95"/>
  <c r="IP33" i="95"/>
  <c r="IQ33" i="95"/>
  <c r="IR33" i="95"/>
  <c r="IS33" i="95"/>
  <c r="IT33" i="95"/>
  <c r="IU33" i="95"/>
  <c r="IV33" i="95"/>
  <c r="IW33" i="95"/>
  <c r="IX33" i="95"/>
  <c r="IY33" i="95"/>
  <c r="IZ33" i="95"/>
  <c r="JA33" i="95"/>
  <c r="JB33" i="95"/>
  <c r="JC33" i="95"/>
  <c r="JD33" i="95"/>
  <c r="JE33" i="95"/>
  <c r="JF33" i="95"/>
  <c r="JG33" i="95"/>
  <c r="JH33" i="95"/>
  <c r="JI33" i="95"/>
  <c r="HR34" i="95"/>
  <c r="HS34" i="95"/>
  <c r="HT34" i="95"/>
  <c r="HU34" i="95"/>
  <c r="HV34" i="95"/>
  <c r="HW34" i="95"/>
  <c r="HX34" i="95"/>
  <c r="HY34" i="95"/>
  <c r="HZ34" i="95"/>
  <c r="IA34" i="95"/>
  <c r="IB34" i="95"/>
  <c r="IC34" i="95"/>
  <c r="ID34" i="95"/>
  <c r="IE34" i="95"/>
  <c r="IF34" i="95"/>
  <c r="IG34" i="95"/>
  <c r="IH34" i="95"/>
  <c r="II34" i="95"/>
  <c r="IJ34" i="95"/>
  <c r="IK34" i="95"/>
  <c r="IL34" i="95"/>
  <c r="IM34" i="95"/>
  <c r="IN34" i="95"/>
  <c r="IO34" i="95"/>
  <c r="IP34" i="95"/>
  <c r="IQ34" i="95"/>
  <c r="IR34" i="95"/>
  <c r="IS34" i="95"/>
  <c r="IT34" i="95"/>
  <c r="IU34" i="95"/>
  <c r="IV34" i="95"/>
  <c r="IW34" i="95"/>
  <c r="IX34" i="95"/>
  <c r="IY34" i="95"/>
  <c r="IZ34" i="95"/>
  <c r="JA34" i="95"/>
  <c r="JB34" i="95"/>
  <c r="JC34" i="95"/>
  <c r="JD34" i="95"/>
  <c r="JE34" i="95"/>
  <c r="JF34" i="95"/>
  <c r="JG34" i="95"/>
  <c r="JH34" i="95"/>
  <c r="JI34" i="95"/>
  <c r="HR35" i="95"/>
  <c r="HS35" i="95"/>
  <c r="HT35" i="95"/>
  <c r="HU35" i="95"/>
  <c r="HV35" i="95"/>
  <c r="HW35" i="95"/>
  <c r="HX35" i="95"/>
  <c r="HY35" i="95"/>
  <c r="HZ35" i="95"/>
  <c r="IA35" i="95"/>
  <c r="IB35" i="95"/>
  <c r="IC35" i="95"/>
  <c r="ID35" i="95"/>
  <c r="IE35" i="95"/>
  <c r="IF35" i="95"/>
  <c r="IG35" i="95"/>
  <c r="IH35" i="95"/>
  <c r="II35" i="95"/>
  <c r="IJ35" i="95"/>
  <c r="IK35" i="95"/>
  <c r="IL35" i="95"/>
  <c r="IM35" i="95"/>
  <c r="IN35" i="95"/>
  <c r="IO35" i="95"/>
  <c r="IP35" i="95"/>
  <c r="IQ35" i="95"/>
  <c r="IR35" i="95"/>
  <c r="IS35" i="95"/>
  <c r="IT35" i="95"/>
  <c r="IU35" i="95"/>
  <c r="IV35" i="95"/>
  <c r="IW35" i="95"/>
  <c r="IX35" i="95"/>
  <c r="IY35" i="95"/>
  <c r="IZ35" i="95"/>
  <c r="JA35" i="95"/>
  <c r="JB35" i="95"/>
  <c r="JC35" i="95"/>
  <c r="JD35" i="95"/>
  <c r="JE35" i="95"/>
  <c r="JF35" i="95"/>
  <c r="JG35" i="95"/>
  <c r="JH35" i="95"/>
  <c r="JI35" i="95"/>
  <c r="HR36" i="95"/>
  <c r="HS36" i="95"/>
  <c r="HT36" i="95"/>
  <c r="HU36" i="95"/>
  <c r="HV36" i="95"/>
  <c r="HW36" i="95"/>
  <c r="HX36" i="95"/>
  <c r="HY36" i="95"/>
  <c r="HZ36" i="95"/>
  <c r="IA36" i="95"/>
  <c r="IB36" i="95"/>
  <c r="IC36" i="95"/>
  <c r="ID36" i="95"/>
  <c r="IE36" i="95"/>
  <c r="IF36" i="95"/>
  <c r="IG36" i="95"/>
  <c r="IH36" i="95"/>
  <c r="II36" i="95"/>
  <c r="IJ36" i="95"/>
  <c r="IK36" i="95"/>
  <c r="IL36" i="95"/>
  <c r="IM36" i="95"/>
  <c r="IN36" i="95"/>
  <c r="IO36" i="95"/>
  <c r="IP36" i="95"/>
  <c r="IQ36" i="95"/>
  <c r="IR36" i="95"/>
  <c r="IS36" i="95"/>
  <c r="IT36" i="95"/>
  <c r="IU36" i="95"/>
  <c r="IV36" i="95"/>
  <c r="IW36" i="95"/>
  <c r="IX36" i="95"/>
  <c r="IY36" i="95"/>
  <c r="IZ36" i="95"/>
  <c r="JA36" i="95"/>
  <c r="JB36" i="95"/>
  <c r="JC36" i="95"/>
  <c r="JD36" i="95"/>
  <c r="JE36" i="95"/>
  <c r="JF36" i="95"/>
  <c r="JG36" i="95"/>
  <c r="JH36" i="95"/>
  <c r="JI36" i="95"/>
  <c r="HR37" i="95"/>
  <c r="HS37" i="95"/>
  <c r="HT37" i="95"/>
  <c r="HU37" i="95"/>
  <c r="HV37" i="95"/>
  <c r="HW37" i="95"/>
  <c r="HX37" i="95"/>
  <c r="HY37" i="95"/>
  <c r="HZ37" i="95"/>
  <c r="IA37" i="95"/>
  <c r="IB37" i="95"/>
  <c r="IC37" i="95"/>
  <c r="ID37" i="95"/>
  <c r="IE37" i="95"/>
  <c r="IF37" i="95"/>
  <c r="IG37" i="95"/>
  <c r="IH37" i="95"/>
  <c r="II37" i="95"/>
  <c r="IJ37" i="95"/>
  <c r="IK37" i="95"/>
  <c r="IL37" i="95"/>
  <c r="IM37" i="95"/>
  <c r="IN37" i="95"/>
  <c r="IO37" i="95"/>
  <c r="IP37" i="95"/>
  <c r="IQ37" i="95"/>
  <c r="IR37" i="95"/>
  <c r="IS37" i="95"/>
  <c r="IT37" i="95"/>
  <c r="IU37" i="95"/>
  <c r="IV37" i="95"/>
  <c r="IW37" i="95"/>
  <c r="IX37" i="95"/>
  <c r="IY37" i="95"/>
  <c r="IZ37" i="95"/>
  <c r="JA37" i="95"/>
  <c r="JB37" i="95"/>
  <c r="JC37" i="95"/>
  <c r="JD37" i="95"/>
  <c r="JE37" i="95"/>
  <c r="JF37" i="95"/>
  <c r="JG37" i="95"/>
  <c r="JH37" i="95"/>
  <c r="JI37" i="95"/>
  <c r="HR38" i="95"/>
  <c r="HS38" i="95"/>
  <c r="HT38" i="95"/>
  <c r="HU38" i="95"/>
  <c r="HV38" i="95"/>
  <c r="HW38" i="95"/>
  <c r="HX38" i="95"/>
  <c r="HY38" i="95"/>
  <c r="HZ38" i="95"/>
  <c r="IA38" i="95"/>
  <c r="IB38" i="95"/>
  <c r="IC38" i="95"/>
  <c r="ID38" i="95"/>
  <c r="IE38" i="95"/>
  <c r="IF38" i="95"/>
  <c r="IG38" i="95"/>
  <c r="IH38" i="95"/>
  <c r="II38" i="95"/>
  <c r="IJ38" i="95"/>
  <c r="IK38" i="95"/>
  <c r="IL38" i="95"/>
  <c r="IM38" i="95"/>
  <c r="IN38" i="95"/>
  <c r="IO38" i="95"/>
  <c r="IP38" i="95"/>
  <c r="IQ38" i="95"/>
  <c r="IR38" i="95"/>
  <c r="IS38" i="95"/>
  <c r="IT38" i="95"/>
  <c r="IU38" i="95"/>
  <c r="IV38" i="95"/>
  <c r="IW38" i="95"/>
  <c r="IX38" i="95"/>
  <c r="IY38" i="95"/>
  <c r="IZ38" i="95"/>
  <c r="JA38" i="95"/>
  <c r="JB38" i="95"/>
  <c r="JC38" i="95"/>
  <c r="JD38" i="95"/>
  <c r="JE38" i="95"/>
  <c r="JF38" i="95"/>
  <c r="JG38" i="95"/>
  <c r="JH38" i="95"/>
  <c r="JI38" i="95"/>
  <c r="HR39" i="95"/>
  <c r="HS39" i="95"/>
  <c r="HT39" i="95"/>
  <c r="HU39" i="95"/>
  <c r="HV39" i="95"/>
  <c r="HW39" i="95"/>
  <c r="HX39" i="95"/>
  <c r="HY39" i="95"/>
  <c r="HZ39" i="95"/>
  <c r="IA39" i="95"/>
  <c r="IB39" i="95"/>
  <c r="IC39" i="95"/>
  <c r="ID39" i="95"/>
  <c r="IE39" i="95"/>
  <c r="IF39" i="95"/>
  <c r="IG39" i="95"/>
  <c r="IH39" i="95"/>
  <c r="II39" i="95"/>
  <c r="IJ39" i="95"/>
  <c r="IK39" i="95"/>
  <c r="IL39" i="95"/>
  <c r="IM39" i="95"/>
  <c r="IN39" i="95"/>
  <c r="IO39" i="95"/>
  <c r="IP39" i="95"/>
  <c r="IQ39" i="95"/>
  <c r="IR39" i="95"/>
  <c r="IS39" i="95"/>
  <c r="IT39" i="95"/>
  <c r="IU39" i="95"/>
  <c r="IV39" i="95"/>
  <c r="IW39" i="95"/>
  <c r="IX39" i="95"/>
  <c r="IY39" i="95"/>
  <c r="IZ39" i="95"/>
  <c r="JA39" i="95"/>
  <c r="JB39" i="95"/>
  <c r="JC39" i="95"/>
  <c r="JD39" i="95"/>
  <c r="JE39" i="95"/>
  <c r="JF39" i="95"/>
  <c r="JG39" i="95"/>
  <c r="JH39" i="95"/>
  <c r="JI39" i="95"/>
  <c r="HR40" i="95"/>
  <c r="HS40" i="95"/>
  <c r="HT40" i="95"/>
  <c r="HU40" i="95"/>
  <c r="HV40" i="95"/>
  <c r="HW40" i="95"/>
  <c r="HX40" i="95"/>
  <c r="HY40" i="95"/>
  <c r="HZ40" i="95"/>
  <c r="IA40" i="95"/>
  <c r="IB40" i="95"/>
  <c r="IC40" i="95"/>
  <c r="ID40" i="95"/>
  <c r="IE40" i="95"/>
  <c r="IF40" i="95"/>
  <c r="IG40" i="95"/>
  <c r="IH40" i="95"/>
  <c r="II40" i="95"/>
  <c r="IJ40" i="95"/>
  <c r="IK40" i="95"/>
  <c r="IL40" i="95"/>
  <c r="IM40" i="95"/>
  <c r="IN40" i="95"/>
  <c r="IO40" i="95"/>
  <c r="IP40" i="95"/>
  <c r="IQ40" i="95"/>
  <c r="IR40" i="95"/>
  <c r="IS40" i="95"/>
  <c r="IT40" i="95"/>
  <c r="IU40" i="95"/>
  <c r="IV40" i="95"/>
  <c r="IW40" i="95"/>
  <c r="IX40" i="95"/>
  <c r="IY40" i="95"/>
  <c r="IZ40" i="95"/>
  <c r="JA40" i="95"/>
  <c r="JB40" i="95"/>
  <c r="JC40" i="95"/>
  <c r="JD40" i="95"/>
  <c r="JE40" i="95"/>
  <c r="JF40" i="95"/>
  <c r="JG40" i="95"/>
  <c r="JH40" i="95"/>
  <c r="JI40" i="95"/>
  <c r="HR41" i="95"/>
  <c r="HS41" i="95"/>
  <c r="HT41" i="95"/>
  <c r="HU41" i="95"/>
  <c r="HV41" i="95"/>
  <c r="HW41" i="95"/>
  <c r="HX41" i="95"/>
  <c r="HY41" i="95"/>
  <c r="HZ41" i="95"/>
  <c r="IA41" i="95"/>
  <c r="IB41" i="95"/>
  <c r="IC41" i="95"/>
  <c r="ID41" i="95"/>
  <c r="IE41" i="95"/>
  <c r="IF41" i="95"/>
  <c r="IG41" i="95"/>
  <c r="IH41" i="95"/>
  <c r="II41" i="95"/>
  <c r="IJ41" i="95"/>
  <c r="IK41" i="95"/>
  <c r="IL41" i="95"/>
  <c r="IM41" i="95"/>
  <c r="IN41" i="95"/>
  <c r="IO41" i="95"/>
  <c r="IP41" i="95"/>
  <c r="IQ41" i="95"/>
  <c r="IR41" i="95"/>
  <c r="IS41" i="95"/>
  <c r="IT41" i="95"/>
  <c r="IU41" i="95"/>
  <c r="IV41" i="95"/>
  <c r="IW41" i="95"/>
  <c r="IX41" i="95"/>
  <c r="IY41" i="95"/>
  <c r="IZ41" i="95"/>
  <c r="JA41" i="95"/>
  <c r="JB41" i="95"/>
  <c r="JC41" i="95"/>
  <c r="JD41" i="95"/>
  <c r="JE41" i="95"/>
  <c r="JF41" i="95"/>
  <c r="JG41" i="95"/>
  <c r="JH41" i="95"/>
  <c r="JI41" i="95"/>
  <c r="HR42" i="95"/>
  <c r="HS42" i="95"/>
  <c r="HT42" i="95"/>
  <c r="HU42" i="95"/>
  <c r="HV42" i="95"/>
  <c r="HW42" i="95"/>
  <c r="HX42" i="95"/>
  <c r="HY42" i="95"/>
  <c r="HZ42" i="95"/>
  <c r="IA42" i="95"/>
  <c r="IB42" i="95"/>
  <c r="IC42" i="95"/>
  <c r="ID42" i="95"/>
  <c r="IE42" i="95"/>
  <c r="IF42" i="95"/>
  <c r="IG42" i="95"/>
  <c r="IH42" i="95"/>
  <c r="II42" i="95"/>
  <c r="IJ42" i="95"/>
  <c r="IK42" i="95"/>
  <c r="IL42" i="95"/>
  <c r="IM42" i="95"/>
  <c r="IN42" i="95"/>
  <c r="IO42" i="95"/>
  <c r="IP42" i="95"/>
  <c r="IQ42" i="95"/>
  <c r="IR42" i="95"/>
  <c r="IS42" i="95"/>
  <c r="IT42" i="95"/>
  <c r="IU42" i="95"/>
  <c r="IV42" i="95"/>
  <c r="IW42" i="95"/>
  <c r="IX42" i="95"/>
  <c r="IY42" i="95"/>
  <c r="IZ42" i="95"/>
  <c r="JA42" i="95"/>
  <c r="JB42" i="95"/>
  <c r="JC42" i="95"/>
  <c r="JD42" i="95"/>
  <c r="JE42" i="95"/>
  <c r="JF42" i="95"/>
  <c r="JG42" i="95"/>
  <c r="JH42" i="95"/>
  <c r="JI42" i="95"/>
  <c r="HR43" i="95"/>
  <c r="HS43" i="95"/>
  <c r="HT43" i="95"/>
  <c r="HU43" i="95"/>
  <c r="HV43" i="95"/>
  <c r="HW43" i="95"/>
  <c r="HX43" i="95"/>
  <c r="HY43" i="95"/>
  <c r="HZ43" i="95"/>
  <c r="IA43" i="95"/>
  <c r="IB43" i="95"/>
  <c r="IC43" i="95"/>
  <c r="ID43" i="95"/>
  <c r="IE43" i="95"/>
  <c r="IF43" i="95"/>
  <c r="IG43" i="95"/>
  <c r="IH43" i="95"/>
  <c r="II43" i="95"/>
  <c r="IJ43" i="95"/>
  <c r="IK43" i="95"/>
  <c r="IL43" i="95"/>
  <c r="IM43" i="95"/>
  <c r="IN43" i="95"/>
  <c r="IO43" i="95"/>
  <c r="IP43" i="95"/>
  <c r="IQ43" i="95"/>
  <c r="IR43" i="95"/>
  <c r="IS43" i="95"/>
  <c r="IT43" i="95"/>
  <c r="IU43" i="95"/>
  <c r="IV43" i="95"/>
  <c r="IW43" i="95"/>
  <c r="IX43" i="95"/>
  <c r="IY43" i="95"/>
  <c r="IZ43" i="95"/>
  <c r="JA43" i="95"/>
  <c r="JB43" i="95"/>
  <c r="JC43" i="95"/>
  <c r="JD43" i="95"/>
  <c r="JE43" i="95"/>
  <c r="JF43" i="95"/>
  <c r="JG43" i="95"/>
  <c r="JH43" i="95"/>
  <c r="JI43" i="95"/>
  <c r="HR44" i="95"/>
  <c r="HS44" i="95"/>
  <c r="HT44" i="95"/>
  <c r="HU44" i="95"/>
  <c r="HV44" i="95"/>
  <c r="HW44" i="95"/>
  <c r="HX44" i="95"/>
  <c r="HY44" i="95"/>
  <c r="HZ44" i="95"/>
  <c r="IA44" i="95"/>
  <c r="IB44" i="95"/>
  <c r="IC44" i="95"/>
  <c r="ID44" i="95"/>
  <c r="IE44" i="95"/>
  <c r="IF44" i="95"/>
  <c r="IG44" i="95"/>
  <c r="IH44" i="95"/>
  <c r="II44" i="95"/>
  <c r="IJ44" i="95"/>
  <c r="IK44" i="95"/>
  <c r="IL44" i="95"/>
  <c r="IM44" i="95"/>
  <c r="IN44" i="95"/>
  <c r="IO44" i="95"/>
  <c r="IP44" i="95"/>
  <c r="IQ44" i="95"/>
  <c r="IR44" i="95"/>
  <c r="IS44" i="95"/>
  <c r="IT44" i="95"/>
  <c r="IU44" i="95"/>
  <c r="IV44" i="95"/>
  <c r="IW44" i="95"/>
  <c r="IX44" i="95"/>
  <c r="IY44" i="95"/>
  <c r="IZ44" i="95"/>
  <c r="JA44" i="95"/>
  <c r="JB44" i="95"/>
  <c r="JC44" i="95"/>
  <c r="JD44" i="95"/>
  <c r="JE44" i="95"/>
  <c r="JF44" i="95"/>
  <c r="JG44" i="95"/>
  <c r="JH44" i="95"/>
  <c r="JI44" i="95"/>
  <c r="HR45" i="95"/>
  <c r="HS45" i="95"/>
  <c r="HT45" i="95"/>
  <c r="HU45" i="95"/>
  <c r="HV45" i="95"/>
  <c r="HW45" i="95"/>
  <c r="HX45" i="95"/>
  <c r="HY45" i="95"/>
  <c r="HZ45" i="95"/>
  <c r="IA45" i="95"/>
  <c r="IB45" i="95"/>
  <c r="IC45" i="95"/>
  <c r="ID45" i="95"/>
  <c r="IE45" i="95"/>
  <c r="IF45" i="95"/>
  <c r="IG45" i="95"/>
  <c r="IH45" i="95"/>
  <c r="II45" i="95"/>
  <c r="IJ45" i="95"/>
  <c r="IK45" i="95"/>
  <c r="IL45" i="95"/>
  <c r="IM45" i="95"/>
  <c r="IN45" i="95"/>
  <c r="IO45" i="95"/>
  <c r="IP45" i="95"/>
  <c r="IQ45" i="95"/>
  <c r="IR45" i="95"/>
  <c r="IS45" i="95"/>
  <c r="IT45" i="95"/>
  <c r="IU45" i="95"/>
  <c r="IV45" i="95"/>
  <c r="IW45" i="95"/>
  <c r="IX45" i="95"/>
  <c r="IY45" i="95"/>
  <c r="IZ45" i="95"/>
  <c r="JA45" i="95"/>
  <c r="JB45" i="95"/>
  <c r="JC45" i="95"/>
  <c r="JD45" i="95"/>
  <c r="JE45" i="95"/>
  <c r="JF45" i="95"/>
  <c r="JG45" i="95"/>
  <c r="JH45" i="95"/>
  <c r="JI45" i="95"/>
  <c r="HR46" i="95"/>
  <c r="HS46" i="95"/>
  <c r="HT46" i="95"/>
  <c r="HU46" i="95"/>
  <c r="HV46" i="95"/>
  <c r="HW46" i="95"/>
  <c r="HX46" i="95"/>
  <c r="HY46" i="95"/>
  <c r="HZ46" i="95"/>
  <c r="IA46" i="95"/>
  <c r="IB46" i="95"/>
  <c r="IC46" i="95"/>
  <c r="ID46" i="95"/>
  <c r="IE46" i="95"/>
  <c r="IF46" i="95"/>
  <c r="IG46" i="95"/>
  <c r="IH46" i="95"/>
  <c r="II46" i="95"/>
  <c r="IJ46" i="95"/>
  <c r="IK46" i="95"/>
  <c r="IL46" i="95"/>
  <c r="IM46" i="95"/>
  <c r="IN46" i="95"/>
  <c r="IO46" i="95"/>
  <c r="IP46" i="95"/>
  <c r="IQ46" i="95"/>
  <c r="IR46" i="95"/>
  <c r="IS46" i="95"/>
  <c r="IT46" i="95"/>
  <c r="IU46" i="95"/>
  <c r="IV46" i="95"/>
  <c r="IW46" i="95"/>
  <c r="IX46" i="95"/>
  <c r="IY46" i="95"/>
  <c r="IZ46" i="95"/>
  <c r="JA46" i="95"/>
  <c r="JB46" i="95"/>
  <c r="JC46" i="95"/>
  <c r="JD46" i="95"/>
  <c r="JE46" i="95"/>
  <c r="JF46" i="95"/>
  <c r="JG46" i="95"/>
  <c r="JH46" i="95"/>
  <c r="JI46" i="95"/>
  <c r="HR47" i="95"/>
  <c r="HS47" i="95"/>
  <c r="HT47" i="95"/>
  <c r="HU47" i="95"/>
  <c r="HV47" i="95"/>
  <c r="HW47" i="95"/>
  <c r="HX47" i="95"/>
  <c r="HY47" i="95"/>
  <c r="HZ47" i="95"/>
  <c r="IA47" i="95"/>
  <c r="IB47" i="95"/>
  <c r="IC47" i="95"/>
  <c r="ID47" i="95"/>
  <c r="IE47" i="95"/>
  <c r="IF47" i="95"/>
  <c r="IG47" i="95"/>
  <c r="IH47" i="95"/>
  <c r="II47" i="95"/>
  <c r="IJ47" i="95"/>
  <c r="IK47" i="95"/>
  <c r="IL47" i="95"/>
  <c r="IM47" i="95"/>
  <c r="IN47" i="95"/>
  <c r="IO47" i="95"/>
  <c r="IP47" i="95"/>
  <c r="IQ47" i="95"/>
  <c r="IR47" i="95"/>
  <c r="IS47" i="95"/>
  <c r="IT47" i="95"/>
  <c r="IU47" i="95"/>
  <c r="IV47" i="95"/>
  <c r="IW47" i="95"/>
  <c r="IX47" i="95"/>
  <c r="IY47" i="95"/>
  <c r="IZ47" i="95"/>
  <c r="JA47" i="95"/>
  <c r="JB47" i="95"/>
  <c r="JC47" i="95"/>
  <c r="JD47" i="95"/>
  <c r="JE47" i="95"/>
  <c r="JF47" i="95"/>
  <c r="JG47" i="95"/>
  <c r="JH47" i="95"/>
  <c r="JI47" i="95"/>
  <c r="HR48" i="95"/>
  <c r="HS48" i="95"/>
  <c r="HT48" i="95"/>
  <c r="HU48" i="95"/>
  <c r="HV48" i="95"/>
  <c r="HW48" i="95"/>
  <c r="HX48" i="95"/>
  <c r="HY48" i="95"/>
  <c r="HZ48" i="95"/>
  <c r="IA48" i="95"/>
  <c r="IB48" i="95"/>
  <c r="IC48" i="95"/>
  <c r="ID48" i="95"/>
  <c r="IE48" i="95"/>
  <c r="IF48" i="95"/>
  <c r="IG48" i="95"/>
  <c r="IH48" i="95"/>
  <c r="II48" i="95"/>
  <c r="IJ48" i="95"/>
  <c r="IK48" i="95"/>
  <c r="IL48" i="95"/>
  <c r="IM48" i="95"/>
  <c r="IN48" i="95"/>
  <c r="IO48" i="95"/>
  <c r="IP48" i="95"/>
  <c r="IQ48" i="95"/>
  <c r="IR48" i="95"/>
  <c r="IS48" i="95"/>
  <c r="IT48" i="95"/>
  <c r="IU48" i="95"/>
  <c r="IV48" i="95"/>
  <c r="IW48" i="95"/>
  <c r="IX48" i="95"/>
  <c r="IY48" i="95"/>
  <c r="IZ48" i="95"/>
  <c r="JA48" i="95"/>
  <c r="JB48" i="95"/>
  <c r="JC48" i="95"/>
  <c r="JD48" i="95"/>
  <c r="JE48" i="95"/>
  <c r="JF48" i="95"/>
  <c r="JG48" i="95"/>
  <c r="JH48" i="95"/>
  <c r="JI48" i="95"/>
  <c r="HR49" i="95"/>
  <c r="HS49" i="95"/>
  <c r="HT49" i="95"/>
  <c r="HU49" i="95"/>
  <c r="HV49" i="95"/>
  <c r="HW49" i="95"/>
  <c r="HX49" i="95"/>
  <c r="HY49" i="95"/>
  <c r="HZ49" i="95"/>
  <c r="IA49" i="95"/>
  <c r="IB49" i="95"/>
  <c r="IC49" i="95"/>
  <c r="ID49" i="95"/>
  <c r="IE49" i="95"/>
  <c r="IF49" i="95"/>
  <c r="IG49" i="95"/>
  <c r="IH49" i="95"/>
  <c r="II49" i="95"/>
  <c r="IJ49" i="95"/>
  <c r="IK49" i="95"/>
  <c r="IL49" i="95"/>
  <c r="IM49" i="95"/>
  <c r="IN49" i="95"/>
  <c r="IO49" i="95"/>
  <c r="IP49" i="95"/>
  <c r="IQ49" i="95"/>
  <c r="IR49" i="95"/>
  <c r="IS49" i="95"/>
  <c r="IT49" i="95"/>
  <c r="IU49" i="95"/>
  <c r="IV49" i="95"/>
  <c r="IW49" i="95"/>
  <c r="IX49" i="95"/>
  <c r="IY49" i="95"/>
  <c r="IZ49" i="95"/>
  <c r="JA49" i="95"/>
  <c r="JB49" i="95"/>
  <c r="JC49" i="95"/>
  <c r="JD49" i="95"/>
  <c r="JE49" i="95"/>
  <c r="JF49" i="95"/>
  <c r="JG49" i="95"/>
  <c r="JH49" i="95"/>
  <c r="JI49" i="95"/>
  <c r="HR50" i="95"/>
  <c r="HS50" i="95"/>
  <c r="HT50" i="95"/>
  <c r="HU50" i="95"/>
  <c r="HV50" i="95"/>
  <c r="HW50" i="95"/>
  <c r="HX50" i="95"/>
  <c r="HY50" i="95"/>
  <c r="HZ50" i="95"/>
  <c r="IA50" i="95"/>
  <c r="IB50" i="95"/>
  <c r="IC50" i="95"/>
  <c r="ID50" i="95"/>
  <c r="IE50" i="95"/>
  <c r="IF50" i="95"/>
  <c r="IG50" i="95"/>
  <c r="IH50" i="95"/>
  <c r="II50" i="95"/>
  <c r="IJ50" i="95"/>
  <c r="IK50" i="95"/>
  <c r="IL50" i="95"/>
  <c r="IM50" i="95"/>
  <c r="IN50" i="95"/>
  <c r="IO50" i="95"/>
  <c r="IP50" i="95"/>
  <c r="IQ50" i="95"/>
  <c r="IR50" i="95"/>
  <c r="IS50" i="95"/>
  <c r="IT50" i="95"/>
  <c r="IU50" i="95"/>
  <c r="IV50" i="95"/>
  <c r="IW50" i="95"/>
  <c r="IX50" i="95"/>
  <c r="IY50" i="95"/>
  <c r="IZ50" i="95"/>
  <c r="JA50" i="95"/>
  <c r="JB50" i="95"/>
  <c r="JC50" i="95"/>
  <c r="JD50" i="95"/>
  <c r="JE50" i="95"/>
  <c r="JF50" i="95"/>
  <c r="JG50" i="95"/>
  <c r="JH50" i="95"/>
  <c r="JI50" i="95"/>
  <c r="HR51" i="95"/>
  <c r="HS51" i="95"/>
  <c r="HT51" i="95"/>
  <c r="HU51" i="95"/>
  <c r="HV51" i="95"/>
  <c r="HW51" i="95"/>
  <c r="HX51" i="95"/>
  <c r="HY51" i="95"/>
  <c r="HZ51" i="95"/>
  <c r="IA51" i="95"/>
  <c r="IB51" i="95"/>
  <c r="IC51" i="95"/>
  <c r="ID51" i="95"/>
  <c r="IE51" i="95"/>
  <c r="IF51" i="95"/>
  <c r="IG51" i="95"/>
  <c r="IH51" i="95"/>
  <c r="II51" i="95"/>
  <c r="IJ51" i="95"/>
  <c r="IK51" i="95"/>
  <c r="IL51" i="95"/>
  <c r="IM51" i="95"/>
  <c r="IN51" i="95"/>
  <c r="IO51" i="95"/>
  <c r="IP51" i="95"/>
  <c r="IQ51" i="95"/>
  <c r="IR51" i="95"/>
  <c r="IS51" i="95"/>
  <c r="IT51" i="95"/>
  <c r="IU51" i="95"/>
  <c r="IV51" i="95"/>
  <c r="IW51" i="95"/>
  <c r="IX51" i="95"/>
  <c r="IY51" i="95"/>
  <c r="IZ51" i="95"/>
  <c r="JA51" i="95"/>
  <c r="JB51" i="95"/>
  <c r="JC51" i="95"/>
  <c r="JD51" i="95"/>
  <c r="JE51" i="95"/>
  <c r="JF51" i="95"/>
  <c r="JG51" i="95"/>
  <c r="JH51" i="95"/>
  <c r="JI51" i="95"/>
  <c r="HR52" i="95"/>
  <c r="HS52" i="95"/>
  <c r="HT52" i="95"/>
  <c r="HU52" i="95"/>
  <c r="HV52" i="95"/>
  <c r="HW52" i="95"/>
  <c r="HX52" i="95"/>
  <c r="HY52" i="95"/>
  <c r="HZ52" i="95"/>
  <c r="IA52" i="95"/>
  <c r="IB52" i="95"/>
  <c r="IC52" i="95"/>
  <c r="ID52" i="95"/>
  <c r="IE52" i="95"/>
  <c r="IF52" i="95"/>
  <c r="IG52" i="95"/>
  <c r="IH52" i="95"/>
  <c r="II52" i="95"/>
  <c r="IJ52" i="95"/>
  <c r="IK52" i="95"/>
  <c r="IL52" i="95"/>
  <c r="IM52" i="95"/>
  <c r="IN52" i="95"/>
  <c r="IO52" i="95"/>
  <c r="IP52" i="95"/>
  <c r="IQ52" i="95"/>
  <c r="IR52" i="95"/>
  <c r="IS52" i="95"/>
  <c r="IT52" i="95"/>
  <c r="IU52" i="95"/>
  <c r="IV52" i="95"/>
  <c r="IW52" i="95"/>
  <c r="IX52" i="95"/>
  <c r="IY52" i="95"/>
  <c r="IZ52" i="95"/>
  <c r="JA52" i="95"/>
  <c r="JB52" i="95"/>
  <c r="JC52" i="95"/>
  <c r="JD52" i="95"/>
  <c r="JE52" i="95"/>
  <c r="JF52" i="95"/>
  <c r="JG52" i="95"/>
  <c r="JH52" i="95"/>
  <c r="JI52" i="95"/>
  <c r="HR53" i="95"/>
  <c r="HS53" i="95"/>
  <c r="HT53" i="95"/>
  <c r="HU53" i="95"/>
  <c r="HV53" i="95"/>
  <c r="HW53" i="95"/>
  <c r="HX53" i="95"/>
  <c r="HY53" i="95"/>
  <c r="HZ53" i="95"/>
  <c r="IA53" i="95"/>
  <c r="IB53" i="95"/>
  <c r="IC53" i="95"/>
  <c r="ID53" i="95"/>
  <c r="IE53" i="95"/>
  <c r="IF53" i="95"/>
  <c r="IG53" i="95"/>
  <c r="IH53" i="95"/>
  <c r="II53" i="95"/>
  <c r="IJ53" i="95"/>
  <c r="IK53" i="95"/>
  <c r="IL53" i="95"/>
  <c r="IM53" i="95"/>
  <c r="IN53" i="95"/>
  <c r="IO53" i="95"/>
  <c r="IP53" i="95"/>
  <c r="IQ53" i="95"/>
  <c r="IR53" i="95"/>
  <c r="IS53" i="95"/>
  <c r="IT53" i="95"/>
  <c r="IU53" i="95"/>
  <c r="IV53" i="95"/>
  <c r="IW53" i="95"/>
  <c r="IX53" i="95"/>
  <c r="IY53" i="95"/>
  <c r="IZ53" i="95"/>
  <c r="JA53" i="95"/>
  <c r="JB53" i="95"/>
  <c r="JC53" i="95"/>
  <c r="JD53" i="95"/>
  <c r="JE53" i="95"/>
  <c r="JF53" i="95"/>
  <c r="JG53" i="95"/>
  <c r="JH53" i="95"/>
  <c r="JI53" i="95"/>
  <c r="HR54" i="95"/>
  <c r="HS54" i="95"/>
  <c r="HT54" i="95"/>
  <c r="HU54" i="95"/>
  <c r="HV54" i="95"/>
  <c r="HW54" i="95"/>
  <c r="HX54" i="95"/>
  <c r="HY54" i="95"/>
  <c r="HZ54" i="95"/>
  <c r="IA54" i="95"/>
  <c r="IB54" i="95"/>
  <c r="IC54" i="95"/>
  <c r="ID54" i="95"/>
  <c r="IE54" i="95"/>
  <c r="IF54" i="95"/>
  <c r="IG54" i="95"/>
  <c r="IH54" i="95"/>
  <c r="II54" i="95"/>
  <c r="IJ54" i="95"/>
  <c r="IK54" i="95"/>
  <c r="IL54" i="95"/>
  <c r="IM54" i="95"/>
  <c r="IN54" i="95"/>
  <c r="IO54" i="95"/>
  <c r="IP54" i="95"/>
  <c r="IQ54" i="95"/>
  <c r="IR54" i="95"/>
  <c r="IS54" i="95"/>
  <c r="IT54" i="95"/>
  <c r="IU54" i="95"/>
  <c r="IV54" i="95"/>
  <c r="IW54" i="95"/>
  <c r="IX54" i="95"/>
  <c r="IY54" i="95"/>
  <c r="IZ54" i="95"/>
  <c r="JA54" i="95"/>
  <c r="JB54" i="95"/>
  <c r="JC54" i="95"/>
  <c r="JD54" i="95"/>
  <c r="JE54" i="95"/>
  <c r="JF54" i="95"/>
  <c r="JG54" i="95"/>
  <c r="JH54" i="95"/>
  <c r="JI54" i="95"/>
  <c r="HR55" i="95"/>
  <c r="HS55" i="95"/>
  <c r="HT55" i="95"/>
  <c r="HU55" i="95"/>
  <c r="HV55" i="95"/>
  <c r="HW55" i="95"/>
  <c r="HX55" i="95"/>
  <c r="HY55" i="95"/>
  <c r="HZ55" i="95"/>
  <c r="IA55" i="95"/>
  <c r="IB55" i="95"/>
  <c r="IC55" i="95"/>
  <c r="ID55" i="95"/>
  <c r="IE55" i="95"/>
  <c r="IF55" i="95"/>
  <c r="IG55" i="95"/>
  <c r="IH55" i="95"/>
  <c r="II55" i="95"/>
  <c r="IJ55" i="95"/>
  <c r="IK55" i="95"/>
  <c r="IL55" i="95"/>
  <c r="IM55" i="95"/>
  <c r="IN55" i="95"/>
  <c r="IO55" i="95"/>
  <c r="IP55" i="95"/>
  <c r="IQ55" i="95"/>
  <c r="IR55" i="95"/>
  <c r="IS55" i="95"/>
  <c r="IT55" i="95"/>
  <c r="IU55" i="95"/>
  <c r="IV55" i="95"/>
  <c r="IW55" i="95"/>
  <c r="IX55" i="95"/>
  <c r="IY55" i="95"/>
  <c r="IZ55" i="95"/>
  <c r="JA55" i="95"/>
  <c r="JB55" i="95"/>
  <c r="JC55" i="95"/>
  <c r="JD55" i="95"/>
  <c r="JE55" i="95"/>
  <c r="JF55" i="95"/>
  <c r="JG55" i="95"/>
  <c r="JH55" i="95"/>
  <c r="JI55" i="95"/>
  <c r="HR56" i="95"/>
  <c r="HS56" i="95"/>
  <c r="HT56" i="95"/>
  <c r="HU56" i="95"/>
  <c r="HV56" i="95"/>
  <c r="HW56" i="95"/>
  <c r="HX56" i="95"/>
  <c r="HY56" i="95"/>
  <c r="HZ56" i="95"/>
  <c r="IA56" i="95"/>
  <c r="IB56" i="95"/>
  <c r="IC56" i="95"/>
  <c r="ID56" i="95"/>
  <c r="IE56" i="95"/>
  <c r="IF56" i="95"/>
  <c r="IG56" i="95"/>
  <c r="IH56" i="95"/>
  <c r="II56" i="95"/>
  <c r="IJ56" i="95"/>
  <c r="IK56" i="95"/>
  <c r="IL56" i="95"/>
  <c r="IM56" i="95"/>
  <c r="IN56" i="95"/>
  <c r="IO56" i="95"/>
  <c r="IP56" i="95"/>
  <c r="IQ56" i="95"/>
  <c r="IR56" i="95"/>
  <c r="IS56" i="95"/>
  <c r="IT56" i="95"/>
  <c r="IU56" i="95"/>
  <c r="IV56" i="95"/>
  <c r="IW56" i="95"/>
  <c r="IX56" i="95"/>
  <c r="IY56" i="95"/>
  <c r="IZ56" i="95"/>
  <c r="JA56" i="95"/>
  <c r="JB56" i="95"/>
  <c r="JC56" i="95"/>
  <c r="JD56" i="95"/>
  <c r="JE56" i="95"/>
  <c r="JF56" i="95"/>
  <c r="JG56" i="95"/>
  <c r="JH56" i="95"/>
  <c r="JI56" i="95"/>
  <c r="G5" i="95"/>
  <c r="H5" i="95"/>
  <c r="I5" i="95"/>
  <c r="J5" i="95"/>
  <c r="K5" i="95"/>
  <c r="L5" i="95"/>
  <c r="M5" i="95"/>
  <c r="N5" i="95"/>
  <c r="O5" i="95"/>
  <c r="P5" i="95"/>
  <c r="Q5" i="95"/>
  <c r="R5" i="95"/>
  <c r="S5" i="95"/>
  <c r="T5" i="95"/>
  <c r="U5" i="95"/>
  <c r="V5" i="95"/>
  <c r="W5" i="95"/>
  <c r="X5" i="95"/>
  <c r="Y5" i="95"/>
  <c r="Z5" i="95"/>
  <c r="AA5" i="95"/>
  <c r="AB5" i="95"/>
  <c r="AC5" i="95"/>
  <c r="AD5" i="95"/>
  <c r="AE5" i="95"/>
  <c r="AF5" i="95"/>
  <c r="AG5" i="95"/>
  <c r="AH5" i="95"/>
  <c r="AI5" i="95"/>
  <c r="AJ5" i="95"/>
  <c r="AK5" i="95"/>
  <c r="AL5" i="95"/>
  <c r="AM5" i="95"/>
  <c r="AN5" i="95"/>
  <c r="AO5" i="95"/>
  <c r="AP5" i="95"/>
  <c r="AQ5" i="95"/>
  <c r="AR5" i="95"/>
  <c r="AS5" i="95"/>
  <c r="AT5" i="95"/>
  <c r="AU5" i="95"/>
  <c r="AV5" i="95"/>
  <c r="AW5" i="95"/>
  <c r="AX5" i="95"/>
  <c r="AY5" i="95"/>
  <c r="AZ5" i="95"/>
  <c r="BA5" i="95"/>
  <c r="BB5" i="95"/>
  <c r="BC5" i="95"/>
  <c r="BD5" i="95"/>
  <c r="BE5" i="95"/>
  <c r="BF5" i="95"/>
  <c r="BG5" i="95"/>
  <c r="BH5" i="95"/>
  <c r="BI5" i="95"/>
  <c r="BJ5" i="95"/>
  <c r="BK5" i="95"/>
  <c r="BL5" i="95"/>
  <c r="BM5" i="95"/>
  <c r="BN5" i="95"/>
  <c r="BO5" i="95"/>
  <c r="BP5" i="95"/>
  <c r="BQ5" i="95"/>
  <c r="BR5" i="95"/>
  <c r="BS5" i="95"/>
  <c r="BT5" i="95"/>
  <c r="BU5" i="95"/>
  <c r="BV5" i="95"/>
  <c r="BW5" i="95"/>
  <c r="BX5" i="95"/>
  <c r="BY5" i="95"/>
  <c r="BZ5" i="95"/>
  <c r="CA5" i="95"/>
  <c r="CB5" i="95"/>
  <c r="CC5" i="95"/>
  <c r="CD5" i="95"/>
  <c r="CE5" i="95"/>
  <c r="CF5" i="95"/>
  <c r="CG5" i="95"/>
  <c r="CH5" i="95"/>
  <c r="CI5" i="95"/>
  <c r="CJ5" i="95"/>
  <c r="CK5" i="95"/>
  <c r="CL5" i="95"/>
  <c r="CM5" i="95"/>
  <c r="CN5" i="95"/>
  <c r="CO5" i="95"/>
  <c r="CP5" i="95"/>
  <c r="CQ5" i="95"/>
  <c r="CR5" i="95"/>
  <c r="CS5" i="95"/>
  <c r="CT5" i="95"/>
  <c r="CU5" i="95"/>
  <c r="CV5" i="95"/>
  <c r="CW5" i="95"/>
  <c r="CX5" i="95"/>
  <c r="CY5" i="95"/>
  <c r="CZ5" i="95"/>
  <c r="DA5" i="95"/>
  <c r="DB5" i="95"/>
  <c r="DC5" i="95"/>
  <c r="DD5" i="95"/>
  <c r="DE5" i="95"/>
  <c r="DF5" i="95"/>
  <c r="DG5" i="95"/>
  <c r="DH5" i="95"/>
  <c r="DI5" i="95"/>
  <c r="DJ5" i="95"/>
  <c r="DK5" i="95"/>
  <c r="DL5" i="95"/>
  <c r="DM5" i="95"/>
  <c r="DN5" i="95"/>
  <c r="DO5" i="95"/>
  <c r="DP5" i="95"/>
  <c r="DQ5" i="95"/>
  <c r="DR5" i="95"/>
  <c r="DS5" i="95"/>
  <c r="DT5" i="95"/>
  <c r="DU5" i="95"/>
  <c r="DV5" i="95"/>
  <c r="DW5" i="95"/>
  <c r="DX5" i="95"/>
  <c r="DY5" i="95"/>
  <c r="DZ5" i="95"/>
  <c r="EA5" i="95"/>
  <c r="EB5" i="95"/>
  <c r="EC5" i="95"/>
  <c r="ED5" i="95"/>
  <c r="EE5" i="95"/>
  <c r="EF5" i="95"/>
  <c r="EG5" i="95"/>
  <c r="EH5" i="95"/>
  <c r="EI5" i="95"/>
  <c r="EJ5" i="95"/>
  <c r="EK5" i="95"/>
  <c r="EL5" i="95"/>
  <c r="EM5" i="95"/>
  <c r="EN5" i="95"/>
  <c r="EO5" i="95"/>
  <c r="EP5" i="95"/>
  <c r="EQ5" i="95"/>
  <c r="ER5" i="95"/>
  <c r="ES5" i="95"/>
  <c r="ET5" i="95"/>
  <c r="EU5" i="95"/>
  <c r="EV5" i="95"/>
  <c r="EW5" i="95"/>
  <c r="EX5" i="95"/>
  <c r="EY5" i="95"/>
  <c r="EZ5" i="95"/>
  <c r="FA5" i="95"/>
  <c r="FB5" i="95"/>
  <c r="FC5" i="95"/>
  <c r="FD5" i="95"/>
  <c r="FE5" i="95"/>
  <c r="FF5" i="95"/>
  <c r="FG5" i="95"/>
  <c r="FH5" i="95"/>
  <c r="FI5" i="95"/>
  <c r="FJ5" i="95"/>
  <c r="FK5" i="95"/>
  <c r="FL5" i="95"/>
  <c r="FM5" i="95"/>
  <c r="FN5" i="95"/>
  <c r="FO5" i="95"/>
  <c r="FP5" i="95"/>
  <c r="FQ5" i="95"/>
  <c r="FR5" i="95"/>
  <c r="FS5" i="95"/>
  <c r="FT5" i="95"/>
  <c r="FU5" i="95"/>
  <c r="FV5" i="95"/>
  <c r="FW5" i="95"/>
  <c r="FX5" i="95"/>
  <c r="FY5" i="95"/>
  <c r="FZ5" i="95"/>
  <c r="GA5" i="95"/>
  <c r="GB5" i="95"/>
  <c r="GC5" i="95"/>
  <c r="GD5" i="95"/>
  <c r="GE5" i="95"/>
  <c r="GF5" i="95"/>
  <c r="GG5" i="95"/>
  <c r="GH5" i="95"/>
  <c r="GI5" i="95"/>
  <c r="GJ5" i="95"/>
  <c r="GK5" i="95"/>
  <c r="GL5" i="95"/>
  <c r="GM5" i="95"/>
  <c r="GN5" i="95"/>
  <c r="GO5" i="95"/>
  <c r="GP5" i="95"/>
  <c r="GQ5" i="95"/>
  <c r="GR5" i="95"/>
  <c r="GS5" i="95"/>
  <c r="GT5" i="95"/>
  <c r="GU5" i="95"/>
  <c r="GV5" i="95"/>
  <c r="GW5" i="95"/>
  <c r="GX5" i="95"/>
  <c r="GY5" i="95"/>
  <c r="GZ5" i="95"/>
  <c r="HA5" i="95"/>
  <c r="HB5" i="95"/>
  <c r="HC5" i="95"/>
  <c r="HD5" i="95"/>
  <c r="HE5" i="95"/>
  <c r="HF5" i="95"/>
  <c r="HG5" i="95"/>
  <c r="HH5" i="95"/>
  <c r="HI5" i="95"/>
  <c r="HJ5" i="95"/>
  <c r="HK5" i="95"/>
  <c r="HL5" i="95"/>
  <c r="HM5" i="95"/>
  <c r="HN5" i="95"/>
  <c r="HO5" i="95"/>
  <c r="HP5" i="95"/>
  <c r="HQ5" i="95"/>
  <c r="G6" i="95"/>
  <c r="H6" i="95"/>
  <c r="I6" i="95"/>
  <c r="J6" i="95"/>
  <c r="K6" i="95"/>
  <c r="L6" i="95"/>
  <c r="M6" i="95"/>
  <c r="N6" i="95"/>
  <c r="O6" i="95"/>
  <c r="P6" i="95"/>
  <c r="Q6" i="95"/>
  <c r="R6" i="95"/>
  <c r="S6" i="95"/>
  <c r="T6" i="95"/>
  <c r="U6" i="95"/>
  <c r="V6" i="95"/>
  <c r="W6" i="95"/>
  <c r="X6" i="95"/>
  <c r="Y6" i="95"/>
  <c r="Z6" i="95"/>
  <c r="AA6" i="95"/>
  <c r="AB6" i="95"/>
  <c r="AC6" i="95"/>
  <c r="AD6" i="95"/>
  <c r="AE6" i="95"/>
  <c r="AF6" i="95"/>
  <c r="AG6" i="95"/>
  <c r="AH6" i="95"/>
  <c r="AI6" i="95"/>
  <c r="AJ6" i="95"/>
  <c r="AK6" i="95"/>
  <c r="AL6" i="95"/>
  <c r="AM6" i="95"/>
  <c r="AN6" i="95"/>
  <c r="AO6" i="95"/>
  <c r="AP6" i="95"/>
  <c r="AQ6" i="95"/>
  <c r="AR6" i="95"/>
  <c r="AS6" i="95"/>
  <c r="AT6" i="95"/>
  <c r="AU6" i="95"/>
  <c r="AV6" i="95"/>
  <c r="AW6" i="95"/>
  <c r="AX6" i="95"/>
  <c r="AY6" i="95"/>
  <c r="AZ6" i="95"/>
  <c r="BA6" i="95"/>
  <c r="BB6" i="95"/>
  <c r="BC6" i="95"/>
  <c r="BD6" i="95"/>
  <c r="BE6" i="95"/>
  <c r="BF6" i="95"/>
  <c r="BG6" i="95"/>
  <c r="BH6" i="95"/>
  <c r="BI6" i="95"/>
  <c r="BJ6" i="95"/>
  <c r="BK6" i="95"/>
  <c r="BL6" i="95"/>
  <c r="BM6" i="95"/>
  <c r="BN6" i="95"/>
  <c r="BO6" i="95"/>
  <c r="BP6" i="95"/>
  <c r="BQ6" i="95"/>
  <c r="BR6" i="95"/>
  <c r="BS6" i="95"/>
  <c r="BT6" i="95"/>
  <c r="BU6" i="95"/>
  <c r="BV6" i="95"/>
  <c r="BW6" i="95"/>
  <c r="BX6" i="95"/>
  <c r="BY6" i="95"/>
  <c r="BZ6" i="95"/>
  <c r="CA6" i="95"/>
  <c r="CB6" i="95"/>
  <c r="CC6" i="95"/>
  <c r="CD6" i="95"/>
  <c r="CE6" i="95"/>
  <c r="CF6" i="95"/>
  <c r="CG6" i="95"/>
  <c r="CH6" i="95"/>
  <c r="CI6" i="95"/>
  <c r="CJ6" i="95"/>
  <c r="CK6" i="95"/>
  <c r="CL6" i="95"/>
  <c r="CM6" i="95"/>
  <c r="CN6" i="95"/>
  <c r="CO6" i="95"/>
  <c r="CP6" i="95"/>
  <c r="CQ6" i="95"/>
  <c r="CR6" i="95"/>
  <c r="CS6" i="95"/>
  <c r="CT6" i="95"/>
  <c r="CU6" i="95"/>
  <c r="CV6" i="95"/>
  <c r="CW6" i="95"/>
  <c r="CX6" i="95"/>
  <c r="CY6" i="95"/>
  <c r="CZ6" i="95"/>
  <c r="DA6" i="95"/>
  <c r="DB6" i="95"/>
  <c r="DC6" i="95"/>
  <c r="DD6" i="95"/>
  <c r="DE6" i="95"/>
  <c r="DF6" i="95"/>
  <c r="DG6" i="95"/>
  <c r="DH6" i="95"/>
  <c r="DI6" i="95"/>
  <c r="DJ6" i="95"/>
  <c r="DK6" i="95"/>
  <c r="DL6" i="95"/>
  <c r="DM6" i="95"/>
  <c r="DN6" i="95"/>
  <c r="DO6" i="95"/>
  <c r="DP6" i="95"/>
  <c r="DQ6" i="95"/>
  <c r="DR6" i="95"/>
  <c r="DS6" i="95"/>
  <c r="DT6" i="95"/>
  <c r="DU6" i="95"/>
  <c r="DV6" i="95"/>
  <c r="DW6" i="95"/>
  <c r="DX6" i="95"/>
  <c r="DY6" i="95"/>
  <c r="DZ6" i="95"/>
  <c r="EA6" i="95"/>
  <c r="EB6" i="95"/>
  <c r="EC6" i="95"/>
  <c r="ED6" i="95"/>
  <c r="EE6" i="95"/>
  <c r="EF6" i="95"/>
  <c r="EG6" i="95"/>
  <c r="EH6" i="95"/>
  <c r="EI6" i="95"/>
  <c r="EJ6" i="95"/>
  <c r="EK6" i="95"/>
  <c r="EL6" i="95"/>
  <c r="EM6" i="95"/>
  <c r="EN6" i="95"/>
  <c r="EO6" i="95"/>
  <c r="EP6" i="95"/>
  <c r="EQ6" i="95"/>
  <c r="ER6" i="95"/>
  <c r="ES6" i="95"/>
  <c r="ET6" i="95"/>
  <c r="EU6" i="95"/>
  <c r="EV6" i="95"/>
  <c r="EW6" i="95"/>
  <c r="EX6" i="95"/>
  <c r="EY6" i="95"/>
  <c r="EZ6" i="95"/>
  <c r="FA6" i="95"/>
  <c r="FB6" i="95"/>
  <c r="FC6" i="95"/>
  <c r="FD6" i="95"/>
  <c r="FE6" i="95"/>
  <c r="FF6" i="95"/>
  <c r="FG6" i="95"/>
  <c r="FH6" i="95"/>
  <c r="FI6" i="95"/>
  <c r="FJ6" i="95"/>
  <c r="FK6" i="95"/>
  <c r="FL6" i="95"/>
  <c r="FM6" i="95"/>
  <c r="FN6" i="95"/>
  <c r="FO6" i="95"/>
  <c r="FP6" i="95"/>
  <c r="FQ6" i="95"/>
  <c r="FR6" i="95"/>
  <c r="FS6" i="95"/>
  <c r="FT6" i="95"/>
  <c r="FU6" i="95"/>
  <c r="FV6" i="95"/>
  <c r="FW6" i="95"/>
  <c r="FX6" i="95"/>
  <c r="FY6" i="95"/>
  <c r="FZ6" i="95"/>
  <c r="GA6" i="95"/>
  <c r="GB6" i="95"/>
  <c r="GC6" i="95"/>
  <c r="GD6" i="95"/>
  <c r="GE6" i="95"/>
  <c r="GF6" i="95"/>
  <c r="GG6" i="95"/>
  <c r="GH6" i="95"/>
  <c r="GI6" i="95"/>
  <c r="GJ6" i="95"/>
  <c r="GK6" i="95"/>
  <c r="GL6" i="95"/>
  <c r="GM6" i="95"/>
  <c r="GN6" i="95"/>
  <c r="GO6" i="95"/>
  <c r="GP6" i="95"/>
  <c r="GQ6" i="95"/>
  <c r="GR6" i="95"/>
  <c r="GS6" i="95"/>
  <c r="GT6" i="95"/>
  <c r="GU6" i="95"/>
  <c r="GV6" i="95"/>
  <c r="GW6" i="95"/>
  <c r="GX6" i="95"/>
  <c r="GY6" i="95"/>
  <c r="GZ6" i="95"/>
  <c r="HA6" i="95"/>
  <c r="HB6" i="95"/>
  <c r="HC6" i="95"/>
  <c r="HD6" i="95"/>
  <c r="HE6" i="95"/>
  <c r="HF6" i="95"/>
  <c r="HG6" i="95"/>
  <c r="HH6" i="95"/>
  <c r="HI6" i="95"/>
  <c r="HJ6" i="95"/>
  <c r="HK6" i="95"/>
  <c r="HL6" i="95"/>
  <c r="HM6" i="95"/>
  <c r="HN6" i="95"/>
  <c r="HO6" i="95"/>
  <c r="HP6" i="95"/>
  <c r="HQ6" i="95"/>
  <c r="G7" i="95"/>
  <c r="H7" i="95"/>
  <c r="I7" i="95"/>
  <c r="J7" i="95"/>
  <c r="K7" i="95"/>
  <c r="L7" i="95"/>
  <c r="M7" i="95"/>
  <c r="N7" i="95"/>
  <c r="O7" i="95"/>
  <c r="P7" i="95"/>
  <c r="Q7" i="95"/>
  <c r="R7" i="95"/>
  <c r="S7" i="95"/>
  <c r="T7" i="95"/>
  <c r="U7" i="95"/>
  <c r="V7" i="95"/>
  <c r="W7" i="95"/>
  <c r="X7" i="95"/>
  <c r="Y7" i="95"/>
  <c r="Z7" i="95"/>
  <c r="AA7" i="95"/>
  <c r="AB7" i="95"/>
  <c r="AC7" i="95"/>
  <c r="AD7" i="95"/>
  <c r="AE7" i="95"/>
  <c r="AF7" i="95"/>
  <c r="AG7" i="95"/>
  <c r="AH7" i="95"/>
  <c r="AI7" i="95"/>
  <c r="AJ7" i="95"/>
  <c r="AK7" i="95"/>
  <c r="AL7" i="95"/>
  <c r="AM7" i="95"/>
  <c r="AN7" i="95"/>
  <c r="AO7" i="95"/>
  <c r="AP7" i="95"/>
  <c r="AQ7" i="95"/>
  <c r="AR7" i="95"/>
  <c r="AS7" i="95"/>
  <c r="AT7" i="95"/>
  <c r="AU7" i="95"/>
  <c r="AV7" i="95"/>
  <c r="AW7" i="95"/>
  <c r="AX7" i="95"/>
  <c r="AY7" i="95"/>
  <c r="AZ7" i="95"/>
  <c r="BA7" i="95"/>
  <c r="BB7" i="95"/>
  <c r="BC7" i="95"/>
  <c r="BD7" i="95"/>
  <c r="BE7" i="95"/>
  <c r="BF7" i="95"/>
  <c r="BG7" i="95"/>
  <c r="BH7" i="95"/>
  <c r="BI7" i="95"/>
  <c r="BJ7" i="95"/>
  <c r="BK7" i="95"/>
  <c r="BL7" i="95"/>
  <c r="BM7" i="95"/>
  <c r="BN7" i="95"/>
  <c r="BO7" i="95"/>
  <c r="BP7" i="95"/>
  <c r="BQ7" i="95"/>
  <c r="BR7" i="95"/>
  <c r="BS7" i="95"/>
  <c r="BT7" i="95"/>
  <c r="BU7" i="95"/>
  <c r="BV7" i="95"/>
  <c r="BW7" i="95"/>
  <c r="BX7" i="95"/>
  <c r="BY7" i="95"/>
  <c r="BZ7" i="95"/>
  <c r="CA7" i="95"/>
  <c r="CB7" i="95"/>
  <c r="CC7" i="95"/>
  <c r="CD7" i="95"/>
  <c r="CE7" i="95"/>
  <c r="CF7" i="95"/>
  <c r="CG7" i="95"/>
  <c r="CH7" i="95"/>
  <c r="CI7" i="95"/>
  <c r="CJ7" i="95"/>
  <c r="CK7" i="95"/>
  <c r="CL7" i="95"/>
  <c r="CM7" i="95"/>
  <c r="CN7" i="95"/>
  <c r="CO7" i="95"/>
  <c r="CP7" i="95"/>
  <c r="CQ7" i="95"/>
  <c r="CR7" i="95"/>
  <c r="CS7" i="95"/>
  <c r="CT7" i="95"/>
  <c r="CU7" i="95"/>
  <c r="CV7" i="95"/>
  <c r="CW7" i="95"/>
  <c r="CX7" i="95"/>
  <c r="CY7" i="95"/>
  <c r="CZ7" i="95"/>
  <c r="DA7" i="95"/>
  <c r="DB7" i="95"/>
  <c r="DC7" i="95"/>
  <c r="DD7" i="95"/>
  <c r="DE7" i="95"/>
  <c r="DF7" i="95"/>
  <c r="DG7" i="95"/>
  <c r="DH7" i="95"/>
  <c r="DI7" i="95"/>
  <c r="DJ7" i="95"/>
  <c r="DK7" i="95"/>
  <c r="DL7" i="95"/>
  <c r="DM7" i="95"/>
  <c r="DN7" i="95"/>
  <c r="DO7" i="95"/>
  <c r="DP7" i="95"/>
  <c r="DQ7" i="95"/>
  <c r="DR7" i="95"/>
  <c r="DS7" i="95"/>
  <c r="DT7" i="95"/>
  <c r="DU7" i="95"/>
  <c r="DV7" i="95"/>
  <c r="DW7" i="95"/>
  <c r="DX7" i="95"/>
  <c r="DY7" i="95"/>
  <c r="DZ7" i="95"/>
  <c r="EA7" i="95"/>
  <c r="EB7" i="95"/>
  <c r="EC7" i="95"/>
  <c r="ED7" i="95"/>
  <c r="EE7" i="95"/>
  <c r="EF7" i="95"/>
  <c r="EG7" i="95"/>
  <c r="EH7" i="95"/>
  <c r="EI7" i="95"/>
  <c r="EJ7" i="95"/>
  <c r="EK7" i="95"/>
  <c r="EL7" i="95"/>
  <c r="EM7" i="95"/>
  <c r="EN7" i="95"/>
  <c r="EO7" i="95"/>
  <c r="EP7" i="95"/>
  <c r="EQ7" i="95"/>
  <c r="ER7" i="95"/>
  <c r="ES7" i="95"/>
  <c r="ET7" i="95"/>
  <c r="EU7" i="95"/>
  <c r="EV7" i="95"/>
  <c r="EW7" i="95"/>
  <c r="EX7" i="95"/>
  <c r="EY7" i="95"/>
  <c r="EZ7" i="95"/>
  <c r="FA7" i="95"/>
  <c r="FB7" i="95"/>
  <c r="FC7" i="95"/>
  <c r="FD7" i="95"/>
  <c r="FE7" i="95"/>
  <c r="FF7" i="95"/>
  <c r="FG7" i="95"/>
  <c r="FH7" i="95"/>
  <c r="FI7" i="95"/>
  <c r="FJ7" i="95"/>
  <c r="FK7" i="95"/>
  <c r="FL7" i="95"/>
  <c r="FM7" i="95"/>
  <c r="FN7" i="95"/>
  <c r="FO7" i="95"/>
  <c r="FP7" i="95"/>
  <c r="FQ7" i="95"/>
  <c r="FR7" i="95"/>
  <c r="FS7" i="95"/>
  <c r="FT7" i="95"/>
  <c r="FU7" i="95"/>
  <c r="FV7" i="95"/>
  <c r="FW7" i="95"/>
  <c r="FX7" i="95"/>
  <c r="FY7" i="95"/>
  <c r="FZ7" i="95"/>
  <c r="GA7" i="95"/>
  <c r="GB7" i="95"/>
  <c r="GC7" i="95"/>
  <c r="GD7" i="95"/>
  <c r="GE7" i="95"/>
  <c r="GF7" i="95"/>
  <c r="GG7" i="95"/>
  <c r="GH7" i="95"/>
  <c r="GI7" i="95"/>
  <c r="GJ7" i="95"/>
  <c r="GK7" i="95"/>
  <c r="GL7" i="95"/>
  <c r="GM7" i="95"/>
  <c r="GN7" i="95"/>
  <c r="GO7" i="95"/>
  <c r="GP7" i="95"/>
  <c r="GQ7" i="95"/>
  <c r="GR7" i="95"/>
  <c r="GS7" i="95"/>
  <c r="GT7" i="95"/>
  <c r="GU7" i="95"/>
  <c r="GV7" i="95"/>
  <c r="GW7" i="95"/>
  <c r="GX7" i="95"/>
  <c r="GY7" i="95"/>
  <c r="GZ7" i="95"/>
  <c r="HA7" i="95"/>
  <c r="HB7" i="95"/>
  <c r="HC7" i="95"/>
  <c r="HD7" i="95"/>
  <c r="HE7" i="95"/>
  <c r="HF7" i="95"/>
  <c r="HG7" i="95"/>
  <c r="HH7" i="95"/>
  <c r="HI7" i="95"/>
  <c r="HJ7" i="95"/>
  <c r="HK7" i="95"/>
  <c r="HL7" i="95"/>
  <c r="HM7" i="95"/>
  <c r="HN7" i="95"/>
  <c r="HO7" i="95"/>
  <c r="HP7" i="95"/>
  <c r="HQ7" i="95"/>
  <c r="G8" i="95"/>
  <c r="H8" i="95"/>
  <c r="I8" i="95"/>
  <c r="J8" i="95"/>
  <c r="K8" i="95"/>
  <c r="L8" i="95"/>
  <c r="M8" i="95"/>
  <c r="N8" i="95"/>
  <c r="O8" i="95"/>
  <c r="P8" i="95"/>
  <c r="Q8" i="95"/>
  <c r="R8" i="95"/>
  <c r="S8" i="95"/>
  <c r="T8" i="95"/>
  <c r="U8" i="95"/>
  <c r="V8" i="95"/>
  <c r="W8" i="95"/>
  <c r="X8" i="95"/>
  <c r="Y8" i="95"/>
  <c r="Z8" i="95"/>
  <c r="AA8" i="95"/>
  <c r="AB8" i="95"/>
  <c r="AC8" i="95"/>
  <c r="AD8" i="95"/>
  <c r="AE8" i="95"/>
  <c r="AF8" i="95"/>
  <c r="AG8" i="95"/>
  <c r="AH8" i="95"/>
  <c r="AI8" i="95"/>
  <c r="AJ8" i="95"/>
  <c r="AK8" i="95"/>
  <c r="AL8" i="95"/>
  <c r="AM8" i="95"/>
  <c r="AN8" i="95"/>
  <c r="AO8" i="95"/>
  <c r="AP8" i="95"/>
  <c r="AQ8" i="95"/>
  <c r="AR8" i="95"/>
  <c r="AS8" i="95"/>
  <c r="AT8" i="95"/>
  <c r="AU8" i="95"/>
  <c r="AV8" i="95"/>
  <c r="AW8" i="95"/>
  <c r="AX8" i="95"/>
  <c r="AY8" i="95"/>
  <c r="AZ8" i="95"/>
  <c r="BA8" i="95"/>
  <c r="BB8" i="95"/>
  <c r="BC8" i="95"/>
  <c r="BD8" i="95"/>
  <c r="BE8" i="95"/>
  <c r="BF8" i="95"/>
  <c r="BG8" i="95"/>
  <c r="BH8" i="95"/>
  <c r="BI8" i="95"/>
  <c r="BJ8" i="95"/>
  <c r="BK8" i="95"/>
  <c r="BL8" i="95"/>
  <c r="BM8" i="95"/>
  <c r="BN8" i="95"/>
  <c r="BO8" i="95"/>
  <c r="BP8" i="95"/>
  <c r="BQ8" i="95"/>
  <c r="BR8" i="95"/>
  <c r="BS8" i="95"/>
  <c r="BT8" i="95"/>
  <c r="BU8" i="95"/>
  <c r="BV8" i="95"/>
  <c r="BW8" i="95"/>
  <c r="BX8" i="95"/>
  <c r="BY8" i="95"/>
  <c r="BZ8" i="95"/>
  <c r="CA8" i="95"/>
  <c r="CB8" i="95"/>
  <c r="CC8" i="95"/>
  <c r="CD8" i="95"/>
  <c r="CE8" i="95"/>
  <c r="CF8" i="95"/>
  <c r="CG8" i="95"/>
  <c r="CH8" i="95"/>
  <c r="CI8" i="95"/>
  <c r="CJ8" i="95"/>
  <c r="CK8" i="95"/>
  <c r="CL8" i="95"/>
  <c r="CM8" i="95"/>
  <c r="CN8" i="95"/>
  <c r="CO8" i="95"/>
  <c r="CP8" i="95"/>
  <c r="CQ8" i="95"/>
  <c r="CR8" i="95"/>
  <c r="CS8" i="95"/>
  <c r="CT8" i="95"/>
  <c r="CU8" i="95"/>
  <c r="CV8" i="95"/>
  <c r="CW8" i="95"/>
  <c r="CX8" i="95"/>
  <c r="CY8" i="95"/>
  <c r="CZ8" i="95"/>
  <c r="DA8" i="95"/>
  <c r="DB8" i="95"/>
  <c r="DC8" i="95"/>
  <c r="DD8" i="95"/>
  <c r="DE8" i="95"/>
  <c r="DF8" i="95"/>
  <c r="DG8" i="95"/>
  <c r="DH8" i="95"/>
  <c r="DI8" i="95"/>
  <c r="DJ8" i="95"/>
  <c r="DK8" i="95"/>
  <c r="DL8" i="95"/>
  <c r="DM8" i="95"/>
  <c r="DN8" i="95"/>
  <c r="DO8" i="95"/>
  <c r="DP8" i="95"/>
  <c r="DQ8" i="95"/>
  <c r="DR8" i="95"/>
  <c r="DS8" i="95"/>
  <c r="DT8" i="95"/>
  <c r="DU8" i="95"/>
  <c r="DV8" i="95"/>
  <c r="DW8" i="95"/>
  <c r="DX8" i="95"/>
  <c r="DY8" i="95"/>
  <c r="DZ8" i="95"/>
  <c r="EA8" i="95"/>
  <c r="EB8" i="95"/>
  <c r="EC8" i="95"/>
  <c r="ED8" i="95"/>
  <c r="EE8" i="95"/>
  <c r="EF8" i="95"/>
  <c r="EG8" i="95"/>
  <c r="EH8" i="95"/>
  <c r="EI8" i="95"/>
  <c r="EJ8" i="95"/>
  <c r="EK8" i="95"/>
  <c r="EL8" i="95"/>
  <c r="EM8" i="95"/>
  <c r="EN8" i="95"/>
  <c r="EO8" i="95"/>
  <c r="EP8" i="95"/>
  <c r="EQ8" i="95"/>
  <c r="ER8" i="95"/>
  <c r="ES8" i="95"/>
  <c r="ET8" i="95"/>
  <c r="EU8" i="95"/>
  <c r="EV8" i="95"/>
  <c r="EW8" i="95"/>
  <c r="EX8" i="95"/>
  <c r="EY8" i="95"/>
  <c r="EZ8" i="95"/>
  <c r="FA8" i="95"/>
  <c r="FB8" i="95"/>
  <c r="FC8" i="95"/>
  <c r="FD8" i="95"/>
  <c r="FE8" i="95"/>
  <c r="FF8" i="95"/>
  <c r="FG8" i="95"/>
  <c r="FH8" i="95"/>
  <c r="FI8" i="95"/>
  <c r="FJ8" i="95"/>
  <c r="FK8" i="95"/>
  <c r="FL8" i="95"/>
  <c r="FM8" i="95"/>
  <c r="FN8" i="95"/>
  <c r="FO8" i="95"/>
  <c r="FP8" i="95"/>
  <c r="FQ8" i="95"/>
  <c r="FR8" i="95"/>
  <c r="FS8" i="95"/>
  <c r="FT8" i="95"/>
  <c r="FU8" i="95"/>
  <c r="FV8" i="95"/>
  <c r="FW8" i="95"/>
  <c r="FX8" i="95"/>
  <c r="FY8" i="95"/>
  <c r="FZ8" i="95"/>
  <c r="GA8" i="95"/>
  <c r="GB8" i="95"/>
  <c r="GC8" i="95"/>
  <c r="GD8" i="95"/>
  <c r="GE8" i="95"/>
  <c r="GF8" i="95"/>
  <c r="GG8" i="95"/>
  <c r="GH8" i="95"/>
  <c r="GI8" i="95"/>
  <c r="GJ8" i="95"/>
  <c r="GK8" i="95"/>
  <c r="GL8" i="95"/>
  <c r="GM8" i="95"/>
  <c r="GN8" i="95"/>
  <c r="GO8" i="95"/>
  <c r="GP8" i="95"/>
  <c r="GQ8" i="95"/>
  <c r="GR8" i="95"/>
  <c r="GS8" i="95"/>
  <c r="GT8" i="95"/>
  <c r="GU8" i="95"/>
  <c r="GV8" i="95"/>
  <c r="GW8" i="95"/>
  <c r="GX8" i="95"/>
  <c r="GY8" i="95"/>
  <c r="GZ8" i="95"/>
  <c r="HA8" i="95"/>
  <c r="HB8" i="95"/>
  <c r="HC8" i="95"/>
  <c r="HD8" i="95"/>
  <c r="HE8" i="95"/>
  <c r="HF8" i="95"/>
  <c r="HG8" i="95"/>
  <c r="HH8" i="95"/>
  <c r="HI8" i="95"/>
  <c r="HJ8" i="95"/>
  <c r="HK8" i="95"/>
  <c r="HL8" i="95"/>
  <c r="HM8" i="95"/>
  <c r="HN8" i="95"/>
  <c r="HO8" i="95"/>
  <c r="HP8" i="95"/>
  <c r="HQ8" i="95"/>
  <c r="G9" i="95"/>
  <c r="H9" i="95"/>
  <c r="I9" i="95"/>
  <c r="J9" i="95"/>
  <c r="K9" i="95"/>
  <c r="L9" i="95"/>
  <c r="M9" i="95"/>
  <c r="N9" i="95"/>
  <c r="O9" i="95"/>
  <c r="P9" i="95"/>
  <c r="Q9" i="95"/>
  <c r="R9" i="95"/>
  <c r="S9" i="95"/>
  <c r="T9" i="95"/>
  <c r="U9" i="95"/>
  <c r="V9" i="95"/>
  <c r="W9" i="95"/>
  <c r="X9" i="95"/>
  <c r="Y9" i="95"/>
  <c r="Z9" i="95"/>
  <c r="AA9" i="95"/>
  <c r="AB9" i="95"/>
  <c r="AC9" i="95"/>
  <c r="AD9" i="95"/>
  <c r="AE9" i="95"/>
  <c r="AF9" i="95"/>
  <c r="AG9" i="95"/>
  <c r="AH9" i="95"/>
  <c r="AI9" i="95"/>
  <c r="AJ9" i="95"/>
  <c r="AK9" i="95"/>
  <c r="AL9" i="95"/>
  <c r="AM9" i="95"/>
  <c r="AN9" i="95"/>
  <c r="AO9" i="95"/>
  <c r="AP9" i="95"/>
  <c r="AQ9" i="95"/>
  <c r="AR9" i="95"/>
  <c r="AS9" i="95"/>
  <c r="AT9" i="95"/>
  <c r="AU9" i="95"/>
  <c r="AV9" i="95"/>
  <c r="AW9" i="95"/>
  <c r="AX9" i="95"/>
  <c r="AY9" i="95"/>
  <c r="AZ9" i="95"/>
  <c r="BA9" i="95"/>
  <c r="BB9" i="95"/>
  <c r="BC9" i="95"/>
  <c r="BD9" i="95"/>
  <c r="BE9" i="95"/>
  <c r="BF9" i="95"/>
  <c r="BG9" i="95"/>
  <c r="BH9" i="95"/>
  <c r="BI9" i="95"/>
  <c r="BJ9" i="95"/>
  <c r="BK9" i="95"/>
  <c r="BL9" i="95"/>
  <c r="BM9" i="95"/>
  <c r="BN9" i="95"/>
  <c r="BO9" i="95"/>
  <c r="BP9" i="95"/>
  <c r="BQ9" i="95"/>
  <c r="BR9" i="95"/>
  <c r="BS9" i="95"/>
  <c r="BT9" i="95"/>
  <c r="BU9" i="95"/>
  <c r="BV9" i="95"/>
  <c r="BW9" i="95"/>
  <c r="BX9" i="95"/>
  <c r="BY9" i="95"/>
  <c r="BZ9" i="95"/>
  <c r="CA9" i="95"/>
  <c r="CB9" i="95"/>
  <c r="CC9" i="95"/>
  <c r="CD9" i="95"/>
  <c r="CE9" i="95"/>
  <c r="CF9" i="95"/>
  <c r="CG9" i="95"/>
  <c r="CH9" i="95"/>
  <c r="CI9" i="95"/>
  <c r="CJ9" i="95"/>
  <c r="CK9" i="95"/>
  <c r="CL9" i="95"/>
  <c r="CM9" i="95"/>
  <c r="CN9" i="95"/>
  <c r="CO9" i="95"/>
  <c r="CP9" i="95"/>
  <c r="CQ9" i="95"/>
  <c r="CR9" i="95"/>
  <c r="CS9" i="95"/>
  <c r="CT9" i="95"/>
  <c r="CU9" i="95"/>
  <c r="CV9" i="95"/>
  <c r="CW9" i="95"/>
  <c r="CX9" i="95"/>
  <c r="CY9" i="95"/>
  <c r="CZ9" i="95"/>
  <c r="DA9" i="95"/>
  <c r="DB9" i="95"/>
  <c r="DC9" i="95"/>
  <c r="DD9" i="95"/>
  <c r="DE9" i="95"/>
  <c r="DF9" i="95"/>
  <c r="DG9" i="95"/>
  <c r="DH9" i="95"/>
  <c r="DI9" i="95"/>
  <c r="DJ9" i="95"/>
  <c r="DK9" i="95"/>
  <c r="DL9" i="95"/>
  <c r="DM9" i="95"/>
  <c r="DN9" i="95"/>
  <c r="DO9" i="95"/>
  <c r="DP9" i="95"/>
  <c r="DQ9" i="95"/>
  <c r="DR9" i="95"/>
  <c r="DS9" i="95"/>
  <c r="DT9" i="95"/>
  <c r="DU9" i="95"/>
  <c r="DV9" i="95"/>
  <c r="DW9" i="95"/>
  <c r="DX9" i="95"/>
  <c r="DY9" i="95"/>
  <c r="DZ9" i="95"/>
  <c r="EA9" i="95"/>
  <c r="EB9" i="95"/>
  <c r="EC9" i="95"/>
  <c r="ED9" i="95"/>
  <c r="EE9" i="95"/>
  <c r="EF9" i="95"/>
  <c r="EG9" i="95"/>
  <c r="EH9" i="95"/>
  <c r="EI9" i="95"/>
  <c r="EJ9" i="95"/>
  <c r="EK9" i="95"/>
  <c r="EL9" i="95"/>
  <c r="EM9" i="95"/>
  <c r="EN9" i="95"/>
  <c r="EO9" i="95"/>
  <c r="EP9" i="95"/>
  <c r="EQ9" i="95"/>
  <c r="ER9" i="95"/>
  <c r="ES9" i="95"/>
  <c r="ET9" i="95"/>
  <c r="EU9" i="95"/>
  <c r="EV9" i="95"/>
  <c r="EW9" i="95"/>
  <c r="EX9" i="95"/>
  <c r="EY9" i="95"/>
  <c r="EZ9" i="95"/>
  <c r="FA9" i="95"/>
  <c r="FB9" i="95"/>
  <c r="FC9" i="95"/>
  <c r="FD9" i="95"/>
  <c r="FE9" i="95"/>
  <c r="FF9" i="95"/>
  <c r="FG9" i="95"/>
  <c r="FH9" i="95"/>
  <c r="FI9" i="95"/>
  <c r="FJ9" i="95"/>
  <c r="FK9" i="95"/>
  <c r="FL9" i="95"/>
  <c r="FM9" i="95"/>
  <c r="FN9" i="95"/>
  <c r="FO9" i="95"/>
  <c r="FP9" i="95"/>
  <c r="FQ9" i="95"/>
  <c r="FR9" i="95"/>
  <c r="FS9" i="95"/>
  <c r="FT9" i="95"/>
  <c r="FU9" i="95"/>
  <c r="FV9" i="95"/>
  <c r="FW9" i="95"/>
  <c r="FX9" i="95"/>
  <c r="FY9" i="95"/>
  <c r="FZ9" i="95"/>
  <c r="GA9" i="95"/>
  <c r="GB9" i="95"/>
  <c r="GC9" i="95"/>
  <c r="GD9" i="95"/>
  <c r="GE9" i="95"/>
  <c r="GF9" i="95"/>
  <c r="GG9" i="95"/>
  <c r="GH9" i="95"/>
  <c r="GI9" i="95"/>
  <c r="GJ9" i="95"/>
  <c r="GK9" i="95"/>
  <c r="GL9" i="95"/>
  <c r="GM9" i="95"/>
  <c r="GN9" i="95"/>
  <c r="GO9" i="95"/>
  <c r="GP9" i="95"/>
  <c r="GQ9" i="95"/>
  <c r="GR9" i="95"/>
  <c r="GS9" i="95"/>
  <c r="GT9" i="95"/>
  <c r="GU9" i="95"/>
  <c r="GV9" i="95"/>
  <c r="GW9" i="95"/>
  <c r="GX9" i="95"/>
  <c r="GY9" i="95"/>
  <c r="GZ9" i="95"/>
  <c r="HA9" i="95"/>
  <c r="HB9" i="95"/>
  <c r="HC9" i="95"/>
  <c r="HD9" i="95"/>
  <c r="HE9" i="95"/>
  <c r="HF9" i="95"/>
  <c r="HG9" i="95"/>
  <c r="HH9" i="95"/>
  <c r="HI9" i="95"/>
  <c r="HJ9" i="95"/>
  <c r="HK9" i="95"/>
  <c r="HL9" i="95"/>
  <c r="HM9" i="95"/>
  <c r="HN9" i="95"/>
  <c r="HO9" i="95"/>
  <c r="HP9" i="95"/>
  <c r="HQ9" i="95"/>
  <c r="G10" i="95"/>
  <c r="H10" i="95"/>
  <c r="I10" i="95"/>
  <c r="J10" i="95"/>
  <c r="K10" i="95"/>
  <c r="L10" i="95"/>
  <c r="M10" i="95"/>
  <c r="N10" i="95"/>
  <c r="O10" i="95"/>
  <c r="P10" i="95"/>
  <c r="Q10" i="95"/>
  <c r="R10" i="95"/>
  <c r="S10" i="95"/>
  <c r="T10" i="95"/>
  <c r="U10" i="95"/>
  <c r="V10" i="95"/>
  <c r="W10" i="95"/>
  <c r="X10" i="95"/>
  <c r="Y10" i="95"/>
  <c r="Z10" i="95"/>
  <c r="AA10" i="95"/>
  <c r="AB10" i="95"/>
  <c r="AC10" i="95"/>
  <c r="AD10" i="95"/>
  <c r="AE10" i="95"/>
  <c r="AF10" i="95"/>
  <c r="AG10" i="95"/>
  <c r="AH10" i="95"/>
  <c r="AI10" i="95"/>
  <c r="AJ10" i="95"/>
  <c r="AK10" i="95"/>
  <c r="AL10" i="95"/>
  <c r="AM10" i="95"/>
  <c r="AN10" i="95"/>
  <c r="AO10" i="95"/>
  <c r="AP10" i="95"/>
  <c r="AQ10" i="95"/>
  <c r="AR10" i="95"/>
  <c r="AS10" i="95"/>
  <c r="AT10" i="95"/>
  <c r="AU10" i="95"/>
  <c r="AV10" i="95"/>
  <c r="AW10" i="95"/>
  <c r="AX10" i="95"/>
  <c r="AY10" i="95"/>
  <c r="AZ10" i="95"/>
  <c r="BA10" i="95"/>
  <c r="BB10" i="95"/>
  <c r="BC10" i="95"/>
  <c r="BD10" i="95"/>
  <c r="BE10" i="95"/>
  <c r="BF10" i="95"/>
  <c r="BG10" i="95"/>
  <c r="BH10" i="95"/>
  <c r="BI10" i="95"/>
  <c r="BJ10" i="95"/>
  <c r="BK10" i="95"/>
  <c r="BL10" i="95"/>
  <c r="BM10" i="95"/>
  <c r="BN10" i="95"/>
  <c r="BO10" i="95"/>
  <c r="BP10" i="95"/>
  <c r="BQ10" i="95"/>
  <c r="BR10" i="95"/>
  <c r="BS10" i="95"/>
  <c r="BT10" i="95"/>
  <c r="BU10" i="95"/>
  <c r="BV10" i="95"/>
  <c r="BW10" i="95"/>
  <c r="BX10" i="95"/>
  <c r="BY10" i="95"/>
  <c r="BZ10" i="95"/>
  <c r="CA10" i="95"/>
  <c r="CB10" i="95"/>
  <c r="CC10" i="95"/>
  <c r="CD10" i="95"/>
  <c r="CE10" i="95"/>
  <c r="CF10" i="95"/>
  <c r="CG10" i="95"/>
  <c r="CH10" i="95"/>
  <c r="CI10" i="95"/>
  <c r="CJ10" i="95"/>
  <c r="CK10" i="95"/>
  <c r="CL10" i="95"/>
  <c r="CM10" i="95"/>
  <c r="CN10" i="95"/>
  <c r="CO10" i="95"/>
  <c r="CP10" i="95"/>
  <c r="CQ10" i="95"/>
  <c r="CR10" i="95"/>
  <c r="CS10" i="95"/>
  <c r="CT10" i="95"/>
  <c r="CU10" i="95"/>
  <c r="CV10" i="95"/>
  <c r="CW10" i="95"/>
  <c r="CX10" i="95"/>
  <c r="CY10" i="95"/>
  <c r="CZ10" i="95"/>
  <c r="DA10" i="95"/>
  <c r="DB10" i="95"/>
  <c r="DC10" i="95"/>
  <c r="DD10" i="95"/>
  <c r="DE10" i="95"/>
  <c r="DF10" i="95"/>
  <c r="DG10" i="95"/>
  <c r="DH10" i="95"/>
  <c r="DI10" i="95"/>
  <c r="DJ10" i="95"/>
  <c r="DK10" i="95"/>
  <c r="DL10" i="95"/>
  <c r="DM10" i="95"/>
  <c r="DN10" i="95"/>
  <c r="DO10" i="95"/>
  <c r="DP10" i="95"/>
  <c r="DQ10" i="95"/>
  <c r="DR10" i="95"/>
  <c r="DS10" i="95"/>
  <c r="DT10" i="95"/>
  <c r="DU10" i="95"/>
  <c r="DV10" i="95"/>
  <c r="DW10" i="95"/>
  <c r="DX10" i="95"/>
  <c r="DY10" i="95"/>
  <c r="DZ10" i="95"/>
  <c r="EA10" i="95"/>
  <c r="EB10" i="95"/>
  <c r="EC10" i="95"/>
  <c r="ED10" i="95"/>
  <c r="EE10" i="95"/>
  <c r="EF10" i="95"/>
  <c r="EG10" i="95"/>
  <c r="EH10" i="95"/>
  <c r="EI10" i="95"/>
  <c r="EJ10" i="95"/>
  <c r="EK10" i="95"/>
  <c r="EL10" i="95"/>
  <c r="EM10" i="95"/>
  <c r="EN10" i="95"/>
  <c r="EO10" i="95"/>
  <c r="EP10" i="95"/>
  <c r="EQ10" i="95"/>
  <c r="ER10" i="95"/>
  <c r="ES10" i="95"/>
  <c r="ET10" i="95"/>
  <c r="EU10" i="95"/>
  <c r="EV10" i="95"/>
  <c r="EW10" i="95"/>
  <c r="EX10" i="95"/>
  <c r="EY10" i="95"/>
  <c r="EZ10" i="95"/>
  <c r="FA10" i="95"/>
  <c r="FB10" i="95"/>
  <c r="FC10" i="95"/>
  <c r="FD10" i="95"/>
  <c r="FE10" i="95"/>
  <c r="FF10" i="95"/>
  <c r="FG10" i="95"/>
  <c r="FH10" i="95"/>
  <c r="FI10" i="95"/>
  <c r="FJ10" i="95"/>
  <c r="FK10" i="95"/>
  <c r="FL10" i="95"/>
  <c r="FM10" i="95"/>
  <c r="FN10" i="95"/>
  <c r="FO10" i="95"/>
  <c r="FP10" i="95"/>
  <c r="FQ10" i="95"/>
  <c r="FR10" i="95"/>
  <c r="FS10" i="95"/>
  <c r="FT10" i="95"/>
  <c r="FU10" i="95"/>
  <c r="FV10" i="95"/>
  <c r="FW10" i="95"/>
  <c r="FX10" i="95"/>
  <c r="FY10" i="95"/>
  <c r="FZ10" i="95"/>
  <c r="GA10" i="95"/>
  <c r="GB10" i="95"/>
  <c r="GC10" i="95"/>
  <c r="GD10" i="95"/>
  <c r="GE10" i="95"/>
  <c r="GF10" i="95"/>
  <c r="GG10" i="95"/>
  <c r="GH10" i="95"/>
  <c r="GI10" i="95"/>
  <c r="GJ10" i="95"/>
  <c r="GK10" i="95"/>
  <c r="GL10" i="95"/>
  <c r="GM10" i="95"/>
  <c r="GN10" i="95"/>
  <c r="GO10" i="95"/>
  <c r="GP10" i="95"/>
  <c r="GQ10" i="95"/>
  <c r="GR10" i="95"/>
  <c r="GS10" i="95"/>
  <c r="GT10" i="95"/>
  <c r="GU10" i="95"/>
  <c r="GV10" i="95"/>
  <c r="GW10" i="95"/>
  <c r="GX10" i="95"/>
  <c r="GY10" i="95"/>
  <c r="GZ10" i="95"/>
  <c r="HA10" i="95"/>
  <c r="HB10" i="95"/>
  <c r="HC10" i="95"/>
  <c r="HD10" i="95"/>
  <c r="HE10" i="95"/>
  <c r="HF10" i="95"/>
  <c r="HG10" i="95"/>
  <c r="HH10" i="95"/>
  <c r="HI10" i="95"/>
  <c r="HJ10" i="95"/>
  <c r="HK10" i="95"/>
  <c r="HL10" i="95"/>
  <c r="HM10" i="95"/>
  <c r="HN10" i="95"/>
  <c r="HO10" i="95"/>
  <c r="HP10" i="95"/>
  <c r="HQ10" i="95"/>
  <c r="G11" i="95"/>
  <c r="H11" i="95"/>
  <c r="I11" i="95"/>
  <c r="J11" i="95"/>
  <c r="K11" i="95"/>
  <c r="L11" i="95"/>
  <c r="M11" i="95"/>
  <c r="N11" i="95"/>
  <c r="O11" i="95"/>
  <c r="P11" i="95"/>
  <c r="Q11" i="95"/>
  <c r="R11" i="95"/>
  <c r="S11" i="95"/>
  <c r="T11" i="95"/>
  <c r="U11" i="95"/>
  <c r="V11" i="95"/>
  <c r="W11" i="95"/>
  <c r="X11" i="95"/>
  <c r="Y11" i="95"/>
  <c r="Z11" i="95"/>
  <c r="AA11" i="95"/>
  <c r="AB11" i="95"/>
  <c r="AC11" i="95"/>
  <c r="AD11" i="95"/>
  <c r="AE11" i="95"/>
  <c r="AF11" i="95"/>
  <c r="AG11" i="95"/>
  <c r="AH11" i="95"/>
  <c r="AI11" i="95"/>
  <c r="AJ11" i="95"/>
  <c r="AK11" i="95"/>
  <c r="AL11" i="95"/>
  <c r="AM11" i="95"/>
  <c r="AN11" i="95"/>
  <c r="AO11" i="95"/>
  <c r="AP11" i="95"/>
  <c r="AQ11" i="95"/>
  <c r="AR11" i="95"/>
  <c r="AS11" i="95"/>
  <c r="AT11" i="95"/>
  <c r="AU11" i="95"/>
  <c r="AV11" i="95"/>
  <c r="AW11" i="95"/>
  <c r="AX11" i="95"/>
  <c r="AY11" i="95"/>
  <c r="AZ11" i="95"/>
  <c r="BA11" i="95"/>
  <c r="BB11" i="95"/>
  <c r="BC11" i="95"/>
  <c r="BD11" i="95"/>
  <c r="BE11" i="95"/>
  <c r="BF11" i="95"/>
  <c r="BG11" i="95"/>
  <c r="BH11" i="95"/>
  <c r="BI11" i="95"/>
  <c r="BJ11" i="95"/>
  <c r="BK11" i="95"/>
  <c r="BL11" i="95"/>
  <c r="BM11" i="95"/>
  <c r="BN11" i="95"/>
  <c r="BO11" i="95"/>
  <c r="BP11" i="95"/>
  <c r="BQ11" i="95"/>
  <c r="BR11" i="95"/>
  <c r="BS11" i="95"/>
  <c r="BT11" i="95"/>
  <c r="BU11" i="95"/>
  <c r="BV11" i="95"/>
  <c r="BW11" i="95"/>
  <c r="BX11" i="95"/>
  <c r="BY11" i="95"/>
  <c r="BZ11" i="95"/>
  <c r="CA11" i="95"/>
  <c r="CB11" i="95"/>
  <c r="CC11" i="95"/>
  <c r="CD11" i="95"/>
  <c r="CE11" i="95"/>
  <c r="CF11" i="95"/>
  <c r="CG11" i="95"/>
  <c r="CH11" i="95"/>
  <c r="CI11" i="95"/>
  <c r="CJ11" i="95"/>
  <c r="CK11" i="95"/>
  <c r="CL11" i="95"/>
  <c r="CM11" i="95"/>
  <c r="CN11" i="95"/>
  <c r="CO11" i="95"/>
  <c r="CP11" i="95"/>
  <c r="CQ11" i="95"/>
  <c r="CR11" i="95"/>
  <c r="CS11" i="95"/>
  <c r="CT11" i="95"/>
  <c r="CU11" i="95"/>
  <c r="CV11" i="95"/>
  <c r="CW11" i="95"/>
  <c r="CX11" i="95"/>
  <c r="CY11" i="95"/>
  <c r="CZ11" i="95"/>
  <c r="DA11" i="95"/>
  <c r="DB11" i="95"/>
  <c r="DC11" i="95"/>
  <c r="DD11" i="95"/>
  <c r="DE11" i="95"/>
  <c r="DF11" i="95"/>
  <c r="DG11" i="95"/>
  <c r="DH11" i="95"/>
  <c r="DI11" i="95"/>
  <c r="DJ11" i="95"/>
  <c r="DK11" i="95"/>
  <c r="DL11" i="95"/>
  <c r="DM11" i="95"/>
  <c r="DN11" i="95"/>
  <c r="DO11" i="95"/>
  <c r="DP11" i="95"/>
  <c r="DQ11" i="95"/>
  <c r="DR11" i="95"/>
  <c r="DS11" i="95"/>
  <c r="DT11" i="95"/>
  <c r="DU11" i="95"/>
  <c r="DV11" i="95"/>
  <c r="DW11" i="95"/>
  <c r="DX11" i="95"/>
  <c r="DY11" i="95"/>
  <c r="DZ11" i="95"/>
  <c r="EA11" i="95"/>
  <c r="EB11" i="95"/>
  <c r="EC11" i="95"/>
  <c r="ED11" i="95"/>
  <c r="EE11" i="95"/>
  <c r="EF11" i="95"/>
  <c r="EG11" i="95"/>
  <c r="EH11" i="95"/>
  <c r="EI11" i="95"/>
  <c r="EJ11" i="95"/>
  <c r="EK11" i="95"/>
  <c r="EL11" i="95"/>
  <c r="EM11" i="95"/>
  <c r="EN11" i="95"/>
  <c r="EO11" i="95"/>
  <c r="EP11" i="95"/>
  <c r="EQ11" i="95"/>
  <c r="ER11" i="95"/>
  <c r="ES11" i="95"/>
  <c r="ET11" i="95"/>
  <c r="EU11" i="95"/>
  <c r="EV11" i="95"/>
  <c r="EW11" i="95"/>
  <c r="EX11" i="95"/>
  <c r="EY11" i="95"/>
  <c r="EZ11" i="95"/>
  <c r="FA11" i="95"/>
  <c r="FB11" i="95"/>
  <c r="FC11" i="95"/>
  <c r="FD11" i="95"/>
  <c r="FE11" i="95"/>
  <c r="FF11" i="95"/>
  <c r="FG11" i="95"/>
  <c r="FH11" i="95"/>
  <c r="FI11" i="95"/>
  <c r="FJ11" i="95"/>
  <c r="FK11" i="95"/>
  <c r="FL11" i="95"/>
  <c r="FM11" i="95"/>
  <c r="FN11" i="95"/>
  <c r="FO11" i="95"/>
  <c r="FP11" i="95"/>
  <c r="FQ11" i="95"/>
  <c r="FR11" i="95"/>
  <c r="FS11" i="95"/>
  <c r="FT11" i="95"/>
  <c r="FU11" i="95"/>
  <c r="FV11" i="95"/>
  <c r="FW11" i="95"/>
  <c r="FX11" i="95"/>
  <c r="FY11" i="95"/>
  <c r="FZ11" i="95"/>
  <c r="GA11" i="95"/>
  <c r="GB11" i="95"/>
  <c r="GC11" i="95"/>
  <c r="GD11" i="95"/>
  <c r="GE11" i="95"/>
  <c r="GF11" i="95"/>
  <c r="GG11" i="95"/>
  <c r="GH11" i="95"/>
  <c r="GI11" i="95"/>
  <c r="GJ11" i="95"/>
  <c r="GK11" i="95"/>
  <c r="GL11" i="95"/>
  <c r="GM11" i="95"/>
  <c r="GN11" i="95"/>
  <c r="GO11" i="95"/>
  <c r="GP11" i="95"/>
  <c r="GQ11" i="95"/>
  <c r="GR11" i="95"/>
  <c r="GS11" i="95"/>
  <c r="GT11" i="95"/>
  <c r="GU11" i="95"/>
  <c r="GV11" i="95"/>
  <c r="GW11" i="95"/>
  <c r="GX11" i="95"/>
  <c r="GY11" i="95"/>
  <c r="GZ11" i="95"/>
  <c r="HA11" i="95"/>
  <c r="HB11" i="95"/>
  <c r="HC11" i="95"/>
  <c r="HD11" i="95"/>
  <c r="HE11" i="95"/>
  <c r="HF11" i="95"/>
  <c r="HG11" i="95"/>
  <c r="HH11" i="95"/>
  <c r="HI11" i="95"/>
  <c r="HJ11" i="95"/>
  <c r="HK11" i="95"/>
  <c r="HL11" i="95"/>
  <c r="HM11" i="95"/>
  <c r="HN11" i="95"/>
  <c r="HO11" i="95"/>
  <c r="HP11" i="95"/>
  <c r="HQ11" i="95"/>
  <c r="G12" i="95"/>
  <c r="H12" i="95"/>
  <c r="I12" i="95"/>
  <c r="J12" i="95"/>
  <c r="K12" i="95"/>
  <c r="L12" i="95"/>
  <c r="M12" i="95"/>
  <c r="N12" i="95"/>
  <c r="O12" i="95"/>
  <c r="P12" i="95"/>
  <c r="Q12" i="95"/>
  <c r="R12" i="95"/>
  <c r="S12" i="95"/>
  <c r="T12" i="95"/>
  <c r="U12" i="95"/>
  <c r="V12" i="95"/>
  <c r="W12" i="95"/>
  <c r="X12" i="95"/>
  <c r="Y12" i="95"/>
  <c r="Z12" i="95"/>
  <c r="AA12" i="95"/>
  <c r="AB12" i="95"/>
  <c r="AC12" i="95"/>
  <c r="AD12" i="95"/>
  <c r="AE12" i="95"/>
  <c r="AF12" i="95"/>
  <c r="AG12" i="95"/>
  <c r="AH12" i="95"/>
  <c r="AI12" i="95"/>
  <c r="AJ12" i="95"/>
  <c r="AK12" i="95"/>
  <c r="AL12" i="95"/>
  <c r="AM12" i="95"/>
  <c r="AN12" i="95"/>
  <c r="AO12" i="95"/>
  <c r="AP12" i="95"/>
  <c r="AQ12" i="95"/>
  <c r="AR12" i="95"/>
  <c r="AS12" i="95"/>
  <c r="AT12" i="95"/>
  <c r="AU12" i="95"/>
  <c r="AV12" i="95"/>
  <c r="AW12" i="95"/>
  <c r="AX12" i="95"/>
  <c r="AY12" i="95"/>
  <c r="AZ12" i="95"/>
  <c r="BA12" i="95"/>
  <c r="BB12" i="95"/>
  <c r="BC12" i="95"/>
  <c r="BD12" i="95"/>
  <c r="BE12" i="95"/>
  <c r="BF12" i="95"/>
  <c r="BG12" i="95"/>
  <c r="BH12" i="95"/>
  <c r="BI12" i="95"/>
  <c r="BJ12" i="95"/>
  <c r="BK12" i="95"/>
  <c r="BL12" i="95"/>
  <c r="BM12" i="95"/>
  <c r="BN12" i="95"/>
  <c r="BO12" i="95"/>
  <c r="BP12" i="95"/>
  <c r="BQ12" i="95"/>
  <c r="BR12" i="95"/>
  <c r="BS12" i="95"/>
  <c r="BT12" i="95"/>
  <c r="BU12" i="95"/>
  <c r="BV12" i="95"/>
  <c r="BW12" i="95"/>
  <c r="BX12" i="95"/>
  <c r="BY12" i="95"/>
  <c r="BZ12" i="95"/>
  <c r="CA12" i="95"/>
  <c r="CB12" i="95"/>
  <c r="CC12" i="95"/>
  <c r="CD12" i="95"/>
  <c r="CE12" i="95"/>
  <c r="CF12" i="95"/>
  <c r="CG12" i="95"/>
  <c r="CH12" i="95"/>
  <c r="CI12" i="95"/>
  <c r="CJ12" i="95"/>
  <c r="CK12" i="95"/>
  <c r="CL12" i="95"/>
  <c r="CM12" i="95"/>
  <c r="CN12" i="95"/>
  <c r="CO12" i="95"/>
  <c r="CP12" i="95"/>
  <c r="CQ12" i="95"/>
  <c r="CR12" i="95"/>
  <c r="CS12" i="95"/>
  <c r="CT12" i="95"/>
  <c r="CU12" i="95"/>
  <c r="CV12" i="95"/>
  <c r="CW12" i="95"/>
  <c r="CX12" i="95"/>
  <c r="CY12" i="95"/>
  <c r="CZ12" i="95"/>
  <c r="DA12" i="95"/>
  <c r="DB12" i="95"/>
  <c r="DC12" i="95"/>
  <c r="DD12" i="95"/>
  <c r="DE12" i="95"/>
  <c r="DF12" i="95"/>
  <c r="DG12" i="95"/>
  <c r="DH12" i="95"/>
  <c r="DI12" i="95"/>
  <c r="DJ12" i="95"/>
  <c r="DK12" i="95"/>
  <c r="DL12" i="95"/>
  <c r="DM12" i="95"/>
  <c r="DN12" i="95"/>
  <c r="DO12" i="95"/>
  <c r="DP12" i="95"/>
  <c r="DQ12" i="95"/>
  <c r="DR12" i="95"/>
  <c r="DS12" i="95"/>
  <c r="DT12" i="95"/>
  <c r="DU12" i="95"/>
  <c r="DV12" i="95"/>
  <c r="DW12" i="95"/>
  <c r="DX12" i="95"/>
  <c r="DY12" i="95"/>
  <c r="DZ12" i="95"/>
  <c r="EA12" i="95"/>
  <c r="EB12" i="95"/>
  <c r="EC12" i="95"/>
  <c r="ED12" i="95"/>
  <c r="EE12" i="95"/>
  <c r="EF12" i="95"/>
  <c r="EG12" i="95"/>
  <c r="EH12" i="95"/>
  <c r="EI12" i="95"/>
  <c r="EJ12" i="95"/>
  <c r="EK12" i="95"/>
  <c r="EL12" i="95"/>
  <c r="EM12" i="95"/>
  <c r="EN12" i="95"/>
  <c r="EO12" i="95"/>
  <c r="EP12" i="95"/>
  <c r="EQ12" i="95"/>
  <c r="ER12" i="95"/>
  <c r="ES12" i="95"/>
  <c r="ET12" i="95"/>
  <c r="EU12" i="95"/>
  <c r="EV12" i="95"/>
  <c r="EW12" i="95"/>
  <c r="EX12" i="95"/>
  <c r="EY12" i="95"/>
  <c r="EZ12" i="95"/>
  <c r="FA12" i="95"/>
  <c r="FB12" i="95"/>
  <c r="FC12" i="95"/>
  <c r="FD12" i="95"/>
  <c r="FE12" i="95"/>
  <c r="FF12" i="95"/>
  <c r="FG12" i="95"/>
  <c r="FH12" i="95"/>
  <c r="FI12" i="95"/>
  <c r="FJ12" i="95"/>
  <c r="FK12" i="95"/>
  <c r="FL12" i="95"/>
  <c r="FM12" i="95"/>
  <c r="FN12" i="95"/>
  <c r="FO12" i="95"/>
  <c r="FP12" i="95"/>
  <c r="FQ12" i="95"/>
  <c r="FR12" i="95"/>
  <c r="FS12" i="95"/>
  <c r="FT12" i="95"/>
  <c r="FU12" i="95"/>
  <c r="FV12" i="95"/>
  <c r="FW12" i="95"/>
  <c r="FX12" i="95"/>
  <c r="FY12" i="95"/>
  <c r="FZ12" i="95"/>
  <c r="GA12" i="95"/>
  <c r="GB12" i="95"/>
  <c r="GC12" i="95"/>
  <c r="GD12" i="95"/>
  <c r="GE12" i="95"/>
  <c r="GF12" i="95"/>
  <c r="GG12" i="95"/>
  <c r="GH12" i="95"/>
  <c r="GI12" i="95"/>
  <c r="GJ12" i="95"/>
  <c r="GK12" i="95"/>
  <c r="GL12" i="95"/>
  <c r="GM12" i="95"/>
  <c r="GN12" i="95"/>
  <c r="GO12" i="95"/>
  <c r="GP12" i="95"/>
  <c r="GQ12" i="95"/>
  <c r="GR12" i="95"/>
  <c r="GS12" i="95"/>
  <c r="GT12" i="95"/>
  <c r="GU12" i="95"/>
  <c r="GV12" i="95"/>
  <c r="GW12" i="95"/>
  <c r="GX12" i="95"/>
  <c r="GY12" i="95"/>
  <c r="GZ12" i="95"/>
  <c r="HA12" i="95"/>
  <c r="HB12" i="95"/>
  <c r="HC12" i="95"/>
  <c r="HD12" i="95"/>
  <c r="HE12" i="95"/>
  <c r="HF12" i="95"/>
  <c r="HG12" i="95"/>
  <c r="HH12" i="95"/>
  <c r="HI12" i="95"/>
  <c r="HJ12" i="95"/>
  <c r="HK12" i="95"/>
  <c r="HL12" i="95"/>
  <c r="HM12" i="95"/>
  <c r="HN12" i="95"/>
  <c r="HO12" i="95"/>
  <c r="HP12" i="95"/>
  <c r="HQ12" i="95"/>
  <c r="G13" i="95"/>
  <c r="H13" i="95"/>
  <c r="I13" i="95"/>
  <c r="J13" i="95"/>
  <c r="K13" i="95"/>
  <c r="L13" i="95"/>
  <c r="M13" i="95"/>
  <c r="N13" i="95"/>
  <c r="O13" i="95"/>
  <c r="P13" i="95"/>
  <c r="Q13" i="95"/>
  <c r="R13" i="95"/>
  <c r="S13" i="95"/>
  <c r="T13" i="95"/>
  <c r="U13" i="95"/>
  <c r="V13" i="95"/>
  <c r="W13" i="95"/>
  <c r="X13" i="95"/>
  <c r="Y13" i="95"/>
  <c r="Z13" i="95"/>
  <c r="AA13" i="95"/>
  <c r="AB13" i="95"/>
  <c r="AC13" i="95"/>
  <c r="AD13" i="95"/>
  <c r="AE13" i="95"/>
  <c r="AF13" i="95"/>
  <c r="AG13" i="95"/>
  <c r="AH13" i="95"/>
  <c r="AI13" i="95"/>
  <c r="AJ13" i="95"/>
  <c r="AK13" i="95"/>
  <c r="AL13" i="95"/>
  <c r="AM13" i="95"/>
  <c r="AN13" i="95"/>
  <c r="AO13" i="95"/>
  <c r="AP13" i="95"/>
  <c r="AQ13" i="95"/>
  <c r="AR13" i="95"/>
  <c r="AS13" i="95"/>
  <c r="AT13" i="95"/>
  <c r="AU13" i="95"/>
  <c r="AV13" i="95"/>
  <c r="AW13" i="95"/>
  <c r="AX13" i="95"/>
  <c r="AY13" i="95"/>
  <c r="AZ13" i="95"/>
  <c r="BA13" i="95"/>
  <c r="BB13" i="95"/>
  <c r="BC13" i="95"/>
  <c r="BD13" i="95"/>
  <c r="BE13" i="95"/>
  <c r="BF13" i="95"/>
  <c r="BG13" i="95"/>
  <c r="BH13" i="95"/>
  <c r="BI13" i="95"/>
  <c r="BJ13" i="95"/>
  <c r="BK13" i="95"/>
  <c r="BL13" i="95"/>
  <c r="BM13" i="95"/>
  <c r="BN13" i="95"/>
  <c r="BO13" i="95"/>
  <c r="BP13" i="95"/>
  <c r="BQ13" i="95"/>
  <c r="BR13" i="95"/>
  <c r="BS13" i="95"/>
  <c r="BT13" i="95"/>
  <c r="BU13" i="95"/>
  <c r="BV13" i="95"/>
  <c r="BW13" i="95"/>
  <c r="BX13" i="95"/>
  <c r="BY13" i="95"/>
  <c r="BZ13" i="95"/>
  <c r="CA13" i="95"/>
  <c r="CB13" i="95"/>
  <c r="CC13" i="95"/>
  <c r="CD13" i="95"/>
  <c r="CE13" i="95"/>
  <c r="CF13" i="95"/>
  <c r="CG13" i="95"/>
  <c r="CH13" i="95"/>
  <c r="CI13" i="95"/>
  <c r="CJ13" i="95"/>
  <c r="CK13" i="95"/>
  <c r="CL13" i="95"/>
  <c r="CM13" i="95"/>
  <c r="CN13" i="95"/>
  <c r="CO13" i="95"/>
  <c r="CP13" i="95"/>
  <c r="CQ13" i="95"/>
  <c r="CR13" i="95"/>
  <c r="CS13" i="95"/>
  <c r="CT13" i="95"/>
  <c r="CU13" i="95"/>
  <c r="CV13" i="95"/>
  <c r="CW13" i="95"/>
  <c r="CX13" i="95"/>
  <c r="CY13" i="95"/>
  <c r="CZ13" i="95"/>
  <c r="DA13" i="95"/>
  <c r="DB13" i="95"/>
  <c r="DC13" i="95"/>
  <c r="DD13" i="95"/>
  <c r="DE13" i="95"/>
  <c r="DF13" i="95"/>
  <c r="DG13" i="95"/>
  <c r="DH13" i="95"/>
  <c r="DI13" i="95"/>
  <c r="DJ13" i="95"/>
  <c r="DK13" i="95"/>
  <c r="DL13" i="95"/>
  <c r="DM13" i="95"/>
  <c r="DN13" i="95"/>
  <c r="DO13" i="95"/>
  <c r="DP13" i="95"/>
  <c r="DQ13" i="95"/>
  <c r="DR13" i="95"/>
  <c r="DS13" i="95"/>
  <c r="DT13" i="95"/>
  <c r="DU13" i="95"/>
  <c r="DV13" i="95"/>
  <c r="DW13" i="95"/>
  <c r="DX13" i="95"/>
  <c r="DY13" i="95"/>
  <c r="DZ13" i="95"/>
  <c r="EA13" i="95"/>
  <c r="EB13" i="95"/>
  <c r="EC13" i="95"/>
  <c r="ED13" i="95"/>
  <c r="EE13" i="95"/>
  <c r="EF13" i="95"/>
  <c r="EG13" i="95"/>
  <c r="EH13" i="95"/>
  <c r="EI13" i="95"/>
  <c r="EJ13" i="95"/>
  <c r="EK13" i="95"/>
  <c r="EL13" i="95"/>
  <c r="EM13" i="95"/>
  <c r="EN13" i="95"/>
  <c r="EO13" i="95"/>
  <c r="EP13" i="95"/>
  <c r="EQ13" i="95"/>
  <c r="ER13" i="95"/>
  <c r="ES13" i="95"/>
  <c r="ET13" i="95"/>
  <c r="EU13" i="95"/>
  <c r="EV13" i="95"/>
  <c r="EW13" i="95"/>
  <c r="EX13" i="95"/>
  <c r="EY13" i="95"/>
  <c r="EZ13" i="95"/>
  <c r="FA13" i="95"/>
  <c r="FB13" i="95"/>
  <c r="FC13" i="95"/>
  <c r="FD13" i="95"/>
  <c r="FE13" i="95"/>
  <c r="FF13" i="95"/>
  <c r="FG13" i="95"/>
  <c r="FH13" i="95"/>
  <c r="FI13" i="95"/>
  <c r="FJ13" i="95"/>
  <c r="FK13" i="95"/>
  <c r="FL13" i="95"/>
  <c r="FM13" i="95"/>
  <c r="FN13" i="95"/>
  <c r="FO13" i="95"/>
  <c r="FP13" i="95"/>
  <c r="FQ13" i="95"/>
  <c r="FR13" i="95"/>
  <c r="FS13" i="95"/>
  <c r="FT13" i="95"/>
  <c r="FU13" i="95"/>
  <c r="FV13" i="95"/>
  <c r="FW13" i="95"/>
  <c r="FX13" i="95"/>
  <c r="FY13" i="95"/>
  <c r="FZ13" i="95"/>
  <c r="GA13" i="95"/>
  <c r="GB13" i="95"/>
  <c r="GC13" i="95"/>
  <c r="GD13" i="95"/>
  <c r="GE13" i="95"/>
  <c r="GF13" i="95"/>
  <c r="GG13" i="95"/>
  <c r="GH13" i="95"/>
  <c r="GI13" i="95"/>
  <c r="GJ13" i="95"/>
  <c r="GK13" i="95"/>
  <c r="GL13" i="95"/>
  <c r="GM13" i="95"/>
  <c r="GN13" i="95"/>
  <c r="GO13" i="95"/>
  <c r="GP13" i="95"/>
  <c r="GQ13" i="95"/>
  <c r="GR13" i="95"/>
  <c r="GS13" i="95"/>
  <c r="GT13" i="95"/>
  <c r="GU13" i="95"/>
  <c r="GV13" i="95"/>
  <c r="GW13" i="95"/>
  <c r="GX13" i="95"/>
  <c r="GY13" i="95"/>
  <c r="GZ13" i="95"/>
  <c r="HA13" i="95"/>
  <c r="HB13" i="95"/>
  <c r="HC13" i="95"/>
  <c r="HD13" i="95"/>
  <c r="HE13" i="95"/>
  <c r="HF13" i="95"/>
  <c r="HG13" i="95"/>
  <c r="HH13" i="95"/>
  <c r="HI13" i="95"/>
  <c r="HJ13" i="95"/>
  <c r="HK13" i="95"/>
  <c r="HL13" i="95"/>
  <c r="HM13" i="95"/>
  <c r="HN13" i="95"/>
  <c r="HO13" i="95"/>
  <c r="HP13" i="95"/>
  <c r="HQ13" i="95"/>
  <c r="G14" i="95"/>
  <c r="H14" i="95"/>
  <c r="I14" i="95"/>
  <c r="J14" i="95"/>
  <c r="K14" i="95"/>
  <c r="L14" i="95"/>
  <c r="M14" i="95"/>
  <c r="N14" i="95"/>
  <c r="O14" i="95"/>
  <c r="P14" i="95"/>
  <c r="Q14" i="95"/>
  <c r="R14" i="95"/>
  <c r="S14" i="95"/>
  <c r="T14" i="95"/>
  <c r="U14" i="95"/>
  <c r="V14" i="95"/>
  <c r="W14" i="95"/>
  <c r="X14" i="95"/>
  <c r="Y14" i="95"/>
  <c r="Z14" i="95"/>
  <c r="AA14" i="95"/>
  <c r="AB14" i="95"/>
  <c r="AC14" i="95"/>
  <c r="AD14" i="95"/>
  <c r="AE14" i="95"/>
  <c r="AF14" i="95"/>
  <c r="AG14" i="95"/>
  <c r="AH14" i="95"/>
  <c r="AI14" i="95"/>
  <c r="AJ14" i="95"/>
  <c r="AK14" i="95"/>
  <c r="AL14" i="95"/>
  <c r="AM14" i="95"/>
  <c r="AN14" i="95"/>
  <c r="AO14" i="95"/>
  <c r="AP14" i="95"/>
  <c r="AQ14" i="95"/>
  <c r="AR14" i="95"/>
  <c r="AS14" i="95"/>
  <c r="AT14" i="95"/>
  <c r="AU14" i="95"/>
  <c r="AV14" i="95"/>
  <c r="AW14" i="95"/>
  <c r="AX14" i="95"/>
  <c r="AY14" i="95"/>
  <c r="AZ14" i="95"/>
  <c r="BA14" i="95"/>
  <c r="BB14" i="95"/>
  <c r="BC14" i="95"/>
  <c r="BD14" i="95"/>
  <c r="BE14" i="95"/>
  <c r="BF14" i="95"/>
  <c r="BG14" i="95"/>
  <c r="BH14" i="95"/>
  <c r="BI14" i="95"/>
  <c r="BJ14" i="95"/>
  <c r="BK14" i="95"/>
  <c r="BL14" i="95"/>
  <c r="BM14" i="95"/>
  <c r="BN14" i="95"/>
  <c r="BO14" i="95"/>
  <c r="BP14" i="95"/>
  <c r="BQ14" i="95"/>
  <c r="BR14" i="95"/>
  <c r="BS14" i="95"/>
  <c r="BT14" i="95"/>
  <c r="BU14" i="95"/>
  <c r="BV14" i="95"/>
  <c r="BW14" i="95"/>
  <c r="BX14" i="95"/>
  <c r="BY14" i="95"/>
  <c r="BZ14" i="95"/>
  <c r="CA14" i="95"/>
  <c r="CB14" i="95"/>
  <c r="CC14" i="95"/>
  <c r="CD14" i="95"/>
  <c r="CE14" i="95"/>
  <c r="CF14" i="95"/>
  <c r="CG14" i="95"/>
  <c r="CH14" i="95"/>
  <c r="CI14" i="95"/>
  <c r="CJ14" i="95"/>
  <c r="CK14" i="95"/>
  <c r="CL14" i="95"/>
  <c r="CM14" i="95"/>
  <c r="CN14" i="95"/>
  <c r="CO14" i="95"/>
  <c r="CP14" i="95"/>
  <c r="CQ14" i="95"/>
  <c r="CR14" i="95"/>
  <c r="CS14" i="95"/>
  <c r="CT14" i="95"/>
  <c r="CU14" i="95"/>
  <c r="CV14" i="95"/>
  <c r="CW14" i="95"/>
  <c r="CX14" i="95"/>
  <c r="CY14" i="95"/>
  <c r="CZ14" i="95"/>
  <c r="DA14" i="95"/>
  <c r="DB14" i="95"/>
  <c r="DC14" i="95"/>
  <c r="DD14" i="95"/>
  <c r="DE14" i="95"/>
  <c r="DF14" i="95"/>
  <c r="DG14" i="95"/>
  <c r="DH14" i="95"/>
  <c r="DI14" i="95"/>
  <c r="DJ14" i="95"/>
  <c r="DK14" i="95"/>
  <c r="DL14" i="95"/>
  <c r="DM14" i="95"/>
  <c r="DN14" i="95"/>
  <c r="DO14" i="95"/>
  <c r="DP14" i="95"/>
  <c r="DQ14" i="95"/>
  <c r="DR14" i="95"/>
  <c r="DS14" i="95"/>
  <c r="DT14" i="95"/>
  <c r="DU14" i="95"/>
  <c r="DV14" i="95"/>
  <c r="DW14" i="95"/>
  <c r="DX14" i="95"/>
  <c r="DY14" i="95"/>
  <c r="DZ14" i="95"/>
  <c r="EA14" i="95"/>
  <c r="EB14" i="95"/>
  <c r="EC14" i="95"/>
  <c r="ED14" i="95"/>
  <c r="EE14" i="95"/>
  <c r="EF14" i="95"/>
  <c r="EG14" i="95"/>
  <c r="EH14" i="95"/>
  <c r="EI14" i="95"/>
  <c r="EJ14" i="95"/>
  <c r="EK14" i="95"/>
  <c r="EL14" i="95"/>
  <c r="EM14" i="95"/>
  <c r="EN14" i="95"/>
  <c r="EO14" i="95"/>
  <c r="EP14" i="95"/>
  <c r="EQ14" i="95"/>
  <c r="ER14" i="95"/>
  <c r="ES14" i="95"/>
  <c r="ET14" i="95"/>
  <c r="EU14" i="95"/>
  <c r="EV14" i="95"/>
  <c r="EW14" i="95"/>
  <c r="EX14" i="95"/>
  <c r="EY14" i="95"/>
  <c r="EZ14" i="95"/>
  <c r="FA14" i="95"/>
  <c r="FB14" i="95"/>
  <c r="FC14" i="95"/>
  <c r="FD14" i="95"/>
  <c r="FE14" i="95"/>
  <c r="FF14" i="95"/>
  <c r="FG14" i="95"/>
  <c r="FH14" i="95"/>
  <c r="FI14" i="95"/>
  <c r="FJ14" i="95"/>
  <c r="FK14" i="95"/>
  <c r="FL14" i="95"/>
  <c r="FM14" i="95"/>
  <c r="FN14" i="95"/>
  <c r="FO14" i="95"/>
  <c r="FP14" i="95"/>
  <c r="FQ14" i="95"/>
  <c r="FR14" i="95"/>
  <c r="FS14" i="95"/>
  <c r="FT14" i="95"/>
  <c r="FU14" i="95"/>
  <c r="FV14" i="95"/>
  <c r="FW14" i="95"/>
  <c r="FX14" i="95"/>
  <c r="FY14" i="95"/>
  <c r="FZ14" i="95"/>
  <c r="GA14" i="95"/>
  <c r="GB14" i="95"/>
  <c r="GC14" i="95"/>
  <c r="GD14" i="95"/>
  <c r="GE14" i="95"/>
  <c r="GF14" i="95"/>
  <c r="GG14" i="95"/>
  <c r="GH14" i="95"/>
  <c r="GI14" i="95"/>
  <c r="GJ14" i="95"/>
  <c r="GK14" i="95"/>
  <c r="GL14" i="95"/>
  <c r="GM14" i="95"/>
  <c r="GN14" i="95"/>
  <c r="GO14" i="95"/>
  <c r="GP14" i="95"/>
  <c r="GQ14" i="95"/>
  <c r="GR14" i="95"/>
  <c r="GS14" i="95"/>
  <c r="GT14" i="95"/>
  <c r="GU14" i="95"/>
  <c r="GV14" i="95"/>
  <c r="GW14" i="95"/>
  <c r="GX14" i="95"/>
  <c r="GY14" i="95"/>
  <c r="GZ14" i="95"/>
  <c r="HA14" i="95"/>
  <c r="HB14" i="95"/>
  <c r="HC14" i="95"/>
  <c r="HD14" i="95"/>
  <c r="HE14" i="95"/>
  <c r="HF14" i="95"/>
  <c r="HG14" i="95"/>
  <c r="HH14" i="95"/>
  <c r="HI14" i="95"/>
  <c r="HJ14" i="95"/>
  <c r="HK14" i="95"/>
  <c r="HL14" i="95"/>
  <c r="HM14" i="95"/>
  <c r="HN14" i="95"/>
  <c r="HO14" i="95"/>
  <c r="HP14" i="95"/>
  <c r="HQ14" i="95"/>
  <c r="G15" i="95"/>
  <c r="H15" i="95"/>
  <c r="I15" i="95"/>
  <c r="J15" i="95"/>
  <c r="K15" i="95"/>
  <c r="L15" i="95"/>
  <c r="M15" i="95"/>
  <c r="N15" i="95"/>
  <c r="O15" i="95"/>
  <c r="P15" i="95"/>
  <c r="Q15" i="95"/>
  <c r="R15" i="95"/>
  <c r="S15" i="95"/>
  <c r="T15" i="95"/>
  <c r="U15" i="95"/>
  <c r="V15" i="95"/>
  <c r="W15" i="95"/>
  <c r="X15" i="95"/>
  <c r="Y15" i="95"/>
  <c r="Z15" i="95"/>
  <c r="AA15" i="95"/>
  <c r="AB15" i="95"/>
  <c r="AC15" i="95"/>
  <c r="AD15" i="95"/>
  <c r="AE15" i="95"/>
  <c r="AF15" i="95"/>
  <c r="AG15" i="95"/>
  <c r="AH15" i="95"/>
  <c r="AI15" i="95"/>
  <c r="AJ15" i="95"/>
  <c r="AK15" i="95"/>
  <c r="AL15" i="95"/>
  <c r="AM15" i="95"/>
  <c r="AN15" i="95"/>
  <c r="AO15" i="95"/>
  <c r="AP15" i="95"/>
  <c r="AQ15" i="95"/>
  <c r="AR15" i="95"/>
  <c r="AS15" i="95"/>
  <c r="AT15" i="95"/>
  <c r="AU15" i="95"/>
  <c r="AV15" i="95"/>
  <c r="AW15" i="95"/>
  <c r="AX15" i="95"/>
  <c r="AY15" i="95"/>
  <c r="AZ15" i="95"/>
  <c r="BA15" i="95"/>
  <c r="BB15" i="95"/>
  <c r="BC15" i="95"/>
  <c r="BD15" i="95"/>
  <c r="BE15" i="95"/>
  <c r="BF15" i="95"/>
  <c r="BG15" i="95"/>
  <c r="BH15" i="95"/>
  <c r="BI15" i="95"/>
  <c r="BJ15" i="95"/>
  <c r="BK15" i="95"/>
  <c r="BL15" i="95"/>
  <c r="BM15" i="95"/>
  <c r="BN15" i="95"/>
  <c r="BO15" i="95"/>
  <c r="BP15" i="95"/>
  <c r="BQ15" i="95"/>
  <c r="BR15" i="95"/>
  <c r="BS15" i="95"/>
  <c r="BT15" i="95"/>
  <c r="BU15" i="95"/>
  <c r="BV15" i="95"/>
  <c r="BW15" i="95"/>
  <c r="BX15" i="95"/>
  <c r="BY15" i="95"/>
  <c r="BZ15" i="95"/>
  <c r="CA15" i="95"/>
  <c r="CB15" i="95"/>
  <c r="CC15" i="95"/>
  <c r="CD15" i="95"/>
  <c r="CE15" i="95"/>
  <c r="CF15" i="95"/>
  <c r="CG15" i="95"/>
  <c r="CH15" i="95"/>
  <c r="CI15" i="95"/>
  <c r="CJ15" i="95"/>
  <c r="CK15" i="95"/>
  <c r="CL15" i="95"/>
  <c r="CM15" i="95"/>
  <c r="CN15" i="95"/>
  <c r="CO15" i="95"/>
  <c r="CP15" i="95"/>
  <c r="CQ15" i="95"/>
  <c r="CR15" i="95"/>
  <c r="CS15" i="95"/>
  <c r="CT15" i="95"/>
  <c r="CU15" i="95"/>
  <c r="CV15" i="95"/>
  <c r="CW15" i="95"/>
  <c r="CX15" i="95"/>
  <c r="CY15" i="95"/>
  <c r="CZ15" i="95"/>
  <c r="DA15" i="95"/>
  <c r="DB15" i="95"/>
  <c r="DC15" i="95"/>
  <c r="DD15" i="95"/>
  <c r="DE15" i="95"/>
  <c r="DF15" i="95"/>
  <c r="DG15" i="95"/>
  <c r="DH15" i="95"/>
  <c r="DI15" i="95"/>
  <c r="DJ15" i="95"/>
  <c r="DK15" i="95"/>
  <c r="DL15" i="95"/>
  <c r="DM15" i="95"/>
  <c r="DN15" i="95"/>
  <c r="DO15" i="95"/>
  <c r="DP15" i="95"/>
  <c r="DQ15" i="95"/>
  <c r="DR15" i="95"/>
  <c r="DS15" i="95"/>
  <c r="DT15" i="95"/>
  <c r="DU15" i="95"/>
  <c r="DV15" i="95"/>
  <c r="DW15" i="95"/>
  <c r="DX15" i="95"/>
  <c r="DY15" i="95"/>
  <c r="DZ15" i="95"/>
  <c r="EA15" i="95"/>
  <c r="EB15" i="95"/>
  <c r="EC15" i="95"/>
  <c r="ED15" i="95"/>
  <c r="EE15" i="95"/>
  <c r="EF15" i="95"/>
  <c r="EG15" i="95"/>
  <c r="EH15" i="95"/>
  <c r="EI15" i="95"/>
  <c r="EJ15" i="95"/>
  <c r="EK15" i="95"/>
  <c r="EL15" i="95"/>
  <c r="EM15" i="95"/>
  <c r="EN15" i="95"/>
  <c r="EO15" i="95"/>
  <c r="EP15" i="95"/>
  <c r="EQ15" i="95"/>
  <c r="ER15" i="95"/>
  <c r="ES15" i="95"/>
  <c r="ET15" i="95"/>
  <c r="EU15" i="95"/>
  <c r="EV15" i="95"/>
  <c r="EW15" i="95"/>
  <c r="EX15" i="95"/>
  <c r="EY15" i="95"/>
  <c r="EZ15" i="95"/>
  <c r="FA15" i="95"/>
  <c r="FB15" i="95"/>
  <c r="FC15" i="95"/>
  <c r="FD15" i="95"/>
  <c r="FE15" i="95"/>
  <c r="FF15" i="95"/>
  <c r="FG15" i="95"/>
  <c r="FH15" i="95"/>
  <c r="FI15" i="95"/>
  <c r="FJ15" i="95"/>
  <c r="FK15" i="95"/>
  <c r="FL15" i="95"/>
  <c r="FM15" i="95"/>
  <c r="FN15" i="95"/>
  <c r="FO15" i="95"/>
  <c r="FP15" i="95"/>
  <c r="FQ15" i="95"/>
  <c r="FR15" i="95"/>
  <c r="FS15" i="95"/>
  <c r="FT15" i="95"/>
  <c r="FU15" i="95"/>
  <c r="FV15" i="95"/>
  <c r="FW15" i="95"/>
  <c r="FX15" i="95"/>
  <c r="FY15" i="95"/>
  <c r="FZ15" i="95"/>
  <c r="GA15" i="95"/>
  <c r="GB15" i="95"/>
  <c r="GC15" i="95"/>
  <c r="GD15" i="95"/>
  <c r="GE15" i="95"/>
  <c r="GF15" i="95"/>
  <c r="GG15" i="95"/>
  <c r="GH15" i="95"/>
  <c r="GI15" i="95"/>
  <c r="GJ15" i="95"/>
  <c r="GK15" i="95"/>
  <c r="GL15" i="95"/>
  <c r="GM15" i="95"/>
  <c r="GN15" i="95"/>
  <c r="GO15" i="95"/>
  <c r="GP15" i="95"/>
  <c r="GQ15" i="95"/>
  <c r="GR15" i="95"/>
  <c r="GS15" i="95"/>
  <c r="GT15" i="95"/>
  <c r="GU15" i="95"/>
  <c r="GV15" i="95"/>
  <c r="GW15" i="95"/>
  <c r="GX15" i="95"/>
  <c r="GY15" i="95"/>
  <c r="GZ15" i="95"/>
  <c r="HA15" i="95"/>
  <c r="HB15" i="95"/>
  <c r="HC15" i="95"/>
  <c r="HD15" i="95"/>
  <c r="HE15" i="95"/>
  <c r="HF15" i="95"/>
  <c r="HG15" i="95"/>
  <c r="HH15" i="95"/>
  <c r="HI15" i="95"/>
  <c r="HJ15" i="95"/>
  <c r="HK15" i="95"/>
  <c r="HL15" i="95"/>
  <c r="HM15" i="95"/>
  <c r="HN15" i="95"/>
  <c r="HO15" i="95"/>
  <c r="HP15" i="95"/>
  <c r="HQ15" i="95"/>
  <c r="G16" i="95"/>
  <c r="H16" i="95"/>
  <c r="I16" i="95"/>
  <c r="J16" i="95"/>
  <c r="K16" i="95"/>
  <c r="L16" i="95"/>
  <c r="M16" i="95"/>
  <c r="N16" i="95"/>
  <c r="O16" i="95"/>
  <c r="P16" i="95"/>
  <c r="Q16" i="95"/>
  <c r="R16" i="95"/>
  <c r="S16" i="95"/>
  <c r="T16" i="95"/>
  <c r="U16" i="95"/>
  <c r="V16" i="95"/>
  <c r="W16" i="95"/>
  <c r="X16" i="95"/>
  <c r="Y16" i="95"/>
  <c r="Z16" i="95"/>
  <c r="AA16" i="95"/>
  <c r="AB16" i="95"/>
  <c r="AC16" i="95"/>
  <c r="AD16" i="95"/>
  <c r="AE16" i="95"/>
  <c r="AF16" i="95"/>
  <c r="AG16" i="95"/>
  <c r="AH16" i="95"/>
  <c r="AI16" i="95"/>
  <c r="AJ16" i="95"/>
  <c r="AK16" i="95"/>
  <c r="AL16" i="95"/>
  <c r="AM16" i="95"/>
  <c r="AN16" i="95"/>
  <c r="AO16" i="95"/>
  <c r="AP16" i="95"/>
  <c r="AQ16" i="95"/>
  <c r="AR16" i="95"/>
  <c r="AS16" i="95"/>
  <c r="AT16" i="95"/>
  <c r="AU16" i="95"/>
  <c r="AV16" i="95"/>
  <c r="AW16" i="95"/>
  <c r="AX16" i="95"/>
  <c r="AY16" i="95"/>
  <c r="AZ16" i="95"/>
  <c r="BA16" i="95"/>
  <c r="BB16" i="95"/>
  <c r="BC16" i="95"/>
  <c r="BD16" i="95"/>
  <c r="BE16" i="95"/>
  <c r="BF16" i="95"/>
  <c r="BG16" i="95"/>
  <c r="BH16" i="95"/>
  <c r="BI16" i="95"/>
  <c r="BJ16" i="95"/>
  <c r="BK16" i="95"/>
  <c r="BL16" i="95"/>
  <c r="BM16" i="95"/>
  <c r="BN16" i="95"/>
  <c r="BO16" i="95"/>
  <c r="BP16" i="95"/>
  <c r="BQ16" i="95"/>
  <c r="BR16" i="95"/>
  <c r="BS16" i="95"/>
  <c r="BT16" i="95"/>
  <c r="BU16" i="95"/>
  <c r="BV16" i="95"/>
  <c r="BW16" i="95"/>
  <c r="BX16" i="95"/>
  <c r="BY16" i="95"/>
  <c r="BZ16" i="95"/>
  <c r="CA16" i="95"/>
  <c r="CB16" i="95"/>
  <c r="CC16" i="95"/>
  <c r="CD16" i="95"/>
  <c r="CE16" i="95"/>
  <c r="CF16" i="95"/>
  <c r="CG16" i="95"/>
  <c r="CH16" i="95"/>
  <c r="CI16" i="95"/>
  <c r="CJ16" i="95"/>
  <c r="CK16" i="95"/>
  <c r="CL16" i="95"/>
  <c r="CM16" i="95"/>
  <c r="CN16" i="95"/>
  <c r="CO16" i="95"/>
  <c r="CP16" i="95"/>
  <c r="CQ16" i="95"/>
  <c r="CR16" i="95"/>
  <c r="CS16" i="95"/>
  <c r="CT16" i="95"/>
  <c r="CU16" i="95"/>
  <c r="CV16" i="95"/>
  <c r="CW16" i="95"/>
  <c r="CX16" i="95"/>
  <c r="CY16" i="95"/>
  <c r="CZ16" i="95"/>
  <c r="DA16" i="95"/>
  <c r="DB16" i="95"/>
  <c r="DC16" i="95"/>
  <c r="DD16" i="95"/>
  <c r="DE16" i="95"/>
  <c r="DF16" i="95"/>
  <c r="DG16" i="95"/>
  <c r="DH16" i="95"/>
  <c r="DI16" i="95"/>
  <c r="DJ16" i="95"/>
  <c r="DK16" i="95"/>
  <c r="DL16" i="95"/>
  <c r="DM16" i="95"/>
  <c r="DN16" i="95"/>
  <c r="DO16" i="95"/>
  <c r="DP16" i="95"/>
  <c r="DQ16" i="95"/>
  <c r="DR16" i="95"/>
  <c r="DS16" i="95"/>
  <c r="DT16" i="95"/>
  <c r="DU16" i="95"/>
  <c r="DV16" i="95"/>
  <c r="DW16" i="95"/>
  <c r="DX16" i="95"/>
  <c r="DY16" i="95"/>
  <c r="DZ16" i="95"/>
  <c r="EA16" i="95"/>
  <c r="EB16" i="95"/>
  <c r="EC16" i="95"/>
  <c r="ED16" i="95"/>
  <c r="EE16" i="95"/>
  <c r="EF16" i="95"/>
  <c r="EG16" i="95"/>
  <c r="EH16" i="95"/>
  <c r="EI16" i="95"/>
  <c r="EJ16" i="95"/>
  <c r="EK16" i="95"/>
  <c r="EL16" i="95"/>
  <c r="EM16" i="95"/>
  <c r="EN16" i="95"/>
  <c r="EO16" i="95"/>
  <c r="EP16" i="95"/>
  <c r="EQ16" i="95"/>
  <c r="ER16" i="95"/>
  <c r="ES16" i="95"/>
  <c r="ET16" i="95"/>
  <c r="EU16" i="95"/>
  <c r="EV16" i="95"/>
  <c r="EW16" i="95"/>
  <c r="EX16" i="95"/>
  <c r="EY16" i="95"/>
  <c r="EZ16" i="95"/>
  <c r="FA16" i="95"/>
  <c r="FB16" i="95"/>
  <c r="FC16" i="95"/>
  <c r="FD16" i="95"/>
  <c r="FE16" i="95"/>
  <c r="FF16" i="95"/>
  <c r="FG16" i="95"/>
  <c r="FH16" i="95"/>
  <c r="FI16" i="95"/>
  <c r="FJ16" i="95"/>
  <c r="FK16" i="95"/>
  <c r="FL16" i="95"/>
  <c r="FM16" i="95"/>
  <c r="FN16" i="95"/>
  <c r="FO16" i="95"/>
  <c r="FP16" i="95"/>
  <c r="FQ16" i="95"/>
  <c r="FR16" i="95"/>
  <c r="FS16" i="95"/>
  <c r="FT16" i="95"/>
  <c r="FU16" i="95"/>
  <c r="FV16" i="95"/>
  <c r="FW16" i="95"/>
  <c r="FX16" i="95"/>
  <c r="FY16" i="95"/>
  <c r="FZ16" i="95"/>
  <c r="GA16" i="95"/>
  <c r="GB16" i="95"/>
  <c r="GC16" i="95"/>
  <c r="GD16" i="95"/>
  <c r="GE16" i="95"/>
  <c r="GF16" i="95"/>
  <c r="GG16" i="95"/>
  <c r="GH16" i="95"/>
  <c r="GI16" i="95"/>
  <c r="GJ16" i="95"/>
  <c r="GK16" i="95"/>
  <c r="GL16" i="95"/>
  <c r="GM16" i="95"/>
  <c r="GN16" i="95"/>
  <c r="GO16" i="95"/>
  <c r="GP16" i="95"/>
  <c r="GQ16" i="95"/>
  <c r="GR16" i="95"/>
  <c r="GS16" i="95"/>
  <c r="GT16" i="95"/>
  <c r="GU16" i="95"/>
  <c r="GV16" i="95"/>
  <c r="GW16" i="95"/>
  <c r="GX16" i="95"/>
  <c r="GY16" i="95"/>
  <c r="GZ16" i="95"/>
  <c r="HA16" i="95"/>
  <c r="HB16" i="95"/>
  <c r="HC16" i="95"/>
  <c r="HD16" i="95"/>
  <c r="HE16" i="95"/>
  <c r="HF16" i="95"/>
  <c r="HG16" i="95"/>
  <c r="HH16" i="95"/>
  <c r="HI16" i="95"/>
  <c r="HJ16" i="95"/>
  <c r="HK16" i="95"/>
  <c r="HL16" i="95"/>
  <c r="HM16" i="95"/>
  <c r="HN16" i="95"/>
  <c r="HO16" i="95"/>
  <c r="HP16" i="95"/>
  <c r="HQ16" i="95"/>
  <c r="G17" i="95"/>
  <c r="H17" i="95"/>
  <c r="I17" i="95"/>
  <c r="J17" i="95"/>
  <c r="K17" i="95"/>
  <c r="L17" i="95"/>
  <c r="M17" i="95"/>
  <c r="N17" i="95"/>
  <c r="O17" i="95"/>
  <c r="P17" i="95"/>
  <c r="Q17" i="95"/>
  <c r="R17" i="95"/>
  <c r="S17" i="95"/>
  <c r="T17" i="95"/>
  <c r="U17" i="95"/>
  <c r="V17" i="95"/>
  <c r="W17" i="95"/>
  <c r="X17" i="95"/>
  <c r="Y17" i="95"/>
  <c r="Z17" i="95"/>
  <c r="AA17" i="95"/>
  <c r="AB17" i="95"/>
  <c r="AC17" i="95"/>
  <c r="AD17" i="95"/>
  <c r="AE17" i="95"/>
  <c r="AF17" i="95"/>
  <c r="AG17" i="95"/>
  <c r="AH17" i="95"/>
  <c r="AI17" i="95"/>
  <c r="AJ17" i="95"/>
  <c r="AK17" i="95"/>
  <c r="AL17" i="95"/>
  <c r="AM17" i="95"/>
  <c r="AN17" i="95"/>
  <c r="AO17" i="95"/>
  <c r="AP17" i="95"/>
  <c r="AQ17" i="95"/>
  <c r="AR17" i="95"/>
  <c r="AS17" i="95"/>
  <c r="AT17" i="95"/>
  <c r="AU17" i="95"/>
  <c r="AV17" i="95"/>
  <c r="AW17" i="95"/>
  <c r="AX17" i="95"/>
  <c r="AY17" i="95"/>
  <c r="AZ17" i="95"/>
  <c r="BA17" i="95"/>
  <c r="BB17" i="95"/>
  <c r="BC17" i="95"/>
  <c r="BD17" i="95"/>
  <c r="BE17" i="95"/>
  <c r="BF17" i="95"/>
  <c r="BG17" i="95"/>
  <c r="BH17" i="95"/>
  <c r="BI17" i="95"/>
  <c r="BJ17" i="95"/>
  <c r="BK17" i="95"/>
  <c r="BL17" i="95"/>
  <c r="BM17" i="95"/>
  <c r="BN17" i="95"/>
  <c r="BO17" i="95"/>
  <c r="BP17" i="95"/>
  <c r="BQ17" i="95"/>
  <c r="BR17" i="95"/>
  <c r="BS17" i="95"/>
  <c r="BT17" i="95"/>
  <c r="BU17" i="95"/>
  <c r="BV17" i="95"/>
  <c r="BW17" i="95"/>
  <c r="BX17" i="95"/>
  <c r="BY17" i="95"/>
  <c r="BZ17" i="95"/>
  <c r="CA17" i="95"/>
  <c r="CB17" i="95"/>
  <c r="CC17" i="95"/>
  <c r="CD17" i="95"/>
  <c r="CE17" i="95"/>
  <c r="CF17" i="95"/>
  <c r="CG17" i="95"/>
  <c r="CH17" i="95"/>
  <c r="CI17" i="95"/>
  <c r="CJ17" i="95"/>
  <c r="CK17" i="95"/>
  <c r="CL17" i="95"/>
  <c r="CM17" i="95"/>
  <c r="CN17" i="95"/>
  <c r="CO17" i="95"/>
  <c r="CP17" i="95"/>
  <c r="CQ17" i="95"/>
  <c r="CR17" i="95"/>
  <c r="CS17" i="95"/>
  <c r="CT17" i="95"/>
  <c r="CU17" i="95"/>
  <c r="CV17" i="95"/>
  <c r="CW17" i="95"/>
  <c r="CX17" i="95"/>
  <c r="CY17" i="95"/>
  <c r="CZ17" i="95"/>
  <c r="DA17" i="95"/>
  <c r="DB17" i="95"/>
  <c r="DC17" i="95"/>
  <c r="DD17" i="95"/>
  <c r="DE17" i="95"/>
  <c r="DF17" i="95"/>
  <c r="DG17" i="95"/>
  <c r="DH17" i="95"/>
  <c r="DI17" i="95"/>
  <c r="DJ17" i="95"/>
  <c r="DK17" i="95"/>
  <c r="DL17" i="95"/>
  <c r="DM17" i="95"/>
  <c r="DN17" i="95"/>
  <c r="DO17" i="95"/>
  <c r="DP17" i="95"/>
  <c r="DQ17" i="95"/>
  <c r="DR17" i="95"/>
  <c r="DS17" i="95"/>
  <c r="DT17" i="95"/>
  <c r="DU17" i="95"/>
  <c r="DV17" i="95"/>
  <c r="DW17" i="95"/>
  <c r="DX17" i="95"/>
  <c r="DY17" i="95"/>
  <c r="DZ17" i="95"/>
  <c r="EA17" i="95"/>
  <c r="EB17" i="95"/>
  <c r="EC17" i="95"/>
  <c r="ED17" i="95"/>
  <c r="EE17" i="95"/>
  <c r="EF17" i="95"/>
  <c r="EG17" i="95"/>
  <c r="EH17" i="95"/>
  <c r="EI17" i="95"/>
  <c r="EJ17" i="95"/>
  <c r="EK17" i="95"/>
  <c r="EL17" i="95"/>
  <c r="EM17" i="95"/>
  <c r="EN17" i="95"/>
  <c r="EO17" i="95"/>
  <c r="EP17" i="95"/>
  <c r="EQ17" i="95"/>
  <c r="ER17" i="95"/>
  <c r="ES17" i="95"/>
  <c r="ET17" i="95"/>
  <c r="EU17" i="95"/>
  <c r="EV17" i="95"/>
  <c r="EW17" i="95"/>
  <c r="EX17" i="95"/>
  <c r="EY17" i="95"/>
  <c r="EZ17" i="95"/>
  <c r="FA17" i="95"/>
  <c r="FB17" i="95"/>
  <c r="FC17" i="95"/>
  <c r="FD17" i="95"/>
  <c r="FE17" i="95"/>
  <c r="FF17" i="95"/>
  <c r="FG17" i="95"/>
  <c r="FH17" i="95"/>
  <c r="FI17" i="95"/>
  <c r="FJ17" i="95"/>
  <c r="FK17" i="95"/>
  <c r="FL17" i="95"/>
  <c r="FM17" i="95"/>
  <c r="FN17" i="95"/>
  <c r="FO17" i="95"/>
  <c r="FP17" i="95"/>
  <c r="FQ17" i="95"/>
  <c r="FR17" i="95"/>
  <c r="FS17" i="95"/>
  <c r="FT17" i="95"/>
  <c r="FU17" i="95"/>
  <c r="FV17" i="95"/>
  <c r="FW17" i="95"/>
  <c r="FX17" i="95"/>
  <c r="FY17" i="95"/>
  <c r="FZ17" i="95"/>
  <c r="GA17" i="95"/>
  <c r="GB17" i="95"/>
  <c r="GC17" i="95"/>
  <c r="GD17" i="95"/>
  <c r="GE17" i="95"/>
  <c r="GF17" i="95"/>
  <c r="GG17" i="95"/>
  <c r="GH17" i="95"/>
  <c r="GI17" i="95"/>
  <c r="GJ17" i="95"/>
  <c r="GK17" i="95"/>
  <c r="GL17" i="95"/>
  <c r="GM17" i="95"/>
  <c r="GN17" i="95"/>
  <c r="GO17" i="95"/>
  <c r="GP17" i="95"/>
  <c r="GQ17" i="95"/>
  <c r="GR17" i="95"/>
  <c r="GS17" i="95"/>
  <c r="GT17" i="95"/>
  <c r="GU17" i="95"/>
  <c r="GV17" i="95"/>
  <c r="GW17" i="95"/>
  <c r="GX17" i="95"/>
  <c r="GY17" i="95"/>
  <c r="GZ17" i="95"/>
  <c r="HA17" i="95"/>
  <c r="HB17" i="95"/>
  <c r="HC17" i="95"/>
  <c r="HD17" i="95"/>
  <c r="HE17" i="95"/>
  <c r="HF17" i="95"/>
  <c r="HG17" i="95"/>
  <c r="HH17" i="95"/>
  <c r="HI17" i="95"/>
  <c r="HJ17" i="95"/>
  <c r="HK17" i="95"/>
  <c r="HL17" i="95"/>
  <c r="HM17" i="95"/>
  <c r="HN17" i="95"/>
  <c r="HO17" i="95"/>
  <c r="HP17" i="95"/>
  <c r="HQ17" i="95"/>
  <c r="G18" i="95"/>
  <c r="H18" i="95"/>
  <c r="I18" i="95"/>
  <c r="J18" i="95"/>
  <c r="K18" i="95"/>
  <c r="L18" i="95"/>
  <c r="M18" i="95"/>
  <c r="N18" i="95"/>
  <c r="O18" i="95"/>
  <c r="P18" i="95"/>
  <c r="Q18" i="95"/>
  <c r="R18" i="95"/>
  <c r="S18" i="95"/>
  <c r="T18" i="95"/>
  <c r="U18" i="95"/>
  <c r="V18" i="95"/>
  <c r="W18" i="95"/>
  <c r="X18" i="95"/>
  <c r="Y18" i="95"/>
  <c r="Z18" i="95"/>
  <c r="AA18" i="95"/>
  <c r="AB18" i="95"/>
  <c r="AC18" i="95"/>
  <c r="AD18" i="95"/>
  <c r="AE18" i="95"/>
  <c r="AF18" i="95"/>
  <c r="AG18" i="95"/>
  <c r="AH18" i="95"/>
  <c r="AI18" i="95"/>
  <c r="AJ18" i="95"/>
  <c r="AK18" i="95"/>
  <c r="AL18" i="95"/>
  <c r="AM18" i="95"/>
  <c r="AN18" i="95"/>
  <c r="AO18" i="95"/>
  <c r="AP18" i="95"/>
  <c r="AQ18" i="95"/>
  <c r="AR18" i="95"/>
  <c r="AS18" i="95"/>
  <c r="AT18" i="95"/>
  <c r="AU18" i="95"/>
  <c r="AV18" i="95"/>
  <c r="AW18" i="95"/>
  <c r="AX18" i="95"/>
  <c r="AY18" i="95"/>
  <c r="AZ18" i="95"/>
  <c r="BA18" i="95"/>
  <c r="BB18" i="95"/>
  <c r="BC18" i="95"/>
  <c r="BD18" i="95"/>
  <c r="BE18" i="95"/>
  <c r="BF18" i="95"/>
  <c r="BG18" i="95"/>
  <c r="BH18" i="95"/>
  <c r="BI18" i="95"/>
  <c r="BJ18" i="95"/>
  <c r="BK18" i="95"/>
  <c r="BL18" i="95"/>
  <c r="BM18" i="95"/>
  <c r="BN18" i="95"/>
  <c r="BO18" i="95"/>
  <c r="BP18" i="95"/>
  <c r="BQ18" i="95"/>
  <c r="BR18" i="95"/>
  <c r="BS18" i="95"/>
  <c r="BT18" i="95"/>
  <c r="BU18" i="95"/>
  <c r="BV18" i="95"/>
  <c r="BW18" i="95"/>
  <c r="BX18" i="95"/>
  <c r="BY18" i="95"/>
  <c r="BZ18" i="95"/>
  <c r="CA18" i="95"/>
  <c r="CB18" i="95"/>
  <c r="CC18" i="95"/>
  <c r="CD18" i="95"/>
  <c r="CE18" i="95"/>
  <c r="CF18" i="95"/>
  <c r="CG18" i="95"/>
  <c r="CH18" i="95"/>
  <c r="CI18" i="95"/>
  <c r="CJ18" i="95"/>
  <c r="CK18" i="95"/>
  <c r="CL18" i="95"/>
  <c r="CM18" i="95"/>
  <c r="CN18" i="95"/>
  <c r="CO18" i="95"/>
  <c r="CP18" i="95"/>
  <c r="CQ18" i="95"/>
  <c r="CR18" i="95"/>
  <c r="CS18" i="95"/>
  <c r="CT18" i="95"/>
  <c r="CU18" i="95"/>
  <c r="CV18" i="95"/>
  <c r="CW18" i="95"/>
  <c r="CX18" i="95"/>
  <c r="CY18" i="95"/>
  <c r="CZ18" i="95"/>
  <c r="DA18" i="95"/>
  <c r="DB18" i="95"/>
  <c r="DC18" i="95"/>
  <c r="DD18" i="95"/>
  <c r="DE18" i="95"/>
  <c r="DF18" i="95"/>
  <c r="DG18" i="95"/>
  <c r="DH18" i="95"/>
  <c r="DI18" i="95"/>
  <c r="DJ18" i="95"/>
  <c r="DK18" i="95"/>
  <c r="DL18" i="95"/>
  <c r="DM18" i="95"/>
  <c r="DN18" i="95"/>
  <c r="DO18" i="95"/>
  <c r="DP18" i="95"/>
  <c r="DQ18" i="95"/>
  <c r="DR18" i="95"/>
  <c r="DS18" i="95"/>
  <c r="DT18" i="95"/>
  <c r="DU18" i="95"/>
  <c r="DV18" i="95"/>
  <c r="DW18" i="95"/>
  <c r="DX18" i="95"/>
  <c r="DY18" i="95"/>
  <c r="DZ18" i="95"/>
  <c r="EA18" i="95"/>
  <c r="EB18" i="95"/>
  <c r="EC18" i="95"/>
  <c r="ED18" i="95"/>
  <c r="EE18" i="95"/>
  <c r="EF18" i="95"/>
  <c r="EG18" i="95"/>
  <c r="EH18" i="95"/>
  <c r="EI18" i="95"/>
  <c r="EJ18" i="95"/>
  <c r="EK18" i="95"/>
  <c r="EL18" i="95"/>
  <c r="EM18" i="95"/>
  <c r="EN18" i="95"/>
  <c r="EO18" i="95"/>
  <c r="EP18" i="95"/>
  <c r="EQ18" i="95"/>
  <c r="ER18" i="95"/>
  <c r="ES18" i="95"/>
  <c r="ET18" i="95"/>
  <c r="EU18" i="95"/>
  <c r="EV18" i="95"/>
  <c r="EW18" i="95"/>
  <c r="EX18" i="95"/>
  <c r="EY18" i="95"/>
  <c r="EZ18" i="95"/>
  <c r="FA18" i="95"/>
  <c r="FB18" i="95"/>
  <c r="FC18" i="95"/>
  <c r="FD18" i="95"/>
  <c r="FE18" i="95"/>
  <c r="FF18" i="95"/>
  <c r="FG18" i="95"/>
  <c r="FH18" i="95"/>
  <c r="FI18" i="95"/>
  <c r="FJ18" i="95"/>
  <c r="FK18" i="95"/>
  <c r="FL18" i="95"/>
  <c r="FM18" i="95"/>
  <c r="FN18" i="95"/>
  <c r="FO18" i="95"/>
  <c r="FP18" i="95"/>
  <c r="FQ18" i="95"/>
  <c r="FR18" i="95"/>
  <c r="FS18" i="95"/>
  <c r="FT18" i="95"/>
  <c r="FU18" i="95"/>
  <c r="FV18" i="95"/>
  <c r="FW18" i="95"/>
  <c r="FX18" i="95"/>
  <c r="FY18" i="95"/>
  <c r="FZ18" i="95"/>
  <c r="GA18" i="95"/>
  <c r="GB18" i="95"/>
  <c r="GC18" i="95"/>
  <c r="GD18" i="95"/>
  <c r="GE18" i="95"/>
  <c r="GF18" i="95"/>
  <c r="GG18" i="95"/>
  <c r="GH18" i="95"/>
  <c r="GI18" i="95"/>
  <c r="GJ18" i="95"/>
  <c r="GK18" i="95"/>
  <c r="GL18" i="95"/>
  <c r="GM18" i="95"/>
  <c r="GN18" i="95"/>
  <c r="GO18" i="95"/>
  <c r="GP18" i="95"/>
  <c r="GQ18" i="95"/>
  <c r="GR18" i="95"/>
  <c r="GS18" i="95"/>
  <c r="GT18" i="95"/>
  <c r="GU18" i="95"/>
  <c r="GV18" i="95"/>
  <c r="GW18" i="95"/>
  <c r="GX18" i="95"/>
  <c r="GY18" i="95"/>
  <c r="GZ18" i="95"/>
  <c r="HA18" i="95"/>
  <c r="HB18" i="95"/>
  <c r="HC18" i="95"/>
  <c r="HD18" i="95"/>
  <c r="HE18" i="95"/>
  <c r="HF18" i="95"/>
  <c r="HG18" i="95"/>
  <c r="HH18" i="95"/>
  <c r="HI18" i="95"/>
  <c r="HJ18" i="95"/>
  <c r="HK18" i="95"/>
  <c r="HL18" i="95"/>
  <c r="HM18" i="95"/>
  <c r="HN18" i="95"/>
  <c r="HO18" i="95"/>
  <c r="HP18" i="95"/>
  <c r="HQ18" i="95"/>
  <c r="G19" i="95"/>
  <c r="H19" i="95"/>
  <c r="I19" i="95"/>
  <c r="J19" i="95"/>
  <c r="K19" i="95"/>
  <c r="L19" i="95"/>
  <c r="M19" i="95"/>
  <c r="N19" i="95"/>
  <c r="O19" i="95"/>
  <c r="P19" i="95"/>
  <c r="Q19" i="95"/>
  <c r="R19" i="95"/>
  <c r="S19" i="95"/>
  <c r="T19" i="95"/>
  <c r="U19" i="95"/>
  <c r="V19" i="95"/>
  <c r="W19" i="95"/>
  <c r="X19" i="95"/>
  <c r="Y19" i="95"/>
  <c r="Z19" i="95"/>
  <c r="AA19" i="95"/>
  <c r="AB19" i="95"/>
  <c r="AC19" i="95"/>
  <c r="AD19" i="95"/>
  <c r="AE19" i="95"/>
  <c r="AF19" i="95"/>
  <c r="AG19" i="95"/>
  <c r="AH19" i="95"/>
  <c r="AI19" i="95"/>
  <c r="AJ19" i="95"/>
  <c r="AK19" i="95"/>
  <c r="AL19" i="95"/>
  <c r="AM19" i="95"/>
  <c r="AN19" i="95"/>
  <c r="AO19" i="95"/>
  <c r="AP19" i="95"/>
  <c r="AQ19" i="95"/>
  <c r="AR19" i="95"/>
  <c r="AS19" i="95"/>
  <c r="AT19" i="95"/>
  <c r="AU19" i="95"/>
  <c r="AV19" i="95"/>
  <c r="AW19" i="95"/>
  <c r="AX19" i="95"/>
  <c r="AY19" i="95"/>
  <c r="AZ19" i="95"/>
  <c r="BA19" i="95"/>
  <c r="BB19" i="95"/>
  <c r="BC19" i="95"/>
  <c r="BD19" i="95"/>
  <c r="BE19" i="95"/>
  <c r="BF19" i="95"/>
  <c r="BG19" i="95"/>
  <c r="BH19" i="95"/>
  <c r="BI19" i="95"/>
  <c r="BJ19" i="95"/>
  <c r="BK19" i="95"/>
  <c r="BL19" i="95"/>
  <c r="BM19" i="95"/>
  <c r="BN19" i="95"/>
  <c r="BO19" i="95"/>
  <c r="BP19" i="95"/>
  <c r="BQ19" i="95"/>
  <c r="BR19" i="95"/>
  <c r="BS19" i="95"/>
  <c r="BT19" i="95"/>
  <c r="BU19" i="95"/>
  <c r="BV19" i="95"/>
  <c r="BW19" i="95"/>
  <c r="BX19" i="95"/>
  <c r="BY19" i="95"/>
  <c r="BZ19" i="95"/>
  <c r="CA19" i="95"/>
  <c r="CB19" i="95"/>
  <c r="CC19" i="95"/>
  <c r="CD19" i="95"/>
  <c r="CE19" i="95"/>
  <c r="CF19" i="95"/>
  <c r="CG19" i="95"/>
  <c r="CH19" i="95"/>
  <c r="CI19" i="95"/>
  <c r="CJ19" i="95"/>
  <c r="CK19" i="95"/>
  <c r="CL19" i="95"/>
  <c r="CM19" i="95"/>
  <c r="CN19" i="95"/>
  <c r="CO19" i="95"/>
  <c r="CP19" i="95"/>
  <c r="CQ19" i="95"/>
  <c r="CR19" i="95"/>
  <c r="CS19" i="95"/>
  <c r="CT19" i="95"/>
  <c r="CU19" i="95"/>
  <c r="CV19" i="95"/>
  <c r="CW19" i="95"/>
  <c r="CX19" i="95"/>
  <c r="CY19" i="95"/>
  <c r="CZ19" i="95"/>
  <c r="DA19" i="95"/>
  <c r="DB19" i="95"/>
  <c r="DC19" i="95"/>
  <c r="DD19" i="95"/>
  <c r="DE19" i="95"/>
  <c r="DF19" i="95"/>
  <c r="DG19" i="95"/>
  <c r="DH19" i="95"/>
  <c r="DI19" i="95"/>
  <c r="DJ19" i="95"/>
  <c r="DK19" i="95"/>
  <c r="DL19" i="95"/>
  <c r="DM19" i="95"/>
  <c r="DN19" i="95"/>
  <c r="DO19" i="95"/>
  <c r="DP19" i="95"/>
  <c r="DQ19" i="95"/>
  <c r="DR19" i="95"/>
  <c r="DS19" i="95"/>
  <c r="DT19" i="95"/>
  <c r="DU19" i="95"/>
  <c r="DV19" i="95"/>
  <c r="DW19" i="95"/>
  <c r="DX19" i="95"/>
  <c r="DY19" i="95"/>
  <c r="DZ19" i="95"/>
  <c r="EA19" i="95"/>
  <c r="EB19" i="95"/>
  <c r="EC19" i="95"/>
  <c r="ED19" i="95"/>
  <c r="EE19" i="95"/>
  <c r="EF19" i="95"/>
  <c r="EG19" i="95"/>
  <c r="EH19" i="95"/>
  <c r="EI19" i="95"/>
  <c r="EJ19" i="95"/>
  <c r="EK19" i="95"/>
  <c r="EL19" i="95"/>
  <c r="EM19" i="95"/>
  <c r="EN19" i="95"/>
  <c r="EO19" i="95"/>
  <c r="EP19" i="95"/>
  <c r="EQ19" i="95"/>
  <c r="ER19" i="95"/>
  <c r="ES19" i="95"/>
  <c r="ET19" i="95"/>
  <c r="EU19" i="95"/>
  <c r="EV19" i="95"/>
  <c r="EW19" i="95"/>
  <c r="EX19" i="95"/>
  <c r="EY19" i="95"/>
  <c r="EZ19" i="95"/>
  <c r="FA19" i="95"/>
  <c r="FB19" i="95"/>
  <c r="FC19" i="95"/>
  <c r="FD19" i="95"/>
  <c r="FE19" i="95"/>
  <c r="FF19" i="95"/>
  <c r="FG19" i="95"/>
  <c r="FH19" i="95"/>
  <c r="FI19" i="95"/>
  <c r="FJ19" i="95"/>
  <c r="FK19" i="95"/>
  <c r="FL19" i="95"/>
  <c r="FM19" i="95"/>
  <c r="FN19" i="95"/>
  <c r="FO19" i="95"/>
  <c r="FP19" i="95"/>
  <c r="FQ19" i="95"/>
  <c r="FR19" i="95"/>
  <c r="FS19" i="95"/>
  <c r="FT19" i="95"/>
  <c r="FU19" i="95"/>
  <c r="FV19" i="95"/>
  <c r="FW19" i="95"/>
  <c r="FX19" i="95"/>
  <c r="FY19" i="95"/>
  <c r="FZ19" i="95"/>
  <c r="GA19" i="95"/>
  <c r="GB19" i="95"/>
  <c r="GC19" i="95"/>
  <c r="GD19" i="95"/>
  <c r="GE19" i="95"/>
  <c r="GF19" i="95"/>
  <c r="GG19" i="95"/>
  <c r="GH19" i="95"/>
  <c r="GI19" i="95"/>
  <c r="GJ19" i="95"/>
  <c r="GK19" i="95"/>
  <c r="GL19" i="95"/>
  <c r="GM19" i="95"/>
  <c r="GN19" i="95"/>
  <c r="GO19" i="95"/>
  <c r="GP19" i="95"/>
  <c r="GQ19" i="95"/>
  <c r="GR19" i="95"/>
  <c r="GS19" i="95"/>
  <c r="GT19" i="95"/>
  <c r="GU19" i="95"/>
  <c r="GV19" i="95"/>
  <c r="GW19" i="95"/>
  <c r="GX19" i="95"/>
  <c r="GY19" i="95"/>
  <c r="GZ19" i="95"/>
  <c r="HA19" i="95"/>
  <c r="HB19" i="95"/>
  <c r="HC19" i="95"/>
  <c r="HD19" i="95"/>
  <c r="HE19" i="95"/>
  <c r="HF19" i="95"/>
  <c r="HG19" i="95"/>
  <c r="HH19" i="95"/>
  <c r="HI19" i="95"/>
  <c r="HJ19" i="95"/>
  <c r="HK19" i="95"/>
  <c r="HL19" i="95"/>
  <c r="HM19" i="95"/>
  <c r="HN19" i="95"/>
  <c r="HO19" i="95"/>
  <c r="HP19" i="95"/>
  <c r="HQ19" i="95"/>
  <c r="G20" i="95"/>
  <c r="H20" i="95"/>
  <c r="I20" i="95"/>
  <c r="J20" i="95"/>
  <c r="K20" i="95"/>
  <c r="L20" i="95"/>
  <c r="M20" i="95"/>
  <c r="N20" i="95"/>
  <c r="O20" i="95"/>
  <c r="P20" i="95"/>
  <c r="Q20" i="95"/>
  <c r="R20" i="95"/>
  <c r="S20" i="95"/>
  <c r="T20" i="95"/>
  <c r="U20" i="95"/>
  <c r="V20" i="95"/>
  <c r="W20" i="95"/>
  <c r="X20" i="95"/>
  <c r="Y20" i="95"/>
  <c r="Z20" i="95"/>
  <c r="AA20" i="95"/>
  <c r="AB20" i="95"/>
  <c r="AC20" i="95"/>
  <c r="AD20" i="95"/>
  <c r="AE20" i="95"/>
  <c r="AF20" i="95"/>
  <c r="AG20" i="95"/>
  <c r="AH20" i="95"/>
  <c r="AI20" i="95"/>
  <c r="AJ20" i="95"/>
  <c r="AK20" i="95"/>
  <c r="AL20" i="95"/>
  <c r="AM20" i="95"/>
  <c r="AN20" i="95"/>
  <c r="AO20" i="95"/>
  <c r="AP20" i="95"/>
  <c r="AQ20" i="95"/>
  <c r="AR20" i="95"/>
  <c r="AS20" i="95"/>
  <c r="AT20" i="95"/>
  <c r="AU20" i="95"/>
  <c r="AV20" i="95"/>
  <c r="AW20" i="95"/>
  <c r="AX20" i="95"/>
  <c r="AY20" i="95"/>
  <c r="AZ20" i="95"/>
  <c r="BA20" i="95"/>
  <c r="BB20" i="95"/>
  <c r="BC20" i="95"/>
  <c r="BD20" i="95"/>
  <c r="BE20" i="95"/>
  <c r="BF20" i="95"/>
  <c r="BG20" i="95"/>
  <c r="BH20" i="95"/>
  <c r="BI20" i="95"/>
  <c r="BJ20" i="95"/>
  <c r="BK20" i="95"/>
  <c r="BL20" i="95"/>
  <c r="BM20" i="95"/>
  <c r="BN20" i="95"/>
  <c r="BO20" i="95"/>
  <c r="BP20" i="95"/>
  <c r="BQ20" i="95"/>
  <c r="BR20" i="95"/>
  <c r="BS20" i="95"/>
  <c r="BT20" i="95"/>
  <c r="BU20" i="95"/>
  <c r="BV20" i="95"/>
  <c r="BW20" i="95"/>
  <c r="BX20" i="95"/>
  <c r="BY20" i="95"/>
  <c r="BZ20" i="95"/>
  <c r="CA20" i="95"/>
  <c r="CB20" i="95"/>
  <c r="CC20" i="95"/>
  <c r="CD20" i="95"/>
  <c r="CE20" i="95"/>
  <c r="CF20" i="95"/>
  <c r="CG20" i="95"/>
  <c r="CH20" i="95"/>
  <c r="CI20" i="95"/>
  <c r="CJ20" i="95"/>
  <c r="CK20" i="95"/>
  <c r="CL20" i="95"/>
  <c r="CM20" i="95"/>
  <c r="CN20" i="95"/>
  <c r="CO20" i="95"/>
  <c r="CP20" i="95"/>
  <c r="CQ20" i="95"/>
  <c r="CR20" i="95"/>
  <c r="CS20" i="95"/>
  <c r="CT20" i="95"/>
  <c r="CU20" i="95"/>
  <c r="CV20" i="95"/>
  <c r="CW20" i="95"/>
  <c r="CX20" i="95"/>
  <c r="CY20" i="95"/>
  <c r="CZ20" i="95"/>
  <c r="DA20" i="95"/>
  <c r="DB20" i="95"/>
  <c r="DC20" i="95"/>
  <c r="DD20" i="95"/>
  <c r="DE20" i="95"/>
  <c r="DF20" i="95"/>
  <c r="DG20" i="95"/>
  <c r="DH20" i="95"/>
  <c r="DI20" i="95"/>
  <c r="DJ20" i="95"/>
  <c r="DK20" i="95"/>
  <c r="DL20" i="95"/>
  <c r="DM20" i="95"/>
  <c r="DN20" i="95"/>
  <c r="DO20" i="95"/>
  <c r="DP20" i="95"/>
  <c r="DQ20" i="95"/>
  <c r="DR20" i="95"/>
  <c r="DS20" i="95"/>
  <c r="DT20" i="95"/>
  <c r="DU20" i="95"/>
  <c r="DV20" i="95"/>
  <c r="DW20" i="95"/>
  <c r="DX20" i="95"/>
  <c r="DY20" i="95"/>
  <c r="DZ20" i="95"/>
  <c r="EA20" i="95"/>
  <c r="EB20" i="95"/>
  <c r="EC20" i="95"/>
  <c r="ED20" i="95"/>
  <c r="EE20" i="95"/>
  <c r="EF20" i="95"/>
  <c r="EG20" i="95"/>
  <c r="EH20" i="95"/>
  <c r="EI20" i="95"/>
  <c r="EJ20" i="95"/>
  <c r="EK20" i="95"/>
  <c r="EL20" i="95"/>
  <c r="EM20" i="95"/>
  <c r="EN20" i="95"/>
  <c r="EO20" i="95"/>
  <c r="EP20" i="95"/>
  <c r="EQ20" i="95"/>
  <c r="ER20" i="95"/>
  <c r="ES20" i="95"/>
  <c r="ET20" i="95"/>
  <c r="EU20" i="95"/>
  <c r="EV20" i="95"/>
  <c r="EW20" i="95"/>
  <c r="EX20" i="95"/>
  <c r="EY20" i="95"/>
  <c r="EZ20" i="95"/>
  <c r="FA20" i="95"/>
  <c r="FB20" i="95"/>
  <c r="FC20" i="95"/>
  <c r="FD20" i="95"/>
  <c r="FE20" i="95"/>
  <c r="FF20" i="95"/>
  <c r="FG20" i="95"/>
  <c r="FH20" i="95"/>
  <c r="FI20" i="95"/>
  <c r="FJ20" i="95"/>
  <c r="FK20" i="95"/>
  <c r="FL20" i="95"/>
  <c r="FM20" i="95"/>
  <c r="FN20" i="95"/>
  <c r="FO20" i="95"/>
  <c r="FP20" i="95"/>
  <c r="FQ20" i="95"/>
  <c r="FR20" i="95"/>
  <c r="FS20" i="95"/>
  <c r="FT20" i="95"/>
  <c r="FU20" i="95"/>
  <c r="FV20" i="95"/>
  <c r="FW20" i="95"/>
  <c r="FX20" i="95"/>
  <c r="FY20" i="95"/>
  <c r="FZ20" i="95"/>
  <c r="GA20" i="95"/>
  <c r="GB20" i="95"/>
  <c r="GC20" i="95"/>
  <c r="GD20" i="95"/>
  <c r="GE20" i="95"/>
  <c r="GF20" i="95"/>
  <c r="GG20" i="95"/>
  <c r="GH20" i="95"/>
  <c r="GI20" i="95"/>
  <c r="GJ20" i="95"/>
  <c r="GK20" i="95"/>
  <c r="GL20" i="95"/>
  <c r="GM20" i="95"/>
  <c r="GN20" i="95"/>
  <c r="GO20" i="95"/>
  <c r="GP20" i="95"/>
  <c r="GQ20" i="95"/>
  <c r="GR20" i="95"/>
  <c r="GS20" i="95"/>
  <c r="GT20" i="95"/>
  <c r="GU20" i="95"/>
  <c r="GV20" i="95"/>
  <c r="GW20" i="95"/>
  <c r="GX20" i="95"/>
  <c r="GY20" i="95"/>
  <c r="GZ20" i="95"/>
  <c r="HA20" i="95"/>
  <c r="HB20" i="95"/>
  <c r="HC20" i="95"/>
  <c r="HD20" i="95"/>
  <c r="HE20" i="95"/>
  <c r="HF20" i="95"/>
  <c r="HG20" i="95"/>
  <c r="HH20" i="95"/>
  <c r="HI20" i="95"/>
  <c r="HJ20" i="95"/>
  <c r="HK20" i="95"/>
  <c r="HL20" i="95"/>
  <c r="HM20" i="95"/>
  <c r="HN20" i="95"/>
  <c r="HO20" i="95"/>
  <c r="HP20" i="95"/>
  <c r="HQ20" i="95"/>
  <c r="G21" i="95"/>
  <c r="H21" i="95"/>
  <c r="I21" i="95"/>
  <c r="J21" i="95"/>
  <c r="K21" i="95"/>
  <c r="L21" i="95"/>
  <c r="M21" i="95"/>
  <c r="N21" i="95"/>
  <c r="O21" i="95"/>
  <c r="P21" i="95"/>
  <c r="Q21" i="95"/>
  <c r="R21" i="95"/>
  <c r="S21" i="95"/>
  <c r="T21" i="95"/>
  <c r="U21" i="95"/>
  <c r="V21" i="95"/>
  <c r="W21" i="95"/>
  <c r="X21" i="95"/>
  <c r="Y21" i="95"/>
  <c r="Z21" i="95"/>
  <c r="AA21" i="95"/>
  <c r="AB21" i="95"/>
  <c r="AC21" i="95"/>
  <c r="AD21" i="95"/>
  <c r="AE21" i="95"/>
  <c r="AF21" i="95"/>
  <c r="AG21" i="95"/>
  <c r="AH21" i="95"/>
  <c r="AI21" i="95"/>
  <c r="AJ21" i="95"/>
  <c r="AK21" i="95"/>
  <c r="AL21" i="95"/>
  <c r="AM21" i="95"/>
  <c r="AN21" i="95"/>
  <c r="AO21" i="95"/>
  <c r="AP21" i="95"/>
  <c r="AQ21" i="95"/>
  <c r="AR21" i="95"/>
  <c r="AS21" i="95"/>
  <c r="AT21" i="95"/>
  <c r="AU21" i="95"/>
  <c r="AV21" i="95"/>
  <c r="AW21" i="95"/>
  <c r="AX21" i="95"/>
  <c r="AY21" i="95"/>
  <c r="AZ21" i="95"/>
  <c r="BA21" i="95"/>
  <c r="BB21" i="95"/>
  <c r="BC21" i="95"/>
  <c r="BD21" i="95"/>
  <c r="BE21" i="95"/>
  <c r="BF21" i="95"/>
  <c r="BG21" i="95"/>
  <c r="BH21" i="95"/>
  <c r="BI21" i="95"/>
  <c r="BJ21" i="95"/>
  <c r="BK21" i="95"/>
  <c r="BL21" i="95"/>
  <c r="BM21" i="95"/>
  <c r="BN21" i="95"/>
  <c r="BO21" i="95"/>
  <c r="BP21" i="95"/>
  <c r="BQ21" i="95"/>
  <c r="BR21" i="95"/>
  <c r="BS21" i="95"/>
  <c r="BT21" i="95"/>
  <c r="BU21" i="95"/>
  <c r="BV21" i="95"/>
  <c r="BW21" i="95"/>
  <c r="BX21" i="95"/>
  <c r="BY21" i="95"/>
  <c r="BZ21" i="95"/>
  <c r="CA21" i="95"/>
  <c r="CB21" i="95"/>
  <c r="CC21" i="95"/>
  <c r="CD21" i="95"/>
  <c r="CE21" i="95"/>
  <c r="CF21" i="95"/>
  <c r="CG21" i="95"/>
  <c r="CH21" i="95"/>
  <c r="CI21" i="95"/>
  <c r="CJ21" i="95"/>
  <c r="CK21" i="95"/>
  <c r="CL21" i="95"/>
  <c r="CM21" i="95"/>
  <c r="CN21" i="95"/>
  <c r="CO21" i="95"/>
  <c r="CP21" i="95"/>
  <c r="CQ21" i="95"/>
  <c r="CR21" i="95"/>
  <c r="CS21" i="95"/>
  <c r="CT21" i="95"/>
  <c r="CU21" i="95"/>
  <c r="CV21" i="95"/>
  <c r="CW21" i="95"/>
  <c r="CX21" i="95"/>
  <c r="CY21" i="95"/>
  <c r="CZ21" i="95"/>
  <c r="DA21" i="95"/>
  <c r="DB21" i="95"/>
  <c r="DC21" i="95"/>
  <c r="DD21" i="95"/>
  <c r="DE21" i="95"/>
  <c r="DF21" i="95"/>
  <c r="DG21" i="95"/>
  <c r="DH21" i="95"/>
  <c r="DI21" i="95"/>
  <c r="DJ21" i="95"/>
  <c r="DK21" i="95"/>
  <c r="DL21" i="95"/>
  <c r="DM21" i="95"/>
  <c r="DN21" i="95"/>
  <c r="DO21" i="95"/>
  <c r="DP21" i="95"/>
  <c r="DQ21" i="95"/>
  <c r="DR21" i="95"/>
  <c r="DS21" i="95"/>
  <c r="DT21" i="95"/>
  <c r="DU21" i="95"/>
  <c r="DV21" i="95"/>
  <c r="DW21" i="95"/>
  <c r="DX21" i="95"/>
  <c r="DY21" i="95"/>
  <c r="DZ21" i="95"/>
  <c r="EA21" i="95"/>
  <c r="EB21" i="95"/>
  <c r="EC21" i="95"/>
  <c r="ED21" i="95"/>
  <c r="EE21" i="95"/>
  <c r="EF21" i="95"/>
  <c r="EG21" i="95"/>
  <c r="EH21" i="95"/>
  <c r="EI21" i="95"/>
  <c r="EJ21" i="95"/>
  <c r="EK21" i="95"/>
  <c r="EL21" i="95"/>
  <c r="EM21" i="95"/>
  <c r="EN21" i="95"/>
  <c r="EO21" i="95"/>
  <c r="EP21" i="95"/>
  <c r="EQ21" i="95"/>
  <c r="ER21" i="95"/>
  <c r="ES21" i="95"/>
  <c r="ET21" i="95"/>
  <c r="EU21" i="95"/>
  <c r="EV21" i="95"/>
  <c r="EW21" i="95"/>
  <c r="EX21" i="95"/>
  <c r="EY21" i="95"/>
  <c r="EZ21" i="95"/>
  <c r="FA21" i="95"/>
  <c r="FB21" i="95"/>
  <c r="FC21" i="95"/>
  <c r="FD21" i="95"/>
  <c r="FE21" i="95"/>
  <c r="FF21" i="95"/>
  <c r="FG21" i="95"/>
  <c r="FH21" i="95"/>
  <c r="FI21" i="95"/>
  <c r="FJ21" i="95"/>
  <c r="FK21" i="95"/>
  <c r="FL21" i="95"/>
  <c r="FM21" i="95"/>
  <c r="FN21" i="95"/>
  <c r="FO21" i="95"/>
  <c r="FP21" i="95"/>
  <c r="FQ21" i="95"/>
  <c r="FR21" i="95"/>
  <c r="FS21" i="95"/>
  <c r="FT21" i="95"/>
  <c r="FU21" i="95"/>
  <c r="FV21" i="95"/>
  <c r="FW21" i="95"/>
  <c r="FX21" i="95"/>
  <c r="FY21" i="95"/>
  <c r="FZ21" i="95"/>
  <c r="GA21" i="95"/>
  <c r="GB21" i="95"/>
  <c r="GC21" i="95"/>
  <c r="GD21" i="95"/>
  <c r="GE21" i="95"/>
  <c r="GF21" i="95"/>
  <c r="GG21" i="95"/>
  <c r="GH21" i="95"/>
  <c r="GI21" i="95"/>
  <c r="GJ21" i="95"/>
  <c r="GK21" i="95"/>
  <c r="GL21" i="95"/>
  <c r="GM21" i="95"/>
  <c r="GN21" i="95"/>
  <c r="GO21" i="95"/>
  <c r="GP21" i="95"/>
  <c r="GQ21" i="95"/>
  <c r="GR21" i="95"/>
  <c r="GS21" i="95"/>
  <c r="GT21" i="95"/>
  <c r="GU21" i="95"/>
  <c r="GV21" i="95"/>
  <c r="GW21" i="95"/>
  <c r="GX21" i="95"/>
  <c r="GY21" i="95"/>
  <c r="GZ21" i="95"/>
  <c r="HA21" i="95"/>
  <c r="HB21" i="95"/>
  <c r="HC21" i="95"/>
  <c r="HD21" i="95"/>
  <c r="HE21" i="95"/>
  <c r="HF21" i="95"/>
  <c r="HG21" i="95"/>
  <c r="HH21" i="95"/>
  <c r="HI21" i="95"/>
  <c r="HJ21" i="95"/>
  <c r="HK21" i="95"/>
  <c r="HL21" i="95"/>
  <c r="HM21" i="95"/>
  <c r="HN21" i="95"/>
  <c r="HO21" i="95"/>
  <c r="HP21" i="95"/>
  <c r="HQ21" i="95"/>
  <c r="G22" i="95"/>
  <c r="H22" i="95"/>
  <c r="I22" i="95"/>
  <c r="J22" i="95"/>
  <c r="K22" i="95"/>
  <c r="L22" i="95"/>
  <c r="M22" i="95"/>
  <c r="N22" i="95"/>
  <c r="O22" i="95"/>
  <c r="P22" i="95"/>
  <c r="Q22" i="95"/>
  <c r="R22" i="95"/>
  <c r="S22" i="95"/>
  <c r="T22" i="95"/>
  <c r="U22" i="95"/>
  <c r="V22" i="95"/>
  <c r="W22" i="95"/>
  <c r="X22" i="95"/>
  <c r="Y22" i="95"/>
  <c r="Z22" i="95"/>
  <c r="AA22" i="95"/>
  <c r="AB22" i="95"/>
  <c r="AC22" i="95"/>
  <c r="AD22" i="95"/>
  <c r="AE22" i="95"/>
  <c r="AF22" i="95"/>
  <c r="AG22" i="95"/>
  <c r="AH22" i="95"/>
  <c r="AI22" i="95"/>
  <c r="AJ22" i="95"/>
  <c r="AK22" i="95"/>
  <c r="AL22" i="95"/>
  <c r="AM22" i="95"/>
  <c r="AN22" i="95"/>
  <c r="AO22" i="95"/>
  <c r="AP22" i="95"/>
  <c r="AQ22" i="95"/>
  <c r="AR22" i="95"/>
  <c r="AS22" i="95"/>
  <c r="AT22" i="95"/>
  <c r="AU22" i="95"/>
  <c r="AV22" i="95"/>
  <c r="AW22" i="95"/>
  <c r="AX22" i="95"/>
  <c r="AY22" i="95"/>
  <c r="AZ22" i="95"/>
  <c r="BA22" i="95"/>
  <c r="BB22" i="95"/>
  <c r="BC22" i="95"/>
  <c r="BD22" i="95"/>
  <c r="BE22" i="95"/>
  <c r="BF22" i="95"/>
  <c r="BG22" i="95"/>
  <c r="BH22" i="95"/>
  <c r="BI22" i="95"/>
  <c r="BJ22" i="95"/>
  <c r="BK22" i="95"/>
  <c r="BL22" i="95"/>
  <c r="BM22" i="95"/>
  <c r="BN22" i="95"/>
  <c r="BO22" i="95"/>
  <c r="BP22" i="95"/>
  <c r="BQ22" i="95"/>
  <c r="BR22" i="95"/>
  <c r="BS22" i="95"/>
  <c r="BT22" i="95"/>
  <c r="BU22" i="95"/>
  <c r="BV22" i="95"/>
  <c r="BW22" i="95"/>
  <c r="BX22" i="95"/>
  <c r="BY22" i="95"/>
  <c r="BZ22" i="95"/>
  <c r="CA22" i="95"/>
  <c r="CB22" i="95"/>
  <c r="CC22" i="95"/>
  <c r="CD22" i="95"/>
  <c r="CE22" i="95"/>
  <c r="CF22" i="95"/>
  <c r="CG22" i="95"/>
  <c r="CH22" i="95"/>
  <c r="CI22" i="95"/>
  <c r="CJ22" i="95"/>
  <c r="CK22" i="95"/>
  <c r="CL22" i="95"/>
  <c r="CM22" i="95"/>
  <c r="CN22" i="95"/>
  <c r="CO22" i="95"/>
  <c r="CP22" i="95"/>
  <c r="CQ22" i="95"/>
  <c r="CR22" i="95"/>
  <c r="CS22" i="95"/>
  <c r="CT22" i="95"/>
  <c r="CU22" i="95"/>
  <c r="CV22" i="95"/>
  <c r="CW22" i="95"/>
  <c r="CX22" i="95"/>
  <c r="CY22" i="95"/>
  <c r="CZ22" i="95"/>
  <c r="DA22" i="95"/>
  <c r="DB22" i="95"/>
  <c r="DC22" i="95"/>
  <c r="DD22" i="95"/>
  <c r="DE22" i="95"/>
  <c r="DF22" i="95"/>
  <c r="DG22" i="95"/>
  <c r="DH22" i="95"/>
  <c r="DI22" i="95"/>
  <c r="DJ22" i="95"/>
  <c r="DK22" i="95"/>
  <c r="DL22" i="95"/>
  <c r="DM22" i="95"/>
  <c r="DN22" i="95"/>
  <c r="DO22" i="95"/>
  <c r="DP22" i="95"/>
  <c r="DQ22" i="95"/>
  <c r="DR22" i="95"/>
  <c r="DS22" i="95"/>
  <c r="DT22" i="95"/>
  <c r="DU22" i="95"/>
  <c r="DV22" i="95"/>
  <c r="DW22" i="95"/>
  <c r="DX22" i="95"/>
  <c r="DY22" i="95"/>
  <c r="DZ22" i="95"/>
  <c r="EA22" i="95"/>
  <c r="EB22" i="95"/>
  <c r="EC22" i="95"/>
  <c r="ED22" i="95"/>
  <c r="EE22" i="95"/>
  <c r="EF22" i="95"/>
  <c r="EG22" i="95"/>
  <c r="EH22" i="95"/>
  <c r="EI22" i="95"/>
  <c r="EJ22" i="95"/>
  <c r="EK22" i="95"/>
  <c r="EL22" i="95"/>
  <c r="EM22" i="95"/>
  <c r="EN22" i="95"/>
  <c r="EO22" i="95"/>
  <c r="EP22" i="95"/>
  <c r="EQ22" i="95"/>
  <c r="ER22" i="95"/>
  <c r="ES22" i="95"/>
  <c r="ET22" i="95"/>
  <c r="EU22" i="95"/>
  <c r="EV22" i="95"/>
  <c r="EW22" i="95"/>
  <c r="EX22" i="95"/>
  <c r="EY22" i="95"/>
  <c r="EZ22" i="95"/>
  <c r="FA22" i="95"/>
  <c r="FB22" i="95"/>
  <c r="FC22" i="95"/>
  <c r="FD22" i="95"/>
  <c r="FE22" i="95"/>
  <c r="FF22" i="95"/>
  <c r="FG22" i="95"/>
  <c r="FH22" i="95"/>
  <c r="FI22" i="95"/>
  <c r="FJ22" i="95"/>
  <c r="FK22" i="95"/>
  <c r="FL22" i="95"/>
  <c r="FM22" i="95"/>
  <c r="FN22" i="95"/>
  <c r="FO22" i="95"/>
  <c r="FP22" i="95"/>
  <c r="FQ22" i="95"/>
  <c r="FR22" i="95"/>
  <c r="FS22" i="95"/>
  <c r="FT22" i="95"/>
  <c r="FU22" i="95"/>
  <c r="FV22" i="95"/>
  <c r="FW22" i="95"/>
  <c r="FX22" i="95"/>
  <c r="FY22" i="95"/>
  <c r="FZ22" i="95"/>
  <c r="GA22" i="95"/>
  <c r="GB22" i="95"/>
  <c r="GC22" i="95"/>
  <c r="GD22" i="95"/>
  <c r="GE22" i="95"/>
  <c r="GF22" i="95"/>
  <c r="GG22" i="95"/>
  <c r="GH22" i="95"/>
  <c r="GI22" i="95"/>
  <c r="GJ22" i="95"/>
  <c r="GK22" i="95"/>
  <c r="GL22" i="95"/>
  <c r="GM22" i="95"/>
  <c r="GN22" i="95"/>
  <c r="GO22" i="95"/>
  <c r="GP22" i="95"/>
  <c r="GQ22" i="95"/>
  <c r="GR22" i="95"/>
  <c r="GS22" i="95"/>
  <c r="GT22" i="95"/>
  <c r="GU22" i="95"/>
  <c r="GV22" i="95"/>
  <c r="GW22" i="95"/>
  <c r="GX22" i="95"/>
  <c r="GY22" i="95"/>
  <c r="GZ22" i="95"/>
  <c r="HA22" i="95"/>
  <c r="HB22" i="95"/>
  <c r="HC22" i="95"/>
  <c r="HD22" i="95"/>
  <c r="HE22" i="95"/>
  <c r="HF22" i="95"/>
  <c r="HG22" i="95"/>
  <c r="HH22" i="95"/>
  <c r="HI22" i="95"/>
  <c r="HJ22" i="95"/>
  <c r="HK22" i="95"/>
  <c r="HL22" i="95"/>
  <c r="HM22" i="95"/>
  <c r="HN22" i="95"/>
  <c r="HO22" i="95"/>
  <c r="HP22" i="95"/>
  <c r="HQ22" i="95"/>
  <c r="G23" i="95"/>
  <c r="H23" i="95"/>
  <c r="I23" i="95"/>
  <c r="J23" i="95"/>
  <c r="K23" i="95"/>
  <c r="L23" i="95"/>
  <c r="M23" i="95"/>
  <c r="N23" i="95"/>
  <c r="O23" i="95"/>
  <c r="P23" i="95"/>
  <c r="Q23" i="95"/>
  <c r="R23" i="95"/>
  <c r="S23" i="95"/>
  <c r="T23" i="95"/>
  <c r="U23" i="95"/>
  <c r="V23" i="95"/>
  <c r="W23" i="95"/>
  <c r="X23" i="95"/>
  <c r="Y23" i="95"/>
  <c r="Z23" i="95"/>
  <c r="AA23" i="95"/>
  <c r="AB23" i="95"/>
  <c r="AC23" i="95"/>
  <c r="AD23" i="95"/>
  <c r="AE23" i="95"/>
  <c r="AF23" i="95"/>
  <c r="AG23" i="95"/>
  <c r="AH23" i="95"/>
  <c r="AI23" i="95"/>
  <c r="AJ23" i="95"/>
  <c r="AK23" i="95"/>
  <c r="AL23" i="95"/>
  <c r="AM23" i="95"/>
  <c r="AN23" i="95"/>
  <c r="AO23" i="95"/>
  <c r="AP23" i="95"/>
  <c r="AQ23" i="95"/>
  <c r="AR23" i="95"/>
  <c r="AS23" i="95"/>
  <c r="AT23" i="95"/>
  <c r="AU23" i="95"/>
  <c r="AV23" i="95"/>
  <c r="AW23" i="95"/>
  <c r="AX23" i="95"/>
  <c r="AY23" i="95"/>
  <c r="AZ23" i="95"/>
  <c r="BA23" i="95"/>
  <c r="BB23" i="95"/>
  <c r="BC23" i="95"/>
  <c r="BD23" i="95"/>
  <c r="BE23" i="95"/>
  <c r="BF23" i="95"/>
  <c r="BG23" i="95"/>
  <c r="BH23" i="95"/>
  <c r="BI23" i="95"/>
  <c r="BJ23" i="95"/>
  <c r="BK23" i="95"/>
  <c r="BL23" i="95"/>
  <c r="BM23" i="95"/>
  <c r="BN23" i="95"/>
  <c r="BO23" i="95"/>
  <c r="BP23" i="95"/>
  <c r="BQ23" i="95"/>
  <c r="BR23" i="95"/>
  <c r="BS23" i="95"/>
  <c r="BT23" i="95"/>
  <c r="BU23" i="95"/>
  <c r="BV23" i="95"/>
  <c r="BW23" i="95"/>
  <c r="BX23" i="95"/>
  <c r="BY23" i="95"/>
  <c r="BZ23" i="95"/>
  <c r="CA23" i="95"/>
  <c r="CB23" i="95"/>
  <c r="CC23" i="95"/>
  <c r="CD23" i="95"/>
  <c r="CE23" i="95"/>
  <c r="CF23" i="95"/>
  <c r="CG23" i="95"/>
  <c r="CH23" i="95"/>
  <c r="CI23" i="95"/>
  <c r="CJ23" i="95"/>
  <c r="CK23" i="95"/>
  <c r="CL23" i="95"/>
  <c r="CM23" i="95"/>
  <c r="CN23" i="95"/>
  <c r="CO23" i="95"/>
  <c r="CP23" i="95"/>
  <c r="CQ23" i="95"/>
  <c r="CR23" i="95"/>
  <c r="CS23" i="95"/>
  <c r="CT23" i="95"/>
  <c r="CU23" i="95"/>
  <c r="CV23" i="95"/>
  <c r="CW23" i="95"/>
  <c r="CX23" i="95"/>
  <c r="CY23" i="95"/>
  <c r="CZ23" i="95"/>
  <c r="DA23" i="95"/>
  <c r="DB23" i="95"/>
  <c r="DC23" i="95"/>
  <c r="DD23" i="95"/>
  <c r="DE23" i="95"/>
  <c r="DF23" i="95"/>
  <c r="DG23" i="95"/>
  <c r="DH23" i="95"/>
  <c r="DI23" i="95"/>
  <c r="DJ23" i="95"/>
  <c r="DK23" i="95"/>
  <c r="DL23" i="95"/>
  <c r="DM23" i="95"/>
  <c r="DN23" i="95"/>
  <c r="DO23" i="95"/>
  <c r="DP23" i="95"/>
  <c r="DQ23" i="95"/>
  <c r="DR23" i="95"/>
  <c r="DS23" i="95"/>
  <c r="DT23" i="95"/>
  <c r="DU23" i="95"/>
  <c r="DV23" i="95"/>
  <c r="DW23" i="95"/>
  <c r="DX23" i="95"/>
  <c r="DY23" i="95"/>
  <c r="DZ23" i="95"/>
  <c r="EA23" i="95"/>
  <c r="EB23" i="95"/>
  <c r="EC23" i="95"/>
  <c r="ED23" i="95"/>
  <c r="EE23" i="95"/>
  <c r="EF23" i="95"/>
  <c r="EG23" i="95"/>
  <c r="EH23" i="95"/>
  <c r="EI23" i="95"/>
  <c r="EJ23" i="95"/>
  <c r="EK23" i="95"/>
  <c r="EL23" i="95"/>
  <c r="EM23" i="95"/>
  <c r="EN23" i="95"/>
  <c r="EO23" i="95"/>
  <c r="EP23" i="95"/>
  <c r="EQ23" i="95"/>
  <c r="ER23" i="95"/>
  <c r="ES23" i="95"/>
  <c r="ET23" i="95"/>
  <c r="EU23" i="95"/>
  <c r="EV23" i="95"/>
  <c r="EW23" i="95"/>
  <c r="EX23" i="95"/>
  <c r="EY23" i="95"/>
  <c r="EZ23" i="95"/>
  <c r="FA23" i="95"/>
  <c r="FB23" i="95"/>
  <c r="FC23" i="95"/>
  <c r="FD23" i="95"/>
  <c r="FE23" i="95"/>
  <c r="FF23" i="95"/>
  <c r="FG23" i="95"/>
  <c r="FH23" i="95"/>
  <c r="FI23" i="95"/>
  <c r="FJ23" i="95"/>
  <c r="FK23" i="95"/>
  <c r="FL23" i="95"/>
  <c r="FM23" i="95"/>
  <c r="FN23" i="95"/>
  <c r="FO23" i="95"/>
  <c r="FP23" i="95"/>
  <c r="FQ23" i="95"/>
  <c r="FR23" i="95"/>
  <c r="FS23" i="95"/>
  <c r="FT23" i="95"/>
  <c r="FU23" i="95"/>
  <c r="FV23" i="95"/>
  <c r="FW23" i="95"/>
  <c r="FX23" i="95"/>
  <c r="FY23" i="95"/>
  <c r="FZ23" i="95"/>
  <c r="GA23" i="95"/>
  <c r="GB23" i="95"/>
  <c r="GC23" i="95"/>
  <c r="GD23" i="95"/>
  <c r="GE23" i="95"/>
  <c r="GF23" i="95"/>
  <c r="GG23" i="95"/>
  <c r="GH23" i="95"/>
  <c r="GI23" i="95"/>
  <c r="GJ23" i="95"/>
  <c r="GK23" i="95"/>
  <c r="GL23" i="95"/>
  <c r="GM23" i="95"/>
  <c r="GN23" i="95"/>
  <c r="GO23" i="95"/>
  <c r="GP23" i="95"/>
  <c r="GQ23" i="95"/>
  <c r="GR23" i="95"/>
  <c r="GS23" i="95"/>
  <c r="GT23" i="95"/>
  <c r="GU23" i="95"/>
  <c r="GV23" i="95"/>
  <c r="GW23" i="95"/>
  <c r="GX23" i="95"/>
  <c r="GY23" i="95"/>
  <c r="GZ23" i="95"/>
  <c r="HA23" i="95"/>
  <c r="HB23" i="95"/>
  <c r="HC23" i="95"/>
  <c r="HD23" i="95"/>
  <c r="HE23" i="95"/>
  <c r="HF23" i="95"/>
  <c r="HG23" i="95"/>
  <c r="HH23" i="95"/>
  <c r="HI23" i="95"/>
  <c r="HJ23" i="95"/>
  <c r="HK23" i="95"/>
  <c r="HL23" i="95"/>
  <c r="HM23" i="95"/>
  <c r="HN23" i="95"/>
  <c r="HO23" i="95"/>
  <c r="HP23" i="95"/>
  <c r="HQ23" i="95"/>
  <c r="G24" i="95"/>
  <c r="H24" i="95"/>
  <c r="I24" i="95"/>
  <c r="J24" i="95"/>
  <c r="K24" i="95"/>
  <c r="L24" i="95"/>
  <c r="M24" i="95"/>
  <c r="N24" i="95"/>
  <c r="O24" i="95"/>
  <c r="P24" i="95"/>
  <c r="Q24" i="95"/>
  <c r="R24" i="95"/>
  <c r="S24" i="95"/>
  <c r="T24" i="95"/>
  <c r="U24" i="95"/>
  <c r="V24" i="95"/>
  <c r="W24" i="95"/>
  <c r="X24" i="95"/>
  <c r="Y24" i="95"/>
  <c r="Z24" i="95"/>
  <c r="AA24" i="95"/>
  <c r="AB24" i="95"/>
  <c r="AC24" i="95"/>
  <c r="AD24" i="95"/>
  <c r="AE24" i="95"/>
  <c r="AF24" i="95"/>
  <c r="AG24" i="95"/>
  <c r="AH24" i="95"/>
  <c r="AI24" i="95"/>
  <c r="AJ24" i="95"/>
  <c r="AK24" i="95"/>
  <c r="AL24" i="95"/>
  <c r="AM24" i="95"/>
  <c r="AN24" i="95"/>
  <c r="AO24" i="95"/>
  <c r="AP24" i="95"/>
  <c r="AQ24" i="95"/>
  <c r="AR24" i="95"/>
  <c r="AS24" i="95"/>
  <c r="AT24" i="95"/>
  <c r="AU24" i="95"/>
  <c r="AV24" i="95"/>
  <c r="AW24" i="95"/>
  <c r="AX24" i="95"/>
  <c r="AY24" i="95"/>
  <c r="AZ24" i="95"/>
  <c r="BA24" i="95"/>
  <c r="BB24" i="95"/>
  <c r="BC24" i="95"/>
  <c r="BD24" i="95"/>
  <c r="BE24" i="95"/>
  <c r="BF24" i="95"/>
  <c r="BG24" i="95"/>
  <c r="BH24" i="95"/>
  <c r="BI24" i="95"/>
  <c r="BJ24" i="95"/>
  <c r="BK24" i="95"/>
  <c r="BL24" i="95"/>
  <c r="BM24" i="95"/>
  <c r="BN24" i="95"/>
  <c r="BO24" i="95"/>
  <c r="BP24" i="95"/>
  <c r="BQ24" i="95"/>
  <c r="BR24" i="95"/>
  <c r="BS24" i="95"/>
  <c r="BT24" i="95"/>
  <c r="BU24" i="95"/>
  <c r="BV24" i="95"/>
  <c r="BW24" i="95"/>
  <c r="BX24" i="95"/>
  <c r="BY24" i="95"/>
  <c r="BZ24" i="95"/>
  <c r="CA24" i="95"/>
  <c r="CB24" i="95"/>
  <c r="CC24" i="95"/>
  <c r="CD24" i="95"/>
  <c r="CE24" i="95"/>
  <c r="CF24" i="95"/>
  <c r="CG24" i="95"/>
  <c r="CH24" i="95"/>
  <c r="CI24" i="95"/>
  <c r="CJ24" i="95"/>
  <c r="CK24" i="95"/>
  <c r="CL24" i="95"/>
  <c r="CM24" i="95"/>
  <c r="CN24" i="95"/>
  <c r="CO24" i="95"/>
  <c r="CP24" i="95"/>
  <c r="CQ24" i="95"/>
  <c r="CR24" i="95"/>
  <c r="CS24" i="95"/>
  <c r="CT24" i="95"/>
  <c r="CU24" i="95"/>
  <c r="CV24" i="95"/>
  <c r="CW24" i="95"/>
  <c r="CX24" i="95"/>
  <c r="CY24" i="95"/>
  <c r="CZ24" i="95"/>
  <c r="DA24" i="95"/>
  <c r="DB24" i="95"/>
  <c r="DC24" i="95"/>
  <c r="DD24" i="95"/>
  <c r="DE24" i="95"/>
  <c r="DF24" i="95"/>
  <c r="DG24" i="95"/>
  <c r="DH24" i="95"/>
  <c r="DI24" i="95"/>
  <c r="DJ24" i="95"/>
  <c r="DK24" i="95"/>
  <c r="DL24" i="95"/>
  <c r="DM24" i="95"/>
  <c r="DN24" i="95"/>
  <c r="DO24" i="95"/>
  <c r="DP24" i="95"/>
  <c r="DQ24" i="95"/>
  <c r="DR24" i="95"/>
  <c r="DS24" i="95"/>
  <c r="DT24" i="95"/>
  <c r="DU24" i="95"/>
  <c r="DV24" i="95"/>
  <c r="DW24" i="95"/>
  <c r="DX24" i="95"/>
  <c r="DY24" i="95"/>
  <c r="DZ24" i="95"/>
  <c r="EA24" i="95"/>
  <c r="EB24" i="95"/>
  <c r="EC24" i="95"/>
  <c r="ED24" i="95"/>
  <c r="EE24" i="95"/>
  <c r="EF24" i="95"/>
  <c r="EG24" i="95"/>
  <c r="EH24" i="95"/>
  <c r="EI24" i="95"/>
  <c r="EJ24" i="95"/>
  <c r="EK24" i="95"/>
  <c r="EL24" i="95"/>
  <c r="EM24" i="95"/>
  <c r="EN24" i="95"/>
  <c r="EO24" i="95"/>
  <c r="EP24" i="95"/>
  <c r="EQ24" i="95"/>
  <c r="ER24" i="95"/>
  <c r="ES24" i="95"/>
  <c r="ET24" i="95"/>
  <c r="EU24" i="95"/>
  <c r="EV24" i="95"/>
  <c r="EW24" i="95"/>
  <c r="EX24" i="95"/>
  <c r="EY24" i="95"/>
  <c r="EZ24" i="95"/>
  <c r="FA24" i="95"/>
  <c r="FB24" i="95"/>
  <c r="FC24" i="95"/>
  <c r="FD24" i="95"/>
  <c r="FE24" i="95"/>
  <c r="FF24" i="95"/>
  <c r="FG24" i="95"/>
  <c r="FH24" i="95"/>
  <c r="FI24" i="95"/>
  <c r="FJ24" i="95"/>
  <c r="FK24" i="95"/>
  <c r="FL24" i="95"/>
  <c r="FM24" i="95"/>
  <c r="FN24" i="95"/>
  <c r="FO24" i="95"/>
  <c r="FP24" i="95"/>
  <c r="FQ24" i="95"/>
  <c r="FR24" i="95"/>
  <c r="FS24" i="95"/>
  <c r="FT24" i="95"/>
  <c r="FU24" i="95"/>
  <c r="FV24" i="95"/>
  <c r="FW24" i="95"/>
  <c r="FX24" i="95"/>
  <c r="FY24" i="95"/>
  <c r="FZ24" i="95"/>
  <c r="GA24" i="95"/>
  <c r="GB24" i="95"/>
  <c r="GC24" i="95"/>
  <c r="GD24" i="95"/>
  <c r="GE24" i="95"/>
  <c r="GF24" i="95"/>
  <c r="GG24" i="95"/>
  <c r="GH24" i="95"/>
  <c r="GI24" i="95"/>
  <c r="GJ24" i="95"/>
  <c r="GK24" i="95"/>
  <c r="GL24" i="95"/>
  <c r="GM24" i="95"/>
  <c r="GN24" i="95"/>
  <c r="GO24" i="95"/>
  <c r="GP24" i="95"/>
  <c r="GQ24" i="95"/>
  <c r="GR24" i="95"/>
  <c r="GS24" i="95"/>
  <c r="GT24" i="95"/>
  <c r="GU24" i="95"/>
  <c r="GV24" i="95"/>
  <c r="GW24" i="95"/>
  <c r="GX24" i="95"/>
  <c r="GY24" i="95"/>
  <c r="GZ24" i="95"/>
  <c r="HA24" i="95"/>
  <c r="HB24" i="95"/>
  <c r="HC24" i="95"/>
  <c r="HD24" i="95"/>
  <c r="HE24" i="95"/>
  <c r="HF24" i="95"/>
  <c r="HG24" i="95"/>
  <c r="HH24" i="95"/>
  <c r="HI24" i="95"/>
  <c r="HJ24" i="95"/>
  <c r="HK24" i="95"/>
  <c r="HL24" i="95"/>
  <c r="HM24" i="95"/>
  <c r="HN24" i="95"/>
  <c r="HO24" i="95"/>
  <c r="HP24" i="95"/>
  <c r="HQ24" i="95"/>
  <c r="G25" i="95"/>
  <c r="H25" i="95"/>
  <c r="I25" i="95"/>
  <c r="J25" i="95"/>
  <c r="K25" i="95"/>
  <c r="L25" i="95"/>
  <c r="M25" i="95"/>
  <c r="N25" i="95"/>
  <c r="O25" i="95"/>
  <c r="P25" i="95"/>
  <c r="Q25" i="95"/>
  <c r="R25" i="95"/>
  <c r="S25" i="95"/>
  <c r="T25" i="95"/>
  <c r="U25" i="95"/>
  <c r="V25" i="95"/>
  <c r="W25" i="95"/>
  <c r="X25" i="95"/>
  <c r="Y25" i="95"/>
  <c r="Z25" i="95"/>
  <c r="AA25" i="95"/>
  <c r="AB25" i="95"/>
  <c r="AC25" i="95"/>
  <c r="AD25" i="95"/>
  <c r="AE25" i="95"/>
  <c r="AF25" i="95"/>
  <c r="AG25" i="95"/>
  <c r="AH25" i="95"/>
  <c r="AI25" i="95"/>
  <c r="AJ25" i="95"/>
  <c r="AK25" i="95"/>
  <c r="AL25" i="95"/>
  <c r="AM25" i="95"/>
  <c r="AN25" i="95"/>
  <c r="AO25" i="95"/>
  <c r="AP25" i="95"/>
  <c r="AQ25" i="95"/>
  <c r="AR25" i="95"/>
  <c r="AS25" i="95"/>
  <c r="AT25" i="95"/>
  <c r="AU25" i="95"/>
  <c r="AV25" i="95"/>
  <c r="AW25" i="95"/>
  <c r="AX25" i="95"/>
  <c r="AY25" i="95"/>
  <c r="AZ25" i="95"/>
  <c r="BA25" i="95"/>
  <c r="BB25" i="95"/>
  <c r="BC25" i="95"/>
  <c r="BD25" i="95"/>
  <c r="BE25" i="95"/>
  <c r="BF25" i="95"/>
  <c r="BG25" i="95"/>
  <c r="BH25" i="95"/>
  <c r="BI25" i="95"/>
  <c r="BJ25" i="95"/>
  <c r="BK25" i="95"/>
  <c r="BL25" i="95"/>
  <c r="BM25" i="95"/>
  <c r="BN25" i="95"/>
  <c r="BO25" i="95"/>
  <c r="BP25" i="95"/>
  <c r="BQ25" i="95"/>
  <c r="BR25" i="95"/>
  <c r="BS25" i="95"/>
  <c r="BT25" i="95"/>
  <c r="BU25" i="95"/>
  <c r="BV25" i="95"/>
  <c r="BW25" i="95"/>
  <c r="BX25" i="95"/>
  <c r="BY25" i="95"/>
  <c r="BZ25" i="95"/>
  <c r="CA25" i="95"/>
  <c r="CB25" i="95"/>
  <c r="CC25" i="95"/>
  <c r="CD25" i="95"/>
  <c r="CE25" i="95"/>
  <c r="CF25" i="95"/>
  <c r="CG25" i="95"/>
  <c r="CH25" i="95"/>
  <c r="CI25" i="95"/>
  <c r="CJ25" i="95"/>
  <c r="CK25" i="95"/>
  <c r="CL25" i="95"/>
  <c r="CM25" i="95"/>
  <c r="CN25" i="95"/>
  <c r="CO25" i="95"/>
  <c r="CP25" i="95"/>
  <c r="CQ25" i="95"/>
  <c r="CR25" i="95"/>
  <c r="CS25" i="95"/>
  <c r="CT25" i="95"/>
  <c r="CU25" i="95"/>
  <c r="CV25" i="95"/>
  <c r="CW25" i="95"/>
  <c r="CX25" i="95"/>
  <c r="CY25" i="95"/>
  <c r="CZ25" i="95"/>
  <c r="DA25" i="95"/>
  <c r="DB25" i="95"/>
  <c r="DC25" i="95"/>
  <c r="DD25" i="95"/>
  <c r="DE25" i="95"/>
  <c r="DF25" i="95"/>
  <c r="DG25" i="95"/>
  <c r="DH25" i="95"/>
  <c r="DI25" i="95"/>
  <c r="DJ25" i="95"/>
  <c r="DK25" i="95"/>
  <c r="DL25" i="95"/>
  <c r="DM25" i="95"/>
  <c r="DN25" i="95"/>
  <c r="DO25" i="95"/>
  <c r="DP25" i="95"/>
  <c r="DQ25" i="95"/>
  <c r="DR25" i="95"/>
  <c r="DS25" i="95"/>
  <c r="DT25" i="95"/>
  <c r="DU25" i="95"/>
  <c r="DV25" i="95"/>
  <c r="DW25" i="95"/>
  <c r="DX25" i="95"/>
  <c r="DY25" i="95"/>
  <c r="DZ25" i="95"/>
  <c r="EA25" i="95"/>
  <c r="EB25" i="95"/>
  <c r="EC25" i="95"/>
  <c r="ED25" i="95"/>
  <c r="EE25" i="95"/>
  <c r="EF25" i="95"/>
  <c r="EG25" i="95"/>
  <c r="EH25" i="95"/>
  <c r="EI25" i="95"/>
  <c r="EJ25" i="95"/>
  <c r="EK25" i="95"/>
  <c r="EL25" i="95"/>
  <c r="EM25" i="95"/>
  <c r="EN25" i="95"/>
  <c r="EO25" i="95"/>
  <c r="EP25" i="95"/>
  <c r="EQ25" i="95"/>
  <c r="ER25" i="95"/>
  <c r="ES25" i="95"/>
  <c r="ET25" i="95"/>
  <c r="EU25" i="95"/>
  <c r="EV25" i="95"/>
  <c r="EW25" i="95"/>
  <c r="EX25" i="95"/>
  <c r="EY25" i="95"/>
  <c r="EZ25" i="95"/>
  <c r="FA25" i="95"/>
  <c r="FB25" i="95"/>
  <c r="FC25" i="95"/>
  <c r="FD25" i="95"/>
  <c r="FE25" i="95"/>
  <c r="FF25" i="95"/>
  <c r="FG25" i="95"/>
  <c r="FH25" i="95"/>
  <c r="FI25" i="95"/>
  <c r="FJ25" i="95"/>
  <c r="FK25" i="95"/>
  <c r="FL25" i="95"/>
  <c r="FM25" i="95"/>
  <c r="FN25" i="95"/>
  <c r="FO25" i="95"/>
  <c r="FP25" i="95"/>
  <c r="FQ25" i="95"/>
  <c r="FR25" i="95"/>
  <c r="FS25" i="95"/>
  <c r="FT25" i="95"/>
  <c r="FU25" i="95"/>
  <c r="FV25" i="95"/>
  <c r="FW25" i="95"/>
  <c r="FX25" i="95"/>
  <c r="FY25" i="95"/>
  <c r="FZ25" i="95"/>
  <c r="GA25" i="95"/>
  <c r="GB25" i="95"/>
  <c r="GC25" i="95"/>
  <c r="GD25" i="95"/>
  <c r="GE25" i="95"/>
  <c r="GF25" i="95"/>
  <c r="GG25" i="95"/>
  <c r="GH25" i="95"/>
  <c r="GI25" i="95"/>
  <c r="GJ25" i="95"/>
  <c r="GK25" i="95"/>
  <c r="GL25" i="95"/>
  <c r="GM25" i="95"/>
  <c r="GN25" i="95"/>
  <c r="GO25" i="95"/>
  <c r="GP25" i="95"/>
  <c r="GQ25" i="95"/>
  <c r="GR25" i="95"/>
  <c r="GS25" i="95"/>
  <c r="GT25" i="95"/>
  <c r="GU25" i="95"/>
  <c r="GV25" i="95"/>
  <c r="GW25" i="95"/>
  <c r="GX25" i="95"/>
  <c r="GY25" i="95"/>
  <c r="GZ25" i="95"/>
  <c r="HA25" i="95"/>
  <c r="HB25" i="95"/>
  <c r="HC25" i="95"/>
  <c r="HD25" i="95"/>
  <c r="HE25" i="95"/>
  <c r="HF25" i="95"/>
  <c r="HG25" i="95"/>
  <c r="HH25" i="95"/>
  <c r="HI25" i="95"/>
  <c r="HJ25" i="95"/>
  <c r="HK25" i="95"/>
  <c r="HL25" i="95"/>
  <c r="HM25" i="95"/>
  <c r="HN25" i="95"/>
  <c r="HO25" i="95"/>
  <c r="HP25" i="95"/>
  <c r="HQ25" i="95"/>
  <c r="G26" i="95"/>
  <c r="H26" i="95"/>
  <c r="I26" i="95"/>
  <c r="J26" i="95"/>
  <c r="K26" i="95"/>
  <c r="L26" i="95"/>
  <c r="M26" i="95"/>
  <c r="N26" i="95"/>
  <c r="O26" i="95"/>
  <c r="P26" i="95"/>
  <c r="Q26" i="95"/>
  <c r="R26" i="95"/>
  <c r="S26" i="95"/>
  <c r="T26" i="95"/>
  <c r="U26" i="95"/>
  <c r="V26" i="95"/>
  <c r="W26" i="95"/>
  <c r="X26" i="95"/>
  <c r="Y26" i="95"/>
  <c r="Z26" i="95"/>
  <c r="AA26" i="95"/>
  <c r="AB26" i="95"/>
  <c r="AC26" i="95"/>
  <c r="AD26" i="95"/>
  <c r="AE26" i="95"/>
  <c r="AF26" i="95"/>
  <c r="AG26" i="95"/>
  <c r="AH26" i="95"/>
  <c r="AI26" i="95"/>
  <c r="AJ26" i="95"/>
  <c r="AK26" i="95"/>
  <c r="AL26" i="95"/>
  <c r="AM26" i="95"/>
  <c r="AN26" i="95"/>
  <c r="AO26" i="95"/>
  <c r="AP26" i="95"/>
  <c r="AQ26" i="95"/>
  <c r="AR26" i="95"/>
  <c r="AS26" i="95"/>
  <c r="AT26" i="95"/>
  <c r="AU26" i="95"/>
  <c r="AV26" i="95"/>
  <c r="AW26" i="95"/>
  <c r="AX26" i="95"/>
  <c r="AY26" i="95"/>
  <c r="AZ26" i="95"/>
  <c r="BA26" i="95"/>
  <c r="BB26" i="95"/>
  <c r="BC26" i="95"/>
  <c r="BD26" i="95"/>
  <c r="BE26" i="95"/>
  <c r="BF26" i="95"/>
  <c r="BG26" i="95"/>
  <c r="BH26" i="95"/>
  <c r="BI26" i="95"/>
  <c r="BJ26" i="95"/>
  <c r="BK26" i="95"/>
  <c r="BL26" i="95"/>
  <c r="BM26" i="95"/>
  <c r="BN26" i="95"/>
  <c r="BO26" i="95"/>
  <c r="BP26" i="95"/>
  <c r="BQ26" i="95"/>
  <c r="BR26" i="95"/>
  <c r="BS26" i="95"/>
  <c r="BT26" i="95"/>
  <c r="BU26" i="95"/>
  <c r="BV26" i="95"/>
  <c r="BW26" i="95"/>
  <c r="BX26" i="95"/>
  <c r="BY26" i="95"/>
  <c r="BZ26" i="95"/>
  <c r="CA26" i="95"/>
  <c r="CB26" i="95"/>
  <c r="CC26" i="95"/>
  <c r="CD26" i="95"/>
  <c r="CE26" i="95"/>
  <c r="CF26" i="95"/>
  <c r="CG26" i="95"/>
  <c r="CH26" i="95"/>
  <c r="CI26" i="95"/>
  <c r="CJ26" i="95"/>
  <c r="CK26" i="95"/>
  <c r="CL26" i="95"/>
  <c r="CM26" i="95"/>
  <c r="CN26" i="95"/>
  <c r="CO26" i="95"/>
  <c r="CP26" i="95"/>
  <c r="CQ26" i="95"/>
  <c r="CR26" i="95"/>
  <c r="CS26" i="95"/>
  <c r="CT26" i="95"/>
  <c r="CU26" i="95"/>
  <c r="CV26" i="95"/>
  <c r="CW26" i="95"/>
  <c r="CX26" i="95"/>
  <c r="CY26" i="95"/>
  <c r="CZ26" i="95"/>
  <c r="DA26" i="95"/>
  <c r="DB26" i="95"/>
  <c r="DC26" i="95"/>
  <c r="DD26" i="95"/>
  <c r="DE26" i="95"/>
  <c r="DF26" i="95"/>
  <c r="DG26" i="95"/>
  <c r="DH26" i="95"/>
  <c r="DI26" i="95"/>
  <c r="DJ26" i="95"/>
  <c r="DK26" i="95"/>
  <c r="DL26" i="95"/>
  <c r="DM26" i="95"/>
  <c r="DN26" i="95"/>
  <c r="DO26" i="95"/>
  <c r="DP26" i="95"/>
  <c r="DQ26" i="95"/>
  <c r="DR26" i="95"/>
  <c r="DS26" i="95"/>
  <c r="DT26" i="95"/>
  <c r="DU26" i="95"/>
  <c r="DV26" i="95"/>
  <c r="DW26" i="95"/>
  <c r="DX26" i="95"/>
  <c r="DY26" i="95"/>
  <c r="DZ26" i="95"/>
  <c r="EA26" i="95"/>
  <c r="EB26" i="95"/>
  <c r="EC26" i="95"/>
  <c r="ED26" i="95"/>
  <c r="EE26" i="95"/>
  <c r="EF26" i="95"/>
  <c r="EG26" i="95"/>
  <c r="EH26" i="95"/>
  <c r="EI26" i="95"/>
  <c r="EJ26" i="95"/>
  <c r="EK26" i="95"/>
  <c r="EL26" i="95"/>
  <c r="EM26" i="95"/>
  <c r="EN26" i="95"/>
  <c r="EO26" i="95"/>
  <c r="EP26" i="95"/>
  <c r="EQ26" i="95"/>
  <c r="ER26" i="95"/>
  <c r="ES26" i="95"/>
  <c r="ET26" i="95"/>
  <c r="EU26" i="95"/>
  <c r="EV26" i="95"/>
  <c r="EW26" i="95"/>
  <c r="EX26" i="95"/>
  <c r="EY26" i="95"/>
  <c r="EZ26" i="95"/>
  <c r="FA26" i="95"/>
  <c r="FB26" i="95"/>
  <c r="FC26" i="95"/>
  <c r="FD26" i="95"/>
  <c r="FE26" i="95"/>
  <c r="FF26" i="95"/>
  <c r="FG26" i="95"/>
  <c r="FH26" i="95"/>
  <c r="FI26" i="95"/>
  <c r="FJ26" i="95"/>
  <c r="FK26" i="95"/>
  <c r="FL26" i="95"/>
  <c r="FM26" i="95"/>
  <c r="FN26" i="95"/>
  <c r="FO26" i="95"/>
  <c r="FP26" i="95"/>
  <c r="FQ26" i="95"/>
  <c r="FR26" i="95"/>
  <c r="FS26" i="95"/>
  <c r="FT26" i="95"/>
  <c r="FU26" i="95"/>
  <c r="FV26" i="95"/>
  <c r="FW26" i="95"/>
  <c r="FX26" i="95"/>
  <c r="FY26" i="95"/>
  <c r="FZ26" i="95"/>
  <c r="GA26" i="95"/>
  <c r="GB26" i="95"/>
  <c r="GC26" i="95"/>
  <c r="GD26" i="95"/>
  <c r="GE26" i="95"/>
  <c r="GF26" i="95"/>
  <c r="GG26" i="95"/>
  <c r="GH26" i="95"/>
  <c r="GI26" i="95"/>
  <c r="GJ26" i="95"/>
  <c r="GK26" i="95"/>
  <c r="GL26" i="95"/>
  <c r="GM26" i="95"/>
  <c r="GN26" i="95"/>
  <c r="GO26" i="95"/>
  <c r="GP26" i="95"/>
  <c r="GQ26" i="95"/>
  <c r="GR26" i="95"/>
  <c r="GS26" i="95"/>
  <c r="GT26" i="95"/>
  <c r="GU26" i="95"/>
  <c r="GV26" i="95"/>
  <c r="GW26" i="95"/>
  <c r="GX26" i="95"/>
  <c r="GY26" i="95"/>
  <c r="GZ26" i="95"/>
  <c r="HA26" i="95"/>
  <c r="HB26" i="95"/>
  <c r="HC26" i="95"/>
  <c r="HD26" i="95"/>
  <c r="HE26" i="95"/>
  <c r="HF26" i="95"/>
  <c r="HG26" i="95"/>
  <c r="HH26" i="95"/>
  <c r="HI26" i="95"/>
  <c r="HJ26" i="95"/>
  <c r="HK26" i="95"/>
  <c r="HL26" i="95"/>
  <c r="HM26" i="95"/>
  <c r="HN26" i="95"/>
  <c r="HO26" i="95"/>
  <c r="HP26" i="95"/>
  <c r="HQ26" i="95"/>
  <c r="G27" i="95"/>
  <c r="H27" i="95"/>
  <c r="I27" i="95"/>
  <c r="J27" i="95"/>
  <c r="K27" i="95"/>
  <c r="L27" i="95"/>
  <c r="M27" i="95"/>
  <c r="N27" i="95"/>
  <c r="O27" i="95"/>
  <c r="P27" i="95"/>
  <c r="Q27" i="95"/>
  <c r="R27" i="95"/>
  <c r="S27" i="95"/>
  <c r="T27" i="95"/>
  <c r="U27" i="95"/>
  <c r="V27" i="95"/>
  <c r="W27" i="95"/>
  <c r="X27" i="95"/>
  <c r="Y27" i="95"/>
  <c r="Z27" i="95"/>
  <c r="AA27" i="95"/>
  <c r="AB27" i="95"/>
  <c r="AC27" i="95"/>
  <c r="AD27" i="95"/>
  <c r="AE27" i="95"/>
  <c r="AF27" i="95"/>
  <c r="AG27" i="95"/>
  <c r="AH27" i="95"/>
  <c r="AI27" i="95"/>
  <c r="AJ27" i="95"/>
  <c r="AK27" i="95"/>
  <c r="AL27" i="95"/>
  <c r="AM27" i="95"/>
  <c r="AN27" i="95"/>
  <c r="AO27" i="95"/>
  <c r="AP27" i="95"/>
  <c r="AQ27" i="95"/>
  <c r="AR27" i="95"/>
  <c r="AS27" i="95"/>
  <c r="AT27" i="95"/>
  <c r="AU27" i="95"/>
  <c r="AV27" i="95"/>
  <c r="AW27" i="95"/>
  <c r="AX27" i="95"/>
  <c r="AY27" i="95"/>
  <c r="AZ27" i="95"/>
  <c r="BA27" i="95"/>
  <c r="BB27" i="95"/>
  <c r="BC27" i="95"/>
  <c r="BD27" i="95"/>
  <c r="BE27" i="95"/>
  <c r="BF27" i="95"/>
  <c r="BG27" i="95"/>
  <c r="BH27" i="95"/>
  <c r="BI27" i="95"/>
  <c r="BJ27" i="95"/>
  <c r="BK27" i="95"/>
  <c r="BL27" i="95"/>
  <c r="BM27" i="95"/>
  <c r="BN27" i="95"/>
  <c r="BO27" i="95"/>
  <c r="BP27" i="95"/>
  <c r="BQ27" i="95"/>
  <c r="BR27" i="95"/>
  <c r="BS27" i="95"/>
  <c r="BT27" i="95"/>
  <c r="BU27" i="95"/>
  <c r="BV27" i="95"/>
  <c r="BW27" i="95"/>
  <c r="BX27" i="95"/>
  <c r="BY27" i="95"/>
  <c r="BZ27" i="95"/>
  <c r="CA27" i="95"/>
  <c r="CB27" i="95"/>
  <c r="CC27" i="95"/>
  <c r="CD27" i="95"/>
  <c r="CE27" i="95"/>
  <c r="CF27" i="95"/>
  <c r="CG27" i="95"/>
  <c r="CH27" i="95"/>
  <c r="CI27" i="95"/>
  <c r="CJ27" i="95"/>
  <c r="CK27" i="95"/>
  <c r="CL27" i="95"/>
  <c r="CM27" i="95"/>
  <c r="CN27" i="95"/>
  <c r="CO27" i="95"/>
  <c r="CP27" i="95"/>
  <c r="CQ27" i="95"/>
  <c r="CR27" i="95"/>
  <c r="CS27" i="95"/>
  <c r="CT27" i="95"/>
  <c r="CU27" i="95"/>
  <c r="CV27" i="95"/>
  <c r="CW27" i="95"/>
  <c r="CX27" i="95"/>
  <c r="CY27" i="95"/>
  <c r="CZ27" i="95"/>
  <c r="DA27" i="95"/>
  <c r="DB27" i="95"/>
  <c r="DC27" i="95"/>
  <c r="DD27" i="95"/>
  <c r="DE27" i="95"/>
  <c r="DF27" i="95"/>
  <c r="DG27" i="95"/>
  <c r="DH27" i="95"/>
  <c r="DI27" i="95"/>
  <c r="DJ27" i="95"/>
  <c r="DK27" i="95"/>
  <c r="DL27" i="95"/>
  <c r="DM27" i="95"/>
  <c r="DN27" i="95"/>
  <c r="DO27" i="95"/>
  <c r="DP27" i="95"/>
  <c r="DQ27" i="95"/>
  <c r="DR27" i="95"/>
  <c r="DS27" i="95"/>
  <c r="DT27" i="95"/>
  <c r="DU27" i="95"/>
  <c r="DV27" i="95"/>
  <c r="DW27" i="95"/>
  <c r="DX27" i="95"/>
  <c r="DY27" i="95"/>
  <c r="DZ27" i="95"/>
  <c r="EA27" i="95"/>
  <c r="EB27" i="95"/>
  <c r="EC27" i="95"/>
  <c r="ED27" i="95"/>
  <c r="EE27" i="95"/>
  <c r="EF27" i="95"/>
  <c r="EG27" i="95"/>
  <c r="EH27" i="95"/>
  <c r="EI27" i="95"/>
  <c r="EJ27" i="95"/>
  <c r="EK27" i="95"/>
  <c r="EL27" i="95"/>
  <c r="EM27" i="95"/>
  <c r="EN27" i="95"/>
  <c r="EO27" i="95"/>
  <c r="EP27" i="95"/>
  <c r="EQ27" i="95"/>
  <c r="ER27" i="95"/>
  <c r="ES27" i="95"/>
  <c r="ET27" i="95"/>
  <c r="EU27" i="95"/>
  <c r="EV27" i="95"/>
  <c r="EW27" i="95"/>
  <c r="EX27" i="95"/>
  <c r="EY27" i="95"/>
  <c r="EZ27" i="95"/>
  <c r="FA27" i="95"/>
  <c r="FB27" i="95"/>
  <c r="FC27" i="95"/>
  <c r="FD27" i="95"/>
  <c r="FE27" i="95"/>
  <c r="FF27" i="95"/>
  <c r="FG27" i="95"/>
  <c r="FH27" i="95"/>
  <c r="FI27" i="95"/>
  <c r="FJ27" i="95"/>
  <c r="FK27" i="95"/>
  <c r="FL27" i="95"/>
  <c r="FM27" i="95"/>
  <c r="FN27" i="95"/>
  <c r="FO27" i="95"/>
  <c r="FP27" i="95"/>
  <c r="FQ27" i="95"/>
  <c r="FR27" i="95"/>
  <c r="FS27" i="95"/>
  <c r="FT27" i="95"/>
  <c r="FU27" i="95"/>
  <c r="FV27" i="95"/>
  <c r="FW27" i="95"/>
  <c r="FX27" i="95"/>
  <c r="FY27" i="95"/>
  <c r="FZ27" i="95"/>
  <c r="GA27" i="95"/>
  <c r="GB27" i="95"/>
  <c r="GC27" i="95"/>
  <c r="GD27" i="95"/>
  <c r="GE27" i="95"/>
  <c r="GF27" i="95"/>
  <c r="GG27" i="95"/>
  <c r="GH27" i="95"/>
  <c r="GI27" i="95"/>
  <c r="GJ27" i="95"/>
  <c r="GK27" i="95"/>
  <c r="GL27" i="95"/>
  <c r="GM27" i="95"/>
  <c r="GN27" i="95"/>
  <c r="GO27" i="95"/>
  <c r="GP27" i="95"/>
  <c r="GQ27" i="95"/>
  <c r="GR27" i="95"/>
  <c r="GS27" i="95"/>
  <c r="GT27" i="95"/>
  <c r="GU27" i="95"/>
  <c r="GV27" i="95"/>
  <c r="GW27" i="95"/>
  <c r="GX27" i="95"/>
  <c r="GY27" i="95"/>
  <c r="GZ27" i="95"/>
  <c r="HA27" i="95"/>
  <c r="HB27" i="95"/>
  <c r="HC27" i="95"/>
  <c r="HD27" i="95"/>
  <c r="HE27" i="95"/>
  <c r="HF27" i="95"/>
  <c r="HG27" i="95"/>
  <c r="HH27" i="95"/>
  <c r="HI27" i="95"/>
  <c r="HJ27" i="95"/>
  <c r="HK27" i="95"/>
  <c r="HL27" i="95"/>
  <c r="HM27" i="95"/>
  <c r="HN27" i="95"/>
  <c r="HO27" i="95"/>
  <c r="HP27" i="95"/>
  <c r="HQ27" i="95"/>
  <c r="G28" i="95"/>
  <c r="H28" i="95"/>
  <c r="I28" i="95"/>
  <c r="J28" i="95"/>
  <c r="K28" i="95"/>
  <c r="L28" i="95"/>
  <c r="M28" i="95"/>
  <c r="N28" i="95"/>
  <c r="O28" i="95"/>
  <c r="P28" i="95"/>
  <c r="Q28" i="95"/>
  <c r="R28" i="95"/>
  <c r="S28" i="95"/>
  <c r="T28" i="95"/>
  <c r="U28" i="95"/>
  <c r="V28" i="95"/>
  <c r="W28" i="95"/>
  <c r="X28" i="95"/>
  <c r="Y28" i="95"/>
  <c r="Z28" i="95"/>
  <c r="AA28" i="95"/>
  <c r="AB28" i="95"/>
  <c r="AC28" i="95"/>
  <c r="AD28" i="95"/>
  <c r="AE28" i="95"/>
  <c r="AF28" i="95"/>
  <c r="AG28" i="95"/>
  <c r="AH28" i="95"/>
  <c r="AI28" i="95"/>
  <c r="AJ28" i="95"/>
  <c r="AK28" i="95"/>
  <c r="AL28" i="95"/>
  <c r="AM28" i="95"/>
  <c r="AN28" i="95"/>
  <c r="AO28" i="95"/>
  <c r="AP28" i="95"/>
  <c r="AQ28" i="95"/>
  <c r="AR28" i="95"/>
  <c r="AS28" i="95"/>
  <c r="AT28" i="95"/>
  <c r="AU28" i="95"/>
  <c r="AV28" i="95"/>
  <c r="AW28" i="95"/>
  <c r="AX28" i="95"/>
  <c r="AY28" i="95"/>
  <c r="AZ28" i="95"/>
  <c r="BA28" i="95"/>
  <c r="BB28" i="95"/>
  <c r="BC28" i="95"/>
  <c r="BD28" i="95"/>
  <c r="BE28" i="95"/>
  <c r="BF28" i="95"/>
  <c r="BG28" i="95"/>
  <c r="BH28" i="95"/>
  <c r="BI28" i="95"/>
  <c r="BJ28" i="95"/>
  <c r="BK28" i="95"/>
  <c r="BL28" i="95"/>
  <c r="BM28" i="95"/>
  <c r="BN28" i="95"/>
  <c r="BO28" i="95"/>
  <c r="BP28" i="95"/>
  <c r="BQ28" i="95"/>
  <c r="BR28" i="95"/>
  <c r="BS28" i="95"/>
  <c r="BT28" i="95"/>
  <c r="BU28" i="95"/>
  <c r="BV28" i="95"/>
  <c r="BW28" i="95"/>
  <c r="BX28" i="95"/>
  <c r="BY28" i="95"/>
  <c r="BZ28" i="95"/>
  <c r="CA28" i="95"/>
  <c r="CB28" i="95"/>
  <c r="CC28" i="95"/>
  <c r="CD28" i="95"/>
  <c r="CE28" i="95"/>
  <c r="CF28" i="95"/>
  <c r="CG28" i="95"/>
  <c r="CH28" i="95"/>
  <c r="CI28" i="95"/>
  <c r="CJ28" i="95"/>
  <c r="CK28" i="95"/>
  <c r="CL28" i="95"/>
  <c r="CM28" i="95"/>
  <c r="CN28" i="95"/>
  <c r="CO28" i="95"/>
  <c r="CP28" i="95"/>
  <c r="CQ28" i="95"/>
  <c r="CR28" i="95"/>
  <c r="CS28" i="95"/>
  <c r="CT28" i="95"/>
  <c r="CU28" i="95"/>
  <c r="CV28" i="95"/>
  <c r="CW28" i="95"/>
  <c r="CX28" i="95"/>
  <c r="CY28" i="95"/>
  <c r="CZ28" i="95"/>
  <c r="DA28" i="95"/>
  <c r="DB28" i="95"/>
  <c r="DC28" i="95"/>
  <c r="DD28" i="95"/>
  <c r="DE28" i="95"/>
  <c r="DF28" i="95"/>
  <c r="DG28" i="95"/>
  <c r="DH28" i="95"/>
  <c r="DI28" i="95"/>
  <c r="DJ28" i="95"/>
  <c r="DK28" i="95"/>
  <c r="DL28" i="95"/>
  <c r="DM28" i="95"/>
  <c r="DN28" i="95"/>
  <c r="DO28" i="95"/>
  <c r="DP28" i="95"/>
  <c r="DQ28" i="95"/>
  <c r="DR28" i="95"/>
  <c r="DS28" i="95"/>
  <c r="DT28" i="95"/>
  <c r="DU28" i="95"/>
  <c r="DV28" i="95"/>
  <c r="DW28" i="95"/>
  <c r="DX28" i="95"/>
  <c r="DY28" i="95"/>
  <c r="DZ28" i="95"/>
  <c r="EA28" i="95"/>
  <c r="EB28" i="95"/>
  <c r="EC28" i="95"/>
  <c r="ED28" i="95"/>
  <c r="EE28" i="95"/>
  <c r="EF28" i="95"/>
  <c r="EG28" i="95"/>
  <c r="EH28" i="95"/>
  <c r="EI28" i="95"/>
  <c r="EJ28" i="95"/>
  <c r="EK28" i="95"/>
  <c r="EL28" i="95"/>
  <c r="EM28" i="95"/>
  <c r="EN28" i="95"/>
  <c r="EO28" i="95"/>
  <c r="EP28" i="95"/>
  <c r="EQ28" i="95"/>
  <c r="ER28" i="95"/>
  <c r="ES28" i="95"/>
  <c r="ET28" i="95"/>
  <c r="EU28" i="95"/>
  <c r="EV28" i="95"/>
  <c r="EW28" i="95"/>
  <c r="EX28" i="95"/>
  <c r="EY28" i="95"/>
  <c r="EZ28" i="95"/>
  <c r="FA28" i="95"/>
  <c r="FB28" i="95"/>
  <c r="FC28" i="95"/>
  <c r="FD28" i="95"/>
  <c r="FE28" i="95"/>
  <c r="FF28" i="95"/>
  <c r="FG28" i="95"/>
  <c r="FH28" i="95"/>
  <c r="FI28" i="95"/>
  <c r="FJ28" i="95"/>
  <c r="FK28" i="95"/>
  <c r="FL28" i="95"/>
  <c r="FM28" i="95"/>
  <c r="FN28" i="95"/>
  <c r="FO28" i="95"/>
  <c r="FP28" i="95"/>
  <c r="FQ28" i="95"/>
  <c r="FR28" i="95"/>
  <c r="FS28" i="95"/>
  <c r="FT28" i="95"/>
  <c r="FU28" i="95"/>
  <c r="FV28" i="95"/>
  <c r="FW28" i="95"/>
  <c r="FX28" i="95"/>
  <c r="FY28" i="95"/>
  <c r="FZ28" i="95"/>
  <c r="GA28" i="95"/>
  <c r="GB28" i="95"/>
  <c r="GC28" i="95"/>
  <c r="GD28" i="95"/>
  <c r="GE28" i="95"/>
  <c r="GF28" i="95"/>
  <c r="GG28" i="95"/>
  <c r="GH28" i="95"/>
  <c r="GI28" i="95"/>
  <c r="GJ28" i="95"/>
  <c r="GK28" i="95"/>
  <c r="GL28" i="95"/>
  <c r="GM28" i="95"/>
  <c r="GN28" i="95"/>
  <c r="GO28" i="95"/>
  <c r="GP28" i="95"/>
  <c r="GQ28" i="95"/>
  <c r="GR28" i="95"/>
  <c r="GS28" i="95"/>
  <c r="GT28" i="95"/>
  <c r="GU28" i="95"/>
  <c r="GV28" i="95"/>
  <c r="GW28" i="95"/>
  <c r="GX28" i="95"/>
  <c r="GY28" i="95"/>
  <c r="GZ28" i="95"/>
  <c r="HA28" i="95"/>
  <c r="HB28" i="95"/>
  <c r="HC28" i="95"/>
  <c r="HD28" i="95"/>
  <c r="HE28" i="95"/>
  <c r="HF28" i="95"/>
  <c r="HG28" i="95"/>
  <c r="HH28" i="95"/>
  <c r="HI28" i="95"/>
  <c r="HJ28" i="95"/>
  <c r="HK28" i="95"/>
  <c r="HL28" i="95"/>
  <c r="HM28" i="95"/>
  <c r="HN28" i="95"/>
  <c r="HO28" i="95"/>
  <c r="HP28" i="95"/>
  <c r="HQ28" i="95"/>
  <c r="G29" i="95"/>
  <c r="H29" i="95"/>
  <c r="I29" i="95"/>
  <c r="J29" i="95"/>
  <c r="K29" i="95"/>
  <c r="L29" i="95"/>
  <c r="M29" i="95"/>
  <c r="N29" i="95"/>
  <c r="O29" i="95"/>
  <c r="P29" i="95"/>
  <c r="Q29" i="95"/>
  <c r="R29" i="95"/>
  <c r="S29" i="95"/>
  <c r="T29" i="95"/>
  <c r="U29" i="95"/>
  <c r="V29" i="95"/>
  <c r="W29" i="95"/>
  <c r="X29" i="95"/>
  <c r="Y29" i="95"/>
  <c r="Z29" i="95"/>
  <c r="AA29" i="95"/>
  <c r="AB29" i="95"/>
  <c r="AC29" i="95"/>
  <c r="AD29" i="95"/>
  <c r="AE29" i="95"/>
  <c r="AF29" i="95"/>
  <c r="AG29" i="95"/>
  <c r="AH29" i="95"/>
  <c r="AI29" i="95"/>
  <c r="AJ29" i="95"/>
  <c r="AK29" i="95"/>
  <c r="AL29" i="95"/>
  <c r="AM29" i="95"/>
  <c r="AN29" i="95"/>
  <c r="AO29" i="95"/>
  <c r="AP29" i="95"/>
  <c r="AQ29" i="95"/>
  <c r="AR29" i="95"/>
  <c r="AS29" i="95"/>
  <c r="AT29" i="95"/>
  <c r="AU29" i="95"/>
  <c r="AV29" i="95"/>
  <c r="AW29" i="95"/>
  <c r="AX29" i="95"/>
  <c r="AY29" i="95"/>
  <c r="AZ29" i="95"/>
  <c r="BA29" i="95"/>
  <c r="BB29" i="95"/>
  <c r="BC29" i="95"/>
  <c r="BD29" i="95"/>
  <c r="BE29" i="95"/>
  <c r="BF29" i="95"/>
  <c r="BG29" i="95"/>
  <c r="BH29" i="95"/>
  <c r="BI29" i="95"/>
  <c r="BJ29" i="95"/>
  <c r="BK29" i="95"/>
  <c r="BL29" i="95"/>
  <c r="BM29" i="95"/>
  <c r="BN29" i="95"/>
  <c r="BO29" i="95"/>
  <c r="BP29" i="95"/>
  <c r="BQ29" i="95"/>
  <c r="BR29" i="95"/>
  <c r="BS29" i="95"/>
  <c r="BT29" i="95"/>
  <c r="BU29" i="95"/>
  <c r="BV29" i="95"/>
  <c r="BW29" i="95"/>
  <c r="BX29" i="95"/>
  <c r="BY29" i="95"/>
  <c r="BZ29" i="95"/>
  <c r="CA29" i="95"/>
  <c r="CB29" i="95"/>
  <c r="CC29" i="95"/>
  <c r="CD29" i="95"/>
  <c r="CE29" i="95"/>
  <c r="CF29" i="95"/>
  <c r="CG29" i="95"/>
  <c r="CH29" i="95"/>
  <c r="CI29" i="95"/>
  <c r="CJ29" i="95"/>
  <c r="CK29" i="95"/>
  <c r="CL29" i="95"/>
  <c r="CM29" i="95"/>
  <c r="CN29" i="95"/>
  <c r="CO29" i="95"/>
  <c r="CP29" i="95"/>
  <c r="CQ29" i="95"/>
  <c r="CR29" i="95"/>
  <c r="CS29" i="95"/>
  <c r="CT29" i="95"/>
  <c r="CU29" i="95"/>
  <c r="CV29" i="95"/>
  <c r="CW29" i="95"/>
  <c r="CX29" i="95"/>
  <c r="CY29" i="95"/>
  <c r="CZ29" i="95"/>
  <c r="DA29" i="95"/>
  <c r="DB29" i="95"/>
  <c r="DC29" i="95"/>
  <c r="DD29" i="95"/>
  <c r="DE29" i="95"/>
  <c r="DF29" i="95"/>
  <c r="DG29" i="95"/>
  <c r="DH29" i="95"/>
  <c r="DI29" i="95"/>
  <c r="DJ29" i="95"/>
  <c r="DK29" i="95"/>
  <c r="DL29" i="95"/>
  <c r="DM29" i="95"/>
  <c r="DN29" i="95"/>
  <c r="DO29" i="95"/>
  <c r="DP29" i="95"/>
  <c r="DQ29" i="95"/>
  <c r="DR29" i="95"/>
  <c r="DS29" i="95"/>
  <c r="DT29" i="95"/>
  <c r="DU29" i="95"/>
  <c r="DV29" i="95"/>
  <c r="DW29" i="95"/>
  <c r="DX29" i="95"/>
  <c r="DY29" i="95"/>
  <c r="DZ29" i="95"/>
  <c r="EA29" i="95"/>
  <c r="EB29" i="95"/>
  <c r="EC29" i="95"/>
  <c r="ED29" i="95"/>
  <c r="EE29" i="95"/>
  <c r="EF29" i="95"/>
  <c r="EG29" i="95"/>
  <c r="EH29" i="95"/>
  <c r="EI29" i="95"/>
  <c r="EJ29" i="95"/>
  <c r="EK29" i="95"/>
  <c r="EL29" i="95"/>
  <c r="EM29" i="95"/>
  <c r="EN29" i="95"/>
  <c r="EO29" i="95"/>
  <c r="EP29" i="95"/>
  <c r="EQ29" i="95"/>
  <c r="ER29" i="95"/>
  <c r="ES29" i="95"/>
  <c r="ET29" i="95"/>
  <c r="EU29" i="95"/>
  <c r="EV29" i="95"/>
  <c r="EW29" i="95"/>
  <c r="EX29" i="95"/>
  <c r="EY29" i="95"/>
  <c r="EZ29" i="95"/>
  <c r="FA29" i="95"/>
  <c r="FB29" i="95"/>
  <c r="FC29" i="95"/>
  <c r="FD29" i="95"/>
  <c r="FE29" i="95"/>
  <c r="FF29" i="95"/>
  <c r="FG29" i="95"/>
  <c r="FH29" i="95"/>
  <c r="FI29" i="95"/>
  <c r="FJ29" i="95"/>
  <c r="FK29" i="95"/>
  <c r="FL29" i="95"/>
  <c r="FM29" i="95"/>
  <c r="FN29" i="95"/>
  <c r="FO29" i="95"/>
  <c r="FP29" i="95"/>
  <c r="FQ29" i="95"/>
  <c r="FR29" i="95"/>
  <c r="FS29" i="95"/>
  <c r="FT29" i="95"/>
  <c r="FU29" i="95"/>
  <c r="FV29" i="95"/>
  <c r="FW29" i="95"/>
  <c r="FX29" i="95"/>
  <c r="FY29" i="95"/>
  <c r="FZ29" i="95"/>
  <c r="GA29" i="95"/>
  <c r="GB29" i="95"/>
  <c r="GC29" i="95"/>
  <c r="GD29" i="95"/>
  <c r="GE29" i="95"/>
  <c r="GF29" i="95"/>
  <c r="GG29" i="95"/>
  <c r="GH29" i="95"/>
  <c r="GI29" i="95"/>
  <c r="GJ29" i="95"/>
  <c r="GK29" i="95"/>
  <c r="GL29" i="95"/>
  <c r="GM29" i="95"/>
  <c r="GN29" i="95"/>
  <c r="GO29" i="95"/>
  <c r="GP29" i="95"/>
  <c r="GQ29" i="95"/>
  <c r="GR29" i="95"/>
  <c r="GS29" i="95"/>
  <c r="GT29" i="95"/>
  <c r="GU29" i="95"/>
  <c r="GV29" i="95"/>
  <c r="GW29" i="95"/>
  <c r="GX29" i="95"/>
  <c r="GY29" i="95"/>
  <c r="GZ29" i="95"/>
  <c r="HA29" i="95"/>
  <c r="HB29" i="95"/>
  <c r="HC29" i="95"/>
  <c r="HD29" i="95"/>
  <c r="HE29" i="95"/>
  <c r="HF29" i="95"/>
  <c r="HG29" i="95"/>
  <c r="HH29" i="95"/>
  <c r="HI29" i="95"/>
  <c r="HJ29" i="95"/>
  <c r="HK29" i="95"/>
  <c r="HL29" i="95"/>
  <c r="HM29" i="95"/>
  <c r="HN29" i="95"/>
  <c r="HO29" i="95"/>
  <c r="HP29" i="95"/>
  <c r="HQ29" i="95"/>
  <c r="G30" i="95"/>
  <c r="H30" i="95"/>
  <c r="I30" i="95"/>
  <c r="J30" i="95"/>
  <c r="K30" i="95"/>
  <c r="L30" i="95"/>
  <c r="M30" i="95"/>
  <c r="N30" i="95"/>
  <c r="O30" i="95"/>
  <c r="P30" i="95"/>
  <c r="Q30" i="95"/>
  <c r="R30" i="95"/>
  <c r="S30" i="95"/>
  <c r="T30" i="95"/>
  <c r="U30" i="95"/>
  <c r="V30" i="95"/>
  <c r="W30" i="95"/>
  <c r="X30" i="95"/>
  <c r="Y30" i="95"/>
  <c r="Z30" i="95"/>
  <c r="AA30" i="95"/>
  <c r="AB30" i="95"/>
  <c r="AC30" i="95"/>
  <c r="AD30" i="95"/>
  <c r="AE30" i="95"/>
  <c r="AF30" i="95"/>
  <c r="AG30" i="95"/>
  <c r="AH30" i="95"/>
  <c r="AI30" i="95"/>
  <c r="AJ30" i="95"/>
  <c r="AK30" i="95"/>
  <c r="AL30" i="95"/>
  <c r="AM30" i="95"/>
  <c r="AN30" i="95"/>
  <c r="AO30" i="95"/>
  <c r="AP30" i="95"/>
  <c r="AQ30" i="95"/>
  <c r="AR30" i="95"/>
  <c r="AS30" i="95"/>
  <c r="AT30" i="95"/>
  <c r="AU30" i="95"/>
  <c r="AV30" i="95"/>
  <c r="AW30" i="95"/>
  <c r="AX30" i="95"/>
  <c r="AY30" i="95"/>
  <c r="AZ30" i="95"/>
  <c r="BA30" i="95"/>
  <c r="BB30" i="95"/>
  <c r="BC30" i="95"/>
  <c r="BD30" i="95"/>
  <c r="BE30" i="95"/>
  <c r="BF30" i="95"/>
  <c r="BG30" i="95"/>
  <c r="BH30" i="95"/>
  <c r="BI30" i="95"/>
  <c r="BJ30" i="95"/>
  <c r="BK30" i="95"/>
  <c r="BL30" i="95"/>
  <c r="BM30" i="95"/>
  <c r="BN30" i="95"/>
  <c r="BO30" i="95"/>
  <c r="BP30" i="95"/>
  <c r="BQ30" i="95"/>
  <c r="BR30" i="95"/>
  <c r="BS30" i="95"/>
  <c r="BT30" i="95"/>
  <c r="BU30" i="95"/>
  <c r="BV30" i="95"/>
  <c r="BW30" i="95"/>
  <c r="BX30" i="95"/>
  <c r="BY30" i="95"/>
  <c r="BZ30" i="95"/>
  <c r="CA30" i="95"/>
  <c r="CB30" i="95"/>
  <c r="CC30" i="95"/>
  <c r="CD30" i="95"/>
  <c r="CE30" i="95"/>
  <c r="CF30" i="95"/>
  <c r="CG30" i="95"/>
  <c r="CH30" i="95"/>
  <c r="CI30" i="95"/>
  <c r="CJ30" i="95"/>
  <c r="CK30" i="95"/>
  <c r="CL30" i="95"/>
  <c r="CM30" i="95"/>
  <c r="CN30" i="95"/>
  <c r="CO30" i="95"/>
  <c r="CP30" i="95"/>
  <c r="CQ30" i="95"/>
  <c r="CR30" i="95"/>
  <c r="CS30" i="95"/>
  <c r="CT30" i="95"/>
  <c r="CU30" i="95"/>
  <c r="CV30" i="95"/>
  <c r="CW30" i="95"/>
  <c r="CX30" i="95"/>
  <c r="CY30" i="95"/>
  <c r="CZ30" i="95"/>
  <c r="DA30" i="95"/>
  <c r="DB30" i="95"/>
  <c r="DC30" i="95"/>
  <c r="DD30" i="95"/>
  <c r="DE30" i="95"/>
  <c r="DF30" i="95"/>
  <c r="DG30" i="95"/>
  <c r="DH30" i="95"/>
  <c r="DI30" i="95"/>
  <c r="DJ30" i="95"/>
  <c r="DK30" i="95"/>
  <c r="DL30" i="95"/>
  <c r="DM30" i="95"/>
  <c r="DN30" i="95"/>
  <c r="DO30" i="95"/>
  <c r="DP30" i="95"/>
  <c r="DQ30" i="95"/>
  <c r="DR30" i="95"/>
  <c r="DS30" i="95"/>
  <c r="DT30" i="95"/>
  <c r="DU30" i="95"/>
  <c r="DV30" i="95"/>
  <c r="DW30" i="95"/>
  <c r="DX30" i="95"/>
  <c r="DY30" i="95"/>
  <c r="DZ30" i="95"/>
  <c r="EA30" i="95"/>
  <c r="EB30" i="95"/>
  <c r="EC30" i="95"/>
  <c r="ED30" i="95"/>
  <c r="EE30" i="95"/>
  <c r="EF30" i="95"/>
  <c r="EG30" i="95"/>
  <c r="EH30" i="95"/>
  <c r="EI30" i="95"/>
  <c r="EJ30" i="95"/>
  <c r="EK30" i="95"/>
  <c r="EL30" i="95"/>
  <c r="EM30" i="95"/>
  <c r="EN30" i="95"/>
  <c r="EO30" i="95"/>
  <c r="EP30" i="95"/>
  <c r="EQ30" i="95"/>
  <c r="ER30" i="95"/>
  <c r="ES30" i="95"/>
  <c r="ET30" i="95"/>
  <c r="EU30" i="95"/>
  <c r="EV30" i="95"/>
  <c r="EW30" i="95"/>
  <c r="EX30" i="95"/>
  <c r="EY30" i="95"/>
  <c r="EZ30" i="95"/>
  <c r="FA30" i="95"/>
  <c r="FB30" i="95"/>
  <c r="FC30" i="95"/>
  <c r="FD30" i="95"/>
  <c r="FE30" i="95"/>
  <c r="FF30" i="95"/>
  <c r="FG30" i="95"/>
  <c r="FH30" i="95"/>
  <c r="FI30" i="95"/>
  <c r="FJ30" i="95"/>
  <c r="FK30" i="95"/>
  <c r="FL30" i="95"/>
  <c r="FM30" i="95"/>
  <c r="FN30" i="95"/>
  <c r="FO30" i="95"/>
  <c r="FP30" i="95"/>
  <c r="FQ30" i="95"/>
  <c r="FR30" i="95"/>
  <c r="FS30" i="95"/>
  <c r="FT30" i="95"/>
  <c r="FU30" i="95"/>
  <c r="FV30" i="95"/>
  <c r="FW30" i="95"/>
  <c r="FX30" i="95"/>
  <c r="FY30" i="95"/>
  <c r="FZ30" i="95"/>
  <c r="GA30" i="95"/>
  <c r="GB30" i="95"/>
  <c r="GC30" i="95"/>
  <c r="GD30" i="95"/>
  <c r="GE30" i="95"/>
  <c r="GF30" i="95"/>
  <c r="GG30" i="95"/>
  <c r="GH30" i="95"/>
  <c r="GI30" i="95"/>
  <c r="GJ30" i="95"/>
  <c r="GK30" i="95"/>
  <c r="GL30" i="95"/>
  <c r="GM30" i="95"/>
  <c r="GN30" i="95"/>
  <c r="GO30" i="95"/>
  <c r="GP30" i="95"/>
  <c r="GQ30" i="95"/>
  <c r="GR30" i="95"/>
  <c r="GS30" i="95"/>
  <c r="GT30" i="95"/>
  <c r="GU30" i="95"/>
  <c r="GV30" i="95"/>
  <c r="GW30" i="95"/>
  <c r="GX30" i="95"/>
  <c r="GY30" i="95"/>
  <c r="GZ30" i="95"/>
  <c r="HA30" i="95"/>
  <c r="HB30" i="95"/>
  <c r="HC30" i="95"/>
  <c r="HD30" i="95"/>
  <c r="HE30" i="95"/>
  <c r="HF30" i="95"/>
  <c r="HG30" i="95"/>
  <c r="HH30" i="95"/>
  <c r="HI30" i="95"/>
  <c r="HJ30" i="95"/>
  <c r="HK30" i="95"/>
  <c r="HL30" i="95"/>
  <c r="HM30" i="95"/>
  <c r="HN30" i="95"/>
  <c r="HO30" i="95"/>
  <c r="HP30" i="95"/>
  <c r="HQ30" i="95"/>
  <c r="G31" i="95"/>
  <c r="H31" i="95"/>
  <c r="I31" i="95"/>
  <c r="J31" i="95"/>
  <c r="K31" i="95"/>
  <c r="L31" i="95"/>
  <c r="M31" i="95"/>
  <c r="N31" i="95"/>
  <c r="O31" i="95"/>
  <c r="P31" i="95"/>
  <c r="Q31" i="95"/>
  <c r="R31" i="95"/>
  <c r="S31" i="95"/>
  <c r="T31" i="95"/>
  <c r="U31" i="95"/>
  <c r="V31" i="95"/>
  <c r="W31" i="95"/>
  <c r="X31" i="95"/>
  <c r="Y31" i="95"/>
  <c r="Z31" i="95"/>
  <c r="AA31" i="95"/>
  <c r="AB31" i="95"/>
  <c r="AC31" i="95"/>
  <c r="AD31" i="95"/>
  <c r="AE31" i="95"/>
  <c r="AF31" i="95"/>
  <c r="AG31" i="95"/>
  <c r="AH31" i="95"/>
  <c r="AI31" i="95"/>
  <c r="AJ31" i="95"/>
  <c r="AK31" i="95"/>
  <c r="AL31" i="95"/>
  <c r="AM31" i="95"/>
  <c r="AN31" i="95"/>
  <c r="AO31" i="95"/>
  <c r="AP31" i="95"/>
  <c r="AQ31" i="95"/>
  <c r="AR31" i="95"/>
  <c r="AS31" i="95"/>
  <c r="AT31" i="95"/>
  <c r="AU31" i="95"/>
  <c r="AV31" i="95"/>
  <c r="AW31" i="95"/>
  <c r="AX31" i="95"/>
  <c r="AY31" i="95"/>
  <c r="AZ31" i="95"/>
  <c r="BA31" i="95"/>
  <c r="BB31" i="95"/>
  <c r="BC31" i="95"/>
  <c r="BD31" i="95"/>
  <c r="BE31" i="95"/>
  <c r="BF31" i="95"/>
  <c r="BG31" i="95"/>
  <c r="BH31" i="95"/>
  <c r="BI31" i="95"/>
  <c r="BJ31" i="95"/>
  <c r="BK31" i="95"/>
  <c r="BL31" i="95"/>
  <c r="BM31" i="95"/>
  <c r="BN31" i="95"/>
  <c r="BO31" i="95"/>
  <c r="BP31" i="95"/>
  <c r="BQ31" i="95"/>
  <c r="BR31" i="95"/>
  <c r="BS31" i="95"/>
  <c r="BT31" i="95"/>
  <c r="BU31" i="95"/>
  <c r="BV31" i="95"/>
  <c r="BW31" i="95"/>
  <c r="BX31" i="95"/>
  <c r="BY31" i="95"/>
  <c r="BZ31" i="95"/>
  <c r="CA31" i="95"/>
  <c r="CB31" i="95"/>
  <c r="CC31" i="95"/>
  <c r="CD31" i="95"/>
  <c r="CE31" i="95"/>
  <c r="CF31" i="95"/>
  <c r="CG31" i="95"/>
  <c r="CH31" i="95"/>
  <c r="CI31" i="95"/>
  <c r="CJ31" i="95"/>
  <c r="CK31" i="95"/>
  <c r="CL31" i="95"/>
  <c r="CM31" i="95"/>
  <c r="CN31" i="95"/>
  <c r="CO31" i="95"/>
  <c r="CP31" i="95"/>
  <c r="CQ31" i="95"/>
  <c r="CR31" i="95"/>
  <c r="CS31" i="95"/>
  <c r="CT31" i="95"/>
  <c r="CU31" i="95"/>
  <c r="CV31" i="95"/>
  <c r="CW31" i="95"/>
  <c r="CX31" i="95"/>
  <c r="CY31" i="95"/>
  <c r="CZ31" i="95"/>
  <c r="DA31" i="95"/>
  <c r="DB31" i="95"/>
  <c r="DC31" i="95"/>
  <c r="DD31" i="95"/>
  <c r="DE31" i="95"/>
  <c r="DF31" i="95"/>
  <c r="DG31" i="95"/>
  <c r="DH31" i="95"/>
  <c r="DI31" i="95"/>
  <c r="DJ31" i="95"/>
  <c r="DK31" i="95"/>
  <c r="DL31" i="95"/>
  <c r="DM31" i="95"/>
  <c r="DN31" i="95"/>
  <c r="DO31" i="95"/>
  <c r="DP31" i="95"/>
  <c r="DQ31" i="95"/>
  <c r="DR31" i="95"/>
  <c r="DS31" i="95"/>
  <c r="DT31" i="95"/>
  <c r="DU31" i="95"/>
  <c r="DV31" i="95"/>
  <c r="DW31" i="95"/>
  <c r="DX31" i="95"/>
  <c r="DY31" i="95"/>
  <c r="DZ31" i="95"/>
  <c r="EA31" i="95"/>
  <c r="EB31" i="95"/>
  <c r="EC31" i="95"/>
  <c r="ED31" i="95"/>
  <c r="EE31" i="95"/>
  <c r="EF31" i="95"/>
  <c r="EG31" i="95"/>
  <c r="EH31" i="95"/>
  <c r="EI31" i="95"/>
  <c r="EJ31" i="95"/>
  <c r="EK31" i="95"/>
  <c r="EL31" i="95"/>
  <c r="EM31" i="95"/>
  <c r="EN31" i="95"/>
  <c r="EO31" i="95"/>
  <c r="EP31" i="95"/>
  <c r="EQ31" i="95"/>
  <c r="ER31" i="95"/>
  <c r="ES31" i="95"/>
  <c r="ET31" i="95"/>
  <c r="EU31" i="95"/>
  <c r="EV31" i="95"/>
  <c r="EW31" i="95"/>
  <c r="EX31" i="95"/>
  <c r="EY31" i="95"/>
  <c r="EZ31" i="95"/>
  <c r="FA31" i="95"/>
  <c r="FB31" i="95"/>
  <c r="FC31" i="95"/>
  <c r="FD31" i="95"/>
  <c r="FE31" i="95"/>
  <c r="FF31" i="95"/>
  <c r="FG31" i="95"/>
  <c r="FH31" i="95"/>
  <c r="FI31" i="95"/>
  <c r="FJ31" i="95"/>
  <c r="FK31" i="95"/>
  <c r="FL31" i="95"/>
  <c r="FM31" i="95"/>
  <c r="FN31" i="95"/>
  <c r="FO31" i="95"/>
  <c r="FP31" i="95"/>
  <c r="FQ31" i="95"/>
  <c r="FR31" i="95"/>
  <c r="FS31" i="95"/>
  <c r="FT31" i="95"/>
  <c r="FU31" i="95"/>
  <c r="FV31" i="95"/>
  <c r="FW31" i="95"/>
  <c r="FX31" i="95"/>
  <c r="FY31" i="95"/>
  <c r="FZ31" i="95"/>
  <c r="GA31" i="95"/>
  <c r="GB31" i="95"/>
  <c r="GC31" i="95"/>
  <c r="GD31" i="95"/>
  <c r="GE31" i="95"/>
  <c r="GF31" i="95"/>
  <c r="GG31" i="95"/>
  <c r="GH31" i="95"/>
  <c r="GI31" i="95"/>
  <c r="GJ31" i="95"/>
  <c r="GK31" i="95"/>
  <c r="GL31" i="95"/>
  <c r="GM31" i="95"/>
  <c r="GN31" i="95"/>
  <c r="GO31" i="95"/>
  <c r="GP31" i="95"/>
  <c r="GQ31" i="95"/>
  <c r="GR31" i="95"/>
  <c r="GS31" i="95"/>
  <c r="GT31" i="95"/>
  <c r="GU31" i="95"/>
  <c r="GV31" i="95"/>
  <c r="GW31" i="95"/>
  <c r="GX31" i="95"/>
  <c r="GY31" i="95"/>
  <c r="GZ31" i="95"/>
  <c r="HA31" i="95"/>
  <c r="HB31" i="95"/>
  <c r="HC31" i="95"/>
  <c r="HD31" i="95"/>
  <c r="HE31" i="95"/>
  <c r="HF31" i="95"/>
  <c r="HG31" i="95"/>
  <c r="HH31" i="95"/>
  <c r="HI31" i="95"/>
  <c r="HJ31" i="95"/>
  <c r="HK31" i="95"/>
  <c r="HL31" i="95"/>
  <c r="HM31" i="95"/>
  <c r="HN31" i="95"/>
  <c r="HO31" i="95"/>
  <c r="HP31" i="95"/>
  <c r="HQ31" i="95"/>
  <c r="G32" i="95"/>
  <c r="H32" i="95"/>
  <c r="I32" i="95"/>
  <c r="J32" i="95"/>
  <c r="K32" i="95"/>
  <c r="L32" i="95"/>
  <c r="M32" i="95"/>
  <c r="N32" i="95"/>
  <c r="O32" i="95"/>
  <c r="P32" i="95"/>
  <c r="Q32" i="95"/>
  <c r="R32" i="95"/>
  <c r="S32" i="95"/>
  <c r="T32" i="95"/>
  <c r="U32" i="95"/>
  <c r="V32" i="95"/>
  <c r="W32" i="95"/>
  <c r="X32" i="95"/>
  <c r="Y32" i="95"/>
  <c r="Z32" i="95"/>
  <c r="AA32" i="95"/>
  <c r="AB32" i="95"/>
  <c r="AC32" i="95"/>
  <c r="AD32" i="95"/>
  <c r="AE32" i="95"/>
  <c r="AF32" i="95"/>
  <c r="AG32" i="95"/>
  <c r="AH32" i="95"/>
  <c r="AI32" i="95"/>
  <c r="AJ32" i="95"/>
  <c r="AK32" i="95"/>
  <c r="AL32" i="95"/>
  <c r="AM32" i="95"/>
  <c r="AN32" i="95"/>
  <c r="AO32" i="95"/>
  <c r="AP32" i="95"/>
  <c r="AQ32" i="95"/>
  <c r="AR32" i="95"/>
  <c r="AS32" i="95"/>
  <c r="AT32" i="95"/>
  <c r="AU32" i="95"/>
  <c r="AV32" i="95"/>
  <c r="AW32" i="95"/>
  <c r="AX32" i="95"/>
  <c r="AY32" i="95"/>
  <c r="AZ32" i="95"/>
  <c r="BA32" i="95"/>
  <c r="BB32" i="95"/>
  <c r="BC32" i="95"/>
  <c r="BD32" i="95"/>
  <c r="BE32" i="95"/>
  <c r="BF32" i="95"/>
  <c r="BG32" i="95"/>
  <c r="BH32" i="95"/>
  <c r="BI32" i="95"/>
  <c r="BJ32" i="95"/>
  <c r="BK32" i="95"/>
  <c r="BL32" i="95"/>
  <c r="BM32" i="95"/>
  <c r="BN32" i="95"/>
  <c r="BO32" i="95"/>
  <c r="BP32" i="95"/>
  <c r="BQ32" i="95"/>
  <c r="BR32" i="95"/>
  <c r="BS32" i="95"/>
  <c r="BT32" i="95"/>
  <c r="BU32" i="95"/>
  <c r="BV32" i="95"/>
  <c r="BW32" i="95"/>
  <c r="BX32" i="95"/>
  <c r="BY32" i="95"/>
  <c r="BZ32" i="95"/>
  <c r="CA32" i="95"/>
  <c r="CB32" i="95"/>
  <c r="CC32" i="95"/>
  <c r="CD32" i="95"/>
  <c r="CE32" i="95"/>
  <c r="CF32" i="95"/>
  <c r="CG32" i="95"/>
  <c r="CH32" i="95"/>
  <c r="CI32" i="95"/>
  <c r="CJ32" i="95"/>
  <c r="CK32" i="95"/>
  <c r="CL32" i="95"/>
  <c r="CM32" i="95"/>
  <c r="CN32" i="95"/>
  <c r="CO32" i="95"/>
  <c r="CP32" i="95"/>
  <c r="CQ32" i="95"/>
  <c r="CR32" i="95"/>
  <c r="CS32" i="95"/>
  <c r="CT32" i="95"/>
  <c r="CU32" i="95"/>
  <c r="CV32" i="95"/>
  <c r="CW32" i="95"/>
  <c r="CX32" i="95"/>
  <c r="CY32" i="95"/>
  <c r="CZ32" i="95"/>
  <c r="DA32" i="95"/>
  <c r="DB32" i="95"/>
  <c r="DC32" i="95"/>
  <c r="DD32" i="95"/>
  <c r="DE32" i="95"/>
  <c r="DF32" i="95"/>
  <c r="DG32" i="95"/>
  <c r="DH32" i="95"/>
  <c r="DI32" i="95"/>
  <c r="DJ32" i="95"/>
  <c r="DK32" i="95"/>
  <c r="DL32" i="95"/>
  <c r="DM32" i="95"/>
  <c r="DN32" i="95"/>
  <c r="DO32" i="95"/>
  <c r="DP32" i="95"/>
  <c r="DQ32" i="95"/>
  <c r="DR32" i="95"/>
  <c r="DS32" i="95"/>
  <c r="DT32" i="95"/>
  <c r="DU32" i="95"/>
  <c r="DV32" i="95"/>
  <c r="DW32" i="95"/>
  <c r="DX32" i="95"/>
  <c r="DY32" i="95"/>
  <c r="DZ32" i="95"/>
  <c r="EA32" i="95"/>
  <c r="EB32" i="95"/>
  <c r="EC32" i="95"/>
  <c r="ED32" i="95"/>
  <c r="EE32" i="95"/>
  <c r="EF32" i="95"/>
  <c r="EG32" i="95"/>
  <c r="EH32" i="95"/>
  <c r="EI32" i="95"/>
  <c r="EJ32" i="95"/>
  <c r="EK32" i="95"/>
  <c r="EL32" i="95"/>
  <c r="EM32" i="95"/>
  <c r="EN32" i="95"/>
  <c r="EO32" i="95"/>
  <c r="EP32" i="95"/>
  <c r="EQ32" i="95"/>
  <c r="ER32" i="95"/>
  <c r="ES32" i="95"/>
  <c r="ET32" i="95"/>
  <c r="EU32" i="95"/>
  <c r="EV32" i="95"/>
  <c r="EW32" i="95"/>
  <c r="EX32" i="95"/>
  <c r="EY32" i="95"/>
  <c r="EZ32" i="95"/>
  <c r="FA32" i="95"/>
  <c r="FB32" i="95"/>
  <c r="FC32" i="95"/>
  <c r="FD32" i="95"/>
  <c r="FE32" i="95"/>
  <c r="FF32" i="95"/>
  <c r="FG32" i="95"/>
  <c r="FH32" i="95"/>
  <c r="FI32" i="95"/>
  <c r="FJ32" i="95"/>
  <c r="FK32" i="95"/>
  <c r="FL32" i="95"/>
  <c r="FM32" i="95"/>
  <c r="FN32" i="95"/>
  <c r="FO32" i="95"/>
  <c r="FP32" i="95"/>
  <c r="FQ32" i="95"/>
  <c r="FR32" i="95"/>
  <c r="FS32" i="95"/>
  <c r="FT32" i="95"/>
  <c r="FU32" i="95"/>
  <c r="FV32" i="95"/>
  <c r="FW32" i="95"/>
  <c r="FX32" i="95"/>
  <c r="FY32" i="95"/>
  <c r="FZ32" i="95"/>
  <c r="GA32" i="95"/>
  <c r="GB32" i="95"/>
  <c r="GC32" i="95"/>
  <c r="GD32" i="95"/>
  <c r="GE32" i="95"/>
  <c r="GF32" i="95"/>
  <c r="GG32" i="95"/>
  <c r="GH32" i="95"/>
  <c r="GI32" i="95"/>
  <c r="GJ32" i="95"/>
  <c r="GK32" i="95"/>
  <c r="GL32" i="95"/>
  <c r="GM32" i="95"/>
  <c r="GN32" i="95"/>
  <c r="GO32" i="95"/>
  <c r="GP32" i="95"/>
  <c r="GQ32" i="95"/>
  <c r="GR32" i="95"/>
  <c r="GS32" i="95"/>
  <c r="GT32" i="95"/>
  <c r="GU32" i="95"/>
  <c r="GV32" i="95"/>
  <c r="GW32" i="95"/>
  <c r="GX32" i="95"/>
  <c r="GY32" i="95"/>
  <c r="GZ32" i="95"/>
  <c r="HA32" i="95"/>
  <c r="HB32" i="95"/>
  <c r="HC32" i="95"/>
  <c r="HD32" i="95"/>
  <c r="HE32" i="95"/>
  <c r="HF32" i="95"/>
  <c r="HG32" i="95"/>
  <c r="HH32" i="95"/>
  <c r="HI32" i="95"/>
  <c r="HJ32" i="95"/>
  <c r="HK32" i="95"/>
  <c r="HL32" i="95"/>
  <c r="HM32" i="95"/>
  <c r="HN32" i="95"/>
  <c r="HO32" i="95"/>
  <c r="HP32" i="95"/>
  <c r="HQ32" i="95"/>
  <c r="G33" i="95"/>
  <c r="H33" i="95"/>
  <c r="I33" i="95"/>
  <c r="J33" i="95"/>
  <c r="K33" i="95"/>
  <c r="L33" i="95"/>
  <c r="M33" i="95"/>
  <c r="N33" i="95"/>
  <c r="O33" i="95"/>
  <c r="P33" i="95"/>
  <c r="Q33" i="95"/>
  <c r="R33" i="95"/>
  <c r="S33" i="95"/>
  <c r="T33" i="95"/>
  <c r="U33" i="95"/>
  <c r="V33" i="95"/>
  <c r="W33" i="95"/>
  <c r="X33" i="95"/>
  <c r="Y33" i="95"/>
  <c r="Z33" i="95"/>
  <c r="AA33" i="95"/>
  <c r="AB33" i="95"/>
  <c r="AC33" i="95"/>
  <c r="AD33" i="95"/>
  <c r="AE33" i="95"/>
  <c r="AF33" i="95"/>
  <c r="AG33" i="95"/>
  <c r="AH33" i="95"/>
  <c r="AI33" i="95"/>
  <c r="AJ33" i="95"/>
  <c r="AK33" i="95"/>
  <c r="AL33" i="95"/>
  <c r="AM33" i="95"/>
  <c r="AN33" i="95"/>
  <c r="AO33" i="95"/>
  <c r="AP33" i="95"/>
  <c r="AQ33" i="95"/>
  <c r="AR33" i="95"/>
  <c r="AS33" i="95"/>
  <c r="AT33" i="95"/>
  <c r="AU33" i="95"/>
  <c r="AV33" i="95"/>
  <c r="AW33" i="95"/>
  <c r="AX33" i="95"/>
  <c r="AY33" i="95"/>
  <c r="AZ33" i="95"/>
  <c r="BA33" i="95"/>
  <c r="BB33" i="95"/>
  <c r="BC33" i="95"/>
  <c r="BD33" i="95"/>
  <c r="BE33" i="95"/>
  <c r="BF33" i="95"/>
  <c r="BG33" i="95"/>
  <c r="BH33" i="95"/>
  <c r="BI33" i="95"/>
  <c r="BJ33" i="95"/>
  <c r="BK33" i="95"/>
  <c r="BL33" i="95"/>
  <c r="BM33" i="95"/>
  <c r="BN33" i="95"/>
  <c r="BO33" i="95"/>
  <c r="BP33" i="95"/>
  <c r="BQ33" i="95"/>
  <c r="BR33" i="95"/>
  <c r="BS33" i="95"/>
  <c r="BT33" i="95"/>
  <c r="BU33" i="95"/>
  <c r="BV33" i="95"/>
  <c r="BW33" i="95"/>
  <c r="BX33" i="95"/>
  <c r="BY33" i="95"/>
  <c r="BZ33" i="95"/>
  <c r="CA33" i="95"/>
  <c r="CB33" i="95"/>
  <c r="CC33" i="95"/>
  <c r="CD33" i="95"/>
  <c r="CE33" i="95"/>
  <c r="CF33" i="95"/>
  <c r="CG33" i="95"/>
  <c r="CH33" i="95"/>
  <c r="CI33" i="95"/>
  <c r="CJ33" i="95"/>
  <c r="CK33" i="95"/>
  <c r="CL33" i="95"/>
  <c r="CM33" i="95"/>
  <c r="CN33" i="95"/>
  <c r="CO33" i="95"/>
  <c r="CP33" i="95"/>
  <c r="CQ33" i="95"/>
  <c r="CR33" i="95"/>
  <c r="CS33" i="95"/>
  <c r="CT33" i="95"/>
  <c r="CU33" i="95"/>
  <c r="CV33" i="95"/>
  <c r="CW33" i="95"/>
  <c r="CX33" i="95"/>
  <c r="CY33" i="95"/>
  <c r="CZ33" i="95"/>
  <c r="DA33" i="95"/>
  <c r="DB33" i="95"/>
  <c r="DC33" i="95"/>
  <c r="DD33" i="95"/>
  <c r="DE33" i="95"/>
  <c r="DF33" i="95"/>
  <c r="DG33" i="95"/>
  <c r="DH33" i="95"/>
  <c r="DI33" i="95"/>
  <c r="DJ33" i="95"/>
  <c r="DK33" i="95"/>
  <c r="DL33" i="95"/>
  <c r="DM33" i="95"/>
  <c r="DN33" i="95"/>
  <c r="DO33" i="95"/>
  <c r="DP33" i="95"/>
  <c r="DQ33" i="95"/>
  <c r="DR33" i="95"/>
  <c r="DS33" i="95"/>
  <c r="DT33" i="95"/>
  <c r="DU33" i="95"/>
  <c r="DV33" i="95"/>
  <c r="DW33" i="95"/>
  <c r="DX33" i="95"/>
  <c r="DY33" i="95"/>
  <c r="DZ33" i="95"/>
  <c r="EA33" i="95"/>
  <c r="EB33" i="95"/>
  <c r="EC33" i="95"/>
  <c r="ED33" i="95"/>
  <c r="EE33" i="95"/>
  <c r="EF33" i="95"/>
  <c r="EG33" i="95"/>
  <c r="EH33" i="95"/>
  <c r="EI33" i="95"/>
  <c r="EJ33" i="95"/>
  <c r="EK33" i="95"/>
  <c r="EL33" i="95"/>
  <c r="EM33" i="95"/>
  <c r="EN33" i="95"/>
  <c r="EO33" i="95"/>
  <c r="EP33" i="95"/>
  <c r="EQ33" i="95"/>
  <c r="ER33" i="95"/>
  <c r="ES33" i="95"/>
  <c r="ET33" i="95"/>
  <c r="EU33" i="95"/>
  <c r="EV33" i="95"/>
  <c r="EW33" i="95"/>
  <c r="EX33" i="95"/>
  <c r="EY33" i="95"/>
  <c r="EZ33" i="95"/>
  <c r="FA33" i="95"/>
  <c r="FB33" i="95"/>
  <c r="FC33" i="95"/>
  <c r="FD33" i="95"/>
  <c r="FE33" i="95"/>
  <c r="FF33" i="95"/>
  <c r="FG33" i="95"/>
  <c r="FH33" i="95"/>
  <c r="FI33" i="95"/>
  <c r="FJ33" i="95"/>
  <c r="FK33" i="95"/>
  <c r="FL33" i="95"/>
  <c r="FM33" i="95"/>
  <c r="FN33" i="95"/>
  <c r="FO33" i="95"/>
  <c r="FP33" i="95"/>
  <c r="FQ33" i="95"/>
  <c r="FR33" i="95"/>
  <c r="FS33" i="95"/>
  <c r="FT33" i="95"/>
  <c r="FU33" i="95"/>
  <c r="FV33" i="95"/>
  <c r="FW33" i="95"/>
  <c r="FX33" i="95"/>
  <c r="FY33" i="95"/>
  <c r="FZ33" i="95"/>
  <c r="GA33" i="95"/>
  <c r="GB33" i="95"/>
  <c r="GC33" i="95"/>
  <c r="GD33" i="95"/>
  <c r="GE33" i="95"/>
  <c r="GF33" i="95"/>
  <c r="GG33" i="95"/>
  <c r="GH33" i="95"/>
  <c r="GI33" i="95"/>
  <c r="GJ33" i="95"/>
  <c r="GK33" i="95"/>
  <c r="GL33" i="95"/>
  <c r="GM33" i="95"/>
  <c r="GN33" i="95"/>
  <c r="GO33" i="95"/>
  <c r="GP33" i="95"/>
  <c r="GQ33" i="95"/>
  <c r="GR33" i="95"/>
  <c r="GS33" i="95"/>
  <c r="GT33" i="95"/>
  <c r="GU33" i="95"/>
  <c r="GV33" i="95"/>
  <c r="GW33" i="95"/>
  <c r="GX33" i="95"/>
  <c r="GY33" i="95"/>
  <c r="GZ33" i="95"/>
  <c r="HA33" i="95"/>
  <c r="HB33" i="95"/>
  <c r="HC33" i="95"/>
  <c r="HD33" i="95"/>
  <c r="HE33" i="95"/>
  <c r="HF33" i="95"/>
  <c r="HG33" i="95"/>
  <c r="HH33" i="95"/>
  <c r="HI33" i="95"/>
  <c r="HJ33" i="95"/>
  <c r="HK33" i="95"/>
  <c r="HL33" i="95"/>
  <c r="HM33" i="95"/>
  <c r="HN33" i="95"/>
  <c r="HO33" i="95"/>
  <c r="HP33" i="95"/>
  <c r="HQ33" i="95"/>
  <c r="G34" i="95"/>
  <c r="H34" i="95"/>
  <c r="I34" i="95"/>
  <c r="J34" i="95"/>
  <c r="K34" i="95"/>
  <c r="L34" i="95"/>
  <c r="M34" i="95"/>
  <c r="N34" i="95"/>
  <c r="O34" i="95"/>
  <c r="P34" i="95"/>
  <c r="Q34" i="95"/>
  <c r="R34" i="95"/>
  <c r="S34" i="95"/>
  <c r="T34" i="95"/>
  <c r="U34" i="95"/>
  <c r="V34" i="95"/>
  <c r="W34" i="95"/>
  <c r="X34" i="95"/>
  <c r="Y34" i="95"/>
  <c r="Z34" i="95"/>
  <c r="AA34" i="95"/>
  <c r="AB34" i="95"/>
  <c r="AC34" i="95"/>
  <c r="AD34" i="95"/>
  <c r="AE34" i="95"/>
  <c r="AF34" i="95"/>
  <c r="AG34" i="95"/>
  <c r="AH34" i="95"/>
  <c r="AI34" i="95"/>
  <c r="AJ34" i="95"/>
  <c r="AK34" i="95"/>
  <c r="AL34" i="95"/>
  <c r="AM34" i="95"/>
  <c r="AN34" i="95"/>
  <c r="AO34" i="95"/>
  <c r="AP34" i="95"/>
  <c r="AQ34" i="95"/>
  <c r="AR34" i="95"/>
  <c r="AS34" i="95"/>
  <c r="AT34" i="95"/>
  <c r="AU34" i="95"/>
  <c r="AV34" i="95"/>
  <c r="AW34" i="95"/>
  <c r="AX34" i="95"/>
  <c r="AY34" i="95"/>
  <c r="AZ34" i="95"/>
  <c r="BA34" i="95"/>
  <c r="BB34" i="95"/>
  <c r="BC34" i="95"/>
  <c r="BD34" i="95"/>
  <c r="BE34" i="95"/>
  <c r="BF34" i="95"/>
  <c r="BG34" i="95"/>
  <c r="BH34" i="95"/>
  <c r="BI34" i="95"/>
  <c r="BJ34" i="95"/>
  <c r="BK34" i="95"/>
  <c r="BL34" i="95"/>
  <c r="BM34" i="95"/>
  <c r="BN34" i="95"/>
  <c r="BO34" i="95"/>
  <c r="BP34" i="95"/>
  <c r="BQ34" i="95"/>
  <c r="BR34" i="95"/>
  <c r="BS34" i="95"/>
  <c r="BT34" i="95"/>
  <c r="BU34" i="95"/>
  <c r="BV34" i="95"/>
  <c r="BW34" i="95"/>
  <c r="BX34" i="95"/>
  <c r="BY34" i="95"/>
  <c r="BZ34" i="95"/>
  <c r="CA34" i="95"/>
  <c r="CB34" i="95"/>
  <c r="CC34" i="95"/>
  <c r="CD34" i="95"/>
  <c r="CE34" i="95"/>
  <c r="CF34" i="95"/>
  <c r="CG34" i="95"/>
  <c r="CH34" i="95"/>
  <c r="CI34" i="95"/>
  <c r="CJ34" i="95"/>
  <c r="CK34" i="95"/>
  <c r="CL34" i="95"/>
  <c r="CM34" i="95"/>
  <c r="CN34" i="95"/>
  <c r="CO34" i="95"/>
  <c r="CP34" i="95"/>
  <c r="CQ34" i="95"/>
  <c r="CR34" i="95"/>
  <c r="CS34" i="95"/>
  <c r="CT34" i="95"/>
  <c r="CU34" i="95"/>
  <c r="CV34" i="95"/>
  <c r="CW34" i="95"/>
  <c r="CX34" i="95"/>
  <c r="CY34" i="95"/>
  <c r="CZ34" i="95"/>
  <c r="DA34" i="95"/>
  <c r="DB34" i="95"/>
  <c r="DC34" i="95"/>
  <c r="DD34" i="95"/>
  <c r="DE34" i="95"/>
  <c r="DF34" i="95"/>
  <c r="DG34" i="95"/>
  <c r="DH34" i="95"/>
  <c r="DI34" i="95"/>
  <c r="DJ34" i="95"/>
  <c r="DK34" i="95"/>
  <c r="DL34" i="95"/>
  <c r="DM34" i="95"/>
  <c r="DN34" i="95"/>
  <c r="DO34" i="95"/>
  <c r="DP34" i="95"/>
  <c r="DQ34" i="95"/>
  <c r="DR34" i="95"/>
  <c r="DS34" i="95"/>
  <c r="DT34" i="95"/>
  <c r="DU34" i="95"/>
  <c r="DV34" i="95"/>
  <c r="DW34" i="95"/>
  <c r="DX34" i="95"/>
  <c r="DY34" i="95"/>
  <c r="DZ34" i="95"/>
  <c r="EA34" i="95"/>
  <c r="EB34" i="95"/>
  <c r="EC34" i="95"/>
  <c r="ED34" i="95"/>
  <c r="EE34" i="95"/>
  <c r="EF34" i="95"/>
  <c r="EG34" i="95"/>
  <c r="EH34" i="95"/>
  <c r="EI34" i="95"/>
  <c r="EJ34" i="95"/>
  <c r="EK34" i="95"/>
  <c r="EL34" i="95"/>
  <c r="EM34" i="95"/>
  <c r="EN34" i="95"/>
  <c r="EO34" i="95"/>
  <c r="EP34" i="95"/>
  <c r="EQ34" i="95"/>
  <c r="ER34" i="95"/>
  <c r="ES34" i="95"/>
  <c r="ET34" i="95"/>
  <c r="EU34" i="95"/>
  <c r="EV34" i="95"/>
  <c r="EW34" i="95"/>
  <c r="EX34" i="95"/>
  <c r="EY34" i="95"/>
  <c r="EZ34" i="95"/>
  <c r="FA34" i="95"/>
  <c r="FB34" i="95"/>
  <c r="FC34" i="95"/>
  <c r="FD34" i="95"/>
  <c r="FE34" i="95"/>
  <c r="FF34" i="95"/>
  <c r="FG34" i="95"/>
  <c r="FH34" i="95"/>
  <c r="FI34" i="95"/>
  <c r="FJ34" i="95"/>
  <c r="FK34" i="95"/>
  <c r="FL34" i="95"/>
  <c r="FM34" i="95"/>
  <c r="FN34" i="95"/>
  <c r="FO34" i="95"/>
  <c r="FP34" i="95"/>
  <c r="FQ34" i="95"/>
  <c r="FR34" i="95"/>
  <c r="FS34" i="95"/>
  <c r="FT34" i="95"/>
  <c r="FU34" i="95"/>
  <c r="FV34" i="95"/>
  <c r="FW34" i="95"/>
  <c r="FX34" i="95"/>
  <c r="FY34" i="95"/>
  <c r="FZ34" i="95"/>
  <c r="GA34" i="95"/>
  <c r="GB34" i="95"/>
  <c r="GC34" i="95"/>
  <c r="GD34" i="95"/>
  <c r="GE34" i="95"/>
  <c r="GF34" i="95"/>
  <c r="GG34" i="95"/>
  <c r="GH34" i="95"/>
  <c r="GI34" i="95"/>
  <c r="GJ34" i="95"/>
  <c r="GK34" i="95"/>
  <c r="GL34" i="95"/>
  <c r="GM34" i="95"/>
  <c r="GN34" i="95"/>
  <c r="GO34" i="95"/>
  <c r="GP34" i="95"/>
  <c r="GQ34" i="95"/>
  <c r="GR34" i="95"/>
  <c r="GS34" i="95"/>
  <c r="GT34" i="95"/>
  <c r="GU34" i="95"/>
  <c r="GV34" i="95"/>
  <c r="GW34" i="95"/>
  <c r="GX34" i="95"/>
  <c r="GY34" i="95"/>
  <c r="GZ34" i="95"/>
  <c r="HA34" i="95"/>
  <c r="HB34" i="95"/>
  <c r="HC34" i="95"/>
  <c r="HD34" i="95"/>
  <c r="HE34" i="95"/>
  <c r="HF34" i="95"/>
  <c r="HG34" i="95"/>
  <c r="HH34" i="95"/>
  <c r="HI34" i="95"/>
  <c r="HJ34" i="95"/>
  <c r="HK34" i="95"/>
  <c r="HL34" i="95"/>
  <c r="HM34" i="95"/>
  <c r="HN34" i="95"/>
  <c r="HO34" i="95"/>
  <c r="HP34" i="95"/>
  <c r="HQ34" i="95"/>
  <c r="G35" i="95"/>
  <c r="H35" i="95"/>
  <c r="I35" i="95"/>
  <c r="J35" i="95"/>
  <c r="K35" i="95"/>
  <c r="L35" i="95"/>
  <c r="M35" i="95"/>
  <c r="N35" i="95"/>
  <c r="O35" i="95"/>
  <c r="P35" i="95"/>
  <c r="Q35" i="95"/>
  <c r="R35" i="95"/>
  <c r="S35" i="95"/>
  <c r="T35" i="95"/>
  <c r="U35" i="95"/>
  <c r="V35" i="95"/>
  <c r="W35" i="95"/>
  <c r="X35" i="95"/>
  <c r="Y35" i="95"/>
  <c r="Z35" i="95"/>
  <c r="AA35" i="95"/>
  <c r="AB35" i="95"/>
  <c r="AC35" i="95"/>
  <c r="AD35" i="95"/>
  <c r="AE35" i="95"/>
  <c r="AF35" i="95"/>
  <c r="AG35" i="95"/>
  <c r="AH35" i="95"/>
  <c r="AI35" i="95"/>
  <c r="AJ35" i="95"/>
  <c r="AK35" i="95"/>
  <c r="AL35" i="95"/>
  <c r="AM35" i="95"/>
  <c r="AN35" i="95"/>
  <c r="AO35" i="95"/>
  <c r="AP35" i="95"/>
  <c r="AQ35" i="95"/>
  <c r="AR35" i="95"/>
  <c r="AS35" i="95"/>
  <c r="AT35" i="95"/>
  <c r="AU35" i="95"/>
  <c r="AV35" i="95"/>
  <c r="AW35" i="95"/>
  <c r="AX35" i="95"/>
  <c r="AY35" i="95"/>
  <c r="AZ35" i="95"/>
  <c r="BA35" i="95"/>
  <c r="BB35" i="95"/>
  <c r="BC35" i="95"/>
  <c r="BD35" i="95"/>
  <c r="BE35" i="95"/>
  <c r="BF35" i="95"/>
  <c r="BG35" i="95"/>
  <c r="BH35" i="95"/>
  <c r="BI35" i="95"/>
  <c r="BJ35" i="95"/>
  <c r="BK35" i="95"/>
  <c r="BL35" i="95"/>
  <c r="BM35" i="95"/>
  <c r="BN35" i="95"/>
  <c r="BO35" i="95"/>
  <c r="BP35" i="95"/>
  <c r="BQ35" i="95"/>
  <c r="BR35" i="95"/>
  <c r="BS35" i="95"/>
  <c r="BT35" i="95"/>
  <c r="BU35" i="95"/>
  <c r="BV35" i="95"/>
  <c r="BW35" i="95"/>
  <c r="BX35" i="95"/>
  <c r="BY35" i="95"/>
  <c r="BZ35" i="95"/>
  <c r="CA35" i="95"/>
  <c r="CB35" i="95"/>
  <c r="CC35" i="95"/>
  <c r="CD35" i="95"/>
  <c r="CE35" i="95"/>
  <c r="CF35" i="95"/>
  <c r="CG35" i="95"/>
  <c r="CH35" i="95"/>
  <c r="CI35" i="95"/>
  <c r="CJ35" i="95"/>
  <c r="CK35" i="95"/>
  <c r="CL35" i="95"/>
  <c r="CM35" i="95"/>
  <c r="CN35" i="95"/>
  <c r="CO35" i="95"/>
  <c r="CP35" i="95"/>
  <c r="CQ35" i="95"/>
  <c r="CR35" i="95"/>
  <c r="CS35" i="95"/>
  <c r="CT35" i="95"/>
  <c r="CU35" i="95"/>
  <c r="CV35" i="95"/>
  <c r="CW35" i="95"/>
  <c r="CX35" i="95"/>
  <c r="CY35" i="95"/>
  <c r="CZ35" i="95"/>
  <c r="DA35" i="95"/>
  <c r="DB35" i="95"/>
  <c r="DC35" i="95"/>
  <c r="DD35" i="95"/>
  <c r="DE35" i="95"/>
  <c r="DF35" i="95"/>
  <c r="DG35" i="95"/>
  <c r="DH35" i="95"/>
  <c r="DI35" i="95"/>
  <c r="DJ35" i="95"/>
  <c r="DK35" i="95"/>
  <c r="DL35" i="95"/>
  <c r="DM35" i="95"/>
  <c r="DN35" i="95"/>
  <c r="DO35" i="95"/>
  <c r="DP35" i="95"/>
  <c r="DQ35" i="95"/>
  <c r="DR35" i="95"/>
  <c r="DS35" i="95"/>
  <c r="DT35" i="95"/>
  <c r="DU35" i="95"/>
  <c r="DV35" i="95"/>
  <c r="DW35" i="95"/>
  <c r="DX35" i="95"/>
  <c r="DY35" i="95"/>
  <c r="DZ35" i="95"/>
  <c r="EA35" i="95"/>
  <c r="EB35" i="95"/>
  <c r="EC35" i="95"/>
  <c r="ED35" i="95"/>
  <c r="EE35" i="95"/>
  <c r="EF35" i="95"/>
  <c r="EG35" i="95"/>
  <c r="EH35" i="95"/>
  <c r="EI35" i="95"/>
  <c r="EJ35" i="95"/>
  <c r="EK35" i="95"/>
  <c r="EL35" i="95"/>
  <c r="EM35" i="95"/>
  <c r="EN35" i="95"/>
  <c r="EO35" i="95"/>
  <c r="EP35" i="95"/>
  <c r="EQ35" i="95"/>
  <c r="ER35" i="95"/>
  <c r="ES35" i="95"/>
  <c r="ET35" i="95"/>
  <c r="EU35" i="95"/>
  <c r="EV35" i="95"/>
  <c r="EW35" i="95"/>
  <c r="EX35" i="95"/>
  <c r="EY35" i="95"/>
  <c r="EZ35" i="95"/>
  <c r="FA35" i="95"/>
  <c r="FB35" i="95"/>
  <c r="FC35" i="95"/>
  <c r="FD35" i="95"/>
  <c r="FE35" i="95"/>
  <c r="FF35" i="95"/>
  <c r="FG35" i="95"/>
  <c r="FH35" i="95"/>
  <c r="FI35" i="95"/>
  <c r="FJ35" i="95"/>
  <c r="FK35" i="95"/>
  <c r="FL35" i="95"/>
  <c r="FM35" i="95"/>
  <c r="FN35" i="95"/>
  <c r="FO35" i="95"/>
  <c r="FP35" i="95"/>
  <c r="FQ35" i="95"/>
  <c r="FR35" i="95"/>
  <c r="FS35" i="95"/>
  <c r="FT35" i="95"/>
  <c r="FU35" i="95"/>
  <c r="FV35" i="95"/>
  <c r="FW35" i="95"/>
  <c r="FX35" i="95"/>
  <c r="FY35" i="95"/>
  <c r="FZ35" i="95"/>
  <c r="GA35" i="95"/>
  <c r="GB35" i="95"/>
  <c r="GC35" i="95"/>
  <c r="GD35" i="95"/>
  <c r="GE35" i="95"/>
  <c r="GF35" i="95"/>
  <c r="GG35" i="95"/>
  <c r="GH35" i="95"/>
  <c r="GI35" i="95"/>
  <c r="GJ35" i="95"/>
  <c r="GK35" i="95"/>
  <c r="GL35" i="95"/>
  <c r="GM35" i="95"/>
  <c r="GN35" i="95"/>
  <c r="GO35" i="95"/>
  <c r="GP35" i="95"/>
  <c r="GQ35" i="95"/>
  <c r="GR35" i="95"/>
  <c r="GS35" i="95"/>
  <c r="GT35" i="95"/>
  <c r="GU35" i="95"/>
  <c r="GV35" i="95"/>
  <c r="GW35" i="95"/>
  <c r="GX35" i="95"/>
  <c r="GY35" i="95"/>
  <c r="GZ35" i="95"/>
  <c r="HA35" i="95"/>
  <c r="HB35" i="95"/>
  <c r="HC35" i="95"/>
  <c r="HD35" i="95"/>
  <c r="HE35" i="95"/>
  <c r="HF35" i="95"/>
  <c r="HG35" i="95"/>
  <c r="HH35" i="95"/>
  <c r="HI35" i="95"/>
  <c r="HJ35" i="95"/>
  <c r="HK35" i="95"/>
  <c r="HL35" i="95"/>
  <c r="HM35" i="95"/>
  <c r="HN35" i="95"/>
  <c r="HO35" i="95"/>
  <c r="HP35" i="95"/>
  <c r="HQ35" i="95"/>
  <c r="G36" i="95"/>
  <c r="H36" i="95"/>
  <c r="I36" i="95"/>
  <c r="J36" i="95"/>
  <c r="K36" i="95"/>
  <c r="L36" i="95"/>
  <c r="M36" i="95"/>
  <c r="N36" i="95"/>
  <c r="O36" i="95"/>
  <c r="P36" i="95"/>
  <c r="Q36" i="95"/>
  <c r="R36" i="95"/>
  <c r="S36" i="95"/>
  <c r="T36" i="95"/>
  <c r="U36" i="95"/>
  <c r="V36" i="95"/>
  <c r="W36" i="95"/>
  <c r="X36" i="95"/>
  <c r="Y36" i="95"/>
  <c r="Z36" i="95"/>
  <c r="AA36" i="95"/>
  <c r="AB36" i="95"/>
  <c r="AC36" i="95"/>
  <c r="AD36" i="95"/>
  <c r="AE36" i="95"/>
  <c r="AF36" i="95"/>
  <c r="AG36" i="95"/>
  <c r="AH36" i="95"/>
  <c r="AI36" i="95"/>
  <c r="AJ36" i="95"/>
  <c r="AK36" i="95"/>
  <c r="AL36" i="95"/>
  <c r="AM36" i="95"/>
  <c r="AN36" i="95"/>
  <c r="AO36" i="95"/>
  <c r="AP36" i="95"/>
  <c r="AQ36" i="95"/>
  <c r="AR36" i="95"/>
  <c r="AS36" i="95"/>
  <c r="AT36" i="95"/>
  <c r="AU36" i="95"/>
  <c r="AV36" i="95"/>
  <c r="AW36" i="95"/>
  <c r="AX36" i="95"/>
  <c r="AY36" i="95"/>
  <c r="AZ36" i="95"/>
  <c r="BA36" i="95"/>
  <c r="BB36" i="95"/>
  <c r="BC36" i="95"/>
  <c r="BD36" i="95"/>
  <c r="BE36" i="95"/>
  <c r="BF36" i="95"/>
  <c r="BG36" i="95"/>
  <c r="BH36" i="95"/>
  <c r="BI36" i="95"/>
  <c r="BJ36" i="95"/>
  <c r="BK36" i="95"/>
  <c r="BL36" i="95"/>
  <c r="BM36" i="95"/>
  <c r="BN36" i="95"/>
  <c r="BO36" i="95"/>
  <c r="BP36" i="95"/>
  <c r="BQ36" i="95"/>
  <c r="BR36" i="95"/>
  <c r="BS36" i="95"/>
  <c r="BT36" i="95"/>
  <c r="BU36" i="95"/>
  <c r="BV36" i="95"/>
  <c r="BW36" i="95"/>
  <c r="BX36" i="95"/>
  <c r="BY36" i="95"/>
  <c r="BZ36" i="95"/>
  <c r="CA36" i="95"/>
  <c r="CB36" i="95"/>
  <c r="CC36" i="95"/>
  <c r="CD36" i="95"/>
  <c r="CE36" i="95"/>
  <c r="CF36" i="95"/>
  <c r="CG36" i="95"/>
  <c r="CH36" i="95"/>
  <c r="CI36" i="95"/>
  <c r="CJ36" i="95"/>
  <c r="CK36" i="95"/>
  <c r="CL36" i="95"/>
  <c r="CM36" i="95"/>
  <c r="CN36" i="95"/>
  <c r="CO36" i="95"/>
  <c r="CP36" i="95"/>
  <c r="CQ36" i="95"/>
  <c r="CR36" i="95"/>
  <c r="CS36" i="95"/>
  <c r="CT36" i="95"/>
  <c r="CU36" i="95"/>
  <c r="CV36" i="95"/>
  <c r="CW36" i="95"/>
  <c r="CX36" i="95"/>
  <c r="CY36" i="95"/>
  <c r="CZ36" i="95"/>
  <c r="DA36" i="95"/>
  <c r="DB36" i="95"/>
  <c r="DC36" i="95"/>
  <c r="DD36" i="95"/>
  <c r="DE36" i="95"/>
  <c r="DF36" i="95"/>
  <c r="DG36" i="95"/>
  <c r="DH36" i="95"/>
  <c r="DI36" i="95"/>
  <c r="DJ36" i="95"/>
  <c r="DK36" i="95"/>
  <c r="DL36" i="95"/>
  <c r="DM36" i="95"/>
  <c r="DN36" i="95"/>
  <c r="DO36" i="95"/>
  <c r="DP36" i="95"/>
  <c r="DQ36" i="95"/>
  <c r="DR36" i="95"/>
  <c r="DS36" i="95"/>
  <c r="DT36" i="95"/>
  <c r="DU36" i="95"/>
  <c r="DV36" i="95"/>
  <c r="DW36" i="95"/>
  <c r="DX36" i="95"/>
  <c r="DY36" i="95"/>
  <c r="DZ36" i="95"/>
  <c r="EA36" i="95"/>
  <c r="EB36" i="95"/>
  <c r="EC36" i="95"/>
  <c r="ED36" i="95"/>
  <c r="EE36" i="95"/>
  <c r="EF36" i="95"/>
  <c r="EG36" i="95"/>
  <c r="EH36" i="95"/>
  <c r="EI36" i="95"/>
  <c r="EJ36" i="95"/>
  <c r="EK36" i="95"/>
  <c r="EL36" i="95"/>
  <c r="EM36" i="95"/>
  <c r="EN36" i="95"/>
  <c r="EO36" i="95"/>
  <c r="EP36" i="95"/>
  <c r="EQ36" i="95"/>
  <c r="ER36" i="95"/>
  <c r="ES36" i="95"/>
  <c r="ET36" i="95"/>
  <c r="EU36" i="95"/>
  <c r="EV36" i="95"/>
  <c r="EW36" i="95"/>
  <c r="EX36" i="95"/>
  <c r="EY36" i="95"/>
  <c r="EZ36" i="95"/>
  <c r="FA36" i="95"/>
  <c r="FB36" i="95"/>
  <c r="FC36" i="95"/>
  <c r="FD36" i="95"/>
  <c r="FE36" i="95"/>
  <c r="FF36" i="95"/>
  <c r="FG36" i="95"/>
  <c r="FH36" i="95"/>
  <c r="FI36" i="95"/>
  <c r="FJ36" i="95"/>
  <c r="FK36" i="95"/>
  <c r="FL36" i="95"/>
  <c r="FM36" i="95"/>
  <c r="FN36" i="95"/>
  <c r="FO36" i="95"/>
  <c r="FP36" i="95"/>
  <c r="FQ36" i="95"/>
  <c r="FR36" i="95"/>
  <c r="FS36" i="95"/>
  <c r="FT36" i="95"/>
  <c r="FU36" i="95"/>
  <c r="FV36" i="95"/>
  <c r="FW36" i="95"/>
  <c r="FX36" i="95"/>
  <c r="FY36" i="95"/>
  <c r="FZ36" i="95"/>
  <c r="GA36" i="95"/>
  <c r="GB36" i="95"/>
  <c r="GC36" i="95"/>
  <c r="GD36" i="95"/>
  <c r="GE36" i="95"/>
  <c r="GF36" i="95"/>
  <c r="GG36" i="95"/>
  <c r="GH36" i="95"/>
  <c r="GI36" i="95"/>
  <c r="GJ36" i="95"/>
  <c r="GK36" i="95"/>
  <c r="GL36" i="95"/>
  <c r="GM36" i="95"/>
  <c r="GN36" i="95"/>
  <c r="GO36" i="95"/>
  <c r="GP36" i="95"/>
  <c r="GQ36" i="95"/>
  <c r="GR36" i="95"/>
  <c r="GS36" i="95"/>
  <c r="GT36" i="95"/>
  <c r="GU36" i="95"/>
  <c r="GV36" i="95"/>
  <c r="GW36" i="95"/>
  <c r="GX36" i="95"/>
  <c r="GY36" i="95"/>
  <c r="GZ36" i="95"/>
  <c r="HA36" i="95"/>
  <c r="HB36" i="95"/>
  <c r="HC36" i="95"/>
  <c r="HD36" i="95"/>
  <c r="HE36" i="95"/>
  <c r="HF36" i="95"/>
  <c r="HG36" i="95"/>
  <c r="HH36" i="95"/>
  <c r="HI36" i="95"/>
  <c r="HJ36" i="95"/>
  <c r="HK36" i="95"/>
  <c r="HL36" i="95"/>
  <c r="HM36" i="95"/>
  <c r="HN36" i="95"/>
  <c r="HO36" i="95"/>
  <c r="HP36" i="95"/>
  <c r="HQ36" i="95"/>
  <c r="G37" i="95"/>
  <c r="H37" i="95"/>
  <c r="I37" i="95"/>
  <c r="J37" i="95"/>
  <c r="K37" i="95"/>
  <c r="L37" i="95"/>
  <c r="M37" i="95"/>
  <c r="N37" i="95"/>
  <c r="O37" i="95"/>
  <c r="P37" i="95"/>
  <c r="Q37" i="95"/>
  <c r="R37" i="95"/>
  <c r="S37" i="95"/>
  <c r="T37" i="95"/>
  <c r="U37" i="95"/>
  <c r="V37" i="95"/>
  <c r="W37" i="95"/>
  <c r="X37" i="95"/>
  <c r="Y37" i="95"/>
  <c r="Z37" i="95"/>
  <c r="AA37" i="95"/>
  <c r="AB37" i="95"/>
  <c r="AC37" i="95"/>
  <c r="AD37" i="95"/>
  <c r="AE37" i="95"/>
  <c r="AF37" i="95"/>
  <c r="AG37" i="95"/>
  <c r="AH37" i="95"/>
  <c r="AI37" i="95"/>
  <c r="AJ37" i="95"/>
  <c r="AK37" i="95"/>
  <c r="AL37" i="95"/>
  <c r="AM37" i="95"/>
  <c r="AN37" i="95"/>
  <c r="AO37" i="95"/>
  <c r="AP37" i="95"/>
  <c r="AQ37" i="95"/>
  <c r="AR37" i="95"/>
  <c r="AS37" i="95"/>
  <c r="AT37" i="95"/>
  <c r="AU37" i="95"/>
  <c r="AV37" i="95"/>
  <c r="AW37" i="95"/>
  <c r="AX37" i="95"/>
  <c r="AY37" i="95"/>
  <c r="AZ37" i="95"/>
  <c r="BA37" i="95"/>
  <c r="BB37" i="95"/>
  <c r="BC37" i="95"/>
  <c r="BD37" i="95"/>
  <c r="BE37" i="95"/>
  <c r="BF37" i="95"/>
  <c r="BG37" i="95"/>
  <c r="BH37" i="95"/>
  <c r="BI37" i="95"/>
  <c r="BJ37" i="95"/>
  <c r="BK37" i="95"/>
  <c r="BL37" i="95"/>
  <c r="BM37" i="95"/>
  <c r="BN37" i="95"/>
  <c r="BO37" i="95"/>
  <c r="BP37" i="95"/>
  <c r="BQ37" i="95"/>
  <c r="BR37" i="95"/>
  <c r="BS37" i="95"/>
  <c r="BT37" i="95"/>
  <c r="BU37" i="95"/>
  <c r="BV37" i="95"/>
  <c r="BW37" i="95"/>
  <c r="BX37" i="95"/>
  <c r="BY37" i="95"/>
  <c r="BZ37" i="95"/>
  <c r="CA37" i="95"/>
  <c r="CB37" i="95"/>
  <c r="CC37" i="95"/>
  <c r="CD37" i="95"/>
  <c r="CE37" i="95"/>
  <c r="CF37" i="95"/>
  <c r="CG37" i="95"/>
  <c r="CH37" i="95"/>
  <c r="CI37" i="95"/>
  <c r="CJ37" i="95"/>
  <c r="CK37" i="95"/>
  <c r="CL37" i="95"/>
  <c r="CM37" i="95"/>
  <c r="CN37" i="95"/>
  <c r="CO37" i="95"/>
  <c r="CP37" i="95"/>
  <c r="CQ37" i="95"/>
  <c r="CR37" i="95"/>
  <c r="CS37" i="95"/>
  <c r="CT37" i="95"/>
  <c r="CU37" i="95"/>
  <c r="CV37" i="95"/>
  <c r="CW37" i="95"/>
  <c r="CX37" i="95"/>
  <c r="CY37" i="95"/>
  <c r="CZ37" i="95"/>
  <c r="DA37" i="95"/>
  <c r="DB37" i="95"/>
  <c r="DC37" i="95"/>
  <c r="DD37" i="95"/>
  <c r="DE37" i="95"/>
  <c r="DF37" i="95"/>
  <c r="DG37" i="95"/>
  <c r="DH37" i="95"/>
  <c r="DI37" i="95"/>
  <c r="DJ37" i="95"/>
  <c r="DK37" i="95"/>
  <c r="DL37" i="95"/>
  <c r="DM37" i="95"/>
  <c r="DN37" i="95"/>
  <c r="DO37" i="95"/>
  <c r="DP37" i="95"/>
  <c r="DQ37" i="95"/>
  <c r="DR37" i="95"/>
  <c r="DS37" i="95"/>
  <c r="DT37" i="95"/>
  <c r="DU37" i="95"/>
  <c r="DV37" i="95"/>
  <c r="DW37" i="95"/>
  <c r="DX37" i="95"/>
  <c r="DY37" i="95"/>
  <c r="DZ37" i="95"/>
  <c r="EA37" i="95"/>
  <c r="EB37" i="95"/>
  <c r="EC37" i="95"/>
  <c r="ED37" i="95"/>
  <c r="EE37" i="95"/>
  <c r="EF37" i="95"/>
  <c r="EG37" i="95"/>
  <c r="EH37" i="95"/>
  <c r="EI37" i="95"/>
  <c r="EJ37" i="95"/>
  <c r="EK37" i="95"/>
  <c r="EL37" i="95"/>
  <c r="EM37" i="95"/>
  <c r="EN37" i="95"/>
  <c r="EO37" i="95"/>
  <c r="EP37" i="95"/>
  <c r="EQ37" i="95"/>
  <c r="ER37" i="95"/>
  <c r="ES37" i="95"/>
  <c r="ET37" i="95"/>
  <c r="EU37" i="95"/>
  <c r="EV37" i="95"/>
  <c r="EW37" i="95"/>
  <c r="EX37" i="95"/>
  <c r="EY37" i="95"/>
  <c r="EZ37" i="95"/>
  <c r="FA37" i="95"/>
  <c r="FB37" i="95"/>
  <c r="FC37" i="95"/>
  <c r="FD37" i="95"/>
  <c r="FE37" i="95"/>
  <c r="FF37" i="95"/>
  <c r="FG37" i="95"/>
  <c r="FH37" i="95"/>
  <c r="FI37" i="95"/>
  <c r="FJ37" i="95"/>
  <c r="FK37" i="95"/>
  <c r="FL37" i="95"/>
  <c r="FM37" i="95"/>
  <c r="FN37" i="95"/>
  <c r="FO37" i="95"/>
  <c r="FP37" i="95"/>
  <c r="FQ37" i="95"/>
  <c r="FR37" i="95"/>
  <c r="FS37" i="95"/>
  <c r="FT37" i="95"/>
  <c r="FU37" i="95"/>
  <c r="FV37" i="95"/>
  <c r="FW37" i="95"/>
  <c r="FX37" i="95"/>
  <c r="FY37" i="95"/>
  <c r="FZ37" i="95"/>
  <c r="GA37" i="95"/>
  <c r="GB37" i="95"/>
  <c r="GC37" i="95"/>
  <c r="GD37" i="95"/>
  <c r="GE37" i="95"/>
  <c r="GF37" i="95"/>
  <c r="GG37" i="95"/>
  <c r="GH37" i="95"/>
  <c r="GI37" i="95"/>
  <c r="GJ37" i="95"/>
  <c r="GK37" i="95"/>
  <c r="GL37" i="95"/>
  <c r="GM37" i="95"/>
  <c r="GN37" i="95"/>
  <c r="GO37" i="95"/>
  <c r="GP37" i="95"/>
  <c r="GQ37" i="95"/>
  <c r="GR37" i="95"/>
  <c r="GS37" i="95"/>
  <c r="GT37" i="95"/>
  <c r="GU37" i="95"/>
  <c r="GV37" i="95"/>
  <c r="GW37" i="95"/>
  <c r="GX37" i="95"/>
  <c r="GY37" i="95"/>
  <c r="GZ37" i="95"/>
  <c r="HA37" i="95"/>
  <c r="HB37" i="95"/>
  <c r="HC37" i="95"/>
  <c r="HD37" i="95"/>
  <c r="HE37" i="95"/>
  <c r="HF37" i="95"/>
  <c r="HG37" i="95"/>
  <c r="HH37" i="95"/>
  <c r="HI37" i="95"/>
  <c r="HJ37" i="95"/>
  <c r="HK37" i="95"/>
  <c r="HL37" i="95"/>
  <c r="HM37" i="95"/>
  <c r="HN37" i="95"/>
  <c r="HO37" i="95"/>
  <c r="HP37" i="95"/>
  <c r="HQ37" i="95"/>
  <c r="G38" i="95"/>
  <c r="H38" i="95"/>
  <c r="I38" i="95"/>
  <c r="J38" i="95"/>
  <c r="K38" i="95"/>
  <c r="L38" i="95"/>
  <c r="M38" i="95"/>
  <c r="N38" i="95"/>
  <c r="O38" i="95"/>
  <c r="P38" i="95"/>
  <c r="Q38" i="95"/>
  <c r="R38" i="95"/>
  <c r="S38" i="95"/>
  <c r="T38" i="95"/>
  <c r="U38" i="95"/>
  <c r="V38" i="95"/>
  <c r="W38" i="95"/>
  <c r="X38" i="95"/>
  <c r="Y38" i="95"/>
  <c r="Z38" i="95"/>
  <c r="AA38" i="95"/>
  <c r="AB38" i="95"/>
  <c r="AC38" i="95"/>
  <c r="AD38" i="95"/>
  <c r="AE38" i="95"/>
  <c r="AF38" i="95"/>
  <c r="AG38" i="95"/>
  <c r="AH38" i="95"/>
  <c r="AI38" i="95"/>
  <c r="AJ38" i="95"/>
  <c r="AK38" i="95"/>
  <c r="AL38" i="95"/>
  <c r="AM38" i="95"/>
  <c r="AN38" i="95"/>
  <c r="AO38" i="95"/>
  <c r="AP38" i="95"/>
  <c r="AQ38" i="95"/>
  <c r="AR38" i="95"/>
  <c r="AS38" i="95"/>
  <c r="AT38" i="95"/>
  <c r="AU38" i="95"/>
  <c r="AV38" i="95"/>
  <c r="AW38" i="95"/>
  <c r="AX38" i="95"/>
  <c r="AY38" i="95"/>
  <c r="AZ38" i="95"/>
  <c r="BA38" i="95"/>
  <c r="BB38" i="95"/>
  <c r="BC38" i="95"/>
  <c r="BD38" i="95"/>
  <c r="BE38" i="95"/>
  <c r="BF38" i="95"/>
  <c r="BG38" i="95"/>
  <c r="BH38" i="95"/>
  <c r="BI38" i="95"/>
  <c r="BJ38" i="95"/>
  <c r="BK38" i="95"/>
  <c r="BL38" i="95"/>
  <c r="BM38" i="95"/>
  <c r="BN38" i="95"/>
  <c r="BO38" i="95"/>
  <c r="BP38" i="95"/>
  <c r="BQ38" i="95"/>
  <c r="BR38" i="95"/>
  <c r="BS38" i="95"/>
  <c r="BT38" i="95"/>
  <c r="BU38" i="95"/>
  <c r="BV38" i="95"/>
  <c r="BW38" i="95"/>
  <c r="BX38" i="95"/>
  <c r="BY38" i="95"/>
  <c r="BZ38" i="95"/>
  <c r="CA38" i="95"/>
  <c r="CB38" i="95"/>
  <c r="CC38" i="95"/>
  <c r="CD38" i="95"/>
  <c r="CE38" i="95"/>
  <c r="CF38" i="95"/>
  <c r="CG38" i="95"/>
  <c r="CH38" i="95"/>
  <c r="CI38" i="95"/>
  <c r="CJ38" i="95"/>
  <c r="CK38" i="95"/>
  <c r="CL38" i="95"/>
  <c r="CM38" i="95"/>
  <c r="CN38" i="95"/>
  <c r="CO38" i="95"/>
  <c r="CP38" i="95"/>
  <c r="CQ38" i="95"/>
  <c r="CR38" i="95"/>
  <c r="CS38" i="95"/>
  <c r="CT38" i="95"/>
  <c r="CU38" i="95"/>
  <c r="CV38" i="95"/>
  <c r="CW38" i="95"/>
  <c r="CX38" i="95"/>
  <c r="CY38" i="95"/>
  <c r="CZ38" i="95"/>
  <c r="DA38" i="95"/>
  <c r="DB38" i="95"/>
  <c r="DC38" i="95"/>
  <c r="DD38" i="95"/>
  <c r="DE38" i="95"/>
  <c r="DF38" i="95"/>
  <c r="DG38" i="95"/>
  <c r="DH38" i="95"/>
  <c r="DI38" i="95"/>
  <c r="DJ38" i="95"/>
  <c r="DK38" i="95"/>
  <c r="DL38" i="95"/>
  <c r="DM38" i="95"/>
  <c r="DN38" i="95"/>
  <c r="DO38" i="95"/>
  <c r="DP38" i="95"/>
  <c r="DQ38" i="95"/>
  <c r="DR38" i="95"/>
  <c r="DS38" i="95"/>
  <c r="DT38" i="95"/>
  <c r="DU38" i="95"/>
  <c r="DV38" i="95"/>
  <c r="DW38" i="95"/>
  <c r="DX38" i="95"/>
  <c r="DY38" i="95"/>
  <c r="DZ38" i="95"/>
  <c r="EA38" i="95"/>
  <c r="EB38" i="95"/>
  <c r="EC38" i="95"/>
  <c r="ED38" i="95"/>
  <c r="EE38" i="95"/>
  <c r="EF38" i="95"/>
  <c r="EG38" i="95"/>
  <c r="EH38" i="95"/>
  <c r="EI38" i="95"/>
  <c r="EJ38" i="95"/>
  <c r="EK38" i="95"/>
  <c r="EL38" i="95"/>
  <c r="EM38" i="95"/>
  <c r="EN38" i="95"/>
  <c r="EO38" i="95"/>
  <c r="EP38" i="95"/>
  <c r="EQ38" i="95"/>
  <c r="ER38" i="95"/>
  <c r="ES38" i="95"/>
  <c r="ET38" i="95"/>
  <c r="EU38" i="95"/>
  <c r="EV38" i="95"/>
  <c r="EW38" i="95"/>
  <c r="EX38" i="95"/>
  <c r="EY38" i="95"/>
  <c r="EZ38" i="95"/>
  <c r="FA38" i="95"/>
  <c r="FB38" i="95"/>
  <c r="FC38" i="95"/>
  <c r="FD38" i="95"/>
  <c r="FE38" i="95"/>
  <c r="FF38" i="95"/>
  <c r="FG38" i="95"/>
  <c r="FH38" i="95"/>
  <c r="FI38" i="95"/>
  <c r="FJ38" i="95"/>
  <c r="FK38" i="95"/>
  <c r="FL38" i="95"/>
  <c r="FM38" i="95"/>
  <c r="FN38" i="95"/>
  <c r="FO38" i="95"/>
  <c r="FP38" i="95"/>
  <c r="FQ38" i="95"/>
  <c r="FR38" i="95"/>
  <c r="FS38" i="95"/>
  <c r="FT38" i="95"/>
  <c r="FU38" i="95"/>
  <c r="FV38" i="95"/>
  <c r="FW38" i="95"/>
  <c r="FX38" i="95"/>
  <c r="FY38" i="95"/>
  <c r="FZ38" i="95"/>
  <c r="GA38" i="95"/>
  <c r="GB38" i="95"/>
  <c r="GC38" i="95"/>
  <c r="GD38" i="95"/>
  <c r="GE38" i="95"/>
  <c r="GF38" i="95"/>
  <c r="GG38" i="95"/>
  <c r="GH38" i="95"/>
  <c r="GI38" i="95"/>
  <c r="GJ38" i="95"/>
  <c r="GK38" i="95"/>
  <c r="GL38" i="95"/>
  <c r="GM38" i="95"/>
  <c r="GN38" i="95"/>
  <c r="GO38" i="95"/>
  <c r="GP38" i="95"/>
  <c r="GQ38" i="95"/>
  <c r="GR38" i="95"/>
  <c r="GS38" i="95"/>
  <c r="GT38" i="95"/>
  <c r="GU38" i="95"/>
  <c r="GV38" i="95"/>
  <c r="GW38" i="95"/>
  <c r="GX38" i="95"/>
  <c r="GY38" i="95"/>
  <c r="GZ38" i="95"/>
  <c r="HA38" i="95"/>
  <c r="HB38" i="95"/>
  <c r="HC38" i="95"/>
  <c r="HD38" i="95"/>
  <c r="HE38" i="95"/>
  <c r="HF38" i="95"/>
  <c r="HG38" i="95"/>
  <c r="HH38" i="95"/>
  <c r="HI38" i="95"/>
  <c r="HJ38" i="95"/>
  <c r="HK38" i="95"/>
  <c r="HL38" i="95"/>
  <c r="HM38" i="95"/>
  <c r="HN38" i="95"/>
  <c r="HO38" i="95"/>
  <c r="HP38" i="95"/>
  <c r="HQ38" i="95"/>
  <c r="G39" i="95"/>
  <c r="H39" i="95"/>
  <c r="I39" i="95"/>
  <c r="J39" i="95"/>
  <c r="K39" i="95"/>
  <c r="L39" i="95"/>
  <c r="M39" i="95"/>
  <c r="N39" i="95"/>
  <c r="O39" i="95"/>
  <c r="P39" i="95"/>
  <c r="Q39" i="95"/>
  <c r="R39" i="95"/>
  <c r="S39" i="95"/>
  <c r="T39" i="95"/>
  <c r="U39" i="95"/>
  <c r="V39" i="95"/>
  <c r="W39" i="95"/>
  <c r="X39" i="95"/>
  <c r="Y39" i="95"/>
  <c r="Z39" i="95"/>
  <c r="AA39" i="95"/>
  <c r="AB39" i="95"/>
  <c r="AC39" i="95"/>
  <c r="AD39" i="95"/>
  <c r="AE39" i="95"/>
  <c r="AF39" i="95"/>
  <c r="AG39" i="95"/>
  <c r="AH39" i="95"/>
  <c r="AI39" i="95"/>
  <c r="AJ39" i="95"/>
  <c r="AK39" i="95"/>
  <c r="AL39" i="95"/>
  <c r="AM39" i="95"/>
  <c r="AN39" i="95"/>
  <c r="AO39" i="95"/>
  <c r="AP39" i="95"/>
  <c r="AQ39" i="95"/>
  <c r="AR39" i="95"/>
  <c r="AS39" i="95"/>
  <c r="AT39" i="95"/>
  <c r="AU39" i="95"/>
  <c r="AV39" i="95"/>
  <c r="AW39" i="95"/>
  <c r="AX39" i="95"/>
  <c r="AY39" i="95"/>
  <c r="AZ39" i="95"/>
  <c r="BA39" i="95"/>
  <c r="BB39" i="95"/>
  <c r="BC39" i="95"/>
  <c r="BD39" i="95"/>
  <c r="BE39" i="95"/>
  <c r="BF39" i="95"/>
  <c r="BG39" i="95"/>
  <c r="BH39" i="95"/>
  <c r="BI39" i="95"/>
  <c r="BJ39" i="95"/>
  <c r="BK39" i="95"/>
  <c r="BL39" i="95"/>
  <c r="BM39" i="95"/>
  <c r="BN39" i="95"/>
  <c r="BO39" i="95"/>
  <c r="BP39" i="95"/>
  <c r="BQ39" i="95"/>
  <c r="BR39" i="95"/>
  <c r="BS39" i="95"/>
  <c r="BT39" i="95"/>
  <c r="BU39" i="95"/>
  <c r="BV39" i="95"/>
  <c r="BW39" i="95"/>
  <c r="BX39" i="95"/>
  <c r="BY39" i="95"/>
  <c r="BZ39" i="95"/>
  <c r="CA39" i="95"/>
  <c r="CB39" i="95"/>
  <c r="CC39" i="95"/>
  <c r="CD39" i="95"/>
  <c r="CE39" i="95"/>
  <c r="CF39" i="95"/>
  <c r="CG39" i="95"/>
  <c r="CH39" i="95"/>
  <c r="CI39" i="95"/>
  <c r="CJ39" i="95"/>
  <c r="CK39" i="95"/>
  <c r="CL39" i="95"/>
  <c r="CM39" i="95"/>
  <c r="CN39" i="95"/>
  <c r="CO39" i="95"/>
  <c r="CP39" i="95"/>
  <c r="CQ39" i="95"/>
  <c r="CR39" i="95"/>
  <c r="CS39" i="95"/>
  <c r="CT39" i="95"/>
  <c r="CU39" i="95"/>
  <c r="CV39" i="95"/>
  <c r="CW39" i="95"/>
  <c r="CX39" i="95"/>
  <c r="CY39" i="95"/>
  <c r="CZ39" i="95"/>
  <c r="DA39" i="95"/>
  <c r="DB39" i="95"/>
  <c r="DC39" i="95"/>
  <c r="DD39" i="95"/>
  <c r="DE39" i="95"/>
  <c r="DF39" i="95"/>
  <c r="DG39" i="95"/>
  <c r="DH39" i="95"/>
  <c r="DI39" i="95"/>
  <c r="DJ39" i="95"/>
  <c r="DK39" i="95"/>
  <c r="DL39" i="95"/>
  <c r="DM39" i="95"/>
  <c r="DN39" i="95"/>
  <c r="DO39" i="95"/>
  <c r="DP39" i="95"/>
  <c r="DQ39" i="95"/>
  <c r="DR39" i="95"/>
  <c r="DS39" i="95"/>
  <c r="DT39" i="95"/>
  <c r="DU39" i="95"/>
  <c r="DV39" i="95"/>
  <c r="DW39" i="95"/>
  <c r="DX39" i="95"/>
  <c r="DY39" i="95"/>
  <c r="DZ39" i="95"/>
  <c r="EA39" i="95"/>
  <c r="EB39" i="95"/>
  <c r="EC39" i="95"/>
  <c r="ED39" i="95"/>
  <c r="EE39" i="95"/>
  <c r="EF39" i="95"/>
  <c r="EG39" i="95"/>
  <c r="EH39" i="95"/>
  <c r="EI39" i="95"/>
  <c r="EJ39" i="95"/>
  <c r="EK39" i="95"/>
  <c r="EL39" i="95"/>
  <c r="EM39" i="95"/>
  <c r="EN39" i="95"/>
  <c r="EO39" i="95"/>
  <c r="EP39" i="95"/>
  <c r="EQ39" i="95"/>
  <c r="ER39" i="95"/>
  <c r="ES39" i="95"/>
  <c r="ET39" i="95"/>
  <c r="EU39" i="95"/>
  <c r="EV39" i="95"/>
  <c r="EW39" i="95"/>
  <c r="EX39" i="95"/>
  <c r="EY39" i="95"/>
  <c r="EZ39" i="95"/>
  <c r="FA39" i="95"/>
  <c r="FB39" i="95"/>
  <c r="FC39" i="95"/>
  <c r="FD39" i="95"/>
  <c r="FE39" i="95"/>
  <c r="FF39" i="95"/>
  <c r="FG39" i="95"/>
  <c r="FH39" i="95"/>
  <c r="FI39" i="95"/>
  <c r="FJ39" i="95"/>
  <c r="FK39" i="95"/>
  <c r="FL39" i="95"/>
  <c r="FM39" i="95"/>
  <c r="FN39" i="95"/>
  <c r="FO39" i="95"/>
  <c r="FP39" i="95"/>
  <c r="FQ39" i="95"/>
  <c r="FR39" i="95"/>
  <c r="FS39" i="95"/>
  <c r="FT39" i="95"/>
  <c r="FU39" i="95"/>
  <c r="FV39" i="95"/>
  <c r="FW39" i="95"/>
  <c r="FX39" i="95"/>
  <c r="FY39" i="95"/>
  <c r="FZ39" i="95"/>
  <c r="GA39" i="95"/>
  <c r="GB39" i="95"/>
  <c r="GC39" i="95"/>
  <c r="GD39" i="95"/>
  <c r="GE39" i="95"/>
  <c r="GF39" i="95"/>
  <c r="GG39" i="95"/>
  <c r="GH39" i="95"/>
  <c r="GI39" i="95"/>
  <c r="GJ39" i="95"/>
  <c r="GK39" i="95"/>
  <c r="GL39" i="95"/>
  <c r="GM39" i="95"/>
  <c r="GN39" i="95"/>
  <c r="GO39" i="95"/>
  <c r="GP39" i="95"/>
  <c r="GQ39" i="95"/>
  <c r="GR39" i="95"/>
  <c r="GS39" i="95"/>
  <c r="GT39" i="95"/>
  <c r="GU39" i="95"/>
  <c r="GV39" i="95"/>
  <c r="GW39" i="95"/>
  <c r="GX39" i="95"/>
  <c r="GY39" i="95"/>
  <c r="GZ39" i="95"/>
  <c r="HA39" i="95"/>
  <c r="HB39" i="95"/>
  <c r="HC39" i="95"/>
  <c r="HD39" i="95"/>
  <c r="HE39" i="95"/>
  <c r="HF39" i="95"/>
  <c r="HG39" i="95"/>
  <c r="HH39" i="95"/>
  <c r="HI39" i="95"/>
  <c r="HJ39" i="95"/>
  <c r="HK39" i="95"/>
  <c r="HL39" i="95"/>
  <c r="HM39" i="95"/>
  <c r="HN39" i="95"/>
  <c r="HO39" i="95"/>
  <c r="HP39" i="95"/>
  <c r="HQ39" i="95"/>
  <c r="G40" i="95"/>
  <c r="H40" i="95"/>
  <c r="I40" i="95"/>
  <c r="J40" i="95"/>
  <c r="K40" i="95"/>
  <c r="L40" i="95"/>
  <c r="M40" i="95"/>
  <c r="N40" i="95"/>
  <c r="O40" i="95"/>
  <c r="P40" i="95"/>
  <c r="Q40" i="95"/>
  <c r="R40" i="95"/>
  <c r="S40" i="95"/>
  <c r="T40" i="95"/>
  <c r="U40" i="95"/>
  <c r="V40" i="95"/>
  <c r="W40" i="95"/>
  <c r="X40" i="95"/>
  <c r="Y40" i="95"/>
  <c r="Z40" i="95"/>
  <c r="AA40" i="95"/>
  <c r="AB40" i="95"/>
  <c r="AC40" i="95"/>
  <c r="AD40" i="95"/>
  <c r="AE40" i="95"/>
  <c r="AF40" i="95"/>
  <c r="AG40" i="95"/>
  <c r="AH40" i="95"/>
  <c r="AI40" i="95"/>
  <c r="AJ40" i="95"/>
  <c r="AK40" i="95"/>
  <c r="AL40" i="95"/>
  <c r="AM40" i="95"/>
  <c r="AN40" i="95"/>
  <c r="AO40" i="95"/>
  <c r="AP40" i="95"/>
  <c r="AQ40" i="95"/>
  <c r="AR40" i="95"/>
  <c r="AS40" i="95"/>
  <c r="AT40" i="95"/>
  <c r="AU40" i="95"/>
  <c r="AV40" i="95"/>
  <c r="AW40" i="95"/>
  <c r="AX40" i="95"/>
  <c r="AY40" i="95"/>
  <c r="AZ40" i="95"/>
  <c r="BA40" i="95"/>
  <c r="BB40" i="95"/>
  <c r="BC40" i="95"/>
  <c r="BD40" i="95"/>
  <c r="BE40" i="95"/>
  <c r="BF40" i="95"/>
  <c r="BG40" i="95"/>
  <c r="BH40" i="95"/>
  <c r="BI40" i="95"/>
  <c r="BJ40" i="95"/>
  <c r="BK40" i="95"/>
  <c r="BL40" i="95"/>
  <c r="BM40" i="95"/>
  <c r="BN40" i="95"/>
  <c r="BO40" i="95"/>
  <c r="BP40" i="95"/>
  <c r="BQ40" i="95"/>
  <c r="BR40" i="95"/>
  <c r="BS40" i="95"/>
  <c r="BT40" i="95"/>
  <c r="BU40" i="95"/>
  <c r="BV40" i="95"/>
  <c r="BW40" i="95"/>
  <c r="BX40" i="95"/>
  <c r="BY40" i="95"/>
  <c r="BZ40" i="95"/>
  <c r="CA40" i="95"/>
  <c r="CB40" i="95"/>
  <c r="CC40" i="95"/>
  <c r="CD40" i="95"/>
  <c r="CE40" i="95"/>
  <c r="CF40" i="95"/>
  <c r="CG40" i="95"/>
  <c r="CH40" i="95"/>
  <c r="CI40" i="95"/>
  <c r="CJ40" i="95"/>
  <c r="CK40" i="95"/>
  <c r="CL40" i="95"/>
  <c r="CM40" i="95"/>
  <c r="CN40" i="95"/>
  <c r="CO40" i="95"/>
  <c r="CP40" i="95"/>
  <c r="CQ40" i="95"/>
  <c r="CR40" i="95"/>
  <c r="CS40" i="95"/>
  <c r="CT40" i="95"/>
  <c r="CU40" i="95"/>
  <c r="CV40" i="95"/>
  <c r="CW40" i="95"/>
  <c r="CX40" i="95"/>
  <c r="CY40" i="95"/>
  <c r="CZ40" i="95"/>
  <c r="DA40" i="95"/>
  <c r="DB40" i="95"/>
  <c r="DC40" i="95"/>
  <c r="DD40" i="95"/>
  <c r="DE40" i="95"/>
  <c r="DF40" i="95"/>
  <c r="DG40" i="95"/>
  <c r="DH40" i="95"/>
  <c r="DI40" i="95"/>
  <c r="DJ40" i="95"/>
  <c r="DK40" i="95"/>
  <c r="DL40" i="95"/>
  <c r="DM40" i="95"/>
  <c r="DN40" i="95"/>
  <c r="DO40" i="95"/>
  <c r="DP40" i="95"/>
  <c r="DQ40" i="95"/>
  <c r="DR40" i="95"/>
  <c r="DS40" i="95"/>
  <c r="DT40" i="95"/>
  <c r="DU40" i="95"/>
  <c r="DV40" i="95"/>
  <c r="DW40" i="95"/>
  <c r="DX40" i="95"/>
  <c r="DY40" i="95"/>
  <c r="DZ40" i="95"/>
  <c r="EA40" i="95"/>
  <c r="EB40" i="95"/>
  <c r="EC40" i="95"/>
  <c r="ED40" i="95"/>
  <c r="EE40" i="95"/>
  <c r="EF40" i="95"/>
  <c r="EG40" i="95"/>
  <c r="EH40" i="95"/>
  <c r="EI40" i="95"/>
  <c r="EJ40" i="95"/>
  <c r="EK40" i="95"/>
  <c r="EL40" i="95"/>
  <c r="EM40" i="95"/>
  <c r="EN40" i="95"/>
  <c r="EO40" i="95"/>
  <c r="EP40" i="95"/>
  <c r="EQ40" i="95"/>
  <c r="ER40" i="95"/>
  <c r="ES40" i="95"/>
  <c r="ET40" i="95"/>
  <c r="EU40" i="95"/>
  <c r="EV40" i="95"/>
  <c r="EW40" i="95"/>
  <c r="EX40" i="95"/>
  <c r="EY40" i="95"/>
  <c r="EZ40" i="95"/>
  <c r="FA40" i="95"/>
  <c r="FB40" i="95"/>
  <c r="FC40" i="95"/>
  <c r="FD40" i="95"/>
  <c r="FE40" i="95"/>
  <c r="FF40" i="95"/>
  <c r="FG40" i="95"/>
  <c r="FH40" i="95"/>
  <c r="FI40" i="95"/>
  <c r="FJ40" i="95"/>
  <c r="FK40" i="95"/>
  <c r="FL40" i="95"/>
  <c r="FM40" i="95"/>
  <c r="FN40" i="95"/>
  <c r="FO40" i="95"/>
  <c r="FP40" i="95"/>
  <c r="FQ40" i="95"/>
  <c r="FR40" i="95"/>
  <c r="FS40" i="95"/>
  <c r="FT40" i="95"/>
  <c r="FU40" i="95"/>
  <c r="FV40" i="95"/>
  <c r="FW40" i="95"/>
  <c r="FX40" i="95"/>
  <c r="FY40" i="95"/>
  <c r="FZ40" i="95"/>
  <c r="GA40" i="95"/>
  <c r="GB40" i="95"/>
  <c r="GC40" i="95"/>
  <c r="GD40" i="95"/>
  <c r="GE40" i="95"/>
  <c r="GF40" i="95"/>
  <c r="GG40" i="95"/>
  <c r="GH40" i="95"/>
  <c r="GI40" i="95"/>
  <c r="GJ40" i="95"/>
  <c r="GK40" i="95"/>
  <c r="GL40" i="95"/>
  <c r="GM40" i="95"/>
  <c r="GN40" i="95"/>
  <c r="GO40" i="95"/>
  <c r="GP40" i="95"/>
  <c r="GQ40" i="95"/>
  <c r="GR40" i="95"/>
  <c r="GS40" i="95"/>
  <c r="GT40" i="95"/>
  <c r="GU40" i="95"/>
  <c r="GV40" i="95"/>
  <c r="GW40" i="95"/>
  <c r="GX40" i="95"/>
  <c r="GY40" i="95"/>
  <c r="GZ40" i="95"/>
  <c r="HA40" i="95"/>
  <c r="HB40" i="95"/>
  <c r="HC40" i="95"/>
  <c r="HD40" i="95"/>
  <c r="HE40" i="95"/>
  <c r="HF40" i="95"/>
  <c r="HG40" i="95"/>
  <c r="HH40" i="95"/>
  <c r="HI40" i="95"/>
  <c r="HJ40" i="95"/>
  <c r="HK40" i="95"/>
  <c r="HL40" i="95"/>
  <c r="HM40" i="95"/>
  <c r="HN40" i="95"/>
  <c r="HO40" i="95"/>
  <c r="HP40" i="95"/>
  <c r="HQ40" i="95"/>
  <c r="G41" i="95"/>
  <c r="H41" i="95"/>
  <c r="I41" i="95"/>
  <c r="J41" i="95"/>
  <c r="K41" i="95"/>
  <c r="L41" i="95"/>
  <c r="M41" i="95"/>
  <c r="N41" i="95"/>
  <c r="O41" i="95"/>
  <c r="P41" i="95"/>
  <c r="Q41" i="95"/>
  <c r="R41" i="95"/>
  <c r="S41" i="95"/>
  <c r="T41" i="95"/>
  <c r="U41" i="95"/>
  <c r="V41" i="95"/>
  <c r="W41" i="95"/>
  <c r="X41" i="95"/>
  <c r="Y41" i="95"/>
  <c r="Z41" i="95"/>
  <c r="AA41" i="95"/>
  <c r="AB41" i="95"/>
  <c r="AC41" i="95"/>
  <c r="AD41" i="95"/>
  <c r="AE41" i="95"/>
  <c r="AF41" i="95"/>
  <c r="AG41" i="95"/>
  <c r="AH41" i="95"/>
  <c r="AI41" i="95"/>
  <c r="AJ41" i="95"/>
  <c r="AK41" i="95"/>
  <c r="AL41" i="95"/>
  <c r="AM41" i="95"/>
  <c r="AN41" i="95"/>
  <c r="AO41" i="95"/>
  <c r="AP41" i="95"/>
  <c r="AQ41" i="95"/>
  <c r="AR41" i="95"/>
  <c r="AS41" i="95"/>
  <c r="AT41" i="95"/>
  <c r="AU41" i="95"/>
  <c r="AV41" i="95"/>
  <c r="AW41" i="95"/>
  <c r="AX41" i="95"/>
  <c r="AY41" i="95"/>
  <c r="AZ41" i="95"/>
  <c r="BA41" i="95"/>
  <c r="BB41" i="95"/>
  <c r="BC41" i="95"/>
  <c r="BD41" i="95"/>
  <c r="BE41" i="95"/>
  <c r="BF41" i="95"/>
  <c r="BG41" i="95"/>
  <c r="BH41" i="95"/>
  <c r="BI41" i="95"/>
  <c r="BJ41" i="95"/>
  <c r="BK41" i="95"/>
  <c r="BL41" i="95"/>
  <c r="BM41" i="95"/>
  <c r="BN41" i="95"/>
  <c r="BO41" i="95"/>
  <c r="BP41" i="95"/>
  <c r="BQ41" i="95"/>
  <c r="BR41" i="95"/>
  <c r="BS41" i="95"/>
  <c r="BT41" i="95"/>
  <c r="BU41" i="95"/>
  <c r="BV41" i="95"/>
  <c r="BW41" i="95"/>
  <c r="BX41" i="95"/>
  <c r="BY41" i="95"/>
  <c r="BZ41" i="95"/>
  <c r="CA41" i="95"/>
  <c r="CB41" i="95"/>
  <c r="CC41" i="95"/>
  <c r="CD41" i="95"/>
  <c r="CE41" i="95"/>
  <c r="CF41" i="95"/>
  <c r="CG41" i="95"/>
  <c r="CH41" i="95"/>
  <c r="CI41" i="95"/>
  <c r="CJ41" i="95"/>
  <c r="CK41" i="95"/>
  <c r="CL41" i="95"/>
  <c r="CM41" i="95"/>
  <c r="CN41" i="95"/>
  <c r="CO41" i="95"/>
  <c r="CP41" i="95"/>
  <c r="CQ41" i="95"/>
  <c r="CR41" i="95"/>
  <c r="CS41" i="95"/>
  <c r="CT41" i="95"/>
  <c r="CU41" i="95"/>
  <c r="CV41" i="95"/>
  <c r="CW41" i="95"/>
  <c r="CX41" i="95"/>
  <c r="CY41" i="95"/>
  <c r="CZ41" i="95"/>
  <c r="DA41" i="95"/>
  <c r="DB41" i="95"/>
  <c r="DC41" i="95"/>
  <c r="DD41" i="95"/>
  <c r="DE41" i="95"/>
  <c r="DF41" i="95"/>
  <c r="DG41" i="95"/>
  <c r="DH41" i="95"/>
  <c r="DI41" i="95"/>
  <c r="DJ41" i="95"/>
  <c r="DK41" i="95"/>
  <c r="DL41" i="95"/>
  <c r="DM41" i="95"/>
  <c r="DN41" i="95"/>
  <c r="DO41" i="95"/>
  <c r="DP41" i="95"/>
  <c r="DQ41" i="95"/>
  <c r="DR41" i="95"/>
  <c r="DS41" i="95"/>
  <c r="DT41" i="95"/>
  <c r="DU41" i="95"/>
  <c r="DV41" i="95"/>
  <c r="DW41" i="95"/>
  <c r="DX41" i="95"/>
  <c r="DY41" i="95"/>
  <c r="DZ41" i="95"/>
  <c r="EA41" i="95"/>
  <c r="EB41" i="95"/>
  <c r="EC41" i="95"/>
  <c r="ED41" i="95"/>
  <c r="EE41" i="95"/>
  <c r="EF41" i="95"/>
  <c r="EG41" i="95"/>
  <c r="EH41" i="95"/>
  <c r="EI41" i="95"/>
  <c r="EJ41" i="95"/>
  <c r="EK41" i="95"/>
  <c r="EL41" i="95"/>
  <c r="EM41" i="95"/>
  <c r="EN41" i="95"/>
  <c r="EO41" i="95"/>
  <c r="EP41" i="95"/>
  <c r="EQ41" i="95"/>
  <c r="ER41" i="95"/>
  <c r="ES41" i="95"/>
  <c r="ET41" i="95"/>
  <c r="EU41" i="95"/>
  <c r="EV41" i="95"/>
  <c r="EW41" i="95"/>
  <c r="EX41" i="95"/>
  <c r="EY41" i="95"/>
  <c r="EZ41" i="95"/>
  <c r="FA41" i="95"/>
  <c r="FB41" i="95"/>
  <c r="FC41" i="95"/>
  <c r="FD41" i="95"/>
  <c r="FE41" i="95"/>
  <c r="FF41" i="95"/>
  <c r="FG41" i="95"/>
  <c r="FH41" i="95"/>
  <c r="FI41" i="95"/>
  <c r="FJ41" i="95"/>
  <c r="FK41" i="95"/>
  <c r="FL41" i="95"/>
  <c r="FM41" i="95"/>
  <c r="FN41" i="95"/>
  <c r="FO41" i="95"/>
  <c r="FP41" i="95"/>
  <c r="FQ41" i="95"/>
  <c r="FR41" i="95"/>
  <c r="FS41" i="95"/>
  <c r="FT41" i="95"/>
  <c r="FU41" i="95"/>
  <c r="FV41" i="95"/>
  <c r="FW41" i="95"/>
  <c r="FX41" i="95"/>
  <c r="FY41" i="95"/>
  <c r="FZ41" i="95"/>
  <c r="GA41" i="95"/>
  <c r="GB41" i="95"/>
  <c r="GC41" i="95"/>
  <c r="GD41" i="95"/>
  <c r="GE41" i="95"/>
  <c r="GF41" i="95"/>
  <c r="GG41" i="95"/>
  <c r="GH41" i="95"/>
  <c r="GI41" i="95"/>
  <c r="GJ41" i="95"/>
  <c r="GK41" i="95"/>
  <c r="GL41" i="95"/>
  <c r="GM41" i="95"/>
  <c r="GN41" i="95"/>
  <c r="GO41" i="95"/>
  <c r="GP41" i="95"/>
  <c r="GQ41" i="95"/>
  <c r="GR41" i="95"/>
  <c r="GS41" i="95"/>
  <c r="GT41" i="95"/>
  <c r="GU41" i="95"/>
  <c r="GV41" i="95"/>
  <c r="GW41" i="95"/>
  <c r="GX41" i="95"/>
  <c r="GY41" i="95"/>
  <c r="GZ41" i="95"/>
  <c r="HA41" i="95"/>
  <c r="HB41" i="95"/>
  <c r="HC41" i="95"/>
  <c r="HD41" i="95"/>
  <c r="HE41" i="95"/>
  <c r="HF41" i="95"/>
  <c r="HG41" i="95"/>
  <c r="HH41" i="95"/>
  <c r="HI41" i="95"/>
  <c r="HJ41" i="95"/>
  <c r="HK41" i="95"/>
  <c r="HL41" i="95"/>
  <c r="HM41" i="95"/>
  <c r="HN41" i="95"/>
  <c r="HO41" i="95"/>
  <c r="HP41" i="95"/>
  <c r="HQ41" i="95"/>
  <c r="G42" i="95"/>
  <c r="H42" i="95"/>
  <c r="I42" i="95"/>
  <c r="J42" i="95"/>
  <c r="K42" i="95"/>
  <c r="L42" i="95"/>
  <c r="M42" i="95"/>
  <c r="N42" i="95"/>
  <c r="O42" i="95"/>
  <c r="P42" i="95"/>
  <c r="Q42" i="95"/>
  <c r="R42" i="95"/>
  <c r="S42" i="95"/>
  <c r="T42" i="95"/>
  <c r="U42" i="95"/>
  <c r="V42" i="95"/>
  <c r="W42" i="95"/>
  <c r="X42" i="95"/>
  <c r="Y42" i="95"/>
  <c r="Z42" i="95"/>
  <c r="AA42" i="95"/>
  <c r="AB42" i="95"/>
  <c r="AC42" i="95"/>
  <c r="AD42" i="95"/>
  <c r="AE42" i="95"/>
  <c r="AF42" i="95"/>
  <c r="AG42" i="95"/>
  <c r="AH42" i="95"/>
  <c r="AI42" i="95"/>
  <c r="AJ42" i="95"/>
  <c r="AK42" i="95"/>
  <c r="AL42" i="95"/>
  <c r="AM42" i="95"/>
  <c r="AN42" i="95"/>
  <c r="AO42" i="95"/>
  <c r="AP42" i="95"/>
  <c r="AQ42" i="95"/>
  <c r="AR42" i="95"/>
  <c r="AS42" i="95"/>
  <c r="AT42" i="95"/>
  <c r="AU42" i="95"/>
  <c r="AV42" i="95"/>
  <c r="AW42" i="95"/>
  <c r="AX42" i="95"/>
  <c r="AY42" i="95"/>
  <c r="AZ42" i="95"/>
  <c r="BA42" i="95"/>
  <c r="BB42" i="95"/>
  <c r="BC42" i="95"/>
  <c r="BD42" i="95"/>
  <c r="BE42" i="95"/>
  <c r="BF42" i="95"/>
  <c r="BG42" i="95"/>
  <c r="BH42" i="95"/>
  <c r="BI42" i="95"/>
  <c r="BJ42" i="95"/>
  <c r="BK42" i="95"/>
  <c r="BL42" i="95"/>
  <c r="BM42" i="95"/>
  <c r="BN42" i="95"/>
  <c r="BO42" i="95"/>
  <c r="BP42" i="95"/>
  <c r="BQ42" i="95"/>
  <c r="BR42" i="95"/>
  <c r="BS42" i="95"/>
  <c r="BT42" i="95"/>
  <c r="BU42" i="95"/>
  <c r="BV42" i="95"/>
  <c r="BW42" i="95"/>
  <c r="BX42" i="95"/>
  <c r="BY42" i="95"/>
  <c r="BZ42" i="95"/>
  <c r="CA42" i="95"/>
  <c r="CB42" i="95"/>
  <c r="CC42" i="95"/>
  <c r="CD42" i="95"/>
  <c r="CE42" i="95"/>
  <c r="CF42" i="95"/>
  <c r="CG42" i="95"/>
  <c r="CH42" i="95"/>
  <c r="CI42" i="95"/>
  <c r="CJ42" i="95"/>
  <c r="CK42" i="95"/>
  <c r="CL42" i="95"/>
  <c r="CM42" i="95"/>
  <c r="CN42" i="95"/>
  <c r="CO42" i="95"/>
  <c r="CP42" i="95"/>
  <c r="CQ42" i="95"/>
  <c r="CR42" i="95"/>
  <c r="CS42" i="95"/>
  <c r="CT42" i="95"/>
  <c r="CU42" i="95"/>
  <c r="CV42" i="95"/>
  <c r="CW42" i="95"/>
  <c r="CX42" i="95"/>
  <c r="CY42" i="95"/>
  <c r="CZ42" i="95"/>
  <c r="DA42" i="95"/>
  <c r="DB42" i="95"/>
  <c r="DC42" i="95"/>
  <c r="DD42" i="95"/>
  <c r="DE42" i="95"/>
  <c r="DF42" i="95"/>
  <c r="DG42" i="95"/>
  <c r="DH42" i="95"/>
  <c r="DI42" i="95"/>
  <c r="DJ42" i="95"/>
  <c r="DK42" i="95"/>
  <c r="DL42" i="95"/>
  <c r="DM42" i="95"/>
  <c r="DN42" i="95"/>
  <c r="DO42" i="95"/>
  <c r="DP42" i="95"/>
  <c r="DQ42" i="95"/>
  <c r="DR42" i="95"/>
  <c r="DS42" i="95"/>
  <c r="DT42" i="95"/>
  <c r="DU42" i="95"/>
  <c r="DV42" i="95"/>
  <c r="DW42" i="95"/>
  <c r="DX42" i="95"/>
  <c r="DY42" i="95"/>
  <c r="DZ42" i="95"/>
  <c r="EA42" i="95"/>
  <c r="EB42" i="95"/>
  <c r="EC42" i="95"/>
  <c r="ED42" i="95"/>
  <c r="EE42" i="95"/>
  <c r="EF42" i="95"/>
  <c r="EG42" i="95"/>
  <c r="EH42" i="95"/>
  <c r="EI42" i="95"/>
  <c r="EJ42" i="95"/>
  <c r="EK42" i="95"/>
  <c r="EL42" i="95"/>
  <c r="EM42" i="95"/>
  <c r="EN42" i="95"/>
  <c r="EO42" i="95"/>
  <c r="EP42" i="95"/>
  <c r="EQ42" i="95"/>
  <c r="ER42" i="95"/>
  <c r="ES42" i="95"/>
  <c r="ET42" i="95"/>
  <c r="EU42" i="95"/>
  <c r="EV42" i="95"/>
  <c r="EW42" i="95"/>
  <c r="EX42" i="95"/>
  <c r="EY42" i="95"/>
  <c r="EZ42" i="95"/>
  <c r="FA42" i="95"/>
  <c r="FB42" i="95"/>
  <c r="FC42" i="95"/>
  <c r="FD42" i="95"/>
  <c r="FE42" i="95"/>
  <c r="FF42" i="95"/>
  <c r="FG42" i="95"/>
  <c r="FH42" i="95"/>
  <c r="FI42" i="95"/>
  <c r="FJ42" i="95"/>
  <c r="FK42" i="95"/>
  <c r="FL42" i="95"/>
  <c r="FM42" i="95"/>
  <c r="FN42" i="95"/>
  <c r="FO42" i="95"/>
  <c r="FP42" i="95"/>
  <c r="FQ42" i="95"/>
  <c r="FR42" i="95"/>
  <c r="FS42" i="95"/>
  <c r="FT42" i="95"/>
  <c r="FU42" i="95"/>
  <c r="FV42" i="95"/>
  <c r="FW42" i="95"/>
  <c r="FX42" i="95"/>
  <c r="FY42" i="95"/>
  <c r="FZ42" i="95"/>
  <c r="GA42" i="95"/>
  <c r="GB42" i="95"/>
  <c r="GC42" i="95"/>
  <c r="GD42" i="95"/>
  <c r="GE42" i="95"/>
  <c r="GF42" i="95"/>
  <c r="GG42" i="95"/>
  <c r="GH42" i="95"/>
  <c r="GI42" i="95"/>
  <c r="GJ42" i="95"/>
  <c r="GK42" i="95"/>
  <c r="GL42" i="95"/>
  <c r="GM42" i="95"/>
  <c r="GN42" i="95"/>
  <c r="GO42" i="95"/>
  <c r="GP42" i="95"/>
  <c r="GQ42" i="95"/>
  <c r="GR42" i="95"/>
  <c r="GS42" i="95"/>
  <c r="GT42" i="95"/>
  <c r="GU42" i="95"/>
  <c r="GV42" i="95"/>
  <c r="GW42" i="95"/>
  <c r="GX42" i="95"/>
  <c r="GY42" i="95"/>
  <c r="GZ42" i="95"/>
  <c r="HA42" i="95"/>
  <c r="HB42" i="95"/>
  <c r="HC42" i="95"/>
  <c r="HD42" i="95"/>
  <c r="HE42" i="95"/>
  <c r="HF42" i="95"/>
  <c r="HG42" i="95"/>
  <c r="HH42" i="95"/>
  <c r="HI42" i="95"/>
  <c r="HJ42" i="95"/>
  <c r="HK42" i="95"/>
  <c r="HL42" i="95"/>
  <c r="HM42" i="95"/>
  <c r="HN42" i="95"/>
  <c r="HO42" i="95"/>
  <c r="HP42" i="95"/>
  <c r="HQ42" i="95"/>
  <c r="G43" i="95"/>
  <c r="H43" i="95"/>
  <c r="I43" i="95"/>
  <c r="J43" i="95"/>
  <c r="K43" i="95"/>
  <c r="L43" i="95"/>
  <c r="M43" i="95"/>
  <c r="N43" i="95"/>
  <c r="O43" i="95"/>
  <c r="P43" i="95"/>
  <c r="Q43" i="95"/>
  <c r="R43" i="95"/>
  <c r="S43" i="95"/>
  <c r="T43" i="95"/>
  <c r="U43" i="95"/>
  <c r="V43" i="95"/>
  <c r="W43" i="95"/>
  <c r="X43" i="95"/>
  <c r="Y43" i="95"/>
  <c r="Z43" i="95"/>
  <c r="AA43" i="95"/>
  <c r="AB43" i="95"/>
  <c r="AC43" i="95"/>
  <c r="AD43" i="95"/>
  <c r="AE43" i="95"/>
  <c r="AF43" i="95"/>
  <c r="AG43" i="95"/>
  <c r="AH43" i="95"/>
  <c r="AI43" i="95"/>
  <c r="AJ43" i="95"/>
  <c r="AK43" i="95"/>
  <c r="AL43" i="95"/>
  <c r="AM43" i="95"/>
  <c r="AN43" i="95"/>
  <c r="AO43" i="95"/>
  <c r="AP43" i="95"/>
  <c r="AQ43" i="95"/>
  <c r="AR43" i="95"/>
  <c r="AS43" i="95"/>
  <c r="AT43" i="95"/>
  <c r="AU43" i="95"/>
  <c r="AV43" i="95"/>
  <c r="AW43" i="95"/>
  <c r="AX43" i="95"/>
  <c r="AY43" i="95"/>
  <c r="AZ43" i="95"/>
  <c r="BA43" i="95"/>
  <c r="BB43" i="95"/>
  <c r="BC43" i="95"/>
  <c r="BD43" i="95"/>
  <c r="BE43" i="95"/>
  <c r="BF43" i="95"/>
  <c r="BG43" i="95"/>
  <c r="BH43" i="95"/>
  <c r="BI43" i="95"/>
  <c r="BJ43" i="95"/>
  <c r="BK43" i="95"/>
  <c r="BL43" i="95"/>
  <c r="BM43" i="95"/>
  <c r="BN43" i="95"/>
  <c r="BO43" i="95"/>
  <c r="BP43" i="95"/>
  <c r="BQ43" i="95"/>
  <c r="BR43" i="95"/>
  <c r="BS43" i="95"/>
  <c r="BT43" i="95"/>
  <c r="BU43" i="95"/>
  <c r="BV43" i="95"/>
  <c r="BW43" i="95"/>
  <c r="BX43" i="95"/>
  <c r="BY43" i="95"/>
  <c r="BZ43" i="95"/>
  <c r="CA43" i="95"/>
  <c r="CB43" i="95"/>
  <c r="CC43" i="95"/>
  <c r="CD43" i="95"/>
  <c r="CE43" i="95"/>
  <c r="CF43" i="95"/>
  <c r="CG43" i="95"/>
  <c r="CH43" i="95"/>
  <c r="CI43" i="95"/>
  <c r="CJ43" i="95"/>
  <c r="CK43" i="95"/>
  <c r="CL43" i="95"/>
  <c r="CM43" i="95"/>
  <c r="CN43" i="95"/>
  <c r="CO43" i="95"/>
  <c r="CP43" i="95"/>
  <c r="CQ43" i="95"/>
  <c r="CR43" i="95"/>
  <c r="CS43" i="95"/>
  <c r="CT43" i="95"/>
  <c r="CU43" i="95"/>
  <c r="CV43" i="95"/>
  <c r="CW43" i="95"/>
  <c r="CX43" i="95"/>
  <c r="CY43" i="95"/>
  <c r="CZ43" i="95"/>
  <c r="DA43" i="95"/>
  <c r="DB43" i="95"/>
  <c r="DC43" i="95"/>
  <c r="DD43" i="95"/>
  <c r="DE43" i="95"/>
  <c r="DF43" i="95"/>
  <c r="DG43" i="95"/>
  <c r="DH43" i="95"/>
  <c r="DI43" i="95"/>
  <c r="DJ43" i="95"/>
  <c r="DK43" i="95"/>
  <c r="DL43" i="95"/>
  <c r="DM43" i="95"/>
  <c r="DN43" i="95"/>
  <c r="DO43" i="95"/>
  <c r="DP43" i="95"/>
  <c r="DQ43" i="95"/>
  <c r="DR43" i="95"/>
  <c r="DS43" i="95"/>
  <c r="DT43" i="95"/>
  <c r="DU43" i="95"/>
  <c r="DV43" i="95"/>
  <c r="DW43" i="95"/>
  <c r="DX43" i="95"/>
  <c r="DY43" i="95"/>
  <c r="DZ43" i="95"/>
  <c r="EA43" i="95"/>
  <c r="EB43" i="95"/>
  <c r="EC43" i="95"/>
  <c r="ED43" i="95"/>
  <c r="EE43" i="95"/>
  <c r="EF43" i="95"/>
  <c r="EG43" i="95"/>
  <c r="EH43" i="95"/>
  <c r="EI43" i="95"/>
  <c r="EJ43" i="95"/>
  <c r="EK43" i="95"/>
  <c r="EL43" i="95"/>
  <c r="EM43" i="95"/>
  <c r="EN43" i="95"/>
  <c r="EO43" i="95"/>
  <c r="EP43" i="95"/>
  <c r="EQ43" i="95"/>
  <c r="ER43" i="95"/>
  <c r="ES43" i="95"/>
  <c r="ET43" i="95"/>
  <c r="EU43" i="95"/>
  <c r="EV43" i="95"/>
  <c r="EW43" i="95"/>
  <c r="EX43" i="95"/>
  <c r="EY43" i="95"/>
  <c r="EZ43" i="95"/>
  <c r="FA43" i="95"/>
  <c r="FB43" i="95"/>
  <c r="FC43" i="95"/>
  <c r="FD43" i="95"/>
  <c r="FE43" i="95"/>
  <c r="FF43" i="95"/>
  <c r="FG43" i="95"/>
  <c r="FH43" i="95"/>
  <c r="FI43" i="95"/>
  <c r="FJ43" i="95"/>
  <c r="FK43" i="95"/>
  <c r="FL43" i="95"/>
  <c r="FM43" i="95"/>
  <c r="FN43" i="95"/>
  <c r="FO43" i="95"/>
  <c r="FP43" i="95"/>
  <c r="FQ43" i="95"/>
  <c r="FR43" i="95"/>
  <c r="FS43" i="95"/>
  <c r="FT43" i="95"/>
  <c r="FU43" i="95"/>
  <c r="FV43" i="95"/>
  <c r="FW43" i="95"/>
  <c r="FX43" i="95"/>
  <c r="FY43" i="95"/>
  <c r="FZ43" i="95"/>
  <c r="GA43" i="95"/>
  <c r="GB43" i="95"/>
  <c r="GC43" i="95"/>
  <c r="GD43" i="95"/>
  <c r="GE43" i="95"/>
  <c r="GF43" i="95"/>
  <c r="GG43" i="95"/>
  <c r="GH43" i="95"/>
  <c r="GI43" i="95"/>
  <c r="GJ43" i="95"/>
  <c r="GK43" i="95"/>
  <c r="GL43" i="95"/>
  <c r="GM43" i="95"/>
  <c r="GN43" i="95"/>
  <c r="GO43" i="95"/>
  <c r="GP43" i="95"/>
  <c r="GQ43" i="95"/>
  <c r="GR43" i="95"/>
  <c r="GS43" i="95"/>
  <c r="GT43" i="95"/>
  <c r="GU43" i="95"/>
  <c r="GV43" i="95"/>
  <c r="GW43" i="95"/>
  <c r="GX43" i="95"/>
  <c r="GY43" i="95"/>
  <c r="GZ43" i="95"/>
  <c r="HA43" i="95"/>
  <c r="HB43" i="95"/>
  <c r="HC43" i="95"/>
  <c r="HD43" i="95"/>
  <c r="HE43" i="95"/>
  <c r="HF43" i="95"/>
  <c r="HG43" i="95"/>
  <c r="HH43" i="95"/>
  <c r="HI43" i="95"/>
  <c r="HJ43" i="95"/>
  <c r="HK43" i="95"/>
  <c r="HL43" i="95"/>
  <c r="HM43" i="95"/>
  <c r="HN43" i="95"/>
  <c r="HO43" i="95"/>
  <c r="HP43" i="95"/>
  <c r="HQ43" i="95"/>
  <c r="G44" i="95"/>
  <c r="H44" i="95"/>
  <c r="I44" i="95"/>
  <c r="J44" i="95"/>
  <c r="K44" i="95"/>
  <c r="L44" i="95"/>
  <c r="M44" i="95"/>
  <c r="N44" i="95"/>
  <c r="O44" i="95"/>
  <c r="P44" i="95"/>
  <c r="Q44" i="95"/>
  <c r="R44" i="95"/>
  <c r="S44" i="95"/>
  <c r="T44" i="95"/>
  <c r="U44" i="95"/>
  <c r="V44" i="95"/>
  <c r="W44" i="95"/>
  <c r="X44" i="95"/>
  <c r="Y44" i="95"/>
  <c r="Z44" i="95"/>
  <c r="AA44" i="95"/>
  <c r="AB44" i="95"/>
  <c r="AC44" i="95"/>
  <c r="AD44" i="95"/>
  <c r="AE44" i="95"/>
  <c r="AF44" i="95"/>
  <c r="AG44" i="95"/>
  <c r="AH44" i="95"/>
  <c r="AI44" i="95"/>
  <c r="AJ44" i="95"/>
  <c r="AK44" i="95"/>
  <c r="AL44" i="95"/>
  <c r="AM44" i="95"/>
  <c r="AN44" i="95"/>
  <c r="AO44" i="95"/>
  <c r="AP44" i="95"/>
  <c r="AQ44" i="95"/>
  <c r="AR44" i="95"/>
  <c r="AS44" i="95"/>
  <c r="AT44" i="95"/>
  <c r="AU44" i="95"/>
  <c r="AV44" i="95"/>
  <c r="AW44" i="95"/>
  <c r="AX44" i="95"/>
  <c r="AY44" i="95"/>
  <c r="AZ44" i="95"/>
  <c r="BA44" i="95"/>
  <c r="BB44" i="95"/>
  <c r="BC44" i="95"/>
  <c r="BD44" i="95"/>
  <c r="BE44" i="95"/>
  <c r="BF44" i="95"/>
  <c r="BG44" i="95"/>
  <c r="BH44" i="95"/>
  <c r="BI44" i="95"/>
  <c r="BJ44" i="95"/>
  <c r="BK44" i="95"/>
  <c r="BL44" i="95"/>
  <c r="BM44" i="95"/>
  <c r="BN44" i="95"/>
  <c r="BO44" i="95"/>
  <c r="BP44" i="95"/>
  <c r="BQ44" i="95"/>
  <c r="BR44" i="95"/>
  <c r="BS44" i="95"/>
  <c r="BT44" i="95"/>
  <c r="BU44" i="95"/>
  <c r="BV44" i="95"/>
  <c r="BW44" i="95"/>
  <c r="BX44" i="95"/>
  <c r="BY44" i="95"/>
  <c r="BZ44" i="95"/>
  <c r="CA44" i="95"/>
  <c r="CB44" i="95"/>
  <c r="CC44" i="95"/>
  <c r="CD44" i="95"/>
  <c r="CE44" i="95"/>
  <c r="CF44" i="95"/>
  <c r="CG44" i="95"/>
  <c r="CH44" i="95"/>
  <c r="CI44" i="95"/>
  <c r="CJ44" i="95"/>
  <c r="CK44" i="95"/>
  <c r="CL44" i="95"/>
  <c r="CM44" i="95"/>
  <c r="CN44" i="95"/>
  <c r="CO44" i="95"/>
  <c r="CP44" i="95"/>
  <c r="CQ44" i="95"/>
  <c r="CR44" i="95"/>
  <c r="CS44" i="95"/>
  <c r="CT44" i="95"/>
  <c r="CU44" i="95"/>
  <c r="CV44" i="95"/>
  <c r="CW44" i="95"/>
  <c r="CX44" i="95"/>
  <c r="CY44" i="95"/>
  <c r="CZ44" i="95"/>
  <c r="DA44" i="95"/>
  <c r="DB44" i="95"/>
  <c r="DC44" i="95"/>
  <c r="DD44" i="95"/>
  <c r="DE44" i="95"/>
  <c r="DF44" i="95"/>
  <c r="DG44" i="95"/>
  <c r="DH44" i="95"/>
  <c r="DI44" i="95"/>
  <c r="DJ44" i="95"/>
  <c r="DK44" i="95"/>
  <c r="DL44" i="95"/>
  <c r="DM44" i="95"/>
  <c r="DN44" i="95"/>
  <c r="DO44" i="95"/>
  <c r="DP44" i="95"/>
  <c r="DQ44" i="95"/>
  <c r="DR44" i="95"/>
  <c r="DS44" i="95"/>
  <c r="DT44" i="95"/>
  <c r="DU44" i="95"/>
  <c r="DV44" i="95"/>
  <c r="DW44" i="95"/>
  <c r="DX44" i="95"/>
  <c r="DY44" i="95"/>
  <c r="DZ44" i="95"/>
  <c r="EA44" i="95"/>
  <c r="EB44" i="95"/>
  <c r="EC44" i="95"/>
  <c r="ED44" i="95"/>
  <c r="EE44" i="95"/>
  <c r="EF44" i="95"/>
  <c r="EG44" i="95"/>
  <c r="EH44" i="95"/>
  <c r="EI44" i="95"/>
  <c r="EJ44" i="95"/>
  <c r="EK44" i="95"/>
  <c r="EL44" i="95"/>
  <c r="EM44" i="95"/>
  <c r="EN44" i="95"/>
  <c r="EO44" i="95"/>
  <c r="EP44" i="95"/>
  <c r="EQ44" i="95"/>
  <c r="ER44" i="95"/>
  <c r="ES44" i="95"/>
  <c r="ET44" i="95"/>
  <c r="EU44" i="95"/>
  <c r="EV44" i="95"/>
  <c r="EW44" i="95"/>
  <c r="EX44" i="95"/>
  <c r="EY44" i="95"/>
  <c r="EZ44" i="95"/>
  <c r="FA44" i="95"/>
  <c r="FB44" i="95"/>
  <c r="FC44" i="95"/>
  <c r="FD44" i="95"/>
  <c r="FE44" i="95"/>
  <c r="FF44" i="95"/>
  <c r="FG44" i="95"/>
  <c r="FH44" i="95"/>
  <c r="FI44" i="95"/>
  <c r="FJ44" i="95"/>
  <c r="FK44" i="95"/>
  <c r="FL44" i="95"/>
  <c r="FM44" i="95"/>
  <c r="FN44" i="95"/>
  <c r="FO44" i="95"/>
  <c r="FP44" i="95"/>
  <c r="FQ44" i="95"/>
  <c r="FR44" i="95"/>
  <c r="FS44" i="95"/>
  <c r="FT44" i="95"/>
  <c r="FU44" i="95"/>
  <c r="FV44" i="95"/>
  <c r="FW44" i="95"/>
  <c r="FX44" i="95"/>
  <c r="FY44" i="95"/>
  <c r="FZ44" i="95"/>
  <c r="GA44" i="95"/>
  <c r="GB44" i="95"/>
  <c r="GC44" i="95"/>
  <c r="GD44" i="95"/>
  <c r="GE44" i="95"/>
  <c r="GF44" i="95"/>
  <c r="GG44" i="95"/>
  <c r="GH44" i="95"/>
  <c r="GI44" i="95"/>
  <c r="GJ44" i="95"/>
  <c r="GK44" i="95"/>
  <c r="GL44" i="95"/>
  <c r="GM44" i="95"/>
  <c r="GN44" i="95"/>
  <c r="GO44" i="95"/>
  <c r="GP44" i="95"/>
  <c r="GQ44" i="95"/>
  <c r="GR44" i="95"/>
  <c r="GS44" i="95"/>
  <c r="GT44" i="95"/>
  <c r="GU44" i="95"/>
  <c r="GV44" i="95"/>
  <c r="GW44" i="95"/>
  <c r="GX44" i="95"/>
  <c r="GY44" i="95"/>
  <c r="GZ44" i="95"/>
  <c r="HA44" i="95"/>
  <c r="HB44" i="95"/>
  <c r="HC44" i="95"/>
  <c r="HD44" i="95"/>
  <c r="HE44" i="95"/>
  <c r="HF44" i="95"/>
  <c r="HG44" i="95"/>
  <c r="HH44" i="95"/>
  <c r="HI44" i="95"/>
  <c r="HJ44" i="95"/>
  <c r="HK44" i="95"/>
  <c r="HL44" i="95"/>
  <c r="HM44" i="95"/>
  <c r="HN44" i="95"/>
  <c r="HO44" i="95"/>
  <c r="HP44" i="95"/>
  <c r="HQ44" i="95"/>
  <c r="G45" i="95"/>
  <c r="H45" i="95"/>
  <c r="I45" i="95"/>
  <c r="J45" i="95"/>
  <c r="K45" i="95"/>
  <c r="L45" i="95"/>
  <c r="M45" i="95"/>
  <c r="N45" i="95"/>
  <c r="O45" i="95"/>
  <c r="P45" i="95"/>
  <c r="Q45" i="95"/>
  <c r="R45" i="95"/>
  <c r="S45" i="95"/>
  <c r="T45" i="95"/>
  <c r="U45" i="95"/>
  <c r="V45" i="95"/>
  <c r="W45" i="95"/>
  <c r="X45" i="95"/>
  <c r="Y45" i="95"/>
  <c r="Z45" i="95"/>
  <c r="AA45" i="95"/>
  <c r="AB45" i="95"/>
  <c r="AC45" i="95"/>
  <c r="AD45" i="95"/>
  <c r="AE45" i="95"/>
  <c r="AF45" i="95"/>
  <c r="AG45" i="95"/>
  <c r="AH45" i="95"/>
  <c r="AI45" i="95"/>
  <c r="AJ45" i="95"/>
  <c r="AK45" i="95"/>
  <c r="AL45" i="95"/>
  <c r="AM45" i="95"/>
  <c r="AN45" i="95"/>
  <c r="AO45" i="95"/>
  <c r="AP45" i="95"/>
  <c r="AQ45" i="95"/>
  <c r="AR45" i="95"/>
  <c r="AS45" i="95"/>
  <c r="AT45" i="95"/>
  <c r="AU45" i="95"/>
  <c r="AV45" i="95"/>
  <c r="AW45" i="95"/>
  <c r="AX45" i="95"/>
  <c r="AY45" i="95"/>
  <c r="AZ45" i="95"/>
  <c r="BA45" i="95"/>
  <c r="BB45" i="95"/>
  <c r="BC45" i="95"/>
  <c r="BD45" i="95"/>
  <c r="BE45" i="95"/>
  <c r="BF45" i="95"/>
  <c r="BG45" i="95"/>
  <c r="BH45" i="95"/>
  <c r="BI45" i="95"/>
  <c r="BJ45" i="95"/>
  <c r="BK45" i="95"/>
  <c r="BL45" i="95"/>
  <c r="BM45" i="95"/>
  <c r="BN45" i="95"/>
  <c r="BO45" i="95"/>
  <c r="BP45" i="95"/>
  <c r="BQ45" i="95"/>
  <c r="BR45" i="95"/>
  <c r="BS45" i="95"/>
  <c r="BT45" i="95"/>
  <c r="BU45" i="95"/>
  <c r="BV45" i="95"/>
  <c r="BW45" i="95"/>
  <c r="BX45" i="95"/>
  <c r="BY45" i="95"/>
  <c r="BZ45" i="95"/>
  <c r="CA45" i="95"/>
  <c r="CB45" i="95"/>
  <c r="CC45" i="95"/>
  <c r="CD45" i="95"/>
  <c r="CE45" i="95"/>
  <c r="CF45" i="95"/>
  <c r="CG45" i="95"/>
  <c r="CH45" i="95"/>
  <c r="CI45" i="95"/>
  <c r="CJ45" i="95"/>
  <c r="CK45" i="95"/>
  <c r="CL45" i="95"/>
  <c r="CM45" i="95"/>
  <c r="CN45" i="95"/>
  <c r="CO45" i="95"/>
  <c r="CP45" i="95"/>
  <c r="CQ45" i="95"/>
  <c r="CR45" i="95"/>
  <c r="CS45" i="95"/>
  <c r="CT45" i="95"/>
  <c r="CU45" i="95"/>
  <c r="CV45" i="95"/>
  <c r="CW45" i="95"/>
  <c r="CX45" i="95"/>
  <c r="CY45" i="95"/>
  <c r="CZ45" i="95"/>
  <c r="DA45" i="95"/>
  <c r="DB45" i="95"/>
  <c r="DC45" i="95"/>
  <c r="DD45" i="95"/>
  <c r="DE45" i="95"/>
  <c r="DF45" i="95"/>
  <c r="DG45" i="95"/>
  <c r="DH45" i="95"/>
  <c r="DI45" i="95"/>
  <c r="DJ45" i="95"/>
  <c r="DK45" i="95"/>
  <c r="DL45" i="95"/>
  <c r="DM45" i="95"/>
  <c r="DN45" i="95"/>
  <c r="DO45" i="95"/>
  <c r="DP45" i="95"/>
  <c r="DQ45" i="95"/>
  <c r="DR45" i="95"/>
  <c r="DS45" i="95"/>
  <c r="DT45" i="95"/>
  <c r="DU45" i="95"/>
  <c r="DV45" i="95"/>
  <c r="DW45" i="95"/>
  <c r="DX45" i="95"/>
  <c r="DY45" i="95"/>
  <c r="DZ45" i="95"/>
  <c r="EA45" i="95"/>
  <c r="EB45" i="95"/>
  <c r="EC45" i="95"/>
  <c r="ED45" i="95"/>
  <c r="EE45" i="95"/>
  <c r="EF45" i="95"/>
  <c r="EG45" i="95"/>
  <c r="EH45" i="95"/>
  <c r="EI45" i="95"/>
  <c r="EJ45" i="95"/>
  <c r="EK45" i="95"/>
  <c r="EL45" i="95"/>
  <c r="EM45" i="95"/>
  <c r="EN45" i="95"/>
  <c r="EO45" i="95"/>
  <c r="EP45" i="95"/>
  <c r="EQ45" i="95"/>
  <c r="ER45" i="95"/>
  <c r="ES45" i="95"/>
  <c r="ET45" i="95"/>
  <c r="EU45" i="95"/>
  <c r="EV45" i="95"/>
  <c r="EW45" i="95"/>
  <c r="EX45" i="95"/>
  <c r="EY45" i="95"/>
  <c r="EZ45" i="95"/>
  <c r="FA45" i="95"/>
  <c r="FB45" i="95"/>
  <c r="FC45" i="95"/>
  <c r="FD45" i="95"/>
  <c r="FE45" i="95"/>
  <c r="FF45" i="95"/>
  <c r="FG45" i="95"/>
  <c r="FH45" i="95"/>
  <c r="FI45" i="95"/>
  <c r="FJ45" i="95"/>
  <c r="FK45" i="95"/>
  <c r="FL45" i="95"/>
  <c r="FM45" i="95"/>
  <c r="FN45" i="95"/>
  <c r="FO45" i="95"/>
  <c r="FP45" i="95"/>
  <c r="FQ45" i="95"/>
  <c r="FR45" i="95"/>
  <c r="FS45" i="95"/>
  <c r="FT45" i="95"/>
  <c r="FU45" i="95"/>
  <c r="FV45" i="95"/>
  <c r="FW45" i="95"/>
  <c r="FX45" i="95"/>
  <c r="FY45" i="95"/>
  <c r="FZ45" i="95"/>
  <c r="GA45" i="95"/>
  <c r="GB45" i="95"/>
  <c r="GC45" i="95"/>
  <c r="GD45" i="95"/>
  <c r="GE45" i="95"/>
  <c r="GF45" i="95"/>
  <c r="GG45" i="95"/>
  <c r="GH45" i="95"/>
  <c r="GI45" i="95"/>
  <c r="GJ45" i="95"/>
  <c r="GK45" i="95"/>
  <c r="GL45" i="95"/>
  <c r="GM45" i="95"/>
  <c r="GN45" i="95"/>
  <c r="GO45" i="95"/>
  <c r="GP45" i="95"/>
  <c r="GQ45" i="95"/>
  <c r="GR45" i="95"/>
  <c r="GS45" i="95"/>
  <c r="GT45" i="95"/>
  <c r="GU45" i="95"/>
  <c r="GV45" i="95"/>
  <c r="GW45" i="95"/>
  <c r="GX45" i="95"/>
  <c r="GY45" i="95"/>
  <c r="GZ45" i="95"/>
  <c r="HA45" i="95"/>
  <c r="HB45" i="95"/>
  <c r="HC45" i="95"/>
  <c r="HD45" i="95"/>
  <c r="HE45" i="95"/>
  <c r="HF45" i="95"/>
  <c r="HG45" i="95"/>
  <c r="HH45" i="95"/>
  <c r="HI45" i="95"/>
  <c r="HJ45" i="95"/>
  <c r="HK45" i="95"/>
  <c r="HL45" i="95"/>
  <c r="HM45" i="95"/>
  <c r="HN45" i="95"/>
  <c r="HO45" i="95"/>
  <c r="HP45" i="95"/>
  <c r="HQ45" i="95"/>
  <c r="G46" i="95"/>
  <c r="H46" i="95"/>
  <c r="I46" i="95"/>
  <c r="J46" i="95"/>
  <c r="K46" i="95"/>
  <c r="L46" i="95"/>
  <c r="M46" i="95"/>
  <c r="N46" i="95"/>
  <c r="O46" i="95"/>
  <c r="P46" i="95"/>
  <c r="Q46" i="95"/>
  <c r="R46" i="95"/>
  <c r="S46" i="95"/>
  <c r="T46" i="95"/>
  <c r="U46" i="95"/>
  <c r="V46" i="95"/>
  <c r="W46" i="95"/>
  <c r="X46" i="95"/>
  <c r="Y46" i="95"/>
  <c r="Z46" i="95"/>
  <c r="AA46" i="95"/>
  <c r="AB46" i="95"/>
  <c r="AC46" i="95"/>
  <c r="AD46" i="95"/>
  <c r="AE46" i="95"/>
  <c r="AF46" i="95"/>
  <c r="AG46" i="95"/>
  <c r="AH46" i="95"/>
  <c r="AI46" i="95"/>
  <c r="AJ46" i="95"/>
  <c r="AK46" i="95"/>
  <c r="AL46" i="95"/>
  <c r="AM46" i="95"/>
  <c r="AN46" i="95"/>
  <c r="AO46" i="95"/>
  <c r="AP46" i="95"/>
  <c r="AQ46" i="95"/>
  <c r="AR46" i="95"/>
  <c r="AS46" i="95"/>
  <c r="AT46" i="95"/>
  <c r="AU46" i="95"/>
  <c r="AV46" i="95"/>
  <c r="AW46" i="95"/>
  <c r="AX46" i="95"/>
  <c r="AY46" i="95"/>
  <c r="AZ46" i="95"/>
  <c r="BA46" i="95"/>
  <c r="BB46" i="95"/>
  <c r="BC46" i="95"/>
  <c r="BD46" i="95"/>
  <c r="BE46" i="95"/>
  <c r="BF46" i="95"/>
  <c r="BG46" i="95"/>
  <c r="BH46" i="95"/>
  <c r="BI46" i="95"/>
  <c r="BJ46" i="95"/>
  <c r="BK46" i="95"/>
  <c r="BL46" i="95"/>
  <c r="BM46" i="95"/>
  <c r="BN46" i="95"/>
  <c r="BO46" i="95"/>
  <c r="BP46" i="95"/>
  <c r="BQ46" i="95"/>
  <c r="BR46" i="95"/>
  <c r="BS46" i="95"/>
  <c r="BT46" i="95"/>
  <c r="BU46" i="95"/>
  <c r="BV46" i="95"/>
  <c r="BW46" i="95"/>
  <c r="BX46" i="95"/>
  <c r="BY46" i="95"/>
  <c r="BZ46" i="95"/>
  <c r="CA46" i="95"/>
  <c r="CB46" i="95"/>
  <c r="CC46" i="95"/>
  <c r="CD46" i="95"/>
  <c r="CE46" i="95"/>
  <c r="CF46" i="95"/>
  <c r="CG46" i="95"/>
  <c r="CH46" i="95"/>
  <c r="CI46" i="95"/>
  <c r="CJ46" i="95"/>
  <c r="CK46" i="95"/>
  <c r="CL46" i="95"/>
  <c r="CM46" i="95"/>
  <c r="CN46" i="95"/>
  <c r="CO46" i="95"/>
  <c r="CP46" i="95"/>
  <c r="CQ46" i="95"/>
  <c r="CR46" i="95"/>
  <c r="CS46" i="95"/>
  <c r="CT46" i="95"/>
  <c r="CU46" i="95"/>
  <c r="CV46" i="95"/>
  <c r="CW46" i="95"/>
  <c r="CX46" i="95"/>
  <c r="CY46" i="95"/>
  <c r="CZ46" i="95"/>
  <c r="DA46" i="95"/>
  <c r="DB46" i="95"/>
  <c r="DC46" i="95"/>
  <c r="DD46" i="95"/>
  <c r="DE46" i="95"/>
  <c r="DF46" i="95"/>
  <c r="DG46" i="95"/>
  <c r="DH46" i="95"/>
  <c r="DI46" i="95"/>
  <c r="DJ46" i="95"/>
  <c r="DK46" i="95"/>
  <c r="DL46" i="95"/>
  <c r="DM46" i="95"/>
  <c r="DN46" i="95"/>
  <c r="DO46" i="95"/>
  <c r="DP46" i="95"/>
  <c r="DQ46" i="95"/>
  <c r="DR46" i="95"/>
  <c r="DS46" i="95"/>
  <c r="DT46" i="95"/>
  <c r="DU46" i="95"/>
  <c r="DV46" i="95"/>
  <c r="DW46" i="95"/>
  <c r="DX46" i="95"/>
  <c r="DY46" i="95"/>
  <c r="DZ46" i="95"/>
  <c r="EA46" i="95"/>
  <c r="EB46" i="95"/>
  <c r="EC46" i="95"/>
  <c r="ED46" i="95"/>
  <c r="EE46" i="95"/>
  <c r="EF46" i="95"/>
  <c r="EG46" i="95"/>
  <c r="EH46" i="95"/>
  <c r="EI46" i="95"/>
  <c r="EJ46" i="95"/>
  <c r="EK46" i="95"/>
  <c r="EL46" i="95"/>
  <c r="EM46" i="95"/>
  <c r="EN46" i="95"/>
  <c r="EO46" i="95"/>
  <c r="EP46" i="95"/>
  <c r="EQ46" i="95"/>
  <c r="ER46" i="95"/>
  <c r="ES46" i="95"/>
  <c r="ET46" i="95"/>
  <c r="EU46" i="95"/>
  <c r="EV46" i="95"/>
  <c r="EW46" i="95"/>
  <c r="EX46" i="95"/>
  <c r="EY46" i="95"/>
  <c r="EZ46" i="95"/>
  <c r="FA46" i="95"/>
  <c r="FB46" i="95"/>
  <c r="FC46" i="95"/>
  <c r="FD46" i="95"/>
  <c r="FE46" i="95"/>
  <c r="FF46" i="95"/>
  <c r="FG46" i="95"/>
  <c r="FH46" i="95"/>
  <c r="FI46" i="95"/>
  <c r="FJ46" i="95"/>
  <c r="FK46" i="95"/>
  <c r="FL46" i="95"/>
  <c r="FM46" i="95"/>
  <c r="FN46" i="95"/>
  <c r="FO46" i="95"/>
  <c r="FP46" i="95"/>
  <c r="FQ46" i="95"/>
  <c r="FR46" i="95"/>
  <c r="FS46" i="95"/>
  <c r="FT46" i="95"/>
  <c r="FU46" i="95"/>
  <c r="FV46" i="95"/>
  <c r="FW46" i="95"/>
  <c r="FX46" i="95"/>
  <c r="FY46" i="95"/>
  <c r="FZ46" i="95"/>
  <c r="GA46" i="95"/>
  <c r="GB46" i="95"/>
  <c r="GC46" i="95"/>
  <c r="GD46" i="95"/>
  <c r="GE46" i="95"/>
  <c r="GF46" i="95"/>
  <c r="GG46" i="95"/>
  <c r="GH46" i="95"/>
  <c r="GI46" i="95"/>
  <c r="GJ46" i="95"/>
  <c r="GK46" i="95"/>
  <c r="GL46" i="95"/>
  <c r="GM46" i="95"/>
  <c r="GN46" i="95"/>
  <c r="GO46" i="95"/>
  <c r="GP46" i="95"/>
  <c r="GQ46" i="95"/>
  <c r="GR46" i="95"/>
  <c r="GS46" i="95"/>
  <c r="GT46" i="95"/>
  <c r="GU46" i="95"/>
  <c r="GV46" i="95"/>
  <c r="GW46" i="95"/>
  <c r="GX46" i="95"/>
  <c r="GY46" i="95"/>
  <c r="GZ46" i="95"/>
  <c r="HA46" i="95"/>
  <c r="HB46" i="95"/>
  <c r="HC46" i="95"/>
  <c r="HD46" i="95"/>
  <c r="HE46" i="95"/>
  <c r="HF46" i="95"/>
  <c r="HG46" i="95"/>
  <c r="HH46" i="95"/>
  <c r="HI46" i="95"/>
  <c r="HJ46" i="95"/>
  <c r="HK46" i="95"/>
  <c r="HL46" i="95"/>
  <c r="HM46" i="95"/>
  <c r="HN46" i="95"/>
  <c r="HO46" i="95"/>
  <c r="HP46" i="95"/>
  <c r="HQ46" i="95"/>
  <c r="G47" i="95"/>
  <c r="H47" i="95"/>
  <c r="I47" i="95"/>
  <c r="J47" i="95"/>
  <c r="K47" i="95"/>
  <c r="L47" i="95"/>
  <c r="M47" i="95"/>
  <c r="N47" i="95"/>
  <c r="O47" i="95"/>
  <c r="P47" i="95"/>
  <c r="Q47" i="95"/>
  <c r="R47" i="95"/>
  <c r="S47" i="95"/>
  <c r="T47" i="95"/>
  <c r="U47" i="95"/>
  <c r="V47" i="95"/>
  <c r="W47" i="95"/>
  <c r="X47" i="95"/>
  <c r="Y47" i="95"/>
  <c r="Z47" i="95"/>
  <c r="AA47" i="95"/>
  <c r="AB47" i="95"/>
  <c r="AC47" i="95"/>
  <c r="AD47" i="95"/>
  <c r="AE47" i="95"/>
  <c r="AF47" i="95"/>
  <c r="AG47" i="95"/>
  <c r="AH47" i="95"/>
  <c r="AI47" i="95"/>
  <c r="AJ47" i="95"/>
  <c r="AK47" i="95"/>
  <c r="AL47" i="95"/>
  <c r="AM47" i="95"/>
  <c r="AN47" i="95"/>
  <c r="AO47" i="95"/>
  <c r="AP47" i="95"/>
  <c r="AQ47" i="95"/>
  <c r="AR47" i="95"/>
  <c r="AS47" i="95"/>
  <c r="AT47" i="95"/>
  <c r="AU47" i="95"/>
  <c r="AV47" i="95"/>
  <c r="AW47" i="95"/>
  <c r="AX47" i="95"/>
  <c r="AY47" i="95"/>
  <c r="AZ47" i="95"/>
  <c r="BA47" i="95"/>
  <c r="BB47" i="95"/>
  <c r="BC47" i="95"/>
  <c r="BD47" i="95"/>
  <c r="BE47" i="95"/>
  <c r="BF47" i="95"/>
  <c r="BG47" i="95"/>
  <c r="BH47" i="95"/>
  <c r="BI47" i="95"/>
  <c r="BJ47" i="95"/>
  <c r="BK47" i="95"/>
  <c r="BL47" i="95"/>
  <c r="BM47" i="95"/>
  <c r="BN47" i="95"/>
  <c r="BO47" i="95"/>
  <c r="BP47" i="95"/>
  <c r="BQ47" i="95"/>
  <c r="BR47" i="95"/>
  <c r="BS47" i="95"/>
  <c r="BT47" i="95"/>
  <c r="BU47" i="95"/>
  <c r="BV47" i="95"/>
  <c r="BW47" i="95"/>
  <c r="BX47" i="95"/>
  <c r="BY47" i="95"/>
  <c r="BZ47" i="95"/>
  <c r="CA47" i="95"/>
  <c r="CB47" i="95"/>
  <c r="CC47" i="95"/>
  <c r="CD47" i="95"/>
  <c r="CE47" i="95"/>
  <c r="CF47" i="95"/>
  <c r="CG47" i="95"/>
  <c r="CH47" i="95"/>
  <c r="CI47" i="95"/>
  <c r="CJ47" i="95"/>
  <c r="CK47" i="95"/>
  <c r="CL47" i="95"/>
  <c r="CM47" i="95"/>
  <c r="CN47" i="95"/>
  <c r="CO47" i="95"/>
  <c r="CP47" i="95"/>
  <c r="CQ47" i="95"/>
  <c r="CR47" i="95"/>
  <c r="CS47" i="95"/>
  <c r="CT47" i="95"/>
  <c r="CU47" i="95"/>
  <c r="CV47" i="95"/>
  <c r="CW47" i="95"/>
  <c r="CX47" i="95"/>
  <c r="CY47" i="95"/>
  <c r="CZ47" i="95"/>
  <c r="DA47" i="95"/>
  <c r="DB47" i="95"/>
  <c r="DC47" i="95"/>
  <c r="DD47" i="95"/>
  <c r="DE47" i="95"/>
  <c r="DF47" i="95"/>
  <c r="DG47" i="95"/>
  <c r="DH47" i="95"/>
  <c r="DI47" i="95"/>
  <c r="DJ47" i="95"/>
  <c r="DK47" i="95"/>
  <c r="DL47" i="95"/>
  <c r="DM47" i="95"/>
  <c r="DN47" i="95"/>
  <c r="DO47" i="95"/>
  <c r="DP47" i="95"/>
  <c r="DQ47" i="95"/>
  <c r="DR47" i="95"/>
  <c r="DS47" i="95"/>
  <c r="DT47" i="95"/>
  <c r="DU47" i="95"/>
  <c r="DV47" i="95"/>
  <c r="DW47" i="95"/>
  <c r="DX47" i="95"/>
  <c r="DY47" i="95"/>
  <c r="DZ47" i="95"/>
  <c r="EA47" i="95"/>
  <c r="EB47" i="95"/>
  <c r="EC47" i="95"/>
  <c r="ED47" i="95"/>
  <c r="EE47" i="95"/>
  <c r="EF47" i="95"/>
  <c r="EG47" i="95"/>
  <c r="EH47" i="95"/>
  <c r="EI47" i="95"/>
  <c r="EJ47" i="95"/>
  <c r="EK47" i="95"/>
  <c r="EL47" i="95"/>
  <c r="EM47" i="95"/>
  <c r="EN47" i="95"/>
  <c r="EO47" i="95"/>
  <c r="EP47" i="95"/>
  <c r="EQ47" i="95"/>
  <c r="ER47" i="95"/>
  <c r="ES47" i="95"/>
  <c r="ET47" i="95"/>
  <c r="EU47" i="95"/>
  <c r="EV47" i="95"/>
  <c r="EW47" i="95"/>
  <c r="EX47" i="95"/>
  <c r="EY47" i="95"/>
  <c r="EZ47" i="95"/>
  <c r="FA47" i="95"/>
  <c r="FB47" i="95"/>
  <c r="FC47" i="95"/>
  <c r="FD47" i="95"/>
  <c r="FE47" i="95"/>
  <c r="FF47" i="95"/>
  <c r="FG47" i="95"/>
  <c r="FH47" i="95"/>
  <c r="FI47" i="95"/>
  <c r="FJ47" i="95"/>
  <c r="FK47" i="95"/>
  <c r="FL47" i="95"/>
  <c r="FM47" i="95"/>
  <c r="FN47" i="95"/>
  <c r="FO47" i="95"/>
  <c r="FP47" i="95"/>
  <c r="FQ47" i="95"/>
  <c r="FR47" i="95"/>
  <c r="FS47" i="95"/>
  <c r="FT47" i="95"/>
  <c r="FU47" i="95"/>
  <c r="FV47" i="95"/>
  <c r="FW47" i="95"/>
  <c r="FX47" i="95"/>
  <c r="FY47" i="95"/>
  <c r="FZ47" i="95"/>
  <c r="GA47" i="95"/>
  <c r="GB47" i="95"/>
  <c r="GC47" i="95"/>
  <c r="GD47" i="95"/>
  <c r="GE47" i="95"/>
  <c r="GF47" i="95"/>
  <c r="GG47" i="95"/>
  <c r="GH47" i="95"/>
  <c r="GI47" i="95"/>
  <c r="GJ47" i="95"/>
  <c r="GK47" i="95"/>
  <c r="GL47" i="95"/>
  <c r="GM47" i="95"/>
  <c r="GN47" i="95"/>
  <c r="GO47" i="95"/>
  <c r="GP47" i="95"/>
  <c r="GQ47" i="95"/>
  <c r="GR47" i="95"/>
  <c r="GS47" i="95"/>
  <c r="GT47" i="95"/>
  <c r="GU47" i="95"/>
  <c r="GV47" i="95"/>
  <c r="GW47" i="95"/>
  <c r="GX47" i="95"/>
  <c r="GY47" i="95"/>
  <c r="GZ47" i="95"/>
  <c r="HA47" i="95"/>
  <c r="HB47" i="95"/>
  <c r="HC47" i="95"/>
  <c r="HD47" i="95"/>
  <c r="HE47" i="95"/>
  <c r="HF47" i="95"/>
  <c r="HG47" i="95"/>
  <c r="HH47" i="95"/>
  <c r="HI47" i="95"/>
  <c r="HJ47" i="95"/>
  <c r="HK47" i="95"/>
  <c r="HL47" i="95"/>
  <c r="HM47" i="95"/>
  <c r="HN47" i="95"/>
  <c r="HO47" i="95"/>
  <c r="HP47" i="95"/>
  <c r="HQ47" i="95"/>
  <c r="G48" i="95"/>
  <c r="H48" i="95"/>
  <c r="I48" i="95"/>
  <c r="J48" i="95"/>
  <c r="K48" i="95"/>
  <c r="L48" i="95"/>
  <c r="M48" i="95"/>
  <c r="N48" i="95"/>
  <c r="O48" i="95"/>
  <c r="P48" i="95"/>
  <c r="Q48" i="95"/>
  <c r="R48" i="95"/>
  <c r="S48" i="95"/>
  <c r="T48" i="95"/>
  <c r="U48" i="95"/>
  <c r="V48" i="95"/>
  <c r="W48" i="95"/>
  <c r="X48" i="95"/>
  <c r="Y48" i="95"/>
  <c r="Z48" i="95"/>
  <c r="AA48" i="95"/>
  <c r="AB48" i="95"/>
  <c r="AC48" i="95"/>
  <c r="AD48" i="95"/>
  <c r="AE48" i="95"/>
  <c r="AF48" i="95"/>
  <c r="AG48" i="95"/>
  <c r="AH48" i="95"/>
  <c r="AI48" i="95"/>
  <c r="AJ48" i="95"/>
  <c r="AK48" i="95"/>
  <c r="AL48" i="95"/>
  <c r="AM48" i="95"/>
  <c r="AN48" i="95"/>
  <c r="AO48" i="95"/>
  <c r="AP48" i="95"/>
  <c r="AQ48" i="95"/>
  <c r="AR48" i="95"/>
  <c r="AS48" i="95"/>
  <c r="AT48" i="95"/>
  <c r="AU48" i="95"/>
  <c r="AV48" i="95"/>
  <c r="AW48" i="95"/>
  <c r="AX48" i="95"/>
  <c r="AY48" i="95"/>
  <c r="AZ48" i="95"/>
  <c r="BA48" i="95"/>
  <c r="BB48" i="95"/>
  <c r="BC48" i="95"/>
  <c r="BD48" i="95"/>
  <c r="BE48" i="95"/>
  <c r="BF48" i="95"/>
  <c r="BG48" i="95"/>
  <c r="BH48" i="95"/>
  <c r="BI48" i="95"/>
  <c r="BJ48" i="95"/>
  <c r="BK48" i="95"/>
  <c r="BL48" i="95"/>
  <c r="BM48" i="95"/>
  <c r="BN48" i="95"/>
  <c r="BO48" i="95"/>
  <c r="BP48" i="95"/>
  <c r="BQ48" i="95"/>
  <c r="BR48" i="95"/>
  <c r="BS48" i="95"/>
  <c r="BT48" i="95"/>
  <c r="BU48" i="95"/>
  <c r="BV48" i="95"/>
  <c r="BW48" i="95"/>
  <c r="BX48" i="95"/>
  <c r="BY48" i="95"/>
  <c r="BZ48" i="95"/>
  <c r="CA48" i="95"/>
  <c r="CB48" i="95"/>
  <c r="CC48" i="95"/>
  <c r="CD48" i="95"/>
  <c r="CE48" i="95"/>
  <c r="CF48" i="95"/>
  <c r="CG48" i="95"/>
  <c r="CH48" i="95"/>
  <c r="CI48" i="95"/>
  <c r="CJ48" i="95"/>
  <c r="CK48" i="95"/>
  <c r="CL48" i="95"/>
  <c r="CM48" i="95"/>
  <c r="CN48" i="95"/>
  <c r="CO48" i="95"/>
  <c r="CP48" i="95"/>
  <c r="CQ48" i="95"/>
  <c r="CR48" i="95"/>
  <c r="CS48" i="95"/>
  <c r="CT48" i="95"/>
  <c r="CU48" i="95"/>
  <c r="CV48" i="95"/>
  <c r="CW48" i="95"/>
  <c r="CX48" i="95"/>
  <c r="CY48" i="95"/>
  <c r="CZ48" i="95"/>
  <c r="DA48" i="95"/>
  <c r="DB48" i="95"/>
  <c r="DC48" i="95"/>
  <c r="DD48" i="95"/>
  <c r="DE48" i="95"/>
  <c r="DF48" i="95"/>
  <c r="DG48" i="95"/>
  <c r="DH48" i="95"/>
  <c r="DI48" i="95"/>
  <c r="DJ48" i="95"/>
  <c r="DK48" i="95"/>
  <c r="DL48" i="95"/>
  <c r="DM48" i="95"/>
  <c r="DN48" i="95"/>
  <c r="DO48" i="95"/>
  <c r="DP48" i="95"/>
  <c r="DQ48" i="95"/>
  <c r="DR48" i="95"/>
  <c r="DS48" i="95"/>
  <c r="DT48" i="95"/>
  <c r="DU48" i="95"/>
  <c r="DV48" i="95"/>
  <c r="DW48" i="95"/>
  <c r="DX48" i="95"/>
  <c r="DY48" i="95"/>
  <c r="DZ48" i="95"/>
  <c r="EA48" i="95"/>
  <c r="EB48" i="95"/>
  <c r="EC48" i="95"/>
  <c r="ED48" i="95"/>
  <c r="EE48" i="95"/>
  <c r="EF48" i="95"/>
  <c r="EG48" i="95"/>
  <c r="EH48" i="95"/>
  <c r="EI48" i="95"/>
  <c r="EJ48" i="95"/>
  <c r="EK48" i="95"/>
  <c r="EL48" i="95"/>
  <c r="EM48" i="95"/>
  <c r="EN48" i="95"/>
  <c r="EO48" i="95"/>
  <c r="EP48" i="95"/>
  <c r="EQ48" i="95"/>
  <c r="ER48" i="95"/>
  <c r="ES48" i="95"/>
  <c r="ET48" i="95"/>
  <c r="EU48" i="95"/>
  <c r="EV48" i="95"/>
  <c r="EW48" i="95"/>
  <c r="EX48" i="95"/>
  <c r="EY48" i="95"/>
  <c r="EZ48" i="95"/>
  <c r="FA48" i="95"/>
  <c r="FB48" i="95"/>
  <c r="FC48" i="95"/>
  <c r="FD48" i="95"/>
  <c r="FE48" i="95"/>
  <c r="FF48" i="95"/>
  <c r="FG48" i="95"/>
  <c r="FH48" i="95"/>
  <c r="FI48" i="95"/>
  <c r="FJ48" i="95"/>
  <c r="FK48" i="95"/>
  <c r="FL48" i="95"/>
  <c r="FM48" i="95"/>
  <c r="FN48" i="95"/>
  <c r="FO48" i="95"/>
  <c r="FP48" i="95"/>
  <c r="FQ48" i="95"/>
  <c r="FR48" i="95"/>
  <c r="FS48" i="95"/>
  <c r="FT48" i="95"/>
  <c r="FU48" i="95"/>
  <c r="FV48" i="95"/>
  <c r="FW48" i="95"/>
  <c r="FX48" i="95"/>
  <c r="FY48" i="95"/>
  <c r="FZ48" i="95"/>
  <c r="GA48" i="95"/>
  <c r="GB48" i="95"/>
  <c r="GC48" i="95"/>
  <c r="GD48" i="95"/>
  <c r="GE48" i="95"/>
  <c r="GF48" i="95"/>
  <c r="GG48" i="95"/>
  <c r="GH48" i="95"/>
  <c r="GI48" i="95"/>
  <c r="GJ48" i="95"/>
  <c r="GK48" i="95"/>
  <c r="GL48" i="95"/>
  <c r="GM48" i="95"/>
  <c r="GN48" i="95"/>
  <c r="GO48" i="95"/>
  <c r="GP48" i="95"/>
  <c r="GQ48" i="95"/>
  <c r="GR48" i="95"/>
  <c r="GS48" i="95"/>
  <c r="GT48" i="95"/>
  <c r="GU48" i="95"/>
  <c r="GV48" i="95"/>
  <c r="GW48" i="95"/>
  <c r="GX48" i="95"/>
  <c r="GY48" i="95"/>
  <c r="GZ48" i="95"/>
  <c r="HA48" i="95"/>
  <c r="HB48" i="95"/>
  <c r="HC48" i="95"/>
  <c r="HD48" i="95"/>
  <c r="HE48" i="95"/>
  <c r="HF48" i="95"/>
  <c r="HG48" i="95"/>
  <c r="HH48" i="95"/>
  <c r="HI48" i="95"/>
  <c r="HJ48" i="95"/>
  <c r="HK48" i="95"/>
  <c r="HL48" i="95"/>
  <c r="HM48" i="95"/>
  <c r="HN48" i="95"/>
  <c r="HO48" i="95"/>
  <c r="HP48" i="95"/>
  <c r="HQ48" i="95"/>
  <c r="G49" i="95"/>
  <c r="H49" i="95"/>
  <c r="I49" i="95"/>
  <c r="J49" i="95"/>
  <c r="K49" i="95"/>
  <c r="L49" i="95"/>
  <c r="M49" i="95"/>
  <c r="N49" i="95"/>
  <c r="O49" i="95"/>
  <c r="P49" i="95"/>
  <c r="Q49" i="95"/>
  <c r="R49" i="95"/>
  <c r="S49" i="95"/>
  <c r="T49" i="95"/>
  <c r="U49" i="95"/>
  <c r="V49" i="95"/>
  <c r="W49" i="95"/>
  <c r="X49" i="95"/>
  <c r="Y49" i="95"/>
  <c r="Z49" i="95"/>
  <c r="AA49" i="95"/>
  <c r="AB49" i="95"/>
  <c r="AC49" i="95"/>
  <c r="AD49" i="95"/>
  <c r="AE49" i="95"/>
  <c r="AF49" i="95"/>
  <c r="AG49" i="95"/>
  <c r="AH49" i="95"/>
  <c r="AI49" i="95"/>
  <c r="AJ49" i="95"/>
  <c r="AK49" i="95"/>
  <c r="AL49" i="95"/>
  <c r="AM49" i="95"/>
  <c r="AN49" i="95"/>
  <c r="AO49" i="95"/>
  <c r="AP49" i="95"/>
  <c r="AQ49" i="95"/>
  <c r="AR49" i="95"/>
  <c r="AS49" i="95"/>
  <c r="AT49" i="95"/>
  <c r="AU49" i="95"/>
  <c r="AV49" i="95"/>
  <c r="AW49" i="95"/>
  <c r="AX49" i="95"/>
  <c r="AY49" i="95"/>
  <c r="AZ49" i="95"/>
  <c r="BA49" i="95"/>
  <c r="BB49" i="95"/>
  <c r="BC49" i="95"/>
  <c r="BD49" i="95"/>
  <c r="BE49" i="95"/>
  <c r="BF49" i="95"/>
  <c r="BG49" i="95"/>
  <c r="BH49" i="95"/>
  <c r="BI49" i="95"/>
  <c r="BJ49" i="95"/>
  <c r="BK49" i="95"/>
  <c r="BL49" i="95"/>
  <c r="BM49" i="95"/>
  <c r="BN49" i="95"/>
  <c r="BO49" i="95"/>
  <c r="BP49" i="95"/>
  <c r="BQ49" i="95"/>
  <c r="BR49" i="95"/>
  <c r="BS49" i="95"/>
  <c r="BT49" i="95"/>
  <c r="BU49" i="95"/>
  <c r="BV49" i="95"/>
  <c r="BW49" i="95"/>
  <c r="BX49" i="95"/>
  <c r="BY49" i="95"/>
  <c r="BZ49" i="95"/>
  <c r="CA49" i="95"/>
  <c r="CB49" i="95"/>
  <c r="CC49" i="95"/>
  <c r="CD49" i="95"/>
  <c r="CE49" i="95"/>
  <c r="CF49" i="95"/>
  <c r="CG49" i="95"/>
  <c r="CH49" i="95"/>
  <c r="CI49" i="95"/>
  <c r="CJ49" i="95"/>
  <c r="CK49" i="95"/>
  <c r="CL49" i="95"/>
  <c r="CM49" i="95"/>
  <c r="CN49" i="95"/>
  <c r="CO49" i="95"/>
  <c r="CP49" i="95"/>
  <c r="CQ49" i="95"/>
  <c r="CR49" i="95"/>
  <c r="CS49" i="95"/>
  <c r="CT49" i="95"/>
  <c r="CU49" i="95"/>
  <c r="CV49" i="95"/>
  <c r="CW49" i="95"/>
  <c r="CX49" i="95"/>
  <c r="CY49" i="95"/>
  <c r="CZ49" i="95"/>
  <c r="DA49" i="95"/>
  <c r="DB49" i="95"/>
  <c r="DC49" i="95"/>
  <c r="DD49" i="95"/>
  <c r="DE49" i="95"/>
  <c r="DF49" i="95"/>
  <c r="DG49" i="95"/>
  <c r="DH49" i="95"/>
  <c r="DI49" i="95"/>
  <c r="DJ49" i="95"/>
  <c r="DK49" i="95"/>
  <c r="DL49" i="95"/>
  <c r="DM49" i="95"/>
  <c r="DN49" i="95"/>
  <c r="DO49" i="95"/>
  <c r="DP49" i="95"/>
  <c r="DQ49" i="95"/>
  <c r="DR49" i="95"/>
  <c r="DS49" i="95"/>
  <c r="DT49" i="95"/>
  <c r="DU49" i="95"/>
  <c r="DV49" i="95"/>
  <c r="DW49" i="95"/>
  <c r="DX49" i="95"/>
  <c r="DY49" i="95"/>
  <c r="DZ49" i="95"/>
  <c r="EA49" i="95"/>
  <c r="EB49" i="95"/>
  <c r="EC49" i="95"/>
  <c r="ED49" i="95"/>
  <c r="EE49" i="95"/>
  <c r="EF49" i="95"/>
  <c r="EG49" i="95"/>
  <c r="EH49" i="95"/>
  <c r="EI49" i="95"/>
  <c r="EJ49" i="95"/>
  <c r="EK49" i="95"/>
  <c r="EL49" i="95"/>
  <c r="EM49" i="95"/>
  <c r="EN49" i="95"/>
  <c r="EO49" i="95"/>
  <c r="EP49" i="95"/>
  <c r="EQ49" i="95"/>
  <c r="ER49" i="95"/>
  <c r="ES49" i="95"/>
  <c r="ET49" i="95"/>
  <c r="EU49" i="95"/>
  <c r="EV49" i="95"/>
  <c r="EW49" i="95"/>
  <c r="EX49" i="95"/>
  <c r="EY49" i="95"/>
  <c r="EZ49" i="95"/>
  <c r="FA49" i="95"/>
  <c r="FB49" i="95"/>
  <c r="FC49" i="95"/>
  <c r="FD49" i="95"/>
  <c r="FE49" i="95"/>
  <c r="FF49" i="95"/>
  <c r="FG49" i="95"/>
  <c r="FH49" i="95"/>
  <c r="FI49" i="95"/>
  <c r="FJ49" i="95"/>
  <c r="FK49" i="95"/>
  <c r="FL49" i="95"/>
  <c r="FM49" i="95"/>
  <c r="FN49" i="95"/>
  <c r="FO49" i="95"/>
  <c r="FP49" i="95"/>
  <c r="FQ49" i="95"/>
  <c r="FR49" i="95"/>
  <c r="FS49" i="95"/>
  <c r="FT49" i="95"/>
  <c r="FU49" i="95"/>
  <c r="FV49" i="95"/>
  <c r="FW49" i="95"/>
  <c r="FX49" i="95"/>
  <c r="FY49" i="95"/>
  <c r="FZ49" i="95"/>
  <c r="GA49" i="95"/>
  <c r="GB49" i="95"/>
  <c r="GC49" i="95"/>
  <c r="GD49" i="95"/>
  <c r="GE49" i="95"/>
  <c r="GF49" i="95"/>
  <c r="GG49" i="95"/>
  <c r="GH49" i="95"/>
  <c r="GI49" i="95"/>
  <c r="GJ49" i="95"/>
  <c r="GK49" i="95"/>
  <c r="GL49" i="95"/>
  <c r="GM49" i="95"/>
  <c r="GN49" i="95"/>
  <c r="GO49" i="95"/>
  <c r="GP49" i="95"/>
  <c r="GQ49" i="95"/>
  <c r="GR49" i="95"/>
  <c r="GS49" i="95"/>
  <c r="GT49" i="95"/>
  <c r="GU49" i="95"/>
  <c r="GV49" i="95"/>
  <c r="GW49" i="95"/>
  <c r="GX49" i="95"/>
  <c r="GY49" i="95"/>
  <c r="GZ49" i="95"/>
  <c r="HA49" i="95"/>
  <c r="HB49" i="95"/>
  <c r="HC49" i="95"/>
  <c r="HD49" i="95"/>
  <c r="HE49" i="95"/>
  <c r="HF49" i="95"/>
  <c r="HG49" i="95"/>
  <c r="HH49" i="95"/>
  <c r="HI49" i="95"/>
  <c r="HJ49" i="95"/>
  <c r="HK49" i="95"/>
  <c r="HL49" i="95"/>
  <c r="HM49" i="95"/>
  <c r="HN49" i="95"/>
  <c r="HO49" i="95"/>
  <c r="HP49" i="95"/>
  <c r="HQ49" i="95"/>
  <c r="G50" i="95"/>
  <c r="H50" i="95"/>
  <c r="I50" i="95"/>
  <c r="J50" i="95"/>
  <c r="K50" i="95"/>
  <c r="L50" i="95"/>
  <c r="M50" i="95"/>
  <c r="N50" i="95"/>
  <c r="O50" i="95"/>
  <c r="P50" i="95"/>
  <c r="Q50" i="95"/>
  <c r="R50" i="95"/>
  <c r="S50" i="95"/>
  <c r="T50" i="95"/>
  <c r="U50" i="95"/>
  <c r="V50" i="95"/>
  <c r="W50" i="95"/>
  <c r="X50" i="95"/>
  <c r="Y50" i="95"/>
  <c r="Z50" i="95"/>
  <c r="AA50" i="95"/>
  <c r="AB50" i="95"/>
  <c r="AC50" i="95"/>
  <c r="AD50" i="95"/>
  <c r="AE50" i="95"/>
  <c r="AF50" i="95"/>
  <c r="AG50" i="95"/>
  <c r="AH50" i="95"/>
  <c r="AI50" i="95"/>
  <c r="AJ50" i="95"/>
  <c r="AK50" i="95"/>
  <c r="AL50" i="95"/>
  <c r="AM50" i="95"/>
  <c r="AN50" i="95"/>
  <c r="AO50" i="95"/>
  <c r="AP50" i="95"/>
  <c r="AQ50" i="95"/>
  <c r="AR50" i="95"/>
  <c r="AS50" i="95"/>
  <c r="AT50" i="95"/>
  <c r="AU50" i="95"/>
  <c r="AV50" i="95"/>
  <c r="AW50" i="95"/>
  <c r="AX50" i="95"/>
  <c r="AY50" i="95"/>
  <c r="AZ50" i="95"/>
  <c r="BA50" i="95"/>
  <c r="BB50" i="95"/>
  <c r="BC50" i="95"/>
  <c r="BD50" i="95"/>
  <c r="BE50" i="95"/>
  <c r="BF50" i="95"/>
  <c r="BG50" i="95"/>
  <c r="BH50" i="95"/>
  <c r="BI50" i="95"/>
  <c r="BJ50" i="95"/>
  <c r="BK50" i="95"/>
  <c r="BL50" i="95"/>
  <c r="BM50" i="95"/>
  <c r="BN50" i="95"/>
  <c r="BO50" i="95"/>
  <c r="BP50" i="95"/>
  <c r="BQ50" i="95"/>
  <c r="BR50" i="95"/>
  <c r="BS50" i="95"/>
  <c r="BT50" i="95"/>
  <c r="BU50" i="95"/>
  <c r="BV50" i="95"/>
  <c r="BW50" i="95"/>
  <c r="BX50" i="95"/>
  <c r="BY50" i="95"/>
  <c r="BZ50" i="95"/>
  <c r="CA50" i="95"/>
  <c r="CB50" i="95"/>
  <c r="CC50" i="95"/>
  <c r="CD50" i="95"/>
  <c r="CE50" i="95"/>
  <c r="CF50" i="95"/>
  <c r="CG50" i="95"/>
  <c r="CH50" i="95"/>
  <c r="CI50" i="95"/>
  <c r="CJ50" i="95"/>
  <c r="CK50" i="95"/>
  <c r="CL50" i="95"/>
  <c r="CM50" i="95"/>
  <c r="CN50" i="95"/>
  <c r="CO50" i="95"/>
  <c r="CP50" i="95"/>
  <c r="CQ50" i="95"/>
  <c r="CR50" i="95"/>
  <c r="CS50" i="95"/>
  <c r="CT50" i="95"/>
  <c r="CU50" i="95"/>
  <c r="CV50" i="95"/>
  <c r="CW50" i="95"/>
  <c r="CX50" i="95"/>
  <c r="CY50" i="95"/>
  <c r="CZ50" i="95"/>
  <c r="DA50" i="95"/>
  <c r="DB50" i="95"/>
  <c r="DC50" i="95"/>
  <c r="DD50" i="95"/>
  <c r="DE50" i="95"/>
  <c r="DF50" i="95"/>
  <c r="DG50" i="95"/>
  <c r="DH50" i="95"/>
  <c r="DI50" i="95"/>
  <c r="DJ50" i="95"/>
  <c r="DK50" i="95"/>
  <c r="DL50" i="95"/>
  <c r="DM50" i="95"/>
  <c r="DN50" i="95"/>
  <c r="DO50" i="95"/>
  <c r="DP50" i="95"/>
  <c r="DQ50" i="95"/>
  <c r="DR50" i="95"/>
  <c r="DS50" i="95"/>
  <c r="DT50" i="95"/>
  <c r="DU50" i="95"/>
  <c r="DV50" i="95"/>
  <c r="DW50" i="95"/>
  <c r="DX50" i="95"/>
  <c r="DY50" i="95"/>
  <c r="DZ50" i="95"/>
  <c r="EA50" i="95"/>
  <c r="EB50" i="95"/>
  <c r="EC50" i="95"/>
  <c r="ED50" i="95"/>
  <c r="EE50" i="95"/>
  <c r="EF50" i="95"/>
  <c r="EG50" i="95"/>
  <c r="EH50" i="95"/>
  <c r="EI50" i="95"/>
  <c r="EJ50" i="95"/>
  <c r="EK50" i="95"/>
  <c r="EL50" i="95"/>
  <c r="EM50" i="95"/>
  <c r="EN50" i="95"/>
  <c r="EO50" i="95"/>
  <c r="EP50" i="95"/>
  <c r="EQ50" i="95"/>
  <c r="ER50" i="95"/>
  <c r="ES50" i="95"/>
  <c r="ET50" i="95"/>
  <c r="EU50" i="95"/>
  <c r="EV50" i="95"/>
  <c r="EW50" i="95"/>
  <c r="EX50" i="95"/>
  <c r="EY50" i="95"/>
  <c r="EZ50" i="95"/>
  <c r="FA50" i="95"/>
  <c r="FB50" i="95"/>
  <c r="FC50" i="95"/>
  <c r="FD50" i="95"/>
  <c r="FE50" i="95"/>
  <c r="FF50" i="95"/>
  <c r="FG50" i="95"/>
  <c r="FH50" i="95"/>
  <c r="FI50" i="95"/>
  <c r="FJ50" i="95"/>
  <c r="FK50" i="95"/>
  <c r="FL50" i="95"/>
  <c r="FM50" i="95"/>
  <c r="FN50" i="95"/>
  <c r="FO50" i="95"/>
  <c r="FP50" i="95"/>
  <c r="FQ50" i="95"/>
  <c r="FR50" i="95"/>
  <c r="FS50" i="95"/>
  <c r="FT50" i="95"/>
  <c r="FU50" i="95"/>
  <c r="FV50" i="95"/>
  <c r="FW50" i="95"/>
  <c r="FX50" i="95"/>
  <c r="FY50" i="95"/>
  <c r="FZ50" i="95"/>
  <c r="GA50" i="95"/>
  <c r="GB50" i="95"/>
  <c r="GC50" i="95"/>
  <c r="GD50" i="95"/>
  <c r="GE50" i="95"/>
  <c r="GF50" i="95"/>
  <c r="GG50" i="95"/>
  <c r="GH50" i="95"/>
  <c r="GI50" i="95"/>
  <c r="GJ50" i="95"/>
  <c r="GK50" i="95"/>
  <c r="GL50" i="95"/>
  <c r="GM50" i="95"/>
  <c r="GN50" i="95"/>
  <c r="GO50" i="95"/>
  <c r="GP50" i="95"/>
  <c r="GQ50" i="95"/>
  <c r="GR50" i="95"/>
  <c r="GS50" i="95"/>
  <c r="GT50" i="95"/>
  <c r="GU50" i="95"/>
  <c r="GV50" i="95"/>
  <c r="GW50" i="95"/>
  <c r="GX50" i="95"/>
  <c r="GY50" i="95"/>
  <c r="GZ50" i="95"/>
  <c r="HA50" i="95"/>
  <c r="HB50" i="95"/>
  <c r="HC50" i="95"/>
  <c r="HD50" i="95"/>
  <c r="HE50" i="95"/>
  <c r="HF50" i="95"/>
  <c r="HG50" i="95"/>
  <c r="HH50" i="95"/>
  <c r="HI50" i="95"/>
  <c r="HJ50" i="95"/>
  <c r="HK50" i="95"/>
  <c r="HL50" i="95"/>
  <c r="HM50" i="95"/>
  <c r="HN50" i="95"/>
  <c r="HO50" i="95"/>
  <c r="HP50" i="95"/>
  <c r="HQ50" i="95"/>
  <c r="G51" i="95"/>
  <c r="H51" i="95"/>
  <c r="I51" i="95"/>
  <c r="J51" i="95"/>
  <c r="K51" i="95"/>
  <c r="L51" i="95"/>
  <c r="M51" i="95"/>
  <c r="N51" i="95"/>
  <c r="O51" i="95"/>
  <c r="P51" i="95"/>
  <c r="Q51" i="95"/>
  <c r="R51" i="95"/>
  <c r="S51" i="95"/>
  <c r="T51" i="95"/>
  <c r="U51" i="95"/>
  <c r="V51" i="95"/>
  <c r="W51" i="95"/>
  <c r="X51" i="95"/>
  <c r="Y51" i="95"/>
  <c r="Z51" i="95"/>
  <c r="AA51" i="95"/>
  <c r="AB51" i="95"/>
  <c r="AC51" i="95"/>
  <c r="AD51" i="95"/>
  <c r="AE51" i="95"/>
  <c r="AF51" i="95"/>
  <c r="AG51" i="95"/>
  <c r="AH51" i="95"/>
  <c r="AI51" i="95"/>
  <c r="AJ51" i="95"/>
  <c r="AK51" i="95"/>
  <c r="AL51" i="95"/>
  <c r="AM51" i="95"/>
  <c r="AN51" i="95"/>
  <c r="AO51" i="95"/>
  <c r="AP51" i="95"/>
  <c r="AQ51" i="95"/>
  <c r="AR51" i="95"/>
  <c r="AS51" i="95"/>
  <c r="AT51" i="95"/>
  <c r="AU51" i="95"/>
  <c r="AV51" i="95"/>
  <c r="AW51" i="95"/>
  <c r="AX51" i="95"/>
  <c r="AY51" i="95"/>
  <c r="AZ51" i="95"/>
  <c r="BA51" i="95"/>
  <c r="BB51" i="95"/>
  <c r="BC51" i="95"/>
  <c r="BD51" i="95"/>
  <c r="BE51" i="95"/>
  <c r="BF51" i="95"/>
  <c r="BG51" i="95"/>
  <c r="BH51" i="95"/>
  <c r="BI51" i="95"/>
  <c r="BJ51" i="95"/>
  <c r="BK51" i="95"/>
  <c r="BL51" i="95"/>
  <c r="BM51" i="95"/>
  <c r="BN51" i="95"/>
  <c r="BO51" i="95"/>
  <c r="BP51" i="95"/>
  <c r="BQ51" i="95"/>
  <c r="BR51" i="95"/>
  <c r="BS51" i="95"/>
  <c r="BT51" i="95"/>
  <c r="BU51" i="95"/>
  <c r="BV51" i="95"/>
  <c r="BW51" i="95"/>
  <c r="BX51" i="95"/>
  <c r="BY51" i="95"/>
  <c r="BZ51" i="95"/>
  <c r="CA51" i="95"/>
  <c r="CB51" i="95"/>
  <c r="CC51" i="95"/>
  <c r="CD51" i="95"/>
  <c r="CE51" i="95"/>
  <c r="CF51" i="95"/>
  <c r="CG51" i="95"/>
  <c r="CH51" i="95"/>
  <c r="CI51" i="95"/>
  <c r="CJ51" i="95"/>
  <c r="CK51" i="95"/>
  <c r="CL51" i="95"/>
  <c r="CM51" i="95"/>
  <c r="CN51" i="95"/>
  <c r="CO51" i="95"/>
  <c r="CP51" i="95"/>
  <c r="CQ51" i="95"/>
  <c r="CR51" i="95"/>
  <c r="CS51" i="95"/>
  <c r="CT51" i="95"/>
  <c r="CU51" i="95"/>
  <c r="CV51" i="95"/>
  <c r="CW51" i="95"/>
  <c r="CX51" i="95"/>
  <c r="CY51" i="95"/>
  <c r="CZ51" i="95"/>
  <c r="DA51" i="95"/>
  <c r="DB51" i="95"/>
  <c r="DC51" i="95"/>
  <c r="DD51" i="95"/>
  <c r="DE51" i="95"/>
  <c r="DF51" i="95"/>
  <c r="DG51" i="95"/>
  <c r="DH51" i="95"/>
  <c r="DI51" i="95"/>
  <c r="DJ51" i="95"/>
  <c r="DK51" i="95"/>
  <c r="DL51" i="95"/>
  <c r="DM51" i="95"/>
  <c r="DN51" i="95"/>
  <c r="DO51" i="95"/>
  <c r="DP51" i="95"/>
  <c r="DQ51" i="95"/>
  <c r="DR51" i="95"/>
  <c r="DS51" i="95"/>
  <c r="DT51" i="95"/>
  <c r="DU51" i="95"/>
  <c r="DV51" i="95"/>
  <c r="DW51" i="95"/>
  <c r="DX51" i="95"/>
  <c r="DY51" i="95"/>
  <c r="DZ51" i="95"/>
  <c r="EA51" i="95"/>
  <c r="EB51" i="95"/>
  <c r="EC51" i="95"/>
  <c r="ED51" i="95"/>
  <c r="EE51" i="95"/>
  <c r="EF51" i="95"/>
  <c r="EG51" i="95"/>
  <c r="EH51" i="95"/>
  <c r="EI51" i="95"/>
  <c r="EJ51" i="95"/>
  <c r="EK51" i="95"/>
  <c r="EL51" i="95"/>
  <c r="EM51" i="95"/>
  <c r="EN51" i="95"/>
  <c r="EO51" i="95"/>
  <c r="EP51" i="95"/>
  <c r="EQ51" i="95"/>
  <c r="ER51" i="95"/>
  <c r="ES51" i="95"/>
  <c r="ET51" i="95"/>
  <c r="EU51" i="95"/>
  <c r="EV51" i="95"/>
  <c r="EW51" i="95"/>
  <c r="EX51" i="95"/>
  <c r="EY51" i="95"/>
  <c r="EZ51" i="95"/>
  <c r="FA51" i="95"/>
  <c r="FB51" i="95"/>
  <c r="FC51" i="95"/>
  <c r="FD51" i="95"/>
  <c r="FE51" i="95"/>
  <c r="FF51" i="95"/>
  <c r="FG51" i="95"/>
  <c r="FH51" i="95"/>
  <c r="FI51" i="95"/>
  <c r="FJ51" i="95"/>
  <c r="FK51" i="95"/>
  <c r="FL51" i="95"/>
  <c r="FM51" i="95"/>
  <c r="FN51" i="95"/>
  <c r="FO51" i="95"/>
  <c r="FP51" i="95"/>
  <c r="FQ51" i="95"/>
  <c r="FR51" i="95"/>
  <c r="FS51" i="95"/>
  <c r="FT51" i="95"/>
  <c r="FU51" i="95"/>
  <c r="FV51" i="95"/>
  <c r="FW51" i="95"/>
  <c r="FX51" i="95"/>
  <c r="FY51" i="95"/>
  <c r="FZ51" i="95"/>
  <c r="GA51" i="95"/>
  <c r="GB51" i="95"/>
  <c r="GC51" i="95"/>
  <c r="GD51" i="95"/>
  <c r="GE51" i="95"/>
  <c r="GF51" i="95"/>
  <c r="GG51" i="95"/>
  <c r="GH51" i="95"/>
  <c r="GI51" i="95"/>
  <c r="GJ51" i="95"/>
  <c r="GK51" i="95"/>
  <c r="GL51" i="95"/>
  <c r="GM51" i="95"/>
  <c r="GN51" i="95"/>
  <c r="GO51" i="95"/>
  <c r="GP51" i="95"/>
  <c r="GQ51" i="95"/>
  <c r="GR51" i="95"/>
  <c r="GS51" i="95"/>
  <c r="GT51" i="95"/>
  <c r="GU51" i="95"/>
  <c r="GV51" i="95"/>
  <c r="GW51" i="95"/>
  <c r="GX51" i="95"/>
  <c r="GY51" i="95"/>
  <c r="GZ51" i="95"/>
  <c r="HA51" i="95"/>
  <c r="HB51" i="95"/>
  <c r="HC51" i="95"/>
  <c r="HD51" i="95"/>
  <c r="HE51" i="95"/>
  <c r="HF51" i="95"/>
  <c r="HG51" i="95"/>
  <c r="HH51" i="95"/>
  <c r="HI51" i="95"/>
  <c r="HJ51" i="95"/>
  <c r="HK51" i="95"/>
  <c r="HL51" i="95"/>
  <c r="HM51" i="95"/>
  <c r="HN51" i="95"/>
  <c r="HO51" i="95"/>
  <c r="HP51" i="95"/>
  <c r="HQ51" i="95"/>
  <c r="G52" i="95"/>
  <c r="H52" i="95"/>
  <c r="I52" i="95"/>
  <c r="J52" i="95"/>
  <c r="K52" i="95"/>
  <c r="L52" i="95"/>
  <c r="M52" i="95"/>
  <c r="N52" i="95"/>
  <c r="O52" i="95"/>
  <c r="P52" i="95"/>
  <c r="Q52" i="95"/>
  <c r="R52" i="95"/>
  <c r="S52" i="95"/>
  <c r="T52" i="95"/>
  <c r="U52" i="95"/>
  <c r="V52" i="95"/>
  <c r="W52" i="95"/>
  <c r="X52" i="95"/>
  <c r="Y52" i="95"/>
  <c r="Z52" i="95"/>
  <c r="AA52" i="95"/>
  <c r="AB52" i="95"/>
  <c r="AC52" i="95"/>
  <c r="AD52" i="95"/>
  <c r="AE52" i="95"/>
  <c r="AF52" i="95"/>
  <c r="AG52" i="95"/>
  <c r="AH52" i="95"/>
  <c r="AI52" i="95"/>
  <c r="AJ52" i="95"/>
  <c r="AK52" i="95"/>
  <c r="AL52" i="95"/>
  <c r="AM52" i="95"/>
  <c r="AN52" i="95"/>
  <c r="AO52" i="95"/>
  <c r="AP52" i="95"/>
  <c r="AQ52" i="95"/>
  <c r="AR52" i="95"/>
  <c r="AS52" i="95"/>
  <c r="AT52" i="95"/>
  <c r="AU52" i="95"/>
  <c r="AV52" i="95"/>
  <c r="AW52" i="95"/>
  <c r="AX52" i="95"/>
  <c r="AY52" i="95"/>
  <c r="AZ52" i="95"/>
  <c r="BA52" i="95"/>
  <c r="BB52" i="95"/>
  <c r="BC52" i="95"/>
  <c r="BD52" i="95"/>
  <c r="BE52" i="95"/>
  <c r="BF52" i="95"/>
  <c r="BG52" i="95"/>
  <c r="BH52" i="95"/>
  <c r="BI52" i="95"/>
  <c r="BJ52" i="95"/>
  <c r="BK52" i="95"/>
  <c r="BL52" i="95"/>
  <c r="BM52" i="95"/>
  <c r="BN52" i="95"/>
  <c r="BO52" i="95"/>
  <c r="BP52" i="95"/>
  <c r="BQ52" i="95"/>
  <c r="BR52" i="95"/>
  <c r="BS52" i="95"/>
  <c r="BT52" i="95"/>
  <c r="BU52" i="95"/>
  <c r="BV52" i="95"/>
  <c r="BW52" i="95"/>
  <c r="BX52" i="95"/>
  <c r="BY52" i="95"/>
  <c r="BZ52" i="95"/>
  <c r="CA52" i="95"/>
  <c r="CB52" i="95"/>
  <c r="CC52" i="95"/>
  <c r="CD52" i="95"/>
  <c r="CE52" i="95"/>
  <c r="CF52" i="95"/>
  <c r="CG52" i="95"/>
  <c r="CH52" i="95"/>
  <c r="CI52" i="95"/>
  <c r="CJ52" i="95"/>
  <c r="CK52" i="95"/>
  <c r="CL52" i="95"/>
  <c r="CM52" i="95"/>
  <c r="CN52" i="95"/>
  <c r="CO52" i="95"/>
  <c r="CP52" i="95"/>
  <c r="CQ52" i="95"/>
  <c r="CR52" i="95"/>
  <c r="CS52" i="95"/>
  <c r="CT52" i="95"/>
  <c r="CU52" i="95"/>
  <c r="CV52" i="95"/>
  <c r="CW52" i="95"/>
  <c r="CX52" i="95"/>
  <c r="CY52" i="95"/>
  <c r="CZ52" i="95"/>
  <c r="DA52" i="95"/>
  <c r="DB52" i="95"/>
  <c r="DC52" i="95"/>
  <c r="DD52" i="95"/>
  <c r="DE52" i="95"/>
  <c r="DF52" i="95"/>
  <c r="DG52" i="95"/>
  <c r="DH52" i="95"/>
  <c r="DI52" i="95"/>
  <c r="DJ52" i="95"/>
  <c r="DK52" i="95"/>
  <c r="DL52" i="95"/>
  <c r="DM52" i="95"/>
  <c r="DN52" i="95"/>
  <c r="DO52" i="95"/>
  <c r="DP52" i="95"/>
  <c r="DQ52" i="95"/>
  <c r="DR52" i="95"/>
  <c r="DS52" i="95"/>
  <c r="DT52" i="95"/>
  <c r="DU52" i="95"/>
  <c r="DV52" i="95"/>
  <c r="DW52" i="95"/>
  <c r="DX52" i="95"/>
  <c r="DY52" i="95"/>
  <c r="DZ52" i="95"/>
  <c r="EA52" i="95"/>
  <c r="EB52" i="95"/>
  <c r="EC52" i="95"/>
  <c r="ED52" i="95"/>
  <c r="EE52" i="95"/>
  <c r="EF52" i="95"/>
  <c r="EG52" i="95"/>
  <c r="EH52" i="95"/>
  <c r="EI52" i="95"/>
  <c r="EJ52" i="95"/>
  <c r="EK52" i="95"/>
  <c r="EL52" i="95"/>
  <c r="EM52" i="95"/>
  <c r="EN52" i="95"/>
  <c r="EO52" i="95"/>
  <c r="EP52" i="95"/>
  <c r="EQ52" i="95"/>
  <c r="ER52" i="95"/>
  <c r="ES52" i="95"/>
  <c r="ET52" i="95"/>
  <c r="EU52" i="95"/>
  <c r="EV52" i="95"/>
  <c r="EW52" i="95"/>
  <c r="EX52" i="95"/>
  <c r="EY52" i="95"/>
  <c r="EZ52" i="95"/>
  <c r="FA52" i="95"/>
  <c r="FB52" i="95"/>
  <c r="FC52" i="95"/>
  <c r="FD52" i="95"/>
  <c r="FE52" i="95"/>
  <c r="FF52" i="95"/>
  <c r="FG52" i="95"/>
  <c r="FH52" i="95"/>
  <c r="FI52" i="95"/>
  <c r="FJ52" i="95"/>
  <c r="FK52" i="95"/>
  <c r="FL52" i="95"/>
  <c r="FM52" i="95"/>
  <c r="FN52" i="95"/>
  <c r="FO52" i="95"/>
  <c r="FP52" i="95"/>
  <c r="FQ52" i="95"/>
  <c r="FR52" i="95"/>
  <c r="FS52" i="95"/>
  <c r="FT52" i="95"/>
  <c r="FU52" i="95"/>
  <c r="FV52" i="95"/>
  <c r="FW52" i="95"/>
  <c r="FX52" i="95"/>
  <c r="FY52" i="95"/>
  <c r="FZ52" i="95"/>
  <c r="GA52" i="95"/>
  <c r="GB52" i="95"/>
  <c r="GC52" i="95"/>
  <c r="GD52" i="95"/>
  <c r="GE52" i="95"/>
  <c r="GF52" i="95"/>
  <c r="GG52" i="95"/>
  <c r="GH52" i="95"/>
  <c r="GI52" i="95"/>
  <c r="GJ52" i="95"/>
  <c r="GK52" i="95"/>
  <c r="GL52" i="95"/>
  <c r="GM52" i="95"/>
  <c r="GN52" i="95"/>
  <c r="GO52" i="95"/>
  <c r="GP52" i="95"/>
  <c r="GQ52" i="95"/>
  <c r="GR52" i="95"/>
  <c r="GS52" i="95"/>
  <c r="GT52" i="95"/>
  <c r="GU52" i="95"/>
  <c r="GV52" i="95"/>
  <c r="GW52" i="95"/>
  <c r="GX52" i="95"/>
  <c r="GY52" i="95"/>
  <c r="GZ52" i="95"/>
  <c r="HA52" i="95"/>
  <c r="HB52" i="95"/>
  <c r="HC52" i="95"/>
  <c r="HD52" i="95"/>
  <c r="HE52" i="95"/>
  <c r="HF52" i="95"/>
  <c r="HG52" i="95"/>
  <c r="HH52" i="95"/>
  <c r="HI52" i="95"/>
  <c r="HJ52" i="95"/>
  <c r="HK52" i="95"/>
  <c r="HL52" i="95"/>
  <c r="HM52" i="95"/>
  <c r="HN52" i="95"/>
  <c r="HO52" i="95"/>
  <c r="HP52" i="95"/>
  <c r="HQ52" i="95"/>
  <c r="G53" i="95"/>
  <c r="H53" i="95"/>
  <c r="I53" i="95"/>
  <c r="J53" i="95"/>
  <c r="K53" i="95"/>
  <c r="L53" i="95"/>
  <c r="M53" i="95"/>
  <c r="N53" i="95"/>
  <c r="O53" i="95"/>
  <c r="P53" i="95"/>
  <c r="Q53" i="95"/>
  <c r="R53" i="95"/>
  <c r="S53" i="95"/>
  <c r="T53" i="95"/>
  <c r="U53" i="95"/>
  <c r="V53" i="95"/>
  <c r="W53" i="95"/>
  <c r="X53" i="95"/>
  <c r="Y53" i="95"/>
  <c r="Z53" i="95"/>
  <c r="AA53" i="95"/>
  <c r="AB53" i="95"/>
  <c r="AC53" i="95"/>
  <c r="AD53" i="95"/>
  <c r="AE53" i="95"/>
  <c r="AF53" i="95"/>
  <c r="AG53" i="95"/>
  <c r="AH53" i="95"/>
  <c r="AI53" i="95"/>
  <c r="AJ53" i="95"/>
  <c r="AK53" i="95"/>
  <c r="AL53" i="95"/>
  <c r="AM53" i="95"/>
  <c r="AN53" i="95"/>
  <c r="AO53" i="95"/>
  <c r="AP53" i="95"/>
  <c r="AQ53" i="95"/>
  <c r="AR53" i="95"/>
  <c r="AS53" i="95"/>
  <c r="AT53" i="95"/>
  <c r="AU53" i="95"/>
  <c r="AV53" i="95"/>
  <c r="AW53" i="95"/>
  <c r="AX53" i="95"/>
  <c r="AY53" i="95"/>
  <c r="AZ53" i="95"/>
  <c r="BA53" i="95"/>
  <c r="BB53" i="95"/>
  <c r="BC53" i="95"/>
  <c r="BD53" i="95"/>
  <c r="BE53" i="95"/>
  <c r="BF53" i="95"/>
  <c r="BG53" i="95"/>
  <c r="BH53" i="95"/>
  <c r="BI53" i="95"/>
  <c r="BJ53" i="95"/>
  <c r="BK53" i="95"/>
  <c r="BL53" i="95"/>
  <c r="BM53" i="95"/>
  <c r="BN53" i="95"/>
  <c r="BO53" i="95"/>
  <c r="BP53" i="95"/>
  <c r="BQ53" i="95"/>
  <c r="BR53" i="95"/>
  <c r="BS53" i="95"/>
  <c r="BT53" i="95"/>
  <c r="BU53" i="95"/>
  <c r="BV53" i="95"/>
  <c r="BW53" i="95"/>
  <c r="BX53" i="95"/>
  <c r="BY53" i="95"/>
  <c r="BZ53" i="95"/>
  <c r="CA53" i="95"/>
  <c r="CB53" i="95"/>
  <c r="CC53" i="95"/>
  <c r="CD53" i="95"/>
  <c r="CE53" i="95"/>
  <c r="CF53" i="95"/>
  <c r="CG53" i="95"/>
  <c r="CH53" i="95"/>
  <c r="CI53" i="95"/>
  <c r="CJ53" i="95"/>
  <c r="CK53" i="95"/>
  <c r="CL53" i="95"/>
  <c r="CM53" i="95"/>
  <c r="CN53" i="95"/>
  <c r="CO53" i="95"/>
  <c r="CP53" i="95"/>
  <c r="CQ53" i="95"/>
  <c r="CR53" i="95"/>
  <c r="CS53" i="95"/>
  <c r="CT53" i="95"/>
  <c r="CU53" i="95"/>
  <c r="CV53" i="95"/>
  <c r="CW53" i="95"/>
  <c r="CX53" i="95"/>
  <c r="CY53" i="95"/>
  <c r="CZ53" i="95"/>
  <c r="DA53" i="95"/>
  <c r="DB53" i="95"/>
  <c r="DC53" i="95"/>
  <c r="DD53" i="95"/>
  <c r="DE53" i="95"/>
  <c r="DF53" i="95"/>
  <c r="DG53" i="95"/>
  <c r="DH53" i="95"/>
  <c r="DI53" i="95"/>
  <c r="DJ53" i="95"/>
  <c r="DK53" i="95"/>
  <c r="DL53" i="95"/>
  <c r="DM53" i="95"/>
  <c r="DN53" i="95"/>
  <c r="DO53" i="95"/>
  <c r="DP53" i="95"/>
  <c r="DQ53" i="95"/>
  <c r="DR53" i="95"/>
  <c r="DS53" i="95"/>
  <c r="DT53" i="95"/>
  <c r="DU53" i="95"/>
  <c r="DV53" i="95"/>
  <c r="DW53" i="95"/>
  <c r="DX53" i="95"/>
  <c r="DY53" i="95"/>
  <c r="DZ53" i="95"/>
  <c r="EA53" i="95"/>
  <c r="EB53" i="95"/>
  <c r="EC53" i="95"/>
  <c r="ED53" i="95"/>
  <c r="EE53" i="95"/>
  <c r="EF53" i="95"/>
  <c r="EG53" i="95"/>
  <c r="EH53" i="95"/>
  <c r="EI53" i="95"/>
  <c r="EJ53" i="95"/>
  <c r="EK53" i="95"/>
  <c r="EL53" i="95"/>
  <c r="EM53" i="95"/>
  <c r="EN53" i="95"/>
  <c r="EO53" i="95"/>
  <c r="EP53" i="95"/>
  <c r="EQ53" i="95"/>
  <c r="ER53" i="95"/>
  <c r="ES53" i="95"/>
  <c r="ET53" i="95"/>
  <c r="EU53" i="95"/>
  <c r="EV53" i="95"/>
  <c r="EW53" i="95"/>
  <c r="EX53" i="95"/>
  <c r="EY53" i="95"/>
  <c r="EZ53" i="95"/>
  <c r="FA53" i="95"/>
  <c r="FB53" i="95"/>
  <c r="FC53" i="95"/>
  <c r="FD53" i="95"/>
  <c r="FE53" i="95"/>
  <c r="FF53" i="95"/>
  <c r="FG53" i="95"/>
  <c r="FH53" i="95"/>
  <c r="FI53" i="95"/>
  <c r="FJ53" i="95"/>
  <c r="FK53" i="95"/>
  <c r="FL53" i="95"/>
  <c r="FM53" i="95"/>
  <c r="FN53" i="95"/>
  <c r="FO53" i="95"/>
  <c r="FP53" i="95"/>
  <c r="FQ53" i="95"/>
  <c r="FR53" i="95"/>
  <c r="FS53" i="95"/>
  <c r="FT53" i="95"/>
  <c r="FU53" i="95"/>
  <c r="FV53" i="95"/>
  <c r="FW53" i="95"/>
  <c r="FX53" i="95"/>
  <c r="FY53" i="95"/>
  <c r="FZ53" i="95"/>
  <c r="GA53" i="95"/>
  <c r="GB53" i="95"/>
  <c r="GC53" i="95"/>
  <c r="GD53" i="95"/>
  <c r="GE53" i="95"/>
  <c r="GF53" i="95"/>
  <c r="GG53" i="95"/>
  <c r="GH53" i="95"/>
  <c r="GI53" i="95"/>
  <c r="GJ53" i="95"/>
  <c r="GK53" i="95"/>
  <c r="GL53" i="95"/>
  <c r="GM53" i="95"/>
  <c r="GN53" i="95"/>
  <c r="GO53" i="95"/>
  <c r="GP53" i="95"/>
  <c r="GQ53" i="95"/>
  <c r="GR53" i="95"/>
  <c r="GS53" i="95"/>
  <c r="GT53" i="95"/>
  <c r="GU53" i="95"/>
  <c r="GV53" i="95"/>
  <c r="GW53" i="95"/>
  <c r="GX53" i="95"/>
  <c r="GY53" i="95"/>
  <c r="GZ53" i="95"/>
  <c r="HA53" i="95"/>
  <c r="HB53" i="95"/>
  <c r="HC53" i="95"/>
  <c r="HD53" i="95"/>
  <c r="HE53" i="95"/>
  <c r="HF53" i="95"/>
  <c r="HG53" i="95"/>
  <c r="HH53" i="95"/>
  <c r="HI53" i="95"/>
  <c r="HJ53" i="95"/>
  <c r="HK53" i="95"/>
  <c r="HL53" i="95"/>
  <c r="HM53" i="95"/>
  <c r="HN53" i="95"/>
  <c r="HO53" i="95"/>
  <c r="HP53" i="95"/>
  <c r="HQ53" i="95"/>
  <c r="G54" i="95"/>
  <c r="H54" i="95"/>
  <c r="I54" i="95"/>
  <c r="J54" i="95"/>
  <c r="K54" i="95"/>
  <c r="L54" i="95"/>
  <c r="M54" i="95"/>
  <c r="N54" i="95"/>
  <c r="O54" i="95"/>
  <c r="P54" i="95"/>
  <c r="Q54" i="95"/>
  <c r="R54" i="95"/>
  <c r="S54" i="95"/>
  <c r="T54" i="95"/>
  <c r="U54" i="95"/>
  <c r="V54" i="95"/>
  <c r="W54" i="95"/>
  <c r="X54" i="95"/>
  <c r="Y54" i="95"/>
  <c r="Z54" i="95"/>
  <c r="AA54" i="95"/>
  <c r="AB54" i="95"/>
  <c r="AC54" i="95"/>
  <c r="AD54" i="95"/>
  <c r="AE54" i="95"/>
  <c r="AF54" i="95"/>
  <c r="AG54" i="95"/>
  <c r="AH54" i="95"/>
  <c r="AI54" i="95"/>
  <c r="AJ54" i="95"/>
  <c r="AK54" i="95"/>
  <c r="AL54" i="95"/>
  <c r="AM54" i="95"/>
  <c r="AN54" i="95"/>
  <c r="AO54" i="95"/>
  <c r="AP54" i="95"/>
  <c r="AQ54" i="95"/>
  <c r="AR54" i="95"/>
  <c r="AS54" i="95"/>
  <c r="AT54" i="95"/>
  <c r="AU54" i="95"/>
  <c r="AV54" i="95"/>
  <c r="AW54" i="95"/>
  <c r="AX54" i="95"/>
  <c r="AY54" i="95"/>
  <c r="AZ54" i="95"/>
  <c r="BA54" i="95"/>
  <c r="BB54" i="95"/>
  <c r="BC54" i="95"/>
  <c r="BD54" i="95"/>
  <c r="BE54" i="95"/>
  <c r="BF54" i="95"/>
  <c r="BG54" i="95"/>
  <c r="BH54" i="95"/>
  <c r="BI54" i="95"/>
  <c r="BJ54" i="95"/>
  <c r="BK54" i="95"/>
  <c r="BL54" i="95"/>
  <c r="BM54" i="95"/>
  <c r="BN54" i="95"/>
  <c r="BO54" i="95"/>
  <c r="BP54" i="95"/>
  <c r="BQ54" i="95"/>
  <c r="BR54" i="95"/>
  <c r="BS54" i="95"/>
  <c r="BT54" i="95"/>
  <c r="BU54" i="95"/>
  <c r="BV54" i="95"/>
  <c r="BW54" i="95"/>
  <c r="BX54" i="95"/>
  <c r="BY54" i="95"/>
  <c r="BZ54" i="95"/>
  <c r="CA54" i="95"/>
  <c r="CB54" i="95"/>
  <c r="CC54" i="95"/>
  <c r="CD54" i="95"/>
  <c r="CE54" i="95"/>
  <c r="CF54" i="95"/>
  <c r="CG54" i="95"/>
  <c r="CH54" i="95"/>
  <c r="CI54" i="95"/>
  <c r="CJ54" i="95"/>
  <c r="CK54" i="95"/>
  <c r="CL54" i="95"/>
  <c r="CM54" i="95"/>
  <c r="CN54" i="95"/>
  <c r="CO54" i="95"/>
  <c r="CP54" i="95"/>
  <c r="CQ54" i="95"/>
  <c r="CR54" i="95"/>
  <c r="CS54" i="95"/>
  <c r="CT54" i="95"/>
  <c r="CU54" i="95"/>
  <c r="CV54" i="95"/>
  <c r="CW54" i="95"/>
  <c r="CX54" i="95"/>
  <c r="CY54" i="95"/>
  <c r="CZ54" i="95"/>
  <c r="DA54" i="95"/>
  <c r="DB54" i="95"/>
  <c r="DC54" i="95"/>
  <c r="DD54" i="95"/>
  <c r="DE54" i="95"/>
  <c r="DF54" i="95"/>
  <c r="DG54" i="95"/>
  <c r="DH54" i="95"/>
  <c r="DI54" i="95"/>
  <c r="DJ54" i="95"/>
  <c r="DK54" i="95"/>
  <c r="DL54" i="95"/>
  <c r="DM54" i="95"/>
  <c r="DN54" i="95"/>
  <c r="DO54" i="95"/>
  <c r="DP54" i="95"/>
  <c r="DQ54" i="95"/>
  <c r="DR54" i="95"/>
  <c r="DS54" i="95"/>
  <c r="DT54" i="95"/>
  <c r="DU54" i="95"/>
  <c r="DV54" i="95"/>
  <c r="DW54" i="95"/>
  <c r="DX54" i="95"/>
  <c r="DY54" i="95"/>
  <c r="DZ54" i="95"/>
  <c r="EA54" i="95"/>
  <c r="EB54" i="95"/>
  <c r="EC54" i="95"/>
  <c r="ED54" i="95"/>
  <c r="EE54" i="95"/>
  <c r="EF54" i="95"/>
  <c r="EG54" i="95"/>
  <c r="EH54" i="95"/>
  <c r="EI54" i="95"/>
  <c r="EJ54" i="95"/>
  <c r="EK54" i="95"/>
  <c r="EL54" i="95"/>
  <c r="EM54" i="95"/>
  <c r="EN54" i="95"/>
  <c r="EO54" i="95"/>
  <c r="EP54" i="95"/>
  <c r="EQ54" i="95"/>
  <c r="ER54" i="95"/>
  <c r="ES54" i="95"/>
  <c r="ET54" i="95"/>
  <c r="EU54" i="95"/>
  <c r="EV54" i="95"/>
  <c r="EW54" i="95"/>
  <c r="EX54" i="95"/>
  <c r="EY54" i="95"/>
  <c r="EZ54" i="95"/>
  <c r="FA54" i="95"/>
  <c r="FB54" i="95"/>
  <c r="FC54" i="95"/>
  <c r="FD54" i="95"/>
  <c r="FE54" i="95"/>
  <c r="FF54" i="95"/>
  <c r="FG54" i="95"/>
  <c r="FH54" i="95"/>
  <c r="FI54" i="95"/>
  <c r="FJ54" i="95"/>
  <c r="FK54" i="95"/>
  <c r="FL54" i="95"/>
  <c r="FM54" i="95"/>
  <c r="FN54" i="95"/>
  <c r="FO54" i="95"/>
  <c r="FP54" i="95"/>
  <c r="FQ54" i="95"/>
  <c r="FR54" i="95"/>
  <c r="FS54" i="95"/>
  <c r="FT54" i="95"/>
  <c r="FU54" i="95"/>
  <c r="FV54" i="95"/>
  <c r="FW54" i="95"/>
  <c r="FX54" i="95"/>
  <c r="FY54" i="95"/>
  <c r="FZ54" i="95"/>
  <c r="GA54" i="95"/>
  <c r="GB54" i="95"/>
  <c r="GC54" i="95"/>
  <c r="GD54" i="95"/>
  <c r="GE54" i="95"/>
  <c r="GF54" i="95"/>
  <c r="GG54" i="95"/>
  <c r="GH54" i="95"/>
  <c r="GI54" i="95"/>
  <c r="GJ54" i="95"/>
  <c r="GK54" i="95"/>
  <c r="GL54" i="95"/>
  <c r="GM54" i="95"/>
  <c r="GN54" i="95"/>
  <c r="GO54" i="95"/>
  <c r="GP54" i="95"/>
  <c r="GQ54" i="95"/>
  <c r="GR54" i="95"/>
  <c r="GS54" i="95"/>
  <c r="GT54" i="95"/>
  <c r="GU54" i="95"/>
  <c r="GV54" i="95"/>
  <c r="GW54" i="95"/>
  <c r="GX54" i="95"/>
  <c r="GY54" i="95"/>
  <c r="GZ54" i="95"/>
  <c r="HA54" i="95"/>
  <c r="HB54" i="95"/>
  <c r="HC54" i="95"/>
  <c r="HD54" i="95"/>
  <c r="HE54" i="95"/>
  <c r="HF54" i="95"/>
  <c r="HG54" i="95"/>
  <c r="HH54" i="95"/>
  <c r="HI54" i="95"/>
  <c r="HJ54" i="95"/>
  <c r="HK54" i="95"/>
  <c r="HL54" i="95"/>
  <c r="HM54" i="95"/>
  <c r="HN54" i="95"/>
  <c r="HO54" i="95"/>
  <c r="HP54" i="95"/>
  <c r="HQ54" i="95"/>
  <c r="G55" i="95"/>
  <c r="H55" i="95"/>
  <c r="I55" i="95"/>
  <c r="J55" i="95"/>
  <c r="K55" i="95"/>
  <c r="L55" i="95"/>
  <c r="M55" i="95"/>
  <c r="N55" i="95"/>
  <c r="O55" i="95"/>
  <c r="P55" i="95"/>
  <c r="Q55" i="95"/>
  <c r="R55" i="95"/>
  <c r="S55" i="95"/>
  <c r="T55" i="95"/>
  <c r="U55" i="95"/>
  <c r="V55" i="95"/>
  <c r="W55" i="95"/>
  <c r="X55" i="95"/>
  <c r="Y55" i="95"/>
  <c r="Z55" i="95"/>
  <c r="AA55" i="95"/>
  <c r="AB55" i="95"/>
  <c r="AC55" i="95"/>
  <c r="AD55" i="95"/>
  <c r="AE55" i="95"/>
  <c r="AF55" i="95"/>
  <c r="AG55" i="95"/>
  <c r="AH55" i="95"/>
  <c r="AI55" i="95"/>
  <c r="AJ55" i="95"/>
  <c r="AK55" i="95"/>
  <c r="AL55" i="95"/>
  <c r="AM55" i="95"/>
  <c r="AN55" i="95"/>
  <c r="AO55" i="95"/>
  <c r="AP55" i="95"/>
  <c r="AQ55" i="95"/>
  <c r="AR55" i="95"/>
  <c r="AS55" i="95"/>
  <c r="AT55" i="95"/>
  <c r="AU55" i="95"/>
  <c r="AV55" i="95"/>
  <c r="AW55" i="95"/>
  <c r="AX55" i="95"/>
  <c r="AY55" i="95"/>
  <c r="AZ55" i="95"/>
  <c r="BA55" i="95"/>
  <c r="BB55" i="95"/>
  <c r="BC55" i="95"/>
  <c r="BD55" i="95"/>
  <c r="BE55" i="95"/>
  <c r="BF55" i="95"/>
  <c r="BG55" i="95"/>
  <c r="BH55" i="95"/>
  <c r="BI55" i="95"/>
  <c r="BJ55" i="95"/>
  <c r="BK55" i="95"/>
  <c r="BL55" i="95"/>
  <c r="BM55" i="95"/>
  <c r="BN55" i="95"/>
  <c r="BO55" i="95"/>
  <c r="BP55" i="95"/>
  <c r="BQ55" i="95"/>
  <c r="BR55" i="95"/>
  <c r="BS55" i="95"/>
  <c r="BT55" i="95"/>
  <c r="BU55" i="95"/>
  <c r="BV55" i="95"/>
  <c r="BW55" i="95"/>
  <c r="BX55" i="95"/>
  <c r="BY55" i="95"/>
  <c r="BZ55" i="95"/>
  <c r="CA55" i="95"/>
  <c r="CB55" i="95"/>
  <c r="CC55" i="95"/>
  <c r="CD55" i="95"/>
  <c r="CE55" i="95"/>
  <c r="CF55" i="95"/>
  <c r="CG55" i="95"/>
  <c r="CH55" i="95"/>
  <c r="CI55" i="95"/>
  <c r="CJ55" i="95"/>
  <c r="CK55" i="95"/>
  <c r="CL55" i="95"/>
  <c r="CM55" i="95"/>
  <c r="CN55" i="95"/>
  <c r="CO55" i="95"/>
  <c r="CP55" i="95"/>
  <c r="CQ55" i="95"/>
  <c r="CR55" i="95"/>
  <c r="CS55" i="95"/>
  <c r="CT55" i="95"/>
  <c r="CU55" i="95"/>
  <c r="CV55" i="95"/>
  <c r="CW55" i="95"/>
  <c r="CX55" i="95"/>
  <c r="CY55" i="95"/>
  <c r="CZ55" i="95"/>
  <c r="DA55" i="95"/>
  <c r="DB55" i="95"/>
  <c r="DC55" i="95"/>
  <c r="DD55" i="95"/>
  <c r="DE55" i="95"/>
  <c r="DF55" i="95"/>
  <c r="DG55" i="95"/>
  <c r="DH55" i="95"/>
  <c r="DI55" i="95"/>
  <c r="DJ55" i="95"/>
  <c r="DK55" i="95"/>
  <c r="DL55" i="95"/>
  <c r="DM55" i="95"/>
  <c r="DN55" i="95"/>
  <c r="DO55" i="95"/>
  <c r="DP55" i="95"/>
  <c r="DQ55" i="95"/>
  <c r="DR55" i="95"/>
  <c r="DS55" i="95"/>
  <c r="DT55" i="95"/>
  <c r="DU55" i="95"/>
  <c r="DV55" i="95"/>
  <c r="DW55" i="95"/>
  <c r="DX55" i="95"/>
  <c r="DY55" i="95"/>
  <c r="DZ55" i="95"/>
  <c r="EA55" i="95"/>
  <c r="EB55" i="95"/>
  <c r="EC55" i="95"/>
  <c r="ED55" i="95"/>
  <c r="EE55" i="95"/>
  <c r="EF55" i="95"/>
  <c r="EG55" i="95"/>
  <c r="EH55" i="95"/>
  <c r="EI55" i="95"/>
  <c r="EJ55" i="95"/>
  <c r="EK55" i="95"/>
  <c r="EL55" i="95"/>
  <c r="EM55" i="95"/>
  <c r="EN55" i="95"/>
  <c r="EO55" i="95"/>
  <c r="EP55" i="95"/>
  <c r="EQ55" i="95"/>
  <c r="ER55" i="95"/>
  <c r="ES55" i="95"/>
  <c r="ET55" i="95"/>
  <c r="EU55" i="95"/>
  <c r="EV55" i="95"/>
  <c r="EW55" i="95"/>
  <c r="EX55" i="95"/>
  <c r="EY55" i="95"/>
  <c r="EZ55" i="95"/>
  <c r="FA55" i="95"/>
  <c r="FB55" i="95"/>
  <c r="FC55" i="95"/>
  <c r="FD55" i="95"/>
  <c r="FE55" i="95"/>
  <c r="FF55" i="95"/>
  <c r="FG55" i="95"/>
  <c r="FH55" i="95"/>
  <c r="FI55" i="95"/>
  <c r="FJ55" i="95"/>
  <c r="FK55" i="95"/>
  <c r="FL55" i="95"/>
  <c r="FM55" i="95"/>
  <c r="FN55" i="95"/>
  <c r="FO55" i="95"/>
  <c r="FP55" i="95"/>
  <c r="FQ55" i="95"/>
  <c r="FR55" i="95"/>
  <c r="FS55" i="95"/>
  <c r="FT55" i="95"/>
  <c r="FU55" i="95"/>
  <c r="FV55" i="95"/>
  <c r="FW55" i="95"/>
  <c r="FX55" i="95"/>
  <c r="FY55" i="95"/>
  <c r="FZ55" i="95"/>
  <c r="GA55" i="95"/>
  <c r="GB55" i="95"/>
  <c r="GC55" i="95"/>
  <c r="GD55" i="95"/>
  <c r="GE55" i="95"/>
  <c r="GF55" i="95"/>
  <c r="GG55" i="95"/>
  <c r="GH55" i="95"/>
  <c r="GI55" i="95"/>
  <c r="GJ55" i="95"/>
  <c r="GK55" i="95"/>
  <c r="GL55" i="95"/>
  <c r="GM55" i="95"/>
  <c r="GN55" i="95"/>
  <c r="GO55" i="95"/>
  <c r="GP55" i="95"/>
  <c r="GQ55" i="95"/>
  <c r="GR55" i="95"/>
  <c r="GS55" i="95"/>
  <c r="GT55" i="95"/>
  <c r="GU55" i="95"/>
  <c r="GV55" i="95"/>
  <c r="GW55" i="95"/>
  <c r="GX55" i="95"/>
  <c r="GY55" i="95"/>
  <c r="GZ55" i="95"/>
  <c r="HA55" i="95"/>
  <c r="HB55" i="95"/>
  <c r="HC55" i="95"/>
  <c r="HD55" i="95"/>
  <c r="HE55" i="95"/>
  <c r="HF55" i="95"/>
  <c r="HG55" i="95"/>
  <c r="HH55" i="95"/>
  <c r="HI55" i="95"/>
  <c r="HJ55" i="95"/>
  <c r="HK55" i="95"/>
  <c r="HL55" i="95"/>
  <c r="HM55" i="95"/>
  <c r="HN55" i="95"/>
  <c r="HO55" i="95"/>
  <c r="HP55" i="95"/>
  <c r="HQ55" i="95"/>
  <c r="G56" i="95"/>
  <c r="H56" i="95"/>
  <c r="I56" i="95"/>
  <c r="J56" i="95"/>
  <c r="K56" i="95"/>
  <c r="L56" i="95"/>
  <c r="M56" i="95"/>
  <c r="N56" i="95"/>
  <c r="O56" i="95"/>
  <c r="P56" i="95"/>
  <c r="Q56" i="95"/>
  <c r="R56" i="95"/>
  <c r="S56" i="95"/>
  <c r="T56" i="95"/>
  <c r="U56" i="95"/>
  <c r="V56" i="95"/>
  <c r="W56" i="95"/>
  <c r="X56" i="95"/>
  <c r="Y56" i="95"/>
  <c r="Z56" i="95"/>
  <c r="AA56" i="95"/>
  <c r="AB56" i="95"/>
  <c r="AC56" i="95"/>
  <c r="AD56" i="95"/>
  <c r="AE56" i="95"/>
  <c r="AF56" i="95"/>
  <c r="AG56" i="95"/>
  <c r="AH56" i="95"/>
  <c r="AI56" i="95"/>
  <c r="AJ56" i="95"/>
  <c r="AK56" i="95"/>
  <c r="AL56" i="95"/>
  <c r="AM56" i="95"/>
  <c r="AN56" i="95"/>
  <c r="AO56" i="95"/>
  <c r="AP56" i="95"/>
  <c r="AQ56" i="95"/>
  <c r="AR56" i="95"/>
  <c r="AS56" i="95"/>
  <c r="AT56" i="95"/>
  <c r="AU56" i="95"/>
  <c r="AV56" i="95"/>
  <c r="AW56" i="95"/>
  <c r="AX56" i="95"/>
  <c r="AY56" i="95"/>
  <c r="AZ56" i="95"/>
  <c r="BA56" i="95"/>
  <c r="BB56" i="95"/>
  <c r="BC56" i="95"/>
  <c r="BD56" i="95"/>
  <c r="BE56" i="95"/>
  <c r="BF56" i="95"/>
  <c r="BG56" i="95"/>
  <c r="BH56" i="95"/>
  <c r="BI56" i="95"/>
  <c r="BJ56" i="95"/>
  <c r="BK56" i="95"/>
  <c r="BL56" i="95"/>
  <c r="BM56" i="95"/>
  <c r="BN56" i="95"/>
  <c r="BO56" i="95"/>
  <c r="BP56" i="95"/>
  <c r="BQ56" i="95"/>
  <c r="BR56" i="95"/>
  <c r="BS56" i="95"/>
  <c r="BT56" i="95"/>
  <c r="BU56" i="95"/>
  <c r="BV56" i="95"/>
  <c r="BW56" i="95"/>
  <c r="BX56" i="95"/>
  <c r="BY56" i="95"/>
  <c r="BZ56" i="95"/>
  <c r="CA56" i="95"/>
  <c r="CB56" i="95"/>
  <c r="CC56" i="95"/>
  <c r="CD56" i="95"/>
  <c r="CE56" i="95"/>
  <c r="CF56" i="95"/>
  <c r="CG56" i="95"/>
  <c r="CH56" i="95"/>
  <c r="CI56" i="95"/>
  <c r="CJ56" i="95"/>
  <c r="CK56" i="95"/>
  <c r="CL56" i="95"/>
  <c r="CM56" i="95"/>
  <c r="CN56" i="95"/>
  <c r="CO56" i="95"/>
  <c r="CP56" i="95"/>
  <c r="CQ56" i="95"/>
  <c r="CR56" i="95"/>
  <c r="CS56" i="95"/>
  <c r="CT56" i="95"/>
  <c r="CU56" i="95"/>
  <c r="CV56" i="95"/>
  <c r="CW56" i="95"/>
  <c r="CX56" i="95"/>
  <c r="CY56" i="95"/>
  <c r="CZ56" i="95"/>
  <c r="DA56" i="95"/>
  <c r="DB56" i="95"/>
  <c r="DC56" i="95"/>
  <c r="DD56" i="95"/>
  <c r="DE56" i="95"/>
  <c r="DF56" i="95"/>
  <c r="DG56" i="95"/>
  <c r="DH56" i="95"/>
  <c r="DI56" i="95"/>
  <c r="DJ56" i="95"/>
  <c r="DK56" i="95"/>
  <c r="DL56" i="95"/>
  <c r="DM56" i="95"/>
  <c r="DN56" i="95"/>
  <c r="DO56" i="95"/>
  <c r="DP56" i="95"/>
  <c r="DQ56" i="95"/>
  <c r="DR56" i="95"/>
  <c r="DS56" i="95"/>
  <c r="DT56" i="95"/>
  <c r="DU56" i="95"/>
  <c r="DV56" i="95"/>
  <c r="DW56" i="95"/>
  <c r="DX56" i="95"/>
  <c r="DY56" i="95"/>
  <c r="DZ56" i="95"/>
  <c r="EA56" i="95"/>
  <c r="EB56" i="95"/>
  <c r="EC56" i="95"/>
  <c r="ED56" i="95"/>
  <c r="EE56" i="95"/>
  <c r="EF56" i="95"/>
  <c r="EG56" i="95"/>
  <c r="EH56" i="95"/>
  <c r="EI56" i="95"/>
  <c r="EJ56" i="95"/>
  <c r="EK56" i="95"/>
  <c r="EL56" i="95"/>
  <c r="EM56" i="95"/>
  <c r="EN56" i="95"/>
  <c r="EO56" i="95"/>
  <c r="EP56" i="95"/>
  <c r="EQ56" i="95"/>
  <c r="ER56" i="95"/>
  <c r="ES56" i="95"/>
  <c r="ET56" i="95"/>
  <c r="EU56" i="95"/>
  <c r="EV56" i="95"/>
  <c r="EW56" i="95"/>
  <c r="EX56" i="95"/>
  <c r="EY56" i="95"/>
  <c r="EZ56" i="95"/>
  <c r="FA56" i="95"/>
  <c r="FB56" i="95"/>
  <c r="FC56" i="95"/>
  <c r="FD56" i="95"/>
  <c r="FE56" i="95"/>
  <c r="FF56" i="95"/>
  <c r="FG56" i="95"/>
  <c r="FH56" i="95"/>
  <c r="FI56" i="95"/>
  <c r="FJ56" i="95"/>
  <c r="FK56" i="95"/>
  <c r="FL56" i="95"/>
  <c r="FM56" i="95"/>
  <c r="FN56" i="95"/>
  <c r="FO56" i="95"/>
  <c r="FP56" i="95"/>
  <c r="FQ56" i="95"/>
  <c r="FR56" i="95"/>
  <c r="FS56" i="95"/>
  <c r="FT56" i="95"/>
  <c r="FU56" i="95"/>
  <c r="FV56" i="95"/>
  <c r="FW56" i="95"/>
  <c r="FX56" i="95"/>
  <c r="FY56" i="95"/>
  <c r="FZ56" i="95"/>
  <c r="GA56" i="95"/>
  <c r="GB56" i="95"/>
  <c r="GC56" i="95"/>
  <c r="GD56" i="95"/>
  <c r="GE56" i="95"/>
  <c r="GF56" i="95"/>
  <c r="GG56" i="95"/>
  <c r="GH56" i="95"/>
  <c r="GI56" i="95"/>
  <c r="GJ56" i="95"/>
  <c r="GK56" i="95"/>
  <c r="GL56" i="95"/>
  <c r="GM56" i="95"/>
  <c r="GN56" i="95"/>
  <c r="GO56" i="95"/>
  <c r="GP56" i="95"/>
  <c r="GQ56" i="95"/>
  <c r="GR56" i="95"/>
  <c r="GS56" i="95"/>
  <c r="GT56" i="95"/>
  <c r="GU56" i="95"/>
  <c r="GV56" i="95"/>
  <c r="GW56" i="95"/>
  <c r="GX56" i="95"/>
  <c r="GY56" i="95"/>
  <c r="GZ56" i="95"/>
  <c r="HA56" i="95"/>
  <c r="HB56" i="95"/>
  <c r="HC56" i="95"/>
  <c r="HD56" i="95"/>
  <c r="HE56" i="95"/>
  <c r="HF56" i="95"/>
  <c r="HG56" i="95"/>
  <c r="HH56" i="95"/>
  <c r="HI56" i="95"/>
  <c r="HJ56" i="95"/>
  <c r="HK56" i="95"/>
  <c r="HL56" i="95"/>
  <c r="HM56" i="95"/>
  <c r="HN56" i="95"/>
  <c r="HO56" i="95"/>
  <c r="HP56" i="95"/>
  <c r="HQ56" i="95"/>
  <c r="G57" i="95"/>
  <c r="H57" i="95"/>
  <c r="I57" i="95"/>
  <c r="J57" i="95"/>
  <c r="K57" i="95"/>
  <c r="L57" i="95"/>
  <c r="M57" i="95"/>
  <c r="N57" i="95"/>
  <c r="O57" i="95"/>
  <c r="P57" i="95"/>
  <c r="Q57" i="95"/>
  <c r="R57" i="95"/>
  <c r="S57" i="95"/>
  <c r="T57" i="95"/>
  <c r="U57" i="95"/>
  <c r="V57" i="95"/>
  <c r="W57" i="95"/>
  <c r="X57" i="95"/>
  <c r="Y57" i="95"/>
  <c r="Z57" i="95"/>
  <c r="AA57" i="95"/>
  <c r="AB57" i="95"/>
  <c r="AC57" i="95"/>
  <c r="AD57" i="95"/>
  <c r="AE57" i="95"/>
  <c r="AF57" i="95"/>
  <c r="AG57" i="95"/>
  <c r="AH57" i="95"/>
  <c r="AI57" i="95"/>
  <c r="AJ57" i="95"/>
  <c r="AK57" i="95"/>
  <c r="AL57" i="95"/>
  <c r="AM57" i="95"/>
  <c r="AN57" i="95"/>
  <c r="AO57" i="95"/>
  <c r="AP57" i="95"/>
  <c r="AQ57" i="95"/>
  <c r="AR57" i="95"/>
  <c r="AS57" i="95"/>
  <c r="AT57" i="95"/>
  <c r="AU57" i="95"/>
  <c r="AV57" i="95"/>
  <c r="AW57" i="95"/>
  <c r="AX57" i="95"/>
  <c r="AY57" i="95"/>
  <c r="AZ57" i="95"/>
  <c r="BA57" i="95"/>
  <c r="BB57" i="95"/>
  <c r="BC57" i="95"/>
  <c r="BD57" i="95"/>
  <c r="BE57" i="95"/>
  <c r="BF57" i="95"/>
  <c r="BG57" i="95"/>
  <c r="BH57" i="95"/>
  <c r="BI57" i="95"/>
  <c r="BJ57" i="95"/>
  <c r="BK57" i="95"/>
  <c r="BL57" i="95"/>
  <c r="BM57" i="95"/>
  <c r="BN57" i="95"/>
  <c r="BO57" i="95"/>
  <c r="BP57" i="95"/>
  <c r="BQ57" i="95"/>
  <c r="BR57" i="95"/>
  <c r="BS57" i="95"/>
  <c r="BT57" i="95"/>
  <c r="BU57" i="95"/>
  <c r="BV57" i="95"/>
  <c r="BW57" i="95"/>
  <c r="BX57" i="95"/>
  <c r="BY57" i="95"/>
  <c r="BZ57" i="95"/>
  <c r="CA57" i="95"/>
  <c r="CB57" i="95"/>
  <c r="CC57" i="95"/>
  <c r="CD57" i="95"/>
  <c r="CE57" i="95"/>
  <c r="CF57" i="95"/>
  <c r="CG57" i="95"/>
  <c r="CH57" i="95"/>
  <c r="CI57" i="95"/>
  <c r="CJ57" i="95"/>
  <c r="CK57" i="95"/>
  <c r="CL57" i="95"/>
  <c r="CM57" i="95"/>
  <c r="CN57" i="95"/>
  <c r="CO57" i="95"/>
  <c r="CP57" i="95"/>
  <c r="CQ57" i="95"/>
  <c r="CR57" i="95"/>
  <c r="CS57" i="95"/>
  <c r="CT57" i="95"/>
  <c r="CU57" i="95"/>
  <c r="CV57" i="95"/>
  <c r="CW57" i="95"/>
  <c r="CX57" i="95"/>
  <c r="CY57" i="95"/>
  <c r="CZ57" i="95"/>
  <c r="DA57" i="95"/>
  <c r="DB57" i="95"/>
  <c r="DC57" i="95"/>
  <c r="DD57" i="95"/>
  <c r="DE57" i="95"/>
  <c r="DF57" i="95"/>
  <c r="DG57" i="95"/>
  <c r="DH57" i="95"/>
  <c r="DI57" i="95"/>
  <c r="DJ57" i="95"/>
  <c r="DK57" i="95"/>
  <c r="DL57" i="95"/>
  <c r="DM57" i="95"/>
  <c r="DN57" i="95"/>
  <c r="DO57" i="95"/>
  <c r="DP57" i="95"/>
  <c r="DQ57" i="95"/>
  <c r="DR57" i="95"/>
  <c r="DS57" i="95"/>
  <c r="DT57" i="95"/>
  <c r="DU57" i="95"/>
  <c r="DV57" i="95"/>
  <c r="DW57" i="95"/>
  <c r="DX57" i="95"/>
  <c r="DY57" i="95"/>
  <c r="DZ57" i="95"/>
  <c r="EA57" i="95"/>
  <c r="EB57" i="95"/>
  <c r="EC57" i="95"/>
  <c r="ED57" i="95"/>
  <c r="EE57" i="95"/>
  <c r="EF57" i="95"/>
  <c r="EG57" i="95"/>
  <c r="EH57" i="95"/>
  <c r="EI57" i="95"/>
  <c r="EJ57" i="95"/>
  <c r="EK57" i="95"/>
  <c r="EL57" i="95"/>
  <c r="EM57" i="95"/>
  <c r="EN57" i="95"/>
  <c r="EO57" i="95"/>
  <c r="EP57" i="95"/>
  <c r="EQ57" i="95"/>
  <c r="ER57" i="95"/>
  <c r="ES57" i="95"/>
  <c r="ET57" i="95"/>
  <c r="EU57" i="95"/>
  <c r="EV57" i="95"/>
  <c r="EW57" i="95"/>
  <c r="EX57" i="95"/>
  <c r="EY57" i="95"/>
  <c r="EZ57" i="95"/>
  <c r="FA57" i="95"/>
  <c r="FB57" i="95"/>
  <c r="FC57" i="95"/>
  <c r="FD57" i="95"/>
  <c r="FE57" i="95"/>
  <c r="FF57" i="95"/>
  <c r="FG57" i="95"/>
  <c r="FH57" i="95"/>
  <c r="FI57" i="95"/>
  <c r="FJ57" i="95"/>
  <c r="FK57" i="95"/>
  <c r="FL57" i="95"/>
  <c r="FM57" i="95"/>
  <c r="FN57" i="95"/>
  <c r="FO57" i="95"/>
  <c r="FP57" i="95"/>
  <c r="FQ57" i="95"/>
  <c r="FR57" i="95"/>
  <c r="FS57" i="95"/>
  <c r="FT57" i="95"/>
  <c r="FU57" i="95"/>
  <c r="FV57" i="95"/>
  <c r="FW57" i="95"/>
  <c r="FX57" i="95"/>
  <c r="FY57" i="95"/>
  <c r="FZ57" i="95"/>
  <c r="GA57" i="95"/>
  <c r="GB57" i="95"/>
  <c r="GC57" i="95"/>
  <c r="GD57" i="95"/>
  <c r="GE57" i="95"/>
  <c r="GF57" i="95"/>
  <c r="GG57" i="95"/>
  <c r="GH57" i="95"/>
  <c r="GI57" i="95"/>
  <c r="GJ57" i="95"/>
  <c r="GK57" i="95"/>
  <c r="GL57" i="95"/>
  <c r="GM57" i="95"/>
  <c r="GN57" i="95"/>
  <c r="GO57" i="95"/>
  <c r="GP57" i="95"/>
  <c r="GQ57" i="95"/>
  <c r="GR57" i="95"/>
  <c r="GS57" i="95"/>
  <c r="GT57" i="95"/>
  <c r="GU57" i="95"/>
  <c r="GV57" i="95"/>
  <c r="GW57" i="95"/>
  <c r="GX57" i="95"/>
  <c r="GY57" i="95"/>
  <c r="GZ57" i="95"/>
  <c r="HA57" i="95"/>
  <c r="HB57" i="95"/>
  <c r="HC57" i="95"/>
  <c r="HD57" i="95"/>
  <c r="HE57" i="95"/>
  <c r="HF57" i="95"/>
  <c r="HG57" i="95"/>
  <c r="HH57" i="95"/>
  <c r="HI57" i="95"/>
  <c r="HJ57" i="95"/>
  <c r="HK57" i="95"/>
  <c r="HL57" i="95"/>
  <c r="HM57" i="95"/>
  <c r="HN57" i="95"/>
  <c r="HO57" i="95"/>
  <c r="HP57" i="95"/>
  <c r="HQ57" i="95"/>
  <c r="G58" i="95"/>
  <c r="H58" i="95"/>
  <c r="I58" i="95"/>
  <c r="J58" i="95"/>
  <c r="K58" i="95"/>
  <c r="L58" i="95"/>
  <c r="M58" i="95"/>
  <c r="N58" i="95"/>
  <c r="O58" i="95"/>
  <c r="P58" i="95"/>
  <c r="Q58" i="95"/>
  <c r="R58" i="95"/>
  <c r="S58" i="95"/>
  <c r="T58" i="95"/>
  <c r="U58" i="95"/>
  <c r="V58" i="95"/>
  <c r="W58" i="95"/>
  <c r="X58" i="95"/>
  <c r="Y58" i="95"/>
  <c r="Z58" i="95"/>
  <c r="AA58" i="95"/>
  <c r="AB58" i="95"/>
  <c r="AC58" i="95"/>
  <c r="AD58" i="95"/>
  <c r="AE58" i="95"/>
  <c r="AF58" i="95"/>
  <c r="AG58" i="95"/>
  <c r="AH58" i="95"/>
  <c r="AI58" i="95"/>
  <c r="AJ58" i="95"/>
  <c r="AK58" i="95"/>
  <c r="AL58" i="95"/>
  <c r="AM58" i="95"/>
  <c r="AN58" i="95"/>
  <c r="AO58" i="95"/>
  <c r="AP58" i="95"/>
  <c r="AQ58" i="95"/>
  <c r="AR58" i="95"/>
  <c r="AS58" i="95"/>
  <c r="AT58" i="95"/>
  <c r="AU58" i="95"/>
  <c r="AV58" i="95"/>
  <c r="AW58" i="95"/>
  <c r="AX58" i="95"/>
  <c r="AY58" i="95"/>
  <c r="AZ58" i="95"/>
  <c r="BA58" i="95"/>
  <c r="BB58" i="95"/>
  <c r="BC58" i="95"/>
  <c r="BD58" i="95"/>
  <c r="BE58" i="95"/>
  <c r="BF58" i="95"/>
  <c r="BG58" i="95"/>
  <c r="BH58" i="95"/>
  <c r="BI58" i="95"/>
  <c r="BJ58" i="95"/>
  <c r="BK58" i="95"/>
  <c r="BL58" i="95"/>
  <c r="BM58" i="95"/>
  <c r="BN58" i="95"/>
  <c r="BO58" i="95"/>
  <c r="BP58" i="95"/>
  <c r="BQ58" i="95"/>
  <c r="BR58" i="95"/>
  <c r="BS58" i="95"/>
  <c r="BT58" i="95"/>
  <c r="BU58" i="95"/>
  <c r="BV58" i="95"/>
  <c r="BW58" i="95"/>
  <c r="BX58" i="95"/>
  <c r="BY58" i="95"/>
  <c r="BZ58" i="95"/>
  <c r="CA58" i="95"/>
  <c r="CB58" i="95"/>
  <c r="CC58" i="95"/>
  <c r="CD58" i="95"/>
  <c r="CE58" i="95"/>
  <c r="CF58" i="95"/>
  <c r="CG58" i="95"/>
  <c r="CH58" i="95"/>
  <c r="CI58" i="95"/>
  <c r="CJ58" i="95"/>
  <c r="CK58" i="95"/>
  <c r="CL58" i="95"/>
  <c r="CM58" i="95"/>
  <c r="CN58" i="95"/>
  <c r="CO58" i="95"/>
  <c r="CP58" i="95"/>
  <c r="CQ58" i="95"/>
  <c r="CR58" i="95"/>
  <c r="CS58" i="95"/>
  <c r="CT58" i="95"/>
  <c r="CU58" i="95"/>
  <c r="CV58" i="95"/>
  <c r="CW58" i="95"/>
  <c r="CX58" i="95"/>
  <c r="CY58" i="95"/>
  <c r="CZ58" i="95"/>
  <c r="DA58" i="95"/>
  <c r="DB58" i="95"/>
  <c r="DC58" i="95"/>
  <c r="DD58" i="95"/>
  <c r="DE58" i="95"/>
  <c r="DF58" i="95"/>
  <c r="DG58" i="95"/>
  <c r="DH58" i="95"/>
  <c r="DI58" i="95"/>
  <c r="DJ58" i="95"/>
  <c r="DK58" i="95"/>
  <c r="DL58" i="95"/>
  <c r="DM58" i="95"/>
  <c r="DN58" i="95"/>
  <c r="DO58" i="95"/>
  <c r="DP58" i="95"/>
  <c r="DQ58" i="95"/>
  <c r="DR58" i="95"/>
  <c r="DS58" i="95"/>
  <c r="DT58" i="95"/>
  <c r="DU58" i="95"/>
  <c r="DV58" i="95"/>
  <c r="DW58" i="95"/>
  <c r="DX58" i="95"/>
  <c r="DY58" i="95"/>
  <c r="DZ58" i="95"/>
  <c r="EA58" i="95"/>
  <c r="EB58" i="95"/>
  <c r="EC58" i="95"/>
  <c r="ED58" i="95"/>
  <c r="EE58" i="95"/>
  <c r="EF58" i="95"/>
  <c r="EG58" i="95"/>
  <c r="EH58" i="95"/>
  <c r="EI58" i="95"/>
  <c r="EJ58" i="95"/>
  <c r="EK58" i="95"/>
  <c r="EL58" i="95"/>
  <c r="EM58" i="95"/>
  <c r="EN58" i="95"/>
  <c r="EO58" i="95"/>
  <c r="EP58" i="95"/>
  <c r="EQ58" i="95"/>
  <c r="ER58" i="95"/>
  <c r="ES58" i="95"/>
  <c r="ET58" i="95"/>
  <c r="EU58" i="95"/>
  <c r="EV58" i="95"/>
  <c r="EW58" i="95"/>
  <c r="EX58" i="95"/>
  <c r="EY58" i="95"/>
  <c r="EZ58" i="95"/>
  <c r="FA58" i="95"/>
  <c r="FB58" i="95"/>
  <c r="FC58" i="95"/>
  <c r="FD58" i="95"/>
  <c r="FE58" i="95"/>
  <c r="FF58" i="95"/>
  <c r="FG58" i="95"/>
  <c r="FH58" i="95"/>
  <c r="FI58" i="95"/>
  <c r="FJ58" i="95"/>
  <c r="FK58" i="95"/>
  <c r="FL58" i="95"/>
  <c r="FM58" i="95"/>
  <c r="FN58" i="95"/>
  <c r="FO58" i="95"/>
  <c r="FP58" i="95"/>
  <c r="FQ58" i="95"/>
  <c r="FR58" i="95"/>
  <c r="FS58" i="95"/>
  <c r="FT58" i="95"/>
  <c r="FU58" i="95"/>
  <c r="FV58" i="95"/>
  <c r="FW58" i="95"/>
  <c r="FX58" i="95"/>
  <c r="FY58" i="95"/>
  <c r="FZ58" i="95"/>
  <c r="GA58" i="95"/>
  <c r="GB58" i="95"/>
  <c r="GC58" i="95"/>
  <c r="GD58" i="95"/>
  <c r="GE58" i="95"/>
  <c r="GF58" i="95"/>
  <c r="GG58" i="95"/>
  <c r="GH58" i="95"/>
  <c r="GI58" i="95"/>
  <c r="GJ58" i="95"/>
  <c r="GK58" i="95"/>
  <c r="GL58" i="95"/>
  <c r="GM58" i="95"/>
  <c r="GN58" i="95"/>
  <c r="GO58" i="95"/>
  <c r="GP58" i="95"/>
  <c r="GQ58" i="95"/>
  <c r="GR58" i="95"/>
  <c r="GS58" i="95"/>
  <c r="GT58" i="95"/>
  <c r="GU58" i="95"/>
  <c r="GV58" i="95"/>
  <c r="GW58" i="95"/>
  <c r="GX58" i="95"/>
  <c r="GY58" i="95"/>
  <c r="GZ58" i="95"/>
  <c r="HA58" i="95"/>
  <c r="HB58" i="95"/>
  <c r="HC58" i="95"/>
  <c r="HD58" i="95"/>
  <c r="HE58" i="95"/>
  <c r="HF58" i="95"/>
  <c r="HG58" i="95"/>
  <c r="HH58" i="95"/>
  <c r="HI58" i="95"/>
  <c r="HJ58" i="95"/>
  <c r="HK58" i="95"/>
  <c r="HL58" i="95"/>
  <c r="HM58" i="95"/>
  <c r="HN58" i="95"/>
  <c r="HO58" i="95"/>
  <c r="HP58" i="95"/>
  <c r="HQ58" i="95"/>
  <c r="G59" i="95"/>
  <c r="H59" i="95"/>
  <c r="I59" i="95"/>
  <c r="J59" i="95"/>
  <c r="K59" i="95"/>
  <c r="L59" i="95"/>
  <c r="M59" i="95"/>
  <c r="N59" i="95"/>
  <c r="O59" i="95"/>
  <c r="P59" i="95"/>
  <c r="Q59" i="95"/>
  <c r="R59" i="95"/>
  <c r="S59" i="95"/>
  <c r="T59" i="95"/>
  <c r="U59" i="95"/>
  <c r="V59" i="95"/>
  <c r="W59" i="95"/>
  <c r="X59" i="95"/>
  <c r="Y59" i="95"/>
  <c r="Z59" i="95"/>
  <c r="AA59" i="95"/>
  <c r="AB59" i="95"/>
  <c r="AC59" i="95"/>
  <c r="AD59" i="95"/>
  <c r="AE59" i="95"/>
  <c r="AF59" i="95"/>
  <c r="AG59" i="95"/>
  <c r="AH59" i="95"/>
  <c r="AI59" i="95"/>
  <c r="AJ59" i="95"/>
  <c r="AK59" i="95"/>
  <c r="AL59" i="95"/>
  <c r="AM59" i="95"/>
  <c r="AN59" i="95"/>
  <c r="AO59" i="95"/>
  <c r="AP59" i="95"/>
  <c r="AQ59" i="95"/>
  <c r="AR59" i="95"/>
  <c r="AS59" i="95"/>
  <c r="AT59" i="95"/>
  <c r="AU59" i="95"/>
  <c r="AV59" i="95"/>
  <c r="AW59" i="95"/>
  <c r="AX59" i="95"/>
  <c r="AY59" i="95"/>
  <c r="AZ59" i="95"/>
  <c r="BA59" i="95"/>
  <c r="BB59" i="95"/>
  <c r="BC59" i="95"/>
  <c r="BD59" i="95"/>
  <c r="BE59" i="95"/>
  <c r="BF59" i="95"/>
  <c r="BG59" i="95"/>
  <c r="BH59" i="95"/>
  <c r="BI59" i="95"/>
  <c r="BJ59" i="95"/>
  <c r="BK59" i="95"/>
  <c r="BL59" i="95"/>
  <c r="BM59" i="95"/>
  <c r="BN59" i="95"/>
  <c r="BO59" i="95"/>
  <c r="BP59" i="95"/>
  <c r="BQ59" i="95"/>
  <c r="BR59" i="95"/>
  <c r="BS59" i="95"/>
  <c r="BT59" i="95"/>
  <c r="BU59" i="95"/>
  <c r="BV59" i="95"/>
  <c r="BW59" i="95"/>
  <c r="BX59" i="95"/>
  <c r="BY59" i="95"/>
  <c r="BZ59" i="95"/>
  <c r="CA59" i="95"/>
  <c r="CB59" i="95"/>
  <c r="CC59" i="95"/>
  <c r="CD59" i="95"/>
  <c r="CE59" i="95"/>
  <c r="CF59" i="95"/>
  <c r="CG59" i="95"/>
  <c r="CH59" i="95"/>
  <c r="CI59" i="95"/>
  <c r="CJ59" i="95"/>
  <c r="CK59" i="95"/>
  <c r="CL59" i="95"/>
  <c r="CM59" i="95"/>
  <c r="CN59" i="95"/>
  <c r="CO59" i="95"/>
  <c r="CP59" i="95"/>
  <c r="CQ59" i="95"/>
  <c r="CR59" i="95"/>
  <c r="CS59" i="95"/>
  <c r="CT59" i="95"/>
  <c r="CU59" i="95"/>
  <c r="CV59" i="95"/>
  <c r="CW59" i="95"/>
  <c r="CX59" i="95"/>
  <c r="CY59" i="95"/>
  <c r="CZ59" i="95"/>
  <c r="DA59" i="95"/>
  <c r="DB59" i="95"/>
  <c r="DC59" i="95"/>
  <c r="DD59" i="95"/>
  <c r="DE59" i="95"/>
  <c r="DF59" i="95"/>
  <c r="DG59" i="95"/>
  <c r="DH59" i="95"/>
  <c r="DI59" i="95"/>
  <c r="DJ59" i="95"/>
  <c r="DK59" i="95"/>
  <c r="DL59" i="95"/>
  <c r="DM59" i="95"/>
  <c r="DN59" i="95"/>
  <c r="DO59" i="95"/>
  <c r="DP59" i="95"/>
  <c r="DQ59" i="95"/>
  <c r="DR59" i="95"/>
  <c r="DS59" i="95"/>
  <c r="DT59" i="95"/>
  <c r="DU59" i="95"/>
  <c r="DV59" i="95"/>
  <c r="DW59" i="95"/>
  <c r="DX59" i="95"/>
  <c r="DY59" i="95"/>
  <c r="DZ59" i="95"/>
  <c r="EA59" i="95"/>
  <c r="EB59" i="95"/>
  <c r="EC59" i="95"/>
  <c r="ED59" i="95"/>
  <c r="EE59" i="95"/>
  <c r="EF59" i="95"/>
  <c r="EG59" i="95"/>
  <c r="EH59" i="95"/>
  <c r="EI59" i="95"/>
  <c r="EJ59" i="95"/>
  <c r="EK59" i="95"/>
  <c r="EL59" i="95"/>
  <c r="EM59" i="95"/>
  <c r="EN59" i="95"/>
  <c r="EO59" i="95"/>
  <c r="EP59" i="95"/>
  <c r="EQ59" i="95"/>
  <c r="ER59" i="95"/>
  <c r="ES59" i="95"/>
  <c r="ET59" i="95"/>
  <c r="EU59" i="95"/>
  <c r="EV59" i="95"/>
  <c r="EW59" i="95"/>
  <c r="EX59" i="95"/>
  <c r="EY59" i="95"/>
  <c r="EZ59" i="95"/>
  <c r="FA59" i="95"/>
  <c r="FB59" i="95"/>
  <c r="FC59" i="95"/>
  <c r="FD59" i="95"/>
  <c r="FE59" i="95"/>
  <c r="FF59" i="95"/>
  <c r="FG59" i="95"/>
  <c r="FH59" i="95"/>
  <c r="FI59" i="95"/>
  <c r="FJ59" i="95"/>
  <c r="FK59" i="95"/>
  <c r="FL59" i="95"/>
  <c r="FM59" i="95"/>
  <c r="FN59" i="95"/>
  <c r="FO59" i="95"/>
  <c r="FP59" i="95"/>
  <c r="FQ59" i="95"/>
  <c r="FR59" i="95"/>
  <c r="FS59" i="95"/>
  <c r="FT59" i="95"/>
  <c r="FU59" i="95"/>
  <c r="FV59" i="95"/>
  <c r="FW59" i="95"/>
  <c r="FX59" i="95"/>
  <c r="FY59" i="95"/>
  <c r="FZ59" i="95"/>
  <c r="GA59" i="95"/>
  <c r="GB59" i="95"/>
  <c r="GC59" i="95"/>
  <c r="GD59" i="95"/>
  <c r="GE59" i="95"/>
  <c r="GF59" i="95"/>
  <c r="GG59" i="95"/>
  <c r="GH59" i="95"/>
  <c r="GI59" i="95"/>
  <c r="GJ59" i="95"/>
  <c r="GK59" i="95"/>
  <c r="GL59" i="95"/>
  <c r="GM59" i="95"/>
  <c r="GN59" i="95"/>
  <c r="GO59" i="95"/>
  <c r="GP59" i="95"/>
  <c r="GQ59" i="95"/>
  <c r="GR59" i="95"/>
  <c r="GS59" i="95"/>
  <c r="GT59" i="95"/>
  <c r="GU59" i="95"/>
  <c r="GV59" i="95"/>
  <c r="GW59" i="95"/>
  <c r="GX59" i="95"/>
  <c r="GY59" i="95"/>
  <c r="GZ59" i="95"/>
  <c r="HA59" i="95"/>
  <c r="HB59" i="95"/>
  <c r="HC59" i="95"/>
  <c r="HD59" i="95"/>
  <c r="HE59" i="95"/>
  <c r="HF59" i="95"/>
  <c r="HG59" i="95"/>
  <c r="HH59" i="95"/>
  <c r="HI59" i="95"/>
  <c r="HJ59" i="95"/>
  <c r="HK59" i="95"/>
  <c r="HL59" i="95"/>
  <c r="HM59" i="95"/>
  <c r="HN59" i="95"/>
  <c r="HO59" i="95"/>
  <c r="HP59" i="95"/>
  <c r="HQ59" i="95"/>
  <c r="G60" i="95"/>
  <c r="H60" i="95"/>
  <c r="I60" i="95"/>
  <c r="J60" i="95"/>
  <c r="K60" i="95"/>
  <c r="L60" i="95"/>
  <c r="M60" i="95"/>
  <c r="N60" i="95"/>
  <c r="O60" i="95"/>
  <c r="P60" i="95"/>
  <c r="Q60" i="95"/>
  <c r="R60" i="95"/>
  <c r="S60" i="95"/>
  <c r="T60" i="95"/>
  <c r="U60" i="95"/>
  <c r="V60" i="95"/>
  <c r="W60" i="95"/>
  <c r="X60" i="95"/>
  <c r="Y60" i="95"/>
  <c r="Z60" i="95"/>
  <c r="AA60" i="95"/>
  <c r="AB60" i="95"/>
  <c r="AC60" i="95"/>
  <c r="AD60" i="95"/>
  <c r="AE60" i="95"/>
  <c r="AF60" i="95"/>
  <c r="AG60" i="95"/>
  <c r="AH60" i="95"/>
  <c r="AI60" i="95"/>
  <c r="AJ60" i="95"/>
  <c r="AK60" i="95"/>
  <c r="AL60" i="95"/>
  <c r="AM60" i="95"/>
  <c r="AN60" i="95"/>
  <c r="AO60" i="95"/>
  <c r="AP60" i="95"/>
  <c r="AQ60" i="95"/>
  <c r="AR60" i="95"/>
  <c r="AS60" i="95"/>
  <c r="AT60" i="95"/>
  <c r="AU60" i="95"/>
  <c r="AV60" i="95"/>
  <c r="AW60" i="95"/>
  <c r="AX60" i="95"/>
  <c r="AY60" i="95"/>
  <c r="AZ60" i="95"/>
  <c r="BA60" i="95"/>
  <c r="BB60" i="95"/>
  <c r="BC60" i="95"/>
  <c r="BD60" i="95"/>
  <c r="BE60" i="95"/>
  <c r="BF60" i="95"/>
  <c r="BG60" i="95"/>
  <c r="BH60" i="95"/>
  <c r="BI60" i="95"/>
  <c r="BJ60" i="95"/>
  <c r="BK60" i="95"/>
  <c r="BL60" i="95"/>
  <c r="BM60" i="95"/>
  <c r="BN60" i="95"/>
  <c r="BO60" i="95"/>
  <c r="BP60" i="95"/>
  <c r="BQ60" i="95"/>
  <c r="BR60" i="95"/>
  <c r="BS60" i="95"/>
  <c r="BT60" i="95"/>
  <c r="BU60" i="95"/>
  <c r="BV60" i="95"/>
  <c r="BW60" i="95"/>
  <c r="BX60" i="95"/>
  <c r="BY60" i="95"/>
  <c r="BZ60" i="95"/>
  <c r="CA60" i="95"/>
  <c r="CB60" i="95"/>
  <c r="CC60" i="95"/>
  <c r="CD60" i="95"/>
  <c r="CE60" i="95"/>
  <c r="CF60" i="95"/>
  <c r="CG60" i="95"/>
  <c r="CH60" i="95"/>
  <c r="CI60" i="95"/>
  <c r="CJ60" i="95"/>
  <c r="CK60" i="95"/>
  <c r="CL60" i="95"/>
  <c r="CM60" i="95"/>
  <c r="CN60" i="95"/>
  <c r="CO60" i="95"/>
  <c r="CP60" i="95"/>
  <c r="CQ60" i="95"/>
  <c r="CR60" i="95"/>
  <c r="CS60" i="95"/>
  <c r="CT60" i="95"/>
  <c r="CU60" i="95"/>
  <c r="CV60" i="95"/>
  <c r="CW60" i="95"/>
  <c r="CX60" i="95"/>
  <c r="CY60" i="95"/>
  <c r="CZ60" i="95"/>
  <c r="DA60" i="95"/>
  <c r="DB60" i="95"/>
  <c r="DC60" i="95"/>
  <c r="DD60" i="95"/>
  <c r="DE60" i="95"/>
  <c r="DF60" i="95"/>
  <c r="DG60" i="95"/>
  <c r="DH60" i="95"/>
  <c r="DI60" i="95"/>
  <c r="DJ60" i="95"/>
  <c r="DK60" i="95"/>
  <c r="DL60" i="95"/>
  <c r="DM60" i="95"/>
  <c r="DN60" i="95"/>
  <c r="DO60" i="95"/>
  <c r="DP60" i="95"/>
  <c r="DQ60" i="95"/>
  <c r="DR60" i="95"/>
  <c r="DS60" i="95"/>
  <c r="DT60" i="95"/>
  <c r="DU60" i="95"/>
  <c r="DV60" i="95"/>
  <c r="DW60" i="95"/>
  <c r="DX60" i="95"/>
  <c r="DY60" i="95"/>
  <c r="DZ60" i="95"/>
  <c r="EA60" i="95"/>
  <c r="EB60" i="95"/>
  <c r="EC60" i="95"/>
  <c r="ED60" i="95"/>
  <c r="EE60" i="95"/>
  <c r="EF60" i="95"/>
  <c r="EG60" i="95"/>
  <c r="EH60" i="95"/>
  <c r="EI60" i="95"/>
  <c r="EJ60" i="95"/>
  <c r="EK60" i="95"/>
  <c r="EL60" i="95"/>
  <c r="EM60" i="95"/>
  <c r="EN60" i="95"/>
  <c r="EO60" i="95"/>
  <c r="EP60" i="95"/>
  <c r="EQ60" i="95"/>
  <c r="ER60" i="95"/>
  <c r="ES60" i="95"/>
  <c r="ET60" i="95"/>
  <c r="EU60" i="95"/>
  <c r="EV60" i="95"/>
  <c r="EW60" i="95"/>
  <c r="EX60" i="95"/>
  <c r="EY60" i="95"/>
  <c r="EZ60" i="95"/>
  <c r="FA60" i="95"/>
  <c r="FB60" i="95"/>
  <c r="FC60" i="95"/>
  <c r="FD60" i="95"/>
  <c r="FE60" i="95"/>
  <c r="FF60" i="95"/>
  <c r="FG60" i="95"/>
  <c r="FH60" i="95"/>
  <c r="FI60" i="95"/>
  <c r="FJ60" i="95"/>
  <c r="FK60" i="95"/>
  <c r="FL60" i="95"/>
  <c r="FM60" i="95"/>
  <c r="FN60" i="95"/>
  <c r="FO60" i="95"/>
  <c r="FP60" i="95"/>
  <c r="FQ60" i="95"/>
  <c r="FR60" i="95"/>
  <c r="FS60" i="95"/>
  <c r="FT60" i="95"/>
  <c r="FU60" i="95"/>
  <c r="FV60" i="95"/>
  <c r="FW60" i="95"/>
  <c r="FX60" i="95"/>
  <c r="FY60" i="95"/>
  <c r="FZ60" i="95"/>
  <c r="GA60" i="95"/>
  <c r="GB60" i="95"/>
  <c r="GC60" i="95"/>
  <c r="GD60" i="95"/>
  <c r="GE60" i="95"/>
  <c r="GF60" i="95"/>
  <c r="GG60" i="95"/>
  <c r="GH60" i="95"/>
  <c r="GI60" i="95"/>
  <c r="GJ60" i="95"/>
  <c r="GK60" i="95"/>
  <c r="GL60" i="95"/>
  <c r="GM60" i="95"/>
  <c r="GN60" i="95"/>
  <c r="GO60" i="95"/>
  <c r="GP60" i="95"/>
  <c r="GQ60" i="95"/>
  <c r="GR60" i="95"/>
  <c r="GS60" i="95"/>
  <c r="GT60" i="95"/>
  <c r="GU60" i="95"/>
  <c r="GV60" i="95"/>
  <c r="GW60" i="95"/>
  <c r="GX60" i="95"/>
  <c r="GY60" i="95"/>
  <c r="GZ60" i="95"/>
  <c r="HA60" i="95"/>
  <c r="HB60" i="95"/>
  <c r="HC60" i="95"/>
  <c r="HD60" i="95"/>
  <c r="HE60" i="95"/>
  <c r="HF60" i="95"/>
  <c r="HG60" i="95"/>
  <c r="HH60" i="95"/>
  <c r="HI60" i="95"/>
  <c r="HJ60" i="95"/>
  <c r="HK60" i="95"/>
  <c r="HL60" i="95"/>
  <c r="HM60" i="95"/>
  <c r="HN60" i="95"/>
  <c r="HO60" i="95"/>
  <c r="HP60" i="95"/>
  <c r="HQ60" i="95"/>
  <c r="G61" i="95"/>
  <c r="H61" i="95"/>
  <c r="I61" i="95"/>
  <c r="J61" i="95"/>
  <c r="K61" i="95"/>
  <c r="L61" i="95"/>
  <c r="M61" i="95"/>
  <c r="N61" i="95"/>
  <c r="O61" i="95"/>
  <c r="P61" i="95"/>
  <c r="Q61" i="95"/>
  <c r="R61" i="95"/>
  <c r="S61" i="95"/>
  <c r="T61" i="95"/>
  <c r="U61" i="95"/>
  <c r="V61" i="95"/>
  <c r="W61" i="95"/>
  <c r="X61" i="95"/>
  <c r="Y61" i="95"/>
  <c r="Z61" i="95"/>
  <c r="AA61" i="95"/>
  <c r="AB61" i="95"/>
  <c r="AC61" i="95"/>
  <c r="AD61" i="95"/>
  <c r="AE61" i="95"/>
  <c r="AF61" i="95"/>
  <c r="AG61" i="95"/>
  <c r="AH61" i="95"/>
  <c r="AI61" i="95"/>
  <c r="AJ61" i="95"/>
  <c r="AK61" i="95"/>
  <c r="AL61" i="95"/>
  <c r="AM61" i="95"/>
  <c r="AN61" i="95"/>
  <c r="AO61" i="95"/>
  <c r="AP61" i="95"/>
  <c r="AQ61" i="95"/>
  <c r="AR61" i="95"/>
  <c r="AS61" i="95"/>
  <c r="AT61" i="95"/>
  <c r="AU61" i="95"/>
  <c r="AV61" i="95"/>
  <c r="AW61" i="95"/>
  <c r="AX61" i="95"/>
  <c r="AY61" i="95"/>
  <c r="AZ61" i="95"/>
  <c r="BA61" i="95"/>
  <c r="BB61" i="95"/>
  <c r="BC61" i="95"/>
  <c r="BD61" i="95"/>
  <c r="BE61" i="95"/>
  <c r="BF61" i="95"/>
  <c r="BG61" i="95"/>
  <c r="BH61" i="95"/>
  <c r="BI61" i="95"/>
  <c r="BJ61" i="95"/>
  <c r="BK61" i="95"/>
  <c r="BL61" i="95"/>
  <c r="BM61" i="95"/>
  <c r="BN61" i="95"/>
  <c r="BO61" i="95"/>
  <c r="BP61" i="95"/>
  <c r="BQ61" i="95"/>
  <c r="BR61" i="95"/>
  <c r="BS61" i="95"/>
  <c r="BT61" i="95"/>
  <c r="BU61" i="95"/>
  <c r="BV61" i="95"/>
  <c r="BW61" i="95"/>
  <c r="BX61" i="95"/>
  <c r="BY61" i="95"/>
  <c r="BZ61" i="95"/>
  <c r="CA61" i="95"/>
  <c r="CB61" i="95"/>
  <c r="CC61" i="95"/>
  <c r="CD61" i="95"/>
  <c r="CE61" i="95"/>
  <c r="CF61" i="95"/>
  <c r="CG61" i="95"/>
  <c r="CH61" i="95"/>
  <c r="CI61" i="95"/>
  <c r="CJ61" i="95"/>
  <c r="CK61" i="95"/>
  <c r="CL61" i="95"/>
  <c r="CM61" i="95"/>
  <c r="CN61" i="95"/>
  <c r="CO61" i="95"/>
  <c r="CP61" i="95"/>
  <c r="CQ61" i="95"/>
  <c r="CR61" i="95"/>
  <c r="CS61" i="95"/>
  <c r="CT61" i="95"/>
  <c r="CU61" i="95"/>
  <c r="CV61" i="95"/>
  <c r="CW61" i="95"/>
  <c r="CX61" i="95"/>
  <c r="CY61" i="95"/>
  <c r="CZ61" i="95"/>
  <c r="DA61" i="95"/>
  <c r="DB61" i="95"/>
  <c r="DC61" i="95"/>
  <c r="DD61" i="95"/>
  <c r="DE61" i="95"/>
  <c r="DF61" i="95"/>
  <c r="DG61" i="95"/>
  <c r="DH61" i="95"/>
  <c r="DI61" i="95"/>
  <c r="DJ61" i="95"/>
  <c r="DK61" i="95"/>
  <c r="DL61" i="95"/>
  <c r="DM61" i="95"/>
  <c r="DN61" i="95"/>
  <c r="DO61" i="95"/>
  <c r="DP61" i="95"/>
  <c r="DQ61" i="95"/>
  <c r="DR61" i="95"/>
  <c r="DS61" i="95"/>
  <c r="DT61" i="95"/>
  <c r="DU61" i="95"/>
  <c r="DV61" i="95"/>
  <c r="DW61" i="95"/>
  <c r="DX61" i="95"/>
  <c r="DY61" i="95"/>
  <c r="DZ61" i="95"/>
  <c r="EA61" i="95"/>
  <c r="EB61" i="95"/>
  <c r="EC61" i="95"/>
  <c r="ED61" i="95"/>
  <c r="EE61" i="95"/>
  <c r="EF61" i="95"/>
  <c r="EG61" i="95"/>
  <c r="EH61" i="95"/>
  <c r="EI61" i="95"/>
  <c r="EJ61" i="95"/>
  <c r="EK61" i="95"/>
  <c r="EL61" i="95"/>
  <c r="EM61" i="95"/>
  <c r="EN61" i="95"/>
  <c r="EO61" i="95"/>
  <c r="EP61" i="95"/>
  <c r="EQ61" i="95"/>
  <c r="ER61" i="95"/>
  <c r="ES61" i="95"/>
  <c r="ET61" i="95"/>
  <c r="EU61" i="95"/>
  <c r="EV61" i="95"/>
  <c r="EW61" i="95"/>
  <c r="EX61" i="95"/>
  <c r="EY61" i="95"/>
  <c r="EZ61" i="95"/>
  <c r="FA61" i="95"/>
  <c r="FB61" i="95"/>
  <c r="FC61" i="95"/>
  <c r="FD61" i="95"/>
  <c r="FE61" i="95"/>
  <c r="FF61" i="95"/>
  <c r="FG61" i="95"/>
  <c r="FH61" i="95"/>
  <c r="FI61" i="95"/>
  <c r="FJ61" i="95"/>
  <c r="FK61" i="95"/>
  <c r="FL61" i="95"/>
  <c r="FM61" i="95"/>
  <c r="FN61" i="95"/>
  <c r="FO61" i="95"/>
  <c r="FP61" i="95"/>
  <c r="FQ61" i="95"/>
  <c r="FR61" i="95"/>
  <c r="FS61" i="95"/>
  <c r="FT61" i="95"/>
  <c r="FU61" i="95"/>
  <c r="FV61" i="95"/>
  <c r="FW61" i="95"/>
  <c r="FX61" i="95"/>
  <c r="FY61" i="95"/>
  <c r="FZ61" i="95"/>
  <c r="GA61" i="95"/>
  <c r="GB61" i="95"/>
  <c r="GC61" i="95"/>
  <c r="GD61" i="95"/>
  <c r="GE61" i="95"/>
  <c r="GF61" i="95"/>
  <c r="GG61" i="95"/>
  <c r="GH61" i="95"/>
  <c r="GI61" i="95"/>
  <c r="GJ61" i="95"/>
  <c r="GK61" i="95"/>
  <c r="GL61" i="95"/>
  <c r="GM61" i="95"/>
  <c r="GN61" i="95"/>
  <c r="GO61" i="95"/>
  <c r="GP61" i="95"/>
  <c r="GQ61" i="95"/>
  <c r="GR61" i="95"/>
  <c r="GS61" i="95"/>
  <c r="GT61" i="95"/>
  <c r="GU61" i="95"/>
  <c r="GV61" i="95"/>
  <c r="GW61" i="95"/>
  <c r="GX61" i="95"/>
  <c r="GY61" i="95"/>
  <c r="GZ61" i="95"/>
  <c r="HA61" i="95"/>
  <c r="HB61" i="95"/>
  <c r="HC61" i="95"/>
  <c r="HD61" i="95"/>
  <c r="HE61" i="95"/>
  <c r="HF61" i="95"/>
  <c r="HG61" i="95"/>
  <c r="HH61" i="95"/>
  <c r="HI61" i="95"/>
  <c r="HJ61" i="95"/>
  <c r="HK61" i="95"/>
  <c r="HL61" i="95"/>
  <c r="HM61" i="95"/>
  <c r="HN61" i="95"/>
  <c r="HO61" i="95"/>
  <c r="HP61" i="95"/>
  <c r="HQ61" i="95"/>
  <c r="G62" i="95"/>
  <c r="H62" i="95"/>
  <c r="I62" i="95"/>
  <c r="J62" i="95"/>
  <c r="K62" i="95"/>
  <c r="L62" i="95"/>
  <c r="M62" i="95"/>
  <c r="N62" i="95"/>
  <c r="O62" i="95"/>
  <c r="P62" i="95"/>
  <c r="Q62" i="95"/>
  <c r="R62" i="95"/>
  <c r="S62" i="95"/>
  <c r="T62" i="95"/>
  <c r="U62" i="95"/>
  <c r="V62" i="95"/>
  <c r="W62" i="95"/>
  <c r="X62" i="95"/>
  <c r="Y62" i="95"/>
  <c r="Z62" i="95"/>
  <c r="AA62" i="95"/>
  <c r="AB62" i="95"/>
  <c r="AC62" i="95"/>
  <c r="AD62" i="95"/>
  <c r="AE62" i="95"/>
  <c r="AF62" i="95"/>
  <c r="AG62" i="95"/>
  <c r="AH62" i="95"/>
  <c r="AI62" i="95"/>
  <c r="AJ62" i="95"/>
  <c r="AK62" i="95"/>
  <c r="AL62" i="95"/>
  <c r="AM62" i="95"/>
  <c r="AN62" i="95"/>
  <c r="AO62" i="95"/>
  <c r="AP62" i="95"/>
  <c r="AQ62" i="95"/>
  <c r="AR62" i="95"/>
  <c r="AS62" i="95"/>
  <c r="AT62" i="95"/>
  <c r="AU62" i="95"/>
  <c r="AV62" i="95"/>
  <c r="AW62" i="95"/>
  <c r="AX62" i="95"/>
  <c r="AY62" i="95"/>
  <c r="AZ62" i="95"/>
  <c r="BA62" i="95"/>
  <c r="BB62" i="95"/>
  <c r="BC62" i="95"/>
  <c r="BD62" i="95"/>
  <c r="BE62" i="95"/>
  <c r="BF62" i="95"/>
  <c r="BG62" i="95"/>
  <c r="BH62" i="95"/>
  <c r="BI62" i="95"/>
  <c r="BJ62" i="95"/>
  <c r="BK62" i="95"/>
  <c r="BL62" i="95"/>
  <c r="BM62" i="95"/>
  <c r="BN62" i="95"/>
  <c r="BO62" i="95"/>
  <c r="BP62" i="95"/>
  <c r="BQ62" i="95"/>
  <c r="BR62" i="95"/>
  <c r="BS62" i="95"/>
  <c r="BT62" i="95"/>
  <c r="BU62" i="95"/>
  <c r="BV62" i="95"/>
  <c r="BW62" i="95"/>
  <c r="BX62" i="95"/>
  <c r="BY62" i="95"/>
  <c r="BZ62" i="95"/>
  <c r="CA62" i="95"/>
  <c r="CB62" i="95"/>
  <c r="CC62" i="95"/>
  <c r="CD62" i="95"/>
  <c r="CE62" i="95"/>
  <c r="CF62" i="95"/>
  <c r="CG62" i="95"/>
  <c r="CH62" i="95"/>
  <c r="CI62" i="95"/>
  <c r="CJ62" i="95"/>
  <c r="CK62" i="95"/>
  <c r="CL62" i="95"/>
  <c r="CM62" i="95"/>
  <c r="CN62" i="95"/>
  <c r="CO62" i="95"/>
  <c r="CP62" i="95"/>
  <c r="CQ62" i="95"/>
  <c r="CR62" i="95"/>
  <c r="CS62" i="95"/>
  <c r="CT62" i="95"/>
  <c r="CU62" i="95"/>
  <c r="CV62" i="95"/>
  <c r="CW62" i="95"/>
  <c r="CX62" i="95"/>
  <c r="CY62" i="95"/>
  <c r="CZ62" i="95"/>
  <c r="DA62" i="95"/>
  <c r="DB62" i="95"/>
  <c r="DC62" i="95"/>
  <c r="DD62" i="95"/>
  <c r="DE62" i="95"/>
  <c r="DF62" i="95"/>
  <c r="DG62" i="95"/>
  <c r="DH62" i="95"/>
  <c r="DI62" i="95"/>
  <c r="DJ62" i="95"/>
  <c r="DK62" i="95"/>
  <c r="DL62" i="95"/>
  <c r="DM62" i="95"/>
  <c r="DN62" i="95"/>
  <c r="DO62" i="95"/>
  <c r="DP62" i="95"/>
  <c r="DQ62" i="95"/>
  <c r="DR62" i="95"/>
  <c r="DS62" i="95"/>
  <c r="DT62" i="95"/>
  <c r="DU62" i="95"/>
  <c r="DV62" i="95"/>
  <c r="DW62" i="95"/>
  <c r="DX62" i="95"/>
  <c r="DY62" i="95"/>
  <c r="DZ62" i="95"/>
  <c r="EA62" i="95"/>
  <c r="EB62" i="95"/>
  <c r="EC62" i="95"/>
  <c r="ED62" i="95"/>
  <c r="EE62" i="95"/>
  <c r="EF62" i="95"/>
  <c r="EG62" i="95"/>
  <c r="EH62" i="95"/>
  <c r="EI62" i="95"/>
  <c r="EJ62" i="95"/>
  <c r="EK62" i="95"/>
  <c r="EL62" i="95"/>
  <c r="EM62" i="95"/>
  <c r="EN62" i="95"/>
  <c r="EO62" i="95"/>
  <c r="EP62" i="95"/>
  <c r="EQ62" i="95"/>
  <c r="ER62" i="95"/>
  <c r="ES62" i="95"/>
  <c r="ET62" i="95"/>
  <c r="EU62" i="95"/>
  <c r="EV62" i="95"/>
  <c r="EW62" i="95"/>
  <c r="EX62" i="95"/>
  <c r="EY62" i="95"/>
  <c r="EZ62" i="95"/>
  <c r="FA62" i="95"/>
  <c r="FB62" i="95"/>
  <c r="FC62" i="95"/>
  <c r="FD62" i="95"/>
  <c r="FE62" i="95"/>
  <c r="FF62" i="95"/>
  <c r="FG62" i="95"/>
  <c r="FH62" i="95"/>
  <c r="FI62" i="95"/>
  <c r="FJ62" i="95"/>
  <c r="FK62" i="95"/>
  <c r="FL62" i="95"/>
  <c r="FM62" i="95"/>
  <c r="FN62" i="95"/>
  <c r="FO62" i="95"/>
  <c r="FP62" i="95"/>
  <c r="FQ62" i="95"/>
  <c r="FR62" i="95"/>
  <c r="FS62" i="95"/>
  <c r="FT62" i="95"/>
  <c r="FU62" i="95"/>
  <c r="FV62" i="95"/>
  <c r="FW62" i="95"/>
  <c r="FX62" i="95"/>
  <c r="FY62" i="95"/>
  <c r="FZ62" i="95"/>
  <c r="GA62" i="95"/>
  <c r="GB62" i="95"/>
  <c r="GC62" i="95"/>
  <c r="GD62" i="95"/>
  <c r="GE62" i="95"/>
  <c r="GF62" i="95"/>
  <c r="GG62" i="95"/>
  <c r="GH62" i="95"/>
  <c r="GI62" i="95"/>
  <c r="GJ62" i="95"/>
  <c r="GK62" i="95"/>
  <c r="GL62" i="95"/>
  <c r="GM62" i="95"/>
  <c r="GN62" i="95"/>
  <c r="GO62" i="95"/>
  <c r="GP62" i="95"/>
  <c r="GQ62" i="95"/>
  <c r="GR62" i="95"/>
  <c r="GS62" i="95"/>
  <c r="GT62" i="95"/>
  <c r="GU62" i="95"/>
  <c r="GV62" i="95"/>
  <c r="GW62" i="95"/>
  <c r="GX62" i="95"/>
  <c r="GY62" i="95"/>
  <c r="GZ62" i="95"/>
  <c r="HA62" i="95"/>
  <c r="HB62" i="95"/>
  <c r="HC62" i="95"/>
  <c r="HD62" i="95"/>
  <c r="HE62" i="95"/>
  <c r="HF62" i="95"/>
  <c r="HG62" i="95"/>
  <c r="HH62" i="95"/>
  <c r="HI62" i="95"/>
  <c r="HJ62" i="95"/>
  <c r="HK62" i="95"/>
  <c r="HL62" i="95"/>
  <c r="HM62" i="95"/>
  <c r="HN62" i="95"/>
  <c r="HO62" i="95"/>
  <c r="HP62" i="95"/>
  <c r="HQ62" i="95"/>
  <c r="G63" i="95"/>
  <c r="H63" i="95"/>
  <c r="I63" i="95"/>
  <c r="J63" i="95"/>
  <c r="K63" i="95"/>
  <c r="L63" i="95"/>
  <c r="M63" i="95"/>
  <c r="N63" i="95"/>
  <c r="O63" i="95"/>
  <c r="P63" i="95"/>
  <c r="Q63" i="95"/>
  <c r="R63" i="95"/>
  <c r="S63" i="95"/>
  <c r="T63" i="95"/>
  <c r="U63" i="95"/>
  <c r="V63" i="95"/>
  <c r="W63" i="95"/>
  <c r="X63" i="95"/>
  <c r="Y63" i="95"/>
  <c r="Z63" i="95"/>
  <c r="AA63" i="95"/>
  <c r="AB63" i="95"/>
  <c r="AC63" i="95"/>
  <c r="AD63" i="95"/>
  <c r="AE63" i="95"/>
  <c r="AF63" i="95"/>
  <c r="AG63" i="95"/>
  <c r="AH63" i="95"/>
  <c r="AI63" i="95"/>
  <c r="AJ63" i="95"/>
  <c r="AK63" i="95"/>
  <c r="AL63" i="95"/>
  <c r="AM63" i="95"/>
  <c r="AN63" i="95"/>
  <c r="AO63" i="95"/>
  <c r="AP63" i="95"/>
  <c r="AQ63" i="95"/>
  <c r="AR63" i="95"/>
  <c r="AS63" i="95"/>
  <c r="AT63" i="95"/>
  <c r="AU63" i="95"/>
  <c r="AV63" i="95"/>
  <c r="AW63" i="95"/>
  <c r="AX63" i="95"/>
  <c r="AY63" i="95"/>
  <c r="AZ63" i="95"/>
  <c r="BA63" i="95"/>
  <c r="BB63" i="95"/>
  <c r="BC63" i="95"/>
  <c r="BD63" i="95"/>
  <c r="BE63" i="95"/>
  <c r="BF63" i="95"/>
  <c r="BG63" i="95"/>
  <c r="BH63" i="95"/>
  <c r="BI63" i="95"/>
  <c r="BJ63" i="95"/>
  <c r="BK63" i="95"/>
  <c r="BL63" i="95"/>
  <c r="BM63" i="95"/>
  <c r="BN63" i="95"/>
  <c r="BO63" i="95"/>
  <c r="BP63" i="95"/>
  <c r="BQ63" i="95"/>
  <c r="BR63" i="95"/>
  <c r="BS63" i="95"/>
  <c r="BT63" i="95"/>
  <c r="BU63" i="95"/>
  <c r="BV63" i="95"/>
  <c r="BW63" i="95"/>
  <c r="BX63" i="95"/>
  <c r="BY63" i="95"/>
  <c r="BZ63" i="95"/>
  <c r="CA63" i="95"/>
  <c r="CB63" i="95"/>
  <c r="CC63" i="95"/>
  <c r="CD63" i="95"/>
  <c r="CE63" i="95"/>
  <c r="CF63" i="95"/>
  <c r="CG63" i="95"/>
  <c r="CH63" i="95"/>
  <c r="CI63" i="95"/>
  <c r="CJ63" i="95"/>
  <c r="CK63" i="95"/>
  <c r="CL63" i="95"/>
  <c r="CM63" i="95"/>
  <c r="CN63" i="95"/>
  <c r="CO63" i="95"/>
  <c r="CP63" i="95"/>
  <c r="CQ63" i="95"/>
  <c r="CR63" i="95"/>
  <c r="CS63" i="95"/>
  <c r="CT63" i="95"/>
  <c r="CU63" i="95"/>
  <c r="CV63" i="95"/>
  <c r="CW63" i="95"/>
  <c r="CX63" i="95"/>
  <c r="CY63" i="95"/>
  <c r="CZ63" i="95"/>
  <c r="DA63" i="95"/>
  <c r="DB63" i="95"/>
  <c r="DC63" i="95"/>
  <c r="DD63" i="95"/>
  <c r="DE63" i="95"/>
  <c r="DF63" i="95"/>
  <c r="DG63" i="95"/>
  <c r="DH63" i="95"/>
  <c r="DI63" i="95"/>
  <c r="DJ63" i="95"/>
  <c r="DK63" i="95"/>
  <c r="DL63" i="95"/>
  <c r="DM63" i="95"/>
  <c r="DN63" i="95"/>
  <c r="DO63" i="95"/>
  <c r="DP63" i="95"/>
  <c r="DQ63" i="95"/>
  <c r="DR63" i="95"/>
  <c r="DS63" i="95"/>
  <c r="DT63" i="95"/>
  <c r="DU63" i="95"/>
  <c r="DV63" i="95"/>
  <c r="DW63" i="95"/>
  <c r="DX63" i="95"/>
  <c r="DY63" i="95"/>
  <c r="DZ63" i="95"/>
  <c r="EA63" i="95"/>
  <c r="EB63" i="95"/>
  <c r="EC63" i="95"/>
  <c r="ED63" i="95"/>
  <c r="EE63" i="95"/>
  <c r="EF63" i="95"/>
  <c r="EG63" i="95"/>
  <c r="EH63" i="95"/>
  <c r="EI63" i="95"/>
  <c r="EJ63" i="95"/>
  <c r="EK63" i="95"/>
  <c r="EL63" i="95"/>
  <c r="EM63" i="95"/>
  <c r="EN63" i="95"/>
  <c r="EO63" i="95"/>
  <c r="EP63" i="95"/>
  <c r="EQ63" i="95"/>
  <c r="ER63" i="95"/>
  <c r="ES63" i="95"/>
  <c r="ET63" i="95"/>
  <c r="EU63" i="95"/>
  <c r="EV63" i="95"/>
  <c r="EW63" i="95"/>
  <c r="EX63" i="95"/>
  <c r="EY63" i="95"/>
  <c r="EZ63" i="95"/>
  <c r="FA63" i="95"/>
  <c r="FB63" i="95"/>
  <c r="FC63" i="95"/>
  <c r="FD63" i="95"/>
  <c r="FE63" i="95"/>
  <c r="FF63" i="95"/>
  <c r="FG63" i="95"/>
  <c r="FH63" i="95"/>
  <c r="FI63" i="95"/>
  <c r="FJ63" i="95"/>
  <c r="FK63" i="95"/>
  <c r="FL63" i="95"/>
  <c r="FM63" i="95"/>
  <c r="FN63" i="95"/>
  <c r="FO63" i="95"/>
  <c r="FP63" i="95"/>
  <c r="FQ63" i="95"/>
  <c r="FR63" i="95"/>
  <c r="FS63" i="95"/>
  <c r="FT63" i="95"/>
  <c r="FU63" i="95"/>
  <c r="FV63" i="95"/>
  <c r="FW63" i="95"/>
  <c r="FX63" i="95"/>
  <c r="FY63" i="95"/>
  <c r="FZ63" i="95"/>
  <c r="GA63" i="95"/>
  <c r="GB63" i="95"/>
  <c r="GC63" i="95"/>
  <c r="GD63" i="95"/>
  <c r="GE63" i="95"/>
  <c r="GF63" i="95"/>
  <c r="GG63" i="95"/>
  <c r="GH63" i="95"/>
  <c r="GI63" i="95"/>
  <c r="GJ63" i="95"/>
  <c r="GK63" i="95"/>
  <c r="GL63" i="95"/>
  <c r="GM63" i="95"/>
  <c r="GN63" i="95"/>
  <c r="GO63" i="95"/>
  <c r="GP63" i="95"/>
  <c r="GQ63" i="95"/>
  <c r="GR63" i="95"/>
  <c r="GS63" i="95"/>
  <c r="GT63" i="95"/>
  <c r="GU63" i="95"/>
  <c r="GV63" i="95"/>
  <c r="GW63" i="95"/>
  <c r="GX63" i="95"/>
  <c r="GY63" i="95"/>
  <c r="GZ63" i="95"/>
  <c r="HA63" i="95"/>
  <c r="HB63" i="95"/>
  <c r="HC63" i="95"/>
  <c r="HD63" i="95"/>
  <c r="HE63" i="95"/>
  <c r="HF63" i="95"/>
  <c r="HG63" i="95"/>
  <c r="HH63" i="95"/>
  <c r="HI63" i="95"/>
  <c r="HJ63" i="95"/>
  <c r="HK63" i="95"/>
  <c r="HL63" i="95"/>
  <c r="HM63" i="95"/>
  <c r="HN63" i="95"/>
  <c r="HO63" i="95"/>
  <c r="HP63" i="95"/>
  <c r="HQ63" i="95"/>
  <c r="G64" i="95"/>
  <c r="H64" i="95"/>
  <c r="I64" i="95"/>
  <c r="J64" i="95"/>
  <c r="K64" i="95"/>
  <c r="L64" i="95"/>
  <c r="M64" i="95"/>
  <c r="N64" i="95"/>
  <c r="O64" i="95"/>
  <c r="P64" i="95"/>
  <c r="Q64" i="95"/>
  <c r="R64" i="95"/>
  <c r="S64" i="95"/>
  <c r="T64" i="95"/>
  <c r="U64" i="95"/>
  <c r="V64" i="95"/>
  <c r="W64" i="95"/>
  <c r="X64" i="95"/>
  <c r="Y64" i="95"/>
  <c r="Z64" i="95"/>
  <c r="AA64" i="95"/>
  <c r="AB64" i="95"/>
  <c r="AC64" i="95"/>
  <c r="AD64" i="95"/>
  <c r="AE64" i="95"/>
  <c r="AF64" i="95"/>
  <c r="AG64" i="95"/>
  <c r="AH64" i="95"/>
  <c r="AI64" i="95"/>
  <c r="AJ64" i="95"/>
  <c r="AK64" i="95"/>
  <c r="AL64" i="95"/>
  <c r="AM64" i="95"/>
  <c r="AN64" i="95"/>
  <c r="AO64" i="95"/>
  <c r="AP64" i="95"/>
  <c r="AQ64" i="95"/>
  <c r="AR64" i="95"/>
  <c r="AS64" i="95"/>
  <c r="AT64" i="95"/>
  <c r="AU64" i="95"/>
  <c r="AV64" i="95"/>
  <c r="AW64" i="95"/>
  <c r="AX64" i="95"/>
  <c r="AY64" i="95"/>
  <c r="AZ64" i="95"/>
  <c r="BA64" i="95"/>
  <c r="BB64" i="95"/>
  <c r="BC64" i="95"/>
  <c r="BD64" i="95"/>
  <c r="BE64" i="95"/>
  <c r="BF64" i="95"/>
  <c r="BG64" i="95"/>
  <c r="BH64" i="95"/>
  <c r="BI64" i="95"/>
  <c r="BJ64" i="95"/>
  <c r="BK64" i="95"/>
  <c r="BL64" i="95"/>
  <c r="BM64" i="95"/>
  <c r="BN64" i="95"/>
  <c r="BO64" i="95"/>
  <c r="BP64" i="95"/>
  <c r="BQ64" i="95"/>
  <c r="BR64" i="95"/>
  <c r="BS64" i="95"/>
  <c r="BT64" i="95"/>
  <c r="BU64" i="95"/>
  <c r="BV64" i="95"/>
  <c r="BW64" i="95"/>
  <c r="BX64" i="95"/>
  <c r="BY64" i="95"/>
  <c r="BZ64" i="95"/>
  <c r="CA64" i="95"/>
  <c r="CB64" i="95"/>
  <c r="CC64" i="95"/>
  <c r="CD64" i="95"/>
  <c r="CE64" i="95"/>
  <c r="CF64" i="95"/>
  <c r="CG64" i="95"/>
  <c r="CH64" i="95"/>
  <c r="CI64" i="95"/>
  <c r="CJ64" i="95"/>
  <c r="CK64" i="95"/>
  <c r="CL64" i="95"/>
  <c r="CM64" i="95"/>
  <c r="CN64" i="95"/>
  <c r="CO64" i="95"/>
  <c r="CP64" i="95"/>
  <c r="CQ64" i="95"/>
  <c r="CR64" i="95"/>
  <c r="CS64" i="95"/>
  <c r="CT64" i="95"/>
  <c r="CU64" i="95"/>
  <c r="CV64" i="95"/>
  <c r="CW64" i="95"/>
  <c r="CX64" i="95"/>
  <c r="CY64" i="95"/>
  <c r="CZ64" i="95"/>
  <c r="DA64" i="95"/>
  <c r="DB64" i="95"/>
  <c r="DC64" i="95"/>
  <c r="DD64" i="95"/>
  <c r="DE64" i="95"/>
  <c r="DF64" i="95"/>
  <c r="DG64" i="95"/>
  <c r="DH64" i="95"/>
  <c r="DI64" i="95"/>
  <c r="DJ64" i="95"/>
  <c r="DK64" i="95"/>
  <c r="DL64" i="95"/>
  <c r="DM64" i="95"/>
  <c r="DN64" i="95"/>
  <c r="DO64" i="95"/>
  <c r="DP64" i="95"/>
  <c r="DQ64" i="95"/>
  <c r="DR64" i="95"/>
  <c r="DS64" i="95"/>
  <c r="DT64" i="95"/>
  <c r="DU64" i="95"/>
  <c r="DV64" i="95"/>
  <c r="DW64" i="95"/>
  <c r="DX64" i="95"/>
  <c r="DY64" i="95"/>
  <c r="DZ64" i="95"/>
  <c r="EA64" i="95"/>
  <c r="EB64" i="95"/>
  <c r="EC64" i="95"/>
  <c r="ED64" i="95"/>
  <c r="EE64" i="95"/>
  <c r="EF64" i="95"/>
  <c r="EG64" i="95"/>
  <c r="EH64" i="95"/>
  <c r="EI64" i="95"/>
  <c r="EJ64" i="95"/>
  <c r="EK64" i="95"/>
  <c r="EL64" i="95"/>
  <c r="EM64" i="95"/>
  <c r="EN64" i="95"/>
  <c r="EO64" i="95"/>
  <c r="EP64" i="95"/>
  <c r="EQ64" i="95"/>
  <c r="ER64" i="95"/>
  <c r="ES64" i="95"/>
  <c r="ET64" i="95"/>
  <c r="EU64" i="95"/>
  <c r="EV64" i="95"/>
  <c r="EW64" i="95"/>
  <c r="EX64" i="95"/>
  <c r="EY64" i="95"/>
  <c r="EZ64" i="95"/>
  <c r="FA64" i="95"/>
  <c r="FB64" i="95"/>
  <c r="FC64" i="95"/>
  <c r="FD64" i="95"/>
  <c r="FE64" i="95"/>
  <c r="FF64" i="95"/>
  <c r="FG64" i="95"/>
  <c r="FH64" i="95"/>
  <c r="FI64" i="95"/>
  <c r="FJ64" i="95"/>
  <c r="FK64" i="95"/>
  <c r="FL64" i="95"/>
  <c r="FM64" i="95"/>
  <c r="FN64" i="95"/>
  <c r="FO64" i="95"/>
  <c r="FP64" i="95"/>
  <c r="FQ64" i="95"/>
  <c r="FR64" i="95"/>
  <c r="FS64" i="95"/>
  <c r="FT64" i="95"/>
  <c r="FU64" i="95"/>
  <c r="FV64" i="95"/>
  <c r="FW64" i="95"/>
  <c r="FX64" i="95"/>
  <c r="FY64" i="95"/>
  <c r="FZ64" i="95"/>
  <c r="GA64" i="95"/>
  <c r="GB64" i="95"/>
  <c r="GC64" i="95"/>
  <c r="GD64" i="95"/>
  <c r="GE64" i="95"/>
  <c r="GF64" i="95"/>
  <c r="GG64" i="95"/>
  <c r="GH64" i="95"/>
  <c r="GI64" i="95"/>
  <c r="GJ64" i="95"/>
  <c r="GK64" i="95"/>
  <c r="GL64" i="95"/>
  <c r="GM64" i="95"/>
  <c r="GN64" i="95"/>
  <c r="GO64" i="95"/>
  <c r="GP64" i="95"/>
  <c r="GQ64" i="95"/>
  <c r="GR64" i="95"/>
  <c r="GS64" i="95"/>
  <c r="GT64" i="95"/>
  <c r="GU64" i="95"/>
  <c r="GV64" i="95"/>
  <c r="GW64" i="95"/>
  <c r="GX64" i="95"/>
  <c r="GY64" i="95"/>
  <c r="GZ64" i="95"/>
  <c r="HA64" i="95"/>
  <c r="HB64" i="95"/>
  <c r="HC64" i="95"/>
  <c r="HD64" i="95"/>
  <c r="HE64" i="95"/>
  <c r="HF64" i="95"/>
  <c r="HG64" i="95"/>
  <c r="HH64" i="95"/>
  <c r="HI64" i="95"/>
  <c r="HJ64" i="95"/>
  <c r="HK64" i="95"/>
  <c r="HL64" i="95"/>
  <c r="HM64" i="95"/>
  <c r="HN64" i="95"/>
  <c r="HO64" i="95"/>
  <c r="HP64" i="95"/>
  <c r="HQ64" i="95"/>
  <c r="G65" i="95"/>
  <c r="H65" i="95"/>
  <c r="I65" i="95"/>
  <c r="J65" i="95"/>
  <c r="K65" i="95"/>
  <c r="L65" i="95"/>
  <c r="M65" i="95"/>
  <c r="N65" i="95"/>
  <c r="O65" i="95"/>
  <c r="P65" i="95"/>
  <c r="Q65" i="95"/>
  <c r="R65" i="95"/>
  <c r="S65" i="95"/>
  <c r="T65" i="95"/>
  <c r="U65" i="95"/>
  <c r="V65" i="95"/>
  <c r="W65" i="95"/>
  <c r="X65" i="95"/>
  <c r="Y65" i="95"/>
  <c r="Z65" i="95"/>
  <c r="AA65" i="95"/>
  <c r="AB65" i="95"/>
  <c r="AC65" i="95"/>
  <c r="AD65" i="95"/>
  <c r="AE65" i="95"/>
  <c r="AF65" i="95"/>
  <c r="AG65" i="95"/>
  <c r="AH65" i="95"/>
  <c r="AI65" i="95"/>
  <c r="AJ65" i="95"/>
  <c r="AK65" i="95"/>
  <c r="AL65" i="95"/>
  <c r="AM65" i="95"/>
  <c r="AN65" i="95"/>
  <c r="AO65" i="95"/>
  <c r="AP65" i="95"/>
  <c r="AQ65" i="95"/>
  <c r="AR65" i="95"/>
  <c r="AS65" i="95"/>
  <c r="AT65" i="95"/>
  <c r="AU65" i="95"/>
  <c r="AV65" i="95"/>
  <c r="AW65" i="95"/>
  <c r="AX65" i="95"/>
  <c r="AY65" i="95"/>
  <c r="AZ65" i="95"/>
  <c r="BA65" i="95"/>
  <c r="BB65" i="95"/>
  <c r="BC65" i="95"/>
  <c r="BD65" i="95"/>
  <c r="BE65" i="95"/>
  <c r="BF65" i="95"/>
  <c r="BG65" i="95"/>
  <c r="BH65" i="95"/>
  <c r="BI65" i="95"/>
  <c r="BJ65" i="95"/>
  <c r="BK65" i="95"/>
  <c r="BL65" i="95"/>
  <c r="BM65" i="95"/>
  <c r="BN65" i="95"/>
  <c r="BO65" i="95"/>
  <c r="BP65" i="95"/>
  <c r="BQ65" i="95"/>
  <c r="BR65" i="95"/>
  <c r="BS65" i="95"/>
  <c r="BT65" i="95"/>
  <c r="BU65" i="95"/>
  <c r="BV65" i="95"/>
  <c r="BW65" i="95"/>
  <c r="BX65" i="95"/>
  <c r="BY65" i="95"/>
  <c r="BZ65" i="95"/>
  <c r="CA65" i="95"/>
  <c r="CB65" i="95"/>
  <c r="CC65" i="95"/>
  <c r="CD65" i="95"/>
  <c r="CE65" i="95"/>
  <c r="CF65" i="95"/>
  <c r="CG65" i="95"/>
  <c r="CH65" i="95"/>
  <c r="CI65" i="95"/>
  <c r="CJ65" i="95"/>
  <c r="CK65" i="95"/>
  <c r="CL65" i="95"/>
  <c r="CM65" i="95"/>
  <c r="CN65" i="95"/>
  <c r="CO65" i="95"/>
  <c r="CP65" i="95"/>
  <c r="CQ65" i="95"/>
  <c r="CR65" i="95"/>
  <c r="CS65" i="95"/>
  <c r="CT65" i="95"/>
  <c r="CU65" i="95"/>
  <c r="CV65" i="95"/>
  <c r="CW65" i="95"/>
  <c r="CX65" i="95"/>
  <c r="CY65" i="95"/>
  <c r="CZ65" i="95"/>
  <c r="DA65" i="95"/>
  <c r="DB65" i="95"/>
  <c r="DC65" i="95"/>
  <c r="DD65" i="95"/>
  <c r="DE65" i="95"/>
  <c r="DF65" i="95"/>
  <c r="DG65" i="95"/>
  <c r="DH65" i="95"/>
  <c r="DI65" i="95"/>
  <c r="DJ65" i="95"/>
  <c r="DK65" i="95"/>
  <c r="DL65" i="95"/>
  <c r="DM65" i="95"/>
  <c r="DN65" i="95"/>
  <c r="DO65" i="95"/>
  <c r="DP65" i="95"/>
  <c r="DQ65" i="95"/>
  <c r="DR65" i="95"/>
  <c r="DS65" i="95"/>
  <c r="DT65" i="95"/>
  <c r="DU65" i="95"/>
  <c r="DV65" i="95"/>
  <c r="DW65" i="95"/>
  <c r="DX65" i="95"/>
  <c r="DY65" i="95"/>
  <c r="DZ65" i="95"/>
  <c r="EA65" i="95"/>
  <c r="EB65" i="95"/>
  <c r="EC65" i="95"/>
  <c r="ED65" i="95"/>
  <c r="EE65" i="95"/>
  <c r="EF65" i="95"/>
  <c r="EG65" i="95"/>
  <c r="EH65" i="95"/>
  <c r="EI65" i="95"/>
  <c r="EJ65" i="95"/>
  <c r="EK65" i="95"/>
  <c r="EL65" i="95"/>
  <c r="EM65" i="95"/>
  <c r="EN65" i="95"/>
  <c r="EO65" i="95"/>
  <c r="EP65" i="95"/>
  <c r="EQ65" i="95"/>
  <c r="ER65" i="95"/>
  <c r="ES65" i="95"/>
  <c r="ET65" i="95"/>
  <c r="EU65" i="95"/>
  <c r="EV65" i="95"/>
  <c r="EW65" i="95"/>
  <c r="EX65" i="95"/>
  <c r="EY65" i="95"/>
  <c r="EZ65" i="95"/>
  <c r="FA65" i="95"/>
  <c r="FB65" i="95"/>
  <c r="FC65" i="95"/>
  <c r="FD65" i="95"/>
  <c r="FE65" i="95"/>
  <c r="FF65" i="95"/>
  <c r="FG65" i="95"/>
  <c r="FH65" i="95"/>
  <c r="FI65" i="95"/>
  <c r="FJ65" i="95"/>
  <c r="FK65" i="95"/>
  <c r="FL65" i="95"/>
  <c r="FM65" i="95"/>
  <c r="FN65" i="95"/>
  <c r="FO65" i="95"/>
  <c r="FP65" i="95"/>
  <c r="FQ65" i="95"/>
  <c r="FR65" i="95"/>
  <c r="FS65" i="95"/>
  <c r="FT65" i="95"/>
  <c r="FU65" i="95"/>
  <c r="FV65" i="95"/>
  <c r="FW65" i="95"/>
  <c r="FX65" i="95"/>
  <c r="FY65" i="95"/>
  <c r="FZ65" i="95"/>
  <c r="GA65" i="95"/>
  <c r="GB65" i="95"/>
  <c r="GC65" i="95"/>
  <c r="GD65" i="95"/>
  <c r="GE65" i="95"/>
  <c r="GF65" i="95"/>
  <c r="GG65" i="95"/>
  <c r="GH65" i="95"/>
  <c r="GI65" i="95"/>
  <c r="GJ65" i="95"/>
  <c r="GK65" i="95"/>
  <c r="GL65" i="95"/>
  <c r="GM65" i="95"/>
  <c r="GN65" i="95"/>
  <c r="GO65" i="95"/>
  <c r="GP65" i="95"/>
  <c r="GQ65" i="95"/>
  <c r="GR65" i="95"/>
  <c r="GS65" i="95"/>
  <c r="GT65" i="95"/>
  <c r="GU65" i="95"/>
  <c r="GV65" i="95"/>
  <c r="GW65" i="95"/>
  <c r="GX65" i="95"/>
  <c r="GY65" i="95"/>
  <c r="GZ65" i="95"/>
  <c r="HA65" i="95"/>
  <c r="HB65" i="95"/>
  <c r="HC65" i="95"/>
  <c r="HD65" i="95"/>
  <c r="HE65" i="95"/>
  <c r="HF65" i="95"/>
  <c r="HG65" i="95"/>
  <c r="HH65" i="95"/>
  <c r="HI65" i="95"/>
  <c r="HJ65" i="95"/>
  <c r="HK65" i="95"/>
  <c r="HL65" i="95"/>
  <c r="HM65" i="95"/>
  <c r="HN65" i="95"/>
  <c r="HO65" i="95"/>
  <c r="HP65" i="95"/>
  <c r="HQ65" i="95"/>
  <c r="G66" i="95"/>
  <c r="H66" i="95"/>
  <c r="I66" i="95"/>
  <c r="J66" i="95"/>
  <c r="K66" i="95"/>
  <c r="L66" i="95"/>
  <c r="M66" i="95"/>
  <c r="N66" i="95"/>
  <c r="O66" i="95"/>
  <c r="P66" i="95"/>
  <c r="Q66" i="95"/>
  <c r="R66" i="95"/>
  <c r="S66" i="95"/>
  <c r="T66" i="95"/>
  <c r="U66" i="95"/>
  <c r="V66" i="95"/>
  <c r="W66" i="95"/>
  <c r="X66" i="95"/>
  <c r="Y66" i="95"/>
  <c r="Z66" i="95"/>
  <c r="AA66" i="95"/>
  <c r="AB66" i="95"/>
  <c r="AC66" i="95"/>
  <c r="AD66" i="95"/>
  <c r="AE66" i="95"/>
  <c r="AF66" i="95"/>
  <c r="AG66" i="95"/>
  <c r="AH66" i="95"/>
  <c r="AI66" i="95"/>
  <c r="AJ66" i="95"/>
  <c r="AK66" i="95"/>
  <c r="AL66" i="95"/>
  <c r="AM66" i="95"/>
  <c r="AN66" i="95"/>
  <c r="AO66" i="95"/>
  <c r="AP66" i="95"/>
  <c r="AQ66" i="95"/>
  <c r="AR66" i="95"/>
  <c r="AS66" i="95"/>
  <c r="AT66" i="95"/>
  <c r="AU66" i="95"/>
  <c r="AV66" i="95"/>
  <c r="AW66" i="95"/>
  <c r="AX66" i="95"/>
  <c r="AY66" i="95"/>
  <c r="AZ66" i="95"/>
  <c r="BA66" i="95"/>
  <c r="BB66" i="95"/>
  <c r="BC66" i="95"/>
  <c r="BD66" i="95"/>
  <c r="BE66" i="95"/>
  <c r="BF66" i="95"/>
  <c r="BG66" i="95"/>
  <c r="BH66" i="95"/>
  <c r="BI66" i="95"/>
  <c r="BJ66" i="95"/>
  <c r="BK66" i="95"/>
  <c r="BL66" i="95"/>
  <c r="BM66" i="95"/>
  <c r="BN66" i="95"/>
  <c r="BO66" i="95"/>
  <c r="BP66" i="95"/>
  <c r="BQ66" i="95"/>
  <c r="BR66" i="95"/>
  <c r="BS66" i="95"/>
  <c r="BT66" i="95"/>
  <c r="BU66" i="95"/>
  <c r="BV66" i="95"/>
  <c r="BW66" i="95"/>
  <c r="BX66" i="95"/>
  <c r="BY66" i="95"/>
  <c r="BZ66" i="95"/>
  <c r="CA66" i="95"/>
  <c r="CB66" i="95"/>
  <c r="CC66" i="95"/>
  <c r="CD66" i="95"/>
  <c r="CE66" i="95"/>
  <c r="CF66" i="95"/>
  <c r="CG66" i="95"/>
  <c r="CH66" i="95"/>
  <c r="CI66" i="95"/>
  <c r="CJ66" i="95"/>
  <c r="CK66" i="95"/>
  <c r="CL66" i="95"/>
  <c r="CM66" i="95"/>
  <c r="CN66" i="95"/>
  <c r="CO66" i="95"/>
  <c r="CP66" i="95"/>
  <c r="CQ66" i="95"/>
  <c r="CR66" i="95"/>
  <c r="CS66" i="95"/>
  <c r="CT66" i="95"/>
  <c r="CU66" i="95"/>
  <c r="CV66" i="95"/>
  <c r="CW66" i="95"/>
  <c r="CX66" i="95"/>
  <c r="CY66" i="95"/>
  <c r="CZ66" i="95"/>
  <c r="DA66" i="95"/>
  <c r="DB66" i="95"/>
  <c r="DC66" i="95"/>
  <c r="DD66" i="95"/>
  <c r="DE66" i="95"/>
  <c r="DF66" i="95"/>
  <c r="DG66" i="95"/>
  <c r="DH66" i="95"/>
  <c r="DI66" i="95"/>
  <c r="DJ66" i="95"/>
  <c r="DK66" i="95"/>
  <c r="DL66" i="95"/>
  <c r="DM66" i="95"/>
  <c r="DN66" i="95"/>
  <c r="DO66" i="95"/>
  <c r="DP66" i="95"/>
  <c r="DQ66" i="95"/>
  <c r="DR66" i="95"/>
  <c r="DS66" i="95"/>
  <c r="DT66" i="95"/>
  <c r="DU66" i="95"/>
  <c r="DV66" i="95"/>
  <c r="DW66" i="95"/>
  <c r="DX66" i="95"/>
  <c r="DY66" i="95"/>
  <c r="DZ66" i="95"/>
  <c r="EA66" i="95"/>
  <c r="EB66" i="95"/>
  <c r="EC66" i="95"/>
  <c r="ED66" i="95"/>
  <c r="EE66" i="95"/>
  <c r="EF66" i="95"/>
  <c r="EG66" i="95"/>
  <c r="EH66" i="95"/>
  <c r="EI66" i="95"/>
  <c r="EJ66" i="95"/>
  <c r="EK66" i="95"/>
  <c r="EL66" i="95"/>
  <c r="EM66" i="95"/>
  <c r="EN66" i="95"/>
  <c r="EO66" i="95"/>
  <c r="EP66" i="95"/>
  <c r="EQ66" i="95"/>
  <c r="ER66" i="95"/>
  <c r="ES66" i="95"/>
  <c r="ET66" i="95"/>
  <c r="EU66" i="95"/>
  <c r="EV66" i="95"/>
  <c r="EW66" i="95"/>
  <c r="EX66" i="95"/>
  <c r="EY66" i="95"/>
  <c r="EZ66" i="95"/>
  <c r="FA66" i="95"/>
  <c r="FB66" i="95"/>
  <c r="FC66" i="95"/>
  <c r="FD66" i="95"/>
  <c r="FE66" i="95"/>
  <c r="FF66" i="95"/>
  <c r="FG66" i="95"/>
  <c r="FH66" i="95"/>
  <c r="FI66" i="95"/>
  <c r="FJ66" i="95"/>
  <c r="FK66" i="95"/>
  <c r="FL66" i="95"/>
  <c r="FM66" i="95"/>
  <c r="FN66" i="95"/>
  <c r="FO66" i="95"/>
  <c r="FP66" i="95"/>
  <c r="FQ66" i="95"/>
  <c r="FR66" i="95"/>
  <c r="FS66" i="95"/>
  <c r="FT66" i="95"/>
  <c r="FU66" i="95"/>
  <c r="FV66" i="95"/>
  <c r="FW66" i="95"/>
  <c r="FX66" i="95"/>
  <c r="FY66" i="95"/>
  <c r="FZ66" i="95"/>
  <c r="GA66" i="95"/>
  <c r="GB66" i="95"/>
  <c r="GC66" i="95"/>
  <c r="GD66" i="95"/>
  <c r="GE66" i="95"/>
  <c r="GF66" i="95"/>
  <c r="GG66" i="95"/>
  <c r="GH66" i="95"/>
  <c r="GI66" i="95"/>
  <c r="GJ66" i="95"/>
  <c r="GK66" i="95"/>
  <c r="GL66" i="95"/>
  <c r="GM66" i="95"/>
  <c r="GN66" i="95"/>
  <c r="GO66" i="95"/>
  <c r="GP66" i="95"/>
  <c r="GQ66" i="95"/>
  <c r="GR66" i="95"/>
  <c r="GS66" i="95"/>
  <c r="GT66" i="95"/>
  <c r="GU66" i="95"/>
  <c r="GV66" i="95"/>
  <c r="GW66" i="95"/>
  <c r="GX66" i="95"/>
  <c r="GY66" i="95"/>
  <c r="GZ66" i="95"/>
  <c r="HA66" i="95"/>
  <c r="HB66" i="95"/>
  <c r="HC66" i="95"/>
  <c r="HD66" i="95"/>
  <c r="HE66" i="95"/>
  <c r="HF66" i="95"/>
  <c r="HG66" i="95"/>
  <c r="HH66" i="95"/>
  <c r="HI66" i="95"/>
  <c r="HJ66" i="95"/>
  <c r="HK66" i="95"/>
  <c r="HL66" i="95"/>
  <c r="HM66" i="95"/>
  <c r="HN66" i="95"/>
  <c r="HO66" i="95"/>
  <c r="HP66" i="95"/>
  <c r="HQ66" i="95"/>
  <c r="G67" i="95"/>
  <c r="H67" i="95"/>
  <c r="I67" i="95"/>
  <c r="J67" i="95"/>
  <c r="K67" i="95"/>
  <c r="L67" i="95"/>
  <c r="M67" i="95"/>
  <c r="N67" i="95"/>
  <c r="O67" i="95"/>
  <c r="P67" i="95"/>
  <c r="Q67" i="95"/>
  <c r="R67" i="95"/>
  <c r="S67" i="95"/>
  <c r="T67" i="95"/>
  <c r="U67" i="95"/>
  <c r="V67" i="95"/>
  <c r="W67" i="95"/>
  <c r="X67" i="95"/>
  <c r="Y67" i="95"/>
  <c r="Z67" i="95"/>
  <c r="AA67" i="95"/>
  <c r="AB67" i="95"/>
  <c r="AC67" i="95"/>
  <c r="AD67" i="95"/>
  <c r="AE67" i="95"/>
  <c r="AF67" i="95"/>
  <c r="AG67" i="95"/>
  <c r="AH67" i="95"/>
  <c r="AI67" i="95"/>
  <c r="AJ67" i="95"/>
  <c r="AK67" i="95"/>
  <c r="AL67" i="95"/>
  <c r="AM67" i="95"/>
  <c r="AN67" i="95"/>
  <c r="AO67" i="95"/>
  <c r="AP67" i="95"/>
  <c r="AQ67" i="95"/>
  <c r="AR67" i="95"/>
  <c r="AS67" i="95"/>
  <c r="AT67" i="95"/>
  <c r="AU67" i="95"/>
  <c r="AV67" i="95"/>
  <c r="AW67" i="95"/>
  <c r="AX67" i="95"/>
  <c r="AY67" i="95"/>
  <c r="AZ67" i="95"/>
  <c r="BA67" i="95"/>
  <c r="BB67" i="95"/>
  <c r="BC67" i="95"/>
  <c r="BD67" i="95"/>
  <c r="BE67" i="95"/>
  <c r="BF67" i="95"/>
  <c r="BG67" i="95"/>
  <c r="BH67" i="95"/>
  <c r="BI67" i="95"/>
  <c r="BJ67" i="95"/>
  <c r="BK67" i="95"/>
  <c r="BL67" i="95"/>
  <c r="BM67" i="95"/>
  <c r="BN67" i="95"/>
  <c r="BO67" i="95"/>
  <c r="BP67" i="95"/>
  <c r="BQ67" i="95"/>
  <c r="BR67" i="95"/>
  <c r="BS67" i="95"/>
  <c r="BT67" i="95"/>
  <c r="BU67" i="95"/>
  <c r="BV67" i="95"/>
  <c r="BW67" i="95"/>
  <c r="BX67" i="95"/>
  <c r="BY67" i="95"/>
  <c r="BZ67" i="95"/>
  <c r="CA67" i="95"/>
  <c r="CB67" i="95"/>
  <c r="CC67" i="95"/>
  <c r="CD67" i="95"/>
  <c r="CE67" i="95"/>
  <c r="CF67" i="95"/>
  <c r="CG67" i="95"/>
  <c r="CH67" i="95"/>
  <c r="CI67" i="95"/>
  <c r="CJ67" i="95"/>
  <c r="CK67" i="95"/>
  <c r="CL67" i="95"/>
  <c r="CM67" i="95"/>
  <c r="CN67" i="95"/>
  <c r="CO67" i="95"/>
  <c r="CP67" i="95"/>
  <c r="CQ67" i="95"/>
  <c r="CR67" i="95"/>
  <c r="CS67" i="95"/>
  <c r="CT67" i="95"/>
  <c r="CU67" i="95"/>
  <c r="CV67" i="95"/>
  <c r="CW67" i="95"/>
  <c r="CX67" i="95"/>
  <c r="CY67" i="95"/>
  <c r="CZ67" i="95"/>
  <c r="DA67" i="95"/>
  <c r="DB67" i="95"/>
  <c r="DC67" i="95"/>
  <c r="DD67" i="95"/>
  <c r="DE67" i="95"/>
  <c r="DF67" i="95"/>
  <c r="DG67" i="95"/>
  <c r="DH67" i="95"/>
  <c r="DI67" i="95"/>
  <c r="DJ67" i="95"/>
  <c r="DK67" i="95"/>
  <c r="DL67" i="95"/>
  <c r="DM67" i="95"/>
  <c r="DN67" i="95"/>
  <c r="DO67" i="95"/>
  <c r="DP67" i="95"/>
  <c r="DQ67" i="95"/>
  <c r="DR67" i="95"/>
  <c r="DS67" i="95"/>
  <c r="DT67" i="95"/>
  <c r="DU67" i="95"/>
  <c r="DV67" i="95"/>
  <c r="DW67" i="95"/>
  <c r="DX67" i="95"/>
  <c r="DY67" i="95"/>
  <c r="DZ67" i="95"/>
  <c r="EA67" i="95"/>
  <c r="EB67" i="95"/>
  <c r="EC67" i="95"/>
  <c r="ED67" i="95"/>
  <c r="EE67" i="95"/>
  <c r="EF67" i="95"/>
  <c r="EG67" i="95"/>
  <c r="EH67" i="95"/>
  <c r="EI67" i="95"/>
  <c r="EJ67" i="95"/>
  <c r="EK67" i="95"/>
  <c r="EL67" i="95"/>
  <c r="EM67" i="95"/>
  <c r="EN67" i="95"/>
  <c r="EO67" i="95"/>
  <c r="EP67" i="95"/>
  <c r="EQ67" i="95"/>
  <c r="ER67" i="95"/>
  <c r="ES67" i="95"/>
  <c r="ET67" i="95"/>
  <c r="EU67" i="95"/>
  <c r="EV67" i="95"/>
  <c r="EW67" i="95"/>
  <c r="EX67" i="95"/>
  <c r="EY67" i="95"/>
  <c r="EZ67" i="95"/>
  <c r="FA67" i="95"/>
  <c r="FB67" i="95"/>
  <c r="FC67" i="95"/>
  <c r="FD67" i="95"/>
  <c r="FE67" i="95"/>
  <c r="FF67" i="95"/>
  <c r="FG67" i="95"/>
  <c r="FH67" i="95"/>
  <c r="FI67" i="95"/>
  <c r="FJ67" i="95"/>
  <c r="FK67" i="95"/>
  <c r="FL67" i="95"/>
  <c r="FM67" i="95"/>
  <c r="FN67" i="95"/>
  <c r="FO67" i="95"/>
  <c r="FP67" i="95"/>
  <c r="FQ67" i="95"/>
  <c r="FR67" i="95"/>
  <c r="FS67" i="95"/>
  <c r="FT67" i="95"/>
  <c r="FU67" i="95"/>
  <c r="FV67" i="95"/>
  <c r="FW67" i="95"/>
  <c r="FX67" i="95"/>
  <c r="FY67" i="95"/>
  <c r="FZ67" i="95"/>
  <c r="GA67" i="95"/>
  <c r="GB67" i="95"/>
  <c r="GC67" i="95"/>
  <c r="GD67" i="95"/>
  <c r="GE67" i="95"/>
  <c r="GF67" i="95"/>
  <c r="GG67" i="95"/>
  <c r="GH67" i="95"/>
  <c r="GI67" i="95"/>
  <c r="GJ67" i="95"/>
  <c r="GK67" i="95"/>
  <c r="GL67" i="95"/>
  <c r="GM67" i="95"/>
  <c r="GN67" i="95"/>
  <c r="GO67" i="95"/>
  <c r="GP67" i="95"/>
  <c r="GQ67" i="95"/>
  <c r="GR67" i="95"/>
  <c r="GS67" i="95"/>
  <c r="GT67" i="95"/>
  <c r="GU67" i="95"/>
  <c r="GV67" i="95"/>
  <c r="GW67" i="95"/>
  <c r="GX67" i="95"/>
  <c r="GY67" i="95"/>
  <c r="GZ67" i="95"/>
  <c r="HA67" i="95"/>
  <c r="HB67" i="95"/>
  <c r="HC67" i="95"/>
  <c r="HD67" i="95"/>
  <c r="HE67" i="95"/>
  <c r="HF67" i="95"/>
  <c r="HG67" i="95"/>
  <c r="HH67" i="95"/>
  <c r="HI67" i="95"/>
  <c r="HJ67" i="95"/>
  <c r="HK67" i="95"/>
  <c r="HL67" i="95"/>
  <c r="HM67" i="95"/>
  <c r="HN67" i="95"/>
  <c r="HO67" i="95"/>
  <c r="HP67" i="95"/>
  <c r="HQ67" i="95"/>
  <c r="G68" i="95"/>
  <c r="H68" i="95"/>
  <c r="I68" i="95"/>
  <c r="J68" i="95"/>
  <c r="K68" i="95"/>
  <c r="L68" i="95"/>
  <c r="M68" i="95"/>
  <c r="N68" i="95"/>
  <c r="O68" i="95"/>
  <c r="P68" i="95"/>
  <c r="Q68" i="95"/>
  <c r="R68" i="95"/>
  <c r="S68" i="95"/>
  <c r="T68" i="95"/>
  <c r="U68" i="95"/>
  <c r="V68" i="95"/>
  <c r="W68" i="95"/>
  <c r="X68" i="95"/>
  <c r="Y68" i="95"/>
  <c r="Z68" i="95"/>
  <c r="AA68" i="95"/>
  <c r="AB68" i="95"/>
  <c r="AC68" i="95"/>
  <c r="AD68" i="95"/>
  <c r="AE68" i="95"/>
  <c r="AF68" i="95"/>
  <c r="AG68" i="95"/>
  <c r="AH68" i="95"/>
  <c r="AI68" i="95"/>
  <c r="AJ68" i="95"/>
  <c r="AK68" i="95"/>
  <c r="AL68" i="95"/>
  <c r="AM68" i="95"/>
  <c r="AN68" i="95"/>
  <c r="AO68" i="95"/>
  <c r="AP68" i="95"/>
  <c r="AQ68" i="95"/>
  <c r="AR68" i="95"/>
  <c r="AS68" i="95"/>
  <c r="AT68" i="95"/>
  <c r="AU68" i="95"/>
  <c r="AV68" i="95"/>
  <c r="AW68" i="95"/>
  <c r="AX68" i="95"/>
  <c r="AY68" i="95"/>
  <c r="AZ68" i="95"/>
  <c r="BA68" i="95"/>
  <c r="BB68" i="95"/>
  <c r="BC68" i="95"/>
  <c r="BD68" i="95"/>
  <c r="BE68" i="95"/>
  <c r="BF68" i="95"/>
  <c r="BG68" i="95"/>
  <c r="BH68" i="95"/>
  <c r="BI68" i="95"/>
  <c r="BJ68" i="95"/>
  <c r="BK68" i="95"/>
  <c r="BL68" i="95"/>
  <c r="BM68" i="95"/>
  <c r="BN68" i="95"/>
  <c r="BO68" i="95"/>
  <c r="BP68" i="95"/>
  <c r="BQ68" i="95"/>
  <c r="BR68" i="95"/>
  <c r="BS68" i="95"/>
  <c r="BT68" i="95"/>
  <c r="BU68" i="95"/>
  <c r="BV68" i="95"/>
  <c r="BW68" i="95"/>
  <c r="BX68" i="95"/>
  <c r="BY68" i="95"/>
  <c r="BZ68" i="95"/>
  <c r="CA68" i="95"/>
  <c r="CB68" i="95"/>
  <c r="CC68" i="95"/>
  <c r="CD68" i="95"/>
  <c r="CE68" i="95"/>
  <c r="CF68" i="95"/>
  <c r="CG68" i="95"/>
  <c r="CH68" i="95"/>
  <c r="CI68" i="95"/>
  <c r="CJ68" i="95"/>
  <c r="CK68" i="95"/>
  <c r="CL68" i="95"/>
  <c r="CM68" i="95"/>
  <c r="CN68" i="95"/>
  <c r="CO68" i="95"/>
  <c r="CP68" i="95"/>
  <c r="CQ68" i="95"/>
  <c r="CR68" i="95"/>
  <c r="CS68" i="95"/>
  <c r="CT68" i="95"/>
  <c r="CU68" i="95"/>
  <c r="CV68" i="95"/>
  <c r="CW68" i="95"/>
  <c r="CX68" i="95"/>
  <c r="CY68" i="95"/>
  <c r="CZ68" i="95"/>
  <c r="DA68" i="95"/>
  <c r="DB68" i="95"/>
  <c r="DC68" i="95"/>
  <c r="DD68" i="95"/>
  <c r="DE68" i="95"/>
  <c r="DF68" i="95"/>
  <c r="DG68" i="95"/>
  <c r="DH68" i="95"/>
  <c r="DI68" i="95"/>
  <c r="DJ68" i="95"/>
  <c r="DK68" i="95"/>
  <c r="DL68" i="95"/>
  <c r="DM68" i="95"/>
  <c r="DN68" i="95"/>
  <c r="DO68" i="95"/>
  <c r="DP68" i="95"/>
  <c r="DQ68" i="95"/>
  <c r="DR68" i="95"/>
  <c r="DS68" i="95"/>
  <c r="DT68" i="95"/>
  <c r="DU68" i="95"/>
  <c r="DV68" i="95"/>
  <c r="DW68" i="95"/>
  <c r="DX68" i="95"/>
  <c r="DY68" i="95"/>
  <c r="DZ68" i="95"/>
  <c r="EA68" i="95"/>
  <c r="EB68" i="95"/>
  <c r="EC68" i="95"/>
  <c r="ED68" i="95"/>
  <c r="EE68" i="95"/>
  <c r="EF68" i="95"/>
  <c r="EG68" i="95"/>
  <c r="EH68" i="95"/>
  <c r="EI68" i="95"/>
  <c r="EJ68" i="95"/>
  <c r="EK68" i="95"/>
  <c r="EL68" i="95"/>
  <c r="EM68" i="95"/>
  <c r="EN68" i="95"/>
  <c r="EO68" i="95"/>
  <c r="EP68" i="95"/>
  <c r="EQ68" i="95"/>
  <c r="ER68" i="95"/>
  <c r="ES68" i="95"/>
  <c r="ET68" i="95"/>
  <c r="EU68" i="95"/>
  <c r="EV68" i="95"/>
  <c r="EW68" i="95"/>
  <c r="EX68" i="95"/>
  <c r="EY68" i="95"/>
  <c r="EZ68" i="95"/>
  <c r="FA68" i="95"/>
  <c r="FB68" i="95"/>
  <c r="FC68" i="95"/>
  <c r="FD68" i="95"/>
  <c r="FE68" i="95"/>
  <c r="FF68" i="95"/>
  <c r="FG68" i="95"/>
  <c r="FH68" i="95"/>
  <c r="FI68" i="95"/>
  <c r="FJ68" i="95"/>
  <c r="FK68" i="95"/>
  <c r="FL68" i="95"/>
  <c r="FM68" i="95"/>
  <c r="FN68" i="95"/>
  <c r="FO68" i="95"/>
  <c r="FP68" i="95"/>
  <c r="FQ68" i="95"/>
  <c r="FR68" i="95"/>
  <c r="FS68" i="95"/>
  <c r="FT68" i="95"/>
  <c r="FU68" i="95"/>
  <c r="FV68" i="95"/>
  <c r="FW68" i="95"/>
  <c r="FX68" i="95"/>
  <c r="FY68" i="95"/>
  <c r="FZ68" i="95"/>
  <c r="GA68" i="95"/>
  <c r="GB68" i="95"/>
  <c r="GC68" i="95"/>
  <c r="GD68" i="95"/>
  <c r="GE68" i="95"/>
  <c r="GF68" i="95"/>
  <c r="GG68" i="95"/>
  <c r="GH68" i="95"/>
  <c r="GI68" i="95"/>
  <c r="GJ68" i="95"/>
  <c r="GK68" i="95"/>
  <c r="GL68" i="95"/>
  <c r="GM68" i="95"/>
  <c r="GN68" i="95"/>
  <c r="GO68" i="95"/>
  <c r="GP68" i="95"/>
  <c r="GQ68" i="95"/>
  <c r="GR68" i="95"/>
  <c r="GS68" i="95"/>
  <c r="GT68" i="95"/>
  <c r="GU68" i="95"/>
  <c r="GV68" i="95"/>
  <c r="GW68" i="95"/>
  <c r="GX68" i="95"/>
  <c r="GY68" i="95"/>
  <c r="GZ68" i="95"/>
  <c r="HA68" i="95"/>
  <c r="HB68" i="95"/>
  <c r="HC68" i="95"/>
  <c r="HD68" i="95"/>
  <c r="HE68" i="95"/>
  <c r="HF68" i="95"/>
  <c r="HG68" i="95"/>
  <c r="HH68" i="95"/>
  <c r="HI68" i="95"/>
  <c r="HJ68" i="95"/>
  <c r="HK68" i="95"/>
  <c r="HL68" i="95"/>
  <c r="HM68" i="95"/>
  <c r="HN68" i="95"/>
  <c r="HO68" i="95"/>
  <c r="HP68" i="95"/>
  <c r="HQ68" i="95"/>
  <c r="F6" i="95"/>
  <c r="F7" i="95"/>
  <c r="F8" i="95"/>
  <c r="F9" i="95"/>
  <c r="F10" i="95"/>
  <c r="F11" i="95"/>
  <c r="F12" i="95"/>
  <c r="F13" i="95"/>
  <c r="F14" i="95"/>
  <c r="F15" i="95"/>
  <c r="F16" i="95"/>
  <c r="F17" i="95"/>
  <c r="F18" i="95"/>
  <c r="F19" i="95"/>
  <c r="F20" i="95"/>
  <c r="F21" i="95"/>
  <c r="F22" i="95"/>
  <c r="F23" i="95"/>
  <c r="F24" i="95"/>
  <c r="F25" i="95"/>
  <c r="F26" i="95"/>
  <c r="F27" i="95"/>
  <c r="F28" i="95"/>
  <c r="F29" i="95"/>
  <c r="F30" i="95"/>
  <c r="F31" i="95"/>
  <c r="F32" i="95"/>
  <c r="F33" i="95"/>
  <c r="F34" i="95"/>
  <c r="F35" i="95"/>
  <c r="F36" i="95"/>
  <c r="F37" i="95"/>
  <c r="F38" i="95"/>
  <c r="F39" i="95"/>
  <c r="F40" i="95"/>
  <c r="F41" i="95"/>
  <c r="F42" i="95"/>
  <c r="F43" i="95"/>
  <c r="F44" i="95"/>
  <c r="F45" i="95"/>
  <c r="F46" i="95"/>
  <c r="F47" i="95"/>
  <c r="F48" i="95"/>
  <c r="F49" i="95"/>
  <c r="F50" i="95"/>
  <c r="F51" i="95"/>
  <c r="F52" i="95"/>
  <c r="F53" i="95"/>
  <c r="F54" i="95"/>
  <c r="F55" i="95"/>
  <c r="F56" i="95"/>
  <c r="F57" i="95"/>
  <c r="F58" i="95"/>
  <c r="F59" i="95"/>
  <c r="F60" i="95"/>
  <c r="F61" i="95"/>
  <c r="F62" i="95"/>
  <c r="F63" i="95"/>
  <c r="F64" i="95"/>
  <c r="F65" i="95"/>
  <c r="F66" i="95"/>
  <c r="F67" i="95"/>
  <c r="F68" i="95"/>
  <c r="Z6" i="88"/>
  <c r="AA6" i="88"/>
  <c r="AB6" i="88"/>
  <c r="AC6" i="88"/>
  <c r="AD6" i="88"/>
  <c r="Z7" i="88"/>
  <c r="AA7" i="88"/>
  <c r="AB7" i="88"/>
  <c r="AC7" i="88"/>
  <c r="AD7" i="88"/>
  <c r="Z8" i="88"/>
  <c r="AA8" i="88"/>
  <c r="AB8" i="88"/>
  <c r="AC8" i="88"/>
  <c r="AD8" i="88"/>
  <c r="Z9" i="88"/>
  <c r="AA9" i="88"/>
  <c r="AB9" i="88"/>
  <c r="AC9" i="88"/>
  <c r="AD9" i="88"/>
  <c r="Z10" i="88"/>
  <c r="AA10" i="88"/>
  <c r="AB10" i="88"/>
  <c r="AC10" i="88"/>
  <c r="AD10" i="88"/>
  <c r="Z11" i="88"/>
  <c r="AA11" i="88"/>
  <c r="AB11" i="88"/>
  <c r="AC11" i="88"/>
  <c r="AD11" i="88"/>
  <c r="Z12" i="88"/>
  <c r="AA12" i="88"/>
  <c r="AB12" i="88"/>
  <c r="AC12" i="88"/>
  <c r="AD12" i="88"/>
  <c r="Z13" i="88"/>
  <c r="AA13" i="88"/>
  <c r="AB13" i="88"/>
  <c r="AC13" i="88"/>
  <c r="AD13" i="88"/>
  <c r="AA14" i="88"/>
  <c r="AB14" i="88"/>
  <c r="AC14" i="88"/>
  <c r="AD14" i="88"/>
  <c r="Z15" i="88"/>
  <c r="AA15" i="88"/>
  <c r="AB15" i="88"/>
  <c r="AC15" i="88"/>
  <c r="AD15" i="88"/>
  <c r="Z16" i="88"/>
  <c r="AA16" i="88"/>
  <c r="AB16" i="88"/>
  <c r="AC16" i="88"/>
  <c r="AD16" i="88"/>
  <c r="Z17" i="88"/>
  <c r="AA17" i="88"/>
  <c r="AB17" i="88"/>
  <c r="AC17" i="88"/>
  <c r="AD17" i="88"/>
  <c r="Z18" i="88"/>
  <c r="AA18" i="88"/>
  <c r="AB18" i="88"/>
  <c r="AC18" i="88"/>
  <c r="AD18" i="88"/>
  <c r="Z19" i="88"/>
  <c r="AA19" i="88"/>
  <c r="AB19" i="88"/>
  <c r="AC19" i="88"/>
  <c r="AD19" i="88"/>
  <c r="Z20" i="88"/>
  <c r="AA20" i="88"/>
  <c r="AB20" i="88"/>
  <c r="AC20" i="88"/>
  <c r="AD20" i="88"/>
  <c r="Z21" i="88"/>
  <c r="AA21" i="88"/>
  <c r="AB21" i="88"/>
  <c r="AC21" i="88"/>
  <c r="AD21" i="88"/>
  <c r="Z22" i="88"/>
  <c r="AA22" i="88"/>
  <c r="AB22" i="88"/>
  <c r="AC22" i="88"/>
  <c r="AD22" i="88"/>
  <c r="Z23" i="88"/>
  <c r="AA23" i="88"/>
  <c r="AB23" i="88"/>
  <c r="AC23" i="88"/>
  <c r="AD23" i="88"/>
  <c r="Z24" i="88"/>
  <c r="AA24" i="88"/>
  <c r="AB24" i="88"/>
  <c r="AC24" i="88"/>
  <c r="AD24" i="88"/>
  <c r="Z25" i="88"/>
  <c r="AA25" i="88"/>
  <c r="AB25" i="88"/>
  <c r="AC25" i="88"/>
  <c r="AD25" i="88"/>
  <c r="Z26" i="88"/>
  <c r="AA26" i="88"/>
  <c r="AB26" i="88"/>
  <c r="AC26" i="88"/>
  <c r="AD26" i="88"/>
  <c r="Z27" i="88"/>
  <c r="AA27" i="88"/>
  <c r="AB27" i="88"/>
  <c r="AC27" i="88"/>
  <c r="AD27" i="88"/>
  <c r="Z28" i="88"/>
  <c r="AA28" i="88"/>
  <c r="AB28" i="88"/>
  <c r="AC28" i="88"/>
  <c r="AD28" i="88"/>
  <c r="Z29" i="88"/>
  <c r="AA29" i="88"/>
  <c r="AB29" i="88"/>
  <c r="AC29" i="88"/>
  <c r="AD29" i="88"/>
  <c r="Z30" i="88"/>
  <c r="AA30" i="88"/>
  <c r="AB30" i="88"/>
  <c r="AC30" i="88"/>
  <c r="AD30" i="88"/>
  <c r="Z31" i="88"/>
  <c r="AA31" i="88"/>
  <c r="AB31" i="88"/>
  <c r="AC31" i="88"/>
  <c r="AD31" i="88"/>
  <c r="Z32" i="88"/>
  <c r="AA32" i="88"/>
  <c r="AB32" i="88"/>
  <c r="AC32" i="88"/>
  <c r="AD32" i="88"/>
  <c r="Z33" i="88"/>
  <c r="AA33" i="88"/>
  <c r="AB33" i="88"/>
  <c r="AC33" i="88"/>
  <c r="AD33" i="88"/>
  <c r="Z34" i="88"/>
  <c r="AA34" i="88"/>
  <c r="AB34" i="88"/>
  <c r="AC34" i="88"/>
  <c r="AD34" i="88"/>
  <c r="Z35" i="88"/>
  <c r="AA35" i="88"/>
  <c r="AB35" i="88"/>
  <c r="AC35" i="88"/>
  <c r="AD35" i="88"/>
  <c r="Z36" i="88"/>
  <c r="AA36" i="88"/>
  <c r="AB36" i="88"/>
  <c r="AC36" i="88"/>
  <c r="AD36" i="88"/>
  <c r="Z37" i="88"/>
  <c r="AA37" i="88"/>
  <c r="AB37" i="88"/>
  <c r="AC37" i="88"/>
  <c r="AD37" i="88"/>
  <c r="Z38" i="88"/>
  <c r="AA38" i="88"/>
  <c r="AB38" i="88"/>
  <c r="AC38" i="88"/>
  <c r="AD38" i="88"/>
  <c r="Z39" i="88"/>
  <c r="AA39" i="88"/>
  <c r="AB39" i="88"/>
  <c r="AC39" i="88"/>
  <c r="AD39" i="88"/>
  <c r="Z40" i="88"/>
  <c r="AA40" i="88"/>
  <c r="AB40" i="88"/>
  <c r="AC40" i="88"/>
  <c r="AD40" i="88"/>
  <c r="Z41" i="88"/>
  <c r="AA41" i="88"/>
  <c r="AB41" i="88"/>
  <c r="AC41" i="88"/>
  <c r="AD41" i="88"/>
  <c r="Z42" i="88"/>
  <c r="AA42" i="88"/>
  <c r="AB42" i="88"/>
  <c r="AC42" i="88"/>
  <c r="AD42" i="88"/>
  <c r="Z43" i="88"/>
  <c r="AA43" i="88"/>
  <c r="AB43" i="88"/>
  <c r="AC43" i="88"/>
  <c r="AD43" i="88"/>
  <c r="Z44" i="88"/>
  <c r="AA44" i="88"/>
  <c r="AB44" i="88"/>
  <c r="AC44" i="88"/>
  <c r="AD44" i="88"/>
  <c r="Z45" i="88"/>
  <c r="AA45" i="88"/>
  <c r="AB45" i="88"/>
  <c r="AC45" i="88"/>
  <c r="AD45" i="88"/>
  <c r="Z46" i="88"/>
  <c r="AA46" i="88"/>
  <c r="AB46" i="88"/>
  <c r="AC46" i="88"/>
  <c r="AD46" i="88"/>
  <c r="Z47" i="88"/>
  <c r="AA47" i="88"/>
  <c r="AB47" i="88"/>
  <c r="AC47" i="88"/>
  <c r="AD47" i="88"/>
  <c r="Z48" i="88"/>
  <c r="AA48" i="88"/>
  <c r="AB48" i="88"/>
  <c r="AC48" i="88"/>
  <c r="AD48" i="88"/>
  <c r="Z49" i="88"/>
  <c r="AA49" i="88"/>
  <c r="AB49" i="88"/>
  <c r="AC49" i="88"/>
  <c r="AD49" i="88"/>
  <c r="Z50" i="88"/>
  <c r="AA50" i="88"/>
  <c r="AB50" i="88"/>
  <c r="AC50" i="88"/>
  <c r="AD50" i="88"/>
  <c r="Z51" i="88"/>
  <c r="AA51" i="88"/>
  <c r="AB51" i="88"/>
  <c r="AC51" i="88"/>
  <c r="AD51" i="88"/>
  <c r="Z52" i="88"/>
  <c r="AA52" i="88"/>
  <c r="AB52" i="88"/>
  <c r="AC52" i="88"/>
  <c r="AD52" i="88"/>
  <c r="Z53" i="88"/>
  <c r="AA53" i="88"/>
  <c r="AB53" i="88"/>
  <c r="AC53" i="88"/>
  <c r="AD53" i="88"/>
  <c r="Z54" i="88"/>
  <c r="AA54" i="88"/>
  <c r="AB54" i="88"/>
  <c r="AC54" i="88"/>
  <c r="AD54" i="88"/>
  <c r="Z55" i="88"/>
  <c r="AA55" i="88"/>
  <c r="AB55" i="88"/>
  <c r="AC55" i="88"/>
  <c r="AD55" i="88"/>
  <c r="Z56" i="88"/>
  <c r="AA56" i="88"/>
  <c r="AB56" i="88"/>
  <c r="AC56" i="88"/>
  <c r="AD56" i="88"/>
  <c r="Z57" i="88"/>
  <c r="AA57" i="88"/>
  <c r="AB57" i="88"/>
  <c r="AC57" i="88"/>
  <c r="AD57" i="88"/>
  <c r="Z58" i="88"/>
  <c r="AA58" i="88"/>
  <c r="AB58" i="88"/>
  <c r="AC58" i="88"/>
  <c r="AD58" i="88"/>
  <c r="Z59" i="88"/>
  <c r="AA59" i="88"/>
  <c r="AB59" i="88"/>
  <c r="AC59" i="88"/>
  <c r="AD59" i="88"/>
  <c r="Z60" i="88"/>
  <c r="AA60" i="88"/>
  <c r="AB60" i="88"/>
  <c r="AC60" i="88"/>
  <c r="AD60" i="88"/>
  <c r="Z61" i="88"/>
  <c r="AA61" i="88"/>
  <c r="AB61" i="88"/>
  <c r="AC61" i="88"/>
  <c r="AD61" i="88"/>
  <c r="Z62" i="88"/>
  <c r="AA62" i="88"/>
  <c r="AB62" i="88"/>
  <c r="AC62" i="88"/>
  <c r="AD62" i="88"/>
  <c r="Z63" i="88"/>
  <c r="AA63" i="88"/>
  <c r="AB63" i="88"/>
  <c r="AC63" i="88"/>
  <c r="AD63" i="88"/>
  <c r="Z64" i="88"/>
  <c r="AA64" i="88"/>
  <c r="AB64" i="88"/>
  <c r="AC64" i="88"/>
  <c r="AD64" i="88"/>
  <c r="Z65" i="88"/>
  <c r="AA65" i="88"/>
  <c r="AB65" i="88"/>
  <c r="AC65" i="88"/>
  <c r="AD65" i="88"/>
  <c r="Z66" i="88"/>
  <c r="AA66" i="88"/>
  <c r="AB66" i="88"/>
  <c r="AC66" i="88"/>
  <c r="AD66" i="88"/>
  <c r="Z67" i="88"/>
  <c r="AA67" i="88"/>
  <c r="AB67" i="88"/>
  <c r="AC67" i="88"/>
  <c r="AD67" i="88"/>
  <c r="Z68" i="88"/>
  <c r="AA68" i="88"/>
  <c r="AB68" i="88"/>
  <c r="AC68" i="88"/>
  <c r="AD68" i="88"/>
  <c r="AA5" i="88"/>
  <c r="AB5" i="88"/>
  <c r="AC5" i="88"/>
  <c r="AD5" i="88"/>
  <c r="Z5" i="88"/>
  <c r="M6" i="88"/>
  <c r="N6" i="88"/>
  <c r="O6" i="88"/>
  <c r="P6" i="88"/>
  <c r="Q6" i="88"/>
  <c r="M7" i="88"/>
  <c r="N7" i="88"/>
  <c r="O7" i="88"/>
  <c r="P7" i="88"/>
  <c r="Q7" i="88"/>
  <c r="M8" i="88"/>
  <c r="N8" i="88"/>
  <c r="O8" i="88"/>
  <c r="P8" i="88"/>
  <c r="Q8" i="88"/>
  <c r="M9" i="88"/>
  <c r="N9" i="88"/>
  <c r="O9" i="88"/>
  <c r="P9" i="88"/>
  <c r="Q9" i="88"/>
  <c r="M10" i="88"/>
  <c r="N10" i="88"/>
  <c r="O10" i="88"/>
  <c r="P10" i="88"/>
  <c r="Q10" i="88"/>
  <c r="M11" i="88"/>
  <c r="N11" i="88"/>
  <c r="O11" i="88"/>
  <c r="P11" i="88"/>
  <c r="Q11" i="88"/>
  <c r="M12" i="88"/>
  <c r="N12" i="88"/>
  <c r="O12" i="88"/>
  <c r="P12" i="88"/>
  <c r="Q12" i="88"/>
  <c r="M13" i="88"/>
  <c r="N13" i="88"/>
  <c r="O13" i="88"/>
  <c r="P13" i="88"/>
  <c r="Q13" i="88"/>
  <c r="M14" i="88"/>
  <c r="N14" i="88"/>
  <c r="O14" i="88"/>
  <c r="P14" i="88"/>
  <c r="Q14" i="88"/>
  <c r="M15" i="88"/>
  <c r="N15" i="88"/>
  <c r="O15" i="88"/>
  <c r="P15" i="88"/>
  <c r="Q15" i="88"/>
  <c r="M16" i="88"/>
  <c r="N16" i="88"/>
  <c r="O16" i="88"/>
  <c r="P16" i="88"/>
  <c r="Q16" i="88"/>
  <c r="M17" i="88"/>
  <c r="N17" i="88"/>
  <c r="O17" i="88"/>
  <c r="P17" i="88"/>
  <c r="Q17" i="88"/>
  <c r="M18" i="88"/>
  <c r="N18" i="88"/>
  <c r="O18" i="88"/>
  <c r="P18" i="88"/>
  <c r="Q18" i="88"/>
  <c r="M19" i="88"/>
  <c r="N19" i="88"/>
  <c r="O19" i="88"/>
  <c r="P19" i="88"/>
  <c r="Q19" i="88"/>
  <c r="M20" i="88"/>
  <c r="N20" i="88"/>
  <c r="O20" i="88"/>
  <c r="P20" i="88"/>
  <c r="Q20" i="88"/>
  <c r="M21" i="88"/>
  <c r="N21" i="88"/>
  <c r="O21" i="88"/>
  <c r="P21" i="88"/>
  <c r="Q21" i="88"/>
  <c r="M22" i="88"/>
  <c r="N22" i="88"/>
  <c r="O22" i="88"/>
  <c r="P22" i="88"/>
  <c r="Q22" i="88"/>
  <c r="M23" i="88"/>
  <c r="N23" i="88"/>
  <c r="O23" i="88"/>
  <c r="P23" i="88"/>
  <c r="Q23" i="88"/>
  <c r="M24" i="88"/>
  <c r="N24" i="88"/>
  <c r="O24" i="88"/>
  <c r="P24" i="88"/>
  <c r="Q24" i="88"/>
  <c r="M25" i="88"/>
  <c r="N25" i="88"/>
  <c r="O25" i="88"/>
  <c r="P25" i="88"/>
  <c r="Q25" i="88"/>
  <c r="M26" i="88"/>
  <c r="N26" i="88"/>
  <c r="O26" i="88"/>
  <c r="P26" i="88"/>
  <c r="Q26" i="88"/>
  <c r="M27" i="88"/>
  <c r="N27" i="88"/>
  <c r="O27" i="88"/>
  <c r="P27" i="88"/>
  <c r="Q27" i="88"/>
  <c r="M28" i="88"/>
  <c r="N28" i="88"/>
  <c r="O28" i="88"/>
  <c r="P28" i="88"/>
  <c r="Q28" i="88"/>
  <c r="M29" i="88"/>
  <c r="N29" i="88"/>
  <c r="O29" i="88"/>
  <c r="P29" i="88"/>
  <c r="Q29" i="88"/>
  <c r="M30" i="88"/>
  <c r="N30" i="88"/>
  <c r="O30" i="88"/>
  <c r="P30" i="88"/>
  <c r="Q30" i="88"/>
  <c r="M31" i="88"/>
  <c r="N31" i="88"/>
  <c r="O31" i="88"/>
  <c r="P31" i="88"/>
  <c r="Q31" i="88"/>
  <c r="M32" i="88"/>
  <c r="N32" i="88"/>
  <c r="O32" i="88"/>
  <c r="P32" i="88"/>
  <c r="Q32" i="88"/>
  <c r="M33" i="88"/>
  <c r="N33" i="88"/>
  <c r="O33" i="88"/>
  <c r="P33" i="88"/>
  <c r="Q33" i="88"/>
  <c r="M34" i="88"/>
  <c r="N34" i="88"/>
  <c r="O34" i="88"/>
  <c r="P34" i="88"/>
  <c r="Q34" i="88"/>
  <c r="M35" i="88"/>
  <c r="N35" i="88"/>
  <c r="O35" i="88"/>
  <c r="P35" i="88"/>
  <c r="Q35" i="88"/>
  <c r="M36" i="88"/>
  <c r="N36" i="88"/>
  <c r="O36" i="88"/>
  <c r="P36" i="88"/>
  <c r="Q36" i="88"/>
  <c r="M37" i="88"/>
  <c r="N37" i="88"/>
  <c r="O37" i="88"/>
  <c r="P37" i="88"/>
  <c r="Q37" i="88"/>
  <c r="M38" i="88"/>
  <c r="N38" i="88"/>
  <c r="O38" i="88"/>
  <c r="P38" i="88"/>
  <c r="Q38" i="88"/>
  <c r="M39" i="88"/>
  <c r="N39" i="88"/>
  <c r="O39" i="88"/>
  <c r="P39" i="88"/>
  <c r="Q39" i="88"/>
  <c r="M40" i="88"/>
  <c r="N40" i="88"/>
  <c r="O40" i="88"/>
  <c r="P40" i="88"/>
  <c r="Q40" i="88"/>
  <c r="M41" i="88"/>
  <c r="N41" i="88"/>
  <c r="O41" i="88"/>
  <c r="P41" i="88"/>
  <c r="Q41" i="88"/>
  <c r="M42" i="88"/>
  <c r="N42" i="88"/>
  <c r="O42" i="88"/>
  <c r="P42" i="88"/>
  <c r="Q42" i="88"/>
  <c r="M43" i="88"/>
  <c r="N43" i="88"/>
  <c r="O43" i="88"/>
  <c r="P43" i="88"/>
  <c r="Q43" i="88"/>
  <c r="M44" i="88"/>
  <c r="N44" i="88"/>
  <c r="O44" i="88"/>
  <c r="P44" i="88"/>
  <c r="Q44" i="88"/>
  <c r="M45" i="88"/>
  <c r="N45" i="88"/>
  <c r="O45" i="88"/>
  <c r="P45" i="88"/>
  <c r="Q45" i="88"/>
  <c r="M46" i="88"/>
  <c r="N46" i="88"/>
  <c r="O46" i="88"/>
  <c r="P46" i="88"/>
  <c r="Q46" i="88"/>
  <c r="M47" i="88"/>
  <c r="N47" i="88"/>
  <c r="O47" i="88"/>
  <c r="P47" i="88"/>
  <c r="Q47" i="88"/>
  <c r="M48" i="88"/>
  <c r="N48" i="88"/>
  <c r="O48" i="88"/>
  <c r="P48" i="88"/>
  <c r="Q48" i="88"/>
  <c r="M49" i="88"/>
  <c r="N49" i="88"/>
  <c r="O49" i="88"/>
  <c r="P49" i="88"/>
  <c r="Q49" i="88"/>
  <c r="M50" i="88"/>
  <c r="N50" i="88"/>
  <c r="O50" i="88"/>
  <c r="P50" i="88"/>
  <c r="Q50" i="88"/>
  <c r="M51" i="88"/>
  <c r="N51" i="88"/>
  <c r="O51" i="88"/>
  <c r="P51" i="88"/>
  <c r="Q51" i="88"/>
  <c r="M52" i="88"/>
  <c r="N52" i="88"/>
  <c r="O52" i="88"/>
  <c r="P52" i="88"/>
  <c r="Q52" i="88"/>
  <c r="M53" i="88"/>
  <c r="N53" i="88"/>
  <c r="O53" i="88"/>
  <c r="P53" i="88"/>
  <c r="Q53" i="88"/>
  <c r="M54" i="88"/>
  <c r="N54" i="88"/>
  <c r="O54" i="88"/>
  <c r="P54" i="88"/>
  <c r="Q54" i="88"/>
  <c r="M55" i="88"/>
  <c r="N55" i="88"/>
  <c r="O55" i="88"/>
  <c r="P55" i="88"/>
  <c r="Q55" i="88"/>
  <c r="M56" i="88"/>
  <c r="N56" i="88"/>
  <c r="O56" i="88"/>
  <c r="P56" i="88"/>
  <c r="Q56" i="88"/>
  <c r="M57" i="88"/>
  <c r="N57" i="88"/>
  <c r="O57" i="88"/>
  <c r="P57" i="88"/>
  <c r="Q57" i="88"/>
  <c r="M58" i="88"/>
  <c r="N58" i="88"/>
  <c r="O58" i="88"/>
  <c r="P58" i="88"/>
  <c r="Q58" i="88"/>
  <c r="M59" i="88"/>
  <c r="N59" i="88"/>
  <c r="O59" i="88"/>
  <c r="P59" i="88"/>
  <c r="Q59" i="88"/>
  <c r="M60" i="88"/>
  <c r="N60" i="88"/>
  <c r="O60" i="88"/>
  <c r="P60" i="88"/>
  <c r="Q60" i="88"/>
  <c r="M61" i="88"/>
  <c r="N61" i="88"/>
  <c r="O61" i="88"/>
  <c r="P61" i="88"/>
  <c r="Q61" i="88"/>
  <c r="M62" i="88"/>
  <c r="N62" i="88"/>
  <c r="O62" i="88"/>
  <c r="P62" i="88"/>
  <c r="Q62" i="88"/>
  <c r="M63" i="88"/>
  <c r="N63" i="88"/>
  <c r="O63" i="88"/>
  <c r="P63" i="88"/>
  <c r="Q63" i="88"/>
  <c r="M64" i="88"/>
  <c r="N64" i="88"/>
  <c r="O64" i="88"/>
  <c r="P64" i="88"/>
  <c r="Q64" i="88"/>
  <c r="M65" i="88"/>
  <c r="N65" i="88"/>
  <c r="O65" i="88"/>
  <c r="P65" i="88"/>
  <c r="Q65" i="88"/>
  <c r="M66" i="88"/>
  <c r="N66" i="88"/>
  <c r="O66" i="88"/>
  <c r="P66" i="88"/>
  <c r="Q66" i="88"/>
  <c r="M67" i="88"/>
  <c r="N67" i="88"/>
  <c r="O67" i="88"/>
  <c r="P67" i="88"/>
  <c r="Q67" i="88"/>
  <c r="M68" i="88"/>
  <c r="N68" i="88"/>
  <c r="O68" i="88"/>
  <c r="P68" i="88"/>
  <c r="Q68" i="88"/>
  <c r="N5" i="88"/>
  <c r="O5" i="88"/>
  <c r="P5" i="88"/>
  <c r="Q5" i="88"/>
  <c r="M5" i="88"/>
  <c r="G6" i="88"/>
  <c r="H6" i="88"/>
  <c r="I6" i="88"/>
  <c r="J6" i="88"/>
  <c r="K6" i="88"/>
  <c r="L6" i="88"/>
  <c r="G7" i="88"/>
  <c r="H7" i="88"/>
  <c r="I7" i="88"/>
  <c r="J7" i="88"/>
  <c r="K7" i="88"/>
  <c r="L7" i="88"/>
  <c r="G8" i="88"/>
  <c r="H8" i="88"/>
  <c r="I8" i="88"/>
  <c r="J8" i="88"/>
  <c r="K8" i="88"/>
  <c r="L8" i="88"/>
  <c r="G9" i="88"/>
  <c r="H9" i="88"/>
  <c r="I9" i="88"/>
  <c r="J9" i="88"/>
  <c r="K9" i="88"/>
  <c r="L9" i="88"/>
  <c r="G10" i="88"/>
  <c r="H10" i="88"/>
  <c r="I10" i="88"/>
  <c r="J10" i="88"/>
  <c r="K10" i="88"/>
  <c r="L10" i="88"/>
  <c r="G11" i="88"/>
  <c r="H11" i="88"/>
  <c r="I11" i="88"/>
  <c r="J11" i="88"/>
  <c r="K11" i="88"/>
  <c r="L11" i="88"/>
  <c r="G12" i="88"/>
  <c r="H12" i="88"/>
  <c r="I12" i="88"/>
  <c r="J12" i="88"/>
  <c r="K12" i="88"/>
  <c r="L12" i="88"/>
  <c r="G13" i="88"/>
  <c r="H13" i="88"/>
  <c r="I13" i="88"/>
  <c r="J13" i="88"/>
  <c r="K13" i="88"/>
  <c r="L13" i="88"/>
  <c r="G14" i="88"/>
  <c r="H14" i="88"/>
  <c r="I14" i="88"/>
  <c r="J14" i="88"/>
  <c r="K14" i="88"/>
  <c r="L14" i="88"/>
  <c r="G15" i="88"/>
  <c r="H15" i="88"/>
  <c r="I15" i="88"/>
  <c r="J15" i="88"/>
  <c r="K15" i="88"/>
  <c r="L15" i="88"/>
  <c r="G16" i="88"/>
  <c r="H16" i="88"/>
  <c r="I16" i="88"/>
  <c r="J16" i="88"/>
  <c r="K16" i="88"/>
  <c r="L16" i="88"/>
  <c r="G17" i="88"/>
  <c r="H17" i="88"/>
  <c r="I17" i="88"/>
  <c r="J17" i="88"/>
  <c r="K17" i="88"/>
  <c r="L17" i="88"/>
  <c r="G18" i="88"/>
  <c r="H18" i="88"/>
  <c r="I18" i="88"/>
  <c r="J18" i="88"/>
  <c r="K18" i="88"/>
  <c r="L18" i="88"/>
  <c r="G19" i="88"/>
  <c r="H19" i="88"/>
  <c r="I19" i="88"/>
  <c r="J19" i="88"/>
  <c r="K19" i="88"/>
  <c r="L19" i="88"/>
  <c r="G20" i="88"/>
  <c r="H20" i="88"/>
  <c r="I20" i="88"/>
  <c r="J20" i="88"/>
  <c r="K20" i="88"/>
  <c r="L20" i="88"/>
  <c r="G21" i="88"/>
  <c r="H21" i="88"/>
  <c r="I21" i="88"/>
  <c r="J21" i="88"/>
  <c r="K21" i="88"/>
  <c r="L21" i="88"/>
  <c r="G22" i="88"/>
  <c r="H22" i="88"/>
  <c r="I22" i="88"/>
  <c r="J22" i="88"/>
  <c r="K22" i="88"/>
  <c r="L22" i="88"/>
  <c r="G23" i="88"/>
  <c r="H23" i="88"/>
  <c r="I23" i="88"/>
  <c r="J23" i="88"/>
  <c r="K23" i="88"/>
  <c r="L23" i="88"/>
  <c r="G24" i="88"/>
  <c r="H24" i="88"/>
  <c r="I24" i="88"/>
  <c r="J24" i="88"/>
  <c r="K24" i="88"/>
  <c r="L24" i="88"/>
  <c r="G25" i="88"/>
  <c r="H25" i="88"/>
  <c r="I25" i="88"/>
  <c r="J25" i="88"/>
  <c r="K25" i="88"/>
  <c r="L25" i="88"/>
  <c r="G26" i="88"/>
  <c r="H26" i="88"/>
  <c r="I26" i="88"/>
  <c r="J26" i="88"/>
  <c r="K26" i="88"/>
  <c r="L26" i="88"/>
  <c r="G27" i="88"/>
  <c r="H27" i="88"/>
  <c r="I27" i="88"/>
  <c r="J27" i="88"/>
  <c r="K27" i="88"/>
  <c r="L27" i="88"/>
  <c r="G28" i="88"/>
  <c r="H28" i="88"/>
  <c r="I28" i="88"/>
  <c r="J28" i="88"/>
  <c r="K28" i="88"/>
  <c r="L28" i="88"/>
  <c r="G29" i="88"/>
  <c r="H29" i="88"/>
  <c r="I29" i="88"/>
  <c r="J29" i="88"/>
  <c r="K29" i="88"/>
  <c r="L29" i="88"/>
  <c r="G30" i="88"/>
  <c r="H30" i="88"/>
  <c r="I30" i="88"/>
  <c r="J30" i="88"/>
  <c r="K30" i="88"/>
  <c r="L30" i="88"/>
  <c r="G31" i="88"/>
  <c r="H31" i="88"/>
  <c r="I31" i="88"/>
  <c r="J31" i="88"/>
  <c r="K31" i="88"/>
  <c r="L31" i="88"/>
  <c r="G32" i="88"/>
  <c r="H32" i="88"/>
  <c r="I32" i="88"/>
  <c r="J32" i="88"/>
  <c r="K32" i="88"/>
  <c r="L32" i="88"/>
  <c r="G33" i="88"/>
  <c r="H33" i="88"/>
  <c r="I33" i="88"/>
  <c r="J33" i="88"/>
  <c r="K33" i="88"/>
  <c r="L33" i="88"/>
  <c r="G34" i="88"/>
  <c r="H34" i="88"/>
  <c r="I34" i="88"/>
  <c r="J34" i="88"/>
  <c r="K34" i="88"/>
  <c r="L34" i="88"/>
  <c r="G35" i="88"/>
  <c r="H35" i="88"/>
  <c r="I35" i="88"/>
  <c r="J35" i="88"/>
  <c r="K35" i="88"/>
  <c r="L35" i="88"/>
  <c r="G36" i="88"/>
  <c r="H36" i="88"/>
  <c r="I36" i="88"/>
  <c r="J36" i="88"/>
  <c r="K36" i="88"/>
  <c r="L36" i="88"/>
  <c r="G37" i="88"/>
  <c r="H37" i="88"/>
  <c r="I37" i="88"/>
  <c r="J37" i="88"/>
  <c r="K37" i="88"/>
  <c r="L37" i="88"/>
  <c r="G38" i="88"/>
  <c r="H38" i="88"/>
  <c r="I38" i="88"/>
  <c r="J38" i="88"/>
  <c r="K38" i="88"/>
  <c r="L38" i="88"/>
  <c r="G39" i="88"/>
  <c r="H39" i="88"/>
  <c r="I39" i="88"/>
  <c r="J39" i="88"/>
  <c r="K39" i="88"/>
  <c r="L39" i="88"/>
  <c r="G40" i="88"/>
  <c r="H40" i="88"/>
  <c r="I40" i="88"/>
  <c r="J40" i="88"/>
  <c r="K40" i="88"/>
  <c r="L40" i="88"/>
  <c r="G41" i="88"/>
  <c r="H41" i="88"/>
  <c r="I41" i="88"/>
  <c r="J41" i="88"/>
  <c r="K41" i="88"/>
  <c r="L41" i="88"/>
  <c r="G42" i="88"/>
  <c r="H42" i="88"/>
  <c r="I42" i="88"/>
  <c r="J42" i="88"/>
  <c r="K42" i="88"/>
  <c r="L42" i="88"/>
  <c r="G43" i="88"/>
  <c r="H43" i="88"/>
  <c r="I43" i="88"/>
  <c r="J43" i="88"/>
  <c r="K43" i="88"/>
  <c r="L43" i="88"/>
  <c r="G44" i="88"/>
  <c r="H44" i="88"/>
  <c r="I44" i="88"/>
  <c r="J44" i="88"/>
  <c r="K44" i="88"/>
  <c r="L44" i="88"/>
  <c r="G45" i="88"/>
  <c r="H45" i="88"/>
  <c r="I45" i="88"/>
  <c r="J45" i="88"/>
  <c r="K45" i="88"/>
  <c r="L45" i="88"/>
  <c r="G46" i="88"/>
  <c r="H46" i="88"/>
  <c r="I46" i="88"/>
  <c r="J46" i="88"/>
  <c r="K46" i="88"/>
  <c r="L46" i="88"/>
  <c r="G47" i="88"/>
  <c r="H47" i="88"/>
  <c r="I47" i="88"/>
  <c r="J47" i="88"/>
  <c r="K47" i="88"/>
  <c r="L47" i="88"/>
  <c r="G48" i="88"/>
  <c r="H48" i="88"/>
  <c r="I48" i="88"/>
  <c r="J48" i="88"/>
  <c r="K48" i="88"/>
  <c r="L48" i="88"/>
  <c r="G49" i="88"/>
  <c r="H49" i="88"/>
  <c r="I49" i="88"/>
  <c r="J49" i="88"/>
  <c r="K49" i="88"/>
  <c r="L49" i="88"/>
  <c r="G50" i="88"/>
  <c r="H50" i="88"/>
  <c r="I50" i="88"/>
  <c r="J50" i="88"/>
  <c r="K50" i="88"/>
  <c r="L50" i="88"/>
  <c r="G51" i="88"/>
  <c r="H51" i="88"/>
  <c r="I51" i="88"/>
  <c r="J51" i="88"/>
  <c r="K51" i="88"/>
  <c r="L51" i="88"/>
  <c r="G52" i="88"/>
  <c r="H52" i="88"/>
  <c r="I52" i="88"/>
  <c r="J52" i="88"/>
  <c r="K52" i="88"/>
  <c r="L52" i="88"/>
  <c r="G53" i="88"/>
  <c r="H53" i="88"/>
  <c r="I53" i="88"/>
  <c r="J53" i="88"/>
  <c r="K53" i="88"/>
  <c r="L53" i="88"/>
  <c r="G54" i="88"/>
  <c r="H54" i="88"/>
  <c r="I54" i="88"/>
  <c r="J54" i="88"/>
  <c r="K54" i="88"/>
  <c r="L54" i="88"/>
  <c r="G55" i="88"/>
  <c r="H55" i="88"/>
  <c r="I55" i="88"/>
  <c r="J55" i="88"/>
  <c r="K55" i="88"/>
  <c r="L55" i="88"/>
  <c r="G56" i="88"/>
  <c r="H56" i="88"/>
  <c r="I56" i="88"/>
  <c r="J56" i="88"/>
  <c r="K56" i="88"/>
  <c r="L56" i="88"/>
  <c r="G57" i="88"/>
  <c r="H57" i="88"/>
  <c r="I57" i="88"/>
  <c r="J57" i="88"/>
  <c r="K57" i="88"/>
  <c r="L57" i="88"/>
  <c r="G58" i="88"/>
  <c r="H58" i="88"/>
  <c r="I58" i="88"/>
  <c r="J58" i="88"/>
  <c r="K58" i="88"/>
  <c r="L58" i="88"/>
  <c r="G59" i="88"/>
  <c r="H59" i="88"/>
  <c r="I59" i="88"/>
  <c r="J59" i="88"/>
  <c r="K59" i="88"/>
  <c r="L59" i="88"/>
  <c r="G60" i="88"/>
  <c r="H60" i="88"/>
  <c r="I60" i="88"/>
  <c r="J60" i="88"/>
  <c r="K60" i="88"/>
  <c r="L60" i="88"/>
  <c r="G61" i="88"/>
  <c r="H61" i="88"/>
  <c r="I61" i="88"/>
  <c r="J61" i="88"/>
  <c r="K61" i="88"/>
  <c r="L61" i="88"/>
  <c r="G62" i="88"/>
  <c r="H62" i="88"/>
  <c r="I62" i="88"/>
  <c r="J62" i="88"/>
  <c r="K62" i="88"/>
  <c r="L62" i="88"/>
  <c r="G63" i="88"/>
  <c r="H63" i="88"/>
  <c r="I63" i="88"/>
  <c r="J63" i="88"/>
  <c r="K63" i="88"/>
  <c r="L63" i="88"/>
  <c r="G64" i="88"/>
  <c r="H64" i="88"/>
  <c r="I64" i="88"/>
  <c r="J64" i="88"/>
  <c r="K64" i="88"/>
  <c r="L64" i="88"/>
  <c r="G65" i="88"/>
  <c r="H65" i="88"/>
  <c r="I65" i="88"/>
  <c r="J65" i="88"/>
  <c r="K65" i="88"/>
  <c r="L65" i="88"/>
  <c r="G66" i="88"/>
  <c r="H66" i="88"/>
  <c r="I66" i="88"/>
  <c r="J66" i="88"/>
  <c r="K66" i="88"/>
  <c r="L66" i="88"/>
  <c r="G67" i="88"/>
  <c r="H67" i="88"/>
  <c r="I67" i="88"/>
  <c r="J67" i="88"/>
  <c r="K67" i="88"/>
  <c r="L67" i="88"/>
  <c r="G68" i="88"/>
  <c r="H68" i="88"/>
  <c r="I68" i="88"/>
  <c r="J68" i="88"/>
  <c r="K68" i="88"/>
  <c r="L68" i="88"/>
  <c r="H5" i="88"/>
  <c r="I5" i="88"/>
  <c r="J5" i="88"/>
  <c r="K5" i="88"/>
  <c r="L5" i="88"/>
  <c r="F6" i="88"/>
  <c r="F7" i="88"/>
  <c r="F8" i="88"/>
  <c r="F9" i="88"/>
  <c r="F10" i="88"/>
  <c r="F11" i="88"/>
  <c r="F12" i="88"/>
  <c r="F13" i="88"/>
  <c r="F14" i="88"/>
  <c r="F15" i="88"/>
  <c r="F16" i="88"/>
  <c r="F17" i="88"/>
  <c r="F18" i="88"/>
  <c r="F19" i="88"/>
  <c r="F20" i="88"/>
  <c r="F21" i="88"/>
  <c r="F22" i="88"/>
  <c r="F23" i="88"/>
  <c r="F24" i="88"/>
  <c r="F25" i="88"/>
  <c r="F26" i="88"/>
  <c r="F27" i="88"/>
  <c r="F28" i="88"/>
  <c r="F29" i="88"/>
  <c r="F30" i="88"/>
  <c r="F31" i="88"/>
  <c r="F32" i="88"/>
  <c r="F33" i="88"/>
  <c r="F34" i="88"/>
  <c r="F35" i="88"/>
  <c r="F36" i="88"/>
  <c r="F37" i="88"/>
  <c r="F38" i="88"/>
  <c r="F39" i="88"/>
  <c r="F40" i="88"/>
  <c r="F41" i="88"/>
  <c r="F42" i="88"/>
  <c r="F43" i="88"/>
  <c r="F44" i="88"/>
  <c r="F45" i="88"/>
  <c r="F46" i="88"/>
  <c r="F47" i="88"/>
  <c r="F48" i="88"/>
  <c r="F49" i="88"/>
  <c r="F50" i="88"/>
  <c r="F51" i="88"/>
  <c r="F52" i="88"/>
  <c r="F53" i="88"/>
  <c r="F54" i="88"/>
  <c r="F55" i="88"/>
  <c r="F56" i="88"/>
  <c r="F57" i="88"/>
  <c r="F58" i="88"/>
  <c r="F59" i="88"/>
  <c r="F60" i="88"/>
  <c r="F61" i="88"/>
  <c r="F62" i="88"/>
  <c r="F63" i="88"/>
  <c r="F64" i="88"/>
  <c r="F65" i="88"/>
  <c r="F66" i="88"/>
  <c r="F67" i="88"/>
  <c r="F68" i="88"/>
  <c r="N58" i="24"/>
  <c r="P58" i="24"/>
  <c r="Q58" i="24"/>
  <c r="T58" i="24"/>
  <c r="Z58" i="24"/>
  <c r="AC58" i="24"/>
  <c r="AF58" i="24"/>
  <c r="AL58" i="24"/>
  <c r="AO58" i="24"/>
  <c r="AR58" i="24"/>
  <c r="AX58" i="24"/>
  <c r="AZ58" i="24"/>
  <c r="BA58" i="24"/>
  <c r="BD58" i="24"/>
  <c r="BI58" i="24"/>
  <c r="BJ58" i="24"/>
  <c r="BM58" i="24"/>
  <c r="BN58" i="24"/>
  <c r="BP58" i="24"/>
  <c r="BV58" i="24"/>
  <c r="CB58" i="24"/>
  <c r="CH58" i="24"/>
  <c r="H58" i="24"/>
  <c r="AB58" i="24"/>
  <c r="AN58" i="24"/>
  <c r="BL58" i="24"/>
  <c r="BN29" i="91"/>
  <c r="H4" i="24"/>
  <c r="H20" i="24"/>
  <c r="H21" i="24"/>
  <c r="H22" i="24"/>
  <c r="H24" i="24"/>
  <c r="H25" i="24"/>
  <c r="H26" i="24"/>
  <c r="H27" i="24"/>
  <c r="H28" i="24"/>
  <c r="H29" i="24"/>
  <c r="H30" i="24"/>
  <c r="H31" i="24"/>
  <c r="H32" i="24"/>
  <c r="H35" i="24"/>
  <c r="H36" i="24"/>
  <c r="H37" i="24"/>
  <c r="H39" i="24"/>
  <c r="H40" i="24"/>
  <c r="T4" i="24"/>
  <c r="T5" i="24"/>
  <c r="T6" i="24"/>
  <c r="T20" i="24"/>
  <c r="T21" i="24"/>
  <c r="T22" i="24"/>
  <c r="T24" i="24"/>
  <c r="T25" i="24"/>
  <c r="T26" i="24"/>
  <c r="T27" i="24"/>
  <c r="T28" i="24"/>
  <c r="T29" i="24"/>
  <c r="T30" i="24"/>
  <c r="T31" i="24"/>
  <c r="T32" i="24"/>
  <c r="T35" i="24"/>
  <c r="T36" i="24"/>
  <c r="T37" i="24"/>
  <c r="T39" i="24"/>
  <c r="T40" i="24"/>
  <c r="AF3" i="24"/>
  <c r="AF4" i="24"/>
  <c r="AF5" i="24"/>
  <c r="AF6" i="24"/>
  <c r="AF7" i="24"/>
  <c r="AF20" i="24"/>
  <c r="AF21" i="24"/>
  <c r="AF22" i="24"/>
  <c r="AF24" i="24"/>
  <c r="AF25" i="24"/>
  <c r="AF26" i="24"/>
  <c r="AF27" i="24"/>
  <c r="AF28" i="24"/>
  <c r="AF29" i="24"/>
  <c r="AF30" i="24"/>
  <c r="AF31" i="24"/>
  <c r="AF32" i="24"/>
  <c r="AF35" i="24"/>
  <c r="AF36" i="24"/>
  <c r="AF37" i="24"/>
  <c r="AF39" i="24"/>
  <c r="AF40" i="24"/>
  <c r="BP3" i="24"/>
  <c r="BP4" i="24"/>
  <c r="BP5" i="24"/>
  <c r="BP6" i="24"/>
  <c r="BP7" i="24"/>
  <c r="BP20" i="24"/>
  <c r="BP21" i="24"/>
  <c r="BP22" i="24"/>
  <c r="BP24" i="24"/>
  <c r="BP25" i="24"/>
  <c r="BP26" i="24"/>
  <c r="BP27" i="24"/>
  <c r="BP28" i="24"/>
  <c r="BP29" i="24"/>
  <c r="BP30" i="24"/>
  <c r="BP31" i="24"/>
  <c r="BP32" i="24"/>
  <c r="BP35" i="24"/>
  <c r="BP36" i="24"/>
  <c r="BP37" i="24"/>
  <c r="BP39" i="24"/>
  <c r="BP40" i="24"/>
  <c r="CB3" i="24"/>
  <c r="CB4" i="24"/>
  <c r="CB5" i="24"/>
  <c r="CB6" i="24"/>
  <c r="CB7" i="24"/>
  <c r="CB20" i="24"/>
  <c r="CB21" i="24"/>
  <c r="CB22" i="24"/>
  <c r="CB24" i="24"/>
  <c r="CB25" i="24"/>
  <c r="CB26" i="24"/>
  <c r="CB27" i="24"/>
  <c r="CB28" i="24"/>
  <c r="CB29" i="24"/>
  <c r="CB30" i="24"/>
  <c r="CB31" i="24"/>
  <c r="CB32" i="24"/>
  <c r="CB35" i="24"/>
  <c r="CB36" i="24"/>
  <c r="CB37" i="24"/>
  <c r="CB39" i="24"/>
  <c r="CB40" i="24"/>
  <c r="U3" i="24"/>
  <c r="U4" i="24"/>
  <c r="U5" i="24"/>
  <c r="U6" i="24"/>
  <c r="U20" i="24"/>
  <c r="U21" i="24"/>
  <c r="U22" i="24"/>
  <c r="U24" i="24"/>
  <c r="U25" i="24"/>
  <c r="U26" i="24"/>
  <c r="U27" i="24"/>
  <c r="U28" i="24"/>
  <c r="U29" i="24"/>
  <c r="U30" i="24"/>
  <c r="U31" i="24"/>
  <c r="U32" i="24"/>
  <c r="U35" i="24"/>
  <c r="U36" i="24"/>
  <c r="U37" i="24"/>
  <c r="U39" i="24"/>
  <c r="U40" i="24"/>
  <c r="V3" i="24"/>
  <c r="V4" i="24"/>
  <c r="V5" i="24"/>
  <c r="V6" i="24"/>
  <c r="V20" i="24"/>
  <c r="V21" i="24"/>
  <c r="V22" i="24"/>
  <c r="V24" i="24"/>
  <c r="V25" i="24"/>
  <c r="V26" i="24"/>
  <c r="V27" i="24"/>
  <c r="V28" i="24"/>
  <c r="V29" i="24"/>
  <c r="V30" i="24"/>
  <c r="V31" i="24"/>
  <c r="V32" i="24"/>
  <c r="V35" i="24"/>
  <c r="V36" i="24"/>
  <c r="V37" i="24"/>
  <c r="V39" i="24"/>
  <c r="V40" i="24"/>
  <c r="W3" i="24"/>
  <c r="W4" i="24"/>
  <c r="W5" i="24"/>
  <c r="W6" i="24"/>
  <c r="W20" i="24"/>
  <c r="W21" i="24"/>
  <c r="W22" i="24"/>
  <c r="W24" i="24"/>
  <c r="W25" i="24"/>
  <c r="W26" i="24"/>
  <c r="W27" i="24"/>
  <c r="W28" i="24"/>
  <c r="W29" i="24"/>
  <c r="W30" i="24"/>
  <c r="W31" i="24"/>
  <c r="W32" i="24"/>
  <c r="W35" i="24"/>
  <c r="W36" i="24"/>
  <c r="W37" i="24"/>
  <c r="W39" i="24"/>
  <c r="W40" i="24"/>
  <c r="X3" i="24"/>
  <c r="X4" i="24"/>
  <c r="X5" i="24"/>
  <c r="X6" i="24"/>
  <c r="X20" i="24"/>
  <c r="X21" i="24"/>
  <c r="X22" i="24"/>
  <c r="X24" i="24"/>
  <c r="X25" i="24"/>
  <c r="X26" i="24"/>
  <c r="X27" i="24"/>
  <c r="X28" i="24"/>
  <c r="X29" i="24"/>
  <c r="X30" i="24"/>
  <c r="X31" i="24"/>
  <c r="X32" i="24"/>
  <c r="X35" i="24"/>
  <c r="X36" i="24"/>
  <c r="X37" i="24"/>
  <c r="X39" i="24"/>
  <c r="X40" i="24"/>
  <c r="Y3" i="24"/>
  <c r="Y4" i="24"/>
  <c r="Y5" i="24"/>
  <c r="Y6" i="24"/>
  <c r="Y20" i="24"/>
  <c r="Y21" i="24"/>
  <c r="Y22" i="24"/>
  <c r="Y24" i="24"/>
  <c r="Y25" i="24"/>
  <c r="Y26" i="24"/>
  <c r="Y27" i="24"/>
  <c r="Y28" i="24"/>
  <c r="Y29" i="24"/>
  <c r="Y30" i="24"/>
  <c r="Y31" i="24"/>
  <c r="Y32" i="24"/>
  <c r="Y35" i="24"/>
  <c r="Y36" i="24"/>
  <c r="Y37" i="24"/>
  <c r="Y39" i="24"/>
  <c r="Y40" i="24"/>
  <c r="Z3" i="24"/>
  <c r="Z4" i="24"/>
  <c r="Z5" i="24"/>
  <c r="Z6" i="24"/>
  <c r="Z20" i="24"/>
  <c r="Z21" i="24"/>
  <c r="Z22" i="24"/>
  <c r="Z24" i="24"/>
  <c r="Z25" i="24"/>
  <c r="Z26" i="24"/>
  <c r="Z27" i="24"/>
  <c r="Z28" i="24"/>
  <c r="Z29" i="24"/>
  <c r="Z30" i="24"/>
  <c r="Z31" i="24"/>
  <c r="Z32" i="24"/>
  <c r="Z35" i="24"/>
  <c r="Z36" i="24"/>
  <c r="Z37" i="24"/>
  <c r="Z39" i="24"/>
  <c r="Z40" i="24"/>
  <c r="AA3" i="24"/>
  <c r="AB3" i="24"/>
  <c r="AB4" i="24"/>
  <c r="AB5" i="24"/>
  <c r="AB6" i="24"/>
  <c r="AB20" i="24"/>
  <c r="AB21" i="24"/>
  <c r="AB22" i="24"/>
  <c r="AB24" i="24"/>
  <c r="AB25" i="24"/>
  <c r="AB26" i="24"/>
  <c r="AB27" i="24"/>
  <c r="AB28" i="24"/>
  <c r="AB29" i="24"/>
  <c r="AB30" i="24"/>
  <c r="AB31" i="24"/>
  <c r="AB32" i="24"/>
  <c r="AB35" i="24"/>
  <c r="AB36" i="24"/>
  <c r="AB37" i="24"/>
  <c r="AB39" i="24"/>
  <c r="AB40" i="24"/>
  <c r="AC3" i="24"/>
  <c r="AC4" i="24"/>
  <c r="AC5" i="24"/>
  <c r="AC6" i="24"/>
  <c r="AC20" i="24"/>
  <c r="AC21" i="24"/>
  <c r="AC22" i="24"/>
  <c r="AC24" i="24"/>
  <c r="AC25" i="24"/>
  <c r="AC26" i="24"/>
  <c r="AC27" i="24"/>
  <c r="AC28" i="24"/>
  <c r="AC29" i="24"/>
  <c r="AC30" i="24"/>
  <c r="AC31" i="24"/>
  <c r="AC32" i="24"/>
  <c r="AC35" i="24"/>
  <c r="AC36" i="24"/>
  <c r="AC37" i="24"/>
  <c r="AC39" i="24"/>
  <c r="AC40" i="24"/>
  <c r="AD3" i="24"/>
  <c r="AE3" i="24"/>
  <c r="AG4" i="24"/>
  <c r="AG5" i="24"/>
  <c r="AG6" i="24"/>
  <c r="AG7" i="24"/>
  <c r="AG20" i="24"/>
  <c r="AG21" i="24"/>
  <c r="AG22" i="24"/>
  <c r="AG24" i="24"/>
  <c r="AG25" i="24"/>
  <c r="AG26" i="24"/>
  <c r="AG27" i="24"/>
  <c r="AG28" i="24"/>
  <c r="AG29" i="24"/>
  <c r="AG30" i="24"/>
  <c r="AG31" i="24"/>
  <c r="AG32" i="24"/>
  <c r="AG35" i="24"/>
  <c r="AG36" i="24"/>
  <c r="AG37" i="24"/>
  <c r="AG39" i="24"/>
  <c r="AG40" i="24"/>
  <c r="AH3" i="24"/>
  <c r="AH4" i="24"/>
  <c r="AH5" i="24"/>
  <c r="AH6" i="24"/>
  <c r="AH7" i="24"/>
  <c r="AH20" i="24"/>
  <c r="AH21" i="24"/>
  <c r="AH22" i="24"/>
  <c r="AH24" i="24"/>
  <c r="AH25" i="24"/>
  <c r="AH26" i="24"/>
  <c r="AH27" i="24"/>
  <c r="AH28" i="24"/>
  <c r="AH29" i="24"/>
  <c r="AH30" i="24"/>
  <c r="AH31" i="24"/>
  <c r="AH32" i="24"/>
  <c r="AH35" i="24"/>
  <c r="AH36" i="24"/>
  <c r="AH37" i="24"/>
  <c r="AH39" i="24"/>
  <c r="AH40" i="24"/>
  <c r="AI3" i="24"/>
  <c r="AI4" i="24"/>
  <c r="AI5" i="24"/>
  <c r="AI6" i="24"/>
  <c r="AI7" i="24"/>
  <c r="AI20" i="24"/>
  <c r="AI21" i="24"/>
  <c r="AI22" i="24"/>
  <c r="AI24" i="24"/>
  <c r="AI25" i="24"/>
  <c r="AI26" i="24"/>
  <c r="AI27" i="24"/>
  <c r="AI28" i="24"/>
  <c r="AI29" i="24"/>
  <c r="AI30" i="24"/>
  <c r="AI31" i="24"/>
  <c r="AI32" i="24"/>
  <c r="AI35" i="24"/>
  <c r="AI36" i="24"/>
  <c r="AI37" i="24"/>
  <c r="AI39" i="24"/>
  <c r="AI40" i="24"/>
  <c r="AJ3" i="24"/>
  <c r="AJ4" i="24"/>
  <c r="AJ5" i="24"/>
  <c r="AJ6" i="24"/>
  <c r="AJ7" i="24"/>
  <c r="AJ20" i="24"/>
  <c r="AJ21" i="24"/>
  <c r="AJ22" i="24"/>
  <c r="AJ24" i="24"/>
  <c r="AJ25" i="24"/>
  <c r="AJ26" i="24"/>
  <c r="AJ27" i="24"/>
  <c r="AJ28" i="24"/>
  <c r="AJ29" i="24"/>
  <c r="AJ30" i="24"/>
  <c r="AJ31" i="24"/>
  <c r="AJ32" i="24"/>
  <c r="AJ35" i="24"/>
  <c r="AJ36" i="24"/>
  <c r="AJ37" i="24"/>
  <c r="AJ39" i="24"/>
  <c r="AJ40" i="24"/>
  <c r="AK3" i="24"/>
  <c r="AK4" i="24"/>
  <c r="AK5" i="24"/>
  <c r="AK6" i="24"/>
  <c r="AK7" i="24"/>
  <c r="AK20" i="24"/>
  <c r="AK21" i="24"/>
  <c r="AK22" i="24"/>
  <c r="AK24" i="24"/>
  <c r="AK25" i="24"/>
  <c r="AK26" i="24"/>
  <c r="AK27" i="24"/>
  <c r="AK28" i="24"/>
  <c r="AK29" i="24"/>
  <c r="AK30" i="24"/>
  <c r="AK31" i="24"/>
  <c r="AK32" i="24"/>
  <c r="AK35" i="24"/>
  <c r="AK36" i="24"/>
  <c r="AK37" i="24"/>
  <c r="AK39" i="24"/>
  <c r="AK40" i="24"/>
  <c r="AL3" i="24"/>
  <c r="AL4" i="24"/>
  <c r="AL5" i="24"/>
  <c r="AL6" i="24"/>
  <c r="AL7" i="24"/>
  <c r="AL20" i="24"/>
  <c r="AL21" i="24"/>
  <c r="AL22" i="24"/>
  <c r="AL24" i="24"/>
  <c r="AL25" i="24"/>
  <c r="AL26" i="24"/>
  <c r="AL27" i="24"/>
  <c r="AL28" i="24"/>
  <c r="AL29" i="24"/>
  <c r="AL30" i="24"/>
  <c r="AL31" i="24"/>
  <c r="AL32" i="24"/>
  <c r="AL35" i="24"/>
  <c r="AL36" i="24"/>
  <c r="AL37" i="24"/>
  <c r="AL39" i="24"/>
  <c r="AL40" i="24"/>
  <c r="AN4" i="24"/>
  <c r="AN5" i="24"/>
  <c r="AN6" i="24"/>
  <c r="AN7" i="24"/>
  <c r="AN20" i="24"/>
  <c r="AN21" i="24"/>
  <c r="AN22" i="24"/>
  <c r="AN24" i="24"/>
  <c r="AN25" i="24"/>
  <c r="AN26" i="24"/>
  <c r="AN27" i="24"/>
  <c r="AN28" i="24"/>
  <c r="AN29" i="24"/>
  <c r="AN30" i="24"/>
  <c r="AN31" i="24"/>
  <c r="AN32" i="24"/>
  <c r="AN35" i="24"/>
  <c r="AN36" i="24"/>
  <c r="AN37" i="24"/>
  <c r="AN39" i="24"/>
  <c r="AN40" i="24"/>
  <c r="AO3" i="24"/>
  <c r="AO4" i="24"/>
  <c r="AO5" i="24"/>
  <c r="AO6" i="24"/>
  <c r="AO7" i="24"/>
  <c r="AO20" i="24"/>
  <c r="AO21" i="24"/>
  <c r="AO22" i="24"/>
  <c r="AO24" i="24"/>
  <c r="AO25" i="24"/>
  <c r="AO26" i="24"/>
  <c r="AO27" i="24"/>
  <c r="AO28" i="24"/>
  <c r="AO29" i="24"/>
  <c r="AO30" i="24"/>
  <c r="AO31" i="24"/>
  <c r="AO32" i="24"/>
  <c r="AO35" i="24"/>
  <c r="AO36" i="24"/>
  <c r="AO37" i="24"/>
  <c r="AO39" i="24"/>
  <c r="AO40" i="24"/>
  <c r="AP3" i="24"/>
  <c r="AQ3" i="24"/>
  <c r="BQ3" i="24"/>
  <c r="BQ4" i="24"/>
  <c r="BQ5" i="24"/>
  <c r="BQ6" i="24"/>
  <c r="BQ7" i="24"/>
  <c r="BQ20" i="24"/>
  <c r="BQ21" i="24"/>
  <c r="BQ22" i="24"/>
  <c r="BQ24" i="24"/>
  <c r="BQ25" i="24"/>
  <c r="BQ26" i="24"/>
  <c r="BQ27" i="24"/>
  <c r="BQ28" i="24"/>
  <c r="BQ29" i="24"/>
  <c r="BQ30" i="24"/>
  <c r="BQ31" i="24"/>
  <c r="BQ32" i="24"/>
  <c r="BQ35" i="24"/>
  <c r="BQ36" i="24"/>
  <c r="BQ37" i="24"/>
  <c r="BQ39" i="24"/>
  <c r="BQ40" i="24"/>
  <c r="BR3" i="24"/>
  <c r="BR4" i="24"/>
  <c r="BR5" i="24"/>
  <c r="BR6" i="24"/>
  <c r="BR7" i="24"/>
  <c r="BR20" i="24"/>
  <c r="BR21" i="24"/>
  <c r="BR22" i="24"/>
  <c r="BR24" i="24"/>
  <c r="BR25" i="24"/>
  <c r="BR26" i="24"/>
  <c r="BR27" i="24"/>
  <c r="BR28" i="24"/>
  <c r="BR29" i="24"/>
  <c r="BR30" i="24"/>
  <c r="BR31" i="24"/>
  <c r="BR32" i="24"/>
  <c r="BR35" i="24"/>
  <c r="BR36" i="24"/>
  <c r="BR37" i="24"/>
  <c r="BR39" i="24"/>
  <c r="BR40" i="24"/>
  <c r="BS3" i="24"/>
  <c r="BS4" i="24"/>
  <c r="BS5" i="24"/>
  <c r="BS6" i="24"/>
  <c r="BS7" i="24"/>
  <c r="BS20" i="24"/>
  <c r="BS21" i="24"/>
  <c r="BS22" i="24"/>
  <c r="BS24" i="24"/>
  <c r="BS25" i="24"/>
  <c r="BS26" i="24"/>
  <c r="BS27" i="24"/>
  <c r="BS28" i="24"/>
  <c r="BS29" i="24"/>
  <c r="BS30" i="24"/>
  <c r="BS31" i="24"/>
  <c r="BS32" i="24"/>
  <c r="BS35" i="24"/>
  <c r="BS36" i="24"/>
  <c r="BS37" i="24"/>
  <c r="BS39" i="24"/>
  <c r="BS40" i="24"/>
  <c r="BT3" i="24"/>
  <c r="BT4" i="24"/>
  <c r="BT5" i="24"/>
  <c r="BT6" i="24"/>
  <c r="BT7" i="24"/>
  <c r="BT20" i="24"/>
  <c r="BT21" i="24"/>
  <c r="BT22" i="24"/>
  <c r="BT24" i="24"/>
  <c r="BT25" i="24"/>
  <c r="BT26" i="24"/>
  <c r="BT27" i="24"/>
  <c r="BT28" i="24"/>
  <c r="BT29" i="24"/>
  <c r="BT30" i="24"/>
  <c r="BT31" i="24"/>
  <c r="BT32" i="24"/>
  <c r="BT35" i="24"/>
  <c r="BT36" i="24"/>
  <c r="BT37" i="24"/>
  <c r="BT39" i="24"/>
  <c r="BT40" i="24"/>
  <c r="BU3" i="24"/>
  <c r="BU4" i="24"/>
  <c r="BU5" i="24"/>
  <c r="BU6" i="24"/>
  <c r="BU7" i="24"/>
  <c r="BU20" i="24"/>
  <c r="BU21" i="24"/>
  <c r="BU22" i="24"/>
  <c r="BU24" i="24"/>
  <c r="BU25" i="24"/>
  <c r="BU26" i="24"/>
  <c r="BU27" i="24"/>
  <c r="BU28" i="24"/>
  <c r="BU29" i="24"/>
  <c r="BU30" i="24"/>
  <c r="BU31" i="24"/>
  <c r="BU32" i="24"/>
  <c r="BU35" i="24"/>
  <c r="BU36" i="24"/>
  <c r="BU37" i="24"/>
  <c r="BU39" i="24"/>
  <c r="BU40" i="24"/>
  <c r="BV3" i="24"/>
  <c r="BV4" i="24"/>
  <c r="BV5" i="24"/>
  <c r="BV6" i="24"/>
  <c r="BV7" i="24"/>
  <c r="BV20" i="24"/>
  <c r="BV21" i="24"/>
  <c r="BV22" i="24"/>
  <c r="BV24" i="24"/>
  <c r="BV25" i="24"/>
  <c r="BV26" i="24"/>
  <c r="BV27" i="24"/>
  <c r="BV28" i="24"/>
  <c r="BV29" i="24"/>
  <c r="BV30" i="24"/>
  <c r="BV31" i="24"/>
  <c r="BV32" i="24"/>
  <c r="BV35" i="24"/>
  <c r="BV36" i="24"/>
  <c r="BV37" i="24"/>
  <c r="BV39" i="24"/>
  <c r="BV40" i="24"/>
  <c r="BW3" i="24"/>
  <c r="BW4" i="24"/>
  <c r="BW5" i="24"/>
  <c r="BW6" i="24"/>
  <c r="BW7" i="24"/>
  <c r="BW20" i="24"/>
  <c r="BW21" i="24"/>
  <c r="BW22" i="24"/>
  <c r="BW24" i="24"/>
  <c r="BW25" i="24"/>
  <c r="BW26" i="24"/>
  <c r="BW27" i="24"/>
  <c r="BW28" i="24"/>
  <c r="BW29" i="24"/>
  <c r="BW30" i="24"/>
  <c r="BW31" i="24"/>
  <c r="BW32" i="24"/>
  <c r="BW35" i="24"/>
  <c r="BW36" i="24"/>
  <c r="BW37" i="24"/>
  <c r="BW39" i="24"/>
  <c r="BW40" i="24"/>
  <c r="BX3" i="24"/>
  <c r="BX4" i="24"/>
  <c r="BX5" i="24"/>
  <c r="BX6" i="24"/>
  <c r="BX7" i="24"/>
  <c r="BX20" i="24"/>
  <c r="BX21" i="24"/>
  <c r="BX22" i="24"/>
  <c r="BX24" i="24"/>
  <c r="BX25" i="24"/>
  <c r="BX26" i="24"/>
  <c r="BX27" i="24"/>
  <c r="BX28" i="24"/>
  <c r="BX29" i="24"/>
  <c r="BX30" i="24"/>
  <c r="BX31" i="24"/>
  <c r="BX32" i="24"/>
  <c r="BX35" i="24"/>
  <c r="BX36" i="24"/>
  <c r="BX37" i="24"/>
  <c r="BX39" i="24"/>
  <c r="BX40" i="24"/>
  <c r="BY3" i="24"/>
  <c r="BY4" i="24"/>
  <c r="BY5" i="24"/>
  <c r="BY6" i="24"/>
  <c r="BY7" i="24"/>
  <c r="BY20" i="24"/>
  <c r="BY21" i="24"/>
  <c r="BY22" i="24"/>
  <c r="BY24" i="24"/>
  <c r="BY25" i="24"/>
  <c r="BY26" i="24"/>
  <c r="BY27" i="24"/>
  <c r="BY28" i="24"/>
  <c r="BY29" i="24"/>
  <c r="BY30" i="24"/>
  <c r="BY31" i="24"/>
  <c r="BY32" i="24"/>
  <c r="BY35" i="24"/>
  <c r="BY36" i="24"/>
  <c r="BY37" i="24"/>
  <c r="BY39" i="24"/>
  <c r="BY40" i="24"/>
  <c r="BZ3" i="24"/>
  <c r="BZ4" i="24"/>
  <c r="BZ5" i="24"/>
  <c r="BZ6" i="24"/>
  <c r="BZ7" i="24"/>
  <c r="BZ20" i="24"/>
  <c r="BZ21" i="24"/>
  <c r="BZ22" i="24"/>
  <c r="BZ24" i="24"/>
  <c r="BZ25" i="24"/>
  <c r="BZ26" i="24"/>
  <c r="BZ27" i="24"/>
  <c r="BZ28" i="24"/>
  <c r="BZ29" i="24"/>
  <c r="BZ30" i="24"/>
  <c r="BZ31" i="24"/>
  <c r="BZ32" i="24"/>
  <c r="BZ35" i="24"/>
  <c r="BZ36" i="24"/>
  <c r="BZ37" i="24"/>
  <c r="BZ39" i="24"/>
  <c r="BZ40" i="24"/>
  <c r="CA3" i="24"/>
  <c r="CC3" i="24"/>
  <c r="CC4" i="24"/>
  <c r="CC5" i="24"/>
  <c r="CC6" i="24"/>
  <c r="CC7" i="24"/>
  <c r="CC20" i="24"/>
  <c r="CC21" i="24"/>
  <c r="CC22" i="24"/>
  <c r="CC24" i="24"/>
  <c r="CC25" i="24"/>
  <c r="CC26" i="24"/>
  <c r="CC27" i="24"/>
  <c r="CC28" i="24"/>
  <c r="CC29" i="24"/>
  <c r="CC30" i="24"/>
  <c r="CC31" i="24"/>
  <c r="CC32" i="24"/>
  <c r="CC35" i="24"/>
  <c r="CC36" i="24"/>
  <c r="CC37" i="24"/>
  <c r="CC39" i="24"/>
  <c r="CC40" i="24"/>
  <c r="CD3" i="24"/>
  <c r="CD4" i="24"/>
  <c r="CD5" i="24"/>
  <c r="CD6" i="24"/>
  <c r="CD7" i="24"/>
  <c r="CD20" i="24"/>
  <c r="CD21" i="24"/>
  <c r="CD22" i="24"/>
  <c r="CD24" i="24"/>
  <c r="CD25" i="24"/>
  <c r="CD26" i="24"/>
  <c r="CD27" i="24"/>
  <c r="CD28" i="24"/>
  <c r="CD29" i="24"/>
  <c r="CD30" i="24"/>
  <c r="CD31" i="24"/>
  <c r="CD32" i="24"/>
  <c r="CD35" i="24"/>
  <c r="CD36" i="24"/>
  <c r="CD37" i="24"/>
  <c r="CD39" i="24"/>
  <c r="CD40" i="24"/>
  <c r="CE3" i="24"/>
  <c r="CE4" i="24"/>
  <c r="CE5" i="24"/>
  <c r="CE6" i="24"/>
  <c r="CE7" i="24"/>
  <c r="CE20" i="24"/>
  <c r="CE21" i="24"/>
  <c r="CE22" i="24"/>
  <c r="CE24" i="24"/>
  <c r="CE25" i="24"/>
  <c r="CE26" i="24"/>
  <c r="CE27" i="24"/>
  <c r="CE28" i="24"/>
  <c r="CE29" i="24"/>
  <c r="CE30" i="24"/>
  <c r="CE31" i="24"/>
  <c r="CE32" i="24"/>
  <c r="CE35" i="24"/>
  <c r="CE36" i="24"/>
  <c r="CE37" i="24"/>
  <c r="CE39" i="24"/>
  <c r="CE40" i="24"/>
  <c r="CF3" i="24"/>
  <c r="CF4" i="24"/>
  <c r="CF5" i="24"/>
  <c r="CF6" i="24"/>
  <c r="CF7" i="24"/>
  <c r="CF20" i="24"/>
  <c r="CF21" i="24"/>
  <c r="CF22" i="24"/>
  <c r="CF24" i="24"/>
  <c r="CF25" i="24"/>
  <c r="CF26" i="24"/>
  <c r="CF27" i="24"/>
  <c r="CF28" i="24"/>
  <c r="CF29" i="24"/>
  <c r="CF30" i="24"/>
  <c r="CF31" i="24"/>
  <c r="CF32" i="24"/>
  <c r="CF35" i="24"/>
  <c r="CF36" i="24"/>
  <c r="CF37" i="24"/>
  <c r="CF39" i="24"/>
  <c r="CF40" i="24"/>
  <c r="CG3" i="24"/>
  <c r="CG4" i="24"/>
  <c r="CG5" i="24"/>
  <c r="CG6" i="24"/>
  <c r="CG7" i="24"/>
  <c r="CG20" i="24"/>
  <c r="CG21" i="24"/>
  <c r="CG22" i="24"/>
  <c r="CG24" i="24"/>
  <c r="CG25" i="24"/>
  <c r="CG26" i="24"/>
  <c r="CG27" i="24"/>
  <c r="CG28" i="24"/>
  <c r="CG29" i="24"/>
  <c r="CG30" i="24"/>
  <c r="CG31" i="24"/>
  <c r="CG32" i="24"/>
  <c r="CG35" i="24"/>
  <c r="CG36" i="24"/>
  <c r="CG37" i="24"/>
  <c r="CG39" i="24"/>
  <c r="CG40" i="24"/>
  <c r="CH3" i="24"/>
  <c r="CH4" i="24"/>
  <c r="CH5" i="24"/>
  <c r="CH6" i="24"/>
  <c r="CH7" i="24"/>
  <c r="CH20" i="24"/>
  <c r="CH21" i="24"/>
  <c r="CH22" i="24"/>
  <c r="CH24" i="24"/>
  <c r="CH25" i="24"/>
  <c r="CH26" i="24"/>
  <c r="CH27" i="24"/>
  <c r="CH28" i="24"/>
  <c r="CH29" i="24"/>
  <c r="CH30" i="24"/>
  <c r="CH31" i="24"/>
  <c r="CH32" i="24"/>
  <c r="CH35" i="24"/>
  <c r="CH36" i="24"/>
  <c r="CH37" i="24"/>
  <c r="CH39" i="24"/>
  <c r="CH40" i="24"/>
  <c r="CI3" i="24"/>
  <c r="CI4" i="24"/>
  <c r="CI5" i="24"/>
  <c r="CI6" i="24"/>
  <c r="CI7" i="24"/>
  <c r="CI20" i="24"/>
  <c r="CI21" i="24"/>
  <c r="CI22" i="24"/>
  <c r="CI24" i="24"/>
  <c r="CI25" i="24"/>
  <c r="CI26" i="24"/>
  <c r="CI27" i="24"/>
  <c r="CI28" i="24"/>
  <c r="CI29" i="24"/>
  <c r="CI30" i="24"/>
  <c r="CI31" i="24"/>
  <c r="CI32" i="24"/>
  <c r="CI35" i="24"/>
  <c r="CI36" i="24"/>
  <c r="CI37" i="24"/>
  <c r="CI39" i="24"/>
  <c r="CI40" i="24"/>
  <c r="CJ3" i="24"/>
  <c r="CJ4" i="24"/>
  <c r="CJ5" i="24"/>
  <c r="CJ6" i="24"/>
  <c r="CJ7" i="24"/>
  <c r="CJ20" i="24"/>
  <c r="CJ21" i="24"/>
  <c r="CJ22" i="24"/>
  <c r="CJ24" i="24"/>
  <c r="CJ25" i="24"/>
  <c r="CJ26" i="24"/>
  <c r="CJ27" i="24"/>
  <c r="CJ28" i="24"/>
  <c r="CJ29" i="24"/>
  <c r="CJ30" i="24"/>
  <c r="CJ31" i="24"/>
  <c r="CJ32" i="24"/>
  <c r="CJ35" i="24"/>
  <c r="CJ36" i="24"/>
  <c r="CJ37" i="24"/>
  <c r="CJ39" i="24"/>
  <c r="CJ40" i="24"/>
  <c r="CK3" i="24"/>
  <c r="CK4" i="24"/>
  <c r="CK5" i="24"/>
  <c r="CK6" i="24"/>
  <c r="CK7" i="24"/>
  <c r="CK20" i="24"/>
  <c r="CK21" i="24"/>
  <c r="CK22" i="24"/>
  <c r="CK24" i="24"/>
  <c r="CK25" i="24"/>
  <c r="CK26" i="24"/>
  <c r="CK27" i="24"/>
  <c r="CK28" i="24"/>
  <c r="CK29" i="24"/>
  <c r="CK30" i="24"/>
  <c r="CK31" i="24"/>
  <c r="CK32" i="24"/>
  <c r="CK35" i="24"/>
  <c r="CK36" i="24"/>
  <c r="CK37" i="24"/>
  <c r="CK39" i="24"/>
  <c r="CK40" i="24"/>
  <c r="CL3" i="24"/>
  <c r="CL4" i="24"/>
  <c r="CL5" i="24"/>
  <c r="CL6" i="24"/>
  <c r="CL7" i="24"/>
  <c r="CL20" i="24"/>
  <c r="CL21" i="24"/>
  <c r="CL22" i="24"/>
  <c r="CL24" i="24"/>
  <c r="CL25" i="24"/>
  <c r="CL26" i="24"/>
  <c r="CL27" i="24"/>
  <c r="CL28" i="24"/>
  <c r="CL29" i="24"/>
  <c r="CL30" i="24"/>
  <c r="CL31" i="24"/>
  <c r="CL32" i="24"/>
  <c r="CL35" i="24"/>
  <c r="CL36" i="24"/>
  <c r="CL37" i="24"/>
  <c r="CL39" i="24"/>
  <c r="CL40" i="24"/>
  <c r="CM3" i="24"/>
  <c r="K4" i="24"/>
  <c r="K20" i="24"/>
  <c r="K21" i="24"/>
  <c r="K22" i="24"/>
  <c r="K24" i="24"/>
  <c r="K25" i="24"/>
  <c r="K26" i="24"/>
  <c r="K27" i="24"/>
  <c r="K28" i="24"/>
  <c r="K29" i="24"/>
  <c r="K30" i="24"/>
  <c r="K31" i="24"/>
  <c r="K32" i="24"/>
  <c r="K35" i="24"/>
  <c r="K36" i="24"/>
  <c r="K37" i="24"/>
  <c r="K39" i="24"/>
  <c r="K40" i="24"/>
  <c r="L4" i="24"/>
  <c r="L20" i="24"/>
  <c r="L21" i="24"/>
  <c r="L22" i="24"/>
  <c r="L24" i="24"/>
  <c r="L25" i="24"/>
  <c r="L26" i="24"/>
  <c r="L27" i="24"/>
  <c r="L28" i="24"/>
  <c r="L29" i="24"/>
  <c r="L30" i="24"/>
  <c r="L31" i="24"/>
  <c r="L32" i="24"/>
  <c r="L35" i="24"/>
  <c r="L36" i="24"/>
  <c r="L37" i="24"/>
  <c r="L39" i="24"/>
  <c r="L40" i="24"/>
  <c r="M4" i="24"/>
  <c r="M20" i="24"/>
  <c r="M21" i="24"/>
  <c r="M22" i="24"/>
  <c r="M24" i="24"/>
  <c r="M25" i="24"/>
  <c r="M26" i="24"/>
  <c r="M27" i="24"/>
  <c r="M28" i="24"/>
  <c r="M29" i="24"/>
  <c r="M30" i="24"/>
  <c r="M31" i="24"/>
  <c r="M32" i="24"/>
  <c r="M35" i="24"/>
  <c r="M36" i="24"/>
  <c r="M37" i="24"/>
  <c r="M39" i="24"/>
  <c r="M40" i="24"/>
  <c r="N4" i="24"/>
  <c r="N20" i="24"/>
  <c r="N21" i="24"/>
  <c r="N22" i="24"/>
  <c r="N24" i="24"/>
  <c r="N25" i="24"/>
  <c r="N26" i="24"/>
  <c r="N27" i="24"/>
  <c r="N28" i="24"/>
  <c r="N29" i="24"/>
  <c r="N30" i="24"/>
  <c r="N31" i="24"/>
  <c r="N32" i="24"/>
  <c r="N35" i="24"/>
  <c r="N36" i="24"/>
  <c r="N37" i="24"/>
  <c r="N39" i="24"/>
  <c r="N40" i="24"/>
  <c r="P4" i="24"/>
  <c r="P20" i="24"/>
  <c r="P21" i="24"/>
  <c r="P22" i="24"/>
  <c r="P24" i="24"/>
  <c r="P25" i="24"/>
  <c r="P26" i="24"/>
  <c r="P27" i="24"/>
  <c r="P28" i="24"/>
  <c r="P29" i="24"/>
  <c r="P30" i="24"/>
  <c r="P31" i="24"/>
  <c r="P32" i="24"/>
  <c r="P35" i="24"/>
  <c r="P36" i="24"/>
  <c r="P37" i="24"/>
  <c r="P39" i="24"/>
  <c r="P40" i="24"/>
  <c r="Q4" i="24"/>
  <c r="Q20" i="24"/>
  <c r="Q21" i="24"/>
  <c r="Q22" i="24"/>
  <c r="Q24" i="24"/>
  <c r="Q25" i="24"/>
  <c r="Q26" i="24"/>
  <c r="Q27" i="24"/>
  <c r="Q28" i="24"/>
  <c r="Q29" i="24"/>
  <c r="Q30" i="24"/>
  <c r="Q31" i="24"/>
  <c r="Q32" i="24"/>
  <c r="Q35" i="24"/>
  <c r="Q36" i="24"/>
  <c r="Q37" i="24"/>
  <c r="Q39" i="24"/>
  <c r="Q40" i="24"/>
  <c r="IS70" i="95"/>
  <c r="IS69" i="95" s="1"/>
  <c r="IK70" i="95"/>
  <c r="IK69" i="95" s="1"/>
  <c r="CR14" i="91"/>
  <c r="CS14" i="91"/>
  <c r="CT14" i="91"/>
  <c r="CU14" i="91"/>
  <c r="CV14" i="91"/>
  <c r="CW14" i="91"/>
  <c r="CX14" i="91"/>
  <c r="CY14" i="91"/>
  <c r="CZ14" i="91"/>
  <c r="DA14" i="91"/>
  <c r="DB14" i="91"/>
  <c r="DC14" i="91"/>
  <c r="DD14" i="91"/>
  <c r="DE14" i="91"/>
  <c r="DF14" i="91"/>
  <c r="CR15" i="91"/>
  <c r="CS15" i="91"/>
  <c r="CT15" i="91"/>
  <c r="CU15" i="91"/>
  <c r="CV15" i="91"/>
  <c r="CW15" i="91"/>
  <c r="CX15" i="91"/>
  <c r="CY15" i="91"/>
  <c r="CZ15" i="91"/>
  <c r="DA15" i="91"/>
  <c r="DB15" i="91"/>
  <c r="DC15" i="91"/>
  <c r="DD15" i="91"/>
  <c r="DE15" i="91"/>
  <c r="DF15" i="91"/>
  <c r="CR16" i="91"/>
  <c r="CS16" i="91"/>
  <c r="CT16" i="91"/>
  <c r="CU16" i="91"/>
  <c r="CV16" i="91"/>
  <c r="CW16" i="91"/>
  <c r="CX16" i="91"/>
  <c r="CY16" i="91"/>
  <c r="CZ16" i="91"/>
  <c r="DA16" i="91"/>
  <c r="DB16" i="91"/>
  <c r="DC16" i="91"/>
  <c r="DD16" i="91"/>
  <c r="DE16" i="91"/>
  <c r="DF16" i="91"/>
  <c r="CR17" i="91"/>
  <c r="CS17" i="91"/>
  <c r="CT17" i="91"/>
  <c r="CU17" i="91"/>
  <c r="CV17" i="91"/>
  <c r="CW17" i="91"/>
  <c r="CX17" i="91"/>
  <c r="CY17" i="91"/>
  <c r="CZ17" i="91"/>
  <c r="DA17" i="91"/>
  <c r="DB17" i="91"/>
  <c r="DC17" i="91"/>
  <c r="DD17" i="91"/>
  <c r="DE17" i="91"/>
  <c r="DF17" i="91"/>
  <c r="CR18" i="91"/>
  <c r="CS18" i="91"/>
  <c r="CT18" i="91"/>
  <c r="CU18" i="91"/>
  <c r="CV18" i="91"/>
  <c r="CW18" i="91"/>
  <c r="CX18" i="91"/>
  <c r="CY18" i="91"/>
  <c r="CZ18" i="91"/>
  <c r="DA18" i="91"/>
  <c r="DB18" i="91"/>
  <c r="DC18" i="91"/>
  <c r="DD18" i="91"/>
  <c r="DE18" i="91"/>
  <c r="DF18" i="91"/>
  <c r="CR19" i="91"/>
  <c r="CS19" i="91"/>
  <c r="CT19" i="91"/>
  <c r="CU19" i="91"/>
  <c r="CV19" i="91"/>
  <c r="CW19" i="91"/>
  <c r="CX19" i="91"/>
  <c r="CY19" i="91"/>
  <c r="CZ19" i="91"/>
  <c r="DA19" i="91"/>
  <c r="DB19" i="91"/>
  <c r="DC19" i="91"/>
  <c r="DD19" i="91"/>
  <c r="DE19" i="91"/>
  <c r="DF19" i="91"/>
  <c r="CR20" i="91"/>
  <c r="CS20" i="91"/>
  <c r="CT20" i="91"/>
  <c r="CU20" i="91"/>
  <c r="CV20" i="91"/>
  <c r="CW20" i="91"/>
  <c r="CX20" i="91"/>
  <c r="CY20" i="91"/>
  <c r="CZ20" i="91"/>
  <c r="DA20" i="91"/>
  <c r="DB20" i="91"/>
  <c r="DC20" i="91"/>
  <c r="DD20" i="91"/>
  <c r="DE20" i="91"/>
  <c r="DF20" i="91"/>
  <c r="CR21" i="91"/>
  <c r="CS21" i="91"/>
  <c r="CT21" i="91"/>
  <c r="CU21" i="91"/>
  <c r="CV21" i="91"/>
  <c r="CW21" i="91"/>
  <c r="CX21" i="91"/>
  <c r="CY21" i="91"/>
  <c r="CZ21" i="91"/>
  <c r="DA21" i="91"/>
  <c r="DB21" i="91"/>
  <c r="DC21" i="91"/>
  <c r="DD21" i="91"/>
  <c r="DE21" i="91"/>
  <c r="DF21" i="91"/>
  <c r="CR22" i="91"/>
  <c r="CS22" i="91"/>
  <c r="CT22" i="91"/>
  <c r="CU22" i="91"/>
  <c r="CV22" i="91"/>
  <c r="CW22" i="91"/>
  <c r="CX22" i="91"/>
  <c r="CY22" i="91"/>
  <c r="CZ22" i="91"/>
  <c r="DA22" i="91"/>
  <c r="DB22" i="91"/>
  <c r="DC22" i="91"/>
  <c r="DD22" i="91"/>
  <c r="DE22" i="91"/>
  <c r="DF22" i="91"/>
  <c r="CR23" i="91"/>
  <c r="CS23" i="91"/>
  <c r="CT23" i="91"/>
  <c r="CU23" i="91"/>
  <c r="CV23" i="91"/>
  <c r="CW23" i="91"/>
  <c r="CX23" i="91"/>
  <c r="CY23" i="91"/>
  <c r="CZ23" i="91"/>
  <c r="DA23" i="91"/>
  <c r="DB23" i="91"/>
  <c r="DC23" i="91"/>
  <c r="DD23" i="91"/>
  <c r="DE23" i="91"/>
  <c r="DF23" i="91"/>
  <c r="CR24" i="91"/>
  <c r="CS24" i="91"/>
  <c r="CT24" i="91"/>
  <c r="CU24" i="91"/>
  <c r="CV24" i="91"/>
  <c r="CW24" i="91"/>
  <c r="CX24" i="91"/>
  <c r="CY24" i="91"/>
  <c r="CZ24" i="91"/>
  <c r="DA24" i="91"/>
  <c r="DB24" i="91"/>
  <c r="DC24" i="91"/>
  <c r="DD24" i="91"/>
  <c r="DE24" i="91"/>
  <c r="DF24" i="91"/>
  <c r="CR25" i="91"/>
  <c r="CS25" i="91"/>
  <c r="CT25" i="91"/>
  <c r="CU25" i="91"/>
  <c r="CV25" i="91"/>
  <c r="CW25" i="91"/>
  <c r="CX25" i="91"/>
  <c r="CY25" i="91"/>
  <c r="CZ25" i="91"/>
  <c r="DA25" i="91"/>
  <c r="DB25" i="91"/>
  <c r="DC25" i="91"/>
  <c r="DD25" i="91"/>
  <c r="DE25" i="91"/>
  <c r="DF25" i="91"/>
  <c r="CR26" i="91"/>
  <c r="CS26" i="91"/>
  <c r="CT26" i="91"/>
  <c r="CU26" i="91"/>
  <c r="CV26" i="91"/>
  <c r="CW26" i="91"/>
  <c r="CX26" i="91"/>
  <c r="CY26" i="91"/>
  <c r="CZ26" i="91"/>
  <c r="DA26" i="91"/>
  <c r="DB26" i="91"/>
  <c r="DC26" i="91"/>
  <c r="DD26" i="91"/>
  <c r="DE26" i="91"/>
  <c r="DF26" i="91"/>
  <c r="CR27" i="91"/>
  <c r="CS27" i="91"/>
  <c r="CT27" i="91"/>
  <c r="CU27" i="91"/>
  <c r="CV27" i="91"/>
  <c r="CW27" i="91"/>
  <c r="CX27" i="91"/>
  <c r="CY27" i="91"/>
  <c r="CZ27" i="91"/>
  <c r="DA27" i="91"/>
  <c r="DB27" i="91"/>
  <c r="DC27" i="91"/>
  <c r="DD27" i="91"/>
  <c r="DE27" i="91"/>
  <c r="DF27" i="91"/>
  <c r="CR28" i="91"/>
  <c r="CS28" i="91"/>
  <c r="CT28" i="91"/>
  <c r="CU28" i="91"/>
  <c r="CV28" i="91"/>
  <c r="CW28" i="91"/>
  <c r="CX28" i="91"/>
  <c r="CY28" i="91"/>
  <c r="CZ28" i="91"/>
  <c r="DA28" i="91"/>
  <c r="DB28" i="91"/>
  <c r="DC28" i="91"/>
  <c r="DD28" i="91"/>
  <c r="DE28" i="91"/>
  <c r="DF28" i="91"/>
  <c r="CR29" i="91"/>
  <c r="CS29" i="91"/>
  <c r="CT29" i="91"/>
  <c r="CU29" i="91"/>
  <c r="CV29" i="91"/>
  <c r="CW29" i="91"/>
  <c r="CX29" i="91"/>
  <c r="CY29" i="91"/>
  <c r="CZ29" i="91"/>
  <c r="DA29" i="91"/>
  <c r="DB29" i="91"/>
  <c r="DC29" i="91"/>
  <c r="DD29" i="91"/>
  <c r="DE29" i="91"/>
  <c r="DF29" i="91"/>
  <c r="CR30" i="91"/>
  <c r="CS30" i="91"/>
  <c r="CT30" i="91"/>
  <c r="CU30" i="91"/>
  <c r="CV30" i="91"/>
  <c r="CW30" i="91"/>
  <c r="CX30" i="91"/>
  <c r="CY30" i="91"/>
  <c r="CZ30" i="91"/>
  <c r="DA30" i="91"/>
  <c r="DB30" i="91"/>
  <c r="DC30" i="91"/>
  <c r="DD30" i="91"/>
  <c r="DE30" i="91"/>
  <c r="DF30" i="91"/>
  <c r="CR31" i="91"/>
  <c r="CS31" i="91"/>
  <c r="CT31" i="91"/>
  <c r="CU31" i="91"/>
  <c r="CV31" i="91"/>
  <c r="CW31" i="91"/>
  <c r="CX31" i="91"/>
  <c r="CY31" i="91"/>
  <c r="CZ31" i="91"/>
  <c r="DA31" i="91"/>
  <c r="DB31" i="91"/>
  <c r="DC31" i="91"/>
  <c r="DD31" i="91"/>
  <c r="DE31" i="91"/>
  <c r="DF31" i="91"/>
  <c r="CR32" i="91"/>
  <c r="CS32" i="91"/>
  <c r="CT32" i="91"/>
  <c r="CU32" i="91"/>
  <c r="CV32" i="91"/>
  <c r="CW32" i="91"/>
  <c r="CX32" i="91"/>
  <c r="CY32" i="91"/>
  <c r="CZ32" i="91"/>
  <c r="DA32" i="91"/>
  <c r="DB32" i="91"/>
  <c r="DC32" i="91"/>
  <c r="DD32" i="91"/>
  <c r="DE32" i="91"/>
  <c r="DF32" i="91"/>
  <c r="CR33" i="91"/>
  <c r="CS33" i="91"/>
  <c r="CT33" i="91"/>
  <c r="CU33" i="91"/>
  <c r="CV33" i="91"/>
  <c r="CW33" i="91"/>
  <c r="CX33" i="91"/>
  <c r="CY33" i="91"/>
  <c r="CZ33" i="91"/>
  <c r="DA33" i="91"/>
  <c r="DB33" i="91"/>
  <c r="DC33" i="91"/>
  <c r="DD33" i="91"/>
  <c r="DE33" i="91"/>
  <c r="DF33" i="91"/>
  <c r="CR34" i="91"/>
  <c r="CS34" i="91"/>
  <c r="CT34" i="91"/>
  <c r="CU34" i="91"/>
  <c r="CV34" i="91"/>
  <c r="CW34" i="91"/>
  <c r="CX34" i="91"/>
  <c r="CY34" i="91"/>
  <c r="CZ34" i="91"/>
  <c r="DA34" i="91"/>
  <c r="DB34" i="91"/>
  <c r="DC34" i="91"/>
  <c r="DD34" i="91"/>
  <c r="DE34" i="91"/>
  <c r="DF34" i="91"/>
  <c r="CR35" i="91"/>
  <c r="CS35" i="91"/>
  <c r="CT35" i="91"/>
  <c r="CU35" i="91"/>
  <c r="CV35" i="91"/>
  <c r="CW35" i="91"/>
  <c r="CX35" i="91"/>
  <c r="CY35" i="91"/>
  <c r="CZ35" i="91"/>
  <c r="DA35" i="91"/>
  <c r="DB35" i="91"/>
  <c r="DC35" i="91"/>
  <c r="DD35" i="91"/>
  <c r="DE35" i="91"/>
  <c r="DF35" i="91"/>
  <c r="CR36" i="91"/>
  <c r="CS36" i="91"/>
  <c r="CT36" i="91"/>
  <c r="CU36" i="91"/>
  <c r="CV36" i="91"/>
  <c r="CW36" i="91"/>
  <c r="CX36" i="91"/>
  <c r="CY36" i="91"/>
  <c r="CZ36" i="91"/>
  <c r="DA36" i="91"/>
  <c r="DB36" i="91"/>
  <c r="DC36" i="91"/>
  <c r="DD36" i="91"/>
  <c r="DE36" i="91"/>
  <c r="DF36" i="91"/>
  <c r="CR37" i="91"/>
  <c r="CS37" i="91"/>
  <c r="CT37" i="91"/>
  <c r="CU37" i="91"/>
  <c r="CV37" i="91"/>
  <c r="CW37" i="91"/>
  <c r="CX37" i="91"/>
  <c r="CY37" i="91"/>
  <c r="CZ37" i="91"/>
  <c r="DA37" i="91"/>
  <c r="DB37" i="91"/>
  <c r="DC37" i="91"/>
  <c r="DD37" i="91"/>
  <c r="DE37" i="91"/>
  <c r="DF37" i="91"/>
  <c r="CR38" i="91"/>
  <c r="CS38" i="91"/>
  <c r="CT38" i="91"/>
  <c r="CU38" i="91"/>
  <c r="CV38" i="91"/>
  <c r="CW38" i="91"/>
  <c r="CX38" i="91"/>
  <c r="CY38" i="91"/>
  <c r="CZ38" i="91"/>
  <c r="DA38" i="91"/>
  <c r="DB38" i="91"/>
  <c r="DC38" i="91"/>
  <c r="DD38" i="91"/>
  <c r="DE38" i="91"/>
  <c r="DF38" i="91"/>
  <c r="CR39" i="91"/>
  <c r="CS39" i="91"/>
  <c r="CT39" i="91"/>
  <c r="CU39" i="91"/>
  <c r="CV39" i="91"/>
  <c r="CW39" i="91"/>
  <c r="CX39" i="91"/>
  <c r="CY39" i="91"/>
  <c r="CZ39" i="91"/>
  <c r="DA39" i="91"/>
  <c r="DB39" i="91"/>
  <c r="DC39" i="91"/>
  <c r="DD39" i="91"/>
  <c r="DE39" i="91"/>
  <c r="DF39" i="91"/>
  <c r="CR40" i="91"/>
  <c r="CS40" i="91"/>
  <c r="CT40" i="91"/>
  <c r="CU40" i="91"/>
  <c r="CV40" i="91"/>
  <c r="CW40" i="91"/>
  <c r="CX40" i="91"/>
  <c r="CY40" i="91"/>
  <c r="CZ40" i="91"/>
  <c r="DA40" i="91"/>
  <c r="DB40" i="91"/>
  <c r="DC40" i="91"/>
  <c r="DD40" i="91"/>
  <c r="DE40" i="91"/>
  <c r="DF40" i="91"/>
  <c r="CR41" i="91"/>
  <c r="CS41" i="91"/>
  <c r="CT41" i="91"/>
  <c r="CU41" i="91"/>
  <c r="CV41" i="91"/>
  <c r="CW41" i="91"/>
  <c r="CX41" i="91"/>
  <c r="CY41" i="91"/>
  <c r="CZ41" i="91"/>
  <c r="DA41" i="91"/>
  <c r="DB41" i="91"/>
  <c r="DC41" i="91"/>
  <c r="DD41" i="91"/>
  <c r="DE41" i="91"/>
  <c r="DF41" i="91"/>
  <c r="CR42" i="91"/>
  <c r="CS42" i="91"/>
  <c r="CT42" i="91"/>
  <c r="CU42" i="91"/>
  <c r="CV42" i="91"/>
  <c r="CW42" i="91"/>
  <c r="CX42" i="91"/>
  <c r="CY42" i="91"/>
  <c r="CZ42" i="91"/>
  <c r="DA42" i="91"/>
  <c r="DB42" i="91"/>
  <c r="DC42" i="91"/>
  <c r="DD42" i="91"/>
  <c r="DE42" i="91"/>
  <c r="DF42" i="91"/>
  <c r="CR43" i="91"/>
  <c r="CS43" i="91"/>
  <c r="CT43" i="91"/>
  <c r="CU43" i="91"/>
  <c r="CV43" i="91"/>
  <c r="CW43" i="91"/>
  <c r="CX43" i="91"/>
  <c r="CY43" i="91"/>
  <c r="CZ43" i="91"/>
  <c r="DA43" i="91"/>
  <c r="DB43" i="91"/>
  <c r="DC43" i="91"/>
  <c r="DD43" i="91"/>
  <c r="DE43" i="91"/>
  <c r="DF43" i="91"/>
  <c r="CR44" i="91"/>
  <c r="CS44" i="91"/>
  <c r="CT44" i="91"/>
  <c r="CU44" i="91"/>
  <c r="CV44" i="91"/>
  <c r="CW44" i="91"/>
  <c r="CX44" i="91"/>
  <c r="CY44" i="91"/>
  <c r="CZ44" i="91"/>
  <c r="DA44" i="91"/>
  <c r="DB44" i="91"/>
  <c r="DC44" i="91"/>
  <c r="DD44" i="91"/>
  <c r="DE44" i="91"/>
  <c r="DF44" i="91"/>
  <c r="CR45" i="91"/>
  <c r="CS45" i="91"/>
  <c r="CT45" i="91"/>
  <c r="CU45" i="91"/>
  <c r="CV45" i="91"/>
  <c r="CW45" i="91"/>
  <c r="CX45" i="91"/>
  <c r="CY45" i="91"/>
  <c r="CZ45" i="91"/>
  <c r="DA45" i="91"/>
  <c r="DB45" i="91"/>
  <c r="DC45" i="91"/>
  <c r="DD45" i="91"/>
  <c r="DE45" i="91"/>
  <c r="DF45" i="91"/>
  <c r="CR46" i="91"/>
  <c r="CS46" i="91"/>
  <c r="CT46" i="91"/>
  <c r="CU46" i="91"/>
  <c r="CV46" i="91"/>
  <c r="CW46" i="91"/>
  <c r="CX46" i="91"/>
  <c r="CY46" i="91"/>
  <c r="CZ46" i="91"/>
  <c r="DA46" i="91"/>
  <c r="DB46" i="91"/>
  <c r="DC46" i="91"/>
  <c r="DD46" i="91"/>
  <c r="DE46" i="91"/>
  <c r="DF46" i="91"/>
  <c r="CR47" i="91"/>
  <c r="CS47" i="91"/>
  <c r="CT47" i="91"/>
  <c r="CU47" i="91"/>
  <c r="CV47" i="91"/>
  <c r="CW47" i="91"/>
  <c r="CX47" i="91"/>
  <c r="CY47" i="91"/>
  <c r="CZ47" i="91"/>
  <c r="DA47" i="91"/>
  <c r="DB47" i="91"/>
  <c r="DC47" i="91"/>
  <c r="DD47" i="91"/>
  <c r="DE47" i="91"/>
  <c r="DF47" i="91"/>
  <c r="CR48" i="91"/>
  <c r="CS48" i="91"/>
  <c r="CT48" i="91"/>
  <c r="CU48" i="91"/>
  <c r="CV48" i="91"/>
  <c r="CW48" i="91"/>
  <c r="CX48" i="91"/>
  <c r="CY48" i="91"/>
  <c r="CZ48" i="91"/>
  <c r="DA48" i="91"/>
  <c r="DB48" i="91"/>
  <c r="DC48" i="91"/>
  <c r="DD48" i="91"/>
  <c r="DE48" i="91"/>
  <c r="DF48" i="91"/>
  <c r="CS13" i="91"/>
  <c r="CT13" i="91"/>
  <c r="CU13" i="91"/>
  <c r="CV13" i="91"/>
  <c r="CW13" i="91"/>
  <c r="CX13" i="91"/>
  <c r="CY13" i="91"/>
  <c r="CZ13" i="91"/>
  <c r="DA13" i="91"/>
  <c r="DB13" i="91"/>
  <c r="DC13" i="91"/>
  <c r="DD13" i="91"/>
  <c r="DE13" i="91"/>
  <c r="DF13" i="91"/>
  <c r="CD14" i="91"/>
  <c r="CE14" i="91"/>
  <c r="CF14" i="91"/>
  <c r="CG14" i="91"/>
  <c r="CH14" i="91"/>
  <c r="CI14" i="91"/>
  <c r="CJ14" i="91"/>
  <c r="CK14" i="91"/>
  <c r="CL14" i="91"/>
  <c r="CM14" i="91"/>
  <c r="CN14" i="91"/>
  <c r="CO14" i="91"/>
  <c r="CP14" i="91"/>
  <c r="CQ14" i="91"/>
  <c r="CD15" i="91"/>
  <c r="CE15" i="91"/>
  <c r="CF15" i="91"/>
  <c r="CG15" i="91"/>
  <c r="CH15" i="91"/>
  <c r="CI15" i="91"/>
  <c r="CJ15" i="91"/>
  <c r="CK15" i="91"/>
  <c r="CL15" i="91"/>
  <c r="CM15" i="91"/>
  <c r="CN15" i="91"/>
  <c r="CO15" i="91"/>
  <c r="CP15" i="91"/>
  <c r="CQ15" i="91"/>
  <c r="CD16" i="91"/>
  <c r="CE16" i="91"/>
  <c r="CF16" i="91"/>
  <c r="CG16" i="91"/>
  <c r="CH16" i="91"/>
  <c r="CI16" i="91"/>
  <c r="CJ16" i="91"/>
  <c r="CK16" i="91"/>
  <c r="CL16" i="91"/>
  <c r="CM16" i="91"/>
  <c r="CN16" i="91"/>
  <c r="CO16" i="91"/>
  <c r="CP16" i="91"/>
  <c r="CQ16" i="91"/>
  <c r="CD17" i="91"/>
  <c r="CE17" i="91"/>
  <c r="CF17" i="91"/>
  <c r="CG17" i="91"/>
  <c r="CH17" i="91"/>
  <c r="CI17" i="91"/>
  <c r="CJ17" i="91"/>
  <c r="CK17" i="91"/>
  <c r="CL17" i="91"/>
  <c r="CM17" i="91"/>
  <c r="CN17" i="91"/>
  <c r="CO17" i="91"/>
  <c r="CP17" i="91"/>
  <c r="CQ17" i="91"/>
  <c r="CD18" i="91"/>
  <c r="CE18" i="91"/>
  <c r="CF18" i="91"/>
  <c r="CG18" i="91"/>
  <c r="CH18" i="91"/>
  <c r="CI18" i="91"/>
  <c r="CJ18" i="91"/>
  <c r="CK18" i="91"/>
  <c r="CL18" i="91"/>
  <c r="CM18" i="91"/>
  <c r="CN18" i="91"/>
  <c r="CO18" i="91"/>
  <c r="CP18" i="91"/>
  <c r="CQ18" i="91"/>
  <c r="CD19" i="91"/>
  <c r="CE19" i="91"/>
  <c r="CF19" i="91"/>
  <c r="CG19" i="91"/>
  <c r="CH19" i="91"/>
  <c r="CI19" i="91"/>
  <c r="CJ19" i="91"/>
  <c r="CK19" i="91"/>
  <c r="CL19" i="91"/>
  <c r="CM19" i="91"/>
  <c r="CN19" i="91"/>
  <c r="CO19" i="91"/>
  <c r="CP19" i="91"/>
  <c r="CQ19" i="91"/>
  <c r="CD20" i="91"/>
  <c r="CE20" i="91"/>
  <c r="CF20" i="91"/>
  <c r="CG20" i="91"/>
  <c r="CH20" i="91"/>
  <c r="CI20" i="91"/>
  <c r="CJ20" i="91"/>
  <c r="CK20" i="91"/>
  <c r="CL20" i="91"/>
  <c r="CM20" i="91"/>
  <c r="CN20" i="91"/>
  <c r="CO20" i="91"/>
  <c r="CP20" i="91"/>
  <c r="CQ20" i="91"/>
  <c r="CD21" i="91"/>
  <c r="CE21" i="91"/>
  <c r="CF21" i="91"/>
  <c r="CG21" i="91"/>
  <c r="CH21" i="91"/>
  <c r="CI21" i="91"/>
  <c r="CJ21" i="91"/>
  <c r="CK21" i="91"/>
  <c r="CL21" i="91"/>
  <c r="CM21" i="91"/>
  <c r="CN21" i="91"/>
  <c r="CO21" i="91"/>
  <c r="CP21" i="91"/>
  <c r="CQ21" i="91"/>
  <c r="CD22" i="91"/>
  <c r="CE22" i="91"/>
  <c r="CF22" i="91"/>
  <c r="CG22" i="91"/>
  <c r="CH22" i="91"/>
  <c r="CI22" i="91"/>
  <c r="CJ22" i="91"/>
  <c r="CK22" i="91"/>
  <c r="CL22" i="91"/>
  <c r="CM22" i="91"/>
  <c r="CN22" i="91"/>
  <c r="CO22" i="91"/>
  <c r="CP22" i="91"/>
  <c r="CQ22" i="91"/>
  <c r="CD23" i="91"/>
  <c r="CE23" i="91"/>
  <c r="CF23" i="91"/>
  <c r="CG23" i="91"/>
  <c r="CH23" i="91"/>
  <c r="CI23" i="91"/>
  <c r="CJ23" i="91"/>
  <c r="CK23" i="91"/>
  <c r="CL23" i="91"/>
  <c r="CM23" i="91"/>
  <c r="CN23" i="91"/>
  <c r="CO23" i="91"/>
  <c r="CP23" i="91"/>
  <c r="CQ23" i="91"/>
  <c r="CD24" i="91"/>
  <c r="CE24" i="91"/>
  <c r="CF24" i="91"/>
  <c r="CG24" i="91"/>
  <c r="CH24" i="91"/>
  <c r="CI24" i="91"/>
  <c r="CJ24" i="91"/>
  <c r="CK24" i="91"/>
  <c r="CL24" i="91"/>
  <c r="CM24" i="91"/>
  <c r="CN24" i="91"/>
  <c r="CO24" i="91"/>
  <c r="CP24" i="91"/>
  <c r="CQ24" i="91"/>
  <c r="CD25" i="91"/>
  <c r="CE25" i="91"/>
  <c r="CF25" i="91"/>
  <c r="CG25" i="91"/>
  <c r="CH25" i="91"/>
  <c r="CI25" i="91"/>
  <c r="CJ25" i="91"/>
  <c r="CK25" i="91"/>
  <c r="CL25" i="91"/>
  <c r="CM25" i="91"/>
  <c r="CN25" i="91"/>
  <c r="CO25" i="91"/>
  <c r="CP25" i="91"/>
  <c r="CQ25" i="91"/>
  <c r="CD26" i="91"/>
  <c r="CE26" i="91"/>
  <c r="CF26" i="91"/>
  <c r="CG26" i="91"/>
  <c r="CH26" i="91"/>
  <c r="CI26" i="91"/>
  <c r="CJ26" i="91"/>
  <c r="CK26" i="91"/>
  <c r="CL26" i="91"/>
  <c r="CM26" i="91"/>
  <c r="CN26" i="91"/>
  <c r="CO26" i="91"/>
  <c r="CP26" i="91"/>
  <c r="CQ26" i="91"/>
  <c r="CD27" i="91"/>
  <c r="CE27" i="91"/>
  <c r="CF27" i="91"/>
  <c r="CG27" i="91"/>
  <c r="CH27" i="91"/>
  <c r="CI27" i="91"/>
  <c r="CJ27" i="91"/>
  <c r="CK27" i="91"/>
  <c r="CL27" i="91"/>
  <c r="CM27" i="91"/>
  <c r="CN27" i="91"/>
  <c r="CO27" i="91"/>
  <c r="CP27" i="91"/>
  <c r="CQ27" i="91"/>
  <c r="CD28" i="91"/>
  <c r="CE28" i="91"/>
  <c r="CF28" i="91"/>
  <c r="CG28" i="91"/>
  <c r="CH28" i="91"/>
  <c r="CI28" i="91"/>
  <c r="CJ28" i="91"/>
  <c r="CK28" i="91"/>
  <c r="CL28" i="91"/>
  <c r="CM28" i="91"/>
  <c r="CN28" i="91"/>
  <c r="CO28" i="91"/>
  <c r="CP28" i="91"/>
  <c r="CQ28" i="91"/>
  <c r="CD29" i="91"/>
  <c r="CE29" i="91"/>
  <c r="CF29" i="91"/>
  <c r="CG29" i="91"/>
  <c r="CH29" i="91"/>
  <c r="CI29" i="91"/>
  <c r="CJ29" i="91"/>
  <c r="CK29" i="91"/>
  <c r="CL29" i="91"/>
  <c r="CM29" i="91"/>
  <c r="CN29" i="91"/>
  <c r="CO29" i="91"/>
  <c r="CP29" i="91"/>
  <c r="CQ29" i="91"/>
  <c r="CD30" i="91"/>
  <c r="CE30" i="91"/>
  <c r="CF30" i="91"/>
  <c r="CG30" i="91"/>
  <c r="CH30" i="91"/>
  <c r="CI30" i="91"/>
  <c r="CJ30" i="91"/>
  <c r="CK30" i="91"/>
  <c r="CL30" i="91"/>
  <c r="CM30" i="91"/>
  <c r="CN30" i="91"/>
  <c r="CO30" i="91"/>
  <c r="CP30" i="91"/>
  <c r="CQ30" i="91"/>
  <c r="CD31" i="91"/>
  <c r="CE31" i="91"/>
  <c r="CF31" i="91"/>
  <c r="CG31" i="91"/>
  <c r="CH31" i="91"/>
  <c r="CI31" i="91"/>
  <c r="CJ31" i="91"/>
  <c r="CK31" i="91"/>
  <c r="CL31" i="91"/>
  <c r="CM31" i="91"/>
  <c r="CN31" i="91"/>
  <c r="CO31" i="91"/>
  <c r="CP31" i="91"/>
  <c r="CQ31" i="91"/>
  <c r="CD32" i="91"/>
  <c r="CE32" i="91"/>
  <c r="CF32" i="91"/>
  <c r="CG32" i="91"/>
  <c r="CH32" i="91"/>
  <c r="CI32" i="91"/>
  <c r="CJ32" i="91"/>
  <c r="CK32" i="91"/>
  <c r="CL32" i="91"/>
  <c r="CM32" i="91"/>
  <c r="CN32" i="91"/>
  <c r="CO32" i="91"/>
  <c r="CP32" i="91"/>
  <c r="CQ32" i="91"/>
  <c r="CD33" i="91"/>
  <c r="CE33" i="91"/>
  <c r="CF33" i="91"/>
  <c r="CG33" i="91"/>
  <c r="CH33" i="91"/>
  <c r="CI33" i="91"/>
  <c r="CJ33" i="91"/>
  <c r="CK33" i="91"/>
  <c r="CL33" i="91"/>
  <c r="CM33" i="91"/>
  <c r="CN33" i="91"/>
  <c r="CO33" i="91"/>
  <c r="CP33" i="91"/>
  <c r="CQ33" i="91"/>
  <c r="CD34" i="91"/>
  <c r="CE34" i="91"/>
  <c r="CF34" i="91"/>
  <c r="CG34" i="91"/>
  <c r="CH34" i="91"/>
  <c r="CI34" i="91"/>
  <c r="CJ34" i="91"/>
  <c r="CK34" i="91"/>
  <c r="CL34" i="91"/>
  <c r="CM34" i="91"/>
  <c r="CN34" i="91"/>
  <c r="CO34" i="91"/>
  <c r="CP34" i="91"/>
  <c r="CQ34" i="91"/>
  <c r="CD35" i="91"/>
  <c r="CE35" i="91"/>
  <c r="CF35" i="91"/>
  <c r="CG35" i="91"/>
  <c r="CH35" i="91"/>
  <c r="CI35" i="91"/>
  <c r="CJ35" i="91"/>
  <c r="CK35" i="91"/>
  <c r="CL35" i="91"/>
  <c r="CM35" i="91"/>
  <c r="CN35" i="91"/>
  <c r="CO35" i="91"/>
  <c r="CP35" i="91"/>
  <c r="CQ35" i="91"/>
  <c r="CD36" i="91"/>
  <c r="CE36" i="91"/>
  <c r="CF36" i="91"/>
  <c r="CG36" i="91"/>
  <c r="CH36" i="91"/>
  <c r="CI36" i="91"/>
  <c r="CJ36" i="91"/>
  <c r="CK36" i="91"/>
  <c r="CL36" i="91"/>
  <c r="CM36" i="91"/>
  <c r="CN36" i="91"/>
  <c r="CO36" i="91"/>
  <c r="CP36" i="91"/>
  <c r="CQ36" i="91"/>
  <c r="CD37" i="91"/>
  <c r="CE37" i="91"/>
  <c r="CF37" i="91"/>
  <c r="CG37" i="91"/>
  <c r="CH37" i="91"/>
  <c r="CI37" i="91"/>
  <c r="CJ37" i="91"/>
  <c r="CK37" i="91"/>
  <c r="CL37" i="91"/>
  <c r="CM37" i="91"/>
  <c r="CN37" i="91"/>
  <c r="CO37" i="91"/>
  <c r="CP37" i="91"/>
  <c r="CQ37" i="91"/>
  <c r="CD38" i="91"/>
  <c r="CE38" i="91"/>
  <c r="CF38" i="91"/>
  <c r="CG38" i="91"/>
  <c r="CH38" i="91"/>
  <c r="CI38" i="91"/>
  <c r="CJ38" i="91"/>
  <c r="CK38" i="91"/>
  <c r="CL38" i="91"/>
  <c r="CM38" i="91"/>
  <c r="CN38" i="91"/>
  <c r="CO38" i="91"/>
  <c r="CP38" i="91"/>
  <c r="CQ38" i="91"/>
  <c r="CD39" i="91"/>
  <c r="CE39" i="91"/>
  <c r="CF39" i="91"/>
  <c r="CG39" i="91"/>
  <c r="CH39" i="91"/>
  <c r="CI39" i="91"/>
  <c r="CJ39" i="91"/>
  <c r="CK39" i="91"/>
  <c r="CL39" i="91"/>
  <c r="CM39" i="91"/>
  <c r="CN39" i="91"/>
  <c r="CO39" i="91"/>
  <c r="CP39" i="91"/>
  <c r="CQ39" i="91"/>
  <c r="CD40" i="91"/>
  <c r="CE40" i="91"/>
  <c r="CF40" i="91"/>
  <c r="CG40" i="91"/>
  <c r="CH40" i="91"/>
  <c r="CI40" i="91"/>
  <c r="CJ40" i="91"/>
  <c r="CK40" i="91"/>
  <c r="CL40" i="91"/>
  <c r="CM40" i="91"/>
  <c r="CN40" i="91"/>
  <c r="CO40" i="91"/>
  <c r="CP40" i="91"/>
  <c r="CQ40" i="91"/>
  <c r="CD41" i="91"/>
  <c r="CE41" i="91"/>
  <c r="CF41" i="91"/>
  <c r="CG41" i="91"/>
  <c r="CH41" i="91"/>
  <c r="CI41" i="91"/>
  <c r="CJ41" i="91"/>
  <c r="CK41" i="91"/>
  <c r="CL41" i="91"/>
  <c r="CM41" i="91"/>
  <c r="CN41" i="91"/>
  <c r="CO41" i="91"/>
  <c r="CP41" i="91"/>
  <c r="CQ41" i="91"/>
  <c r="CD42" i="91"/>
  <c r="CE42" i="91"/>
  <c r="CF42" i="91"/>
  <c r="CG42" i="91"/>
  <c r="CH42" i="91"/>
  <c r="CI42" i="91"/>
  <c r="CJ42" i="91"/>
  <c r="CK42" i="91"/>
  <c r="CL42" i="91"/>
  <c r="CM42" i="91"/>
  <c r="CN42" i="91"/>
  <c r="CO42" i="91"/>
  <c r="CP42" i="91"/>
  <c r="CQ42" i="91"/>
  <c r="CD43" i="91"/>
  <c r="CE43" i="91"/>
  <c r="CF43" i="91"/>
  <c r="CG43" i="91"/>
  <c r="CH43" i="91"/>
  <c r="CI43" i="91"/>
  <c r="CJ43" i="91"/>
  <c r="CK43" i="91"/>
  <c r="CL43" i="91"/>
  <c r="CM43" i="91"/>
  <c r="CN43" i="91"/>
  <c r="CO43" i="91"/>
  <c r="CP43" i="91"/>
  <c r="CQ43" i="91"/>
  <c r="CD44" i="91"/>
  <c r="CE44" i="91"/>
  <c r="CF44" i="91"/>
  <c r="CG44" i="91"/>
  <c r="CH44" i="91"/>
  <c r="CI44" i="91"/>
  <c r="CJ44" i="91"/>
  <c r="CK44" i="91"/>
  <c r="CL44" i="91"/>
  <c r="CM44" i="91"/>
  <c r="CN44" i="91"/>
  <c r="CO44" i="91"/>
  <c r="CP44" i="91"/>
  <c r="CQ44" i="91"/>
  <c r="CD45" i="91"/>
  <c r="CE45" i="91"/>
  <c r="CF45" i="91"/>
  <c r="CG45" i="91"/>
  <c r="CH45" i="91"/>
  <c r="CI45" i="91"/>
  <c r="CJ45" i="91"/>
  <c r="CK45" i="91"/>
  <c r="CL45" i="91"/>
  <c r="CM45" i="91"/>
  <c r="CN45" i="91"/>
  <c r="CO45" i="91"/>
  <c r="CP45" i="91"/>
  <c r="CQ45" i="91"/>
  <c r="CD46" i="91"/>
  <c r="CE46" i="91"/>
  <c r="CF46" i="91"/>
  <c r="CG46" i="91"/>
  <c r="CH46" i="91"/>
  <c r="CI46" i="91"/>
  <c r="CJ46" i="91"/>
  <c r="CK46" i="91"/>
  <c r="CL46" i="91"/>
  <c r="CM46" i="91"/>
  <c r="CN46" i="91"/>
  <c r="CO46" i="91"/>
  <c r="CP46" i="91"/>
  <c r="CQ46" i="91"/>
  <c r="CD47" i="91"/>
  <c r="CE47" i="91"/>
  <c r="CF47" i="91"/>
  <c r="CG47" i="91"/>
  <c r="CH47" i="91"/>
  <c r="CI47" i="91"/>
  <c r="CJ47" i="91"/>
  <c r="CK47" i="91"/>
  <c r="CL47" i="91"/>
  <c r="CM47" i="91"/>
  <c r="CN47" i="91"/>
  <c r="CO47" i="91"/>
  <c r="CP47" i="91"/>
  <c r="CQ47" i="91"/>
  <c r="CD48" i="91"/>
  <c r="CE48" i="91"/>
  <c r="CF48" i="91"/>
  <c r="CG48" i="91"/>
  <c r="CH48" i="91"/>
  <c r="CI48" i="91"/>
  <c r="CJ48" i="91"/>
  <c r="CK48" i="91"/>
  <c r="CL48" i="91"/>
  <c r="CM48" i="91"/>
  <c r="CN48" i="91"/>
  <c r="CO48" i="91"/>
  <c r="CP48" i="91"/>
  <c r="CQ48" i="91"/>
  <c r="CD49" i="91"/>
  <c r="CE49" i="91"/>
  <c r="CF49" i="91"/>
  <c r="CG49" i="91"/>
  <c r="CH49" i="91"/>
  <c r="CI49" i="91"/>
  <c r="CJ49" i="91"/>
  <c r="CK49" i="91"/>
  <c r="CL49" i="91"/>
  <c r="CM49" i="91"/>
  <c r="CN49" i="91"/>
  <c r="CO49" i="91"/>
  <c r="CP49" i="91"/>
  <c r="CQ49" i="91"/>
  <c r="CD50" i="91"/>
  <c r="CE50" i="91"/>
  <c r="CF50" i="91"/>
  <c r="CG50" i="91"/>
  <c r="CH50" i="91"/>
  <c r="CI50" i="91"/>
  <c r="CJ50" i="91"/>
  <c r="CK50" i="91"/>
  <c r="CL50" i="91"/>
  <c r="CM50" i="91"/>
  <c r="CN50" i="91"/>
  <c r="CO50" i="91"/>
  <c r="CP50" i="91"/>
  <c r="CQ50" i="91"/>
  <c r="CD51" i="91"/>
  <c r="CE51" i="91"/>
  <c r="CF51" i="91"/>
  <c r="CG51" i="91"/>
  <c r="CH51" i="91"/>
  <c r="CI51" i="91"/>
  <c r="CJ51" i="91"/>
  <c r="CK51" i="91"/>
  <c r="CL51" i="91"/>
  <c r="CM51" i="91"/>
  <c r="CN51" i="91"/>
  <c r="CO51" i="91"/>
  <c r="CP51" i="91"/>
  <c r="CQ51" i="91"/>
  <c r="CD52" i="91"/>
  <c r="CE52" i="91"/>
  <c r="CF52" i="91"/>
  <c r="CG52" i="91"/>
  <c r="CH52" i="91"/>
  <c r="CI52" i="91"/>
  <c r="CJ52" i="91"/>
  <c r="CK52" i="91"/>
  <c r="CL52" i="91"/>
  <c r="CM52" i="91"/>
  <c r="CN52" i="91"/>
  <c r="CO52" i="91"/>
  <c r="CP52" i="91"/>
  <c r="CQ52" i="91"/>
  <c r="CD53" i="91"/>
  <c r="CE53" i="91"/>
  <c r="CF53" i="91"/>
  <c r="CG53" i="91"/>
  <c r="CH53" i="91"/>
  <c r="CI53" i="91"/>
  <c r="CJ53" i="91"/>
  <c r="CK53" i="91"/>
  <c r="CL53" i="91"/>
  <c r="CM53" i="91"/>
  <c r="CN53" i="91"/>
  <c r="CO53" i="91"/>
  <c r="CP53" i="91"/>
  <c r="CQ53" i="91"/>
  <c r="CD54" i="91"/>
  <c r="CE54" i="91"/>
  <c r="CF54" i="91"/>
  <c r="CG54" i="91"/>
  <c r="CH54" i="91"/>
  <c r="CI54" i="91"/>
  <c r="CJ54" i="91"/>
  <c r="CK54" i="91"/>
  <c r="CL54" i="91"/>
  <c r="CM54" i="91"/>
  <c r="CN54" i="91"/>
  <c r="CO54" i="91"/>
  <c r="CP54" i="91"/>
  <c r="CQ54" i="91"/>
  <c r="CD55" i="91"/>
  <c r="CE55" i="91"/>
  <c r="CF55" i="91"/>
  <c r="CG55" i="91"/>
  <c r="CH55" i="91"/>
  <c r="CI55" i="91"/>
  <c r="CJ55" i="91"/>
  <c r="CK55" i="91"/>
  <c r="CL55" i="91"/>
  <c r="CM55" i="91"/>
  <c r="CN55" i="91"/>
  <c r="CO55" i="91"/>
  <c r="CP55" i="91"/>
  <c r="CQ55" i="91"/>
  <c r="CD56" i="91"/>
  <c r="CE56" i="91"/>
  <c r="CF56" i="91"/>
  <c r="CG56" i="91"/>
  <c r="CH56" i="91"/>
  <c r="CI56" i="91"/>
  <c r="CJ56" i="91"/>
  <c r="CK56" i="91"/>
  <c r="CL56" i="91"/>
  <c r="CM56" i="91"/>
  <c r="CN56" i="91"/>
  <c r="CO56" i="91"/>
  <c r="CP56" i="91"/>
  <c r="CQ56" i="91"/>
  <c r="CE13" i="91"/>
  <c r="CF13" i="91"/>
  <c r="CG13" i="91"/>
  <c r="CH13" i="91"/>
  <c r="CI13" i="91"/>
  <c r="CJ13" i="91"/>
  <c r="CK13" i="91"/>
  <c r="CL13" i="91"/>
  <c r="CM13" i="91"/>
  <c r="CN13" i="91"/>
  <c r="CO13" i="91"/>
  <c r="CP13" i="91"/>
  <c r="CQ13" i="91"/>
  <c r="BO6" i="91"/>
  <c r="BP6" i="91"/>
  <c r="BQ6" i="91"/>
  <c r="BR6" i="91"/>
  <c r="BS6" i="91"/>
  <c r="BT6" i="91"/>
  <c r="BU6" i="91"/>
  <c r="BV6" i="91"/>
  <c r="BW6" i="91"/>
  <c r="BX6" i="91"/>
  <c r="BY6" i="91"/>
  <c r="BZ6" i="91"/>
  <c r="CA6" i="91"/>
  <c r="CB6" i="91"/>
  <c r="BO7" i="91"/>
  <c r="BP7" i="91"/>
  <c r="BQ7" i="91"/>
  <c r="BR7" i="91"/>
  <c r="BS7" i="91"/>
  <c r="BT7" i="91"/>
  <c r="BU7" i="91"/>
  <c r="BV7" i="91"/>
  <c r="BW7" i="91"/>
  <c r="BX7" i="91"/>
  <c r="BY7" i="91"/>
  <c r="BZ7" i="91"/>
  <c r="CA7" i="91"/>
  <c r="CB7" i="91"/>
  <c r="BO8" i="91"/>
  <c r="BP8" i="91"/>
  <c r="BQ8" i="91"/>
  <c r="BR8" i="91"/>
  <c r="BS8" i="91"/>
  <c r="BT8" i="91"/>
  <c r="BU8" i="91"/>
  <c r="BV8" i="91"/>
  <c r="BW8" i="91"/>
  <c r="BX8" i="91"/>
  <c r="BY8" i="91"/>
  <c r="BZ8" i="91"/>
  <c r="CA8" i="91"/>
  <c r="CB8" i="91"/>
  <c r="BO9" i="91"/>
  <c r="BP9" i="91"/>
  <c r="BQ9" i="91"/>
  <c r="BR9" i="91"/>
  <c r="BS9" i="91"/>
  <c r="BT9" i="91"/>
  <c r="BU9" i="91"/>
  <c r="BV9" i="91"/>
  <c r="BW9" i="91"/>
  <c r="BX9" i="91"/>
  <c r="BY9" i="91"/>
  <c r="BZ9" i="91"/>
  <c r="CA9" i="91"/>
  <c r="CB9" i="91"/>
  <c r="BO10" i="91"/>
  <c r="BP10" i="91"/>
  <c r="BQ10" i="91"/>
  <c r="BR10" i="91"/>
  <c r="BS10" i="91"/>
  <c r="BT10" i="91"/>
  <c r="BU10" i="91"/>
  <c r="BV10" i="91"/>
  <c r="BW10" i="91"/>
  <c r="BX10" i="91"/>
  <c r="BY10" i="91"/>
  <c r="BZ10" i="91"/>
  <c r="CA10" i="91"/>
  <c r="CB10" i="91"/>
  <c r="BO11" i="91"/>
  <c r="BP11" i="91"/>
  <c r="BQ11" i="91"/>
  <c r="BR11" i="91"/>
  <c r="BS11" i="91"/>
  <c r="BT11" i="91"/>
  <c r="BU11" i="91"/>
  <c r="BV11" i="91"/>
  <c r="BW11" i="91"/>
  <c r="BX11" i="91"/>
  <c r="BY11" i="91"/>
  <c r="BZ11" i="91"/>
  <c r="CA11" i="91"/>
  <c r="CB11" i="91"/>
  <c r="BO12" i="91"/>
  <c r="BP12" i="91"/>
  <c r="BQ12" i="91"/>
  <c r="BR12" i="91"/>
  <c r="BS12" i="91"/>
  <c r="BT12" i="91"/>
  <c r="BU12" i="91"/>
  <c r="BV12" i="91"/>
  <c r="BW12" i="91"/>
  <c r="BX12" i="91"/>
  <c r="BY12" i="91"/>
  <c r="BZ12" i="91"/>
  <c r="CA12" i="91"/>
  <c r="CB12" i="91"/>
  <c r="BO13" i="91"/>
  <c r="BP13" i="91"/>
  <c r="BQ13" i="91"/>
  <c r="BR13" i="91"/>
  <c r="BS13" i="91"/>
  <c r="BT13" i="91"/>
  <c r="BU13" i="91"/>
  <c r="BV13" i="91"/>
  <c r="BW13" i="91"/>
  <c r="BX13" i="91"/>
  <c r="BY13" i="91"/>
  <c r="BZ13" i="91"/>
  <c r="CA13" i="91"/>
  <c r="CB13" i="91"/>
  <c r="BO14" i="91"/>
  <c r="BP14" i="91"/>
  <c r="BQ14" i="91"/>
  <c r="BR14" i="91"/>
  <c r="BS14" i="91"/>
  <c r="BT14" i="91"/>
  <c r="BU14" i="91"/>
  <c r="BV14" i="91"/>
  <c r="BW14" i="91"/>
  <c r="BX14" i="91"/>
  <c r="BY14" i="91"/>
  <c r="BZ14" i="91"/>
  <c r="CA14" i="91"/>
  <c r="CB14" i="91"/>
  <c r="BO15" i="91"/>
  <c r="BP15" i="91"/>
  <c r="BQ15" i="91"/>
  <c r="BR15" i="91"/>
  <c r="BS15" i="91"/>
  <c r="BT15" i="91"/>
  <c r="BU15" i="91"/>
  <c r="BV15" i="91"/>
  <c r="BW15" i="91"/>
  <c r="BX15" i="91"/>
  <c r="BY15" i="91"/>
  <c r="BZ15" i="91"/>
  <c r="CA15" i="91"/>
  <c r="CB15" i="91"/>
  <c r="BO16" i="91"/>
  <c r="BP16" i="91"/>
  <c r="BQ16" i="91"/>
  <c r="BR16" i="91"/>
  <c r="BS16" i="91"/>
  <c r="BT16" i="91"/>
  <c r="BU16" i="91"/>
  <c r="BV16" i="91"/>
  <c r="BW16" i="91"/>
  <c r="BX16" i="91"/>
  <c r="BY16" i="91"/>
  <c r="BZ16" i="91"/>
  <c r="CA16" i="91"/>
  <c r="CB16" i="91"/>
  <c r="BO17" i="91"/>
  <c r="BP17" i="91"/>
  <c r="BQ17" i="91"/>
  <c r="BR17" i="91"/>
  <c r="BS17" i="91"/>
  <c r="BT17" i="91"/>
  <c r="BU17" i="91"/>
  <c r="BV17" i="91"/>
  <c r="BW17" i="91"/>
  <c r="BX17" i="91"/>
  <c r="BY17" i="91"/>
  <c r="BZ17" i="91"/>
  <c r="CA17" i="91"/>
  <c r="CB17" i="91"/>
  <c r="BO18" i="91"/>
  <c r="BP18" i="91"/>
  <c r="BQ18" i="91"/>
  <c r="BR18" i="91"/>
  <c r="BS18" i="91"/>
  <c r="BT18" i="91"/>
  <c r="BU18" i="91"/>
  <c r="BV18" i="91"/>
  <c r="BW18" i="91"/>
  <c r="BX18" i="91"/>
  <c r="BY18" i="91"/>
  <c r="BZ18" i="91"/>
  <c r="CA18" i="91"/>
  <c r="CB18" i="91"/>
  <c r="BO19" i="91"/>
  <c r="BP19" i="91"/>
  <c r="BQ19" i="91"/>
  <c r="BR19" i="91"/>
  <c r="BS19" i="91"/>
  <c r="BT19" i="91"/>
  <c r="BU19" i="91"/>
  <c r="BV19" i="91"/>
  <c r="BW19" i="91"/>
  <c r="BX19" i="91"/>
  <c r="BY19" i="91"/>
  <c r="BZ19" i="91"/>
  <c r="CA19" i="91"/>
  <c r="CB19" i="91"/>
  <c r="BO20" i="91"/>
  <c r="BP20" i="91"/>
  <c r="BQ20" i="91"/>
  <c r="BR20" i="91"/>
  <c r="BS20" i="91"/>
  <c r="BT20" i="91"/>
  <c r="BU20" i="91"/>
  <c r="BV20" i="91"/>
  <c r="BW20" i="91"/>
  <c r="BX20" i="91"/>
  <c r="BY20" i="91"/>
  <c r="BZ20" i="91"/>
  <c r="CA20" i="91"/>
  <c r="CB20" i="91"/>
  <c r="BO21" i="91"/>
  <c r="BP21" i="91"/>
  <c r="BQ21" i="91"/>
  <c r="BR21" i="91"/>
  <c r="BS21" i="91"/>
  <c r="BT21" i="91"/>
  <c r="BU21" i="91"/>
  <c r="BV21" i="91"/>
  <c r="BW21" i="91"/>
  <c r="BX21" i="91"/>
  <c r="BY21" i="91"/>
  <c r="BZ21" i="91"/>
  <c r="CA21" i="91"/>
  <c r="CB21" i="91"/>
  <c r="BO22" i="91"/>
  <c r="BP22" i="91"/>
  <c r="BQ22" i="91"/>
  <c r="BR22" i="91"/>
  <c r="BS22" i="91"/>
  <c r="BT22" i="91"/>
  <c r="BU22" i="91"/>
  <c r="BV22" i="91"/>
  <c r="BW22" i="91"/>
  <c r="BX22" i="91"/>
  <c r="BY22" i="91"/>
  <c r="BZ22" i="91"/>
  <c r="CA22" i="91"/>
  <c r="CB22" i="91"/>
  <c r="BO23" i="91"/>
  <c r="BP23" i="91"/>
  <c r="BQ23" i="91"/>
  <c r="BR23" i="91"/>
  <c r="BS23" i="91"/>
  <c r="BT23" i="91"/>
  <c r="BU23" i="91"/>
  <c r="BV23" i="91"/>
  <c r="BW23" i="91"/>
  <c r="BX23" i="91"/>
  <c r="BY23" i="91"/>
  <c r="BZ23" i="91"/>
  <c r="CA23" i="91"/>
  <c r="CB23" i="91"/>
  <c r="BO24" i="91"/>
  <c r="BP24" i="91"/>
  <c r="BQ24" i="91"/>
  <c r="BR24" i="91"/>
  <c r="BS24" i="91"/>
  <c r="BT24" i="91"/>
  <c r="BU24" i="91"/>
  <c r="BV24" i="91"/>
  <c r="BW24" i="91"/>
  <c r="BX24" i="91"/>
  <c r="BY24" i="91"/>
  <c r="BZ24" i="91"/>
  <c r="CA24" i="91"/>
  <c r="CB24" i="91"/>
  <c r="BO25" i="91"/>
  <c r="BP25" i="91"/>
  <c r="BQ25" i="91"/>
  <c r="BR25" i="91"/>
  <c r="BS25" i="91"/>
  <c r="BT25" i="91"/>
  <c r="BU25" i="91"/>
  <c r="BV25" i="91"/>
  <c r="BW25" i="91"/>
  <c r="BX25" i="91"/>
  <c r="BY25" i="91"/>
  <c r="BZ25" i="91"/>
  <c r="CA25" i="91"/>
  <c r="CB25" i="91"/>
  <c r="BO26" i="91"/>
  <c r="BP26" i="91"/>
  <c r="BQ26" i="91"/>
  <c r="BR26" i="91"/>
  <c r="BS26" i="91"/>
  <c r="BT26" i="91"/>
  <c r="BU26" i="91"/>
  <c r="BV26" i="91"/>
  <c r="BW26" i="91"/>
  <c r="BX26" i="91"/>
  <c r="BY26" i="91"/>
  <c r="BZ26" i="91"/>
  <c r="CA26" i="91"/>
  <c r="CB26" i="91"/>
  <c r="BO27" i="91"/>
  <c r="BP27" i="91"/>
  <c r="BQ27" i="91"/>
  <c r="BR27" i="91"/>
  <c r="BS27" i="91"/>
  <c r="BT27" i="91"/>
  <c r="BU27" i="91"/>
  <c r="BV27" i="91"/>
  <c r="BW27" i="91"/>
  <c r="BX27" i="91"/>
  <c r="BY27" i="91"/>
  <c r="BZ27" i="91"/>
  <c r="CA27" i="91"/>
  <c r="CB27" i="91"/>
  <c r="BO28" i="91"/>
  <c r="BP28" i="91"/>
  <c r="BQ28" i="91"/>
  <c r="BR28" i="91"/>
  <c r="BS28" i="91"/>
  <c r="BT28" i="91"/>
  <c r="BU28" i="91"/>
  <c r="BV28" i="91"/>
  <c r="BW28" i="91"/>
  <c r="BX28" i="91"/>
  <c r="BY28" i="91"/>
  <c r="BZ28" i="91"/>
  <c r="CA28" i="91"/>
  <c r="CB28" i="91"/>
  <c r="BO29" i="91"/>
  <c r="BP29" i="91"/>
  <c r="BQ29" i="91"/>
  <c r="BR29" i="91"/>
  <c r="BS29" i="91"/>
  <c r="BT29" i="91"/>
  <c r="BU29" i="91"/>
  <c r="BV29" i="91"/>
  <c r="BW29" i="91"/>
  <c r="BX29" i="91"/>
  <c r="BY29" i="91"/>
  <c r="BZ29" i="91"/>
  <c r="CA29" i="91"/>
  <c r="CB29" i="91"/>
  <c r="BO30" i="91"/>
  <c r="BP30" i="91"/>
  <c r="BQ30" i="91"/>
  <c r="BR30" i="91"/>
  <c r="BS30" i="91"/>
  <c r="BT30" i="91"/>
  <c r="BU30" i="91"/>
  <c r="BV30" i="91"/>
  <c r="BW30" i="91"/>
  <c r="BX30" i="91"/>
  <c r="BY30" i="91"/>
  <c r="BZ30" i="91"/>
  <c r="CA30" i="91"/>
  <c r="CB30" i="91"/>
  <c r="BO31" i="91"/>
  <c r="BP31" i="91"/>
  <c r="BQ31" i="91"/>
  <c r="BR31" i="91"/>
  <c r="BS31" i="91"/>
  <c r="BT31" i="91"/>
  <c r="BU31" i="91"/>
  <c r="BV31" i="91"/>
  <c r="BW31" i="91"/>
  <c r="BX31" i="91"/>
  <c r="BY31" i="91"/>
  <c r="BZ31" i="91"/>
  <c r="CA31" i="91"/>
  <c r="CB31" i="91"/>
  <c r="BO32" i="91"/>
  <c r="BP32" i="91"/>
  <c r="BQ32" i="91"/>
  <c r="BR32" i="91"/>
  <c r="BS32" i="91"/>
  <c r="BT32" i="91"/>
  <c r="BU32" i="91"/>
  <c r="BV32" i="91"/>
  <c r="BW32" i="91"/>
  <c r="BX32" i="91"/>
  <c r="BY32" i="91"/>
  <c r="BZ32" i="91"/>
  <c r="CA32" i="91"/>
  <c r="CB32" i="91"/>
  <c r="BO33" i="91"/>
  <c r="BP33" i="91"/>
  <c r="BQ33" i="91"/>
  <c r="BR33" i="91"/>
  <c r="BS33" i="91"/>
  <c r="BT33" i="91"/>
  <c r="BU33" i="91"/>
  <c r="BV33" i="91"/>
  <c r="BW33" i="91"/>
  <c r="BX33" i="91"/>
  <c r="BY33" i="91"/>
  <c r="BZ33" i="91"/>
  <c r="CA33" i="91"/>
  <c r="CB33" i="91"/>
  <c r="BO34" i="91"/>
  <c r="BP34" i="91"/>
  <c r="BQ34" i="91"/>
  <c r="BR34" i="91"/>
  <c r="BS34" i="91"/>
  <c r="BT34" i="91"/>
  <c r="BU34" i="91"/>
  <c r="BV34" i="91"/>
  <c r="BW34" i="91"/>
  <c r="BX34" i="91"/>
  <c r="BY34" i="91"/>
  <c r="BZ34" i="91"/>
  <c r="CA34" i="91"/>
  <c r="CB34" i="91"/>
  <c r="BO35" i="91"/>
  <c r="BP35" i="91"/>
  <c r="BQ35" i="91"/>
  <c r="BR35" i="91"/>
  <c r="BS35" i="91"/>
  <c r="BT35" i="91"/>
  <c r="BU35" i="91"/>
  <c r="BV35" i="91"/>
  <c r="BW35" i="91"/>
  <c r="BX35" i="91"/>
  <c r="BY35" i="91"/>
  <c r="BZ35" i="91"/>
  <c r="CA35" i="91"/>
  <c r="CB35" i="91"/>
  <c r="BO36" i="91"/>
  <c r="BP36" i="91"/>
  <c r="BQ36" i="91"/>
  <c r="BR36" i="91"/>
  <c r="BS36" i="91"/>
  <c r="BT36" i="91"/>
  <c r="BU36" i="91"/>
  <c r="BV36" i="91"/>
  <c r="BW36" i="91"/>
  <c r="BX36" i="91"/>
  <c r="BY36" i="91"/>
  <c r="BZ36" i="91"/>
  <c r="CA36" i="91"/>
  <c r="CB36" i="91"/>
  <c r="BO37" i="91"/>
  <c r="BP37" i="91"/>
  <c r="BQ37" i="91"/>
  <c r="BR37" i="91"/>
  <c r="BS37" i="91"/>
  <c r="BT37" i="91"/>
  <c r="BU37" i="91"/>
  <c r="BV37" i="91"/>
  <c r="BW37" i="91"/>
  <c r="BX37" i="91"/>
  <c r="BY37" i="91"/>
  <c r="BZ37" i="91"/>
  <c r="CA37" i="91"/>
  <c r="CB37" i="91"/>
  <c r="BO38" i="91"/>
  <c r="BP38" i="91"/>
  <c r="BQ38" i="91"/>
  <c r="BR38" i="91"/>
  <c r="BS38" i="91"/>
  <c r="BT38" i="91"/>
  <c r="BU38" i="91"/>
  <c r="BV38" i="91"/>
  <c r="BW38" i="91"/>
  <c r="BX38" i="91"/>
  <c r="BY38" i="91"/>
  <c r="BZ38" i="91"/>
  <c r="CA38" i="91"/>
  <c r="CB38" i="91"/>
  <c r="BO39" i="91"/>
  <c r="BP39" i="91"/>
  <c r="BQ39" i="91"/>
  <c r="BR39" i="91"/>
  <c r="BS39" i="91"/>
  <c r="BT39" i="91"/>
  <c r="BU39" i="91"/>
  <c r="BV39" i="91"/>
  <c r="BW39" i="91"/>
  <c r="BX39" i="91"/>
  <c r="BY39" i="91"/>
  <c r="BZ39" i="91"/>
  <c r="CA39" i="91"/>
  <c r="CB39" i="91"/>
  <c r="BO40" i="91"/>
  <c r="BP40" i="91"/>
  <c r="BQ40" i="91"/>
  <c r="BR40" i="91"/>
  <c r="BS40" i="91"/>
  <c r="BT40" i="91"/>
  <c r="BU40" i="91"/>
  <c r="BV40" i="91"/>
  <c r="BW40" i="91"/>
  <c r="BX40" i="91"/>
  <c r="BY40" i="91"/>
  <c r="BZ40" i="91"/>
  <c r="CA40" i="91"/>
  <c r="CB40" i="91"/>
  <c r="BO41" i="91"/>
  <c r="BP41" i="91"/>
  <c r="BQ41" i="91"/>
  <c r="BR41" i="91"/>
  <c r="BS41" i="91"/>
  <c r="BT41" i="91"/>
  <c r="BU41" i="91"/>
  <c r="BV41" i="91"/>
  <c r="BW41" i="91"/>
  <c r="BX41" i="91"/>
  <c r="BY41" i="91"/>
  <c r="BZ41" i="91"/>
  <c r="CA41" i="91"/>
  <c r="CB41" i="91"/>
  <c r="BO42" i="91"/>
  <c r="BP42" i="91"/>
  <c r="BQ42" i="91"/>
  <c r="BR42" i="91"/>
  <c r="BS42" i="91"/>
  <c r="BT42" i="91"/>
  <c r="BU42" i="91"/>
  <c r="BV42" i="91"/>
  <c r="BW42" i="91"/>
  <c r="BX42" i="91"/>
  <c r="BY42" i="91"/>
  <c r="BZ42" i="91"/>
  <c r="CA42" i="91"/>
  <c r="CB42" i="91"/>
  <c r="BO43" i="91"/>
  <c r="BP43" i="91"/>
  <c r="BQ43" i="91"/>
  <c r="BR43" i="91"/>
  <c r="BS43" i="91"/>
  <c r="BT43" i="91"/>
  <c r="BU43" i="91"/>
  <c r="BV43" i="91"/>
  <c r="BW43" i="91"/>
  <c r="BX43" i="91"/>
  <c r="BY43" i="91"/>
  <c r="BZ43" i="91"/>
  <c r="CA43" i="91"/>
  <c r="CB43" i="91"/>
  <c r="BO44" i="91"/>
  <c r="BP44" i="91"/>
  <c r="BQ44" i="91"/>
  <c r="BR44" i="91"/>
  <c r="BS44" i="91"/>
  <c r="BT44" i="91"/>
  <c r="BU44" i="91"/>
  <c r="BV44" i="91"/>
  <c r="BW44" i="91"/>
  <c r="BX44" i="91"/>
  <c r="BY44" i="91"/>
  <c r="BZ44" i="91"/>
  <c r="CA44" i="91"/>
  <c r="CB44" i="91"/>
  <c r="BO45" i="91"/>
  <c r="BP45" i="91"/>
  <c r="BQ45" i="91"/>
  <c r="BR45" i="91"/>
  <c r="BS45" i="91"/>
  <c r="BT45" i="91"/>
  <c r="BU45" i="91"/>
  <c r="BV45" i="91"/>
  <c r="BW45" i="91"/>
  <c r="BX45" i="91"/>
  <c r="BY45" i="91"/>
  <c r="BZ45" i="91"/>
  <c r="CA45" i="91"/>
  <c r="CB45" i="91"/>
  <c r="BO46" i="91"/>
  <c r="BP46" i="91"/>
  <c r="BQ46" i="91"/>
  <c r="BR46" i="91"/>
  <c r="BS46" i="91"/>
  <c r="BT46" i="91"/>
  <c r="BU46" i="91"/>
  <c r="BV46" i="91"/>
  <c r="BW46" i="91"/>
  <c r="BX46" i="91"/>
  <c r="BY46" i="91"/>
  <c r="BZ46" i="91"/>
  <c r="CA46" i="91"/>
  <c r="CB46" i="91"/>
  <c r="BO47" i="91"/>
  <c r="BP47" i="91"/>
  <c r="BQ47" i="91"/>
  <c r="BR47" i="91"/>
  <c r="BS47" i="91"/>
  <c r="BT47" i="91"/>
  <c r="BU47" i="91"/>
  <c r="BV47" i="91"/>
  <c r="BW47" i="91"/>
  <c r="BX47" i="91"/>
  <c r="BY47" i="91"/>
  <c r="BZ47" i="91"/>
  <c r="CA47" i="91"/>
  <c r="CB47" i="91"/>
  <c r="BO48" i="91"/>
  <c r="BP48" i="91"/>
  <c r="BQ48" i="91"/>
  <c r="BR48" i="91"/>
  <c r="BS48" i="91"/>
  <c r="BT48" i="91"/>
  <c r="BU48" i="91"/>
  <c r="BV48" i="91"/>
  <c r="BW48" i="91"/>
  <c r="BX48" i="91"/>
  <c r="BY48" i="91"/>
  <c r="BZ48" i="91"/>
  <c r="CA48" i="91"/>
  <c r="CB48" i="91"/>
  <c r="BO49" i="91"/>
  <c r="BP49" i="91"/>
  <c r="BQ49" i="91"/>
  <c r="BR49" i="91"/>
  <c r="BS49" i="91"/>
  <c r="BT49" i="91"/>
  <c r="BU49" i="91"/>
  <c r="BV49" i="91"/>
  <c r="BW49" i="91"/>
  <c r="BX49" i="91"/>
  <c r="BY49" i="91"/>
  <c r="BZ49" i="91"/>
  <c r="CA49" i="91"/>
  <c r="CB49" i="91"/>
  <c r="BO50" i="91"/>
  <c r="BP50" i="91"/>
  <c r="BQ50" i="91"/>
  <c r="BR50" i="91"/>
  <c r="BS50" i="91"/>
  <c r="BT50" i="91"/>
  <c r="BU50" i="91"/>
  <c r="BV50" i="91"/>
  <c r="BW50" i="91"/>
  <c r="BX50" i="91"/>
  <c r="BY50" i="91"/>
  <c r="BZ50" i="91"/>
  <c r="CA50" i="91"/>
  <c r="CB50" i="91"/>
  <c r="BO51" i="91"/>
  <c r="BP51" i="91"/>
  <c r="BQ51" i="91"/>
  <c r="BR51" i="91"/>
  <c r="BS51" i="91"/>
  <c r="BT51" i="91"/>
  <c r="BU51" i="91"/>
  <c r="BV51" i="91"/>
  <c r="BW51" i="91"/>
  <c r="BX51" i="91"/>
  <c r="BY51" i="91"/>
  <c r="BZ51" i="91"/>
  <c r="CA51" i="91"/>
  <c r="CB51" i="91"/>
  <c r="BO52" i="91"/>
  <c r="BP52" i="91"/>
  <c r="BQ52" i="91"/>
  <c r="BR52" i="91"/>
  <c r="BS52" i="91"/>
  <c r="BT52" i="91"/>
  <c r="BU52" i="91"/>
  <c r="BV52" i="91"/>
  <c r="BW52" i="91"/>
  <c r="BX52" i="91"/>
  <c r="BY52" i="91"/>
  <c r="BZ52" i="91"/>
  <c r="CA52" i="91"/>
  <c r="CB52" i="91"/>
  <c r="BO53" i="91"/>
  <c r="BP53" i="91"/>
  <c r="BQ53" i="91"/>
  <c r="BR53" i="91"/>
  <c r="BS53" i="91"/>
  <c r="BT53" i="91"/>
  <c r="BU53" i="91"/>
  <c r="BV53" i="91"/>
  <c r="BW53" i="91"/>
  <c r="BX53" i="91"/>
  <c r="BY53" i="91"/>
  <c r="BZ53" i="91"/>
  <c r="CA53" i="91"/>
  <c r="CB53" i="91"/>
  <c r="BO54" i="91"/>
  <c r="BP54" i="91"/>
  <c r="BQ54" i="91"/>
  <c r="BR54" i="91"/>
  <c r="BS54" i="91"/>
  <c r="BT54" i="91"/>
  <c r="BU54" i="91"/>
  <c r="BV54" i="91"/>
  <c r="BW54" i="91"/>
  <c r="BX54" i="91"/>
  <c r="BY54" i="91"/>
  <c r="BZ54" i="91"/>
  <c r="CA54" i="91"/>
  <c r="CB54" i="91"/>
  <c r="BO55" i="91"/>
  <c r="BP55" i="91"/>
  <c r="BQ55" i="91"/>
  <c r="BR55" i="91"/>
  <c r="BS55" i="91"/>
  <c r="BT55" i="91"/>
  <c r="BU55" i="91"/>
  <c r="BV55" i="91"/>
  <c r="BW55" i="91"/>
  <c r="BX55" i="91"/>
  <c r="BY55" i="91"/>
  <c r="BZ55" i="91"/>
  <c r="CA55" i="91"/>
  <c r="CB55" i="91"/>
  <c r="BO56" i="91"/>
  <c r="BP56" i="91"/>
  <c r="BQ56" i="91"/>
  <c r="BR56" i="91"/>
  <c r="BS56" i="91"/>
  <c r="BT56" i="91"/>
  <c r="BU56" i="91"/>
  <c r="BV56" i="91"/>
  <c r="BW56" i="91"/>
  <c r="BX56" i="91"/>
  <c r="BY56" i="91"/>
  <c r="BZ56" i="91"/>
  <c r="CA56" i="91"/>
  <c r="CB56" i="91"/>
  <c r="BO57" i="91"/>
  <c r="BP57" i="91"/>
  <c r="BQ57" i="91"/>
  <c r="BR57" i="91"/>
  <c r="BS57" i="91"/>
  <c r="BT57" i="91"/>
  <c r="BU57" i="91"/>
  <c r="BV57" i="91"/>
  <c r="BW57" i="91"/>
  <c r="BX57" i="91"/>
  <c r="BY57" i="91"/>
  <c r="BZ57" i="91"/>
  <c r="CA57" i="91"/>
  <c r="CB57" i="91"/>
  <c r="BO58" i="91"/>
  <c r="BP58" i="91"/>
  <c r="BQ58" i="91"/>
  <c r="BR58" i="91"/>
  <c r="BS58" i="91"/>
  <c r="BT58" i="91"/>
  <c r="BU58" i="91"/>
  <c r="BV58" i="91"/>
  <c r="BW58" i="91"/>
  <c r="BX58" i="91"/>
  <c r="BY58" i="91"/>
  <c r="BZ58" i="91"/>
  <c r="CA58" i="91"/>
  <c r="CB58" i="91"/>
  <c r="BO59" i="91"/>
  <c r="BP59" i="91"/>
  <c r="BQ59" i="91"/>
  <c r="BR59" i="91"/>
  <c r="BS59" i="91"/>
  <c r="BT59" i="91"/>
  <c r="BU59" i="91"/>
  <c r="BV59" i="91"/>
  <c r="BW59" i="91"/>
  <c r="BX59" i="91"/>
  <c r="BY59" i="91"/>
  <c r="BZ59" i="91"/>
  <c r="CA59" i="91"/>
  <c r="CB59" i="91"/>
  <c r="BO60" i="91"/>
  <c r="BP60" i="91"/>
  <c r="BQ60" i="91"/>
  <c r="BR60" i="91"/>
  <c r="BS60" i="91"/>
  <c r="BT60" i="91"/>
  <c r="BU60" i="91"/>
  <c r="BV60" i="91"/>
  <c r="BW60" i="91"/>
  <c r="BX60" i="91"/>
  <c r="BY60" i="91"/>
  <c r="BZ60" i="91"/>
  <c r="CA60" i="91"/>
  <c r="CB60" i="91"/>
  <c r="BO61" i="91"/>
  <c r="BP61" i="91"/>
  <c r="BQ61" i="91"/>
  <c r="BR61" i="91"/>
  <c r="BS61" i="91"/>
  <c r="BT61" i="91"/>
  <c r="BU61" i="91"/>
  <c r="BV61" i="91"/>
  <c r="BW61" i="91"/>
  <c r="BX61" i="91"/>
  <c r="BY61" i="91"/>
  <c r="BZ61" i="91"/>
  <c r="CA61" i="91"/>
  <c r="CB61" i="91"/>
  <c r="BO62" i="91"/>
  <c r="BP62" i="91"/>
  <c r="BQ62" i="91"/>
  <c r="BR62" i="91"/>
  <c r="BS62" i="91"/>
  <c r="BT62" i="91"/>
  <c r="BU62" i="91"/>
  <c r="BV62" i="91"/>
  <c r="BW62" i="91"/>
  <c r="BX62" i="91"/>
  <c r="BY62" i="91"/>
  <c r="BZ62" i="91"/>
  <c r="CA62" i="91"/>
  <c r="CB62" i="91"/>
  <c r="BO63" i="91"/>
  <c r="BP63" i="91"/>
  <c r="BQ63" i="91"/>
  <c r="BR63" i="91"/>
  <c r="BS63" i="91"/>
  <c r="BT63" i="91"/>
  <c r="BU63" i="91"/>
  <c r="BV63" i="91"/>
  <c r="BW63" i="91"/>
  <c r="BX63" i="91"/>
  <c r="BY63" i="91"/>
  <c r="BZ63" i="91"/>
  <c r="CA63" i="91"/>
  <c r="CB63" i="91"/>
  <c r="BO64" i="91"/>
  <c r="BP64" i="91"/>
  <c r="BQ64" i="91"/>
  <c r="BR64" i="91"/>
  <c r="BS64" i="91"/>
  <c r="BT64" i="91"/>
  <c r="BU64" i="91"/>
  <c r="BV64" i="91"/>
  <c r="BW64" i="91"/>
  <c r="BX64" i="91"/>
  <c r="BY64" i="91"/>
  <c r="BZ64" i="91"/>
  <c r="CA64" i="91"/>
  <c r="CB64" i="91"/>
  <c r="BO65" i="91"/>
  <c r="BP65" i="91"/>
  <c r="BQ65" i="91"/>
  <c r="BR65" i="91"/>
  <c r="BS65" i="91"/>
  <c r="BT65" i="91"/>
  <c r="BU65" i="91"/>
  <c r="BV65" i="91"/>
  <c r="BW65" i="91"/>
  <c r="BX65" i="91"/>
  <c r="BY65" i="91"/>
  <c r="BZ65" i="91"/>
  <c r="CA65" i="91"/>
  <c r="CB65" i="91"/>
  <c r="BO66" i="91"/>
  <c r="BP66" i="91"/>
  <c r="BQ66" i="91"/>
  <c r="BR66" i="91"/>
  <c r="BS66" i="91"/>
  <c r="BT66" i="91"/>
  <c r="BU66" i="91"/>
  <c r="BV66" i="91"/>
  <c r="BW66" i="91"/>
  <c r="BX66" i="91"/>
  <c r="BY66" i="91"/>
  <c r="BZ66" i="91"/>
  <c r="CA66" i="91"/>
  <c r="CB66" i="91"/>
  <c r="BO67" i="91"/>
  <c r="BP67" i="91"/>
  <c r="BQ67" i="91"/>
  <c r="BR67" i="91"/>
  <c r="BS67" i="91"/>
  <c r="BT67" i="91"/>
  <c r="BU67" i="91"/>
  <c r="BV67" i="91"/>
  <c r="BW67" i="91"/>
  <c r="BX67" i="91"/>
  <c r="BY67" i="91"/>
  <c r="BZ67" i="91"/>
  <c r="CA67" i="91"/>
  <c r="CB67" i="91"/>
  <c r="BO68" i="91"/>
  <c r="BP68" i="91"/>
  <c r="BQ68" i="91"/>
  <c r="BR68" i="91"/>
  <c r="BS68" i="91"/>
  <c r="BT68" i="91"/>
  <c r="BU68" i="91"/>
  <c r="BV68" i="91"/>
  <c r="BW68" i="91"/>
  <c r="BX68" i="91"/>
  <c r="BY68" i="91"/>
  <c r="BZ68" i="91"/>
  <c r="CA68" i="91"/>
  <c r="CB68" i="91"/>
  <c r="BP5" i="91"/>
  <c r="BQ5" i="91"/>
  <c r="BR5" i="91"/>
  <c r="BS5" i="91"/>
  <c r="BT5" i="91"/>
  <c r="BU5" i="91"/>
  <c r="BV5" i="91"/>
  <c r="BW5" i="91"/>
  <c r="BX5" i="91"/>
  <c r="BY5" i="91"/>
  <c r="BZ5" i="91"/>
  <c r="CA5" i="91"/>
  <c r="CB5" i="91"/>
  <c r="AZ6" i="91"/>
  <c r="BA6" i="91"/>
  <c r="BB6" i="91"/>
  <c r="BC6" i="91"/>
  <c r="BD6" i="91"/>
  <c r="BE6" i="91"/>
  <c r="BF6" i="91"/>
  <c r="BG6" i="91"/>
  <c r="BH6" i="91"/>
  <c r="BI6" i="91"/>
  <c r="BJ6" i="91"/>
  <c r="BK6" i="91"/>
  <c r="BL6" i="91"/>
  <c r="BM6" i="91"/>
  <c r="AZ7" i="91"/>
  <c r="BA7" i="91"/>
  <c r="BB7" i="91"/>
  <c r="BC7" i="91"/>
  <c r="BD7" i="91"/>
  <c r="BE7" i="91"/>
  <c r="BF7" i="91"/>
  <c r="BG7" i="91"/>
  <c r="BH7" i="91"/>
  <c r="BI7" i="91"/>
  <c r="BJ7" i="91"/>
  <c r="BK7" i="91"/>
  <c r="BL7" i="91"/>
  <c r="BM7" i="91"/>
  <c r="AZ8" i="91"/>
  <c r="BA8" i="91"/>
  <c r="BB8" i="91"/>
  <c r="BC8" i="91"/>
  <c r="BD8" i="91"/>
  <c r="BE8" i="91"/>
  <c r="BF8" i="91"/>
  <c r="BG8" i="91"/>
  <c r="BH8" i="91"/>
  <c r="BI8" i="91"/>
  <c r="BJ8" i="91"/>
  <c r="BK8" i="91"/>
  <c r="BL8" i="91"/>
  <c r="BM8" i="91"/>
  <c r="AZ9" i="91"/>
  <c r="BA9" i="91"/>
  <c r="BB9" i="91"/>
  <c r="BC9" i="91"/>
  <c r="BD9" i="91"/>
  <c r="BE9" i="91"/>
  <c r="BF9" i="91"/>
  <c r="BG9" i="91"/>
  <c r="BH9" i="91"/>
  <c r="BI9" i="91"/>
  <c r="BJ9" i="91"/>
  <c r="BK9" i="91"/>
  <c r="BL9" i="91"/>
  <c r="BM9" i="91"/>
  <c r="AZ10" i="91"/>
  <c r="BA10" i="91"/>
  <c r="BB10" i="91"/>
  <c r="BC10" i="91"/>
  <c r="BD10" i="91"/>
  <c r="BE10" i="91"/>
  <c r="BF10" i="91"/>
  <c r="BG10" i="91"/>
  <c r="BH10" i="91"/>
  <c r="BI10" i="91"/>
  <c r="BJ10" i="91"/>
  <c r="BK10" i="91"/>
  <c r="BL10" i="91"/>
  <c r="BM10" i="91"/>
  <c r="AZ11" i="91"/>
  <c r="BA11" i="91"/>
  <c r="BB11" i="91"/>
  <c r="BC11" i="91"/>
  <c r="BD11" i="91"/>
  <c r="BE11" i="91"/>
  <c r="BF11" i="91"/>
  <c r="BG11" i="91"/>
  <c r="BH11" i="91"/>
  <c r="BI11" i="91"/>
  <c r="BJ11" i="91"/>
  <c r="BK11" i="91"/>
  <c r="BL11" i="91"/>
  <c r="BM11" i="91"/>
  <c r="AZ12" i="91"/>
  <c r="BA12" i="91"/>
  <c r="BB12" i="91"/>
  <c r="BC12" i="91"/>
  <c r="BD12" i="91"/>
  <c r="BE12" i="91"/>
  <c r="BF12" i="91"/>
  <c r="BG12" i="91"/>
  <c r="BH12" i="91"/>
  <c r="BI12" i="91"/>
  <c r="BJ12" i="91"/>
  <c r="BK12" i="91"/>
  <c r="BL12" i="91"/>
  <c r="BM12" i="91"/>
  <c r="AZ13" i="91"/>
  <c r="BA13" i="91"/>
  <c r="BB13" i="91"/>
  <c r="BC13" i="91"/>
  <c r="BD13" i="91"/>
  <c r="BE13" i="91"/>
  <c r="BF13" i="91"/>
  <c r="BG13" i="91"/>
  <c r="BH13" i="91"/>
  <c r="BI13" i="91"/>
  <c r="BJ13" i="91"/>
  <c r="BK13" i="91"/>
  <c r="BL13" i="91"/>
  <c r="BM13" i="91"/>
  <c r="AZ14" i="91"/>
  <c r="BA14" i="91"/>
  <c r="BB14" i="91"/>
  <c r="BC14" i="91"/>
  <c r="BD14" i="91"/>
  <c r="BE14" i="91"/>
  <c r="BF14" i="91"/>
  <c r="BG14" i="91"/>
  <c r="BH14" i="91"/>
  <c r="BI14" i="91"/>
  <c r="BJ14" i="91"/>
  <c r="BK14" i="91"/>
  <c r="BL14" i="91"/>
  <c r="BM14" i="91"/>
  <c r="AZ15" i="91"/>
  <c r="BA15" i="91"/>
  <c r="BB15" i="91"/>
  <c r="BC15" i="91"/>
  <c r="BD15" i="91"/>
  <c r="BE15" i="91"/>
  <c r="BF15" i="91"/>
  <c r="BG15" i="91"/>
  <c r="BH15" i="91"/>
  <c r="BI15" i="91"/>
  <c r="BJ15" i="91"/>
  <c r="BK15" i="91"/>
  <c r="BL15" i="91"/>
  <c r="BM15" i="91"/>
  <c r="AZ16" i="91"/>
  <c r="BA16" i="91"/>
  <c r="BB16" i="91"/>
  <c r="BC16" i="91"/>
  <c r="BD16" i="91"/>
  <c r="BE16" i="91"/>
  <c r="BF16" i="91"/>
  <c r="BG16" i="91"/>
  <c r="BH16" i="91"/>
  <c r="BI16" i="91"/>
  <c r="BJ16" i="91"/>
  <c r="BK16" i="91"/>
  <c r="BL16" i="91"/>
  <c r="BM16" i="91"/>
  <c r="AZ17" i="91"/>
  <c r="BA17" i="91"/>
  <c r="BB17" i="91"/>
  <c r="BC17" i="91"/>
  <c r="BD17" i="91"/>
  <c r="BE17" i="91"/>
  <c r="BF17" i="91"/>
  <c r="BG17" i="91"/>
  <c r="BH17" i="91"/>
  <c r="BI17" i="91"/>
  <c r="BJ17" i="91"/>
  <c r="BK17" i="91"/>
  <c r="BL17" i="91"/>
  <c r="BM17" i="91"/>
  <c r="AZ18" i="91"/>
  <c r="BA18" i="91"/>
  <c r="BB18" i="91"/>
  <c r="BC18" i="91"/>
  <c r="BD18" i="91"/>
  <c r="BE18" i="91"/>
  <c r="BF18" i="91"/>
  <c r="BG18" i="91"/>
  <c r="BH18" i="91"/>
  <c r="BI18" i="91"/>
  <c r="BJ18" i="91"/>
  <c r="BK18" i="91"/>
  <c r="BL18" i="91"/>
  <c r="BM18" i="91"/>
  <c r="AZ19" i="91"/>
  <c r="BA19" i="91"/>
  <c r="BB19" i="91"/>
  <c r="BC19" i="91"/>
  <c r="BD19" i="91"/>
  <c r="BE19" i="91"/>
  <c r="BF19" i="91"/>
  <c r="BG19" i="91"/>
  <c r="BH19" i="91"/>
  <c r="BI19" i="91"/>
  <c r="BJ19" i="91"/>
  <c r="BK19" i="91"/>
  <c r="BL19" i="91"/>
  <c r="BM19" i="91"/>
  <c r="AZ20" i="91"/>
  <c r="BA20" i="91"/>
  <c r="BB20" i="91"/>
  <c r="BC20" i="91"/>
  <c r="BD20" i="91"/>
  <c r="BE20" i="91"/>
  <c r="BF20" i="91"/>
  <c r="BG20" i="91"/>
  <c r="BH20" i="91"/>
  <c r="BI20" i="91"/>
  <c r="BJ20" i="91"/>
  <c r="BK20" i="91"/>
  <c r="BL20" i="91"/>
  <c r="BM20" i="91"/>
  <c r="AZ21" i="91"/>
  <c r="BA21" i="91"/>
  <c r="BB21" i="91"/>
  <c r="BC21" i="91"/>
  <c r="BD21" i="91"/>
  <c r="BE21" i="91"/>
  <c r="BF21" i="91"/>
  <c r="BG21" i="91"/>
  <c r="BH21" i="91"/>
  <c r="BI21" i="91"/>
  <c r="BJ21" i="91"/>
  <c r="BK21" i="91"/>
  <c r="BL21" i="91"/>
  <c r="BM21" i="91"/>
  <c r="AZ22" i="91"/>
  <c r="BA22" i="91"/>
  <c r="BB22" i="91"/>
  <c r="BC22" i="91"/>
  <c r="BD22" i="91"/>
  <c r="BE22" i="91"/>
  <c r="BF22" i="91"/>
  <c r="BG22" i="91"/>
  <c r="BH22" i="91"/>
  <c r="BI22" i="91"/>
  <c r="BJ22" i="91"/>
  <c r="BK22" i="91"/>
  <c r="BL22" i="91"/>
  <c r="BM22" i="91"/>
  <c r="AZ23" i="91"/>
  <c r="BA23" i="91"/>
  <c r="BB23" i="91"/>
  <c r="BC23" i="91"/>
  <c r="BD23" i="91"/>
  <c r="BE23" i="91"/>
  <c r="BF23" i="91"/>
  <c r="BG23" i="91"/>
  <c r="BH23" i="91"/>
  <c r="BI23" i="91"/>
  <c r="BJ23" i="91"/>
  <c r="BK23" i="91"/>
  <c r="BL23" i="91"/>
  <c r="BM23" i="91"/>
  <c r="AZ24" i="91"/>
  <c r="BA24" i="91"/>
  <c r="BB24" i="91"/>
  <c r="BC24" i="91"/>
  <c r="BD24" i="91"/>
  <c r="BE24" i="91"/>
  <c r="BF24" i="91"/>
  <c r="BG24" i="91"/>
  <c r="BH24" i="91"/>
  <c r="BI24" i="91"/>
  <c r="BJ24" i="91"/>
  <c r="BK24" i="91"/>
  <c r="BL24" i="91"/>
  <c r="BM24" i="91"/>
  <c r="AZ25" i="91"/>
  <c r="BA25" i="91"/>
  <c r="BB25" i="91"/>
  <c r="BC25" i="91"/>
  <c r="BD25" i="91"/>
  <c r="BE25" i="91"/>
  <c r="BF25" i="91"/>
  <c r="BG25" i="91"/>
  <c r="BH25" i="91"/>
  <c r="BI25" i="91"/>
  <c r="BJ25" i="91"/>
  <c r="BK25" i="91"/>
  <c r="BL25" i="91"/>
  <c r="BM25" i="91"/>
  <c r="AZ26" i="91"/>
  <c r="BA26" i="91"/>
  <c r="BB26" i="91"/>
  <c r="BC26" i="91"/>
  <c r="BD26" i="91"/>
  <c r="BE26" i="91"/>
  <c r="BF26" i="91"/>
  <c r="BG26" i="91"/>
  <c r="BH26" i="91"/>
  <c r="BI26" i="91"/>
  <c r="BJ26" i="91"/>
  <c r="BK26" i="91"/>
  <c r="BL26" i="91"/>
  <c r="BM26" i="91"/>
  <c r="AZ27" i="91"/>
  <c r="BA27" i="91"/>
  <c r="BB27" i="91"/>
  <c r="BC27" i="91"/>
  <c r="BD27" i="91"/>
  <c r="BE27" i="91"/>
  <c r="BF27" i="91"/>
  <c r="BG27" i="91"/>
  <c r="BH27" i="91"/>
  <c r="BI27" i="91"/>
  <c r="BJ27" i="91"/>
  <c r="BK27" i="91"/>
  <c r="BL27" i="91"/>
  <c r="BM27" i="91"/>
  <c r="AZ28" i="91"/>
  <c r="BA28" i="91"/>
  <c r="BB28" i="91"/>
  <c r="BC28" i="91"/>
  <c r="BD28" i="91"/>
  <c r="BE28" i="91"/>
  <c r="BF28" i="91"/>
  <c r="BG28" i="91"/>
  <c r="BH28" i="91"/>
  <c r="BI28" i="91"/>
  <c r="BJ28" i="91"/>
  <c r="BK28" i="91"/>
  <c r="BL28" i="91"/>
  <c r="BM28" i="91"/>
  <c r="AZ29" i="91"/>
  <c r="BA29" i="91"/>
  <c r="BB29" i="91"/>
  <c r="BC29" i="91"/>
  <c r="BD29" i="91"/>
  <c r="BE29" i="91"/>
  <c r="BF29" i="91"/>
  <c r="BG29" i="91"/>
  <c r="BH29" i="91"/>
  <c r="BI29" i="91"/>
  <c r="BJ29" i="91"/>
  <c r="BK29" i="91"/>
  <c r="BL29" i="91"/>
  <c r="BM29" i="91"/>
  <c r="AZ30" i="91"/>
  <c r="BA30" i="91"/>
  <c r="BB30" i="91"/>
  <c r="BC30" i="91"/>
  <c r="BD30" i="91"/>
  <c r="BE30" i="91"/>
  <c r="BF30" i="91"/>
  <c r="BG30" i="91"/>
  <c r="BH30" i="91"/>
  <c r="BI30" i="91"/>
  <c r="BJ30" i="91"/>
  <c r="BK30" i="91"/>
  <c r="BL30" i="91"/>
  <c r="BM30" i="91"/>
  <c r="AZ31" i="91"/>
  <c r="BA31" i="91"/>
  <c r="BB31" i="91"/>
  <c r="BC31" i="91"/>
  <c r="BD31" i="91"/>
  <c r="BE31" i="91"/>
  <c r="BF31" i="91"/>
  <c r="BG31" i="91"/>
  <c r="BH31" i="91"/>
  <c r="BI31" i="91"/>
  <c r="BJ31" i="91"/>
  <c r="BK31" i="91"/>
  <c r="BL31" i="91"/>
  <c r="BM31" i="91"/>
  <c r="AZ32" i="91"/>
  <c r="BA32" i="91"/>
  <c r="BB32" i="91"/>
  <c r="BC32" i="91"/>
  <c r="BD32" i="91"/>
  <c r="BE32" i="91"/>
  <c r="BF32" i="91"/>
  <c r="BG32" i="91"/>
  <c r="BH32" i="91"/>
  <c r="BI32" i="91"/>
  <c r="BJ32" i="91"/>
  <c r="BK32" i="91"/>
  <c r="BL32" i="91"/>
  <c r="BM32" i="91"/>
  <c r="AZ33" i="91"/>
  <c r="BA33" i="91"/>
  <c r="BB33" i="91"/>
  <c r="BC33" i="91"/>
  <c r="BD33" i="91"/>
  <c r="BE33" i="91"/>
  <c r="BF33" i="91"/>
  <c r="BG33" i="91"/>
  <c r="BH33" i="91"/>
  <c r="BI33" i="91"/>
  <c r="BJ33" i="91"/>
  <c r="BK33" i="91"/>
  <c r="BL33" i="91"/>
  <c r="BM33" i="91"/>
  <c r="AZ34" i="91"/>
  <c r="BA34" i="91"/>
  <c r="BB34" i="91"/>
  <c r="BC34" i="91"/>
  <c r="BD34" i="91"/>
  <c r="BE34" i="91"/>
  <c r="BF34" i="91"/>
  <c r="BG34" i="91"/>
  <c r="BH34" i="91"/>
  <c r="BI34" i="91"/>
  <c r="BJ34" i="91"/>
  <c r="BK34" i="91"/>
  <c r="BL34" i="91"/>
  <c r="BM34" i="91"/>
  <c r="AZ35" i="91"/>
  <c r="BA35" i="91"/>
  <c r="BB35" i="91"/>
  <c r="BC35" i="91"/>
  <c r="BD35" i="91"/>
  <c r="BE35" i="91"/>
  <c r="BF35" i="91"/>
  <c r="BG35" i="91"/>
  <c r="BH35" i="91"/>
  <c r="BI35" i="91"/>
  <c r="BJ35" i="91"/>
  <c r="BK35" i="91"/>
  <c r="BL35" i="91"/>
  <c r="BM35" i="91"/>
  <c r="AZ36" i="91"/>
  <c r="BA36" i="91"/>
  <c r="BB36" i="91"/>
  <c r="BC36" i="91"/>
  <c r="BD36" i="91"/>
  <c r="BE36" i="91"/>
  <c r="BF36" i="91"/>
  <c r="BG36" i="91"/>
  <c r="BH36" i="91"/>
  <c r="BI36" i="91"/>
  <c r="BJ36" i="91"/>
  <c r="BK36" i="91"/>
  <c r="BL36" i="91"/>
  <c r="BM36" i="91"/>
  <c r="AZ37" i="91"/>
  <c r="BA37" i="91"/>
  <c r="BB37" i="91"/>
  <c r="BC37" i="91"/>
  <c r="BD37" i="91"/>
  <c r="BE37" i="91"/>
  <c r="BF37" i="91"/>
  <c r="BG37" i="91"/>
  <c r="BH37" i="91"/>
  <c r="BI37" i="91"/>
  <c r="BJ37" i="91"/>
  <c r="BK37" i="91"/>
  <c r="BL37" i="91"/>
  <c r="BM37" i="91"/>
  <c r="AZ38" i="91"/>
  <c r="BA38" i="91"/>
  <c r="BB38" i="91"/>
  <c r="BC38" i="91"/>
  <c r="BD38" i="91"/>
  <c r="BE38" i="91"/>
  <c r="BF38" i="91"/>
  <c r="BG38" i="91"/>
  <c r="BH38" i="91"/>
  <c r="BI38" i="91"/>
  <c r="BJ38" i="91"/>
  <c r="BK38" i="91"/>
  <c r="BL38" i="91"/>
  <c r="BM38" i="91"/>
  <c r="AZ39" i="91"/>
  <c r="BA39" i="91"/>
  <c r="BB39" i="91"/>
  <c r="BC39" i="91"/>
  <c r="BD39" i="91"/>
  <c r="BE39" i="91"/>
  <c r="BF39" i="91"/>
  <c r="BG39" i="91"/>
  <c r="BH39" i="91"/>
  <c r="BI39" i="91"/>
  <c r="BJ39" i="91"/>
  <c r="BK39" i="91"/>
  <c r="BL39" i="91"/>
  <c r="BM39" i="91"/>
  <c r="AZ40" i="91"/>
  <c r="BA40" i="91"/>
  <c r="BB40" i="91"/>
  <c r="BC40" i="91"/>
  <c r="BD40" i="91"/>
  <c r="BE40" i="91"/>
  <c r="BF40" i="91"/>
  <c r="BG40" i="91"/>
  <c r="BH40" i="91"/>
  <c r="BI40" i="91"/>
  <c r="BJ40" i="91"/>
  <c r="BK40" i="91"/>
  <c r="BL40" i="91"/>
  <c r="BM40" i="91"/>
  <c r="AZ41" i="91"/>
  <c r="BA41" i="91"/>
  <c r="BB41" i="91"/>
  <c r="BC41" i="91"/>
  <c r="BD41" i="91"/>
  <c r="BE41" i="91"/>
  <c r="BF41" i="91"/>
  <c r="BG41" i="91"/>
  <c r="BH41" i="91"/>
  <c r="BI41" i="91"/>
  <c r="BJ41" i="91"/>
  <c r="BK41" i="91"/>
  <c r="BL41" i="91"/>
  <c r="BM41" i="91"/>
  <c r="AZ42" i="91"/>
  <c r="BA42" i="91"/>
  <c r="BB42" i="91"/>
  <c r="BC42" i="91"/>
  <c r="BD42" i="91"/>
  <c r="BE42" i="91"/>
  <c r="BF42" i="91"/>
  <c r="BG42" i="91"/>
  <c r="BH42" i="91"/>
  <c r="BI42" i="91"/>
  <c r="BJ42" i="91"/>
  <c r="BK42" i="91"/>
  <c r="BL42" i="91"/>
  <c r="BM42" i="91"/>
  <c r="AZ43" i="91"/>
  <c r="BA43" i="91"/>
  <c r="BB43" i="91"/>
  <c r="BC43" i="91"/>
  <c r="BD43" i="91"/>
  <c r="BE43" i="91"/>
  <c r="BF43" i="91"/>
  <c r="BG43" i="91"/>
  <c r="BH43" i="91"/>
  <c r="BI43" i="91"/>
  <c r="BJ43" i="91"/>
  <c r="BK43" i="91"/>
  <c r="BL43" i="91"/>
  <c r="BM43" i="91"/>
  <c r="AZ44" i="91"/>
  <c r="BA44" i="91"/>
  <c r="BB44" i="91"/>
  <c r="BC44" i="91"/>
  <c r="BD44" i="91"/>
  <c r="BE44" i="91"/>
  <c r="BF44" i="91"/>
  <c r="BG44" i="91"/>
  <c r="BH44" i="91"/>
  <c r="BI44" i="91"/>
  <c r="BJ44" i="91"/>
  <c r="BK44" i="91"/>
  <c r="BL44" i="91"/>
  <c r="BM44" i="91"/>
  <c r="AZ45" i="91"/>
  <c r="BA45" i="91"/>
  <c r="BB45" i="91"/>
  <c r="BC45" i="91"/>
  <c r="BD45" i="91"/>
  <c r="BE45" i="91"/>
  <c r="BF45" i="91"/>
  <c r="BG45" i="91"/>
  <c r="BH45" i="91"/>
  <c r="BI45" i="91"/>
  <c r="BJ45" i="91"/>
  <c r="BK45" i="91"/>
  <c r="BL45" i="91"/>
  <c r="BM45" i="91"/>
  <c r="AZ46" i="91"/>
  <c r="BA46" i="91"/>
  <c r="BB46" i="91"/>
  <c r="BC46" i="91"/>
  <c r="BD46" i="91"/>
  <c r="BE46" i="91"/>
  <c r="BF46" i="91"/>
  <c r="BG46" i="91"/>
  <c r="BH46" i="91"/>
  <c r="BI46" i="91"/>
  <c r="BJ46" i="91"/>
  <c r="BK46" i="91"/>
  <c r="BL46" i="91"/>
  <c r="BM46" i="91"/>
  <c r="AZ47" i="91"/>
  <c r="BA47" i="91"/>
  <c r="BB47" i="91"/>
  <c r="BC47" i="91"/>
  <c r="BD47" i="91"/>
  <c r="BE47" i="91"/>
  <c r="BF47" i="91"/>
  <c r="BG47" i="91"/>
  <c r="BH47" i="91"/>
  <c r="BI47" i="91"/>
  <c r="BJ47" i="91"/>
  <c r="BK47" i="91"/>
  <c r="BL47" i="91"/>
  <c r="BM47" i="91"/>
  <c r="AZ48" i="91"/>
  <c r="BA48" i="91"/>
  <c r="BB48" i="91"/>
  <c r="BC48" i="91"/>
  <c r="BD48" i="91"/>
  <c r="BE48" i="91"/>
  <c r="BF48" i="91"/>
  <c r="BG48" i="91"/>
  <c r="BH48" i="91"/>
  <c r="BI48" i="91"/>
  <c r="BJ48" i="91"/>
  <c r="BK48" i="91"/>
  <c r="BL48" i="91"/>
  <c r="BM48" i="91"/>
  <c r="AZ49" i="91"/>
  <c r="BA49" i="91"/>
  <c r="BB49" i="91"/>
  <c r="BC49" i="91"/>
  <c r="BD49" i="91"/>
  <c r="BE49" i="91"/>
  <c r="BF49" i="91"/>
  <c r="BG49" i="91"/>
  <c r="BH49" i="91"/>
  <c r="BI49" i="91"/>
  <c r="BJ49" i="91"/>
  <c r="BK49" i="91"/>
  <c r="BL49" i="91"/>
  <c r="BM49" i="91"/>
  <c r="AZ50" i="91"/>
  <c r="BA50" i="91"/>
  <c r="BB50" i="91"/>
  <c r="BC50" i="91"/>
  <c r="BD50" i="91"/>
  <c r="BE50" i="91"/>
  <c r="BF50" i="91"/>
  <c r="BG50" i="91"/>
  <c r="BH50" i="91"/>
  <c r="BI50" i="91"/>
  <c r="BJ50" i="91"/>
  <c r="BK50" i="91"/>
  <c r="BL50" i="91"/>
  <c r="BM50" i="91"/>
  <c r="AZ51" i="91"/>
  <c r="BA51" i="91"/>
  <c r="BB51" i="91"/>
  <c r="BC51" i="91"/>
  <c r="BD51" i="91"/>
  <c r="BE51" i="91"/>
  <c r="BF51" i="91"/>
  <c r="BG51" i="91"/>
  <c r="BH51" i="91"/>
  <c r="BI51" i="91"/>
  <c r="BJ51" i="91"/>
  <c r="BK51" i="91"/>
  <c r="BL51" i="91"/>
  <c r="BM51" i="91"/>
  <c r="AZ52" i="91"/>
  <c r="BA52" i="91"/>
  <c r="BB52" i="91"/>
  <c r="BC52" i="91"/>
  <c r="BD52" i="91"/>
  <c r="BE52" i="91"/>
  <c r="BF52" i="91"/>
  <c r="BG52" i="91"/>
  <c r="BH52" i="91"/>
  <c r="BI52" i="91"/>
  <c r="BJ52" i="91"/>
  <c r="BK52" i="91"/>
  <c r="BL52" i="91"/>
  <c r="BM52" i="91"/>
  <c r="AZ53" i="91"/>
  <c r="BA53" i="91"/>
  <c r="BB53" i="91"/>
  <c r="BC53" i="91"/>
  <c r="BD53" i="91"/>
  <c r="BE53" i="91"/>
  <c r="BF53" i="91"/>
  <c r="BG53" i="91"/>
  <c r="BH53" i="91"/>
  <c r="BI53" i="91"/>
  <c r="BJ53" i="91"/>
  <c r="BK53" i="91"/>
  <c r="BL53" i="91"/>
  <c r="BM53" i="91"/>
  <c r="AZ54" i="91"/>
  <c r="BA54" i="91"/>
  <c r="BB54" i="91"/>
  <c r="BC54" i="91"/>
  <c r="BD54" i="91"/>
  <c r="BE54" i="91"/>
  <c r="BF54" i="91"/>
  <c r="BG54" i="91"/>
  <c r="BH54" i="91"/>
  <c r="BI54" i="91"/>
  <c r="BJ54" i="91"/>
  <c r="BK54" i="91"/>
  <c r="BL54" i="91"/>
  <c r="BM54" i="91"/>
  <c r="AZ55" i="91"/>
  <c r="BA55" i="91"/>
  <c r="BB55" i="91"/>
  <c r="BC55" i="91"/>
  <c r="BD55" i="91"/>
  <c r="BE55" i="91"/>
  <c r="BF55" i="91"/>
  <c r="BG55" i="91"/>
  <c r="BH55" i="91"/>
  <c r="BI55" i="91"/>
  <c r="BJ55" i="91"/>
  <c r="BK55" i="91"/>
  <c r="BL55" i="91"/>
  <c r="BM55" i="91"/>
  <c r="AZ56" i="91"/>
  <c r="BA56" i="91"/>
  <c r="BB56" i="91"/>
  <c r="BC56" i="91"/>
  <c r="BD56" i="91"/>
  <c r="BE56" i="91"/>
  <c r="BF56" i="91"/>
  <c r="BG56" i="91"/>
  <c r="BH56" i="91"/>
  <c r="BI56" i="91"/>
  <c r="BJ56" i="91"/>
  <c r="BK56" i="91"/>
  <c r="BL56" i="91"/>
  <c r="BM56" i="91"/>
  <c r="AZ57" i="91"/>
  <c r="BA57" i="91"/>
  <c r="BB57" i="91"/>
  <c r="BC57" i="91"/>
  <c r="BD57" i="91"/>
  <c r="BE57" i="91"/>
  <c r="BF57" i="91"/>
  <c r="BG57" i="91"/>
  <c r="BH57" i="91"/>
  <c r="BI57" i="91"/>
  <c r="BJ57" i="91"/>
  <c r="BK57" i="91"/>
  <c r="BL57" i="91"/>
  <c r="BM57" i="91"/>
  <c r="AZ58" i="91"/>
  <c r="BA58" i="91"/>
  <c r="BB58" i="91"/>
  <c r="BC58" i="91"/>
  <c r="BD58" i="91"/>
  <c r="BE58" i="91"/>
  <c r="BF58" i="91"/>
  <c r="BG58" i="91"/>
  <c r="BH58" i="91"/>
  <c r="BI58" i="91"/>
  <c r="BJ58" i="91"/>
  <c r="BK58" i="91"/>
  <c r="BL58" i="91"/>
  <c r="BM58" i="91"/>
  <c r="AZ59" i="91"/>
  <c r="BA59" i="91"/>
  <c r="BB59" i="91"/>
  <c r="BC59" i="91"/>
  <c r="BD59" i="91"/>
  <c r="BE59" i="91"/>
  <c r="BF59" i="91"/>
  <c r="BG59" i="91"/>
  <c r="BH59" i="91"/>
  <c r="BI59" i="91"/>
  <c r="BJ59" i="91"/>
  <c r="BK59" i="91"/>
  <c r="BL59" i="91"/>
  <c r="BM59" i="91"/>
  <c r="AZ60" i="91"/>
  <c r="BA60" i="91"/>
  <c r="BB60" i="91"/>
  <c r="BC60" i="91"/>
  <c r="BD60" i="91"/>
  <c r="BE60" i="91"/>
  <c r="BF60" i="91"/>
  <c r="BG60" i="91"/>
  <c r="BH60" i="91"/>
  <c r="BI60" i="91"/>
  <c r="BJ60" i="91"/>
  <c r="BK60" i="91"/>
  <c r="BL60" i="91"/>
  <c r="BM60" i="91"/>
  <c r="AZ61" i="91"/>
  <c r="BA61" i="91"/>
  <c r="BB61" i="91"/>
  <c r="BC61" i="91"/>
  <c r="BD61" i="91"/>
  <c r="BE61" i="91"/>
  <c r="BF61" i="91"/>
  <c r="BG61" i="91"/>
  <c r="BH61" i="91"/>
  <c r="BI61" i="91"/>
  <c r="BJ61" i="91"/>
  <c r="BK61" i="91"/>
  <c r="BL61" i="91"/>
  <c r="BM61" i="91"/>
  <c r="AZ62" i="91"/>
  <c r="BA62" i="91"/>
  <c r="BB62" i="91"/>
  <c r="BC62" i="91"/>
  <c r="BD62" i="91"/>
  <c r="BE62" i="91"/>
  <c r="BF62" i="91"/>
  <c r="BG62" i="91"/>
  <c r="BH62" i="91"/>
  <c r="BI62" i="91"/>
  <c r="BJ62" i="91"/>
  <c r="BK62" i="91"/>
  <c r="BL62" i="91"/>
  <c r="BM62" i="91"/>
  <c r="AZ63" i="91"/>
  <c r="BA63" i="91"/>
  <c r="BB63" i="91"/>
  <c r="BC63" i="91"/>
  <c r="BD63" i="91"/>
  <c r="BE63" i="91"/>
  <c r="BF63" i="91"/>
  <c r="BG63" i="91"/>
  <c r="BH63" i="91"/>
  <c r="BI63" i="91"/>
  <c r="BJ63" i="91"/>
  <c r="BK63" i="91"/>
  <c r="BL63" i="91"/>
  <c r="BM63" i="91"/>
  <c r="AZ64" i="91"/>
  <c r="BA64" i="91"/>
  <c r="BB64" i="91"/>
  <c r="BC64" i="91"/>
  <c r="BD64" i="91"/>
  <c r="BE64" i="91"/>
  <c r="BF64" i="91"/>
  <c r="BG64" i="91"/>
  <c r="BH64" i="91"/>
  <c r="BI64" i="91"/>
  <c r="BJ64" i="91"/>
  <c r="BK64" i="91"/>
  <c r="BL64" i="91"/>
  <c r="BM64" i="91"/>
  <c r="AZ65" i="91"/>
  <c r="BA65" i="91"/>
  <c r="BB65" i="91"/>
  <c r="BC65" i="91"/>
  <c r="BD65" i="91"/>
  <c r="BE65" i="91"/>
  <c r="BF65" i="91"/>
  <c r="BG65" i="91"/>
  <c r="BH65" i="91"/>
  <c r="BI65" i="91"/>
  <c r="BJ65" i="91"/>
  <c r="BK65" i="91"/>
  <c r="BL65" i="91"/>
  <c r="BM65" i="91"/>
  <c r="AZ66" i="91"/>
  <c r="BA66" i="91"/>
  <c r="BB66" i="91"/>
  <c r="BC66" i="91"/>
  <c r="BD66" i="91"/>
  <c r="BE66" i="91"/>
  <c r="BF66" i="91"/>
  <c r="BG66" i="91"/>
  <c r="BH66" i="91"/>
  <c r="BI66" i="91"/>
  <c r="BJ66" i="91"/>
  <c r="BK66" i="91"/>
  <c r="BL66" i="91"/>
  <c r="BM66" i="91"/>
  <c r="AZ67" i="91"/>
  <c r="BA67" i="91"/>
  <c r="BB67" i="91"/>
  <c r="BC67" i="91"/>
  <c r="BD67" i="91"/>
  <c r="BE67" i="91"/>
  <c r="BF67" i="91"/>
  <c r="BG67" i="91"/>
  <c r="BH67" i="91"/>
  <c r="BI67" i="91"/>
  <c r="BJ67" i="91"/>
  <c r="BK67" i="91"/>
  <c r="BL67" i="91"/>
  <c r="BM67" i="91"/>
  <c r="AZ68" i="91"/>
  <c r="BA68" i="91"/>
  <c r="BB68" i="91"/>
  <c r="BC68" i="91"/>
  <c r="BD68" i="91"/>
  <c r="BE68" i="91"/>
  <c r="BF68" i="91"/>
  <c r="BG68" i="91"/>
  <c r="BH68" i="91"/>
  <c r="BI68" i="91"/>
  <c r="BJ68" i="91"/>
  <c r="BK68" i="91"/>
  <c r="BL68" i="91"/>
  <c r="BM68" i="91"/>
  <c r="BA5" i="91"/>
  <c r="BB5" i="91"/>
  <c r="BC5" i="91"/>
  <c r="BD5" i="91"/>
  <c r="BE5" i="91"/>
  <c r="BF5" i="91"/>
  <c r="BG5" i="91"/>
  <c r="BH5" i="91"/>
  <c r="BI5" i="91"/>
  <c r="BJ5" i="91"/>
  <c r="BK5" i="91"/>
  <c r="BL5" i="91"/>
  <c r="BM5" i="91"/>
  <c r="AK6" i="91"/>
  <c r="AL6" i="91"/>
  <c r="AM6" i="91"/>
  <c r="AN6" i="91"/>
  <c r="AO6" i="91"/>
  <c r="AP6" i="91"/>
  <c r="AQ6" i="91"/>
  <c r="AR6" i="91"/>
  <c r="AS6" i="91"/>
  <c r="AT6" i="91"/>
  <c r="AU6" i="91"/>
  <c r="AV6" i="91"/>
  <c r="AW6" i="91"/>
  <c r="AX6" i="91"/>
  <c r="AK7" i="91"/>
  <c r="AL7" i="91"/>
  <c r="AM7" i="91"/>
  <c r="AN7" i="91"/>
  <c r="AO7" i="91"/>
  <c r="AP7" i="91"/>
  <c r="AQ7" i="91"/>
  <c r="AR7" i="91"/>
  <c r="AS7" i="91"/>
  <c r="AT7" i="91"/>
  <c r="AU7" i="91"/>
  <c r="AV7" i="91"/>
  <c r="AW7" i="91"/>
  <c r="AX7" i="91"/>
  <c r="AK8" i="91"/>
  <c r="AL8" i="91"/>
  <c r="AM8" i="91"/>
  <c r="AN8" i="91"/>
  <c r="AO8" i="91"/>
  <c r="AP8" i="91"/>
  <c r="AQ8" i="91"/>
  <c r="AR8" i="91"/>
  <c r="AS8" i="91"/>
  <c r="AT8" i="91"/>
  <c r="AU8" i="91"/>
  <c r="AV8" i="91"/>
  <c r="AW8" i="91"/>
  <c r="AX8" i="91"/>
  <c r="AK9" i="91"/>
  <c r="AL9" i="91"/>
  <c r="AM9" i="91"/>
  <c r="AN9" i="91"/>
  <c r="AO9" i="91"/>
  <c r="AP9" i="91"/>
  <c r="AQ9" i="91"/>
  <c r="AR9" i="91"/>
  <c r="AS9" i="91"/>
  <c r="AT9" i="91"/>
  <c r="AU9" i="91"/>
  <c r="AV9" i="91"/>
  <c r="AW9" i="91"/>
  <c r="AX9" i="91"/>
  <c r="AK10" i="91"/>
  <c r="AL10" i="91"/>
  <c r="AM10" i="91"/>
  <c r="AN10" i="91"/>
  <c r="AO10" i="91"/>
  <c r="AP10" i="91"/>
  <c r="AQ10" i="91"/>
  <c r="AR10" i="91"/>
  <c r="AS10" i="91"/>
  <c r="AT10" i="91"/>
  <c r="AU10" i="91"/>
  <c r="AV10" i="91"/>
  <c r="AW10" i="91"/>
  <c r="AX10" i="91"/>
  <c r="AK11" i="91"/>
  <c r="AL11" i="91"/>
  <c r="AM11" i="91"/>
  <c r="AN11" i="91"/>
  <c r="AO11" i="91"/>
  <c r="AP11" i="91"/>
  <c r="AQ11" i="91"/>
  <c r="AR11" i="91"/>
  <c r="AS11" i="91"/>
  <c r="AT11" i="91"/>
  <c r="AU11" i="91"/>
  <c r="AV11" i="91"/>
  <c r="AW11" i="91"/>
  <c r="AX11" i="91"/>
  <c r="AK12" i="91"/>
  <c r="AL12" i="91"/>
  <c r="AM12" i="91"/>
  <c r="AN12" i="91"/>
  <c r="AO12" i="91"/>
  <c r="AP12" i="91"/>
  <c r="AQ12" i="91"/>
  <c r="AR12" i="91"/>
  <c r="AS12" i="91"/>
  <c r="AT12" i="91"/>
  <c r="AU12" i="91"/>
  <c r="AV12" i="91"/>
  <c r="AW12" i="91"/>
  <c r="AX12" i="91"/>
  <c r="AK13" i="91"/>
  <c r="AL13" i="91"/>
  <c r="AM13" i="91"/>
  <c r="AN13" i="91"/>
  <c r="AO13" i="91"/>
  <c r="AP13" i="91"/>
  <c r="AQ13" i="91"/>
  <c r="AR13" i="91"/>
  <c r="AS13" i="91"/>
  <c r="AT13" i="91"/>
  <c r="AU13" i="91"/>
  <c r="AV13" i="91"/>
  <c r="AW13" i="91"/>
  <c r="AX13" i="91"/>
  <c r="AK14" i="91"/>
  <c r="AL14" i="91"/>
  <c r="AM14" i="91"/>
  <c r="AN14" i="91"/>
  <c r="AO14" i="91"/>
  <c r="AP14" i="91"/>
  <c r="AQ14" i="91"/>
  <c r="AR14" i="91"/>
  <c r="AS14" i="91"/>
  <c r="AT14" i="91"/>
  <c r="AU14" i="91"/>
  <c r="AV14" i="91"/>
  <c r="AW14" i="91"/>
  <c r="AX14" i="91"/>
  <c r="AK15" i="91"/>
  <c r="AL15" i="91"/>
  <c r="AM15" i="91"/>
  <c r="AN15" i="91"/>
  <c r="AO15" i="91"/>
  <c r="AP15" i="91"/>
  <c r="AQ15" i="91"/>
  <c r="AR15" i="91"/>
  <c r="AS15" i="91"/>
  <c r="AT15" i="91"/>
  <c r="AU15" i="91"/>
  <c r="AV15" i="91"/>
  <c r="AW15" i="91"/>
  <c r="AX15" i="91"/>
  <c r="AK16" i="91"/>
  <c r="AL16" i="91"/>
  <c r="AM16" i="91"/>
  <c r="AN16" i="91"/>
  <c r="AO16" i="91"/>
  <c r="AP16" i="91"/>
  <c r="AQ16" i="91"/>
  <c r="AR16" i="91"/>
  <c r="AS16" i="91"/>
  <c r="AT16" i="91"/>
  <c r="AU16" i="91"/>
  <c r="AV16" i="91"/>
  <c r="AW16" i="91"/>
  <c r="AX16" i="91"/>
  <c r="AK17" i="91"/>
  <c r="AL17" i="91"/>
  <c r="AM17" i="91"/>
  <c r="AN17" i="91"/>
  <c r="AO17" i="91"/>
  <c r="AP17" i="91"/>
  <c r="AQ17" i="91"/>
  <c r="AR17" i="91"/>
  <c r="AS17" i="91"/>
  <c r="AT17" i="91"/>
  <c r="AU17" i="91"/>
  <c r="AV17" i="91"/>
  <c r="AW17" i="91"/>
  <c r="AX17" i="91"/>
  <c r="AK18" i="91"/>
  <c r="AL18" i="91"/>
  <c r="AM18" i="91"/>
  <c r="AN18" i="91"/>
  <c r="AO18" i="91"/>
  <c r="AP18" i="91"/>
  <c r="AQ18" i="91"/>
  <c r="AR18" i="91"/>
  <c r="AS18" i="91"/>
  <c r="AT18" i="91"/>
  <c r="AU18" i="91"/>
  <c r="AV18" i="91"/>
  <c r="AW18" i="91"/>
  <c r="AX18" i="91"/>
  <c r="AK19" i="91"/>
  <c r="AL19" i="91"/>
  <c r="AM19" i="91"/>
  <c r="AN19" i="91"/>
  <c r="AO19" i="91"/>
  <c r="AP19" i="91"/>
  <c r="AQ19" i="91"/>
  <c r="AR19" i="91"/>
  <c r="AS19" i="91"/>
  <c r="AT19" i="91"/>
  <c r="AU19" i="91"/>
  <c r="AV19" i="91"/>
  <c r="AW19" i="91"/>
  <c r="AX19" i="91"/>
  <c r="AK20" i="91"/>
  <c r="AL20" i="91"/>
  <c r="AM20" i="91"/>
  <c r="AN20" i="91"/>
  <c r="AO20" i="91"/>
  <c r="AP20" i="91"/>
  <c r="AQ20" i="91"/>
  <c r="AR20" i="91"/>
  <c r="AS20" i="91"/>
  <c r="AT20" i="91"/>
  <c r="AU20" i="91"/>
  <c r="AV20" i="91"/>
  <c r="AW20" i="91"/>
  <c r="AX20" i="91"/>
  <c r="AK21" i="91"/>
  <c r="AL21" i="91"/>
  <c r="AM21" i="91"/>
  <c r="AN21" i="91"/>
  <c r="AO21" i="91"/>
  <c r="AP21" i="91"/>
  <c r="AQ21" i="91"/>
  <c r="AR21" i="91"/>
  <c r="AS21" i="91"/>
  <c r="AT21" i="91"/>
  <c r="AU21" i="91"/>
  <c r="AV21" i="91"/>
  <c r="AW21" i="91"/>
  <c r="AX21" i="91"/>
  <c r="AK22" i="91"/>
  <c r="AL22" i="91"/>
  <c r="AM22" i="91"/>
  <c r="AN22" i="91"/>
  <c r="AO22" i="91"/>
  <c r="AP22" i="91"/>
  <c r="AQ22" i="91"/>
  <c r="AR22" i="91"/>
  <c r="AS22" i="91"/>
  <c r="AT22" i="91"/>
  <c r="AU22" i="91"/>
  <c r="AV22" i="91"/>
  <c r="AW22" i="91"/>
  <c r="AX22" i="91"/>
  <c r="AK23" i="91"/>
  <c r="AL23" i="91"/>
  <c r="AM23" i="91"/>
  <c r="AN23" i="91"/>
  <c r="AO23" i="91"/>
  <c r="AP23" i="91"/>
  <c r="AQ23" i="91"/>
  <c r="AR23" i="91"/>
  <c r="AS23" i="91"/>
  <c r="AT23" i="91"/>
  <c r="AU23" i="91"/>
  <c r="AV23" i="91"/>
  <c r="AW23" i="91"/>
  <c r="AX23" i="91"/>
  <c r="AK24" i="91"/>
  <c r="AL24" i="91"/>
  <c r="AM24" i="91"/>
  <c r="AN24" i="91"/>
  <c r="AO24" i="91"/>
  <c r="AP24" i="91"/>
  <c r="AQ24" i="91"/>
  <c r="AR24" i="91"/>
  <c r="AS24" i="91"/>
  <c r="AT24" i="91"/>
  <c r="AU24" i="91"/>
  <c r="AV24" i="91"/>
  <c r="AW24" i="91"/>
  <c r="AX24" i="91"/>
  <c r="AK25" i="91"/>
  <c r="AL25" i="91"/>
  <c r="AM25" i="91"/>
  <c r="AN25" i="91"/>
  <c r="AO25" i="91"/>
  <c r="AP25" i="91"/>
  <c r="AQ25" i="91"/>
  <c r="AR25" i="91"/>
  <c r="AS25" i="91"/>
  <c r="AT25" i="91"/>
  <c r="AU25" i="91"/>
  <c r="AV25" i="91"/>
  <c r="AW25" i="91"/>
  <c r="AX25" i="91"/>
  <c r="AK26" i="91"/>
  <c r="AL26" i="91"/>
  <c r="AM26" i="91"/>
  <c r="AN26" i="91"/>
  <c r="AO26" i="91"/>
  <c r="AP26" i="91"/>
  <c r="AQ26" i="91"/>
  <c r="AR26" i="91"/>
  <c r="AS26" i="91"/>
  <c r="AT26" i="91"/>
  <c r="AU26" i="91"/>
  <c r="AV26" i="91"/>
  <c r="AW26" i="91"/>
  <c r="AX26" i="91"/>
  <c r="AK27" i="91"/>
  <c r="AL27" i="91"/>
  <c r="AM27" i="91"/>
  <c r="AN27" i="91"/>
  <c r="AO27" i="91"/>
  <c r="AP27" i="91"/>
  <c r="AQ27" i="91"/>
  <c r="AR27" i="91"/>
  <c r="AS27" i="91"/>
  <c r="AT27" i="91"/>
  <c r="AU27" i="91"/>
  <c r="AV27" i="91"/>
  <c r="AW27" i="91"/>
  <c r="AX27" i="91"/>
  <c r="AK28" i="91"/>
  <c r="AL28" i="91"/>
  <c r="AM28" i="91"/>
  <c r="AN28" i="91"/>
  <c r="AO28" i="91"/>
  <c r="AP28" i="91"/>
  <c r="AQ28" i="91"/>
  <c r="AR28" i="91"/>
  <c r="AS28" i="91"/>
  <c r="AT28" i="91"/>
  <c r="AU28" i="91"/>
  <c r="AV28" i="91"/>
  <c r="AW28" i="91"/>
  <c r="AX28" i="91"/>
  <c r="AK29" i="91"/>
  <c r="AL29" i="91"/>
  <c r="AM29" i="91"/>
  <c r="AN29" i="91"/>
  <c r="AO29" i="91"/>
  <c r="AP29" i="91"/>
  <c r="AQ29" i="91"/>
  <c r="AR29" i="91"/>
  <c r="AS29" i="91"/>
  <c r="AT29" i="91"/>
  <c r="AU29" i="91"/>
  <c r="AV29" i="91"/>
  <c r="AW29" i="91"/>
  <c r="AX29" i="91"/>
  <c r="AK30" i="91"/>
  <c r="AL30" i="91"/>
  <c r="AM30" i="91"/>
  <c r="AN30" i="91"/>
  <c r="AO30" i="91"/>
  <c r="AP30" i="91"/>
  <c r="AQ30" i="91"/>
  <c r="AR30" i="91"/>
  <c r="AS30" i="91"/>
  <c r="AT30" i="91"/>
  <c r="AU30" i="91"/>
  <c r="AV30" i="91"/>
  <c r="AW30" i="91"/>
  <c r="AX30" i="91"/>
  <c r="AK31" i="91"/>
  <c r="AL31" i="91"/>
  <c r="AM31" i="91"/>
  <c r="AN31" i="91"/>
  <c r="AO31" i="91"/>
  <c r="AP31" i="91"/>
  <c r="AQ31" i="91"/>
  <c r="AR31" i="91"/>
  <c r="AS31" i="91"/>
  <c r="AT31" i="91"/>
  <c r="AU31" i="91"/>
  <c r="AV31" i="91"/>
  <c r="AW31" i="91"/>
  <c r="AX31" i="91"/>
  <c r="AK32" i="91"/>
  <c r="AL32" i="91"/>
  <c r="AM32" i="91"/>
  <c r="AN32" i="91"/>
  <c r="AO32" i="91"/>
  <c r="AP32" i="91"/>
  <c r="AQ32" i="91"/>
  <c r="AR32" i="91"/>
  <c r="AS32" i="91"/>
  <c r="AT32" i="91"/>
  <c r="AU32" i="91"/>
  <c r="AV32" i="91"/>
  <c r="AW32" i="91"/>
  <c r="AX32" i="91"/>
  <c r="AK33" i="91"/>
  <c r="AL33" i="91"/>
  <c r="AM33" i="91"/>
  <c r="AN33" i="91"/>
  <c r="AO33" i="91"/>
  <c r="AP33" i="91"/>
  <c r="AQ33" i="91"/>
  <c r="AR33" i="91"/>
  <c r="AS33" i="91"/>
  <c r="AT33" i="91"/>
  <c r="AU33" i="91"/>
  <c r="AV33" i="91"/>
  <c r="AW33" i="91"/>
  <c r="AX33" i="91"/>
  <c r="AK34" i="91"/>
  <c r="AL34" i="91"/>
  <c r="AM34" i="91"/>
  <c r="AN34" i="91"/>
  <c r="AO34" i="91"/>
  <c r="AP34" i="91"/>
  <c r="AQ34" i="91"/>
  <c r="AR34" i="91"/>
  <c r="AS34" i="91"/>
  <c r="AT34" i="91"/>
  <c r="AU34" i="91"/>
  <c r="AV34" i="91"/>
  <c r="AW34" i="91"/>
  <c r="AX34" i="91"/>
  <c r="AK35" i="91"/>
  <c r="AL35" i="91"/>
  <c r="AM35" i="91"/>
  <c r="AN35" i="91"/>
  <c r="AO35" i="91"/>
  <c r="AP35" i="91"/>
  <c r="AQ35" i="91"/>
  <c r="AR35" i="91"/>
  <c r="AS35" i="91"/>
  <c r="AT35" i="91"/>
  <c r="AU35" i="91"/>
  <c r="AV35" i="91"/>
  <c r="AW35" i="91"/>
  <c r="AX35" i="91"/>
  <c r="AK36" i="91"/>
  <c r="AL36" i="91"/>
  <c r="AM36" i="91"/>
  <c r="AN36" i="91"/>
  <c r="AO36" i="91"/>
  <c r="AP36" i="91"/>
  <c r="AQ36" i="91"/>
  <c r="AR36" i="91"/>
  <c r="AS36" i="91"/>
  <c r="AT36" i="91"/>
  <c r="AU36" i="91"/>
  <c r="AV36" i="91"/>
  <c r="AW36" i="91"/>
  <c r="AX36" i="91"/>
  <c r="AK37" i="91"/>
  <c r="AL37" i="91"/>
  <c r="AM37" i="91"/>
  <c r="AN37" i="91"/>
  <c r="AO37" i="91"/>
  <c r="AP37" i="91"/>
  <c r="AQ37" i="91"/>
  <c r="AR37" i="91"/>
  <c r="AS37" i="91"/>
  <c r="AT37" i="91"/>
  <c r="AU37" i="91"/>
  <c r="AV37" i="91"/>
  <c r="AW37" i="91"/>
  <c r="AX37" i="91"/>
  <c r="AK38" i="91"/>
  <c r="AL38" i="91"/>
  <c r="AM38" i="91"/>
  <c r="AN38" i="91"/>
  <c r="AO38" i="91"/>
  <c r="AP38" i="91"/>
  <c r="AQ38" i="91"/>
  <c r="AR38" i="91"/>
  <c r="AS38" i="91"/>
  <c r="AT38" i="91"/>
  <c r="AU38" i="91"/>
  <c r="AV38" i="91"/>
  <c r="AW38" i="91"/>
  <c r="AX38" i="91"/>
  <c r="AK39" i="91"/>
  <c r="AL39" i="91"/>
  <c r="AM39" i="91"/>
  <c r="AN39" i="91"/>
  <c r="AO39" i="91"/>
  <c r="AP39" i="91"/>
  <c r="AQ39" i="91"/>
  <c r="AR39" i="91"/>
  <c r="AS39" i="91"/>
  <c r="AT39" i="91"/>
  <c r="AU39" i="91"/>
  <c r="AV39" i="91"/>
  <c r="AW39" i="91"/>
  <c r="AX39" i="91"/>
  <c r="AK40" i="91"/>
  <c r="AL40" i="91"/>
  <c r="AM40" i="91"/>
  <c r="AN40" i="91"/>
  <c r="AO40" i="91"/>
  <c r="AP40" i="91"/>
  <c r="AQ40" i="91"/>
  <c r="AR40" i="91"/>
  <c r="AS40" i="91"/>
  <c r="AT40" i="91"/>
  <c r="AU40" i="91"/>
  <c r="AV40" i="91"/>
  <c r="AW40" i="91"/>
  <c r="AX40" i="91"/>
  <c r="AK41" i="91"/>
  <c r="AL41" i="91"/>
  <c r="AM41" i="91"/>
  <c r="AN41" i="91"/>
  <c r="AO41" i="91"/>
  <c r="AP41" i="91"/>
  <c r="AQ41" i="91"/>
  <c r="AR41" i="91"/>
  <c r="AS41" i="91"/>
  <c r="AT41" i="91"/>
  <c r="AU41" i="91"/>
  <c r="AV41" i="91"/>
  <c r="AW41" i="91"/>
  <c r="AX41" i="91"/>
  <c r="AK42" i="91"/>
  <c r="AL42" i="91"/>
  <c r="AM42" i="91"/>
  <c r="AN42" i="91"/>
  <c r="AO42" i="91"/>
  <c r="AP42" i="91"/>
  <c r="AQ42" i="91"/>
  <c r="AR42" i="91"/>
  <c r="AS42" i="91"/>
  <c r="AT42" i="91"/>
  <c r="AU42" i="91"/>
  <c r="AV42" i="91"/>
  <c r="AW42" i="91"/>
  <c r="AX42" i="91"/>
  <c r="AK43" i="91"/>
  <c r="AL43" i="91"/>
  <c r="AM43" i="91"/>
  <c r="AN43" i="91"/>
  <c r="AO43" i="91"/>
  <c r="AP43" i="91"/>
  <c r="AQ43" i="91"/>
  <c r="AR43" i="91"/>
  <c r="AS43" i="91"/>
  <c r="AT43" i="91"/>
  <c r="AU43" i="91"/>
  <c r="AV43" i="91"/>
  <c r="AW43" i="91"/>
  <c r="AX43" i="91"/>
  <c r="AK44" i="91"/>
  <c r="AL44" i="91"/>
  <c r="AM44" i="91"/>
  <c r="AN44" i="91"/>
  <c r="AO44" i="91"/>
  <c r="AP44" i="91"/>
  <c r="AQ44" i="91"/>
  <c r="AR44" i="91"/>
  <c r="AS44" i="91"/>
  <c r="AT44" i="91"/>
  <c r="AU44" i="91"/>
  <c r="AV44" i="91"/>
  <c r="AW44" i="91"/>
  <c r="AX44" i="91"/>
  <c r="AK45" i="91"/>
  <c r="AL45" i="91"/>
  <c r="AM45" i="91"/>
  <c r="AN45" i="91"/>
  <c r="AO45" i="91"/>
  <c r="AP45" i="91"/>
  <c r="AQ45" i="91"/>
  <c r="AR45" i="91"/>
  <c r="AS45" i="91"/>
  <c r="AT45" i="91"/>
  <c r="AU45" i="91"/>
  <c r="AV45" i="91"/>
  <c r="AW45" i="91"/>
  <c r="AX45" i="91"/>
  <c r="AK46" i="91"/>
  <c r="AL46" i="91"/>
  <c r="AM46" i="91"/>
  <c r="AN46" i="91"/>
  <c r="AO46" i="91"/>
  <c r="AP46" i="91"/>
  <c r="AQ46" i="91"/>
  <c r="AR46" i="91"/>
  <c r="AS46" i="91"/>
  <c r="AT46" i="91"/>
  <c r="AU46" i="91"/>
  <c r="AV46" i="91"/>
  <c r="AW46" i="91"/>
  <c r="AX46" i="91"/>
  <c r="AK47" i="91"/>
  <c r="AL47" i="91"/>
  <c r="AM47" i="91"/>
  <c r="AN47" i="91"/>
  <c r="AO47" i="91"/>
  <c r="AP47" i="91"/>
  <c r="AQ47" i="91"/>
  <c r="AR47" i="91"/>
  <c r="AS47" i="91"/>
  <c r="AT47" i="91"/>
  <c r="AU47" i="91"/>
  <c r="AV47" i="91"/>
  <c r="AW47" i="91"/>
  <c r="AX47" i="91"/>
  <c r="AK48" i="91"/>
  <c r="AL48" i="91"/>
  <c r="AM48" i="91"/>
  <c r="AN48" i="91"/>
  <c r="AO48" i="91"/>
  <c r="AP48" i="91"/>
  <c r="AQ48" i="91"/>
  <c r="AR48" i="91"/>
  <c r="AS48" i="91"/>
  <c r="AT48" i="91"/>
  <c r="AU48" i="91"/>
  <c r="AV48" i="91"/>
  <c r="AW48" i="91"/>
  <c r="AX48" i="91"/>
  <c r="AK49" i="91"/>
  <c r="AL49" i="91"/>
  <c r="AM49" i="91"/>
  <c r="AN49" i="91"/>
  <c r="AO49" i="91"/>
  <c r="AP49" i="91"/>
  <c r="AQ49" i="91"/>
  <c r="AR49" i="91"/>
  <c r="AS49" i="91"/>
  <c r="AT49" i="91"/>
  <c r="AU49" i="91"/>
  <c r="AV49" i="91"/>
  <c r="AW49" i="91"/>
  <c r="AX49" i="91"/>
  <c r="AK50" i="91"/>
  <c r="AL50" i="91"/>
  <c r="AM50" i="91"/>
  <c r="AN50" i="91"/>
  <c r="AO50" i="91"/>
  <c r="AP50" i="91"/>
  <c r="AQ50" i="91"/>
  <c r="AR50" i="91"/>
  <c r="AS50" i="91"/>
  <c r="AT50" i="91"/>
  <c r="AU50" i="91"/>
  <c r="AV50" i="91"/>
  <c r="AW50" i="91"/>
  <c r="AX50" i="91"/>
  <c r="AK51" i="91"/>
  <c r="AL51" i="91"/>
  <c r="AM51" i="91"/>
  <c r="AN51" i="91"/>
  <c r="AO51" i="91"/>
  <c r="AP51" i="91"/>
  <c r="AQ51" i="91"/>
  <c r="AR51" i="91"/>
  <c r="AS51" i="91"/>
  <c r="AT51" i="91"/>
  <c r="AU51" i="91"/>
  <c r="AV51" i="91"/>
  <c r="AW51" i="91"/>
  <c r="AX51" i="91"/>
  <c r="AK52" i="91"/>
  <c r="AL52" i="91"/>
  <c r="AM52" i="91"/>
  <c r="AN52" i="91"/>
  <c r="AO52" i="91"/>
  <c r="AP52" i="91"/>
  <c r="AQ52" i="91"/>
  <c r="AR52" i="91"/>
  <c r="AS52" i="91"/>
  <c r="AT52" i="91"/>
  <c r="AU52" i="91"/>
  <c r="AV52" i="91"/>
  <c r="AW52" i="91"/>
  <c r="AX52" i="91"/>
  <c r="AK53" i="91"/>
  <c r="AL53" i="91"/>
  <c r="AM53" i="91"/>
  <c r="AN53" i="91"/>
  <c r="AO53" i="91"/>
  <c r="AP53" i="91"/>
  <c r="AQ53" i="91"/>
  <c r="AR53" i="91"/>
  <c r="AS53" i="91"/>
  <c r="AT53" i="91"/>
  <c r="AU53" i="91"/>
  <c r="AV53" i="91"/>
  <c r="AW53" i="91"/>
  <c r="AX53" i="91"/>
  <c r="AK54" i="91"/>
  <c r="AL54" i="91"/>
  <c r="AM54" i="91"/>
  <c r="AN54" i="91"/>
  <c r="AO54" i="91"/>
  <c r="AP54" i="91"/>
  <c r="AQ54" i="91"/>
  <c r="AR54" i="91"/>
  <c r="AS54" i="91"/>
  <c r="AT54" i="91"/>
  <c r="AU54" i="91"/>
  <c r="AV54" i="91"/>
  <c r="AW54" i="91"/>
  <c r="AX54" i="91"/>
  <c r="AK55" i="91"/>
  <c r="AL55" i="91"/>
  <c r="AM55" i="91"/>
  <c r="AN55" i="91"/>
  <c r="AO55" i="91"/>
  <c r="AP55" i="91"/>
  <c r="AQ55" i="91"/>
  <c r="AR55" i="91"/>
  <c r="AS55" i="91"/>
  <c r="AT55" i="91"/>
  <c r="AU55" i="91"/>
  <c r="AV55" i="91"/>
  <c r="AW55" i="91"/>
  <c r="AX55" i="91"/>
  <c r="AK56" i="91"/>
  <c r="AL56" i="91"/>
  <c r="AM56" i="91"/>
  <c r="AN56" i="91"/>
  <c r="AO56" i="91"/>
  <c r="AP56" i="91"/>
  <c r="AQ56" i="91"/>
  <c r="AR56" i="91"/>
  <c r="AS56" i="91"/>
  <c r="AT56" i="91"/>
  <c r="AU56" i="91"/>
  <c r="AV56" i="91"/>
  <c r="AW56" i="91"/>
  <c r="AX56" i="91"/>
  <c r="AK57" i="91"/>
  <c r="AL57" i="91"/>
  <c r="AM57" i="91"/>
  <c r="AN57" i="91"/>
  <c r="AO57" i="91"/>
  <c r="AP57" i="91"/>
  <c r="AQ57" i="91"/>
  <c r="AR57" i="91"/>
  <c r="AS57" i="91"/>
  <c r="AT57" i="91"/>
  <c r="AU57" i="91"/>
  <c r="AV57" i="91"/>
  <c r="AW57" i="91"/>
  <c r="AX57" i="91"/>
  <c r="AK58" i="91"/>
  <c r="AL58" i="91"/>
  <c r="AM58" i="91"/>
  <c r="AN58" i="91"/>
  <c r="AO58" i="91"/>
  <c r="AP58" i="91"/>
  <c r="AQ58" i="91"/>
  <c r="AR58" i="91"/>
  <c r="AS58" i="91"/>
  <c r="AT58" i="91"/>
  <c r="AU58" i="91"/>
  <c r="AV58" i="91"/>
  <c r="AW58" i="91"/>
  <c r="AX58" i="91"/>
  <c r="AK59" i="91"/>
  <c r="AL59" i="91"/>
  <c r="AM59" i="91"/>
  <c r="AN59" i="91"/>
  <c r="AO59" i="91"/>
  <c r="AP59" i="91"/>
  <c r="AQ59" i="91"/>
  <c r="AR59" i="91"/>
  <c r="AS59" i="91"/>
  <c r="AT59" i="91"/>
  <c r="AU59" i="91"/>
  <c r="AV59" i="91"/>
  <c r="AW59" i="91"/>
  <c r="AX59" i="91"/>
  <c r="AK60" i="91"/>
  <c r="AL60" i="91"/>
  <c r="AM60" i="91"/>
  <c r="AN60" i="91"/>
  <c r="AO60" i="91"/>
  <c r="AP60" i="91"/>
  <c r="AQ60" i="91"/>
  <c r="AR60" i="91"/>
  <c r="AS60" i="91"/>
  <c r="AT60" i="91"/>
  <c r="AU60" i="91"/>
  <c r="AV60" i="91"/>
  <c r="AW60" i="91"/>
  <c r="AX60" i="91"/>
  <c r="AK61" i="91"/>
  <c r="AL61" i="91"/>
  <c r="AM61" i="91"/>
  <c r="AN61" i="91"/>
  <c r="AO61" i="91"/>
  <c r="AP61" i="91"/>
  <c r="AQ61" i="91"/>
  <c r="AR61" i="91"/>
  <c r="AS61" i="91"/>
  <c r="AT61" i="91"/>
  <c r="AU61" i="91"/>
  <c r="AV61" i="91"/>
  <c r="AW61" i="91"/>
  <c r="AX61" i="91"/>
  <c r="AK62" i="91"/>
  <c r="AL62" i="91"/>
  <c r="AM62" i="91"/>
  <c r="AN62" i="91"/>
  <c r="AO62" i="91"/>
  <c r="AP62" i="91"/>
  <c r="AQ62" i="91"/>
  <c r="AR62" i="91"/>
  <c r="AS62" i="91"/>
  <c r="AT62" i="91"/>
  <c r="AU62" i="91"/>
  <c r="AV62" i="91"/>
  <c r="AW62" i="91"/>
  <c r="AX62" i="91"/>
  <c r="AK63" i="91"/>
  <c r="AL63" i="91"/>
  <c r="AM63" i="91"/>
  <c r="AN63" i="91"/>
  <c r="AO63" i="91"/>
  <c r="AP63" i="91"/>
  <c r="AQ63" i="91"/>
  <c r="AR63" i="91"/>
  <c r="AS63" i="91"/>
  <c r="AT63" i="91"/>
  <c r="AU63" i="91"/>
  <c r="AV63" i="91"/>
  <c r="AW63" i="91"/>
  <c r="AX63" i="91"/>
  <c r="AK64" i="91"/>
  <c r="AL64" i="91"/>
  <c r="AM64" i="91"/>
  <c r="AN64" i="91"/>
  <c r="AO64" i="91"/>
  <c r="AP64" i="91"/>
  <c r="AQ64" i="91"/>
  <c r="AR64" i="91"/>
  <c r="AS64" i="91"/>
  <c r="AT64" i="91"/>
  <c r="AU64" i="91"/>
  <c r="AV64" i="91"/>
  <c r="AW64" i="91"/>
  <c r="AX64" i="91"/>
  <c r="AK65" i="91"/>
  <c r="AL65" i="91"/>
  <c r="AM65" i="91"/>
  <c r="AN65" i="91"/>
  <c r="AO65" i="91"/>
  <c r="AP65" i="91"/>
  <c r="AQ65" i="91"/>
  <c r="AR65" i="91"/>
  <c r="AS65" i="91"/>
  <c r="AT65" i="91"/>
  <c r="AU65" i="91"/>
  <c r="AV65" i="91"/>
  <c r="AW65" i="91"/>
  <c r="AX65" i="91"/>
  <c r="AK66" i="91"/>
  <c r="AL66" i="91"/>
  <c r="AM66" i="91"/>
  <c r="AN66" i="91"/>
  <c r="AO66" i="91"/>
  <c r="AP66" i="91"/>
  <c r="AQ66" i="91"/>
  <c r="AR66" i="91"/>
  <c r="AS66" i="91"/>
  <c r="AT66" i="91"/>
  <c r="AU66" i="91"/>
  <c r="AV66" i="91"/>
  <c r="AW66" i="91"/>
  <c r="AX66" i="91"/>
  <c r="AK67" i="91"/>
  <c r="AL67" i="91"/>
  <c r="AM67" i="91"/>
  <c r="AN67" i="91"/>
  <c r="AO67" i="91"/>
  <c r="AP67" i="91"/>
  <c r="AQ67" i="91"/>
  <c r="AR67" i="91"/>
  <c r="AS67" i="91"/>
  <c r="AT67" i="91"/>
  <c r="AU67" i="91"/>
  <c r="AV67" i="91"/>
  <c r="AW67" i="91"/>
  <c r="AX67" i="91"/>
  <c r="AK68" i="91"/>
  <c r="AL68" i="91"/>
  <c r="AM68" i="91"/>
  <c r="AN68" i="91"/>
  <c r="AO68" i="91"/>
  <c r="AP68" i="91"/>
  <c r="AQ68" i="91"/>
  <c r="AR68" i="91"/>
  <c r="AS68" i="91"/>
  <c r="AT68" i="91"/>
  <c r="AU68" i="91"/>
  <c r="AV68" i="91"/>
  <c r="AW68" i="91"/>
  <c r="AX68" i="91"/>
  <c r="AL5" i="91"/>
  <c r="AM5" i="91"/>
  <c r="AN5" i="91"/>
  <c r="AO5" i="91"/>
  <c r="AP5" i="91"/>
  <c r="AQ5" i="91"/>
  <c r="AR5" i="91"/>
  <c r="AS5" i="91"/>
  <c r="AT5" i="91"/>
  <c r="AU5" i="91"/>
  <c r="AV5" i="91"/>
  <c r="AW5" i="91"/>
  <c r="AX5" i="91"/>
  <c r="V6" i="91"/>
  <c r="W6" i="91"/>
  <c r="X6" i="91"/>
  <c r="Y6" i="91"/>
  <c r="Z6" i="91"/>
  <c r="AA6" i="91"/>
  <c r="AB6" i="91"/>
  <c r="AC6" i="91"/>
  <c r="AD6" i="91"/>
  <c r="AE6" i="91"/>
  <c r="AF6" i="91"/>
  <c r="AG6" i="91"/>
  <c r="AH6" i="91"/>
  <c r="AI6" i="91"/>
  <c r="V7" i="91"/>
  <c r="W7" i="91"/>
  <c r="X7" i="91"/>
  <c r="Y7" i="91"/>
  <c r="Z7" i="91"/>
  <c r="AA7" i="91"/>
  <c r="AB7" i="91"/>
  <c r="AC7" i="91"/>
  <c r="AD7" i="91"/>
  <c r="AE7" i="91"/>
  <c r="AF7" i="91"/>
  <c r="AG7" i="91"/>
  <c r="AH7" i="91"/>
  <c r="AI7" i="91"/>
  <c r="V8" i="91"/>
  <c r="W8" i="91"/>
  <c r="X8" i="91"/>
  <c r="Y8" i="91"/>
  <c r="Z8" i="91"/>
  <c r="AA8" i="91"/>
  <c r="AB8" i="91"/>
  <c r="AC8" i="91"/>
  <c r="AD8" i="91"/>
  <c r="AE8" i="91"/>
  <c r="AF8" i="91"/>
  <c r="AG8" i="91"/>
  <c r="AH8" i="91"/>
  <c r="AI8" i="91"/>
  <c r="V9" i="91"/>
  <c r="W9" i="91"/>
  <c r="X9" i="91"/>
  <c r="Y9" i="91"/>
  <c r="Z9" i="91"/>
  <c r="AA9" i="91"/>
  <c r="AB9" i="91"/>
  <c r="AC9" i="91"/>
  <c r="AD9" i="91"/>
  <c r="AE9" i="91"/>
  <c r="AF9" i="91"/>
  <c r="AG9" i="91"/>
  <c r="AH9" i="91"/>
  <c r="AI9" i="91"/>
  <c r="V10" i="91"/>
  <c r="W10" i="91"/>
  <c r="X10" i="91"/>
  <c r="Y10" i="91"/>
  <c r="Z10" i="91"/>
  <c r="AA10" i="91"/>
  <c r="AB10" i="91"/>
  <c r="AC10" i="91"/>
  <c r="AD10" i="91"/>
  <c r="AE10" i="91"/>
  <c r="AF10" i="91"/>
  <c r="AG10" i="91"/>
  <c r="AH10" i="91"/>
  <c r="AI10" i="91"/>
  <c r="V11" i="91"/>
  <c r="W11" i="91"/>
  <c r="X11" i="91"/>
  <c r="Y11" i="91"/>
  <c r="Z11" i="91"/>
  <c r="AA11" i="91"/>
  <c r="AB11" i="91"/>
  <c r="AC11" i="91"/>
  <c r="AD11" i="91"/>
  <c r="AE11" i="91"/>
  <c r="AF11" i="91"/>
  <c r="AG11" i="91"/>
  <c r="AH11" i="91"/>
  <c r="AI11" i="91"/>
  <c r="V12" i="91"/>
  <c r="W12" i="91"/>
  <c r="X12" i="91"/>
  <c r="Y12" i="91"/>
  <c r="Z12" i="91"/>
  <c r="AA12" i="91"/>
  <c r="AB12" i="91"/>
  <c r="AC12" i="91"/>
  <c r="AD12" i="91"/>
  <c r="AE12" i="91"/>
  <c r="AF12" i="91"/>
  <c r="AG12" i="91"/>
  <c r="AH12" i="91"/>
  <c r="AI12" i="91"/>
  <c r="V13" i="91"/>
  <c r="W13" i="91"/>
  <c r="X13" i="91"/>
  <c r="Y13" i="91"/>
  <c r="Z13" i="91"/>
  <c r="AA13" i="91"/>
  <c r="AB13" i="91"/>
  <c r="AC13" i="91"/>
  <c r="AD13" i="91"/>
  <c r="AE13" i="91"/>
  <c r="AF13" i="91"/>
  <c r="AG13" i="91"/>
  <c r="AH13" i="91"/>
  <c r="AI13" i="91"/>
  <c r="V14" i="91"/>
  <c r="W14" i="91"/>
  <c r="X14" i="91"/>
  <c r="Y14" i="91"/>
  <c r="Z14" i="91"/>
  <c r="AA14" i="91"/>
  <c r="AB14" i="91"/>
  <c r="AC14" i="91"/>
  <c r="AD14" i="91"/>
  <c r="AE14" i="91"/>
  <c r="AF14" i="91"/>
  <c r="AG14" i="91"/>
  <c r="AH14" i="91"/>
  <c r="AI14" i="91"/>
  <c r="V15" i="91"/>
  <c r="W15" i="91"/>
  <c r="X15" i="91"/>
  <c r="Y15" i="91"/>
  <c r="Z15" i="91"/>
  <c r="AA15" i="91"/>
  <c r="AB15" i="91"/>
  <c r="AC15" i="91"/>
  <c r="AD15" i="91"/>
  <c r="AE15" i="91"/>
  <c r="AF15" i="91"/>
  <c r="AG15" i="91"/>
  <c r="AH15" i="91"/>
  <c r="AI15" i="91"/>
  <c r="V16" i="91"/>
  <c r="W16" i="91"/>
  <c r="X16" i="91"/>
  <c r="Y16" i="91"/>
  <c r="Z16" i="91"/>
  <c r="AA16" i="91"/>
  <c r="AB16" i="91"/>
  <c r="AC16" i="91"/>
  <c r="AD16" i="91"/>
  <c r="AE16" i="91"/>
  <c r="AF16" i="91"/>
  <c r="AG16" i="91"/>
  <c r="AH16" i="91"/>
  <c r="AI16" i="91"/>
  <c r="V17" i="91"/>
  <c r="W17" i="91"/>
  <c r="X17" i="91"/>
  <c r="Y17" i="91"/>
  <c r="Z17" i="91"/>
  <c r="AA17" i="91"/>
  <c r="AB17" i="91"/>
  <c r="AC17" i="91"/>
  <c r="AD17" i="91"/>
  <c r="AE17" i="91"/>
  <c r="AF17" i="91"/>
  <c r="AG17" i="91"/>
  <c r="AH17" i="91"/>
  <c r="AI17" i="91"/>
  <c r="V18" i="91"/>
  <c r="W18" i="91"/>
  <c r="X18" i="91"/>
  <c r="Y18" i="91"/>
  <c r="Z18" i="91"/>
  <c r="AA18" i="91"/>
  <c r="AB18" i="91"/>
  <c r="AC18" i="91"/>
  <c r="AD18" i="91"/>
  <c r="AE18" i="91"/>
  <c r="AF18" i="91"/>
  <c r="AG18" i="91"/>
  <c r="AH18" i="91"/>
  <c r="AI18" i="91"/>
  <c r="V19" i="91"/>
  <c r="W19" i="91"/>
  <c r="X19" i="91"/>
  <c r="Y19" i="91"/>
  <c r="Z19" i="91"/>
  <c r="AA19" i="91"/>
  <c r="AB19" i="91"/>
  <c r="AC19" i="91"/>
  <c r="AD19" i="91"/>
  <c r="AE19" i="91"/>
  <c r="AF19" i="91"/>
  <c r="AG19" i="91"/>
  <c r="AH19" i="91"/>
  <c r="AI19" i="91"/>
  <c r="V20" i="91"/>
  <c r="W20" i="91"/>
  <c r="X20" i="91"/>
  <c r="Y20" i="91"/>
  <c r="Z20" i="91"/>
  <c r="AA20" i="91"/>
  <c r="AB20" i="91"/>
  <c r="AC20" i="91"/>
  <c r="AD20" i="91"/>
  <c r="AE20" i="91"/>
  <c r="AF20" i="91"/>
  <c r="AG20" i="91"/>
  <c r="AH20" i="91"/>
  <c r="AI20" i="91"/>
  <c r="V21" i="91"/>
  <c r="W21" i="91"/>
  <c r="X21" i="91"/>
  <c r="Y21" i="91"/>
  <c r="Z21" i="91"/>
  <c r="AA21" i="91"/>
  <c r="AB21" i="91"/>
  <c r="AC21" i="91"/>
  <c r="AD21" i="91"/>
  <c r="AE21" i="91"/>
  <c r="AF21" i="91"/>
  <c r="AG21" i="91"/>
  <c r="AH21" i="91"/>
  <c r="AI21" i="91"/>
  <c r="V22" i="91"/>
  <c r="W22" i="91"/>
  <c r="X22" i="91"/>
  <c r="Y22" i="91"/>
  <c r="Z22" i="91"/>
  <c r="AA22" i="91"/>
  <c r="AB22" i="91"/>
  <c r="AC22" i="91"/>
  <c r="AD22" i="91"/>
  <c r="AE22" i="91"/>
  <c r="AF22" i="91"/>
  <c r="AG22" i="91"/>
  <c r="AH22" i="91"/>
  <c r="AI22" i="91"/>
  <c r="V23" i="91"/>
  <c r="W23" i="91"/>
  <c r="X23" i="91"/>
  <c r="Y23" i="91"/>
  <c r="Z23" i="91"/>
  <c r="AA23" i="91"/>
  <c r="AB23" i="91"/>
  <c r="AC23" i="91"/>
  <c r="AD23" i="91"/>
  <c r="AE23" i="91"/>
  <c r="AF23" i="91"/>
  <c r="AG23" i="91"/>
  <c r="AH23" i="91"/>
  <c r="AI23" i="91"/>
  <c r="V24" i="91"/>
  <c r="W24" i="91"/>
  <c r="X24" i="91"/>
  <c r="Y24" i="91"/>
  <c r="Z24" i="91"/>
  <c r="AA24" i="91"/>
  <c r="AB24" i="91"/>
  <c r="AC24" i="91"/>
  <c r="AD24" i="91"/>
  <c r="AE24" i="91"/>
  <c r="AF24" i="91"/>
  <c r="AG24" i="91"/>
  <c r="AH24" i="91"/>
  <c r="AI24" i="91"/>
  <c r="V25" i="91"/>
  <c r="W25" i="91"/>
  <c r="X25" i="91"/>
  <c r="Y25" i="91"/>
  <c r="Z25" i="91"/>
  <c r="AA25" i="91"/>
  <c r="AB25" i="91"/>
  <c r="AC25" i="91"/>
  <c r="AD25" i="91"/>
  <c r="AE25" i="91"/>
  <c r="AF25" i="91"/>
  <c r="AG25" i="91"/>
  <c r="AH25" i="91"/>
  <c r="AI25" i="91"/>
  <c r="V26" i="91"/>
  <c r="W26" i="91"/>
  <c r="X26" i="91"/>
  <c r="Y26" i="91"/>
  <c r="Z26" i="91"/>
  <c r="AA26" i="91"/>
  <c r="AB26" i="91"/>
  <c r="AC26" i="91"/>
  <c r="AD26" i="91"/>
  <c r="AE26" i="91"/>
  <c r="AF26" i="91"/>
  <c r="AG26" i="91"/>
  <c r="AH26" i="91"/>
  <c r="AI26" i="91"/>
  <c r="V27" i="91"/>
  <c r="W27" i="91"/>
  <c r="X27" i="91"/>
  <c r="Y27" i="91"/>
  <c r="Z27" i="91"/>
  <c r="AA27" i="91"/>
  <c r="AB27" i="91"/>
  <c r="AC27" i="91"/>
  <c r="AD27" i="91"/>
  <c r="AE27" i="91"/>
  <c r="AF27" i="91"/>
  <c r="AG27" i="91"/>
  <c r="AH27" i="91"/>
  <c r="AI27" i="91"/>
  <c r="V28" i="91"/>
  <c r="W28" i="91"/>
  <c r="X28" i="91"/>
  <c r="Y28" i="91"/>
  <c r="Z28" i="91"/>
  <c r="AA28" i="91"/>
  <c r="AB28" i="91"/>
  <c r="AC28" i="91"/>
  <c r="AD28" i="91"/>
  <c r="AE28" i="91"/>
  <c r="AF28" i="91"/>
  <c r="AG28" i="91"/>
  <c r="AH28" i="91"/>
  <c r="AI28" i="91"/>
  <c r="V29" i="91"/>
  <c r="W29" i="91"/>
  <c r="X29" i="91"/>
  <c r="Y29" i="91"/>
  <c r="Z29" i="91"/>
  <c r="AA29" i="91"/>
  <c r="AB29" i="91"/>
  <c r="AC29" i="91"/>
  <c r="AD29" i="91"/>
  <c r="AE29" i="91"/>
  <c r="AF29" i="91"/>
  <c r="AG29" i="91"/>
  <c r="AH29" i="91"/>
  <c r="AI29" i="91"/>
  <c r="V30" i="91"/>
  <c r="W30" i="91"/>
  <c r="X30" i="91"/>
  <c r="Y30" i="91"/>
  <c r="Z30" i="91"/>
  <c r="AA30" i="91"/>
  <c r="AB30" i="91"/>
  <c r="AC30" i="91"/>
  <c r="AD30" i="91"/>
  <c r="AE30" i="91"/>
  <c r="AF30" i="91"/>
  <c r="AG30" i="91"/>
  <c r="AH30" i="91"/>
  <c r="AI30" i="91"/>
  <c r="V31" i="91"/>
  <c r="W31" i="91"/>
  <c r="X31" i="91"/>
  <c r="Y31" i="91"/>
  <c r="Z31" i="91"/>
  <c r="AA31" i="91"/>
  <c r="AB31" i="91"/>
  <c r="AC31" i="91"/>
  <c r="AD31" i="91"/>
  <c r="AE31" i="91"/>
  <c r="AF31" i="91"/>
  <c r="AG31" i="91"/>
  <c r="AH31" i="91"/>
  <c r="AI31" i="91"/>
  <c r="V32" i="91"/>
  <c r="W32" i="91"/>
  <c r="X32" i="91"/>
  <c r="Y32" i="91"/>
  <c r="Z32" i="91"/>
  <c r="AA32" i="91"/>
  <c r="AB32" i="91"/>
  <c r="AC32" i="91"/>
  <c r="AD32" i="91"/>
  <c r="AE32" i="91"/>
  <c r="AF32" i="91"/>
  <c r="AG32" i="91"/>
  <c r="AH32" i="91"/>
  <c r="AI32" i="91"/>
  <c r="V33" i="91"/>
  <c r="W33" i="91"/>
  <c r="X33" i="91"/>
  <c r="Y33" i="91"/>
  <c r="Z33" i="91"/>
  <c r="AA33" i="91"/>
  <c r="AB33" i="91"/>
  <c r="AC33" i="91"/>
  <c r="AD33" i="91"/>
  <c r="AE33" i="91"/>
  <c r="AF33" i="91"/>
  <c r="AG33" i="91"/>
  <c r="AH33" i="91"/>
  <c r="AI33" i="91"/>
  <c r="V34" i="91"/>
  <c r="W34" i="91"/>
  <c r="X34" i="91"/>
  <c r="Y34" i="91"/>
  <c r="Z34" i="91"/>
  <c r="AA34" i="91"/>
  <c r="AB34" i="91"/>
  <c r="AC34" i="91"/>
  <c r="AD34" i="91"/>
  <c r="AE34" i="91"/>
  <c r="AF34" i="91"/>
  <c r="AG34" i="91"/>
  <c r="AH34" i="91"/>
  <c r="AI34" i="91"/>
  <c r="V35" i="91"/>
  <c r="W35" i="91"/>
  <c r="X35" i="91"/>
  <c r="Y35" i="91"/>
  <c r="Z35" i="91"/>
  <c r="AA35" i="91"/>
  <c r="AB35" i="91"/>
  <c r="AC35" i="91"/>
  <c r="AD35" i="91"/>
  <c r="AE35" i="91"/>
  <c r="AF35" i="91"/>
  <c r="AG35" i="91"/>
  <c r="AH35" i="91"/>
  <c r="AI35" i="91"/>
  <c r="V36" i="91"/>
  <c r="W36" i="91"/>
  <c r="X36" i="91"/>
  <c r="Y36" i="91"/>
  <c r="Z36" i="91"/>
  <c r="AA36" i="91"/>
  <c r="AB36" i="91"/>
  <c r="AC36" i="91"/>
  <c r="AD36" i="91"/>
  <c r="AE36" i="91"/>
  <c r="AF36" i="91"/>
  <c r="AG36" i="91"/>
  <c r="AH36" i="91"/>
  <c r="AI36" i="91"/>
  <c r="V37" i="91"/>
  <c r="W37" i="91"/>
  <c r="X37" i="91"/>
  <c r="Y37" i="91"/>
  <c r="Z37" i="91"/>
  <c r="AA37" i="91"/>
  <c r="AB37" i="91"/>
  <c r="AC37" i="91"/>
  <c r="AD37" i="91"/>
  <c r="AE37" i="91"/>
  <c r="AF37" i="91"/>
  <c r="AG37" i="91"/>
  <c r="AH37" i="91"/>
  <c r="AI37" i="91"/>
  <c r="V38" i="91"/>
  <c r="W38" i="91"/>
  <c r="X38" i="91"/>
  <c r="Y38" i="91"/>
  <c r="Z38" i="91"/>
  <c r="AA38" i="91"/>
  <c r="AB38" i="91"/>
  <c r="AC38" i="91"/>
  <c r="AD38" i="91"/>
  <c r="AE38" i="91"/>
  <c r="AF38" i="91"/>
  <c r="AG38" i="91"/>
  <c r="AH38" i="91"/>
  <c r="AI38" i="91"/>
  <c r="V39" i="91"/>
  <c r="W39" i="91"/>
  <c r="X39" i="91"/>
  <c r="Y39" i="91"/>
  <c r="Z39" i="91"/>
  <c r="AA39" i="91"/>
  <c r="AB39" i="91"/>
  <c r="AC39" i="91"/>
  <c r="AD39" i="91"/>
  <c r="AE39" i="91"/>
  <c r="AF39" i="91"/>
  <c r="AG39" i="91"/>
  <c r="AH39" i="91"/>
  <c r="AI39" i="91"/>
  <c r="V40" i="91"/>
  <c r="W40" i="91"/>
  <c r="X40" i="91"/>
  <c r="Y40" i="91"/>
  <c r="Z40" i="91"/>
  <c r="AA40" i="91"/>
  <c r="AB40" i="91"/>
  <c r="AC40" i="91"/>
  <c r="AD40" i="91"/>
  <c r="AE40" i="91"/>
  <c r="AF40" i="91"/>
  <c r="AG40" i="91"/>
  <c r="AH40" i="91"/>
  <c r="AI40" i="91"/>
  <c r="V41" i="91"/>
  <c r="W41" i="91"/>
  <c r="X41" i="91"/>
  <c r="Y41" i="91"/>
  <c r="Z41" i="91"/>
  <c r="AA41" i="91"/>
  <c r="AB41" i="91"/>
  <c r="AC41" i="91"/>
  <c r="AD41" i="91"/>
  <c r="AE41" i="91"/>
  <c r="AF41" i="91"/>
  <c r="AG41" i="91"/>
  <c r="AH41" i="91"/>
  <c r="AI41" i="91"/>
  <c r="V42" i="91"/>
  <c r="W42" i="91"/>
  <c r="X42" i="91"/>
  <c r="Y42" i="91"/>
  <c r="Z42" i="91"/>
  <c r="AA42" i="91"/>
  <c r="AB42" i="91"/>
  <c r="AC42" i="91"/>
  <c r="AD42" i="91"/>
  <c r="AE42" i="91"/>
  <c r="AF42" i="91"/>
  <c r="AG42" i="91"/>
  <c r="AH42" i="91"/>
  <c r="AI42" i="91"/>
  <c r="V43" i="91"/>
  <c r="W43" i="91"/>
  <c r="X43" i="91"/>
  <c r="Y43" i="91"/>
  <c r="Z43" i="91"/>
  <c r="AA43" i="91"/>
  <c r="AB43" i="91"/>
  <c r="AC43" i="91"/>
  <c r="AD43" i="91"/>
  <c r="AE43" i="91"/>
  <c r="AF43" i="91"/>
  <c r="AG43" i="91"/>
  <c r="AH43" i="91"/>
  <c r="AI43" i="91"/>
  <c r="V44" i="91"/>
  <c r="W44" i="91"/>
  <c r="X44" i="91"/>
  <c r="Y44" i="91"/>
  <c r="Z44" i="91"/>
  <c r="AA44" i="91"/>
  <c r="AB44" i="91"/>
  <c r="AC44" i="91"/>
  <c r="AD44" i="91"/>
  <c r="AE44" i="91"/>
  <c r="AF44" i="91"/>
  <c r="AG44" i="91"/>
  <c r="AH44" i="91"/>
  <c r="AI44" i="91"/>
  <c r="V45" i="91"/>
  <c r="W45" i="91"/>
  <c r="X45" i="91"/>
  <c r="Y45" i="91"/>
  <c r="Z45" i="91"/>
  <c r="AA45" i="91"/>
  <c r="AB45" i="91"/>
  <c r="AC45" i="91"/>
  <c r="AD45" i="91"/>
  <c r="AE45" i="91"/>
  <c r="AF45" i="91"/>
  <c r="AG45" i="91"/>
  <c r="AH45" i="91"/>
  <c r="AI45" i="91"/>
  <c r="V46" i="91"/>
  <c r="W46" i="91"/>
  <c r="X46" i="91"/>
  <c r="Y46" i="91"/>
  <c r="Z46" i="91"/>
  <c r="AA46" i="91"/>
  <c r="AB46" i="91"/>
  <c r="AC46" i="91"/>
  <c r="AD46" i="91"/>
  <c r="AE46" i="91"/>
  <c r="AF46" i="91"/>
  <c r="AG46" i="91"/>
  <c r="AH46" i="91"/>
  <c r="AI46" i="91"/>
  <c r="V47" i="91"/>
  <c r="W47" i="91"/>
  <c r="X47" i="91"/>
  <c r="Y47" i="91"/>
  <c r="Z47" i="91"/>
  <c r="AA47" i="91"/>
  <c r="AB47" i="91"/>
  <c r="AC47" i="91"/>
  <c r="AD47" i="91"/>
  <c r="AE47" i="91"/>
  <c r="AF47" i="91"/>
  <c r="AG47" i="91"/>
  <c r="AH47" i="91"/>
  <c r="AI47" i="91"/>
  <c r="V48" i="91"/>
  <c r="W48" i="91"/>
  <c r="X48" i="91"/>
  <c r="Y48" i="91"/>
  <c r="Z48" i="91"/>
  <c r="AA48" i="91"/>
  <c r="AB48" i="91"/>
  <c r="AC48" i="91"/>
  <c r="AD48" i="91"/>
  <c r="AE48" i="91"/>
  <c r="AF48" i="91"/>
  <c r="AG48" i="91"/>
  <c r="AH48" i="91"/>
  <c r="AI48" i="91"/>
  <c r="V49" i="91"/>
  <c r="W49" i="91"/>
  <c r="X49" i="91"/>
  <c r="Y49" i="91"/>
  <c r="Z49" i="91"/>
  <c r="AA49" i="91"/>
  <c r="AB49" i="91"/>
  <c r="AC49" i="91"/>
  <c r="AD49" i="91"/>
  <c r="AE49" i="91"/>
  <c r="AF49" i="91"/>
  <c r="AG49" i="91"/>
  <c r="AH49" i="91"/>
  <c r="AI49" i="91"/>
  <c r="V50" i="91"/>
  <c r="W50" i="91"/>
  <c r="X50" i="91"/>
  <c r="Y50" i="91"/>
  <c r="Z50" i="91"/>
  <c r="AA50" i="91"/>
  <c r="AB50" i="91"/>
  <c r="AC50" i="91"/>
  <c r="AD50" i="91"/>
  <c r="AE50" i="91"/>
  <c r="AF50" i="91"/>
  <c r="AG50" i="91"/>
  <c r="AH50" i="91"/>
  <c r="AI50" i="91"/>
  <c r="V51" i="91"/>
  <c r="W51" i="91"/>
  <c r="X51" i="91"/>
  <c r="Y51" i="91"/>
  <c r="Z51" i="91"/>
  <c r="AA51" i="91"/>
  <c r="AB51" i="91"/>
  <c r="AC51" i="91"/>
  <c r="AD51" i="91"/>
  <c r="AE51" i="91"/>
  <c r="AF51" i="91"/>
  <c r="AG51" i="91"/>
  <c r="AH51" i="91"/>
  <c r="AI51" i="91"/>
  <c r="V52" i="91"/>
  <c r="W52" i="91"/>
  <c r="X52" i="91"/>
  <c r="Y52" i="91"/>
  <c r="Z52" i="91"/>
  <c r="AA52" i="91"/>
  <c r="AB52" i="91"/>
  <c r="AC52" i="91"/>
  <c r="AD52" i="91"/>
  <c r="AE52" i="91"/>
  <c r="AF52" i="91"/>
  <c r="AG52" i="91"/>
  <c r="AH52" i="91"/>
  <c r="AI52" i="91"/>
  <c r="V53" i="91"/>
  <c r="W53" i="91"/>
  <c r="X53" i="91"/>
  <c r="Y53" i="91"/>
  <c r="Z53" i="91"/>
  <c r="AA53" i="91"/>
  <c r="AB53" i="91"/>
  <c r="AC53" i="91"/>
  <c r="AD53" i="91"/>
  <c r="AE53" i="91"/>
  <c r="AF53" i="91"/>
  <c r="AG53" i="91"/>
  <c r="AH53" i="91"/>
  <c r="AI53" i="91"/>
  <c r="V54" i="91"/>
  <c r="W54" i="91"/>
  <c r="X54" i="91"/>
  <c r="Y54" i="91"/>
  <c r="Z54" i="91"/>
  <c r="AA54" i="91"/>
  <c r="AB54" i="91"/>
  <c r="AC54" i="91"/>
  <c r="AD54" i="91"/>
  <c r="AE54" i="91"/>
  <c r="AF54" i="91"/>
  <c r="AG54" i="91"/>
  <c r="AH54" i="91"/>
  <c r="AI54" i="91"/>
  <c r="V55" i="91"/>
  <c r="W55" i="91"/>
  <c r="X55" i="91"/>
  <c r="Y55" i="91"/>
  <c r="Z55" i="91"/>
  <c r="AA55" i="91"/>
  <c r="AB55" i="91"/>
  <c r="AC55" i="91"/>
  <c r="AD55" i="91"/>
  <c r="AE55" i="91"/>
  <c r="AF55" i="91"/>
  <c r="AG55" i="91"/>
  <c r="AH55" i="91"/>
  <c r="AI55" i="91"/>
  <c r="V56" i="91"/>
  <c r="W56" i="91"/>
  <c r="X56" i="91"/>
  <c r="Y56" i="91"/>
  <c r="Z56" i="91"/>
  <c r="AA56" i="91"/>
  <c r="AB56" i="91"/>
  <c r="AC56" i="91"/>
  <c r="AD56" i="91"/>
  <c r="AE56" i="91"/>
  <c r="AF56" i="91"/>
  <c r="AG56" i="91"/>
  <c r="AH56" i="91"/>
  <c r="AI56" i="91"/>
  <c r="V57" i="91"/>
  <c r="W57" i="91"/>
  <c r="X57" i="91"/>
  <c r="Y57" i="91"/>
  <c r="Z57" i="91"/>
  <c r="AA57" i="91"/>
  <c r="AB57" i="91"/>
  <c r="AC57" i="91"/>
  <c r="AD57" i="91"/>
  <c r="AE57" i="91"/>
  <c r="AF57" i="91"/>
  <c r="AG57" i="91"/>
  <c r="AH57" i="91"/>
  <c r="AI57" i="91"/>
  <c r="V58" i="91"/>
  <c r="W58" i="91"/>
  <c r="X58" i="91"/>
  <c r="Y58" i="91"/>
  <c r="Z58" i="91"/>
  <c r="AA58" i="91"/>
  <c r="AB58" i="91"/>
  <c r="AC58" i="91"/>
  <c r="AD58" i="91"/>
  <c r="AE58" i="91"/>
  <c r="AF58" i="91"/>
  <c r="AG58" i="91"/>
  <c r="AH58" i="91"/>
  <c r="AI58" i="91"/>
  <c r="V59" i="91"/>
  <c r="W59" i="91"/>
  <c r="X59" i="91"/>
  <c r="Y59" i="91"/>
  <c r="Z59" i="91"/>
  <c r="AA59" i="91"/>
  <c r="AB59" i="91"/>
  <c r="AC59" i="91"/>
  <c r="AD59" i="91"/>
  <c r="AE59" i="91"/>
  <c r="AF59" i="91"/>
  <c r="AG59" i="91"/>
  <c r="AH59" i="91"/>
  <c r="AI59" i="91"/>
  <c r="V60" i="91"/>
  <c r="W60" i="91"/>
  <c r="X60" i="91"/>
  <c r="Y60" i="91"/>
  <c r="Z60" i="91"/>
  <c r="AA60" i="91"/>
  <c r="AB60" i="91"/>
  <c r="AC60" i="91"/>
  <c r="AD60" i="91"/>
  <c r="AE60" i="91"/>
  <c r="AF60" i="91"/>
  <c r="AG60" i="91"/>
  <c r="AH60" i="91"/>
  <c r="AI60" i="91"/>
  <c r="V61" i="91"/>
  <c r="W61" i="91"/>
  <c r="X61" i="91"/>
  <c r="Y61" i="91"/>
  <c r="Z61" i="91"/>
  <c r="AA61" i="91"/>
  <c r="AB61" i="91"/>
  <c r="AC61" i="91"/>
  <c r="AD61" i="91"/>
  <c r="AE61" i="91"/>
  <c r="AF61" i="91"/>
  <c r="AG61" i="91"/>
  <c r="AH61" i="91"/>
  <c r="AI61" i="91"/>
  <c r="V62" i="91"/>
  <c r="W62" i="91"/>
  <c r="X62" i="91"/>
  <c r="Y62" i="91"/>
  <c r="Z62" i="91"/>
  <c r="AA62" i="91"/>
  <c r="AB62" i="91"/>
  <c r="AC62" i="91"/>
  <c r="AD62" i="91"/>
  <c r="AE62" i="91"/>
  <c r="AF62" i="91"/>
  <c r="AG62" i="91"/>
  <c r="AH62" i="91"/>
  <c r="AI62" i="91"/>
  <c r="V63" i="91"/>
  <c r="W63" i="91"/>
  <c r="X63" i="91"/>
  <c r="Y63" i="91"/>
  <c r="Z63" i="91"/>
  <c r="AA63" i="91"/>
  <c r="AB63" i="91"/>
  <c r="AC63" i="91"/>
  <c r="AD63" i="91"/>
  <c r="AE63" i="91"/>
  <c r="AF63" i="91"/>
  <c r="AG63" i="91"/>
  <c r="AH63" i="91"/>
  <c r="AI63" i="91"/>
  <c r="V64" i="91"/>
  <c r="W64" i="91"/>
  <c r="X64" i="91"/>
  <c r="Y64" i="91"/>
  <c r="Z64" i="91"/>
  <c r="AA64" i="91"/>
  <c r="AB64" i="91"/>
  <c r="AC64" i="91"/>
  <c r="AD64" i="91"/>
  <c r="AE64" i="91"/>
  <c r="AF64" i="91"/>
  <c r="AG64" i="91"/>
  <c r="AH64" i="91"/>
  <c r="AI64" i="91"/>
  <c r="V65" i="91"/>
  <c r="W65" i="91"/>
  <c r="X65" i="91"/>
  <c r="Y65" i="91"/>
  <c r="Z65" i="91"/>
  <c r="AA65" i="91"/>
  <c r="AB65" i="91"/>
  <c r="AC65" i="91"/>
  <c r="AD65" i="91"/>
  <c r="AE65" i="91"/>
  <c r="AF65" i="91"/>
  <c r="AG65" i="91"/>
  <c r="AH65" i="91"/>
  <c r="AI65" i="91"/>
  <c r="V66" i="91"/>
  <c r="W66" i="91"/>
  <c r="X66" i="91"/>
  <c r="Y66" i="91"/>
  <c r="Z66" i="91"/>
  <c r="AA66" i="91"/>
  <c r="AB66" i="91"/>
  <c r="AC66" i="91"/>
  <c r="AD66" i="91"/>
  <c r="AE66" i="91"/>
  <c r="AF66" i="91"/>
  <c r="AG66" i="91"/>
  <c r="AH66" i="91"/>
  <c r="AI66" i="91"/>
  <c r="V67" i="91"/>
  <c r="W67" i="91"/>
  <c r="X67" i="91"/>
  <c r="Y67" i="91"/>
  <c r="Z67" i="91"/>
  <c r="AA67" i="91"/>
  <c r="AB67" i="91"/>
  <c r="AC67" i="91"/>
  <c r="AD67" i="91"/>
  <c r="AE67" i="91"/>
  <c r="AF67" i="91"/>
  <c r="AG67" i="91"/>
  <c r="AH67" i="91"/>
  <c r="AI67" i="91"/>
  <c r="V68" i="91"/>
  <c r="W68" i="91"/>
  <c r="X68" i="91"/>
  <c r="Y68" i="91"/>
  <c r="Z68" i="91"/>
  <c r="AA68" i="91"/>
  <c r="AB68" i="91"/>
  <c r="AC68" i="91"/>
  <c r="AD68" i="91"/>
  <c r="AE68" i="91"/>
  <c r="AF68" i="91"/>
  <c r="AG68" i="91"/>
  <c r="AH68" i="91"/>
  <c r="AI68" i="91"/>
  <c r="W5" i="91"/>
  <c r="X5" i="91"/>
  <c r="Y5" i="91"/>
  <c r="Z5" i="91"/>
  <c r="AA5" i="91"/>
  <c r="AB5" i="91"/>
  <c r="AC5" i="91"/>
  <c r="AD5" i="91"/>
  <c r="AE5" i="91"/>
  <c r="AF5" i="91"/>
  <c r="AG5" i="91"/>
  <c r="AH5" i="91"/>
  <c r="AI5" i="91"/>
  <c r="G6" i="91"/>
  <c r="H6" i="91"/>
  <c r="I6" i="91"/>
  <c r="J6" i="91"/>
  <c r="K6" i="91"/>
  <c r="L6" i="91"/>
  <c r="M6" i="91"/>
  <c r="N6" i="91"/>
  <c r="O6" i="91"/>
  <c r="P6" i="91"/>
  <c r="Q6" i="91"/>
  <c r="R6" i="91"/>
  <c r="S6" i="91"/>
  <c r="T6" i="91"/>
  <c r="G7" i="91"/>
  <c r="H7" i="91"/>
  <c r="I7" i="91"/>
  <c r="J7" i="91"/>
  <c r="K7" i="91"/>
  <c r="L7" i="91"/>
  <c r="M7" i="91"/>
  <c r="N7" i="91"/>
  <c r="O7" i="91"/>
  <c r="P7" i="91"/>
  <c r="Q7" i="91"/>
  <c r="R7" i="91"/>
  <c r="S7" i="91"/>
  <c r="T7" i="91"/>
  <c r="G8" i="91"/>
  <c r="H8" i="91"/>
  <c r="I8" i="91"/>
  <c r="J8" i="91"/>
  <c r="K8" i="91"/>
  <c r="L8" i="91"/>
  <c r="M8" i="91"/>
  <c r="N8" i="91"/>
  <c r="O8" i="91"/>
  <c r="P8" i="91"/>
  <c r="Q8" i="91"/>
  <c r="R8" i="91"/>
  <c r="S8" i="91"/>
  <c r="T8" i="91"/>
  <c r="G9" i="91"/>
  <c r="H9" i="91"/>
  <c r="I9" i="91"/>
  <c r="J9" i="91"/>
  <c r="K9" i="91"/>
  <c r="L9" i="91"/>
  <c r="M9" i="91"/>
  <c r="N9" i="91"/>
  <c r="O9" i="91"/>
  <c r="P9" i="91"/>
  <c r="Q9" i="91"/>
  <c r="R9" i="91"/>
  <c r="S9" i="91"/>
  <c r="T9" i="91"/>
  <c r="G10" i="91"/>
  <c r="H10" i="91"/>
  <c r="I10" i="91"/>
  <c r="J10" i="91"/>
  <c r="K10" i="91"/>
  <c r="L10" i="91"/>
  <c r="M10" i="91"/>
  <c r="N10" i="91"/>
  <c r="O10" i="91"/>
  <c r="P10" i="91"/>
  <c r="Q10" i="91"/>
  <c r="R10" i="91"/>
  <c r="S10" i="91"/>
  <c r="T10" i="91"/>
  <c r="G11" i="91"/>
  <c r="H11" i="91"/>
  <c r="I11" i="91"/>
  <c r="J11" i="91"/>
  <c r="K11" i="91"/>
  <c r="L11" i="91"/>
  <c r="M11" i="91"/>
  <c r="N11" i="91"/>
  <c r="O11" i="91"/>
  <c r="P11" i="91"/>
  <c r="Q11" i="91"/>
  <c r="R11" i="91"/>
  <c r="S11" i="91"/>
  <c r="T11" i="91"/>
  <c r="G12" i="91"/>
  <c r="H12" i="91"/>
  <c r="I12" i="91"/>
  <c r="J12" i="91"/>
  <c r="K12" i="91"/>
  <c r="L12" i="91"/>
  <c r="M12" i="91"/>
  <c r="N12" i="91"/>
  <c r="O12" i="91"/>
  <c r="P12" i="91"/>
  <c r="Q12" i="91"/>
  <c r="R12" i="91"/>
  <c r="S12" i="91"/>
  <c r="T12" i="91"/>
  <c r="G13" i="91"/>
  <c r="H13" i="91"/>
  <c r="I13" i="91"/>
  <c r="J13" i="91"/>
  <c r="K13" i="91"/>
  <c r="L13" i="91"/>
  <c r="M13" i="91"/>
  <c r="N13" i="91"/>
  <c r="O13" i="91"/>
  <c r="P13" i="91"/>
  <c r="Q13" i="91"/>
  <c r="R13" i="91"/>
  <c r="S13" i="91"/>
  <c r="T13" i="91"/>
  <c r="G14" i="91"/>
  <c r="H14" i="91"/>
  <c r="I14" i="91"/>
  <c r="J14" i="91"/>
  <c r="K14" i="91"/>
  <c r="L14" i="91"/>
  <c r="M14" i="91"/>
  <c r="N14" i="91"/>
  <c r="O14" i="91"/>
  <c r="P14" i="91"/>
  <c r="Q14" i="91"/>
  <c r="R14" i="91"/>
  <c r="S14" i="91"/>
  <c r="T14" i="91"/>
  <c r="G15" i="91"/>
  <c r="H15" i="91"/>
  <c r="I15" i="91"/>
  <c r="J15" i="91"/>
  <c r="K15" i="91"/>
  <c r="L15" i="91"/>
  <c r="M15" i="91"/>
  <c r="N15" i="91"/>
  <c r="O15" i="91"/>
  <c r="P15" i="91"/>
  <c r="Q15" i="91"/>
  <c r="R15" i="91"/>
  <c r="S15" i="91"/>
  <c r="T15" i="91"/>
  <c r="G16" i="91"/>
  <c r="H16" i="91"/>
  <c r="I16" i="91"/>
  <c r="J16" i="91"/>
  <c r="K16" i="91"/>
  <c r="L16" i="91"/>
  <c r="M16" i="91"/>
  <c r="N16" i="91"/>
  <c r="O16" i="91"/>
  <c r="P16" i="91"/>
  <c r="Q16" i="91"/>
  <c r="R16" i="91"/>
  <c r="S16" i="91"/>
  <c r="T16" i="91"/>
  <c r="G17" i="91"/>
  <c r="H17" i="91"/>
  <c r="I17" i="91"/>
  <c r="J17" i="91"/>
  <c r="K17" i="91"/>
  <c r="L17" i="91"/>
  <c r="M17" i="91"/>
  <c r="N17" i="91"/>
  <c r="O17" i="91"/>
  <c r="P17" i="91"/>
  <c r="Q17" i="91"/>
  <c r="R17" i="91"/>
  <c r="S17" i="91"/>
  <c r="T17" i="91"/>
  <c r="H18" i="91"/>
  <c r="I18" i="91"/>
  <c r="J18" i="91"/>
  <c r="K18" i="91"/>
  <c r="L18" i="91"/>
  <c r="M18" i="91"/>
  <c r="N18" i="91"/>
  <c r="O18" i="91"/>
  <c r="P18" i="91"/>
  <c r="Q18" i="91"/>
  <c r="R18" i="91"/>
  <c r="S18" i="91"/>
  <c r="T18" i="91"/>
  <c r="H19" i="91"/>
  <c r="I19" i="91"/>
  <c r="J19" i="91"/>
  <c r="K19" i="91"/>
  <c r="L19" i="91"/>
  <c r="M19" i="91"/>
  <c r="N19" i="91"/>
  <c r="O19" i="91"/>
  <c r="P19" i="91"/>
  <c r="Q19" i="91"/>
  <c r="R19" i="91"/>
  <c r="S19" i="91"/>
  <c r="T19" i="91"/>
  <c r="H20" i="91"/>
  <c r="I20" i="91"/>
  <c r="J20" i="91"/>
  <c r="K20" i="91"/>
  <c r="L20" i="91"/>
  <c r="M20" i="91"/>
  <c r="N20" i="91"/>
  <c r="O20" i="91"/>
  <c r="P20" i="91"/>
  <c r="Q20" i="91"/>
  <c r="R20" i="91"/>
  <c r="S20" i="91"/>
  <c r="T20" i="91"/>
  <c r="H21" i="91"/>
  <c r="I21" i="91"/>
  <c r="J21" i="91"/>
  <c r="K21" i="91"/>
  <c r="L21" i="91"/>
  <c r="M21" i="91"/>
  <c r="N21" i="91"/>
  <c r="O21" i="91"/>
  <c r="P21" i="91"/>
  <c r="Q21" i="91"/>
  <c r="R21" i="91"/>
  <c r="S21" i="91"/>
  <c r="T21" i="91"/>
  <c r="H22" i="91"/>
  <c r="I22" i="91"/>
  <c r="J22" i="91"/>
  <c r="K22" i="91"/>
  <c r="L22" i="91"/>
  <c r="M22" i="91"/>
  <c r="N22" i="91"/>
  <c r="O22" i="91"/>
  <c r="P22" i="91"/>
  <c r="Q22" i="91"/>
  <c r="R22" i="91"/>
  <c r="S22" i="91"/>
  <c r="T22" i="91"/>
  <c r="H23" i="91"/>
  <c r="I23" i="91"/>
  <c r="J23" i="91"/>
  <c r="K23" i="91"/>
  <c r="L23" i="91"/>
  <c r="M23" i="91"/>
  <c r="N23" i="91"/>
  <c r="O23" i="91"/>
  <c r="P23" i="91"/>
  <c r="Q23" i="91"/>
  <c r="R23" i="91"/>
  <c r="S23" i="91"/>
  <c r="T23" i="91"/>
  <c r="H24" i="91"/>
  <c r="I24" i="91"/>
  <c r="J24" i="91"/>
  <c r="K24" i="91"/>
  <c r="L24" i="91"/>
  <c r="M24" i="91"/>
  <c r="N24" i="91"/>
  <c r="O24" i="91"/>
  <c r="P24" i="91"/>
  <c r="Q24" i="91"/>
  <c r="R24" i="91"/>
  <c r="S24" i="91"/>
  <c r="T24" i="91"/>
  <c r="H25" i="91"/>
  <c r="I25" i="91"/>
  <c r="J25" i="91"/>
  <c r="K25" i="91"/>
  <c r="L25" i="91"/>
  <c r="M25" i="91"/>
  <c r="N25" i="91"/>
  <c r="O25" i="91"/>
  <c r="P25" i="91"/>
  <c r="Q25" i="91"/>
  <c r="R25" i="91"/>
  <c r="S25" i="91"/>
  <c r="T25" i="91"/>
  <c r="H26" i="91"/>
  <c r="I26" i="91"/>
  <c r="J26" i="91"/>
  <c r="K26" i="91"/>
  <c r="L26" i="91"/>
  <c r="M26" i="91"/>
  <c r="N26" i="91"/>
  <c r="O26" i="91"/>
  <c r="P26" i="91"/>
  <c r="Q26" i="91"/>
  <c r="R26" i="91"/>
  <c r="S26" i="91"/>
  <c r="T26" i="91"/>
  <c r="H27" i="91"/>
  <c r="I27" i="91"/>
  <c r="J27" i="91"/>
  <c r="K27" i="91"/>
  <c r="L27" i="91"/>
  <c r="M27" i="91"/>
  <c r="N27" i="91"/>
  <c r="O27" i="91"/>
  <c r="P27" i="91"/>
  <c r="Q27" i="91"/>
  <c r="R27" i="91"/>
  <c r="S27" i="91"/>
  <c r="T27" i="91"/>
  <c r="H28" i="91"/>
  <c r="I28" i="91"/>
  <c r="J28" i="91"/>
  <c r="K28" i="91"/>
  <c r="L28" i="91"/>
  <c r="M28" i="91"/>
  <c r="N28" i="91"/>
  <c r="O28" i="91"/>
  <c r="P28" i="91"/>
  <c r="Q28" i="91"/>
  <c r="R28" i="91"/>
  <c r="S28" i="91"/>
  <c r="T28" i="91"/>
  <c r="H29" i="91"/>
  <c r="I29" i="91"/>
  <c r="J29" i="91"/>
  <c r="K29" i="91"/>
  <c r="L29" i="91"/>
  <c r="M29" i="91"/>
  <c r="N29" i="91"/>
  <c r="O29" i="91"/>
  <c r="P29" i="91"/>
  <c r="Q29" i="91"/>
  <c r="R29" i="91"/>
  <c r="S29" i="91"/>
  <c r="T29" i="91"/>
  <c r="H30" i="91"/>
  <c r="I30" i="91"/>
  <c r="J30" i="91"/>
  <c r="K30" i="91"/>
  <c r="L30" i="91"/>
  <c r="M30" i="91"/>
  <c r="N30" i="91"/>
  <c r="O30" i="91"/>
  <c r="P30" i="91"/>
  <c r="Q30" i="91"/>
  <c r="R30" i="91"/>
  <c r="S30" i="91"/>
  <c r="T30" i="91"/>
  <c r="H31" i="91"/>
  <c r="I31" i="91"/>
  <c r="J31" i="91"/>
  <c r="K31" i="91"/>
  <c r="L31" i="91"/>
  <c r="M31" i="91"/>
  <c r="N31" i="91"/>
  <c r="O31" i="91"/>
  <c r="P31" i="91"/>
  <c r="Q31" i="91"/>
  <c r="R31" i="91"/>
  <c r="S31" i="91"/>
  <c r="T31" i="91"/>
  <c r="G32" i="91"/>
  <c r="H32" i="91"/>
  <c r="I32" i="91"/>
  <c r="J32" i="91"/>
  <c r="K32" i="91"/>
  <c r="L32" i="91"/>
  <c r="M32" i="91"/>
  <c r="N32" i="91"/>
  <c r="O32" i="91"/>
  <c r="P32" i="91"/>
  <c r="Q32" i="91"/>
  <c r="R32" i="91"/>
  <c r="S32" i="91"/>
  <c r="T32" i="91"/>
  <c r="G33" i="91"/>
  <c r="H33" i="91"/>
  <c r="I33" i="91"/>
  <c r="J33" i="91"/>
  <c r="K33" i="91"/>
  <c r="L33" i="91"/>
  <c r="M33" i="91"/>
  <c r="N33" i="91"/>
  <c r="O33" i="91"/>
  <c r="P33" i="91"/>
  <c r="Q33" i="91"/>
  <c r="R33" i="91"/>
  <c r="S33" i="91"/>
  <c r="T33" i="91"/>
  <c r="G34" i="91"/>
  <c r="H34" i="91"/>
  <c r="I34" i="91"/>
  <c r="J34" i="91"/>
  <c r="K34" i="91"/>
  <c r="L34" i="91"/>
  <c r="M34" i="91"/>
  <c r="N34" i="91"/>
  <c r="O34" i="91"/>
  <c r="P34" i="91"/>
  <c r="Q34" i="91"/>
  <c r="R34" i="91"/>
  <c r="S34" i="91"/>
  <c r="T34" i="91"/>
  <c r="G35" i="91"/>
  <c r="H35" i="91"/>
  <c r="I35" i="91"/>
  <c r="J35" i="91"/>
  <c r="K35" i="91"/>
  <c r="L35" i="91"/>
  <c r="M35" i="91"/>
  <c r="N35" i="91"/>
  <c r="O35" i="91"/>
  <c r="P35" i="91"/>
  <c r="Q35" i="91"/>
  <c r="R35" i="91"/>
  <c r="S35" i="91"/>
  <c r="T35" i="91"/>
  <c r="G36" i="91"/>
  <c r="H36" i="91"/>
  <c r="I36" i="91"/>
  <c r="J36" i="91"/>
  <c r="K36" i="91"/>
  <c r="L36" i="91"/>
  <c r="M36" i="91"/>
  <c r="N36" i="91"/>
  <c r="O36" i="91"/>
  <c r="P36" i="91"/>
  <c r="Q36" i="91"/>
  <c r="R36" i="91"/>
  <c r="S36" i="91"/>
  <c r="T36" i="91"/>
  <c r="G37" i="91"/>
  <c r="H37" i="91"/>
  <c r="I37" i="91"/>
  <c r="J37" i="91"/>
  <c r="K37" i="91"/>
  <c r="L37" i="91"/>
  <c r="M37" i="91"/>
  <c r="N37" i="91"/>
  <c r="O37" i="91"/>
  <c r="P37" i="91"/>
  <c r="Q37" i="91"/>
  <c r="R37" i="91"/>
  <c r="S37" i="91"/>
  <c r="T37" i="91"/>
  <c r="G38" i="91"/>
  <c r="H38" i="91"/>
  <c r="I38" i="91"/>
  <c r="J38" i="91"/>
  <c r="K38" i="91"/>
  <c r="L38" i="91"/>
  <c r="M38" i="91"/>
  <c r="N38" i="91"/>
  <c r="O38" i="91"/>
  <c r="P38" i="91"/>
  <c r="Q38" i="91"/>
  <c r="R38" i="91"/>
  <c r="S38" i="91"/>
  <c r="T38" i="91"/>
  <c r="G39" i="91"/>
  <c r="H39" i="91"/>
  <c r="I39" i="91"/>
  <c r="J39" i="91"/>
  <c r="K39" i="91"/>
  <c r="L39" i="91"/>
  <c r="M39" i="91"/>
  <c r="N39" i="91"/>
  <c r="O39" i="91"/>
  <c r="P39" i="91"/>
  <c r="Q39" i="91"/>
  <c r="R39" i="91"/>
  <c r="S39" i="91"/>
  <c r="T39" i="91"/>
  <c r="G40" i="91"/>
  <c r="H40" i="91"/>
  <c r="I40" i="91"/>
  <c r="J40" i="91"/>
  <c r="K40" i="91"/>
  <c r="L40" i="91"/>
  <c r="M40" i="91"/>
  <c r="N40" i="91"/>
  <c r="O40" i="91"/>
  <c r="P40" i="91"/>
  <c r="Q40" i="91"/>
  <c r="R40" i="91"/>
  <c r="S40" i="91"/>
  <c r="T40" i="91"/>
  <c r="G41" i="91"/>
  <c r="H41" i="91"/>
  <c r="I41" i="91"/>
  <c r="J41" i="91"/>
  <c r="K41" i="91"/>
  <c r="L41" i="91"/>
  <c r="M41" i="91"/>
  <c r="N41" i="91"/>
  <c r="O41" i="91"/>
  <c r="P41" i="91"/>
  <c r="Q41" i="91"/>
  <c r="R41" i="91"/>
  <c r="S41" i="91"/>
  <c r="T41" i="91"/>
  <c r="G42" i="91"/>
  <c r="H42" i="91"/>
  <c r="I42" i="91"/>
  <c r="J42" i="91"/>
  <c r="K42" i="91"/>
  <c r="L42" i="91"/>
  <c r="M42" i="91"/>
  <c r="N42" i="91"/>
  <c r="O42" i="91"/>
  <c r="P42" i="91"/>
  <c r="Q42" i="91"/>
  <c r="R42" i="91"/>
  <c r="S42" i="91"/>
  <c r="T42" i="91"/>
  <c r="G43" i="91"/>
  <c r="H43" i="91"/>
  <c r="I43" i="91"/>
  <c r="J43" i="91"/>
  <c r="K43" i="91"/>
  <c r="L43" i="91"/>
  <c r="M43" i="91"/>
  <c r="N43" i="91"/>
  <c r="O43" i="91"/>
  <c r="P43" i="91"/>
  <c r="Q43" i="91"/>
  <c r="R43" i="91"/>
  <c r="S43" i="91"/>
  <c r="T43" i="91"/>
  <c r="G44" i="91"/>
  <c r="H44" i="91"/>
  <c r="I44" i="91"/>
  <c r="J44" i="91"/>
  <c r="K44" i="91"/>
  <c r="L44" i="91"/>
  <c r="M44" i="91"/>
  <c r="N44" i="91"/>
  <c r="O44" i="91"/>
  <c r="P44" i="91"/>
  <c r="Q44" i="91"/>
  <c r="R44" i="91"/>
  <c r="S44" i="91"/>
  <c r="T44" i="91"/>
  <c r="G45" i="91"/>
  <c r="H45" i="91"/>
  <c r="I45" i="91"/>
  <c r="J45" i="91"/>
  <c r="K45" i="91"/>
  <c r="L45" i="91"/>
  <c r="M45" i="91"/>
  <c r="N45" i="91"/>
  <c r="O45" i="91"/>
  <c r="P45" i="91"/>
  <c r="Q45" i="91"/>
  <c r="R45" i="91"/>
  <c r="S45" i="91"/>
  <c r="T45" i="91"/>
  <c r="G46" i="91"/>
  <c r="H46" i="91"/>
  <c r="I46" i="91"/>
  <c r="J46" i="91"/>
  <c r="K46" i="91"/>
  <c r="L46" i="91"/>
  <c r="M46" i="91"/>
  <c r="N46" i="91"/>
  <c r="O46" i="91"/>
  <c r="P46" i="91"/>
  <c r="Q46" i="91"/>
  <c r="R46" i="91"/>
  <c r="S46" i="91"/>
  <c r="T46" i="91"/>
  <c r="G47" i="91"/>
  <c r="H47" i="91"/>
  <c r="I47" i="91"/>
  <c r="J47" i="91"/>
  <c r="K47" i="91"/>
  <c r="L47" i="91"/>
  <c r="M47" i="91"/>
  <c r="N47" i="91"/>
  <c r="O47" i="91"/>
  <c r="P47" i="91"/>
  <c r="Q47" i="91"/>
  <c r="R47" i="91"/>
  <c r="S47" i="91"/>
  <c r="T47" i="91"/>
  <c r="G48" i="91"/>
  <c r="H48" i="91"/>
  <c r="I48" i="91"/>
  <c r="J48" i="91"/>
  <c r="K48" i="91"/>
  <c r="L48" i="91"/>
  <c r="M48" i="91"/>
  <c r="N48" i="91"/>
  <c r="O48" i="91"/>
  <c r="P48" i="91"/>
  <c r="Q48" i="91"/>
  <c r="R48" i="91"/>
  <c r="S48" i="91"/>
  <c r="T48" i="91"/>
  <c r="G49" i="91"/>
  <c r="H49" i="91"/>
  <c r="I49" i="91"/>
  <c r="J49" i="91"/>
  <c r="K49" i="91"/>
  <c r="L49" i="91"/>
  <c r="M49" i="91"/>
  <c r="N49" i="91"/>
  <c r="O49" i="91"/>
  <c r="P49" i="91"/>
  <c r="Q49" i="91"/>
  <c r="R49" i="91"/>
  <c r="S49" i="91"/>
  <c r="T49" i="91"/>
  <c r="G50" i="91"/>
  <c r="H50" i="91"/>
  <c r="I50" i="91"/>
  <c r="J50" i="91"/>
  <c r="K50" i="91"/>
  <c r="L50" i="91"/>
  <c r="M50" i="91"/>
  <c r="N50" i="91"/>
  <c r="O50" i="91"/>
  <c r="P50" i="91"/>
  <c r="Q50" i="91"/>
  <c r="R50" i="91"/>
  <c r="S50" i="91"/>
  <c r="T50" i="91"/>
  <c r="G51" i="91"/>
  <c r="H51" i="91"/>
  <c r="I51" i="91"/>
  <c r="J51" i="91"/>
  <c r="K51" i="91"/>
  <c r="L51" i="91"/>
  <c r="M51" i="91"/>
  <c r="N51" i="91"/>
  <c r="O51" i="91"/>
  <c r="P51" i="91"/>
  <c r="Q51" i="91"/>
  <c r="R51" i="91"/>
  <c r="S51" i="91"/>
  <c r="T51" i="91"/>
  <c r="G52" i="91"/>
  <c r="H52" i="91"/>
  <c r="I52" i="91"/>
  <c r="J52" i="91"/>
  <c r="K52" i="91"/>
  <c r="L52" i="91"/>
  <c r="M52" i="91"/>
  <c r="N52" i="91"/>
  <c r="O52" i="91"/>
  <c r="P52" i="91"/>
  <c r="Q52" i="91"/>
  <c r="R52" i="91"/>
  <c r="S52" i="91"/>
  <c r="T52" i="91"/>
  <c r="G53" i="91"/>
  <c r="H53" i="91"/>
  <c r="I53" i="91"/>
  <c r="J53" i="91"/>
  <c r="K53" i="91"/>
  <c r="L53" i="91"/>
  <c r="M53" i="91"/>
  <c r="N53" i="91"/>
  <c r="O53" i="91"/>
  <c r="P53" i="91"/>
  <c r="Q53" i="91"/>
  <c r="R53" i="91"/>
  <c r="S53" i="91"/>
  <c r="T53" i="91"/>
  <c r="G54" i="91"/>
  <c r="H54" i="91"/>
  <c r="I54" i="91"/>
  <c r="J54" i="91"/>
  <c r="K54" i="91"/>
  <c r="L54" i="91"/>
  <c r="M54" i="91"/>
  <c r="N54" i="91"/>
  <c r="O54" i="91"/>
  <c r="P54" i="91"/>
  <c r="Q54" i="91"/>
  <c r="R54" i="91"/>
  <c r="S54" i="91"/>
  <c r="T54" i="91"/>
  <c r="G55" i="91"/>
  <c r="H55" i="91"/>
  <c r="I55" i="91"/>
  <c r="J55" i="91"/>
  <c r="K55" i="91"/>
  <c r="L55" i="91"/>
  <c r="M55" i="91"/>
  <c r="N55" i="91"/>
  <c r="O55" i="91"/>
  <c r="P55" i="91"/>
  <c r="Q55" i="91"/>
  <c r="R55" i="91"/>
  <c r="S55" i="91"/>
  <c r="T55" i="91"/>
  <c r="G56" i="91"/>
  <c r="H56" i="91"/>
  <c r="I56" i="91"/>
  <c r="J56" i="91"/>
  <c r="K56" i="91"/>
  <c r="L56" i="91"/>
  <c r="M56" i="91"/>
  <c r="N56" i="91"/>
  <c r="O56" i="91"/>
  <c r="P56" i="91"/>
  <c r="Q56" i="91"/>
  <c r="R56" i="91"/>
  <c r="S56" i="91"/>
  <c r="T56" i="91"/>
  <c r="G57" i="91"/>
  <c r="H57" i="91"/>
  <c r="I57" i="91"/>
  <c r="J57" i="91"/>
  <c r="K57" i="91"/>
  <c r="L57" i="91"/>
  <c r="M57" i="91"/>
  <c r="N57" i="91"/>
  <c r="O57" i="91"/>
  <c r="P57" i="91"/>
  <c r="Q57" i="91"/>
  <c r="R57" i="91"/>
  <c r="S57" i="91"/>
  <c r="T57" i="91"/>
  <c r="G58" i="91"/>
  <c r="H58" i="91"/>
  <c r="I58" i="91"/>
  <c r="J58" i="91"/>
  <c r="K58" i="91"/>
  <c r="L58" i="91"/>
  <c r="M58" i="91"/>
  <c r="N58" i="91"/>
  <c r="O58" i="91"/>
  <c r="P58" i="91"/>
  <c r="Q58" i="91"/>
  <c r="R58" i="91"/>
  <c r="S58" i="91"/>
  <c r="T58" i="91"/>
  <c r="G59" i="91"/>
  <c r="H59" i="91"/>
  <c r="I59" i="91"/>
  <c r="J59" i="91"/>
  <c r="K59" i="91"/>
  <c r="L59" i="91"/>
  <c r="M59" i="91"/>
  <c r="N59" i="91"/>
  <c r="O59" i="91"/>
  <c r="P59" i="91"/>
  <c r="Q59" i="91"/>
  <c r="R59" i="91"/>
  <c r="S59" i="91"/>
  <c r="T59" i="91"/>
  <c r="G60" i="91"/>
  <c r="H60" i="91"/>
  <c r="I60" i="91"/>
  <c r="J60" i="91"/>
  <c r="K60" i="91"/>
  <c r="L60" i="91"/>
  <c r="M60" i="91"/>
  <c r="N60" i="91"/>
  <c r="O60" i="91"/>
  <c r="P60" i="91"/>
  <c r="Q60" i="91"/>
  <c r="R60" i="91"/>
  <c r="S60" i="91"/>
  <c r="T60" i="91"/>
  <c r="G61" i="91"/>
  <c r="H61" i="91"/>
  <c r="I61" i="91"/>
  <c r="J61" i="91"/>
  <c r="K61" i="91"/>
  <c r="L61" i="91"/>
  <c r="M61" i="91"/>
  <c r="N61" i="91"/>
  <c r="O61" i="91"/>
  <c r="P61" i="91"/>
  <c r="Q61" i="91"/>
  <c r="R61" i="91"/>
  <c r="S61" i="91"/>
  <c r="T61" i="91"/>
  <c r="G62" i="91"/>
  <c r="H62" i="91"/>
  <c r="I62" i="91"/>
  <c r="J62" i="91"/>
  <c r="K62" i="91"/>
  <c r="L62" i="91"/>
  <c r="M62" i="91"/>
  <c r="N62" i="91"/>
  <c r="O62" i="91"/>
  <c r="P62" i="91"/>
  <c r="Q62" i="91"/>
  <c r="R62" i="91"/>
  <c r="S62" i="91"/>
  <c r="T62" i="91"/>
  <c r="G63" i="91"/>
  <c r="H63" i="91"/>
  <c r="I63" i="91"/>
  <c r="J63" i="91"/>
  <c r="K63" i="91"/>
  <c r="L63" i="91"/>
  <c r="M63" i="91"/>
  <c r="N63" i="91"/>
  <c r="O63" i="91"/>
  <c r="P63" i="91"/>
  <c r="Q63" i="91"/>
  <c r="R63" i="91"/>
  <c r="S63" i="91"/>
  <c r="T63" i="91"/>
  <c r="G64" i="91"/>
  <c r="H64" i="91"/>
  <c r="I64" i="91"/>
  <c r="J64" i="91"/>
  <c r="K64" i="91"/>
  <c r="L64" i="91"/>
  <c r="M64" i="91"/>
  <c r="N64" i="91"/>
  <c r="O64" i="91"/>
  <c r="P64" i="91"/>
  <c r="Q64" i="91"/>
  <c r="R64" i="91"/>
  <c r="S64" i="91"/>
  <c r="T64" i="91"/>
  <c r="G65" i="91"/>
  <c r="H65" i="91"/>
  <c r="I65" i="91"/>
  <c r="J65" i="91"/>
  <c r="K65" i="91"/>
  <c r="L65" i="91"/>
  <c r="M65" i="91"/>
  <c r="N65" i="91"/>
  <c r="O65" i="91"/>
  <c r="P65" i="91"/>
  <c r="Q65" i="91"/>
  <c r="R65" i="91"/>
  <c r="S65" i="91"/>
  <c r="T65" i="91"/>
  <c r="G66" i="91"/>
  <c r="H66" i="91"/>
  <c r="I66" i="91"/>
  <c r="J66" i="91"/>
  <c r="K66" i="91"/>
  <c r="L66" i="91"/>
  <c r="M66" i="91"/>
  <c r="N66" i="91"/>
  <c r="O66" i="91"/>
  <c r="P66" i="91"/>
  <c r="Q66" i="91"/>
  <c r="R66" i="91"/>
  <c r="S66" i="91"/>
  <c r="T66" i="91"/>
  <c r="G67" i="91"/>
  <c r="H67" i="91"/>
  <c r="I67" i="91"/>
  <c r="J67" i="91"/>
  <c r="K67" i="91"/>
  <c r="L67" i="91"/>
  <c r="M67" i="91"/>
  <c r="N67" i="91"/>
  <c r="O67" i="91"/>
  <c r="P67" i="91"/>
  <c r="Q67" i="91"/>
  <c r="R67" i="91"/>
  <c r="S67" i="91"/>
  <c r="T67" i="91"/>
  <c r="G68" i="91"/>
  <c r="H68" i="91"/>
  <c r="I68" i="91"/>
  <c r="J68" i="91"/>
  <c r="K68" i="91"/>
  <c r="L68" i="91"/>
  <c r="M68" i="91"/>
  <c r="N68" i="91"/>
  <c r="O68" i="91"/>
  <c r="P68" i="91"/>
  <c r="Q68" i="91"/>
  <c r="R68" i="91"/>
  <c r="S68" i="91"/>
  <c r="T68" i="91"/>
  <c r="G5" i="91"/>
  <c r="H5" i="91"/>
  <c r="I5" i="91"/>
  <c r="J5" i="91"/>
  <c r="K5" i="91"/>
  <c r="L5" i="91"/>
  <c r="M5" i="91"/>
  <c r="N5" i="91"/>
  <c r="O5" i="91"/>
  <c r="P5" i="91"/>
  <c r="Q5" i="91"/>
  <c r="R5" i="91"/>
  <c r="S5" i="91"/>
  <c r="T5" i="91"/>
  <c r="V5" i="91"/>
  <c r="F6" i="91"/>
  <c r="F7" i="91"/>
  <c r="F8" i="91"/>
  <c r="F9" i="91"/>
  <c r="F10" i="91"/>
  <c r="F11" i="91"/>
  <c r="F12" i="91"/>
  <c r="F13" i="91"/>
  <c r="F14" i="91"/>
  <c r="F15" i="91"/>
  <c r="F16" i="91"/>
  <c r="F17" i="91"/>
  <c r="F18" i="91"/>
  <c r="F19" i="91"/>
  <c r="F20" i="91"/>
  <c r="F21" i="91"/>
  <c r="F22" i="91"/>
  <c r="F23" i="91"/>
  <c r="F24" i="91"/>
  <c r="F25" i="91"/>
  <c r="F26" i="91"/>
  <c r="F27" i="91"/>
  <c r="F28" i="91"/>
  <c r="F29" i="91"/>
  <c r="F30" i="91"/>
  <c r="F31" i="91"/>
  <c r="F32" i="91"/>
  <c r="F33" i="91"/>
  <c r="F34" i="91"/>
  <c r="F35" i="91"/>
  <c r="F36" i="91"/>
  <c r="F37" i="91"/>
  <c r="F38" i="91"/>
  <c r="F39" i="91"/>
  <c r="F40" i="91"/>
  <c r="F41" i="91"/>
  <c r="F42" i="91"/>
  <c r="F43" i="91"/>
  <c r="F44" i="91"/>
  <c r="F45" i="91"/>
  <c r="F46" i="91"/>
  <c r="F47" i="91"/>
  <c r="F48" i="91"/>
  <c r="F49" i="91"/>
  <c r="F50" i="91"/>
  <c r="F51" i="91"/>
  <c r="F52" i="91"/>
  <c r="F53" i="91"/>
  <c r="F54" i="91"/>
  <c r="F55" i="91"/>
  <c r="F56" i="91"/>
  <c r="F57" i="91"/>
  <c r="F58" i="91"/>
  <c r="F59" i="91"/>
  <c r="F60" i="91"/>
  <c r="F61" i="91"/>
  <c r="F62" i="91"/>
  <c r="F63" i="91"/>
  <c r="F64" i="91"/>
  <c r="F65" i="91"/>
  <c r="F66" i="91"/>
  <c r="F67" i="91"/>
  <c r="F68" i="91"/>
  <c r="CA14" i="88"/>
  <c r="CB14" i="88"/>
  <c r="CC14" i="88"/>
  <c r="CD14" i="88"/>
  <c r="CE14" i="88"/>
  <c r="CF14" i="88"/>
  <c r="CG14" i="88"/>
  <c r="CA15" i="88"/>
  <c r="CB15" i="88"/>
  <c r="CC15" i="88"/>
  <c r="CD15" i="88"/>
  <c r="CE15" i="88"/>
  <c r="CF15" i="88"/>
  <c r="CG15" i="88"/>
  <c r="CA16" i="88"/>
  <c r="CB16" i="88"/>
  <c r="CC16" i="88"/>
  <c r="CD16" i="88"/>
  <c r="CE16" i="88"/>
  <c r="CF16" i="88"/>
  <c r="CG16" i="88"/>
  <c r="CA17" i="88"/>
  <c r="CB17" i="88"/>
  <c r="CC17" i="88"/>
  <c r="CD17" i="88"/>
  <c r="CE17" i="88"/>
  <c r="CF17" i="88"/>
  <c r="CG17" i="88"/>
  <c r="CA18" i="88"/>
  <c r="CB18" i="88"/>
  <c r="CC18" i="88"/>
  <c r="CD18" i="88"/>
  <c r="CE18" i="88"/>
  <c r="CF18" i="88"/>
  <c r="CG18" i="88"/>
  <c r="CA19" i="88"/>
  <c r="CB19" i="88"/>
  <c r="CC19" i="88"/>
  <c r="CD19" i="88"/>
  <c r="CE19" i="88"/>
  <c r="CF19" i="88"/>
  <c r="CG19" i="88"/>
  <c r="CA20" i="88"/>
  <c r="CB20" i="88"/>
  <c r="CC20" i="88"/>
  <c r="CD20" i="88"/>
  <c r="CE20" i="88"/>
  <c r="CF20" i="88"/>
  <c r="CG20" i="88"/>
  <c r="CA21" i="88"/>
  <c r="CB21" i="88"/>
  <c r="CC21" i="88"/>
  <c r="CD21" i="88"/>
  <c r="CE21" i="88"/>
  <c r="CF21" i="88"/>
  <c r="CG21" i="88"/>
  <c r="CA22" i="88"/>
  <c r="CB22" i="88"/>
  <c r="CC22" i="88"/>
  <c r="CD22" i="88"/>
  <c r="CE22" i="88"/>
  <c r="CF22" i="88"/>
  <c r="CG22" i="88"/>
  <c r="CA23" i="88"/>
  <c r="CB23" i="88"/>
  <c r="CC23" i="88"/>
  <c r="CD23" i="88"/>
  <c r="CE23" i="88"/>
  <c r="CF23" i="88"/>
  <c r="CG23" i="88"/>
  <c r="CA24" i="88"/>
  <c r="CB24" i="88"/>
  <c r="CC24" i="88"/>
  <c r="CD24" i="88"/>
  <c r="CE24" i="88"/>
  <c r="CF24" i="88"/>
  <c r="CG24" i="88"/>
  <c r="CA25" i="88"/>
  <c r="CB25" i="88"/>
  <c r="CC25" i="88"/>
  <c r="CD25" i="88"/>
  <c r="CE25" i="88"/>
  <c r="CF25" i="88"/>
  <c r="CG25" i="88"/>
  <c r="CA26" i="88"/>
  <c r="CB26" i="88"/>
  <c r="CC26" i="88"/>
  <c r="CD26" i="88"/>
  <c r="CE26" i="88"/>
  <c r="CF26" i="88"/>
  <c r="CG26" i="88"/>
  <c r="CA27" i="88"/>
  <c r="CB27" i="88"/>
  <c r="CC27" i="88"/>
  <c r="CD27" i="88"/>
  <c r="CE27" i="88"/>
  <c r="CF27" i="88"/>
  <c r="CG27" i="88"/>
  <c r="CA28" i="88"/>
  <c r="CB28" i="88"/>
  <c r="CC28" i="88"/>
  <c r="CD28" i="88"/>
  <c r="CE28" i="88"/>
  <c r="CF28" i="88"/>
  <c r="CG28" i="88"/>
  <c r="CA29" i="88"/>
  <c r="CB29" i="88"/>
  <c r="CC29" i="88"/>
  <c r="CD29" i="88"/>
  <c r="CE29" i="88"/>
  <c r="CF29" i="88"/>
  <c r="CG29" i="88"/>
  <c r="CA30" i="88"/>
  <c r="CB30" i="88"/>
  <c r="CC30" i="88"/>
  <c r="CD30" i="88"/>
  <c r="CE30" i="88"/>
  <c r="CF30" i="88"/>
  <c r="CG30" i="88"/>
  <c r="CA31" i="88"/>
  <c r="CB31" i="88"/>
  <c r="CC31" i="88"/>
  <c r="CD31" i="88"/>
  <c r="CE31" i="88"/>
  <c r="CF31" i="88"/>
  <c r="CG31" i="88"/>
  <c r="CA32" i="88"/>
  <c r="CB32" i="88"/>
  <c r="CC32" i="88"/>
  <c r="CD32" i="88"/>
  <c r="CE32" i="88"/>
  <c r="CF32" i="88"/>
  <c r="CG32" i="88"/>
  <c r="CA33" i="88"/>
  <c r="CB33" i="88"/>
  <c r="CC33" i="88"/>
  <c r="CD33" i="88"/>
  <c r="CE33" i="88"/>
  <c r="CF33" i="88"/>
  <c r="CG33" i="88"/>
  <c r="CA34" i="88"/>
  <c r="CB34" i="88"/>
  <c r="CC34" i="88"/>
  <c r="CD34" i="88"/>
  <c r="CE34" i="88"/>
  <c r="CF34" i="88"/>
  <c r="CG34" i="88"/>
  <c r="CA35" i="88"/>
  <c r="CB35" i="88"/>
  <c r="CC35" i="88"/>
  <c r="CD35" i="88"/>
  <c r="CE35" i="88"/>
  <c r="CF35" i="88"/>
  <c r="CG35" i="88"/>
  <c r="CA36" i="88"/>
  <c r="CB36" i="88"/>
  <c r="CC36" i="88"/>
  <c r="CD36" i="88"/>
  <c r="CE36" i="88"/>
  <c r="CF36" i="88"/>
  <c r="CG36" i="88"/>
  <c r="CA37" i="88"/>
  <c r="CB37" i="88"/>
  <c r="CC37" i="88"/>
  <c r="CD37" i="88"/>
  <c r="CE37" i="88"/>
  <c r="CF37" i="88"/>
  <c r="CG37" i="88"/>
  <c r="CA38" i="88"/>
  <c r="CB38" i="88"/>
  <c r="CC38" i="88"/>
  <c r="CD38" i="88"/>
  <c r="CE38" i="88"/>
  <c r="CF38" i="88"/>
  <c r="CG38" i="88"/>
  <c r="CA39" i="88"/>
  <c r="CB39" i="88"/>
  <c r="CC39" i="88"/>
  <c r="CD39" i="88"/>
  <c r="CE39" i="88"/>
  <c r="CF39" i="88"/>
  <c r="CG39" i="88"/>
  <c r="CA40" i="88"/>
  <c r="CB40" i="88"/>
  <c r="CC40" i="88"/>
  <c r="CD40" i="88"/>
  <c r="CE40" i="88"/>
  <c r="CF40" i="88"/>
  <c r="CG40" i="88"/>
  <c r="CA41" i="88"/>
  <c r="CB41" i="88"/>
  <c r="CC41" i="88"/>
  <c r="CD41" i="88"/>
  <c r="CE41" i="88"/>
  <c r="CF41" i="88"/>
  <c r="CG41" i="88"/>
  <c r="CA42" i="88"/>
  <c r="CB42" i="88"/>
  <c r="CC42" i="88"/>
  <c r="CD42" i="88"/>
  <c r="CE42" i="88"/>
  <c r="CF42" i="88"/>
  <c r="CG42" i="88"/>
  <c r="CA43" i="88"/>
  <c r="CB43" i="88"/>
  <c r="CC43" i="88"/>
  <c r="CD43" i="88"/>
  <c r="CE43" i="88"/>
  <c r="CF43" i="88"/>
  <c r="CG43" i="88"/>
  <c r="CA44" i="88"/>
  <c r="CB44" i="88"/>
  <c r="CC44" i="88"/>
  <c r="CD44" i="88"/>
  <c r="CE44" i="88"/>
  <c r="CF44" i="88"/>
  <c r="CG44" i="88"/>
  <c r="CA45" i="88"/>
  <c r="CB45" i="88"/>
  <c r="CC45" i="88"/>
  <c r="CD45" i="88"/>
  <c r="CE45" i="88"/>
  <c r="CF45" i="88"/>
  <c r="CG45" i="88"/>
  <c r="CA46" i="88"/>
  <c r="CB46" i="88"/>
  <c r="CC46" i="88"/>
  <c r="CD46" i="88"/>
  <c r="CE46" i="88"/>
  <c r="CF46" i="88"/>
  <c r="CG46" i="88"/>
  <c r="CA47" i="88"/>
  <c r="CB47" i="88"/>
  <c r="CC47" i="88"/>
  <c r="CD47" i="88"/>
  <c r="CE47" i="88"/>
  <c r="CF47" i="88"/>
  <c r="CG47" i="88"/>
  <c r="CA48" i="88"/>
  <c r="CB48" i="88"/>
  <c r="CC48" i="88"/>
  <c r="CD48" i="88"/>
  <c r="CE48" i="88"/>
  <c r="CF48" i="88"/>
  <c r="CG48" i="88"/>
  <c r="CB13" i="88"/>
  <c r="CC13" i="88"/>
  <c r="CD13" i="88"/>
  <c r="CE13" i="88"/>
  <c r="CF13" i="88"/>
  <c r="CG13" i="88"/>
  <c r="BP14" i="88"/>
  <c r="BQ14" i="88"/>
  <c r="BR14" i="88"/>
  <c r="BS14" i="88"/>
  <c r="BT14" i="88"/>
  <c r="BU14" i="88"/>
  <c r="BP15" i="88"/>
  <c r="BQ15" i="88"/>
  <c r="BR15" i="88"/>
  <c r="BS15" i="88"/>
  <c r="BT15" i="88"/>
  <c r="BU15" i="88"/>
  <c r="BP16" i="88"/>
  <c r="BQ16" i="88"/>
  <c r="BR16" i="88"/>
  <c r="BS16" i="88"/>
  <c r="BT16" i="88"/>
  <c r="BU16" i="88"/>
  <c r="BP17" i="88"/>
  <c r="BQ17" i="88"/>
  <c r="BR17" i="88"/>
  <c r="BS17" i="88"/>
  <c r="BT17" i="88"/>
  <c r="BU17" i="88"/>
  <c r="BP18" i="88"/>
  <c r="BQ18" i="88"/>
  <c r="BR18" i="88"/>
  <c r="BS18" i="88"/>
  <c r="BT18" i="88"/>
  <c r="BU18" i="88"/>
  <c r="BP19" i="88"/>
  <c r="BQ19" i="88"/>
  <c r="BR19" i="88"/>
  <c r="BS19" i="88"/>
  <c r="BT19" i="88"/>
  <c r="BU19" i="88"/>
  <c r="BP20" i="88"/>
  <c r="BQ20" i="88"/>
  <c r="BR20" i="88"/>
  <c r="BS20" i="88"/>
  <c r="BT20" i="88"/>
  <c r="BU20" i="88"/>
  <c r="BP21" i="88"/>
  <c r="BQ21" i="88"/>
  <c r="BR21" i="88"/>
  <c r="BS21" i="88"/>
  <c r="BT21" i="88"/>
  <c r="BU21" i="88"/>
  <c r="BP22" i="88"/>
  <c r="BQ22" i="88"/>
  <c r="BR22" i="88"/>
  <c r="BS22" i="88"/>
  <c r="BT22" i="88"/>
  <c r="BU22" i="88"/>
  <c r="BP23" i="88"/>
  <c r="BQ23" i="88"/>
  <c r="BR23" i="88"/>
  <c r="BS23" i="88"/>
  <c r="BT23" i="88"/>
  <c r="BU23" i="88"/>
  <c r="BP24" i="88"/>
  <c r="BQ24" i="88"/>
  <c r="BR24" i="88"/>
  <c r="BS24" i="88"/>
  <c r="BT24" i="88"/>
  <c r="BU24" i="88"/>
  <c r="BP25" i="88"/>
  <c r="BQ25" i="88"/>
  <c r="BR25" i="88"/>
  <c r="BS25" i="88"/>
  <c r="BT25" i="88"/>
  <c r="BU25" i="88"/>
  <c r="BP26" i="88"/>
  <c r="BQ26" i="88"/>
  <c r="BR26" i="88"/>
  <c r="BS26" i="88"/>
  <c r="BT26" i="88"/>
  <c r="BU26" i="88"/>
  <c r="BP27" i="88"/>
  <c r="BQ27" i="88"/>
  <c r="BR27" i="88"/>
  <c r="BS27" i="88"/>
  <c r="BT27" i="88"/>
  <c r="BU27" i="88"/>
  <c r="BP28" i="88"/>
  <c r="BQ28" i="88"/>
  <c r="BR28" i="88"/>
  <c r="BS28" i="88"/>
  <c r="BT28" i="88"/>
  <c r="BU28" i="88"/>
  <c r="BP29" i="88"/>
  <c r="BQ29" i="88"/>
  <c r="BR29" i="88"/>
  <c r="BS29" i="88"/>
  <c r="BT29" i="88"/>
  <c r="BU29" i="88"/>
  <c r="BP30" i="88"/>
  <c r="BQ30" i="88"/>
  <c r="BR30" i="88"/>
  <c r="BS30" i="88"/>
  <c r="BT30" i="88"/>
  <c r="BU30" i="88"/>
  <c r="BP31" i="88"/>
  <c r="BQ31" i="88"/>
  <c r="BR31" i="88"/>
  <c r="BS31" i="88"/>
  <c r="BT31" i="88"/>
  <c r="BU31" i="88"/>
  <c r="BP32" i="88"/>
  <c r="BQ32" i="88"/>
  <c r="BR32" i="88"/>
  <c r="BS32" i="88"/>
  <c r="BT32" i="88"/>
  <c r="BU32" i="88"/>
  <c r="BP33" i="88"/>
  <c r="BQ33" i="88"/>
  <c r="BR33" i="88"/>
  <c r="BS33" i="88"/>
  <c r="BT33" i="88"/>
  <c r="BU33" i="88"/>
  <c r="BP34" i="88"/>
  <c r="BQ34" i="88"/>
  <c r="BR34" i="88"/>
  <c r="BS34" i="88"/>
  <c r="BT34" i="88"/>
  <c r="BU34" i="88"/>
  <c r="BP35" i="88"/>
  <c r="BQ35" i="88"/>
  <c r="BR35" i="88"/>
  <c r="BS35" i="88"/>
  <c r="BT35" i="88"/>
  <c r="BU35" i="88"/>
  <c r="BP36" i="88"/>
  <c r="BQ36" i="88"/>
  <c r="BR36" i="88"/>
  <c r="BS36" i="88"/>
  <c r="BT36" i="88"/>
  <c r="BU36" i="88"/>
  <c r="BP37" i="88"/>
  <c r="BQ37" i="88"/>
  <c r="BR37" i="88"/>
  <c r="BS37" i="88"/>
  <c r="BT37" i="88"/>
  <c r="BU37" i="88"/>
  <c r="BP38" i="88"/>
  <c r="BQ38" i="88"/>
  <c r="BR38" i="88"/>
  <c r="BS38" i="88"/>
  <c r="BT38" i="88"/>
  <c r="BU38" i="88"/>
  <c r="BP39" i="88"/>
  <c r="BQ39" i="88"/>
  <c r="BR39" i="88"/>
  <c r="BS39" i="88"/>
  <c r="BT39" i="88"/>
  <c r="BU39" i="88"/>
  <c r="BP40" i="88"/>
  <c r="BQ40" i="88"/>
  <c r="BR40" i="88"/>
  <c r="BS40" i="88"/>
  <c r="BT40" i="88"/>
  <c r="BU40" i="88"/>
  <c r="BP41" i="88"/>
  <c r="BQ41" i="88"/>
  <c r="BR41" i="88"/>
  <c r="BS41" i="88"/>
  <c r="BT41" i="88"/>
  <c r="BU41" i="88"/>
  <c r="BP42" i="88"/>
  <c r="BQ42" i="88"/>
  <c r="BR42" i="88"/>
  <c r="BS42" i="88"/>
  <c r="BT42" i="88"/>
  <c r="BU42" i="88"/>
  <c r="BP43" i="88"/>
  <c r="BQ43" i="88"/>
  <c r="BR43" i="88"/>
  <c r="BS43" i="88"/>
  <c r="BT43" i="88"/>
  <c r="BU43" i="88"/>
  <c r="BP44" i="88"/>
  <c r="BQ44" i="88"/>
  <c r="BR44" i="88"/>
  <c r="BS44" i="88"/>
  <c r="BT44" i="88"/>
  <c r="BU44" i="88"/>
  <c r="BP45" i="88"/>
  <c r="BQ45" i="88"/>
  <c r="BR45" i="88"/>
  <c r="BS45" i="88"/>
  <c r="BT45" i="88"/>
  <c r="BU45" i="88"/>
  <c r="BP46" i="88"/>
  <c r="BQ46" i="88"/>
  <c r="BR46" i="88"/>
  <c r="BS46" i="88"/>
  <c r="BT46" i="88"/>
  <c r="BU46" i="88"/>
  <c r="BP47" i="88"/>
  <c r="BQ47" i="88"/>
  <c r="BR47" i="88"/>
  <c r="BS47" i="88"/>
  <c r="BT47" i="88"/>
  <c r="BU47" i="88"/>
  <c r="BP48" i="88"/>
  <c r="BQ48" i="88"/>
  <c r="BR48" i="88"/>
  <c r="BS48" i="88"/>
  <c r="BT48" i="88"/>
  <c r="BU48" i="88"/>
  <c r="BP49" i="88"/>
  <c r="BQ49" i="88"/>
  <c r="BR49" i="88"/>
  <c r="BS49" i="88"/>
  <c r="BT49" i="88"/>
  <c r="BU49" i="88"/>
  <c r="BP50" i="88"/>
  <c r="BQ50" i="88"/>
  <c r="BR50" i="88"/>
  <c r="BS50" i="88"/>
  <c r="BT50" i="88"/>
  <c r="BU50" i="88"/>
  <c r="BP51" i="88"/>
  <c r="BQ51" i="88"/>
  <c r="BR51" i="88"/>
  <c r="BS51" i="88"/>
  <c r="BT51" i="88"/>
  <c r="BU51" i="88"/>
  <c r="BP52" i="88"/>
  <c r="BQ52" i="88"/>
  <c r="BR52" i="88"/>
  <c r="BS52" i="88"/>
  <c r="BT52" i="88"/>
  <c r="BU52" i="88"/>
  <c r="BP53" i="88"/>
  <c r="BQ53" i="88"/>
  <c r="BR53" i="88"/>
  <c r="BS53" i="88"/>
  <c r="BT53" i="88"/>
  <c r="BU53" i="88"/>
  <c r="BP54" i="88"/>
  <c r="BQ54" i="88"/>
  <c r="BR54" i="88"/>
  <c r="BS54" i="88"/>
  <c r="BT54" i="88"/>
  <c r="BU54" i="88"/>
  <c r="BP55" i="88"/>
  <c r="BQ55" i="88"/>
  <c r="BR55" i="88"/>
  <c r="BS55" i="88"/>
  <c r="BT55" i="88"/>
  <c r="BU55" i="88"/>
  <c r="BP56" i="88"/>
  <c r="BQ56" i="88"/>
  <c r="BR56" i="88"/>
  <c r="BS56" i="88"/>
  <c r="BT56" i="88"/>
  <c r="BU56" i="88"/>
  <c r="BQ13" i="88"/>
  <c r="BR13" i="88"/>
  <c r="BS13" i="88"/>
  <c r="BT13" i="88"/>
  <c r="BU13" i="88"/>
  <c r="BD6" i="88"/>
  <c r="BE6" i="88"/>
  <c r="BF6" i="88"/>
  <c r="BG6" i="88"/>
  <c r="BH6" i="88"/>
  <c r="BI6" i="88"/>
  <c r="BD7" i="88"/>
  <c r="BE7" i="88"/>
  <c r="BF7" i="88"/>
  <c r="BG7" i="88"/>
  <c r="BH7" i="88"/>
  <c r="BI7" i="88"/>
  <c r="BD8" i="88"/>
  <c r="BE8" i="88"/>
  <c r="BF8" i="88"/>
  <c r="BG8" i="88"/>
  <c r="BH8" i="88"/>
  <c r="BI8" i="88"/>
  <c r="BD9" i="88"/>
  <c r="BE9" i="88"/>
  <c r="BF9" i="88"/>
  <c r="BG9" i="88"/>
  <c r="BH9" i="88"/>
  <c r="BI9" i="88"/>
  <c r="BD10" i="88"/>
  <c r="BE10" i="88"/>
  <c r="BF10" i="88"/>
  <c r="BG10" i="88"/>
  <c r="BH10" i="88"/>
  <c r="BI10" i="88"/>
  <c r="BD11" i="88"/>
  <c r="BE11" i="88"/>
  <c r="BF11" i="88"/>
  <c r="BG11" i="88"/>
  <c r="BH11" i="88"/>
  <c r="BI11" i="88"/>
  <c r="BD12" i="88"/>
  <c r="BE12" i="88"/>
  <c r="BF12" i="88"/>
  <c r="BG12" i="88"/>
  <c r="BH12" i="88"/>
  <c r="BI12" i="88"/>
  <c r="BD13" i="88"/>
  <c r="BE13" i="88"/>
  <c r="BF13" i="88"/>
  <c r="BG13" i="88"/>
  <c r="BH13" i="88"/>
  <c r="BI13" i="88"/>
  <c r="BD14" i="88"/>
  <c r="BE14" i="88"/>
  <c r="BF14" i="88"/>
  <c r="BG14" i="88"/>
  <c r="BH14" i="88"/>
  <c r="BI14" i="88"/>
  <c r="BD15" i="88"/>
  <c r="BE15" i="88"/>
  <c r="BF15" i="88"/>
  <c r="BG15" i="88"/>
  <c r="BH15" i="88"/>
  <c r="BI15" i="88"/>
  <c r="BD16" i="88"/>
  <c r="BE16" i="88"/>
  <c r="BF16" i="88"/>
  <c r="BG16" i="88"/>
  <c r="BH16" i="88"/>
  <c r="BI16" i="88"/>
  <c r="BD17" i="88"/>
  <c r="BE17" i="88"/>
  <c r="BF17" i="88"/>
  <c r="BG17" i="88"/>
  <c r="BH17" i="88"/>
  <c r="BI17" i="88"/>
  <c r="BD18" i="88"/>
  <c r="BE18" i="88"/>
  <c r="BF18" i="88"/>
  <c r="BG18" i="88"/>
  <c r="BH18" i="88"/>
  <c r="BI18" i="88"/>
  <c r="BD19" i="88"/>
  <c r="BE19" i="88"/>
  <c r="BF19" i="88"/>
  <c r="BG19" i="88"/>
  <c r="BH19" i="88"/>
  <c r="BI19" i="88"/>
  <c r="BD20" i="88"/>
  <c r="BE20" i="88"/>
  <c r="BF20" i="88"/>
  <c r="BG20" i="88"/>
  <c r="BH20" i="88"/>
  <c r="BI20" i="88"/>
  <c r="BD21" i="88"/>
  <c r="BE21" i="88"/>
  <c r="BF21" i="88"/>
  <c r="BG21" i="88"/>
  <c r="BH21" i="88"/>
  <c r="BI21" i="88"/>
  <c r="BD22" i="88"/>
  <c r="BE22" i="88"/>
  <c r="BF22" i="88"/>
  <c r="BG22" i="88"/>
  <c r="BH22" i="88"/>
  <c r="BI22" i="88"/>
  <c r="BD23" i="88"/>
  <c r="BE23" i="88"/>
  <c r="BF23" i="88"/>
  <c r="BG23" i="88"/>
  <c r="BH23" i="88"/>
  <c r="BI23" i="88"/>
  <c r="BD24" i="88"/>
  <c r="BE24" i="88"/>
  <c r="BF24" i="88"/>
  <c r="BG24" i="88"/>
  <c r="BH24" i="88"/>
  <c r="BI24" i="88"/>
  <c r="BD25" i="88"/>
  <c r="BE25" i="88"/>
  <c r="BF25" i="88"/>
  <c r="BG25" i="88"/>
  <c r="BH25" i="88"/>
  <c r="BI25" i="88"/>
  <c r="BD26" i="88"/>
  <c r="BE26" i="88"/>
  <c r="BF26" i="88"/>
  <c r="BG26" i="88"/>
  <c r="BH26" i="88"/>
  <c r="BI26" i="88"/>
  <c r="BD27" i="88"/>
  <c r="BE27" i="88"/>
  <c r="BF27" i="88"/>
  <c r="BG27" i="88"/>
  <c r="BH27" i="88"/>
  <c r="BI27" i="88"/>
  <c r="BD28" i="88"/>
  <c r="BE28" i="88"/>
  <c r="BF28" i="88"/>
  <c r="BG28" i="88"/>
  <c r="BH28" i="88"/>
  <c r="BI28" i="88"/>
  <c r="BD29" i="88"/>
  <c r="BE29" i="88"/>
  <c r="BF29" i="88"/>
  <c r="BG29" i="88"/>
  <c r="BH29" i="88"/>
  <c r="BI29" i="88"/>
  <c r="BD30" i="88"/>
  <c r="BE30" i="88"/>
  <c r="BF30" i="88"/>
  <c r="BG30" i="88"/>
  <c r="BH30" i="88"/>
  <c r="BI30" i="88"/>
  <c r="BD31" i="88"/>
  <c r="BE31" i="88"/>
  <c r="BF31" i="88"/>
  <c r="BG31" i="88"/>
  <c r="BH31" i="88"/>
  <c r="BI31" i="88"/>
  <c r="BD32" i="88"/>
  <c r="BE32" i="88"/>
  <c r="BF32" i="88"/>
  <c r="BG32" i="88"/>
  <c r="BH32" i="88"/>
  <c r="BI32" i="88"/>
  <c r="BD33" i="88"/>
  <c r="BE33" i="88"/>
  <c r="BF33" i="88"/>
  <c r="BG33" i="88"/>
  <c r="BH33" i="88"/>
  <c r="BI33" i="88"/>
  <c r="BD34" i="88"/>
  <c r="BE34" i="88"/>
  <c r="BF34" i="88"/>
  <c r="BG34" i="88"/>
  <c r="BH34" i="88"/>
  <c r="BI34" i="88"/>
  <c r="BD35" i="88"/>
  <c r="BE35" i="88"/>
  <c r="BF35" i="88"/>
  <c r="BG35" i="88"/>
  <c r="BH35" i="88"/>
  <c r="BI35" i="88"/>
  <c r="BD36" i="88"/>
  <c r="BE36" i="88"/>
  <c r="BF36" i="88"/>
  <c r="BG36" i="88"/>
  <c r="BH36" i="88"/>
  <c r="BI36" i="88"/>
  <c r="BD37" i="88"/>
  <c r="BE37" i="88"/>
  <c r="BF37" i="88"/>
  <c r="BG37" i="88"/>
  <c r="BH37" i="88"/>
  <c r="BI37" i="88"/>
  <c r="BD38" i="88"/>
  <c r="BE38" i="88"/>
  <c r="BF38" i="88"/>
  <c r="BG38" i="88"/>
  <c r="BH38" i="88"/>
  <c r="BI38" i="88"/>
  <c r="BD39" i="88"/>
  <c r="BE39" i="88"/>
  <c r="BF39" i="88"/>
  <c r="BG39" i="88"/>
  <c r="BH39" i="88"/>
  <c r="BI39" i="88"/>
  <c r="BD40" i="88"/>
  <c r="BE40" i="88"/>
  <c r="BF40" i="88"/>
  <c r="BG40" i="88"/>
  <c r="BH40" i="88"/>
  <c r="BI40" i="88"/>
  <c r="BD41" i="88"/>
  <c r="BE41" i="88"/>
  <c r="BF41" i="88"/>
  <c r="BG41" i="88"/>
  <c r="BH41" i="88"/>
  <c r="BI41" i="88"/>
  <c r="BD42" i="88"/>
  <c r="BE42" i="88"/>
  <c r="BF42" i="88"/>
  <c r="BG42" i="88"/>
  <c r="BH42" i="88"/>
  <c r="BI42" i="88"/>
  <c r="BD43" i="88"/>
  <c r="BE43" i="88"/>
  <c r="BF43" i="88"/>
  <c r="BG43" i="88"/>
  <c r="BH43" i="88"/>
  <c r="BI43" i="88"/>
  <c r="BD44" i="88"/>
  <c r="BE44" i="88"/>
  <c r="BF44" i="88"/>
  <c r="BG44" i="88"/>
  <c r="BH44" i="88"/>
  <c r="BI44" i="88"/>
  <c r="BD45" i="88"/>
  <c r="BE45" i="88"/>
  <c r="BF45" i="88"/>
  <c r="BG45" i="88"/>
  <c r="BH45" i="88"/>
  <c r="BI45" i="88"/>
  <c r="BD46" i="88"/>
  <c r="BE46" i="88"/>
  <c r="BF46" i="88"/>
  <c r="BG46" i="88"/>
  <c r="BH46" i="88"/>
  <c r="BI46" i="88"/>
  <c r="BD47" i="88"/>
  <c r="BE47" i="88"/>
  <c r="BF47" i="88"/>
  <c r="BG47" i="88"/>
  <c r="BH47" i="88"/>
  <c r="BI47" i="88"/>
  <c r="BD48" i="88"/>
  <c r="BE48" i="88"/>
  <c r="BF48" i="88"/>
  <c r="BG48" i="88"/>
  <c r="BH48" i="88"/>
  <c r="BI48" i="88"/>
  <c r="BD49" i="88"/>
  <c r="BE49" i="88"/>
  <c r="BF49" i="88"/>
  <c r="BG49" i="88"/>
  <c r="BH49" i="88"/>
  <c r="BI49" i="88"/>
  <c r="BD50" i="88"/>
  <c r="BE50" i="88"/>
  <c r="BF50" i="88"/>
  <c r="BG50" i="88"/>
  <c r="BH50" i="88"/>
  <c r="BI50" i="88"/>
  <c r="BD51" i="88"/>
  <c r="BE51" i="88"/>
  <c r="BF51" i="88"/>
  <c r="BG51" i="88"/>
  <c r="BH51" i="88"/>
  <c r="BI51" i="88"/>
  <c r="BD52" i="88"/>
  <c r="BE52" i="88"/>
  <c r="BF52" i="88"/>
  <c r="BG52" i="88"/>
  <c r="BH52" i="88"/>
  <c r="BI52" i="88"/>
  <c r="BD53" i="88"/>
  <c r="BE53" i="88"/>
  <c r="BF53" i="88"/>
  <c r="BG53" i="88"/>
  <c r="BH53" i="88"/>
  <c r="BI53" i="88"/>
  <c r="BD54" i="88"/>
  <c r="BE54" i="88"/>
  <c r="BF54" i="88"/>
  <c r="BG54" i="88"/>
  <c r="BH54" i="88"/>
  <c r="BI54" i="88"/>
  <c r="BD55" i="88"/>
  <c r="BE55" i="88"/>
  <c r="BF55" i="88"/>
  <c r="BG55" i="88"/>
  <c r="BH55" i="88"/>
  <c r="BI55" i="88"/>
  <c r="BD56" i="88"/>
  <c r="BE56" i="88"/>
  <c r="BF56" i="88"/>
  <c r="BG56" i="88"/>
  <c r="BH56" i="88"/>
  <c r="BI56" i="88"/>
  <c r="BD57" i="88"/>
  <c r="BE57" i="88"/>
  <c r="BF57" i="88"/>
  <c r="BG57" i="88"/>
  <c r="BH57" i="88"/>
  <c r="BI57" i="88"/>
  <c r="BD58" i="88"/>
  <c r="BE58" i="88"/>
  <c r="BF58" i="88"/>
  <c r="BG58" i="88"/>
  <c r="BH58" i="88"/>
  <c r="BI58" i="88"/>
  <c r="BD59" i="88"/>
  <c r="BE59" i="88"/>
  <c r="BF59" i="88"/>
  <c r="BG59" i="88"/>
  <c r="BH59" i="88"/>
  <c r="BI59" i="88"/>
  <c r="BD60" i="88"/>
  <c r="BE60" i="88"/>
  <c r="BF60" i="88"/>
  <c r="BG60" i="88"/>
  <c r="BH60" i="88"/>
  <c r="BI60" i="88"/>
  <c r="BD61" i="88"/>
  <c r="BE61" i="88"/>
  <c r="BF61" i="88"/>
  <c r="BG61" i="88"/>
  <c r="BH61" i="88"/>
  <c r="BI61" i="88"/>
  <c r="BD62" i="88"/>
  <c r="BE62" i="88"/>
  <c r="BF62" i="88"/>
  <c r="BG62" i="88"/>
  <c r="BH62" i="88"/>
  <c r="BI62" i="88"/>
  <c r="BD63" i="88"/>
  <c r="BE63" i="88"/>
  <c r="BF63" i="88"/>
  <c r="BG63" i="88"/>
  <c r="BH63" i="88"/>
  <c r="BI63" i="88"/>
  <c r="BD64" i="88"/>
  <c r="BE64" i="88"/>
  <c r="BF64" i="88"/>
  <c r="BG64" i="88"/>
  <c r="BH64" i="88"/>
  <c r="BI64" i="88"/>
  <c r="BD65" i="88"/>
  <c r="BE65" i="88"/>
  <c r="BF65" i="88"/>
  <c r="BG65" i="88"/>
  <c r="BH65" i="88"/>
  <c r="BI65" i="88"/>
  <c r="BD66" i="88"/>
  <c r="BE66" i="88"/>
  <c r="BF66" i="88"/>
  <c r="BG66" i="88"/>
  <c r="BH66" i="88"/>
  <c r="BI66" i="88"/>
  <c r="BD67" i="88"/>
  <c r="BE67" i="88"/>
  <c r="BF67" i="88"/>
  <c r="BG67" i="88"/>
  <c r="BH67" i="88"/>
  <c r="BI67" i="88"/>
  <c r="BD68" i="88"/>
  <c r="BE68" i="88"/>
  <c r="BF68" i="88"/>
  <c r="BG68" i="88"/>
  <c r="BH68" i="88"/>
  <c r="BI68" i="88"/>
  <c r="BE5" i="88"/>
  <c r="BF5" i="88"/>
  <c r="BG5" i="88"/>
  <c r="BH5" i="88"/>
  <c r="BI5" i="88"/>
  <c r="AR6" i="88"/>
  <c r="AS6" i="88"/>
  <c r="AT6" i="88"/>
  <c r="AU6" i="88"/>
  <c r="AV6" i="88"/>
  <c r="AW6" i="88"/>
  <c r="AR7" i="88"/>
  <c r="AS7" i="88"/>
  <c r="AT7" i="88"/>
  <c r="AU7" i="88"/>
  <c r="AV7" i="88"/>
  <c r="AW7" i="88"/>
  <c r="AR8" i="88"/>
  <c r="AS8" i="88"/>
  <c r="AT8" i="88"/>
  <c r="AU8" i="88"/>
  <c r="AV8" i="88"/>
  <c r="AW8" i="88"/>
  <c r="AR9" i="88"/>
  <c r="AS9" i="88"/>
  <c r="AT9" i="88"/>
  <c r="AU9" i="88"/>
  <c r="AV9" i="88"/>
  <c r="AW9" i="88"/>
  <c r="AR10" i="88"/>
  <c r="AS10" i="88"/>
  <c r="AT10" i="88"/>
  <c r="AU10" i="88"/>
  <c r="AV10" i="88"/>
  <c r="AW10" i="88"/>
  <c r="AR11" i="88"/>
  <c r="AS11" i="88"/>
  <c r="AT11" i="88"/>
  <c r="AU11" i="88"/>
  <c r="AV11" i="88"/>
  <c r="AW11" i="88"/>
  <c r="AR12" i="88"/>
  <c r="AS12" i="88"/>
  <c r="AT12" i="88"/>
  <c r="AU12" i="88"/>
  <c r="AV12" i="88"/>
  <c r="AW12" i="88"/>
  <c r="AR13" i="88"/>
  <c r="AS13" i="88"/>
  <c r="AT13" i="88"/>
  <c r="AU13" i="88"/>
  <c r="AV13" i="88"/>
  <c r="AW13" i="88"/>
  <c r="AR14" i="88"/>
  <c r="AS14" i="88"/>
  <c r="AT14" i="88"/>
  <c r="AU14" i="88"/>
  <c r="AV14" i="88"/>
  <c r="AW14" i="88"/>
  <c r="AR15" i="88"/>
  <c r="AS15" i="88"/>
  <c r="AT15" i="88"/>
  <c r="AU15" i="88"/>
  <c r="AV15" i="88"/>
  <c r="AW15" i="88"/>
  <c r="AR16" i="88"/>
  <c r="AS16" i="88"/>
  <c r="AT16" i="88"/>
  <c r="AU16" i="88"/>
  <c r="AV16" i="88"/>
  <c r="AW16" i="88"/>
  <c r="AR17" i="88"/>
  <c r="AS17" i="88"/>
  <c r="AT17" i="88"/>
  <c r="AU17" i="88"/>
  <c r="AV17" i="88"/>
  <c r="AW17" i="88"/>
  <c r="AR18" i="88"/>
  <c r="AS18" i="88"/>
  <c r="AT18" i="88"/>
  <c r="AU18" i="88"/>
  <c r="AV18" i="88"/>
  <c r="AW18" i="88"/>
  <c r="AR19" i="88"/>
  <c r="AS19" i="88"/>
  <c r="AT19" i="88"/>
  <c r="AU19" i="88"/>
  <c r="AV19" i="88"/>
  <c r="AW19" i="88"/>
  <c r="AR20" i="88"/>
  <c r="AS20" i="88"/>
  <c r="AT20" i="88"/>
  <c r="AU20" i="88"/>
  <c r="AV20" i="88"/>
  <c r="AW20" i="88"/>
  <c r="AR21" i="88"/>
  <c r="AS21" i="88"/>
  <c r="AT21" i="88"/>
  <c r="AU21" i="88"/>
  <c r="AV21" i="88"/>
  <c r="AW21" i="88"/>
  <c r="AR22" i="88"/>
  <c r="AS22" i="88"/>
  <c r="AT22" i="88"/>
  <c r="AU22" i="88"/>
  <c r="AV22" i="88"/>
  <c r="AW22" i="88"/>
  <c r="AR23" i="88"/>
  <c r="AS23" i="88"/>
  <c r="AT23" i="88"/>
  <c r="AU23" i="88"/>
  <c r="AV23" i="88"/>
  <c r="AW23" i="88"/>
  <c r="AR24" i="88"/>
  <c r="AS24" i="88"/>
  <c r="AT24" i="88"/>
  <c r="AU24" i="88"/>
  <c r="AV24" i="88"/>
  <c r="AW24" i="88"/>
  <c r="AR25" i="88"/>
  <c r="AS25" i="88"/>
  <c r="AT25" i="88"/>
  <c r="AU25" i="88"/>
  <c r="AV25" i="88"/>
  <c r="AW25" i="88"/>
  <c r="AR26" i="88"/>
  <c r="AS26" i="88"/>
  <c r="AT26" i="88"/>
  <c r="AU26" i="88"/>
  <c r="AV26" i="88"/>
  <c r="AW26" i="88"/>
  <c r="AR27" i="88"/>
  <c r="AS27" i="88"/>
  <c r="AT27" i="88"/>
  <c r="AU27" i="88"/>
  <c r="AV27" i="88"/>
  <c r="AW27" i="88"/>
  <c r="AR28" i="88"/>
  <c r="AS28" i="88"/>
  <c r="AT28" i="88"/>
  <c r="AU28" i="88"/>
  <c r="AV28" i="88"/>
  <c r="AW28" i="88"/>
  <c r="AR29" i="88"/>
  <c r="AS29" i="88"/>
  <c r="AT29" i="88"/>
  <c r="AU29" i="88"/>
  <c r="AV29" i="88"/>
  <c r="AW29" i="88"/>
  <c r="AR30" i="88"/>
  <c r="AS30" i="88"/>
  <c r="AT30" i="88"/>
  <c r="AU30" i="88"/>
  <c r="AV30" i="88"/>
  <c r="AW30" i="88"/>
  <c r="AR31" i="88"/>
  <c r="AS31" i="88"/>
  <c r="AT31" i="88"/>
  <c r="AU31" i="88"/>
  <c r="AV31" i="88"/>
  <c r="AW31" i="88"/>
  <c r="AR32" i="88"/>
  <c r="AS32" i="88"/>
  <c r="AT32" i="88"/>
  <c r="AU32" i="88"/>
  <c r="AV32" i="88"/>
  <c r="AW32" i="88"/>
  <c r="AR33" i="88"/>
  <c r="AS33" i="88"/>
  <c r="AT33" i="88"/>
  <c r="AU33" i="88"/>
  <c r="AV33" i="88"/>
  <c r="AW33" i="88"/>
  <c r="AR34" i="88"/>
  <c r="AS34" i="88"/>
  <c r="AT34" i="88"/>
  <c r="AU34" i="88"/>
  <c r="AV34" i="88"/>
  <c r="AW34" i="88"/>
  <c r="AR35" i="88"/>
  <c r="AS35" i="88"/>
  <c r="AT35" i="88"/>
  <c r="AU35" i="88"/>
  <c r="AV35" i="88"/>
  <c r="AW35" i="88"/>
  <c r="AR36" i="88"/>
  <c r="AS36" i="88"/>
  <c r="AT36" i="88"/>
  <c r="AU36" i="88"/>
  <c r="AV36" i="88"/>
  <c r="AW36" i="88"/>
  <c r="AR37" i="88"/>
  <c r="AS37" i="88"/>
  <c r="AT37" i="88"/>
  <c r="AU37" i="88"/>
  <c r="AV37" i="88"/>
  <c r="AW37" i="88"/>
  <c r="AR38" i="88"/>
  <c r="AS38" i="88"/>
  <c r="AT38" i="88"/>
  <c r="AU38" i="88"/>
  <c r="AV38" i="88"/>
  <c r="AW38" i="88"/>
  <c r="AR39" i="88"/>
  <c r="AS39" i="88"/>
  <c r="AT39" i="88"/>
  <c r="AU39" i="88"/>
  <c r="AV39" i="88"/>
  <c r="AW39" i="88"/>
  <c r="AR40" i="88"/>
  <c r="AS40" i="88"/>
  <c r="AT40" i="88"/>
  <c r="AU40" i="88"/>
  <c r="AV40" i="88"/>
  <c r="AW40" i="88"/>
  <c r="AR41" i="88"/>
  <c r="AS41" i="88"/>
  <c r="AT41" i="88"/>
  <c r="AU41" i="88"/>
  <c r="AV41" i="88"/>
  <c r="AW41" i="88"/>
  <c r="AR42" i="88"/>
  <c r="AS42" i="88"/>
  <c r="AT42" i="88"/>
  <c r="AU42" i="88"/>
  <c r="AV42" i="88"/>
  <c r="AW42" i="88"/>
  <c r="AR43" i="88"/>
  <c r="AS43" i="88"/>
  <c r="AT43" i="88"/>
  <c r="AU43" i="88"/>
  <c r="AV43" i="88"/>
  <c r="AW43" i="88"/>
  <c r="AR44" i="88"/>
  <c r="AS44" i="88"/>
  <c r="AT44" i="88"/>
  <c r="AU44" i="88"/>
  <c r="AV44" i="88"/>
  <c r="AW44" i="88"/>
  <c r="AR45" i="88"/>
  <c r="AS45" i="88"/>
  <c r="AT45" i="88"/>
  <c r="AU45" i="88"/>
  <c r="AV45" i="88"/>
  <c r="AW45" i="88"/>
  <c r="AR46" i="88"/>
  <c r="AS46" i="88"/>
  <c r="AT46" i="88"/>
  <c r="AU46" i="88"/>
  <c r="AV46" i="88"/>
  <c r="AW46" i="88"/>
  <c r="AR47" i="88"/>
  <c r="AS47" i="88"/>
  <c r="AT47" i="88"/>
  <c r="AU47" i="88"/>
  <c r="AV47" i="88"/>
  <c r="AW47" i="88"/>
  <c r="AR48" i="88"/>
  <c r="AS48" i="88"/>
  <c r="AT48" i="88"/>
  <c r="AU48" i="88"/>
  <c r="AV48" i="88"/>
  <c r="AW48" i="88"/>
  <c r="AR49" i="88"/>
  <c r="AS49" i="88"/>
  <c r="AT49" i="88"/>
  <c r="AU49" i="88"/>
  <c r="AV49" i="88"/>
  <c r="AW49" i="88"/>
  <c r="AR50" i="88"/>
  <c r="AS50" i="88"/>
  <c r="AT50" i="88"/>
  <c r="AU50" i="88"/>
  <c r="AV50" i="88"/>
  <c r="AW50" i="88"/>
  <c r="AR51" i="88"/>
  <c r="AS51" i="88"/>
  <c r="AT51" i="88"/>
  <c r="AU51" i="88"/>
  <c r="AV51" i="88"/>
  <c r="AW51" i="88"/>
  <c r="AR52" i="88"/>
  <c r="AS52" i="88"/>
  <c r="AT52" i="88"/>
  <c r="AU52" i="88"/>
  <c r="AV52" i="88"/>
  <c r="AW52" i="88"/>
  <c r="AR53" i="88"/>
  <c r="AS53" i="88"/>
  <c r="AT53" i="88"/>
  <c r="AU53" i="88"/>
  <c r="AV53" i="88"/>
  <c r="AW53" i="88"/>
  <c r="AR54" i="88"/>
  <c r="AS54" i="88"/>
  <c r="AT54" i="88"/>
  <c r="AU54" i="88"/>
  <c r="AV54" i="88"/>
  <c r="AW54" i="88"/>
  <c r="AR55" i="88"/>
  <c r="AS55" i="88"/>
  <c r="AT55" i="88"/>
  <c r="AU55" i="88"/>
  <c r="AV55" i="88"/>
  <c r="AW55" i="88"/>
  <c r="AR56" i="88"/>
  <c r="AS56" i="88"/>
  <c r="AT56" i="88"/>
  <c r="AU56" i="88"/>
  <c r="AV56" i="88"/>
  <c r="AW56" i="88"/>
  <c r="AR57" i="88"/>
  <c r="AS57" i="88"/>
  <c r="AT57" i="88"/>
  <c r="AU57" i="88"/>
  <c r="AV57" i="88"/>
  <c r="AW57" i="88"/>
  <c r="AR58" i="88"/>
  <c r="AS58" i="88"/>
  <c r="AT58" i="88"/>
  <c r="AU58" i="88"/>
  <c r="AV58" i="88"/>
  <c r="AW58" i="88"/>
  <c r="AR59" i="88"/>
  <c r="AS59" i="88"/>
  <c r="AT59" i="88"/>
  <c r="AU59" i="88"/>
  <c r="AV59" i="88"/>
  <c r="AW59" i="88"/>
  <c r="AR60" i="88"/>
  <c r="AS60" i="88"/>
  <c r="AT60" i="88"/>
  <c r="AU60" i="88"/>
  <c r="AV60" i="88"/>
  <c r="AW60" i="88"/>
  <c r="AR61" i="88"/>
  <c r="AS61" i="88"/>
  <c r="AT61" i="88"/>
  <c r="AU61" i="88"/>
  <c r="AV61" i="88"/>
  <c r="AW61" i="88"/>
  <c r="AR62" i="88"/>
  <c r="AS62" i="88"/>
  <c r="AT62" i="88"/>
  <c r="AU62" i="88"/>
  <c r="AV62" i="88"/>
  <c r="AW62" i="88"/>
  <c r="AR63" i="88"/>
  <c r="AS63" i="88"/>
  <c r="AT63" i="88"/>
  <c r="AU63" i="88"/>
  <c r="AV63" i="88"/>
  <c r="AW63" i="88"/>
  <c r="AR64" i="88"/>
  <c r="AS64" i="88"/>
  <c r="AT64" i="88"/>
  <c r="AU64" i="88"/>
  <c r="AV64" i="88"/>
  <c r="AW64" i="88"/>
  <c r="AR65" i="88"/>
  <c r="AS65" i="88"/>
  <c r="AT65" i="88"/>
  <c r="AU65" i="88"/>
  <c r="AV65" i="88"/>
  <c r="AW65" i="88"/>
  <c r="AR66" i="88"/>
  <c r="AS66" i="88"/>
  <c r="AT66" i="88"/>
  <c r="AU66" i="88"/>
  <c r="AV66" i="88"/>
  <c r="AW66" i="88"/>
  <c r="AR67" i="88"/>
  <c r="AS67" i="88"/>
  <c r="AT67" i="88"/>
  <c r="AU67" i="88"/>
  <c r="AV67" i="88"/>
  <c r="AW67" i="88"/>
  <c r="AR68" i="88"/>
  <c r="AS68" i="88"/>
  <c r="AT68" i="88"/>
  <c r="AU68" i="88"/>
  <c r="AV68" i="88"/>
  <c r="AW68" i="88"/>
  <c r="AS5" i="88"/>
  <c r="AT5" i="88"/>
  <c r="AU5" i="88"/>
  <c r="AV5" i="88"/>
  <c r="AW5" i="88"/>
  <c r="AF6" i="88"/>
  <c r="AG6" i="88"/>
  <c r="AH6" i="88"/>
  <c r="AI6" i="88"/>
  <c r="AJ6" i="88"/>
  <c r="AK6" i="88"/>
  <c r="AF7" i="88"/>
  <c r="AG7" i="88"/>
  <c r="AH7" i="88"/>
  <c r="AI7" i="88"/>
  <c r="AJ7" i="88"/>
  <c r="AK7" i="88"/>
  <c r="AF8" i="88"/>
  <c r="AG8" i="88"/>
  <c r="AH8" i="88"/>
  <c r="AI8" i="88"/>
  <c r="AJ8" i="88"/>
  <c r="AK8" i="88"/>
  <c r="AF9" i="88"/>
  <c r="AG9" i="88"/>
  <c r="AH9" i="88"/>
  <c r="AI9" i="88"/>
  <c r="AJ9" i="88"/>
  <c r="AK9" i="88"/>
  <c r="AF10" i="88"/>
  <c r="AG10" i="88"/>
  <c r="AH10" i="88"/>
  <c r="AI10" i="88"/>
  <c r="AJ10" i="88"/>
  <c r="AK10" i="88"/>
  <c r="AF11" i="88"/>
  <c r="AG11" i="88"/>
  <c r="AH11" i="88"/>
  <c r="AI11" i="88"/>
  <c r="AJ11" i="88"/>
  <c r="AK11" i="88"/>
  <c r="AF12" i="88"/>
  <c r="AG12" i="88"/>
  <c r="AH12" i="88"/>
  <c r="AI12" i="88"/>
  <c r="AJ12" i="88"/>
  <c r="AK12" i="88"/>
  <c r="AF13" i="88"/>
  <c r="AG13" i="88"/>
  <c r="AH13" i="88"/>
  <c r="AI13" i="88"/>
  <c r="AJ13" i="88"/>
  <c r="AK13" i="88"/>
  <c r="AF14" i="88"/>
  <c r="AG14" i="88"/>
  <c r="AH14" i="88"/>
  <c r="AI14" i="88"/>
  <c r="AJ14" i="88"/>
  <c r="AK14" i="88"/>
  <c r="AF15" i="88"/>
  <c r="AG15" i="88"/>
  <c r="AH15" i="88"/>
  <c r="AI15" i="88"/>
  <c r="AJ15" i="88"/>
  <c r="AK15" i="88"/>
  <c r="AF16" i="88"/>
  <c r="AG16" i="88"/>
  <c r="AH16" i="88"/>
  <c r="AI16" i="88"/>
  <c r="AJ16" i="88"/>
  <c r="AK16" i="88"/>
  <c r="AF17" i="88"/>
  <c r="AG17" i="88"/>
  <c r="AH17" i="88"/>
  <c r="AI17" i="88"/>
  <c r="AJ17" i="88"/>
  <c r="AK17" i="88"/>
  <c r="AF18" i="88"/>
  <c r="AG18" i="88"/>
  <c r="AH18" i="88"/>
  <c r="AI18" i="88"/>
  <c r="AJ18" i="88"/>
  <c r="AK18" i="88"/>
  <c r="AF19" i="88"/>
  <c r="AG19" i="88"/>
  <c r="AH19" i="88"/>
  <c r="AI19" i="88"/>
  <c r="AJ19" i="88"/>
  <c r="AK19" i="88"/>
  <c r="AF20" i="88"/>
  <c r="AG20" i="88"/>
  <c r="AH20" i="88"/>
  <c r="AI20" i="88"/>
  <c r="AJ20" i="88"/>
  <c r="AK20" i="88"/>
  <c r="AF21" i="88"/>
  <c r="AG21" i="88"/>
  <c r="AH21" i="88"/>
  <c r="AI21" i="88"/>
  <c r="AJ21" i="88"/>
  <c r="AK21" i="88"/>
  <c r="AF22" i="88"/>
  <c r="AG22" i="88"/>
  <c r="AH22" i="88"/>
  <c r="AI22" i="88"/>
  <c r="AJ22" i="88"/>
  <c r="AK22" i="88"/>
  <c r="AF23" i="88"/>
  <c r="AG23" i="88"/>
  <c r="AH23" i="88"/>
  <c r="AI23" i="88"/>
  <c r="AJ23" i="88"/>
  <c r="AK23" i="88"/>
  <c r="AF24" i="88"/>
  <c r="AG24" i="88"/>
  <c r="AH24" i="88"/>
  <c r="AI24" i="88"/>
  <c r="AJ24" i="88"/>
  <c r="AK24" i="88"/>
  <c r="AF25" i="88"/>
  <c r="AG25" i="88"/>
  <c r="AH25" i="88"/>
  <c r="AI25" i="88"/>
  <c r="AJ25" i="88"/>
  <c r="AK25" i="88"/>
  <c r="AF26" i="88"/>
  <c r="AG26" i="88"/>
  <c r="AH26" i="88"/>
  <c r="AI26" i="88"/>
  <c r="AJ26" i="88"/>
  <c r="AK26" i="88"/>
  <c r="AF27" i="88"/>
  <c r="AG27" i="88"/>
  <c r="AH27" i="88"/>
  <c r="AI27" i="88"/>
  <c r="AJ27" i="88"/>
  <c r="AK27" i="88"/>
  <c r="AF28" i="88"/>
  <c r="AG28" i="88"/>
  <c r="AH28" i="88"/>
  <c r="AI28" i="88"/>
  <c r="AJ28" i="88"/>
  <c r="AK28" i="88"/>
  <c r="AF29" i="88"/>
  <c r="AG29" i="88"/>
  <c r="AH29" i="88"/>
  <c r="AI29" i="88"/>
  <c r="AJ29" i="88"/>
  <c r="AK29" i="88"/>
  <c r="AF30" i="88"/>
  <c r="AG30" i="88"/>
  <c r="AH30" i="88"/>
  <c r="AI30" i="88"/>
  <c r="AJ30" i="88"/>
  <c r="AK30" i="88"/>
  <c r="AF31" i="88"/>
  <c r="AG31" i="88"/>
  <c r="AH31" i="88"/>
  <c r="AI31" i="88"/>
  <c r="AJ31" i="88"/>
  <c r="AK31" i="88"/>
  <c r="AF32" i="88"/>
  <c r="AG32" i="88"/>
  <c r="AH32" i="88"/>
  <c r="AI32" i="88"/>
  <c r="AJ32" i="88"/>
  <c r="AK32" i="88"/>
  <c r="AF33" i="88"/>
  <c r="AG33" i="88"/>
  <c r="AH33" i="88"/>
  <c r="AI33" i="88"/>
  <c r="AJ33" i="88"/>
  <c r="AK33" i="88"/>
  <c r="AF34" i="88"/>
  <c r="AG34" i="88"/>
  <c r="AH34" i="88"/>
  <c r="AI34" i="88"/>
  <c r="AJ34" i="88"/>
  <c r="AK34" i="88"/>
  <c r="AF35" i="88"/>
  <c r="AG35" i="88"/>
  <c r="AH35" i="88"/>
  <c r="AI35" i="88"/>
  <c r="AJ35" i="88"/>
  <c r="AK35" i="88"/>
  <c r="AF36" i="88"/>
  <c r="AG36" i="88"/>
  <c r="AH36" i="88"/>
  <c r="AI36" i="88"/>
  <c r="AJ36" i="88"/>
  <c r="AK36" i="88"/>
  <c r="AF37" i="88"/>
  <c r="AG37" i="88"/>
  <c r="AH37" i="88"/>
  <c r="AI37" i="88"/>
  <c r="AJ37" i="88"/>
  <c r="AK37" i="88"/>
  <c r="AF38" i="88"/>
  <c r="AG38" i="88"/>
  <c r="AH38" i="88"/>
  <c r="AI38" i="88"/>
  <c r="AJ38" i="88"/>
  <c r="AK38" i="88"/>
  <c r="AF39" i="88"/>
  <c r="AG39" i="88"/>
  <c r="AH39" i="88"/>
  <c r="AI39" i="88"/>
  <c r="AJ39" i="88"/>
  <c r="AK39" i="88"/>
  <c r="AF40" i="88"/>
  <c r="AG40" i="88"/>
  <c r="AH40" i="88"/>
  <c r="AI40" i="88"/>
  <c r="AJ40" i="88"/>
  <c r="AK40" i="88"/>
  <c r="AF41" i="88"/>
  <c r="AG41" i="88"/>
  <c r="AH41" i="88"/>
  <c r="AI41" i="88"/>
  <c r="AJ41" i="88"/>
  <c r="AK41" i="88"/>
  <c r="AF42" i="88"/>
  <c r="AG42" i="88"/>
  <c r="AH42" i="88"/>
  <c r="AI42" i="88"/>
  <c r="AJ42" i="88"/>
  <c r="AK42" i="88"/>
  <c r="AF43" i="88"/>
  <c r="AG43" i="88"/>
  <c r="AH43" i="88"/>
  <c r="AI43" i="88"/>
  <c r="AJ43" i="88"/>
  <c r="AK43" i="88"/>
  <c r="AF44" i="88"/>
  <c r="AG44" i="88"/>
  <c r="AH44" i="88"/>
  <c r="AI44" i="88"/>
  <c r="AJ44" i="88"/>
  <c r="AK44" i="88"/>
  <c r="AF45" i="88"/>
  <c r="AG45" i="88"/>
  <c r="AH45" i="88"/>
  <c r="AI45" i="88"/>
  <c r="AJ45" i="88"/>
  <c r="AK45" i="88"/>
  <c r="AF46" i="88"/>
  <c r="AG46" i="88"/>
  <c r="AH46" i="88"/>
  <c r="AI46" i="88"/>
  <c r="AJ46" i="88"/>
  <c r="AK46" i="88"/>
  <c r="AF47" i="88"/>
  <c r="AG47" i="88"/>
  <c r="AH47" i="88"/>
  <c r="AI47" i="88"/>
  <c r="AJ47" i="88"/>
  <c r="AK47" i="88"/>
  <c r="AF48" i="88"/>
  <c r="AG48" i="88"/>
  <c r="AH48" i="88"/>
  <c r="AI48" i="88"/>
  <c r="AJ48" i="88"/>
  <c r="AK48" i="88"/>
  <c r="AF49" i="88"/>
  <c r="AG49" i="88"/>
  <c r="AH49" i="88"/>
  <c r="AI49" i="88"/>
  <c r="AJ49" i="88"/>
  <c r="AK49" i="88"/>
  <c r="AF50" i="88"/>
  <c r="AG50" i="88"/>
  <c r="AH50" i="88"/>
  <c r="AI50" i="88"/>
  <c r="AJ50" i="88"/>
  <c r="AK50" i="88"/>
  <c r="AF51" i="88"/>
  <c r="AG51" i="88"/>
  <c r="AH51" i="88"/>
  <c r="AI51" i="88"/>
  <c r="AJ51" i="88"/>
  <c r="AK51" i="88"/>
  <c r="AF52" i="88"/>
  <c r="AG52" i="88"/>
  <c r="AH52" i="88"/>
  <c r="AI52" i="88"/>
  <c r="AJ52" i="88"/>
  <c r="AK52" i="88"/>
  <c r="AF53" i="88"/>
  <c r="AG53" i="88"/>
  <c r="AH53" i="88"/>
  <c r="AI53" i="88"/>
  <c r="AJ53" i="88"/>
  <c r="AK53" i="88"/>
  <c r="AF54" i="88"/>
  <c r="AG54" i="88"/>
  <c r="AH54" i="88"/>
  <c r="AI54" i="88"/>
  <c r="AJ54" i="88"/>
  <c r="AK54" i="88"/>
  <c r="AF55" i="88"/>
  <c r="AG55" i="88"/>
  <c r="AH55" i="88"/>
  <c r="AI55" i="88"/>
  <c r="AJ55" i="88"/>
  <c r="AK55" i="88"/>
  <c r="AF56" i="88"/>
  <c r="AG56" i="88"/>
  <c r="AH56" i="88"/>
  <c r="AI56" i="88"/>
  <c r="AJ56" i="88"/>
  <c r="AK56" i="88"/>
  <c r="AF57" i="88"/>
  <c r="AG57" i="88"/>
  <c r="AH57" i="88"/>
  <c r="AI57" i="88"/>
  <c r="AJ57" i="88"/>
  <c r="AK57" i="88"/>
  <c r="AF58" i="88"/>
  <c r="AG58" i="88"/>
  <c r="AH58" i="88"/>
  <c r="AI58" i="88"/>
  <c r="AJ58" i="88"/>
  <c r="AK58" i="88"/>
  <c r="AF59" i="88"/>
  <c r="AG59" i="88"/>
  <c r="AH59" i="88"/>
  <c r="AI59" i="88"/>
  <c r="AJ59" i="88"/>
  <c r="AK59" i="88"/>
  <c r="AF60" i="88"/>
  <c r="AG60" i="88"/>
  <c r="AH60" i="88"/>
  <c r="AI60" i="88"/>
  <c r="AJ60" i="88"/>
  <c r="AK60" i="88"/>
  <c r="AF61" i="88"/>
  <c r="AG61" i="88"/>
  <c r="AH61" i="88"/>
  <c r="AI61" i="88"/>
  <c r="AJ61" i="88"/>
  <c r="AK61" i="88"/>
  <c r="AF62" i="88"/>
  <c r="AG62" i="88"/>
  <c r="AH62" i="88"/>
  <c r="AI62" i="88"/>
  <c r="AJ62" i="88"/>
  <c r="AK62" i="88"/>
  <c r="AF63" i="88"/>
  <c r="AG63" i="88"/>
  <c r="AH63" i="88"/>
  <c r="AI63" i="88"/>
  <c r="AJ63" i="88"/>
  <c r="AK63" i="88"/>
  <c r="AF64" i="88"/>
  <c r="AG64" i="88"/>
  <c r="AH64" i="88"/>
  <c r="AI64" i="88"/>
  <c r="AJ64" i="88"/>
  <c r="AK64" i="88"/>
  <c r="AF65" i="88"/>
  <c r="AG65" i="88"/>
  <c r="AH65" i="88"/>
  <c r="AI65" i="88"/>
  <c r="AJ65" i="88"/>
  <c r="AK65" i="88"/>
  <c r="AF66" i="88"/>
  <c r="AG66" i="88"/>
  <c r="AH66" i="88"/>
  <c r="AI66" i="88"/>
  <c r="AJ66" i="88"/>
  <c r="AK66" i="88"/>
  <c r="AF67" i="88"/>
  <c r="AG67" i="88"/>
  <c r="AH67" i="88"/>
  <c r="AI67" i="88"/>
  <c r="AJ67" i="88"/>
  <c r="AK67" i="88"/>
  <c r="AF68" i="88"/>
  <c r="AG68" i="88"/>
  <c r="AH68" i="88"/>
  <c r="AI68" i="88"/>
  <c r="AJ68" i="88"/>
  <c r="AK68" i="88"/>
  <c r="AG5" i="88"/>
  <c r="AH5" i="88"/>
  <c r="AI5" i="88"/>
  <c r="AJ5" i="88"/>
  <c r="AK5" i="88"/>
  <c r="S6" i="88"/>
  <c r="T6" i="88"/>
  <c r="U6" i="88"/>
  <c r="V6" i="88"/>
  <c r="W6" i="88"/>
  <c r="X6" i="88"/>
  <c r="Y6" i="88"/>
  <c r="S7" i="88"/>
  <c r="T7" i="88"/>
  <c r="U7" i="88"/>
  <c r="V7" i="88"/>
  <c r="W7" i="88"/>
  <c r="X7" i="88"/>
  <c r="Y7" i="88"/>
  <c r="S8" i="88"/>
  <c r="T8" i="88"/>
  <c r="U8" i="88"/>
  <c r="V8" i="88"/>
  <c r="W8" i="88"/>
  <c r="X8" i="88"/>
  <c r="Y8" i="88"/>
  <c r="S9" i="88"/>
  <c r="T9" i="88"/>
  <c r="U9" i="88"/>
  <c r="V9" i="88"/>
  <c r="W9" i="88"/>
  <c r="X9" i="88"/>
  <c r="Y9" i="88"/>
  <c r="S10" i="88"/>
  <c r="T10" i="88"/>
  <c r="U10" i="88"/>
  <c r="V10" i="88"/>
  <c r="W10" i="88"/>
  <c r="X10" i="88"/>
  <c r="Y10" i="88"/>
  <c r="S11" i="88"/>
  <c r="T11" i="88"/>
  <c r="U11" i="88"/>
  <c r="V11" i="88"/>
  <c r="W11" i="88"/>
  <c r="X11" i="88"/>
  <c r="Y11" i="88"/>
  <c r="S12" i="88"/>
  <c r="T12" i="88"/>
  <c r="U12" i="88"/>
  <c r="V12" i="88"/>
  <c r="W12" i="88"/>
  <c r="X12" i="88"/>
  <c r="Y12" i="88"/>
  <c r="S13" i="88"/>
  <c r="T13" i="88"/>
  <c r="U13" i="88"/>
  <c r="V13" i="88"/>
  <c r="W13" i="88"/>
  <c r="X13" i="88"/>
  <c r="Y13" i="88"/>
  <c r="S14" i="88"/>
  <c r="T14" i="88"/>
  <c r="U14" i="88"/>
  <c r="V14" i="88"/>
  <c r="W14" i="88"/>
  <c r="X14" i="88"/>
  <c r="Y14" i="88"/>
  <c r="S15" i="88"/>
  <c r="T15" i="88"/>
  <c r="U15" i="88"/>
  <c r="V15" i="88"/>
  <c r="W15" i="88"/>
  <c r="X15" i="88"/>
  <c r="Y15" i="88"/>
  <c r="S16" i="88"/>
  <c r="T16" i="88"/>
  <c r="U16" i="88"/>
  <c r="V16" i="88"/>
  <c r="W16" i="88"/>
  <c r="X16" i="88"/>
  <c r="Y16" i="88"/>
  <c r="S17" i="88"/>
  <c r="T17" i="88"/>
  <c r="U17" i="88"/>
  <c r="V17" i="88"/>
  <c r="W17" i="88"/>
  <c r="X17" i="88"/>
  <c r="Y17" i="88"/>
  <c r="S18" i="88"/>
  <c r="T18" i="88"/>
  <c r="U18" i="88"/>
  <c r="V18" i="88"/>
  <c r="W18" i="88"/>
  <c r="X18" i="88"/>
  <c r="Y18" i="88"/>
  <c r="S19" i="88"/>
  <c r="T19" i="88"/>
  <c r="U19" i="88"/>
  <c r="V19" i="88"/>
  <c r="W19" i="88"/>
  <c r="X19" i="88"/>
  <c r="Y19" i="88"/>
  <c r="S20" i="88"/>
  <c r="T20" i="88"/>
  <c r="U20" i="88"/>
  <c r="V20" i="88"/>
  <c r="W20" i="88"/>
  <c r="X20" i="88"/>
  <c r="Y20" i="88"/>
  <c r="S21" i="88"/>
  <c r="T21" i="88"/>
  <c r="U21" i="88"/>
  <c r="V21" i="88"/>
  <c r="W21" i="88"/>
  <c r="X21" i="88"/>
  <c r="Y21" i="88"/>
  <c r="S22" i="88"/>
  <c r="T22" i="88"/>
  <c r="U22" i="88"/>
  <c r="V22" i="88"/>
  <c r="W22" i="88"/>
  <c r="X22" i="88"/>
  <c r="Y22" i="88"/>
  <c r="S23" i="88"/>
  <c r="T23" i="88"/>
  <c r="U23" i="88"/>
  <c r="V23" i="88"/>
  <c r="W23" i="88"/>
  <c r="X23" i="88"/>
  <c r="Y23" i="88"/>
  <c r="S24" i="88"/>
  <c r="T24" i="88"/>
  <c r="U24" i="88"/>
  <c r="V24" i="88"/>
  <c r="W24" i="88"/>
  <c r="X24" i="88"/>
  <c r="Y24" i="88"/>
  <c r="S25" i="88"/>
  <c r="T25" i="88"/>
  <c r="U25" i="88"/>
  <c r="V25" i="88"/>
  <c r="W25" i="88"/>
  <c r="X25" i="88"/>
  <c r="Y25" i="88"/>
  <c r="S26" i="88"/>
  <c r="T26" i="88"/>
  <c r="U26" i="88"/>
  <c r="V26" i="88"/>
  <c r="W26" i="88"/>
  <c r="X26" i="88"/>
  <c r="Y26" i="88"/>
  <c r="S27" i="88"/>
  <c r="T27" i="88"/>
  <c r="U27" i="88"/>
  <c r="V27" i="88"/>
  <c r="W27" i="88"/>
  <c r="X27" i="88"/>
  <c r="Y27" i="88"/>
  <c r="S28" i="88"/>
  <c r="T28" i="88"/>
  <c r="U28" i="88"/>
  <c r="V28" i="88"/>
  <c r="W28" i="88"/>
  <c r="X28" i="88"/>
  <c r="Y28" i="88"/>
  <c r="S29" i="88"/>
  <c r="T29" i="88"/>
  <c r="U29" i="88"/>
  <c r="V29" i="88"/>
  <c r="W29" i="88"/>
  <c r="X29" i="88"/>
  <c r="Y29" i="88"/>
  <c r="S30" i="88"/>
  <c r="T30" i="88"/>
  <c r="U30" i="88"/>
  <c r="V30" i="88"/>
  <c r="W30" i="88"/>
  <c r="X30" i="88"/>
  <c r="Y30" i="88"/>
  <c r="S31" i="88"/>
  <c r="T31" i="88"/>
  <c r="U31" i="88"/>
  <c r="V31" i="88"/>
  <c r="W31" i="88"/>
  <c r="X31" i="88"/>
  <c r="Y31" i="88"/>
  <c r="S32" i="88"/>
  <c r="T32" i="88"/>
  <c r="U32" i="88"/>
  <c r="V32" i="88"/>
  <c r="W32" i="88"/>
  <c r="X32" i="88"/>
  <c r="Y32" i="88"/>
  <c r="S33" i="88"/>
  <c r="T33" i="88"/>
  <c r="U33" i="88"/>
  <c r="V33" i="88"/>
  <c r="W33" i="88"/>
  <c r="X33" i="88"/>
  <c r="Y33" i="88"/>
  <c r="S34" i="88"/>
  <c r="T34" i="88"/>
  <c r="U34" i="88"/>
  <c r="V34" i="88"/>
  <c r="W34" i="88"/>
  <c r="X34" i="88"/>
  <c r="Y34" i="88"/>
  <c r="S35" i="88"/>
  <c r="T35" i="88"/>
  <c r="U35" i="88"/>
  <c r="V35" i="88"/>
  <c r="W35" i="88"/>
  <c r="X35" i="88"/>
  <c r="Y35" i="88"/>
  <c r="S36" i="88"/>
  <c r="T36" i="88"/>
  <c r="U36" i="88"/>
  <c r="V36" i="88"/>
  <c r="W36" i="88"/>
  <c r="X36" i="88"/>
  <c r="Y36" i="88"/>
  <c r="S37" i="88"/>
  <c r="T37" i="88"/>
  <c r="U37" i="88"/>
  <c r="V37" i="88"/>
  <c r="W37" i="88"/>
  <c r="X37" i="88"/>
  <c r="Y37" i="88"/>
  <c r="S38" i="88"/>
  <c r="T38" i="88"/>
  <c r="U38" i="88"/>
  <c r="V38" i="88"/>
  <c r="W38" i="88"/>
  <c r="X38" i="88"/>
  <c r="Y38" i="88"/>
  <c r="S39" i="88"/>
  <c r="T39" i="88"/>
  <c r="U39" i="88"/>
  <c r="V39" i="88"/>
  <c r="W39" i="88"/>
  <c r="X39" i="88"/>
  <c r="Y39" i="88"/>
  <c r="S40" i="88"/>
  <c r="T40" i="88"/>
  <c r="U40" i="88"/>
  <c r="V40" i="88"/>
  <c r="W40" i="88"/>
  <c r="X40" i="88"/>
  <c r="Y40" i="88"/>
  <c r="S41" i="88"/>
  <c r="T41" i="88"/>
  <c r="U41" i="88"/>
  <c r="V41" i="88"/>
  <c r="W41" i="88"/>
  <c r="X41" i="88"/>
  <c r="Y41" i="88"/>
  <c r="S42" i="88"/>
  <c r="T42" i="88"/>
  <c r="U42" i="88"/>
  <c r="V42" i="88"/>
  <c r="W42" i="88"/>
  <c r="X42" i="88"/>
  <c r="Y42" i="88"/>
  <c r="S43" i="88"/>
  <c r="T43" i="88"/>
  <c r="U43" i="88"/>
  <c r="V43" i="88"/>
  <c r="W43" i="88"/>
  <c r="X43" i="88"/>
  <c r="Y43" i="88"/>
  <c r="S44" i="88"/>
  <c r="T44" i="88"/>
  <c r="U44" i="88"/>
  <c r="V44" i="88"/>
  <c r="W44" i="88"/>
  <c r="X44" i="88"/>
  <c r="Y44" i="88"/>
  <c r="S45" i="88"/>
  <c r="T45" i="88"/>
  <c r="U45" i="88"/>
  <c r="V45" i="88"/>
  <c r="W45" i="88"/>
  <c r="X45" i="88"/>
  <c r="Y45" i="88"/>
  <c r="S46" i="88"/>
  <c r="T46" i="88"/>
  <c r="U46" i="88"/>
  <c r="V46" i="88"/>
  <c r="W46" i="88"/>
  <c r="X46" i="88"/>
  <c r="Y46" i="88"/>
  <c r="S47" i="88"/>
  <c r="T47" i="88"/>
  <c r="U47" i="88"/>
  <c r="V47" i="88"/>
  <c r="W47" i="88"/>
  <c r="X47" i="88"/>
  <c r="Y47" i="88"/>
  <c r="S48" i="88"/>
  <c r="T48" i="88"/>
  <c r="U48" i="88"/>
  <c r="V48" i="88"/>
  <c r="W48" i="88"/>
  <c r="X48" i="88"/>
  <c r="Y48" i="88"/>
  <c r="S49" i="88"/>
  <c r="T49" i="88"/>
  <c r="U49" i="88"/>
  <c r="V49" i="88"/>
  <c r="W49" i="88"/>
  <c r="X49" i="88"/>
  <c r="Y49" i="88"/>
  <c r="S50" i="88"/>
  <c r="T50" i="88"/>
  <c r="U50" i="88"/>
  <c r="V50" i="88"/>
  <c r="W50" i="88"/>
  <c r="X50" i="88"/>
  <c r="Y50" i="88"/>
  <c r="S51" i="88"/>
  <c r="T51" i="88"/>
  <c r="U51" i="88"/>
  <c r="V51" i="88"/>
  <c r="W51" i="88"/>
  <c r="X51" i="88"/>
  <c r="Y51" i="88"/>
  <c r="S52" i="88"/>
  <c r="T52" i="88"/>
  <c r="U52" i="88"/>
  <c r="V52" i="88"/>
  <c r="W52" i="88"/>
  <c r="X52" i="88"/>
  <c r="Y52" i="88"/>
  <c r="S53" i="88"/>
  <c r="T53" i="88"/>
  <c r="U53" i="88"/>
  <c r="V53" i="88"/>
  <c r="W53" i="88"/>
  <c r="X53" i="88"/>
  <c r="Y53" i="88"/>
  <c r="S54" i="88"/>
  <c r="T54" i="88"/>
  <c r="U54" i="88"/>
  <c r="V54" i="88"/>
  <c r="W54" i="88"/>
  <c r="X54" i="88"/>
  <c r="Y54" i="88"/>
  <c r="S55" i="88"/>
  <c r="T55" i="88"/>
  <c r="U55" i="88"/>
  <c r="V55" i="88"/>
  <c r="W55" i="88"/>
  <c r="X55" i="88"/>
  <c r="Y55" i="88"/>
  <c r="S56" i="88"/>
  <c r="T56" i="88"/>
  <c r="U56" i="88"/>
  <c r="V56" i="88"/>
  <c r="W56" i="88"/>
  <c r="X56" i="88"/>
  <c r="Y56" i="88"/>
  <c r="S57" i="88"/>
  <c r="T57" i="88"/>
  <c r="U57" i="88"/>
  <c r="V57" i="88"/>
  <c r="W57" i="88"/>
  <c r="X57" i="88"/>
  <c r="Y57" i="88"/>
  <c r="S58" i="88"/>
  <c r="T58" i="88"/>
  <c r="U58" i="88"/>
  <c r="V58" i="88"/>
  <c r="W58" i="88"/>
  <c r="X58" i="88"/>
  <c r="Y58" i="88"/>
  <c r="S59" i="88"/>
  <c r="T59" i="88"/>
  <c r="U59" i="88"/>
  <c r="V59" i="88"/>
  <c r="W59" i="88"/>
  <c r="X59" i="88"/>
  <c r="Y59" i="88"/>
  <c r="S60" i="88"/>
  <c r="T60" i="88"/>
  <c r="U60" i="88"/>
  <c r="V60" i="88"/>
  <c r="W60" i="88"/>
  <c r="X60" i="88"/>
  <c r="Y60" i="88"/>
  <c r="S61" i="88"/>
  <c r="T61" i="88"/>
  <c r="U61" i="88"/>
  <c r="V61" i="88"/>
  <c r="W61" i="88"/>
  <c r="X61" i="88"/>
  <c r="Y61" i="88"/>
  <c r="S62" i="88"/>
  <c r="T62" i="88"/>
  <c r="U62" i="88"/>
  <c r="V62" i="88"/>
  <c r="W62" i="88"/>
  <c r="X62" i="88"/>
  <c r="Y62" i="88"/>
  <c r="S63" i="88"/>
  <c r="T63" i="88"/>
  <c r="U63" i="88"/>
  <c r="V63" i="88"/>
  <c r="W63" i="88"/>
  <c r="X63" i="88"/>
  <c r="Y63" i="88"/>
  <c r="S64" i="88"/>
  <c r="T64" i="88"/>
  <c r="U64" i="88"/>
  <c r="V64" i="88"/>
  <c r="W64" i="88"/>
  <c r="X64" i="88"/>
  <c r="Y64" i="88"/>
  <c r="S65" i="88"/>
  <c r="T65" i="88"/>
  <c r="U65" i="88"/>
  <c r="V65" i="88"/>
  <c r="W65" i="88"/>
  <c r="X65" i="88"/>
  <c r="Y65" i="88"/>
  <c r="S66" i="88"/>
  <c r="T66" i="88"/>
  <c r="U66" i="88"/>
  <c r="V66" i="88"/>
  <c r="W66" i="88"/>
  <c r="X66" i="88"/>
  <c r="Y66" i="88"/>
  <c r="S67" i="88"/>
  <c r="T67" i="88"/>
  <c r="U67" i="88"/>
  <c r="V67" i="88"/>
  <c r="W67" i="88"/>
  <c r="X67" i="88"/>
  <c r="Y67" i="88"/>
  <c r="S68" i="88"/>
  <c r="T68" i="88"/>
  <c r="U68" i="88"/>
  <c r="V68" i="88"/>
  <c r="W68" i="88"/>
  <c r="X68" i="88"/>
  <c r="Y68" i="88"/>
  <c r="T5" i="88"/>
  <c r="U5" i="88"/>
  <c r="V5" i="88"/>
  <c r="W5" i="88"/>
  <c r="X5" i="88"/>
  <c r="Y5" i="88"/>
  <c r="F5" i="95"/>
  <c r="BN49" i="91"/>
  <c r="AY55" i="91"/>
  <c r="AY56" i="91"/>
  <c r="AJ47" i="91"/>
  <c r="AJ48" i="91"/>
  <c r="AJ49" i="91"/>
  <c r="AJ50" i="91"/>
  <c r="AJ51" i="91"/>
  <c r="AJ52" i="91"/>
  <c r="AJ53" i="91"/>
  <c r="U41" i="91"/>
  <c r="U42" i="91"/>
  <c r="U43" i="91"/>
  <c r="U44" i="91"/>
  <c r="U45" i="91"/>
  <c r="U46" i="91"/>
  <c r="BC49" i="88"/>
  <c r="AQ55" i="88"/>
  <c r="R41" i="88"/>
  <c r="R42" i="88"/>
  <c r="R43" i="88"/>
  <c r="R44" i="88"/>
  <c r="R45" i="88"/>
  <c r="AE48" i="88"/>
  <c r="AE49" i="88"/>
  <c r="AE50" i="88"/>
  <c r="AE51" i="88"/>
  <c r="AE52" i="88"/>
  <c r="AE47" i="88"/>
  <c r="CC49" i="91"/>
  <c r="CC50" i="91"/>
  <c r="CC51" i="91"/>
  <c r="CC52" i="91"/>
  <c r="CC53" i="91"/>
  <c r="CC54" i="91"/>
  <c r="CC55" i="91"/>
  <c r="CC56" i="91"/>
  <c r="CC14" i="91"/>
  <c r="CC15" i="91"/>
  <c r="CC16" i="91"/>
  <c r="CC17" i="91"/>
  <c r="CC18" i="91"/>
  <c r="CC19" i="91"/>
  <c r="CC20" i="91"/>
  <c r="CC21" i="91"/>
  <c r="CC22" i="91"/>
  <c r="CC23" i="91"/>
  <c r="CC24" i="91"/>
  <c r="CC25" i="91"/>
  <c r="CC26" i="91"/>
  <c r="CC27" i="91"/>
  <c r="CC28" i="91"/>
  <c r="CC29" i="91"/>
  <c r="CC30" i="91"/>
  <c r="CC31" i="91"/>
  <c r="CC32" i="91"/>
  <c r="CC33" i="91"/>
  <c r="CC34" i="91"/>
  <c r="CC35" i="91"/>
  <c r="CC36" i="91"/>
  <c r="CC37" i="91"/>
  <c r="CC38" i="91"/>
  <c r="CC39" i="91"/>
  <c r="CC40" i="91"/>
  <c r="CC41" i="91"/>
  <c r="CC42" i="91"/>
  <c r="CC43" i="91"/>
  <c r="CC44" i="91"/>
  <c r="CC45" i="91"/>
  <c r="CC46" i="91"/>
  <c r="CC47" i="91"/>
  <c r="CC48" i="91"/>
  <c r="AJ6" i="91"/>
  <c r="AY6" i="91"/>
  <c r="BN6" i="91"/>
  <c r="AJ7" i="91"/>
  <c r="AY7" i="91"/>
  <c r="BN7" i="91"/>
  <c r="AJ8" i="91"/>
  <c r="AY8" i="91"/>
  <c r="BN8" i="91"/>
  <c r="AJ9" i="91"/>
  <c r="AY9" i="91"/>
  <c r="BN9" i="91"/>
  <c r="AJ10" i="91"/>
  <c r="AY10" i="91"/>
  <c r="BN10" i="91"/>
  <c r="AJ11" i="91"/>
  <c r="AY11" i="91"/>
  <c r="BN11" i="91"/>
  <c r="AJ12" i="91"/>
  <c r="AY12" i="91"/>
  <c r="BN12" i="91"/>
  <c r="AJ13" i="91"/>
  <c r="AY13" i="91"/>
  <c r="BN13" i="91"/>
  <c r="AJ14" i="91"/>
  <c r="AY14" i="91"/>
  <c r="BN14" i="91"/>
  <c r="AJ15" i="91"/>
  <c r="AY15" i="91"/>
  <c r="BN15" i="91"/>
  <c r="AJ16" i="91"/>
  <c r="AY16" i="91"/>
  <c r="BN16" i="91"/>
  <c r="AJ17" i="91"/>
  <c r="AY17" i="91"/>
  <c r="BN17" i="91"/>
  <c r="AJ18" i="91"/>
  <c r="AY18" i="91"/>
  <c r="BN18" i="91"/>
  <c r="AJ19" i="91"/>
  <c r="AY19" i="91"/>
  <c r="BN19" i="91"/>
  <c r="AJ20" i="91"/>
  <c r="AY20" i="91"/>
  <c r="BN20" i="91"/>
  <c r="AJ21" i="91"/>
  <c r="AY21" i="91"/>
  <c r="BN21" i="91"/>
  <c r="AJ22" i="91"/>
  <c r="AY22" i="91"/>
  <c r="BN22" i="91"/>
  <c r="AJ23" i="91"/>
  <c r="AY23" i="91"/>
  <c r="BN23" i="91"/>
  <c r="AJ24" i="91"/>
  <c r="AY24" i="91"/>
  <c r="BN24" i="91"/>
  <c r="AJ25" i="91"/>
  <c r="AY25" i="91"/>
  <c r="BN25" i="91"/>
  <c r="AJ26" i="91"/>
  <c r="AY26" i="91"/>
  <c r="BN26" i="91"/>
  <c r="AJ27" i="91"/>
  <c r="AY27" i="91"/>
  <c r="BN27" i="91"/>
  <c r="AJ28" i="91"/>
  <c r="AY28" i="91"/>
  <c r="BN28" i="91"/>
  <c r="AJ29" i="91"/>
  <c r="AY29" i="91"/>
  <c r="AJ30" i="91"/>
  <c r="AY30" i="91"/>
  <c r="BN30" i="91"/>
  <c r="AJ31" i="91"/>
  <c r="AY31" i="91"/>
  <c r="BN31" i="91"/>
  <c r="AJ32" i="91"/>
  <c r="AY32" i="91"/>
  <c r="BN32" i="91"/>
  <c r="AJ33" i="91"/>
  <c r="AY33" i="91"/>
  <c r="BN33" i="91"/>
  <c r="AJ34" i="91"/>
  <c r="AY34" i="91"/>
  <c r="BN34" i="91"/>
  <c r="AJ35" i="91"/>
  <c r="AY35" i="91"/>
  <c r="BN35" i="91"/>
  <c r="AJ36" i="91"/>
  <c r="AY36" i="91"/>
  <c r="BN36" i="91"/>
  <c r="AJ37" i="91"/>
  <c r="AY37" i="91"/>
  <c r="BN37" i="91"/>
  <c r="AJ38" i="91"/>
  <c r="AY38" i="91"/>
  <c r="BN38" i="91"/>
  <c r="AJ39" i="91"/>
  <c r="AY39" i="91"/>
  <c r="BN39" i="91"/>
  <c r="AJ40" i="91"/>
  <c r="AY40" i="91"/>
  <c r="BN40" i="91"/>
  <c r="AJ41" i="91"/>
  <c r="AY41" i="91"/>
  <c r="BN41" i="91"/>
  <c r="AJ42" i="91"/>
  <c r="AY42" i="91"/>
  <c r="BN42" i="91"/>
  <c r="AJ43" i="91"/>
  <c r="AY43" i="91"/>
  <c r="BN43" i="91"/>
  <c r="AJ44" i="91"/>
  <c r="AY44" i="91"/>
  <c r="BN44" i="91"/>
  <c r="AJ45" i="91"/>
  <c r="AY45" i="91"/>
  <c r="BN45" i="91"/>
  <c r="AJ46" i="91"/>
  <c r="AY46" i="91"/>
  <c r="BN46" i="91"/>
  <c r="AY47" i="91"/>
  <c r="BN47" i="91"/>
  <c r="AY48" i="91"/>
  <c r="BN48" i="91"/>
  <c r="AY49" i="91"/>
  <c r="AY50" i="91"/>
  <c r="BN50" i="91"/>
  <c r="AY51" i="91"/>
  <c r="BN51" i="91"/>
  <c r="AY52" i="91"/>
  <c r="BN52" i="91"/>
  <c r="AY53" i="91"/>
  <c r="BN53" i="91"/>
  <c r="AJ54" i="91"/>
  <c r="AY54" i="91"/>
  <c r="BN54" i="91"/>
  <c r="AJ55" i="91"/>
  <c r="BN55" i="91"/>
  <c r="AJ56" i="91"/>
  <c r="BN56" i="91"/>
  <c r="AJ57" i="91"/>
  <c r="AY57" i="91"/>
  <c r="BN57" i="91"/>
  <c r="AJ58" i="91"/>
  <c r="AY58" i="91"/>
  <c r="BN58" i="91"/>
  <c r="AJ59" i="91"/>
  <c r="AY59" i="91"/>
  <c r="BN59" i="91"/>
  <c r="AJ60" i="91"/>
  <c r="AY60" i="91"/>
  <c r="BN60" i="91"/>
  <c r="AJ61" i="91"/>
  <c r="AY61" i="91"/>
  <c r="BN61" i="91"/>
  <c r="AJ62" i="91"/>
  <c r="AY62" i="91"/>
  <c r="BN62" i="91"/>
  <c r="AJ63" i="91"/>
  <c r="AY63" i="91"/>
  <c r="BN63" i="91"/>
  <c r="AJ64" i="91"/>
  <c r="AY64" i="91"/>
  <c r="BN64" i="91"/>
  <c r="AJ65" i="91"/>
  <c r="AY65" i="91"/>
  <c r="BN65" i="91"/>
  <c r="AJ66" i="91"/>
  <c r="AY66" i="91"/>
  <c r="BN66" i="91"/>
  <c r="AJ67" i="91"/>
  <c r="AY67" i="91"/>
  <c r="BN67" i="91"/>
  <c r="AJ68" i="91"/>
  <c r="AY68" i="91"/>
  <c r="BN68" i="91"/>
  <c r="U6" i="91"/>
  <c r="U7" i="91"/>
  <c r="U8" i="91"/>
  <c r="U9" i="91"/>
  <c r="U10" i="91"/>
  <c r="U11" i="91"/>
  <c r="U12" i="91"/>
  <c r="U13" i="91"/>
  <c r="U14" i="91"/>
  <c r="U15" i="91"/>
  <c r="U16" i="91"/>
  <c r="U17" i="91"/>
  <c r="U18" i="91"/>
  <c r="U19" i="91"/>
  <c r="U20" i="91"/>
  <c r="U21" i="91"/>
  <c r="U22" i="91"/>
  <c r="U23" i="91"/>
  <c r="U24" i="91"/>
  <c r="U25" i="91"/>
  <c r="U26" i="91"/>
  <c r="U27" i="91"/>
  <c r="U28" i="91"/>
  <c r="U29" i="91"/>
  <c r="U30" i="91"/>
  <c r="U31" i="91"/>
  <c r="U32" i="91"/>
  <c r="U33" i="91"/>
  <c r="U34" i="91"/>
  <c r="U35" i="91"/>
  <c r="U36" i="91"/>
  <c r="U37" i="91"/>
  <c r="U38" i="91"/>
  <c r="U39" i="91"/>
  <c r="U40" i="91"/>
  <c r="U47" i="91"/>
  <c r="U48" i="91"/>
  <c r="U49" i="91"/>
  <c r="U50" i="91"/>
  <c r="U51" i="91"/>
  <c r="U52" i="91"/>
  <c r="U53" i="91"/>
  <c r="U54" i="91"/>
  <c r="U55" i="91"/>
  <c r="U56" i="91"/>
  <c r="U57" i="91"/>
  <c r="U58" i="91"/>
  <c r="U59" i="91"/>
  <c r="U60" i="91"/>
  <c r="U61" i="91"/>
  <c r="U62" i="91"/>
  <c r="U63" i="91"/>
  <c r="U64" i="91"/>
  <c r="U65" i="91"/>
  <c r="U66" i="91"/>
  <c r="U67" i="91"/>
  <c r="U68" i="91"/>
  <c r="CD13" i="91"/>
  <c r="BO5" i="91"/>
  <c r="AZ5" i="91"/>
  <c r="AK5" i="91"/>
  <c r="BO49" i="88"/>
  <c r="BO50" i="88"/>
  <c r="BO51" i="88"/>
  <c r="BO52" i="88"/>
  <c r="BO53" i="88"/>
  <c r="BO54" i="88"/>
  <c r="BO55" i="88"/>
  <c r="BO56" i="88"/>
  <c r="BO14" i="88"/>
  <c r="BO15" i="88"/>
  <c r="BO16" i="88"/>
  <c r="BO17" i="88"/>
  <c r="BO18" i="88"/>
  <c r="BO19" i="88"/>
  <c r="BO20" i="88"/>
  <c r="BO21" i="88"/>
  <c r="BO22" i="88"/>
  <c r="BO23" i="88"/>
  <c r="BO24" i="88"/>
  <c r="BO25" i="88"/>
  <c r="BO26" i="88"/>
  <c r="BO27" i="88"/>
  <c r="BO28" i="88"/>
  <c r="BO29" i="88"/>
  <c r="BO30" i="88"/>
  <c r="BO31" i="88"/>
  <c r="BO32" i="88"/>
  <c r="BO33" i="88"/>
  <c r="BO34" i="88"/>
  <c r="BO35" i="88"/>
  <c r="BO36" i="88"/>
  <c r="BO37" i="88"/>
  <c r="BO38" i="88"/>
  <c r="BO39" i="88"/>
  <c r="BO40" i="88"/>
  <c r="BO41" i="88"/>
  <c r="BO42" i="88"/>
  <c r="BO43" i="88"/>
  <c r="BO44" i="88"/>
  <c r="BO45" i="88"/>
  <c r="BO46" i="88"/>
  <c r="BO47" i="88"/>
  <c r="BO48" i="88"/>
  <c r="R6" i="88"/>
  <c r="AE6" i="88"/>
  <c r="AQ6" i="88"/>
  <c r="BC6" i="88"/>
  <c r="R7" i="88"/>
  <c r="AE7" i="88"/>
  <c r="AQ7" i="88"/>
  <c r="BC7" i="88"/>
  <c r="R8" i="88"/>
  <c r="AE8" i="88"/>
  <c r="AQ8" i="88"/>
  <c r="BC8" i="88"/>
  <c r="R9" i="88"/>
  <c r="AE9" i="88"/>
  <c r="AQ9" i="88"/>
  <c r="BC9" i="88"/>
  <c r="R10" i="88"/>
  <c r="AE10" i="88"/>
  <c r="AQ10" i="88"/>
  <c r="BC10" i="88"/>
  <c r="R11" i="88"/>
  <c r="AE11" i="88"/>
  <c r="AQ11" i="88"/>
  <c r="BC11" i="88"/>
  <c r="R12" i="88"/>
  <c r="AE12" i="88"/>
  <c r="AQ12" i="88"/>
  <c r="BC12" i="88"/>
  <c r="R13" i="88"/>
  <c r="AE13" i="88"/>
  <c r="AQ13" i="88"/>
  <c r="BC13" i="88"/>
  <c r="R14" i="88"/>
  <c r="AE14" i="88"/>
  <c r="AQ14" i="88"/>
  <c r="BC14" i="88"/>
  <c r="R15" i="88"/>
  <c r="AE15" i="88"/>
  <c r="AQ15" i="88"/>
  <c r="BC15" i="88"/>
  <c r="R16" i="88"/>
  <c r="AE16" i="88"/>
  <c r="AQ16" i="88"/>
  <c r="BC16" i="88"/>
  <c r="R17" i="88"/>
  <c r="AE17" i="88"/>
  <c r="AQ17" i="88"/>
  <c r="BC17" i="88"/>
  <c r="R18" i="88"/>
  <c r="AE18" i="88"/>
  <c r="AQ18" i="88"/>
  <c r="BC18" i="88"/>
  <c r="R19" i="88"/>
  <c r="AE19" i="88"/>
  <c r="AQ19" i="88"/>
  <c r="BC19" i="88"/>
  <c r="R20" i="88"/>
  <c r="AE20" i="88"/>
  <c r="AQ20" i="88"/>
  <c r="BC20" i="88"/>
  <c r="R21" i="88"/>
  <c r="AE21" i="88"/>
  <c r="AQ21" i="88"/>
  <c r="BC21" i="88"/>
  <c r="R22" i="88"/>
  <c r="AE22" i="88"/>
  <c r="AQ22" i="88"/>
  <c r="BC22" i="88"/>
  <c r="R23" i="88"/>
  <c r="AE23" i="88"/>
  <c r="AQ23" i="88"/>
  <c r="BC23" i="88"/>
  <c r="R24" i="88"/>
  <c r="AE24" i="88"/>
  <c r="AQ24" i="88"/>
  <c r="BC24" i="88"/>
  <c r="R25" i="88"/>
  <c r="AE25" i="88"/>
  <c r="AQ25" i="88"/>
  <c r="BC25" i="88"/>
  <c r="R26" i="88"/>
  <c r="AE26" i="88"/>
  <c r="AQ26" i="88"/>
  <c r="BC26" i="88"/>
  <c r="R27" i="88"/>
  <c r="AE27" i="88"/>
  <c r="AQ27" i="88"/>
  <c r="R28" i="88"/>
  <c r="AE28" i="88"/>
  <c r="AQ28" i="88"/>
  <c r="R29" i="88"/>
  <c r="AE29" i="88"/>
  <c r="AQ29" i="88"/>
  <c r="R30" i="88"/>
  <c r="AE30" i="88"/>
  <c r="AQ30" i="88"/>
  <c r="R31" i="88"/>
  <c r="AE31" i="88"/>
  <c r="AQ31" i="88"/>
  <c r="R32" i="88"/>
  <c r="AE32" i="88"/>
  <c r="AQ32" i="88"/>
  <c r="R33" i="88"/>
  <c r="AE33" i="88"/>
  <c r="AQ33" i="88"/>
  <c r="R34" i="88"/>
  <c r="AE34" i="88"/>
  <c r="AQ34" i="88"/>
  <c r="R35" i="88"/>
  <c r="AE35" i="88"/>
  <c r="AQ35" i="88"/>
  <c r="BC35" i="88"/>
  <c r="R36" i="88"/>
  <c r="AE36" i="88"/>
  <c r="AQ36" i="88"/>
  <c r="BC36" i="88"/>
  <c r="R37" i="88"/>
  <c r="AE37" i="88"/>
  <c r="AQ37" i="88"/>
  <c r="BC37" i="88"/>
  <c r="R38" i="88"/>
  <c r="AE38" i="88"/>
  <c r="AQ38" i="88"/>
  <c r="BC38" i="88"/>
  <c r="R39" i="88"/>
  <c r="AE39" i="88"/>
  <c r="AQ39" i="88"/>
  <c r="BC39" i="88"/>
  <c r="R40" i="88"/>
  <c r="AE40" i="88"/>
  <c r="AQ40" i="88"/>
  <c r="BC40" i="88"/>
  <c r="AE41" i="88"/>
  <c r="AQ41" i="88"/>
  <c r="BC41" i="88"/>
  <c r="AE42" i="88"/>
  <c r="AQ42" i="88"/>
  <c r="BC42" i="88"/>
  <c r="AE43" i="88"/>
  <c r="AQ43" i="88"/>
  <c r="BC43" i="88"/>
  <c r="AE44" i="88"/>
  <c r="AQ44" i="88"/>
  <c r="BC44" i="88"/>
  <c r="AE45" i="88"/>
  <c r="AQ45" i="88"/>
  <c r="BC45" i="88"/>
  <c r="R46" i="88"/>
  <c r="AE46" i="88"/>
  <c r="AQ46" i="88"/>
  <c r="BC46" i="88"/>
  <c r="R47" i="88"/>
  <c r="AQ47" i="88"/>
  <c r="BC47" i="88"/>
  <c r="R48" i="88"/>
  <c r="AQ48" i="88"/>
  <c r="BC48" i="88"/>
  <c r="R49" i="88"/>
  <c r="AQ49" i="88"/>
  <c r="R50" i="88"/>
  <c r="AQ50" i="88"/>
  <c r="BC50" i="88"/>
  <c r="R51" i="88"/>
  <c r="AQ51" i="88"/>
  <c r="BC51" i="88"/>
  <c r="R52" i="88"/>
  <c r="AQ52" i="88"/>
  <c r="BC52" i="88"/>
  <c r="R53" i="88"/>
  <c r="AE53" i="88"/>
  <c r="AQ53" i="88"/>
  <c r="BC53" i="88"/>
  <c r="R54" i="88"/>
  <c r="AE54" i="88"/>
  <c r="AQ54" i="88"/>
  <c r="BC54" i="88"/>
  <c r="R55" i="88"/>
  <c r="AE55" i="88"/>
  <c r="BC55" i="88"/>
  <c r="R56" i="88"/>
  <c r="AE56" i="88"/>
  <c r="AQ56" i="88"/>
  <c r="BC56" i="88"/>
  <c r="R57" i="88"/>
  <c r="AE57" i="88"/>
  <c r="AQ57" i="88"/>
  <c r="BC57" i="88"/>
  <c r="R58" i="88"/>
  <c r="AE58" i="88"/>
  <c r="AQ58" i="88"/>
  <c r="BC58" i="88"/>
  <c r="R59" i="88"/>
  <c r="AE59" i="88"/>
  <c r="AQ59" i="88"/>
  <c r="BC59" i="88"/>
  <c r="R60" i="88"/>
  <c r="AE60" i="88"/>
  <c r="AQ60" i="88"/>
  <c r="BC60" i="88"/>
  <c r="R61" i="88"/>
  <c r="AE61" i="88"/>
  <c r="AQ61" i="88"/>
  <c r="BC61" i="88"/>
  <c r="R62" i="88"/>
  <c r="AE62" i="88"/>
  <c r="AQ62" i="88"/>
  <c r="BC62" i="88"/>
  <c r="R63" i="88"/>
  <c r="AE63" i="88"/>
  <c r="AQ63" i="88"/>
  <c r="BC63" i="88"/>
  <c r="R64" i="88"/>
  <c r="AE64" i="88"/>
  <c r="AQ64" i="88"/>
  <c r="BC64" i="88"/>
  <c r="R65" i="88"/>
  <c r="AE65" i="88"/>
  <c r="AQ65" i="88"/>
  <c r="BC65" i="88"/>
  <c r="R66" i="88"/>
  <c r="AE66" i="88"/>
  <c r="AQ66" i="88"/>
  <c r="BC66" i="88"/>
  <c r="R67" i="88"/>
  <c r="AE67" i="88"/>
  <c r="AQ67" i="88"/>
  <c r="BC67" i="88"/>
  <c r="R68" i="88"/>
  <c r="AE68" i="88"/>
  <c r="AQ68" i="88"/>
  <c r="BC68" i="88"/>
  <c r="BP13" i="88"/>
  <c r="BD5" i="88"/>
  <c r="AR5" i="88"/>
  <c r="AF5" i="88"/>
  <c r="S5" i="88"/>
  <c r="G5" i="88"/>
  <c r="CR13" i="91"/>
  <c r="CC13" i="91"/>
  <c r="BN5" i="91"/>
  <c r="AY5" i="91"/>
  <c r="AJ5" i="91"/>
  <c r="U5" i="91"/>
  <c r="F5" i="91"/>
  <c r="CA13" i="88"/>
  <c r="BO13" i="88"/>
  <c r="BC5" i="88"/>
  <c r="AQ5" i="88"/>
  <c r="AE5" i="88"/>
  <c r="R5" i="88"/>
  <c r="W21" i="86"/>
  <c r="W20" i="86"/>
  <c r="F5" i="88"/>
  <c r="R68" i="86"/>
  <c r="R67" i="86"/>
  <c r="R66" i="86"/>
  <c r="R65" i="86"/>
  <c r="R64" i="86"/>
  <c r="R63" i="86"/>
  <c r="R62" i="86"/>
  <c r="R61" i="86"/>
  <c r="R60" i="86"/>
  <c r="R59" i="86"/>
  <c r="R58" i="86"/>
  <c r="R57" i="86"/>
  <c r="R56" i="86"/>
  <c r="R55" i="86"/>
  <c r="R54" i="86"/>
  <c r="R53" i="86"/>
  <c r="R52" i="86"/>
  <c r="R51" i="86"/>
  <c r="R50" i="86"/>
  <c r="R49" i="86"/>
  <c r="R48" i="86"/>
  <c r="R47" i="86"/>
  <c r="R46" i="86"/>
  <c r="R45" i="86"/>
  <c r="R44" i="86"/>
  <c r="R43" i="86"/>
  <c r="R42" i="86"/>
  <c r="R41" i="86"/>
  <c r="R40" i="86"/>
  <c r="R39" i="86"/>
  <c r="R38" i="86"/>
  <c r="R37" i="86"/>
  <c r="R36" i="86"/>
  <c r="R35" i="86"/>
  <c r="R34" i="86"/>
  <c r="R33" i="86"/>
  <c r="R32" i="86"/>
  <c r="R31" i="86"/>
  <c r="R30" i="86"/>
  <c r="R29" i="86"/>
  <c r="R28" i="86"/>
  <c r="R27" i="86"/>
  <c r="R26" i="86"/>
  <c r="R25" i="86"/>
  <c r="R24" i="86"/>
  <c r="R23" i="86"/>
  <c r="R22" i="86"/>
  <c r="R21" i="86"/>
  <c r="R20" i="86"/>
  <c r="R19" i="86"/>
  <c r="R18" i="86"/>
  <c r="R17" i="86"/>
  <c r="R16" i="86"/>
  <c r="R15" i="86"/>
  <c r="R14" i="86"/>
  <c r="R13" i="86"/>
  <c r="R12" i="86"/>
  <c r="R11" i="86"/>
  <c r="R10" i="86"/>
  <c r="R9" i="86"/>
  <c r="R8" i="86"/>
  <c r="R7" i="86"/>
  <c r="R6" i="86"/>
  <c r="R5" i="86"/>
  <c r="AJ68" i="86"/>
  <c r="AJ67" i="86"/>
  <c r="AJ66" i="86"/>
  <c r="AJ65" i="86"/>
  <c r="AJ64" i="86"/>
  <c r="AJ63" i="86"/>
  <c r="AJ62" i="86"/>
  <c r="AJ61" i="86"/>
  <c r="AJ60" i="86"/>
  <c r="AJ59" i="86"/>
  <c r="AJ58" i="86"/>
  <c r="AJ57" i="86"/>
  <c r="AJ56" i="86"/>
  <c r="AJ55" i="86"/>
  <c r="AJ54" i="86"/>
  <c r="AJ53" i="86"/>
  <c r="AJ52" i="86"/>
  <c r="AJ51" i="86"/>
  <c r="AJ50" i="86"/>
  <c r="AJ49" i="86"/>
  <c r="AJ48" i="86"/>
  <c r="AJ47" i="86"/>
  <c r="AJ46" i="86"/>
  <c r="AJ45" i="86"/>
  <c r="AJ44" i="86"/>
  <c r="AJ43" i="86"/>
  <c r="AJ42" i="86"/>
  <c r="AJ41" i="86"/>
  <c r="AJ40" i="86"/>
  <c r="AJ39" i="86"/>
  <c r="AJ38" i="86"/>
  <c r="AJ37" i="86"/>
  <c r="AJ36" i="86"/>
  <c r="AJ35" i="86"/>
  <c r="AJ34" i="86"/>
  <c r="AJ33" i="86"/>
  <c r="AJ32" i="86"/>
  <c r="AJ31" i="86"/>
  <c r="AJ30" i="86"/>
  <c r="AJ29" i="86"/>
  <c r="AJ28" i="86"/>
  <c r="AJ27" i="86"/>
  <c r="AJ26" i="86"/>
  <c r="AJ25" i="86"/>
  <c r="AJ24" i="86"/>
  <c r="AJ23" i="86"/>
  <c r="AJ22" i="86"/>
  <c r="AJ21" i="86"/>
  <c r="AJ20" i="86"/>
  <c r="AJ19" i="86"/>
  <c r="AJ18" i="86"/>
  <c r="AJ17" i="86"/>
  <c r="AJ16" i="86"/>
  <c r="AJ15" i="86"/>
  <c r="AJ14" i="86"/>
  <c r="AJ13" i="86"/>
  <c r="AJ12" i="86"/>
  <c r="AJ11" i="86"/>
  <c r="AJ10" i="86"/>
  <c r="AJ9" i="86"/>
  <c r="AJ8" i="86"/>
  <c r="AJ7" i="86"/>
  <c r="AJ6" i="86"/>
  <c r="AJ5" i="86"/>
  <c r="BB68" i="86"/>
  <c r="BB67" i="86"/>
  <c r="BB66" i="86"/>
  <c r="BB65" i="86"/>
  <c r="BB64" i="86"/>
  <c r="BB63" i="86"/>
  <c r="BB62" i="86"/>
  <c r="BB61" i="86"/>
  <c r="BB60" i="86"/>
  <c r="BB59" i="86"/>
  <c r="BB58" i="86"/>
  <c r="BB57" i="86"/>
  <c r="BB56" i="86"/>
  <c r="BB55" i="86"/>
  <c r="BB54" i="86"/>
  <c r="BB53" i="86"/>
  <c r="BB52" i="86"/>
  <c r="BB51" i="86"/>
  <c r="BB50" i="86"/>
  <c r="BB49" i="86"/>
  <c r="BB48" i="86"/>
  <c r="BB47" i="86"/>
  <c r="BB46" i="86"/>
  <c r="BB45" i="86"/>
  <c r="BB44" i="86"/>
  <c r="BB43" i="86"/>
  <c r="BB42" i="86"/>
  <c r="BB41" i="86"/>
  <c r="BB40" i="86"/>
  <c r="BB39" i="86"/>
  <c r="BB38" i="86"/>
  <c r="BB37" i="86"/>
  <c r="BB36" i="86"/>
  <c r="BB35" i="86"/>
  <c r="BB34" i="86"/>
  <c r="BB33" i="86"/>
  <c r="BB32" i="86"/>
  <c r="BB31" i="86"/>
  <c r="BB30" i="86"/>
  <c r="BB29" i="86"/>
  <c r="BB28" i="86"/>
  <c r="BB27" i="86"/>
  <c r="BB26" i="86"/>
  <c r="BB25" i="86"/>
  <c r="BB24" i="86"/>
  <c r="BB23" i="86"/>
  <c r="BB22" i="86"/>
  <c r="BB21" i="86"/>
  <c r="BB20" i="86"/>
  <c r="BB19" i="86"/>
  <c r="BB18" i="86"/>
  <c r="BB17" i="86"/>
  <c r="BB16" i="86"/>
  <c r="BB15" i="86"/>
  <c r="BB14" i="86"/>
  <c r="BB13" i="86"/>
  <c r="BB12" i="86"/>
  <c r="BB11" i="86"/>
  <c r="BB10" i="86"/>
  <c r="BB9" i="86"/>
  <c r="BB8" i="86"/>
  <c r="BB7" i="86"/>
  <c r="BB6" i="86"/>
  <c r="BB5" i="86"/>
  <c r="CL25" i="86"/>
  <c r="CL26" i="86"/>
  <c r="CL27" i="86"/>
  <c r="CL28" i="86"/>
  <c r="CL29" i="86"/>
  <c r="CL30" i="86"/>
  <c r="CL31" i="86"/>
  <c r="CL32" i="86"/>
  <c r="CL33" i="86"/>
  <c r="CL34" i="86"/>
  <c r="CL35" i="86"/>
  <c r="CG8" i="86"/>
  <c r="CL68" i="86"/>
  <c r="CK68" i="86"/>
  <c r="CJ68" i="86"/>
  <c r="CI68" i="86"/>
  <c r="CH68" i="86"/>
  <c r="CG68" i="86"/>
  <c r="CF68" i="86"/>
  <c r="CL67" i="86"/>
  <c r="CK67" i="86"/>
  <c r="CJ67" i="86"/>
  <c r="CI67" i="86"/>
  <c r="CH67" i="86"/>
  <c r="CG67" i="86"/>
  <c r="CF67" i="86"/>
  <c r="CL66" i="86"/>
  <c r="CK66" i="86"/>
  <c r="CJ66" i="86"/>
  <c r="CI66" i="86"/>
  <c r="CH66" i="86"/>
  <c r="CG66" i="86"/>
  <c r="CF66" i="86"/>
  <c r="CL65" i="86"/>
  <c r="CK65" i="86"/>
  <c r="CJ65" i="86"/>
  <c r="CI65" i="86"/>
  <c r="CH65" i="86"/>
  <c r="CG65" i="86"/>
  <c r="CF65" i="86"/>
  <c r="CL64" i="86"/>
  <c r="CK64" i="86"/>
  <c r="CJ64" i="86"/>
  <c r="CI64" i="86"/>
  <c r="CH64" i="86"/>
  <c r="CG64" i="86"/>
  <c r="CF64" i="86"/>
  <c r="CL63" i="86"/>
  <c r="CK63" i="86"/>
  <c r="CJ63" i="86"/>
  <c r="CI63" i="86"/>
  <c r="CH63" i="86"/>
  <c r="CG63" i="86"/>
  <c r="CF63" i="86"/>
  <c r="CL62" i="86"/>
  <c r="CK62" i="86"/>
  <c r="CJ62" i="86"/>
  <c r="CI62" i="86"/>
  <c r="CH62" i="86"/>
  <c r="CG62" i="86"/>
  <c r="CF62" i="86"/>
  <c r="CL61" i="86"/>
  <c r="CK61" i="86"/>
  <c r="CJ61" i="86"/>
  <c r="CI61" i="86"/>
  <c r="CH61" i="86"/>
  <c r="CG61" i="86"/>
  <c r="CF61" i="86"/>
  <c r="CL60" i="86"/>
  <c r="CK60" i="86"/>
  <c r="CJ60" i="86"/>
  <c r="CI60" i="86"/>
  <c r="CH60" i="86"/>
  <c r="CG60" i="86"/>
  <c r="CF60" i="86"/>
  <c r="CL59" i="86"/>
  <c r="CK59" i="86"/>
  <c r="CJ59" i="86"/>
  <c r="CI59" i="86"/>
  <c r="CH59" i="86"/>
  <c r="CG59" i="86"/>
  <c r="CF59" i="86"/>
  <c r="CL58" i="86"/>
  <c r="CK58" i="86"/>
  <c r="CJ58" i="86"/>
  <c r="CI58" i="86"/>
  <c r="CH58" i="86"/>
  <c r="CG58" i="86"/>
  <c r="CF58" i="86"/>
  <c r="CL57" i="86"/>
  <c r="CK57" i="86"/>
  <c r="CJ57" i="86"/>
  <c r="CI57" i="86"/>
  <c r="CH57" i="86"/>
  <c r="CG57" i="86"/>
  <c r="CF57" i="86"/>
  <c r="CL56" i="86"/>
  <c r="CK56" i="86"/>
  <c r="CJ56" i="86"/>
  <c r="CI56" i="86"/>
  <c r="CH56" i="86"/>
  <c r="CG56" i="86"/>
  <c r="CF56" i="86"/>
  <c r="CL55" i="86"/>
  <c r="CK55" i="86"/>
  <c r="CJ55" i="86"/>
  <c r="CI55" i="86"/>
  <c r="CH55" i="86"/>
  <c r="CG55" i="86"/>
  <c r="CF55" i="86"/>
  <c r="CL54" i="86"/>
  <c r="CK54" i="86"/>
  <c r="CJ54" i="86"/>
  <c r="CI54" i="86"/>
  <c r="CH54" i="86"/>
  <c r="CG54" i="86"/>
  <c r="CF54" i="86"/>
  <c r="CL53" i="86"/>
  <c r="CK53" i="86"/>
  <c r="CJ53" i="86"/>
  <c r="CI53" i="86"/>
  <c r="CH53" i="86"/>
  <c r="CG53" i="86"/>
  <c r="CF53" i="86"/>
  <c r="CL52" i="86"/>
  <c r="CK52" i="86"/>
  <c r="CJ52" i="86"/>
  <c r="CI52" i="86"/>
  <c r="CH52" i="86"/>
  <c r="CG52" i="86"/>
  <c r="CF52" i="86"/>
  <c r="CL51" i="86"/>
  <c r="CK51" i="86"/>
  <c r="CJ51" i="86"/>
  <c r="CI51" i="86"/>
  <c r="CH51" i="86"/>
  <c r="CG51" i="86"/>
  <c r="CF51" i="86"/>
  <c r="CL50" i="86"/>
  <c r="CK50" i="86"/>
  <c r="CJ50" i="86"/>
  <c r="CI50" i="86"/>
  <c r="CH50" i="86"/>
  <c r="CG50" i="86"/>
  <c r="CF50" i="86"/>
  <c r="CL49" i="86"/>
  <c r="CK49" i="86"/>
  <c r="CJ49" i="86"/>
  <c r="CI49" i="86"/>
  <c r="CH49" i="86"/>
  <c r="CG49" i="86"/>
  <c r="CF49" i="86"/>
  <c r="CL48" i="86"/>
  <c r="CK48" i="86"/>
  <c r="CJ48" i="86"/>
  <c r="CI48" i="86"/>
  <c r="CH48" i="86"/>
  <c r="CG48" i="86"/>
  <c r="CF48" i="86"/>
  <c r="CL47" i="86"/>
  <c r="CK47" i="86"/>
  <c r="CJ47" i="86"/>
  <c r="CI47" i="86"/>
  <c r="CH47" i="86"/>
  <c r="CG47" i="86"/>
  <c r="CF47" i="86"/>
  <c r="CL46" i="86"/>
  <c r="CK46" i="86"/>
  <c r="CJ46" i="86"/>
  <c r="CI46" i="86"/>
  <c r="CH46" i="86"/>
  <c r="CG46" i="86"/>
  <c r="CF46" i="86"/>
  <c r="CL45" i="86"/>
  <c r="CK45" i="86"/>
  <c r="CJ45" i="86"/>
  <c r="CI45" i="86"/>
  <c r="CH45" i="86"/>
  <c r="CG45" i="86"/>
  <c r="CF45" i="86"/>
  <c r="CL44" i="86"/>
  <c r="CK44" i="86"/>
  <c r="CJ44" i="86"/>
  <c r="CI44" i="86"/>
  <c r="CH44" i="86"/>
  <c r="CG44" i="86"/>
  <c r="CF44" i="86"/>
  <c r="CL43" i="86"/>
  <c r="CK43" i="86"/>
  <c r="CJ43" i="86"/>
  <c r="CI43" i="86"/>
  <c r="CH43" i="86"/>
  <c r="CG43" i="86"/>
  <c r="CF43" i="86"/>
  <c r="CL42" i="86"/>
  <c r="CK42" i="86"/>
  <c r="CJ42" i="86"/>
  <c r="CI42" i="86"/>
  <c r="CH42" i="86"/>
  <c r="CG42" i="86"/>
  <c r="CF42" i="86"/>
  <c r="CL41" i="86"/>
  <c r="CK41" i="86"/>
  <c r="CJ41" i="86"/>
  <c r="CI41" i="86"/>
  <c r="CH41" i="86"/>
  <c r="CG41" i="86"/>
  <c r="CF41" i="86"/>
  <c r="CL40" i="86"/>
  <c r="CK40" i="86"/>
  <c r="CJ40" i="86"/>
  <c r="CI40" i="86"/>
  <c r="CH40" i="86"/>
  <c r="CG40" i="86"/>
  <c r="CF40" i="86"/>
  <c r="CL39" i="86"/>
  <c r="CK39" i="86"/>
  <c r="CJ39" i="86"/>
  <c r="CI39" i="86"/>
  <c r="CH39" i="86"/>
  <c r="CG39" i="86"/>
  <c r="CF39" i="86"/>
  <c r="CL38" i="86"/>
  <c r="CK38" i="86"/>
  <c r="CJ38" i="86"/>
  <c r="CI38" i="86"/>
  <c r="CH38" i="86"/>
  <c r="CG38" i="86"/>
  <c r="CF38" i="86"/>
  <c r="CL37" i="86"/>
  <c r="CK37" i="86"/>
  <c r="CJ37" i="86"/>
  <c r="CI37" i="86"/>
  <c r="CH37" i="86"/>
  <c r="CG37" i="86"/>
  <c r="CF37" i="86"/>
  <c r="CL36" i="86"/>
  <c r="CK36" i="86"/>
  <c r="CJ36" i="86"/>
  <c r="CI36" i="86"/>
  <c r="CH36" i="86"/>
  <c r="CG36" i="86"/>
  <c r="CF36" i="86"/>
  <c r="CK35" i="86"/>
  <c r="CJ35" i="86"/>
  <c r="CI35" i="86"/>
  <c r="CH35" i="86"/>
  <c r="CG35" i="86"/>
  <c r="CF35" i="86"/>
  <c r="CK34" i="86"/>
  <c r="CJ34" i="86"/>
  <c r="CI34" i="86"/>
  <c r="CH34" i="86"/>
  <c r="CG34" i="86"/>
  <c r="CF34" i="86"/>
  <c r="CK33" i="86"/>
  <c r="CJ33" i="86"/>
  <c r="CI33" i="86"/>
  <c r="CH33" i="86"/>
  <c r="CG33" i="86"/>
  <c r="CF33" i="86"/>
  <c r="CK32" i="86"/>
  <c r="CJ32" i="86"/>
  <c r="CI32" i="86"/>
  <c r="CH32" i="86"/>
  <c r="CG32" i="86"/>
  <c r="CF32" i="86"/>
  <c r="CK31" i="86"/>
  <c r="CJ31" i="86"/>
  <c r="CI31" i="86"/>
  <c r="CH31" i="86"/>
  <c r="CG31" i="86"/>
  <c r="CF31" i="86"/>
  <c r="CK30" i="86"/>
  <c r="CJ30" i="86"/>
  <c r="CI30" i="86"/>
  <c r="CH30" i="86"/>
  <c r="CG30" i="86"/>
  <c r="CF30" i="86"/>
  <c r="CK29" i="86"/>
  <c r="CJ29" i="86"/>
  <c r="CI29" i="86"/>
  <c r="CH29" i="86"/>
  <c r="CG29" i="86"/>
  <c r="CF29" i="86"/>
  <c r="CK28" i="86"/>
  <c r="CJ28" i="86"/>
  <c r="CI28" i="86"/>
  <c r="CH28" i="86"/>
  <c r="CG28" i="86"/>
  <c r="CF28" i="86"/>
  <c r="CK27" i="86"/>
  <c r="CJ27" i="86"/>
  <c r="CI27" i="86"/>
  <c r="CH27" i="86"/>
  <c r="CG27" i="86"/>
  <c r="CF27" i="86"/>
  <c r="CK26" i="86"/>
  <c r="CJ26" i="86"/>
  <c r="CI26" i="86"/>
  <c r="CH26" i="86"/>
  <c r="CG26" i="86"/>
  <c r="CF26" i="86"/>
  <c r="CK25" i="86"/>
  <c r="CJ25" i="86"/>
  <c r="CI25" i="86"/>
  <c r="CH25" i="86"/>
  <c r="CG25" i="86"/>
  <c r="CF25" i="86"/>
  <c r="CL24" i="86"/>
  <c r="CK24" i="86"/>
  <c r="CJ24" i="86"/>
  <c r="CI24" i="86"/>
  <c r="CH24" i="86"/>
  <c r="CG24" i="86"/>
  <c r="CF24" i="86"/>
  <c r="CL23" i="86"/>
  <c r="CK23" i="86"/>
  <c r="CJ23" i="86"/>
  <c r="CI23" i="86"/>
  <c r="CH23" i="86"/>
  <c r="CG23" i="86"/>
  <c r="CF23" i="86"/>
  <c r="CL22" i="86"/>
  <c r="CK22" i="86"/>
  <c r="CJ22" i="86"/>
  <c r="CI22" i="86"/>
  <c r="CH22" i="86"/>
  <c r="CG22" i="86"/>
  <c r="CF22" i="86"/>
  <c r="CL21" i="86"/>
  <c r="CK21" i="86"/>
  <c r="CJ21" i="86"/>
  <c r="CI21" i="86"/>
  <c r="CH21" i="86"/>
  <c r="CG21" i="86"/>
  <c r="CF21" i="86"/>
  <c r="CL20" i="86"/>
  <c r="CK20" i="86"/>
  <c r="CJ20" i="86"/>
  <c r="CI20" i="86"/>
  <c r="CH20" i="86"/>
  <c r="CG20" i="86"/>
  <c r="CF20" i="86"/>
  <c r="CL19" i="86"/>
  <c r="CK19" i="86"/>
  <c r="CJ19" i="86"/>
  <c r="CI19" i="86"/>
  <c r="CH19" i="86"/>
  <c r="CG19" i="86"/>
  <c r="CF19" i="86"/>
  <c r="CL18" i="86"/>
  <c r="CK18" i="86"/>
  <c r="CJ18" i="86"/>
  <c r="CI18" i="86"/>
  <c r="CH18" i="86"/>
  <c r="CG18" i="86"/>
  <c r="CF18" i="86"/>
  <c r="CL17" i="86"/>
  <c r="CK17" i="86"/>
  <c r="CJ17" i="86"/>
  <c r="CI17" i="86"/>
  <c r="CH17" i="86"/>
  <c r="CG17" i="86"/>
  <c r="CF17" i="86"/>
  <c r="CL16" i="86"/>
  <c r="CK16" i="86"/>
  <c r="CJ16" i="86"/>
  <c r="CI16" i="86"/>
  <c r="CH16" i="86"/>
  <c r="CG16" i="86"/>
  <c r="CF16" i="86"/>
  <c r="CL15" i="86"/>
  <c r="CK15" i="86"/>
  <c r="CJ15" i="86"/>
  <c r="CI15" i="86"/>
  <c r="CH15" i="86"/>
  <c r="CG15" i="86"/>
  <c r="CF15" i="86"/>
  <c r="CL14" i="86"/>
  <c r="CK14" i="86"/>
  <c r="CJ14" i="86"/>
  <c r="CI14" i="86"/>
  <c r="CH14" i="86"/>
  <c r="CG14" i="86"/>
  <c r="CF14" i="86"/>
  <c r="CL13" i="86"/>
  <c r="CK13" i="86"/>
  <c r="CJ13" i="86"/>
  <c r="CI13" i="86"/>
  <c r="CH13" i="86"/>
  <c r="CG13" i="86"/>
  <c r="CF13" i="86"/>
  <c r="CL12" i="86"/>
  <c r="CK12" i="86"/>
  <c r="CJ12" i="86"/>
  <c r="CI12" i="86"/>
  <c r="CH12" i="86"/>
  <c r="CG12" i="86"/>
  <c r="CF12" i="86"/>
  <c r="CL11" i="86"/>
  <c r="CK11" i="86"/>
  <c r="CJ11" i="86"/>
  <c r="CI11" i="86"/>
  <c r="CH11" i="86"/>
  <c r="CG11" i="86"/>
  <c r="CF11" i="86"/>
  <c r="CL10" i="86"/>
  <c r="CK10" i="86"/>
  <c r="CJ10" i="86"/>
  <c r="CI10" i="86"/>
  <c r="CH10" i="86"/>
  <c r="CG10" i="86"/>
  <c r="CF10" i="86"/>
  <c r="CL9" i="86"/>
  <c r="CK9" i="86"/>
  <c r="CJ9" i="86"/>
  <c r="CI9" i="86"/>
  <c r="CH9" i="86"/>
  <c r="CG9" i="86"/>
  <c r="CF9" i="86"/>
  <c r="CL8" i="86"/>
  <c r="CK8" i="86"/>
  <c r="CJ8" i="86"/>
  <c r="CI8" i="86"/>
  <c r="CH8" i="86"/>
  <c r="CF8" i="86"/>
  <c r="CL7" i="86"/>
  <c r="CK7" i="86"/>
  <c r="CJ7" i="86"/>
  <c r="CI7" i="86"/>
  <c r="CH7" i="86"/>
  <c r="CG7" i="86"/>
  <c r="CF7" i="86"/>
  <c r="CL6" i="86"/>
  <c r="CK6" i="86"/>
  <c r="CJ6" i="86"/>
  <c r="CI6" i="86"/>
  <c r="CH6" i="86"/>
  <c r="CG6" i="86"/>
  <c r="CF6" i="86"/>
  <c r="CL5" i="86"/>
  <c r="CK5" i="86"/>
  <c r="CJ5" i="86"/>
  <c r="CI5" i="86"/>
  <c r="CH5" i="86"/>
  <c r="CG5" i="86"/>
  <c r="CF5" i="86"/>
  <c r="BT68" i="86"/>
  <c r="BS68" i="86"/>
  <c r="BR68" i="86"/>
  <c r="BQ68" i="86"/>
  <c r="BP68" i="86"/>
  <c r="BO68" i="86"/>
  <c r="BN68" i="86"/>
  <c r="BT67" i="86"/>
  <c r="BS67" i="86"/>
  <c r="BR67" i="86"/>
  <c r="BQ67" i="86"/>
  <c r="BP67" i="86"/>
  <c r="BO67" i="86"/>
  <c r="BN67" i="86"/>
  <c r="BT66" i="86"/>
  <c r="BS66" i="86"/>
  <c r="BR66" i="86"/>
  <c r="BQ66" i="86"/>
  <c r="BP66" i="86"/>
  <c r="BO66" i="86"/>
  <c r="BN66" i="86"/>
  <c r="BT65" i="86"/>
  <c r="BS65" i="86"/>
  <c r="BR65" i="86"/>
  <c r="BQ65" i="86"/>
  <c r="BP65" i="86"/>
  <c r="BO65" i="86"/>
  <c r="BN65" i="86"/>
  <c r="BT64" i="86"/>
  <c r="BS64" i="86"/>
  <c r="BR64" i="86"/>
  <c r="BQ64" i="86"/>
  <c r="BP64" i="86"/>
  <c r="BO64" i="86"/>
  <c r="BN64" i="86"/>
  <c r="BT63" i="86"/>
  <c r="BS63" i="86"/>
  <c r="BR63" i="86"/>
  <c r="BQ63" i="86"/>
  <c r="BP63" i="86"/>
  <c r="BO63" i="86"/>
  <c r="BN63" i="86"/>
  <c r="BT62" i="86"/>
  <c r="BS62" i="86"/>
  <c r="BR62" i="86"/>
  <c r="BQ62" i="86"/>
  <c r="BP62" i="86"/>
  <c r="BO62" i="86"/>
  <c r="BN62" i="86"/>
  <c r="BT61" i="86"/>
  <c r="BS61" i="86"/>
  <c r="BR61" i="86"/>
  <c r="BQ61" i="86"/>
  <c r="BP61" i="86"/>
  <c r="BO61" i="86"/>
  <c r="BN61" i="86"/>
  <c r="BT60" i="86"/>
  <c r="BS60" i="86"/>
  <c r="BR60" i="86"/>
  <c r="BQ60" i="86"/>
  <c r="BP60" i="86"/>
  <c r="BO60" i="86"/>
  <c r="BN60" i="86"/>
  <c r="BT59" i="86"/>
  <c r="BS59" i="86"/>
  <c r="BR59" i="86"/>
  <c r="BQ59" i="86"/>
  <c r="BP59" i="86"/>
  <c r="BO59" i="86"/>
  <c r="BN59" i="86"/>
  <c r="BT58" i="86"/>
  <c r="BS58" i="86"/>
  <c r="BR58" i="86"/>
  <c r="BQ58" i="86"/>
  <c r="BP58" i="86"/>
  <c r="BO58" i="86"/>
  <c r="BN58" i="86"/>
  <c r="BT57" i="86"/>
  <c r="BS57" i="86"/>
  <c r="BR57" i="86"/>
  <c r="BQ57" i="86"/>
  <c r="BP57" i="86"/>
  <c r="BO57" i="86"/>
  <c r="BN57" i="86"/>
  <c r="BT56" i="86"/>
  <c r="BS56" i="86"/>
  <c r="BR56" i="86"/>
  <c r="BQ56" i="86"/>
  <c r="BP56" i="86"/>
  <c r="BO56" i="86"/>
  <c r="BN56" i="86"/>
  <c r="BT55" i="86"/>
  <c r="BS55" i="86"/>
  <c r="BR55" i="86"/>
  <c r="BQ55" i="86"/>
  <c r="BP55" i="86"/>
  <c r="BO55" i="86"/>
  <c r="BN55" i="86"/>
  <c r="BT54" i="86"/>
  <c r="BS54" i="86"/>
  <c r="BR54" i="86"/>
  <c r="BQ54" i="86"/>
  <c r="BP54" i="86"/>
  <c r="BO54" i="86"/>
  <c r="BN54" i="86"/>
  <c r="BT53" i="86"/>
  <c r="BS53" i="86"/>
  <c r="BR53" i="86"/>
  <c r="BQ53" i="86"/>
  <c r="BP53" i="86"/>
  <c r="BO53" i="86"/>
  <c r="BN53" i="86"/>
  <c r="BT52" i="86"/>
  <c r="BS52" i="86"/>
  <c r="BR52" i="86"/>
  <c r="BQ52" i="86"/>
  <c r="BP52" i="86"/>
  <c r="BO52" i="86"/>
  <c r="BN52" i="86"/>
  <c r="BT51" i="86"/>
  <c r="BS51" i="86"/>
  <c r="BR51" i="86"/>
  <c r="BQ51" i="86"/>
  <c r="BP51" i="86"/>
  <c r="BO51" i="86"/>
  <c r="BN51" i="86"/>
  <c r="BT50" i="86"/>
  <c r="BS50" i="86"/>
  <c r="BR50" i="86"/>
  <c r="BQ50" i="86"/>
  <c r="BP50" i="86"/>
  <c r="BO50" i="86"/>
  <c r="BN50" i="86"/>
  <c r="BT49" i="86"/>
  <c r="BS49" i="86"/>
  <c r="BR49" i="86"/>
  <c r="BQ49" i="86"/>
  <c r="BP49" i="86"/>
  <c r="BO49" i="86"/>
  <c r="BN49" i="86"/>
  <c r="BT48" i="86"/>
  <c r="BS48" i="86"/>
  <c r="BR48" i="86"/>
  <c r="BQ48" i="86"/>
  <c r="BP48" i="86"/>
  <c r="BO48" i="86"/>
  <c r="BN48" i="86"/>
  <c r="BT47" i="86"/>
  <c r="BS47" i="86"/>
  <c r="BR47" i="86"/>
  <c r="BQ47" i="86"/>
  <c r="BP47" i="86"/>
  <c r="BO47" i="86"/>
  <c r="BN47" i="86"/>
  <c r="BT46" i="86"/>
  <c r="BS46" i="86"/>
  <c r="BR46" i="86"/>
  <c r="BQ46" i="86"/>
  <c r="BP46" i="86"/>
  <c r="BO46" i="86"/>
  <c r="BN46" i="86"/>
  <c r="BT45" i="86"/>
  <c r="BS45" i="86"/>
  <c r="BR45" i="86"/>
  <c r="BQ45" i="86"/>
  <c r="BP45" i="86"/>
  <c r="BO45" i="86"/>
  <c r="BN45" i="86"/>
  <c r="BT44" i="86"/>
  <c r="BS44" i="86"/>
  <c r="BR44" i="86"/>
  <c r="BQ44" i="86"/>
  <c r="BP44" i="86"/>
  <c r="BO44" i="86"/>
  <c r="BN44" i="86"/>
  <c r="BT43" i="86"/>
  <c r="BS43" i="86"/>
  <c r="BR43" i="86"/>
  <c r="BQ43" i="86"/>
  <c r="BP43" i="86"/>
  <c r="BO43" i="86"/>
  <c r="BN43" i="86"/>
  <c r="BT42" i="86"/>
  <c r="BS42" i="86"/>
  <c r="BR42" i="86"/>
  <c r="BQ42" i="86"/>
  <c r="BP42" i="86"/>
  <c r="BO42" i="86"/>
  <c r="BN42" i="86"/>
  <c r="BT41" i="86"/>
  <c r="BS41" i="86"/>
  <c r="BR41" i="86"/>
  <c r="BQ41" i="86"/>
  <c r="BP41" i="86"/>
  <c r="BO41" i="86"/>
  <c r="BN41" i="86"/>
  <c r="BT40" i="86"/>
  <c r="BS40" i="86"/>
  <c r="BR40" i="86"/>
  <c r="BQ40" i="86"/>
  <c r="BP40" i="86"/>
  <c r="BO40" i="86"/>
  <c r="BN40" i="86"/>
  <c r="BT39" i="86"/>
  <c r="BS39" i="86"/>
  <c r="BR39" i="86"/>
  <c r="BQ39" i="86"/>
  <c r="BP39" i="86"/>
  <c r="BO39" i="86"/>
  <c r="BN39" i="86"/>
  <c r="BT38" i="86"/>
  <c r="BS38" i="86"/>
  <c r="BR38" i="86"/>
  <c r="BQ38" i="86"/>
  <c r="BP38" i="86"/>
  <c r="BO38" i="86"/>
  <c r="BN38" i="86"/>
  <c r="BT37" i="86"/>
  <c r="BS37" i="86"/>
  <c r="BR37" i="86"/>
  <c r="BQ37" i="86"/>
  <c r="BP37" i="86"/>
  <c r="BO37" i="86"/>
  <c r="BN37" i="86"/>
  <c r="BT36" i="86"/>
  <c r="BS36" i="86"/>
  <c r="BR36" i="86"/>
  <c r="BQ36" i="86"/>
  <c r="BP36" i="86"/>
  <c r="BO36" i="86"/>
  <c r="BN36" i="86"/>
  <c r="BT35" i="86"/>
  <c r="BS35" i="86"/>
  <c r="BR35" i="86"/>
  <c r="BQ35" i="86"/>
  <c r="BP35" i="86"/>
  <c r="BO35" i="86"/>
  <c r="BN35" i="86"/>
  <c r="BT34" i="86"/>
  <c r="BS34" i="86"/>
  <c r="BR34" i="86"/>
  <c r="BQ34" i="86"/>
  <c r="BP34" i="86"/>
  <c r="BO34" i="86"/>
  <c r="BN34" i="86"/>
  <c r="BT33" i="86"/>
  <c r="BS33" i="86"/>
  <c r="BR33" i="86"/>
  <c r="BQ33" i="86"/>
  <c r="BP33" i="86"/>
  <c r="BO33" i="86"/>
  <c r="BN33" i="86"/>
  <c r="BT32" i="86"/>
  <c r="BS32" i="86"/>
  <c r="BR32" i="86"/>
  <c r="BQ32" i="86"/>
  <c r="BP32" i="86"/>
  <c r="BO32" i="86"/>
  <c r="BN32" i="86"/>
  <c r="BT31" i="86"/>
  <c r="BS31" i="86"/>
  <c r="BR31" i="86"/>
  <c r="BQ31" i="86"/>
  <c r="BP31" i="86"/>
  <c r="BO31" i="86"/>
  <c r="BN31" i="86"/>
  <c r="BT30" i="86"/>
  <c r="BS30" i="86"/>
  <c r="BR30" i="86"/>
  <c r="BQ30" i="86"/>
  <c r="BP30" i="86"/>
  <c r="BO30" i="86"/>
  <c r="BN30" i="86"/>
  <c r="BT29" i="86"/>
  <c r="BS29" i="86"/>
  <c r="BR29" i="86"/>
  <c r="BQ29" i="86"/>
  <c r="BP29" i="86"/>
  <c r="BO29" i="86"/>
  <c r="BN29" i="86"/>
  <c r="BT28" i="86"/>
  <c r="BS28" i="86"/>
  <c r="BR28" i="86"/>
  <c r="BQ28" i="86"/>
  <c r="BP28" i="86"/>
  <c r="BO28" i="86"/>
  <c r="BN28" i="86"/>
  <c r="BT27" i="86"/>
  <c r="BS27" i="86"/>
  <c r="BR27" i="86"/>
  <c r="BQ27" i="86"/>
  <c r="BP27" i="86"/>
  <c r="BO27" i="86"/>
  <c r="BN27" i="86"/>
  <c r="BT26" i="86"/>
  <c r="BS26" i="86"/>
  <c r="BR26" i="86"/>
  <c r="BQ26" i="86"/>
  <c r="BP26" i="86"/>
  <c r="BO26" i="86"/>
  <c r="BN26" i="86"/>
  <c r="BT25" i="86"/>
  <c r="BS25" i="86"/>
  <c r="BR25" i="86"/>
  <c r="BQ25" i="86"/>
  <c r="BP25" i="86"/>
  <c r="BO25" i="86"/>
  <c r="BN25" i="86"/>
  <c r="BT24" i="86"/>
  <c r="BS24" i="86"/>
  <c r="BR24" i="86"/>
  <c r="BQ24" i="86"/>
  <c r="BP24" i="86"/>
  <c r="BO24" i="86"/>
  <c r="BN24" i="86"/>
  <c r="BT23" i="86"/>
  <c r="BS23" i="86"/>
  <c r="BR23" i="86"/>
  <c r="BQ23" i="86"/>
  <c r="BP23" i="86"/>
  <c r="BO23" i="86"/>
  <c r="BN23" i="86"/>
  <c r="BT22" i="86"/>
  <c r="BS22" i="86"/>
  <c r="BR22" i="86"/>
  <c r="BQ22" i="86"/>
  <c r="BP22" i="86"/>
  <c r="BO22" i="86"/>
  <c r="BN22" i="86"/>
  <c r="BT21" i="86"/>
  <c r="BS21" i="86"/>
  <c r="BR21" i="86"/>
  <c r="BQ21" i="86"/>
  <c r="BP21" i="86"/>
  <c r="BO21" i="86"/>
  <c r="BN21" i="86"/>
  <c r="BT20" i="86"/>
  <c r="BS20" i="86"/>
  <c r="BR20" i="86"/>
  <c r="BQ20" i="86"/>
  <c r="BP20" i="86"/>
  <c r="BO20" i="86"/>
  <c r="BN20" i="86"/>
  <c r="BT19" i="86"/>
  <c r="BS19" i="86"/>
  <c r="BR19" i="86"/>
  <c r="BQ19" i="86"/>
  <c r="BP19" i="86"/>
  <c r="BO19" i="86"/>
  <c r="BN19" i="86"/>
  <c r="BT18" i="86"/>
  <c r="BS18" i="86"/>
  <c r="BR18" i="86"/>
  <c r="BQ18" i="86"/>
  <c r="BP18" i="86"/>
  <c r="BO18" i="86"/>
  <c r="BN18" i="86"/>
  <c r="BT17" i="86"/>
  <c r="BS17" i="86"/>
  <c r="BR17" i="86"/>
  <c r="BQ17" i="86"/>
  <c r="BP17" i="86"/>
  <c r="BO17" i="86"/>
  <c r="BN17" i="86"/>
  <c r="BT16" i="86"/>
  <c r="BS16" i="86"/>
  <c r="BR16" i="86"/>
  <c r="BQ16" i="86"/>
  <c r="BP16" i="86"/>
  <c r="BO16" i="86"/>
  <c r="BN16" i="86"/>
  <c r="BT15" i="86"/>
  <c r="BS15" i="86"/>
  <c r="BR15" i="86"/>
  <c r="BQ15" i="86"/>
  <c r="BP15" i="86"/>
  <c r="BO15" i="86"/>
  <c r="BN15" i="86"/>
  <c r="BT14" i="86"/>
  <c r="BS14" i="86"/>
  <c r="BR14" i="86"/>
  <c r="BQ14" i="86"/>
  <c r="BP14" i="86"/>
  <c r="BO14" i="86"/>
  <c r="BN14" i="86"/>
  <c r="BT13" i="86"/>
  <c r="BS13" i="86"/>
  <c r="BR13" i="86"/>
  <c r="BQ13" i="86"/>
  <c r="BP13" i="86"/>
  <c r="BO13" i="86"/>
  <c r="BN13" i="86"/>
  <c r="BT12" i="86"/>
  <c r="BS12" i="86"/>
  <c r="BR12" i="86"/>
  <c r="BQ12" i="86"/>
  <c r="BP12" i="86"/>
  <c r="BO12" i="86"/>
  <c r="BN12" i="86"/>
  <c r="BT11" i="86"/>
  <c r="BS11" i="86"/>
  <c r="BR11" i="86"/>
  <c r="BQ11" i="86"/>
  <c r="BP11" i="86"/>
  <c r="BO11" i="86"/>
  <c r="BN11" i="86"/>
  <c r="BT10" i="86"/>
  <c r="BS10" i="86"/>
  <c r="BR10" i="86"/>
  <c r="BQ10" i="86"/>
  <c r="BP10" i="86"/>
  <c r="BO10" i="86"/>
  <c r="BN10" i="86"/>
  <c r="BT9" i="86"/>
  <c r="BS9" i="86"/>
  <c r="BR9" i="86"/>
  <c r="BQ9" i="86"/>
  <c r="BP9" i="86"/>
  <c r="BO9" i="86"/>
  <c r="BN9" i="86"/>
  <c r="BT8" i="86"/>
  <c r="BS8" i="86"/>
  <c r="BR8" i="86"/>
  <c r="BQ8" i="86"/>
  <c r="BP8" i="86"/>
  <c r="BO8" i="86"/>
  <c r="BN8" i="86"/>
  <c r="BT7" i="86"/>
  <c r="BS7" i="86"/>
  <c r="BR7" i="86"/>
  <c r="BQ7" i="86"/>
  <c r="BP7" i="86"/>
  <c r="BO7" i="86"/>
  <c r="BN7" i="86"/>
  <c r="BT6" i="86"/>
  <c r="BS6" i="86"/>
  <c r="BR6" i="86"/>
  <c r="BQ6" i="86"/>
  <c r="BP6" i="86"/>
  <c r="BO6" i="86"/>
  <c r="BN6" i="86"/>
  <c r="BT5" i="86"/>
  <c r="BS5" i="86"/>
  <c r="BR5" i="86"/>
  <c r="BQ5" i="86"/>
  <c r="BP5" i="86"/>
  <c r="BO5" i="86"/>
  <c r="BN5" i="86"/>
  <c r="BA68" i="86"/>
  <c r="AZ68" i="86"/>
  <c r="AY68" i="86"/>
  <c r="AX68" i="86"/>
  <c r="AW68" i="86"/>
  <c r="AV68" i="86"/>
  <c r="BA67" i="86"/>
  <c r="AZ67" i="86"/>
  <c r="AY67" i="86"/>
  <c r="AX67" i="86"/>
  <c r="AW67" i="86"/>
  <c r="AV67" i="86"/>
  <c r="BA66" i="86"/>
  <c r="AZ66" i="86"/>
  <c r="AY66" i="86"/>
  <c r="AX66" i="86"/>
  <c r="AW66" i="86"/>
  <c r="AV66" i="86"/>
  <c r="BA65" i="86"/>
  <c r="AZ65" i="86"/>
  <c r="AY65" i="86"/>
  <c r="AX65" i="86"/>
  <c r="AW65" i="86"/>
  <c r="AV65" i="86"/>
  <c r="BA64" i="86"/>
  <c r="AZ64" i="86"/>
  <c r="AY64" i="86"/>
  <c r="AX64" i="86"/>
  <c r="AW64" i="86"/>
  <c r="AV64" i="86"/>
  <c r="BA63" i="86"/>
  <c r="AZ63" i="86"/>
  <c r="AY63" i="86"/>
  <c r="AX63" i="86"/>
  <c r="AW63" i="86"/>
  <c r="AV63" i="86"/>
  <c r="BA62" i="86"/>
  <c r="AZ62" i="86"/>
  <c r="AY62" i="86"/>
  <c r="AX62" i="86"/>
  <c r="AW62" i="86"/>
  <c r="AV62" i="86"/>
  <c r="BA61" i="86"/>
  <c r="AZ61" i="86"/>
  <c r="AY61" i="86"/>
  <c r="AX61" i="86"/>
  <c r="AW61" i="86"/>
  <c r="AV61" i="86"/>
  <c r="BA60" i="86"/>
  <c r="AZ60" i="86"/>
  <c r="AY60" i="86"/>
  <c r="AX60" i="86"/>
  <c r="AW60" i="86"/>
  <c r="AV60" i="86"/>
  <c r="BA59" i="86"/>
  <c r="AZ59" i="86"/>
  <c r="AY59" i="86"/>
  <c r="AX59" i="86"/>
  <c r="AW59" i="86"/>
  <c r="AV59" i="86"/>
  <c r="BA58" i="86"/>
  <c r="AZ58" i="86"/>
  <c r="AY58" i="86"/>
  <c r="AX58" i="86"/>
  <c r="AW58" i="86"/>
  <c r="AV58" i="86"/>
  <c r="BA57" i="86"/>
  <c r="AZ57" i="86"/>
  <c r="AY57" i="86"/>
  <c r="AX57" i="86"/>
  <c r="AW57" i="86"/>
  <c r="AV57" i="86"/>
  <c r="BA56" i="86"/>
  <c r="AZ56" i="86"/>
  <c r="AY56" i="86"/>
  <c r="AX56" i="86"/>
  <c r="AW56" i="86"/>
  <c r="AV56" i="86"/>
  <c r="BA55" i="86"/>
  <c r="AZ55" i="86"/>
  <c r="AY55" i="86"/>
  <c r="AX55" i="86"/>
  <c r="AW55" i="86"/>
  <c r="AV55" i="86"/>
  <c r="BA54" i="86"/>
  <c r="AZ54" i="86"/>
  <c r="AY54" i="86"/>
  <c r="AX54" i="86"/>
  <c r="AW54" i="86"/>
  <c r="AV54" i="86"/>
  <c r="BA53" i="86"/>
  <c r="AZ53" i="86"/>
  <c r="AY53" i="86"/>
  <c r="AX53" i="86"/>
  <c r="AW53" i="86"/>
  <c r="AV53" i="86"/>
  <c r="BA52" i="86"/>
  <c r="AZ52" i="86"/>
  <c r="AY52" i="86"/>
  <c r="AX52" i="86"/>
  <c r="AW52" i="86"/>
  <c r="AV52" i="86"/>
  <c r="BA51" i="86"/>
  <c r="AZ51" i="86"/>
  <c r="AY51" i="86"/>
  <c r="AX51" i="86"/>
  <c r="AW51" i="86"/>
  <c r="AV51" i="86"/>
  <c r="BA50" i="86"/>
  <c r="AZ50" i="86"/>
  <c r="AY50" i="86"/>
  <c r="AX50" i="86"/>
  <c r="AW50" i="86"/>
  <c r="AV50" i="86"/>
  <c r="BA49" i="86"/>
  <c r="AZ49" i="86"/>
  <c r="AY49" i="86"/>
  <c r="AX49" i="86"/>
  <c r="AW49" i="86"/>
  <c r="AV49" i="86"/>
  <c r="BA48" i="86"/>
  <c r="AZ48" i="86"/>
  <c r="AY48" i="86"/>
  <c r="AX48" i="86"/>
  <c r="AW48" i="86"/>
  <c r="AV48" i="86"/>
  <c r="BA47" i="86"/>
  <c r="AZ47" i="86"/>
  <c r="AY47" i="86"/>
  <c r="AX47" i="86"/>
  <c r="AW47" i="86"/>
  <c r="AV47" i="86"/>
  <c r="BA46" i="86"/>
  <c r="AZ46" i="86"/>
  <c r="AY46" i="86"/>
  <c r="AX46" i="86"/>
  <c r="AW46" i="86"/>
  <c r="AV46" i="86"/>
  <c r="BA45" i="86"/>
  <c r="AZ45" i="86"/>
  <c r="AY45" i="86"/>
  <c r="AX45" i="86"/>
  <c r="AW45" i="86"/>
  <c r="AV45" i="86"/>
  <c r="BA44" i="86"/>
  <c r="AZ44" i="86"/>
  <c r="AY44" i="86"/>
  <c r="AX44" i="86"/>
  <c r="AW44" i="86"/>
  <c r="AV44" i="86"/>
  <c r="BA43" i="86"/>
  <c r="AZ43" i="86"/>
  <c r="AY43" i="86"/>
  <c r="AX43" i="86"/>
  <c r="AW43" i="86"/>
  <c r="AV43" i="86"/>
  <c r="BA42" i="86"/>
  <c r="AZ42" i="86"/>
  <c r="AY42" i="86"/>
  <c r="AX42" i="86"/>
  <c r="AW42" i="86"/>
  <c r="AV42" i="86"/>
  <c r="BA41" i="86"/>
  <c r="AZ41" i="86"/>
  <c r="AY41" i="86"/>
  <c r="AX41" i="86"/>
  <c r="AW41" i="86"/>
  <c r="AV41" i="86"/>
  <c r="BA40" i="86"/>
  <c r="AZ40" i="86"/>
  <c r="AY40" i="86"/>
  <c r="AX40" i="86"/>
  <c r="AW40" i="86"/>
  <c r="AV40" i="86"/>
  <c r="BA39" i="86"/>
  <c r="AZ39" i="86"/>
  <c r="AY39" i="86"/>
  <c r="AX39" i="86"/>
  <c r="AW39" i="86"/>
  <c r="AV39" i="86"/>
  <c r="BA38" i="86"/>
  <c r="AZ38" i="86"/>
  <c r="AY38" i="86"/>
  <c r="AX38" i="86"/>
  <c r="AW38" i="86"/>
  <c r="AV38" i="86"/>
  <c r="BA37" i="86"/>
  <c r="AZ37" i="86"/>
  <c r="AY37" i="86"/>
  <c r="AX37" i="86"/>
  <c r="AW37" i="86"/>
  <c r="AV37" i="86"/>
  <c r="BA36" i="86"/>
  <c r="AZ36" i="86"/>
  <c r="AY36" i="86"/>
  <c r="AX36" i="86"/>
  <c r="AW36" i="86"/>
  <c r="AV36" i="86"/>
  <c r="BA35" i="86"/>
  <c r="AZ35" i="86"/>
  <c r="AY35" i="86"/>
  <c r="AX35" i="86"/>
  <c r="AW35" i="86"/>
  <c r="AV35" i="86"/>
  <c r="BA34" i="86"/>
  <c r="AZ34" i="86"/>
  <c r="AY34" i="86"/>
  <c r="AX34" i="86"/>
  <c r="AW34" i="86"/>
  <c r="AV34" i="86"/>
  <c r="BA33" i="86"/>
  <c r="AZ33" i="86"/>
  <c r="AY33" i="86"/>
  <c r="AX33" i="86"/>
  <c r="AW33" i="86"/>
  <c r="AV33" i="86"/>
  <c r="BA32" i="86"/>
  <c r="AZ32" i="86"/>
  <c r="AY32" i="86"/>
  <c r="AX32" i="86"/>
  <c r="AW32" i="86"/>
  <c r="AV32" i="86"/>
  <c r="BA31" i="86"/>
  <c r="AZ31" i="86"/>
  <c r="AY31" i="86"/>
  <c r="AX31" i="86"/>
  <c r="AW31" i="86"/>
  <c r="AV31" i="86"/>
  <c r="BA30" i="86"/>
  <c r="AZ30" i="86"/>
  <c r="AY30" i="86"/>
  <c r="AX30" i="86"/>
  <c r="AW30" i="86"/>
  <c r="AV30" i="86"/>
  <c r="BA29" i="86"/>
  <c r="AZ29" i="86"/>
  <c r="AY29" i="86"/>
  <c r="AX29" i="86"/>
  <c r="AW29" i="86"/>
  <c r="AV29" i="86"/>
  <c r="BA28" i="86"/>
  <c r="AZ28" i="86"/>
  <c r="AY28" i="86"/>
  <c r="AX28" i="86"/>
  <c r="AW28" i="86"/>
  <c r="AV28" i="86"/>
  <c r="BA27" i="86"/>
  <c r="AZ27" i="86"/>
  <c r="AY27" i="86"/>
  <c r="AX27" i="86"/>
  <c r="AW27" i="86"/>
  <c r="BA26" i="86"/>
  <c r="AZ26" i="86"/>
  <c r="AY26" i="86"/>
  <c r="AX26" i="86"/>
  <c r="AW26" i="86"/>
  <c r="AV26" i="86"/>
  <c r="BA25" i="86"/>
  <c r="AZ25" i="86"/>
  <c r="AY25" i="86"/>
  <c r="AX25" i="86"/>
  <c r="AW25" i="86"/>
  <c r="AV25" i="86"/>
  <c r="BA24" i="86"/>
  <c r="AZ24" i="86"/>
  <c r="AY24" i="86"/>
  <c r="AX24" i="86"/>
  <c r="AW24" i="86"/>
  <c r="AV24" i="86"/>
  <c r="BA23" i="86"/>
  <c r="AZ23" i="86"/>
  <c r="AY23" i="86"/>
  <c r="AX23" i="86"/>
  <c r="AW23" i="86"/>
  <c r="AV23" i="86"/>
  <c r="BA22" i="86"/>
  <c r="AZ22" i="86"/>
  <c r="AY22" i="86"/>
  <c r="AX22" i="86"/>
  <c r="AW22" i="86"/>
  <c r="AV22" i="86"/>
  <c r="BA21" i="86"/>
  <c r="AZ21" i="86"/>
  <c r="AY21" i="86"/>
  <c r="AX21" i="86"/>
  <c r="AW21" i="86"/>
  <c r="AV21" i="86"/>
  <c r="BA20" i="86"/>
  <c r="AZ20" i="86"/>
  <c r="AY20" i="86"/>
  <c r="AX20" i="86"/>
  <c r="AW20" i="86"/>
  <c r="AV20" i="86"/>
  <c r="BA19" i="86"/>
  <c r="AZ19" i="86"/>
  <c r="AY19" i="86"/>
  <c r="AX19" i="86"/>
  <c r="AW19" i="86"/>
  <c r="AV19" i="86"/>
  <c r="BA18" i="86"/>
  <c r="AZ18" i="86"/>
  <c r="AY18" i="86"/>
  <c r="AX18" i="86"/>
  <c r="AW18" i="86"/>
  <c r="AV18" i="86"/>
  <c r="BA17" i="86"/>
  <c r="AZ17" i="86"/>
  <c r="AY17" i="86"/>
  <c r="AX17" i="86"/>
  <c r="AW17" i="86"/>
  <c r="AV17" i="86"/>
  <c r="BA16" i="86"/>
  <c r="AZ16" i="86"/>
  <c r="AY16" i="86"/>
  <c r="AX16" i="86"/>
  <c r="AW16" i="86"/>
  <c r="AV16" i="86"/>
  <c r="BA15" i="86"/>
  <c r="AZ15" i="86"/>
  <c r="AY15" i="86"/>
  <c r="AX15" i="86"/>
  <c r="AW15" i="86"/>
  <c r="AV15" i="86"/>
  <c r="BA14" i="86"/>
  <c r="AZ14" i="86"/>
  <c r="AY14" i="86"/>
  <c r="AX14" i="86"/>
  <c r="AW14" i="86"/>
  <c r="AV14" i="86"/>
  <c r="BA13" i="86"/>
  <c r="AZ13" i="86"/>
  <c r="AY13" i="86"/>
  <c r="AX13" i="86"/>
  <c r="AW13" i="86"/>
  <c r="AV13" i="86"/>
  <c r="BA12" i="86"/>
  <c r="AZ12" i="86"/>
  <c r="AY12" i="86"/>
  <c r="AX12" i="86"/>
  <c r="AW12" i="86"/>
  <c r="AV12" i="86"/>
  <c r="BA11" i="86"/>
  <c r="AZ11" i="86"/>
  <c r="AY11" i="86"/>
  <c r="AX11" i="86"/>
  <c r="AW11" i="86"/>
  <c r="AV11" i="86"/>
  <c r="BA10" i="86"/>
  <c r="AZ10" i="86"/>
  <c r="AY10" i="86"/>
  <c r="AX10" i="86"/>
  <c r="AW10" i="86"/>
  <c r="AV10" i="86"/>
  <c r="BA9" i="86"/>
  <c r="AZ9" i="86"/>
  <c r="AY9" i="86"/>
  <c r="AX9" i="86"/>
  <c r="AW9" i="86"/>
  <c r="AV9" i="86"/>
  <c r="BA8" i="86"/>
  <c r="AZ8" i="86"/>
  <c r="AY8" i="86"/>
  <c r="AX8" i="86"/>
  <c r="AW8" i="86"/>
  <c r="AV8" i="86"/>
  <c r="BA7" i="86"/>
  <c r="AZ7" i="86"/>
  <c r="AY7" i="86"/>
  <c r="AX7" i="86"/>
  <c r="AW7" i="86"/>
  <c r="AV7" i="86"/>
  <c r="BA6" i="86"/>
  <c r="AZ6" i="86"/>
  <c r="AY6" i="86"/>
  <c r="AX6" i="86"/>
  <c r="AW6" i="86"/>
  <c r="AV6" i="86"/>
  <c r="BA5" i="86"/>
  <c r="AZ5" i="86"/>
  <c r="AY5" i="86"/>
  <c r="AX5" i="86"/>
  <c r="AW5" i="86"/>
  <c r="AV5" i="86"/>
  <c r="AI68" i="86"/>
  <c r="AH68" i="86"/>
  <c r="AG68" i="86"/>
  <c r="AF68" i="86"/>
  <c r="AE68" i="86"/>
  <c r="AD68" i="86"/>
  <c r="AI67" i="86"/>
  <c r="AH67" i="86"/>
  <c r="AG67" i="86"/>
  <c r="AF67" i="86"/>
  <c r="AE67" i="86"/>
  <c r="AD67" i="86"/>
  <c r="AI66" i="86"/>
  <c r="AH66" i="86"/>
  <c r="AG66" i="86"/>
  <c r="AF66" i="86"/>
  <c r="AE66" i="86"/>
  <c r="AD66" i="86"/>
  <c r="AI65" i="86"/>
  <c r="AH65" i="86"/>
  <c r="AG65" i="86"/>
  <c r="AF65" i="86"/>
  <c r="AE65" i="86"/>
  <c r="AD65" i="86"/>
  <c r="AI64" i="86"/>
  <c r="AH64" i="86"/>
  <c r="AG64" i="86"/>
  <c r="AF64" i="86"/>
  <c r="AE64" i="86"/>
  <c r="AD64" i="86"/>
  <c r="AI63" i="86"/>
  <c r="AH63" i="86"/>
  <c r="AG63" i="86"/>
  <c r="AF63" i="86"/>
  <c r="AE63" i="86"/>
  <c r="AD63" i="86"/>
  <c r="AI62" i="86"/>
  <c r="AH62" i="86"/>
  <c r="AG62" i="86"/>
  <c r="AF62" i="86"/>
  <c r="AE62" i="86"/>
  <c r="AD62" i="86"/>
  <c r="AI61" i="86"/>
  <c r="AH61" i="86"/>
  <c r="AG61" i="86"/>
  <c r="AF61" i="86"/>
  <c r="AE61" i="86"/>
  <c r="AD61" i="86"/>
  <c r="AI60" i="86"/>
  <c r="AH60" i="86"/>
  <c r="AG60" i="86"/>
  <c r="AF60" i="86"/>
  <c r="AE60" i="86"/>
  <c r="AD60" i="86"/>
  <c r="AI59" i="86"/>
  <c r="AH59" i="86"/>
  <c r="AG59" i="86"/>
  <c r="AF59" i="86"/>
  <c r="AE59" i="86"/>
  <c r="AD59" i="86"/>
  <c r="AI58" i="86"/>
  <c r="AH58" i="86"/>
  <c r="AG58" i="86"/>
  <c r="AF58" i="86"/>
  <c r="AE58" i="86"/>
  <c r="AD58" i="86"/>
  <c r="AI57" i="86"/>
  <c r="AH57" i="86"/>
  <c r="AG57" i="86"/>
  <c r="AF57" i="86"/>
  <c r="AE57" i="86"/>
  <c r="AD57" i="86"/>
  <c r="AI56" i="86"/>
  <c r="AH56" i="86"/>
  <c r="AG56" i="86"/>
  <c r="AF56" i="86"/>
  <c r="AE56" i="86"/>
  <c r="AD56" i="86"/>
  <c r="AI55" i="86"/>
  <c r="AH55" i="86"/>
  <c r="AG55" i="86"/>
  <c r="AF55" i="86"/>
  <c r="AE55" i="86"/>
  <c r="AD55" i="86"/>
  <c r="AI54" i="86"/>
  <c r="AH54" i="86"/>
  <c r="AG54" i="86"/>
  <c r="AF54" i="86"/>
  <c r="AE54" i="86"/>
  <c r="AD54" i="86"/>
  <c r="AI53" i="86"/>
  <c r="AH53" i="86"/>
  <c r="AG53" i="86"/>
  <c r="AF53" i="86"/>
  <c r="AE53" i="86"/>
  <c r="AD53" i="86"/>
  <c r="AI52" i="86"/>
  <c r="AH52" i="86"/>
  <c r="AG52" i="86"/>
  <c r="AF52" i="86"/>
  <c r="AE52" i="86"/>
  <c r="AD52" i="86"/>
  <c r="AI51" i="86"/>
  <c r="AH51" i="86"/>
  <c r="AG51" i="86"/>
  <c r="AF51" i="86"/>
  <c r="AE51" i="86"/>
  <c r="AD51" i="86"/>
  <c r="AI50" i="86"/>
  <c r="AH50" i="86"/>
  <c r="AG50" i="86"/>
  <c r="AF50" i="86"/>
  <c r="AE50" i="86"/>
  <c r="AD50" i="86"/>
  <c r="AI49" i="86"/>
  <c r="AH49" i="86"/>
  <c r="AG49" i="86"/>
  <c r="AF49" i="86"/>
  <c r="AE49" i="86"/>
  <c r="AD49" i="86"/>
  <c r="AI48" i="86"/>
  <c r="AH48" i="86"/>
  <c r="AG48" i="86"/>
  <c r="AF48" i="86"/>
  <c r="AE48" i="86"/>
  <c r="AD48" i="86"/>
  <c r="AI47" i="86"/>
  <c r="AH47" i="86"/>
  <c r="AG47" i="86"/>
  <c r="AF47" i="86"/>
  <c r="AE47" i="86"/>
  <c r="AD47" i="86"/>
  <c r="AI46" i="86"/>
  <c r="AH46" i="86"/>
  <c r="AG46" i="86"/>
  <c r="AF46" i="86"/>
  <c r="AE46" i="86"/>
  <c r="AD46" i="86"/>
  <c r="AI45" i="86"/>
  <c r="AH45" i="86"/>
  <c r="AG45" i="86"/>
  <c r="AF45" i="86"/>
  <c r="AE45" i="86"/>
  <c r="AD45" i="86"/>
  <c r="AI44" i="86"/>
  <c r="AH44" i="86"/>
  <c r="AG44" i="86"/>
  <c r="AF44" i="86"/>
  <c r="AE44" i="86"/>
  <c r="AD44" i="86"/>
  <c r="AI43" i="86"/>
  <c r="AH43" i="86"/>
  <c r="AG43" i="86"/>
  <c r="AF43" i="86"/>
  <c r="AE43" i="86"/>
  <c r="AD43" i="86"/>
  <c r="AI42" i="86"/>
  <c r="AH42" i="86"/>
  <c r="AG42" i="86"/>
  <c r="AF42" i="86"/>
  <c r="AE42" i="86"/>
  <c r="AD42" i="86"/>
  <c r="AI41" i="86"/>
  <c r="AH41" i="86"/>
  <c r="AG41" i="86"/>
  <c r="AF41" i="86"/>
  <c r="AE41" i="86"/>
  <c r="AD41" i="86"/>
  <c r="AI40" i="86"/>
  <c r="AH40" i="86"/>
  <c r="AG40" i="86"/>
  <c r="AF40" i="86"/>
  <c r="AE40" i="86"/>
  <c r="AD40" i="86"/>
  <c r="AI39" i="86"/>
  <c r="AH39" i="86"/>
  <c r="AG39" i="86"/>
  <c r="AF39" i="86"/>
  <c r="AE39" i="86"/>
  <c r="AD39" i="86"/>
  <c r="AI38" i="86"/>
  <c r="AH38" i="86"/>
  <c r="AG38" i="86"/>
  <c r="AF38" i="86"/>
  <c r="AE38" i="86"/>
  <c r="AD38" i="86"/>
  <c r="AI37" i="86"/>
  <c r="AH37" i="86"/>
  <c r="AG37" i="86"/>
  <c r="AF37" i="86"/>
  <c r="AE37" i="86"/>
  <c r="AD37" i="86"/>
  <c r="AI36" i="86"/>
  <c r="AH36" i="86"/>
  <c r="AG36" i="86"/>
  <c r="AF36" i="86"/>
  <c r="AE36" i="86"/>
  <c r="AD36" i="86"/>
  <c r="AI35" i="86"/>
  <c r="AH35" i="86"/>
  <c r="AG35" i="86"/>
  <c r="AF35" i="86"/>
  <c r="AE35" i="86"/>
  <c r="AD35" i="86"/>
  <c r="AI34" i="86"/>
  <c r="AH34" i="86"/>
  <c r="AG34" i="86"/>
  <c r="AF34" i="86"/>
  <c r="AE34" i="86"/>
  <c r="AD34" i="86"/>
  <c r="AI33" i="86"/>
  <c r="AH33" i="86"/>
  <c r="AG33" i="86"/>
  <c r="AF33" i="86"/>
  <c r="AE33" i="86"/>
  <c r="AD33" i="86"/>
  <c r="AI32" i="86"/>
  <c r="AH32" i="86"/>
  <c r="AG32" i="86"/>
  <c r="AF32" i="86"/>
  <c r="AE32" i="86"/>
  <c r="AD32" i="86"/>
  <c r="AI31" i="86"/>
  <c r="AH31" i="86"/>
  <c r="AG31" i="86"/>
  <c r="AF31" i="86"/>
  <c r="AE31" i="86"/>
  <c r="AD31" i="86"/>
  <c r="AI30" i="86"/>
  <c r="AH30" i="86"/>
  <c r="AG30" i="86"/>
  <c r="AF30" i="86"/>
  <c r="AE30" i="86"/>
  <c r="AD30" i="86"/>
  <c r="AI29" i="86"/>
  <c r="AH29" i="86"/>
  <c r="AG29" i="86"/>
  <c r="AF29" i="86"/>
  <c r="AE29" i="86"/>
  <c r="AD29" i="86"/>
  <c r="AI28" i="86"/>
  <c r="AH28" i="86"/>
  <c r="AG28" i="86"/>
  <c r="AF28" i="86"/>
  <c r="AE28" i="86"/>
  <c r="AD28" i="86"/>
  <c r="AI27" i="86"/>
  <c r="AH27" i="86"/>
  <c r="AG27" i="86"/>
  <c r="AF27" i="86"/>
  <c r="AE27" i="86"/>
  <c r="AD27" i="86"/>
  <c r="AI26" i="86"/>
  <c r="AH26" i="86"/>
  <c r="AG26" i="86"/>
  <c r="AF26" i="86"/>
  <c r="AE26" i="86"/>
  <c r="AD26" i="86"/>
  <c r="AI25" i="86"/>
  <c r="AH25" i="86"/>
  <c r="AG25" i="86"/>
  <c r="AF25" i="86"/>
  <c r="AE25" i="86"/>
  <c r="AD25" i="86"/>
  <c r="AI24" i="86"/>
  <c r="AH24" i="86"/>
  <c r="AG24" i="86"/>
  <c r="AF24" i="86"/>
  <c r="AE24" i="86"/>
  <c r="AD24" i="86"/>
  <c r="AI23" i="86"/>
  <c r="AH23" i="86"/>
  <c r="AG23" i="86"/>
  <c r="AF23" i="86"/>
  <c r="AE23" i="86"/>
  <c r="AD23" i="86"/>
  <c r="AI22" i="86"/>
  <c r="AH22" i="86"/>
  <c r="AG22" i="86"/>
  <c r="AF22" i="86"/>
  <c r="AE22" i="86"/>
  <c r="AD22" i="86"/>
  <c r="AI21" i="86"/>
  <c r="AH21" i="86"/>
  <c r="AG21" i="86"/>
  <c r="AF21" i="86"/>
  <c r="AE21" i="86"/>
  <c r="AD21" i="86"/>
  <c r="AI20" i="86"/>
  <c r="AH20" i="86"/>
  <c r="AG20" i="86"/>
  <c r="AF20" i="86"/>
  <c r="AE20" i="86"/>
  <c r="AD20" i="86"/>
  <c r="AI19" i="86"/>
  <c r="AH19" i="86"/>
  <c r="AG19" i="86"/>
  <c r="AF19" i="86"/>
  <c r="AE19" i="86"/>
  <c r="AD19" i="86"/>
  <c r="AI18" i="86"/>
  <c r="AH18" i="86"/>
  <c r="AG18" i="86"/>
  <c r="AF18" i="86"/>
  <c r="AE18" i="86"/>
  <c r="AD18" i="86"/>
  <c r="AI17" i="86"/>
  <c r="AH17" i="86"/>
  <c r="AG17" i="86"/>
  <c r="AF17" i="86"/>
  <c r="AE17" i="86"/>
  <c r="AD17" i="86"/>
  <c r="AI16" i="86"/>
  <c r="AH16" i="86"/>
  <c r="AG16" i="86"/>
  <c r="AF16" i="86"/>
  <c r="AE16" i="86"/>
  <c r="AD16" i="86"/>
  <c r="AI15" i="86"/>
  <c r="AH15" i="86"/>
  <c r="AG15" i="86"/>
  <c r="AF15" i="86"/>
  <c r="AE15" i="86"/>
  <c r="AD15" i="86"/>
  <c r="AI14" i="86"/>
  <c r="AH14" i="86"/>
  <c r="AG14" i="86"/>
  <c r="AF14" i="86"/>
  <c r="AE14" i="86"/>
  <c r="AD14" i="86"/>
  <c r="AI13" i="86"/>
  <c r="AH13" i="86"/>
  <c r="AG13" i="86"/>
  <c r="AF13" i="86"/>
  <c r="AE13" i="86"/>
  <c r="AD13" i="86"/>
  <c r="AI12" i="86"/>
  <c r="AH12" i="86"/>
  <c r="AG12" i="86"/>
  <c r="AF12" i="86"/>
  <c r="AE12" i="86"/>
  <c r="AD12" i="86"/>
  <c r="AI11" i="86"/>
  <c r="AH11" i="86"/>
  <c r="AG11" i="86"/>
  <c r="AF11" i="86"/>
  <c r="AE11" i="86"/>
  <c r="AD11" i="86"/>
  <c r="AI10" i="86"/>
  <c r="AH10" i="86"/>
  <c r="AG10" i="86"/>
  <c r="AF10" i="86"/>
  <c r="AE10" i="86"/>
  <c r="AD10" i="86"/>
  <c r="AI9" i="86"/>
  <c r="AH9" i="86"/>
  <c r="AG9" i="86"/>
  <c r="AF9" i="86"/>
  <c r="AE9" i="86"/>
  <c r="AD9" i="86"/>
  <c r="AI8" i="86"/>
  <c r="AH8" i="86"/>
  <c r="AG8" i="86"/>
  <c r="AF8" i="86"/>
  <c r="AE8" i="86"/>
  <c r="AD8" i="86"/>
  <c r="AI7" i="86"/>
  <c r="AH7" i="86"/>
  <c r="AG7" i="86"/>
  <c r="AF7" i="86"/>
  <c r="AE7" i="86"/>
  <c r="AD7" i="86"/>
  <c r="AI6" i="86"/>
  <c r="AH6" i="86"/>
  <c r="AG6" i="86"/>
  <c r="AF6" i="86"/>
  <c r="AE6" i="86"/>
  <c r="AD6" i="86"/>
  <c r="AI5" i="86"/>
  <c r="AH5" i="86"/>
  <c r="AG5" i="86"/>
  <c r="AF5" i="86"/>
  <c r="AE5" i="86"/>
  <c r="AD5" i="86"/>
  <c r="M43" i="86"/>
  <c r="N43" i="86"/>
  <c r="O43" i="86"/>
  <c r="P43" i="86"/>
  <c r="Q43" i="86"/>
  <c r="M44" i="86"/>
  <c r="N44" i="86"/>
  <c r="O44" i="86"/>
  <c r="P44" i="86"/>
  <c r="Q44" i="86"/>
  <c r="M45" i="86"/>
  <c r="N45" i="86"/>
  <c r="O45" i="86"/>
  <c r="P45" i="86"/>
  <c r="Q45" i="86"/>
  <c r="M46" i="86"/>
  <c r="N46" i="86"/>
  <c r="O46" i="86"/>
  <c r="P46" i="86"/>
  <c r="Q46" i="86"/>
  <c r="M47" i="86"/>
  <c r="N47" i="86"/>
  <c r="O47" i="86"/>
  <c r="P47" i="86"/>
  <c r="Q47" i="86"/>
  <c r="M48" i="86"/>
  <c r="N48" i="86"/>
  <c r="O48" i="86"/>
  <c r="P48" i="86"/>
  <c r="Q48" i="86"/>
  <c r="M49" i="86"/>
  <c r="N49" i="86"/>
  <c r="O49" i="86"/>
  <c r="P49" i="86"/>
  <c r="Q49" i="86"/>
  <c r="M50" i="86"/>
  <c r="N50" i="86"/>
  <c r="O50" i="86"/>
  <c r="P50" i="86"/>
  <c r="Q50" i="86"/>
  <c r="M51" i="86"/>
  <c r="N51" i="86"/>
  <c r="O51" i="86"/>
  <c r="P51" i="86"/>
  <c r="Q51" i="86"/>
  <c r="M52" i="86"/>
  <c r="N52" i="86"/>
  <c r="O52" i="86"/>
  <c r="P52" i="86"/>
  <c r="Q52" i="86"/>
  <c r="M53" i="86"/>
  <c r="N53" i="86"/>
  <c r="O53" i="86"/>
  <c r="P53" i="86"/>
  <c r="Q53" i="86"/>
  <c r="M54" i="86"/>
  <c r="N54" i="86"/>
  <c r="O54" i="86"/>
  <c r="P54" i="86"/>
  <c r="Q54" i="86"/>
  <c r="M55" i="86"/>
  <c r="N55" i="86"/>
  <c r="O55" i="86"/>
  <c r="P55" i="86"/>
  <c r="Q55" i="86"/>
  <c r="M56" i="86"/>
  <c r="N56" i="86"/>
  <c r="O56" i="86"/>
  <c r="P56" i="86"/>
  <c r="Q56" i="86"/>
  <c r="M57" i="86"/>
  <c r="N57" i="86"/>
  <c r="O57" i="86"/>
  <c r="P57" i="86"/>
  <c r="Q57" i="86"/>
  <c r="M58" i="86"/>
  <c r="N58" i="86"/>
  <c r="O58" i="86"/>
  <c r="P58" i="86"/>
  <c r="Q58" i="86"/>
  <c r="L44" i="86"/>
  <c r="L45" i="86"/>
  <c r="L46" i="86"/>
  <c r="L47" i="86"/>
  <c r="L48" i="86"/>
  <c r="L49" i="86"/>
  <c r="L50" i="86"/>
  <c r="L51" i="86"/>
  <c r="L52" i="86"/>
  <c r="L53" i="86"/>
  <c r="L54" i="86"/>
  <c r="L55" i="86"/>
  <c r="L56" i="86"/>
  <c r="L57" i="86"/>
  <c r="L58" i="86"/>
  <c r="DH13" i="86"/>
  <c r="DI13" i="86"/>
  <c r="DJ13" i="86"/>
  <c r="DK13" i="86"/>
  <c r="DL13" i="86"/>
  <c r="DM13" i="86"/>
  <c r="DN13" i="86"/>
  <c r="DO13" i="86"/>
  <c r="DP13" i="86"/>
  <c r="DQ13" i="86"/>
  <c r="DR13" i="86"/>
  <c r="DS13" i="86"/>
  <c r="DT13" i="86"/>
  <c r="DU13" i="86"/>
  <c r="DV13" i="86"/>
  <c r="DW13" i="86"/>
  <c r="DH14" i="86"/>
  <c r="DI14" i="86"/>
  <c r="DJ14" i="86"/>
  <c r="DK14" i="86"/>
  <c r="DL14" i="86"/>
  <c r="DM14" i="86"/>
  <c r="DN14" i="86"/>
  <c r="DO14" i="86"/>
  <c r="DP14" i="86"/>
  <c r="DQ14" i="86"/>
  <c r="DR14" i="86"/>
  <c r="DS14" i="86"/>
  <c r="DT14" i="86"/>
  <c r="DU14" i="86"/>
  <c r="DV14" i="86"/>
  <c r="DW14" i="86"/>
  <c r="DH15" i="86"/>
  <c r="DI15" i="86"/>
  <c r="DJ15" i="86"/>
  <c r="DK15" i="86"/>
  <c r="DL15" i="86"/>
  <c r="DM15" i="86"/>
  <c r="DN15" i="86"/>
  <c r="DO15" i="86"/>
  <c r="DP15" i="86"/>
  <c r="DQ15" i="86"/>
  <c r="DR15" i="86"/>
  <c r="DS15" i="86"/>
  <c r="DT15" i="86"/>
  <c r="DU15" i="86"/>
  <c r="DV15" i="86"/>
  <c r="DW15" i="86"/>
  <c r="DH16" i="86"/>
  <c r="DI16" i="86"/>
  <c r="DJ16" i="86"/>
  <c r="DK16" i="86"/>
  <c r="DL16" i="86"/>
  <c r="DM16" i="86"/>
  <c r="DN16" i="86"/>
  <c r="DO16" i="86"/>
  <c r="DP16" i="86"/>
  <c r="DQ16" i="86"/>
  <c r="DR16" i="86"/>
  <c r="DS16" i="86"/>
  <c r="DT16" i="86"/>
  <c r="DU16" i="86"/>
  <c r="DV16" i="86"/>
  <c r="DW16" i="86"/>
  <c r="DH17" i="86"/>
  <c r="DI17" i="86"/>
  <c r="DJ17" i="86"/>
  <c r="DK17" i="86"/>
  <c r="DL17" i="86"/>
  <c r="DM17" i="86"/>
  <c r="DN17" i="86"/>
  <c r="DO17" i="86"/>
  <c r="DP17" i="86"/>
  <c r="DQ17" i="86"/>
  <c r="DR17" i="86"/>
  <c r="DS17" i="86"/>
  <c r="DT17" i="86"/>
  <c r="DU17" i="86"/>
  <c r="DV17" i="86"/>
  <c r="DW17" i="86"/>
  <c r="DH18" i="86"/>
  <c r="DI18" i="86"/>
  <c r="DJ18" i="86"/>
  <c r="DK18" i="86"/>
  <c r="DL18" i="86"/>
  <c r="DM18" i="86"/>
  <c r="DN18" i="86"/>
  <c r="DO18" i="86"/>
  <c r="DP18" i="86"/>
  <c r="DQ18" i="86"/>
  <c r="DR18" i="86"/>
  <c r="DS18" i="86"/>
  <c r="DT18" i="86"/>
  <c r="DU18" i="86"/>
  <c r="DV18" i="86"/>
  <c r="DW18" i="86"/>
  <c r="DH19" i="86"/>
  <c r="DI19" i="86"/>
  <c r="DJ19" i="86"/>
  <c r="DK19" i="86"/>
  <c r="DL19" i="86"/>
  <c r="DM19" i="86"/>
  <c r="DN19" i="86"/>
  <c r="DO19" i="86"/>
  <c r="DP19" i="86"/>
  <c r="DQ19" i="86"/>
  <c r="DR19" i="86"/>
  <c r="DS19" i="86"/>
  <c r="DT19" i="86"/>
  <c r="DU19" i="86"/>
  <c r="DV19" i="86"/>
  <c r="DW19" i="86"/>
  <c r="DH20" i="86"/>
  <c r="DI20" i="86"/>
  <c r="DJ20" i="86"/>
  <c r="DK20" i="86"/>
  <c r="DL20" i="86"/>
  <c r="DM20" i="86"/>
  <c r="DN20" i="86"/>
  <c r="DO20" i="86"/>
  <c r="DP20" i="86"/>
  <c r="DQ20" i="86"/>
  <c r="DR20" i="86"/>
  <c r="DS20" i="86"/>
  <c r="DT20" i="86"/>
  <c r="DU20" i="86"/>
  <c r="DV20" i="86"/>
  <c r="DW20" i="86"/>
  <c r="DH21" i="86"/>
  <c r="DI21" i="86"/>
  <c r="DJ21" i="86"/>
  <c r="DK21" i="86"/>
  <c r="DL21" i="86"/>
  <c r="DM21" i="86"/>
  <c r="DN21" i="86"/>
  <c r="DO21" i="86"/>
  <c r="DP21" i="86"/>
  <c r="DQ21" i="86"/>
  <c r="DR21" i="86"/>
  <c r="DS21" i="86"/>
  <c r="DT21" i="86"/>
  <c r="DU21" i="86"/>
  <c r="DV21" i="86"/>
  <c r="DW21" i="86"/>
  <c r="DH22" i="86"/>
  <c r="DI22" i="86"/>
  <c r="DJ22" i="86"/>
  <c r="DK22" i="86"/>
  <c r="DL22" i="86"/>
  <c r="DM22" i="86"/>
  <c r="DN22" i="86"/>
  <c r="DO22" i="86"/>
  <c r="DP22" i="86"/>
  <c r="DQ22" i="86"/>
  <c r="DR22" i="86"/>
  <c r="DS22" i="86"/>
  <c r="DT22" i="86"/>
  <c r="DU22" i="86"/>
  <c r="DV22" i="86"/>
  <c r="DW22" i="86"/>
  <c r="DH23" i="86"/>
  <c r="DI23" i="86"/>
  <c r="DJ23" i="86"/>
  <c r="DK23" i="86"/>
  <c r="DL23" i="86"/>
  <c r="DM23" i="86"/>
  <c r="DN23" i="86"/>
  <c r="DO23" i="86"/>
  <c r="DP23" i="86"/>
  <c r="DQ23" i="86"/>
  <c r="DR23" i="86"/>
  <c r="DS23" i="86"/>
  <c r="DT23" i="86"/>
  <c r="DU23" i="86"/>
  <c r="DV23" i="86"/>
  <c r="DW23" i="86"/>
  <c r="DH24" i="86"/>
  <c r="DI24" i="86"/>
  <c r="DJ24" i="86"/>
  <c r="DK24" i="86"/>
  <c r="DL24" i="86"/>
  <c r="DM24" i="86"/>
  <c r="DN24" i="86"/>
  <c r="DO24" i="86"/>
  <c r="DP24" i="86"/>
  <c r="DQ24" i="86"/>
  <c r="DR24" i="86"/>
  <c r="DS24" i="86"/>
  <c r="DT24" i="86"/>
  <c r="DU24" i="86"/>
  <c r="DV24" i="86"/>
  <c r="DW24" i="86"/>
  <c r="DH25" i="86"/>
  <c r="DI25" i="86"/>
  <c r="DJ25" i="86"/>
  <c r="DK25" i="86"/>
  <c r="DL25" i="86"/>
  <c r="DM25" i="86"/>
  <c r="DN25" i="86"/>
  <c r="DO25" i="86"/>
  <c r="DP25" i="86"/>
  <c r="DQ25" i="86"/>
  <c r="DR25" i="86"/>
  <c r="DS25" i="86"/>
  <c r="DT25" i="86"/>
  <c r="DU25" i="86"/>
  <c r="DV25" i="86"/>
  <c r="DW25" i="86"/>
  <c r="DH26" i="86"/>
  <c r="DI26" i="86"/>
  <c r="DJ26" i="86"/>
  <c r="DK26" i="86"/>
  <c r="DL26" i="86"/>
  <c r="DM26" i="86"/>
  <c r="DN26" i="86"/>
  <c r="DO26" i="86"/>
  <c r="DP26" i="86"/>
  <c r="DQ26" i="86"/>
  <c r="DR26" i="86"/>
  <c r="DS26" i="86"/>
  <c r="DT26" i="86"/>
  <c r="DU26" i="86"/>
  <c r="DV26" i="86"/>
  <c r="DW26" i="86"/>
  <c r="DH27" i="86"/>
  <c r="DI27" i="86"/>
  <c r="DJ27" i="86"/>
  <c r="DK27" i="86"/>
  <c r="DL27" i="86"/>
  <c r="DM27" i="86"/>
  <c r="DN27" i="86"/>
  <c r="DO27" i="86"/>
  <c r="DP27" i="86"/>
  <c r="DQ27" i="86"/>
  <c r="DR27" i="86"/>
  <c r="DS27" i="86"/>
  <c r="DT27" i="86"/>
  <c r="DU27" i="86"/>
  <c r="DV27" i="86"/>
  <c r="DW27" i="86"/>
  <c r="DH28" i="86"/>
  <c r="DI28" i="86"/>
  <c r="DJ28" i="86"/>
  <c r="DK28" i="86"/>
  <c r="DL28" i="86"/>
  <c r="DM28" i="86"/>
  <c r="DN28" i="86"/>
  <c r="DO28" i="86"/>
  <c r="DP28" i="86"/>
  <c r="DQ28" i="86"/>
  <c r="DR28" i="86"/>
  <c r="DS28" i="86"/>
  <c r="DT28" i="86"/>
  <c r="DU28" i="86"/>
  <c r="DV28" i="86"/>
  <c r="DW28" i="86"/>
  <c r="DH29" i="86"/>
  <c r="DI29" i="86"/>
  <c r="DJ29" i="86"/>
  <c r="DK29" i="86"/>
  <c r="DL29" i="86"/>
  <c r="DM29" i="86"/>
  <c r="DN29" i="86"/>
  <c r="DO29" i="86"/>
  <c r="DP29" i="86"/>
  <c r="DQ29" i="86"/>
  <c r="DR29" i="86"/>
  <c r="DS29" i="86"/>
  <c r="DT29" i="86"/>
  <c r="DU29" i="86"/>
  <c r="DV29" i="86"/>
  <c r="DW29" i="86"/>
  <c r="DH30" i="86"/>
  <c r="DI30" i="86"/>
  <c r="DJ30" i="86"/>
  <c r="DK30" i="86"/>
  <c r="DL30" i="86"/>
  <c r="DM30" i="86"/>
  <c r="DN30" i="86"/>
  <c r="DO30" i="86"/>
  <c r="DP30" i="86"/>
  <c r="DQ30" i="86"/>
  <c r="DR30" i="86"/>
  <c r="DS30" i="86"/>
  <c r="DT30" i="86"/>
  <c r="DU30" i="86"/>
  <c r="DV30" i="86"/>
  <c r="DW30" i="86"/>
  <c r="DH31" i="86"/>
  <c r="DI31" i="86"/>
  <c r="DJ31" i="86"/>
  <c r="DK31" i="86"/>
  <c r="DL31" i="86"/>
  <c r="DM31" i="86"/>
  <c r="DN31" i="86"/>
  <c r="DO31" i="86"/>
  <c r="DP31" i="86"/>
  <c r="DQ31" i="86"/>
  <c r="DR31" i="86"/>
  <c r="DS31" i="86"/>
  <c r="DT31" i="86"/>
  <c r="DU31" i="86"/>
  <c r="DV31" i="86"/>
  <c r="DW31" i="86"/>
  <c r="DH32" i="86"/>
  <c r="DI32" i="86"/>
  <c r="DJ32" i="86"/>
  <c r="DK32" i="86"/>
  <c r="DL32" i="86"/>
  <c r="DM32" i="86"/>
  <c r="DN32" i="86"/>
  <c r="DO32" i="86"/>
  <c r="DP32" i="86"/>
  <c r="DQ32" i="86"/>
  <c r="DR32" i="86"/>
  <c r="DS32" i="86"/>
  <c r="DT32" i="86"/>
  <c r="DU32" i="86"/>
  <c r="DV32" i="86"/>
  <c r="DW32" i="86"/>
  <c r="DH33" i="86"/>
  <c r="DI33" i="86"/>
  <c r="DJ33" i="86"/>
  <c r="DK33" i="86"/>
  <c r="DL33" i="86"/>
  <c r="DM33" i="86"/>
  <c r="DN33" i="86"/>
  <c r="DO33" i="86"/>
  <c r="DP33" i="86"/>
  <c r="DQ33" i="86"/>
  <c r="DR33" i="86"/>
  <c r="DS33" i="86"/>
  <c r="DT33" i="86"/>
  <c r="DU33" i="86"/>
  <c r="DV33" i="86"/>
  <c r="DW33" i="86"/>
  <c r="DH34" i="86"/>
  <c r="DI34" i="86"/>
  <c r="DJ34" i="86"/>
  <c r="DK34" i="86"/>
  <c r="DL34" i="86"/>
  <c r="DM34" i="86"/>
  <c r="DN34" i="86"/>
  <c r="DO34" i="86"/>
  <c r="DP34" i="86"/>
  <c r="DQ34" i="86"/>
  <c r="DR34" i="86"/>
  <c r="DS34" i="86"/>
  <c r="DT34" i="86"/>
  <c r="DU34" i="86"/>
  <c r="DV34" i="86"/>
  <c r="DW34" i="86"/>
  <c r="DH35" i="86"/>
  <c r="DI35" i="86"/>
  <c r="DJ35" i="86"/>
  <c r="DK35" i="86"/>
  <c r="DL35" i="86"/>
  <c r="DM35" i="86"/>
  <c r="DN35" i="86"/>
  <c r="DO35" i="86"/>
  <c r="DP35" i="86"/>
  <c r="DQ35" i="86"/>
  <c r="DR35" i="86"/>
  <c r="DS35" i="86"/>
  <c r="DT35" i="86"/>
  <c r="DU35" i="86"/>
  <c r="DV35" i="86"/>
  <c r="DW35" i="86"/>
  <c r="DH36" i="86"/>
  <c r="DI36" i="86"/>
  <c r="DJ36" i="86"/>
  <c r="DK36" i="86"/>
  <c r="DL36" i="86"/>
  <c r="DM36" i="86"/>
  <c r="DN36" i="86"/>
  <c r="DO36" i="86"/>
  <c r="DP36" i="86"/>
  <c r="DQ36" i="86"/>
  <c r="DR36" i="86"/>
  <c r="DS36" i="86"/>
  <c r="DT36" i="86"/>
  <c r="DU36" i="86"/>
  <c r="DV36" i="86"/>
  <c r="DW36" i="86"/>
  <c r="DH37" i="86"/>
  <c r="DI37" i="86"/>
  <c r="DJ37" i="86"/>
  <c r="DK37" i="86"/>
  <c r="DL37" i="86"/>
  <c r="DM37" i="86"/>
  <c r="DN37" i="86"/>
  <c r="DO37" i="86"/>
  <c r="DP37" i="86"/>
  <c r="DQ37" i="86"/>
  <c r="DR37" i="86"/>
  <c r="DS37" i="86"/>
  <c r="DT37" i="86"/>
  <c r="DU37" i="86"/>
  <c r="DV37" i="86"/>
  <c r="DW37" i="86"/>
  <c r="DH38" i="86"/>
  <c r="DI38" i="86"/>
  <c r="DJ38" i="86"/>
  <c r="DK38" i="86"/>
  <c r="DL38" i="86"/>
  <c r="DM38" i="86"/>
  <c r="DN38" i="86"/>
  <c r="DO38" i="86"/>
  <c r="DP38" i="86"/>
  <c r="DQ38" i="86"/>
  <c r="DR38" i="86"/>
  <c r="DS38" i="86"/>
  <c r="DT38" i="86"/>
  <c r="DU38" i="86"/>
  <c r="DV38" i="86"/>
  <c r="DW38" i="86"/>
  <c r="DH39" i="86"/>
  <c r="DI39" i="86"/>
  <c r="DJ39" i="86"/>
  <c r="DK39" i="86"/>
  <c r="DL39" i="86"/>
  <c r="DM39" i="86"/>
  <c r="DN39" i="86"/>
  <c r="DO39" i="86"/>
  <c r="DP39" i="86"/>
  <c r="DQ39" i="86"/>
  <c r="DR39" i="86"/>
  <c r="DS39" i="86"/>
  <c r="DT39" i="86"/>
  <c r="DU39" i="86"/>
  <c r="DV39" i="86"/>
  <c r="DW39" i="86"/>
  <c r="DH40" i="86"/>
  <c r="DI40" i="86"/>
  <c r="DJ40" i="86"/>
  <c r="DK40" i="86"/>
  <c r="DL40" i="86"/>
  <c r="DM40" i="86"/>
  <c r="DN40" i="86"/>
  <c r="DO40" i="86"/>
  <c r="DP40" i="86"/>
  <c r="DQ40" i="86"/>
  <c r="DR40" i="86"/>
  <c r="DS40" i="86"/>
  <c r="DT40" i="86"/>
  <c r="DU40" i="86"/>
  <c r="DV40" i="86"/>
  <c r="DW40" i="86"/>
  <c r="DH41" i="86"/>
  <c r="DI41" i="86"/>
  <c r="DJ41" i="86"/>
  <c r="DK41" i="86"/>
  <c r="DL41" i="86"/>
  <c r="DM41" i="86"/>
  <c r="DN41" i="86"/>
  <c r="DO41" i="86"/>
  <c r="DP41" i="86"/>
  <c r="DQ41" i="86"/>
  <c r="DR41" i="86"/>
  <c r="DS41" i="86"/>
  <c r="DT41" i="86"/>
  <c r="DU41" i="86"/>
  <c r="DV41" i="86"/>
  <c r="DW41" i="86"/>
  <c r="DH42" i="86"/>
  <c r="DI42" i="86"/>
  <c r="DJ42" i="86"/>
  <c r="DK42" i="86"/>
  <c r="DL42" i="86"/>
  <c r="DM42" i="86"/>
  <c r="DN42" i="86"/>
  <c r="DO42" i="86"/>
  <c r="DP42" i="86"/>
  <c r="DQ42" i="86"/>
  <c r="DR42" i="86"/>
  <c r="DS42" i="86"/>
  <c r="DT42" i="86"/>
  <c r="DU42" i="86"/>
  <c r="DV42" i="86"/>
  <c r="DW42" i="86"/>
  <c r="DH43" i="86"/>
  <c r="DI43" i="86"/>
  <c r="DJ43" i="86"/>
  <c r="DK43" i="86"/>
  <c r="DL43" i="86"/>
  <c r="DM43" i="86"/>
  <c r="DN43" i="86"/>
  <c r="DO43" i="86"/>
  <c r="DP43" i="86"/>
  <c r="DQ43" i="86"/>
  <c r="DR43" i="86"/>
  <c r="DS43" i="86"/>
  <c r="DT43" i="86"/>
  <c r="DU43" i="86"/>
  <c r="DV43" i="86"/>
  <c r="DW43" i="86"/>
  <c r="DH44" i="86"/>
  <c r="DI44" i="86"/>
  <c r="DJ44" i="86"/>
  <c r="DK44" i="86"/>
  <c r="DL44" i="86"/>
  <c r="DM44" i="86"/>
  <c r="DN44" i="86"/>
  <c r="DO44" i="86"/>
  <c r="DP44" i="86"/>
  <c r="DQ44" i="86"/>
  <c r="DR44" i="86"/>
  <c r="DS44" i="86"/>
  <c r="DT44" i="86"/>
  <c r="DU44" i="86"/>
  <c r="DV44" i="86"/>
  <c r="DW44" i="86"/>
  <c r="DH45" i="86"/>
  <c r="DI45" i="86"/>
  <c r="DJ45" i="86"/>
  <c r="DK45" i="86"/>
  <c r="DL45" i="86"/>
  <c r="DM45" i="86"/>
  <c r="DN45" i="86"/>
  <c r="DO45" i="86"/>
  <c r="DP45" i="86"/>
  <c r="DQ45" i="86"/>
  <c r="DR45" i="86"/>
  <c r="DS45" i="86"/>
  <c r="DT45" i="86"/>
  <c r="DU45" i="86"/>
  <c r="DV45" i="86"/>
  <c r="DW45" i="86"/>
  <c r="DH46" i="86"/>
  <c r="DI46" i="86"/>
  <c r="DJ46" i="86"/>
  <c r="DK46" i="86"/>
  <c r="DL46" i="86"/>
  <c r="DM46" i="86"/>
  <c r="DN46" i="86"/>
  <c r="DO46" i="86"/>
  <c r="DP46" i="86"/>
  <c r="DQ46" i="86"/>
  <c r="DR46" i="86"/>
  <c r="DS46" i="86"/>
  <c r="DT46" i="86"/>
  <c r="DU46" i="86"/>
  <c r="DV46" i="86"/>
  <c r="DW46" i="86"/>
  <c r="DH47" i="86"/>
  <c r="DI47" i="86"/>
  <c r="DJ47" i="86"/>
  <c r="DK47" i="86"/>
  <c r="DL47" i="86"/>
  <c r="DM47" i="86"/>
  <c r="DN47" i="86"/>
  <c r="DO47" i="86"/>
  <c r="DP47" i="86"/>
  <c r="DQ47" i="86"/>
  <c r="DR47" i="86"/>
  <c r="DS47" i="86"/>
  <c r="DT47" i="86"/>
  <c r="DU47" i="86"/>
  <c r="DV47" i="86"/>
  <c r="DW47" i="86"/>
  <c r="DH48" i="86"/>
  <c r="DI48" i="86"/>
  <c r="DJ48" i="86"/>
  <c r="DK48" i="86"/>
  <c r="DL48" i="86"/>
  <c r="DM48" i="86"/>
  <c r="DN48" i="86"/>
  <c r="DO48" i="86"/>
  <c r="DP48" i="86"/>
  <c r="DQ48" i="86"/>
  <c r="DR48" i="86"/>
  <c r="DS48" i="86"/>
  <c r="DT48" i="86"/>
  <c r="DU48" i="86"/>
  <c r="DV48" i="86"/>
  <c r="DW48" i="86"/>
  <c r="CR13" i="86"/>
  <c r="CS13" i="86"/>
  <c r="CT13" i="86"/>
  <c r="CU13" i="86"/>
  <c r="CV13" i="86"/>
  <c r="CW13" i="86"/>
  <c r="CX13" i="86"/>
  <c r="CY13" i="86"/>
  <c r="CZ13" i="86"/>
  <c r="DA13" i="86"/>
  <c r="DB13" i="86"/>
  <c r="DC13" i="86"/>
  <c r="DD13" i="86"/>
  <c r="DE13" i="86"/>
  <c r="DF13" i="86"/>
  <c r="DG13" i="86"/>
  <c r="CR14" i="86"/>
  <c r="CS14" i="86"/>
  <c r="CT14" i="86"/>
  <c r="CU14" i="86"/>
  <c r="CV14" i="86"/>
  <c r="CW14" i="86"/>
  <c r="CX14" i="86"/>
  <c r="CY14" i="86"/>
  <c r="CZ14" i="86"/>
  <c r="DA14" i="86"/>
  <c r="DB14" i="86"/>
  <c r="DC14" i="86"/>
  <c r="DD14" i="86"/>
  <c r="DE14" i="86"/>
  <c r="DF14" i="86"/>
  <c r="DG14" i="86"/>
  <c r="CR15" i="86"/>
  <c r="CS15" i="86"/>
  <c r="CT15" i="86"/>
  <c r="CU15" i="86"/>
  <c r="CV15" i="86"/>
  <c r="CW15" i="86"/>
  <c r="CX15" i="86"/>
  <c r="CY15" i="86"/>
  <c r="CZ15" i="86"/>
  <c r="DA15" i="86"/>
  <c r="DB15" i="86"/>
  <c r="DC15" i="86"/>
  <c r="DD15" i="86"/>
  <c r="DE15" i="86"/>
  <c r="DF15" i="86"/>
  <c r="DG15" i="86"/>
  <c r="CR16" i="86"/>
  <c r="CS16" i="86"/>
  <c r="CT16" i="86"/>
  <c r="CU16" i="86"/>
  <c r="CV16" i="86"/>
  <c r="CW16" i="86"/>
  <c r="CX16" i="86"/>
  <c r="CY16" i="86"/>
  <c r="CZ16" i="86"/>
  <c r="DA16" i="86"/>
  <c r="DB16" i="86"/>
  <c r="DC16" i="86"/>
  <c r="DD16" i="86"/>
  <c r="DE16" i="86"/>
  <c r="DF16" i="86"/>
  <c r="DG16" i="86"/>
  <c r="CR17" i="86"/>
  <c r="CS17" i="86"/>
  <c r="CT17" i="86"/>
  <c r="CU17" i="86"/>
  <c r="CV17" i="86"/>
  <c r="CW17" i="86"/>
  <c r="CX17" i="86"/>
  <c r="CY17" i="86"/>
  <c r="CZ17" i="86"/>
  <c r="DA17" i="86"/>
  <c r="DB17" i="86"/>
  <c r="DC17" i="86"/>
  <c r="DD17" i="86"/>
  <c r="DE17" i="86"/>
  <c r="DF17" i="86"/>
  <c r="DG17" i="86"/>
  <c r="CR18" i="86"/>
  <c r="CS18" i="86"/>
  <c r="CT18" i="86"/>
  <c r="CU18" i="86"/>
  <c r="CV18" i="86"/>
  <c r="CW18" i="86"/>
  <c r="CX18" i="86"/>
  <c r="CY18" i="86"/>
  <c r="CZ18" i="86"/>
  <c r="DA18" i="86"/>
  <c r="DB18" i="86"/>
  <c r="DC18" i="86"/>
  <c r="DD18" i="86"/>
  <c r="DE18" i="86"/>
  <c r="DF18" i="86"/>
  <c r="DG18" i="86"/>
  <c r="CR19" i="86"/>
  <c r="CS19" i="86"/>
  <c r="CT19" i="86"/>
  <c r="CU19" i="86"/>
  <c r="CV19" i="86"/>
  <c r="CW19" i="86"/>
  <c r="CX19" i="86"/>
  <c r="CY19" i="86"/>
  <c r="CZ19" i="86"/>
  <c r="DA19" i="86"/>
  <c r="DB19" i="86"/>
  <c r="DC19" i="86"/>
  <c r="DD19" i="86"/>
  <c r="DE19" i="86"/>
  <c r="DF19" i="86"/>
  <c r="DG19" i="86"/>
  <c r="CR20" i="86"/>
  <c r="CS20" i="86"/>
  <c r="CT20" i="86"/>
  <c r="CU20" i="86"/>
  <c r="CV20" i="86"/>
  <c r="CW20" i="86"/>
  <c r="CX20" i="86"/>
  <c r="CY20" i="86"/>
  <c r="CZ20" i="86"/>
  <c r="DA20" i="86"/>
  <c r="DB20" i="86"/>
  <c r="DC20" i="86"/>
  <c r="DD20" i="86"/>
  <c r="DE20" i="86"/>
  <c r="DF20" i="86"/>
  <c r="DG20" i="86"/>
  <c r="CR21" i="86"/>
  <c r="CS21" i="86"/>
  <c r="CT21" i="86"/>
  <c r="CU21" i="86"/>
  <c r="CV21" i="86"/>
  <c r="CW21" i="86"/>
  <c r="CX21" i="86"/>
  <c r="CY21" i="86"/>
  <c r="CZ21" i="86"/>
  <c r="DA21" i="86"/>
  <c r="DB21" i="86"/>
  <c r="DC21" i="86"/>
  <c r="DD21" i="86"/>
  <c r="DE21" i="86"/>
  <c r="DF21" i="86"/>
  <c r="DG21" i="86"/>
  <c r="CR22" i="86"/>
  <c r="CS22" i="86"/>
  <c r="CT22" i="86"/>
  <c r="CU22" i="86"/>
  <c r="CV22" i="86"/>
  <c r="CW22" i="86"/>
  <c r="CX22" i="86"/>
  <c r="CY22" i="86"/>
  <c r="CZ22" i="86"/>
  <c r="DA22" i="86"/>
  <c r="DB22" i="86"/>
  <c r="DC22" i="86"/>
  <c r="DD22" i="86"/>
  <c r="DE22" i="86"/>
  <c r="DF22" i="86"/>
  <c r="DG22" i="86"/>
  <c r="CR23" i="86"/>
  <c r="CS23" i="86"/>
  <c r="CT23" i="86"/>
  <c r="CU23" i="86"/>
  <c r="CV23" i="86"/>
  <c r="CW23" i="86"/>
  <c r="CX23" i="86"/>
  <c r="CY23" i="86"/>
  <c r="CZ23" i="86"/>
  <c r="DA23" i="86"/>
  <c r="DB23" i="86"/>
  <c r="DC23" i="86"/>
  <c r="DD23" i="86"/>
  <c r="DE23" i="86"/>
  <c r="DF23" i="86"/>
  <c r="DG23" i="86"/>
  <c r="CR24" i="86"/>
  <c r="CS24" i="86"/>
  <c r="CT24" i="86"/>
  <c r="CU24" i="86"/>
  <c r="CV24" i="86"/>
  <c r="CW24" i="86"/>
  <c r="CX24" i="86"/>
  <c r="CY24" i="86"/>
  <c r="CZ24" i="86"/>
  <c r="DA24" i="86"/>
  <c r="DB24" i="86"/>
  <c r="DC24" i="86"/>
  <c r="DD24" i="86"/>
  <c r="DE24" i="86"/>
  <c r="DF24" i="86"/>
  <c r="DG24" i="86"/>
  <c r="CR25" i="86"/>
  <c r="CS25" i="86"/>
  <c r="CT25" i="86"/>
  <c r="CU25" i="86"/>
  <c r="CV25" i="86"/>
  <c r="CW25" i="86"/>
  <c r="CX25" i="86"/>
  <c r="CY25" i="86"/>
  <c r="CZ25" i="86"/>
  <c r="DA25" i="86"/>
  <c r="DB25" i="86"/>
  <c r="DC25" i="86"/>
  <c r="DD25" i="86"/>
  <c r="DE25" i="86"/>
  <c r="DF25" i="86"/>
  <c r="DG25" i="86"/>
  <c r="CR26" i="86"/>
  <c r="CS26" i="86"/>
  <c r="CT26" i="86"/>
  <c r="CU26" i="86"/>
  <c r="CV26" i="86"/>
  <c r="CW26" i="86"/>
  <c r="CX26" i="86"/>
  <c r="CY26" i="86"/>
  <c r="CZ26" i="86"/>
  <c r="DA26" i="86"/>
  <c r="DB26" i="86"/>
  <c r="DC26" i="86"/>
  <c r="DD26" i="86"/>
  <c r="DE26" i="86"/>
  <c r="DF26" i="86"/>
  <c r="DG26" i="86"/>
  <c r="CR27" i="86"/>
  <c r="CS27" i="86"/>
  <c r="CT27" i="86"/>
  <c r="CU27" i="86"/>
  <c r="CV27" i="86"/>
  <c r="CW27" i="86"/>
  <c r="CX27" i="86"/>
  <c r="CY27" i="86"/>
  <c r="CZ27" i="86"/>
  <c r="DA27" i="86"/>
  <c r="DB27" i="86"/>
  <c r="DC27" i="86"/>
  <c r="DD27" i="86"/>
  <c r="DE27" i="86"/>
  <c r="DF27" i="86"/>
  <c r="DG27" i="86"/>
  <c r="CR28" i="86"/>
  <c r="CS28" i="86"/>
  <c r="CT28" i="86"/>
  <c r="CU28" i="86"/>
  <c r="CV28" i="86"/>
  <c r="CW28" i="86"/>
  <c r="CX28" i="86"/>
  <c r="CY28" i="86"/>
  <c r="CZ28" i="86"/>
  <c r="DA28" i="86"/>
  <c r="DB28" i="86"/>
  <c r="DC28" i="86"/>
  <c r="DD28" i="86"/>
  <c r="DE28" i="86"/>
  <c r="DF28" i="86"/>
  <c r="DG28" i="86"/>
  <c r="CR29" i="86"/>
  <c r="CS29" i="86"/>
  <c r="CT29" i="86"/>
  <c r="CU29" i="86"/>
  <c r="CV29" i="86"/>
  <c r="CW29" i="86"/>
  <c r="CX29" i="86"/>
  <c r="CY29" i="86"/>
  <c r="CZ29" i="86"/>
  <c r="DA29" i="86"/>
  <c r="DB29" i="86"/>
  <c r="DC29" i="86"/>
  <c r="DD29" i="86"/>
  <c r="DE29" i="86"/>
  <c r="DF29" i="86"/>
  <c r="DG29" i="86"/>
  <c r="CR30" i="86"/>
  <c r="CS30" i="86"/>
  <c r="CT30" i="86"/>
  <c r="CU30" i="86"/>
  <c r="CV30" i="86"/>
  <c r="CW30" i="86"/>
  <c r="CX30" i="86"/>
  <c r="CY30" i="86"/>
  <c r="CZ30" i="86"/>
  <c r="DA30" i="86"/>
  <c r="DB30" i="86"/>
  <c r="DC30" i="86"/>
  <c r="DD30" i="86"/>
  <c r="DE30" i="86"/>
  <c r="DF30" i="86"/>
  <c r="DG30" i="86"/>
  <c r="CR31" i="86"/>
  <c r="CS31" i="86"/>
  <c r="CT31" i="86"/>
  <c r="CU31" i="86"/>
  <c r="CV31" i="86"/>
  <c r="CW31" i="86"/>
  <c r="CX31" i="86"/>
  <c r="CY31" i="86"/>
  <c r="CZ31" i="86"/>
  <c r="DA31" i="86"/>
  <c r="DB31" i="86"/>
  <c r="DC31" i="86"/>
  <c r="DD31" i="86"/>
  <c r="DE31" i="86"/>
  <c r="DF31" i="86"/>
  <c r="DG31" i="86"/>
  <c r="CR32" i="86"/>
  <c r="CS32" i="86"/>
  <c r="CT32" i="86"/>
  <c r="CU32" i="86"/>
  <c r="CV32" i="86"/>
  <c r="CW32" i="86"/>
  <c r="CX32" i="86"/>
  <c r="CY32" i="86"/>
  <c r="CZ32" i="86"/>
  <c r="DA32" i="86"/>
  <c r="DB32" i="86"/>
  <c r="DC32" i="86"/>
  <c r="DD32" i="86"/>
  <c r="DE32" i="86"/>
  <c r="DF32" i="86"/>
  <c r="DG32" i="86"/>
  <c r="CR33" i="86"/>
  <c r="CS33" i="86"/>
  <c r="CT33" i="86"/>
  <c r="CU33" i="86"/>
  <c r="CV33" i="86"/>
  <c r="CW33" i="86"/>
  <c r="CX33" i="86"/>
  <c r="CY33" i="86"/>
  <c r="CZ33" i="86"/>
  <c r="DA33" i="86"/>
  <c r="DB33" i="86"/>
  <c r="DC33" i="86"/>
  <c r="DD33" i="86"/>
  <c r="DE33" i="86"/>
  <c r="DF33" i="86"/>
  <c r="DG33" i="86"/>
  <c r="CR34" i="86"/>
  <c r="CS34" i="86"/>
  <c r="CT34" i="86"/>
  <c r="CU34" i="86"/>
  <c r="CV34" i="86"/>
  <c r="CW34" i="86"/>
  <c r="CX34" i="86"/>
  <c r="CY34" i="86"/>
  <c r="CZ34" i="86"/>
  <c r="DA34" i="86"/>
  <c r="DB34" i="86"/>
  <c r="DC34" i="86"/>
  <c r="DD34" i="86"/>
  <c r="DE34" i="86"/>
  <c r="DF34" i="86"/>
  <c r="DG34" i="86"/>
  <c r="CR35" i="86"/>
  <c r="CS35" i="86"/>
  <c r="CT35" i="86"/>
  <c r="CU35" i="86"/>
  <c r="CV35" i="86"/>
  <c r="CW35" i="86"/>
  <c r="CX35" i="86"/>
  <c r="CY35" i="86"/>
  <c r="CZ35" i="86"/>
  <c r="DA35" i="86"/>
  <c r="DB35" i="86"/>
  <c r="DC35" i="86"/>
  <c r="DD35" i="86"/>
  <c r="DE35" i="86"/>
  <c r="DF35" i="86"/>
  <c r="DG35" i="86"/>
  <c r="CR36" i="86"/>
  <c r="CS36" i="86"/>
  <c r="CT36" i="86"/>
  <c r="CU36" i="86"/>
  <c r="CV36" i="86"/>
  <c r="CW36" i="86"/>
  <c r="CX36" i="86"/>
  <c r="CY36" i="86"/>
  <c r="CZ36" i="86"/>
  <c r="DA36" i="86"/>
  <c r="DB36" i="86"/>
  <c r="DC36" i="86"/>
  <c r="DD36" i="86"/>
  <c r="DE36" i="86"/>
  <c r="DF36" i="86"/>
  <c r="DG36" i="86"/>
  <c r="CR37" i="86"/>
  <c r="CS37" i="86"/>
  <c r="CT37" i="86"/>
  <c r="CU37" i="86"/>
  <c r="CV37" i="86"/>
  <c r="CW37" i="86"/>
  <c r="CX37" i="86"/>
  <c r="CY37" i="86"/>
  <c r="CZ37" i="86"/>
  <c r="DA37" i="86"/>
  <c r="DB37" i="86"/>
  <c r="DC37" i="86"/>
  <c r="DD37" i="86"/>
  <c r="DE37" i="86"/>
  <c r="DF37" i="86"/>
  <c r="DG37" i="86"/>
  <c r="CR38" i="86"/>
  <c r="CS38" i="86"/>
  <c r="CT38" i="86"/>
  <c r="CU38" i="86"/>
  <c r="CV38" i="86"/>
  <c r="CW38" i="86"/>
  <c r="CX38" i="86"/>
  <c r="CY38" i="86"/>
  <c r="CZ38" i="86"/>
  <c r="DA38" i="86"/>
  <c r="DB38" i="86"/>
  <c r="DC38" i="86"/>
  <c r="DD38" i="86"/>
  <c r="DE38" i="86"/>
  <c r="DF38" i="86"/>
  <c r="DG38" i="86"/>
  <c r="CR39" i="86"/>
  <c r="CS39" i="86"/>
  <c r="CT39" i="86"/>
  <c r="CU39" i="86"/>
  <c r="CV39" i="86"/>
  <c r="CW39" i="86"/>
  <c r="CX39" i="86"/>
  <c r="CY39" i="86"/>
  <c r="CZ39" i="86"/>
  <c r="DA39" i="86"/>
  <c r="DB39" i="86"/>
  <c r="DC39" i="86"/>
  <c r="DD39" i="86"/>
  <c r="DE39" i="86"/>
  <c r="DF39" i="86"/>
  <c r="DG39" i="86"/>
  <c r="CR40" i="86"/>
  <c r="CS40" i="86"/>
  <c r="CT40" i="86"/>
  <c r="CU40" i="86"/>
  <c r="CV40" i="86"/>
  <c r="CW40" i="86"/>
  <c r="CX40" i="86"/>
  <c r="CY40" i="86"/>
  <c r="CZ40" i="86"/>
  <c r="DA40" i="86"/>
  <c r="DB40" i="86"/>
  <c r="DC40" i="86"/>
  <c r="DD40" i="86"/>
  <c r="DE40" i="86"/>
  <c r="DF40" i="86"/>
  <c r="DG40" i="86"/>
  <c r="CR41" i="86"/>
  <c r="CS41" i="86"/>
  <c r="CT41" i="86"/>
  <c r="CU41" i="86"/>
  <c r="CV41" i="86"/>
  <c r="CW41" i="86"/>
  <c r="CX41" i="86"/>
  <c r="CY41" i="86"/>
  <c r="CZ41" i="86"/>
  <c r="DA41" i="86"/>
  <c r="DB41" i="86"/>
  <c r="DC41" i="86"/>
  <c r="DD41" i="86"/>
  <c r="DE41" i="86"/>
  <c r="DF41" i="86"/>
  <c r="DG41" i="86"/>
  <c r="CR42" i="86"/>
  <c r="CS42" i="86"/>
  <c r="CT42" i="86"/>
  <c r="CU42" i="86"/>
  <c r="CV42" i="86"/>
  <c r="CW42" i="86"/>
  <c r="CX42" i="86"/>
  <c r="CY42" i="86"/>
  <c r="CZ42" i="86"/>
  <c r="DA42" i="86"/>
  <c r="DB42" i="86"/>
  <c r="DC42" i="86"/>
  <c r="DD42" i="86"/>
  <c r="DE42" i="86"/>
  <c r="DF42" i="86"/>
  <c r="DG42" i="86"/>
  <c r="CR43" i="86"/>
  <c r="CS43" i="86"/>
  <c r="CT43" i="86"/>
  <c r="CU43" i="86"/>
  <c r="CV43" i="86"/>
  <c r="CW43" i="86"/>
  <c r="CX43" i="86"/>
  <c r="CY43" i="86"/>
  <c r="CZ43" i="86"/>
  <c r="DA43" i="86"/>
  <c r="DB43" i="86"/>
  <c r="DC43" i="86"/>
  <c r="DD43" i="86"/>
  <c r="DE43" i="86"/>
  <c r="DF43" i="86"/>
  <c r="DG43" i="86"/>
  <c r="CR44" i="86"/>
  <c r="CS44" i="86"/>
  <c r="CT44" i="86"/>
  <c r="CU44" i="86"/>
  <c r="CV44" i="86"/>
  <c r="CW44" i="86"/>
  <c r="CX44" i="86"/>
  <c r="CY44" i="86"/>
  <c r="CZ44" i="86"/>
  <c r="DA44" i="86"/>
  <c r="DB44" i="86"/>
  <c r="DC44" i="86"/>
  <c r="DD44" i="86"/>
  <c r="DE44" i="86"/>
  <c r="DF44" i="86"/>
  <c r="DG44" i="86"/>
  <c r="CR45" i="86"/>
  <c r="CS45" i="86"/>
  <c r="CT45" i="86"/>
  <c r="CU45" i="86"/>
  <c r="CV45" i="86"/>
  <c r="CW45" i="86"/>
  <c r="CX45" i="86"/>
  <c r="CY45" i="86"/>
  <c r="CZ45" i="86"/>
  <c r="DA45" i="86"/>
  <c r="DB45" i="86"/>
  <c r="DC45" i="86"/>
  <c r="DD45" i="86"/>
  <c r="DE45" i="86"/>
  <c r="DF45" i="86"/>
  <c r="DG45" i="86"/>
  <c r="CR46" i="86"/>
  <c r="CS46" i="86"/>
  <c r="CT46" i="86"/>
  <c r="CU46" i="86"/>
  <c r="CV46" i="86"/>
  <c r="CW46" i="86"/>
  <c r="CX46" i="86"/>
  <c r="CY46" i="86"/>
  <c r="CZ46" i="86"/>
  <c r="DA46" i="86"/>
  <c r="DB46" i="86"/>
  <c r="DC46" i="86"/>
  <c r="DD46" i="86"/>
  <c r="DE46" i="86"/>
  <c r="DF46" i="86"/>
  <c r="DG46" i="86"/>
  <c r="CR47" i="86"/>
  <c r="CS47" i="86"/>
  <c r="CT47" i="86"/>
  <c r="CU47" i="86"/>
  <c r="CV47" i="86"/>
  <c r="CW47" i="86"/>
  <c r="CX47" i="86"/>
  <c r="CY47" i="86"/>
  <c r="CZ47" i="86"/>
  <c r="DA47" i="86"/>
  <c r="DB47" i="86"/>
  <c r="DC47" i="86"/>
  <c r="DD47" i="86"/>
  <c r="DE47" i="86"/>
  <c r="DF47" i="86"/>
  <c r="DG47" i="86"/>
  <c r="CR48" i="86"/>
  <c r="CS48" i="86"/>
  <c r="CT48" i="86"/>
  <c r="CU48" i="86"/>
  <c r="CV48" i="86"/>
  <c r="CW48" i="86"/>
  <c r="CX48" i="86"/>
  <c r="CY48" i="86"/>
  <c r="CZ48" i="86"/>
  <c r="DA48" i="86"/>
  <c r="DB48" i="86"/>
  <c r="DC48" i="86"/>
  <c r="DD48" i="86"/>
  <c r="DE48" i="86"/>
  <c r="DF48" i="86"/>
  <c r="DG48" i="86"/>
  <c r="CR49" i="86"/>
  <c r="CS49" i="86"/>
  <c r="CT49" i="86"/>
  <c r="CU49" i="86"/>
  <c r="CV49" i="86"/>
  <c r="CW49" i="86"/>
  <c r="CX49" i="86"/>
  <c r="CY49" i="86"/>
  <c r="CZ49" i="86"/>
  <c r="DA49" i="86"/>
  <c r="DB49" i="86"/>
  <c r="DC49" i="86"/>
  <c r="DD49" i="86"/>
  <c r="DE49" i="86"/>
  <c r="DF49" i="86"/>
  <c r="DG49" i="86"/>
  <c r="CR50" i="86"/>
  <c r="CS50" i="86"/>
  <c r="CT50" i="86"/>
  <c r="CU50" i="86"/>
  <c r="CV50" i="86"/>
  <c r="CW50" i="86"/>
  <c r="CX50" i="86"/>
  <c r="CY50" i="86"/>
  <c r="CZ50" i="86"/>
  <c r="DA50" i="86"/>
  <c r="DB50" i="86"/>
  <c r="DC50" i="86"/>
  <c r="DD50" i="86"/>
  <c r="DE50" i="86"/>
  <c r="DF50" i="86"/>
  <c r="DG50" i="86"/>
  <c r="CR51" i="86"/>
  <c r="CS51" i="86"/>
  <c r="CT51" i="86"/>
  <c r="CU51" i="86"/>
  <c r="CV51" i="86"/>
  <c r="CW51" i="86"/>
  <c r="CX51" i="86"/>
  <c r="CY51" i="86"/>
  <c r="CZ51" i="86"/>
  <c r="DA51" i="86"/>
  <c r="DB51" i="86"/>
  <c r="DC51" i="86"/>
  <c r="DD51" i="86"/>
  <c r="DE51" i="86"/>
  <c r="DF51" i="86"/>
  <c r="DG51" i="86"/>
  <c r="CR52" i="86"/>
  <c r="CS52" i="86"/>
  <c r="CT52" i="86"/>
  <c r="CU52" i="86"/>
  <c r="CV52" i="86"/>
  <c r="CW52" i="86"/>
  <c r="CX52" i="86"/>
  <c r="CY52" i="86"/>
  <c r="CZ52" i="86"/>
  <c r="DA52" i="86"/>
  <c r="DB52" i="86"/>
  <c r="DC52" i="86"/>
  <c r="DD52" i="86"/>
  <c r="DE52" i="86"/>
  <c r="DF52" i="86"/>
  <c r="DG52" i="86"/>
  <c r="CR53" i="86"/>
  <c r="CS53" i="86"/>
  <c r="CT53" i="86"/>
  <c r="CU53" i="86"/>
  <c r="CV53" i="86"/>
  <c r="CW53" i="86"/>
  <c r="CX53" i="86"/>
  <c r="CY53" i="86"/>
  <c r="CZ53" i="86"/>
  <c r="DA53" i="86"/>
  <c r="DB53" i="86"/>
  <c r="DC53" i="86"/>
  <c r="DD53" i="86"/>
  <c r="DE53" i="86"/>
  <c r="DF53" i="86"/>
  <c r="DG53" i="86"/>
  <c r="CR54" i="86"/>
  <c r="CS54" i="86"/>
  <c r="CT54" i="86"/>
  <c r="CU54" i="86"/>
  <c r="CV54" i="86"/>
  <c r="CW54" i="86"/>
  <c r="CX54" i="86"/>
  <c r="CY54" i="86"/>
  <c r="CZ54" i="86"/>
  <c r="DA54" i="86"/>
  <c r="DB54" i="86"/>
  <c r="DC54" i="86"/>
  <c r="DD54" i="86"/>
  <c r="DE54" i="86"/>
  <c r="DF54" i="86"/>
  <c r="DG54" i="86"/>
  <c r="CR55" i="86"/>
  <c r="CS55" i="86"/>
  <c r="CT55" i="86"/>
  <c r="CU55" i="86"/>
  <c r="CV55" i="86"/>
  <c r="CW55" i="86"/>
  <c r="CX55" i="86"/>
  <c r="CY55" i="86"/>
  <c r="CZ55" i="86"/>
  <c r="DA55" i="86"/>
  <c r="DB55" i="86"/>
  <c r="DC55" i="86"/>
  <c r="DD55" i="86"/>
  <c r="DE55" i="86"/>
  <c r="DF55" i="86"/>
  <c r="DG55" i="86"/>
  <c r="CR56" i="86"/>
  <c r="CS56" i="86"/>
  <c r="CT56" i="86"/>
  <c r="CU56" i="86"/>
  <c r="CV56" i="86"/>
  <c r="CW56" i="86"/>
  <c r="CX56" i="86"/>
  <c r="CY56" i="86"/>
  <c r="CZ56" i="86"/>
  <c r="DA56" i="86"/>
  <c r="DB56" i="86"/>
  <c r="DC56" i="86"/>
  <c r="DD56" i="86"/>
  <c r="DE56" i="86"/>
  <c r="DF56" i="86"/>
  <c r="DG56" i="86"/>
  <c r="F6" i="86"/>
  <c r="G6" i="86"/>
  <c r="H6" i="86"/>
  <c r="I6" i="86"/>
  <c r="J6" i="86"/>
  <c r="K6" i="86"/>
  <c r="L6" i="86"/>
  <c r="M6" i="86"/>
  <c r="N6" i="86"/>
  <c r="O6" i="86"/>
  <c r="P6" i="86"/>
  <c r="Q6" i="86"/>
  <c r="S6" i="86"/>
  <c r="T6" i="86"/>
  <c r="U6" i="86"/>
  <c r="V6" i="86"/>
  <c r="W6" i="86"/>
  <c r="X6" i="86"/>
  <c r="Y6" i="86"/>
  <c r="Z6" i="86"/>
  <c r="AA6" i="86"/>
  <c r="AB6" i="86"/>
  <c r="AC6" i="86"/>
  <c r="AK6" i="86"/>
  <c r="AL6" i="86"/>
  <c r="AM6" i="86"/>
  <c r="AN6" i="86"/>
  <c r="AO6" i="86"/>
  <c r="AP6" i="86"/>
  <c r="AQ6" i="86"/>
  <c r="AR6" i="86"/>
  <c r="AS6" i="86"/>
  <c r="AT6" i="86"/>
  <c r="AU6" i="86"/>
  <c r="BC6" i="86"/>
  <c r="BD6" i="86"/>
  <c r="BE6" i="86"/>
  <c r="BF6" i="86"/>
  <c r="BG6" i="86"/>
  <c r="BH6" i="86"/>
  <c r="BI6" i="86"/>
  <c r="BJ6" i="86"/>
  <c r="BK6" i="86"/>
  <c r="BL6" i="86"/>
  <c r="BM6" i="86"/>
  <c r="BU6" i="86"/>
  <c r="BV6" i="86"/>
  <c r="BW6" i="86"/>
  <c r="BX6" i="86"/>
  <c r="BY6" i="86"/>
  <c r="BZ6" i="86"/>
  <c r="CA6" i="86"/>
  <c r="CB6" i="86"/>
  <c r="CC6" i="86"/>
  <c r="CD6" i="86"/>
  <c r="CE6" i="86"/>
  <c r="CM6" i="86"/>
  <c r="CN6" i="86"/>
  <c r="CO6" i="86"/>
  <c r="CP6" i="86"/>
  <c r="CQ6" i="86"/>
  <c r="F7" i="86"/>
  <c r="G7" i="86"/>
  <c r="H7" i="86"/>
  <c r="I7" i="86"/>
  <c r="J7" i="86"/>
  <c r="K7" i="86"/>
  <c r="L7" i="86"/>
  <c r="M7" i="86"/>
  <c r="N7" i="86"/>
  <c r="O7" i="86"/>
  <c r="P7" i="86"/>
  <c r="Q7" i="86"/>
  <c r="S7" i="86"/>
  <c r="T7" i="86"/>
  <c r="U7" i="86"/>
  <c r="V7" i="86"/>
  <c r="W7" i="86"/>
  <c r="X7" i="86"/>
  <c r="Y7" i="86"/>
  <c r="Z7" i="86"/>
  <c r="AA7" i="86"/>
  <c r="AB7" i="86"/>
  <c r="AC7" i="86"/>
  <c r="AK7" i="86"/>
  <c r="AL7" i="86"/>
  <c r="AM7" i="86"/>
  <c r="AN7" i="86"/>
  <c r="AO7" i="86"/>
  <c r="AP7" i="86"/>
  <c r="AQ7" i="86"/>
  <c r="AR7" i="86"/>
  <c r="AS7" i="86"/>
  <c r="AT7" i="86"/>
  <c r="AU7" i="86"/>
  <c r="BC7" i="86"/>
  <c r="BD7" i="86"/>
  <c r="BE7" i="86"/>
  <c r="BF7" i="86"/>
  <c r="BG7" i="86"/>
  <c r="BH7" i="86"/>
  <c r="BI7" i="86"/>
  <c r="BJ7" i="86"/>
  <c r="BK7" i="86"/>
  <c r="BL7" i="86"/>
  <c r="BM7" i="86"/>
  <c r="BU7" i="86"/>
  <c r="BV7" i="86"/>
  <c r="BW7" i="86"/>
  <c r="BX7" i="86"/>
  <c r="BY7" i="86"/>
  <c r="BZ7" i="86"/>
  <c r="CA7" i="86"/>
  <c r="CB7" i="86"/>
  <c r="CC7" i="86"/>
  <c r="CD7" i="86"/>
  <c r="CE7" i="86"/>
  <c r="CM7" i="86"/>
  <c r="CN7" i="86"/>
  <c r="CO7" i="86"/>
  <c r="CP7" i="86"/>
  <c r="CQ7" i="86"/>
  <c r="F8" i="86"/>
  <c r="G8" i="86"/>
  <c r="H8" i="86"/>
  <c r="I8" i="86"/>
  <c r="J8" i="86"/>
  <c r="K8" i="86"/>
  <c r="L8" i="86"/>
  <c r="M8" i="86"/>
  <c r="N8" i="86"/>
  <c r="O8" i="86"/>
  <c r="P8" i="86"/>
  <c r="Q8" i="86"/>
  <c r="S8" i="86"/>
  <c r="T8" i="86"/>
  <c r="U8" i="86"/>
  <c r="V8" i="86"/>
  <c r="W8" i="86"/>
  <c r="X8" i="86"/>
  <c r="Y8" i="86"/>
  <c r="Z8" i="86"/>
  <c r="AA8" i="86"/>
  <c r="AB8" i="86"/>
  <c r="AC8" i="86"/>
  <c r="AK8" i="86"/>
  <c r="AL8" i="86"/>
  <c r="AM8" i="86"/>
  <c r="AN8" i="86"/>
  <c r="AO8" i="86"/>
  <c r="AP8" i="86"/>
  <c r="AQ8" i="86"/>
  <c r="AR8" i="86"/>
  <c r="AS8" i="86"/>
  <c r="AT8" i="86"/>
  <c r="AU8" i="86"/>
  <c r="BC8" i="86"/>
  <c r="BD8" i="86"/>
  <c r="BE8" i="86"/>
  <c r="BF8" i="86"/>
  <c r="BG8" i="86"/>
  <c r="BH8" i="86"/>
  <c r="BI8" i="86"/>
  <c r="BJ8" i="86"/>
  <c r="BK8" i="86"/>
  <c r="BL8" i="86"/>
  <c r="BM8" i="86"/>
  <c r="BU8" i="86"/>
  <c r="BV8" i="86"/>
  <c r="BW8" i="86"/>
  <c r="BX8" i="86"/>
  <c r="BY8" i="86"/>
  <c r="BZ8" i="86"/>
  <c r="CA8" i="86"/>
  <c r="CB8" i="86"/>
  <c r="CC8" i="86"/>
  <c r="CD8" i="86"/>
  <c r="CE8" i="86"/>
  <c r="CM8" i="86"/>
  <c r="CN8" i="86"/>
  <c r="CO8" i="86"/>
  <c r="CP8" i="86"/>
  <c r="CQ8" i="86"/>
  <c r="F9" i="86"/>
  <c r="G9" i="86"/>
  <c r="H9" i="86"/>
  <c r="I9" i="86"/>
  <c r="J9" i="86"/>
  <c r="K9" i="86"/>
  <c r="L9" i="86"/>
  <c r="M9" i="86"/>
  <c r="N9" i="86"/>
  <c r="O9" i="86"/>
  <c r="P9" i="86"/>
  <c r="Q9" i="86"/>
  <c r="S9" i="86"/>
  <c r="T9" i="86"/>
  <c r="U9" i="86"/>
  <c r="V9" i="86"/>
  <c r="W9" i="86"/>
  <c r="X9" i="86"/>
  <c r="Y9" i="86"/>
  <c r="Z9" i="86"/>
  <c r="AA9" i="86"/>
  <c r="AB9" i="86"/>
  <c r="AC9" i="86"/>
  <c r="AK9" i="86"/>
  <c r="AL9" i="86"/>
  <c r="AM9" i="86"/>
  <c r="AN9" i="86"/>
  <c r="AO9" i="86"/>
  <c r="AP9" i="86"/>
  <c r="AQ9" i="86"/>
  <c r="AR9" i="86"/>
  <c r="AS9" i="86"/>
  <c r="AT9" i="86"/>
  <c r="AU9" i="86"/>
  <c r="BC9" i="86"/>
  <c r="BD9" i="86"/>
  <c r="BE9" i="86"/>
  <c r="BF9" i="86"/>
  <c r="BG9" i="86"/>
  <c r="BH9" i="86"/>
  <c r="BI9" i="86"/>
  <c r="BJ9" i="86"/>
  <c r="BK9" i="86"/>
  <c r="BL9" i="86"/>
  <c r="BM9" i="86"/>
  <c r="BU9" i="86"/>
  <c r="BV9" i="86"/>
  <c r="BW9" i="86"/>
  <c r="BX9" i="86"/>
  <c r="BY9" i="86"/>
  <c r="BZ9" i="86"/>
  <c r="CA9" i="86"/>
  <c r="CB9" i="86"/>
  <c r="CC9" i="86"/>
  <c r="CD9" i="86"/>
  <c r="CE9" i="86"/>
  <c r="CM9" i="86"/>
  <c r="CN9" i="86"/>
  <c r="CO9" i="86"/>
  <c r="CP9" i="86"/>
  <c r="CQ9" i="86"/>
  <c r="F10" i="86"/>
  <c r="G10" i="86"/>
  <c r="H10" i="86"/>
  <c r="I10" i="86"/>
  <c r="J10" i="86"/>
  <c r="K10" i="86"/>
  <c r="L10" i="86"/>
  <c r="M10" i="86"/>
  <c r="N10" i="86"/>
  <c r="O10" i="86"/>
  <c r="P10" i="86"/>
  <c r="Q10" i="86"/>
  <c r="S10" i="86"/>
  <c r="T10" i="86"/>
  <c r="U10" i="86"/>
  <c r="V10" i="86"/>
  <c r="W10" i="86"/>
  <c r="X10" i="86"/>
  <c r="Y10" i="86"/>
  <c r="Z10" i="86"/>
  <c r="AA10" i="86"/>
  <c r="AB10" i="86"/>
  <c r="AC10" i="86"/>
  <c r="AK10" i="86"/>
  <c r="AL10" i="86"/>
  <c r="AM10" i="86"/>
  <c r="AN10" i="86"/>
  <c r="AO10" i="86"/>
  <c r="AP10" i="86"/>
  <c r="AQ10" i="86"/>
  <c r="AR10" i="86"/>
  <c r="AS10" i="86"/>
  <c r="AT10" i="86"/>
  <c r="AU10" i="86"/>
  <c r="BC10" i="86"/>
  <c r="BD10" i="86"/>
  <c r="BE10" i="86"/>
  <c r="BF10" i="86"/>
  <c r="BG10" i="86"/>
  <c r="BH10" i="86"/>
  <c r="BI10" i="86"/>
  <c r="BJ10" i="86"/>
  <c r="BK10" i="86"/>
  <c r="BL10" i="86"/>
  <c r="BM10" i="86"/>
  <c r="BU10" i="86"/>
  <c r="BV10" i="86"/>
  <c r="BW10" i="86"/>
  <c r="BX10" i="86"/>
  <c r="BY10" i="86"/>
  <c r="BZ10" i="86"/>
  <c r="CA10" i="86"/>
  <c r="CB10" i="86"/>
  <c r="CC10" i="86"/>
  <c r="CD10" i="86"/>
  <c r="CE10" i="86"/>
  <c r="CM10" i="86"/>
  <c r="CN10" i="86"/>
  <c r="CO10" i="86"/>
  <c r="CP10" i="86"/>
  <c r="CQ10" i="86"/>
  <c r="F11" i="86"/>
  <c r="G11" i="86"/>
  <c r="H11" i="86"/>
  <c r="I11" i="86"/>
  <c r="J11" i="86"/>
  <c r="K11" i="86"/>
  <c r="L11" i="86"/>
  <c r="M11" i="86"/>
  <c r="N11" i="86"/>
  <c r="O11" i="86"/>
  <c r="P11" i="86"/>
  <c r="Q11" i="86"/>
  <c r="S11" i="86"/>
  <c r="T11" i="86"/>
  <c r="U11" i="86"/>
  <c r="V11" i="86"/>
  <c r="W11" i="86"/>
  <c r="X11" i="86"/>
  <c r="Y11" i="86"/>
  <c r="Z11" i="86"/>
  <c r="AA11" i="86"/>
  <c r="AB11" i="86"/>
  <c r="AC11" i="86"/>
  <c r="AK11" i="86"/>
  <c r="AL11" i="86"/>
  <c r="AM11" i="86"/>
  <c r="AN11" i="86"/>
  <c r="AO11" i="86"/>
  <c r="AP11" i="86"/>
  <c r="AQ11" i="86"/>
  <c r="AR11" i="86"/>
  <c r="AS11" i="86"/>
  <c r="AT11" i="86"/>
  <c r="AU11" i="86"/>
  <c r="BC11" i="86"/>
  <c r="BD11" i="86"/>
  <c r="BE11" i="86"/>
  <c r="BF11" i="86"/>
  <c r="BG11" i="86"/>
  <c r="BH11" i="86"/>
  <c r="BI11" i="86"/>
  <c r="BJ11" i="86"/>
  <c r="BK11" i="86"/>
  <c r="BL11" i="86"/>
  <c r="BM11" i="86"/>
  <c r="BU11" i="86"/>
  <c r="BV11" i="86"/>
  <c r="BW11" i="86"/>
  <c r="BX11" i="86"/>
  <c r="BY11" i="86"/>
  <c r="BZ11" i="86"/>
  <c r="CA11" i="86"/>
  <c r="CB11" i="86"/>
  <c r="CC11" i="86"/>
  <c r="CD11" i="86"/>
  <c r="CE11" i="86"/>
  <c r="CM11" i="86"/>
  <c r="CN11" i="86"/>
  <c r="CO11" i="86"/>
  <c r="CP11" i="86"/>
  <c r="CQ11" i="86"/>
  <c r="F12" i="86"/>
  <c r="G12" i="86"/>
  <c r="H12" i="86"/>
  <c r="I12" i="86"/>
  <c r="J12" i="86"/>
  <c r="K12" i="86"/>
  <c r="L12" i="86"/>
  <c r="M12" i="86"/>
  <c r="N12" i="86"/>
  <c r="O12" i="86"/>
  <c r="P12" i="86"/>
  <c r="Q12" i="86"/>
  <c r="S12" i="86"/>
  <c r="T12" i="86"/>
  <c r="U12" i="86"/>
  <c r="V12" i="86"/>
  <c r="W12" i="86"/>
  <c r="X12" i="86"/>
  <c r="Y12" i="86"/>
  <c r="Z12" i="86"/>
  <c r="AA12" i="86"/>
  <c r="AB12" i="86"/>
  <c r="AC12" i="86"/>
  <c r="AK12" i="86"/>
  <c r="AL12" i="86"/>
  <c r="AM12" i="86"/>
  <c r="AN12" i="86"/>
  <c r="AO12" i="86"/>
  <c r="AP12" i="86"/>
  <c r="AQ12" i="86"/>
  <c r="AR12" i="86"/>
  <c r="AS12" i="86"/>
  <c r="AT12" i="86"/>
  <c r="AU12" i="86"/>
  <c r="BC12" i="86"/>
  <c r="BD12" i="86"/>
  <c r="BE12" i="86"/>
  <c r="BF12" i="86"/>
  <c r="BG12" i="86"/>
  <c r="BH12" i="86"/>
  <c r="BI12" i="86"/>
  <c r="BJ12" i="86"/>
  <c r="BK12" i="86"/>
  <c r="BL12" i="86"/>
  <c r="BM12" i="86"/>
  <c r="BU12" i="86"/>
  <c r="BV12" i="86"/>
  <c r="BW12" i="86"/>
  <c r="BX12" i="86"/>
  <c r="BY12" i="86"/>
  <c r="BZ12" i="86"/>
  <c r="CA12" i="86"/>
  <c r="CB12" i="86"/>
  <c r="CC12" i="86"/>
  <c r="CD12" i="86"/>
  <c r="CE12" i="86"/>
  <c r="CM12" i="86"/>
  <c r="CN12" i="86"/>
  <c r="CO12" i="86"/>
  <c r="CP12" i="86"/>
  <c r="CQ12" i="86"/>
  <c r="F13" i="86"/>
  <c r="G13" i="86"/>
  <c r="H13" i="86"/>
  <c r="I13" i="86"/>
  <c r="J13" i="86"/>
  <c r="K13" i="86"/>
  <c r="L13" i="86"/>
  <c r="M13" i="86"/>
  <c r="N13" i="86"/>
  <c r="O13" i="86"/>
  <c r="P13" i="86"/>
  <c r="Q13" i="86"/>
  <c r="S13" i="86"/>
  <c r="T13" i="86"/>
  <c r="U13" i="86"/>
  <c r="V13" i="86"/>
  <c r="W13" i="86"/>
  <c r="X13" i="86"/>
  <c r="Y13" i="86"/>
  <c r="Z13" i="86"/>
  <c r="AA13" i="86"/>
  <c r="AB13" i="86"/>
  <c r="AC13" i="86"/>
  <c r="AK13" i="86"/>
  <c r="AL13" i="86"/>
  <c r="AM13" i="86"/>
  <c r="AN13" i="86"/>
  <c r="AO13" i="86"/>
  <c r="AP13" i="86"/>
  <c r="AQ13" i="86"/>
  <c r="AR13" i="86"/>
  <c r="AS13" i="86"/>
  <c r="AT13" i="86"/>
  <c r="AU13" i="86"/>
  <c r="BC13" i="86"/>
  <c r="BD13" i="86"/>
  <c r="BE13" i="86"/>
  <c r="BF13" i="86"/>
  <c r="BG13" i="86"/>
  <c r="BH13" i="86"/>
  <c r="BI13" i="86"/>
  <c r="BJ13" i="86"/>
  <c r="BK13" i="86"/>
  <c r="BL13" i="86"/>
  <c r="BM13" i="86"/>
  <c r="BU13" i="86"/>
  <c r="BV13" i="86"/>
  <c r="BW13" i="86"/>
  <c r="BX13" i="86"/>
  <c r="BY13" i="86"/>
  <c r="BZ13" i="86"/>
  <c r="CA13" i="86"/>
  <c r="CB13" i="86"/>
  <c r="CC13" i="86"/>
  <c r="CD13" i="86"/>
  <c r="CE13" i="86"/>
  <c r="CM13" i="86"/>
  <c r="CN13" i="86"/>
  <c r="CO13" i="86"/>
  <c r="CP13" i="86"/>
  <c r="CQ13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S14" i="86"/>
  <c r="T14" i="86"/>
  <c r="U14" i="86"/>
  <c r="V14" i="86"/>
  <c r="W14" i="86"/>
  <c r="X14" i="86"/>
  <c r="Y14" i="86"/>
  <c r="Z14" i="86"/>
  <c r="AA14" i="86"/>
  <c r="AB14" i="86"/>
  <c r="AC14" i="86"/>
  <c r="AK14" i="86"/>
  <c r="AL14" i="86"/>
  <c r="AM14" i="86"/>
  <c r="AN14" i="86"/>
  <c r="AO14" i="86"/>
  <c r="AP14" i="86"/>
  <c r="AQ14" i="86"/>
  <c r="AR14" i="86"/>
  <c r="AS14" i="86"/>
  <c r="AT14" i="86"/>
  <c r="AU14" i="86"/>
  <c r="BC14" i="86"/>
  <c r="BD14" i="86"/>
  <c r="BE14" i="86"/>
  <c r="BF14" i="86"/>
  <c r="BG14" i="86"/>
  <c r="BH14" i="86"/>
  <c r="BI14" i="86"/>
  <c r="BJ14" i="86"/>
  <c r="BK14" i="86"/>
  <c r="BL14" i="86"/>
  <c r="BM14" i="86"/>
  <c r="BU14" i="86"/>
  <c r="BV14" i="86"/>
  <c r="BW14" i="86"/>
  <c r="BX14" i="86"/>
  <c r="BY14" i="86"/>
  <c r="BZ14" i="86"/>
  <c r="CA14" i="86"/>
  <c r="CB14" i="86"/>
  <c r="CC14" i="86"/>
  <c r="CD14" i="86"/>
  <c r="CE14" i="86"/>
  <c r="CM14" i="86"/>
  <c r="CN14" i="86"/>
  <c r="CO14" i="86"/>
  <c r="CP14" i="86"/>
  <c r="CQ14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S15" i="86"/>
  <c r="T15" i="86"/>
  <c r="U15" i="86"/>
  <c r="V15" i="86"/>
  <c r="W15" i="86"/>
  <c r="X15" i="86"/>
  <c r="Y15" i="86"/>
  <c r="Z15" i="86"/>
  <c r="AA15" i="86"/>
  <c r="AB15" i="86"/>
  <c r="AC15" i="86"/>
  <c r="AK15" i="86"/>
  <c r="AL15" i="86"/>
  <c r="AM15" i="86"/>
  <c r="AN15" i="86"/>
  <c r="AO15" i="86"/>
  <c r="AP15" i="86"/>
  <c r="AQ15" i="86"/>
  <c r="AR15" i="86"/>
  <c r="AS15" i="86"/>
  <c r="AT15" i="86"/>
  <c r="AU15" i="86"/>
  <c r="BC15" i="86"/>
  <c r="BD15" i="86"/>
  <c r="BE15" i="86"/>
  <c r="BF15" i="86"/>
  <c r="BG15" i="86"/>
  <c r="BH15" i="86"/>
  <c r="BI15" i="86"/>
  <c r="BJ15" i="86"/>
  <c r="BK15" i="86"/>
  <c r="BL15" i="86"/>
  <c r="BM15" i="86"/>
  <c r="BU15" i="86"/>
  <c r="BV15" i="86"/>
  <c r="BW15" i="86"/>
  <c r="BX15" i="86"/>
  <c r="BY15" i="86"/>
  <c r="BZ15" i="86"/>
  <c r="CA15" i="86"/>
  <c r="CB15" i="86"/>
  <c r="CC15" i="86"/>
  <c r="CD15" i="86"/>
  <c r="CE15" i="86"/>
  <c r="CM15" i="86"/>
  <c r="CN15" i="86"/>
  <c r="CO15" i="86"/>
  <c r="CP15" i="86"/>
  <c r="CQ15" i="86"/>
  <c r="F16" i="86"/>
  <c r="G16" i="86"/>
  <c r="H16" i="86"/>
  <c r="I16" i="86"/>
  <c r="J16" i="86"/>
  <c r="K16" i="86"/>
  <c r="L16" i="86"/>
  <c r="M16" i="86"/>
  <c r="N16" i="86"/>
  <c r="O16" i="86"/>
  <c r="P16" i="86"/>
  <c r="Q16" i="86"/>
  <c r="S16" i="86"/>
  <c r="T16" i="86"/>
  <c r="U16" i="86"/>
  <c r="V16" i="86"/>
  <c r="W16" i="86"/>
  <c r="X16" i="86"/>
  <c r="Y16" i="86"/>
  <c r="Z16" i="86"/>
  <c r="AA16" i="86"/>
  <c r="AB16" i="86"/>
  <c r="AC16" i="86"/>
  <c r="AK16" i="86"/>
  <c r="AL16" i="86"/>
  <c r="AM16" i="86"/>
  <c r="AN16" i="86"/>
  <c r="AO16" i="86"/>
  <c r="AP16" i="86"/>
  <c r="AQ16" i="86"/>
  <c r="AR16" i="86"/>
  <c r="AS16" i="86"/>
  <c r="AT16" i="86"/>
  <c r="AU16" i="86"/>
  <c r="BC16" i="86"/>
  <c r="BD16" i="86"/>
  <c r="BE16" i="86"/>
  <c r="BF16" i="86"/>
  <c r="BG16" i="86"/>
  <c r="BH16" i="86"/>
  <c r="BI16" i="86"/>
  <c r="BJ16" i="86"/>
  <c r="BK16" i="86"/>
  <c r="BL16" i="86"/>
  <c r="BM16" i="86"/>
  <c r="BU16" i="86"/>
  <c r="BV16" i="86"/>
  <c r="BW16" i="86"/>
  <c r="BX16" i="86"/>
  <c r="BY16" i="86"/>
  <c r="BZ16" i="86"/>
  <c r="CA16" i="86"/>
  <c r="CB16" i="86"/>
  <c r="CC16" i="86"/>
  <c r="CD16" i="86"/>
  <c r="CE16" i="86"/>
  <c r="CM16" i="86"/>
  <c r="CN16" i="86"/>
  <c r="CO16" i="86"/>
  <c r="CP16" i="86"/>
  <c r="CQ16" i="86"/>
  <c r="F17" i="86"/>
  <c r="G17" i="86"/>
  <c r="H17" i="86"/>
  <c r="I17" i="86"/>
  <c r="J17" i="86"/>
  <c r="K17" i="86"/>
  <c r="L17" i="86"/>
  <c r="M17" i="86"/>
  <c r="N17" i="86"/>
  <c r="O17" i="86"/>
  <c r="P17" i="86"/>
  <c r="Q17" i="86"/>
  <c r="S17" i="86"/>
  <c r="T17" i="86"/>
  <c r="U17" i="86"/>
  <c r="V17" i="86"/>
  <c r="W17" i="86"/>
  <c r="X17" i="86"/>
  <c r="Y17" i="86"/>
  <c r="Z17" i="86"/>
  <c r="AA17" i="86"/>
  <c r="AB17" i="86"/>
  <c r="AC17" i="86"/>
  <c r="AK17" i="86"/>
  <c r="AL17" i="86"/>
  <c r="AM17" i="86"/>
  <c r="AN17" i="86"/>
  <c r="AO17" i="86"/>
  <c r="AP17" i="86"/>
  <c r="AQ17" i="86"/>
  <c r="AR17" i="86"/>
  <c r="AS17" i="86"/>
  <c r="AT17" i="86"/>
  <c r="AU17" i="86"/>
  <c r="BC17" i="86"/>
  <c r="BD17" i="86"/>
  <c r="BE17" i="86"/>
  <c r="BF17" i="86"/>
  <c r="BG17" i="86"/>
  <c r="BH17" i="86"/>
  <c r="BI17" i="86"/>
  <c r="BJ17" i="86"/>
  <c r="BK17" i="86"/>
  <c r="BL17" i="86"/>
  <c r="BM17" i="86"/>
  <c r="BU17" i="86"/>
  <c r="BV17" i="86"/>
  <c r="BW17" i="86"/>
  <c r="BX17" i="86"/>
  <c r="BY17" i="86"/>
  <c r="BZ17" i="86"/>
  <c r="CA17" i="86"/>
  <c r="CB17" i="86"/>
  <c r="CC17" i="86"/>
  <c r="CD17" i="86"/>
  <c r="CE17" i="86"/>
  <c r="CM17" i="86"/>
  <c r="CN17" i="86"/>
  <c r="CO17" i="86"/>
  <c r="CP17" i="86"/>
  <c r="CQ17" i="86"/>
  <c r="F18" i="86"/>
  <c r="G18" i="86"/>
  <c r="H18" i="86"/>
  <c r="I18" i="86"/>
  <c r="J18" i="86"/>
  <c r="K18" i="86"/>
  <c r="L18" i="86"/>
  <c r="M18" i="86"/>
  <c r="N18" i="86"/>
  <c r="O18" i="86"/>
  <c r="P18" i="86"/>
  <c r="Q18" i="86"/>
  <c r="S18" i="86"/>
  <c r="T18" i="86"/>
  <c r="U18" i="86"/>
  <c r="V18" i="86"/>
  <c r="W18" i="86"/>
  <c r="X18" i="86"/>
  <c r="Y18" i="86"/>
  <c r="Z18" i="86"/>
  <c r="AA18" i="86"/>
  <c r="AB18" i="86"/>
  <c r="AC18" i="86"/>
  <c r="AK18" i="86"/>
  <c r="AL18" i="86"/>
  <c r="AM18" i="86"/>
  <c r="AN18" i="86"/>
  <c r="AO18" i="86"/>
  <c r="AP18" i="86"/>
  <c r="AQ18" i="86"/>
  <c r="AR18" i="86"/>
  <c r="AS18" i="86"/>
  <c r="AT18" i="86"/>
  <c r="AU18" i="86"/>
  <c r="BC18" i="86"/>
  <c r="BD18" i="86"/>
  <c r="BE18" i="86"/>
  <c r="BF18" i="86"/>
  <c r="BG18" i="86"/>
  <c r="BH18" i="86"/>
  <c r="BI18" i="86"/>
  <c r="BJ18" i="86"/>
  <c r="BK18" i="86"/>
  <c r="BL18" i="86"/>
  <c r="BM18" i="86"/>
  <c r="BU18" i="86"/>
  <c r="BV18" i="86"/>
  <c r="BW18" i="86"/>
  <c r="BX18" i="86"/>
  <c r="BY18" i="86"/>
  <c r="BZ18" i="86"/>
  <c r="CA18" i="86"/>
  <c r="CB18" i="86"/>
  <c r="CC18" i="86"/>
  <c r="CD18" i="86"/>
  <c r="CE18" i="86"/>
  <c r="CM18" i="86"/>
  <c r="CN18" i="86"/>
  <c r="CO18" i="86"/>
  <c r="CP18" i="86"/>
  <c r="CQ18" i="86"/>
  <c r="F19" i="86"/>
  <c r="G19" i="86"/>
  <c r="H19" i="86"/>
  <c r="I19" i="86"/>
  <c r="J19" i="86"/>
  <c r="K19" i="86"/>
  <c r="L19" i="86"/>
  <c r="M19" i="86"/>
  <c r="N19" i="86"/>
  <c r="O19" i="86"/>
  <c r="P19" i="86"/>
  <c r="Q19" i="86"/>
  <c r="S19" i="86"/>
  <c r="T19" i="86"/>
  <c r="U19" i="86"/>
  <c r="V19" i="86"/>
  <c r="W19" i="86"/>
  <c r="X19" i="86"/>
  <c r="Y19" i="86"/>
  <c r="Z19" i="86"/>
  <c r="AA19" i="86"/>
  <c r="AB19" i="86"/>
  <c r="AC19" i="86"/>
  <c r="AK19" i="86"/>
  <c r="AL19" i="86"/>
  <c r="AM19" i="86"/>
  <c r="AN19" i="86"/>
  <c r="AO19" i="86"/>
  <c r="AP19" i="86"/>
  <c r="AQ19" i="86"/>
  <c r="AR19" i="86"/>
  <c r="AS19" i="86"/>
  <c r="AT19" i="86"/>
  <c r="AU19" i="86"/>
  <c r="BC19" i="86"/>
  <c r="BD19" i="86"/>
  <c r="BE19" i="86"/>
  <c r="BF19" i="86"/>
  <c r="BG19" i="86"/>
  <c r="BH19" i="86"/>
  <c r="BI19" i="86"/>
  <c r="BJ19" i="86"/>
  <c r="BK19" i="86"/>
  <c r="BL19" i="86"/>
  <c r="BM19" i="86"/>
  <c r="BU19" i="86"/>
  <c r="BV19" i="86"/>
  <c r="BW19" i="86"/>
  <c r="BX19" i="86"/>
  <c r="BY19" i="86"/>
  <c r="BZ19" i="86"/>
  <c r="CA19" i="86"/>
  <c r="CB19" i="86"/>
  <c r="CC19" i="86"/>
  <c r="CD19" i="86"/>
  <c r="CE19" i="86"/>
  <c r="CM19" i="86"/>
  <c r="CN19" i="86"/>
  <c r="CO19" i="86"/>
  <c r="CP19" i="86"/>
  <c r="CQ19" i="86"/>
  <c r="F20" i="86"/>
  <c r="G20" i="86"/>
  <c r="H20" i="86"/>
  <c r="I20" i="86"/>
  <c r="J20" i="86"/>
  <c r="K20" i="86"/>
  <c r="L20" i="86"/>
  <c r="M20" i="86"/>
  <c r="N20" i="86"/>
  <c r="O20" i="86"/>
  <c r="P20" i="86"/>
  <c r="Q20" i="86"/>
  <c r="S20" i="86"/>
  <c r="T20" i="86"/>
  <c r="U20" i="86"/>
  <c r="V20" i="86"/>
  <c r="X20" i="86"/>
  <c r="Y20" i="86"/>
  <c r="Z20" i="86"/>
  <c r="AA20" i="86"/>
  <c r="AB20" i="86"/>
  <c r="AC20" i="86"/>
  <c r="AK20" i="86"/>
  <c r="AL20" i="86"/>
  <c r="AM20" i="86"/>
  <c r="AN20" i="86"/>
  <c r="AO20" i="86"/>
  <c r="AP20" i="86"/>
  <c r="AQ20" i="86"/>
  <c r="AR20" i="86"/>
  <c r="AS20" i="86"/>
  <c r="AT20" i="86"/>
  <c r="AU20" i="86"/>
  <c r="BC20" i="86"/>
  <c r="BD20" i="86"/>
  <c r="BE20" i="86"/>
  <c r="BF20" i="86"/>
  <c r="BG20" i="86"/>
  <c r="BH20" i="86"/>
  <c r="BI20" i="86"/>
  <c r="BJ20" i="86"/>
  <c r="BK20" i="86"/>
  <c r="BL20" i="86"/>
  <c r="BM20" i="86"/>
  <c r="BU20" i="86"/>
  <c r="BV20" i="86"/>
  <c r="BW20" i="86"/>
  <c r="BX20" i="86"/>
  <c r="BY20" i="86"/>
  <c r="BZ20" i="86"/>
  <c r="CA20" i="86"/>
  <c r="CB20" i="86"/>
  <c r="CC20" i="86"/>
  <c r="CD20" i="86"/>
  <c r="CE20" i="86"/>
  <c r="CM20" i="86"/>
  <c r="CN20" i="86"/>
  <c r="CO20" i="86"/>
  <c r="CP20" i="86"/>
  <c r="CQ20" i="86"/>
  <c r="F21" i="86"/>
  <c r="G21" i="86"/>
  <c r="H21" i="86"/>
  <c r="I21" i="86"/>
  <c r="J21" i="86"/>
  <c r="K21" i="86"/>
  <c r="L21" i="86"/>
  <c r="M21" i="86"/>
  <c r="N21" i="86"/>
  <c r="O21" i="86"/>
  <c r="P21" i="86"/>
  <c r="Q21" i="86"/>
  <c r="S21" i="86"/>
  <c r="T21" i="86"/>
  <c r="U21" i="86"/>
  <c r="V21" i="86"/>
  <c r="X21" i="86"/>
  <c r="Y21" i="86"/>
  <c r="Z21" i="86"/>
  <c r="AA21" i="86"/>
  <c r="AB21" i="86"/>
  <c r="AC21" i="86"/>
  <c r="AK21" i="86"/>
  <c r="AL21" i="86"/>
  <c r="AM21" i="86"/>
  <c r="AN21" i="86"/>
  <c r="AO21" i="86"/>
  <c r="AP21" i="86"/>
  <c r="AQ21" i="86"/>
  <c r="AR21" i="86"/>
  <c r="AS21" i="86"/>
  <c r="AT21" i="86"/>
  <c r="AU21" i="86"/>
  <c r="BC21" i="86"/>
  <c r="BD21" i="86"/>
  <c r="BE21" i="86"/>
  <c r="BF21" i="86"/>
  <c r="BG21" i="86"/>
  <c r="BH21" i="86"/>
  <c r="BI21" i="86"/>
  <c r="BJ21" i="86"/>
  <c r="BK21" i="86"/>
  <c r="BL21" i="86"/>
  <c r="BM21" i="86"/>
  <c r="BU21" i="86"/>
  <c r="BV21" i="86"/>
  <c r="BW21" i="86"/>
  <c r="BX21" i="86"/>
  <c r="BY21" i="86"/>
  <c r="BZ21" i="86"/>
  <c r="CA21" i="86"/>
  <c r="CB21" i="86"/>
  <c r="CC21" i="86"/>
  <c r="CD21" i="86"/>
  <c r="CE21" i="86"/>
  <c r="CM21" i="86"/>
  <c r="CN21" i="86"/>
  <c r="CO21" i="86"/>
  <c r="CP21" i="86"/>
  <c r="CQ21" i="86"/>
  <c r="F22" i="86"/>
  <c r="G22" i="86"/>
  <c r="H22" i="86"/>
  <c r="I22" i="86"/>
  <c r="J22" i="86"/>
  <c r="K22" i="86"/>
  <c r="L22" i="86"/>
  <c r="M22" i="86"/>
  <c r="N22" i="86"/>
  <c r="O22" i="86"/>
  <c r="P22" i="86"/>
  <c r="Q22" i="86"/>
  <c r="S22" i="86"/>
  <c r="T22" i="86"/>
  <c r="U22" i="86"/>
  <c r="V22" i="86"/>
  <c r="W22" i="86"/>
  <c r="X22" i="86"/>
  <c r="Y22" i="86"/>
  <c r="Z22" i="86"/>
  <c r="AA22" i="86"/>
  <c r="AB22" i="86"/>
  <c r="AC22" i="86"/>
  <c r="AK22" i="86"/>
  <c r="AL22" i="86"/>
  <c r="AM22" i="86"/>
  <c r="AN22" i="86"/>
  <c r="AO22" i="86"/>
  <c r="AP22" i="86"/>
  <c r="AQ22" i="86"/>
  <c r="AR22" i="86"/>
  <c r="AS22" i="86"/>
  <c r="AT22" i="86"/>
  <c r="AU22" i="86"/>
  <c r="BC22" i="86"/>
  <c r="BD22" i="86"/>
  <c r="BE22" i="86"/>
  <c r="BF22" i="86"/>
  <c r="BG22" i="86"/>
  <c r="BH22" i="86"/>
  <c r="BI22" i="86"/>
  <c r="BJ22" i="86"/>
  <c r="BK22" i="86"/>
  <c r="BL22" i="86"/>
  <c r="BM22" i="86"/>
  <c r="BU22" i="86"/>
  <c r="BV22" i="86"/>
  <c r="BW22" i="86"/>
  <c r="BX22" i="86"/>
  <c r="BY22" i="86"/>
  <c r="BZ22" i="86"/>
  <c r="CA22" i="86"/>
  <c r="CB22" i="86"/>
  <c r="CC22" i="86"/>
  <c r="CD22" i="86"/>
  <c r="CE22" i="86"/>
  <c r="CM22" i="86"/>
  <c r="CN22" i="86"/>
  <c r="CO22" i="86"/>
  <c r="CP22" i="86"/>
  <c r="CQ22" i="86"/>
  <c r="F23" i="86"/>
  <c r="G23" i="86"/>
  <c r="H23" i="86"/>
  <c r="I23" i="86"/>
  <c r="J23" i="86"/>
  <c r="K23" i="86"/>
  <c r="L23" i="86"/>
  <c r="M23" i="86"/>
  <c r="N23" i="86"/>
  <c r="O23" i="86"/>
  <c r="P23" i="86"/>
  <c r="Q23" i="86"/>
  <c r="S23" i="86"/>
  <c r="T23" i="86"/>
  <c r="U23" i="86"/>
  <c r="V23" i="86"/>
  <c r="W23" i="86"/>
  <c r="X23" i="86"/>
  <c r="Y23" i="86"/>
  <c r="Z23" i="86"/>
  <c r="AA23" i="86"/>
  <c r="AB23" i="86"/>
  <c r="AC23" i="86"/>
  <c r="AK23" i="86"/>
  <c r="AL23" i="86"/>
  <c r="AM23" i="86"/>
  <c r="AN23" i="86"/>
  <c r="AO23" i="86"/>
  <c r="AP23" i="86"/>
  <c r="AQ23" i="86"/>
  <c r="AR23" i="86"/>
  <c r="AS23" i="86"/>
  <c r="AT23" i="86"/>
  <c r="AU23" i="86"/>
  <c r="BC23" i="86"/>
  <c r="BD23" i="86"/>
  <c r="BE23" i="86"/>
  <c r="BF23" i="86"/>
  <c r="BG23" i="86"/>
  <c r="BH23" i="86"/>
  <c r="BI23" i="86"/>
  <c r="BJ23" i="86"/>
  <c r="BK23" i="86"/>
  <c r="BL23" i="86"/>
  <c r="BM23" i="86"/>
  <c r="BU23" i="86"/>
  <c r="BV23" i="86"/>
  <c r="BW23" i="86"/>
  <c r="BX23" i="86"/>
  <c r="BY23" i="86"/>
  <c r="BZ23" i="86"/>
  <c r="CA23" i="86"/>
  <c r="CB23" i="86"/>
  <c r="CC23" i="86"/>
  <c r="CD23" i="86"/>
  <c r="CE23" i="86"/>
  <c r="CM23" i="86"/>
  <c r="CN23" i="86"/>
  <c r="CO23" i="86"/>
  <c r="CP23" i="86"/>
  <c r="CQ23" i="86"/>
  <c r="F24" i="86"/>
  <c r="G24" i="86"/>
  <c r="H24" i="86"/>
  <c r="I24" i="86"/>
  <c r="J24" i="86"/>
  <c r="K24" i="86"/>
  <c r="L24" i="86"/>
  <c r="M24" i="86"/>
  <c r="N24" i="86"/>
  <c r="O24" i="86"/>
  <c r="P24" i="86"/>
  <c r="Q24" i="86"/>
  <c r="S24" i="86"/>
  <c r="T24" i="86"/>
  <c r="U24" i="86"/>
  <c r="V24" i="86"/>
  <c r="W24" i="86"/>
  <c r="X24" i="86"/>
  <c r="Y24" i="86"/>
  <c r="Z24" i="86"/>
  <c r="AA24" i="86"/>
  <c r="AB24" i="86"/>
  <c r="AC24" i="86"/>
  <c r="AK24" i="86"/>
  <c r="AL24" i="86"/>
  <c r="AM24" i="86"/>
  <c r="AN24" i="86"/>
  <c r="AO24" i="86"/>
  <c r="AP24" i="86"/>
  <c r="AQ24" i="86"/>
  <c r="AR24" i="86"/>
  <c r="AS24" i="86"/>
  <c r="AT24" i="86"/>
  <c r="AU24" i="86"/>
  <c r="BC24" i="86"/>
  <c r="BD24" i="86"/>
  <c r="BE24" i="86"/>
  <c r="BF24" i="86"/>
  <c r="BG24" i="86"/>
  <c r="BH24" i="86"/>
  <c r="BI24" i="86"/>
  <c r="BJ24" i="86"/>
  <c r="BK24" i="86"/>
  <c r="BL24" i="86"/>
  <c r="BM24" i="86"/>
  <c r="BU24" i="86"/>
  <c r="BV24" i="86"/>
  <c r="BW24" i="86"/>
  <c r="BX24" i="86"/>
  <c r="BY24" i="86"/>
  <c r="BZ24" i="86"/>
  <c r="CA24" i="86"/>
  <c r="CB24" i="86"/>
  <c r="CC24" i="86"/>
  <c r="CD24" i="86"/>
  <c r="CE24" i="86"/>
  <c r="CM24" i="86"/>
  <c r="CN24" i="86"/>
  <c r="CO24" i="86"/>
  <c r="CP24" i="86"/>
  <c r="CQ24" i="86"/>
  <c r="F25" i="86"/>
  <c r="G25" i="86"/>
  <c r="H25" i="86"/>
  <c r="I25" i="86"/>
  <c r="J25" i="86"/>
  <c r="K25" i="86"/>
  <c r="L25" i="86"/>
  <c r="M25" i="86"/>
  <c r="N25" i="86"/>
  <c r="O25" i="86"/>
  <c r="P25" i="86"/>
  <c r="Q25" i="86"/>
  <c r="S25" i="86"/>
  <c r="T25" i="86"/>
  <c r="U25" i="86"/>
  <c r="V25" i="86"/>
  <c r="W25" i="86"/>
  <c r="X25" i="86"/>
  <c r="Y25" i="86"/>
  <c r="Z25" i="86"/>
  <c r="AA25" i="86"/>
  <c r="AB25" i="86"/>
  <c r="AC25" i="86"/>
  <c r="AK25" i="86"/>
  <c r="AL25" i="86"/>
  <c r="AM25" i="86"/>
  <c r="AN25" i="86"/>
  <c r="AO25" i="86"/>
  <c r="AP25" i="86"/>
  <c r="AQ25" i="86"/>
  <c r="AR25" i="86"/>
  <c r="AS25" i="86"/>
  <c r="AT25" i="86"/>
  <c r="AU25" i="86"/>
  <c r="BC25" i="86"/>
  <c r="BD25" i="86"/>
  <c r="BE25" i="86"/>
  <c r="BF25" i="86"/>
  <c r="BG25" i="86"/>
  <c r="BH25" i="86"/>
  <c r="BI25" i="86"/>
  <c r="BJ25" i="86"/>
  <c r="BK25" i="86"/>
  <c r="BL25" i="86"/>
  <c r="BM25" i="86"/>
  <c r="BU25" i="86"/>
  <c r="BV25" i="86"/>
  <c r="BW25" i="86"/>
  <c r="BX25" i="86"/>
  <c r="BY25" i="86"/>
  <c r="BZ25" i="86"/>
  <c r="CA25" i="86"/>
  <c r="CB25" i="86"/>
  <c r="CC25" i="86"/>
  <c r="CD25" i="86"/>
  <c r="CE25" i="86"/>
  <c r="CM25" i="86"/>
  <c r="CN25" i="86"/>
  <c r="CO25" i="86"/>
  <c r="CP25" i="86"/>
  <c r="CQ25" i="86"/>
  <c r="F26" i="86"/>
  <c r="G26" i="86"/>
  <c r="H26" i="86"/>
  <c r="I26" i="86"/>
  <c r="J26" i="86"/>
  <c r="K26" i="86"/>
  <c r="L26" i="86"/>
  <c r="M26" i="86"/>
  <c r="N26" i="86"/>
  <c r="O26" i="86"/>
  <c r="P26" i="86"/>
  <c r="Q26" i="86"/>
  <c r="S26" i="86"/>
  <c r="T26" i="86"/>
  <c r="U26" i="86"/>
  <c r="V26" i="86"/>
  <c r="W26" i="86"/>
  <c r="X26" i="86"/>
  <c r="Y26" i="86"/>
  <c r="Z26" i="86"/>
  <c r="AA26" i="86"/>
  <c r="AB26" i="86"/>
  <c r="AC26" i="86"/>
  <c r="AK26" i="86"/>
  <c r="AL26" i="86"/>
  <c r="AM26" i="86"/>
  <c r="AN26" i="86"/>
  <c r="AO26" i="86"/>
  <c r="AP26" i="86"/>
  <c r="AQ26" i="86"/>
  <c r="AR26" i="86"/>
  <c r="AS26" i="86"/>
  <c r="AT26" i="86"/>
  <c r="AU26" i="86"/>
  <c r="BC26" i="86"/>
  <c r="BD26" i="86"/>
  <c r="BE26" i="86"/>
  <c r="BF26" i="86"/>
  <c r="BG26" i="86"/>
  <c r="BH26" i="86"/>
  <c r="BI26" i="86"/>
  <c r="BJ26" i="86"/>
  <c r="BK26" i="86"/>
  <c r="BL26" i="86"/>
  <c r="BM26" i="86"/>
  <c r="BU26" i="86"/>
  <c r="BV26" i="86"/>
  <c r="BW26" i="86"/>
  <c r="BX26" i="86"/>
  <c r="BY26" i="86"/>
  <c r="BZ26" i="86"/>
  <c r="CA26" i="86"/>
  <c r="CB26" i="86"/>
  <c r="CC26" i="86"/>
  <c r="CD26" i="86"/>
  <c r="CE26" i="86"/>
  <c r="CM26" i="86"/>
  <c r="CN26" i="86"/>
  <c r="CO26" i="86"/>
  <c r="CP26" i="86"/>
  <c r="CQ26" i="86"/>
  <c r="F27" i="86"/>
  <c r="G27" i="86"/>
  <c r="H27" i="86"/>
  <c r="I27" i="86"/>
  <c r="J27" i="86"/>
  <c r="K27" i="86"/>
  <c r="L27" i="86"/>
  <c r="M27" i="86"/>
  <c r="N27" i="86"/>
  <c r="O27" i="86"/>
  <c r="P27" i="86"/>
  <c r="Q27" i="86"/>
  <c r="S27" i="86"/>
  <c r="T27" i="86"/>
  <c r="U27" i="86"/>
  <c r="V27" i="86"/>
  <c r="W27" i="86"/>
  <c r="X27" i="86"/>
  <c r="Y27" i="86"/>
  <c r="Z27" i="86"/>
  <c r="AA27" i="86"/>
  <c r="AB27" i="86"/>
  <c r="AC27" i="86"/>
  <c r="AK27" i="86"/>
  <c r="AL27" i="86"/>
  <c r="AM27" i="86"/>
  <c r="AN27" i="86"/>
  <c r="AO27" i="86"/>
  <c r="AP27" i="86"/>
  <c r="AQ27" i="86"/>
  <c r="AR27" i="86"/>
  <c r="AS27" i="86"/>
  <c r="AT27" i="86"/>
  <c r="AU27" i="86"/>
  <c r="BC27" i="86"/>
  <c r="BD27" i="86"/>
  <c r="BE27" i="86"/>
  <c r="BF27" i="86"/>
  <c r="BG27" i="86"/>
  <c r="BH27" i="86"/>
  <c r="BI27" i="86"/>
  <c r="BJ27" i="86"/>
  <c r="BK27" i="86"/>
  <c r="BL27" i="86"/>
  <c r="BM27" i="86"/>
  <c r="BU27" i="86"/>
  <c r="BV27" i="86"/>
  <c r="BW27" i="86"/>
  <c r="BX27" i="86"/>
  <c r="BY27" i="86"/>
  <c r="BZ27" i="86"/>
  <c r="CA27" i="86"/>
  <c r="CB27" i="86"/>
  <c r="CC27" i="86"/>
  <c r="CD27" i="86"/>
  <c r="CE27" i="86"/>
  <c r="CM27" i="86"/>
  <c r="CN27" i="86"/>
  <c r="CO27" i="86"/>
  <c r="CP27" i="86"/>
  <c r="CQ27" i="86"/>
  <c r="F28" i="86"/>
  <c r="G28" i="86"/>
  <c r="H28" i="86"/>
  <c r="I28" i="86"/>
  <c r="J28" i="86"/>
  <c r="K28" i="86"/>
  <c r="L28" i="86"/>
  <c r="M28" i="86"/>
  <c r="N28" i="86"/>
  <c r="O28" i="86"/>
  <c r="P28" i="86"/>
  <c r="Q28" i="86"/>
  <c r="S28" i="86"/>
  <c r="T28" i="86"/>
  <c r="U28" i="86"/>
  <c r="V28" i="86"/>
  <c r="W28" i="86"/>
  <c r="X28" i="86"/>
  <c r="Y28" i="86"/>
  <c r="Z28" i="86"/>
  <c r="AA28" i="86"/>
  <c r="AB28" i="86"/>
  <c r="AC28" i="86"/>
  <c r="AK28" i="86"/>
  <c r="AL28" i="86"/>
  <c r="AM28" i="86"/>
  <c r="AN28" i="86"/>
  <c r="AO28" i="86"/>
  <c r="AP28" i="86"/>
  <c r="AQ28" i="86"/>
  <c r="AR28" i="86"/>
  <c r="AS28" i="86"/>
  <c r="AT28" i="86"/>
  <c r="AU28" i="86"/>
  <c r="BC28" i="86"/>
  <c r="BD28" i="86"/>
  <c r="BE28" i="86"/>
  <c r="BF28" i="86"/>
  <c r="BG28" i="86"/>
  <c r="BH28" i="86"/>
  <c r="BI28" i="86"/>
  <c r="BJ28" i="86"/>
  <c r="BK28" i="86"/>
  <c r="BL28" i="86"/>
  <c r="BM28" i="86"/>
  <c r="BU28" i="86"/>
  <c r="BV28" i="86"/>
  <c r="BW28" i="86"/>
  <c r="BX28" i="86"/>
  <c r="BY28" i="86"/>
  <c r="BZ28" i="86"/>
  <c r="CA28" i="86"/>
  <c r="CB28" i="86"/>
  <c r="CC28" i="86"/>
  <c r="CD28" i="86"/>
  <c r="CE28" i="86"/>
  <c r="CM28" i="86"/>
  <c r="CN28" i="86"/>
  <c r="CO28" i="86"/>
  <c r="CP28" i="86"/>
  <c r="CQ28" i="86"/>
  <c r="F29" i="86"/>
  <c r="G29" i="86"/>
  <c r="H29" i="86"/>
  <c r="I29" i="86"/>
  <c r="J29" i="86"/>
  <c r="K29" i="86"/>
  <c r="L29" i="86"/>
  <c r="M29" i="86"/>
  <c r="N29" i="86"/>
  <c r="O29" i="86"/>
  <c r="P29" i="86"/>
  <c r="Q29" i="86"/>
  <c r="S29" i="86"/>
  <c r="T29" i="86"/>
  <c r="U29" i="86"/>
  <c r="V29" i="86"/>
  <c r="W29" i="86"/>
  <c r="X29" i="86"/>
  <c r="Y29" i="86"/>
  <c r="Z29" i="86"/>
  <c r="AA29" i="86"/>
  <c r="AB29" i="86"/>
  <c r="AC29" i="86"/>
  <c r="AK29" i="86"/>
  <c r="AL29" i="86"/>
  <c r="AM29" i="86"/>
  <c r="AN29" i="86"/>
  <c r="AO29" i="86"/>
  <c r="AP29" i="86"/>
  <c r="AQ29" i="86"/>
  <c r="AR29" i="86"/>
  <c r="AS29" i="86"/>
  <c r="AT29" i="86"/>
  <c r="AU29" i="86"/>
  <c r="BC29" i="86"/>
  <c r="BD29" i="86"/>
  <c r="BE29" i="86"/>
  <c r="BF29" i="86"/>
  <c r="BG29" i="86"/>
  <c r="BH29" i="86"/>
  <c r="BI29" i="86"/>
  <c r="BJ29" i="86"/>
  <c r="BK29" i="86"/>
  <c r="BL29" i="86"/>
  <c r="BM29" i="86"/>
  <c r="BU29" i="86"/>
  <c r="BV29" i="86"/>
  <c r="BW29" i="86"/>
  <c r="BX29" i="86"/>
  <c r="BY29" i="86"/>
  <c r="BZ29" i="86"/>
  <c r="CA29" i="86"/>
  <c r="CB29" i="86"/>
  <c r="CC29" i="86"/>
  <c r="CD29" i="86"/>
  <c r="CE29" i="86"/>
  <c r="CM29" i="86"/>
  <c r="CN29" i="86"/>
  <c r="CO29" i="86"/>
  <c r="CP29" i="86"/>
  <c r="CQ29" i="86"/>
  <c r="F30" i="86"/>
  <c r="G30" i="86"/>
  <c r="H30" i="86"/>
  <c r="I30" i="86"/>
  <c r="J30" i="86"/>
  <c r="K30" i="86"/>
  <c r="L30" i="86"/>
  <c r="M30" i="86"/>
  <c r="N30" i="86"/>
  <c r="O30" i="86"/>
  <c r="P30" i="86"/>
  <c r="Q30" i="86"/>
  <c r="S30" i="86"/>
  <c r="T30" i="86"/>
  <c r="U30" i="86"/>
  <c r="V30" i="86"/>
  <c r="W30" i="86"/>
  <c r="X30" i="86"/>
  <c r="Y30" i="86"/>
  <c r="Z30" i="86"/>
  <c r="AA30" i="86"/>
  <c r="AB30" i="86"/>
  <c r="AC30" i="86"/>
  <c r="AK30" i="86"/>
  <c r="AL30" i="86"/>
  <c r="AM30" i="86"/>
  <c r="AN30" i="86"/>
  <c r="AO30" i="86"/>
  <c r="AP30" i="86"/>
  <c r="AQ30" i="86"/>
  <c r="AR30" i="86"/>
  <c r="AS30" i="86"/>
  <c r="AT30" i="86"/>
  <c r="AU30" i="86"/>
  <c r="BC30" i="86"/>
  <c r="BD30" i="86"/>
  <c r="BE30" i="86"/>
  <c r="BF30" i="86"/>
  <c r="BG30" i="86"/>
  <c r="BH30" i="86"/>
  <c r="BI30" i="86"/>
  <c r="BJ30" i="86"/>
  <c r="BK30" i="86"/>
  <c r="BL30" i="86"/>
  <c r="BM30" i="86"/>
  <c r="BU30" i="86"/>
  <c r="BV30" i="86"/>
  <c r="BW30" i="86"/>
  <c r="BX30" i="86"/>
  <c r="BY30" i="86"/>
  <c r="BZ30" i="86"/>
  <c r="CA30" i="86"/>
  <c r="CB30" i="86"/>
  <c r="CC30" i="86"/>
  <c r="CD30" i="86"/>
  <c r="CE30" i="86"/>
  <c r="CM30" i="86"/>
  <c r="CN30" i="86"/>
  <c r="CO30" i="86"/>
  <c r="CP30" i="86"/>
  <c r="CQ30" i="86"/>
  <c r="F31" i="86"/>
  <c r="G31" i="86"/>
  <c r="H31" i="86"/>
  <c r="I31" i="86"/>
  <c r="J31" i="86"/>
  <c r="K31" i="86"/>
  <c r="L31" i="86"/>
  <c r="M31" i="86"/>
  <c r="N31" i="86"/>
  <c r="O31" i="86"/>
  <c r="P31" i="86"/>
  <c r="Q31" i="86"/>
  <c r="S31" i="86"/>
  <c r="T31" i="86"/>
  <c r="U31" i="86"/>
  <c r="V31" i="86"/>
  <c r="W31" i="86"/>
  <c r="X31" i="86"/>
  <c r="Y31" i="86"/>
  <c r="Z31" i="86"/>
  <c r="AA31" i="86"/>
  <c r="AB31" i="86"/>
  <c r="AC31" i="86"/>
  <c r="AK31" i="86"/>
  <c r="AL31" i="86"/>
  <c r="AM31" i="86"/>
  <c r="AN31" i="86"/>
  <c r="AO31" i="86"/>
  <c r="AP31" i="86"/>
  <c r="AQ31" i="86"/>
  <c r="AR31" i="86"/>
  <c r="AS31" i="86"/>
  <c r="AT31" i="86"/>
  <c r="AU31" i="86"/>
  <c r="BC31" i="86"/>
  <c r="BD31" i="86"/>
  <c r="BE31" i="86"/>
  <c r="BF31" i="86"/>
  <c r="BG31" i="86"/>
  <c r="BH31" i="86"/>
  <c r="BI31" i="86"/>
  <c r="BJ31" i="86"/>
  <c r="BK31" i="86"/>
  <c r="BL31" i="86"/>
  <c r="BM31" i="86"/>
  <c r="BU31" i="86"/>
  <c r="BV31" i="86"/>
  <c r="BW31" i="86"/>
  <c r="BX31" i="86"/>
  <c r="BY31" i="86"/>
  <c r="BZ31" i="86"/>
  <c r="CA31" i="86"/>
  <c r="CB31" i="86"/>
  <c r="CC31" i="86"/>
  <c r="CD31" i="86"/>
  <c r="CE31" i="86"/>
  <c r="CM31" i="86"/>
  <c r="CN31" i="86"/>
  <c r="CO31" i="86"/>
  <c r="CP31" i="86"/>
  <c r="CQ31" i="86"/>
  <c r="F32" i="86"/>
  <c r="G32" i="86"/>
  <c r="H32" i="86"/>
  <c r="I32" i="86"/>
  <c r="J32" i="86"/>
  <c r="K32" i="86"/>
  <c r="L32" i="86"/>
  <c r="M32" i="86"/>
  <c r="N32" i="86"/>
  <c r="O32" i="86"/>
  <c r="P32" i="86"/>
  <c r="Q32" i="86"/>
  <c r="S32" i="86"/>
  <c r="T32" i="86"/>
  <c r="U32" i="86"/>
  <c r="V32" i="86"/>
  <c r="W32" i="86"/>
  <c r="X32" i="86"/>
  <c r="Y32" i="86"/>
  <c r="Z32" i="86"/>
  <c r="AA32" i="86"/>
  <c r="AB32" i="86"/>
  <c r="AC32" i="86"/>
  <c r="AK32" i="86"/>
  <c r="AL32" i="86"/>
  <c r="AM32" i="86"/>
  <c r="AN32" i="86"/>
  <c r="AO32" i="86"/>
  <c r="AP32" i="86"/>
  <c r="AQ32" i="86"/>
  <c r="AR32" i="86"/>
  <c r="AS32" i="86"/>
  <c r="AT32" i="86"/>
  <c r="AU32" i="86"/>
  <c r="BC32" i="86"/>
  <c r="BD32" i="86"/>
  <c r="BE32" i="86"/>
  <c r="BF32" i="86"/>
  <c r="BG32" i="86"/>
  <c r="BH32" i="86"/>
  <c r="BI32" i="86"/>
  <c r="BJ32" i="86"/>
  <c r="BK32" i="86"/>
  <c r="BL32" i="86"/>
  <c r="BM32" i="86"/>
  <c r="BU32" i="86"/>
  <c r="BV32" i="86"/>
  <c r="BW32" i="86"/>
  <c r="BX32" i="86"/>
  <c r="BY32" i="86"/>
  <c r="BZ32" i="86"/>
  <c r="CA32" i="86"/>
  <c r="CB32" i="86"/>
  <c r="CC32" i="86"/>
  <c r="CD32" i="86"/>
  <c r="CE32" i="86"/>
  <c r="CM32" i="86"/>
  <c r="CN32" i="86"/>
  <c r="CO32" i="86"/>
  <c r="CP32" i="86"/>
  <c r="CQ32" i="86"/>
  <c r="F33" i="86"/>
  <c r="G33" i="86"/>
  <c r="H33" i="86"/>
  <c r="I33" i="86"/>
  <c r="J33" i="86"/>
  <c r="K33" i="86"/>
  <c r="L33" i="86"/>
  <c r="M33" i="86"/>
  <c r="N33" i="86"/>
  <c r="O33" i="86"/>
  <c r="P33" i="86"/>
  <c r="Q33" i="86"/>
  <c r="S33" i="86"/>
  <c r="T33" i="86"/>
  <c r="U33" i="86"/>
  <c r="V33" i="86"/>
  <c r="W33" i="86"/>
  <c r="X33" i="86"/>
  <c r="Y33" i="86"/>
  <c r="Z33" i="86"/>
  <c r="AA33" i="86"/>
  <c r="AB33" i="86"/>
  <c r="AC33" i="86"/>
  <c r="AK33" i="86"/>
  <c r="AL33" i="86"/>
  <c r="AM33" i="86"/>
  <c r="AN33" i="86"/>
  <c r="AO33" i="86"/>
  <c r="AP33" i="86"/>
  <c r="AQ33" i="86"/>
  <c r="AR33" i="86"/>
  <c r="AS33" i="86"/>
  <c r="AT33" i="86"/>
  <c r="AU33" i="86"/>
  <c r="BC33" i="86"/>
  <c r="BD33" i="86"/>
  <c r="BE33" i="86"/>
  <c r="BF33" i="86"/>
  <c r="BG33" i="86"/>
  <c r="BH33" i="86"/>
  <c r="BI33" i="86"/>
  <c r="BJ33" i="86"/>
  <c r="BK33" i="86"/>
  <c r="BL33" i="86"/>
  <c r="BM33" i="86"/>
  <c r="BU33" i="86"/>
  <c r="BV33" i="86"/>
  <c r="BW33" i="86"/>
  <c r="BX33" i="86"/>
  <c r="BY33" i="86"/>
  <c r="BZ33" i="86"/>
  <c r="CA33" i="86"/>
  <c r="CB33" i="86"/>
  <c r="CC33" i="86"/>
  <c r="CD33" i="86"/>
  <c r="CE33" i="86"/>
  <c r="CM33" i="86"/>
  <c r="CN33" i="86"/>
  <c r="CO33" i="86"/>
  <c r="CP33" i="86"/>
  <c r="CQ33" i="86"/>
  <c r="F34" i="86"/>
  <c r="G34" i="86"/>
  <c r="H34" i="86"/>
  <c r="I34" i="86"/>
  <c r="J34" i="86"/>
  <c r="K34" i="86"/>
  <c r="L34" i="86"/>
  <c r="M34" i="86"/>
  <c r="N34" i="86"/>
  <c r="O34" i="86"/>
  <c r="P34" i="86"/>
  <c r="Q34" i="86"/>
  <c r="S34" i="86"/>
  <c r="T34" i="86"/>
  <c r="U34" i="86"/>
  <c r="V34" i="86"/>
  <c r="W34" i="86"/>
  <c r="X34" i="86"/>
  <c r="Y34" i="86"/>
  <c r="Z34" i="86"/>
  <c r="AA34" i="86"/>
  <c r="AB34" i="86"/>
  <c r="AC34" i="86"/>
  <c r="AK34" i="86"/>
  <c r="AL34" i="86"/>
  <c r="AM34" i="86"/>
  <c r="AN34" i="86"/>
  <c r="AO34" i="86"/>
  <c r="AP34" i="86"/>
  <c r="AQ34" i="86"/>
  <c r="AR34" i="86"/>
  <c r="AS34" i="86"/>
  <c r="AT34" i="86"/>
  <c r="AU34" i="86"/>
  <c r="BC34" i="86"/>
  <c r="BD34" i="86"/>
  <c r="BE34" i="86"/>
  <c r="BF34" i="86"/>
  <c r="BG34" i="86"/>
  <c r="BH34" i="86"/>
  <c r="BI34" i="86"/>
  <c r="BJ34" i="86"/>
  <c r="BK34" i="86"/>
  <c r="BL34" i="86"/>
  <c r="BM34" i="86"/>
  <c r="BU34" i="86"/>
  <c r="BV34" i="86"/>
  <c r="BW34" i="86"/>
  <c r="BX34" i="86"/>
  <c r="BY34" i="86"/>
  <c r="BZ34" i="86"/>
  <c r="CA34" i="86"/>
  <c r="CB34" i="86"/>
  <c r="CC34" i="86"/>
  <c r="CD34" i="86"/>
  <c r="CE34" i="86"/>
  <c r="CM34" i="86"/>
  <c r="CN34" i="86"/>
  <c r="CO34" i="86"/>
  <c r="CP34" i="86"/>
  <c r="CQ34" i="86"/>
  <c r="F35" i="86"/>
  <c r="G35" i="86"/>
  <c r="H35" i="86"/>
  <c r="I35" i="86"/>
  <c r="J35" i="86"/>
  <c r="K35" i="86"/>
  <c r="L35" i="86"/>
  <c r="M35" i="86"/>
  <c r="N35" i="86"/>
  <c r="O35" i="86"/>
  <c r="P35" i="86"/>
  <c r="Q35" i="86"/>
  <c r="S35" i="86"/>
  <c r="T35" i="86"/>
  <c r="U35" i="86"/>
  <c r="V35" i="86"/>
  <c r="W35" i="86"/>
  <c r="X35" i="86"/>
  <c r="Y35" i="86"/>
  <c r="Z35" i="86"/>
  <c r="AA35" i="86"/>
  <c r="AB35" i="86"/>
  <c r="AC35" i="86"/>
  <c r="AK35" i="86"/>
  <c r="AL35" i="86"/>
  <c r="AM35" i="86"/>
  <c r="AN35" i="86"/>
  <c r="AO35" i="86"/>
  <c r="AP35" i="86"/>
  <c r="AQ35" i="86"/>
  <c r="AR35" i="86"/>
  <c r="AS35" i="86"/>
  <c r="AT35" i="86"/>
  <c r="AU35" i="86"/>
  <c r="BC35" i="86"/>
  <c r="BD35" i="86"/>
  <c r="BE35" i="86"/>
  <c r="BF35" i="86"/>
  <c r="BG35" i="86"/>
  <c r="BH35" i="86"/>
  <c r="BI35" i="86"/>
  <c r="BJ35" i="86"/>
  <c r="BK35" i="86"/>
  <c r="BL35" i="86"/>
  <c r="BM35" i="86"/>
  <c r="BU35" i="86"/>
  <c r="BV35" i="86"/>
  <c r="BW35" i="86"/>
  <c r="BX35" i="86"/>
  <c r="BY35" i="86"/>
  <c r="BZ35" i="86"/>
  <c r="CA35" i="86"/>
  <c r="CB35" i="86"/>
  <c r="CC35" i="86"/>
  <c r="CD35" i="86"/>
  <c r="CE35" i="86"/>
  <c r="CM35" i="86"/>
  <c r="CN35" i="86"/>
  <c r="CO35" i="86"/>
  <c r="CP35" i="86"/>
  <c r="CQ35" i="86"/>
  <c r="F36" i="86"/>
  <c r="G36" i="86"/>
  <c r="H36" i="86"/>
  <c r="I36" i="86"/>
  <c r="J36" i="86"/>
  <c r="K36" i="86"/>
  <c r="L36" i="86"/>
  <c r="M36" i="86"/>
  <c r="N36" i="86"/>
  <c r="O36" i="86"/>
  <c r="P36" i="86"/>
  <c r="Q36" i="86"/>
  <c r="S36" i="86"/>
  <c r="T36" i="86"/>
  <c r="U36" i="86"/>
  <c r="V36" i="86"/>
  <c r="W36" i="86"/>
  <c r="X36" i="86"/>
  <c r="Y36" i="86"/>
  <c r="Z36" i="86"/>
  <c r="AA36" i="86"/>
  <c r="AB36" i="86"/>
  <c r="AC36" i="86"/>
  <c r="AK36" i="86"/>
  <c r="AL36" i="86"/>
  <c r="AM36" i="86"/>
  <c r="AN36" i="86"/>
  <c r="AO36" i="86"/>
  <c r="AP36" i="86"/>
  <c r="AQ36" i="86"/>
  <c r="AR36" i="86"/>
  <c r="AS36" i="86"/>
  <c r="AT36" i="86"/>
  <c r="AU36" i="86"/>
  <c r="BC36" i="86"/>
  <c r="BD36" i="86"/>
  <c r="BE36" i="86"/>
  <c r="BF36" i="86"/>
  <c r="BG36" i="86"/>
  <c r="BH36" i="86"/>
  <c r="BI36" i="86"/>
  <c r="BJ36" i="86"/>
  <c r="BK36" i="86"/>
  <c r="BL36" i="86"/>
  <c r="BM36" i="86"/>
  <c r="BU36" i="86"/>
  <c r="BV36" i="86"/>
  <c r="BW36" i="86"/>
  <c r="BX36" i="86"/>
  <c r="BY36" i="86"/>
  <c r="BZ36" i="86"/>
  <c r="CA36" i="86"/>
  <c r="CB36" i="86"/>
  <c r="CC36" i="86"/>
  <c r="CD36" i="86"/>
  <c r="CE36" i="86"/>
  <c r="CM36" i="86"/>
  <c r="CN36" i="86"/>
  <c r="CO36" i="86"/>
  <c r="CP36" i="86"/>
  <c r="CQ36" i="86"/>
  <c r="F37" i="86"/>
  <c r="G37" i="86"/>
  <c r="H37" i="86"/>
  <c r="I37" i="86"/>
  <c r="J37" i="86"/>
  <c r="K37" i="86"/>
  <c r="L37" i="86"/>
  <c r="M37" i="86"/>
  <c r="N37" i="86"/>
  <c r="O37" i="86"/>
  <c r="P37" i="86"/>
  <c r="Q37" i="86"/>
  <c r="S37" i="86"/>
  <c r="T37" i="86"/>
  <c r="U37" i="86"/>
  <c r="V37" i="86"/>
  <c r="W37" i="86"/>
  <c r="X37" i="86"/>
  <c r="Y37" i="86"/>
  <c r="Z37" i="86"/>
  <c r="AA37" i="86"/>
  <c r="AB37" i="86"/>
  <c r="AC37" i="86"/>
  <c r="AK37" i="86"/>
  <c r="AL37" i="86"/>
  <c r="AM37" i="86"/>
  <c r="AN37" i="86"/>
  <c r="AO37" i="86"/>
  <c r="AP37" i="86"/>
  <c r="AQ37" i="86"/>
  <c r="AR37" i="86"/>
  <c r="AS37" i="86"/>
  <c r="AT37" i="86"/>
  <c r="AU37" i="86"/>
  <c r="BC37" i="86"/>
  <c r="BD37" i="86"/>
  <c r="BE37" i="86"/>
  <c r="BF37" i="86"/>
  <c r="BG37" i="86"/>
  <c r="BH37" i="86"/>
  <c r="BI37" i="86"/>
  <c r="BJ37" i="86"/>
  <c r="BK37" i="86"/>
  <c r="BL37" i="86"/>
  <c r="BM37" i="86"/>
  <c r="BU37" i="86"/>
  <c r="BV37" i="86"/>
  <c r="BW37" i="86"/>
  <c r="BX37" i="86"/>
  <c r="BY37" i="86"/>
  <c r="BZ37" i="86"/>
  <c r="CA37" i="86"/>
  <c r="CB37" i="86"/>
  <c r="CC37" i="86"/>
  <c r="CD37" i="86"/>
  <c r="CE37" i="86"/>
  <c r="CM37" i="86"/>
  <c r="CN37" i="86"/>
  <c r="CO37" i="86"/>
  <c r="CP37" i="86"/>
  <c r="CQ37" i="86"/>
  <c r="F38" i="86"/>
  <c r="G38" i="86"/>
  <c r="H38" i="86"/>
  <c r="I38" i="86"/>
  <c r="J38" i="86"/>
  <c r="K38" i="86"/>
  <c r="L38" i="86"/>
  <c r="M38" i="86"/>
  <c r="N38" i="86"/>
  <c r="O38" i="86"/>
  <c r="P38" i="86"/>
  <c r="Q38" i="86"/>
  <c r="S38" i="86"/>
  <c r="T38" i="86"/>
  <c r="U38" i="86"/>
  <c r="V38" i="86"/>
  <c r="W38" i="86"/>
  <c r="X38" i="86"/>
  <c r="Y38" i="86"/>
  <c r="Z38" i="86"/>
  <c r="AA38" i="86"/>
  <c r="AB38" i="86"/>
  <c r="AC38" i="86"/>
  <c r="AK38" i="86"/>
  <c r="AL38" i="86"/>
  <c r="AM38" i="86"/>
  <c r="AN38" i="86"/>
  <c r="AO38" i="86"/>
  <c r="AP38" i="86"/>
  <c r="AQ38" i="86"/>
  <c r="AR38" i="86"/>
  <c r="AS38" i="86"/>
  <c r="AT38" i="86"/>
  <c r="AU38" i="86"/>
  <c r="BC38" i="86"/>
  <c r="BD38" i="86"/>
  <c r="BE38" i="86"/>
  <c r="BF38" i="86"/>
  <c r="BG38" i="86"/>
  <c r="BH38" i="86"/>
  <c r="BI38" i="86"/>
  <c r="BJ38" i="86"/>
  <c r="BK38" i="86"/>
  <c r="BL38" i="86"/>
  <c r="BM38" i="86"/>
  <c r="BU38" i="86"/>
  <c r="BV38" i="86"/>
  <c r="BW38" i="86"/>
  <c r="BX38" i="86"/>
  <c r="BY38" i="86"/>
  <c r="BZ38" i="86"/>
  <c r="CA38" i="86"/>
  <c r="CB38" i="86"/>
  <c r="CC38" i="86"/>
  <c r="CD38" i="86"/>
  <c r="CE38" i="86"/>
  <c r="CM38" i="86"/>
  <c r="CN38" i="86"/>
  <c r="CO38" i="86"/>
  <c r="CP38" i="86"/>
  <c r="CQ38" i="86"/>
  <c r="F39" i="86"/>
  <c r="G39" i="86"/>
  <c r="H39" i="86"/>
  <c r="I39" i="86"/>
  <c r="J39" i="86"/>
  <c r="K39" i="86"/>
  <c r="L39" i="86"/>
  <c r="M39" i="86"/>
  <c r="N39" i="86"/>
  <c r="O39" i="86"/>
  <c r="P39" i="86"/>
  <c r="Q39" i="86"/>
  <c r="S39" i="86"/>
  <c r="T39" i="86"/>
  <c r="U39" i="86"/>
  <c r="V39" i="86"/>
  <c r="W39" i="86"/>
  <c r="X39" i="86"/>
  <c r="Y39" i="86"/>
  <c r="Z39" i="86"/>
  <c r="AA39" i="86"/>
  <c r="AB39" i="86"/>
  <c r="AC39" i="86"/>
  <c r="AK39" i="86"/>
  <c r="AL39" i="86"/>
  <c r="AM39" i="86"/>
  <c r="AN39" i="86"/>
  <c r="AO39" i="86"/>
  <c r="AP39" i="86"/>
  <c r="AQ39" i="86"/>
  <c r="AR39" i="86"/>
  <c r="AS39" i="86"/>
  <c r="AT39" i="86"/>
  <c r="AU39" i="86"/>
  <c r="BC39" i="86"/>
  <c r="BD39" i="86"/>
  <c r="BE39" i="86"/>
  <c r="BF39" i="86"/>
  <c r="BG39" i="86"/>
  <c r="BH39" i="86"/>
  <c r="BI39" i="86"/>
  <c r="BJ39" i="86"/>
  <c r="BK39" i="86"/>
  <c r="BL39" i="86"/>
  <c r="BM39" i="86"/>
  <c r="BU39" i="86"/>
  <c r="BV39" i="86"/>
  <c r="BW39" i="86"/>
  <c r="BX39" i="86"/>
  <c r="BY39" i="86"/>
  <c r="BZ39" i="86"/>
  <c r="CA39" i="86"/>
  <c r="CB39" i="86"/>
  <c r="CC39" i="86"/>
  <c r="CD39" i="86"/>
  <c r="CE39" i="86"/>
  <c r="CM39" i="86"/>
  <c r="CN39" i="86"/>
  <c r="CO39" i="86"/>
  <c r="CP39" i="86"/>
  <c r="CQ39" i="86"/>
  <c r="F40" i="86"/>
  <c r="G40" i="86"/>
  <c r="H40" i="86"/>
  <c r="I40" i="86"/>
  <c r="J40" i="86"/>
  <c r="K40" i="86"/>
  <c r="L40" i="86"/>
  <c r="M40" i="86"/>
  <c r="N40" i="86"/>
  <c r="O40" i="86"/>
  <c r="P40" i="86"/>
  <c r="Q40" i="86"/>
  <c r="S40" i="86"/>
  <c r="T40" i="86"/>
  <c r="U40" i="86"/>
  <c r="V40" i="86"/>
  <c r="W40" i="86"/>
  <c r="X40" i="86"/>
  <c r="Y40" i="86"/>
  <c r="Z40" i="86"/>
  <c r="AA40" i="86"/>
  <c r="AB40" i="86"/>
  <c r="AC40" i="86"/>
  <c r="AK40" i="86"/>
  <c r="AL40" i="86"/>
  <c r="AM40" i="86"/>
  <c r="AN40" i="86"/>
  <c r="AO40" i="86"/>
  <c r="AP40" i="86"/>
  <c r="AQ40" i="86"/>
  <c r="AR40" i="86"/>
  <c r="AS40" i="86"/>
  <c r="AT40" i="86"/>
  <c r="AU40" i="86"/>
  <c r="BC40" i="86"/>
  <c r="BD40" i="86"/>
  <c r="BE40" i="86"/>
  <c r="BF40" i="86"/>
  <c r="BG40" i="86"/>
  <c r="BH40" i="86"/>
  <c r="BI40" i="86"/>
  <c r="BJ40" i="86"/>
  <c r="BK40" i="86"/>
  <c r="BL40" i="86"/>
  <c r="BM40" i="86"/>
  <c r="BU40" i="86"/>
  <c r="BV40" i="86"/>
  <c r="BW40" i="86"/>
  <c r="BX40" i="86"/>
  <c r="BY40" i="86"/>
  <c r="BZ40" i="86"/>
  <c r="CA40" i="86"/>
  <c r="CB40" i="86"/>
  <c r="CC40" i="86"/>
  <c r="CD40" i="86"/>
  <c r="CE40" i="86"/>
  <c r="CM40" i="86"/>
  <c r="CN40" i="86"/>
  <c r="CO40" i="86"/>
  <c r="CP40" i="86"/>
  <c r="CQ40" i="86"/>
  <c r="F41" i="86"/>
  <c r="G41" i="86"/>
  <c r="H41" i="86"/>
  <c r="I41" i="86"/>
  <c r="J41" i="86"/>
  <c r="K41" i="86"/>
  <c r="L41" i="86"/>
  <c r="M41" i="86"/>
  <c r="N41" i="86"/>
  <c r="O41" i="86"/>
  <c r="P41" i="86"/>
  <c r="Q41" i="86"/>
  <c r="S41" i="86"/>
  <c r="T41" i="86"/>
  <c r="U41" i="86"/>
  <c r="V41" i="86"/>
  <c r="W41" i="86"/>
  <c r="X41" i="86"/>
  <c r="Y41" i="86"/>
  <c r="Z41" i="86"/>
  <c r="AA41" i="86"/>
  <c r="AB41" i="86"/>
  <c r="AC41" i="86"/>
  <c r="AK41" i="86"/>
  <c r="AL41" i="86"/>
  <c r="AM41" i="86"/>
  <c r="AN41" i="86"/>
  <c r="AO41" i="86"/>
  <c r="AP41" i="86"/>
  <c r="AQ41" i="86"/>
  <c r="AR41" i="86"/>
  <c r="AS41" i="86"/>
  <c r="AT41" i="86"/>
  <c r="AU41" i="86"/>
  <c r="BC41" i="86"/>
  <c r="BD41" i="86"/>
  <c r="BE41" i="86"/>
  <c r="BF41" i="86"/>
  <c r="BG41" i="86"/>
  <c r="BH41" i="86"/>
  <c r="BI41" i="86"/>
  <c r="BJ41" i="86"/>
  <c r="BK41" i="86"/>
  <c r="BL41" i="86"/>
  <c r="BM41" i="86"/>
  <c r="BU41" i="86"/>
  <c r="BV41" i="86"/>
  <c r="BW41" i="86"/>
  <c r="BX41" i="86"/>
  <c r="BY41" i="86"/>
  <c r="BZ41" i="86"/>
  <c r="CA41" i="86"/>
  <c r="CB41" i="86"/>
  <c r="CC41" i="86"/>
  <c r="CD41" i="86"/>
  <c r="CE41" i="86"/>
  <c r="CM41" i="86"/>
  <c r="CN41" i="86"/>
  <c r="CO41" i="86"/>
  <c r="CP41" i="86"/>
  <c r="CQ41" i="86"/>
  <c r="F42" i="86"/>
  <c r="G42" i="86"/>
  <c r="H42" i="86"/>
  <c r="I42" i="86"/>
  <c r="J42" i="86"/>
  <c r="K42" i="86"/>
  <c r="L42" i="86"/>
  <c r="M42" i="86"/>
  <c r="N42" i="86"/>
  <c r="O42" i="86"/>
  <c r="P42" i="86"/>
  <c r="Q42" i="86"/>
  <c r="S42" i="86"/>
  <c r="T42" i="86"/>
  <c r="U42" i="86"/>
  <c r="V42" i="86"/>
  <c r="W42" i="86"/>
  <c r="X42" i="86"/>
  <c r="Y42" i="86"/>
  <c r="Z42" i="86"/>
  <c r="AA42" i="86"/>
  <c r="AB42" i="86"/>
  <c r="AC42" i="86"/>
  <c r="AK42" i="86"/>
  <c r="AL42" i="86"/>
  <c r="AM42" i="86"/>
  <c r="AN42" i="86"/>
  <c r="AO42" i="86"/>
  <c r="AP42" i="86"/>
  <c r="AQ42" i="86"/>
  <c r="AR42" i="86"/>
  <c r="AS42" i="86"/>
  <c r="AT42" i="86"/>
  <c r="AU42" i="86"/>
  <c r="BC42" i="86"/>
  <c r="BD42" i="86"/>
  <c r="BE42" i="86"/>
  <c r="BF42" i="86"/>
  <c r="BG42" i="86"/>
  <c r="BH42" i="86"/>
  <c r="BI42" i="86"/>
  <c r="BJ42" i="86"/>
  <c r="BK42" i="86"/>
  <c r="BL42" i="86"/>
  <c r="BM42" i="86"/>
  <c r="BU42" i="86"/>
  <c r="BV42" i="86"/>
  <c r="BW42" i="86"/>
  <c r="BX42" i="86"/>
  <c r="BY42" i="86"/>
  <c r="BZ42" i="86"/>
  <c r="CA42" i="86"/>
  <c r="CB42" i="86"/>
  <c r="CC42" i="86"/>
  <c r="CD42" i="86"/>
  <c r="CE42" i="86"/>
  <c r="CM42" i="86"/>
  <c r="CN42" i="86"/>
  <c r="CO42" i="86"/>
  <c r="CP42" i="86"/>
  <c r="CQ42" i="86"/>
  <c r="F43" i="86"/>
  <c r="G43" i="86"/>
  <c r="H43" i="86"/>
  <c r="I43" i="86"/>
  <c r="J43" i="86"/>
  <c r="K43" i="86"/>
  <c r="L43" i="86"/>
  <c r="S43" i="86"/>
  <c r="T43" i="86"/>
  <c r="U43" i="86"/>
  <c r="V43" i="86"/>
  <c r="W43" i="86"/>
  <c r="X43" i="86"/>
  <c r="Y43" i="86"/>
  <c r="Z43" i="86"/>
  <c r="AA43" i="86"/>
  <c r="AB43" i="86"/>
  <c r="AC43" i="86"/>
  <c r="AK43" i="86"/>
  <c r="AL43" i="86"/>
  <c r="AM43" i="86"/>
  <c r="AN43" i="86"/>
  <c r="AO43" i="86"/>
  <c r="AP43" i="86"/>
  <c r="AQ43" i="86"/>
  <c r="AR43" i="86"/>
  <c r="AS43" i="86"/>
  <c r="AT43" i="86"/>
  <c r="AU43" i="86"/>
  <c r="BC43" i="86"/>
  <c r="BD43" i="86"/>
  <c r="BE43" i="86"/>
  <c r="BF43" i="86"/>
  <c r="BG43" i="86"/>
  <c r="BH43" i="86"/>
  <c r="BI43" i="86"/>
  <c r="BJ43" i="86"/>
  <c r="BK43" i="86"/>
  <c r="BL43" i="86"/>
  <c r="BM43" i="86"/>
  <c r="BU43" i="86"/>
  <c r="BV43" i="86"/>
  <c r="BW43" i="86"/>
  <c r="BX43" i="86"/>
  <c r="BY43" i="86"/>
  <c r="BZ43" i="86"/>
  <c r="CA43" i="86"/>
  <c r="CB43" i="86"/>
  <c r="CC43" i="86"/>
  <c r="CD43" i="86"/>
  <c r="CE43" i="86"/>
  <c r="CM43" i="86"/>
  <c r="CN43" i="86"/>
  <c r="CO43" i="86"/>
  <c r="CP43" i="86"/>
  <c r="CQ43" i="86"/>
  <c r="F44" i="86"/>
  <c r="G44" i="86"/>
  <c r="H44" i="86"/>
  <c r="I44" i="86"/>
  <c r="J44" i="86"/>
  <c r="K44" i="86"/>
  <c r="S44" i="86"/>
  <c r="T44" i="86"/>
  <c r="U44" i="86"/>
  <c r="V44" i="86"/>
  <c r="W44" i="86"/>
  <c r="X44" i="86"/>
  <c r="Y44" i="86"/>
  <c r="Z44" i="86"/>
  <c r="AA44" i="86"/>
  <c r="AB44" i="86"/>
  <c r="AC44" i="86"/>
  <c r="AK44" i="86"/>
  <c r="AL44" i="86"/>
  <c r="AM44" i="86"/>
  <c r="AN44" i="86"/>
  <c r="AO44" i="86"/>
  <c r="AP44" i="86"/>
  <c r="AQ44" i="86"/>
  <c r="AR44" i="86"/>
  <c r="AS44" i="86"/>
  <c r="AT44" i="86"/>
  <c r="AU44" i="86"/>
  <c r="BC44" i="86"/>
  <c r="BD44" i="86"/>
  <c r="BE44" i="86"/>
  <c r="BF44" i="86"/>
  <c r="BG44" i="86"/>
  <c r="BH44" i="86"/>
  <c r="BI44" i="86"/>
  <c r="BJ44" i="86"/>
  <c r="BK44" i="86"/>
  <c r="BL44" i="86"/>
  <c r="BM44" i="86"/>
  <c r="BU44" i="86"/>
  <c r="BV44" i="86"/>
  <c r="BW44" i="86"/>
  <c r="BX44" i="86"/>
  <c r="BY44" i="86"/>
  <c r="BZ44" i="86"/>
  <c r="CA44" i="86"/>
  <c r="CB44" i="86"/>
  <c r="CC44" i="86"/>
  <c r="CD44" i="86"/>
  <c r="CE44" i="86"/>
  <c r="CM44" i="86"/>
  <c r="CN44" i="86"/>
  <c r="CO44" i="86"/>
  <c r="CP44" i="86"/>
  <c r="CQ44" i="86"/>
  <c r="F45" i="86"/>
  <c r="G45" i="86"/>
  <c r="H45" i="86"/>
  <c r="I45" i="86"/>
  <c r="J45" i="86"/>
  <c r="K45" i="86"/>
  <c r="S45" i="86"/>
  <c r="T45" i="86"/>
  <c r="U45" i="86"/>
  <c r="V45" i="86"/>
  <c r="W45" i="86"/>
  <c r="X45" i="86"/>
  <c r="Y45" i="86"/>
  <c r="Z45" i="86"/>
  <c r="AA45" i="86"/>
  <c r="AB45" i="86"/>
  <c r="AC45" i="86"/>
  <c r="AK45" i="86"/>
  <c r="AL45" i="86"/>
  <c r="AM45" i="86"/>
  <c r="AN45" i="86"/>
  <c r="AO45" i="86"/>
  <c r="AP45" i="86"/>
  <c r="AQ45" i="86"/>
  <c r="AR45" i="86"/>
  <c r="AS45" i="86"/>
  <c r="AT45" i="86"/>
  <c r="AU45" i="86"/>
  <c r="BC45" i="86"/>
  <c r="BD45" i="86"/>
  <c r="BE45" i="86"/>
  <c r="BF45" i="86"/>
  <c r="BG45" i="86"/>
  <c r="BH45" i="86"/>
  <c r="BI45" i="86"/>
  <c r="BJ45" i="86"/>
  <c r="BK45" i="86"/>
  <c r="BL45" i="86"/>
  <c r="BM45" i="86"/>
  <c r="BU45" i="86"/>
  <c r="BV45" i="86"/>
  <c r="BW45" i="86"/>
  <c r="BX45" i="86"/>
  <c r="BY45" i="86"/>
  <c r="BZ45" i="86"/>
  <c r="CA45" i="86"/>
  <c r="CB45" i="86"/>
  <c r="CC45" i="86"/>
  <c r="CD45" i="86"/>
  <c r="CE45" i="86"/>
  <c r="CM45" i="86"/>
  <c r="CN45" i="86"/>
  <c r="CO45" i="86"/>
  <c r="CP45" i="86"/>
  <c r="CQ45" i="86"/>
  <c r="F46" i="86"/>
  <c r="G46" i="86"/>
  <c r="H46" i="86"/>
  <c r="I46" i="86"/>
  <c r="J46" i="86"/>
  <c r="K46" i="86"/>
  <c r="S46" i="86"/>
  <c r="T46" i="86"/>
  <c r="U46" i="86"/>
  <c r="V46" i="86"/>
  <c r="W46" i="86"/>
  <c r="X46" i="86"/>
  <c r="Y46" i="86"/>
  <c r="Z46" i="86"/>
  <c r="AA46" i="86"/>
  <c r="AB46" i="86"/>
  <c r="AC46" i="86"/>
  <c r="AK46" i="86"/>
  <c r="AL46" i="86"/>
  <c r="AM46" i="86"/>
  <c r="AN46" i="86"/>
  <c r="AO46" i="86"/>
  <c r="AP46" i="86"/>
  <c r="AQ46" i="86"/>
  <c r="AR46" i="86"/>
  <c r="AS46" i="86"/>
  <c r="AT46" i="86"/>
  <c r="AU46" i="86"/>
  <c r="BC46" i="86"/>
  <c r="BD46" i="86"/>
  <c r="BE46" i="86"/>
  <c r="BF46" i="86"/>
  <c r="BG46" i="86"/>
  <c r="BH46" i="86"/>
  <c r="BI46" i="86"/>
  <c r="BJ46" i="86"/>
  <c r="BK46" i="86"/>
  <c r="BL46" i="86"/>
  <c r="BM46" i="86"/>
  <c r="BU46" i="86"/>
  <c r="BV46" i="86"/>
  <c r="BW46" i="86"/>
  <c r="BX46" i="86"/>
  <c r="BY46" i="86"/>
  <c r="BZ46" i="86"/>
  <c r="CA46" i="86"/>
  <c r="CB46" i="86"/>
  <c r="CC46" i="86"/>
  <c r="CD46" i="86"/>
  <c r="CE46" i="86"/>
  <c r="CM46" i="86"/>
  <c r="CN46" i="86"/>
  <c r="CO46" i="86"/>
  <c r="CP46" i="86"/>
  <c r="CQ46" i="86"/>
  <c r="F47" i="86"/>
  <c r="G47" i="86"/>
  <c r="H47" i="86"/>
  <c r="I47" i="86"/>
  <c r="J47" i="86"/>
  <c r="K47" i="86"/>
  <c r="S47" i="86"/>
  <c r="T47" i="86"/>
  <c r="U47" i="86"/>
  <c r="V47" i="86"/>
  <c r="W47" i="86"/>
  <c r="X47" i="86"/>
  <c r="Y47" i="86"/>
  <c r="Z47" i="86"/>
  <c r="AA47" i="86"/>
  <c r="AB47" i="86"/>
  <c r="AC47" i="86"/>
  <c r="AK47" i="86"/>
  <c r="AL47" i="86"/>
  <c r="AM47" i="86"/>
  <c r="AN47" i="86"/>
  <c r="AO47" i="86"/>
  <c r="AP47" i="86"/>
  <c r="AQ47" i="86"/>
  <c r="AR47" i="86"/>
  <c r="AS47" i="86"/>
  <c r="AT47" i="86"/>
  <c r="AU47" i="86"/>
  <c r="BC47" i="86"/>
  <c r="BD47" i="86"/>
  <c r="BE47" i="86"/>
  <c r="BF47" i="86"/>
  <c r="BG47" i="86"/>
  <c r="BH47" i="86"/>
  <c r="BI47" i="86"/>
  <c r="BJ47" i="86"/>
  <c r="BK47" i="86"/>
  <c r="BL47" i="86"/>
  <c r="BM47" i="86"/>
  <c r="BU47" i="86"/>
  <c r="BV47" i="86"/>
  <c r="BW47" i="86"/>
  <c r="BX47" i="86"/>
  <c r="BY47" i="86"/>
  <c r="BZ47" i="86"/>
  <c r="CA47" i="86"/>
  <c r="CB47" i="86"/>
  <c r="CC47" i="86"/>
  <c r="CD47" i="86"/>
  <c r="CE47" i="86"/>
  <c r="CM47" i="86"/>
  <c r="CN47" i="86"/>
  <c r="CO47" i="86"/>
  <c r="CP47" i="86"/>
  <c r="CQ47" i="86"/>
  <c r="F48" i="86"/>
  <c r="G48" i="86"/>
  <c r="H48" i="86"/>
  <c r="I48" i="86"/>
  <c r="J48" i="86"/>
  <c r="K48" i="86"/>
  <c r="S48" i="86"/>
  <c r="T48" i="86"/>
  <c r="U48" i="86"/>
  <c r="V48" i="86"/>
  <c r="W48" i="86"/>
  <c r="X48" i="86"/>
  <c r="Y48" i="86"/>
  <c r="Z48" i="86"/>
  <c r="AA48" i="86"/>
  <c r="AB48" i="86"/>
  <c r="AC48" i="86"/>
  <c r="AK48" i="86"/>
  <c r="AL48" i="86"/>
  <c r="AM48" i="86"/>
  <c r="AN48" i="86"/>
  <c r="AO48" i="86"/>
  <c r="AP48" i="86"/>
  <c r="AQ48" i="86"/>
  <c r="AR48" i="86"/>
  <c r="AS48" i="86"/>
  <c r="AT48" i="86"/>
  <c r="AU48" i="86"/>
  <c r="BC48" i="86"/>
  <c r="BD48" i="86"/>
  <c r="BE48" i="86"/>
  <c r="BF48" i="86"/>
  <c r="BG48" i="86"/>
  <c r="BH48" i="86"/>
  <c r="BI48" i="86"/>
  <c r="BJ48" i="86"/>
  <c r="BK48" i="86"/>
  <c r="BL48" i="86"/>
  <c r="BM48" i="86"/>
  <c r="BU48" i="86"/>
  <c r="BV48" i="86"/>
  <c r="BW48" i="86"/>
  <c r="BX48" i="86"/>
  <c r="BY48" i="86"/>
  <c r="BZ48" i="86"/>
  <c r="CA48" i="86"/>
  <c r="CB48" i="86"/>
  <c r="CC48" i="86"/>
  <c r="CD48" i="86"/>
  <c r="CE48" i="86"/>
  <c r="CM48" i="86"/>
  <c r="CN48" i="86"/>
  <c r="CO48" i="86"/>
  <c r="CP48" i="86"/>
  <c r="CQ48" i="86"/>
  <c r="F49" i="86"/>
  <c r="G49" i="86"/>
  <c r="H49" i="86"/>
  <c r="I49" i="86"/>
  <c r="J49" i="86"/>
  <c r="K49" i="86"/>
  <c r="S49" i="86"/>
  <c r="T49" i="86"/>
  <c r="U49" i="86"/>
  <c r="V49" i="86"/>
  <c r="W49" i="86"/>
  <c r="X49" i="86"/>
  <c r="Y49" i="86"/>
  <c r="Z49" i="86"/>
  <c r="AA49" i="86"/>
  <c r="AB49" i="86"/>
  <c r="AC49" i="86"/>
  <c r="AK49" i="86"/>
  <c r="AL49" i="86"/>
  <c r="AM49" i="86"/>
  <c r="AN49" i="86"/>
  <c r="AO49" i="86"/>
  <c r="AP49" i="86"/>
  <c r="AQ49" i="86"/>
  <c r="AR49" i="86"/>
  <c r="AS49" i="86"/>
  <c r="AT49" i="86"/>
  <c r="AU49" i="86"/>
  <c r="BC49" i="86"/>
  <c r="BD49" i="86"/>
  <c r="BE49" i="86"/>
  <c r="BF49" i="86"/>
  <c r="BG49" i="86"/>
  <c r="BH49" i="86"/>
  <c r="BI49" i="86"/>
  <c r="BJ49" i="86"/>
  <c r="BK49" i="86"/>
  <c r="BL49" i="86"/>
  <c r="BM49" i="86"/>
  <c r="BU49" i="86"/>
  <c r="BV49" i="86"/>
  <c r="BW49" i="86"/>
  <c r="BX49" i="86"/>
  <c r="BY49" i="86"/>
  <c r="BZ49" i="86"/>
  <c r="CA49" i="86"/>
  <c r="CB49" i="86"/>
  <c r="CC49" i="86"/>
  <c r="CD49" i="86"/>
  <c r="CE49" i="86"/>
  <c r="CM49" i="86"/>
  <c r="CN49" i="86"/>
  <c r="CO49" i="86"/>
  <c r="CP49" i="86"/>
  <c r="CQ49" i="86"/>
  <c r="F50" i="86"/>
  <c r="G50" i="86"/>
  <c r="H50" i="86"/>
  <c r="I50" i="86"/>
  <c r="J50" i="86"/>
  <c r="K50" i="86"/>
  <c r="S50" i="86"/>
  <c r="T50" i="86"/>
  <c r="U50" i="86"/>
  <c r="V50" i="86"/>
  <c r="W50" i="86"/>
  <c r="X50" i="86"/>
  <c r="Y50" i="86"/>
  <c r="Z50" i="86"/>
  <c r="AA50" i="86"/>
  <c r="AB50" i="86"/>
  <c r="AC50" i="86"/>
  <c r="AK50" i="86"/>
  <c r="AL50" i="86"/>
  <c r="AM50" i="86"/>
  <c r="AN50" i="86"/>
  <c r="AO50" i="86"/>
  <c r="AP50" i="86"/>
  <c r="AQ50" i="86"/>
  <c r="AR50" i="86"/>
  <c r="AS50" i="86"/>
  <c r="AT50" i="86"/>
  <c r="AU50" i="86"/>
  <c r="BC50" i="86"/>
  <c r="BD50" i="86"/>
  <c r="BE50" i="86"/>
  <c r="BF50" i="86"/>
  <c r="BG50" i="86"/>
  <c r="BH50" i="86"/>
  <c r="BI50" i="86"/>
  <c r="BJ50" i="86"/>
  <c r="BK50" i="86"/>
  <c r="BL50" i="86"/>
  <c r="BM50" i="86"/>
  <c r="BU50" i="86"/>
  <c r="BV50" i="86"/>
  <c r="BW50" i="86"/>
  <c r="BX50" i="86"/>
  <c r="BY50" i="86"/>
  <c r="BZ50" i="86"/>
  <c r="CA50" i="86"/>
  <c r="CB50" i="86"/>
  <c r="CC50" i="86"/>
  <c r="CD50" i="86"/>
  <c r="CE50" i="86"/>
  <c r="CM50" i="86"/>
  <c r="CN50" i="86"/>
  <c r="CO50" i="86"/>
  <c r="CP50" i="86"/>
  <c r="CQ50" i="86"/>
  <c r="F51" i="86"/>
  <c r="G51" i="86"/>
  <c r="H51" i="86"/>
  <c r="I51" i="86"/>
  <c r="J51" i="86"/>
  <c r="K51" i="86"/>
  <c r="S51" i="86"/>
  <c r="T51" i="86"/>
  <c r="U51" i="86"/>
  <c r="V51" i="86"/>
  <c r="W51" i="86"/>
  <c r="X51" i="86"/>
  <c r="Y51" i="86"/>
  <c r="Z51" i="86"/>
  <c r="AA51" i="86"/>
  <c r="AB51" i="86"/>
  <c r="AC51" i="86"/>
  <c r="AK51" i="86"/>
  <c r="AL51" i="86"/>
  <c r="AM51" i="86"/>
  <c r="AN51" i="86"/>
  <c r="AO51" i="86"/>
  <c r="AP51" i="86"/>
  <c r="AQ51" i="86"/>
  <c r="AR51" i="86"/>
  <c r="AS51" i="86"/>
  <c r="AT51" i="86"/>
  <c r="AU51" i="86"/>
  <c r="BC51" i="86"/>
  <c r="BD51" i="86"/>
  <c r="BE51" i="86"/>
  <c r="BF51" i="86"/>
  <c r="BG51" i="86"/>
  <c r="BH51" i="86"/>
  <c r="BI51" i="86"/>
  <c r="BJ51" i="86"/>
  <c r="BK51" i="86"/>
  <c r="BL51" i="86"/>
  <c r="BM51" i="86"/>
  <c r="BU51" i="86"/>
  <c r="BV51" i="86"/>
  <c r="BW51" i="86"/>
  <c r="BX51" i="86"/>
  <c r="BY51" i="86"/>
  <c r="BZ51" i="86"/>
  <c r="CA51" i="86"/>
  <c r="CB51" i="86"/>
  <c r="CC51" i="86"/>
  <c r="CD51" i="86"/>
  <c r="CE51" i="86"/>
  <c r="CM51" i="86"/>
  <c r="CN51" i="86"/>
  <c r="CO51" i="86"/>
  <c r="CP51" i="86"/>
  <c r="CQ51" i="86"/>
  <c r="F52" i="86"/>
  <c r="G52" i="86"/>
  <c r="H52" i="86"/>
  <c r="I52" i="86"/>
  <c r="J52" i="86"/>
  <c r="K52" i="86"/>
  <c r="S52" i="86"/>
  <c r="T52" i="86"/>
  <c r="U52" i="86"/>
  <c r="V52" i="86"/>
  <c r="W52" i="86"/>
  <c r="X52" i="86"/>
  <c r="Y52" i="86"/>
  <c r="Z52" i="86"/>
  <c r="AA52" i="86"/>
  <c r="AB52" i="86"/>
  <c r="AC52" i="86"/>
  <c r="AK52" i="86"/>
  <c r="AL52" i="86"/>
  <c r="AM52" i="86"/>
  <c r="AN52" i="86"/>
  <c r="AO52" i="86"/>
  <c r="AP52" i="86"/>
  <c r="AQ52" i="86"/>
  <c r="AR52" i="86"/>
  <c r="AS52" i="86"/>
  <c r="AT52" i="86"/>
  <c r="AU52" i="86"/>
  <c r="BC52" i="86"/>
  <c r="BD52" i="86"/>
  <c r="BE52" i="86"/>
  <c r="BF52" i="86"/>
  <c r="BG52" i="86"/>
  <c r="BH52" i="86"/>
  <c r="BI52" i="86"/>
  <c r="BJ52" i="86"/>
  <c r="BK52" i="86"/>
  <c r="BL52" i="86"/>
  <c r="BM52" i="86"/>
  <c r="BU52" i="86"/>
  <c r="BV52" i="86"/>
  <c r="BW52" i="86"/>
  <c r="BX52" i="86"/>
  <c r="BY52" i="86"/>
  <c r="BZ52" i="86"/>
  <c r="CA52" i="86"/>
  <c r="CB52" i="86"/>
  <c r="CC52" i="86"/>
  <c r="CD52" i="86"/>
  <c r="CE52" i="86"/>
  <c r="CM52" i="86"/>
  <c r="CN52" i="86"/>
  <c r="CO52" i="86"/>
  <c r="CP52" i="86"/>
  <c r="CQ52" i="86"/>
  <c r="F53" i="86"/>
  <c r="G53" i="86"/>
  <c r="H53" i="86"/>
  <c r="I53" i="86"/>
  <c r="J53" i="86"/>
  <c r="K53" i="86"/>
  <c r="S53" i="86"/>
  <c r="T53" i="86"/>
  <c r="U53" i="86"/>
  <c r="V53" i="86"/>
  <c r="W53" i="86"/>
  <c r="X53" i="86"/>
  <c r="Y53" i="86"/>
  <c r="Z53" i="86"/>
  <c r="AA53" i="86"/>
  <c r="AB53" i="86"/>
  <c r="AC53" i="86"/>
  <c r="AK53" i="86"/>
  <c r="AL53" i="86"/>
  <c r="AM53" i="86"/>
  <c r="AN53" i="86"/>
  <c r="AO53" i="86"/>
  <c r="AP53" i="86"/>
  <c r="AQ53" i="86"/>
  <c r="AR53" i="86"/>
  <c r="AS53" i="86"/>
  <c r="AT53" i="86"/>
  <c r="AU53" i="86"/>
  <c r="BC53" i="86"/>
  <c r="BD53" i="86"/>
  <c r="BE53" i="86"/>
  <c r="BF53" i="86"/>
  <c r="BG53" i="86"/>
  <c r="BH53" i="86"/>
  <c r="BI53" i="86"/>
  <c r="BJ53" i="86"/>
  <c r="BK53" i="86"/>
  <c r="BL53" i="86"/>
  <c r="BM53" i="86"/>
  <c r="BU53" i="86"/>
  <c r="BV53" i="86"/>
  <c r="BW53" i="86"/>
  <c r="BX53" i="86"/>
  <c r="BY53" i="86"/>
  <c r="BZ53" i="86"/>
  <c r="CA53" i="86"/>
  <c r="CB53" i="86"/>
  <c r="CC53" i="86"/>
  <c r="CD53" i="86"/>
  <c r="CE53" i="86"/>
  <c r="CM53" i="86"/>
  <c r="CN53" i="86"/>
  <c r="CO53" i="86"/>
  <c r="CP53" i="86"/>
  <c r="CQ53" i="86"/>
  <c r="F54" i="86"/>
  <c r="G54" i="86"/>
  <c r="H54" i="86"/>
  <c r="I54" i="86"/>
  <c r="J54" i="86"/>
  <c r="K54" i="86"/>
  <c r="S54" i="86"/>
  <c r="T54" i="86"/>
  <c r="U54" i="86"/>
  <c r="V54" i="86"/>
  <c r="W54" i="86"/>
  <c r="X54" i="86"/>
  <c r="Y54" i="86"/>
  <c r="Z54" i="86"/>
  <c r="AA54" i="86"/>
  <c r="AB54" i="86"/>
  <c r="AC54" i="86"/>
  <c r="AK54" i="86"/>
  <c r="AL54" i="86"/>
  <c r="AM54" i="86"/>
  <c r="AN54" i="86"/>
  <c r="AO54" i="86"/>
  <c r="AP54" i="86"/>
  <c r="AQ54" i="86"/>
  <c r="AR54" i="86"/>
  <c r="AS54" i="86"/>
  <c r="AT54" i="86"/>
  <c r="AU54" i="86"/>
  <c r="BC54" i="86"/>
  <c r="BD54" i="86"/>
  <c r="BE54" i="86"/>
  <c r="BF54" i="86"/>
  <c r="BG54" i="86"/>
  <c r="BH54" i="86"/>
  <c r="BI54" i="86"/>
  <c r="BJ54" i="86"/>
  <c r="BK54" i="86"/>
  <c r="BL54" i="86"/>
  <c r="BM54" i="86"/>
  <c r="BU54" i="86"/>
  <c r="BV54" i="86"/>
  <c r="BW54" i="86"/>
  <c r="BX54" i="86"/>
  <c r="BY54" i="86"/>
  <c r="BZ54" i="86"/>
  <c r="CA54" i="86"/>
  <c r="CB54" i="86"/>
  <c r="CC54" i="86"/>
  <c r="CD54" i="86"/>
  <c r="CE54" i="86"/>
  <c r="CM54" i="86"/>
  <c r="CN54" i="86"/>
  <c r="CO54" i="86"/>
  <c r="CP54" i="86"/>
  <c r="CQ54" i="86"/>
  <c r="F55" i="86"/>
  <c r="G55" i="86"/>
  <c r="H55" i="86"/>
  <c r="I55" i="86"/>
  <c r="J55" i="86"/>
  <c r="K55" i="86"/>
  <c r="S55" i="86"/>
  <c r="T55" i="86"/>
  <c r="U55" i="86"/>
  <c r="V55" i="86"/>
  <c r="W55" i="86"/>
  <c r="X55" i="86"/>
  <c r="Y55" i="86"/>
  <c r="Z55" i="86"/>
  <c r="AA55" i="86"/>
  <c r="AB55" i="86"/>
  <c r="AC55" i="86"/>
  <c r="AK55" i="86"/>
  <c r="AL55" i="86"/>
  <c r="AM55" i="86"/>
  <c r="AN55" i="86"/>
  <c r="AO55" i="86"/>
  <c r="AP55" i="86"/>
  <c r="AQ55" i="86"/>
  <c r="AR55" i="86"/>
  <c r="AS55" i="86"/>
  <c r="AT55" i="86"/>
  <c r="AU55" i="86"/>
  <c r="BC55" i="86"/>
  <c r="BD55" i="86"/>
  <c r="BE55" i="86"/>
  <c r="BF55" i="86"/>
  <c r="BG55" i="86"/>
  <c r="BH55" i="86"/>
  <c r="BI55" i="86"/>
  <c r="BJ55" i="86"/>
  <c r="BK55" i="86"/>
  <c r="BL55" i="86"/>
  <c r="BM55" i="86"/>
  <c r="BU55" i="86"/>
  <c r="BV55" i="86"/>
  <c r="BW55" i="86"/>
  <c r="BX55" i="86"/>
  <c r="BY55" i="86"/>
  <c r="BZ55" i="86"/>
  <c r="CA55" i="86"/>
  <c r="CB55" i="86"/>
  <c r="CC55" i="86"/>
  <c r="CD55" i="86"/>
  <c r="CE55" i="86"/>
  <c r="CM55" i="86"/>
  <c r="CN55" i="86"/>
  <c r="CO55" i="86"/>
  <c r="CP55" i="86"/>
  <c r="CQ55" i="86"/>
  <c r="F56" i="86"/>
  <c r="G56" i="86"/>
  <c r="H56" i="86"/>
  <c r="I56" i="86"/>
  <c r="J56" i="86"/>
  <c r="K56" i="86"/>
  <c r="S56" i="86"/>
  <c r="T56" i="86"/>
  <c r="U56" i="86"/>
  <c r="V56" i="86"/>
  <c r="W56" i="86"/>
  <c r="X56" i="86"/>
  <c r="Y56" i="86"/>
  <c r="Z56" i="86"/>
  <c r="AA56" i="86"/>
  <c r="AB56" i="86"/>
  <c r="AC56" i="86"/>
  <c r="AK56" i="86"/>
  <c r="AL56" i="86"/>
  <c r="AM56" i="86"/>
  <c r="AN56" i="86"/>
  <c r="AO56" i="86"/>
  <c r="AP56" i="86"/>
  <c r="AQ56" i="86"/>
  <c r="AR56" i="86"/>
  <c r="AS56" i="86"/>
  <c r="AT56" i="86"/>
  <c r="AU56" i="86"/>
  <c r="BC56" i="86"/>
  <c r="BD56" i="86"/>
  <c r="BE56" i="86"/>
  <c r="BF56" i="86"/>
  <c r="BG56" i="86"/>
  <c r="BH56" i="86"/>
  <c r="BI56" i="86"/>
  <c r="BJ56" i="86"/>
  <c r="BK56" i="86"/>
  <c r="BL56" i="86"/>
  <c r="BM56" i="86"/>
  <c r="BU56" i="86"/>
  <c r="BV56" i="86"/>
  <c r="BW56" i="86"/>
  <c r="BX56" i="86"/>
  <c r="BY56" i="86"/>
  <c r="BZ56" i="86"/>
  <c r="CA56" i="86"/>
  <c r="CB56" i="86"/>
  <c r="CC56" i="86"/>
  <c r="CD56" i="86"/>
  <c r="CE56" i="86"/>
  <c r="CM56" i="86"/>
  <c r="CN56" i="86"/>
  <c r="CO56" i="86"/>
  <c r="CP56" i="86"/>
  <c r="CQ56" i="86"/>
  <c r="F57" i="86"/>
  <c r="G57" i="86"/>
  <c r="H57" i="86"/>
  <c r="I57" i="86"/>
  <c r="J57" i="86"/>
  <c r="K57" i="86"/>
  <c r="S57" i="86"/>
  <c r="T57" i="86"/>
  <c r="U57" i="86"/>
  <c r="V57" i="86"/>
  <c r="W57" i="86"/>
  <c r="X57" i="86"/>
  <c r="Y57" i="86"/>
  <c r="Z57" i="86"/>
  <c r="AA57" i="86"/>
  <c r="AB57" i="86"/>
  <c r="AC57" i="86"/>
  <c r="AK57" i="86"/>
  <c r="AL57" i="86"/>
  <c r="AM57" i="86"/>
  <c r="AN57" i="86"/>
  <c r="AO57" i="86"/>
  <c r="AP57" i="86"/>
  <c r="AQ57" i="86"/>
  <c r="AR57" i="86"/>
  <c r="AS57" i="86"/>
  <c r="AT57" i="86"/>
  <c r="AU57" i="86"/>
  <c r="BC57" i="86"/>
  <c r="BD57" i="86"/>
  <c r="BE57" i="86"/>
  <c r="BF57" i="86"/>
  <c r="BG57" i="86"/>
  <c r="BH57" i="86"/>
  <c r="BI57" i="86"/>
  <c r="BJ57" i="86"/>
  <c r="BK57" i="86"/>
  <c r="BL57" i="86"/>
  <c r="BM57" i="86"/>
  <c r="BU57" i="86"/>
  <c r="BV57" i="86"/>
  <c r="BW57" i="86"/>
  <c r="BX57" i="86"/>
  <c r="BY57" i="86"/>
  <c r="BZ57" i="86"/>
  <c r="CA57" i="86"/>
  <c r="CB57" i="86"/>
  <c r="CC57" i="86"/>
  <c r="CD57" i="86"/>
  <c r="CE57" i="86"/>
  <c r="CM57" i="86"/>
  <c r="CN57" i="86"/>
  <c r="CO57" i="86"/>
  <c r="CP57" i="86"/>
  <c r="CQ57" i="86"/>
  <c r="F58" i="86"/>
  <c r="G58" i="86"/>
  <c r="H58" i="86"/>
  <c r="I58" i="86"/>
  <c r="J58" i="86"/>
  <c r="K58" i="86"/>
  <c r="S58" i="86"/>
  <c r="T58" i="86"/>
  <c r="U58" i="86"/>
  <c r="V58" i="86"/>
  <c r="W58" i="86"/>
  <c r="X58" i="86"/>
  <c r="Y58" i="86"/>
  <c r="Z58" i="86"/>
  <c r="AA58" i="86"/>
  <c r="AB58" i="86"/>
  <c r="AC58" i="86"/>
  <c r="AK58" i="86"/>
  <c r="AL58" i="86"/>
  <c r="AM58" i="86"/>
  <c r="AN58" i="86"/>
  <c r="AO58" i="86"/>
  <c r="AP58" i="86"/>
  <c r="AQ58" i="86"/>
  <c r="AR58" i="86"/>
  <c r="AS58" i="86"/>
  <c r="AT58" i="86"/>
  <c r="AU58" i="86"/>
  <c r="BC58" i="86"/>
  <c r="BD58" i="86"/>
  <c r="BE58" i="86"/>
  <c r="BF58" i="86"/>
  <c r="BG58" i="86"/>
  <c r="BH58" i="86"/>
  <c r="BI58" i="86"/>
  <c r="BJ58" i="86"/>
  <c r="BK58" i="86"/>
  <c r="BL58" i="86"/>
  <c r="BM58" i="86"/>
  <c r="BU58" i="86"/>
  <c r="BV58" i="86"/>
  <c r="BW58" i="86"/>
  <c r="BX58" i="86"/>
  <c r="BY58" i="86"/>
  <c r="BZ58" i="86"/>
  <c r="CA58" i="86"/>
  <c r="CB58" i="86"/>
  <c r="CC58" i="86"/>
  <c r="CD58" i="86"/>
  <c r="CE58" i="86"/>
  <c r="CM58" i="86"/>
  <c r="CN58" i="86"/>
  <c r="CO58" i="86"/>
  <c r="CP58" i="86"/>
  <c r="CQ58" i="86"/>
  <c r="F59" i="86"/>
  <c r="G59" i="86"/>
  <c r="H59" i="86"/>
  <c r="I59" i="86"/>
  <c r="J59" i="86"/>
  <c r="K59" i="86"/>
  <c r="L59" i="86"/>
  <c r="M59" i="86"/>
  <c r="N59" i="86"/>
  <c r="O59" i="86"/>
  <c r="P59" i="86"/>
  <c r="Q59" i="86"/>
  <c r="S59" i="86"/>
  <c r="T59" i="86"/>
  <c r="U59" i="86"/>
  <c r="V59" i="86"/>
  <c r="W59" i="86"/>
  <c r="X59" i="86"/>
  <c r="Y59" i="86"/>
  <c r="Z59" i="86"/>
  <c r="AA59" i="86"/>
  <c r="AB59" i="86"/>
  <c r="AC59" i="86"/>
  <c r="AK59" i="86"/>
  <c r="AL59" i="86"/>
  <c r="AM59" i="86"/>
  <c r="AN59" i="86"/>
  <c r="AO59" i="86"/>
  <c r="AP59" i="86"/>
  <c r="AQ59" i="86"/>
  <c r="AR59" i="86"/>
  <c r="AS59" i="86"/>
  <c r="AT59" i="86"/>
  <c r="AU59" i="86"/>
  <c r="BC59" i="86"/>
  <c r="BD59" i="86"/>
  <c r="BE59" i="86"/>
  <c r="BF59" i="86"/>
  <c r="BG59" i="86"/>
  <c r="BH59" i="86"/>
  <c r="BI59" i="86"/>
  <c r="BJ59" i="86"/>
  <c r="BK59" i="86"/>
  <c r="BL59" i="86"/>
  <c r="BM59" i="86"/>
  <c r="BU59" i="86"/>
  <c r="BV59" i="86"/>
  <c r="BW59" i="86"/>
  <c r="BX59" i="86"/>
  <c r="BY59" i="86"/>
  <c r="BZ59" i="86"/>
  <c r="CA59" i="86"/>
  <c r="CB59" i="86"/>
  <c r="CC59" i="86"/>
  <c r="CD59" i="86"/>
  <c r="CE59" i="86"/>
  <c r="CM59" i="86"/>
  <c r="CN59" i="86"/>
  <c r="CO59" i="86"/>
  <c r="CP59" i="86"/>
  <c r="CQ59" i="86"/>
  <c r="F60" i="86"/>
  <c r="G60" i="86"/>
  <c r="H60" i="86"/>
  <c r="I60" i="86"/>
  <c r="J60" i="86"/>
  <c r="K60" i="86"/>
  <c r="L60" i="86"/>
  <c r="M60" i="86"/>
  <c r="N60" i="86"/>
  <c r="O60" i="86"/>
  <c r="P60" i="86"/>
  <c r="Q60" i="86"/>
  <c r="S60" i="86"/>
  <c r="T60" i="86"/>
  <c r="U60" i="86"/>
  <c r="V60" i="86"/>
  <c r="W60" i="86"/>
  <c r="X60" i="86"/>
  <c r="Y60" i="86"/>
  <c r="Z60" i="86"/>
  <c r="AA60" i="86"/>
  <c r="AB60" i="86"/>
  <c r="AC60" i="86"/>
  <c r="AK60" i="86"/>
  <c r="AL60" i="86"/>
  <c r="AM60" i="86"/>
  <c r="AN60" i="86"/>
  <c r="AO60" i="86"/>
  <c r="AP60" i="86"/>
  <c r="AQ60" i="86"/>
  <c r="AR60" i="86"/>
  <c r="AS60" i="86"/>
  <c r="AT60" i="86"/>
  <c r="AU60" i="86"/>
  <c r="BC60" i="86"/>
  <c r="BD60" i="86"/>
  <c r="BE60" i="86"/>
  <c r="BF60" i="86"/>
  <c r="BG60" i="86"/>
  <c r="BH60" i="86"/>
  <c r="BI60" i="86"/>
  <c r="BJ60" i="86"/>
  <c r="BK60" i="86"/>
  <c r="BL60" i="86"/>
  <c r="BM60" i="86"/>
  <c r="BU60" i="86"/>
  <c r="BV60" i="86"/>
  <c r="BW60" i="86"/>
  <c r="BX60" i="86"/>
  <c r="BY60" i="86"/>
  <c r="BZ60" i="86"/>
  <c r="CA60" i="86"/>
  <c r="CB60" i="86"/>
  <c r="CC60" i="86"/>
  <c r="CD60" i="86"/>
  <c r="CE60" i="86"/>
  <c r="CM60" i="86"/>
  <c r="CN60" i="86"/>
  <c r="CO60" i="86"/>
  <c r="CP60" i="86"/>
  <c r="CQ60" i="86"/>
  <c r="F61" i="86"/>
  <c r="G61" i="86"/>
  <c r="H61" i="86"/>
  <c r="I61" i="86"/>
  <c r="J61" i="86"/>
  <c r="K61" i="86"/>
  <c r="L61" i="86"/>
  <c r="M61" i="86"/>
  <c r="N61" i="86"/>
  <c r="O61" i="86"/>
  <c r="P61" i="86"/>
  <c r="Q61" i="86"/>
  <c r="S61" i="86"/>
  <c r="T61" i="86"/>
  <c r="U61" i="86"/>
  <c r="V61" i="86"/>
  <c r="W61" i="86"/>
  <c r="X61" i="86"/>
  <c r="Y61" i="86"/>
  <c r="Z61" i="86"/>
  <c r="AA61" i="86"/>
  <c r="AB61" i="86"/>
  <c r="AC61" i="86"/>
  <c r="AK61" i="86"/>
  <c r="AL61" i="86"/>
  <c r="AM61" i="86"/>
  <c r="AN61" i="86"/>
  <c r="AO61" i="86"/>
  <c r="AP61" i="86"/>
  <c r="AQ61" i="86"/>
  <c r="AR61" i="86"/>
  <c r="AS61" i="86"/>
  <c r="AT61" i="86"/>
  <c r="AU61" i="86"/>
  <c r="BC61" i="86"/>
  <c r="BD61" i="86"/>
  <c r="BE61" i="86"/>
  <c r="BF61" i="86"/>
  <c r="BG61" i="86"/>
  <c r="BH61" i="86"/>
  <c r="BI61" i="86"/>
  <c r="BJ61" i="86"/>
  <c r="BK61" i="86"/>
  <c r="BL61" i="86"/>
  <c r="BM61" i="86"/>
  <c r="BU61" i="86"/>
  <c r="BV61" i="86"/>
  <c r="BW61" i="86"/>
  <c r="BX61" i="86"/>
  <c r="BY61" i="86"/>
  <c r="BZ61" i="86"/>
  <c r="CA61" i="86"/>
  <c r="CB61" i="86"/>
  <c r="CC61" i="86"/>
  <c r="CD61" i="86"/>
  <c r="CE61" i="86"/>
  <c r="CM61" i="86"/>
  <c r="CN61" i="86"/>
  <c r="CO61" i="86"/>
  <c r="CP61" i="86"/>
  <c r="CQ61" i="86"/>
  <c r="F62" i="86"/>
  <c r="G62" i="86"/>
  <c r="H62" i="86"/>
  <c r="I62" i="86"/>
  <c r="J62" i="86"/>
  <c r="K62" i="86"/>
  <c r="L62" i="86"/>
  <c r="M62" i="86"/>
  <c r="N62" i="86"/>
  <c r="O62" i="86"/>
  <c r="P62" i="86"/>
  <c r="Q62" i="86"/>
  <c r="S62" i="86"/>
  <c r="T62" i="86"/>
  <c r="U62" i="86"/>
  <c r="V62" i="86"/>
  <c r="W62" i="86"/>
  <c r="X62" i="86"/>
  <c r="Y62" i="86"/>
  <c r="Z62" i="86"/>
  <c r="AA62" i="86"/>
  <c r="AB62" i="86"/>
  <c r="AC62" i="86"/>
  <c r="AK62" i="86"/>
  <c r="AL62" i="86"/>
  <c r="AM62" i="86"/>
  <c r="AN62" i="86"/>
  <c r="AO62" i="86"/>
  <c r="AP62" i="86"/>
  <c r="AQ62" i="86"/>
  <c r="AR62" i="86"/>
  <c r="AS62" i="86"/>
  <c r="AT62" i="86"/>
  <c r="AU62" i="86"/>
  <c r="BC62" i="86"/>
  <c r="BD62" i="86"/>
  <c r="BE62" i="86"/>
  <c r="BF62" i="86"/>
  <c r="BG62" i="86"/>
  <c r="BH62" i="86"/>
  <c r="BI62" i="86"/>
  <c r="BJ62" i="86"/>
  <c r="BK62" i="86"/>
  <c r="BL62" i="86"/>
  <c r="BM62" i="86"/>
  <c r="BU62" i="86"/>
  <c r="BV62" i="86"/>
  <c r="BW62" i="86"/>
  <c r="BX62" i="86"/>
  <c r="BY62" i="86"/>
  <c r="BZ62" i="86"/>
  <c r="CA62" i="86"/>
  <c r="CB62" i="86"/>
  <c r="CC62" i="86"/>
  <c r="CD62" i="86"/>
  <c r="CE62" i="86"/>
  <c r="CM62" i="86"/>
  <c r="CN62" i="86"/>
  <c r="CO62" i="86"/>
  <c r="CP62" i="86"/>
  <c r="CQ62" i="86"/>
  <c r="F63" i="86"/>
  <c r="G63" i="86"/>
  <c r="H63" i="86"/>
  <c r="I63" i="86"/>
  <c r="J63" i="86"/>
  <c r="K63" i="86"/>
  <c r="L63" i="86"/>
  <c r="M63" i="86"/>
  <c r="N63" i="86"/>
  <c r="O63" i="86"/>
  <c r="P63" i="86"/>
  <c r="Q63" i="86"/>
  <c r="S63" i="86"/>
  <c r="T63" i="86"/>
  <c r="U63" i="86"/>
  <c r="V63" i="86"/>
  <c r="W63" i="86"/>
  <c r="X63" i="86"/>
  <c r="Y63" i="86"/>
  <c r="Z63" i="86"/>
  <c r="AA63" i="86"/>
  <c r="AB63" i="86"/>
  <c r="AC63" i="86"/>
  <c r="AK63" i="86"/>
  <c r="AL63" i="86"/>
  <c r="AM63" i="86"/>
  <c r="AN63" i="86"/>
  <c r="AO63" i="86"/>
  <c r="AP63" i="86"/>
  <c r="AQ63" i="86"/>
  <c r="AR63" i="86"/>
  <c r="AS63" i="86"/>
  <c r="AT63" i="86"/>
  <c r="AU63" i="86"/>
  <c r="BC63" i="86"/>
  <c r="BD63" i="86"/>
  <c r="BE63" i="86"/>
  <c r="BF63" i="86"/>
  <c r="BG63" i="86"/>
  <c r="BH63" i="86"/>
  <c r="BI63" i="86"/>
  <c r="BJ63" i="86"/>
  <c r="BK63" i="86"/>
  <c r="BL63" i="86"/>
  <c r="BM63" i="86"/>
  <c r="BU63" i="86"/>
  <c r="BV63" i="86"/>
  <c r="BW63" i="86"/>
  <c r="BX63" i="86"/>
  <c r="BY63" i="86"/>
  <c r="BZ63" i="86"/>
  <c r="CA63" i="86"/>
  <c r="CB63" i="86"/>
  <c r="CC63" i="86"/>
  <c r="CD63" i="86"/>
  <c r="CE63" i="86"/>
  <c r="CM63" i="86"/>
  <c r="CN63" i="86"/>
  <c r="CO63" i="86"/>
  <c r="CP63" i="86"/>
  <c r="CQ63" i="86"/>
  <c r="F64" i="86"/>
  <c r="G64" i="86"/>
  <c r="H64" i="86"/>
  <c r="I64" i="86"/>
  <c r="J64" i="86"/>
  <c r="K64" i="86"/>
  <c r="L64" i="86"/>
  <c r="M64" i="86"/>
  <c r="N64" i="86"/>
  <c r="O64" i="86"/>
  <c r="P64" i="86"/>
  <c r="Q64" i="86"/>
  <c r="S64" i="86"/>
  <c r="T64" i="86"/>
  <c r="U64" i="86"/>
  <c r="V64" i="86"/>
  <c r="W64" i="86"/>
  <c r="X64" i="86"/>
  <c r="Y64" i="86"/>
  <c r="Z64" i="86"/>
  <c r="AA64" i="86"/>
  <c r="AB64" i="86"/>
  <c r="AC64" i="86"/>
  <c r="AK64" i="86"/>
  <c r="AL64" i="86"/>
  <c r="AM64" i="86"/>
  <c r="AN64" i="86"/>
  <c r="AO64" i="86"/>
  <c r="AP64" i="86"/>
  <c r="AQ64" i="86"/>
  <c r="AR64" i="86"/>
  <c r="AS64" i="86"/>
  <c r="AT64" i="86"/>
  <c r="AU64" i="86"/>
  <c r="BC64" i="86"/>
  <c r="BD64" i="86"/>
  <c r="BE64" i="86"/>
  <c r="BF64" i="86"/>
  <c r="BG64" i="86"/>
  <c r="BH64" i="86"/>
  <c r="BI64" i="86"/>
  <c r="BJ64" i="86"/>
  <c r="BK64" i="86"/>
  <c r="BL64" i="86"/>
  <c r="BM64" i="86"/>
  <c r="BU64" i="86"/>
  <c r="BV64" i="86"/>
  <c r="BW64" i="86"/>
  <c r="BX64" i="86"/>
  <c r="BY64" i="86"/>
  <c r="BZ64" i="86"/>
  <c r="CA64" i="86"/>
  <c r="CB64" i="86"/>
  <c r="CC64" i="86"/>
  <c r="CD64" i="86"/>
  <c r="CE64" i="86"/>
  <c r="CM64" i="86"/>
  <c r="CN64" i="86"/>
  <c r="CO64" i="86"/>
  <c r="CP64" i="86"/>
  <c r="CQ64" i="86"/>
  <c r="F65" i="86"/>
  <c r="G65" i="86"/>
  <c r="H65" i="86"/>
  <c r="I65" i="86"/>
  <c r="J65" i="86"/>
  <c r="K65" i="86"/>
  <c r="L65" i="86"/>
  <c r="M65" i="86"/>
  <c r="N65" i="86"/>
  <c r="O65" i="86"/>
  <c r="P65" i="86"/>
  <c r="Q65" i="86"/>
  <c r="S65" i="86"/>
  <c r="T65" i="86"/>
  <c r="U65" i="86"/>
  <c r="V65" i="86"/>
  <c r="W65" i="86"/>
  <c r="X65" i="86"/>
  <c r="Y65" i="86"/>
  <c r="Z65" i="86"/>
  <c r="AA65" i="86"/>
  <c r="AB65" i="86"/>
  <c r="AC65" i="86"/>
  <c r="AK65" i="86"/>
  <c r="AL65" i="86"/>
  <c r="AM65" i="86"/>
  <c r="AN65" i="86"/>
  <c r="AO65" i="86"/>
  <c r="AP65" i="86"/>
  <c r="AQ65" i="86"/>
  <c r="AR65" i="86"/>
  <c r="AS65" i="86"/>
  <c r="AT65" i="86"/>
  <c r="AU65" i="86"/>
  <c r="BC65" i="86"/>
  <c r="BD65" i="86"/>
  <c r="BE65" i="86"/>
  <c r="BF65" i="86"/>
  <c r="BG65" i="86"/>
  <c r="BH65" i="86"/>
  <c r="BI65" i="86"/>
  <c r="BJ65" i="86"/>
  <c r="BK65" i="86"/>
  <c r="BL65" i="86"/>
  <c r="BM65" i="86"/>
  <c r="BU65" i="86"/>
  <c r="BV65" i="86"/>
  <c r="BW65" i="86"/>
  <c r="BX65" i="86"/>
  <c r="BY65" i="86"/>
  <c r="BZ65" i="86"/>
  <c r="CA65" i="86"/>
  <c r="CB65" i="86"/>
  <c r="CC65" i="86"/>
  <c r="CD65" i="86"/>
  <c r="CE65" i="86"/>
  <c r="CM65" i="86"/>
  <c r="CN65" i="86"/>
  <c r="CO65" i="86"/>
  <c r="CP65" i="86"/>
  <c r="CQ65" i="86"/>
  <c r="F66" i="86"/>
  <c r="G66" i="86"/>
  <c r="H66" i="86"/>
  <c r="I66" i="86"/>
  <c r="J66" i="86"/>
  <c r="K66" i="86"/>
  <c r="L66" i="86"/>
  <c r="M66" i="86"/>
  <c r="N66" i="86"/>
  <c r="O66" i="86"/>
  <c r="P66" i="86"/>
  <c r="Q66" i="86"/>
  <c r="S66" i="86"/>
  <c r="T66" i="86"/>
  <c r="U66" i="86"/>
  <c r="V66" i="86"/>
  <c r="W66" i="86"/>
  <c r="X66" i="86"/>
  <c r="Y66" i="86"/>
  <c r="Z66" i="86"/>
  <c r="AA66" i="86"/>
  <c r="AB66" i="86"/>
  <c r="AC66" i="86"/>
  <c r="AK66" i="86"/>
  <c r="AL66" i="86"/>
  <c r="AM66" i="86"/>
  <c r="AN66" i="86"/>
  <c r="AO66" i="86"/>
  <c r="AP66" i="86"/>
  <c r="AQ66" i="86"/>
  <c r="AR66" i="86"/>
  <c r="AS66" i="86"/>
  <c r="AT66" i="86"/>
  <c r="AU66" i="86"/>
  <c r="BC66" i="86"/>
  <c r="BD66" i="86"/>
  <c r="BE66" i="86"/>
  <c r="BF66" i="86"/>
  <c r="BG66" i="86"/>
  <c r="BH66" i="86"/>
  <c r="BI66" i="86"/>
  <c r="BJ66" i="86"/>
  <c r="BK66" i="86"/>
  <c r="BL66" i="86"/>
  <c r="BM66" i="86"/>
  <c r="BU66" i="86"/>
  <c r="BV66" i="86"/>
  <c r="BW66" i="86"/>
  <c r="BX66" i="86"/>
  <c r="BY66" i="86"/>
  <c r="BZ66" i="86"/>
  <c r="CA66" i="86"/>
  <c r="CB66" i="86"/>
  <c r="CC66" i="86"/>
  <c r="CD66" i="86"/>
  <c r="CE66" i="86"/>
  <c r="CM66" i="86"/>
  <c r="CN66" i="86"/>
  <c r="CO66" i="86"/>
  <c r="CP66" i="86"/>
  <c r="CQ66" i="86"/>
  <c r="F67" i="86"/>
  <c r="G67" i="86"/>
  <c r="H67" i="86"/>
  <c r="I67" i="86"/>
  <c r="J67" i="86"/>
  <c r="K67" i="86"/>
  <c r="L67" i="86"/>
  <c r="M67" i="86"/>
  <c r="N67" i="86"/>
  <c r="O67" i="86"/>
  <c r="P67" i="86"/>
  <c r="Q67" i="86"/>
  <c r="S67" i="86"/>
  <c r="T67" i="86"/>
  <c r="U67" i="86"/>
  <c r="V67" i="86"/>
  <c r="W67" i="86"/>
  <c r="X67" i="86"/>
  <c r="Y67" i="86"/>
  <c r="Z67" i="86"/>
  <c r="AA67" i="86"/>
  <c r="AB67" i="86"/>
  <c r="AC67" i="86"/>
  <c r="AK67" i="86"/>
  <c r="AL67" i="86"/>
  <c r="AM67" i="86"/>
  <c r="AN67" i="86"/>
  <c r="AO67" i="86"/>
  <c r="AP67" i="86"/>
  <c r="AQ67" i="86"/>
  <c r="AR67" i="86"/>
  <c r="AS67" i="86"/>
  <c r="AT67" i="86"/>
  <c r="AU67" i="86"/>
  <c r="BC67" i="86"/>
  <c r="BD67" i="86"/>
  <c r="BE67" i="86"/>
  <c r="BF67" i="86"/>
  <c r="BG67" i="86"/>
  <c r="BH67" i="86"/>
  <c r="BI67" i="86"/>
  <c r="BJ67" i="86"/>
  <c r="BK67" i="86"/>
  <c r="BL67" i="86"/>
  <c r="BM67" i="86"/>
  <c r="BU67" i="86"/>
  <c r="BV67" i="86"/>
  <c r="BW67" i="86"/>
  <c r="BX67" i="86"/>
  <c r="BY67" i="86"/>
  <c r="BZ67" i="86"/>
  <c r="CA67" i="86"/>
  <c r="CB67" i="86"/>
  <c r="CC67" i="86"/>
  <c r="CD67" i="86"/>
  <c r="CE67" i="86"/>
  <c r="CM67" i="86"/>
  <c r="CN67" i="86"/>
  <c r="CO67" i="86"/>
  <c r="CP67" i="86"/>
  <c r="CQ67" i="86"/>
  <c r="F68" i="86"/>
  <c r="G68" i="86"/>
  <c r="H68" i="86"/>
  <c r="I68" i="86"/>
  <c r="J68" i="86"/>
  <c r="K68" i="86"/>
  <c r="L68" i="86"/>
  <c r="M68" i="86"/>
  <c r="N68" i="86"/>
  <c r="O68" i="86"/>
  <c r="P68" i="86"/>
  <c r="Q68" i="86"/>
  <c r="S68" i="86"/>
  <c r="T68" i="86"/>
  <c r="U68" i="86"/>
  <c r="V68" i="86"/>
  <c r="W68" i="86"/>
  <c r="X68" i="86"/>
  <c r="Y68" i="86"/>
  <c r="Z68" i="86"/>
  <c r="AA68" i="86"/>
  <c r="AB68" i="86"/>
  <c r="AC68" i="86"/>
  <c r="AK68" i="86"/>
  <c r="AL68" i="86"/>
  <c r="AM68" i="86"/>
  <c r="AN68" i="86"/>
  <c r="AO68" i="86"/>
  <c r="AP68" i="86"/>
  <c r="AQ68" i="86"/>
  <c r="AR68" i="86"/>
  <c r="AS68" i="86"/>
  <c r="AT68" i="86"/>
  <c r="AU68" i="86"/>
  <c r="BC68" i="86"/>
  <c r="BD68" i="86"/>
  <c r="BE68" i="86"/>
  <c r="BF68" i="86"/>
  <c r="BG68" i="86"/>
  <c r="BH68" i="86"/>
  <c r="BI68" i="86"/>
  <c r="BJ68" i="86"/>
  <c r="BK68" i="86"/>
  <c r="BL68" i="86"/>
  <c r="BM68" i="86"/>
  <c r="BU68" i="86"/>
  <c r="BV68" i="86"/>
  <c r="BW68" i="86"/>
  <c r="BX68" i="86"/>
  <c r="BY68" i="86"/>
  <c r="BZ68" i="86"/>
  <c r="CA68" i="86"/>
  <c r="CB68" i="86"/>
  <c r="CC68" i="86"/>
  <c r="CD68" i="86"/>
  <c r="CE68" i="86"/>
  <c r="CM68" i="86"/>
  <c r="CN68" i="86"/>
  <c r="CO68" i="86"/>
  <c r="CP68" i="86"/>
  <c r="CQ68" i="86"/>
  <c r="X5" i="86"/>
  <c r="Y5" i="86"/>
  <c r="Z5" i="86"/>
  <c r="AA5" i="86"/>
  <c r="AB5" i="86"/>
  <c r="AC5" i="86"/>
  <c r="AK5" i="86"/>
  <c r="AL5" i="86"/>
  <c r="AM5" i="86"/>
  <c r="AN5" i="86"/>
  <c r="AO5" i="86"/>
  <c r="AP5" i="86"/>
  <c r="AQ5" i="86"/>
  <c r="AR5" i="86"/>
  <c r="AS5" i="86"/>
  <c r="AT5" i="86"/>
  <c r="AU5" i="86"/>
  <c r="BC5" i="86"/>
  <c r="BD5" i="86"/>
  <c r="BE5" i="86"/>
  <c r="BF5" i="86"/>
  <c r="BG5" i="86"/>
  <c r="BH5" i="86"/>
  <c r="BI5" i="86"/>
  <c r="BJ5" i="86"/>
  <c r="BK5" i="86"/>
  <c r="BL5" i="86"/>
  <c r="BM5" i="86"/>
  <c r="BU5" i="86"/>
  <c r="BV5" i="86"/>
  <c r="BW5" i="86"/>
  <c r="BX5" i="86"/>
  <c r="BY5" i="86"/>
  <c r="BZ5" i="86"/>
  <c r="CA5" i="86"/>
  <c r="CB5" i="86"/>
  <c r="CC5" i="86"/>
  <c r="CD5" i="86"/>
  <c r="CE5" i="86"/>
  <c r="CM5" i="86"/>
  <c r="CN5" i="86"/>
  <c r="CO5" i="86"/>
  <c r="CP5" i="86"/>
  <c r="CQ5" i="86"/>
  <c r="G5" i="86"/>
  <c r="H5" i="86"/>
  <c r="I5" i="86"/>
  <c r="J5" i="86"/>
  <c r="K5" i="86"/>
  <c r="L5" i="86"/>
  <c r="M5" i="86"/>
  <c r="N5" i="86"/>
  <c r="O5" i="86"/>
  <c r="P5" i="86"/>
  <c r="Q5" i="86"/>
  <c r="S5" i="86"/>
  <c r="T5" i="86"/>
  <c r="U5" i="86"/>
  <c r="V5" i="86"/>
  <c r="W5" i="86"/>
  <c r="F5" i="86"/>
  <c r="AR48" i="76"/>
  <c r="AQ48" i="76"/>
  <c r="AP48" i="76"/>
  <c r="AO48" i="76"/>
  <c r="AN48" i="76"/>
  <c r="AM48" i="76"/>
  <c r="AL48" i="76"/>
  <c r="AK48" i="76"/>
  <c r="AJ48" i="76"/>
  <c r="AI48" i="76"/>
  <c r="AH48" i="76"/>
  <c r="AG48" i="76"/>
  <c r="AF48" i="76"/>
  <c r="AE48" i="76"/>
  <c r="AD48" i="76"/>
  <c r="AC48" i="76"/>
  <c r="AB48" i="76"/>
  <c r="AA48" i="76"/>
  <c r="Z48" i="76"/>
  <c r="Y48" i="76"/>
  <c r="X48" i="76"/>
  <c r="W48" i="76"/>
  <c r="V48" i="76"/>
  <c r="U48" i="76"/>
  <c r="T48" i="76"/>
  <c r="S48" i="76"/>
  <c r="R48" i="76"/>
  <c r="Q48" i="76"/>
  <c r="P48" i="76"/>
  <c r="O48" i="76"/>
  <c r="L48" i="76"/>
  <c r="K48" i="76"/>
  <c r="J48" i="76"/>
  <c r="I48" i="76"/>
  <c r="F48" i="76"/>
  <c r="E48" i="76"/>
  <c r="D48" i="76"/>
  <c r="AS46" i="76"/>
  <c r="M46" i="76"/>
  <c r="AS45" i="76"/>
  <c r="M45" i="76"/>
  <c r="AS44" i="76"/>
  <c r="M44" i="76"/>
  <c r="AS43" i="76"/>
  <c r="M43" i="76"/>
  <c r="AS42" i="76"/>
  <c r="M42" i="76"/>
  <c r="AS41" i="76"/>
  <c r="M41" i="76"/>
  <c r="AS40" i="76"/>
  <c r="M40" i="76"/>
  <c r="AS39" i="76"/>
  <c r="M39" i="76"/>
  <c r="AS38" i="76"/>
  <c r="M38" i="76"/>
  <c r="AS37" i="76"/>
  <c r="M37" i="76"/>
  <c r="AS36" i="76"/>
  <c r="M36" i="76"/>
  <c r="AS35" i="76"/>
  <c r="M35" i="76"/>
  <c r="AS34" i="76"/>
  <c r="M34" i="76"/>
  <c r="AS33" i="76"/>
  <c r="M33" i="76"/>
  <c r="AS32" i="76"/>
  <c r="M32" i="76"/>
  <c r="AS31" i="76"/>
  <c r="M31" i="76"/>
  <c r="AS30" i="76"/>
  <c r="M30" i="76"/>
  <c r="AS29" i="76"/>
  <c r="M29" i="76"/>
  <c r="AS28" i="76"/>
  <c r="M28" i="76"/>
  <c r="AS27" i="76"/>
  <c r="M27" i="76"/>
  <c r="AS26" i="76"/>
  <c r="M26" i="76"/>
  <c r="AS25" i="76"/>
  <c r="M25" i="76"/>
  <c r="AS24" i="76"/>
  <c r="M24" i="76"/>
  <c r="AS23" i="76"/>
  <c r="M23" i="76"/>
  <c r="AS22" i="76"/>
  <c r="M22" i="76"/>
  <c r="AS21" i="76"/>
  <c r="M21" i="76"/>
  <c r="AS20" i="76"/>
  <c r="M20" i="76"/>
  <c r="AS19" i="76"/>
  <c r="M19" i="76"/>
  <c r="AS18" i="76"/>
  <c r="M18" i="76"/>
  <c r="AS17" i="76"/>
  <c r="M17" i="76"/>
  <c r="AS16" i="76"/>
  <c r="AS48" i="76" s="1"/>
  <c r="M16" i="76"/>
  <c r="AS15" i="76"/>
  <c r="M15" i="76"/>
  <c r="M48" i="76" s="1"/>
  <c r="AS14" i="76"/>
  <c r="M14" i="76"/>
  <c r="AR11" i="76"/>
  <c r="AQ11" i="76"/>
  <c r="AP11" i="76"/>
  <c r="AO11" i="76"/>
  <c r="AN11" i="76"/>
  <c r="AM11" i="76"/>
  <c r="AL11" i="76"/>
  <c r="AK11" i="76"/>
  <c r="AJ11" i="76"/>
  <c r="AI11" i="76"/>
  <c r="AH11" i="76"/>
  <c r="AG11" i="76"/>
  <c r="AF11" i="76"/>
  <c r="AE11" i="76"/>
  <c r="AD11" i="76"/>
  <c r="AC11" i="76"/>
  <c r="AB11" i="76"/>
  <c r="AA11" i="76"/>
  <c r="Z11" i="76"/>
  <c r="Y11" i="76"/>
  <c r="X11" i="76"/>
  <c r="W11" i="76"/>
  <c r="V11" i="76"/>
  <c r="U11" i="76"/>
  <c r="T11" i="76"/>
  <c r="S11" i="76"/>
  <c r="R11" i="76"/>
  <c r="Q11" i="76"/>
  <c r="P11" i="76"/>
  <c r="O11" i="76"/>
  <c r="L11" i="76"/>
  <c r="K11" i="76"/>
  <c r="J11" i="76"/>
  <c r="I11" i="76"/>
  <c r="F11" i="76"/>
  <c r="E11" i="76"/>
  <c r="D11" i="76"/>
  <c r="AS10" i="76"/>
  <c r="AT10" i="76" s="1"/>
  <c r="M10" i="76"/>
  <c r="AS9" i="76"/>
  <c r="M9" i="76"/>
  <c r="AT9" i="76"/>
  <c r="AS8" i="76"/>
  <c r="M8" i="76"/>
  <c r="AT8" i="76"/>
  <c r="AS7" i="76"/>
  <c r="AT7" i="76" s="1"/>
  <c r="M7" i="76"/>
  <c r="AS6" i="76"/>
  <c r="M6" i="76"/>
  <c r="AT6" i="76" s="1"/>
  <c r="AS5" i="76"/>
  <c r="M5" i="76"/>
  <c r="AT5" i="76"/>
  <c r="AS4" i="76"/>
  <c r="AT4" i="76" s="1"/>
  <c r="M4" i="76"/>
  <c r="E9" i="74"/>
  <c r="D9" i="74"/>
  <c r="C8" i="74"/>
  <c r="D8" i="74" s="1"/>
  <c r="E7" i="74"/>
  <c r="D7" i="74"/>
  <c r="E6" i="74"/>
  <c r="D6" i="74"/>
  <c r="E5" i="74"/>
  <c r="D5" i="74"/>
  <c r="E4" i="74"/>
  <c r="D4" i="74"/>
  <c r="E3" i="74"/>
  <c r="D3" i="74"/>
  <c r="AM3" i="24"/>
  <c r="AV27" i="86"/>
  <c r="L7" i="97"/>
  <c r="G7" i="97"/>
  <c r="M7" i="97"/>
  <c r="I7" i="97"/>
  <c r="E7" i="97"/>
  <c r="H7" i="97"/>
  <c r="D7" i="97"/>
  <c r="K7" i="97"/>
  <c r="C7" i="97"/>
  <c r="O7" i="97" s="1"/>
  <c r="N7" i="97"/>
  <c r="J7" i="97"/>
  <c r="F7" i="97"/>
  <c r="M11" i="76"/>
  <c r="IW70" i="95" l="1"/>
  <c r="IW69" i="95" s="1"/>
  <c r="IC70" i="95"/>
  <c r="IC69" i="95" s="1"/>
  <c r="JA70" i="95"/>
  <c r="JA69" i="95" s="1"/>
  <c r="HU70" i="95"/>
  <c r="HU69" i="95" s="1"/>
  <c r="KS70" i="95"/>
  <c r="KS69" i="95" s="1"/>
  <c r="KO70" i="95"/>
  <c r="KO69" i="95" s="1"/>
  <c r="KG70" i="95"/>
  <c r="KG69" i="95" s="1"/>
  <c r="KK70" i="95"/>
  <c r="KK69" i="95" s="1"/>
  <c r="KQ70" i="95"/>
  <c r="KQ69" i="95" s="1"/>
  <c r="KU70" i="95"/>
  <c r="KU69" i="95" s="1"/>
  <c r="LA70" i="95"/>
  <c r="LA69" i="95" s="1"/>
  <c r="KW70" i="95"/>
  <c r="KW69" i="95" s="1"/>
  <c r="KC70" i="95"/>
  <c r="KC69" i="95" s="1"/>
  <c r="JU70" i="95"/>
  <c r="JU69" i="95" s="1"/>
  <c r="JM70" i="95"/>
  <c r="JM69" i="95" s="1"/>
  <c r="IR70" i="95"/>
  <c r="IR69" i="95" s="1"/>
  <c r="IG70" i="95"/>
  <c r="IG69" i="95" s="1"/>
  <c r="BL59" i="24"/>
  <c r="JG70" i="95"/>
  <c r="JG69" i="95" s="1"/>
  <c r="IY70" i="95"/>
  <c r="IY69" i="95" s="1"/>
  <c r="IQ70" i="95"/>
  <c r="IQ69" i="95" s="1"/>
  <c r="II70" i="95"/>
  <c r="II69" i="95" s="1"/>
  <c r="IA70" i="95"/>
  <c r="IA69" i="95" s="1"/>
  <c r="JC70" i="95"/>
  <c r="JC69" i="95" s="1"/>
  <c r="IU70" i="95"/>
  <c r="IU69" i="95" s="1"/>
  <c r="HW70" i="95"/>
  <c r="HW69" i="95" s="1"/>
  <c r="KY70" i="95"/>
  <c r="KY69" i="95" s="1"/>
  <c r="KI70" i="95"/>
  <c r="KI69" i="95" s="1"/>
  <c r="JW70" i="95"/>
  <c r="JW69" i="95" s="1"/>
  <c r="JO70" i="95"/>
  <c r="JO69" i="95" s="1"/>
  <c r="IE70" i="95"/>
  <c r="IE69" i="95" s="1"/>
  <c r="KP70" i="95"/>
  <c r="KP69" i="95" s="1"/>
  <c r="AP70" i="95"/>
  <c r="AP69" i="95" s="1"/>
  <c r="DU70" i="95"/>
  <c r="DU69" i="95" s="1"/>
  <c r="AJ70" i="95"/>
  <c r="AJ69" i="95" s="1"/>
  <c r="IZ70" i="95"/>
  <c r="IZ69" i="95" s="1"/>
  <c r="IJ70" i="95"/>
  <c r="IJ69" i="95" s="1"/>
  <c r="HT70" i="95"/>
  <c r="HT69" i="95" s="1"/>
  <c r="JD70" i="95"/>
  <c r="JD69" i="95" s="1"/>
  <c r="IV70" i="95"/>
  <c r="IV69" i="95" s="1"/>
  <c r="IN70" i="95"/>
  <c r="IN69" i="95" s="1"/>
  <c r="IF70" i="95"/>
  <c r="IF69" i="95" s="1"/>
  <c r="HX70" i="95"/>
  <c r="HX69" i="95" s="1"/>
  <c r="KR70" i="95"/>
  <c r="KR69" i="95" s="1"/>
  <c r="BV70" i="95"/>
  <c r="BV69" i="95" s="1"/>
  <c r="DV70" i="95"/>
  <c r="DV69" i="95" s="1"/>
  <c r="BZ70" i="95"/>
  <c r="BZ69" i="95" s="1"/>
  <c r="FM70" i="95"/>
  <c r="FM69" i="95" s="1"/>
  <c r="DY70" i="95"/>
  <c r="DY69" i="95" s="1"/>
  <c r="CC70" i="95"/>
  <c r="CC69" i="95" s="1"/>
  <c r="FP70" i="95"/>
  <c r="FP69" i="95" s="1"/>
  <c r="BC70" i="95"/>
  <c r="BC69" i="95" s="1"/>
  <c r="AM70" i="95"/>
  <c r="AM69" i="95" s="1"/>
  <c r="KT70" i="95"/>
  <c r="KT69" i="95" s="1"/>
  <c r="KL70" i="95"/>
  <c r="KL69" i="95" s="1"/>
  <c r="CL69" i="91"/>
  <c r="CL70" i="91" s="1"/>
  <c r="AH70" i="95"/>
  <c r="AH69" i="95" s="1"/>
  <c r="DW70" i="95"/>
  <c r="DW69" i="95" s="1"/>
  <c r="BY70" i="95"/>
  <c r="BY69" i="95" s="1"/>
  <c r="BL70" i="95"/>
  <c r="BL69" i="95" s="1"/>
  <c r="S70" i="95"/>
  <c r="S69" i="95" s="1"/>
  <c r="CD70" i="95"/>
  <c r="CD69" i="95" s="1"/>
  <c r="DP70" i="95"/>
  <c r="DP69" i="95" s="1"/>
  <c r="CB70" i="95"/>
  <c r="CB69" i="95" s="1"/>
  <c r="BT70" i="95"/>
  <c r="BT69" i="95" s="1"/>
  <c r="BD70" i="95"/>
  <c r="BD69" i="95" s="1"/>
  <c r="HK70" i="95"/>
  <c r="HK69" i="95" s="1"/>
  <c r="CU70" i="95"/>
  <c r="CU69" i="95" s="1"/>
  <c r="AI70" i="95"/>
  <c r="AI69" i="95" s="1"/>
  <c r="K70" i="95"/>
  <c r="K69" i="95" s="1"/>
  <c r="FR70" i="95"/>
  <c r="FR69" i="95" s="1"/>
  <c r="BJ70" i="95"/>
  <c r="BJ69" i="95" s="1"/>
  <c r="BB70" i="95"/>
  <c r="BB69" i="95" s="1"/>
  <c r="AG70" i="95"/>
  <c r="AG69" i="95" s="1"/>
  <c r="EB70" i="95"/>
  <c r="EB69" i="95" s="1"/>
  <c r="DT70" i="95"/>
  <c r="DT69" i="95" s="1"/>
  <c r="CV70" i="95"/>
  <c r="CV69" i="95" s="1"/>
  <c r="AR70" i="95"/>
  <c r="AR69" i="95" s="1"/>
  <c r="HG70" i="95"/>
  <c r="HG69" i="95" s="1"/>
  <c r="DO70" i="95"/>
  <c r="DO69" i="95" s="1"/>
  <c r="DG70" i="95"/>
  <c r="DG69" i="95" s="1"/>
  <c r="CY70" i="95"/>
  <c r="CY69" i="95" s="1"/>
  <c r="CA70" i="95"/>
  <c r="CA69" i="95" s="1"/>
  <c r="BK70" i="95"/>
  <c r="BK69" i="95" s="1"/>
  <c r="W70" i="95"/>
  <c r="W69" i="95" s="1"/>
  <c r="HZ70" i="95"/>
  <c r="HZ69" i="95" s="1"/>
  <c r="KD70" i="95"/>
  <c r="KD69" i="95" s="1"/>
  <c r="JV70" i="95"/>
  <c r="JV69" i="95" s="1"/>
  <c r="KH70" i="95"/>
  <c r="KH69" i="95" s="1"/>
  <c r="JZ70" i="95"/>
  <c r="JZ69" i="95" s="1"/>
  <c r="JR70" i="95"/>
  <c r="JR69" i="95" s="1"/>
  <c r="CU4" i="24"/>
  <c r="I4" i="97" s="1"/>
  <c r="CT4" i="24"/>
  <c r="H4" i="97" s="1"/>
  <c r="CO6" i="24"/>
  <c r="C6" i="97" s="1"/>
  <c r="CO4" i="24"/>
  <c r="C4" i="97" s="1"/>
  <c r="CU5" i="24"/>
  <c r="I5" i="97" s="1"/>
  <c r="CW7" i="24"/>
  <c r="K8" i="97" s="1"/>
  <c r="JN70" i="95"/>
  <c r="JN69" i="95" s="1"/>
  <c r="CY5" i="24"/>
  <c r="M5" i="97" s="1"/>
  <c r="CX7" i="24"/>
  <c r="L8" i="97" s="1"/>
  <c r="CP7" i="24"/>
  <c r="D8" i="97" s="1"/>
  <c r="CX6" i="24"/>
  <c r="L6" i="97" s="1"/>
  <c r="CO7" i="24"/>
  <c r="C8" i="97" s="1"/>
  <c r="CY4" i="24"/>
  <c r="M4" i="97" s="1"/>
  <c r="CP5" i="24"/>
  <c r="CQ7" i="24"/>
  <c r="E8" i="97" s="1"/>
  <c r="CS6" i="24"/>
  <c r="G6" i="97" s="1"/>
  <c r="DI7" i="24"/>
  <c r="CS4" i="24"/>
  <c r="G4" i="97" s="1"/>
  <c r="CS5" i="24"/>
  <c r="G5" i="97" s="1"/>
  <c r="DI6" i="24"/>
  <c r="CO5" i="24"/>
  <c r="C5" i="97" s="1"/>
  <c r="CV6" i="24"/>
  <c r="J6" i="97" s="1"/>
  <c r="CY7" i="24"/>
  <c r="M8" i="97" s="1"/>
  <c r="C9" i="97"/>
  <c r="CW4" i="24"/>
  <c r="K4" i="97" s="1"/>
  <c r="CS7" i="24"/>
  <c r="G8" i="97" s="1"/>
  <c r="CP6" i="24"/>
  <c r="D6" i="97" s="1"/>
  <c r="DI5" i="24"/>
  <c r="CV5" i="24"/>
  <c r="J5" i="97" s="1"/>
  <c r="DE7" i="24"/>
  <c r="CT7" i="24"/>
  <c r="H8" i="97" s="1"/>
  <c r="CV7" i="24"/>
  <c r="J8" i="97" s="1"/>
  <c r="DE6" i="24"/>
  <c r="CU7" i="24"/>
  <c r="I8" i="97" s="1"/>
  <c r="CT6" i="24"/>
  <c r="H6" i="97" s="1"/>
  <c r="CX5" i="24"/>
  <c r="L5" i="97" s="1"/>
  <c r="CQ6" i="24"/>
  <c r="E6" i="97" s="1"/>
  <c r="DE5" i="24"/>
  <c r="CU6" i="24"/>
  <c r="I6" i="97" s="1"/>
  <c r="CT5" i="24"/>
  <c r="H5" i="97" s="1"/>
  <c r="CX4" i="24"/>
  <c r="L4" i="97" s="1"/>
  <c r="CW6" i="24"/>
  <c r="K6" i="97" s="1"/>
  <c r="CY6" i="24"/>
  <c r="M6" i="97" s="1"/>
  <c r="DG6" i="24"/>
  <c r="DG5" i="24"/>
  <c r="DG7" i="24"/>
  <c r="CZ7" i="24"/>
  <c r="N8" i="97" s="1"/>
  <c r="CP4" i="24"/>
  <c r="D4" i="97" s="1"/>
  <c r="CQ5" i="24"/>
  <c r="E5" i="97" s="1"/>
  <c r="CZ4" i="24"/>
  <c r="N4" i="97" s="1"/>
  <c r="CW5" i="24"/>
  <c r="K5" i="97" s="1"/>
  <c r="DF5" i="24"/>
  <c r="CQ4" i="24"/>
  <c r="E4" i="97" s="1"/>
  <c r="DD6" i="24"/>
  <c r="CZ6" i="24"/>
  <c r="N6" i="97" s="1"/>
  <c r="DD5" i="24"/>
  <c r="CZ5" i="24"/>
  <c r="N5" i="97" s="1"/>
  <c r="CR4" i="24"/>
  <c r="F4" i="97" s="1"/>
  <c r="CR7" i="24"/>
  <c r="DH7" i="24"/>
  <c r="DH6" i="24"/>
  <c r="CR6" i="24"/>
  <c r="CR5" i="24"/>
  <c r="DH5" i="24"/>
  <c r="DC4" i="24"/>
  <c r="CV4" i="24"/>
  <c r="J4" i="97" s="1"/>
  <c r="CY69" i="91"/>
  <c r="CY70" i="91" s="1"/>
  <c r="JQ70" i="95"/>
  <c r="JQ69" i="95" s="1"/>
  <c r="ET70" i="95"/>
  <c r="ET69" i="95" s="1"/>
  <c r="CF70" i="95"/>
  <c r="CF69" i="95" s="1"/>
  <c r="L70" i="95"/>
  <c r="L69" i="95" s="1"/>
  <c r="AK70" i="95"/>
  <c r="AK69" i="95" s="1"/>
  <c r="J70" i="95"/>
  <c r="J69" i="95" s="1"/>
  <c r="CG70" i="95"/>
  <c r="CG69" i="95" s="1"/>
  <c r="CE70" i="95"/>
  <c r="CE69" i="95" s="1"/>
  <c r="GX70" i="95"/>
  <c r="GX69" i="95" s="1"/>
  <c r="AD70" i="95"/>
  <c r="AD69" i="95" s="1"/>
  <c r="EU70" i="95"/>
  <c r="EU69" i="95" s="1"/>
  <c r="FN70" i="95"/>
  <c r="FN69" i="95" s="1"/>
  <c r="DR70" i="95"/>
  <c r="DR69" i="95" s="1"/>
  <c r="Z70" i="95"/>
  <c r="Z69" i="95" s="1"/>
  <c r="R70" i="95"/>
  <c r="R69" i="95" s="1"/>
  <c r="HE70" i="95"/>
  <c r="HE69" i="95" s="1"/>
  <c r="GE70" i="95"/>
  <c r="GE69" i="95" s="1"/>
  <c r="DC70" i="95"/>
  <c r="DC69" i="95" s="1"/>
  <c r="BW70" i="95"/>
  <c r="BW69" i="95" s="1"/>
  <c r="N70" i="95"/>
  <c r="N69" i="95" s="1"/>
  <c r="GC70" i="95"/>
  <c r="GC69" i="95" s="1"/>
  <c r="AO70" i="95"/>
  <c r="AO69" i="95" s="1"/>
  <c r="HD70" i="95"/>
  <c r="HD69" i="95" s="1"/>
  <c r="CN70" i="95"/>
  <c r="CN69" i="95" s="1"/>
  <c r="BX70" i="95"/>
  <c r="BX69" i="95" s="1"/>
  <c r="T70" i="95"/>
  <c r="T69" i="95" s="1"/>
  <c r="IT70" i="95"/>
  <c r="IT69" i="95" s="1"/>
  <c r="IL70" i="95"/>
  <c r="IL69" i="95" s="1"/>
  <c r="CZ69" i="91"/>
  <c r="CZ70" i="91" s="1"/>
  <c r="DA69" i="91"/>
  <c r="DA70" i="91" s="1"/>
  <c r="BN70" i="95"/>
  <c r="BN69" i="95" s="1"/>
  <c r="CX70" i="95"/>
  <c r="CX69" i="95" s="1"/>
  <c r="GS70" i="95"/>
  <c r="GS69" i="95" s="1"/>
  <c r="GK70" i="95"/>
  <c r="GK69" i="95" s="1"/>
  <c r="L9" i="97"/>
  <c r="JH70" i="95"/>
  <c r="JH69" i="95" s="1"/>
  <c r="DM70" i="95"/>
  <c r="DM69" i="95" s="1"/>
  <c r="Q70" i="95"/>
  <c r="Q69" i="95" s="1"/>
  <c r="DF70" i="95"/>
  <c r="DF69" i="95" s="1"/>
  <c r="FK70" i="95"/>
  <c r="FK69" i="95" s="1"/>
  <c r="G9" i="97"/>
  <c r="AB7" i="97"/>
  <c r="JF70" i="95"/>
  <c r="JF69" i="95" s="1"/>
  <c r="AC70" i="95"/>
  <c r="AC69" i="95" s="1"/>
  <c r="H9" i="97"/>
  <c r="EO70" i="95"/>
  <c r="EO69" i="95" s="1"/>
  <c r="CW34" i="24"/>
  <c r="AB70" i="95"/>
  <c r="AB69" i="95" s="1"/>
  <c r="HY70" i="95"/>
  <c r="HY69" i="95" s="1"/>
  <c r="CZ25" i="24"/>
  <c r="JI70" i="95"/>
  <c r="JI69" i="95" s="1"/>
  <c r="IO70" i="95"/>
  <c r="IO69" i="95" s="1"/>
  <c r="J9" i="97"/>
  <c r="I9" i="97"/>
  <c r="JE70" i="95"/>
  <c r="JE69" i="95" s="1"/>
  <c r="N9" i="97"/>
  <c r="F9" i="97"/>
  <c r="BR56" i="24"/>
  <c r="EX70" i="95"/>
  <c r="EX69" i="95" s="1"/>
  <c r="DB70" i="95"/>
  <c r="DB69" i="95" s="1"/>
  <c r="BF70" i="95"/>
  <c r="BF69" i="95" s="1"/>
  <c r="DS70" i="95"/>
  <c r="DS69" i="95" s="1"/>
  <c r="BG70" i="95"/>
  <c r="BG69" i="95" s="1"/>
  <c r="GF70" i="95"/>
  <c r="GF69" i="95" s="1"/>
  <c r="DD70" i="95"/>
  <c r="DD69" i="95" s="1"/>
  <c r="D9" i="97"/>
  <c r="O69" i="91"/>
  <c r="O70" i="91" s="1"/>
  <c r="BG69" i="91"/>
  <c r="BG70" i="91" s="1"/>
  <c r="BW69" i="91"/>
  <c r="BW70" i="91" s="1"/>
  <c r="M9" i="97"/>
  <c r="E9" i="97"/>
  <c r="K9" i="97"/>
  <c r="AA7" i="97"/>
  <c r="Q7" i="97"/>
  <c r="Y7" i="97"/>
  <c r="CY36" i="24"/>
  <c r="U7" i="97"/>
  <c r="V7" i="97"/>
  <c r="CW33" i="24"/>
  <c r="AT11" i="76"/>
  <c r="Z7" i="97"/>
  <c r="X7" i="97"/>
  <c r="S7" i="97"/>
  <c r="E8" i="74"/>
  <c r="E10" i="74" s="1"/>
  <c r="T7" i="97"/>
  <c r="R7" i="97"/>
  <c r="AS11" i="76"/>
  <c r="W7" i="97"/>
  <c r="BI70" i="95"/>
  <c r="BI69" i="95" s="1"/>
  <c r="JJ70" i="95"/>
  <c r="JJ69" i="95" s="1"/>
  <c r="M10" i="97"/>
  <c r="L10" i="97"/>
  <c r="CL56" i="24"/>
  <c r="HR70" i="95"/>
  <c r="HR69" i="95" s="1"/>
  <c r="CZ26" i="24"/>
  <c r="J10" i="97"/>
  <c r="CY18" i="24"/>
  <c r="M11" i="97" s="1"/>
  <c r="CY33" i="24"/>
  <c r="CY34" i="24"/>
  <c r="JB70" i="95"/>
  <c r="JB69" i="95" s="1"/>
  <c r="ID70" i="95"/>
  <c r="ID69" i="95" s="1"/>
  <c r="HV70" i="95"/>
  <c r="HV69" i="95" s="1"/>
  <c r="AS69" i="91"/>
  <c r="AS70" i="91" s="1"/>
  <c r="CK69" i="91"/>
  <c r="CK70" i="91" s="1"/>
  <c r="K10" i="97"/>
  <c r="CJ69" i="91"/>
  <c r="CJ70" i="91" s="1"/>
  <c r="CX27" i="24"/>
  <c r="CW27" i="24"/>
  <c r="CY38" i="24"/>
  <c r="CY28" i="24"/>
  <c r="CW28" i="24"/>
  <c r="KZ70" i="95"/>
  <c r="KZ69" i="95" s="1"/>
  <c r="KJ70" i="95"/>
  <c r="KJ69" i="95" s="1"/>
  <c r="KB70" i="95"/>
  <c r="KB69" i="95" s="1"/>
  <c r="JT70" i="95"/>
  <c r="JT69" i="95" s="1"/>
  <c r="JL70" i="95"/>
  <c r="JL69" i="95" s="1"/>
  <c r="KA70" i="95"/>
  <c r="KA69" i="95" s="1"/>
  <c r="JS70" i="95"/>
  <c r="JS69" i="95" s="1"/>
  <c r="KM70" i="95"/>
  <c r="KM69" i="95" s="1"/>
  <c r="AO56" i="24"/>
  <c r="AO59" i="24" s="1"/>
  <c r="N69" i="91"/>
  <c r="N70" i="91" s="1"/>
  <c r="GP70" i="95"/>
  <c r="GP69" i="95" s="1"/>
  <c r="IX70" i="95"/>
  <c r="IX69" i="95" s="1"/>
  <c r="IP70" i="95"/>
  <c r="IP69" i="95" s="1"/>
  <c r="IH70" i="95"/>
  <c r="IH69" i="95" s="1"/>
  <c r="AC69" i="91"/>
  <c r="AC70" i="91" s="1"/>
  <c r="EW70" i="95"/>
  <c r="EW69" i="95" s="1"/>
  <c r="CX31" i="24"/>
  <c r="CY32" i="24"/>
  <c r="CW24" i="24"/>
  <c r="KV70" i="95"/>
  <c r="KV69" i="95" s="1"/>
  <c r="KN70" i="95"/>
  <c r="KN69" i="95" s="1"/>
  <c r="KF70" i="95"/>
  <c r="KF69" i="95" s="1"/>
  <c r="JX70" i="95"/>
  <c r="JX69" i="95" s="1"/>
  <c r="JP70" i="95"/>
  <c r="JP69" i="95" s="1"/>
  <c r="BG56" i="24"/>
  <c r="DE70" i="95"/>
  <c r="DE69" i="95" s="1"/>
  <c r="AM58" i="24"/>
  <c r="AM59" i="24" s="1"/>
  <c r="BU69" i="91"/>
  <c r="BU70" i="91" s="1"/>
  <c r="CZ36" i="24"/>
  <c r="CV36" i="24"/>
  <c r="CZ40" i="24"/>
  <c r="CZ30" i="24"/>
  <c r="CZ21" i="24"/>
  <c r="CB56" i="24"/>
  <c r="CB59" i="24" s="1"/>
  <c r="DI40" i="24"/>
  <c r="IB70" i="95"/>
  <c r="IB69" i="95" s="1"/>
  <c r="HS70" i="95"/>
  <c r="HS69" i="95" s="1"/>
  <c r="CW18" i="24"/>
  <c r="K11" i="97" s="1"/>
  <c r="CX18" i="24"/>
  <c r="L11" i="97" s="1"/>
  <c r="BA56" i="24"/>
  <c r="BA59" i="24" s="1"/>
  <c r="CX33" i="24"/>
  <c r="CV3" i="24"/>
  <c r="J3" i="97" s="1"/>
  <c r="CE58" i="24"/>
  <c r="BZ58" i="24"/>
  <c r="BT56" i="24"/>
  <c r="CY40" i="24"/>
  <c r="CY26" i="24"/>
  <c r="CY21" i="24"/>
  <c r="CV33" i="24"/>
  <c r="DI35" i="24"/>
  <c r="CX35" i="24"/>
  <c r="CW35" i="24"/>
  <c r="CW25" i="24"/>
  <c r="KE70" i="95"/>
  <c r="KE69" i="95" s="1"/>
  <c r="JK70" i="95"/>
  <c r="JK69" i="95" s="1"/>
  <c r="CL58" i="24"/>
  <c r="CE56" i="24"/>
  <c r="CD56" i="24"/>
  <c r="CV28" i="24"/>
  <c r="CG58" i="24"/>
  <c r="CK56" i="24"/>
  <c r="CK59" i="24" s="1"/>
  <c r="CJ56" i="24"/>
  <c r="CJ59" i="24" s="1"/>
  <c r="CI56" i="24"/>
  <c r="CG56" i="24"/>
  <c r="JY70" i="95"/>
  <c r="JY69" i="95" s="1"/>
  <c r="CX40" i="24"/>
  <c r="CX36" i="24"/>
  <c r="CX30" i="24"/>
  <c r="CX26" i="24"/>
  <c r="CX21" i="24"/>
  <c r="CW40" i="24"/>
  <c r="CW36" i="24"/>
  <c r="CW30" i="24"/>
  <c r="CW26" i="24"/>
  <c r="CW21" i="24"/>
  <c r="CS40" i="24"/>
  <c r="BZ56" i="24"/>
  <c r="BW56" i="24"/>
  <c r="BW59" i="24" s="1"/>
  <c r="BY56" i="24"/>
  <c r="BY59" i="24" s="1"/>
  <c r="BX56" i="24"/>
  <c r="BX59" i="24" s="1"/>
  <c r="CY24" i="24"/>
  <c r="CY30" i="24"/>
  <c r="P56" i="24"/>
  <c r="P59" i="24" s="1"/>
  <c r="BQ56" i="24"/>
  <c r="CY35" i="24"/>
  <c r="CY29" i="24"/>
  <c r="CY25" i="24"/>
  <c r="CX39" i="24"/>
  <c r="CX25" i="24"/>
  <c r="CX20" i="24"/>
  <c r="BM56" i="24"/>
  <c r="BM59" i="24" s="1"/>
  <c r="CY37" i="24"/>
  <c r="CY31" i="24"/>
  <c r="CY27" i="24"/>
  <c r="CY22" i="24"/>
  <c r="CX37" i="24"/>
  <c r="CX22" i="24"/>
  <c r="CW37" i="24"/>
  <c r="CW31" i="24"/>
  <c r="CW22" i="24"/>
  <c r="AB56" i="24"/>
  <c r="AB59" i="24" s="1"/>
  <c r="BV69" i="91"/>
  <c r="BV70" i="91" s="1"/>
  <c r="CF56" i="24"/>
  <c r="CX3" i="24"/>
  <c r="L3" i="97" s="1"/>
  <c r="DH3" i="24"/>
  <c r="CY3" i="24"/>
  <c r="M3" i="97" s="1"/>
  <c r="CX38" i="24"/>
  <c r="CX32" i="24"/>
  <c r="CX28" i="24"/>
  <c r="CX24" i="24"/>
  <c r="CW38" i="24"/>
  <c r="CW32" i="24"/>
  <c r="CW3" i="24"/>
  <c r="K3" i="97" s="1"/>
  <c r="CD58" i="24"/>
  <c r="BU58" i="24"/>
  <c r="BS58" i="24"/>
  <c r="BR58" i="24"/>
  <c r="BQ58" i="24"/>
  <c r="X58" i="24"/>
  <c r="J58" i="24"/>
  <c r="J59" i="24" s="1"/>
  <c r="HL70" i="95"/>
  <c r="HL69" i="95" s="1"/>
  <c r="HH70" i="95"/>
  <c r="HH69" i="95" s="1"/>
  <c r="GZ70" i="95"/>
  <c r="GZ69" i="95" s="1"/>
  <c r="GN70" i="95"/>
  <c r="GN69" i="95" s="1"/>
  <c r="GJ70" i="95"/>
  <c r="GJ69" i="95" s="1"/>
  <c r="FT70" i="95"/>
  <c r="FT69" i="95" s="1"/>
  <c r="FL70" i="95"/>
  <c r="FL69" i="95" s="1"/>
  <c r="FH70" i="95"/>
  <c r="FH69" i="95" s="1"/>
  <c r="FD70" i="95"/>
  <c r="FD69" i="95" s="1"/>
  <c r="EV70" i="95"/>
  <c r="EV69" i="95" s="1"/>
  <c r="EN70" i="95"/>
  <c r="EN69" i="95" s="1"/>
  <c r="DX70" i="95"/>
  <c r="DX69" i="95" s="1"/>
  <c r="DL70" i="95"/>
  <c r="DL69" i="95" s="1"/>
  <c r="CJ70" i="95"/>
  <c r="CJ69" i="95" s="1"/>
  <c r="AN70" i="95"/>
  <c r="AN69" i="95" s="1"/>
  <c r="AF70" i="95"/>
  <c r="AF69" i="95" s="1"/>
  <c r="P70" i="95"/>
  <c r="P69" i="95" s="1"/>
  <c r="HC70" i="95"/>
  <c r="HC69" i="95" s="1"/>
  <c r="GY70" i="95"/>
  <c r="GY69" i="95" s="1"/>
  <c r="GQ70" i="95"/>
  <c r="GQ69" i="95" s="1"/>
  <c r="GM70" i="95"/>
  <c r="GM69" i="95" s="1"/>
  <c r="GI70" i="95"/>
  <c r="GI69" i="95" s="1"/>
  <c r="FS70" i="95"/>
  <c r="FS69" i="95" s="1"/>
  <c r="FO70" i="95"/>
  <c r="FO69" i="95" s="1"/>
  <c r="FG70" i="95"/>
  <c r="FG69" i="95" s="1"/>
  <c r="EY70" i="95"/>
  <c r="EY69" i="95" s="1"/>
  <c r="EQ70" i="95"/>
  <c r="EQ69" i="95" s="1"/>
  <c r="EM70" i="95"/>
  <c r="EM69" i="95" s="1"/>
  <c r="EA70" i="95"/>
  <c r="EA69" i="95" s="1"/>
  <c r="CI70" i="95"/>
  <c r="CI69" i="95" s="1"/>
  <c r="BO70" i="95"/>
  <c r="BO69" i="95" s="1"/>
  <c r="AQ70" i="95"/>
  <c r="AQ69" i="95" s="1"/>
  <c r="AE70" i="95"/>
  <c r="AE69" i="95" s="1"/>
  <c r="O70" i="95"/>
  <c r="O69" i="95" s="1"/>
  <c r="HJ70" i="95"/>
  <c r="HJ69" i="95" s="1"/>
  <c r="HF70" i="95"/>
  <c r="HF69" i="95" s="1"/>
  <c r="HB70" i="95"/>
  <c r="HB69" i="95" s="1"/>
  <c r="GT70" i="95"/>
  <c r="GT69" i="95" s="1"/>
  <c r="GL70" i="95"/>
  <c r="GL69" i="95" s="1"/>
  <c r="GH70" i="95"/>
  <c r="GH69" i="95" s="1"/>
  <c r="GD70" i="95"/>
  <c r="GD69" i="95" s="1"/>
  <c r="FJ70" i="95"/>
  <c r="FJ69" i="95" s="1"/>
  <c r="FF70" i="95"/>
  <c r="FF69" i="95" s="1"/>
  <c r="FB70" i="95"/>
  <c r="FB69" i="95" s="1"/>
  <c r="EP70" i="95"/>
  <c r="EP69" i="95" s="1"/>
  <c r="EL70" i="95"/>
  <c r="EL69" i="95" s="1"/>
  <c r="DN70" i="95"/>
  <c r="DN69" i="95" s="1"/>
  <c r="DJ70" i="95"/>
  <c r="DJ69" i="95" s="1"/>
  <c r="CT70" i="95"/>
  <c r="CT69" i="95" s="1"/>
  <c r="CH70" i="95"/>
  <c r="CH69" i="95" s="1"/>
  <c r="AL70" i="95"/>
  <c r="AL69" i="95" s="1"/>
  <c r="HI70" i="95"/>
  <c r="HI69" i="95" s="1"/>
  <c r="HA70" i="95"/>
  <c r="HA69" i="95" s="1"/>
  <c r="GW70" i="95"/>
  <c r="GW69" i="95" s="1"/>
  <c r="FQ70" i="95"/>
  <c r="FQ69" i="95" s="1"/>
  <c r="FI70" i="95"/>
  <c r="FI69" i="95" s="1"/>
  <c r="FE70" i="95"/>
  <c r="FE69" i="95" s="1"/>
  <c r="ES70" i="95"/>
  <c r="ES69" i="95" s="1"/>
  <c r="DQ70" i="95"/>
  <c r="DQ69" i="95" s="1"/>
  <c r="DA70" i="95"/>
  <c r="DA69" i="95" s="1"/>
  <c r="BU70" i="95"/>
  <c r="BU69" i="95" s="1"/>
  <c r="I70" i="95"/>
  <c r="I69" i="95" s="1"/>
  <c r="ED70" i="95"/>
  <c r="ED69" i="95" s="1"/>
  <c r="EG70" i="95"/>
  <c r="EG69" i="95" s="1"/>
  <c r="EC70" i="95"/>
  <c r="EC69" i="95" s="1"/>
  <c r="DI25" i="24"/>
  <c r="CI58" i="24"/>
  <c r="BM70" i="95"/>
  <c r="BM69" i="95" s="1"/>
  <c r="CZ70" i="95"/>
  <c r="CZ69" i="95" s="1"/>
  <c r="HQ70" i="95"/>
  <c r="HQ69" i="95" s="1"/>
  <c r="CM70" i="95"/>
  <c r="CM69" i="95" s="1"/>
  <c r="CK70" i="95"/>
  <c r="CK69" i="95" s="1"/>
  <c r="AW70" i="95"/>
  <c r="AW69" i="95" s="1"/>
  <c r="EF70" i="95"/>
  <c r="EF69" i="95" s="1"/>
  <c r="BG58" i="24"/>
  <c r="CV34" i="24"/>
  <c r="BV56" i="24"/>
  <c r="BV59" i="24" s="1"/>
  <c r="CV38" i="24"/>
  <c r="CV32" i="24"/>
  <c r="CV24" i="24"/>
  <c r="CW39" i="24"/>
  <c r="CW29" i="24"/>
  <c r="CW20" i="24"/>
  <c r="DD4" i="24"/>
  <c r="CF58" i="24"/>
  <c r="BF58" i="24"/>
  <c r="BB58" i="24"/>
  <c r="K58" i="24"/>
  <c r="W58" i="24"/>
  <c r="CQ39" i="24"/>
  <c r="CC58" i="24"/>
  <c r="R58" i="24"/>
  <c r="R59" i="24" s="1"/>
  <c r="AU58" i="24"/>
  <c r="CX34" i="24"/>
  <c r="KX70" i="95"/>
  <c r="KX69" i="95" s="1"/>
  <c r="DI39" i="24"/>
  <c r="DI29" i="24"/>
  <c r="DI20" i="24"/>
  <c r="DI4" i="24"/>
  <c r="CM59" i="24"/>
  <c r="BP56" i="24"/>
  <c r="BP59" i="24" s="1"/>
  <c r="BT58" i="24"/>
  <c r="IM70" i="95"/>
  <c r="IM69" i="95" s="1"/>
  <c r="DH18" i="24"/>
  <c r="CZ18" i="24"/>
  <c r="N11" i="97" s="1"/>
  <c r="DH27" i="24"/>
  <c r="CA59" i="24"/>
  <c r="HO70" i="95"/>
  <c r="HO69" i="95" s="1"/>
  <c r="HM70" i="95"/>
  <c r="HM69" i="95" s="1"/>
  <c r="FX70" i="95"/>
  <c r="FX69" i="95" s="1"/>
  <c r="FW70" i="95"/>
  <c r="FW69" i="95" s="1"/>
  <c r="FV70" i="95"/>
  <c r="FV69" i="95" s="1"/>
  <c r="FY70" i="95"/>
  <c r="FY69" i="95" s="1"/>
  <c r="FU70" i="95"/>
  <c r="FU69" i="95" s="1"/>
  <c r="CL70" i="95"/>
  <c r="CL69" i="95" s="1"/>
  <c r="CO70" i="95"/>
  <c r="CO69" i="95" s="1"/>
  <c r="AV70" i="95"/>
  <c r="AV69" i="95" s="1"/>
  <c r="AT70" i="95"/>
  <c r="AT69" i="95" s="1"/>
  <c r="EE70" i="95"/>
  <c r="EE69" i="95" s="1"/>
  <c r="CH56" i="24"/>
  <c r="CH59" i="24" s="1"/>
  <c r="CV37" i="24"/>
  <c r="CV31" i="24"/>
  <c r="CV27" i="24"/>
  <c r="CV22" i="24"/>
  <c r="DI18" i="24"/>
  <c r="CV40" i="24"/>
  <c r="CV30" i="24"/>
  <c r="CV26" i="24"/>
  <c r="CV21" i="24"/>
  <c r="CV18" i="24"/>
  <c r="J11" i="97" s="1"/>
  <c r="DI36" i="24"/>
  <c r="DI30" i="24"/>
  <c r="DI26" i="24"/>
  <c r="DI21" i="24"/>
  <c r="CV39" i="24"/>
  <c r="CV29" i="24"/>
  <c r="CV25" i="24"/>
  <c r="CV20" i="24"/>
  <c r="DI34" i="24"/>
  <c r="DH37" i="24"/>
  <c r="DH31" i="24"/>
  <c r="DH22" i="24"/>
  <c r="DH40" i="24"/>
  <c r="DH36" i="24"/>
  <c r="DH30" i="24"/>
  <c r="DH26" i="24"/>
  <c r="DH21" i="24"/>
  <c r="BU56" i="24"/>
  <c r="DH39" i="24"/>
  <c r="DH35" i="24"/>
  <c r="DH29" i="24"/>
  <c r="DH25" i="24"/>
  <c r="DH20" i="24"/>
  <c r="DH4" i="24"/>
  <c r="BS56" i="24"/>
  <c r="DH33" i="24"/>
  <c r="CR27" i="24"/>
  <c r="DH38" i="24"/>
  <c r="DH32" i="24"/>
  <c r="DH28" i="24"/>
  <c r="DH24" i="24"/>
  <c r="DH34" i="24"/>
  <c r="F10" i="97"/>
  <c r="GR70" i="95"/>
  <c r="GR69" i="95" s="1"/>
  <c r="GV70" i="95"/>
  <c r="GV69" i="95" s="1"/>
  <c r="GG70" i="95"/>
  <c r="GG69" i="95" s="1"/>
  <c r="GO70" i="95"/>
  <c r="GO69" i="95" s="1"/>
  <c r="BK56" i="24"/>
  <c r="DG18" i="24"/>
  <c r="CV35" i="24"/>
  <c r="CR40" i="24"/>
  <c r="AI58" i="24"/>
  <c r="CR34" i="24"/>
  <c r="AI56" i="24"/>
  <c r="CR24" i="24"/>
  <c r="CR3" i="24"/>
  <c r="F3" i="97" s="1"/>
  <c r="CR33" i="24"/>
  <c r="CR37" i="24"/>
  <c r="CR31" i="24"/>
  <c r="CR22" i="24"/>
  <c r="CR39" i="24"/>
  <c r="CR29" i="24"/>
  <c r="CR20" i="24"/>
  <c r="DH70" i="95"/>
  <c r="DH69" i="95" s="1"/>
  <c r="AE58" i="24"/>
  <c r="AE59" i="24" s="1"/>
  <c r="W56" i="24"/>
  <c r="CR18" i="24"/>
  <c r="F11" i="97" s="1"/>
  <c r="BH70" i="95"/>
  <c r="BH69" i="95" s="1"/>
  <c r="DK70" i="95"/>
  <c r="DK69" i="95" s="1"/>
  <c r="CZ31" i="24"/>
  <c r="AS70" i="95"/>
  <c r="AS69" i="95" s="1"/>
  <c r="CQ34" i="24"/>
  <c r="CQ31" i="24"/>
  <c r="CQ22" i="24"/>
  <c r="FA70" i="95"/>
  <c r="FA69" i="95" s="1"/>
  <c r="AT56" i="24"/>
  <c r="CQ3" i="24"/>
  <c r="E3" i="97" s="1"/>
  <c r="CQ35" i="24"/>
  <c r="CQ29" i="24"/>
  <c r="CQ25" i="24"/>
  <c r="CQ20" i="24"/>
  <c r="DI38" i="24"/>
  <c r="DI28" i="24"/>
  <c r="CC56" i="24"/>
  <c r="DI24" i="24"/>
  <c r="DI32" i="24"/>
  <c r="DI3" i="24"/>
  <c r="DI33" i="24"/>
  <c r="DI37" i="24"/>
  <c r="DI31" i="24"/>
  <c r="DI27" i="24"/>
  <c r="DI22" i="24"/>
  <c r="CB60" i="24"/>
  <c r="CZ20" i="24"/>
  <c r="CZ37" i="24"/>
  <c r="CZ27" i="24"/>
  <c r="CZ22" i="24"/>
  <c r="EJ70" i="95"/>
  <c r="EJ69" i="95" s="1"/>
  <c r="EK70" i="95"/>
  <c r="EK69" i="95" s="1"/>
  <c r="ER70" i="95"/>
  <c r="ER69" i="95" s="1"/>
  <c r="CR36" i="24"/>
  <c r="CR30" i="24"/>
  <c r="CR26" i="24"/>
  <c r="CR21" i="24"/>
  <c r="AU56" i="24"/>
  <c r="AV58" i="24"/>
  <c r="FC70" i="95"/>
  <c r="FC69" i="95" s="1"/>
  <c r="DF18" i="24"/>
  <c r="GA70" i="95"/>
  <c r="GA69" i="95" s="1"/>
  <c r="BH58" i="24"/>
  <c r="DG30" i="24"/>
  <c r="CZ39" i="24"/>
  <c r="CZ35" i="24"/>
  <c r="CZ29" i="24"/>
  <c r="HP70" i="95"/>
  <c r="HP69" i="95" s="1"/>
  <c r="GB70" i="95"/>
  <c r="GB69" i="95" s="1"/>
  <c r="BI56" i="24"/>
  <c r="BI59" i="24" s="1"/>
  <c r="CZ3" i="24"/>
  <c r="N3" i="97" s="1"/>
  <c r="BO58" i="24"/>
  <c r="BO59" i="24" s="1"/>
  <c r="HN70" i="95"/>
  <c r="HN69" i="95" s="1"/>
  <c r="CS32" i="24"/>
  <c r="I10" i="97"/>
  <c r="GU70" i="95"/>
  <c r="GU69" i="95" s="1"/>
  <c r="DG40" i="24"/>
  <c r="DG21" i="24"/>
  <c r="DG31" i="24"/>
  <c r="DG27" i="24"/>
  <c r="DG3" i="24"/>
  <c r="DG24" i="24"/>
  <c r="DG34" i="24"/>
  <c r="BD56" i="24"/>
  <c r="BD59" i="24" s="1"/>
  <c r="FZ70" i="95"/>
  <c r="FZ69" i="95" s="1"/>
  <c r="AR60" i="24"/>
  <c r="AW58" i="24"/>
  <c r="EZ70" i="95"/>
  <c r="EZ69" i="95" s="1"/>
  <c r="DF40" i="24"/>
  <c r="DF30" i="24"/>
  <c r="DF21" i="24"/>
  <c r="AS56" i="24"/>
  <c r="EI70" i="95"/>
  <c r="EI69" i="95" s="1"/>
  <c r="DF20" i="24"/>
  <c r="DF35" i="24"/>
  <c r="DF37" i="24"/>
  <c r="EH70" i="95"/>
  <c r="EH69" i="95" s="1"/>
  <c r="DF24" i="24"/>
  <c r="CO35" i="24"/>
  <c r="DF34" i="24"/>
  <c r="DF33" i="24"/>
  <c r="CT39" i="24"/>
  <c r="CT35" i="24"/>
  <c r="CT29" i="24"/>
  <c r="CT25" i="24"/>
  <c r="CT20" i="24"/>
  <c r="DF36" i="24"/>
  <c r="DF26" i="24"/>
  <c r="CT37" i="24"/>
  <c r="CQ38" i="24"/>
  <c r="AJ56" i="24"/>
  <c r="AK58" i="24"/>
  <c r="DI70" i="95"/>
  <c r="DI69" i="95" s="1"/>
  <c r="CZ34" i="24"/>
  <c r="CT31" i="24"/>
  <c r="CT22" i="24"/>
  <c r="CU27" i="24"/>
  <c r="CU20" i="24"/>
  <c r="DD35" i="24"/>
  <c r="AD69" i="91"/>
  <c r="AD70" i="91" s="1"/>
  <c r="Q56" i="24"/>
  <c r="Q59" i="24" s="1"/>
  <c r="BH69" i="91"/>
  <c r="BH70" i="91" s="1"/>
  <c r="BN56" i="24"/>
  <c r="BN59" i="24" s="1"/>
  <c r="DG35" i="24"/>
  <c r="DG29" i="24"/>
  <c r="AB69" i="91"/>
  <c r="AB70" i="91" s="1"/>
  <c r="AR69" i="91"/>
  <c r="AR70" i="91" s="1"/>
  <c r="BB56" i="24"/>
  <c r="DF31" i="24"/>
  <c r="BF69" i="91"/>
  <c r="BF70" i="91" s="1"/>
  <c r="CS28" i="24"/>
  <c r="CR38" i="24"/>
  <c r="DG38" i="24"/>
  <c r="DG32" i="24"/>
  <c r="BE56" i="24"/>
  <c r="CX29" i="24"/>
  <c r="DF25" i="24"/>
  <c r="CR35" i="24"/>
  <c r="CR25" i="24"/>
  <c r="AT58" i="24"/>
  <c r="DG4" i="24"/>
  <c r="DG39" i="24"/>
  <c r="CX58" i="24"/>
  <c r="CY39" i="24"/>
  <c r="CY20" i="24"/>
  <c r="CS38" i="24"/>
  <c r="CS24" i="24"/>
  <c r="CS3" i="24"/>
  <c r="G3" i="97" s="1"/>
  <c r="CR32" i="24"/>
  <c r="CR28" i="24"/>
  <c r="K56" i="24"/>
  <c r="BJ56" i="24"/>
  <c r="BJ59" i="24" s="1"/>
  <c r="BH56" i="24"/>
  <c r="DG28" i="24"/>
  <c r="BF56" i="24"/>
  <c r="BD60" i="24"/>
  <c r="DG25" i="24"/>
  <c r="DG20" i="24"/>
  <c r="DG36" i="24"/>
  <c r="DG26" i="24"/>
  <c r="AX56" i="24"/>
  <c r="AX59" i="24" s="1"/>
  <c r="AW56" i="24"/>
  <c r="AV56" i="24"/>
  <c r="DF38" i="24"/>
  <c r="DF32" i="24"/>
  <c r="DF28" i="24"/>
  <c r="DF3" i="24"/>
  <c r="AN56" i="24"/>
  <c r="AL56" i="24"/>
  <c r="AL59" i="24" s="1"/>
  <c r="AK56" i="24"/>
  <c r="AC56" i="24"/>
  <c r="AC59" i="24" s="1"/>
  <c r="DG37" i="24"/>
  <c r="DG22" i="24"/>
  <c r="DF27" i="24"/>
  <c r="DF22" i="24"/>
  <c r="AR56" i="24"/>
  <c r="O58" i="24"/>
  <c r="BA70" i="95"/>
  <c r="BA69" i="95" s="1"/>
  <c r="V70" i="95"/>
  <c r="V69" i="95" s="1"/>
  <c r="CP39" i="24"/>
  <c r="CP35" i="24"/>
  <c r="CP29" i="24"/>
  <c r="CP25" i="24"/>
  <c r="CP20" i="24"/>
  <c r="DF29" i="24"/>
  <c r="AA58" i="24"/>
  <c r="AA59" i="24" s="1"/>
  <c r="DE37" i="24"/>
  <c r="DE22" i="24"/>
  <c r="DE35" i="24"/>
  <c r="DE29" i="24"/>
  <c r="DE25" i="24"/>
  <c r="BK58" i="24"/>
  <c r="BC58" i="24"/>
  <c r="BC59" i="24" s="1"/>
  <c r="AS58" i="24"/>
  <c r="AZ56" i="24"/>
  <c r="AZ59" i="24" s="1"/>
  <c r="DF39" i="24"/>
  <c r="BE58" i="24"/>
  <c r="AY58" i="24"/>
  <c r="AY59" i="24" s="1"/>
  <c r="CU26" i="24"/>
  <c r="CT30" i="24"/>
  <c r="CT26" i="24"/>
  <c r="CT21" i="24"/>
  <c r="CS35" i="24"/>
  <c r="CS25" i="24"/>
  <c r="CS20" i="24"/>
  <c r="CQ32" i="24"/>
  <c r="CQ28" i="24"/>
  <c r="CQ24" i="24"/>
  <c r="CW58" i="24"/>
  <c r="AP58" i="24"/>
  <c r="AP59" i="24" s="1"/>
  <c r="AJ58" i="24"/>
  <c r="AH58" i="24"/>
  <c r="AQ58" i="24"/>
  <c r="AQ59" i="24" s="1"/>
  <c r="DG33" i="24"/>
  <c r="CU28" i="24"/>
  <c r="CU3" i="24"/>
  <c r="I3" i="97" s="1"/>
  <c r="CT32" i="24"/>
  <c r="CS37" i="24"/>
  <c r="CS31" i="24"/>
  <c r="CS27" i="24"/>
  <c r="CS22" i="24"/>
  <c r="CQ26" i="24"/>
  <c r="AD58" i="24"/>
  <c r="N10" i="97"/>
  <c r="S58" i="24"/>
  <c r="S59" i="24" s="1"/>
  <c r="BE70" i="95"/>
  <c r="BE69" i="95" s="1"/>
  <c r="AU70" i="95"/>
  <c r="AU69" i="95" s="1"/>
  <c r="DE18" i="24"/>
  <c r="BR70" i="95"/>
  <c r="BR69" i="95" s="1"/>
  <c r="M70" i="95"/>
  <c r="M69" i="95" s="1"/>
  <c r="CQ37" i="24"/>
  <c r="CQ27" i="24"/>
  <c r="H10" i="97"/>
  <c r="DE20" i="24"/>
  <c r="V58" i="24"/>
  <c r="CS70" i="95"/>
  <c r="CS69" i="95" s="1"/>
  <c r="CW70" i="95"/>
  <c r="CW69" i="95" s="1"/>
  <c r="CR70" i="95"/>
  <c r="CR69" i="95" s="1"/>
  <c r="G10" i="97"/>
  <c r="Y58" i="24"/>
  <c r="BQ70" i="95"/>
  <c r="BQ69" i="95" s="1"/>
  <c r="AZ70" i="95"/>
  <c r="AZ69" i="95" s="1"/>
  <c r="AY70" i="95"/>
  <c r="AY69" i="95" s="1"/>
  <c r="DD32" i="24"/>
  <c r="DD39" i="24"/>
  <c r="DD25" i="24"/>
  <c r="DD20" i="24"/>
  <c r="AX70" i="95"/>
  <c r="AX69" i="95" s="1"/>
  <c r="DD18" i="24"/>
  <c r="CO26" i="24"/>
  <c r="CO34" i="24"/>
  <c r="CO28" i="24"/>
  <c r="CO22" i="24"/>
  <c r="BP70" i="95"/>
  <c r="BP69" i="95" s="1"/>
  <c r="CT40" i="24"/>
  <c r="Y56" i="24"/>
  <c r="CT33" i="24"/>
  <c r="CO30" i="24"/>
  <c r="AA70" i="95"/>
  <c r="AA69" i="95" s="1"/>
  <c r="U70" i="95"/>
  <c r="U69" i="95" s="1"/>
  <c r="H70" i="95"/>
  <c r="H69" i="95" s="1"/>
  <c r="CP31" i="24"/>
  <c r="CP27" i="24"/>
  <c r="M69" i="91"/>
  <c r="M70" i="91" s="1"/>
  <c r="CQ33" i="24"/>
  <c r="E10" i="97"/>
  <c r="I58" i="24"/>
  <c r="I59" i="24" s="1"/>
  <c r="CO39" i="24"/>
  <c r="G70" i="95"/>
  <c r="G69" i="95" s="1"/>
  <c r="CP34" i="24"/>
  <c r="L58" i="24"/>
  <c r="L56" i="24"/>
  <c r="CS36" i="24"/>
  <c r="CS30" i="24"/>
  <c r="CS26" i="24"/>
  <c r="CS21" i="24"/>
  <c r="CO32" i="24"/>
  <c r="CU34" i="24"/>
  <c r="DC37" i="24"/>
  <c r="F70" i="95"/>
  <c r="F69" i="95" s="1"/>
  <c r="CO36" i="24"/>
  <c r="H56" i="24"/>
  <c r="H59" i="24" s="1"/>
  <c r="CP38" i="24"/>
  <c r="CP3" i="24"/>
  <c r="D3" i="97" s="1"/>
  <c r="CP18" i="24"/>
  <c r="D11" i="97" s="1"/>
  <c r="D10" i="97"/>
  <c r="Y70" i="95"/>
  <c r="Y69" i="95" s="1"/>
  <c r="DC31" i="24"/>
  <c r="CO33" i="24"/>
  <c r="N56" i="24"/>
  <c r="N59" i="24" s="1"/>
  <c r="CU30" i="24"/>
  <c r="CU36" i="24"/>
  <c r="CU39" i="24"/>
  <c r="CU35" i="24"/>
  <c r="CU29" i="24"/>
  <c r="CU25" i="24"/>
  <c r="DC3" i="24"/>
  <c r="DC36" i="24"/>
  <c r="CU40" i="24"/>
  <c r="CU21" i="24"/>
  <c r="DC38" i="24"/>
  <c r="DC28" i="24"/>
  <c r="DC24" i="24"/>
  <c r="CU38" i="24"/>
  <c r="CU32" i="24"/>
  <c r="CU24" i="24"/>
  <c r="CU18" i="24"/>
  <c r="I11" i="97" s="1"/>
  <c r="DC27" i="24"/>
  <c r="DC22" i="24"/>
  <c r="CU37" i="24"/>
  <c r="CU31" i="24"/>
  <c r="CU22" i="24"/>
  <c r="CU33" i="24"/>
  <c r="DC26" i="24"/>
  <c r="DC30" i="24"/>
  <c r="CT36" i="24"/>
  <c r="CT27" i="24"/>
  <c r="M58" i="24"/>
  <c r="DC20" i="24"/>
  <c r="DC35" i="24"/>
  <c r="CT28" i="24"/>
  <c r="CT3" i="24"/>
  <c r="H3" i="97" s="1"/>
  <c r="CS33" i="24"/>
  <c r="X56" i="24"/>
  <c r="DD27" i="24"/>
  <c r="CS34" i="24"/>
  <c r="CS18" i="24"/>
  <c r="G11" i="97" s="1"/>
  <c r="CP70" i="95"/>
  <c r="CP69" i="95" s="1"/>
  <c r="CO29" i="24"/>
  <c r="CO20" i="24"/>
  <c r="DE4" i="24"/>
  <c r="DE39" i="24"/>
  <c r="CO25" i="24"/>
  <c r="CP37" i="24"/>
  <c r="DE31" i="24"/>
  <c r="DE27" i="24"/>
  <c r="CP22" i="24"/>
  <c r="AG58" i="24"/>
  <c r="AQ69" i="91"/>
  <c r="AQ70" i="91" s="1"/>
  <c r="AH56" i="24"/>
  <c r="CQ40" i="24"/>
  <c r="CQ36" i="24"/>
  <c r="CQ30" i="24"/>
  <c r="CQ21" i="24"/>
  <c r="DE40" i="24"/>
  <c r="DE21" i="24"/>
  <c r="DE38" i="24"/>
  <c r="CP32" i="24"/>
  <c r="CP28" i="24"/>
  <c r="CP24" i="24"/>
  <c r="CQ70" i="95"/>
  <c r="CQ69" i="95" s="1"/>
  <c r="DE34" i="24"/>
  <c r="AF60" i="24"/>
  <c r="DE28" i="24"/>
  <c r="DE24" i="24"/>
  <c r="CQ18" i="24"/>
  <c r="E11" i="97" s="1"/>
  <c r="DE32" i="24"/>
  <c r="DE33" i="24"/>
  <c r="CO21" i="24"/>
  <c r="CO40" i="24"/>
  <c r="DE36" i="24"/>
  <c r="DE30" i="24"/>
  <c r="DE26" i="24"/>
  <c r="CO38" i="24"/>
  <c r="CO24" i="24"/>
  <c r="CO3" i="24"/>
  <c r="C3" i="97" s="1"/>
  <c r="AF56" i="24"/>
  <c r="AF59" i="24" s="1"/>
  <c r="CO37" i="24"/>
  <c r="CO31" i="24"/>
  <c r="CO18" i="24"/>
  <c r="C11" i="97" s="1"/>
  <c r="CP33" i="24"/>
  <c r="AG56" i="24"/>
  <c r="CP36" i="24"/>
  <c r="CP30" i="24"/>
  <c r="CP21" i="24"/>
  <c r="DE3" i="24"/>
  <c r="T56" i="24"/>
  <c r="T59" i="24" s="1"/>
  <c r="CO58" i="24"/>
  <c r="CO27" i="24"/>
  <c r="CT34" i="24"/>
  <c r="DD3" i="24"/>
  <c r="BS70" i="95"/>
  <c r="CT18" i="24"/>
  <c r="H11" i="97" s="1"/>
  <c r="U56" i="24"/>
  <c r="DD24" i="24"/>
  <c r="V56" i="24"/>
  <c r="Z56" i="24"/>
  <c r="Z59" i="24" s="1"/>
  <c r="DD28" i="24"/>
  <c r="DD37" i="24"/>
  <c r="CZ33" i="24"/>
  <c r="BP60" i="24"/>
  <c r="CT24" i="24"/>
  <c r="X70" i="95"/>
  <c r="DC34" i="24"/>
  <c r="DC32" i="24"/>
  <c r="DC39" i="24"/>
  <c r="DC29" i="24"/>
  <c r="CZ56" i="24"/>
  <c r="CZ38" i="24"/>
  <c r="CZ32" i="24"/>
  <c r="CZ24" i="24"/>
  <c r="H60" i="24"/>
  <c r="CS29" i="24"/>
  <c r="DC25" i="24"/>
  <c r="CS39" i="24"/>
  <c r="DC33" i="24"/>
  <c r="DC18" i="24"/>
  <c r="DC21" i="24"/>
  <c r="DC40" i="24"/>
  <c r="M56" i="24"/>
  <c r="CT38" i="24"/>
  <c r="CZ28" i="24"/>
  <c r="T60" i="24"/>
  <c r="DD38" i="24"/>
  <c r="DD31" i="24"/>
  <c r="DD29" i="24"/>
  <c r="DD22" i="24"/>
  <c r="DD33" i="24"/>
  <c r="DD34" i="24"/>
  <c r="CU58" i="24"/>
  <c r="DD36" i="24"/>
  <c r="DD40" i="24"/>
  <c r="DD26" i="24"/>
  <c r="U58" i="24"/>
  <c r="CP26" i="24"/>
  <c r="DD30" i="24"/>
  <c r="DD21" i="24"/>
  <c r="CP40" i="24"/>
  <c r="DA7" i="24" l="1"/>
  <c r="DA5" i="24"/>
  <c r="DA6" i="24"/>
  <c r="DA4" i="24"/>
  <c r="F5" i="97"/>
  <c r="F6" i="97"/>
  <c r="F8" i="97"/>
  <c r="O8" i="97" s="1"/>
  <c r="V8" i="97" s="1"/>
  <c r="BR59" i="24"/>
  <c r="CE59" i="24"/>
  <c r="CG59" i="24"/>
  <c r="CL59" i="24"/>
  <c r="CI59" i="24"/>
  <c r="C10" i="97"/>
  <c r="O10" i="97" s="1"/>
  <c r="U10" i="97" s="1"/>
  <c r="AT59" i="24"/>
  <c r="BG59" i="24"/>
  <c r="AJ59" i="24"/>
  <c r="AH59" i="24"/>
  <c r="AU59" i="24"/>
  <c r="BF59" i="24"/>
  <c r="AV59" i="24"/>
  <c r="W59" i="24"/>
  <c r="JJ71" i="95"/>
  <c r="BT59" i="24"/>
  <c r="CV56" i="24"/>
  <c r="K59" i="24"/>
  <c r="BS59" i="24"/>
  <c r="L12" i="97"/>
  <c r="L14" i="97" s="1"/>
  <c r="BU59" i="24"/>
  <c r="BZ59" i="24"/>
  <c r="K12" i="97"/>
  <c r="K14" i="97" s="1"/>
  <c r="CC59" i="24"/>
  <c r="CD59" i="24"/>
  <c r="CB57" i="24"/>
  <c r="CB61" i="24" s="1"/>
  <c r="M12" i="97"/>
  <c r="M14" i="97" s="1"/>
  <c r="J12" i="97"/>
  <c r="J14" i="97" s="1"/>
  <c r="BQ59" i="24"/>
  <c r="BP57" i="24"/>
  <c r="BP61" i="24" s="1"/>
  <c r="CR58" i="24"/>
  <c r="F13" i="97" s="1"/>
  <c r="CW56" i="24"/>
  <c r="CW59" i="24" s="1"/>
  <c r="CF59" i="24"/>
  <c r="CS58" i="24"/>
  <c r="G13" i="97" s="1"/>
  <c r="HR71" i="95"/>
  <c r="N12" i="97"/>
  <c r="N14" i="97" s="1"/>
  <c r="BH59" i="24"/>
  <c r="BK59" i="24"/>
  <c r="CZ58" i="24"/>
  <c r="N13" i="97" s="1"/>
  <c r="CR56" i="24"/>
  <c r="AI59" i="24"/>
  <c r="Y59" i="24"/>
  <c r="CQ58" i="24"/>
  <c r="E13" i="97" s="1"/>
  <c r="AS59" i="24"/>
  <c r="AW59" i="24"/>
  <c r="BE59" i="24"/>
  <c r="BD57" i="24"/>
  <c r="BD61" i="24" s="1"/>
  <c r="FZ71" i="95"/>
  <c r="H12" i="97"/>
  <c r="H14" i="97" s="1"/>
  <c r="EH71" i="95"/>
  <c r="E12" i="97"/>
  <c r="E14" i="97" s="1"/>
  <c r="CQ56" i="24"/>
  <c r="G12" i="97"/>
  <c r="G14" i="97" s="1"/>
  <c r="AK59" i="24"/>
  <c r="CP71" i="95"/>
  <c r="O4" i="97"/>
  <c r="W4" i="97" s="1"/>
  <c r="I12" i="97"/>
  <c r="I14" i="97" s="1"/>
  <c r="DA26" i="24"/>
  <c r="DA20" i="24"/>
  <c r="DA35" i="24"/>
  <c r="CV58" i="24"/>
  <c r="O59" i="24"/>
  <c r="CY56" i="24"/>
  <c r="BB59" i="24"/>
  <c r="L59" i="24"/>
  <c r="CY58" i="24"/>
  <c r="AD59" i="24"/>
  <c r="K13" i="97"/>
  <c r="AN59" i="24"/>
  <c r="CX56" i="24"/>
  <c r="CX59" i="24" s="1"/>
  <c r="CP56" i="24"/>
  <c r="AR59" i="24"/>
  <c r="AR57" i="24"/>
  <c r="AR61" i="24" s="1"/>
  <c r="L13" i="97"/>
  <c r="CT58" i="24"/>
  <c r="H13" i="97" s="1"/>
  <c r="AX71" i="95"/>
  <c r="BS69" i="95"/>
  <c r="T57" i="24"/>
  <c r="T61" i="24" s="1"/>
  <c r="CU56" i="24"/>
  <c r="CU59" i="24" s="1"/>
  <c r="DG69" i="91"/>
  <c r="H57" i="24"/>
  <c r="H61" i="24" s="1"/>
  <c r="CS56" i="24"/>
  <c r="DA34" i="24"/>
  <c r="DA32" i="24"/>
  <c r="DA31" i="24"/>
  <c r="DA37" i="24"/>
  <c r="DA22" i="24"/>
  <c r="DA39" i="24"/>
  <c r="DA21" i="24"/>
  <c r="LB70" i="95"/>
  <c r="DA33" i="24"/>
  <c r="C12" i="97"/>
  <c r="O12" i="97" s="1"/>
  <c r="Q12" i="97" s="1"/>
  <c r="DA27" i="24"/>
  <c r="O3" i="97"/>
  <c r="R3" i="97" s="1"/>
  <c r="DA3" i="24"/>
  <c r="F71" i="95"/>
  <c r="X69" i="95"/>
  <c r="DA25" i="24"/>
  <c r="DA29" i="24"/>
  <c r="DA30" i="24"/>
  <c r="DA36" i="24"/>
  <c r="DA38" i="24"/>
  <c r="X59" i="24"/>
  <c r="DA18" i="24"/>
  <c r="AF57" i="24"/>
  <c r="AF61" i="24" s="1"/>
  <c r="DA28" i="24"/>
  <c r="DG70" i="91"/>
  <c r="DG71" i="91" s="1"/>
  <c r="DA40" i="24"/>
  <c r="CO56" i="24"/>
  <c r="CO59" i="24" s="1"/>
  <c r="AG59" i="24"/>
  <c r="C13" i="97"/>
  <c r="DA24" i="24"/>
  <c r="V59" i="24"/>
  <c r="CT56" i="24"/>
  <c r="M59" i="24"/>
  <c r="I13" i="97"/>
  <c r="O9" i="97"/>
  <c r="R9" i="97" s="1"/>
  <c r="D5" i="97"/>
  <c r="O11" i="97"/>
  <c r="R11" i="97" s="1"/>
  <c r="U59" i="24"/>
  <c r="CP58" i="24"/>
  <c r="F12" i="97" l="1"/>
  <c r="F14" i="97" s="1"/>
  <c r="O6" i="97"/>
  <c r="AA6" i="97" s="1"/>
  <c r="LB69" i="95"/>
  <c r="CS59" i="24"/>
  <c r="CR59" i="24"/>
  <c r="CZ59" i="24"/>
  <c r="CQ59" i="24"/>
  <c r="S10" i="97"/>
  <c r="W10" i="97"/>
  <c r="AA4" i="97"/>
  <c r="U4" i="97"/>
  <c r="AB4" i="97"/>
  <c r="Q4" i="97"/>
  <c r="Z4" i="97"/>
  <c r="T4" i="97"/>
  <c r="V4" i="97"/>
  <c r="S4" i="97"/>
  <c r="Y4" i="97"/>
  <c r="X4" i="97"/>
  <c r="R4" i="97"/>
  <c r="CY59" i="24"/>
  <c r="M13" i="97"/>
  <c r="J13" i="97"/>
  <c r="CV59" i="24"/>
  <c r="V10" i="97"/>
  <c r="R10" i="97"/>
  <c r="AA10" i="97"/>
  <c r="X10" i="97"/>
  <c r="Q10" i="97"/>
  <c r="Z10" i="97"/>
  <c r="T10" i="97"/>
  <c r="Y10" i="97"/>
  <c r="AB10" i="97"/>
  <c r="AB8" i="97"/>
  <c r="V3" i="97"/>
  <c r="C14" i="97"/>
  <c r="W3" i="97"/>
  <c r="S8" i="97"/>
  <c r="U3" i="97"/>
  <c r="S3" i="97"/>
  <c r="U8" i="97"/>
  <c r="Y3" i="97"/>
  <c r="AA3" i="97"/>
  <c r="AB3" i="97"/>
  <c r="Q3" i="97"/>
  <c r="Z3" i="97"/>
  <c r="T3" i="97"/>
  <c r="X3" i="97"/>
  <c r="X8" i="97"/>
  <c r="R8" i="97"/>
  <c r="AA8" i="97"/>
  <c r="T8" i="97"/>
  <c r="W8" i="97"/>
  <c r="Y8" i="97"/>
  <c r="Z8" i="97"/>
  <c r="Q8" i="97"/>
  <c r="CO57" i="24"/>
  <c r="LB71" i="95" s="1"/>
  <c r="Z12" i="97"/>
  <c r="S12" i="97"/>
  <c r="AB12" i="97"/>
  <c r="V12" i="97"/>
  <c r="Y12" i="97"/>
  <c r="O14" i="97"/>
  <c r="X12" i="97"/>
  <c r="W12" i="97"/>
  <c r="AA12" i="97"/>
  <c r="U12" i="97"/>
  <c r="CT59" i="24"/>
  <c r="CP59" i="24"/>
  <c r="D13" i="97"/>
  <c r="O5" i="97"/>
  <c r="D12" i="97"/>
  <c r="W11" i="97"/>
  <c r="AB11" i="97"/>
  <c r="X11" i="97"/>
  <c r="AA11" i="97"/>
  <c r="Y11" i="97"/>
  <c r="Q11" i="97"/>
  <c r="V11" i="97"/>
  <c r="Z11" i="97"/>
  <c r="U11" i="97"/>
  <c r="T11" i="97"/>
  <c r="S11" i="97"/>
  <c r="S9" i="97"/>
  <c r="T9" i="97"/>
  <c r="AA9" i="97"/>
  <c r="AB9" i="97"/>
  <c r="X9" i="97"/>
  <c r="Y9" i="97"/>
  <c r="Q9" i="97"/>
  <c r="U9" i="97"/>
  <c r="W9" i="97"/>
  <c r="Z9" i="97"/>
  <c r="V9" i="97"/>
  <c r="T12" i="97" l="1"/>
  <c r="Q6" i="97"/>
  <c r="AB6" i="97"/>
  <c r="Z6" i="97"/>
  <c r="W6" i="97"/>
  <c r="X6" i="97"/>
  <c r="S6" i="97"/>
  <c r="Y6" i="97"/>
  <c r="U6" i="97"/>
  <c r="V6" i="97"/>
  <c r="T6" i="97"/>
  <c r="R6" i="97"/>
  <c r="O13" i="97"/>
  <c r="LB72" i="95"/>
  <c r="W5" i="97"/>
  <c r="V5" i="97"/>
  <c r="Y5" i="97"/>
  <c r="T5" i="97"/>
  <c r="Z5" i="97"/>
  <c r="S5" i="97"/>
  <c r="X5" i="97"/>
  <c r="AA5" i="97"/>
  <c r="U5" i="97"/>
  <c r="AB5" i="97"/>
  <c r="Q5" i="97"/>
  <c r="R5" i="97"/>
  <c r="R12" i="97"/>
  <c r="D14" i="9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Joana Raquel Gomes</author>
    <author>Jorge Silva Costa</author>
    <author>Joao Amorim Costa</author>
  </authors>
  <commentList>
    <comment ref="AU9" authorId="0" shapeId="0" xr:uid="{005758A1-D5D0-4233-981F-D02E6DF3C3EC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LOCALIZADA 07h00
HA </t>
        </r>
      </text>
    </comment>
    <comment ref="CL9" authorId="1" shapeId="0" xr:uid="{31347D4E-3323-4090-83B6-E6EC7B744E75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POWER JUMP 7H00</t>
        </r>
      </text>
    </comment>
    <comment ref="CO9" authorId="0" shapeId="0" xr:uid="{18044FEF-A074-477D-97B1-48BBAFFC550C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RPM 7H00</t>
        </r>
      </text>
    </comment>
    <comment ref="EH9" authorId="0" shapeId="0" xr:uid="{17402774-8FFB-45E8-9477-6CFECDFDF59E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BODY PUMP 7H00
LF</t>
        </r>
      </text>
    </comment>
    <comment ref="FY9" authorId="1" shapeId="0" xr:uid="{5C1436C8-03A4-4100-8EF1-04252D602CA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BODY COMBAT 7H00
LF</t>
        </r>
      </text>
    </comment>
    <comment ref="GA9" authorId="2" shapeId="0" xr:uid="{7BE043F8-CD4C-42D7-81FE-4B4FFCE4CF5A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PILATES 7H00
CR</t>
        </r>
      </text>
    </comment>
    <comment ref="HT9" authorId="0" shapeId="0" xr:uid="{B40F3EFE-3769-49D6-8302-35E905B8D1D0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RPM 7H00</t>
        </r>
      </text>
    </comment>
    <comment ref="AV13" authorId="2" shapeId="0" xr:uid="{CCB969EF-1DB4-4DA9-A1FA-8ED77359FA43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PILATES
HA
</t>
        </r>
      </text>
    </comment>
    <comment ref="CP13" authorId="0" shapeId="0" xr:uid="{09DCFE19-DA10-4A33-A6D8-89E3F216A84F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 
MP</t>
        </r>
      </text>
    </comment>
    <comment ref="EG13" authorId="2" shapeId="0" xr:uid="{91D48E6E-C7A8-4FBD-80B6-C2F5F2286FC4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PILATES 8H00
LF</t>
        </r>
      </text>
    </comment>
    <comment ref="EK13" authorId="1" shapeId="0" xr:uid="{5728D532-FA5F-4046-99A6-AB1974E4CC99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HIDROGINÁSTICA
RG</t>
        </r>
      </text>
    </comment>
    <comment ref="GC13" authorId="0" shapeId="0" xr:uid="{DD1F94FE-F4E8-4FC7-A4C3-6C33CACA18F9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 8H00
CR</t>
        </r>
      </text>
    </comment>
    <comment ref="GZ16" authorId="2" shapeId="0" xr:uid="{3897DDD3-3F80-4A13-A0D3-C928BDE83641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O Gatinho
</t>
        </r>
      </text>
    </comment>
    <comment ref="HA16" authorId="2" shapeId="0" xr:uid="{6801440B-13DA-46B0-9829-A7797028EE6C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O Gatinho</t>
        </r>
      </text>
    </comment>
    <comment ref="AC17" authorId="2" shapeId="0" xr:uid="{28DD1062-196B-4304-8036-69E087A0F434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O Gatinho
</t>
        </r>
      </text>
    </comment>
    <comment ref="AD17" authorId="2" shapeId="0" xr:uid="{74DD5310-7CA2-4FEA-BBF8-70785A06982A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O Gatinho</t>
        </r>
      </text>
    </comment>
    <comment ref="AV17" authorId="0" shapeId="0" xr:uid="{320A45AA-F4AC-4451-94C6-3F2988522891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Localizada 9h00
</t>
        </r>
      </text>
    </comment>
    <comment ref="CM17" authorId="1" shapeId="0" xr:uid="{DA1E3A0F-A65D-435D-897D-D20B650332FB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BODY COMBAT 9H00
CR</t>
        </r>
      </text>
    </comment>
    <comment ref="EG17" authorId="2" shapeId="0" xr:uid="{5709BA64-5A53-4545-9373-C542CDA3CB2E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Pilates 9h00
LF</t>
        </r>
      </text>
    </comment>
    <comment ref="FZ17" authorId="2" shapeId="0" xr:uid="{26C6313E-F7A7-4F2C-9EB5-01BD4055F217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BODY BALANCE 9H00
LF
</t>
        </r>
      </text>
    </comment>
    <comment ref="GB17" authorId="1" shapeId="0" xr:uid="{26BECC06-5AF7-4493-BA79-69A10E47874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RPM 9H00
MS</t>
        </r>
      </text>
    </comment>
    <comment ref="HR17" authorId="1" shapeId="0" xr:uid="{ADE58701-0702-4B26-8A6B-CB54C41F112C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BODY PUMP 9H00
LF</t>
        </r>
      </text>
    </comment>
    <comment ref="JK18" authorId="0" shapeId="0" xr:uid="{98B3D2CE-1BB5-45E2-9963-A00A71B5594B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Pilates</t>
        </r>
      </text>
    </comment>
    <comment ref="JM18" authorId="0" shapeId="0" xr:uid="{BB74B383-4282-4485-8AA0-413720071A44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</t>
        </r>
      </text>
    </comment>
    <comment ref="LC18" authorId="1" shapeId="0" xr:uid="{37706832-13FC-41F9-8FAF-5AD455C272FC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PILATES</t>
        </r>
      </text>
    </comment>
    <comment ref="LE18" authorId="1" shapeId="0" xr:uid="{B701A438-D890-4068-ADCB-8AADE4CF8FD5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Hidroginástica</t>
        </r>
      </text>
    </comment>
    <comment ref="BU19" authorId="1" shapeId="0" xr:uid="{B13E8B82-5605-4AF0-976C-BC8D759519A2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Ratinhos</t>
        </r>
      </text>
    </comment>
    <comment ref="DP19" authorId="1" shapeId="0" xr:uid="{EB9E6C15-6948-4448-8237-DE303A50CAFA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PIMPOLHO</t>
        </r>
      </text>
    </comment>
    <comment ref="DQ19" authorId="1" shapeId="0" xr:uid="{6F87B3FF-29B5-45FE-A399-5B2A34062145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PIMPOLHO</t>
        </r>
      </text>
    </comment>
    <comment ref="DR19" authorId="2" shapeId="0" xr:uid="{4B0E27EA-1B78-4CC6-8BEE-EA8BB7C76124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O Pimpolho
</t>
        </r>
      </text>
    </comment>
    <comment ref="DS19" authorId="2" shapeId="0" xr:uid="{B483FC76-84D5-4C21-B65F-D39BA278E353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O Pimpolho
</t>
        </r>
      </text>
    </comment>
    <comment ref="DT19" authorId="2" shapeId="0" xr:uid="{8528A0A5-0AEF-468A-A6B1-CD4B19B6C857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Monfortinhos</t>
        </r>
      </text>
    </comment>
    <comment ref="GZ19" authorId="2" shapeId="0" xr:uid="{24E2EEB3-122B-4BA4-86F0-0A554B08F9C8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O Gatinho</t>
        </r>
      </text>
    </comment>
    <comment ref="HA19" authorId="2" shapeId="0" xr:uid="{117763E2-7B89-4F41-AAF7-C1F75610836D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O Gatinho
</t>
        </r>
      </text>
    </comment>
    <comment ref="AC20" authorId="2" shapeId="0" xr:uid="{6F151276-C1B5-410B-90BC-7754BBFF62B3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O Gatinho</t>
        </r>
      </text>
    </comment>
    <comment ref="AD20" authorId="2" shapeId="0" xr:uid="{5B964790-6918-4C28-9296-C64D1FC4ABBA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O Gatinho
</t>
        </r>
      </text>
    </comment>
    <comment ref="FH20" authorId="1" shapeId="0" xr:uid="{1CAB2FCC-DFEB-4BE8-B7B7-28A3214D01DF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KIDS I</t>
        </r>
      </text>
    </comment>
    <comment ref="FI20" authorId="1" shapeId="0" xr:uid="{9EEC98BB-F3A4-4306-8AD3-A0DFE1C3D49E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KIDS I</t>
        </r>
      </text>
    </comment>
    <comment ref="FJ20" authorId="2" shapeId="0" xr:uid="{8D0AF43F-A87A-4C49-B5BE-A2ADB0C695FA}">
      <text>
        <r>
          <rPr>
            <b/>
            <sz val="9"/>
            <color indexed="81"/>
            <rFont val="Tahoma"/>
            <family val="2"/>
          </rPr>
          <t xml:space="preserve">Joao Amorim Costa:
</t>
        </r>
        <r>
          <rPr>
            <sz val="9"/>
            <color indexed="81"/>
            <rFont val="Tahoma"/>
            <family val="2"/>
          </rPr>
          <t>Ratinhos</t>
        </r>
      </text>
    </comment>
    <comment ref="FK20" authorId="1" shapeId="0" xr:uid="{195C8B00-9BD8-434D-9C17-AE7CE63950A7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Ratinhos</t>
        </r>
      </text>
    </comment>
    <comment ref="AO21" authorId="1" shapeId="0" xr:uid="{A61803C1-FB33-469C-8A3A-93537B7268FA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ABS</t>
        </r>
      </text>
    </comment>
    <comment ref="AU21" authorId="1" shapeId="0" xr:uid="{FA457DA2-3B97-425B-8117-6B581B352BCE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YOGA</t>
        </r>
      </text>
    </comment>
    <comment ref="CG21" authorId="1" shapeId="0" xr:uid="{D0426019-E390-4A97-AD72-10DE41F7419B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ABS</t>
        </r>
      </text>
    </comment>
    <comment ref="CO21" authorId="2" shapeId="0" xr:uid="{516C0990-1785-4946-B8F5-35403FC6D7B1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RPM
JD </t>
        </r>
      </text>
    </comment>
    <comment ref="EH21" authorId="1" shapeId="0" xr:uid="{B2E48654-B457-48B4-BB24-8270510C462B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GAP
LF
</t>
        </r>
      </text>
    </comment>
    <comment ref="HL21" authorId="1" shapeId="0" xr:uid="{9C3F66BB-A1A2-4CAE-ADF7-69C6AD1FDBF2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ABS</t>
        </r>
      </text>
    </comment>
    <comment ref="IS21" authorId="1" shapeId="0" xr:uid="{039AC9C0-77D7-4676-90B2-6BA860B48E21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IT21" authorId="1" shapeId="0" xr:uid="{7AA5B857-1F51-4E74-9CCE-572424A05BCE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Bébés</t>
        </r>
      </text>
    </comment>
    <comment ref="JI21" authorId="1" shapeId="0" xr:uid="{02A906D5-978A-4A60-B2EA-AB1C7A0EE56F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POWER JUMP
</t>
        </r>
      </text>
    </comment>
    <comment ref="KJ21" authorId="0" shapeId="0" xr:uid="{8B5343F6-B624-4D7B-A6A5-EED7218F1120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Bebés </t>
        </r>
      </text>
    </comment>
    <comment ref="DP22" authorId="1" shapeId="0" xr:uid="{AC7C98A0-391E-4B06-9846-B357349DEB03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PIMPOLHO</t>
        </r>
      </text>
    </comment>
    <comment ref="DQ22" authorId="1" shapeId="0" xr:uid="{A99FCD33-DDA6-4001-8B3C-3C56B9571B34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PIMPOLHO</t>
        </r>
      </text>
    </comment>
    <comment ref="DR22" authorId="2" shapeId="0" xr:uid="{2F3B67B3-5657-41A3-BE68-09300367B243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O Pimpolho
</t>
        </r>
      </text>
    </comment>
    <comment ref="DS22" authorId="2" shapeId="0" xr:uid="{3715737B-5C68-4507-AC97-9A7CAB59A3DD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O Pimpolho
</t>
        </r>
      </text>
    </comment>
    <comment ref="DT22" authorId="2" shapeId="0" xr:uid="{D439FDBA-1953-4A4D-A96F-49E70ECEBA00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Monfortinhos</t>
        </r>
      </text>
    </comment>
    <comment ref="HU22" authorId="0" shapeId="0" xr:uid="{8C0CF6FE-B70F-406D-AB67-1FE8EC11335E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
RG</t>
        </r>
      </text>
    </comment>
    <comment ref="JK22" authorId="2" shapeId="0" xr:uid="{9B18A427-91DC-4E91-ADD0-7E87C5C1A635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PILATES 10H15</t>
        </r>
      </text>
    </comment>
    <comment ref="LD22" authorId="0" shapeId="0" xr:uid="{D3DE0D75-701F-4B17-A889-FBED708F2083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RPM</t>
        </r>
      </text>
    </comment>
    <comment ref="AT23" authorId="2" shapeId="0" xr:uid="{C087010B-D8C3-4922-AC4E-904B35C2640A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FUNCIONAL 10H30
RF</t>
        </r>
      </text>
    </comment>
    <comment ref="AX23" authorId="0" shapeId="0" xr:uid="{CC947691-91AD-4A3F-BAD5-585FF68A3622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Hidroginastica
RG</t>
        </r>
      </text>
    </comment>
    <comment ref="CN23" authorId="0" shapeId="0" xr:uid="{7CA6EF04-1490-4999-A4F8-C103285FAE5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PILATES
CR</t>
        </r>
      </text>
    </comment>
    <comment ref="CP23" authorId="1" shapeId="0" xr:uid="{B269988D-E8B5-4AEF-B285-4DD8C31E411E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HIDROGINÁSTICA
LF</t>
        </r>
      </text>
    </comment>
    <comment ref="EI23" authorId="2" shapeId="0" xr:uid="{79D9490E-769E-4379-A892-66512C8B9E01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YOGA</t>
        </r>
      </text>
    </comment>
    <comment ref="FH23" authorId="1" shapeId="0" xr:uid="{15DAC151-AEF2-46EF-A708-62794C1560A3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KIDS I</t>
        </r>
      </text>
    </comment>
    <comment ref="FI23" authorId="1" shapeId="0" xr:uid="{DB2399D1-2132-473A-96EA-81C22876C505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KIDS I</t>
        </r>
      </text>
    </comment>
    <comment ref="FJ23" authorId="2" shapeId="0" xr:uid="{7FEACD83-22F3-47E7-A5FA-EF45B4D45497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KID I</t>
        </r>
      </text>
    </comment>
    <comment ref="FK23" authorId="2" shapeId="0" xr:uid="{BC35D47D-8E80-40FA-85DB-4DC07117B2CB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KID I</t>
        </r>
      </text>
    </comment>
    <comment ref="FZ23" authorId="0" shapeId="0" xr:uid="{6779393C-4A74-4753-953F-6BDC73719B40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Pilates 
CR</t>
        </r>
      </text>
    </comment>
    <comment ref="HR23" authorId="1" shapeId="0" xr:uid="{0061AC75-0069-4D0F-8FD7-27FAA534BD26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LOCALIZADA
LF</t>
        </r>
      </text>
    </comment>
    <comment ref="JJ23" authorId="0" shapeId="0" xr:uid="{73477C42-1DBA-4A48-AEF9-0F20C2613D8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Body Pump </t>
        </r>
      </text>
    </comment>
    <comment ref="LB23" authorId="0" shapeId="0" xr:uid="{A9A5E2D5-BF92-48D2-8A59-580E7CD5C220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LOCALIZADA</t>
        </r>
      </text>
    </comment>
    <comment ref="IS24" authorId="1" shapeId="0" xr:uid="{17E3F477-7CF7-411A-BEE3-F7B5599D714F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C0</t>
        </r>
      </text>
    </comment>
    <comment ref="IT24" authorId="1" shapeId="0" xr:uid="{2CA9E26E-D538-4EEC-BF25-A2A73281A02E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Bébes</t>
        </r>
      </text>
    </comment>
    <comment ref="KJ24" authorId="1" shapeId="0" xr:uid="{8FBAF199-A157-4A2D-9769-E111EDAECDF8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Bébes</t>
        </r>
      </text>
    </comment>
    <comment ref="KK24" authorId="2" shapeId="0" xr:uid="{4C002DED-1721-422C-B652-C30DCBBE5E99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Sonho Audaz</t>
        </r>
      </text>
    </comment>
    <comment ref="DT25" authorId="2" shapeId="0" xr:uid="{A3BF9520-1F03-4F2D-9FB1-52A2E3FBABE1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Monfortinhos</t>
        </r>
      </text>
    </comment>
    <comment ref="EK26" authorId="0" shapeId="0" xr:uid="{88CBEA30-F68C-4115-B606-850266E5D0B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
HA
</t>
        </r>
      </text>
    </comment>
    <comment ref="GZ26" authorId="2" shapeId="0" xr:uid="{E726BD7C-6FED-43C6-A04F-27403DE9167C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ADULTOS 11:00</t>
        </r>
      </text>
    </comment>
    <comment ref="AU27" authorId="0" shapeId="0" xr:uid="{CC80FADB-21D0-4803-84D8-9313565FCEE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Body Pump 
HA
 </t>
        </r>
      </text>
    </comment>
    <comment ref="AX27" authorId="0" shapeId="0" xr:uid="{BD03B909-CC52-411E-9386-8A791D9D985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
RG</t>
        </r>
      </text>
    </comment>
    <comment ref="BU27" authorId="2" shapeId="0" xr:uid="{A5E16E08-5B8C-4BA9-A829-47AFE45A7199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ADULTOS 11:15</t>
        </r>
      </text>
    </comment>
    <comment ref="CN27" authorId="1" shapeId="0" xr:uid="{996D7D78-F0C4-407A-9F21-68EAAA03052D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FUNCIONAL 11:30
RF</t>
        </r>
      </text>
    </comment>
    <comment ref="EH27" authorId="0" shapeId="0" xr:uid="{8B296076-6AAD-419A-B83B-33D7D586240D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Zumba
JD</t>
        </r>
      </text>
    </comment>
    <comment ref="FZ27" authorId="2" shapeId="0" xr:uid="{DDC137AC-49E6-4670-AA78-2ED1D258E78E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LOCALIZADA
MP</t>
        </r>
      </text>
    </comment>
    <comment ref="HR27" authorId="1" shapeId="0" xr:uid="{14601EDE-46AA-4A1E-8157-55E0456A8C6D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Zumba 11h30
LF</t>
        </r>
      </text>
    </comment>
    <comment ref="IS27" authorId="0" shapeId="0" xr:uid="{46ADACB6-A531-4A61-8737-16FCC6C27FC1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C2/C3</t>
        </r>
      </text>
    </comment>
    <comment ref="IT27" authorId="1" shapeId="0" xr:uid="{DCA56E5A-5D98-4F7A-915E-8005CF6DBD7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IU27" authorId="2" shapeId="0" xr:uid="{3E5BE95E-E2D0-490A-B5D8-EF337905BC66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C0/C1
</t>
        </r>
      </text>
    </comment>
    <comment ref="JL27" authorId="0" shapeId="0" xr:uid="{4A529CB0-81F0-4ABE-9405-326AED7E15EF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RPM</t>
        </r>
      </text>
    </comment>
    <comment ref="KJ27" authorId="1" shapeId="0" xr:uid="{4655F345-8B95-4890-8562-A817039DBDD8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C0/C1</t>
        </r>
      </text>
    </comment>
    <comment ref="KK27" authorId="2" shapeId="0" xr:uid="{040CD20C-E1B0-46ED-97A3-A3D421228AEE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
Sonho Audaz</t>
        </r>
      </text>
    </comment>
    <comment ref="LA27" authorId="2" shapeId="0" xr:uid="{BC35A0CC-0420-4256-92FA-3873249B56F5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POWER JUMP</t>
        </r>
      </text>
    </comment>
    <comment ref="LB27" authorId="0" shapeId="0" xr:uid="{7E7CAC17-B31A-48AE-BA85-13F468B77E1B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Zumba </t>
        </r>
      </text>
    </comment>
    <comment ref="LD27" authorId="2" shapeId="0" xr:uid="{0DC056A9-2A21-4EC6-BC9B-DC4617C568A1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RPM 11:30</t>
        </r>
      </text>
    </comment>
    <comment ref="IS30" authorId="1" shapeId="0" xr:uid="{EB576AA0-E741-4F12-B4C5-C417BA99BBD8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IT30" authorId="1" shapeId="0" xr:uid="{C528B5AB-5371-48DB-983D-AADDD14FB4A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IU30" authorId="2" shapeId="0" xr:uid="{3F5FA8FC-058F-472D-90D1-A79F62FBDEC9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BEBÉS
</t>
        </r>
      </text>
    </comment>
    <comment ref="AU32" authorId="2" shapeId="0" xr:uid="{382A0FCD-43B6-4DB0-B127-3A054C3EF4AD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Body Step
CR</t>
        </r>
      </text>
    </comment>
    <comment ref="AW32" authorId="0" shapeId="0" xr:uid="{9CCC6D8A-F23F-4C59-84A6-F1B8DE0277FB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SPINNING
</t>
        </r>
      </text>
    </comment>
    <comment ref="CL32" authorId="2" shapeId="0" xr:uid="{42A8C821-9DF4-4805-AD2C-85E9B24F11B4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PILATES 12H45
HA
</t>
        </r>
      </text>
    </comment>
    <comment ref="CM32" authorId="1" shapeId="0" xr:uid="{9FFCA601-AD4F-4931-A76D-6EF9854735C7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BODY COMBAT
LF</t>
        </r>
      </text>
    </comment>
    <comment ref="CN32" authorId="2" shapeId="0" xr:uid="{9DDE6DA9-AA67-411A-BA52-53305DCF9D29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FUNCIONAL 12H45
BH
</t>
        </r>
      </text>
    </comment>
    <comment ref="EH32" authorId="0" shapeId="0" xr:uid="{50B26916-5197-4DD0-BA36-4480E8171BF6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Body Pump 
HA</t>
        </r>
      </text>
    </comment>
    <comment ref="EJ32" authorId="1" shapeId="0" xr:uid="{0FDB2297-25CD-4EDD-8163-925828B19E22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RPM
MP</t>
        </r>
      </text>
    </comment>
    <comment ref="FY32" authorId="2" shapeId="0" xr:uid="{934CF0F6-DD3B-42F3-8281-14FF6DD1B5A2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POWER JUMP 12H45
JD</t>
        </r>
      </text>
    </comment>
    <comment ref="FZ32" authorId="2" shapeId="0" xr:uid="{8DD572E2-CE8E-404B-B163-7C0BAE9A7B31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S-FUNCIONAL
BH</t>
        </r>
      </text>
    </comment>
    <comment ref="HR32" authorId="0" shapeId="0" xr:uid="{B787E432-3453-4F23-917C-14A4115FAFF3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Body Pump
LF</t>
        </r>
      </text>
    </comment>
    <comment ref="HS32" authorId="2" shapeId="0" xr:uid="{AB9D41E4-909E-42E8-B4E4-7778B323E1A1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PILATES
MS</t>
        </r>
      </text>
    </comment>
    <comment ref="CP33" authorId="1" shapeId="0" xr:uid="{595B011E-3422-40CC-991C-A39EEEA308F2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Hidroginástica
JD</t>
        </r>
      </text>
    </comment>
    <comment ref="GC33" authorId="1" shapeId="0" xr:uid="{B7650E43-0A8E-4622-817B-CCAE0E5591A7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HIDRO
MP</t>
        </r>
      </text>
    </comment>
    <comment ref="AU39" authorId="0" shapeId="0" xr:uid="{B3BC8935-F277-4C48-83B3-D3B942C23A84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Localizada
LF</t>
        </r>
      </text>
    </comment>
    <comment ref="AX39" authorId="0" shapeId="0" xr:uid="{224A2C91-D933-4FE4-AD1D-EC5153F2B600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
JD</t>
        </r>
      </text>
    </comment>
    <comment ref="CN39" authorId="0" shapeId="0" xr:uid="{A15D0AC3-F4B9-44C4-9B2B-E8533971C753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Body Balance 
CR</t>
        </r>
      </text>
    </comment>
    <comment ref="CP39" authorId="2" shapeId="0" xr:uid="{156EABB6-A6A8-4772-A56D-43ABDF689C12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SANTA CASA DA MISERICÓRDIA</t>
        </r>
      </text>
    </comment>
    <comment ref="EK39" authorId="0" shapeId="0" xr:uid="{9C4CC49A-AB46-4FD7-8B45-9A4CF987F144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 
RG
</t>
        </r>
      </text>
    </comment>
    <comment ref="GA39" authorId="0" shapeId="0" xr:uid="{EC42FF80-D5AB-45A7-BACD-8C8439414E26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Pilates
HA</t>
        </r>
      </text>
    </comment>
    <comment ref="HS39" authorId="1" shapeId="0" xr:uid="{A2144EF4-64AE-40AF-902D-46C43517EEFD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FUNCIONAL
MP</t>
        </r>
      </text>
    </comment>
    <comment ref="HU39" authorId="0" shapeId="0" xr:uid="{80C9BF4D-7DFF-46A6-B1B8-6C01BD9843EA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
RG</t>
        </r>
      </text>
    </comment>
    <comment ref="IS41" authorId="0" shapeId="0" xr:uid="{A732ACAB-6EF3-4D81-B195-F45DE3D761C2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CP42" authorId="2" shapeId="0" xr:uid="{6142EB82-D3AD-4C60-BDAD-0C283755B752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HIDROGINÁSTICA 15:15
RG
</t>
        </r>
      </text>
    </comment>
    <comment ref="GC42" authorId="1" shapeId="0" xr:uid="{51BEB317-5581-49E5-AE33-8AEB5D9C887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HIDROGINÁSTICA
RG</t>
        </r>
      </text>
    </comment>
    <comment ref="AU43" authorId="1" shapeId="0" xr:uid="{CB37785E-20A8-47C4-9FC5-05773D41E5A4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ZUMBA
JD</t>
        </r>
      </text>
    </comment>
    <comment ref="AX43" authorId="2" shapeId="0" xr:uid="{22EE254B-2B72-4F10-8FE1-962FAC29B140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HIDROGINÁSTICA 15H15
HA</t>
        </r>
      </text>
    </comment>
    <comment ref="EI43" authorId="1" shapeId="0" xr:uid="{239CBB5D-1EBA-4DE5-B108-41EB339791EF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PILATES
JD</t>
        </r>
      </text>
    </comment>
    <comment ref="EK43" authorId="2" shapeId="0" xr:uid="{99E5D9C1-5A6E-4D91-A5E5-4177B637D618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HIDROGINÁSTICA 15H30
MP
</t>
        </r>
      </text>
    </comment>
    <comment ref="GA43" authorId="1" shapeId="0" xr:uid="{0EFD3EA0-366F-421B-9630-18E10CE02614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Body Balance
BH
</t>
        </r>
      </text>
    </comment>
    <comment ref="HS43" authorId="0" shapeId="0" xr:uid="{AD408189-365A-4EC7-9175-DD7479C01F55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Pilates
HA</t>
        </r>
      </text>
    </comment>
    <comment ref="HU43" authorId="0" shapeId="0" xr:uid="{9C5EFCFE-53B9-412D-A360-E6FC2A08AE80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Hidroginásitica 
MP</t>
        </r>
      </text>
    </comment>
    <comment ref="JI43" authorId="1" shapeId="0" xr:uid="{C24CAF63-EE99-470E-A0E2-F7321CBFD38E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ZUMBA</t>
        </r>
      </text>
    </comment>
    <comment ref="IS44" authorId="1" shapeId="0" xr:uid="{517F7385-5AFD-4DF2-94AE-69E566451C36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C0</t>
        </r>
      </text>
    </comment>
    <comment ref="IT44" authorId="2" shapeId="0" xr:uid="{8631222A-B2ED-45AD-AB0F-819D3444D999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Colégio Borboleta
</t>
        </r>
      </text>
    </comment>
    <comment ref="CM45" authorId="1" shapeId="0" xr:uid="{547D0331-51F0-4416-B535-A5EC63649247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PILATES
MS</t>
        </r>
      </text>
    </comment>
    <comment ref="CP45" authorId="0" shapeId="0" xr:uid="{E72448B5-5D90-4586-8642-9DA74C665FE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 
JD</t>
        </r>
      </text>
    </comment>
    <comment ref="EH45" authorId="1" shapeId="0" xr:uid="{1B7106C3-9939-456A-927F-4F70F8EB9481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LOCALIZADA
MS
</t>
        </r>
      </text>
    </comment>
    <comment ref="GC45" authorId="0" shapeId="0" xr:uid="{638AE609-08A2-448F-A6B3-29D3443D1E89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
RG</t>
        </r>
      </text>
    </comment>
    <comment ref="IS47" authorId="1" shapeId="0" xr:uid="{7CEDC040-151E-4C3B-8206-37AE9760B5CE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JJ47" authorId="1" shapeId="0" xr:uid="{A56206EB-BBA1-4703-B89F-FF08AA43AA85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BODY PUMP</t>
        </r>
      </text>
    </comment>
    <comment ref="FH48" authorId="1" shapeId="0" xr:uid="{F8F372A8-D34B-4B86-BE30-81E030861DDF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Colégio Pimpolho</t>
        </r>
      </text>
    </comment>
    <comment ref="FI48" authorId="1" shapeId="0" xr:uid="{24155EDB-F8E0-4FCC-9611-2B519592BB9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Pimpolho</t>
        </r>
      </text>
    </comment>
    <comment ref="HB49" authorId="2" shapeId="0" xr:uid="{C47A32FC-8B3C-447B-865C-45EB32C2FF83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Bebés</t>
        </r>
      </text>
    </comment>
    <comment ref="BU50" authorId="1" shapeId="0" xr:uid="{0C10A3BF-59BE-47B0-8AD3-23303AD7DC56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Bébés</t>
        </r>
      </text>
    </comment>
    <comment ref="JM50" authorId="1" shapeId="0" xr:uid="{FE4617DA-6D70-4157-8C27-2199CF0972B1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HIDROGINÁSTICA</t>
        </r>
      </text>
    </comment>
    <comment ref="JL51" authorId="2" shapeId="0" xr:uid="{CCEA1361-DCD7-49A4-BAD6-54204346468B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RPM 17H30</t>
        </r>
      </text>
    </comment>
    <comment ref="AC52" authorId="0" shapeId="0" xr:uid="{434891E6-3D0E-4455-BB2F-3F900082D023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AD52" authorId="1" shapeId="0" xr:uid="{4A7CD5DD-58F4-4BC5-BA29-60C9A74EDF22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C0</t>
        </r>
      </text>
    </comment>
    <comment ref="DP52" authorId="0" shapeId="0" xr:uid="{ACB67D57-D259-4343-9B59-0CFA7C5B900E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C0</t>
        </r>
      </text>
    </comment>
    <comment ref="DQ52" authorId="1" shapeId="0" xr:uid="{1D024552-4598-48EC-B653-9248A14EFD9D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DR52" authorId="2" shapeId="0" xr:uid="{132700A6-3AD5-4714-A564-43B1ECC45DBB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Bebés</t>
        </r>
      </text>
    </comment>
    <comment ref="GZ52" authorId="0" shapeId="0" xr:uid="{893D02B5-254A-40C6-8705-7C190438727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HA52" authorId="1" shapeId="0" xr:uid="{E62596ED-B802-4EB5-A4B2-3BEC627CC053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C0/C1</t>
        </r>
      </text>
    </comment>
    <comment ref="HB52" authorId="2" shapeId="0" xr:uid="{8B4A9ABA-51B4-4667-929D-D4FBD1D0AD63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AO53" authorId="1" shapeId="0" xr:uid="{E4A13262-8B0A-4FFE-8F9B-B79A99E5E1F6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ABS</t>
        </r>
      </text>
    </comment>
    <comment ref="BU53" authorId="1" shapeId="0" xr:uid="{E2F049B8-5FF5-443A-9FA1-858CB40CACED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BV53" authorId="1" shapeId="0" xr:uid="{55174FA2-FF55-405D-9A67-973430CA216C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BW53" authorId="2" shapeId="0" xr:uid="{EC7F8AB4-B647-4FF1-AC5E-70039BE24930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C0
</t>
        </r>
      </text>
    </comment>
    <comment ref="CN53" authorId="2" shapeId="0" xr:uid="{90EA08D9-EFDB-40CC-8E55-6EA7BF460D80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FUNCIONAL 18H00
JD</t>
        </r>
      </text>
    </comment>
    <comment ref="EI53" authorId="2" shapeId="0" xr:uid="{D1E6C0B0-1C91-4391-9A76-50699A224D2F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PILATES 18H00
MS</t>
        </r>
      </text>
    </comment>
    <comment ref="FH53" authorId="1" shapeId="0" xr:uid="{D9CB8D91-01BC-4371-A8E7-3CE24E13717D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FI53" authorId="1" shapeId="0" xr:uid="{2D73A5EB-695E-4B66-BDE6-452CFBAAEA5E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FZ53" authorId="1" shapeId="0" xr:uid="{41AEB52E-D04D-4A21-9647-BF9A835A49FB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FUNCIONAL 18H00
JD
</t>
        </r>
      </text>
    </comment>
    <comment ref="AC55" authorId="1" shapeId="0" xr:uid="{23B0B762-79BB-4702-A662-AEF03A87B5A2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AD55" authorId="1" shapeId="0" xr:uid="{00713553-C261-479F-8EF9-43F1DEE94875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C2/C3</t>
        </r>
      </text>
    </comment>
    <comment ref="AU55" authorId="0" shapeId="0" xr:uid="{82C05237-6E41-47A8-BD79-6E432BDB560E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GAP
LF</t>
        </r>
      </text>
    </comment>
    <comment ref="AW55" authorId="0" shapeId="0" xr:uid="{8A60187A-CB22-4167-9162-0D9AD25D57B9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SPINNING</t>
        </r>
      </text>
    </comment>
    <comment ref="CM55" authorId="0" shapeId="0" xr:uid="{E207F13D-A12B-4DE1-9E54-56CB0A00C51E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Body Pump 
JD
</t>
        </r>
      </text>
    </comment>
    <comment ref="DP55" authorId="1" shapeId="0" xr:uid="{308A913F-02AF-47BF-9ED5-7F5070DD6305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DQ55" authorId="1" shapeId="0" xr:uid="{B8DE32E4-1F45-49FA-BBD4-384E523B5427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EJ55" authorId="0" shapeId="0" xr:uid="{F944E3A2-CAFC-4DAF-9530-7E26112454D5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SPINNING
</t>
        </r>
      </text>
    </comment>
    <comment ref="FY55" authorId="1" shapeId="0" xr:uid="{D739C64F-C7F7-4702-B8E0-EED402F544EA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BODY COMBAT
</t>
        </r>
      </text>
    </comment>
    <comment ref="GZ55" authorId="1" shapeId="0" xr:uid="{CEF68CEF-71A3-499F-83B9-36F3CB9850B9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HA55" authorId="1" shapeId="0" xr:uid="{82FD360B-1F76-42F7-A6D7-F595D6030F9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HB55" authorId="2" shapeId="0" xr:uid="{6852D717-3636-4533-B795-318CC98823D3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C2/C3</t>
        </r>
      </text>
    </comment>
    <comment ref="HR55" authorId="1" shapeId="0" xr:uid="{66FFE812-D1EB-433C-BDCD-CBB8EEB57012}">
      <text>
        <r>
          <rPr>
            <b/>
            <sz val="9"/>
            <color indexed="81"/>
            <rFont val="Tahoma"/>
            <family val="2"/>
          </rPr>
          <t xml:space="preserve">Jorge Silva Costa:
</t>
        </r>
        <r>
          <rPr>
            <sz val="9"/>
            <color indexed="81"/>
            <rFont val="Tahoma"/>
            <family val="2"/>
          </rPr>
          <t xml:space="preserve">BODY PUMP 18H30
HA
</t>
        </r>
      </text>
    </comment>
    <comment ref="HT55" authorId="2" shapeId="0" xr:uid="{3AA7439F-7CB6-4318-8666-BF86B988CD9A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RPM 18H30</t>
        </r>
      </text>
    </comment>
    <comment ref="BU56" authorId="0" shapeId="0" xr:uid="{E7936B8B-DDDD-49A8-AA8E-52F53145F6B9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C2/C3</t>
        </r>
      </text>
    </comment>
    <comment ref="BV56" authorId="0" shapeId="0" xr:uid="{52EB4E48-F1DC-4738-86F9-6BA87219B7B2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BW56" authorId="2" shapeId="0" xr:uid="{00B8DEE7-B4CF-4A8D-B8C0-F1D2256DDB5F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FH56" authorId="1" shapeId="0" xr:uid="{3F406F0B-09FA-4132-9D30-8D856BC0B2EC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C2/C3</t>
        </r>
      </text>
    </comment>
    <comment ref="FI56" authorId="1" shapeId="0" xr:uid="{103C7BCE-A872-45E2-814C-DEFCEA4707F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FJ56" authorId="2" shapeId="0" xr:uid="{64077E09-3297-45FD-B122-C7EC5F42454D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AT57" authorId="0" shapeId="0" xr:uid="{605E3D18-F5B4-4DAC-BF61-188E9A5C5C3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Zumba
JD</t>
        </r>
      </text>
    </comment>
    <comment ref="AU57" authorId="0" shapeId="0" xr:uid="{AEB5CF77-99E3-4622-8F84-D87DF5849D4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Body Pump 19:00
LF</t>
        </r>
      </text>
    </comment>
    <comment ref="CL57" authorId="1" shapeId="0" xr:uid="{7A198844-EDAC-4F17-90CA-C3C474732828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BODY ATTACK
HA</t>
        </r>
      </text>
    </comment>
    <comment ref="CN57" authorId="1" shapeId="0" xr:uid="{7163058E-BBC2-4E7E-B60B-9E25B04AE8FB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Pilates
</t>
        </r>
      </text>
    </comment>
    <comment ref="EH57" authorId="0" shapeId="0" xr:uid="{366DF760-18D1-4C3A-8953-8BA95BF84818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BODY STEP 19H00
JD</t>
        </r>
      </text>
    </comment>
    <comment ref="FZ57" authorId="1" shapeId="0" xr:uid="{8EE3BE5C-9DFE-4066-A16E-4385BF51DC65}">
      <text>
        <r>
          <rPr>
            <b/>
            <sz val="9"/>
            <color indexed="81"/>
            <rFont val="Tahoma"/>
            <family val="2"/>
          </rPr>
          <t xml:space="preserve">Jorge Silva Costa:
</t>
        </r>
        <r>
          <rPr>
            <sz val="9"/>
            <color indexed="81"/>
            <rFont val="Tahoma"/>
            <family val="2"/>
          </rPr>
          <t>LOCALIZADA 19H00
HA</t>
        </r>
      </text>
    </comment>
    <comment ref="AC58" authorId="1" shapeId="0" xr:uid="{C8AFA7FF-1BD9-41F4-AD4E-E787CDBBF51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AD58" authorId="1" shapeId="0" xr:uid="{500AF65D-66CA-42D9-B5DA-BFF597493BBF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DP58" authorId="1" shapeId="0" xr:uid="{16D296CF-09DD-4184-ADC0-9BB837D2FCAB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DQ58" authorId="1" shapeId="0" xr:uid="{B22276C6-4B9B-4207-9C5C-700236C3EA6C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C1+/C2</t>
        </r>
      </text>
    </comment>
    <comment ref="DR58" authorId="2" shapeId="0" xr:uid="{EF7A3FC7-4EFF-424F-B1CC-EF5ECEF10FA0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C2/C3</t>
        </r>
      </text>
    </comment>
    <comment ref="GZ58" authorId="1" shapeId="0" xr:uid="{F51C34DD-D3D4-4BB7-9999-A2C3CB7737BD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C2/C3</t>
        </r>
      </text>
    </comment>
    <comment ref="HA58" authorId="1" shapeId="0" xr:uid="{D32EB78C-BA1E-4A85-8723-B387F7108CB4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C1</t>
        </r>
      </text>
    </comment>
    <comment ref="HB58" authorId="2" shapeId="0" xr:uid="{453F26BB-9C56-497C-B7EC-624C4B858865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C1+</t>
        </r>
      </text>
    </comment>
    <comment ref="AW59" authorId="0" shapeId="0" xr:uid="{E70A9B2A-D4F8-4EF2-BA9D-FFE4CFA11791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SPINNING</t>
        </r>
      </text>
    </comment>
    <comment ref="CP59" authorId="0" shapeId="0" xr:uid="{E9429D57-FACA-4224-9CFD-243729CC4CDD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 </t>
        </r>
      </text>
    </comment>
    <comment ref="EJ59" authorId="0" shapeId="0" xr:uid="{1392BDFA-5CB6-45A7-9520-9D57EBE1F737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SPINNING</t>
        </r>
      </text>
    </comment>
    <comment ref="FY59" authorId="2" shapeId="0" xr:uid="{12AD2F04-C20E-4CC4-8D7A-2C619B8C6B2E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YOGA 19H30
</t>
        </r>
      </text>
    </comment>
    <comment ref="GC59" authorId="0" shapeId="0" xr:uid="{EC1F57B0-0C1E-4DFB-BB5E-E54CF600A4CA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Hidroginástica </t>
        </r>
      </text>
    </comment>
    <comment ref="HQ59" authorId="1" shapeId="0" xr:uid="{872E8E11-66A9-4C37-AD56-027BD392E7FF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PILATES 19H30</t>
        </r>
      </text>
    </comment>
    <comment ref="AC61" authorId="1" shapeId="0" xr:uid="{4DBA266F-05A1-495E-B949-326BEE6CDB0C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ADULTOS</t>
        </r>
      </text>
    </comment>
    <comment ref="DR61" authorId="2" shapeId="0" xr:uid="{0ABB17F4-847D-47CD-8FBC-B7DEA97BCEFF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Natação Adultos</t>
        </r>
      </text>
    </comment>
    <comment ref="BU62" authorId="1" shapeId="0" xr:uid="{9CBFD004-483F-4AFC-B40A-70B7B210F289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Adultos</t>
        </r>
      </text>
    </comment>
    <comment ref="CM62" authorId="0" shapeId="0" xr:uid="{F6F339D8-3B4E-4F20-ABC0-81618EFB5910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Pilates 20:15
MS
</t>
        </r>
      </text>
    </comment>
    <comment ref="CO62" authorId="1" shapeId="0" xr:uid="{BE79D74F-CF03-46B4-B90C-1316C4F4DBAA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RPM 20H15
HA</t>
        </r>
      </text>
    </comment>
    <comment ref="EG62" authorId="0" shapeId="0" xr:uid="{B99B638B-988D-4774-B67E-374C43BE2C8A}">
      <text>
        <r>
          <rPr>
            <b/>
            <sz val="9"/>
            <color indexed="81"/>
            <rFont val="Tahoma"/>
            <family val="2"/>
          </rPr>
          <t>Joana Raquel Gomes:</t>
        </r>
        <r>
          <rPr>
            <sz val="9"/>
            <color indexed="81"/>
            <rFont val="Tahoma"/>
            <family val="2"/>
          </rPr>
          <t xml:space="preserve">
ZUMBA 20H15
</t>
        </r>
      </text>
    </comment>
    <comment ref="EI62" authorId="1" shapeId="0" xr:uid="{01120968-13E4-4D8F-BD8E-D7D224164070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Pilates</t>
        </r>
      </text>
    </comment>
    <comment ref="FH62" authorId="1" shapeId="0" xr:uid="{C7643A6A-2510-4739-99D3-6783111A8C16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Adultos</t>
        </r>
      </text>
    </comment>
    <comment ref="FZ62" authorId="1" shapeId="0" xr:uid="{F0FA47D9-8186-4DC9-86B8-DB684669A6FC}">
      <text>
        <r>
          <rPr>
            <b/>
            <sz val="9"/>
            <color indexed="81"/>
            <rFont val="Tahoma"/>
            <family val="2"/>
          </rPr>
          <t>Jorge Silva Costa:</t>
        </r>
        <r>
          <rPr>
            <sz val="9"/>
            <color indexed="81"/>
            <rFont val="Tahoma"/>
            <family val="2"/>
          </rPr>
          <t xml:space="preserve">
BODY PUMP 20H15</t>
        </r>
      </text>
    </comment>
    <comment ref="HU62" authorId="2" shapeId="0" xr:uid="{EBDA4706-6F8C-4989-B881-4D4C12809159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HIDROGINÁSTICA 20:15
</t>
        </r>
      </text>
    </comment>
    <comment ref="AT63" authorId="2" shapeId="0" xr:uid="{1401C06F-CFE0-4B77-B09C-67F71E4CF65F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POWER JUMP 20H15
MS
</t>
        </r>
      </text>
    </comment>
    <comment ref="AO65" authorId="2" shapeId="0" xr:uid="{DE3E1116-8519-4511-8351-33C48909DF1C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ABS
</t>
        </r>
      </text>
    </comment>
    <comment ref="CG65" authorId="2" shapeId="0" xr:uid="{5B3D531B-9436-4AC2-8CDE-73C26E3B02E1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S-FUNCIONAL EXP</t>
        </r>
      </text>
    </comment>
    <comment ref="EB65" authorId="2" shapeId="0" xr:uid="{68FAB3EA-3B7F-4C77-A632-CF612BF8DCC1}">
      <text>
        <r>
          <rPr>
            <b/>
            <sz val="9"/>
            <color indexed="81"/>
            <rFont val="Tahoma"/>
            <family val="2"/>
          </rPr>
          <t>Joao Amorim Costa:</t>
        </r>
        <r>
          <rPr>
            <sz val="9"/>
            <color indexed="81"/>
            <rFont val="Tahoma"/>
            <family val="2"/>
          </rPr>
          <t xml:space="preserve">
ABS</t>
        </r>
      </text>
    </comment>
  </commentList>
</comments>
</file>

<file path=xl/sharedStrings.xml><?xml version="1.0" encoding="utf-8"?>
<sst xmlns="http://schemas.openxmlformats.org/spreadsheetml/2006/main" count="3838" uniqueCount="478">
  <si>
    <t>SEGUNDA</t>
  </si>
  <si>
    <t xml:space="preserve">TERÇA </t>
  </si>
  <si>
    <t>QUARTA</t>
  </si>
  <si>
    <t>QUINTA</t>
  </si>
  <si>
    <t>SEXTA</t>
  </si>
  <si>
    <t>SÁBADO</t>
  </si>
  <si>
    <t>DOMINGO</t>
  </si>
  <si>
    <t>10h00</t>
  </si>
  <si>
    <t>11h00</t>
  </si>
  <si>
    <t>19h30</t>
  </si>
  <si>
    <t>SOLINCA reserva-se o direito de livremente
modificar as actividades e horários</t>
  </si>
  <si>
    <t>17h00</t>
  </si>
  <si>
    <t>20h00</t>
  </si>
  <si>
    <t>12h45</t>
  </si>
  <si>
    <t>11h30</t>
  </si>
  <si>
    <t>18h00</t>
  </si>
  <si>
    <t>19h00</t>
  </si>
  <si>
    <t>20h15</t>
  </si>
  <si>
    <t>Total</t>
  </si>
  <si>
    <t>ABS</t>
  </si>
  <si>
    <t>RPM</t>
  </si>
  <si>
    <t>TRX</t>
  </si>
  <si>
    <t>Domingo</t>
  </si>
  <si>
    <t>Sigla</t>
  </si>
  <si>
    <t>3B</t>
  </si>
  <si>
    <t>20h30</t>
  </si>
  <si>
    <t>GAP</t>
  </si>
  <si>
    <t>2ª FEIRA</t>
  </si>
  <si>
    <t>3ª FEIRA</t>
  </si>
  <si>
    <t>4ª FEIRA</t>
  </si>
  <si>
    <t>5ª FEIRA</t>
  </si>
  <si>
    <t>6ª FEIRA</t>
  </si>
  <si>
    <t>IT</t>
  </si>
  <si>
    <t>VG</t>
  </si>
  <si>
    <t>NT</t>
  </si>
  <si>
    <t>AG</t>
  </si>
  <si>
    <t>2ª</t>
  </si>
  <si>
    <t>3ª</t>
  </si>
  <si>
    <t>4ª</t>
  </si>
  <si>
    <t>5ª</t>
  </si>
  <si>
    <t>6ª</t>
  </si>
  <si>
    <t>Sabado</t>
  </si>
  <si>
    <t>Instrutor</t>
  </si>
  <si>
    <t>Cor</t>
  </si>
  <si>
    <t>TT</t>
  </si>
  <si>
    <t>TOTAL</t>
  </si>
  <si>
    <t>Máximo</t>
  </si>
  <si>
    <t>Diferencial</t>
  </si>
  <si>
    <t>SP</t>
  </si>
  <si>
    <t>CF</t>
  </si>
  <si>
    <t>07h30</t>
  </si>
  <si>
    <t>08h00</t>
  </si>
  <si>
    <t>08h30</t>
  </si>
  <si>
    <t>09h00</t>
  </si>
  <si>
    <t>11h10</t>
  </si>
  <si>
    <t>12h15</t>
  </si>
  <si>
    <t>13h00</t>
  </si>
  <si>
    <t>13h15</t>
  </si>
  <si>
    <t>18h30</t>
  </si>
  <si>
    <t>21h30</t>
  </si>
  <si>
    <t>BODY ATTACK</t>
  </si>
  <si>
    <t>HIDRO POWER</t>
  </si>
  <si>
    <t>S</t>
  </si>
  <si>
    <t>D</t>
  </si>
  <si>
    <t>E1</t>
  </si>
  <si>
    <t>E2</t>
  </si>
  <si>
    <t>AI</t>
  </si>
  <si>
    <t>PS</t>
  </si>
  <si>
    <t>07h00</t>
  </si>
  <si>
    <t>09h30</t>
  </si>
  <si>
    <t>10h30</t>
  </si>
  <si>
    <t>12h00</t>
  </si>
  <si>
    <t>12h30</t>
  </si>
  <si>
    <t>13h30</t>
  </si>
  <si>
    <t>14h00</t>
  </si>
  <si>
    <t>14h30</t>
  </si>
  <si>
    <t>15h00</t>
  </si>
  <si>
    <t>15h30</t>
  </si>
  <si>
    <t>16h00</t>
  </si>
  <si>
    <t>16h30</t>
  </si>
  <si>
    <t>21h00</t>
  </si>
  <si>
    <t>22h00</t>
  </si>
  <si>
    <t>22h30</t>
  </si>
  <si>
    <t>17h30</t>
  </si>
  <si>
    <t>COLÉGIO</t>
  </si>
  <si>
    <t>09h15</t>
  </si>
  <si>
    <t>LIVRE</t>
  </si>
  <si>
    <t>Dur - 45'</t>
  </si>
  <si>
    <t>E3</t>
  </si>
  <si>
    <t>RP</t>
  </si>
  <si>
    <t>07h15</t>
  </si>
  <si>
    <t>HIDRO</t>
  </si>
  <si>
    <t>BODY PUMP</t>
  </si>
  <si>
    <t>PILATES</t>
  </si>
  <si>
    <t>YOGA</t>
  </si>
  <si>
    <t>BODY BALANCE</t>
  </si>
  <si>
    <t>BODY COMBAT</t>
  </si>
  <si>
    <t>POWER JUMP</t>
  </si>
  <si>
    <t>ALONGAMENTOS</t>
  </si>
  <si>
    <t>ZUMBA</t>
  </si>
  <si>
    <t>BODY STEP</t>
  </si>
  <si>
    <t>Piscina | Dur 45'</t>
  </si>
  <si>
    <t>Est. 3 | Dur 55'</t>
  </si>
  <si>
    <t>Est. 2 | Dur 55'</t>
  </si>
  <si>
    <t>Est. 2 | Dur 30'</t>
  </si>
  <si>
    <t>Est. 1 | Dur 55'</t>
  </si>
  <si>
    <t>Est. 2 | Dur 45'</t>
  </si>
  <si>
    <t>Est. 1 | Dur 45'</t>
  </si>
  <si>
    <t>Est. 1 | Dur 30'</t>
  </si>
  <si>
    <t>OP</t>
  </si>
  <si>
    <t>PK</t>
  </si>
  <si>
    <t>SO</t>
  </si>
  <si>
    <t>MAPA DE AULAS DE GRUPO - TONIK</t>
  </si>
  <si>
    <t>07h05</t>
  </si>
  <si>
    <t>LOCAL</t>
  </si>
  <si>
    <t>SPINNING</t>
  </si>
  <si>
    <t>10h15</t>
  </si>
  <si>
    <t>CROSS TONIK</t>
  </si>
  <si>
    <t>WELLTRAINING</t>
  </si>
  <si>
    <t>GINÁSTICA GL</t>
  </si>
  <si>
    <t>10h45</t>
  </si>
  <si>
    <t>AERO LOCAL</t>
  </si>
  <si>
    <t>18h15</t>
  </si>
  <si>
    <t>IN. CROSS TONIK</t>
  </si>
  <si>
    <t>19h15</t>
  </si>
  <si>
    <t>19h40</t>
  </si>
  <si>
    <t>STEP COR.</t>
  </si>
  <si>
    <t>CIR. FUNCIONAL</t>
  </si>
  <si>
    <t>AERÓBICA</t>
  </si>
  <si>
    <t>FIGHT CLUB</t>
  </si>
  <si>
    <t>TONIK BURN</t>
  </si>
  <si>
    <t>18h20</t>
  </si>
  <si>
    <t>BARRA DE CHÃO</t>
  </si>
  <si>
    <t>KIZOMBA</t>
  </si>
  <si>
    <t>KRAV MAGA</t>
  </si>
  <si>
    <t>inserir aulas de natação</t>
  </si>
  <si>
    <t>Carla Ferraz</t>
  </si>
  <si>
    <t>Rita Oliveira</t>
  </si>
  <si>
    <t>André Silva</t>
  </si>
  <si>
    <t>Angelo Orlindo</t>
  </si>
  <si>
    <t>Maria João Reis</t>
  </si>
  <si>
    <t>Pedro Luis</t>
  </si>
  <si>
    <t>Rita Madeira</t>
  </si>
  <si>
    <t>Tulio Fonseca</t>
  </si>
  <si>
    <t>Vasco Santos</t>
  </si>
  <si>
    <t>Rita Crisóstomo</t>
  </si>
  <si>
    <t>Leonor Camilo</t>
  </si>
  <si>
    <t>João Neves</t>
  </si>
  <si>
    <t>Anabela Afonso</t>
  </si>
  <si>
    <t>Patrícia Canário</t>
  </si>
  <si>
    <t>Teodoro Mesquita</t>
  </si>
  <si>
    <t>Luis Belo</t>
  </si>
  <si>
    <t>Luisa Zigue</t>
  </si>
  <si>
    <t>Noel Delgado</t>
  </si>
  <si>
    <t>RM</t>
  </si>
  <si>
    <t>PT</t>
  </si>
  <si>
    <t>Bruno Rebelo</t>
  </si>
  <si>
    <t>Tiago Santos</t>
  </si>
  <si>
    <t>Contato</t>
  </si>
  <si>
    <t>LUISA ZIGUE</t>
  </si>
  <si>
    <t>SANDRA FONTES</t>
  </si>
  <si>
    <t>RITA OLIVEIRA</t>
  </si>
  <si>
    <t>RITA MADEIRA</t>
  </si>
  <si>
    <t>TULIO FONSECA</t>
  </si>
  <si>
    <t>RITA CRISOSTOMO</t>
  </si>
  <si>
    <t>JOAO NEVES</t>
  </si>
  <si>
    <t>ANGELO ORLINDO</t>
  </si>
  <si>
    <t>ANABELA AFONSO</t>
  </si>
  <si>
    <t>TEODORO MESQUITA</t>
  </si>
  <si>
    <t>PATRICIA CANARIO</t>
  </si>
  <si>
    <t>PEDRO MENDES</t>
  </si>
  <si>
    <t>LEONOR CAMILO</t>
  </si>
  <si>
    <t>ANA FORTES</t>
  </si>
  <si>
    <t>LUIS BELO</t>
  </si>
  <si>
    <t>CARLA FERRAZ</t>
  </si>
  <si>
    <t>ANDRE SILVA</t>
  </si>
  <si>
    <t>DANIEL ANTÃO</t>
  </si>
  <si>
    <t>PEDRO MOUZINHO</t>
  </si>
  <si>
    <t>André Dias</t>
  </si>
  <si>
    <t>Ana Fortes</t>
  </si>
  <si>
    <t>Sandra Fontes</t>
  </si>
  <si>
    <t>João Santos</t>
  </si>
  <si>
    <t>Margarida Megre</t>
  </si>
  <si>
    <t>Marco Rocha</t>
  </si>
  <si>
    <t>AF</t>
  </si>
  <si>
    <t>Rui Paulino</t>
  </si>
  <si>
    <t>José Carraca</t>
  </si>
  <si>
    <t>Sérgio Silva</t>
  </si>
  <si>
    <t>ALTA PERF.</t>
  </si>
  <si>
    <t>Monica Marum</t>
  </si>
  <si>
    <t>Tipo</t>
  </si>
  <si>
    <t>PRS</t>
  </si>
  <si>
    <t>INT</t>
  </si>
  <si>
    <t>MAPA DE AULAS DE GRUPO - SOLINCA LARANJEIRAS</t>
  </si>
  <si>
    <t>MAPA DE AULAS DE GRUPO - Solinca Laranjeiras - Piscina</t>
  </si>
  <si>
    <t>ESCOLA DE NATAÇÃO - Solinca Laranjeiras - Piscina</t>
  </si>
  <si>
    <t>JP</t>
  </si>
  <si>
    <t>Local</t>
  </si>
  <si>
    <t>Dimensão (m²)</t>
  </si>
  <si>
    <t>3m²</t>
  </si>
  <si>
    <t>4m²</t>
  </si>
  <si>
    <t>ALO</t>
  </si>
  <si>
    <t>CIR</t>
  </si>
  <si>
    <t>SQA</t>
  </si>
  <si>
    <t>HDP</t>
  </si>
  <si>
    <t>EXT</t>
  </si>
  <si>
    <t>SPR</t>
  </si>
  <si>
    <t>BAT</t>
  </si>
  <si>
    <t>BBB</t>
  </si>
  <si>
    <t>BBL</t>
  </si>
  <si>
    <t>BCB</t>
  </si>
  <si>
    <t>BPM</t>
  </si>
  <si>
    <t>COR</t>
  </si>
  <si>
    <t>DEF</t>
  </si>
  <si>
    <t>HID</t>
  </si>
  <si>
    <t>LOC</t>
  </si>
  <si>
    <t>MST</t>
  </si>
  <si>
    <t>PIL</t>
  </si>
  <si>
    <t>PWJ</t>
  </si>
  <si>
    <t>SHB</t>
  </si>
  <si>
    <t>SOC</t>
  </si>
  <si>
    <t>STP</t>
  </si>
  <si>
    <t>TCH</t>
  </si>
  <si>
    <t>YOG</t>
  </si>
  <si>
    <t>ZUM</t>
  </si>
  <si>
    <t>Estúdio 1</t>
  </si>
  <si>
    <t>Estúdio 2</t>
  </si>
  <si>
    <t>Estúdio 3</t>
  </si>
  <si>
    <t>Alta Performance</t>
  </si>
  <si>
    <t>Estúdio RPM</t>
  </si>
  <si>
    <t>Piscina</t>
  </si>
  <si>
    <t>Interacção</t>
  </si>
  <si>
    <t>Outdoor</t>
  </si>
  <si>
    <t>-</t>
  </si>
  <si>
    <t>Est. B | Dur 55'</t>
  </si>
  <si>
    <t>Est. AP | Dur 55'</t>
  </si>
  <si>
    <t>Est. AP | Dur 45'</t>
  </si>
  <si>
    <t>ALTA PERF</t>
  </si>
  <si>
    <t>Interação</t>
  </si>
  <si>
    <t>Tribes</t>
  </si>
  <si>
    <t>Aulas</t>
  </si>
  <si>
    <t>To Be</t>
  </si>
  <si>
    <t>H</t>
  </si>
  <si>
    <t>FCL</t>
  </si>
  <si>
    <t>CTK</t>
  </si>
  <si>
    <t>Sum</t>
  </si>
  <si>
    <t>AEB</t>
  </si>
  <si>
    <t>AEL</t>
  </si>
  <si>
    <t>BST</t>
  </si>
  <si>
    <t>BVV</t>
  </si>
  <si>
    <t>BDC</t>
  </si>
  <si>
    <t>CFC</t>
  </si>
  <si>
    <t>KMG</t>
  </si>
  <si>
    <t>GGL</t>
  </si>
  <si>
    <t>WLT</t>
  </si>
  <si>
    <t>KIZ</t>
  </si>
  <si>
    <t>SPN</t>
  </si>
  <si>
    <t>TBR</t>
  </si>
  <si>
    <t>TRR</t>
  </si>
  <si>
    <t>Tot</t>
  </si>
  <si>
    <t>2ª feira</t>
  </si>
  <si>
    <t>3ª feira</t>
  </si>
  <si>
    <t>4ª feira</t>
  </si>
  <si>
    <t>5ª feira</t>
  </si>
  <si>
    <t>6ª feira</t>
  </si>
  <si>
    <t>Sábado</t>
  </si>
  <si>
    <t>Nome</t>
  </si>
  <si>
    <t>FH Loures, tem CXWorkx</t>
  </si>
  <si>
    <t>Jazzy  Benfica e Odivelas. Escola Yoga 5 Outubro</t>
  </si>
  <si>
    <t>Level CF. Fitness Hut</t>
  </si>
  <si>
    <t>912 645 230</t>
  </si>
  <si>
    <t>Ana Rita Oliveira</t>
  </si>
  <si>
    <t>963 754 046</t>
  </si>
  <si>
    <t>960 350 760</t>
  </si>
  <si>
    <t>Ligado ao Carlos Santos</t>
  </si>
  <si>
    <t>919 926 798</t>
  </si>
  <si>
    <t>Andreia Amaral</t>
  </si>
  <si>
    <t>916 056 090</t>
  </si>
  <si>
    <t>Não fez estágio profissional</t>
  </si>
  <si>
    <t>Trabalha no Fitness Hut Benfica</t>
  </si>
  <si>
    <t>963 122 887</t>
  </si>
  <si>
    <t>968 870 666</t>
  </si>
  <si>
    <t>Não é de ginásios grandes -&gt; What?</t>
  </si>
  <si>
    <t>Fitness Hut…</t>
  </si>
  <si>
    <t>Crossfit</t>
  </si>
  <si>
    <t>Professor numa escola privada no restelo.</t>
  </si>
  <si>
    <t>918 868 839</t>
  </si>
  <si>
    <t>933 421 296</t>
  </si>
  <si>
    <t>É professor de Educação Física</t>
  </si>
  <si>
    <t>Tem PT's fora</t>
  </si>
  <si>
    <t>Bruno ou Miguel</t>
  </si>
  <si>
    <t>Não é a atividade principal</t>
  </si>
  <si>
    <t>Cedo de manhã, final do dia e Sábado</t>
  </si>
  <si>
    <t>Exclusivo, exceção de uma aula num colégio</t>
  </si>
  <si>
    <t>Rafaela Rede</t>
  </si>
  <si>
    <t>Fitness Hut Amoreiras</t>
  </si>
  <si>
    <t>963 018 933</t>
  </si>
  <si>
    <t>IMFit</t>
  </si>
  <si>
    <t>Luis Cortez</t>
  </si>
  <si>
    <t>931 142 010</t>
  </si>
  <si>
    <t>933 333 615</t>
  </si>
  <si>
    <t>Trabalha para a Galp - assistência técnica Gás</t>
  </si>
  <si>
    <t>936 001 616</t>
  </si>
  <si>
    <t>Se não houver alteração (trabalha desde Janeiro)</t>
  </si>
  <si>
    <t>Está na Quinta da Marinha e Lagoas</t>
  </si>
  <si>
    <t>966 002 915</t>
  </si>
  <si>
    <t>Faz PT's ao domicilio</t>
  </si>
  <si>
    <t>Trabalha no Gofit dos Olivais</t>
  </si>
  <si>
    <t>967 431 680</t>
  </si>
  <si>
    <t>913 482 960</t>
  </si>
  <si>
    <t>Não se sente confiante a dar ag</t>
  </si>
  <si>
    <t>PT's ao domicilio</t>
  </si>
  <si>
    <t>NEEDSCOPE MODEL - TONIK</t>
  </si>
  <si>
    <t>Early Morning</t>
  </si>
  <si>
    <t>Morning</t>
  </si>
  <si>
    <t>Lunch</t>
  </si>
  <si>
    <t>Peak</t>
  </si>
  <si>
    <t>TONIK RUNNERS</t>
  </si>
  <si>
    <t>Late Night</t>
  </si>
  <si>
    <t>Diversão</t>
  </si>
  <si>
    <t>Cardio</t>
  </si>
  <si>
    <t>Força</t>
  </si>
  <si>
    <t>Relax</t>
  </si>
  <si>
    <t>Água</t>
  </si>
  <si>
    <t>WILLIAM</t>
  </si>
  <si>
    <t>STEP</t>
  </si>
  <si>
    <t>MARIA PINA</t>
  </si>
  <si>
    <t>11h15</t>
  </si>
  <si>
    <t>MÓNICA MARUM</t>
  </si>
  <si>
    <t>Est. B | Dur 45'</t>
  </si>
  <si>
    <t>Est. 1 | Dur 55´</t>
  </si>
  <si>
    <t>Est. 1 | Dur 55</t>
  </si>
  <si>
    <t>Est. 1 | Dur ´55</t>
  </si>
  <si>
    <t>Empresa PT</t>
  </si>
  <si>
    <t>JL</t>
  </si>
  <si>
    <t>A</t>
  </si>
  <si>
    <t>B</t>
  </si>
  <si>
    <t>C</t>
  </si>
  <si>
    <t>JOANA SANTOS</t>
  </si>
  <si>
    <t>GR</t>
  </si>
  <si>
    <t>JENIFER PIOVANI</t>
  </si>
  <si>
    <t>GONÇALO RUIVO</t>
  </si>
  <si>
    <t>LEONOR ALBUQ</t>
  </si>
  <si>
    <t>ALM</t>
  </si>
  <si>
    <t>PP</t>
  </si>
  <si>
    <t>ANA FIALHO</t>
  </si>
  <si>
    <t>OCUPADO</t>
  </si>
  <si>
    <t>CONDICIONADO</t>
  </si>
  <si>
    <t>TP</t>
  </si>
  <si>
    <t>CROSS</t>
  </si>
  <si>
    <t>INTRO CROSS</t>
  </si>
  <si>
    <t>BURN</t>
  </si>
  <si>
    <t>LINA</t>
  </si>
  <si>
    <t>360 FIT</t>
  </si>
  <si>
    <t>JORGE COSTA</t>
  </si>
  <si>
    <t>LEOMOR CAMILO</t>
  </si>
  <si>
    <t>TR</t>
  </si>
  <si>
    <t>AD</t>
  </si>
  <si>
    <t>TRB</t>
  </si>
  <si>
    <t>Total com EXT</t>
  </si>
  <si>
    <t>Rac INT/EXT</t>
  </si>
  <si>
    <t>Sobreposição</t>
  </si>
  <si>
    <t>Avaliação Física</t>
  </si>
  <si>
    <t>Personal Training</t>
  </si>
  <si>
    <t>Transição</t>
  </si>
  <si>
    <t>Administrativo</t>
  </si>
  <si>
    <t>Aula Interação</t>
  </si>
  <si>
    <t>Aula Grupo</t>
  </si>
  <si>
    <t>Vigilância</t>
  </si>
  <si>
    <t>Natação</t>
  </si>
  <si>
    <t>Tribe</t>
  </si>
  <si>
    <t>DP</t>
  </si>
  <si>
    <t>Renata Pinho</t>
  </si>
  <si>
    <t>Externo</t>
  </si>
  <si>
    <t>IC</t>
  </si>
  <si>
    <t>CR</t>
  </si>
  <si>
    <t>RME</t>
  </si>
  <si>
    <t>DJ</t>
  </si>
  <si>
    <t>Cláudia Ribeiro</t>
  </si>
  <si>
    <t>LT</t>
  </si>
  <si>
    <t>GZ</t>
  </si>
  <si>
    <t>Sofia Ramos</t>
  </si>
  <si>
    <t>SR</t>
  </si>
  <si>
    <t>RT</t>
  </si>
  <si>
    <t>Rui Teixeira</t>
  </si>
  <si>
    <t>AGO</t>
  </si>
  <si>
    <t>LF</t>
  </si>
  <si>
    <t>Tiago Almeida</t>
  </si>
  <si>
    <t>TA</t>
  </si>
  <si>
    <t>JS</t>
  </si>
  <si>
    <t>IV</t>
  </si>
  <si>
    <t>AC</t>
  </si>
  <si>
    <t>DIP</t>
  </si>
  <si>
    <t>RIM</t>
  </si>
  <si>
    <t>André Gobetti</t>
  </si>
  <si>
    <t>Joana Santos</t>
  </si>
  <si>
    <t>Daniel Janeiro</t>
  </si>
  <si>
    <t>Ricardo Martins</t>
  </si>
  <si>
    <t>David Pinto</t>
  </si>
  <si>
    <t>Graziele</t>
  </si>
  <si>
    <t>Diogo Pinto</t>
  </si>
  <si>
    <t>Isabel Carvalho</t>
  </si>
  <si>
    <t>Ricardo Menezes</t>
  </si>
  <si>
    <t>Ricardo Gonçalves</t>
  </si>
  <si>
    <t>RG</t>
  </si>
  <si>
    <t>Luciana Teixeira</t>
  </si>
  <si>
    <t>Luíz Gustavo</t>
  </si>
  <si>
    <t>LG</t>
  </si>
  <si>
    <t>Ivo Bastos</t>
  </si>
  <si>
    <t>André Costinha</t>
  </si>
  <si>
    <t>Marcos Schmidt</t>
  </si>
  <si>
    <t>MS</t>
  </si>
  <si>
    <t>EDU</t>
  </si>
  <si>
    <t>Olívia Santos</t>
  </si>
  <si>
    <t>OL</t>
  </si>
  <si>
    <t>HL</t>
  </si>
  <si>
    <t>Henrique Leite</t>
  </si>
  <si>
    <t>Ana Ferreira</t>
  </si>
  <si>
    <t>Henrique Azevedo</t>
  </si>
  <si>
    <t>HA</t>
  </si>
  <si>
    <t>Gabriel Rocha</t>
  </si>
  <si>
    <t>Eduardo</t>
  </si>
  <si>
    <t>Carolina</t>
  </si>
  <si>
    <t>CAR</t>
  </si>
  <si>
    <t>Marina Freitas</t>
  </si>
  <si>
    <t>MF</t>
  </si>
  <si>
    <t>NOVA</t>
  </si>
  <si>
    <t>PE</t>
  </si>
  <si>
    <t>Pedro Eugénio</t>
  </si>
  <si>
    <t>Ana Talaia</t>
  </si>
  <si>
    <t>AT</t>
  </si>
  <si>
    <t>Luís Tomás</t>
  </si>
  <si>
    <t>LTS</t>
  </si>
  <si>
    <t>Luísa Fernandes</t>
  </si>
  <si>
    <t>Joberth Diniz</t>
  </si>
  <si>
    <t>JD</t>
  </si>
  <si>
    <t>Mariana Rosa</t>
  </si>
  <si>
    <t>MR</t>
  </si>
  <si>
    <t>Diana Gaio</t>
  </si>
  <si>
    <t>DG</t>
  </si>
  <si>
    <t>Natacha Freitas</t>
  </si>
  <si>
    <t>NF</t>
  </si>
  <si>
    <t>AA</t>
  </si>
  <si>
    <t>Alexandre Alves</t>
  </si>
  <si>
    <t>JI</t>
  </si>
  <si>
    <t>Joana Cunha</t>
  </si>
  <si>
    <t>Beatriz Hortelão</t>
  </si>
  <si>
    <t>BH</t>
  </si>
  <si>
    <t>Marlene Saraiva</t>
  </si>
  <si>
    <t>MRS</t>
  </si>
  <si>
    <t>HA'</t>
  </si>
  <si>
    <t>Ricardo Pereira</t>
  </si>
  <si>
    <t>Adriana Castro</t>
  </si>
  <si>
    <t>Filipa Pinto</t>
  </si>
  <si>
    <t>FP</t>
  </si>
  <si>
    <t>Gualter Pelicano</t>
  </si>
  <si>
    <t>GP</t>
  </si>
  <si>
    <t>JR</t>
  </si>
  <si>
    <t>Joana Ribeiro</t>
  </si>
  <si>
    <t>NOVA AULA</t>
  </si>
  <si>
    <t>NA</t>
  </si>
  <si>
    <t>Raquel Ferraz</t>
  </si>
  <si>
    <t>RF</t>
  </si>
  <si>
    <t>MA</t>
  </si>
  <si>
    <t>Marco António</t>
  </si>
  <si>
    <t>Mafalda Silva</t>
  </si>
  <si>
    <t>MAF</t>
  </si>
  <si>
    <t>MS'</t>
  </si>
  <si>
    <t>Roberta Vanessa</t>
  </si>
  <si>
    <t>RV</t>
  </si>
  <si>
    <t>Leonor Almeida</t>
  </si>
  <si>
    <t>LA</t>
  </si>
  <si>
    <t>RF'</t>
  </si>
  <si>
    <t>PARCEIRO</t>
  </si>
  <si>
    <t>PAR</t>
  </si>
  <si>
    <t>LF'</t>
  </si>
  <si>
    <t>CS</t>
  </si>
  <si>
    <t>LA'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</si>
</sst>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#,##0\ &quot;€&quot;;[Red]\-#,##0\ &quot;€&quot;"/>
    <numFmt numFmtId="44" formatCode="_-* #,##0.00\ &quot;€&quot;_-;\-* #,##0.00\ &quot;€&quot;_-;_-* &quot;-&quot;??\ &quot;€&quot;_-;_-@_-"/>
    <numFmt numFmtId="164" formatCode="_-* #,##0\ _€_-;\-* #,##0\ _€_-;_-* &quot;-&quot;\ _€_-;_-@_-"/>
    <numFmt numFmtId="165" formatCode="_-* #,##0.00\ _€_-;\-* #,##0.00\ _€_-;_-* &quot;-&quot;??\ _€_-;_-@_-"/>
    <numFmt numFmtId="166" formatCode="0.0"/>
    <numFmt numFmtId="167" formatCode="_([$€]* #,##0.00_);_([$€]* \(#,##0.00\);_([$€]* &quot;-&quot;??_);_(@_)"/>
    <numFmt numFmtId="168" formatCode="#,##0;[Red]&quot;-&quot;#,##0"/>
    <numFmt numFmtId="169" formatCode="0%_);\(0%\)"/>
    <numFmt numFmtId="170" formatCode="&quot;$&quot;#,##0_);[Red]\(&quot;$&quot;#,##0\)"/>
    <numFmt numFmtId="171" formatCode="[$-816]mmmm\ yy;@"/>
    <numFmt numFmtId="172" formatCode="0000"/>
  </numFmts>
  <fonts count="47">
    <font>
      <sz val="11"/>
      <color theme="1"/>
      <name val="Calibri"/>
      <family val="2"/>
      <scheme val="minor"/>
    </font>
    <font>
      <sz val="11"/>
      <color rgb="FF921083"/>
      <name val="Museo Sans Rounded 700"/>
      <family val="3"/>
    </font>
    <font>
      <sz val="11"/>
      <color rgb="FF8B138E"/>
      <name val="Museo Sans Rounded 700"/>
      <family val="3"/>
    </font>
    <font>
      <sz val="20"/>
      <color rgb="FF921083"/>
      <name val="Museo Sans Rounded 700"/>
      <family val="3"/>
    </font>
    <font>
      <sz val="11"/>
      <color theme="1"/>
      <name val="Museo Sans Rounded 100"/>
      <family val="3"/>
    </font>
    <font>
      <sz val="10"/>
      <color theme="1"/>
      <name val="Museo Sans Rounded 100"/>
      <family val="3"/>
    </font>
    <font>
      <sz val="8"/>
      <color theme="1"/>
      <name val="Museo Sans Rounded 300"/>
      <family val="3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ahoma"/>
      <family val="2"/>
    </font>
    <font>
      <b/>
      <sz val="8"/>
      <color theme="1"/>
      <name val="Tahoma"/>
      <family val="2"/>
    </font>
    <font>
      <b/>
      <sz val="8"/>
      <name val="Tahoma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MS Sans Serif"/>
      <family val="2"/>
    </font>
    <font>
      <b/>
      <sz val="10"/>
      <color indexed="10"/>
      <name val="Arial"/>
      <family val="2"/>
    </font>
    <font>
      <sz val="8"/>
      <color theme="1"/>
      <name val="Tahoma"/>
      <family val="2"/>
    </font>
    <font>
      <sz val="10"/>
      <name val="Arial"/>
      <family val="2"/>
    </font>
    <font>
      <sz val="6"/>
      <color theme="1"/>
      <name val="Tahoma"/>
      <family val="2"/>
    </font>
    <font>
      <sz val="7"/>
      <name val="Tahoma"/>
      <family val="2"/>
    </font>
    <font>
      <b/>
      <sz val="7"/>
      <name val="Tahoma"/>
      <family val="2"/>
    </font>
    <font>
      <sz val="14"/>
      <color theme="0"/>
      <name val="Calibri"/>
      <family val="2"/>
      <scheme val="minor"/>
    </font>
    <font>
      <sz val="6"/>
      <name val="Tahoma"/>
      <family val="2"/>
    </font>
    <font>
      <sz val="8"/>
      <color rgb="FFFF0000"/>
      <name val="Tahoma"/>
      <family val="2"/>
    </font>
    <font>
      <sz val="12"/>
      <color theme="1"/>
      <name val="Calibri"/>
      <family val="2"/>
      <scheme val="minor"/>
    </font>
    <font>
      <sz val="12"/>
      <color rgb="FF8B138E"/>
      <name val="Museo Sans Rounded 700"/>
      <family val="3"/>
    </font>
    <font>
      <sz val="11"/>
      <color theme="0"/>
      <name val="Calibri"/>
      <family val="2"/>
      <scheme val="minor"/>
    </font>
    <font>
      <sz val="8"/>
      <color theme="0"/>
      <name val="Museo Sans Rounded 300"/>
      <family val="3"/>
    </font>
    <font>
      <sz val="14"/>
      <color rgb="FFFF0000"/>
      <name val="Calibri"/>
      <family val="2"/>
      <scheme val="minor"/>
    </font>
    <font>
      <sz val="6.5"/>
      <name val="Tahoma"/>
      <family val="2"/>
    </font>
    <font>
      <b/>
      <sz val="7"/>
      <color theme="1"/>
      <name val="Tahoma"/>
      <family val="2"/>
    </font>
    <font>
      <sz val="7"/>
      <color theme="1"/>
      <name val="Tahoma"/>
      <family val="2"/>
    </font>
    <font>
      <sz val="7"/>
      <color theme="0"/>
      <name val="Tahoma"/>
      <family val="2"/>
    </font>
    <font>
      <sz val="7"/>
      <color rgb="FFFF0000"/>
      <name val="Tahoma"/>
      <family val="2"/>
    </font>
    <font>
      <sz val="10"/>
      <color theme="1"/>
      <name val="Museo Sans Rounded 700"/>
      <family val="3"/>
    </font>
    <font>
      <sz val="8"/>
      <color theme="0"/>
      <name val="Tahoma"/>
      <family val="2"/>
    </font>
    <font>
      <sz val="6"/>
      <color theme="0"/>
      <name val="Tahoma"/>
      <family val="2"/>
    </font>
    <font>
      <sz val="12"/>
      <color theme="0"/>
      <name val="Calibri"/>
      <family val="2"/>
      <scheme val="minor"/>
    </font>
    <font>
      <sz val="8"/>
      <name val="Museo Sans Rounded 300"/>
      <family val="3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8"/>
      <color theme="1"/>
      <name val="Tahoma"/>
      <family val="2"/>
    </font>
    <font>
      <sz val="8"/>
      <name val="Calibri"/>
      <family val="2"/>
      <scheme val="minor"/>
    </font>
    <font>
      <b/>
      <sz val="8"/>
      <color rgb="FFFF0000"/>
      <name val="Tahoma"/>
      <family val="2"/>
    </font>
    <font>
      <i/>
      <sz val="6"/>
      <color theme="1"/>
      <name val="Tahoma"/>
      <family val="2"/>
    </font>
    <font>
      <b/>
      <sz val="6"/>
      <color theme="1"/>
      <name val="Tahoma"/>
      <family val="2"/>
    </font>
  </fonts>
  <fills count="5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DFFBD"/>
        <bgColor indexed="64"/>
      </patternFill>
    </fill>
    <fill>
      <patternFill patternType="solid">
        <fgColor rgb="FF33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6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012">
    <xf numFmtId="0" fontId="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7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9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15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6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8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0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164" fontId="12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4" fontId="8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167" fontId="13" fillId="0" borderId="0" applyFont="0" applyFill="0" applyBorder="0" applyAlignment="0" applyProtection="0"/>
    <xf numFmtId="14" fontId="14" fillId="18" borderId="2">
      <alignment horizontal="center" vertical="center" wrapText="1"/>
    </xf>
    <xf numFmtId="168" fontId="15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0" fontId="7" fillId="4" borderId="1" applyNumberFormat="0" applyFont="0" applyAlignment="0" applyProtection="0"/>
    <xf numFmtId="16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6" fillId="0" borderId="0" applyFill="0" applyBorder="0" applyProtection="0">
      <alignment horizontal="left" vertical="top"/>
    </xf>
    <xf numFmtId="170" fontId="15" fillId="0" borderId="0" applyFont="0" applyFill="0" applyBorder="0" applyAlignment="0" applyProtection="0"/>
    <xf numFmtId="0" fontId="18" fillId="0" borderId="0"/>
    <xf numFmtId="0" fontId="8" fillId="0" borderId="0"/>
    <xf numFmtId="9" fontId="7" fillId="0" borderId="0" applyFont="0" applyFill="0" applyBorder="0" applyAlignment="0" applyProtection="0"/>
  </cellStyleXfs>
  <cellXfs count="479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0" fillId="2" borderId="0" xfId="0" applyFill="1"/>
    <xf numFmtId="0" fontId="6" fillId="2" borderId="0" xfId="0" applyFont="1" applyFill="1" applyAlignment="1">
      <alignment horizontal="center" vertical="center"/>
    </xf>
    <xf numFmtId="6" fontId="0" fillId="0" borderId="0" xfId="0" applyNumberFormat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9" fillId="3" borderId="0" xfId="3009" applyFont="1" applyFill="1" applyAlignment="1">
      <alignment horizontal="center" vertical="center"/>
    </xf>
    <xf numFmtId="0" fontId="9" fillId="3" borderId="8" xfId="3009" applyFont="1" applyFill="1" applyBorder="1" applyAlignment="1">
      <alignment vertical="center"/>
    </xf>
    <xf numFmtId="0" fontId="9" fillId="3" borderId="19" xfId="3009" applyFont="1" applyFill="1" applyBorder="1" applyAlignment="1">
      <alignment vertical="center"/>
    </xf>
    <xf numFmtId="171" fontId="20" fillId="3" borderId="5" xfId="3009" applyNumberFormat="1" applyFont="1" applyFill="1" applyBorder="1" applyAlignment="1">
      <alignment horizontal="center" vertical="center"/>
    </xf>
    <xf numFmtId="171" fontId="20" fillId="3" borderId="3" xfId="3009" applyNumberFormat="1" applyFont="1" applyFill="1" applyBorder="1" applyAlignment="1">
      <alignment horizontal="center" vertical="center"/>
    </xf>
    <xf numFmtId="171" fontId="20" fillId="3" borderId="6" xfId="3009" applyNumberFormat="1" applyFont="1" applyFill="1" applyBorder="1" applyAlignment="1">
      <alignment horizontal="center" vertical="center"/>
    </xf>
    <xf numFmtId="0" fontId="9" fillId="3" borderId="0" xfId="3009" applyFont="1" applyFill="1" applyAlignment="1">
      <alignment vertical="center"/>
    </xf>
    <xf numFmtId="0" fontId="9" fillId="3" borderId="24" xfId="3009" applyFont="1" applyFill="1" applyBorder="1" applyAlignment="1">
      <alignment vertical="center"/>
    </xf>
    <xf numFmtId="0" fontId="9" fillId="3" borderId="7" xfId="3009" applyFont="1" applyFill="1" applyBorder="1" applyAlignment="1">
      <alignment vertical="center"/>
    </xf>
    <xf numFmtId="0" fontId="9" fillId="3" borderId="23" xfId="3009" applyFont="1" applyFill="1" applyBorder="1" applyAlignment="1">
      <alignment vertical="center"/>
    </xf>
    <xf numFmtId="0" fontId="20" fillId="3" borderId="0" xfId="3009" applyFont="1" applyFill="1" applyAlignment="1">
      <alignment horizontal="center" vertical="center"/>
    </xf>
    <xf numFmtId="44" fontId="20" fillId="3" borderId="0" xfId="2222" applyFont="1" applyFill="1" applyAlignment="1">
      <alignment horizontal="center" vertical="center"/>
    </xf>
    <xf numFmtId="1" fontId="20" fillId="3" borderId="0" xfId="3009" applyNumberFormat="1" applyFont="1" applyFill="1" applyAlignment="1">
      <alignment horizontal="center" vertical="center"/>
    </xf>
    <xf numFmtId="0" fontId="20" fillId="3" borderId="14" xfId="3009" applyFont="1" applyFill="1" applyBorder="1" applyAlignment="1">
      <alignment horizontal="center" vertical="center"/>
    </xf>
    <xf numFmtId="0" fontId="17" fillId="3" borderId="5" xfId="3009" applyFont="1" applyFill="1" applyBorder="1" applyAlignment="1">
      <alignment horizontal="left" vertical="center" wrapText="1"/>
    </xf>
    <xf numFmtId="1" fontId="20" fillId="3" borderId="2" xfId="3009" applyNumberFormat="1" applyFont="1" applyFill="1" applyBorder="1" applyAlignment="1">
      <alignment horizontal="center" vertical="center"/>
    </xf>
    <xf numFmtId="171" fontId="10" fillId="3" borderId="29" xfId="3009" applyNumberFormat="1" applyFont="1" applyFill="1" applyBorder="1" applyAlignment="1">
      <alignment horizontal="left" vertical="center"/>
    </xf>
    <xf numFmtId="171" fontId="10" fillId="3" borderId="4" xfId="3009" applyNumberFormat="1" applyFont="1" applyFill="1" applyBorder="1" applyAlignment="1">
      <alignment horizontal="left" vertical="center"/>
    </xf>
    <xf numFmtId="0" fontId="17" fillId="3" borderId="4" xfId="3009" applyFont="1" applyFill="1" applyBorder="1" applyAlignment="1">
      <alignment horizontal="left" vertical="center"/>
    </xf>
    <xf numFmtId="0" fontId="17" fillId="3" borderId="0" xfId="3009" applyFont="1" applyFill="1" applyAlignment="1">
      <alignment horizontal="left" vertical="center"/>
    </xf>
    <xf numFmtId="0" fontId="22" fillId="21" borderId="0" xfId="0" applyFont="1" applyFill="1" applyAlignment="1">
      <alignment horizontal="center" vertical="center"/>
    </xf>
    <xf numFmtId="0" fontId="0" fillId="3" borderId="0" xfId="0" applyFill="1"/>
    <xf numFmtId="0" fontId="9" fillId="3" borderId="8" xfId="3009" applyFont="1" applyFill="1" applyBorder="1" applyAlignment="1">
      <alignment horizontal="center" vertical="center"/>
    </xf>
    <xf numFmtId="0" fontId="11" fillId="3" borderId="0" xfId="3009" applyFont="1" applyFill="1" applyAlignment="1">
      <alignment horizontal="center" vertical="center"/>
    </xf>
    <xf numFmtId="2" fontId="23" fillId="3" borderId="0" xfId="3009" applyNumberFormat="1" applyFont="1" applyFill="1" applyAlignment="1">
      <alignment horizontal="center" vertical="center"/>
    </xf>
    <xf numFmtId="2" fontId="23" fillId="3" borderId="7" xfId="3009" applyNumberFormat="1" applyFont="1" applyFill="1" applyBorder="1" applyAlignment="1">
      <alignment horizontal="center" vertical="center"/>
    </xf>
    <xf numFmtId="0" fontId="11" fillId="3" borderId="0" xfId="3009" applyFont="1" applyFill="1" applyAlignment="1">
      <alignment vertical="center"/>
    </xf>
    <xf numFmtId="0" fontId="11" fillId="3" borderId="24" xfId="3009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2" fillId="22" borderId="0" xfId="0" applyFont="1" applyFill="1" applyAlignment="1">
      <alignment horizontal="center" vertical="center"/>
    </xf>
    <xf numFmtId="0" fontId="22" fillId="20" borderId="0" xfId="0" applyFont="1" applyFill="1" applyAlignment="1">
      <alignment horizontal="center" vertical="center"/>
    </xf>
    <xf numFmtId="0" fontId="0" fillId="25" borderId="0" xfId="0" applyFill="1"/>
    <xf numFmtId="0" fontId="25" fillId="25" borderId="0" xfId="0" applyFont="1" applyFill="1" applyAlignment="1">
      <alignment horizontal="center" vertical="center"/>
    </xf>
    <xf numFmtId="0" fontId="25" fillId="0" borderId="0" xfId="0" applyFont="1"/>
    <xf numFmtId="0" fontId="26" fillId="0" borderId="0" xfId="0" applyFont="1" applyAlignment="1">
      <alignment horizontal="center" vertical="center"/>
    </xf>
    <xf numFmtId="2" fontId="0" fillId="0" borderId="36" xfId="0" applyNumberForma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7" fillId="3" borderId="0" xfId="3010" applyFont="1" applyFill="1" applyAlignment="1">
      <alignment horizontal="center" vertical="center"/>
    </xf>
    <xf numFmtId="0" fontId="17" fillId="3" borderId="4" xfId="3010" applyFont="1" applyFill="1" applyBorder="1" applyAlignment="1">
      <alignment horizontal="center" vertical="center"/>
    </xf>
    <xf numFmtId="0" fontId="19" fillId="3" borderId="0" xfId="3010" applyFont="1" applyFill="1" applyAlignment="1">
      <alignment horizontal="center" vertical="center"/>
    </xf>
    <xf numFmtId="20" fontId="17" fillId="3" borderId="5" xfId="3010" applyNumberFormat="1" applyFont="1" applyFill="1" applyBorder="1" applyAlignment="1">
      <alignment horizontal="center" vertical="center"/>
    </xf>
    <xf numFmtId="0" fontId="19" fillId="3" borderId="3" xfId="3010" applyFont="1" applyFill="1" applyBorder="1" applyAlignment="1">
      <alignment horizontal="center" vertical="center"/>
    </xf>
    <xf numFmtId="0" fontId="19" fillId="3" borderId="4" xfId="3010" applyFont="1" applyFill="1" applyBorder="1" applyAlignment="1">
      <alignment horizontal="center" vertical="center"/>
    </xf>
    <xf numFmtId="0" fontId="19" fillId="3" borderId="6" xfId="3010" applyFont="1" applyFill="1" applyBorder="1" applyAlignment="1">
      <alignment horizontal="center" vertical="center"/>
    </xf>
    <xf numFmtId="0" fontId="19" fillId="3" borderId="5" xfId="3010" applyFont="1" applyFill="1" applyBorder="1" applyAlignment="1">
      <alignment horizontal="center" vertical="center"/>
    </xf>
    <xf numFmtId="0" fontId="19" fillId="3" borderId="40" xfId="3010" applyFont="1" applyFill="1" applyBorder="1" applyAlignment="1">
      <alignment horizontal="center" vertical="center"/>
    </xf>
    <xf numFmtId="0" fontId="19" fillId="3" borderId="41" xfId="3010" applyFont="1" applyFill="1" applyBorder="1" applyAlignment="1">
      <alignment horizontal="center" vertical="center"/>
    </xf>
    <xf numFmtId="0" fontId="19" fillId="3" borderId="23" xfId="3010" applyFont="1" applyFill="1" applyBorder="1" applyAlignment="1">
      <alignment horizontal="center" vertical="center"/>
    </xf>
    <xf numFmtId="0" fontId="19" fillId="3" borderId="34" xfId="3010" applyFont="1" applyFill="1" applyBorder="1" applyAlignment="1">
      <alignment horizontal="center" vertical="center"/>
    </xf>
    <xf numFmtId="0" fontId="19" fillId="3" borderId="36" xfId="3010" applyFont="1" applyFill="1" applyBorder="1" applyAlignment="1">
      <alignment horizontal="center" vertical="center"/>
    </xf>
    <xf numFmtId="0" fontId="19" fillId="3" borderId="42" xfId="3010" applyFont="1" applyFill="1" applyBorder="1" applyAlignment="1">
      <alignment horizontal="center" vertical="center"/>
    </xf>
    <xf numFmtId="0" fontId="19" fillId="3" borderId="3" xfId="3010" applyFont="1" applyFill="1" applyBorder="1" applyAlignment="1">
      <alignment horizontal="center" vertical="center" wrapText="1"/>
    </xf>
    <xf numFmtId="0" fontId="19" fillId="3" borderId="11" xfId="3010" applyFont="1" applyFill="1" applyBorder="1" applyAlignment="1">
      <alignment horizontal="center" vertical="center"/>
    </xf>
    <xf numFmtId="0" fontId="19" fillId="3" borderId="19" xfId="3010" applyFont="1" applyFill="1" applyBorder="1" applyAlignment="1">
      <alignment horizontal="center" vertical="center"/>
    </xf>
    <xf numFmtId="0" fontId="19" fillId="3" borderId="12" xfId="3010" applyFont="1" applyFill="1" applyBorder="1" applyAlignment="1">
      <alignment horizontal="center" vertical="center"/>
    </xf>
    <xf numFmtId="0" fontId="19" fillId="3" borderId="18" xfId="3010" applyFont="1" applyFill="1" applyBorder="1" applyAlignment="1">
      <alignment horizontal="center" vertical="center"/>
    </xf>
    <xf numFmtId="0" fontId="19" fillId="3" borderId="43" xfId="3010" applyFont="1" applyFill="1" applyBorder="1" applyAlignment="1">
      <alignment horizontal="center" vertical="center"/>
    </xf>
    <xf numFmtId="20" fontId="17" fillId="3" borderId="25" xfId="3010" applyNumberFormat="1" applyFont="1" applyFill="1" applyBorder="1" applyAlignment="1">
      <alignment horizontal="center" vertical="center"/>
    </xf>
    <xf numFmtId="0" fontId="19" fillId="3" borderId="26" xfId="3010" applyFont="1" applyFill="1" applyBorder="1" applyAlignment="1">
      <alignment horizontal="center" vertical="center"/>
    </xf>
    <xf numFmtId="0" fontId="19" fillId="3" borderId="33" xfId="3010" applyFont="1" applyFill="1" applyBorder="1" applyAlignment="1">
      <alignment horizontal="center" vertical="center"/>
    </xf>
    <xf numFmtId="0" fontId="19" fillId="3" borderId="27" xfId="3010" applyFont="1" applyFill="1" applyBorder="1" applyAlignment="1">
      <alignment horizontal="center" vertical="center"/>
    </xf>
    <xf numFmtId="0" fontId="19" fillId="3" borderId="25" xfId="3010" applyFont="1" applyFill="1" applyBorder="1" applyAlignment="1">
      <alignment horizontal="center" vertical="center"/>
    </xf>
    <xf numFmtId="0" fontId="19" fillId="3" borderId="44" xfId="3010" applyFont="1" applyFill="1" applyBorder="1" applyAlignment="1">
      <alignment horizontal="center" vertical="center"/>
    </xf>
    <xf numFmtId="0" fontId="27" fillId="2" borderId="0" xfId="0" applyFont="1" applyFill="1"/>
    <xf numFmtId="0" fontId="27" fillId="0" borderId="0" xfId="0" applyFont="1"/>
    <xf numFmtId="0" fontId="28" fillId="2" borderId="0" xfId="0" applyFont="1" applyFill="1" applyAlignment="1">
      <alignment horizontal="center" vertical="center"/>
    </xf>
    <xf numFmtId="166" fontId="21" fillId="3" borderId="6" xfId="3009" applyNumberFormat="1" applyFont="1" applyFill="1" applyBorder="1" applyAlignment="1">
      <alignment horizontal="center" vertical="center"/>
    </xf>
    <xf numFmtId="166" fontId="30" fillId="3" borderId="5" xfId="3009" applyNumberFormat="1" applyFont="1" applyFill="1" applyBorder="1" applyAlignment="1">
      <alignment horizontal="center" vertical="center"/>
    </xf>
    <xf numFmtId="166" fontId="30" fillId="3" borderId="3" xfId="3009" applyNumberFormat="1" applyFont="1" applyFill="1" applyBorder="1" applyAlignment="1">
      <alignment horizontal="center" vertical="center"/>
    </xf>
    <xf numFmtId="166" fontId="30" fillId="3" borderId="6" xfId="3009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66" fontId="10" fillId="3" borderId="46" xfId="1" applyNumberFormat="1" applyFont="1" applyFill="1" applyBorder="1" applyAlignment="1">
      <alignment horizontal="left" vertical="center"/>
    </xf>
    <xf numFmtId="166" fontId="10" fillId="3" borderId="46" xfId="1" applyNumberFormat="1" applyFont="1" applyFill="1" applyBorder="1" applyAlignment="1">
      <alignment horizontal="center" vertical="center"/>
    </xf>
    <xf numFmtId="166" fontId="9" fillId="3" borderId="46" xfId="1" applyNumberFormat="1" applyFont="1" applyFill="1" applyBorder="1" applyAlignment="1">
      <alignment horizontal="center" vertical="center"/>
    </xf>
    <xf numFmtId="0" fontId="9" fillId="3" borderId="0" xfId="1" applyFont="1" applyFill="1" applyAlignment="1">
      <alignment horizontal="center" vertical="center"/>
    </xf>
    <xf numFmtId="166" fontId="9" fillId="3" borderId="46" xfId="1" applyNumberFormat="1" applyFont="1" applyFill="1" applyBorder="1" applyAlignment="1">
      <alignment horizontal="left" vertical="center"/>
    </xf>
    <xf numFmtId="1" fontId="17" fillId="3" borderId="46" xfId="1" applyNumberFormat="1" applyFont="1" applyFill="1" applyBorder="1" applyAlignment="1">
      <alignment horizontal="center" vertical="center"/>
    </xf>
    <xf numFmtId="1" fontId="17" fillId="20" borderId="46" xfId="1" applyNumberFormat="1" applyFont="1" applyFill="1" applyBorder="1" applyAlignment="1">
      <alignment horizontal="center" vertical="center"/>
    </xf>
    <xf numFmtId="1" fontId="17" fillId="19" borderId="46" xfId="1" applyNumberFormat="1" applyFont="1" applyFill="1" applyBorder="1" applyAlignment="1">
      <alignment horizontal="center" vertical="center"/>
    </xf>
    <xf numFmtId="1" fontId="17" fillId="26" borderId="46" xfId="1" applyNumberFormat="1" applyFont="1" applyFill="1" applyBorder="1" applyAlignment="1">
      <alignment horizontal="center" vertical="center"/>
    </xf>
    <xf numFmtId="1" fontId="17" fillId="27" borderId="46" xfId="1" applyNumberFormat="1" applyFont="1" applyFill="1" applyBorder="1" applyAlignment="1">
      <alignment horizontal="center" vertical="center"/>
    </xf>
    <xf numFmtId="1" fontId="17" fillId="28" borderId="46" xfId="1" applyNumberFormat="1" applyFont="1" applyFill="1" applyBorder="1" applyAlignment="1">
      <alignment horizontal="center" vertical="center"/>
    </xf>
    <xf numFmtId="1" fontId="17" fillId="30" borderId="46" xfId="1" applyNumberFormat="1" applyFont="1" applyFill="1" applyBorder="1" applyAlignment="1">
      <alignment horizontal="center" vertical="center"/>
    </xf>
    <xf numFmtId="0" fontId="24" fillId="3" borderId="0" xfId="1" applyFont="1" applyFill="1" applyAlignment="1">
      <alignment horizontal="center" vertical="center"/>
    </xf>
    <xf numFmtId="0" fontId="21" fillId="3" borderId="0" xfId="1" applyFont="1" applyFill="1" applyAlignment="1">
      <alignment horizontal="center" vertical="center"/>
    </xf>
    <xf numFmtId="0" fontId="20" fillId="3" borderId="0" xfId="1" applyFont="1" applyFill="1" applyAlignment="1">
      <alignment horizontal="center" vertical="center"/>
    </xf>
    <xf numFmtId="166" fontId="20" fillId="3" borderId="0" xfId="1" applyNumberFormat="1" applyFont="1" applyFill="1" applyAlignment="1">
      <alignment horizontal="center" vertical="center"/>
    </xf>
    <xf numFmtId="0" fontId="20" fillId="3" borderId="0" xfId="1" applyFont="1" applyFill="1" applyAlignment="1">
      <alignment horizontal="left" vertical="center"/>
    </xf>
    <xf numFmtId="166" fontId="31" fillId="3" borderId="46" xfId="1" applyNumberFormat="1" applyFont="1" applyFill="1" applyBorder="1" applyAlignment="1">
      <alignment horizontal="left" vertical="center"/>
    </xf>
    <xf numFmtId="166" fontId="32" fillId="3" borderId="46" xfId="1" applyNumberFormat="1" applyFont="1" applyFill="1" applyBorder="1" applyAlignment="1">
      <alignment horizontal="center" vertical="center"/>
    </xf>
    <xf numFmtId="166" fontId="20" fillId="3" borderId="46" xfId="1" applyNumberFormat="1" applyFont="1" applyFill="1" applyBorder="1" applyAlignment="1">
      <alignment horizontal="center" vertical="center"/>
    </xf>
    <xf numFmtId="0" fontId="21" fillId="3" borderId="46" xfId="1" applyFont="1" applyFill="1" applyBorder="1" applyAlignment="1">
      <alignment horizontal="center" vertical="center"/>
    </xf>
    <xf numFmtId="166" fontId="21" fillId="3" borderId="46" xfId="1" applyNumberFormat="1" applyFont="1" applyFill="1" applyBorder="1" applyAlignment="1">
      <alignment horizontal="left" vertical="center"/>
    </xf>
    <xf numFmtId="1" fontId="20" fillId="31" borderId="46" xfId="1" applyNumberFormat="1" applyFont="1" applyFill="1" applyBorder="1" applyAlignment="1">
      <alignment horizontal="center" vertical="center"/>
    </xf>
    <xf numFmtId="1" fontId="20" fillId="32" borderId="46" xfId="1" applyNumberFormat="1" applyFont="1" applyFill="1" applyBorder="1" applyAlignment="1">
      <alignment horizontal="center" vertical="center"/>
    </xf>
    <xf numFmtId="1" fontId="20" fillId="3" borderId="46" xfId="1" applyNumberFormat="1" applyFont="1" applyFill="1" applyBorder="1" applyAlignment="1">
      <alignment horizontal="center" vertical="center"/>
    </xf>
    <xf numFmtId="1" fontId="21" fillId="3" borderId="46" xfId="1" applyNumberFormat="1" applyFont="1" applyFill="1" applyBorder="1" applyAlignment="1">
      <alignment horizontal="center" vertical="center"/>
    </xf>
    <xf numFmtId="1" fontId="20" fillId="20" borderId="46" xfId="1" applyNumberFormat="1" applyFont="1" applyFill="1" applyBorder="1" applyAlignment="1">
      <alignment horizontal="center" vertical="center"/>
    </xf>
    <xf numFmtId="1" fontId="20" fillId="19" borderId="46" xfId="1" applyNumberFormat="1" applyFont="1" applyFill="1" applyBorder="1" applyAlignment="1">
      <alignment horizontal="center" vertical="center"/>
    </xf>
    <xf numFmtId="1" fontId="20" fillId="26" borderId="46" xfId="1" applyNumberFormat="1" applyFont="1" applyFill="1" applyBorder="1" applyAlignment="1">
      <alignment horizontal="center" vertical="center"/>
    </xf>
    <xf numFmtId="1" fontId="33" fillId="27" borderId="46" xfId="1" applyNumberFormat="1" applyFont="1" applyFill="1" applyBorder="1" applyAlignment="1">
      <alignment horizontal="center" vertical="center"/>
    </xf>
    <xf numFmtId="1" fontId="20" fillId="17" borderId="46" xfId="1" applyNumberFormat="1" applyFont="1" applyFill="1" applyBorder="1" applyAlignment="1">
      <alignment horizontal="center" vertical="center"/>
    </xf>
    <xf numFmtId="1" fontId="20" fillId="33" borderId="46" xfId="1" applyNumberFormat="1" applyFont="1" applyFill="1" applyBorder="1" applyAlignment="1">
      <alignment horizontal="center" vertical="center"/>
    </xf>
    <xf numFmtId="1" fontId="20" fillId="34" borderId="46" xfId="1" applyNumberFormat="1" applyFont="1" applyFill="1" applyBorder="1" applyAlignment="1">
      <alignment horizontal="center" vertical="center"/>
    </xf>
    <xf numFmtId="1" fontId="20" fillId="28" borderId="46" xfId="1" applyNumberFormat="1" applyFont="1" applyFill="1" applyBorder="1" applyAlignment="1">
      <alignment horizontal="center" vertical="center"/>
    </xf>
    <xf numFmtId="1" fontId="33" fillId="29" borderId="46" xfId="1" applyNumberFormat="1" applyFont="1" applyFill="1" applyBorder="1" applyAlignment="1">
      <alignment horizontal="center" vertical="center"/>
    </xf>
    <xf numFmtId="1" fontId="20" fillId="30" borderId="46" xfId="1" applyNumberFormat="1" applyFont="1" applyFill="1" applyBorder="1" applyAlignment="1">
      <alignment horizontal="center" vertical="center"/>
    </xf>
    <xf numFmtId="0" fontId="21" fillId="3" borderId="0" xfId="1" applyFont="1" applyFill="1" applyAlignment="1">
      <alignment horizontal="left" vertical="center"/>
    </xf>
    <xf numFmtId="1" fontId="21" fillId="3" borderId="0" xfId="1" applyNumberFormat="1" applyFont="1" applyFill="1" applyAlignment="1">
      <alignment horizontal="center" vertical="center"/>
    </xf>
    <xf numFmtId="166" fontId="21" fillId="25" borderId="46" xfId="1" applyNumberFormat="1" applyFont="1" applyFill="1" applyBorder="1" applyAlignment="1">
      <alignment horizontal="left" vertical="center"/>
    </xf>
    <xf numFmtId="166" fontId="20" fillId="25" borderId="46" xfId="1" applyNumberFormat="1" applyFont="1" applyFill="1" applyBorder="1" applyAlignment="1">
      <alignment horizontal="center" vertical="center"/>
    </xf>
    <xf numFmtId="172" fontId="20" fillId="25" borderId="46" xfId="1" applyNumberFormat="1" applyFont="1" applyFill="1" applyBorder="1" applyAlignment="1">
      <alignment horizontal="center" vertical="center"/>
    </xf>
    <xf numFmtId="0" fontId="34" fillId="3" borderId="0" xfId="1" applyFont="1" applyFill="1" applyAlignment="1">
      <alignment horizontal="left" vertical="center"/>
    </xf>
    <xf numFmtId="0" fontId="0" fillId="2" borderId="14" xfId="0" applyFill="1" applyBorder="1"/>
    <xf numFmtId="0" fontId="0" fillId="0" borderId="14" xfId="0" applyBorder="1"/>
    <xf numFmtId="0" fontId="6" fillId="17" borderId="14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5" borderId="14" xfId="0" applyFont="1" applyFill="1" applyBorder="1" applyAlignment="1">
      <alignment horizontal="center" vertical="center"/>
    </xf>
    <xf numFmtId="0" fontId="0" fillId="3" borderId="14" xfId="0" applyFill="1" applyBorder="1"/>
    <xf numFmtId="0" fontId="6" fillId="3" borderId="15" xfId="0" applyFont="1" applyFill="1" applyBorder="1" applyAlignment="1">
      <alignment horizontal="center" vertical="center"/>
    </xf>
    <xf numFmtId="0" fontId="25" fillId="0" borderId="10" xfId="0" applyFont="1" applyBorder="1"/>
    <xf numFmtId="0" fontId="6" fillId="3" borderId="0" xfId="0" applyFont="1" applyFill="1" applyAlignment="1">
      <alignment horizontal="center" vertical="center"/>
    </xf>
    <xf numFmtId="0" fontId="6" fillId="29" borderId="0" xfId="0" applyFont="1" applyFill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6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/>
    <xf numFmtId="0" fontId="25" fillId="0" borderId="2" xfId="0" applyFont="1" applyBorder="1"/>
    <xf numFmtId="0" fontId="25" fillId="25" borderId="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5" fillId="0" borderId="17" xfId="0" applyFont="1" applyBorder="1"/>
    <xf numFmtId="0" fontId="6" fillId="19" borderId="14" xfId="0" applyFont="1" applyFill="1" applyBorder="1" applyAlignment="1">
      <alignment horizontal="center" vertical="center"/>
    </xf>
    <xf numFmtId="0" fontId="26" fillId="3" borderId="0" xfId="0" applyFont="1" applyFill="1" applyAlignment="1">
      <alignment horizontal="center" vertical="center"/>
    </xf>
    <xf numFmtId="0" fontId="25" fillId="3" borderId="0" xfId="0" applyFont="1" applyFill="1"/>
    <xf numFmtId="0" fontId="25" fillId="3" borderId="10" xfId="0" applyFont="1" applyFill="1" applyBorder="1"/>
    <xf numFmtId="0" fontId="6" fillId="35" borderId="0" xfId="0" applyFont="1" applyFill="1" applyAlignment="1">
      <alignment horizontal="center" vertical="center"/>
    </xf>
    <xf numFmtId="0" fontId="6" fillId="29" borderId="10" xfId="0" applyFont="1" applyFill="1" applyBorder="1" applyAlignment="1">
      <alignment horizontal="center" vertical="center"/>
    </xf>
    <xf numFmtId="0" fontId="25" fillId="25" borderId="10" xfId="0" applyFont="1" applyFill="1" applyBorder="1" applyAlignment="1">
      <alignment horizontal="center" vertical="center"/>
    </xf>
    <xf numFmtId="0" fontId="28" fillId="3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6" fillId="17" borderId="10" xfId="0" applyFont="1" applyFill="1" applyBorder="1" applyAlignment="1">
      <alignment horizontal="center" vertical="center"/>
    </xf>
    <xf numFmtId="0" fontId="27" fillId="3" borderId="0" xfId="0" applyFont="1" applyFill="1"/>
    <xf numFmtId="0" fontId="6" fillId="36" borderId="10" xfId="0" applyFont="1" applyFill="1" applyBorder="1" applyAlignment="1">
      <alignment horizontal="center" vertical="center"/>
    </xf>
    <xf numFmtId="0" fontId="0" fillId="3" borderId="2" xfId="0" applyFill="1" applyBorder="1"/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/>
    <xf numFmtId="0" fontId="25" fillId="25" borderId="17" xfId="0" applyFont="1" applyFill="1" applyBorder="1" applyAlignment="1">
      <alignment horizontal="center" vertical="center"/>
    </xf>
    <xf numFmtId="0" fontId="6" fillId="29" borderId="14" xfId="0" applyFont="1" applyFill="1" applyBorder="1" applyAlignment="1">
      <alignment horizontal="center" vertical="center"/>
    </xf>
    <xf numFmtId="0" fontId="6" fillId="35" borderId="15" xfId="0" applyFont="1" applyFill="1" applyBorder="1" applyAlignment="1">
      <alignment horizontal="center" vertical="center"/>
    </xf>
    <xf numFmtId="0" fontId="25" fillId="3" borderId="17" xfId="0" applyFont="1" applyFill="1" applyBorder="1"/>
    <xf numFmtId="0" fontId="0" fillId="2" borderId="2" xfId="0" applyFill="1" applyBorder="1"/>
    <xf numFmtId="0" fontId="6" fillId="3" borderId="2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19" borderId="0" xfId="0" applyFont="1" applyFill="1" applyAlignment="1">
      <alignment horizontal="center" vertical="center"/>
    </xf>
    <xf numFmtId="0" fontId="2" fillId="29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35" borderId="0" xfId="0" applyFont="1" applyFill="1" applyAlignment="1">
      <alignment horizontal="center" vertical="center"/>
    </xf>
    <xf numFmtId="0" fontId="2" fillId="36" borderId="0" xfId="0" applyFont="1" applyFill="1" applyAlignment="1">
      <alignment horizontal="center" vertical="center"/>
    </xf>
    <xf numFmtId="20" fontId="17" fillId="3" borderId="48" xfId="3010" applyNumberFormat="1" applyFont="1" applyFill="1" applyBorder="1" applyAlignment="1">
      <alignment horizontal="center" vertical="center"/>
    </xf>
    <xf numFmtId="20" fontId="17" fillId="3" borderId="49" xfId="3010" applyNumberFormat="1" applyFont="1" applyFill="1" applyBorder="1" applyAlignment="1">
      <alignment horizontal="center" vertical="center"/>
    </xf>
    <xf numFmtId="1" fontId="36" fillId="17" borderId="46" xfId="1" applyNumberFormat="1" applyFont="1" applyFill="1" applyBorder="1" applyAlignment="1">
      <alignment horizontal="center" vertical="center"/>
    </xf>
    <xf numFmtId="1" fontId="36" fillId="29" borderId="46" xfId="1" applyNumberFormat="1" applyFont="1" applyFill="1" applyBorder="1" applyAlignment="1">
      <alignment horizontal="center" vertical="center"/>
    </xf>
    <xf numFmtId="0" fontId="19" fillId="0" borderId="3" xfId="3010" applyFont="1" applyBorder="1" applyAlignment="1">
      <alignment horizontal="center" vertical="center"/>
    </xf>
    <xf numFmtId="0" fontId="19" fillId="0" borderId="6" xfId="3010" applyFont="1" applyBorder="1" applyAlignment="1">
      <alignment horizontal="center" vertical="center"/>
    </xf>
    <xf numFmtId="0" fontId="19" fillId="0" borderId="3" xfId="3010" applyFont="1" applyBorder="1" applyAlignment="1">
      <alignment horizontal="center" vertical="center" wrapText="1"/>
    </xf>
    <xf numFmtId="166" fontId="20" fillId="3" borderId="3" xfId="3009" applyNumberFormat="1" applyFont="1" applyFill="1" applyBorder="1" applyAlignment="1">
      <alignment horizontal="center" vertical="center"/>
    </xf>
    <xf numFmtId="166" fontId="20" fillId="3" borderId="5" xfId="3009" applyNumberFormat="1" applyFont="1" applyFill="1" applyBorder="1" applyAlignment="1">
      <alignment horizontal="center" vertical="center"/>
    </xf>
    <xf numFmtId="0" fontId="19" fillId="21" borderId="3" xfId="3010" applyFont="1" applyFill="1" applyBorder="1" applyAlignment="1">
      <alignment horizontal="center" vertical="center"/>
    </xf>
    <xf numFmtId="0" fontId="19" fillId="21" borderId="26" xfId="3010" applyFont="1" applyFill="1" applyBorder="1" applyAlignment="1">
      <alignment horizontal="center" vertical="center"/>
    </xf>
    <xf numFmtId="0" fontId="37" fillId="3" borderId="3" xfId="3010" applyFont="1" applyFill="1" applyBorder="1" applyAlignment="1">
      <alignment horizontal="center" vertical="center"/>
    </xf>
    <xf numFmtId="0" fontId="19" fillId="3" borderId="3" xfId="3010" quotePrefix="1" applyFont="1" applyFill="1" applyBorder="1" applyAlignment="1">
      <alignment horizontal="center" vertical="center"/>
    </xf>
    <xf numFmtId="0" fontId="17" fillId="3" borderId="3" xfId="3010" applyFont="1" applyFill="1" applyBorder="1" applyAlignment="1">
      <alignment horizontal="center" vertical="center"/>
    </xf>
    <xf numFmtId="0" fontId="17" fillId="3" borderId="6" xfId="3010" applyFont="1" applyFill="1" applyBorder="1" applyAlignment="1">
      <alignment horizontal="center" vertical="center"/>
    </xf>
    <xf numFmtId="166" fontId="9" fillId="3" borderId="0" xfId="1" applyNumberFormat="1" applyFont="1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9" fillId="3" borderId="20" xfId="3010" applyFont="1" applyFill="1" applyBorder="1" applyAlignment="1">
      <alignment horizontal="center" vertical="center"/>
    </xf>
    <xf numFmtId="0" fontId="38" fillId="28" borderId="0" xfId="0" applyFont="1" applyFill="1" applyAlignment="1">
      <alignment horizontal="center" vertical="center"/>
    </xf>
    <xf numFmtId="0" fontId="22" fillId="17" borderId="0" xfId="0" applyFont="1" applyFill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  <xf numFmtId="0" fontId="39" fillId="19" borderId="0" xfId="0" applyFont="1" applyFill="1" applyAlignment="1">
      <alignment horizontal="center" vertical="center"/>
    </xf>
    <xf numFmtId="171" fontId="10" fillId="3" borderId="20" xfId="3009" applyNumberFormat="1" applyFont="1" applyFill="1" applyBorder="1" applyAlignment="1">
      <alignment vertical="center"/>
    </xf>
    <xf numFmtId="171" fontId="10" fillId="3" borderId="21" xfId="3009" applyNumberFormat="1" applyFont="1" applyFill="1" applyBorder="1" applyAlignment="1">
      <alignment vertical="center"/>
    </xf>
    <xf numFmtId="171" fontId="10" fillId="3" borderId="29" xfId="3009" applyNumberFormat="1" applyFont="1" applyFill="1" applyBorder="1" applyAlignment="1">
      <alignment vertical="center"/>
    </xf>
    <xf numFmtId="171" fontId="10" fillId="3" borderId="31" xfId="3009" applyNumberFormat="1" applyFont="1" applyFill="1" applyBorder="1" applyAlignment="1">
      <alignment vertical="center"/>
    </xf>
    <xf numFmtId="171" fontId="10" fillId="3" borderId="5" xfId="3009" applyNumberFormat="1" applyFont="1" applyFill="1" applyBorder="1" applyAlignment="1">
      <alignment vertical="center"/>
    </xf>
    <xf numFmtId="171" fontId="10" fillId="3" borderId="3" xfId="3009" applyNumberFormat="1" applyFont="1" applyFill="1" applyBorder="1" applyAlignment="1">
      <alignment vertical="center"/>
    </xf>
    <xf numFmtId="171" fontId="10" fillId="3" borderId="4" xfId="3009" applyNumberFormat="1" applyFont="1" applyFill="1" applyBorder="1" applyAlignment="1">
      <alignment vertical="center"/>
    </xf>
    <xf numFmtId="171" fontId="10" fillId="3" borderId="45" xfId="3009" applyNumberFormat="1" applyFont="1" applyFill="1" applyBorder="1" applyAlignment="1">
      <alignment vertical="center"/>
    </xf>
    <xf numFmtId="0" fontId="17" fillId="3" borderId="45" xfId="3009" applyFont="1" applyFill="1" applyBorder="1" applyAlignment="1">
      <alignment horizontal="center" vertical="center"/>
    </xf>
    <xf numFmtId="0" fontId="10" fillId="3" borderId="45" xfId="3009" applyFont="1" applyFill="1" applyBorder="1" applyAlignment="1">
      <alignment horizontal="center" vertical="center"/>
    </xf>
    <xf numFmtId="0" fontId="17" fillId="3" borderId="0" xfId="3009" applyFont="1" applyFill="1" applyAlignment="1">
      <alignment horizontal="center" vertical="center"/>
    </xf>
    <xf numFmtId="0" fontId="10" fillId="3" borderId="4" xfId="3009" applyFont="1" applyFill="1" applyBorder="1" applyAlignment="1">
      <alignment vertical="center"/>
    </xf>
    <xf numFmtId="1" fontId="20" fillId="3" borderId="3" xfId="3010" applyNumberFormat="1" applyFont="1" applyFill="1" applyBorder="1" applyAlignment="1">
      <alignment horizontal="center" vertical="center"/>
    </xf>
    <xf numFmtId="0" fontId="19" fillId="3" borderId="21" xfId="3010" applyFont="1" applyFill="1" applyBorder="1" applyAlignment="1">
      <alignment horizontal="center" vertical="center"/>
    </xf>
    <xf numFmtId="0" fontId="19" fillId="3" borderId="22" xfId="3010" applyFont="1" applyFill="1" applyBorder="1" applyAlignment="1">
      <alignment horizontal="center" vertical="center"/>
    </xf>
    <xf numFmtId="20" fontId="36" fillId="17" borderId="48" xfId="3010" applyNumberFormat="1" applyFont="1" applyFill="1" applyBorder="1" applyAlignment="1">
      <alignment horizontal="center" vertical="center"/>
    </xf>
    <xf numFmtId="2" fontId="17" fillId="3" borderId="0" xfId="3010" applyNumberFormat="1" applyFont="1" applyFill="1" applyAlignment="1">
      <alignment horizontal="center" vertical="center"/>
    </xf>
    <xf numFmtId="0" fontId="17" fillId="3" borderId="24" xfId="3010" applyFont="1" applyFill="1" applyBorder="1" applyAlignment="1">
      <alignment horizontal="center" vertical="center"/>
    </xf>
    <xf numFmtId="0" fontId="17" fillId="3" borderId="10" xfId="3010" applyFont="1" applyFill="1" applyBorder="1" applyAlignment="1">
      <alignment horizontal="center" vertical="center"/>
    </xf>
    <xf numFmtId="0" fontId="17" fillId="3" borderId="2" xfId="3010" applyFont="1" applyFill="1" applyBorder="1" applyAlignment="1">
      <alignment horizontal="center" vertical="center"/>
    </xf>
    <xf numFmtId="0" fontId="17" fillId="3" borderId="17" xfId="3010" applyFont="1" applyFill="1" applyBorder="1" applyAlignment="1">
      <alignment horizontal="center" vertical="center"/>
    </xf>
    <xf numFmtId="0" fontId="17" fillId="3" borderId="12" xfId="3010" applyFont="1" applyFill="1" applyBorder="1" applyAlignment="1">
      <alignment horizontal="center" vertical="center"/>
    </xf>
    <xf numFmtId="0" fontId="17" fillId="3" borderId="38" xfId="3010" applyFont="1" applyFill="1" applyBorder="1" applyAlignment="1">
      <alignment horizontal="center" vertical="center"/>
    </xf>
    <xf numFmtId="0" fontId="17" fillId="3" borderId="18" xfId="3010" applyFont="1" applyFill="1" applyBorder="1" applyAlignment="1">
      <alignment horizontal="center" vertical="center"/>
    </xf>
    <xf numFmtId="0" fontId="17" fillId="3" borderId="0" xfId="3010" applyFont="1" applyFill="1" applyAlignment="1">
      <alignment vertical="center"/>
    </xf>
    <xf numFmtId="0" fontId="17" fillId="3" borderId="2" xfId="3010" applyFont="1" applyFill="1" applyBorder="1" applyAlignment="1">
      <alignment vertical="center"/>
    </xf>
    <xf numFmtId="0" fontId="17" fillId="3" borderId="9" xfId="3010" applyFont="1" applyFill="1" applyBorder="1" applyAlignment="1">
      <alignment vertical="center"/>
    </xf>
    <xf numFmtId="0" fontId="17" fillId="3" borderId="16" xfId="3010" applyFont="1" applyFill="1" applyBorder="1" applyAlignment="1">
      <alignment vertical="center"/>
    </xf>
    <xf numFmtId="0" fontId="19" fillId="3" borderId="29" xfId="3010" applyFont="1" applyFill="1" applyBorder="1" applyAlignment="1">
      <alignment horizontal="center" vertical="center"/>
    </xf>
    <xf numFmtId="0" fontId="10" fillId="3" borderId="14" xfId="3010" applyFont="1" applyFill="1" applyBorder="1" applyAlignment="1">
      <alignment horizontal="center" vertical="center"/>
    </xf>
    <xf numFmtId="0" fontId="17" fillId="3" borderId="43" xfId="3010" applyFont="1" applyFill="1" applyBorder="1" applyAlignment="1">
      <alignment horizontal="center" vertical="center"/>
    </xf>
    <xf numFmtId="0" fontId="17" fillId="0" borderId="3" xfId="3010" applyFont="1" applyBorder="1" applyAlignment="1">
      <alignment horizontal="center" vertical="center"/>
    </xf>
    <xf numFmtId="0" fontId="17" fillId="3" borderId="5" xfId="3010" applyFont="1" applyFill="1" applyBorder="1" applyAlignment="1">
      <alignment horizontal="left" vertical="center" wrapText="1"/>
    </xf>
    <xf numFmtId="0" fontId="17" fillId="3" borderId="4" xfId="3010" applyFont="1" applyFill="1" applyBorder="1" applyAlignment="1">
      <alignment horizontal="left" vertical="center"/>
    </xf>
    <xf numFmtId="0" fontId="17" fillId="3" borderId="45" xfId="3010" applyFont="1" applyFill="1" applyBorder="1" applyAlignment="1">
      <alignment horizontal="center" vertical="center"/>
    </xf>
    <xf numFmtId="0" fontId="17" fillId="3" borderId="26" xfId="3010" applyFont="1" applyFill="1" applyBorder="1" applyAlignment="1">
      <alignment horizontal="center" vertical="center"/>
    </xf>
    <xf numFmtId="20" fontId="17" fillId="3" borderId="40" xfId="3010" applyNumberFormat="1" applyFont="1" applyFill="1" applyBorder="1" applyAlignment="1">
      <alignment horizontal="center" vertical="center"/>
    </xf>
    <xf numFmtId="0" fontId="17" fillId="3" borderId="3" xfId="3009" applyFont="1" applyFill="1" applyBorder="1" applyAlignment="1">
      <alignment horizontal="center" vertical="center"/>
    </xf>
    <xf numFmtId="0" fontId="17" fillId="3" borderId="27" xfId="3010" applyFont="1" applyFill="1" applyBorder="1" applyAlignment="1">
      <alignment horizontal="center" vertical="center"/>
    </xf>
    <xf numFmtId="166" fontId="30" fillId="3" borderId="4" xfId="3009" applyNumberFormat="1" applyFont="1" applyFill="1" applyBorder="1" applyAlignment="1">
      <alignment horizontal="center" vertical="center"/>
    </xf>
    <xf numFmtId="171" fontId="20" fillId="3" borderId="4" xfId="3009" applyNumberFormat="1" applyFont="1" applyFill="1" applyBorder="1" applyAlignment="1">
      <alignment horizontal="center" vertical="center"/>
    </xf>
    <xf numFmtId="0" fontId="17" fillId="3" borderId="5" xfId="3010" applyFont="1" applyFill="1" applyBorder="1" applyAlignment="1">
      <alignment horizontal="center" vertical="center"/>
    </xf>
    <xf numFmtId="0" fontId="10" fillId="3" borderId="31" xfId="3010" applyFont="1" applyFill="1" applyBorder="1" applyAlignment="1">
      <alignment horizontal="center" vertical="center"/>
    </xf>
    <xf numFmtId="0" fontId="10" fillId="3" borderId="32" xfId="3010" applyFont="1" applyFill="1" applyBorder="1" applyAlignment="1">
      <alignment horizontal="center" vertical="center"/>
    </xf>
    <xf numFmtId="0" fontId="17" fillId="3" borderId="4" xfId="3009" applyFont="1" applyFill="1" applyBorder="1" applyAlignment="1">
      <alignment horizontal="center" vertical="center"/>
    </xf>
    <xf numFmtId="1" fontId="20" fillId="3" borderId="3" xfId="3009" applyNumberFormat="1" applyFont="1" applyFill="1" applyBorder="1" applyAlignment="1">
      <alignment horizontal="center" vertical="center"/>
    </xf>
    <xf numFmtId="0" fontId="17" fillId="3" borderId="40" xfId="3010" applyFont="1" applyFill="1" applyBorder="1" applyAlignment="1">
      <alignment horizontal="center" vertical="center"/>
    </xf>
    <xf numFmtId="0" fontId="17" fillId="3" borderId="25" xfId="3010" applyFont="1" applyFill="1" applyBorder="1" applyAlignment="1">
      <alignment horizontal="center" vertical="center"/>
    </xf>
    <xf numFmtId="166" fontId="17" fillId="3" borderId="0" xfId="3010" applyNumberFormat="1" applyFont="1" applyFill="1" applyAlignment="1">
      <alignment horizontal="center" vertical="center"/>
    </xf>
    <xf numFmtId="0" fontId="17" fillId="3" borderId="57" xfId="3009" applyFont="1" applyFill="1" applyBorder="1" applyAlignment="1">
      <alignment horizontal="center" vertical="center"/>
    </xf>
    <xf numFmtId="0" fontId="17" fillId="3" borderId="57" xfId="3009" applyFont="1" applyFill="1" applyBorder="1" applyAlignment="1">
      <alignment horizontal="left" vertical="center"/>
    </xf>
    <xf numFmtId="0" fontId="17" fillId="3" borderId="58" xfId="3009" applyFont="1" applyFill="1" applyBorder="1" applyAlignment="1">
      <alignment horizontal="center" vertical="center"/>
    </xf>
    <xf numFmtId="0" fontId="17" fillId="3" borderId="58" xfId="3009" applyFont="1" applyFill="1" applyBorder="1" applyAlignment="1">
      <alignment horizontal="left" vertical="center"/>
    </xf>
    <xf numFmtId="0" fontId="17" fillId="0" borderId="59" xfId="0" applyFont="1" applyBorder="1"/>
    <xf numFmtId="0" fontId="17" fillId="0" borderId="59" xfId="0" applyFont="1" applyBorder="1" applyAlignment="1">
      <alignment horizontal="center"/>
    </xf>
    <xf numFmtId="0" fontId="17" fillId="0" borderId="59" xfId="0" applyFont="1" applyBorder="1" applyAlignment="1">
      <alignment horizontal="center" vertical="center"/>
    </xf>
    <xf numFmtId="0" fontId="17" fillId="0" borderId="59" xfId="0" applyFont="1" applyBorder="1" applyAlignment="1">
      <alignment vertical="center"/>
    </xf>
    <xf numFmtId="1" fontId="17" fillId="0" borderId="59" xfId="0" applyNumberFormat="1" applyFont="1" applyBorder="1" applyAlignment="1">
      <alignment horizontal="center" vertical="center"/>
    </xf>
    <xf numFmtId="9" fontId="17" fillId="0" borderId="59" xfId="3011" applyFont="1" applyBorder="1" applyAlignment="1">
      <alignment horizontal="center" vertical="center"/>
    </xf>
    <xf numFmtId="9" fontId="17" fillId="0" borderId="59" xfId="0" applyNumberFormat="1" applyFont="1" applyBorder="1"/>
    <xf numFmtId="0" fontId="17" fillId="28" borderId="59" xfId="0" applyFont="1" applyFill="1" applyBorder="1" applyAlignment="1">
      <alignment vertical="center"/>
    </xf>
    <xf numFmtId="0" fontId="17" fillId="42" borderId="59" xfId="0" applyFont="1" applyFill="1" applyBorder="1" applyAlignment="1">
      <alignment vertical="center"/>
    </xf>
    <xf numFmtId="0" fontId="17" fillId="17" borderId="59" xfId="0" applyFont="1" applyFill="1" applyBorder="1" applyAlignment="1">
      <alignment vertical="center"/>
    </xf>
    <xf numFmtId="0" fontId="17" fillId="19" borderId="59" xfId="0" applyFont="1" applyFill="1" applyBorder="1" applyAlignment="1">
      <alignment vertical="center"/>
    </xf>
    <xf numFmtId="0" fontId="17" fillId="24" borderId="59" xfId="0" applyFont="1" applyFill="1" applyBorder="1" applyAlignment="1">
      <alignment vertical="center"/>
    </xf>
    <xf numFmtId="0" fontId="17" fillId="43" borderId="59" xfId="0" applyFont="1" applyFill="1" applyBorder="1" applyAlignment="1">
      <alignment vertical="center"/>
    </xf>
    <xf numFmtId="0" fontId="17" fillId="44" borderId="59" xfId="0" applyFont="1" applyFill="1" applyBorder="1" applyAlignment="1">
      <alignment vertical="center"/>
    </xf>
    <xf numFmtId="0" fontId="17" fillId="45" borderId="59" xfId="0" applyFont="1" applyFill="1" applyBorder="1" applyAlignment="1">
      <alignment vertical="center"/>
    </xf>
    <xf numFmtId="166" fontId="17" fillId="0" borderId="59" xfId="0" applyNumberFormat="1" applyFont="1" applyBorder="1" applyAlignment="1">
      <alignment horizontal="center" vertical="center"/>
    </xf>
    <xf numFmtId="0" fontId="17" fillId="41" borderId="59" xfId="0" applyFont="1" applyFill="1" applyBorder="1" applyAlignment="1">
      <alignment vertical="center"/>
    </xf>
    <xf numFmtId="0" fontId="17" fillId="46" borderId="59" xfId="0" applyFont="1" applyFill="1" applyBorder="1" applyAlignment="1">
      <alignment vertical="center"/>
    </xf>
    <xf numFmtId="0" fontId="17" fillId="47" borderId="59" xfId="0" applyFont="1" applyFill="1" applyBorder="1" applyAlignment="1">
      <alignment vertical="center"/>
    </xf>
    <xf numFmtId="0" fontId="17" fillId="34" borderId="59" xfId="0" applyFont="1" applyFill="1" applyBorder="1" applyAlignment="1">
      <alignment vertical="center"/>
    </xf>
    <xf numFmtId="0" fontId="10" fillId="0" borderId="59" xfId="0" applyFont="1" applyBorder="1" applyAlignment="1">
      <alignment vertical="center"/>
    </xf>
    <xf numFmtId="0" fontId="10" fillId="0" borderId="59" xfId="0" applyFont="1" applyBorder="1" applyAlignment="1">
      <alignment horizontal="center" vertical="center"/>
    </xf>
    <xf numFmtId="0" fontId="10" fillId="0" borderId="59" xfId="0" applyFont="1" applyBorder="1"/>
    <xf numFmtId="49" fontId="17" fillId="3" borderId="5" xfId="3010" applyNumberFormat="1" applyFont="1" applyFill="1" applyBorder="1" applyAlignment="1">
      <alignment horizontal="left" vertical="center" wrapText="1"/>
    </xf>
    <xf numFmtId="0" fontId="17" fillId="48" borderId="3" xfId="3010" applyFont="1" applyFill="1" applyBorder="1" applyAlignment="1">
      <alignment horizontal="center" vertical="center"/>
    </xf>
    <xf numFmtId="0" fontId="17" fillId="48" borderId="26" xfId="3010" applyFont="1" applyFill="1" applyBorder="1" applyAlignment="1">
      <alignment horizontal="center" vertical="center"/>
    </xf>
    <xf numFmtId="0" fontId="19" fillId="48" borderId="3" xfId="3010" applyFont="1" applyFill="1" applyBorder="1" applyAlignment="1">
      <alignment horizontal="center" vertical="center"/>
    </xf>
    <xf numFmtId="0" fontId="17" fillId="48" borderId="4" xfId="3010" applyFont="1" applyFill="1" applyBorder="1" applyAlignment="1">
      <alignment horizontal="center" vertical="center"/>
    </xf>
    <xf numFmtId="0" fontId="17" fillId="48" borderId="6" xfId="3010" applyFont="1" applyFill="1" applyBorder="1" applyAlignment="1">
      <alignment horizontal="center" vertical="center"/>
    </xf>
    <xf numFmtId="0" fontId="42" fillId="3" borderId="0" xfId="3010" applyFont="1" applyFill="1" applyAlignment="1">
      <alignment horizontal="center" vertical="center"/>
    </xf>
    <xf numFmtId="0" fontId="42" fillId="3" borderId="3" xfId="3010" applyFont="1" applyFill="1" applyBorder="1" applyAlignment="1">
      <alignment horizontal="center" vertical="center"/>
    </xf>
    <xf numFmtId="0" fontId="42" fillId="0" borderId="3" xfId="3010" applyFont="1" applyBorder="1" applyAlignment="1">
      <alignment horizontal="center" vertical="center"/>
    </xf>
    <xf numFmtId="20" fontId="42" fillId="3" borderId="40" xfId="3010" applyNumberFormat="1" applyFont="1" applyFill="1" applyBorder="1" applyAlignment="1">
      <alignment horizontal="center" vertical="center"/>
    </xf>
    <xf numFmtId="0" fontId="17" fillId="48" borderId="5" xfId="3010" applyFont="1" applyFill="1" applyBorder="1" applyAlignment="1">
      <alignment horizontal="center" vertical="center"/>
    </xf>
    <xf numFmtId="0" fontId="10" fillId="3" borderId="0" xfId="3010" applyFont="1" applyFill="1" applyAlignment="1">
      <alignment horizontal="center" vertical="center"/>
    </xf>
    <xf numFmtId="0" fontId="10" fillId="3" borderId="3" xfId="3010" applyFont="1" applyFill="1" applyBorder="1" applyAlignment="1">
      <alignment horizontal="center" vertical="center"/>
    </xf>
    <xf numFmtId="20" fontId="10" fillId="3" borderId="5" xfId="3010" applyNumberFormat="1" applyFont="1" applyFill="1" applyBorder="1" applyAlignment="1">
      <alignment horizontal="center" vertical="center"/>
    </xf>
    <xf numFmtId="0" fontId="24" fillId="48" borderId="3" xfId="3010" applyFont="1" applyFill="1" applyBorder="1" applyAlignment="1">
      <alignment horizontal="center" vertical="center"/>
    </xf>
    <xf numFmtId="0" fontId="17" fillId="48" borderId="25" xfId="3010" applyFont="1" applyFill="1" applyBorder="1" applyAlignment="1">
      <alignment horizontal="center" vertical="center"/>
    </xf>
    <xf numFmtId="0" fontId="24" fillId="48" borderId="26" xfId="3010" applyFont="1" applyFill="1" applyBorder="1" applyAlignment="1">
      <alignment horizontal="center" vertical="center"/>
    </xf>
    <xf numFmtId="0" fontId="17" fillId="48" borderId="33" xfId="3010" applyFont="1" applyFill="1" applyBorder="1" applyAlignment="1">
      <alignment horizontal="center" vertical="center"/>
    </xf>
    <xf numFmtId="0" fontId="17" fillId="48" borderId="27" xfId="3010" applyFont="1" applyFill="1" applyBorder="1" applyAlignment="1">
      <alignment horizontal="center" vertical="center"/>
    </xf>
    <xf numFmtId="0" fontId="17" fillId="49" borderId="3" xfId="3010" applyFont="1" applyFill="1" applyBorder="1" applyAlignment="1">
      <alignment horizontal="center" vertical="center"/>
    </xf>
    <xf numFmtId="0" fontId="17" fillId="50" borderId="3" xfId="3010" applyFont="1" applyFill="1" applyBorder="1" applyAlignment="1">
      <alignment horizontal="center" vertical="center"/>
    </xf>
    <xf numFmtId="0" fontId="17" fillId="19" borderId="3" xfId="3010" applyFont="1" applyFill="1" applyBorder="1" applyAlignment="1">
      <alignment horizontal="center" vertical="center"/>
    </xf>
    <xf numFmtId="0" fontId="17" fillId="42" borderId="3" xfId="3010" applyFont="1" applyFill="1" applyBorder="1" applyAlignment="1">
      <alignment horizontal="center" vertical="center"/>
    </xf>
    <xf numFmtId="0" fontId="17" fillId="34" borderId="3" xfId="3010" applyFont="1" applyFill="1" applyBorder="1" applyAlignment="1">
      <alignment horizontal="center" vertical="center"/>
    </xf>
    <xf numFmtId="0" fontId="17" fillId="17" borderId="3" xfId="3010" applyFont="1" applyFill="1" applyBorder="1" applyAlignment="1">
      <alignment horizontal="center" vertical="center"/>
    </xf>
    <xf numFmtId="0" fontId="17" fillId="51" borderId="3" xfId="3010" applyFont="1" applyFill="1" applyBorder="1" applyAlignment="1">
      <alignment horizontal="center" vertical="center"/>
    </xf>
    <xf numFmtId="0" fontId="17" fillId="3" borderId="10" xfId="3010" applyFont="1" applyFill="1" applyBorder="1" applyAlignment="1">
      <alignment vertical="center"/>
    </xf>
    <xf numFmtId="0" fontId="17" fillId="3" borderId="17" xfId="3010" applyFont="1" applyFill="1" applyBorder="1" applyAlignment="1">
      <alignment vertical="center"/>
    </xf>
    <xf numFmtId="0" fontId="17" fillId="3" borderId="34" xfId="3010" applyFont="1" applyFill="1" applyBorder="1" applyAlignment="1">
      <alignment horizontal="center" vertical="center"/>
    </xf>
    <xf numFmtId="0" fontId="17" fillId="28" borderId="3" xfId="3010" applyFont="1" applyFill="1" applyBorder="1" applyAlignment="1">
      <alignment horizontal="center" vertical="center"/>
    </xf>
    <xf numFmtId="0" fontId="17" fillId="3" borderId="8" xfId="3010" applyFont="1" applyFill="1" applyBorder="1" applyAlignment="1">
      <alignment vertical="center"/>
    </xf>
    <xf numFmtId="0" fontId="17" fillId="3" borderId="19" xfId="3010" applyFont="1" applyFill="1" applyBorder="1" applyAlignment="1">
      <alignment vertical="center"/>
    </xf>
    <xf numFmtId="0" fontId="17" fillId="3" borderId="24" xfId="3010" applyFont="1" applyFill="1" applyBorder="1" applyAlignment="1">
      <alignment vertical="center"/>
    </xf>
    <xf numFmtId="0" fontId="17" fillId="52" borderId="3" xfId="3010" applyFont="1" applyFill="1" applyBorder="1" applyAlignment="1">
      <alignment horizontal="center" vertical="center"/>
    </xf>
    <xf numFmtId="0" fontId="17" fillId="0" borderId="34" xfId="3010" applyFont="1" applyBorder="1" applyAlignment="1">
      <alignment horizontal="center" vertical="center"/>
    </xf>
    <xf numFmtId="0" fontId="10" fillId="3" borderId="5" xfId="3010" applyFont="1" applyFill="1" applyBorder="1" applyAlignment="1">
      <alignment horizontal="center" vertical="center"/>
    </xf>
    <xf numFmtId="0" fontId="0" fillId="48" borderId="3" xfId="0" applyFill="1" applyBorder="1" applyAlignment="1">
      <alignment vertical="center"/>
    </xf>
    <xf numFmtId="0" fontId="17" fillId="48" borderId="3" xfId="3010" applyFont="1" applyFill="1" applyBorder="1" applyAlignment="1">
      <alignment vertical="center"/>
    </xf>
    <xf numFmtId="0" fontId="17" fillId="48" borderId="18" xfId="3010" applyFont="1" applyFill="1" applyBorder="1" applyAlignment="1">
      <alignment horizontal="center" vertical="center"/>
    </xf>
    <xf numFmtId="0" fontId="17" fillId="48" borderId="8" xfId="3010" applyFont="1" applyFill="1" applyBorder="1" applyAlignment="1">
      <alignment horizontal="center" vertical="center"/>
    </xf>
    <xf numFmtId="0" fontId="17" fillId="48" borderId="19" xfId="3010" applyFont="1" applyFill="1" applyBorder="1" applyAlignment="1">
      <alignment horizontal="center" vertical="center"/>
    </xf>
    <xf numFmtId="0" fontId="17" fillId="48" borderId="40" xfId="3010" applyFont="1" applyFill="1" applyBorder="1" applyAlignment="1">
      <alignment horizontal="center" vertical="center"/>
    </xf>
    <xf numFmtId="0" fontId="17" fillId="48" borderId="9" xfId="3010" applyFont="1" applyFill="1" applyBorder="1" applyAlignment="1">
      <alignment vertical="center"/>
    </xf>
    <xf numFmtId="0" fontId="17" fillId="48" borderId="0" xfId="3010" applyFont="1" applyFill="1" applyAlignment="1">
      <alignment vertical="center"/>
    </xf>
    <xf numFmtId="0" fontId="17" fillId="48" borderId="10" xfId="3010" applyFont="1" applyFill="1" applyBorder="1" applyAlignment="1">
      <alignment vertical="center"/>
    </xf>
    <xf numFmtId="0" fontId="17" fillId="48" borderId="16" xfId="3010" applyFont="1" applyFill="1" applyBorder="1" applyAlignment="1">
      <alignment vertical="center"/>
    </xf>
    <xf numFmtId="0" fontId="17" fillId="48" borderId="2" xfId="3010" applyFont="1" applyFill="1" applyBorder="1" applyAlignment="1">
      <alignment vertical="center"/>
    </xf>
    <xf numFmtId="0" fontId="17" fillId="48" borderId="17" xfId="3010" applyFont="1" applyFill="1" applyBorder="1" applyAlignment="1">
      <alignment vertical="center"/>
    </xf>
    <xf numFmtId="0" fontId="17" fillId="48" borderId="12" xfId="3010" applyFont="1" applyFill="1" applyBorder="1" applyAlignment="1">
      <alignment horizontal="center" vertical="center"/>
    </xf>
    <xf numFmtId="0" fontId="9" fillId="0" borderId="3" xfId="3010" applyFont="1" applyBorder="1" applyAlignment="1">
      <alignment horizontal="center" vertical="center"/>
    </xf>
    <xf numFmtId="0" fontId="9" fillId="51" borderId="3" xfId="3010" applyFont="1" applyFill="1" applyBorder="1" applyAlignment="1">
      <alignment horizontal="center" vertical="center"/>
    </xf>
    <xf numFmtId="0" fontId="24" fillId="3" borderId="3" xfId="3010" applyFont="1" applyFill="1" applyBorder="1" applyAlignment="1">
      <alignment horizontal="center" vertical="center"/>
    </xf>
    <xf numFmtId="0" fontId="9" fillId="3" borderId="3" xfId="3010" applyFont="1" applyFill="1" applyBorder="1" applyAlignment="1">
      <alignment horizontal="center" vertical="center"/>
    </xf>
    <xf numFmtId="0" fontId="44" fillId="3" borderId="3" xfId="3010" applyFont="1" applyFill="1" applyBorder="1" applyAlignment="1">
      <alignment horizontal="center" vertical="center"/>
    </xf>
    <xf numFmtId="0" fontId="17" fillId="42" borderId="40" xfId="3010" applyFont="1" applyFill="1" applyBorder="1" applyAlignment="1">
      <alignment horizontal="center" vertical="center"/>
    </xf>
    <xf numFmtId="0" fontId="17" fillId="0" borderId="39" xfId="3010" applyFont="1" applyBorder="1" applyAlignment="1">
      <alignment vertical="center"/>
    </xf>
    <xf numFmtId="0" fontId="17" fillId="0" borderId="0" xfId="3010" applyFont="1" applyAlignment="1">
      <alignment vertical="center"/>
    </xf>
    <xf numFmtId="0" fontId="17" fillId="0" borderId="3" xfId="3010" applyFont="1" applyBorder="1" applyAlignment="1">
      <alignment vertical="center"/>
    </xf>
    <xf numFmtId="0" fontId="17" fillId="48" borderId="41" xfId="3010" applyFont="1" applyFill="1" applyBorder="1" applyAlignment="1">
      <alignment horizontal="center" vertical="center"/>
    </xf>
    <xf numFmtId="0" fontId="17" fillId="48" borderId="34" xfId="3010" applyFont="1" applyFill="1" applyBorder="1" applyAlignment="1">
      <alignment horizontal="center" vertical="center"/>
    </xf>
    <xf numFmtId="0" fontId="17" fillId="48" borderId="36" xfId="3010" applyFont="1" applyFill="1" applyBorder="1" applyAlignment="1">
      <alignment horizontal="center" vertical="center"/>
    </xf>
    <xf numFmtId="0" fontId="17" fillId="48" borderId="50" xfId="3010" applyFont="1" applyFill="1" applyBorder="1" applyAlignment="1">
      <alignment horizontal="center" vertical="center"/>
    </xf>
    <xf numFmtId="0" fontId="17" fillId="48" borderId="35" xfId="3010" applyFont="1" applyFill="1" applyBorder="1" applyAlignment="1">
      <alignment horizontal="center" vertical="center"/>
    </xf>
    <xf numFmtId="0" fontId="17" fillId="48" borderId="9" xfId="3010" applyFont="1" applyFill="1" applyBorder="1" applyAlignment="1">
      <alignment horizontal="center" vertical="center"/>
    </xf>
    <xf numFmtId="0" fontId="17" fillId="48" borderId="0" xfId="3010" applyFont="1" applyFill="1" applyAlignment="1">
      <alignment horizontal="center" vertical="center"/>
    </xf>
    <xf numFmtId="0" fontId="17" fillId="48" borderId="10" xfId="3010" applyFont="1" applyFill="1" applyBorder="1" applyAlignment="1">
      <alignment horizontal="center" vertical="center"/>
    </xf>
    <xf numFmtId="0" fontId="17" fillId="0" borderId="5" xfId="3010" applyFont="1" applyBorder="1" applyAlignment="1">
      <alignment horizontal="center" vertical="center"/>
    </xf>
    <xf numFmtId="0" fontId="17" fillId="42" borderId="5" xfId="3010" applyFont="1" applyFill="1" applyBorder="1" applyAlignment="1">
      <alignment horizontal="center" vertical="center"/>
    </xf>
    <xf numFmtId="0" fontId="10" fillId="3" borderId="6" xfId="3010" applyFont="1" applyFill="1" applyBorder="1" applyAlignment="1">
      <alignment horizontal="center" vertical="center"/>
    </xf>
    <xf numFmtId="0" fontId="17" fillId="53" borderId="3" xfId="3010" applyFont="1" applyFill="1" applyBorder="1" applyAlignment="1">
      <alignment horizontal="center" vertical="center"/>
    </xf>
    <xf numFmtId="0" fontId="10" fillId="3" borderId="5" xfId="3009" applyFont="1" applyFill="1" applyBorder="1" applyAlignment="1">
      <alignment horizontal="left" vertical="center" wrapText="1"/>
    </xf>
    <xf numFmtId="0" fontId="17" fillId="53" borderId="5" xfId="3010" applyFont="1" applyFill="1" applyBorder="1" applyAlignment="1">
      <alignment horizontal="center" vertical="center"/>
    </xf>
    <xf numFmtId="0" fontId="19" fillId="0" borderId="4" xfId="3010" applyFont="1" applyBorder="1" applyAlignment="1">
      <alignment horizontal="center" vertical="center"/>
    </xf>
    <xf numFmtId="0" fontId="23" fillId="3" borderId="3" xfId="3010" applyFont="1" applyFill="1" applyBorder="1" applyAlignment="1">
      <alignment horizontal="center" vertical="center"/>
    </xf>
    <xf numFmtId="0" fontId="23" fillId="0" borderId="4" xfId="3010" applyFont="1" applyBorder="1" applyAlignment="1">
      <alignment horizontal="center" vertical="center"/>
    </xf>
    <xf numFmtId="0" fontId="17" fillId="0" borderId="4" xfId="3010" applyFont="1" applyBorder="1" applyAlignment="1">
      <alignment horizontal="center" vertical="center"/>
    </xf>
    <xf numFmtId="0" fontId="45" fillId="3" borderId="3" xfId="3010" applyFont="1" applyFill="1" applyBorder="1" applyAlignment="1">
      <alignment horizontal="center" vertical="center"/>
    </xf>
    <xf numFmtId="0" fontId="19" fillId="48" borderId="4" xfId="3010" applyFont="1" applyFill="1" applyBorder="1" applyAlignment="1">
      <alignment horizontal="center" vertical="center"/>
    </xf>
    <xf numFmtId="0" fontId="46" fillId="3" borderId="3" xfId="3010" applyFont="1" applyFill="1" applyBorder="1" applyAlignment="1">
      <alignment horizontal="center" vertical="center"/>
    </xf>
    <xf numFmtId="0" fontId="17" fillId="54" borderId="3" xfId="3010" applyFont="1" applyFill="1" applyBorder="1" applyAlignment="1">
      <alignment horizontal="center" vertical="center"/>
    </xf>
    <xf numFmtId="0" fontId="17" fillId="55" borderId="3" xfId="3010" applyFont="1" applyFill="1" applyBorder="1" applyAlignment="1">
      <alignment horizontal="center" vertical="center"/>
    </xf>
    <xf numFmtId="0" fontId="17" fillId="0" borderId="40" xfId="3010" applyFont="1" applyBorder="1" applyAlignment="1">
      <alignment horizontal="center" vertical="center"/>
    </xf>
    <xf numFmtId="0" fontId="17" fillId="56" borderId="3" xfId="3010" applyFont="1" applyFill="1" applyBorder="1" applyAlignment="1">
      <alignment horizontal="center" vertical="center"/>
    </xf>
    <xf numFmtId="0" fontId="17" fillId="3" borderId="12" xfId="3010" applyFont="1" applyFill="1" applyBorder="1" applyAlignment="1">
      <alignment horizontal="center" vertical="center"/>
    </xf>
    <xf numFmtId="0" fontId="17" fillId="3" borderId="38" xfId="3010" applyFont="1" applyFill="1" applyBorder="1" applyAlignment="1">
      <alignment horizontal="center" vertical="center"/>
    </xf>
    <xf numFmtId="0" fontId="17" fillId="3" borderId="18" xfId="3010" applyFont="1" applyFill="1" applyBorder="1" applyAlignment="1">
      <alignment horizontal="center" vertical="center"/>
    </xf>
    <xf numFmtId="0" fontId="17" fillId="3" borderId="8" xfId="3010" applyFont="1" applyFill="1" applyBorder="1" applyAlignment="1">
      <alignment horizontal="center" vertical="center"/>
    </xf>
    <xf numFmtId="0" fontId="17" fillId="3" borderId="19" xfId="3010" applyFont="1" applyFill="1" applyBorder="1" applyAlignment="1">
      <alignment horizontal="center" vertical="center"/>
    </xf>
    <xf numFmtId="0" fontId="17" fillId="3" borderId="36" xfId="3010" applyFont="1" applyFill="1" applyBorder="1" applyAlignment="1">
      <alignment horizontal="center" vertical="center"/>
    </xf>
    <xf numFmtId="0" fontId="17" fillId="3" borderId="7" xfId="3010" applyFont="1" applyFill="1" applyBorder="1" applyAlignment="1">
      <alignment horizontal="center" vertical="center"/>
    </xf>
    <xf numFmtId="0" fontId="17" fillId="3" borderId="23" xfId="3010" applyFont="1" applyFill="1" applyBorder="1" applyAlignment="1">
      <alignment horizontal="center" vertical="center"/>
    </xf>
    <xf numFmtId="0" fontId="17" fillId="3" borderId="3" xfId="3010" applyFont="1" applyFill="1" applyBorder="1" applyAlignment="1">
      <alignment horizontal="center" vertical="center"/>
    </xf>
    <xf numFmtId="0" fontId="17" fillId="3" borderId="39" xfId="3010" applyFont="1" applyFill="1" applyBorder="1" applyAlignment="1">
      <alignment horizontal="center" vertical="center"/>
    </xf>
    <xf numFmtId="0" fontId="17" fillId="3" borderId="0" xfId="3010" applyFont="1" applyFill="1" applyAlignment="1">
      <alignment horizontal="center" vertical="center"/>
    </xf>
    <xf numFmtId="0" fontId="17" fillId="3" borderId="24" xfId="3010" applyFont="1" applyFill="1" applyBorder="1" applyAlignment="1">
      <alignment horizontal="center" vertical="center"/>
    </xf>
    <xf numFmtId="0" fontId="10" fillId="3" borderId="20" xfId="3010" applyFont="1" applyFill="1" applyBorder="1" applyAlignment="1">
      <alignment horizontal="center" vertical="center"/>
    </xf>
    <xf numFmtId="0" fontId="10" fillId="3" borderId="5" xfId="3010" applyFont="1" applyFill="1" applyBorder="1" applyAlignment="1">
      <alignment horizontal="center" vertical="center"/>
    </xf>
    <xf numFmtId="0" fontId="10" fillId="3" borderId="28" xfId="3010" applyFont="1" applyFill="1" applyBorder="1" applyAlignment="1">
      <alignment horizontal="center" vertical="center"/>
    </xf>
    <xf numFmtId="0" fontId="10" fillId="3" borderId="21" xfId="3010" applyFont="1" applyFill="1" applyBorder="1" applyAlignment="1">
      <alignment horizontal="center" vertical="center"/>
    </xf>
    <xf numFmtId="0" fontId="10" fillId="3" borderId="29" xfId="3010" applyFont="1" applyFill="1" applyBorder="1" applyAlignment="1">
      <alignment horizontal="center" vertical="center"/>
    </xf>
    <xf numFmtId="0" fontId="10" fillId="3" borderId="22" xfId="3010" applyFont="1" applyFill="1" applyBorder="1" applyAlignment="1">
      <alignment horizontal="center" vertical="center"/>
    </xf>
    <xf numFmtId="0" fontId="17" fillId="3" borderId="34" xfId="3010" applyFont="1" applyFill="1" applyBorder="1" applyAlignment="1">
      <alignment horizontal="center" vertical="center"/>
    </xf>
    <xf numFmtId="0" fontId="17" fillId="3" borderId="35" xfId="3010" applyFont="1" applyFill="1" applyBorder="1" applyAlignment="1">
      <alignment horizontal="center" vertical="center"/>
    </xf>
    <xf numFmtId="0" fontId="17" fillId="3" borderId="37" xfId="3010" applyFont="1" applyFill="1" applyBorder="1" applyAlignment="1">
      <alignment horizontal="center" vertical="center"/>
    </xf>
    <xf numFmtId="0" fontId="17" fillId="3" borderId="40" xfId="3010" applyFont="1" applyFill="1" applyBorder="1" applyAlignment="1">
      <alignment horizontal="center" vertical="center"/>
    </xf>
    <xf numFmtId="0" fontId="10" fillId="3" borderId="30" xfId="3010" applyFont="1" applyFill="1" applyBorder="1" applyAlignment="1">
      <alignment horizontal="center" vertical="center"/>
    </xf>
    <xf numFmtId="0" fontId="10" fillId="3" borderId="31" xfId="3010" applyFont="1" applyFill="1" applyBorder="1" applyAlignment="1">
      <alignment horizontal="center" vertical="center"/>
    </xf>
    <xf numFmtId="0" fontId="10" fillId="3" borderId="32" xfId="3010" applyFont="1" applyFill="1" applyBorder="1" applyAlignment="1">
      <alignment horizontal="center" vertical="center"/>
    </xf>
    <xf numFmtId="0" fontId="17" fillId="3" borderId="5" xfId="3010" applyFont="1" applyFill="1" applyBorder="1" applyAlignment="1">
      <alignment horizontal="center" vertical="center"/>
    </xf>
    <xf numFmtId="0" fontId="17" fillId="3" borderId="11" xfId="3010" applyFont="1" applyFill="1" applyBorder="1" applyAlignment="1">
      <alignment horizontal="center" vertical="center"/>
    </xf>
    <xf numFmtId="0" fontId="17" fillId="3" borderId="52" xfId="3010" applyFont="1" applyFill="1" applyBorder="1" applyAlignment="1">
      <alignment horizontal="center" vertical="center"/>
    </xf>
    <xf numFmtId="0" fontId="17" fillId="3" borderId="2" xfId="3010" applyFont="1" applyFill="1" applyBorder="1" applyAlignment="1">
      <alignment horizontal="center" vertical="center"/>
    </xf>
    <xf numFmtId="0" fontId="17" fillId="3" borderId="53" xfId="3010" applyFont="1" applyFill="1" applyBorder="1" applyAlignment="1">
      <alignment horizontal="center" vertical="center"/>
    </xf>
    <xf numFmtId="0" fontId="10" fillId="3" borderId="48" xfId="3010" applyFont="1" applyFill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17" fillId="3" borderId="56" xfId="3010" applyFont="1" applyFill="1" applyBorder="1" applyAlignment="1">
      <alignment horizontal="center" vertical="center"/>
    </xf>
    <xf numFmtId="2" fontId="17" fillId="3" borderId="0" xfId="3010" applyNumberFormat="1" applyFont="1" applyFill="1" applyAlignment="1">
      <alignment horizontal="center" vertical="center"/>
    </xf>
    <xf numFmtId="0" fontId="17" fillId="0" borderId="39" xfId="3010" applyFont="1" applyBorder="1" applyAlignment="1">
      <alignment horizontal="center" vertical="center"/>
    </xf>
    <xf numFmtId="0" fontId="17" fillId="0" borderId="0" xfId="3010" applyFont="1" applyAlignment="1">
      <alignment horizontal="center" vertical="center"/>
    </xf>
    <xf numFmtId="171" fontId="11" fillId="3" borderId="20" xfId="3009" applyNumberFormat="1" applyFont="1" applyFill="1" applyBorder="1" applyAlignment="1">
      <alignment horizontal="center" vertical="center"/>
    </xf>
    <xf numFmtId="171" fontId="11" fillId="3" borderId="21" xfId="3009" applyNumberFormat="1" applyFont="1" applyFill="1" applyBorder="1" applyAlignment="1">
      <alignment horizontal="center" vertical="center"/>
    </xf>
    <xf numFmtId="171" fontId="11" fillId="3" borderId="29" xfId="3009" applyNumberFormat="1" applyFont="1" applyFill="1" applyBorder="1" applyAlignment="1">
      <alignment horizontal="center" vertical="center"/>
    </xf>
    <xf numFmtId="171" fontId="11" fillId="3" borderId="22" xfId="3009" applyNumberFormat="1" applyFont="1" applyFill="1" applyBorder="1" applyAlignment="1">
      <alignment horizontal="center" vertical="center"/>
    </xf>
    <xf numFmtId="1" fontId="21" fillId="3" borderId="6" xfId="3009" applyNumberFormat="1" applyFont="1" applyFill="1" applyBorder="1" applyAlignment="1">
      <alignment horizontal="center" vertical="center"/>
    </xf>
    <xf numFmtId="1" fontId="21" fillId="3" borderId="60" xfId="3009" applyNumberFormat="1" applyFont="1" applyFill="1" applyBorder="1" applyAlignment="1">
      <alignment horizontal="center" vertical="center"/>
    </xf>
    <xf numFmtId="1" fontId="21" fillId="3" borderId="61" xfId="3009" applyNumberFormat="1" applyFont="1" applyFill="1" applyBorder="1" applyAlignment="1">
      <alignment horizontal="center" vertical="center"/>
    </xf>
    <xf numFmtId="1" fontId="20" fillId="3" borderId="5" xfId="3009" applyNumberFormat="1" applyFont="1" applyFill="1" applyBorder="1" applyAlignment="1">
      <alignment horizontal="center" vertical="center"/>
    </xf>
    <xf numFmtId="1" fontId="20" fillId="3" borderId="3" xfId="3009" applyNumberFormat="1" applyFont="1" applyFill="1" applyBorder="1" applyAlignment="1">
      <alignment horizontal="center" vertical="center"/>
    </xf>
    <xf numFmtId="1" fontId="20" fillId="3" borderId="4" xfId="3009" applyNumberFormat="1" applyFont="1" applyFill="1" applyBorder="1" applyAlignment="1">
      <alignment horizontal="center" vertical="center"/>
    </xf>
    <xf numFmtId="2" fontId="20" fillId="3" borderId="5" xfId="3009" applyNumberFormat="1" applyFont="1" applyFill="1" applyBorder="1" applyAlignment="1">
      <alignment horizontal="center" vertical="center"/>
    </xf>
    <xf numFmtId="2" fontId="20" fillId="3" borderId="3" xfId="3009" applyNumberFormat="1" applyFont="1" applyFill="1" applyBorder="1" applyAlignment="1">
      <alignment horizontal="center" vertical="center"/>
    </xf>
    <xf numFmtId="2" fontId="20" fillId="3" borderId="4" xfId="3009" applyNumberFormat="1" applyFont="1" applyFill="1" applyBorder="1" applyAlignment="1">
      <alignment horizontal="center" vertical="center"/>
    </xf>
    <xf numFmtId="2" fontId="20" fillId="3" borderId="6" xfId="3009" applyNumberFormat="1" applyFont="1" applyFill="1" applyBorder="1" applyAlignment="1">
      <alignment horizontal="center" vertical="center"/>
    </xf>
    <xf numFmtId="171" fontId="11" fillId="3" borderId="30" xfId="3009" applyNumberFormat="1" applyFont="1" applyFill="1" applyBorder="1" applyAlignment="1">
      <alignment horizontal="center" vertical="center"/>
    </xf>
    <xf numFmtId="171" fontId="11" fillId="3" borderId="31" xfId="3009" applyNumberFormat="1" applyFont="1" applyFill="1" applyBorder="1" applyAlignment="1">
      <alignment horizontal="center" vertical="center"/>
    </xf>
    <xf numFmtId="171" fontId="11" fillId="3" borderId="32" xfId="3009" applyNumberFormat="1" applyFont="1" applyFill="1" applyBorder="1" applyAlignment="1">
      <alignment horizontal="center" vertical="center"/>
    </xf>
    <xf numFmtId="0" fontId="17" fillId="3" borderId="5" xfId="3009" applyFont="1" applyFill="1" applyBorder="1" applyAlignment="1">
      <alignment horizontal="center" vertical="center"/>
    </xf>
    <xf numFmtId="0" fontId="17" fillId="3" borderId="3" xfId="3009" applyFont="1" applyFill="1" applyBorder="1" applyAlignment="1">
      <alignment horizontal="center" vertical="center"/>
    </xf>
    <xf numFmtId="0" fontId="17" fillId="3" borderId="4" xfId="3009" applyFont="1" applyFill="1" applyBorder="1" applyAlignment="1">
      <alignment horizontal="center" vertical="center"/>
    </xf>
    <xf numFmtId="2" fontId="9" fillId="3" borderId="58" xfId="3009" applyNumberFormat="1" applyFont="1" applyFill="1" applyBorder="1" applyAlignment="1">
      <alignment horizontal="center" vertical="center"/>
    </xf>
    <xf numFmtId="0" fontId="10" fillId="3" borderId="50" xfId="3009" applyFont="1" applyFill="1" applyBorder="1" applyAlignment="1">
      <alignment horizontal="center" vertical="center"/>
    </xf>
    <xf numFmtId="0" fontId="10" fillId="3" borderId="8" xfId="3009" applyFont="1" applyFill="1" applyBorder="1" applyAlignment="1">
      <alignment horizontal="center" vertical="center"/>
    </xf>
    <xf numFmtId="0" fontId="10" fillId="3" borderId="19" xfId="3009" applyFont="1" applyFill="1" applyBorder="1" applyAlignment="1">
      <alignment horizontal="center" vertical="center"/>
    </xf>
    <xf numFmtId="0" fontId="10" fillId="3" borderId="51" xfId="3009" applyFont="1" applyFill="1" applyBorder="1" applyAlignment="1">
      <alignment horizontal="center" vertical="center"/>
    </xf>
    <xf numFmtId="0" fontId="10" fillId="3" borderId="7" xfId="3009" applyFont="1" applyFill="1" applyBorder="1" applyAlignment="1">
      <alignment horizontal="center" vertical="center"/>
    </xf>
    <xf numFmtId="0" fontId="10" fillId="3" borderId="23" xfId="3009" applyFont="1" applyFill="1" applyBorder="1" applyAlignment="1">
      <alignment horizontal="center" vertical="center"/>
    </xf>
    <xf numFmtId="2" fontId="9" fillId="3" borderId="57" xfId="3009" applyNumberFormat="1" applyFont="1" applyFill="1" applyBorder="1" applyAlignment="1">
      <alignment horizontal="center" vertical="center"/>
    </xf>
    <xf numFmtId="0" fontId="17" fillId="3" borderId="6" xfId="3010" applyFont="1" applyFill="1" applyBorder="1" applyAlignment="1">
      <alignment horizontal="center" vertical="center"/>
    </xf>
    <xf numFmtId="0" fontId="19" fillId="3" borderId="9" xfId="3010" applyFont="1" applyFill="1" applyBorder="1" applyAlignment="1">
      <alignment horizontal="center" vertical="center"/>
    </xf>
    <xf numFmtId="0" fontId="19" fillId="3" borderId="0" xfId="3010" applyFont="1" applyFill="1" applyAlignment="1">
      <alignment horizontal="center" vertical="center"/>
    </xf>
    <xf numFmtId="0" fontId="19" fillId="3" borderId="10" xfId="3010" applyFont="1" applyFill="1" applyBorder="1" applyAlignment="1">
      <alignment horizontal="center" vertical="center"/>
    </xf>
    <xf numFmtId="0" fontId="19" fillId="3" borderId="16" xfId="3010" applyFont="1" applyFill="1" applyBorder="1" applyAlignment="1">
      <alignment horizontal="center" vertical="center"/>
    </xf>
    <xf numFmtId="0" fontId="19" fillId="3" borderId="2" xfId="3010" applyFont="1" applyFill="1" applyBorder="1" applyAlignment="1">
      <alignment horizontal="center" vertical="center"/>
    </xf>
    <xf numFmtId="0" fontId="19" fillId="3" borderId="17" xfId="3010" applyFont="1" applyFill="1" applyBorder="1" applyAlignment="1">
      <alignment horizontal="center" vertical="center"/>
    </xf>
    <xf numFmtId="0" fontId="17" fillId="3" borderId="10" xfId="301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20" fillId="3" borderId="47" xfId="1" applyFont="1" applyFill="1" applyBorder="1" applyAlignment="1">
      <alignment horizontal="center" vertical="center"/>
    </xf>
    <xf numFmtId="0" fontId="35" fillId="33" borderId="13" xfId="0" applyFont="1" applyFill="1" applyBorder="1" applyAlignment="1">
      <alignment horizontal="center" vertical="center" wrapText="1"/>
    </xf>
    <xf numFmtId="0" fontId="35" fillId="33" borderId="9" xfId="0" applyFont="1" applyFill="1" applyBorder="1" applyAlignment="1">
      <alignment horizontal="center" vertical="center" wrapText="1"/>
    </xf>
    <xf numFmtId="0" fontId="35" fillId="33" borderId="16" xfId="0" applyFont="1" applyFill="1" applyBorder="1" applyAlignment="1">
      <alignment horizontal="center" vertical="center" wrapText="1"/>
    </xf>
    <xf numFmtId="0" fontId="35" fillId="36" borderId="13" xfId="0" applyFont="1" applyFill="1" applyBorder="1" applyAlignment="1">
      <alignment horizontal="center" vertical="center" wrapText="1"/>
    </xf>
    <xf numFmtId="0" fontId="35" fillId="36" borderId="9" xfId="0" applyFont="1" applyFill="1" applyBorder="1" applyAlignment="1">
      <alignment horizontal="center" vertical="center" wrapText="1"/>
    </xf>
    <xf numFmtId="0" fontId="35" fillId="36" borderId="16" xfId="0" applyFont="1" applyFill="1" applyBorder="1" applyAlignment="1">
      <alignment horizontal="center" vertical="center" wrapText="1"/>
    </xf>
    <xf numFmtId="0" fontId="35" fillId="37" borderId="13" xfId="0" applyFont="1" applyFill="1" applyBorder="1" applyAlignment="1">
      <alignment horizontal="center" vertical="center"/>
    </xf>
    <xf numFmtId="0" fontId="35" fillId="37" borderId="9" xfId="0" applyFont="1" applyFill="1" applyBorder="1" applyAlignment="1">
      <alignment horizontal="center" vertical="center"/>
    </xf>
    <xf numFmtId="0" fontId="35" fillId="37" borderId="16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5" fillId="38" borderId="13" xfId="0" applyFont="1" applyFill="1" applyBorder="1" applyAlignment="1">
      <alignment horizontal="center" vertical="center"/>
    </xf>
    <xf numFmtId="0" fontId="35" fillId="38" borderId="9" xfId="0" applyFont="1" applyFill="1" applyBorder="1" applyAlignment="1">
      <alignment horizontal="center" vertical="center"/>
    </xf>
    <xf numFmtId="0" fontId="35" fillId="38" borderId="16" xfId="0" applyFont="1" applyFill="1" applyBorder="1" applyAlignment="1">
      <alignment horizontal="center" vertical="center"/>
    </xf>
    <xf numFmtId="0" fontId="35" fillId="39" borderId="13" xfId="0" applyFont="1" applyFill="1" applyBorder="1" applyAlignment="1">
      <alignment horizontal="center" vertical="center" wrapText="1"/>
    </xf>
    <xf numFmtId="0" fontId="35" fillId="39" borderId="9" xfId="0" applyFont="1" applyFill="1" applyBorder="1" applyAlignment="1">
      <alignment horizontal="center" vertical="center" wrapText="1"/>
    </xf>
    <xf numFmtId="0" fontId="35" fillId="39" borderId="16" xfId="0" applyFont="1" applyFill="1" applyBorder="1" applyAlignment="1">
      <alignment horizontal="center" vertical="center" wrapText="1"/>
    </xf>
    <xf numFmtId="0" fontId="0" fillId="24" borderId="12" xfId="0" applyFill="1" applyBorder="1" applyAlignment="1">
      <alignment horizontal="center" vertical="center"/>
    </xf>
    <xf numFmtId="0" fontId="0" fillId="24" borderId="38" xfId="0" applyFill="1" applyBorder="1" applyAlignment="1">
      <alignment horizontal="center" vertical="center"/>
    </xf>
    <xf numFmtId="0" fontId="0" fillId="24" borderId="34" xfId="0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38" xfId="0" applyFill="1" applyBorder="1" applyAlignment="1">
      <alignment horizontal="center" vertical="center"/>
    </xf>
    <xf numFmtId="0" fontId="0" fillId="23" borderId="34" xfId="0" applyFill="1" applyBorder="1" applyAlignment="1">
      <alignment horizontal="center" vertical="center"/>
    </xf>
    <xf numFmtId="0" fontId="0" fillId="28" borderId="19" xfId="0" applyFill="1" applyBorder="1" applyAlignment="1">
      <alignment horizontal="center" vertical="center"/>
    </xf>
    <xf numFmtId="0" fontId="0" fillId="28" borderId="24" xfId="0" applyFill="1" applyBorder="1" applyAlignment="1">
      <alignment horizontal="center" vertical="center"/>
    </xf>
    <xf numFmtId="0" fontId="0" fillId="28" borderId="12" xfId="0" applyFill="1" applyBorder="1" applyAlignment="1">
      <alignment horizontal="center" vertical="center"/>
    </xf>
    <xf numFmtId="0" fontId="0" fillId="28" borderId="38" xfId="0" applyFill="1" applyBorder="1" applyAlignment="1">
      <alignment horizontal="center" vertical="center"/>
    </xf>
    <xf numFmtId="0" fontId="0" fillId="28" borderId="34" xfId="0" applyFill="1" applyBorder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29" fillId="3" borderId="0" xfId="0" applyFont="1" applyFill="1" applyAlignment="1">
      <alignment horizontal="center" vertical="center" wrapText="1"/>
    </xf>
    <xf numFmtId="0" fontId="10" fillId="3" borderId="13" xfId="3010" applyFont="1" applyFill="1" applyBorder="1" applyAlignment="1">
      <alignment horizontal="center" vertical="center"/>
    </xf>
    <xf numFmtId="0" fontId="10" fillId="3" borderId="14" xfId="3010" applyFont="1" applyFill="1" applyBorder="1" applyAlignment="1">
      <alignment horizontal="center" vertical="center"/>
    </xf>
    <xf numFmtId="0" fontId="17" fillId="3" borderId="54" xfId="3010" applyFont="1" applyFill="1" applyBorder="1" applyAlignment="1">
      <alignment horizontal="center" vertical="center"/>
    </xf>
    <xf numFmtId="0" fontId="17" fillId="3" borderId="14" xfId="3010" applyFont="1" applyFill="1" applyBorder="1" applyAlignment="1">
      <alignment horizontal="center" vertical="center"/>
    </xf>
    <xf numFmtId="0" fontId="17" fillId="3" borderId="55" xfId="3010" applyFont="1" applyFill="1" applyBorder="1" applyAlignment="1">
      <alignment horizontal="center" vertical="center"/>
    </xf>
    <xf numFmtId="0" fontId="17" fillId="3" borderId="15" xfId="3010" applyFont="1" applyFill="1" applyBorder="1" applyAlignment="1">
      <alignment horizontal="center" vertical="center"/>
    </xf>
    <xf numFmtId="0" fontId="17" fillId="3" borderId="17" xfId="3010" applyFont="1" applyFill="1" applyBorder="1" applyAlignment="1">
      <alignment horizontal="center" vertical="center"/>
    </xf>
    <xf numFmtId="0" fontId="17" fillId="3" borderId="13" xfId="3010" applyFont="1" applyFill="1" applyBorder="1" applyAlignment="1">
      <alignment horizontal="center" vertical="center"/>
    </xf>
    <xf numFmtId="0" fontId="17" fillId="3" borderId="9" xfId="3010" applyFont="1" applyFill="1" applyBorder="1" applyAlignment="1">
      <alignment horizontal="center" vertical="center"/>
    </xf>
    <xf numFmtId="0" fontId="17" fillId="3" borderId="16" xfId="3010" applyFont="1" applyFill="1" applyBorder="1" applyAlignment="1">
      <alignment horizontal="center" vertical="center"/>
    </xf>
    <xf numFmtId="0" fontId="19" fillId="3" borderId="13" xfId="3010" applyFont="1" applyFill="1" applyBorder="1" applyAlignment="1">
      <alignment horizontal="center" vertical="center"/>
    </xf>
    <xf numFmtId="0" fontId="19" fillId="3" borderId="14" xfId="3010" applyFont="1" applyFill="1" applyBorder="1" applyAlignment="1">
      <alignment horizontal="center" vertical="center"/>
    </xf>
    <xf numFmtId="0" fontId="19" fillId="3" borderId="15" xfId="3010" applyFont="1" applyFill="1" applyBorder="1" applyAlignment="1">
      <alignment horizontal="center" vertical="center"/>
    </xf>
    <xf numFmtId="0" fontId="17" fillId="3" borderId="20" xfId="3010" applyFont="1" applyFill="1" applyBorder="1" applyAlignment="1">
      <alignment horizontal="center" vertical="center"/>
    </xf>
    <xf numFmtId="0" fontId="17" fillId="3" borderId="25" xfId="3010" applyFont="1" applyFill="1" applyBorder="1" applyAlignment="1">
      <alignment horizontal="center" vertical="center"/>
    </xf>
    <xf numFmtId="0" fontId="17" fillId="3" borderId="28" xfId="3010" applyFont="1" applyFill="1" applyBorder="1" applyAlignment="1">
      <alignment horizontal="center" vertical="center"/>
    </xf>
    <xf numFmtId="0" fontId="17" fillId="3" borderId="44" xfId="3010" applyFont="1" applyFill="1" applyBorder="1" applyAlignment="1">
      <alignment horizontal="center" vertical="center"/>
    </xf>
    <xf numFmtId="0" fontId="10" fillId="3" borderId="15" xfId="3010" applyFont="1" applyFill="1" applyBorder="1" applyAlignment="1">
      <alignment horizontal="center" vertical="center"/>
    </xf>
  </cellXfs>
  <cellStyles count="3012">
    <cellStyle name="%" xfId="2" xr:uid="{00000000-0005-0000-0000-000000000000}"/>
    <cellStyle name="% 2" xfId="3" xr:uid="{00000000-0005-0000-0000-000001000000}"/>
    <cellStyle name="% 3" xfId="4" xr:uid="{00000000-0005-0000-0000-000002000000}"/>
    <cellStyle name="% 4" xfId="5" xr:uid="{00000000-0005-0000-0000-000003000000}"/>
    <cellStyle name="% 5" xfId="6" xr:uid="{00000000-0005-0000-0000-000004000000}"/>
    <cellStyle name="%_Reporte Contaco Construcoes - 17jul07 v.2" xfId="7" xr:uid="{00000000-0005-0000-0000-000005000000}"/>
    <cellStyle name="20% - Accent1 10" xfId="8" xr:uid="{00000000-0005-0000-0000-000006000000}"/>
    <cellStyle name="20% - Accent1 10 2" xfId="9" xr:uid="{00000000-0005-0000-0000-000007000000}"/>
    <cellStyle name="20% - Accent1 10 2 2" xfId="10" xr:uid="{00000000-0005-0000-0000-000008000000}"/>
    <cellStyle name="20% - Accent1 10 2 2 2" xfId="11" xr:uid="{00000000-0005-0000-0000-000009000000}"/>
    <cellStyle name="20% - Accent1 10 2 3" xfId="12" xr:uid="{00000000-0005-0000-0000-00000A000000}"/>
    <cellStyle name="20% - Accent1 10 3" xfId="13" xr:uid="{00000000-0005-0000-0000-00000B000000}"/>
    <cellStyle name="20% - Accent1 10 3 2" xfId="14" xr:uid="{00000000-0005-0000-0000-00000C000000}"/>
    <cellStyle name="20% - Accent1 10 4" xfId="15" xr:uid="{00000000-0005-0000-0000-00000D000000}"/>
    <cellStyle name="20% - Accent1 11" xfId="16" xr:uid="{00000000-0005-0000-0000-00000E000000}"/>
    <cellStyle name="20% - Accent1 11 2" xfId="17" xr:uid="{00000000-0005-0000-0000-00000F000000}"/>
    <cellStyle name="20% - Accent1 11 2 2" xfId="18" xr:uid="{00000000-0005-0000-0000-000010000000}"/>
    <cellStyle name="20% - Accent1 11 2 2 2" xfId="19" xr:uid="{00000000-0005-0000-0000-000011000000}"/>
    <cellStyle name="20% - Accent1 11 2 3" xfId="20" xr:uid="{00000000-0005-0000-0000-000012000000}"/>
    <cellStyle name="20% - Accent1 11 3" xfId="21" xr:uid="{00000000-0005-0000-0000-000013000000}"/>
    <cellStyle name="20% - Accent1 11 3 2" xfId="22" xr:uid="{00000000-0005-0000-0000-000014000000}"/>
    <cellStyle name="20% - Accent1 11 4" xfId="23" xr:uid="{00000000-0005-0000-0000-000015000000}"/>
    <cellStyle name="20% - Accent1 12" xfId="24" xr:uid="{00000000-0005-0000-0000-000016000000}"/>
    <cellStyle name="20% - Accent1 12 2" xfId="25" xr:uid="{00000000-0005-0000-0000-000017000000}"/>
    <cellStyle name="20% - Accent1 12 2 2" xfId="26" xr:uid="{00000000-0005-0000-0000-000018000000}"/>
    <cellStyle name="20% - Accent1 12 2 2 2" xfId="27" xr:uid="{00000000-0005-0000-0000-000019000000}"/>
    <cellStyle name="20% - Accent1 12 2 3" xfId="28" xr:uid="{00000000-0005-0000-0000-00001A000000}"/>
    <cellStyle name="20% - Accent1 12 3" xfId="29" xr:uid="{00000000-0005-0000-0000-00001B000000}"/>
    <cellStyle name="20% - Accent1 12 3 2" xfId="30" xr:uid="{00000000-0005-0000-0000-00001C000000}"/>
    <cellStyle name="20% - Accent1 12 4" xfId="31" xr:uid="{00000000-0005-0000-0000-00001D000000}"/>
    <cellStyle name="20% - Accent1 13" xfId="32" xr:uid="{00000000-0005-0000-0000-00001E000000}"/>
    <cellStyle name="20% - Accent1 13 2" xfId="33" xr:uid="{00000000-0005-0000-0000-00001F000000}"/>
    <cellStyle name="20% - Accent1 13 2 2" xfId="34" xr:uid="{00000000-0005-0000-0000-000020000000}"/>
    <cellStyle name="20% - Accent1 13 2 2 2" xfId="35" xr:uid="{00000000-0005-0000-0000-000021000000}"/>
    <cellStyle name="20% - Accent1 13 2 3" xfId="36" xr:uid="{00000000-0005-0000-0000-000022000000}"/>
    <cellStyle name="20% - Accent1 13 3" xfId="37" xr:uid="{00000000-0005-0000-0000-000023000000}"/>
    <cellStyle name="20% - Accent1 13 3 2" xfId="38" xr:uid="{00000000-0005-0000-0000-000024000000}"/>
    <cellStyle name="20% - Accent1 13 4" xfId="39" xr:uid="{00000000-0005-0000-0000-000025000000}"/>
    <cellStyle name="20% - Accent1 14" xfId="40" xr:uid="{00000000-0005-0000-0000-000026000000}"/>
    <cellStyle name="20% - Accent1 14 2" xfId="41" xr:uid="{00000000-0005-0000-0000-000027000000}"/>
    <cellStyle name="20% - Accent1 14 2 2" xfId="42" xr:uid="{00000000-0005-0000-0000-000028000000}"/>
    <cellStyle name="20% - Accent1 14 2 2 2" xfId="43" xr:uid="{00000000-0005-0000-0000-000029000000}"/>
    <cellStyle name="20% - Accent1 14 2 3" xfId="44" xr:uid="{00000000-0005-0000-0000-00002A000000}"/>
    <cellStyle name="20% - Accent1 14 3" xfId="45" xr:uid="{00000000-0005-0000-0000-00002B000000}"/>
    <cellStyle name="20% - Accent1 14 3 2" xfId="46" xr:uid="{00000000-0005-0000-0000-00002C000000}"/>
    <cellStyle name="20% - Accent1 14 4" xfId="47" xr:uid="{00000000-0005-0000-0000-00002D000000}"/>
    <cellStyle name="20% - Accent1 15" xfId="48" xr:uid="{00000000-0005-0000-0000-00002E000000}"/>
    <cellStyle name="20% - Accent1 15 2" xfId="49" xr:uid="{00000000-0005-0000-0000-00002F000000}"/>
    <cellStyle name="20% - Accent1 15 2 2" xfId="50" xr:uid="{00000000-0005-0000-0000-000030000000}"/>
    <cellStyle name="20% - Accent1 15 2 2 2" xfId="51" xr:uid="{00000000-0005-0000-0000-000031000000}"/>
    <cellStyle name="20% - Accent1 15 2 3" xfId="52" xr:uid="{00000000-0005-0000-0000-000032000000}"/>
    <cellStyle name="20% - Accent1 15 3" xfId="53" xr:uid="{00000000-0005-0000-0000-000033000000}"/>
    <cellStyle name="20% - Accent1 15 3 2" xfId="54" xr:uid="{00000000-0005-0000-0000-000034000000}"/>
    <cellStyle name="20% - Accent1 15 4" xfId="55" xr:uid="{00000000-0005-0000-0000-000035000000}"/>
    <cellStyle name="20% - Accent1 16" xfId="56" xr:uid="{00000000-0005-0000-0000-000036000000}"/>
    <cellStyle name="20% - Accent1 16 2" xfId="57" xr:uid="{00000000-0005-0000-0000-000037000000}"/>
    <cellStyle name="20% - Accent1 16 2 2" xfId="58" xr:uid="{00000000-0005-0000-0000-000038000000}"/>
    <cellStyle name="20% - Accent1 16 2 2 2" xfId="59" xr:uid="{00000000-0005-0000-0000-000039000000}"/>
    <cellStyle name="20% - Accent1 16 2 3" xfId="60" xr:uid="{00000000-0005-0000-0000-00003A000000}"/>
    <cellStyle name="20% - Accent1 16 3" xfId="61" xr:uid="{00000000-0005-0000-0000-00003B000000}"/>
    <cellStyle name="20% - Accent1 16 3 2" xfId="62" xr:uid="{00000000-0005-0000-0000-00003C000000}"/>
    <cellStyle name="20% - Accent1 16 4" xfId="63" xr:uid="{00000000-0005-0000-0000-00003D000000}"/>
    <cellStyle name="20% - Accent1 17" xfId="64" xr:uid="{00000000-0005-0000-0000-00003E000000}"/>
    <cellStyle name="20% - Accent1 17 2" xfId="65" xr:uid="{00000000-0005-0000-0000-00003F000000}"/>
    <cellStyle name="20% - Accent1 17 2 2" xfId="66" xr:uid="{00000000-0005-0000-0000-000040000000}"/>
    <cellStyle name="20% - Accent1 17 2 2 2" xfId="67" xr:uid="{00000000-0005-0000-0000-000041000000}"/>
    <cellStyle name="20% - Accent1 17 2 3" xfId="68" xr:uid="{00000000-0005-0000-0000-000042000000}"/>
    <cellStyle name="20% - Accent1 17 3" xfId="69" xr:uid="{00000000-0005-0000-0000-000043000000}"/>
    <cellStyle name="20% - Accent1 17 3 2" xfId="70" xr:uid="{00000000-0005-0000-0000-000044000000}"/>
    <cellStyle name="20% - Accent1 17 4" xfId="71" xr:uid="{00000000-0005-0000-0000-000045000000}"/>
    <cellStyle name="20% - Accent1 18" xfId="72" xr:uid="{00000000-0005-0000-0000-000046000000}"/>
    <cellStyle name="20% - Accent1 18 2" xfId="73" xr:uid="{00000000-0005-0000-0000-000047000000}"/>
    <cellStyle name="20% - Accent1 18 2 2" xfId="74" xr:uid="{00000000-0005-0000-0000-000048000000}"/>
    <cellStyle name="20% - Accent1 18 2 2 2" xfId="75" xr:uid="{00000000-0005-0000-0000-000049000000}"/>
    <cellStyle name="20% - Accent1 18 2 3" xfId="76" xr:uid="{00000000-0005-0000-0000-00004A000000}"/>
    <cellStyle name="20% - Accent1 18 3" xfId="77" xr:uid="{00000000-0005-0000-0000-00004B000000}"/>
    <cellStyle name="20% - Accent1 18 3 2" xfId="78" xr:uid="{00000000-0005-0000-0000-00004C000000}"/>
    <cellStyle name="20% - Accent1 18 4" xfId="79" xr:uid="{00000000-0005-0000-0000-00004D000000}"/>
    <cellStyle name="20% - Accent1 19" xfId="80" xr:uid="{00000000-0005-0000-0000-00004E000000}"/>
    <cellStyle name="20% - Accent1 19 2" xfId="81" xr:uid="{00000000-0005-0000-0000-00004F000000}"/>
    <cellStyle name="20% - Accent1 19 2 2" xfId="82" xr:uid="{00000000-0005-0000-0000-000050000000}"/>
    <cellStyle name="20% - Accent1 19 2 2 2" xfId="83" xr:uid="{00000000-0005-0000-0000-000051000000}"/>
    <cellStyle name="20% - Accent1 19 2 3" xfId="84" xr:uid="{00000000-0005-0000-0000-000052000000}"/>
    <cellStyle name="20% - Accent1 19 3" xfId="85" xr:uid="{00000000-0005-0000-0000-000053000000}"/>
    <cellStyle name="20% - Accent1 19 3 2" xfId="86" xr:uid="{00000000-0005-0000-0000-000054000000}"/>
    <cellStyle name="20% - Accent1 19 4" xfId="87" xr:uid="{00000000-0005-0000-0000-000055000000}"/>
    <cellStyle name="20% - Accent1 2" xfId="88" xr:uid="{00000000-0005-0000-0000-000056000000}"/>
    <cellStyle name="20% - Accent1 2 2" xfId="89" xr:uid="{00000000-0005-0000-0000-000057000000}"/>
    <cellStyle name="20% - Accent1 2 2 2" xfId="90" xr:uid="{00000000-0005-0000-0000-000058000000}"/>
    <cellStyle name="20% - Accent1 2 2 2 2" xfId="91" xr:uid="{00000000-0005-0000-0000-000059000000}"/>
    <cellStyle name="20% - Accent1 2 2 3" xfId="92" xr:uid="{00000000-0005-0000-0000-00005A000000}"/>
    <cellStyle name="20% - Accent1 2 3" xfId="93" xr:uid="{00000000-0005-0000-0000-00005B000000}"/>
    <cellStyle name="20% - Accent1 2 3 2" xfId="94" xr:uid="{00000000-0005-0000-0000-00005C000000}"/>
    <cellStyle name="20% - Accent1 2 4" xfId="95" xr:uid="{00000000-0005-0000-0000-00005D000000}"/>
    <cellStyle name="20% - Accent1 20" xfId="96" xr:uid="{00000000-0005-0000-0000-00005E000000}"/>
    <cellStyle name="20% - Accent1 20 2" xfId="97" xr:uid="{00000000-0005-0000-0000-00005F000000}"/>
    <cellStyle name="20% - Accent1 20 2 2" xfId="98" xr:uid="{00000000-0005-0000-0000-000060000000}"/>
    <cellStyle name="20% - Accent1 20 2 2 2" xfId="99" xr:uid="{00000000-0005-0000-0000-000061000000}"/>
    <cellStyle name="20% - Accent1 20 2 3" xfId="100" xr:uid="{00000000-0005-0000-0000-000062000000}"/>
    <cellStyle name="20% - Accent1 20 3" xfId="101" xr:uid="{00000000-0005-0000-0000-000063000000}"/>
    <cellStyle name="20% - Accent1 20 3 2" xfId="102" xr:uid="{00000000-0005-0000-0000-000064000000}"/>
    <cellStyle name="20% - Accent1 20 4" xfId="103" xr:uid="{00000000-0005-0000-0000-000065000000}"/>
    <cellStyle name="20% - Accent1 21" xfId="104" xr:uid="{00000000-0005-0000-0000-000066000000}"/>
    <cellStyle name="20% - Accent1 21 2" xfId="105" xr:uid="{00000000-0005-0000-0000-000067000000}"/>
    <cellStyle name="20% - Accent1 21 2 2" xfId="106" xr:uid="{00000000-0005-0000-0000-000068000000}"/>
    <cellStyle name="20% - Accent1 21 2 2 2" xfId="107" xr:uid="{00000000-0005-0000-0000-000069000000}"/>
    <cellStyle name="20% - Accent1 21 2 3" xfId="108" xr:uid="{00000000-0005-0000-0000-00006A000000}"/>
    <cellStyle name="20% - Accent1 21 3" xfId="109" xr:uid="{00000000-0005-0000-0000-00006B000000}"/>
    <cellStyle name="20% - Accent1 21 3 2" xfId="110" xr:uid="{00000000-0005-0000-0000-00006C000000}"/>
    <cellStyle name="20% - Accent1 21 4" xfId="111" xr:uid="{00000000-0005-0000-0000-00006D000000}"/>
    <cellStyle name="20% - Accent1 22" xfId="112" xr:uid="{00000000-0005-0000-0000-00006E000000}"/>
    <cellStyle name="20% - Accent1 22 2" xfId="113" xr:uid="{00000000-0005-0000-0000-00006F000000}"/>
    <cellStyle name="20% - Accent1 22 2 2" xfId="114" xr:uid="{00000000-0005-0000-0000-000070000000}"/>
    <cellStyle name="20% - Accent1 22 2 2 2" xfId="115" xr:uid="{00000000-0005-0000-0000-000071000000}"/>
    <cellStyle name="20% - Accent1 22 2 3" xfId="116" xr:uid="{00000000-0005-0000-0000-000072000000}"/>
    <cellStyle name="20% - Accent1 22 3" xfId="117" xr:uid="{00000000-0005-0000-0000-000073000000}"/>
    <cellStyle name="20% - Accent1 22 3 2" xfId="118" xr:uid="{00000000-0005-0000-0000-000074000000}"/>
    <cellStyle name="20% - Accent1 22 4" xfId="119" xr:uid="{00000000-0005-0000-0000-000075000000}"/>
    <cellStyle name="20% - Accent1 23" xfId="120" xr:uid="{00000000-0005-0000-0000-000076000000}"/>
    <cellStyle name="20% - Accent1 23 2" xfId="121" xr:uid="{00000000-0005-0000-0000-000077000000}"/>
    <cellStyle name="20% - Accent1 23 2 2" xfId="122" xr:uid="{00000000-0005-0000-0000-000078000000}"/>
    <cellStyle name="20% - Accent1 23 2 2 2" xfId="123" xr:uid="{00000000-0005-0000-0000-000079000000}"/>
    <cellStyle name="20% - Accent1 23 2 3" xfId="124" xr:uid="{00000000-0005-0000-0000-00007A000000}"/>
    <cellStyle name="20% - Accent1 23 3" xfId="125" xr:uid="{00000000-0005-0000-0000-00007B000000}"/>
    <cellStyle name="20% - Accent1 23 3 2" xfId="126" xr:uid="{00000000-0005-0000-0000-00007C000000}"/>
    <cellStyle name="20% - Accent1 23 4" xfId="127" xr:uid="{00000000-0005-0000-0000-00007D000000}"/>
    <cellStyle name="20% - Accent1 24" xfId="128" xr:uid="{00000000-0005-0000-0000-00007E000000}"/>
    <cellStyle name="20% - Accent1 24 2" xfId="129" xr:uid="{00000000-0005-0000-0000-00007F000000}"/>
    <cellStyle name="20% - Accent1 24 2 2" xfId="130" xr:uid="{00000000-0005-0000-0000-000080000000}"/>
    <cellStyle name="20% - Accent1 24 3" xfId="131" xr:uid="{00000000-0005-0000-0000-000081000000}"/>
    <cellStyle name="20% - Accent1 25" xfId="132" xr:uid="{00000000-0005-0000-0000-000082000000}"/>
    <cellStyle name="20% - Accent1 25 2" xfId="133" xr:uid="{00000000-0005-0000-0000-000083000000}"/>
    <cellStyle name="20% - Accent1 26" xfId="134" xr:uid="{00000000-0005-0000-0000-000084000000}"/>
    <cellStyle name="20% - Accent1 3" xfId="135" xr:uid="{00000000-0005-0000-0000-000085000000}"/>
    <cellStyle name="20% - Accent1 3 2" xfId="136" xr:uid="{00000000-0005-0000-0000-000086000000}"/>
    <cellStyle name="20% - Accent1 3 2 2" xfId="137" xr:uid="{00000000-0005-0000-0000-000087000000}"/>
    <cellStyle name="20% - Accent1 3 2 2 2" xfId="138" xr:uid="{00000000-0005-0000-0000-000088000000}"/>
    <cellStyle name="20% - Accent1 3 2 3" xfId="139" xr:uid="{00000000-0005-0000-0000-000089000000}"/>
    <cellStyle name="20% - Accent1 3 3" xfId="140" xr:uid="{00000000-0005-0000-0000-00008A000000}"/>
    <cellStyle name="20% - Accent1 3 3 2" xfId="141" xr:uid="{00000000-0005-0000-0000-00008B000000}"/>
    <cellStyle name="20% - Accent1 3 4" xfId="142" xr:uid="{00000000-0005-0000-0000-00008C000000}"/>
    <cellStyle name="20% - Accent1 4" xfId="143" xr:uid="{00000000-0005-0000-0000-00008D000000}"/>
    <cellStyle name="20% - Accent1 4 2" xfId="144" xr:uid="{00000000-0005-0000-0000-00008E000000}"/>
    <cellStyle name="20% - Accent1 4 2 2" xfId="145" xr:uid="{00000000-0005-0000-0000-00008F000000}"/>
    <cellStyle name="20% - Accent1 4 2 2 2" xfId="146" xr:uid="{00000000-0005-0000-0000-000090000000}"/>
    <cellStyle name="20% - Accent1 4 2 3" xfId="147" xr:uid="{00000000-0005-0000-0000-000091000000}"/>
    <cellStyle name="20% - Accent1 4 3" xfId="148" xr:uid="{00000000-0005-0000-0000-000092000000}"/>
    <cellStyle name="20% - Accent1 4 3 2" xfId="149" xr:uid="{00000000-0005-0000-0000-000093000000}"/>
    <cellStyle name="20% - Accent1 4 4" xfId="150" xr:uid="{00000000-0005-0000-0000-000094000000}"/>
    <cellStyle name="20% - Accent1 5" xfId="151" xr:uid="{00000000-0005-0000-0000-000095000000}"/>
    <cellStyle name="20% - Accent1 5 2" xfId="152" xr:uid="{00000000-0005-0000-0000-000096000000}"/>
    <cellStyle name="20% - Accent1 5 2 2" xfId="153" xr:uid="{00000000-0005-0000-0000-000097000000}"/>
    <cellStyle name="20% - Accent1 5 2 2 2" xfId="154" xr:uid="{00000000-0005-0000-0000-000098000000}"/>
    <cellStyle name="20% - Accent1 5 2 3" xfId="155" xr:uid="{00000000-0005-0000-0000-000099000000}"/>
    <cellStyle name="20% - Accent1 5 3" xfId="156" xr:uid="{00000000-0005-0000-0000-00009A000000}"/>
    <cellStyle name="20% - Accent1 5 3 2" xfId="157" xr:uid="{00000000-0005-0000-0000-00009B000000}"/>
    <cellStyle name="20% - Accent1 5 4" xfId="158" xr:uid="{00000000-0005-0000-0000-00009C000000}"/>
    <cellStyle name="20% - Accent1 6" xfId="159" xr:uid="{00000000-0005-0000-0000-00009D000000}"/>
    <cellStyle name="20% - Accent1 6 2" xfId="160" xr:uid="{00000000-0005-0000-0000-00009E000000}"/>
    <cellStyle name="20% - Accent1 6 2 2" xfId="161" xr:uid="{00000000-0005-0000-0000-00009F000000}"/>
    <cellStyle name="20% - Accent1 6 2 2 2" xfId="162" xr:uid="{00000000-0005-0000-0000-0000A0000000}"/>
    <cellStyle name="20% - Accent1 6 2 3" xfId="163" xr:uid="{00000000-0005-0000-0000-0000A1000000}"/>
    <cellStyle name="20% - Accent1 6 3" xfId="164" xr:uid="{00000000-0005-0000-0000-0000A2000000}"/>
    <cellStyle name="20% - Accent1 6 3 2" xfId="165" xr:uid="{00000000-0005-0000-0000-0000A3000000}"/>
    <cellStyle name="20% - Accent1 6 4" xfId="166" xr:uid="{00000000-0005-0000-0000-0000A4000000}"/>
    <cellStyle name="20% - Accent1 7" xfId="167" xr:uid="{00000000-0005-0000-0000-0000A5000000}"/>
    <cellStyle name="20% - Accent1 7 2" xfId="168" xr:uid="{00000000-0005-0000-0000-0000A6000000}"/>
    <cellStyle name="20% - Accent1 7 2 2" xfId="169" xr:uid="{00000000-0005-0000-0000-0000A7000000}"/>
    <cellStyle name="20% - Accent1 7 2 2 2" xfId="170" xr:uid="{00000000-0005-0000-0000-0000A8000000}"/>
    <cellStyle name="20% - Accent1 7 2 3" xfId="171" xr:uid="{00000000-0005-0000-0000-0000A9000000}"/>
    <cellStyle name="20% - Accent1 7 3" xfId="172" xr:uid="{00000000-0005-0000-0000-0000AA000000}"/>
    <cellStyle name="20% - Accent1 7 3 2" xfId="173" xr:uid="{00000000-0005-0000-0000-0000AB000000}"/>
    <cellStyle name="20% - Accent1 7 4" xfId="174" xr:uid="{00000000-0005-0000-0000-0000AC000000}"/>
    <cellStyle name="20% - Accent1 8" xfId="175" xr:uid="{00000000-0005-0000-0000-0000AD000000}"/>
    <cellStyle name="20% - Accent1 8 2" xfId="176" xr:uid="{00000000-0005-0000-0000-0000AE000000}"/>
    <cellStyle name="20% - Accent1 8 2 2" xfId="177" xr:uid="{00000000-0005-0000-0000-0000AF000000}"/>
    <cellStyle name="20% - Accent1 8 2 2 2" xfId="178" xr:uid="{00000000-0005-0000-0000-0000B0000000}"/>
    <cellStyle name="20% - Accent1 8 2 3" xfId="179" xr:uid="{00000000-0005-0000-0000-0000B1000000}"/>
    <cellStyle name="20% - Accent1 8 3" xfId="180" xr:uid="{00000000-0005-0000-0000-0000B2000000}"/>
    <cellStyle name="20% - Accent1 8 3 2" xfId="181" xr:uid="{00000000-0005-0000-0000-0000B3000000}"/>
    <cellStyle name="20% - Accent1 8 4" xfId="182" xr:uid="{00000000-0005-0000-0000-0000B4000000}"/>
    <cellStyle name="20% - Accent1 9" xfId="183" xr:uid="{00000000-0005-0000-0000-0000B5000000}"/>
    <cellStyle name="20% - Accent1 9 2" xfId="184" xr:uid="{00000000-0005-0000-0000-0000B6000000}"/>
    <cellStyle name="20% - Accent1 9 2 2" xfId="185" xr:uid="{00000000-0005-0000-0000-0000B7000000}"/>
    <cellStyle name="20% - Accent1 9 2 2 2" xfId="186" xr:uid="{00000000-0005-0000-0000-0000B8000000}"/>
    <cellStyle name="20% - Accent1 9 2 3" xfId="187" xr:uid="{00000000-0005-0000-0000-0000B9000000}"/>
    <cellStyle name="20% - Accent1 9 3" xfId="188" xr:uid="{00000000-0005-0000-0000-0000BA000000}"/>
    <cellStyle name="20% - Accent1 9 3 2" xfId="189" xr:uid="{00000000-0005-0000-0000-0000BB000000}"/>
    <cellStyle name="20% - Accent1 9 4" xfId="190" xr:uid="{00000000-0005-0000-0000-0000BC000000}"/>
    <cellStyle name="20% - Accent2 10" xfId="191" xr:uid="{00000000-0005-0000-0000-0000BD000000}"/>
    <cellStyle name="20% - Accent2 10 2" xfId="192" xr:uid="{00000000-0005-0000-0000-0000BE000000}"/>
    <cellStyle name="20% - Accent2 10 2 2" xfId="193" xr:uid="{00000000-0005-0000-0000-0000BF000000}"/>
    <cellStyle name="20% - Accent2 10 2 2 2" xfId="194" xr:uid="{00000000-0005-0000-0000-0000C0000000}"/>
    <cellStyle name="20% - Accent2 10 2 3" xfId="195" xr:uid="{00000000-0005-0000-0000-0000C1000000}"/>
    <cellStyle name="20% - Accent2 10 3" xfId="196" xr:uid="{00000000-0005-0000-0000-0000C2000000}"/>
    <cellStyle name="20% - Accent2 10 3 2" xfId="197" xr:uid="{00000000-0005-0000-0000-0000C3000000}"/>
    <cellStyle name="20% - Accent2 10 4" xfId="198" xr:uid="{00000000-0005-0000-0000-0000C4000000}"/>
    <cellStyle name="20% - Accent2 11" xfId="199" xr:uid="{00000000-0005-0000-0000-0000C5000000}"/>
    <cellStyle name="20% - Accent2 11 2" xfId="200" xr:uid="{00000000-0005-0000-0000-0000C6000000}"/>
    <cellStyle name="20% - Accent2 11 2 2" xfId="201" xr:uid="{00000000-0005-0000-0000-0000C7000000}"/>
    <cellStyle name="20% - Accent2 11 2 2 2" xfId="202" xr:uid="{00000000-0005-0000-0000-0000C8000000}"/>
    <cellStyle name="20% - Accent2 11 2 3" xfId="203" xr:uid="{00000000-0005-0000-0000-0000C9000000}"/>
    <cellStyle name="20% - Accent2 11 3" xfId="204" xr:uid="{00000000-0005-0000-0000-0000CA000000}"/>
    <cellStyle name="20% - Accent2 11 3 2" xfId="205" xr:uid="{00000000-0005-0000-0000-0000CB000000}"/>
    <cellStyle name="20% - Accent2 11 4" xfId="206" xr:uid="{00000000-0005-0000-0000-0000CC000000}"/>
    <cellStyle name="20% - Accent2 12" xfId="207" xr:uid="{00000000-0005-0000-0000-0000CD000000}"/>
    <cellStyle name="20% - Accent2 12 2" xfId="208" xr:uid="{00000000-0005-0000-0000-0000CE000000}"/>
    <cellStyle name="20% - Accent2 12 2 2" xfId="209" xr:uid="{00000000-0005-0000-0000-0000CF000000}"/>
    <cellStyle name="20% - Accent2 12 2 2 2" xfId="210" xr:uid="{00000000-0005-0000-0000-0000D0000000}"/>
    <cellStyle name="20% - Accent2 12 2 3" xfId="211" xr:uid="{00000000-0005-0000-0000-0000D1000000}"/>
    <cellStyle name="20% - Accent2 12 3" xfId="212" xr:uid="{00000000-0005-0000-0000-0000D2000000}"/>
    <cellStyle name="20% - Accent2 12 3 2" xfId="213" xr:uid="{00000000-0005-0000-0000-0000D3000000}"/>
    <cellStyle name="20% - Accent2 12 4" xfId="214" xr:uid="{00000000-0005-0000-0000-0000D4000000}"/>
    <cellStyle name="20% - Accent2 13" xfId="215" xr:uid="{00000000-0005-0000-0000-0000D5000000}"/>
    <cellStyle name="20% - Accent2 13 2" xfId="216" xr:uid="{00000000-0005-0000-0000-0000D6000000}"/>
    <cellStyle name="20% - Accent2 13 2 2" xfId="217" xr:uid="{00000000-0005-0000-0000-0000D7000000}"/>
    <cellStyle name="20% - Accent2 13 2 2 2" xfId="218" xr:uid="{00000000-0005-0000-0000-0000D8000000}"/>
    <cellStyle name="20% - Accent2 13 2 3" xfId="219" xr:uid="{00000000-0005-0000-0000-0000D9000000}"/>
    <cellStyle name="20% - Accent2 13 3" xfId="220" xr:uid="{00000000-0005-0000-0000-0000DA000000}"/>
    <cellStyle name="20% - Accent2 13 3 2" xfId="221" xr:uid="{00000000-0005-0000-0000-0000DB000000}"/>
    <cellStyle name="20% - Accent2 13 4" xfId="222" xr:uid="{00000000-0005-0000-0000-0000DC000000}"/>
    <cellStyle name="20% - Accent2 14" xfId="223" xr:uid="{00000000-0005-0000-0000-0000DD000000}"/>
    <cellStyle name="20% - Accent2 14 2" xfId="224" xr:uid="{00000000-0005-0000-0000-0000DE000000}"/>
    <cellStyle name="20% - Accent2 14 2 2" xfId="225" xr:uid="{00000000-0005-0000-0000-0000DF000000}"/>
    <cellStyle name="20% - Accent2 14 2 2 2" xfId="226" xr:uid="{00000000-0005-0000-0000-0000E0000000}"/>
    <cellStyle name="20% - Accent2 14 2 3" xfId="227" xr:uid="{00000000-0005-0000-0000-0000E1000000}"/>
    <cellStyle name="20% - Accent2 14 3" xfId="228" xr:uid="{00000000-0005-0000-0000-0000E2000000}"/>
    <cellStyle name="20% - Accent2 14 3 2" xfId="229" xr:uid="{00000000-0005-0000-0000-0000E3000000}"/>
    <cellStyle name="20% - Accent2 14 4" xfId="230" xr:uid="{00000000-0005-0000-0000-0000E4000000}"/>
    <cellStyle name="20% - Accent2 15" xfId="231" xr:uid="{00000000-0005-0000-0000-0000E5000000}"/>
    <cellStyle name="20% - Accent2 15 2" xfId="232" xr:uid="{00000000-0005-0000-0000-0000E6000000}"/>
    <cellStyle name="20% - Accent2 15 2 2" xfId="233" xr:uid="{00000000-0005-0000-0000-0000E7000000}"/>
    <cellStyle name="20% - Accent2 15 2 2 2" xfId="234" xr:uid="{00000000-0005-0000-0000-0000E8000000}"/>
    <cellStyle name="20% - Accent2 15 2 3" xfId="235" xr:uid="{00000000-0005-0000-0000-0000E9000000}"/>
    <cellStyle name="20% - Accent2 15 3" xfId="236" xr:uid="{00000000-0005-0000-0000-0000EA000000}"/>
    <cellStyle name="20% - Accent2 15 3 2" xfId="237" xr:uid="{00000000-0005-0000-0000-0000EB000000}"/>
    <cellStyle name="20% - Accent2 15 4" xfId="238" xr:uid="{00000000-0005-0000-0000-0000EC000000}"/>
    <cellStyle name="20% - Accent2 16" xfId="239" xr:uid="{00000000-0005-0000-0000-0000ED000000}"/>
    <cellStyle name="20% - Accent2 16 2" xfId="240" xr:uid="{00000000-0005-0000-0000-0000EE000000}"/>
    <cellStyle name="20% - Accent2 16 2 2" xfId="241" xr:uid="{00000000-0005-0000-0000-0000EF000000}"/>
    <cellStyle name="20% - Accent2 16 2 2 2" xfId="242" xr:uid="{00000000-0005-0000-0000-0000F0000000}"/>
    <cellStyle name="20% - Accent2 16 2 3" xfId="243" xr:uid="{00000000-0005-0000-0000-0000F1000000}"/>
    <cellStyle name="20% - Accent2 16 3" xfId="244" xr:uid="{00000000-0005-0000-0000-0000F2000000}"/>
    <cellStyle name="20% - Accent2 16 3 2" xfId="245" xr:uid="{00000000-0005-0000-0000-0000F3000000}"/>
    <cellStyle name="20% - Accent2 16 4" xfId="246" xr:uid="{00000000-0005-0000-0000-0000F4000000}"/>
    <cellStyle name="20% - Accent2 17" xfId="247" xr:uid="{00000000-0005-0000-0000-0000F5000000}"/>
    <cellStyle name="20% - Accent2 17 2" xfId="248" xr:uid="{00000000-0005-0000-0000-0000F6000000}"/>
    <cellStyle name="20% - Accent2 17 2 2" xfId="249" xr:uid="{00000000-0005-0000-0000-0000F7000000}"/>
    <cellStyle name="20% - Accent2 17 2 2 2" xfId="250" xr:uid="{00000000-0005-0000-0000-0000F8000000}"/>
    <cellStyle name="20% - Accent2 17 2 3" xfId="251" xr:uid="{00000000-0005-0000-0000-0000F9000000}"/>
    <cellStyle name="20% - Accent2 17 3" xfId="252" xr:uid="{00000000-0005-0000-0000-0000FA000000}"/>
    <cellStyle name="20% - Accent2 17 3 2" xfId="253" xr:uid="{00000000-0005-0000-0000-0000FB000000}"/>
    <cellStyle name="20% - Accent2 17 4" xfId="254" xr:uid="{00000000-0005-0000-0000-0000FC000000}"/>
    <cellStyle name="20% - Accent2 18" xfId="255" xr:uid="{00000000-0005-0000-0000-0000FD000000}"/>
    <cellStyle name="20% - Accent2 18 2" xfId="256" xr:uid="{00000000-0005-0000-0000-0000FE000000}"/>
    <cellStyle name="20% - Accent2 18 2 2" xfId="257" xr:uid="{00000000-0005-0000-0000-0000FF000000}"/>
    <cellStyle name="20% - Accent2 18 2 2 2" xfId="258" xr:uid="{00000000-0005-0000-0000-000000010000}"/>
    <cellStyle name="20% - Accent2 18 2 3" xfId="259" xr:uid="{00000000-0005-0000-0000-000001010000}"/>
    <cellStyle name="20% - Accent2 18 3" xfId="260" xr:uid="{00000000-0005-0000-0000-000002010000}"/>
    <cellStyle name="20% - Accent2 18 3 2" xfId="261" xr:uid="{00000000-0005-0000-0000-000003010000}"/>
    <cellStyle name="20% - Accent2 18 4" xfId="262" xr:uid="{00000000-0005-0000-0000-000004010000}"/>
    <cellStyle name="20% - Accent2 19" xfId="263" xr:uid="{00000000-0005-0000-0000-000005010000}"/>
    <cellStyle name="20% - Accent2 19 2" xfId="264" xr:uid="{00000000-0005-0000-0000-000006010000}"/>
    <cellStyle name="20% - Accent2 19 2 2" xfId="265" xr:uid="{00000000-0005-0000-0000-000007010000}"/>
    <cellStyle name="20% - Accent2 19 2 2 2" xfId="266" xr:uid="{00000000-0005-0000-0000-000008010000}"/>
    <cellStyle name="20% - Accent2 19 2 3" xfId="267" xr:uid="{00000000-0005-0000-0000-000009010000}"/>
    <cellStyle name="20% - Accent2 19 3" xfId="268" xr:uid="{00000000-0005-0000-0000-00000A010000}"/>
    <cellStyle name="20% - Accent2 19 3 2" xfId="269" xr:uid="{00000000-0005-0000-0000-00000B010000}"/>
    <cellStyle name="20% - Accent2 19 4" xfId="270" xr:uid="{00000000-0005-0000-0000-00000C010000}"/>
    <cellStyle name="20% - Accent2 2" xfId="271" xr:uid="{00000000-0005-0000-0000-00000D010000}"/>
    <cellStyle name="20% - Accent2 2 2" xfId="272" xr:uid="{00000000-0005-0000-0000-00000E010000}"/>
    <cellStyle name="20% - Accent2 2 2 2" xfId="273" xr:uid="{00000000-0005-0000-0000-00000F010000}"/>
    <cellStyle name="20% - Accent2 2 2 2 2" xfId="274" xr:uid="{00000000-0005-0000-0000-000010010000}"/>
    <cellStyle name="20% - Accent2 2 2 3" xfId="275" xr:uid="{00000000-0005-0000-0000-000011010000}"/>
    <cellStyle name="20% - Accent2 2 3" xfId="276" xr:uid="{00000000-0005-0000-0000-000012010000}"/>
    <cellStyle name="20% - Accent2 2 3 2" xfId="277" xr:uid="{00000000-0005-0000-0000-000013010000}"/>
    <cellStyle name="20% - Accent2 2 4" xfId="278" xr:uid="{00000000-0005-0000-0000-000014010000}"/>
    <cellStyle name="20% - Accent2 20" xfId="279" xr:uid="{00000000-0005-0000-0000-000015010000}"/>
    <cellStyle name="20% - Accent2 20 2" xfId="280" xr:uid="{00000000-0005-0000-0000-000016010000}"/>
    <cellStyle name="20% - Accent2 20 2 2" xfId="281" xr:uid="{00000000-0005-0000-0000-000017010000}"/>
    <cellStyle name="20% - Accent2 20 2 2 2" xfId="282" xr:uid="{00000000-0005-0000-0000-000018010000}"/>
    <cellStyle name="20% - Accent2 20 2 3" xfId="283" xr:uid="{00000000-0005-0000-0000-000019010000}"/>
    <cellStyle name="20% - Accent2 20 3" xfId="284" xr:uid="{00000000-0005-0000-0000-00001A010000}"/>
    <cellStyle name="20% - Accent2 20 3 2" xfId="285" xr:uid="{00000000-0005-0000-0000-00001B010000}"/>
    <cellStyle name="20% - Accent2 20 4" xfId="286" xr:uid="{00000000-0005-0000-0000-00001C010000}"/>
    <cellStyle name="20% - Accent2 21" xfId="287" xr:uid="{00000000-0005-0000-0000-00001D010000}"/>
    <cellStyle name="20% - Accent2 21 2" xfId="288" xr:uid="{00000000-0005-0000-0000-00001E010000}"/>
    <cellStyle name="20% - Accent2 21 2 2" xfId="289" xr:uid="{00000000-0005-0000-0000-00001F010000}"/>
    <cellStyle name="20% - Accent2 21 2 2 2" xfId="290" xr:uid="{00000000-0005-0000-0000-000020010000}"/>
    <cellStyle name="20% - Accent2 21 2 3" xfId="291" xr:uid="{00000000-0005-0000-0000-000021010000}"/>
    <cellStyle name="20% - Accent2 21 3" xfId="292" xr:uid="{00000000-0005-0000-0000-000022010000}"/>
    <cellStyle name="20% - Accent2 21 3 2" xfId="293" xr:uid="{00000000-0005-0000-0000-000023010000}"/>
    <cellStyle name="20% - Accent2 21 4" xfId="294" xr:uid="{00000000-0005-0000-0000-000024010000}"/>
    <cellStyle name="20% - Accent2 22" xfId="295" xr:uid="{00000000-0005-0000-0000-000025010000}"/>
    <cellStyle name="20% - Accent2 22 2" xfId="296" xr:uid="{00000000-0005-0000-0000-000026010000}"/>
    <cellStyle name="20% - Accent2 22 2 2" xfId="297" xr:uid="{00000000-0005-0000-0000-000027010000}"/>
    <cellStyle name="20% - Accent2 22 2 2 2" xfId="298" xr:uid="{00000000-0005-0000-0000-000028010000}"/>
    <cellStyle name="20% - Accent2 22 2 3" xfId="299" xr:uid="{00000000-0005-0000-0000-000029010000}"/>
    <cellStyle name="20% - Accent2 22 3" xfId="300" xr:uid="{00000000-0005-0000-0000-00002A010000}"/>
    <cellStyle name="20% - Accent2 22 3 2" xfId="301" xr:uid="{00000000-0005-0000-0000-00002B010000}"/>
    <cellStyle name="20% - Accent2 22 4" xfId="302" xr:uid="{00000000-0005-0000-0000-00002C010000}"/>
    <cellStyle name="20% - Accent2 23" xfId="303" xr:uid="{00000000-0005-0000-0000-00002D010000}"/>
    <cellStyle name="20% - Accent2 23 2" xfId="304" xr:uid="{00000000-0005-0000-0000-00002E010000}"/>
    <cellStyle name="20% - Accent2 23 2 2" xfId="305" xr:uid="{00000000-0005-0000-0000-00002F010000}"/>
    <cellStyle name="20% - Accent2 23 2 2 2" xfId="306" xr:uid="{00000000-0005-0000-0000-000030010000}"/>
    <cellStyle name="20% - Accent2 23 2 3" xfId="307" xr:uid="{00000000-0005-0000-0000-000031010000}"/>
    <cellStyle name="20% - Accent2 23 3" xfId="308" xr:uid="{00000000-0005-0000-0000-000032010000}"/>
    <cellStyle name="20% - Accent2 23 3 2" xfId="309" xr:uid="{00000000-0005-0000-0000-000033010000}"/>
    <cellStyle name="20% - Accent2 23 4" xfId="310" xr:uid="{00000000-0005-0000-0000-000034010000}"/>
    <cellStyle name="20% - Accent2 24" xfId="311" xr:uid="{00000000-0005-0000-0000-000035010000}"/>
    <cellStyle name="20% - Accent2 24 2" xfId="312" xr:uid="{00000000-0005-0000-0000-000036010000}"/>
    <cellStyle name="20% - Accent2 24 2 2" xfId="313" xr:uid="{00000000-0005-0000-0000-000037010000}"/>
    <cellStyle name="20% - Accent2 24 3" xfId="314" xr:uid="{00000000-0005-0000-0000-000038010000}"/>
    <cellStyle name="20% - Accent2 25" xfId="315" xr:uid="{00000000-0005-0000-0000-000039010000}"/>
    <cellStyle name="20% - Accent2 25 2" xfId="316" xr:uid="{00000000-0005-0000-0000-00003A010000}"/>
    <cellStyle name="20% - Accent2 26" xfId="317" xr:uid="{00000000-0005-0000-0000-00003B010000}"/>
    <cellStyle name="20% - Accent2 3" xfId="318" xr:uid="{00000000-0005-0000-0000-00003C010000}"/>
    <cellStyle name="20% - Accent2 3 2" xfId="319" xr:uid="{00000000-0005-0000-0000-00003D010000}"/>
    <cellStyle name="20% - Accent2 3 2 2" xfId="320" xr:uid="{00000000-0005-0000-0000-00003E010000}"/>
    <cellStyle name="20% - Accent2 3 2 2 2" xfId="321" xr:uid="{00000000-0005-0000-0000-00003F010000}"/>
    <cellStyle name="20% - Accent2 3 2 3" xfId="322" xr:uid="{00000000-0005-0000-0000-000040010000}"/>
    <cellStyle name="20% - Accent2 3 3" xfId="323" xr:uid="{00000000-0005-0000-0000-000041010000}"/>
    <cellStyle name="20% - Accent2 3 3 2" xfId="324" xr:uid="{00000000-0005-0000-0000-000042010000}"/>
    <cellStyle name="20% - Accent2 3 4" xfId="325" xr:uid="{00000000-0005-0000-0000-000043010000}"/>
    <cellStyle name="20% - Accent2 4" xfId="326" xr:uid="{00000000-0005-0000-0000-000044010000}"/>
    <cellStyle name="20% - Accent2 4 2" xfId="327" xr:uid="{00000000-0005-0000-0000-000045010000}"/>
    <cellStyle name="20% - Accent2 4 2 2" xfId="328" xr:uid="{00000000-0005-0000-0000-000046010000}"/>
    <cellStyle name="20% - Accent2 4 2 2 2" xfId="329" xr:uid="{00000000-0005-0000-0000-000047010000}"/>
    <cellStyle name="20% - Accent2 4 2 3" xfId="330" xr:uid="{00000000-0005-0000-0000-000048010000}"/>
    <cellStyle name="20% - Accent2 4 3" xfId="331" xr:uid="{00000000-0005-0000-0000-000049010000}"/>
    <cellStyle name="20% - Accent2 4 3 2" xfId="332" xr:uid="{00000000-0005-0000-0000-00004A010000}"/>
    <cellStyle name="20% - Accent2 4 4" xfId="333" xr:uid="{00000000-0005-0000-0000-00004B010000}"/>
    <cellStyle name="20% - Accent2 5" xfId="334" xr:uid="{00000000-0005-0000-0000-00004C010000}"/>
    <cellStyle name="20% - Accent2 5 2" xfId="335" xr:uid="{00000000-0005-0000-0000-00004D010000}"/>
    <cellStyle name="20% - Accent2 5 2 2" xfId="336" xr:uid="{00000000-0005-0000-0000-00004E010000}"/>
    <cellStyle name="20% - Accent2 5 2 2 2" xfId="337" xr:uid="{00000000-0005-0000-0000-00004F010000}"/>
    <cellStyle name="20% - Accent2 5 2 3" xfId="338" xr:uid="{00000000-0005-0000-0000-000050010000}"/>
    <cellStyle name="20% - Accent2 5 3" xfId="339" xr:uid="{00000000-0005-0000-0000-000051010000}"/>
    <cellStyle name="20% - Accent2 5 3 2" xfId="340" xr:uid="{00000000-0005-0000-0000-000052010000}"/>
    <cellStyle name="20% - Accent2 5 4" xfId="341" xr:uid="{00000000-0005-0000-0000-000053010000}"/>
    <cellStyle name="20% - Accent2 6" xfId="342" xr:uid="{00000000-0005-0000-0000-000054010000}"/>
    <cellStyle name="20% - Accent2 6 2" xfId="343" xr:uid="{00000000-0005-0000-0000-000055010000}"/>
    <cellStyle name="20% - Accent2 6 2 2" xfId="344" xr:uid="{00000000-0005-0000-0000-000056010000}"/>
    <cellStyle name="20% - Accent2 6 2 2 2" xfId="345" xr:uid="{00000000-0005-0000-0000-000057010000}"/>
    <cellStyle name="20% - Accent2 6 2 3" xfId="346" xr:uid="{00000000-0005-0000-0000-000058010000}"/>
    <cellStyle name="20% - Accent2 6 3" xfId="347" xr:uid="{00000000-0005-0000-0000-000059010000}"/>
    <cellStyle name="20% - Accent2 6 3 2" xfId="348" xr:uid="{00000000-0005-0000-0000-00005A010000}"/>
    <cellStyle name="20% - Accent2 6 4" xfId="349" xr:uid="{00000000-0005-0000-0000-00005B010000}"/>
    <cellStyle name="20% - Accent2 7" xfId="350" xr:uid="{00000000-0005-0000-0000-00005C010000}"/>
    <cellStyle name="20% - Accent2 7 2" xfId="351" xr:uid="{00000000-0005-0000-0000-00005D010000}"/>
    <cellStyle name="20% - Accent2 7 2 2" xfId="352" xr:uid="{00000000-0005-0000-0000-00005E010000}"/>
    <cellStyle name="20% - Accent2 7 2 2 2" xfId="353" xr:uid="{00000000-0005-0000-0000-00005F010000}"/>
    <cellStyle name="20% - Accent2 7 2 3" xfId="354" xr:uid="{00000000-0005-0000-0000-000060010000}"/>
    <cellStyle name="20% - Accent2 7 3" xfId="355" xr:uid="{00000000-0005-0000-0000-000061010000}"/>
    <cellStyle name="20% - Accent2 7 3 2" xfId="356" xr:uid="{00000000-0005-0000-0000-000062010000}"/>
    <cellStyle name="20% - Accent2 7 4" xfId="357" xr:uid="{00000000-0005-0000-0000-000063010000}"/>
    <cellStyle name="20% - Accent2 8" xfId="358" xr:uid="{00000000-0005-0000-0000-000064010000}"/>
    <cellStyle name="20% - Accent2 8 2" xfId="359" xr:uid="{00000000-0005-0000-0000-000065010000}"/>
    <cellStyle name="20% - Accent2 8 2 2" xfId="360" xr:uid="{00000000-0005-0000-0000-000066010000}"/>
    <cellStyle name="20% - Accent2 8 2 2 2" xfId="361" xr:uid="{00000000-0005-0000-0000-000067010000}"/>
    <cellStyle name="20% - Accent2 8 2 3" xfId="362" xr:uid="{00000000-0005-0000-0000-000068010000}"/>
    <cellStyle name="20% - Accent2 8 3" xfId="363" xr:uid="{00000000-0005-0000-0000-000069010000}"/>
    <cellStyle name="20% - Accent2 8 3 2" xfId="364" xr:uid="{00000000-0005-0000-0000-00006A010000}"/>
    <cellStyle name="20% - Accent2 8 4" xfId="365" xr:uid="{00000000-0005-0000-0000-00006B010000}"/>
    <cellStyle name="20% - Accent2 9" xfId="366" xr:uid="{00000000-0005-0000-0000-00006C010000}"/>
    <cellStyle name="20% - Accent2 9 2" xfId="367" xr:uid="{00000000-0005-0000-0000-00006D010000}"/>
    <cellStyle name="20% - Accent2 9 2 2" xfId="368" xr:uid="{00000000-0005-0000-0000-00006E010000}"/>
    <cellStyle name="20% - Accent2 9 2 2 2" xfId="369" xr:uid="{00000000-0005-0000-0000-00006F010000}"/>
    <cellStyle name="20% - Accent2 9 2 3" xfId="370" xr:uid="{00000000-0005-0000-0000-000070010000}"/>
    <cellStyle name="20% - Accent2 9 3" xfId="371" xr:uid="{00000000-0005-0000-0000-000071010000}"/>
    <cellStyle name="20% - Accent2 9 3 2" xfId="372" xr:uid="{00000000-0005-0000-0000-000072010000}"/>
    <cellStyle name="20% - Accent2 9 4" xfId="373" xr:uid="{00000000-0005-0000-0000-000073010000}"/>
    <cellStyle name="20% - Accent3 10" xfId="374" xr:uid="{00000000-0005-0000-0000-000074010000}"/>
    <cellStyle name="20% - Accent3 10 2" xfId="375" xr:uid="{00000000-0005-0000-0000-000075010000}"/>
    <cellStyle name="20% - Accent3 10 2 2" xfId="376" xr:uid="{00000000-0005-0000-0000-000076010000}"/>
    <cellStyle name="20% - Accent3 10 2 2 2" xfId="377" xr:uid="{00000000-0005-0000-0000-000077010000}"/>
    <cellStyle name="20% - Accent3 10 2 3" xfId="378" xr:uid="{00000000-0005-0000-0000-000078010000}"/>
    <cellStyle name="20% - Accent3 10 3" xfId="379" xr:uid="{00000000-0005-0000-0000-000079010000}"/>
    <cellStyle name="20% - Accent3 10 3 2" xfId="380" xr:uid="{00000000-0005-0000-0000-00007A010000}"/>
    <cellStyle name="20% - Accent3 10 4" xfId="381" xr:uid="{00000000-0005-0000-0000-00007B010000}"/>
    <cellStyle name="20% - Accent3 11" xfId="382" xr:uid="{00000000-0005-0000-0000-00007C010000}"/>
    <cellStyle name="20% - Accent3 11 2" xfId="383" xr:uid="{00000000-0005-0000-0000-00007D010000}"/>
    <cellStyle name="20% - Accent3 11 2 2" xfId="384" xr:uid="{00000000-0005-0000-0000-00007E010000}"/>
    <cellStyle name="20% - Accent3 11 2 2 2" xfId="385" xr:uid="{00000000-0005-0000-0000-00007F010000}"/>
    <cellStyle name="20% - Accent3 11 2 3" xfId="386" xr:uid="{00000000-0005-0000-0000-000080010000}"/>
    <cellStyle name="20% - Accent3 11 3" xfId="387" xr:uid="{00000000-0005-0000-0000-000081010000}"/>
    <cellStyle name="20% - Accent3 11 3 2" xfId="388" xr:uid="{00000000-0005-0000-0000-000082010000}"/>
    <cellStyle name="20% - Accent3 11 4" xfId="389" xr:uid="{00000000-0005-0000-0000-000083010000}"/>
    <cellStyle name="20% - Accent3 12" xfId="390" xr:uid="{00000000-0005-0000-0000-000084010000}"/>
    <cellStyle name="20% - Accent3 12 2" xfId="391" xr:uid="{00000000-0005-0000-0000-000085010000}"/>
    <cellStyle name="20% - Accent3 12 2 2" xfId="392" xr:uid="{00000000-0005-0000-0000-000086010000}"/>
    <cellStyle name="20% - Accent3 12 2 2 2" xfId="393" xr:uid="{00000000-0005-0000-0000-000087010000}"/>
    <cellStyle name="20% - Accent3 12 2 3" xfId="394" xr:uid="{00000000-0005-0000-0000-000088010000}"/>
    <cellStyle name="20% - Accent3 12 3" xfId="395" xr:uid="{00000000-0005-0000-0000-000089010000}"/>
    <cellStyle name="20% - Accent3 12 3 2" xfId="396" xr:uid="{00000000-0005-0000-0000-00008A010000}"/>
    <cellStyle name="20% - Accent3 12 4" xfId="397" xr:uid="{00000000-0005-0000-0000-00008B010000}"/>
    <cellStyle name="20% - Accent3 13" xfId="398" xr:uid="{00000000-0005-0000-0000-00008C010000}"/>
    <cellStyle name="20% - Accent3 13 2" xfId="399" xr:uid="{00000000-0005-0000-0000-00008D010000}"/>
    <cellStyle name="20% - Accent3 13 2 2" xfId="400" xr:uid="{00000000-0005-0000-0000-00008E010000}"/>
    <cellStyle name="20% - Accent3 13 2 2 2" xfId="401" xr:uid="{00000000-0005-0000-0000-00008F010000}"/>
    <cellStyle name="20% - Accent3 13 2 3" xfId="402" xr:uid="{00000000-0005-0000-0000-000090010000}"/>
    <cellStyle name="20% - Accent3 13 3" xfId="403" xr:uid="{00000000-0005-0000-0000-000091010000}"/>
    <cellStyle name="20% - Accent3 13 3 2" xfId="404" xr:uid="{00000000-0005-0000-0000-000092010000}"/>
    <cellStyle name="20% - Accent3 13 4" xfId="405" xr:uid="{00000000-0005-0000-0000-000093010000}"/>
    <cellStyle name="20% - Accent3 14" xfId="406" xr:uid="{00000000-0005-0000-0000-000094010000}"/>
    <cellStyle name="20% - Accent3 14 2" xfId="407" xr:uid="{00000000-0005-0000-0000-000095010000}"/>
    <cellStyle name="20% - Accent3 14 2 2" xfId="408" xr:uid="{00000000-0005-0000-0000-000096010000}"/>
    <cellStyle name="20% - Accent3 14 2 2 2" xfId="409" xr:uid="{00000000-0005-0000-0000-000097010000}"/>
    <cellStyle name="20% - Accent3 14 2 3" xfId="410" xr:uid="{00000000-0005-0000-0000-000098010000}"/>
    <cellStyle name="20% - Accent3 14 3" xfId="411" xr:uid="{00000000-0005-0000-0000-000099010000}"/>
    <cellStyle name="20% - Accent3 14 3 2" xfId="412" xr:uid="{00000000-0005-0000-0000-00009A010000}"/>
    <cellStyle name="20% - Accent3 14 4" xfId="413" xr:uid="{00000000-0005-0000-0000-00009B010000}"/>
    <cellStyle name="20% - Accent3 15" xfId="414" xr:uid="{00000000-0005-0000-0000-00009C010000}"/>
    <cellStyle name="20% - Accent3 15 2" xfId="415" xr:uid="{00000000-0005-0000-0000-00009D010000}"/>
    <cellStyle name="20% - Accent3 15 2 2" xfId="416" xr:uid="{00000000-0005-0000-0000-00009E010000}"/>
    <cellStyle name="20% - Accent3 15 2 2 2" xfId="417" xr:uid="{00000000-0005-0000-0000-00009F010000}"/>
    <cellStyle name="20% - Accent3 15 2 3" xfId="418" xr:uid="{00000000-0005-0000-0000-0000A0010000}"/>
    <cellStyle name="20% - Accent3 15 3" xfId="419" xr:uid="{00000000-0005-0000-0000-0000A1010000}"/>
    <cellStyle name="20% - Accent3 15 3 2" xfId="420" xr:uid="{00000000-0005-0000-0000-0000A2010000}"/>
    <cellStyle name="20% - Accent3 15 4" xfId="421" xr:uid="{00000000-0005-0000-0000-0000A3010000}"/>
    <cellStyle name="20% - Accent3 16" xfId="422" xr:uid="{00000000-0005-0000-0000-0000A4010000}"/>
    <cellStyle name="20% - Accent3 16 2" xfId="423" xr:uid="{00000000-0005-0000-0000-0000A5010000}"/>
    <cellStyle name="20% - Accent3 16 2 2" xfId="424" xr:uid="{00000000-0005-0000-0000-0000A6010000}"/>
    <cellStyle name="20% - Accent3 16 2 2 2" xfId="425" xr:uid="{00000000-0005-0000-0000-0000A7010000}"/>
    <cellStyle name="20% - Accent3 16 2 3" xfId="426" xr:uid="{00000000-0005-0000-0000-0000A8010000}"/>
    <cellStyle name="20% - Accent3 16 3" xfId="427" xr:uid="{00000000-0005-0000-0000-0000A9010000}"/>
    <cellStyle name="20% - Accent3 16 3 2" xfId="428" xr:uid="{00000000-0005-0000-0000-0000AA010000}"/>
    <cellStyle name="20% - Accent3 16 4" xfId="429" xr:uid="{00000000-0005-0000-0000-0000AB010000}"/>
    <cellStyle name="20% - Accent3 17" xfId="430" xr:uid="{00000000-0005-0000-0000-0000AC010000}"/>
    <cellStyle name="20% - Accent3 17 2" xfId="431" xr:uid="{00000000-0005-0000-0000-0000AD010000}"/>
    <cellStyle name="20% - Accent3 17 2 2" xfId="432" xr:uid="{00000000-0005-0000-0000-0000AE010000}"/>
    <cellStyle name="20% - Accent3 17 2 2 2" xfId="433" xr:uid="{00000000-0005-0000-0000-0000AF010000}"/>
    <cellStyle name="20% - Accent3 17 2 3" xfId="434" xr:uid="{00000000-0005-0000-0000-0000B0010000}"/>
    <cellStyle name="20% - Accent3 17 3" xfId="435" xr:uid="{00000000-0005-0000-0000-0000B1010000}"/>
    <cellStyle name="20% - Accent3 17 3 2" xfId="436" xr:uid="{00000000-0005-0000-0000-0000B2010000}"/>
    <cellStyle name="20% - Accent3 17 4" xfId="437" xr:uid="{00000000-0005-0000-0000-0000B3010000}"/>
    <cellStyle name="20% - Accent3 18" xfId="438" xr:uid="{00000000-0005-0000-0000-0000B4010000}"/>
    <cellStyle name="20% - Accent3 18 2" xfId="439" xr:uid="{00000000-0005-0000-0000-0000B5010000}"/>
    <cellStyle name="20% - Accent3 18 2 2" xfId="440" xr:uid="{00000000-0005-0000-0000-0000B6010000}"/>
    <cellStyle name="20% - Accent3 18 2 2 2" xfId="441" xr:uid="{00000000-0005-0000-0000-0000B7010000}"/>
    <cellStyle name="20% - Accent3 18 2 3" xfId="442" xr:uid="{00000000-0005-0000-0000-0000B8010000}"/>
    <cellStyle name="20% - Accent3 18 3" xfId="443" xr:uid="{00000000-0005-0000-0000-0000B9010000}"/>
    <cellStyle name="20% - Accent3 18 3 2" xfId="444" xr:uid="{00000000-0005-0000-0000-0000BA010000}"/>
    <cellStyle name="20% - Accent3 18 4" xfId="445" xr:uid="{00000000-0005-0000-0000-0000BB010000}"/>
    <cellStyle name="20% - Accent3 19" xfId="446" xr:uid="{00000000-0005-0000-0000-0000BC010000}"/>
    <cellStyle name="20% - Accent3 19 2" xfId="447" xr:uid="{00000000-0005-0000-0000-0000BD010000}"/>
    <cellStyle name="20% - Accent3 19 2 2" xfId="448" xr:uid="{00000000-0005-0000-0000-0000BE010000}"/>
    <cellStyle name="20% - Accent3 19 2 2 2" xfId="449" xr:uid="{00000000-0005-0000-0000-0000BF010000}"/>
    <cellStyle name="20% - Accent3 19 2 3" xfId="450" xr:uid="{00000000-0005-0000-0000-0000C0010000}"/>
    <cellStyle name="20% - Accent3 19 3" xfId="451" xr:uid="{00000000-0005-0000-0000-0000C1010000}"/>
    <cellStyle name="20% - Accent3 19 3 2" xfId="452" xr:uid="{00000000-0005-0000-0000-0000C2010000}"/>
    <cellStyle name="20% - Accent3 19 4" xfId="453" xr:uid="{00000000-0005-0000-0000-0000C3010000}"/>
    <cellStyle name="20% - Accent3 2" xfId="454" xr:uid="{00000000-0005-0000-0000-0000C4010000}"/>
    <cellStyle name="20% - Accent3 2 2" xfId="455" xr:uid="{00000000-0005-0000-0000-0000C5010000}"/>
    <cellStyle name="20% - Accent3 2 2 2" xfId="456" xr:uid="{00000000-0005-0000-0000-0000C6010000}"/>
    <cellStyle name="20% - Accent3 2 2 2 2" xfId="457" xr:uid="{00000000-0005-0000-0000-0000C7010000}"/>
    <cellStyle name="20% - Accent3 2 2 3" xfId="458" xr:uid="{00000000-0005-0000-0000-0000C8010000}"/>
    <cellStyle name="20% - Accent3 2 3" xfId="459" xr:uid="{00000000-0005-0000-0000-0000C9010000}"/>
    <cellStyle name="20% - Accent3 2 3 2" xfId="460" xr:uid="{00000000-0005-0000-0000-0000CA010000}"/>
    <cellStyle name="20% - Accent3 2 4" xfId="461" xr:uid="{00000000-0005-0000-0000-0000CB010000}"/>
    <cellStyle name="20% - Accent3 20" xfId="462" xr:uid="{00000000-0005-0000-0000-0000CC010000}"/>
    <cellStyle name="20% - Accent3 20 2" xfId="463" xr:uid="{00000000-0005-0000-0000-0000CD010000}"/>
    <cellStyle name="20% - Accent3 20 2 2" xfId="464" xr:uid="{00000000-0005-0000-0000-0000CE010000}"/>
    <cellStyle name="20% - Accent3 20 2 2 2" xfId="465" xr:uid="{00000000-0005-0000-0000-0000CF010000}"/>
    <cellStyle name="20% - Accent3 20 2 3" xfId="466" xr:uid="{00000000-0005-0000-0000-0000D0010000}"/>
    <cellStyle name="20% - Accent3 20 3" xfId="467" xr:uid="{00000000-0005-0000-0000-0000D1010000}"/>
    <cellStyle name="20% - Accent3 20 3 2" xfId="468" xr:uid="{00000000-0005-0000-0000-0000D2010000}"/>
    <cellStyle name="20% - Accent3 20 4" xfId="469" xr:uid="{00000000-0005-0000-0000-0000D3010000}"/>
    <cellStyle name="20% - Accent3 21" xfId="470" xr:uid="{00000000-0005-0000-0000-0000D4010000}"/>
    <cellStyle name="20% - Accent3 21 2" xfId="471" xr:uid="{00000000-0005-0000-0000-0000D5010000}"/>
    <cellStyle name="20% - Accent3 21 2 2" xfId="472" xr:uid="{00000000-0005-0000-0000-0000D6010000}"/>
    <cellStyle name="20% - Accent3 21 2 2 2" xfId="473" xr:uid="{00000000-0005-0000-0000-0000D7010000}"/>
    <cellStyle name="20% - Accent3 21 2 3" xfId="474" xr:uid="{00000000-0005-0000-0000-0000D8010000}"/>
    <cellStyle name="20% - Accent3 21 3" xfId="475" xr:uid="{00000000-0005-0000-0000-0000D9010000}"/>
    <cellStyle name="20% - Accent3 21 3 2" xfId="476" xr:uid="{00000000-0005-0000-0000-0000DA010000}"/>
    <cellStyle name="20% - Accent3 21 4" xfId="477" xr:uid="{00000000-0005-0000-0000-0000DB010000}"/>
    <cellStyle name="20% - Accent3 22" xfId="478" xr:uid="{00000000-0005-0000-0000-0000DC010000}"/>
    <cellStyle name="20% - Accent3 22 2" xfId="479" xr:uid="{00000000-0005-0000-0000-0000DD010000}"/>
    <cellStyle name="20% - Accent3 22 2 2" xfId="480" xr:uid="{00000000-0005-0000-0000-0000DE010000}"/>
    <cellStyle name="20% - Accent3 22 2 2 2" xfId="481" xr:uid="{00000000-0005-0000-0000-0000DF010000}"/>
    <cellStyle name="20% - Accent3 22 2 3" xfId="482" xr:uid="{00000000-0005-0000-0000-0000E0010000}"/>
    <cellStyle name="20% - Accent3 22 3" xfId="483" xr:uid="{00000000-0005-0000-0000-0000E1010000}"/>
    <cellStyle name="20% - Accent3 22 3 2" xfId="484" xr:uid="{00000000-0005-0000-0000-0000E2010000}"/>
    <cellStyle name="20% - Accent3 22 4" xfId="485" xr:uid="{00000000-0005-0000-0000-0000E3010000}"/>
    <cellStyle name="20% - Accent3 23" xfId="486" xr:uid="{00000000-0005-0000-0000-0000E4010000}"/>
    <cellStyle name="20% - Accent3 23 2" xfId="487" xr:uid="{00000000-0005-0000-0000-0000E5010000}"/>
    <cellStyle name="20% - Accent3 23 2 2" xfId="488" xr:uid="{00000000-0005-0000-0000-0000E6010000}"/>
    <cellStyle name="20% - Accent3 23 2 2 2" xfId="489" xr:uid="{00000000-0005-0000-0000-0000E7010000}"/>
    <cellStyle name="20% - Accent3 23 2 3" xfId="490" xr:uid="{00000000-0005-0000-0000-0000E8010000}"/>
    <cellStyle name="20% - Accent3 23 3" xfId="491" xr:uid="{00000000-0005-0000-0000-0000E9010000}"/>
    <cellStyle name="20% - Accent3 23 3 2" xfId="492" xr:uid="{00000000-0005-0000-0000-0000EA010000}"/>
    <cellStyle name="20% - Accent3 23 4" xfId="493" xr:uid="{00000000-0005-0000-0000-0000EB010000}"/>
    <cellStyle name="20% - Accent3 24" xfId="494" xr:uid="{00000000-0005-0000-0000-0000EC010000}"/>
    <cellStyle name="20% - Accent3 24 2" xfId="495" xr:uid="{00000000-0005-0000-0000-0000ED010000}"/>
    <cellStyle name="20% - Accent3 24 2 2" xfId="496" xr:uid="{00000000-0005-0000-0000-0000EE010000}"/>
    <cellStyle name="20% - Accent3 24 3" xfId="497" xr:uid="{00000000-0005-0000-0000-0000EF010000}"/>
    <cellStyle name="20% - Accent3 25" xfId="498" xr:uid="{00000000-0005-0000-0000-0000F0010000}"/>
    <cellStyle name="20% - Accent3 25 2" xfId="499" xr:uid="{00000000-0005-0000-0000-0000F1010000}"/>
    <cellStyle name="20% - Accent3 26" xfId="500" xr:uid="{00000000-0005-0000-0000-0000F2010000}"/>
    <cellStyle name="20% - Accent3 3" xfId="501" xr:uid="{00000000-0005-0000-0000-0000F3010000}"/>
    <cellStyle name="20% - Accent3 3 2" xfId="502" xr:uid="{00000000-0005-0000-0000-0000F4010000}"/>
    <cellStyle name="20% - Accent3 3 2 2" xfId="503" xr:uid="{00000000-0005-0000-0000-0000F5010000}"/>
    <cellStyle name="20% - Accent3 3 2 2 2" xfId="504" xr:uid="{00000000-0005-0000-0000-0000F6010000}"/>
    <cellStyle name="20% - Accent3 3 2 3" xfId="505" xr:uid="{00000000-0005-0000-0000-0000F7010000}"/>
    <cellStyle name="20% - Accent3 3 3" xfId="506" xr:uid="{00000000-0005-0000-0000-0000F8010000}"/>
    <cellStyle name="20% - Accent3 3 3 2" xfId="507" xr:uid="{00000000-0005-0000-0000-0000F9010000}"/>
    <cellStyle name="20% - Accent3 3 4" xfId="508" xr:uid="{00000000-0005-0000-0000-0000FA010000}"/>
    <cellStyle name="20% - Accent3 4" xfId="509" xr:uid="{00000000-0005-0000-0000-0000FB010000}"/>
    <cellStyle name="20% - Accent3 4 2" xfId="510" xr:uid="{00000000-0005-0000-0000-0000FC010000}"/>
    <cellStyle name="20% - Accent3 4 2 2" xfId="511" xr:uid="{00000000-0005-0000-0000-0000FD010000}"/>
    <cellStyle name="20% - Accent3 4 2 2 2" xfId="512" xr:uid="{00000000-0005-0000-0000-0000FE010000}"/>
    <cellStyle name="20% - Accent3 4 2 3" xfId="513" xr:uid="{00000000-0005-0000-0000-0000FF010000}"/>
    <cellStyle name="20% - Accent3 4 3" xfId="514" xr:uid="{00000000-0005-0000-0000-000000020000}"/>
    <cellStyle name="20% - Accent3 4 3 2" xfId="515" xr:uid="{00000000-0005-0000-0000-000001020000}"/>
    <cellStyle name="20% - Accent3 4 4" xfId="516" xr:uid="{00000000-0005-0000-0000-000002020000}"/>
    <cellStyle name="20% - Accent3 5" xfId="517" xr:uid="{00000000-0005-0000-0000-000003020000}"/>
    <cellStyle name="20% - Accent3 5 2" xfId="518" xr:uid="{00000000-0005-0000-0000-000004020000}"/>
    <cellStyle name="20% - Accent3 5 2 2" xfId="519" xr:uid="{00000000-0005-0000-0000-000005020000}"/>
    <cellStyle name="20% - Accent3 5 2 2 2" xfId="520" xr:uid="{00000000-0005-0000-0000-000006020000}"/>
    <cellStyle name="20% - Accent3 5 2 3" xfId="521" xr:uid="{00000000-0005-0000-0000-000007020000}"/>
    <cellStyle name="20% - Accent3 5 3" xfId="522" xr:uid="{00000000-0005-0000-0000-000008020000}"/>
    <cellStyle name="20% - Accent3 5 3 2" xfId="523" xr:uid="{00000000-0005-0000-0000-000009020000}"/>
    <cellStyle name="20% - Accent3 5 4" xfId="524" xr:uid="{00000000-0005-0000-0000-00000A020000}"/>
    <cellStyle name="20% - Accent3 6" xfId="525" xr:uid="{00000000-0005-0000-0000-00000B020000}"/>
    <cellStyle name="20% - Accent3 6 2" xfId="526" xr:uid="{00000000-0005-0000-0000-00000C020000}"/>
    <cellStyle name="20% - Accent3 6 2 2" xfId="527" xr:uid="{00000000-0005-0000-0000-00000D020000}"/>
    <cellStyle name="20% - Accent3 6 2 2 2" xfId="528" xr:uid="{00000000-0005-0000-0000-00000E020000}"/>
    <cellStyle name="20% - Accent3 6 2 3" xfId="529" xr:uid="{00000000-0005-0000-0000-00000F020000}"/>
    <cellStyle name="20% - Accent3 6 3" xfId="530" xr:uid="{00000000-0005-0000-0000-000010020000}"/>
    <cellStyle name="20% - Accent3 6 3 2" xfId="531" xr:uid="{00000000-0005-0000-0000-000011020000}"/>
    <cellStyle name="20% - Accent3 6 4" xfId="532" xr:uid="{00000000-0005-0000-0000-000012020000}"/>
    <cellStyle name="20% - Accent3 7" xfId="533" xr:uid="{00000000-0005-0000-0000-000013020000}"/>
    <cellStyle name="20% - Accent3 7 2" xfId="534" xr:uid="{00000000-0005-0000-0000-000014020000}"/>
    <cellStyle name="20% - Accent3 7 2 2" xfId="535" xr:uid="{00000000-0005-0000-0000-000015020000}"/>
    <cellStyle name="20% - Accent3 7 2 2 2" xfId="536" xr:uid="{00000000-0005-0000-0000-000016020000}"/>
    <cellStyle name="20% - Accent3 7 2 3" xfId="537" xr:uid="{00000000-0005-0000-0000-000017020000}"/>
    <cellStyle name="20% - Accent3 7 3" xfId="538" xr:uid="{00000000-0005-0000-0000-000018020000}"/>
    <cellStyle name="20% - Accent3 7 3 2" xfId="539" xr:uid="{00000000-0005-0000-0000-000019020000}"/>
    <cellStyle name="20% - Accent3 7 4" xfId="540" xr:uid="{00000000-0005-0000-0000-00001A020000}"/>
    <cellStyle name="20% - Accent3 8" xfId="541" xr:uid="{00000000-0005-0000-0000-00001B020000}"/>
    <cellStyle name="20% - Accent3 8 2" xfId="542" xr:uid="{00000000-0005-0000-0000-00001C020000}"/>
    <cellStyle name="20% - Accent3 8 2 2" xfId="543" xr:uid="{00000000-0005-0000-0000-00001D020000}"/>
    <cellStyle name="20% - Accent3 8 2 2 2" xfId="544" xr:uid="{00000000-0005-0000-0000-00001E020000}"/>
    <cellStyle name="20% - Accent3 8 2 3" xfId="545" xr:uid="{00000000-0005-0000-0000-00001F020000}"/>
    <cellStyle name="20% - Accent3 8 3" xfId="546" xr:uid="{00000000-0005-0000-0000-000020020000}"/>
    <cellStyle name="20% - Accent3 8 3 2" xfId="547" xr:uid="{00000000-0005-0000-0000-000021020000}"/>
    <cellStyle name="20% - Accent3 8 4" xfId="548" xr:uid="{00000000-0005-0000-0000-000022020000}"/>
    <cellStyle name="20% - Accent3 9" xfId="549" xr:uid="{00000000-0005-0000-0000-000023020000}"/>
    <cellStyle name="20% - Accent3 9 2" xfId="550" xr:uid="{00000000-0005-0000-0000-000024020000}"/>
    <cellStyle name="20% - Accent3 9 2 2" xfId="551" xr:uid="{00000000-0005-0000-0000-000025020000}"/>
    <cellStyle name="20% - Accent3 9 2 2 2" xfId="552" xr:uid="{00000000-0005-0000-0000-000026020000}"/>
    <cellStyle name="20% - Accent3 9 2 3" xfId="553" xr:uid="{00000000-0005-0000-0000-000027020000}"/>
    <cellStyle name="20% - Accent3 9 3" xfId="554" xr:uid="{00000000-0005-0000-0000-000028020000}"/>
    <cellStyle name="20% - Accent3 9 3 2" xfId="555" xr:uid="{00000000-0005-0000-0000-000029020000}"/>
    <cellStyle name="20% - Accent3 9 4" xfId="556" xr:uid="{00000000-0005-0000-0000-00002A020000}"/>
    <cellStyle name="20% - Accent4 10" xfId="557" xr:uid="{00000000-0005-0000-0000-00002B020000}"/>
    <cellStyle name="20% - Accent4 10 2" xfId="558" xr:uid="{00000000-0005-0000-0000-00002C020000}"/>
    <cellStyle name="20% - Accent4 10 2 2" xfId="559" xr:uid="{00000000-0005-0000-0000-00002D020000}"/>
    <cellStyle name="20% - Accent4 10 2 2 2" xfId="560" xr:uid="{00000000-0005-0000-0000-00002E020000}"/>
    <cellStyle name="20% - Accent4 10 2 3" xfId="561" xr:uid="{00000000-0005-0000-0000-00002F020000}"/>
    <cellStyle name="20% - Accent4 10 3" xfId="562" xr:uid="{00000000-0005-0000-0000-000030020000}"/>
    <cellStyle name="20% - Accent4 10 3 2" xfId="563" xr:uid="{00000000-0005-0000-0000-000031020000}"/>
    <cellStyle name="20% - Accent4 10 4" xfId="564" xr:uid="{00000000-0005-0000-0000-000032020000}"/>
    <cellStyle name="20% - Accent4 11" xfId="565" xr:uid="{00000000-0005-0000-0000-000033020000}"/>
    <cellStyle name="20% - Accent4 11 2" xfId="566" xr:uid="{00000000-0005-0000-0000-000034020000}"/>
    <cellStyle name="20% - Accent4 11 2 2" xfId="567" xr:uid="{00000000-0005-0000-0000-000035020000}"/>
    <cellStyle name="20% - Accent4 11 2 2 2" xfId="568" xr:uid="{00000000-0005-0000-0000-000036020000}"/>
    <cellStyle name="20% - Accent4 11 2 3" xfId="569" xr:uid="{00000000-0005-0000-0000-000037020000}"/>
    <cellStyle name="20% - Accent4 11 3" xfId="570" xr:uid="{00000000-0005-0000-0000-000038020000}"/>
    <cellStyle name="20% - Accent4 11 3 2" xfId="571" xr:uid="{00000000-0005-0000-0000-000039020000}"/>
    <cellStyle name="20% - Accent4 11 4" xfId="572" xr:uid="{00000000-0005-0000-0000-00003A020000}"/>
    <cellStyle name="20% - Accent4 12" xfId="573" xr:uid="{00000000-0005-0000-0000-00003B020000}"/>
    <cellStyle name="20% - Accent4 12 2" xfId="574" xr:uid="{00000000-0005-0000-0000-00003C020000}"/>
    <cellStyle name="20% - Accent4 12 2 2" xfId="575" xr:uid="{00000000-0005-0000-0000-00003D020000}"/>
    <cellStyle name="20% - Accent4 12 2 2 2" xfId="576" xr:uid="{00000000-0005-0000-0000-00003E020000}"/>
    <cellStyle name="20% - Accent4 12 2 3" xfId="577" xr:uid="{00000000-0005-0000-0000-00003F020000}"/>
    <cellStyle name="20% - Accent4 12 3" xfId="578" xr:uid="{00000000-0005-0000-0000-000040020000}"/>
    <cellStyle name="20% - Accent4 12 3 2" xfId="579" xr:uid="{00000000-0005-0000-0000-000041020000}"/>
    <cellStyle name="20% - Accent4 12 4" xfId="580" xr:uid="{00000000-0005-0000-0000-000042020000}"/>
    <cellStyle name="20% - Accent4 13" xfId="581" xr:uid="{00000000-0005-0000-0000-000043020000}"/>
    <cellStyle name="20% - Accent4 13 2" xfId="582" xr:uid="{00000000-0005-0000-0000-000044020000}"/>
    <cellStyle name="20% - Accent4 13 2 2" xfId="583" xr:uid="{00000000-0005-0000-0000-000045020000}"/>
    <cellStyle name="20% - Accent4 13 2 2 2" xfId="584" xr:uid="{00000000-0005-0000-0000-000046020000}"/>
    <cellStyle name="20% - Accent4 13 2 3" xfId="585" xr:uid="{00000000-0005-0000-0000-000047020000}"/>
    <cellStyle name="20% - Accent4 13 3" xfId="586" xr:uid="{00000000-0005-0000-0000-000048020000}"/>
    <cellStyle name="20% - Accent4 13 3 2" xfId="587" xr:uid="{00000000-0005-0000-0000-000049020000}"/>
    <cellStyle name="20% - Accent4 13 4" xfId="588" xr:uid="{00000000-0005-0000-0000-00004A020000}"/>
    <cellStyle name="20% - Accent4 14" xfId="589" xr:uid="{00000000-0005-0000-0000-00004B020000}"/>
    <cellStyle name="20% - Accent4 14 2" xfId="590" xr:uid="{00000000-0005-0000-0000-00004C020000}"/>
    <cellStyle name="20% - Accent4 14 2 2" xfId="591" xr:uid="{00000000-0005-0000-0000-00004D020000}"/>
    <cellStyle name="20% - Accent4 14 2 2 2" xfId="592" xr:uid="{00000000-0005-0000-0000-00004E020000}"/>
    <cellStyle name="20% - Accent4 14 2 3" xfId="593" xr:uid="{00000000-0005-0000-0000-00004F020000}"/>
    <cellStyle name="20% - Accent4 14 3" xfId="594" xr:uid="{00000000-0005-0000-0000-000050020000}"/>
    <cellStyle name="20% - Accent4 14 3 2" xfId="595" xr:uid="{00000000-0005-0000-0000-000051020000}"/>
    <cellStyle name="20% - Accent4 14 4" xfId="596" xr:uid="{00000000-0005-0000-0000-000052020000}"/>
    <cellStyle name="20% - Accent4 15" xfId="597" xr:uid="{00000000-0005-0000-0000-000053020000}"/>
    <cellStyle name="20% - Accent4 15 2" xfId="598" xr:uid="{00000000-0005-0000-0000-000054020000}"/>
    <cellStyle name="20% - Accent4 15 2 2" xfId="599" xr:uid="{00000000-0005-0000-0000-000055020000}"/>
    <cellStyle name="20% - Accent4 15 2 2 2" xfId="600" xr:uid="{00000000-0005-0000-0000-000056020000}"/>
    <cellStyle name="20% - Accent4 15 2 3" xfId="601" xr:uid="{00000000-0005-0000-0000-000057020000}"/>
    <cellStyle name="20% - Accent4 15 3" xfId="602" xr:uid="{00000000-0005-0000-0000-000058020000}"/>
    <cellStyle name="20% - Accent4 15 3 2" xfId="603" xr:uid="{00000000-0005-0000-0000-000059020000}"/>
    <cellStyle name="20% - Accent4 15 4" xfId="604" xr:uid="{00000000-0005-0000-0000-00005A020000}"/>
    <cellStyle name="20% - Accent4 16" xfId="605" xr:uid="{00000000-0005-0000-0000-00005B020000}"/>
    <cellStyle name="20% - Accent4 16 2" xfId="606" xr:uid="{00000000-0005-0000-0000-00005C020000}"/>
    <cellStyle name="20% - Accent4 16 2 2" xfId="607" xr:uid="{00000000-0005-0000-0000-00005D020000}"/>
    <cellStyle name="20% - Accent4 16 2 2 2" xfId="608" xr:uid="{00000000-0005-0000-0000-00005E020000}"/>
    <cellStyle name="20% - Accent4 16 2 3" xfId="609" xr:uid="{00000000-0005-0000-0000-00005F020000}"/>
    <cellStyle name="20% - Accent4 16 3" xfId="610" xr:uid="{00000000-0005-0000-0000-000060020000}"/>
    <cellStyle name="20% - Accent4 16 3 2" xfId="611" xr:uid="{00000000-0005-0000-0000-000061020000}"/>
    <cellStyle name="20% - Accent4 16 4" xfId="612" xr:uid="{00000000-0005-0000-0000-000062020000}"/>
    <cellStyle name="20% - Accent4 17" xfId="613" xr:uid="{00000000-0005-0000-0000-000063020000}"/>
    <cellStyle name="20% - Accent4 17 2" xfId="614" xr:uid="{00000000-0005-0000-0000-000064020000}"/>
    <cellStyle name="20% - Accent4 17 2 2" xfId="615" xr:uid="{00000000-0005-0000-0000-000065020000}"/>
    <cellStyle name="20% - Accent4 17 2 2 2" xfId="616" xr:uid="{00000000-0005-0000-0000-000066020000}"/>
    <cellStyle name="20% - Accent4 17 2 3" xfId="617" xr:uid="{00000000-0005-0000-0000-000067020000}"/>
    <cellStyle name="20% - Accent4 17 3" xfId="618" xr:uid="{00000000-0005-0000-0000-000068020000}"/>
    <cellStyle name="20% - Accent4 17 3 2" xfId="619" xr:uid="{00000000-0005-0000-0000-000069020000}"/>
    <cellStyle name="20% - Accent4 17 4" xfId="620" xr:uid="{00000000-0005-0000-0000-00006A020000}"/>
    <cellStyle name="20% - Accent4 18" xfId="621" xr:uid="{00000000-0005-0000-0000-00006B020000}"/>
    <cellStyle name="20% - Accent4 18 2" xfId="622" xr:uid="{00000000-0005-0000-0000-00006C020000}"/>
    <cellStyle name="20% - Accent4 18 2 2" xfId="623" xr:uid="{00000000-0005-0000-0000-00006D020000}"/>
    <cellStyle name="20% - Accent4 18 2 2 2" xfId="624" xr:uid="{00000000-0005-0000-0000-00006E020000}"/>
    <cellStyle name="20% - Accent4 18 2 3" xfId="625" xr:uid="{00000000-0005-0000-0000-00006F020000}"/>
    <cellStyle name="20% - Accent4 18 3" xfId="626" xr:uid="{00000000-0005-0000-0000-000070020000}"/>
    <cellStyle name="20% - Accent4 18 3 2" xfId="627" xr:uid="{00000000-0005-0000-0000-000071020000}"/>
    <cellStyle name="20% - Accent4 18 4" xfId="628" xr:uid="{00000000-0005-0000-0000-000072020000}"/>
    <cellStyle name="20% - Accent4 19" xfId="629" xr:uid="{00000000-0005-0000-0000-000073020000}"/>
    <cellStyle name="20% - Accent4 19 2" xfId="630" xr:uid="{00000000-0005-0000-0000-000074020000}"/>
    <cellStyle name="20% - Accent4 19 2 2" xfId="631" xr:uid="{00000000-0005-0000-0000-000075020000}"/>
    <cellStyle name="20% - Accent4 19 2 2 2" xfId="632" xr:uid="{00000000-0005-0000-0000-000076020000}"/>
    <cellStyle name="20% - Accent4 19 2 3" xfId="633" xr:uid="{00000000-0005-0000-0000-000077020000}"/>
    <cellStyle name="20% - Accent4 19 3" xfId="634" xr:uid="{00000000-0005-0000-0000-000078020000}"/>
    <cellStyle name="20% - Accent4 19 3 2" xfId="635" xr:uid="{00000000-0005-0000-0000-000079020000}"/>
    <cellStyle name="20% - Accent4 19 4" xfId="636" xr:uid="{00000000-0005-0000-0000-00007A020000}"/>
    <cellStyle name="20% - Accent4 2" xfId="637" xr:uid="{00000000-0005-0000-0000-00007B020000}"/>
    <cellStyle name="20% - Accent4 2 2" xfId="638" xr:uid="{00000000-0005-0000-0000-00007C020000}"/>
    <cellStyle name="20% - Accent4 2 2 2" xfId="639" xr:uid="{00000000-0005-0000-0000-00007D020000}"/>
    <cellStyle name="20% - Accent4 2 2 2 2" xfId="640" xr:uid="{00000000-0005-0000-0000-00007E020000}"/>
    <cellStyle name="20% - Accent4 2 2 3" xfId="641" xr:uid="{00000000-0005-0000-0000-00007F020000}"/>
    <cellStyle name="20% - Accent4 2 3" xfId="642" xr:uid="{00000000-0005-0000-0000-000080020000}"/>
    <cellStyle name="20% - Accent4 2 3 2" xfId="643" xr:uid="{00000000-0005-0000-0000-000081020000}"/>
    <cellStyle name="20% - Accent4 2 4" xfId="644" xr:uid="{00000000-0005-0000-0000-000082020000}"/>
    <cellStyle name="20% - Accent4 20" xfId="645" xr:uid="{00000000-0005-0000-0000-000083020000}"/>
    <cellStyle name="20% - Accent4 20 2" xfId="646" xr:uid="{00000000-0005-0000-0000-000084020000}"/>
    <cellStyle name="20% - Accent4 20 2 2" xfId="647" xr:uid="{00000000-0005-0000-0000-000085020000}"/>
    <cellStyle name="20% - Accent4 20 2 2 2" xfId="648" xr:uid="{00000000-0005-0000-0000-000086020000}"/>
    <cellStyle name="20% - Accent4 20 2 3" xfId="649" xr:uid="{00000000-0005-0000-0000-000087020000}"/>
    <cellStyle name="20% - Accent4 20 3" xfId="650" xr:uid="{00000000-0005-0000-0000-000088020000}"/>
    <cellStyle name="20% - Accent4 20 3 2" xfId="651" xr:uid="{00000000-0005-0000-0000-000089020000}"/>
    <cellStyle name="20% - Accent4 20 4" xfId="652" xr:uid="{00000000-0005-0000-0000-00008A020000}"/>
    <cellStyle name="20% - Accent4 21" xfId="653" xr:uid="{00000000-0005-0000-0000-00008B020000}"/>
    <cellStyle name="20% - Accent4 21 2" xfId="654" xr:uid="{00000000-0005-0000-0000-00008C020000}"/>
    <cellStyle name="20% - Accent4 21 2 2" xfId="655" xr:uid="{00000000-0005-0000-0000-00008D020000}"/>
    <cellStyle name="20% - Accent4 21 2 2 2" xfId="656" xr:uid="{00000000-0005-0000-0000-00008E020000}"/>
    <cellStyle name="20% - Accent4 21 2 3" xfId="657" xr:uid="{00000000-0005-0000-0000-00008F020000}"/>
    <cellStyle name="20% - Accent4 21 3" xfId="658" xr:uid="{00000000-0005-0000-0000-000090020000}"/>
    <cellStyle name="20% - Accent4 21 3 2" xfId="659" xr:uid="{00000000-0005-0000-0000-000091020000}"/>
    <cellStyle name="20% - Accent4 21 4" xfId="660" xr:uid="{00000000-0005-0000-0000-000092020000}"/>
    <cellStyle name="20% - Accent4 22" xfId="661" xr:uid="{00000000-0005-0000-0000-000093020000}"/>
    <cellStyle name="20% - Accent4 22 2" xfId="662" xr:uid="{00000000-0005-0000-0000-000094020000}"/>
    <cellStyle name="20% - Accent4 22 2 2" xfId="663" xr:uid="{00000000-0005-0000-0000-000095020000}"/>
    <cellStyle name="20% - Accent4 22 2 2 2" xfId="664" xr:uid="{00000000-0005-0000-0000-000096020000}"/>
    <cellStyle name="20% - Accent4 22 2 3" xfId="665" xr:uid="{00000000-0005-0000-0000-000097020000}"/>
    <cellStyle name="20% - Accent4 22 3" xfId="666" xr:uid="{00000000-0005-0000-0000-000098020000}"/>
    <cellStyle name="20% - Accent4 22 3 2" xfId="667" xr:uid="{00000000-0005-0000-0000-000099020000}"/>
    <cellStyle name="20% - Accent4 22 4" xfId="668" xr:uid="{00000000-0005-0000-0000-00009A020000}"/>
    <cellStyle name="20% - Accent4 23" xfId="669" xr:uid="{00000000-0005-0000-0000-00009B020000}"/>
    <cellStyle name="20% - Accent4 23 2" xfId="670" xr:uid="{00000000-0005-0000-0000-00009C020000}"/>
    <cellStyle name="20% - Accent4 23 2 2" xfId="671" xr:uid="{00000000-0005-0000-0000-00009D020000}"/>
    <cellStyle name="20% - Accent4 23 2 2 2" xfId="672" xr:uid="{00000000-0005-0000-0000-00009E020000}"/>
    <cellStyle name="20% - Accent4 23 2 3" xfId="673" xr:uid="{00000000-0005-0000-0000-00009F020000}"/>
    <cellStyle name="20% - Accent4 23 3" xfId="674" xr:uid="{00000000-0005-0000-0000-0000A0020000}"/>
    <cellStyle name="20% - Accent4 23 3 2" xfId="675" xr:uid="{00000000-0005-0000-0000-0000A1020000}"/>
    <cellStyle name="20% - Accent4 23 4" xfId="676" xr:uid="{00000000-0005-0000-0000-0000A2020000}"/>
    <cellStyle name="20% - Accent4 24" xfId="677" xr:uid="{00000000-0005-0000-0000-0000A3020000}"/>
    <cellStyle name="20% - Accent4 24 2" xfId="678" xr:uid="{00000000-0005-0000-0000-0000A4020000}"/>
    <cellStyle name="20% - Accent4 24 2 2" xfId="679" xr:uid="{00000000-0005-0000-0000-0000A5020000}"/>
    <cellStyle name="20% - Accent4 24 3" xfId="680" xr:uid="{00000000-0005-0000-0000-0000A6020000}"/>
    <cellStyle name="20% - Accent4 25" xfId="681" xr:uid="{00000000-0005-0000-0000-0000A7020000}"/>
    <cellStyle name="20% - Accent4 25 2" xfId="682" xr:uid="{00000000-0005-0000-0000-0000A8020000}"/>
    <cellStyle name="20% - Accent4 26" xfId="683" xr:uid="{00000000-0005-0000-0000-0000A9020000}"/>
    <cellStyle name="20% - Accent4 3" xfId="684" xr:uid="{00000000-0005-0000-0000-0000AA020000}"/>
    <cellStyle name="20% - Accent4 3 2" xfId="685" xr:uid="{00000000-0005-0000-0000-0000AB020000}"/>
    <cellStyle name="20% - Accent4 3 2 2" xfId="686" xr:uid="{00000000-0005-0000-0000-0000AC020000}"/>
    <cellStyle name="20% - Accent4 3 2 2 2" xfId="687" xr:uid="{00000000-0005-0000-0000-0000AD020000}"/>
    <cellStyle name="20% - Accent4 3 2 3" xfId="688" xr:uid="{00000000-0005-0000-0000-0000AE020000}"/>
    <cellStyle name="20% - Accent4 3 3" xfId="689" xr:uid="{00000000-0005-0000-0000-0000AF020000}"/>
    <cellStyle name="20% - Accent4 3 3 2" xfId="690" xr:uid="{00000000-0005-0000-0000-0000B0020000}"/>
    <cellStyle name="20% - Accent4 3 4" xfId="691" xr:uid="{00000000-0005-0000-0000-0000B1020000}"/>
    <cellStyle name="20% - Accent4 4" xfId="692" xr:uid="{00000000-0005-0000-0000-0000B2020000}"/>
    <cellStyle name="20% - Accent4 4 2" xfId="693" xr:uid="{00000000-0005-0000-0000-0000B3020000}"/>
    <cellStyle name="20% - Accent4 4 2 2" xfId="694" xr:uid="{00000000-0005-0000-0000-0000B4020000}"/>
    <cellStyle name="20% - Accent4 4 2 2 2" xfId="695" xr:uid="{00000000-0005-0000-0000-0000B5020000}"/>
    <cellStyle name="20% - Accent4 4 2 3" xfId="696" xr:uid="{00000000-0005-0000-0000-0000B6020000}"/>
    <cellStyle name="20% - Accent4 4 3" xfId="697" xr:uid="{00000000-0005-0000-0000-0000B7020000}"/>
    <cellStyle name="20% - Accent4 4 3 2" xfId="698" xr:uid="{00000000-0005-0000-0000-0000B8020000}"/>
    <cellStyle name="20% - Accent4 4 4" xfId="699" xr:uid="{00000000-0005-0000-0000-0000B9020000}"/>
    <cellStyle name="20% - Accent4 5" xfId="700" xr:uid="{00000000-0005-0000-0000-0000BA020000}"/>
    <cellStyle name="20% - Accent4 5 2" xfId="701" xr:uid="{00000000-0005-0000-0000-0000BB020000}"/>
    <cellStyle name="20% - Accent4 5 2 2" xfId="702" xr:uid="{00000000-0005-0000-0000-0000BC020000}"/>
    <cellStyle name="20% - Accent4 5 2 2 2" xfId="703" xr:uid="{00000000-0005-0000-0000-0000BD020000}"/>
    <cellStyle name="20% - Accent4 5 2 3" xfId="704" xr:uid="{00000000-0005-0000-0000-0000BE020000}"/>
    <cellStyle name="20% - Accent4 5 3" xfId="705" xr:uid="{00000000-0005-0000-0000-0000BF020000}"/>
    <cellStyle name="20% - Accent4 5 3 2" xfId="706" xr:uid="{00000000-0005-0000-0000-0000C0020000}"/>
    <cellStyle name="20% - Accent4 5 4" xfId="707" xr:uid="{00000000-0005-0000-0000-0000C1020000}"/>
    <cellStyle name="20% - Accent4 6" xfId="708" xr:uid="{00000000-0005-0000-0000-0000C2020000}"/>
    <cellStyle name="20% - Accent4 6 2" xfId="709" xr:uid="{00000000-0005-0000-0000-0000C3020000}"/>
    <cellStyle name="20% - Accent4 6 2 2" xfId="710" xr:uid="{00000000-0005-0000-0000-0000C4020000}"/>
    <cellStyle name="20% - Accent4 6 2 2 2" xfId="711" xr:uid="{00000000-0005-0000-0000-0000C5020000}"/>
    <cellStyle name="20% - Accent4 6 2 3" xfId="712" xr:uid="{00000000-0005-0000-0000-0000C6020000}"/>
    <cellStyle name="20% - Accent4 6 3" xfId="713" xr:uid="{00000000-0005-0000-0000-0000C7020000}"/>
    <cellStyle name="20% - Accent4 6 3 2" xfId="714" xr:uid="{00000000-0005-0000-0000-0000C8020000}"/>
    <cellStyle name="20% - Accent4 6 4" xfId="715" xr:uid="{00000000-0005-0000-0000-0000C9020000}"/>
    <cellStyle name="20% - Accent4 7" xfId="716" xr:uid="{00000000-0005-0000-0000-0000CA020000}"/>
    <cellStyle name="20% - Accent4 7 2" xfId="717" xr:uid="{00000000-0005-0000-0000-0000CB020000}"/>
    <cellStyle name="20% - Accent4 7 2 2" xfId="718" xr:uid="{00000000-0005-0000-0000-0000CC020000}"/>
    <cellStyle name="20% - Accent4 7 2 2 2" xfId="719" xr:uid="{00000000-0005-0000-0000-0000CD020000}"/>
    <cellStyle name="20% - Accent4 7 2 3" xfId="720" xr:uid="{00000000-0005-0000-0000-0000CE020000}"/>
    <cellStyle name="20% - Accent4 7 3" xfId="721" xr:uid="{00000000-0005-0000-0000-0000CF020000}"/>
    <cellStyle name="20% - Accent4 7 3 2" xfId="722" xr:uid="{00000000-0005-0000-0000-0000D0020000}"/>
    <cellStyle name="20% - Accent4 7 4" xfId="723" xr:uid="{00000000-0005-0000-0000-0000D1020000}"/>
    <cellStyle name="20% - Accent4 8" xfId="724" xr:uid="{00000000-0005-0000-0000-0000D2020000}"/>
    <cellStyle name="20% - Accent4 8 2" xfId="725" xr:uid="{00000000-0005-0000-0000-0000D3020000}"/>
    <cellStyle name="20% - Accent4 8 2 2" xfId="726" xr:uid="{00000000-0005-0000-0000-0000D4020000}"/>
    <cellStyle name="20% - Accent4 8 2 2 2" xfId="727" xr:uid="{00000000-0005-0000-0000-0000D5020000}"/>
    <cellStyle name="20% - Accent4 8 2 3" xfId="728" xr:uid="{00000000-0005-0000-0000-0000D6020000}"/>
    <cellStyle name="20% - Accent4 8 3" xfId="729" xr:uid="{00000000-0005-0000-0000-0000D7020000}"/>
    <cellStyle name="20% - Accent4 8 3 2" xfId="730" xr:uid="{00000000-0005-0000-0000-0000D8020000}"/>
    <cellStyle name="20% - Accent4 8 4" xfId="731" xr:uid="{00000000-0005-0000-0000-0000D9020000}"/>
    <cellStyle name="20% - Accent4 9" xfId="732" xr:uid="{00000000-0005-0000-0000-0000DA020000}"/>
    <cellStyle name="20% - Accent4 9 2" xfId="733" xr:uid="{00000000-0005-0000-0000-0000DB020000}"/>
    <cellStyle name="20% - Accent4 9 2 2" xfId="734" xr:uid="{00000000-0005-0000-0000-0000DC020000}"/>
    <cellStyle name="20% - Accent4 9 2 2 2" xfId="735" xr:uid="{00000000-0005-0000-0000-0000DD020000}"/>
    <cellStyle name="20% - Accent4 9 2 3" xfId="736" xr:uid="{00000000-0005-0000-0000-0000DE020000}"/>
    <cellStyle name="20% - Accent4 9 3" xfId="737" xr:uid="{00000000-0005-0000-0000-0000DF020000}"/>
    <cellStyle name="20% - Accent4 9 3 2" xfId="738" xr:uid="{00000000-0005-0000-0000-0000E0020000}"/>
    <cellStyle name="20% - Accent4 9 4" xfId="739" xr:uid="{00000000-0005-0000-0000-0000E1020000}"/>
    <cellStyle name="20% - Accent5 10" xfId="740" xr:uid="{00000000-0005-0000-0000-0000E2020000}"/>
    <cellStyle name="20% - Accent5 10 2" xfId="741" xr:uid="{00000000-0005-0000-0000-0000E3020000}"/>
    <cellStyle name="20% - Accent5 10 2 2" xfId="742" xr:uid="{00000000-0005-0000-0000-0000E4020000}"/>
    <cellStyle name="20% - Accent5 10 2 2 2" xfId="743" xr:uid="{00000000-0005-0000-0000-0000E5020000}"/>
    <cellStyle name="20% - Accent5 10 2 3" xfId="744" xr:uid="{00000000-0005-0000-0000-0000E6020000}"/>
    <cellStyle name="20% - Accent5 10 3" xfId="745" xr:uid="{00000000-0005-0000-0000-0000E7020000}"/>
    <cellStyle name="20% - Accent5 10 3 2" xfId="746" xr:uid="{00000000-0005-0000-0000-0000E8020000}"/>
    <cellStyle name="20% - Accent5 10 4" xfId="747" xr:uid="{00000000-0005-0000-0000-0000E9020000}"/>
    <cellStyle name="20% - Accent5 11" xfId="748" xr:uid="{00000000-0005-0000-0000-0000EA020000}"/>
    <cellStyle name="20% - Accent5 11 2" xfId="749" xr:uid="{00000000-0005-0000-0000-0000EB020000}"/>
    <cellStyle name="20% - Accent5 11 2 2" xfId="750" xr:uid="{00000000-0005-0000-0000-0000EC020000}"/>
    <cellStyle name="20% - Accent5 11 2 2 2" xfId="751" xr:uid="{00000000-0005-0000-0000-0000ED020000}"/>
    <cellStyle name="20% - Accent5 11 2 3" xfId="752" xr:uid="{00000000-0005-0000-0000-0000EE020000}"/>
    <cellStyle name="20% - Accent5 11 3" xfId="753" xr:uid="{00000000-0005-0000-0000-0000EF020000}"/>
    <cellStyle name="20% - Accent5 11 3 2" xfId="754" xr:uid="{00000000-0005-0000-0000-0000F0020000}"/>
    <cellStyle name="20% - Accent5 11 4" xfId="755" xr:uid="{00000000-0005-0000-0000-0000F1020000}"/>
    <cellStyle name="20% - Accent5 12" xfId="756" xr:uid="{00000000-0005-0000-0000-0000F2020000}"/>
    <cellStyle name="20% - Accent5 12 2" xfId="757" xr:uid="{00000000-0005-0000-0000-0000F3020000}"/>
    <cellStyle name="20% - Accent5 12 2 2" xfId="758" xr:uid="{00000000-0005-0000-0000-0000F4020000}"/>
    <cellStyle name="20% - Accent5 12 2 2 2" xfId="759" xr:uid="{00000000-0005-0000-0000-0000F5020000}"/>
    <cellStyle name="20% - Accent5 12 2 3" xfId="760" xr:uid="{00000000-0005-0000-0000-0000F6020000}"/>
    <cellStyle name="20% - Accent5 12 3" xfId="761" xr:uid="{00000000-0005-0000-0000-0000F7020000}"/>
    <cellStyle name="20% - Accent5 12 3 2" xfId="762" xr:uid="{00000000-0005-0000-0000-0000F8020000}"/>
    <cellStyle name="20% - Accent5 12 4" xfId="763" xr:uid="{00000000-0005-0000-0000-0000F9020000}"/>
    <cellStyle name="20% - Accent5 13" xfId="764" xr:uid="{00000000-0005-0000-0000-0000FA020000}"/>
    <cellStyle name="20% - Accent5 13 2" xfId="765" xr:uid="{00000000-0005-0000-0000-0000FB020000}"/>
    <cellStyle name="20% - Accent5 13 2 2" xfId="766" xr:uid="{00000000-0005-0000-0000-0000FC020000}"/>
    <cellStyle name="20% - Accent5 13 2 2 2" xfId="767" xr:uid="{00000000-0005-0000-0000-0000FD020000}"/>
    <cellStyle name="20% - Accent5 13 2 3" xfId="768" xr:uid="{00000000-0005-0000-0000-0000FE020000}"/>
    <cellStyle name="20% - Accent5 13 3" xfId="769" xr:uid="{00000000-0005-0000-0000-0000FF020000}"/>
    <cellStyle name="20% - Accent5 13 3 2" xfId="770" xr:uid="{00000000-0005-0000-0000-000000030000}"/>
    <cellStyle name="20% - Accent5 13 4" xfId="771" xr:uid="{00000000-0005-0000-0000-000001030000}"/>
    <cellStyle name="20% - Accent5 14" xfId="772" xr:uid="{00000000-0005-0000-0000-000002030000}"/>
    <cellStyle name="20% - Accent5 14 2" xfId="773" xr:uid="{00000000-0005-0000-0000-000003030000}"/>
    <cellStyle name="20% - Accent5 14 2 2" xfId="774" xr:uid="{00000000-0005-0000-0000-000004030000}"/>
    <cellStyle name="20% - Accent5 14 2 2 2" xfId="775" xr:uid="{00000000-0005-0000-0000-000005030000}"/>
    <cellStyle name="20% - Accent5 14 2 3" xfId="776" xr:uid="{00000000-0005-0000-0000-000006030000}"/>
    <cellStyle name="20% - Accent5 14 3" xfId="777" xr:uid="{00000000-0005-0000-0000-000007030000}"/>
    <cellStyle name="20% - Accent5 14 3 2" xfId="778" xr:uid="{00000000-0005-0000-0000-000008030000}"/>
    <cellStyle name="20% - Accent5 14 4" xfId="779" xr:uid="{00000000-0005-0000-0000-000009030000}"/>
    <cellStyle name="20% - Accent5 15" xfId="780" xr:uid="{00000000-0005-0000-0000-00000A030000}"/>
    <cellStyle name="20% - Accent5 15 2" xfId="781" xr:uid="{00000000-0005-0000-0000-00000B030000}"/>
    <cellStyle name="20% - Accent5 15 2 2" xfId="782" xr:uid="{00000000-0005-0000-0000-00000C030000}"/>
    <cellStyle name="20% - Accent5 15 2 2 2" xfId="783" xr:uid="{00000000-0005-0000-0000-00000D030000}"/>
    <cellStyle name="20% - Accent5 15 2 3" xfId="784" xr:uid="{00000000-0005-0000-0000-00000E030000}"/>
    <cellStyle name="20% - Accent5 15 3" xfId="785" xr:uid="{00000000-0005-0000-0000-00000F030000}"/>
    <cellStyle name="20% - Accent5 15 3 2" xfId="786" xr:uid="{00000000-0005-0000-0000-000010030000}"/>
    <cellStyle name="20% - Accent5 15 4" xfId="787" xr:uid="{00000000-0005-0000-0000-000011030000}"/>
    <cellStyle name="20% - Accent5 16" xfId="788" xr:uid="{00000000-0005-0000-0000-000012030000}"/>
    <cellStyle name="20% - Accent5 16 2" xfId="789" xr:uid="{00000000-0005-0000-0000-000013030000}"/>
    <cellStyle name="20% - Accent5 16 2 2" xfId="790" xr:uid="{00000000-0005-0000-0000-000014030000}"/>
    <cellStyle name="20% - Accent5 16 2 2 2" xfId="791" xr:uid="{00000000-0005-0000-0000-000015030000}"/>
    <cellStyle name="20% - Accent5 16 2 3" xfId="792" xr:uid="{00000000-0005-0000-0000-000016030000}"/>
    <cellStyle name="20% - Accent5 16 3" xfId="793" xr:uid="{00000000-0005-0000-0000-000017030000}"/>
    <cellStyle name="20% - Accent5 16 3 2" xfId="794" xr:uid="{00000000-0005-0000-0000-000018030000}"/>
    <cellStyle name="20% - Accent5 16 4" xfId="795" xr:uid="{00000000-0005-0000-0000-000019030000}"/>
    <cellStyle name="20% - Accent5 17" xfId="796" xr:uid="{00000000-0005-0000-0000-00001A030000}"/>
    <cellStyle name="20% - Accent5 17 2" xfId="797" xr:uid="{00000000-0005-0000-0000-00001B030000}"/>
    <cellStyle name="20% - Accent5 17 2 2" xfId="798" xr:uid="{00000000-0005-0000-0000-00001C030000}"/>
    <cellStyle name="20% - Accent5 17 2 2 2" xfId="799" xr:uid="{00000000-0005-0000-0000-00001D030000}"/>
    <cellStyle name="20% - Accent5 17 2 3" xfId="800" xr:uid="{00000000-0005-0000-0000-00001E030000}"/>
    <cellStyle name="20% - Accent5 17 3" xfId="801" xr:uid="{00000000-0005-0000-0000-00001F030000}"/>
    <cellStyle name="20% - Accent5 17 3 2" xfId="802" xr:uid="{00000000-0005-0000-0000-000020030000}"/>
    <cellStyle name="20% - Accent5 17 4" xfId="803" xr:uid="{00000000-0005-0000-0000-000021030000}"/>
    <cellStyle name="20% - Accent5 18" xfId="804" xr:uid="{00000000-0005-0000-0000-000022030000}"/>
    <cellStyle name="20% - Accent5 18 2" xfId="805" xr:uid="{00000000-0005-0000-0000-000023030000}"/>
    <cellStyle name="20% - Accent5 18 2 2" xfId="806" xr:uid="{00000000-0005-0000-0000-000024030000}"/>
    <cellStyle name="20% - Accent5 18 2 2 2" xfId="807" xr:uid="{00000000-0005-0000-0000-000025030000}"/>
    <cellStyle name="20% - Accent5 18 2 3" xfId="808" xr:uid="{00000000-0005-0000-0000-000026030000}"/>
    <cellStyle name="20% - Accent5 18 3" xfId="809" xr:uid="{00000000-0005-0000-0000-000027030000}"/>
    <cellStyle name="20% - Accent5 18 3 2" xfId="810" xr:uid="{00000000-0005-0000-0000-000028030000}"/>
    <cellStyle name="20% - Accent5 18 4" xfId="811" xr:uid="{00000000-0005-0000-0000-000029030000}"/>
    <cellStyle name="20% - Accent5 19" xfId="812" xr:uid="{00000000-0005-0000-0000-00002A030000}"/>
    <cellStyle name="20% - Accent5 19 2" xfId="813" xr:uid="{00000000-0005-0000-0000-00002B030000}"/>
    <cellStyle name="20% - Accent5 19 2 2" xfId="814" xr:uid="{00000000-0005-0000-0000-00002C030000}"/>
    <cellStyle name="20% - Accent5 19 2 2 2" xfId="815" xr:uid="{00000000-0005-0000-0000-00002D030000}"/>
    <cellStyle name="20% - Accent5 19 2 3" xfId="816" xr:uid="{00000000-0005-0000-0000-00002E030000}"/>
    <cellStyle name="20% - Accent5 19 3" xfId="817" xr:uid="{00000000-0005-0000-0000-00002F030000}"/>
    <cellStyle name="20% - Accent5 19 3 2" xfId="818" xr:uid="{00000000-0005-0000-0000-000030030000}"/>
    <cellStyle name="20% - Accent5 19 4" xfId="819" xr:uid="{00000000-0005-0000-0000-000031030000}"/>
    <cellStyle name="20% - Accent5 2" xfId="820" xr:uid="{00000000-0005-0000-0000-000032030000}"/>
    <cellStyle name="20% - Accent5 2 2" xfId="821" xr:uid="{00000000-0005-0000-0000-000033030000}"/>
    <cellStyle name="20% - Accent5 2 2 2" xfId="822" xr:uid="{00000000-0005-0000-0000-000034030000}"/>
    <cellStyle name="20% - Accent5 2 2 2 2" xfId="823" xr:uid="{00000000-0005-0000-0000-000035030000}"/>
    <cellStyle name="20% - Accent5 2 2 3" xfId="824" xr:uid="{00000000-0005-0000-0000-000036030000}"/>
    <cellStyle name="20% - Accent5 2 3" xfId="825" xr:uid="{00000000-0005-0000-0000-000037030000}"/>
    <cellStyle name="20% - Accent5 2 3 2" xfId="826" xr:uid="{00000000-0005-0000-0000-000038030000}"/>
    <cellStyle name="20% - Accent5 2 4" xfId="827" xr:uid="{00000000-0005-0000-0000-000039030000}"/>
    <cellStyle name="20% - Accent5 20" xfId="828" xr:uid="{00000000-0005-0000-0000-00003A030000}"/>
    <cellStyle name="20% - Accent5 20 2" xfId="829" xr:uid="{00000000-0005-0000-0000-00003B030000}"/>
    <cellStyle name="20% - Accent5 20 2 2" xfId="830" xr:uid="{00000000-0005-0000-0000-00003C030000}"/>
    <cellStyle name="20% - Accent5 20 2 2 2" xfId="831" xr:uid="{00000000-0005-0000-0000-00003D030000}"/>
    <cellStyle name="20% - Accent5 20 2 3" xfId="832" xr:uid="{00000000-0005-0000-0000-00003E030000}"/>
    <cellStyle name="20% - Accent5 20 3" xfId="833" xr:uid="{00000000-0005-0000-0000-00003F030000}"/>
    <cellStyle name="20% - Accent5 20 3 2" xfId="834" xr:uid="{00000000-0005-0000-0000-000040030000}"/>
    <cellStyle name="20% - Accent5 20 4" xfId="835" xr:uid="{00000000-0005-0000-0000-000041030000}"/>
    <cellStyle name="20% - Accent5 21" xfId="836" xr:uid="{00000000-0005-0000-0000-000042030000}"/>
    <cellStyle name="20% - Accent5 21 2" xfId="837" xr:uid="{00000000-0005-0000-0000-000043030000}"/>
    <cellStyle name="20% - Accent5 21 2 2" xfId="838" xr:uid="{00000000-0005-0000-0000-000044030000}"/>
    <cellStyle name="20% - Accent5 21 2 2 2" xfId="839" xr:uid="{00000000-0005-0000-0000-000045030000}"/>
    <cellStyle name="20% - Accent5 21 2 3" xfId="840" xr:uid="{00000000-0005-0000-0000-000046030000}"/>
    <cellStyle name="20% - Accent5 21 3" xfId="841" xr:uid="{00000000-0005-0000-0000-000047030000}"/>
    <cellStyle name="20% - Accent5 21 3 2" xfId="842" xr:uid="{00000000-0005-0000-0000-000048030000}"/>
    <cellStyle name="20% - Accent5 21 4" xfId="843" xr:uid="{00000000-0005-0000-0000-000049030000}"/>
    <cellStyle name="20% - Accent5 22" xfId="844" xr:uid="{00000000-0005-0000-0000-00004A030000}"/>
    <cellStyle name="20% - Accent5 22 2" xfId="845" xr:uid="{00000000-0005-0000-0000-00004B030000}"/>
    <cellStyle name="20% - Accent5 22 2 2" xfId="846" xr:uid="{00000000-0005-0000-0000-00004C030000}"/>
    <cellStyle name="20% - Accent5 22 2 2 2" xfId="847" xr:uid="{00000000-0005-0000-0000-00004D030000}"/>
    <cellStyle name="20% - Accent5 22 2 3" xfId="848" xr:uid="{00000000-0005-0000-0000-00004E030000}"/>
    <cellStyle name="20% - Accent5 22 3" xfId="849" xr:uid="{00000000-0005-0000-0000-00004F030000}"/>
    <cellStyle name="20% - Accent5 22 3 2" xfId="850" xr:uid="{00000000-0005-0000-0000-000050030000}"/>
    <cellStyle name="20% - Accent5 22 4" xfId="851" xr:uid="{00000000-0005-0000-0000-000051030000}"/>
    <cellStyle name="20% - Accent5 23" xfId="852" xr:uid="{00000000-0005-0000-0000-000052030000}"/>
    <cellStyle name="20% - Accent5 23 2" xfId="853" xr:uid="{00000000-0005-0000-0000-000053030000}"/>
    <cellStyle name="20% - Accent5 23 2 2" xfId="854" xr:uid="{00000000-0005-0000-0000-000054030000}"/>
    <cellStyle name="20% - Accent5 23 2 2 2" xfId="855" xr:uid="{00000000-0005-0000-0000-000055030000}"/>
    <cellStyle name="20% - Accent5 23 2 3" xfId="856" xr:uid="{00000000-0005-0000-0000-000056030000}"/>
    <cellStyle name="20% - Accent5 23 3" xfId="857" xr:uid="{00000000-0005-0000-0000-000057030000}"/>
    <cellStyle name="20% - Accent5 23 3 2" xfId="858" xr:uid="{00000000-0005-0000-0000-000058030000}"/>
    <cellStyle name="20% - Accent5 23 4" xfId="859" xr:uid="{00000000-0005-0000-0000-000059030000}"/>
    <cellStyle name="20% - Accent5 24" xfId="860" xr:uid="{00000000-0005-0000-0000-00005A030000}"/>
    <cellStyle name="20% - Accent5 24 2" xfId="861" xr:uid="{00000000-0005-0000-0000-00005B030000}"/>
    <cellStyle name="20% - Accent5 24 2 2" xfId="862" xr:uid="{00000000-0005-0000-0000-00005C030000}"/>
    <cellStyle name="20% - Accent5 24 3" xfId="863" xr:uid="{00000000-0005-0000-0000-00005D030000}"/>
    <cellStyle name="20% - Accent5 25" xfId="864" xr:uid="{00000000-0005-0000-0000-00005E030000}"/>
    <cellStyle name="20% - Accent5 25 2" xfId="865" xr:uid="{00000000-0005-0000-0000-00005F030000}"/>
    <cellStyle name="20% - Accent5 26" xfId="866" xr:uid="{00000000-0005-0000-0000-000060030000}"/>
    <cellStyle name="20% - Accent5 3" xfId="867" xr:uid="{00000000-0005-0000-0000-000061030000}"/>
    <cellStyle name="20% - Accent5 3 2" xfId="868" xr:uid="{00000000-0005-0000-0000-000062030000}"/>
    <cellStyle name="20% - Accent5 3 2 2" xfId="869" xr:uid="{00000000-0005-0000-0000-000063030000}"/>
    <cellStyle name="20% - Accent5 3 2 2 2" xfId="870" xr:uid="{00000000-0005-0000-0000-000064030000}"/>
    <cellStyle name="20% - Accent5 3 2 3" xfId="871" xr:uid="{00000000-0005-0000-0000-000065030000}"/>
    <cellStyle name="20% - Accent5 3 3" xfId="872" xr:uid="{00000000-0005-0000-0000-000066030000}"/>
    <cellStyle name="20% - Accent5 3 3 2" xfId="873" xr:uid="{00000000-0005-0000-0000-000067030000}"/>
    <cellStyle name="20% - Accent5 3 4" xfId="874" xr:uid="{00000000-0005-0000-0000-000068030000}"/>
    <cellStyle name="20% - Accent5 4" xfId="875" xr:uid="{00000000-0005-0000-0000-000069030000}"/>
    <cellStyle name="20% - Accent5 4 2" xfId="876" xr:uid="{00000000-0005-0000-0000-00006A030000}"/>
    <cellStyle name="20% - Accent5 4 2 2" xfId="877" xr:uid="{00000000-0005-0000-0000-00006B030000}"/>
    <cellStyle name="20% - Accent5 4 2 2 2" xfId="878" xr:uid="{00000000-0005-0000-0000-00006C030000}"/>
    <cellStyle name="20% - Accent5 4 2 3" xfId="879" xr:uid="{00000000-0005-0000-0000-00006D030000}"/>
    <cellStyle name="20% - Accent5 4 3" xfId="880" xr:uid="{00000000-0005-0000-0000-00006E030000}"/>
    <cellStyle name="20% - Accent5 4 3 2" xfId="881" xr:uid="{00000000-0005-0000-0000-00006F030000}"/>
    <cellStyle name="20% - Accent5 4 4" xfId="882" xr:uid="{00000000-0005-0000-0000-000070030000}"/>
    <cellStyle name="20% - Accent5 5" xfId="883" xr:uid="{00000000-0005-0000-0000-000071030000}"/>
    <cellStyle name="20% - Accent5 5 2" xfId="884" xr:uid="{00000000-0005-0000-0000-000072030000}"/>
    <cellStyle name="20% - Accent5 5 2 2" xfId="885" xr:uid="{00000000-0005-0000-0000-000073030000}"/>
    <cellStyle name="20% - Accent5 5 2 2 2" xfId="886" xr:uid="{00000000-0005-0000-0000-000074030000}"/>
    <cellStyle name="20% - Accent5 5 2 3" xfId="887" xr:uid="{00000000-0005-0000-0000-000075030000}"/>
    <cellStyle name="20% - Accent5 5 3" xfId="888" xr:uid="{00000000-0005-0000-0000-000076030000}"/>
    <cellStyle name="20% - Accent5 5 3 2" xfId="889" xr:uid="{00000000-0005-0000-0000-000077030000}"/>
    <cellStyle name="20% - Accent5 5 4" xfId="890" xr:uid="{00000000-0005-0000-0000-000078030000}"/>
    <cellStyle name="20% - Accent5 6" xfId="891" xr:uid="{00000000-0005-0000-0000-000079030000}"/>
    <cellStyle name="20% - Accent5 6 2" xfId="892" xr:uid="{00000000-0005-0000-0000-00007A030000}"/>
    <cellStyle name="20% - Accent5 6 2 2" xfId="893" xr:uid="{00000000-0005-0000-0000-00007B030000}"/>
    <cellStyle name="20% - Accent5 6 2 2 2" xfId="894" xr:uid="{00000000-0005-0000-0000-00007C030000}"/>
    <cellStyle name="20% - Accent5 6 2 3" xfId="895" xr:uid="{00000000-0005-0000-0000-00007D030000}"/>
    <cellStyle name="20% - Accent5 6 3" xfId="896" xr:uid="{00000000-0005-0000-0000-00007E030000}"/>
    <cellStyle name="20% - Accent5 6 3 2" xfId="897" xr:uid="{00000000-0005-0000-0000-00007F030000}"/>
    <cellStyle name="20% - Accent5 6 4" xfId="898" xr:uid="{00000000-0005-0000-0000-000080030000}"/>
    <cellStyle name="20% - Accent5 7" xfId="899" xr:uid="{00000000-0005-0000-0000-000081030000}"/>
    <cellStyle name="20% - Accent5 7 2" xfId="900" xr:uid="{00000000-0005-0000-0000-000082030000}"/>
    <cellStyle name="20% - Accent5 7 2 2" xfId="901" xr:uid="{00000000-0005-0000-0000-000083030000}"/>
    <cellStyle name="20% - Accent5 7 2 2 2" xfId="902" xr:uid="{00000000-0005-0000-0000-000084030000}"/>
    <cellStyle name="20% - Accent5 7 2 3" xfId="903" xr:uid="{00000000-0005-0000-0000-000085030000}"/>
    <cellStyle name="20% - Accent5 7 3" xfId="904" xr:uid="{00000000-0005-0000-0000-000086030000}"/>
    <cellStyle name="20% - Accent5 7 3 2" xfId="905" xr:uid="{00000000-0005-0000-0000-000087030000}"/>
    <cellStyle name="20% - Accent5 7 4" xfId="906" xr:uid="{00000000-0005-0000-0000-000088030000}"/>
    <cellStyle name="20% - Accent5 8" xfId="907" xr:uid="{00000000-0005-0000-0000-000089030000}"/>
    <cellStyle name="20% - Accent5 8 2" xfId="908" xr:uid="{00000000-0005-0000-0000-00008A030000}"/>
    <cellStyle name="20% - Accent5 8 2 2" xfId="909" xr:uid="{00000000-0005-0000-0000-00008B030000}"/>
    <cellStyle name="20% - Accent5 8 2 2 2" xfId="910" xr:uid="{00000000-0005-0000-0000-00008C030000}"/>
    <cellStyle name="20% - Accent5 8 2 3" xfId="911" xr:uid="{00000000-0005-0000-0000-00008D030000}"/>
    <cellStyle name="20% - Accent5 8 3" xfId="912" xr:uid="{00000000-0005-0000-0000-00008E030000}"/>
    <cellStyle name="20% - Accent5 8 3 2" xfId="913" xr:uid="{00000000-0005-0000-0000-00008F030000}"/>
    <cellStyle name="20% - Accent5 8 4" xfId="914" xr:uid="{00000000-0005-0000-0000-000090030000}"/>
    <cellStyle name="20% - Accent5 9" xfId="915" xr:uid="{00000000-0005-0000-0000-000091030000}"/>
    <cellStyle name="20% - Accent5 9 2" xfId="916" xr:uid="{00000000-0005-0000-0000-000092030000}"/>
    <cellStyle name="20% - Accent5 9 2 2" xfId="917" xr:uid="{00000000-0005-0000-0000-000093030000}"/>
    <cellStyle name="20% - Accent5 9 2 2 2" xfId="918" xr:uid="{00000000-0005-0000-0000-000094030000}"/>
    <cellStyle name="20% - Accent5 9 2 3" xfId="919" xr:uid="{00000000-0005-0000-0000-000095030000}"/>
    <cellStyle name="20% - Accent5 9 3" xfId="920" xr:uid="{00000000-0005-0000-0000-000096030000}"/>
    <cellStyle name="20% - Accent5 9 3 2" xfId="921" xr:uid="{00000000-0005-0000-0000-000097030000}"/>
    <cellStyle name="20% - Accent5 9 4" xfId="922" xr:uid="{00000000-0005-0000-0000-000098030000}"/>
    <cellStyle name="20% - Accent6 10" xfId="923" xr:uid="{00000000-0005-0000-0000-000099030000}"/>
    <cellStyle name="20% - Accent6 10 2" xfId="924" xr:uid="{00000000-0005-0000-0000-00009A030000}"/>
    <cellStyle name="20% - Accent6 10 2 2" xfId="925" xr:uid="{00000000-0005-0000-0000-00009B030000}"/>
    <cellStyle name="20% - Accent6 10 2 2 2" xfId="926" xr:uid="{00000000-0005-0000-0000-00009C030000}"/>
    <cellStyle name="20% - Accent6 10 2 3" xfId="927" xr:uid="{00000000-0005-0000-0000-00009D030000}"/>
    <cellStyle name="20% - Accent6 10 3" xfId="928" xr:uid="{00000000-0005-0000-0000-00009E030000}"/>
    <cellStyle name="20% - Accent6 10 3 2" xfId="929" xr:uid="{00000000-0005-0000-0000-00009F030000}"/>
    <cellStyle name="20% - Accent6 10 4" xfId="930" xr:uid="{00000000-0005-0000-0000-0000A0030000}"/>
    <cellStyle name="20% - Accent6 11" xfId="931" xr:uid="{00000000-0005-0000-0000-0000A1030000}"/>
    <cellStyle name="20% - Accent6 11 2" xfId="932" xr:uid="{00000000-0005-0000-0000-0000A2030000}"/>
    <cellStyle name="20% - Accent6 11 2 2" xfId="933" xr:uid="{00000000-0005-0000-0000-0000A3030000}"/>
    <cellStyle name="20% - Accent6 11 2 2 2" xfId="934" xr:uid="{00000000-0005-0000-0000-0000A4030000}"/>
    <cellStyle name="20% - Accent6 11 2 3" xfId="935" xr:uid="{00000000-0005-0000-0000-0000A5030000}"/>
    <cellStyle name="20% - Accent6 11 3" xfId="936" xr:uid="{00000000-0005-0000-0000-0000A6030000}"/>
    <cellStyle name="20% - Accent6 11 3 2" xfId="937" xr:uid="{00000000-0005-0000-0000-0000A7030000}"/>
    <cellStyle name="20% - Accent6 11 4" xfId="938" xr:uid="{00000000-0005-0000-0000-0000A8030000}"/>
    <cellStyle name="20% - Accent6 12" xfId="939" xr:uid="{00000000-0005-0000-0000-0000A9030000}"/>
    <cellStyle name="20% - Accent6 12 2" xfId="940" xr:uid="{00000000-0005-0000-0000-0000AA030000}"/>
    <cellStyle name="20% - Accent6 12 2 2" xfId="941" xr:uid="{00000000-0005-0000-0000-0000AB030000}"/>
    <cellStyle name="20% - Accent6 12 2 2 2" xfId="942" xr:uid="{00000000-0005-0000-0000-0000AC030000}"/>
    <cellStyle name="20% - Accent6 12 2 3" xfId="943" xr:uid="{00000000-0005-0000-0000-0000AD030000}"/>
    <cellStyle name="20% - Accent6 12 3" xfId="944" xr:uid="{00000000-0005-0000-0000-0000AE030000}"/>
    <cellStyle name="20% - Accent6 12 3 2" xfId="945" xr:uid="{00000000-0005-0000-0000-0000AF030000}"/>
    <cellStyle name="20% - Accent6 12 4" xfId="946" xr:uid="{00000000-0005-0000-0000-0000B0030000}"/>
    <cellStyle name="20% - Accent6 13" xfId="947" xr:uid="{00000000-0005-0000-0000-0000B1030000}"/>
    <cellStyle name="20% - Accent6 13 2" xfId="948" xr:uid="{00000000-0005-0000-0000-0000B2030000}"/>
    <cellStyle name="20% - Accent6 13 2 2" xfId="949" xr:uid="{00000000-0005-0000-0000-0000B3030000}"/>
    <cellStyle name="20% - Accent6 13 2 2 2" xfId="950" xr:uid="{00000000-0005-0000-0000-0000B4030000}"/>
    <cellStyle name="20% - Accent6 13 2 3" xfId="951" xr:uid="{00000000-0005-0000-0000-0000B5030000}"/>
    <cellStyle name="20% - Accent6 13 3" xfId="952" xr:uid="{00000000-0005-0000-0000-0000B6030000}"/>
    <cellStyle name="20% - Accent6 13 3 2" xfId="953" xr:uid="{00000000-0005-0000-0000-0000B7030000}"/>
    <cellStyle name="20% - Accent6 13 4" xfId="954" xr:uid="{00000000-0005-0000-0000-0000B8030000}"/>
    <cellStyle name="20% - Accent6 14" xfId="955" xr:uid="{00000000-0005-0000-0000-0000B9030000}"/>
    <cellStyle name="20% - Accent6 14 2" xfId="956" xr:uid="{00000000-0005-0000-0000-0000BA030000}"/>
    <cellStyle name="20% - Accent6 14 2 2" xfId="957" xr:uid="{00000000-0005-0000-0000-0000BB030000}"/>
    <cellStyle name="20% - Accent6 14 2 2 2" xfId="958" xr:uid="{00000000-0005-0000-0000-0000BC030000}"/>
    <cellStyle name="20% - Accent6 14 2 3" xfId="959" xr:uid="{00000000-0005-0000-0000-0000BD030000}"/>
    <cellStyle name="20% - Accent6 14 3" xfId="960" xr:uid="{00000000-0005-0000-0000-0000BE030000}"/>
    <cellStyle name="20% - Accent6 14 3 2" xfId="961" xr:uid="{00000000-0005-0000-0000-0000BF030000}"/>
    <cellStyle name="20% - Accent6 14 4" xfId="962" xr:uid="{00000000-0005-0000-0000-0000C0030000}"/>
    <cellStyle name="20% - Accent6 15" xfId="963" xr:uid="{00000000-0005-0000-0000-0000C1030000}"/>
    <cellStyle name="20% - Accent6 15 2" xfId="964" xr:uid="{00000000-0005-0000-0000-0000C2030000}"/>
    <cellStyle name="20% - Accent6 15 2 2" xfId="965" xr:uid="{00000000-0005-0000-0000-0000C3030000}"/>
    <cellStyle name="20% - Accent6 15 2 2 2" xfId="966" xr:uid="{00000000-0005-0000-0000-0000C4030000}"/>
    <cellStyle name="20% - Accent6 15 2 3" xfId="967" xr:uid="{00000000-0005-0000-0000-0000C5030000}"/>
    <cellStyle name="20% - Accent6 15 3" xfId="968" xr:uid="{00000000-0005-0000-0000-0000C6030000}"/>
    <cellStyle name="20% - Accent6 15 3 2" xfId="969" xr:uid="{00000000-0005-0000-0000-0000C7030000}"/>
    <cellStyle name="20% - Accent6 15 4" xfId="970" xr:uid="{00000000-0005-0000-0000-0000C8030000}"/>
    <cellStyle name="20% - Accent6 16" xfId="971" xr:uid="{00000000-0005-0000-0000-0000C9030000}"/>
    <cellStyle name="20% - Accent6 16 2" xfId="972" xr:uid="{00000000-0005-0000-0000-0000CA030000}"/>
    <cellStyle name="20% - Accent6 16 2 2" xfId="973" xr:uid="{00000000-0005-0000-0000-0000CB030000}"/>
    <cellStyle name="20% - Accent6 16 2 2 2" xfId="974" xr:uid="{00000000-0005-0000-0000-0000CC030000}"/>
    <cellStyle name="20% - Accent6 16 2 3" xfId="975" xr:uid="{00000000-0005-0000-0000-0000CD030000}"/>
    <cellStyle name="20% - Accent6 16 3" xfId="976" xr:uid="{00000000-0005-0000-0000-0000CE030000}"/>
    <cellStyle name="20% - Accent6 16 3 2" xfId="977" xr:uid="{00000000-0005-0000-0000-0000CF030000}"/>
    <cellStyle name="20% - Accent6 16 4" xfId="978" xr:uid="{00000000-0005-0000-0000-0000D0030000}"/>
    <cellStyle name="20% - Accent6 17" xfId="979" xr:uid="{00000000-0005-0000-0000-0000D1030000}"/>
    <cellStyle name="20% - Accent6 17 2" xfId="980" xr:uid="{00000000-0005-0000-0000-0000D2030000}"/>
    <cellStyle name="20% - Accent6 17 2 2" xfId="981" xr:uid="{00000000-0005-0000-0000-0000D3030000}"/>
    <cellStyle name="20% - Accent6 17 2 2 2" xfId="982" xr:uid="{00000000-0005-0000-0000-0000D4030000}"/>
    <cellStyle name="20% - Accent6 17 2 3" xfId="983" xr:uid="{00000000-0005-0000-0000-0000D5030000}"/>
    <cellStyle name="20% - Accent6 17 3" xfId="984" xr:uid="{00000000-0005-0000-0000-0000D6030000}"/>
    <cellStyle name="20% - Accent6 17 3 2" xfId="985" xr:uid="{00000000-0005-0000-0000-0000D7030000}"/>
    <cellStyle name="20% - Accent6 17 4" xfId="986" xr:uid="{00000000-0005-0000-0000-0000D8030000}"/>
    <cellStyle name="20% - Accent6 18" xfId="987" xr:uid="{00000000-0005-0000-0000-0000D9030000}"/>
    <cellStyle name="20% - Accent6 18 2" xfId="988" xr:uid="{00000000-0005-0000-0000-0000DA030000}"/>
    <cellStyle name="20% - Accent6 18 2 2" xfId="989" xr:uid="{00000000-0005-0000-0000-0000DB030000}"/>
    <cellStyle name="20% - Accent6 18 2 2 2" xfId="990" xr:uid="{00000000-0005-0000-0000-0000DC030000}"/>
    <cellStyle name="20% - Accent6 18 2 3" xfId="991" xr:uid="{00000000-0005-0000-0000-0000DD030000}"/>
    <cellStyle name="20% - Accent6 18 3" xfId="992" xr:uid="{00000000-0005-0000-0000-0000DE030000}"/>
    <cellStyle name="20% - Accent6 18 3 2" xfId="993" xr:uid="{00000000-0005-0000-0000-0000DF030000}"/>
    <cellStyle name="20% - Accent6 18 4" xfId="994" xr:uid="{00000000-0005-0000-0000-0000E0030000}"/>
    <cellStyle name="20% - Accent6 19" xfId="995" xr:uid="{00000000-0005-0000-0000-0000E1030000}"/>
    <cellStyle name="20% - Accent6 19 2" xfId="996" xr:uid="{00000000-0005-0000-0000-0000E2030000}"/>
    <cellStyle name="20% - Accent6 19 2 2" xfId="997" xr:uid="{00000000-0005-0000-0000-0000E3030000}"/>
    <cellStyle name="20% - Accent6 19 2 2 2" xfId="998" xr:uid="{00000000-0005-0000-0000-0000E4030000}"/>
    <cellStyle name="20% - Accent6 19 2 3" xfId="999" xr:uid="{00000000-0005-0000-0000-0000E5030000}"/>
    <cellStyle name="20% - Accent6 19 3" xfId="1000" xr:uid="{00000000-0005-0000-0000-0000E6030000}"/>
    <cellStyle name="20% - Accent6 19 3 2" xfId="1001" xr:uid="{00000000-0005-0000-0000-0000E7030000}"/>
    <cellStyle name="20% - Accent6 19 4" xfId="1002" xr:uid="{00000000-0005-0000-0000-0000E8030000}"/>
    <cellStyle name="20% - Accent6 2" xfId="1003" xr:uid="{00000000-0005-0000-0000-0000E9030000}"/>
    <cellStyle name="20% - Accent6 2 2" xfId="1004" xr:uid="{00000000-0005-0000-0000-0000EA030000}"/>
    <cellStyle name="20% - Accent6 2 2 2" xfId="1005" xr:uid="{00000000-0005-0000-0000-0000EB030000}"/>
    <cellStyle name="20% - Accent6 2 2 2 2" xfId="1006" xr:uid="{00000000-0005-0000-0000-0000EC030000}"/>
    <cellStyle name="20% - Accent6 2 2 3" xfId="1007" xr:uid="{00000000-0005-0000-0000-0000ED030000}"/>
    <cellStyle name="20% - Accent6 2 3" xfId="1008" xr:uid="{00000000-0005-0000-0000-0000EE030000}"/>
    <cellStyle name="20% - Accent6 2 3 2" xfId="1009" xr:uid="{00000000-0005-0000-0000-0000EF030000}"/>
    <cellStyle name="20% - Accent6 2 4" xfId="1010" xr:uid="{00000000-0005-0000-0000-0000F0030000}"/>
    <cellStyle name="20% - Accent6 20" xfId="1011" xr:uid="{00000000-0005-0000-0000-0000F1030000}"/>
    <cellStyle name="20% - Accent6 20 2" xfId="1012" xr:uid="{00000000-0005-0000-0000-0000F2030000}"/>
    <cellStyle name="20% - Accent6 20 2 2" xfId="1013" xr:uid="{00000000-0005-0000-0000-0000F3030000}"/>
    <cellStyle name="20% - Accent6 20 2 2 2" xfId="1014" xr:uid="{00000000-0005-0000-0000-0000F4030000}"/>
    <cellStyle name="20% - Accent6 20 2 3" xfId="1015" xr:uid="{00000000-0005-0000-0000-0000F5030000}"/>
    <cellStyle name="20% - Accent6 20 3" xfId="1016" xr:uid="{00000000-0005-0000-0000-0000F6030000}"/>
    <cellStyle name="20% - Accent6 20 3 2" xfId="1017" xr:uid="{00000000-0005-0000-0000-0000F7030000}"/>
    <cellStyle name="20% - Accent6 20 4" xfId="1018" xr:uid="{00000000-0005-0000-0000-0000F8030000}"/>
    <cellStyle name="20% - Accent6 21" xfId="1019" xr:uid="{00000000-0005-0000-0000-0000F9030000}"/>
    <cellStyle name="20% - Accent6 21 2" xfId="1020" xr:uid="{00000000-0005-0000-0000-0000FA030000}"/>
    <cellStyle name="20% - Accent6 21 2 2" xfId="1021" xr:uid="{00000000-0005-0000-0000-0000FB030000}"/>
    <cellStyle name="20% - Accent6 21 2 2 2" xfId="1022" xr:uid="{00000000-0005-0000-0000-0000FC030000}"/>
    <cellStyle name="20% - Accent6 21 2 3" xfId="1023" xr:uid="{00000000-0005-0000-0000-0000FD030000}"/>
    <cellStyle name="20% - Accent6 21 3" xfId="1024" xr:uid="{00000000-0005-0000-0000-0000FE030000}"/>
    <cellStyle name="20% - Accent6 21 3 2" xfId="1025" xr:uid="{00000000-0005-0000-0000-0000FF030000}"/>
    <cellStyle name="20% - Accent6 21 4" xfId="1026" xr:uid="{00000000-0005-0000-0000-000000040000}"/>
    <cellStyle name="20% - Accent6 22" xfId="1027" xr:uid="{00000000-0005-0000-0000-000001040000}"/>
    <cellStyle name="20% - Accent6 22 2" xfId="1028" xr:uid="{00000000-0005-0000-0000-000002040000}"/>
    <cellStyle name="20% - Accent6 22 2 2" xfId="1029" xr:uid="{00000000-0005-0000-0000-000003040000}"/>
    <cellStyle name="20% - Accent6 22 2 2 2" xfId="1030" xr:uid="{00000000-0005-0000-0000-000004040000}"/>
    <cellStyle name="20% - Accent6 22 2 3" xfId="1031" xr:uid="{00000000-0005-0000-0000-000005040000}"/>
    <cellStyle name="20% - Accent6 22 3" xfId="1032" xr:uid="{00000000-0005-0000-0000-000006040000}"/>
    <cellStyle name="20% - Accent6 22 3 2" xfId="1033" xr:uid="{00000000-0005-0000-0000-000007040000}"/>
    <cellStyle name="20% - Accent6 22 4" xfId="1034" xr:uid="{00000000-0005-0000-0000-000008040000}"/>
    <cellStyle name="20% - Accent6 23" xfId="1035" xr:uid="{00000000-0005-0000-0000-000009040000}"/>
    <cellStyle name="20% - Accent6 23 2" xfId="1036" xr:uid="{00000000-0005-0000-0000-00000A040000}"/>
    <cellStyle name="20% - Accent6 23 2 2" xfId="1037" xr:uid="{00000000-0005-0000-0000-00000B040000}"/>
    <cellStyle name="20% - Accent6 23 2 2 2" xfId="1038" xr:uid="{00000000-0005-0000-0000-00000C040000}"/>
    <cellStyle name="20% - Accent6 23 2 3" xfId="1039" xr:uid="{00000000-0005-0000-0000-00000D040000}"/>
    <cellStyle name="20% - Accent6 23 3" xfId="1040" xr:uid="{00000000-0005-0000-0000-00000E040000}"/>
    <cellStyle name="20% - Accent6 23 3 2" xfId="1041" xr:uid="{00000000-0005-0000-0000-00000F040000}"/>
    <cellStyle name="20% - Accent6 23 4" xfId="1042" xr:uid="{00000000-0005-0000-0000-000010040000}"/>
    <cellStyle name="20% - Accent6 24" xfId="1043" xr:uid="{00000000-0005-0000-0000-000011040000}"/>
    <cellStyle name="20% - Accent6 24 2" xfId="1044" xr:uid="{00000000-0005-0000-0000-000012040000}"/>
    <cellStyle name="20% - Accent6 24 2 2" xfId="1045" xr:uid="{00000000-0005-0000-0000-000013040000}"/>
    <cellStyle name="20% - Accent6 24 3" xfId="1046" xr:uid="{00000000-0005-0000-0000-000014040000}"/>
    <cellStyle name="20% - Accent6 25" xfId="1047" xr:uid="{00000000-0005-0000-0000-000015040000}"/>
    <cellStyle name="20% - Accent6 25 2" xfId="1048" xr:uid="{00000000-0005-0000-0000-000016040000}"/>
    <cellStyle name="20% - Accent6 26" xfId="1049" xr:uid="{00000000-0005-0000-0000-000017040000}"/>
    <cellStyle name="20% - Accent6 3" xfId="1050" xr:uid="{00000000-0005-0000-0000-000018040000}"/>
    <cellStyle name="20% - Accent6 3 2" xfId="1051" xr:uid="{00000000-0005-0000-0000-000019040000}"/>
    <cellStyle name="20% - Accent6 3 2 2" xfId="1052" xr:uid="{00000000-0005-0000-0000-00001A040000}"/>
    <cellStyle name="20% - Accent6 3 2 2 2" xfId="1053" xr:uid="{00000000-0005-0000-0000-00001B040000}"/>
    <cellStyle name="20% - Accent6 3 2 3" xfId="1054" xr:uid="{00000000-0005-0000-0000-00001C040000}"/>
    <cellStyle name="20% - Accent6 3 3" xfId="1055" xr:uid="{00000000-0005-0000-0000-00001D040000}"/>
    <cellStyle name="20% - Accent6 3 3 2" xfId="1056" xr:uid="{00000000-0005-0000-0000-00001E040000}"/>
    <cellStyle name="20% - Accent6 3 4" xfId="1057" xr:uid="{00000000-0005-0000-0000-00001F040000}"/>
    <cellStyle name="20% - Accent6 4" xfId="1058" xr:uid="{00000000-0005-0000-0000-000020040000}"/>
    <cellStyle name="20% - Accent6 4 2" xfId="1059" xr:uid="{00000000-0005-0000-0000-000021040000}"/>
    <cellStyle name="20% - Accent6 4 2 2" xfId="1060" xr:uid="{00000000-0005-0000-0000-000022040000}"/>
    <cellStyle name="20% - Accent6 4 2 2 2" xfId="1061" xr:uid="{00000000-0005-0000-0000-000023040000}"/>
    <cellStyle name="20% - Accent6 4 2 3" xfId="1062" xr:uid="{00000000-0005-0000-0000-000024040000}"/>
    <cellStyle name="20% - Accent6 4 3" xfId="1063" xr:uid="{00000000-0005-0000-0000-000025040000}"/>
    <cellStyle name="20% - Accent6 4 3 2" xfId="1064" xr:uid="{00000000-0005-0000-0000-000026040000}"/>
    <cellStyle name="20% - Accent6 4 4" xfId="1065" xr:uid="{00000000-0005-0000-0000-000027040000}"/>
    <cellStyle name="20% - Accent6 5" xfId="1066" xr:uid="{00000000-0005-0000-0000-000028040000}"/>
    <cellStyle name="20% - Accent6 5 2" xfId="1067" xr:uid="{00000000-0005-0000-0000-000029040000}"/>
    <cellStyle name="20% - Accent6 5 2 2" xfId="1068" xr:uid="{00000000-0005-0000-0000-00002A040000}"/>
    <cellStyle name="20% - Accent6 5 2 2 2" xfId="1069" xr:uid="{00000000-0005-0000-0000-00002B040000}"/>
    <cellStyle name="20% - Accent6 5 2 3" xfId="1070" xr:uid="{00000000-0005-0000-0000-00002C040000}"/>
    <cellStyle name="20% - Accent6 5 3" xfId="1071" xr:uid="{00000000-0005-0000-0000-00002D040000}"/>
    <cellStyle name="20% - Accent6 5 3 2" xfId="1072" xr:uid="{00000000-0005-0000-0000-00002E040000}"/>
    <cellStyle name="20% - Accent6 5 4" xfId="1073" xr:uid="{00000000-0005-0000-0000-00002F040000}"/>
    <cellStyle name="20% - Accent6 6" xfId="1074" xr:uid="{00000000-0005-0000-0000-000030040000}"/>
    <cellStyle name="20% - Accent6 6 2" xfId="1075" xr:uid="{00000000-0005-0000-0000-000031040000}"/>
    <cellStyle name="20% - Accent6 6 2 2" xfId="1076" xr:uid="{00000000-0005-0000-0000-000032040000}"/>
    <cellStyle name="20% - Accent6 6 2 2 2" xfId="1077" xr:uid="{00000000-0005-0000-0000-000033040000}"/>
    <cellStyle name="20% - Accent6 6 2 3" xfId="1078" xr:uid="{00000000-0005-0000-0000-000034040000}"/>
    <cellStyle name="20% - Accent6 6 3" xfId="1079" xr:uid="{00000000-0005-0000-0000-000035040000}"/>
    <cellStyle name="20% - Accent6 6 3 2" xfId="1080" xr:uid="{00000000-0005-0000-0000-000036040000}"/>
    <cellStyle name="20% - Accent6 6 4" xfId="1081" xr:uid="{00000000-0005-0000-0000-000037040000}"/>
    <cellStyle name="20% - Accent6 7" xfId="1082" xr:uid="{00000000-0005-0000-0000-000038040000}"/>
    <cellStyle name="20% - Accent6 7 2" xfId="1083" xr:uid="{00000000-0005-0000-0000-000039040000}"/>
    <cellStyle name="20% - Accent6 7 2 2" xfId="1084" xr:uid="{00000000-0005-0000-0000-00003A040000}"/>
    <cellStyle name="20% - Accent6 7 2 2 2" xfId="1085" xr:uid="{00000000-0005-0000-0000-00003B040000}"/>
    <cellStyle name="20% - Accent6 7 2 3" xfId="1086" xr:uid="{00000000-0005-0000-0000-00003C040000}"/>
    <cellStyle name="20% - Accent6 7 3" xfId="1087" xr:uid="{00000000-0005-0000-0000-00003D040000}"/>
    <cellStyle name="20% - Accent6 7 3 2" xfId="1088" xr:uid="{00000000-0005-0000-0000-00003E040000}"/>
    <cellStyle name="20% - Accent6 7 4" xfId="1089" xr:uid="{00000000-0005-0000-0000-00003F040000}"/>
    <cellStyle name="20% - Accent6 8" xfId="1090" xr:uid="{00000000-0005-0000-0000-000040040000}"/>
    <cellStyle name="20% - Accent6 8 2" xfId="1091" xr:uid="{00000000-0005-0000-0000-000041040000}"/>
    <cellStyle name="20% - Accent6 8 2 2" xfId="1092" xr:uid="{00000000-0005-0000-0000-000042040000}"/>
    <cellStyle name="20% - Accent6 8 2 2 2" xfId="1093" xr:uid="{00000000-0005-0000-0000-000043040000}"/>
    <cellStyle name="20% - Accent6 8 2 3" xfId="1094" xr:uid="{00000000-0005-0000-0000-000044040000}"/>
    <cellStyle name="20% - Accent6 8 3" xfId="1095" xr:uid="{00000000-0005-0000-0000-000045040000}"/>
    <cellStyle name="20% - Accent6 8 3 2" xfId="1096" xr:uid="{00000000-0005-0000-0000-000046040000}"/>
    <cellStyle name="20% - Accent6 8 4" xfId="1097" xr:uid="{00000000-0005-0000-0000-000047040000}"/>
    <cellStyle name="20% - Accent6 9" xfId="1098" xr:uid="{00000000-0005-0000-0000-000048040000}"/>
    <cellStyle name="20% - Accent6 9 2" xfId="1099" xr:uid="{00000000-0005-0000-0000-000049040000}"/>
    <cellStyle name="20% - Accent6 9 2 2" xfId="1100" xr:uid="{00000000-0005-0000-0000-00004A040000}"/>
    <cellStyle name="20% - Accent6 9 2 2 2" xfId="1101" xr:uid="{00000000-0005-0000-0000-00004B040000}"/>
    <cellStyle name="20% - Accent6 9 2 3" xfId="1102" xr:uid="{00000000-0005-0000-0000-00004C040000}"/>
    <cellStyle name="20% - Accent6 9 3" xfId="1103" xr:uid="{00000000-0005-0000-0000-00004D040000}"/>
    <cellStyle name="20% - Accent6 9 3 2" xfId="1104" xr:uid="{00000000-0005-0000-0000-00004E040000}"/>
    <cellStyle name="20% - Accent6 9 4" xfId="1105" xr:uid="{00000000-0005-0000-0000-00004F040000}"/>
    <cellStyle name="40% - Accent1 10" xfId="1106" xr:uid="{00000000-0005-0000-0000-000050040000}"/>
    <cellStyle name="40% - Accent1 10 2" xfId="1107" xr:uid="{00000000-0005-0000-0000-000051040000}"/>
    <cellStyle name="40% - Accent1 10 2 2" xfId="1108" xr:uid="{00000000-0005-0000-0000-000052040000}"/>
    <cellStyle name="40% - Accent1 10 2 2 2" xfId="1109" xr:uid="{00000000-0005-0000-0000-000053040000}"/>
    <cellStyle name="40% - Accent1 10 2 3" xfId="1110" xr:uid="{00000000-0005-0000-0000-000054040000}"/>
    <cellStyle name="40% - Accent1 10 3" xfId="1111" xr:uid="{00000000-0005-0000-0000-000055040000}"/>
    <cellStyle name="40% - Accent1 10 3 2" xfId="1112" xr:uid="{00000000-0005-0000-0000-000056040000}"/>
    <cellStyle name="40% - Accent1 10 4" xfId="1113" xr:uid="{00000000-0005-0000-0000-000057040000}"/>
    <cellStyle name="40% - Accent1 11" xfId="1114" xr:uid="{00000000-0005-0000-0000-000058040000}"/>
    <cellStyle name="40% - Accent1 11 2" xfId="1115" xr:uid="{00000000-0005-0000-0000-000059040000}"/>
    <cellStyle name="40% - Accent1 11 2 2" xfId="1116" xr:uid="{00000000-0005-0000-0000-00005A040000}"/>
    <cellStyle name="40% - Accent1 11 2 2 2" xfId="1117" xr:uid="{00000000-0005-0000-0000-00005B040000}"/>
    <cellStyle name="40% - Accent1 11 2 3" xfId="1118" xr:uid="{00000000-0005-0000-0000-00005C040000}"/>
    <cellStyle name="40% - Accent1 11 3" xfId="1119" xr:uid="{00000000-0005-0000-0000-00005D040000}"/>
    <cellStyle name="40% - Accent1 11 3 2" xfId="1120" xr:uid="{00000000-0005-0000-0000-00005E040000}"/>
    <cellStyle name="40% - Accent1 11 4" xfId="1121" xr:uid="{00000000-0005-0000-0000-00005F040000}"/>
    <cellStyle name="40% - Accent1 12" xfId="1122" xr:uid="{00000000-0005-0000-0000-000060040000}"/>
    <cellStyle name="40% - Accent1 12 2" xfId="1123" xr:uid="{00000000-0005-0000-0000-000061040000}"/>
    <cellStyle name="40% - Accent1 12 2 2" xfId="1124" xr:uid="{00000000-0005-0000-0000-000062040000}"/>
    <cellStyle name="40% - Accent1 12 2 2 2" xfId="1125" xr:uid="{00000000-0005-0000-0000-000063040000}"/>
    <cellStyle name="40% - Accent1 12 2 3" xfId="1126" xr:uid="{00000000-0005-0000-0000-000064040000}"/>
    <cellStyle name="40% - Accent1 12 3" xfId="1127" xr:uid="{00000000-0005-0000-0000-000065040000}"/>
    <cellStyle name="40% - Accent1 12 3 2" xfId="1128" xr:uid="{00000000-0005-0000-0000-000066040000}"/>
    <cellStyle name="40% - Accent1 12 4" xfId="1129" xr:uid="{00000000-0005-0000-0000-000067040000}"/>
    <cellStyle name="40% - Accent1 13" xfId="1130" xr:uid="{00000000-0005-0000-0000-000068040000}"/>
    <cellStyle name="40% - Accent1 13 2" xfId="1131" xr:uid="{00000000-0005-0000-0000-000069040000}"/>
    <cellStyle name="40% - Accent1 13 2 2" xfId="1132" xr:uid="{00000000-0005-0000-0000-00006A040000}"/>
    <cellStyle name="40% - Accent1 13 2 2 2" xfId="1133" xr:uid="{00000000-0005-0000-0000-00006B040000}"/>
    <cellStyle name="40% - Accent1 13 2 3" xfId="1134" xr:uid="{00000000-0005-0000-0000-00006C040000}"/>
    <cellStyle name="40% - Accent1 13 3" xfId="1135" xr:uid="{00000000-0005-0000-0000-00006D040000}"/>
    <cellStyle name="40% - Accent1 13 3 2" xfId="1136" xr:uid="{00000000-0005-0000-0000-00006E040000}"/>
    <cellStyle name="40% - Accent1 13 4" xfId="1137" xr:uid="{00000000-0005-0000-0000-00006F040000}"/>
    <cellStyle name="40% - Accent1 14" xfId="1138" xr:uid="{00000000-0005-0000-0000-000070040000}"/>
    <cellStyle name="40% - Accent1 14 2" xfId="1139" xr:uid="{00000000-0005-0000-0000-000071040000}"/>
    <cellStyle name="40% - Accent1 14 2 2" xfId="1140" xr:uid="{00000000-0005-0000-0000-000072040000}"/>
    <cellStyle name="40% - Accent1 14 2 2 2" xfId="1141" xr:uid="{00000000-0005-0000-0000-000073040000}"/>
    <cellStyle name="40% - Accent1 14 2 3" xfId="1142" xr:uid="{00000000-0005-0000-0000-000074040000}"/>
    <cellStyle name="40% - Accent1 14 3" xfId="1143" xr:uid="{00000000-0005-0000-0000-000075040000}"/>
    <cellStyle name="40% - Accent1 14 3 2" xfId="1144" xr:uid="{00000000-0005-0000-0000-000076040000}"/>
    <cellStyle name="40% - Accent1 14 4" xfId="1145" xr:uid="{00000000-0005-0000-0000-000077040000}"/>
    <cellStyle name="40% - Accent1 15" xfId="1146" xr:uid="{00000000-0005-0000-0000-000078040000}"/>
    <cellStyle name="40% - Accent1 15 2" xfId="1147" xr:uid="{00000000-0005-0000-0000-000079040000}"/>
    <cellStyle name="40% - Accent1 15 2 2" xfId="1148" xr:uid="{00000000-0005-0000-0000-00007A040000}"/>
    <cellStyle name="40% - Accent1 15 2 2 2" xfId="1149" xr:uid="{00000000-0005-0000-0000-00007B040000}"/>
    <cellStyle name="40% - Accent1 15 2 3" xfId="1150" xr:uid="{00000000-0005-0000-0000-00007C040000}"/>
    <cellStyle name="40% - Accent1 15 3" xfId="1151" xr:uid="{00000000-0005-0000-0000-00007D040000}"/>
    <cellStyle name="40% - Accent1 15 3 2" xfId="1152" xr:uid="{00000000-0005-0000-0000-00007E040000}"/>
    <cellStyle name="40% - Accent1 15 4" xfId="1153" xr:uid="{00000000-0005-0000-0000-00007F040000}"/>
    <cellStyle name="40% - Accent1 16" xfId="1154" xr:uid="{00000000-0005-0000-0000-000080040000}"/>
    <cellStyle name="40% - Accent1 16 2" xfId="1155" xr:uid="{00000000-0005-0000-0000-000081040000}"/>
    <cellStyle name="40% - Accent1 16 2 2" xfId="1156" xr:uid="{00000000-0005-0000-0000-000082040000}"/>
    <cellStyle name="40% - Accent1 16 2 2 2" xfId="1157" xr:uid="{00000000-0005-0000-0000-000083040000}"/>
    <cellStyle name="40% - Accent1 16 2 3" xfId="1158" xr:uid="{00000000-0005-0000-0000-000084040000}"/>
    <cellStyle name="40% - Accent1 16 3" xfId="1159" xr:uid="{00000000-0005-0000-0000-000085040000}"/>
    <cellStyle name="40% - Accent1 16 3 2" xfId="1160" xr:uid="{00000000-0005-0000-0000-000086040000}"/>
    <cellStyle name="40% - Accent1 16 4" xfId="1161" xr:uid="{00000000-0005-0000-0000-000087040000}"/>
    <cellStyle name="40% - Accent1 17" xfId="1162" xr:uid="{00000000-0005-0000-0000-000088040000}"/>
    <cellStyle name="40% - Accent1 17 2" xfId="1163" xr:uid="{00000000-0005-0000-0000-000089040000}"/>
    <cellStyle name="40% - Accent1 17 2 2" xfId="1164" xr:uid="{00000000-0005-0000-0000-00008A040000}"/>
    <cellStyle name="40% - Accent1 17 2 2 2" xfId="1165" xr:uid="{00000000-0005-0000-0000-00008B040000}"/>
    <cellStyle name="40% - Accent1 17 2 3" xfId="1166" xr:uid="{00000000-0005-0000-0000-00008C040000}"/>
    <cellStyle name="40% - Accent1 17 3" xfId="1167" xr:uid="{00000000-0005-0000-0000-00008D040000}"/>
    <cellStyle name="40% - Accent1 17 3 2" xfId="1168" xr:uid="{00000000-0005-0000-0000-00008E040000}"/>
    <cellStyle name="40% - Accent1 17 4" xfId="1169" xr:uid="{00000000-0005-0000-0000-00008F040000}"/>
    <cellStyle name="40% - Accent1 18" xfId="1170" xr:uid="{00000000-0005-0000-0000-000090040000}"/>
    <cellStyle name="40% - Accent1 18 2" xfId="1171" xr:uid="{00000000-0005-0000-0000-000091040000}"/>
    <cellStyle name="40% - Accent1 18 2 2" xfId="1172" xr:uid="{00000000-0005-0000-0000-000092040000}"/>
    <cellStyle name="40% - Accent1 18 2 2 2" xfId="1173" xr:uid="{00000000-0005-0000-0000-000093040000}"/>
    <cellStyle name="40% - Accent1 18 2 3" xfId="1174" xr:uid="{00000000-0005-0000-0000-000094040000}"/>
    <cellStyle name="40% - Accent1 18 3" xfId="1175" xr:uid="{00000000-0005-0000-0000-000095040000}"/>
    <cellStyle name="40% - Accent1 18 3 2" xfId="1176" xr:uid="{00000000-0005-0000-0000-000096040000}"/>
    <cellStyle name="40% - Accent1 18 4" xfId="1177" xr:uid="{00000000-0005-0000-0000-000097040000}"/>
    <cellStyle name="40% - Accent1 19" xfId="1178" xr:uid="{00000000-0005-0000-0000-000098040000}"/>
    <cellStyle name="40% - Accent1 19 2" xfId="1179" xr:uid="{00000000-0005-0000-0000-000099040000}"/>
    <cellStyle name="40% - Accent1 19 2 2" xfId="1180" xr:uid="{00000000-0005-0000-0000-00009A040000}"/>
    <cellStyle name="40% - Accent1 19 2 2 2" xfId="1181" xr:uid="{00000000-0005-0000-0000-00009B040000}"/>
    <cellStyle name="40% - Accent1 19 2 3" xfId="1182" xr:uid="{00000000-0005-0000-0000-00009C040000}"/>
    <cellStyle name="40% - Accent1 19 3" xfId="1183" xr:uid="{00000000-0005-0000-0000-00009D040000}"/>
    <cellStyle name="40% - Accent1 19 3 2" xfId="1184" xr:uid="{00000000-0005-0000-0000-00009E040000}"/>
    <cellStyle name="40% - Accent1 19 4" xfId="1185" xr:uid="{00000000-0005-0000-0000-00009F040000}"/>
    <cellStyle name="40% - Accent1 2" xfId="1186" xr:uid="{00000000-0005-0000-0000-0000A0040000}"/>
    <cellStyle name="40% - Accent1 2 2" xfId="1187" xr:uid="{00000000-0005-0000-0000-0000A1040000}"/>
    <cellStyle name="40% - Accent1 2 2 2" xfId="1188" xr:uid="{00000000-0005-0000-0000-0000A2040000}"/>
    <cellStyle name="40% - Accent1 2 2 2 2" xfId="1189" xr:uid="{00000000-0005-0000-0000-0000A3040000}"/>
    <cellStyle name="40% - Accent1 2 2 3" xfId="1190" xr:uid="{00000000-0005-0000-0000-0000A4040000}"/>
    <cellStyle name="40% - Accent1 2 3" xfId="1191" xr:uid="{00000000-0005-0000-0000-0000A5040000}"/>
    <cellStyle name="40% - Accent1 2 3 2" xfId="1192" xr:uid="{00000000-0005-0000-0000-0000A6040000}"/>
    <cellStyle name="40% - Accent1 2 4" xfId="1193" xr:uid="{00000000-0005-0000-0000-0000A7040000}"/>
    <cellStyle name="40% - Accent1 20" xfId="1194" xr:uid="{00000000-0005-0000-0000-0000A8040000}"/>
    <cellStyle name="40% - Accent1 20 2" xfId="1195" xr:uid="{00000000-0005-0000-0000-0000A9040000}"/>
    <cellStyle name="40% - Accent1 20 2 2" xfId="1196" xr:uid="{00000000-0005-0000-0000-0000AA040000}"/>
    <cellStyle name="40% - Accent1 20 2 2 2" xfId="1197" xr:uid="{00000000-0005-0000-0000-0000AB040000}"/>
    <cellStyle name="40% - Accent1 20 2 3" xfId="1198" xr:uid="{00000000-0005-0000-0000-0000AC040000}"/>
    <cellStyle name="40% - Accent1 20 3" xfId="1199" xr:uid="{00000000-0005-0000-0000-0000AD040000}"/>
    <cellStyle name="40% - Accent1 20 3 2" xfId="1200" xr:uid="{00000000-0005-0000-0000-0000AE040000}"/>
    <cellStyle name="40% - Accent1 20 4" xfId="1201" xr:uid="{00000000-0005-0000-0000-0000AF040000}"/>
    <cellStyle name="40% - Accent1 21" xfId="1202" xr:uid="{00000000-0005-0000-0000-0000B0040000}"/>
    <cellStyle name="40% - Accent1 21 2" xfId="1203" xr:uid="{00000000-0005-0000-0000-0000B1040000}"/>
    <cellStyle name="40% - Accent1 21 2 2" xfId="1204" xr:uid="{00000000-0005-0000-0000-0000B2040000}"/>
    <cellStyle name="40% - Accent1 21 2 2 2" xfId="1205" xr:uid="{00000000-0005-0000-0000-0000B3040000}"/>
    <cellStyle name="40% - Accent1 21 2 3" xfId="1206" xr:uid="{00000000-0005-0000-0000-0000B4040000}"/>
    <cellStyle name="40% - Accent1 21 3" xfId="1207" xr:uid="{00000000-0005-0000-0000-0000B5040000}"/>
    <cellStyle name="40% - Accent1 21 3 2" xfId="1208" xr:uid="{00000000-0005-0000-0000-0000B6040000}"/>
    <cellStyle name="40% - Accent1 21 4" xfId="1209" xr:uid="{00000000-0005-0000-0000-0000B7040000}"/>
    <cellStyle name="40% - Accent1 22" xfId="1210" xr:uid="{00000000-0005-0000-0000-0000B8040000}"/>
    <cellStyle name="40% - Accent1 22 2" xfId="1211" xr:uid="{00000000-0005-0000-0000-0000B9040000}"/>
    <cellStyle name="40% - Accent1 22 2 2" xfId="1212" xr:uid="{00000000-0005-0000-0000-0000BA040000}"/>
    <cellStyle name="40% - Accent1 22 2 2 2" xfId="1213" xr:uid="{00000000-0005-0000-0000-0000BB040000}"/>
    <cellStyle name="40% - Accent1 22 2 3" xfId="1214" xr:uid="{00000000-0005-0000-0000-0000BC040000}"/>
    <cellStyle name="40% - Accent1 22 3" xfId="1215" xr:uid="{00000000-0005-0000-0000-0000BD040000}"/>
    <cellStyle name="40% - Accent1 22 3 2" xfId="1216" xr:uid="{00000000-0005-0000-0000-0000BE040000}"/>
    <cellStyle name="40% - Accent1 22 4" xfId="1217" xr:uid="{00000000-0005-0000-0000-0000BF040000}"/>
    <cellStyle name="40% - Accent1 23" xfId="1218" xr:uid="{00000000-0005-0000-0000-0000C0040000}"/>
    <cellStyle name="40% - Accent1 23 2" xfId="1219" xr:uid="{00000000-0005-0000-0000-0000C1040000}"/>
    <cellStyle name="40% - Accent1 23 2 2" xfId="1220" xr:uid="{00000000-0005-0000-0000-0000C2040000}"/>
    <cellStyle name="40% - Accent1 23 2 2 2" xfId="1221" xr:uid="{00000000-0005-0000-0000-0000C3040000}"/>
    <cellStyle name="40% - Accent1 23 2 3" xfId="1222" xr:uid="{00000000-0005-0000-0000-0000C4040000}"/>
    <cellStyle name="40% - Accent1 23 3" xfId="1223" xr:uid="{00000000-0005-0000-0000-0000C5040000}"/>
    <cellStyle name="40% - Accent1 23 3 2" xfId="1224" xr:uid="{00000000-0005-0000-0000-0000C6040000}"/>
    <cellStyle name="40% - Accent1 23 4" xfId="1225" xr:uid="{00000000-0005-0000-0000-0000C7040000}"/>
    <cellStyle name="40% - Accent1 24" xfId="1226" xr:uid="{00000000-0005-0000-0000-0000C8040000}"/>
    <cellStyle name="40% - Accent1 24 2" xfId="1227" xr:uid="{00000000-0005-0000-0000-0000C9040000}"/>
    <cellStyle name="40% - Accent1 24 2 2" xfId="1228" xr:uid="{00000000-0005-0000-0000-0000CA040000}"/>
    <cellStyle name="40% - Accent1 24 3" xfId="1229" xr:uid="{00000000-0005-0000-0000-0000CB040000}"/>
    <cellStyle name="40% - Accent1 25" xfId="1230" xr:uid="{00000000-0005-0000-0000-0000CC040000}"/>
    <cellStyle name="40% - Accent1 25 2" xfId="1231" xr:uid="{00000000-0005-0000-0000-0000CD040000}"/>
    <cellStyle name="40% - Accent1 26" xfId="1232" xr:uid="{00000000-0005-0000-0000-0000CE040000}"/>
    <cellStyle name="40% - Accent1 3" xfId="1233" xr:uid="{00000000-0005-0000-0000-0000CF040000}"/>
    <cellStyle name="40% - Accent1 3 2" xfId="1234" xr:uid="{00000000-0005-0000-0000-0000D0040000}"/>
    <cellStyle name="40% - Accent1 3 2 2" xfId="1235" xr:uid="{00000000-0005-0000-0000-0000D1040000}"/>
    <cellStyle name="40% - Accent1 3 2 2 2" xfId="1236" xr:uid="{00000000-0005-0000-0000-0000D2040000}"/>
    <cellStyle name="40% - Accent1 3 2 3" xfId="1237" xr:uid="{00000000-0005-0000-0000-0000D3040000}"/>
    <cellStyle name="40% - Accent1 3 3" xfId="1238" xr:uid="{00000000-0005-0000-0000-0000D4040000}"/>
    <cellStyle name="40% - Accent1 3 3 2" xfId="1239" xr:uid="{00000000-0005-0000-0000-0000D5040000}"/>
    <cellStyle name="40% - Accent1 3 4" xfId="1240" xr:uid="{00000000-0005-0000-0000-0000D6040000}"/>
    <cellStyle name="40% - Accent1 4" xfId="1241" xr:uid="{00000000-0005-0000-0000-0000D7040000}"/>
    <cellStyle name="40% - Accent1 4 2" xfId="1242" xr:uid="{00000000-0005-0000-0000-0000D8040000}"/>
    <cellStyle name="40% - Accent1 4 2 2" xfId="1243" xr:uid="{00000000-0005-0000-0000-0000D9040000}"/>
    <cellStyle name="40% - Accent1 4 2 2 2" xfId="1244" xr:uid="{00000000-0005-0000-0000-0000DA040000}"/>
    <cellStyle name="40% - Accent1 4 2 3" xfId="1245" xr:uid="{00000000-0005-0000-0000-0000DB040000}"/>
    <cellStyle name="40% - Accent1 4 3" xfId="1246" xr:uid="{00000000-0005-0000-0000-0000DC040000}"/>
    <cellStyle name="40% - Accent1 4 3 2" xfId="1247" xr:uid="{00000000-0005-0000-0000-0000DD040000}"/>
    <cellStyle name="40% - Accent1 4 4" xfId="1248" xr:uid="{00000000-0005-0000-0000-0000DE040000}"/>
    <cellStyle name="40% - Accent1 5" xfId="1249" xr:uid="{00000000-0005-0000-0000-0000DF040000}"/>
    <cellStyle name="40% - Accent1 5 2" xfId="1250" xr:uid="{00000000-0005-0000-0000-0000E0040000}"/>
    <cellStyle name="40% - Accent1 5 2 2" xfId="1251" xr:uid="{00000000-0005-0000-0000-0000E1040000}"/>
    <cellStyle name="40% - Accent1 5 2 2 2" xfId="1252" xr:uid="{00000000-0005-0000-0000-0000E2040000}"/>
    <cellStyle name="40% - Accent1 5 2 3" xfId="1253" xr:uid="{00000000-0005-0000-0000-0000E3040000}"/>
    <cellStyle name="40% - Accent1 5 3" xfId="1254" xr:uid="{00000000-0005-0000-0000-0000E4040000}"/>
    <cellStyle name="40% - Accent1 5 3 2" xfId="1255" xr:uid="{00000000-0005-0000-0000-0000E5040000}"/>
    <cellStyle name="40% - Accent1 5 4" xfId="1256" xr:uid="{00000000-0005-0000-0000-0000E6040000}"/>
    <cellStyle name="40% - Accent1 6" xfId="1257" xr:uid="{00000000-0005-0000-0000-0000E7040000}"/>
    <cellStyle name="40% - Accent1 6 2" xfId="1258" xr:uid="{00000000-0005-0000-0000-0000E8040000}"/>
    <cellStyle name="40% - Accent1 6 2 2" xfId="1259" xr:uid="{00000000-0005-0000-0000-0000E9040000}"/>
    <cellStyle name="40% - Accent1 6 2 2 2" xfId="1260" xr:uid="{00000000-0005-0000-0000-0000EA040000}"/>
    <cellStyle name="40% - Accent1 6 2 3" xfId="1261" xr:uid="{00000000-0005-0000-0000-0000EB040000}"/>
    <cellStyle name="40% - Accent1 6 3" xfId="1262" xr:uid="{00000000-0005-0000-0000-0000EC040000}"/>
    <cellStyle name="40% - Accent1 6 3 2" xfId="1263" xr:uid="{00000000-0005-0000-0000-0000ED040000}"/>
    <cellStyle name="40% - Accent1 6 4" xfId="1264" xr:uid="{00000000-0005-0000-0000-0000EE040000}"/>
    <cellStyle name="40% - Accent1 7" xfId="1265" xr:uid="{00000000-0005-0000-0000-0000EF040000}"/>
    <cellStyle name="40% - Accent1 7 2" xfId="1266" xr:uid="{00000000-0005-0000-0000-0000F0040000}"/>
    <cellStyle name="40% - Accent1 7 2 2" xfId="1267" xr:uid="{00000000-0005-0000-0000-0000F1040000}"/>
    <cellStyle name="40% - Accent1 7 2 2 2" xfId="1268" xr:uid="{00000000-0005-0000-0000-0000F2040000}"/>
    <cellStyle name="40% - Accent1 7 2 3" xfId="1269" xr:uid="{00000000-0005-0000-0000-0000F3040000}"/>
    <cellStyle name="40% - Accent1 7 3" xfId="1270" xr:uid="{00000000-0005-0000-0000-0000F4040000}"/>
    <cellStyle name="40% - Accent1 7 3 2" xfId="1271" xr:uid="{00000000-0005-0000-0000-0000F5040000}"/>
    <cellStyle name="40% - Accent1 7 4" xfId="1272" xr:uid="{00000000-0005-0000-0000-0000F6040000}"/>
    <cellStyle name="40% - Accent1 8" xfId="1273" xr:uid="{00000000-0005-0000-0000-0000F7040000}"/>
    <cellStyle name="40% - Accent1 8 2" xfId="1274" xr:uid="{00000000-0005-0000-0000-0000F8040000}"/>
    <cellStyle name="40% - Accent1 8 2 2" xfId="1275" xr:uid="{00000000-0005-0000-0000-0000F9040000}"/>
    <cellStyle name="40% - Accent1 8 2 2 2" xfId="1276" xr:uid="{00000000-0005-0000-0000-0000FA040000}"/>
    <cellStyle name="40% - Accent1 8 2 3" xfId="1277" xr:uid="{00000000-0005-0000-0000-0000FB040000}"/>
    <cellStyle name="40% - Accent1 8 3" xfId="1278" xr:uid="{00000000-0005-0000-0000-0000FC040000}"/>
    <cellStyle name="40% - Accent1 8 3 2" xfId="1279" xr:uid="{00000000-0005-0000-0000-0000FD040000}"/>
    <cellStyle name="40% - Accent1 8 4" xfId="1280" xr:uid="{00000000-0005-0000-0000-0000FE040000}"/>
    <cellStyle name="40% - Accent1 9" xfId="1281" xr:uid="{00000000-0005-0000-0000-0000FF040000}"/>
    <cellStyle name="40% - Accent1 9 2" xfId="1282" xr:uid="{00000000-0005-0000-0000-000000050000}"/>
    <cellStyle name="40% - Accent1 9 2 2" xfId="1283" xr:uid="{00000000-0005-0000-0000-000001050000}"/>
    <cellStyle name="40% - Accent1 9 2 2 2" xfId="1284" xr:uid="{00000000-0005-0000-0000-000002050000}"/>
    <cellStyle name="40% - Accent1 9 2 3" xfId="1285" xr:uid="{00000000-0005-0000-0000-000003050000}"/>
    <cellStyle name="40% - Accent1 9 3" xfId="1286" xr:uid="{00000000-0005-0000-0000-000004050000}"/>
    <cellStyle name="40% - Accent1 9 3 2" xfId="1287" xr:uid="{00000000-0005-0000-0000-000005050000}"/>
    <cellStyle name="40% - Accent1 9 4" xfId="1288" xr:uid="{00000000-0005-0000-0000-000006050000}"/>
    <cellStyle name="40% - Accent2 10" xfId="1289" xr:uid="{00000000-0005-0000-0000-000007050000}"/>
    <cellStyle name="40% - Accent2 10 2" xfId="1290" xr:uid="{00000000-0005-0000-0000-000008050000}"/>
    <cellStyle name="40% - Accent2 10 2 2" xfId="1291" xr:uid="{00000000-0005-0000-0000-000009050000}"/>
    <cellStyle name="40% - Accent2 10 2 2 2" xfId="1292" xr:uid="{00000000-0005-0000-0000-00000A050000}"/>
    <cellStyle name="40% - Accent2 10 2 3" xfId="1293" xr:uid="{00000000-0005-0000-0000-00000B050000}"/>
    <cellStyle name="40% - Accent2 10 3" xfId="1294" xr:uid="{00000000-0005-0000-0000-00000C050000}"/>
    <cellStyle name="40% - Accent2 10 3 2" xfId="1295" xr:uid="{00000000-0005-0000-0000-00000D050000}"/>
    <cellStyle name="40% - Accent2 10 4" xfId="1296" xr:uid="{00000000-0005-0000-0000-00000E050000}"/>
    <cellStyle name="40% - Accent2 11" xfId="1297" xr:uid="{00000000-0005-0000-0000-00000F050000}"/>
    <cellStyle name="40% - Accent2 11 2" xfId="1298" xr:uid="{00000000-0005-0000-0000-000010050000}"/>
    <cellStyle name="40% - Accent2 11 2 2" xfId="1299" xr:uid="{00000000-0005-0000-0000-000011050000}"/>
    <cellStyle name="40% - Accent2 11 2 2 2" xfId="1300" xr:uid="{00000000-0005-0000-0000-000012050000}"/>
    <cellStyle name="40% - Accent2 11 2 3" xfId="1301" xr:uid="{00000000-0005-0000-0000-000013050000}"/>
    <cellStyle name="40% - Accent2 11 3" xfId="1302" xr:uid="{00000000-0005-0000-0000-000014050000}"/>
    <cellStyle name="40% - Accent2 11 3 2" xfId="1303" xr:uid="{00000000-0005-0000-0000-000015050000}"/>
    <cellStyle name="40% - Accent2 11 4" xfId="1304" xr:uid="{00000000-0005-0000-0000-000016050000}"/>
    <cellStyle name="40% - Accent2 12" xfId="1305" xr:uid="{00000000-0005-0000-0000-000017050000}"/>
    <cellStyle name="40% - Accent2 12 2" xfId="1306" xr:uid="{00000000-0005-0000-0000-000018050000}"/>
    <cellStyle name="40% - Accent2 12 2 2" xfId="1307" xr:uid="{00000000-0005-0000-0000-000019050000}"/>
    <cellStyle name="40% - Accent2 12 2 2 2" xfId="1308" xr:uid="{00000000-0005-0000-0000-00001A050000}"/>
    <cellStyle name="40% - Accent2 12 2 3" xfId="1309" xr:uid="{00000000-0005-0000-0000-00001B050000}"/>
    <cellStyle name="40% - Accent2 12 3" xfId="1310" xr:uid="{00000000-0005-0000-0000-00001C050000}"/>
    <cellStyle name="40% - Accent2 12 3 2" xfId="1311" xr:uid="{00000000-0005-0000-0000-00001D050000}"/>
    <cellStyle name="40% - Accent2 12 4" xfId="1312" xr:uid="{00000000-0005-0000-0000-00001E050000}"/>
    <cellStyle name="40% - Accent2 13" xfId="1313" xr:uid="{00000000-0005-0000-0000-00001F050000}"/>
    <cellStyle name="40% - Accent2 13 2" xfId="1314" xr:uid="{00000000-0005-0000-0000-000020050000}"/>
    <cellStyle name="40% - Accent2 13 2 2" xfId="1315" xr:uid="{00000000-0005-0000-0000-000021050000}"/>
    <cellStyle name="40% - Accent2 13 2 2 2" xfId="1316" xr:uid="{00000000-0005-0000-0000-000022050000}"/>
    <cellStyle name="40% - Accent2 13 2 3" xfId="1317" xr:uid="{00000000-0005-0000-0000-000023050000}"/>
    <cellStyle name="40% - Accent2 13 3" xfId="1318" xr:uid="{00000000-0005-0000-0000-000024050000}"/>
    <cellStyle name="40% - Accent2 13 3 2" xfId="1319" xr:uid="{00000000-0005-0000-0000-000025050000}"/>
    <cellStyle name="40% - Accent2 13 4" xfId="1320" xr:uid="{00000000-0005-0000-0000-000026050000}"/>
    <cellStyle name="40% - Accent2 14" xfId="1321" xr:uid="{00000000-0005-0000-0000-000027050000}"/>
    <cellStyle name="40% - Accent2 14 2" xfId="1322" xr:uid="{00000000-0005-0000-0000-000028050000}"/>
    <cellStyle name="40% - Accent2 14 2 2" xfId="1323" xr:uid="{00000000-0005-0000-0000-000029050000}"/>
    <cellStyle name="40% - Accent2 14 2 2 2" xfId="1324" xr:uid="{00000000-0005-0000-0000-00002A050000}"/>
    <cellStyle name="40% - Accent2 14 2 3" xfId="1325" xr:uid="{00000000-0005-0000-0000-00002B050000}"/>
    <cellStyle name="40% - Accent2 14 3" xfId="1326" xr:uid="{00000000-0005-0000-0000-00002C050000}"/>
    <cellStyle name="40% - Accent2 14 3 2" xfId="1327" xr:uid="{00000000-0005-0000-0000-00002D050000}"/>
    <cellStyle name="40% - Accent2 14 4" xfId="1328" xr:uid="{00000000-0005-0000-0000-00002E050000}"/>
    <cellStyle name="40% - Accent2 15" xfId="1329" xr:uid="{00000000-0005-0000-0000-00002F050000}"/>
    <cellStyle name="40% - Accent2 15 2" xfId="1330" xr:uid="{00000000-0005-0000-0000-000030050000}"/>
    <cellStyle name="40% - Accent2 15 2 2" xfId="1331" xr:uid="{00000000-0005-0000-0000-000031050000}"/>
    <cellStyle name="40% - Accent2 15 2 2 2" xfId="1332" xr:uid="{00000000-0005-0000-0000-000032050000}"/>
    <cellStyle name="40% - Accent2 15 2 3" xfId="1333" xr:uid="{00000000-0005-0000-0000-000033050000}"/>
    <cellStyle name="40% - Accent2 15 3" xfId="1334" xr:uid="{00000000-0005-0000-0000-000034050000}"/>
    <cellStyle name="40% - Accent2 15 3 2" xfId="1335" xr:uid="{00000000-0005-0000-0000-000035050000}"/>
    <cellStyle name="40% - Accent2 15 4" xfId="1336" xr:uid="{00000000-0005-0000-0000-000036050000}"/>
    <cellStyle name="40% - Accent2 16" xfId="1337" xr:uid="{00000000-0005-0000-0000-000037050000}"/>
    <cellStyle name="40% - Accent2 16 2" xfId="1338" xr:uid="{00000000-0005-0000-0000-000038050000}"/>
    <cellStyle name="40% - Accent2 16 2 2" xfId="1339" xr:uid="{00000000-0005-0000-0000-000039050000}"/>
    <cellStyle name="40% - Accent2 16 2 2 2" xfId="1340" xr:uid="{00000000-0005-0000-0000-00003A050000}"/>
    <cellStyle name="40% - Accent2 16 2 3" xfId="1341" xr:uid="{00000000-0005-0000-0000-00003B050000}"/>
    <cellStyle name="40% - Accent2 16 3" xfId="1342" xr:uid="{00000000-0005-0000-0000-00003C050000}"/>
    <cellStyle name="40% - Accent2 16 3 2" xfId="1343" xr:uid="{00000000-0005-0000-0000-00003D050000}"/>
    <cellStyle name="40% - Accent2 16 4" xfId="1344" xr:uid="{00000000-0005-0000-0000-00003E050000}"/>
    <cellStyle name="40% - Accent2 17" xfId="1345" xr:uid="{00000000-0005-0000-0000-00003F050000}"/>
    <cellStyle name="40% - Accent2 17 2" xfId="1346" xr:uid="{00000000-0005-0000-0000-000040050000}"/>
    <cellStyle name="40% - Accent2 17 2 2" xfId="1347" xr:uid="{00000000-0005-0000-0000-000041050000}"/>
    <cellStyle name="40% - Accent2 17 2 2 2" xfId="1348" xr:uid="{00000000-0005-0000-0000-000042050000}"/>
    <cellStyle name="40% - Accent2 17 2 3" xfId="1349" xr:uid="{00000000-0005-0000-0000-000043050000}"/>
    <cellStyle name="40% - Accent2 17 3" xfId="1350" xr:uid="{00000000-0005-0000-0000-000044050000}"/>
    <cellStyle name="40% - Accent2 17 3 2" xfId="1351" xr:uid="{00000000-0005-0000-0000-000045050000}"/>
    <cellStyle name="40% - Accent2 17 4" xfId="1352" xr:uid="{00000000-0005-0000-0000-000046050000}"/>
    <cellStyle name="40% - Accent2 18" xfId="1353" xr:uid="{00000000-0005-0000-0000-000047050000}"/>
    <cellStyle name="40% - Accent2 18 2" xfId="1354" xr:uid="{00000000-0005-0000-0000-000048050000}"/>
    <cellStyle name="40% - Accent2 18 2 2" xfId="1355" xr:uid="{00000000-0005-0000-0000-000049050000}"/>
    <cellStyle name="40% - Accent2 18 2 2 2" xfId="1356" xr:uid="{00000000-0005-0000-0000-00004A050000}"/>
    <cellStyle name="40% - Accent2 18 2 3" xfId="1357" xr:uid="{00000000-0005-0000-0000-00004B050000}"/>
    <cellStyle name="40% - Accent2 18 3" xfId="1358" xr:uid="{00000000-0005-0000-0000-00004C050000}"/>
    <cellStyle name="40% - Accent2 18 3 2" xfId="1359" xr:uid="{00000000-0005-0000-0000-00004D050000}"/>
    <cellStyle name="40% - Accent2 18 4" xfId="1360" xr:uid="{00000000-0005-0000-0000-00004E050000}"/>
    <cellStyle name="40% - Accent2 19" xfId="1361" xr:uid="{00000000-0005-0000-0000-00004F050000}"/>
    <cellStyle name="40% - Accent2 19 2" xfId="1362" xr:uid="{00000000-0005-0000-0000-000050050000}"/>
    <cellStyle name="40% - Accent2 19 2 2" xfId="1363" xr:uid="{00000000-0005-0000-0000-000051050000}"/>
    <cellStyle name="40% - Accent2 19 2 2 2" xfId="1364" xr:uid="{00000000-0005-0000-0000-000052050000}"/>
    <cellStyle name="40% - Accent2 19 2 3" xfId="1365" xr:uid="{00000000-0005-0000-0000-000053050000}"/>
    <cellStyle name="40% - Accent2 19 3" xfId="1366" xr:uid="{00000000-0005-0000-0000-000054050000}"/>
    <cellStyle name="40% - Accent2 19 3 2" xfId="1367" xr:uid="{00000000-0005-0000-0000-000055050000}"/>
    <cellStyle name="40% - Accent2 19 4" xfId="1368" xr:uid="{00000000-0005-0000-0000-000056050000}"/>
    <cellStyle name="40% - Accent2 2" xfId="1369" xr:uid="{00000000-0005-0000-0000-000057050000}"/>
    <cellStyle name="40% - Accent2 2 2" xfId="1370" xr:uid="{00000000-0005-0000-0000-000058050000}"/>
    <cellStyle name="40% - Accent2 2 2 2" xfId="1371" xr:uid="{00000000-0005-0000-0000-000059050000}"/>
    <cellStyle name="40% - Accent2 2 2 2 2" xfId="1372" xr:uid="{00000000-0005-0000-0000-00005A050000}"/>
    <cellStyle name="40% - Accent2 2 2 3" xfId="1373" xr:uid="{00000000-0005-0000-0000-00005B050000}"/>
    <cellStyle name="40% - Accent2 2 3" xfId="1374" xr:uid="{00000000-0005-0000-0000-00005C050000}"/>
    <cellStyle name="40% - Accent2 2 3 2" xfId="1375" xr:uid="{00000000-0005-0000-0000-00005D050000}"/>
    <cellStyle name="40% - Accent2 2 4" xfId="1376" xr:uid="{00000000-0005-0000-0000-00005E050000}"/>
    <cellStyle name="40% - Accent2 20" xfId="1377" xr:uid="{00000000-0005-0000-0000-00005F050000}"/>
    <cellStyle name="40% - Accent2 20 2" xfId="1378" xr:uid="{00000000-0005-0000-0000-000060050000}"/>
    <cellStyle name="40% - Accent2 20 2 2" xfId="1379" xr:uid="{00000000-0005-0000-0000-000061050000}"/>
    <cellStyle name="40% - Accent2 20 2 2 2" xfId="1380" xr:uid="{00000000-0005-0000-0000-000062050000}"/>
    <cellStyle name="40% - Accent2 20 2 3" xfId="1381" xr:uid="{00000000-0005-0000-0000-000063050000}"/>
    <cellStyle name="40% - Accent2 20 3" xfId="1382" xr:uid="{00000000-0005-0000-0000-000064050000}"/>
    <cellStyle name="40% - Accent2 20 3 2" xfId="1383" xr:uid="{00000000-0005-0000-0000-000065050000}"/>
    <cellStyle name="40% - Accent2 20 4" xfId="1384" xr:uid="{00000000-0005-0000-0000-000066050000}"/>
    <cellStyle name="40% - Accent2 21" xfId="1385" xr:uid="{00000000-0005-0000-0000-000067050000}"/>
    <cellStyle name="40% - Accent2 21 2" xfId="1386" xr:uid="{00000000-0005-0000-0000-000068050000}"/>
    <cellStyle name="40% - Accent2 21 2 2" xfId="1387" xr:uid="{00000000-0005-0000-0000-000069050000}"/>
    <cellStyle name="40% - Accent2 21 2 2 2" xfId="1388" xr:uid="{00000000-0005-0000-0000-00006A050000}"/>
    <cellStyle name="40% - Accent2 21 2 3" xfId="1389" xr:uid="{00000000-0005-0000-0000-00006B050000}"/>
    <cellStyle name="40% - Accent2 21 3" xfId="1390" xr:uid="{00000000-0005-0000-0000-00006C050000}"/>
    <cellStyle name="40% - Accent2 21 3 2" xfId="1391" xr:uid="{00000000-0005-0000-0000-00006D050000}"/>
    <cellStyle name="40% - Accent2 21 4" xfId="1392" xr:uid="{00000000-0005-0000-0000-00006E050000}"/>
    <cellStyle name="40% - Accent2 22" xfId="1393" xr:uid="{00000000-0005-0000-0000-00006F050000}"/>
    <cellStyle name="40% - Accent2 22 2" xfId="1394" xr:uid="{00000000-0005-0000-0000-000070050000}"/>
    <cellStyle name="40% - Accent2 22 2 2" xfId="1395" xr:uid="{00000000-0005-0000-0000-000071050000}"/>
    <cellStyle name="40% - Accent2 22 2 2 2" xfId="1396" xr:uid="{00000000-0005-0000-0000-000072050000}"/>
    <cellStyle name="40% - Accent2 22 2 3" xfId="1397" xr:uid="{00000000-0005-0000-0000-000073050000}"/>
    <cellStyle name="40% - Accent2 22 3" xfId="1398" xr:uid="{00000000-0005-0000-0000-000074050000}"/>
    <cellStyle name="40% - Accent2 22 3 2" xfId="1399" xr:uid="{00000000-0005-0000-0000-000075050000}"/>
    <cellStyle name="40% - Accent2 22 4" xfId="1400" xr:uid="{00000000-0005-0000-0000-000076050000}"/>
    <cellStyle name="40% - Accent2 23" xfId="1401" xr:uid="{00000000-0005-0000-0000-000077050000}"/>
    <cellStyle name="40% - Accent2 23 2" xfId="1402" xr:uid="{00000000-0005-0000-0000-000078050000}"/>
    <cellStyle name="40% - Accent2 23 2 2" xfId="1403" xr:uid="{00000000-0005-0000-0000-000079050000}"/>
    <cellStyle name="40% - Accent2 23 2 2 2" xfId="1404" xr:uid="{00000000-0005-0000-0000-00007A050000}"/>
    <cellStyle name="40% - Accent2 23 2 3" xfId="1405" xr:uid="{00000000-0005-0000-0000-00007B050000}"/>
    <cellStyle name="40% - Accent2 23 3" xfId="1406" xr:uid="{00000000-0005-0000-0000-00007C050000}"/>
    <cellStyle name="40% - Accent2 23 3 2" xfId="1407" xr:uid="{00000000-0005-0000-0000-00007D050000}"/>
    <cellStyle name="40% - Accent2 23 4" xfId="1408" xr:uid="{00000000-0005-0000-0000-00007E050000}"/>
    <cellStyle name="40% - Accent2 24" xfId="1409" xr:uid="{00000000-0005-0000-0000-00007F050000}"/>
    <cellStyle name="40% - Accent2 24 2" xfId="1410" xr:uid="{00000000-0005-0000-0000-000080050000}"/>
    <cellStyle name="40% - Accent2 24 2 2" xfId="1411" xr:uid="{00000000-0005-0000-0000-000081050000}"/>
    <cellStyle name="40% - Accent2 24 3" xfId="1412" xr:uid="{00000000-0005-0000-0000-000082050000}"/>
    <cellStyle name="40% - Accent2 25" xfId="1413" xr:uid="{00000000-0005-0000-0000-000083050000}"/>
    <cellStyle name="40% - Accent2 25 2" xfId="1414" xr:uid="{00000000-0005-0000-0000-000084050000}"/>
    <cellStyle name="40% - Accent2 26" xfId="1415" xr:uid="{00000000-0005-0000-0000-000085050000}"/>
    <cellStyle name="40% - Accent2 3" xfId="1416" xr:uid="{00000000-0005-0000-0000-000086050000}"/>
    <cellStyle name="40% - Accent2 3 2" xfId="1417" xr:uid="{00000000-0005-0000-0000-000087050000}"/>
    <cellStyle name="40% - Accent2 3 2 2" xfId="1418" xr:uid="{00000000-0005-0000-0000-000088050000}"/>
    <cellStyle name="40% - Accent2 3 2 2 2" xfId="1419" xr:uid="{00000000-0005-0000-0000-000089050000}"/>
    <cellStyle name="40% - Accent2 3 2 3" xfId="1420" xr:uid="{00000000-0005-0000-0000-00008A050000}"/>
    <cellStyle name="40% - Accent2 3 3" xfId="1421" xr:uid="{00000000-0005-0000-0000-00008B050000}"/>
    <cellStyle name="40% - Accent2 3 3 2" xfId="1422" xr:uid="{00000000-0005-0000-0000-00008C050000}"/>
    <cellStyle name="40% - Accent2 3 4" xfId="1423" xr:uid="{00000000-0005-0000-0000-00008D050000}"/>
    <cellStyle name="40% - Accent2 4" xfId="1424" xr:uid="{00000000-0005-0000-0000-00008E050000}"/>
    <cellStyle name="40% - Accent2 4 2" xfId="1425" xr:uid="{00000000-0005-0000-0000-00008F050000}"/>
    <cellStyle name="40% - Accent2 4 2 2" xfId="1426" xr:uid="{00000000-0005-0000-0000-000090050000}"/>
    <cellStyle name="40% - Accent2 4 2 2 2" xfId="1427" xr:uid="{00000000-0005-0000-0000-000091050000}"/>
    <cellStyle name="40% - Accent2 4 2 3" xfId="1428" xr:uid="{00000000-0005-0000-0000-000092050000}"/>
    <cellStyle name="40% - Accent2 4 3" xfId="1429" xr:uid="{00000000-0005-0000-0000-000093050000}"/>
    <cellStyle name="40% - Accent2 4 3 2" xfId="1430" xr:uid="{00000000-0005-0000-0000-000094050000}"/>
    <cellStyle name="40% - Accent2 4 4" xfId="1431" xr:uid="{00000000-0005-0000-0000-000095050000}"/>
    <cellStyle name="40% - Accent2 5" xfId="1432" xr:uid="{00000000-0005-0000-0000-000096050000}"/>
    <cellStyle name="40% - Accent2 5 2" xfId="1433" xr:uid="{00000000-0005-0000-0000-000097050000}"/>
    <cellStyle name="40% - Accent2 5 2 2" xfId="1434" xr:uid="{00000000-0005-0000-0000-000098050000}"/>
    <cellStyle name="40% - Accent2 5 2 2 2" xfId="1435" xr:uid="{00000000-0005-0000-0000-000099050000}"/>
    <cellStyle name="40% - Accent2 5 2 3" xfId="1436" xr:uid="{00000000-0005-0000-0000-00009A050000}"/>
    <cellStyle name="40% - Accent2 5 3" xfId="1437" xr:uid="{00000000-0005-0000-0000-00009B050000}"/>
    <cellStyle name="40% - Accent2 5 3 2" xfId="1438" xr:uid="{00000000-0005-0000-0000-00009C050000}"/>
    <cellStyle name="40% - Accent2 5 4" xfId="1439" xr:uid="{00000000-0005-0000-0000-00009D050000}"/>
    <cellStyle name="40% - Accent2 6" xfId="1440" xr:uid="{00000000-0005-0000-0000-00009E050000}"/>
    <cellStyle name="40% - Accent2 6 2" xfId="1441" xr:uid="{00000000-0005-0000-0000-00009F050000}"/>
    <cellStyle name="40% - Accent2 6 2 2" xfId="1442" xr:uid="{00000000-0005-0000-0000-0000A0050000}"/>
    <cellStyle name="40% - Accent2 6 2 2 2" xfId="1443" xr:uid="{00000000-0005-0000-0000-0000A1050000}"/>
    <cellStyle name="40% - Accent2 6 2 3" xfId="1444" xr:uid="{00000000-0005-0000-0000-0000A2050000}"/>
    <cellStyle name="40% - Accent2 6 3" xfId="1445" xr:uid="{00000000-0005-0000-0000-0000A3050000}"/>
    <cellStyle name="40% - Accent2 6 3 2" xfId="1446" xr:uid="{00000000-0005-0000-0000-0000A4050000}"/>
    <cellStyle name="40% - Accent2 6 4" xfId="1447" xr:uid="{00000000-0005-0000-0000-0000A5050000}"/>
    <cellStyle name="40% - Accent2 7" xfId="1448" xr:uid="{00000000-0005-0000-0000-0000A6050000}"/>
    <cellStyle name="40% - Accent2 7 2" xfId="1449" xr:uid="{00000000-0005-0000-0000-0000A7050000}"/>
    <cellStyle name="40% - Accent2 7 2 2" xfId="1450" xr:uid="{00000000-0005-0000-0000-0000A8050000}"/>
    <cellStyle name="40% - Accent2 7 2 2 2" xfId="1451" xr:uid="{00000000-0005-0000-0000-0000A9050000}"/>
    <cellStyle name="40% - Accent2 7 2 3" xfId="1452" xr:uid="{00000000-0005-0000-0000-0000AA050000}"/>
    <cellStyle name="40% - Accent2 7 3" xfId="1453" xr:uid="{00000000-0005-0000-0000-0000AB050000}"/>
    <cellStyle name="40% - Accent2 7 3 2" xfId="1454" xr:uid="{00000000-0005-0000-0000-0000AC050000}"/>
    <cellStyle name="40% - Accent2 7 4" xfId="1455" xr:uid="{00000000-0005-0000-0000-0000AD050000}"/>
    <cellStyle name="40% - Accent2 8" xfId="1456" xr:uid="{00000000-0005-0000-0000-0000AE050000}"/>
    <cellStyle name="40% - Accent2 8 2" xfId="1457" xr:uid="{00000000-0005-0000-0000-0000AF050000}"/>
    <cellStyle name="40% - Accent2 8 2 2" xfId="1458" xr:uid="{00000000-0005-0000-0000-0000B0050000}"/>
    <cellStyle name="40% - Accent2 8 2 2 2" xfId="1459" xr:uid="{00000000-0005-0000-0000-0000B1050000}"/>
    <cellStyle name="40% - Accent2 8 2 3" xfId="1460" xr:uid="{00000000-0005-0000-0000-0000B2050000}"/>
    <cellStyle name="40% - Accent2 8 3" xfId="1461" xr:uid="{00000000-0005-0000-0000-0000B3050000}"/>
    <cellStyle name="40% - Accent2 8 3 2" xfId="1462" xr:uid="{00000000-0005-0000-0000-0000B4050000}"/>
    <cellStyle name="40% - Accent2 8 4" xfId="1463" xr:uid="{00000000-0005-0000-0000-0000B5050000}"/>
    <cellStyle name="40% - Accent2 9" xfId="1464" xr:uid="{00000000-0005-0000-0000-0000B6050000}"/>
    <cellStyle name="40% - Accent2 9 2" xfId="1465" xr:uid="{00000000-0005-0000-0000-0000B7050000}"/>
    <cellStyle name="40% - Accent2 9 2 2" xfId="1466" xr:uid="{00000000-0005-0000-0000-0000B8050000}"/>
    <cellStyle name="40% - Accent2 9 2 2 2" xfId="1467" xr:uid="{00000000-0005-0000-0000-0000B9050000}"/>
    <cellStyle name="40% - Accent2 9 2 3" xfId="1468" xr:uid="{00000000-0005-0000-0000-0000BA050000}"/>
    <cellStyle name="40% - Accent2 9 3" xfId="1469" xr:uid="{00000000-0005-0000-0000-0000BB050000}"/>
    <cellStyle name="40% - Accent2 9 3 2" xfId="1470" xr:uid="{00000000-0005-0000-0000-0000BC050000}"/>
    <cellStyle name="40% - Accent2 9 4" xfId="1471" xr:uid="{00000000-0005-0000-0000-0000BD050000}"/>
    <cellStyle name="40% - Accent3 10" xfId="1472" xr:uid="{00000000-0005-0000-0000-0000BE050000}"/>
    <cellStyle name="40% - Accent3 10 2" xfId="1473" xr:uid="{00000000-0005-0000-0000-0000BF050000}"/>
    <cellStyle name="40% - Accent3 10 2 2" xfId="1474" xr:uid="{00000000-0005-0000-0000-0000C0050000}"/>
    <cellStyle name="40% - Accent3 10 2 2 2" xfId="1475" xr:uid="{00000000-0005-0000-0000-0000C1050000}"/>
    <cellStyle name="40% - Accent3 10 2 3" xfId="1476" xr:uid="{00000000-0005-0000-0000-0000C2050000}"/>
    <cellStyle name="40% - Accent3 10 3" xfId="1477" xr:uid="{00000000-0005-0000-0000-0000C3050000}"/>
    <cellStyle name="40% - Accent3 10 3 2" xfId="1478" xr:uid="{00000000-0005-0000-0000-0000C4050000}"/>
    <cellStyle name="40% - Accent3 10 4" xfId="1479" xr:uid="{00000000-0005-0000-0000-0000C5050000}"/>
    <cellStyle name="40% - Accent3 11" xfId="1480" xr:uid="{00000000-0005-0000-0000-0000C6050000}"/>
    <cellStyle name="40% - Accent3 11 2" xfId="1481" xr:uid="{00000000-0005-0000-0000-0000C7050000}"/>
    <cellStyle name="40% - Accent3 11 2 2" xfId="1482" xr:uid="{00000000-0005-0000-0000-0000C8050000}"/>
    <cellStyle name="40% - Accent3 11 2 2 2" xfId="1483" xr:uid="{00000000-0005-0000-0000-0000C9050000}"/>
    <cellStyle name="40% - Accent3 11 2 3" xfId="1484" xr:uid="{00000000-0005-0000-0000-0000CA050000}"/>
    <cellStyle name="40% - Accent3 11 3" xfId="1485" xr:uid="{00000000-0005-0000-0000-0000CB050000}"/>
    <cellStyle name="40% - Accent3 11 3 2" xfId="1486" xr:uid="{00000000-0005-0000-0000-0000CC050000}"/>
    <cellStyle name="40% - Accent3 11 4" xfId="1487" xr:uid="{00000000-0005-0000-0000-0000CD050000}"/>
    <cellStyle name="40% - Accent3 12" xfId="1488" xr:uid="{00000000-0005-0000-0000-0000CE050000}"/>
    <cellStyle name="40% - Accent3 12 2" xfId="1489" xr:uid="{00000000-0005-0000-0000-0000CF050000}"/>
    <cellStyle name="40% - Accent3 12 2 2" xfId="1490" xr:uid="{00000000-0005-0000-0000-0000D0050000}"/>
    <cellStyle name="40% - Accent3 12 2 2 2" xfId="1491" xr:uid="{00000000-0005-0000-0000-0000D1050000}"/>
    <cellStyle name="40% - Accent3 12 2 3" xfId="1492" xr:uid="{00000000-0005-0000-0000-0000D2050000}"/>
    <cellStyle name="40% - Accent3 12 3" xfId="1493" xr:uid="{00000000-0005-0000-0000-0000D3050000}"/>
    <cellStyle name="40% - Accent3 12 3 2" xfId="1494" xr:uid="{00000000-0005-0000-0000-0000D4050000}"/>
    <cellStyle name="40% - Accent3 12 4" xfId="1495" xr:uid="{00000000-0005-0000-0000-0000D5050000}"/>
    <cellStyle name="40% - Accent3 13" xfId="1496" xr:uid="{00000000-0005-0000-0000-0000D6050000}"/>
    <cellStyle name="40% - Accent3 13 2" xfId="1497" xr:uid="{00000000-0005-0000-0000-0000D7050000}"/>
    <cellStyle name="40% - Accent3 13 2 2" xfId="1498" xr:uid="{00000000-0005-0000-0000-0000D8050000}"/>
    <cellStyle name="40% - Accent3 13 2 2 2" xfId="1499" xr:uid="{00000000-0005-0000-0000-0000D9050000}"/>
    <cellStyle name="40% - Accent3 13 2 3" xfId="1500" xr:uid="{00000000-0005-0000-0000-0000DA050000}"/>
    <cellStyle name="40% - Accent3 13 3" xfId="1501" xr:uid="{00000000-0005-0000-0000-0000DB050000}"/>
    <cellStyle name="40% - Accent3 13 3 2" xfId="1502" xr:uid="{00000000-0005-0000-0000-0000DC050000}"/>
    <cellStyle name="40% - Accent3 13 4" xfId="1503" xr:uid="{00000000-0005-0000-0000-0000DD050000}"/>
    <cellStyle name="40% - Accent3 14" xfId="1504" xr:uid="{00000000-0005-0000-0000-0000DE050000}"/>
    <cellStyle name="40% - Accent3 14 2" xfId="1505" xr:uid="{00000000-0005-0000-0000-0000DF050000}"/>
    <cellStyle name="40% - Accent3 14 2 2" xfId="1506" xr:uid="{00000000-0005-0000-0000-0000E0050000}"/>
    <cellStyle name="40% - Accent3 14 2 2 2" xfId="1507" xr:uid="{00000000-0005-0000-0000-0000E1050000}"/>
    <cellStyle name="40% - Accent3 14 2 3" xfId="1508" xr:uid="{00000000-0005-0000-0000-0000E2050000}"/>
    <cellStyle name="40% - Accent3 14 3" xfId="1509" xr:uid="{00000000-0005-0000-0000-0000E3050000}"/>
    <cellStyle name="40% - Accent3 14 3 2" xfId="1510" xr:uid="{00000000-0005-0000-0000-0000E4050000}"/>
    <cellStyle name="40% - Accent3 14 4" xfId="1511" xr:uid="{00000000-0005-0000-0000-0000E5050000}"/>
    <cellStyle name="40% - Accent3 15" xfId="1512" xr:uid="{00000000-0005-0000-0000-0000E6050000}"/>
    <cellStyle name="40% - Accent3 15 2" xfId="1513" xr:uid="{00000000-0005-0000-0000-0000E7050000}"/>
    <cellStyle name="40% - Accent3 15 2 2" xfId="1514" xr:uid="{00000000-0005-0000-0000-0000E8050000}"/>
    <cellStyle name="40% - Accent3 15 2 2 2" xfId="1515" xr:uid="{00000000-0005-0000-0000-0000E9050000}"/>
    <cellStyle name="40% - Accent3 15 2 3" xfId="1516" xr:uid="{00000000-0005-0000-0000-0000EA050000}"/>
    <cellStyle name="40% - Accent3 15 3" xfId="1517" xr:uid="{00000000-0005-0000-0000-0000EB050000}"/>
    <cellStyle name="40% - Accent3 15 3 2" xfId="1518" xr:uid="{00000000-0005-0000-0000-0000EC050000}"/>
    <cellStyle name="40% - Accent3 15 4" xfId="1519" xr:uid="{00000000-0005-0000-0000-0000ED050000}"/>
    <cellStyle name="40% - Accent3 16" xfId="1520" xr:uid="{00000000-0005-0000-0000-0000EE050000}"/>
    <cellStyle name="40% - Accent3 16 2" xfId="1521" xr:uid="{00000000-0005-0000-0000-0000EF050000}"/>
    <cellStyle name="40% - Accent3 16 2 2" xfId="1522" xr:uid="{00000000-0005-0000-0000-0000F0050000}"/>
    <cellStyle name="40% - Accent3 16 2 2 2" xfId="1523" xr:uid="{00000000-0005-0000-0000-0000F1050000}"/>
    <cellStyle name="40% - Accent3 16 2 3" xfId="1524" xr:uid="{00000000-0005-0000-0000-0000F2050000}"/>
    <cellStyle name="40% - Accent3 16 3" xfId="1525" xr:uid="{00000000-0005-0000-0000-0000F3050000}"/>
    <cellStyle name="40% - Accent3 16 3 2" xfId="1526" xr:uid="{00000000-0005-0000-0000-0000F4050000}"/>
    <cellStyle name="40% - Accent3 16 4" xfId="1527" xr:uid="{00000000-0005-0000-0000-0000F5050000}"/>
    <cellStyle name="40% - Accent3 17" xfId="1528" xr:uid="{00000000-0005-0000-0000-0000F6050000}"/>
    <cellStyle name="40% - Accent3 17 2" xfId="1529" xr:uid="{00000000-0005-0000-0000-0000F7050000}"/>
    <cellStyle name="40% - Accent3 17 2 2" xfId="1530" xr:uid="{00000000-0005-0000-0000-0000F8050000}"/>
    <cellStyle name="40% - Accent3 17 2 2 2" xfId="1531" xr:uid="{00000000-0005-0000-0000-0000F9050000}"/>
    <cellStyle name="40% - Accent3 17 2 3" xfId="1532" xr:uid="{00000000-0005-0000-0000-0000FA050000}"/>
    <cellStyle name="40% - Accent3 17 3" xfId="1533" xr:uid="{00000000-0005-0000-0000-0000FB050000}"/>
    <cellStyle name="40% - Accent3 17 3 2" xfId="1534" xr:uid="{00000000-0005-0000-0000-0000FC050000}"/>
    <cellStyle name="40% - Accent3 17 4" xfId="1535" xr:uid="{00000000-0005-0000-0000-0000FD050000}"/>
    <cellStyle name="40% - Accent3 18" xfId="1536" xr:uid="{00000000-0005-0000-0000-0000FE050000}"/>
    <cellStyle name="40% - Accent3 18 2" xfId="1537" xr:uid="{00000000-0005-0000-0000-0000FF050000}"/>
    <cellStyle name="40% - Accent3 18 2 2" xfId="1538" xr:uid="{00000000-0005-0000-0000-000000060000}"/>
    <cellStyle name="40% - Accent3 18 2 2 2" xfId="1539" xr:uid="{00000000-0005-0000-0000-000001060000}"/>
    <cellStyle name="40% - Accent3 18 2 3" xfId="1540" xr:uid="{00000000-0005-0000-0000-000002060000}"/>
    <cellStyle name="40% - Accent3 18 3" xfId="1541" xr:uid="{00000000-0005-0000-0000-000003060000}"/>
    <cellStyle name="40% - Accent3 18 3 2" xfId="1542" xr:uid="{00000000-0005-0000-0000-000004060000}"/>
    <cellStyle name="40% - Accent3 18 4" xfId="1543" xr:uid="{00000000-0005-0000-0000-000005060000}"/>
    <cellStyle name="40% - Accent3 19" xfId="1544" xr:uid="{00000000-0005-0000-0000-000006060000}"/>
    <cellStyle name="40% - Accent3 19 2" xfId="1545" xr:uid="{00000000-0005-0000-0000-000007060000}"/>
    <cellStyle name="40% - Accent3 19 2 2" xfId="1546" xr:uid="{00000000-0005-0000-0000-000008060000}"/>
    <cellStyle name="40% - Accent3 19 2 2 2" xfId="1547" xr:uid="{00000000-0005-0000-0000-000009060000}"/>
    <cellStyle name="40% - Accent3 19 2 3" xfId="1548" xr:uid="{00000000-0005-0000-0000-00000A060000}"/>
    <cellStyle name="40% - Accent3 19 3" xfId="1549" xr:uid="{00000000-0005-0000-0000-00000B060000}"/>
    <cellStyle name="40% - Accent3 19 3 2" xfId="1550" xr:uid="{00000000-0005-0000-0000-00000C060000}"/>
    <cellStyle name="40% - Accent3 19 4" xfId="1551" xr:uid="{00000000-0005-0000-0000-00000D060000}"/>
    <cellStyle name="40% - Accent3 2" xfId="1552" xr:uid="{00000000-0005-0000-0000-00000E060000}"/>
    <cellStyle name="40% - Accent3 2 2" xfId="1553" xr:uid="{00000000-0005-0000-0000-00000F060000}"/>
    <cellStyle name="40% - Accent3 2 2 2" xfId="1554" xr:uid="{00000000-0005-0000-0000-000010060000}"/>
    <cellStyle name="40% - Accent3 2 2 2 2" xfId="1555" xr:uid="{00000000-0005-0000-0000-000011060000}"/>
    <cellStyle name="40% - Accent3 2 2 3" xfId="1556" xr:uid="{00000000-0005-0000-0000-000012060000}"/>
    <cellStyle name="40% - Accent3 2 3" xfId="1557" xr:uid="{00000000-0005-0000-0000-000013060000}"/>
    <cellStyle name="40% - Accent3 2 3 2" xfId="1558" xr:uid="{00000000-0005-0000-0000-000014060000}"/>
    <cellStyle name="40% - Accent3 2 4" xfId="1559" xr:uid="{00000000-0005-0000-0000-000015060000}"/>
    <cellStyle name="40% - Accent3 20" xfId="1560" xr:uid="{00000000-0005-0000-0000-000016060000}"/>
    <cellStyle name="40% - Accent3 20 2" xfId="1561" xr:uid="{00000000-0005-0000-0000-000017060000}"/>
    <cellStyle name="40% - Accent3 20 2 2" xfId="1562" xr:uid="{00000000-0005-0000-0000-000018060000}"/>
    <cellStyle name="40% - Accent3 20 2 2 2" xfId="1563" xr:uid="{00000000-0005-0000-0000-000019060000}"/>
    <cellStyle name="40% - Accent3 20 2 3" xfId="1564" xr:uid="{00000000-0005-0000-0000-00001A060000}"/>
    <cellStyle name="40% - Accent3 20 3" xfId="1565" xr:uid="{00000000-0005-0000-0000-00001B060000}"/>
    <cellStyle name="40% - Accent3 20 3 2" xfId="1566" xr:uid="{00000000-0005-0000-0000-00001C060000}"/>
    <cellStyle name="40% - Accent3 20 4" xfId="1567" xr:uid="{00000000-0005-0000-0000-00001D060000}"/>
    <cellStyle name="40% - Accent3 21" xfId="1568" xr:uid="{00000000-0005-0000-0000-00001E060000}"/>
    <cellStyle name="40% - Accent3 21 2" xfId="1569" xr:uid="{00000000-0005-0000-0000-00001F060000}"/>
    <cellStyle name="40% - Accent3 21 2 2" xfId="1570" xr:uid="{00000000-0005-0000-0000-000020060000}"/>
    <cellStyle name="40% - Accent3 21 2 2 2" xfId="1571" xr:uid="{00000000-0005-0000-0000-000021060000}"/>
    <cellStyle name="40% - Accent3 21 2 3" xfId="1572" xr:uid="{00000000-0005-0000-0000-000022060000}"/>
    <cellStyle name="40% - Accent3 21 3" xfId="1573" xr:uid="{00000000-0005-0000-0000-000023060000}"/>
    <cellStyle name="40% - Accent3 21 3 2" xfId="1574" xr:uid="{00000000-0005-0000-0000-000024060000}"/>
    <cellStyle name="40% - Accent3 21 4" xfId="1575" xr:uid="{00000000-0005-0000-0000-000025060000}"/>
    <cellStyle name="40% - Accent3 22" xfId="1576" xr:uid="{00000000-0005-0000-0000-000026060000}"/>
    <cellStyle name="40% - Accent3 22 2" xfId="1577" xr:uid="{00000000-0005-0000-0000-000027060000}"/>
    <cellStyle name="40% - Accent3 22 2 2" xfId="1578" xr:uid="{00000000-0005-0000-0000-000028060000}"/>
    <cellStyle name="40% - Accent3 22 2 2 2" xfId="1579" xr:uid="{00000000-0005-0000-0000-000029060000}"/>
    <cellStyle name="40% - Accent3 22 2 3" xfId="1580" xr:uid="{00000000-0005-0000-0000-00002A060000}"/>
    <cellStyle name="40% - Accent3 22 3" xfId="1581" xr:uid="{00000000-0005-0000-0000-00002B060000}"/>
    <cellStyle name="40% - Accent3 22 3 2" xfId="1582" xr:uid="{00000000-0005-0000-0000-00002C060000}"/>
    <cellStyle name="40% - Accent3 22 4" xfId="1583" xr:uid="{00000000-0005-0000-0000-00002D060000}"/>
    <cellStyle name="40% - Accent3 23" xfId="1584" xr:uid="{00000000-0005-0000-0000-00002E060000}"/>
    <cellStyle name="40% - Accent3 23 2" xfId="1585" xr:uid="{00000000-0005-0000-0000-00002F060000}"/>
    <cellStyle name="40% - Accent3 23 2 2" xfId="1586" xr:uid="{00000000-0005-0000-0000-000030060000}"/>
    <cellStyle name="40% - Accent3 23 2 2 2" xfId="1587" xr:uid="{00000000-0005-0000-0000-000031060000}"/>
    <cellStyle name="40% - Accent3 23 2 3" xfId="1588" xr:uid="{00000000-0005-0000-0000-000032060000}"/>
    <cellStyle name="40% - Accent3 23 3" xfId="1589" xr:uid="{00000000-0005-0000-0000-000033060000}"/>
    <cellStyle name="40% - Accent3 23 3 2" xfId="1590" xr:uid="{00000000-0005-0000-0000-000034060000}"/>
    <cellStyle name="40% - Accent3 23 4" xfId="1591" xr:uid="{00000000-0005-0000-0000-000035060000}"/>
    <cellStyle name="40% - Accent3 24" xfId="1592" xr:uid="{00000000-0005-0000-0000-000036060000}"/>
    <cellStyle name="40% - Accent3 24 2" xfId="1593" xr:uid="{00000000-0005-0000-0000-000037060000}"/>
    <cellStyle name="40% - Accent3 24 2 2" xfId="1594" xr:uid="{00000000-0005-0000-0000-000038060000}"/>
    <cellStyle name="40% - Accent3 24 3" xfId="1595" xr:uid="{00000000-0005-0000-0000-000039060000}"/>
    <cellStyle name="40% - Accent3 25" xfId="1596" xr:uid="{00000000-0005-0000-0000-00003A060000}"/>
    <cellStyle name="40% - Accent3 25 2" xfId="1597" xr:uid="{00000000-0005-0000-0000-00003B060000}"/>
    <cellStyle name="40% - Accent3 26" xfId="1598" xr:uid="{00000000-0005-0000-0000-00003C060000}"/>
    <cellStyle name="40% - Accent3 3" xfId="1599" xr:uid="{00000000-0005-0000-0000-00003D060000}"/>
    <cellStyle name="40% - Accent3 3 2" xfId="1600" xr:uid="{00000000-0005-0000-0000-00003E060000}"/>
    <cellStyle name="40% - Accent3 3 2 2" xfId="1601" xr:uid="{00000000-0005-0000-0000-00003F060000}"/>
    <cellStyle name="40% - Accent3 3 2 2 2" xfId="1602" xr:uid="{00000000-0005-0000-0000-000040060000}"/>
    <cellStyle name="40% - Accent3 3 2 3" xfId="1603" xr:uid="{00000000-0005-0000-0000-000041060000}"/>
    <cellStyle name="40% - Accent3 3 3" xfId="1604" xr:uid="{00000000-0005-0000-0000-000042060000}"/>
    <cellStyle name="40% - Accent3 3 3 2" xfId="1605" xr:uid="{00000000-0005-0000-0000-000043060000}"/>
    <cellStyle name="40% - Accent3 3 4" xfId="1606" xr:uid="{00000000-0005-0000-0000-000044060000}"/>
    <cellStyle name="40% - Accent3 4" xfId="1607" xr:uid="{00000000-0005-0000-0000-000045060000}"/>
    <cellStyle name="40% - Accent3 4 2" xfId="1608" xr:uid="{00000000-0005-0000-0000-000046060000}"/>
    <cellStyle name="40% - Accent3 4 2 2" xfId="1609" xr:uid="{00000000-0005-0000-0000-000047060000}"/>
    <cellStyle name="40% - Accent3 4 2 2 2" xfId="1610" xr:uid="{00000000-0005-0000-0000-000048060000}"/>
    <cellStyle name="40% - Accent3 4 2 3" xfId="1611" xr:uid="{00000000-0005-0000-0000-000049060000}"/>
    <cellStyle name="40% - Accent3 4 3" xfId="1612" xr:uid="{00000000-0005-0000-0000-00004A060000}"/>
    <cellStyle name="40% - Accent3 4 3 2" xfId="1613" xr:uid="{00000000-0005-0000-0000-00004B060000}"/>
    <cellStyle name="40% - Accent3 4 4" xfId="1614" xr:uid="{00000000-0005-0000-0000-00004C060000}"/>
    <cellStyle name="40% - Accent3 5" xfId="1615" xr:uid="{00000000-0005-0000-0000-00004D060000}"/>
    <cellStyle name="40% - Accent3 5 2" xfId="1616" xr:uid="{00000000-0005-0000-0000-00004E060000}"/>
    <cellStyle name="40% - Accent3 5 2 2" xfId="1617" xr:uid="{00000000-0005-0000-0000-00004F060000}"/>
    <cellStyle name="40% - Accent3 5 2 2 2" xfId="1618" xr:uid="{00000000-0005-0000-0000-000050060000}"/>
    <cellStyle name="40% - Accent3 5 2 3" xfId="1619" xr:uid="{00000000-0005-0000-0000-000051060000}"/>
    <cellStyle name="40% - Accent3 5 3" xfId="1620" xr:uid="{00000000-0005-0000-0000-000052060000}"/>
    <cellStyle name="40% - Accent3 5 3 2" xfId="1621" xr:uid="{00000000-0005-0000-0000-000053060000}"/>
    <cellStyle name="40% - Accent3 5 4" xfId="1622" xr:uid="{00000000-0005-0000-0000-000054060000}"/>
    <cellStyle name="40% - Accent3 6" xfId="1623" xr:uid="{00000000-0005-0000-0000-000055060000}"/>
    <cellStyle name="40% - Accent3 6 2" xfId="1624" xr:uid="{00000000-0005-0000-0000-000056060000}"/>
    <cellStyle name="40% - Accent3 6 2 2" xfId="1625" xr:uid="{00000000-0005-0000-0000-000057060000}"/>
    <cellStyle name="40% - Accent3 6 2 2 2" xfId="1626" xr:uid="{00000000-0005-0000-0000-000058060000}"/>
    <cellStyle name="40% - Accent3 6 2 3" xfId="1627" xr:uid="{00000000-0005-0000-0000-000059060000}"/>
    <cellStyle name="40% - Accent3 6 3" xfId="1628" xr:uid="{00000000-0005-0000-0000-00005A060000}"/>
    <cellStyle name="40% - Accent3 6 3 2" xfId="1629" xr:uid="{00000000-0005-0000-0000-00005B060000}"/>
    <cellStyle name="40% - Accent3 6 4" xfId="1630" xr:uid="{00000000-0005-0000-0000-00005C060000}"/>
    <cellStyle name="40% - Accent3 7" xfId="1631" xr:uid="{00000000-0005-0000-0000-00005D060000}"/>
    <cellStyle name="40% - Accent3 7 2" xfId="1632" xr:uid="{00000000-0005-0000-0000-00005E060000}"/>
    <cellStyle name="40% - Accent3 7 2 2" xfId="1633" xr:uid="{00000000-0005-0000-0000-00005F060000}"/>
    <cellStyle name="40% - Accent3 7 2 2 2" xfId="1634" xr:uid="{00000000-0005-0000-0000-000060060000}"/>
    <cellStyle name="40% - Accent3 7 2 3" xfId="1635" xr:uid="{00000000-0005-0000-0000-000061060000}"/>
    <cellStyle name="40% - Accent3 7 3" xfId="1636" xr:uid="{00000000-0005-0000-0000-000062060000}"/>
    <cellStyle name="40% - Accent3 7 3 2" xfId="1637" xr:uid="{00000000-0005-0000-0000-000063060000}"/>
    <cellStyle name="40% - Accent3 7 4" xfId="1638" xr:uid="{00000000-0005-0000-0000-000064060000}"/>
    <cellStyle name="40% - Accent3 8" xfId="1639" xr:uid="{00000000-0005-0000-0000-000065060000}"/>
    <cellStyle name="40% - Accent3 8 2" xfId="1640" xr:uid="{00000000-0005-0000-0000-000066060000}"/>
    <cellStyle name="40% - Accent3 8 2 2" xfId="1641" xr:uid="{00000000-0005-0000-0000-000067060000}"/>
    <cellStyle name="40% - Accent3 8 2 2 2" xfId="1642" xr:uid="{00000000-0005-0000-0000-000068060000}"/>
    <cellStyle name="40% - Accent3 8 2 3" xfId="1643" xr:uid="{00000000-0005-0000-0000-000069060000}"/>
    <cellStyle name="40% - Accent3 8 3" xfId="1644" xr:uid="{00000000-0005-0000-0000-00006A060000}"/>
    <cellStyle name="40% - Accent3 8 3 2" xfId="1645" xr:uid="{00000000-0005-0000-0000-00006B060000}"/>
    <cellStyle name="40% - Accent3 8 4" xfId="1646" xr:uid="{00000000-0005-0000-0000-00006C060000}"/>
    <cellStyle name="40% - Accent3 9" xfId="1647" xr:uid="{00000000-0005-0000-0000-00006D060000}"/>
    <cellStyle name="40% - Accent3 9 2" xfId="1648" xr:uid="{00000000-0005-0000-0000-00006E060000}"/>
    <cellStyle name="40% - Accent3 9 2 2" xfId="1649" xr:uid="{00000000-0005-0000-0000-00006F060000}"/>
    <cellStyle name="40% - Accent3 9 2 2 2" xfId="1650" xr:uid="{00000000-0005-0000-0000-000070060000}"/>
    <cellStyle name="40% - Accent3 9 2 3" xfId="1651" xr:uid="{00000000-0005-0000-0000-000071060000}"/>
    <cellStyle name="40% - Accent3 9 3" xfId="1652" xr:uid="{00000000-0005-0000-0000-000072060000}"/>
    <cellStyle name="40% - Accent3 9 3 2" xfId="1653" xr:uid="{00000000-0005-0000-0000-000073060000}"/>
    <cellStyle name="40% - Accent3 9 4" xfId="1654" xr:uid="{00000000-0005-0000-0000-000074060000}"/>
    <cellStyle name="40% - Accent4 10" xfId="1655" xr:uid="{00000000-0005-0000-0000-000075060000}"/>
    <cellStyle name="40% - Accent4 10 2" xfId="1656" xr:uid="{00000000-0005-0000-0000-000076060000}"/>
    <cellStyle name="40% - Accent4 10 2 2" xfId="1657" xr:uid="{00000000-0005-0000-0000-000077060000}"/>
    <cellStyle name="40% - Accent4 10 2 2 2" xfId="1658" xr:uid="{00000000-0005-0000-0000-000078060000}"/>
    <cellStyle name="40% - Accent4 10 2 3" xfId="1659" xr:uid="{00000000-0005-0000-0000-000079060000}"/>
    <cellStyle name="40% - Accent4 10 3" xfId="1660" xr:uid="{00000000-0005-0000-0000-00007A060000}"/>
    <cellStyle name="40% - Accent4 10 3 2" xfId="1661" xr:uid="{00000000-0005-0000-0000-00007B060000}"/>
    <cellStyle name="40% - Accent4 10 4" xfId="1662" xr:uid="{00000000-0005-0000-0000-00007C060000}"/>
    <cellStyle name="40% - Accent4 11" xfId="1663" xr:uid="{00000000-0005-0000-0000-00007D060000}"/>
    <cellStyle name="40% - Accent4 11 2" xfId="1664" xr:uid="{00000000-0005-0000-0000-00007E060000}"/>
    <cellStyle name="40% - Accent4 11 2 2" xfId="1665" xr:uid="{00000000-0005-0000-0000-00007F060000}"/>
    <cellStyle name="40% - Accent4 11 2 2 2" xfId="1666" xr:uid="{00000000-0005-0000-0000-000080060000}"/>
    <cellStyle name="40% - Accent4 11 2 3" xfId="1667" xr:uid="{00000000-0005-0000-0000-000081060000}"/>
    <cellStyle name="40% - Accent4 11 3" xfId="1668" xr:uid="{00000000-0005-0000-0000-000082060000}"/>
    <cellStyle name="40% - Accent4 11 3 2" xfId="1669" xr:uid="{00000000-0005-0000-0000-000083060000}"/>
    <cellStyle name="40% - Accent4 11 4" xfId="1670" xr:uid="{00000000-0005-0000-0000-000084060000}"/>
    <cellStyle name="40% - Accent4 12" xfId="1671" xr:uid="{00000000-0005-0000-0000-000085060000}"/>
    <cellStyle name="40% - Accent4 12 2" xfId="1672" xr:uid="{00000000-0005-0000-0000-000086060000}"/>
    <cellStyle name="40% - Accent4 12 2 2" xfId="1673" xr:uid="{00000000-0005-0000-0000-000087060000}"/>
    <cellStyle name="40% - Accent4 12 2 2 2" xfId="1674" xr:uid="{00000000-0005-0000-0000-000088060000}"/>
    <cellStyle name="40% - Accent4 12 2 3" xfId="1675" xr:uid="{00000000-0005-0000-0000-000089060000}"/>
    <cellStyle name="40% - Accent4 12 3" xfId="1676" xr:uid="{00000000-0005-0000-0000-00008A060000}"/>
    <cellStyle name="40% - Accent4 12 3 2" xfId="1677" xr:uid="{00000000-0005-0000-0000-00008B060000}"/>
    <cellStyle name="40% - Accent4 12 4" xfId="1678" xr:uid="{00000000-0005-0000-0000-00008C060000}"/>
    <cellStyle name="40% - Accent4 13" xfId="1679" xr:uid="{00000000-0005-0000-0000-00008D060000}"/>
    <cellStyle name="40% - Accent4 13 2" xfId="1680" xr:uid="{00000000-0005-0000-0000-00008E060000}"/>
    <cellStyle name="40% - Accent4 13 2 2" xfId="1681" xr:uid="{00000000-0005-0000-0000-00008F060000}"/>
    <cellStyle name="40% - Accent4 13 2 2 2" xfId="1682" xr:uid="{00000000-0005-0000-0000-000090060000}"/>
    <cellStyle name="40% - Accent4 13 2 3" xfId="1683" xr:uid="{00000000-0005-0000-0000-000091060000}"/>
    <cellStyle name="40% - Accent4 13 3" xfId="1684" xr:uid="{00000000-0005-0000-0000-000092060000}"/>
    <cellStyle name="40% - Accent4 13 3 2" xfId="1685" xr:uid="{00000000-0005-0000-0000-000093060000}"/>
    <cellStyle name="40% - Accent4 13 4" xfId="1686" xr:uid="{00000000-0005-0000-0000-000094060000}"/>
    <cellStyle name="40% - Accent4 14" xfId="1687" xr:uid="{00000000-0005-0000-0000-000095060000}"/>
    <cellStyle name="40% - Accent4 14 2" xfId="1688" xr:uid="{00000000-0005-0000-0000-000096060000}"/>
    <cellStyle name="40% - Accent4 14 2 2" xfId="1689" xr:uid="{00000000-0005-0000-0000-000097060000}"/>
    <cellStyle name="40% - Accent4 14 2 2 2" xfId="1690" xr:uid="{00000000-0005-0000-0000-000098060000}"/>
    <cellStyle name="40% - Accent4 14 2 3" xfId="1691" xr:uid="{00000000-0005-0000-0000-000099060000}"/>
    <cellStyle name="40% - Accent4 14 3" xfId="1692" xr:uid="{00000000-0005-0000-0000-00009A060000}"/>
    <cellStyle name="40% - Accent4 14 3 2" xfId="1693" xr:uid="{00000000-0005-0000-0000-00009B060000}"/>
    <cellStyle name="40% - Accent4 14 4" xfId="1694" xr:uid="{00000000-0005-0000-0000-00009C060000}"/>
    <cellStyle name="40% - Accent4 15" xfId="1695" xr:uid="{00000000-0005-0000-0000-00009D060000}"/>
    <cellStyle name="40% - Accent4 15 2" xfId="1696" xr:uid="{00000000-0005-0000-0000-00009E060000}"/>
    <cellStyle name="40% - Accent4 15 2 2" xfId="1697" xr:uid="{00000000-0005-0000-0000-00009F060000}"/>
    <cellStyle name="40% - Accent4 15 2 2 2" xfId="1698" xr:uid="{00000000-0005-0000-0000-0000A0060000}"/>
    <cellStyle name="40% - Accent4 15 2 3" xfId="1699" xr:uid="{00000000-0005-0000-0000-0000A1060000}"/>
    <cellStyle name="40% - Accent4 15 3" xfId="1700" xr:uid="{00000000-0005-0000-0000-0000A2060000}"/>
    <cellStyle name="40% - Accent4 15 3 2" xfId="1701" xr:uid="{00000000-0005-0000-0000-0000A3060000}"/>
    <cellStyle name="40% - Accent4 15 4" xfId="1702" xr:uid="{00000000-0005-0000-0000-0000A4060000}"/>
    <cellStyle name="40% - Accent4 16" xfId="1703" xr:uid="{00000000-0005-0000-0000-0000A5060000}"/>
    <cellStyle name="40% - Accent4 16 2" xfId="1704" xr:uid="{00000000-0005-0000-0000-0000A6060000}"/>
    <cellStyle name="40% - Accent4 16 2 2" xfId="1705" xr:uid="{00000000-0005-0000-0000-0000A7060000}"/>
    <cellStyle name="40% - Accent4 16 2 2 2" xfId="1706" xr:uid="{00000000-0005-0000-0000-0000A8060000}"/>
    <cellStyle name="40% - Accent4 16 2 3" xfId="1707" xr:uid="{00000000-0005-0000-0000-0000A9060000}"/>
    <cellStyle name="40% - Accent4 16 3" xfId="1708" xr:uid="{00000000-0005-0000-0000-0000AA060000}"/>
    <cellStyle name="40% - Accent4 16 3 2" xfId="1709" xr:uid="{00000000-0005-0000-0000-0000AB060000}"/>
    <cellStyle name="40% - Accent4 16 4" xfId="1710" xr:uid="{00000000-0005-0000-0000-0000AC060000}"/>
    <cellStyle name="40% - Accent4 17" xfId="1711" xr:uid="{00000000-0005-0000-0000-0000AD060000}"/>
    <cellStyle name="40% - Accent4 17 2" xfId="1712" xr:uid="{00000000-0005-0000-0000-0000AE060000}"/>
    <cellStyle name="40% - Accent4 17 2 2" xfId="1713" xr:uid="{00000000-0005-0000-0000-0000AF060000}"/>
    <cellStyle name="40% - Accent4 17 2 2 2" xfId="1714" xr:uid="{00000000-0005-0000-0000-0000B0060000}"/>
    <cellStyle name="40% - Accent4 17 2 3" xfId="1715" xr:uid="{00000000-0005-0000-0000-0000B1060000}"/>
    <cellStyle name="40% - Accent4 17 3" xfId="1716" xr:uid="{00000000-0005-0000-0000-0000B2060000}"/>
    <cellStyle name="40% - Accent4 17 3 2" xfId="1717" xr:uid="{00000000-0005-0000-0000-0000B3060000}"/>
    <cellStyle name="40% - Accent4 17 4" xfId="1718" xr:uid="{00000000-0005-0000-0000-0000B4060000}"/>
    <cellStyle name="40% - Accent4 18" xfId="1719" xr:uid="{00000000-0005-0000-0000-0000B5060000}"/>
    <cellStyle name="40% - Accent4 18 2" xfId="1720" xr:uid="{00000000-0005-0000-0000-0000B6060000}"/>
    <cellStyle name="40% - Accent4 18 2 2" xfId="1721" xr:uid="{00000000-0005-0000-0000-0000B7060000}"/>
    <cellStyle name="40% - Accent4 18 2 2 2" xfId="1722" xr:uid="{00000000-0005-0000-0000-0000B8060000}"/>
    <cellStyle name="40% - Accent4 18 2 3" xfId="1723" xr:uid="{00000000-0005-0000-0000-0000B9060000}"/>
    <cellStyle name="40% - Accent4 18 3" xfId="1724" xr:uid="{00000000-0005-0000-0000-0000BA060000}"/>
    <cellStyle name="40% - Accent4 18 3 2" xfId="1725" xr:uid="{00000000-0005-0000-0000-0000BB060000}"/>
    <cellStyle name="40% - Accent4 18 4" xfId="1726" xr:uid="{00000000-0005-0000-0000-0000BC060000}"/>
    <cellStyle name="40% - Accent4 19" xfId="1727" xr:uid="{00000000-0005-0000-0000-0000BD060000}"/>
    <cellStyle name="40% - Accent4 19 2" xfId="1728" xr:uid="{00000000-0005-0000-0000-0000BE060000}"/>
    <cellStyle name="40% - Accent4 19 2 2" xfId="1729" xr:uid="{00000000-0005-0000-0000-0000BF060000}"/>
    <cellStyle name="40% - Accent4 19 2 2 2" xfId="1730" xr:uid="{00000000-0005-0000-0000-0000C0060000}"/>
    <cellStyle name="40% - Accent4 19 2 3" xfId="1731" xr:uid="{00000000-0005-0000-0000-0000C1060000}"/>
    <cellStyle name="40% - Accent4 19 3" xfId="1732" xr:uid="{00000000-0005-0000-0000-0000C2060000}"/>
    <cellStyle name="40% - Accent4 19 3 2" xfId="1733" xr:uid="{00000000-0005-0000-0000-0000C3060000}"/>
    <cellStyle name="40% - Accent4 19 4" xfId="1734" xr:uid="{00000000-0005-0000-0000-0000C4060000}"/>
    <cellStyle name="40% - Accent4 2" xfId="1735" xr:uid="{00000000-0005-0000-0000-0000C5060000}"/>
    <cellStyle name="40% - Accent4 2 2" xfId="1736" xr:uid="{00000000-0005-0000-0000-0000C6060000}"/>
    <cellStyle name="40% - Accent4 2 2 2" xfId="1737" xr:uid="{00000000-0005-0000-0000-0000C7060000}"/>
    <cellStyle name="40% - Accent4 2 2 2 2" xfId="1738" xr:uid="{00000000-0005-0000-0000-0000C8060000}"/>
    <cellStyle name="40% - Accent4 2 2 3" xfId="1739" xr:uid="{00000000-0005-0000-0000-0000C9060000}"/>
    <cellStyle name="40% - Accent4 2 3" xfId="1740" xr:uid="{00000000-0005-0000-0000-0000CA060000}"/>
    <cellStyle name="40% - Accent4 2 3 2" xfId="1741" xr:uid="{00000000-0005-0000-0000-0000CB060000}"/>
    <cellStyle name="40% - Accent4 2 4" xfId="1742" xr:uid="{00000000-0005-0000-0000-0000CC060000}"/>
    <cellStyle name="40% - Accent4 20" xfId="1743" xr:uid="{00000000-0005-0000-0000-0000CD060000}"/>
    <cellStyle name="40% - Accent4 20 2" xfId="1744" xr:uid="{00000000-0005-0000-0000-0000CE060000}"/>
    <cellStyle name="40% - Accent4 20 2 2" xfId="1745" xr:uid="{00000000-0005-0000-0000-0000CF060000}"/>
    <cellStyle name="40% - Accent4 20 2 2 2" xfId="1746" xr:uid="{00000000-0005-0000-0000-0000D0060000}"/>
    <cellStyle name="40% - Accent4 20 2 3" xfId="1747" xr:uid="{00000000-0005-0000-0000-0000D1060000}"/>
    <cellStyle name="40% - Accent4 20 3" xfId="1748" xr:uid="{00000000-0005-0000-0000-0000D2060000}"/>
    <cellStyle name="40% - Accent4 20 3 2" xfId="1749" xr:uid="{00000000-0005-0000-0000-0000D3060000}"/>
    <cellStyle name="40% - Accent4 20 4" xfId="1750" xr:uid="{00000000-0005-0000-0000-0000D4060000}"/>
    <cellStyle name="40% - Accent4 21" xfId="1751" xr:uid="{00000000-0005-0000-0000-0000D5060000}"/>
    <cellStyle name="40% - Accent4 21 2" xfId="1752" xr:uid="{00000000-0005-0000-0000-0000D6060000}"/>
    <cellStyle name="40% - Accent4 21 2 2" xfId="1753" xr:uid="{00000000-0005-0000-0000-0000D7060000}"/>
    <cellStyle name="40% - Accent4 21 2 2 2" xfId="1754" xr:uid="{00000000-0005-0000-0000-0000D8060000}"/>
    <cellStyle name="40% - Accent4 21 2 3" xfId="1755" xr:uid="{00000000-0005-0000-0000-0000D9060000}"/>
    <cellStyle name="40% - Accent4 21 3" xfId="1756" xr:uid="{00000000-0005-0000-0000-0000DA060000}"/>
    <cellStyle name="40% - Accent4 21 3 2" xfId="1757" xr:uid="{00000000-0005-0000-0000-0000DB060000}"/>
    <cellStyle name="40% - Accent4 21 4" xfId="1758" xr:uid="{00000000-0005-0000-0000-0000DC060000}"/>
    <cellStyle name="40% - Accent4 22" xfId="1759" xr:uid="{00000000-0005-0000-0000-0000DD060000}"/>
    <cellStyle name="40% - Accent4 22 2" xfId="1760" xr:uid="{00000000-0005-0000-0000-0000DE060000}"/>
    <cellStyle name="40% - Accent4 22 2 2" xfId="1761" xr:uid="{00000000-0005-0000-0000-0000DF060000}"/>
    <cellStyle name="40% - Accent4 22 2 2 2" xfId="1762" xr:uid="{00000000-0005-0000-0000-0000E0060000}"/>
    <cellStyle name="40% - Accent4 22 2 3" xfId="1763" xr:uid="{00000000-0005-0000-0000-0000E1060000}"/>
    <cellStyle name="40% - Accent4 22 3" xfId="1764" xr:uid="{00000000-0005-0000-0000-0000E2060000}"/>
    <cellStyle name="40% - Accent4 22 3 2" xfId="1765" xr:uid="{00000000-0005-0000-0000-0000E3060000}"/>
    <cellStyle name="40% - Accent4 22 4" xfId="1766" xr:uid="{00000000-0005-0000-0000-0000E4060000}"/>
    <cellStyle name="40% - Accent4 23" xfId="1767" xr:uid="{00000000-0005-0000-0000-0000E5060000}"/>
    <cellStyle name="40% - Accent4 23 2" xfId="1768" xr:uid="{00000000-0005-0000-0000-0000E6060000}"/>
    <cellStyle name="40% - Accent4 23 2 2" xfId="1769" xr:uid="{00000000-0005-0000-0000-0000E7060000}"/>
    <cellStyle name="40% - Accent4 23 2 2 2" xfId="1770" xr:uid="{00000000-0005-0000-0000-0000E8060000}"/>
    <cellStyle name="40% - Accent4 23 2 3" xfId="1771" xr:uid="{00000000-0005-0000-0000-0000E9060000}"/>
    <cellStyle name="40% - Accent4 23 3" xfId="1772" xr:uid="{00000000-0005-0000-0000-0000EA060000}"/>
    <cellStyle name="40% - Accent4 23 3 2" xfId="1773" xr:uid="{00000000-0005-0000-0000-0000EB060000}"/>
    <cellStyle name="40% - Accent4 23 4" xfId="1774" xr:uid="{00000000-0005-0000-0000-0000EC060000}"/>
    <cellStyle name="40% - Accent4 24" xfId="1775" xr:uid="{00000000-0005-0000-0000-0000ED060000}"/>
    <cellStyle name="40% - Accent4 24 2" xfId="1776" xr:uid="{00000000-0005-0000-0000-0000EE060000}"/>
    <cellStyle name="40% - Accent4 24 2 2" xfId="1777" xr:uid="{00000000-0005-0000-0000-0000EF060000}"/>
    <cellStyle name="40% - Accent4 24 3" xfId="1778" xr:uid="{00000000-0005-0000-0000-0000F0060000}"/>
    <cellStyle name="40% - Accent4 25" xfId="1779" xr:uid="{00000000-0005-0000-0000-0000F1060000}"/>
    <cellStyle name="40% - Accent4 25 2" xfId="1780" xr:uid="{00000000-0005-0000-0000-0000F2060000}"/>
    <cellStyle name="40% - Accent4 26" xfId="1781" xr:uid="{00000000-0005-0000-0000-0000F3060000}"/>
    <cellStyle name="40% - Accent4 3" xfId="1782" xr:uid="{00000000-0005-0000-0000-0000F4060000}"/>
    <cellStyle name="40% - Accent4 3 2" xfId="1783" xr:uid="{00000000-0005-0000-0000-0000F5060000}"/>
    <cellStyle name="40% - Accent4 3 2 2" xfId="1784" xr:uid="{00000000-0005-0000-0000-0000F6060000}"/>
    <cellStyle name="40% - Accent4 3 2 2 2" xfId="1785" xr:uid="{00000000-0005-0000-0000-0000F7060000}"/>
    <cellStyle name="40% - Accent4 3 2 3" xfId="1786" xr:uid="{00000000-0005-0000-0000-0000F8060000}"/>
    <cellStyle name="40% - Accent4 3 3" xfId="1787" xr:uid="{00000000-0005-0000-0000-0000F9060000}"/>
    <cellStyle name="40% - Accent4 3 3 2" xfId="1788" xr:uid="{00000000-0005-0000-0000-0000FA060000}"/>
    <cellStyle name="40% - Accent4 3 4" xfId="1789" xr:uid="{00000000-0005-0000-0000-0000FB060000}"/>
    <cellStyle name="40% - Accent4 4" xfId="1790" xr:uid="{00000000-0005-0000-0000-0000FC060000}"/>
    <cellStyle name="40% - Accent4 4 2" xfId="1791" xr:uid="{00000000-0005-0000-0000-0000FD060000}"/>
    <cellStyle name="40% - Accent4 4 2 2" xfId="1792" xr:uid="{00000000-0005-0000-0000-0000FE060000}"/>
    <cellStyle name="40% - Accent4 4 2 2 2" xfId="1793" xr:uid="{00000000-0005-0000-0000-0000FF060000}"/>
    <cellStyle name="40% - Accent4 4 2 3" xfId="1794" xr:uid="{00000000-0005-0000-0000-000000070000}"/>
    <cellStyle name="40% - Accent4 4 3" xfId="1795" xr:uid="{00000000-0005-0000-0000-000001070000}"/>
    <cellStyle name="40% - Accent4 4 3 2" xfId="1796" xr:uid="{00000000-0005-0000-0000-000002070000}"/>
    <cellStyle name="40% - Accent4 4 4" xfId="1797" xr:uid="{00000000-0005-0000-0000-000003070000}"/>
    <cellStyle name="40% - Accent4 5" xfId="1798" xr:uid="{00000000-0005-0000-0000-000004070000}"/>
    <cellStyle name="40% - Accent4 5 2" xfId="1799" xr:uid="{00000000-0005-0000-0000-000005070000}"/>
    <cellStyle name="40% - Accent4 5 2 2" xfId="1800" xr:uid="{00000000-0005-0000-0000-000006070000}"/>
    <cellStyle name="40% - Accent4 5 2 2 2" xfId="1801" xr:uid="{00000000-0005-0000-0000-000007070000}"/>
    <cellStyle name="40% - Accent4 5 2 3" xfId="1802" xr:uid="{00000000-0005-0000-0000-000008070000}"/>
    <cellStyle name="40% - Accent4 5 3" xfId="1803" xr:uid="{00000000-0005-0000-0000-000009070000}"/>
    <cellStyle name="40% - Accent4 5 3 2" xfId="1804" xr:uid="{00000000-0005-0000-0000-00000A070000}"/>
    <cellStyle name="40% - Accent4 5 4" xfId="1805" xr:uid="{00000000-0005-0000-0000-00000B070000}"/>
    <cellStyle name="40% - Accent4 6" xfId="1806" xr:uid="{00000000-0005-0000-0000-00000C070000}"/>
    <cellStyle name="40% - Accent4 6 2" xfId="1807" xr:uid="{00000000-0005-0000-0000-00000D070000}"/>
    <cellStyle name="40% - Accent4 6 2 2" xfId="1808" xr:uid="{00000000-0005-0000-0000-00000E070000}"/>
    <cellStyle name="40% - Accent4 6 2 2 2" xfId="1809" xr:uid="{00000000-0005-0000-0000-00000F070000}"/>
    <cellStyle name="40% - Accent4 6 2 3" xfId="1810" xr:uid="{00000000-0005-0000-0000-000010070000}"/>
    <cellStyle name="40% - Accent4 6 3" xfId="1811" xr:uid="{00000000-0005-0000-0000-000011070000}"/>
    <cellStyle name="40% - Accent4 6 3 2" xfId="1812" xr:uid="{00000000-0005-0000-0000-000012070000}"/>
    <cellStyle name="40% - Accent4 6 4" xfId="1813" xr:uid="{00000000-0005-0000-0000-000013070000}"/>
    <cellStyle name="40% - Accent4 7" xfId="1814" xr:uid="{00000000-0005-0000-0000-000014070000}"/>
    <cellStyle name="40% - Accent4 7 2" xfId="1815" xr:uid="{00000000-0005-0000-0000-000015070000}"/>
    <cellStyle name="40% - Accent4 7 2 2" xfId="1816" xr:uid="{00000000-0005-0000-0000-000016070000}"/>
    <cellStyle name="40% - Accent4 7 2 2 2" xfId="1817" xr:uid="{00000000-0005-0000-0000-000017070000}"/>
    <cellStyle name="40% - Accent4 7 2 3" xfId="1818" xr:uid="{00000000-0005-0000-0000-000018070000}"/>
    <cellStyle name="40% - Accent4 7 3" xfId="1819" xr:uid="{00000000-0005-0000-0000-000019070000}"/>
    <cellStyle name="40% - Accent4 7 3 2" xfId="1820" xr:uid="{00000000-0005-0000-0000-00001A070000}"/>
    <cellStyle name="40% - Accent4 7 4" xfId="1821" xr:uid="{00000000-0005-0000-0000-00001B070000}"/>
    <cellStyle name="40% - Accent4 8" xfId="1822" xr:uid="{00000000-0005-0000-0000-00001C070000}"/>
    <cellStyle name="40% - Accent4 8 2" xfId="1823" xr:uid="{00000000-0005-0000-0000-00001D070000}"/>
    <cellStyle name="40% - Accent4 8 2 2" xfId="1824" xr:uid="{00000000-0005-0000-0000-00001E070000}"/>
    <cellStyle name="40% - Accent4 8 2 2 2" xfId="1825" xr:uid="{00000000-0005-0000-0000-00001F070000}"/>
    <cellStyle name="40% - Accent4 8 2 3" xfId="1826" xr:uid="{00000000-0005-0000-0000-000020070000}"/>
    <cellStyle name="40% - Accent4 8 3" xfId="1827" xr:uid="{00000000-0005-0000-0000-000021070000}"/>
    <cellStyle name="40% - Accent4 8 3 2" xfId="1828" xr:uid="{00000000-0005-0000-0000-000022070000}"/>
    <cellStyle name="40% - Accent4 8 4" xfId="1829" xr:uid="{00000000-0005-0000-0000-000023070000}"/>
    <cellStyle name="40% - Accent4 9" xfId="1830" xr:uid="{00000000-0005-0000-0000-000024070000}"/>
    <cellStyle name="40% - Accent4 9 2" xfId="1831" xr:uid="{00000000-0005-0000-0000-000025070000}"/>
    <cellStyle name="40% - Accent4 9 2 2" xfId="1832" xr:uid="{00000000-0005-0000-0000-000026070000}"/>
    <cellStyle name="40% - Accent4 9 2 2 2" xfId="1833" xr:uid="{00000000-0005-0000-0000-000027070000}"/>
    <cellStyle name="40% - Accent4 9 2 3" xfId="1834" xr:uid="{00000000-0005-0000-0000-000028070000}"/>
    <cellStyle name="40% - Accent4 9 3" xfId="1835" xr:uid="{00000000-0005-0000-0000-000029070000}"/>
    <cellStyle name="40% - Accent4 9 3 2" xfId="1836" xr:uid="{00000000-0005-0000-0000-00002A070000}"/>
    <cellStyle name="40% - Accent4 9 4" xfId="1837" xr:uid="{00000000-0005-0000-0000-00002B070000}"/>
    <cellStyle name="40% - Accent5 10" xfId="1838" xr:uid="{00000000-0005-0000-0000-00002C070000}"/>
    <cellStyle name="40% - Accent5 10 2" xfId="1839" xr:uid="{00000000-0005-0000-0000-00002D070000}"/>
    <cellStyle name="40% - Accent5 10 2 2" xfId="1840" xr:uid="{00000000-0005-0000-0000-00002E070000}"/>
    <cellStyle name="40% - Accent5 10 2 2 2" xfId="1841" xr:uid="{00000000-0005-0000-0000-00002F070000}"/>
    <cellStyle name="40% - Accent5 10 2 3" xfId="1842" xr:uid="{00000000-0005-0000-0000-000030070000}"/>
    <cellStyle name="40% - Accent5 10 3" xfId="1843" xr:uid="{00000000-0005-0000-0000-000031070000}"/>
    <cellStyle name="40% - Accent5 10 3 2" xfId="1844" xr:uid="{00000000-0005-0000-0000-000032070000}"/>
    <cellStyle name="40% - Accent5 10 4" xfId="1845" xr:uid="{00000000-0005-0000-0000-000033070000}"/>
    <cellStyle name="40% - Accent5 11" xfId="1846" xr:uid="{00000000-0005-0000-0000-000034070000}"/>
    <cellStyle name="40% - Accent5 11 2" xfId="1847" xr:uid="{00000000-0005-0000-0000-000035070000}"/>
    <cellStyle name="40% - Accent5 11 2 2" xfId="1848" xr:uid="{00000000-0005-0000-0000-000036070000}"/>
    <cellStyle name="40% - Accent5 11 2 2 2" xfId="1849" xr:uid="{00000000-0005-0000-0000-000037070000}"/>
    <cellStyle name="40% - Accent5 11 2 3" xfId="1850" xr:uid="{00000000-0005-0000-0000-000038070000}"/>
    <cellStyle name="40% - Accent5 11 3" xfId="1851" xr:uid="{00000000-0005-0000-0000-000039070000}"/>
    <cellStyle name="40% - Accent5 11 3 2" xfId="1852" xr:uid="{00000000-0005-0000-0000-00003A070000}"/>
    <cellStyle name="40% - Accent5 11 4" xfId="1853" xr:uid="{00000000-0005-0000-0000-00003B070000}"/>
    <cellStyle name="40% - Accent5 12" xfId="1854" xr:uid="{00000000-0005-0000-0000-00003C070000}"/>
    <cellStyle name="40% - Accent5 12 2" xfId="1855" xr:uid="{00000000-0005-0000-0000-00003D070000}"/>
    <cellStyle name="40% - Accent5 12 2 2" xfId="1856" xr:uid="{00000000-0005-0000-0000-00003E070000}"/>
    <cellStyle name="40% - Accent5 12 2 2 2" xfId="1857" xr:uid="{00000000-0005-0000-0000-00003F070000}"/>
    <cellStyle name="40% - Accent5 12 2 3" xfId="1858" xr:uid="{00000000-0005-0000-0000-000040070000}"/>
    <cellStyle name="40% - Accent5 12 3" xfId="1859" xr:uid="{00000000-0005-0000-0000-000041070000}"/>
    <cellStyle name="40% - Accent5 12 3 2" xfId="1860" xr:uid="{00000000-0005-0000-0000-000042070000}"/>
    <cellStyle name="40% - Accent5 12 4" xfId="1861" xr:uid="{00000000-0005-0000-0000-000043070000}"/>
    <cellStyle name="40% - Accent5 13" xfId="1862" xr:uid="{00000000-0005-0000-0000-000044070000}"/>
    <cellStyle name="40% - Accent5 13 2" xfId="1863" xr:uid="{00000000-0005-0000-0000-000045070000}"/>
    <cellStyle name="40% - Accent5 13 2 2" xfId="1864" xr:uid="{00000000-0005-0000-0000-000046070000}"/>
    <cellStyle name="40% - Accent5 13 2 2 2" xfId="1865" xr:uid="{00000000-0005-0000-0000-000047070000}"/>
    <cellStyle name="40% - Accent5 13 2 3" xfId="1866" xr:uid="{00000000-0005-0000-0000-000048070000}"/>
    <cellStyle name="40% - Accent5 13 3" xfId="1867" xr:uid="{00000000-0005-0000-0000-000049070000}"/>
    <cellStyle name="40% - Accent5 13 3 2" xfId="1868" xr:uid="{00000000-0005-0000-0000-00004A070000}"/>
    <cellStyle name="40% - Accent5 13 4" xfId="1869" xr:uid="{00000000-0005-0000-0000-00004B070000}"/>
    <cellStyle name="40% - Accent5 14" xfId="1870" xr:uid="{00000000-0005-0000-0000-00004C070000}"/>
    <cellStyle name="40% - Accent5 14 2" xfId="1871" xr:uid="{00000000-0005-0000-0000-00004D070000}"/>
    <cellStyle name="40% - Accent5 14 2 2" xfId="1872" xr:uid="{00000000-0005-0000-0000-00004E070000}"/>
    <cellStyle name="40% - Accent5 14 2 2 2" xfId="1873" xr:uid="{00000000-0005-0000-0000-00004F070000}"/>
    <cellStyle name="40% - Accent5 14 2 3" xfId="1874" xr:uid="{00000000-0005-0000-0000-000050070000}"/>
    <cellStyle name="40% - Accent5 14 3" xfId="1875" xr:uid="{00000000-0005-0000-0000-000051070000}"/>
    <cellStyle name="40% - Accent5 14 3 2" xfId="1876" xr:uid="{00000000-0005-0000-0000-000052070000}"/>
    <cellStyle name="40% - Accent5 14 4" xfId="1877" xr:uid="{00000000-0005-0000-0000-000053070000}"/>
    <cellStyle name="40% - Accent5 15" xfId="1878" xr:uid="{00000000-0005-0000-0000-000054070000}"/>
    <cellStyle name="40% - Accent5 15 2" xfId="1879" xr:uid="{00000000-0005-0000-0000-000055070000}"/>
    <cellStyle name="40% - Accent5 15 2 2" xfId="1880" xr:uid="{00000000-0005-0000-0000-000056070000}"/>
    <cellStyle name="40% - Accent5 15 2 2 2" xfId="1881" xr:uid="{00000000-0005-0000-0000-000057070000}"/>
    <cellStyle name="40% - Accent5 15 2 3" xfId="1882" xr:uid="{00000000-0005-0000-0000-000058070000}"/>
    <cellStyle name="40% - Accent5 15 3" xfId="1883" xr:uid="{00000000-0005-0000-0000-000059070000}"/>
    <cellStyle name="40% - Accent5 15 3 2" xfId="1884" xr:uid="{00000000-0005-0000-0000-00005A070000}"/>
    <cellStyle name="40% - Accent5 15 4" xfId="1885" xr:uid="{00000000-0005-0000-0000-00005B070000}"/>
    <cellStyle name="40% - Accent5 16" xfId="1886" xr:uid="{00000000-0005-0000-0000-00005C070000}"/>
    <cellStyle name="40% - Accent5 16 2" xfId="1887" xr:uid="{00000000-0005-0000-0000-00005D070000}"/>
    <cellStyle name="40% - Accent5 16 2 2" xfId="1888" xr:uid="{00000000-0005-0000-0000-00005E070000}"/>
    <cellStyle name="40% - Accent5 16 2 2 2" xfId="1889" xr:uid="{00000000-0005-0000-0000-00005F070000}"/>
    <cellStyle name="40% - Accent5 16 2 3" xfId="1890" xr:uid="{00000000-0005-0000-0000-000060070000}"/>
    <cellStyle name="40% - Accent5 16 3" xfId="1891" xr:uid="{00000000-0005-0000-0000-000061070000}"/>
    <cellStyle name="40% - Accent5 16 3 2" xfId="1892" xr:uid="{00000000-0005-0000-0000-000062070000}"/>
    <cellStyle name="40% - Accent5 16 4" xfId="1893" xr:uid="{00000000-0005-0000-0000-000063070000}"/>
    <cellStyle name="40% - Accent5 17" xfId="1894" xr:uid="{00000000-0005-0000-0000-000064070000}"/>
    <cellStyle name="40% - Accent5 17 2" xfId="1895" xr:uid="{00000000-0005-0000-0000-000065070000}"/>
    <cellStyle name="40% - Accent5 17 2 2" xfId="1896" xr:uid="{00000000-0005-0000-0000-000066070000}"/>
    <cellStyle name="40% - Accent5 17 2 2 2" xfId="1897" xr:uid="{00000000-0005-0000-0000-000067070000}"/>
    <cellStyle name="40% - Accent5 17 2 3" xfId="1898" xr:uid="{00000000-0005-0000-0000-000068070000}"/>
    <cellStyle name="40% - Accent5 17 3" xfId="1899" xr:uid="{00000000-0005-0000-0000-000069070000}"/>
    <cellStyle name="40% - Accent5 17 3 2" xfId="1900" xr:uid="{00000000-0005-0000-0000-00006A070000}"/>
    <cellStyle name="40% - Accent5 17 4" xfId="1901" xr:uid="{00000000-0005-0000-0000-00006B070000}"/>
    <cellStyle name="40% - Accent5 18" xfId="1902" xr:uid="{00000000-0005-0000-0000-00006C070000}"/>
    <cellStyle name="40% - Accent5 18 2" xfId="1903" xr:uid="{00000000-0005-0000-0000-00006D070000}"/>
    <cellStyle name="40% - Accent5 18 2 2" xfId="1904" xr:uid="{00000000-0005-0000-0000-00006E070000}"/>
    <cellStyle name="40% - Accent5 18 2 2 2" xfId="1905" xr:uid="{00000000-0005-0000-0000-00006F070000}"/>
    <cellStyle name="40% - Accent5 18 2 3" xfId="1906" xr:uid="{00000000-0005-0000-0000-000070070000}"/>
    <cellStyle name="40% - Accent5 18 3" xfId="1907" xr:uid="{00000000-0005-0000-0000-000071070000}"/>
    <cellStyle name="40% - Accent5 18 3 2" xfId="1908" xr:uid="{00000000-0005-0000-0000-000072070000}"/>
    <cellStyle name="40% - Accent5 18 4" xfId="1909" xr:uid="{00000000-0005-0000-0000-000073070000}"/>
    <cellStyle name="40% - Accent5 19" xfId="1910" xr:uid="{00000000-0005-0000-0000-000074070000}"/>
    <cellStyle name="40% - Accent5 19 2" xfId="1911" xr:uid="{00000000-0005-0000-0000-000075070000}"/>
    <cellStyle name="40% - Accent5 19 2 2" xfId="1912" xr:uid="{00000000-0005-0000-0000-000076070000}"/>
    <cellStyle name="40% - Accent5 19 2 2 2" xfId="1913" xr:uid="{00000000-0005-0000-0000-000077070000}"/>
    <cellStyle name="40% - Accent5 19 2 3" xfId="1914" xr:uid="{00000000-0005-0000-0000-000078070000}"/>
    <cellStyle name="40% - Accent5 19 3" xfId="1915" xr:uid="{00000000-0005-0000-0000-000079070000}"/>
    <cellStyle name="40% - Accent5 19 3 2" xfId="1916" xr:uid="{00000000-0005-0000-0000-00007A070000}"/>
    <cellStyle name="40% - Accent5 19 4" xfId="1917" xr:uid="{00000000-0005-0000-0000-00007B070000}"/>
    <cellStyle name="40% - Accent5 2" xfId="1918" xr:uid="{00000000-0005-0000-0000-00007C070000}"/>
    <cellStyle name="40% - Accent5 2 2" xfId="1919" xr:uid="{00000000-0005-0000-0000-00007D070000}"/>
    <cellStyle name="40% - Accent5 2 2 2" xfId="1920" xr:uid="{00000000-0005-0000-0000-00007E070000}"/>
    <cellStyle name="40% - Accent5 2 2 2 2" xfId="1921" xr:uid="{00000000-0005-0000-0000-00007F070000}"/>
    <cellStyle name="40% - Accent5 2 2 3" xfId="1922" xr:uid="{00000000-0005-0000-0000-000080070000}"/>
    <cellStyle name="40% - Accent5 2 3" xfId="1923" xr:uid="{00000000-0005-0000-0000-000081070000}"/>
    <cellStyle name="40% - Accent5 2 3 2" xfId="1924" xr:uid="{00000000-0005-0000-0000-000082070000}"/>
    <cellStyle name="40% - Accent5 2 4" xfId="1925" xr:uid="{00000000-0005-0000-0000-000083070000}"/>
    <cellStyle name="40% - Accent5 20" xfId="1926" xr:uid="{00000000-0005-0000-0000-000084070000}"/>
    <cellStyle name="40% - Accent5 20 2" xfId="1927" xr:uid="{00000000-0005-0000-0000-000085070000}"/>
    <cellStyle name="40% - Accent5 20 2 2" xfId="1928" xr:uid="{00000000-0005-0000-0000-000086070000}"/>
    <cellStyle name="40% - Accent5 20 2 2 2" xfId="1929" xr:uid="{00000000-0005-0000-0000-000087070000}"/>
    <cellStyle name="40% - Accent5 20 2 3" xfId="1930" xr:uid="{00000000-0005-0000-0000-000088070000}"/>
    <cellStyle name="40% - Accent5 20 3" xfId="1931" xr:uid="{00000000-0005-0000-0000-000089070000}"/>
    <cellStyle name="40% - Accent5 20 3 2" xfId="1932" xr:uid="{00000000-0005-0000-0000-00008A070000}"/>
    <cellStyle name="40% - Accent5 20 4" xfId="1933" xr:uid="{00000000-0005-0000-0000-00008B070000}"/>
    <cellStyle name="40% - Accent5 21" xfId="1934" xr:uid="{00000000-0005-0000-0000-00008C070000}"/>
    <cellStyle name="40% - Accent5 21 2" xfId="1935" xr:uid="{00000000-0005-0000-0000-00008D070000}"/>
    <cellStyle name="40% - Accent5 21 2 2" xfId="1936" xr:uid="{00000000-0005-0000-0000-00008E070000}"/>
    <cellStyle name="40% - Accent5 21 2 2 2" xfId="1937" xr:uid="{00000000-0005-0000-0000-00008F070000}"/>
    <cellStyle name="40% - Accent5 21 2 3" xfId="1938" xr:uid="{00000000-0005-0000-0000-000090070000}"/>
    <cellStyle name="40% - Accent5 21 3" xfId="1939" xr:uid="{00000000-0005-0000-0000-000091070000}"/>
    <cellStyle name="40% - Accent5 21 3 2" xfId="1940" xr:uid="{00000000-0005-0000-0000-000092070000}"/>
    <cellStyle name="40% - Accent5 21 4" xfId="1941" xr:uid="{00000000-0005-0000-0000-000093070000}"/>
    <cellStyle name="40% - Accent5 22" xfId="1942" xr:uid="{00000000-0005-0000-0000-000094070000}"/>
    <cellStyle name="40% - Accent5 22 2" xfId="1943" xr:uid="{00000000-0005-0000-0000-000095070000}"/>
    <cellStyle name="40% - Accent5 22 2 2" xfId="1944" xr:uid="{00000000-0005-0000-0000-000096070000}"/>
    <cellStyle name="40% - Accent5 22 2 2 2" xfId="1945" xr:uid="{00000000-0005-0000-0000-000097070000}"/>
    <cellStyle name="40% - Accent5 22 2 3" xfId="1946" xr:uid="{00000000-0005-0000-0000-000098070000}"/>
    <cellStyle name="40% - Accent5 22 3" xfId="1947" xr:uid="{00000000-0005-0000-0000-000099070000}"/>
    <cellStyle name="40% - Accent5 22 3 2" xfId="1948" xr:uid="{00000000-0005-0000-0000-00009A070000}"/>
    <cellStyle name="40% - Accent5 22 4" xfId="1949" xr:uid="{00000000-0005-0000-0000-00009B070000}"/>
    <cellStyle name="40% - Accent5 23" xfId="1950" xr:uid="{00000000-0005-0000-0000-00009C070000}"/>
    <cellStyle name="40% - Accent5 23 2" xfId="1951" xr:uid="{00000000-0005-0000-0000-00009D070000}"/>
    <cellStyle name="40% - Accent5 23 2 2" xfId="1952" xr:uid="{00000000-0005-0000-0000-00009E070000}"/>
    <cellStyle name="40% - Accent5 23 2 2 2" xfId="1953" xr:uid="{00000000-0005-0000-0000-00009F070000}"/>
    <cellStyle name="40% - Accent5 23 2 3" xfId="1954" xr:uid="{00000000-0005-0000-0000-0000A0070000}"/>
    <cellStyle name="40% - Accent5 23 3" xfId="1955" xr:uid="{00000000-0005-0000-0000-0000A1070000}"/>
    <cellStyle name="40% - Accent5 23 3 2" xfId="1956" xr:uid="{00000000-0005-0000-0000-0000A2070000}"/>
    <cellStyle name="40% - Accent5 23 4" xfId="1957" xr:uid="{00000000-0005-0000-0000-0000A3070000}"/>
    <cellStyle name="40% - Accent5 24" xfId="1958" xr:uid="{00000000-0005-0000-0000-0000A4070000}"/>
    <cellStyle name="40% - Accent5 24 2" xfId="1959" xr:uid="{00000000-0005-0000-0000-0000A5070000}"/>
    <cellStyle name="40% - Accent5 24 2 2" xfId="1960" xr:uid="{00000000-0005-0000-0000-0000A6070000}"/>
    <cellStyle name="40% - Accent5 24 3" xfId="1961" xr:uid="{00000000-0005-0000-0000-0000A7070000}"/>
    <cellStyle name="40% - Accent5 25" xfId="1962" xr:uid="{00000000-0005-0000-0000-0000A8070000}"/>
    <cellStyle name="40% - Accent5 25 2" xfId="1963" xr:uid="{00000000-0005-0000-0000-0000A9070000}"/>
    <cellStyle name="40% - Accent5 26" xfId="1964" xr:uid="{00000000-0005-0000-0000-0000AA070000}"/>
    <cellStyle name="40% - Accent5 3" xfId="1965" xr:uid="{00000000-0005-0000-0000-0000AB070000}"/>
    <cellStyle name="40% - Accent5 3 2" xfId="1966" xr:uid="{00000000-0005-0000-0000-0000AC070000}"/>
    <cellStyle name="40% - Accent5 3 2 2" xfId="1967" xr:uid="{00000000-0005-0000-0000-0000AD070000}"/>
    <cellStyle name="40% - Accent5 3 2 2 2" xfId="1968" xr:uid="{00000000-0005-0000-0000-0000AE070000}"/>
    <cellStyle name="40% - Accent5 3 2 3" xfId="1969" xr:uid="{00000000-0005-0000-0000-0000AF070000}"/>
    <cellStyle name="40% - Accent5 3 3" xfId="1970" xr:uid="{00000000-0005-0000-0000-0000B0070000}"/>
    <cellStyle name="40% - Accent5 3 3 2" xfId="1971" xr:uid="{00000000-0005-0000-0000-0000B1070000}"/>
    <cellStyle name="40% - Accent5 3 4" xfId="1972" xr:uid="{00000000-0005-0000-0000-0000B2070000}"/>
    <cellStyle name="40% - Accent5 4" xfId="1973" xr:uid="{00000000-0005-0000-0000-0000B3070000}"/>
    <cellStyle name="40% - Accent5 4 2" xfId="1974" xr:uid="{00000000-0005-0000-0000-0000B4070000}"/>
    <cellStyle name="40% - Accent5 4 2 2" xfId="1975" xr:uid="{00000000-0005-0000-0000-0000B5070000}"/>
    <cellStyle name="40% - Accent5 4 2 2 2" xfId="1976" xr:uid="{00000000-0005-0000-0000-0000B6070000}"/>
    <cellStyle name="40% - Accent5 4 2 3" xfId="1977" xr:uid="{00000000-0005-0000-0000-0000B7070000}"/>
    <cellStyle name="40% - Accent5 4 3" xfId="1978" xr:uid="{00000000-0005-0000-0000-0000B8070000}"/>
    <cellStyle name="40% - Accent5 4 3 2" xfId="1979" xr:uid="{00000000-0005-0000-0000-0000B9070000}"/>
    <cellStyle name="40% - Accent5 4 4" xfId="1980" xr:uid="{00000000-0005-0000-0000-0000BA070000}"/>
    <cellStyle name="40% - Accent5 5" xfId="1981" xr:uid="{00000000-0005-0000-0000-0000BB070000}"/>
    <cellStyle name="40% - Accent5 5 2" xfId="1982" xr:uid="{00000000-0005-0000-0000-0000BC070000}"/>
    <cellStyle name="40% - Accent5 5 2 2" xfId="1983" xr:uid="{00000000-0005-0000-0000-0000BD070000}"/>
    <cellStyle name="40% - Accent5 5 2 2 2" xfId="1984" xr:uid="{00000000-0005-0000-0000-0000BE070000}"/>
    <cellStyle name="40% - Accent5 5 2 3" xfId="1985" xr:uid="{00000000-0005-0000-0000-0000BF070000}"/>
    <cellStyle name="40% - Accent5 5 3" xfId="1986" xr:uid="{00000000-0005-0000-0000-0000C0070000}"/>
    <cellStyle name="40% - Accent5 5 3 2" xfId="1987" xr:uid="{00000000-0005-0000-0000-0000C1070000}"/>
    <cellStyle name="40% - Accent5 5 4" xfId="1988" xr:uid="{00000000-0005-0000-0000-0000C2070000}"/>
    <cellStyle name="40% - Accent5 6" xfId="1989" xr:uid="{00000000-0005-0000-0000-0000C3070000}"/>
    <cellStyle name="40% - Accent5 6 2" xfId="1990" xr:uid="{00000000-0005-0000-0000-0000C4070000}"/>
    <cellStyle name="40% - Accent5 6 2 2" xfId="1991" xr:uid="{00000000-0005-0000-0000-0000C5070000}"/>
    <cellStyle name="40% - Accent5 6 2 2 2" xfId="1992" xr:uid="{00000000-0005-0000-0000-0000C6070000}"/>
    <cellStyle name="40% - Accent5 6 2 3" xfId="1993" xr:uid="{00000000-0005-0000-0000-0000C7070000}"/>
    <cellStyle name="40% - Accent5 6 3" xfId="1994" xr:uid="{00000000-0005-0000-0000-0000C8070000}"/>
    <cellStyle name="40% - Accent5 6 3 2" xfId="1995" xr:uid="{00000000-0005-0000-0000-0000C9070000}"/>
    <cellStyle name="40% - Accent5 6 4" xfId="1996" xr:uid="{00000000-0005-0000-0000-0000CA070000}"/>
    <cellStyle name="40% - Accent5 7" xfId="1997" xr:uid="{00000000-0005-0000-0000-0000CB070000}"/>
    <cellStyle name="40% - Accent5 7 2" xfId="1998" xr:uid="{00000000-0005-0000-0000-0000CC070000}"/>
    <cellStyle name="40% - Accent5 7 2 2" xfId="1999" xr:uid="{00000000-0005-0000-0000-0000CD070000}"/>
    <cellStyle name="40% - Accent5 7 2 2 2" xfId="2000" xr:uid="{00000000-0005-0000-0000-0000CE070000}"/>
    <cellStyle name="40% - Accent5 7 2 3" xfId="2001" xr:uid="{00000000-0005-0000-0000-0000CF070000}"/>
    <cellStyle name="40% - Accent5 7 3" xfId="2002" xr:uid="{00000000-0005-0000-0000-0000D0070000}"/>
    <cellStyle name="40% - Accent5 7 3 2" xfId="2003" xr:uid="{00000000-0005-0000-0000-0000D1070000}"/>
    <cellStyle name="40% - Accent5 7 4" xfId="2004" xr:uid="{00000000-0005-0000-0000-0000D2070000}"/>
    <cellStyle name="40% - Accent5 8" xfId="2005" xr:uid="{00000000-0005-0000-0000-0000D3070000}"/>
    <cellStyle name="40% - Accent5 8 2" xfId="2006" xr:uid="{00000000-0005-0000-0000-0000D4070000}"/>
    <cellStyle name="40% - Accent5 8 2 2" xfId="2007" xr:uid="{00000000-0005-0000-0000-0000D5070000}"/>
    <cellStyle name="40% - Accent5 8 2 2 2" xfId="2008" xr:uid="{00000000-0005-0000-0000-0000D6070000}"/>
    <cellStyle name="40% - Accent5 8 2 3" xfId="2009" xr:uid="{00000000-0005-0000-0000-0000D7070000}"/>
    <cellStyle name="40% - Accent5 8 3" xfId="2010" xr:uid="{00000000-0005-0000-0000-0000D8070000}"/>
    <cellStyle name="40% - Accent5 8 3 2" xfId="2011" xr:uid="{00000000-0005-0000-0000-0000D9070000}"/>
    <cellStyle name="40% - Accent5 8 4" xfId="2012" xr:uid="{00000000-0005-0000-0000-0000DA070000}"/>
    <cellStyle name="40% - Accent5 9" xfId="2013" xr:uid="{00000000-0005-0000-0000-0000DB070000}"/>
    <cellStyle name="40% - Accent5 9 2" xfId="2014" xr:uid="{00000000-0005-0000-0000-0000DC070000}"/>
    <cellStyle name="40% - Accent5 9 2 2" xfId="2015" xr:uid="{00000000-0005-0000-0000-0000DD070000}"/>
    <cellStyle name="40% - Accent5 9 2 2 2" xfId="2016" xr:uid="{00000000-0005-0000-0000-0000DE070000}"/>
    <cellStyle name="40% - Accent5 9 2 3" xfId="2017" xr:uid="{00000000-0005-0000-0000-0000DF070000}"/>
    <cellStyle name="40% - Accent5 9 3" xfId="2018" xr:uid="{00000000-0005-0000-0000-0000E0070000}"/>
    <cellStyle name="40% - Accent5 9 3 2" xfId="2019" xr:uid="{00000000-0005-0000-0000-0000E1070000}"/>
    <cellStyle name="40% - Accent5 9 4" xfId="2020" xr:uid="{00000000-0005-0000-0000-0000E2070000}"/>
    <cellStyle name="40% - Accent6 10" xfId="2021" xr:uid="{00000000-0005-0000-0000-0000E3070000}"/>
    <cellStyle name="40% - Accent6 10 2" xfId="2022" xr:uid="{00000000-0005-0000-0000-0000E4070000}"/>
    <cellStyle name="40% - Accent6 10 2 2" xfId="2023" xr:uid="{00000000-0005-0000-0000-0000E5070000}"/>
    <cellStyle name="40% - Accent6 10 2 2 2" xfId="2024" xr:uid="{00000000-0005-0000-0000-0000E6070000}"/>
    <cellStyle name="40% - Accent6 10 2 3" xfId="2025" xr:uid="{00000000-0005-0000-0000-0000E7070000}"/>
    <cellStyle name="40% - Accent6 10 3" xfId="2026" xr:uid="{00000000-0005-0000-0000-0000E8070000}"/>
    <cellStyle name="40% - Accent6 10 3 2" xfId="2027" xr:uid="{00000000-0005-0000-0000-0000E9070000}"/>
    <cellStyle name="40% - Accent6 10 4" xfId="2028" xr:uid="{00000000-0005-0000-0000-0000EA070000}"/>
    <cellStyle name="40% - Accent6 11" xfId="2029" xr:uid="{00000000-0005-0000-0000-0000EB070000}"/>
    <cellStyle name="40% - Accent6 11 2" xfId="2030" xr:uid="{00000000-0005-0000-0000-0000EC070000}"/>
    <cellStyle name="40% - Accent6 11 2 2" xfId="2031" xr:uid="{00000000-0005-0000-0000-0000ED070000}"/>
    <cellStyle name="40% - Accent6 11 2 2 2" xfId="2032" xr:uid="{00000000-0005-0000-0000-0000EE070000}"/>
    <cellStyle name="40% - Accent6 11 2 3" xfId="2033" xr:uid="{00000000-0005-0000-0000-0000EF070000}"/>
    <cellStyle name="40% - Accent6 11 3" xfId="2034" xr:uid="{00000000-0005-0000-0000-0000F0070000}"/>
    <cellStyle name="40% - Accent6 11 3 2" xfId="2035" xr:uid="{00000000-0005-0000-0000-0000F1070000}"/>
    <cellStyle name="40% - Accent6 11 4" xfId="2036" xr:uid="{00000000-0005-0000-0000-0000F2070000}"/>
    <cellStyle name="40% - Accent6 12" xfId="2037" xr:uid="{00000000-0005-0000-0000-0000F3070000}"/>
    <cellStyle name="40% - Accent6 12 2" xfId="2038" xr:uid="{00000000-0005-0000-0000-0000F4070000}"/>
    <cellStyle name="40% - Accent6 12 2 2" xfId="2039" xr:uid="{00000000-0005-0000-0000-0000F5070000}"/>
    <cellStyle name="40% - Accent6 12 2 2 2" xfId="2040" xr:uid="{00000000-0005-0000-0000-0000F6070000}"/>
    <cellStyle name="40% - Accent6 12 2 3" xfId="2041" xr:uid="{00000000-0005-0000-0000-0000F7070000}"/>
    <cellStyle name="40% - Accent6 12 3" xfId="2042" xr:uid="{00000000-0005-0000-0000-0000F8070000}"/>
    <cellStyle name="40% - Accent6 12 3 2" xfId="2043" xr:uid="{00000000-0005-0000-0000-0000F9070000}"/>
    <cellStyle name="40% - Accent6 12 4" xfId="2044" xr:uid="{00000000-0005-0000-0000-0000FA070000}"/>
    <cellStyle name="40% - Accent6 13" xfId="2045" xr:uid="{00000000-0005-0000-0000-0000FB070000}"/>
    <cellStyle name="40% - Accent6 13 2" xfId="2046" xr:uid="{00000000-0005-0000-0000-0000FC070000}"/>
    <cellStyle name="40% - Accent6 13 2 2" xfId="2047" xr:uid="{00000000-0005-0000-0000-0000FD070000}"/>
    <cellStyle name="40% - Accent6 13 2 2 2" xfId="2048" xr:uid="{00000000-0005-0000-0000-0000FE070000}"/>
    <cellStyle name="40% - Accent6 13 2 3" xfId="2049" xr:uid="{00000000-0005-0000-0000-0000FF070000}"/>
    <cellStyle name="40% - Accent6 13 3" xfId="2050" xr:uid="{00000000-0005-0000-0000-000000080000}"/>
    <cellStyle name="40% - Accent6 13 3 2" xfId="2051" xr:uid="{00000000-0005-0000-0000-000001080000}"/>
    <cellStyle name="40% - Accent6 13 4" xfId="2052" xr:uid="{00000000-0005-0000-0000-000002080000}"/>
    <cellStyle name="40% - Accent6 14" xfId="2053" xr:uid="{00000000-0005-0000-0000-000003080000}"/>
    <cellStyle name="40% - Accent6 14 2" xfId="2054" xr:uid="{00000000-0005-0000-0000-000004080000}"/>
    <cellStyle name="40% - Accent6 14 2 2" xfId="2055" xr:uid="{00000000-0005-0000-0000-000005080000}"/>
    <cellStyle name="40% - Accent6 14 2 2 2" xfId="2056" xr:uid="{00000000-0005-0000-0000-000006080000}"/>
    <cellStyle name="40% - Accent6 14 2 3" xfId="2057" xr:uid="{00000000-0005-0000-0000-000007080000}"/>
    <cellStyle name="40% - Accent6 14 3" xfId="2058" xr:uid="{00000000-0005-0000-0000-000008080000}"/>
    <cellStyle name="40% - Accent6 14 3 2" xfId="2059" xr:uid="{00000000-0005-0000-0000-000009080000}"/>
    <cellStyle name="40% - Accent6 14 4" xfId="2060" xr:uid="{00000000-0005-0000-0000-00000A080000}"/>
    <cellStyle name="40% - Accent6 15" xfId="2061" xr:uid="{00000000-0005-0000-0000-00000B080000}"/>
    <cellStyle name="40% - Accent6 15 2" xfId="2062" xr:uid="{00000000-0005-0000-0000-00000C080000}"/>
    <cellStyle name="40% - Accent6 15 2 2" xfId="2063" xr:uid="{00000000-0005-0000-0000-00000D080000}"/>
    <cellStyle name="40% - Accent6 15 2 2 2" xfId="2064" xr:uid="{00000000-0005-0000-0000-00000E080000}"/>
    <cellStyle name="40% - Accent6 15 2 3" xfId="2065" xr:uid="{00000000-0005-0000-0000-00000F080000}"/>
    <cellStyle name="40% - Accent6 15 3" xfId="2066" xr:uid="{00000000-0005-0000-0000-000010080000}"/>
    <cellStyle name="40% - Accent6 15 3 2" xfId="2067" xr:uid="{00000000-0005-0000-0000-000011080000}"/>
    <cellStyle name="40% - Accent6 15 4" xfId="2068" xr:uid="{00000000-0005-0000-0000-000012080000}"/>
    <cellStyle name="40% - Accent6 16" xfId="2069" xr:uid="{00000000-0005-0000-0000-000013080000}"/>
    <cellStyle name="40% - Accent6 16 2" xfId="2070" xr:uid="{00000000-0005-0000-0000-000014080000}"/>
    <cellStyle name="40% - Accent6 16 2 2" xfId="2071" xr:uid="{00000000-0005-0000-0000-000015080000}"/>
    <cellStyle name="40% - Accent6 16 2 2 2" xfId="2072" xr:uid="{00000000-0005-0000-0000-000016080000}"/>
    <cellStyle name="40% - Accent6 16 2 3" xfId="2073" xr:uid="{00000000-0005-0000-0000-000017080000}"/>
    <cellStyle name="40% - Accent6 16 3" xfId="2074" xr:uid="{00000000-0005-0000-0000-000018080000}"/>
    <cellStyle name="40% - Accent6 16 3 2" xfId="2075" xr:uid="{00000000-0005-0000-0000-000019080000}"/>
    <cellStyle name="40% - Accent6 16 4" xfId="2076" xr:uid="{00000000-0005-0000-0000-00001A080000}"/>
    <cellStyle name="40% - Accent6 17" xfId="2077" xr:uid="{00000000-0005-0000-0000-00001B080000}"/>
    <cellStyle name="40% - Accent6 17 2" xfId="2078" xr:uid="{00000000-0005-0000-0000-00001C080000}"/>
    <cellStyle name="40% - Accent6 17 2 2" xfId="2079" xr:uid="{00000000-0005-0000-0000-00001D080000}"/>
    <cellStyle name="40% - Accent6 17 2 2 2" xfId="2080" xr:uid="{00000000-0005-0000-0000-00001E080000}"/>
    <cellStyle name="40% - Accent6 17 2 3" xfId="2081" xr:uid="{00000000-0005-0000-0000-00001F080000}"/>
    <cellStyle name="40% - Accent6 17 3" xfId="2082" xr:uid="{00000000-0005-0000-0000-000020080000}"/>
    <cellStyle name="40% - Accent6 17 3 2" xfId="2083" xr:uid="{00000000-0005-0000-0000-000021080000}"/>
    <cellStyle name="40% - Accent6 17 4" xfId="2084" xr:uid="{00000000-0005-0000-0000-000022080000}"/>
    <cellStyle name="40% - Accent6 18" xfId="2085" xr:uid="{00000000-0005-0000-0000-000023080000}"/>
    <cellStyle name="40% - Accent6 18 2" xfId="2086" xr:uid="{00000000-0005-0000-0000-000024080000}"/>
    <cellStyle name="40% - Accent6 18 2 2" xfId="2087" xr:uid="{00000000-0005-0000-0000-000025080000}"/>
    <cellStyle name="40% - Accent6 18 2 2 2" xfId="2088" xr:uid="{00000000-0005-0000-0000-000026080000}"/>
    <cellStyle name="40% - Accent6 18 2 3" xfId="2089" xr:uid="{00000000-0005-0000-0000-000027080000}"/>
    <cellStyle name="40% - Accent6 18 3" xfId="2090" xr:uid="{00000000-0005-0000-0000-000028080000}"/>
    <cellStyle name="40% - Accent6 18 3 2" xfId="2091" xr:uid="{00000000-0005-0000-0000-000029080000}"/>
    <cellStyle name="40% - Accent6 18 4" xfId="2092" xr:uid="{00000000-0005-0000-0000-00002A080000}"/>
    <cellStyle name="40% - Accent6 19" xfId="2093" xr:uid="{00000000-0005-0000-0000-00002B080000}"/>
    <cellStyle name="40% - Accent6 19 2" xfId="2094" xr:uid="{00000000-0005-0000-0000-00002C080000}"/>
    <cellStyle name="40% - Accent6 19 2 2" xfId="2095" xr:uid="{00000000-0005-0000-0000-00002D080000}"/>
    <cellStyle name="40% - Accent6 19 2 2 2" xfId="2096" xr:uid="{00000000-0005-0000-0000-00002E080000}"/>
    <cellStyle name="40% - Accent6 19 2 3" xfId="2097" xr:uid="{00000000-0005-0000-0000-00002F080000}"/>
    <cellStyle name="40% - Accent6 19 3" xfId="2098" xr:uid="{00000000-0005-0000-0000-000030080000}"/>
    <cellStyle name="40% - Accent6 19 3 2" xfId="2099" xr:uid="{00000000-0005-0000-0000-000031080000}"/>
    <cellStyle name="40% - Accent6 19 4" xfId="2100" xr:uid="{00000000-0005-0000-0000-000032080000}"/>
    <cellStyle name="40% - Accent6 2" xfId="2101" xr:uid="{00000000-0005-0000-0000-000033080000}"/>
    <cellStyle name="40% - Accent6 2 2" xfId="2102" xr:uid="{00000000-0005-0000-0000-000034080000}"/>
    <cellStyle name="40% - Accent6 2 2 2" xfId="2103" xr:uid="{00000000-0005-0000-0000-000035080000}"/>
    <cellStyle name="40% - Accent6 2 2 2 2" xfId="2104" xr:uid="{00000000-0005-0000-0000-000036080000}"/>
    <cellStyle name="40% - Accent6 2 2 3" xfId="2105" xr:uid="{00000000-0005-0000-0000-000037080000}"/>
    <cellStyle name="40% - Accent6 2 3" xfId="2106" xr:uid="{00000000-0005-0000-0000-000038080000}"/>
    <cellStyle name="40% - Accent6 2 3 2" xfId="2107" xr:uid="{00000000-0005-0000-0000-000039080000}"/>
    <cellStyle name="40% - Accent6 2 4" xfId="2108" xr:uid="{00000000-0005-0000-0000-00003A080000}"/>
    <cellStyle name="40% - Accent6 20" xfId="2109" xr:uid="{00000000-0005-0000-0000-00003B080000}"/>
    <cellStyle name="40% - Accent6 20 2" xfId="2110" xr:uid="{00000000-0005-0000-0000-00003C080000}"/>
    <cellStyle name="40% - Accent6 20 2 2" xfId="2111" xr:uid="{00000000-0005-0000-0000-00003D080000}"/>
    <cellStyle name="40% - Accent6 20 2 2 2" xfId="2112" xr:uid="{00000000-0005-0000-0000-00003E080000}"/>
    <cellStyle name="40% - Accent6 20 2 3" xfId="2113" xr:uid="{00000000-0005-0000-0000-00003F080000}"/>
    <cellStyle name="40% - Accent6 20 3" xfId="2114" xr:uid="{00000000-0005-0000-0000-000040080000}"/>
    <cellStyle name="40% - Accent6 20 3 2" xfId="2115" xr:uid="{00000000-0005-0000-0000-000041080000}"/>
    <cellStyle name="40% - Accent6 20 4" xfId="2116" xr:uid="{00000000-0005-0000-0000-000042080000}"/>
    <cellStyle name="40% - Accent6 21" xfId="2117" xr:uid="{00000000-0005-0000-0000-000043080000}"/>
    <cellStyle name="40% - Accent6 21 2" xfId="2118" xr:uid="{00000000-0005-0000-0000-000044080000}"/>
    <cellStyle name="40% - Accent6 21 2 2" xfId="2119" xr:uid="{00000000-0005-0000-0000-000045080000}"/>
    <cellStyle name="40% - Accent6 21 2 2 2" xfId="2120" xr:uid="{00000000-0005-0000-0000-000046080000}"/>
    <cellStyle name="40% - Accent6 21 2 3" xfId="2121" xr:uid="{00000000-0005-0000-0000-000047080000}"/>
    <cellStyle name="40% - Accent6 21 3" xfId="2122" xr:uid="{00000000-0005-0000-0000-000048080000}"/>
    <cellStyle name="40% - Accent6 21 3 2" xfId="2123" xr:uid="{00000000-0005-0000-0000-000049080000}"/>
    <cellStyle name="40% - Accent6 21 4" xfId="2124" xr:uid="{00000000-0005-0000-0000-00004A080000}"/>
    <cellStyle name="40% - Accent6 22" xfId="2125" xr:uid="{00000000-0005-0000-0000-00004B080000}"/>
    <cellStyle name="40% - Accent6 22 2" xfId="2126" xr:uid="{00000000-0005-0000-0000-00004C080000}"/>
    <cellStyle name="40% - Accent6 22 2 2" xfId="2127" xr:uid="{00000000-0005-0000-0000-00004D080000}"/>
    <cellStyle name="40% - Accent6 22 2 2 2" xfId="2128" xr:uid="{00000000-0005-0000-0000-00004E080000}"/>
    <cellStyle name="40% - Accent6 22 2 3" xfId="2129" xr:uid="{00000000-0005-0000-0000-00004F080000}"/>
    <cellStyle name="40% - Accent6 22 3" xfId="2130" xr:uid="{00000000-0005-0000-0000-000050080000}"/>
    <cellStyle name="40% - Accent6 22 3 2" xfId="2131" xr:uid="{00000000-0005-0000-0000-000051080000}"/>
    <cellStyle name="40% - Accent6 22 4" xfId="2132" xr:uid="{00000000-0005-0000-0000-000052080000}"/>
    <cellStyle name="40% - Accent6 23" xfId="2133" xr:uid="{00000000-0005-0000-0000-000053080000}"/>
    <cellStyle name="40% - Accent6 23 2" xfId="2134" xr:uid="{00000000-0005-0000-0000-000054080000}"/>
    <cellStyle name="40% - Accent6 23 2 2" xfId="2135" xr:uid="{00000000-0005-0000-0000-000055080000}"/>
    <cellStyle name="40% - Accent6 23 2 2 2" xfId="2136" xr:uid="{00000000-0005-0000-0000-000056080000}"/>
    <cellStyle name="40% - Accent6 23 2 3" xfId="2137" xr:uid="{00000000-0005-0000-0000-000057080000}"/>
    <cellStyle name="40% - Accent6 23 3" xfId="2138" xr:uid="{00000000-0005-0000-0000-000058080000}"/>
    <cellStyle name="40% - Accent6 23 3 2" xfId="2139" xr:uid="{00000000-0005-0000-0000-000059080000}"/>
    <cellStyle name="40% - Accent6 23 4" xfId="2140" xr:uid="{00000000-0005-0000-0000-00005A080000}"/>
    <cellStyle name="40% - Accent6 24" xfId="2141" xr:uid="{00000000-0005-0000-0000-00005B080000}"/>
    <cellStyle name="40% - Accent6 24 2" xfId="2142" xr:uid="{00000000-0005-0000-0000-00005C080000}"/>
    <cellStyle name="40% - Accent6 24 2 2" xfId="2143" xr:uid="{00000000-0005-0000-0000-00005D080000}"/>
    <cellStyle name="40% - Accent6 24 3" xfId="2144" xr:uid="{00000000-0005-0000-0000-00005E080000}"/>
    <cellStyle name="40% - Accent6 25" xfId="2145" xr:uid="{00000000-0005-0000-0000-00005F080000}"/>
    <cellStyle name="40% - Accent6 25 2" xfId="2146" xr:uid="{00000000-0005-0000-0000-000060080000}"/>
    <cellStyle name="40% - Accent6 26" xfId="2147" xr:uid="{00000000-0005-0000-0000-000061080000}"/>
    <cellStyle name="40% - Accent6 3" xfId="2148" xr:uid="{00000000-0005-0000-0000-000062080000}"/>
    <cellStyle name="40% - Accent6 3 2" xfId="2149" xr:uid="{00000000-0005-0000-0000-000063080000}"/>
    <cellStyle name="40% - Accent6 3 2 2" xfId="2150" xr:uid="{00000000-0005-0000-0000-000064080000}"/>
    <cellStyle name="40% - Accent6 3 2 2 2" xfId="2151" xr:uid="{00000000-0005-0000-0000-000065080000}"/>
    <cellStyle name="40% - Accent6 3 2 3" xfId="2152" xr:uid="{00000000-0005-0000-0000-000066080000}"/>
    <cellStyle name="40% - Accent6 3 3" xfId="2153" xr:uid="{00000000-0005-0000-0000-000067080000}"/>
    <cellStyle name="40% - Accent6 3 3 2" xfId="2154" xr:uid="{00000000-0005-0000-0000-000068080000}"/>
    <cellStyle name="40% - Accent6 3 4" xfId="2155" xr:uid="{00000000-0005-0000-0000-000069080000}"/>
    <cellStyle name="40% - Accent6 4" xfId="2156" xr:uid="{00000000-0005-0000-0000-00006A080000}"/>
    <cellStyle name="40% - Accent6 4 2" xfId="2157" xr:uid="{00000000-0005-0000-0000-00006B080000}"/>
    <cellStyle name="40% - Accent6 4 2 2" xfId="2158" xr:uid="{00000000-0005-0000-0000-00006C080000}"/>
    <cellStyle name="40% - Accent6 4 2 2 2" xfId="2159" xr:uid="{00000000-0005-0000-0000-00006D080000}"/>
    <cellStyle name="40% - Accent6 4 2 3" xfId="2160" xr:uid="{00000000-0005-0000-0000-00006E080000}"/>
    <cellStyle name="40% - Accent6 4 3" xfId="2161" xr:uid="{00000000-0005-0000-0000-00006F080000}"/>
    <cellStyle name="40% - Accent6 4 3 2" xfId="2162" xr:uid="{00000000-0005-0000-0000-000070080000}"/>
    <cellStyle name="40% - Accent6 4 4" xfId="2163" xr:uid="{00000000-0005-0000-0000-000071080000}"/>
    <cellStyle name="40% - Accent6 5" xfId="2164" xr:uid="{00000000-0005-0000-0000-000072080000}"/>
    <cellStyle name="40% - Accent6 5 2" xfId="2165" xr:uid="{00000000-0005-0000-0000-000073080000}"/>
    <cellStyle name="40% - Accent6 5 2 2" xfId="2166" xr:uid="{00000000-0005-0000-0000-000074080000}"/>
    <cellStyle name="40% - Accent6 5 2 2 2" xfId="2167" xr:uid="{00000000-0005-0000-0000-000075080000}"/>
    <cellStyle name="40% - Accent6 5 2 3" xfId="2168" xr:uid="{00000000-0005-0000-0000-000076080000}"/>
    <cellStyle name="40% - Accent6 5 3" xfId="2169" xr:uid="{00000000-0005-0000-0000-000077080000}"/>
    <cellStyle name="40% - Accent6 5 3 2" xfId="2170" xr:uid="{00000000-0005-0000-0000-000078080000}"/>
    <cellStyle name="40% - Accent6 5 4" xfId="2171" xr:uid="{00000000-0005-0000-0000-000079080000}"/>
    <cellStyle name="40% - Accent6 6" xfId="2172" xr:uid="{00000000-0005-0000-0000-00007A080000}"/>
    <cellStyle name="40% - Accent6 6 2" xfId="2173" xr:uid="{00000000-0005-0000-0000-00007B080000}"/>
    <cellStyle name="40% - Accent6 6 2 2" xfId="2174" xr:uid="{00000000-0005-0000-0000-00007C080000}"/>
    <cellStyle name="40% - Accent6 6 2 2 2" xfId="2175" xr:uid="{00000000-0005-0000-0000-00007D080000}"/>
    <cellStyle name="40% - Accent6 6 2 3" xfId="2176" xr:uid="{00000000-0005-0000-0000-00007E080000}"/>
    <cellStyle name="40% - Accent6 6 3" xfId="2177" xr:uid="{00000000-0005-0000-0000-00007F080000}"/>
    <cellStyle name="40% - Accent6 6 3 2" xfId="2178" xr:uid="{00000000-0005-0000-0000-000080080000}"/>
    <cellStyle name="40% - Accent6 6 4" xfId="2179" xr:uid="{00000000-0005-0000-0000-000081080000}"/>
    <cellStyle name="40% - Accent6 7" xfId="2180" xr:uid="{00000000-0005-0000-0000-000082080000}"/>
    <cellStyle name="40% - Accent6 7 2" xfId="2181" xr:uid="{00000000-0005-0000-0000-000083080000}"/>
    <cellStyle name="40% - Accent6 7 2 2" xfId="2182" xr:uid="{00000000-0005-0000-0000-000084080000}"/>
    <cellStyle name="40% - Accent6 7 2 2 2" xfId="2183" xr:uid="{00000000-0005-0000-0000-000085080000}"/>
    <cellStyle name="40% - Accent6 7 2 3" xfId="2184" xr:uid="{00000000-0005-0000-0000-000086080000}"/>
    <cellStyle name="40% - Accent6 7 3" xfId="2185" xr:uid="{00000000-0005-0000-0000-000087080000}"/>
    <cellStyle name="40% - Accent6 7 3 2" xfId="2186" xr:uid="{00000000-0005-0000-0000-000088080000}"/>
    <cellStyle name="40% - Accent6 7 4" xfId="2187" xr:uid="{00000000-0005-0000-0000-000089080000}"/>
    <cellStyle name="40% - Accent6 8" xfId="2188" xr:uid="{00000000-0005-0000-0000-00008A080000}"/>
    <cellStyle name="40% - Accent6 8 2" xfId="2189" xr:uid="{00000000-0005-0000-0000-00008B080000}"/>
    <cellStyle name="40% - Accent6 8 2 2" xfId="2190" xr:uid="{00000000-0005-0000-0000-00008C080000}"/>
    <cellStyle name="40% - Accent6 8 2 2 2" xfId="2191" xr:uid="{00000000-0005-0000-0000-00008D080000}"/>
    <cellStyle name="40% - Accent6 8 2 3" xfId="2192" xr:uid="{00000000-0005-0000-0000-00008E080000}"/>
    <cellStyle name="40% - Accent6 8 3" xfId="2193" xr:uid="{00000000-0005-0000-0000-00008F080000}"/>
    <cellStyle name="40% - Accent6 8 3 2" xfId="2194" xr:uid="{00000000-0005-0000-0000-000090080000}"/>
    <cellStyle name="40% - Accent6 8 4" xfId="2195" xr:uid="{00000000-0005-0000-0000-000091080000}"/>
    <cellStyle name="40% - Accent6 9" xfId="2196" xr:uid="{00000000-0005-0000-0000-000092080000}"/>
    <cellStyle name="40% - Accent6 9 2" xfId="2197" xr:uid="{00000000-0005-0000-0000-000093080000}"/>
    <cellStyle name="40% - Accent6 9 2 2" xfId="2198" xr:uid="{00000000-0005-0000-0000-000094080000}"/>
    <cellStyle name="40% - Accent6 9 2 2 2" xfId="2199" xr:uid="{00000000-0005-0000-0000-000095080000}"/>
    <cellStyle name="40% - Accent6 9 2 3" xfId="2200" xr:uid="{00000000-0005-0000-0000-000096080000}"/>
    <cellStyle name="40% - Accent6 9 3" xfId="2201" xr:uid="{00000000-0005-0000-0000-000097080000}"/>
    <cellStyle name="40% - Accent6 9 3 2" xfId="2202" xr:uid="{00000000-0005-0000-0000-000098080000}"/>
    <cellStyle name="40% - Accent6 9 4" xfId="2203" xr:uid="{00000000-0005-0000-0000-000099080000}"/>
    <cellStyle name="Comma [0] 2" xfId="2204" xr:uid="{00000000-0005-0000-0000-00009A080000}"/>
    <cellStyle name="Comma 2" xfId="2205" xr:uid="{00000000-0005-0000-0000-00009B080000}"/>
    <cellStyle name="Comma 2 2" xfId="2206" xr:uid="{00000000-0005-0000-0000-00009C080000}"/>
    <cellStyle name="Comma 2 2 2" xfId="2207" xr:uid="{00000000-0005-0000-0000-00009D080000}"/>
    <cellStyle name="Comma 2 2 2 2" xfId="2208" xr:uid="{00000000-0005-0000-0000-00009E080000}"/>
    <cellStyle name="Comma 2 2 2 3" xfId="2209" xr:uid="{00000000-0005-0000-0000-00009F080000}"/>
    <cellStyle name="Comma 2 2 3" xfId="2210" xr:uid="{00000000-0005-0000-0000-0000A0080000}"/>
    <cellStyle name="Comma 2 3" xfId="2211" xr:uid="{00000000-0005-0000-0000-0000A1080000}"/>
    <cellStyle name="Comma 2 3 2" xfId="2212" xr:uid="{00000000-0005-0000-0000-0000A2080000}"/>
    <cellStyle name="Comma 2 4" xfId="2213" xr:uid="{00000000-0005-0000-0000-0000A3080000}"/>
    <cellStyle name="Comma 3" xfId="2214" xr:uid="{00000000-0005-0000-0000-0000A4080000}"/>
    <cellStyle name="Comma 3 2" xfId="2215" xr:uid="{00000000-0005-0000-0000-0000A5080000}"/>
    <cellStyle name="Comma 3 2 2" xfId="2216" xr:uid="{00000000-0005-0000-0000-0000A6080000}"/>
    <cellStyle name="Comma 3 3" xfId="2217" xr:uid="{00000000-0005-0000-0000-0000A7080000}"/>
    <cellStyle name="Comma 4" xfId="2218" xr:uid="{00000000-0005-0000-0000-0000A8080000}"/>
    <cellStyle name="Comma 4 2" xfId="2219" xr:uid="{00000000-0005-0000-0000-0000A9080000}"/>
    <cellStyle name="Comma 4 2 2" xfId="2220" xr:uid="{00000000-0005-0000-0000-0000AA080000}"/>
    <cellStyle name="Comma 4 3" xfId="2221" xr:uid="{00000000-0005-0000-0000-0000AB080000}"/>
    <cellStyle name="Currency 2" xfId="2222" xr:uid="{00000000-0005-0000-0000-0000AC080000}"/>
    <cellStyle name="Currency 3" xfId="2223" xr:uid="{00000000-0005-0000-0000-0000AD080000}"/>
    <cellStyle name="Currency 3 2" xfId="2224" xr:uid="{00000000-0005-0000-0000-0000AE080000}"/>
    <cellStyle name="Currency 3 2 2" xfId="2225" xr:uid="{00000000-0005-0000-0000-0000AF080000}"/>
    <cellStyle name="Currency 3 2 3" xfId="2226" xr:uid="{00000000-0005-0000-0000-0000B0080000}"/>
    <cellStyle name="Currency 3 3" xfId="2227" xr:uid="{00000000-0005-0000-0000-0000B1080000}"/>
    <cellStyle name="Currency 4" xfId="2228" xr:uid="{00000000-0005-0000-0000-0000B2080000}"/>
    <cellStyle name="Currency 4 2" xfId="2229" xr:uid="{00000000-0005-0000-0000-0000B3080000}"/>
    <cellStyle name="Currency 4 2 2" xfId="2230" xr:uid="{00000000-0005-0000-0000-0000B4080000}"/>
    <cellStyle name="Currency 4 3" xfId="2231" xr:uid="{00000000-0005-0000-0000-0000B5080000}"/>
    <cellStyle name="Currency 5" xfId="2232" xr:uid="{00000000-0005-0000-0000-0000B6080000}"/>
    <cellStyle name="Currency 5 2" xfId="2233" xr:uid="{00000000-0005-0000-0000-0000B7080000}"/>
    <cellStyle name="Currency 5 2 2" xfId="2234" xr:uid="{00000000-0005-0000-0000-0000B8080000}"/>
    <cellStyle name="Currency 5 3" xfId="2235" xr:uid="{00000000-0005-0000-0000-0000B9080000}"/>
    <cellStyle name="Euro" xfId="2236" xr:uid="{00000000-0005-0000-0000-0000BA080000}"/>
    <cellStyle name="Heading" xfId="2237" xr:uid="{00000000-0005-0000-0000-0000BB080000}"/>
    <cellStyle name="Migliaia (0)" xfId="2238" xr:uid="{00000000-0005-0000-0000-0000BC080000}"/>
    <cellStyle name="Normal" xfId="0" builtinId="0"/>
    <cellStyle name="Normal 10" xfId="2239" xr:uid="{00000000-0005-0000-0000-0000BE080000}"/>
    <cellStyle name="Normal 10 2" xfId="2240" xr:uid="{00000000-0005-0000-0000-0000BF080000}"/>
    <cellStyle name="Normal 10 2 2" xfId="2241" xr:uid="{00000000-0005-0000-0000-0000C0080000}"/>
    <cellStyle name="Normal 10 2 2 2" xfId="2242" xr:uid="{00000000-0005-0000-0000-0000C1080000}"/>
    <cellStyle name="Normal 10 2 3" xfId="2243" xr:uid="{00000000-0005-0000-0000-0000C2080000}"/>
    <cellStyle name="Normal 10 3" xfId="2244" xr:uid="{00000000-0005-0000-0000-0000C3080000}"/>
    <cellStyle name="Normal 10 3 2" xfId="2245" xr:uid="{00000000-0005-0000-0000-0000C4080000}"/>
    <cellStyle name="Normal 10 4" xfId="2246" xr:uid="{00000000-0005-0000-0000-0000C5080000}"/>
    <cellStyle name="Normal 11" xfId="2247" xr:uid="{00000000-0005-0000-0000-0000C6080000}"/>
    <cellStyle name="Normal 11 2" xfId="2248" xr:uid="{00000000-0005-0000-0000-0000C7080000}"/>
    <cellStyle name="Normal 11 2 2" xfId="2249" xr:uid="{00000000-0005-0000-0000-0000C8080000}"/>
    <cellStyle name="Normal 11 2 2 2" xfId="2250" xr:uid="{00000000-0005-0000-0000-0000C9080000}"/>
    <cellStyle name="Normal 11 2 3" xfId="2251" xr:uid="{00000000-0005-0000-0000-0000CA080000}"/>
    <cellStyle name="Normal 11 3" xfId="2252" xr:uid="{00000000-0005-0000-0000-0000CB080000}"/>
    <cellStyle name="Normal 11 3 2" xfId="2253" xr:uid="{00000000-0005-0000-0000-0000CC080000}"/>
    <cellStyle name="Normal 11 4" xfId="2254" xr:uid="{00000000-0005-0000-0000-0000CD080000}"/>
    <cellStyle name="Normal 12" xfId="2255" xr:uid="{00000000-0005-0000-0000-0000CE080000}"/>
    <cellStyle name="Normal 12 2" xfId="2256" xr:uid="{00000000-0005-0000-0000-0000CF080000}"/>
    <cellStyle name="Normal 12 2 2" xfId="2257" xr:uid="{00000000-0005-0000-0000-0000D0080000}"/>
    <cellStyle name="Normal 12 2 2 2" xfId="2258" xr:uid="{00000000-0005-0000-0000-0000D1080000}"/>
    <cellStyle name="Normal 12 2 3" xfId="2259" xr:uid="{00000000-0005-0000-0000-0000D2080000}"/>
    <cellStyle name="Normal 12 3" xfId="2260" xr:uid="{00000000-0005-0000-0000-0000D3080000}"/>
    <cellStyle name="Normal 12 3 2" xfId="2261" xr:uid="{00000000-0005-0000-0000-0000D4080000}"/>
    <cellStyle name="Normal 12 4" xfId="2262" xr:uid="{00000000-0005-0000-0000-0000D5080000}"/>
    <cellStyle name="Normal 13" xfId="2263" xr:uid="{00000000-0005-0000-0000-0000D6080000}"/>
    <cellStyle name="Normal 13 2" xfId="2264" xr:uid="{00000000-0005-0000-0000-0000D7080000}"/>
    <cellStyle name="Normal 13 2 2" xfId="2265" xr:uid="{00000000-0005-0000-0000-0000D8080000}"/>
    <cellStyle name="Normal 13 2 2 2" xfId="2266" xr:uid="{00000000-0005-0000-0000-0000D9080000}"/>
    <cellStyle name="Normal 13 2 3" xfId="2267" xr:uid="{00000000-0005-0000-0000-0000DA080000}"/>
    <cellStyle name="Normal 13 3" xfId="2268" xr:uid="{00000000-0005-0000-0000-0000DB080000}"/>
    <cellStyle name="Normal 13 3 2" xfId="2269" xr:uid="{00000000-0005-0000-0000-0000DC080000}"/>
    <cellStyle name="Normal 13 4" xfId="2270" xr:uid="{00000000-0005-0000-0000-0000DD080000}"/>
    <cellStyle name="Normal 14" xfId="2271" xr:uid="{00000000-0005-0000-0000-0000DE080000}"/>
    <cellStyle name="Normal 14 2" xfId="2272" xr:uid="{00000000-0005-0000-0000-0000DF080000}"/>
    <cellStyle name="Normal 14 2 2" xfId="2273" xr:uid="{00000000-0005-0000-0000-0000E0080000}"/>
    <cellStyle name="Normal 14 2 2 2" xfId="2274" xr:uid="{00000000-0005-0000-0000-0000E1080000}"/>
    <cellStyle name="Normal 14 2 3" xfId="2275" xr:uid="{00000000-0005-0000-0000-0000E2080000}"/>
    <cellStyle name="Normal 14 3" xfId="2276" xr:uid="{00000000-0005-0000-0000-0000E3080000}"/>
    <cellStyle name="Normal 14 3 2" xfId="2277" xr:uid="{00000000-0005-0000-0000-0000E4080000}"/>
    <cellStyle name="Normal 14 4" xfId="2278" xr:uid="{00000000-0005-0000-0000-0000E5080000}"/>
    <cellStyle name="Normal 15" xfId="2279" xr:uid="{00000000-0005-0000-0000-0000E6080000}"/>
    <cellStyle name="Normal 15 2" xfId="2280" xr:uid="{00000000-0005-0000-0000-0000E7080000}"/>
    <cellStyle name="Normal 15 2 2" xfId="2281" xr:uid="{00000000-0005-0000-0000-0000E8080000}"/>
    <cellStyle name="Normal 15 2 2 2" xfId="2282" xr:uid="{00000000-0005-0000-0000-0000E9080000}"/>
    <cellStyle name="Normal 15 2 3" xfId="2283" xr:uid="{00000000-0005-0000-0000-0000EA080000}"/>
    <cellStyle name="Normal 15 3" xfId="2284" xr:uid="{00000000-0005-0000-0000-0000EB080000}"/>
    <cellStyle name="Normal 15 3 2" xfId="2285" xr:uid="{00000000-0005-0000-0000-0000EC080000}"/>
    <cellStyle name="Normal 15 4" xfId="2286" xr:uid="{00000000-0005-0000-0000-0000ED080000}"/>
    <cellStyle name="Normal 16" xfId="2287" xr:uid="{00000000-0005-0000-0000-0000EE080000}"/>
    <cellStyle name="Normal 16 2" xfId="2288" xr:uid="{00000000-0005-0000-0000-0000EF080000}"/>
    <cellStyle name="Normal 16 2 2" xfId="2289" xr:uid="{00000000-0005-0000-0000-0000F0080000}"/>
    <cellStyle name="Normal 16 2 2 2" xfId="2290" xr:uid="{00000000-0005-0000-0000-0000F1080000}"/>
    <cellStyle name="Normal 16 2 3" xfId="2291" xr:uid="{00000000-0005-0000-0000-0000F2080000}"/>
    <cellStyle name="Normal 16 3" xfId="2292" xr:uid="{00000000-0005-0000-0000-0000F3080000}"/>
    <cellStyle name="Normal 16 3 2" xfId="2293" xr:uid="{00000000-0005-0000-0000-0000F4080000}"/>
    <cellStyle name="Normal 16 4" xfId="2294" xr:uid="{00000000-0005-0000-0000-0000F5080000}"/>
    <cellStyle name="Normal 17" xfId="2295" xr:uid="{00000000-0005-0000-0000-0000F6080000}"/>
    <cellStyle name="Normal 17 2" xfId="2296" xr:uid="{00000000-0005-0000-0000-0000F7080000}"/>
    <cellStyle name="Normal 17 2 2" xfId="2297" xr:uid="{00000000-0005-0000-0000-0000F8080000}"/>
    <cellStyle name="Normal 17 2 2 2" xfId="2298" xr:uid="{00000000-0005-0000-0000-0000F9080000}"/>
    <cellStyle name="Normal 17 2 3" xfId="2299" xr:uid="{00000000-0005-0000-0000-0000FA080000}"/>
    <cellStyle name="Normal 17 3" xfId="2300" xr:uid="{00000000-0005-0000-0000-0000FB080000}"/>
    <cellStyle name="Normal 17 3 2" xfId="2301" xr:uid="{00000000-0005-0000-0000-0000FC080000}"/>
    <cellStyle name="Normal 17 4" xfId="2302" xr:uid="{00000000-0005-0000-0000-0000FD080000}"/>
    <cellStyle name="Normal 18" xfId="2303" xr:uid="{00000000-0005-0000-0000-0000FE080000}"/>
    <cellStyle name="Normal 18 2" xfId="2304" xr:uid="{00000000-0005-0000-0000-0000FF080000}"/>
    <cellStyle name="Normal 18 2 2" xfId="2305" xr:uid="{00000000-0005-0000-0000-000000090000}"/>
    <cellStyle name="Normal 18 2 2 2" xfId="2306" xr:uid="{00000000-0005-0000-0000-000001090000}"/>
    <cellStyle name="Normal 18 2 3" xfId="2307" xr:uid="{00000000-0005-0000-0000-000002090000}"/>
    <cellStyle name="Normal 18 3" xfId="2308" xr:uid="{00000000-0005-0000-0000-000003090000}"/>
    <cellStyle name="Normal 18 3 2" xfId="2309" xr:uid="{00000000-0005-0000-0000-000004090000}"/>
    <cellStyle name="Normal 18 4" xfId="2310" xr:uid="{00000000-0005-0000-0000-000005090000}"/>
    <cellStyle name="Normal 19" xfId="2311" xr:uid="{00000000-0005-0000-0000-000006090000}"/>
    <cellStyle name="Normal 19 2" xfId="2312" xr:uid="{00000000-0005-0000-0000-000007090000}"/>
    <cellStyle name="Normal 19 2 2" xfId="2313" xr:uid="{00000000-0005-0000-0000-000008090000}"/>
    <cellStyle name="Normal 19 2 2 2" xfId="2314" xr:uid="{00000000-0005-0000-0000-000009090000}"/>
    <cellStyle name="Normal 19 2 3" xfId="2315" xr:uid="{00000000-0005-0000-0000-00000A090000}"/>
    <cellStyle name="Normal 19 3" xfId="2316" xr:uid="{00000000-0005-0000-0000-00000B090000}"/>
    <cellStyle name="Normal 19 3 2" xfId="2317" xr:uid="{00000000-0005-0000-0000-00000C090000}"/>
    <cellStyle name="Normal 19 4" xfId="2318" xr:uid="{00000000-0005-0000-0000-00000D090000}"/>
    <cellStyle name="Normal 2" xfId="2319" xr:uid="{00000000-0005-0000-0000-00000E090000}"/>
    <cellStyle name="Normal 2 2" xfId="2320" xr:uid="{00000000-0005-0000-0000-00000F090000}"/>
    <cellStyle name="Normal 2 2 2" xfId="2321" xr:uid="{00000000-0005-0000-0000-000010090000}"/>
    <cellStyle name="Normal 2 2 3" xfId="2322" xr:uid="{00000000-0005-0000-0000-000011090000}"/>
    <cellStyle name="Normal 2 2 3 2" xfId="2323" xr:uid="{00000000-0005-0000-0000-000012090000}"/>
    <cellStyle name="Normal 2 2 3 2 2" xfId="2324" xr:uid="{00000000-0005-0000-0000-000013090000}"/>
    <cellStyle name="Normal 2 2 3 3" xfId="2325" xr:uid="{00000000-0005-0000-0000-000014090000}"/>
    <cellStyle name="Normal 2 3" xfId="2326" xr:uid="{00000000-0005-0000-0000-000015090000}"/>
    <cellStyle name="Normal 2 3 2" xfId="2327" xr:uid="{00000000-0005-0000-0000-000016090000}"/>
    <cellStyle name="Normal 2 3 2 2" xfId="2328" xr:uid="{00000000-0005-0000-0000-000017090000}"/>
    <cellStyle name="Normal 2 3 2 2 2" xfId="2329" xr:uid="{00000000-0005-0000-0000-000018090000}"/>
    <cellStyle name="Normal 2 3 2 3" xfId="2330" xr:uid="{00000000-0005-0000-0000-000019090000}"/>
    <cellStyle name="Normal 2 3 3" xfId="2331" xr:uid="{00000000-0005-0000-0000-00001A090000}"/>
    <cellStyle name="Normal 2 3 3 2" xfId="2332" xr:uid="{00000000-0005-0000-0000-00001B090000}"/>
    <cellStyle name="Normal 2 3 4" xfId="2333" xr:uid="{00000000-0005-0000-0000-00001C090000}"/>
    <cellStyle name="Normal 2 4" xfId="2334" xr:uid="{00000000-0005-0000-0000-00001D090000}"/>
    <cellStyle name="Normal 2 4 2" xfId="2335" xr:uid="{00000000-0005-0000-0000-00001E090000}"/>
    <cellStyle name="Normal 2 5" xfId="2336" xr:uid="{00000000-0005-0000-0000-00001F090000}"/>
    <cellStyle name="Normal 20" xfId="2337" xr:uid="{00000000-0005-0000-0000-000020090000}"/>
    <cellStyle name="Normal 20 2" xfId="2338" xr:uid="{00000000-0005-0000-0000-000021090000}"/>
    <cellStyle name="Normal 20 2 2" xfId="2339" xr:uid="{00000000-0005-0000-0000-000022090000}"/>
    <cellStyle name="Normal 20 2 2 2" xfId="2340" xr:uid="{00000000-0005-0000-0000-000023090000}"/>
    <cellStyle name="Normal 20 2 3" xfId="2341" xr:uid="{00000000-0005-0000-0000-000024090000}"/>
    <cellStyle name="Normal 20 3" xfId="2342" xr:uid="{00000000-0005-0000-0000-000025090000}"/>
    <cellStyle name="Normal 20 3 2" xfId="2343" xr:uid="{00000000-0005-0000-0000-000026090000}"/>
    <cellStyle name="Normal 20 4" xfId="2344" xr:uid="{00000000-0005-0000-0000-000027090000}"/>
    <cellStyle name="Normal 21" xfId="2345" xr:uid="{00000000-0005-0000-0000-000028090000}"/>
    <cellStyle name="Normal 21 2" xfId="2346" xr:uid="{00000000-0005-0000-0000-000029090000}"/>
    <cellStyle name="Normal 21 2 2" xfId="2347" xr:uid="{00000000-0005-0000-0000-00002A090000}"/>
    <cellStyle name="Normal 21 2 2 2" xfId="2348" xr:uid="{00000000-0005-0000-0000-00002B090000}"/>
    <cellStyle name="Normal 21 2 3" xfId="2349" xr:uid="{00000000-0005-0000-0000-00002C090000}"/>
    <cellStyle name="Normal 21 3" xfId="2350" xr:uid="{00000000-0005-0000-0000-00002D090000}"/>
    <cellStyle name="Normal 21 3 2" xfId="2351" xr:uid="{00000000-0005-0000-0000-00002E090000}"/>
    <cellStyle name="Normal 21 4" xfId="2352" xr:uid="{00000000-0005-0000-0000-00002F090000}"/>
    <cellStyle name="Normal 22" xfId="2353" xr:uid="{00000000-0005-0000-0000-000030090000}"/>
    <cellStyle name="Normal 22 2" xfId="2354" xr:uid="{00000000-0005-0000-0000-000031090000}"/>
    <cellStyle name="Normal 22 2 2" xfId="2355" xr:uid="{00000000-0005-0000-0000-000032090000}"/>
    <cellStyle name="Normal 22 2 2 2" xfId="2356" xr:uid="{00000000-0005-0000-0000-000033090000}"/>
    <cellStyle name="Normal 22 2 3" xfId="2357" xr:uid="{00000000-0005-0000-0000-000034090000}"/>
    <cellStyle name="Normal 22 3" xfId="2358" xr:uid="{00000000-0005-0000-0000-000035090000}"/>
    <cellStyle name="Normal 22 3 2" xfId="2359" xr:uid="{00000000-0005-0000-0000-000036090000}"/>
    <cellStyle name="Normal 22 4" xfId="2360" xr:uid="{00000000-0005-0000-0000-000037090000}"/>
    <cellStyle name="Normal 23" xfId="2361" xr:uid="{00000000-0005-0000-0000-000038090000}"/>
    <cellStyle name="Normal 23 2" xfId="2362" xr:uid="{00000000-0005-0000-0000-000039090000}"/>
    <cellStyle name="Normal 23 2 2" xfId="2363" xr:uid="{00000000-0005-0000-0000-00003A090000}"/>
    <cellStyle name="Normal 23 2 2 2" xfId="2364" xr:uid="{00000000-0005-0000-0000-00003B090000}"/>
    <cellStyle name="Normal 23 2 3" xfId="2365" xr:uid="{00000000-0005-0000-0000-00003C090000}"/>
    <cellStyle name="Normal 23 3" xfId="2366" xr:uid="{00000000-0005-0000-0000-00003D090000}"/>
    <cellStyle name="Normal 23 3 2" xfId="2367" xr:uid="{00000000-0005-0000-0000-00003E090000}"/>
    <cellStyle name="Normal 23 4" xfId="2368" xr:uid="{00000000-0005-0000-0000-00003F090000}"/>
    <cellStyle name="Normal 24" xfId="2369" xr:uid="{00000000-0005-0000-0000-000040090000}"/>
    <cellStyle name="Normal 24 2" xfId="2370" xr:uid="{00000000-0005-0000-0000-000041090000}"/>
    <cellStyle name="Normal 24 2 2" xfId="2371" xr:uid="{00000000-0005-0000-0000-000042090000}"/>
    <cellStyle name="Normal 24 2 2 2" xfId="2372" xr:uid="{00000000-0005-0000-0000-000043090000}"/>
    <cellStyle name="Normal 24 2 3" xfId="2373" xr:uid="{00000000-0005-0000-0000-000044090000}"/>
    <cellStyle name="Normal 24 3" xfId="2374" xr:uid="{00000000-0005-0000-0000-000045090000}"/>
    <cellStyle name="Normal 24 3 2" xfId="2375" xr:uid="{00000000-0005-0000-0000-000046090000}"/>
    <cellStyle name="Normal 24 4" xfId="2376" xr:uid="{00000000-0005-0000-0000-000047090000}"/>
    <cellStyle name="Normal 25" xfId="2377" xr:uid="{00000000-0005-0000-0000-000048090000}"/>
    <cellStyle name="Normal 25 2" xfId="2378" xr:uid="{00000000-0005-0000-0000-000049090000}"/>
    <cellStyle name="Normal 25 2 2" xfId="2379" xr:uid="{00000000-0005-0000-0000-00004A090000}"/>
    <cellStyle name="Normal 25 2 2 2" xfId="2380" xr:uid="{00000000-0005-0000-0000-00004B090000}"/>
    <cellStyle name="Normal 25 2 3" xfId="2381" xr:uid="{00000000-0005-0000-0000-00004C090000}"/>
    <cellStyle name="Normal 25 3" xfId="2382" xr:uid="{00000000-0005-0000-0000-00004D090000}"/>
    <cellStyle name="Normal 25 3 2" xfId="2383" xr:uid="{00000000-0005-0000-0000-00004E090000}"/>
    <cellStyle name="Normal 25 4" xfId="2384" xr:uid="{00000000-0005-0000-0000-00004F090000}"/>
    <cellStyle name="Normal 26" xfId="2385" xr:uid="{00000000-0005-0000-0000-000050090000}"/>
    <cellStyle name="Normal 26 2" xfId="2386" xr:uid="{00000000-0005-0000-0000-000051090000}"/>
    <cellStyle name="Normal 26 2 2" xfId="2387" xr:uid="{00000000-0005-0000-0000-000052090000}"/>
    <cellStyle name="Normal 26 2 2 2" xfId="2388" xr:uid="{00000000-0005-0000-0000-000053090000}"/>
    <cellStyle name="Normal 26 2 3" xfId="2389" xr:uid="{00000000-0005-0000-0000-000054090000}"/>
    <cellStyle name="Normal 26 3" xfId="2390" xr:uid="{00000000-0005-0000-0000-000055090000}"/>
    <cellStyle name="Normal 26 3 2" xfId="2391" xr:uid="{00000000-0005-0000-0000-000056090000}"/>
    <cellStyle name="Normal 26 4" xfId="2392" xr:uid="{00000000-0005-0000-0000-000057090000}"/>
    <cellStyle name="Normal 27" xfId="2393" xr:uid="{00000000-0005-0000-0000-000058090000}"/>
    <cellStyle name="Normal 27 2" xfId="2394" xr:uid="{00000000-0005-0000-0000-000059090000}"/>
    <cellStyle name="Normal 27 2 2" xfId="2395" xr:uid="{00000000-0005-0000-0000-00005A090000}"/>
    <cellStyle name="Normal 27 2 2 2" xfId="2396" xr:uid="{00000000-0005-0000-0000-00005B090000}"/>
    <cellStyle name="Normal 27 2 3" xfId="2397" xr:uid="{00000000-0005-0000-0000-00005C090000}"/>
    <cellStyle name="Normal 27 3" xfId="2398" xr:uid="{00000000-0005-0000-0000-00005D090000}"/>
    <cellStyle name="Normal 27 3 2" xfId="2399" xr:uid="{00000000-0005-0000-0000-00005E090000}"/>
    <cellStyle name="Normal 27 4" xfId="2400" xr:uid="{00000000-0005-0000-0000-00005F090000}"/>
    <cellStyle name="Normal 28" xfId="2401" xr:uid="{00000000-0005-0000-0000-000060090000}"/>
    <cellStyle name="Normal 28 2" xfId="2402" xr:uid="{00000000-0005-0000-0000-000061090000}"/>
    <cellStyle name="Normal 28 2 2" xfId="2403" xr:uid="{00000000-0005-0000-0000-000062090000}"/>
    <cellStyle name="Normal 28 2 2 2" xfId="2404" xr:uid="{00000000-0005-0000-0000-000063090000}"/>
    <cellStyle name="Normal 28 2 3" xfId="2405" xr:uid="{00000000-0005-0000-0000-000064090000}"/>
    <cellStyle name="Normal 28 3" xfId="2406" xr:uid="{00000000-0005-0000-0000-000065090000}"/>
    <cellStyle name="Normal 28 3 2" xfId="2407" xr:uid="{00000000-0005-0000-0000-000066090000}"/>
    <cellStyle name="Normal 28 4" xfId="2408" xr:uid="{00000000-0005-0000-0000-000067090000}"/>
    <cellStyle name="Normal 29" xfId="2409" xr:uid="{00000000-0005-0000-0000-000068090000}"/>
    <cellStyle name="Normal 29 2" xfId="2410" xr:uid="{00000000-0005-0000-0000-000069090000}"/>
    <cellStyle name="Normal 29 2 2" xfId="2411" xr:uid="{00000000-0005-0000-0000-00006A090000}"/>
    <cellStyle name="Normal 29 2 2 2" xfId="2412" xr:uid="{00000000-0005-0000-0000-00006B090000}"/>
    <cellStyle name="Normal 29 2 3" xfId="2413" xr:uid="{00000000-0005-0000-0000-00006C090000}"/>
    <cellStyle name="Normal 29 3" xfId="2414" xr:uid="{00000000-0005-0000-0000-00006D090000}"/>
    <cellStyle name="Normal 29 3 2" xfId="2415" xr:uid="{00000000-0005-0000-0000-00006E090000}"/>
    <cellStyle name="Normal 29 4" xfId="2416" xr:uid="{00000000-0005-0000-0000-00006F090000}"/>
    <cellStyle name="Normal 3" xfId="2417" xr:uid="{00000000-0005-0000-0000-000070090000}"/>
    <cellStyle name="Normal 3 2" xfId="2418" xr:uid="{00000000-0005-0000-0000-000071090000}"/>
    <cellStyle name="Normal 3 2 2" xfId="2419" xr:uid="{00000000-0005-0000-0000-000072090000}"/>
    <cellStyle name="Normal 3 2 2 2" xfId="2420" xr:uid="{00000000-0005-0000-0000-000073090000}"/>
    <cellStyle name="Normal 3 2 3" xfId="2421" xr:uid="{00000000-0005-0000-0000-000074090000}"/>
    <cellStyle name="Normal 3 3" xfId="2422" xr:uid="{00000000-0005-0000-0000-000075090000}"/>
    <cellStyle name="Normal 3 3 2" xfId="2423" xr:uid="{00000000-0005-0000-0000-000076090000}"/>
    <cellStyle name="Normal 3 4" xfId="2424" xr:uid="{00000000-0005-0000-0000-000077090000}"/>
    <cellStyle name="Normal 30" xfId="2425" xr:uid="{00000000-0005-0000-0000-000078090000}"/>
    <cellStyle name="Normal 30 2" xfId="2426" xr:uid="{00000000-0005-0000-0000-000079090000}"/>
    <cellStyle name="Normal 30 2 2" xfId="2427" xr:uid="{00000000-0005-0000-0000-00007A090000}"/>
    <cellStyle name="Normal 30 2 2 2" xfId="2428" xr:uid="{00000000-0005-0000-0000-00007B090000}"/>
    <cellStyle name="Normal 30 2 3" xfId="2429" xr:uid="{00000000-0005-0000-0000-00007C090000}"/>
    <cellStyle name="Normal 30 3" xfId="2430" xr:uid="{00000000-0005-0000-0000-00007D090000}"/>
    <cellStyle name="Normal 30 3 2" xfId="2431" xr:uid="{00000000-0005-0000-0000-00007E090000}"/>
    <cellStyle name="Normal 30 4" xfId="2432" xr:uid="{00000000-0005-0000-0000-00007F090000}"/>
    <cellStyle name="Normal 31" xfId="2433" xr:uid="{00000000-0005-0000-0000-000080090000}"/>
    <cellStyle name="Normal 32" xfId="2434" xr:uid="{00000000-0005-0000-0000-000081090000}"/>
    <cellStyle name="Normal 32 2" xfId="2435" xr:uid="{00000000-0005-0000-0000-000082090000}"/>
    <cellStyle name="Normal 32 2 2" xfId="2436" xr:uid="{00000000-0005-0000-0000-000083090000}"/>
    <cellStyle name="Normal 32 2 2 2" xfId="2437" xr:uid="{00000000-0005-0000-0000-000084090000}"/>
    <cellStyle name="Normal 32 2 2 2 2" xfId="2438" xr:uid="{00000000-0005-0000-0000-000085090000}"/>
    <cellStyle name="Normal 32 2 2 3" xfId="2439" xr:uid="{00000000-0005-0000-0000-000086090000}"/>
    <cellStyle name="Normal 32 2 2 3 2" xfId="2440" xr:uid="{00000000-0005-0000-0000-000087090000}"/>
    <cellStyle name="Normal 32 2 2 3 2 2" xfId="2441" xr:uid="{00000000-0005-0000-0000-000088090000}"/>
    <cellStyle name="Normal 32 2 2 3 2 3" xfId="2442" xr:uid="{00000000-0005-0000-0000-000089090000}"/>
    <cellStyle name="Normal 32 2 2 3 2 4" xfId="2443" xr:uid="{00000000-0005-0000-0000-00008A090000}"/>
    <cellStyle name="Normal 32 2 2 3 3" xfId="2444" xr:uid="{00000000-0005-0000-0000-00008B090000}"/>
    <cellStyle name="Normal 32 2 2 4" xfId="2445" xr:uid="{00000000-0005-0000-0000-00008C090000}"/>
    <cellStyle name="Normal 32 2 3" xfId="2446" xr:uid="{00000000-0005-0000-0000-00008D090000}"/>
    <cellStyle name="Normal 32 2 3 2" xfId="2447" xr:uid="{00000000-0005-0000-0000-00008E090000}"/>
    <cellStyle name="Normal 32 2 4" xfId="2448" xr:uid="{00000000-0005-0000-0000-00008F090000}"/>
    <cellStyle name="Normal 32 3" xfId="2449" xr:uid="{00000000-0005-0000-0000-000090090000}"/>
    <cellStyle name="Normal 32 3 2" xfId="2450" xr:uid="{00000000-0005-0000-0000-000091090000}"/>
    <cellStyle name="Normal 32 4" xfId="2451" xr:uid="{00000000-0005-0000-0000-000092090000}"/>
    <cellStyle name="Normal 33" xfId="2452" xr:uid="{00000000-0005-0000-0000-000093090000}"/>
    <cellStyle name="Normal 33 2" xfId="2453" xr:uid="{00000000-0005-0000-0000-000094090000}"/>
    <cellStyle name="Normal 33 2 2" xfId="2454" xr:uid="{00000000-0005-0000-0000-000095090000}"/>
    <cellStyle name="Normal 33 3" xfId="2455" xr:uid="{00000000-0005-0000-0000-000096090000}"/>
    <cellStyle name="Normal 33 3 2" xfId="2456" xr:uid="{00000000-0005-0000-0000-000097090000}"/>
    <cellStyle name="Normal 34" xfId="2457" xr:uid="{00000000-0005-0000-0000-000098090000}"/>
    <cellStyle name="Normal 34 2" xfId="2458" xr:uid="{00000000-0005-0000-0000-000099090000}"/>
    <cellStyle name="Normal 34 2 2" xfId="2459" xr:uid="{00000000-0005-0000-0000-00009A090000}"/>
    <cellStyle name="Normal 34 2 2 2" xfId="2460" xr:uid="{00000000-0005-0000-0000-00009B090000}"/>
    <cellStyle name="Normal 34 2 3" xfId="2461" xr:uid="{00000000-0005-0000-0000-00009C090000}"/>
    <cellStyle name="Normal 34 3" xfId="2462" xr:uid="{00000000-0005-0000-0000-00009D090000}"/>
    <cellStyle name="Normal 34 3 2" xfId="2463" xr:uid="{00000000-0005-0000-0000-00009E090000}"/>
    <cellStyle name="Normal 34 4" xfId="2464" xr:uid="{00000000-0005-0000-0000-00009F090000}"/>
    <cellStyle name="Normal 35" xfId="2465" xr:uid="{00000000-0005-0000-0000-0000A0090000}"/>
    <cellStyle name="Normal 36" xfId="2466" xr:uid="{00000000-0005-0000-0000-0000A1090000}"/>
    <cellStyle name="Normal 36 2" xfId="2467" xr:uid="{00000000-0005-0000-0000-0000A2090000}"/>
    <cellStyle name="Normal 36 2 2" xfId="2468" xr:uid="{00000000-0005-0000-0000-0000A3090000}"/>
    <cellStyle name="Normal 36 2 2 2" xfId="2469" xr:uid="{00000000-0005-0000-0000-0000A4090000}"/>
    <cellStyle name="Normal 36 2 3" xfId="2470" xr:uid="{00000000-0005-0000-0000-0000A5090000}"/>
    <cellStyle name="Normal 36 3" xfId="2471" xr:uid="{00000000-0005-0000-0000-0000A6090000}"/>
    <cellStyle name="Normal 36 3 2" xfId="2472" xr:uid="{00000000-0005-0000-0000-0000A7090000}"/>
    <cellStyle name="Normal 36 4" xfId="2473" xr:uid="{00000000-0005-0000-0000-0000A8090000}"/>
    <cellStyle name="Normal 37" xfId="2474" xr:uid="{00000000-0005-0000-0000-0000A9090000}"/>
    <cellStyle name="Normal 37 2" xfId="2475" xr:uid="{00000000-0005-0000-0000-0000AA090000}"/>
    <cellStyle name="Normal 38" xfId="2476" xr:uid="{00000000-0005-0000-0000-0000AB090000}"/>
    <cellStyle name="Normal 39" xfId="2477" xr:uid="{00000000-0005-0000-0000-0000AC090000}"/>
    <cellStyle name="Normal 4" xfId="2478" xr:uid="{00000000-0005-0000-0000-0000AD090000}"/>
    <cellStyle name="Normal 4 2" xfId="2479" xr:uid="{00000000-0005-0000-0000-0000AE090000}"/>
    <cellStyle name="Normal 4 2 2" xfId="2480" xr:uid="{00000000-0005-0000-0000-0000AF090000}"/>
    <cellStyle name="Normal 4 2 2 2" xfId="2481" xr:uid="{00000000-0005-0000-0000-0000B0090000}"/>
    <cellStyle name="Normal 4 2 3" xfId="2482" xr:uid="{00000000-0005-0000-0000-0000B1090000}"/>
    <cellStyle name="Normal 4 3" xfId="2483" xr:uid="{00000000-0005-0000-0000-0000B2090000}"/>
    <cellStyle name="Normal 4 3 2" xfId="2484" xr:uid="{00000000-0005-0000-0000-0000B3090000}"/>
    <cellStyle name="Normal 4 4" xfId="2485" xr:uid="{00000000-0005-0000-0000-0000B4090000}"/>
    <cellStyle name="Normal 40" xfId="3009" xr:uid="{00000000-0005-0000-0000-0000B5090000}"/>
    <cellStyle name="Normal 40 2" xfId="3010" xr:uid="{00000000-0005-0000-0000-0000B6090000}"/>
    <cellStyle name="Normal 5" xfId="2486" xr:uid="{00000000-0005-0000-0000-0000B7090000}"/>
    <cellStyle name="Normal 5 2" xfId="2487" xr:uid="{00000000-0005-0000-0000-0000B8090000}"/>
    <cellStyle name="Normal 5 2 2" xfId="2488" xr:uid="{00000000-0005-0000-0000-0000B9090000}"/>
    <cellStyle name="Normal 5 2 2 2" xfId="2489" xr:uid="{00000000-0005-0000-0000-0000BA090000}"/>
    <cellStyle name="Normal 5 2 3" xfId="2490" xr:uid="{00000000-0005-0000-0000-0000BB090000}"/>
    <cellStyle name="Normal 5 3" xfId="2491" xr:uid="{00000000-0005-0000-0000-0000BC090000}"/>
    <cellStyle name="Normal 5 3 2" xfId="2492" xr:uid="{00000000-0005-0000-0000-0000BD090000}"/>
    <cellStyle name="Normal 5 4" xfId="2493" xr:uid="{00000000-0005-0000-0000-0000BE090000}"/>
    <cellStyle name="Normal 6" xfId="2494" xr:uid="{00000000-0005-0000-0000-0000BF090000}"/>
    <cellStyle name="Normal 6 2" xfId="2495" xr:uid="{00000000-0005-0000-0000-0000C0090000}"/>
    <cellStyle name="Normal 6 2 2" xfId="2496" xr:uid="{00000000-0005-0000-0000-0000C1090000}"/>
    <cellStyle name="Normal 6 2 2 2" xfId="2497" xr:uid="{00000000-0005-0000-0000-0000C2090000}"/>
    <cellStyle name="Normal 6 2 3" xfId="2498" xr:uid="{00000000-0005-0000-0000-0000C3090000}"/>
    <cellStyle name="Normal 6 3" xfId="2499" xr:uid="{00000000-0005-0000-0000-0000C4090000}"/>
    <cellStyle name="Normal 6 3 2" xfId="2500" xr:uid="{00000000-0005-0000-0000-0000C5090000}"/>
    <cellStyle name="Normal 6 4" xfId="2501" xr:uid="{00000000-0005-0000-0000-0000C6090000}"/>
    <cellStyle name="Normal 7" xfId="2502" xr:uid="{00000000-0005-0000-0000-0000C7090000}"/>
    <cellStyle name="Normal 7 2" xfId="2503" xr:uid="{00000000-0005-0000-0000-0000C8090000}"/>
    <cellStyle name="Normal 7 2 2" xfId="2504" xr:uid="{00000000-0005-0000-0000-0000C9090000}"/>
    <cellStyle name="Normal 7 2 2 2" xfId="2505" xr:uid="{00000000-0005-0000-0000-0000CA090000}"/>
    <cellStyle name="Normal 7 2 3" xfId="2506" xr:uid="{00000000-0005-0000-0000-0000CB090000}"/>
    <cellStyle name="Normal 7 3" xfId="2507" xr:uid="{00000000-0005-0000-0000-0000CC090000}"/>
    <cellStyle name="Normal 7 3 2" xfId="2508" xr:uid="{00000000-0005-0000-0000-0000CD090000}"/>
    <cellStyle name="Normal 7 4" xfId="2509" xr:uid="{00000000-0005-0000-0000-0000CE090000}"/>
    <cellStyle name="Normal 8" xfId="2510" xr:uid="{00000000-0005-0000-0000-0000CF090000}"/>
    <cellStyle name="Normal 8 2" xfId="2511" xr:uid="{00000000-0005-0000-0000-0000D0090000}"/>
    <cellStyle name="Normal 8 2 2" xfId="2512" xr:uid="{00000000-0005-0000-0000-0000D1090000}"/>
    <cellStyle name="Normal 8 2 2 2" xfId="2513" xr:uid="{00000000-0005-0000-0000-0000D2090000}"/>
    <cellStyle name="Normal 8 2 3" xfId="2514" xr:uid="{00000000-0005-0000-0000-0000D3090000}"/>
    <cellStyle name="Normal 8 3" xfId="2515" xr:uid="{00000000-0005-0000-0000-0000D4090000}"/>
    <cellStyle name="Normal 8 3 2" xfId="2516" xr:uid="{00000000-0005-0000-0000-0000D5090000}"/>
    <cellStyle name="Normal 8 4" xfId="2517" xr:uid="{00000000-0005-0000-0000-0000D6090000}"/>
    <cellStyle name="Normal 8 5" xfId="1" xr:uid="{00000000-0005-0000-0000-0000D7090000}"/>
    <cellStyle name="Normal 9" xfId="2518" xr:uid="{00000000-0005-0000-0000-0000D8090000}"/>
    <cellStyle name="Normal 9 2" xfId="2519" xr:uid="{00000000-0005-0000-0000-0000D9090000}"/>
    <cellStyle name="Normal 9 2 2" xfId="2520" xr:uid="{00000000-0005-0000-0000-0000DA090000}"/>
    <cellStyle name="Normal 9 2 2 2" xfId="2521" xr:uid="{00000000-0005-0000-0000-0000DB090000}"/>
    <cellStyle name="Normal 9 2 3" xfId="2522" xr:uid="{00000000-0005-0000-0000-0000DC090000}"/>
    <cellStyle name="Normal 9 3" xfId="2523" xr:uid="{00000000-0005-0000-0000-0000DD090000}"/>
    <cellStyle name="Normal 9 3 2" xfId="2524" xr:uid="{00000000-0005-0000-0000-0000DE090000}"/>
    <cellStyle name="Normal 9 4" xfId="2525" xr:uid="{00000000-0005-0000-0000-0000DF090000}"/>
    <cellStyle name="Note 10" xfId="2526" xr:uid="{00000000-0005-0000-0000-0000E0090000}"/>
    <cellStyle name="Note 10 2" xfId="2527" xr:uid="{00000000-0005-0000-0000-0000E1090000}"/>
    <cellStyle name="Note 10 2 2" xfId="2528" xr:uid="{00000000-0005-0000-0000-0000E2090000}"/>
    <cellStyle name="Note 10 2 2 2" xfId="2529" xr:uid="{00000000-0005-0000-0000-0000E3090000}"/>
    <cellStyle name="Note 10 2 3" xfId="2530" xr:uid="{00000000-0005-0000-0000-0000E4090000}"/>
    <cellStyle name="Note 10 3" xfId="2531" xr:uid="{00000000-0005-0000-0000-0000E5090000}"/>
    <cellStyle name="Note 10 3 2" xfId="2532" xr:uid="{00000000-0005-0000-0000-0000E6090000}"/>
    <cellStyle name="Note 10 4" xfId="2533" xr:uid="{00000000-0005-0000-0000-0000E7090000}"/>
    <cellStyle name="Note 11" xfId="2534" xr:uid="{00000000-0005-0000-0000-0000E8090000}"/>
    <cellStyle name="Note 11 2" xfId="2535" xr:uid="{00000000-0005-0000-0000-0000E9090000}"/>
    <cellStyle name="Note 11 2 2" xfId="2536" xr:uid="{00000000-0005-0000-0000-0000EA090000}"/>
    <cellStyle name="Note 11 2 2 2" xfId="2537" xr:uid="{00000000-0005-0000-0000-0000EB090000}"/>
    <cellStyle name="Note 11 2 3" xfId="2538" xr:uid="{00000000-0005-0000-0000-0000EC090000}"/>
    <cellStyle name="Note 11 3" xfId="2539" xr:uid="{00000000-0005-0000-0000-0000ED090000}"/>
    <cellStyle name="Note 11 3 2" xfId="2540" xr:uid="{00000000-0005-0000-0000-0000EE090000}"/>
    <cellStyle name="Note 11 4" xfId="2541" xr:uid="{00000000-0005-0000-0000-0000EF090000}"/>
    <cellStyle name="Note 12" xfId="2542" xr:uid="{00000000-0005-0000-0000-0000F0090000}"/>
    <cellStyle name="Note 12 2" xfId="2543" xr:uid="{00000000-0005-0000-0000-0000F1090000}"/>
    <cellStyle name="Note 12 2 2" xfId="2544" xr:uid="{00000000-0005-0000-0000-0000F2090000}"/>
    <cellStyle name="Note 12 2 2 2" xfId="2545" xr:uid="{00000000-0005-0000-0000-0000F3090000}"/>
    <cellStyle name="Note 12 2 3" xfId="2546" xr:uid="{00000000-0005-0000-0000-0000F4090000}"/>
    <cellStyle name="Note 12 3" xfId="2547" xr:uid="{00000000-0005-0000-0000-0000F5090000}"/>
    <cellStyle name="Note 12 3 2" xfId="2548" xr:uid="{00000000-0005-0000-0000-0000F6090000}"/>
    <cellStyle name="Note 12 4" xfId="2549" xr:uid="{00000000-0005-0000-0000-0000F7090000}"/>
    <cellStyle name="Note 13" xfId="2550" xr:uid="{00000000-0005-0000-0000-0000F8090000}"/>
    <cellStyle name="Note 13 2" xfId="2551" xr:uid="{00000000-0005-0000-0000-0000F9090000}"/>
    <cellStyle name="Note 13 2 2" xfId="2552" xr:uid="{00000000-0005-0000-0000-0000FA090000}"/>
    <cellStyle name="Note 13 2 2 2" xfId="2553" xr:uid="{00000000-0005-0000-0000-0000FB090000}"/>
    <cellStyle name="Note 13 2 3" xfId="2554" xr:uid="{00000000-0005-0000-0000-0000FC090000}"/>
    <cellStyle name="Note 13 3" xfId="2555" xr:uid="{00000000-0005-0000-0000-0000FD090000}"/>
    <cellStyle name="Note 13 3 2" xfId="2556" xr:uid="{00000000-0005-0000-0000-0000FE090000}"/>
    <cellStyle name="Note 13 4" xfId="2557" xr:uid="{00000000-0005-0000-0000-0000FF090000}"/>
    <cellStyle name="Note 14" xfId="2558" xr:uid="{00000000-0005-0000-0000-0000000A0000}"/>
    <cellStyle name="Note 14 2" xfId="2559" xr:uid="{00000000-0005-0000-0000-0000010A0000}"/>
    <cellStyle name="Note 14 2 2" xfId="2560" xr:uid="{00000000-0005-0000-0000-0000020A0000}"/>
    <cellStyle name="Note 14 2 2 2" xfId="2561" xr:uid="{00000000-0005-0000-0000-0000030A0000}"/>
    <cellStyle name="Note 14 2 3" xfId="2562" xr:uid="{00000000-0005-0000-0000-0000040A0000}"/>
    <cellStyle name="Note 14 3" xfId="2563" xr:uid="{00000000-0005-0000-0000-0000050A0000}"/>
    <cellStyle name="Note 14 3 2" xfId="2564" xr:uid="{00000000-0005-0000-0000-0000060A0000}"/>
    <cellStyle name="Note 14 4" xfId="2565" xr:uid="{00000000-0005-0000-0000-0000070A0000}"/>
    <cellStyle name="Note 15" xfId="2566" xr:uid="{00000000-0005-0000-0000-0000080A0000}"/>
    <cellStyle name="Note 15 2" xfId="2567" xr:uid="{00000000-0005-0000-0000-0000090A0000}"/>
    <cellStyle name="Note 15 2 2" xfId="2568" xr:uid="{00000000-0005-0000-0000-00000A0A0000}"/>
    <cellStyle name="Note 15 2 2 2" xfId="2569" xr:uid="{00000000-0005-0000-0000-00000B0A0000}"/>
    <cellStyle name="Note 15 2 3" xfId="2570" xr:uid="{00000000-0005-0000-0000-00000C0A0000}"/>
    <cellStyle name="Note 15 3" xfId="2571" xr:uid="{00000000-0005-0000-0000-00000D0A0000}"/>
    <cellStyle name="Note 15 3 2" xfId="2572" xr:uid="{00000000-0005-0000-0000-00000E0A0000}"/>
    <cellStyle name="Note 15 4" xfId="2573" xr:uid="{00000000-0005-0000-0000-00000F0A0000}"/>
    <cellStyle name="Note 16" xfId="2574" xr:uid="{00000000-0005-0000-0000-0000100A0000}"/>
    <cellStyle name="Note 16 2" xfId="2575" xr:uid="{00000000-0005-0000-0000-0000110A0000}"/>
    <cellStyle name="Note 16 2 2" xfId="2576" xr:uid="{00000000-0005-0000-0000-0000120A0000}"/>
    <cellStyle name="Note 16 2 2 2" xfId="2577" xr:uid="{00000000-0005-0000-0000-0000130A0000}"/>
    <cellStyle name="Note 16 2 3" xfId="2578" xr:uid="{00000000-0005-0000-0000-0000140A0000}"/>
    <cellStyle name="Note 16 3" xfId="2579" xr:uid="{00000000-0005-0000-0000-0000150A0000}"/>
    <cellStyle name="Note 16 3 2" xfId="2580" xr:uid="{00000000-0005-0000-0000-0000160A0000}"/>
    <cellStyle name="Note 16 4" xfId="2581" xr:uid="{00000000-0005-0000-0000-0000170A0000}"/>
    <cellStyle name="Note 17" xfId="2582" xr:uid="{00000000-0005-0000-0000-0000180A0000}"/>
    <cellStyle name="Note 17 2" xfId="2583" xr:uid="{00000000-0005-0000-0000-0000190A0000}"/>
    <cellStyle name="Note 17 2 2" xfId="2584" xr:uid="{00000000-0005-0000-0000-00001A0A0000}"/>
    <cellStyle name="Note 17 2 2 2" xfId="2585" xr:uid="{00000000-0005-0000-0000-00001B0A0000}"/>
    <cellStyle name="Note 17 2 3" xfId="2586" xr:uid="{00000000-0005-0000-0000-00001C0A0000}"/>
    <cellStyle name="Note 17 3" xfId="2587" xr:uid="{00000000-0005-0000-0000-00001D0A0000}"/>
    <cellStyle name="Note 17 3 2" xfId="2588" xr:uid="{00000000-0005-0000-0000-00001E0A0000}"/>
    <cellStyle name="Note 17 4" xfId="2589" xr:uid="{00000000-0005-0000-0000-00001F0A0000}"/>
    <cellStyle name="Note 18" xfId="2590" xr:uid="{00000000-0005-0000-0000-0000200A0000}"/>
    <cellStyle name="Note 18 2" xfId="2591" xr:uid="{00000000-0005-0000-0000-0000210A0000}"/>
    <cellStyle name="Note 18 2 2" xfId="2592" xr:uid="{00000000-0005-0000-0000-0000220A0000}"/>
    <cellStyle name="Note 18 2 2 2" xfId="2593" xr:uid="{00000000-0005-0000-0000-0000230A0000}"/>
    <cellStyle name="Note 18 2 3" xfId="2594" xr:uid="{00000000-0005-0000-0000-0000240A0000}"/>
    <cellStyle name="Note 18 3" xfId="2595" xr:uid="{00000000-0005-0000-0000-0000250A0000}"/>
    <cellStyle name="Note 18 3 2" xfId="2596" xr:uid="{00000000-0005-0000-0000-0000260A0000}"/>
    <cellStyle name="Note 18 4" xfId="2597" xr:uid="{00000000-0005-0000-0000-0000270A0000}"/>
    <cellStyle name="Note 19" xfId="2598" xr:uid="{00000000-0005-0000-0000-0000280A0000}"/>
    <cellStyle name="Note 19 2" xfId="2599" xr:uid="{00000000-0005-0000-0000-0000290A0000}"/>
    <cellStyle name="Note 19 2 2" xfId="2600" xr:uid="{00000000-0005-0000-0000-00002A0A0000}"/>
    <cellStyle name="Note 19 2 2 2" xfId="2601" xr:uid="{00000000-0005-0000-0000-00002B0A0000}"/>
    <cellStyle name="Note 19 2 3" xfId="2602" xr:uid="{00000000-0005-0000-0000-00002C0A0000}"/>
    <cellStyle name="Note 19 3" xfId="2603" xr:uid="{00000000-0005-0000-0000-00002D0A0000}"/>
    <cellStyle name="Note 19 3 2" xfId="2604" xr:uid="{00000000-0005-0000-0000-00002E0A0000}"/>
    <cellStyle name="Note 19 4" xfId="2605" xr:uid="{00000000-0005-0000-0000-00002F0A0000}"/>
    <cellStyle name="Note 2" xfId="2606" xr:uid="{00000000-0005-0000-0000-0000300A0000}"/>
    <cellStyle name="Note 2 2" xfId="2607" xr:uid="{00000000-0005-0000-0000-0000310A0000}"/>
    <cellStyle name="Note 2 2 2" xfId="2608" xr:uid="{00000000-0005-0000-0000-0000320A0000}"/>
    <cellStyle name="Note 2 2 2 2" xfId="2609" xr:uid="{00000000-0005-0000-0000-0000330A0000}"/>
    <cellStyle name="Note 2 2 3" xfId="2610" xr:uid="{00000000-0005-0000-0000-0000340A0000}"/>
    <cellStyle name="Note 2 3" xfId="2611" xr:uid="{00000000-0005-0000-0000-0000350A0000}"/>
    <cellStyle name="Note 2 3 2" xfId="2612" xr:uid="{00000000-0005-0000-0000-0000360A0000}"/>
    <cellStyle name="Note 2 4" xfId="2613" xr:uid="{00000000-0005-0000-0000-0000370A0000}"/>
    <cellStyle name="Note 20" xfId="2614" xr:uid="{00000000-0005-0000-0000-0000380A0000}"/>
    <cellStyle name="Note 20 2" xfId="2615" xr:uid="{00000000-0005-0000-0000-0000390A0000}"/>
    <cellStyle name="Note 20 2 2" xfId="2616" xr:uid="{00000000-0005-0000-0000-00003A0A0000}"/>
    <cellStyle name="Note 20 2 2 2" xfId="2617" xr:uid="{00000000-0005-0000-0000-00003B0A0000}"/>
    <cellStyle name="Note 20 2 3" xfId="2618" xr:uid="{00000000-0005-0000-0000-00003C0A0000}"/>
    <cellStyle name="Note 20 3" xfId="2619" xr:uid="{00000000-0005-0000-0000-00003D0A0000}"/>
    <cellStyle name="Note 20 3 2" xfId="2620" xr:uid="{00000000-0005-0000-0000-00003E0A0000}"/>
    <cellStyle name="Note 20 4" xfId="2621" xr:uid="{00000000-0005-0000-0000-00003F0A0000}"/>
    <cellStyle name="Note 21" xfId="2622" xr:uid="{00000000-0005-0000-0000-0000400A0000}"/>
    <cellStyle name="Note 21 2" xfId="2623" xr:uid="{00000000-0005-0000-0000-0000410A0000}"/>
    <cellStyle name="Note 21 2 2" xfId="2624" xr:uid="{00000000-0005-0000-0000-0000420A0000}"/>
    <cellStyle name="Note 21 2 2 2" xfId="2625" xr:uid="{00000000-0005-0000-0000-0000430A0000}"/>
    <cellStyle name="Note 21 2 3" xfId="2626" xr:uid="{00000000-0005-0000-0000-0000440A0000}"/>
    <cellStyle name="Note 21 3" xfId="2627" xr:uid="{00000000-0005-0000-0000-0000450A0000}"/>
    <cellStyle name="Note 21 3 2" xfId="2628" xr:uid="{00000000-0005-0000-0000-0000460A0000}"/>
    <cellStyle name="Note 21 4" xfId="2629" xr:uid="{00000000-0005-0000-0000-0000470A0000}"/>
    <cellStyle name="Note 22" xfId="2630" xr:uid="{00000000-0005-0000-0000-0000480A0000}"/>
    <cellStyle name="Note 22 2" xfId="2631" xr:uid="{00000000-0005-0000-0000-0000490A0000}"/>
    <cellStyle name="Note 22 2 2" xfId="2632" xr:uid="{00000000-0005-0000-0000-00004A0A0000}"/>
    <cellStyle name="Note 22 2 2 2" xfId="2633" xr:uid="{00000000-0005-0000-0000-00004B0A0000}"/>
    <cellStyle name="Note 22 2 3" xfId="2634" xr:uid="{00000000-0005-0000-0000-00004C0A0000}"/>
    <cellStyle name="Note 22 3" xfId="2635" xr:uid="{00000000-0005-0000-0000-00004D0A0000}"/>
    <cellStyle name="Note 22 3 2" xfId="2636" xr:uid="{00000000-0005-0000-0000-00004E0A0000}"/>
    <cellStyle name="Note 22 4" xfId="2637" xr:uid="{00000000-0005-0000-0000-00004F0A0000}"/>
    <cellStyle name="Note 23" xfId="2638" xr:uid="{00000000-0005-0000-0000-0000500A0000}"/>
    <cellStyle name="Note 23 2" xfId="2639" xr:uid="{00000000-0005-0000-0000-0000510A0000}"/>
    <cellStyle name="Note 23 2 2" xfId="2640" xr:uid="{00000000-0005-0000-0000-0000520A0000}"/>
    <cellStyle name="Note 23 2 2 2" xfId="2641" xr:uid="{00000000-0005-0000-0000-0000530A0000}"/>
    <cellStyle name="Note 23 2 3" xfId="2642" xr:uid="{00000000-0005-0000-0000-0000540A0000}"/>
    <cellStyle name="Note 23 3" xfId="2643" xr:uid="{00000000-0005-0000-0000-0000550A0000}"/>
    <cellStyle name="Note 23 3 2" xfId="2644" xr:uid="{00000000-0005-0000-0000-0000560A0000}"/>
    <cellStyle name="Note 23 4" xfId="2645" xr:uid="{00000000-0005-0000-0000-0000570A0000}"/>
    <cellStyle name="Note 24" xfId="2646" xr:uid="{00000000-0005-0000-0000-0000580A0000}"/>
    <cellStyle name="Note 24 2" xfId="2647" xr:uid="{00000000-0005-0000-0000-0000590A0000}"/>
    <cellStyle name="Note 24 2 2" xfId="2648" xr:uid="{00000000-0005-0000-0000-00005A0A0000}"/>
    <cellStyle name="Note 24 2 2 2" xfId="2649" xr:uid="{00000000-0005-0000-0000-00005B0A0000}"/>
    <cellStyle name="Note 24 2 3" xfId="2650" xr:uid="{00000000-0005-0000-0000-00005C0A0000}"/>
    <cellStyle name="Note 24 3" xfId="2651" xr:uid="{00000000-0005-0000-0000-00005D0A0000}"/>
    <cellStyle name="Note 24 3 2" xfId="2652" xr:uid="{00000000-0005-0000-0000-00005E0A0000}"/>
    <cellStyle name="Note 24 4" xfId="2653" xr:uid="{00000000-0005-0000-0000-00005F0A0000}"/>
    <cellStyle name="Note 25" xfId="2654" xr:uid="{00000000-0005-0000-0000-0000600A0000}"/>
    <cellStyle name="Note 25 2" xfId="2655" xr:uid="{00000000-0005-0000-0000-0000610A0000}"/>
    <cellStyle name="Note 25 2 2" xfId="2656" xr:uid="{00000000-0005-0000-0000-0000620A0000}"/>
    <cellStyle name="Note 25 2 2 2" xfId="2657" xr:uid="{00000000-0005-0000-0000-0000630A0000}"/>
    <cellStyle name="Note 25 2 3" xfId="2658" xr:uid="{00000000-0005-0000-0000-0000640A0000}"/>
    <cellStyle name="Note 25 3" xfId="2659" xr:uid="{00000000-0005-0000-0000-0000650A0000}"/>
    <cellStyle name="Note 25 3 2" xfId="2660" xr:uid="{00000000-0005-0000-0000-0000660A0000}"/>
    <cellStyle name="Note 25 4" xfId="2661" xr:uid="{00000000-0005-0000-0000-0000670A0000}"/>
    <cellStyle name="Note 26" xfId="2662" xr:uid="{00000000-0005-0000-0000-0000680A0000}"/>
    <cellStyle name="Note 26 2" xfId="2663" xr:uid="{00000000-0005-0000-0000-0000690A0000}"/>
    <cellStyle name="Note 26 2 2" xfId="2664" xr:uid="{00000000-0005-0000-0000-00006A0A0000}"/>
    <cellStyle name="Note 26 2 2 2" xfId="2665" xr:uid="{00000000-0005-0000-0000-00006B0A0000}"/>
    <cellStyle name="Note 26 2 3" xfId="2666" xr:uid="{00000000-0005-0000-0000-00006C0A0000}"/>
    <cellStyle name="Note 26 3" xfId="2667" xr:uid="{00000000-0005-0000-0000-00006D0A0000}"/>
    <cellStyle name="Note 26 3 2" xfId="2668" xr:uid="{00000000-0005-0000-0000-00006E0A0000}"/>
    <cellStyle name="Note 26 4" xfId="2669" xr:uid="{00000000-0005-0000-0000-00006F0A0000}"/>
    <cellStyle name="Note 27" xfId="2670" xr:uid="{00000000-0005-0000-0000-0000700A0000}"/>
    <cellStyle name="Note 27 2" xfId="2671" xr:uid="{00000000-0005-0000-0000-0000710A0000}"/>
    <cellStyle name="Note 27 2 2" xfId="2672" xr:uid="{00000000-0005-0000-0000-0000720A0000}"/>
    <cellStyle name="Note 27 2 2 2" xfId="2673" xr:uid="{00000000-0005-0000-0000-0000730A0000}"/>
    <cellStyle name="Note 27 2 3" xfId="2674" xr:uid="{00000000-0005-0000-0000-0000740A0000}"/>
    <cellStyle name="Note 27 3" xfId="2675" xr:uid="{00000000-0005-0000-0000-0000750A0000}"/>
    <cellStyle name="Note 27 3 2" xfId="2676" xr:uid="{00000000-0005-0000-0000-0000760A0000}"/>
    <cellStyle name="Note 27 4" xfId="2677" xr:uid="{00000000-0005-0000-0000-0000770A0000}"/>
    <cellStyle name="Note 28" xfId="2678" xr:uid="{00000000-0005-0000-0000-0000780A0000}"/>
    <cellStyle name="Note 28 2" xfId="2679" xr:uid="{00000000-0005-0000-0000-0000790A0000}"/>
    <cellStyle name="Note 28 2 2" xfId="2680" xr:uid="{00000000-0005-0000-0000-00007A0A0000}"/>
    <cellStyle name="Note 28 2 2 2" xfId="2681" xr:uid="{00000000-0005-0000-0000-00007B0A0000}"/>
    <cellStyle name="Note 28 2 3" xfId="2682" xr:uid="{00000000-0005-0000-0000-00007C0A0000}"/>
    <cellStyle name="Note 28 3" xfId="2683" xr:uid="{00000000-0005-0000-0000-00007D0A0000}"/>
    <cellStyle name="Note 28 3 2" xfId="2684" xr:uid="{00000000-0005-0000-0000-00007E0A0000}"/>
    <cellStyle name="Note 28 4" xfId="2685" xr:uid="{00000000-0005-0000-0000-00007F0A0000}"/>
    <cellStyle name="Note 29" xfId="2686" xr:uid="{00000000-0005-0000-0000-0000800A0000}"/>
    <cellStyle name="Note 29 2" xfId="2687" xr:uid="{00000000-0005-0000-0000-0000810A0000}"/>
    <cellStyle name="Note 29 2 2" xfId="2688" xr:uid="{00000000-0005-0000-0000-0000820A0000}"/>
    <cellStyle name="Note 29 2 2 2" xfId="2689" xr:uid="{00000000-0005-0000-0000-0000830A0000}"/>
    <cellStyle name="Note 29 2 3" xfId="2690" xr:uid="{00000000-0005-0000-0000-0000840A0000}"/>
    <cellStyle name="Note 29 3" xfId="2691" xr:uid="{00000000-0005-0000-0000-0000850A0000}"/>
    <cellStyle name="Note 29 3 2" xfId="2692" xr:uid="{00000000-0005-0000-0000-0000860A0000}"/>
    <cellStyle name="Note 29 4" xfId="2693" xr:uid="{00000000-0005-0000-0000-0000870A0000}"/>
    <cellStyle name="Note 3" xfId="2694" xr:uid="{00000000-0005-0000-0000-0000880A0000}"/>
    <cellStyle name="Note 3 2" xfId="2695" xr:uid="{00000000-0005-0000-0000-0000890A0000}"/>
    <cellStyle name="Note 3 2 2" xfId="2696" xr:uid="{00000000-0005-0000-0000-00008A0A0000}"/>
    <cellStyle name="Note 3 2 2 2" xfId="2697" xr:uid="{00000000-0005-0000-0000-00008B0A0000}"/>
    <cellStyle name="Note 3 2 3" xfId="2698" xr:uid="{00000000-0005-0000-0000-00008C0A0000}"/>
    <cellStyle name="Note 3 3" xfId="2699" xr:uid="{00000000-0005-0000-0000-00008D0A0000}"/>
    <cellStyle name="Note 3 3 2" xfId="2700" xr:uid="{00000000-0005-0000-0000-00008E0A0000}"/>
    <cellStyle name="Note 3 4" xfId="2701" xr:uid="{00000000-0005-0000-0000-00008F0A0000}"/>
    <cellStyle name="Note 30" xfId="2702" xr:uid="{00000000-0005-0000-0000-0000900A0000}"/>
    <cellStyle name="Note 30 2" xfId="2703" xr:uid="{00000000-0005-0000-0000-0000910A0000}"/>
    <cellStyle name="Note 30 2 2" xfId="2704" xr:uid="{00000000-0005-0000-0000-0000920A0000}"/>
    <cellStyle name="Note 30 2 2 2" xfId="2705" xr:uid="{00000000-0005-0000-0000-0000930A0000}"/>
    <cellStyle name="Note 30 2 3" xfId="2706" xr:uid="{00000000-0005-0000-0000-0000940A0000}"/>
    <cellStyle name="Note 30 3" xfId="2707" xr:uid="{00000000-0005-0000-0000-0000950A0000}"/>
    <cellStyle name="Note 30 3 2" xfId="2708" xr:uid="{00000000-0005-0000-0000-0000960A0000}"/>
    <cellStyle name="Note 30 4" xfId="2709" xr:uid="{00000000-0005-0000-0000-0000970A0000}"/>
    <cellStyle name="Note 31" xfId="2710" xr:uid="{00000000-0005-0000-0000-0000980A0000}"/>
    <cellStyle name="Note 31 2" xfId="2711" xr:uid="{00000000-0005-0000-0000-0000990A0000}"/>
    <cellStyle name="Note 31 2 2" xfId="2712" xr:uid="{00000000-0005-0000-0000-00009A0A0000}"/>
    <cellStyle name="Note 31 2 2 2" xfId="2713" xr:uid="{00000000-0005-0000-0000-00009B0A0000}"/>
    <cellStyle name="Note 31 2 3" xfId="2714" xr:uid="{00000000-0005-0000-0000-00009C0A0000}"/>
    <cellStyle name="Note 31 3" xfId="2715" xr:uid="{00000000-0005-0000-0000-00009D0A0000}"/>
    <cellStyle name="Note 31 3 2" xfId="2716" xr:uid="{00000000-0005-0000-0000-00009E0A0000}"/>
    <cellStyle name="Note 31 4" xfId="2717" xr:uid="{00000000-0005-0000-0000-00009F0A0000}"/>
    <cellStyle name="Note 32" xfId="2718" xr:uid="{00000000-0005-0000-0000-0000A00A0000}"/>
    <cellStyle name="Note 32 2" xfId="2719" xr:uid="{00000000-0005-0000-0000-0000A10A0000}"/>
    <cellStyle name="Note 32 2 2" xfId="2720" xr:uid="{00000000-0005-0000-0000-0000A20A0000}"/>
    <cellStyle name="Note 32 2 2 2" xfId="2721" xr:uid="{00000000-0005-0000-0000-0000A30A0000}"/>
    <cellStyle name="Note 32 2 3" xfId="2722" xr:uid="{00000000-0005-0000-0000-0000A40A0000}"/>
    <cellStyle name="Note 32 3" xfId="2723" xr:uid="{00000000-0005-0000-0000-0000A50A0000}"/>
    <cellStyle name="Note 32 3 2" xfId="2724" xr:uid="{00000000-0005-0000-0000-0000A60A0000}"/>
    <cellStyle name="Note 32 4" xfId="2725" xr:uid="{00000000-0005-0000-0000-0000A70A0000}"/>
    <cellStyle name="Note 33" xfId="2726" xr:uid="{00000000-0005-0000-0000-0000A80A0000}"/>
    <cellStyle name="Note 33 2" xfId="2727" xr:uid="{00000000-0005-0000-0000-0000A90A0000}"/>
    <cellStyle name="Note 33 2 2" xfId="2728" xr:uid="{00000000-0005-0000-0000-0000AA0A0000}"/>
    <cellStyle name="Note 33 2 2 2" xfId="2729" xr:uid="{00000000-0005-0000-0000-0000AB0A0000}"/>
    <cellStyle name="Note 33 2 3" xfId="2730" xr:uid="{00000000-0005-0000-0000-0000AC0A0000}"/>
    <cellStyle name="Note 33 3" xfId="2731" xr:uid="{00000000-0005-0000-0000-0000AD0A0000}"/>
    <cellStyle name="Note 33 3 2" xfId="2732" xr:uid="{00000000-0005-0000-0000-0000AE0A0000}"/>
    <cellStyle name="Note 33 4" xfId="2733" xr:uid="{00000000-0005-0000-0000-0000AF0A0000}"/>
    <cellStyle name="Note 34" xfId="2734" xr:uid="{00000000-0005-0000-0000-0000B00A0000}"/>
    <cellStyle name="Note 34 2" xfId="2735" xr:uid="{00000000-0005-0000-0000-0000B10A0000}"/>
    <cellStyle name="Note 34 2 2" xfId="2736" xr:uid="{00000000-0005-0000-0000-0000B20A0000}"/>
    <cellStyle name="Note 34 2 2 2" xfId="2737" xr:uid="{00000000-0005-0000-0000-0000B30A0000}"/>
    <cellStyle name="Note 34 2 3" xfId="2738" xr:uid="{00000000-0005-0000-0000-0000B40A0000}"/>
    <cellStyle name="Note 34 3" xfId="2739" xr:uid="{00000000-0005-0000-0000-0000B50A0000}"/>
    <cellStyle name="Note 34 3 2" xfId="2740" xr:uid="{00000000-0005-0000-0000-0000B60A0000}"/>
    <cellStyle name="Note 34 4" xfId="2741" xr:uid="{00000000-0005-0000-0000-0000B70A0000}"/>
    <cellStyle name="Note 35" xfId="2742" xr:uid="{00000000-0005-0000-0000-0000B80A0000}"/>
    <cellStyle name="Note 35 2" xfId="2743" xr:uid="{00000000-0005-0000-0000-0000B90A0000}"/>
    <cellStyle name="Note 35 2 2" xfId="2744" xr:uid="{00000000-0005-0000-0000-0000BA0A0000}"/>
    <cellStyle name="Note 35 2 2 2" xfId="2745" xr:uid="{00000000-0005-0000-0000-0000BB0A0000}"/>
    <cellStyle name="Note 35 2 3" xfId="2746" xr:uid="{00000000-0005-0000-0000-0000BC0A0000}"/>
    <cellStyle name="Note 35 3" xfId="2747" xr:uid="{00000000-0005-0000-0000-0000BD0A0000}"/>
    <cellStyle name="Note 35 3 2" xfId="2748" xr:uid="{00000000-0005-0000-0000-0000BE0A0000}"/>
    <cellStyle name="Note 35 4" xfId="2749" xr:uid="{00000000-0005-0000-0000-0000BF0A0000}"/>
    <cellStyle name="Note 36" xfId="2750" xr:uid="{00000000-0005-0000-0000-0000C00A0000}"/>
    <cellStyle name="Note 36 2" xfId="2751" xr:uid="{00000000-0005-0000-0000-0000C10A0000}"/>
    <cellStyle name="Note 36 2 2" xfId="2752" xr:uid="{00000000-0005-0000-0000-0000C20A0000}"/>
    <cellStyle name="Note 36 2 2 2" xfId="2753" xr:uid="{00000000-0005-0000-0000-0000C30A0000}"/>
    <cellStyle name="Note 36 2 3" xfId="2754" xr:uid="{00000000-0005-0000-0000-0000C40A0000}"/>
    <cellStyle name="Note 36 3" xfId="2755" xr:uid="{00000000-0005-0000-0000-0000C50A0000}"/>
    <cellStyle name="Note 36 3 2" xfId="2756" xr:uid="{00000000-0005-0000-0000-0000C60A0000}"/>
    <cellStyle name="Note 36 4" xfId="2757" xr:uid="{00000000-0005-0000-0000-0000C70A0000}"/>
    <cellStyle name="Note 37" xfId="2758" xr:uid="{00000000-0005-0000-0000-0000C80A0000}"/>
    <cellStyle name="Note 37 2" xfId="2759" xr:uid="{00000000-0005-0000-0000-0000C90A0000}"/>
    <cellStyle name="Note 37 2 2" xfId="2760" xr:uid="{00000000-0005-0000-0000-0000CA0A0000}"/>
    <cellStyle name="Note 37 2 2 2" xfId="2761" xr:uid="{00000000-0005-0000-0000-0000CB0A0000}"/>
    <cellStyle name="Note 37 2 3" xfId="2762" xr:uid="{00000000-0005-0000-0000-0000CC0A0000}"/>
    <cellStyle name="Note 37 3" xfId="2763" xr:uid="{00000000-0005-0000-0000-0000CD0A0000}"/>
    <cellStyle name="Note 37 3 2" xfId="2764" xr:uid="{00000000-0005-0000-0000-0000CE0A0000}"/>
    <cellStyle name="Note 37 4" xfId="2765" xr:uid="{00000000-0005-0000-0000-0000CF0A0000}"/>
    <cellStyle name="Note 38" xfId="2766" xr:uid="{00000000-0005-0000-0000-0000D00A0000}"/>
    <cellStyle name="Note 38 2" xfId="2767" xr:uid="{00000000-0005-0000-0000-0000D10A0000}"/>
    <cellStyle name="Note 38 2 2" xfId="2768" xr:uid="{00000000-0005-0000-0000-0000D20A0000}"/>
    <cellStyle name="Note 38 2 2 2" xfId="2769" xr:uid="{00000000-0005-0000-0000-0000D30A0000}"/>
    <cellStyle name="Note 38 2 3" xfId="2770" xr:uid="{00000000-0005-0000-0000-0000D40A0000}"/>
    <cellStyle name="Note 38 3" xfId="2771" xr:uid="{00000000-0005-0000-0000-0000D50A0000}"/>
    <cellStyle name="Note 38 3 2" xfId="2772" xr:uid="{00000000-0005-0000-0000-0000D60A0000}"/>
    <cellStyle name="Note 38 4" xfId="2773" xr:uid="{00000000-0005-0000-0000-0000D70A0000}"/>
    <cellStyle name="Note 39" xfId="2774" xr:uid="{00000000-0005-0000-0000-0000D80A0000}"/>
    <cellStyle name="Note 39 2" xfId="2775" xr:uid="{00000000-0005-0000-0000-0000D90A0000}"/>
    <cellStyle name="Note 39 2 2" xfId="2776" xr:uid="{00000000-0005-0000-0000-0000DA0A0000}"/>
    <cellStyle name="Note 39 2 2 2" xfId="2777" xr:uid="{00000000-0005-0000-0000-0000DB0A0000}"/>
    <cellStyle name="Note 39 2 3" xfId="2778" xr:uid="{00000000-0005-0000-0000-0000DC0A0000}"/>
    <cellStyle name="Note 39 3" xfId="2779" xr:uid="{00000000-0005-0000-0000-0000DD0A0000}"/>
    <cellStyle name="Note 39 3 2" xfId="2780" xr:uid="{00000000-0005-0000-0000-0000DE0A0000}"/>
    <cellStyle name="Note 39 4" xfId="2781" xr:uid="{00000000-0005-0000-0000-0000DF0A0000}"/>
    <cellStyle name="Note 4" xfId="2782" xr:uid="{00000000-0005-0000-0000-0000E00A0000}"/>
    <cellStyle name="Note 4 2" xfId="2783" xr:uid="{00000000-0005-0000-0000-0000E10A0000}"/>
    <cellStyle name="Note 4 2 2" xfId="2784" xr:uid="{00000000-0005-0000-0000-0000E20A0000}"/>
    <cellStyle name="Note 4 2 2 2" xfId="2785" xr:uid="{00000000-0005-0000-0000-0000E30A0000}"/>
    <cellStyle name="Note 4 2 3" xfId="2786" xr:uid="{00000000-0005-0000-0000-0000E40A0000}"/>
    <cellStyle name="Note 4 3" xfId="2787" xr:uid="{00000000-0005-0000-0000-0000E50A0000}"/>
    <cellStyle name="Note 4 3 2" xfId="2788" xr:uid="{00000000-0005-0000-0000-0000E60A0000}"/>
    <cellStyle name="Note 4 4" xfId="2789" xr:uid="{00000000-0005-0000-0000-0000E70A0000}"/>
    <cellStyle name="Note 40" xfId="2790" xr:uid="{00000000-0005-0000-0000-0000E80A0000}"/>
    <cellStyle name="Note 40 2" xfId="2791" xr:uid="{00000000-0005-0000-0000-0000E90A0000}"/>
    <cellStyle name="Note 40 2 2" xfId="2792" xr:uid="{00000000-0005-0000-0000-0000EA0A0000}"/>
    <cellStyle name="Note 40 2 2 2" xfId="2793" xr:uid="{00000000-0005-0000-0000-0000EB0A0000}"/>
    <cellStyle name="Note 40 2 3" xfId="2794" xr:uid="{00000000-0005-0000-0000-0000EC0A0000}"/>
    <cellStyle name="Note 40 3" xfId="2795" xr:uid="{00000000-0005-0000-0000-0000ED0A0000}"/>
    <cellStyle name="Note 40 3 2" xfId="2796" xr:uid="{00000000-0005-0000-0000-0000EE0A0000}"/>
    <cellStyle name="Note 40 4" xfId="2797" xr:uid="{00000000-0005-0000-0000-0000EF0A0000}"/>
    <cellStyle name="Note 41" xfId="2798" xr:uid="{00000000-0005-0000-0000-0000F00A0000}"/>
    <cellStyle name="Note 41 2" xfId="2799" xr:uid="{00000000-0005-0000-0000-0000F10A0000}"/>
    <cellStyle name="Note 41 2 2" xfId="2800" xr:uid="{00000000-0005-0000-0000-0000F20A0000}"/>
    <cellStyle name="Note 41 2 2 2" xfId="2801" xr:uid="{00000000-0005-0000-0000-0000F30A0000}"/>
    <cellStyle name="Note 41 2 3" xfId="2802" xr:uid="{00000000-0005-0000-0000-0000F40A0000}"/>
    <cellStyle name="Note 41 3" xfId="2803" xr:uid="{00000000-0005-0000-0000-0000F50A0000}"/>
    <cellStyle name="Note 41 3 2" xfId="2804" xr:uid="{00000000-0005-0000-0000-0000F60A0000}"/>
    <cellStyle name="Note 41 4" xfId="2805" xr:uid="{00000000-0005-0000-0000-0000F70A0000}"/>
    <cellStyle name="Note 42" xfId="2806" xr:uid="{00000000-0005-0000-0000-0000F80A0000}"/>
    <cellStyle name="Note 42 2" xfId="2807" xr:uid="{00000000-0005-0000-0000-0000F90A0000}"/>
    <cellStyle name="Note 42 2 2" xfId="2808" xr:uid="{00000000-0005-0000-0000-0000FA0A0000}"/>
    <cellStyle name="Note 42 2 2 2" xfId="2809" xr:uid="{00000000-0005-0000-0000-0000FB0A0000}"/>
    <cellStyle name="Note 42 2 3" xfId="2810" xr:uid="{00000000-0005-0000-0000-0000FC0A0000}"/>
    <cellStyle name="Note 42 3" xfId="2811" xr:uid="{00000000-0005-0000-0000-0000FD0A0000}"/>
    <cellStyle name="Note 42 3 2" xfId="2812" xr:uid="{00000000-0005-0000-0000-0000FE0A0000}"/>
    <cellStyle name="Note 42 4" xfId="2813" xr:uid="{00000000-0005-0000-0000-0000FF0A0000}"/>
    <cellStyle name="Note 43" xfId="2814" xr:uid="{00000000-0005-0000-0000-0000000B0000}"/>
    <cellStyle name="Note 43 2" xfId="2815" xr:uid="{00000000-0005-0000-0000-0000010B0000}"/>
    <cellStyle name="Note 43 2 2" xfId="2816" xr:uid="{00000000-0005-0000-0000-0000020B0000}"/>
    <cellStyle name="Note 43 2 2 2" xfId="2817" xr:uid="{00000000-0005-0000-0000-0000030B0000}"/>
    <cellStyle name="Note 43 2 3" xfId="2818" xr:uid="{00000000-0005-0000-0000-0000040B0000}"/>
    <cellStyle name="Note 43 3" xfId="2819" xr:uid="{00000000-0005-0000-0000-0000050B0000}"/>
    <cellStyle name="Note 43 3 2" xfId="2820" xr:uid="{00000000-0005-0000-0000-0000060B0000}"/>
    <cellStyle name="Note 43 4" xfId="2821" xr:uid="{00000000-0005-0000-0000-0000070B0000}"/>
    <cellStyle name="Note 44" xfId="2822" xr:uid="{00000000-0005-0000-0000-0000080B0000}"/>
    <cellStyle name="Note 44 2" xfId="2823" xr:uid="{00000000-0005-0000-0000-0000090B0000}"/>
    <cellStyle name="Note 44 2 2" xfId="2824" xr:uid="{00000000-0005-0000-0000-00000A0B0000}"/>
    <cellStyle name="Note 44 2 2 2" xfId="2825" xr:uid="{00000000-0005-0000-0000-00000B0B0000}"/>
    <cellStyle name="Note 44 2 3" xfId="2826" xr:uid="{00000000-0005-0000-0000-00000C0B0000}"/>
    <cellStyle name="Note 44 3" xfId="2827" xr:uid="{00000000-0005-0000-0000-00000D0B0000}"/>
    <cellStyle name="Note 44 3 2" xfId="2828" xr:uid="{00000000-0005-0000-0000-00000E0B0000}"/>
    <cellStyle name="Note 44 4" xfId="2829" xr:uid="{00000000-0005-0000-0000-00000F0B0000}"/>
    <cellStyle name="Note 45" xfId="2830" xr:uid="{00000000-0005-0000-0000-0000100B0000}"/>
    <cellStyle name="Note 45 2" xfId="2831" xr:uid="{00000000-0005-0000-0000-0000110B0000}"/>
    <cellStyle name="Note 45 2 2" xfId="2832" xr:uid="{00000000-0005-0000-0000-0000120B0000}"/>
    <cellStyle name="Note 45 2 2 2" xfId="2833" xr:uid="{00000000-0005-0000-0000-0000130B0000}"/>
    <cellStyle name="Note 45 2 3" xfId="2834" xr:uid="{00000000-0005-0000-0000-0000140B0000}"/>
    <cellStyle name="Note 45 3" xfId="2835" xr:uid="{00000000-0005-0000-0000-0000150B0000}"/>
    <cellStyle name="Note 45 3 2" xfId="2836" xr:uid="{00000000-0005-0000-0000-0000160B0000}"/>
    <cellStyle name="Note 45 4" xfId="2837" xr:uid="{00000000-0005-0000-0000-0000170B0000}"/>
    <cellStyle name="Note 46" xfId="2838" xr:uid="{00000000-0005-0000-0000-0000180B0000}"/>
    <cellStyle name="Note 46 2" xfId="2839" xr:uid="{00000000-0005-0000-0000-0000190B0000}"/>
    <cellStyle name="Note 46 2 2" xfId="2840" xr:uid="{00000000-0005-0000-0000-00001A0B0000}"/>
    <cellStyle name="Note 46 2 2 2" xfId="2841" xr:uid="{00000000-0005-0000-0000-00001B0B0000}"/>
    <cellStyle name="Note 46 2 3" xfId="2842" xr:uid="{00000000-0005-0000-0000-00001C0B0000}"/>
    <cellStyle name="Note 46 3" xfId="2843" xr:uid="{00000000-0005-0000-0000-00001D0B0000}"/>
    <cellStyle name="Note 46 3 2" xfId="2844" xr:uid="{00000000-0005-0000-0000-00001E0B0000}"/>
    <cellStyle name="Note 46 4" xfId="2845" xr:uid="{00000000-0005-0000-0000-00001F0B0000}"/>
    <cellStyle name="Note 47" xfId="2846" xr:uid="{00000000-0005-0000-0000-0000200B0000}"/>
    <cellStyle name="Note 47 2" xfId="2847" xr:uid="{00000000-0005-0000-0000-0000210B0000}"/>
    <cellStyle name="Note 47 2 2" xfId="2848" xr:uid="{00000000-0005-0000-0000-0000220B0000}"/>
    <cellStyle name="Note 47 2 2 2" xfId="2849" xr:uid="{00000000-0005-0000-0000-0000230B0000}"/>
    <cellStyle name="Note 47 2 3" xfId="2850" xr:uid="{00000000-0005-0000-0000-0000240B0000}"/>
    <cellStyle name="Note 47 3" xfId="2851" xr:uid="{00000000-0005-0000-0000-0000250B0000}"/>
    <cellStyle name="Note 47 3 2" xfId="2852" xr:uid="{00000000-0005-0000-0000-0000260B0000}"/>
    <cellStyle name="Note 47 4" xfId="2853" xr:uid="{00000000-0005-0000-0000-0000270B0000}"/>
    <cellStyle name="Note 48" xfId="2854" xr:uid="{00000000-0005-0000-0000-0000280B0000}"/>
    <cellStyle name="Note 48 2" xfId="2855" xr:uid="{00000000-0005-0000-0000-0000290B0000}"/>
    <cellStyle name="Note 48 2 2" xfId="2856" xr:uid="{00000000-0005-0000-0000-00002A0B0000}"/>
    <cellStyle name="Note 48 2 2 2" xfId="2857" xr:uid="{00000000-0005-0000-0000-00002B0B0000}"/>
    <cellStyle name="Note 48 2 3" xfId="2858" xr:uid="{00000000-0005-0000-0000-00002C0B0000}"/>
    <cellStyle name="Note 48 3" xfId="2859" xr:uid="{00000000-0005-0000-0000-00002D0B0000}"/>
    <cellStyle name="Note 48 3 2" xfId="2860" xr:uid="{00000000-0005-0000-0000-00002E0B0000}"/>
    <cellStyle name="Note 48 4" xfId="2861" xr:uid="{00000000-0005-0000-0000-00002F0B0000}"/>
    <cellStyle name="Note 49" xfId="2862" xr:uid="{00000000-0005-0000-0000-0000300B0000}"/>
    <cellStyle name="Note 49 2" xfId="2863" xr:uid="{00000000-0005-0000-0000-0000310B0000}"/>
    <cellStyle name="Note 49 2 2" xfId="2864" xr:uid="{00000000-0005-0000-0000-0000320B0000}"/>
    <cellStyle name="Note 49 2 2 2" xfId="2865" xr:uid="{00000000-0005-0000-0000-0000330B0000}"/>
    <cellStyle name="Note 49 2 3" xfId="2866" xr:uid="{00000000-0005-0000-0000-0000340B0000}"/>
    <cellStyle name="Note 49 3" xfId="2867" xr:uid="{00000000-0005-0000-0000-0000350B0000}"/>
    <cellStyle name="Note 49 3 2" xfId="2868" xr:uid="{00000000-0005-0000-0000-0000360B0000}"/>
    <cellStyle name="Note 49 4" xfId="2869" xr:uid="{00000000-0005-0000-0000-0000370B0000}"/>
    <cellStyle name="Note 5" xfId="2870" xr:uid="{00000000-0005-0000-0000-0000380B0000}"/>
    <cellStyle name="Note 5 2" xfId="2871" xr:uid="{00000000-0005-0000-0000-0000390B0000}"/>
    <cellStyle name="Note 5 2 2" xfId="2872" xr:uid="{00000000-0005-0000-0000-00003A0B0000}"/>
    <cellStyle name="Note 5 2 2 2" xfId="2873" xr:uid="{00000000-0005-0000-0000-00003B0B0000}"/>
    <cellStyle name="Note 5 2 3" xfId="2874" xr:uid="{00000000-0005-0000-0000-00003C0B0000}"/>
    <cellStyle name="Note 5 3" xfId="2875" xr:uid="{00000000-0005-0000-0000-00003D0B0000}"/>
    <cellStyle name="Note 5 3 2" xfId="2876" xr:uid="{00000000-0005-0000-0000-00003E0B0000}"/>
    <cellStyle name="Note 5 4" xfId="2877" xr:uid="{00000000-0005-0000-0000-00003F0B0000}"/>
    <cellStyle name="Note 50" xfId="2878" xr:uid="{00000000-0005-0000-0000-0000400B0000}"/>
    <cellStyle name="Note 50 2" xfId="2879" xr:uid="{00000000-0005-0000-0000-0000410B0000}"/>
    <cellStyle name="Note 50 2 2" xfId="2880" xr:uid="{00000000-0005-0000-0000-0000420B0000}"/>
    <cellStyle name="Note 50 2 2 2" xfId="2881" xr:uid="{00000000-0005-0000-0000-0000430B0000}"/>
    <cellStyle name="Note 50 2 3" xfId="2882" xr:uid="{00000000-0005-0000-0000-0000440B0000}"/>
    <cellStyle name="Note 50 3" xfId="2883" xr:uid="{00000000-0005-0000-0000-0000450B0000}"/>
    <cellStyle name="Note 50 3 2" xfId="2884" xr:uid="{00000000-0005-0000-0000-0000460B0000}"/>
    <cellStyle name="Note 50 4" xfId="2885" xr:uid="{00000000-0005-0000-0000-0000470B0000}"/>
    <cellStyle name="Note 51" xfId="2886" xr:uid="{00000000-0005-0000-0000-0000480B0000}"/>
    <cellStyle name="Note 51 2" xfId="2887" xr:uid="{00000000-0005-0000-0000-0000490B0000}"/>
    <cellStyle name="Note 51 2 2" xfId="2888" xr:uid="{00000000-0005-0000-0000-00004A0B0000}"/>
    <cellStyle name="Note 51 2 2 2" xfId="2889" xr:uid="{00000000-0005-0000-0000-00004B0B0000}"/>
    <cellStyle name="Note 51 2 3" xfId="2890" xr:uid="{00000000-0005-0000-0000-00004C0B0000}"/>
    <cellStyle name="Note 51 3" xfId="2891" xr:uid="{00000000-0005-0000-0000-00004D0B0000}"/>
    <cellStyle name="Note 51 3 2" xfId="2892" xr:uid="{00000000-0005-0000-0000-00004E0B0000}"/>
    <cellStyle name="Note 51 4" xfId="2893" xr:uid="{00000000-0005-0000-0000-00004F0B0000}"/>
    <cellStyle name="Note 52" xfId="2894" xr:uid="{00000000-0005-0000-0000-0000500B0000}"/>
    <cellStyle name="Note 52 2" xfId="2895" xr:uid="{00000000-0005-0000-0000-0000510B0000}"/>
    <cellStyle name="Note 52 2 2" xfId="2896" xr:uid="{00000000-0005-0000-0000-0000520B0000}"/>
    <cellStyle name="Note 52 2 2 2" xfId="2897" xr:uid="{00000000-0005-0000-0000-0000530B0000}"/>
    <cellStyle name="Note 52 2 3" xfId="2898" xr:uid="{00000000-0005-0000-0000-0000540B0000}"/>
    <cellStyle name="Note 52 3" xfId="2899" xr:uid="{00000000-0005-0000-0000-0000550B0000}"/>
    <cellStyle name="Note 52 3 2" xfId="2900" xr:uid="{00000000-0005-0000-0000-0000560B0000}"/>
    <cellStyle name="Note 52 4" xfId="2901" xr:uid="{00000000-0005-0000-0000-0000570B0000}"/>
    <cellStyle name="Note 53" xfId="2902" xr:uid="{00000000-0005-0000-0000-0000580B0000}"/>
    <cellStyle name="Note 53 2" xfId="2903" xr:uid="{00000000-0005-0000-0000-0000590B0000}"/>
    <cellStyle name="Note 53 2 2" xfId="2904" xr:uid="{00000000-0005-0000-0000-00005A0B0000}"/>
    <cellStyle name="Note 53 2 2 2" xfId="2905" xr:uid="{00000000-0005-0000-0000-00005B0B0000}"/>
    <cellStyle name="Note 53 2 3" xfId="2906" xr:uid="{00000000-0005-0000-0000-00005C0B0000}"/>
    <cellStyle name="Note 53 3" xfId="2907" xr:uid="{00000000-0005-0000-0000-00005D0B0000}"/>
    <cellStyle name="Note 53 3 2" xfId="2908" xr:uid="{00000000-0005-0000-0000-00005E0B0000}"/>
    <cellStyle name="Note 53 4" xfId="2909" xr:uid="{00000000-0005-0000-0000-00005F0B0000}"/>
    <cellStyle name="Note 54" xfId="2910" xr:uid="{00000000-0005-0000-0000-0000600B0000}"/>
    <cellStyle name="Note 54 2" xfId="2911" xr:uid="{00000000-0005-0000-0000-0000610B0000}"/>
    <cellStyle name="Note 54 2 2" xfId="2912" xr:uid="{00000000-0005-0000-0000-0000620B0000}"/>
    <cellStyle name="Note 54 2 2 2" xfId="2913" xr:uid="{00000000-0005-0000-0000-0000630B0000}"/>
    <cellStyle name="Note 54 2 3" xfId="2914" xr:uid="{00000000-0005-0000-0000-0000640B0000}"/>
    <cellStyle name="Note 54 3" xfId="2915" xr:uid="{00000000-0005-0000-0000-0000650B0000}"/>
    <cellStyle name="Note 54 3 2" xfId="2916" xr:uid="{00000000-0005-0000-0000-0000660B0000}"/>
    <cellStyle name="Note 54 4" xfId="2917" xr:uid="{00000000-0005-0000-0000-0000670B0000}"/>
    <cellStyle name="Note 55" xfId="2918" xr:uid="{00000000-0005-0000-0000-0000680B0000}"/>
    <cellStyle name="Note 55 2" xfId="2919" xr:uid="{00000000-0005-0000-0000-0000690B0000}"/>
    <cellStyle name="Note 55 2 2" xfId="2920" xr:uid="{00000000-0005-0000-0000-00006A0B0000}"/>
    <cellStyle name="Note 55 2 2 2" xfId="2921" xr:uid="{00000000-0005-0000-0000-00006B0B0000}"/>
    <cellStyle name="Note 55 2 3" xfId="2922" xr:uid="{00000000-0005-0000-0000-00006C0B0000}"/>
    <cellStyle name="Note 55 3" xfId="2923" xr:uid="{00000000-0005-0000-0000-00006D0B0000}"/>
    <cellStyle name="Note 55 3 2" xfId="2924" xr:uid="{00000000-0005-0000-0000-00006E0B0000}"/>
    <cellStyle name="Note 55 4" xfId="2925" xr:uid="{00000000-0005-0000-0000-00006F0B0000}"/>
    <cellStyle name="Note 56" xfId="2926" xr:uid="{00000000-0005-0000-0000-0000700B0000}"/>
    <cellStyle name="Note 56 2" xfId="2927" xr:uid="{00000000-0005-0000-0000-0000710B0000}"/>
    <cellStyle name="Note 56 2 2" xfId="2928" xr:uid="{00000000-0005-0000-0000-0000720B0000}"/>
    <cellStyle name="Note 56 2 2 2" xfId="2929" xr:uid="{00000000-0005-0000-0000-0000730B0000}"/>
    <cellStyle name="Note 56 2 3" xfId="2930" xr:uid="{00000000-0005-0000-0000-0000740B0000}"/>
    <cellStyle name="Note 56 3" xfId="2931" xr:uid="{00000000-0005-0000-0000-0000750B0000}"/>
    <cellStyle name="Note 56 3 2" xfId="2932" xr:uid="{00000000-0005-0000-0000-0000760B0000}"/>
    <cellStyle name="Note 56 4" xfId="2933" xr:uid="{00000000-0005-0000-0000-0000770B0000}"/>
    <cellStyle name="Note 57" xfId="2934" xr:uid="{00000000-0005-0000-0000-0000780B0000}"/>
    <cellStyle name="Note 57 2" xfId="2935" xr:uid="{00000000-0005-0000-0000-0000790B0000}"/>
    <cellStyle name="Note 57 2 2" xfId="2936" xr:uid="{00000000-0005-0000-0000-00007A0B0000}"/>
    <cellStyle name="Note 57 2 2 2" xfId="2937" xr:uid="{00000000-0005-0000-0000-00007B0B0000}"/>
    <cellStyle name="Note 57 2 3" xfId="2938" xr:uid="{00000000-0005-0000-0000-00007C0B0000}"/>
    <cellStyle name="Note 57 3" xfId="2939" xr:uid="{00000000-0005-0000-0000-00007D0B0000}"/>
    <cellStyle name="Note 57 3 2" xfId="2940" xr:uid="{00000000-0005-0000-0000-00007E0B0000}"/>
    <cellStyle name="Note 57 4" xfId="2941" xr:uid="{00000000-0005-0000-0000-00007F0B0000}"/>
    <cellStyle name="Note 58" xfId="2942" xr:uid="{00000000-0005-0000-0000-0000800B0000}"/>
    <cellStyle name="Note 58 2" xfId="2943" xr:uid="{00000000-0005-0000-0000-0000810B0000}"/>
    <cellStyle name="Note 58 2 2" xfId="2944" xr:uid="{00000000-0005-0000-0000-0000820B0000}"/>
    <cellStyle name="Note 58 2 2 2" xfId="2945" xr:uid="{00000000-0005-0000-0000-0000830B0000}"/>
    <cellStyle name="Note 58 2 3" xfId="2946" xr:uid="{00000000-0005-0000-0000-0000840B0000}"/>
    <cellStyle name="Note 58 3" xfId="2947" xr:uid="{00000000-0005-0000-0000-0000850B0000}"/>
    <cellStyle name="Note 58 3 2" xfId="2948" xr:uid="{00000000-0005-0000-0000-0000860B0000}"/>
    <cellStyle name="Note 58 4" xfId="2949" xr:uid="{00000000-0005-0000-0000-0000870B0000}"/>
    <cellStyle name="Note 59" xfId="2950" xr:uid="{00000000-0005-0000-0000-0000880B0000}"/>
    <cellStyle name="Note 59 2" xfId="2951" xr:uid="{00000000-0005-0000-0000-0000890B0000}"/>
    <cellStyle name="Note 59 2 2" xfId="2952" xr:uid="{00000000-0005-0000-0000-00008A0B0000}"/>
    <cellStyle name="Note 59 2 2 2" xfId="2953" xr:uid="{00000000-0005-0000-0000-00008B0B0000}"/>
    <cellStyle name="Note 59 2 3" xfId="2954" xr:uid="{00000000-0005-0000-0000-00008C0B0000}"/>
    <cellStyle name="Note 59 3" xfId="2955" xr:uid="{00000000-0005-0000-0000-00008D0B0000}"/>
    <cellStyle name="Note 59 3 2" xfId="2956" xr:uid="{00000000-0005-0000-0000-00008E0B0000}"/>
    <cellStyle name="Note 59 4" xfId="2957" xr:uid="{00000000-0005-0000-0000-00008F0B0000}"/>
    <cellStyle name="Note 6" xfId="2958" xr:uid="{00000000-0005-0000-0000-0000900B0000}"/>
    <cellStyle name="Note 6 2" xfId="2959" xr:uid="{00000000-0005-0000-0000-0000910B0000}"/>
    <cellStyle name="Note 6 2 2" xfId="2960" xr:uid="{00000000-0005-0000-0000-0000920B0000}"/>
    <cellStyle name="Note 6 2 2 2" xfId="2961" xr:uid="{00000000-0005-0000-0000-0000930B0000}"/>
    <cellStyle name="Note 6 2 3" xfId="2962" xr:uid="{00000000-0005-0000-0000-0000940B0000}"/>
    <cellStyle name="Note 6 3" xfId="2963" xr:uid="{00000000-0005-0000-0000-0000950B0000}"/>
    <cellStyle name="Note 6 3 2" xfId="2964" xr:uid="{00000000-0005-0000-0000-0000960B0000}"/>
    <cellStyle name="Note 6 4" xfId="2965" xr:uid="{00000000-0005-0000-0000-0000970B0000}"/>
    <cellStyle name="Note 7" xfId="2966" xr:uid="{00000000-0005-0000-0000-0000980B0000}"/>
    <cellStyle name="Note 7 2" xfId="2967" xr:uid="{00000000-0005-0000-0000-0000990B0000}"/>
    <cellStyle name="Note 7 2 2" xfId="2968" xr:uid="{00000000-0005-0000-0000-00009A0B0000}"/>
    <cellStyle name="Note 7 2 2 2" xfId="2969" xr:uid="{00000000-0005-0000-0000-00009B0B0000}"/>
    <cellStyle name="Note 7 2 3" xfId="2970" xr:uid="{00000000-0005-0000-0000-00009C0B0000}"/>
    <cellStyle name="Note 7 3" xfId="2971" xr:uid="{00000000-0005-0000-0000-00009D0B0000}"/>
    <cellStyle name="Note 7 3 2" xfId="2972" xr:uid="{00000000-0005-0000-0000-00009E0B0000}"/>
    <cellStyle name="Note 7 4" xfId="2973" xr:uid="{00000000-0005-0000-0000-00009F0B0000}"/>
    <cellStyle name="Note 8" xfId="2974" xr:uid="{00000000-0005-0000-0000-0000A00B0000}"/>
    <cellStyle name="Note 8 2" xfId="2975" xr:uid="{00000000-0005-0000-0000-0000A10B0000}"/>
    <cellStyle name="Note 8 2 2" xfId="2976" xr:uid="{00000000-0005-0000-0000-0000A20B0000}"/>
    <cellStyle name="Note 8 2 2 2" xfId="2977" xr:uid="{00000000-0005-0000-0000-0000A30B0000}"/>
    <cellStyle name="Note 8 2 3" xfId="2978" xr:uid="{00000000-0005-0000-0000-0000A40B0000}"/>
    <cellStyle name="Note 8 3" xfId="2979" xr:uid="{00000000-0005-0000-0000-0000A50B0000}"/>
    <cellStyle name="Note 8 3 2" xfId="2980" xr:uid="{00000000-0005-0000-0000-0000A60B0000}"/>
    <cellStyle name="Note 8 4" xfId="2981" xr:uid="{00000000-0005-0000-0000-0000A70B0000}"/>
    <cellStyle name="Note 9" xfId="2982" xr:uid="{00000000-0005-0000-0000-0000A80B0000}"/>
    <cellStyle name="Note 9 2" xfId="2983" xr:uid="{00000000-0005-0000-0000-0000A90B0000}"/>
    <cellStyle name="Note 9 2 2" xfId="2984" xr:uid="{00000000-0005-0000-0000-0000AA0B0000}"/>
    <cellStyle name="Note 9 2 2 2" xfId="2985" xr:uid="{00000000-0005-0000-0000-0000AB0B0000}"/>
    <cellStyle name="Note 9 2 3" xfId="2986" xr:uid="{00000000-0005-0000-0000-0000AC0B0000}"/>
    <cellStyle name="Note 9 3" xfId="2987" xr:uid="{00000000-0005-0000-0000-0000AD0B0000}"/>
    <cellStyle name="Note 9 3 2" xfId="2988" xr:uid="{00000000-0005-0000-0000-0000AE0B0000}"/>
    <cellStyle name="Note 9 4" xfId="2989" xr:uid="{00000000-0005-0000-0000-0000AF0B0000}"/>
    <cellStyle name="Percent (0)" xfId="2990" xr:uid="{00000000-0005-0000-0000-0000B10B0000}"/>
    <cellStyle name="Percent 2" xfId="2991" xr:uid="{00000000-0005-0000-0000-0000B20B0000}"/>
    <cellStyle name="Percent 2 2" xfId="2992" xr:uid="{00000000-0005-0000-0000-0000B30B0000}"/>
    <cellStyle name="Percent 2 2 2" xfId="2993" xr:uid="{00000000-0005-0000-0000-0000B40B0000}"/>
    <cellStyle name="Percent 2 2 2 2" xfId="2994" xr:uid="{00000000-0005-0000-0000-0000B50B0000}"/>
    <cellStyle name="Percent 2 2 3" xfId="2995" xr:uid="{00000000-0005-0000-0000-0000B60B0000}"/>
    <cellStyle name="Percent 2 3" xfId="2996" xr:uid="{00000000-0005-0000-0000-0000B70B0000}"/>
    <cellStyle name="Percent 2 3 2" xfId="2997" xr:uid="{00000000-0005-0000-0000-0000B80B0000}"/>
    <cellStyle name="Percent 2 4" xfId="2998" xr:uid="{00000000-0005-0000-0000-0000B90B0000}"/>
    <cellStyle name="Percent 3" xfId="2999" xr:uid="{00000000-0005-0000-0000-0000BA0B0000}"/>
    <cellStyle name="Percent 4" xfId="3000" xr:uid="{00000000-0005-0000-0000-0000BB0B0000}"/>
    <cellStyle name="Percent 5" xfId="3001" xr:uid="{00000000-0005-0000-0000-0000BC0B0000}"/>
    <cellStyle name="Percent 5 2" xfId="3002" xr:uid="{00000000-0005-0000-0000-0000BD0B0000}"/>
    <cellStyle name="Percent 6" xfId="3003" xr:uid="{00000000-0005-0000-0000-0000BE0B0000}"/>
    <cellStyle name="Percent 7" xfId="3004" xr:uid="{00000000-0005-0000-0000-0000BF0B0000}"/>
    <cellStyle name="Percent 8" xfId="3005" xr:uid="{00000000-0005-0000-0000-0000C00B0000}"/>
    <cellStyle name="Percent 9" xfId="3006" xr:uid="{00000000-0005-0000-0000-0000C10B0000}"/>
    <cellStyle name="Percentagem" xfId="3011" builtinId="5"/>
    <cellStyle name="Tickmark" xfId="3007" xr:uid="{00000000-0005-0000-0000-0000C20B0000}"/>
    <cellStyle name="Valuta (0)" xfId="3008" xr:uid="{00000000-0005-0000-0000-0000C30B0000}"/>
  </cellStyles>
  <dxfs count="7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FF"/>
        </patternFill>
      </fill>
    </dxf>
    <dxf>
      <fill>
        <patternFill>
          <bgColor rgb="FF00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rgb="FFFFFF99"/>
        </patternFill>
      </fill>
    </dxf>
    <dxf>
      <font>
        <color theme="0"/>
      </font>
      <fill>
        <patternFill>
          <bgColor theme="3" tint="-0.499984740745262"/>
        </patternFill>
      </fill>
    </dxf>
    <dxf>
      <fill>
        <patternFill>
          <bgColor theme="6" tint="-0.24994659260841701"/>
        </patternFill>
      </fill>
    </dxf>
    <dxf>
      <fill>
        <patternFill>
          <bgColor rgb="FFCCCC00"/>
        </patternFill>
      </fill>
    </dxf>
    <dxf>
      <fill>
        <patternFill>
          <bgColor rgb="FFFF0066"/>
        </patternFill>
      </fill>
    </dxf>
    <dxf>
      <fill>
        <patternFill>
          <bgColor rgb="FFCC66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2" tint="-0.499984740745262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5" tint="-0.24994659260841701"/>
        </patternFill>
      </fill>
    </dxf>
    <dxf>
      <fill>
        <patternFill>
          <bgColor rgb="FF996633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rgb="FF00808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00FF9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FF00FF"/>
        </patternFill>
      </fill>
    </dxf>
    <dxf>
      <fill>
        <patternFill>
          <bgColor theme="7" tint="0.79998168889431442"/>
        </patternFill>
      </fill>
    </dxf>
    <dxf>
      <fill>
        <patternFill>
          <bgColor rgb="FFFF6600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002060"/>
        </patternFill>
      </fill>
    </dxf>
    <dxf>
      <fill>
        <patternFill>
          <bgColor theme="2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rgb="FFE90E09"/>
        </patternFill>
      </fill>
    </dxf>
    <dxf>
      <fill>
        <patternFill>
          <bgColor rgb="FFFFFF99"/>
        </patternFill>
      </fill>
    </dxf>
    <dxf>
      <fill>
        <patternFill>
          <bgColor theme="2" tint="-0.74996185186315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-0.499984740745262"/>
        </patternFill>
      </fill>
    </dxf>
    <dxf>
      <fill>
        <patternFill>
          <bgColor rgb="FF00FFFF"/>
        </patternFill>
      </fill>
    </dxf>
    <dxf>
      <fill>
        <patternFill>
          <bgColor theme="9" tint="-0.499984740745262"/>
        </patternFill>
      </fill>
    </dxf>
    <dxf>
      <fill>
        <patternFill>
          <bgColor theme="7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rgb="FFFF3399"/>
        </patternFill>
      </fill>
    </dxf>
    <dxf>
      <fill>
        <patternFill>
          <bgColor rgb="FFFF6600"/>
        </patternFill>
      </fill>
    </dxf>
    <dxf>
      <fill>
        <patternFill>
          <bgColor theme="5" tint="0.59996337778862885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9.9948118533890809E-2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  <dxf>
      <fill>
        <patternFill>
          <bgColor rgb="FF336699"/>
        </patternFill>
      </fill>
    </dxf>
    <dxf>
      <fill>
        <patternFill>
          <bgColor rgb="FF9900FF"/>
        </patternFill>
      </fill>
    </dxf>
    <dxf>
      <fill>
        <patternFill>
          <bgColor rgb="FF669900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66FFFF"/>
        </patternFill>
      </fill>
    </dxf>
    <dxf>
      <fill>
        <patternFill>
          <bgColor rgb="FFFF7C80"/>
        </patternFill>
      </fill>
    </dxf>
    <dxf>
      <fill>
        <patternFill>
          <bgColor rgb="FF336600"/>
        </patternFill>
      </fill>
    </dxf>
    <dxf>
      <fill>
        <patternFill>
          <bgColor rgb="FFCCFFCC"/>
        </patternFill>
      </fill>
    </dxf>
    <dxf>
      <fill>
        <patternFill>
          <bgColor rgb="FFFF99FF"/>
        </patternFill>
      </fill>
    </dxf>
    <dxf>
      <fill>
        <patternFill>
          <bgColor rgb="FFFF99CC"/>
        </patternFill>
      </fill>
    </dxf>
    <dxf>
      <fill>
        <patternFill>
          <bgColor theme="9" tint="0.5999633777886288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 tint="-0.499984740745262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99FF"/>
        </patternFill>
      </fill>
    </dxf>
    <dxf>
      <fill>
        <patternFill>
          <bgColor rgb="FFFF99CC"/>
        </patternFill>
      </fill>
    </dxf>
    <dxf>
      <fill>
        <patternFill>
          <bgColor theme="0" tint="-0.499984740745262"/>
        </patternFill>
      </fill>
    </dxf>
    <dxf>
      <fill>
        <patternFill>
          <bgColor rgb="FF336699"/>
        </patternFill>
      </fill>
    </dxf>
    <dxf>
      <fill>
        <patternFill>
          <bgColor rgb="FFFFFF99"/>
        </patternFill>
      </fill>
    </dxf>
    <dxf>
      <fill>
        <patternFill>
          <bgColor rgb="FFCCFFCC"/>
        </patternFill>
      </fill>
    </dxf>
    <dxf>
      <fill>
        <patternFill>
          <bgColor rgb="FF336600"/>
        </patternFill>
      </fill>
    </dxf>
    <dxf>
      <fill>
        <patternFill>
          <bgColor rgb="FFFF7C80"/>
        </patternFill>
      </fill>
    </dxf>
    <dxf>
      <fill>
        <patternFill>
          <bgColor rgb="FF66FFFF"/>
        </patternFill>
      </fill>
    </dxf>
    <dxf>
      <fill>
        <patternFill>
          <bgColor rgb="FFCC99FF"/>
        </patternFill>
      </fill>
    </dxf>
    <dxf>
      <fill>
        <patternFill>
          <bgColor rgb="FF669900"/>
        </patternFill>
      </fill>
    </dxf>
    <dxf>
      <fill>
        <patternFill>
          <bgColor rgb="FF9900FF"/>
        </patternFill>
      </fill>
    </dxf>
    <dxf>
      <fill>
        <patternFill>
          <bgColor theme="9" tint="-0.499984740745262"/>
        </patternFill>
      </fill>
    </dxf>
    <dxf>
      <fill>
        <patternFill>
          <bgColor theme="7"/>
        </patternFill>
      </fill>
    </dxf>
    <dxf>
      <fill>
        <patternFill>
          <bgColor rgb="FF00FFFF"/>
        </patternFill>
      </fill>
    </dxf>
    <dxf>
      <fill>
        <patternFill>
          <bgColor theme="2" tint="-9.9948118533890809E-2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rgb="FFFF3399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3399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8" tint="-0.499984740745262"/>
        </patternFill>
      </fill>
    </dxf>
    <dxf>
      <fill>
        <patternFill>
          <bgColor rgb="FF66FF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-0.499984740745262"/>
        </patternFill>
      </fill>
    </dxf>
    <dxf>
      <fill>
        <patternFill>
          <bgColor rgb="FF00FFFF"/>
        </patternFill>
      </fill>
    </dxf>
    <dxf>
      <fill>
        <patternFill>
          <bgColor theme="2" tint="-9.9948118533890809E-2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  <dxf>
      <fill>
        <patternFill>
          <bgColor rgb="FF336699"/>
        </patternFill>
      </fill>
    </dxf>
    <dxf>
      <fill>
        <patternFill>
          <bgColor rgb="FFFF6600"/>
        </patternFill>
      </fill>
    </dxf>
    <dxf>
      <fill>
        <patternFill>
          <bgColor rgb="FF9900FF"/>
        </patternFill>
      </fill>
    </dxf>
    <dxf>
      <fill>
        <patternFill>
          <bgColor rgb="FF669900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66FFFF"/>
        </patternFill>
      </fill>
    </dxf>
    <dxf>
      <fill>
        <patternFill>
          <bgColor rgb="FFFF7C80"/>
        </patternFill>
      </fill>
    </dxf>
    <dxf>
      <fill>
        <patternFill>
          <bgColor rgb="FF336600"/>
        </patternFill>
      </fill>
    </dxf>
    <dxf>
      <fill>
        <patternFill>
          <bgColor rgb="FFCCFFCC"/>
        </patternFill>
      </fill>
    </dxf>
    <dxf>
      <fill>
        <patternFill>
          <bgColor rgb="FFFF99FF"/>
        </patternFill>
      </fill>
    </dxf>
    <dxf>
      <fill>
        <patternFill>
          <bgColor rgb="FFFF99CC"/>
        </patternFill>
      </fill>
    </dxf>
    <dxf>
      <fill>
        <patternFill>
          <bgColor rgb="FF0070C0"/>
        </patternFill>
      </fill>
    </dxf>
    <dxf>
      <fill>
        <patternFill>
          <bgColor rgb="FFFF33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669900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theme="9" tint="-0.499984740745262"/>
        </patternFill>
      </fill>
    </dxf>
    <dxf>
      <fill>
        <patternFill>
          <bgColor rgb="FF336600"/>
        </patternFill>
      </fill>
    </dxf>
    <dxf>
      <fill>
        <patternFill>
          <bgColor rgb="FFCCFFCC"/>
        </patternFill>
      </fill>
    </dxf>
    <dxf>
      <fill>
        <patternFill>
          <bgColor rgb="FFFF99FF"/>
        </patternFill>
      </fill>
    </dxf>
    <dxf>
      <fill>
        <patternFill>
          <bgColor rgb="FFFF3399"/>
        </patternFill>
      </fill>
    </dxf>
    <dxf>
      <fill>
        <patternFill>
          <bgColor rgb="FFFF99CC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66FFFF"/>
        </patternFill>
      </fill>
    </dxf>
    <dxf>
      <fill>
        <patternFill>
          <bgColor rgb="FF00FFFF"/>
        </patternFill>
      </fill>
    </dxf>
    <dxf>
      <fill>
        <patternFill>
          <bgColor theme="2" tint="-9.9948118533890809E-2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C0000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  <dxf>
      <fill>
        <patternFill>
          <bgColor rgb="FF336699"/>
        </patternFill>
      </fill>
    </dxf>
    <dxf>
      <fill>
        <patternFill>
          <bgColor rgb="FFFF6600"/>
        </patternFill>
      </fill>
    </dxf>
    <dxf>
      <fill>
        <patternFill>
          <bgColor rgb="FF9900FF"/>
        </patternFill>
      </fill>
    </dxf>
    <dxf>
      <fill>
        <patternFill>
          <bgColor rgb="FF00FF00"/>
        </patternFill>
      </fill>
    </dxf>
    <dxf>
      <font>
        <color theme="0"/>
      </font>
      <fill>
        <patternFill>
          <bgColor theme="8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3399"/>
        </patternFill>
      </fill>
    </dxf>
    <dxf>
      <fill>
        <patternFill>
          <bgColor rgb="FF00B050"/>
        </patternFill>
      </fill>
    </dxf>
    <dxf>
      <fill>
        <patternFill>
          <bgColor rgb="FF66FFFF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ill>
        <patternFill>
          <bgColor rgb="FFFFC000"/>
        </patternFill>
      </fill>
    </dxf>
    <dxf>
      <fill>
        <patternFill>
          <bgColor rgb="FFFF00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2" tint="-0.499984740745262"/>
        </patternFill>
      </fill>
    </dxf>
    <dxf>
      <fill>
        <patternFill>
          <bgColor rgb="FF00B0F0"/>
        </patternFill>
      </fill>
    </dxf>
    <dxf>
      <fill>
        <patternFill>
          <bgColor theme="2" tint="-0.499984740745262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bgColor rgb="FF002060"/>
        </patternFill>
      </fill>
    </dxf>
    <dxf>
      <fill>
        <patternFill>
          <bgColor theme="2" tint="-0.74996185186315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505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rgb="FF008080"/>
        </patternFill>
      </fill>
    </dxf>
    <dxf>
      <fill>
        <patternFill>
          <bgColor theme="0" tint="-0.34998626667073579"/>
        </patternFill>
      </fill>
    </dxf>
    <dxf>
      <fill>
        <patternFill>
          <bgColor theme="1" tint="0.499984740745262"/>
        </patternFill>
      </fill>
    </dxf>
    <dxf>
      <font>
        <color theme="0"/>
      </font>
      <fill>
        <patternFill>
          <bgColor theme="3" tint="-0.499984740745262"/>
        </patternFill>
      </fill>
    </dxf>
    <dxf>
      <fill>
        <patternFill>
          <bgColor theme="6" tint="-0.24994659260841701"/>
        </patternFill>
      </fill>
    </dxf>
    <dxf>
      <fill>
        <patternFill>
          <bgColor rgb="FFCCCC00"/>
        </patternFill>
      </fill>
    </dxf>
    <dxf>
      <fill>
        <patternFill>
          <bgColor rgb="FFFF0066"/>
        </patternFill>
      </fill>
    </dxf>
    <dxf>
      <fill>
        <patternFill>
          <bgColor rgb="FFCC6600"/>
        </patternFill>
      </fill>
    </dxf>
    <dxf>
      <fill>
        <patternFill>
          <bgColor rgb="FF996633"/>
        </patternFill>
      </fill>
    </dxf>
    <dxf>
      <fill>
        <patternFill>
          <bgColor theme="5" tint="0.59996337778862885"/>
        </patternFill>
      </fill>
    </dxf>
    <dxf>
      <fill>
        <patternFill>
          <bgColor rgb="FFE90E09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FF99"/>
        </patternFill>
      </fill>
    </dxf>
    <dxf>
      <fill>
        <patternFill>
          <bgColor rgb="FF00FF00"/>
        </patternFill>
      </fill>
    </dxf>
    <dxf>
      <fill>
        <patternFill>
          <bgColor rgb="FF00FFFF"/>
        </patternFill>
      </fill>
    </dxf>
    <dxf>
      <fill>
        <patternFill>
          <bgColor rgb="FF3399FF"/>
        </patternFill>
      </fill>
    </dxf>
    <dxf>
      <fill>
        <patternFill>
          <bgColor rgb="FFFF00FF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2" tint="-0.499984740745262"/>
        </patternFill>
      </fill>
    </dxf>
    <dxf>
      <fill>
        <patternFill>
          <bgColor rgb="FF00B0F0"/>
        </patternFill>
      </fill>
    </dxf>
    <dxf>
      <fill>
        <patternFill>
          <bgColor theme="9" tint="0.79998168889431442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bgColor rgb="FF002060"/>
        </patternFill>
      </fill>
    </dxf>
    <dxf>
      <fill>
        <patternFill>
          <bgColor theme="2" tint="-0.749961851863155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E90E09"/>
        </patternFill>
      </fill>
    </dxf>
    <dxf>
      <fill>
        <patternFill>
          <bgColor rgb="FFFFFF99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2" tint="-0.499984740745262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5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505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rgb="FF008080"/>
        </patternFill>
      </fill>
    </dxf>
    <dxf>
      <fill>
        <patternFill>
          <bgColor theme="0" tint="-0.34998626667073579"/>
        </patternFill>
      </fill>
    </dxf>
    <dxf>
      <fill>
        <patternFill>
          <bgColor theme="1" tint="0.499984740745262"/>
        </patternFill>
      </fill>
    </dxf>
    <dxf>
      <font>
        <color theme="0"/>
      </font>
      <fill>
        <patternFill>
          <bgColor theme="3" tint="-0.499984740745262"/>
        </patternFill>
      </fill>
    </dxf>
    <dxf>
      <fill>
        <patternFill>
          <bgColor theme="6" tint="-0.24994659260841701"/>
        </patternFill>
      </fill>
    </dxf>
    <dxf>
      <fill>
        <patternFill>
          <bgColor rgb="FFCCCC00"/>
        </patternFill>
      </fill>
    </dxf>
    <dxf>
      <fill>
        <patternFill>
          <bgColor rgb="FFFF0066"/>
        </patternFill>
      </fill>
    </dxf>
    <dxf>
      <fill>
        <patternFill>
          <bgColor rgb="FFCC6600"/>
        </patternFill>
      </fill>
    </dxf>
    <dxf>
      <fill>
        <patternFill>
          <bgColor rgb="FF996633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6FF99"/>
        </patternFill>
      </fill>
    </dxf>
    <dxf>
      <fill>
        <patternFill>
          <bgColor rgb="FF00FF00"/>
        </patternFill>
      </fill>
    </dxf>
    <dxf>
      <fill>
        <patternFill>
          <bgColor rgb="FF00FFFF"/>
        </patternFill>
      </fill>
    </dxf>
    <dxf>
      <fill>
        <patternFill>
          <bgColor rgb="FF3399FF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ill>
        <patternFill>
          <bgColor theme="0" tint="-0.34998626667073579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3" tint="-0.499984740745262"/>
        </patternFill>
      </fill>
    </dxf>
    <dxf>
      <fill>
        <patternFill>
          <bgColor theme="6" tint="-0.24994659260841701"/>
        </patternFill>
      </fill>
    </dxf>
    <dxf>
      <fill>
        <patternFill>
          <bgColor rgb="FFCCCC00"/>
        </patternFill>
      </fill>
    </dxf>
    <dxf>
      <fill>
        <patternFill>
          <bgColor rgb="FFFF0066"/>
        </patternFill>
      </fill>
    </dxf>
    <dxf>
      <fill>
        <patternFill>
          <bgColor rgb="FFCC6600"/>
        </patternFill>
      </fill>
    </dxf>
    <dxf>
      <fill>
        <patternFill>
          <bgColor rgb="FF996633"/>
        </patternFill>
      </fill>
    </dxf>
    <dxf>
      <fill>
        <patternFill>
          <bgColor theme="2" tint="-0.499984740745262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5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00"/>
        </patternFill>
      </fill>
    </dxf>
    <dxf>
      <fill>
        <patternFill>
          <bgColor rgb="FF00FFFF"/>
        </patternFill>
      </fill>
    </dxf>
    <dxf>
      <fill>
        <patternFill>
          <bgColor rgb="FF3399FF"/>
        </patternFill>
      </fill>
    </dxf>
    <dxf>
      <fill>
        <patternFill>
          <bgColor rgb="FFFFC000"/>
        </patternFill>
      </fill>
    </dxf>
    <dxf>
      <fill>
        <patternFill>
          <bgColor rgb="FF66FF99"/>
        </patternFill>
      </fill>
    </dxf>
    <dxf>
      <fill>
        <patternFill>
          <bgColor rgb="FFFFFF99"/>
        </patternFill>
      </fill>
    </dxf>
    <dxf>
      <fill>
        <patternFill>
          <bgColor rgb="FFFF505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rgb="FF008080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2" tint="-0.499984740745262"/>
        </patternFill>
      </fill>
    </dxf>
    <dxf>
      <fill>
        <patternFill>
          <bgColor rgb="FF00B0F0"/>
        </patternFill>
      </fill>
    </dxf>
    <dxf>
      <fill>
        <patternFill>
          <bgColor theme="9" tint="0.79998168889431442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bgColor rgb="FF002060"/>
        </patternFill>
      </fill>
    </dxf>
    <dxf>
      <fill>
        <patternFill>
          <bgColor theme="2" tint="-0.749961851863155"/>
        </patternFill>
      </fill>
    </dxf>
    <dxf>
      <fill>
        <patternFill>
          <bgColor theme="7" tint="0.79998168889431442"/>
        </patternFill>
      </fill>
    </dxf>
    <dxf>
      <fill>
        <patternFill>
          <bgColor rgb="FFE90E09"/>
        </patternFill>
      </fill>
    </dxf>
    <dxf>
      <fill>
        <patternFill>
          <bgColor rgb="FFFFFF99"/>
        </patternFill>
      </fill>
    </dxf>
    <dxf>
      <fill>
        <patternFill>
          <bgColor theme="5" tint="0.59996337778862885"/>
        </patternFill>
      </fill>
    </dxf>
    <dxf>
      <fill>
        <patternFill>
          <bgColor rgb="FFFF00FF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E90E09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0.749961851863155"/>
        </patternFill>
      </fill>
    </dxf>
    <dxf>
      <font>
        <color theme="0"/>
      </font>
      <fill>
        <patternFill>
          <bgColor rgb="FF002060"/>
        </patternFill>
      </fill>
    </dxf>
    <dxf>
      <fill>
        <patternFill>
          <bgColor rgb="FFFF6600"/>
        </patternFill>
      </fill>
    </dxf>
    <dxf>
      <fill>
        <patternFill>
          <bgColor theme="9" tint="0.79998168889431442"/>
        </patternFill>
      </fill>
    </dxf>
    <dxf>
      <fill>
        <patternFill>
          <bgColor rgb="FF00B0F0"/>
        </patternFill>
      </fill>
    </dxf>
    <dxf>
      <fill>
        <patternFill>
          <bgColor theme="2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34"/>
        </patternFill>
      </fill>
    </dxf>
    <dxf>
      <fill>
        <patternFill>
          <bgColor indexed="34"/>
        </patternFill>
      </fill>
    </dxf>
    <dxf>
      <fill>
        <patternFill>
          <bgColor rgb="FF00B0F0"/>
        </patternFill>
      </fill>
    </dxf>
    <dxf>
      <fill>
        <patternFill>
          <bgColor rgb="FFFF99CC"/>
        </patternFill>
      </fill>
    </dxf>
    <dxf>
      <fill>
        <patternFill>
          <bgColor theme="8" tint="0.39994506668294322"/>
        </patternFill>
      </fill>
    </dxf>
    <dxf>
      <fill>
        <patternFill>
          <bgColor rgb="FFFF99FF"/>
        </patternFill>
      </fill>
    </dxf>
    <dxf>
      <fill>
        <patternFill>
          <bgColor rgb="FFFFFF00"/>
        </patternFill>
      </fill>
    </dxf>
    <dxf>
      <fill>
        <patternFill>
          <bgColor rgb="FFCCFF99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33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8" tint="-0.499984740745262"/>
        </patternFill>
      </fill>
    </dxf>
    <dxf>
      <fill>
        <patternFill>
          <bgColor rgb="FF336600"/>
        </patternFill>
      </fill>
    </dxf>
    <dxf>
      <fill>
        <patternFill>
          <bgColor rgb="FFFFFF00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-0.499984740745262"/>
        </patternFill>
      </fill>
    </dxf>
    <dxf>
      <fill>
        <patternFill>
          <bgColor theme="7" tint="0.39994506668294322"/>
        </patternFill>
      </fill>
    </dxf>
    <dxf>
      <font>
        <color theme="0"/>
      </font>
      <fill>
        <patternFill>
          <bgColor rgb="FFF40A58"/>
        </patternFill>
      </fill>
    </dxf>
    <dxf>
      <fill>
        <patternFill>
          <bgColor rgb="FFFF33CC"/>
        </patternFill>
      </fill>
    </dxf>
    <dxf>
      <font>
        <color theme="0"/>
      </font>
      <fill>
        <patternFill>
          <bgColor theme="6" tint="-0.499984740745262"/>
        </patternFill>
      </fill>
    </dxf>
    <dxf>
      <font>
        <color theme="0"/>
      </font>
      <fill>
        <patternFill>
          <bgColor rgb="FFFF9999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990033"/>
        </patternFill>
      </fill>
    </dxf>
    <dxf>
      <fill>
        <patternFill>
          <bgColor rgb="FF1CB0B0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3781BF"/>
        </patternFill>
      </fill>
    </dxf>
    <dxf>
      <fill>
        <patternFill>
          <bgColor rgb="FFF2CB98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AE3F3C"/>
        </patternFill>
      </fill>
    </dxf>
    <dxf>
      <font>
        <color theme="0"/>
      </font>
      <fill>
        <patternFill>
          <bgColor rgb="FF5AC65A"/>
        </patternFill>
      </fill>
    </dxf>
    <dxf>
      <font>
        <color theme="0"/>
      </font>
      <fill>
        <patternFill>
          <bgColor rgb="FF054EE1"/>
        </patternFill>
      </fill>
    </dxf>
    <dxf>
      <fill>
        <patternFill>
          <bgColor rgb="FF0DFF7A"/>
        </patternFill>
      </fill>
    </dxf>
    <dxf>
      <fill>
        <patternFill>
          <bgColor rgb="FFA365D1"/>
        </patternFill>
      </fill>
    </dxf>
    <dxf>
      <fill>
        <patternFill>
          <bgColor rgb="FF28A86B"/>
        </patternFill>
      </fill>
    </dxf>
    <dxf>
      <fill>
        <patternFill>
          <bgColor rgb="FF13CF8C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6B53A7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fgColor rgb="FFFF66FF"/>
          <bgColor rgb="FFFF66FF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rgb="FF9900FF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3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3" tint="0.3999450666829432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fgColor rgb="FFFF66FF"/>
          <bgColor rgb="FFB9119D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33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8" tint="-0.499984740745262"/>
        </patternFill>
      </fill>
    </dxf>
    <dxf>
      <fill>
        <patternFill>
          <bgColor rgb="FF66FFFF"/>
        </patternFill>
      </fill>
    </dxf>
    <dxf>
      <fill>
        <patternFill>
          <bgColor rgb="FFFF3399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theme="6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C00000"/>
        </patternFill>
      </fill>
    </dxf>
    <dxf>
      <fill>
        <patternFill>
          <bgColor theme="8" tint="0.79998168889431442"/>
        </patternFill>
      </fill>
    </dxf>
    <dxf>
      <fill>
        <patternFill>
          <bgColor rgb="FF000099"/>
        </patternFill>
      </fill>
    </dxf>
    <dxf>
      <fill>
        <patternFill>
          <bgColor rgb="FFFFFF00"/>
        </patternFill>
      </fill>
    </dxf>
    <dxf>
      <fill>
        <patternFill>
          <bgColor theme="8" tint="-0.24994659260841701"/>
        </patternFill>
      </fill>
    </dxf>
    <dxf>
      <fill>
        <patternFill>
          <bgColor rgb="FFFF33CC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ED0F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408CA"/>
        </patternFill>
      </fill>
    </dxf>
    <dxf>
      <fill>
        <patternFill>
          <bgColor rgb="FFFFC0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33CC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408CA"/>
        </patternFill>
      </fill>
    </dxf>
    <dxf>
      <fill>
        <patternFill>
          <bgColor rgb="FFFFC000"/>
        </patternFill>
      </fill>
    </dxf>
    <dxf>
      <fill>
        <patternFill>
          <bgColor rgb="FFFED0F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ED0F5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rgb="FFFED0F5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E408CA"/>
        </patternFill>
      </fill>
    </dxf>
    <dxf>
      <fill>
        <patternFill>
          <bgColor rgb="FFFFC000"/>
        </patternFill>
      </fill>
    </dxf>
    <dxf>
      <fill>
        <patternFill>
          <bgColor theme="8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rgb="FFFF33C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33CC"/>
        </patternFill>
      </fill>
    </dxf>
    <dxf>
      <fill>
        <patternFill>
          <bgColor theme="5" tint="0.59996337778862885"/>
        </patternFill>
      </fill>
    </dxf>
    <dxf>
      <fill>
        <patternFill>
          <bgColor rgb="FFFED0F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E408CA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33CC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00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33CC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rgb="FFFED0F5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FF33CC"/>
        </patternFill>
      </fill>
    </dxf>
    <dxf>
      <fill>
        <patternFill>
          <bgColor theme="5" tint="0.59996337778862885"/>
        </patternFill>
      </fill>
    </dxf>
    <dxf>
      <fill>
        <patternFill>
          <bgColor rgb="FFFED0F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E408CA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408CA"/>
        </patternFill>
      </fill>
    </dxf>
    <dxf>
      <fill>
        <patternFill>
          <bgColor rgb="FFFFFF00"/>
        </patternFill>
      </fill>
    </dxf>
    <dxf>
      <fill>
        <patternFill>
          <bgColor rgb="FFFF33CC"/>
        </patternFill>
      </fill>
    </dxf>
    <dxf>
      <fill>
        <patternFill>
          <bgColor rgb="FFFED0F5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33CC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408CA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E408CA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theme="6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E408CA"/>
        </patternFill>
      </fill>
    </dxf>
    <dxf>
      <fill>
        <patternFill>
          <bgColor rgb="FFFED0F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33CC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rgb="FF000099"/>
        </patternFill>
      </fill>
    </dxf>
    <dxf>
      <fill>
        <patternFill>
          <bgColor theme="8" tint="0.39994506668294322"/>
        </patternFill>
      </fill>
    </dxf>
    <dxf>
      <fill>
        <patternFill>
          <bgColor rgb="FFFED0F5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408CA"/>
        </patternFill>
      </fill>
    </dxf>
    <dxf>
      <fill>
        <patternFill>
          <bgColor rgb="FFFFC000"/>
        </patternFill>
      </fill>
    </dxf>
    <dxf>
      <fill>
        <patternFill>
          <bgColor theme="8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33CC"/>
        </patternFill>
      </fill>
    </dxf>
    <dxf>
      <fill>
        <patternFill>
          <bgColor theme="5" tint="0.59996337778862885"/>
        </patternFill>
      </fill>
    </dxf>
    <dxf>
      <fill>
        <patternFill>
          <bgColor rgb="FFAFF1D6"/>
        </patternFill>
      </fill>
    </dxf>
    <dxf>
      <fill>
        <patternFill>
          <bgColor theme="8" tint="0.79998168889431442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00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33CC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00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00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rgb="FFFF33CC"/>
        </patternFill>
      </fill>
    </dxf>
    <dxf>
      <fill>
        <patternFill>
          <bgColor rgb="FFFED0F5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rgb="FFFFC00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C000"/>
        </patternFill>
      </fill>
    </dxf>
    <dxf>
      <fill>
        <patternFill>
          <bgColor rgb="FFE408CA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ED0F5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theme="7"/>
        </patternFill>
      </fill>
    </dxf>
    <dxf>
      <fill>
        <patternFill>
          <bgColor theme="8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ED0F5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408CA"/>
        </patternFill>
      </fill>
    </dxf>
    <dxf>
      <fill>
        <patternFill>
          <bgColor rgb="FFFFC00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rgb="FF000099"/>
        </patternFill>
      </fill>
    </dxf>
    <dxf>
      <fill>
        <patternFill>
          <bgColor rgb="FFE408CA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ED0F5"/>
        </patternFill>
      </fill>
    </dxf>
    <dxf>
      <fill>
        <patternFill>
          <bgColor rgb="FF00B0F0"/>
        </patternFill>
      </fill>
    </dxf>
    <dxf>
      <fill>
        <patternFill>
          <bgColor theme="5" tint="0.59996337778862885"/>
        </patternFill>
      </fill>
    </dxf>
    <dxf>
      <fill>
        <patternFill>
          <bgColor rgb="FFFF33CC"/>
        </patternFill>
      </fill>
    </dxf>
    <dxf>
      <fill>
        <patternFill>
          <bgColor theme="8" tint="0.79998168889431442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0099"/>
      <color rgb="FFFF33CC"/>
      <color rgb="FFFF0066"/>
      <color rgb="FFCCFF99"/>
      <color rgb="FFFED0F5"/>
      <color rgb="FFE408CA"/>
      <color rgb="FFFF7C80"/>
      <color rgb="FF996633"/>
      <color rgb="FFFF66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3B6-471D-A88F-993C30787E38}"/>
              </c:ext>
            </c:extLst>
          </c:dPt>
          <c:val>
            <c:numRef>
              <c:f>Gra!$Q$3</c:f>
              <c:numCache>
                <c:formatCode>0%</c:formatCode>
                <c:ptCount val="1"/>
                <c:pt idx="0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B6-471D-A88F-993C30787E3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B6-471D-A88F-993C30787E38}"/>
              </c:ext>
            </c:extLst>
          </c:dPt>
          <c:val>
            <c:numRef>
              <c:f>Gra!$R$3</c:f>
              <c:numCache>
                <c:formatCode>0%</c:formatCode>
                <c:ptCount val="1"/>
                <c:pt idx="0">
                  <c:v>6.2500000000000003E-3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B6-471D-A88F-993C30787E3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B6-471D-A88F-993C30787E38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B6-471D-A88F-993C30787E38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Gra!$U$3</c:f>
              <c:numCache>
                <c:formatCode>0%</c:formatCode>
                <c:ptCount val="1"/>
                <c:pt idx="0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3B6-471D-A88F-993C30787E38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Gra!$V$3</c:f>
              <c:numCache>
                <c:formatCode>0%</c:formatCode>
                <c:ptCount val="1"/>
                <c:pt idx="0">
                  <c:v>0.10625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3B6-471D-A88F-993C30787E38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Gra!$W$3</c:f>
              <c:numCache>
                <c:formatCode>0%</c:formatCode>
                <c:ptCount val="1"/>
                <c:pt idx="0">
                  <c:v>0.26874999999999999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3B6-471D-A88F-993C30787E38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Gra!$X$3</c:f>
              <c:numCache>
                <c:formatCode>0%</c:formatCode>
                <c:ptCount val="1"/>
                <c:pt idx="0">
                  <c:v>0.33750000000000002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3B6-471D-A88F-993C30787E3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3B6-471D-A88F-993C30787E3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3B6-471D-A88F-993C30787E3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3B6-471D-A88F-993C30787E3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Gra!$AB$3</c:f>
              <c:numCache>
                <c:formatCode>0%</c:formatCode>
                <c:ptCount val="1"/>
                <c:pt idx="0">
                  <c:v>0.23125000000000001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3B6-471D-A88F-993C30787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9FD-43A1-A351-856F8ACF60D1}"/>
              </c:ext>
            </c:extLst>
          </c:dPt>
          <c:val>
            <c:numRef>
              <c:f>Gra!$Q$12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FD-43A1-A351-856F8ACF60D1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9FD-43A1-A351-856F8ACF60D1}"/>
              </c:ext>
            </c:extLst>
          </c:dPt>
          <c:val>
            <c:numRef>
              <c:f>Gra!$R$12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9FD-43A1-A351-856F8ACF60D1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9FD-43A1-A351-856F8ACF60D1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9FD-43A1-A351-856F8ACF60D1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9FD-43A1-A351-856F8ACF60D1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9FD-43A1-A351-856F8ACF60D1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9FD-43A1-A351-856F8ACF60D1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9FD-43A1-A351-856F8ACF60D1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9FD-43A1-A351-856F8ACF60D1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9FD-43A1-A351-856F8ACF60D1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9FD-43A1-A351-856F8ACF60D1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Gra!$AB$12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9FD-43A1-A351-856F8ACF6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701-42A4-AF9C-C20A70E4D633}"/>
              </c:ext>
            </c:extLst>
          </c:dPt>
          <c:val>
            <c:numRef>
              <c:f>Gra!$Q$4</c:f>
              <c:numCache>
                <c:formatCode>0%</c:formatCode>
                <c:ptCount val="1"/>
                <c:pt idx="0">
                  <c:v>0.23125000000000001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01-42A4-AF9C-C20A70E4D6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701-42A4-AF9C-C20A70E4D633}"/>
              </c:ext>
            </c:extLst>
          </c:dPt>
          <c:val>
            <c:numRef>
              <c:f>Gra!$R$4</c:f>
              <c:numCache>
                <c:formatCode>0%</c:formatCode>
                <c:ptCount val="1"/>
                <c:pt idx="0">
                  <c:v>1.2500000000000001E-2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01-42A4-AF9C-C20A70E4D633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Gra!$S$4</c:f>
              <c:numCache>
                <c:formatCode>0%</c:formatCode>
                <c:ptCount val="1"/>
                <c:pt idx="0">
                  <c:v>1.2500000000000001E-2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01-42A4-AF9C-C20A70E4D633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Gra!$T$4</c:f>
              <c:numCache>
                <c:formatCode>0%</c:formatCode>
                <c:ptCount val="1"/>
                <c:pt idx="0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701-42A4-AF9C-C20A70E4D633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Gra!$U$4</c:f>
              <c:numCache>
                <c:formatCode>0%</c:formatCode>
                <c:ptCount val="1"/>
                <c:pt idx="0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701-42A4-AF9C-C20A70E4D633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Gra!$V$4</c:f>
              <c:numCache>
                <c:formatCode>0%</c:formatCode>
                <c:ptCount val="1"/>
                <c:pt idx="0">
                  <c:v>0.10625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701-42A4-AF9C-C20A70E4D633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701-42A4-AF9C-C20A70E4D633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Gra!$X$4</c:f>
              <c:numCache>
                <c:formatCode>0%</c:formatCode>
                <c:ptCount val="1"/>
                <c:pt idx="0">
                  <c:v>3.7499999999999999E-2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701-42A4-AF9C-C20A70E4D633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701-42A4-AF9C-C20A70E4D633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701-42A4-AF9C-C20A70E4D633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701-42A4-AF9C-C20A70E4D633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Gra!$AB$4</c:f>
              <c:numCache>
                <c:formatCode>0%</c:formatCode>
                <c:ptCount val="1"/>
                <c:pt idx="0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701-42A4-AF9C-C20A70E4D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CA9-4FB8-9B6D-B82194971E4F}"/>
              </c:ext>
            </c:extLst>
          </c:dPt>
          <c:val>
            <c:numRef>
              <c:f>Gra!$Q$5</c:f>
              <c:numCache>
                <c:formatCode>0%</c:formatCode>
                <c:ptCount val="1"/>
                <c:pt idx="0">
                  <c:v>0.33750000000000002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A9-4FB8-9B6D-B82194971E4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CA9-4FB8-9B6D-B82194971E4F}"/>
              </c:ext>
            </c:extLst>
          </c:dPt>
          <c:val>
            <c:numRef>
              <c:f>Gra!$R$5</c:f>
              <c:numCache>
                <c:formatCode>0%</c:formatCode>
                <c:ptCount val="1"/>
                <c:pt idx="0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A9-4FB8-9B6D-B82194971E4F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Gra!$S$5</c:f>
              <c:numCache>
                <c:formatCode>0%</c:formatCode>
                <c:ptCount val="1"/>
                <c:pt idx="0">
                  <c:v>6.25E-2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A9-4FB8-9B6D-B82194971E4F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Gra!$T$5</c:f>
              <c:numCache>
                <c:formatCode>0%</c:formatCode>
                <c:ptCount val="1"/>
                <c:pt idx="0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A9-4FB8-9B6D-B82194971E4F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Gra!$U$5</c:f>
              <c:numCache>
                <c:formatCode>0%</c:formatCode>
                <c:ptCount val="1"/>
                <c:pt idx="0">
                  <c:v>0.11874999999999999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A9-4FB8-9B6D-B82194971E4F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Gra!$V$5</c:f>
              <c:numCache>
                <c:formatCode>0%</c:formatCode>
                <c:ptCount val="1"/>
                <c:pt idx="0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A9-4FB8-9B6D-B82194971E4F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A9-4FB8-9B6D-B82194971E4F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A9-4FB8-9B6D-B82194971E4F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CA9-4FB8-9B6D-B82194971E4F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CA9-4FB8-9B6D-B82194971E4F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CA9-4FB8-9B6D-B82194971E4F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Gra!$AB$5</c:f>
              <c:numCache>
                <c:formatCode>0%</c:formatCode>
                <c:ptCount val="1"/>
                <c:pt idx="0">
                  <c:v>0.38124999999999998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CA9-4FB8-9B6D-B82194971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FC3-435E-90B9-4B4E8F49B083}"/>
              </c:ext>
            </c:extLst>
          </c:dPt>
          <c:val>
            <c:numRef>
              <c:f>Gra!$Q$6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C3-435E-90B9-4B4E8F49B08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FC3-435E-90B9-4B4E8F49B083}"/>
              </c:ext>
            </c:extLst>
          </c:dPt>
          <c:val>
            <c:numRef>
              <c:f>Gra!$R$6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FC3-435E-90B9-4B4E8F49B083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C3-435E-90B9-4B4E8F49B083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FC3-435E-90B9-4B4E8F49B083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FC3-435E-90B9-4B4E8F49B083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FC3-435E-90B9-4B4E8F49B083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FC3-435E-90B9-4B4E8F49B083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FC3-435E-90B9-4B4E8F49B083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FC3-435E-90B9-4B4E8F49B083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FC3-435E-90B9-4B4E8F49B083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FC3-435E-90B9-4B4E8F49B083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Gra!$AB$6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FC3-435E-90B9-4B4E8F49B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298-4CB9-B8E3-C674DF588BEB}"/>
              </c:ext>
            </c:extLst>
          </c:dPt>
          <c:val>
            <c:numRef>
              <c:f>Gra!$Q$7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98-4CB9-B8E3-C674DF588BE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298-4CB9-B8E3-C674DF588BEB}"/>
              </c:ext>
            </c:extLst>
          </c:dPt>
          <c:val>
            <c:numRef>
              <c:f>Gra!$R$7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98-4CB9-B8E3-C674DF588BE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98-4CB9-B8E3-C674DF588BEB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98-4CB9-B8E3-C674DF588BEB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98-4CB9-B8E3-C674DF588BEB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98-4CB9-B8E3-C674DF588BEB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98-4CB9-B8E3-C674DF588BEB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298-4CB9-B8E3-C674DF588BEB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298-4CB9-B8E3-C674DF588BEB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298-4CB9-B8E3-C674DF588BEB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298-4CB9-B8E3-C674DF588BEB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Gra!$AB$7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298-4CB9-B8E3-C674DF588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8A3-4238-90EB-26B5A2D08CE9}"/>
              </c:ext>
            </c:extLst>
          </c:dPt>
          <c:val>
            <c:numRef>
              <c:f>Gra!$Q$8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A3-4238-90EB-26B5A2D08CE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8A3-4238-90EB-26B5A2D08CE9}"/>
              </c:ext>
            </c:extLst>
          </c:dPt>
          <c:val>
            <c:numRef>
              <c:f>Gra!$R$8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3-4238-90EB-26B5A2D08CE9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A3-4238-90EB-26B5A2D08CE9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8A3-4238-90EB-26B5A2D08CE9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3-4238-90EB-26B5A2D08CE9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3-4238-90EB-26B5A2D08CE9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3-4238-90EB-26B5A2D08CE9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3-4238-90EB-26B5A2D08CE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8A3-4238-90EB-26B5A2D08CE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3-4238-90EB-26B5A2D08CE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8A3-4238-90EB-26B5A2D08CE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Gra!$AB$8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8A3-4238-90EB-26B5A2D08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C95-428D-8642-6387AEB0868A}"/>
              </c:ext>
            </c:extLst>
          </c:dPt>
          <c:val>
            <c:numRef>
              <c:f>Gra!$Q$9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95-428D-8642-6387AEB0868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C95-428D-8642-6387AEB0868A}"/>
              </c:ext>
            </c:extLst>
          </c:dPt>
          <c:val>
            <c:numRef>
              <c:f>Gra!$R$9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95-428D-8642-6387AEB0868A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95-428D-8642-6387AEB0868A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Gra!$T$9</c:f>
              <c:numCache>
                <c:formatCode>0%</c:formatCode>
                <c:ptCount val="1"/>
                <c:pt idx="0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C95-428D-8642-6387AEB0868A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C95-428D-8642-6387AEB0868A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C95-428D-8642-6387AEB0868A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C95-428D-8642-6387AEB0868A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Gra!$X$9</c:f>
              <c:numCache>
                <c:formatCode>0%</c:formatCode>
                <c:ptCount val="1"/>
                <c:pt idx="0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C95-428D-8642-6387AEB0868A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C95-428D-8642-6387AEB0868A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C95-428D-8642-6387AEB0868A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C95-428D-8642-6387AEB0868A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Gra!$AB$9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C95-428D-8642-6387AEB08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172-4489-95DF-3B8E6281800D}"/>
              </c:ext>
            </c:extLst>
          </c:dPt>
          <c:val>
            <c:numRef>
              <c:f>Gra!$Q$11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72-4489-95DF-3B8E6281800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172-4489-95DF-3B8E6281800D}"/>
              </c:ext>
            </c:extLst>
          </c:dPt>
          <c:val>
            <c:numRef>
              <c:f>Gra!$R$11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172-4489-95DF-3B8E6281800D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72-4489-95DF-3B8E6281800D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172-4489-95DF-3B8E6281800D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172-4489-95DF-3B8E6281800D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172-4489-95DF-3B8E6281800D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172-4489-95DF-3B8E6281800D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172-4489-95DF-3B8E6281800D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172-4489-95DF-3B8E6281800D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172-4489-95DF-3B8E6281800D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172-4489-95DF-3B8E6281800D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Gra!$AB$11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172-4489-95DF-3B8E62818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455602045560205E-2"/>
          <c:y val="8.5519948430920145E-2"/>
          <c:w val="0.97024639702463966"/>
          <c:h val="0.82896010313815971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4A5-42CB-B3B9-CA0187602A24}"/>
              </c:ext>
            </c:extLst>
          </c:dPt>
          <c:val>
            <c:numRef>
              <c:f>Gra!$Q$10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A5-42CB-B3B9-CA0187602A24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4A5-42CB-B3B9-CA0187602A24}"/>
              </c:ext>
            </c:extLst>
          </c:dPt>
          <c:val>
            <c:numRef>
              <c:f>Gra!$R$10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4A5-42CB-B3B9-CA0187602A24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Gra!$S$10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4A5-42CB-B3B9-CA0187602A24}"/>
            </c:ext>
          </c:extLst>
        </c:ser>
        <c:ser>
          <c:idx val="3"/>
          <c:order val="3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val>
            <c:numRef>
              <c:f>Gra!$T$10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4A5-42CB-B3B9-CA0187602A24}"/>
            </c:ext>
          </c:extLst>
        </c:ser>
        <c:ser>
          <c:idx val="4"/>
          <c:order val="4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Gra!$U$10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A5-42CB-B3B9-CA0187602A24}"/>
            </c:ext>
          </c:extLst>
        </c:ser>
        <c:ser>
          <c:idx val="5"/>
          <c:order val="5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Gra!$V$10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4A5-42CB-B3B9-CA0187602A24}"/>
            </c:ext>
          </c:extLst>
        </c:ser>
        <c:ser>
          <c:idx val="6"/>
          <c:order val="6"/>
          <c:spPr>
            <a:solidFill>
              <a:srgbClr val="CC66FF"/>
            </a:solidFill>
            <a:ln>
              <a:noFill/>
            </a:ln>
            <a:effectLst/>
          </c:spPr>
          <c:invertIfNegative val="0"/>
          <c:val>
            <c:numRef>
              <c:f>Gra!$W$10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4A5-42CB-B3B9-CA0187602A24}"/>
            </c:ext>
          </c:extLst>
        </c:ser>
        <c:ser>
          <c:idx val="7"/>
          <c:order val="7"/>
          <c:spPr>
            <a:solidFill>
              <a:srgbClr val="FF66FF"/>
            </a:solidFill>
            <a:ln>
              <a:noFill/>
            </a:ln>
            <a:effectLst/>
          </c:spPr>
          <c:invertIfNegative val="0"/>
          <c:val>
            <c:numRef>
              <c:f>Gra!$X$10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4A5-42CB-B3B9-CA0187602A24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Gra!$Y$10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A5-42CB-B3B9-CA0187602A24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Gra!$Z$10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4A5-42CB-B3B9-CA0187602A24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Gra!$AA$10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4A5-42CB-B3B9-CA0187602A24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Gra!$AB$10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4A5-42CB-B3B9-CA0187602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7616"/>
        <c:axId val="660824336"/>
      </c:barChart>
      <c:catAx>
        <c:axId val="66082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0824336"/>
        <c:crosses val="autoZero"/>
        <c:auto val="1"/>
        <c:lblAlgn val="ctr"/>
        <c:lblOffset val="100"/>
        <c:noMultiLvlLbl val="0"/>
      </c:catAx>
      <c:valAx>
        <c:axId val="660824336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6082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image" Target="../media/image2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17</xdr:row>
      <xdr:rowOff>40821</xdr:rowOff>
    </xdr:from>
    <xdr:ext cx="1143516" cy="256011"/>
    <xdr:pic>
      <xdr:nvPicPr>
        <xdr:cNvPr id="31" name="Picture 75" descr="Hidro.png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7327446"/>
          <a:ext cx="1143516" cy="256011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53</xdr:row>
      <xdr:rowOff>40821</xdr:rowOff>
    </xdr:from>
    <xdr:ext cx="1143516" cy="256011"/>
    <xdr:pic>
      <xdr:nvPicPr>
        <xdr:cNvPr id="32" name="Picture 75" descr="Hidro.png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4698546"/>
          <a:ext cx="1143516" cy="256011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17</xdr:row>
      <xdr:rowOff>40821</xdr:rowOff>
    </xdr:from>
    <xdr:ext cx="1143516" cy="256011"/>
    <xdr:pic>
      <xdr:nvPicPr>
        <xdr:cNvPr id="34" name="Picture 75" descr="Hidro.png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4698546"/>
          <a:ext cx="1143516" cy="256011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53</xdr:row>
      <xdr:rowOff>40821</xdr:rowOff>
    </xdr:from>
    <xdr:ext cx="1143516" cy="256011"/>
    <xdr:pic>
      <xdr:nvPicPr>
        <xdr:cNvPr id="35" name="Picture 75" descr="Hidro.png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13023396"/>
          <a:ext cx="1143516" cy="256011"/>
        </a:xfrm>
        <a:prstGeom prst="rect">
          <a:avLst/>
        </a:prstGeom>
      </xdr:spPr>
    </xdr:pic>
    <xdr:clientData/>
  </xdr:oneCellAnchor>
  <xdr:oneCellAnchor>
    <xdr:from>
      <xdr:col>8</xdr:col>
      <xdr:colOff>0</xdr:colOff>
      <xdr:row>7</xdr:row>
      <xdr:rowOff>40821</xdr:rowOff>
    </xdr:from>
    <xdr:ext cx="1143516" cy="256011"/>
    <xdr:pic>
      <xdr:nvPicPr>
        <xdr:cNvPr id="36" name="Picture 75" descr="Hidro.png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81350" y="4698546"/>
          <a:ext cx="1143516" cy="256011"/>
        </a:xfrm>
        <a:prstGeom prst="rect">
          <a:avLst/>
        </a:prstGeom>
      </xdr:spPr>
    </xdr:pic>
    <xdr:clientData/>
  </xdr:oneCellAnchor>
  <xdr:oneCellAnchor>
    <xdr:from>
      <xdr:col>10</xdr:col>
      <xdr:colOff>0</xdr:colOff>
      <xdr:row>17</xdr:row>
      <xdr:rowOff>40821</xdr:rowOff>
    </xdr:from>
    <xdr:ext cx="1143516" cy="256011"/>
    <xdr:pic>
      <xdr:nvPicPr>
        <xdr:cNvPr id="37" name="Picture 75" descr="Hidro.png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81350" y="4698546"/>
          <a:ext cx="1143516" cy="256011"/>
        </a:xfrm>
        <a:prstGeom prst="rect">
          <a:avLst/>
        </a:prstGeom>
      </xdr:spPr>
    </xdr:pic>
    <xdr:clientData/>
  </xdr:oneCellAnchor>
  <xdr:oneCellAnchor>
    <xdr:from>
      <xdr:col>10</xdr:col>
      <xdr:colOff>0</xdr:colOff>
      <xdr:row>53</xdr:row>
      <xdr:rowOff>40821</xdr:rowOff>
    </xdr:from>
    <xdr:ext cx="1143516" cy="256011"/>
    <xdr:pic>
      <xdr:nvPicPr>
        <xdr:cNvPr id="38" name="Picture 75" descr="Hidro.png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81350" y="13023396"/>
          <a:ext cx="1143516" cy="256011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25</xdr:row>
      <xdr:rowOff>40821</xdr:rowOff>
    </xdr:from>
    <xdr:ext cx="1143516" cy="256011"/>
    <xdr:pic>
      <xdr:nvPicPr>
        <xdr:cNvPr id="39" name="Picture 75" descr="Hidro.png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657850" y="13023396"/>
          <a:ext cx="1143516" cy="256011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21</xdr:row>
      <xdr:rowOff>40821</xdr:rowOff>
    </xdr:from>
    <xdr:ext cx="1143516" cy="256011"/>
    <xdr:pic>
      <xdr:nvPicPr>
        <xdr:cNvPr id="40" name="Picture 75" descr="Hidro.png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657850" y="13023396"/>
          <a:ext cx="1143516" cy="256011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19</xdr:row>
      <xdr:rowOff>40821</xdr:rowOff>
    </xdr:from>
    <xdr:ext cx="1143516" cy="256011"/>
    <xdr:pic>
      <xdr:nvPicPr>
        <xdr:cNvPr id="11" name="Picture 75" descr="Hidro.png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4698546"/>
          <a:ext cx="1143516" cy="256011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55</xdr:row>
      <xdr:rowOff>40821</xdr:rowOff>
    </xdr:from>
    <xdr:ext cx="1143516" cy="256011"/>
    <xdr:pic>
      <xdr:nvPicPr>
        <xdr:cNvPr id="12" name="Picture 75" descr="Hidro.png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11708946"/>
          <a:ext cx="1143516" cy="25601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27</xdr:row>
      <xdr:rowOff>47625</xdr:rowOff>
    </xdr:from>
    <xdr:to>
      <xdr:col>5</xdr:col>
      <xdr:colOff>1800</xdr:colOff>
      <xdr:row>27</xdr:row>
      <xdr:rowOff>303225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0" y="6019800"/>
          <a:ext cx="1144800" cy="255600"/>
        </a:xfrm>
        <a:prstGeom prst="rect">
          <a:avLst/>
        </a:prstGeom>
      </xdr:spPr>
    </xdr:pic>
    <xdr:clientData/>
  </xdr:twoCellAnchor>
  <xdr:oneCellAnchor>
    <xdr:from>
      <xdr:col>2</xdr:col>
      <xdr:colOff>0</xdr:colOff>
      <xdr:row>11</xdr:row>
      <xdr:rowOff>40821</xdr:rowOff>
    </xdr:from>
    <xdr:ext cx="1143516" cy="256011"/>
    <xdr:pic>
      <xdr:nvPicPr>
        <xdr:cNvPr id="3" name="Picture 75" descr="Hidro.png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04850" y="2507796"/>
          <a:ext cx="1143516" cy="256011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11</xdr:row>
      <xdr:rowOff>40821</xdr:rowOff>
    </xdr:from>
    <xdr:ext cx="1143516" cy="256011"/>
    <xdr:pic>
      <xdr:nvPicPr>
        <xdr:cNvPr id="4" name="Picture 75" descr="Hidro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181350" y="2507796"/>
          <a:ext cx="1143516" cy="256011"/>
        </a:xfrm>
        <a:prstGeom prst="rect">
          <a:avLst/>
        </a:prstGeom>
      </xdr:spPr>
    </xdr:pic>
    <xdr:clientData/>
  </xdr:oneCellAnchor>
  <xdr:oneCellAnchor>
    <xdr:from>
      <xdr:col>10</xdr:col>
      <xdr:colOff>0</xdr:colOff>
      <xdr:row>11</xdr:row>
      <xdr:rowOff>40821</xdr:rowOff>
    </xdr:from>
    <xdr:ext cx="1143516" cy="256011"/>
    <xdr:pic>
      <xdr:nvPicPr>
        <xdr:cNvPr id="5" name="Picture 75" descr="Hidro.png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657850" y="2507796"/>
          <a:ext cx="1143516" cy="256011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33</xdr:row>
      <xdr:rowOff>40821</xdr:rowOff>
    </xdr:from>
    <xdr:ext cx="1143516" cy="256011"/>
    <xdr:pic>
      <xdr:nvPicPr>
        <xdr:cNvPr id="6" name="Picture 75" descr="Hidro.png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04850" y="7327446"/>
          <a:ext cx="1143516" cy="256011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33</xdr:row>
      <xdr:rowOff>40821</xdr:rowOff>
    </xdr:from>
    <xdr:ext cx="1143516" cy="256011"/>
    <xdr:pic>
      <xdr:nvPicPr>
        <xdr:cNvPr id="7" name="Picture 75" descr="Hidro.png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181350" y="7327446"/>
          <a:ext cx="1143516" cy="256011"/>
        </a:xfrm>
        <a:prstGeom prst="rect">
          <a:avLst/>
        </a:prstGeom>
      </xdr:spPr>
    </xdr:pic>
    <xdr:clientData/>
  </xdr:oneCellAnchor>
  <xdr:oneCellAnchor>
    <xdr:from>
      <xdr:col>10</xdr:col>
      <xdr:colOff>0</xdr:colOff>
      <xdr:row>33</xdr:row>
      <xdr:rowOff>40821</xdr:rowOff>
    </xdr:from>
    <xdr:ext cx="1143516" cy="256011"/>
    <xdr:pic>
      <xdr:nvPicPr>
        <xdr:cNvPr id="8" name="Picture 75" descr="Hidro.png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657850" y="7327446"/>
          <a:ext cx="1143516" cy="256011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59</xdr:row>
      <xdr:rowOff>40821</xdr:rowOff>
    </xdr:from>
    <xdr:ext cx="1143516" cy="256011"/>
    <xdr:pic>
      <xdr:nvPicPr>
        <xdr:cNvPr id="9" name="Picture 75" descr="Hidro.png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13023396"/>
          <a:ext cx="1143516" cy="256011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59</xdr:row>
      <xdr:rowOff>40821</xdr:rowOff>
    </xdr:from>
    <xdr:ext cx="1143516" cy="256011"/>
    <xdr:pic>
      <xdr:nvPicPr>
        <xdr:cNvPr id="10" name="Picture 75" descr="Hidro.png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181350" y="13023396"/>
          <a:ext cx="1143516" cy="256011"/>
        </a:xfrm>
        <a:prstGeom prst="rect">
          <a:avLst/>
        </a:prstGeom>
      </xdr:spPr>
    </xdr:pic>
    <xdr:clientData/>
  </xdr:oneCellAnchor>
  <xdr:oneCellAnchor>
    <xdr:from>
      <xdr:col>8</xdr:col>
      <xdr:colOff>0</xdr:colOff>
      <xdr:row>59</xdr:row>
      <xdr:rowOff>40821</xdr:rowOff>
    </xdr:from>
    <xdr:ext cx="1143516" cy="256011"/>
    <xdr:pic>
      <xdr:nvPicPr>
        <xdr:cNvPr id="11" name="Picture 75" descr="Hidro.png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419600" y="13023396"/>
          <a:ext cx="1143516" cy="256011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19</xdr:row>
      <xdr:rowOff>40821</xdr:rowOff>
    </xdr:from>
    <xdr:ext cx="1143516" cy="256011"/>
    <xdr:pic>
      <xdr:nvPicPr>
        <xdr:cNvPr id="12" name="Picture 75" descr="Hidro.png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4260396"/>
          <a:ext cx="1143516" cy="256011"/>
        </a:xfrm>
        <a:prstGeom prst="rect">
          <a:avLst/>
        </a:prstGeom>
      </xdr:spPr>
    </xdr:pic>
    <xdr:clientData/>
  </xdr:oneCellAnchor>
  <xdr:oneCellAnchor>
    <xdr:from>
      <xdr:col>8</xdr:col>
      <xdr:colOff>0</xdr:colOff>
      <xdr:row>19</xdr:row>
      <xdr:rowOff>40821</xdr:rowOff>
    </xdr:from>
    <xdr:ext cx="1143516" cy="256011"/>
    <xdr:pic>
      <xdr:nvPicPr>
        <xdr:cNvPr id="13" name="Picture 75" descr="Hidro.png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419600" y="4260396"/>
          <a:ext cx="1143516" cy="256011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19</xdr:row>
      <xdr:rowOff>40821</xdr:rowOff>
    </xdr:from>
    <xdr:ext cx="1143516" cy="256011"/>
    <xdr:pic>
      <xdr:nvPicPr>
        <xdr:cNvPr id="14" name="Picture 75" descr="Hidro.png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896100" y="4260396"/>
          <a:ext cx="1143516" cy="256011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51</xdr:row>
      <xdr:rowOff>47625</xdr:rowOff>
    </xdr:from>
    <xdr:ext cx="1144800" cy="255600"/>
    <xdr:pic>
      <xdr:nvPicPr>
        <xdr:cNvPr id="15" name="Picture 38" descr="Nivel 1 100x25.png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943100" y="11277600"/>
          <a:ext cx="1144800" cy="25560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53</xdr:row>
      <xdr:rowOff>47625</xdr:rowOff>
    </xdr:from>
    <xdr:ext cx="1144800" cy="255600"/>
    <xdr:pic>
      <xdr:nvPicPr>
        <xdr:cNvPr id="16" name="Picture 39" descr="Nivel 1+ 100x25.png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943100" y="11715750"/>
          <a:ext cx="1144800" cy="25560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55</xdr:row>
      <xdr:rowOff>47625</xdr:rowOff>
    </xdr:from>
    <xdr:ext cx="1144800" cy="255600"/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0" y="12153900"/>
          <a:ext cx="1144800" cy="255600"/>
        </a:xfrm>
        <a:prstGeom prst="rect">
          <a:avLst/>
        </a:prstGeom>
      </xdr:spPr>
    </xdr:pic>
    <xdr:clientData/>
  </xdr:oneCellAnchor>
  <xdr:oneCellAnchor>
    <xdr:from>
      <xdr:col>8</xdr:col>
      <xdr:colOff>0</xdr:colOff>
      <xdr:row>27</xdr:row>
      <xdr:rowOff>47625</xdr:rowOff>
    </xdr:from>
    <xdr:ext cx="1144800" cy="255600"/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0" y="6019800"/>
          <a:ext cx="1144800" cy="255600"/>
        </a:xfrm>
        <a:prstGeom prst="rect">
          <a:avLst/>
        </a:prstGeom>
      </xdr:spPr>
    </xdr:pic>
    <xdr:clientData/>
  </xdr:oneCellAnchor>
  <xdr:oneCellAnchor>
    <xdr:from>
      <xdr:col>8</xdr:col>
      <xdr:colOff>0</xdr:colOff>
      <xdr:row>51</xdr:row>
      <xdr:rowOff>47625</xdr:rowOff>
    </xdr:from>
    <xdr:ext cx="1144800" cy="255600"/>
    <xdr:pic>
      <xdr:nvPicPr>
        <xdr:cNvPr id="19" name="Picture 38" descr="Nivel 1 100x25.png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4419600" y="11277600"/>
          <a:ext cx="1144800" cy="255600"/>
        </a:xfrm>
        <a:prstGeom prst="rect">
          <a:avLst/>
        </a:prstGeom>
      </xdr:spPr>
    </xdr:pic>
    <xdr:clientData/>
  </xdr:oneCellAnchor>
  <xdr:oneCellAnchor>
    <xdr:from>
      <xdr:col>8</xdr:col>
      <xdr:colOff>0</xdr:colOff>
      <xdr:row>53</xdr:row>
      <xdr:rowOff>47625</xdr:rowOff>
    </xdr:from>
    <xdr:ext cx="1144800" cy="255600"/>
    <xdr:pic>
      <xdr:nvPicPr>
        <xdr:cNvPr id="20" name="Picture 39" descr="Nivel 1+ 100x25.png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4419600" y="11715750"/>
          <a:ext cx="1144800" cy="255600"/>
        </a:xfrm>
        <a:prstGeom prst="rect">
          <a:avLst/>
        </a:prstGeom>
      </xdr:spPr>
    </xdr:pic>
    <xdr:clientData/>
  </xdr:oneCellAnchor>
  <xdr:oneCellAnchor>
    <xdr:from>
      <xdr:col>8</xdr:col>
      <xdr:colOff>0</xdr:colOff>
      <xdr:row>55</xdr:row>
      <xdr:rowOff>47625</xdr:rowOff>
    </xdr:from>
    <xdr:ext cx="1144800" cy="255600"/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0" y="12153900"/>
          <a:ext cx="1144800" cy="255600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13</xdr:row>
      <xdr:rowOff>47625</xdr:rowOff>
    </xdr:from>
    <xdr:ext cx="1144800" cy="255600"/>
    <xdr:pic>
      <xdr:nvPicPr>
        <xdr:cNvPr id="22" name="Picture 38" descr="Nivel 1 100x25.png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134350" y="2952750"/>
          <a:ext cx="1144800" cy="255600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15</xdr:row>
      <xdr:rowOff>47625</xdr:rowOff>
    </xdr:from>
    <xdr:ext cx="1144800" cy="255600"/>
    <xdr:pic>
      <xdr:nvPicPr>
        <xdr:cNvPr id="23" name="Picture 39" descr="Nivel 1+ 100x25.png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134350" y="3390900"/>
          <a:ext cx="1144800" cy="255600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19</xdr:row>
      <xdr:rowOff>38100</xdr:rowOff>
    </xdr:from>
    <xdr:ext cx="1144800" cy="255600"/>
    <xdr:pic>
      <xdr:nvPicPr>
        <xdr:cNvPr id="24" name="Picture 40" descr="Nivel 2 100x25.png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134350" y="4257675"/>
          <a:ext cx="1144800" cy="255600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29</xdr:row>
      <xdr:rowOff>38100</xdr:rowOff>
    </xdr:from>
    <xdr:ext cx="1144800" cy="255600"/>
    <xdr:pic>
      <xdr:nvPicPr>
        <xdr:cNvPr id="25" name="Picture 35" descr="Nivel 3 100x25.png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134350" y="6448425"/>
          <a:ext cx="1144800" cy="25560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114300</xdr:colOff>
      <xdr:row>1</xdr:row>
      <xdr:rowOff>219075</xdr:rowOff>
    </xdr:from>
    <xdr:to>
      <xdr:col>40</xdr:col>
      <xdr:colOff>238125</xdr:colOff>
      <xdr:row>3</xdr:row>
      <xdr:rowOff>280986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133350</xdr:colOff>
      <xdr:row>10</xdr:row>
      <xdr:rowOff>238125</xdr:rowOff>
    </xdr:from>
    <xdr:to>
      <xdr:col>40</xdr:col>
      <xdr:colOff>257175</xdr:colOff>
      <xdr:row>12</xdr:row>
      <xdr:rowOff>300036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119062</xdr:colOff>
      <xdr:row>2</xdr:row>
      <xdr:rowOff>238125</xdr:rowOff>
    </xdr:from>
    <xdr:to>
      <xdr:col>40</xdr:col>
      <xdr:colOff>242887</xdr:colOff>
      <xdr:row>4</xdr:row>
      <xdr:rowOff>300036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107156</xdr:colOff>
      <xdr:row>3</xdr:row>
      <xdr:rowOff>226218</xdr:rowOff>
    </xdr:from>
    <xdr:to>
      <xdr:col>40</xdr:col>
      <xdr:colOff>230981</xdr:colOff>
      <xdr:row>5</xdr:row>
      <xdr:rowOff>288129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119062</xdr:colOff>
      <xdr:row>4</xdr:row>
      <xdr:rowOff>250032</xdr:rowOff>
    </xdr:from>
    <xdr:to>
      <xdr:col>40</xdr:col>
      <xdr:colOff>242887</xdr:colOff>
      <xdr:row>6</xdr:row>
      <xdr:rowOff>311943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130969</xdr:colOff>
      <xdr:row>5</xdr:row>
      <xdr:rowOff>250031</xdr:rowOff>
    </xdr:from>
    <xdr:to>
      <xdr:col>40</xdr:col>
      <xdr:colOff>254794</xdr:colOff>
      <xdr:row>7</xdr:row>
      <xdr:rowOff>311942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119062</xdr:colOff>
      <xdr:row>6</xdr:row>
      <xdr:rowOff>226218</xdr:rowOff>
    </xdr:from>
    <xdr:to>
      <xdr:col>40</xdr:col>
      <xdr:colOff>242887</xdr:colOff>
      <xdr:row>8</xdr:row>
      <xdr:rowOff>288129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119063</xdr:colOff>
      <xdr:row>7</xdr:row>
      <xdr:rowOff>273844</xdr:rowOff>
    </xdr:from>
    <xdr:to>
      <xdr:col>40</xdr:col>
      <xdr:colOff>242888</xdr:colOff>
      <xdr:row>9</xdr:row>
      <xdr:rowOff>335755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29</xdr:col>
      <xdr:colOff>130969</xdr:colOff>
      <xdr:row>9</xdr:row>
      <xdr:rowOff>273843</xdr:rowOff>
    </xdr:from>
    <xdr:to>
      <xdr:col>40</xdr:col>
      <xdr:colOff>254794</xdr:colOff>
      <xdr:row>11</xdr:row>
      <xdr:rowOff>335754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29</xdr:col>
      <xdr:colOff>119062</xdr:colOff>
      <xdr:row>8</xdr:row>
      <xdr:rowOff>297657</xdr:rowOff>
    </xdr:from>
    <xdr:to>
      <xdr:col>40</xdr:col>
      <xdr:colOff>242887</xdr:colOff>
      <xdr:row>10</xdr:row>
      <xdr:rowOff>359568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D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Users/jrgomes/Desktop/05.1.%20Timetable_2021%20CPE.xlsx" TargetMode="External"/><Relationship Id="rId1" Type="http://schemas.openxmlformats.org/officeDocument/2006/relationships/externalLinkPath" Target="/Users/jrgomes/Desktop/05.1.%20Timetable_2021%20C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im"/>
      <sheetName val="Ins"/>
      <sheetName val="Max"/>
      <sheetName val="Map"/>
      <sheetName val="Map Ins"/>
      <sheetName val="Ins AG"/>
      <sheetName val="Nsm"/>
      <sheetName val="CC"/>
      <sheetName val="H2O"/>
      <sheetName val="Nat"/>
      <sheetName val="IT Ctrl"/>
      <sheetName val="av"/>
      <sheetName val="FIT"/>
      <sheetName val="Gra"/>
      <sheetName val="Info"/>
      <sheetName val="Sheet6"/>
    </sheetNames>
    <sheetDataSet>
      <sheetData sheetId="0"/>
      <sheetData sheetId="1">
        <row r="37">
          <cell r="CO37">
            <v>306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99"/>
    <pageSetUpPr fitToPage="1"/>
  </sheetPr>
  <dimension ref="B1:LF75"/>
  <sheetViews>
    <sheetView tabSelected="1" zoomScale="85" zoomScaleNormal="85" workbookViewId="0">
      <pane xSplit="5" topLeftCell="BK1" activePane="topRight" state="frozen"/>
      <selection activeCell="T27" sqref="T27"/>
      <selection pane="topRight" activeCell="GA9" sqref="GA9"/>
    </sheetView>
  </sheetViews>
  <sheetFormatPr defaultColWidth="9.33203125" defaultRowHeight="10.5" customHeight="1"/>
  <cols>
    <col min="1" max="1" width="1.6640625" style="49" customWidth="1"/>
    <col min="2" max="4" width="4.44140625" style="49" hidden="1" customWidth="1"/>
    <col min="5" max="5" width="5.6640625" style="49" customWidth="1"/>
    <col min="6" max="8" width="3.33203125" style="49" customWidth="1"/>
    <col min="9" max="12" width="3.33203125" style="49" hidden="1" customWidth="1"/>
    <col min="13" max="18" width="3.33203125" style="49" customWidth="1"/>
    <col min="19" max="20" width="3.33203125" style="49" hidden="1" customWidth="1"/>
    <col min="21" max="23" width="3.33203125" style="49" customWidth="1"/>
    <col min="24" max="24" width="3.33203125" style="49" hidden="1" customWidth="1"/>
    <col min="25" max="26" width="3.33203125" style="49" customWidth="1"/>
    <col min="27" max="27" width="3.33203125" style="49" hidden="1" customWidth="1"/>
    <col min="28" max="33" width="3.33203125" style="49" customWidth="1"/>
    <col min="34" max="40" width="3.33203125" style="49" hidden="1" customWidth="1"/>
    <col min="41" max="43" width="3.33203125" style="49" customWidth="1"/>
    <col min="44" max="45" width="3.33203125" style="49" hidden="1" customWidth="1"/>
    <col min="46" max="53" width="3.33203125" style="49" customWidth="1"/>
    <col min="54" max="57" width="3.33203125" style="49" hidden="1" customWidth="1"/>
    <col min="58" max="58" width="3.33203125" style="214" customWidth="1"/>
    <col min="59" max="63" width="3.33203125" style="49" customWidth="1"/>
    <col min="64" max="65" width="3.33203125" style="49" hidden="1" customWidth="1"/>
    <col min="66" max="67" width="3.33203125" style="49" customWidth="1"/>
    <col min="68" max="68" width="3.44140625" style="49" customWidth="1"/>
    <col min="69" max="77" width="3.33203125" style="49" customWidth="1"/>
    <col min="78" max="84" width="3.33203125" style="49" hidden="1" customWidth="1"/>
    <col min="85" max="87" width="3.33203125" style="49" customWidth="1"/>
    <col min="88" max="89" width="3.33203125" style="49" hidden="1" customWidth="1"/>
    <col min="90" max="97" width="3.33203125" style="49" customWidth="1"/>
    <col min="98" max="101" width="3.33203125" style="49" hidden="1" customWidth="1"/>
    <col min="102" max="107" width="3.33203125" style="49" customWidth="1"/>
    <col min="108" max="109" width="3.33203125" style="49" hidden="1" customWidth="1"/>
    <col min="110" max="111" width="3.33203125" style="49" customWidth="1"/>
    <col min="112" max="112" width="3.77734375" style="49" customWidth="1"/>
    <col min="113" max="113" width="3.33203125" style="49" customWidth="1"/>
    <col min="114" max="116" width="3.33203125" style="49" hidden="1" customWidth="1"/>
    <col min="117" max="125" width="3.33203125" style="49" customWidth="1"/>
    <col min="126" max="131" width="3.33203125" style="49" hidden="1" customWidth="1"/>
    <col min="132" max="134" width="3.33203125" style="49" customWidth="1"/>
    <col min="135" max="136" width="3.33203125" style="49" hidden="1" customWidth="1"/>
    <col min="137" max="143" width="3.33203125" style="49" customWidth="1"/>
    <col min="144" max="148" width="3.33203125" style="49" hidden="1" customWidth="1"/>
    <col min="149" max="154" width="3.33203125" style="49" customWidth="1"/>
    <col min="155" max="156" width="3.33203125" style="49" hidden="1" customWidth="1"/>
    <col min="157" max="168" width="3.33203125" style="49" customWidth="1"/>
    <col min="169" max="175" width="3.33203125" style="49" hidden="1" customWidth="1"/>
    <col min="176" max="178" width="3.33203125" style="49" customWidth="1"/>
    <col min="179" max="180" width="3.33203125" style="49" hidden="1" customWidth="1"/>
    <col min="181" max="188" width="3.33203125" style="49" customWidth="1"/>
    <col min="189" max="192" width="3.33203125" style="49" hidden="1" customWidth="1"/>
    <col min="193" max="198" width="3.33203125" style="49" customWidth="1"/>
    <col min="199" max="200" width="3.33203125" style="49" hidden="1" customWidth="1"/>
    <col min="201" max="202" width="3.33203125" style="49" customWidth="1"/>
    <col min="203" max="203" width="3.33203125" style="49" hidden="1" customWidth="1"/>
    <col min="204" max="205" width="3.33203125" style="49" customWidth="1"/>
    <col min="206" max="206" width="3.33203125" style="49" hidden="1" customWidth="1"/>
    <col min="207" max="212" width="3.33203125" style="49" customWidth="1"/>
    <col min="213" max="219" width="3.33203125" style="49" hidden="1" customWidth="1"/>
    <col min="220" max="222" width="3.33203125" style="49" customWidth="1"/>
    <col min="223" max="224" width="3.33203125" style="49" hidden="1" customWidth="1"/>
    <col min="225" max="231" width="3.33203125" style="49" customWidth="1"/>
    <col min="232" max="236" width="3.33203125" style="49" hidden="1" customWidth="1"/>
    <col min="237" max="237" width="3.33203125" style="49" customWidth="1"/>
    <col min="238" max="239" width="3.33203125" style="49" hidden="1" customWidth="1"/>
    <col min="240" max="240" width="3.33203125" style="49" customWidth="1"/>
    <col min="241" max="244" width="3.33203125" style="49" hidden="1" customWidth="1"/>
    <col min="245" max="245" width="3.33203125" style="49" customWidth="1"/>
    <col min="246" max="247" width="3.33203125" style="49" hidden="1" customWidth="1"/>
    <col min="248" max="248" width="3.33203125" style="49" customWidth="1"/>
    <col min="249" max="250" width="3.33203125" style="49" hidden="1" customWidth="1"/>
    <col min="251" max="255" width="3.33203125" style="49" customWidth="1"/>
    <col min="256" max="263" width="3.33203125" style="49" hidden="1" customWidth="1"/>
    <col min="264" max="266" width="3.33203125" style="49" customWidth="1"/>
    <col min="267" max="268" width="3.33203125" style="49" hidden="1" customWidth="1"/>
    <col min="269" max="275" width="3.33203125" style="49" customWidth="1"/>
    <col min="276" max="276" width="0.33203125" style="49" customWidth="1"/>
    <col min="277" max="280" width="3.33203125" style="49" hidden="1" customWidth="1"/>
    <col min="281" max="281" width="3.33203125" style="49" customWidth="1"/>
    <col min="282" max="283" width="3.33203125" style="49" hidden="1" customWidth="1"/>
    <col min="284" max="284" width="3.33203125" style="49" customWidth="1"/>
    <col min="285" max="288" width="3.33203125" style="49" hidden="1" customWidth="1"/>
    <col min="289" max="289" width="3.33203125" style="49" customWidth="1"/>
    <col min="290" max="291" width="3.33203125" style="49" hidden="1" customWidth="1"/>
    <col min="292" max="292" width="3.33203125" style="49" customWidth="1"/>
    <col min="293" max="294" width="3.33203125" style="49" hidden="1" customWidth="1"/>
    <col min="295" max="297" width="3.33203125" style="49" customWidth="1"/>
    <col min="298" max="307" width="3.33203125" style="49" hidden="1" customWidth="1"/>
    <col min="308" max="308" width="3.33203125" style="49" customWidth="1"/>
    <col min="309" max="309" width="0.33203125" style="49" customWidth="1"/>
    <col min="310" max="310" width="3.33203125" style="49" customWidth="1"/>
    <col min="311" max="312" width="3.33203125" style="49" hidden="1" customWidth="1"/>
    <col min="313" max="317" width="3.33203125" style="49" customWidth="1"/>
    <col min="318" max="318" width="6.44140625" style="49" bestFit="1" customWidth="1"/>
    <col min="319" max="16384" width="9.33203125" style="49"/>
  </cols>
  <sheetData>
    <row r="1" spans="2:318" ht="10.5" customHeight="1">
      <c r="E1" s="378"/>
      <c r="F1" s="368" t="s">
        <v>27</v>
      </c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  <c r="X1" s="371"/>
      <c r="Y1" s="371"/>
      <c r="Z1" s="371"/>
      <c r="AA1" s="371"/>
      <c r="AB1" s="371"/>
      <c r="AC1" s="371"/>
      <c r="AD1" s="371"/>
      <c r="AE1" s="371"/>
      <c r="AF1" s="371"/>
      <c r="AG1" s="371"/>
      <c r="AH1" s="371"/>
      <c r="AI1" s="371"/>
      <c r="AJ1" s="371"/>
      <c r="AK1" s="371"/>
      <c r="AL1" s="371"/>
      <c r="AM1" s="371"/>
      <c r="AN1" s="371"/>
      <c r="AO1" s="371"/>
      <c r="AP1" s="371"/>
      <c r="AQ1" s="371"/>
      <c r="AR1" s="371"/>
      <c r="AS1" s="371"/>
      <c r="AT1" s="371"/>
      <c r="AU1" s="372"/>
      <c r="AV1" s="372"/>
      <c r="AW1" s="372"/>
      <c r="AX1" s="373"/>
      <c r="AY1" s="368" t="s">
        <v>28</v>
      </c>
      <c r="AZ1" s="371"/>
      <c r="BA1" s="371"/>
      <c r="BB1" s="371"/>
      <c r="BC1" s="371"/>
      <c r="BD1" s="371"/>
      <c r="BE1" s="371"/>
      <c r="BF1" s="371"/>
      <c r="BG1" s="371"/>
      <c r="BH1" s="371"/>
      <c r="BI1" s="371"/>
      <c r="BJ1" s="371"/>
      <c r="BK1" s="371"/>
      <c r="BL1" s="371"/>
      <c r="BM1" s="371"/>
      <c r="BN1" s="371"/>
      <c r="BO1" s="371"/>
      <c r="BP1" s="371"/>
      <c r="BQ1" s="371"/>
      <c r="BR1" s="371"/>
      <c r="BS1" s="371"/>
      <c r="BT1" s="371"/>
      <c r="BU1" s="371"/>
      <c r="BV1" s="371"/>
      <c r="BW1" s="371"/>
      <c r="BX1" s="371"/>
      <c r="BY1" s="371"/>
      <c r="BZ1" s="371"/>
      <c r="CA1" s="371"/>
      <c r="CB1" s="371"/>
      <c r="CC1" s="371"/>
      <c r="CD1" s="371"/>
      <c r="CE1" s="371"/>
      <c r="CF1" s="371"/>
      <c r="CG1" s="371"/>
      <c r="CH1" s="371"/>
      <c r="CI1" s="371"/>
      <c r="CJ1" s="371"/>
      <c r="CK1" s="371"/>
      <c r="CL1" s="371"/>
      <c r="CM1" s="372"/>
      <c r="CN1" s="372"/>
      <c r="CO1" s="372"/>
      <c r="CP1" s="372"/>
      <c r="CQ1" s="368" t="s">
        <v>29</v>
      </c>
      <c r="CR1" s="371"/>
      <c r="CS1" s="371"/>
      <c r="CT1" s="371"/>
      <c r="CU1" s="371"/>
      <c r="CV1" s="371"/>
      <c r="CW1" s="371"/>
      <c r="CX1" s="371"/>
      <c r="CY1" s="371"/>
      <c r="CZ1" s="371"/>
      <c r="DA1" s="371"/>
      <c r="DB1" s="371"/>
      <c r="DC1" s="371"/>
      <c r="DD1" s="371"/>
      <c r="DE1" s="371"/>
      <c r="DF1" s="371"/>
      <c r="DG1" s="371"/>
      <c r="DH1" s="371"/>
      <c r="DI1" s="371"/>
      <c r="DJ1" s="371"/>
      <c r="DK1" s="371"/>
      <c r="DL1" s="371"/>
      <c r="DM1" s="371"/>
      <c r="DN1" s="371"/>
      <c r="DO1" s="371"/>
      <c r="DP1" s="371"/>
      <c r="DQ1" s="371"/>
      <c r="DR1" s="371"/>
      <c r="DS1" s="371"/>
      <c r="DT1" s="371"/>
      <c r="DU1" s="371"/>
      <c r="DV1" s="371"/>
      <c r="DW1" s="371"/>
      <c r="DX1" s="371"/>
      <c r="DY1" s="371"/>
      <c r="DZ1" s="371"/>
      <c r="EA1" s="371"/>
      <c r="EB1" s="371"/>
      <c r="EC1" s="371"/>
      <c r="ED1" s="371"/>
      <c r="EE1" s="371"/>
      <c r="EF1" s="371"/>
      <c r="EG1" s="371"/>
      <c r="EH1" s="372"/>
      <c r="EI1" s="372"/>
      <c r="EJ1" s="372"/>
      <c r="EK1" s="373"/>
      <c r="EL1" s="370" t="s">
        <v>30</v>
      </c>
      <c r="EM1" s="371"/>
      <c r="EN1" s="371"/>
      <c r="EO1" s="371"/>
      <c r="EP1" s="371"/>
      <c r="EQ1" s="371"/>
      <c r="ER1" s="371"/>
      <c r="ES1" s="371"/>
      <c r="ET1" s="371"/>
      <c r="EU1" s="371"/>
      <c r="EV1" s="371"/>
      <c r="EW1" s="371"/>
      <c r="EX1" s="371"/>
      <c r="EY1" s="371"/>
      <c r="EZ1" s="371"/>
      <c r="FA1" s="371"/>
      <c r="FB1" s="371"/>
      <c r="FC1" s="371"/>
      <c r="FD1" s="371"/>
      <c r="FE1" s="371"/>
      <c r="FF1" s="371"/>
      <c r="FG1" s="371"/>
      <c r="FH1" s="371"/>
      <c r="FI1" s="371"/>
      <c r="FJ1" s="371"/>
      <c r="FK1" s="371"/>
      <c r="FL1" s="371"/>
      <c r="FM1" s="371"/>
      <c r="FN1" s="371"/>
      <c r="FO1" s="371"/>
      <c r="FP1" s="371"/>
      <c r="FQ1" s="371"/>
      <c r="FR1" s="371"/>
      <c r="FS1" s="371"/>
      <c r="FT1" s="371"/>
      <c r="FU1" s="371"/>
      <c r="FV1" s="371"/>
      <c r="FW1" s="371"/>
      <c r="FX1" s="371"/>
      <c r="FY1" s="371"/>
      <c r="FZ1" s="372"/>
      <c r="GA1" s="372"/>
      <c r="GB1" s="372"/>
      <c r="GC1" s="373"/>
      <c r="GD1" s="370" t="s">
        <v>31</v>
      </c>
      <c r="GE1" s="371"/>
      <c r="GF1" s="371"/>
      <c r="GG1" s="371"/>
      <c r="GH1" s="371"/>
      <c r="GI1" s="371"/>
      <c r="GJ1" s="371"/>
      <c r="GK1" s="371"/>
      <c r="GL1" s="371"/>
      <c r="GM1" s="371"/>
      <c r="GN1" s="371"/>
      <c r="GO1" s="371"/>
      <c r="GP1" s="371"/>
      <c r="GQ1" s="371"/>
      <c r="GR1" s="371"/>
      <c r="GS1" s="371"/>
      <c r="GT1" s="371"/>
      <c r="GU1" s="371"/>
      <c r="GV1" s="371"/>
      <c r="GW1" s="371"/>
      <c r="GX1" s="371"/>
      <c r="GY1" s="371"/>
      <c r="GZ1" s="371"/>
      <c r="HA1" s="371"/>
      <c r="HB1" s="371"/>
      <c r="HC1" s="371"/>
      <c r="HD1" s="371"/>
      <c r="HE1" s="371"/>
      <c r="HF1" s="371"/>
      <c r="HG1" s="371"/>
      <c r="HH1" s="371"/>
      <c r="HI1" s="371"/>
      <c r="HJ1" s="371"/>
      <c r="HK1" s="371"/>
      <c r="HL1" s="371"/>
      <c r="HM1" s="371"/>
      <c r="HN1" s="371"/>
      <c r="HO1" s="371"/>
      <c r="HP1" s="371"/>
      <c r="HQ1" s="371"/>
      <c r="HR1" s="372"/>
      <c r="HS1" s="372"/>
      <c r="HT1" s="372"/>
      <c r="HU1" s="373"/>
      <c r="HV1" s="368" t="s">
        <v>5</v>
      </c>
      <c r="HW1" s="370"/>
      <c r="HX1" s="370"/>
      <c r="HY1" s="370"/>
      <c r="HZ1" s="370"/>
      <c r="IA1" s="370"/>
      <c r="IB1" s="370"/>
      <c r="IC1" s="370"/>
      <c r="ID1" s="370"/>
      <c r="IE1" s="370"/>
      <c r="IF1" s="370"/>
      <c r="IG1" s="370"/>
      <c r="IH1" s="370"/>
      <c r="II1" s="370"/>
      <c r="IJ1" s="370"/>
      <c r="IK1" s="370"/>
      <c r="IL1" s="370"/>
      <c r="IM1" s="370"/>
      <c r="IN1" s="370"/>
      <c r="IO1" s="370"/>
      <c r="IP1" s="370"/>
      <c r="IQ1" s="371"/>
      <c r="IR1" s="371"/>
      <c r="IS1" s="371"/>
      <c r="IT1" s="371"/>
      <c r="IU1" s="371"/>
      <c r="IV1" s="371"/>
      <c r="IW1" s="371"/>
      <c r="IX1" s="371"/>
      <c r="IY1" s="371"/>
      <c r="IZ1" s="371"/>
      <c r="JA1" s="371"/>
      <c r="JB1" s="371"/>
      <c r="JC1" s="371"/>
      <c r="JD1" s="371"/>
      <c r="JE1" s="371"/>
      <c r="JF1" s="371"/>
      <c r="JG1" s="371"/>
      <c r="JH1" s="371"/>
      <c r="JI1" s="371"/>
      <c r="JJ1" s="372"/>
      <c r="JK1" s="372"/>
      <c r="JL1" s="372"/>
      <c r="JM1" s="373"/>
      <c r="JN1" s="378" t="s">
        <v>6</v>
      </c>
      <c r="JO1" s="379"/>
      <c r="JP1" s="379"/>
      <c r="JQ1" s="379"/>
      <c r="JR1" s="379"/>
      <c r="JS1" s="379"/>
      <c r="JT1" s="379"/>
      <c r="JU1" s="379"/>
      <c r="JV1" s="379"/>
      <c r="JW1" s="379"/>
      <c r="JX1" s="379"/>
      <c r="JY1" s="379"/>
      <c r="JZ1" s="379"/>
      <c r="KA1" s="379"/>
      <c r="KB1" s="379"/>
      <c r="KC1" s="379"/>
      <c r="KD1" s="379"/>
      <c r="KE1" s="379"/>
      <c r="KF1" s="379"/>
      <c r="KG1" s="379"/>
      <c r="KH1" s="379"/>
      <c r="KI1" s="379"/>
      <c r="KJ1" s="379"/>
      <c r="KK1" s="379"/>
      <c r="KL1" s="379"/>
      <c r="KM1" s="379"/>
      <c r="KN1" s="379"/>
      <c r="KO1" s="379"/>
      <c r="KP1" s="379"/>
      <c r="KQ1" s="379"/>
      <c r="KR1" s="379"/>
      <c r="KS1" s="379"/>
      <c r="KT1" s="379"/>
      <c r="KU1" s="379"/>
      <c r="KV1" s="379"/>
      <c r="KW1" s="379"/>
      <c r="KX1" s="379"/>
      <c r="KY1" s="379"/>
      <c r="KZ1" s="379"/>
      <c r="LA1" s="379"/>
      <c r="LB1" s="379"/>
      <c r="LC1" s="379"/>
      <c r="LD1" s="379"/>
      <c r="LE1" s="380"/>
      <c r="LF1" s="368"/>
    </row>
    <row r="2" spans="2:318" ht="10.5" customHeight="1">
      <c r="E2" s="386"/>
      <c r="F2" s="381" t="s">
        <v>32</v>
      </c>
      <c r="G2" s="358" t="s">
        <v>48</v>
      </c>
      <c r="H2" s="359"/>
      <c r="I2" s="359"/>
      <c r="J2" s="359"/>
      <c r="K2" s="359"/>
      <c r="L2" s="359"/>
      <c r="M2" s="364" t="s">
        <v>184</v>
      </c>
      <c r="N2" s="364"/>
      <c r="O2" s="364"/>
      <c r="P2" s="358" t="s">
        <v>155</v>
      </c>
      <c r="Q2" s="359"/>
      <c r="R2" s="387"/>
      <c r="S2" s="303"/>
      <c r="T2" s="304"/>
      <c r="U2" s="358" t="s">
        <v>356</v>
      </c>
      <c r="V2" s="359"/>
      <c r="W2" s="359"/>
      <c r="X2" s="360"/>
      <c r="Y2" s="358" t="s">
        <v>357</v>
      </c>
      <c r="Z2" s="359"/>
      <c r="AA2" s="360"/>
      <c r="AB2" s="364" t="s">
        <v>33</v>
      </c>
      <c r="AC2" s="358" t="s">
        <v>34</v>
      </c>
      <c r="AD2" s="359"/>
      <c r="AE2" s="359"/>
      <c r="AF2" s="359"/>
      <c r="AG2" s="359"/>
      <c r="AH2" s="359"/>
      <c r="AI2" s="359"/>
      <c r="AJ2" s="359"/>
      <c r="AK2" s="359"/>
      <c r="AL2" s="359"/>
      <c r="AM2" s="359"/>
      <c r="AN2" s="360"/>
      <c r="AO2" s="356" t="s">
        <v>66</v>
      </c>
      <c r="AP2" s="356" t="s">
        <v>49</v>
      </c>
      <c r="AQ2" s="358" t="s">
        <v>358</v>
      </c>
      <c r="AR2" s="359"/>
      <c r="AS2" s="360"/>
      <c r="AT2" s="358" t="s">
        <v>35</v>
      </c>
      <c r="AU2" s="359"/>
      <c r="AV2" s="359"/>
      <c r="AW2" s="359"/>
      <c r="AX2" s="375"/>
      <c r="AY2" s="381" t="s">
        <v>32</v>
      </c>
      <c r="AZ2" s="358" t="s">
        <v>48</v>
      </c>
      <c r="BA2" s="359"/>
      <c r="BB2" s="359"/>
      <c r="BC2" s="359"/>
      <c r="BD2" s="359"/>
      <c r="BE2" s="359"/>
      <c r="BF2" s="364" t="s">
        <v>184</v>
      </c>
      <c r="BG2" s="364"/>
      <c r="BH2" s="364"/>
      <c r="BI2" s="364" t="s">
        <v>155</v>
      </c>
      <c r="BJ2" s="364"/>
      <c r="BK2" s="364"/>
      <c r="BL2" s="364"/>
      <c r="BM2" s="364"/>
      <c r="BN2" s="358" t="s">
        <v>356</v>
      </c>
      <c r="BO2" s="359"/>
      <c r="BP2" s="360"/>
      <c r="BQ2" s="358" t="s">
        <v>357</v>
      </c>
      <c r="BR2" s="359"/>
      <c r="BS2" s="360"/>
      <c r="BT2" s="364" t="s">
        <v>33</v>
      </c>
      <c r="BU2" s="358" t="s">
        <v>34</v>
      </c>
      <c r="BV2" s="359"/>
      <c r="BW2" s="359"/>
      <c r="BX2" s="359"/>
      <c r="BY2" s="359"/>
      <c r="BZ2" s="359"/>
      <c r="CA2" s="359"/>
      <c r="CB2" s="359"/>
      <c r="CC2" s="359"/>
      <c r="CD2" s="359"/>
      <c r="CE2" s="359"/>
      <c r="CF2" s="360"/>
      <c r="CG2" s="356" t="s">
        <v>66</v>
      </c>
      <c r="CH2" s="356" t="s">
        <v>49</v>
      </c>
      <c r="CI2" s="358" t="s">
        <v>358</v>
      </c>
      <c r="CJ2" s="359"/>
      <c r="CK2" s="360"/>
      <c r="CL2" s="358" t="s">
        <v>35</v>
      </c>
      <c r="CM2" s="359"/>
      <c r="CN2" s="359"/>
      <c r="CO2" s="359"/>
      <c r="CP2" s="359"/>
      <c r="CQ2" s="381" t="s">
        <v>32</v>
      </c>
      <c r="CR2" s="358" t="s">
        <v>48</v>
      </c>
      <c r="CS2" s="359"/>
      <c r="CT2" s="359"/>
      <c r="CU2" s="359"/>
      <c r="CV2" s="359"/>
      <c r="CW2" s="359"/>
      <c r="CX2" s="364" t="s">
        <v>184</v>
      </c>
      <c r="CY2" s="364"/>
      <c r="CZ2" s="364"/>
      <c r="DA2" s="358" t="s">
        <v>155</v>
      </c>
      <c r="DB2" s="359"/>
      <c r="DC2" s="359"/>
      <c r="DD2" s="359"/>
      <c r="DE2" s="360"/>
      <c r="DF2" s="358" t="s">
        <v>356</v>
      </c>
      <c r="DG2" s="359"/>
      <c r="DH2" s="360"/>
      <c r="DI2" s="358" t="s">
        <v>357</v>
      </c>
      <c r="DJ2" s="359"/>
      <c r="DK2" s="359"/>
      <c r="DL2" s="359"/>
      <c r="DM2" s="359"/>
      <c r="DN2" s="360"/>
      <c r="DO2" s="364" t="s">
        <v>33</v>
      </c>
      <c r="DP2" s="358" t="s">
        <v>34</v>
      </c>
      <c r="DQ2" s="359"/>
      <c r="DR2" s="359"/>
      <c r="DS2" s="359"/>
      <c r="DT2" s="359"/>
      <c r="DU2" s="359"/>
      <c r="DV2" s="359"/>
      <c r="DW2" s="359"/>
      <c r="DX2" s="359"/>
      <c r="DY2" s="359"/>
      <c r="DZ2" s="359"/>
      <c r="EA2" s="360"/>
      <c r="EB2" s="356" t="s">
        <v>66</v>
      </c>
      <c r="EC2" s="356" t="s">
        <v>49</v>
      </c>
      <c r="ED2" s="358" t="s">
        <v>358</v>
      </c>
      <c r="EE2" s="359"/>
      <c r="EF2" s="360"/>
      <c r="EG2" s="358" t="s">
        <v>35</v>
      </c>
      <c r="EH2" s="359"/>
      <c r="EI2" s="359"/>
      <c r="EJ2" s="359"/>
      <c r="EK2" s="375"/>
      <c r="EL2" s="377" t="s">
        <v>32</v>
      </c>
      <c r="EM2" s="364" t="s">
        <v>48</v>
      </c>
      <c r="EN2" s="364"/>
      <c r="EO2" s="364"/>
      <c r="EP2" s="364"/>
      <c r="EQ2" s="364"/>
      <c r="ER2" s="364"/>
      <c r="ES2" s="364" t="s">
        <v>184</v>
      </c>
      <c r="ET2" s="364"/>
      <c r="EU2" s="364"/>
      <c r="EV2" s="364" t="s">
        <v>155</v>
      </c>
      <c r="EW2" s="364"/>
      <c r="EX2" s="364"/>
      <c r="EY2" s="364"/>
      <c r="EZ2" s="364"/>
      <c r="FA2" s="364" t="s">
        <v>356</v>
      </c>
      <c r="FB2" s="364"/>
      <c r="FC2" s="364"/>
      <c r="FD2" s="364" t="s">
        <v>357</v>
      </c>
      <c r="FE2" s="364"/>
      <c r="FF2" s="364"/>
      <c r="FG2" s="364" t="s">
        <v>33</v>
      </c>
      <c r="FH2" s="364" t="s">
        <v>34</v>
      </c>
      <c r="FI2" s="364"/>
      <c r="FJ2" s="364"/>
      <c r="FK2" s="364"/>
      <c r="FL2" s="364"/>
      <c r="FM2" s="364"/>
      <c r="FN2" s="364"/>
      <c r="FO2" s="364"/>
      <c r="FP2" s="364"/>
      <c r="FQ2" s="364"/>
      <c r="FR2" s="364"/>
      <c r="FS2" s="364"/>
      <c r="FT2" s="364" t="s">
        <v>66</v>
      </c>
      <c r="FU2" s="364" t="s">
        <v>49</v>
      </c>
      <c r="FV2" s="364" t="s">
        <v>358</v>
      </c>
      <c r="FW2" s="364"/>
      <c r="FX2" s="364"/>
      <c r="FY2" s="364" t="s">
        <v>35</v>
      </c>
      <c r="FZ2" s="364"/>
      <c r="GA2" s="364"/>
      <c r="GB2" s="364"/>
      <c r="GC2" s="364"/>
      <c r="GD2" s="377" t="s">
        <v>32</v>
      </c>
      <c r="GE2" s="358" t="s">
        <v>48</v>
      </c>
      <c r="GF2" s="359"/>
      <c r="GG2" s="359"/>
      <c r="GH2" s="359"/>
      <c r="GI2" s="359"/>
      <c r="GJ2" s="359"/>
      <c r="GK2" s="364" t="s">
        <v>184</v>
      </c>
      <c r="GL2" s="364"/>
      <c r="GM2" s="364"/>
      <c r="GN2" s="358" t="s">
        <v>155</v>
      </c>
      <c r="GO2" s="359"/>
      <c r="GP2" s="359"/>
      <c r="GQ2" s="359"/>
      <c r="GR2" s="360"/>
      <c r="GS2" s="358" t="s">
        <v>356</v>
      </c>
      <c r="GT2" s="359"/>
      <c r="GU2" s="360"/>
      <c r="GV2" s="358" t="s">
        <v>357</v>
      </c>
      <c r="GW2" s="359"/>
      <c r="GX2" s="360"/>
      <c r="GY2" s="364" t="s">
        <v>33</v>
      </c>
      <c r="GZ2" s="358" t="s">
        <v>34</v>
      </c>
      <c r="HA2" s="359"/>
      <c r="HB2" s="359"/>
      <c r="HC2" s="359"/>
      <c r="HD2" s="359"/>
      <c r="HE2" s="359"/>
      <c r="HF2" s="359"/>
      <c r="HG2" s="359"/>
      <c r="HH2" s="359"/>
      <c r="HI2" s="359"/>
      <c r="HJ2" s="359"/>
      <c r="HK2" s="360"/>
      <c r="HL2" s="356" t="s">
        <v>66</v>
      </c>
      <c r="HM2" s="356" t="s">
        <v>49</v>
      </c>
      <c r="HN2" s="358" t="s">
        <v>358</v>
      </c>
      <c r="HO2" s="359"/>
      <c r="HP2" s="360"/>
      <c r="HQ2" s="358" t="s">
        <v>35</v>
      </c>
      <c r="HR2" s="359"/>
      <c r="HS2" s="359"/>
      <c r="HT2" s="359"/>
      <c r="HU2" s="375"/>
      <c r="HV2" s="381" t="s">
        <v>32</v>
      </c>
      <c r="HW2" s="358" t="s">
        <v>48</v>
      </c>
      <c r="HX2" s="359"/>
      <c r="HY2" s="359"/>
      <c r="HZ2" s="359"/>
      <c r="IA2" s="359"/>
      <c r="IB2" s="360"/>
      <c r="IC2" s="358" t="s">
        <v>184</v>
      </c>
      <c r="ID2" s="359"/>
      <c r="IE2" s="360"/>
      <c r="IF2" s="358" t="s">
        <v>155</v>
      </c>
      <c r="IG2" s="359"/>
      <c r="IH2" s="359"/>
      <c r="II2" s="359"/>
      <c r="IJ2" s="360"/>
      <c r="IK2" s="358" t="s">
        <v>356</v>
      </c>
      <c r="IL2" s="359"/>
      <c r="IM2" s="360"/>
      <c r="IN2" s="358" t="s">
        <v>357</v>
      </c>
      <c r="IO2" s="359"/>
      <c r="IP2" s="360"/>
      <c r="IQ2" s="364" t="s">
        <v>33</v>
      </c>
      <c r="IR2" s="358" t="s">
        <v>34</v>
      </c>
      <c r="IS2" s="359"/>
      <c r="IT2" s="359"/>
      <c r="IU2" s="359"/>
      <c r="IV2" s="359"/>
      <c r="IW2" s="359"/>
      <c r="IX2" s="359"/>
      <c r="IY2" s="359"/>
      <c r="IZ2" s="359"/>
      <c r="JA2" s="359"/>
      <c r="JB2" s="359"/>
      <c r="JC2" s="360"/>
      <c r="JD2" s="356" t="s">
        <v>66</v>
      </c>
      <c r="JE2" s="356" t="s">
        <v>49</v>
      </c>
      <c r="JF2" s="358" t="s">
        <v>358</v>
      </c>
      <c r="JG2" s="359"/>
      <c r="JH2" s="360"/>
      <c r="JI2" s="358" t="s">
        <v>35</v>
      </c>
      <c r="JJ2" s="359"/>
      <c r="JK2" s="359"/>
      <c r="JL2" s="359"/>
      <c r="JM2" s="375"/>
      <c r="JN2" s="381" t="s">
        <v>32</v>
      </c>
      <c r="JO2" s="358" t="s">
        <v>48</v>
      </c>
      <c r="JP2" s="359"/>
      <c r="JQ2" s="359"/>
      <c r="JR2" s="359"/>
      <c r="JS2" s="359"/>
      <c r="JT2" s="360"/>
      <c r="JU2" s="358" t="s">
        <v>184</v>
      </c>
      <c r="JV2" s="359"/>
      <c r="JW2" s="360"/>
      <c r="JX2" s="358" t="s">
        <v>155</v>
      </c>
      <c r="JY2" s="359"/>
      <c r="JZ2" s="359"/>
      <c r="KA2" s="359"/>
      <c r="KB2" s="360"/>
      <c r="KC2" s="358" t="s">
        <v>356</v>
      </c>
      <c r="KD2" s="359"/>
      <c r="KE2" s="360"/>
      <c r="KF2" s="358" t="s">
        <v>357</v>
      </c>
      <c r="KG2" s="359"/>
      <c r="KH2" s="360"/>
      <c r="KI2" s="364" t="s">
        <v>33</v>
      </c>
      <c r="KJ2" s="358" t="s">
        <v>34</v>
      </c>
      <c r="KK2" s="359"/>
      <c r="KL2" s="359"/>
      <c r="KM2" s="359"/>
      <c r="KN2" s="359"/>
      <c r="KO2" s="359"/>
      <c r="KP2" s="359"/>
      <c r="KQ2" s="359"/>
      <c r="KR2" s="359"/>
      <c r="KS2" s="359"/>
      <c r="KT2" s="359"/>
      <c r="KU2" s="360"/>
      <c r="KV2" s="356" t="s">
        <v>66</v>
      </c>
      <c r="KW2" s="356" t="s">
        <v>49</v>
      </c>
      <c r="KX2" s="358" t="s">
        <v>358</v>
      </c>
      <c r="KY2" s="359"/>
      <c r="KZ2" s="360"/>
      <c r="LA2" s="358" t="s">
        <v>35</v>
      </c>
      <c r="LB2" s="359"/>
      <c r="LC2" s="359"/>
      <c r="LD2" s="359"/>
      <c r="LE2" s="375"/>
      <c r="LF2" s="369"/>
    </row>
    <row r="3" spans="2:318" ht="10.5" customHeight="1">
      <c r="E3" s="386"/>
      <c r="F3" s="381"/>
      <c r="G3" s="365"/>
      <c r="H3" s="366"/>
      <c r="I3" s="366"/>
      <c r="J3" s="366"/>
      <c r="K3" s="366"/>
      <c r="L3" s="366"/>
      <c r="M3" s="364"/>
      <c r="N3" s="364"/>
      <c r="O3" s="364"/>
      <c r="P3" s="365"/>
      <c r="Q3" s="366"/>
      <c r="R3" s="388"/>
      <c r="S3" s="221"/>
      <c r="T3" s="305"/>
      <c r="U3" s="365"/>
      <c r="V3" s="366"/>
      <c r="W3" s="366"/>
      <c r="X3" s="367"/>
      <c r="Y3" s="365"/>
      <c r="Z3" s="366"/>
      <c r="AA3" s="367"/>
      <c r="AB3" s="364"/>
      <c r="AC3" s="365"/>
      <c r="AD3" s="366"/>
      <c r="AE3" s="366"/>
      <c r="AF3" s="366"/>
      <c r="AG3" s="366"/>
      <c r="AH3" s="366"/>
      <c r="AI3" s="366"/>
      <c r="AJ3" s="366"/>
      <c r="AK3" s="366"/>
      <c r="AL3" s="366"/>
      <c r="AM3" s="366"/>
      <c r="AN3" s="367"/>
      <c r="AO3" s="357"/>
      <c r="AP3" s="357"/>
      <c r="AQ3" s="361"/>
      <c r="AR3" s="362"/>
      <c r="AS3" s="363"/>
      <c r="AT3" s="361"/>
      <c r="AU3" s="362"/>
      <c r="AV3" s="362"/>
      <c r="AW3" s="362"/>
      <c r="AX3" s="376"/>
      <c r="AY3" s="381"/>
      <c r="AZ3" s="365"/>
      <c r="BA3" s="366"/>
      <c r="BB3" s="366"/>
      <c r="BC3" s="366"/>
      <c r="BD3" s="366"/>
      <c r="BE3" s="366"/>
      <c r="BF3" s="364"/>
      <c r="BG3" s="364"/>
      <c r="BH3" s="364"/>
      <c r="BI3" s="364"/>
      <c r="BJ3" s="364"/>
      <c r="BK3" s="364"/>
      <c r="BL3" s="364"/>
      <c r="BM3" s="364"/>
      <c r="BN3" s="365"/>
      <c r="BO3" s="366"/>
      <c r="BP3" s="367"/>
      <c r="BQ3" s="365"/>
      <c r="BR3" s="366"/>
      <c r="BS3" s="367"/>
      <c r="BT3" s="364"/>
      <c r="BU3" s="365"/>
      <c r="BV3" s="366"/>
      <c r="BW3" s="366"/>
      <c r="BX3" s="366"/>
      <c r="BY3" s="366"/>
      <c r="BZ3" s="366"/>
      <c r="CA3" s="366"/>
      <c r="CB3" s="366"/>
      <c r="CC3" s="366"/>
      <c r="CD3" s="366"/>
      <c r="CE3" s="366"/>
      <c r="CF3" s="367"/>
      <c r="CG3" s="357"/>
      <c r="CH3" s="357"/>
      <c r="CI3" s="361"/>
      <c r="CJ3" s="362"/>
      <c r="CK3" s="363"/>
      <c r="CL3" s="361"/>
      <c r="CM3" s="362"/>
      <c r="CN3" s="362"/>
      <c r="CO3" s="362"/>
      <c r="CP3" s="362"/>
      <c r="CQ3" s="381"/>
      <c r="CR3" s="365"/>
      <c r="CS3" s="366"/>
      <c r="CT3" s="366"/>
      <c r="CU3" s="366"/>
      <c r="CV3" s="366"/>
      <c r="CW3" s="366"/>
      <c r="CX3" s="364"/>
      <c r="CY3" s="364"/>
      <c r="CZ3" s="364"/>
      <c r="DA3" s="365"/>
      <c r="DB3" s="366"/>
      <c r="DC3" s="366"/>
      <c r="DD3" s="366"/>
      <c r="DE3" s="367"/>
      <c r="DF3" s="365"/>
      <c r="DG3" s="366"/>
      <c r="DH3" s="367"/>
      <c r="DI3" s="365"/>
      <c r="DJ3" s="366"/>
      <c r="DK3" s="366"/>
      <c r="DL3" s="366"/>
      <c r="DM3" s="366"/>
      <c r="DN3" s="367"/>
      <c r="DO3" s="364"/>
      <c r="DP3" s="365"/>
      <c r="DQ3" s="366"/>
      <c r="DR3" s="366"/>
      <c r="DS3" s="366"/>
      <c r="DT3" s="366"/>
      <c r="DU3" s="366"/>
      <c r="DV3" s="366"/>
      <c r="DW3" s="366"/>
      <c r="DX3" s="366"/>
      <c r="DY3" s="366"/>
      <c r="DZ3" s="366"/>
      <c r="EA3" s="367"/>
      <c r="EB3" s="357"/>
      <c r="EC3" s="357"/>
      <c r="ED3" s="361"/>
      <c r="EE3" s="362"/>
      <c r="EF3" s="363"/>
      <c r="EG3" s="361"/>
      <c r="EH3" s="362"/>
      <c r="EI3" s="362"/>
      <c r="EJ3" s="362"/>
      <c r="EK3" s="376"/>
      <c r="EL3" s="377"/>
      <c r="EM3" s="364"/>
      <c r="EN3" s="364"/>
      <c r="EO3" s="364"/>
      <c r="EP3" s="364"/>
      <c r="EQ3" s="364"/>
      <c r="ER3" s="364"/>
      <c r="ES3" s="364"/>
      <c r="ET3" s="364"/>
      <c r="EU3" s="364"/>
      <c r="EV3" s="364"/>
      <c r="EW3" s="364"/>
      <c r="EX3" s="364"/>
      <c r="EY3" s="364"/>
      <c r="EZ3" s="364"/>
      <c r="FA3" s="364"/>
      <c r="FB3" s="364"/>
      <c r="FC3" s="364"/>
      <c r="FD3" s="364"/>
      <c r="FE3" s="364"/>
      <c r="FF3" s="364"/>
      <c r="FG3" s="364"/>
      <c r="FH3" s="364"/>
      <c r="FI3" s="364"/>
      <c r="FJ3" s="364"/>
      <c r="FK3" s="364"/>
      <c r="FL3" s="364"/>
      <c r="FM3" s="364"/>
      <c r="FN3" s="364"/>
      <c r="FO3" s="364"/>
      <c r="FP3" s="364"/>
      <c r="FQ3" s="364"/>
      <c r="FR3" s="364"/>
      <c r="FS3" s="364"/>
      <c r="FT3" s="364"/>
      <c r="FU3" s="364"/>
      <c r="FV3" s="364"/>
      <c r="FW3" s="364"/>
      <c r="FX3" s="364"/>
      <c r="FY3" s="364"/>
      <c r="FZ3" s="364"/>
      <c r="GA3" s="364"/>
      <c r="GB3" s="364"/>
      <c r="GC3" s="364"/>
      <c r="GD3" s="377"/>
      <c r="GE3" s="365"/>
      <c r="GF3" s="366"/>
      <c r="GG3" s="366"/>
      <c r="GH3" s="366"/>
      <c r="GI3" s="366"/>
      <c r="GJ3" s="366"/>
      <c r="GK3" s="364"/>
      <c r="GL3" s="364"/>
      <c r="GM3" s="364"/>
      <c r="GN3" s="365"/>
      <c r="GO3" s="366"/>
      <c r="GP3" s="366"/>
      <c r="GQ3" s="366"/>
      <c r="GR3" s="367"/>
      <c r="GS3" s="365"/>
      <c r="GT3" s="366"/>
      <c r="GU3" s="367"/>
      <c r="GV3" s="365"/>
      <c r="GW3" s="366"/>
      <c r="GX3" s="367"/>
      <c r="GY3" s="364"/>
      <c r="GZ3" s="365"/>
      <c r="HA3" s="366"/>
      <c r="HB3" s="366"/>
      <c r="HC3" s="366"/>
      <c r="HD3" s="366"/>
      <c r="HE3" s="366"/>
      <c r="HF3" s="366"/>
      <c r="HG3" s="366"/>
      <c r="HH3" s="366"/>
      <c r="HI3" s="366"/>
      <c r="HJ3" s="366"/>
      <c r="HK3" s="367"/>
      <c r="HL3" s="357"/>
      <c r="HM3" s="357"/>
      <c r="HN3" s="361"/>
      <c r="HO3" s="362"/>
      <c r="HP3" s="363"/>
      <c r="HQ3" s="361"/>
      <c r="HR3" s="362"/>
      <c r="HS3" s="362"/>
      <c r="HT3" s="362"/>
      <c r="HU3" s="376"/>
      <c r="HV3" s="381"/>
      <c r="HW3" s="365"/>
      <c r="HX3" s="366"/>
      <c r="HY3" s="366"/>
      <c r="HZ3" s="366"/>
      <c r="IA3" s="366"/>
      <c r="IB3" s="367"/>
      <c r="IC3" s="365"/>
      <c r="ID3" s="366"/>
      <c r="IE3" s="367"/>
      <c r="IF3" s="365"/>
      <c r="IG3" s="366"/>
      <c r="IH3" s="366"/>
      <c r="II3" s="366"/>
      <c r="IJ3" s="367"/>
      <c r="IK3" s="365"/>
      <c r="IL3" s="366"/>
      <c r="IM3" s="367"/>
      <c r="IN3" s="365"/>
      <c r="IO3" s="366"/>
      <c r="IP3" s="367"/>
      <c r="IQ3" s="364"/>
      <c r="IR3" s="365"/>
      <c r="IS3" s="366"/>
      <c r="IT3" s="366"/>
      <c r="IU3" s="366"/>
      <c r="IV3" s="366"/>
      <c r="IW3" s="366"/>
      <c r="IX3" s="366"/>
      <c r="IY3" s="366"/>
      <c r="IZ3" s="366"/>
      <c r="JA3" s="366"/>
      <c r="JB3" s="366"/>
      <c r="JC3" s="367"/>
      <c r="JD3" s="357"/>
      <c r="JE3" s="357"/>
      <c r="JF3" s="361"/>
      <c r="JG3" s="362"/>
      <c r="JH3" s="363"/>
      <c r="JI3" s="361"/>
      <c r="JJ3" s="362"/>
      <c r="JK3" s="362"/>
      <c r="JL3" s="362"/>
      <c r="JM3" s="376"/>
      <c r="JN3" s="382"/>
      <c r="JO3" s="365"/>
      <c r="JP3" s="366"/>
      <c r="JQ3" s="366"/>
      <c r="JR3" s="366"/>
      <c r="JS3" s="366"/>
      <c r="JT3" s="367"/>
      <c r="JU3" s="365"/>
      <c r="JV3" s="366"/>
      <c r="JW3" s="367"/>
      <c r="JX3" s="365"/>
      <c r="JY3" s="366"/>
      <c r="JZ3" s="366"/>
      <c r="KA3" s="366"/>
      <c r="KB3" s="367"/>
      <c r="KC3" s="365"/>
      <c r="KD3" s="366"/>
      <c r="KE3" s="367"/>
      <c r="KF3" s="365"/>
      <c r="KG3" s="366"/>
      <c r="KH3" s="367"/>
      <c r="KI3" s="356"/>
      <c r="KJ3" s="365"/>
      <c r="KK3" s="366"/>
      <c r="KL3" s="366"/>
      <c r="KM3" s="366"/>
      <c r="KN3" s="366"/>
      <c r="KO3" s="366"/>
      <c r="KP3" s="366"/>
      <c r="KQ3" s="366"/>
      <c r="KR3" s="366"/>
      <c r="KS3" s="366"/>
      <c r="KT3" s="366"/>
      <c r="KU3" s="367"/>
      <c r="KV3" s="357"/>
      <c r="KW3" s="357"/>
      <c r="KX3" s="361"/>
      <c r="KY3" s="362"/>
      <c r="KZ3" s="363"/>
      <c r="LA3" s="361"/>
      <c r="LB3" s="362"/>
      <c r="LC3" s="362"/>
      <c r="LD3" s="362"/>
      <c r="LE3" s="376"/>
      <c r="LF3" s="369"/>
    </row>
    <row r="4" spans="2:318" ht="10.5" customHeight="1" thickBot="1">
      <c r="E4" s="386"/>
      <c r="F4" s="382"/>
      <c r="G4" s="365"/>
      <c r="H4" s="366"/>
      <c r="I4" s="366"/>
      <c r="J4" s="366"/>
      <c r="K4" s="366"/>
      <c r="L4" s="366"/>
      <c r="M4" s="356"/>
      <c r="N4" s="356"/>
      <c r="O4" s="356"/>
      <c r="P4" s="365"/>
      <c r="Q4" s="366"/>
      <c r="R4" s="388"/>
      <c r="S4" s="221"/>
      <c r="T4" s="305"/>
      <c r="U4" s="365"/>
      <c r="V4" s="366"/>
      <c r="W4" s="366"/>
      <c r="X4" s="367"/>
      <c r="Y4" s="365"/>
      <c r="Z4" s="366"/>
      <c r="AA4" s="367"/>
      <c r="AB4" s="356"/>
      <c r="AC4" s="218">
        <v>1</v>
      </c>
      <c r="AD4" s="220">
        <v>2</v>
      </c>
      <c r="AE4" s="220">
        <v>3</v>
      </c>
      <c r="AF4" s="220">
        <v>4</v>
      </c>
      <c r="AG4" s="220">
        <v>5</v>
      </c>
      <c r="AH4" s="220">
        <v>6</v>
      </c>
      <c r="AI4" s="220">
        <v>7</v>
      </c>
      <c r="AJ4" s="220">
        <v>8</v>
      </c>
      <c r="AK4" s="220">
        <v>9</v>
      </c>
      <c r="AL4" s="220">
        <v>10</v>
      </c>
      <c r="AM4" s="220">
        <v>11</v>
      </c>
      <c r="AN4" s="218">
        <v>12</v>
      </c>
      <c r="AO4" s="367"/>
      <c r="AP4" s="357"/>
      <c r="AQ4" s="219"/>
      <c r="AR4" s="219"/>
      <c r="AS4" s="219"/>
      <c r="AT4" s="218" t="s">
        <v>64</v>
      </c>
      <c r="AU4" s="220" t="s">
        <v>65</v>
      </c>
      <c r="AV4" s="220" t="s">
        <v>88</v>
      </c>
      <c r="AW4" s="220" t="s">
        <v>20</v>
      </c>
      <c r="AX4" s="227" t="s">
        <v>67</v>
      </c>
      <c r="AY4" s="382"/>
      <c r="AZ4" s="365"/>
      <c r="BA4" s="366"/>
      <c r="BB4" s="366"/>
      <c r="BC4" s="366"/>
      <c r="BD4" s="366"/>
      <c r="BE4" s="366"/>
      <c r="BF4" s="356"/>
      <c r="BG4" s="356"/>
      <c r="BH4" s="356"/>
      <c r="BI4" s="356"/>
      <c r="BJ4" s="356"/>
      <c r="BK4" s="356"/>
      <c r="BL4" s="356"/>
      <c r="BM4" s="356"/>
      <c r="BN4" s="365"/>
      <c r="BO4" s="366"/>
      <c r="BP4" s="367"/>
      <c r="BQ4" s="365"/>
      <c r="BR4" s="366"/>
      <c r="BS4" s="367"/>
      <c r="BT4" s="356"/>
      <c r="BU4" s="218">
        <v>1</v>
      </c>
      <c r="BV4" s="220">
        <v>2</v>
      </c>
      <c r="BW4" s="220">
        <v>3</v>
      </c>
      <c r="BX4" s="220">
        <v>4</v>
      </c>
      <c r="BY4" s="220">
        <v>5</v>
      </c>
      <c r="BZ4" s="220">
        <v>6</v>
      </c>
      <c r="CA4" s="220">
        <v>7</v>
      </c>
      <c r="CB4" s="220">
        <v>8</v>
      </c>
      <c r="CC4" s="220">
        <v>9</v>
      </c>
      <c r="CD4" s="220">
        <v>10</v>
      </c>
      <c r="CE4" s="220">
        <v>11</v>
      </c>
      <c r="CF4" s="218">
        <v>12</v>
      </c>
      <c r="CG4" s="367"/>
      <c r="CH4" s="357"/>
      <c r="CI4" s="219"/>
      <c r="CJ4" s="219"/>
      <c r="CK4" s="219"/>
      <c r="CL4" s="218" t="s">
        <v>64</v>
      </c>
      <c r="CM4" s="220" t="s">
        <v>65</v>
      </c>
      <c r="CN4" s="220" t="s">
        <v>88</v>
      </c>
      <c r="CO4" s="220" t="s">
        <v>20</v>
      </c>
      <c r="CP4" s="220" t="s">
        <v>67</v>
      </c>
      <c r="CQ4" s="382"/>
      <c r="CR4" s="365"/>
      <c r="CS4" s="366"/>
      <c r="CT4" s="366"/>
      <c r="CU4" s="366"/>
      <c r="CV4" s="366"/>
      <c r="CW4" s="366"/>
      <c r="CX4" s="356"/>
      <c r="CY4" s="356"/>
      <c r="CZ4" s="356"/>
      <c r="DA4" s="365"/>
      <c r="DB4" s="366"/>
      <c r="DC4" s="366"/>
      <c r="DD4" s="366"/>
      <c r="DE4" s="367"/>
      <c r="DF4" s="365"/>
      <c r="DG4" s="366"/>
      <c r="DH4" s="367"/>
      <c r="DI4" s="365"/>
      <c r="DJ4" s="366"/>
      <c r="DK4" s="366"/>
      <c r="DL4" s="366"/>
      <c r="DM4" s="366"/>
      <c r="DN4" s="367"/>
      <c r="DO4" s="356"/>
      <c r="DP4" s="218">
        <v>1</v>
      </c>
      <c r="DQ4" s="220">
        <v>2</v>
      </c>
      <c r="DR4" s="220">
        <v>3</v>
      </c>
      <c r="DS4" s="220">
        <v>4</v>
      </c>
      <c r="DT4" s="220">
        <v>5</v>
      </c>
      <c r="DU4" s="220">
        <v>6</v>
      </c>
      <c r="DV4" s="220">
        <v>7</v>
      </c>
      <c r="DW4" s="220">
        <v>8</v>
      </c>
      <c r="DX4" s="220">
        <v>9</v>
      </c>
      <c r="DY4" s="220">
        <v>10</v>
      </c>
      <c r="DZ4" s="220">
        <v>11</v>
      </c>
      <c r="EA4" s="218">
        <v>12</v>
      </c>
      <c r="EB4" s="367"/>
      <c r="EC4" s="357"/>
      <c r="ED4" s="219"/>
      <c r="EE4" s="219"/>
      <c r="EF4" s="219"/>
      <c r="EG4" s="218" t="s">
        <v>64</v>
      </c>
      <c r="EH4" s="220" t="s">
        <v>65</v>
      </c>
      <c r="EI4" s="220" t="s">
        <v>88</v>
      </c>
      <c r="EJ4" s="220" t="s">
        <v>20</v>
      </c>
      <c r="EK4" s="227" t="s">
        <v>67</v>
      </c>
      <c r="EL4" s="377"/>
      <c r="EM4" s="364"/>
      <c r="EN4" s="364"/>
      <c r="EO4" s="364"/>
      <c r="EP4" s="364"/>
      <c r="EQ4" s="364"/>
      <c r="ER4" s="364"/>
      <c r="ES4" s="364"/>
      <c r="ET4" s="364"/>
      <c r="EU4" s="364"/>
      <c r="EV4" s="364"/>
      <c r="EW4" s="364"/>
      <c r="EX4" s="364"/>
      <c r="EY4" s="364"/>
      <c r="EZ4" s="364"/>
      <c r="FA4" s="364"/>
      <c r="FB4" s="364"/>
      <c r="FC4" s="364"/>
      <c r="FD4" s="364"/>
      <c r="FE4" s="364"/>
      <c r="FF4" s="364"/>
      <c r="FG4" s="364"/>
      <c r="FH4" s="185">
        <v>1</v>
      </c>
      <c r="FI4" s="185">
        <v>2</v>
      </c>
      <c r="FJ4" s="185">
        <v>3</v>
      </c>
      <c r="FK4" s="185">
        <v>4</v>
      </c>
      <c r="FL4" s="185">
        <v>5</v>
      </c>
      <c r="FM4" s="185">
        <v>6</v>
      </c>
      <c r="FN4" s="185">
        <v>7</v>
      </c>
      <c r="FO4" s="185">
        <v>8</v>
      </c>
      <c r="FP4" s="185">
        <v>9</v>
      </c>
      <c r="FQ4" s="185">
        <v>10</v>
      </c>
      <c r="FR4" s="185">
        <v>11</v>
      </c>
      <c r="FS4" s="185">
        <v>12</v>
      </c>
      <c r="FT4" s="364"/>
      <c r="FU4" s="364"/>
      <c r="FV4" s="185"/>
      <c r="FW4" s="185"/>
      <c r="FX4" s="185"/>
      <c r="FY4" s="185" t="s">
        <v>64</v>
      </c>
      <c r="FZ4" s="185" t="s">
        <v>65</v>
      </c>
      <c r="GA4" s="185" t="s">
        <v>88</v>
      </c>
      <c r="GB4" s="185" t="s">
        <v>20</v>
      </c>
      <c r="GC4" s="185" t="s">
        <v>67</v>
      </c>
      <c r="GD4" s="360"/>
      <c r="GE4" s="365"/>
      <c r="GF4" s="366"/>
      <c r="GG4" s="366"/>
      <c r="GH4" s="366"/>
      <c r="GI4" s="366"/>
      <c r="GJ4" s="366"/>
      <c r="GK4" s="356"/>
      <c r="GL4" s="356"/>
      <c r="GM4" s="356"/>
      <c r="GN4" s="365"/>
      <c r="GO4" s="366"/>
      <c r="GP4" s="366"/>
      <c r="GQ4" s="366"/>
      <c r="GR4" s="367"/>
      <c r="GS4" s="365"/>
      <c r="GT4" s="366"/>
      <c r="GU4" s="367"/>
      <c r="GV4" s="365"/>
      <c r="GW4" s="366"/>
      <c r="GX4" s="367"/>
      <c r="GY4" s="356"/>
      <c r="GZ4" s="218">
        <v>1</v>
      </c>
      <c r="HA4" s="220">
        <v>2</v>
      </c>
      <c r="HB4" s="220">
        <v>3</v>
      </c>
      <c r="HC4" s="220">
        <v>4</v>
      </c>
      <c r="HD4" s="220">
        <v>5</v>
      </c>
      <c r="HE4" s="220">
        <v>6</v>
      </c>
      <c r="HF4" s="220">
        <v>7</v>
      </c>
      <c r="HG4" s="220">
        <v>8</v>
      </c>
      <c r="HH4" s="220">
        <v>9</v>
      </c>
      <c r="HI4" s="220">
        <v>10</v>
      </c>
      <c r="HJ4" s="220">
        <v>11</v>
      </c>
      <c r="HK4" s="218">
        <v>12</v>
      </c>
      <c r="HL4" s="367"/>
      <c r="HM4" s="357"/>
      <c r="HN4" s="219"/>
      <c r="HO4" s="219"/>
      <c r="HP4" s="219"/>
      <c r="HQ4" s="218" t="s">
        <v>64</v>
      </c>
      <c r="HR4" s="220" t="s">
        <v>65</v>
      </c>
      <c r="HS4" s="220" t="s">
        <v>88</v>
      </c>
      <c r="HT4" s="220" t="s">
        <v>20</v>
      </c>
      <c r="HU4" s="227" t="s">
        <v>67</v>
      </c>
      <c r="HV4" s="381"/>
      <c r="HW4" s="383"/>
      <c r="HX4" s="384"/>
      <c r="HY4" s="384"/>
      <c r="HZ4" s="384"/>
      <c r="IA4" s="384"/>
      <c r="IB4" s="385"/>
      <c r="IC4" s="383"/>
      <c r="ID4" s="384"/>
      <c r="IE4" s="385"/>
      <c r="IF4" s="383"/>
      <c r="IG4" s="384"/>
      <c r="IH4" s="384"/>
      <c r="II4" s="384"/>
      <c r="IJ4" s="385"/>
      <c r="IK4" s="383"/>
      <c r="IL4" s="384"/>
      <c r="IM4" s="385"/>
      <c r="IN4" s="383"/>
      <c r="IO4" s="384"/>
      <c r="IP4" s="385"/>
      <c r="IQ4" s="364"/>
      <c r="IR4" s="185">
        <v>1</v>
      </c>
      <c r="IS4" s="50">
        <v>2</v>
      </c>
      <c r="IT4" s="50">
        <v>3</v>
      </c>
      <c r="IU4" s="50">
        <v>4</v>
      </c>
      <c r="IV4" s="50">
        <v>5</v>
      </c>
      <c r="IW4" s="50">
        <v>6</v>
      </c>
      <c r="IX4" s="50">
        <v>7</v>
      </c>
      <c r="IY4" s="50">
        <v>8</v>
      </c>
      <c r="IZ4" s="50">
        <v>9</v>
      </c>
      <c r="JA4" s="50">
        <v>10</v>
      </c>
      <c r="JB4" s="50">
        <v>11</v>
      </c>
      <c r="JC4" s="185">
        <v>12</v>
      </c>
      <c r="JD4" s="374"/>
      <c r="JE4" s="389"/>
      <c r="JF4" s="219"/>
      <c r="JG4" s="219"/>
      <c r="JH4" s="219"/>
      <c r="JI4" s="185" t="s">
        <v>64</v>
      </c>
      <c r="JJ4" s="50" t="s">
        <v>65</v>
      </c>
      <c r="JK4" s="50" t="s">
        <v>88</v>
      </c>
      <c r="JL4" s="50" t="s">
        <v>20</v>
      </c>
      <c r="JM4" s="186" t="s">
        <v>67</v>
      </c>
      <c r="JN4" s="382"/>
      <c r="JO4" s="383"/>
      <c r="JP4" s="384"/>
      <c r="JQ4" s="384"/>
      <c r="JR4" s="384"/>
      <c r="JS4" s="384"/>
      <c r="JT4" s="385"/>
      <c r="JU4" s="383"/>
      <c r="JV4" s="384"/>
      <c r="JW4" s="385"/>
      <c r="JX4" s="383"/>
      <c r="JY4" s="384"/>
      <c r="JZ4" s="384"/>
      <c r="KA4" s="384"/>
      <c r="KB4" s="385"/>
      <c r="KC4" s="383"/>
      <c r="KD4" s="384"/>
      <c r="KE4" s="385"/>
      <c r="KF4" s="383"/>
      <c r="KG4" s="384"/>
      <c r="KH4" s="385"/>
      <c r="KI4" s="356"/>
      <c r="KJ4" s="185">
        <v>1</v>
      </c>
      <c r="KK4" s="50">
        <v>2</v>
      </c>
      <c r="KL4" s="50">
        <v>3</v>
      </c>
      <c r="KM4" s="50">
        <v>4</v>
      </c>
      <c r="KN4" s="50">
        <v>5</v>
      </c>
      <c r="KO4" s="50">
        <v>6</v>
      </c>
      <c r="KP4" s="50">
        <v>7</v>
      </c>
      <c r="KQ4" s="50">
        <v>8</v>
      </c>
      <c r="KR4" s="50">
        <v>9</v>
      </c>
      <c r="KS4" s="50">
        <v>10</v>
      </c>
      <c r="KT4" s="50">
        <v>11</v>
      </c>
      <c r="KU4" s="185">
        <v>12</v>
      </c>
      <c r="KV4" s="374"/>
      <c r="KW4" s="389"/>
      <c r="KX4" s="219"/>
      <c r="KY4" s="219"/>
      <c r="KZ4" s="219"/>
      <c r="LA4" s="185" t="s">
        <v>64</v>
      </c>
      <c r="LB4" s="50" t="s">
        <v>65</v>
      </c>
      <c r="LC4" s="50" t="s">
        <v>88</v>
      </c>
      <c r="LD4" s="50" t="s">
        <v>20</v>
      </c>
      <c r="LE4" s="186" t="s">
        <v>67</v>
      </c>
      <c r="LF4" s="369"/>
    </row>
    <row r="5" spans="2:318" ht="10.5" hidden="1" customHeight="1">
      <c r="E5" s="172">
        <v>0.25</v>
      </c>
      <c r="F5" s="274"/>
      <c r="G5" s="274"/>
      <c r="H5" s="274"/>
      <c r="I5" s="274"/>
      <c r="J5" s="274"/>
      <c r="K5" s="274"/>
      <c r="L5" s="274"/>
      <c r="M5" s="274"/>
      <c r="N5" s="274"/>
      <c r="O5" s="274"/>
      <c r="P5" s="274"/>
      <c r="Q5" s="274"/>
      <c r="R5" s="309"/>
      <c r="S5" s="310"/>
      <c r="T5" s="310"/>
      <c r="U5" s="274"/>
      <c r="V5" s="274"/>
      <c r="W5" s="274"/>
      <c r="X5" s="274"/>
      <c r="Y5" s="274"/>
      <c r="Z5" s="274"/>
      <c r="AA5" s="274"/>
      <c r="AB5" s="274"/>
      <c r="AC5" s="274"/>
      <c r="AD5" s="274"/>
      <c r="AE5" s="274"/>
      <c r="AF5" s="274"/>
      <c r="AG5" s="274"/>
      <c r="AH5" s="274"/>
      <c r="AI5" s="274"/>
      <c r="AJ5" s="274"/>
      <c r="AK5" s="274"/>
      <c r="AL5" s="274"/>
      <c r="AM5" s="274"/>
      <c r="AN5" s="274"/>
      <c r="AO5" s="274"/>
      <c r="AP5" s="274"/>
      <c r="AQ5" s="274"/>
      <c r="AR5" s="274"/>
      <c r="AS5" s="274"/>
      <c r="AT5" s="274"/>
      <c r="AU5" s="274"/>
      <c r="AV5" s="274"/>
      <c r="AW5" s="274"/>
      <c r="AX5" s="274"/>
      <c r="AY5" s="274"/>
      <c r="AZ5" s="274"/>
      <c r="BA5" s="274"/>
      <c r="BB5" s="274"/>
      <c r="BC5" s="274"/>
      <c r="BD5" s="274"/>
      <c r="BE5" s="274"/>
      <c r="BF5" s="274"/>
      <c r="BG5" s="274"/>
      <c r="BH5" s="274"/>
      <c r="BI5" s="274"/>
      <c r="BJ5" s="274"/>
      <c r="BK5" s="274"/>
      <c r="BL5" s="274"/>
      <c r="BM5" s="274"/>
      <c r="BN5" s="274"/>
      <c r="BO5" s="274"/>
      <c r="BP5" s="274"/>
      <c r="BQ5" s="274"/>
      <c r="BR5" s="274"/>
      <c r="BS5" s="274"/>
      <c r="BT5" s="274"/>
      <c r="BU5" s="274"/>
      <c r="BV5" s="274"/>
      <c r="BW5" s="274"/>
      <c r="BX5" s="274"/>
      <c r="BY5" s="274"/>
      <c r="BZ5" s="274"/>
      <c r="CA5" s="274"/>
      <c r="CB5" s="274"/>
      <c r="CC5" s="274"/>
      <c r="CD5" s="274"/>
      <c r="CE5" s="274"/>
      <c r="CF5" s="274"/>
      <c r="CG5" s="274"/>
      <c r="CH5" s="274"/>
      <c r="CI5" s="274"/>
      <c r="CJ5" s="274"/>
      <c r="CK5" s="274"/>
      <c r="CL5" s="274"/>
      <c r="CM5" s="274"/>
      <c r="CN5" s="274"/>
      <c r="CO5" s="274"/>
      <c r="CP5" s="277"/>
      <c r="CQ5" s="334"/>
      <c r="CR5" s="312"/>
      <c r="CS5" s="312"/>
      <c r="CT5" s="312"/>
      <c r="CU5" s="312"/>
      <c r="CV5" s="312"/>
      <c r="CW5" s="312"/>
      <c r="CX5" s="312"/>
      <c r="CY5" s="312"/>
      <c r="CZ5" s="312"/>
      <c r="DA5" s="312"/>
      <c r="DB5" s="312"/>
      <c r="DC5" s="312"/>
      <c r="DD5" s="312"/>
      <c r="DE5" s="312"/>
      <c r="DF5" s="312"/>
      <c r="DG5" s="312"/>
      <c r="DH5" s="312"/>
      <c r="DI5" s="312"/>
      <c r="DJ5" s="312"/>
      <c r="DK5" s="312"/>
      <c r="DL5" s="312"/>
      <c r="DM5" s="312"/>
      <c r="DN5" s="312"/>
      <c r="DO5" s="312"/>
      <c r="DP5" s="312"/>
      <c r="DQ5" s="312"/>
      <c r="DR5" s="312"/>
      <c r="DS5" s="312"/>
      <c r="DT5" s="312"/>
      <c r="DU5" s="312"/>
      <c r="DV5" s="312"/>
      <c r="DW5" s="312"/>
      <c r="DX5" s="312"/>
      <c r="DY5" s="312"/>
      <c r="DZ5" s="312"/>
      <c r="EA5" s="312"/>
      <c r="EB5" s="312"/>
      <c r="EC5" s="312"/>
      <c r="ED5" s="312"/>
      <c r="EE5" s="312"/>
      <c r="EF5" s="312"/>
      <c r="EG5" s="312"/>
      <c r="EH5" s="312"/>
      <c r="EI5" s="312"/>
      <c r="EJ5" s="312"/>
      <c r="EK5" s="335"/>
      <c r="EL5" s="314"/>
      <c r="EM5" s="314"/>
      <c r="EN5" s="274"/>
      <c r="EO5" s="274"/>
      <c r="EP5" s="274"/>
      <c r="EQ5" s="274"/>
      <c r="ER5" s="274"/>
      <c r="ES5" s="274"/>
      <c r="ET5" s="274"/>
      <c r="EU5" s="274"/>
      <c r="EV5" s="274"/>
      <c r="EW5" s="274"/>
      <c r="EX5" s="274"/>
      <c r="EY5" s="274"/>
      <c r="EZ5" s="274"/>
      <c r="FA5" s="274"/>
      <c r="FB5" s="274"/>
      <c r="FC5" s="274"/>
      <c r="FD5" s="274"/>
      <c r="FE5" s="274"/>
      <c r="FF5" s="274"/>
      <c r="FG5" s="274"/>
      <c r="FH5" s="274"/>
      <c r="FI5" s="274"/>
      <c r="FJ5" s="274"/>
      <c r="FK5" s="274"/>
      <c r="FL5" s="274"/>
      <c r="FM5" s="274"/>
      <c r="FN5" s="274"/>
      <c r="FO5" s="274"/>
      <c r="FP5" s="274"/>
      <c r="FQ5" s="274"/>
      <c r="FR5" s="274"/>
      <c r="FS5" s="274"/>
      <c r="FT5" s="274"/>
      <c r="FU5" s="274"/>
      <c r="FV5" s="274"/>
      <c r="FW5" s="274"/>
      <c r="FX5" s="274"/>
      <c r="FY5" s="274"/>
      <c r="FZ5" s="274"/>
      <c r="GA5" s="274"/>
      <c r="GB5" s="274"/>
      <c r="GC5" s="274"/>
      <c r="GD5" s="274"/>
      <c r="GE5" s="274"/>
      <c r="GF5" s="274"/>
      <c r="GG5" s="274"/>
      <c r="GH5" s="274"/>
      <c r="GI5" s="274"/>
      <c r="GJ5" s="274"/>
      <c r="GK5" s="274"/>
      <c r="GL5" s="274"/>
      <c r="GM5" s="274"/>
      <c r="GN5" s="274"/>
      <c r="GO5" s="274"/>
      <c r="GP5" s="274"/>
      <c r="GQ5" s="274"/>
      <c r="GR5" s="274"/>
      <c r="GS5" s="274"/>
      <c r="GT5" s="274"/>
      <c r="GU5" s="274"/>
      <c r="GV5" s="274"/>
      <c r="GW5" s="274"/>
      <c r="GX5" s="274"/>
      <c r="GY5" s="274"/>
      <c r="GZ5" s="274"/>
      <c r="HA5" s="274"/>
      <c r="HB5" s="274"/>
      <c r="HC5" s="274"/>
      <c r="HD5" s="274"/>
      <c r="HE5" s="274"/>
      <c r="HF5" s="274"/>
      <c r="HG5" s="274"/>
      <c r="HH5" s="274"/>
      <c r="HI5" s="274"/>
      <c r="HJ5" s="274"/>
      <c r="HK5" s="274"/>
      <c r="HL5" s="274"/>
      <c r="HM5" s="274"/>
      <c r="HN5" s="274"/>
      <c r="HO5" s="274"/>
      <c r="HP5" s="274"/>
      <c r="HQ5" s="274"/>
      <c r="HR5" s="274"/>
      <c r="HS5" s="274"/>
      <c r="HT5" s="274"/>
      <c r="HU5" s="274"/>
      <c r="HV5" s="328"/>
      <c r="HW5" s="329"/>
      <c r="HX5" s="329"/>
      <c r="HY5" s="329"/>
      <c r="HZ5" s="329"/>
      <c r="IA5" s="329"/>
      <c r="IB5" s="329"/>
      <c r="IC5" s="329"/>
      <c r="ID5" s="329"/>
      <c r="IE5" s="329"/>
      <c r="IF5" s="329"/>
      <c r="IG5" s="329"/>
      <c r="IH5" s="329"/>
      <c r="II5" s="329"/>
      <c r="IJ5" s="329"/>
      <c r="IK5" s="329"/>
      <c r="IL5" s="329"/>
      <c r="IM5" s="329"/>
      <c r="IN5" s="329"/>
      <c r="IO5" s="329"/>
      <c r="IP5" s="329"/>
      <c r="IQ5" s="329"/>
      <c r="IR5" s="329"/>
      <c r="IS5" s="329"/>
      <c r="IT5" s="329"/>
      <c r="IU5" s="329"/>
      <c r="IV5" s="329"/>
      <c r="IW5" s="329"/>
      <c r="IX5" s="329"/>
      <c r="IY5" s="329"/>
      <c r="IZ5" s="329"/>
      <c r="JA5" s="329"/>
      <c r="JB5" s="329"/>
      <c r="JC5" s="329"/>
      <c r="JD5" s="329"/>
      <c r="JE5" s="329"/>
      <c r="JF5" s="329"/>
      <c r="JG5" s="329"/>
      <c r="JH5" s="329"/>
      <c r="JI5" s="329"/>
      <c r="JJ5" s="329"/>
      <c r="JK5" s="329"/>
      <c r="JL5" s="329"/>
      <c r="JM5" s="329"/>
      <c r="JN5" s="366"/>
      <c r="JO5" s="366"/>
      <c r="JP5" s="366"/>
      <c r="JQ5" s="366"/>
      <c r="JR5" s="366"/>
      <c r="JS5" s="366"/>
      <c r="JT5" s="366"/>
      <c r="JU5" s="366"/>
      <c r="JV5" s="366"/>
      <c r="JW5" s="366"/>
      <c r="JX5" s="366"/>
      <c r="JY5" s="366"/>
      <c r="JZ5" s="366"/>
      <c r="KA5" s="366"/>
      <c r="KB5" s="366"/>
      <c r="KC5" s="366"/>
      <c r="KD5" s="366"/>
      <c r="KE5" s="366"/>
      <c r="KF5" s="366"/>
      <c r="KG5" s="366"/>
      <c r="KH5" s="366"/>
      <c r="KI5" s="366"/>
      <c r="KJ5" s="366"/>
      <c r="KK5" s="366"/>
      <c r="KL5" s="366"/>
      <c r="KM5" s="366"/>
      <c r="KN5" s="366"/>
      <c r="KO5" s="366"/>
      <c r="KP5" s="366"/>
      <c r="KQ5" s="366"/>
      <c r="KR5" s="366"/>
      <c r="KS5" s="366"/>
      <c r="KT5" s="366"/>
      <c r="KU5" s="366"/>
      <c r="KV5" s="366"/>
      <c r="KW5" s="366"/>
      <c r="KX5" s="366"/>
      <c r="KY5" s="366"/>
      <c r="KZ5" s="366"/>
      <c r="LA5" s="366"/>
      <c r="LB5" s="366"/>
      <c r="LC5" s="366"/>
      <c r="LD5" s="366"/>
      <c r="LE5" s="366"/>
      <c r="LF5" s="308"/>
    </row>
    <row r="6" spans="2:318" ht="10.5" hidden="1" customHeight="1">
      <c r="E6" s="172">
        <v>0.26041666666666669</v>
      </c>
      <c r="F6" s="274"/>
      <c r="G6" s="274"/>
      <c r="H6" s="274"/>
      <c r="I6" s="274"/>
      <c r="J6" s="274"/>
      <c r="K6" s="274"/>
      <c r="L6" s="274"/>
      <c r="M6" s="274"/>
      <c r="N6" s="274"/>
      <c r="O6" s="274"/>
      <c r="P6" s="274"/>
      <c r="Q6" s="274"/>
      <c r="R6" s="309"/>
      <c r="S6" s="310"/>
      <c r="T6" s="310"/>
      <c r="U6" s="274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4"/>
      <c r="AI6" s="274"/>
      <c r="AJ6" s="274"/>
      <c r="AK6" s="274"/>
      <c r="AL6" s="274"/>
      <c r="AM6" s="274"/>
      <c r="AN6" s="274"/>
      <c r="AO6" s="274"/>
      <c r="AP6" s="274"/>
      <c r="AQ6" s="274"/>
      <c r="AR6" s="274"/>
      <c r="AS6" s="274"/>
      <c r="AT6" s="274"/>
      <c r="AU6" s="274"/>
      <c r="AV6" s="274"/>
      <c r="AW6" s="274"/>
      <c r="AX6" s="274"/>
      <c r="AY6" s="321"/>
      <c r="AZ6" s="321"/>
      <c r="BA6" s="321"/>
      <c r="BB6" s="321"/>
      <c r="BC6" s="321"/>
      <c r="BD6" s="321"/>
      <c r="BE6" s="321"/>
      <c r="BF6" s="321"/>
      <c r="BG6" s="321"/>
      <c r="BH6" s="321"/>
      <c r="BI6" s="321"/>
      <c r="BJ6" s="321"/>
      <c r="BK6" s="321"/>
      <c r="BL6" s="321"/>
      <c r="BM6" s="321"/>
      <c r="BN6" s="321"/>
      <c r="BO6" s="321"/>
      <c r="BP6" s="321"/>
      <c r="BQ6" s="321"/>
      <c r="BR6" s="321"/>
      <c r="BS6" s="321"/>
      <c r="BT6" s="321"/>
      <c r="BU6" s="321"/>
      <c r="BV6" s="321"/>
      <c r="BW6" s="321"/>
      <c r="BX6" s="321"/>
      <c r="BY6" s="321"/>
      <c r="BZ6" s="321"/>
      <c r="CA6" s="321"/>
      <c r="CB6" s="321"/>
      <c r="CC6" s="321"/>
      <c r="CD6" s="321"/>
      <c r="CE6" s="321"/>
      <c r="CF6" s="321"/>
      <c r="CG6" s="321"/>
      <c r="CH6" s="321"/>
      <c r="CI6" s="321"/>
      <c r="CJ6" s="321"/>
      <c r="CK6" s="321"/>
      <c r="CL6" s="321"/>
      <c r="CM6" s="321"/>
      <c r="CN6" s="321"/>
      <c r="CO6" s="321"/>
      <c r="CP6" s="311"/>
      <c r="CQ6" s="336"/>
      <c r="CR6" s="337"/>
      <c r="CS6" s="337"/>
      <c r="CT6" s="337"/>
      <c r="CU6" s="337"/>
      <c r="CV6" s="337"/>
      <c r="CW6" s="337"/>
      <c r="CX6" s="337"/>
      <c r="CY6" s="337"/>
      <c r="CZ6" s="337"/>
      <c r="DA6" s="337"/>
      <c r="DB6" s="337"/>
      <c r="DC6" s="337"/>
      <c r="DD6" s="337"/>
      <c r="DE6" s="337"/>
      <c r="DF6" s="337"/>
      <c r="DG6" s="337"/>
      <c r="DH6" s="337"/>
      <c r="DI6" s="337"/>
      <c r="DJ6" s="337"/>
      <c r="DK6" s="337"/>
      <c r="DL6" s="337"/>
      <c r="DM6" s="337"/>
      <c r="DN6" s="337"/>
      <c r="DO6" s="337"/>
      <c r="DP6" s="337"/>
      <c r="DQ6" s="337"/>
      <c r="DR6" s="337"/>
      <c r="DS6" s="337"/>
      <c r="DT6" s="337"/>
      <c r="DU6" s="337"/>
      <c r="DV6" s="337"/>
      <c r="DW6" s="337"/>
      <c r="DX6" s="337"/>
      <c r="DY6" s="337"/>
      <c r="DZ6" s="337"/>
      <c r="EA6" s="337"/>
      <c r="EB6" s="337"/>
      <c r="EC6" s="337"/>
      <c r="ED6" s="337"/>
      <c r="EE6" s="337"/>
      <c r="EF6" s="337"/>
      <c r="EG6" s="337"/>
      <c r="EH6" s="337"/>
      <c r="EI6" s="337"/>
      <c r="EJ6" s="337"/>
      <c r="EK6" s="338"/>
      <c r="EL6" s="313"/>
      <c r="EM6" s="313"/>
      <c r="EN6" s="321"/>
      <c r="EO6" s="321"/>
      <c r="EP6" s="321"/>
      <c r="EQ6" s="321"/>
      <c r="ER6" s="321"/>
      <c r="ES6" s="321"/>
      <c r="ET6" s="321"/>
      <c r="EU6" s="321"/>
      <c r="EV6" s="321"/>
      <c r="EW6" s="321"/>
      <c r="EX6" s="321"/>
      <c r="EY6" s="321"/>
      <c r="EZ6" s="321"/>
      <c r="FA6" s="321"/>
      <c r="FB6" s="321"/>
      <c r="FC6" s="321"/>
      <c r="FD6" s="321"/>
      <c r="FE6" s="321"/>
      <c r="FF6" s="321"/>
      <c r="FG6" s="321"/>
      <c r="FH6" s="321"/>
      <c r="FI6" s="321"/>
      <c r="FJ6" s="321"/>
      <c r="FK6" s="321"/>
      <c r="FL6" s="321"/>
      <c r="FM6" s="321"/>
      <c r="FN6" s="321"/>
      <c r="FO6" s="321"/>
      <c r="FP6" s="321"/>
      <c r="FQ6" s="321"/>
      <c r="FR6" s="321"/>
      <c r="FS6" s="321"/>
      <c r="FT6" s="321"/>
      <c r="FU6" s="321"/>
      <c r="FV6" s="321"/>
      <c r="FW6" s="321"/>
      <c r="FX6" s="321"/>
      <c r="FY6" s="321"/>
      <c r="FZ6" s="321"/>
      <c r="GA6" s="321"/>
      <c r="GB6" s="321"/>
      <c r="GC6" s="321"/>
      <c r="GD6" s="274"/>
      <c r="GE6" s="274"/>
      <c r="GF6" s="274"/>
      <c r="GG6" s="274"/>
      <c r="GH6" s="274"/>
      <c r="GI6" s="274"/>
      <c r="GJ6" s="274"/>
      <c r="GK6" s="274"/>
      <c r="GL6" s="274"/>
      <c r="GM6" s="274"/>
      <c r="GN6" s="274"/>
      <c r="GO6" s="274"/>
      <c r="GP6" s="274"/>
      <c r="GQ6" s="274"/>
      <c r="GR6" s="274"/>
      <c r="GS6" s="274"/>
      <c r="GT6" s="274"/>
      <c r="GU6" s="274"/>
      <c r="GV6" s="274"/>
      <c r="GW6" s="274"/>
      <c r="GX6" s="274"/>
      <c r="GY6" s="274"/>
      <c r="GZ6" s="274"/>
      <c r="HA6" s="274"/>
      <c r="HB6" s="274"/>
      <c r="HC6" s="274"/>
      <c r="HD6" s="274"/>
      <c r="HE6" s="274"/>
      <c r="HF6" s="274"/>
      <c r="HG6" s="274"/>
      <c r="HH6" s="274"/>
      <c r="HI6" s="274"/>
      <c r="HJ6" s="274"/>
      <c r="HK6" s="274"/>
      <c r="HL6" s="274"/>
      <c r="HM6" s="274"/>
      <c r="HN6" s="274"/>
      <c r="HO6" s="274"/>
      <c r="HP6" s="274"/>
      <c r="HQ6" s="274"/>
      <c r="HR6" s="274"/>
      <c r="HS6" s="274"/>
      <c r="HT6" s="274"/>
      <c r="HU6" s="274"/>
      <c r="HV6" s="328"/>
      <c r="HW6" s="329"/>
      <c r="HX6" s="329"/>
      <c r="HY6" s="329"/>
      <c r="HZ6" s="329"/>
      <c r="IA6" s="329"/>
      <c r="IB6" s="329"/>
      <c r="IC6" s="329"/>
      <c r="ID6" s="329"/>
      <c r="IE6" s="329"/>
      <c r="IF6" s="329"/>
      <c r="IG6" s="329"/>
      <c r="IH6" s="329"/>
      <c r="II6" s="329"/>
      <c r="IJ6" s="329"/>
      <c r="IK6" s="329"/>
      <c r="IL6" s="329"/>
      <c r="IM6" s="329"/>
      <c r="IN6" s="329"/>
      <c r="IO6" s="329"/>
      <c r="IP6" s="329"/>
      <c r="IQ6" s="329"/>
      <c r="IR6" s="329"/>
      <c r="IS6" s="329"/>
      <c r="IT6" s="329"/>
      <c r="IU6" s="329"/>
      <c r="IV6" s="329"/>
      <c r="IW6" s="329"/>
      <c r="IX6" s="329"/>
      <c r="IY6" s="329"/>
      <c r="IZ6" s="329"/>
      <c r="JA6" s="329"/>
      <c r="JB6" s="329"/>
      <c r="JC6" s="329"/>
      <c r="JD6" s="329"/>
      <c r="JE6" s="329"/>
      <c r="JF6" s="329"/>
      <c r="JG6" s="329"/>
      <c r="JH6" s="329"/>
      <c r="JI6" s="329"/>
      <c r="JJ6" s="329"/>
      <c r="JK6" s="329"/>
      <c r="JL6" s="329"/>
      <c r="JM6" s="329"/>
      <c r="JN6" s="366"/>
      <c r="JO6" s="366"/>
      <c r="JP6" s="366"/>
      <c r="JQ6" s="366"/>
      <c r="JR6" s="366"/>
      <c r="JS6" s="366"/>
      <c r="JT6" s="366"/>
      <c r="JU6" s="366"/>
      <c r="JV6" s="366"/>
      <c r="JW6" s="366"/>
      <c r="JX6" s="366"/>
      <c r="JY6" s="366"/>
      <c r="JZ6" s="366"/>
      <c r="KA6" s="366"/>
      <c r="KB6" s="366"/>
      <c r="KC6" s="366"/>
      <c r="KD6" s="366"/>
      <c r="KE6" s="366"/>
      <c r="KF6" s="366"/>
      <c r="KG6" s="366"/>
      <c r="KH6" s="366"/>
      <c r="KI6" s="366"/>
      <c r="KJ6" s="366"/>
      <c r="KK6" s="366"/>
      <c r="KL6" s="366"/>
      <c r="KM6" s="366"/>
      <c r="KN6" s="366"/>
      <c r="KO6" s="366"/>
      <c r="KP6" s="366"/>
      <c r="KQ6" s="366"/>
      <c r="KR6" s="366"/>
      <c r="KS6" s="366"/>
      <c r="KT6" s="366"/>
      <c r="KU6" s="366"/>
      <c r="KV6" s="366"/>
      <c r="KW6" s="366"/>
      <c r="KX6" s="366"/>
      <c r="KY6" s="366"/>
      <c r="KZ6" s="366"/>
      <c r="LA6" s="366"/>
      <c r="LB6" s="366"/>
      <c r="LC6" s="366"/>
      <c r="LD6" s="366"/>
      <c r="LE6" s="366"/>
      <c r="LF6" s="308"/>
    </row>
    <row r="7" spans="2:318" ht="10.5" customHeight="1">
      <c r="B7" s="49">
        <v>0.25</v>
      </c>
      <c r="C7" s="49">
        <v>0.25</v>
      </c>
      <c r="D7" s="49">
        <v>0.25</v>
      </c>
      <c r="E7" s="172">
        <v>0.27083333333333331</v>
      </c>
      <c r="F7" s="322" t="s">
        <v>462</v>
      </c>
      <c r="G7" s="185"/>
      <c r="H7" s="185"/>
      <c r="I7" s="185"/>
      <c r="J7" s="185"/>
      <c r="K7" s="185"/>
      <c r="L7" s="185"/>
      <c r="M7" s="185"/>
      <c r="N7" s="185"/>
      <c r="O7" s="185"/>
      <c r="P7" s="185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  <c r="AG7" s="185"/>
      <c r="AH7" s="185"/>
      <c r="AI7" s="185"/>
      <c r="AJ7" s="185"/>
      <c r="AK7" s="185"/>
      <c r="AL7" s="185"/>
      <c r="AM7" s="185"/>
      <c r="AN7" s="185"/>
      <c r="AO7" s="185"/>
      <c r="AP7" s="185"/>
      <c r="AQ7" s="324"/>
      <c r="AR7" s="324"/>
      <c r="AS7" s="324"/>
      <c r="AT7" s="185"/>
      <c r="AU7" s="185"/>
      <c r="AV7" s="185"/>
      <c r="AW7" s="185"/>
      <c r="AX7" s="50"/>
      <c r="AY7" s="228" t="s">
        <v>462</v>
      </c>
      <c r="AZ7" s="185"/>
      <c r="BA7" s="185"/>
      <c r="BB7" s="185"/>
      <c r="BC7" s="185"/>
      <c r="BD7" s="185"/>
      <c r="BE7" s="185"/>
      <c r="BF7" s="185"/>
      <c r="BG7" s="185"/>
      <c r="BH7" s="185"/>
      <c r="BI7" s="185"/>
      <c r="BJ7" s="185"/>
      <c r="BK7" s="228"/>
      <c r="BL7" s="185"/>
      <c r="BM7" s="185"/>
      <c r="BN7" s="185"/>
      <c r="BO7" s="185"/>
      <c r="BP7" s="185"/>
      <c r="BQ7" s="185"/>
      <c r="BR7" s="185"/>
      <c r="BS7" s="185"/>
      <c r="BT7" s="228"/>
      <c r="BU7" s="185"/>
      <c r="BV7" s="185"/>
      <c r="BW7" s="185"/>
      <c r="BX7" s="185"/>
      <c r="BY7" s="185"/>
      <c r="BZ7" s="185"/>
      <c r="CA7" s="185"/>
      <c r="CB7" s="185"/>
      <c r="CC7" s="185"/>
      <c r="CD7" s="185"/>
      <c r="CE7" s="185"/>
      <c r="CF7" s="185"/>
      <c r="CG7" s="185"/>
      <c r="CH7" s="185"/>
      <c r="CI7" s="185"/>
      <c r="CJ7" s="185"/>
      <c r="CK7" s="185"/>
      <c r="CL7" s="53"/>
      <c r="CM7" s="53"/>
      <c r="CN7" s="53"/>
      <c r="CO7" s="53"/>
      <c r="CP7" s="54"/>
      <c r="CQ7" s="344" t="s">
        <v>471</v>
      </c>
      <c r="CR7" s="185"/>
      <c r="CS7" s="185"/>
      <c r="CT7" s="185"/>
      <c r="CU7" s="185"/>
      <c r="CV7" s="185"/>
      <c r="CW7" s="185"/>
      <c r="CX7" s="185"/>
      <c r="CY7" s="185"/>
      <c r="CZ7" s="185"/>
      <c r="DA7" s="185"/>
      <c r="DB7" s="185"/>
      <c r="DC7" s="185"/>
      <c r="DD7" s="185"/>
      <c r="DE7" s="185"/>
      <c r="DF7" s="185"/>
      <c r="DG7" s="185"/>
      <c r="DH7" s="185"/>
      <c r="DI7" s="185"/>
      <c r="DJ7" s="185"/>
      <c r="DK7" s="185"/>
      <c r="DL7" s="185"/>
      <c r="DM7" s="185"/>
      <c r="DN7" s="185"/>
      <c r="DO7" s="185" t="s">
        <v>404</v>
      </c>
      <c r="DP7" s="185"/>
      <c r="DQ7" s="185"/>
      <c r="DR7" s="185"/>
      <c r="DS7" s="185"/>
      <c r="DT7" s="185"/>
      <c r="DU7" s="185"/>
      <c r="DV7" s="185"/>
      <c r="DW7" s="185"/>
      <c r="DX7" s="185"/>
      <c r="DY7" s="185"/>
      <c r="DZ7" s="185"/>
      <c r="EA7" s="185"/>
      <c r="EB7" s="185"/>
      <c r="EC7" s="185"/>
      <c r="ED7" s="185"/>
      <c r="EE7" s="185"/>
      <c r="EF7" s="185"/>
      <c r="EG7" s="185"/>
      <c r="EH7" s="185"/>
      <c r="EI7" s="185"/>
      <c r="EJ7" s="185"/>
      <c r="EK7" s="186"/>
      <c r="EL7" s="243" t="s">
        <v>411</v>
      </c>
      <c r="EM7" s="243"/>
      <c r="EN7" s="185"/>
      <c r="EO7" s="185"/>
      <c r="EP7" s="185"/>
      <c r="EQ7" s="185"/>
      <c r="ER7" s="185"/>
      <c r="ES7" s="185"/>
      <c r="ET7" s="185"/>
      <c r="EU7" s="185"/>
      <c r="EV7" s="185"/>
      <c r="EW7" s="185"/>
      <c r="EX7" s="185"/>
      <c r="EY7" s="185"/>
      <c r="EZ7" s="185"/>
      <c r="FA7" s="185"/>
      <c r="FB7" s="185"/>
      <c r="FC7" s="185"/>
      <c r="FD7" s="185"/>
      <c r="FE7" s="185"/>
      <c r="FF7" s="185"/>
      <c r="FG7" s="185"/>
      <c r="FH7" s="185"/>
      <c r="FI7" s="185"/>
      <c r="FJ7" s="185"/>
      <c r="FK7" s="185"/>
      <c r="FL7" s="185"/>
      <c r="FM7" s="185"/>
      <c r="FN7" s="185"/>
      <c r="FO7" s="185"/>
      <c r="FP7" s="185"/>
      <c r="FQ7" s="185"/>
      <c r="FR7" s="185"/>
      <c r="FS7" s="185"/>
      <c r="FT7" s="185"/>
      <c r="FU7" s="185"/>
      <c r="FV7" s="185"/>
      <c r="FW7" s="185"/>
      <c r="FX7" s="185"/>
      <c r="FY7" s="185"/>
      <c r="FZ7" s="185"/>
      <c r="GA7" s="185"/>
      <c r="GB7" s="185"/>
      <c r="GC7" s="185"/>
      <c r="GD7" s="327" t="s">
        <v>375</v>
      </c>
      <c r="GE7" s="185"/>
      <c r="GF7" s="185"/>
      <c r="GG7" s="185"/>
      <c r="GH7" s="185"/>
      <c r="GI7" s="185"/>
      <c r="GJ7" s="185"/>
      <c r="GK7" s="185"/>
      <c r="GL7" s="185"/>
      <c r="GM7" s="185"/>
      <c r="GN7" s="228"/>
      <c r="GO7" s="228"/>
      <c r="GP7" s="185"/>
      <c r="GQ7" s="185"/>
      <c r="GR7" s="185"/>
      <c r="GS7" s="185"/>
      <c r="GT7" s="185"/>
      <c r="GU7" s="185"/>
      <c r="GV7" s="185"/>
      <c r="GW7" s="185"/>
      <c r="GX7" s="185"/>
      <c r="GY7" s="228"/>
      <c r="GZ7" s="185"/>
      <c r="HA7" s="185"/>
      <c r="HB7" s="185"/>
      <c r="HC7" s="185"/>
      <c r="HD7" s="185"/>
      <c r="HE7" s="185"/>
      <c r="HF7" s="185"/>
      <c r="HG7" s="185"/>
      <c r="HH7" s="185"/>
      <c r="HI7" s="185"/>
      <c r="HJ7" s="185"/>
      <c r="HK7" s="185"/>
      <c r="HL7" s="185"/>
      <c r="HM7" s="185"/>
      <c r="HN7" s="185"/>
      <c r="HO7" s="185"/>
      <c r="HP7" s="185"/>
      <c r="HQ7" s="185"/>
      <c r="HR7" s="185"/>
      <c r="HS7" s="185"/>
      <c r="HT7" s="185"/>
      <c r="HU7" s="185"/>
      <c r="HV7" s="391"/>
      <c r="HW7" s="392"/>
      <c r="HX7" s="392"/>
      <c r="HY7" s="392"/>
      <c r="HZ7" s="392"/>
      <c r="IA7" s="392"/>
      <c r="IB7" s="392"/>
      <c r="IC7" s="392"/>
      <c r="ID7" s="392"/>
      <c r="IE7" s="392"/>
      <c r="IF7" s="392"/>
      <c r="IG7" s="392"/>
      <c r="IH7" s="392"/>
      <c r="II7" s="392"/>
      <c r="IJ7" s="392"/>
      <c r="IK7" s="392"/>
      <c r="IL7" s="392"/>
      <c r="IM7" s="392"/>
      <c r="IN7" s="392"/>
      <c r="IO7" s="392"/>
      <c r="IP7" s="392"/>
      <c r="IQ7" s="392"/>
      <c r="IR7" s="392"/>
      <c r="IS7" s="392"/>
      <c r="IT7" s="392"/>
      <c r="IU7" s="392"/>
      <c r="IV7" s="392"/>
      <c r="IW7" s="392"/>
      <c r="IX7" s="392"/>
      <c r="IY7" s="392"/>
      <c r="IZ7" s="392"/>
      <c r="JA7" s="392"/>
      <c r="JB7" s="392"/>
      <c r="JC7" s="392"/>
      <c r="JD7" s="392"/>
      <c r="JE7" s="392"/>
      <c r="JF7" s="392"/>
      <c r="JG7" s="392"/>
      <c r="JH7" s="392"/>
      <c r="JI7" s="392"/>
      <c r="JJ7" s="392"/>
      <c r="JK7" s="392"/>
      <c r="JL7" s="392"/>
      <c r="JM7" s="392"/>
      <c r="JN7" s="366"/>
      <c r="JO7" s="366"/>
      <c r="JP7" s="366"/>
      <c r="JQ7" s="366"/>
      <c r="JR7" s="366"/>
      <c r="JS7" s="366"/>
      <c r="JT7" s="366"/>
      <c r="JU7" s="366"/>
      <c r="JV7" s="366"/>
      <c r="JW7" s="366"/>
      <c r="JX7" s="366"/>
      <c r="JY7" s="366"/>
      <c r="JZ7" s="366"/>
      <c r="KA7" s="366"/>
      <c r="KB7" s="366"/>
      <c r="KC7" s="366"/>
      <c r="KD7" s="366"/>
      <c r="KE7" s="366"/>
      <c r="KF7" s="366"/>
      <c r="KG7" s="366"/>
      <c r="KH7" s="366"/>
      <c r="KI7" s="366"/>
      <c r="KJ7" s="366"/>
      <c r="KK7" s="366"/>
      <c r="KL7" s="366"/>
      <c r="KM7" s="366"/>
      <c r="KN7" s="366"/>
      <c r="KO7" s="366"/>
      <c r="KP7" s="366"/>
      <c r="KQ7" s="366"/>
      <c r="KR7" s="366"/>
      <c r="KS7" s="366"/>
      <c r="KT7" s="366"/>
      <c r="KU7" s="366"/>
      <c r="KV7" s="366"/>
      <c r="KW7" s="366"/>
      <c r="KX7" s="366"/>
      <c r="KY7" s="366"/>
      <c r="KZ7" s="366"/>
      <c r="LA7" s="366"/>
      <c r="LB7" s="366"/>
      <c r="LC7" s="366"/>
      <c r="LD7" s="366"/>
      <c r="LE7" s="366"/>
      <c r="LF7" s="52">
        <v>0.29166666666666669</v>
      </c>
    </row>
    <row r="8" spans="2:318" ht="10.5" customHeight="1">
      <c r="B8" s="49">
        <v>0.25</v>
      </c>
      <c r="C8" s="49">
        <v>0.25</v>
      </c>
      <c r="D8" s="49">
        <v>0.25</v>
      </c>
      <c r="E8" s="172">
        <v>0.28125</v>
      </c>
      <c r="F8" s="322" t="s">
        <v>462</v>
      </c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/>
      <c r="AO8" s="185"/>
      <c r="AP8" s="185"/>
      <c r="AQ8" s="324"/>
      <c r="AR8" s="324"/>
      <c r="AS8" s="324"/>
      <c r="AT8" s="53"/>
      <c r="AU8" s="228"/>
      <c r="AV8" s="185"/>
      <c r="AW8" s="185"/>
      <c r="AX8" s="50"/>
      <c r="AY8" s="228" t="s">
        <v>462</v>
      </c>
      <c r="AZ8" s="185"/>
      <c r="BA8" s="185"/>
      <c r="BB8" s="185"/>
      <c r="BC8" s="185"/>
      <c r="BD8" s="185"/>
      <c r="BE8" s="185"/>
      <c r="BF8" s="185"/>
      <c r="BG8" s="185"/>
      <c r="BH8" s="185"/>
      <c r="BI8" s="185"/>
      <c r="BJ8" s="185"/>
      <c r="BK8" s="228"/>
      <c r="BL8" s="185"/>
      <c r="BM8" s="185"/>
      <c r="BN8" s="185"/>
      <c r="BO8" s="185"/>
      <c r="BP8" s="185"/>
      <c r="BQ8" s="185"/>
      <c r="BR8" s="185"/>
      <c r="BS8" s="185"/>
      <c r="BT8" s="228"/>
      <c r="BU8" s="185"/>
      <c r="BV8" s="185"/>
      <c r="BW8" s="185"/>
      <c r="BX8" s="185"/>
      <c r="BY8" s="185"/>
      <c r="BZ8" s="185"/>
      <c r="CA8" s="185"/>
      <c r="CB8" s="185"/>
      <c r="CC8" s="185"/>
      <c r="CD8" s="185"/>
      <c r="CE8" s="185"/>
      <c r="CF8" s="185"/>
      <c r="CG8" s="185"/>
      <c r="CH8" s="185"/>
      <c r="CI8" s="185"/>
      <c r="CJ8" s="185"/>
      <c r="CK8" s="185"/>
      <c r="CL8" s="176"/>
      <c r="CM8" s="53"/>
      <c r="CN8" s="53"/>
      <c r="CO8" s="346"/>
      <c r="CP8" s="54"/>
      <c r="CQ8" s="340" t="s">
        <v>471</v>
      </c>
      <c r="CR8" s="185"/>
      <c r="CS8" s="185"/>
      <c r="CT8" s="185"/>
      <c r="CU8" s="185"/>
      <c r="CV8" s="185"/>
      <c r="CW8" s="185"/>
      <c r="CX8" s="185"/>
      <c r="CY8" s="185"/>
      <c r="CZ8" s="185"/>
      <c r="DA8" s="185"/>
      <c r="DB8" s="185"/>
      <c r="DC8" s="185"/>
      <c r="DD8" s="185"/>
      <c r="DE8" s="185"/>
      <c r="DF8" s="185"/>
      <c r="DG8" s="185"/>
      <c r="DH8" s="185"/>
      <c r="DI8" s="185"/>
      <c r="DJ8" s="185"/>
      <c r="DK8" s="185"/>
      <c r="DL8" s="185"/>
      <c r="DM8" s="185"/>
      <c r="DN8" s="185"/>
      <c r="DO8" s="185" t="s">
        <v>404</v>
      </c>
      <c r="DP8" s="185"/>
      <c r="DQ8" s="185"/>
      <c r="DR8" s="185"/>
      <c r="DS8" s="185"/>
      <c r="DT8" s="185"/>
      <c r="DU8" s="185"/>
      <c r="DV8" s="185"/>
      <c r="DW8" s="185"/>
      <c r="DX8" s="185"/>
      <c r="DY8" s="185"/>
      <c r="DZ8" s="185"/>
      <c r="EA8" s="185"/>
      <c r="EB8" s="185"/>
      <c r="EC8" s="185"/>
      <c r="ED8" s="185"/>
      <c r="EE8" s="185"/>
      <c r="EF8" s="185"/>
      <c r="EG8" s="185"/>
      <c r="EH8" s="228"/>
      <c r="EI8" s="185"/>
      <c r="EJ8" s="185"/>
      <c r="EK8" s="186"/>
      <c r="EL8" s="243" t="s">
        <v>411</v>
      </c>
      <c r="EM8" s="243"/>
      <c r="EN8" s="185"/>
      <c r="EO8" s="185"/>
      <c r="EP8" s="185"/>
      <c r="EQ8" s="185"/>
      <c r="ER8" s="185"/>
      <c r="ES8" s="185"/>
      <c r="ET8" s="185"/>
      <c r="EU8" s="185"/>
      <c r="EV8" s="185"/>
      <c r="EW8" s="185"/>
      <c r="EX8" s="185"/>
      <c r="EY8" s="185"/>
      <c r="EZ8" s="185"/>
      <c r="FA8" s="185"/>
      <c r="FB8" s="185"/>
      <c r="FC8" s="185"/>
      <c r="FD8" s="185"/>
      <c r="FE8" s="185"/>
      <c r="FF8" s="185"/>
      <c r="FG8" s="185"/>
      <c r="FH8" s="185"/>
      <c r="FI8" s="185"/>
      <c r="FJ8" s="185"/>
      <c r="FK8" s="185"/>
      <c r="FL8" s="185"/>
      <c r="FM8" s="185"/>
      <c r="FN8" s="185"/>
      <c r="FO8" s="185"/>
      <c r="FP8" s="185"/>
      <c r="FQ8" s="185"/>
      <c r="FR8" s="185"/>
      <c r="FS8" s="185"/>
      <c r="FT8" s="185"/>
      <c r="FU8" s="185"/>
      <c r="FV8" s="185"/>
      <c r="FW8" s="185"/>
      <c r="FX8" s="185"/>
      <c r="FY8" s="228"/>
      <c r="FZ8" s="185"/>
      <c r="GA8" s="228"/>
      <c r="GB8" s="185"/>
      <c r="GC8" s="185"/>
      <c r="GD8" s="327" t="s">
        <v>375</v>
      </c>
      <c r="GE8" s="185"/>
      <c r="GF8" s="185"/>
      <c r="GG8" s="185"/>
      <c r="GH8" s="185"/>
      <c r="GI8" s="185"/>
      <c r="GJ8" s="185"/>
      <c r="GK8" s="185"/>
      <c r="GL8" s="185"/>
      <c r="GM8" s="185"/>
      <c r="GN8" s="228"/>
      <c r="GO8" s="228"/>
      <c r="GP8" s="185"/>
      <c r="GQ8" s="185"/>
      <c r="GR8" s="185"/>
      <c r="GS8" s="185"/>
      <c r="GT8" s="185"/>
      <c r="GU8" s="185"/>
      <c r="GV8" s="185"/>
      <c r="GW8" s="185"/>
      <c r="GX8" s="185"/>
      <c r="GY8" s="228"/>
      <c r="GZ8" s="185"/>
      <c r="HA8" s="185"/>
      <c r="HB8" s="185"/>
      <c r="HC8" s="185"/>
      <c r="HD8" s="185"/>
      <c r="HE8" s="185"/>
      <c r="HF8" s="185"/>
      <c r="HG8" s="185"/>
      <c r="HH8" s="185"/>
      <c r="HI8" s="185"/>
      <c r="HJ8" s="185"/>
      <c r="HK8" s="185"/>
      <c r="HL8" s="185"/>
      <c r="HM8" s="185"/>
      <c r="HN8" s="185"/>
      <c r="HO8" s="185"/>
      <c r="HP8" s="185"/>
      <c r="HQ8" s="185"/>
      <c r="HR8" s="185"/>
      <c r="HS8" s="185"/>
      <c r="HT8" s="185"/>
      <c r="HU8" s="185"/>
      <c r="HV8" s="391"/>
      <c r="HW8" s="392"/>
      <c r="HX8" s="392"/>
      <c r="HY8" s="392"/>
      <c r="HZ8" s="392"/>
      <c r="IA8" s="392"/>
      <c r="IB8" s="392"/>
      <c r="IC8" s="392"/>
      <c r="ID8" s="392"/>
      <c r="IE8" s="392"/>
      <c r="IF8" s="392"/>
      <c r="IG8" s="392"/>
      <c r="IH8" s="392"/>
      <c r="II8" s="392"/>
      <c r="IJ8" s="392"/>
      <c r="IK8" s="392"/>
      <c r="IL8" s="392"/>
      <c r="IM8" s="392"/>
      <c r="IN8" s="392"/>
      <c r="IO8" s="392"/>
      <c r="IP8" s="392"/>
      <c r="IQ8" s="392"/>
      <c r="IR8" s="392"/>
      <c r="IS8" s="392"/>
      <c r="IT8" s="392"/>
      <c r="IU8" s="392"/>
      <c r="IV8" s="392"/>
      <c r="IW8" s="392"/>
      <c r="IX8" s="392"/>
      <c r="IY8" s="392"/>
      <c r="IZ8" s="392"/>
      <c r="JA8" s="392"/>
      <c r="JB8" s="392"/>
      <c r="JC8" s="392"/>
      <c r="JD8" s="392"/>
      <c r="JE8" s="392"/>
      <c r="JF8" s="392"/>
      <c r="JG8" s="392"/>
      <c r="JH8" s="392"/>
      <c r="JI8" s="392"/>
      <c r="JJ8" s="392"/>
      <c r="JK8" s="392"/>
      <c r="JL8" s="392"/>
      <c r="JM8" s="392"/>
      <c r="JN8" s="366"/>
      <c r="JO8" s="366"/>
      <c r="JP8" s="366"/>
      <c r="JQ8" s="366"/>
      <c r="JR8" s="366"/>
      <c r="JS8" s="366"/>
      <c r="JT8" s="366"/>
      <c r="JU8" s="366"/>
      <c r="JV8" s="366"/>
      <c r="JW8" s="366"/>
      <c r="JX8" s="366"/>
      <c r="JY8" s="366"/>
      <c r="JZ8" s="366"/>
      <c r="KA8" s="366"/>
      <c r="KB8" s="366"/>
      <c r="KC8" s="366"/>
      <c r="KD8" s="366"/>
      <c r="KE8" s="366"/>
      <c r="KF8" s="366"/>
      <c r="KG8" s="366"/>
      <c r="KH8" s="366"/>
      <c r="KI8" s="366"/>
      <c r="KJ8" s="366"/>
      <c r="KK8" s="366"/>
      <c r="KL8" s="366"/>
      <c r="KM8" s="366"/>
      <c r="KN8" s="366"/>
      <c r="KO8" s="366"/>
      <c r="KP8" s="366"/>
      <c r="KQ8" s="366"/>
      <c r="KR8" s="366"/>
      <c r="KS8" s="366"/>
      <c r="KT8" s="366"/>
      <c r="KU8" s="366"/>
      <c r="KV8" s="366"/>
      <c r="KW8" s="366"/>
      <c r="KX8" s="366"/>
      <c r="KY8" s="366"/>
      <c r="KZ8" s="366"/>
      <c r="LA8" s="366"/>
      <c r="LB8" s="366"/>
      <c r="LC8" s="366"/>
      <c r="LD8" s="366"/>
      <c r="LE8" s="366"/>
      <c r="LF8" s="52">
        <v>0.30208333333333331</v>
      </c>
    </row>
    <row r="9" spans="2:318" ht="10.5" customHeight="1">
      <c r="B9" s="49">
        <v>0.25</v>
      </c>
      <c r="C9" s="49">
        <v>0.25</v>
      </c>
      <c r="D9" s="49">
        <v>0.25</v>
      </c>
      <c r="E9" s="172">
        <v>0.29166666666666669</v>
      </c>
      <c r="F9" s="322" t="s">
        <v>462</v>
      </c>
      <c r="G9" s="185"/>
      <c r="H9" s="185"/>
      <c r="I9" s="185"/>
      <c r="J9" s="185"/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  <c r="AG9" s="185"/>
      <c r="AH9" s="185"/>
      <c r="AI9" s="185"/>
      <c r="AJ9" s="185"/>
      <c r="AK9" s="185"/>
      <c r="AL9" s="185"/>
      <c r="AM9" s="185"/>
      <c r="AN9" s="185"/>
      <c r="AO9" s="185"/>
      <c r="AP9" s="185"/>
      <c r="AQ9" s="324"/>
      <c r="AR9" s="324"/>
      <c r="AS9" s="324"/>
      <c r="AT9" s="185"/>
      <c r="AU9" s="274" t="s">
        <v>419</v>
      </c>
      <c r="AV9" s="185"/>
      <c r="AW9" s="185"/>
      <c r="AX9" s="50"/>
      <c r="AY9" s="228" t="s">
        <v>462</v>
      </c>
      <c r="AZ9" s="185"/>
      <c r="BA9" s="185"/>
      <c r="BB9" s="185"/>
      <c r="BC9" s="185"/>
      <c r="BD9" s="185"/>
      <c r="BE9" s="185"/>
      <c r="BF9" s="185"/>
      <c r="BG9" s="185"/>
      <c r="BH9" s="185"/>
      <c r="BI9" s="185"/>
      <c r="BJ9" s="185"/>
      <c r="BK9" s="228"/>
      <c r="BL9" s="185"/>
      <c r="BM9" s="185"/>
      <c r="BN9" s="185"/>
      <c r="BO9" s="185"/>
      <c r="BP9" s="185"/>
      <c r="BQ9" s="185"/>
      <c r="BR9" s="185"/>
      <c r="BS9" s="185"/>
      <c r="BT9" s="228"/>
      <c r="BU9" s="185"/>
      <c r="BV9" s="185"/>
      <c r="BW9" s="185"/>
      <c r="BX9" s="185"/>
      <c r="BY9" s="185"/>
      <c r="BZ9" s="185"/>
      <c r="CA9" s="185"/>
      <c r="CB9" s="185"/>
      <c r="CC9" s="185"/>
      <c r="CD9" s="185"/>
      <c r="CE9" s="185"/>
      <c r="CF9" s="185"/>
      <c r="CG9" s="185"/>
      <c r="CH9" s="185"/>
      <c r="CI9" s="185"/>
      <c r="CJ9" s="185"/>
      <c r="CK9" s="185"/>
      <c r="CL9" s="176" t="s">
        <v>432</v>
      </c>
      <c r="CM9" s="53"/>
      <c r="CN9" s="53"/>
      <c r="CO9" s="346" t="s">
        <v>393</v>
      </c>
      <c r="CP9" s="54"/>
      <c r="CQ9" s="340" t="s">
        <v>471</v>
      </c>
      <c r="CR9" s="185"/>
      <c r="CS9" s="185"/>
      <c r="CT9" s="185"/>
      <c r="CU9" s="185"/>
      <c r="CV9" s="185"/>
      <c r="CW9" s="185"/>
      <c r="CX9" s="185"/>
      <c r="CY9" s="185"/>
      <c r="CZ9" s="185"/>
      <c r="DA9" s="185" t="s">
        <v>386</v>
      </c>
      <c r="DB9" s="185"/>
      <c r="DC9" s="185"/>
      <c r="DD9" s="185"/>
      <c r="DE9" s="185"/>
      <c r="DF9" s="185"/>
      <c r="DG9" s="185"/>
      <c r="DH9" s="185"/>
      <c r="DI9" s="185"/>
      <c r="DJ9" s="185"/>
      <c r="DK9" s="185"/>
      <c r="DL9" s="185"/>
      <c r="DM9" s="185"/>
      <c r="DN9" s="185"/>
      <c r="DO9" s="185" t="s">
        <v>404</v>
      </c>
      <c r="DP9" s="185"/>
      <c r="DQ9" s="185"/>
      <c r="DR9" s="185"/>
      <c r="DS9" s="185"/>
      <c r="DT9" s="185"/>
      <c r="DU9" s="185"/>
      <c r="DV9" s="185"/>
      <c r="DW9" s="185"/>
      <c r="DX9" s="185"/>
      <c r="DY9" s="185"/>
      <c r="DZ9" s="185"/>
      <c r="EA9" s="185"/>
      <c r="EB9" s="185"/>
      <c r="EC9" s="185"/>
      <c r="ED9" s="185"/>
      <c r="EE9" s="185"/>
      <c r="EF9" s="185"/>
      <c r="EG9" s="185"/>
      <c r="EH9" s="274" t="s">
        <v>419</v>
      </c>
      <c r="EI9" s="185"/>
      <c r="EJ9" s="185"/>
      <c r="EK9" s="186"/>
      <c r="EL9" s="243" t="s">
        <v>411</v>
      </c>
      <c r="EM9" s="243"/>
      <c r="EN9" s="185"/>
      <c r="EO9" s="185"/>
      <c r="EP9" s="185"/>
      <c r="EQ9" s="185"/>
      <c r="ER9" s="185"/>
      <c r="ES9" s="185"/>
      <c r="ET9" s="185"/>
      <c r="EU9" s="185"/>
      <c r="EV9" s="185"/>
      <c r="EW9" s="185"/>
      <c r="EX9" s="185"/>
      <c r="EY9" s="185"/>
      <c r="EZ9" s="185"/>
      <c r="FA9" s="185"/>
      <c r="FB9" s="185"/>
      <c r="FC9" s="185"/>
      <c r="FD9" s="185"/>
      <c r="FE9" s="185"/>
      <c r="FF9" s="185"/>
      <c r="FG9" s="185"/>
      <c r="FH9" s="185"/>
      <c r="FI9" s="185"/>
      <c r="FJ9" s="185"/>
      <c r="FK9" s="185"/>
      <c r="FL9" s="185"/>
      <c r="FM9" s="185"/>
      <c r="FN9" s="185"/>
      <c r="FO9" s="185"/>
      <c r="FP9" s="185"/>
      <c r="FQ9" s="185"/>
      <c r="FR9" s="185"/>
      <c r="FS9" s="185"/>
      <c r="FT9" s="185"/>
      <c r="FU9" s="185"/>
      <c r="FV9" s="185"/>
      <c r="FW9" s="185"/>
      <c r="FX9" s="185"/>
      <c r="FY9" s="274" t="s">
        <v>386</v>
      </c>
      <c r="FZ9" s="185"/>
      <c r="GA9" s="228" t="s">
        <v>375</v>
      </c>
      <c r="GB9" s="185"/>
      <c r="GC9" s="185"/>
      <c r="GD9" s="327" t="s">
        <v>375</v>
      </c>
      <c r="GE9" s="185"/>
      <c r="GF9" s="228"/>
      <c r="GG9" s="228"/>
      <c r="GH9" s="228"/>
      <c r="GI9" s="228"/>
      <c r="GJ9" s="228"/>
      <c r="GK9" s="228"/>
      <c r="GL9" s="228"/>
      <c r="GM9" s="228"/>
      <c r="GN9" s="228"/>
      <c r="GO9" s="228"/>
      <c r="GP9" s="185"/>
      <c r="GQ9" s="185"/>
      <c r="GR9" s="185"/>
      <c r="GS9" s="185"/>
      <c r="GT9" s="185"/>
      <c r="GU9" s="185"/>
      <c r="GV9" s="185"/>
      <c r="GW9" s="185"/>
      <c r="GX9" s="185"/>
      <c r="GY9" s="228"/>
      <c r="GZ9" s="185"/>
      <c r="HA9" s="185"/>
      <c r="HB9" s="185"/>
      <c r="HC9" s="185"/>
      <c r="HD9" s="185"/>
      <c r="HE9" s="185"/>
      <c r="HF9" s="185"/>
      <c r="HG9" s="185"/>
      <c r="HH9" s="185"/>
      <c r="HI9" s="185"/>
      <c r="HJ9" s="185"/>
      <c r="HK9" s="185"/>
      <c r="HL9" s="185"/>
      <c r="HM9" s="185"/>
      <c r="HN9" s="185"/>
      <c r="HO9" s="185"/>
      <c r="HP9" s="185"/>
      <c r="HQ9" s="185"/>
      <c r="HR9" s="185"/>
      <c r="HS9" s="185"/>
      <c r="HT9" s="185" t="s">
        <v>393</v>
      </c>
      <c r="HU9" s="185"/>
      <c r="HV9" s="391"/>
      <c r="HW9" s="392"/>
      <c r="HX9" s="392"/>
      <c r="HY9" s="392"/>
      <c r="HZ9" s="392"/>
      <c r="IA9" s="392"/>
      <c r="IB9" s="392"/>
      <c r="IC9" s="392"/>
      <c r="ID9" s="392"/>
      <c r="IE9" s="392"/>
      <c r="IF9" s="392"/>
      <c r="IG9" s="392"/>
      <c r="IH9" s="392"/>
      <c r="II9" s="392"/>
      <c r="IJ9" s="392"/>
      <c r="IK9" s="392"/>
      <c r="IL9" s="392"/>
      <c r="IM9" s="392"/>
      <c r="IN9" s="392"/>
      <c r="IO9" s="392"/>
      <c r="IP9" s="392"/>
      <c r="IQ9" s="392"/>
      <c r="IR9" s="392"/>
      <c r="IS9" s="392"/>
      <c r="IT9" s="392"/>
      <c r="IU9" s="392"/>
      <c r="IV9" s="392"/>
      <c r="IW9" s="392"/>
      <c r="IX9" s="392"/>
      <c r="IY9" s="392"/>
      <c r="IZ9" s="392"/>
      <c r="JA9" s="392"/>
      <c r="JB9" s="392"/>
      <c r="JC9" s="392"/>
      <c r="JD9" s="392"/>
      <c r="JE9" s="392"/>
      <c r="JF9" s="392"/>
      <c r="JG9" s="392"/>
      <c r="JH9" s="392"/>
      <c r="JI9" s="392"/>
      <c r="JJ9" s="392"/>
      <c r="JK9" s="392"/>
      <c r="JL9" s="392"/>
      <c r="JM9" s="392"/>
      <c r="JN9" s="366"/>
      <c r="JO9" s="366"/>
      <c r="JP9" s="366"/>
      <c r="JQ9" s="366"/>
      <c r="JR9" s="366"/>
      <c r="JS9" s="366"/>
      <c r="JT9" s="366"/>
      <c r="JU9" s="366"/>
      <c r="JV9" s="366"/>
      <c r="JW9" s="366"/>
      <c r="JX9" s="366"/>
      <c r="JY9" s="366"/>
      <c r="JZ9" s="366"/>
      <c r="KA9" s="366"/>
      <c r="KB9" s="366"/>
      <c r="KC9" s="366"/>
      <c r="KD9" s="366"/>
      <c r="KE9" s="366"/>
      <c r="KF9" s="366"/>
      <c r="KG9" s="366"/>
      <c r="KH9" s="366"/>
      <c r="KI9" s="366"/>
      <c r="KJ9" s="366"/>
      <c r="KK9" s="366"/>
      <c r="KL9" s="366"/>
      <c r="KM9" s="366"/>
      <c r="KN9" s="366"/>
      <c r="KO9" s="366"/>
      <c r="KP9" s="366"/>
      <c r="KQ9" s="366"/>
      <c r="KR9" s="366"/>
      <c r="KS9" s="366"/>
      <c r="KT9" s="366"/>
      <c r="KU9" s="366"/>
      <c r="KV9" s="366"/>
      <c r="KW9" s="366"/>
      <c r="KX9" s="366"/>
      <c r="KY9" s="366"/>
      <c r="KZ9" s="366"/>
      <c r="LA9" s="366"/>
      <c r="LB9" s="366"/>
      <c r="LC9" s="366"/>
      <c r="LD9" s="366"/>
      <c r="LE9" s="366"/>
      <c r="LF9" s="52">
        <v>0.3125</v>
      </c>
    </row>
    <row r="10" spans="2:318" ht="10.5" customHeight="1">
      <c r="B10" s="49">
        <v>0.25</v>
      </c>
      <c r="C10" s="49">
        <v>0.25</v>
      </c>
      <c r="D10" s="49">
        <v>0.25</v>
      </c>
      <c r="E10" s="172">
        <v>0.30208333333333331</v>
      </c>
      <c r="F10" s="322" t="s">
        <v>462</v>
      </c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  <c r="AG10" s="185"/>
      <c r="AH10" s="185"/>
      <c r="AI10" s="185"/>
      <c r="AJ10" s="185"/>
      <c r="AK10" s="185"/>
      <c r="AL10" s="185"/>
      <c r="AM10" s="185"/>
      <c r="AN10" s="185"/>
      <c r="AO10" s="185"/>
      <c r="AP10" s="185"/>
      <c r="AQ10" s="324"/>
      <c r="AR10" s="324"/>
      <c r="AS10" s="324"/>
      <c r="AT10" s="53"/>
      <c r="AU10" s="274" t="s">
        <v>419</v>
      </c>
      <c r="AV10" s="185"/>
      <c r="AW10" s="185"/>
      <c r="AX10" s="50"/>
      <c r="AY10" s="228" t="s">
        <v>462</v>
      </c>
      <c r="AZ10" s="185"/>
      <c r="BA10" s="185"/>
      <c r="BB10" s="185"/>
      <c r="BC10" s="185"/>
      <c r="BD10" s="185"/>
      <c r="BE10" s="185"/>
      <c r="BF10" s="185"/>
      <c r="BG10" s="185"/>
      <c r="BH10" s="185"/>
      <c r="BI10" s="185"/>
      <c r="BJ10" s="185"/>
      <c r="BK10" s="228"/>
      <c r="BL10" s="185"/>
      <c r="BM10" s="185"/>
      <c r="BN10" s="185"/>
      <c r="BO10" s="185"/>
      <c r="BP10" s="185"/>
      <c r="BQ10" s="185"/>
      <c r="BR10" s="185"/>
      <c r="BS10" s="185"/>
      <c r="BT10" s="228"/>
      <c r="BU10" s="185"/>
      <c r="BV10" s="185"/>
      <c r="BW10" s="185"/>
      <c r="BX10" s="185"/>
      <c r="BY10" s="185"/>
      <c r="BZ10" s="185"/>
      <c r="CA10" s="185"/>
      <c r="CB10" s="185"/>
      <c r="CC10" s="185"/>
      <c r="CD10" s="185"/>
      <c r="CE10" s="185"/>
      <c r="CF10" s="185"/>
      <c r="CG10" s="185"/>
      <c r="CH10" s="185"/>
      <c r="CI10" s="185"/>
      <c r="CJ10" s="185"/>
      <c r="CK10" s="185"/>
      <c r="CL10" s="176" t="s">
        <v>432</v>
      </c>
      <c r="CM10" s="53"/>
      <c r="CN10" s="53"/>
      <c r="CO10" s="346" t="s">
        <v>393</v>
      </c>
      <c r="CP10" s="54"/>
      <c r="CQ10" s="340" t="s">
        <v>471</v>
      </c>
      <c r="CR10" s="185"/>
      <c r="CS10" s="185"/>
      <c r="CT10" s="185"/>
      <c r="CU10" s="185"/>
      <c r="CV10" s="185"/>
      <c r="CW10" s="185"/>
      <c r="CX10" s="185"/>
      <c r="CY10" s="185"/>
      <c r="CZ10" s="185"/>
      <c r="DA10" s="185" t="s">
        <v>386</v>
      </c>
      <c r="DB10" s="185"/>
      <c r="DC10" s="185"/>
      <c r="DD10" s="185"/>
      <c r="DE10" s="185"/>
      <c r="DF10" s="185"/>
      <c r="DG10" s="185"/>
      <c r="DH10" s="185"/>
      <c r="DI10" s="185"/>
      <c r="DJ10" s="185"/>
      <c r="DK10" s="185"/>
      <c r="DL10" s="185"/>
      <c r="DM10" s="185"/>
      <c r="DN10" s="185"/>
      <c r="DO10" s="185" t="s">
        <v>404</v>
      </c>
      <c r="DP10" s="185"/>
      <c r="DQ10" s="185"/>
      <c r="DR10" s="185"/>
      <c r="DS10" s="185"/>
      <c r="DT10" s="185"/>
      <c r="DU10" s="185"/>
      <c r="DV10" s="185"/>
      <c r="DW10" s="185"/>
      <c r="DX10" s="185"/>
      <c r="DY10" s="185"/>
      <c r="DZ10" s="185"/>
      <c r="EA10" s="185"/>
      <c r="EB10" s="185"/>
      <c r="EC10" s="185"/>
      <c r="ED10" s="185"/>
      <c r="EE10" s="185"/>
      <c r="EF10" s="185"/>
      <c r="EG10" s="185"/>
      <c r="EH10" s="274" t="s">
        <v>419</v>
      </c>
      <c r="EI10" s="185"/>
      <c r="EJ10" s="185"/>
      <c r="EK10" s="186"/>
      <c r="EL10" s="243" t="s">
        <v>411</v>
      </c>
      <c r="EM10" s="243"/>
      <c r="EN10" s="185"/>
      <c r="EO10" s="185"/>
      <c r="EP10" s="185"/>
      <c r="EQ10" s="185"/>
      <c r="ER10" s="185"/>
      <c r="ES10" s="185"/>
      <c r="ET10" s="185"/>
      <c r="EU10" s="185"/>
      <c r="EV10" s="185"/>
      <c r="EW10" s="185"/>
      <c r="EX10" s="185"/>
      <c r="EY10" s="185"/>
      <c r="EZ10" s="185"/>
      <c r="FA10" s="185"/>
      <c r="FB10" s="185"/>
      <c r="FC10" s="185"/>
      <c r="FD10" s="185"/>
      <c r="FE10" s="185"/>
      <c r="FF10" s="185"/>
      <c r="FG10" s="185"/>
      <c r="FH10" s="185"/>
      <c r="FI10" s="185"/>
      <c r="FJ10" s="185"/>
      <c r="FK10" s="185"/>
      <c r="FL10" s="185"/>
      <c r="FM10" s="185"/>
      <c r="FN10" s="185"/>
      <c r="FO10" s="185"/>
      <c r="FP10" s="185"/>
      <c r="FQ10" s="185"/>
      <c r="FR10" s="185"/>
      <c r="FS10" s="185"/>
      <c r="FT10" s="185"/>
      <c r="FU10" s="185"/>
      <c r="FV10" s="185"/>
      <c r="FW10" s="185"/>
      <c r="FX10" s="185"/>
      <c r="FY10" s="274" t="s">
        <v>386</v>
      </c>
      <c r="FZ10" s="185"/>
      <c r="GA10" s="228" t="s">
        <v>375</v>
      </c>
      <c r="GB10" s="185"/>
      <c r="GC10" s="185"/>
      <c r="GD10" s="327" t="s">
        <v>375</v>
      </c>
      <c r="GE10" s="185"/>
      <c r="GF10" s="228"/>
      <c r="GG10" s="228"/>
      <c r="GH10" s="228"/>
      <c r="GI10" s="228"/>
      <c r="GJ10" s="228"/>
      <c r="GK10" s="228"/>
      <c r="GL10" s="228"/>
      <c r="GM10" s="228"/>
      <c r="GN10" s="228"/>
      <c r="GO10" s="228"/>
      <c r="GP10" s="185"/>
      <c r="GQ10" s="185"/>
      <c r="GR10" s="185"/>
      <c r="GS10" s="185"/>
      <c r="GT10" s="185"/>
      <c r="GU10" s="185"/>
      <c r="GV10" s="185"/>
      <c r="GW10" s="185"/>
      <c r="GX10" s="185"/>
      <c r="GY10" s="228"/>
      <c r="GZ10" s="185"/>
      <c r="HA10" s="185"/>
      <c r="HB10" s="185"/>
      <c r="HC10" s="185"/>
      <c r="HD10" s="185"/>
      <c r="HE10" s="185"/>
      <c r="HF10" s="185"/>
      <c r="HG10" s="185"/>
      <c r="HH10" s="185"/>
      <c r="HI10" s="185"/>
      <c r="HJ10" s="185"/>
      <c r="HK10" s="185"/>
      <c r="HL10" s="185"/>
      <c r="HM10" s="185"/>
      <c r="HN10" s="185"/>
      <c r="HO10" s="185"/>
      <c r="HP10" s="185"/>
      <c r="HQ10" s="185"/>
      <c r="HR10" s="185"/>
      <c r="HS10" s="185"/>
      <c r="HT10" s="185" t="s">
        <v>393</v>
      </c>
      <c r="HU10" s="185"/>
      <c r="HV10" s="391"/>
      <c r="HW10" s="392"/>
      <c r="HX10" s="392"/>
      <c r="HY10" s="392"/>
      <c r="HZ10" s="392"/>
      <c r="IA10" s="392"/>
      <c r="IB10" s="392"/>
      <c r="IC10" s="392"/>
      <c r="ID10" s="392"/>
      <c r="IE10" s="392"/>
      <c r="IF10" s="392"/>
      <c r="IG10" s="392"/>
      <c r="IH10" s="392"/>
      <c r="II10" s="392"/>
      <c r="IJ10" s="392"/>
      <c r="IK10" s="392"/>
      <c r="IL10" s="392"/>
      <c r="IM10" s="392"/>
      <c r="IN10" s="392"/>
      <c r="IO10" s="392"/>
      <c r="IP10" s="392"/>
      <c r="IQ10" s="392"/>
      <c r="IR10" s="392"/>
      <c r="IS10" s="392"/>
      <c r="IT10" s="392"/>
      <c r="IU10" s="392"/>
      <c r="IV10" s="392"/>
      <c r="IW10" s="392"/>
      <c r="IX10" s="392"/>
      <c r="IY10" s="392"/>
      <c r="IZ10" s="392"/>
      <c r="JA10" s="392"/>
      <c r="JB10" s="392"/>
      <c r="JC10" s="392"/>
      <c r="JD10" s="392"/>
      <c r="JE10" s="392"/>
      <c r="JF10" s="392"/>
      <c r="JG10" s="392"/>
      <c r="JH10" s="392"/>
      <c r="JI10" s="392"/>
      <c r="JJ10" s="392"/>
      <c r="JK10" s="392"/>
      <c r="JL10" s="392"/>
      <c r="JM10" s="392"/>
      <c r="JN10" s="366"/>
      <c r="JO10" s="366"/>
      <c r="JP10" s="366"/>
      <c r="JQ10" s="366"/>
      <c r="JR10" s="366"/>
      <c r="JS10" s="366"/>
      <c r="JT10" s="366"/>
      <c r="JU10" s="366"/>
      <c r="JV10" s="366"/>
      <c r="JW10" s="366"/>
      <c r="JX10" s="366"/>
      <c r="JY10" s="366"/>
      <c r="JZ10" s="366"/>
      <c r="KA10" s="366"/>
      <c r="KB10" s="366"/>
      <c r="KC10" s="366"/>
      <c r="KD10" s="366"/>
      <c r="KE10" s="366"/>
      <c r="KF10" s="366"/>
      <c r="KG10" s="366"/>
      <c r="KH10" s="366"/>
      <c r="KI10" s="366"/>
      <c r="KJ10" s="366"/>
      <c r="KK10" s="366"/>
      <c r="KL10" s="366"/>
      <c r="KM10" s="366"/>
      <c r="KN10" s="366"/>
      <c r="KO10" s="366"/>
      <c r="KP10" s="366"/>
      <c r="KQ10" s="366"/>
      <c r="KR10" s="366"/>
      <c r="KS10" s="366"/>
      <c r="KT10" s="366"/>
      <c r="KU10" s="366"/>
      <c r="KV10" s="366"/>
      <c r="KW10" s="366"/>
      <c r="KX10" s="366"/>
      <c r="KY10" s="366"/>
      <c r="KZ10" s="366"/>
      <c r="LA10" s="366"/>
      <c r="LB10" s="366"/>
      <c r="LC10" s="366"/>
      <c r="LD10" s="366"/>
      <c r="LE10" s="366"/>
      <c r="LF10" s="52">
        <v>0.32291666666666702</v>
      </c>
    </row>
    <row r="11" spans="2:318" ht="10.5" customHeight="1">
      <c r="B11" s="49">
        <v>0.25</v>
      </c>
      <c r="C11" s="49">
        <v>0.25</v>
      </c>
      <c r="D11" s="49">
        <v>0.25</v>
      </c>
      <c r="E11" s="172">
        <v>0.3125</v>
      </c>
      <c r="F11" s="322" t="s">
        <v>462</v>
      </c>
      <c r="G11" s="185"/>
      <c r="H11" s="185"/>
      <c r="I11" s="185"/>
      <c r="J11" s="185"/>
      <c r="K11" s="185"/>
      <c r="L11" s="185"/>
      <c r="M11" s="185"/>
      <c r="N11" s="185"/>
      <c r="O11" s="185"/>
      <c r="P11" s="185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 t="s">
        <v>404</v>
      </c>
      <c r="AC11" s="185"/>
      <c r="AD11" s="185"/>
      <c r="AE11" s="185"/>
      <c r="AF11" s="185"/>
      <c r="AG11" s="185"/>
      <c r="AH11" s="185"/>
      <c r="AI11" s="185"/>
      <c r="AJ11" s="185"/>
      <c r="AK11" s="185"/>
      <c r="AL11" s="185"/>
      <c r="AM11" s="185"/>
      <c r="AN11" s="185"/>
      <c r="AO11" s="325"/>
      <c r="AP11" s="185"/>
      <c r="AQ11" s="324"/>
      <c r="AR11" s="324"/>
      <c r="AS11" s="324"/>
      <c r="AT11" s="53"/>
      <c r="AU11" s="274" t="s">
        <v>419</v>
      </c>
      <c r="AV11" s="185"/>
      <c r="AW11" s="185"/>
      <c r="AX11" s="50"/>
      <c r="AY11" s="228" t="s">
        <v>462</v>
      </c>
      <c r="AZ11" s="185"/>
      <c r="BA11" s="185"/>
      <c r="BB11" s="185"/>
      <c r="BC11" s="185"/>
      <c r="BD11" s="185"/>
      <c r="BE11" s="185"/>
      <c r="BF11" s="185"/>
      <c r="BG11" s="185"/>
      <c r="BH11" s="185"/>
      <c r="BI11" s="185"/>
      <c r="BJ11" s="185"/>
      <c r="BK11" s="228"/>
      <c r="BL11" s="185"/>
      <c r="BM11" s="185"/>
      <c r="BN11" s="185"/>
      <c r="BO11" s="185"/>
      <c r="BP11" s="185"/>
      <c r="BQ11" s="185"/>
      <c r="BR11" s="185"/>
      <c r="BS11" s="185"/>
      <c r="BT11" s="228"/>
      <c r="BU11" s="185"/>
      <c r="BV11" s="185"/>
      <c r="BW11" s="185"/>
      <c r="BX11" s="185"/>
      <c r="BY11" s="185"/>
      <c r="BZ11" s="185"/>
      <c r="CA11" s="185"/>
      <c r="CB11" s="185"/>
      <c r="CC11" s="185"/>
      <c r="CD11" s="185"/>
      <c r="CE11" s="185"/>
      <c r="CF11" s="185"/>
      <c r="CG11" s="185"/>
      <c r="CH11" s="185"/>
      <c r="CI11" s="185"/>
      <c r="CJ11" s="185"/>
      <c r="CK11" s="185"/>
      <c r="CL11" s="176" t="s">
        <v>432</v>
      </c>
      <c r="CM11" s="53"/>
      <c r="CN11" s="53"/>
      <c r="CO11" s="346" t="s">
        <v>393</v>
      </c>
      <c r="CP11" s="54"/>
      <c r="CQ11" s="340" t="s">
        <v>471</v>
      </c>
      <c r="CR11" s="185"/>
      <c r="CS11" s="185"/>
      <c r="CT11" s="185"/>
      <c r="CU11" s="185"/>
      <c r="CV11" s="185"/>
      <c r="CW11" s="185"/>
      <c r="CX11" s="185"/>
      <c r="CY11" s="185"/>
      <c r="CZ11" s="185"/>
      <c r="DA11" s="185" t="s">
        <v>386</v>
      </c>
      <c r="DB11" s="185"/>
      <c r="DC11" s="185"/>
      <c r="DD11" s="185"/>
      <c r="DE11" s="185"/>
      <c r="DF11" s="185"/>
      <c r="DG11" s="185"/>
      <c r="DH11" s="185"/>
      <c r="DI11" s="185"/>
      <c r="DJ11" s="185"/>
      <c r="DK11" s="185"/>
      <c r="DL11" s="185"/>
      <c r="DM11" s="185"/>
      <c r="DN11" s="185"/>
      <c r="DO11" s="185" t="s">
        <v>404</v>
      </c>
      <c r="DP11" s="185"/>
      <c r="DQ11" s="185"/>
      <c r="DR11" s="185"/>
      <c r="DS11" s="185"/>
      <c r="DT11" s="185"/>
      <c r="DU11" s="185"/>
      <c r="DV11" s="185"/>
      <c r="DW11" s="185"/>
      <c r="DX11" s="185"/>
      <c r="DY11" s="185"/>
      <c r="DZ11" s="185"/>
      <c r="EA11" s="185"/>
      <c r="EB11" s="185"/>
      <c r="EC11" s="185"/>
      <c r="ED11" s="185"/>
      <c r="EE11" s="185"/>
      <c r="EF11" s="185"/>
      <c r="EG11" s="185"/>
      <c r="EH11" s="274" t="s">
        <v>419</v>
      </c>
      <c r="EI11" s="185"/>
      <c r="EJ11" s="185"/>
      <c r="EK11" s="186"/>
      <c r="EL11" s="243" t="s">
        <v>411</v>
      </c>
      <c r="EM11" s="243"/>
      <c r="EN11" s="185"/>
      <c r="EO11" s="185"/>
      <c r="EP11" s="185"/>
      <c r="EQ11" s="185"/>
      <c r="ER11" s="185"/>
      <c r="ES11" s="185"/>
      <c r="ET11" s="185"/>
      <c r="EU11" s="185"/>
      <c r="EV11" s="185"/>
      <c r="EW11" s="185"/>
      <c r="EX11" s="185"/>
      <c r="EY11" s="185"/>
      <c r="EZ11" s="185"/>
      <c r="FA11" s="185"/>
      <c r="FB11" s="185"/>
      <c r="FC11" s="185"/>
      <c r="FD11" s="185"/>
      <c r="FE11" s="185"/>
      <c r="FF11" s="185"/>
      <c r="FG11" s="185"/>
      <c r="FH11" s="185"/>
      <c r="FI11" s="185"/>
      <c r="FJ11" s="185"/>
      <c r="FK11" s="185"/>
      <c r="FL11" s="185"/>
      <c r="FM11" s="185"/>
      <c r="FN11" s="185"/>
      <c r="FO11" s="185"/>
      <c r="FP11" s="185"/>
      <c r="FQ11" s="185"/>
      <c r="FR11" s="185"/>
      <c r="FS11" s="185"/>
      <c r="FT11" s="185"/>
      <c r="FU11" s="185"/>
      <c r="FV11" s="185"/>
      <c r="FW11" s="185"/>
      <c r="FX11" s="185"/>
      <c r="FY11" s="274" t="s">
        <v>386</v>
      </c>
      <c r="FZ11" s="185"/>
      <c r="GA11" s="228" t="s">
        <v>375</v>
      </c>
      <c r="GB11" s="185"/>
      <c r="GC11" s="185"/>
      <c r="GD11" s="354" t="s">
        <v>411</v>
      </c>
      <c r="GE11" s="185"/>
      <c r="GF11" s="228"/>
      <c r="GG11" s="228"/>
      <c r="GH11" s="228"/>
      <c r="GI11" s="228"/>
      <c r="GJ11" s="228"/>
      <c r="GK11" s="228"/>
      <c r="GL11" s="228"/>
      <c r="GM11" s="228"/>
      <c r="GN11" s="228" t="s">
        <v>375</v>
      </c>
      <c r="GO11" s="228"/>
      <c r="GP11" s="185"/>
      <c r="GQ11" s="185"/>
      <c r="GR11" s="185"/>
      <c r="GS11" s="185"/>
      <c r="GT11" s="185"/>
      <c r="GU11" s="185"/>
      <c r="GV11" s="185"/>
      <c r="GW11" s="185"/>
      <c r="GX11" s="185"/>
      <c r="GY11" s="228"/>
      <c r="GZ11" s="185"/>
      <c r="HA11" s="185"/>
      <c r="HB11" s="185"/>
      <c r="HC11" s="185"/>
      <c r="HD11" s="185"/>
      <c r="HE11" s="185"/>
      <c r="HF11" s="185"/>
      <c r="HG11" s="185"/>
      <c r="HH11" s="185"/>
      <c r="HI11" s="185"/>
      <c r="HJ11" s="185"/>
      <c r="HK11" s="185"/>
      <c r="HL11" s="185"/>
      <c r="HM11" s="185"/>
      <c r="HN11" s="185"/>
      <c r="HO11" s="185"/>
      <c r="HP11" s="185"/>
      <c r="HQ11" s="185"/>
      <c r="HR11" s="185"/>
      <c r="HS11" s="185"/>
      <c r="HT11" s="185" t="s">
        <v>393</v>
      </c>
      <c r="HU11" s="185"/>
      <c r="HV11" s="391"/>
      <c r="HW11" s="392"/>
      <c r="HX11" s="392"/>
      <c r="HY11" s="392"/>
      <c r="HZ11" s="392"/>
      <c r="IA11" s="392"/>
      <c r="IB11" s="392"/>
      <c r="IC11" s="392"/>
      <c r="ID11" s="392"/>
      <c r="IE11" s="392"/>
      <c r="IF11" s="392"/>
      <c r="IG11" s="392"/>
      <c r="IH11" s="392"/>
      <c r="II11" s="392"/>
      <c r="IJ11" s="392"/>
      <c r="IK11" s="392"/>
      <c r="IL11" s="392"/>
      <c r="IM11" s="392"/>
      <c r="IN11" s="392"/>
      <c r="IO11" s="392"/>
      <c r="IP11" s="392"/>
      <c r="IQ11" s="392"/>
      <c r="IR11" s="392"/>
      <c r="IS11" s="392"/>
      <c r="IT11" s="392"/>
      <c r="IU11" s="392"/>
      <c r="IV11" s="392"/>
      <c r="IW11" s="392"/>
      <c r="IX11" s="392"/>
      <c r="IY11" s="392"/>
      <c r="IZ11" s="392"/>
      <c r="JA11" s="392"/>
      <c r="JB11" s="392"/>
      <c r="JC11" s="392"/>
      <c r="JD11" s="392"/>
      <c r="JE11" s="392"/>
      <c r="JF11" s="392"/>
      <c r="JG11" s="392"/>
      <c r="JH11" s="392"/>
      <c r="JI11" s="392"/>
      <c r="JJ11" s="392"/>
      <c r="JK11" s="392"/>
      <c r="JL11" s="392"/>
      <c r="JM11" s="392"/>
      <c r="JN11" s="366"/>
      <c r="JO11" s="366"/>
      <c r="JP11" s="366"/>
      <c r="JQ11" s="366"/>
      <c r="JR11" s="366"/>
      <c r="JS11" s="366"/>
      <c r="JT11" s="366"/>
      <c r="JU11" s="366"/>
      <c r="JV11" s="366"/>
      <c r="JW11" s="366"/>
      <c r="JX11" s="366"/>
      <c r="JY11" s="366"/>
      <c r="JZ11" s="366"/>
      <c r="KA11" s="366"/>
      <c r="KB11" s="366"/>
      <c r="KC11" s="366"/>
      <c r="KD11" s="366"/>
      <c r="KE11" s="366"/>
      <c r="KF11" s="366"/>
      <c r="KG11" s="366"/>
      <c r="KH11" s="366"/>
      <c r="KI11" s="366"/>
      <c r="KJ11" s="366"/>
      <c r="KK11" s="366"/>
      <c r="KL11" s="366"/>
      <c r="KM11" s="366"/>
      <c r="KN11" s="366"/>
      <c r="KO11" s="366"/>
      <c r="KP11" s="366"/>
      <c r="KQ11" s="366"/>
      <c r="KR11" s="366"/>
      <c r="KS11" s="366"/>
      <c r="KT11" s="366"/>
      <c r="KU11" s="366"/>
      <c r="KV11" s="366"/>
      <c r="KW11" s="366"/>
      <c r="KX11" s="366"/>
      <c r="KY11" s="366"/>
      <c r="KZ11" s="366"/>
      <c r="LA11" s="366"/>
      <c r="LB11" s="366"/>
      <c r="LC11" s="366"/>
      <c r="LD11" s="366"/>
      <c r="LE11" s="366"/>
      <c r="LF11" s="52">
        <v>0.33333333333333298</v>
      </c>
    </row>
    <row r="12" spans="2:318" ht="10.5" customHeight="1">
      <c r="B12" s="49">
        <v>0.25</v>
      </c>
      <c r="C12" s="49">
        <v>0.25</v>
      </c>
      <c r="D12" s="49">
        <v>0.25</v>
      </c>
      <c r="E12" s="172">
        <v>0.32291666666666669</v>
      </c>
      <c r="F12" s="322" t="s">
        <v>462</v>
      </c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 t="s">
        <v>404</v>
      </c>
      <c r="AC12" s="185"/>
      <c r="AD12" s="185"/>
      <c r="AE12" s="185"/>
      <c r="AF12" s="185"/>
      <c r="AG12" s="185"/>
      <c r="AH12" s="185"/>
      <c r="AI12" s="185"/>
      <c r="AJ12" s="185"/>
      <c r="AK12" s="185"/>
      <c r="AL12" s="185"/>
      <c r="AM12" s="185"/>
      <c r="AN12" s="185"/>
      <c r="AO12" s="185"/>
      <c r="AP12" s="185"/>
      <c r="AQ12" s="324"/>
      <c r="AR12" s="324"/>
      <c r="AS12" s="324"/>
      <c r="AT12" s="53"/>
      <c r="AU12" s="274" t="s">
        <v>419</v>
      </c>
      <c r="AV12" s="185"/>
      <c r="AW12" s="185"/>
      <c r="AX12" s="50"/>
      <c r="AY12" s="228" t="s">
        <v>375</v>
      </c>
      <c r="AZ12" s="185"/>
      <c r="BA12" s="185"/>
      <c r="BB12" s="185"/>
      <c r="BC12" s="185"/>
      <c r="BD12" s="185"/>
      <c r="BE12" s="185"/>
      <c r="BF12" s="185"/>
      <c r="BG12" s="185"/>
      <c r="BH12" s="185"/>
      <c r="BI12" s="185"/>
      <c r="BJ12" s="185"/>
      <c r="BK12" s="228"/>
      <c r="BL12" s="185"/>
      <c r="BM12" s="185"/>
      <c r="BN12" s="185" t="s">
        <v>462</v>
      </c>
      <c r="BO12" s="185"/>
      <c r="BP12" s="185"/>
      <c r="BQ12" s="185"/>
      <c r="BR12" s="185"/>
      <c r="BS12" s="185"/>
      <c r="BT12" s="228"/>
      <c r="BU12" s="185"/>
      <c r="BV12" s="185"/>
      <c r="BW12" s="185"/>
      <c r="BX12" s="185"/>
      <c r="BY12" s="185"/>
      <c r="BZ12" s="185"/>
      <c r="CA12" s="185"/>
      <c r="CB12" s="185"/>
      <c r="CC12" s="185"/>
      <c r="CD12" s="185"/>
      <c r="CE12" s="185"/>
      <c r="CF12" s="185"/>
      <c r="CG12" s="185"/>
      <c r="CH12" s="185"/>
      <c r="CI12" s="185"/>
      <c r="CJ12" s="185"/>
      <c r="CK12" s="185"/>
      <c r="CL12" s="176" t="s">
        <v>432</v>
      </c>
      <c r="CM12" s="53"/>
      <c r="CN12" s="53"/>
      <c r="CO12" s="346" t="s">
        <v>393</v>
      </c>
      <c r="CP12" s="54"/>
      <c r="CQ12" s="340" t="s">
        <v>471</v>
      </c>
      <c r="CR12" s="185"/>
      <c r="CS12" s="185"/>
      <c r="CT12" s="185"/>
      <c r="CU12" s="185"/>
      <c r="CV12" s="185"/>
      <c r="CW12" s="185"/>
      <c r="CX12" s="185"/>
      <c r="CY12" s="185"/>
      <c r="CZ12" s="185"/>
      <c r="DA12" s="185" t="s">
        <v>386</v>
      </c>
      <c r="DB12" s="185"/>
      <c r="DC12" s="185"/>
      <c r="DD12" s="185"/>
      <c r="DE12" s="185"/>
      <c r="DF12" s="185"/>
      <c r="DG12" s="185"/>
      <c r="DH12" s="185"/>
      <c r="DI12" s="185"/>
      <c r="DJ12" s="185"/>
      <c r="DK12" s="185"/>
      <c r="DL12" s="185"/>
      <c r="DM12" s="185"/>
      <c r="DN12" s="185"/>
      <c r="DO12" s="185" t="s">
        <v>404</v>
      </c>
      <c r="DP12" s="185"/>
      <c r="DQ12" s="185"/>
      <c r="DR12" s="185"/>
      <c r="DS12" s="185"/>
      <c r="DT12" s="185"/>
      <c r="DU12" s="185"/>
      <c r="DV12" s="185"/>
      <c r="DW12" s="185"/>
      <c r="DX12" s="185"/>
      <c r="DY12" s="185"/>
      <c r="DZ12" s="185"/>
      <c r="EA12" s="185"/>
      <c r="EB12" s="185"/>
      <c r="EC12" s="185"/>
      <c r="ED12" s="185"/>
      <c r="EE12" s="185"/>
      <c r="EF12" s="185"/>
      <c r="EG12" s="185"/>
      <c r="EH12" s="274" t="s">
        <v>419</v>
      </c>
      <c r="EI12" s="185"/>
      <c r="EJ12" s="185"/>
      <c r="EK12" s="186"/>
      <c r="EL12" s="243" t="s">
        <v>411</v>
      </c>
      <c r="EM12" s="243"/>
      <c r="EN12" s="185"/>
      <c r="EO12" s="185"/>
      <c r="EP12" s="185"/>
      <c r="EQ12" s="185"/>
      <c r="ER12" s="185"/>
      <c r="ES12" s="185"/>
      <c r="ET12" s="185"/>
      <c r="EU12" s="185"/>
      <c r="EV12" s="185"/>
      <c r="EW12" s="185"/>
      <c r="EX12" s="185"/>
      <c r="EY12" s="185"/>
      <c r="EZ12" s="185"/>
      <c r="FA12" s="185"/>
      <c r="FB12" s="185"/>
      <c r="FC12" s="185"/>
      <c r="FD12" s="185"/>
      <c r="FE12" s="185"/>
      <c r="FF12" s="185"/>
      <c r="FG12" s="185"/>
      <c r="FH12" s="185"/>
      <c r="FI12" s="185"/>
      <c r="FJ12" s="185"/>
      <c r="FK12" s="185"/>
      <c r="FL12" s="185"/>
      <c r="FM12" s="185"/>
      <c r="FN12" s="185"/>
      <c r="FO12" s="185"/>
      <c r="FP12" s="185"/>
      <c r="FQ12" s="185"/>
      <c r="FR12" s="185"/>
      <c r="FS12" s="185"/>
      <c r="FT12" s="185"/>
      <c r="FU12" s="185"/>
      <c r="FV12" s="185"/>
      <c r="FW12" s="185"/>
      <c r="FX12" s="185"/>
      <c r="FY12" s="274" t="s">
        <v>386</v>
      </c>
      <c r="FZ12" s="185"/>
      <c r="GA12" s="228" t="s">
        <v>375</v>
      </c>
      <c r="GB12" s="185"/>
      <c r="GC12" s="185"/>
      <c r="GD12" s="354" t="s">
        <v>411</v>
      </c>
      <c r="GE12" s="185"/>
      <c r="GF12" s="228"/>
      <c r="GG12" s="228"/>
      <c r="GH12" s="228"/>
      <c r="GI12" s="228"/>
      <c r="GJ12" s="228"/>
      <c r="GK12" s="228"/>
      <c r="GL12" s="228"/>
      <c r="GM12" s="228"/>
      <c r="GN12" s="228" t="s">
        <v>375</v>
      </c>
      <c r="GO12" s="228"/>
      <c r="GP12" s="185"/>
      <c r="GQ12" s="185"/>
      <c r="GR12" s="185"/>
      <c r="GS12" s="185"/>
      <c r="GT12" s="185"/>
      <c r="GU12" s="185"/>
      <c r="GV12" s="185"/>
      <c r="GW12" s="185"/>
      <c r="GX12" s="185"/>
      <c r="GY12" s="228"/>
      <c r="GZ12" s="185"/>
      <c r="HA12" s="185"/>
      <c r="HB12" s="185"/>
      <c r="HC12" s="185"/>
      <c r="HD12" s="185"/>
      <c r="HE12" s="185"/>
      <c r="HF12" s="185"/>
      <c r="HG12" s="185"/>
      <c r="HH12" s="185"/>
      <c r="HI12" s="185"/>
      <c r="HJ12" s="185"/>
      <c r="HK12" s="185"/>
      <c r="HL12" s="185"/>
      <c r="HM12" s="185"/>
      <c r="HN12" s="185"/>
      <c r="HO12" s="185"/>
      <c r="HP12" s="185"/>
      <c r="HQ12" s="185"/>
      <c r="HR12" s="185"/>
      <c r="HS12" s="185"/>
      <c r="HT12" s="185" t="s">
        <v>393</v>
      </c>
      <c r="HU12" s="185"/>
      <c r="HV12" s="391"/>
      <c r="HW12" s="392"/>
      <c r="HX12" s="392"/>
      <c r="HY12" s="392"/>
      <c r="HZ12" s="392"/>
      <c r="IA12" s="392"/>
      <c r="IB12" s="392"/>
      <c r="IC12" s="392"/>
      <c r="ID12" s="392"/>
      <c r="IE12" s="392"/>
      <c r="IF12" s="392"/>
      <c r="IG12" s="392"/>
      <c r="IH12" s="392"/>
      <c r="II12" s="392"/>
      <c r="IJ12" s="392"/>
      <c r="IK12" s="392"/>
      <c r="IL12" s="392"/>
      <c r="IM12" s="392"/>
      <c r="IN12" s="392"/>
      <c r="IO12" s="392"/>
      <c r="IP12" s="392"/>
      <c r="IQ12" s="392"/>
      <c r="IR12" s="392"/>
      <c r="IS12" s="392"/>
      <c r="IT12" s="392"/>
      <c r="IU12" s="392"/>
      <c r="IV12" s="392"/>
      <c r="IW12" s="392"/>
      <c r="IX12" s="392"/>
      <c r="IY12" s="392"/>
      <c r="IZ12" s="392"/>
      <c r="JA12" s="392"/>
      <c r="JB12" s="392"/>
      <c r="JC12" s="392"/>
      <c r="JD12" s="392"/>
      <c r="JE12" s="392"/>
      <c r="JF12" s="392"/>
      <c r="JG12" s="392"/>
      <c r="JH12" s="392"/>
      <c r="JI12" s="392"/>
      <c r="JJ12" s="392"/>
      <c r="JK12" s="392"/>
      <c r="JL12" s="392"/>
      <c r="JM12" s="392"/>
      <c r="JN12" s="366"/>
      <c r="JO12" s="366"/>
      <c r="JP12" s="366"/>
      <c r="JQ12" s="366"/>
      <c r="JR12" s="366"/>
      <c r="JS12" s="366"/>
      <c r="JT12" s="366"/>
      <c r="JU12" s="366"/>
      <c r="JV12" s="366"/>
      <c r="JW12" s="366"/>
      <c r="JX12" s="366"/>
      <c r="JY12" s="366"/>
      <c r="JZ12" s="366"/>
      <c r="KA12" s="366"/>
      <c r="KB12" s="366"/>
      <c r="KC12" s="366"/>
      <c r="KD12" s="366"/>
      <c r="KE12" s="366"/>
      <c r="KF12" s="366"/>
      <c r="KG12" s="366"/>
      <c r="KH12" s="366"/>
      <c r="KI12" s="366"/>
      <c r="KJ12" s="366"/>
      <c r="KK12" s="366"/>
      <c r="KL12" s="366"/>
      <c r="KM12" s="366"/>
      <c r="KN12" s="366"/>
      <c r="KO12" s="366"/>
      <c r="KP12" s="366"/>
      <c r="KQ12" s="366"/>
      <c r="KR12" s="366"/>
      <c r="KS12" s="366"/>
      <c r="KT12" s="366"/>
      <c r="KU12" s="366"/>
      <c r="KV12" s="366"/>
      <c r="KW12" s="366"/>
      <c r="KX12" s="366"/>
      <c r="KY12" s="366"/>
      <c r="KZ12" s="366"/>
      <c r="LA12" s="366"/>
      <c r="LB12" s="366"/>
      <c r="LC12" s="366"/>
      <c r="LD12" s="366"/>
      <c r="LE12" s="366"/>
      <c r="LF12" s="52">
        <v>0.34375</v>
      </c>
    </row>
    <row r="13" spans="2:318" ht="10.5" customHeight="1">
      <c r="B13" s="49">
        <v>0.25</v>
      </c>
      <c r="C13" s="49">
        <v>0.25</v>
      </c>
      <c r="D13" s="49">
        <v>0.25</v>
      </c>
      <c r="E13" s="172">
        <v>0.33333333333333331</v>
      </c>
      <c r="F13" s="322" t="s">
        <v>462</v>
      </c>
      <c r="G13" s="185"/>
      <c r="H13" s="185"/>
      <c r="I13" s="185"/>
      <c r="J13" s="185"/>
      <c r="K13" s="185"/>
      <c r="L13" s="185"/>
      <c r="M13" s="185"/>
      <c r="N13" s="185"/>
      <c r="O13" s="185"/>
      <c r="P13" s="185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 t="s">
        <v>404</v>
      </c>
      <c r="AC13" s="185"/>
      <c r="AD13" s="185"/>
      <c r="AE13" s="185"/>
      <c r="AF13" s="185"/>
      <c r="AG13" s="185"/>
      <c r="AH13" s="185"/>
      <c r="AI13" s="185"/>
      <c r="AJ13" s="185"/>
      <c r="AK13" s="185"/>
      <c r="AL13" s="185"/>
      <c r="AM13" s="185"/>
      <c r="AN13" s="185"/>
      <c r="AO13" s="185"/>
      <c r="AP13" s="185"/>
      <c r="AQ13" s="324"/>
      <c r="AR13" s="324"/>
      <c r="AS13" s="324"/>
      <c r="AT13" s="53"/>
      <c r="AU13" s="228"/>
      <c r="AV13" s="228" t="s">
        <v>419</v>
      </c>
      <c r="AW13" s="185"/>
      <c r="AX13" s="50"/>
      <c r="AY13" s="228" t="s">
        <v>375</v>
      </c>
      <c r="AZ13" s="185"/>
      <c r="BA13" s="185"/>
      <c r="BB13" s="185"/>
      <c r="BC13" s="185"/>
      <c r="BD13" s="185"/>
      <c r="BE13" s="185"/>
      <c r="BF13" s="185"/>
      <c r="BG13" s="185"/>
      <c r="BH13" s="185"/>
      <c r="BI13" s="185"/>
      <c r="BJ13" s="185"/>
      <c r="BK13" s="228"/>
      <c r="BL13" s="185"/>
      <c r="BM13" s="185"/>
      <c r="BN13" s="185"/>
      <c r="BO13" s="185"/>
      <c r="BP13" s="185"/>
      <c r="BQ13" s="185"/>
      <c r="BR13" s="185"/>
      <c r="BS13" s="185"/>
      <c r="BT13" s="185"/>
      <c r="BU13" s="185"/>
      <c r="BV13" s="185"/>
      <c r="BW13" s="185"/>
      <c r="BX13" s="185"/>
      <c r="BY13" s="185"/>
      <c r="BZ13" s="185"/>
      <c r="CA13" s="185"/>
      <c r="CB13" s="185"/>
      <c r="CC13" s="185"/>
      <c r="CD13" s="185"/>
      <c r="CE13" s="185"/>
      <c r="CF13" s="185"/>
      <c r="CG13" s="185"/>
      <c r="CH13" s="185"/>
      <c r="CI13" s="185"/>
      <c r="CJ13" s="185"/>
      <c r="CK13" s="185"/>
      <c r="CL13" s="176"/>
      <c r="CM13" s="53"/>
      <c r="CN13" s="53"/>
      <c r="CO13" s="346"/>
      <c r="CP13" s="347" t="s">
        <v>462</v>
      </c>
      <c r="CQ13" s="340" t="s">
        <v>471</v>
      </c>
      <c r="CR13" s="185"/>
      <c r="CS13" s="185"/>
      <c r="CT13" s="185"/>
      <c r="CU13" s="185"/>
      <c r="CV13" s="185"/>
      <c r="CW13" s="185"/>
      <c r="CX13" s="185"/>
      <c r="CY13" s="185"/>
      <c r="CZ13" s="185"/>
      <c r="DA13" s="185" t="s">
        <v>386</v>
      </c>
      <c r="DB13" s="185"/>
      <c r="DC13" s="185"/>
      <c r="DD13" s="185"/>
      <c r="DE13" s="185"/>
      <c r="DF13" s="185"/>
      <c r="DG13" s="185"/>
      <c r="DH13" s="185"/>
      <c r="DI13" s="185"/>
      <c r="DJ13" s="185"/>
      <c r="DK13" s="185"/>
      <c r="DL13" s="185"/>
      <c r="DM13" s="185"/>
      <c r="DN13" s="185"/>
      <c r="DO13" s="185"/>
      <c r="DP13" s="185"/>
      <c r="DQ13" s="185"/>
      <c r="DR13" s="185"/>
      <c r="DS13" s="185"/>
      <c r="DT13" s="185"/>
      <c r="DU13" s="185"/>
      <c r="DV13" s="185"/>
      <c r="DW13" s="185"/>
      <c r="DX13" s="185"/>
      <c r="DY13" s="185"/>
      <c r="DZ13" s="185"/>
      <c r="EA13" s="185"/>
      <c r="EB13" s="185"/>
      <c r="EC13" s="185"/>
      <c r="ED13" s="185"/>
      <c r="EE13" s="185"/>
      <c r="EF13" s="185"/>
      <c r="EG13" s="228" t="s">
        <v>419</v>
      </c>
      <c r="EH13" s="228"/>
      <c r="EI13" s="185"/>
      <c r="EJ13" s="185"/>
      <c r="EK13" s="278" t="s">
        <v>404</v>
      </c>
      <c r="EL13" s="243" t="s">
        <v>411</v>
      </c>
      <c r="EM13" s="243"/>
      <c r="EN13" s="185"/>
      <c r="EO13" s="185"/>
      <c r="EP13" s="185"/>
      <c r="EQ13" s="185"/>
      <c r="ER13" s="185"/>
      <c r="ES13" s="185"/>
      <c r="ET13" s="185"/>
      <c r="EU13" s="185"/>
      <c r="EV13" s="185"/>
      <c r="EW13" s="185"/>
      <c r="EX13" s="185"/>
      <c r="EY13" s="185"/>
      <c r="EZ13" s="185"/>
      <c r="FA13" s="185" t="s">
        <v>386</v>
      </c>
      <c r="FB13" s="185"/>
      <c r="FC13" s="185"/>
      <c r="FD13" s="185"/>
      <c r="FE13" s="185"/>
      <c r="FF13" s="185"/>
      <c r="FG13" s="185"/>
      <c r="FH13" s="185"/>
      <c r="FI13" s="185"/>
      <c r="FJ13" s="185"/>
      <c r="FK13" s="185"/>
      <c r="FL13" s="185"/>
      <c r="FM13" s="185"/>
      <c r="FN13" s="185"/>
      <c r="FO13" s="185"/>
      <c r="FP13" s="185"/>
      <c r="FQ13" s="185"/>
      <c r="FR13" s="185"/>
      <c r="FS13" s="185"/>
      <c r="FT13" s="185"/>
      <c r="FU13" s="185"/>
      <c r="FV13" s="185"/>
      <c r="FW13" s="185"/>
      <c r="FX13" s="185"/>
      <c r="FY13" s="228"/>
      <c r="FZ13" s="185"/>
      <c r="GA13" s="228"/>
      <c r="GB13" s="185"/>
      <c r="GC13" s="228" t="s">
        <v>375</v>
      </c>
      <c r="GD13" s="327" t="s">
        <v>375</v>
      </c>
      <c r="GE13" s="185"/>
      <c r="GF13" s="228"/>
      <c r="GG13" s="228"/>
      <c r="GH13" s="228"/>
      <c r="GI13" s="228"/>
      <c r="GJ13" s="228"/>
      <c r="GK13" s="228"/>
      <c r="GL13" s="228"/>
      <c r="GM13" s="228" t="s">
        <v>411</v>
      </c>
      <c r="GN13" s="228"/>
      <c r="GO13" s="185"/>
      <c r="GP13" s="185"/>
      <c r="GQ13" s="185"/>
      <c r="GR13" s="185"/>
      <c r="GS13" s="185"/>
      <c r="GT13" s="185"/>
      <c r="GU13" s="185"/>
      <c r="GV13" s="185"/>
      <c r="GW13" s="185"/>
      <c r="GX13" s="185"/>
      <c r="GY13" s="228"/>
      <c r="GZ13" s="185"/>
      <c r="HA13" s="185"/>
      <c r="HB13" s="185"/>
      <c r="HC13" s="185"/>
      <c r="HD13" s="185"/>
      <c r="HE13" s="185"/>
      <c r="HF13" s="185"/>
      <c r="HG13" s="185"/>
      <c r="HH13" s="185"/>
      <c r="HI13" s="185"/>
      <c r="HJ13" s="185"/>
      <c r="HK13" s="185"/>
      <c r="HL13" s="185"/>
      <c r="HM13" s="185"/>
      <c r="HN13" s="185"/>
      <c r="HO13" s="185"/>
      <c r="HP13" s="185"/>
      <c r="HQ13" s="185"/>
      <c r="HR13" s="185"/>
      <c r="HS13" s="185"/>
      <c r="HT13" s="185"/>
      <c r="HU13" s="185"/>
      <c r="HV13" s="228" t="s">
        <v>462</v>
      </c>
      <c r="HW13" s="330"/>
      <c r="HX13" s="330"/>
      <c r="HY13" s="330"/>
      <c r="HZ13" s="330"/>
      <c r="IA13" s="330"/>
      <c r="IB13" s="330"/>
      <c r="IC13" s="330"/>
      <c r="ID13" s="330"/>
      <c r="IE13" s="330"/>
      <c r="IF13" s="330"/>
      <c r="IG13" s="330"/>
      <c r="IH13" s="330"/>
      <c r="II13" s="330"/>
      <c r="IJ13" s="330"/>
      <c r="IK13" s="330"/>
      <c r="IL13" s="330"/>
      <c r="IM13" s="330"/>
      <c r="IN13" s="330"/>
      <c r="IO13" s="330"/>
      <c r="IP13" s="330"/>
      <c r="IQ13" s="330"/>
      <c r="IR13" s="330"/>
      <c r="IS13" s="330"/>
      <c r="IT13" s="330"/>
      <c r="IU13" s="330"/>
      <c r="IV13" s="330"/>
      <c r="IW13" s="330"/>
      <c r="IX13" s="330"/>
      <c r="IY13" s="330"/>
      <c r="IZ13" s="330"/>
      <c r="JA13" s="330"/>
      <c r="JB13" s="330"/>
      <c r="JC13" s="330"/>
      <c r="JD13" s="330"/>
      <c r="JE13" s="330"/>
      <c r="JF13" s="330"/>
      <c r="JG13" s="330"/>
      <c r="JH13" s="330"/>
      <c r="JI13" s="330"/>
      <c r="JJ13" s="330"/>
      <c r="JK13" s="330"/>
      <c r="JL13" s="330"/>
      <c r="JM13" s="330"/>
      <c r="JN13" s="366"/>
      <c r="JO13" s="366"/>
      <c r="JP13" s="366"/>
      <c r="JQ13" s="366"/>
      <c r="JR13" s="366"/>
      <c r="JS13" s="366"/>
      <c r="JT13" s="366"/>
      <c r="JU13" s="366"/>
      <c r="JV13" s="366"/>
      <c r="JW13" s="366"/>
      <c r="JX13" s="366"/>
      <c r="JY13" s="366"/>
      <c r="JZ13" s="366"/>
      <c r="KA13" s="366"/>
      <c r="KB13" s="366"/>
      <c r="KC13" s="366"/>
      <c r="KD13" s="366"/>
      <c r="KE13" s="366"/>
      <c r="KF13" s="366"/>
      <c r="KG13" s="366"/>
      <c r="KH13" s="366"/>
      <c r="KI13" s="366"/>
      <c r="KJ13" s="366"/>
      <c r="KK13" s="366"/>
      <c r="KL13" s="366"/>
      <c r="KM13" s="366"/>
      <c r="KN13" s="366"/>
      <c r="KO13" s="366"/>
      <c r="KP13" s="366"/>
      <c r="KQ13" s="366"/>
      <c r="KR13" s="366"/>
      <c r="KS13" s="366"/>
      <c r="KT13" s="366"/>
      <c r="KU13" s="366"/>
      <c r="KV13" s="366"/>
      <c r="KW13" s="366"/>
      <c r="KX13" s="366"/>
      <c r="KY13" s="366"/>
      <c r="KZ13" s="366"/>
      <c r="LA13" s="366"/>
      <c r="LB13" s="366"/>
      <c r="LC13" s="366"/>
      <c r="LD13" s="366"/>
      <c r="LE13" s="366"/>
      <c r="LF13" s="52">
        <v>0.35416666666666602</v>
      </c>
    </row>
    <row r="14" spans="2:318" ht="10.5" customHeight="1">
      <c r="B14" s="49">
        <v>0.25</v>
      </c>
      <c r="C14" s="49">
        <v>0.25</v>
      </c>
      <c r="D14" s="49">
        <v>0.25</v>
      </c>
      <c r="E14" s="172">
        <v>0.34375</v>
      </c>
      <c r="F14" s="322" t="s">
        <v>462</v>
      </c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 t="s">
        <v>404</v>
      </c>
      <c r="AC14" s="185"/>
      <c r="AD14" s="185"/>
      <c r="AE14" s="185"/>
      <c r="AF14" s="185"/>
      <c r="AG14" s="185"/>
      <c r="AH14" s="185"/>
      <c r="AI14" s="185"/>
      <c r="AJ14" s="185"/>
      <c r="AK14" s="185"/>
      <c r="AL14" s="185"/>
      <c r="AM14" s="185"/>
      <c r="AN14" s="185"/>
      <c r="AO14" s="185"/>
      <c r="AP14" s="185"/>
      <c r="AQ14" s="324"/>
      <c r="AR14" s="324"/>
      <c r="AS14" s="324"/>
      <c r="AT14" s="185"/>
      <c r="AU14" s="185"/>
      <c r="AV14" s="228" t="s">
        <v>419</v>
      </c>
      <c r="AW14" s="185"/>
      <c r="AX14" s="50"/>
      <c r="AY14" s="228" t="s">
        <v>375</v>
      </c>
      <c r="AZ14" s="185"/>
      <c r="BA14" s="185"/>
      <c r="BB14" s="185"/>
      <c r="BC14" s="185"/>
      <c r="BD14" s="185"/>
      <c r="BE14" s="185"/>
      <c r="BF14" s="185"/>
      <c r="BG14" s="185"/>
      <c r="BH14" s="185"/>
      <c r="BI14" s="185"/>
      <c r="BJ14" s="185"/>
      <c r="BK14" s="185"/>
      <c r="BL14" s="185"/>
      <c r="BM14" s="185"/>
      <c r="BN14" s="185"/>
      <c r="BO14" s="185"/>
      <c r="BP14" s="185"/>
      <c r="BQ14" s="185"/>
      <c r="BR14" s="185"/>
      <c r="BS14" s="185"/>
      <c r="BT14" s="185"/>
      <c r="BU14" s="185"/>
      <c r="BV14" s="185"/>
      <c r="BW14" s="185"/>
      <c r="BX14" s="185"/>
      <c r="BY14" s="185"/>
      <c r="BZ14" s="185"/>
      <c r="CA14" s="185"/>
      <c r="CB14" s="185"/>
      <c r="CC14" s="185"/>
      <c r="CD14" s="185"/>
      <c r="CE14" s="185"/>
      <c r="CF14" s="185"/>
      <c r="CG14" s="185"/>
      <c r="CH14" s="185"/>
      <c r="CI14" s="185"/>
      <c r="CJ14" s="185"/>
      <c r="CK14" s="185"/>
      <c r="CL14" s="53"/>
      <c r="CM14" s="53"/>
      <c r="CN14" s="53"/>
      <c r="CO14" s="53"/>
      <c r="CP14" s="347" t="s">
        <v>462</v>
      </c>
      <c r="CQ14" s="340" t="s">
        <v>471</v>
      </c>
      <c r="CR14" s="185"/>
      <c r="CS14" s="185"/>
      <c r="CT14" s="185"/>
      <c r="CU14" s="185"/>
      <c r="CV14" s="185"/>
      <c r="CW14" s="185"/>
      <c r="CX14" s="185"/>
      <c r="CY14" s="185"/>
      <c r="CZ14" s="185"/>
      <c r="DA14" s="185" t="s">
        <v>386</v>
      </c>
      <c r="DB14" s="185"/>
      <c r="DC14" s="185"/>
      <c r="DD14" s="185"/>
      <c r="DE14" s="185"/>
      <c r="DF14" s="185"/>
      <c r="DG14" s="185"/>
      <c r="DH14" s="185"/>
      <c r="DI14" s="185"/>
      <c r="DJ14" s="185"/>
      <c r="DK14" s="185"/>
      <c r="DL14" s="185"/>
      <c r="DM14" s="185"/>
      <c r="DN14" s="185"/>
      <c r="DO14" s="185"/>
      <c r="DP14" s="185"/>
      <c r="DQ14" s="185"/>
      <c r="DR14" s="185"/>
      <c r="DS14" s="185"/>
      <c r="DT14" s="185"/>
      <c r="DU14" s="185"/>
      <c r="DV14" s="185"/>
      <c r="DW14" s="185"/>
      <c r="DX14" s="185"/>
      <c r="DY14" s="185"/>
      <c r="DZ14" s="185"/>
      <c r="EA14" s="185"/>
      <c r="EB14" s="185"/>
      <c r="EC14" s="185"/>
      <c r="ED14" s="185"/>
      <c r="EE14" s="185"/>
      <c r="EF14" s="185"/>
      <c r="EG14" s="228" t="s">
        <v>419</v>
      </c>
      <c r="EH14" s="185"/>
      <c r="EI14" s="185"/>
      <c r="EJ14" s="185"/>
      <c r="EK14" s="278" t="s">
        <v>404</v>
      </c>
      <c r="EL14" s="243" t="s">
        <v>386</v>
      </c>
      <c r="EM14" s="243"/>
      <c r="EN14" s="185"/>
      <c r="EO14" s="185"/>
      <c r="EP14" s="185"/>
      <c r="EQ14" s="185"/>
      <c r="ER14" s="185"/>
      <c r="ES14" s="185"/>
      <c r="ET14" s="185" t="s">
        <v>411</v>
      </c>
      <c r="EU14" s="185"/>
      <c r="EV14" s="185"/>
      <c r="EW14" s="185"/>
      <c r="EX14" s="185"/>
      <c r="EY14" s="185"/>
      <c r="EZ14" s="185"/>
      <c r="FA14" s="185"/>
      <c r="FB14" s="185"/>
      <c r="FC14" s="185"/>
      <c r="FD14" s="185"/>
      <c r="FE14" s="185"/>
      <c r="FF14" s="185"/>
      <c r="FG14" s="185"/>
      <c r="FH14" s="185"/>
      <c r="FI14" s="185"/>
      <c r="FJ14" s="185"/>
      <c r="FK14" s="185"/>
      <c r="FL14" s="185"/>
      <c r="FM14" s="185"/>
      <c r="FN14" s="185"/>
      <c r="FO14" s="185"/>
      <c r="FP14" s="185"/>
      <c r="FQ14" s="185"/>
      <c r="FR14" s="185"/>
      <c r="FS14" s="185"/>
      <c r="FT14" s="185"/>
      <c r="FU14" s="185"/>
      <c r="FV14" s="185"/>
      <c r="FW14" s="185"/>
      <c r="FX14" s="185"/>
      <c r="FY14" s="185"/>
      <c r="FZ14" s="185"/>
      <c r="GA14" s="185"/>
      <c r="GB14" s="185"/>
      <c r="GC14" s="228" t="s">
        <v>375</v>
      </c>
      <c r="GD14" s="327" t="s">
        <v>375</v>
      </c>
      <c r="GE14" s="185"/>
      <c r="GF14" s="228"/>
      <c r="GG14" s="228"/>
      <c r="GH14" s="228"/>
      <c r="GI14" s="228"/>
      <c r="GJ14" s="228"/>
      <c r="GK14" s="228"/>
      <c r="GL14" s="228"/>
      <c r="GM14" s="228" t="s">
        <v>411</v>
      </c>
      <c r="GN14" s="228"/>
      <c r="GO14" s="185"/>
      <c r="GP14" s="185"/>
      <c r="GQ14" s="185"/>
      <c r="GR14" s="185"/>
      <c r="GS14" s="185"/>
      <c r="GT14" s="185"/>
      <c r="GU14" s="185"/>
      <c r="GV14" s="185"/>
      <c r="GW14" s="185"/>
      <c r="GX14" s="185"/>
      <c r="GY14" s="228"/>
      <c r="GZ14" s="185"/>
      <c r="HA14" s="185"/>
      <c r="HB14" s="185"/>
      <c r="HC14" s="185"/>
      <c r="HD14" s="185"/>
      <c r="HE14" s="185"/>
      <c r="HF14" s="185"/>
      <c r="HG14" s="185"/>
      <c r="HH14" s="185"/>
      <c r="HI14" s="185"/>
      <c r="HJ14" s="185"/>
      <c r="HK14" s="185"/>
      <c r="HL14" s="185"/>
      <c r="HM14" s="185"/>
      <c r="HN14" s="185"/>
      <c r="HO14" s="185"/>
      <c r="HP14" s="185"/>
      <c r="HQ14" s="185"/>
      <c r="HR14" s="185"/>
      <c r="HS14" s="185"/>
      <c r="HT14" s="185"/>
      <c r="HU14" s="185"/>
      <c r="HV14" s="228" t="s">
        <v>462</v>
      </c>
      <c r="HW14" s="330"/>
      <c r="HX14" s="330"/>
      <c r="HY14" s="330"/>
      <c r="HZ14" s="330"/>
      <c r="IA14" s="330"/>
      <c r="IB14" s="330"/>
      <c r="IC14" s="330"/>
      <c r="ID14" s="330"/>
      <c r="IE14" s="330"/>
      <c r="IF14" s="330"/>
      <c r="IG14" s="330"/>
      <c r="IH14" s="330"/>
      <c r="II14" s="330"/>
      <c r="IJ14" s="330"/>
      <c r="IK14" s="330"/>
      <c r="IL14" s="330"/>
      <c r="IM14" s="330"/>
      <c r="IN14" s="330"/>
      <c r="IO14" s="330"/>
      <c r="IP14" s="330"/>
      <c r="IQ14" s="330"/>
      <c r="IR14" s="330"/>
      <c r="IS14" s="330"/>
      <c r="IT14" s="330"/>
      <c r="IU14" s="330"/>
      <c r="IV14" s="330"/>
      <c r="IW14" s="330"/>
      <c r="IX14" s="330"/>
      <c r="IY14" s="330"/>
      <c r="IZ14" s="330"/>
      <c r="JA14" s="330"/>
      <c r="JB14" s="330"/>
      <c r="JC14" s="330"/>
      <c r="JD14" s="330"/>
      <c r="JE14" s="330"/>
      <c r="JF14" s="330"/>
      <c r="JG14" s="330"/>
      <c r="JH14" s="330"/>
      <c r="JI14" s="330"/>
      <c r="JJ14" s="330"/>
      <c r="JK14" s="330"/>
      <c r="JL14" s="330"/>
      <c r="JM14" s="330"/>
      <c r="JN14" s="366"/>
      <c r="JO14" s="366"/>
      <c r="JP14" s="366"/>
      <c r="JQ14" s="366"/>
      <c r="JR14" s="366"/>
      <c r="JS14" s="366"/>
      <c r="JT14" s="366"/>
      <c r="JU14" s="366"/>
      <c r="JV14" s="366"/>
      <c r="JW14" s="366"/>
      <c r="JX14" s="366"/>
      <c r="JY14" s="366"/>
      <c r="JZ14" s="366"/>
      <c r="KA14" s="366"/>
      <c r="KB14" s="366"/>
      <c r="KC14" s="366"/>
      <c r="KD14" s="366"/>
      <c r="KE14" s="366"/>
      <c r="KF14" s="366"/>
      <c r="KG14" s="366"/>
      <c r="KH14" s="366"/>
      <c r="KI14" s="366"/>
      <c r="KJ14" s="366"/>
      <c r="KK14" s="366"/>
      <c r="KL14" s="366"/>
      <c r="KM14" s="366"/>
      <c r="KN14" s="366"/>
      <c r="KO14" s="366"/>
      <c r="KP14" s="366"/>
      <c r="KQ14" s="366"/>
      <c r="KR14" s="366"/>
      <c r="KS14" s="366"/>
      <c r="KT14" s="366"/>
      <c r="KU14" s="366"/>
      <c r="KV14" s="366"/>
      <c r="KW14" s="366"/>
      <c r="KX14" s="366"/>
      <c r="KY14" s="366"/>
      <c r="KZ14" s="366"/>
      <c r="LA14" s="366"/>
      <c r="LB14" s="366"/>
      <c r="LC14" s="366"/>
      <c r="LD14" s="366"/>
      <c r="LE14" s="366"/>
      <c r="LF14" s="52">
        <v>0.36458333333333298</v>
      </c>
    </row>
    <row r="15" spans="2:318" ht="10.5" customHeight="1">
      <c r="B15" s="49">
        <v>0.25</v>
      </c>
      <c r="C15" s="49">
        <v>0.25</v>
      </c>
      <c r="D15" s="49">
        <v>0.25</v>
      </c>
      <c r="E15" s="172">
        <v>0.35416666666666669</v>
      </c>
      <c r="F15" s="322" t="s">
        <v>462</v>
      </c>
      <c r="G15" s="185"/>
      <c r="H15" s="185"/>
      <c r="I15" s="185"/>
      <c r="J15" s="185"/>
      <c r="K15" s="185"/>
      <c r="L15" s="185"/>
      <c r="M15" s="185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 t="s">
        <v>404</v>
      </c>
      <c r="AC15" s="185"/>
      <c r="AD15" s="185"/>
      <c r="AE15" s="185"/>
      <c r="AF15" s="185"/>
      <c r="AG15" s="185"/>
      <c r="AH15" s="185"/>
      <c r="AI15" s="185"/>
      <c r="AJ15" s="185"/>
      <c r="AK15" s="185"/>
      <c r="AL15" s="185"/>
      <c r="AM15" s="185"/>
      <c r="AN15" s="185"/>
      <c r="AO15" s="185"/>
      <c r="AP15" s="185"/>
      <c r="AQ15" s="324"/>
      <c r="AR15" s="324"/>
      <c r="AS15" s="324"/>
      <c r="AT15" s="185"/>
      <c r="AU15" s="185"/>
      <c r="AV15" s="228" t="s">
        <v>419</v>
      </c>
      <c r="AW15" s="185"/>
      <c r="AX15" s="50"/>
      <c r="AY15" s="228" t="s">
        <v>375</v>
      </c>
      <c r="AZ15" s="185"/>
      <c r="BA15" s="185"/>
      <c r="BB15" s="185"/>
      <c r="BC15" s="185"/>
      <c r="BD15" s="185"/>
      <c r="BE15" s="185"/>
      <c r="BF15" s="185"/>
      <c r="BG15" s="185"/>
      <c r="BH15" s="185"/>
      <c r="BI15" s="185"/>
      <c r="BJ15" s="185"/>
      <c r="BK15" s="185"/>
      <c r="BL15" s="185"/>
      <c r="BM15" s="185"/>
      <c r="BN15" s="185"/>
      <c r="BO15" s="185"/>
      <c r="BP15" s="185"/>
      <c r="BQ15" s="185"/>
      <c r="BR15" s="185"/>
      <c r="BS15" s="185"/>
      <c r="BT15" s="185"/>
      <c r="BU15" s="185"/>
      <c r="BV15" s="185"/>
      <c r="BW15" s="185"/>
      <c r="BX15" s="185"/>
      <c r="BY15" s="185"/>
      <c r="BZ15" s="185"/>
      <c r="CA15" s="185"/>
      <c r="CB15" s="185"/>
      <c r="CC15" s="185"/>
      <c r="CD15" s="185"/>
      <c r="CE15" s="185"/>
      <c r="CF15" s="185"/>
      <c r="CG15" s="185"/>
      <c r="CH15" s="185"/>
      <c r="CI15" s="185"/>
      <c r="CJ15" s="185"/>
      <c r="CK15" s="185"/>
      <c r="CL15" s="53"/>
      <c r="CM15" s="53"/>
      <c r="CN15" s="53"/>
      <c r="CO15" s="53"/>
      <c r="CP15" s="347" t="s">
        <v>462</v>
      </c>
      <c r="CQ15" s="340" t="s">
        <v>471</v>
      </c>
      <c r="CR15" s="185"/>
      <c r="CS15" s="185"/>
      <c r="CT15" s="185"/>
      <c r="CU15" s="185"/>
      <c r="CV15" s="185"/>
      <c r="CW15" s="185"/>
      <c r="CX15" s="185"/>
      <c r="CY15" s="185"/>
      <c r="CZ15" s="185"/>
      <c r="DA15" s="185"/>
      <c r="DB15" s="185"/>
      <c r="DC15" s="185"/>
      <c r="DD15" s="185"/>
      <c r="DE15" s="185"/>
      <c r="DF15" s="185" t="s">
        <v>386</v>
      </c>
      <c r="DG15" s="185"/>
      <c r="DH15" s="185"/>
      <c r="DI15" s="185"/>
      <c r="DJ15" s="185"/>
      <c r="DK15" s="185"/>
      <c r="DL15" s="185"/>
      <c r="DM15" s="185"/>
      <c r="DN15" s="185"/>
      <c r="DO15" s="185"/>
      <c r="DP15" s="185"/>
      <c r="DQ15" s="185"/>
      <c r="DR15" s="185"/>
      <c r="DS15" s="185"/>
      <c r="DT15" s="185"/>
      <c r="DU15" s="228"/>
      <c r="DV15" s="228"/>
      <c r="DW15" s="228"/>
      <c r="DX15" s="228"/>
      <c r="DY15" s="228"/>
      <c r="DZ15" s="228"/>
      <c r="EA15" s="228"/>
      <c r="EB15" s="228"/>
      <c r="EC15" s="185"/>
      <c r="ED15" s="185"/>
      <c r="EE15" s="185"/>
      <c r="EF15" s="185"/>
      <c r="EG15" s="228" t="s">
        <v>419</v>
      </c>
      <c r="EH15" s="185"/>
      <c r="EI15" s="185"/>
      <c r="EJ15" s="185"/>
      <c r="EK15" s="278" t="s">
        <v>404</v>
      </c>
      <c r="EL15" s="185" t="s">
        <v>386</v>
      </c>
      <c r="EM15" s="243"/>
      <c r="EN15" s="185"/>
      <c r="EO15" s="185"/>
      <c r="EP15" s="185"/>
      <c r="EQ15" s="185"/>
      <c r="ER15" s="185"/>
      <c r="ES15" s="185"/>
      <c r="ET15" s="185" t="s">
        <v>411</v>
      </c>
      <c r="EU15" s="185"/>
      <c r="EV15" s="185"/>
      <c r="EW15" s="185"/>
      <c r="EX15" s="185"/>
      <c r="EY15" s="185"/>
      <c r="EZ15" s="185"/>
      <c r="FA15" s="185"/>
      <c r="FB15" s="185"/>
      <c r="FC15" s="185"/>
      <c r="FD15" s="185"/>
      <c r="FE15" s="185"/>
      <c r="FF15" s="185"/>
      <c r="FG15" s="185"/>
      <c r="FH15" s="185"/>
      <c r="FI15" s="185"/>
      <c r="FJ15" s="185"/>
      <c r="FK15" s="185"/>
      <c r="FL15" s="185"/>
      <c r="FM15" s="185"/>
      <c r="FN15" s="185"/>
      <c r="FO15" s="185"/>
      <c r="FP15" s="185"/>
      <c r="FQ15" s="185"/>
      <c r="FR15" s="185"/>
      <c r="FS15" s="185"/>
      <c r="FT15" s="185"/>
      <c r="FU15" s="185"/>
      <c r="FV15" s="185"/>
      <c r="FW15" s="185"/>
      <c r="FX15" s="185"/>
      <c r="FY15" s="185"/>
      <c r="FZ15" s="185"/>
      <c r="GA15" s="185"/>
      <c r="GB15" s="185"/>
      <c r="GC15" s="228" t="s">
        <v>375</v>
      </c>
      <c r="GD15" s="185" t="s">
        <v>411</v>
      </c>
      <c r="GE15" s="185"/>
      <c r="GF15" s="185"/>
      <c r="GG15" s="185"/>
      <c r="GH15" s="185"/>
      <c r="GI15" s="185"/>
      <c r="GJ15" s="185"/>
      <c r="GK15" s="185"/>
      <c r="GL15" s="185"/>
      <c r="GM15" s="185"/>
      <c r="GN15" s="295" t="s">
        <v>375</v>
      </c>
      <c r="GO15" s="185"/>
      <c r="GP15" s="185"/>
      <c r="GQ15" s="185"/>
      <c r="GR15" s="185"/>
      <c r="GS15" s="185"/>
      <c r="GT15" s="185"/>
      <c r="GU15" s="185"/>
      <c r="GV15" s="185"/>
      <c r="GW15" s="185"/>
      <c r="GX15" s="185"/>
      <c r="GY15" s="228"/>
      <c r="GZ15" s="185"/>
      <c r="HA15" s="185"/>
      <c r="HB15" s="185"/>
      <c r="HC15" s="185"/>
      <c r="HD15" s="185"/>
      <c r="HE15" s="185"/>
      <c r="HF15" s="185"/>
      <c r="HG15" s="185"/>
      <c r="HH15" s="185"/>
      <c r="HI15" s="185"/>
      <c r="HJ15" s="185"/>
      <c r="HK15" s="185"/>
      <c r="HL15" s="185"/>
      <c r="HM15" s="185"/>
      <c r="HN15" s="185"/>
      <c r="HO15" s="185"/>
      <c r="HP15" s="185"/>
      <c r="HQ15" s="185"/>
      <c r="HR15" s="185"/>
      <c r="HS15" s="185"/>
      <c r="HT15" s="185"/>
      <c r="HU15" s="185"/>
      <c r="HV15" s="228" t="s">
        <v>462</v>
      </c>
      <c r="HW15" s="330"/>
      <c r="HX15" s="330"/>
      <c r="HY15" s="330"/>
      <c r="HZ15" s="330"/>
      <c r="IA15" s="330"/>
      <c r="IB15" s="330"/>
      <c r="IC15" s="330"/>
      <c r="ID15" s="330"/>
      <c r="IE15" s="330"/>
      <c r="IF15" s="330"/>
      <c r="IG15" s="330"/>
      <c r="IH15" s="330"/>
      <c r="II15" s="330"/>
      <c r="IJ15" s="330"/>
      <c r="IK15" s="330"/>
      <c r="IL15" s="330"/>
      <c r="IM15" s="330"/>
      <c r="IN15" s="330"/>
      <c r="IO15" s="330"/>
      <c r="IP15" s="330"/>
      <c r="IQ15" s="330"/>
      <c r="IR15" s="330"/>
      <c r="IS15" s="330"/>
      <c r="IT15" s="330"/>
      <c r="IU15" s="330"/>
      <c r="IV15" s="330"/>
      <c r="IW15" s="330"/>
      <c r="IX15" s="330"/>
      <c r="IY15" s="330"/>
      <c r="IZ15" s="330"/>
      <c r="JA15" s="330"/>
      <c r="JB15" s="330"/>
      <c r="JC15" s="330"/>
      <c r="JD15" s="330"/>
      <c r="JE15" s="330"/>
      <c r="JF15" s="330"/>
      <c r="JG15" s="330"/>
      <c r="JH15" s="330"/>
      <c r="JI15" s="330"/>
      <c r="JJ15" s="330"/>
      <c r="JK15" s="330"/>
      <c r="JL15" s="330"/>
      <c r="JM15" s="330"/>
      <c r="JN15" s="366"/>
      <c r="JO15" s="366"/>
      <c r="JP15" s="366"/>
      <c r="JQ15" s="366"/>
      <c r="JR15" s="366"/>
      <c r="JS15" s="366"/>
      <c r="JT15" s="366"/>
      <c r="JU15" s="366"/>
      <c r="JV15" s="366"/>
      <c r="JW15" s="366"/>
      <c r="JX15" s="366"/>
      <c r="JY15" s="366"/>
      <c r="JZ15" s="366"/>
      <c r="KA15" s="366"/>
      <c r="KB15" s="366"/>
      <c r="KC15" s="366"/>
      <c r="KD15" s="366"/>
      <c r="KE15" s="366"/>
      <c r="KF15" s="366"/>
      <c r="KG15" s="366"/>
      <c r="KH15" s="366"/>
      <c r="KI15" s="366"/>
      <c r="KJ15" s="366"/>
      <c r="KK15" s="366"/>
      <c r="KL15" s="366"/>
      <c r="KM15" s="366"/>
      <c r="KN15" s="366"/>
      <c r="KO15" s="366"/>
      <c r="KP15" s="366"/>
      <c r="KQ15" s="366"/>
      <c r="KR15" s="366"/>
      <c r="KS15" s="366"/>
      <c r="KT15" s="366"/>
      <c r="KU15" s="366"/>
      <c r="KV15" s="366"/>
      <c r="KW15" s="366"/>
      <c r="KX15" s="366"/>
      <c r="KY15" s="366"/>
      <c r="KZ15" s="366"/>
      <c r="LA15" s="366"/>
      <c r="LB15" s="366"/>
      <c r="LC15" s="366"/>
      <c r="LD15" s="366"/>
      <c r="LE15" s="366"/>
      <c r="LF15" s="233">
        <v>0.375</v>
      </c>
    </row>
    <row r="16" spans="2:318" ht="10.5" customHeight="1">
      <c r="B16" s="49">
        <v>0.25</v>
      </c>
      <c r="C16" s="49">
        <v>0.25</v>
      </c>
      <c r="D16" s="49">
        <v>0.25</v>
      </c>
      <c r="E16" s="172">
        <v>0.36458333333333331</v>
      </c>
      <c r="F16" s="322" t="s">
        <v>462</v>
      </c>
      <c r="G16" s="185"/>
      <c r="H16" s="185"/>
      <c r="I16" s="185"/>
      <c r="J16" s="185"/>
      <c r="K16" s="185"/>
      <c r="L16" s="185"/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 t="s">
        <v>404</v>
      </c>
      <c r="AC16" s="185"/>
      <c r="AD16" s="185"/>
      <c r="AE16" s="185"/>
      <c r="AF16" s="185"/>
      <c r="AG16" s="185"/>
      <c r="AH16" s="185"/>
      <c r="AI16" s="185"/>
      <c r="AJ16" s="185"/>
      <c r="AK16" s="185"/>
      <c r="AL16" s="185"/>
      <c r="AM16" s="185"/>
      <c r="AN16" s="185"/>
      <c r="AO16" s="185"/>
      <c r="AP16" s="185"/>
      <c r="AQ16" s="324"/>
      <c r="AR16" s="324"/>
      <c r="AS16" s="324"/>
      <c r="AT16" s="185"/>
      <c r="AU16" s="185"/>
      <c r="AV16" s="228" t="s">
        <v>419</v>
      </c>
      <c r="AW16" s="185"/>
      <c r="AX16" s="50"/>
      <c r="AY16" s="228" t="s">
        <v>375</v>
      </c>
      <c r="AZ16" s="185"/>
      <c r="BA16" s="185"/>
      <c r="BB16" s="185"/>
      <c r="BC16" s="185"/>
      <c r="BD16" s="185"/>
      <c r="BE16" s="185"/>
      <c r="BF16" s="185"/>
      <c r="BG16" s="185"/>
      <c r="BH16" s="185"/>
      <c r="BI16" s="185"/>
      <c r="BJ16" s="185"/>
      <c r="BK16" s="185"/>
      <c r="BL16" s="185"/>
      <c r="BM16" s="185"/>
      <c r="BN16" s="185"/>
      <c r="BO16" s="185"/>
      <c r="BP16" s="185"/>
      <c r="BQ16" s="185"/>
      <c r="BR16" s="185"/>
      <c r="BS16" s="185"/>
      <c r="BT16" s="185"/>
      <c r="BU16" s="185"/>
      <c r="BV16" s="185"/>
      <c r="BW16" s="185"/>
      <c r="BX16" s="185"/>
      <c r="BY16" s="185"/>
      <c r="BZ16" s="185"/>
      <c r="CA16" s="185"/>
      <c r="CB16" s="185"/>
      <c r="CC16" s="185"/>
      <c r="CD16" s="185"/>
      <c r="CE16" s="185"/>
      <c r="CF16" s="185"/>
      <c r="CG16" s="185"/>
      <c r="CH16" s="185"/>
      <c r="CI16" s="185"/>
      <c r="CJ16" s="185"/>
      <c r="CK16" s="185"/>
      <c r="CL16" s="53"/>
      <c r="CM16" s="53"/>
      <c r="CN16" s="53"/>
      <c r="CO16" s="53"/>
      <c r="CP16" s="347" t="s">
        <v>462</v>
      </c>
      <c r="CQ16" s="340" t="s">
        <v>471</v>
      </c>
      <c r="CR16" s="185"/>
      <c r="CS16" s="185"/>
      <c r="CT16" s="185"/>
      <c r="CU16" s="185"/>
      <c r="CV16" s="185"/>
      <c r="CW16" s="185"/>
      <c r="CX16" s="185"/>
      <c r="CY16" s="185"/>
      <c r="CZ16" s="185"/>
      <c r="DA16" s="185"/>
      <c r="DB16" s="185"/>
      <c r="DC16" s="185"/>
      <c r="DD16" s="185"/>
      <c r="DE16" s="185"/>
      <c r="DF16" s="185" t="s">
        <v>386</v>
      </c>
      <c r="DG16" s="185"/>
      <c r="DH16" s="185"/>
      <c r="DI16" s="185"/>
      <c r="DJ16" s="185"/>
      <c r="DK16" s="185"/>
      <c r="DL16" s="185"/>
      <c r="DM16" s="185"/>
      <c r="DN16" s="185"/>
      <c r="DO16" s="185"/>
      <c r="DP16" s="185"/>
      <c r="DQ16" s="185"/>
      <c r="DR16" s="185"/>
      <c r="DS16" s="185"/>
      <c r="DT16" s="185"/>
      <c r="DU16" s="228"/>
      <c r="DV16" s="228"/>
      <c r="DW16" s="228"/>
      <c r="DX16" s="228"/>
      <c r="DY16" s="228"/>
      <c r="DZ16" s="228"/>
      <c r="EA16" s="228"/>
      <c r="EB16" s="228"/>
      <c r="EC16" s="185"/>
      <c r="ED16" s="185"/>
      <c r="EE16" s="185"/>
      <c r="EF16" s="185"/>
      <c r="EG16" s="228" t="s">
        <v>419</v>
      </c>
      <c r="EH16" s="185"/>
      <c r="EI16" s="185"/>
      <c r="EJ16" s="185"/>
      <c r="EK16" s="278" t="s">
        <v>404</v>
      </c>
      <c r="EL16" s="185" t="s">
        <v>386</v>
      </c>
      <c r="EM16" s="243"/>
      <c r="EN16" s="185"/>
      <c r="EO16" s="185"/>
      <c r="EP16" s="185"/>
      <c r="EQ16" s="185"/>
      <c r="ER16" s="185"/>
      <c r="ES16" s="185"/>
      <c r="ET16" s="185"/>
      <c r="EU16" s="185"/>
      <c r="EV16" s="243"/>
      <c r="EW16" s="185"/>
      <c r="EX16" s="185"/>
      <c r="EY16" s="185"/>
      <c r="EZ16" s="185"/>
      <c r="FA16" s="185"/>
      <c r="FB16" s="185"/>
      <c r="FC16" s="185"/>
      <c r="FD16" s="185" t="s">
        <v>411</v>
      </c>
      <c r="FE16" s="185"/>
      <c r="FF16" s="185"/>
      <c r="FG16" s="185"/>
      <c r="FH16" s="185"/>
      <c r="FI16" s="185"/>
      <c r="FJ16" s="185"/>
      <c r="FL16" s="185"/>
      <c r="FM16" s="185"/>
      <c r="FN16" s="185"/>
      <c r="FO16" s="185"/>
      <c r="FP16" s="185"/>
      <c r="FQ16" s="185"/>
      <c r="FR16" s="185"/>
      <c r="FS16" s="185"/>
      <c r="FT16" s="185"/>
      <c r="FU16" s="185"/>
      <c r="FV16" s="185"/>
      <c r="FW16" s="185"/>
      <c r="FX16" s="185"/>
      <c r="FY16" s="185"/>
      <c r="FZ16" s="185"/>
      <c r="GA16" s="185"/>
      <c r="GB16" s="185"/>
      <c r="GC16" s="228" t="s">
        <v>375</v>
      </c>
      <c r="GD16" s="185" t="s">
        <v>411</v>
      </c>
      <c r="GE16" s="185"/>
      <c r="GF16" s="185"/>
      <c r="GG16" s="185"/>
      <c r="GH16" s="185"/>
      <c r="GI16" s="185"/>
      <c r="GJ16" s="185"/>
      <c r="GK16" s="185"/>
      <c r="GL16" s="185"/>
      <c r="GM16" s="185"/>
      <c r="GN16" s="295" t="s">
        <v>375</v>
      </c>
      <c r="GO16" s="185"/>
      <c r="GP16" s="185"/>
      <c r="GQ16" s="185"/>
      <c r="GR16" s="185"/>
      <c r="GS16" s="185"/>
      <c r="GT16" s="185"/>
      <c r="GU16" s="185"/>
      <c r="GV16" s="185"/>
      <c r="GW16" s="185"/>
      <c r="GX16" s="185"/>
      <c r="GY16" s="228"/>
      <c r="GZ16" s="185" t="s">
        <v>457</v>
      </c>
      <c r="HA16" s="228" t="s">
        <v>466</v>
      </c>
      <c r="HB16" s="185"/>
      <c r="HC16" s="185"/>
      <c r="HD16" s="185"/>
      <c r="HE16" s="185"/>
      <c r="HF16" s="185"/>
      <c r="HG16" s="185"/>
      <c r="HH16" s="185"/>
      <c r="HI16" s="185"/>
      <c r="HJ16" s="185"/>
      <c r="HK16" s="185"/>
      <c r="HL16" s="185"/>
      <c r="HM16" s="185"/>
      <c r="HN16" s="185"/>
      <c r="HO16" s="185"/>
      <c r="HP16" s="185"/>
      <c r="HQ16" s="185"/>
      <c r="HR16" s="185"/>
      <c r="HS16" s="185"/>
      <c r="HT16" s="185"/>
      <c r="HU16" s="185"/>
      <c r="HV16" s="228" t="s">
        <v>462</v>
      </c>
      <c r="HW16" s="330"/>
      <c r="HX16" s="330"/>
      <c r="HY16" s="330"/>
      <c r="HZ16" s="330"/>
      <c r="IA16" s="330"/>
      <c r="IB16" s="330"/>
      <c r="IC16" s="330"/>
      <c r="ID16" s="330"/>
      <c r="IE16" s="330"/>
      <c r="IF16" s="330"/>
      <c r="IG16" s="330"/>
      <c r="IH16" s="330"/>
      <c r="II16" s="330"/>
      <c r="IJ16" s="330"/>
      <c r="IK16" s="330"/>
      <c r="IL16" s="330"/>
      <c r="IM16" s="330"/>
      <c r="IN16" s="330"/>
      <c r="IO16" s="330"/>
      <c r="IP16" s="330"/>
      <c r="IQ16" s="330"/>
      <c r="IR16" s="330"/>
      <c r="IS16" s="330"/>
      <c r="IT16" s="330"/>
      <c r="IU16" s="330"/>
      <c r="IV16" s="330"/>
      <c r="IW16" s="330"/>
      <c r="IX16" s="330"/>
      <c r="IY16" s="330"/>
      <c r="IZ16" s="330"/>
      <c r="JA16" s="330"/>
      <c r="JB16" s="330"/>
      <c r="JC16" s="330"/>
      <c r="JD16" s="330"/>
      <c r="JE16" s="330"/>
      <c r="JF16" s="330"/>
      <c r="JG16" s="330"/>
      <c r="JH16" s="330"/>
      <c r="JI16" s="330"/>
      <c r="JJ16" s="330"/>
      <c r="JK16" s="330"/>
      <c r="JL16" s="330"/>
      <c r="JM16" s="330"/>
      <c r="JN16" s="362"/>
      <c r="JO16" s="362"/>
      <c r="JP16" s="362"/>
      <c r="JQ16" s="362"/>
      <c r="JR16" s="362"/>
      <c r="JS16" s="362"/>
      <c r="JT16" s="362"/>
      <c r="JU16" s="362"/>
      <c r="JV16" s="362"/>
      <c r="JW16" s="362"/>
      <c r="JX16" s="362"/>
      <c r="JY16" s="362"/>
      <c r="JZ16" s="362"/>
      <c r="KA16" s="362"/>
      <c r="KB16" s="362"/>
      <c r="KC16" s="362"/>
      <c r="KD16" s="362"/>
      <c r="KE16" s="362"/>
      <c r="KF16" s="362"/>
      <c r="KG16" s="362"/>
      <c r="KH16" s="362"/>
      <c r="KI16" s="362"/>
      <c r="KJ16" s="362"/>
      <c r="KK16" s="362"/>
      <c r="KL16" s="362"/>
      <c r="KM16" s="362"/>
      <c r="KN16" s="362"/>
      <c r="KO16" s="362"/>
      <c r="KP16" s="362"/>
      <c r="KQ16" s="362"/>
      <c r="KR16" s="362"/>
      <c r="KS16" s="362"/>
      <c r="KT16" s="362"/>
      <c r="KU16" s="362"/>
      <c r="KV16" s="362"/>
      <c r="KW16" s="362"/>
      <c r="KX16" s="362"/>
      <c r="KY16" s="362"/>
      <c r="KZ16" s="362"/>
      <c r="LA16" s="362"/>
      <c r="LB16" s="362"/>
      <c r="LC16" s="362"/>
      <c r="LD16" s="362"/>
      <c r="LE16" s="362"/>
      <c r="LF16" s="233">
        <v>0.38541666666666602</v>
      </c>
    </row>
    <row r="17" spans="2:318" ht="10.5" customHeight="1">
      <c r="B17" s="49">
        <v>0.25</v>
      </c>
      <c r="C17" s="49">
        <v>0.25</v>
      </c>
      <c r="D17" s="49">
        <v>0.25</v>
      </c>
      <c r="E17" s="172">
        <v>0.375</v>
      </c>
      <c r="F17" s="322" t="s">
        <v>462</v>
      </c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 t="s">
        <v>419</v>
      </c>
      <c r="V17" s="185"/>
      <c r="W17" s="185"/>
      <c r="X17" s="185"/>
      <c r="Y17" s="185"/>
      <c r="Z17" s="185"/>
      <c r="AA17" s="185"/>
      <c r="AB17" s="185"/>
      <c r="AC17" s="185" t="s">
        <v>404</v>
      </c>
      <c r="AD17" s="185" t="s">
        <v>379</v>
      </c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  <c r="AO17" s="185"/>
      <c r="AP17" s="185"/>
      <c r="AQ17" s="324"/>
      <c r="AR17" s="324"/>
      <c r="AS17" s="324"/>
      <c r="AT17" s="185"/>
      <c r="AU17" s="185"/>
      <c r="AV17" s="228" t="s">
        <v>432</v>
      </c>
      <c r="AW17" s="185"/>
      <c r="AX17" s="185"/>
      <c r="AY17" s="228" t="s">
        <v>462</v>
      </c>
      <c r="AZ17" s="185"/>
      <c r="BA17" s="185"/>
      <c r="BB17" s="185"/>
      <c r="BC17" s="185"/>
      <c r="BD17" s="185"/>
      <c r="BE17" s="185"/>
      <c r="BF17" s="185"/>
      <c r="BG17" s="185"/>
      <c r="BH17" s="185"/>
      <c r="BI17" s="185"/>
      <c r="BJ17" s="185"/>
      <c r="BK17" s="185"/>
      <c r="BL17" s="185"/>
      <c r="BM17" s="185"/>
      <c r="BN17" s="185"/>
      <c r="BO17" s="185"/>
      <c r="BP17" s="185"/>
      <c r="BQ17" s="185"/>
      <c r="BR17" s="185"/>
      <c r="BS17" s="185"/>
      <c r="BT17" s="228"/>
      <c r="BU17" s="185"/>
      <c r="BV17" s="185"/>
      <c r="BW17" s="185"/>
      <c r="BX17" s="185"/>
      <c r="BY17" s="185"/>
      <c r="BZ17" s="185"/>
      <c r="CA17" s="185"/>
      <c r="CB17" s="185"/>
      <c r="CC17" s="185"/>
      <c r="CD17" s="185"/>
      <c r="CE17" s="185"/>
      <c r="CF17" s="185"/>
      <c r="CG17" s="185"/>
      <c r="CH17" s="185"/>
      <c r="CI17" s="185"/>
      <c r="CJ17" s="185"/>
      <c r="CK17" s="185"/>
      <c r="CL17" s="53"/>
      <c r="CM17" s="276" t="s">
        <v>375</v>
      </c>
      <c r="CN17" s="53"/>
      <c r="CO17" s="53"/>
      <c r="CP17" s="54"/>
      <c r="CQ17" s="340" t="s">
        <v>471</v>
      </c>
      <c r="CR17" s="185"/>
      <c r="CS17" s="185"/>
      <c r="CT17" s="185"/>
      <c r="CU17" s="185"/>
      <c r="CV17" s="185"/>
      <c r="CW17" s="185"/>
      <c r="CX17" s="185"/>
      <c r="CY17" s="185"/>
      <c r="CZ17" s="185"/>
      <c r="DA17" s="185"/>
      <c r="DB17" s="185"/>
      <c r="DC17" s="185"/>
      <c r="DD17" s="185"/>
      <c r="DE17" s="185"/>
      <c r="DF17" s="185" t="s">
        <v>404</v>
      </c>
      <c r="DG17" s="185" t="s">
        <v>419</v>
      </c>
      <c r="DH17" s="185"/>
      <c r="DI17" s="185"/>
      <c r="DJ17" s="185"/>
      <c r="DK17" s="185"/>
      <c r="DL17" s="185"/>
      <c r="DM17" s="185"/>
      <c r="DN17" s="185"/>
      <c r="DO17" s="185"/>
      <c r="DP17" s="185"/>
      <c r="DQ17" s="185"/>
      <c r="DR17" s="185"/>
      <c r="DS17" s="185"/>
      <c r="DT17" s="185"/>
      <c r="DU17" s="228"/>
      <c r="DV17" s="228"/>
      <c r="DW17" s="228"/>
      <c r="DX17" s="228"/>
      <c r="DY17" s="228"/>
      <c r="DZ17" s="228"/>
      <c r="EA17" s="228"/>
      <c r="EB17" s="228"/>
      <c r="EC17" s="185"/>
      <c r="ED17" s="185"/>
      <c r="EE17" s="185"/>
      <c r="EF17" s="185"/>
      <c r="EG17" s="274" t="s">
        <v>386</v>
      </c>
      <c r="EH17" s="185"/>
      <c r="EI17" s="185"/>
      <c r="EJ17" s="185"/>
      <c r="EK17" s="186"/>
      <c r="EL17" s="243" t="s">
        <v>375</v>
      </c>
      <c r="EM17" s="243"/>
      <c r="EN17" s="185"/>
      <c r="EO17" s="185"/>
      <c r="EP17" s="185"/>
      <c r="EQ17" s="185"/>
      <c r="ER17" s="185"/>
      <c r="ES17" s="185"/>
      <c r="ET17" s="185"/>
      <c r="EU17" s="185"/>
      <c r="EV17" s="243"/>
      <c r="EW17" s="185"/>
      <c r="EX17" s="185"/>
      <c r="EY17" s="185"/>
      <c r="EZ17" s="185"/>
      <c r="FA17" s="185"/>
      <c r="FB17" s="185"/>
      <c r="FC17" s="185"/>
      <c r="FD17" s="185"/>
      <c r="FE17" s="185"/>
      <c r="FF17" s="185"/>
      <c r="FG17" s="185"/>
      <c r="FH17" s="185"/>
      <c r="FI17" s="185"/>
      <c r="FJ17" s="185"/>
      <c r="FK17" s="185"/>
      <c r="FL17" s="185"/>
      <c r="FM17" s="185"/>
      <c r="FN17" s="185"/>
      <c r="FO17" s="185"/>
      <c r="FP17" s="185"/>
      <c r="FQ17" s="185"/>
      <c r="FR17" s="185"/>
      <c r="FS17" s="185"/>
      <c r="FT17" s="185"/>
      <c r="FU17" s="185"/>
      <c r="FV17" s="185"/>
      <c r="FW17" s="185"/>
      <c r="FX17" s="185"/>
      <c r="FY17" s="185"/>
      <c r="FZ17" s="185" t="s">
        <v>386</v>
      </c>
      <c r="GA17" s="185"/>
      <c r="GB17" s="274" t="s">
        <v>411</v>
      </c>
      <c r="GC17" s="228"/>
      <c r="GD17" s="185" t="s">
        <v>411</v>
      </c>
      <c r="GE17" s="185"/>
      <c r="GF17" s="185"/>
      <c r="GG17" s="185"/>
      <c r="GH17" s="185"/>
      <c r="GI17" s="185"/>
      <c r="GJ17" s="185"/>
      <c r="GK17" s="185"/>
      <c r="GL17" s="185"/>
      <c r="GM17" s="185"/>
      <c r="GN17" s="295" t="s">
        <v>375</v>
      </c>
      <c r="GO17" s="185"/>
      <c r="GP17" s="185"/>
      <c r="GQ17" s="185"/>
      <c r="GR17" s="185"/>
      <c r="GS17" s="185"/>
      <c r="GT17" s="185"/>
      <c r="GU17" s="185"/>
      <c r="GV17" s="228"/>
      <c r="GW17" s="185"/>
      <c r="GX17" s="185"/>
      <c r="GY17" s="228"/>
      <c r="GZ17" s="185" t="s">
        <v>457</v>
      </c>
      <c r="HA17" s="228" t="s">
        <v>466</v>
      </c>
      <c r="HB17" s="185"/>
      <c r="HC17" s="185"/>
      <c r="HD17" s="185"/>
      <c r="HE17" s="185"/>
      <c r="HF17" s="185"/>
      <c r="HG17" s="185"/>
      <c r="HH17" s="185"/>
      <c r="HI17" s="185"/>
      <c r="HJ17" s="185"/>
      <c r="HK17" s="185"/>
      <c r="HL17" s="185"/>
      <c r="HM17" s="185"/>
      <c r="HN17" s="185"/>
      <c r="HO17" s="185"/>
      <c r="HP17" s="185"/>
      <c r="HQ17" s="185"/>
      <c r="HR17" s="274" t="s">
        <v>386</v>
      </c>
      <c r="HS17" s="185"/>
      <c r="HT17" s="185"/>
      <c r="HU17" s="185"/>
      <c r="HV17" s="228" t="s">
        <v>462</v>
      </c>
      <c r="HW17" s="228"/>
      <c r="HX17" s="228"/>
      <c r="HY17" s="228"/>
      <c r="HZ17" s="228"/>
      <c r="IA17" s="228"/>
      <c r="IB17" s="228"/>
      <c r="IC17" s="228"/>
      <c r="ID17" s="185"/>
      <c r="IE17" s="185"/>
      <c r="IF17" s="185"/>
      <c r="IG17" s="185"/>
      <c r="IH17" s="185"/>
      <c r="II17" s="185"/>
      <c r="IJ17" s="185"/>
      <c r="IK17" s="185"/>
      <c r="IL17" s="185"/>
      <c r="IM17" s="185"/>
      <c r="IN17" s="185"/>
      <c r="IO17" s="185"/>
      <c r="IP17" s="185"/>
      <c r="IQ17" s="228"/>
      <c r="IR17" s="185"/>
      <c r="IS17" s="185"/>
      <c r="IT17" s="185"/>
      <c r="IU17" s="185"/>
      <c r="IV17" s="185"/>
      <c r="IW17" s="185"/>
      <c r="IX17" s="185"/>
      <c r="IY17" s="185"/>
      <c r="IZ17" s="185"/>
      <c r="JA17" s="185"/>
      <c r="JB17" s="185"/>
      <c r="JC17" s="185"/>
      <c r="JD17" s="185"/>
      <c r="JE17" s="185"/>
      <c r="JF17" s="185"/>
      <c r="JG17" s="185"/>
      <c r="JH17" s="185"/>
      <c r="JI17" s="228"/>
      <c r="JJ17" s="228"/>
      <c r="JK17" s="228"/>
      <c r="JL17" s="228"/>
      <c r="JM17" s="228"/>
      <c r="JN17" s="274" t="s">
        <v>462</v>
      </c>
      <c r="JO17" s="228"/>
      <c r="JP17" s="228"/>
      <c r="JQ17" s="228"/>
      <c r="JR17" s="228"/>
      <c r="JS17" s="228"/>
      <c r="JT17" s="228"/>
      <c r="JU17" s="228"/>
      <c r="JV17" s="228"/>
      <c r="JW17" s="228"/>
      <c r="JX17" s="228"/>
      <c r="JY17" s="228"/>
      <c r="JZ17" s="228"/>
      <c r="KA17" s="228"/>
      <c r="KB17" s="228"/>
      <c r="KC17" s="228"/>
      <c r="KD17" s="228"/>
      <c r="KE17" s="228"/>
      <c r="KF17" s="228"/>
      <c r="KG17" s="228"/>
      <c r="KH17" s="228"/>
      <c r="KI17" s="228"/>
      <c r="KJ17" s="228"/>
      <c r="KK17" s="185"/>
      <c r="KL17" s="185"/>
      <c r="KM17" s="185"/>
      <c r="KN17" s="185"/>
      <c r="KO17" s="185"/>
      <c r="KP17" s="185"/>
      <c r="KQ17" s="185"/>
      <c r="KR17" s="185"/>
      <c r="KS17" s="185"/>
      <c r="KT17" s="185"/>
      <c r="KU17" s="185"/>
      <c r="KV17" s="185"/>
      <c r="KW17" s="185"/>
      <c r="KX17" s="185"/>
      <c r="KY17" s="185"/>
      <c r="KZ17" s="185"/>
      <c r="LA17" s="228"/>
      <c r="LB17" s="228"/>
      <c r="LC17" s="228"/>
      <c r="LD17" s="228"/>
      <c r="LE17" s="228"/>
      <c r="LF17" s="233">
        <v>0.39583333333333298</v>
      </c>
    </row>
    <row r="18" spans="2:318" ht="10.5" customHeight="1">
      <c r="B18" s="49">
        <v>0.25</v>
      </c>
      <c r="C18" s="49">
        <v>0.25</v>
      </c>
      <c r="D18" s="49">
        <v>0.25</v>
      </c>
      <c r="E18" s="172">
        <v>0.38541666666666669</v>
      </c>
      <c r="F18" s="322" t="s">
        <v>419</v>
      </c>
      <c r="G18" s="185"/>
      <c r="H18" s="185"/>
      <c r="I18" s="185"/>
      <c r="J18" s="185"/>
      <c r="K18" s="185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 t="s">
        <v>462</v>
      </c>
      <c r="Z18" s="185"/>
      <c r="AA18" s="185"/>
      <c r="AB18" s="185"/>
      <c r="AC18" s="185" t="s">
        <v>404</v>
      </c>
      <c r="AD18" s="185" t="s">
        <v>379</v>
      </c>
      <c r="AE18" s="185"/>
      <c r="AF18" s="185"/>
      <c r="AG18" s="185"/>
      <c r="AH18" s="185"/>
      <c r="AI18" s="185"/>
      <c r="AJ18" s="185"/>
      <c r="AK18" s="185"/>
      <c r="AL18" s="185"/>
      <c r="AM18" s="185"/>
      <c r="AN18" s="185"/>
      <c r="AO18" s="185"/>
      <c r="AP18" s="185"/>
      <c r="AQ18" s="324"/>
      <c r="AR18" s="324"/>
      <c r="AS18" s="324"/>
      <c r="AT18" s="185"/>
      <c r="AU18" s="185"/>
      <c r="AV18" s="228" t="s">
        <v>432</v>
      </c>
      <c r="AW18" s="228"/>
      <c r="AX18" s="185"/>
      <c r="AY18" s="228" t="s">
        <v>462</v>
      </c>
      <c r="AZ18" s="185"/>
      <c r="BA18" s="185"/>
      <c r="BB18" s="185"/>
      <c r="BC18" s="185"/>
      <c r="BD18" s="185"/>
      <c r="BE18" s="185"/>
      <c r="BF18" s="185"/>
      <c r="BG18" s="185"/>
      <c r="BH18" s="185"/>
      <c r="BI18" s="185"/>
      <c r="BJ18" s="185"/>
      <c r="BK18" s="185"/>
      <c r="BL18" s="185"/>
      <c r="BM18" s="185"/>
      <c r="BN18" s="185"/>
      <c r="BO18" s="185"/>
      <c r="BP18" s="185"/>
      <c r="BQ18" s="185"/>
      <c r="BR18" s="185"/>
      <c r="BS18" s="185"/>
      <c r="BT18" s="228"/>
      <c r="BU18" s="185"/>
      <c r="BV18" s="185"/>
      <c r="BW18" s="185"/>
      <c r="BX18" s="185"/>
      <c r="BY18" s="185"/>
      <c r="BZ18" s="185"/>
      <c r="CA18" s="185"/>
      <c r="CB18" s="185"/>
      <c r="CC18" s="185"/>
      <c r="CD18" s="185"/>
      <c r="CE18" s="185"/>
      <c r="CF18" s="185"/>
      <c r="CG18" s="185"/>
      <c r="CH18" s="185"/>
      <c r="CI18" s="185"/>
      <c r="CJ18" s="185"/>
      <c r="CK18" s="185"/>
      <c r="CL18" s="53"/>
      <c r="CM18" s="276" t="s">
        <v>375</v>
      </c>
      <c r="CN18" s="53"/>
      <c r="CO18" s="53"/>
      <c r="CP18" s="54"/>
      <c r="CQ18" s="340" t="s">
        <v>471</v>
      </c>
      <c r="CR18" s="185" t="s">
        <v>419</v>
      </c>
      <c r="CS18" s="185"/>
      <c r="CT18" s="185"/>
      <c r="CU18" s="185"/>
      <c r="CV18" s="185"/>
      <c r="CW18" s="185"/>
      <c r="CX18" s="185"/>
      <c r="CY18" s="185"/>
      <c r="CZ18" s="185"/>
      <c r="DA18" s="185"/>
      <c r="DB18" s="185"/>
      <c r="DC18" s="185"/>
      <c r="DD18" s="185"/>
      <c r="DE18" s="185"/>
      <c r="DF18" s="185" t="s">
        <v>404</v>
      </c>
      <c r="DG18" s="185"/>
      <c r="DH18" s="185"/>
      <c r="DI18" s="185"/>
      <c r="DJ18" s="185"/>
      <c r="DK18" s="185"/>
      <c r="DL18" s="185"/>
      <c r="DM18" s="185"/>
      <c r="DN18" s="185"/>
      <c r="DO18" s="185"/>
      <c r="DP18" s="185"/>
      <c r="DQ18" s="185"/>
      <c r="DR18" s="185"/>
      <c r="DS18" s="185"/>
      <c r="DT18" s="185"/>
      <c r="DU18" s="228"/>
      <c r="DV18" s="228"/>
      <c r="DW18" s="228"/>
      <c r="DX18" s="228"/>
      <c r="DY18" s="228"/>
      <c r="DZ18" s="228"/>
      <c r="EA18" s="228"/>
      <c r="EB18" s="228"/>
      <c r="EC18" s="185"/>
      <c r="ED18" s="185"/>
      <c r="EE18" s="185"/>
      <c r="EF18" s="185"/>
      <c r="EG18" s="274" t="s">
        <v>386</v>
      </c>
      <c r="EH18" s="185"/>
      <c r="EI18" s="228"/>
      <c r="EJ18" s="185"/>
      <c r="EK18" s="186"/>
      <c r="EL18" s="243" t="s">
        <v>375</v>
      </c>
      <c r="EM18" s="243"/>
      <c r="EN18" s="185"/>
      <c r="EO18" s="185"/>
      <c r="EP18" s="185"/>
      <c r="EQ18" s="185"/>
      <c r="ER18" s="185"/>
      <c r="ES18" s="185"/>
      <c r="ET18" s="185"/>
      <c r="EU18" s="185"/>
      <c r="EV18" s="243"/>
      <c r="EW18" s="185"/>
      <c r="EX18" s="185"/>
      <c r="EY18" s="185"/>
      <c r="EZ18" s="185"/>
      <c r="FA18" s="185"/>
      <c r="FB18" s="185"/>
      <c r="FC18" s="185"/>
      <c r="FD18" s="185"/>
      <c r="FE18" s="185"/>
      <c r="FF18" s="185"/>
      <c r="FG18" s="185"/>
      <c r="FH18" s="185"/>
      <c r="FI18" s="185"/>
      <c r="FJ18" s="185"/>
      <c r="FK18" s="185"/>
      <c r="FL18" s="185"/>
      <c r="FM18" s="185"/>
      <c r="FN18" s="185"/>
      <c r="FO18" s="185"/>
      <c r="FP18" s="185"/>
      <c r="FQ18" s="185"/>
      <c r="FR18" s="185"/>
      <c r="FS18" s="185"/>
      <c r="FT18" s="185"/>
      <c r="FU18" s="185"/>
      <c r="FV18" s="185"/>
      <c r="FW18" s="185"/>
      <c r="FX18" s="185"/>
      <c r="FY18" s="185"/>
      <c r="FZ18" s="185" t="s">
        <v>386</v>
      </c>
      <c r="GA18" s="185"/>
      <c r="GB18" s="274" t="s">
        <v>411</v>
      </c>
      <c r="GC18" s="185"/>
      <c r="GD18" s="185" t="s">
        <v>411</v>
      </c>
      <c r="GE18" s="185"/>
      <c r="GF18" s="185"/>
      <c r="GG18" s="185"/>
      <c r="GH18" s="185"/>
      <c r="GI18" s="185"/>
      <c r="GJ18" s="185"/>
      <c r="GK18" s="185"/>
      <c r="GL18" s="185"/>
      <c r="GM18" s="185"/>
      <c r="GN18" s="295" t="s">
        <v>375</v>
      </c>
      <c r="GO18" s="185"/>
      <c r="GP18" s="185"/>
      <c r="GQ18" s="185"/>
      <c r="GR18" s="185"/>
      <c r="GS18" s="185"/>
      <c r="GT18" s="185"/>
      <c r="GU18" s="185"/>
      <c r="GV18" s="228"/>
      <c r="GW18" s="185"/>
      <c r="GX18" s="185"/>
      <c r="GY18" s="228"/>
      <c r="GZ18" s="185" t="s">
        <v>457</v>
      </c>
      <c r="HA18" s="228" t="s">
        <v>466</v>
      </c>
      <c r="HB18" s="185"/>
      <c r="HC18" s="185"/>
      <c r="HD18" s="185"/>
      <c r="HE18" s="185"/>
      <c r="HF18" s="185"/>
      <c r="HG18" s="185"/>
      <c r="HH18" s="185"/>
      <c r="HI18" s="185"/>
      <c r="HJ18" s="185"/>
      <c r="HK18" s="185"/>
      <c r="HL18" s="185"/>
      <c r="HM18" s="185"/>
      <c r="HN18" s="185"/>
      <c r="HO18" s="185"/>
      <c r="HP18" s="185"/>
      <c r="HQ18" s="185"/>
      <c r="HR18" s="274" t="s">
        <v>386</v>
      </c>
      <c r="HS18" s="185"/>
      <c r="HT18" s="185"/>
      <c r="HU18" s="185"/>
      <c r="HV18" s="228" t="s">
        <v>462</v>
      </c>
      <c r="HW18" s="228"/>
      <c r="HX18" s="228"/>
      <c r="HY18" s="228"/>
      <c r="HZ18" s="228"/>
      <c r="IA18" s="228"/>
      <c r="IB18" s="228"/>
      <c r="IC18" s="228"/>
      <c r="ID18" s="185"/>
      <c r="IE18" s="185"/>
      <c r="IF18" s="185"/>
      <c r="IG18" s="185"/>
      <c r="IH18" s="185"/>
      <c r="II18" s="185"/>
      <c r="IJ18" s="185"/>
      <c r="IK18" s="185"/>
      <c r="IL18" s="185"/>
      <c r="IM18" s="185"/>
      <c r="IN18" s="185"/>
      <c r="IO18" s="185"/>
      <c r="IP18" s="185"/>
      <c r="IQ18" s="185"/>
      <c r="IR18" s="185"/>
      <c r="IS18" s="185"/>
      <c r="IT18" s="185"/>
      <c r="IU18" s="185"/>
      <c r="IV18" s="185"/>
      <c r="IW18" s="185"/>
      <c r="IX18" s="185"/>
      <c r="IY18" s="185"/>
      <c r="IZ18" s="185"/>
      <c r="JA18" s="185"/>
      <c r="JB18" s="185"/>
      <c r="JC18" s="185"/>
      <c r="JD18" s="185"/>
      <c r="JE18" s="185"/>
      <c r="JF18" s="185"/>
      <c r="JG18" s="185"/>
      <c r="JH18" s="185"/>
      <c r="JI18" s="228"/>
      <c r="JJ18" s="228"/>
      <c r="JK18" s="185" t="s">
        <v>380</v>
      </c>
      <c r="JL18" s="228"/>
      <c r="JM18" s="228" t="s">
        <v>379</v>
      </c>
      <c r="JN18" s="274" t="s">
        <v>462</v>
      </c>
      <c r="JO18" s="228"/>
      <c r="JP18" s="228"/>
      <c r="JQ18" s="228"/>
      <c r="JR18" s="228"/>
      <c r="JS18" s="228"/>
      <c r="JT18" s="228"/>
      <c r="JU18" s="228"/>
      <c r="JV18" s="228"/>
      <c r="JW18" s="228"/>
      <c r="JX18" s="228"/>
      <c r="JY18" s="228"/>
      <c r="JZ18" s="228"/>
      <c r="KA18" s="228"/>
      <c r="KB18" s="228"/>
      <c r="KC18" s="228"/>
      <c r="KD18" s="228"/>
      <c r="KE18" s="228"/>
      <c r="KF18" s="228"/>
      <c r="KG18" s="228"/>
      <c r="KH18" s="228"/>
      <c r="KI18" s="228"/>
      <c r="KJ18" s="228"/>
      <c r="KK18" s="185"/>
      <c r="KL18" s="185"/>
      <c r="KM18" s="185"/>
      <c r="KN18" s="185"/>
      <c r="KO18" s="185"/>
      <c r="KP18" s="185"/>
      <c r="KQ18" s="185"/>
      <c r="KR18" s="185"/>
      <c r="KS18" s="185"/>
      <c r="KT18" s="185"/>
      <c r="KU18" s="185"/>
      <c r="KV18" s="185"/>
      <c r="KW18" s="185"/>
      <c r="KX18" s="185"/>
      <c r="KY18" s="185"/>
      <c r="KZ18" s="185"/>
      <c r="LA18" s="228"/>
      <c r="LB18" s="228"/>
      <c r="LC18" s="228" t="s">
        <v>393</v>
      </c>
      <c r="LD18" s="228"/>
      <c r="LE18" s="228" t="s">
        <v>379</v>
      </c>
      <c r="LF18" s="233">
        <v>0.40625</v>
      </c>
    </row>
    <row r="19" spans="2:318" ht="10.5" customHeight="1">
      <c r="B19" s="49">
        <v>0.25</v>
      </c>
      <c r="C19" s="49">
        <v>0.25</v>
      </c>
      <c r="D19" s="49">
        <v>0.25</v>
      </c>
      <c r="E19" s="172">
        <v>0.39583333333333331</v>
      </c>
      <c r="F19" s="322" t="s">
        <v>419</v>
      </c>
      <c r="G19" s="185"/>
      <c r="H19" s="185"/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 t="s">
        <v>462</v>
      </c>
      <c r="Z19" s="185"/>
      <c r="AA19" s="185"/>
      <c r="AB19" s="185"/>
      <c r="AC19" s="185" t="s">
        <v>404</v>
      </c>
      <c r="AD19" s="185" t="s">
        <v>379</v>
      </c>
      <c r="AE19" s="185"/>
      <c r="AF19" s="185"/>
      <c r="AG19" s="185"/>
      <c r="AH19" s="185"/>
      <c r="AI19" s="185"/>
      <c r="AJ19" s="185"/>
      <c r="AK19" s="185"/>
      <c r="AL19" s="185"/>
      <c r="AM19" s="185"/>
      <c r="AN19" s="185"/>
      <c r="AO19" s="185"/>
      <c r="AP19" s="185"/>
      <c r="AQ19" s="324"/>
      <c r="AR19" s="324"/>
      <c r="AS19" s="324"/>
      <c r="AT19" s="185"/>
      <c r="AU19" s="185"/>
      <c r="AV19" s="228" t="s">
        <v>432</v>
      </c>
      <c r="AW19" s="228"/>
      <c r="AX19" s="185"/>
      <c r="AY19" s="228" t="s">
        <v>462</v>
      </c>
      <c r="AZ19" s="185"/>
      <c r="BA19" s="185"/>
      <c r="BB19" s="185"/>
      <c r="BC19" s="185"/>
      <c r="BD19" s="185"/>
      <c r="BE19" s="185"/>
      <c r="BF19" s="185"/>
      <c r="BG19" s="185"/>
      <c r="BH19" s="185"/>
      <c r="BI19" s="185"/>
      <c r="BJ19" s="185"/>
      <c r="BK19" s="185"/>
      <c r="BL19" s="185"/>
      <c r="BM19" s="185"/>
      <c r="BN19" s="185"/>
      <c r="BO19" s="185"/>
      <c r="BP19" s="185"/>
      <c r="BQ19" s="185"/>
      <c r="BR19" s="185"/>
      <c r="BS19" s="185"/>
      <c r="BT19" s="185"/>
      <c r="BU19" s="274" t="s">
        <v>404</v>
      </c>
      <c r="BV19" s="185"/>
      <c r="BW19" s="185"/>
      <c r="BX19" s="185"/>
      <c r="BY19" s="185"/>
      <c r="BZ19" s="185"/>
      <c r="CA19" s="185"/>
      <c r="CB19" s="185"/>
      <c r="CC19" s="185"/>
      <c r="CD19" s="185"/>
      <c r="CE19" s="185"/>
      <c r="CF19" s="185"/>
      <c r="CG19" s="185"/>
      <c r="CH19" s="185"/>
      <c r="CI19" s="185"/>
      <c r="CJ19" s="185"/>
      <c r="CK19" s="185"/>
      <c r="CL19" s="53"/>
      <c r="CM19" s="276" t="s">
        <v>375</v>
      </c>
      <c r="CN19" s="53"/>
      <c r="CO19" s="53"/>
      <c r="CP19" s="54"/>
      <c r="CQ19" s="340" t="s">
        <v>419</v>
      </c>
      <c r="CR19" s="185" t="s">
        <v>471</v>
      </c>
      <c r="CS19" s="185"/>
      <c r="CT19" s="185"/>
      <c r="CU19" s="185"/>
      <c r="CV19" s="185"/>
      <c r="CW19" s="185"/>
      <c r="CX19" s="185"/>
      <c r="CY19" s="185"/>
      <c r="CZ19" s="185"/>
      <c r="DA19" s="185"/>
      <c r="DB19" s="185"/>
      <c r="DC19" s="185"/>
      <c r="DD19" s="185"/>
      <c r="DE19" s="185"/>
      <c r="DF19" s="185"/>
      <c r="DG19" s="185"/>
      <c r="DH19" s="185"/>
      <c r="DI19" s="185"/>
      <c r="DJ19" s="185"/>
      <c r="DK19" s="185"/>
      <c r="DL19" s="185"/>
      <c r="DM19" s="185"/>
      <c r="DN19" s="185"/>
      <c r="DO19" s="185"/>
      <c r="DP19" s="185" t="s">
        <v>404</v>
      </c>
      <c r="DQ19" s="185" t="s">
        <v>375</v>
      </c>
      <c r="DR19" s="228" t="s">
        <v>412</v>
      </c>
      <c r="DS19" s="228" t="s">
        <v>357</v>
      </c>
      <c r="DT19" s="185" t="s">
        <v>376</v>
      </c>
      <c r="DU19" s="228"/>
      <c r="DV19" s="228"/>
      <c r="DW19" s="228"/>
      <c r="DX19" s="228"/>
      <c r="DY19" s="228"/>
      <c r="DZ19" s="228"/>
      <c r="EA19" s="228"/>
      <c r="EB19" s="228"/>
      <c r="EC19" s="185"/>
      <c r="ED19" s="185"/>
      <c r="EE19" s="185"/>
      <c r="EF19" s="185"/>
      <c r="EG19" s="274" t="s">
        <v>386</v>
      </c>
      <c r="EH19" s="185"/>
      <c r="EI19" s="228"/>
      <c r="EJ19" s="185"/>
      <c r="EK19" s="186"/>
      <c r="EL19" s="243" t="s">
        <v>375</v>
      </c>
      <c r="EM19" s="243"/>
      <c r="EN19" s="185"/>
      <c r="EO19" s="185"/>
      <c r="EP19" s="185"/>
      <c r="EQ19" s="185"/>
      <c r="ER19" s="185"/>
      <c r="ES19" s="185"/>
      <c r="ET19" s="185"/>
      <c r="EU19" s="185"/>
      <c r="EV19" s="243"/>
      <c r="EW19" s="185"/>
      <c r="EX19" s="185"/>
      <c r="EY19" s="185"/>
      <c r="EZ19" s="185"/>
      <c r="FA19" s="185"/>
      <c r="FB19" s="185"/>
      <c r="FC19" s="185"/>
      <c r="FD19" s="185"/>
      <c r="FE19" s="185"/>
      <c r="FF19" s="185"/>
      <c r="FG19" s="228"/>
      <c r="FH19" s="185"/>
      <c r="FI19" s="185"/>
      <c r="FJ19" s="185"/>
      <c r="FK19" s="185"/>
      <c r="FL19" s="185"/>
      <c r="FM19" s="185"/>
      <c r="FN19" s="185"/>
      <c r="FO19" s="185"/>
      <c r="FP19" s="185"/>
      <c r="FQ19" s="185"/>
      <c r="FR19" s="185"/>
      <c r="FS19" s="185"/>
      <c r="FT19" s="185"/>
      <c r="FU19" s="185"/>
      <c r="FV19" s="185"/>
      <c r="FW19" s="185"/>
      <c r="FX19" s="185"/>
      <c r="FY19" s="185"/>
      <c r="FZ19" s="185" t="s">
        <v>386</v>
      </c>
      <c r="GA19" s="185"/>
      <c r="GB19" s="274" t="s">
        <v>411</v>
      </c>
      <c r="GC19" s="185"/>
      <c r="GD19" s="185" t="s">
        <v>411</v>
      </c>
      <c r="GE19" s="185"/>
      <c r="GF19" s="185"/>
      <c r="GG19" s="185"/>
      <c r="GH19" s="185"/>
      <c r="GI19" s="185"/>
      <c r="GJ19" s="185"/>
      <c r="GK19" s="185"/>
      <c r="GL19" s="185"/>
      <c r="GM19" s="185"/>
      <c r="GN19" s="295" t="s">
        <v>375</v>
      </c>
      <c r="GO19" s="185"/>
      <c r="GP19" s="185"/>
      <c r="GQ19" s="185"/>
      <c r="GR19" s="185"/>
      <c r="GS19" s="185"/>
      <c r="GT19" s="185"/>
      <c r="GU19" s="185"/>
      <c r="GV19" s="228"/>
      <c r="GW19" s="185"/>
      <c r="GX19" s="185"/>
      <c r="GY19" s="228"/>
      <c r="GZ19" s="185" t="s">
        <v>457</v>
      </c>
      <c r="HA19" s="228" t="s">
        <v>466</v>
      </c>
      <c r="HB19" s="185"/>
      <c r="HC19" s="185"/>
      <c r="HD19" s="185"/>
      <c r="HE19" s="185"/>
      <c r="HF19" s="185"/>
      <c r="HG19" s="185"/>
      <c r="HH19" s="185"/>
      <c r="HI19" s="185"/>
      <c r="HJ19" s="185"/>
      <c r="HK19" s="185"/>
      <c r="HL19" s="185"/>
      <c r="HM19" s="185"/>
      <c r="HN19" s="185"/>
      <c r="HO19" s="185"/>
      <c r="HP19" s="185"/>
      <c r="HQ19" s="185"/>
      <c r="HR19" s="274" t="s">
        <v>386</v>
      </c>
      <c r="HS19" s="185"/>
      <c r="HT19" s="185"/>
      <c r="HU19" s="185"/>
      <c r="HV19" s="228" t="s">
        <v>462</v>
      </c>
      <c r="HW19" s="228"/>
      <c r="HX19" s="228"/>
      <c r="HY19" s="228"/>
      <c r="HZ19" s="228"/>
      <c r="IA19" s="228"/>
      <c r="IB19" s="228"/>
      <c r="IC19" s="228"/>
      <c r="ID19" s="185"/>
      <c r="IE19" s="185"/>
      <c r="IF19" s="185"/>
      <c r="IG19" s="185"/>
      <c r="IH19" s="185"/>
      <c r="II19" s="185"/>
      <c r="IJ19" s="185"/>
      <c r="IK19" s="185"/>
      <c r="IL19" s="185"/>
      <c r="IM19" s="185"/>
      <c r="IN19" s="185"/>
      <c r="IO19" s="185"/>
      <c r="IP19" s="185"/>
      <c r="IQ19" s="185"/>
      <c r="IR19" s="185"/>
      <c r="IS19" s="185"/>
      <c r="IT19" s="185"/>
      <c r="IU19" s="185"/>
      <c r="IV19" s="185"/>
      <c r="IW19" s="185"/>
      <c r="IX19" s="185"/>
      <c r="IY19" s="185"/>
      <c r="IZ19" s="185"/>
      <c r="JA19" s="185"/>
      <c r="JB19" s="185"/>
      <c r="JC19" s="185"/>
      <c r="JD19" s="185"/>
      <c r="JE19" s="185"/>
      <c r="JF19" s="185"/>
      <c r="JG19" s="185"/>
      <c r="JH19" s="185"/>
      <c r="JI19" s="228"/>
      <c r="JJ19" s="228"/>
      <c r="JK19" s="185" t="s">
        <v>380</v>
      </c>
      <c r="JL19" s="228"/>
      <c r="JM19" s="228" t="s">
        <v>379</v>
      </c>
      <c r="JN19" s="274" t="s">
        <v>462</v>
      </c>
      <c r="JO19" s="228"/>
      <c r="JP19" s="228"/>
      <c r="JQ19" s="228"/>
      <c r="JR19" s="228"/>
      <c r="JS19" s="228"/>
      <c r="JT19" s="228"/>
      <c r="JU19" s="228"/>
      <c r="JV19" s="228"/>
      <c r="JW19" s="228"/>
      <c r="JX19" s="228"/>
      <c r="JY19" s="228"/>
      <c r="JZ19" s="228"/>
      <c r="KA19" s="228"/>
      <c r="KB19" s="228"/>
      <c r="KC19" s="228"/>
      <c r="KD19" s="228"/>
      <c r="KE19" s="228"/>
      <c r="KF19" s="228"/>
      <c r="KG19" s="228"/>
      <c r="KH19" s="228"/>
      <c r="KI19" s="228"/>
      <c r="KJ19" s="228"/>
      <c r="KK19" s="185"/>
      <c r="KL19" s="185"/>
      <c r="KM19" s="185"/>
      <c r="KN19" s="185"/>
      <c r="KO19" s="185"/>
      <c r="KP19" s="185"/>
      <c r="KQ19" s="185"/>
      <c r="KR19" s="185"/>
      <c r="KS19" s="185"/>
      <c r="KT19" s="185"/>
      <c r="KU19" s="185"/>
      <c r="KV19" s="185"/>
      <c r="KW19" s="185"/>
      <c r="KX19" s="185"/>
      <c r="KY19" s="185"/>
      <c r="KZ19" s="185"/>
      <c r="LA19" s="228"/>
      <c r="LB19" s="228"/>
      <c r="LC19" s="228" t="s">
        <v>393</v>
      </c>
      <c r="LD19" s="228"/>
      <c r="LE19" s="228" t="s">
        <v>379</v>
      </c>
      <c r="LF19" s="233">
        <v>0.41666666666666702</v>
      </c>
    </row>
    <row r="20" spans="2:318" ht="10.5" customHeight="1">
      <c r="B20" s="49">
        <v>0.25</v>
      </c>
      <c r="C20" s="49">
        <v>0.25</v>
      </c>
      <c r="D20" s="49">
        <v>0.25</v>
      </c>
      <c r="E20" s="172">
        <v>0.40625</v>
      </c>
      <c r="F20" s="322" t="s">
        <v>419</v>
      </c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 t="s">
        <v>462</v>
      </c>
      <c r="Z20" s="185"/>
      <c r="AA20" s="185"/>
      <c r="AB20" s="185"/>
      <c r="AC20" s="185" t="s">
        <v>404</v>
      </c>
      <c r="AD20" s="185" t="s">
        <v>379</v>
      </c>
      <c r="AE20" s="185"/>
      <c r="AF20" s="185"/>
      <c r="AG20" s="185"/>
      <c r="AH20" s="185"/>
      <c r="AI20" s="185"/>
      <c r="AJ20" s="185"/>
      <c r="AK20" s="185"/>
      <c r="AL20" s="185"/>
      <c r="AM20" s="185"/>
      <c r="AN20" s="185"/>
      <c r="AO20" s="185"/>
      <c r="AP20" s="185"/>
      <c r="AQ20" s="324"/>
      <c r="AR20" s="324"/>
      <c r="AS20" s="324"/>
      <c r="AT20" s="185"/>
      <c r="AU20" s="185"/>
      <c r="AV20" s="228" t="s">
        <v>432</v>
      </c>
      <c r="AW20" s="228"/>
      <c r="AX20" s="185"/>
      <c r="AY20" s="228" t="s">
        <v>462</v>
      </c>
      <c r="AZ20" s="185"/>
      <c r="BA20" s="185"/>
      <c r="BB20" s="185"/>
      <c r="BC20" s="185"/>
      <c r="BD20" s="185"/>
      <c r="BE20" s="185"/>
      <c r="BF20" s="185"/>
      <c r="BG20" s="185"/>
      <c r="BH20" s="185"/>
      <c r="BI20" s="185"/>
      <c r="BJ20" s="185"/>
      <c r="BK20" s="185"/>
      <c r="BL20" s="185"/>
      <c r="BM20" s="185"/>
      <c r="BN20" s="185"/>
      <c r="BO20" s="185"/>
      <c r="BP20" s="185"/>
      <c r="BQ20" s="185"/>
      <c r="BR20" s="185"/>
      <c r="BS20" s="185"/>
      <c r="BT20" s="185"/>
      <c r="BU20" s="274" t="s">
        <v>404</v>
      </c>
      <c r="BV20" s="185"/>
      <c r="BW20" s="185"/>
      <c r="BX20" s="185"/>
      <c r="BY20" s="185"/>
      <c r="BZ20" s="185"/>
      <c r="CA20" s="185"/>
      <c r="CB20" s="185"/>
      <c r="CC20" s="185"/>
      <c r="CD20" s="185"/>
      <c r="CE20" s="185"/>
      <c r="CF20" s="185"/>
      <c r="CG20" s="185"/>
      <c r="CH20" s="185"/>
      <c r="CI20" s="185"/>
      <c r="CJ20" s="185"/>
      <c r="CK20" s="185"/>
      <c r="CL20" s="53"/>
      <c r="CM20" s="276" t="s">
        <v>375</v>
      </c>
      <c r="CN20" s="53"/>
      <c r="CO20" s="53"/>
      <c r="CP20" s="54"/>
      <c r="CQ20" s="340" t="s">
        <v>419</v>
      </c>
      <c r="CR20" s="185"/>
      <c r="CS20" s="185"/>
      <c r="CT20" s="185"/>
      <c r="CU20" s="185"/>
      <c r="CV20" s="185"/>
      <c r="CW20" s="185"/>
      <c r="CX20" s="185"/>
      <c r="CY20" s="185"/>
      <c r="CZ20" s="185"/>
      <c r="DA20" s="185"/>
      <c r="DB20" s="185"/>
      <c r="DC20" s="185"/>
      <c r="DD20" s="185"/>
      <c r="DE20" s="185"/>
      <c r="DF20" s="185" t="s">
        <v>471</v>
      </c>
      <c r="DG20" s="185"/>
      <c r="DH20" s="185"/>
      <c r="DI20" s="185"/>
      <c r="DJ20" s="185"/>
      <c r="DK20" s="185"/>
      <c r="DL20" s="185"/>
      <c r="DM20" s="185"/>
      <c r="DN20" s="185"/>
      <c r="DO20" s="185"/>
      <c r="DP20" s="185" t="s">
        <v>404</v>
      </c>
      <c r="DQ20" s="185" t="s">
        <v>375</v>
      </c>
      <c r="DR20" s="228" t="s">
        <v>412</v>
      </c>
      <c r="DS20" s="228" t="s">
        <v>357</v>
      </c>
      <c r="DT20" s="185" t="s">
        <v>376</v>
      </c>
      <c r="DU20" s="228"/>
      <c r="DV20" s="228"/>
      <c r="DW20" s="228"/>
      <c r="DX20" s="228"/>
      <c r="DY20" s="228"/>
      <c r="DZ20" s="228"/>
      <c r="EA20" s="228"/>
      <c r="EB20" s="228"/>
      <c r="EC20" s="185"/>
      <c r="ED20" s="185"/>
      <c r="EE20" s="185"/>
      <c r="EF20" s="185"/>
      <c r="EG20" s="274" t="s">
        <v>386</v>
      </c>
      <c r="EH20" s="185"/>
      <c r="EI20" s="228"/>
      <c r="EJ20" s="185"/>
      <c r="EK20" s="186"/>
      <c r="EL20" s="243" t="s">
        <v>375</v>
      </c>
      <c r="EM20" s="228"/>
      <c r="EN20" s="185"/>
      <c r="EO20" s="185"/>
      <c r="EP20" s="185"/>
      <c r="EQ20" s="185"/>
      <c r="ER20" s="185"/>
      <c r="ES20" s="185"/>
      <c r="ET20" s="185"/>
      <c r="EU20" s="185"/>
      <c r="EV20" s="243"/>
      <c r="EW20" s="185"/>
      <c r="EX20" s="185"/>
      <c r="EY20" s="185"/>
      <c r="EZ20" s="185"/>
      <c r="FA20" s="185"/>
      <c r="FB20" s="185"/>
      <c r="FC20" s="185"/>
      <c r="FD20" s="185"/>
      <c r="FE20" s="185"/>
      <c r="FF20" s="185"/>
      <c r="FG20" s="228"/>
      <c r="FH20" s="185" t="s">
        <v>404</v>
      </c>
      <c r="FI20" s="185" t="s">
        <v>412</v>
      </c>
      <c r="FJ20" s="185" t="s">
        <v>357</v>
      </c>
      <c r="FK20" s="185" t="s">
        <v>430</v>
      </c>
      <c r="FL20" s="185"/>
      <c r="FM20" s="185"/>
      <c r="FN20" s="185"/>
      <c r="FO20" s="185"/>
      <c r="FP20" s="185"/>
      <c r="FQ20" s="185"/>
      <c r="FR20" s="185"/>
      <c r="FS20" s="185"/>
      <c r="FT20" s="185"/>
      <c r="FU20" s="185"/>
      <c r="FV20" s="185"/>
      <c r="FW20" s="185"/>
      <c r="FX20" s="185"/>
      <c r="FY20" s="185"/>
      <c r="FZ20" s="185" t="s">
        <v>386</v>
      </c>
      <c r="GA20" s="185"/>
      <c r="GB20" s="274" t="s">
        <v>411</v>
      </c>
      <c r="GC20" s="185"/>
      <c r="GD20" s="185" t="s">
        <v>411</v>
      </c>
      <c r="GE20" s="185"/>
      <c r="GF20" s="185"/>
      <c r="GG20" s="185"/>
      <c r="GH20" s="185"/>
      <c r="GI20" s="185"/>
      <c r="GJ20" s="185"/>
      <c r="GK20" s="185"/>
      <c r="GL20" s="185"/>
      <c r="GM20" s="185"/>
      <c r="GN20" s="295" t="s">
        <v>375</v>
      </c>
      <c r="GO20" s="185"/>
      <c r="GP20" s="185"/>
      <c r="GQ20" s="185"/>
      <c r="GR20" s="185"/>
      <c r="GS20" s="185"/>
      <c r="GT20" s="185"/>
      <c r="GU20" s="185"/>
      <c r="GV20" s="228"/>
      <c r="GW20" s="185"/>
      <c r="GX20" s="185"/>
      <c r="GY20" s="228"/>
      <c r="GZ20" s="185" t="s">
        <v>457</v>
      </c>
      <c r="HA20" s="228" t="s">
        <v>466</v>
      </c>
      <c r="HB20" s="185"/>
      <c r="HC20" s="185"/>
      <c r="HD20" s="185"/>
      <c r="HE20" s="185"/>
      <c r="HF20" s="185"/>
      <c r="HG20" s="185"/>
      <c r="HH20" s="185"/>
      <c r="HI20" s="185"/>
      <c r="HJ20" s="185"/>
      <c r="HK20" s="185"/>
      <c r="HL20" s="185"/>
      <c r="HM20" s="185"/>
      <c r="HN20" s="185"/>
      <c r="HO20" s="185"/>
      <c r="HP20" s="185"/>
      <c r="HQ20" s="185"/>
      <c r="HR20" s="274" t="s">
        <v>386</v>
      </c>
      <c r="HS20" s="185"/>
      <c r="HT20" s="185"/>
      <c r="HU20" s="185"/>
      <c r="HV20" s="228" t="s">
        <v>462</v>
      </c>
      <c r="HW20" s="228"/>
      <c r="HX20" s="228"/>
      <c r="HY20" s="228"/>
      <c r="HZ20" s="228"/>
      <c r="IA20" s="228"/>
      <c r="IB20" s="228"/>
      <c r="IC20" s="228"/>
      <c r="ID20" s="185"/>
      <c r="IE20" s="185"/>
      <c r="IF20" s="185"/>
      <c r="IG20" s="185"/>
      <c r="IH20" s="185"/>
      <c r="II20" s="185"/>
      <c r="IJ20" s="185"/>
      <c r="IK20" s="185"/>
      <c r="IL20" s="185"/>
      <c r="IM20" s="185"/>
      <c r="IN20" s="185"/>
      <c r="IO20" s="185"/>
      <c r="IP20" s="185"/>
      <c r="IQ20" s="185"/>
      <c r="IR20" s="185"/>
      <c r="IS20" s="185"/>
      <c r="IT20" s="185"/>
      <c r="IU20" s="185"/>
      <c r="IV20" s="185"/>
      <c r="IW20" s="185"/>
      <c r="IX20" s="185"/>
      <c r="IY20" s="185"/>
      <c r="IZ20" s="185"/>
      <c r="JA20" s="185"/>
      <c r="JB20" s="185"/>
      <c r="JC20" s="185"/>
      <c r="JD20" s="185"/>
      <c r="JE20" s="185"/>
      <c r="JF20" s="185"/>
      <c r="JG20" s="185"/>
      <c r="JH20" s="185"/>
      <c r="JI20" s="228"/>
      <c r="JJ20" s="228"/>
      <c r="JK20" s="185" t="s">
        <v>380</v>
      </c>
      <c r="JL20" s="228"/>
      <c r="JM20" s="228" t="s">
        <v>379</v>
      </c>
      <c r="JN20" s="274" t="s">
        <v>462</v>
      </c>
      <c r="JO20" s="228"/>
      <c r="JP20" s="228"/>
      <c r="JQ20" s="228"/>
      <c r="JR20" s="228"/>
      <c r="JS20" s="228"/>
      <c r="JT20" s="228"/>
      <c r="JU20" s="228"/>
      <c r="JV20" s="228"/>
      <c r="JW20" s="228"/>
      <c r="JX20" s="228"/>
      <c r="JY20" s="228"/>
      <c r="JZ20" s="228"/>
      <c r="KA20" s="228"/>
      <c r="KB20" s="228"/>
      <c r="KC20" s="228"/>
      <c r="KD20" s="228"/>
      <c r="KE20" s="228"/>
      <c r="KF20" s="228"/>
      <c r="KG20" s="228"/>
      <c r="KH20" s="228"/>
      <c r="KI20" s="228"/>
      <c r="KJ20" s="228"/>
      <c r="KK20" s="185"/>
      <c r="KL20" s="185"/>
      <c r="KM20" s="185"/>
      <c r="KN20" s="185"/>
      <c r="KO20" s="185"/>
      <c r="KP20" s="185"/>
      <c r="KQ20" s="185"/>
      <c r="KR20" s="185"/>
      <c r="KS20" s="185"/>
      <c r="KT20" s="185"/>
      <c r="KU20" s="185"/>
      <c r="KV20" s="185"/>
      <c r="KW20" s="185"/>
      <c r="KX20" s="185"/>
      <c r="KY20" s="185"/>
      <c r="KZ20" s="185"/>
      <c r="LA20" s="228"/>
      <c r="LB20" s="228"/>
      <c r="LC20" s="228" t="s">
        <v>393</v>
      </c>
      <c r="LD20" s="228"/>
      <c r="LE20" s="228" t="s">
        <v>379</v>
      </c>
      <c r="LF20" s="233">
        <v>0.42708333333333298</v>
      </c>
    </row>
    <row r="21" spans="2:318" ht="10.5" customHeight="1">
      <c r="B21" s="49">
        <v>0.25</v>
      </c>
      <c r="C21" s="49">
        <v>0.25</v>
      </c>
      <c r="D21" s="49">
        <v>0.25</v>
      </c>
      <c r="E21" s="172">
        <v>0.41666666666666669</v>
      </c>
      <c r="F21" s="322" t="s">
        <v>419</v>
      </c>
      <c r="G21" s="185"/>
      <c r="H21" s="185"/>
      <c r="I21" s="185"/>
      <c r="J21" s="185"/>
      <c r="K21" s="185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 t="s">
        <v>462</v>
      </c>
      <c r="Z21" s="185"/>
      <c r="AA21" s="185"/>
      <c r="AB21" s="185"/>
      <c r="AC21" s="185" t="s">
        <v>404</v>
      </c>
      <c r="AD21" s="185" t="s">
        <v>379</v>
      </c>
      <c r="AE21" s="185"/>
      <c r="AF21" s="185"/>
      <c r="AG21" s="185"/>
      <c r="AH21" s="185"/>
      <c r="AI21" s="185"/>
      <c r="AJ21" s="185"/>
      <c r="AK21" s="185"/>
      <c r="AL21" s="185"/>
      <c r="AM21" s="185"/>
      <c r="AN21" s="185"/>
      <c r="AO21" s="342" t="s">
        <v>450</v>
      </c>
      <c r="AP21" s="185"/>
      <c r="AQ21" s="324"/>
      <c r="AR21" s="324"/>
      <c r="AS21" s="324"/>
      <c r="AT21" s="185"/>
      <c r="AU21" s="185" t="s">
        <v>449</v>
      </c>
      <c r="AV21" s="228"/>
      <c r="AW21" s="228"/>
      <c r="AX21" s="185"/>
      <c r="AY21" s="228" t="s">
        <v>462</v>
      </c>
      <c r="AZ21" s="185"/>
      <c r="BA21" s="185"/>
      <c r="BB21" s="185"/>
      <c r="BC21" s="185"/>
      <c r="BD21" s="185"/>
      <c r="BE21" s="185"/>
      <c r="BF21" s="185"/>
      <c r="BG21" s="185"/>
      <c r="BH21" s="185"/>
      <c r="BI21" s="185"/>
      <c r="BJ21" s="185"/>
      <c r="BK21" s="185"/>
      <c r="BL21" s="185"/>
      <c r="BM21" s="185"/>
      <c r="BN21" s="185" t="s">
        <v>375</v>
      </c>
      <c r="BO21" s="185"/>
      <c r="BP21" s="185"/>
      <c r="BQ21" s="185" t="s">
        <v>386</v>
      </c>
      <c r="BR21" s="185"/>
      <c r="BS21" s="185"/>
      <c r="BT21" s="185"/>
      <c r="BU21" s="274" t="s">
        <v>404</v>
      </c>
      <c r="BV21" s="185"/>
      <c r="BW21" s="185"/>
      <c r="BX21" s="185"/>
      <c r="BY21" s="185"/>
      <c r="BZ21" s="185"/>
      <c r="CA21" s="185"/>
      <c r="CB21" s="185"/>
      <c r="CC21" s="185"/>
      <c r="CD21" s="185"/>
      <c r="CE21" s="185"/>
      <c r="CF21" s="185"/>
      <c r="CG21" s="352" t="s">
        <v>472</v>
      </c>
      <c r="CH21" s="185"/>
      <c r="CI21" s="185"/>
      <c r="CJ21" s="185"/>
      <c r="CK21" s="185"/>
      <c r="CL21" s="53"/>
      <c r="CM21" s="176"/>
      <c r="CN21" s="53"/>
      <c r="CO21" s="176" t="s">
        <v>476</v>
      </c>
      <c r="CP21" s="54"/>
      <c r="CQ21" s="340" t="s">
        <v>419</v>
      </c>
      <c r="CR21" s="185"/>
      <c r="CS21" s="185"/>
      <c r="CT21" s="185"/>
      <c r="CU21" s="185"/>
      <c r="CV21" s="185"/>
      <c r="CW21" s="185"/>
      <c r="CX21" s="185"/>
      <c r="CY21" s="185"/>
      <c r="CZ21" s="185"/>
      <c r="DA21" s="185"/>
      <c r="DB21" s="185"/>
      <c r="DC21" s="185"/>
      <c r="DD21" s="185"/>
      <c r="DE21" s="185"/>
      <c r="DF21" s="185" t="s">
        <v>386</v>
      </c>
      <c r="DG21" s="185"/>
      <c r="DH21" s="185"/>
      <c r="DI21" s="185"/>
      <c r="DJ21" s="185"/>
      <c r="DK21" s="185"/>
      <c r="DL21" s="185"/>
      <c r="DM21" s="185"/>
      <c r="DN21" s="185"/>
      <c r="DO21" s="185"/>
      <c r="DP21" s="185" t="s">
        <v>404</v>
      </c>
      <c r="DQ21" s="185" t="s">
        <v>375</v>
      </c>
      <c r="DR21" s="228" t="s">
        <v>412</v>
      </c>
      <c r="DS21" s="228" t="s">
        <v>357</v>
      </c>
      <c r="DT21" s="185" t="s">
        <v>376</v>
      </c>
      <c r="DU21" s="228"/>
      <c r="DV21" s="228"/>
      <c r="DW21" s="228"/>
      <c r="DX21" s="228"/>
      <c r="DY21" s="228"/>
      <c r="DZ21" s="228"/>
      <c r="EA21" s="228"/>
      <c r="EB21" s="228"/>
      <c r="EC21" s="185"/>
      <c r="ED21" s="185"/>
      <c r="EE21" s="185"/>
      <c r="EF21" s="185"/>
      <c r="EG21" s="228"/>
      <c r="EH21" s="274" t="s">
        <v>471</v>
      </c>
      <c r="EI21" s="228"/>
      <c r="EJ21" s="185"/>
      <c r="EK21" s="186"/>
      <c r="EL21" s="243" t="s">
        <v>375</v>
      </c>
      <c r="EM21" s="228"/>
      <c r="EN21" s="185"/>
      <c r="EO21" s="185"/>
      <c r="EP21" s="185"/>
      <c r="EQ21" s="185"/>
      <c r="ER21" s="185"/>
      <c r="ES21" s="185"/>
      <c r="ET21" s="185"/>
      <c r="EU21" s="185"/>
      <c r="EV21" s="243"/>
      <c r="EW21" s="185"/>
      <c r="EX21" s="185"/>
      <c r="EY21" s="185"/>
      <c r="EZ21" s="185"/>
      <c r="FA21" s="185" t="s">
        <v>411</v>
      </c>
      <c r="FB21" s="185" t="s">
        <v>386</v>
      </c>
      <c r="FC21" s="185"/>
      <c r="FD21" s="185"/>
      <c r="FE21" s="185"/>
      <c r="FF21" s="185"/>
      <c r="FG21" s="228"/>
      <c r="FH21" s="185" t="s">
        <v>404</v>
      </c>
      <c r="FI21" s="185" t="s">
        <v>412</v>
      </c>
      <c r="FJ21" s="185" t="s">
        <v>357</v>
      </c>
      <c r="FK21" s="185" t="s">
        <v>430</v>
      </c>
      <c r="FL21" s="185"/>
      <c r="FM21" s="185"/>
      <c r="FN21" s="185"/>
      <c r="FO21" s="185"/>
      <c r="FP21" s="185"/>
      <c r="FQ21" s="185"/>
      <c r="FR21" s="185"/>
      <c r="FS21" s="185"/>
      <c r="FT21" s="185"/>
      <c r="FU21" s="185"/>
      <c r="FV21" s="185"/>
      <c r="FW21" s="185"/>
      <c r="FX21" s="185"/>
      <c r="FY21" s="185"/>
      <c r="FZ21" s="185"/>
      <c r="GA21" s="185"/>
      <c r="GB21" s="228"/>
      <c r="GC21" s="185"/>
      <c r="GD21" s="295" t="s">
        <v>375</v>
      </c>
      <c r="GE21" s="185" t="s">
        <v>411</v>
      </c>
      <c r="GF21" s="185"/>
      <c r="GG21" s="185"/>
      <c r="GH21" s="185"/>
      <c r="GI21" s="185"/>
      <c r="GJ21" s="185"/>
      <c r="GK21" s="185"/>
      <c r="GL21" s="185"/>
      <c r="GM21" s="185"/>
      <c r="GN21" s="185"/>
      <c r="GO21" s="185"/>
      <c r="GP21" s="185"/>
      <c r="GQ21" s="185"/>
      <c r="GR21" s="185"/>
      <c r="GS21" s="185"/>
      <c r="GT21" s="185"/>
      <c r="GU21" s="185"/>
      <c r="GV21" s="185" t="s">
        <v>386</v>
      </c>
      <c r="GW21" s="185"/>
      <c r="GX21" s="185"/>
      <c r="GY21" s="185"/>
      <c r="GZ21" s="185" t="s">
        <v>457</v>
      </c>
      <c r="HA21" s="228" t="s">
        <v>466</v>
      </c>
      <c r="HB21" s="185"/>
      <c r="HC21" s="185"/>
      <c r="HD21" s="185"/>
      <c r="HE21" s="185"/>
      <c r="HF21" s="185"/>
      <c r="HG21" s="185"/>
      <c r="HH21" s="185"/>
      <c r="HI21" s="185"/>
      <c r="HJ21" s="185"/>
      <c r="HK21" s="185"/>
      <c r="HL21" s="302" t="s">
        <v>467</v>
      </c>
      <c r="HM21" s="185"/>
      <c r="HN21" s="185"/>
      <c r="HO21" s="185"/>
      <c r="HP21" s="185"/>
      <c r="HQ21" s="185"/>
      <c r="HR21" s="228"/>
      <c r="HS21" s="185"/>
      <c r="HT21" s="185"/>
      <c r="HU21" s="185"/>
      <c r="HV21" s="228" t="s">
        <v>462</v>
      </c>
      <c r="HW21" s="228"/>
      <c r="HX21" s="228"/>
      <c r="HY21" s="228"/>
      <c r="HZ21" s="228"/>
      <c r="IA21" s="228"/>
      <c r="IB21" s="228"/>
      <c r="IC21" s="228"/>
      <c r="ID21" s="185"/>
      <c r="IE21" s="185"/>
      <c r="IF21" s="185"/>
      <c r="IG21" s="185"/>
      <c r="IH21" s="185"/>
      <c r="II21" s="185"/>
      <c r="IJ21" s="185"/>
      <c r="IK21" s="185"/>
      <c r="IL21" s="185"/>
      <c r="IM21" s="185"/>
      <c r="IN21" s="185"/>
      <c r="IO21" s="185"/>
      <c r="IP21" s="185"/>
      <c r="IQ21" s="185"/>
      <c r="IR21" s="185"/>
      <c r="IS21" s="228" t="s">
        <v>412</v>
      </c>
      <c r="IT21" s="185" t="s">
        <v>379</v>
      </c>
      <c r="IU21" s="185"/>
      <c r="IV21" s="185"/>
      <c r="IW21" s="185"/>
      <c r="IX21" s="185"/>
      <c r="IY21" s="185"/>
      <c r="IZ21" s="185"/>
      <c r="JA21" s="185"/>
      <c r="JB21" s="185"/>
      <c r="JC21" s="185"/>
      <c r="JD21" s="185"/>
      <c r="JE21" s="185"/>
      <c r="JF21" s="185"/>
      <c r="JG21" s="185"/>
      <c r="JH21" s="185"/>
      <c r="JI21" s="185" t="s">
        <v>432</v>
      </c>
      <c r="JJ21" s="228"/>
      <c r="JK21" s="185" t="s">
        <v>380</v>
      </c>
      <c r="JL21" s="228"/>
      <c r="JM21" s="228" t="s">
        <v>379</v>
      </c>
      <c r="JN21" s="274" t="s">
        <v>462</v>
      </c>
      <c r="JO21" s="228"/>
      <c r="JP21" s="228"/>
      <c r="JQ21" s="228"/>
      <c r="JR21" s="228"/>
      <c r="JS21" s="228"/>
      <c r="JT21" s="228"/>
      <c r="JU21" s="228"/>
      <c r="JV21" s="228"/>
      <c r="JW21" s="228"/>
      <c r="JX21" s="228"/>
      <c r="JY21" s="228"/>
      <c r="JZ21" s="228"/>
      <c r="KA21" s="228"/>
      <c r="KB21" s="228"/>
      <c r="KC21" s="228"/>
      <c r="KD21" s="228"/>
      <c r="KE21" s="228"/>
      <c r="KF21" s="228"/>
      <c r="KG21" s="228"/>
      <c r="KH21" s="228"/>
      <c r="KI21" s="228"/>
      <c r="KJ21" s="228" t="s">
        <v>379</v>
      </c>
      <c r="KK21" s="185"/>
      <c r="KL21" s="185"/>
      <c r="KM21" s="185"/>
      <c r="KN21" s="185"/>
      <c r="KO21" s="185"/>
      <c r="KP21" s="185"/>
      <c r="KQ21" s="185"/>
      <c r="KR21" s="185"/>
      <c r="KS21" s="185"/>
      <c r="KT21" s="185"/>
      <c r="KU21" s="185"/>
      <c r="KV21" s="185"/>
      <c r="KW21" s="185"/>
      <c r="KX21" s="185"/>
      <c r="KY21" s="185"/>
      <c r="KZ21" s="185"/>
      <c r="LA21" s="228"/>
      <c r="LB21" s="228"/>
      <c r="LC21" s="228" t="s">
        <v>393</v>
      </c>
      <c r="LD21" s="228"/>
      <c r="LE21" s="228" t="s">
        <v>379</v>
      </c>
      <c r="LF21" s="233">
        <v>0.4375</v>
      </c>
    </row>
    <row r="22" spans="2:318" ht="10.5" customHeight="1">
      <c r="B22" s="49">
        <v>0.25</v>
      </c>
      <c r="C22" s="49">
        <v>0.25</v>
      </c>
      <c r="D22" s="49">
        <v>0.25</v>
      </c>
      <c r="E22" s="172">
        <v>0.42708333333333331</v>
      </c>
      <c r="F22" s="322" t="s">
        <v>419</v>
      </c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R22" s="185"/>
      <c r="S22" s="185"/>
      <c r="T22" s="185"/>
      <c r="U22" s="185" t="s">
        <v>462</v>
      </c>
      <c r="V22" s="185"/>
      <c r="W22" s="185"/>
      <c r="X22" s="185"/>
      <c r="Y22" s="185"/>
      <c r="Z22" s="185"/>
      <c r="AA22" s="185"/>
      <c r="AB22" s="185"/>
      <c r="AC22" s="185" t="s">
        <v>404</v>
      </c>
      <c r="AD22" s="185" t="s">
        <v>379</v>
      </c>
      <c r="AE22" s="185"/>
      <c r="AF22" s="185"/>
      <c r="AG22" s="185"/>
      <c r="AH22" s="185"/>
      <c r="AI22" s="185"/>
      <c r="AJ22" s="185"/>
      <c r="AK22" s="185"/>
      <c r="AL22" s="185"/>
      <c r="AM22" s="185"/>
      <c r="AN22" s="185"/>
      <c r="AO22" s="325"/>
      <c r="AP22" s="185"/>
      <c r="AQ22" s="324"/>
      <c r="AR22" s="324"/>
      <c r="AS22" s="324"/>
      <c r="AT22" s="185"/>
      <c r="AU22" s="185" t="s">
        <v>449</v>
      </c>
      <c r="AV22" s="185"/>
      <c r="AW22" s="185"/>
      <c r="AX22" s="185"/>
      <c r="AY22" s="228" t="s">
        <v>462</v>
      </c>
      <c r="AZ22" s="185"/>
      <c r="BA22" s="185"/>
      <c r="BB22" s="185"/>
      <c r="BC22" s="185"/>
      <c r="BD22" s="185"/>
      <c r="BE22" s="185"/>
      <c r="BF22" s="185"/>
      <c r="BG22" s="185"/>
      <c r="BH22" s="185"/>
      <c r="BI22" s="185"/>
      <c r="BJ22" s="185"/>
      <c r="BK22" s="185"/>
      <c r="BL22" s="185"/>
      <c r="BM22" s="185"/>
      <c r="BN22" s="185" t="s">
        <v>375</v>
      </c>
      <c r="BO22" s="185"/>
      <c r="BP22" s="185"/>
      <c r="BQ22" s="185" t="s">
        <v>386</v>
      </c>
      <c r="BR22" s="185"/>
      <c r="BS22" s="185"/>
      <c r="BT22" s="185" t="s">
        <v>404</v>
      </c>
      <c r="BU22" s="185"/>
      <c r="BV22" s="185"/>
      <c r="BW22" s="185"/>
      <c r="BX22" s="185"/>
      <c r="BY22" s="185"/>
      <c r="BZ22" s="185"/>
      <c r="CA22" s="185"/>
      <c r="CB22" s="185"/>
      <c r="CC22" s="185"/>
      <c r="CD22" s="185"/>
      <c r="CE22" s="185"/>
      <c r="CF22" s="185"/>
      <c r="CG22" s="185"/>
      <c r="CH22" s="185"/>
      <c r="CI22" s="185"/>
      <c r="CJ22" s="185"/>
      <c r="CK22" s="185"/>
      <c r="CL22" s="53"/>
      <c r="CM22" s="53"/>
      <c r="CN22" s="53"/>
      <c r="CO22" s="176" t="s">
        <v>476</v>
      </c>
      <c r="CP22" s="54"/>
      <c r="CQ22" s="340" t="s">
        <v>419</v>
      </c>
      <c r="CR22" s="185"/>
      <c r="CS22" s="185"/>
      <c r="CT22" s="185"/>
      <c r="CU22" s="185"/>
      <c r="CV22" s="185"/>
      <c r="CW22" s="185"/>
      <c r="CX22" s="185"/>
      <c r="CY22" s="185"/>
      <c r="CZ22" s="185"/>
      <c r="DA22" s="185"/>
      <c r="DB22" s="185" t="s">
        <v>386</v>
      </c>
      <c r="DC22" s="185"/>
      <c r="DD22" s="185"/>
      <c r="DE22" s="185"/>
      <c r="DF22" s="185"/>
      <c r="DG22" s="185"/>
      <c r="DH22" s="185"/>
      <c r="DI22" s="185"/>
      <c r="DJ22" s="185"/>
      <c r="DK22" s="185"/>
      <c r="DL22" s="185"/>
      <c r="DM22" s="185"/>
      <c r="DN22" s="185"/>
      <c r="DO22" s="185"/>
      <c r="DP22" s="185" t="s">
        <v>404</v>
      </c>
      <c r="DQ22" s="185" t="s">
        <v>375</v>
      </c>
      <c r="DR22" s="228" t="s">
        <v>412</v>
      </c>
      <c r="DS22" s="228" t="s">
        <v>357</v>
      </c>
      <c r="DT22" s="185" t="s">
        <v>376</v>
      </c>
      <c r="DU22" s="228"/>
      <c r="DV22" s="228"/>
      <c r="DW22" s="228"/>
      <c r="DX22" s="228"/>
      <c r="DY22" s="228"/>
      <c r="DZ22" s="228"/>
      <c r="EA22" s="228"/>
      <c r="EB22" s="228"/>
      <c r="EC22" s="185"/>
      <c r="ED22" s="185"/>
      <c r="EE22" s="185"/>
      <c r="EF22" s="185"/>
      <c r="EG22" s="185"/>
      <c r="EH22" s="274" t="s">
        <v>471</v>
      </c>
      <c r="EI22" s="185"/>
      <c r="EJ22" s="185"/>
      <c r="EK22" s="186"/>
      <c r="EL22" s="228" t="s">
        <v>411</v>
      </c>
      <c r="EM22" s="228"/>
      <c r="EN22" s="185"/>
      <c r="EO22" s="185"/>
      <c r="EP22" s="185"/>
      <c r="EQ22" s="185"/>
      <c r="ER22" s="185"/>
      <c r="ES22" s="185"/>
      <c r="ET22" s="185"/>
      <c r="EU22" s="185"/>
      <c r="EV22" s="243"/>
      <c r="EW22" s="185"/>
      <c r="EX22" s="185"/>
      <c r="EY22" s="185"/>
      <c r="EZ22" s="185"/>
      <c r="FA22" s="185" t="s">
        <v>375</v>
      </c>
      <c r="FB22" s="185"/>
      <c r="FC22" s="185"/>
      <c r="FD22" s="228"/>
      <c r="FE22" s="185"/>
      <c r="FF22" s="185"/>
      <c r="FG22" s="228"/>
      <c r="FH22" s="185" t="s">
        <v>404</v>
      </c>
      <c r="FI22" s="185" t="s">
        <v>412</v>
      </c>
      <c r="FJ22" s="185" t="s">
        <v>357</v>
      </c>
      <c r="FK22" s="185" t="s">
        <v>430</v>
      </c>
      <c r="FL22" s="185"/>
      <c r="FM22" s="185"/>
      <c r="FN22" s="185"/>
      <c r="FO22" s="185"/>
      <c r="FP22" s="185"/>
      <c r="FQ22" s="185"/>
      <c r="FR22" s="185"/>
      <c r="FS22" s="185"/>
      <c r="FT22" s="185"/>
      <c r="FU22" s="185"/>
      <c r="FV22" s="185"/>
      <c r="FW22" s="185"/>
      <c r="FX22" s="185"/>
      <c r="FY22" s="185"/>
      <c r="FZ22" s="185"/>
      <c r="GA22" s="185"/>
      <c r="GB22" s="185"/>
      <c r="GC22" s="185"/>
      <c r="GD22" s="295" t="s">
        <v>375</v>
      </c>
      <c r="GE22" s="185"/>
      <c r="GF22" s="185"/>
      <c r="GG22" s="185"/>
      <c r="GH22" s="185"/>
      <c r="GI22" s="185"/>
      <c r="GJ22" s="185"/>
      <c r="GK22" s="228"/>
      <c r="GL22" s="185"/>
      <c r="GM22" s="185"/>
      <c r="GN22" s="185"/>
      <c r="GO22" s="185"/>
      <c r="GP22" s="185"/>
      <c r="GQ22" s="185"/>
      <c r="GR22" s="185"/>
      <c r="GS22" s="185"/>
      <c r="GT22" s="185" t="s">
        <v>411</v>
      </c>
      <c r="GU22" s="185"/>
      <c r="GV22" s="185" t="s">
        <v>386</v>
      </c>
      <c r="GW22" s="185"/>
      <c r="GX22" s="185"/>
      <c r="GY22" s="185"/>
      <c r="GZ22" s="185"/>
      <c r="HA22" s="185"/>
      <c r="HB22" s="185"/>
      <c r="HC22" s="185"/>
      <c r="HD22" s="185"/>
      <c r="HE22" s="185"/>
      <c r="HF22" s="185"/>
      <c r="HG22" s="185"/>
      <c r="HH22" s="185"/>
      <c r="HI22" s="185"/>
      <c r="HJ22" s="185"/>
      <c r="HK22" s="185"/>
      <c r="HL22" s="185"/>
      <c r="HM22" s="185"/>
      <c r="HN22" s="185"/>
      <c r="HO22" s="185"/>
      <c r="HP22" s="185"/>
      <c r="HQ22" s="185"/>
      <c r="HR22" s="185"/>
      <c r="HS22" s="185"/>
      <c r="HT22" s="185"/>
      <c r="HU22" s="228" t="s">
        <v>404</v>
      </c>
      <c r="HV22" s="228" t="s">
        <v>462</v>
      </c>
      <c r="HW22" s="228"/>
      <c r="HX22" s="228"/>
      <c r="HY22" s="228"/>
      <c r="HZ22" s="228"/>
      <c r="IA22" s="228"/>
      <c r="IB22" s="228"/>
      <c r="IC22" s="228"/>
      <c r="ID22" s="185"/>
      <c r="IE22" s="185"/>
      <c r="IF22" s="185"/>
      <c r="IG22" s="185"/>
      <c r="IH22" s="185"/>
      <c r="II22" s="185"/>
      <c r="IJ22" s="185"/>
      <c r="IK22" s="185"/>
      <c r="IL22" s="185"/>
      <c r="IM22" s="185"/>
      <c r="IN22" s="185"/>
      <c r="IO22" s="185"/>
      <c r="IP22" s="185"/>
      <c r="IQ22" s="185"/>
      <c r="IR22" s="185"/>
      <c r="IS22" s="228" t="s">
        <v>412</v>
      </c>
      <c r="IT22" s="185" t="s">
        <v>379</v>
      </c>
      <c r="IU22" s="185"/>
      <c r="IV22" s="185"/>
      <c r="IW22" s="185"/>
      <c r="IX22" s="185"/>
      <c r="IY22" s="185"/>
      <c r="IZ22" s="185"/>
      <c r="JA22" s="185"/>
      <c r="JB22" s="185"/>
      <c r="JC22" s="185"/>
      <c r="JD22" s="185"/>
      <c r="JE22" s="185"/>
      <c r="JF22" s="185"/>
      <c r="JG22" s="185"/>
      <c r="JH22" s="185"/>
      <c r="JI22" s="185" t="s">
        <v>432</v>
      </c>
      <c r="JJ22" s="228"/>
      <c r="JK22" s="185" t="s">
        <v>380</v>
      </c>
      <c r="JL22" s="228"/>
      <c r="JM22" s="228"/>
      <c r="JN22" s="274" t="s">
        <v>462</v>
      </c>
      <c r="JO22" s="228"/>
      <c r="JP22" s="228"/>
      <c r="JQ22" s="228"/>
      <c r="JR22" s="228"/>
      <c r="JS22" s="228"/>
      <c r="JT22" s="228"/>
      <c r="JU22" s="228"/>
      <c r="JV22" s="228"/>
      <c r="JW22" s="228"/>
      <c r="JX22" s="228"/>
      <c r="JY22" s="228"/>
      <c r="JZ22" s="228"/>
      <c r="KA22" s="228"/>
      <c r="KB22" s="228"/>
      <c r="KC22" s="228"/>
      <c r="KD22" s="228"/>
      <c r="KE22" s="228"/>
      <c r="KF22" s="228"/>
      <c r="KG22" s="228"/>
      <c r="KH22" s="228"/>
      <c r="KI22" s="228"/>
      <c r="KJ22" s="228" t="s">
        <v>379</v>
      </c>
      <c r="KK22" s="185"/>
      <c r="KL22" s="185"/>
      <c r="KM22" s="185"/>
      <c r="KN22" s="185"/>
      <c r="KO22" s="185"/>
      <c r="KP22" s="185"/>
      <c r="KQ22" s="185"/>
      <c r="KR22" s="185"/>
      <c r="KS22" s="185"/>
      <c r="KT22" s="185"/>
      <c r="KU22" s="185"/>
      <c r="KV22" s="185"/>
      <c r="KW22" s="185"/>
      <c r="KX22" s="185"/>
      <c r="KY22" s="185"/>
      <c r="KZ22" s="185"/>
      <c r="LA22" s="228"/>
      <c r="LB22" s="228"/>
      <c r="LC22" s="228"/>
      <c r="LD22" s="228" t="s">
        <v>393</v>
      </c>
      <c r="LE22" s="228"/>
      <c r="LF22" s="233">
        <v>0.44791666666666602</v>
      </c>
    </row>
    <row r="23" spans="2:318" ht="10.5" customHeight="1">
      <c r="B23" s="49">
        <v>0.25</v>
      </c>
      <c r="C23" s="49">
        <v>0.25</v>
      </c>
      <c r="D23" s="49">
        <v>0.25</v>
      </c>
      <c r="E23" s="172">
        <v>0.4375</v>
      </c>
      <c r="F23" s="323" t="s">
        <v>419</v>
      </c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5"/>
      <c r="AJ23" s="185"/>
      <c r="AK23" s="185"/>
      <c r="AL23" s="185"/>
      <c r="AM23" s="185"/>
      <c r="AN23" s="185"/>
      <c r="AO23" s="185"/>
      <c r="AP23" s="185"/>
      <c r="AQ23" s="324"/>
      <c r="AR23" s="324"/>
      <c r="AS23" s="324"/>
      <c r="AT23" s="274" t="s">
        <v>462</v>
      </c>
      <c r="AU23" s="185" t="s">
        <v>449</v>
      </c>
      <c r="AV23" s="185"/>
      <c r="AW23" s="185"/>
      <c r="AX23" s="185" t="s">
        <v>404</v>
      </c>
      <c r="AY23" s="228" t="s">
        <v>462</v>
      </c>
      <c r="AZ23" s="185"/>
      <c r="BA23" s="185"/>
      <c r="BB23" s="185"/>
      <c r="BC23" s="185"/>
      <c r="BD23" s="185"/>
      <c r="BE23" s="185"/>
      <c r="BF23" s="185"/>
      <c r="BG23" s="185"/>
      <c r="BH23" s="185"/>
      <c r="BI23" s="185"/>
      <c r="BJ23" s="185"/>
      <c r="BK23" s="185"/>
      <c r="BL23" s="185"/>
      <c r="BM23" s="185"/>
      <c r="BN23" s="185"/>
      <c r="BO23" s="185"/>
      <c r="BP23" s="185"/>
      <c r="BQ23" s="185"/>
      <c r="BR23" s="185"/>
      <c r="BS23" s="185"/>
      <c r="BT23" s="185" t="s">
        <v>404</v>
      </c>
      <c r="BU23" s="185"/>
      <c r="BV23" s="185"/>
      <c r="BW23" s="185"/>
      <c r="BX23" s="185"/>
      <c r="BY23" s="185"/>
      <c r="BZ23" s="185"/>
      <c r="CA23" s="185"/>
      <c r="CB23" s="185"/>
      <c r="CC23" s="185"/>
      <c r="CD23" s="185"/>
      <c r="CE23" s="185"/>
      <c r="CF23" s="185"/>
      <c r="CG23" s="185"/>
      <c r="CH23" s="185"/>
      <c r="CI23" s="185"/>
      <c r="CJ23" s="185"/>
      <c r="CK23" s="185"/>
      <c r="CL23" s="53"/>
      <c r="CM23" s="53"/>
      <c r="CN23" s="276" t="s">
        <v>375</v>
      </c>
      <c r="CO23" s="176" t="s">
        <v>476</v>
      </c>
      <c r="CP23" s="348" t="s">
        <v>386</v>
      </c>
      <c r="CQ23" s="339" t="s">
        <v>419</v>
      </c>
      <c r="CR23" s="185"/>
      <c r="CS23" s="185"/>
      <c r="CT23" s="185"/>
      <c r="CU23" s="185"/>
      <c r="CV23" s="185"/>
      <c r="CW23" s="185"/>
      <c r="CX23" s="185"/>
      <c r="CY23" s="185"/>
      <c r="CZ23" s="185"/>
      <c r="DA23" s="185"/>
      <c r="DB23" s="185" t="s">
        <v>386</v>
      </c>
      <c r="DC23" s="185"/>
      <c r="DD23" s="185"/>
      <c r="DE23" s="185"/>
      <c r="DF23" s="185"/>
      <c r="DG23" s="185"/>
      <c r="DH23" s="185"/>
      <c r="DI23" s="185"/>
      <c r="DJ23" s="185"/>
      <c r="DK23" s="185"/>
      <c r="DL23" s="185"/>
      <c r="DM23" s="185"/>
      <c r="DN23" s="185"/>
      <c r="DO23" s="185"/>
      <c r="DP23" s="185" t="s">
        <v>404</v>
      </c>
      <c r="DQ23" s="185" t="s">
        <v>375</v>
      </c>
      <c r="DR23" s="228" t="s">
        <v>412</v>
      </c>
      <c r="DS23" s="228" t="s">
        <v>357</v>
      </c>
      <c r="DT23" s="185" t="s">
        <v>376</v>
      </c>
      <c r="DU23" s="228"/>
      <c r="DV23" s="228"/>
      <c r="DW23" s="228"/>
      <c r="DX23" s="228"/>
      <c r="DY23" s="228"/>
      <c r="DZ23" s="228"/>
      <c r="EA23" s="228"/>
      <c r="EB23" s="228"/>
      <c r="EC23" s="185"/>
      <c r="ED23" s="185"/>
      <c r="EE23" s="185"/>
      <c r="EF23" s="185"/>
      <c r="EG23" s="185"/>
      <c r="EH23" s="228"/>
      <c r="EI23" s="185" t="s">
        <v>437</v>
      </c>
      <c r="EJ23" s="185"/>
      <c r="EK23" s="186"/>
      <c r="EL23" s="228" t="s">
        <v>411</v>
      </c>
      <c r="EM23" s="228"/>
      <c r="EN23" s="185"/>
      <c r="EO23" s="185"/>
      <c r="EP23" s="185"/>
      <c r="EQ23" s="185"/>
      <c r="ER23" s="185"/>
      <c r="ES23" s="185"/>
      <c r="ET23" s="185"/>
      <c r="EU23" s="185"/>
      <c r="EV23" s="185"/>
      <c r="EW23" s="185"/>
      <c r="EX23" s="228"/>
      <c r="EY23" s="185"/>
      <c r="EZ23" s="185"/>
      <c r="FA23" s="185"/>
      <c r="FB23" s="185"/>
      <c r="FC23" s="185"/>
      <c r="FD23" s="228"/>
      <c r="FE23" s="185"/>
      <c r="FF23" s="185"/>
      <c r="FG23" s="228"/>
      <c r="FH23" s="185" t="s">
        <v>404</v>
      </c>
      <c r="FI23" s="185" t="s">
        <v>412</v>
      </c>
      <c r="FJ23" s="185" t="s">
        <v>357</v>
      </c>
      <c r="FK23" s="185" t="s">
        <v>430</v>
      </c>
      <c r="FL23" s="185"/>
      <c r="FM23" s="185"/>
      <c r="FN23" s="185"/>
      <c r="FO23" s="185"/>
      <c r="FP23" s="185"/>
      <c r="FQ23" s="185"/>
      <c r="FR23" s="185"/>
      <c r="FS23" s="185"/>
      <c r="FT23" s="185"/>
      <c r="FU23" s="185"/>
      <c r="FV23" s="185"/>
      <c r="FW23" s="185"/>
      <c r="FX23" s="185"/>
      <c r="FY23" s="185"/>
      <c r="FZ23" s="185" t="s">
        <v>375</v>
      </c>
      <c r="GA23" s="185"/>
      <c r="GB23" s="185"/>
      <c r="GC23" s="185"/>
      <c r="GD23" s="185" t="s">
        <v>419</v>
      </c>
      <c r="GE23" s="228"/>
      <c r="GF23" s="185"/>
      <c r="GG23" s="185"/>
      <c r="GH23" s="185"/>
      <c r="GI23" s="185"/>
      <c r="GJ23" s="185"/>
      <c r="GK23" s="228"/>
      <c r="GL23" s="185"/>
      <c r="GM23" s="185" t="s">
        <v>411</v>
      </c>
      <c r="GN23" s="185" t="s">
        <v>375</v>
      </c>
      <c r="GO23" s="185"/>
      <c r="GP23" s="185"/>
      <c r="GQ23" s="185"/>
      <c r="GR23" s="185"/>
      <c r="GS23" s="185"/>
      <c r="GT23" s="185"/>
      <c r="GU23" s="185"/>
      <c r="GV23" s="185"/>
      <c r="GW23" s="185"/>
      <c r="GX23" s="185"/>
      <c r="GY23" s="185"/>
      <c r="GZ23" s="185"/>
      <c r="HA23" s="185"/>
      <c r="HB23" s="185"/>
      <c r="HC23" s="185"/>
      <c r="HD23" s="185"/>
      <c r="HE23" s="185"/>
      <c r="HF23" s="185"/>
      <c r="HG23" s="185"/>
      <c r="HH23" s="185"/>
      <c r="HI23" s="185"/>
      <c r="HJ23" s="185"/>
      <c r="HK23" s="185"/>
      <c r="HL23" s="185"/>
      <c r="HM23" s="185"/>
      <c r="HN23" s="185"/>
      <c r="HO23" s="185"/>
      <c r="HP23" s="185"/>
      <c r="HQ23" s="185"/>
      <c r="HR23" s="185" t="s">
        <v>386</v>
      </c>
      <c r="HS23" s="185"/>
      <c r="HT23" s="185"/>
      <c r="HU23" s="228" t="s">
        <v>404</v>
      </c>
      <c r="HV23" s="228" t="s">
        <v>462</v>
      </c>
      <c r="HW23" s="228"/>
      <c r="HX23" s="228"/>
      <c r="HY23" s="228"/>
      <c r="HZ23" s="228"/>
      <c r="IA23" s="228"/>
      <c r="IB23" s="228"/>
      <c r="IC23" s="228"/>
      <c r="ID23" s="185"/>
      <c r="IE23" s="185"/>
      <c r="IF23" s="185"/>
      <c r="IG23" s="185"/>
      <c r="IH23" s="185"/>
      <c r="II23" s="185"/>
      <c r="IJ23" s="185"/>
      <c r="IK23" s="185"/>
      <c r="IL23" s="185"/>
      <c r="IM23" s="185"/>
      <c r="IN23" s="185"/>
      <c r="IO23" s="185"/>
      <c r="IP23" s="185"/>
      <c r="IQ23" s="185"/>
      <c r="IR23" s="185"/>
      <c r="IS23" s="228" t="s">
        <v>412</v>
      </c>
      <c r="IT23" s="185" t="s">
        <v>379</v>
      </c>
      <c r="IU23" s="185"/>
      <c r="IV23" s="185"/>
      <c r="IW23" s="185"/>
      <c r="IX23" s="185"/>
      <c r="IY23" s="185"/>
      <c r="IZ23" s="185"/>
      <c r="JA23" s="185"/>
      <c r="JB23" s="185"/>
      <c r="JC23" s="185"/>
      <c r="JD23" s="185"/>
      <c r="JE23" s="185"/>
      <c r="JF23" s="185"/>
      <c r="JG23" s="185"/>
      <c r="JH23" s="185"/>
      <c r="JI23" s="185" t="s">
        <v>432</v>
      </c>
      <c r="JJ23" s="322" t="s">
        <v>391</v>
      </c>
      <c r="JK23" s="185" t="s">
        <v>380</v>
      </c>
      <c r="JL23" s="228"/>
      <c r="JM23" s="228"/>
      <c r="JN23" s="274" t="s">
        <v>462</v>
      </c>
      <c r="JO23" s="228"/>
      <c r="JP23" s="228"/>
      <c r="JQ23" s="228"/>
      <c r="JR23" s="228"/>
      <c r="JS23" s="228"/>
      <c r="JT23" s="228"/>
      <c r="JU23" s="228"/>
      <c r="JV23" s="228"/>
      <c r="JW23" s="228"/>
      <c r="JX23" s="228"/>
      <c r="JY23" s="228"/>
      <c r="JZ23" s="228"/>
      <c r="KA23" s="228"/>
      <c r="KB23" s="228"/>
      <c r="KC23" s="228"/>
      <c r="KD23" s="228"/>
      <c r="KE23" s="228"/>
      <c r="KF23" s="228"/>
      <c r="KG23" s="228"/>
      <c r="KH23" s="228"/>
      <c r="KI23" s="228"/>
      <c r="KJ23" s="228" t="s">
        <v>379</v>
      </c>
      <c r="KK23" s="185"/>
      <c r="KL23" s="185"/>
      <c r="KM23" s="185"/>
      <c r="KN23" s="185"/>
      <c r="KO23" s="185"/>
      <c r="KP23" s="185"/>
      <c r="KQ23" s="185"/>
      <c r="KR23" s="185"/>
      <c r="KS23" s="185"/>
      <c r="KT23" s="185"/>
      <c r="KU23" s="185"/>
      <c r="KV23" s="185"/>
      <c r="KW23" s="185"/>
      <c r="KX23" s="185"/>
      <c r="KY23" s="185"/>
      <c r="KZ23" s="185"/>
      <c r="LA23" s="228"/>
      <c r="LB23" s="228" t="s">
        <v>432</v>
      </c>
      <c r="LC23" s="228"/>
      <c r="LD23" s="228" t="s">
        <v>393</v>
      </c>
      <c r="LE23" s="228"/>
      <c r="LF23" s="233">
        <v>0.45833333333333298</v>
      </c>
    </row>
    <row r="24" spans="2:318" s="279" customFormat="1" ht="10.95" customHeight="1">
      <c r="B24" s="279">
        <v>0.25</v>
      </c>
      <c r="C24" s="279">
        <v>0.25</v>
      </c>
      <c r="D24" s="279">
        <v>0.25</v>
      </c>
      <c r="E24" s="172">
        <v>0.44791666666666669</v>
      </c>
      <c r="F24" s="323" t="s">
        <v>419</v>
      </c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5"/>
      <c r="AJ24" s="185"/>
      <c r="AK24" s="185"/>
      <c r="AL24" s="185"/>
      <c r="AM24" s="185"/>
      <c r="AN24" s="185"/>
      <c r="AO24" s="185"/>
      <c r="AP24" s="185"/>
      <c r="AQ24" s="324"/>
      <c r="AR24" s="324"/>
      <c r="AS24" s="324"/>
      <c r="AT24" s="274" t="s">
        <v>462</v>
      </c>
      <c r="AU24" s="185" t="s">
        <v>449</v>
      </c>
      <c r="AV24" s="185"/>
      <c r="AW24" s="185"/>
      <c r="AX24" s="185" t="s">
        <v>404</v>
      </c>
      <c r="AY24" s="228" t="s">
        <v>462</v>
      </c>
      <c r="AZ24" s="185" t="s">
        <v>471</v>
      </c>
      <c r="BA24" s="185"/>
      <c r="BB24" s="185"/>
      <c r="BC24" s="185"/>
      <c r="BD24" s="185"/>
      <c r="BE24" s="185"/>
      <c r="BF24" s="185"/>
      <c r="BG24" s="185"/>
      <c r="BH24" s="185"/>
      <c r="BI24" s="185"/>
      <c r="BJ24" s="185"/>
      <c r="BK24" s="185"/>
      <c r="BL24" s="185"/>
      <c r="BM24" s="185"/>
      <c r="BN24" s="185"/>
      <c r="BO24" s="185"/>
      <c r="BP24" s="185"/>
      <c r="BQ24" s="185"/>
      <c r="BR24" s="185"/>
      <c r="BS24" s="185"/>
      <c r="BT24" s="185" t="s">
        <v>404</v>
      </c>
      <c r="BU24" s="185"/>
      <c r="BV24" s="185"/>
      <c r="BW24" s="185"/>
      <c r="BX24" s="185"/>
      <c r="BY24" s="185"/>
      <c r="BZ24" s="185"/>
      <c r="CA24" s="185"/>
      <c r="CB24" s="185"/>
      <c r="CC24" s="185"/>
      <c r="CD24" s="185"/>
      <c r="CE24" s="185"/>
      <c r="CF24" s="185"/>
      <c r="CG24" s="185"/>
      <c r="CH24" s="185"/>
      <c r="CI24" s="185"/>
      <c r="CJ24" s="185"/>
      <c r="CK24" s="185"/>
      <c r="CL24" s="53"/>
      <c r="CM24" s="53"/>
      <c r="CN24" s="276" t="s">
        <v>375</v>
      </c>
      <c r="CO24" s="176" t="s">
        <v>476</v>
      </c>
      <c r="CP24" s="348" t="s">
        <v>386</v>
      </c>
      <c r="CQ24" s="339" t="s">
        <v>386</v>
      </c>
      <c r="CR24" s="185" t="s">
        <v>419</v>
      </c>
      <c r="CS24" s="185"/>
      <c r="CT24" s="185"/>
      <c r="CU24" s="185"/>
      <c r="CV24" s="185"/>
      <c r="CW24" s="185"/>
      <c r="CX24" s="185"/>
      <c r="CY24" s="185"/>
      <c r="CZ24" s="185"/>
      <c r="DA24" s="185"/>
      <c r="DB24" s="185"/>
      <c r="DC24" s="185"/>
      <c r="DD24" s="185"/>
      <c r="DE24" s="185"/>
      <c r="DF24" s="185"/>
      <c r="DG24" s="185"/>
      <c r="DH24" s="185"/>
      <c r="DI24" s="185"/>
      <c r="DJ24" s="185"/>
      <c r="DK24" s="185"/>
      <c r="DL24" s="185"/>
      <c r="DM24" s="185"/>
      <c r="DN24" s="185"/>
      <c r="DO24" s="185"/>
      <c r="DP24" s="185" t="s">
        <v>404</v>
      </c>
      <c r="DQ24" s="185" t="s">
        <v>375</v>
      </c>
      <c r="DR24" s="228" t="s">
        <v>412</v>
      </c>
      <c r="DS24" s="228" t="s">
        <v>357</v>
      </c>
      <c r="DT24" s="185" t="s">
        <v>376</v>
      </c>
      <c r="DU24" s="228"/>
      <c r="DV24" s="228"/>
      <c r="DW24" s="228"/>
      <c r="DX24" s="228"/>
      <c r="DY24" s="228"/>
      <c r="DZ24" s="228"/>
      <c r="EA24" s="228"/>
      <c r="EB24" s="228"/>
      <c r="EC24" s="185"/>
      <c r="ED24" s="185"/>
      <c r="EE24" s="185"/>
      <c r="EF24" s="185"/>
      <c r="EG24" s="185"/>
      <c r="EH24" s="228"/>
      <c r="EI24" s="185" t="s">
        <v>437</v>
      </c>
      <c r="EJ24" s="185"/>
      <c r="EK24" s="186"/>
      <c r="EL24" s="228" t="s">
        <v>411</v>
      </c>
      <c r="EM24" s="228"/>
      <c r="EN24" s="185"/>
      <c r="EO24" s="185"/>
      <c r="EP24" s="185"/>
      <c r="EQ24" s="185"/>
      <c r="ER24" s="185"/>
      <c r="ES24" s="185"/>
      <c r="ET24" s="185" t="s">
        <v>471</v>
      </c>
      <c r="EU24" s="185"/>
      <c r="EV24" s="185"/>
      <c r="EW24" s="185"/>
      <c r="EX24" s="228"/>
      <c r="EY24" s="185"/>
      <c r="EZ24" s="185"/>
      <c r="FA24" s="185"/>
      <c r="FB24" s="185"/>
      <c r="FC24" s="185"/>
      <c r="FD24" s="228"/>
      <c r="FE24" s="185"/>
      <c r="FF24" s="185"/>
      <c r="FG24" s="228"/>
      <c r="FH24" s="185" t="s">
        <v>404</v>
      </c>
      <c r="FI24" s="185" t="s">
        <v>412</v>
      </c>
      <c r="FJ24" s="185" t="s">
        <v>357</v>
      </c>
      <c r="FK24" s="185" t="s">
        <v>430</v>
      </c>
      <c r="FL24" s="185"/>
      <c r="FM24" s="185"/>
      <c r="FN24" s="185"/>
      <c r="FO24" s="185"/>
      <c r="FP24" s="185"/>
      <c r="FQ24" s="185"/>
      <c r="FR24" s="185"/>
      <c r="FS24" s="185"/>
      <c r="FT24" s="185"/>
      <c r="FU24" s="185"/>
      <c r="FV24" s="185"/>
      <c r="FW24" s="185"/>
      <c r="FX24" s="185"/>
      <c r="FY24" s="185"/>
      <c r="FZ24" s="185" t="s">
        <v>375</v>
      </c>
      <c r="GA24" s="185"/>
      <c r="GB24" s="185"/>
      <c r="GC24" s="185"/>
      <c r="GD24" s="185" t="s">
        <v>419</v>
      </c>
      <c r="GE24" s="228"/>
      <c r="GF24" s="185"/>
      <c r="GG24" s="185"/>
      <c r="GH24" s="185"/>
      <c r="GI24" s="185"/>
      <c r="GJ24" s="185"/>
      <c r="GK24" s="228"/>
      <c r="GL24" s="185"/>
      <c r="GM24" s="185" t="s">
        <v>411</v>
      </c>
      <c r="GN24" s="185" t="s">
        <v>375</v>
      </c>
      <c r="GO24" s="185"/>
      <c r="GP24" s="185"/>
      <c r="GQ24" s="185"/>
      <c r="GR24" s="185"/>
      <c r="GS24" s="185"/>
      <c r="GT24" s="185"/>
      <c r="GU24" s="185"/>
      <c r="GV24" s="185"/>
      <c r="GW24" s="185"/>
      <c r="GX24" s="185"/>
      <c r="GY24" s="185"/>
      <c r="GZ24" s="185"/>
      <c r="HA24" s="185"/>
      <c r="HB24" s="185"/>
      <c r="HC24" s="185"/>
      <c r="HD24" s="185"/>
      <c r="HE24" s="185"/>
      <c r="HF24" s="185"/>
      <c r="HG24" s="185"/>
      <c r="HH24" s="185"/>
      <c r="HI24" s="185"/>
      <c r="HJ24" s="185"/>
      <c r="HK24" s="185"/>
      <c r="HL24" s="185"/>
      <c r="HM24" s="185"/>
      <c r="HN24" s="185"/>
      <c r="HO24" s="185"/>
      <c r="HP24" s="185"/>
      <c r="HQ24" s="185"/>
      <c r="HR24" s="185" t="s">
        <v>386</v>
      </c>
      <c r="HS24" s="185"/>
      <c r="HT24" s="185"/>
      <c r="HU24" s="228" t="s">
        <v>404</v>
      </c>
      <c r="HV24" s="228" t="s">
        <v>462</v>
      </c>
      <c r="HW24" s="228"/>
      <c r="HX24" s="228"/>
      <c r="HY24" s="228"/>
      <c r="HZ24" s="228"/>
      <c r="IA24" s="228"/>
      <c r="IB24" s="228"/>
      <c r="IC24" s="228"/>
      <c r="ID24" s="185"/>
      <c r="IE24" s="185"/>
      <c r="IF24" s="185"/>
      <c r="IG24" s="185"/>
      <c r="IH24" s="185"/>
      <c r="II24" s="185"/>
      <c r="IJ24" s="185"/>
      <c r="IK24" s="185"/>
      <c r="IL24" s="185"/>
      <c r="IM24" s="185"/>
      <c r="IN24" s="185"/>
      <c r="IO24" s="185"/>
      <c r="IP24" s="185"/>
      <c r="IQ24" s="185"/>
      <c r="IR24" s="185"/>
      <c r="IS24" s="228" t="s">
        <v>412</v>
      </c>
      <c r="IT24" s="185" t="s">
        <v>379</v>
      </c>
      <c r="IU24" s="185"/>
      <c r="IV24" s="185"/>
      <c r="IW24" s="185"/>
      <c r="IX24" s="185"/>
      <c r="IY24" s="185"/>
      <c r="IZ24" s="185"/>
      <c r="JA24" s="185"/>
      <c r="JB24" s="185"/>
      <c r="JC24" s="185"/>
      <c r="JD24" s="185"/>
      <c r="JE24" s="185"/>
      <c r="JF24" s="185"/>
      <c r="JG24" s="185"/>
      <c r="JH24" s="185"/>
      <c r="JI24" s="185" t="s">
        <v>432</v>
      </c>
      <c r="JJ24" s="322" t="s">
        <v>391</v>
      </c>
      <c r="JK24" s="185" t="s">
        <v>380</v>
      </c>
      <c r="JL24" s="228"/>
      <c r="JM24" s="228"/>
      <c r="JN24" s="274" t="s">
        <v>462</v>
      </c>
      <c r="JO24" s="228"/>
      <c r="JP24" s="228"/>
      <c r="JQ24" s="228"/>
      <c r="JR24" s="228"/>
      <c r="JS24" s="228"/>
      <c r="JT24" s="228"/>
      <c r="JU24" s="228"/>
      <c r="JV24" s="228"/>
      <c r="JW24" s="228"/>
      <c r="JX24" s="228"/>
      <c r="JY24" s="228"/>
      <c r="JZ24" s="228"/>
      <c r="KA24" s="228"/>
      <c r="KB24" s="228"/>
      <c r="KC24" s="228"/>
      <c r="KD24" s="228"/>
      <c r="KE24" s="228"/>
      <c r="KF24" s="228"/>
      <c r="KG24" s="228"/>
      <c r="KH24" s="228"/>
      <c r="KI24" s="228"/>
      <c r="KJ24" s="228" t="s">
        <v>379</v>
      </c>
      <c r="KK24" s="185" t="s">
        <v>457</v>
      </c>
      <c r="KL24" s="185"/>
      <c r="KM24" s="185"/>
      <c r="KN24" s="185"/>
      <c r="KO24" s="185"/>
      <c r="KP24" s="185"/>
      <c r="KQ24" s="185"/>
      <c r="KR24" s="185"/>
      <c r="KS24" s="185"/>
      <c r="KT24" s="185"/>
      <c r="KU24" s="185"/>
      <c r="KV24" s="185"/>
      <c r="KW24" s="185"/>
      <c r="KX24" s="185"/>
      <c r="KY24" s="185"/>
      <c r="KZ24" s="185"/>
      <c r="LA24" s="228"/>
      <c r="LB24" s="228" t="s">
        <v>432</v>
      </c>
      <c r="LC24" s="228"/>
      <c r="LD24" s="228" t="s">
        <v>393</v>
      </c>
      <c r="LE24" s="228"/>
      <c r="LF24" s="282">
        <v>0.46875</v>
      </c>
    </row>
    <row r="25" spans="2:318" ht="10.5" customHeight="1">
      <c r="B25" s="49">
        <v>0.25</v>
      </c>
      <c r="C25" s="49">
        <v>0.25</v>
      </c>
      <c r="D25" s="49">
        <v>0.25</v>
      </c>
      <c r="E25" s="172">
        <v>0.45833333333333331</v>
      </c>
      <c r="F25" s="323" t="s">
        <v>419</v>
      </c>
      <c r="G25" s="185"/>
      <c r="H25" s="185"/>
      <c r="I25" s="185"/>
      <c r="J25" s="185"/>
      <c r="K25" s="185"/>
      <c r="L25" s="185"/>
      <c r="M25" s="185"/>
      <c r="N25" s="185"/>
      <c r="O25" s="185"/>
      <c r="P25" s="185" t="s">
        <v>375</v>
      </c>
      <c r="Q25" s="185"/>
      <c r="R25" s="185"/>
      <c r="S25" s="185"/>
      <c r="T25" s="185"/>
      <c r="U25" s="185" t="s">
        <v>462</v>
      </c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  <c r="AG25" s="185"/>
      <c r="AH25" s="185"/>
      <c r="AI25" s="185"/>
      <c r="AJ25" s="185"/>
      <c r="AK25" s="185"/>
      <c r="AL25" s="185"/>
      <c r="AM25" s="185"/>
      <c r="AN25" s="185"/>
      <c r="AO25" s="185"/>
      <c r="AP25" s="185"/>
      <c r="AQ25" s="324"/>
      <c r="AR25" s="324"/>
      <c r="AS25" s="324"/>
      <c r="AT25" s="228"/>
      <c r="AU25" s="185"/>
      <c r="AV25" s="185"/>
      <c r="AW25" s="185"/>
      <c r="AX25" s="185" t="s">
        <v>404</v>
      </c>
      <c r="AY25" s="228" t="s">
        <v>462</v>
      </c>
      <c r="AZ25" s="185" t="s">
        <v>471</v>
      </c>
      <c r="BA25" s="185"/>
      <c r="BB25" s="185"/>
      <c r="BC25" s="185"/>
      <c r="BD25" s="185"/>
      <c r="BE25" s="185"/>
      <c r="BF25" s="185"/>
      <c r="BG25" s="185"/>
      <c r="BH25" s="185"/>
      <c r="BI25" s="185"/>
      <c r="BJ25" s="185"/>
      <c r="BK25" s="185"/>
      <c r="BL25" s="185"/>
      <c r="BM25" s="185"/>
      <c r="BN25" s="185"/>
      <c r="BO25" s="185"/>
      <c r="BP25" s="185"/>
      <c r="BQ25" s="185"/>
      <c r="BR25" s="185"/>
      <c r="BS25" s="185"/>
      <c r="BT25" s="185" t="s">
        <v>404</v>
      </c>
      <c r="BU25" s="185"/>
      <c r="BV25" s="185"/>
      <c r="BW25" s="185"/>
      <c r="BX25" s="185"/>
      <c r="BY25" s="185"/>
      <c r="BZ25" s="185"/>
      <c r="CA25" s="185"/>
      <c r="CB25" s="185"/>
      <c r="CC25" s="185"/>
      <c r="CD25" s="185"/>
      <c r="CE25" s="185"/>
      <c r="CF25" s="185"/>
      <c r="CG25" s="185"/>
      <c r="CH25" s="185"/>
      <c r="CI25" s="185"/>
      <c r="CJ25" s="185"/>
      <c r="CK25" s="185"/>
      <c r="CL25" s="53"/>
      <c r="CM25" s="53"/>
      <c r="CN25" s="276" t="s">
        <v>375</v>
      </c>
      <c r="CO25" s="53"/>
      <c r="CP25" s="348" t="s">
        <v>386</v>
      </c>
      <c r="CQ25" s="339" t="s">
        <v>386</v>
      </c>
      <c r="CR25" s="185"/>
      <c r="CS25" s="185"/>
      <c r="CT25" s="185"/>
      <c r="CU25" s="185"/>
      <c r="CV25" s="185"/>
      <c r="CW25" s="185"/>
      <c r="CX25" s="185"/>
      <c r="CY25" s="185"/>
      <c r="CZ25" s="185"/>
      <c r="DA25" s="185"/>
      <c r="DB25" s="185" t="s">
        <v>375</v>
      </c>
      <c r="DC25" s="185"/>
      <c r="DD25" s="185"/>
      <c r="DE25" s="185"/>
      <c r="DF25" s="185" t="s">
        <v>419</v>
      </c>
      <c r="DG25" s="185"/>
      <c r="DH25" s="185"/>
      <c r="DI25" s="185" t="s">
        <v>404</v>
      </c>
      <c r="DJ25" s="185"/>
      <c r="DK25" s="185"/>
      <c r="DL25" s="185"/>
      <c r="DM25" s="185"/>
      <c r="DN25" s="185"/>
      <c r="DO25" s="185"/>
      <c r="DP25" s="280"/>
      <c r="DQ25" s="185"/>
      <c r="DR25" s="280"/>
      <c r="DS25" s="185"/>
      <c r="DT25" s="185" t="s">
        <v>376</v>
      </c>
      <c r="DU25" s="185"/>
      <c r="DV25" s="185"/>
      <c r="DW25" s="185"/>
      <c r="DX25" s="185"/>
      <c r="DY25" s="185"/>
      <c r="DZ25" s="185"/>
      <c r="EA25" s="185"/>
      <c r="EB25" s="185"/>
      <c r="EC25" s="185"/>
      <c r="ED25" s="185"/>
      <c r="EE25" s="185"/>
      <c r="EF25" s="185"/>
      <c r="EG25" s="185"/>
      <c r="EH25" s="228"/>
      <c r="EI25" s="185" t="s">
        <v>437</v>
      </c>
      <c r="EJ25" s="185"/>
      <c r="EK25" s="186"/>
      <c r="EL25" s="228" t="s">
        <v>411</v>
      </c>
      <c r="EM25" s="228"/>
      <c r="EN25" s="185"/>
      <c r="EO25" s="185"/>
      <c r="EP25" s="185"/>
      <c r="EQ25" s="185"/>
      <c r="ER25" s="185"/>
      <c r="ES25" s="185"/>
      <c r="ET25" s="185" t="s">
        <v>471</v>
      </c>
      <c r="EU25" s="185"/>
      <c r="EV25" s="185"/>
      <c r="EW25" s="185"/>
      <c r="EX25" s="228"/>
      <c r="EY25" s="185"/>
      <c r="EZ25" s="185"/>
      <c r="FA25" s="185"/>
      <c r="FB25" s="280"/>
      <c r="FC25" s="185"/>
      <c r="FD25" s="228"/>
      <c r="FE25" s="185"/>
      <c r="FF25" s="185"/>
      <c r="FG25" s="228"/>
      <c r="FH25" s="185" t="s">
        <v>404</v>
      </c>
      <c r="FI25" s="185" t="s">
        <v>412</v>
      </c>
      <c r="FJ25" s="185" t="s">
        <v>357</v>
      </c>
      <c r="FK25" s="185" t="s">
        <v>430</v>
      </c>
      <c r="FL25" s="185"/>
      <c r="FM25" s="185"/>
      <c r="FN25" s="185"/>
      <c r="FO25" s="185"/>
      <c r="FP25" s="185"/>
      <c r="FQ25" s="185"/>
      <c r="FR25" s="185"/>
      <c r="FS25" s="185"/>
      <c r="FT25" s="185"/>
      <c r="FU25" s="185"/>
      <c r="FV25" s="185"/>
      <c r="FW25" s="185"/>
      <c r="FX25" s="185"/>
      <c r="FY25" s="185"/>
      <c r="FZ25" s="185" t="s">
        <v>375</v>
      </c>
      <c r="GA25" s="185"/>
      <c r="GB25" s="185"/>
      <c r="GC25" s="185"/>
      <c r="GD25" s="185" t="s">
        <v>462</v>
      </c>
      <c r="GE25" s="228"/>
      <c r="GF25" s="185"/>
      <c r="GG25" s="185"/>
      <c r="GH25" s="185"/>
      <c r="GI25" s="185"/>
      <c r="GJ25" s="185"/>
      <c r="GK25" s="228"/>
      <c r="GL25" s="185" t="s">
        <v>419</v>
      </c>
      <c r="GM25" s="185" t="s">
        <v>411</v>
      </c>
      <c r="GN25" s="185" t="s">
        <v>375</v>
      </c>
      <c r="GO25" s="185"/>
      <c r="GP25" s="185"/>
      <c r="GQ25" s="185"/>
      <c r="GR25" s="185"/>
      <c r="GS25" s="185"/>
      <c r="GT25" s="185"/>
      <c r="GU25" s="185"/>
      <c r="GV25" s="185"/>
      <c r="GW25" s="185"/>
      <c r="GX25" s="185"/>
      <c r="GY25" s="185"/>
      <c r="GZ25" s="185"/>
      <c r="HA25" s="185"/>
      <c r="HB25" s="185"/>
      <c r="HC25" s="185"/>
      <c r="HD25" s="185"/>
      <c r="HE25" s="185"/>
      <c r="HF25" s="185"/>
      <c r="HG25" s="185"/>
      <c r="HH25" s="185"/>
      <c r="HI25" s="185"/>
      <c r="HJ25" s="185"/>
      <c r="HK25" s="185"/>
      <c r="HL25" s="185"/>
      <c r="HM25" s="185"/>
      <c r="HN25" s="185"/>
      <c r="HO25" s="185"/>
      <c r="HP25" s="185"/>
      <c r="HQ25" s="185"/>
      <c r="HR25" s="185" t="s">
        <v>386</v>
      </c>
      <c r="HS25" s="185"/>
      <c r="HT25" s="185"/>
      <c r="HU25" s="228" t="s">
        <v>404</v>
      </c>
      <c r="HV25" s="228" t="s">
        <v>471</v>
      </c>
      <c r="HW25" s="228"/>
      <c r="HX25" s="228"/>
      <c r="HY25" s="228"/>
      <c r="HZ25" s="228"/>
      <c r="IA25" s="228"/>
      <c r="IB25" s="228"/>
      <c r="IC25" s="228"/>
      <c r="ID25" s="185"/>
      <c r="IE25" s="185"/>
      <c r="IF25" s="185" t="s">
        <v>462</v>
      </c>
      <c r="IG25" s="185"/>
      <c r="IH25" s="185"/>
      <c r="II25" s="185"/>
      <c r="IJ25" s="185"/>
      <c r="IK25" s="185"/>
      <c r="IL25" s="185"/>
      <c r="IM25" s="185"/>
      <c r="IN25" s="185"/>
      <c r="IO25" s="185"/>
      <c r="IP25" s="185"/>
      <c r="IQ25" s="185"/>
      <c r="IR25" s="185"/>
      <c r="IS25" s="228" t="s">
        <v>412</v>
      </c>
      <c r="IT25" s="185" t="s">
        <v>379</v>
      </c>
      <c r="IU25" s="185"/>
      <c r="IV25" s="185"/>
      <c r="IW25" s="185"/>
      <c r="IX25" s="185"/>
      <c r="IY25" s="185"/>
      <c r="IZ25" s="185"/>
      <c r="JA25" s="185"/>
      <c r="JB25" s="185"/>
      <c r="JC25" s="185"/>
      <c r="JD25" s="185"/>
      <c r="JE25" s="185"/>
      <c r="JF25" s="185"/>
      <c r="JG25" s="185"/>
      <c r="JH25" s="185"/>
      <c r="JI25" s="185"/>
      <c r="JJ25" s="322" t="s">
        <v>391</v>
      </c>
      <c r="JK25" s="185" t="s">
        <v>380</v>
      </c>
      <c r="JL25" s="228"/>
      <c r="JM25" s="228"/>
      <c r="JN25" s="274" t="s">
        <v>462</v>
      </c>
      <c r="JO25" s="228"/>
      <c r="JP25" s="228"/>
      <c r="JQ25" s="228"/>
      <c r="JR25" s="228"/>
      <c r="JS25" s="228"/>
      <c r="JT25" s="228"/>
      <c r="JU25" s="228"/>
      <c r="JV25" s="228"/>
      <c r="JW25" s="228"/>
      <c r="JX25" s="228"/>
      <c r="JY25" s="228"/>
      <c r="JZ25" s="228"/>
      <c r="KA25" s="228"/>
      <c r="KB25" s="228"/>
      <c r="KC25" s="228"/>
      <c r="KD25" s="228"/>
      <c r="KE25" s="228"/>
      <c r="KF25" s="228"/>
      <c r="KG25" s="228"/>
      <c r="KH25" s="228"/>
      <c r="KI25" s="228"/>
      <c r="KJ25" s="228" t="s">
        <v>379</v>
      </c>
      <c r="KK25" s="185" t="s">
        <v>457</v>
      </c>
      <c r="KL25" s="185"/>
      <c r="KM25" s="185"/>
      <c r="KN25" s="185"/>
      <c r="KO25" s="185"/>
      <c r="KP25" s="185"/>
      <c r="KQ25" s="185"/>
      <c r="KR25" s="185"/>
      <c r="KS25" s="185"/>
      <c r="KT25" s="185"/>
      <c r="KU25" s="185"/>
      <c r="KV25" s="185"/>
      <c r="KW25" s="185"/>
      <c r="KX25" s="185"/>
      <c r="KY25" s="185"/>
      <c r="KZ25" s="185"/>
      <c r="LA25" s="228"/>
      <c r="LB25" s="228" t="s">
        <v>432</v>
      </c>
      <c r="LC25" s="228"/>
      <c r="LD25" s="228" t="s">
        <v>393</v>
      </c>
      <c r="LE25" s="228"/>
      <c r="LF25" s="233">
        <v>0.47916666666666602</v>
      </c>
    </row>
    <row r="26" spans="2:318" ht="10.95" customHeight="1">
      <c r="B26" s="49">
        <v>0.25</v>
      </c>
      <c r="C26" s="49">
        <v>0.25</v>
      </c>
      <c r="D26" s="49">
        <v>0.25</v>
      </c>
      <c r="E26" s="172">
        <v>0.46875</v>
      </c>
      <c r="F26" s="323" t="s">
        <v>462</v>
      </c>
      <c r="G26" s="185"/>
      <c r="H26" s="185"/>
      <c r="I26" s="185"/>
      <c r="J26" s="185"/>
      <c r="K26" s="185"/>
      <c r="L26" s="185"/>
      <c r="M26" s="185"/>
      <c r="N26" s="185"/>
      <c r="O26" s="185"/>
      <c r="P26" s="185" t="s">
        <v>375</v>
      </c>
      <c r="Q26" s="185"/>
      <c r="R26" s="185"/>
      <c r="S26" s="185"/>
      <c r="T26" s="185"/>
      <c r="U26" s="185" t="s">
        <v>419</v>
      </c>
      <c r="V26" s="185"/>
      <c r="W26" s="185"/>
      <c r="X26" s="185"/>
      <c r="Y26" s="185"/>
      <c r="Z26" s="185"/>
      <c r="AA26" s="185"/>
      <c r="AB26" s="185"/>
      <c r="AC26" s="185"/>
      <c r="AD26" s="185"/>
      <c r="AE26" s="185"/>
      <c r="AF26" s="185"/>
      <c r="AG26" s="185"/>
      <c r="AH26" s="185"/>
      <c r="AI26" s="185"/>
      <c r="AJ26" s="185"/>
      <c r="AK26" s="185"/>
      <c r="AL26" s="185"/>
      <c r="AM26" s="185"/>
      <c r="AN26" s="185"/>
      <c r="AO26" s="185"/>
      <c r="AP26" s="185"/>
      <c r="AQ26" s="324"/>
      <c r="AR26" s="324"/>
      <c r="AS26" s="324"/>
      <c r="AT26" s="228"/>
      <c r="AU26" s="185"/>
      <c r="AV26" s="185"/>
      <c r="AW26" s="185"/>
      <c r="AX26" s="185" t="s">
        <v>404</v>
      </c>
      <c r="AY26" s="185" t="s">
        <v>471</v>
      </c>
      <c r="AZ26" s="185"/>
      <c r="BA26" s="280"/>
      <c r="BB26" s="280"/>
      <c r="BC26" s="280"/>
      <c r="BD26" s="280"/>
      <c r="BE26" s="185"/>
      <c r="BF26" s="185"/>
      <c r="BG26" s="185"/>
      <c r="BH26" s="185"/>
      <c r="BI26" s="185"/>
      <c r="BJ26" s="185"/>
      <c r="BK26" s="185"/>
      <c r="BL26" s="280"/>
      <c r="BM26" s="280"/>
      <c r="BN26" s="280" t="s">
        <v>462</v>
      </c>
      <c r="BO26" s="280"/>
      <c r="BP26" s="280"/>
      <c r="BQ26" s="185"/>
      <c r="BR26" s="185"/>
      <c r="BS26" s="185"/>
      <c r="BT26" s="185" t="s">
        <v>404</v>
      </c>
      <c r="BU26" s="185"/>
      <c r="BV26" s="185"/>
      <c r="BW26" s="185"/>
      <c r="BX26" s="280"/>
      <c r="BY26" s="280"/>
      <c r="BZ26" s="280"/>
      <c r="CA26" s="280"/>
      <c r="CB26" s="280"/>
      <c r="CC26" s="280"/>
      <c r="CD26" s="280"/>
      <c r="CE26" s="280"/>
      <c r="CF26" s="280"/>
      <c r="CG26" s="280"/>
      <c r="CH26" s="280"/>
      <c r="CI26" s="280"/>
      <c r="CJ26" s="280"/>
      <c r="CK26" s="280"/>
      <c r="CL26" s="349"/>
      <c r="CM26" s="349"/>
      <c r="CN26" s="276" t="s">
        <v>375</v>
      </c>
      <c r="CO26" s="349"/>
      <c r="CP26" s="348" t="s">
        <v>386</v>
      </c>
      <c r="CQ26" s="339" t="s">
        <v>386</v>
      </c>
      <c r="CR26" s="185"/>
      <c r="CS26" s="280"/>
      <c r="CT26" s="280"/>
      <c r="CU26" s="280"/>
      <c r="CV26" s="280"/>
      <c r="CW26" s="280"/>
      <c r="CX26" s="185"/>
      <c r="CY26" s="185"/>
      <c r="CZ26" s="185"/>
      <c r="DA26" s="185"/>
      <c r="DB26" s="185" t="s">
        <v>375</v>
      </c>
      <c r="DC26" s="185"/>
      <c r="DD26" s="280"/>
      <c r="DE26" s="280"/>
      <c r="DF26" s="185"/>
      <c r="DG26" s="185"/>
      <c r="DH26" s="280"/>
      <c r="DI26" s="185" t="s">
        <v>404</v>
      </c>
      <c r="DJ26" s="185"/>
      <c r="DK26" s="185"/>
      <c r="DL26" s="185"/>
      <c r="DM26" s="280"/>
      <c r="DN26" s="185"/>
      <c r="DO26" s="185"/>
      <c r="DP26" s="280"/>
      <c r="DQ26" s="185"/>
      <c r="DR26" s="280"/>
      <c r="DS26" s="280"/>
      <c r="DT26" s="185" t="s">
        <v>376</v>
      </c>
      <c r="DU26" s="280"/>
      <c r="DV26" s="280"/>
      <c r="DW26" s="280"/>
      <c r="DX26" s="280"/>
      <c r="DY26" s="280"/>
      <c r="DZ26" s="280"/>
      <c r="EA26" s="280"/>
      <c r="EB26" s="280"/>
      <c r="EC26" s="280"/>
      <c r="ED26" s="280"/>
      <c r="EE26" s="280"/>
      <c r="EF26" s="280"/>
      <c r="EG26" s="280"/>
      <c r="EH26" s="228"/>
      <c r="EI26" s="185" t="s">
        <v>437</v>
      </c>
      <c r="EJ26" s="280"/>
      <c r="EK26" s="278" t="s">
        <v>419</v>
      </c>
      <c r="EL26" s="228" t="s">
        <v>411</v>
      </c>
      <c r="EM26" s="228"/>
      <c r="EN26" s="280"/>
      <c r="EO26" s="280"/>
      <c r="EP26" s="280"/>
      <c r="EQ26" s="280"/>
      <c r="ER26" s="280"/>
      <c r="ES26" s="185"/>
      <c r="ET26" s="185"/>
      <c r="EU26" s="185"/>
      <c r="EV26" s="185"/>
      <c r="EW26" s="185"/>
      <c r="EX26" s="228"/>
      <c r="EY26" s="280"/>
      <c r="EZ26" s="280"/>
      <c r="FA26" s="185" t="s">
        <v>404</v>
      </c>
      <c r="FB26" s="280" t="s">
        <v>471</v>
      </c>
      <c r="FC26" s="280"/>
      <c r="FD26" s="228"/>
      <c r="FE26" s="280"/>
      <c r="FF26" s="280"/>
      <c r="FG26" s="228"/>
      <c r="FH26" s="185"/>
      <c r="FI26" s="185"/>
      <c r="FJ26" s="185"/>
      <c r="FK26" s="185"/>
      <c r="FL26" s="185"/>
      <c r="FM26" s="280"/>
      <c r="FN26" s="280"/>
      <c r="FO26" s="280"/>
      <c r="FP26" s="280"/>
      <c r="FQ26" s="280"/>
      <c r="FR26" s="280"/>
      <c r="FS26" s="280"/>
      <c r="FT26" s="280"/>
      <c r="FU26" s="280"/>
      <c r="FV26" s="280"/>
      <c r="FW26" s="280"/>
      <c r="FX26" s="280"/>
      <c r="FY26" s="280"/>
      <c r="FZ26" s="185" t="s">
        <v>375</v>
      </c>
      <c r="GA26" s="185"/>
      <c r="GB26" s="185"/>
      <c r="GC26" s="280"/>
      <c r="GD26" s="185" t="s">
        <v>462</v>
      </c>
      <c r="GE26" s="228"/>
      <c r="GF26" s="185"/>
      <c r="GG26" s="280"/>
      <c r="GH26" s="280"/>
      <c r="GI26" s="280"/>
      <c r="GJ26" s="280"/>
      <c r="GK26" s="228"/>
      <c r="GL26" s="185" t="s">
        <v>419</v>
      </c>
      <c r="GM26" s="280" t="s">
        <v>411</v>
      </c>
      <c r="GN26" s="185" t="s">
        <v>375</v>
      </c>
      <c r="GO26" s="185"/>
      <c r="GP26" s="185"/>
      <c r="GQ26" s="185"/>
      <c r="GR26" s="185"/>
      <c r="GS26" s="185"/>
      <c r="GT26" s="185"/>
      <c r="GU26" s="280"/>
      <c r="GV26" s="185"/>
      <c r="GW26" s="280"/>
      <c r="GX26" s="280"/>
      <c r="GY26" s="185"/>
      <c r="GZ26" s="274" t="s">
        <v>404</v>
      </c>
      <c r="HA26" s="185"/>
      <c r="HB26" s="185"/>
      <c r="HC26" s="185"/>
      <c r="HD26" s="280"/>
      <c r="HE26" s="280"/>
      <c r="HF26" s="280"/>
      <c r="HG26" s="280"/>
      <c r="HH26" s="280"/>
      <c r="HI26" s="280"/>
      <c r="HJ26" s="280"/>
      <c r="HK26" s="280"/>
      <c r="HL26" s="185"/>
      <c r="HM26" s="280"/>
      <c r="HN26" s="280"/>
      <c r="HO26" s="280"/>
      <c r="HP26" s="280"/>
      <c r="HQ26" s="185"/>
      <c r="HR26" s="185" t="s">
        <v>386</v>
      </c>
      <c r="HS26" s="185"/>
      <c r="HT26" s="280"/>
      <c r="HU26" s="185"/>
      <c r="HV26" s="228" t="s">
        <v>471</v>
      </c>
      <c r="HW26" s="281"/>
      <c r="HX26" s="281"/>
      <c r="HY26" s="281"/>
      <c r="HZ26" s="281"/>
      <c r="IA26" s="281"/>
      <c r="IB26" s="281"/>
      <c r="IC26" s="281"/>
      <c r="ID26" s="280"/>
      <c r="IE26" s="280"/>
      <c r="IF26" s="185" t="s">
        <v>462</v>
      </c>
      <c r="IG26" s="185"/>
      <c r="IH26" s="280"/>
      <c r="II26" s="280"/>
      <c r="IJ26" s="280"/>
      <c r="IK26" s="185"/>
      <c r="IL26" s="280"/>
      <c r="IM26" s="280"/>
      <c r="IN26" s="280"/>
      <c r="IO26" s="280"/>
      <c r="IP26" s="280"/>
      <c r="IQ26" s="185"/>
      <c r="IR26" s="280"/>
      <c r="IS26" s="228" t="s">
        <v>412</v>
      </c>
      <c r="IT26" s="185" t="s">
        <v>379</v>
      </c>
      <c r="IU26" s="280"/>
      <c r="IV26" s="280"/>
      <c r="IW26" s="280"/>
      <c r="IX26" s="280"/>
      <c r="IY26" s="280"/>
      <c r="IZ26" s="280"/>
      <c r="JA26" s="280"/>
      <c r="JB26" s="280"/>
      <c r="JC26" s="280"/>
      <c r="JD26" s="280"/>
      <c r="JE26" s="280"/>
      <c r="JF26" s="280"/>
      <c r="JG26" s="280"/>
      <c r="JH26" s="280"/>
      <c r="JI26" s="185"/>
      <c r="JJ26" s="322" t="s">
        <v>391</v>
      </c>
      <c r="JK26" s="281"/>
      <c r="JL26" s="281"/>
      <c r="JM26" s="281"/>
      <c r="JN26" s="274" t="s">
        <v>462</v>
      </c>
      <c r="JO26" s="281"/>
      <c r="JP26" s="281"/>
      <c r="JQ26" s="281"/>
      <c r="JR26" s="281"/>
      <c r="JS26" s="281"/>
      <c r="JT26" s="281"/>
      <c r="JU26" s="228"/>
      <c r="JV26" s="281"/>
      <c r="JW26" s="281"/>
      <c r="JX26" s="228"/>
      <c r="JY26" s="281"/>
      <c r="JZ26" s="281"/>
      <c r="KA26" s="281"/>
      <c r="KB26" s="281"/>
      <c r="KC26" s="281"/>
      <c r="KD26" s="281"/>
      <c r="KE26" s="281"/>
      <c r="KF26" s="281"/>
      <c r="KG26" s="281"/>
      <c r="KH26" s="281"/>
      <c r="KI26" s="281"/>
      <c r="KJ26" s="228" t="s">
        <v>379</v>
      </c>
      <c r="KK26" s="280" t="s">
        <v>457</v>
      </c>
      <c r="KL26" s="280"/>
      <c r="KM26" s="280"/>
      <c r="KN26" s="280"/>
      <c r="KO26" s="280"/>
      <c r="KP26" s="280"/>
      <c r="KQ26" s="280"/>
      <c r="KR26" s="280"/>
      <c r="KS26" s="280"/>
      <c r="KT26" s="280"/>
      <c r="KU26" s="280"/>
      <c r="KV26" s="280"/>
      <c r="KW26" s="280"/>
      <c r="KX26" s="280"/>
      <c r="KY26" s="280"/>
      <c r="KZ26" s="280"/>
      <c r="LA26" s="281"/>
      <c r="LB26" s="228" t="s">
        <v>432</v>
      </c>
      <c r="LC26" s="281"/>
      <c r="LD26" s="228"/>
      <c r="LE26" s="281"/>
      <c r="LF26" s="233">
        <v>0.48958333333333298</v>
      </c>
    </row>
    <row r="27" spans="2:318" ht="10.5" customHeight="1">
      <c r="B27" s="49">
        <v>0.25</v>
      </c>
      <c r="C27" s="49">
        <v>0.25</v>
      </c>
      <c r="D27" s="49">
        <v>0.25</v>
      </c>
      <c r="E27" s="172">
        <v>0.47916666666666669</v>
      </c>
      <c r="F27" s="323" t="s">
        <v>462</v>
      </c>
      <c r="G27" s="185"/>
      <c r="H27" s="185"/>
      <c r="I27" s="185"/>
      <c r="J27" s="185"/>
      <c r="K27" s="185"/>
      <c r="L27" s="185"/>
      <c r="M27" s="185"/>
      <c r="N27" s="185"/>
      <c r="O27" s="185"/>
      <c r="P27" s="185" t="s">
        <v>375</v>
      </c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  <c r="AG27" s="185"/>
      <c r="AH27" s="185"/>
      <c r="AI27" s="185"/>
      <c r="AJ27" s="185"/>
      <c r="AK27" s="185"/>
      <c r="AL27" s="185"/>
      <c r="AM27" s="185"/>
      <c r="AN27" s="185"/>
      <c r="AO27" s="185"/>
      <c r="AP27" s="185"/>
      <c r="AQ27" s="324"/>
      <c r="AR27" s="324"/>
      <c r="AS27" s="324"/>
      <c r="AT27" s="185"/>
      <c r="AU27" s="274" t="s">
        <v>419</v>
      </c>
      <c r="AV27" s="185"/>
      <c r="AW27" s="185"/>
      <c r="AX27" s="185" t="s">
        <v>404</v>
      </c>
      <c r="AY27" s="185" t="s">
        <v>419</v>
      </c>
      <c r="AZ27" s="185"/>
      <c r="BA27" s="185"/>
      <c r="BB27" s="185"/>
      <c r="BC27" s="185"/>
      <c r="BD27" s="185"/>
      <c r="BE27" s="185"/>
      <c r="BF27" s="185" t="s">
        <v>471</v>
      </c>
      <c r="BG27" s="185"/>
      <c r="BH27" s="185"/>
      <c r="BI27" s="185"/>
      <c r="BJ27" s="185"/>
      <c r="BK27" s="53"/>
      <c r="BL27" s="185"/>
      <c r="BM27" s="185"/>
      <c r="BN27" s="53" t="s">
        <v>386</v>
      </c>
      <c r="BO27" s="53" t="s">
        <v>375</v>
      </c>
      <c r="BP27" s="185"/>
      <c r="BQ27" s="185"/>
      <c r="BR27" s="185"/>
      <c r="BS27" s="280"/>
      <c r="BT27" s="185"/>
      <c r="BU27" s="274" t="s">
        <v>404</v>
      </c>
      <c r="BV27" s="185"/>
      <c r="BW27" s="185"/>
      <c r="BX27" s="185"/>
      <c r="BY27" s="185"/>
      <c r="BZ27" s="185"/>
      <c r="CA27" s="185"/>
      <c r="CB27" s="185"/>
      <c r="CC27" s="185"/>
      <c r="CD27" s="185"/>
      <c r="CE27" s="185"/>
      <c r="CF27" s="185"/>
      <c r="CG27" s="185"/>
      <c r="CH27" s="185"/>
      <c r="CI27" s="185"/>
      <c r="CJ27" s="185"/>
      <c r="CK27" s="185"/>
      <c r="CL27" s="53"/>
      <c r="CM27" s="53"/>
      <c r="CN27" s="176" t="s">
        <v>462</v>
      </c>
      <c r="CO27" s="53"/>
      <c r="CP27" s="54"/>
      <c r="CQ27" s="339" t="s">
        <v>386</v>
      </c>
      <c r="CR27" s="185"/>
      <c r="CS27" s="185"/>
      <c r="CT27" s="185"/>
      <c r="CU27" s="185"/>
      <c r="CV27" s="185"/>
      <c r="CW27" s="185"/>
      <c r="CX27" s="185"/>
      <c r="CY27" s="185"/>
      <c r="CZ27" s="185"/>
      <c r="DA27" s="185"/>
      <c r="DB27" s="185" t="s">
        <v>375</v>
      </c>
      <c r="DC27" s="185"/>
      <c r="DD27" s="185"/>
      <c r="DE27" s="185"/>
      <c r="DF27" s="185"/>
      <c r="DG27" s="185"/>
      <c r="DH27" s="185"/>
      <c r="DI27" s="185" t="s">
        <v>404</v>
      </c>
      <c r="DJ27" s="185"/>
      <c r="DK27" s="185"/>
      <c r="DL27" s="185"/>
      <c r="DM27" s="185"/>
      <c r="DN27" s="185"/>
      <c r="DO27" s="185"/>
      <c r="DP27" s="185"/>
      <c r="DQ27" s="185"/>
      <c r="DR27" s="185"/>
      <c r="DS27" s="185"/>
      <c r="DT27" s="185" t="s">
        <v>376</v>
      </c>
      <c r="DU27" s="185"/>
      <c r="DV27" s="185"/>
      <c r="DW27" s="185"/>
      <c r="DX27" s="185"/>
      <c r="DY27" s="185"/>
      <c r="DZ27" s="185"/>
      <c r="EA27" s="185"/>
      <c r="EB27" s="185"/>
      <c r="EC27" s="185"/>
      <c r="ED27" s="185"/>
      <c r="EE27" s="185"/>
      <c r="EF27" s="185"/>
      <c r="EG27" s="185"/>
      <c r="EH27" s="228" t="s">
        <v>427</v>
      </c>
      <c r="EI27" s="185"/>
      <c r="EJ27" s="185"/>
      <c r="EK27" s="278" t="s">
        <v>419</v>
      </c>
      <c r="EL27" s="185" t="s">
        <v>404</v>
      </c>
      <c r="EM27" s="185" t="s">
        <v>411</v>
      </c>
      <c r="EN27" s="185"/>
      <c r="EO27" s="185"/>
      <c r="EP27" s="185"/>
      <c r="EQ27" s="185"/>
      <c r="ER27" s="185"/>
      <c r="ES27" s="185"/>
      <c r="ET27" s="185"/>
      <c r="EU27" s="185"/>
      <c r="EV27" s="185"/>
      <c r="EW27" s="185" t="s">
        <v>386</v>
      </c>
      <c r="EX27" s="185"/>
      <c r="EY27" s="185"/>
      <c r="EZ27" s="185"/>
      <c r="FA27" s="185" t="s">
        <v>375</v>
      </c>
      <c r="FB27" s="185"/>
      <c r="FC27" s="185"/>
      <c r="FD27" s="185"/>
      <c r="FE27" s="185"/>
      <c r="FF27" s="228"/>
      <c r="FG27" s="228"/>
      <c r="FH27" s="185"/>
      <c r="FI27" s="185"/>
      <c r="FJ27" s="185"/>
      <c r="FK27" s="185"/>
      <c r="FL27" s="185"/>
      <c r="FM27" s="185"/>
      <c r="FN27" s="185"/>
      <c r="FO27" s="185"/>
      <c r="FP27" s="185"/>
      <c r="FQ27" s="185"/>
      <c r="FR27" s="185"/>
      <c r="FS27" s="185"/>
      <c r="FT27" s="185"/>
      <c r="FU27" s="185"/>
      <c r="FV27" s="185"/>
      <c r="FW27" s="185"/>
      <c r="FX27" s="185"/>
      <c r="FY27" s="185"/>
      <c r="FZ27" s="274" t="s">
        <v>471</v>
      </c>
      <c r="GA27" s="185"/>
      <c r="GB27" s="185"/>
      <c r="GC27" s="185"/>
      <c r="GD27" s="185" t="s">
        <v>462</v>
      </c>
      <c r="GE27" s="228"/>
      <c r="GF27" s="185"/>
      <c r="GG27" s="185"/>
      <c r="GH27" s="185"/>
      <c r="GI27" s="185"/>
      <c r="GJ27" s="185"/>
      <c r="GK27" s="228"/>
      <c r="GL27" s="185"/>
      <c r="GM27" s="280"/>
      <c r="GN27" s="185" t="s">
        <v>375</v>
      </c>
      <c r="GO27" s="185"/>
      <c r="GP27" s="185" t="s">
        <v>386</v>
      </c>
      <c r="GQ27" s="185"/>
      <c r="GR27" s="185"/>
      <c r="GS27" s="185"/>
      <c r="GT27" s="185"/>
      <c r="GU27" s="185"/>
      <c r="GV27" s="185" t="s">
        <v>419</v>
      </c>
      <c r="GW27" s="185"/>
      <c r="GX27" s="185"/>
      <c r="GY27" s="185"/>
      <c r="GZ27" s="274" t="s">
        <v>404</v>
      </c>
      <c r="HA27" s="185"/>
      <c r="HB27" s="185"/>
      <c r="HC27" s="185"/>
      <c r="HD27" s="185"/>
      <c r="HE27" s="185"/>
      <c r="HF27" s="185"/>
      <c r="HG27" s="185"/>
      <c r="HH27" s="185"/>
      <c r="HI27" s="185"/>
      <c r="HJ27" s="185"/>
      <c r="HK27" s="185"/>
      <c r="HL27" s="185"/>
      <c r="HM27" s="185"/>
      <c r="HN27" s="185"/>
      <c r="HO27" s="185"/>
      <c r="HP27" s="185"/>
      <c r="HQ27" s="185"/>
      <c r="HR27" s="228" t="s">
        <v>469</v>
      </c>
      <c r="HS27" s="185"/>
      <c r="HT27" s="185"/>
      <c r="HU27" s="185"/>
      <c r="HV27" s="228" t="s">
        <v>471</v>
      </c>
      <c r="HW27" s="228"/>
      <c r="HX27" s="228"/>
      <c r="HY27" s="228"/>
      <c r="HZ27" s="228"/>
      <c r="IA27" s="228"/>
      <c r="IB27" s="228"/>
      <c r="IC27" s="228"/>
      <c r="ID27" s="185"/>
      <c r="IE27" s="185"/>
      <c r="IF27" s="185" t="s">
        <v>462</v>
      </c>
      <c r="IG27" s="185"/>
      <c r="IH27" s="185"/>
      <c r="II27" s="185"/>
      <c r="IJ27" s="185"/>
      <c r="IK27" s="185"/>
      <c r="IL27" s="185"/>
      <c r="IM27" s="185"/>
      <c r="IN27" s="185"/>
      <c r="IO27" s="185"/>
      <c r="IP27" s="185"/>
      <c r="IQ27" s="185"/>
      <c r="IR27" s="185"/>
      <c r="IS27" s="228" t="s">
        <v>412</v>
      </c>
      <c r="IT27" s="185" t="s">
        <v>379</v>
      </c>
      <c r="IU27" s="185" t="s">
        <v>425</v>
      </c>
      <c r="IV27" s="185"/>
      <c r="IW27" s="185"/>
      <c r="IX27" s="185"/>
      <c r="IY27" s="185"/>
      <c r="IZ27" s="185"/>
      <c r="JA27" s="185"/>
      <c r="JB27" s="185"/>
      <c r="JC27" s="185"/>
      <c r="JD27" s="185"/>
      <c r="JE27" s="185"/>
      <c r="JF27" s="185"/>
      <c r="JG27" s="185"/>
      <c r="JH27" s="185"/>
      <c r="JI27" s="228"/>
      <c r="JJ27" s="322"/>
      <c r="JK27" s="228"/>
      <c r="JL27" s="185" t="s">
        <v>391</v>
      </c>
      <c r="JM27" s="228"/>
      <c r="JN27" s="274" t="s">
        <v>462</v>
      </c>
      <c r="JO27" s="228"/>
      <c r="JP27" s="228"/>
      <c r="JQ27" s="228"/>
      <c r="JR27" s="228"/>
      <c r="JS27" s="228"/>
      <c r="JT27" s="228"/>
      <c r="JU27" s="228"/>
      <c r="JV27" s="228"/>
      <c r="JW27" s="228"/>
      <c r="JX27" s="228"/>
      <c r="JY27" s="228"/>
      <c r="JZ27" s="228"/>
      <c r="KA27" s="228"/>
      <c r="KB27" s="228"/>
      <c r="KC27" s="228"/>
      <c r="KD27" s="228"/>
      <c r="KE27" s="228"/>
      <c r="KF27" s="228"/>
      <c r="KG27" s="228"/>
      <c r="KH27" s="228"/>
      <c r="KI27" s="228"/>
      <c r="KJ27" s="228" t="s">
        <v>379</v>
      </c>
      <c r="KK27" s="185" t="s">
        <v>457</v>
      </c>
      <c r="KL27" s="185"/>
      <c r="KM27" s="185"/>
      <c r="KN27" s="185"/>
      <c r="KO27" s="185"/>
      <c r="KP27" s="185"/>
      <c r="KQ27" s="185"/>
      <c r="KR27" s="185"/>
      <c r="KS27" s="185"/>
      <c r="KT27" s="185"/>
      <c r="KU27" s="185"/>
      <c r="KV27" s="185"/>
      <c r="KW27" s="185"/>
      <c r="KX27" s="185"/>
      <c r="KY27" s="185"/>
      <c r="KZ27" s="185"/>
      <c r="LA27" s="228" t="s">
        <v>432</v>
      </c>
      <c r="LB27" s="185" t="s">
        <v>392</v>
      </c>
      <c r="LC27" s="228"/>
      <c r="LD27" s="228" t="s">
        <v>393</v>
      </c>
      <c r="LE27" s="228"/>
      <c r="LF27" s="233">
        <v>0.5</v>
      </c>
    </row>
    <row r="28" spans="2:318" ht="10.5" customHeight="1">
      <c r="B28" s="49">
        <v>0.25</v>
      </c>
      <c r="C28" s="49">
        <v>0.25</v>
      </c>
      <c r="D28" s="49">
        <v>0.25</v>
      </c>
      <c r="E28" s="172">
        <v>0.48958333333333331</v>
      </c>
      <c r="F28" s="323" t="s">
        <v>462</v>
      </c>
      <c r="G28" s="185"/>
      <c r="H28" s="185"/>
      <c r="I28" s="185"/>
      <c r="J28" s="185"/>
      <c r="K28" s="185"/>
      <c r="L28" s="185"/>
      <c r="M28" s="185"/>
      <c r="N28" s="185"/>
      <c r="O28" s="185"/>
      <c r="P28" s="185" t="s">
        <v>375</v>
      </c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  <c r="AG28" s="185"/>
      <c r="AH28" s="185"/>
      <c r="AI28" s="185"/>
      <c r="AJ28" s="185"/>
      <c r="AK28" s="185"/>
      <c r="AL28" s="185"/>
      <c r="AM28" s="185"/>
      <c r="AN28" s="185"/>
      <c r="AO28" s="185"/>
      <c r="AP28" s="185"/>
      <c r="AQ28" s="324"/>
      <c r="AR28" s="324"/>
      <c r="AS28" s="324"/>
      <c r="AT28" s="185"/>
      <c r="AU28" s="274" t="s">
        <v>419</v>
      </c>
      <c r="AV28" s="185"/>
      <c r="AW28" s="185"/>
      <c r="AX28" s="185" t="s">
        <v>404</v>
      </c>
      <c r="AY28" s="185" t="s">
        <v>419</v>
      </c>
      <c r="AZ28" s="185" t="s">
        <v>386</v>
      </c>
      <c r="BA28" s="185"/>
      <c r="BB28" s="185"/>
      <c r="BC28" s="185"/>
      <c r="BD28" s="185"/>
      <c r="BE28" s="185"/>
      <c r="BF28" s="185" t="s">
        <v>471</v>
      </c>
      <c r="BG28" s="185"/>
      <c r="BH28" s="185"/>
      <c r="BI28" s="185" t="s">
        <v>375</v>
      </c>
      <c r="BJ28" s="185"/>
      <c r="BK28" s="53"/>
      <c r="BL28" s="185"/>
      <c r="BM28" s="185"/>
      <c r="BN28" s="185"/>
      <c r="BO28" s="53"/>
      <c r="BP28" s="185"/>
      <c r="BQ28" s="228"/>
      <c r="BR28" s="185"/>
      <c r="BS28" s="280"/>
      <c r="BT28" s="185"/>
      <c r="BU28" s="274" t="s">
        <v>404</v>
      </c>
      <c r="BV28" s="185"/>
      <c r="BW28" s="185"/>
      <c r="BX28" s="185"/>
      <c r="BY28" s="185"/>
      <c r="BZ28" s="185"/>
      <c r="CA28" s="185"/>
      <c r="CB28" s="185"/>
      <c r="CC28" s="185"/>
      <c r="CD28" s="185"/>
      <c r="CE28" s="185"/>
      <c r="CF28" s="185"/>
      <c r="CG28" s="185"/>
      <c r="CH28" s="185"/>
      <c r="CI28" s="185"/>
      <c r="CJ28" s="185"/>
      <c r="CK28" s="185"/>
      <c r="CL28" s="53"/>
      <c r="CM28" s="53"/>
      <c r="CN28" s="176" t="s">
        <v>462</v>
      </c>
      <c r="CO28" s="53"/>
      <c r="CP28" s="54"/>
      <c r="CQ28" s="339" t="s">
        <v>386</v>
      </c>
      <c r="CR28" s="185"/>
      <c r="CS28" s="185"/>
      <c r="CT28" s="185"/>
      <c r="CU28" s="185"/>
      <c r="CV28" s="185"/>
      <c r="CW28" s="185"/>
      <c r="CX28" s="185"/>
      <c r="CY28" s="185"/>
      <c r="CZ28" s="185"/>
      <c r="DA28" s="185"/>
      <c r="DB28" s="185" t="s">
        <v>375</v>
      </c>
      <c r="DC28" s="185"/>
      <c r="DD28" s="185"/>
      <c r="DE28" s="185"/>
      <c r="DF28" s="185"/>
      <c r="DG28" s="185"/>
      <c r="DH28" s="185"/>
      <c r="DI28" s="185" t="s">
        <v>404</v>
      </c>
      <c r="DJ28" s="185"/>
      <c r="DK28" s="185"/>
      <c r="DL28" s="185"/>
      <c r="DM28" s="185"/>
      <c r="DN28" s="185"/>
      <c r="DO28" s="185"/>
      <c r="DP28" s="185"/>
      <c r="DQ28" s="185"/>
      <c r="DR28" s="185"/>
      <c r="DS28" s="185"/>
      <c r="DT28" s="185"/>
      <c r="DU28" s="185"/>
      <c r="DV28" s="185"/>
      <c r="DW28" s="185"/>
      <c r="DX28" s="185"/>
      <c r="DY28" s="185"/>
      <c r="DZ28" s="185"/>
      <c r="EA28" s="185"/>
      <c r="EB28" s="185"/>
      <c r="EC28" s="185"/>
      <c r="ED28" s="185"/>
      <c r="EE28" s="185"/>
      <c r="EF28" s="185"/>
      <c r="EG28" s="185"/>
      <c r="EH28" s="228" t="s">
        <v>427</v>
      </c>
      <c r="EI28" s="185"/>
      <c r="EJ28" s="185"/>
      <c r="EK28" s="278" t="s">
        <v>419</v>
      </c>
      <c r="EL28" s="185" t="s">
        <v>404</v>
      </c>
      <c r="EM28" s="185" t="s">
        <v>375</v>
      </c>
      <c r="EN28" s="185"/>
      <c r="EO28" s="185"/>
      <c r="EP28" s="185"/>
      <c r="EQ28" s="185"/>
      <c r="ER28" s="185"/>
      <c r="ES28" s="185"/>
      <c r="ET28" s="185"/>
      <c r="EU28" s="185"/>
      <c r="EV28" s="185"/>
      <c r="EW28" s="185" t="s">
        <v>386</v>
      </c>
      <c r="EX28" s="185"/>
      <c r="EY28" s="185"/>
      <c r="EZ28" s="185"/>
      <c r="FA28" s="185"/>
      <c r="FB28" s="185"/>
      <c r="FC28" s="185"/>
      <c r="FD28" s="185"/>
      <c r="FE28" s="185"/>
      <c r="FF28" s="228"/>
      <c r="FG28" s="228"/>
      <c r="FH28" s="185"/>
      <c r="FI28" s="185"/>
      <c r="FJ28" s="185"/>
      <c r="FK28" s="185"/>
      <c r="FL28" s="185"/>
      <c r="FM28" s="185"/>
      <c r="FN28" s="185"/>
      <c r="FO28" s="185"/>
      <c r="FP28" s="185"/>
      <c r="FQ28" s="185"/>
      <c r="FR28" s="185"/>
      <c r="FS28" s="185"/>
      <c r="FT28" s="185"/>
      <c r="FU28" s="185"/>
      <c r="FV28" s="185"/>
      <c r="FW28" s="185"/>
      <c r="FX28" s="185"/>
      <c r="FY28" s="185"/>
      <c r="FZ28" s="274" t="s">
        <v>471</v>
      </c>
      <c r="GA28" s="185"/>
      <c r="GB28" s="185"/>
      <c r="GC28" s="185"/>
      <c r="GD28" s="185" t="s">
        <v>462</v>
      </c>
      <c r="GE28" s="228"/>
      <c r="GF28" s="185"/>
      <c r="GG28" s="185"/>
      <c r="GH28" s="185"/>
      <c r="GI28" s="185"/>
      <c r="GJ28" s="185"/>
      <c r="GK28" s="228"/>
      <c r="GL28" s="185"/>
      <c r="GM28" s="280"/>
      <c r="GN28" s="185" t="s">
        <v>375</v>
      </c>
      <c r="GO28" s="185"/>
      <c r="GP28" s="185" t="s">
        <v>386</v>
      </c>
      <c r="GQ28" s="185"/>
      <c r="GR28" s="185"/>
      <c r="GS28" s="185"/>
      <c r="GT28" s="185"/>
      <c r="GU28" s="185"/>
      <c r="GV28" s="185" t="s">
        <v>419</v>
      </c>
      <c r="GW28" s="185"/>
      <c r="GX28" s="185"/>
      <c r="GY28" s="185"/>
      <c r="GZ28" s="274" t="s">
        <v>404</v>
      </c>
      <c r="HA28" s="185"/>
      <c r="HB28" s="185"/>
      <c r="HC28" s="185"/>
      <c r="HD28" s="185"/>
      <c r="HE28" s="185"/>
      <c r="HF28" s="185"/>
      <c r="HG28" s="185"/>
      <c r="HH28" s="185"/>
      <c r="HI28" s="185"/>
      <c r="HJ28" s="185"/>
      <c r="HK28" s="185"/>
      <c r="HL28" s="185"/>
      <c r="HM28" s="185"/>
      <c r="HN28" s="185"/>
      <c r="HO28" s="185"/>
      <c r="HP28" s="185"/>
      <c r="HQ28" s="185"/>
      <c r="HR28" s="228" t="s">
        <v>469</v>
      </c>
      <c r="HS28" s="185"/>
      <c r="HT28" s="185"/>
      <c r="HU28" s="185"/>
      <c r="HV28" s="228" t="s">
        <v>471</v>
      </c>
      <c r="HW28" s="228"/>
      <c r="HX28" s="228"/>
      <c r="HY28" s="228"/>
      <c r="HZ28" s="228"/>
      <c r="IA28" s="228"/>
      <c r="IB28" s="228"/>
      <c r="IC28" s="228"/>
      <c r="ID28" s="185"/>
      <c r="IE28" s="185"/>
      <c r="IF28" s="185" t="s">
        <v>462</v>
      </c>
      <c r="IG28" s="185"/>
      <c r="IH28" s="185"/>
      <c r="II28" s="185"/>
      <c r="IJ28" s="185"/>
      <c r="IK28" s="185"/>
      <c r="IL28" s="185"/>
      <c r="IM28" s="185"/>
      <c r="IN28" s="185"/>
      <c r="IO28" s="185"/>
      <c r="IP28" s="185"/>
      <c r="IQ28" s="185"/>
      <c r="IR28" s="185"/>
      <c r="IS28" s="228" t="s">
        <v>412</v>
      </c>
      <c r="IT28" s="185" t="s">
        <v>379</v>
      </c>
      <c r="IU28" s="185" t="s">
        <v>425</v>
      </c>
      <c r="IV28" s="185"/>
      <c r="IW28" s="185"/>
      <c r="IX28" s="185"/>
      <c r="IY28" s="185"/>
      <c r="IZ28" s="185"/>
      <c r="JA28" s="185"/>
      <c r="JB28" s="185"/>
      <c r="JC28" s="185"/>
      <c r="JD28" s="185"/>
      <c r="JE28" s="185"/>
      <c r="JF28" s="185"/>
      <c r="JG28" s="185"/>
      <c r="JH28" s="185"/>
      <c r="JI28" s="228"/>
      <c r="JJ28" s="322"/>
      <c r="JK28" s="228"/>
      <c r="JL28" s="185" t="s">
        <v>391</v>
      </c>
      <c r="JM28" s="228"/>
      <c r="JN28" s="274" t="s">
        <v>462</v>
      </c>
      <c r="JO28" s="228"/>
      <c r="JP28" s="228"/>
      <c r="JQ28" s="228"/>
      <c r="JR28" s="228"/>
      <c r="JS28" s="228"/>
      <c r="JT28" s="228"/>
      <c r="JU28" s="228"/>
      <c r="JV28" s="228"/>
      <c r="JW28" s="228"/>
      <c r="JX28" s="228"/>
      <c r="JY28" s="228"/>
      <c r="JZ28" s="228"/>
      <c r="KA28" s="228"/>
      <c r="KB28" s="228"/>
      <c r="KC28" s="228"/>
      <c r="KD28" s="228"/>
      <c r="KE28" s="228"/>
      <c r="KF28" s="228"/>
      <c r="KG28" s="228"/>
      <c r="KH28" s="228"/>
      <c r="KI28" s="228"/>
      <c r="KJ28" s="228" t="s">
        <v>379</v>
      </c>
      <c r="KK28" s="185" t="s">
        <v>457</v>
      </c>
      <c r="KL28" s="185"/>
      <c r="KM28" s="185"/>
      <c r="KN28" s="185"/>
      <c r="KO28" s="185"/>
      <c r="KP28" s="185"/>
      <c r="KQ28" s="185"/>
      <c r="KR28" s="185"/>
      <c r="KS28" s="185"/>
      <c r="KT28" s="185"/>
      <c r="KU28" s="185"/>
      <c r="KV28" s="185"/>
      <c r="KW28" s="185"/>
      <c r="KX28" s="185"/>
      <c r="KY28" s="185"/>
      <c r="KZ28" s="185"/>
      <c r="LA28" s="228" t="s">
        <v>432</v>
      </c>
      <c r="LB28" s="185" t="s">
        <v>392</v>
      </c>
      <c r="LC28" s="228"/>
      <c r="LD28" s="228" t="s">
        <v>393</v>
      </c>
      <c r="LE28" s="228"/>
      <c r="LF28" s="233">
        <v>0.51041666666666596</v>
      </c>
    </row>
    <row r="29" spans="2:318" ht="10.5" customHeight="1">
      <c r="B29" s="49">
        <v>0.25</v>
      </c>
      <c r="C29" s="49">
        <v>0.25</v>
      </c>
      <c r="D29" s="49">
        <v>0.25</v>
      </c>
      <c r="E29" s="172">
        <v>0.5</v>
      </c>
      <c r="F29" s="323" t="s">
        <v>462</v>
      </c>
      <c r="G29" s="185"/>
      <c r="H29" s="185"/>
      <c r="I29" s="185"/>
      <c r="J29" s="185"/>
      <c r="K29" s="185"/>
      <c r="L29" s="185"/>
      <c r="M29" s="185"/>
      <c r="N29" s="185"/>
      <c r="O29" s="185"/>
      <c r="P29" s="185" t="s">
        <v>375</v>
      </c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5"/>
      <c r="AK29" s="185"/>
      <c r="AL29" s="185"/>
      <c r="AM29" s="185"/>
      <c r="AN29" s="185"/>
      <c r="AO29" s="185"/>
      <c r="AP29" s="185"/>
      <c r="AQ29" s="324"/>
      <c r="AR29" s="324"/>
      <c r="AS29" s="324"/>
      <c r="AT29" s="185"/>
      <c r="AU29" s="274" t="s">
        <v>419</v>
      </c>
      <c r="AV29" s="185"/>
      <c r="AW29" s="185"/>
      <c r="AX29" s="228" t="s">
        <v>404</v>
      </c>
      <c r="AY29" s="228" t="s">
        <v>471</v>
      </c>
      <c r="AZ29" s="185"/>
      <c r="BA29" s="185"/>
      <c r="BB29" s="185"/>
      <c r="BC29" s="185"/>
      <c r="BD29" s="185"/>
      <c r="BE29" s="185"/>
      <c r="BF29" s="228"/>
      <c r="BG29" s="185" t="s">
        <v>419</v>
      </c>
      <c r="BH29" s="185" t="s">
        <v>386</v>
      </c>
      <c r="BI29" s="185" t="s">
        <v>375</v>
      </c>
      <c r="BJ29" s="185"/>
      <c r="BK29" s="53"/>
      <c r="BL29" s="185"/>
      <c r="BM29" s="185"/>
      <c r="BN29" s="185"/>
      <c r="BO29" s="53"/>
      <c r="BP29" s="185"/>
      <c r="BQ29" s="228"/>
      <c r="BR29" s="185"/>
      <c r="BS29" s="185"/>
      <c r="BT29" s="185"/>
      <c r="BU29" s="274" t="s">
        <v>404</v>
      </c>
      <c r="BV29" s="185"/>
      <c r="BW29" s="185"/>
      <c r="BX29" s="185"/>
      <c r="BY29" s="185"/>
      <c r="BZ29" s="185"/>
      <c r="CA29" s="185"/>
      <c r="CB29" s="185"/>
      <c r="CC29" s="185"/>
      <c r="CD29" s="185"/>
      <c r="CE29" s="185"/>
      <c r="CF29" s="185"/>
      <c r="CG29" s="185"/>
      <c r="CH29" s="185"/>
      <c r="CI29" s="185"/>
      <c r="CJ29" s="185"/>
      <c r="CK29" s="185"/>
      <c r="CL29" s="53"/>
      <c r="CM29" s="53"/>
      <c r="CN29" s="176" t="s">
        <v>462</v>
      </c>
      <c r="CO29" s="53"/>
      <c r="CP29" s="54"/>
      <c r="CQ29" s="185" t="s">
        <v>471</v>
      </c>
      <c r="CR29" s="185"/>
      <c r="CS29" s="185"/>
      <c r="CT29" s="185"/>
      <c r="CU29" s="185"/>
      <c r="CV29" s="185"/>
      <c r="CW29" s="185"/>
      <c r="CX29" s="185" t="s">
        <v>375</v>
      </c>
      <c r="CY29" s="228"/>
      <c r="CZ29" s="185"/>
      <c r="DA29" s="185"/>
      <c r="DB29" s="185"/>
      <c r="DC29" s="185"/>
      <c r="DD29" s="185"/>
      <c r="DE29" s="185"/>
      <c r="DF29" s="185"/>
      <c r="DG29" s="185"/>
      <c r="DH29" s="185"/>
      <c r="DI29" s="185" t="s">
        <v>404</v>
      </c>
      <c r="DJ29" s="185"/>
      <c r="DK29" s="185"/>
      <c r="DL29" s="185"/>
      <c r="DM29" s="185"/>
      <c r="DN29" s="185"/>
      <c r="DO29" s="185"/>
      <c r="DP29" s="185"/>
      <c r="DQ29" s="185"/>
      <c r="DR29" s="185"/>
      <c r="DS29" s="185"/>
      <c r="DT29" s="185"/>
      <c r="DU29" s="185"/>
      <c r="DV29" s="185"/>
      <c r="DW29" s="185"/>
      <c r="DX29" s="185"/>
      <c r="DY29" s="185"/>
      <c r="DZ29" s="185"/>
      <c r="EA29" s="185"/>
      <c r="EB29" s="185"/>
      <c r="EC29" s="185"/>
      <c r="ED29" s="185"/>
      <c r="EE29" s="185"/>
      <c r="EF29" s="185"/>
      <c r="EG29" s="185"/>
      <c r="EH29" s="228" t="s">
        <v>427</v>
      </c>
      <c r="EI29" s="185"/>
      <c r="EJ29" s="185"/>
      <c r="EK29" s="278" t="s">
        <v>419</v>
      </c>
      <c r="EL29" s="185" t="s">
        <v>404</v>
      </c>
      <c r="EM29" s="185"/>
      <c r="EN29" s="185"/>
      <c r="EO29" s="185"/>
      <c r="EP29" s="185"/>
      <c r="EQ29" s="185"/>
      <c r="ER29" s="185"/>
      <c r="ES29" s="185"/>
      <c r="ET29" s="280"/>
      <c r="EU29" s="185"/>
      <c r="EV29" s="185"/>
      <c r="EW29" s="185" t="s">
        <v>386</v>
      </c>
      <c r="EX29" s="185"/>
      <c r="EY29" s="185"/>
      <c r="EZ29" s="185"/>
      <c r="FA29" s="185"/>
      <c r="FB29" s="185"/>
      <c r="FC29" s="185"/>
      <c r="FD29" s="185"/>
      <c r="FE29" s="280" t="s">
        <v>375</v>
      </c>
      <c r="FF29" s="228"/>
      <c r="FG29" s="228"/>
      <c r="FH29" s="185"/>
      <c r="FI29" s="185"/>
      <c r="FJ29" s="185"/>
      <c r="FK29" s="185"/>
      <c r="FL29" s="185"/>
      <c r="FM29" s="185"/>
      <c r="FN29" s="185"/>
      <c r="FO29" s="185"/>
      <c r="FP29" s="185"/>
      <c r="FQ29" s="185"/>
      <c r="FR29" s="185"/>
      <c r="FS29" s="185"/>
      <c r="FT29" s="185"/>
      <c r="FU29" s="185"/>
      <c r="FV29" s="185"/>
      <c r="FW29" s="185"/>
      <c r="FX29" s="185"/>
      <c r="FY29" s="185"/>
      <c r="FZ29" s="274" t="s">
        <v>471</v>
      </c>
      <c r="GA29" s="185"/>
      <c r="GB29" s="185"/>
      <c r="GC29" s="185"/>
      <c r="GD29" s="185" t="s">
        <v>462</v>
      </c>
      <c r="GE29" s="228"/>
      <c r="GF29" s="185"/>
      <c r="GG29" s="185"/>
      <c r="GH29" s="185"/>
      <c r="GI29" s="185"/>
      <c r="GJ29" s="185"/>
      <c r="GK29" s="228"/>
      <c r="GL29" s="185"/>
      <c r="GM29" s="280"/>
      <c r="GN29" s="185" t="s">
        <v>375</v>
      </c>
      <c r="GO29" s="185"/>
      <c r="GP29" s="185" t="s">
        <v>386</v>
      </c>
      <c r="GQ29" s="185"/>
      <c r="GR29" s="185"/>
      <c r="GS29" s="185"/>
      <c r="GT29" s="185"/>
      <c r="GU29" s="185"/>
      <c r="GV29" s="185" t="s">
        <v>419</v>
      </c>
      <c r="GW29" s="185"/>
      <c r="GX29" s="185"/>
      <c r="GY29" s="185" t="s">
        <v>404</v>
      </c>
      <c r="GZ29" s="185"/>
      <c r="HA29" s="185"/>
      <c r="HB29" s="185"/>
      <c r="HC29" s="185"/>
      <c r="HD29" s="185"/>
      <c r="HE29" s="185"/>
      <c r="HF29" s="185"/>
      <c r="HG29" s="185"/>
      <c r="HH29" s="185"/>
      <c r="HI29" s="185"/>
      <c r="HJ29" s="185"/>
      <c r="HK29" s="185"/>
      <c r="HL29" s="185"/>
      <c r="HM29" s="185"/>
      <c r="HN29" s="185"/>
      <c r="HO29" s="185"/>
      <c r="HP29" s="185"/>
      <c r="HQ29" s="185"/>
      <c r="HR29" s="228" t="s">
        <v>469</v>
      </c>
      <c r="HS29" s="185"/>
      <c r="HT29" s="185"/>
      <c r="HU29" s="185"/>
      <c r="HV29" s="228" t="s">
        <v>462</v>
      </c>
      <c r="HW29" s="228"/>
      <c r="HX29" s="228"/>
      <c r="HY29" s="228"/>
      <c r="HZ29" s="228"/>
      <c r="IA29" s="228"/>
      <c r="IB29" s="228"/>
      <c r="IC29" s="228"/>
      <c r="ID29" s="185"/>
      <c r="IE29" s="185"/>
      <c r="IF29" s="228" t="s">
        <v>471</v>
      </c>
      <c r="IG29" s="185"/>
      <c r="IH29" s="185"/>
      <c r="II29" s="185"/>
      <c r="IJ29" s="185"/>
      <c r="IK29" s="185"/>
      <c r="IL29" s="185"/>
      <c r="IM29" s="185"/>
      <c r="IN29" s="185"/>
      <c r="IO29" s="185"/>
      <c r="IP29" s="185"/>
      <c r="IQ29" s="185"/>
      <c r="IR29" s="185"/>
      <c r="IS29" s="228" t="s">
        <v>412</v>
      </c>
      <c r="IT29" s="185" t="s">
        <v>379</v>
      </c>
      <c r="IU29" s="185" t="s">
        <v>425</v>
      </c>
      <c r="IV29" s="185"/>
      <c r="IW29" s="185"/>
      <c r="IX29" s="185"/>
      <c r="IY29" s="185"/>
      <c r="IZ29" s="185"/>
      <c r="JA29" s="185"/>
      <c r="JB29" s="185"/>
      <c r="JC29" s="185"/>
      <c r="JD29" s="185"/>
      <c r="JE29" s="185"/>
      <c r="JF29" s="185"/>
      <c r="JG29" s="185"/>
      <c r="JH29" s="185"/>
      <c r="JI29" s="228"/>
      <c r="JJ29" s="322"/>
      <c r="JK29" s="228"/>
      <c r="JL29" s="185" t="s">
        <v>391</v>
      </c>
      <c r="JM29" s="228"/>
      <c r="JN29" s="274" t="s">
        <v>462</v>
      </c>
      <c r="JO29" s="228"/>
      <c r="JP29" s="228"/>
      <c r="JQ29" s="228"/>
      <c r="JR29" s="228"/>
      <c r="JS29" s="228"/>
      <c r="JT29" s="228"/>
      <c r="JU29" s="228"/>
      <c r="JV29" s="228"/>
      <c r="JW29" s="228"/>
      <c r="JX29" s="228"/>
      <c r="JY29" s="228"/>
      <c r="JZ29" s="228"/>
      <c r="KA29" s="228"/>
      <c r="KB29" s="228"/>
      <c r="KC29" s="228"/>
      <c r="KD29" s="228"/>
      <c r="KE29" s="228"/>
      <c r="KF29" s="228"/>
      <c r="KG29" s="228"/>
      <c r="KH29" s="228"/>
      <c r="KI29" s="228"/>
      <c r="KJ29" s="228" t="s">
        <v>379</v>
      </c>
      <c r="KK29" s="185" t="s">
        <v>457</v>
      </c>
      <c r="KL29" s="185"/>
      <c r="KM29" s="185"/>
      <c r="KN29" s="185"/>
      <c r="KO29" s="185"/>
      <c r="KP29" s="185"/>
      <c r="KQ29" s="185"/>
      <c r="KR29" s="185"/>
      <c r="KS29" s="185"/>
      <c r="KT29" s="185"/>
      <c r="KU29" s="185"/>
      <c r="KV29" s="185"/>
      <c r="KW29" s="185"/>
      <c r="KX29" s="185"/>
      <c r="KY29" s="185"/>
      <c r="KZ29" s="185"/>
      <c r="LA29" s="228" t="s">
        <v>432</v>
      </c>
      <c r="LB29" s="185" t="s">
        <v>392</v>
      </c>
      <c r="LC29" s="228"/>
      <c r="LD29" s="228" t="s">
        <v>393</v>
      </c>
      <c r="LE29" s="228"/>
      <c r="LF29" s="233">
        <v>0.52083333333333304</v>
      </c>
    </row>
    <row r="30" spans="2:318" ht="10.5" customHeight="1">
      <c r="B30" s="49">
        <v>0.25</v>
      </c>
      <c r="C30" s="49">
        <v>0.25</v>
      </c>
      <c r="D30" s="49">
        <v>0.25</v>
      </c>
      <c r="E30" s="172">
        <v>0.51041666666666663</v>
      </c>
      <c r="F30" s="322" t="s">
        <v>386</v>
      </c>
      <c r="G30" s="185"/>
      <c r="H30" s="185"/>
      <c r="I30" s="185"/>
      <c r="J30" s="185"/>
      <c r="K30" s="185"/>
      <c r="L30" s="185"/>
      <c r="M30" s="185"/>
      <c r="N30" s="185"/>
      <c r="O30" s="185"/>
      <c r="P30" s="185" t="s">
        <v>375</v>
      </c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  <c r="AG30" s="185"/>
      <c r="AH30" s="185"/>
      <c r="AI30" s="185"/>
      <c r="AJ30" s="185"/>
      <c r="AK30" s="185"/>
      <c r="AL30" s="185"/>
      <c r="AM30" s="185"/>
      <c r="AN30" s="185"/>
      <c r="AO30" s="185"/>
      <c r="AP30" s="185"/>
      <c r="AQ30" s="324"/>
      <c r="AR30" s="324"/>
      <c r="AS30" s="324"/>
      <c r="AT30" s="185"/>
      <c r="AU30" s="274" t="s">
        <v>419</v>
      </c>
      <c r="AV30" s="185"/>
      <c r="AW30" s="185"/>
      <c r="AX30" s="228" t="s">
        <v>404</v>
      </c>
      <c r="AY30" s="228" t="s">
        <v>471</v>
      </c>
      <c r="AZ30" s="228"/>
      <c r="BA30" s="185"/>
      <c r="BB30" s="185"/>
      <c r="BC30" s="185"/>
      <c r="BD30" s="185"/>
      <c r="BE30" s="185"/>
      <c r="BF30" s="228"/>
      <c r="BG30" s="185" t="s">
        <v>419</v>
      </c>
      <c r="BH30" s="185" t="s">
        <v>386</v>
      </c>
      <c r="BI30" s="185" t="s">
        <v>375</v>
      </c>
      <c r="BJ30" s="185"/>
      <c r="BK30" s="53"/>
      <c r="BL30" s="185"/>
      <c r="BM30" s="185"/>
      <c r="BN30" s="185"/>
      <c r="BO30" s="53"/>
      <c r="BP30" s="185"/>
      <c r="BQ30" s="228"/>
      <c r="BR30" s="185"/>
      <c r="BS30" s="185"/>
      <c r="BT30" s="185"/>
      <c r="BU30" s="185"/>
      <c r="BV30" s="185"/>
      <c r="BW30" s="185"/>
      <c r="BX30" s="185"/>
      <c r="BY30" s="185"/>
      <c r="BZ30" s="185"/>
      <c r="CA30" s="185"/>
      <c r="CB30" s="185"/>
      <c r="CC30" s="185"/>
      <c r="CD30" s="185"/>
      <c r="CE30" s="185"/>
      <c r="CF30" s="185"/>
      <c r="CG30" s="185"/>
      <c r="CH30" s="185"/>
      <c r="CI30" s="185"/>
      <c r="CJ30" s="185"/>
      <c r="CK30" s="185"/>
      <c r="CL30" s="53"/>
      <c r="CM30" s="53"/>
      <c r="CN30" s="176" t="s">
        <v>462</v>
      </c>
      <c r="CO30" s="53"/>
      <c r="CP30" s="54"/>
      <c r="CQ30" s="185" t="s">
        <v>471</v>
      </c>
      <c r="CR30" s="185" t="s">
        <v>419</v>
      </c>
      <c r="CS30" s="185"/>
      <c r="CT30" s="185"/>
      <c r="CU30" s="185"/>
      <c r="CV30" s="185"/>
      <c r="CW30" s="185"/>
      <c r="CX30" s="185" t="s">
        <v>375</v>
      </c>
      <c r="CY30" s="228"/>
      <c r="CZ30" s="185"/>
      <c r="DA30" s="185"/>
      <c r="DB30" s="185"/>
      <c r="DC30" s="185"/>
      <c r="DD30" s="185"/>
      <c r="DE30" s="185"/>
      <c r="DF30" s="185"/>
      <c r="DG30" s="185"/>
      <c r="DH30" s="185"/>
      <c r="DI30" s="185" t="s">
        <v>404</v>
      </c>
      <c r="DJ30" s="185"/>
      <c r="DK30" s="185"/>
      <c r="DL30" s="185"/>
      <c r="DM30" s="185"/>
      <c r="DN30" s="185"/>
      <c r="DO30" s="185"/>
      <c r="DP30" s="185"/>
      <c r="DQ30" s="185"/>
      <c r="DR30" s="185"/>
      <c r="DS30" s="185"/>
      <c r="DT30" s="185"/>
      <c r="DU30" s="185"/>
      <c r="DV30" s="185"/>
      <c r="DW30" s="185"/>
      <c r="DX30" s="185"/>
      <c r="DY30" s="185"/>
      <c r="DZ30" s="185"/>
      <c r="EA30" s="185"/>
      <c r="EB30" s="185"/>
      <c r="EC30" s="185"/>
      <c r="ED30" s="185"/>
      <c r="EE30" s="185"/>
      <c r="EF30" s="185"/>
      <c r="EG30" s="185"/>
      <c r="EH30" s="228" t="s">
        <v>427</v>
      </c>
      <c r="EI30" s="185"/>
      <c r="EJ30" s="185"/>
      <c r="EK30" s="186"/>
      <c r="EL30" s="185" t="s">
        <v>404</v>
      </c>
      <c r="EM30" s="185"/>
      <c r="EN30" s="185"/>
      <c r="EO30" s="185"/>
      <c r="EP30" s="185"/>
      <c r="EQ30" s="185"/>
      <c r="ER30" s="185"/>
      <c r="ES30" s="185"/>
      <c r="ET30" s="280"/>
      <c r="EU30" s="185"/>
      <c r="EV30" s="185"/>
      <c r="EW30" s="185" t="s">
        <v>386</v>
      </c>
      <c r="EX30" s="185"/>
      <c r="EY30" s="185"/>
      <c r="EZ30" s="185"/>
      <c r="FA30" s="185"/>
      <c r="FB30" s="185"/>
      <c r="FC30" s="185"/>
      <c r="FD30" s="185"/>
      <c r="FE30" s="280" t="s">
        <v>375</v>
      </c>
      <c r="FF30" s="228"/>
      <c r="FG30" s="228"/>
      <c r="FH30" s="185"/>
      <c r="FI30" s="185"/>
      <c r="FJ30" s="185"/>
      <c r="FK30" s="185"/>
      <c r="FL30" s="185"/>
      <c r="FM30" s="185"/>
      <c r="FN30" s="185"/>
      <c r="FO30" s="185"/>
      <c r="FP30" s="185"/>
      <c r="FQ30" s="185"/>
      <c r="FR30" s="185"/>
      <c r="FS30" s="185"/>
      <c r="FT30" s="185"/>
      <c r="FU30" s="185"/>
      <c r="FV30" s="185"/>
      <c r="FW30" s="185"/>
      <c r="FX30" s="185"/>
      <c r="FY30" s="185"/>
      <c r="FZ30" s="274" t="s">
        <v>471</v>
      </c>
      <c r="GA30" s="185"/>
      <c r="GB30" s="185"/>
      <c r="GC30" s="185"/>
      <c r="GD30" s="185" t="s">
        <v>462</v>
      </c>
      <c r="GE30" s="228"/>
      <c r="GF30" s="185"/>
      <c r="GG30" s="185"/>
      <c r="GH30" s="185"/>
      <c r="GI30" s="185"/>
      <c r="GJ30" s="185"/>
      <c r="GK30" s="228"/>
      <c r="GL30" s="185"/>
      <c r="GM30" s="280"/>
      <c r="GN30" s="185" t="s">
        <v>375</v>
      </c>
      <c r="GO30" s="185"/>
      <c r="GP30" s="185" t="s">
        <v>386</v>
      </c>
      <c r="GQ30" s="185"/>
      <c r="GR30" s="185"/>
      <c r="GS30" s="185"/>
      <c r="GT30" s="185"/>
      <c r="GU30" s="185"/>
      <c r="GV30" s="185" t="s">
        <v>419</v>
      </c>
      <c r="GW30" s="185"/>
      <c r="GX30" s="185"/>
      <c r="GY30" s="185" t="s">
        <v>404</v>
      </c>
      <c r="GZ30" s="185"/>
      <c r="HA30" s="185"/>
      <c r="HB30" s="185"/>
      <c r="HC30" s="185"/>
      <c r="HD30" s="185"/>
      <c r="HE30" s="185"/>
      <c r="HF30" s="185"/>
      <c r="HG30" s="185"/>
      <c r="HH30" s="185"/>
      <c r="HI30" s="185"/>
      <c r="HJ30" s="185"/>
      <c r="HK30" s="185"/>
      <c r="HL30" s="185"/>
      <c r="HM30" s="185"/>
      <c r="HN30" s="185"/>
      <c r="HO30" s="185"/>
      <c r="HP30" s="185"/>
      <c r="HQ30" s="185"/>
      <c r="HR30" s="228" t="s">
        <v>469</v>
      </c>
      <c r="HS30" s="185"/>
      <c r="HT30" s="185"/>
      <c r="HU30" s="185"/>
      <c r="HV30" s="228" t="s">
        <v>462</v>
      </c>
      <c r="HW30" s="228"/>
      <c r="HX30" s="228"/>
      <c r="HY30" s="228"/>
      <c r="HZ30" s="228"/>
      <c r="IA30" s="228"/>
      <c r="IB30" s="228"/>
      <c r="IC30" s="228"/>
      <c r="ID30" s="185"/>
      <c r="IE30" s="185"/>
      <c r="IF30" s="228" t="s">
        <v>471</v>
      </c>
      <c r="IG30" s="185"/>
      <c r="IH30" s="185"/>
      <c r="II30" s="185"/>
      <c r="IJ30" s="185"/>
      <c r="IK30" s="185"/>
      <c r="IL30" s="185"/>
      <c r="IM30" s="185"/>
      <c r="IN30" s="185"/>
      <c r="IO30" s="185"/>
      <c r="IP30" s="185"/>
      <c r="IQ30" s="185"/>
      <c r="IR30" s="185"/>
      <c r="IS30" s="228" t="s">
        <v>412</v>
      </c>
      <c r="IT30" s="185" t="s">
        <v>379</v>
      </c>
      <c r="IU30" s="185" t="s">
        <v>425</v>
      </c>
      <c r="IV30" s="185"/>
      <c r="IW30" s="185"/>
      <c r="IX30" s="185"/>
      <c r="IY30" s="185"/>
      <c r="IZ30" s="185"/>
      <c r="JA30" s="185"/>
      <c r="JB30" s="185"/>
      <c r="JC30" s="185"/>
      <c r="JD30" s="185"/>
      <c r="JE30" s="185"/>
      <c r="JF30" s="185"/>
      <c r="JG30" s="185"/>
      <c r="JH30" s="185"/>
      <c r="JI30" s="228"/>
      <c r="JJ30" s="322"/>
      <c r="JK30" s="228"/>
      <c r="JL30" s="185" t="s">
        <v>391</v>
      </c>
      <c r="JM30" s="228"/>
      <c r="JN30" s="274" t="s">
        <v>462</v>
      </c>
      <c r="JO30" s="228"/>
      <c r="JP30" s="228"/>
      <c r="JQ30" s="228"/>
      <c r="JR30" s="228"/>
      <c r="JS30" s="228"/>
      <c r="JT30" s="228"/>
      <c r="JU30" s="228"/>
      <c r="JV30" s="228"/>
      <c r="JW30" s="228"/>
      <c r="JX30" s="228"/>
      <c r="JY30" s="228"/>
      <c r="JZ30" s="228"/>
      <c r="KA30" s="228"/>
      <c r="KB30" s="228"/>
      <c r="KC30" s="228"/>
      <c r="KD30" s="228"/>
      <c r="KE30" s="228"/>
      <c r="KF30" s="228"/>
      <c r="KG30" s="228"/>
      <c r="KH30" s="228"/>
      <c r="KI30" s="228"/>
      <c r="KJ30" s="228"/>
      <c r="KK30" s="185"/>
      <c r="KL30" s="185"/>
      <c r="KM30" s="185"/>
      <c r="KN30" s="185"/>
      <c r="KO30" s="185"/>
      <c r="KP30" s="185"/>
      <c r="KQ30" s="185"/>
      <c r="KR30" s="185"/>
      <c r="KS30" s="185"/>
      <c r="KT30" s="185"/>
      <c r="KU30" s="185"/>
      <c r="KV30" s="185"/>
      <c r="KW30" s="185"/>
      <c r="KX30" s="185"/>
      <c r="KY30" s="185"/>
      <c r="KZ30" s="185"/>
      <c r="LA30" s="228" t="s">
        <v>432</v>
      </c>
      <c r="LB30" s="185" t="s">
        <v>392</v>
      </c>
      <c r="LC30" s="228"/>
      <c r="LD30" s="228" t="s">
        <v>393</v>
      </c>
      <c r="LE30" s="228"/>
      <c r="LF30" s="233">
        <v>0.531249999999999</v>
      </c>
    </row>
    <row r="31" spans="2:318" ht="10.5" customHeight="1">
      <c r="B31" s="49">
        <v>0.25</v>
      </c>
      <c r="C31" s="49">
        <v>0.25</v>
      </c>
      <c r="D31" s="49">
        <v>0.25</v>
      </c>
      <c r="E31" s="172">
        <v>0.52083333333333337</v>
      </c>
      <c r="F31" s="322" t="s">
        <v>386</v>
      </c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 t="s">
        <v>419</v>
      </c>
      <c r="V31" s="185" t="s">
        <v>375</v>
      </c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85"/>
      <c r="AH31" s="185"/>
      <c r="AI31" s="185"/>
      <c r="AJ31" s="185"/>
      <c r="AK31" s="185"/>
      <c r="AL31" s="185"/>
      <c r="AM31" s="185"/>
      <c r="AN31" s="185"/>
      <c r="AO31" s="185"/>
      <c r="AP31" s="185"/>
      <c r="AQ31" s="324"/>
      <c r="AR31" s="324"/>
      <c r="AS31" s="324"/>
      <c r="AT31" s="185"/>
      <c r="AU31" s="185"/>
      <c r="AV31" s="185"/>
      <c r="AW31" s="185"/>
      <c r="AX31" s="185"/>
      <c r="AY31" s="228" t="s">
        <v>471</v>
      </c>
      <c r="AZ31" s="228"/>
      <c r="BA31" s="185"/>
      <c r="BB31" s="185"/>
      <c r="BC31" s="185"/>
      <c r="BD31" s="185"/>
      <c r="BE31" s="185"/>
      <c r="BF31" s="228"/>
      <c r="BG31" s="185"/>
      <c r="BH31" s="185"/>
      <c r="BI31" s="185" t="s">
        <v>375</v>
      </c>
      <c r="BJ31" s="185"/>
      <c r="BK31" s="185"/>
      <c r="BL31" s="185"/>
      <c r="BM31" s="185"/>
      <c r="BN31" s="185" t="s">
        <v>386</v>
      </c>
      <c r="BO31" s="185" t="s">
        <v>419</v>
      </c>
      <c r="BP31" s="185"/>
      <c r="BQ31" s="228"/>
      <c r="BR31" s="185"/>
      <c r="BS31" s="185"/>
      <c r="BT31" s="185"/>
      <c r="BU31" s="185"/>
      <c r="BV31" s="185"/>
      <c r="BW31" s="185"/>
      <c r="BX31" s="185"/>
      <c r="BY31" s="185"/>
      <c r="BZ31" s="185"/>
      <c r="CA31" s="185"/>
      <c r="CB31" s="185"/>
      <c r="CC31" s="185"/>
      <c r="CD31" s="185"/>
      <c r="CE31" s="185"/>
      <c r="CF31" s="185"/>
      <c r="CG31" s="185"/>
      <c r="CH31" s="185"/>
      <c r="CI31" s="185"/>
      <c r="CJ31" s="185"/>
      <c r="CK31" s="185"/>
      <c r="CL31" s="53"/>
      <c r="CM31" s="53"/>
      <c r="CN31" s="53"/>
      <c r="CO31" s="53"/>
      <c r="CP31" s="54"/>
      <c r="CQ31" s="339" t="s">
        <v>419</v>
      </c>
      <c r="CR31" s="185"/>
      <c r="CS31" s="185"/>
      <c r="CT31" s="185"/>
      <c r="CU31" s="185"/>
      <c r="CV31" s="185"/>
      <c r="CW31" s="185"/>
      <c r="CX31" s="185"/>
      <c r="CY31" s="185"/>
      <c r="CZ31" s="185"/>
      <c r="DA31" s="185"/>
      <c r="DB31" s="185" t="s">
        <v>375</v>
      </c>
      <c r="DC31" s="228"/>
      <c r="DD31" s="185"/>
      <c r="DE31" s="185"/>
      <c r="DF31" s="185"/>
      <c r="DG31" s="185"/>
      <c r="DH31" s="185" t="s">
        <v>471</v>
      </c>
      <c r="DI31" s="185"/>
      <c r="DJ31" s="185"/>
      <c r="DK31" s="185"/>
      <c r="DL31" s="185"/>
      <c r="DM31" s="185"/>
      <c r="DN31" s="185"/>
      <c r="DO31" s="228"/>
      <c r="DP31" s="185"/>
      <c r="DQ31" s="185"/>
      <c r="DR31" s="185"/>
      <c r="DS31" s="185"/>
      <c r="DT31" s="185"/>
      <c r="DU31" s="185"/>
      <c r="DV31" s="185"/>
      <c r="DW31" s="185"/>
      <c r="DX31" s="185"/>
      <c r="DY31" s="185"/>
      <c r="DZ31" s="185"/>
      <c r="EA31" s="185"/>
      <c r="EB31" s="185"/>
      <c r="EC31" s="185"/>
      <c r="ED31" s="185"/>
      <c r="EE31" s="185"/>
      <c r="EF31" s="185"/>
      <c r="EG31" s="185"/>
      <c r="EH31" s="185"/>
      <c r="EI31" s="185"/>
      <c r="EJ31" s="185"/>
      <c r="EK31" s="186"/>
      <c r="EL31" s="185" t="s">
        <v>386</v>
      </c>
      <c r="EM31" s="185" t="s">
        <v>404</v>
      </c>
      <c r="EN31" s="185"/>
      <c r="EO31" s="185"/>
      <c r="EP31" s="185"/>
      <c r="EQ31" s="185"/>
      <c r="ER31" s="185"/>
      <c r="ES31" s="185"/>
      <c r="ET31" s="185"/>
      <c r="EU31" s="185"/>
      <c r="EV31" s="185"/>
      <c r="EW31" s="185"/>
      <c r="EX31" s="185"/>
      <c r="EY31" s="185"/>
      <c r="EZ31" s="185"/>
      <c r="FA31" s="228"/>
      <c r="FB31" s="228"/>
      <c r="FC31" s="185" t="s">
        <v>471</v>
      </c>
      <c r="FD31" s="185"/>
      <c r="FE31" s="280" t="s">
        <v>375</v>
      </c>
      <c r="FF31" s="228"/>
      <c r="FG31" s="228"/>
      <c r="FH31" s="185"/>
      <c r="FI31" s="185"/>
      <c r="FJ31" s="185"/>
      <c r="FK31" s="185"/>
      <c r="FL31" s="185"/>
      <c r="FM31" s="185"/>
      <c r="FN31" s="185"/>
      <c r="FO31" s="185"/>
      <c r="FP31" s="185"/>
      <c r="FQ31" s="185"/>
      <c r="FR31" s="185"/>
      <c r="FS31" s="185"/>
      <c r="FT31" s="185"/>
      <c r="FU31" s="185"/>
      <c r="FV31" s="185"/>
      <c r="FW31" s="185"/>
      <c r="FX31" s="185"/>
      <c r="FY31" s="185"/>
      <c r="FZ31" s="185"/>
      <c r="GA31" s="185"/>
      <c r="GB31" s="185"/>
      <c r="GC31" s="185"/>
      <c r="GD31" s="228" t="s">
        <v>462</v>
      </c>
      <c r="GE31" s="228"/>
      <c r="GF31" s="185"/>
      <c r="GG31" s="185"/>
      <c r="GH31" s="185"/>
      <c r="GI31" s="185"/>
      <c r="GJ31" s="185"/>
      <c r="GK31" s="185"/>
      <c r="GL31" s="185"/>
      <c r="GM31" s="185"/>
      <c r="GN31" s="185" t="s">
        <v>419</v>
      </c>
      <c r="GO31" s="185"/>
      <c r="GP31" s="185"/>
      <c r="GQ31" s="185"/>
      <c r="GR31" s="185"/>
      <c r="GS31" s="185" t="s">
        <v>411</v>
      </c>
      <c r="GT31" s="185" t="s">
        <v>386</v>
      </c>
      <c r="GU31" s="185"/>
      <c r="GV31" s="185"/>
      <c r="GW31" s="185"/>
      <c r="GX31" s="185"/>
      <c r="GY31" s="185" t="s">
        <v>404</v>
      </c>
      <c r="GZ31" s="185"/>
      <c r="HA31" s="185"/>
      <c r="HB31" s="185"/>
      <c r="HC31" s="185"/>
      <c r="HD31" s="185"/>
      <c r="HE31" s="185"/>
      <c r="HF31" s="185"/>
      <c r="HG31" s="185"/>
      <c r="HH31" s="185"/>
      <c r="HI31" s="185"/>
      <c r="HJ31" s="185"/>
      <c r="HK31" s="185"/>
      <c r="HL31" s="185"/>
      <c r="HM31" s="185"/>
      <c r="HN31" s="185"/>
      <c r="HO31" s="185"/>
      <c r="HP31" s="185"/>
      <c r="HQ31" s="185"/>
      <c r="HR31" s="185"/>
      <c r="HS31" s="185"/>
      <c r="HT31" s="185"/>
      <c r="HU31" s="185"/>
      <c r="HV31" s="228" t="s">
        <v>471</v>
      </c>
      <c r="HW31" s="185"/>
      <c r="HX31" s="185"/>
      <c r="HY31" s="185"/>
      <c r="HZ31" s="185"/>
      <c r="IA31" s="185"/>
      <c r="IB31" s="185"/>
      <c r="IC31" s="185"/>
      <c r="ID31" s="185"/>
      <c r="IE31" s="185"/>
      <c r="IF31" s="185" t="s">
        <v>462</v>
      </c>
      <c r="IG31" s="185"/>
      <c r="IH31" s="185"/>
      <c r="II31" s="185"/>
      <c r="IJ31" s="185"/>
      <c r="IK31" s="185"/>
      <c r="IL31" s="185"/>
      <c r="IM31" s="185"/>
      <c r="IN31" s="185"/>
      <c r="IO31" s="185"/>
      <c r="IP31" s="185"/>
      <c r="IQ31" s="228"/>
      <c r="IR31" s="185"/>
      <c r="IS31" s="228" t="s">
        <v>412</v>
      </c>
      <c r="IT31" s="185" t="s">
        <v>379</v>
      </c>
      <c r="IU31" s="185" t="s">
        <v>425</v>
      </c>
      <c r="IV31" s="185"/>
      <c r="IW31" s="185"/>
      <c r="IX31" s="185"/>
      <c r="IY31" s="185"/>
      <c r="IZ31" s="185"/>
      <c r="JA31" s="185"/>
      <c r="JB31" s="185"/>
      <c r="JC31" s="185"/>
      <c r="JD31" s="185"/>
      <c r="JE31" s="185"/>
      <c r="JF31" s="185"/>
      <c r="JG31" s="185"/>
      <c r="JH31" s="185"/>
      <c r="JI31" s="228"/>
      <c r="JJ31" s="228"/>
      <c r="JK31" s="228"/>
      <c r="JL31" s="228"/>
      <c r="JM31" s="228"/>
      <c r="JN31" s="274" t="s">
        <v>462</v>
      </c>
      <c r="JO31" s="228"/>
      <c r="JP31" s="228"/>
      <c r="JQ31" s="228"/>
      <c r="JR31" s="228"/>
      <c r="JS31" s="228"/>
      <c r="JT31" s="228"/>
      <c r="JU31" s="228"/>
      <c r="JV31" s="228"/>
      <c r="JW31" s="228"/>
      <c r="JX31" s="228"/>
      <c r="JY31" s="228"/>
      <c r="JZ31" s="228"/>
      <c r="KA31" s="228"/>
      <c r="KB31" s="228"/>
      <c r="KC31" s="228"/>
      <c r="KD31" s="228"/>
      <c r="KE31" s="228"/>
      <c r="KF31" s="228"/>
      <c r="KG31" s="228"/>
      <c r="KH31" s="228"/>
      <c r="KI31" s="228"/>
      <c r="KJ31" s="228"/>
      <c r="KK31" s="185"/>
      <c r="KL31" s="185"/>
      <c r="KM31" s="185"/>
      <c r="KN31" s="185"/>
      <c r="KO31" s="185"/>
      <c r="KP31" s="185"/>
      <c r="KQ31" s="185"/>
      <c r="KR31" s="185"/>
      <c r="KS31" s="185"/>
      <c r="KT31" s="185"/>
      <c r="KU31" s="185"/>
      <c r="KV31" s="185"/>
      <c r="KW31" s="185"/>
      <c r="KX31" s="185"/>
      <c r="KY31" s="185"/>
      <c r="KZ31" s="185"/>
      <c r="LA31" s="228"/>
      <c r="LB31" s="228"/>
      <c r="LC31" s="228"/>
      <c r="LD31" s="228"/>
      <c r="LE31" s="228"/>
      <c r="LF31" s="233">
        <v>0.54166666666666596</v>
      </c>
    </row>
    <row r="32" spans="2:318" ht="10.5" customHeight="1">
      <c r="B32" s="49">
        <v>0.25</v>
      </c>
      <c r="C32" s="49">
        <v>0.25</v>
      </c>
      <c r="D32" s="49">
        <v>0.25</v>
      </c>
      <c r="E32" s="172">
        <v>0.53125</v>
      </c>
      <c r="F32" s="322" t="s">
        <v>386</v>
      </c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185"/>
      <c r="AI32" s="185"/>
      <c r="AJ32" s="185"/>
      <c r="AK32" s="185"/>
      <c r="AL32" s="185"/>
      <c r="AM32" s="185"/>
      <c r="AN32" s="185"/>
      <c r="AO32" s="185"/>
      <c r="AP32" s="185"/>
      <c r="AQ32" s="324"/>
      <c r="AR32" s="324"/>
      <c r="AS32" s="324"/>
      <c r="AT32" s="185"/>
      <c r="AU32" s="185" t="s">
        <v>375</v>
      </c>
      <c r="AV32" s="185"/>
      <c r="AW32" s="325" t="s">
        <v>371</v>
      </c>
      <c r="AX32" s="185"/>
      <c r="AY32" s="228" t="s">
        <v>471</v>
      </c>
      <c r="AZ32" s="185"/>
      <c r="BA32" s="185"/>
      <c r="BB32" s="185"/>
      <c r="BC32" s="185"/>
      <c r="BD32" s="185"/>
      <c r="BE32" s="185"/>
      <c r="BF32" s="185"/>
      <c r="BG32" s="228"/>
      <c r="BH32" s="185"/>
      <c r="BI32" s="185" t="s">
        <v>375</v>
      </c>
      <c r="BJ32" s="185"/>
      <c r="BK32" s="185"/>
      <c r="BL32" s="185"/>
      <c r="BM32" s="185"/>
      <c r="BN32" s="185"/>
      <c r="BO32" s="185"/>
      <c r="BP32" s="185"/>
      <c r="BQ32" s="185"/>
      <c r="BR32" s="185"/>
      <c r="BS32" s="185"/>
      <c r="BT32" s="185"/>
      <c r="BU32" s="185"/>
      <c r="BV32" s="185"/>
      <c r="BW32" s="185"/>
      <c r="BX32" s="185"/>
      <c r="BY32" s="185"/>
      <c r="BZ32" s="185"/>
      <c r="CA32" s="185"/>
      <c r="CB32" s="185"/>
      <c r="CC32" s="185"/>
      <c r="CD32" s="185"/>
      <c r="CE32" s="185"/>
      <c r="CF32" s="185"/>
      <c r="CG32" s="185"/>
      <c r="CH32" s="185"/>
      <c r="CI32" s="185"/>
      <c r="CJ32" s="185"/>
      <c r="CK32" s="185"/>
      <c r="CL32" s="176" t="s">
        <v>444</v>
      </c>
      <c r="CM32" s="276" t="s">
        <v>386</v>
      </c>
      <c r="CN32" s="276" t="s">
        <v>419</v>
      </c>
      <c r="CO32" s="53"/>
      <c r="CP32" s="54"/>
      <c r="CQ32" s="339" t="s">
        <v>419</v>
      </c>
      <c r="CR32" s="185"/>
      <c r="CS32" s="185"/>
      <c r="CT32" s="185"/>
      <c r="CU32" s="185"/>
      <c r="CV32" s="185"/>
      <c r="CW32" s="185"/>
      <c r="CX32" s="185"/>
      <c r="CY32" s="185"/>
      <c r="CZ32" s="185"/>
      <c r="DA32" s="185"/>
      <c r="DB32" s="185" t="s">
        <v>375</v>
      </c>
      <c r="DC32" s="228"/>
      <c r="DD32" s="185"/>
      <c r="DE32" s="185"/>
      <c r="DF32" s="185"/>
      <c r="DG32" s="185"/>
      <c r="DH32" s="185"/>
      <c r="DI32" s="185"/>
      <c r="DJ32" s="185"/>
      <c r="DK32" s="185"/>
      <c r="DL32" s="185"/>
      <c r="DM32" s="185"/>
      <c r="DN32" s="185"/>
      <c r="DO32" s="228"/>
      <c r="DP32" s="185"/>
      <c r="DQ32" s="185"/>
      <c r="DR32" s="185"/>
      <c r="DS32" s="185"/>
      <c r="DT32" s="185"/>
      <c r="DU32" s="185"/>
      <c r="DV32" s="185"/>
      <c r="DW32" s="185"/>
      <c r="DX32" s="185"/>
      <c r="DY32" s="185"/>
      <c r="DZ32" s="185"/>
      <c r="EA32" s="185"/>
      <c r="EB32" s="185"/>
      <c r="EC32" s="185"/>
      <c r="ED32" s="185"/>
      <c r="EE32" s="185"/>
      <c r="EF32" s="185"/>
      <c r="EG32" s="185"/>
      <c r="EH32" s="274" t="s">
        <v>471</v>
      </c>
      <c r="EI32" s="185"/>
      <c r="EJ32" s="274" t="s">
        <v>411</v>
      </c>
      <c r="EK32" s="186"/>
      <c r="EL32" s="185" t="s">
        <v>386</v>
      </c>
      <c r="EM32" s="185"/>
      <c r="EN32" s="185"/>
      <c r="EO32" s="185"/>
      <c r="EP32" s="185"/>
      <c r="EQ32" s="185"/>
      <c r="ER32" s="185"/>
      <c r="ES32" s="280"/>
      <c r="ET32" s="185"/>
      <c r="EU32" s="185"/>
      <c r="EV32" s="185"/>
      <c r="EW32" s="185"/>
      <c r="EX32" s="185"/>
      <c r="EY32" s="185"/>
      <c r="EZ32" s="185"/>
      <c r="FA32" s="228" t="s">
        <v>419</v>
      </c>
      <c r="FB32" s="185"/>
      <c r="FC32" s="185"/>
      <c r="FD32" s="185"/>
      <c r="FE32" s="280" t="s">
        <v>375</v>
      </c>
      <c r="FF32" s="228"/>
      <c r="FG32" s="228"/>
      <c r="FH32" s="185"/>
      <c r="FI32" s="185"/>
      <c r="FJ32" s="185"/>
      <c r="FK32" s="185"/>
      <c r="FL32" s="185"/>
      <c r="FM32" s="185"/>
      <c r="FN32" s="185"/>
      <c r="FO32" s="185"/>
      <c r="FP32" s="185"/>
      <c r="FQ32" s="185"/>
      <c r="FR32" s="185"/>
      <c r="FS32" s="185"/>
      <c r="FT32" s="185"/>
      <c r="FU32" s="185"/>
      <c r="FV32" s="185"/>
      <c r="FW32" s="185"/>
      <c r="FX32" s="185"/>
      <c r="FY32" s="274" t="s">
        <v>471</v>
      </c>
      <c r="FZ32" s="274" t="s">
        <v>411</v>
      </c>
      <c r="GA32" s="185"/>
      <c r="GB32" s="185"/>
      <c r="GC32" s="185"/>
      <c r="GD32" s="228" t="s">
        <v>462</v>
      </c>
      <c r="GE32" s="185"/>
      <c r="GF32" s="185"/>
      <c r="GG32" s="185"/>
      <c r="GH32" s="185"/>
      <c r="GI32" s="185"/>
      <c r="GJ32" s="185"/>
      <c r="GK32" s="185"/>
      <c r="GL32" s="185"/>
      <c r="GM32" s="185"/>
      <c r="GN32" s="185" t="s">
        <v>419</v>
      </c>
      <c r="GO32" s="185"/>
      <c r="GP32" s="185"/>
      <c r="GQ32" s="185"/>
      <c r="GR32" s="185"/>
      <c r="GS32" s="185"/>
      <c r="GT32" s="185"/>
      <c r="GU32" s="185"/>
      <c r="GV32" s="185"/>
      <c r="GW32" s="185"/>
      <c r="GX32" s="185"/>
      <c r="GY32" s="185"/>
      <c r="GZ32" s="185"/>
      <c r="HA32" s="185"/>
      <c r="HB32" s="185"/>
      <c r="HC32" s="185"/>
      <c r="HD32" s="185"/>
      <c r="HE32" s="185"/>
      <c r="HF32" s="185"/>
      <c r="HG32" s="185"/>
      <c r="HH32" s="185"/>
      <c r="HI32" s="185"/>
      <c r="HJ32" s="185"/>
      <c r="HK32" s="185"/>
      <c r="HL32" s="185"/>
      <c r="HM32" s="185"/>
      <c r="HN32" s="185"/>
      <c r="HO32" s="185"/>
      <c r="HP32" s="185"/>
      <c r="HQ32" s="185"/>
      <c r="HR32" s="274" t="s">
        <v>386</v>
      </c>
      <c r="HS32" s="274" t="s">
        <v>411</v>
      </c>
      <c r="HT32" s="185"/>
      <c r="HU32" s="185"/>
      <c r="HV32" s="228" t="s">
        <v>471</v>
      </c>
      <c r="HW32" s="185"/>
      <c r="HX32" s="185"/>
      <c r="HY32" s="185"/>
      <c r="HZ32" s="185"/>
      <c r="IA32" s="185"/>
      <c r="IB32" s="185"/>
      <c r="IC32" s="185"/>
      <c r="ID32" s="185"/>
      <c r="IE32" s="185"/>
      <c r="IF32" s="185" t="s">
        <v>462</v>
      </c>
      <c r="IG32" s="185"/>
      <c r="IH32" s="185"/>
      <c r="II32" s="185"/>
      <c r="IJ32" s="185"/>
      <c r="IK32" s="185"/>
      <c r="IL32" s="185"/>
      <c r="IM32" s="185"/>
      <c r="IN32" s="185"/>
      <c r="IO32" s="185"/>
      <c r="IP32" s="185"/>
      <c r="IQ32" s="228"/>
      <c r="IR32" s="185"/>
      <c r="IS32" s="228" t="s">
        <v>412</v>
      </c>
      <c r="IT32" s="185" t="s">
        <v>379</v>
      </c>
      <c r="IU32" s="185" t="s">
        <v>425</v>
      </c>
      <c r="IV32" s="185"/>
      <c r="IW32" s="185"/>
      <c r="IX32" s="185"/>
      <c r="IY32" s="185"/>
      <c r="IZ32" s="185"/>
      <c r="JA32" s="185"/>
      <c r="JB32" s="185"/>
      <c r="JC32" s="185"/>
      <c r="JD32" s="185"/>
      <c r="JE32" s="185"/>
      <c r="JF32" s="185"/>
      <c r="JG32" s="185"/>
      <c r="JH32" s="185"/>
      <c r="JI32" s="228"/>
      <c r="JJ32" s="228"/>
      <c r="JK32" s="228"/>
      <c r="JL32" s="228"/>
      <c r="JM32" s="228"/>
      <c r="JN32" s="274" t="s">
        <v>462</v>
      </c>
      <c r="JO32" s="228"/>
      <c r="JP32" s="228"/>
      <c r="JQ32" s="228"/>
      <c r="JR32" s="228"/>
      <c r="JS32" s="228"/>
      <c r="JT32" s="228"/>
      <c r="JU32" s="228"/>
      <c r="JV32" s="228"/>
      <c r="JW32" s="228"/>
      <c r="JX32" s="228"/>
      <c r="JY32" s="228"/>
      <c r="JZ32" s="228"/>
      <c r="KA32" s="228"/>
      <c r="KB32" s="228"/>
      <c r="KC32" s="228"/>
      <c r="KD32" s="228"/>
      <c r="KE32" s="228"/>
      <c r="KF32" s="228"/>
      <c r="KG32" s="228"/>
      <c r="KH32" s="228"/>
      <c r="KI32" s="228"/>
      <c r="KJ32" s="228"/>
      <c r="KK32" s="185"/>
      <c r="KL32" s="185"/>
      <c r="KM32" s="185"/>
      <c r="KN32" s="185"/>
      <c r="KO32" s="185"/>
      <c r="KP32" s="185"/>
      <c r="KQ32" s="185"/>
      <c r="KR32" s="185"/>
      <c r="KS32" s="185"/>
      <c r="KT32" s="185"/>
      <c r="KU32" s="185"/>
      <c r="KV32" s="185"/>
      <c r="KW32" s="185"/>
      <c r="KX32" s="185"/>
      <c r="KY32" s="185"/>
      <c r="KZ32" s="185"/>
      <c r="LA32" s="228"/>
      <c r="LB32" s="228"/>
      <c r="LC32" s="228"/>
      <c r="LD32" s="228"/>
      <c r="LE32" s="228"/>
      <c r="LF32" s="233">
        <v>0.55208333333333304</v>
      </c>
    </row>
    <row r="33" spans="2:318" ht="10.5" customHeight="1">
      <c r="B33" s="49">
        <v>0.25</v>
      </c>
      <c r="C33" s="49">
        <v>0.25</v>
      </c>
      <c r="D33" s="49">
        <v>0.25</v>
      </c>
      <c r="E33" s="172">
        <v>0.54166666666666663</v>
      </c>
      <c r="F33" s="322" t="s">
        <v>386</v>
      </c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 t="s">
        <v>411</v>
      </c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85"/>
      <c r="AH33" s="185"/>
      <c r="AI33" s="185"/>
      <c r="AJ33" s="185"/>
      <c r="AK33" s="185"/>
      <c r="AL33" s="185"/>
      <c r="AM33" s="185"/>
      <c r="AN33" s="185"/>
      <c r="AO33" s="185"/>
      <c r="AP33" s="185"/>
      <c r="AQ33" s="324"/>
      <c r="AR33" s="324"/>
      <c r="AS33" s="324"/>
      <c r="AT33" s="185"/>
      <c r="AU33" s="185" t="s">
        <v>375</v>
      </c>
      <c r="AV33" s="185"/>
      <c r="AW33" s="325" t="s">
        <v>371</v>
      </c>
      <c r="AX33" s="185"/>
      <c r="AY33" s="228" t="s">
        <v>471</v>
      </c>
      <c r="AZ33" s="185"/>
      <c r="BA33" s="185"/>
      <c r="BB33" s="185"/>
      <c r="BC33" s="185"/>
      <c r="BD33" s="185"/>
      <c r="BE33" s="185"/>
      <c r="BF33" s="185"/>
      <c r="BG33" s="228"/>
      <c r="BH33" s="185"/>
      <c r="BI33" s="185" t="s">
        <v>375</v>
      </c>
      <c r="BJ33" s="185"/>
      <c r="BK33" s="185"/>
      <c r="BL33" s="185"/>
      <c r="BM33" s="185"/>
      <c r="BN33" s="185"/>
      <c r="BO33" s="185"/>
      <c r="BP33" s="185"/>
      <c r="BQ33" s="185"/>
      <c r="BR33" s="185"/>
      <c r="BS33" s="185"/>
      <c r="BT33" s="185"/>
      <c r="BU33" s="185"/>
      <c r="BV33" s="185"/>
      <c r="BW33" s="185"/>
      <c r="BX33" s="185"/>
      <c r="BY33" s="185"/>
      <c r="BZ33" s="185"/>
      <c r="CA33" s="185"/>
      <c r="CB33" s="185"/>
      <c r="CC33" s="185"/>
      <c r="CD33" s="185"/>
      <c r="CE33" s="185"/>
      <c r="CF33" s="185"/>
      <c r="CG33" s="185"/>
      <c r="CH33" s="185"/>
      <c r="CI33" s="185"/>
      <c r="CJ33" s="185"/>
      <c r="CK33" s="185"/>
      <c r="CL33" s="176" t="s">
        <v>444</v>
      </c>
      <c r="CM33" s="276" t="s">
        <v>386</v>
      </c>
      <c r="CN33" s="276" t="s">
        <v>419</v>
      </c>
      <c r="CO33" s="53"/>
      <c r="CP33" s="350" t="s">
        <v>411</v>
      </c>
      <c r="CQ33" s="339" t="s">
        <v>419</v>
      </c>
      <c r="CR33" s="185"/>
      <c r="CS33" s="185"/>
      <c r="CT33" s="185"/>
      <c r="CU33" s="185"/>
      <c r="CV33" s="185"/>
      <c r="CW33" s="185"/>
      <c r="CX33" s="228"/>
      <c r="CY33" s="185"/>
      <c r="CZ33" s="228"/>
      <c r="DA33" s="185"/>
      <c r="DB33" s="185" t="s">
        <v>375</v>
      </c>
      <c r="DC33" s="228"/>
      <c r="DD33" s="185"/>
      <c r="DE33" s="185"/>
      <c r="DF33" s="185"/>
      <c r="DG33" s="185"/>
      <c r="DH33" s="185"/>
      <c r="DI33" s="185"/>
      <c r="DJ33" s="185"/>
      <c r="DK33" s="185"/>
      <c r="DL33" s="185"/>
      <c r="DM33" s="185"/>
      <c r="DN33" s="185"/>
      <c r="DO33" s="228"/>
      <c r="DP33" s="185"/>
      <c r="DQ33" s="185"/>
      <c r="DR33" s="185"/>
      <c r="DS33" s="185"/>
      <c r="DT33" s="185"/>
      <c r="DU33" s="185"/>
      <c r="DV33" s="185"/>
      <c r="DW33" s="185"/>
      <c r="DX33" s="185"/>
      <c r="DY33" s="185"/>
      <c r="DZ33" s="185"/>
      <c r="EA33" s="185"/>
      <c r="EB33" s="185"/>
      <c r="EC33" s="185"/>
      <c r="ED33" s="185"/>
      <c r="EE33" s="185"/>
      <c r="EF33" s="185"/>
      <c r="EG33" s="185"/>
      <c r="EH33" s="274" t="s">
        <v>471</v>
      </c>
      <c r="EI33" s="185"/>
      <c r="EJ33" s="274" t="s">
        <v>411</v>
      </c>
      <c r="EK33" s="186"/>
      <c r="EL33" s="185" t="s">
        <v>386</v>
      </c>
      <c r="EM33" s="185"/>
      <c r="EN33" s="185"/>
      <c r="EO33" s="185"/>
      <c r="EP33" s="185"/>
      <c r="EQ33" s="185"/>
      <c r="ER33" s="185"/>
      <c r="ES33" s="185"/>
      <c r="ET33" s="280"/>
      <c r="EU33" s="185"/>
      <c r="EV33" s="185"/>
      <c r="EW33" s="185"/>
      <c r="EX33" s="185"/>
      <c r="EY33" s="185"/>
      <c r="EZ33" s="185"/>
      <c r="FA33" s="185"/>
      <c r="FB33" s="185"/>
      <c r="FC33" s="185"/>
      <c r="FD33" s="185"/>
      <c r="FE33" s="185"/>
      <c r="FF33" s="228"/>
      <c r="FG33" s="228"/>
      <c r="FH33" s="185"/>
      <c r="FI33" s="185"/>
      <c r="FJ33" s="185"/>
      <c r="FK33" s="185"/>
      <c r="FL33" s="185"/>
      <c r="FM33" s="185"/>
      <c r="FN33" s="185"/>
      <c r="FO33" s="185"/>
      <c r="FP33" s="185"/>
      <c r="FQ33" s="185"/>
      <c r="FR33" s="185"/>
      <c r="FS33" s="185"/>
      <c r="FT33" s="228"/>
      <c r="FU33" s="185"/>
      <c r="FV33" s="185"/>
      <c r="FW33" s="185"/>
      <c r="FX33" s="185"/>
      <c r="FY33" s="274" t="s">
        <v>471</v>
      </c>
      <c r="FZ33" s="274" t="s">
        <v>411</v>
      </c>
      <c r="GA33" s="228"/>
      <c r="GB33" s="185"/>
      <c r="GC33" s="274" t="s">
        <v>419</v>
      </c>
      <c r="GD33" s="185" t="s">
        <v>471</v>
      </c>
      <c r="GE33" s="185"/>
      <c r="GF33" s="185"/>
      <c r="GG33" s="185"/>
      <c r="GH33" s="185"/>
      <c r="GI33" s="185"/>
      <c r="GJ33" s="185"/>
      <c r="GK33" s="185" t="s">
        <v>462</v>
      </c>
      <c r="GL33" s="185"/>
      <c r="GM33" s="185"/>
      <c r="GN33" s="185" t="s">
        <v>419</v>
      </c>
      <c r="GO33" s="185"/>
      <c r="GP33" s="185"/>
      <c r="GQ33" s="185"/>
      <c r="GR33" s="185"/>
      <c r="GS33" s="185"/>
      <c r="GT33" s="185"/>
      <c r="GU33" s="185"/>
      <c r="GV33" s="185"/>
      <c r="GW33" s="185"/>
      <c r="GX33" s="185"/>
      <c r="GY33" s="185"/>
      <c r="GZ33" s="185"/>
      <c r="HA33" s="185"/>
      <c r="HB33" s="185"/>
      <c r="HC33" s="185"/>
      <c r="HD33" s="185"/>
      <c r="HE33" s="185"/>
      <c r="HF33" s="185"/>
      <c r="HG33" s="185"/>
      <c r="HH33" s="185"/>
      <c r="HI33" s="185"/>
      <c r="HJ33" s="185"/>
      <c r="HK33" s="185"/>
      <c r="HL33" s="185"/>
      <c r="HM33" s="185"/>
      <c r="HN33" s="185"/>
      <c r="HO33" s="185"/>
      <c r="HP33" s="185"/>
      <c r="HQ33" s="185"/>
      <c r="HR33" s="274" t="s">
        <v>386</v>
      </c>
      <c r="HS33" s="274" t="s">
        <v>411</v>
      </c>
      <c r="HT33" s="185"/>
      <c r="HU33" s="185"/>
      <c r="HV33" s="228" t="s">
        <v>471</v>
      </c>
      <c r="HW33" s="185"/>
      <c r="HX33" s="185"/>
      <c r="HY33" s="185"/>
      <c r="HZ33" s="185"/>
      <c r="IA33" s="185"/>
      <c r="IB33" s="185"/>
      <c r="IC33" s="185"/>
      <c r="ID33" s="185"/>
      <c r="IE33" s="185"/>
      <c r="IF33" s="185"/>
      <c r="IG33" s="185"/>
      <c r="IH33" s="185"/>
      <c r="II33" s="185"/>
      <c r="IJ33" s="185"/>
      <c r="IK33" s="185"/>
      <c r="IL33" s="185"/>
      <c r="IM33" s="185"/>
      <c r="IN33" s="185"/>
      <c r="IO33" s="185"/>
      <c r="IP33" s="185"/>
      <c r="IQ33" s="228"/>
      <c r="IR33" s="185"/>
      <c r="IS33" s="185"/>
      <c r="IT33" s="185"/>
      <c r="IU33" s="185"/>
      <c r="IV33" s="185"/>
      <c r="IW33" s="185"/>
      <c r="IX33" s="185"/>
      <c r="IY33" s="185"/>
      <c r="IZ33" s="185"/>
      <c r="JA33" s="185"/>
      <c r="JB33" s="185"/>
      <c r="JC33" s="185"/>
      <c r="JD33" s="185"/>
      <c r="JE33" s="185"/>
      <c r="JF33" s="185"/>
      <c r="JG33" s="185"/>
      <c r="JH33" s="185"/>
      <c r="JI33" s="228"/>
      <c r="JJ33" s="228"/>
      <c r="JK33" s="228"/>
      <c r="JL33" s="228"/>
      <c r="JM33" s="228"/>
      <c r="JN33" s="274"/>
      <c r="JO33" s="228"/>
      <c r="JP33" s="228"/>
      <c r="JQ33" s="228"/>
      <c r="JR33" s="228"/>
      <c r="JS33" s="228"/>
      <c r="JT33" s="228"/>
      <c r="JU33" s="228"/>
      <c r="JV33" s="228"/>
      <c r="JW33" s="228"/>
      <c r="JX33" s="228"/>
      <c r="JY33" s="228"/>
      <c r="JZ33" s="228"/>
      <c r="KA33" s="228"/>
      <c r="KB33" s="228"/>
      <c r="KC33" s="228"/>
      <c r="KD33" s="228"/>
      <c r="KE33" s="228"/>
      <c r="KF33" s="228"/>
      <c r="KG33" s="228"/>
      <c r="KH33" s="228"/>
      <c r="KI33" s="228"/>
      <c r="KJ33" s="228"/>
      <c r="KK33" s="185"/>
      <c r="KL33" s="185"/>
      <c r="KM33" s="185"/>
      <c r="KN33" s="185"/>
      <c r="KO33" s="185"/>
      <c r="KP33" s="185"/>
      <c r="KQ33" s="185"/>
      <c r="KR33" s="185"/>
      <c r="KS33" s="185"/>
      <c r="KT33" s="185"/>
      <c r="KU33" s="185"/>
      <c r="KV33" s="185"/>
      <c r="KW33" s="185"/>
      <c r="KX33" s="185"/>
      <c r="KY33" s="185"/>
      <c r="KZ33" s="185"/>
      <c r="LA33" s="228"/>
      <c r="LB33" s="228"/>
      <c r="LC33" s="228"/>
      <c r="LD33" s="228"/>
      <c r="LE33" s="228"/>
      <c r="LF33" s="233">
        <v>0.562499999999999</v>
      </c>
    </row>
    <row r="34" spans="2:318" ht="10.5" customHeight="1">
      <c r="B34" s="49">
        <v>0.25</v>
      </c>
      <c r="C34" s="49">
        <v>0.25</v>
      </c>
      <c r="D34" s="49">
        <v>0.25</v>
      </c>
      <c r="E34" s="172">
        <v>0.55208333333333337</v>
      </c>
      <c r="F34" s="322" t="s">
        <v>462</v>
      </c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 t="s">
        <v>411</v>
      </c>
      <c r="V34" s="185"/>
      <c r="W34" s="185"/>
      <c r="X34" s="185"/>
      <c r="Y34" s="185" t="s">
        <v>386</v>
      </c>
      <c r="Z34" s="185"/>
      <c r="AA34" s="185"/>
      <c r="AB34" s="185"/>
      <c r="AC34" s="185"/>
      <c r="AD34" s="185"/>
      <c r="AE34" s="185"/>
      <c r="AF34" s="185"/>
      <c r="AG34" s="185"/>
      <c r="AH34" s="185"/>
      <c r="AI34" s="185"/>
      <c r="AJ34" s="185"/>
      <c r="AK34" s="185"/>
      <c r="AL34" s="185"/>
      <c r="AM34" s="185"/>
      <c r="AN34" s="185"/>
      <c r="AO34" s="185"/>
      <c r="AP34" s="185"/>
      <c r="AQ34" s="324"/>
      <c r="AR34" s="324"/>
      <c r="AS34" s="324"/>
      <c r="AT34" s="185"/>
      <c r="AU34" s="185" t="s">
        <v>375</v>
      </c>
      <c r="AV34" s="185"/>
      <c r="AW34" s="325" t="s">
        <v>371</v>
      </c>
      <c r="AX34" s="185"/>
      <c r="AY34" s="228" t="s">
        <v>471</v>
      </c>
      <c r="AZ34" s="185"/>
      <c r="BA34" s="185" t="s">
        <v>375</v>
      </c>
      <c r="BB34" s="185"/>
      <c r="BC34" s="185"/>
      <c r="BD34" s="185"/>
      <c r="BE34" s="185"/>
      <c r="BF34" s="185"/>
      <c r="BG34" s="228"/>
      <c r="BH34" s="185"/>
      <c r="BI34" s="185"/>
      <c r="BJ34" s="185"/>
      <c r="BK34" s="185"/>
      <c r="BL34" s="185"/>
      <c r="BM34" s="185"/>
      <c r="BN34" s="185"/>
      <c r="BO34" s="185"/>
      <c r="BP34" s="185"/>
      <c r="BQ34" s="185"/>
      <c r="BR34" s="185"/>
      <c r="BS34" s="185"/>
      <c r="BT34" s="185"/>
      <c r="BU34" s="185"/>
      <c r="BV34" s="185"/>
      <c r="BW34" s="185"/>
      <c r="BX34" s="185"/>
      <c r="BY34" s="185"/>
      <c r="BZ34" s="185"/>
      <c r="CA34" s="185"/>
      <c r="CB34" s="185"/>
      <c r="CC34" s="185"/>
      <c r="CD34" s="185"/>
      <c r="CE34" s="185"/>
      <c r="CF34" s="185"/>
      <c r="CG34" s="185"/>
      <c r="CH34" s="185"/>
      <c r="CI34" s="185"/>
      <c r="CJ34" s="185"/>
      <c r="CK34" s="185"/>
      <c r="CL34" s="176" t="s">
        <v>444</v>
      </c>
      <c r="CM34" s="276" t="s">
        <v>386</v>
      </c>
      <c r="CN34" s="276" t="s">
        <v>419</v>
      </c>
      <c r="CO34" s="53"/>
      <c r="CP34" s="350" t="s">
        <v>411</v>
      </c>
      <c r="CQ34" s="339" t="s">
        <v>419</v>
      </c>
      <c r="CR34" s="185"/>
      <c r="CS34" s="185"/>
      <c r="CT34" s="185"/>
      <c r="CU34" s="185"/>
      <c r="CV34" s="185"/>
      <c r="CW34" s="185"/>
      <c r="CX34" s="228"/>
      <c r="CY34" s="185"/>
      <c r="CZ34" s="228"/>
      <c r="DA34" s="185"/>
      <c r="DB34" s="185" t="s">
        <v>375</v>
      </c>
      <c r="DC34" s="228"/>
      <c r="DD34" s="185"/>
      <c r="DE34" s="185"/>
      <c r="DF34" s="185"/>
      <c r="DG34" s="185"/>
      <c r="DH34" s="185"/>
      <c r="DI34" s="185"/>
      <c r="DJ34" s="185"/>
      <c r="DK34" s="185"/>
      <c r="DL34" s="185"/>
      <c r="DM34" s="185"/>
      <c r="DN34" s="228"/>
      <c r="DO34" s="228"/>
      <c r="DP34" s="185"/>
      <c r="DQ34" s="185"/>
      <c r="DR34" s="185"/>
      <c r="DS34" s="185"/>
      <c r="DT34" s="185"/>
      <c r="DU34" s="185"/>
      <c r="DV34" s="185"/>
      <c r="DW34" s="185"/>
      <c r="DX34" s="185"/>
      <c r="DY34" s="185"/>
      <c r="DZ34" s="185"/>
      <c r="EA34" s="185"/>
      <c r="EB34" s="185"/>
      <c r="EC34" s="185"/>
      <c r="ED34" s="185"/>
      <c r="EE34" s="185"/>
      <c r="EF34" s="185"/>
      <c r="EG34" s="185"/>
      <c r="EH34" s="274" t="s">
        <v>471</v>
      </c>
      <c r="EI34" s="185"/>
      <c r="EJ34" s="274" t="s">
        <v>411</v>
      </c>
      <c r="EK34" s="186"/>
      <c r="EL34" s="185" t="s">
        <v>386</v>
      </c>
      <c r="EM34" s="185"/>
      <c r="EN34" s="185"/>
      <c r="EO34" s="185"/>
      <c r="EP34" s="185"/>
      <c r="EQ34" s="185"/>
      <c r="ER34" s="185"/>
      <c r="ES34" s="185"/>
      <c r="ET34" s="280"/>
      <c r="EU34" s="185"/>
      <c r="EV34" s="185"/>
      <c r="EW34" s="185"/>
      <c r="EX34" s="185"/>
      <c r="EY34" s="185"/>
      <c r="EZ34" s="185"/>
      <c r="FA34" s="185"/>
      <c r="FB34" s="185"/>
      <c r="FC34" s="185"/>
      <c r="FD34" s="185"/>
      <c r="FE34" s="185"/>
      <c r="FF34" s="228"/>
      <c r="FG34" s="228"/>
      <c r="FH34" s="185"/>
      <c r="FI34" s="185"/>
      <c r="FJ34" s="185"/>
      <c r="FK34" s="185"/>
      <c r="FL34" s="185"/>
      <c r="FM34" s="185"/>
      <c r="FN34" s="185"/>
      <c r="FO34" s="185"/>
      <c r="FP34" s="185"/>
      <c r="FQ34" s="185"/>
      <c r="FR34" s="185"/>
      <c r="FS34" s="185"/>
      <c r="FT34" s="228"/>
      <c r="FU34" s="185"/>
      <c r="FV34" s="185"/>
      <c r="FW34" s="185"/>
      <c r="FX34" s="185"/>
      <c r="FY34" s="274" t="s">
        <v>471</v>
      </c>
      <c r="FZ34" s="274" t="s">
        <v>411</v>
      </c>
      <c r="GA34" s="228"/>
      <c r="GB34" s="185"/>
      <c r="GC34" s="274" t="s">
        <v>419</v>
      </c>
      <c r="GD34" s="185" t="s">
        <v>471</v>
      </c>
      <c r="GE34" s="185"/>
      <c r="GF34" s="185"/>
      <c r="GG34" s="185"/>
      <c r="GH34" s="185"/>
      <c r="GI34" s="185"/>
      <c r="GJ34" s="185"/>
      <c r="GK34" s="185" t="s">
        <v>462</v>
      </c>
      <c r="GL34" s="185"/>
      <c r="GM34" s="185"/>
      <c r="GN34" s="185" t="s">
        <v>419</v>
      </c>
      <c r="GO34" s="185"/>
      <c r="GP34" s="185"/>
      <c r="GQ34" s="185"/>
      <c r="GR34" s="185"/>
      <c r="GS34" s="185"/>
      <c r="GT34" s="185"/>
      <c r="GU34" s="185"/>
      <c r="GV34" s="185"/>
      <c r="GW34" s="185"/>
      <c r="GX34" s="185"/>
      <c r="GY34" s="185"/>
      <c r="GZ34" s="185"/>
      <c r="HA34" s="185"/>
      <c r="HB34" s="185"/>
      <c r="HC34" s="185"/>
      <c r="HD34" s="185"/>
      <c r="HE34" s="185"/>
      <c r="HF34" s="185"/>
      <c r="HG34" s="185"/>
      <c r="HH34" s="185"/>
      <c r="HI34" s="185"/>
      <c r="HJ34" s="185"/>
      <c r="HK34" s="185"/>
      <c r="HL34" s="185"/>
      <c r="HM34" s="185"/>
      <c r="HN34" s="185"/>
      <c r="HO34" s="185"/>
      <c r="HP34" s="185"/>
      <c r="HQ34" s="185"/>
      <c r="HR34" s="274" t="s">
        <v>386</v>
      </c>
      <c r="HS34" s="274" t="s">
        <v>411</v>
      </c>
      <c r="HT34" s="185"/>
      <c r="HU34" s="185"/>
      <c r="HV34" s="228" t="s">
        <v>471</v>
      </c>
      <c r="HW34" s="185"/>
      <c r="HX34" s="185"/>
      <c r="HY34" s="185"/>
      <c r="HZ34" s="185"/>
      <c r="IA34" s="185"/>
      <c r="IB34" s="185"/>
      <c r="IC34" s="185"/>
      <c r="ID34" s="185"/>
      <c r="IE34" s="185"/>
      <c r="IF34" s="185"/>
      <c r="IG34" s="185"/>
      <c r="IH34" s="185"/>
      <c r="II34" s="185"/>
      <c r="IJ34" s="185"/>
      <c r="IK34" s="185"/>
      <c r="IL34" s="185"/>
      <c r="IM34" s="185"/>
      <c r="IN34" s="185"/>
      <c r="IO34" s="185"/>
      <c r="IP34" s="185"/>
      <c r="IQ34" s="228"/>
      <c r="IR34" s="185"/>
      <c r="IS34" s="185"/>
      <c r="IT34" s="185"/>
      <c r="IU34" s="185"/>
      <c r="IV34" s="185"/>
      <c r="IW34" s="185"/>
      <c r="IX34" s="185"/>
      <c r="IY34" s="185"/>
      <c r="IZ34" s="185"/>
      <c r="JA34" s="185"/>
      <c r="JB34" s="185"/>
      <c r="JC34" s="185"/>
      <c r="JD34" s="185"/>
      <c r="JE34" s="185"/>
      <c r="JF34" s="185"/>
      <c r="JG34" s="185"/>
      <c r="JH34" s="185"/>
      <c r="JI34" s="228"/>
      <c r="JJ34" s="228"/>
      <c r="JK34" s="228"/>
      <c r="JL34" s="228"/>
      <c r="JM34" s="228"/>
      <c r="JN34" s="274"/>
      <c r="JO34" s="228"/>
      <c r="JP34" s="228"/>
      <c r="JQ34" s="228"/>
      <c r="JR34" s="228"/>
      <c r="JS34" s="228"/>
      <c r="JT34" s="228"/>
      <c r="JU34" s="228"/>
      <c r="JV34" s="228"/>
      <c r="JW34" s="228"/>
      <c r="JX34" s="228"/>
      <c r="JY34" s="228"/>
      <c r="JZ34" s="228"/>
      <c r="KA34" s="228"/>
      <c r="KB34" s="228"/>
      <c r="KC34" s="228"/>
      <c r="KD34" s="228"/>
      <c r="KE34" s="228"/>
      <c r="KF34" s="228"/>
      <c r="KG34" s="228"/>
      <c r="KH34" s="228"/>
      <c r="KI34" s="228"/>
      <c r="KJ34" s="228"/>
      <c r="KK34" s="185"/>
      <c r="KL34" s="185"/>
      <c r="KM34" s="185"/>
      <c r="KN34" s="185"/>
      <c r="KO34" s="185"/>
      <c r="KP34" s="185"/>
      <c r="KQ34" s="185"/>
      <c r="KR34" s="185"/>
      <c r="KS34" s="185"/>
      <c r="KT34" s="185"/>
      <c r="KU34" s="185"/>
      <c r="KV34" s="185"/>
      <c r="KW34" s="185"/>
      <c r="KX34" s="185"/>
      <c r="KY34" s="185"/>
      <c r="KZ34" s="185"/>
      <c r="LA34" s="228"/>
      <c r="LB34" s="228"/>
      <c r="LC34" s="228"/>
      <c r="LD34" s="228"/>
      <c r="LE34" s="228"/>
      <c r="LF34" s="233">
        <v>0.57291666666666596</v>
      </c>
    </row>
    <row r="35" spans="2:318" ht="10.199999999999999" customHeight="1">
      <c r="B35" s="49">
        <v>0.25</v>
      </c>
      <c r="C35" s="49">
        <v>0.25</v>
      </c>
      <c r="D35" s="49">
        <v>0.25</v>
      </c>
      <c r="E35" s="172">
        <v>0.5625</v>
      </c>
      <c r="F35" s="322" t="s">
        <v>462</v>
      </c>
      <c r="G35" s="185"/>
      <c r="H35" s="185"/>
      <c r="I35" s="185"/>
      <c r="J35" s="185"/>
      <c r="K35" s="185"/>
      <c r="L35" s="185"/>
      <c r="M35" s="322"/>
      <c r="N35" s="185"/>
      <c r="O35" s="185"/>
      <c r="P35" s="185"/>
      <c r="Q35" s="185"/>
      <c r="R35" s="185"/>
      <c r="S35" s="185"/>
      <c r="T35" s="185"/>
      <c r="U35" s="185" t="s">
        <v>411</v>
      </c>
      <c r="V35" s="185"/>
      <c r="W35" s="185"/>
      <c r="X35" s="185"/>
      <c r="Y35" s="185" t="s">
        <v>386</v>
      </c>
      <c r="Z35" s="185"/>
      <c r="AA35" s="185"/>
      <c r="AB35" s="185" t="s">
        <v>404</v>
      </c>
      <c r="AC35" s="185"/>
      <c r="AD35" s="185"/>
      <c r="AE35" s="185"/>
      <c r="AF35" s="185"/>
      <c r="AG35" s="185"/>
      <c r="AH35" s="185"/>
      <c r="AI35" s="185"/>
      <c r="AJ35" s="185"/>
      <c r="AK35" s="185"/>
      <c r="AL35" s="185"/>
      <c r="AM35" s="185"/>
      <c r="AN35" s="185"/>
      <c r="AO35" s="325"/>
      <c r="AP35" s="185"/>
      <c r="AQ35" s="324"/>
      <c r="AR35" s="324"/>
      <c r="AS35" s="324"/>
      <c r="AT35" s="185"/>
      <c r="AU35" s="185" t="s">
        <v>375</v>
      </c>
      <c r="AV35" s="185"/>
      <c r="AW35" s="325" t="s">
        <v>371</v>
      </c>
      <c r="AX35" s="185"/>
      <c r="AY35" s="185" t="s">
        <v>471</v>
      </c>
      <c r="AZ35" s="185"/>
      <c r="BA35" s="185"/>
      <c r="BB35" s="185"/>
      <c r="BC35" s="185"/>
      <c r="BD35" s="185"/>
      <c r="BE35" s="185"/>
      <c r="BF35" s="185"/>
      <c r="BG35" s="228"/>
      <c r="BH35" s="185"/>
      <c r="BI35" s="53"/>
      <c r="BJ35" s="185"/>
      <c r="BK35" s="53"/>
      <c r="BL35" s="185"/>
      <c r="BM35" s="185"/>
      <c r="BN35" s="185"/>
      <c r="BO35" s="185"/>
      <c r="BP35" s="185"/>
      <c r="BQ35" s="185"/>
      <c r="BR35" s="185"/>
      <c r="BS35" s="185"/>
      <c r="BT35" s="185"/>
      <c r="BU35" s="185"/>
      <c r="BV35" s="185"/>
      <c r="BW35" s="185"/>
      <c r="BX35" s="185"/>
      <c r="BY35" s="185"/>
      <c r="BZ35" s="185"/>
      <c r="CA35" s="185"/>
      <c r="CB35" s="185"/>
      <c r="CC35" s="185"/>
      <c r="CD35" s="185"/>
      <c r="CE35" s="185"/>
      <c r="CF35" s="185"/>
      <c r="CG35" s="185"/>
      <c r="CH35" s="185"/>
      <c r="CI35" s="185"/>
      <c r="CJ35" s="185"/>
      <c r="CK35" s="185"/>
      <c r="CL35" s="176" t="s">
        <v>444</v>
      </c>
      <c r="CM35" s="276" t="s">
        <v>386</v>
      </c>
      <c r="CN35" s="276" t="s">
        <v>419</v>
      </c>
      <c r="CO35" s="53"/>
      <c r="CP35" s="350" t="s">
        <v>411</v>
      </c>
      <c r="CQ35" s="238" t="s">
        <v>386</v>
      </c>
      <c r="CR35" s="185"/>
      <c r="CS35" s="185"/>
      <c r="CT35" s="185"/>
      <c r="CU35" s="185"/>
      <c r="CV35" s="185"/>
      <c r="CW35" s="185"/>
      <c r="CX35" s="228"/>
      <c r="CY35" s="185"/>
      <c r="CZ35" s="228"/>
      <c r="DA35" s="185"/>
      <c r="DB35" s="185"/>
      <c r="DC35" s="185"/>
      <c r="DD35" s="185"/>
      <c r="DE35" s="185"/>
      <c r="DF35" s="185"/>
      <c r="DG35" s="185"/>
      <c r="DH35" s="185"/>
      <c r="DI35" s="185"/>
      <c r="DJ35" s="185"/>
      <c r="DK35" s="185"/>
      <c r="DL35" s="185"/>
      <c r="DM35" s="185"/>
      <c r="DN35" s="228"/>
      <c r="DO35" s="228" t="s">
        <v>404</v>
      </c>
      <c r="DP35" s="185"/>
      <c r="DQ35" s="185"/>
      <c r="DR35" s="185"/>
      <c r="DS35" s="185"/>
      <c r="DT35" s="185"/>
      <c r="DU35" s="185"/>
      <c r="DV35" s="185"/>
      <c r="DW35" s="185"/>
      <c r="DX35" s="185"/>
      <c r="DY35" s="185"/>
      <c r="DZ35" s="185"/>
      <c r="EA35" s="185"/>
      <c r="EB35" s="185"/>
      <c r="EC35" s="185"/>
      <c r="ED35" s="185"/>
      <c r="EE35" s="185"/>
      <c r="EF35" s="185"/>
      <c r="EG35" s="185"/>
      <c r="EH35" s="274" t="s">
        <v>471</v>
      </c>
      <c r="EI35" s="185"/>
      <c r="EJ35" s="274" t="s">
        <v>411</v>
      </c>
      <c r="EK35" s="186"/>
      <c r="EL35" s="185" t="s">
        <v>386</v>
      </c>
      <c r="EM35" s="185"/>
      <c r="EN35" s="185"/>
      <c r="EO35" s="185"/>
      <c r="EP35" s="185"/>
      <c r="EQ35" s="185"/>
      <c r="ER35" s="185"/>
      <c r="ES35" s="185"/>
      <c r="ET35" s="280"/>
      <c r="EU35" s="185"/>
      <c r="EV35" s="185"/>
      <c r="EW35" s="185"/>
      <c r="EX35" s="185"/>
      <c r="EY35" s="185"/>
      <c r="EZ35" s="185"/>
      <c r="FA35" s="185"/>
      <c r="FB35" s="185"/>
      <c r="FC35" s="185"/>
      <c r="FD35" s="185"/>
      <c r="FE35" s="185"/>
      <c r="FF35" s="185"/>
      <c r="FG35" s="228"/>
      <c r="FH35" s="185"/>
      <c r="FI35" s="185"/>
      <c r="FJ35" s="185"/>
      <c r="FK35" s="185"/>
      <c r="FL35" s="185"/>
      <c r="FM35" s="185"/>
      <c r="FN35" s="185"/>
      <c r="FO35" s="185"/>
      <c r="FP35" s="185"/>
      <c r="FQ35" s="185"/>
      <c r="FR35" s="185"/>
      <c r="FS35" s="185"/>
      <c r="FT35" s="185"/>
      <c r="FU35" s="185"/>
      <c r="FV35" s="185"/>
      <c r="FW35" s="185"/>
      <c r="FX35" s="185"/>
      <c r="FY35" s="274" t="s">
        <v>471</v>
      </c>
      <c r="FZ35" s="274" t="s">
        <v>411</v>
      </c>
      <c r="GA35" s="185"/>
      <c r="GB35" s="185"/>
      <c r="GC35" s="274" t="s">
        <v>419</v>
      </c>
      <c r="GD35" s="185" t="s">
        <v>471</v>
      </c>
      <c r="GE35" s="185"/>
      <c r="GF35" s="185"/>
      <c r="GG35" s="185"/>
      <c r="GH35" s="185"/>
      <c r="GI35" s="185"/>
      <c r="GJ35" s="185"/>
      <c r="GK35" s="185" t="s">
        <v>419</v>
      </c>
      <c r="GL35" s="185"/>
      <c r="GM35" s="185" t="s">
        <v>462</v>
      </c>
      <c r="GN35" s="185" t="s">
        <v>375</v>
      </c>
      <c r="GO35" s="185"/>
      <c r="GP35" s="185"/>
      <c r="GQ35" s="185"/>
      <c r="GR35" s="185"/>
      <c r="GS35" s="185"/>
      <c r="GT35" s="185"/>
      <c r="GU35" s="185"/>
      <c r="GV35" s="185"/>
      <c r="GW35" s="185"/>
      <c r="GX35" s="185"/>
      <c r="GY35" s="185"/>
      <c r="GZ35" s="185"/>
      <c r="HA35" s="185"/>
      <c r="HB35" s="185"/>
      <c r="HC35" s="185"/>
      <c r="HD35" s="185"/>
      <c r="HE35" s="185"/>
      <c r="HF35" s="185"/>
      <c r="HG35" s="185"/>
      <c r="HH35" s="185"/>
      <c r="HI35" s="185"/>
      <c r="HJ35" s="185"/>
      <c r="HK35" s="185"/>
      <c r="HL35" s="185"/>
      <c r="HM35" s="185"/>
      <c r="HN35" s="185"/>
      <c r="HO35" s="185"/>
      <c r="HP35" s="185"/>
      <c r="HQ35" s="185"/>
      <c r="HR35" s="274" t="s">
        <v>386</v>
      </c>
      <c r="HS35" s="274" t="s">
        <v>411</v>
      </c>
      <c r="HT35" s="185"/>
      <c r="HU35" s="185"/>
      <c r="HV35" s="228" t="s">
        <v>471</v>
      </c>
      <c r="HW35" s="185"/>
      <c r="HX35" s="185"/>
      <c r="HY35" s="185"/>
      <c r="HZ35" s="185"/>
      <c r="IA35" s="185"/>
      <c r="IB35" s="185"/>
      <c r="IC35" s="185"/>
      <c r="ID35" s="185"/>
      <c r="IE35" s="185"/>
      <c r="IF35" s="185"/>
      <c r="IG35" s="185"/>
      <c r="IH35" s="185"/>
      <c r="II35" s="185"/>
      <c r="IJ35" s="185"/>
      <c r="IK35" s="185"/>
      <c r="IL35" s="185"/>
      <c r="IM35" s="185"/>
      <c r="IN35" s="185"/>
      <c r="IO35" s="185"/>
      <c r="IP35" s="185"/>
      <c r="IQ35" s="228"/>
      <c r="IR35" s="185"/>
      <c r="IS35" s="185"/>
      <c r="IT35" s="185"/>
      <c r="IU35" s="185"/>
      <c r="IV35" s="185"/>
      <c r="IW35" s="185"/>
      <c r="IX35" s="185"/>
      <c r="IY35" s="185"/>
      <c r="IZ35" s="185"/>
      <c r="JA35" s="185"/>
      <c r="JB35" s="185"/>
      <c r="JC35" s="185"/>
      <c r="JD35" s="185"/>
      <c r="JE35" s="185"/>
      <c r="JF35" s="185"/>
      <c r="JG35" s="185"/>
      <c r="JH35" s="185"/>
      <c r="JI35" s="228"/>
      <c r="JJ35" s="228"/>
      <c r="JK35" s="228"/>
      <c r="JL35" s="228"/>
      <c r="JM35" s="228"/>
      <c r="JN35" s="274"/>
      <c r="JO35" s="228"/>
      <c r="JP35" s="228"/>
      <c r="JQ35" s="228"/>
      <c r="JR35" s="228"/>
      <c r="JS35" s="228"/>
      <c r="JT35" s="228"/>
      <c r="JU35" s="228"/>
      <c r="JV35" s="228"/>
      <c r="JW35" s="228"/>
      <c r="JX35" s="228"/>
      <c r="JY35" s="228"/>
      <c r="JZ35" s="228"/>
      <c r="KA35" s="228"/>
      <c r="KB35" s="228"/>
      <c r="KC35" s="228"/>
      <c r="KD35" s="228"/>
      <c r="KE35" s="228"/>
      <c r="KF35" s="228"/>
      <c r="KG35" s="228"/>
      <c r="KH35" s="228"/>
      <c r="KI35" s="228"/>
      <c r="KJ35" s="228"/>
      <c r="KK35" s="185"/>
      <c r="KL35" s="185"/>
      <c r="KM35" s="185"/>
      <c r="KN35" s="185"/>
      <c r="KO35" s="185"/>
      <c r="KP35" s="185"/>
      <c r="KQ35" s="185"/>
      <c r="KR35" s="185"/>
      <c r="KS35" s="185"/>
      <c r="KT35" s="185"/>
      <c r="KU35" s="185"/>
      <c r="KV35" s="185"/>
      <c r="KW35" s="185"/>
      <c r="KX35" s="185"/>
      <c r="KY35" s="185"/>
      <c r="KZ35" s="185"/>
      <c r="LA35" s="228"/>
      <c r="LB35" s="228"/>
      <c r="LC35" s="228"/>
      <c r="LD35" s="228"/>
      <c r="LE35" s="228"/>
      <c r="LF35" s="233">
        <v>0.58333333333333304</v>
      </c>
    </row>
    <row r="36" spans="2:318" ht="10.5" customHeight="1">
      <c r="B36" s="49">
        <v>0.25</v>
      </c>
      <c r="C36" s="49">
        <v>0.25</v>
      </c>
      <c r="D36" s="49">
        <v>0.25</v>
      </c>
      <c r="E36" s="172">
        <v>0.57291666666666663</v>
      </c>
      <c r="F36" s="322" t="s">
        <v>462</v>
      </c>
      <c r="G36" s="185"/>
      <c r="H36" s="185"/>
      <c r="I36" s="185"/>
      <c r="J36" s="185"/>
      <c r="K36" s="185"/>
      <c r="L36" s="185"/>
      <c r="M36" s="322"/>
      <c r="N36" s="185"/>
      <c r="O36" s="185"/>
      <c r="P36" s="185"/>
      <c r="Q36" s="185"/>
      <c r="R36" s="185"/>
      <c r="S36" s="185"/>
      <c r="T36" s="185"/>
      <c r="U36" s="185" t="s">
        <v>411</v>
      </c>
      <c r="V36" s="185"/>
      <c r="W36" s="185" t="s">
        <v>375</v>
      </c>
      <c r="X36" s="185"/>
      <c r="Y36" s="185" t="s">
        <v>386</v>
      </c>
      <c r="Z36" s="185"/>
      <c r="AA36" s="185"/>
      <c r="AB36" s="185" t="s">
        <v>404</v>
      </c>
      <c r="AC36" s="185"/>
      <c r="AD36" s="185"/>
      <c r="AE36" s="185"/>
      <c r="AF36" s="185"/>
      <c r="AG36" s="185"/>
      <c r="AH36" s="185"/>
      <c r="AI36" s="185"/>
      <c r="AJ36" s="185"/>
      <c r="AK36" s="185"/>
      <c r="AL36" s="185"/>
      <c r="AM36" s="185"/>
      <c r="AN36" s="185"/>
      <c r="AO36" s="185"/>
      <c r="AP36" s="185"/>
      <c r="AQ36" s="324"/>
      <c r="AR36" s="324"/>
      <c r="AS36" s="324"/>
      <c r="AT36" s="185"/>
      <c r="AU36" s="185"/>
      <c r="AV36" s="185"/>
      <c r="AW36" s="185"/>
      <c r="AX36" s="185"/>
      <c r="AY36" s="185" t="s">
        <v>471</v>
      </c>
      <c r="AZ36" s="352" t="s">
        <v>472</v>
      </c>
      <c r="BA36" s="185"/>
      <c r="BB36" s="185"/>
      <c r="BC36" s="185"/>
      <c r="BD36" s="185"/>
      <c r="BE36" s="185"/>
      <c r="BF36" s="185"/>
      <c r="BG36" s="185"/>
      <c r="BH36" s="185"/>
      <c r="BI36" s="53"/>
      <c r="BJ36" s="185"/>
      <c r="BK36" s="53"/>
      <c r="BL36" s="185"/>
      <c r="BM36" s="185"/>
      <c r="BN36" s="185" t="s">
        <v>419</v>
      </c>
      <c r="BO36" s="185"/>
      <c r="BP36" s="185"/>
      <c r="BQ36" s="185"/>
      <c r="BR36" s="228"/>
      <c r="BS36" s="185"/>
      <c r="BT36" s="185"/>
      <c r="BU36" s="185"/>
      <c r="BV36" s="185"/>
      <c r="BW36" s="185"/>
      <c r="BX36" s="185"/>
      <c r="BY36" s="185"/>
      <c r="BZ36" s="185"/>
      <c r="CA36" s="185"/>
      <c r="CB36" s="185"/>
      <c r="CC36" s="185"/>
      <c r="CD36" s="185"/>
      <c r="CE36" s="185"/>
      <c r="CF36" s="185"/>
      <c r="CG36" s="185"/>
      <c r="CH36" s="185"/>
      <c r="CI36" s="185"/>
      <c r="CJ36" s="185"/>
      <c r="CK36" s="185"/>
      <c r="CL36" s="53"/>
      <c r="CM36" s="53"/>
      <c r="CN36" s="53"/>
      <c r="CO36" s="53"/>
      <c r="CP36" s="350" t="s">
        <v>411</v>
      </c>
      <c r="CQ36" s="238" t="s">
        <v>386</v>
      </c>
      <c r="CR36" s="185"/>
      <c r="CS36" s="185"/>
      <c r="CT36" s="185"/>
      <c r="CU36" s="185"/>
      <c r="CV36" s="185"/>
      <c r="CW36" s="185"/>
      <c r="CX36" s="228"/>
      <c r="CY36" s="185"/>
      <c r="CZ36" s="228"/>
      <c r="DA36" s="185"/>
      <c r="DB36" s="185"/>
      <c r="DC36" s="185"/>
      <c r="DD36" s="185"/>
      <c r="DE36" s="185"/>
      <c r="DF36" s="185" t="s">
        <v>471</v>
      </c>
      <c r="DG36" s="185" t="s">
        <v>411</v>
      </c>
      <c r="DH36" s="185"/>
      <c r="DI36" s="185"/>
      <c r="DJ36" s="185"/>
      <c r="DK36" s="185"/>
      <c r="DL36" s="185"/>
      <c r="DM36" s="185"/>
      <c r="DN36" s="228"/>
      <c r="DO36" s="228" t="s">
        <v>404</v>
      </c>
      <c r="DP36" s="185"/>
      <c r="DQ36" s="185"/>
      <c r="DR36" s="185"/>
      <c r="DS36" s="185"/>
      <c r="DT36" s="185"/>
      <c r="DU36" s="185"/>
      <c r="DV36" s="185"/>
      <c r="DW36" s="185"/>
      <c r="DX36" s="185"/>
      <c r="DY36" s="185"/>
      <c r="DZ36" s="185"/>
      <c r="EA36" s="185"/>
      <c r="EB36" s="185"/>
      <c r="EC36" s="185"/>
      <c r="ED36" s="185"/>
      <c r="EE36" s="185"/>
      <c r="EF36" s="185"/>
      <c r="EG36" s="185"/>
      <c r="EH36" s="185"/>
      <c r="EI36" s="185"/>
      <c r="EJ36" s="185"/>
      <c r="EK36" s="186"/>
      <c r="EL36" s="185" t="s">
        <v>386</v>
      </c>
      <c r="EM36" s="185"/>
      <c r="EN36" s="185"/>
      <c r="EO36" s="185"/>
      <c r="EP36" s="185"/>
      <c r="EQ36" s="185"/>
      <c r="ER36" s="185"/>
      <c r="ES36" s="185"/>
      <c r="ET36" s="280"/>
      <c r="EU36" s="185"/>
      <c r="EV36" s="185"/>
      <c r="EW36" s="185"/>
      <c r="EX36" s="185"/>
      <c r="EY36" s="185"/>
      <c r="EZ36" s="185"/>
      <c r="FA36" s="185"/>
      <c r="FB36" s="185"/>
      <c r="FC36" s="185" t="s">
        <v>411</v>
      </c>
      <c r="FD36" s="185"/>
      <c r="FE36" s="185"/>
      <c r="FF36" s="185"/>
      <c r="FG36" s="228"/>
      <c r="FH36" s="185"/>
      <c r="FI36" s="185"/>
      <c r="FJ36" s="185"/>
      <c r="FK36" s="185"/>
      <c r="FL36" s="185"/>
      <c r="FM36" s="185"/>
      <c r="FN36" s="185"/>
      <c r="FO36" s="185"/>
      <c r="FP36" s="185"/>
      <c r="FQ36" s="185"/>
      <c r="FR36" s="185"/>
      <c r="FS36" s="185"/>
      <c r="FT36" s="185"/>
      <c r="FU36" s="185"/>
      <c r="FV36" s="185"/>
      <c r="FW36" s="185"/>
      <c r="FX36" s="185"/>
      <c r="FY36" s="185"/>
      <c r="FZ36" s="228"/>
      <c r="GA36" s="185"/>
      <c r="GB36" s="185"/>
      <c r="GC36" s="274" t="s">
        <v>419</v>
      </c>
      <c r="GD36" s="185" t="s">
        <v>471</v>
      </c>
      <c r="GE36" s="185"/>
      <c r="GF36" s="185"/>
      <c r="GG36" s="185"/>
      <c r="GH36" s="185"/>
      <c r="GI36" s="185"/>
      <c r="GJ36" s="185"/>
      <c r="GK36" s="185" t="s">
        <v>419</v>
      </c>
      <c r="GL36" s="185"/>
      <c r="GM36" s="185" t="s">
        <v>462</v>
      </c>
      <c r="GN36" s="185" t="s">
        <v>375</v>
      </c>
      <c r="GO36" s="185"/>
      <c r="GP36" s="185"/>
      <c r="GQ36" s="185"/>
      <c r="GR36" s="185"/>
      <c r="GS36" s="185" t="s">
        <v>386</v>
      </c>
      <c r="GT36" s="185" t="s">
        <v>411</v>
      </c>
      <c r="GU36" s="185"/>
      <c r="GV36" s="185"/>
      <c r="GW36" s="185"/>
      <c r="GX36" s="185"/>
      <c r="GY36" s="185"/>
      <c r="GZ36" s="185"/>
      <c r="HA36" s="185"/>
      <c r="HB36" s="185"/>
      <c r="HC36" s="185"/>
      <c r="HD36" s="185"/>
      <c r="HE36" s="185"/>
      <c r="HF36" s="185"/>
      <c r="HG36" s="185"/>
      <c r="HH36" s="185"/>
      <c r="HI36" s="185"/>
      <c r="HJ36" s="185"/>
      <c r="HK36" s="185"/>
      <c r="HL36" s="185"/>
      <c r="HM36" s="185"/>
      <c r="HN36" s="185"/>
      <c r="HO36" s="185"/>
      <c r="HP36" s="185"/>
      <c r="HQ36" s="185"/>
      <c r="HR36" s="185"/>
      <c r="HS36" s="185"/>
      <c r="HT36" s="185"/>
      <c r="HU36" s="185"/>
      <c r="HV36" s="228" t="s">
        <v>471</v>
      </c>
      <c r="HW36" s="185"/>
      <c r="HX36" s="185"/>
      <c r="HY36" s="185"/>
      <c r="HZ36" s="185"/>
      <c r="IA36" s="185"/>
      <c r="IB36" s="185"/>
      <c r="IC36" s="185"/>
      <c r="ID36" s="185"/>
      <c r="IE36" s="185"/>
      <c r="IF36" s="185"/>
      <c r="IG36" s="185"/>
      <c r="IH36" s="185"/>
      <c r="II36" s="185"/>
      <c r="IJ36" s="185"/>
      <c r="IK36" s="185"/>
      <c r="IL36" s="185"/>
      <c r="IM36" s="185"/>
      <c r="IN36" s="185"/>
      <c r="IO36" s="185"/>
      <c r="IP36" s="185"/>
      <c r="IQ36" s="228"/>
      <c r="IR36" s="185"/>
      <c r="IS36" s="185"/>
      <c r="IT36" s="185"/>
      <c r="IU36" s="185"/>
      <c r="IV36" s="185"/>
      <c r="IW36" s="185"/>
      <c r="IX36" s="185"/>
      <c r="IY36" s="185"/>
      <c r="IZ36" s="185"/>
      <c r="JA36" s="185"/>
      <c r="JB36" s="185"/>
      <c r="JC36" s="185"/>
      <c r="JD36" s="185"/>
      <c r="JE36" s="185"/>
      <c r="JF36" s="185"/>
      <c r="JG36" s="185"/>
      <c r="JH36" s="185"/>
      <c r="JI36" s="228"/>
      <c r="JJ36" s="228"/>
      <c r="JK36" s="228"/>
      <c r="JL36" s="228"/>
      <c r="JM36" s="228"/>
      <c r="JN36" s="274"/>
      <c r="JO36" s="228"/>
      <c r="JP36" s="228"/>
      <c r="JQ36" s="228"/>
      <c r="JR36" s="228"/>
      <c r="JS36" s="228"/>
      <c r="JT36" s="228"/>
      <c r="JU36" s="228"/>
      <c r="JV36" s="228"/>
      <c r="JW36" s="228"/>
      <c r="JX36" s="228"/>
      <c r="JY36" s="228"/>
      <c r="JZ36" s="228"/>
      <c r="KA36" s="228"/>
      <c r="KB36" s="228"/>
      <c r="KC36" s="228"/>
      <c r="KD36" s="228"/>
      <c r="KE36" s="228"/>
      <c r="KF36" s="228"/>
      <c r="KG36" s="228"/>
      <c r="KH36" s="228"/>
      <c r="KI36" s="228"/>
      <c r="KJ36" s="228"/>
      <c r="KK36" s="185"/>
      <c r="KL36" s="185"/>
      <c r="KM36" s="185"/>
      <c r="KN36" s="185"/>
      <c r="KO36" s="185"/>
      <c r="KP36" s="185"/>
      <c r="KQ36" s="185"/>
      <c r="KR36" s="185"/>
      <c r="KS36" s="185"/>
      <c r="KT36" s="185"/>
      <c r="KU36" s="185"/>
      <c r="KV36" s="185"/>
      <c r="KW36" s="185"/>
      <c r="KX36" s="185"/>
      <c r="KY36" s="185"/>
      <c r="KZ36" s="185"/>
      <c r="LA36" s="228"/>
      <c r="LB36" s="228"/>
      <c r="LC36" s="228"/>
      <c r="LD36" s="228"/>
      <c r="LE36" s="228"/>
      <c r="LF36" s="233">
        <v>0.593749999999999</v>
      </c>
    </row>
    <row r="37" spans="2:318" ht="10.5" customHeight="1">
      <c r="B37" s="49">
        <v>0.25</v>
      </c>
      <c r="C37" s="49">
        <v>0.25</v>
      </c>
      <c r="D37" s="49">
        <v>0.25</v>
      </c>
      <c r="E37" s="172">
        <v>0.58333333333333337</v>
      </c>
      <c r="F37" s="322" t="s">
        <v>419</v>
      </c>
      <c r="G37" s="185" t="s">
        <v>462</v>
      </c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 t="s">
        <v>411</v>
      </c>
      <c r="V37" s="185"/>
      <c r="W37" s="185" t="s">
        <v>375</v>
      </c>
      <c r="X37" s="185"/>
      <c r="Y37" s="185" t="s">
        <v>386</v>
      </c>
      <c r="Z37" s="185"/>
      <c r="AA37" s="185"/>
      <c r="AB37" s="185" t="s">
        <v>404</v>
      </c>
      <c r="AC37" s="185"/>
      <c r="AD37" s="185"/>
      <c r="AE37" s="185"/>
      <c r="AF37" s="185"/>
      <c r="AG37" s="185"/>
      <c r="AH37" s="185"/>
      <c r="AI37" s="185"/>
      <c r="AJ37" s="185"/>
      <c r="AK37" s="185"/>
      <c r="AL37" s="185"/>
      <c r="AM37" s="185"/>
      <c r="AN37" s="185"/>
      <c r="AO37" s="185"/>
      <c r="AP37" s="185"/>
      <c r="AQ37" s="324"/>
      <c r="AR37" s="324"/>
      <c r="AS37" s="324"/>
      <c r="AT37" s="185"/>
      <c r="AU37" s="185"/>
      <c r="AV37" s="185"/>
      <c r="AW37" s="185"/>
      <c r="AX37" s="185"/>
      <c r="AY37" s="185" t="s">
        <v>462</v>
      </c>
      <c r="AZ37" s="185"/>
      <c r="BA37" s="228"/>
      <c r="BB37" s="228"/>
      <c r="BC37" s="228"/>
      <c r="BD37" s="228"/>
      <c r="BE37" s="228"/>
      <c r="BF37" s="185" t="s">
        <v>471</v>
      </c>
      <c r="BG37" s="228"/>
      <c r="BH37" s="185"/>
      <c r="BI37" s="185"/>
      <c r="BJ37" s="185"/>
      <c r="BK37" s="185"/>
      <c r="BL37" s="185"/>
      <c r="BM37" s="185"/>
      <c r="BN37" s="185"/>
      <c r="BO37" s="185" t="s">
        <v>419</v>
      </c>
      <c r="BP37" s="185"/>
      <c r="BQ37" s="228"/>
      <c r="BR37" s="228" t="s">
        <v>411</v>
      </c>
      <c r="BS37" s="185"/>
      <c r="BT37" s="228"/>
      <c r="BU37" s="185"/>
      <c r="BV37" s="228"/>
      <c r="BW37" s="185"/>
      <c r="BX37" s="185"/>
      <c r="BY37" s="185"/>
      <c r="BZ37" s="185"/>
      <c r="CA37" s="185"/>
      <c r="CB37" s="185"/>
      <c r="CC37" s="185"/>
      <c r="CD37" s="185"/>
      <c r="CE37" s="185"/>
      <c r="CF37" s="185"/>
      <c r="CG37" s="185"/>
      <c r="CH37" s="185"/>
      <c r="CI37" s="185"/>
      <c r="CJ37" s="185"/>
      <c r="CK37" s="185"/>
      <c r="CL37" s="53"/>
      <c r="CM37" s="53"/>
      <c r="CN37" s="53"/>
      <c r="CO37" s="53"/>
      <c r="CP37" s="54"/>
      <c r="CQ37" s="238" t="s">
        <v>471</v>
      </c>
      <c r="CR37" s="185"/>
      <c r="CS37" s="228"/>
      <c r="CT37" s="185"/>
      <c r="CU37" s="185"/>
      <c r="CV37" s="185"/>
      <c r="CW37" s="185"/>
      <c r="CX37" s="228"/>
      <c r="CY37" s="228"/>
      <c r="CZ37" s="185"/>
      <c r="DA37" s="228"/>
      <c r="DB37" s="185"/>
      <c r="DC37" s="185"/>
      <c r="DD37" s="185" t="s">
        <v>89</v>
      </c>
      <c r="DE37" s="185" t="s">
        <v>89</v>
      </c>
      <c r="DF37" s="228"/>
      <c r="DG37" s="228"/>
      <c r="DH37" s="228"/>
      <c r="DI37" s="185"/>
      <c r="DJ37" s="185"/>
      <c r="DK37" s="185"/>
      <c r="DL37" s="185"/>
      <c r="DM37" s="185" t="s">
        <v>411</v>
      </c>
      <c r="DN37" s="228" t="s">
        <v>386</v>
      </c>
      <c r="DO37" s="228" t="s">
        <v>404</v>
      </c>
      <c r="DP37" s="228"/>
      <c r="DQ37" s="185"/>
      <c r="DR37" s="185"/>
      <c r="DS37" s="185"/>
      <c r="DT37" s="185"/>
      <c r="DU37" s="185"/>
      <c r="DV37" s="185"/>
      <c r="DW37" s="185"/>
      <c r="DX37" s="185"/>
      <c r="DY37" s="185"/>
      <c r="DZ37" s="185"/>
      <c r="EA37" s="185"/>
      <c r="EB37" s="185"/>
      <c r="EC37" s="185"/>
      <c r="ED37" s="185"/>
      <c r="EE37" s="185"/>
      <c r="EF37" s="185"/>
      <c r="EG37" s="185"/>
      <c r="EH37" s="185"/>
      <c r="EI37" s="185"/>
      <c r="EJ37" s="185"/>
      <c r="EK37" s="186"/>
      <c r="EL37" s="185" t="s">
        <v>411</v>
      </c>
      <c r="EM37" s="185" t="s">
        <v>386</v>
      </c>
      <c r="EN37" s="185"/>
      <c r="EO37" s="185"/>
      <c r="EP37" s="185"/>
      <c r="EQ37" s="185"/>
      <c r="ER37" s="185"/>
      <c r="ES37" s="280"/>
      <c r="ET37" s="280"/>
      <c r="EU37" s="185"/>
      <c r="EV37" s="185"/>
      <c r="EW37" s="185"/>
      <c r="EX37" s="185"/>
      <c r="EY37" s="185"/>
      <c r="EZ37" s="185"/>
      <c r="FA37" s="185" t="s">
        <v>419</v>
      </c>
      <c r="FB37" s="185"/>
      <c r="FC37" s="185"/>
      <c r="FD37" s="228"/>
      <c r="FE37" s="185"/>
      <c r="FF37" s="185"/>
      <c r="FG37" s="228"/>
      <c r="FH37" s="185"/>
      <c r="FI37" s="185"/>
      <c r="FJ37" s="185"/>
      <c r="FK37" s="185"/>
      <c r="FL37" s="185"/>
      <c r="FM37" s="185"/>
      <c r="FN37" s="185"/>
      <c r="FO37" s="185"/>
      <c r="FP37" s="185"/>
      <c r="FQ37" s="185"/>
      <c r="FR37" s="185"/>
      <c r="FS37" s="185"/>
      <c r="FT37" s="185"/>
      <c r="FU37" s="185"/>
      <c r="FV37" s="185"/>
      <c r="FW37" s="185"/>
      <c r="FX37" s="185"/>
      <c r="FY37" s="185"/>
      <c r="FZ37" s="185"/>
      <c r="GA37" s="185"/>
      <c r="GB37" s="185"/>
      <c r="GC37" s="185"/>
      <c r="GD37" s="185" t="s">
        <v>411</v>
      </c>
      <c r="GE37" s="185" t="s">
        <v>419</v>
      </c>
      <c r="GF37" s="185"/>
      <c r="GG37" s="185"/>
      <c r="GH37" s="185"/>
      <c r="GI37" s="185"/>
      <c r="GJ37" s="185"/>
      <c r="GK37" s="185"/>
      <c r="GL37" s="185"/>
      <c r="GM37" s="185"/>
      <c r="GN37" s="185" t="s">
        <v>375</v>
      </c>
      <c r="GO37" s="185"/>
      <c r="GP37" s="185" t="s">
        <v>471</v>
      </c>
      <c r="GQ37" s="185"/>
      <c r="GR37" s="185"/>
      <c r="GS37" s="185"/>
      <c r="GT37" s="185"/>
      <c r="GU37" s="185"/>
      <c r="GV37" s="185"/>
      <c r="GW37" s="185"/>
      <c r="GX37" s="185"/>
      <c r="GY37" s="185"/>
      <c r="GZ37" s="185"/>
      <c r="HA37" s="185"/>
      <c r="HB37" s="185"/>
      <c r="HC37" s="185"/>
      <c r="HD37" s="185"/>
      <c r="HE37" s="185"/>
      <c r="HF37" s="185"/>
      <c r="HG37" s="185"/>
      <c r="HH37" s="185"/>
      <c r="HI37" s="185"/>
      <c r="HJ37" s="185"/>
      <c r="HK37" s="185"/>
      <c r="HL37" s="185"/>
      <c r="HM37" s="185"/>
      <c r="HN37" s="185"/>
      <c r="HO37" s="185"/>
      <c r="HP37" s="185"/>
      <c r="HQ37" s="185"/>
      <c r="HR37" s="185"/>
      <c r="HS37" s="185"/>
      <c r="HT37" s="185"/>
      <c r="HU37" s="185"/>
      <c r="HV37" s="228" t="s">
        <v>462</v>
      </c>
      <c r="HW37" s="185"/>
      <c r="HX37" s="185"/>
      <c r="HY37" s="185"/>
      <c r="HZ37" s="185"/>
      <c r="IA37" s="185"/>
      <c r="IB37" s="185"/>
      <c r="IC37" s="185"/>
      <c r="ID37" s="185"/>
      <c r="IE37" s="185"/>
      <c r="IF37" s="185"/>
      <c r="IG37" s="185"/>
      <c r="IH37" s="185"/>
      <c r="II37" s="185"/>
      <c r="IJ37" s="185"/>
      <c r="IK37" s="185"/>
      <c r="IL37" s="185"/>
      <c r="IM37" s="185"/>
      <c r="IN37" s="185"/>
      <c r="IO37" s="185"/>
      <c r="IP37" s="185"/>
      <c r="IQ37" s="228"/>
      <c r="IR37" s="185"/>
      <c r="IS37" s="185"/>
      <c r="IT37" s="185"/>
      <c r="IU37" s="185"/>
      <c r="IV37" s="185"/>
      <c r="IW37" s="185"/>
      <c r="IX37" s="185"/>
      <c r="IY37" s="185"/>
      <c r="IZ37" s="185"/>
      <c r="JA37" s="185"/>
      <c r="JB37" s="185"/>
      <c r="JC37" s="185"/>
      <c r="JD37" s="185"/>
      <c r="JE37" s="185"/>
      <c r="JF37" s="185"/>
      <c r="JG37" s="185"/>
      <c r="JH37" s="185"/>
      <c r="JI37" s="228"/>
      <c r="JJ37" s="228"/>
      <c r="JK37" s="228"/>
      <c r="JL37" s="228"/>
      <c r="JM37" s="228"/>
      <c r="JN37" s="228" t="s">
        <v>462</v>
      </c>
      <c r="JO37" s="228"/>
      <c r="JP37" s="228"/>
      <c r="JQ37" s="228"/>
      <c r="JR37" s="228"/>
      <c r="JS37" s="228"/>
      <c r="JT37" s="228"/>
      <c r="JU37" s="228"/>
      <c r="JV37" s="228"/>
      <c r="JW37" s="228"/>
      <c r="JX37" s="228"/>
      <c r="JY37" s="228"/>
      <c r="JZ37" s="228"/>
      <c r="KA37" s="228"/>
      <c r="KB37" s="228"/>
      <c r="KC37" s="228"/>
      <c r="KD37" s="228"/>
      <c r="KE37" s="228"/>
      <c r="KF37" s="228"/>
      <c r="KG37" s="228"/>
      <c r="KH37" s="228"/>
      <c r="KI37" s="228"/>
      <c r="KJ37" s="228"/>
      <c r="KK37" s="185"/>
      <c r="KL37" s="185"/>
      <c r="KM37" s="185"/>
      <c r="KN37" s="185"/>
      <c r="KO37" s="185"/>
      <c r="KP37" s="185"/>
      <c r="KQ37" s="185"/>
      <c r="KR37" s="185"/>
      <c r="KS37" s="185"/>
      <c r="KT37" s="185"/>
      <c r="KU37" s="185"/>
      <c r="KV37" s="185"/>
      <c r="KW37" s="185"/>
      <c r="KX37" s="185"/>
      <c r="KY37" s="185"/>
      <c r="KZ37" s="185"/>
      <c r="LA37" s="228"/>
      <c r="LB37" s="228"/>
      <c r="LC37" s="228"/>
      <c r="LD37" s="228"/>
      <c r="LE37" s="228"/>
      <c r="LF37" s="233">
        <v>0.60416666666666596</v>
      </c>
    </row>
    <row r="38" spans="2:318" ht="10.5" customHeight="1">
      <c r="B38" s="49">
        <v>0.25</v>
      </c>
      <c r="C38" s="49">
        <v>0.25</v>
      </c>
      <c r="D38" s="49">
        <v>0.25</v>
      </c>
      <c r="E38" s="172">
        <v>0.59375</v>
      </c>
      <c r="F38" s="322" t="s">
        <v>419</v>
      </c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 t="s">
        <v>411</v>
      </c>
      <c r="V38" s="185" t="s">
        <v>462</v>
      </c>
      <c r="W38" s="185" t="s">
        <v>375</v>
      </c>
      <c r="X38" s="185"/>
      <c r="Y38" s="185" t="s">
        <v>386</v>
      </c>
      <c r="Z38" s="185"/>
      <c r="AA38" s="185"/>
      <c r="AB38" s="185" t="s">
        <v>404</v>
      </c>
      <c r="AC38" s="185"/>
      <c r="AD38" s="185"/>
      <c r="AE38" s="185"/>
      <c r="AF38" s="185"/>
      <c r="AG38" s="185"/>
      <c r="AH38" s="185"/>
      <c r="AI38" s="185"/>
      <c r="AJ38" s="185"/>
      <c r="AK38" s="185"/>
      <c r="AL38" s="185"/>
      <c r="AM38" s="185"/>
      <c r="AN38" s="185"/>
      <c r="AO38" s="185"/>
      <c r="AP38" s="185"/>
      <c r="AQ38" s="324"/>
      <c r="AR38" s="324"/>
      <c r="AS38" s="324"/>
      <c r="AT38" s="185"/>
      <c r="AU38" s="185"/>
      <c r="AV38" s="185"/>
      <c r="AW38" s="185"/>
      <c r="AX38" s="185"/>
      <c r="AY38" s="185" t="s">
        <v>462</v>
      </c>
      <c r="AZ38" s="185"/>
      <c r="BA38" s="228"/>
      <c r="BB38" s="228"/>
      <c r="BC38" s="228"/>
      <c r="BD38" s="228"/>
      <c r="BE38" s="228"/>
      <c r="BF38" s="185" t="s">
        <v>471</v>
      </c>
      <c r="BG38" s="228"/>
      <c r="BH38" s="185"/>
      <c r="BI38" s="185"/>
      <c r="BJ38" s="185"/>
      <c r="BK38" s="185"/>
      <c r="BL38" s="185"/>
      <c r="BM38" s="185"/>
      <c r="BN38" s="185"/>
      <c r="BO38" s="185" t="s">
        <v>419</v>
      </c>
      <c r="BP38" s="185"/>
      <c r="BQ38" s="228"/>
      <c r="BR38" s="228" t="s">
        <v>411</v>
      </c>
      <c r="BS38" s="185"/>
      <c r="BT38" s="228" t="s">
        <v>404</v>
      </c>
      <c r="BU38" s="185"/>
      <c r="BV38" s="228"/>
      <c r="BW38" s="185"/>
      <c r="BX38" s="185"/>
      <c r="BY38" s="185"/>
      <c r="BZ38" s="185"/>
      <c r="CA38" s="185"/>
      <c r="CB38" s="185"/>
      <c r="CC38" s="185"/>
      <c r="CD38" s="185"/>
      <c r="CE38" s="185"/>
      <c r="CF38" s="185"/>
      <c r="CG38" s="185"/>
      <c r="CH38" s="185"/>
      <c r="CI38" s="185"/>
      <c r="CJ38" s="185"/>
      <c r="CK38" s="185"/>
      <c r="CL38" s="53"/>
      <c r="CM38" s="53"/>
      <c r="CN38" s="53"/>
      <c r="CO38" s="53"/>
      <c r="CP38" s="54"/>
      <c r="CQ38" s="238" t="s">
        <v>471</v>
      </c>
      <c r="CR38" s="185"/>
      <c r="CS38" s="228"/>
      <c r="CT38" s="185"/>
      <c r="CU38" s="185"/>
      <c r="CV38" s="185"/>
      <c r="CW38" s="185"/>
      <c r="CX38" s="228"/>
      <c r="CY38" s="228"/>
      <c r="CZ38" s="185"/>
      <c r="DA38" s="228"/>
      <c r="DB38" s="185"/>
      <c r="DC38" s="185"/>
      <c r="DD38" s="185"/>
      <c r="DE38" s="185"/>
      <c r="DF38" s="228"/>
      <c r="DG38" s="228"/>
      <c r="DH38" s="228"/>
      <c r="DI38" s="185"/>
      <c r="DJ38" s="185"/>
      <c r="DK38" s="185"/>
      <c r="DL38" s="185"/>
      <c r="DM38" s="185" t="s">
        <v>411</v>
      </c>
      <c r="DN38" s="228" t="s">
        <v>386</v>
      </c>
      <c r="DO38" s="228" t="s">
        <v>404</v>
      </c>
      <c r="DP38" s="228"/>
      <c r="DQ38" s="185"/>
      <c r="DR38" s="185"/>
      <c r="DS38" s="185"/>
      <c r="DT38" s="185"/>
      <c r="DU38" s="185"/>
      <c r="DV38" s="185"/>
      <c r="DW38" s="185"/>
      <c r="DX38" s="185"/>
      <c r="DY38" s="185"/>
      <c r="DZ38" s="185"/>
      <c r="EA38" s="185"/>
      <c r="EB38" s="185"/>
      <c r="EC38" s="185"/>
      <c r="ED38" s="185"/>
      <c r="EE38" s="185"/>
      <c r="EF38" s="185"/>
      <c r="EG38" s="185"/>
      <c r="EH38" s="185"/>
      <c r="EI38" s="185"/>
      <c r="EJ38" s="185"/>
      <c r="EK38" s="186"/>
      <c r="EL38" s="185" t="s">
        <v>411</v>
      </c>
      <c r="EM38" s="185"/>
      <c r="EN38" s="185"/>
      <c r="EO38" s="185"/>
      <c r="EP38" s="185"/>
      <c r="EQ38" s="185"/>
      <c r="ER38" s="185"/>
      <c r="ES38" s="280"/>
      <c r="ET38" s="280"/>
      <c r="EU38" s="185"/>
      <c r="EV38" s="185"/>
      <c r="EW38" s="185"/>
      <c r="EX38" s="185"/>
      <c r="EY38" s="185"/>
      <c r="EZ38" s="185"/>
      <c r="FA38" s="185" t="s">
        <v>419</v>
      </c>
      <c r="FB38" s="185"/>
      <c r="FC38" s="185"/>
      <c r="FD38" s="228"/>
      <c r="FE38" s="185"/>
      <c r="FF38" s="185"/>
      <c r="FG38" s="228"/>
      <c r="FH38" s="185"/>
      <c r="FI38" s="185"/>
      <c r="FJ38" s="185"/>
      <c r="FK38" s="185"/>
      <c r="FL38" s="185"/>
      <c r="FM38" s="185"/>
      <c r="FN38" s="185"/>
      <c r="FO38" s="185"/>
      <c r="FP38" s="185"/>
      <c r="FQ38" s="185"/>
      <c r="FR38" s="185"/>
      <c r="FS38" s="185"/>
      <c r="FT38" s="185"/>
      <c r="FU38" s="185"/>
      <c r="FV38" s="185"/>
      <c r="FW38" s="185"/>
      <c r="FX38" s="185"/>
      <c r="FY38" s="185"/>
      <c r="FZ38" s="185"/>
      <c r="GA38" s="185"/>
      <c r="GB38" s="185"/>
      <c r="GC38" s="185"/>
      <c r="GD38" s="185" t="s">
        <v>411</v>
      </c>
      <c r="GE38" s="185"/>
      <c r="GF38" s="185"/>
      <c r="GG38" s="185"/>
      <c r="GH38" s="185"/>
      <c r="GI38" s="185"/>
      <c r="GJ38" s="185"/>
      <c r="GK38" s="185"/>
      <c r="GL38" s="185"/>
      <c r="GM38" s="185"/>
      <c r="GN38" s="185" t="s">
        <v>375</v>
      </c>
      <c r="GO38" s="185"/>
      <c r="GP38" s="185" t="s">
        <v>471</v>
      </c>
      <c r="GQ38" s="185"/>
      <c r="GR38" s="185"/>
      <c r="GS38" s="228"/>
      <c r="GT38" s="185"/>
      <c r="GU38" s="185"/>
      <c r="GV38" s="185"/>
      <c r="GW38" s="185"/>
      <c r="GX38" s="185"/>
      <c r="GY38" s="185"/>
      <c r="GZ38" s="185"/>
      <c r="HA38" s="185"/>
      <c r="HB38" s="185"/>
      <c r="HC38" s="185"/>
      <c r="HD38" s="185"/>
      <c r="HE38" s="185"/>
      <c r="HF38" s="185"/>
      <c r="HG38" s="185"/>
      <c r="HH38" s="185"/>
      <c r="HI38" s="185"/>
      <c r="HJ38" s="185"/>
      <c r="HK38" s="185"/>
      <c r="HL38" s="185"/>
      <c r="HM38" s="185"/>
      <c r="HN38" s="185"/>
      <c r="HO38" s="185"/>
      <c r="HP38" s="185"/>
      <c r="HQ38" s="185"/>
      <c r="HR38" s="185"/>
      <c r="HS38" s="185"/>
      <c r="HT38" s="185"/>
      <c r="HU38" s="185"/>
      <c r="HV38" s="228" t="s">
        <v>462</v>
      </c>
      <c r="HW38" s="185"/>
      <c r="HX38" s="185"/>
      <c r="HY38" s="185"/>
      <c r="HZ38" s="185"/>
      <c r="IA38" s="185"/>
      <c r="IB38" s="185"/>
      <c r="IC38" s="185"/>
      <c r="ID38" s="185"/>
      <c r="IE38" s="185"/>
      <c r="IF38" s="185"/>
      <c r="IG38" s="185"/>
      <c r="IH38" s="185"/>
      <c r="II38" s="185"/>
      <c r="IJ38" s="185"/>
      <c r="IK38" s="185"/>
      <c r="IL38" s="185"/>
      <c r="IM38" s="185"/>
      <c r="IN38" s="185"/>
      <c r="IO38" s="185"/>
      <c r="IP38" s="185"/>
      <c r="IQ38" s="228"/>
      <c r="IR38" s="185"/>
      <c r="IS38" s="185"/>
      <c r="IT38" s="185"/>
      <c r="IU38" s="185"/>
      <c r="IV38" s="185"/>
      <c r="IW38" s="185"/>
      <c r="IX38" s="185"/>
      <c r="IY38" s="185"/>
      <c r="IZ38" s="185"/>
      <c r="JA38" s="185"/>
      <c r="JB38" s="185"/>
      <c r="JC38" s="185"/>
      <c r="JD38" s="185"/>
      <c r="JE38" s="185"/>
      <c r="JF38" s="185"/>
      <c r="JG38" s="185"/>
      <c r="JH38" s="185"/>
      <c r="JI38" s="228"/>
      <c r="JJ38" s="228"/>
      <c r="JK38" s="228"/>
      <c r="JL38" s="228"/>
      <c r="JM38" s="228"/>
      <c r="JN38" s="228" t="s">
        <v>462</v>
      </c>
      <c r="JO38" s="228"/>
      <c r="JP38" s="228"/>
      <c r="JQ38" s="228"/>
      <c r="JR38" s="228"/>
      <c r="JS38" s="228"/>
      <c r="JT38" s="228"/>
      <c r="JU38" s="228"/>
      <c r="JV38" s="228"/>
      <c r="JW38" s="228"/>
      <c r="JX38" s="228"/>
      <c r="JY38" s="228"/>
      <c r="JZ38" s="228"/>
      <c r="KA38" s="228"/>
      <c r="KB38" s="228"/>
      <c r="KC38" s="228"/>
      <c r="KD38" s="228"/>
      <c r="KE38" s="228"/>
      <c r="KF38" s="228"/>
      <c r="KG38" s="228"/>
      <c r="KH38" s="228"/>
      <c r="KI38" s="228"/>
      <c r="KJ38" s="228"/>
      <c r="KK38" s="185"/>
      <c r="KL38" s="185"/>
      <c r="KM38" s="185"/>
      <c r="KN38" s="185"/>
      <c r="KO38" s="185"/>
      <c r="KP38" s="185"/>
      <c r="KQ38" s="185"/>
      <c r="KR38" s="185"/>
      <c r="KS38" s="185"/>
      <c r="KT38" s="185"/>
      <c r="KU38" s="185"/>
      <c r="KV38" s="185"/>
      <c r="KW38" s="185"/>
      <c r="KX38" s="185"/>
      <c r="KY38" s="185"/>
      <c r="KZ38" s="185"/>
      <c r="LA38" s="228"/>
      <c r="LB38" s="228"/>
      <c r="LC38" s="228"/>
      <c r="LD38" s="228"/>
      <c r="LE38" s="228"/>
      <c r="LF38" s="233">
        <v>0.61458333333333304</v>
      </c>
    </row>
    <row r="39" spans="2:318" ht="11.1" customHeight="1">
      <c r="B39" s="49">
        <v>0.25</v>
      </c>
      <c r="C39" s="49">
        <v>0.25</v>
      </c>
      <c r="D39" s="49">
        <v>0.25</v>
      </c>
      <c r="E39" s="172">
        <v>0.60416666666666663</v>
      </c>
      <c r="F39" s="322" t="s">
        <v>419</v>
      </c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 t="s">
        <v>411</v>
      </c>
      <c r="V39" s="185"/>
      <c r="W39" s="185" t="s">
        <v>375</v>
      </c>
      <c r="X39" s="185"/>
      <c r="Y39" s="185"/>
      <c r="Z39" s="185" t="s">
        <v>404</v>
      </c>
      <c r="AA39" s="185"/>
      <c r="AB39" s="185"/>
      <c r="AC39" s="185"/>
      <c r="AD39" s="185"/>
      <c r="AE39" s="185"/>
      <c r="AF39" s="185"/>
      <c r="AG39" s="185"/>
      <c r="AH39" s="185"/>
      <c r="AI39" s="185"/>
      <c r="AJ39" s="185"/>
      <c r="AK39" s="185"/>
      <c r="AL39" s="185"/>
      <c r="AM39" s="185"/>
      <c r="AN39" s="185"/>
      <c r="AO39" s="185"/>
      <c r="AP39" s="185"/>
      <c r="AQ39" s="324"/>
      <c r="AR39" s="324"/>
      <c r="AS39" s="324"/>
      <c r="AT39" s="185"/>
      <c r="AU39" s="274" t="s">
        <v>386</v>
      </c>
      <c r="AV39" s="185"/>
      <c r="AW39" s="185"/>
      <c r="AX39" s="274" t="s">
        <v>462</v>
      </c>
      <c r="AY39" s="228" t="s">
        <v>471</v>
      </c>
      <c r="AZ39" s="185"/>
      <c r="BA39" s="228"/>
      <c r="BB39" s="228"/>
      <c r="BC39" s="228"/>
      <c r="BD39" s="228"/>
      <c r="BE39" s="228"/>
      <c r="BF39" s="53"/>
      <c r="BG39" s="185"/>
      <c r="BH39" s="185"/>
      <c r="BI39" s="185"/>
      <c r="BJ39" s="185"/>
      <c r="BK39" s="53"/>
      <c r="BL39" s="185"/>
      <c r="BM39" s="185"/>
      <c r="BN39" s="185"/>
      <c r="BO39" s="53" t="s">
        <v>462</v>
      </c>
      <c r="BP39" s="185"/>
      <c r="BQ39" s="228"/>
      <c r="BR39" s="228" t="s">
        <v>411</v>
      </c>
      <c r="BS39" s="185"/>
      <c r="BT39" s="228" t="s">
        <v>404</v>
      </c>
      <c r="BU39" s="228"/>
      <c r="BV39" s="185"/>
      <c r="BW39" s="185"/>
      <c r="BX39" s="185"/>
      <c r="BY39" s="185"/>
      <c r="BZ39" s="185"/>
      <c r="CA39" s="185"/>
      <c r="CB39" s="185"/>
      <c r="CC39" s="185"/>
      <c r="CD39" s="185"/>
      <c r="CE39" s="185"/>
      <c r="CF39" s="185"/>
      <c r="CG39" s="185"/>
      <c r="CH39" s="185"/>
      <c r="CI39" s="185"/>
      <c r="CJ39" s="185"/>
      <c r="CK39" s="185"/>
      <c r="CL39" s="53"/>
      <c r="CM39" s="53"/>
      <c r="CN39" s="176" t="s">
        <v>375</v>
      </c>
      <c r="CO39" s="53"/>
      <c r="CP39" s="54" t="s">
        <v>419</v>
      </c>
      <c r="CQ39" s="238" t="s">
        <v>471</v>
      </c>
      <c r="CR39" s="185"/>
      <c r="CS39" s="228"/>
      <c r="CT39" s="185"/>
      <c r="CU39" s="185"/>
      <c r="CV39" s="185"/>
      <c r="CW39" s="185"/>
      <c r="CX39" s="228"/>
      <c r="CY39" s="228"/>
      <c r="CZ39" s="185"/>
      <c r="DA39" s="228"/>
      <c r="DB39" s="185"/>
      <c r="DC39" s="185"/>
      <c r="DD39" s="185"/>
      <c r="DE39" s="185"/>
      <c r="DF39" s="228"/>
      <c r="DG39" s="228"/>
      <c r="DH39" s="185"/>
      <c r="DI39" s="185"/>
      <c r="DJ39" s="185"/>
      <c r="DK39" s="185"/>
      <c r="DL39" s="185"/>
      <c r="DM39" s="185" t="s">
        <v>411</v>
      </c>
      <c r="DN39" s="228"/>
      <c r="DO39" s="228"/>
      <c r="DP39" s="185"/>
      <c r="DQ39" s="185"/>
      <c r="DR39" s="185"/>
      <c r="DS39" s="185"/>
      <c r="DT39" s="185"/>
      <c r="DU39" s="185"/>
      <c r="DV39" s="185"/>
      <c r="DW39" s="185"/>
      <c r="DX39" s="185"/>
      <c r="DY39" s="185"/>
      <c r="DZ39" s="185"/>
      <c r="EA39" s="185"/>
      <c r="EB39" s="185"/>
      <c r="EC39" s="185"/>
      <c r="ED39" s="185"/>
      <c r="EE39" s="185"/>
      <c r="EF39" s="185"/>
      <c r="EG39" s="185"/>
      <c r="EH39" s="185"/>
      <c r="EI39" s="185"/>
      <c r="EJ39" s="185"/>
      <c r="EK39" s="278" t="s">
        <v>404</v>
      </c>
      <c r="EL39" s="185" t="s">
        <v>411</v>
      </c>
      <c r="EM39" s="185"/>
      <c r="EN39" s="185"/>
      <c r="EO39" s="185"/>
      <c r="EP39" s="185"/>
      <c r="EQ39" s="185"/>
      <c r="ER39" s="185"/>
      <c r="ES39" s="185"/>
      <c r="ET39" s="280"/>
      <c r="EU39" s="185"/>
      <c r="EV39" s="185"/>
      <c r="EW39" s="185"/>
      <c r="EX39" s="185"/>
      <c r="EY39" s="185"/>
      <c r="EZ39" s="185"/>
      <c r="FA39" s="185"/>
      <c r="FB39" s="185"/>
      <c r="FC39" s="185"/>
      <c r="FD39" s="228" t="s">
        <v>375</v>
      </c>
      <c r="FE39" s="185"/>
      <c r="FF39" s="185" t="s">
        <v>404</v>
      </c>
      <c r="FG39" s="185"/>
      <c r="FH39" s="185"/>
      <c r="FI39" s="185"/>
      <c r="FJ39" s="185"/>
      <c r="FK39" s="185"/>
      <c r="FL39" s="185"/>
      <c r="FM39" s="185"/>
      <c r="FN39" s="185"/>
      <c r="FO39" s="185"/>
      <c r="FP39" s="185"/>
      <c r="FQ39" s="185"/>
      <c r="FR39" s="185"/>
      <c r="FS39" s="185"/>
      <c r="FT39" s="185"/>
      <c r="FU39" s="185"/>
      <c r="FV39" s="185"/>
      <c r="FW39" s="185"/>
      <c r="FX39" s="185"/>
      <c r="FY39" s="185"/>
      <c r="FZ39" s="185"/>
      <c r="GA39" s="274" t="s">
        <v>419</v>
      </c>
      <c r="GB39" s="185"/>
      <c r="GC39" s="228"/>
      <c r="GD39" s="185" t="s">
        <v>411</v>
      </c>
      <c r="GE39" s="185"/>
      <c r="GF39" s="185"/>
      <c r="GG39" s="185"/>
      <c r="GH39" s="185"/>
      <c r="GI39" s="185"/>
      <c r="GJ39" s="185"/>
      <c r="GK39" s="185"/>
      <c r="GL39" s="185"/>
      <c r="GM39" s="185"/>
      <c r="GN39" s="185" t="s">
        <v>375</v>
      </c>
      <c r="GO39" s="185"/>
      <c r="GP39" s="185"/>
      <c r="GQ39" s="185"/>
      <c r="GR39" s="185"/>
      <c r="GS39" s="185"/>
      <c r="GT39" s="185"/>
      <c r="GU39" s="185"/>
      <c r="GV39" s="185"/>
      <c r="GW39" s="185"/>
      <c r="GX39" s="185"/>
      <c r="GY39" s="185"/>
      <c r="GZ39" s="185"/>
      <c r="HA39" s="185"/>
      <c r="HB39" s="185"/>
      <c r="HC39" s="185"/>
      <c r="HD39" s="185"/>
      <c r="HE39" s="185"/>
      <c r="HF39" s="185"/>
      <c r="HG39" s="185"/>
      <c r="HH39" s="185"/>
      <c r="HI39" s="185"/>
      <c r="HJ39" s="185"/>
      <c r="HK39" s="185"/>
      <c r="HL39" s="185"/>
      <c r="HM39" s="185"/>
      <c r="HN39" s="185"/>
      <c r="HO39" s="185"/>
      <c r="HP39" s="185"/>
      <c r="HQ39" s="185"/>
      <c r="HR39" s="185"/>
      <c r="HS39" s="228" t="s">
        <v>471</v>
      </c>
      <c r="HT39" s="185"/>
      <c r="HU39" s="274" t="s">
        <v>404</v>
      </c>
      <c r="HV39" s="228" t="s">
        <v>462</v>
      </c>
      <c r="HW39" s="228"/>
      <c r="HX39" s="185"/>
      <c r="HY39" s="185"/>
      <c r="HZ39" s="185"/>
      <c r="IA39" s="185"/>
      <c r="IB39" s="185"/>
      <c r="IC39" s="185"/>
      <c r="ID39" s="185"/>
      <c r="IE39" s="185"/>
      <c r="IF39" s="185"/>
      <c r="IG39" s="185"/>
      <c r="IH39" s="185"/>
      <c r="II39" s="185"/>
      <c r="IJ39" s="185"/>
      <c r="IK39" s="185"/>
      <c r="IL39" s="185"/>
      <c r="IM39" s="185"/>
      <c r="IN39" s="185"/>
      <c r="IO39" s="185"/>
      <c r="IP39" s="185"/>
      <c r="IQ39" s="228"/>
      <c r="IR39" s="185"/>
      <c r="IS39" s="185"/>
      <c r="IT39" s="185"/>
      <c r="IU39" s="185"/>
      <c r="IV39" s="185"/>
      <c r="IW39" s="185"/>
      <c r="IX39" s="185"/>
      <c r="IY39" s="185"/>
      <c r="IZ39" s="185"/>
      <c r="JA39" s="185"/>
      <c r="JB39" s="185"/>
      <c r="JC39" s="185"/>
      <c r="JD39" s="185"/>
      <c r="JE39" s="185"/>
      <c r="JF39" s="185"/>
      <c r="JG39" s="185"/>
      <c r="JH39" s="185"/>
      <c r="JI39" s="228"/>
      <c r="JJ39" s="228"/>
      <c r="JK39" s="228"/>
      <c r="JL39" s="228"/>
      <c r="JM39" s="228"/>
      <c r="JN39" s="228" t="s">
        <v>462</v>
      </c>
      <c r="JO39" s="228"/>
      <c r="JP39" s="228"/>
      <c r="JQ39" s="228"/>
      <c r="JR39" s="228"/>
      <c r="JS39" s="228"/>
      <c r="JT39" s="228"/>
      <c r="JU39" s="228"/>
      <c r="JV39" s="228"/>
      <c r="JW39" s="228"/>
      <c r="JX39" s="228"/>
      <c r="JY39" s="228"/>
      <c r="JZ39" s="228"/>
      <c r="KA39" s="228"/>
      <c r="KB39" s="228"/>
      <c r="KC39" s="228"/>
      <c r="KD39" s="228"/>
      <c r="KE39" s="228"/>
      <c r="KF39" s="228"/>
      <c r="KG39" s="228"/>
      <c r="KH39" s="228"/>
      <c r="KI39" s="228"/>
      <c r="KJ39" s="228"/>
      <c r="KK39" s="185"/>
      <c r="KL39" s="185"/>
      <c r="KM39" s="185"/>
      <c r="KN39" s="185"/>
      <c r="KO39" s="185"/>
      <c r="KP39" s="185"/>
      <c r="KQ39" s="185"/>
      <c r="KR39" s="185"/>
      <c r="KS39" s="185"/>
      <c r="KT39" s="185"/>
      <c r="KU39" s="185"/>
      <c r="KV39" s="185"/>
      <c r="KW39" s="185"/>
      <c r="KX39" s="185"/>
      <c r="KY39" s="185"/>
      <c r="KZ39" s="185"/>
      <c r="LA39" s="228"/>
      <c r="LB39" s="228"/>
      <c r="LC39" s="228"/>
      <c r="LD39" s="228"/>
      <c r="LE39" s="228"/>
      <c r="LF39" s="233">
        <v>0.624999999999999</v>
      </c>
    </row>
    <row r="40" spans="2:318" ht="10.5" customHeight="1">
      <c r="B40" s="49">
        <v>0.25</v>
      </c>
      <c r="C40" s="49">
        <v>0.25</v>
      </c>
      <c r="D40" s="49">
        <v>0.25</v>
      </c>
      <c r="E40" s="172">
        <v>0.61458333333333337</v>
      </c>
      <c r="F40" s="322" t="s">
        <v>419</v>
      </c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 t="s">
        <v>411</v>
      </c>
      <c r="V40" s="185"/>
      <c r="W40" s="185" t="s">
        <v>375</v>
      </c>
      <c r="X40" s="185"/>
      <c r="Y40" s="185"/>
      <c r="Z40" s="185" t="s">
        <v>404</v>
      </c>
      <c r="AA40" s="185"/>
      <c r="AB40" s="185"/>
      <c r="AC40" s="185"/>
      <c r="AD40" s="185"/>
      <c r="AE40" s="185"/>
      <c r="AF40" s="185"/>
      <c r="AG40" s="185"/>
      <c r="AH40" s="185"/>
      <c r="AI40" s="185"/>
      <c r="AJ40" s="185"/>
      <c r="AK40" s="185"/>
      <c r="AL40" s="185"/>
      <c r="AM40" s="185"/>
      <c r="AN40" s="185"/>
      <c r="AO40" s="185"/>
      <c r="AP40" s="185"/>
      <c r="AQ40" s="324"/>
      <c r="AR40" s="324"/>
      <c r="AS40" s="324"/>
      <c r="AT40" s="185"/>
      <c r="AU40" s="274" t="s">
        <v>386</v>
      </c>
      <c r="AV40" s="185"/>
      <c r="AW40" s="185"/>
      <c r="AX40" s="274" t="s">
        <v>462</v>
      </c>
      <c r="AY40" s="228" t="s">
        <v>471</v>
      </c>
      <c r="AZ40" s="185" t="s">
        <v>386</v>
      </c>
      <c r="BA40" s="228"/>
      <c r="BB40" s="228"/>
      <c r="BC40" s="228"/>
      <c r="BD40" s="228"/>
      <c r="BE40" s="228"/>
      <c r="BF40" s="53"/>
      <c r="BG40" s="185"/>
      <c r="BH40" s="185"/>
      <c r="BI40" s="185"/>
      <c r="BJ40" s="185"/>
      <c r="BK40" s="53"/>
      <c r="BL40" s="185"/>
      <c r="BM40" s="185"/>
      <c r="BN40" s="185"/>
      <c r="BO40" s="53" t="s">
        <v>462</v>
      </c>
      <c r="BP40" s="185"/>
      <c r="BQ40" s="228"/>
      <c r="BR40" s="228" t="s">
        <v>411</v>
      </c>
      <c r="BS40" s="185"/>
      <c r="BT40" s="228" t="s">
        <v>404</v>
      </c>
      <c r="BU40" s="228"/>
      <c r="BV40" s="185"/>
      <c r="BW40" s="185"/>
      <c r="BX40" s="185"/>
      <c r="BY40" s="185"/>
      <c r="BZ40" s="185"/>
      <c r="CA40" s="185"/>
      <c r="CB40" s="185"/>
      <c r="CC40" s="185"/>
      <c r="CD40" s="185"/>
      <c r="CE40" s="185"/>
      <c r="CF40" s="185"/>
      <c r="CG40" s="185"/>
      <c r="CH40" s="185"/>
      <c r="CI40" s="185"/>
      <c r="CJ40" s="185"/>
      <c r="CK40" s="185"/>
      <c r="CL40" s="53"/>
      <c r="CM40" s="53"/>
      <c r="CN40" s="176" t="s">
        <v>375</v>
      </c>
      <c r="CO40" s="53"/>
      <c r="CP40" s="54" t="s">
        <v>419</v>
      </c>
      <c r="CQ40" s="238" t="s">
        <v>471</v>
      </c>
      <c r="CR40" s="185"/>
      <c r="CS40" s="228"/>
      <c r="CT40" s="185"/>
      <c r="CU40" s="185"/>
      <c r="CV40" s="185"/>
      <c r="CW40" s="185"/>
      <c r="CX40" s="228"/>
      <c r="CY40" s="228"/>
      <c r="CZ40" s="185"/>
      <c r="DA40" s="228"/>
      <c r="DB40" s="185"/>
      <c r="DC40" s="185"/>
      <c r="DD40" s="185"/>
      <c r="DE40" s="185"/>
      <c r="DF40" s="228"/>
      <c r="DG40" s="228"/>
      <c r="DH40" s="185"/>
      <c r="DI40" s="185"/>
      <c r="DJ40" s="185"/>
      <c r="DK40" s="185"/>
      <c r="DL40" s="185"/>
      <c r="DM40" s="185" t="s">
        <v>411</v>
      </c>
      <c r="DN40" s="228"/>
      <c r="DO40" s="228"/>
      <c r="DP40" s="185"/>
      <c r="DQ40" s="185"/>
      <c r="DR40" s="185"/>
      <c r="DS40" s="185"/>
      <c r="DT40" s="185"/>
      <c r="DU40" s="185"/>
      <c r="DV40" s="185"/>
      <c r="DW40" s="185"/>
      <c r="DX40" s="185"/>
      <c r="DY40" s="185"/>
      <c r="DZ40" s="185"/>
      <c r="EA40" s="185"/>
      <c r="EB40" s="185"/>
      <c r="EC40" s="185"/>
      <c r="ED40" s="185"/>
      <c r="EE40" s="185"/>
      <c r="EF40" s="185"/>
      <c r="EG40" s="185"/>
      <c r="EH40" s="185"/>
      <c r="EI40" s="185"/>
      <c r="EJ40" s="185"/>
      <c r="EK40" s="278" t="s">
        <v>404</v>
      </c>
      <c r="EL40" s="185" t="s">
        <v>411</v>
      </c>
      <c r="EM40" s="185"/>
      <c r="EN40" s="185"/>
      <c r="EO40" s="185"/>
      <c r="EP40" s="185"/>
      <c r="EQ40" s="185"/>
      <c r="ER40" s="185"/>
      <c r="ES40" s="185"/>
      <c r="ET40" s="280"/>
      <c r="EU40" s="185"/>
      <c r="EV40" s="185"/>
      <c r="EW40" s="185"/>
      <c r="EX40" s="185"/>
      <c r="EY40" s="185"/>
      <c r="EZ40" s="185"/>
      <c r="FA40" s="185"/>
      <c r="FB40" s="185"/>
      <c r="FC40" s="185"/>
      <c r="FD40" s="228" t="s">
        <v>375</v>
      </c>
      <c r="FE40" s="185"/>
      <c r="FF40" s="185" t="s">
        <v>404</v>
      </c>
      <c r="FG40" s="185"/>
      <c r="FH40" s="185"/>
      <c r="FI40" s="185"/>
      <c r="FJ40" s="185"/>
      <c r="FK40" s="185"/>
      <c r="FL40" s="185"/>
      <c r="FM40" s="185"/>
      <c r="FN40" s="185"/>
      <c r="FO40" s="185"/>
      <c r="FP40" s="185"/>
      <c r="FQ40" s="185"/>
      <c r="FR40" s="185"/>
      <c r="FS40" s="185"/>
      <c r="FT40" s="185"/>
      <c r="FU40" s="185"/>
      <c r="FV40" s="185"/>
      <c r="FW40" s="185"/>
      <c r="FX40" s="185"/>
      <c r="FY40" s="185"/>
      <c r="FZ40" s="185"/>
      <c r="GA40" s="274" t="s">
        <v>419</v>
      </c>
      <c r="GB40" s="185"/>
      <c r="GC40" s="228"/>
      <c r="GD40" s="185" t="s">
        <v>411</v>
      </c>
      <c r="GE40" s="185"/>
      <c r="GF40" s="185"/>
      <c r="GG40" s="185"/>
      <c r="GH40" s="185"/>
      <c r="GI40" s="185"/>
      <c r="GJ40" s="185"/>
      <c r="GK40" s="185"/>
      <c r="GL40" s="185"/>
      <c r="GM40" s="185"/>
      <c r="GN40" s="185" t="s">
        <v>375</v>
      </c>
      <c r="GO40" s="185"/>
      <c r="GP40" s="185"/>
      <c r="GQ40" s="185"/>
      <c r="GR40" s="185"/>
      <c r="GS40" s="185"/>
      <c r="GT40" s="185"/>
      <c r="GU40" s="185"/>
      <c r="GV40" s="185"/>
      <c r="GW40" s="185"/>
      <c r="GX40" s="185"/>
      <c r="GY40" s="185"/>
      <c r="GZ40" s="185"/>
      <c r="HA40" s="185"/>
      <c r="HB40" s="185"/>
      <c r="HC40" s="185"/>
      <c r="HD40" s="185"/>
      <c r="HE40" s="185"/>
      <c r="HF40" s="185"/>
      <c r="HG40" s="185"/>
      <c r="HH40" s="185"/>
      <c r="HI40" s="185"/>
      <c r="HJ40" s="185"/>
      <c r="HK40" s="185"/>
      <c r="HL40" s="185"/>
      <c r="HM40" s="185"/>
      <c r="HN40" s="185"/>
      <c r="HO40" s="185"/>
      <c r="HP40" s="185"/>
      <c r="HQ40" s="185"/>
      <c r="HR40" s="185"/>
      <c r="HS40" s="228" t="s">
        <v>471</v>
      </c>
      <c r="HT40" s="185"/>
      <c r="HU40" s="274" t="s">
        <v>404</v>
      </c>
      <c r="HV40" s="228" t="s">
        <v>462</v>
      </c>
      <c r="HW40" s="228"/>
      <c r="HX40" s="185"/>
      <c r="HY40" s="185"/>
      <c r="HZ40" s="185"/>
      <c r="IA40" s="185"/>
      <c r="IB40" s="185"/>
      <c r="IC40" s="185"/>
      <c r="ID40" s="185"/>
      <c r="IE40" s="185"/>
      <c r="IF40" s="185"/>
      <c r="IG40" s="185"/>
      <c r="IH40" s="185"/>
      <c r="II40" s="185"/>
      <c r="IJ40" s="185"/>
      <c r="IK40" s="185"/>
      <c r="IL40" s="185"/>
      <c r="IM40" s="185"/>
      <c r="IN40" s="185"/>
      <c r="IO40" s="185"/>
      <c r="IP40" s="185"/>
      <c r="IQ40" s="228"/>
      <c r="IR40" s="185"/>
      <c r="IS40" s="185"/>
      <c r="IT40" s="185"/>
      <c r="IU40" s="185"/>
      <c r="IV40" s="185"/>
      <c r="IW40" s="185"/>
      <c r="IX40" s="185"/>
      <c r="IY40" s="185"/>
      <c r="IZ40" s="185"/>
      <c r="JA40" s="185"/>
      <c r="JB40" s="185"/>
      <c r="JC40" s="185"/>
      <c r="JD40" s="185"/>
      <c r="JE40" s="185"/>
      <c r="JF40" s="185"/>
      <c r="JG40" s="185"/>
      <c r="JH40" s="185"/>
      <c r="JI40" s="228"/>
      <c r="JJ40" s="228"/>
      <c r="JK40" s="228"/>
      <c r="JL40" s="228"/>
      <c r="JM40" s="228"/>
      <c r="JN40" s="228" t="s">
        <v>462</v>
      </c>
      <c r="JO40" s="228"/>
      <c r="JP40" s="228"/>
      <c r="JQ40" s="228"/>
      <c r="JR40" s="228"/>
      <c r="JS40" s="228"/>
      <c r="JT40" s="228"/>
      <c r="JU40" s="228"/>
      <c r="JV40" s="228"/>
      <c r="JW40" s="228"/>
      <c r="JX40" s="228"/>
      <c r="JY40" s="228"/>
      <c r="JZ40" s="228"/>
      <c r="KA40" s="228"/>
      <c r="KB40" s="228"/>
      <c r="KC40" s="228"/>
      <c r="KD40" s="228"/>
      <c r="KE40" s="228"/>
      <c r="KF40" s="228"/>
      <c r="KG40" s="228"/>
      <c r="KH40" s="228"/>
      <c r="KI40" s="228"/>
      <c r="KJ40" s="228"/>
      <c r="KK40" s="185"/>
      <c r="KL40" s="185"/>
      <c r="KM40" s="185"/>
      <c r="KN40" s="185"/>
      <c r="KO40" s="185"/>
      <c r="KP40" s="185"/>
      <c r="KQ40" s="185"/>
      <c r="KR40" s="185"/>
      <c r="KS40" s="185"/>
      <c r="KT40" s="185"/>
      <c r="KU40" s="185"/>
      <c r="KV40" s="185"/>
      <c r="KW40" s="185"/>
      <c r="KX40" s="185"/>
      <c r="KY40" s="185"/>
      <c r="KZ40" s="185"/>
      <c r="LA40" s="228"/>
      <c r="LB40" s="228"/>
      <c r="LC40" s="228"/>
      <c r="LD40" s="228"/>
      <c r="LE40" s="228"/>
      <c r="LF40" s="233">
        <v>0.63541666666666596</v>
      </c>
    </row>
    <row r="41" spans="2:318" ht="10.5" customHeight="1">
      <c r="B41" s="49">
        <v>0.25</v>
      </c>
      <c r="C41" s="49">
        <v>0.25</v>
      </c>
      <c r="D41" s="49">
        <v>0.25</v>
      </c>
      <c r="E41" s="172">
        <v>0.625</v>
      </c>
      <c r="F41" s="322" t="s">
        <v>419</v>
      </c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 t="s">
        <v>411</v>
      </c>
      <c r="V41" s="185"/>
      <c r="W41" s="185" t="s">
        <v>375</v>
      </c>
      <c r="X41" s="185"/>
      <c r="Y41" s="185"/>
      <c r="Z41" s="185" t="s">
        <v>404</v>
      </c>
      <c r="AA41" s="185"/>
      <c r="AB41" s="185"/>
      <c r="AC41" s="185"/>
      <c r="AD41" s="185"/>
      <c r="AE41" s="185"/>
      <c r="AF41" s="185"/>
      <c r="AG41" s="185"/>
      <c r="AH41" s="185"/>
      <c r="AI41" s="185"/>
      <c r="AJ41" s="185"/>
      <c r="AK41" s="185"/>
      <c r="AL41" s="185"/>
      <c r="AM41" s="185"/>
      <c r="AN41" s="185"/>
      <c r="AO41" s="185"/>
      <c r="AP41" s="185"/>
      <c r="AQ41" s="324"/>
      <c r="AR41" s="324"/>
      <c r="AS41" s="324"/>
      <c r="AT41" s="185"/>
      <c r="AU41" s="274" t="s">
        <v>386</v>
      </c>
      <c r="AV41" s="185"/>
      <c r="AW41" s="185"/>
      <c r="AX41" s="274" t="s">
        <v>462</v>
      </c>
      <c r="AY41" s="228" t="s">
        <v>386</v>
      </c>
      <c r="AZ41" s="185"/>
      <c r="BA41" s="185"/>
      <c r="BB41" s="185"/>
      <c r="BC41" s="185"/>
      <c r="BD41" s="185"/>
      <c r="BE41" s="185"/>
      <c r="BF41" s="185" t="s">
        <v>411</v>
      </c>
      <c r="BG41" s="185"/>
      <c r="BH41" s="185"/>
      <c r="BI41" s="185"/>
      <c r="BJ41" s="185"/>
      <c r="BK41" s="185"/>
      <c r="BL41" s="185"/>
      <c r="BM41" s="185"/>
      <c r="BN41" s="185"/>
      <c r="BO41" s="185" t="s">
        <v>462</v>
      </c>
      <c r="BP41" s="185"/>
      <c r="BQ41" s="185"/>
      <c r="BR41" s="185"/>
      <c r="BS41" s="185"/>
      <c r="BT41" s="228" t="s">
        <v>404</v>
      </c>
      <c r="BU41" s="185"/>
      <c r="BV41" s="185"/>
      <c r="BW41" s="185"/>
      <c r="BX41" s="185"/>
      <c r="BY41" s="185"/>
      <c r="BZ41" s="185"/>
      <c r="CA41" s="185"/>
      <c r="CB41" s="185"/>
      <c r="CC41" s="185"/>
      <c r="CD41" s="185"/>
      <c r="CE41" s="185"/>
      <c r="CF41" s="185"/>
      <c r="CG41" s="185"/>
      <c r="CH41" s="185"/>
      <c r="CI41" s="185"/>
      <c r="CJ41" s="185"/>
      <c r="CK41" s="185"/>
      <c r="CL41" s="53"/>
      <c r="CM41" s="53"/>
      <c r="CN41" s="176" t="s">
        <v>375</v>
      </c>
      <c r="CO41" s="53"/>
      <c r="CP41" s="350" t="s">
        <v>419</v>
      </c>
      <c r="CQ41" s="228" t="s">
        <v>471</v>
      </c>
      <c r="CR41" s="185"/>
      <c r="CS41" s="228" t="s">
        <v>419</v>
      </c>
      <c r="CT41" s="185"/>
      <c r="CU41" s="185"/>
      <c r="CV41" s="185"/>
      <c r="CW41" s="185"/>
      <c r="CX41" s="228" t="s">
        <v>411</v>
      </c>
      <c r="CY41" s="228"/>
      <c r="CZ41" s="185"/>
      <c r="DA41" s="228"/>
      <c r="DB41" s="185"/>
      <c r="DC41" s="185"/>
      <c r="DD41" s="185"/>
      <c r="DE41" s="185"/>
      <c r="DF41" s="185"/>
      <c r="DG41" s="228"/>
      <c r="DH41" s="185"/>
      <c r="DI41" s="185"/>
      <c r="DJ41" s="185"/>
      <c r="DK41" s="185"/>
      <c r="DL41" s="185"/>
      <c r="DM41" s="185" t="s">
        <v>375</v>
      </c>
      <c r="DN41" s="228"/>
      <c r="DO41" s="228"/>
      <c r="DP41" s="185"/>
      <c r="DQ41" s="185"/>
      <c r="DR41" s="185"/>
      <c r="DS41" s="185"/>
      <c r="DT41" s="185"/>
      <c r="DU41" s="185"/>
      <c r="DV41" s="185"/>
      <c r="DW41" s="185"/>
      <c r="DX41" s="185"/>
      <c r="DY41" s="185"/>
      <c r="DZ41" s="185"/>
      <c r="EA41" s="185"/>
      <c r="EB41" s="185"/>
      <c r="EC41" s="185"/>
      <c r="ED41" s="185"/>
      <c r="EE41" s="185"/>
      <c r="EF41" s="185"/>
      <c r="EG41" s="185"/>
      <c r="EH41" s="185"/>
      <c r="EI41" s="185"/>
      <c r="EJ41" s="185"/>
      <c r="EK41" s="278" t="s">
        <v>404</v>
      </c>
      <c r="EL41" s="243" t="s">
        <v>471</v>
      </c>
      <c r="EM41" s="185"/>
      <c r="EN41" s="185"/>
      <c r="EO41" s="185"/>
      <c r="EP41" s="185"/>
      <c r="EQ41" s="185"/>
      <c r="ER41" s="185"/>
      <c r="ES41" s="185"/>
      <c r="ET41" s="280" t="s">
        <v>411</v>
      </c>
      <c r="EU41" s="185"/>
      <c r="EV41" s="185"/>
      <c r="EW41" s="185"/>
      <c r="EX41" s="185"/>
      <c r="EY41" s="185"/>
      <c r="EZ41" s="185"/>
      <c r="FA41" s="185"/>
      <c r="FB41" s="185"/>
      <c r="FC41" s="185"/>
      <c r="FD41" s="228" t="s">
        <v>375</v>
      </c>
      <c r="FE41" s="185"/>
      <c r="FF41" s="185" t="s">
        <v>404</v>
      </c>
      <c r="FG41" s="185"/>
      <c r="FH41" s="185"/>
      <c r="FI41" s="185"/>
      <c r="FJ41" s="185"/>
      <c r="FK41" s="185"/>
      <c r="FL41" s="185"/>
      <c r="FM41" s="185"/>
      <c r="FN41" s="185"/>
      <c r="FO41" s="185"/>
      <c r="FP41" s="185"/>
      <c r="FQ41" s="185"/>
      <c r="FR41" s="185"/>
      <c r="FS41" s="185"/>
      <c r="FT41" s="185"/>
      <c r="FU41" s="185"/>
      <c r="FV41" s="185"/>
      <c r="FW41" s="185"/>
      <c r="FX41" s="185"/>
      <c r="FY41" s="185"/>
      <c r="FZ41" s="185"/>
      <c r="GA41" s="274" t="s">
        <v>419</v>
      </c>
      <c r="GB41" s="185"/>
      <c r="GC41" s="228"/>
      <c r="GD41" s="185" t="s">
        <v>462</v>
      </c>
      <c r="GE41" s="185"/>
      <c r="GF41" s="185"/>
      <c r="GG41" s="185"/>
      <c r="GH41" s="185"/>
      <c r="GI41" s="185"/>
      <c r="GJ41" s="185"/>
      <c r="GK41" s="185"/>
      <c r="GL41" s="185" t="s">
        <v>411</v>
      </c>
      <c r="GM41" s="185"/>
      <c r="GN41" s="185" t="s">
        <v>375</v>
      </c>
      <c r="GO41" s="185" t="s">
        <v>386</v>
      </c>
      <c r="GP41" s="185" t="s">
        <v>471</v>
      </c>
      <c r="GQ41" s="185"/>
      <c r="GR41" s="185"/>
      <c r="GS41" s="185"/>
      <c r="GT41" s="185"/>
      <c r="GU41" s="185"/>
      <c r="GV41" s="185"/>
      <c r="GW41" s="185"/>
      <c r="GX41" s="185"/>
      <c r="GY41" s="185"/>
      <c r="GZ41" s="185"/>
      <c r="HA41" s="185"/>
      <c r="HB41" s="185"/>
      <c r="HC41" s="185"/>
      <c r="HD41" s="185"/>
      <c r="HE41" s="185"/>
      <c r="HF41" s="185"/>
      <c r="HG41" s="185"/>
      <c r="HH41" s="185"/>
      <c r="HI41" s="185"/>
      <c r="HJ41" s="185"/>
      <c r="HK41" s="185"/>
      <c r="HL41" s="185"/>
      <c r="HM41" s="185"/>
      <c r="HN41" s="185"/>
      <c r="HO41" s="185"/>
      <c r="HP41" s="185"/>
      <c r="HQ41" s="185"/>
      <c r="HR41" s="185"/>
      <c r="HS41" s="228"/>
      <c r="HT41" s="185"/>
      <c r="HU41" s="274" t="s">
        <v>404</v>
      </c>
      <c r="HV41" s="228" t="s">
        <v>462</v>
      </c>
      <c r="HW41" s="228"/>
      <c r="HX41" s="185"/>
      <c r="HY41" s="185"/>
      <c r="HZ41" s="185"/>
      <c r="IA41" s="185"/>
      <c r="IB41" s="185"/>
      <c r="IC41" s="185" t="s">
        <v>471</v>
      </c>
      <c r="ID41" s="185"/>
      <c r="IE41" s="185"/>
      <c r="IF41" s="185"/>
      <c r="IG41" s="185"/>
      <c r="IH41" s="185"/>
      <c r="II41" s="185"/>
      <c r="IJ41" s="185"/>
      <c r="IK41" s="185"/>
      <c r="IL41" s="185"/>
      <c r="IM41" s="185"/>
      <c r="IN41" s="185"/>
      <c r="IO41" s="185"/>
      <c r="IP41" s="185"/>
      <c r="IQ41" s="228"/>
      <c r="IR41" s="185"/>
      <c r="IS41" s="228" t="s">
        <v>423</v>
      </c>
      <c r="IT41" s="185"/>
      <c r="IU41" s="185"/>
      <c r="IV41" s="185"/>
      <c r="IW41" s="185"/>
      <c r="IX41" s="185"/>
      <c r="IY41" s="185"/>
      <c r="IZ41" s="185"/>
      <c r="JA41" s="185"/>
      <c r="JB41" s="185"/>
      <c r="JC41" s="185"/>
      <c r="JD41" s="185"/>
      <c r="JE41" s="185"/>
      <c r="JF41" s="185"/>
      <c r="JG41" s="185"/>
      <c r="JH41" s="185"/>
      <c r="JI41" s="228"/>
      <c r="JJ41" s="228"/>
      <c r="JK41" s="228"/>
      <c r="JL41" s="228"/>
      <c r="JM41" s="228"/>
      <c r="JN41" s="274" t="s">
        <v>462</v>
      </c>
      <c r="JO41" s="228"/>
      <c r="JP41" s="228"/>
      <c r="JQ41" s="228"/>
      <c r="JR41" s="228"/>
      <c r="JS41" s="228"/>
      <c r="JT41" s="228"/>
      <c r="JU41" s="228"/>
      <c r="JV41" s="228"/>
      <c r="JW41" s="228"/>
      <c r="JX41" s="228"/>
      <c r="JY41" s="228"/>
      <c r="JZ41" s="228"/>
      <c r="KA41" s="228"/>
      <c r="KB41" s="228"/>
      <c r="KC41" s="228"/>
      <c r="KD41" s="228"/>
      <c r="KE41" s="228"/>
      <c r="KF41" s="228"/>
      <c r="KG41" s="228"/>
      <c r="KH41" s="228"/>
      <c r="KI41" s="228"/>
      <c r="KJ41" s="228"/>
      <c r="KK41" s="185"/>
      <c r="KL41" s="185"/>
      <c r="KM41" s="185"/>
      <c r="KN41" s="185"/>
      <c r="KO41" s="185"/>
      <c r="KP41" s="185"/>
      <c r="KQ41" s="185"/>
      <c r="KR41" s="185"/>
      <c r="KS41" s="185"/>
      <c r="KT41" s="185"/>
      <c r="KU41" s="185"/>
      <c r="KV41" s="185"/>
      <c r="KW41" s="185"/>
      <c r="KX41" s="185"/>
      <c r="KY41" s="185"/>
      <c r="KZ41" s="185"/>
      <c r="LA41" s="228"/>
      <c r="LB41" s="228"/>
      <c r="LC41" s="228"/>
      <c r="LD41" s="228"/>
      <c r="LE41" s="228"/>
      <c r="LF41" s="233">
        <v>0.64583333333333204</v>
      </c>
    </row>
    <row r="42" spans="2:318" ht="10.5" customHeight="1">
      <c r="B42" s="49">
        <v>0.25</v>
      </c>
      <c r="C42" s="49">
        <v>0.25</v>
      </c>
      <c r="D42" s="49">
        <v>0.25</v>
      </c>
      <c r="E42" s="172">
        <v>0.63541666666666663</v>
      </c>
      <c r="F42" s="322" t="s">
        <v>411</v>
      </c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 t="s">
        <v>419</v>
      </c>
      <c r="W42" s="185" t="s">
        <v>375</v>
      </c>
      <c r="X42" s="185"/>
      <c r="Y42" s="185"/>
      <c r="Z42" s="185" t="s">
        <v>404</v>
      </c>
      <c r="AA42" s="185"/>
      <c r="AB42" s="185"/>
      <c r="AC42" s="185"/>
      <c r="AD42" s="185"/>
      <c r="AE42" s="185"/>
      <c r="AF42" s="185"/>
      <c r="AG42" s="185"/>
      <c r="AH42" s="185"/>
      <c r="AI42" s="185"/>
      <c r="AJ42" s="185"/>
      <c r="AK42" s="185"/>
      <c r="AL42" s="185"/>
      <c r="AM42" s="185"/>
      <c r="AN42" s="185"/>
      <c r="AO42" s="185"/>
      <c r="AP42" s="185"/>
      <c r="AQ42" s="324"/>
      <c r="AR42" s="324"/>
      <c r="AS42" s="324"/>
      <c r="AT42" s="185"/>
      <c r="AU42" s="274" t="s">
        <v>386</v>
      </c>
      <c r="AV42" s="185"/>
      <c r="AW42" s="185"/>
      <c r="AX42" s="274" t="s">
        <v>462</v>
      </c>
      <c r="AY42" s="228" t="s">
        <v>386</v>
      </c>
      <c r="AZ42" s="185"/>
      <c r="BA42" s="185"/>
      <c r="BB42" s="185"/>
      <c r="BC42" s="185"/>
      <c r="BD42" s="185"/>
      <c r="BE42" s="185"/>
      <c r="BF42" s="185" t="s">
        <v>411</v>
      </c>
      <c r="BG42" s="185"/>
      <c r="BH42" s="185"/>
      <c r="BI42" s="185"/>
      <c r="BJ42" s="185"/>
      <c r="BK42" s="185"/>
      <c r="BL42" s="185"/>
      <c r="BM42" s="185"/>
      <c r="BN42" s="185"/>
      <c r="BO42" s="185" t="s">
        <v>462</v>
      </c>
      <c r="BP42" s="185"/>
      <c r="BQ42" s="185"/>
      <c r="BR42" s="185"/>
      <c r="BS42" s="185"/>
      <c r="BT42" s="185"/>
      <c r="BU42" s="185"/>
      <c r="BV42" s="185"/>
      <c r="BW42" s="185"/>
      <c r="BX42" s="185"/>
      <c r="BY42" s="185"/>
      <c r="BZ42" s="185"/>
      <c r="CA42" s="185"/>
      <c r="CB42" s="185"/>
      <c r="CC42" s="185"/>
      <c r="CD42" s="185"/>
      <c r="CE42" s="185"/>
      <c r="CF42" s="185"/>
      <c r="CG42" s="185"/>
      <c r="CH42" s="185"/>
      <c r="CI42" s="185"/>
      <c r="CJ42" s="185"/>
      <c r="CK42" s="185"/>
      <c r="CL42" s="53"/>
      <c r="CM42" s="53"/>
      <c r="CN42" s="176" t="s">
        <v>375</v>
      </c>
      <c r="CO42" s="53"/>
      <c r="CP42" s="350" t="s">
        <v>404</v>
      </c>
      <c r="CQ42" s="228" t="s">
        <v>471</v>
      </c>
      <c r="CR42" s="185"/>
      <c r="CS42" s="228"/>
      <c r="CT42" s="185"/>
      <c r="CU42" s="185"/>
      <c r="CV42" s="185"/>
      <c r="CW42" s="185"/>
      <c r="CX42" s="228" t="s">
        <v>411</v>
      </c>
      <c r="CY42" s="228"/>
      <c r="CZ42" s="185"/>
      <c r="DA42" s="228"/>
      <c r="DB42" s="185"/>
      <c r="DC42" s="185"/>
      <c r="DD42" s="185"/>
      <c r="DE42" s="185"/>
      <c r="DF42" s="185"/>
      <c r="DG42" s="228" t="s">
        <v>419</v>
      </c>
      <c r="DH42" s="185"/>
      <c r="DI42" s="185"/>
      <c r="DJ42" s="185"/>
      <c r="DK42" s="185"/>
      <c r="DL42" s="185"/>
      <c r="DM42" s="185" t="s">
        <v>375</v>
      </c>
      <c r="DN42" s="228"/>
      <c r="DO42" s="228"/>
      <c r="DP42" s="185"/>
      <c r="DQ42" s="185"/>
      <c r="DR42" s="185"/>
      <c r="DS42" s="185"/>
      <c r="DT42" s="185"/>
      <c r="DU42" s="185"/>
      <c r="DV42" s="185"/>
      <c r="DW42" s="185"/>
      <c r="DX42" s="185"/>
      <c r="DY42" s="185"/>
      <c r="DZ42" s="185"/>
      <c r="EA42" s="185"/>
      <c r="EB42" s="185"/>
      <c r="EC42" s="185"/>
      <c r="ED42" s="185"/>
      <c r="EE42" s="185"/>
      <c r="EF42" s="185"/>
      <c r="EG42" s="185"/>
      <c r="EH42" s="185"/>
      <c r="EI42" s="185"/>
      <c r="EJ42" s="185"/>
      <c r="EK42" s="278" t="s">
        <v>404</v>
      </c>
      <c r="EL42" s="243" t="s">
        <v>471</v>
      </c>
      <c r="EM42" s="185"/>
      <c r="EN42" s="185"/>
      <c r="EO42" s="185"/>
      <c r="EP42" s="185"/>
      <c r="EQ42" s="185"/>
      <c r="ER42" s="185"/>
      <c r="ES42" s="185"/>
      <c r="ET42" s="280" t="s">
        <v>411</v>
      </c>
      <c r="EU42" s="185"/>
      <c r="EV42" s="185"/>
      <c r="EW42" s="185"/>
      <c r="EX42" s="185"/>
      <c r="EY42" s="185"/>
      <c r="EZ42" s="185"/>
      <c r="FA42" s="185"/>
      <c r="FB42" s="185"/>
      <c r="FC42" s="185"/>
      <c r="FD42" s="185" t="s">
        <v>375</v>
      </c>
      <c r="FE42" s="185"/>
      <c r="FF42" s="185"/>
      <c r="FG42" s="185"/>
      <c r="FH42" s="185"/>
      <c r="FI42" s="185"/>
      <c r="FJ42" s="185"/>
      <c r="FK42" s="185"/>
      <c r="FL42" s="185"/>
      <c r="FM42" s="185"/>
      <c r="FN42" s="185"/>
      <c r="FO42" s="185"/>
      <c r="FP42" s="185"/>
      <c r="FQ42" s="185"/>
      <c r="FR42" s="185"/>
      <c r="FS42" s="185"/>
      <c r="FT42" s="185"/>
      <c r="FU42" s="185"/>
      <c r="FV42" s="185"/>
      <c r="FW42" s="185"/>
      <c r="FX42" s="185"/>
      <c r="FY42" s="185"/>
      <c r="FZ42" s="185"/>
      <c r="GA42" s="274" t="s">
        <v>419</v>
      </c>
      <c r="GB42" s="185"/>
      <c r="GC42" s="228" t="s">
        <v>404</v>
      </c>
      <c r="GD42" s="185" t="s">
        <v>462</v>
      </c>
      <c r="GE42" s="185" t="s">
        <v>471</v>
      </c>
      <c r="GF42" s="185"/>
      <c r="GG42" s="185"/>
      <c r="GH42" s="185"/>
      <c r="GI42" s="185"/>
      <c r="GJ42" s="185"/>
      <c r="GK42" s="185"/>
      <c r="GL42" s="185" t="s">
        <v>411</v>
      </c>
      <c r="GM42" s="185"/>
      <c r="GN42" s="185" t="s">
        <v>375</v>
      </c>
      <c r="GO42" s="185" t="s">
        <v>386</v>
      </c>
      <c r="GP42" s="185"/>
      <c r="GQ42" s="185"/>
      <c r="GR42" s="185"/>
      <c r="GS42" s="185"/>
      <c r="GT42" s="185"/>
      <c r="GU42" s="185"/>
      <c r="GV42" s="185"/>
      <c r="GW42" s="185"/>
      <c r="GX42" s="185"/>
      <c r="GY42" s="185"/>
      <c r="GZ42" s="185"/>
      <c r="HA42" s="185"/>
      <c r="HB42" s="185"/>
      <c r="HC42" s="185"/>
      <c r="HD42" s="185"/>
      <c r="HE42" s="185"/>
      <c r="HF42" s="185"/>
      <c r="HG42" s="185"/>
      <c r="HH42" s="185"/>
      <c r="HI42" s="185"/>
      <c r="HJ42" s="185"/>
      <c r="HK42" s="185"/>
      <c r="HL42" s="185"/>
      <c r="HM42" s="185"/>
      <c r="HN42" s="185"/>
      <c r="HO42" s="185"/>
      <c r="HP42" s="185"/>
      <c r="HQ42" s="185"/>
      <c r="HR42" s="185"/>
      <c r="HS42" s="228"/>
      <c r="HT42" s="185"/>
      <c r="HU42" s="274" t="s">
        <v>404</v>
      </c>
      <c r="HV42" s="228" t="s">
        <v>462</v>
      </c>
      <c r="HW42" s="228"/>
      <c r="HX42" s="185"/>
      <c r="HY42" s="185"/>
      <c r="HZ42" s="185"/>
      <c r="IA42" s="185"/>
      <c r="IB42" s="185"/>
      <c r="IC42" s="185" t="s">
        <v>471</v>
      </c>
      <c r="ID42" s="185"/>
      <c r="IE42" s="185"/>
      <c r="IF42" s="185"/>
      <c r="IG42" s="185"/>
      <c r="IH42" s="185"/>
      <c r="II42" s="185"/>
      <c r="IJ42" s="185"/>
      <c r="IK42" s="185"/>
      <c r="IL42" s="185"/>
      <c r="IM42" s="185"/>
      <c r="IN42" s="185"/>
      <c r="IO42" s="185"/>
      <c r="IP42" s="185"/>
      <c r="IQ42" s="228"/>
      <c r="IR42" s="185"/>
      <c r="IS42" s="228" t="s">
        <v>423</v>
      </c>
      <c r="IT42" s="185"/>
      <c r="IU42" s="185"/>
      <c r="IV42" s="185"/>
      <c r="IW42" s="185"/>
      <c r="IX42" s="185"/>
      <c r="IY42" s="185"/>
      <c r="IZ42" s="185"/>
      <c r="JA42" s="185"/>
      <c r="JB42" s="185"/>
      <c r="JC42" s="185"/>
      <c r="JD42" s="185"/>
      <c r="JE42" s="185"/>
      <c r="JF42" s="185"/>
      <c r="JG42" s="185"/>
      <c r="JH42" s="185"/>
      <c r="JI42" s="228"/>
      <c r="JJ42" s="228"/>
      <c r="JK42" s="228"/>
      <c r="JL42" s="228"/>
      <c r="JM42" s="228"/>
      <c r="JN42" s="274" t="s">
        <v>462</v>
      </c>
      <c r="JO42" s="228"/>
      <c r="JP42" s="228"/>
      <c r="JQ42" s="228"/>
      <c r="JR42" s="228"/>
      <c r="JS42" s="228"/>
      <c r="JT42" s="228"/>
      <c r="JU42" s="228"/>
      <c r="JV42" s="228"/>
      <c r="JW42" s="228"/>
      <c r="JX42" s="228"/>
      <c r="JY42" s="228"/>
      <c r="JZ42" s="228"/>
      <c r="KA42" s="228"/>
      <c r="KB42" s="228"/>
      <c r="KC42" s="228"/>
      <c r="KD42" s="228"/>
      <c r="KE42" s="228"/>
      <c r="KF42" s="228"/>
      <c r="KG42" s="228"/>
      <c r="KH42" s="228"/>
      <c r="KI42" s="228"/>
      <c r="KJ42" s="228"/>
      <c r="KK42" s="185"/>
      <c r="KL42" s="185"/>
      <c r="KM42" s="185"/>
      <c r="KN42" s="185"/>
      <c r="KO42" s="185"/>
      <c r="KP42" s="185"/>
      <c r="KQ42" s="185"/>
      <c r="KR42" s="185"/>
      <c r="KS42" s="185"/>
      <c r="KT42" s="185"/>
      <c r="KU42" s="185"/>
      <c r="KV42" s="185"/>
      <c r="KW42" s="185"/>
      <c r="KX42" s="185"/>
      <c r="KY42" s="185"/>
      <c r="KZ42" s="185"/>
      <c r="LA42" s="228"/>
      <c r="LB42" s="228"/>
      <c r="LC42" s="228"/>
      <c r="LD42" s="228"/>
      <c r="LE42" s="228"/>
      <c r="LF42" s="233">
        <v>0.656249999999999</v>
      </c>
    </row>
    <row r="43" spans="2:318" ht="10.5" customHeight="1">
      <c r="B43" s="49">
        <v>0.25</v>
      </c>
      <c r="C43" s="49">
        <v>0.25</v>
      </c>
      <c r="D43" s="49">
        <v>0.25</v>
      </c>
      <c r="E43" s="172">
        <v>0.64583333333333337</v>
      </c>
      <c r="F43" s="322" t="s">
        <v>411</v>
      </c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5"/>
      <c r="S43" s="185"/>
      <c r="T43" s="185"/>
      <c r="U43" s="185"/>
      <c r="V43" s="185"/>
      <c r="W43" s="185" t="s">
        <v>375</v>
      </c>
      <c r="X43" s="185"/>
      <c r="Y43" s="185" t="s">
        <v>462</v>
      </c>
      <c r="Z43" s="185" t="s">
        <v>404</v>
      </c>
      <c r="AA43" s="185"/>
      <c r="AB43" s="185"/>
      <c r="AC43" s="185"/>
      <c r="AD43" s="185"/>
      <c r="AE43" s="185"/>
      <c r="AF43" s="185"/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324"/>
      <c r="AR43" s="324"/>
      <c r="AS43" s="324"/>
      <c r="AT43" s="185"/>
      <c r="AU43" s="228" t="s">
        <v>427</v>
      </c>
      <c r="AV43" s="185"/>
      <c r="AW43" s="185"/>
      <c r="AX43" s="185" t="s">
        <v>419</v>
      </c>
      <c r="AY43" s="298" t="s">
        <v>462</v>
      </c>
      <c r="AZ43" s="185" t="s">
        <v>411</v>
      </c>
      <c r="BA43" s="185"/>
      <c r="BB43" s="185"/>
      <c r="BC43" s="185"/>
      <c r="BD43" s="185"/>
      <c r="BE43" s="185"/>
      <c r="BF43" s="185"/>
      <c r="BG43" s="185"/>
      <c r="BH43" s="185"/>
      <c r="BI43" s="185"/>
      <c r="BJ43" s="185"/>
      <c r="BK43" s="185"/>
      <c r="BL43" s="185"/>
      <c r="BM43" s="185"/>
      <c r="BN43" s="185"/>
      <c r="BO43" s="185"/>
      <c r="BP43" s="185"/>
      <c r="BQ43" s="185" t="s">
        <v>386</v>
      </c>
      <c r="BR43" s="185" t="s">
        <v>375</v>
      </c>
      <c r="BS43" s="185"/>
      <c r="BT43" s="185"/>
      <c r="BU43" s="185"/>
      <c r="BV43" s="185"/>
      <c r="BW43" s="185"/>
      <c r="BX43" s="185"/>
      <c r="BY43" s="185"/>
      <c r="BZ43" s="185"/>
      <c r="CA43" s="185"/>
      <c r="CB43" s="185"/>
      <c r="CC43" s="185"/>
      <c r="CD43" s="185"/>
      <c r="CE43" s="185"/>
      <c r="CF43" s="185"/>
      <c r="CG43" s="185"/>
      <c r="CH43" s="185"/>
      <c r="CI43" s="185"/>
      <c r="CJ43" s="185"/>
      <c r="CK43" s="185"/>
      <c r="CL43" s="53"/>
      <c r="CM43" s="53"/>
      <c r="CN43" s="53"/>
      <c r="CO43" s="53"/>
      <c r="CP43" s="350" t="s">
        <v>404</v>
      </c>
      <c r="CQ43" s="228" t="s">
        <v>471</v>
      </c>
      <c r="CR43" s="185"/>
      <c r="CS43" s="185"/>
      <c r="CT43" s="185"/>
      <c r="CU43" s="185"/>
      <c r="CV43" s="185"/>
      <c r="CW43" s="185"/>
      <c r="CX43" s="228"/>
      <c r="CY43" s="228"/>
      <c r="CZ43" s="185"/>
      <c r="DA43" s="228"/>
      <c r="DB43" s="185"/>
      <c r="DC43" s="185"/>
      <c r="DD43" s="185"/>
      <c r="DE43" s="185"/>
      <c r="DF43" s="185"/>
      <c r="DG43" s="185"/>
      <c r="DH43" s="185"/>
      <c r="DI43" s="185"/>
      <c r="DJ43" s="185"/>
      <c r="DK43" s="185"/>
      <c r="DL43" s="185"/>
      <c r="DM43" s="185" t="s">
        <v>375</v>
      </c>
      <c r="DN43" s="185"/>
      <c r="DO43" s="185"/>
      <c r="DP43" s="185"/>
      <c r="DQ43" s="185"/>
      <c r="DR43" s="185"/>
      <c r="DS43" s="185"/>
      <c r="DT43" s="185"/>
      <c r="DU43" s="185"/>
      <c r="DV43" s="185"/>
      <c r="DW43" s="185"/>
      <c r="DX43" s="185"/>
      <c r="DY43" s="185"/>
      <c r="DZ43" s="185"/>
      <c r="EA43" s="185"/>
      <c r="EB43" s="185"/>
      <c r="EC43" s="185"/>
      <c r="ED43" s="185"/>
      <c r="EE43" s="185"/>
      <c r="EF43" s="185"/>
      <c r="EG43" s="185"/>
      <c r="EH43" s="185"/>
      <c r="EI43" s="228" t="s">
        <v>444</v>
      </c>
      <c r="EJ43" s="185"/>
      <c r="EK43" s="186" t="s">
        <v>419</v>
      </c>
      <c r="EL43" s="243" t="s">
        <v>471</v>
      </c>
      <c r="EM43" s="228"/>
      <c r="EN43" s="185"/>
      <c r="EO43" s="185"/>
      <c r="EP43" s="185"/>
      <c r="EQ43" s="185"/>
      <c r="ER43" s="185"/>
      <c r="ES43" s="185"/>
      <c r="ET43" s="185"/>
      <c r="EU43" s="185"/>
      <c r="EV43" s="185"/>
      <c r="EW43" s="185"/>
      <c r="EX43" s="185"/>
      <c r="EY43" s="185"/>
      <c r="EZ43" s="185"/>
      <c r="FA43" s="185" t="s">
        <v>419</v>
      </c>
      <c r="FB43" s="185"/>
      <c r="FC43" s="185"/>
      <c r="FD43" s="185"/>
      <c r="FE43" s="185"/>
      <c r="FF43" s="185"/>
      <c r="FG43" s="185"/>
      <c r="FH43" s="185"/>
      <c r="FI43" s="185"/>
      <c r="FJ43" s="185"/>
      <c r="FK43" s="185"/>
      <c r="FL43" s="185"/>
      <c r="FM43" s="185"/>
      <c r="FN43" s="185"/>
      <c r="FO43" s="185"/>
      <c r="FP43" s="185"/>
      <c r="FQ43" s="185"/>
      <c r="FR43" s="185"/>
      <c r="FS43" s="185"/>
      <c r="FT43" s="185"/>
      <c r="FU43" s="185"/>
      <c r="FV43" s="185"/>
      <c r="FW43" s="185"/>
      <c r="FX43" s="185"/>
      <c r="FY43" s="185"/>
      <c r="FZ43" s="185"/>
      <c r="GA43" s="274" t="s">
        <v>375</v>
      </c>
      <c r="GB43" s="185"/>
      <c r="GC43" s="228" t="s">
        <v>404</v>
      </c>
      <c r="GD43" s="185" t="s">
        <v>471</v>
      </c>
      <c r="GE43" s="185"/>
      <c r="GF43" s="185"/>
      <c r="GG43" s="185"/>
      <c r="GH43" s="185"/>
      <c r="GI43" s="185"/>
      <c r="GJ43" s="185"/>
      <c r="GK43" s="185" t="s">
        <v>462</v>
      </c>
      <c r="GL43" s="185"/>
      <c r="GM43" s="185"/>
      <c r="GN43" s="185"/>
      <c r="GO43" s="185" t="s">
        <v>386</v>
      </c>
      <c r="GP43" s="185"/>
      <c r="GQ43" s="185"/>
      <c r="GR43" s="185"/>
      <c r="GS43" s="185" t="s">
        <v>404</v>
      </c>
      <c r="GT43" s="185"/>
      <c r="GU43" s="185"/>
      <c r="GV43" s="185"/>
      <c r="GW43" s="185"/>
      <c r="GX43" s="185"/>
      <c r="GY43" s="185"/>
      <c r="GZ43" s="185"/>
      <c r="HA43" s="185"/>
      <c r="HB43" s="185"/>
      <c r="HC43" s="185"/>
      <c r="HD43" s="185"/>
      <c r="HE43" s="185"/>
      <c r="HF43" s="185"/>
      <c r="HG43" s="185"/>
      <c r="HH43" s="185"/>
      <c r="HI43" s="185"/>
      <c r="HJ43" s="185"/>
      <c r="HK43" s="185"/>
      <c r="HL43" s="185"/>
      <c r="HM43" s="185"/>
      <c r="HN43" s="185"/>
      <c r="HO43" s="185"/>
      <c r="HP43" s="185"/>
      <c r="HQ43" s="185"/>
      <c r="HR43" s="185"/>
      <c r="HS43" s="274" t="s">
        <v>419</v>
      </c>
      <c r="HT43" s="185"/>
      <c r="HU43" s="274" t="s">
        <v>411</v>
      </c>
      <c r="HV43" s="228" t="s">
        <v>471</v>
      </c>
      <c r="HW43" s="228"/>
      <c r="HX43" s="185"/>
      <c r="HY43" s="185"/>
      <c r="HZ43" s="185"/>
      <c r="IA43" s="185"/>
      <c r="IB43" s="185"/>
      <c r="IC43" s="185" t="s">
        <v>462</v>
      </c>
      <c r="ID43" s="185"/>
      <c r="IE43" s="185"/>
      <c r="IF43" s="185"/>
      <c r="IG43" s="185"/>
      <c r="IH43" s="185"/>
      <c r="II43" s="185"/>
      <c r="IJ43" s="185"/>
      <c r="IK43" s="185"/>
      <c r="IL43" s="185"/>
      <c r="IM43" s="185"/>
      <c r="IN43" s="185"/>
      <c r="IO43" s="185"/>
      <c r="IP43" s="185"/>
      <c r="IQ43" s="228"/>
      <c r="IR43" s="185"/>
      <c r="IS43" s="228" t="s">
        <v>423</v>
      </c>
      <c r="IT43" s="185"/>
      <c r="IU43" s="185"/>
      <c r="IV43" s="185"/>
      <c r="IW43" s="185"/>
      <c r="IX43" s="185"/>
      <c r="IY43" s="185"/>
      <c r="IZ43" s="185"/>
      <c r="JA43" s="185"/>
      <c r="JB43" s="185"/>
      <c r="JC43" s="185"/>
      <c r="JD43" s="185"/>
      <c r="JE43" s="185"/>
      <c r="JF43" s="185"/>
      <c r="JG43" s="185"/>
      <c r="JH43" s="185"/>
      <c r="JI43" s="228" t="s">
        <v>392</v>
      </c>
      <c r="JJ43" s="228"/>
      <c r="JK43" s="228"/>
      <c r="JL43" s="228"/>
      <c r="JM43" s="228"/>
      <c r="JN43" s="274" t="s">
        <v>462</v>
      </c>
      <c r="JO43" s="228"/>
      <c r="JP43" s="228"/>
      <c r="JQ43" s="228"/>
      <c r="JR43" s="228"/>
      <c r="JS43" s="228"/>
      <c r="JT43" s="228"/>
      <c r="JU43" s="228"/>
      <c r="JV43" s="228"/>
      <c r="JW43" s="228"/>
      <c r="JX43" s="228"/>
      <c r="JY43" s="228"/>
      <c r="JZ43" s="228"/>
      <c r="KA43" s="228"/>
      <c r="KB43" s="228"/>
      <c r="KC43" s="228"/>
      <c r="KD43" s="228"/>
      <c r="KE43" s="228"/>
      <c r="KF43" s="228"/>
      <c r="KG43" s="228"/>
      <c r="KH43" s="228"/>
      <c r="KI43" s="228"/>
      <c r="KJ43" s="228"/>
      <c r="KK43" s="185"/>
      <c r="KL43" s="185"/>
      <c r="KM43" s="185"/>
      <c r="KN43" s="185"/>
      <c r="KO43" s="185"/>
      <c r="KP43" s="185"/>
      <c r="KQ43" s="185"/>
      <c r="KR43" s="185"/>
      <c r="KS43" s="185"/>
      <c r="KT43" s="185"/>
      <c r="KU43" s="185"/>
      <c r="KV43" s="185"/>
      <c r="KW43" s="185"/>
      <c r="KX43" s="185"/>
      <c r="KY43" s="185"/>
      <c r="KZ43" s="185"/>
      <c r="LA43" s="228"/>
      <c r="LB43" s="228"/>
      <c r="LC43" s="228"/>
      <c r="LD43" s="228"/>
      <c r="LE43" s="228"/>
      <c r="LF43" s="233">
        <v>0.66666666666666596</v>
      </c>
    </row>
    <row r="44" spans="2:318" ht="10.5" customHeight="1">
      <c r="B44" s="49">
        <v>0.25</v>
      </c>
      <c r="C44" s="49">
        <v>0.25</v>
      </c>
      <c r="D44" s="49">
        <v>0.25</v>
      </c>
      <c r="E44" s="172">
        <v>0.65625</v>
      </c>
      <c r="F44" s="322" t="s">
        <v>411</v>
      </c>
      <c r="G44" s="185"/>
      <c r="H44" s="185"/>
      <c r="I44" s="185"/>
      <c r="J44" s="185"/>
      <c r="K44" s="185"/>
      <c r="L44" s="185"/>
      <c r="M44" s="185"/>
      <c r="N44" s="185"/>
      <c r="O44" s="185"/>
      <c r="P44" s="185"/>
      <c r="Q44" s="185"/>
      <c r="R44" s="185"/>
      <c r="S44" s="185"/>
      <c r="T44" s="185"/>
      <c r="U44" s="185"/>
      <c r="V44" s="185"/>
      <c r="W44" s="185" t="s">
        <v>375</v>
      </c>
      <c r="X44" s="185"/>
      <c r="Y44" s="185"/>
      <c r="Z44" s="185" t="s">
        <v>404</v>
      </c>
      <c r="AA44" s="185"/>
      <c r="AB44" s="185"/>
      <c r="AC44" s="185"/>
      <c r="AD44" s="185"/>
      <c r="AE44" s="185"/>
      <c r="AF44" s="185"/>
      <c r="AG44" s="185"/>
      <c r="AH44" s="185"/>
      <c r="AI44" s="185"/>
      <c r="AJ44" s="185"/>
      <c r="AK44" s="185"/>
      <c r="AL44" s="185"/>
      <c r="AM44" s="185"/>
      <c r="AN44" s="185"/>
      <c r="AO44" s="185"/>
      <c r="AP44" s="185"/>
      <c r="AQ44" s="324"/>
      <c r="AR44" s="324"/>
      <c r="AS44" s="324"/>
      <c r="AT44" s="185"/>
      <c r="AU44" s="228" t="s">
        <v>427</v>
      </c>
      <c r="AV44" s="185"/>
      <c r="AW44" s="185"/>
      <c r="AX44" s="185" t="s">
        <v>419</v>
      </c>
      <c r="AY44" s="298" t="s">
        <v>462</v>
      </c>
      <c r="AZ44" s="185"/>
      <c r="BA44" s="185"/>
      <c r="BB44" s="185"/>
      <c r="BC44" s="185"/>
      <c r="BD44" s="185"/>
      <c r="BE44" s="185"/>
      <c r="BF44" s="185"/>
      <c r="BG44" s="185"/>
      <c r="BH44" s="185"/>
      <c r="BI44" s="185"/>
      <c r="BJ44" s="185"/>
      <c r="BK44" s="185"/>
      <c r="BL44" s="185"/>
      <c r="BM44" s="185"/>
      <c r="BN44" s="185"/>
      <c r="BO44" s="185" t="s">
        <v>411</v>
      </c>
      <c r="BP44" s="185"/>
      <c r="BQ44" s="185" t="s">
        <v>386</v>
      </c>
      <c r="BR44" s="185" t="s">
        <v>375</v>
      </c>
      <c r="BS44" s="185"/>
      <c r="BT44" s="185"/>
      <c r="BU44" s="185"/>
      <c r="BV44" s="185"/>
      <c r="BW44" s="185"/>
      <c r="BX44" s="185"/>
      <c r="BY44" s="185"/>
      <c r="BZ44" s="185"/>
      <c r="CA44" s="185"/>
      <c r="CB44" s="185"/>
      <c r="CC44" s="185"/>
      <c r="CD44" s="185"/>
      <c r="CE44" s="185"/>
      <c r="CF44" s="185"/>
      <c r="CG44" s="185"/>
      <c r="CH44" s="185"/>
      <c r="CI44" s="185"/>
      <c r="CJ44" s="185"/>
      <c r="CK44" s="185"/>
      <c r="CL44" s="53"/>
      <c r="CM44" s="53"/>
      <c r="CN44" s="53"/>
      <c r="CO44" s="53"/>
      <c r="CP44" s="350" t="s">
        <v>404</v>
      </c>
      <c r="CQ44" s="228" t="s">
        <v>471</v>
      </c>
      <c r="CR44" s="185"/>
      <c r="CS44" s="185"/>
      <c r="CT44" s="185"/>
      <c r="CU44" s="185"/>
      <c r="CV44" s="185"/>
      <c r="CW44" s="185"/>
      <c r="CX44" s="228"/>
      <c r="CY44" s="228"/>
      <c r="CZ44" s="185"/>
      <c r="DA44" s="228"/>
      <c r="DB44" s="185"/>
      <c r="DC44" s="185"/>
      <c r="DD44" s="185"/>
      <c r="DE44" s="185"/>
      <c r="DF44" s="185" t="s">
        <v>411</v>
      </c>
      <c r="DG44" s="185"/>
      <c r="DH44" s="185"/>
      <c r="DI44" s="185"/>
      <c r="DJ44" s="185"/>
      <c r="DK44" s="185"/>
      <c r="DL44" s="185"/>
      <c r="DM44" s="185" t="s">
        <v>375</v>
      </c>
      <c r="DN44" s="185"/>
      <c r="DO44" s="185"/>
      <c r="DP44" s="185"/>
      <c r="DQ44" s="185"/>
      <c r="DR44" s="185"/>
      <c r="DS44" s="185"/>
      <c r="DT44" s="185"/>
      <c r="DU44" s="185"/>
      <c r="DV44" s="185"/>
      <c r="DW44" s="185"/>
      <c r="DX44" s="185"/>
      <c r="DY44" s="185"/>
      <c r="DZ44" s="185"/>
      <c r="EA44" s="185"/>
      <c r="EB44" s="185"/>
      <c r="EC44" s="185"/>
      <c r="ED44" s="185"/>
      <c r="EE44" s="185"/>
      <c r="EF44" s="185"/>
      <c r="EG44" s="185"/>
      <c r="EH44" s="185"/>
      <c r="EI44" s="228" t="s">
        <v>444</v>
      </c>
      <c r="EJ44" s="185"/>
      <c r="EK44" s="186" t="s">
        <v>419</v>
      </c>
      <c r="EL44" s="243" t="s">
        <v>471</v>
      </c>
      <c r="EM44" s="228" t="s">
        <v>419</v>
      </c>
      <c r="EN44" s="185"/>
      <c r="EO44" s="185"/>
      <c r="EP44" s="185"/>
      <c r="EQ44" s="185"/>
      <c r="ER44" s="185"/>
      <c r="ES44" s="185"/>
      <c r="ET44" s="185"/>
      <c r="EU44" s="185"/>
      <c r="EV44" s="185"/>
      <c r="EW44" s="185"/>
      <c r="EX44" s="185"/>
      <c r="EY44" s="185"/>
      <c r="EZ44" s="185"/>
      <c r="FA44" s="185"/>
      <c r="FB44" s="185"/>
      <c r="FC44" s="185"/>
      <c r="FD44" s="185"/>
      <c r="FE44" s="185"/>
      <c r="FF44" s="185"/>
      <c r="FG44" s="185"/>
      <c r="FH44" s="185"/>
      <c r="FI44" s="185"/>
      <c r="FJ44" s="185"/>
      <c r="FK44" s="185"/>
      <c r="FL44" s="185"/>
      <c r="FM44" s="185"/>
      <c r="FN44" s="185"/>
      <c r="FO44" s="185"/>
      <c r="FP44" s="185"/>
      <c r="FQ44" s="185"/>
      <c r="FR44" s="185"/>
      <c r="FS44" s="185"/>
      <c r="FT44" s="185"/>
      <c r="FU44" s="185"/>
      <c r="FV44" s="185"/>
      <c r="FW44" s="185"/>
      <c r="FX44" s="185"/>
      <c r="FY44" s="185"/>
      <c r="FZ44" s="185"/>
      <c r="GA44" s="274" t="s">
        <v>375</v>
      </c>
      <c r="GB44" s="185"/>
      <c r="GC44" s="228" t="s">
        <v>404</v>
      </c>
      <c r="GD44" s="185" t="s">
        <v>471</v>
      </c>
      <c r="GE44" s="185"/>
      <c r="GF44" s="185"/>
      <c r="GG44" s="185"/>
      <c r="GH44" s="185"/>
      <c r="GI44" s="185"/>
      <c r="GJ44" s="185"/>
      <c r="GK44" s="185" t="s">
        <v>462</v>
      </c>
      <c r="GL44" s="185"/>
      <c r="GM44" s="185"/>
      <c r="GN44" s="185"/>
      <c r="GO44" s="185" t="s">
        <v>386</v>
      </c>
      <c r="GP44" s="185"/>
      <c r="GQ44" s="185"/>
      <c r="GR44" s="185"/>
      <c r="GS44" s="185"/>
      <c r="GT44" s="185"/>
      <c r="GU44" s="185"/>
      <c r="GV44" s="185"/>
      <c r="GW44" s="185"/>
      <c r="GX44" s="185"/>
      <c r="GY44" s="185" t="s">
        <v>404</v>
      </c>
      <c r="GZ44" s="185"/>
      <c r="HA44" s="185"/>
      <c r="HB44" s="185"/>
      <c r="HC44" s="185"/>
      <c r="HD44" s="185"/>
      <c r="HE44" s="185"/>
      <c r="HF44" s="185"/>
      <c r="HG44" s="185"/>
      <c r="HH44" s="185"/>
      <c r="HI44" s="185"/>
      <c r="HJ44" s="185"/>
      <c r="HK44" s="185"/>
      <c r="HL44" s="185"/>
      <c r="HM44" s="185"/>
      <c r="HN44" s="185"/>
      <c r="HO44" s="185"/>
      <c r="HP44" s="185"/>
      <c r="HQ44" s="185"/>
      <c r="HR44" s="185"/>
      <c r="HS44" s="274" t="s">
        <v>419</v>
      </c>
      <c r="HT44" s="185"/>
      <c r="HU44" s="274" t="s">
        <v>411</v>
      </c>
      <c r="HV44" s="228" t="s">
        <v>471</v>
      </c>
      <c r="HW44" s="228"/>
      <c r="HX44" s="185"/>
      <c r="HY44" s="185"/>
      <c r="HZ44" s="185"/>
      <c r="IA44" s="185"/>
      <c r="IB44" s="185"/>
      <c r="IC44" s="228" t="s">
        <v>462</v>
      </c>
      <c r="ID44" s="228"/>
      <c r="IE44" s="228"/>
      <c r="IF44" s="185"/>
      <c r="IG44" s="228"/>
      <c r="IH44" s="228"/>
      <c r="II44" s="228"/>
      <c r="IJ44" s="228"/>
      <c r="IK44" s="185"/>
      <c r="IL44" s="185"/>
      <c r="IM44" s="185"/>
      <c r="IN44" s="185"/>
      <c r="IO44" s="185"/>
      <c r="IP44" s="185"/>
      <c r="IQ44" s="228"/>
      <c r="IR44" s="185"/>
      <c r="IS44" s="228" t="s">
        <v>423</v>
      </c>
      <c r="IT44" s="185" t="s">
        <v>379</v>
      </c>
      <c r="IU44" s="185"/>
      <c r="IV44" s="185"/>
      <c r="IW44" s="185"/>
      <c r="IX44" s="185"/>
      <c r="IY44" s="185"/>
      <c r="IZ44" s="185"/>
      <c r="JA44" s="185"/>
      <c r="JB44" s="185"/>
      <c r="JC44" s="185"/>
      <c r="JD44" s="185"/>
      <c r="JE44" s="185"/>
      <c r="JF44" s="185"/>
      <c r="JG44" s="185"/>
      <c r="JH44" s="185"/>
      <c r="JI44" s="228" t="s">
        <v>392</v>
      </c>
      <c r="JJ44" s="228"/>
      <c r="JK44" s="228"/>
      <c r="JL44" s="228"/>
      <c r="JM44" s="228"/>
      <c r="JN44" s="274" t="s">
        <v>462</v>
      </c>
      <c r="JO44" s="228"/>
      <c r="JP44" s="228"/>
      <c r="JQ44" s="228"/>
      <c r="JR44" s="228"/>
      <c r="JS44" s="228"/>
      <c r="JT44" s="228"/>
      <c r="JU44" s="228"/>
      <c r="JV44" s="228"/>
      <c r="JW44" s="228"/>
      <c r="JX44" s="228"/>
      <c r="JY44" s="228"/>
      <c r="JZ44" s="228"/>
      <c r="KA44" s="228"/>
      <c r="KB44" s="228"/>
      <c r="KC44" s="228"/>
      <c r="KD44" s="228"/>
      <c r="KE44" s="228"/>
      <c r="KF44" s="228"/>
      <c r="KG44" s="228"/>
      <c r="KH44" s="228"/>
      <c r="KI44" s="228"/>
      <c r="KJ44" s="228"/>
      <c r="KK44" s="185"/>
      <c r="KL44" s="185"/>
      <c r="KM44" s="185"/>
      <c r="KN44" s="185"/>
      <c r="KO44" s="185"/>
      <c r="KP44" s="185"/>
      <c r="KQ44" s="185"/>
      <c r="KR44" s="185"/>
      <c r="KS44" s="185"/>
      <c r="KT44" s="185"/>
      <c r="KU44" s="185"/>
      <c r="KV44" s="185"/>
      <c r="KW44" s="185"/>
      <c r="KX44" s="185"/>
      <c r="KY44" s="185"/>
      <c r="KZ44" s="185"/>
      <c r="LA44" s="228"/>
      <c r="LB44" s="228"/>
      <c r="LC44" s="228"/>
      <c r="LD44" s="228"/>
      <c r="LE44" s="228"/>
      <c r="LF44" s="233">
        <v>0.67708333333333204</v>
      </c>
    </row>
    <row r="45" spans="2:318" ht="10.5" customHeight="1">
      <c r="B45" s="49">
        <v>0.25</v>
      </c>
      <c r="C45" s="49">
        <v>0.25</v>
      </c>
      <c r="D45" s="49">
        <v>0.25</v>
      </c>
      <c r="E45" s="172">
        <v>0.66666666666666663</v>
      </c>
      <c r="F45" s="322" t="s">
        <v>411</v>
      </c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5"/>
      <c r="S45" s="185"/>
      <c r="T45" s="185"/>
      <c r="U45" s="185"/>
      <c r="V45" s="185"/>
      <c r="W45" s="185" t="s">
        <v>375</v>
      </c>
      <c r="X45" s="185"/>
      <c r="Y45" s="185"/>
      <c r="Z45" s="185" t="s">
        <v>404</v>
      </c>
      <c r="AA45" s="185"/>
      <c r="AB45" s="185"/>
      <c r="AC45" s="185"/>
      <c r="AD45" s="185"/>
      <c r="AE45" s="185"/>
      <c r="AF45" s="185"/>
      <c r="AG45" s="185"/>
      <c r="AH45" s="185"/>
      <c r="AI45" s="185"/>
      <c r="AJ45" s="185"/>
      <c r="AK45" s="185"/>
      <c r="AL45" s="185"/>
      <c r="AM45" s="185"/>
      <c r="AN45" s="185"/>
      <c r="AO45" s="185"/>
      <c r="AP45" s="185"/>
      <c r="AQ45" s="324"/>
      <c r="AR45" s="324"/>
      <c r="AS45" s="324"/>
      <c r="AT45" s="185"/>
      <c r="AU45" s="228" t="s">
        <v>427</v>
      </c>
      <c r="AV45" s="185"/>
      <c r="AW45" s="185"/>
      <c r="AX45" s="185" t="s">
        <v>419</v>
      </c>
      <c r="AY45" s="185" t="s">
        <v>471</v>
      </c>
      <c r="AZ45" s="185"/>
      <c r="BA45" s="228"/>
      <c r="BB45" s="185"/>
      <c r="BC45" s="185"/>
      <c r="BD45" s="185"/>
      <c r="BE45" s="185"/>
      <c r="BF45" s="185"/>
      <c r="BG45" s="185"/>
      <c r="BH45" s="228"/>
      <c r="BI45" s="185"/>
      <c r="BJ45" s="185" t="s">
        <v>386</v>
      </c>
      <c r="BK45" s="185"/>
      <c r="BL45" s="185"/>
      <c r="BM45" s="185"/>
      <c r="BN45" s="185"/>
      <c r="BO45" s="185"/>
      <c r="BP45" s="185"/>
      <c r="BQ45" s="185"/>
      <c r="BR45" s="185" t="s">
        <v>375</v>
      </c>
      <c r="BS45" s="185"/>
      <c r="BT45" s="185"/>
      <c r="BU45" s="185"/>
      <c r="BV45" s="185"/>
      <c r="BW45" s="185"/>
      <c r="BX45" s="185"/>
      <c r="BY45" s="185"/>
      <c r="BZ45" s="185"/>
      <c r="CA45" s="185"/>
      <c r="CB45" s="185"/>
      <c r="CC45" s="185"/>
      <c r="CD45" s="185"/>
      <c r="CE45" s="185"/>
      <c r="CF45" s="185"/>
      <c r="CG45" s="185"/>
      <c r="CH45" s="185"/>
      <c r="CI45" s="185"/>
      <c r="CJ45" s="185"/>
      <c r="CK45" s="185"/>
      <c r="CL45" s="53"/>
      <c r="CM45" s="276" t="s">
        <v>411</v>
      </c>
      <c r="CN45" s="53"/>
      <c r="CO45" s="185"/>
      <c r="CP45" s="350" t="s">
        <v>404</v>
      </c>
      <c r="CQ45" s="185" t="s">
        <v>375</v>
      </c>
      <c r="CR45" s="185"/>
      <c r="CS45" s="185"/>
      <c r="CT45" s="185"/>
      <c r="CU45" s="185"/>
      <c r="CV45" s="185"/>
      <c r="CW45" s="185"/>
      <c r="CX45" s="185"/>
      <c r="CY45" s="185"/>
      <c r="CZ45" s="185"/>
      <c r="DA45" s="185"/>
      <c r="DB45" s="185"/>
      <c r="DC45" s="185"/>
      <c r="DD45" s="185"/>
      <c r="DE45" s="185"/>
      <c r="DF45" s="185"/>
      <c r="DG45" s="185"/>
      <c r="DH45" s="185"/>
      <c r="DI45" s="185"/>
      <c r="DJ45" s="185"/>
      <c r="DK45" s="185"/>
      <c r="DL45" s="185"/>
      <c r="DM45" s="185"/>
      <c r="DN45" s="185"/>
      <c r="DO45" s="185"/>
      <c r="DP45" s="185"/>
      <c r="DQ45" s="185"/>
      <c r="DR45" s="185"/>
      <c r="DS45" s="185"/>
      <c r="DT45" s="185"/>
      <c r="DU45" s="185"/>
      <c r="DV45" s="185"/>
      <c r="DW45" s="185"/>
      <c r="DX45" s="185"/>
      <c r="DY45" s="185"/>
      <c r="DZ45" s="185"/>
      <c r="EA45" s="185"/>
      <c r="EB45" s="185"/>
      <c r="EC45" s="185"/>
      <c r="ED45" s="185"/>
      <c r="EE45" s="185"/>
      <c r="EF45" s="185"/>
      <c r="EG45" s="185"/>
      <c r="EH45" s="274" t="s">
        <v>411</v>
      </c>
      <c r="EI45" s="228" t="s">
        <v>444</v>
      </c>
      <c r="EJ45" s="185"/>
      <c r="EK45" s="186" t="s">
        <v>419</v>
      </c>
      <c r="EL45" s="185" t="s">
        <v>419</v>
      </c>
      <c r="EM45" s="228"/>
      <c r="EN45" s="185"/>
      <c r="EO45" s="185"/>
      <c r="EP45" s="185"/>
      <c r="EQ45" s="185"/>
      <c r="ER45" s="185"/>
      <c r="ES45" s="185"/>
      <c r="ET45" s="185" t="s">
        <v>471</v>
      </c>
      <c r="EU45" s="185"/>
      <c r="EV45" s="185"/>
      <c r="EW45" s="185"/>
      <c r="EX45" s="185"/>
      <c r="EY45" s="185"/>
      <c r="EZ45" s="185"/>
      <c r="FA45" s="185"/>
      <c r="FB45" s="185"/>
      <c r="FC45" s="185"/>
      <c r="FD45" s="185"/>
      <c r="FE45" s="185"/>
      <c r="FF45" s="185"/>
      <c r="FG45" s="185"/>
      <c r="FH45" s="185"/>
      <c r="FI45" s="185"/>
      <c r="FJ45" s="185"/>
      <c r="FK45" s="185"/>
      <c r="FL45" s="185"/>
      <c r="FM45" s="185"/>
      <c r="FN45" s="185"/>
      <c r="FO45" s="185"/>
      <c r="FP45" s="185"/>
      <c r="FQ45" s="185"/>
      <c r="FR45" s="185"/>
      <c r="FS45" s="185"/>
      <c r="FT45" s="185"/>
      <c r="FU45" s="185"/>
      <c r="FV45" s="185"/>
      <c r="FW45" s="185"/>
      <c r="FX45" s="185"/>
      <c r="FY45" s="228"/>
      <c r="FZ45" s="228"/>
      <c r="GA45" s="274" t="s">
        <v>375</v>
      </c>
      <c r="GB45" s="185"/>
      <c r="GC45" s="228" t="s">
        <v>404</v>
      </c>
      <c r="GD45" s="185" t="s">
        <v>471</v>
      </c>
      <c r="GE45" s="185"/>
      <c r="GF45" s="185"/>
      <c r="GG45" s="185"/>
      <c r="GH45" s="185"/>
      <c r="GI45" s="185"/>
      <c r="GJ45" s="185"/>
      <c r="GK45" s="185" t="s">
        <v>462</v>
      </c>
      <c r="GL45" s="185"/>
      <c r="GM45" s="185"/>
      <c r="GN45" s="185"/>
      <c r="GO45" s="185"/>
      <c r="GP45" s="185"/>
      <c r="GQ45" s="185"/>
      <c r="GR45" s="185"/>
      <c r="GS45" s="185"/>
      <c r="GT45" s="185"/>
      <c r="GU45" s="185"/>
      <c r="GV45" s="185"/>
      <c r="GW45" s="185"/>
      <c r="GX45" s="185"/>
      <c r="GY45" s="185" t="s">
        <v>404</v>
      </c>
      <c r="GZ45" s="185"/>
      <c r="HA45" s="185"/>
      <c r="HB45" s="185"/>
      <c r="HC45" s="185"/>
      <c r="HD45" s="185"/>
      <c r="HE45" s="185"/>
      <c r="HF45" s="185"/>
      <c r="HG45" s="185"/>
      <c r="HH45" s="185"/>
      <c r="HI45" s="185"/>
      <c r="HJ45" s="185"/>
      <c r="HK45" s="185"/>
      <c r="HL45" s="185"/>
      <c r="HM45" s="185"/>
      <c r="HN45" s="185"/>
      <c r="HO45" s="185"/>
      <c r="HP45" s="185"/>
      <c r="HQ45" s="185"/>
      <c r="HR45" s="185"/>
      <c r="HS45" s="274" t="s">
        <v>419</v>
      </c>
      <c r="HT45" s="185"/>
      <c r="HU45" s="274" t="s">
        <v>411</v>
      </c>
      <c r="HV45" s="228" t="s">
        <v>462</v>
      </c>
      <c r="HW45" s="228"/>
      <c r="HX45" s="185"/>
      <c r="HY45" s="185"/>
      <c r="HZ45" s="185"/>
      <c r="IA45" s="185"/>
      <c r="IB45" s="185"/>
      <c r="IC45" s="228" t="s">
        <v>471</v>
      </c>
      <c r="ID45" s="228"/>
      <c r="IE45" s="228"/>
      <c r="IF45" s="185"/>
      <c r="IG45" s="228"/>
      <c r="IH45" s="228"/>
      <c r="II45" s="228"/>
      <c r="IJ45" s="228"/>
      <c r="IK45" s="185"/>
      <c r="IL45" s="185"/>
      <c r="IM45" s="185"/>
      <c r="IN45" s="185"/>
      <c r="IO45" s="185"/>
      <c r="IP45" s="185"/>
      <c r="IQ45" s="228"/>
      <c r="IR45" s="185"/>
      <c r="IS45" s="228" t="s">
        <v>423</v>
      </c>
      <c r="IT45" s="185" t="s">
        <v>379</v>
      </c>
      <c r="IU45" s="185"/>
      <c r="IV45" s="185"/>
      <c r="IW45" s="185"/>
      <c r="IX45" s="185"/>
      <c r="IY45" s="185"/>
      <c r="IZ45" s="185"/>
      <c r="JA45" s="185"/>
      <c r="JB45" s="185"/>
      <c r="JC45" s="185"/>
      <c r="JD45" s="185"/>
      <c r="JE45" s="185"/>
      <c r="JF45" s="185"/>
      <c r="JG45" s="185"/>
      <c r="JH45" s="185"/>
      <c r="JI45" s="228" t="s">
        <v>392</v>
      </c>
      <c r="JJ45" s="228"/>
      <c r="JK45" s="228"/>
      <c r="JL45" s="228"/>
      <c r="JM45" s="228"/>
      <c r="JN45" s="274" t="s">
        <v>462</v>
      </c>
      <c r="JO45" s="228"/>
      <c r="JP45" s="228"/>
      <c r="JQ45" s="228"/>
      <c r="JR45" s="228"/>
      <c r="JS45" s="228"/>
      <c r="JT45" s="228"/>
      <c r="JU45" s="228"/>
      <c r="JV45" s="228"/>
      <c r="JW45" s="228"/>
      <c r="JX45" s="228"/>
      <c r="JY45" s="228"/>
      <c r="JZ45" s="228"/>
      <c r="KA45" s="228"/>
      <c r="KB45" s="228"/>
      <c r="KC45" s="228"/>
      <c r="KD45" s="228"/>
      <c r="KE45" s="228"/>
      <c r="KF45" s="228"/>
      <c r="KG45" s="228"/>
      <c r="KH45" s="228"/>
      <c r="KI45" s="228"/>
      <c r="KJ45" s="228"/>
      <c r="KK45" s="185"/>
      <c r="KL45" s="185"/>
      <c r="KM45" s="185"/>
      <c r="KN45" s="185"/>
      <c r="KO45" s="185"/>
      <c r="KP45" s="185"/>
      <c r="KQ45" s="185"/>
      <c r="KR45" s="185"/>
      <c r="KS45" s="185"/>
      <c r="KT45" s="185"/>
      <c r="KU45" s="185"/>
      <c r="KV45" s="185"/>
      <c r="KW45" s="185"/>
      <c r="KX45" s="185"/>
      <c r="KY45" s="185"/>
      <c r="KZ45" s="185"/>
      <c r="LA45" s="228"/>
      <c r="LB45" s="228"/>
      <c r="LC45" s="228"/>
      <c r="LD45" s="228"/>
      <c r="LE45" s="228"/>
      <c r="LF45" s="233">
        <v>0.687499999999999</v>
      </c>
    </row>
    <row r="46" spans="2:318" ht="10.5" customHeight="1">
      <c r="B46" s="49">
        <v>0.25</v>
      </c>
      <c r="C46" s="49">
        <v>0.25</v>
      </c>
      <c r="D46" s="49">
        <v>0.25</v>
      </c>
      <c r="E46" s="172">
        <v>0.67708333333333337</v>
      </c>
      <c r="F46" s="322" t="s">
        <v>411</v>
      </c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R46" s="185"/>
      <c r="S46" s="185"/>
      <c r="T46" s="185"/>
      <c r="U46" s="185"/>
      <c r="V46" s="185"/>
      <c r="W46" s="185" t="s">
        <v>375</v>
      </c>
      <c r="X46" s="185"/>
      <c r="Y46" s="185"/>
      <c r="Z46" s="185" t="s">
        <v>404</v>
      </c>
      <c r="AA46" s="185"/>
      <c r="AB46" s="185"/>
      <c r="AC46" s="185"/>
      <c r="AD46" s="185"/>
      <c r="AE46" s="185"/>
      <c r="AF46" s="185"/>
      <c r="AG46" s="185"/>
      <c r="AH46" s="185"/>
      <c r="AI46" s="185"/>
      <c r="AJ46" s="185"/>
      <c r="AK46" s="185"/>
      <c r="AL46" s="185"/>
      <c r="AM46" s="185"/>
      <c r="AN46" s="185"/>
      <c r="AO46" s="185"/>
      <c r="AP46" s="185"/>
      <c r="AQ46" s="324"/>
      <c r="AR46" s="324"/>
      <c r="AS46" s="324"/>
      <c r="AT46" s="185"/>
      <c r="AU46" s="228" t="s">
        <v>427</v>
      </c>
      <c r="AV46" s="185"/>
      <c r="AW46" s="185"/>
      <c r="AX46" s="185" t="s">
        <v>419</v>
      </c>
      <c r="AY46" s="185" t="s">
        <v>471</v>
      </c>
      <c r="AZ46" s="185"/>
      <c r="BA46" s="228"/>
      <c r="BB46" s="185"/>
      <c r="BC46" s="185"/>
      <c r="BD46" s="185"/>
      <c r="BE46" s="185"/>
      <c r="BF46" s="185"/>
      <c r="BG46" s="185"/>
      <c r="BH46" s="228"/>
      <c r="BI46" s="185"/>
      <c r="BJ46" s="185" t="s">
        <v>386</v>
      </c>
      <c r="BK46" s="185"/>
      <c r="BL46" s="185"/>
      <c r="BM46" s="185"/>
      <c r="BN46" s="185"/>
      <c r="BO46" s="185"/>
      <c r="BP46" s="185"/>
      <c r="BQ46" s="185"/>
      <c r="BR46" s="185" t="s">
        <v>375</v>
      </c>
      <c r="BS46" s="185"/>
      <c r="BT46" s="185"/>
      <c r="BU46" s="185"/>
      <c r="BV46" s="185"/>
      <c r="BW46" s="185"/>
      <c r="BX46" s="185"/>
      <c r="BY46" s="185"/>
      <c r="BZ46" s="185"/>
      <c r="CA46" s="185"/>
      <c r="CB46" s="185"/>
      <c r="CC46" s="185"/>
      <c r="CD46" s="185"/>
      <c r="CE46" s="185"/>
      <c r="CF46" s="185"/>
      <c r="CG46" s="185"/>
      <c r="CH46" s="185"/>
      <c r="CI46" s="185"/>
      <c r="CJ46" s="185"/>
      <c r="CK46" s="185"/>
      <c r="CL46" s="53"/>
      <c r="CM46" s="276" t="s">
        <v>411</v>
      </c>
      <c r="CN46" s="53"/>
      <c r="CO46" s="185"/>
      <c r="CP46" s="350" t="s">
        <v>404</v>
      </c>
      <c r="CQ46" s="185" t="s">
        <v>375</v>
      </c>
      <c r="CR46" s="185"/>
      <c r="CS46" s="185"/>
      <c r="CT46" s="185"/>
      <c r="CU46" s="185"/>
      <c r="CV46" s="185"/>
      <c r="CW46" s="185"/>
      <c r="CX46" s="185"/>
      <c r="CY46" s="185"/>
      <c r="CZ46" s="185"/>
      <c r="DA46" s="185"/>
      <c r="DB46" s="185"/>
      <c r="DC46" s="185"/>
      <c r="DD46" s="185"/>
      <c r="DE46" s="185"/>
      <c r="DF46" s="185"/>
      <c r="DG46" s="185"/>
      <c r="DH46" s="185"/>
      <c r="DI46" s="185"/>
      <c r="DJ46" s="185"/>
      <c r="DK46" s="185"/>
      <c r="DL46" s="185"/>
      <c r="DM46" s="185"/>
      <c r="DN46" s="185"/>
      <c r="DO46" s="185"/>
      <c r="DP46" s="185"/>
      <c r="DQ46" s="185"/>
      <c r="DR46" s="185"/>
      <c r="DS46" s="185"/>
      <c r="DT46" s="185"/>
      <c r="DU46" s="185"/>
      <c r="DV46" s="185"/>
      <c r="DW46" s="185"/>
      <c r="DX46" s="185"/>
      <c r="DY46" s="185"/>
      <c r="DZ46" s="185"/>
      <c r="EA46" s="185"/>
      <c r="EB46" s="185"/>
      <c r="EC46" s="185"/>
      <c r="ED46" s="185"/>
      <c r="EE46" s="185"/>
      <c r="EF46" s="185"/>
      <c r="EG46" s="185"/>
      <c r="EH46" s="274" t="s">
        <v>411</v>
      </c>
      <c r="EI46" s="228" t="s">
        <v>444</v>
      </c>
      <c r="EJ46" s="185"/>
      <c r="EK46" s="186" t="s">
        <v>419</v>
      </c>
      <c r="EL46" s="185" t="s">
        <v>419</v>
      </c>
      <c r="EM46" s="228"/>
      <c r="EN46" s="185"/>
      <c r="EO46" s="185"/>
      <c r="EP46" s="185"/>
      <c r="EQ46" s="185"/>
      <c r="ER46" s="185"/>
      <c r="ES46" s="185"/>
      <c r="ET46" s="185" t="s">
        <v>471</v>
      </c>
      <c r="EU46" s="185"/>
      <c r="EV46" s="185"/>
      <c r="EW46" s="185"/>
      <c r="EX46" s="185"/>
      <c r="EY46" s="185"/>
      <c r="EZ46" s="185"/>
      <c r="FA46" s="185"/>
      <c r="FB46" s="185"/>
      <c r="FC46" s="185"/>
      <c r="FD46" s="185"/>
      <c r="FE46" s="185"/>
      <c r="FF46" s="185"/>
      <c r="FG46" s="185"/>
      <c r="FH46" s="185"/>
      <c r="FI46" s="185"/>
      <c r="FJ46" s="185"/>
      <c r="FK46" s="185"/>
      <c r="FL46" s="185"/>
      <c r="FM46" s="185"/>
      <c r="FN46" s="185"/>
      <c r="FO46" s="185"/>
      <c r="FP46" s="185"/>
      <c r="FQ46" s="185"/>
      <c r="FR46" s="185"/>
      <c r="FS46" s="185"/>
      <c r="FT46" s="185"/>
      <c r="FU46" s="185"/>
      <c r="FV46" s="185"/>
      <c r="FW46" s="185"/>
      <c r="FX46" s="185"/>
      <c r="FY46" s="228"/>
      <c r="FZ46" s="228"/>
      <c r="GA46" s="274" t="s">
        <v>375</v>
      </c>
      <c r="GB46" s="185"/>
      <c r="GC46" s="228" t="s">
        <v>404</v>
      </c>
      <c r="GD46" s="185" t="s">
        <v>471</v>
      </c>
      <c r="GE46" s="185"/>
      <c r="GF46" s="185"/>
      <c r="GG46" s="185"/>
      <c r="GH46" s="185"/>
      <c r="GI46" s="185"/>
      <c r="GJ46" s="185"/>
      <c r="GK46" s="185" t="s">
        <v>462</v>
      </c>
      <c r="GL46" s="185"/>
      <c r="GM46" s="185"/>
      <c r="GN46" s="185"/>
      <c r="GO46" s="185"/>
      <c r="GP46" s="185"/>
      <c r="GQ46" s="185"/>
      <c r="GR46" s="185"/>
      <c r="GS46" s="185"/>
      <c r="GT46" s="185"/>
      <c r="GU46" s="185"/>
      <c r="GV46" s="185"/>
      <c r="GW46" s="185"/>
      <c r="GX46" s="185"/>
      <c r="GY46" s="185" t="s">
        <v>404</v>
      </c>
      <c r="GZ46" s="185"/>
      <c r="HA46" s="185"/>
      <c r="HB46" s="185"/>
      <c r="HC46" s="185"/>
      <c r="HD46" s="185"/>
      <c r="HE46" s="185"/>
      <c r="HF46" s="185"/>
      <c r="HG46" s="185"/>
      <c r="HH46" s="185"/>
      <c r="HI46" s="185"/>
      <c r="HJ46" s="185"/>
      <c r="HK46" s="185"/>
      <c r="HL46" s="185"/>
      <c r="HM46" s="185"/>
      <c r="HN46" s="185"/>
      <c r="HO46" s="185"/>
      <c r="HP46" s="185"/>
      <c r="HQ46" s="185"/>
      <c r="HR46" s="185"/>
      <c r="HS46" s="274" t="s">
        <v>419</v>
      </c>
      <c r="HT46" s="185"/>
      <c r="HU46" s="274" t="s">
        <v>411</v>
      </c>
      <c r="HV46" s="228" t="s">
        <v>462</v>
      </c>
      <c r="HW46" s="228"/>
      <c r="HX46" s="185"/>
      <c r="HY46" s="185"/>
      <c r="HZ46" s="185"/>
      <c r="IA46" s="185"/>
      <c r="IB46" s="185"/>
      <c r="IC46" s="228" t="s">
        <v>471</v>
      </c>
      <c r="ID46" s="228"/>
      <c r="IE46" s="228"/>
      <c r="IF46" s="228"/>
      <c r="IG46" s="228"/>
      <c r="IH46" s="228"/>
      <c r="II46" s="228"/>
      <c r="IJ46" s="228"/>
      <c r="IK46" s="185"/>
      <c r="IL46" s="185"/>
      <c r="IM46" s="185"/>
      <c r="IN46" s="185"/>
      <c r="IO46" s="185"/>
      <c r="IP46" s="185"/>
      <c r="IQ46" s="228"/>
      <c r="IR46" s="185"/>
      <c r="IS46" s="228" t="s">
        <v>423</v>
      </c>
      <c r="IT46" s="185" t="s">
        <v>379</v>
      </c>
      <c r="IU46" s="185"/>
      <c r="IV46" s="185"/>
      <c r="IW46" s="185"/>
      <c r="IX46" s="185"/>
      <c r="IY46" s="185"/>
      <c r="IZ46" s="185"/>
      <c r="JA46" s="185"/>
      <c r="JB46" s="185"/>
      <c r="JC46" s="185"/>
      <c r="JD46" s="185"/>
      <c r="JE46" s="185"/>
      <c r="JF46" s="185"/>
      <c r="JG46" s="185"/>
      <c r="JH46" s="185"/>
      <c r="JI46" s="228" t="s">
        <v>392</v>
      </c>
      <c r="JJ46" s="228"/>
      <c r="JK46" s="228"/>
      <c r="JL46" s="228"/>
      <c r="JM46" s="228"/>
      <c r="JN46" s="274" t="s">
        <v>462</v>
      </c>
      <c r="JO46" s="228"/>
      <c r="JP46" s="228"/>
      <c r="JQ46" s="228"/>
      <c r="JR46" s="228"/>
      <c r="JS46" s="228"/>
      <c r="JT46" s="228"/>
      <c r="JU46" s="228"/>
      <c r="JV46" s="228"/>
      <c r="JW46" s="228"/>
      <c r="JX46" s="228"/>
      <c r="JY46" s="228"/>
      <c r="JZ46" s="228"/>
      <c r="KA46" s="228"/>
      <c r="KB46" s="228"/>
      <c r="KC46" s="228"/>
      <c r="KD46" s="228"/>
      <c r="KE46" s="228"/>
      <c r="KF46" s="228"/>
      <c r="KG46" s="228"/>
      <c r="KH46" s="228"/>
      <c r="KI46" s="228"/>
      <c r="KJ46" s="228"/>
      <c r="KK46" s="185"/>
      <c r="KL46" s="185"/>
      <c r="KM46" s="185"/>
      <c r="KN46" s="185"/>
      <c r="KO46" s="185"/>
      <c r="KP46" s="185"/>
      <c r="KQ46" s="185"/>
      <c r="KR46" s="185"/>
      <c r="KS46" s="185"/>
      <c r="KT46" s="185"/>
      <c r="KU46" s="185"/>
      <c r="KV46" s="185"/>
      <c r="KW46" s="185"/>
      <c r="KX46" s="185"/>
      <c r="KY46" s="185"/>
      <c r="KZ46" s="185"/>
      <c r="LA46" s="228"/>
      <c r="LB46" s="228"/>
      <c r="LC46" s="228"/>
      <c r="LD46" s="228"/>
      <c r="LE46" s="228"/>
      <c r="LF46" s="233">
        <v>0.69791666666666596</v>
      </c>
    </row>
    <row r="47" spans="2:318" ht="10.5" customHeight="1">
      <c r="B47" s="49">
        <v>0.25</v>
      </c>
      <c r="C47" s="49">
        <v>0.25</v>
      </c>
      <c r="D47" s="49">
        <v>0.25</v>
      </c>
      <c r="E47" s="172">
        <v>0.6875</v>
      </c>
      <c r="F47" s="322" t="s">
        <v>411</v>
      </c>
      <c r="G47" s="185"/>
      <c r="H47" s="185"/>
      <c r="I47" s="185"/>
      <c r="J47" s="185"/>
      <c r="K47" s="185"/>
      <c r="L47" s="185"/>
      <c r="M47" s="185"/>
      <c r="N47" s="185"/>
      <c r="O47" s="185"/>
      <c r="P47" s="185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  <c r="AG47" s="185"/>
      <c r="AH47" s="185"/>
      <c r="AI47" s="185"/>
      <c r="AJ47" s="185"/>
      <c r="AK47" s="185"/>
      <c r="AL47" s="185"/>
      <c r="AM47" s="185"/>
      <c r="AN47" s="185"/>
      <c r="AO47" s="185"/>
      <c r="AP47" s="185"/>
      <c r="AQ47" s="324"/>
      <c r="AR47" s="324"/>
      <c r="AS47" s="324"/>
      <c r="AT47" s="325"/>
      <c r="AU47" s="185"/>
      <c r="AV47" s="185"/>
      <c r="AW47" s="185"/>
      <c r="AX47" s="185"/>
      <c r="AY47" s="185" t="s">
        <v>471</v>
      </c>
      <c r="AZ47" s="185"/>
      <c r="BA47" s="185"/>
      <c r="BB47" s="185"/>
      <c r="BC47" s="185"/>
      <c r="BD47" s="185"/>
      <c r="BE47" s="185"/>
      <c r="BF47" s="185"/>
      <c r="BG47" s="185"/>
      <c r="BH47" s="185"/>
      <c r="BI47" s="185"/>
      <c r="BJ47" s="185" t="s">
        <v>386</v>
      </c>
      <c r="BK47" s="185"/>
      <c r="BL47" s="185"/>
      <c r="BM47" s="185"/>
      <c r="BN47" s="185"/>
      <c r="BO47" s="185"/>
      <c r="BP47" s="185"/>
      <c r="BQ47" s="185"/>
      <c r="BR47" s="185" t="s">
        <v>375</v>
      </c>
      <c r="BS47" s="185"/>
      <c r="BT47" s="185"/>
      <c r="BU47" s="185"/>
      <c r="BV47" s="185"/>
      <c r="BW47" s="185"/>
      <c r="BX47" s="185"/>
      <c r="BY47" s="185"/>
      <c r="BZ47" s="185"/>
      <c r="CA47" s="185"/>
      <c r="CB47" s="185"/>
      <c r="CC47" s="185"/>
      <c r="CD47" s="185"/>
      <c r="CE47" s="185"/>
      <c r="CF47" s="185"/>
      <c r="CG47" s="53"/>
      <c r="CH47" s="185"/>
      <c r="CI47" s="185"/>
      <c r="CJ47" s="185"/>
      <c r="CK47" s="185"/>
      <c r="CL47" s="53"/>
      <c r="CM47" s="276" t="s">
        <v>411</v>
      </c>
      <c r="CN47" s="53"/>
      <c r="CO47" s="185"/>
      <c r="CP47" s="350" t="s">
        <v>404</v>
      </c>
      <c r="CQ47" s="185" t="s">
        <v>375</v>
      </c>
      <c r="CR47" s="185"/>
      <c r="CS47" s="185"/>
      <c r="CT47" s="185"/>
      <c r="CU47" s="185"/>
      <c r="CV47" s="185"/>
      <c r="CW47" s="185"/>
      <c r="CX47" s="228"/>
      <c r="CY47" s="185"/>
      <c r="CZ47" s="185"/>
      <c r="DA47" s="185"/>
      <c r="DB47" s="185"/>
      <c r="DC47" s="185"/>
      <c r="DD47" s="185"/>
      <c r="DE47" s="185"/>
      <c r="DF47" s="185"/>
      <c r="DG47" s="185"/>
      <c r="DH47" s="185"/>
      <c r="DI47" s="185"/>
      <c r="DJ47" s="185"/>
      <c r="DK47" s="185"/>
      <c r="DL47" s="185"/>
      <c r="DM47" s="185"/>
      <c r="DN47" s="185"/>
      <c r="DO47" s="185"/>
      <c r="DP47" s="185"/>
      <c r="DQ47" s="185"/>
      <c r="DR47" s="185"/>
      <c r="DS47" s="185"/>
      <c r="DT47" s="185"/>
      <c r="DU47" s="185"/>
      <c r="DV47" s="185"/>
      <c r="DW47" s="185"/>
      <c r="DX47" s="185"/>
      <c r="DY47" s="185"/>
      <c r="DZ47" s="185"/>
      <c r="EA47" s="185"/>
      <c r="EB47" s="185"/>
      <c r="EC47" s="185"/>
      <c r="ED47" s="185"/>
      <c r="EE47" s="185"/>
      <c r="EF47" s="185"/>
      <c r="EG47" s="185"/>
      <c r="EH47" s="274" t="s">
        <v>411</v>
      </c>
      <c r="EI47" s="185"/>
      <c r="EJ47" s="185"/>
      <c r="EK47" s="186"/>
      <c r="EL47" s="243" t="s">
        <v>471</v>
      </c>
      <c r="EM47" s="228"/>
      <c r="EN47" s="185"/>
      <c r="EO47" s="185"/>
      <c r="EP47" s="185"/>
      <c r="EQ47" s="185"/>
      <c r="ER47" s="185"/>
      <c r="ES47" s="185"/>
      <c r="ET47" s="185"/>
      <c r="EU47" s="185"/>
      <c r="EV47" s="185"/>
      <c r="EW47" s="185"/>
      <c r="EX47" s="185"/>
      <c r="EY47" s="185"/>
      <c r="EZ47" s="185"/>
      <c r="FA47" s="185"/>
      <c r="FB47" s="185"/>
      <c r="FC47" s="185"/>
      <c r="FD47" s="185"/>
      <c r="FE47" s="185"/>
      <c r="FF47" s="185"/>
      <c r="FG47" s="185"/>
      <c r="FH47" s="185"/>
      <c r="FI47" s="185"/>
      <c r="FJ47" s="185"/>
      <c r="FK47" s="185"/>
      <c r="FL47" s="185"/>
      <c r="FM47" s="185"/>
      <c r="FN47" s="185"/>
      <c r="FO47" s="185"/>
      <c r="FP47" s="185"/>
      <c r="FQ47" s="185"/>
      <c r="FR47" s="185"/>
      <c r="FS47" s="185"/>
      <c r="FT47" s="185"/>
      <c r="FU47" s="185"/>
      <c r="FV47" s="185"/>
      <c r="FW47" s="185"/>
      <c r="FX47" s="185"/>
      <c r="FY47" s="228"/>
      <c r="FZ47" s="185"/>
      <c r="GA47" s="228"/>
      <c r="GB47" s="185"/>
      <c r="GC47" s="228" t="s">
        <v>404</v>
      </c>
      <c r="GD47" s="185" t="s">
        <v>462</v>
      </c>
      <c r="GE47" s="185"/>
      <c r="GF47" s="185"/>
      <c r="GG47" s="185"/>
      <c r="GH47" s="185"/>
      <c r="GI47" s="185"/>
      <c r="GJ47" s="185"/>
      <c r="GK47" s="228" t="s">
        <v>471</v>
      </c>
      <c r="GL47" s="185"/>
      <c r="GM47" s="185"/>
      <c r="GN47" s="185"/>
      <c r="GO47" s="185"/>
      <c r="GP47" s="185"/>
      <c r="GQ47" s="185"/>
      <c r="GR47" s="185"/>
      <c r="GS47" s="185" t="s">
        <v>419</v>
      </c>
      <c r="GT47" s="185"/>
      <c r="GU47" s="185"/>
      <c r="GV47" s="185"/>
      <c r="GW47" s="185"/>
      <c r="GX47" s="185"/>
      <c r="GY47" s="185" t="s">
        <v>404</v>
      </c>
      <c r="GZ47" s="185"/>
      <c r="HA47" s="185"/>
      <c r="HB47" s="185"/>
      <c r="HC47" s="185"/>
      <c r="HD47" s="185"/>
      <c r="HE47" s="185"/>
      <c r="HF47" s="185"/>
      <c r="HG47" s="185"/>
      <c r="HH47" s="185"/>
      <c r="HI47" s="185"/>
      <c r="HJ47" s="185"/>
      <c r="HK47" s="185"/>
      <c r="HL47" s="185"/>
      <c r="HM47" s="185"/>
      <c r="HN47" s="185"/>
      <c r="HO47" s="185"/>
      <c r="HP47" s="185"/>
      <c r="HQ47" s="185"/>
      <c r="HR47" s="185"/>
      <c r="HS47" s="185"/>
      <c r="HT47" s="185"/>
      <c r="HU47" s="185"/>
      <c r="HV47" s="228" t="s">
        <v>462</v>
      </c>
      <c r="HW47" s="228"/>
      <c r="HX47" s="185"/>
      <c r="HY47" s="185"/>
      <c r="HZ47" s="185"/>
      <c r="IA47" s="185"/>
      <c r="IB47" s="185"/>
      <c r="IC47" s="228" t="s">
        <v>471</v>
      </c>
      <c r="ID47" s="228"/>
      <c r="IE47" s="228"/>
      <c r="IF47" s="228"/>
      <c r="IG47" s="228"/>
      <c r="IH47" s="228"/>
      <c r="II47" s="228"/>
      <c r="IJ47" s="228"/>
      <c r="IK47" s="185"/>
      <c r="IL47" s="185"/>
      <c r="IM47" s="185"/>
      <c r="IN47" s="185"/>
      <c r="IO47" s="185"/>
      <c r="IP47" s="185"/>
      <c r="IQ47" s="228"/>
      <c r="IR47" s="185"/>
      <c r="IS47" s="228" t="s">
        <v>423</v>
      </c>
      <c r="IT47" s="185"/>
      <c r="IU47" s="185"/>
      <c r="IV47" s="185"/>
      <c r="IW47" s="185"/>
      <c r="IX47" s="185"/>
      <c r="IY47" s="185"/>
      <c r="IZ47" s="185"/>
      <c r="JA47" s="185"/>
      <c r="JB47" s="185"/>
      <c r="JC47" s="185"/>
      <c r="JD47" s="185"/>
      <c r="JE47" s="185"/>
      <c r="JF47" s="185"/>
      <c r="JG47" s="185"/>
      <c r="JH47" s="185"/>
      <c r="JI47" s="185"/>
      <c r="JJ47" s="228" t="s">
        <v>390</v>
      </c>
      <c r="JK47" s="228"/>
      <c r="JL47" s="228"/>
      <c r="JM47" s="228"/>
      <c r="JN47" s="274" t="s">
        <v>462</v>
      </c>
      <c r="JO47" s="228"/>
      <c r="JP47" s="228"/>
      <c r="JQ47" s="228"/>
      <c r="JR47" s="228"/>
      <c r="JS47" s="228"/>
      <c r="JT47" s="228"/>
      <c r="JU47" s="228"/>
      <c r="JV47" s="228"/>
      <c r="JW47" s="228"/>
      <c r="JX47" s="228"/>
      <c r="JY47" s="228"/>
      <c r="JZ47" s="228"/>
      <c r="KA47" s="228"/>
      <c r="KB47" s="228"/>
      <c r="KC47" s="228"/>
      <c r="KD47" s="228"/>
      <c r="KE47" s="228"/>
      <c r="KF47" s="228"/>
      <c r="KG47" s="228"/>
      <c r="KH47" s="228"/>
      <c r="KI47" s="228"/>
      <c r="KJ47" s="228"/>
      <c r="KK47" s="185"/>
      <c r="KL47" s="185"/>
      <c r="KM47" s="185"/>
      <c r="KN47" s="185"/>
      <c r="KO47" s="185"/>
      <c r="KP47" s="185"/>
      <c r="KQ47" s="185"/>
      <c r="KR47" s="185"/>
      <c r="KS47" s="185"/>
      <c r="KT47" s="185"/>
      <c r="KU47" s="185"/>
      <c r="KV47" s="185"/>
      <c r="KW47" s="185"/>
      <c r="KX47" s="185"/>
      <c r="KY47" s="185"/>
      <c r="KZ47" s="185"/>
      <c r="LA47" s="228"/>
      <c r="LB47" s="228"/>
      <c r="LC47" s="228"/>
      <c r="LD47" s="228"/>
      <c r="LE47" s="228"/>
      <c r="LF47" s="233">
        <v>0.70833333333333204</v>
      </c>
    </row>
    <row r="48" spans="2:318" ht="10.5" customHeight="1">
      <c r="B48" s="49">
        <v>0.25</v>
      </c>
      <c r="C48" s="49">
        <v>0.25</v>
      </c>
      <c r="D48" s="49">
        <v>0.25</v>
      </c>
      <c r="E48" s="172">
        <v>0.69791666666666663</v>
      </c>
      <c r="F48" s="322" t="s">
        <v>411</v>
      </c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  <c r="AG48" s="185"/>
      <c r="AH48" s="185"/>
      <c r="AI48" s="185"/>
      <c r="AJ48" s="185"/>
      <c r="AK48" s="185"/>
      <c r="AL48" s="185"/>
      <c r="AM48" s="185"/>
      <c r="AN48" s="185"/>
      <c r="AO48" s="185"/>
      <c r="AP48" s="185"/>
      <c r="AQ48" s="324"/>
      <c r="AR48" s="324"/>
      <c r="AS48" s="324"/>
      <c r="AT48" s="325"/>
      <c r="AU48" s="185"/>
      <c r="AV48" s="185"/>
      <c r="AW48" s="185"/>
      <c r="AX48" s="185"/>
      <c r="AY48" s="185" t="s">
        <v>471</v>
      </c>
      <c r="AZ48" s="185"/>
      <c r="BA48" s="185"/>
      <c r="BB48" s="185"/>
      <c r="BC48" s="185"/>
      <c r="BD48" s="185"/>
      <c r="BE48" s="185"/>
      <c r="BF48" s="185"/>
      <c r="BG48" s="185"/>
      <c r="BH48" s="185"/>
      <c r="BI48" s="185"/>
      <c r="BJ48" s="185" t="s">
        <v>386</v>
      </c>
      <c r="BK48" s="185"/>
      <c r="BL48" s="185"/>
      <c r="BM48" s="185"/>
      <c r="BN48" s="185"/>
      <c r="BO48" s="185"/>
      <c r="BP48" s="185"/>
      <c r="BQ48" s="185"/>
      <c r="BR48" s="185"/>
      <c r="BS48" s="185"/>
      <c r="BT48" s="185"/>
      <c r="BU48" s="185"/>
      <c r="BV48" s="185"/>
      <c r="BW48" s="185"/>
      <c r="BX48" s="185"/>
      <c r="BY48" s="185"/>
      <c r="BZ48" s="185"/>
      <c r="CA48" s="185"/>
      <c r="CB48" s="185"/>
      <c r="CC48" s="185"/>
      <c r="CD48" s="185"/>
      <c r="CE48" s="185"/>
      <c r="CF48" s="185"/>
      <c r="CG48" s="53"/>
      <c r="CH48" s="185"/>
      <c r="CI48" s="185"/>
      <c r="CJ48" s="185"/>
      <c r="CK48" s="185"/>
      <c r="CL48" s="53"/>
      <c r="CM48" s="276" t="s">
        <v>411</v>
      </c>
      <c r="CN48" s="53"/>
      <c r="CO48" s="185"/>
      <c r="CP48" s="350" t="s">
        <v>404</v>
      </c>
      <c r="CQ48" s="185" t="s">
        <v>375</v>
      </c>
      <c r="CR48" s="185"/>
      <c r="CS48" s="185"/>
      <c r="CT48" s="185"/>
      <c r="CU48" s="185"/>
      <c r="CV48" s="185"/>
      <c r="CW48" s="185"/>
      <c r="CX48" s="228"/>
      <c r="CY48" s="185"/>
      <c r="CZ48" s="185"/>
      <c r="DA48" s="185"/>
      <c r="DB48" s="185"/>
      <c r="DC48" s="185"/>
      <c r="DD48" s="185"/>
      <c r="DE48" s="185"/>
      <c r="DF48" s="185"/>
      <c r="DG48" s="185"/>
      <c r="DH48" s="185"/>
      <c r="DI48" s="185"/>
      <c r="DJ48" s="185"/>
      <c r="DK48" s="185"/>
      <c r="DL48" s="185"/>
      <c r="DM48" s="185"/>
      <c r="DN48" s="185"/>
      <c r="DO48" s="185"/>
      <c r="DP48" s="185"/>
      <c r="DQ48" s="185"/>
      <c r="DR48" s="185"/>
      <c r="DS48" s="185"/>
      <c r="DT48" s="185"/>
      <c r="DU48" s="185"/>
      <c r="DV48" s="185"/>
      <c r="DW48" s="185"/>
      <c r="DX48" s="185"/>
      <c r="DY48" s="185"/>
      <c r="DZ48" s="185"/>
      <c r="EA48" s="185"/>
      <c r="EB48" s="185"/>
      <c r="EC48" s="185"/>
      <c r="ED48" s="185"/>
      <c r="EE48" s="185"/>
      <c r="EF48" s="185"/>
      <c r="EG48" s="185"/>
      <c r="EH48" s="274" t="s">
        <v>411</v>
      </c>
      <c r="EI48" s="185"/>
      <c r="EJ48" s="185"/>
      <c r="EK48" s="186"/>
      <c r="EL48" s="243" t="s">
        <v>471</v>
      </c>
      <c r="EM48" s="228"/>
      <c r="EN48" s="185"/>
      <c r="EO48" s="185"/>
      <c r="EP48" s="185"/>
      <c r="EQ48" s="185"/>
      <c r="ER48" s="185"/>
      <c r="ES48" s="185"/>
      <c r="ET48" s="185"/>
      <c r="EU48" s="185"/>
      <c r="EV48" s="185"/>
      <c r="EW48" s="185"/>
      <c r="EX48" s="185"/>
      <c r="EY48" s="185"/>
      <c r="EZ48" s="185"/>
      <c r="FA48" s="185"/>
      <c r="FB48" s="185"/>
      <c r="FC48" s="185"/>
      <c r="FD48" s="185"/>
      <c r="FE48" s="185"/>
      <c r="FF48" s="185"/>
      <c r="FG48" s="185"/>
      <c r="FH48" s="274" t="s">
        <v>404</v>
      </c>
      <c r="FI48" s="185" t="s">
        <v>423</v>
      </c>
      <c r="FJ48" s="185"/>
      <c r="FK48" s="185"/>
      <c r="FL48" s="185"/>
      <c r="FM48" s="185"/>
      <c r="FN48" s="185"/>
      <c r="FO48" s="185"/>
      <c r="FP48" s="185"/>
      <c r="FQ48" s="185"/>
      <c r="FR48" s="185"/>
      <c r="FS48" s="185"/>
      <c r="FT48" s="185"/>
      <c r="FU48" s="185"/>
      <c r="FV48" s="185"/>
      <c r="FW48" s="185"/>
      <c r="FX48" s="185"/>
      <c r="FY48" s="228"/>
      <c r="FZ48" s="185"/>
      <c r="GA48" s="228"/>
      <c r="GB48" s="185"/>
      <c r="GC48" s="185"/>
      <c r="GD48" s="185" t="s">
        <v>462</v>
      </c>
      <c r="GE48" s="185" t="s">
        <v>419</v>
      </c>
      <c r="GF48" s="185"/>
      <c r="GG48" s="185"/>
      <c r="GH48" s="185"/>
      <c r="GI48" s="185"/>
      <c r="GJ48" s="185"/>
      <c r="GK48" s="228" t="s">
        <v>471</v>
      </c>
      <c r="GL48" s="185"/>
      <c r="GM48" s="185"/>
      <c r="GN48" s="185"/>
      <c r="GO48" s="185"/>
      <c r="GP48" s="185"/>
      <c r="GQ48" s="185"/>
      <c r="GR48" s="185"/>
      <c r="GS48" s="185"/>
      <c r="GT48" s="185"/>
      <c r="GU48" s="185"/>
      <c r="GV48" s="185"/>
      <c r="GW48" s="185"/>
      <c r="GX48" s="185"/>
      <c r="GY48" s="185" t="s">
        <v>404</v>
      </c>
      <c r="GZ48" s="185"/>
      <c r="HA48" s="185"/>
      <c r="HB48" s="185"/>
      <c r="HC48" s="185"/>
      <c r="HD48" s="185"/>
      <c r="HE48" s="185"/>
      <c r="HF48" s="185"/>
      <c r="HG48" s="185"/>
      <c r="HH48" s="185"/>
      <c r="HI48" s="185"/>
      <c r="HJ48" s="185"/>
      <c r="HK48" s="185"/>
      <c r="HL48" s="185"/>
      <c r="HM48" s="185"/>
      <c r="HN48" s="185"/>
      <c r="HO48" s="185"/>
      <c r="HP48" s="185"/>
      <c r="HQ48" s="185"/>
      <c r="HR48" s="185"/>
      <c r="HS48" s="185"/>
      <c r="HT48" s="185"/>
      <c r="HU48" s="185"/>
      <c r="HV48" s="228" t="s">
        <v>462</v>
      </c>
      <c r="HW48" s="228"/>
      <c r="HX48" s="185"/>
      <c r="HY48" s="185"/>
      <c r="HZ48" s="185"/>
      <c r="IA48" s="185"/>
      <c r="IB48" s="185"/>
      <c r="IC48" s="228" t="s">
        <v>471</v>
      </c>
      <c r="ID48" s="228"/>
      <c r="IE48" s="228"/>
      <c r="IF48" s="228"/>
      <c r="IG48" s="228"/>
      <c r="IH48" s="228"/>
      <c r="II48" s="228"/>
      <c r="IJ48" s="228"/>
      <c r="IK48" s="185"/>
      <c r="IL48" s="185"/>
      <c r="IM48" s="185"/>
      <c r="IN48" s="185"/>
      <c r="IO48" s="185"/>
      <c r="IP48" s="185"/>
      <c r="IQ48" s="228"/>
      <c r="IR48" s="185"/>
      <c r="IS48" s="228" t="s">
        <v>423</v>
      </c>
      <c r="IT48" s="185"/>
      <c r="IU48" s="185"/>
      <c r="IV48" s="185"/>
      <c r="IW48" s="185"/>
      <c r="IX48" s="185"/>
      <c r="IY48" s="185"/>
      <c r="IZ48" s="185"/>
      <c r="JA48" s="185"/>
      <c r="JB48" s="185"/>
      <c r="JC48" s="185"/>
      <c r="JD48" s="185"/>
      <c r="JE48" s="185"/>
      <c r="JF48" s="185"/>
      <c r="JG48" s="185"/>
      <c r="JH48" s="185"/>
      <c r="JI48" s="185"/>
      <c r="JJ48" s="228" t="s">
        <v>390</v>
      </c>
      <c r="JK48" s="228"/>
      <c r="JL48" s="228"/>
      <c r="JM48" s="228"/>
      <c r="JN48" s="274" t="s">
        <v>462</v>
      </c>
      <c r="JO48" s="228"/>
      <c r="JP48" s="228"/>
      <c r="JQ48" s="228"/>
      <c r="JR48" s="228"/>
      <c r="JS48" s="228"/>
      <c r="JT48" s="228"/>
      <c r="JU48" s="228"/>
      <c r="JV48" s="228"/>
      <c r="JW48" s="228"/>
      <c r="JX48" s="228"/>
      <c r="JY48" s="228"/>
      <c r="JZ48" s="228"/>
      <c r="KA48" s="228"/>
      <c r="KB48" s="228"/>
      <c r="KC48" s="228"/>
      <c r="KD48" s="228"/>
      <c r="KE48" s="228"/>
      <c r="KF48" s="228"/>
      <c r="KG48" s="228"/>
      <c r="KH48" s="228"/>
      <c r="KI48" s="228"/>
      <c r="KJ48" s="228"/>
      <c r="KK48" s="185"/>
      <c r="KL48" s="185"/>
      <c r="KM48" s="185"/>
      <c r="KN48" s="185"/>
      <c r="KO48" s="185"/>
      <c r="KP48" s="185"/>
      <c r="KQ48" s="185"/>
      <c r="KR48" s="185"/>
      <c r="KS48" s="185"/>
      <c r="KT48" s="185"/>
      <c r="KU48" s="185"/>
      <c r="KV48" s="185"/>
      <c r="KW48" s="185"/>
      <c r="KX48" s="185"/>
      <c r="KY48" s="185"/>
      <c r="KZ48" s="185"/>
      <c r="LA48" s="228"/>
      <c r="LB48" s="228"/>
      <c r="LC48" s="228"/>
      <c r="LD48" s="228"/>
      <c r="LE48" s="228"/>
      <c r="LF48" s="233">
        <v>0.718749999999999</v>
      </c>
    </row>
    <row r="49" spans="2:318" ht="10.5" customHeight="1">
      <c r="B49" s="49">
        <v>0.25</v>
      </c>
      <c r="C49" s="49">
        <v>0.25</v>
      </c>
      <c r="D49" s="49">
        <v>0.25</v>
      </c>
      <c r="E49" s="172">
        <v>0.70833333333333337</v>
      </c>
      <c r="F49" s="322" t="s">
        <v>411</v>
      </c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 t="s">
        <v>386</v>
      </c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  <c r="AG49" s="185"/>
      <c r="AH49" s="185"/>
      <c r="AI49" s="185"/>
      <c r="AJ49" s="185"/>
      <c r="AK49" s="185"/>
      <c r="AL49" s="185"/>
      <c r="AM49" s="185"/>
      <c r="AN49" s="185"/>
      <c r="AO49" s="185"/>
      <c r="AP49" s="185"/>
      <c r="AQ49" s="324"/>
      <c r="AR49" s="324"/>
      <c r="AS49" s="324"/>
      <c r="AT49" s="185"/>
      <c r="AU49" s="185"/>
      <c r="AV49" s="185"/>
      <c r="AW49" s="185"/>
      <c r="AX49" s="185"/>
      <c r="AY49" s="185" t="s">
        <v>471</v>
      </c>
      <c r="AZ49" s="185"/>
      <c r="BA49" s="185"/>
      <c r="BB49" s="185"/>
      <c r="BC49" s="185"/>
      <c r="BD49" s="185"/>
      <c r="BE49" s="185"/>
      <c r="BF49" s="185" t="s">
        <v>419</v>
      </c>
      <c r="BG49" s="185"/>
      <c r="BH49" s="185"/>
      <c r="BI49" s="185"/>
      <c r="BJ49" s="185"/>
      <c r="BK49" s="185"/>
      <c r="BL49" s="185"/>
      <c r="BM49" s="185"/>
      <c r="BN49" s="185"/>
      <c r="BO49" s="185" t="s">
        <v>411</v>
      </c>
      <c r="BP49" s="185"/>
      <c r="BQ49" s="185"/>
      <c r="BR49" s="185"/>
      <c r="BS49" s="185"/>
      <c r="BT49" s="185" t="s">
        <v>404</v>
      </c>
      <c r="BU49" s="228"/>
      <c r="BV49" s="185"/>
      <c r="BW49" s="185"/>
      <c r="BX49" s="185"/>
      <c r="BY49" s="185"/>
      <c r="BZ49" s="185"/>
      <c r="CA49" s="185"/>
      <c r="CB49" s="185"/>
      <c r="CC49" s="185"/>
      <c r="CD49" s="185"/>
      <c r="CE49" s="185"/>
      <c r="CF49" s="185"/>
      <c r="CG49" s="53"/>
      <c r="CH49" s="185"/>
      <c r="CI49" s="185"/>
      <c r="CJ49" s="185"/>
      <c r="CK49" s="185"/>
      <c r="CL49" s="53"/>
      <c r="CM49" s="53"/>
      <c r="CO49" s="53"/>
      <c r="CP49" s="54"/>
      <c r="CQ49" s="185" t="s">
        <v>411</v>
      </c>
      <c r="CR49" s="185"/>
      <c r="CS49" s="185"/>
      <c r="CT49" s="185"/>
      <c r="CU49" s="185"/>
      <c r="CV49" s="185"/>
      <c r="CW49" s="185"/>
      <c r="CX49" s="185"/>
      <c r="CY49" s="185"/>
      <c r="CZ49" s="185"/>
      <c r="DA49" s="185"/>
      <c r="DB49" s="185"/>
      <c r="DC49" s="185" t="s">
        <v>375</v>
      </c>
      <c r="DD49" s="185"/>
      <c r="DE49" s="185"/>
      <c r="DF49" s="185"/>
      <c r="DG49" s="185"/>
      <c r="DH49" s="185"/>
      <c r="DI49" s="185"/>
      <c r="DJ49" s="185"/>
      <c r="DK49" s="185"/>
      <c r="DL49" s="185"/>
      <c r="DM49" s="185"/>
      <c r="DN49" s="185"/>
      <c r="DO49" s="185"/>
      <c r="DP49" s="185"/>
      <c r="DQ49" s="185"/>
      <c r="DR49" s="185"/>
      <c r="DS49" s="185"/>
      <c r="DT49" s="185"/>
      <c r="DU49" s="185"/>
      <c r="DV49" s="185"/>
      <c r="DW49" s="185"/>
      <c r="DX49" s="185"/>
      <c r="DY49" s="185"/>
      <c r="DZ49" s="185"/>
      <c r="EA49" s="185"/>
      <c r="EB49" s="185"/>
      <c r="EC49" s="185"/>
      <c r="ED49" s="185"/>
      <c r="EE49" s="185"/>
      <c r="EF49" s="185"/>
      <c r="EG49" s="185"/>
      <c r="EH49" s="185"/>
      <c r="EI49" s="185"/>
      <c r="EJ49" s="185"/>
      <c r="EK49" s="186"/>
      <c r="EL49" s="243" t="s">
        <v>471</v>
      </c>
      <c r="EM49" s="228"/>
      <c r="EN49" s="185"/>
      <c r="EO49" s="185"/>
      <c r="EP49" s="185"/>
      <c r="EQ49" s="185"/>
      <c r="ER49" s="185"/>
      <c r="ES49" s="185"/>
      <c r="ET49" s="185"/>
      <c r="EU49" s="185"/>
      <c r="EV49" s="185"/>
      <c r="EW49" s="185"/>
      <c r="EX49" s="185"/>
      <c r="EY49" s="185"/>
      <c r="EZ49" s="185"/>
      <c r="FA49" s="185"/>
      <c r="FB49" s="185"/>
      <c r="FC49" s="185"/>
      <c r="FD49" s="185"/>
      <c r="FE49" s="185"/>
      <c r="FF49" s="185"/>
      <c r="FG49" s="185"/>
      <c r="FH49" s="274" t="s">
        <v>404</v>
      </c>
      <c r="FI49" s="185" t="s">
        <v>423</v>
      </c>
      <c r="FJ49" s="185"/>
      <c r="FK49" s="185"/>
      <c r="FL49" s="185"/>
      <c r="FM49" s="185"/>
      <c r="FN49" s="185"/>
      <c r="FO49" s="185"/>
      <c r="FP49" s="185"/>
      <c r="FQ49" s="185"/>
      <c r="FR49" s="185"/>
      <c r="FS49" s="185"/>
      <c r="FT49" s="185"/>
      <c r="FU49" s="185"/>
      <c r="FV49" s="185"/>
      <c r="FW49" s="185"/>
      <c r="FX49" s="185"/>
      <c r="FY49" s="185"/>
      <c r="FZ49" s="185"/>
      <c r="GA49" s="185"/>
      <c r="GB49" s="185"/>
      <c r="GC49" s="185"/>
      <c r="GD49" s="274" t="s">
        <v>462</v>
      </c>
      <c r="GE49" s="185"/>
      <c r="GF49" s="185"/>
      <c r="GG49" s="185"/>
      <c r="GH49" s="185"/>
      <c r="GI49" s="185"/>
      <c r="GJ49" s="185"/>
      <c r="GK49" s="228" t="s">
        <v>471</v>
      </c>
      <c r="GL49" s="185" t="s">
        <v>419</v>
      </c>
      <c r="GM49" s="185"/>
      <c r="GN49" s="185"/>
      <c r="GO49" s="185"/>
      <c r="GP49" s="185"/>
      <c r="GQ49" s="185"/>
      <c r="GR49" s="185"/>
      <c r="GS49" s="185"/>
      <c r="GT49" s="185"/>
      <c r="GU49" s="185"/>
      <c r="GV49" s="185"/>
      <c r="GW49" s="185"/>
      <c r="GX49" s="185"/>
      <c r="GY49" s="185" t="s">
        <v>404</v>
      </c>
      <c r="GZ49" s="185"/>
      <c r="HA49" s="185"/>
      <c r="HB49" s="228" t="s">
        <v>374</v>
      </c>
      <c r="HC49" s="185"/>
      <c r="HD49" s="185"/>
      <c r="HE49" s="185"/>
      <c r="HF49" s="185"/>
      <c r="HG49" s="185"/>
      <c r="HH49" s="185"/>
      <c r="HI49" s="185"/>
      <c r="HJ49" s="185"/>
      <c r="HK49" s="185"/>
      <c r="HL49" s="185"/>
      <c r="HM49" s="185"/>
      <c r="HN49" s="185"/>
      <c r="HO49" s="185"/>
      <c r="HP49" s="185"/>
      <c r="HQ49" s="185"/>
      <c r="HR49" s="185"/>
      <c r="HS49" s="185"/>
      <c r="HT49" s="185"/>
      <c r="HU49" s="185"/>
      <c r="HV49" s="228" t="s">
        <v>471</v>
      </c>
      <c r="HW49" s="228"/>
      <c r="HX49" s="185"/>
      <c r="HY49" s="185"/>
      <c r="HZ49" s="185"/>
      <c r="IA49" s="185"/>
      <c r="IB49" s="185"/>
      <c r="IC49" s="228"/>
      <c r="ID49" s="228"/>
      <c r="IE49" s="228"/>
      <c r="IF49" s="228"/>
      <c r="IG49" s="228"/>
      <c r="IH49" s="228"/>
      <c r="II49" s="228"/>
      <c r="IJ49" s="228"/>
      <c r="IK49" s="185"/>
      <c r="IL49" s="185"/>
      <c r="IM49" s="185"/>
      <c r="IN49" s="185"/>
      <c r="IO49" s="185"/>
      <c r="IP49" s="185"/>
      <c r="IQ49" s="228"/>
      <c r="IR49" s="185"/>
      <c r="IS49" s="228" t="s">
        <v>423</v>
      </c>
      <c r="IT49" s="185"/>
      <c r="IU49" s="185"/>
      <c r="IV49" s="185"/>
      <c r="IW49" s="185"/>
      <c r="IX49" s="185"/>
      <c r="IY49" s="185"/>
      <c r="IZ49" s="185"/>
      <c r="JA49" s="185"/>
      <c r="JB49" s="185"/>
      <c r="JC49" s="185"/>
      <c r="JD49" s="185"/>
      <c r="JE49" s="185"/>
      <c r="JF49" s="185"/>
      <c r="JG49" s="185"/>
      <c r="JH49" s="185"/>
      <c r="JI49" s="185"/>
      <c r="JJ49" s="228" t="s">
        <v>390</v>
      </c>
      <c r="JK49" s="228"/>
      <c r="JL49" s="228"/>
      <c r="JM49" s="228"/>
      <c r="JN49" s="274" t="s">
        <v>462</v>
      </c>
      <c r="JO49" s="228"/>
      <c r="JP49" s="228"/>
      <c r="JQ49" s="228"/>
      <c r="JR49" s="228"/>
      <c r="JS49" s="228"/>
      <c r="JT49" s="228"/>
      <c r="JU49" s="228"/>
      <c r="JV49" s="228"/>
      <c r="JW49" s="228"/>
      <c r="JX49" s="228"/>
      <c r="JY49" s="228"/>
      <c r="JZ49" s="228"/>
      <c r="KA49" s="228"/>
      <c r="KB49" s="228"/>
      <c r="KC49" s="228"/>
      <c r="KD49" s="228"/>
      <c r="KE49" s="228"/>
      <c r="KF49" s="228"/>
      <c r="KG49" s="228"/>
      <c r="KH49" s="228"/>
      <c r="KI49" s="228"/>
      <c r="KJ49" s="228"/>
      <c r="KK49" s="185"/>
      <c r="KL49" s="185"/>
      <c r="KM49" s="185"/>
      <c r="KN49" s="185"/>
      <c r="KO49" s="185"/>
      <c r="KP49" s="185"/>
      <c r="KQ49" s="185"/>
      <c r="KR49" s="185"/>
      <c r="KS49" s="185"/>
      <c r="KT49" s="185"/>
      <c r="KU49" s="185"/>
      <c r="KV49" s="185"/>
      <c r="KW49" s="185"/>
      <c r="KX49" s="185"/>
      <c r="KY49" s="185"/>
      <c r="KZ49" s="185"/>
      <c r="LA49" s="228"/>
      <c r="LB49" s="228"/>
      <c r="LC49" s="228"/>
      <c r="LD49" s="228"/>
      <c r="LE49" s="228"/>
      <c r="LF49" s="233">
        <v>0.72916666666666496</v>
      </c>
    </row>
    <row r="50" spans="2:318" ht="10.5" customHeight="1">
      <c r="B50" s="49">
        <v>0.25</v>
      </c>
      <c r="C50" s="49">
        <v>0.25</v>
      </c>
      <c r="D50" s="49">
        <v>0.25</v>
      </c>
      <c r="E50" s="172">
        <v>0.71875</v>
      </c>
      <c r="F50" s="322" t="s">
        <v>411</v>
      </c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 t="s">
        <v>386</v>
      </c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  <c r="AG50" s="185"/>
      <c r="AH50" s="185"/>
      <c r="AI50" s="185"/>
      <c r="AJ50" s="185"/>
      <c r="AK50" s="185"/>
      <c r="AL50" s="185"/>
      <c r="AM50" s="185"/>
      <c r="AN50" s="185"/>
      <c r="AO50" s="185"/>
      <c r="AP50" s="185"/>
      <c r="AQ50" s="324"/>
      <c r="AR50" s="324"/>
      <c r="AS50" s="324"/>
      <c r="AT50" s="185"/>
      <c r="AU50" s="185"/>
      <c r="AV50" s="185"/>
      <c r="AW50" s="185"/>
      <c r="AX50" s="185"/>
      <c r="AY50" s="185" t="s">
        <v>471</v>
      </c>
      <c r="AZ50" s="185" t="s">
        <v>411</v>
      </c>
      <c r="BA50" s="185"/>
      <c r="BB50" s="185"/>
      <c r="BC50" s="185"/>
      <c r="BD50" s="185"/>
      <c r="BE50" s="185"/>
      <c r="BF50" s="185" t="s">
        <v>419</v>
      </c>
      <c r="BG50" s="185"/>
      <c r="BH50" s="185"/>
      <c r="BI50" s="185"/>
      <c r="BJ50" s="185"/>
      <c r="BK50" s="185"/>
      <c r="BL50" s="185"/>
      <c r="BM50" s="185"/>
      <c r="BN50" s="185"/>
      <c r="BO50" s="185"/>
      <c r="BP50" s="185"/>
      <c r="BQ50" s="185"/>
      <c r="BR50" s="185"/>
      <c r="BS50" s="185"/>
      <c r="BT50" s="185"/>
      <c r="BU50" s="274" t="s">
        <v>404</v>
      </c>
      <c r="BV50" s="185"/>
      <c r="BW50" s="185"/>
      <c r="BX50" s="185"/>
      <c r="BY50" s="185"/>
      <c r="BZ50" s="185"/>
      <c r="CA50" s="185"/>
      <c r="CB50" s="185"/>
      <c r="CC50" s="185"/>
      <c r="CD50" s="185"/>
      <c r="CE50" s="185"/>
      <c r="CF50" s="185"/>
      <c r="CG50" s="53"/>
      <c r="CH50" s="185"/>
      <c r="CI50" s="185"/>
      <c r="CJ50" s="185"/>
      <c r="CK50" s="185"/>
      <c r="CL50" s="53"/>
      <c r="CM50" s="53"/>
      <c r="CN50" s="53"/>
      <c r="CO50" s="53"/>
      <c r="CP50" s="54"/>
      <c r="CQ50" s="185" t="s">
        <v>411</v>
      </c>
      <c r="CR50" s="185"/>
      <c r="CS50" s="185"/>
      <c r="CT50" s="185"/>
      <c r="CU50" s="185"/>
      <c r="CV50" s="185"/>
      <c r="CW50" s="185"/>
      <c r="CX50" s="185"/>
      <c r="CY50" s="185"/>
      <c r="CZ50" s="185"/>
      <c r="DA50" s="185"/>
      <c r="DB50" s="185"/>
      <c r="DC50" s="185" t="s">
        <v>375</v>
      </c>
      <c r="DD50" s="185"/>
      <c r="DE50" s="185"/>
      <c r="DF50" s="185"/>
      <c r="DG50" s="185"/>
      <c r="DH50" s="185"/>
      <c r="DI50" s="185"/>
      <c r="DJ50" s="185"/>
      <c r="DK50" s="185"/>
      <c r="DL50" s="185"/>
      <c r="DM50" s="185"/>
      <c r="DN50" s="185"/>
      <c r="DO50" s="185"/>
      <c r="DP50" s="185"/>
      <c r="DQ50" s="185"/>
      <c r="DR50" s="185"/>
      <c r="DS50" s="185"/>
      <c r="DT50" s="185"/>
      <c r="DU50" s="185"/>
      <c r="DV50" s="185"/>
      <c r="DW50" s="185"/>
      <c r="DX50" s="185"/>
      <c r="DY50" s="185"/>
      <c r="DZ50" s="185"/>
      <c r="EA50" s="185"/>
      <c r="EB50" s="185"/>
      <c r="EC50" s="185"/>
      <c r="ED50" s="185"/>
      <c r="EE50" s="185"/>
      <c r="EF50" s="185"/>
      <c r="EG50" s="185"/>
      <c r="EH50" s="185"/>
      <c r="EI50" s="185"/>
      <c r="EJ50" s="185"/>
      <c r="EK50" s="186"/>
      <c r="EL50" s="243" t="s">
        <v>471</v>
      </c>
      <c r="EM50" s="228"/>
      <c r="EN50" s="185"/>
      <c r="EO50" s="185"/>
      <c r="EP50" s="185"/>
      <c r="EQ50" s="185"/>
      <c r="ER50" s="185"/>
      <c r="ES50" s="185"/>
      <c r="ET50" s="185"/>
      <c r="EU50" s="185"/>
      <c r="EV50" s="185"/>
      <c r="EW50" s="185"/>
      <c r="EX50" s="185"/>
      <c r="EY50" s="185"/>
      <c r="EZ50" s="185"/>
      <c r="FA50" s="185"/>
      <c r="FB50" s="185"/>
      <c r="FC50" s="185"/>
      <c r="FD50" s="185"/>
      <c r="FE50" s="185"/>
      <c r="FF50" s="185"/>
      <c r="FG50" s="185"/>
      <c r="FH50" s="274" t="s">
        <v>404</v>
      </c>
      <c r="FI50" s="185" t="s">
        <v>423</v>
      </c>
      <c r="FJ50" s="185"/>
      <c r="FK50" s="185"/>
      <c r="FL50" s="185"/>
      <c r="FM50" s="185"/>
      <c r="FN50" s="185"/>
      <c r="FO50" s="185"/>
      <c r="FP50" s="185"/>
      <c r="FQ50" s="185"/>
      <c r="FR50" s="185"/>
      <c r="FS50" s="185"/>
      <c r="FT50" s="185"/>
      <c r="FU50" s="185"/>
      <c r="FV50" s="185"/>
      <c r="FW50" s="185"/>
      <c r="FX50" s="185"/>
      <c r="FY50" s="185"/>
      <c r="FZ50" s="185"/>
      <c r="GA50" s="185"/>
      <c r="GB50" s="185"/>
      <c r="GC50" s="185"/>
      <c r="GD50" s="274" t="s">
        <v>462</v>
      </c>
      <c r="GE50" s="185"/>
      <c r="GF50" s="185"/>
      <c r="GG50" s="185"/>
      <c r="GH50" s="185"/>
      <c r="GI50" s="185"/>
      <c r="GJ50" s="185"/>
      <c r="GK50" s="228" t="s">
        <v>471</v>
      </c>
      <c r="GL50" s="185" t="s">
        <v>419</v>
      </c>
      <c r="GM50" s="185"/>
      <c r="GN50" s="185"/>
      <c r="GO50" s="185"/>
      <c r="GP50" s="185"/>
      <c r="GQ50" s="185"/>
      <c r="GR50" s="185"/>
      <c r="GS50" s="185"/>
      <c r="GT50" s="185"/>
      <c r="GU50" s="185"/>
      <c r="GV50" s="185"/>
      <c r="GW50" s="185"/>
      <c r="GX50" s="185"/>
      <c r="GY50" s="185" t="s">
        <v>404</v>
      </c>
      <c r="GZ50" s="185"/>
      <c r="HA50" s="185"/>
      <c r="HB50" s="228" t="s">
        <v>374</v>
      </c>
      <c r="HC50" s="185"/>
      <c r="HD50" s="185"/>
      <c r="HE50" s="185"/>
      <c r="HF50" s="185"/>
      <c r="HG50" s="185"/>
      <c r="HH50" s="185"/>
      <c r="HI50" s="185"/>
      <c r="HJ50" s="185"/>
      <c r="HK50" s="185"/>
      <c r="HL50" s="185"/>
      <c r="HM50" s="185"/>
      <c r="HN50" s="185"/>
      <c r="HO50" s="185"/>
      <c r="HP50" s="185"/>
      <c r="HQ50" s="185"/>
      <c r="HR50" s="185"/>
      <c r="HS50" s="185"/>
      <c r="HT50" s="185"/>
      <c r="HU50" s="185"/>
      <c r="HV50" s="228" t="s">
        <v>471</v>
      </c>
      <c r="HW50" s="228"/>
      <c r="HX50" s="185"/>
      <c r="HY50" s="185"/>
      <c r="HZ50" s="185"/>
      <c r="IA50" s="185"/>
      <c r="IB50" s="185"/>
      <c r="IC50" s="228"/>
      <c r="ID50" s="228"/>
      <c r="IE50" s="228"/>
      <c r="IF50" s="228"/>
      <c r="IG50" s="228"/>
      <c r="IH50" s="228"/>
      <c r="II50" s="228"/>
      <c r="IJ50" s="228"/>
      <c r="IK50" s="185"/>
      <c r="IL50" s="185"/>
      <c r="IM50" s="185"/>
      <c r="IN50" s="185"/>
      <c r="IO50" s="185"/>
      <c r="IP50" s="185"/>
      <c r="IQ50" s="228"/>
      <c r="IR50" s="185"/>
      <c r="IS50" s="185"/>
      <c r="IT50" s="185"/>
      <c r="IU50" s="185"/>
      <c r="IV50" s="185"/>
      <c r="IW50" s="185"/>
      <c r="IX50" s="185"/>
      <c r="IY50" s="185"/>
      <c r="IZ50" s="185"/>
      <c r="JA50" s="185"/>
      <c r="JB50" s="185"/>
      <c r="JC50" s="185"/>
      <c r="JD50" s="185"/>
      <c r="JE50" s="185"/>
      <c r="JF50" s="185"/>
      <c r="JG50" s="185"/>
      <c r="JH50" s="185"/>
      <c r="JI50" s="185"/>
      <c r="JJ50" s="228" t="s">
        <v>390</v>
      </c>
      <c r="JK50" s="228"/>
      <c r="JL50" s="228"/>
      <c r="JM50" s="228" t="s">
        <v>423</v>
      </c>
      <c r="JN50" s="274" t="s">
        <v>462</v>
      </c>
      <c r="JO50" s="228"/>
      <c r="JP50" s="228"/>
      <c r="JQ50" s="228"/>
      <c r="JR50" s="228"/>
      <c r="JS50" s="228"/>
      <c r="JT50" s="228"/>
      <c r="JU50" s="228"/>
      <c r="JV50" s="228"/>
      <c r="JW50" s="228"/>
      <c r="JX50" s="228"/>
      <c r="JY50" s="228"/>
      <c r="JZ50" s="228"/>
      <c r="KA50" s="228"/>
      <c r="KB50" s="228"/>
      <c r="KC50" s="228"/>
      <c r="KD50" s="228"/>
      <c r="KE50" s="228"/>
      <c r="KF50" s="228"/>
      <c r="KG50" s="228"/>
      <c r="KH50" s="228"/>
      <c r="KI50" s="228"/>
      <c r="KJ50" s="228"/>
      <c r="KK50" s="185"/>
      <c r="KL50" s="185"/>
      <c r="KM50" s="185"/>
      <c r="KN50" s="185"/>
      <c r="KO50" s="185"/>
      <c r="KP50" s="185"/>
      <c r="KQ50" s="185"/>
      <c r="KR50" s="185"/>
      <c r="KS50" s="185"/>
      <c r="KT50" s="185"/>
      <c r="KU50" s="185"/>
      <c r="KV50" s="185"/>
      <c r="KW50" s="185"/>
      <c r="KX50" s="185"/>
      <c r="KY50" s="185"/>
      <c r="KZ50" s="185"/>
      <c r="LA50" s="228"/>
      <c r="LB50" s="228"/>
      <c r="LC50" s="228"/>
      <c r="LD50" s="228"/>
      <c r="LE50" s="228"/>
      <c r="LF50" s="233">
        <v>0.73958333333333204</v>
      </c>
    </row>
    <row r="51" spans="2:318" ht="10.5" customHeight="1">
      <c r="B51" s="49">
        <v>0.25</v>
      </c>
      <c r="C51" s="49">
        <v>0.25</v>
      </c>
      <c r="D51" s="49">
        <v>0.25</v>
      </c>
      <c r="E51" s="172">
        <v>0.72916666666666663</v>
      </c>
      <c r="F51" s="228" t="s">
        <v>375</v>
      </c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 t="s">
        <v>386</v>
      </c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  <c r="AG51" s="185"/>
      <c r="AH51" s="185"/>
      <c r="AI51" s="185"/>
      <c r="AJ51" s="185"/>
      <c r="AK51" s="185"/>
      <c r="AL51" s="185"/>
      <c r="AM51" s="185"/>
      <c r="AN51" s="185"/>
      <c r="AO51" s="185"/>
      <c r="AP51" s="185"/>
      <c r="AQ51" s="324"/>
      <c r="AR51" s="324"/>
      <c r="AS51" s="324"/>
      <c r="AT51" s="185"/>
      <c r="AU51" s="185"/>
      <c r="AV51" s="185"/>
      <c r="AW51" s="185"/>
      <c r="AX51" s="185"/>
      <c r="AY51" s="185" t="s">
        <v>411</v>
      </c>
      <c r="AZ51" s="185" t="s">
        <v>471</v>
      </c>
      <c r="BA51" s="185" t="s">
        <v>419</v>
      </c>
      <c r="BB51" s="185"/>
      <c r="BC51" s="185"/>
      <c r="BD51" s="185"/>
      <c r="BE51" s="185"/>
      <c r="BF51" s="185"/>
      <c r="BG51" s="185"/>
      <c r="BH51" s="185"/>
      <c r="BI51" s="185"/>
      <c r="BJ51" s="185"/>
      <c r="BK51" s="185"/>
      <c r="BL51" s="185"/>
      <c r="BM51" s="185"/>
      <c r="BN51" s="185"/>
      <c r="BO51" s="185"/>
      <c r="BP51" s="185"/>
      <c r="BQ51" s="185"/>
      <c r="BR51" s="185"/>
      <c r="BS51" s="185"/>
      <c r="BT51" s="185"/>
      <c r="BU51" s="274" t="s">
        <v>404</v>
      </c>
      <c r="BV51" s="185"/>
      <c r="BW51" s="185"/>
      <c r="BX51" s="185"/>
      <c r="BY51" s="185"/>
      <c r="BZ51" s="185"/>
      <c r="CA51" s="185"/>
      <c r="CB51" s="185"/>
      <c r="CC51" s="185"/>
      <c r="CD51" s="185"/>
      <c r="CE51" s="185"/>
      <c r="CF51" s="185"/>
      <c r="CG51" s="185"/>
      <c r="CH51" s="185"/>
      <c r="CI51" s="185"/>
      <c r="CJ51" s="185"/>
      <c r="CK51" s="185"/>
      <c r="CL51" s="53"/>
      <c r="CM51" s="53"/>
      <c r="CN51" s="53"/>
      <c r="CO51" s="53"/>
      <c r="CP51" s="54"/>
      <c r="CQ51" s="228" t="s">
        <v>411</v>
      </c>
      <c r="CR51" s="185"/>
      <c r="CS51" s="185"/>
      <c r="CT51" s="185"/>
      <c r="CU51" s="185"/>
      <c r="CV51" s="185"/>
      <c r="CW51" s="185"/>
      <c r="CX51" s="228"/>
      <c r="CY51" s="228"/>
      <c r="CZ51" s="185"/>
      <c r="DA51" s="185"/>
      <c r="DB51" s="185"/>
      <c r="DC51" s="185" t="s">
        <v>375</v>
      </c>
      <c r="DD51" s="185"/>
      <c r="DE51" s="185"/>
      <c r="DF51" s="185"/>
      <c r="DG51" s="185"/>
      <c r="DH51" s="185"/>
      <c r="DI51" s="185"/>
      <c r="DJ51" s="185"/>
      <c r="DK51" s="185"/>
      <c r="DL51" s="185"/>
      <c r="DM51" s="185"/>
      <c r="DN51" s="185"/>
      <c r="DO51" s="185"/>
      <c r="DP51" s="185"/>
      <c r="DQ51" s="185"/>
      <c r="DR51" s="185"/>
      <c r="DS51" s="185"/>
      <c r="DT51" s="185"/>
      <c r="DU51" s="185"/>
      <c r="DV51" s="185"/>
      <c r="DW51" s="185"/>
      <c r="DX51" s="185"/>
      <c r="DY51" s="185"/>
      <c r="DZ51" s="185"/>
      <c r="EA51" s="185"/>
      <c r="EB51" s="185"/>
      <c r="EC51" s="185"/>
      <c r="ED51" s="185"/>
      <c r="EE51" s="185"/>
      <c r="EF51" s="185"/>
      <c r="EG51" s="185"/>
      <c r="EH51" s="185"/>
      <c r="EI51" s="185"/>
      <c r="EJ51" s="185"/>
      <c r="EK51" s="186"/>
      <c r="EL51" s="243" t="s">
        <v>471</v>
      </c>
      <c r="EM51" s="228"/>
      <c r="EN51" s="185"/>
      <c r="EO51" s="185"/>
      <c r="EP51" s="185"/>
      <c r="EQ51" s="185"/>
      <c r="ER51" s="185"/>
      <c r="ES51" s="185"/>
      <c r="ET51" s="185"/>
      <c r="EU51" s="185"/>
      <c r="EV51" s="185"/>
      <c r="EW51" s="185"/>
      <c r="EX51" s="185"/>
      <c r="EY51" s="185"/>
      <c r="EZ51" s="185"/>
      <c r="FA51" s="185"/>
      <c r="FB51" s="185"/>
      <c r="FC51" s="185"/>
      <c r="FD51" s="185"/>
      <c r="FE51" s="185"/>
      <c r="FF51" s="185"/>
      <c r="FG51" s="185" t="s">
        <v>404</v>
      </c>
      <c r="FH51" s="185"/>
      <c r="FI51" s="185"/>
      <c r="FJ51" s="185"/>
      <c r="FK51" s="185"/>
      <c r="FL51" s="185"/>
      <c r="FM51" s="185"/>
      <c r="FN51" s="185"/>
      <c r="FO51" s="185"/>
      <c r="FP51" s="185"/>
      <c r="FQ51" s="185"/>
      <c r="FR51" s="185"/>
      <c r="FS51" s="185"/>
      <c r="FT51" s="185"/>
      <c r="FU51" s="185"/>
      <c r="FV51" s="185"/>
      <c r="FW51" s="185"/>
      <c r="FX51" s="185"/>
      <c r="FY51" s="185"/>
      <c r="FZ51" s="185"/>
      <c r="GA51" s="185"/>
      <c r="GB51" s="185"/>
      <c r="GC51" s="185"/>
      <c r="GD51" s="243" t="s">
        <v>419</v>
      </c>
      <c r="GE51" s="185"/>
      <c r="GF51" s="185"/>
      <c r="GG51" s="185"/>
      <c r="GH51" s="185"/>
      <c r="GI51" s="185"/>
      <c r="GJ51" s="185"/>
      <c r="GK51" s="243" t="s">
        <v>462</v>
      </c>
      <c r="GL51" s="185"/>
      <c r="GM51" s="185"/>
      <c r="GN51" s="243"/>
      <c r="GO51" s="228"/>
      <c r="GP51" s="185"/>
      <c r="GQ51" s="185"/>
      <c r="GR51" s="185"/>
      <c r="GS51" s="185"/>
      <c r="GT51" s="185"/>
      <c r="GU51" s="185"/>
      <c r="GV51" s="185"/>
      <c r="GW51" s="185"/>
      <c r="GX51" s="185"/>
      <c r="GY51" s="185" t="s">
        <v>404</v>
      </c>
      <c r="GZ51" s="185"/>
      <c r="HA51" s="185"/>
      <c r="HB51" s="228" t="s">
        <v>374</v>
      </c>
      <c r="HC51" s="185"/>
      <c r="HD51" s="185"/>
      <c r="HE51" s="185"/>
      <c r="HF51" s="185"/>
      <c r="HG51" s="185"/>
      <c r="HH51" s="185"/>
      <c r="HI51" s="185"/>
      <c r="HJ51" s="185"/>
      <c r="HK51" s="185"/>
      <c r="HL51" s="185"/>
      <c r="HM51" s="185"/>
      <c r="HN51" s="185"/>
      <c r="HO51" s="185"/>
      <c r="HP51" s="185"/>
      <c r="HQ51" s="185"/>
      <c r="HR51" s="185"/>
      <c r="HS51" s="185"/>
      <c r="HT51" s="185"/>
      <c r="HU51" s="185"/>
      <c r="HV51" s="228" t="s">
        <v>471</v>
      </c>
      <c r="HW51" s="228"/>
      <c r="HX51" s="185"/>
      <c r="HY51" s="185"/>
      <c r="HZ51" s="185"/>
      <c r="IA51" s="185"/>
      <c r="IB51" s="185"/>
      <c r="IC51" s="228"/>
      <c r="ID51" s="228"/>
      <c r="IE51" s="228"/>
      <c r="IF51" s="228"/>
      <c r="IG51" s="228"/>
      <c r="IH51" s="228"/>
      <c r="II51" s="228"/>
      <c r="IJ51" s="228"/>
      <c r="IK51" s="185"/>
      <c r="IL51" s="185"/>
      <c r="IM51" s="185"/>
      <c r="IN51" s="185"/>
      <c r="IO51" s="185"/>
      <c r="IP51" s="185"/>
      <c r="IQ51" s="228"/>
      <c r="IR51" s="185"/>
      <c r="IS51" s="185"/>
      <c r="IT51" s="185"/>
      <c r="IU51" s="185"/>
      <c r="IV51" s="185"/>
      <c r="IW51" s="185"/>
      <c r="IX51" s="185"/>
      <c r="IY51" s="185"/>
      <c r="IZ51" s="185"/>
      <c r="JA51" s="185"/>
      <c r="JB51" s="185"/>
      <c r="JC51" s="185"/>
      <c r="JD51" s="185"/>
      <c r="JE51" s="185"/>
      <c r="JF51" s="185"/>
      <c r="JG51" s="185"/>
      <c r="JH51" s="185"/>
      <c r="JI51" s="185"/>
      <c r="JJ51" s="228"/>
      <c r="JK51" s="228"/>
      <c r="JL51" s="228" t="s">
        <v>390</v>
      </c>
      <c r="JM51" s="228" t="s">
        <v>423</v>
      </c>
      <c r="JN51" s="274" t="s">
        <v>462</v>
      </c>
      <c r="JO51" s="228"/>
      <c r="JP51" s="228"/>
      <c r="JQ51" s="228"/>
      <c r="JR51" s="228"/>
      <c r="JS51" s="228"/>
      <c r="JT51" s="228"/>
      <c r="JU51" s="228"/>
      <c r="JV51" s="228"/>
      <c r="JW51" s="228"/>
      <c r="JX51" s="228"/>
      <c r="JY51" s="228"/>
      <c r="JZ51" s="228"/>
      <c r="KA51" s="228"/>
      <c r="KB51" s="228"/>
      <c r="KC51" s="228"/>
      <c r="KD51" s="228"/>
      <c r="KE51" s="228"/>
      <c r="KF51" s="228"/>
      <c r="KG51" s="228"/>
      <c r="KH51" s="228"/>
      <c r="KI51" s="228"/>
      <c r="KJ51" s="228"/>
      <c r="KK51" s="185"/>
      <c r="KL51" s="185"/>
      <c r="KM51" s="185"/>
      <c r="KN51" s="185"/>
      <c r="KO51" s="185"/>
      <c r="KP51" s="185"/>
      <c r="KQ51" s="185"/>
      <c r="KR51" s="185"/>
      <c r="KS51" s="185"/>
      <c r="KT51" s="185"/>
      <c r="KU51" s="185"/>
      <c r="KV51" s="185"/>
      <c r="KW51" s="185"/>
      <c r="KX51" s="185"/>
      <c r="KY51" s="185"/>
      <c r="KZ51" s="185"/>
      <c r="LA51" s="228"/>
      <c r="LB51" s="228"/>
      <c r="LC51" s="228"/>
      <c r="LD51" s="228"/>
      <c r="LE51" s="228"/>
      <c r="LF51" s="52">
        <v>0.749999999999999</v>
      </c>
    </row>
    <row r="52" spans="2:318" ht="10.5" customHeight="1">
      <c r="B52" s="49">
        <v>0.25</v>
      </c>
      <c r="C52" s="49">
        <v>0.25</v>
      </c>
      <c r="D52" s="49">
        <v>0.25</v>
      </c>
      <c r="E52" s="172">
        <v>0.73958333333333337</v>
      </c>
      <c r="F52" s="228" t="s">
        <v>375</v>
      </c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 t="s">
        <v>386</v>
      </c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228" t="s">
        <v>379</v>
      </c>
      <c r="AD52" s="185" t="s">
        <v>89</v>
      </c>
      <c r="AE52" s="228"/>
      <c r="AF52" s="185"/>
      <c r="AG52" s="185"/>
      <c r="AH52" s="185"/>
      <c r="AI52" s="185"/>
      <c r="AJ52" s="185"/>
      <c r="AK52" s="185"/>
      <c r="AL52" s="185"/>
      <c r="AM52" s="185"/>
      <c r="AN52" s="185"/>
      <c r="AO52" s="185"/>
      <c r="AP52" s="185"/>
      <c r="AQ52" s="324"/>
      <c r="AR52" s="324"/>
      <c r="AS52" s="324"/>
      <c r="AT52" s="185"/>
      <c r="AU52" s="185"/>
      <c r="AV52" s="185"/>
      <c r="AW52" s="185"/>
      <c r="AX52" s="185"/>
      <c r="AY52" s="185" t="s">
        <v>419</v>
      </c>
      <c r="AZ52" s="185"/>
      <c r="BA52" s="185"/>
      <c r="BB52" s="185"/>
      <c r="BC52" s="185"/>
      <c r="BD52" s="185"/>
      <c r="BE52" s="185"/>
      <c r="BF52" s="185"/>
      <c r="BG52" s="185"/>
      <c r="BH52" s="185"/>
      <c r="BI52" s="185"/>
      <c r="BJ52" s="185"/>
      <c r="BK52" s="185"/>
      <c r="BL52" s="185"/>
      <c r="BM52" s="185"/>
      <c r="BN52" s="185" t="s">
        <v>471</v>
      </c>
      <c r="BO52" s="185"/>
      <c r="BP52" s="185"/>
      <c r="BQ52" s="185"/>
      <c r="BR52" s="185"/>
      <c r="BS52" s="185"/>
      <c r="BT52" s="185"/>
      <c r="BU52" s="274" t="s">
        <v>404</v>
      </c>
      <c r="BV52" s="185"/>
      <c r="BW52" s="185"/>
      <c r="BX52" s="185"/>
      <c r="BY52" s="185"/>
      <c r="BZ52" s="185"/>
      <c r="CA52" s="185"/>
      <c r="CB52" s="185"/>
      <c r="CC52" s="185"/>
      <c r="CD52" s="185"/>
      <c r="CE52" s="185"/>
      <c r="CF52" s="185"/>
      <c r="CG52" s="185"/>
      <c r="CH52" s="185"/>
      <c r="CI52" s="185"/>
      <c r="CJ52" s="185"/>
      <c r="CK52" s="185"/>
      <c r="CL52" s="53"/>
      <c r="CM52" s="53"/>
      <c r="CN52" s="53"/>
      <c r="CO52" s="53"/>
      <c r="CP52" s="54"/>
      <c r="CQ52" s="228" t="s">
        <v>411</v>
      </c>
      <c r="CR52" s="185"/>
      <c r="CS52" s="185"/>
      <c r="CT52" s="185"/>
      <c r="CU52" s="185"/>
      <c r="CV52" s="185"/>
      <c r="CW52" s="185"/>
      <c r="CX52" s="228"/>
      <c r="CY52" s="228"/>
      <c r="CZ52" s="185"/>
      <c r="DA52" s="185"/>
      <c r="DB52" s="185"/>
      <c r="DC52" s="185" t="s">
        <v>375</v>
      </c>
      <c r="DD52" s="185"/>
      <c r="DE52" s="185"/>
      <c r="DF52" s="185"/>
      <c r="DG52" s="185"/>
      <c r="DH52" s="185"/>
      <c r="DI52" s="185"/>
      <c r="DJ52" s="185"/>
      <c r="DK52" s="185"/>
      <c r="DL52" s="185"/>
      <c r="DM52" s="185"/>
      <c r="DN52" s="185"/>
      <c r="DO52" s="185"/>
      <c r="DP52" s="228" t="s">
        <v>412</v>
      </c>
      <c r="DQ52" s="228" t="s">
        <v>89</v>
      </c>
      <c r="DR52" s="228" t="s">
        <v>379</v>
      </c>
      <c r="DS52" s="185"/>
      <c r="DT52" s="185"/>
      <c r="DU52" s="185"/>
      <c r="DV52" s="185"/>
      <c r="DW52" s="185"/>
      <c r="DX52" s="185"/>
      <c r="DY52" s="185"/>
      <c r="DZ52" s="185"/>
      <c r="EA52" s="185"/>
      <c r="EB52" s="185"/>
      <c r="EC52" s="185"/>
      <c r="ED52" s="185"/>
      <c r="EE52" s="185"/>
      <c r="EF52" s="185"/>
      <c r="EG52" s="185"/>
      <c r="EH52" s="185"/>
      <c r="EI52" s="185"/>
      <c r="EJ52" s="185"/>
      <c r="EK52" s="186"/>
      <c r="EL52" s="243" t="s">
        <v>471</v>
      </c>
      <c r="EM52" s="228"/>
      <c r="EN52" s="185"/>
      <c r="EO52" s="185"/>
      <c r="EP52" s="185"/>
      <c r="EQ52" s="185"/>
      <c r="ER52" s="185"/>
      <c r="ES52" s="185"/>
      <c r="ET52" s="185"/>
      <c r="EU52" s="185"/>
      <c r="EV52" s="185"/>
      <c r="EW52" s="185"/>
      <c r="EX52" s="185"/>
      <c r="EY52" s="185"/>
      <c r="EZ52" s="185"/>
      <c r="FA52" s="185" t="s">
        <v>419</v>
      </c>
      <c r="FB52" s="185"/>
      <c r="FC52" s="185"/>
      <c r="FD52" s="185"/>
      <c r="FE52" s="185"/>
      <c r="FF52" s="185"/>
      <c r="FG52" s="185" t="s">
        <v>404</v>
      </c>
      <c r="FH52" s="185"/>
      <c r="FI52" s="185"/>
      <c r="FJ52" s="185"/>
      <c r="FK52" s="185"/>
      <c r="FL52" s="185"/>
      <c r="FM52" s="185"/>
      <c r="FN52" s="185"/>
      <c r="FO52" s="185"/>
      <c r="FP52" s="185"/>
      <c r="FQ52" s="185"/>
      <c r="FR52" s="185"/>
      <c r="FS52" s="185"/>
      <c r="FT52" s="185"/>
      <c r="FU52" s="185"/>
      <c r="FV52" s="185"/>
      <c r="FW52" s="185"/>
      <c r="FX52" s="185"/>
      <c r="FY52" s="185"/>
      <c r="FZ52" s="185"/>
      <c r="GA52" s="185"/>
      <c r="GB52" s="185"/>
      <c r="GC52" s="185"/>
      <c r="GD52" s="243" t="s">
        <v>419</v>
      </c>
      <c r="GE52" s="185"/>
      <c r="GF52" s="185"/>
      <c r="GG52" s="185"/>
      <c r="GH52" s="185"/>
      <c r="GI52" s="185"/>
      <c r="GJ52" s="185"/>
      <c r="GK52" s="243" t="s">
        <v>462</v>
      </c>
      <c r="GL52" s="185"/>
      <c r="GM52" s="185"/>
      <c r="GN52" s="243"/>
      <c r="GO52" s="228"/>
      <c r="GP52" s="185"/>
      <c r="GQ52" s="185"/>
      <c r="GR52" s="185"/>
      <c r="GS52" s="185"/>
      <c r="GT52" s="185"/>
      <c r="GU52" s="185"/>
      <c r="GV52" s="185"/>
      <c r="GW52" s="185"/>
      <c r="GX52" s="185"/>
      <c r="GY52" s="185"/>
      <c r="GZ52" s="185" t="s">
        <v>374</v>
      </c>
      <c r="HA52" s="185" t="s">
        <v>379</v>
      </c>
      <c r="HB52" s="274" t="s">
        <v>404</v>
      </c>
      <c r="HC52" s="185"/>
      <c r="HD52" s="185"/>
      <c r="HE52" s="185"/>
      <c r="HF52" s="185"/>
      <c r="HG52" s="185"/>
      <c r="HH52" s="185"/>
      <c r="HI52" s="185"/>
      <c r="HJ52" s="185"/>
      <c r="HK52" s="185"/>
      <c r="HL52" s="185"/>
      <c r="HM52" s="185"/>
      <c r="HN52" s="185"/>
      <c r="HO52" s="185"/>
      <c r="HP52" s="185"/>
      <c r="HQ52" s="185"/>
      <c r="HR52" s="185"/>
      <c r="HS52" s="185"/>
      <c r="HT52" s="185"/>
      <c r="HU52" s="185"/>
      <c r="HV52" s="228" t="s">
        <v>471</v>
      </c>
      <c r="HW52" s="228"/>
      <c r="HX52" s="185"/>
      <c r="HY52" s="185"/>
      <c r="HZ52" s="185"/>
      <c r="IA52" s="185"/>
      <c r="IB52" s="185"/>
      <c r="IC52" s="228"/>
      <c r="ID52" s="228"/>
      <c r="IE52" s="228"/>
      <c r="IF52" s="228"/>
      <c r="IG52" s="228"/>
      <c r="IH52" s="228"/>
      <c r="II52" s="228"/>
      <c r="IJ52" s="228"/>
      <c r="IK52" s="185"/>
      <c r="IL52" s="185"/>
      <c r="IM52" s="185"/>
      <c r="IN52" s="185"/>
      <c r="IO52" s="185"/>
      <c r="IP52" s="185"/>
      <c r="IQ52" s="228"/>
      <c r="IR52" s="185"/>
      <c r="IS52" s="185"/>
      <c r="IT52" s="185"/>
      <c r="IU52" s="185"/>
      <c r="IV52" s="185"/>
      <c r="IW52" s="185"/>
      <c r="IX52" s="185"/>
      <c r="IY52" s="185"/>
      <c r="IZ52" s="185"/>
      <c r="JA52" s="185"/>
      <c r="JB52" s="185"/>
      <c r="JC52" s="185"/>
      <c r="JD52" s="185"/>
      <c r="JE52" s="185"/>
      <c r="JF52" s="185"/>
      <c r="JG52" s="185"/>
      <c r="JH52" s="185"/>
      <c r="JI52" s="185"/>
      <c r="JJ52" s="228"/>
      <c r="JK52" s="228"/>
      <c r="JL52" s="228" t="s">
        <v>390</v>
      </c>
      <c r="JM52" s="228" t="s">
        <v>423</v>
      </c>
      <c r="JN52" s="228" t="s">
        <v>462</v>
      </c>
      <c r="JO52" s="228"/>
      <c r="JP52" s="228"/>
      <c r="JQ52" s="228"/>
      <c r="JR52" s="228"/>
      <c r="JS52" s="228"/>
      <c r="JT52" s="228"/>
      <c r="JU52" s="228"/>
      <c r="JV52" s="228"/>
      <c r="JW52" s="228"/>
      <c r="JX52" s="228"/>
      <c r="JY52" s="228"/>
      <c r="JZ52" s="228"/>
      <c r="KA52" s="228"/>
      <c r="KB52" s="228"/>
      <c r="KC52" s="228"/>
      <c r="KD52" s="228"/>
      <c r="KE52" s="228"/>
      <c r="KF52" s="228"/>
      <c r="KG52" s="228"/>
      <c r="KH52" s="228"/>
      <c r="KI52" s="228"/>
      <c r="KJ52" s="228"/>
      <c r="KK52" s="185"/>
      <c r="KL52" s="185"/>
      <c r="KM52" s="185"/>
      <c r="KN52" s="185"/>
      <c r="KO52" s="185"/>
      <c r="KP52" s="185"/>
      <c r="KQ52" s="185"/>
      <c r="KR52" s="185"/>
      <c r="KS52" s="185"/>
      <c r="KT52" s="185"/>
      <c r="KU52" s="185"/>
      <c r="KV52" s="185"/>
      <c r="KW52" s="185"/>
      <c r="KX52" s="185"/>
      <c r="KY52" s="185"/>
      <c r="KZ52" s="185"/>
      <c r="LA52" s="228"/>
      <c r="LB52" s="228"/>
      <c r="LC52" s="228"/>
      <c r="LD52" s="228"/>
      <c r="LE52" s="228"/>
      <c r="LF52" s="52">
        <v>0.76041666666666496</v>
      </c>
    </row>
    <row r="53" spans="2:318" ht="10.5" customHeight="1">
      <c r="B53" s="49">
        <v>0.25</v>
      </c>
      <c r="C53" s="49">
        <v>0.25</v>
      </c>
      <c r="D53" s="49">
        <v>0.25</v>
      </c>
      <c r="E53" s="172">
        <v>0.75</v>
      </c>
      <c r="F53" s="228" t="s">
        <v>375</v>
      </c>
      <c r="G53" s="185" t="s">
        <v>386</v>
      </c>
      <c r="H53" s="185"/>
      <c r="I53" s="185"/>
      <c r="J53" s="185"/>
      <c r="K53" s="185"/>
      <c r="L53" s="185"/>
      <c r="M53" s="228"/>
      <c r="N53" s="185"/>
      <c r="O53" s="185"/>
      <c r="P53" s="185"/>
      <c r="Q53" s="228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228" t="s">
        <v>379</v>
      </c>
      <c r="AD53" s="185" t="s">
        <v>89</v>
      </c>
      <c r="AE53" s="228"/>
      <c r="AF53" s="185"/>
      <c r="AG53" s="185"/>
      <c r="AH53" s="185"/>
      <c r="AI53" s="185"/>
      <c r="AJ53" s="185"/>
      <c r="AK53" s="185"/>
      <c r="AL53" s="185"/>
      <c r="AM53" s="185"/>
      <c r="AN53" s="185"/>
      <c r="AO53" s="302" t="s">
        <v>467</v>
      </c>
      <c r="AP53" s="185"/>
      <c r="AQ53" s="324"/>
      <c r="AR53" s="324"/>
      <c r="AS53" s="324"/>
      <c r="AT53" s="185"/>
      <c r="AU53" s="185"/>
      <c r="AV53" s="185"/>
      <c r="AW53" s="185"/>
      <c r="AX53" s="185"/>
      <c r="AY53" s="298" t="s">
        <v>419</v>
      </c>
      <c r="AZ53" s="185"/>
      <c r="BA53" s="185"/>
      <c r="BB53" s="185"/>
      <c r="BC53" s="185"/>
      <c r="BD53" s="185"/>
      <c r="BE53" s="185"/>
      <c r="BF53" s="185"/>
      <c r="BG53" s="185"/>
      <c r="BH53" s="185"/>
      <c r="BI53" s="185"/>
      <c r="BJ53" s="185"/>
      <c r="BK53" s="185"/>
      <c r="BL53" s="185"/>
      <c r="BM53" s="185"/>
      <c r="BN53" s="185"/>
      <c r="BO53" s="185"/>
      <c r="BP53" s="185"/>
      <c r="BQ53" s="185"/>
      <c r="BR53" s="185"/>
      <c r="BS53" s="185"/>
      <c r="BT53" s="185"/>
      <c r="BU53" s="274" t="s">
        <v>404</v>
      </c>
      <c r="BV53" s="185" t="s">
        <v>376</v>
      </c>
      <c r="BW53" s="185" t="s">
        <v>423</v>
      </c>
      <c r="BX53" s="185"/>
      <c r="BY53" s="185"/>
      <c r="BZ53" s="185"/>
      <c r="CA53" s="185"/>
      <c r="CB53" s="185"/>
      <c r="CC53" s="185"/>
      <c r="CD53" s="185"/>
      <c r="CE53" s="185"/>
      <c r="CF53" s="185"/>
      <c r="CG53" s="228"/>
      <c r="CH53" s="185"/>
      <c r="CI53" s="185"/>
      <c r="CJ53" s="185"/>
      <c r="CK53" s="185"/>
      <c r="CL53" s="53"/>
      <c r="CM53" s="53"/>
      <c r="CN53" s="276" t="s">
        <v>471</v>
      </c>
      <c r="CO53" s="53"/>
      <c r="CP53" s="54"/>
      <c r="CQ53" s="185" t="s">
        <v>375</v>
      </c>
      <c r="CR53" s="185"/>
      <c r="CS53" s="185"/>
      <c r="CT53" s="185"/>
      <c r="CU53" s="185"/>
      <c r="CV53" s="185"/>
      <c r="CW53" s="185"/>
      <c r="CX53" s="228"/>
      <c r="CY53" s="185"/>
      <c r="CZ53" s="185"/>
      <c r="DA53" s="185"/>
      <c r="DB53" s="228"/>
      <c r="DC53" s="185"/>
      <c r="DD53" s="185"/>
      <c r="DE53" s="185"/>
      <c r="DF53" s="185"/>
      <c r="DG53" s="185"/>
      <c r="DH53" s="185"/>
      <c r="DI53" s="185"/>
      <c r="DJ53" s="185"/>
      <c r="DK53" s="185"/>
      <c r="DL53" s="185"/>
      <c r="DM53" s="185"/>
      <c r="DN53" s="185"/>
      <c r="DO53" s="185"/>
      <c r="DP53" s="228" t="s">
        <v>412</v>
      </c>
      <c r="DQ53" s="228" t="s">
        <v>89</v>
      </c>
      <c r="DR53" s="228" t="s">
        <v>379</v>
      </c>
      <c r="DS53" s="185"/>
      <c r="DT53" s="185"/>
      <c r="DU53" s="185"/>
      <c r="DV53" s="185"/>
      <c r="DW53" s="185"/>
      <c r="DX53" s="185"/>
      <c r="DY53" s="185"/>
      <c r="DZ53" s="185"/>
      <c r="EA53" s="185"/>
      <c r="EB53" s="185"/>
      <c r="EC53" s="185"/>
      <c r="ED53" s="185"/>
      <c r="EE53" s="185"/>
      <c r="EF53" s="185"/>
      <c r="EG53" s="185"/>
      <c r="EH53" s="185"/>
      <c r="EI53" s="228" t="s">
        <v>444</v>
      </c>
      <c r="EJ53" s="185"/>
      <c r="EK53" s="186"/>
      <c r="EL53" s="243" t="s">
        <v>471</v>
      </c>
      <c r="EM53" s="185"/>
      <c r="EN53" s="185"/>
      <c r="EO53" s="185"/>
      <c r="EP53" s="185"/>
      <c r="EQ53" s="185"/>
      <c r="ER53" s="185"/>
      <c r="ES53" s="185"/>
      <c r="ET53" s="185"/>
      <c r="EU53" s="185"/>
      <c r="EV53" s="185"/>
      <c r="EW53" s="185"/>
      <c r="EX53" s="185"/>
      <c r="EY53" s="185"/>
      <c r="EZ53" s="185"/>
      <c r="FA53" s="185"/>
      <c r="FB53" s="185"/>
      <c r="FC53" s="185"/>
      <c r="FD53" s="185"/>
      <c r="FE53" s="185"/>
      <c r="FF53" s="185"/>
      <c r="FG53" s="185"/>
      <c r="FH53" s="274" t="s">
        <v>404</v>
      </c>
      <c r="FI53" s="185" t="s">
        <v>376</v>
      </c>
      <c r="FJ53" s="185"/>
      <c r="FK53" s="185"/>
      <c r="FL53" s="185"/>
      <c r="FM53" s="185"/>
      <c r="FN53" s="185"/>
      <c r="FO53" s="185"/>
      <c r="FP53" s="185"/>
      <c r="FQ53" s="185"/>
      <c r="FR53" s="185"/>
      <c r="FS53" s="185"/>
      <c r="FT53" s="185"/>
      <c r="FU53" s="185"/>
      <c r="FV53" s="185"/>
      <c r="FW53" s="185"/>
      <c r="FX53" s="185"/>
      <c r="FY53" s="185"/>
      <c r="FZ53" s="295" t="s">
        <v>419</v>
      </c>
      <c r="GA53" s="185"/>
      <c r="GB53" s="185"/>
      <c r="GC53" s="185"/>
      <c r="GD53" s="243" t="s">
        <v>419</v>
      </c>
      <c r="GE53" s="185"/>
      <c r="GF53" s="185"/>
      <c r="GG53" s="185"/>
      <c r="GH53" s="185"/>
      <c r="GI53" s="185"/>
      <c r="GJ53" s="185"/>
      <c r="GK53" s="185"/>
      <c r="GL53" s="185"/>
      <c r="GM53" s="185"/>
      <c r="GN53" s="243" t="s">
        <v>462</v>
      </c>
      <c r="GO53" s="185"/>
      <c r="GP53" s="185"/>
      <c r="GQ53" s="185"/>
      <c r="GR53" s="185"/>
      <c r="GS53" s="185"/>
      <c r="GT53" s="185"/>
      <c r="GU53" s="185"/>
      <c r="GV53" s="185"/>
      <c r="GW53" s="185"/>
      <c r="GX53" s="185"/>
      <c r="GY53" s="185"/>
      <c r="GZ53" s="185" t="s">
        <v>374</v>
      </c>
      <c r="HA53" s="185" t="s">
        <v>379</v>
      </c>
      <c r="HB53" s="274" t="s">
        <v>404</v>
      </c>
      <c r="HC53" s="185"/>
      <c r="HD53" s="185"/>
      <c r="HE53" s="185"/>
      <c r="HF53" s="185"/>
      <c r="HG53" s="185"/>
      <c r="HH53" s="185"/>
      <c r="HI53" s="185"/>
      <c r="HJ53" s="185"/>
      <c r="HK53" s="185"/>
      <c r="HL53" s="185"/>
      <c r="HM53" s="185"/>
      <c r="HN53" s="185"/>
      <c r="HO53" s="185"/>
      <c r="HP53" s="185"/>
      <c r="HQ53" s="185"/>
      <c r="HR53" s="185"/>
      <c r="HS53" s="185"/>
      <c r="HT53" s="185"/>
      <c r="HU53" s="185"/>
      <c r="HV53" s="228" t="s">
        <v>471</v>
      </c>
      <c r="HW53" s="307"/>
      <c r="HX53" s="301"/>
      <c r="HY53" s="301"/>
      <c r="HZ53" s="301"/>
      <c r="IA53" s="301"/>
      <c r="IB53" s="301"/>
      <c r="IC53" s="228"/>
      <c r="ID53" s="307"/>
      <c r="IE53" s="307"/>
      <c r="IF53" s="228"/>
      <c r="IG53" s="307"/>
      <c r="IH53" s="307"/>
      <c r="II53" s="307"/>
      <c r="IJ53" s="307"/>
      <c r="IK53" s="185"/>
      <c r="IL53" s="301"/>
      <c r="IM53" s="301"/>
      <c r="IN53" s="301"/>
      <c r="IO53" s="301"/>
      <c r="IP53" s="301"/>
      <c r="IQ53" s="228"/>
      <c r="IR53" s="185"/>
      <c r="IS53" s="301"/>
      <c r="IT53" s="301"/>
      <c r="IU53" s="301"/>
      <c r="IV53" s="301"/>
      <c r="IW53" s="301"/>
      <c r="IX53" s="301"/>
      <c r="IY53" s="301"/>
      <c r="IZ53" s="301"/>
      <c r="JA53" s="301"/>
      <c r="JB53" s="301"/>
      <c r="JC53" s="301"/>
      <c r="JD53" s="301"/>
      <c r="JE53" s="301"/>
      <c r="JF53" s="185"/>
      <c r="JG53" s="185"/>
      <c r="JH53" s="185"/>
      <c r="JI53" s="185"/>
      <c r="JJ53" s="228"/>
      <c r="JK53" s="301"/>
      <c r="JL53" s="301" t="s">
        <v>390</v>
      </c>
      <c r="JM53" s="228" t="s">
        <v>423</v>
      </c>
      <c r="JN53" s="221"/>
      <c r="JO53" s="221"/>
      <c r="JP53" s="221"/>
      <c r="JQ53" s="221"/>
      <c r="JR53" s="221"/>
      <c r="JS53" s="221"/>
      <c r="JT53" s="221"/>
      <c r="JU53" s="221"/>
      <c r="JV53" s="221"/>
      <c r="JW53" s="221"/>
      <c r="JX53" s="221"/>
      <c r="JY53" s="221"/>
      <c r="JZ53" s="221"/>
      <c r="KA53" s="221"/>
      <c r="KB53" s="221"/>
      <c r="KC53" s="221"/>
      <c r="KD53" s="221"/>
      <c r="KE53" s="221"/>
      <c r="KF53" s="221"/>
      <c r="KG53" s="221"/>
      <c r="KH53" s="221"/>
      <c r="KI53" s="221"/>
      <c r="KJ53" s="221"/>
      <c r="KK53" s="221"/>
      <c r="KL53" s="221"/>
      <c r="KM53" s="221"/>
      <c r="KN53" s="221"/>
      <c r="KO53" s="221"/>
      <c r="KP53" s="221"/>
      <c r="KQ53" s="221"/>
      <c r="KR53" s="221"/>
      <c r="KS53" s="221"/>
      <c r="KT53" s="221"/>
      <c r="KU53" s="221"/>
      <c r="KV53" s="221"/>
      <c r="KW53" s="221"/>
      <c r="KX53" s="221"/>
      <c r="KY53" s="221"/>
      <c r="KZ53" s="221"/>
      <c r="LA53" s="221"/>
      <c r="LB53" s="221"/>
      <c r="LC53" s="221"/>
      <c r="LD53" s="221"/>
      <c r="LE53" s="299"/>
      <c r="LF53" s="52">
        <v>0.77083333333333204</v>
      </c>
    </row>
    <row r="54" spans="2:318" ht="10.5" customHeight="1">
      <c r="B54" s="49">
        <v>0.25</v>
      </c>
      <c r="C54" s="49">
        <v>0.25</v>
      </c>
      <c r="D54" s="49">
        <v>0.25</v>
      </c>
      <c r="E54" s="172">
        <v>0.76041666666666663</v>
      </c>
      <c r="F54" s="228" t="s">
        <v>375</v>
      </c>
      <c r="G54" s="185"/>
      <c r="H54" s="185"/>
      <c r="I54" s="185"/>
      <c r="J54" s="185"/>
      <c r="K54" s="185"/>
      <c r="L54" s="185"/>
      <c r="M54" s="228"/>
      <c r="N54" s="185"/>
      <c r="O54" s="185"/>
      <c r="P54" s="185"/>
      <c r="Q54" s="228"/>
      <c r="R54" s="185"/>
      <c r="S54" s="185"/>
      <c r="T54" s="185"/>
      <c r="U54" s="185"/>
      <c r="V54" s="185"/>
      <c r="W54" s="185" t="s">
        <v>386</v>
      </c>
      <c r="X54" s="185"/>
      <c r="Y54" s="185"/>
      <c r="Z54" s="185"/>
      <c r="AA54" s="185"/>
      <c r="AB54" s="185"/>
      <c r="AC54" s="228" t="s">
        <v>379</v>
      </c>
      <c r="AD54" s="185" t="s">
        <v>89</v>
      </c>
      <c r="AE54" s="228"/>
      <c r="AF54" s="185"/>
      <c r="AG54" s="185"/>
      <c r="AH54" s="185"/>
      <c r="AI54" s="185"/>
      <c r="AJ54" s="185"/>
      <c r="AK54" s="185"/>
      <c r="AL54" s="185"/>
      <c r="AM54" s="185"/>
      <c r="AN54" s="185"/>
      <c r="AO54" s="185"/>
      <c r="AP54" s="185"/>
      <c r="AQ54" s="324"/>
      <c r="AR54" s="324"/>
      <c r="AS54" s="324"/>
      <c r="AT54" s="185"/>
      <c r="AU54" s="185"/>
      <c r="AV54" s="185"/>
      <c r="AW54" s="185"/>
      <c r="AX54" s="185"/>
      <c r="AY54" s="298" t="s">
        <v>419</v>
      </c>
      <c r="AZ54" s="185"/>
      <c r="BA54" s="185"/>
      <c r="BB54" s="185"/>
      <c r="BC54" s="185"/>
      <c r="BD54" s="185"/>
      <c r="BE54" s="185"/>
      <c r="BF54" s="185"/>
      <c r="BG54" s="185"/>
      <c r="BH54" s="185"/>
      <c r="BI54" s="185"/>
      <c r="BJ54" s="185"/>
      <c r="BK54" s="185"/>
      <c r="BL54" s="185"/>
      <c r="BM54" s="185"/>
      <c r="BN54" s="185"/>
      <c r="BO54" s="185"/>
      <c r="BP54" s="185"/>
      <c r="BQ54" s="185"/>
      <c r="BR54" s="185"/>
      <c r="BS54" s="185"/>
      <c r="BT54" s="185"/>
      <c r="BU54" s="274" t="s">
        <v>404</v>
      </c>
      <c r="BV54" s="185" t="s">
        <v>376</v>
      </c>
      <c r="BW54" s="185" t="s">
        <v>423</v>
      </c>
      <c r="BX54" s="185"/>
      <c r="BY54" s="185"/>
      <c r="BZ54" s="185"/>
      <c r="CA54" s="185"/>
      <c r="CB54" s="185"/>
      <c r="CC54" s="185"/>
      <c r="CD54" s="185"/>
      <c r="CE54" s="185"/>
      <c r="CF54" s="185"/>
      <c r="CG54" s="185"/>
      <c r="CH54" s="185"/>
      <c r="CI54" s="185"/>
      <c r="CJ54" s="185"/>
      <c r="CK54" s="185"/>
      <c r="CL54" s="53"/>
      <c r="CM54" s="53"/>
      <c r="CN54" s="276" t="s">
        <v>471</v>
      </c>
      <c r="CO54" s="53"/>
      <c r="CP54" s="54"/>
      <c r="CQ54" s="185" t="s">
        <v>375</v>
      </c>
      <c r="CR54" s="185"/>
      <c r="CS54" s="185"/>
      <c r="CT54" s="185"/>
      <c r="CU54" s="185"/>
      <c r="CV54" s="185"/>
      <c r="CW54" s="185"/>
      <c r="CX54" s="228"/>
      <c r="CY54" s="185"/>
      <c r="CZ54" s="185"/>
      <c r="DA54" s="185"/>
      <c r="DB54" s="228"/>
      <c r="DC54" s="185"/>
      <c r="DD54" s="185"/>
      <c r="DE54" s="185"/>
      <c r="DF54" s="185"/>
      <c r="DG54" s="185"/>
      <c r="DH54" s="185"/>
      <c r="DI54" s="185"/>
      <c r="DJ54" s="185"/>
      <c r="DK54" s="185"/>
      <c r="DL54" s="185"/>
      <c r="DM54" s="185"/>
      <c r="DN54" s="185"/>
      <c r="DO54" s="185"/>
      <c r="DP54" s="228" t="s">
        <v>412</v>
      </c>
      <c r="DQ54" s="228" t="s">
        <v>89</v>
      </c>
      <c r="DR54" s="228" t="s">
        <v>379</v>
      </c>
      <c r="DS54" s="185"/>
      <c r="DT54" s="185"/>
      <c r="DU54" s="185"/>
      <c r="DV54" s="185"/>
      <c r="DW54" s="185"/>
      <c r="DX54" s="185"/>
      <c r="DY54" s="185"/>
      <c r="DZ54" s="185"/>
      <c r="EA54" s="185"/>
      <c r="EB54" s="185"/>
      <c r="EC54" s="185"/>
      <c r="ED54" s="185"/>
      <c r="EE54" s="185"/>
      <c r="EF54" s="185"/>
      <c r="EG54" s="185"/>
      <c r="EH54" s="185"/>
      <c r="EI54" s="228" t="s">
        <v>444</v>
      </c>
      <c r="EJ54" s="185"/>
      <c r="EK54" s="186"/>
      <c r="EL54" s="243" t="s">
        <v>471</v>
      </c>
      <c r="EM54" s="185"/>
      <c r="EN54" s="185"/>
      <c r="EO54" s="185"/>
      <c r="EP54" s="185"/>
      <c r="EQ54" s="185"/>
      <c r="ER54" s="185"/>
      <c r="ES54" s="185"/>
      <c r="ET54" s="185"/>
      <c r="EU54" s="185"/>
      <c r="EV54" s="185"/>
      <c r="EW54" s="185"/>
      <c r="EX54" s="185"/>
      <c r="EY54" s="185"/>
      <c r="EZ54" s="185"/>
      <c r="FA54" s="185"/>
      <c r="FB54" s="185"/>
      <c r="FC54" s="185"/>
      <c r="FD54" s="185"/>
      <c r="FE54" s="185"/>
      <c r="FF54" s="185"/>
      <c r="FG54" s="185"/>
      <c r="FH54" s="274" t="s">
        <v>404</v>
      </c>
      <c r="FI54" s="185" t="s">
        <v>376</v>
      </c>
      <c r="FJ54" s="185"/>
      <c r="FK54" s="185"/>
      <c r="FL54" s="185"/>
      <c r="FM54" s="185"/>
      <c r="FN54" s="185"/>
      <c r="FO54" s="185"/>
      <c r="FP54" s="185"/>
      <c r="FQ54" s="185"/>
      <c r="FR54" s="185"/>
      <c r="FS54" s="185"/>
      <c r="FT54" s="185"/>
      <c r="FU54" s="185"/>
      <c r="FV54" s="185"/>
      <c r="FW54" s="185"/>
      <c r="FX54" s="185"/>
      <c r="FY54" s="185"/>
      <c r="FZ54" s="295" t="s">
        <v>419</v>
      </c>
      <c r="GA54" s="185"/>
      <c r="GB54" s="185"/>
      <c r="GC54" s="185"/>
      <c r="GD54" s="243" t="s">
        <v>419</v>
      </c>
      <c r="GE54" s="185"/>
      <c r="GF54" s="185"/>
      <c r="GG54" s="185"/>
      <c r="GH54" s="185"/>
      <c r="GI54" s="185"/>
      <c r="GJ54" s="185"/>
      <c r="GK54" s="185"/>
      <c r="GL54" s="185"/>
      <c r="GM54" s="185"/>
      <c r="GN54" s="243" t="s">
        <v>462</v>
      </c>
      <c r="GO54" s="185"/>
      <c r="GP54" s="185"/>
      <c r="GQ54" s="185"/>
      <c r="GR54" s="185"/>
      <c r="GS54" s="185"/>
      <c r="GT54" s="185"/>
      <c r="GU54" s="185"/>
      <c r="GV54" s="185"/>
      <c r="GW54" s="185"/>
      <c r="GX54" s="185"/>
      <c r="GY54" s="185"/>
      <c r="GZ54" s="185" t="s">
        <v>374</v>
      </c>
      <c r="HA54" s="185" t="s">
        <v>379</v>
      </c>
      <c r="HB54" s="274" t="s">
        <v>404</v>
      </c>
      <c r="HC54" s="185"/>
      <c r="HD54" s="185"/>
      <c r="HE54" s="185"/>
      <c r="HF54" s="185"/>
      <c r="HG54" s="185"/>
      <c r="HH54" s="185"/>
      <c r="HI54" s="185"/>
      <c r="HJ54" s="185"/>
      <c r="HK54" s="185"/>
      <c r="HL54" s="185"/>
      <c r="HM54" s="185"/>
      <c r="HN54" s="185"/>
      <c r="HO54" s="185"/>
      <c r="HP54" s="185"/>
      <c r="HQ54" s="185"/>
      <c r="HR54" s="185"/>
      <c r="HS54" s="185"/>
      <c r="HT54" s="185"/>
      <c r="HU54" s="185"/>
      <c r="HV54" s="228" t="s">
        <v>471</v>
      </c>
      <c r="HW54" s="228"/>
      <c r="HX54" s="185"/>
      <c r="HY54" s="185"/>
      <c r="HZ54" s="185"/>
      <c r="IA54" s="185"/>
      <c r="IB54" s="185"/>
      <c r="IC54" s="228"/>
      <c r="ID54" s="185"/>
      <c r="IE54" s="185"/>
      <c r="IF54" s="185"/>
      <c r="IG54" s="185"/>
      <c r="IH54" s="185"/>
      <c r="II54" s="185"/>
      <c r="IJ54" s="185"/>
      <c r="IK54" s="185"/>
      <c r="IL54" s="185"/>
      <c r="IM54" s="185"/>
      <c r="IN54" s="185"/>
      <c r="IO54" s="185"/>
      <c r="IP54" s="185"/>
      <c r="IQ54" s="228"/>
      <c r="IR54" s="185"/>
      <c r="IS54" s="185"/>
      <c r="IT54" s="185"/>
      <c r="IU54" s="185"/>
      <c r="IV54" s="185"/>
      <c r="IW54" s="185"/>
      <c r="IX54" s="185"/>
      <c r="IY54" s="185"/>
      <c r="IZ54" s="185"/>
      <c r="JA54" s="185"/>
      <c r="JB54" s="185"/>
      <c r="JC54" s="185"/>
      <c r="JD54" s="185"/>
      <c r="JE54" s="185"/>
      <c r="JF54" s="185"/>
      <c r="JG54" s="185"/>
      <c r="JH54" s="185"/>
      <c r="JI54" s="185"/>
      <c r="JJ54" s="228"/>
      <c r="JK54" s="185"/>
      <c r="JL54" s="185" t="s">
        <v>390</v>
      </c>
      <c r="JM54" s="186"/>
      <c r="JN54" s="221"/>
      <c r="JO54" s="221"/>
      <c r="JP54" s="221"/>
      <c r="JQ54" s="221"/>
      <c r="JR54" s="221"/>
      <c r="JS54" s="221"/>
      <c r="JT54" s="221"/>
      <c r="JU54" s="221"/>
      <c r="JV54" s="221"/>
      <c r="JW54" s="221"/>
      <c r="JX54" s="221"/>
      <c r="JY54" s="221"/>
      <c r="JZ54" s="221"/>
      <c r="KA54" s="221"/>
      <c r="KB54" s="221"/>
      <c r="KC54" s="221"/>
      <c r="KD54" s="221"/>
      <c r="KE54" s="221"/>
      <c r="KF54" s="221"/>
      <c r="KG54" s="221"/>
      <c r="KH54" s="221"/>
      <c r="KI54" s="221"/>
      <c r="KJ54" s="221"/>
      <c r="KK54" s="221"/>
      <c r="KL54" s="221"/>
      <c r="KM54" s="221"/>
      <c r="KN54" s="221"/>
      <c r="KO54" s="221"/>
      <c r="KP54" s="221"/>
      <c r="KQ54" s="221"/>
      <c r="KR54" s="221"/>
      <c r="KS54" s="221"/>
      <c r="KT54" s="221"/>
      <c r="KU54" s="221"/>
      <c r="KV54" s="221"/>
      <c r="KW54" s="221"/>
      <c r="KX54" s="221"/>
      <c r="KY54" s="221"/>
      <c r="KZ54" s="221"/>
      <c r="LA54" s="221"/>
      <c r="LB54" s="221"/>
      <c r="LC54" s="221"/>
      <c r="LD54" s="221"/>
      <c r="LE54" s="299"/>
      <c r="LF54" s="52">
        <v>0.781249999999999</v>
      </c>
    </row>
    <row r="55" spans="2:318" ht="10.5" customHeight="1">
      <c r="B55" s="49">
        <v>0.25</v>
      </c>
      <c r="C55" s="49">
        <v>0.25</v>
      </c>
      <c r="D55" s="49">
        <v>0.25</v>
      </c>
      <c r="E55" s="172">
        <v>0.77083333333333337</v>
      </c>
      <c r="F55" s="228" t="s">
        <v>375</v>
      </c>
      <c r="G55" s="185"/>
      <c r="H55" s="185"/>
      <c r="I55" s="185"/>
      <c r="J55" s="185"/>
      <c r="K55" s="185"/>
      <c r="L55" s="185"/>
      <c r="M55" s="228"/>
      <c r="N55" s="185"/>
      <c r="O55" s="185"/>
      <c r="P55" s="185"/>
      <c r="Q55" s="228" t="s">
        <v>411</v>
      </c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228" t="s">
        <v>379</v>
      </c>
      <c r="AD55" s="185" t="s">
        <v>89</v>
      </c>
      <c r="AE55" s="228"/>
      <c r="AF55" s="185"/>
      <c r="AG55" s="185"/>
      <c r="AH55" s="185"/>
      <c r="AI55" s="185"/>
      <c r="AJ55" s="185"/>
      <c r="AK55" s="185"/>
      <c r="AL55" s="185"/>
      <c r="AM55" s="185"/>
      <c r="AN55" s="185"/>
      <c r="AO55" s="185"/>
      <c r="AP55" s="185"/>
      <c r="AQ55" s="324"/>
      <c r="AR55" s="324"/>
      <c r="AS55" s="324"/>
      <c r="AT55" s="176"/>
      <c r="AU55" s="276" t="s">
        <v>386</v>
      </c>
      <c r="AV55" s="185"/>
      <c r="AW55" s="185" t="s">
        <v>371</v>
      </c>
      <c r="AX55" s="185"/>
      <c r="AY55" s="298" t="s">
        <v>419</v>
      </c>
      <c r="AZ55" s="185"/>
      <c r="BA55" s="185"/>
      <c r="BB55" s="185"/>
      <c r="BC55" s="185"/>
      <c r="BD55" s="185"/>
      <c r="BE55" s="185"/>
      <c r="BF55" s="228"/>
      <c r="BG55" s="185"/>
      <c r="BH55" s="185"/>
      <c r="BI55" s="185"/>
      <c r="BJ55" s="185"/>
      <c r="BK55" s="185"/>
      <c r="BL55" s="185"/>
      <c r="BM55" s="185"/>
      <c r="BN55" s="185"/>
      <c r="BO55" s="185"/>
      <c r="BP55" s="185"/>
      <c r="BQ55" s="185"/>
      <c r="BR55" s="185"/>
      <c r="BS55" s="185"/>
      <c r="BT55" s="185"/>
      <c r="BU55" s="274" t="s">
        <v>404</v>
      </c>
      <c r="BV55" s="185" t="s">
        <v>376</v>
      </c>
      <c r="BW55" s="185" t="s">
        <v>423</v>
      </c>
      <c r="BX55" s="185"/>
      <c r="BY55" s="185"/>
      <c r="BZ55" s="185"/>
      <c r="CA55" s="185"/>
      <c r="CB55" s="185"/>
      <c r="CC55" s="185"/>
      <c r="CD55" s="185"/>
      <c r="CE55" s="185"/>
      <c r="CF55" s="185"/>
      <c r="CG55" s="185"/>
      <c r="CH55" s="185"/>
      <c r="CI55" s="185"/>
      <c r="CJ55" s="185"/>
      <c r="CK55" s="185"/>
      <c r="CL55" s="53"/>
      <c r="CM55" s="276" t="s">
        <v>471</v>
      </c>
      <c r="CN55" s="53"/>
      <c r="CO55" s="53"/>
      <c r="CP55" s="54"/>
      <c r="CQ55" s="185" t="s">
        <v>375</v>
      </c>
      <c r="CR55" s="185"/>
      <c r="CS55" s="185"/>
      <c r="CT55" s="185"/>
      <c r="CU55" s="185"/>
      <c r="CV55" s="185"/>
      <c r="CW55" s="185"/>
      <c r="CX55" s="185"/>
      <c r="CY55" s="185"/>
      <c r="CZ55" s="185"/>
      <c r="DA55" s="185"/>
      <c r="DB55" s="185"/>
      <c r="DC55" s="185"/>
      <c r="DD55" s="185"/>
      <c r="DE55" s="185"/>
      <c r="DF55" s="185"/>
      <c r="DG55" s="185"/>
      <c r="DH55" s="185"/>
      <c r="DI55" s="185"/>
      <c r="DJ55" s="185"/>
      <c r="DK55" s="185"/>
      <c r="DL55" s="185"/>
      <c r="DM55" s="185"/>
      <c r="DN55" s="185"/>
      <c r="DO55" s="185"/>
      <c r="DP55" s="228" t="s">
        <v>412</v>
      </c>
      <c r="DQ55" s="228" t="s">
        <v>89</v>
      </c>
      <c r="DR55" s="228" t="s">
        <v>379</v>
      </c>
      <c r="DS55" s="185"/>
      <c r="DT55" s="185"/>
      <c r="DU55" s="185"/>
      <c r="DV55" s="185"/>
      <c r="DW55" s="185"/>
      <c r="DX55" s="185"/>
      <c r="DY55" s="185"/>
      <c r="DZ55" s="185"/>
      <c r="EA55" s="185"/>
      <c r="EB55" s="185"/>
      <c r="EC55" s="185"/>
      <c r="ED55" s="185"/>
      <c r="EE55" s="185"/>
      <c r="EF55" s="185"/>
      <c r="EG55" s="185"/>
      <c r="EH55" s="228"/>
      <c r="EI55" s="228" t="s">
        <v>444</v>
      </c>
      <c r="EJ55" s="185" t="s">
        <v>371</v>
      </c>
      <c r="EK55" s="186"/>
      <c r="EL55" s="243" t="s">
        <v>471</v>
      </c>
      <c r="EM55" s="185"/>
      <c r="EN55" s="185"/>
      <c r="EO55" s="185"/>
      <c r="EP55" s="185"/>
      <c r="EQ55" s="185"/>
      <c r="ER55" s="185"/>
      <c r="ES55" s="185"/>
      <c r="ET55" s="185"/>
      <c r="EU55" s="185"/>
      <c r="EV55" s="185"/>
      <c r="EW55" s="185"/>
      <c r="EX55" s="185"/>
      <c r="EY55" s="185"/>
      <c r="EZ55" s="185"/>
      <c r="FA55" s="228" t="s">
        <v>419</v>
      </c>
      <c r="FB55" s="185"/>
      <c r="FC55" s="185"/>
      <c r="FD55" s="185"/>
      <c r="FE55" s="185"/>
      <c r="FF55" s="185"/>
      <c r="FG55" s="185"/>
      <c r="FH55" s="274" t="s">
        <v>404</v>
      </c>
      <c r="FI55" s="185" t="s">
        <v>376</v>
      </c>
      <c r="FJ55" s="185"/>
      <c r="FK55" s="185"/>
      <c r="FL55" s="185"/>
      <c r="FM55" s="185"/>
      <c r="FN55" s="185"/>
      <c r="FO55" s="185"/>
      <c r="FP55" s="185"/>
      <c r="FQ55" s="185"/>
      <c r="FR55" s="185"/>
      <c r="FS55" s="185"/>
      <c r="FT55" s="185"/>
      <c r="FU55" s="185"/>
      <c r="FV55" s="185"/>
      <c r="FW55" s="185"/>
      <c r="FX55" s="185"/>
      <c r="FY55" s="228" t="s">
        <v>463</v>
      </c>
      <c r="FZ55" s="185"/>
      <c r="GA55" s="185"/>
      <c r="GB55" s="185"/>
      <c r="GC55" s="185"/>
      <c r="GD55" s="243" t="s">
        <v>419</v>
      </c>
      <c r="GE55" s="185"/>
      <c r="GF55" s="185"/>
      <c r="GG55" s="185"/>
      <c r="GH55" s="185"/>
      <c r="GI55" s="185"/>
      <c r="GJ55" s="185"/>
      <c r="GK55" s="243"/>
      <c r="GL55" s="185"/>
      <c r="GM55" s="185"/>
      <c r="GN55" s="243" t="s">
        <v>462</v>
      </c>
      <c r="GO55" s="185"/>
      <c r="GP55" s="185"/>
      <c r="GQ55" s="185"/>
      <c r="GR55" s="185"/>
      <c r="GS55" s="185"/>
      <c r="GT55" s="185"/>
      <c r="GU55" s="185"/>
      <c r="GV55" s="185"/>
      <c r="GW55" s="185"/>
      <c r="GX55" s="185"/>
      <c r="GY55" s="185"/>
      <c r="GZ55" s="185" t="s">
        <v>374</v>
      </c>
      <c r="HA55" s="185" t="s">
        <v>379</v>
      </c>
      <c r="HB55" s="274" t="s">
        <v>404</v>
      </c>
      <c r="HC55" s="185"/>
      <c r="HD55" s="185"/>
      <c r="HE55" s="185"/>
      <c r="HF55" s="185"/>
      <c r="HG55" s="185"/>
      <c r="HH55" s="185"/>
      <c r="HI55" s="185"/>
      <c r="HJ55" s="185"/>
      <c r="HK55" s="185"/>
      <c r="HL55" s="185"/>
      <c r="HM55" s="185"/>
      <c r="HN55" s="185"/>
      <c r="HO55" s="185"/>
      <c r="HP55" s="185"/>
      <c r="HQ55" s="185"/>
      <c r="HR55" s="228" t="s">
        <v>471</v>
      </c>
      <c r="HS55" s="228"/>
      <c r="HT55" s="185" t="s">
        <v>377</v>
      </c>
      <c r="HU55" s="185"/>
      <c r="HV55" s="228" t="s">
        <v>471</v>
      </c>
      <c r="HW55" s="185"/>
      <c r="HX55" s="185"/>
      <c r="HY55" s="185"/>
      <c r="HZ55" s="185"/>
      <c r="IA55" s="185"/>
      <c r="IB55" s="185"/>
      <c r="IC55" s="185"/>
      <c r="ID55" s="185"/>
      <c r="IE55" s="185"/>
      <c r="IF55" s="185"/>
      <c r="IG55" s="185"/>
      <c r="IH55" s="185"/>
      <c r="II55" s="185"/>
      <c r="IJ55" s="185"/>
      <c r="IK55" s="185"/>
      <c r="IL55" s="185"/>
      <c r="IM55" s="185"/>
      <c r="IN55" s="185"/>
      <c r="IO55" s="185"/>
      <c r="IP55" s="185"/>
      <c r="IQ55" s="228"/>
      <c r="IR55" s="185"/>
      <c r="IS55" s="185"/>
      <c r="IT55" s="185"/>
      <c r="IU55" s="185"/>
      <c r="IV55" s="185"/>
      <c r="IW55" s="185"/>
      <c r="IX55" s="185"/>
      <c r="IY55" s="185"/>
      <c r="IZ55" s="185"/>
      <c r="JA55" s="185"/>
      <c r="JB55" s="185"/>
      <c r="JC55" s="185"/>
      <c r="JD55" s="185"/>
      <c r="JE55" s="185"/>
      <c r="JF55" s="185"/>
      <c r="JG55" s="185"/>
      <c r="JH55" s="185"/>
      <c r="JI55" s="185"/>
      <c r="JJ55" s="185"/>
      <c r="JK55" s="185"/>
      <c r="JL55" s="185"/>
      <c r="JM55" s="186"/>
      <c r="JN55" s="221"/>
      <c r="JO55" s="221"/>
      <c r="JP55" s="221"/>
      <c r="JQ55" s="221"/>
      <c r="JR55" s="221"/>
      <c r="JS55" s="221"/>
      <c r="JT55" s="221"/>
      <c r="JU55" s="221"/>
      <c r="JV55" s="221"/>
      <c r="JW55" s="221"/>
      <c r="JX55" s="221"/>
      <c r="JY55" s="221"/>
      <c r="JZ55" s="221"/>
      <c r="KA55" s="221"/>
      <c r="KB55" s="221"/>
      <c r="KC55" s="221"/>
      <c r="KD55" s="221"/>
      <c r="KE55" s="221"/>
      <c r="KF55" s="221"/>
      <c r="KG55" s="221"/>
      <c r="KH55" s="221"/>
      <c r="KI55" s="221"/>
      <c r="KJ55" s="221"/>
      <c r="KK55" s="221"/>
      <c r="KL55" s="221"/>
      <c r="KM55" s="221"/>
      <c r="KN55" s="221"/>
      <c r="KO55" s="221"/>
      <c r="KP55" s="221"/>
      <c r="KQ55" s="221"/>
      <c r="KR55" s="221"/>
      <c r="KS55" s="221"/>
      <c r="KT55" s="221"/>
      <c r="KU55" s="221"/>
      <c r="KV55" s="221"/>
      <c r="KW55" s="221"/>
      <c r="KX55" s="221"/>
      <c r="KY55" s="221"/>
      <c r="KZ55" s="221"/>
      <c r="LA55" s="221"/>
      <c r="LB55" s="221"/>
      <c r="LC55" s="221"/>
      <c r="LD55" s="221"/>
      <c r="LE55" s="299"/>
      <c r="LF55" s="52">
        <v>0.79166666666666496</v>
      </c>
    </row>
    <row r="56" spans="2:318" ht="10.5" customHeight="1">
      <c r="B56" s="49">
        <v>0.25</v>
      </c>
      <c r="C56" s="49">
        <v>0.25</v>
      </c>
      <c r="D56" s="49">
        <v>0.25</v>
      </c>
      <c r="E56" s="172">
        <v>0.78125</v>
      </c>
      <c r="F56" s="228" t="s">
        <v>375</v>
      </c>
      <c r="G56" s="185"/>
      <c r="H56" s="185"/>
      <c r="I56" s="185"/>
      <c r="J56" s="185"/>
      <c r="K56" s="185"/>
      <c r="L56" s="185"/>
      <c r="M56" s="228"/>
      <c r="N56" s="185"/>
      <c r="O56" s="185"/>
      <c r="P56" s="185"/>
      <c r="Q56" s="228" t="s">
        <v>411</v>
      </c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228" t="s">
        <v>379</v>
      </c>
      <c r="AD56" s="185" t="s">
        <v>89</v>
      </c>
      <c r="AE56" s="228"/>
      <c r="AF56" s="185"/>
      <c r="AG56" s="185"/>
      <c r="AH56" s="185"/>
      <c r="AI56" s="185"/>
      <c r="AJ56" s="185"/>
      <c r="AK56" s="185"/>
      <c r="AL56" s="185"/>
      <c r="AM56" s="185"/>
      <c r="AN56" s="185"/>
      <c r="AO56" s="185"/>
      <c r="AP56" s="185"/>
      <c r="AQ56" s="324"/>
      <c r="AR56" s="324"/>
      <c r="AS56" s="324"/>
      <c r="AT56" s="176"/>
      <c r="AU56" s="276" t="s">
        <v>386</v>
      </c>
      <c r="AV56" s="185"/>
      <c r="AW56" s="185" t="s">
        <v>371</v>
      </c>
      <c r="AX56" s="185"/>
      <c r="AY56" s="228" t="s">
        <v>411</v>
      </c>
      <c r="AZ56" s="185"/>
      <c r="BA56" s="185"/>
      <c r="BB56" s="185"/>
      <c r="BC56" s="185"/>
      <c r="BD56" s="185"/>
      <c r="BE56" s="185"/>
      <c r="BF56" s="228"/>
      <c r="BG56" s="185"/>
      <c r="BH56" s="185"/>
      <c r="BI56" s="185"/>
      <c r="BJ56" s="185"/>
      <c r="BK56" s="185"/>
      <c r="BL56" s="185"/>
      <c r="BM56" s="185"/>
      <c r="BN56" s="185" t="s">
        <v>419</v>
      </c>
      <c r="BO56" s="185"/>
      <c r="BP56" s="185"/>
      <c r="BQ56" s="185"/>
      <c r="BR56" s="185"/>
      <c r="BS56" s="185"/>
      <c r="BT56" s="185"/>
      <c r="BU56" s="274" t="s">
        <v>404</v>
      </c>
      <c r="BV56" s="185" t="s">
        <v>376</v>
      </c>
      <c r="BW56" s="185" t="s">
        <v>423</v>
      </c>
      <c r="BX56" s="185"/>
      <c r="BY56" s="185"/>
      <c r="BZ56" s="185"/>
      <c r="CA56" s="185"/>
      <c r="CB56" s="185"/>
      <c r="CC56" s="185"/>
      <c r="CD56" s="185"/>
      <c r="CE56" s="185"/>
      <c r="CF56" s="185"/>
      <c r="CG56" s="185"/>
      <c r="CH56" s="185"/>
      <c r="CI56" s="185"/>
      <c r="CJ56" s="185"/>
      <c r="CK56" s="185"/>
      <c r="CL56" s="53"/>
      <c r="CM56" s="276" t="s">
        <v>471</v>
      </c>
      <c r="CN56" s="53"/>
      <c r="CO56" s="53"/>
      <c r="CP56" s="54"/>
      <c r="CQ56" s="238" t="s">
        <v>375</v>
      </c>
      <c r="CR56" s="185"/>
      <c r="CS56" s="185"/>
      <c r="CT56" s="185"/>
      <c r="CU56" s="185"/>
      <c r="CV56" s="185"/>
      <c r="CW56" s="185"/>
      <c r="CX56" s="185"/>
      <c r="CY56" s="185"/>
      <c r="CZ56" s="185"/>
      <c r="DA56" s="185"/>
      <c r="DB56" s="185"/>
      <c r="DC56" s="185"/>
      <c r="DD56" s="185"/>
      <c r="DE56" s="185"/>
      <c r="DF56" s="185"/>
      <c r="DG56" s="185"/>
      <c r="DH56" s="185"/>
      <c r="DI56" s="185"/>
      <c r="DJ56" s="185"/>
      <c r="DK56" s="185"/>
      <c r="DL56" s="185"/>
      <c r="DM56" s="185"/>
      <c r="DN56" s="185"/>
      <c r="DO56" s="185"/>
      <c r="DP56" s="228" t="s">
        <v>412</v>
      </c>
      <c r="DQ56" s="228" t="s">
        <v>89</v>
      </c>
      <c r="DR56" s="228" t="s">
        <v>379</v>
      </c>
      <c r="DS56" s="185"/>
      <c r="DT56" s="185"/>
      <c r="DU56" s="185"/>
      <c r="DV56" s="185"/>
      <c r="DW56" s="185"/>
      <c r="DX56" s="185"/>
      <c r="DY56" s="185"/>
      <c r="DZ56" s="185"/>
      <c r="EA56" s="185"/>
      <c r="EB56" s="185"/>
      <c r="EC56" s="185"/>
      <c r="ED56" s="185"/>
      <c r="EE56" s="185"/>
      <c r="EF56" s="185"/>
      <c r="EG56" s="185"/>
      <c r="EH56" s="228"/>
      <c r="EI56" s="228" t="s">
        <v>444</v>
      </c>
      <c r="EJ56" s="185" t="s">
        <v>371</v>
      </c>
      <c r="EK56" s="186"/>
      <c r="EL56" s="243" t="s">
        <v>419</v>
      </c>
      <c r="EM56" s="185"/>
      <c r="EN56" s="185"/>
      <c r="EO56" s="185"/>
      <c r="EP56" s="185"/>
      <c r="EQ56" s="185"/>
      <c r="ER56" s="185"/>
      <c r="ES56" s="228"/>
      <c r="ET56" s="185"/>
      <c r="EU56" s="185"/>
      <c r="EV56" s="185"/>
      <c r="EW56" s="185"/>
      <c r="EX56" s="185"/>
      <c r="EY56" s="185"/>
      <c r="EZ56" s="185"/>
      <c r="FA56" s="228" t="s">
        <v>471</v>
      </c>
      <c r="FB56" s="185"/>
      <c r="FC56" s="185"/>
      <c r="FD56" s="185"/>
      <c r="FE56" s="185"/>
      <c r="FF56" s="185"/>
      <c r="FG56" s="185"/>
      <c r="FH56" s="274" t="s">
        <v>404</v>
      </c>
      <c r="FI56" s="185" t="s">
        <v>376</v>
      </c>
      <c r="FJ56" s="228" t="s">
        <v>426</v>
      </c>
      <c r="FK56" s="185"/>
      <c r="FL56" s="185"/>
      <c r="FM56" s="185"/>
      <c r="FN56" s="185"/>
      <c r="FO56" s="185"/>
      <c r="FP56" s="185"/>
      <c r="FQ56" s="185"/>
      <c r="FR56" s="185"/>
      <c r="FS56" s="185"/>
      <c r="FT56" s="185"/>
      <c r="FU56" s="185"/>
      <c r="FV56" s="185"/>
      <c r="FW56" s="185"/>
      <c r="FX56" s="185"/>
      <c r="FY56" s="228" t="s">
        <v>463</v>
      </c>
      <c r="FZ56" s="185"/>
      <c r="GA56" s="185"/>
      <c r="GB56" s="185"/>
      <c r="GC56" s="185"/>
      <c r="GD56" s="243" t="s">
        <v>419</v>
      </c>
      <c r="GE56" s="185"/>
      <c r="GF56" s="185"/>
      <c r="GG56" s="185"/>
      <c r="GH56" s="185"/>
      <c r="GI56" s="185"/>
      <c r="GJ56" s="185"/>
      <c r="GK56" s="243"/>
      <c r="GL56" s="185"/>
      <c r="GM56" s="185"/>
      <c r="GN56" s="243" t="s">
        <v>462</v>
      </c>
      <c r="GO56" s="185"/>
      <c r="GP56" s="185"/>
      <c r="GQ56" s="185"/>
      <c r="GR56" s="185"/>
      <c r="GS56" s="185"/>
      <c r="GT56" s="185"/>
      <c r="GU56" s="185"/>
      <c r="GV56" s="185"/>
      <c r="GW56" s="185"/>
      <c r="GX56" s="185"/>
      <c r="GY56" s="185"/>
      <c r="GZ56" s="185" t="s">
        <v>374</v>
      </c>
      <c r="HA56" s="185" t="s">
        <v>379</v>
      </c>
      <c r="HB56" s="274" t="s">
        <v>404</v>
      </c>
      <c r="HC56" s="185"/>
      <c r="HD56" s="185"/>
      <c r="HE56" s="185"/>
      <c r="HF56" s="185"/>
      <c r="HG56" s="185"/>
      <c r="HH56" s="185"/>
      <c r="HI56" s="185"/>
      <c r="HJ56" s="185"/>
      <c r="HK56" s="185"/>
      <c r="HL56" s="185"/>
      <c r="HM56" s="185"/>
      <c r="HN56" s="185"/>
      <c r="HO56" s="185"/>
      <c r="HP56" s="185"/>
      <c r="HQ56" s="185"/>
      <c r="HR56" s="228" t="s">
        <v>471</v>
      </c>
      <c r="HS56" s="228"/>
      <c r="HT56" s="185" t="s">
        <v>377</v>
      </c>
      <c r="HU56" s="185"/>
      <c r="HV56" s="228" t="s">
        <v>471</v>
      </c>
      <c r="HW56" s="185"/>
      <c r="HX56" s="185"/>
      <c r="HY56" s="185"/>
      <c r="HZ56" s="185"/>
      <c r="IA56" s="185"/>
      <c r="IB56" s="185"/>
      <c r="IC56" s="185"/>
      <c r="ID56" s="185"/>
      <c r="IE56" s="185"/>
      <c r="IF56" s="185"/>
      <c r="IG56" s="185"/>
      <c r="IH56" s="185"/>
      <c r="II56" s="185"/>
      <c r="IJ56" s="185"/>
      <c r="IK56" s="185"/>
      <c r="IL56" s="185"/>
      <c r="IM56" s="185"/>
      <c r="IN56" s="185"/>
      <c r="IO56" s="185"/>
      <c r="IP56" s="185"/>
      <c r="IQ56" s="228"/>
      <c r="IR56" s="185"/>
      <c r="IS56" s="185"/>
      <c r="IT56" s="185"/>
      <c r="IU56" s="185"/>
      <c r="IV56" s="185"/>
      <c r="IW56" s="185"/>
      <c r="IX56" s="185"/>
      <c r="IY56" s="185"/>
      <c r="IZ56" s="185"/>
      <c r="JA56" s="185"/>
      <c r="JB56" s="185"/>
      <c r="JC56" s="185"/>
      <c r="JD56" s="185"/>
      <c r="JE56" s="185"/>
      <c r="JF56" s="185"/>
      <c r="JG56" s="185"/>
      <c r="JH56" s="185"/>
      <c r="JI56" s="185"/>
      <c r="JJ56" s="185"/>
      <c r="JK56" s="185"/>
      <c r="JL56" s="185"/>
      <c r="JM56" s="186"/>
      <c r="JN56" s="221"/>
      <c r="JO56" s="221"/>
      <c r="JP56" s="221"/>
      <c r="JQ56" s="221"/>
      <c r="JR56" s="221"/>
      <c r="JS56" s="221"/>
      <c r="JT56" s="221"/>
      <c r="JU56" s="221"/>
      <c r="JV56" s="221"/>
      <c r="JW56" s="221"/>
      <c r="JX56" s="221"/>
      <c r="JY56" s="221"/>
      <c r="JZ56" s="221"/>
      <c r="KA56" s="221"/>
      <c r="KB56" s="221"/>
      <c r="KC56" s="221"/>
      <c r="KD56" s="221"/>
      <c r="KE56" s="221"/>
      <c r="KF56" s="221"/>
      <c r="KG56" s="221"/>
      <c r="KH56" s="221"/>
      <c r="KI56" s="221"/>
      <c r="KJ56" s="221"/>
      <c r="KK56" s="221"/>
      <c r="KL56" s="221"/>
      <c r="KM56" s="221"/>
      <c r="KN56" s="221"/>
      <c r="KO56" s="221"/>
      <c r="KP56" s="221"/>
      <c r="KQ56" s="221"/>
      <c r="KR56" s="221"/>
      <c r="KS56" s="221"/>
      <c r="KT56" s="221"/>
      <c r="KU56" s="221"/>
      <c r="KV56" s="221"/>
      <c r="KW56" s="221"/>
      <c r="KX56" s="221"/>
      <c r="KY56" s="221"/>
      <c r="KZ56" s="221"/>
      <c r="LA56" s="221"/>
      <c r="LB56" s="221"/>
      <c r="LC56" s="221"/>
      <c r="LD56" s="221"/>
      <c r="LE56" s="299"/>
      <c r="LF56" s="52">
        <v>0.80208333333333204</v>
      </c>
    </row>
    <row r="57" spans="2:318" ht="10.5" customHeight="1">
      <c r="B57" s="49">
        <v>0.25</v>
      </c>
      <c r="C57" s="49">
        <v>0.25</v>
      </c>
      <c r="D57" s="49">
        <v>0.25</v>
      </c>
      <c r="E57" s="172">
        <v>0.79166666666666663</v>
      </c>
      <c r="F57" s="228" t="s">
        <v>375</v>
      </c>
      <c r="G57" s="185"/>
      <c r="H57" s="185"/>
      <c r="I57" s="185"/>
      <c r="J57" s="185"/>
      <c r="K57" s="185"/>
      <c r="L57" s="185"/>
      <c r="M57" s="228"/>
      <c r="N57" s="185"/>
      <c r="O57" s="185"/>
      <c r="P57" s="185"/>
      <c r="Q57" s="228" t="s">
        <v>411</v>
      </c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228" t="s">
        <v>379</v>
      </c>
      <c r="AD57" s="185" t="s">
        <v>89</v>
      </c>
      <c r="AE57" s="228"/>
      <c r="AF57" s="185"/>
      <c r="AG57" s="185"/>
      <c r="AH57" s="185"/>
      <c r="AI57" s="185"/>
      <c r="AJ57" s="185"/>
      <c r="AK57" s="185"/>
      <c r="AL57" s="185"/>
      <c r="AM57" s="185"/>
      <c r="AN57" s="185"/>
      <c r="AO57" s="185"/>
      <c r="AP57" s="185"/>
      <c r="AQ57" s="324"/>
      <c r="AR57" s="324"/>
      <c r="AS57" s="324"/>
      <c r="AT57" s="276"/>
      <c r="AU57" s="274" t="s">
        <v>386</v>
      </c>
      <c r="AV57" s="185"/>
      <c r="AW57" s="185" t="s">
        <v>371</v>
      </c>
      <c r="AX57" s="185"/>
      <c r="AY57" s="228" t="s">
        <v>411</v>
      </c>
      <c r="AZ57" s="185"/>
      <c r="BA57" s="185"/>
      <c r="BB57" s="185"/>
      <c r="BC57" s="185"/>
      <c r="BD57" s="185"/>
      <c r="BE57" s="185"/>
      <c r="BF57" s="228"/>
      <c r="BG57" s="185"/>
      <c r="BH57" s="185"/>
      <c r="BI57" s="185"/>
      <c r="BJ57" s="185"/>
      <c r="BK57" s="185"/>
      <c r="BL57" s="185"/>
      <c r="BM57" s="185"/>
      <c r="BN57" s="185"/>
      <c r="BO57" s="185"/>
      <c r="BP57" s="185"/>
      <c r="BQ57" s="185"/>
      <c r="BR57" s="185"/>
      <c r="BS57" s="185"/>
      <c r="BT57" s="185"/>
      <c r="BU57" s="274" t="s">
        <v>404</v>
      </c>
      <c r="BV57" s="185" t="s">
        <v>376</v>
      </c>
      <c r="BW57" s="185" t="s">
        <v>423</v>
      </c>
      <c r="BX57" s="185"/>
      <c r="BY57" s="185"/>
      <c r="BZ57" s="185"/>
      <c r="CA57" s="185"/>
      <c r="CB57" s="185"/>
      <c r="CC57" s="185"/>
      <c r="CD57" s="185"/>
      <c r="CE57" s="185"/>
      <c r="CF57" s="185"/>
      <c r="CG57" s="185"/>
      <c r="CH57" s="185"/>
      <c r="CI57" s="185"/>
      <c r="CJ57" s="185"/>
      <c r="CK57" s="185"/>
      <c r="CL57" s="276" t="s">
        <v>419</v>
      </c>
      <c r="CM57" s="276" t="s">
        <v>471</v>
      </c>
      <c r="CN57" s="176" t="s">
        <v>444</v>
      </c>
      <c r="CO57" s="53"/>
      <c r="CP57" s="54"/>
      <c r="CQ57" s="185" t="s">
        <v>411</v>
      </c>
      <c r="CR57" s="185"/>
      <c r="CS57" s="185"/>
      <c r="CT57" s="185"/>
      <c r="CU57" s="185"/>
      <c r="CV57" s="185"/>
      <c r="CW57" s="185"/>
      <c r="CX57" s="185"/>
      <c r="CY57" s="185"/>
      <c r="CZ57" s="185"/>
      <c r="DA57" s="185"/>
      <c r="DB57" s="185"/>
      <c r="DC57" s="185"/>
      <c r="DD57" s="185"/>
      <c r="DE57" s="185"/>
      <c r="DF57" s="185"/>
      <c r="DG57" s="185"/>
      <c r="DH57" s="185"/>
      <c r="DI57" s="185"/>
      <c r="DJ57" s="185"/>
      <c r="DK57" s="185"/>
      <c r="DL57" s="185"/>
      <c r="DM57" s="185"/>
      <c r="DN57" s="185"/>
      <c r="DO57" s="185"/>
      <c r="DP57" s="228" t="s">
        <v>412</v>
      </c>
      <c r="DQ57" s="228" t="s">
        <v>89</v>
      </c>
      <c r="DR57" s="228" t="s">
        <v>379</v>
      </c>
      <c r="DS57" s="185"/>
      <c r="DT57" s="185"/>
      <c r="DU57" s="185"/>
      <c r="DV57" s="185"/>
      <c r="DW57" s="185"/>
      <c r="DX57" s="185"/>
      <c r="DY57" s="185"/>
      <c r="DZ57" s="185"/>
      <c r="EA57" s="185"/>
      <c r="EB57" s="185"/>
      <c r="EC57" s="185"/>
      <c r="ED57" s="185"/>
      <c r="EE57" s="185"/>
      <c r="EF57" s="185"/>
      <c r="EG57" s="228"/>
      <c r="EH57" s="355" t="s">
        <v>477</v>
      </c>
      <c r="EI57" s="185"/>
      <c r="EJ57" s="185" t="s">
        <v>371</v>
      </c>
      <c r="EK57" s="186"/>
      <c r="EL57" s="243" t="s">
        <v>419</v>
      </c>
      <c r="EM57" s="185"/>
      <c r="EN57" s="185"/>
      <c r="EO57" s="185"/>
      <c r="EP57" s="185"/>
      <c r="EQ57" s="185"/>
      <c r="ER57" s="185"/>
      <c r="ES57" s="185"/>
      <c r="ET57" s="185"/>
      <c r="EU57" s="185"/>
      <c r="EV57" s="185"/>
      <c r="EW57" s="185"/>
      <c r="EX57" s="185"/>
      <c r="EY57" s="185"/>
      <c r="EZ57" s="185"/>
      <c r="FA57" s="228"/>
      <c r="FB57" s="185"/>
      <c r="FC57" s="185"/>
      <c r="FD57" s="185"/>
      <c r="FE57" s="185"/>
      <c r="FF57" s="185"/>
      <c r="FG57" s="185"/>
      <c r="FH57" s="274" t="s">
        <v>404</v>
      </c>
      <c r="FI57" s="185" t="s">
        <v>376</v>
      </c>
      <c r="FJ57" s="228" t="s">
        <v>426</v>
      </c>
      <c r="FK57" s="185"/>
      <c r="FL57" s="185"/>
      <c r="FM57" s="185"/>
      <c r="FN57" s="185"/>
      <c r="FO57" s="185"/>
      <c r="FP57" s="185"/>
      <c r="FQ57" s="185"/>
      <c r="FR57" s="185"/>
      <c r="FS57" s="185"/>
      <c r="FT57" s="185"/>
      <c r="FU57" s="185"/>
      <c r="FV57" s="185"/>
      <c r="FW57" s="185"/>
      <c r="FX57" s="185"/>
      <c r="FY57" s="228" t="s">
        <v>463</v>
      </c>
      <c r="FZ57" s="228" t="s">
        <v>471</v>
      </c>
      <c r="GA57" s="185"/>
      <c r="GB57" s="185"/>
      <c r="GC57" s="185"/>
      <c r="GD57" s="243" t="s">
        <v>419</v>
      </c>
      <c r="GE57" s="185"/>
      <c r="GF57" s="185"/>
      <c r="GG57" s="185"/>
      <c r="GH57" s="185"/>
      <c r="GI57" s="185"/>
      <c r="GJ57" s="185"/>
      <c r="GK57" s="185"/>
      <c r="GL57" s="185"/>
      <c r="GM57" s="185"/>
      <c r="GN57" s="185" t="s">
        <v>462</v>
      </c>
      <c r="GO57" s="185"/>
      <c r="GP57" s="185"/>
      <c r="GQ57" s="185"/>
      <c r="GR57" s="185"/>
      <c r="GS57" s="185"/>
      <c r="GT57" s="185"/>
      <c r="GU57" s="185"/>
      <c r="GV57" s="185"/>
      <c r="GW57" s="185"/>
      <c r="GX57" s="185"/>
      <c r="GY57" s="185"/>
      <c r="GZ57" s="185" t="s">
        <v>374</v>
      </c>
      <c r="HA57" s="185" t="s">
        <v>379</v>
      </c>
      <c r="HB57" s="274" t="s">
        <v>404</v>
      </c>
      <c r="HC57" s="185"/>
      <c r="HD57" s="185"/>
      <c r="HE57" s="185"/>
      <c r="HF57" s="185"/>
      <c r="HG57" s="185"/>
      <c r="HH57" s="185"/>
      <c r="HI57" s="185"/>
      <c r="HJ57" s="185"/>
      <c r="HK57" s="185"/>
      <c r="HL57" s="185"/>
      <c r="HM57" s="185"/>
      <c r="HN57" s="185"/>
      <c r="HO57" s="185"/>
      <c r="HP57" s="185"/>
      <c r="HQ57" s="185"/>
      <c r="HR57" s="228" t="s">
        <v>471</v>
      </c>
      <c r="HS57" s="228"/>
      <c r="HT57" s="185" t="s">
        <v>377</v>
      </c>
      <c r="HU57" s="185"/>
      <c r="HV57" s="228" t="s">
        <v>471</v>
      </c>
      <c r="HW57" s="185"/>
      <c r="HX57" s="185"/>
      <c r="HY57" s="185"/>
      <c r="HZ57" s="185"/>
      <c r="IA57" s="185"/>
      <c r="IB57" s="185"/>
      <c r="IC57" s="185"/>
      <c r="ID57" s="185"/>
      <c r="IE57" s="185"/>
      <c r="IF57" s="185"/>
      <c r="IG57" s="185"/>
      <c r="IH57" s="185"/>
      <c r="II57" s="185"/>
      <c r="IJ57" s="185"/>
      <c r="IK57" s="185"/>
      <c r="IL57" s="185"/>
      <c r="IM57" s="185"/>
      <c r="IN57" s="185"/>
      <c r="IO57" s="185"/>
      <c r="IP57" s="185"/>
      <c r="IQ57" s="228"/>
      <c r="IR57" s="185"/>
      <c r="IS57" s="185"/>
      <c r="IT57" s="185"/>
      <c r="IU57" s="185"/>
      <c r="IV57" s="185"/>
      <c r="IW57" s="185"/>
      <c r="IX57" s="185"/>
      <c r="IY57" s="185"/>
      <c r="IZ57" s="185"/>
      <c r="JA57" s="185"/>
      <c r="JB57" s="185"/>
      <c r="JC57" s="185"/>
      <c r="JD57" s="185"/>
      <c r="JE57" s="185"/>
      <c r="JF57" s="185"/>
      <c r="JG57" s="185"/>
      <c r="JH57" s="185"/>
      <c r="JI57" s="228"/>
      <c r="JJ57" s="185"/>
      <c r="JK57" s="185"/>
      <c r="JL57" s="185"/>
      <c r="JM57" s="186"/>
      <c r="JN57" s="221"/>
      <c r="JO57" s="221"/>
      <c r="JP57" s="221"/>
      <c r="JQ57" s="221"/>
      <c r="JR57" s="221"/>
      <c r="JS57" s="221"/>
      <c r="JT57" s="221"/>
      <c r="JU57" s="221"/>
      <c r="JV57" s="221"/>
      <c r="JW57" s="221"/>
      <c r="JX57" s="221"/>
      <c r="JY57" s="221"/>
      <c r="JZ57" s="221"/>
      <c r="KA57" s="221"/>
      <c r="KB57" s="221"/>
      <c r="KC57" s="221"/>
      <c r="KD57" s="221"/>
      <c r="KE57" s="221"/>
      <c r="KF57" s="221"/>
      <c r="KG57" s="221"/>
      <c r="KH57" s="221"/>
      <c r="KI57" s="221"/>
      <c r="KJ57" s="221"/>
      <c r="KK57" s="221"/>
      <c r="KL57" s="221"/>
      <c r="KM57" s="221"/>
      <c r="KN57" s="221"/>
      <c r="KO57" s="221"/>
      <c r="KP57" s="221"/>
      <c r="KQ57" s="221"/>
      <c r="KR57" s="221"/>
      <c r="KS57" s="221"/>
      <c r="KT57" s="221"/>
      <c r="KU57" s="221"/>
      <c r="KV57" s="221"/>
      <c r="KW57" s="221"/>
      <c r="KX57" s="221"/>
      <c r="KY57" s="221"/>
      <c r="KZ57" s="221"/>
      <c r="LA57" s="221"/>
      <c r="LB57" s="221"/>
      <c r="LC57" s="221"/>
      <c r="LD57" s="221"/>
      <c r="LE57" s="299"/>
      <c r="LF57" s="52">
        <v>0.812499999999998</v>
      </c>
    </row>
    <row r="58" spans="2:318" ht="10.5" customHeight="1">
      <c r="B58" s="49">
        <v>0.25</v>
      </c>
      <c r="C58" s="49">
        <v>0.25</v>
      </c>
      <c r="D58" s="49">
        <v>0.25</v>
      </c>
      <c r="E58" s="172">
        <v>0.80208333333333337</v>
      </c>
      <c r="F58" s="228" t="s">
        <v>375</v>
      </c>
      <c r="G58" s="185"/>
      <c r="H58" s="185"/>
      <c r="I58" s="185"/>
      <c r="J58" s="185"/>
      <c r="K58" s="185"/>
      <c r="L58" s="185"/>
      <c r="M58" s="228"/>
      <c r="N58" s="185"/>
      <c r="O58" s="185"/>
      <c r="P58" s="185"/>
      <c r="Q58" s="228" t="s">
        <v>411</v>
      </c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228" t="s">
        <v>379</v>
      </c>
      <c r="AD58" s="185" t="s">
        <v>89</v>
      </c>
      <c r="AE58" s="228"/>
      <c r="AF58" s="185"/>
      <c r="AG58" s="185"/>
      <c r="AH58" s="185"/>
      <c r="AI58" s="185"/>
      <c r="AJ58" s="185"/>
      <c r="AK58" s="185"/>
      <c r="AL58" s="185"/>
      <c r="AM58" s="185"/>
      <c r="AN58" s="185"/>
      <c r="AO58" s="185"/>
      <c r="AP58" s="185"/>
      <c r="AQ58" s="324"/>
      <c r="AR58" s="324"/>
      <c r="AS58" s="324"/>
      <c r="AT58" s="276"/>
      <c r="AU58" s="274" t="s">
        <v>386</v>
      </c>
      <c r="AV58" s="185"/>
      <c r="AW58" s="185" t="s">
        <v>371</v>
      </c>
      <c r="AX58" s="185"/>
      <c r="AY58" s="228" t="s">
        <v>411</v>
      </c>
      <c r="AZ58" s="185"/>
      <c r="BA58" s="185"/>
      <c r="BB58" s="185"/>
      <c r="BC58" s="185"/>
      <c r="BD58" s="185"/>
      <c r="BE58" s="185"/>
      <c r="BF58" s="228"/>
      <c r="BG58" s="185"/>
      <c r="BH58" s="185"/>
      <c r="BI58" s="185"/>
      <c r="BJ58" s="185"/>
      <c r="BK58" s="185"/>
      <c r="BL58" s="185"/>
      <c r="BM58" s="185"/>
      <c r="BN58" s="185"/>
      <c r="BO58" s="185"/>
      <c r="BP58" s="185"/>
      <c r="BQ58" s="185"/>
      <c r="BR58" s="185"/>
      <c r="BS58" s="185"/>
      <c r="BT58" s="185"/>
      <c r="BU58" s="274" t="s">
        <v>404</v>
      </c>
      <c r="BV58" s="185" t="s">
        <v>376</v>
      </c>
      <c r="BW58" s="185" t="s">
        <v>423</v>
      </c>
      <c r="BX58" s="185"/>
      <c r="BY58" s="185"/>
      <c r="BZ58" s="185"/>
      <c r="CA58" s="185"/>
      <c r="CB58" s="185"/>
      <c r="CC58" s="185"/>
      <c r="CD58" s="185"/>
      <c r="CE58" s="185"/>
      <c r="CF58" s="185"/>
      <c r="CG58" s="185"/>
      <c r="CH58" s="185"/>
      <c r="CI58" s="185"/>
      <c r="CJ58" s="185"/>
      <c r="CK58" s="185"/>
      <c r="CL58" s="276" t="s">
        <v>419</v>
      </c>
      <c r="CM58" s="276" t="s">
        <v>471</v>
      </c>
      <c r="CN58" s="176" t="s">
        <v>444</v>
      </c>
      <c r="CO58" s="53"/>
      <c r="CP58" s="54"/>
      <c r="CQ58" s="185" t="s">
        <v>411</v>
      </c>
      <c r="CR58" s="185"/>
      <c r="CS58" s="185"/>
      <c r="CT58" s="185"/>
      <c r="CU58" s="185"/>
      <c r="CV58" s="185"/>
      <c r="CW58" s="185"/>
      <c r="CX58" s="185"/>
      <c r="CY58" s="185"/>
      <c r="CZ58" s="185"/>
      <c r="DA58" s="185"/>
      <c r="DB58" s="185"/>
      <c r="DC58" s="185"/>
      <c r="DD58" s="185"/>
      <c r="DE58" s="185"/>
      <c r="DF58" s="185"/>
      <c r="DG58" s="185"/>
      <c r="DH58" s="185"/>
      <c r="DI58" s="185"/>
      <c r="DJ58" s="185"/>
      <c r="DK58" s="185"/>
      <c r="DL58" s="185"/>
      <c r="DM58" s="185"/>
      <c r="DN58" s="185"/>
      <c r="DO58" s="185"/>
      <c r="DP58" s="228" t="s">
        <v>412</v>
      </c>
      <c r="DQ58" s="228" t="s">
        <v>89</v>
      </c>
      <c r="DR58" s="228" t="s">
        <v>379</v>
      </c>
      <c r="DS58" s="185"/>
      <c r="DT58" s="185"/>
      <c r="DU58" s="185"/>
      <c r="DV58" s="185"/>
      <c r="DW58" s="185"/>
      <c r="DX58" s="185"/>
      <c r="DY58" s="185"/>
      <c r="DZ58" s="185"/>
      <c r="EA58" s="185"/>
      <c r="EB58" s="185"/>
      <c r="EC58" s="185"/>
      <c r="ED58" s="185"/>
      <c r="EE58" s="185"/>
      <c r="EF58" s="185"/>
      <c r="EG58" s="228"/>
      <c r="EH58" s="355" t="s">
        <v>477</v>
      </c>
      <c r="EI58" s="185"/>
      <c r="EJ58" s="185" t="s">
        <v>371</v>
      </c>
      <c r="EK58" s="186"/>
      <c r="EL58" s="243" t="s">
        <v>419</v>
      </c>
      <c r="EM58" s="185"/>
      <c r="EN58" s="185"/>
      <c r="EO58" s="185"/>
      <c r="EP58" s="185"/>
      <c r="EQ58" s="185"/>
      <c r="ER58" s="185"/>
      <c r="ES58" s="185"/>
      <c r="ET58" s="185"/>
      <c r="EU58" s="185"/>
      <c r="EV58" s="185"/>
      <c r="EW58" s="185"/>
      <c r="EX58" s="185"/>
      <c r="EY58" s="185"/>
      <c r="EZ58" s="185"/>
      <c r="FA58" s="185"/>
      <c r="FB58" s="185"/>
      <c r="FC58" s="185"/>
      <c r="FD58" s="185"/>
      <c r="FE58" s="185"/>
      <c r="FF58" s="185"/>
      <c r="FG58" s="185"/>
      <c r="FH58" s="274" t="s">
        <v>404</v>
      </c>
      <c r="FI58" s="185" t="s">
        <v>376</v>
      </c>
      <c r="FJ58" s="228" t="s">
        <v>426</v>
      </c>
      <c r="FK58" s="185"/>
      <c r="FL58" s="185"/>
      <c r="FM58" s="185"/>
      <c r="FN58" s="185"/>
      <c r="FO58" s="185"/>
      <c r="FP58" s="185"/>
      <c r="FQ58" s="185"/>
      <c r="FR58" s="185"/>
      <c r="FS58" s="185"/>
      <c r="FT58" s="185"/>
      <c r="FU58" s="185"/>
      <c r="FV58" s="185"/>
      <c r="FW58" s="185"/>
      <c r="FX58" s="185"/>
      <c r="FY58" s="228" t="s">
        <v>463</v>
      </c>
      <c r="FZ58" s="228" t="s">
        <v>471</v>
      </c>
      <c r="GA58" s="185"/>
      <c r="GB58" s="185"/>
      <c r="GC58" s="185"/>
      <c r="GD58" s="243" t="s">
        <v>419</v>
      </c>
      <c r="GE58" s="185"/>
      <c r="GF58" s="185"/>
      <c r="GG58" s="185"/>
      <c r="GH58" s="185"/>
      <c r="GI58" s="185"/>
      <c r="GJ58" s="185"/>
      <c r="GK58" s="185"/>
      <c r="GL58" s="185"/>
      <c r="GM58" s="185"/>
      <c r="GN58" s="185" t="s">
        <v>462</v>
      </c>
      <c r="GO58" s="185"/>
      <c r="GP58" s="185"/>
      <c r="GQ58" s="185"/>
      <c r="GR58" s="185"/>
      <c r="GS58" s="185"/>
      <c r="GT58" s="185"/>
      <c r="GU58" s="185"/>
      <c r="GV58" s="185"/>
      <c r="GW58" s="185"/>
      <c r="GX58" s="185"/>
      <c r="GY58" s="185"/>
      <c r="GZ58" s="185" t="s">
        <v>374</v>
      </c>
      <c r="HA58" s="185" t="s">
        <v>379</v>
      </c>
      <c r="HB58" s="274" t="s">
        <v>404</v>
      </c>
      <c r="HC58" s="185"/>
      <c r="HD58" s="185"/>
      <c r="HE58" s="185"/>
      <c r="HF58" s="185"/>
      <c r="HG58" s="185"/>
      <c r="HH58" s="185"/>
      <c r="HI58" s="185"/>
      <c r="HJ58" s="185"/>
      <c r="HK58" s="185"/>
      <c r="HL58" s="185"/>
      <c r="HM58" s="185"/>
      <c r="HN58" s="185"/>
      <c r="HO58" s="185"/>
      <c r="HP58" s="185"/>
      <c r="HQ58" s="185"/>
      <c r="HR58" s="228" t="s">
        <v>471</v>
      </c>
      <c r="HS58" s="228"/>
      <c r="HT58" s="185" t="s">
        <v>377</v>
      </c>
      <c r="HU58" s="185"/>
      <c r="HV58" s="228" t="s">
        <v>471</v>
      </c>
      <c r="HW58" s="185"/>
      <c r="HX58" s="185"/>
      <c r="HY58" s="185"/>
      <c r="HZ58" s="185"/>
      <c r="IA58" s="185"/>
      <c r="IB58" s="185"/>
      <c r="IC58" s="185"/>
      <c r="ID58" s="185"/>
      <c r="IE58" s="185"/>
      <c r="IF58" s="185"/>
      <c r="IG58" s="185"/>
      <c r="IH58" s="185"/>
      <c r="II58" s="185"/>
      <c r="IJ58" s="185"/>
      <c r="IK58" s="185"/>
      <c r="IL58" s="185"/>
      <c r="IM58" s="185"/>
      <c r="IN58" s="185"/>
      <c r="IO58" s="185"/>
      <c r="IP58" s="185"/>
      <c r="IQ58" s="185"/>
      <c r="IR58" s="185"/>
      <c r="IS58" s="185"/>
      <c r="IT58" s="185"/>
      <c r="IU58" s="185"/>
      <c r="IV58" s="185"/>
      <c r="IW58" s="185"/>
      <c r="IX58" s="185"/>
      <c r="IY58" s="185"/>
      <c r="IZ58" s="185"/>
      <c r="JA58" s="185"/>
      <c r="JB58" s="185"/>
      <c r="JC58" s="185"/>
      <c r="JD58" s="185"/>
      <c r="JE58" s="185"/>
      <c r="JF58" s="185"/>
      <c r="JG58" s="185"/>
      <c r="JH58" s="185"/>
      <c r="JI58" s="185"/>
      <c r="JJ58" s="185"/>
      <c r="JK58" s="185"/>
      <c r="JL58" s="185"/>
      <c r="JM58" s="186"/>
      <c r="JN58" s="221"/>
      <c r="JO58" s="221"/>
      <c r="JP58" s="221"/>
      <c r="JQ58" s="221"/>
      <c r="JR58" s="221"/>
      <c r="JS58" s="221"/>
      <c r="JT58" s="221"/>
      <c r="JU58" s="221"/>
      <c r="JV58" s="221"/>
      <c r="JW58" s="221"/>
      <c r="JX58" s="221"/>
      <c r="JY58" s="221"/>
      <c r="JZ58" s="221"/>
      <c r="KA58" s="221"/>
      <c r="KB58" s="221"/>
      <c r="KC58" s="221"/>
      <c r="KD58" s="221"/>
      <c r="KE58" s="221"/>
      <c r="KF58" s="221"/>
      <c r="KG58" s="221"/>
      <c r="KH58" s="221"/>
      <c r="KI58" s="221"/>
      <c r="KJ58" s="221"/>
      <c r="KK58" s="221"/>
      <c r="KL58" s="221"/>
      <c r="KM58" s="221"/>
      <c r="KN58" s="221"/>
      <c r="KO58" s="221"/>
      <c r="KP58" s="221"/>
      <c r="KQ58" s="221"/>
      <c r="KR58" s="221"/>
      <c r="KS58" s="221"/>
      <c r="KT58" s="221"/>
      <c r="KU58" s="221"/>
      <c r="KV58" s="221"/>
      <c r="KW58" s="221"/>
      <c r="KX58" s="221"/>
      <c r="KY58" s="221"/>
      <c r="KZ58" s="221"/>
      <c r="LA58" s="221"/>
      <c r="LB58" s="221"/>
      <c r="LC58" s="221"/>
      <c r="LD58" s="221"/>
      <c r="LE58" s="299"/>
      <c r="LF58" s="52">
        <v>0.82291666666666496</v>
      </c>
    </row>
    <row r="59" spans="2:318" s="284" customFormat="1" ht="10.5" customHeight="1">
      <c r="B59" s="284">
        <v>0.25</v>
      </c>
      <c r="C59" s="284">
        <v>0.25</v>
      </c>
      <c r="D59" s="284">
        <v>0.25</v>
      </c>
      <c r="E59" s="172">
        <v>0.8125</v>
      </c>
      <c r="F59" s="228" t="s">
        <v>375</v>
      </c>
      <c r="G59" s="185"/>
      <c r="H59" s="185"/>
      <c r="I59" s="185"/>
      <c r="J59" s="185"/>
      <c r="K59" s="185"/>
      <c r="L59" s="185"/>
      <c r="M59" s="228"/>
      <c r="N59" s="185"/>
      <c r="O59" s="185"/>
      <c r="P59" s="185"/>
      <c r="Q59" s="228" t="s">
        <v>411</v>
      </c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228" t="s">
        <v>379</v>
      </c>
      <c r="AD59" s="185" t="s">
        <v>89</v>
      </c>
      <c r="AE59" s="228"/>
      <c r="AF59" s="185"/>
      <c r="AG59" s="185"/>
      <c r="AH59" s="185"/>
      <c r="AI59" s="185"/>
      <c r="AJ59" s="185"/>
      <c r="AK59" s="185"/>
      <c r="AL59" s="185"/>
      <c r="AM59" s="185"/>
      <c r="AN59" s="185"/>
      <c r="AO59" s="185"/>
      <c r="AP59" s="185"/>
      <c r="AQ59" s="324"/>
      <c r="AR59" s="324"/>
      <c r="AS59" s="324"/>
      <c r="AT59" s="276"/>
      <c r="AU59" s="274" t="s">
        <v>386</v>
      </c>
      <c r="AV59" s="185"/>
      <c r="AW59" s="185" t="s">
        <v>371</v>
      </c>
      <c r="AX59" s="185"/>
      <c r="AY59" s="228" t="s">
        <v>411</v>
      </c>
      <c r="AZ59" s="185"/>
      <c r="BA59" s="185"/>
      <c r="BB59" s="185"/>
      <c r="BC59" s="185"/>
      <c r="BD59" s="185"/>
      <c r="BE59" s="185"/>
      <c r="BF59" s="185"/>
      <c r="BG59" s="185"/>
      <c r="BH59" s="185"/>
      <c r="BI59" s="185"/>
      <c r="BJ59" s="185"/>
      <c r="BK59" s="185"/>
      <c r="BL59" s="185"/>
      <c r="BM59" s="185"/>
      <c r="BN59" s="185" t="s">
        <v>471</v>
      </c>
      <c r="BO59" s="185"/>
      <c r="BP59" s="185"/>
      <c r="BQ59" s="185"/>
      <c r="BR59" s="185"/>
      <c r="BS59" s="185"/>
      <c r="BT59" s="185"/>
      <c r="BU59" s="185"/>
      <c r="BV59" s="185"/>
      <c r="BW59" s="185"/>
      <c r="BX59" s="185"/>
      <c r="BY59" s="185"/>
      <c r="BZ59" s="185"/>
      <c r="CA59" s="185"/>
      <c r="CB59" s="185"/>
      <c r="CC59" s="185"/>
      <c r="CD59" s="185"/>
      <c r="CE59" s="185"/>
      <c r="CF59" s="185"/>
      <c r="CG59" s="185"/>
      <c r="CH59" s="185"/>
      <c r="CI59" s="185"/>
      <c r="CJ59" s="185"/>
      <c r="CK59" s="185"/>
      <c r="CL59" s="276" t="s">
        <v>419</v>
      </c>
      <c r="CM59" s="53"/>
      <c r="CN59" s="176" t="s">
        <v>444</v>
      </c>
      <c r="CO59" s="53"/>
      <c r="CP59" s="54" t="s">
        <v>376</v>
      </c>
      <c r="CQ59" s="185" t="s">
        <v>411</v>
      </c>
      <c r="CR59" s="185"/>
      <c r="CS59" s="185"/>
      <c r="CT59" s="185"/>
      <c r="CU59" s="185"/>
      <c r="CV59" s="185"/>
      <c r="CW59" s="185"/>
      <c r="CX59" s="185"/>
      <c r="CY59" s="185"/>
      <c r="CZ59" s="185"/>
      <c r="DA59" s="185"/>
      <c r="DB59" s="185"/>
      <c r="DC59" s="185"/>
      <c r="DD59" s="185"/>
      <c r="DE59" s="185"/>
      <c r="DF59" s="185"/>
      <c r="DG59" s="185"/>
      <c r="DH59" s="185"/>
      <c r="DI59" s="185"/>
      <c r="DJ59" s="185"/>
      <c r="DK59" s="185"/>
      <c r="DL59" s="185"/>
      <c r="DM59" s="185"/>
      <c r="DN59" s="185"/>
      <c r="DO59" s="185"/>
      <c r="DP59" s="228" t="s">
        <v>412</v>
      </c>
      <c r="DQ59" s="228" t="s">
        <v>89</v>
      </c>
      <c r="DR59" s="228" t="s">
        <v>379</v>
      </c>
      <c r="DS59" s="185"/>
      <c r="DT59" s="185"/>
      <c r="DU59" s="185"/>
      <c r="DV59" s="185"/>
      <c r="DW59" s="185"/>
      <c r="DX59" s="185"/>
      <c r="DY59" s="185"/>
      <c r="DZ59" s="185"/>
      <c r="EA59" s="185"/>
      <c r="EB59" s="185"/>
      <c r="EC59" s="185"/>
      <c r="ED59" s="185"/>
      <c r="EE59" s="185"/>
      <c r="EF59" s="185"/>
      <c r="EG59" s="228"/>
      <c r="EH59" s="355" t="s">
        <v>477</v>
      </c>
      <c r="EI59" s="185"/>
      <c r="EJ59" s="185" t="s">
        <v>371</v>
      </c>
      <c r="EK59" s="186"/>
      <c r="EL59" s="243" t="s">
        <v>419</v>
      </c>
      <c r="EM59" s="185"/>
      <c r="EN59" s="185"/>
      <c r="EO59" s="185"/>
      <c r="EP59" s="185"/>
      <c r="EQ59" s="185"/>
      <c r="ER59" s="185"/>
      <c r="ES59" s="185"/>
      <c r="ET59" s="185"/>
      <c r="EU59" s="185"/>
      <c r="EV59" s="185"/>
      <c r="EW59" s="185"/>
      <c r="EX59" s="185"/>
      <c r="EY59" s="185"/>
      <c r="EZ59" s="185"/>
      <c r="FA59" s="185"/>
      <c r="FB59" s="185"/>
      <c r="FC59" s="185"/>
      <c r="FD59" s="185"/>
      <c r="FE59" s="185"/>
      <c r="FF59" s="185"/>
      <c r="FG59" s="185"/>
      <c r="FH59" s="185"/>
      <c r="FI59" s="185"/>
      <c r="FJ59" s="185"/>
      <c r="FK59" s="185"/>
      <c r="FL59" s="185"/>
      <c r="FM59" s="185"/>
      <c r="FN59" s="185"/>
      <c r="FO59" s="185"/>
      <c r="FP59" s="185"/>
      <c r="FQ59" s="185"/>
      <c r="FR59" s="185"/>
      <c r="FS59" s="185"/>
      <c r="FT59" s="185"/>
      <c r="FU59" s="185"/>
      <c r="FV59" s="185"/>
      <c r="FW59" s="185"/>
      <c r="FX59" s="185"/>
      <c r="FY59" s="185" t="s">
        <v>456</v>
      </c>
      <c r="FZ59" s="228" t="s">
        <v>471</v>
      </c>
      <c r="GA59" s="185"/>
      <c r="GB59" s="185"/>
      <c r="GC59" s="185" t="s">
        <v>376</v>
      </c>
      <c r="GD59" s="243" t="s">
        <v>419</v>
      </c>
      <c r="GE59" s="185"/>
      <c r="GF59" s="185"/>
      <c r="GG59" s="185"/>
      <c r="GH59" s="185"/>
      <c r="GI59" s="185"/>
      <c r="GJ59" s="185"/>
      <c r="GK59" s="185"/>
      <c r="GL59" s="185"/>
      <c r="GM59" s="185"/>
      <c r="GN59" s="185" t="s">
        <v>462</v>
      </c>
      <c r="GO59" s="185"/>
      <c r="GP59" s="185"/>
      <c r="GQ59" s="185"/>
      <c r="GR59" s="185"/>
      <c r="GS59" s="185" t="s">
        <v>471</v>
      </c>
      <c r="GT59" s="185"/>
      <c r="GU59" s="185"/>
      <c r="GV59" s="185"/>
      <c r="GW59" s="185"/>
      <c r="GX59" s="185"/>
      <c r="GY59" s="185"/>
      <c r="GZ59" s="185" t="s">
        <v>374</v>
      </c>
      <c r="HA59" s="185" t="s">
        <v>379</v>
      </c>
      <c r="HB59" s="274" t="s">
        <v>404</v>
      </c>
      <c r="HC59" s="185"/>
      <c r="HD59" s="185"/>
      <c r="HE59" s="185"/>
      <c r="HF59" s="185"/>
      <c r="HG59" s="185"/>
      <c r="HH59" s="185"/>
      <c r="HI59" s="185"/>
      <c r="HJ59" s="185"/>
      <c r="HK59" s="185"/>
      <c r="HL59" s="185"/>
      <c r="HM59" s="185"/>
      <c r="HN59" s="185"/>
      <c r="HO59" s="185"/>
      <c r="HP59" s="185"/>
      <c r="HQ59" s="185" t="s">
        <v>377</v>
      </c>
      <c r="HR59" s="228"/>
      <c r="HS59" s="228"/>
      <c r="HT59" s="185"/>
      <c r="HU59" s="185"/>
      <c r="HV59" s="228" t="s">
        <v>471</v>
      </c>
      <c r="HW59" s="185"/>
      <c r="HX59" s="185"/>
      <c r="HY59" s="185"/>
      <c r="HZ59" s="185"/>
      <c r="IA59" s="185"/>
      <c r="IB59" s="185"/>
      <c r="IC59" s="185"/>
      <c r="ID59" s="185"/>
      <c r="IE59" s="185"/>
      <c r="IF59" s="185"/>
      <c r="IG59" s="185"/>
      <c r="IH59" s="185"/>
      <c r="II59" s="185"/>
      <c r="IJ59" s="185"/>
      <c r="IK59" s="185"/>
      <c r="IL59" s="185"/>
      <c r="IM59" s="185"/>
      <c r="IN59" s="185"/>
      <c r="IO59" s="185"/>
      <c r="IP59" s="185"/>
      <c r="IQ59" s="185"/>
      <c r="IR59" s="185"/>
      <c r="IS59" s="185"/>
      <c r="IT59" s="185"/>
      <c r="IU59" s="185"/>
      <c r="IV59" s="185"/>
      <c r="IW59" s="185"/>
      <c r="IX59" s="185"/>
      <c r="IY59" s="185"/>
      <c r="IZ59" s="185"/>
      <c r="JA59" s="185"/>
      <c r="JB59" s="185"/>
      <c r="JC59" s="185"/>
      <c r="JD59" s="185"/>
      <c r="JE59" s="185"/>
      <c r="JF59" s="185"/>
      <c r="JG59" s="185"/>
      <c r="JH59" s="185"/>
      <c r="JI59" s="185"/>
      <c r="JJ59" s="185"/>
      <c r="JK59" s="185"/>
      <c r="JL59" s="185"/>
      <c r="JM59" s="186"/>
      <c r="JN59" s="223"/>
      <c r="JO59" s="221"/>
      <c r="JP59" s="221"/>
      <c r="JQ59" s="221"/>
      <c r="JR59" s="221"/>
      <c r="JS59" s="221"/>
      <c r="JT59" s="221"/>
      <c r="JU59" s="221"/>
      <c r="JV59" s="221"/>
      <c r="JW59" s="221"/>
      <c r="JX59" s="221"/>
      <c r="JY59" s="221"/>
      <c r="JZ59" s="221"/>
      <c r="KA59" s="221"/>
      <c r="KB59" s="221"/>
      <c r="KC59" s="221"/>
      <c r="KD59" s="221"/>
      <c r="KE59" s="221"/>
      <c r="KF59" s="221"/>
      <c r="KG59" s="221"/>
      <c r="KH59" s="221"/>
      <c r="KI59" s="221"/>
      <c r="KJ59" s="221"/>
      <c r="KK59" s="221"/>
      <c r="KL59" s="221"/>
      <c r="KM59" s="221"/>
      <c r="KN59" s="221"/>
      <c r="KO59" s="221"/>
      <c r="KP59" s="221"/>
      <c r="KQ59" s="221"/>
      <c r="KR59" s="221"/>
      <c r="KS59" s="221"/>
      <c r="KT59" s="221"/>
      <c r="KU59" s="221"/>
      <c r="KV59" s="221"/>
      <c r="KW59" s="221"/>
      <c r="KX59" s="221"/>
      <c r="KY59" s="221"/>
      <c r="KZ59" s="221"/>
      <c r="LA59" s="221"/>
      <c r="LB59" s="221"/>
      <c r="LC59" s="221"/>
      <c r="LD59" s="221"/>
      <c r="LE59" s="299"/>
      <c r="LF59" s="286">
        <v>0.83333333333333204</v>
      </c>
    </row>
    <row r="60" spans="2:318" ht="10.5" customHeight="1" thickBot="1">
      <c r="B60" s="49">
        <v>0.25</v>
      </c>
      <c r="C60" s="49">
        <v>0.25</v>
      </c>
      <c r="D60" s="49">
        <v>0.25</v>
      </c>
      <c r="E60" s="172">
        <v>0.82291666666666663</v>
      </c>
      <c r="F60" s="228" t="s">
        <v>375</v>
      </c>
      <c r="G60" s="185"/>
      <c r="H60" s="185"/>
      <c r="I60" s="185"/>
      <c r="J60" s="185"/>
      <c r="K60" s="185"/>
      <c r="L60" s="185"/>
      <c r="M60" s="228"/>
      <c r="N60" s="185"/>
      <c r="O60" s="185"/>
      <c r="P60" s="285"/>
      <c r="Q60" s="228" t="s">
        <v>411</v>
      </c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228" t="s">
        <v>379</v>
      </c>
      <c r="AD60" s="185" t="s">
        <v>89</v>
      </c>
      <c r="AE60" s="228"/>
      <c r="AF60" s="185"/>
      <c r="AG60" s="185"/>
      <c r="AH60" s="185"/>
      <c r="AI60" s="185"/>
      <c r="AJ60" s="185"/>
      <c r="AK60" s="185"/>
      <c r="AL60" s="185"/>
      <c r="AM60" s="185"/>
      <c r="AN60" s="185"/>
      <c r="AO60" s="185"/>
      <c r="AP60" s="185"/>
      <c r="AQ60" s="324"/>
      <c r="AR60" s="324"/>
      <c r="AS60" s="324"/>
      <c r="AT60" s="276"/>
      <c r="AU60" s="353" t="s">
        <v>475</v>
      </c>
      <c r="AV60" s="185"/>
      <c r="AW60" s="185" t="s">
        <v>371</v>
      </c>
      <c r="AX60" s="185"/>
      <c r="AY60" s="228" t="s">
        <v>411</v>
      </c>
      <c r="AZ60" s="185"/>
      <c r="BA60" s="185"/>
      <c r="BB60" s="185"/>
      <c r="BC60" s="185"/>
      <c r="BD60" s="185"/>
      <c r="BE60" s="185"/>
      <c r="BF60" s="185"/>
      <c r="BG60" s="185"/>
      <c r="BH60" s="185"/>
      <c r="BI60" s="185"/>
      <c r="BJ60" s="185"/>
      <c r="BK60" s="185"/>
      <c r="BL60" s="185"/>
      <c r="BM60" s="185"/>
      <c r="BN60" s="185"/>
      <c r="BO60" s="185"/>
      <c r="BP60" s="185"/>
      <c r="BQ60" s="185"/>
      <c r="BR60" s="185"/>
      <c r="BS60" s="185"/>
      <c r="BT60" s="185"/>
      <c r="BU60" s="185"/>
      <c r="BV60" s="185"/>
      <c r="BW60" s="185"/>
      <c r="BX60" s="185"/>
      <c r="BY60" s="185"/>
      <c r="BZ60" s="185"/>
      <c r="CA60" s="185"/>
      <c r="CB60" s="185"/>
      <c r="CC60" s="185"/>
      <c r="CD60" s="185"/>
      <c r="CE60" s="185"/>
      <c r="CF60" s="185"/>
      <c r="CG60" s="185"/>
      <c r="CH60" s="185"/>
      <c r="CI60" s="185"/>
      <c r="CJ60" s="185"/>
      <c r="CK60" s="185"/>
      <c r="CL60" s="276" t="s">
        <v>419</v>
      </c>
      <c r="CM60" s="53"/>
      <c r="CN60" s="176" t="s">
        <v>444</v>
      </c>
      <c r="CO60" s="53"/>
      <c r="CP60" s="54" t="s">
        <v>376</v>
      </c>
      <c r="CQ60" s="185" t="s">
        <v>411</v>
      </c>
      <c r="CR60" s="185"/>
      <c r="CS60" s="185"/>
      <c r="CT60" s="185"/>
      <c r="CU60" s="185"/>
      <c r="CV60" s="185"/>
      <c r="CW60" s="185"/>
      <c r="CX60" s="185"/>
      <c r="CY60" s="185"/>
      <c r="CZ60" s="185"/>
      <c r="DA60" s="185"/>
      <c r="DB60" s="185"/>
      <c r="DC60" s="185"/>
      <c r="DD60" s="185"/>
      <c r="DE60" s="185"/>
      <c r="DF60" s="185"/>
      <c r="DG60" s="185"/>
      <c r="DH60" s="185"/>
      <c r="DI60" s="185"/>
      <c r="DJ60" s="185"/>
      <c r="DK60" s="185"/>
      <c r="DL60" s="185"/>
      <c r="DM60" s="185"/>
      <c r="DN60" s="185"/>
      <c r="DO60" s="185"/>
      <c r="DP60" s="228" t="s">
        <v>412</v>
      </c>
      <c r="DQ60" s="228" t="s">
        <v>89</v>
      </c>
      <c r="DR60" s="228" t="s">
        <v>379</v>
      </c>
      <c r="DS60" s="185"/>
      <c r="DT60" s="185"/>
      <c r="DU60" s="185"/>
      <c r="DV60" s="185"/>
      <c r="DW60" s="185"/>
      <c r="DX60" s="185"/>
      <c r="DY60" s="185"/>
      <c r="DZ60" s="185"/>
      <c r="EA60" s="185"/>
      <c r="EB60" s="185"/>
      <c r="EC60" s="185"/>
      <c r="ED60" s="185"/>
      <c r="EE60" s="185"/>
      <c r="EF60" s="185"/>
      <c r="EG60" s="228"/>
      <c r="EH60" s="355" t="s">
        <v>477</v>
      </c>
      <c r="EI60" s="185"/>
      <c r="EJ60" s="185" t="s">
        <v>371</v>
      </c>
      <c r="EK60" s="186"/>
      <c r="EL60" s="243" t="s">
        <v>419</v>
      </c>
      <c r="EM60" s="185"/>
      <c r="EN60" s="185"/>
      <c r="EO60" s="185"/>
      <c r="EP60" s="185"/>
      <c r="EQ60" s="185"/>
      <c r="ER60" s="185"/>
      <c r="ES60" s="185"/>
      <c r="ET60" s="185"/>
      <c r="EU60" s="185"/>
      <c r="EV60" s="185"/>
      <c r="EW60" s="185"/>
      <c r="EX60" s="185"/>
      <c r="EY60" s="185"/>
      <c r="EZ60" s="185"/>
      <c r="FA60" s="185"/>
      <c r="FB60" s="185"/>
      <c r="FC60" s="185"/>
      <c r="FD60" s="185"/>
      <c r="FE60" s="185"/>
      <c r="FF60" s="185"/>
      <c r="FG60" s="185"/>
      <c r="FH60" s="185"/>
      <c r="FI60" s="185"/>
      <c r="FJ60" s="185"/>
      <c r="FK60" s="185"/>
      <c r="FL60" s="185"/>
      <c r="FM60" s="185"/>
      <c r="FN60" s="185"/>
      <c r="FO60" s="185"/>
      <c r="FP60" s="185"/>
      <c r="FQ60" s="185"/>
      <c r="FR60" s="185"/>
      <c r="FS60" s="185"/>
      <c r="FT60" s="185"/>
      <c r="FU60" s="185"/>
      <c r="FV60" s="185"/>
      <c r="FW60" s="185"/>
      <c r="FX60" s="185"/>
      <c r="FY60" s="185" t="s">
        <v>456</v>
      </c>
      <c r="FZ60" s="228" t="s">
        <v>471</v>
      </c>
      <c r="GA60" s="185"/>
      <c r="GB60" s="185"/>
      <c r="GC60" s="185" t="s">
        <v>376</v>
      </c>
      <c r="GD60" s="243" t="s">
        <v>471</v>
      </c>
      <c r="GE60" s="185"/>
      <c r="GF60" s="185"/>
      <c r="GG60" s="185"/>
      <c r="GH60" s="185"/>
      <c r="GI60" s="185"/>
      <c r="GJ60" s="185"/>
      <c r="GK60" s="185"/>
      <c r="GL60" s="185"/>
      <c r="GM60" s="185"/>
      <c r="GN60" s="185" t="s">
        <v>462</v>
      </c>
      <c r="GO60" s="185"/>
      <c r="GP60" s="185"/>
      <c r="GQ60" s="185"/>
      <c r="GR60" s="185"/>
      <c r="GS60" s="185"/>
      <c r="GT60" s="185"/>
      <c r="GU60" s="185"/>
      <c r="GV60" s="185"/>
      <c r="GW60" s="185"/>
      <c r="GX60" s="185"/>
      <c r="GY60" s="185"/>
      <c r="GZ60" s="185" t="s">
        <v>374</v>
      </c>
      <c r="HA60" s="185" t="s">
        <v>379</v>
      </c>
      <c r="HB60" s="274" t="s">
        <v>404</v>
      </c>
      <c r="HC60" s="185"/>
      <c r="HD60" s="185"/>
      <c r="HE60" s="185"/>
      <c r="HF60" s="185"/>
      <c r="HG60" s="185"/>
      <c r="HH60" s="185"/>
      <c r="HI60" s="185"/>
      <c r="HJ60" s="185"/>
      <c r="HK60" s="185"/>
      <c r="HL60" s="185"/>
      <c r="HM60" s="185"/>
      <c r="HN60" s="185"/>
      <c r="HO60" s="185"/>
      <c r="HP60" s="185"/>
      <c r="HQ60" s="185" t="s">
        <v>377</v>
      </c>
      <c r="HR60" s="228"/>
      <c r="HS60" s="228"/>
      <c r="HT60" s="185"/>
      <c r="HU60" s="185"/>
      <c r="HV60" s="228" t="s">
        <v>471</v>
      </c>
      <c r="HW60" s="232"/>
      <c r="HX60" s="232"/>
      <c r="HY60" s="232"/>
      <c r="HZ60" s="232"/>
      <c r="IA60" s="232"/>
      <c r="IB60" s="232"/>
      <c r="IC60" s="232"/>
      <c r="ID60" s="232"/>
      <c r="IE60" s="232"/>
      <c r="IF60" s="232"/>
      <c r="IG60" s="232"/>
      <c r="IH60" s="232"/>
      <c r="II60" s="232"/>
      <c r="IJ60" s="232"/>
      <c r="IK60" s="232"/>
      <c r="IL60" s="232"/>
      <c r="IM60" s="232"/>
      <c r="IN60" s="232"/>
      <c r="IO60" s="232"/>
      <c r="IP60" s="232"/>
      <c r="IQ60" s="185"/>
      <c r="IR60" s="185"/>
      <c r="IS60" s="232"/>
      <c r="IT60" s="232"/>
      <c r="IU60" s="232"/>
      <c r="IV60" s="232"/>
      <c r="IW60" s="232"/>
      <c r="IX60" s="232"/>
      <c r="IY60" s="232"/>
      <c r="IZ60" s="232"/>
      <c r="JA60" s="232"/>
      <c r="JB60" s="232"/>
      <c r="JC60" s="232"/>
      <c r="JD60" s="232"/>
      <c r="JE60" s="232"/>
      <c r="JF60" s="232"/>
      <c r="JG60" s="232"/>
      <c r="JH60" s="232"/>
      <c r="JI60" s="232"/>
      <c r="JJ60" s="232"/>
      <c r="JK60" s="232"/>
      <c r="JL60" s="232"/>
      <c r="JM60" s="235"/>
      <c r="JN60" s="223"/>
      <c r="JO60" s="221"/>
      <c r="JP60" s="221"/>
      <c r="JQ60" s="221"/>
      <c r="JR60" s="221"/>
      <c r="JS60" s="221"/>
      <c r="JT60" s="221"/>
      <c r="JU60" s="221"/>
      <c r="JV60" s="221"/>
      <c r="JW60" s="221"/>
      <c r="JX60" s="221"/>
      <c r="JY60" s="221"/>
      <c r="JZ60" s="221"/>
      <c r="KA60" s="221"/>
      <c r="KB60" s="221"/>
      <c r="KC60" s="221"/>
      <c r="KD60" s="221"/>
      <c r="KE60" s="221"/>
      <c r="KF60" s="221"/>
      <c r="KG60" s="221"/>
      <c r="KH60" s="221"/>
      <c r="KI60" s="221"/>
      <c r="KJ60" s="221"/>
      <c r="KK60" s="221"/>
      <c r="KL60" s="221"/>
      <c r="KM60" s="221"/>
      <c r="KN60" s="221"/>
      <c r="KO60" s="221"/>
      <c r="KP60" s="221"/>
      <c r="KQ60" s="221"/>
      <c r="KR60" s="221"/>
      <c r="KS60" s="221"/>
      <c r="KT60" s="221"/>
      <c r="KU60" s="221"/>
      <c r="KV60" s="221"/>
      <c r="KW60" s="221"/>
      <c r="KX60" s="221"/>
      <c r="KY60" s="221"/>
      <c r="KZ60" s="221"/>
      <c r="LA60" s="221"/>
      <c r="LB60" s="221"/>
      <c r="LC60" s="221"/>
      <c r="LD60" s="221"/>
      <c r="LE60" s="299"/>
      <c r="LF60" s="52">
        <v>0.843749999999998</v>
      </c>
    </row>
    <row r="61" spans="2:318" ht="10.5" customHeight="1">
      <c r="B61" s="49">
        <v>0.25</v>
      </c>
      <c r="C61" s="49">
        <v>0.25</v>
      </c>
      <c r="D61" s="49">
        <v>0.25</v>
      </c>
      <c r="E61" s="172">
        <v>0.83333333333333337</v>
      </c>
      <c r="F61" s="228" t="s">
        <v>375</v>
      </c>
      <c r="G61" s="285" t="s">
        <v>411</v>
      </c>
      <c r="H61" s="285"/>
      <c r="I61" s="285"/>
      <c r="J61" s="285"/>
      <c r="K61" s="285"/>
      <c r="L61" s="285"/>
      <c r="M61" s="228"/>
      <c r="N61" s="285"/>
      <c r="O61" s="285"/>
      <c r="P61" s="185"/>
      <c r="Q61" s="285"/>
      <c r="R61" s="185"/>
      <c r="S61" s="285"/>
      <c r="T61" s="285"/>
      <c r="U61" s="185"/>
      <c r="V61" s="185"/>
      <c r="W61" s="185"/>
      <c r="X61" s="285"/>
      <c r="Y61" s="285"/>
      <c r="Z61" s="285"/>
      <c r="AA61" s="285"/>
      <c r="AB61" s="285"/>
      <c r="AC61" s="228" t="s">
        <v>379</v>
      </c>
      <c r="AD61" s="185"/>
      <c r="AE61" s="185"/>
      <c r="AF61" s="285"/>
      <c r="AG61" s="285"/>
      <c r="AH61" s="285"/>
      <c r="AI61" s="285"/>
      <c r="AJ61" s="285"/>
      <c r="AK61" s="285"/>
      <c r="AL61" s="285"/>
      <c r="AM61" s="285"/>
      <c r="AN61" s="285"/>
      <c r="AO61" s="285"/>
      <c r="AP61" s="285"/>
      <c r="AQ61" s="326"/>
      <c r="AR61" s="326"/>
      <c r="AS61" s="326"/>
      <c r="AT61" s="176"/>
      <c r="AU61" s="228"/>
      <c r="AV61" s="228"/>
      <c r="AW61" s="185" t="s">
        <v>371</v>
      </c>
      <c r="AX61" s="285"/>
      <c r="AY61" s="228" t="s">
        <v>411</v>
      </c>
      <c r="AZ61" s="185"/>
      <c r="BA61" s="285"/>
      <c r="BB61" s="285"/>
      <c r="BC61" s="285"/>
      <c r="BD61" s="285"/>
      <c r="BE61" s="285"/>
      <c r="BF61" s="185"/>
      <c r="BG61" s="285"/>
      <c r="BH61" s="285"/>
      <c r="BI61" s="185"/>
      <c r="BJ61" s="185"/>
      <c r="BK61" s="285"/>
      <c r="BL61" s="285"/>
      <c r="BM61" s="285"/>
      <c r="BN61" s="285" t="s">
        <v>419</v>
      </c>
      <c r="BO61" s="285"/>
      <c r="BP61" s="285"/>
      <c r="BQ61" s="285"/>
      <c r="BR61" s="285"/>
      <c r="BS61" s="285"/>
      <c r="BT61" s="285"/>
      <c r="BU61" s="185"/>
      <c r="BV61" s="185"/>
      <c r="BW61" s="285"/>
      <c r="BX61" s="285"/>
      <c r="BY61" s="285"/>
      <c r="BZ61" s="285"/>
      <c r="CA61" s="285"/>
      <c r="CB61" s="285"/>
      <c r="CC61" s="285"/>
      <c r="CD61" s="285"/>
      <c r="CE61" s="285"/>
      <c r="CF61" s="285"/>
      <c r="CG61" s="285"/>
      <c r="CH61" s="285"/>
      <c r="CI61" s="285"/>
      <c r="CJ61" s="285"/>
      <c r="CK61" s="285"/>
      <c r="CL61" s="351"/>
      <c r="CM61" s="176"/>
      <c r="CN61" s="53"/>
      <c r="CO61" s="53"/>
      <c r="CP61" s="54" t="s">
        <v>376</v>
      </c>
      <c r="CQ61" s="185" t="s">
        <v>411</v>
      </c>
      <c r="CR61" s="185"/>
      <c r="CS61" s="185"/>
      <c r="CT61" s="285"/>
      <c r="CU61" s="285"/>
      <c r="CV61" s="285"/>
      <c r="CW61" s="285"/>
      <c r="CX61" s="185"/>
      <c r="CY61" s="285"/>
      <c r="CZ61" s="285"/>
      <c r="DA61" s="185"/>
      <c r="DB61" s="185"/>
      <c r="DC61" s="285"/>
      <c r="DD61" s="285"/>
      <c r="DE61" s="285"/>
      <c r="DF61" s="185"/>
      <c r="DG61" s="285"/>
      <c r="DH61" s="285"/>
      <c r="DI61" s="185"/>
      <c r="DJ61" s="285"/>
      <c r="DK61" s="285"/>
      <c r="DL61" s="285"/>
      <c r="DM61" s="285"/>
      <c r="DN61" s="285"/>
      <c r="DO61" s="285"/>
      <c r="DP61" s="185"/>
      <c r="DQ61" s="185"/>
      <c r="DR61" s="228" t="s">
        <v>379</v>
      </c>
      <c r="DS61" s="285"/>
      <c r="DT61" s="285"/>
      <c r="DU61" s="285"/>
      <c r="DV61" s="285"/>
      <c r="DW61" s="285"/>
      <c r="DX61" s="285"/>
      <c r="DY61" s="285"/>
      <c r="DZ61" s="285"/>
      <c r="EA61" s="285"/>
      <c r="EB61" s="285"/>
      <c r="EC61" s="285"/>
      <c r="ED61" s="285"/>
      <c r="EE61" s="285"/>
      <c r="EF61" s="285"/>
      <c r="EG61" s="228"/>
      <c r="EH61" s="228"/>
      <c r="EI61" s="185"/>
      <c r="EJ61" s="185" t="s">
        <v>371</v>
      </c>
      <c r="EK61" s="341"/>
      <c r="EL61" s="243" t="s">
        <v>419</v>
      </c>
      <c r="EM61" s="185"/>
      <c r="EN61" s="285"/>
      <c r="EO61" s="285"/>
      <c r="EP61" s="285"/>
      <c r="EQ61" s="285"/>
      <c r="ER61" s="285"/>
      <c r="ES61" s="185"/>
      <c r="ET61" s="285"/>
      <c r="EU61" s="285"/>
      <c r="EV61" s="185"/>
      <c r="EW61" s="185"/>
      <c r="EX61" s="285"/>
      <c r="EY61" s="285"/>
      <c r="EZ61" s="285"/>
      <c r="FA61" s="228"/>
      <c r="FB61" s="285"/>
      <c r="FC61" s="285"/>
      <c r="FD61" s="285"/>
      <c r="FE61" s="285"/>
      <c r="FF61" s="285"/>
      <c r="FG61" s="185"/>
      <c r="FH61" s="285"/>
      <c r="FI61" s="185"/>
      <c r="FJ61" s="285"/>
      <c r="FK61" s="285"/>
      <c r="FL61" s="285"/>
      <c r="FM61" s="285"/>
      <c r="FN61" s="285"/>
      <c r="FO61" s="285"/>
      <c r="FP61" s="285"/>
      <c r="FQ61" s="285"/>
      <c r="FR61" s="285"/>
      <c r="FS61" s="285"/>
      <c r="FT61" s="285"/>
      <c r="FU61" s="285"/>
      <c r="FV61" s="285"/>
      <c r="FW61" s="285"/>
      <c r="FX61" s="285"/>
      <c r="FY61" s="185" t="s">
        <v>456</v>
      </c>
      <c r="FZ61" s="185"/>
      <c r="GA61" s="185"/>
      <c r="GB61" s="185"/>
      <c r="GC61" s="185" t="s">
        <v>376</v>
      </c>
      <c r="GD61" s="243" t="s">
        <v>471</v>
      </c>
      <c r="GE61" s="185"/>
      <c r="GF61" s="285"/>
      <c r="GG61" s="285"/>
      <c r="GH61" s="285"/>
      <c r="GI61" s="285"/>
      <c r="GJ61" s="285"/>
      <c r="GK61" s="185"/>
      <c r="GL61" s="285"/>
      <c r="GM61" s="285"/>
      <c r="GN61" s="185"/>
      <c r="GO61" s="285"/>
      <c r="GP61" s="285"/>
      <c r="GQ61" s="285"/>
      <c r="GR61" s="285"/>
      <c r="GS61" s="285"/>
      <c r="GT61" s="285"/>
      <c r="GU61" s="285"/>
      <c r="GV61" s="285"/>
      <c r="GW61" s="285"/>
      <c r="GX61" s="285"/>
      <c r="GY61" s="185"/>
      <c r="GZ61" s="185"/>
      <c r="HA61" s="185"/>
      <c r="HB61" s="285"/>
      <c r="HC61" s="285"/>
      <c r="HD61" s="285"/>
      <c r="HE61" s="285"/>
      <c r="HF61" s="285"/>
      <c r="HG61" s="285"/>
      <c r="HH61" s="285"/>
      <c r="HI61" s="285"/>
      <c r="HJ61" s="285"/>
      <c r="HK61" s="285"/>
      <c r="HL61" s="285"/>
      <c r="HM61" s="285"/>
      <c r="HN61" s="285"/>
      <c r="HO61" s="285"/>
      <c r="HP61" s="285"/>
      <c r="HQ61" s="185" t="s">
        <v>377</v>
      </c>
      <c r="HR61" s="228"/>
      <c r="HS61" s="185"/>
      <c r="HT61" s="285"/>
      <c r="HU61" s="285"/>
      <c r="HV61" s="221"/>
      <c r="HW61" s="221"/>
      <c r="HX61" s="221"/>
      <c r="HY61" s="221"/>
      <c r="HZ61" s="221"/>
      <c r="IA61" s="221"/>
      <c r="IB61" s="221"/>
      <c r="IC61" s="221"/>
      <c r="ID61" s="221"/>
      <c r="IE61" s="221"/>
      <c r="IF61" s="221"/>
      <c r="IG61" s="221"/>
      <c r="IH61" s="221"/>
      <c r="II61" s="221"/>
      <c r="IJ61" s="221"/>
      <c r="IK61" s="221"/>
      <c r="IL61" s="221"/>
      <c r="IM61" s="221"/>
      <c r="IN61" s="221"/>
      <c r="IO61" s="221"/>
      <c r="IP61" s="221"/>
      <c r="IQ61" s="221"/>
      <c r="IR61" s="221"/>
      <c r="IS61" s="221"/>
      <c r="IT61" s="221"/>
      <c r="IU61" s="221"/>
      <c r="IV61" s="221"/>
      <c r="IW61" s="221"/>
      <c r="IX61" s="221"/>
      <c r="IY61" s="221"/>
      <c r="IZ61" s="221"/>
      <c r="JA61" s="221"/>
      <c r="JB61" s="221"/>
      <c r="JC61" s="221"/>
      <c r="JD61" s="221"/>
      <c r="JE61" s="221"/>
      <c r="JF61" s="221"/>
      <c r="JG61" s="221"/>
      <c r="JH61" s="221"/>
      <c r="JI61" s="221"/>
      <c r="JJ61" s="221"/>
      <c r="JK61" s="221"/>
      <c r="JL61" s="221"/>
      <c r="JM61" s="299"/>
      <c r="JN61" s="223"/>
      <c r="JO61" s="221"/>
      <c r="JP61" s="221"/>
      <c r="JQ61" s="221"/>
      <c r="JR61" s="221"/>
      <c r="JS61" s="221"/>
      <c r="JT61" s="221"/>
      <c r="JU61" s="221"/>
      <c r="JV61" s="221"/>
      <c r="JW61" s="221"/>
      <c r="JX61" s="221"/>
      <c r="JY61" s="221"/>
      <c r="JZ61" s="221"/>
      <c r="KA61" s="221"/>
      <c r="KB61" s="221"/>
      <c r="KC61" s="221"/>
      <c r="KD61" s="221"/>
      <c r="KE61" s="221"/>
      <c r="KF61" s="221"/>
      <c r="KG61" s="221"/>
      <c r="KH61" s="221"/>
      <c r="KI61" s="221"/>
      <c r="KJ61" s="221"/>
      <c r="KK61" s="221"/>
      <c r="KL61" s="221"/>
      <c r="KM61" s="221"/>
      <c r="KN61" s="221"/>
      <c r="KO61" s="221"/>
      <c r="KP61" s="221"/>
      <c r="KQ61" s="221"/>
      <c r="KR61" s="221"/>
      <c r="KS61" s="221"/>
      <c r="KT61" s="221"/>
      <c r="KU61" s="221"/>
      <c r="KV61" s="221"/>
      <c r="KW61" s="221"/>
      <c r="KX61" s="221"/>
      <c r="KY61" s="221"/>
      <c r="KZ61" s="221"/>
      <c r="LA61" s="221"/>
      <c r="LB61" s="221"/>
      <c r="LC61" s="221"/>
      <c r="LD61" s="221"/>
      <c r="LE61" s="299"/>
      <c r="LF61" s="52">
        <v>0.85416666666666496</v>
      </c>
    </row>
    <row r="62" spans="2:318" ht="10.5" customHeight="1">
      <c r="B62" s="49">
        <v>0.25</v>
      </c>
      <c r="C62" s="49">
        <v>0.25</v>
      </c>
      <c r="D62" s="49">
        <v>0.25</v>
      </c>
      <c r="E62" s="172">
        <v>0.84375</v>
      </c>
      <c r="F62" s="228" t="s">
        <v>411</v>
      </c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228" t="s">
        <v>379</v>
      </c>
      <c r="AD62" s="185"/>
      <c r="AE62" s="185"/>
      <c r="AF62" s="185"/>
      <c r="AG62" s="185"/>
      <c r="AH62" s="185"/>
      <c r="AI62" s="185"/>
      <c r="AJ62" s="185"/>
      <c r="AK62" s="185"/>
      <c r="AL62" s="185"/>
      <c r="AM62" s="185"/>
      <c r="AN62" s="185"/>
      <c r="AO62" s="185"/>
      <c r="AP62" s="185"/>
      <c r="AQ62" s="325"/>
      <c r="AR62" s="324"/>
      <c r="AS62" s="324"/>
      <c r="AT62" s="176"/>
      <c r="AU62" s="185"/>
      <c r="AV62" s="228"/>
      <c r="AW62" s="185" t="s">
        <v>371</v>
      </c>
      <c r="AX62" s="228"/>
      <c r="AY62" s="228" t="s">
        <v>411</v>
      </c>
      <c r="AZ62" s="185"/>
      <c r="BA62" s="185"/>
      <c r="BB62" s="185"/>
      <c r="BC62" s="185"/>
      <c r="BD62" s="185"/>
      <c r="BE62" s="185"/>
      <c r="BF62" s="185"/>
      <c r="BG62" s="185"/>
      <c r="BH62" s="185"/>
      <c r="BI62" s="185"/>
      <c r="BJ62" s="185"/>
      <c r="BK62" s="185"/>
      <c r="BL62" s="185"/>
      <c r="BM62" s="185"/>
      <c r="BN62" s="185"/>
      <c r="BO62" s="185"/>
      <c r="BP62" s="185"/>
      <c r="BQ62" s="185"/>
      <c r="BR62" s="185"/>
      <c r="BS62" s="185"/>
      <c r="BT62" s="185"/>
      <c r="BU62" s="185" t="s">
        <v>376</v>
      </c>
      <c r="BV62" s="185"/>
      <c r="BW62" s="185"/>
      <c r="BX62" s="185"/>
      <c r="BY62" s="185"/>
      <c r="BZ62" s="185"/>
      <c r="CA62" s="185"/>
      <c r="CB62" s="185"/>
      <c r="CC62" s="185"/>
      <c r="CD62" s="185"/>
      <c r="CE62" s="185"/>
      <c r="CF62" s="185"/>
      <c r="CG62" s="185"/>
      <c r="CH62" s="185"/>
      <c r="CI62" s="185"/>
      <c r="CJ62" s="185"/>
      <c r="CK62" s="185"/>
      <c r="CL62" s="53"/>
      <c r="CM62" s="176" t="s">
        <v>444</v>
      </c>
      <c r="CN62" s="53"/>
      <c r="CO62" s="53" t="s">
        <v>419</v>
      </c>
      <c r="CP62" s="345" t="s">
        <v>376</v>
      </c>
      <c r="CQ62" s="185" t="s">
        <v>411</v>
      </c>
      <c r="CR62" s="185"/>
      <c r="CS62" s="185"/>
      <c r="CT62" s="185"/>
      <c r="CU62" s="185"/>
      <c r="CV62" s="185"/>
      <c r="CW62" s="185"/>
      <c r="CX62" s="185"/>
      <c r="CY62" s="185"/>
      <c r="CZ62" s="185"/>
      <c r="DA62" s="185"/>
      <c r="DB62" s="185"/>
      <c r="DC62" s="185"/>
      <c r="DD62" s="185"/>
      <c r="DE62" s="185"/>
      <c r="DF62" s="185"/>
      <c r="DG62" s="185"/>
      <c r="DH62" s="185"/>
      <c r="DI62" s="185"/>
      <c r="DJ62" s="185"/>
      <c r="DK62" s="185"/>
      <c r="DL62" s="185"/>
      <c r="DM62" s="185"/>
      <c r="DN62" s="185"/>
      <c r="DO62" s="185"/>
      <c r="DP62" s="185"/>
      <c r="DQ62" s="185"/>
      <c r="DR62" s="228" t="s">
        <v>379</v>
      </c>
      <c r="DS62" s="185"/>
      <c r="DT62" s="185"/>
      <c r="DU62" s="185"/>
      <c r="DV62" s="185"/>
      <c r="DW62" s="185"/>
      <c r="DX62" s="185"/>
      <c r="DY62" s="185"/>
      <c r="DZ62" s="185"/>
      <c r="EA62" s="185"/>
      <c r="EB62" s="185"/>
      <c r="EC62" s="185"/>
      <c r="ED62" s="185"/>
      <c r="EE62" s="185"/>
      <c r="EF62" s="185"/>
      <c r="EG62" s="322" t="s">
        <v>474</v>
      </c>
      <c r="EH62" s="185"/>
      <c r="EI62" s="285" t="s">
        <v>377</v>
      </c>
      <c r="EJ62" s="185" t="s">
        <v>371</v>
      </c>
      <c r="EK62" s="186"/>
      <c r="EL62" s="243" t="s">
        <v>419</v>
      </c>
      <c r="EM62" s="185"/>
      <c r="EN62" s="185"/>
      <c r="EO62" s="185"/>
      <c r="EP62" s="185"/>
      <c r="EQ62" s="185"/>
      <c r="ER62" s="185"/>
      <c r="ES62" s="185"/>
      <c r="ET62" s="185"/>
      <c r="EU62" s="185"/>
      <c r="EV62" s="185"/>
      <c r="EW62" s="185"/>
      <c r="EX62" s="185"/>
      <c r="EY62" s="185"/>
      <c r="EZ62" s="185"/>
      <c r="FA62" s="185"/>
      <c r="FB62" s="185"/>
      <c r="FC62" s="185"/>
      <c r="FD62" s="185"/>
      <c r="FE62" s="185"/>
      <c r="FF62" s="185"/>
      <c r="FG62" s="185"/>
      <c r="FH62" s="185" t="s">
        <v>376</v>
      </c>
      <c r="FI62" s="185"/>
      <c r="FJ62" s="185"/>
      <c r="FK62" s="185"/>
      <c r="FL62" s="185"/>
      <c r="FM62" s="185"/>
      <c r="FN62" s="185"/>
      <c r="FO62" s="185"/>
      <c r="FP62" s="185"/>
      <c r="FQ62" s="185"/>
      <c r="FR62" s="185"/>
      <c r="FS62" s="185"/>
      <c r="FT62" s="185"/>
      <c r="FU62" s="185"/>
      <c r="FV62" s="185"/>
      <c r="FW62" s="185"/>
      <c r="FX62" s="185"/>
      <c r="FY62" s="185" t="s">
        <v>456</v>
      </c>
      <c r="FZ62" s="185" t="s">
        <v>463</v>
      </c>
      <c r="GA62" s="185"/>
      <c r="GB62" s="185"/>
      <c r="GC62" s="228" t="s">
        <v>376</v>
      </c>
      <c r="GD62" s="243" t="s">
        <v>471</v>
      </c>
      <c r="GE62" s="185"/>
      <c r="GF62" s="185"/>
      <c r="GG62" s="185"/>
      <c r="GH62" s="185"/>
      <c r="GI62" s="185"/>
      <c r="GJ62" s="185"/>
      <c r="GK62" s="185"/>
      <c r="GL62" s="185"/>
      <c r="GM62" s="185"/>
      <c r="GN62" s="185"/>
      <c r="GO62" s="185"/>
      <c r="GP62" s="185"/>
      <c r="GQ62" s="185"/>
      <c r="GR62" s="185"/>
      <c r="GS62" s="185"/>
      <c r="GT62" s="185"/>
      <c r="GU62" s="185"/>
      <c r="GV62" s="185"/>
      <c r="GW62" s="185"/>
      <c r="GX62" s="185"/>
      <c r="GY62" s="185"/>
      <c r="GZ62" s="185"/>
      <c r="HA62" s="185"/>
      <c r="HB62" s="185"/>
      <c r="HC62" s="185"/>
      <c r="HD62" s="185"/>
      <c r="HE62" s="185"/>
      <c r="HF62" s="185"/>
      <c r="HG62" s="185"/>
      <c r="HH62" s="185"/>
      <c r="HI62" s="185"/>
      <c r="HJ62" s="185"/>
      <c r="HK62" s="185"/>
      <c r="HL62" s="185"/>
      <c r="HM62" s="185"/>
      <c r="HN62" s="185"/>
      <c r="HO62" s="185"/>
      <c r="HP62" s="185"/>
      <c r="HQ62" s="185" t="s">
        <v>377</v>
      </c>
      <c r="HR62" s="228"/>
      <c r="HS62" s="185"/>
      <c r="HT62" s="285"/>
      <c r="HU62" s="185" t="s">
        <v>379</v>
      </c>
      <c r="HV62" s="221"/>
      <c r="HW62" s="221"/>
      <c r="HX62" s="221"/>
      <c r="HY62" s="221"/>
      <c r="HZ62" s="221"/>
      <c r="IA62" s="221"/>
      <c r="IB62" s="221"/>
      <c r="IC62" s="221"/>
      <c r="ID62" s="221"/>
      <c r="IE62" s="221"/>
      <c r="IF62" s="221"/>
      <c r="IG62" s="221"/>
      <c r="IH62" s="221"/>
      <c r="II62" s="221"/>
      <c r="IJ62" s="221"/>
      <c r="IK62" s="221"/>
      <c r="IL62" s="221"/>
      <c r="IM62" s="221"/>
      <c r="IN62" s="221"/>
      <c r="IO62" s="221"/>
      <c r="IP62" s="221"/>
      <c r="IQ62" s="221"/>
      <c r="IR62" s="221"/>
      <c r="IS62" s="221"/>
      <c r="IT62" s="221"/>
      <c r="IU62" s="221"/>
      <c r="IV62" s="221"/>
      <c r="IW62" s="221"/>
      <c r="IX62" s="221"/>
      <c r="IY62" s="221"/>
      <c r="IZ62" s="221"/>
      <c r="JA62" s="221"/>
      <c r="JB62" s="221"/>
      <c r="JC62" s="221"/>
      <c r="JD62" s="221"/>
      <c r="JE62" s="221"/>
      <c r="JF62" s="221"/>
      <c r="JG62" s="221"/>
      <c r="JH62" s="221"/>
      <c r="JI62" s="221"/>
      <c r="JJ62" s="221"/>
      <c r="JK62" s="221"/>
      <c r="JL62" s="221"/>
      <c r="JM62" s="299"/>
      <c r="JN62" s="223"/>
      <c r="JO62" s="221"/>
      <c r="JP62" s="221"/>
      <c r="JQ62" s="221"/>
      <c r="JR62" s="221"/>
      <c r="JS62" s="221"/>
      <c r="JT62" s="221"/>
      <c r="JU62" s="221"/>
      <c r="JV62" s="221"/>
      <c r="JW62" s="221"/>
      <c r="JX62" s="221"/>
      <c r="JY62" s="221"/>
      <c r="JZ62" s="221"/>
      <c r="KA62" s="221"/>
      <c r="KB62" s="221"/>
      <c r="KC62" s="221"/>
      <c r="KD62" s="221"/>
      <c r="KE62" s="221"/>
      <c r="KF62" s="221"/>
      <c r="KG62" s="221"/>
      <c r="KH62" s="221"/>
      <c r="KI62" s="221"/>
      <c r="KJ62" s="221"/>
      <c r="KK62" s="221"/>
      <c r="KL62" s="221"/>
      <c r="KM62" s="221"/>
      <c r="KN62" s="221"/>
      <c r="KO62" s="221"/>
      <c r="KP62" s="221"/>
      <c r="KQ62" s="221"/>
      <c r="KR62" s="221"/>
      <c r="KS62" s="221"/>
      <c r="KT62" s="221"/>
      <c r="KU62" s="221"/>
      <c r="KV62" s="221"/>
      <c r="KW62" s="221"/>
      <c r="KX62" s="221"/>
      <c r="KY62" s="221"/>
      <c r="KZ62" s="221"/>
      <c r="LA62" s="221"/>
      <c r="LB62" s="221"/>
      <c r="LC62" s="221"/>
      <c r="LD62" s="221"/>
      <c r="LE62" s="299"/>
      <c r="LF62" s="52">
        <v>0.86458333333333204</v>
      </c>
    </row>
    <row r="63" spans="2:318" ht="10.5" customHeight="1">
      <c r="B63" s="49">
        <v>0.25</v>
      </c>
      <c r="C63" s="49">
        <v>0.25</v>
      </c>
      <c r="D63" s="49">
        <v>0.25</v>
      </c>
      <c r="E63" s="172">
        <v>0.85416666666666663</v>
      </c>
      <c r="F63" s="228" t="s">
        <v>411</v>
      </c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228" t="s">
        <v>379</v>
      </c>
      <c r="AD63" s="185"/>
      <c r="AE63" s="185"/>
      <c r="AF63" s="185"/>
      <c r="AG63" s="185"/>
      <c r="AH63" s="185"/>
      <c r="AI63" s="185"/>
      <c r="AJ63" s="185"/>
      <c r="AK63" s="185"/>
      <c r="AL63" s="185"/>
      <c r="AM63" s="185"/>
      <c r="AN63" s="185"/>
      <c r="AO63" s="185"/>
      <c r="AP63" s="185"/>
      <c r="AQ63" s="325"/>
      <c r="AR63" s="324"/>
      <c r="AS63" s="324"/>
      <c r="AT63" s="228" t="s">
        <v>432</v>
      </c>
      <c r="AU63" s="185"/>
      <c r="AV63" s="228"/>
      <c r="AW63" s="185"/>
      <c r="AX63" s="228"/>
      <c r="AY63" s="228" t="s">
        <v>411</v>
      </c>
      <c r="AZ63" s="185"/>
      <c r="BA63" s="185"/>
      <c r="BB63" s="185"/>
      <c r="BC63" s="185"/>
      <c r="BD63" s="185"/>
      <c r="BE63" s="185"/>
      <c r="BF63" s="185"/>
      <c r="BG63" s="185"/>
      <c r="BH63" s="185"/>
      <c r="BI63" s="185"/>
      <c r="BJ63" s="185"/>
      <c r="BK63" s="185"/>
      <c r="BL63" s="185"/>
      <c r="BM63" s="185"/>
      <c r="BN63" s="185"/>
      <c r="BO63" s="185"/>
      <c r="BP63" s="185"/>
      <c r="BQ63" s="185"/>
      <c r="BR63" s="185"/>
      <c r="BS63" s="185"/>
      <c r="BT63" s="185"/>
      <c r="BU63" s="185" t="s">
        <v>376</v>
      </c>
      <c r="BV63" s="185"/>
      <c r="BW63" s="185"/>
      <c r="BX63" s="185"/>
      <c r="BY63" s="185"/>
      <c r="BZ63" s="185"/>
      <c r="CA63" s="185"/>
      <c r="CB63" s="185"/>
      <c r="CC63" s="185"/>
      <c r="CD63" s="185"/>
      <c r="CE63" s="185"/>
      <c r="CF63" s="185"/>
      <c r="CG63" s="185"/>
      <c r="CH63" s="185"/>
      <c r="CI63" s="185"/>
      <c r="CJ63" s="185"/>
      <c r="CK63" s="185"/>
      <c r="CL63" s="53"/>
      <c r="CM63" s="176" t="s">
        <v>444</v>
      </c>
      <c r="CN63" s="53"/>
      <c r="CO63" s="53" t="s">
        <v>419</v>
      </c>
      <c r="CP63" s="54"/>
      <c r="CQ63" s="185" t="s">
        <v>411</v>
      </c>
      <c r="CR63" s="185"/>
      <c r="CS63" s="185"/>
      <c r="CT63" s="185"/>
      <c r="CU63" s="185"/>
      <c r="CV63" s="185"/>
      <c r="CW63" s="185"/>
      <c r="CX63" s="185"/>
      <c r="CY63" s="185"/>
      <c r="CZ63" s="185"/>
      <c r="DA63" s="185"/>
      <c r="DB63" s="185"/>
      <c r="DC63" s="185"/>
      <c r="DD63" s="185"/>
      <c r="DE63" s="185"/>
      <c r="DF63" s="185"/>
      <c r="DG63" s="185"/>
      <c r="DH63" s="185"/>
      <c r="DI63" s="185"/>
      <c r="DJ63" s="185"/>
      <c r="DK63" s="185"/>
      <c r="DL63" s="185"/>
      <c r="DM63" s="185"/>
      <c r="DN63" s="185"/>
      <c r="DO63" s="185"/>
      <c r="DP63" s="185"/>
      <c r="DQ63" s="185"/>
      <c r="DR63" s="228" t="s">
        <v>379</v>
      </c>
      <c r="DS63" s="185"/>
      <c r="DT63" s="185"/>
      <c r="DU63" s="185"/>
      <c r="DV63" s="185"/>
      <c r="DW63" s="185"/>
      <c r="DX63" s="185"/>
      <c r="DY63" s="185"/>
      <c r="DZ63" s="185"/>
      <c r="EA63" s="185"/>
      <c r="EB63" s="185"/>
      <c r="EC63" s="185"/>
      <c r="ED63" s="185"/>
      <c r="EE63" s="185"/>
      <c r="EF63" s="185"/>
      <c r="EG63" s="322" t="s">
        <v>474</v>
      </c>
      <c r="EH63" s="185"/>
      <c r="EI63" s="285" t="s">
        <v>377</v>
      </c>
      <c r="EJ63" s="185"/>
      <c r="EK63" s="186"/>
      <c r="EL63" s="243" t="s">
        <v>419</v>
      </c>
      <c r="EM63" s="228"/>
      <c r="EN63" s="185"/>
      <c r="EO63" s="185"/>
      <c r="EP63" s="185"/>
      <c r="EQ63" s="185"/>
      <c r="ER63" s="185"/>
      <c r="ES63" s="185"/>
      <c r="ET63" s="185"/>
      <c r="EU63" s="185"/>
      <c r="EV63" s="185"/>
      <c r="EW63" s="185"/>
      <c r="EX63" s="185"/>
      <c r="EY63" s="185"/>
      <c r="EZ63" s="185"/>
      <c r="FA63" s="185"/>
      <c r="FB63" s="185"/>
      <c r="FC63" s="185"/>
      <c r="FD63" s="185"/>
      <c r="FE63" s="185"/>
      <c r="FF63" s="185"/>
      <c r="FG63" s="185"/>
      <c r="FH63" s="185" t="s">
        <v>376</v>
      </c>
      <c r="FI63" s="185"/>
      <c r="FJ63" s="185"/>
      <c r="FK63" s="185"/>
      <c r="FL63" s="185"/>
      <c r="FM63" s="185"/>
      <c r="FN63" s="185"/>
      <c r="FO63" s="185"/>
      <c r="FP63" s="185"/>
      <c r="FQ63" s="185"/>
      <c r="FR63" s="185"/>
      <c r="FS63" s="185"/>
      <c r="FT63" s="185"/>
      <c r="FU63" s="185"/>
      <c r="FV63" s="185"/>
      <c r="FW63" s="185"/>
      <c r="FX63" s="185"/>
      <c r="FY63" s="185"/>
      <c r="FZ63" s="185" t="s">
        <v>463</v>
      </c>
      <c r="GA63" s="185"/>
      <c r="GB63" s="185"/>
      <c r="GC63" s="185"/>
      <c r="GD63" s="243" t="s">
        <v>471</v>
      </c>
      <c r="GE63" s="185"/>
      <c r="GF63" s="185"/>
      <c r="GG63" s="185"/>
      <c r="GH63" s="185"/>
      <c r="GI63" s="185"/>
      <c r="GJ63" s="185"/>
      <c r="GK63" s="185"/>
      <c r="GL63" s="185"/>
      <c r="GM63" s="185"/>
      <c r="GN63" s="185"/>
      <c r="GO63" s="185"/>
      <c r="GP63" s="185"/>
      <c r="GQ63" s="185"/>
      <c r="GR63" s="185"/>
      <c r="GS63" s="185"/>
      <c r="GT63" s="185"/>
      <c r="GU63" s="185"/>
      <c r="GV63" s="185"/>
      <c r="GW63" s="185"/>
      <c r="GX63" s="185"/>
      <c r="GY63" s="185"/>
      <c r="GZ63" s="185"/>
      <c r="HA63" s="185"/>
      <c r="HB63" s="185"/>
      <c r="HC63" s="185"/>
      <c r="HD63" s="185"/>
      <c r="HE63" s="185"/>
      <c r="HF63" s="185"/>
      <c r="HG63" s="185"/>
      <c r="HH63" s="185"/>
      <c r="HI63" s="185"/>
      <c r="HJ63" s="185"/>
      <c r="HK63" s="185"/>
      <c r="HL63" s="185"/>
      <c r="HM63" s="185"/>
      <c r="HN63" s="185"/>
      <c r="HO63" s="185"/>
      <c r="HP63" s="185"/>
      <c r="HQ63" s="185"/>
      <c r="HR63" s="228"/>
      <c r="HS63" s="185"/>
      <c r="HT63" s="285"/>
      <c r="HU63" s="185" t="s">
        <v>379</v>
      </c>
      <c r="HV63" s="221"/>
      <c r="HW63" s="221"/>
      <c r="HX63" s="221"/>
      <c r="HY63" s="221"/>
      <c r="HZ63" s="221"/>
      <c r="IA63" s="221"/>
      <c r="IB63" s="221"/>
      <c r="IC63" s="221"/>
      <c r="ID63" s="221"/>
      <c r="IE63" s="221"/>
      <c r="IF63" s="221"/>
      <c r="IG63" s="221"/>
      <c r="IH63" s="221"/>
      <c r="II63" s="221"/>
      <c r="IJ63" s="221"/>
      <c r="IK63" s="221"/>
      <c r="IL63" s="221"/>
      <c r="IM63" s="221"/>
      <c r="IN63" s="221"/>
      <c r="IO63" s="221"/>
      <c r="IP63" s="221"/>
      <c r="IQ63" s="221"/>
      <c r="IR63" s="221"/>
      <c r="IS63" s="221"/>
      <c r="IT63" s="221"/>
      <c r="IU63" s="221"/>
      <c r="IV63" s="221"/>
      <c r="IW63" s="221"/>
      <c r="IX63" s="221"/>
      <c r="IY63" s="221"/>
      <c r="IZ63" s="221"/>
      <c r="JA63" s="221"/>
      <c r="JB63" s="221"/>
      <c r="JC63" s="221"/>
      <c r="JD63" s="221"/>
      <c r="JE63" s="221"/>
      <c r="JF63" s="221"/>
      <c r="JG63" s="221"/>
      <c r="JH63" s="221"/>
      <c r="JI63" s="221"/>
      <c r="JJ63" s="221"/>
      <c r="JK63" s="221"/>
      <c r="JL63" s="221"/>
      <c r="JM63" s="299"/>
      <c r="JN63" s="223"/>
      <c r="JO63" s="221"/>
      <c r="JP63" s="221"/>
      <c r="JQ63" s="221"/>
      <c r="JR63" s="221"/>
      <c r="JS63" s="221"/>
      <c r="JT63" s="221"/>
      <c r="JU63" s="221"/>
      <c r="JV63" s="221"/>
      <c r="JW63" s="221"/>
      <c r="JX63" s="221"/>
      <c r="JY63" s="221"/>
      <c r="JZ63" s="221"/>
      <c r="KA63" s="221"/>
      <c r="KB63" s="221"/>
      <c r="KC63" s="221"/>
      <c r="KD63" s="221"/>
      <c r="KE63" s="221"/>
      <c r="KF63" s="221"/>
      <c r="KG63" s="221"/>
      <c r="KH63" s="221"/>
      <c r="KI63" s="221"/>
      <c r="KJ63" s="221"/>
      <c r="KK63" s="221"/>
      <c r="KL63" s="221"/>
      <c r="KM63" s="221"/>
      <c r="KN63" s="221"/>
      <c r="KO63" s="221"/>
      <c r="KP63" s="221"/>
      <c r="KQ63" s="221"/>
      <c r="KR63" s="221"/>
      <c r="KS63" s="221"/>
      <c r="KT63" s="221"/>
      <c r="KU63" s="221"/>
      <c r="KV63" s="221"/>
      <c r="KW63" s="221"/>
      <c r="KX63" s="221"/>
      <c r="KY63" s="221"/>
      <c r="KZ63" s="221"/>
      <c r="LA63" s="221"/>
      <c r="LB63" s="221"/>
      <c r="LC63" s="221"/>
      <c r="LD63" s="221"/>
      <c r="LE63" s="299"/>
      <c r="LF63" s="52">
        <v>0.874999999999998</v>
      </c>
    </row>
    <row r="64" spans="2:318" ht="10.5" customHeight="1">
      <c r="B64" s="49">
        <v>0.25</v>
      </c>
      <c r="C64" s="49">
        <v>0.25</v>
      </c>
      <c r="D64" s="49">
        <v>0.25</v>
      </c>
      <c r="E64" s="172">
        <v>0.86458333333333337</v>
      </c>
      <c r="F64" s="228" t="s">
        <v>411</v>
      </c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  <c r="AG64" s="185"/>
      <c r="AH64" s="185"/>
      <c r="AI64" s="185"/>
      <c r="AJ64" s="185"/>
      <c r="AK64" s="185"/>
      <c r="AL64" s="185"/>
      <c r="AM64" s="185"/>
      <c r="AN64" s="185"/>
      <c r="AO64" s="185"/>
      <c r="AP64" s="185"/>
      <c r="AQ64" s="325"/>
      <c r="AR64" s="324"/>
      <c r="AS64" s="324"/>
      <c r="AT64" s="228" t="s">
        <v>432</v>
      </c>
      <c r="AU64" s="185"/>
      <c r="AV64" s="228"/>
      <c r="AW64" s="185"/>
      <c r="AX64" s="228"/>
      <c r="AY64" s="228" t="s">
        <v>411</v>
      </c>
      <c r="AZ64" s="185"/>
      <c r="BA64" s="185"/>
      <c r="BB64" s="185"/>
      <c r="BC64" s="185"/>
      <c r="BD64" s="185"/>
      <c r="BE64" s="185"/>
      <c r="BF64" s="185"/>
      <c r="BG64" s="185"/>
      <c r="BH64" s="185"/>
      <c r="BI64" s="185"/>
      <c r="BJ64" s="185"/>
      <c r="BK64" s="185"/>
      <c r="BL64" s="185"/>
      <c r="BM64" s="185"/>
      <c r="BN64" s="185"/>
      <c r="BO64" s="185"/>
      <c r="BP64" s="185"/>
      <c r="BQ64" s="185"/>
      <c r="BR64" s="185"/>
      <c r="BS64" s="185"/>
      <c r="BT64" s="185"/>
      <c r="BU64" s="185" t="s">
        <v>376</v>
      </c>
      <c r="BV64" s="185"/>
      <c r="BW64" s="185"/>
      <c r="BX64" s="185"/>
      <c r="BY64" s="185"/>
      <c r="BZ64" s="185"/>
      <c r="CA64" s="185"/>
      <c r="CB64" s="185"/>
      <c r="CC64" s="185"/>
      <c r="CD64" s="185"/>
      <c r="CE64" s="185"/>
      <c r="CF64" s="185"/>
      <c r="CG64" s="185"/>
      <c r="CH64" s="185"/>
      <c r="CI64" s="185"/>
      <c r="CJ64" s="185"/>
      <c r="CK64" s="185"/>
      <c r="CL64" s="53"/>
      <c r="CM64" s="176" t="s">
        <v>444</v>
      </c>
      <c r="CN64" s="53"/>
      <c r="CO64" s="53" t="s">
        <v>419</v>
      </c>
      <c r="CP64" s="54"/>
      <c r="CQ64" s="185" t="s">
        <v>411</v>
      </c>
      <c r="CR64" s="185"/>
      <c r="CS64" s="185"/>
      <c r="CT64" s="185"/>
      <c r="CU64" s="185"/>
      <c r="CV64" s="185"/>
      <c r="CW64" s="185"/>
      <c r="CX64" s="185"/>
      <c r="CY64" s="185"/>
      <c r="CZ64" s="185"/>
      <c r="DA64" s="185"/>
      <c r="DB64" s="185"/>
      <c r="DC64" s="185"/>
      <c r="DD64" s="185"/>
      <c r="DE64" s="185"/>
      <c r="DF64" s="185"/>
      <c r="DG64" s="185"/>
      <c r="DH64" s="185"/>
      <c r="DI64" s="185"/>
      <c r="DJ64" s="185"/>
      <c r="DK64" s="185"/>
      <c r="DL64" s="185"/>
      <c r="DM64" s="185"/>
      <c r="DN64" s="185"/>
      <c r="DO64" s="185"/>
      <c r="DP64" s="185"/>
      <c r="DQ64" s="185"/>
      <c r="DR64" s="185"/>
      <c r="DS64" s="185"/>
      <c r="DT64" s="185"/>
      <c r="DU64" s="185"/>
      <c r="DV64" s="185"/>
      <c r="DW64" s="185"/>
      <c r="DX64" s="185"/>
      <c r="DY64" s="185"/>
      <c r="DZ64" s="185"/>
      <c r="EA64" s="185"/>
      <c r="EB64" s="185"/>
      <c r="EC64" s="185"/>
      <c r="ED64" s="185"/>
      <c r="EE64" s="185"/>
      <c r="EF64" s="185"/>
      <c r="EG64" s="322" t="s">
        <v>474</v>
      </c>
      <c r="EH64" s="185"/>
      <c r="EI64" s="285" t="s">
        <v>377</v>
      </c>
      <c r="EJ64" s="185"/>
      <c r="EK64" s="186"/>
      <c r="EL64" s="243" t="s">
        <v>419</v>
      </c>
      <c r="EM64" s="228"/>
      <c r="EN64" s="185"/>
      <c r="EO64" s="185"/>
      <c r="EP64" s="185"/>
      <c r="EQ64" s="185"/>
      <c r="ER64" s="185"/>
      <c r="ES64" s="185"/>
      <c r="ET64" s="185"/>
      <c r="EU64" s="185"/>
      <c r="EV64" s="185"/>
      <c r="EW64" s="185"/>
      <c r="EX64" s="185"/>
      <c r="EY64" s="185"/>
      <c r="EZ64" s="185"/>
      <c r="FA64" s="185"/>
      <c r="FB64" s="185"/>
      <c r="FC64" s="185"/>
      <c r="FD64" s="185"/>
      <c r="FE64" s="185"/>
      <c r="FF64" s="185"/>
      <c r="FG64" s="185"/>
      <c r="FH64" s="185" t="s">
        <v>376</v>
      </c>
      <c r="FI64" s="185"/>
      <c r="FJ64" s="185"/>
      <c r="FK64" s="185"/>
      <c r="FL64" s="185"/>
      <c r="FM64" s="185"/>
      <c r="FN64" s="185"/>
      <c r="FO64" s="185"/>
      <c r="FP64" s="185"/>
      <c r="FQ64" s="185"/>
      <c r="FR64" s="185"/>
      <c r="FS64" s="185"/>
      <c r="FT64" s="185"/>
      <c r="FU64" s="185"/>
      <c r="FV64" s="185"/>
      <c r="FW64" s="185"/>
      <c r="FX64" s="185"/>
      <c r="FY64" s="185"/>
      <c r="FZ64" s="185" t="s">
        <v>463</v>
      </c>
      <c r="GA64" s="185"/>
      <c r="GB64" s="185"/>
      <c r="GC64" s="185"/>
      <c r="GD64" s="243" t="s">
        <v>471</v>
      </c>
      <c r="GE64" s="185"/>
      <c r="GF64" s="185"/>
      <c r="GG64" s="185"/>
      <c r="GH64" s="185"/>
      <c r="GI64" s="185"/>
      <c r="GJ64" s="185"/>
      <c r="GK64" s="185"/>
      <c r="GL64" s="185"/>
      <c r="GM64" s="185"/>
      <c r="GN64" s="185"/>
      <c r="GO64" s="185"/>
      <c r="GP64" s="185"/>
      <c r="GQ64" s="185"/>
      <c r="GR64" s="185"/>
      <c r="GS64" s="185"/>
      <c r="GT64" s="185"/>
      <c r="GU64" s="185"/>
      <c r="GV64" s="185"/>
      <c r="GW64" s="185"/>
      <c r="GX64" s="185"/>
      <c r="GY64" s="185"/>
      <c r="GZ64" s="185"/>
      <c r="HA64" s="185"/>
      <c r="HB64" s="185"/>
      <c r="HC64" s="185"/>
      <c r="HD64" s="185"/>
      <c r="HE64" s="185"/>
      <c r="HF64" s="185"/>
      <c r="HG64" s="185"/>
      <c r="HH64" s="185"/>
      <c r="HI64" s="185"/>
      <c r="HJ64" s="185"/>
      <c r="HK64" s="185"/>
      <c r="HL64" s="185"/>
      <c r="HM64" s="185"/>
      <c r="HN64" s="185"/>
      <c r="HO64" s="185"/>
      <c r="HP64" s="185"/>
      <c r="HQ64" s="185"/>
      <c r="HR64" s="228"/>
      <c r="HS64" s="185"/>
      <c r="HT64" s="285"/>
      <c r="HU64" s="185" t="s">
        <v>379</v>
      </c>
      <c r="HV64" s="221"/>
      <c r="HW64" s="221"/>
      <c r="HX64" s="221"/>
      <c r="HY64" s="221"/>
      <c r="HZ64" s="221"/>
      <c r="IA64" s="221"/>
      <c r="IB64" s="221"/>
      <c r="IC64" s="221"/>
      <c r="ID64" s="221"/>
      <c r="IE64" s="221"/>
      <c r="IF64" s="221"/>
      <c r="IG64" s="221"/>
      <c r="IH64" s="221"/>
      <c r="II64" s="221"/>
      <c r="IJ64" s="221"/>
      <c r="IK64" s="221"/>
      <c r="IL64" s="221"/>
      <c r="IM64" s="221"/>
      <c r="IN64" s="221"/>
      <c r="IO64" s="221"/>
      <c r="IP64" s="221"/>
      <c r="IQ64" s="221"/>
      <c r="IR64" s="221"/>
      <c r="IS64" s="221"/>
      <c r="IT64" s="221"/>
      <c r="IU64" s="221"/>
      <c r="IV64" s="221"/>
      <c r="IW64" s="221"/>
      <c r="IX64" s="221"/>
      <c r="IY64" s="221"/>
      <c r="IZ64" s="221"/>
      <c r="JA64" s="221"/>
      <c r="JB64" s="221"/>
      <c r="JC64" s="221"/>
      <c r="JD64" s="221"/>
      <c r="JE64" s="221"/>
      <c r="JF64" s="221"/>
      <c r="JG64" s="221"/>
      <c r="JH64" s="221"/>
      <c r="JI64" s="221"/>
      <c r="JJ64" s="221"/>
      <c r="JK64" s="221"/>
      <c r="JL64" s="221"/>
      <c r="JM64" s="299"/>
      <c r="JN64" s="223"/>
      <c r="JO64" s="221"/>
      <c r="JP64" s="221"/>
      <c r="JQ64" s="221"/>
      <c r="JR64" s="221"/>
      <c r="JS64" s="221"/>
      <c r="JT64" s="221"/>
      <c r="JU64" s="221"/>
      <c r="JV64" s="221"/>
      <c r="JW64" s="221"/>
      <c r="JX64" s="221"/>
      <c r="JY64" s="221"/>
      <c r="JZ64" s="221"/>
      <c r="KA64" s="221"/>
      <c r="KB64" s="221"/>
      <c r="KC64" s="221"/>
      <c r="KD64" s="221"/>
      <c r="KE64" s="221"/>
      <c r="KF64" s="221"/>
      <c r="KG64" s="221"/>
      <c r="KH64" s="221"/>
      <c r="KI64" s="221"/>
      <c r="KJ64" s="221"/>
      <c r="KK64" s="221"/>
      <c r="KL64" s="221"/>
      <c r="KM64" s="221"/>
      <c r="KN64" s="221"/>
      <c r="KO64" s="221"/>
      <c r="KP64" s="221"/>
      <c r="KQ64" s="221"/>
      <c r="KR64" s="221"/>
      <c r="KS64" s="221"/>
      <c r="KT64" s="221"/>
      <c r="KU64" s="221"/>
      <c r="KV64" s="221"/>
      <c r="KW64" s="221"/>
      <c r="KX64" s="221"/>
      <c r="KY64" s="221"/>
      <c r="KZ64" s="221"/>
      <c r="LA64" s="221"/>
      <c r="LB64" s="221"/>
      <c r="LC64" s="221"/>
      <c r="LD64" s="221"/>
      <c r="LE64" s="299"/>
      <c r="LF64" s="52">
        <v>0.88541666666666496</v>
      </c>
    </row>
    <row r="65" spans="2:318" ht="10.5" customHeight="1">
      <c r="B65" s="49">
        <v>0.25</v>
      </c>
      <c r="C65" s="49">
        <v>0.25</v>
      </c>
      <c r="D65" s="49">
        <v>0.25</v>
      </c>
      <c r="E65" s="172">
        <v>0.875</v>
      </c>
      <c r="F65" s="228" t="s">
        <v>411</v>
      </c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274"/>
      <c r="AC65" s="185"/>
      <c r="AD65" s="185"/>
      <c r="AE65" s="185"/>
      <c r="AF65" s="185"/>
      <c r="AG65" s="185"/>
      <c r="AH65" s="185"/>
      <c r="AI65" s="185"/>
      <c r="AJ65" s="185"/>
      <c r="AK65" s="185"/>
      <c r="AL65" s="185"/>
      <c r="AM65" s="185"/>
      <c r="AN65" s="185"/>
      <c r="AO65" s="302" t="s">
        <v>467</v>
      </c>
      <c r="AP65" s="185"/>
      <c r="AQ65" s="325"/>
      <c r="AR65" s="324"/>
      <c r="AS65" s="324"/>
      <c r="AT65" s="228" t="s">
        <v>432</v>
      </c>
      <c r="AU65" s="185"/>
      <c r="AV65" s="185"/>
      <c r="AW65" s="185"/>
      <c r="AX65" s="228"/>
      <c r="AY65" s="228" t="s">
        <v>411</v>
      </c>
      <c r="AZ65" s="185"/>
      <c r="BA65" s="185"/>
      <c r="BB65" s="185"/>
      <c r="BC65" s="185"/>
      <c r="BD65" s="185"/>
      <c r="BE65" s="185"/>
      <c r="BF65" s="185"/>
      <c r="BG65" s="185"/>
      <c r="BH65" s="185"/>
      <c r="BI65" s="185"/>
      <c r="BJ65" s="185"/>
      <c r="BK65" s="185"/>
      <c r="BL65" s="185"/>
      <c r="BM65" s="185"/>
      <c r="BN65" s="185"/>
      <c r="BO65" s="185"/>
      <c r="BP65" s="185"/>
      <c r="BQ65" s="185"/>
      <c r="BR65" s="185"/>
      <c r="BS65" s="185"/>
      <c r="BT65" s="185"/>
      <c r="BU65" s="185"/>
      <c r="BV65" s="185"/>
      <c r="BW65" s="185"/>
      <c r="BX65" s="185"/>
      <c r="BY65" s="185"/>
      <c r="BZ65" s="185"/>
      <c r="CA65" s="185"/>
      <c r="CB65" s="185"/>
      <c r="CC65" s="185"/>
      <c r="CD65" s="185"/>
      <c r="CE65" s="185"/>
      <c r="CF65" s="185"/>
      <c r="CG65" s="302" t="s">
        <v>467</v>
      </c>
      <c r="CH65" s="185"/>
      <c r="CI65" s="185"/>
      <c r="CJ65" s="185"/>
      <c r="CK65" s="185"/>
      <c r="CL65" s="53"/>
      <c r="CM65" s="176" t="s">
        <v>444</v>
      </c>
      <c r="CN65" s="53"/>
      <c r="CO65" s="53" t="s">
        <v>419</v>
      </c>
      <c r="CP65" s="54"/>
      <c r="CQ65" s="185" t="s">
        <v>411</v>
      </c>
      <c r="CR65" s="185"/>
      <c r="CS65" s="185"/>
      <c r="CT65" s="185"/>
      <c r="CU65" s="185"/>
      <c r="CV65" s="185"/>
      <c r="CW65" s="185"/>
      <c r="CX65" s="185"/>
      <c r="CY65" s="185"/>
      <c r="CZ65" s="185"/>
      <c r="DA65" s="185"/>
      <c r="DB65" s="185"/>
      <c r="DC65" s="185"/>
      <c r="DD65" s="185"/>
      <c r="DE65" s="185"/>
      <c r="DF65" s="185"/>
      <c r="DG65" s="185"/>
      <c r="DH65" s="185"/>
      <c r="DI65" s="185"/>
      <c r="DJ65" s="185"/>
      <c r="DK65" s="185"/>
      <c r="DL65" s="185"/>
      <c r="DM65" s="185"/>
      <c r="DN65" s="185"/>
      <c r="DO65" s="185"/>
      <c r="DP65" s="185"/>
      <c r="DQ65" s="185"/>
      <c r="DR65" s="185"/>
      <c r="DS65" s="185"/>
      <c r="DT65" s="185"/>
      <c r="DU65" s="185"/>
      <c r="DV65" s="185"/>
      <c r="DW65" s="185"/>
      <c r="DX65" s="185"/>
      <c r="DY65" s="185"/>
      <c r="DZ65" s="185"/>
      <c r="EA65" s="185"/>
      <c r="EB65" s="302" t="s">
        <v>467</v>
      </c>
      <c r="EC65" s="185"/>
      <c r="ED65" s="185"/>
      <c r="EE65" s="185"/>
      <c r="EF65" s="185"/>
      <c r="EG65" s="322" t="s">
        <v>474</v>
      </c>
      <c r="EH65" s="185"/>
      <c r="EI65" s="285" t="s">
        <v>377</v>
      </c>
      <c r="EJ65" s="185"/>
      <c r="EK65" s="186"/>
      <c r="EL65" s="243" t="s">
        <v>419</v>
      </c>
      <c r="EM65" s="228"/>
      <c r="EN65" s="185"/>
      <c r="EO65" s="185"/>
      <c r="EP65" s="185"/>
      <c r="EQ65" s="185"/>
      <c r="ER65" s="185"/>
      <c r="ES65" s="185"/>
      <c r="ET65" s="185"/>
      <c r="EU65" s="185"/>
      <c r="EV65" s="185"/>
      <c r="EW65" s="185"/>
      <c r="EX65" s="185"/>
      <c r="EY65" s="185"/>
      <c r="EZ65" s="185"/>
      <c r="FA65" s="185"/>
      <c r="FB65" s="185"/>
      <c r="FC65" s="185"/>
      <c r="FD65" s="185"/>
      <c r="FE65" s="185"/>
      <c r="FF65" s="185"/>
      <c r="FG65" s="185"/>
      <c r="FH65" s="185"/>
      <c r="FI65" s="185"/>
      <c r="FJ65" s="185"/>
      <c r="FK65" s="185"/>
      <c r="FL65" s="185"/>
      <c r="FM65" s="185"/>
      <c r="FN65" s="185"/>
      <c r="FO65" s="185"/>
      <c r="FP65" s="185"/>
      <c r="FQ65" s="185"/>
      <c r="FR65" s="185"/>
      <c r="FS65" s="185"/>
      <c r="FT65" s="228"/>
      <c r="FU65" s="185"/>
      <c r="FV65" s="185"/>
      <c r="FW65" s="185"/>
      <c r="FX65" s="185"/>
      <c r="FY65" s="185"/>
      <c r="FZ65" s="185" t="s">
        <v>463</v>
      </c>
      <c r="GA65" s="185"/>
      <c r="GB65" s="185"/>
      <c r="GC65" s="185"/>
      <c r="GD65" s="243" t="s">
        <v>471</v>
      </c>
      <c r="GE65" s="185"/>
      <c r="GF65" s="185"/>
      <c r="GG65" s="185"/>
      <c r="GH65" s="185"/>
      <c r="GI65" s="185"/>
      <c r="GJ65" s="185"/>
      <c r="GK65" s="185"/>
      <c r="GL65" s="185"/>
      <c r="GM65" s="185"/>
      <c r="GN65" s="185"/>
      <c r="GO65" s="185"/>
      <c r="GP65" s="185"/>
      <c r="GQ65" s="185"/>
      <c r="GR65" s="185"/>
      <c r="GS65" s="185"/>
      <c r="GT65" s="185"/>
      <c r="GU65" s="185"/>
      <c r="GV65" s="185"/>
      <c r="GW65" s="185"/>
      <c r="GX65" s="185"/>
      <c r="GY65" s="185"/>
      <c r="GZ65" s="185"/>
      <c r="HA65" s="185"/>
      <c r="HB65" s="185"/>
      <c r="HC65" s="185"/>
      <c r="HD65" s="185"/>
      <c r="HE65" s="185"/>
      <c r="HF65" s="185"/>
      <c r="HG65" s="185"/>
      <c r="HH65" s="185"/>
      <c r="HI65" s="185"/>
      <c r="HJ65" s="185"/>
      <c r="HK65" s="185"/>
      <c r="HL65" s="185"/>
      <c r="HM65" s="185"/>
      <c r="HN65" s="185"/>
      <c r="HO65" s="185"/>
      <c r="HP65" s="185"/>
      <c r="HQ65" s="185"/>
      <c r="HR65" s="228"/>
      <c r="HS65" s="185"/>
      <c r="HT65" s="185"/>
      <c r="HU65" s="185" t="s">
        <v>379</v>
      </c>
      <c r="HV65" s="221"/>
      <c r="HW65" s="221"/>
      <c r="HX65" s="221"/>
      <c r="HY65" s="221"/>
      <c r="HZ65" s="221"/>
      <c r="IA65" s="221"/>
      <c r="IB65" s="221"/>
      <c r="IC65" s="221"/>
      <c r="ID65" s="221"/>
      <c r="IE65" s="221"/>
      <c r="IF65" s="221"/>
      <c r="IG65" s="221"/>
      <c r="IH65" s="221"/>
      <c r="II65" s="221"/>
      <c r="IJ65" s="221"/>
      <c r="IK65" s="221"/>
      <c r="IL65" s="221"/>
      <c r="IM65" s="221"/>
      <c r="IN65" s="221"/>
      <c r="IO65" s="221"/>
      <c r="IP65" s="221"/>
      <c r="IQ65" s="221"/>
      <c r="IR65" s="221"/>
      <c r="IS65" s="221"/>
      <c r="IT65" s="221"/>
      <c r="IU65" s="221"/>
      <c r="IV65" s="221"/>
      <c r="IW65" s="221"/>
      <c r="IX65" s="221"/>
      <c r="IY65" s="221"/>
      <c r="IZ65" s="221"/>
      <c r="JA65" s="221"/>
      <c r="JB65" s="221"/>
      <c r="JC65" s="221"/>
      <c r="JD65" s="221"/>
      <c r="JE65" s="221"/>
      <c r="JF65" s="221"/>
      <c r="JG65" s="221"/>
      <c r="JH65" s="221"/>
      <c r="JI65" s="221"/>
      <c r="JJ65" s="221"/>
      <c r="JK65" s="221"/>
      <c r="JL65" s="221"/>
      <c r="JM65" s="299"/>
      <c r="JN65" s="223"/>
      <c r="JO65" s="221"/>
      <c r="JP65" s="221"/>
      <c r="JQ65" s="221"/>
      <c r="JR65" s="221"/>
      <c r="JS65" s="221"/>
      <c r="JT65" s="221"/>
      <c r="JU65" s="221"/>
      <c r="JV65" s="221"/>
      <c r="JW65" s="221"/>
      <c r="JX65" s="221"/>
      <c r="JY65" s="221"/>
      <c r="JZ65" s="221"/>
      <c r="KA65" s="221"/>
      <c r="KB65" s="221"/>
      <c r="KC65" s="221"/>
      <c r="KD65" s="221"/>
      <c r="KE65" s="221"/>
      <c r="KF65" s="221"/>
      <c r="KG65" s="221"/>
      <c r="KH65" s="221"/>
      <c r="KI65" s="221"/>
      <c r="KJ65" s="221"/>
      <c r="KK65" s="221"/>
      <c r="KL65" s="221"/>
      <c r="KM65" s="221"/>
      <c r="KN65" s="221"/>
      <c r="KO65" s="221"/>
      <c r="KP65" s="221"/>
      <c r="KQ65" s="221"/>
      <c r="KR65" s="221"/>
      <c r="KS65" s="221"/>
      <c r="KT65" s="221"/>
      <c r="KU65" s="221"/>
      <c r="KV65" s="221"/>
      <c r="KW65" s="221"/>
      <c r="KX65" s="221"/>
      <c r="KY65" s="221"/>
      <c r="KZ65" s="221"/>
      <c r="LA65" s="221"/>
      <c r="LB65" s="221"/>
      <c r="LC65" s="221"/>
      <c r="LD65" s="221"/>
      <c r="LE65" s="299"/>
      <c r="LF65" s="52">
        <v>0.89583333333333204</v>
      </c>
    </row>
    <row r="66" spans="2:318" ht="10.5" customHeight="1">
      <c r="B66" s="49">
        <v>0.25</v>
      </c>
      <c r="C66" s="49">
        <v>0.25</v>
      </c>
      <c r="D66" s="49">
        <v>0.25</v>
      </c>
      <c r="E66" s="172">
        <v>0.88541666666666663</v>
      </c>
      <c r="F66" s="228" t="s">
        <v>411</v>
      </c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274"/>
      <c r="AC66" s="185"/>
      <c r="AD66" s="185"/>
      <c r="AE66" s="185"/>
      <c r="AF66" s="185"/>
      <c r="AG66" s="185"/>
      <c r="AH66" s="185"/>
      <c r="AI66" s="185"/>
      <c r="AJ66" s="185"/>
      <c r="AK66" s="185"/>
      <c r="AL66" s="185"/>
      <c r="AM66" s="185"/>
      <c r="AN66" s="185"/>
      <c r="AO66" s="185"/>
      <c r="AP66" s="185"/>
      <c r="AQ66" s="324"/>
      <c r="AR66" s="324"/>
      <c r="AS66" s="324"/>
      <c r="AT66" s="228" t="s">
        <v>432</v>
      </c>
      <c r="AU66" s="185"/>
      <c r="AV66" s="185"/>
      <c r="AW66" s="185"/>
      <c r="AX66" s="185"/>
      <c r="AY66" s="228" t="s">
        <v>411</v>
      </c>
      <c r="AZ66" s="185"/>
      <c r="BA66" s="185"/>
      <c r="BB66" s="185"/>
      <c r="BC66" s="185"/>
      <c r="BD66" s="185"/>
      <c r="BE66" s="185"/>
      <c r="BF66" s="185"/>
      <c r="BG66" s="185"/>
      <c r="BH66" s="185"/>
      <c r="BI66" s="185"/>
      <c r="BJ66" s="185"/>
      <c r="BK66" s="185"/>
      <c r="BL66" s="185"/>
      <c r="BM66" s="185"/>
      <c r="BN66" s="185"/>
      <c r="BO66" s="185"/>
      <c r="BP66" s="185"/>
      <c r="BQ66" s="185"/>
      <c r="BR66" s="185"/>
      <c r="BS66" s="185"/>
      <c r="BT66" s="185"/>
      <c r="BU66" s="185"/>
      <c r="BV66" s="185"/>
      <c r="BW66" s="185"/>
      <c r="BX66" s="185"/>
      <c r="BY66" s="185"/>
      <c r="BZ66" s="185"/>
      <c r="CA66" s="185"/>
      <c r="CB66" s="185"/>
      <c r="CC66" s="185"/>
      <c r="CD66" s="185"/>
      <c r="CE66" s="185"/>
      <c r="CF66" s="185"/>
      <c r="CG66" s="228"/>
      <c r="CH66" s="185"/>
      <c r="CI66" s="185"/>
      <c r="CJ66" s="185"/>
      <c r="CK66" s="185"/>
      <c r="CL66" s="53"/>
      <c r="CM66" s="176"/>
      <c r="CN66" s="53"/>
      <c r="CO66" s="53"/>
      <c r="CP66" s="54"/>
      <c r="CQ66" s="185" t="s">
        <v>411</v>
      </c>
      <c r="CR66" s="185"/>
      <c r="CS66" s="185"/>
      <c r="CT66" s="185"/>
      <c r="CU66" s="185"/>
      <c r="CV66" s="185"/>
      <c r="CW66" s="185"/>
      <c r="CX66" s="185"/>
      <c r="CY66" s="185"/>
      <c r="CZ66" s="185"/>
      <c r="DA66" s="185"/>
      <c r="DB66" s="185"/>
      <c r="DC66" s="185"/>
      <c r="DD66" s="185"/>
      <c r="DE66" s="185"/>
      <c r="DF66" s="185"/>
      <c r="DG66" s="185"/>
      <c r="DH66" s="185"/>
      <c r="DI66" s="185"/>
      <c r="DJ66" s="185"/>
      <c r="DK66" s="185"/>
      <c r="DL66" s="185"/>
      <c r="DM66" s="185"/>
      <c r="DN66" s="185"/>
      <c r="DO66" s="185"/>
      <c r="DP66" s="185"/>
      <c r="DQ66" s="185"/>
      <c r="DR66" s="185"/>
      <c r="DS66" s="185"/>
      <c r="DT66" s="185"/>
      <c r="DU66" s="185"/>
      <c r="DV66" s="185"/>
      <c r="DW66" s="185"/>
      <c r="DX66" s="185"/>
      <c r="DY66" s="185"/>
      <c r="DZ66" s="185"/>
      <c r="EA66" s="185"/>
      <c r="EB66" s="185"/>
      <c r="EC66" s="185"/>
      <c r="ED66" s="185"/>
      <c r="EE66" s="185"/>
      <c r="EF66" s="185"/>
      <c r="EG66" s="228"/>
      <c r="EH66" s="185"/>
      <c r="EI66" s="185"/>
      <c r="EJ66" s="185"/>
      <c r="EK66" s="186"/>
      <c r="EL66" s="243" t="s">
        <v>419</v>
      </c>
      <c r="EM66" s="228"/>
      <c r="EN66" s="185"/>
      <c r="EO66" s="185"/>
      <c r="EP66" s="185"/>
      <c r="EQ66" s="185"/>
      <c r="ER66" s="185"/>
      <c r="ES66" s="185"/>
      <c r="ET66" s="185"/>
      <c r="EU66" s="185"/>
      <c r="EV66" s="185"/>
      <c r="EW66" s="185"/>
      <c r="EX66" s="185"/>
      <c r="EY66" s="185"/>
      <c r="EZ66" s="185"/>
      <c r="FA66" s="185"/>
      <c r="FB66" s="185"/>
      <c r="FC66" s="185"/>
      <c r="FD66" s="185"/>
      <c r="FE66" s="185"/>
      <c r="FF66" s="185"/>
      <c r="FG66" s="185"/>
      <c r="FH66" s="185"/>
      <c r="FI66" s="185"/>
      <c r="FJ66" s="185"/>
      <c r="FK66" s="185"/>
      <c r="FL66" s="185"/>
      <c r="FM66" s="185"/>
      <c r="FN66" s="185"/>
      <c r="FO66" s="185"/>
      <c r="FP66" s="185"/>
      <c r="FQ66" s="185"/>
      <c r="FR66" s="185"/>
      <c r="FS66" s="185"/>
      <c r="FT66" s="185"/>
      <c r="FU66" s="185"/>
      <c r="FV66" s="185"/>
      <c r="FW66" s="185"/>
      <c r="FX66" s="185"/>
      <c r="FY66" s="185"/>
      <c r="FZ66" s="185"/>
      <c r="GA66" s="185"/>
      <c r="GB66" s="185"/>
      <c r="GC66" s="185"/>
      <c r="GD66" s="243" t="s">
        <v>471</v>
      </c>
      <c r="GE66" s="185"/>
      <c r="GF66" s="185"/>
      <c r="GG66" s="185"/>
      <c r="GH66" s="185"/>
      <c r="GI66" s="185"/>
      <c r="GJ66" s="185"/>
      <c r="GK66" s="185"/>
      <c r="GL66" s="185"/>
      <c r="GM66" s="185"/>
      <c r="GN66" s="185"/>
      <c r="GO66" s="185"/>
      <c r="GP66" s="185"/>
      <c r="GQ66" s="185"/>
      <c r="GR66" s="185"/>
      <c r="GS66" s="185"/>
      <c r="GT66" s="185"/>
      <c r="GU66" s="185"/>
      <c r="GV66" s="185"/>
      <c r="GW66" s="185"/>
      <c r="GX66" s="185"/>
      <c r="GY66" s="185"/>
      <c r="GZ66" s="185"/>
      <c r="HA66" s="185"/>
      <c r="HB66" s="185"/>
      <c r="HC66" s="185"/>
      <c r="HD66" s="185"/>
      <c r="HE66" s="185"/>
      <c r="HF66" s="185"/>
      <c r="HG66" s="185"/>
      <c r="HH66" s="185"/>
      <c r="HI66" s="185"/>
      <c r="HJ66" s="185"/>
      <c r="HK66" s="185"/>
      <c r="HL66" s="185"/>
      <c r="HM66" s="185"/>
      <c r="HN66" s="185"/>
      <c r="HO66" s="185"/>
      <c r="HP66" s="185"/>
      <c r="HQ66" s="185"/>
      <c r="HR66" s="185"/>
      <c r="HS66" s="185"/>
      <c r="HT66" s="185"/>
      <c r="HU66" s="185"/>
      <c r="HV66" s="221"/>
      <c r="HW66" s="221"/>
      <c r="HX66" s="221"/>
      <c r="HY66" s="221"/>
      <c r="HZ66" s="221"/>
      <c r="IA66" s="221"/>
      <c r="IB66" s="221"/>
      <c r="IC66" s="221"/>
      <c r="ID66" s="221"/>
      <c r="IE66" s="221"/>
      <c r="IF66" s="221"/>
      <c r="IG66" s="221"/>
      <c r="IH66" s="221"/>
      <c r="II66" s="221"/>
      <c r="IJ66" s="221"/>
      <c r="IK66" s="221"/>
      <c r="IL66" s="221"/>
      <c r="IM66" s="221"/>
      <c r="IN66" s="221"/>
      <c r="IO66" s="221"/>
      <c r="IP66" s="221"/>
      <c r="IQ66" s="221"/>
      <c r="IR66" s="221"/>
      <c r="IS66" s="221"/>
      <c r="IT66" s="221"/>
      <c r="IU66" s="221"/>
      <c r="IV66" s="221"/>
      <c r="IW66" s="221"/>
      <c r="IX66" s="221"/>
      <c r="IY66" s="221"/>
      <c r="IZ66" s="221"/>
      <c r="JA66" s="221"/>
      <c r="JB66" s="221"/>
      <c r="JC66" s="221"/>
      <c r="JD66" s="221"/>
      <c r="JE66" s="221"/>
      <c r="JF66" s="221"/>
      <c r="JG66" s="221"/>
      <c r="JH66" s="221"/>
      <c r="JI66" s="221"/>
      <c r="JJ66" s="221"/>
      <c r="JK66" s="221"/>
      <c r="JL66" s="221"/>
      <c r="JM66" s="299"/>
      <c r="JN66" s="223"/>
      <c r="JO66" s="221"/>
      <c r="JP66" s="221"/>
      <c r="JQ66" s="221"/>
      <c r="JR66" s="221"/>
      <c r="JS66" s="221"/>
      <c r="JT66" s="221"/>
      <c r="JU66" s="221"/>
      <c r="JV66" s="221"/>
      <c r="JW66" s="221"/>
      <c r="JX66" s="221"/>
      <c r="JY66" s="221"/>
      <c r="JZ66" s="221"/>
      <c r="KA66" s="221"/>
      <c r="KB66" s="221"/>
      <c r="KC66" s="221"/>
      <c r="KD66" s="221"/>
      <c r="KE66" s="221"/>
      <c r="KF66" s="221"/>
      <c r="KG66" s="221"/>
      <c r="KH66" s="221"/>
      <c r="KI66" s="221"/>
      <c r="KJ66" s="221"/>
      <c r="KK66" s="221"/>
      <c r="KL66" s="221"/>
      <c r="KM66" s="221"/>
      <c r="KN66" s="221"/>
      <c r="KO66" s="221"/>
      <c r="KP66" s="221"/>
      <c r="KQ66" s="221"/>
      <c r="KR66" s="221"/>
      <c r="KS66" s="221"/>
      <c r="KT66" s="221"/>
      <c r="KU66" s="221"/>
      <c r="KV66" s="221"/>
      <c r="KW66" s="221"/>
      <c r="KX66" s="221"/>
      <c r="KY66" s="221"/>
      <c r="KZ66" s="221"/>
      <c r="LA66" s="221"/>
      <c r="LB66" s="221"/>
      <c r="LC66" s="221"/>
      <c r="LD66" s="221"/>
      <c r="LE66" s="299"/>
      <c r="LF66" s="52">
        <v>0.906249999999998</v>
      </c>
    </row>
    <row r="67" spans="2:318" ht="10.5" customHeight="1">
      <c r="B67" s="49">
        <v>0.25</v>
      </c>
      <c r="C67" s="49">
        <v>0.25</v>
      </c>
      <c r="D67" s="49">
        <v>0.25</v>
      </c>
      <c r="E67" s="172">
        <v>0.89583333333333337</v>
      </c>
      <c r="F67" s="228" t="s">
        <v>411</v>
      </c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274"/>
      <c r="AC67" s="185"/>
      <c r="AD67" s="185"/>
      <c r="AE67" s="185"/>
      <c r="AF67" s="185"/>
      <c r="AG67" s="185"/>
      <c r="AH67" s="185"/>
      <c r="AI67" s="185"/>
      <c r="AJ67" s="185"/>
      <c r="AK67" s="185"/>
      <c r="AL67" s="185"/>
      <c r="AM67" s="185"/>
      <c r="AN67" s="185"/>
      <c r="AO67" s="185"/>
      <c r="AP67" s="185"/>
      <c r="AQ67" s="324"/>
      <c r="AR67" s="324"/>
      <c r="AS67" s="324"/>
      <c r="AT67" s="228"/>
      <c r="AU67" s="185"/>
      <c r="AV67" s="185"/>
      <c r="AW67" s="185"/>
      <c r="AX67" s="185"/>
      <c r="AY67" s="228" t="s">
        <v>411</v>
      </c>
      <c r="AZ67" s="185"/>
      <c r="BA67" s="185"/>
      <c r="BB67" s="185"/>
      <c r="BC67" s="185"/>
      <c r="BD67" s="185"/>
      <c r="BE67" s="185"/>
      <c r="BF67" s="185"/>
      <c r="BG67" s="185"/>
      <c r="BH67" s="185"/>
      <c r="BI67" s="185"/>
      <c r="BJ67" s="185"/>
      <c r="BK67" s="185"/>
      <c r="BL67" s="185"/>
      <c r="BM67" s="185"/>
      <c r="BN67" s="185"/>
      <c r="BO67" s="185"/>
      <c r="BP67" s="185"/>
      <c r="BQ67" s="185"/>
      <c r="BR67" s="185"/>
      <c r="BS67" s="185"/>
      <c r="BT67" s="185"/>
      <c r="BU67" s="185"/>
      <c r="BV67" s="185"/>
      <c r="BW67" s="185"/>
      <c r="BX67" s="185"/>
      <c r="BY67" s="185"/>
      <c r="BZ67" s="185"/>
      <c r="CA67" s="185"/>
      <c r="CB67" s="185"/>
      <c r="CC67" s="185"/>
      <c r="CD67" s="185"/>
      <c r="CE67" s="185"/>
      <c r="CF67" s="185"/>
      <c r="CG67" s="185"/>
      <c r="CH67" s="185"/>
      <c r="CI67" s="185"/>
      <c r="CJ67" s="185"/>
      <c r="CK67" s="185"/>
      <c r="CL67" s="53"/>
      <c r="CM67" s="176"/>
      <c r="CN67" s="53"/>
      <c r="CO67" s="53"/>
      <c r="CP67" s="54"/>
      <c r="CQ67" s="185" t="s">
        <v>411</v>
      </c>
      <c r="CR67" s="185"/>
      <c r="CS67" s="185"/>
      <c r="CT67" s="185"/>
      <c r="CU67" s="185"/>
      <c r="CV67" s="185"/>
      <c r="CW67" s="185"/>
      <c r="CX67" s="185"/>
      <c r="CY67" s="185"/>
      <c r="CZ67" s="185"/>
      <c r="DA67" s="185"/>
      <c r="DB67" s="185"/>
      <c r="DC67" s="185"/>
      <c r="DD67" s="185"/>
      <c r="DE67" s="185"/>
      <c r="DF67" s="185"/>
      <c r="DG67" s="185"/>
      <c r="DH67" s="185"/>
      <c r="DI67" s="185"/>
      <c r="DJ67" s="185"/>
      <c r="DK67" s="185"/>
      <c r="DL67" s="185"/>
      <c r="DM67" s="185"/>
      <c r="DN67" s="185"/>
      <c r="DO67" s="185"/>
      <c r="DP67" s="185"/>
      <c r="DQ67" s="185"/>
      <c r="DR67" s="185"/>
      <c r="DS67" s="185"/>
      <c r="DT67" s="185"/>
      <c r="DU67" s="185"/>
      <c r="DV67" s="185"/>
      <c r="DW67" s="185"/>
      <c r="DX67" s="185"/>
      <c r="DY67" s="185"/>
      <c r="DZ67" s="185"/>
      <c r="EA67" s="185"/>
      <c r="EB67" s="185"/>
      <c r="EC67" s="185"/>
      <c r="ED67" s="185"/>
      <c r="EE67" s="185"/>
      <c r="EF67" s="185"/>
      <c r="EG67" s="185"/>
      <c r="EH67" s="185"/>
      <c r="EI67" s="185"/>
      <c r="EJ67" s="185"/>
      <c r="EK67" s="186"/>
      <c r="EL67" s="243" t="s">
        <v>419</v>
      </c>
      <c r="EM67" s="228"/>
      <c r="EN67" s="185"/>
      <c r="EO67" s="185"/>
      <c r="EP67" s="185"/>
      <c r="EQ67" s="185"/>
      <c r="ER67" s="185"/>
      <c r="ES67" s="185"/>
      <c r="ET67" s="185"/>
      <c r="EU67" s="185"/>
      <c r="EV67" s="185"/>
      <c r="EW67" s="185"/>
      <c r="EX67" s="185"/>
      <c r="EY67" s="185"/>
      <c r="EZ67" s="185"/>
      <c r="FA67" s="185"/>
      <c r="FB67" s="185"/>
      <c r="FC67" s="185"/>
      <c r="FD67" s="185"/>
      <c r="FE67" s="185"/>
      <c r="FF67" s="185"/>
      <c r="FG67" s="185"/>
      <c r="FH67" s="185"/>
      <c r="FI67" s="185"/>
      <c r="FJ67" s="185"/>
      <c r="FK67" s="185"/>
      <c r="FL67" s="185"/>
      <c r="FM67" s="185"/>
      <c r="FN67" s="185"/>
      <c r="FO67" s="185"/>
      <c r="FP67" s="185"/>
      <c r="FQ67" s="185"/>
      <c r="FR67" s="185"/>
      <c r="FS67" s="185"/>
      <c r="FT67" s="185"/>
      <c r="FU67" s="185"/>
      <c r="FV67" s="185"/>
      <c r="FW67" s="185"/>
      <c r="FX67" s="185"/>
      <c r="FY67" s="185"/>
      <c r="FZ67" s="185"/>
      <c r="GA67" s="185"/>
      <c r="GB67" s="185"/>
      <c r="GC67" s="185"/>
      <c r="GD67" s="243" t="s">
        <v>471</v>
      </c>
      <c r="GE67" s="185"/>
      <c r="GF67" s="185"/>
      <c r="GG67" s="185"/>
      <c r="GH67" s="185"/>
      <c r="GI67" s="185"/>
      <c r="GJ67" s="185"/>
      <c r="GK67" s="185"/>
      <c r="GL67" s="185"/>
      <c r="GM67" s="185"/>
      <c r="GN67" s="185"/>
      <c r="GO67" s="185"/>
      <c r="GP67" s="185"/>
      <c r="GQ67" s="185"/>
      <c r="GR67" s="185"/>
      <c r="GS67" s="185"/>
      <c r="GT67" s="185"/>
      <c r="GU67" s="185"/>
      <c r="GV67" s="185"/>
      <c r="GW67" s="185"/>
      <c r="GX67" s="185"/>
      <c r="GY67" s="185"/>
      <c r="GZ67" s="185"/>
      <c r="HA67" s="185"/>
      <c r="HB67" s="185"/>
      <c r="HC67" s="185"/>
      <c r="HD67" s="185"/>
      <c r="HE67" s="185"/>
      <c r="HF67" s="185"/>
      <c r="HG67" s="185"/>
      <c r="HH67" s="185"/>
      <c r="HI67" s="185"/>
      <c r="HJ67" s="185"/>
      <c r="HK67" s="185"/>
      <c r="HL67" s="185"/>
      <c r="HM67" s="185"/>
      <c r="HN67" s="185"/>
      <c r="HO67" s="185"/>
      <c r="HP67" s="185"/>
      <c r="HQ67" s="185"/>
      <c r="HR67" s="185"/>
      <c r="HS67" s="185"/>
      <c r="HT67" s="185"/>
      <c r="HU67" s="185"/>
      <c r="HV67" s="221"/>
      <c r="HW67" s="221"/>
      <c r="HX67" s="221"/>
      <c r="HY67" s="221"/>
      <c r="HZ67" s="221"/>
      <c r="IA67" s="221"/>
      <c r="IB67" s="221"/>
      <c r="IC67" s="221"/>
      <c r="ID67" s="221"/>
      <c r="IE67" s="221"/>
      <c r="IF67" s="221"/>
      <c r="IG67" s="221"/>
      <c r="IH67" s="221"/>
      <c r="II67" s="221"/>
      <c r="IJ67" s="221"/>
      <c r="IK67" s="221"/>
      <c r="IL67" s="221"/>
      <c r="IM67" s="221"/>
      <c r="IN67" s="221"/>
      <c r="IO67" s="221"/>
      <c r="IP67" s="221"/>
      <c r="IQ67" s="221"/>
      <c r="IR67" s="221"/>
      <c r="IS67" s="221"/>
      <c r="IT67" s="221"/>
      <c r="IU67" s="221"/>
      <c r="IV67" s="221"/>
      <c r="IW67" s="221"/>
      <c r="IX67" s="221"/>
      <c r="IY67" s="221"/>
      <c r="IZ67" s="221"/>
      <c r="JA67" s="221"/>
      <c r="JB67" s="221"/>
      <c r="JC67" s="221"/>
      <c r="JD67" s="221"/>
      <c r="JE67" s="221"/>
      <c r="JF67" s="221"/>
      <c r="JG67" s="221"/>
      <c r="JH67" s="221"/>
      <c r="JI67" s="221"/>
      <c r="JJ67" s="221"/>
      <c r="JK67" s="221"/>
      <c r="JL67" s="221"/>
      <c r="JM67" s="299"/>
      <c r="JN67" s="223"/>
      <c r="JO67" s="221"/>
      <c r="JP67" s="221"/>
      <c r="JQ67" s="221"/>
      <c r="JR67" s="221"/>
      <c r="JS67" s="221"/>
      <c r="JT67" s="221"/>
      <c r="JU67" s="221"/>
      <c r="JV67" s="221"/>
      <c r="JW67" s="221"/>
      <c r="JX67" s="221"/>
      <c r="JY67" s="221"/>
      <c r="JZ67" s="221"/>
      <c r="KA67" s="221"/>
      <c r="KB67" s="221"/>
      <c r="KC67" s="221"/>
      <c r="KD67" s="221"/>
      <c r="KE67" s="221"/>
      <c r="KF67" s="221"/>
      <c r="KG67" s="221"/>
      <c r="KH67" s="221"/>
      <c r="KI67" s="221"/>
      <c r="KJ67" s="221"/>
      <c r="KK67" s="221"/>
      <c r="KL67" s="221"/>
      <c r="KM67" s="221"/>
      <c r="KN67" s="221"/>
      <c r="KO67" s="221"/>
      <c r="KP67" s="221"/>
      <c r="KQ67" s="221"/>
      <c r="KR67" s="221"/>
      <c r="KS67" s="221"/>
      <c r="KT67" s="221"/>
      <c r="KU67" s="221"/>
      <c r="KV67" s="221"/>
      <c r="KW67" s="221"/>
      <c r="KX67" s="221"/>
      <c r="KY67" s="221"/>
      <c r="KZ67" s="221"/>
      <c r="LA67" s="221"/>
      <c r="LB67" s="221"/>
      <c r="LC67" s="221"/>
      <c r="LD67" s="221"/>
      <c r="LE67" s="299"/>
      <c r="LF67" s="52">
        <v>0.91666666666666496</v>
      </c>
    </row>
    <row r="68" spans="2:318" ht="10.5" customHeight="1" thickBot="1">
      <c r="B68" s="49">
        <v>0.25</v>
      </c>
      <c r="C68" s="49">
        <v>0.25</v>
      </c>
      <c r="D68" s="49">
        <v>0.25</v>
      </c>
      <c r="E68" s="172">
        <v>0.90625</v>
      </c>
      <c r="F68" s="228" t="s">
        <v>411</v>
      </c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274"/>
      <c r="AC68" s="185"/>
      <c r="AD68" s="185"/>
      <c r="AE68" s="185"/>
      <c r="AF68" s="185"/>
      <c r="AG68" s="185"/>
      <c r="AH68" s="185"/>
      <c r="AI68" s="185"/>
      <c r="AJ68" s="185"/>
      <c r="AK68" s="185"/>
      <c r="AL68" s="185"/>
      <c r="AM68" s="185"/>
      <c r="AN68" s="185"/>
      <c r="AO68" s="185"/>
      <c r="AP68" s="185"/>
      <c r="AQ68" s="324"/>
      <c r="AR68" s="324"/>
      <c r="AS68" s="324"/>
      <c r="AT68" s="185"/>
      <c r="AU68" s="185"/>
      <c r="AV68" s="185"/>
      <c r="AW68" s="185"/>
      <c r="AX68" s="185"/>
      <c r="AY68" s="228" t="s">
        <v>411</v>
      </c>
      <c r="AZ68" s="185"/>
      <c r="BA68" s="185"/>
      <c r="BB68" s="185"/>
      <c r="BC68" s="185"/>
      <c r="BD68" s="185"/>
      <c r="BE68" s="185"/>
      <c r="BF68" s="185"/>
      <c r="BG68" s="185"/>
      <c r="BH68" s="185"/>
      <c r="BI68" s="185"/>
      <c r="BJ68" s="185"/>
      <c r="BK68" s="185"/>
      <c r="BL68" s="185"/>
      <c r="BM68" s="185"/>
      <c r="BN68" s="185"/>
      <c r="BO68" s="185"/>
      <c r="BP68" s="185"/>
      <c r="BQ68" s="185"/>
      <c r="BR68" s="185"/>
      <c r="BS68" s="185"/>
      <c r="BT68" s="185"/>
      <c r="BU68" s="185"/>
      <c r="BV68" s="185"/>
      <c r="BW68" s="185"/>
      <c r="BX68" s="185"/>
      <c r="BY68" s="185"/>
      <c r="BZ68" s="185"/>
      <c r="CA68" s="185"/>
      <c r="CB68" s="185"/>
      <c r="CC68" s="185"/>
      <c r="CD68" s="185"/>
      <c r="CE68" s="185"/>
      <c r="CF68" s="185"/>
      <c r="CG68" s="185"/>
      <c r="CH68" s="185"/>
      <c r="CI68" s="185"/>
      <c r="CJ68" s="185"/>
      <c r="CK68" s="185"/>
      <c r="CL68" s="53"/>
      <c r="CM68" s="53"/>
      <c r="CN68" s="53"/>
      <c r="CO68" s="53"/>
      <c r="CP68" s="54"/>
      <c r="CQ68" s="185" t="s">
        <v>411</v>
      </c>
      <c r="CR68" s="232"/>
      <c r="CS68" s="232"/>
      <c r="CT68" s="232"/>
      <c r="CU68" s="232"/>
      <c r="CV68" s="232"/>
      <c r="CW68" s="232"/>
      <c r="CX68" s="232"/>
      <c r="CY68" s="232"/>
      <c r="CZ68" s="232"/>
      <c r="DA68" s="232"/>
      <c r="DB68" s="232"/>
      <c r="DC68" s="232"/>
      <c r="DD68" s="232"/>
      <c r="DE68" s="232"/>
      <c r="DF68" s="232"/>
      <c r="DG68" s="232"/>
      <c r="DH68" s="232"/>
      <c r="DI68" s="232"/>
      <c r="DJ68" s="232"/>
      <c r="DK68" s="232"/>
      <c r="DL68" s="232"/>
      <c r="DM68" s="232"/>
      <c r="DN68" s="232"/>
      <c r="DO68" s="232"/>
      <c r="DP68" s="232"/>
      <c r="DQ68" s="232"/>
      <c r="DR68" s="232"/>
      <c r="DS68" s="232"/>
      <c r="DT68" s="232"/>
      <c r="DU68" s="232"/>
      <c r="DV68" s="232"/>
      <c r="DW68" s="232"/>
      <c r="DX68" s="232"/>
      <c r="DY68" s="232"/>
      <c r="DZ68" s="232"/>
      <c r="EA68" s="232"/>
      <c r="EB68" s="232"/>
      <c r="EC68" s="232"/>
      <c r="ED68" s="232"/>
      <c r="EE68" s="232"/>
      <c r="EF68" s="232"/>
      <c r="EG68" s="232"/>
      <c r="EH68" s="232"/>
      <c r="EI68" s="232"/>
      <c r="EJ68" s="232"/>
      <c r="EK68" s="235"/>
      <c r="EL68" s="243" t="s">
        <v>419</v>
      </c>
      <c r="EM68" s="228"/>
      <c r="EN68" s="185"/>
      <c r="EO68" s="185"/>
      <c r="EP68" s="185"/>
      <c r="EQ68" s="185"/>
      <c r="ER68" s="185"/>
      <c r="ES68" s="185"/>
      <c r="ET68" s="185"/>
      <c r="EU68" s="185"/>
      <c r="EV68" s="185"/>
      <c r="EW68" s="185"/>
      <c r="EX68" s="185"/>
      <c r="EY68" s="185"/>
      <c r="EZ68" s="185"/>
      <c r="FA68" s="185"/>
      <c r="FB68" s="185"/>
      <c r="FC68" s="185"/>
      <c r="FD68" s="185"/>
      <c r="FE68" s="185"/>
      <c r="FF68" s="185"/>
      <c r="FG68" s="185"/>
      <c r="FH68" s="185"/>
      <c r="FI68" s="185"/>
      <c r="FJ68" s="185"/>
      <c r="FK68" s="185"/>
      <c r="FL68" s="185"/>
      <c r="FM68" s="185"/>
      <c r="FN68" s="185"/>
      <c r="FO68" s="185"/>
      <c r="FP68" s="185"/>
      <c r="FQ68" s="185"/>
      <c r="FR68" s="185"/>
      <c r="FS68" s="185"/>
      <c r="FT68" s="185"/>
      <c r="FU68" s="185"/>
      <c r="FV68" s="185"/>
      <c r="FW68" s="185"/>
      <c r="FX68" s="185"/>
      <c r="FY68" s="185"/>
      <c r="FZ68" s="185"/>
      <c r="GA68" s="185"/>
      <c r="GB68" s="185"/>
      <c r="GC68" s="185"/>
      <c r="GD68" s="243" t="s">
        <v>471</v>
      </c>
      <c r="GE68" s="185"/>
      <c r="GF68" s="185"/>
      <c r="GG68" s="185"/>
      <c r="GH68" s="185"/>
      <c r="GI68" s="185"/>
      <c r="GJ68" s="185"/>
      <c r="GK68" s="185"/>
      <c r="GL68" s="185"/>
      <c r="GM68" s="185"/>
      <c r="GN68" s="185"/>
      <c r="GO68" s="185"/>
      <c r="GP68" s="185"/>
      <c r="GQ68" s="185"/>
      <c r="GR68" s="185"/>
      <c r="GS68" s="185"/>
      <c r="GT68" s="185"/>
      <c r="GU68" s="185"/>
      <c r="GV68" s="185"/>
      <c r="GW68" s="185"/>
      <c r="GX68" s="185"/>
      <c r="GY68" s="185"/>
      <c r="GZ68" s="185"/>
      <c r="HA68" s="185"/>
      <c r="HB68" s="185"/>
      <c r="HC68" s="185"/>
      <c r="HD68" s="185"/>
      <c r="HE68" s="185"/>
      <c r="HF68" s="185"/>
      <c r="HG68" s="185"/>
      <c r="HH68" s="185"/>
      <c r="HI68" s="185"/>
      <c r="HJ68" s="185"/>
      <c r="HK68" s="185"/>
      <c r="HL68" s="185"/>
      <c r="HM68" s="185"/>
      <c r="HN68" s="185"/>
      <c r="HO68" s="185"/>
      <c r="HP68" s="185"/>
      <c r="HQ68" s="185"/>
      <c r="HR68" s="185"/>
      <c r="HS68" s="185"/>
      <c r="HT68" s="185"/>
      <c r="HU68" s="185"/>
      <c r="HV68" s="221"/>
      <c r="HW68" s="221"/>
      <c r="HX68" s="221"/>
      <c r="HY68" s="221"/>
      <c r="HZ68" s="221"/>
      <c r="IA68" s="221"/>
      <c r="IB68" s="221"/>
      <c r="IC68" s="221"/>
      <c r="ID68" s="221"/>
      <c r="IE68" s="221"/>
      <c r="IF68" s="221"/>
      <c r="IG68" s="221"/>
      <c r="IH68" s="221"/>
      <c r="II68" s="221"/>
      <c r="IJ68" s="221"/>
      <c r="IK68" s="221"/>
      <c r="IL68" s="221"/>
      <c r="IM68" s="221"/>
      <c r="IN68" s="221"/>
      <c r="IO68" s="221"/>
      <c r="IP68" s="221"/>
      <c r="IQ68" s="221"/>
      <c r="IR68" s="221"/>
      <c r="IS68" s="221"/>
      <c r="IT68" s="221"/>
      <c r="IU68" s="221"/>
      <c r="IV68" s="221"/>
      <c r="IW68" s="221"/>
      <c r="IX68" s="221"/>
      <c r="IY68" s="221"/>
      <c r="IZ68" s="221"/>
      <c r="JA68" s="221"/>
      <c r="JB68" s="221"/>
      <c r="JC68" s="221"/>
      <c r="JD68" s="221"/>
      <c r="JE68" s="221"/>
      <c r="JF68" s="221"/>
      <c r="JG68" s="221"/>
      <c r="JH68" s="221"/>
      <c r="JI68" s="221"/>
      <c r="JJ68" s="221"/>
      <c r="JK68" s="221"/>
      <c r="JL68" s="221"/>
      <c r="JM68" s="299"/>
      <c r="JN68" s="223"/>
      <c r="JO68" s="221"/>
      <c r="JP68" s="221"/>
      <c r="JQ68" s="221"/>
      <c r="JR68" s="221"/>
      <c r="JS68" s="221"/>
      <c r="JT68" s="221"/>
      <c r="JU68" s="221"/>
      <c r="JV68" s="221"/>
      <c r="JW68" s="221"/>
      <c r="JX68" s="221"/>
      <c r="JY68" s="221"/>
      <c r="JZ68" s="221"/>
      <c r="KA68" s="221"/>
      <c r="KB68" s="221"/>
      <c r="KC68" s="221"/>
      <c r="KD68" s="221"/>
      <c r="KE68" s="221"/>
      <c r="KF68" s="221"/>
      <c r="KG68" s="221"/>
      <c r="KH68" s="221"/>
      <c r="KI68" s="221"/>
      <c r="KJ68" s="221"/>
      <c r="KK68" s="221"/>
      <c r="KL68" s="221"/>
      <c r="KM68" s="221"/>
      <c r="KN68" s="221"/>
      <c r="KO68" s="221"/>
      <c r="KP68" s="221"/>
      <c r="KQ68" s="221"/>
      <c r="KR68" s="221"/>
      <c r="KS68" s="221"/>
      <c r="KT68" s="221"/>
      <c r="KU68" s="221"/>
      <c r="KV68" s="221"/>
      <c r="KW68" s="221"/>
      <c r="KX68" s="221"/>
      <c r="KY68" s="221"/>
      <c r="KZ68" s="221"/>
      <c r="LA68" s="221"/>
      <c r="LB68" s="221"/>
      <c r="LC68" s="221"/>
      <c r="LD68" s="221"/>
      <c r="LE68" s="299"/>
      <c r="LF68" s="52">
        <v>0.92708333333333104</v>
      </c>
    </row>
    <row r="69" spans="2:318" ht="10.5" customHeight="1">
      <c r="B69" s="49">
        <v>0.25</v>
      </c>
      <c r="C69" s="49">
        <v>0.25</v>
      </c>
      <c r="D69" s="49">
        <v>0.25</v>
      </c>
      <c r="E69" s="172">
        <v>0.91666666666666663</v>
      </c>
      <c r="F69" s="283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87"/>
      <c r="AR69" s="287"/>
      <c r="AS69" s="287"/>
      <c r="AT69" s="274"/>
      <c r="AU69" s="274"/>
      <c r="AV69" s="274"/>
      <c r="AW69" s="274"/>
      <c r="AX69" s="277"/>
      <c r="AY69" s="283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7"/>
      <c r="CQ69" s="331"/>
      <c r="CR69" s="332"/>
      <c r="CS69" s="332"/>
      <c r="CT69" s="332"/>
      <c r="CU69" s="332"/>
      <c r="CV69" s="332"/>
      <c r="CW69" s="332"/>
      <c r="CX69" s="332"/>
      <c r="CY69" s="332"/>
      <c r="CZ69" s="332"/>
      <c r="DA69" s="332"/>
      <c r="DB69" s="332"/>
      <c r="DC69" s="332"/>
      <c r="DD69" s="332"/>
      <c r="DE69" s="332"/>
      <c r="DF69" s="332"/>
      <c r="DG69" s="332"/>
      <c r="DH69" s="332"/>
      <c r="DI69" s="332"/>
      <c r="DJ69" s="332"/>
      <c r="DK69" s="332"/>
      <c r="DL69" s="332"/>
      <c r="DM69" s="332"/>
      <c r="DN69" s="332"/>
      <c r="DO69" s="332"/>
      <c r="DP69" s="332"/>
      <c r="DQ69" s="332"/>
      <c r="DR69" s="332"/>
      <c r="DS69" s="332"/>
      <c r="DT69" s="332"/>
      <c r="DU69" s="332"/>
      <c r="DV69" s="332"/>
      <c r="DW69" s="332"/>
      <c r="DX69" s="332"/>
      <c r="DY69" s="332"/>
      <c r="DZ69" s="332"/>
      <c r="EA69" s="332"/>
      <c r="EB69" s="332"/>
      <c r="EC69" s="332"/>
      <c r="ED69" s="332"/>
      <c r="EE69" s="332"/>
      <c r="EF69" s="332"/>
      <c r="EG69" s="332"/>
      <c r="EH69" s="332"/>
      <c r="EI69" s="332"/>
      <c r="EJ69" s="332"/>
      <c r="EK69" s="333"/>
      <c r="EL69" s="315"/>
      <c r="EM69" s="316"/>
      <c r="EN69" s="316"/>
      <c r="EO69" s="316"/>
      <c r="EP69" s="316"/>
      <c r="EQ69" s="316"/>
      <c r="ER69" s="316"/>
      <c r="ES69" s="316"/>
      <c r="ET69" s="316"/>
      <c r="EU69" s="316"/>
      <c r="EV69" s="316"/>
      <c r="EW69" s="316"/>
      <c r="EX69" s="316"/>
      <c r="EY69" s="316"/>
      <c r="EZ69" s="316"/>
      <c r="FA69" s="316"/>
      <c r="FB69" s="316"/>
      <c r="FC69" s="316"/>
      <c r="FD69" s="316"/>
      <c r="FE69" s="316"/>
      <c r="FF69" s="316"/>
      <c r="FG69" s="316"/>
      <c r="FH69" s="316"/>
      <c r="FI69" s="316"/>
      <c r="FJ69" s="316"/>
      <c r="FK69" s="316"/>
      <c r="FL69" s="316"/>
      <c r="FM69" s="316"/>
      <c r="FN69" s="316"/>
      <c r="FO69" s="316"/>
      <c r="FP69" s="316"/>
      <c r="FQ69" s="316"/>
      <c r="FR69" s="316"/>
      <c r="FS69" s="316"/>
      <c r="FT69" s="316"/>
      <c r="FU69" s="316"/>
      <c r="FV69" s="316"/>
      <c r="FW69" s="316"/>
      <c r="FX69" s="316"/>
      <c r="FY69" s="316"/>
      <c r="FZ69" s="316"/>
      <c r="GA69" s="316"/>
      <c r="GB69" s="316"/>
      <c r="GC69" s="317"/>
      <c r="GD69" s="283"/>
      <c r="GE69" s="274"/>
      <c r="GF69" s="274"/>
      <c r="GG69" s="274"/>
      <c r="GH69" s="274"/>
      <c r="GI69" s="274"/>
      <c r="GJ69" s="274"/>
      <c r="GK69" s="274"/>
      <c r="GL69" s="274"/>
      <c r="GM69" s="274"/>
      <c r="GN69" s="274"/>
      <c r="GO69" s="274"/>
      <c r="GP69" s="274"/>
      <c r="GQ69" s="274"/>
      <c r="GR69" s="274"/>
      <c r="GS69" s="274"/>
      <c r="GT69" s="274"/>
      <c r="GU69" s="274"/>
      <c r="GV69" s="274"/>
      <c r="GW69" s="274"/>
      <c r="GX69" s="274"/>
      <c r="GY69" s="274"/>
      <c r="GZ69" s="274"/>
      <c r="HA69" s="274"/>
      <c r="HB69" s="274"/>
      <c r="HC69" s="274"/>
      <c r="HD69" s="274"/>
      <c r="HE69" s="274"/>
      <c r="HF69" s="274"/>
      <c r="HG69" s="274"/>
      <c r="HH69" s="274"/>
      <c r="HI69" s="274"/>
      <c r="HJ69" s="274"/>
      <c r="HK69" s="274"/>
      <c r="HL69" s="274"/>
      <c r="HM69" s="274"/>
      <c r="HN69" s="274"/>
      <c r="HO69" s="274"/>
      <c r="HP69" s="274"/>
      <c r="HQ69" s="274"/>
      <c r="HR69" s="274"/>
      <c r="HS69" s="274"/>
      <c r="HT69" s="274"/>
      <c r="HU69" s="278"/>
      <c r="HV69" s="221"/>
      <c r="HW69" s="221"/>
      <c r="HX69" s="221"/>
      <c r="HY69" s="221"/>
      <c r="HZ69" s="221"/>
      <c r="IA69" s="221"/>
      <c r="IB69" s="221"/>
      <c r="IC69" s="221"/>
      <c r="ID69" s="221"/>
      <c r="IE69" s="221"/>
      <c r="IF69" s="221"/>
      <c r="IG69" s="221"/>
      <c r="IH69" s="221"/>
      <c r="II69" s="221"/>
      <c r="IJ69" s="221"/>
      <c r="IK69" s="221"/>
      <c r="IL69" s="221"/>
      <c r="IM69" s="221"/>
      <c r="IN69" s="221"/>
      <c r="IO69" s="221"/>
      <c r="IP69" s="221"/>
      <c r="IQ69" s="221"/>
      <c r="IR69" s="221"/>
      <c r="IS69" s="221"/>
      <c r="IT69" s="221"/>
      <c r="IU69" s="221"/>
      <c r="IV69" s="221"/>
      <c r="IW69" s="221"/>
      <c r="IX69" s="221"/>
      <c r="IY69" s="221"/>
      <c r="IZ69" s="221"/>
      <c r="JA69" s="221"/>
      <c r="JB69" s="221"/>
      <c r="JC69" s="221"/>
      <c r="JD69" s="221"/>
      <c r="JE69" s="221"/>
      <c r="JF69" s="221"/>
      <c r="JG69" s="221"/>
      <c r="JH69" s="221"/>
      <c r="JI69" s="221"/>
      <c r="JJ69" s="221"/>
      <c r="JK69" s="221"/>
      <c r="JL69" s="221"/>
      <c r="JM69" s="299"/>
      <c r="JN69" s="223"/>
      <c r="JO69" s="221"/>
      <c r="JP69" s="221"/>
      <c r="JQ69" s="221"/>
      <c r="JR69" s="221"/>
      <c r="JS69" s="221"/>
      <c r="JT69" s="221"/>
      <c r="JU69" s="221"/>
      <c r="JV69" s="221"/>
      <c r="JW69" s="221"/>
      <c r="JX69" s="221"/>
      <c r="JY69" s="221"/>
      <c r="JZ69" s="221"/>
      <c r="KA69" s="221"/>
      <c r="KB69" s="221"/>
      <c r="KC69" s="221"/>
      <c r="KD69" s="221"/>
      <c r="KE69" s="221"/>
      <c r="KF69" s="221"/>
      <c r="KG69" s="221"/>
      <c r="KH69" s="221"/>
      <c r="KI69" s="221"/>
      <c r="KJ69" s="221"/>
      <c r="KK69" s="221"/>
      <c r="KL69" s="221"/>
      <c r="KM69" s="221"/>
      <c r="KN69" s="221"/>
      <c r="KO69" s="221"/>
      <c r="KP69" s="221"/>
      <c r="KQ69" s="221"/>
      <c r="KR69" s="221"/>
      <c r="KS69" s="221"/>
      <c r="KT69" s="221"/>
      <c r="KU69" s="221"/>
      <c r="KV69" s="221"/>
      <c r="KW69" s="221"/>
      <c r="KX69" s="221"/>
      <c r="KY69" s="221"/>
      <c r="KZ69" s="221"/>
      <c r="LA69" s="221"/>
      <c r="LB69" s="221"/>
      <c r="LC69" s="221"/>
      <c r="LD69" s="221"/>
      <c r="LE69" s="299"/>
      <c r="LF69" s="52">
        <v>0.937499999999998</v>
      </c>
    </row>
    <row r="70" spans="2:318" ht="10.5" customHeight="1" thickBot="1">
      <c r="B70" s="49">
        <v>0.25</v>
      </c>
      <c r="C70" s="49">
        <v>0.25</v>
      </c>
      <c r="D70" s="49">
        <v>0.25</v>
      </c>
      <c r="E70" s="172">
        <v>0.92708333333333337</v>
      </c>
      <c r="F70" s="288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89"/>
      <c r="AR70" s="289"/>
      <c r="AS70" s="289"/>
      <c r="AT70" s="275"/>
      <c r="AU70" s="275"/>
      <c r="AV70" s="275"/>
      <c r="AW70" s="275"/>
      <c r="AX70" s="290"/>
      <c r="AY70" s="288"/>
      <c r="AZ70" s="275"/>
      <c r="BA70" s="275"/>
      <c r="BB70" s="275"/>
      <c r="BC70" s="275"/>
      <c r="BD70" s="275"/>
      <c r="BE70" s="275"/>
      <c r="BF70" s="275"/>
      <c r="BG70" s="275"/>
      <c r="BH70" s="275"/>
      <c r="BI70" s="275"/>
      <c r="BJ70" s="275"/>
      <c r="BK70" s="275"/>
      <c r="BL70" s="275"/>
      <c r="BM70" s="275"/>
      <c r="BN70" s="275"/>
      <c r="BO70" s="275"/>
      <c r="BP70" s="275"/>
      <c r="BQ70" s="275"/>
      <c r="BR70" s="275"/>
      <c r="BS70" s="275"/>
      <c r="BT70" s="275"/>
      <c r="BU70" s="275"/>
      <c r="BV70" s="275"/>
      <c r="BW70" s="275"/>
      <c r="BX70" s="275"/>
      <c r="BY70" s="275"/>
      <c r="BZ70" s="275"/>
      <c r="CA70" s="275"/>
      <c r="CB70" s="275"/>
      <c r="CC70" s="275"/>
      <c r="CD70" s="275"/>
      <c r="CE70" s="275"/>
      <c r="CF70" s="275"/>
      <c r="CG70" s="275"/>
      <c r="CH70" s="275"/>
      <c r="CI70" s="275"/>
      <c r="CJ70" s="275"/>
      <c r="CK70" s="275"/>
      <c r="CL70" s="275"/>
      <c r="CM70" s="275"/>
      <c r="CN70" s="275"/>
      <c r="CO70" s="275"/>
      <c r="CP70" s="290"/>
      <c r="CQ70" s="288"/>
      <c r="CR70" s="275"/>
      <c r="CS70" s="275"/>
      <c r="CT70" s="275"/>
      <c r="CU70" s="275"/>
      <c r="CV70" s="275"/>
      <c r="CW70" s="275"/>
      <c r="CX70" s="275"/>
      <c r="CY70" s="275"/>
      <c r="CZ70" s="275"/>
      <c r="DA70" s="275"/>
      <c r="DB70" s="275"/>
      <c r="DC70" s="275"/>
      <c r="DD70" s="275"/>
      <c r="DE70" s="275"/>
      <c r="DF70" s="275"/>
      <c r="DG70" s="275"/>
      <c r="DH70" s="275"/>
      <c r="DI70" s="275"/>
      <c r="DJ70" s="275"/>
      <c r="DK70" s="275"/>
      <c r="DL70" s="275"/>
      <c r="DM70" s="275"/>
      <c r="DN70" s="275"/>
      <c r="DO70" s="275"/>
      <c r="DP70" s="275"/>
      <c r="DQ70" s="275"/>
      <c r="DR70" s="275"/>
      <c r="DS70" s="275"/>
      <c r="DT70" s="275"/>
      <c r="DU70" s="275"/>
      <c r="DV70" s="275"/>
      <c r="DW70" s="275"/>
      <c r="DX70" s="275"/>
      <c r="DY70" s="275"/>
      <c r="DZ70" s="275"/>
      <c r="EA70" s="275"/>
      <c r="EB70" s="275"/>
      <c r="EC70" s="275"/>
      <c r="ED70" s="275"/>
      <c r="EE70" s="275"/>
      <c r="EF70" s="275"/>
      <c r="EG70" s="275"/>
      <c r="EH70" s="275"/>
      <c r="EI70" s="275"/>
      <c r="EJ70" s="275"/>
      <c r="EK70" s="290"/>
      <c r="EL70" s="318"/>
      <c r="EM70" s="319"/>
      <c r="EN70" s="319"/>
      <c r="EO70" s="319"/>
      <c r="EP70" s="319"/>
      <c r="EQ70" s="319"/>
      <c r="ER70" s="319"/>
      <c r="ES70" s="319"/>
      <c r="ET70" s="319"/>
      <c r="EU70" s="319"/>
      <c r="EV70" s="319"/>
      <c r="EW70" s="319"/>
      <c r="EX70" s="319"/>
      <c r="EY70" s="319"/>
      <c r="EZ70" s="319"/>
      <c r="FA70" s="319"/>
      <c r="FB70" s="319"/>
      <c r="FC70" s="319"/>
      <c r="FD70" s="319"/>
      <c r="FE70" s="319"/>
      <c r="FF70" s="319"/>
      <c r="FG70" s="319"/>
      <c r="FH70" s="319"/>
      <c r="FI70" s="319"/>
      <c r="FJ70" s="319"/>
      <c r="FK70" s="319"/>
      <c r="FL70" s="319"/>
      <c r="FM70" s="319"/>
      <c r="FN70" s="319"/>
      <c r="FO70" s="319"/>
      <c r="FP70" s="319"/>
      <c r="FQ70" s="319"/>
      <c r="FR70" s="319"/>
      <c r="FS70" s="319"/>
      <c r="FT70" s="319"/>
      <c r="FU70" s="319"/>
      <c r="FV70" s="319"/>
      <c r="FW70" s="319"/>
      <c r="FX70" s="319"/>
      <c r="FY70" s="319"/>
      <c r="FZ70" s="319"/>
      <c r="GA70" s="319"/>
      <c r="GB70" s="319"/>
      <c r="GC70" s="320"/>
      <c r="GD70" s="288"/>
      <c r="GE70" s="275"/>
      <c r="GF70" s="275"/>
      <c r="GG70" s="275"/>
      <c r="GH70" s="275"/>
      <c r="GI70" s="275"/>
      <c r="GJ70" s="275"/>
      <c r="GK70" s="275"/>
      <c r="GL70" s="275"/>
      <c r="GM70" s="275"/>
      <c r="GN70" s="275"/>
      <c r="GO70" s="275"/>
      <c r="GP70" s="275"/>
      <c r="GQ70" s="275"/>
      <c r="GR70" s="275"/>
      <c r="GS70" s="275"/>
      <c r="GT70" s="275"/>
      <c r="GU70" s="275"/>
      <c r="GV70" s="275"/>
      <c r="GW70" s="275"/>
      <c r="GX70" s="275"/>
      <c r="GY70" s="275"/>
      <c r="GZ70" s="275"/>
      <c r="HA70" s="275"/>
      <c r="HB70" s="275"/>
      <c r="HC70" s="275"/>
      <c r="HD70" s="275"/>
      <c r="HE70" s="275"/>
      <c r="HF70" s="275"/>
      <c r="HG70" s="275"/>
      <c r="HH70" s="275"/>
      <c r="HI70" s="275"/>
      <c r="HJ70" s="275"/>
      <c r="HK70" s="275"/>
      <c r="HL70" s="275"/>
      <c r="HM70" s="275"/>
      <c r="HN70" s="275"/>
      <c r="HO70" s="275"/>
      <c r="HP70" s="275"/>
      <c r="HQ70" s="275"/>
      <c r="HR70" s="275"/>
      <c r="HS70" s="275"/>
      <c r="HT70" s="275"/>
      <c r="HU70" s="291"/>
      <c r="HV70" s="222"/>
      <c r="HW70" s="222"/>
      <c r="HX70" s="222"/>
      <c r="HY70" s="222"/>
      <c r="HZ70" s="222"/>
      <c r="IA70" s="222"/>
      <c r="IB70" s="222"/>
      <c r="IC70" s="222"/>
      <c r="ID70" s="222"/>
      <c r="IE70" s="222"/>
      <c r="IF70" s="222"/>
      <c r="IG70" s="222"/>
      <c r="IH70" s="222"/>
      <c r="II70" s="222"/>
      <c r="IJ70" s="222"/>
      <c r="IK70" s="222"/>
      <c r="IL70" s="222"/>
      <c r="IM70" s="222"/>
      <c r="IN70" s="222"/>
      <c r="IO70" s="222"/>
      <c r="IP70" s="222"/>
      <c r="IQ70" s="222"/>
      <c r="IR70" s="222"/>
      <c r="IS70" s="222"/>
      <c r="IT70" s="222"/>
      <c r="IU70" s="222"/>
      <c r="IV70" s="222"/>
      <c r="IW70" s="222"/>
      <c r="IX70" s="222"/>
      <c r="IY70" s="222"/>
      <c r="IZ70" s="222"/>
      <c r="JA70" s="222"/>
      <c r="JB70" s="222"/>
      <c r="JC70" s="222"/>
      <c r="JD70" s="222"/>
      <c r="JE70" s="222"/>
      <c r="JF70" s="222"/>
      <c r="JG70" s="222"/>
      <c r="JH70" s="222"/>
      <c r="JI70" s="222"/>
      <c r="JJ70" s="222"/>
      <c r="JK70" s="222"/>
      <c r="JL70" s="222"/>
      <c r="JM70" s="300"/>
      <c r="JN70" s="224"/>
      <c r="JO70" s="222"/>
      <c r="JP70" s="222"/>
      <c r="JQ70" s="222"/>
      <c r="JR70" s="222"/>
      <c r="JS70" s="222"/>
      <c r="JT70" s="222"/>
      <c r="JU70" s="222"/>
      <c r="JV70" s="222"/>
      <c r="JW70" s="222"/>
      <c r="JX70" s="222"/>
      <c r="JY70" s="222"/>
      <c r="JZ70" s="222"/>
      <c r="KA70" s="222"/>
      <c r="KB70" s="222"/>
      <c r="KC70" s="222"/>
      <c r="KD70" s="222"/>
      <c r="KE70" s="222"/>
      <c r="KF70" s="222"/>
      <c r="KG70" s="222"/>
      <c r="KH70" s="222"/>
      <c r="KI70" s="222"/>
      <c r="KJ70" s="222"/>
      <c r="KK70" s="222"/>
      <c r="KL70" s="222"/>
      <c r="KM70" s="222"/>
      <c r="KN70" s="222"/>
      <c r="KO70" s="222"/>
      <c r="KP70" s="222"/>
      <c r="KQ70" s="222"/>
      <c r="KR70" s="222"/>
      <c r="KS70" s="222"/>
      <c r="KT70" s="222"/>
      <c r="KU70" s="222"/>
      <c r="KV70" s="222"/>
      <c r="KW70" s="222"/>
      <c r="KX70" s="222"/>
      <c r="KY70" s="222"/>
      <c r="KZ70" s="222"/>
      <c r="LA70" s="222"/>
      <c r="LB70" s="222"/>
      <c r="LC70" s="222"/>
      <c r="LD70" s="222"/>
      <c r="LE70" s="300"/>
      <c r="LF70" s="69">
        <v>0.94791666666666496</v>
      </c>
    </row>
    <row r="71" spans="2:318" ht="10.5" customHeight="1">
      <c r="F71" s="49">
        <f>F72/4</f>
        <v>15.5</v>
      </c>
      <c r="G71" s="49">
        <f t="shared" ref="G71:BS71" si="0">G72/4</f>
        <v>0.75</v>
      </c>
      <c r="H71" s="49">
        <f t="shared" si="0"/>
        <v>0</v>
      </c>
      <c r="I71" s="49">
        <f t="shared" si="0"/>
        <v>0</v>
      </c>
      <c r="J71" s="49">
        <f t="shared" si="0"/>
        <v>0</v>
      </c>
      <c r="K71" s="49">
        <f t="shared" si="0"/>
        <v>0</v>
      </c>
      <c r="L71" s="49">
        <f t="shared" si="0"/>
        <v>0</v>
      </c>
      <c r="M71" s="49">
        <f t="shared" si="0"/>
        <v>0</v>
      </c>
      <c r="N71" s="49">
        <f t="shared" si="0"/>
        <v>0</v>
      </c>
      <c r="O71" s="49">
        <f t="shared" si="0"/>
        <v>0</v>
      </c>
      <c r="P71" s="49">
        <f t="shared" si="0"/>
        <v>1.5</v>
      </c>
      <c r="Q71" s="49">
        <f t="shared" si="0"/>
        <v>2.5</v>
      </c>
      <c r="R71" s="49">
        <f t="shared" si="0"/>
        <v>0</v>
      </c>
      <c r="S71" s="49">
        <f t="shared" si="0"/>
        <v>0</v>
      </c>
      <c r="T71" s="49">
        <f t="shared" si="0"/>
        <v>0</v>
      </c>
      <c r="U71" s="49">
        <f t="shared" si="0"/>
        <v>3.5</v>
      </c>
      <c r="W71" s="49">
        <f t="shared" si="0"/>
        <v>3</v>
      </c>
      <c r="X71" s="49">
        <f t="shared" si="0"/>
        <v>0</v>
      </c>
      <c r="Y71" s="49">
        <f t="shared" si="0"/>
        <v>2.5</v>
      </c>
      <c r="Z71" s="49">
        <f t="shared" si="0"/>
        <v>2</v>
      </c>
      <c r="AA71" s="49">
        <f t="shared" si="0"/>
        <v>0</v>
      </c>
      <c r="AB71" s="49">
        <f t="shared" si="0"/>
        <v>2.5</v>
      </c>
      <c r="AC71" s="49">
        <f t="shared" si="0"/>
        <v>4.5</v>
      </c>
      <c r="AD71" s="49">
        <f t="shared" si="0"/>
        <v>3.75</v>
      </c>
      <c r="AE71" s="49">
        <f t="shared" si="0"/>
        <v>0</v>
      </c>
      <c r="AF71" s="49">
        <f t="shared" si="0"/>
        <v>0</v>
      </c>
      <c r="AG71" s="49">
        <f t="shared" si="0"/>
        <v>0</v>
      </c>
      <c r="AH71" s="49">
        <f t="shared" si="0"/>
        <v>0</v>
      </c>
      <c r="AI71" s="49">
        <f t="shared" si="0"/>
        <v>0</v>
      </c>
      <c r="AJ71" s="49">
        <f t="shared" si="0"/>
        <v>0</v>
      </c>
      <c r="AK71" s="49">
        <f t="shared" si="0"/>
        <v>0</v>
      </c>
      <c r="AL71" s="49">
        <f t="shared" si="0"/>
        <v>0</v>
      </c>
      <c r="AM71" s="49">
        <f t="shared" si="0"/>
        <v>0</v>
      </c>
      <c r="AN71" s="49">
        <f t="shared" si="0"/>
        <v>0</v>
      </c>
      <c r="AO71" s="49">
        <f t="shared" si="0"/>
        <v>0.75</v>
      </c>
      <c r="AP71" s="49">
        <f t="shared" si="0"/>
        <v>0</v>
      </c>
      <c r="AQ71" s="49">
        <f t="shared" si="0"/>
        <v>0</v>
      </c>
      <c r="AR71" s="49">
        <f t="shared" si="0"/>
        <v>0</v>
      </c>
      <c r="AS71" s="49">
        <f t="shared" si="0"/>
        <v>0</v>
      </c>
      <c r="AT71" s="49">
        <f t="shared" si="0"/>
        <v>1.5</v>
      </c>
      <c r="AU71" s="49">
        <f t="shared" si="0"/>
        <v>7.5</v>
      </c>
      <c r="AV71" s="49">
        <f t="shared" si="0"/>
        <v>2</v>
      </c>
      <c r="AW71" s="49">
        <f t="shared" si="0"/>
        <v>3</v>
      </c>
      <c r="AX71" s="49">
        <f t="shared" si="0"/>
        <v>4</v>
      </c>
      <c r="AY71" s="49">
        <f t="shared" si="0"/>
        <v>15.5</v>
      </c>
      <c r="AZ71" s="49">
        <f t="shared" si="0"/>
        <v>2</v>
      </c>
      <c r="BA71" s="49">
        <f t="shared" si="0"/>
        <v>0.5</v>
      </c>
      <c r="BB71" s="49">
        <f t="shared" si="0"/>
        <v>0</v>
      </c>
      <c r="BC71" s="49">
        <f t="shared" si="0"/>
        <v>0</v>
      </c>
      <c r="BD71" s="49">
        <f t="shared" si="0"/>
        <v>0</v>
      </c>
      <c r="BE71" s="49">
        <f t="shared" si="0"/>
        <v>0</v>
      </c>
      <c r="BF71" s="49">
        <f t="shared" si="0"/>
        <v>2</v>
      </c>
      <c r="BG71" s="49">
        <f t="shared" si="0"/>
        <v>0.5</v>
      </c>
      <c r="BH71" s="49">
        <f t="shared" si="0"/>
        <v>0.5</v>
      </c>
      <c r="BI71" s="49">
        <f t="shared" si="0"/>
        <v>1.5</v>
      </c>
      <c r="BJ71" s="49">
        <f t="shared" si="0"/>
        <v>1</v>
      </c>
      <c r="BK71" s="49">
        <f t="shared" si="0"/>
        <v>0</v>
      </c>
      <c r="BL71" s="49">
        <f t="shared" si="0"/>
        <v>0</v>
      </c>
      <c r="BM71" s="49">
        <f t="shared" si="0"/>
        <v>0</v>
      </c>
      <c r="BN71" s="49">
        <f t="shared" si="0"/>
        <v>2.75</v>
      </c>
      <c r="BO71" s="49">
        <f t="shared" si="0"/>
        <v>2.5</v>
      </c>
      <c r="BP71" s="49">
        <f t="shared" si="0"/>
        <v>0</v>
      </c>
      <c r="BQ71" s="49">
        <f t="shared" si="0"/>
        <v>1</v>
      </c>
      <c r="BR71" s="49">
        <f t="shared" si="0"/>
        <v>2.25</v>
      </c>
      <c r="BS71" s="49">
        <f t="shared" si="0"/>
        <v>0</v>
      </c>
      <c r="BT71" s="49">
        <f t="shared" ref="BT71:EH71" si="1">BT72/4</f>
        <v>2.5</v>
      </c>
      <c r="BU71" s="49">
        <f t="shared" si="1"/>
        <v>4.5</v>
      </c>
      <c r="BV71" s="49">
        <f t="shared" si="1"/>
        <v>1.5</v>
      </c>
      <c r="BW71" s="49">
        <f t="shared" si="1"/>
        <v>1.5</v>
      </c>
      <c r="BX71" s="49">
        <f t="shared" si="1"/>
        <v>0</v>
      </c>
      <c r="BY71" s="49">
        <f t="shared" si="1"/>
        <v>0</v>
      </c>
      <c r="BZ71" s="49">
        <f t="shared" si="1"/>
        <v>0</v>
      </c>
      <c r="CA71" s="49">
        <f t="shared" si="1"/>
        <v>0</v>
      </c>
      <c r="CB71" s="49">
        <f t="shared" si="1"/>
        <v>0</v>
      </c>
      <c r="CC71" s="49">
        <f t="shared" si="1"/>
        <v>0</v>
      </c>
      <c r="CD71" s="49">
        <f t="shared" si="1"/>
        <v>0</v>
      </c>
      <c r="CE71" s="49">
        <f t="shared" si="1"/>
        <v>0</v>
      </c>
      <c r="CF71" s="49">
        <f t="shared" si="1"/>
        <v>0</v>
      </c>
      <c r="CG71" s="49">
        <f t="shared" si="1"/>
        <v>0.5</v>
      </c>
      <c r="CH71" s="49">
        <f t="shared" si="1"/>
        <v>0</v>
      </c>
      <c r="CI71" s="49">
        <f t="shared" si="1"/>
        <v>0</v>
      </c>
      <c r="CJ71" s="49">
        <f t="shared" si="1"/>
        <v>0</v>
      </c>
      <c r="CK71" s="49">
        <f t="shared" si="1"/>
        <v>0</v>
      </c>
      <c r="CL71" s="49">
        <f t="shared" si="1"/>
        <v>3</v>
      </c>
      <c r="CM71" s="49">
        <f t="shared" si="1"/>
        <v>5</v>
      </c>
      <c r="CN71" s="49">
        <f t="shared" si="1"/>
        <v>5.5</v>
      </c>
      <c r="CO71" s="49">
        <f t="shared" si="1"/>
        <v>3</v>
      </c>
      <c r="CP71" s="49">
        <f t="shared" si="1"/>
        <v>6.5</v>
      </c>
      <c r="CQ71" s="49">
        <f t="shared" si="1"/>
        <v>15.5</v>
      </c>
      <c r="CR71" s="49">
        <f t="shared" si="1"/>
        <v>1</v>
      </c>
      <c r="CS71" s="49">
        <f t="shared" si="1"/>
        <v>0.25</v>
      </c>
      <c r="CT71" s="49">
        <f t="shared" si="1"/>
        <v>0</v>
      </c>
      <c r="CU71" s="49">
        <f t="shared" si="1"/>
        <v>0</v>
      </c>
      <c r="CV71" s="49">
        <f t="shared" si="1"/>
        <v>0</v>
      </c>
      <c r="CW71" s="49">
        <f t="shared" si="1"/>
        <v>0</v>
      </c>
      <c r="CX71" s="49">
        <f t="shared" si="1"/>
        <v>1</v>
      </c>
      <c r="CY71" s="49">
        <f t="shared" si="1"/>
        <v>0</v>
      </c>
      <c r="CZ71" s="49">
        <f t="shared" si="1"/>
        <v>0</v>
      </c>
      <c r="DA71" s="49">
        <f t="shared" si="1"/>
        <v>1.5</v>
      </c>
      <c r="DB71" s="49">
        <f t="shared" si="1"/>
        <v>2.5</v>
      </c>
      <c r="DC71" s="49">
        <f t="shared" si="1"/>
        <v>1</v>
      </c>
      <c r="DD71" s="49">
        <f t="shared" si="1"/>
        <v>0.25</v>
      </c>
      <c r="DE71" s="49">
        <f t="shared" si="1"/>
        <v>0.25</v>
      </c>
      <c r="DF71" s="49">
        <f t="shared" si="1"/>
        <v>2.25</v>
      </c>
      <c r="DG71" s="49">
        <f t="shared" si="1"/>
        <v>0.75</v>
      </c>
      <c r="DH71" s="49">
        <f t="shared" si="1"/>
        <v>0.25</v>
      </c>
      <c r="DI71" s="49">
        <f t="shared" si="1"/>
        <v>1.5</v>
      </c>
      <c r="DM71" s="49">
        <f t="shared" si="1"/>
        <v>2</v>
      </c>
      <c r="DN71" s="49">
        <f t="shared" si="1"/>
        <v>0.5</v>
      </c>
      <c r="DO71" s="49">
        <f t="shared" si="1"/>
        <v>2.5</v>
      </c>
      <c r="DP71" s="49">
        <f t="shared" si="1"/>
        <v>3.75</v>
      </c>
      <c r="DQ71" s="49">
        <f t="shared" si="1"/>
        <v>3.75</v>
      </c>
      <c r="DR71" s="49">
        <f t="shared" si="1"/>
        <v>4.5</v>
      </c>
      <c r="DS71" s="49">
        <f t="shared" si="1"/>
        <v>1.5</v>
      </c>
      <c r="DU71" s="49">
        <f t="shared" si="1"/>
        <v>0</v>
      </c>
      <c r="DV71" s="49">
        <f t="shared" si="1"/>
        <v>0</v>
      </c>
      <c r="DW71" s="49">
        <f t="shared" si="1"/>
        <v>0</v>
      </c>
      <c r="DX71" s="49">
        <f t="shared" si="1"/>
        <v>0</v>
      </c>
      <c r="DY71" s="49">
        <f t="shared" si="1"/>
        <v>0</v>
      </c>
      <c r="DZ71" s="49">
        <f t="shared" si="1"/>
        <v>0</v>
      </c>
      <c r="EA71" s="49">
        <f t="shared" si="1"/>
        <v>0</v>
      </c>
      <c r="EB71" s="49">
        <f t="shared" si="1"/>
        <v>0.25</v>
      </c>
      <c r="EC71" s="49">
        <f t="shared" si="1"/>
        <v>0</v>
      </c>
      <c r="ED71" s="49">
        <f t="shared" si="1"/>
        <v>0</v>
      </c>
      <c r="EE71" s="49">
        <f t="shared" si="1"/>
        <v>0</v>
      </c>
      <c r="EF71" s="49">
        <f t="shared" si="1"/>
        <v>0</v>
      </c>
      <c r="EG71" s="49">
        <f t="shared" si="1"/>
        <v>3</v>
      </c>
      <c r="EH71" s="49">
        <f t="shared" si="1"/>
        <v>5.5</v>
      </c>
      <c r="EI71" s="49">
        <f t="shared" ref="EI71:GT71" si="2">EI72/4</f>
        <v>4</v>
      </c>
      <c r="EJ71" s="49">
        <f t="shared" si="2"/>
        <v>3</v>
      </c>
      <c r="EK71" s="49">
        <f t="shared" si="2"/>
        <v>4</v>
      </c>
      <c r="EL71" s="49">
        <f t="shared" si="2"/>
        <v>15.5</v>
      </c>
      <c r="EM71" s="49">
        <f t="shared" si="2"/>
        <v>1.25</v>
      </c>
      <c r="EN71" s="49">
        <f t="shared" si="2"/>
        <v>0</v>
      </c>
      <c r="EO71" s="49">
        <f t="shared" si="2"/>
        <v>0</v>
      </c>
      <c r="EP71" s="49">
        <f t="shared" si="2"/>
        <v>0</v>
      </c>
      <c r="EQ71" s="49">
        <f t="shared" si="2"/>
        <v>0</v>
      </c>
      <c r="ER71" s="49">
        <f t="shared" si="2"/>
        <v>0</v>
      </c>
      <c r="ES71" s="49">
        <f t="shared" si="2"/>
        <v>0</v>
      </c>
      <c r="ET71" s="49">
        <f t="shared" si="2"/>
        <v>2</v>
      </c>
      <c r="EU71" s="49">
        <f t="shared" si="2"/>
        <v>0</v>
      </c>
      <c r="EV71" s="49">
        <f t="shared" si="2"/>
        <v>0</v>
      </c>
      <c r="EW71" s="49">
        <f t="shared" si="2"/>
        <v>1</v>
      </c>
      <c r="EX71" s="49">
        <f t="shared" si="2"/>
        <v>0</v>
      </c>
      <c r="EY71" s="49">
        <f t="shared" si="2"/>
        <v>0</v>
      </c>
      <c r="EZ71" s="49">
        <f t="shared" si="2"/>
        <v>0</v>
      </c>
      <c r="FA71" s="49">
        <f t="shared" si="2"/>
        <v>3</v>
      </c>
      <c r="FB71" s="49">
        <f t="shared" si="2"/>
        <v>0.5</v>
      </c>
      <c r="FC71" s="49">
        <f t="shared" si="2"/>
        <v>0.5</v>
      </c>
      <c r="FD71" s="49">
        <f t="shared" si="2"/>
        <v>1.25</v>
      </c>
      <c r="FE71" s="49">
        <f t="shared" si="2"/>
        <v>1</v>
      </c>
      <c r="FF71" s="49">
        <f t="shared" si="2"/>
        <v>0.75</v>
      </c>
      <c r="FG71" s="49">
        <f t="shared" si="2"/>
        <v>0.5</v>
      </c>
      <c r="FH71" s="49">
        <f t="shared" si="2"/>
        <v>4.5</v>
      </c>
      <c r="FI71" s="49">
        <f t="shared" si="2"/>
        <v>3.75</v>
      </c>
      <c r="FJ71" s="49">
        <f t="shared" si="2"/>
        <v>2.25</v>
      </c>
      <c r="FK71" s="49">
        <f t="shared" si="2"/>
        <v>1.5</v>
      </c>
      <c r="FL71" s="49">
        <f t="shared" si="2"/>
        <v>0</v>
      </c>
      <c r="FM71" s="49">
        <f t="shared" si="2"/>
        <v>0</v>
      </c>
      <c r="FN71" s="49">
        <f t="shared" si="2"/>
        <v>0</v>
      </c>
      <c r="FO71" s="49">
        <f t="shared" si="2"/>
        <v>0</v>
      </c>
      <c r="FP71" s="49">
        <f t="shared" si="2"/>
        <v>0</v>
      </c>
      <c r="FQ71" s="49">
        <f t="shared" si="2"/>
        <v>0</v>
      </c>
      <c r="FR71" s="49">
        <f t="shared" si="2"/>
        <v>0</v>
      </c>
      <c r="FS71" s="49">
        <f t="shared" si="2"/>
        <v>0</v>
      </c>
      <c r="FT71" s="49">
        <f t="shared" si="2"/>
        <v>0</v>
      </c>
      <c r="FU71" s="49">
        <f t="shared" si="2"/>
        <v>0</v>
      </c>
      <c r="FV71" s="49">
        <f t="shared" si="2"/>
        <v>0</v>
      </c>
      <c r="FW71" s="49">
        <f t="shared" si="2"/>
        <v>0</v>
      </c>
      <c r="FX71" s="49">
        <f t="shared" si="2"/>
        <v>0</v>
      </c>
      <c r="FY71" s="49">
        <f t="shared" si="2"/>
        <v>4</v>
      </c>
      <c r="FZ71" s="49">
        <f t="shared" si="2"/>
        <v>6.5</v>
      </c>
      <c r="GA71" s="49">
        <f t="shared" si="2"/>
        <v>3</v>
      </c>
      <c r="GB71" s="49">
        <f t="shared" si="2"/>
        <v>1</v>
      </c>
      <c r="GC71" s="49">
        <f t="shared" si="2"/>
        <v>4.5</v>
      </c>
      <c r="GD71" s="49">
        <f t="shared" si="2"/>
        <v>15.5</v>
      </c>
      <c r="GE71" s="49">
        <f t="shared" si="2"/>
        <v>1</v>
      </c>
      <c r="GF71" s="49">
        <f t="shared" si="2"/>
        <v>0</v>
      </c>
      <c r="GG71" s="49">
        <f t="shared" si="2"/>
        <v>0</v>
      </c>
      <c r="GH71" s="49">
        <f t="shared" si="2"/>
        <v>0</v>
      </c>
      <c r="GI71" s="49">
        <f t="shared" si="2"/>
        <v>0</v>
      </c>
      <c r="GJ71" s="49">
        <f t="shared" si="2"/>
        <v>0</v>
      </c>
      <c r="GK71" s="49">
        <f t="shared" si="2"/>
        <v>3.5</v>
      </c>
      <c r="GL71" s="49">
        <f t="shared" si="2"/>
        <v>1.5</v>
      </c>
      <c r="GM71" s="49">
        <f t="shared" si="2"/>
        <v>2</v>
      </c>
      <c r="GN71" s="49">
        <f t="shared" si="2"/>
        <v>9</v>
      </c>
      <c r="GO71" s="49">
        <f t="shared" si="2"/>
        <v>1</v>
      </c>
      <c r="GP71" s="49">
        <f t="shared" si="2"/>
        <v>1.75</v>
      </c>
      <c r="GQ71" s="49">
        <f t="shared" si="2"/>
        <v>0</v>
      </c>
      <c r="GR71" s="49">
        <f t="shared" si="2"/>
        <v>0</v>
      </c>
      <c r="GS71" s="49">
        <f t="shared" si="2"/>
        <v>1.25</v>
      </c>
      <c r="GT71" s="49">
        <f t="shared" si="2"/>
        <v>0.75</v>
      </c>
      <c r="GU71" s="49">
        <f t="shared" ref="GU71:JF71" si="3">GU72/4</f>
        <v>0</v>
      </c>
      <c r="GV71" s="49">
        <f t="shared" si="3"/>
        <v>1.5</v>
      </c>
      <c r="GW71" s="49">
        <f t="shared" si="3"/>
        <v>0</v>
      </c>
      <c r="GX71" s="49">
        <f t="shared" si="3"/>
        <v>0</v>
      </c>
      <c r="GY71" s="49">
        <f t="shared" si="3"/>
        <v>2.75</v>
      </c>
      <c r="GZ71" s="49">
        <f t="shared" si="3"/>
        <v>4.5</v>
      </c>
      <c r="HA71" s="49">
        <f t="shared" si="3"/>
        <v>3.75</v>
      </c>
      <c r="HB71" s="49">
        <f t="shared" si="3"/>
        <v>3</v>
      </c>
      <c r="HC71" s="49">
        <f t="shared" si="3"/>
        <v>0</v>
      </c>
      <c r="HD71" s="49">
        <f t="shared" si="3"/>
        <v>0</v>
      </c>
      <c r="HE71" s="49">
        <f t="shared" si="3"/>
        <v>0</v>
      </c>
      <c r="HF71" s="49">
        <f t="shared" si="3"/>
        <v>0</v>
      </c>
      <c r="HG71" s="49">
        <f t="shared" si="3"/>
        <v>0</v>
      </c>
      <c r="HH71" s="49">
        <f t="shared" si="3"/>
        <v>0</v>
      </c>
      <c r="HI71" s="49">
        <f t="shared" si="3"/>
        <v>0</v>
      </c>
      <c r="HJ71" s="49">
        <f t="shared" si="3"/>
        <v>0</v>
      </c>
      <c r="HK71" s="49">
        <f t="shared" si="3"/>
        <v>0</v>
      </c>
      <c r="HL71" s="49">
        <f t="shared" si="3"/>
        <v>0.25</v>
      </c>
      <c r="HM71" s="49">
        <f t="shared" si="3"/>
        <v>0</v>
      </c>
      <c r="HN71" s="49">
        <f t="shared" si="3"/>
        <v>0</v>
      </c>
      <c r="HO71" s="49">
        <f t="shared" si="3"/>
        <v>0</v>
      </c>
      <c r="HP71" s="49">
        <f t="shared" si="3"/>
        <v>0</v>
      </c>
      <c r="HQ71" s="49">
        <f t="shared" si="3"/>
        <v>1</v>
      </c>
      <c r="HR71" s="49">
        <f t="shared" si="3"/>
        <v>5</v>
      </c>
      <c r="HS71" s="49">
        <f t="shared" si="3"/>
        <v>2.5</v>
      </c>
      <c r="HT71" s="49">
        <f t="shared" si="3"/>
        <v>2</v>
      </c>
      <c r="HU71" s="49">
        <f t="shared" si="3"/>
        <v>4</v>
      </c>
      <c r="HV71" s="49">
        <f t="shared" si="3"/>
        <v>12</v>
      </c>
      <c r="HW71" s="49">
        <f t="shared" si="3"/>
        <v>0</v>
      </c>
      <c r="HX71" s="49">
        <f t="shared" si="3"/>
        <v>0</v>
      </c>
      <c r="HY71" s="49">
        <f t="shared" si="3"/>
        <v>0</v>
      </c>
      <c r="HZ71" s="49">
        <f t="shared" si="3"/>
        <v>0</v>
      </c>
      <c r="IA71" s="49">
        <f t="shared" si="3"/>
        <v>0</v>
      </c>
      <c r="IB71" s="49">
        <f t="shared" si="3"/>
        <v>0</v>
      </c>
      <c r="IC71" s="49">
        <f t="shared" si="3"/>
        <v>2</v>
      </c>
      <c r="ID71" s="49">
        <f t="shared" si="3"/>
        <v>0</v>
      </c>
      <c r="IE71" s="49">
        <f t="shared" si="3"/>
        <v>0</v>
      </c>
      <c r="IF71" s="49">
        <f t="shared" si="3"/>
        <v>2</v>
      </c>
      <c r="IG71" s="49">
        <f t="shared" si="3"/>
        <v>0</v>
      </c>
      <c r="IH71" s="49">
        <f t="shared" si="3"/>
        <v>0</v>
      </c>
      <c r="II71" s="49">
        <f t="shared" si="3"/>
        <v>0</v>
      </c>
      <c r="IJ71" s="49">
        <f t="shared" si="3"/>
        <v>0</v>
      </c>
      <c r="IK71" s="49">
        <f t="shared" si="3"/>
        <v>0</v>
      </c>
      <c r="IL71" s="49">
        <f t="shared" si="3"/>
        <v>0</v>
      </c>
      <c r="IM71" s="49">
        <f t="shared" si="3"/>
        <v>0</v>
      </c>
      <c r="IN71" s="49">
        <f t="shared" si="3"/>
        <v>0</v>
      </c>
      <c r="IO71" s="49">
        <f t="shared" si="3"/>
        <v>0</v>
      </c>
      <c r="IP71" s="49">
        <f t="shared" si="3"/>
        <v>0</v>
      </c>
      <c r="IQ71" s="49">
        <f t="shared" si="3"/>
        <v>0</v>
      </c>
      <c r="IR71" s="49">
        <f t="shared" si="3"/>
        <v>0</v>
      </c>
      <c r="IS71" s="49">
        <f t="shared" si="3"/>
        <v>5.25</v>
      </c>
      <c r="IT71" s="49">
        <f t="shared" si="3"/>
        <v>3.75</v>
      </c>
      <c r="IU71" s="49">
        <f t="shared" si="3"/>
        <v>1.5</v>
      </c>
      <c r="IV71" s="49">
        <f t="shared" si="3"/>
        <v>0</v>
      </c>
      <c r="IW71" s="49">
        <f t="shared" si="3"/>
        <v>0</v>
      </c>
      <c r="IX71" s="49">
        <f t="shared" si="3"/>
        <v>0</v>
      </c>
      <c r="IY71" s="49">
        <f t="shared" si="3"/>
        <v>0</v>
      </c>
      <c r="IZ71" s="49">
        <f t="shared" si="3"/>
        <v>0</v>
      </c>
      <c r="JA71" s="49">
        <f t="shared" si="3"/>
        <v>0</v>
      </c>
      <c r="JB71" s="49">
        <f t="shared" si="3"/>
        <v>0</v>
      </c>
      <c r="JC71" s="49">
        <f t="shared" si="3"/>
        <v>0</v>
      </c>
      <c r="JD71" s="49">
        <f t="shared" si="3"/>
        <v>0</v>
      </c>
      <c r="JE71" s="49">
        <f t="shared" si="3"/>
        <v>0</v>
      </c>
      <c r="JF71" s="49">
        <f t="shared" si="3"/>
        <v>0</v>
      </c>
      <c r="JG71" s="49">
        <f t="shared" ref="JG71:LE71" si="4">JG72/4</f>
        <v>0</v>
      </c>
      <c r="JH71" s="49">
        <f t="shared" si="4"/>
        <v>0</v>
      </c>
      <c r="JI71" s="49">
        <f t="shared" si="4"/>
        <v>2</v>
      </c>
      <c r="JJ71" s="49">
        <f t="shared" si="4"/>
        <v>2</v>
      </c>
      <c r="JK71" s="49">
        <f t="shared" si="4"/>
        <v>2</v>
      </c>
      <c r="JL71" s="49">
        <f t="shared" si="4"/>
        <v>2</v>
      </c>
      <c r="JM71" s="49">
        <f t="shared" si="4"/>
        <v>2</v>
      </c>
      <c r="JN71" s="49">
        <f t="shared" si="4"/>
        <v>8</v>
      </c>
      <c r="JO71" s="49">
        <f t="shared" si="4"/>
        <v>0</v>
      </c>
      <c r="JP71" s="49">
        <f t="shared" si="4"/>
        <v>0</v>
      </c>
      <c r="JQ71" s="49">
        <f t="shared" si="4"/>
        <v>0</v>
      </c>
      <c r="JR71" s="49">
        <f t="shared" si="4"/>
        <v>0</v>
      </c>
      <c r="JS71" s="49">
        <f t="shared" si="4"/>
        <v>0</v>
      </c>
      <c r="JT71" s="49">
        <f t="shared" si="4"/>
        <v>0</v>
      </c>
      <c r="JU71" s="49">
        <f t="shared" si="4"/>
        <v>0</v>
      </c>
      <c r="JV71" s="49">
        <f t="shared" si="4"/>
        <v>0</v>
      </c>
      <c r="JW71" s="49">
        <f t="shared" si="4"/>
        <v>0</v>
      </c>
      <c r="JX71" s="49">
        <f t="shared" si="4"/>
        <v>0</v>
      </c>
      <c r="JY71" s="49">
        <f t="shared" si="4"/>
        <v>0</v>
      </c>
      <c r="JZ71" s="49">
        <f t="shared" si="4"/>
        <v>0</v>
      </c>
      <c r="KA71" s="49">
        <f t="shared" si="4"/>
        <v>0</v>
      </c>
      <c r="KB71" s="49">
        <f t="shared" si="4"/>
        <v>0</v>
      </c>
      <c r="KC71" s="49">
        <f t="shared" si="4"/>
        <v>0</v>
      </c>
      <c r="KD71" s="49">
        <f t="shared" si="4"/>
        <v>0</v>
      </c>
      <c r="KE71" s="49">
        <f t="shared" si="4"/>
        <v>0</v>
      </c>
      <c r="KF71" s="49">
        <f t="shared" si="4"/>
        <v>0</v>
      </c>
      <c r="KG71" s="49">
        <f t="shared" si="4"/>
        <v>0</v>
      </c>
      <c r="KH71" s="49">
        <f t="shared" si="4"/>
        <v>0</v>
      </c>
      <c r="KI71" s="49">
        <f t="shared" si="4"/>
        <v>0</v>
      </c>
      <c r="KJ71" s="49">
        <f t="shared" si="4"/>
        <v>2.25</v>
      </c>
      <c r="KK71" s="49">
        <f t="shared" si="4"/>
        <v>1.5</v>
      </c>
      <c r="KL71" s="49">
        <f t="shared" si="4"/>
        <v>0</v>
      </c>
      <c r="KM71" s="49">
        <f t="shared" si="4"/>
        <v>0</v>
      </c>
      <c r="KN71" s="49">
        <f t="shared" si="4"/>
        <v>0</v>
      </c>
      <c r="KO71" s="49">
        <f t="shared" si="4"/>
        <v>0</v>
      </c>
      <c r="KP71" s="49">
        <f t="shared" si="4"/>
        <v>0</v>
      </c>
      <c r="KQ71" s="49">
        <f t="shared" si="4"/>
        <v>0</v>
      </c>
      <c r="KR71" s="49">
        <f t="shared" si="4"/>
        <v>0</v>
      </c>
      <c r="KS71" s="49">
        <f t="shared" si="4"/>
        <v>0</v>
      </c>
      <c r="KT71" s="49">
        <f t="shared" si="4"/>
        <v>0</v>
      </c>
      <c r="KU71" s="49">
        <f t="shared" si="4"/>
        <v>0</v>
      </c>
      <c r="KV71" s="49">
        <f t="shared" si="4"/>
        <v>0</v>
      </c>
      <c r="KW71" s="49">
        <f t="shared" si="4"/>
        <v>0</v>
      </c>
      <c r="KX71" s="49">
        <f t="shared" si="4"/>
        <v>0</v>
      </c>
      <c r="KY71" s="49">
        <f t="shared" si="4"/>
        <v>0</v>
      </c>
      <c r="KZ71" s="49">
        <f t="shared" si="4"/>
        <v>0</v>
      </c>
      <c r="LA71" s="49">
        <f t="shared" si="4"/>
        <v>1</v>
      </c>
      <c r="LB71" s="49">
        <f t="shared" si="4"/>
        <v>2</v>
      </c>
      <c r="LC71" s="49">
        <f t="shared" si="4"/>
        <v>1</v>
      </c>
      <c r="LD71" s="49">
        <f t="shared" si="4"/>
        <v>2</v>
      </c>
      <c r="LE71" s="49">
        <f t="shared" si="4"/>
        <v>1</v>
      </c>
      <c r="LF71" s="245">
        <f>SUM(F71:LE71)</f>
        <v>373.5</v>
      </c>
    </row>
    <row r="72" spans="2:318" ht="10.5" customHeight="1">
      <c r="F72" s="49">
        <f t="shared" ref="F72:BR72" si="5">COUNTA(F7:F70)</f>
        <v>62</v>
      </c>
      <c r="G72" s="49">
        <f t="shared" si="5"/>
        <v>3</v>
      </c>
      <c r="H72" s="49">
        <f t="shared" si="5"/>
        <v>0</v>
      </c>
      <c r="I72" s="49">
        <f t="shared" si="5"/>
        <v>0</v>
      </c>
      <c r="J72" s="49">
        <f t="shared" si="5"/>
        <v>0</v>
      </c>
      <c r="K72" s="49">
        <f t="shared" si="5"/>
        <v>0</v>
      </c>
      <c r="L72" s="49">
        <f t="shared" si="5"/>
        <v>0</v>
      </c>
      <c r="M72" s="49">
        <f t="shared" si="5"/>
        <v>0</v>
      </c>
      <c r="N72" s="49">
        <f t="shared" si="5"/>
        <v>0</v>
      </c>
      <c r="O72" s="49">
        <f t="shared" si="5"/>
        <v>0</v>
      </c>
      <c r="P72" s="49">
        <f t="shared" si="5"/>
        <v>6</v>
      </c>
      <c r="Q72" s="49">
        <f t="shared" si="5"/>
        <v>10</v>
      </c>
      <c r="R72" s="49">
        <f t="shared" si="5"/>
        <v>0</v>
      </c>
      <c r="S72" s="49">
        <f t="shared" si="5"/>
        <v>0</v>
      </c>
      <c r="T72" s="49">
        <f t="shared" si="5"/>
        <v>0</v>
      </c>
      <c r="U72" s="49">
        <f t="shared" si="5"/>
        <v>14</v>
      </c>
      <c r="W72" s="49">
        <f t="shared" si="5"/>
        <v>12</v>
      </c>
      <c r="X72" s="49">
        <f t="shared" si="5"/>
        <v>0</v>
      </c>
      <c r="Y72" s="49">
        <f t="shared" si="5"/>
        <v>10</v>
      </c>
      <c r="Z72" s="49">
        <f t="shared" si="5"/>
        <v>8</v>
      </c>
      <c r="AA72" s="49">
        <f t="shared" si="5"/>
        <v>0</v>
      </c>
      <c r="AB72" s="49">
        <f t="shared" si="5"/>
        <v>10</v>
      </c>
      <c r="AC72" s="49">
        <f t="shared" si="5"/>
        <v>18</v>
      </c>
      <c r="AD72" s="49">
        <f t="shared" si="5"/>
        <v>15</v>
      </c>
      <c r="AE72" s="49">
        <f t="shared" si="5"/>
        <v>0</v>
      </c>
      <c r="AF72" s="49">
        <f t="shared" si="5"/>
        <v>0</v>
      </c>
      <c r="AG72" s="49">
        <f t="shared" si="5"/>
        <v>0</v>
      </c>
      <c r="AH72" s="49">
        <f t="shared" si="5"/>
        <v>0</v>
      </c>
      <c r="AI72" s="49">
        <f t="shared" si="5"/>
        <v>0</v>
      </c>
      <c r="AJ72" s="49">
        <f t="shared" si="5"/>
        <v>0</v>
      </c>
      <c r="AK72" s="49">
        <f t="shared" si="5"/>
        <v>0</v>
      </c>
      <c r="AL72" s="49">
        <f t="shared" si="5"/>
        <v>0</v>
      </c>
      <c r="AM72" s="49">
        <f t="shared" si="5"/>
        <v>0</v>
      </c>
      <c r="AN72" s="49">
        <f t="shared" si="5"/>
        <v>0</v>
      </c>
      <c r="AO72" s="49">
        <f t="shared" si="5"/>
        <v>3</v>
      </c>
      <c r="AP72" s="49">
        <f t="shared" si="5"/>
        <v>0</v>
      </c>
      <c r="AQ72" s="49">
        <f t="shared" si="5"/>
        <v>0</v>
      </c>
      <c r="AR72" s="49">
        <f t="shared" si="5"/>
        <v>0</v>
      </c>
      <c r="AS72" s="49">
        <f t="shared" si="5"/>
        <v>0</v>
      </c>
      <c r="AT72" s="49">
        <f t="shared" si="5"/>
        <v>6</v>
      </c>
      <c r="AU72" s="49">
        <f t="shared" si="5"/>
        <v>30</v>
      </c>
      <c r="AV72" s="49">
        <f t="shared" si="5"/>
        <v>8</v>
      </c>
      <c r="AW72" s="49">
        <f t="shared" si="5"/>
        <v>12</v>
      </c>
      <c r="AX72" s="49">
        <f t="shared" si="5"/>
        <v>16</v>
      </c>
      <c r="AY72" s="49">
        <f t="shared" si="5"/>
        <v>62</v>
      </c>
      <c r="AZ72" s="49">
        <f t="shared" si="5"/>
        <v>8</v>
      </c>
      <c r="BA72" s="49">
        <f t="shared" si="5"/>
        <v>2</v>
      </c>
      <c r="BB72" s="49">
        <f t="shared" si="5"/>
        <v>0</v>
      </c>
      <c r="BC72" s="49">
        <f t="shared" si="5"/>
        <v>0</v>
      </c>
      <c r="BD72" s="49">
        <f t="shared" si="5"/>
        <v>0</v>
      </c>
      <c r="BE72" s="49">
        <f t="shared" si="5"/>
        <v>0</v>
      </c>
      <c r="BF72" s="49">
        <f t="shared" si="5"/>
        <v>8</v>
      </c>
      <c r="BG72" s="49">
        <f t="shared" si="5"/>
        <v>2</v>
      </c>
      <c r="BH72" s="49">
        <f t="shared" si="5"/>
        <v>2</v>
      </c>
      <c r="BI72" s="49">
        <f t="shared" si="5"/>
        <v>6</v>
      </c>
      <c r="BJ72" s="49">
        <f t="shared" si="5"/>
        <v>4</v>
      </c>
      <c r="BK72" s="49">
        <f t="shared" si="5"/>
        <v>0</v>
      </c>
      <c r="BL72" s="49">
        <f t="shared" si="5"/>
        <v>0</v>
      </c>
      <c r="BM72" s="49">
        <f t="shared" si="5"/>
        <v>0</v>
      </c>
      <c r="BN72" s="49">
        <f t="shared" si="5"/>
        <v>11</v>
      </c>
      <c r="BO72" s="49">
        <f t="shared" si="5"/>
        <v>10</v>
      </c>
      <c r="BP72" s="49">
        <f t="shared" si="5"/>
        <v>0</v>
      </c>
      <c r="BQ72" s="49">
        <f t="shared" si="5"/>
        <v>4</v>
      </c>
      <c r="BR72" s="49">
        <f t="shared" si="5"/>
        <v>9</v>
      </c>
      <c r="BS72" s="49">
        <f t="shared" ref="BS72:EG72" si="6">COUNTA(BS7:BS70)</f>
        <v>0</v>
      </c>
      <c r="BT72" s="49">
        <f t="shared" si="6"/>
        <v>10</v>
      </c>
      <c r="BU72" s="49">
        <f t="shared" si="6"/>
        <v>18</v>
      </c>
      <c r="BV72" s="49">
        <f t="shared" si="6"/>
        <v>6</v>
      </c>
      <c r="BW72" s="49">
        <f t="shared" si="6"/>
        <v>6</v>
      </c>
      <c r="BX72" s="49">
        <f t="shared" si="6"/>
        <v>0</v>
      </c>
      <c r="BY72" s="49">
        <f t="shared" si="6"/>
        <v>0</v>
      </c>
      <c r="BZ72" s="49">
        <f t="shared" si="6"/>
        <v>0</v>
      </c>
      <c r="CA72" s="49">
        <f t="shared" si="6"/>
        <v>0</v>
      </c>
      <c r="CB72" s="49">
        <f t="shared" si="6"/>
        <v>0</v>
      </c>
      <c r="CC72" s="49">
        <f t="shared" si="6"/>
        <v>0</v>
      </c>
      <c r="CD72" s="49">
        <f t="shared" si="6"/>
        <v>0</v>
      </c>
      <c r="CE72" s="49">
        <f t="shared" si="6"/>
        <v>0</v>
      </c>
      <c r="CF72" s="49">
        <f t="shared" si="6"/>
        <v>0</v>
      </c>
      <c r="CG72" s="49">
        <f t="shared" si="6"/>
        <v>2</v>
      </c>
      <c r="CH72" s="49">
        <f t="shared" si="6"/>
        <v>0</v>
      </c>
      <c r="CI72" s="49">
        <f t="shared" si="6"/>
        <v>0</v>
      </c>
      <c r="CJ72" s="49">
        <f t="shared" si="6"/>
        <v>0</v>
      </c>
      <c r="CK72" s="49">
        <f t="shared" si="6"/>
        <v>0</v>
      </c>
      <c r="CL72" s="49">
        <f t="shared" si="6"/>
        <v>12</v>
      </c>
      <c r="CM72" s="49">
        <f t="shared" si="6"/>
        <v>20</v>
      </c>
      <c r="CN72" s="49">
        <f t="shared" si="6"/>
        <v>22</v>
      </c>
      <c r="CO72" s="49">
        <f t="shared" si="6"/>
        <v>12</v>
      </c>
      <c r="CP72" s="49">
        <f t="shared" si="6"/>
        <v>26</v>
      </c>
      <c r="CQ72" s="49">
        <f t="shared" si="6"/>
        <v>62</v>
      </c>
      <c r="CR72" s="49">
        <f t="shared" si="6"/>
        <v>4</v>
      </c>
      <c r="CS72" s="49">
        <f t="shared" si="6"/>
        <v>1</v>
      </c>
      <c r="CT72" s="49">
        <f t="shared" si="6"/>
        <v>0</v>
      </c>
      <c r="CU72" s="49">
        <f t="shared" si="6"/>
        <v>0</v>
      </c>
      <c r="CV72" s="49">
        <f t="shared" si="6"/>
        <v>0</v>
      </c>
      <c r="CW72" s="49">
        <f t="shared" si="6"/>
        <v>0</v>
      </c>
      <c r="CX72" s="49">
        <f t="shared" si="6"/>
        <v>4</v>
      </c>
      <c r="CY72" s="49">
        <f t="shared" si="6"/>
        <v>0</v>
      </c>
      <c r="CZ72" s="49">
        <f t="shared" si="6"/>
        <v>0</v>
      </c>
      <c r="DA72" s="49">
        <f t="shared" si="6"/>
        <v>6</v>
      </c>
      <c r="DB72" s="49">
        <f t="shared" si="6"/>
        <v>10</v>
      </c>
      <c r="DC72" s="49">
        <f t="shared" si="6"/>
        <v>4</v>
      </c>
      <c r="DD72" s="49">
        <f t="shared" si="6"/>
        <v>1</v>
      </c>
      <c r="DE72" s="49">
        <f t="shared" si="6"/>
        <v>1</v>
      </c>
      <c r="DF72" s="49">
        <f t="shared" si="6"/>
        <v>9</v>
      </c>
      <c r="DG72" s="49">
        <f t="shared" si="6"/>
        <v>3</v>
      </c>
      <c r="DH72" s="49">
        <f t="shared" si="6"/>
        <v>1</v>
      </c>
      <c r="DI72" s="49">
        <f t="shared" si="6"/>
        <v>6</v>
      </c>
      <c r="DM72" s="49">
        <f t="shared" si="6"/>
        <v>8</v>
      </c>
      <c r="DN72" s="49">
        <f t="shared" si="6"/>
        <v>2</v>
      </c>
      <c r="DO72" s="49">
        <f t="shared" si="6"/>
        <v>10</v>
      </c>
      <c r="DP72" s="49">
        <f t="shared" si="6"/>
        <v>15</v>
      </c>
      <c r="DQ72" s="49">
        <f t="shared" si="6"/>
        <v>15</v>
      </c>
      <c r="DR72" s="49">
        <f t="shared" si="6"/>
        <v>18</v>
      </c>
      <c r="DS72" s="49">
        <f t="shared" si="6"/>
        <v>6</v>
      </c>
      <c r="DT72" s="49">
        <f t="shared" si="6"/>
        <v>9</v>
      </c>
      <c r="DU72" s="49">
        <f t="shared" si="6"/>
        <v>0</v>
      </c>
      <c r="DV72" s="49">
        <f t="shared" si="6"/>
        <v>0</v>
      </c>
      <c r="DW72" s="49">
        <f t="shared" si="6"/>
        <v>0</v>
      </c>
      <c r="DX72" s="49">
        <f t="shared" si="6"/>
        <v>0</v>
      </c>
      <c r="DY72" s="49">
        <f t="shared" si="6"/>
        <v>0</v>
      </c>
      <c r="DZ72" s="49">
        <f t="shared" si="6"/>
        <v>0</v>
      </c>
      <c r="EA72" s="49">
        <f t="shared" si="6"/>
        <v>0</v>
      </c>
      <c r="EB72" s="49">
        <f t="shared" si="6"/>
        <v>1</v>
      </c>
      <c r="EC72" s="49">
        <f t="shared" si="6"/>
        <v>0</v>
      </c>
      <c r="ED72" s="49">
        <f t="shared" si="6"/>
        <v>0</v>
      </c>
      <c r="EE72" s="49">
        <f t="shared" si="6"/>
        <v>0</v>
      </c>
      <c r="EF72" s="49">
        <f t="shared" si="6"/>
        <v>0</v>
      </c>
      <c r="EG72" s="49">
        <f t="shared" si="6"/>
        <v>12</v>
      </c>
      <c r="EH72" s="49">
        <f t="shared" ref="EH72:GS72" si="7">COUNTA(EH7:EH70)</f>
        <v>22</v>
      </c>
      <c r="EI72" s="49">
        <f t="shared" si="7"/>
        <v>16</v>
      </c>
      <c r="EJ72" s="49">
        <f t="shared" si="7"/>
        <v>12</v>
      </c>
      <c r="EK72" s="49">
        <f t="shared" si="7"/>
        <v>16</v>
      </c>
      <c r="EL72" s="49">
        <f t="shared" si="7"/>
        <v>62</v>
      </c>
      <c r="EM72" s="49">
        <f t="shared" si="7"/>
        <v>5</v>
      </c>
      <c r="EN72" s="49">
        <f t="shared" si="7"/>
        <v>0</v>
      </c>
      <c r="EO72" s="49">
        <f t="shared" si="7"/>
        <v>0</v>
      </c>
      <c r="EP72" s="49">
        <f t="shared" si="7"/>
        <v>0</v>
      </c>
      <c r="EQ72" s="49">
        <f t="shared" si="7"/>
        <v>0</v>
      </c>
      <c r="ER72" s="49">
        <f t="shared" si="7"/>
        <v>0</v>
      </c>
      <c r="ES72" s="49">
        <f t="shared" si="7"/>
        <v>0</v>
      </c>
      <c r="ET72" s="49">
        <f t="shared" si="7"/>
        <v>8</v>
      </c>
      <c r="EU72" s="49">
        <f t="shared" si="7"/>
        <v>0</v>
      </c>
      <c r="EV72" s="49">
        <f t="shared" si="7"/>
        <v>0</v>
      </c>
      <c r="EW72" s="49">
        <f t="shared" si="7"/>
        <v>4</v>
      </c>
      <c r="EX72" s="49">
        <f t="shared" si="7"/>
        <v>0</v>
      </c>
      <c r="EY72" s="49">
        <f t="shared" si="7"/>
        <v>0</v>
      </c>
      <c r="EZ72" s="49">
        <f t="shared" si="7"/>
        <v>0</v>
      </c>
      <c r="FA72" s="49">
        <f t="shared" si="7"/>
        <v>12</v>
      </c>
      <c r="FB72" s="49">
        <f t="shared" si="7"/>
        <v>2</v>
      </c>
      <c r="FC72" s="49">
        <f t="shared" si="7"/>
        <v>2</v>
      </c>
      <c r="FD72" s="49">
        <f t="shared" si="7"/>
        <v>5</v>
      </c>
      <c r="FE72" s="49">
        <f t="shared" si="7"/>
        <v>4</v>
      </c>
      <c r="FF72" s="49">
        <f t="shared" si="7"/>
        <v>3</v>
      </c>
      <c r="FG72" s="49">
        <f t="shared" si="7"/>
        <v>2</v>
      </c>
      <c r="FH72" s="49">
        <f t="shared" si="7"/>
        <v>18</v>
      </c>
      <c r="FI72" s="49">
        <f t="shared" si="7"/>
        <v>15</v>
      </c>
      <c r="FJ72" s="49">
        <f t="shared" si="7"/>
        <v>9</v>
      </c>
      <c r="FK72" s="49">
        <f t="shared" si="7"/>
        <v>6</v>
      </c>
      <c r="FL72" s="49">
        <f t="shared" si="7"/>
        <v>0</v>
      </c>
      <c r="FM72" s="49">
        <f t="shared" si="7"/>
        <v>0</v>
      </c>
      <c r="FN72" s="49">
        <f t="shared" si="7"/>
        <v>0</v>
      </c>
      <c r="FO72" s="49">
        <f t="shared" si="7"/>
        <v>0</v>
      </c>
      <c r="FP72" s="49">
        <f t="shared" si="7"/>
        <v>0</v>
      </c>
      <c r="FQ72" s="49">
        <f t="shared" si="7"/>
        <v>0</v>
      </c>
      <c r="FR72" s="49">
        <f t="shared" si="7"/>
        <v>0</v>
      </c>
      <c r="FS72" s="49">
        <f t="shared" si="7"/>
        <v>0</v>
      </c>
      <c r="FT72" s="49">
        <f t="shared" si="7"/>
        <v>0</v>
      </c>
      <c r="FU72" s="49">
        <f t="shared" si="7"/>
        <v>0</v>
      </c>
      <c r="FV72" s="49">
        <f t="shared" si="7"/>
        <v>0</v>
      </c>
      <c r="FW72" s="49">
        <f t="shared" si="7"/>
        <v>0</v>
      </c>
      <c r="FX72" s="49">
        <f t="shared" si="7"/>
        <v>0</v>
      </c>
      <c r="FY72" s="49">
        <f t="shared" si="7"/>
        <v>16</v>
      </c>
      <c r="FZ72" s="49">
        <f t="shared" si="7"/>
        <v>26</v>
      </c>
      <c r="GA72" s="49">
        <f t="shared" si="7"/>
        <v>12</v>
      </c>
      <c r="GB72" s="49">
        <f t="shared" si="7"/>
        <v>4</v>
      </c>
      <c r="GC72" s="49">
        <f t="shared" si="7"/>
        <v>18</v>
      </c>
      <c r="GD72" s="49">
        <f t="shared" si="7"/>
        <v>62</v>
      </c>
      <c r="GE72" s="49">
        <f t="shared" si="7"/>
        <v>4</v>
      </c>
      <c r="GF72" s="49">
        <f t="shared" si="7"/>
        <v>0</v>
      </c>
      <c r="GG72" s="49">
        <f t="shared" si="7"/>
        <v>0</v>
      </c>
      <c r="GH72" s="49">
        <f t="shared" si="7"/>
        <v>0</v>
      </c>
      <c r="GI72" s="49">
        <f t="shared" si="7"/>
        <v>0</v>
      </c>
      <c r="GJ72" s="49">
        <f t="shared" si="7"/>
        <v>0</v>
      </c>
      <c r="GK72" s="49">
        <f t="shared" si="7"/>
        <v>14</v>
      </c>
      <c r="GL72" s="49">
        <f t="shared" si="7"/>
        <v>6</v>
      </c>
      <c r="GM72" s="49">
        <f t="shared" si="7"/>
        <v>8</v>
      </c>
      <c r="GN72" s="49">
        <f t="shared" si="7"/>
        <v>36</v>
      </c>
      <c r="GO72" s="49">
        <f t="shared" si="7"/>
        <v>4</v>
      </c>
      <c r="GP72" s="49">
        <f t="shared" si="7"/>
        <v>7</v>
      </c>
      <c r="GQ72" s="49">
        <f t="shared" si="7"/>
        <v>0</v>
      </c>
      <c r="GR72" s="49">
        <f t="shared" si="7"/>
        <v>0</v>
      </c>
      <c r="GS72" s="49">
        <f t="shared" si="7"/>
        <v>5</v>
      </c>
      <c r="GT72" s="49">
        <f t="shared" ref="GT72:JF72" si="8">COUNTA(GT7:GT70)</f>
        <v>3</v>
      </c>
      <c r="GU72" s="49">
        <f t="shared" si="8"/>
        <v>0</v>
      </c>
      <c r="GV72" s="49">
        <f t="shared" si="8"/>
        <v>6</v>
      </c>
      <c r="GW72" s="49">
        <f t="shared" si="8"/>
        <v>0</v>
      </c>
      <c r="GX72" s="49">
        <f t="shared" si="8"/>
        <v>0</v>
      </c>
      <c r="GY72" s="49">
        <f t="shared" si="8"/>
        <v>11</v>
      </c>
      <c r="GZ72" s="49">
        <f t="shared" si="8"/>
        <v>18</v>
      </c>
      <c r="HA72" s="49">
        <f t="shared" si="8"/>
        <v>15</v>
      </c>
      <c r="HB72" s="49">
        <f t="shared" si="8"/>
        <v>12</v>
      </c>
      <c r="HC72" s="49">
        <f t="shared" si="8"/>
        <v>0</v>
      </c>
      <c r="HD72" s="49">
        <f t="shared" si="8"/>
        <v>0</v>
      </c>
      <c r="HE72" s="49">
        <f t="shared" si="8"/>
        <v>0</v>
      </c>
      <c r="HF72" s="49">
        <f t="shared" si="8"/>
        <v>0</v>
      </c>
      <c r="HG72" s="49">
        <f t="shared" si="8"/>
        <v>0</v>
      </c>
      <c r="HH72" s="49">
        <f t="shared" si="8"/>
        <v>0</v>
      </c>
      <c r="HI72" s="49">
        <f t="shared" si="8"/>
        <v>0</v>
      </c>
      <c r="HJ72" s="49">
        <f t="shared" si="8"/>
        <v>0</v>
      </c>
      <c r="HK72" s="49">
        <f t="shared" si="8"/>
        <v>0</v>
      </c>
      <c r="HL72" s="49">
        <f t="shared" si="8"/>
        <v>1</v>
      </c>
      <c r="HM72" s="49">
        <f t="shared" si="8"/>
        <v>0</v>
      </c>
      <c r="HN72" s="49">
        <f t="shared" si="8"/>
        <v>0</v>
      </c>
      <c r="HO72" s="49">
        <f t="shared" si="8"/>
        <v>0</v>
      </c>
      <c r="HP72" s="49">
        <f t="shared" si="8"/>
        <v>0</v>
      </c>
      <c r="HQ72" s="49">
        <f t="shared" si="8"/>
        <v>4</v>
      </c>
      <c r="HR72" s="49">
        <f t="shared" si="8"/>
        <v>20</v>
      </c>
      <c r="HS72" s="49">
        <f t="shared" si="8"/>
        <v>10</v>
      </c>
      <c r="HT72" s="49">
        <f t="shared" si="8"/>
        <v>8</v>
      </c>
      <c r="HU72" s="49">
        <f t="shared" si="8"/>
        <v>16</v>
      </c>
      <c r="HV72" s="49">
        <f t="shared" si="8"/>
        <v>48</v>
      </c>
      <c r="HW72" s="49">
        <f t="shared" si="8"/>
        <v>0</v>
      </c>
      <c r="HX72" s="49">
        <f t="shared" si="8"/>
        <v>0</v>
      </c>
      <c r="HY72" s="49">
        <f t="shared" si="8"/>
        <v>0</v>
      </c>
      <c r="HZ72" s="49">
        <f t="shared" si="8"/>
        <v>0</v>
      </c>
      <c r="IA72" s="49">
        <f t="shared" si="8"/>
        <v>0</v>
      </c>
      <c r="IB72" s="49">
        <f t="shared" si="8"/>
        <v>0</v>
      </c>
      <c r="IC72" s="49">
        <f t="shared" si="8"/>
        <v>8</v>
      </c>
      <c r="ID72" s="49">
        <f t="shared" si="8"/>
        <v>0</v>
      </c>
      <c r="IE72" s="49">
        <f t="shared" si="8"/>
        <v>0</v>
      </c>
      <c r="IF72" s="49">
        <f t="shared" si="8"/>
        <v>8</v>
      </c>
      <c r="IG72" s="49">
        <f t="shared" si="8"/>
        <v>0</v>
      </c>
      <c r="IH72" s="49">
        <f t="shared" si="8"/>
        <v>0</v>
      </c>
      <c r="II72" s="49">
        <f t="shared" si="8"/>
        <v>0</v>
      </c>
      <c r="IJ72" s="49">
        <f t="shared" si="8"/>
        <v>0</v>
      </c>
      <c r="IK72" s="49">
        <f t="shared" si="8"/>
        <v>0</v>
      </c>
      <c r="IL72" s="49">
        <f t="shared" si="8"/>
        <v>0</v>
      </c>
      <c r="IM72" s="49">
        <f t="shared" si="8"/>
        <v>0</v>
      </c>
      <c r="IN72" s="49">
        <f t="shared" si="8"/>
        <v>0</v>
      </c>
      <c r="IO72" s="49">
        <f t="shared" si="8"/>
        <v>0</v>
      </c>
      <c r="IP72" s="49">
        <f t="shared" si="8"/>
        <v>0</v>
      </c>
      <c r="IQ72" s="49">
        <f t="shared" si="8"/>
        <v>0</v>
      </c>
      <c r="IR72" s="49">
        <f t="shared" si="8"/>
        <v>0</v>
      </c>
      <c r="IS72" s="49">
        <f t="shared" si="8"/>
        <v>21</v>
      </c>
      <c r="IT72" s="49">
        <f t="shared" si="8"/>
        <v>15</v>
      </c>
      <c r="IU72" s="49">
        <f t="shared" si="8"/>
        <v>6</v>
      </c>
      <c r="IV72" s="49">
        <f t="shared" si="8"/>
        <v>0</v>
      </c>
      <c r="IW72" s="49">
        <f t="shared" si="8"/>
        <v>0</v>
      </c>
      <c r="IX72" s="49">
        <f t="shared" si="8"/>
        <v>0</v>
      </c>
      <c r="IY72" s="49">
        <f t="shared" si="8"/>
        <v>0</v>
      </c>
      <c r="IZ72" s="49">
        <f t="shared" si="8"/>
        <v>0</v>
      </c>
      <c r="JA72" s="49">
        <f t="shared" si="8"/>
        <v>0</v>
      </c>
      <c r="JB72" s="49">
        <f t="shared" si="8"/>
        <v>0</v>
      </c>
      <c r="JC72" s="49">
        <f t="shared" si="8"/>
        <v>0</v>
      </c>
      <c r="JD72" s="49">
        <f t="shared" si="8"/>
        <v>0</v>
      </c>
      <c r="JE72" s="49">
        <f t="shared" si="8"/>
        <v>0</v>
      </c>
      <c r="JF72" s="49">
        <f t="shared" si="8"/>
        <v>0</v>
      </c>
      <c r="JG72" s="49">
        <f t="shared" ref="JG72:LE72" si="9">COUNTA(JG7:JG70)</f>
        <v>0</v>
      </c>
      <c r="JH72" s="49">
        <f t="shared" si="9"/>
        <v>0</v>
      </c>
      <c r="JI72" s="49">
        <f t="shared" si="9"/>
        <v>8</v>
      </c>
      <c r="JJ72" s="49">
        <f t="shared" si="9"/>
        <v>8</v>
      </c>
      <c r="JK72" s="49">
        <f t="shared" si="9"/>
        <v>8</v>
      </c>
      <c r="JL72" s="49">
        <f t="shared" si="9"/>
        <v>8</v>
      </c>
      <c r="JM72" s="49">
        <f t="shared" si="9"/>
        <v>8</v>
      </c>
      <c r="JN72" s="49">
        <f t="shared" si="9"/>
        <v>32</v>
      </c>
      <c r="JO72" s="49">
        <f t="shared" si="9"/>
        <v>0</v>
      </c>
      <c r="JP72" s="49">
        <f t="shared" si="9"/>
        <v>0</v>
      </c>
      <c r="JQ72" s="49">
        <f t="shared" si="9"/>
        <v>0</v>
      </c>
      <c r="JR72" s="49">
        <f t="shared" si="9"/>
        <v>0</v>
      </c>
      <c r="JS72" s="49">
        <f t="shared" si="9"/>
        <v>0</v>
      </c>
      <c r="JT72" s="49">
        <f t="shared" si="9"/>
        <v>0</v>
      </c>
      <c r="JU72" s="49">
        <f t="shared" si="9"/>
        <v>0</v>
      </c>
      <c r="JV72" s="49">
        <f t="shared" si="9"/>
        <v>0</v>
      </c>
      <c r="JW72" s="49">
        <f t="shared" si="9"/>
        <v>0</v>
      </c>
      <c r="JX72" s="49">
        <f t="shared" si="9"/>
        <v>0</v>
      </c>
      <c r="JY72" s="49">
        <f t="shared" si="9"/>
        <v>0</v>
      </c>
      <c r="JZ72" s="49">
        <f t="shared" si="9"/>
        <v>0</v>
      </c>
      <c r="KA72" s="49">
        <f t="shared" si="9"/>
        <v>0</v>
      </c>
      <c r="KB72" s="49">
        <f t="shared" si="9"/>
        <v>0</v>
      </c>
      <c r="KC72" s="49">
        <f t="shared" si="9"/>
        <v>0</v>
      </c>
      <c r="KD72" s="49">
        <f t="shared" si="9"/>
        <v>0</v>
      </c>
      <c r="KE72" s="49">
        <f t="shared" si="9"/>
        <v>0</v>
      </c>
      <c r="KF72" s="49">
        <f t="shared" si="9"/>
        <v>0</v>
      </c>
      <c r="KG72" s="49">
        <f t="shared" si="9"/>
        <v>0</v>
      </c>
      <c r="KH72" s="49">
        <f t="shared" si="9"/>
        <v>0</v>
      </c>
      <c r="KI72" s="49">
        <f t="shared" si="9"/>
        <v>0</v>
      </c>
      <c r="KJ72" s="49">
        <f t="shared" si="9"/>
        <v>9</v>
      </c>
      <c r="KK72" s="49">
        <f t="shared" si="9"/>
        <v>6</v>
      </c>
      <c r="KL72" s="49">
        <f t="shared" si="9"/>
        <v>0</v>
      </c>
      <c r="KM72" s="49">
        <f t="shared" si="9"/>
        <v>0</v>
      </c>
      <c r="KN72" s="49">
        <f t="shared" si="9"/>
        <v>0</v>
      </c>
      <c r="KO72" s="49">
        <f t="shared" si="9"/>
        <v>0</v>
      </c>
      <c r="KP72" s="49">
        <f t="shared" si="9"/>
        <v>0</v>
      </c>
      <c r="KQ72" s="49">
        <f t="shared" si="9"/>
        <v>0</v>
      </c>
      <c r="KR72" s="49">
        <f t="shared" si="9"/>
        <v>0</v>
      </c>
      <c r="KS72" s="49">
        <f t="shared" si="9"/>
        <v>0</v>
      </c>
      <c r="KT72" s="49">
        <f t="shared" si="9"/>
        <v>0</v>
      </c>
      <c r="KU72" s="49">
        <f t="shared" si="9"/>
        <v>0</v>
      </c>
      <c r="KV72" s="49">
        <f t="shared" si="9"/>
        <v>0</v>
      </c>
      <c r="KW72" s="49">
        <f t="shared" si="9"/>
        <v>0</v>
      </c>
      <c r="KX72" s="49">
        <f t="shared" si="9"/>
        <v>0</v>
      </c>
      <c r="KY72" s="49">
        <f t="shared" si="9"/>
        <v>0</v>
      </c>
      <c r="KZ72" s="49">
        <f t="shared" si="9"/>
        <v>0</v>
      </c>
      <c r="LA72" s="49">
        <f t="shared" si="9"/>
        <v>4</v>
      </c>
      <c r="LB72" s="49">
        <f t="shared" si="9"/>
        <v>8</v>
      </c>
      <c r="LC72" s="49">
        <f t="shared" si="9"/>
        <v>4</v>
      </c>
      <c r="LD72" s="49">
        <f t="shared" si="9"/>
        <v>8</v>
      </c>
      <c r="LE72" s="49">
        <f t="shared" si="9"/>
        <v>4</v>
      </c>
      <c r="LF72" s="49">
        <f>SUM(F72:LE72)</f>
        <v>1503</v>
      </c>
    </row>
    <row r="73" spans="2:318" ht="10.5" customHeight="1">
      <c r="F73" s="366">
        <f>SUM(F72:AX72)/4</f>
        <v>60.75</v>
      </c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  <c r="AA73" s="366"/>
      <c r="AB73" s="366"/>
      <c r="AC73" s="366"/>
      <c r="AD73" s="366"/>
      <c r="AE73" s="366"/>
      <c r="AF73" s="366"/>
      <c r="AG73" s="366"/>
      <c r="AH73" s="366"/>
      <c r="AI73" s="366"/>
      <c r="AJ73" s="366"/>
      <c r="AK73" s="366"/>
      <c r="AL73" s="366"/>
      <c r="AM73" s="366"/>
      <c r="AN73" s="366"/>
      <c r="AO73" s="366"/>
      <c r="AP73" s="366"/>
      <c r="AQ73" s="366"/>
      <c r="AR73" s="366"/>
      <c r="AS73" s="366"/>
      <c r="AT73" s="366"/>
      <c r="AU73" s="366"/>
      <c r="AV73" s="366"/>
      <c r="AW73" s="366"/>
      <c r="AX73" s="366"/>
      <c r="AY73" s="390">
        <f>SUM(AY72:CP72)/4</f>
        <v>65.5</v>
      </c>
      <c r="AZ73" s="390"/>
      <c r="BA73" s="390"/>
      <c r="BB73" s="390"/>
      <c r="BC73" s="390"/>
      <c r="BD73" s="390"/>
      <c r="BE73" s="390"/>
      <c r="BF73" s="390"/>
      <c r="BG73" s="390"/>
      <c r="BH73" s="390"/>
      <c r="BI73" s="390"/>
      <c r="BJ73" s="390"/>
      <c r="BK73" s="390"/>
      <c r="BL73" s="390"/>
      <c r="BM73" s="390"/>
      <c r="BN73" s="390"/>
      <c r="BO73" s="390"/>
      <c r="BP73" s="390"/>
      <c r="BQ73" s="390"/>
      <c r="BR73" s="390"/>
      <c r="BS73" s="390"/>
      <c r="BT73" s="390"/>
      <c r="BU73" s="390"/>
      <c r="BV73" s="390"/>
      <c r="BW73" s="390"/>
      <c r="BX73" s="390"/>
      <c r="BY73" s="390"/>
      <c r="BZ73" s="390"/>
      <c r="CA73" s="390"/>
      <c r="CB73" s="390"/>
      <c r="CC73" s="390"/>
      <c r="CD73" s="390"/>
      <c r="CE73" s="390"/>
      <c r="CF73" s="390"/>
      <c r="CG73" s="390"/>
      <c r="CH73" s="390"/>
      <c r="CI73" s="390"/>
      <c r="CJ73" s="390"/>
      <c r="CK73" s="390"/>
      <c r="CL73" s="390"/>
      <c r="CM73" s="390"/>
      <c r="CN73" s="390"/>
      <c r="CO73" s="390"/>
      <c r="CP73" s="390"/>
      <c r="CQ73" s="390">
        <f>SUM(CQ72:EK72)/4</f>
        <v>68.5</v>
      </c>
      <c r="CR73" s="390"/>
      <c r="CS73" s="390"/>
      <c r="CT73" s="390"/>
      <c r="CU73" s="390"/>
      <c r="CV73" s="390"/>
      <c r="CW73" s="390"/>
      <c r="CX73" s="390"/>
      <c r="CY73" s="390"/>
      <c r="CZ73" s="390"/>
      <c r="DA73" s="390"/>
      <c r="DB73" s="390"/>
      <c r="DC73" s="390"/>
      <c r="DD73" s="390"/>
      <c r="DE73" s="390"/>
      <c r="DF73" s="390"/>
      <c r="DG73" s="390"/>
      <c r="DH73" s="390"/>
      <c r="DI73" s="390"/>
      <c r="DJ73" s="390"/>
      <c r="DK73" s="390"/>
      <c r="DL73" s="390"/>
      <c r="DM73" s="390"/>
      <c r="DN73" s="390"/>
      <c r="DO73" s="390"/>
      <c r="DP73" s="390"/>
      <c r="DQ73" s="390"/>
      <c r="DR73" s="390"/>
      <c r="DS73" s="390"/>
      <c r="DT73" s="390"/>
      <c r="DU73" s="390"/>
      <c r="DV73" s="390"/>
      <c r="DW73" s="390"/>
      <c r="DX73" s="390"/>
      <c r="DY73" s="390"/>
      <c r="DZ73" s="390"/>
      <c r="EA73" s="390"/>
      <c r="EB73" s="390"/>
      <c r="EC73" s="390"/>
      <c r="ED73" s="390"/>
      <c r="EE73" s="390"/>
      <c r="EF73" s="390"/>
      <c r="EG73" s="390"/>
      <c r="EH73" s="390"/>
      <c r="EI73" s="390"/>
      <c r="EJ73" s="390"/>
      <c r="EK73" s="390"/>
      <c r="EL73" s="390">
        <f>SUM(EL72:GC72)/4</f>
        <v>58.25</v>
      </c>
      <c r="EM73" s="390"/>
      <c r="EN73" s="390"/>
      <c r="EO73" s="390"/>
      <c r="EP73" s="390"/>
      <c r="EQ73" s="390"/>
      <c r="ER73" s="390"/>
      <c r="ES73" s="390"/>
      <c r="ET73" s="390"/>
      <c r="EU73" s="390"/>
      <c r="EV73" s="390"/>
      <c r="EW73" s="390"/>
      <c r="EX73" s="390"/>
      <c r="EY73" s="390"/>
      <c r="EZ73" s="390"/>
      <c r="FA73" s="390"/>
      <c r="FB73" s="390"/>
      <c r="FC73" s="390"/>
      <c r="FD73" s="390"/>
      <c r="FE73" s="390"/>
      <c r="FF73" s="390"/>
      <c r="FG73" s="390"/>
      <c r="FH73" s="390"/>
      <c r="FI73" s="390"/>
      <c r="FJ73" s="390"/>
      <c r="FK73" s="390"/>
      <c r="FL73" s="390"/>
      <c r="FM73" s="390"/>
      <c r="FN73" s="390"/>
      <c r="FO73" s="390"/>
      <c r="FP73" s="390"/>
      <c r="FQ73" s="390"/>
      <c r="FR73" s="390"/>
      <c r="FS73" s="390"/>
      <c r="FT73" s="390"/>
      <c r="FU73" s="390"/>
      <c r="FV73" s="390"/>
      <c r="FW73" s="390"/>
      <c r="FX73" s="390"/>
      <c r="FY73" s="390"/>
      <c r="FZ73" s="390"/>
      <c r="GA73" s="390"/>
      <c r="GB73" s="390"/>
      <c r="GC73" s="390"/>
      <c r="GD73" s="390">
        <f>SUM(GD72:HU72)/4</f>
        <v>67.5</v>
      </c>
      <c r="GE73" s="390"/>
      <c r="GF73" s="390"/>
      <c r="GG73" s="390"/>
      <c r="GH73" s="390"/>
      <c r="GI73" s="390"/>
      <c r="GJ73" s="390"/>
      <c r="GK73" s="390"/>
      <c r="GL73" s="390"/>
      <c r="GM73" s="390"/>
      <c r="GN73" s="390"/>
      <c r="GO73" s="390"/>
      <c r="GP73" s="390"/>
      <c r="GQ73" s="390"/>
      <c r="GR73" s="390"/>
      <c r="GS73" s="390"/>
      <c r="GT73" s="390"/>
      <c r="GU73" s="390"/>
      <c r="GV73" s="390"/>
      <c r="GW73" s="390"/>
      <c r="GX73" s="390"/>
      <c r="GY73" s="390"/>
      <c r="GZ73" s="390"/>
      <c r="HA73" s="390"/>
      <c r="HB73" s="390"/>
      <c r="HC73" s="390"/>
      <c r="HD73" s="390"/>
      <c r="HE73" s="390"/>
      <c r="HF73" s="390"/>
      <c r="HG73" s="390"/>
      <c r="HH73" s="390"/>
      <c r="HI73" s="390"/>
      <c r="HJ73" s="390"/>
      <c r="HK73" s="390"/>
      <c r="HL73" s="390"/>
      <c r="HM73" s="390"/>
      <c r="HN73" s="390"/>
      <c r="HO73" s="390"/>
      <c r="HP73" s="390"/>
      <c r="HQ73" s="390"/>
      <c r="HR73" s="390"/>
      <c r="HS73" s="390"/>
      <c r="HT73" s="390"/>
      <c r="HU73" s="390"/>
      <c r="HV73" s="366">
        <f>SUM(HV72:JM72)/4</f>
        <v>36.5</v>
      </c>
      <c r="HW73" s="366"/>
      <c r="HX73" s="366"/>
      <c r="HY73" s="366"/>
      <c r="HZ73" s="366"/>
      <c r="IA73" s="366"/>
      <c r="IB73" s="366"/>
      <c r="IC73" s="366"/>
      <c r="ID73" s="366"/>
      <c r="IE73" s="366"/>
      <c r="IF73" s="366"/>
      <c r="IG73" s="366"/>
      <c r="IH73" s="366"/>
      <c r="II73" s="366"/>
      <c r="IJ73" s="366"/>
      <c r="IK73" s="366"/>
      <c r="IL73" s="366"/>
      <c r="IM73" s="366"/>
      <c r="IN73" s="366"/>
      <c r="IO73" s="366"/>
      <c r="IP73" s="366"/>
      <c r="IQ73" s="366"/>
      <c r="IR73" s="366"/>
      <c r="IS73" s="366"/>
      <c r="IT73" s="366"/>
      <c r="IU73" s="366"/>
      <c r="IV73" s="366"/>
      <c r="IW73" s="366"/>
      <c r="IX73" s="366"/>
      <c r="IY73" s="366"/>
      <c r="IZ73" s="366"/>
      <c r="JA73" s="366"/>
      <c r="JB73" s="366"/>
      <c r="JC73" s="366"/>
      <c r="JD73" s="366"/>
      <c r="JE73" s="366"/>
      <c r="JF73" s="366"/>
      <c r="JG73" s="366"/>
      <c r="JH73" s="366"/>
      <c r="JI73" s="366"/>
      <c r="JJ73" s="366"/>
      <c r="JK73" s="366"/>
      <c r="JL73" s="366"/>
      <c r="JM73" s="366"/>
      <c r="JN73" s="390">
        <f>SUM(JN72:LE72)/4</f>
        <v>18.75</v>
      </c>
      <c r="JO73" s="390"/>
      <c r="JP73" s="390"/>
      <c r="JQ73" s="390"/>
      <c r="JR73" s="390"/>
      <c r="JS73" s="390"/>
      <c r="JT73" s="390"/>
      <c r="JU73" s="390"/>
      <c r="JV73" s="390"/>
      <c r="JW73" s="390"/>
      <c r="JX73" s="390"/>
      <c r="JY73" s="390"/>
      <c r="JZ73" s="390"/>
      <c r="KA73" s="390"/>
      <c r="KB73" s="390"/>
      <c r="KC73" s="390"/>
      <c r="KD73" s="390"/>
      <c r="KE73" s="390"/>
      <c r="KF73" s="390"/>
      <c r="KG73" s="390"/>
      <c r="KH73" s="390"/>
      <c r="KI73" s="390"/>
      <c r="KJ73" s="390"/>
      <c r="KK73" s="390"/>
      <c r="KL73" s="390"/>
      <c r="KM73" s="390"/>
      <c r="KN73" s="390"/>
      <c r="KO73" s="390"/>
      <c r="KP73" s="390"/>
      <c r="KQ73" s="390"/>
      <c r="KR73" s="390"/>
      <c r="KS73" s="390"/>
      <c r="KT73" s="390"/>
      <c r="KU73" s="390"/>
      <c r="KV73" s="390"/>
      <c r="KW73" s="390"/>
      <c r="KX73" s="390"/>
      <c r="KY73" s="390"/>
      <c r="KZ73" s="390"/>
      <c r="LA73" s="390"/>
      <c r="LB73" s="390"/>
      <c r="LC73" s="390"/>
      <c r="LD73" s="390"/>
      <c r="LE73" s="390"/>
      <c r="LF73" s="213">
        <f>[1]Ins!CO37</f>
        <v>306</v>
      </c>
    </row>
    <row r="74" spans="2:318" ht="10.5" customHeight="1">
      <c r="LF74" s="213">
        <f>LF73-LF71</f>
        <v>-67.5</v>
      </c>
    </row>
    <row r="75" spans="2:318" ht="10.5" customHeight="1">
      <c r="F75" s="49">
        <f>F71</f>
        <v>15.5</v>
      </c>
      <c r="G75" s="49">
        <f>SUM(G71:L71)</f>
        <v>0.75</v>
      </c>
      <c r="H75" s="49">
        <f>M71+N71+O71</f>
        <v>0</v>
      </c>
      <c r="I75" s="49">
        <f>P71+Q71+R71+S71+T71</f>
        <v>4</v>
      </c>
      <c r="J75" s="49">
        <f>U71+W71+X71</f>
        <v>6.5</v>
      </c>
      <c r="K75" s="49">
        <f>Y71+Z71+AA71</f>
        <v>4.5</v>
      </c>
      <c r="L75" s="49">
        <f>AB71</f>
        <v>2.5</v>
      </c>
      <c r="M75" s="49">
        <f>SUM(AC71:AN71)</f>
        <v>8.25</v>
      </c>
      <c r="N75" s="49">
        <f>AO71</f>
        <v>0.75</v>
      </c>
      <c r="O75" s="49">
        <f>AP71</f>
        <v>0</v>
      </c>
      <c r="P75" s="49">
        <f>AQ71+AR71+AS71</f>
        <v>0</v>
      </c>
      <c r="Q75" s="49">
        <f>SUM(AT71:AX71)</f>
        <v>18</v>
      </c>
      <c r="AY75" s="49">
        <f>AY71</f>
        <v>15.5</v>
      </c>
      <c r="AZ75" s="49">
        <f>SUM(AZ71:BE71)</f>
        <v>2.5</v>
      </c>
      <c r="BA75" s="49">
        <f>BF71+BG71+BH71</f>
        <v>3</v>
      </c>
      <c r="BB75" s="49">
        <f>BI71+BJ71+BK71+BL71+BM71</f>
        <v>2.5</v>
      </c>
      <c r="BC75" s="49">
        <f>BN71+BO71+BP71</f>
        <v>5.25</v>
      </c>
      <c r="BD75" s="49">
        <f>BQ71+BR71+BS71</f>
        <v>3.25</v>
      </c>
      <c r="BE75" s="49">
        <f>BT71</f>
        <v>2.5</v>
      </c>
      <c r="BF75" s="49">
        <f>SUM(BU71:CF71)</f>
        <v>7.5</v>
      </c>
      <c r="BG75" s="49">
        <f>CG71</f>
        <v>0.5</v>
      </c>
      <c r="BH75" s="49">
        <f>CH71</f>
        <v>0</v>
      </c>
      <c r="BI75" s="49">
        <f>CI71+CJ71+CK71</f>
        <v>0</v>
      </c>
      <c r="BJ75" s="49">
        <f>SUM(CL71:CP71)</f>
        <v>23</v>
      </c>
      <c r="CQ75" s="49">
        <f>CQ71</f>
        <v>15.5</v>
      </c>
      <c r="CR75" s="49">
        <f>SUM(CR71:CW71)</f>
        <v>1.25</v>
      </c>
      <c r="CS75" s="49">
        <f>CX71+CY71+CZ71</f>
        <v>1</v>
      </c>
      <c r="CT75" s="49">
        <f>DA71+DB71+DC71+DD71+DE71</f>
        <v>5.5</v>
      </c>
      <c r="CU75" s="49">
        <f>DF71+DG71+DH71</f>
        <v>3.25</v>
      </c>
      <c r="CV75" s="49">
        <f>DI71+DM71+DN71</f>
        <v>4</v>
      </c>
      <c r="CW75" s="49">
        <f>DO71</f>
        <v>2.5</v>
      </c>
      <c r="CX75" s="49">
        <f>SUM(DP71:EA71)</f>
        <v>13.5</v>
      </c>
      <c r="CY75" s="49">
        <f>EB71</f>
        <v>0.25</v>
      </c>
      <c r="CZ75" s="49">
        <f>EC71</f>
        <v>0</v>
      </c>
      <c r="DA75" s="49">
        <f>ED71+EE71+EF71</f>
        <v>0</v>
      </c>
      <c r="DB75" s="49">
        <f>SUM(EG71:EK71)</f>
        <v>19.5</v>
      </c>
      <c r="EL75" s="49">
        <f>EL71</f>
        <v>15.5</v>
      </c>
      <c r="EM75" s="49">
        <f>SUM(EM71:ER71)</f>
        <v>1.25</v>
      </c>
      <c r="EN75" s="49">
        <f>ES71+ET71+EU71</f>
        <v>2</v>
      </c>
      <c r="EO75" s="49">
        <f>EV71+EW71+EX71+EY71+EZ71</f>
        <v>1</v>
      </c>
      <c r="EP75" s="49">
        <f>FA71+FB71+FC71</f>
        <v>4</v>
      </c>
      <c r="EQ75" s="49">
        <f>FD71+FE71+FF71</f>
        <v>3</v>
      </c>
      <c r="ER75" s="49">
        <f>FG71</f>
        <v>0.5</v>
      </c>
      <c r="ES75" s="49">
        <f>SUM(FH71:FS71)</f>
        <v>12</v>
      </c>
      <c r="ET75" s="49">
        <f>FT71</f>
        <v>0</v>
      </c>
      <c r="EU75" s="49">
        <f>FU71</f>
        <v>0</v>
      </c>
      <c r="EV75" s="49">
        <f>FV71+FW71+FX71</f>
        <v>0</v>
      </c>
      <c r="EW75" s="49">
        <f>SUM(FY71:GC71)</f>
        <v>19</v>
      </c>
      <c r="GD75" s="49">
        <f>GD71</f>
        <v>15.5</v>
      </c>
      <c r="GE75" s="49">
        <f>SUM(GE71:GJ71)</f>
        <v>1</v>
      </c>
      <c r="GF75" s="49">
        <f>GK71+GL71+GM71</f>
        <v>7</v>
      </c>
      <c r="GG75" s="49">
        <f>GN71+GO71+GP71+GQ71+GR71</f>
        <v>11.75</v>
      </c>
      <c r="GH75" s="49">
        <f>GS71+GT71+GU71</f>
        <v>2</v>
      </c>
      <c r="GI75" s="49">
        <f>GV71+GW71+GX71</f>
        <v>1.5</v>
      </c>
      <c r="GJ75" s="49">
        <f>GY71</f>
        <v>2.75</v>
      </c>
      <c r="GK75" s="49">
        <f>SUM(GZ71:HK71)</f>
        <v>11.25</v>
      </c>
      <c r="GL75" s="49">
        <f>HL71</f>
        <v>0.25</v>
      </c>
      <c r="GM75" s="49">
        <f>HM71</f>
        <v>0</v>
      </c>
      <c r="GN75" s="49">
        <f>HN71+HO71+HP71</f>
        <v>0</v>
      </c>
      <c r="GO75" s="49">
        <f>SUM(HQ71:HU71)</f>
        <v>14.5</v>
      </c>
      <c r="HV75" s="49">
        <f>HV71</f>
        <v>12</v>
      </c>
      <c r="HW75" s="49">
        <f>SUM(HW71:IB71)</f>
        <v>0</v>
      </c>
      <c r="HX75" s="49">
        <f>IC71+ID71+IE71</f>
        <v>2</v>
      </c>
      <c r="HY75" s="49">
        <f>IF71+IG71+IH71+II71+IJ71</f>
        <v>2</v>
      </c>
      <c r="HZ75" s="49">
        <f>IK71+IL71+IM71</f>
        <v>0</v>
      </c>
      <c r="IA75" s="49">
        <f>IN71+IO71+IP71</f>
        <v>0</v>
      </c>
      <c r="IB75" s="49">
        <f>IQ71</f>
        <v>0</v>
      </c>
      <c r="IC75" s="49">
        <f>SUM(IR71:JC71)</f>
        <v>10.5</v>
      </c>
      <c r="ID75" s="49">
        <f>JD71</f>
        <v>0</v>
      </c>
      <c r="IE75" s="49">
        <f>JE71</f>
        <v>0</v>
      </c>
      <c r="IF75" s="49">
        <f>JF71+JG71+JH71</f>
        <v>0</v>
      </c>
      <c r="IG75" s="49">
        <f>SUM(JI71:JM71)</f>
        <v>10</v>
      </c>
      <c r="JN75" s="49">
        <f>JN71</f>
        <v>8</v>
      </c>
      <c r="JO75" s="49">
        <f>SUM(JO71:JT71)</f>
        <v>0</v>
      </c>
      <c r="JP75" s="49">
        <f>JU71+JV71+JW71</f>
        <v>0</v>
      </c>
      <c r="JQ75" s="49">
        <f>JX71+JY71+JZ71+KA71+KB71</f>
        <v>0</v>
      </c>
      <c r="JR75" s="49">
        <f>KC71+KD71+KE71</f>
        <v>0</v>
      </c>
      <c r="JS75" s="49">
        <f>KF71+KG71+KH71</f>
        <v>0</v>
      </c>
      <c r="JT75" s="49">
        <f>KI71</f>
        <v>0</v>
      </c>
      <c r="JU75" s="49">
        <f>SUM(KJ71:KU71)</f>
        <v>3.75</v>
      </c>
      <c r="JV75" s="49">
        <f>KV71</f>
        <v>0</v>
      </c>
      <c r="JW75" s="49">
        <f>KW71</f>
        <v>0</v>
      </c>
      <c r="JX75" s="49">
        <f>KX71+KY71+KZ71</f>
        <v>0</v>
      </c>
      <c r="JY75" s="49">
        <f>SUM(LA71:LE71)</f>
        <v>7</v>
      </c>
    </row>
  </sheetData>
  <mergeCells count="102">
    <mergeCell ref="F73:AX73"/>
    <mergeCell ref="AY73:CP73"/>
    <mergeCell ref="CQ73:EK73"/>
    <mergeCell ref="EL73:GC73"/>
    <mergeCell ref="GD73:HU73"/>
    <mergeCell ref="HV73:JM73"/>
    <mergeCell ref="JN73:LE73"/>
    <mergeCell ref="JN5:LE16"/>
    <mergeCell ref="HV7:JM12"/>
    <mergeCell ref="HW2:IB4"/>
    <mergeCell ref="JO2:JT4"/>
    <mergeCell ref="IC2:IE4"/>
    <mergeCell ref="JU2:JW4"/>
    <mergeCell ref="JX2:KB4"/>
    <mergeCell ref="KC2:KE4"/>
    <mergeCell ref="KF2:KH4"/>
    <mergeCell ref="KW2:KW4"/>
    <mergeCell ref="KX2:KZ3"/>
    <mergeCell ref="IN2:IP4"/>
    <mergeCell ref="JE2:JE4"/>
    <mergeCell ref="JF2:JH3"/>
    <mergeCell ref="GV2:GX4"/>
    <mergeCell ref="HM2:HM4"/>
    <mergeCell ref="HN2:HP3"/>
    <mergeCell ref="EL1:GC1"/>
    <mergeCell ref="FG2:FG4"/>
    <mergeCell ref="FT2:FT4"/>
    <mergeCell ref="EG2:EK3"/>
    <mergeCell ref="EL2:EL4"/>
    <mergeCell ref="FH2:FS3"/>
    <mergeCell ref="FY2:GC3"/>
    <mergeCell ref="CQ1:EK1"/>
    <mergeCell ref="CQ2:CQ4"/>
    <mergeCell ref="CR2:CW4"/>
    <mergeCell ref="CX2:CZ4"/>
    <mergeCell ref="DA2:DE4"/>
    <mergeCell ref="DO2:DO4"/>
    <mergeCell ref="ES2:EU4"/>
    <mergeCell ref="EV2:EZ4"/>
    <mergeCell ref="FD2:FF4"/>
    <mergeCell ref="EM2:ER4"/>
    <mergeCell ref="EB2:EB4"/>
    <mergeCell ref="DP2:EA3"/>
    <mergeCell ref="GS2:GU4"/>
    <mergeCell ref="E1:E4"/>
    <mergeCell ref="F1:AX1"/>
    <mergeCell ref="AY1:CP1"/>
    <mergeCell ref="F2:F4"/>
    <mergeCell ref="AB2:AB4"/>
    <mergeCell ref="AO2:AO4"/>
    <mergeCell ref="AT2:AX3"/>
    <mergeCell ref="AC2:AN3"/>
    <mergeCell ref="BU2:CF3"/>
    <mergeCell ref="G2:L4"/>
    <mergeCell ref="AZ2:BE4"/>
    <mergeCell ref="CG2:CG4"/>
    <mergeCell ref="CL2:CP3"/>
    <mergeCell ref="M2:O4"/>
    <mergeCell ref="U2:X4"/>
    <mergeCell ref="Y2:AA4"/>
    <mergeCell ref="BN2:BP4"/>
    <mergeCell ref="BQ2:BS4"/>
    <mergeCell ref="BF2:BH4"/>
    <mergeCell ref="BI2:BM4"/>
    <mergeCell ref="AY2:AY4"/>
    <mergeCell ref="BT2:BT4"/>
    <mergeCell ref="AQ2:AS3"/>
    <mergeCell ref="P2:R4"/>
    <mergeCell ref="LF1:LF4"/>
    <mergeCell ref="GD1:HU1"/>
    <mergeCell ref="GE2:GJ4"/>
    <mergeCell ref="KJ2:KU3"/>
    <mergeCell ref="GZ2:HK3"/>
    <mergeCell ref="IQ2:IQ4"/>
    <mergeCell ref="JD2:JD4"/>
    <mergeCell ref="GY2:GY4"/>
    <mergeCell ref="HL2:HL4"/>
    <mergeCell ref="HQ2:HU3"/>
    <mergeCell ref="IR2:JC3"/>
    <mergeCell ref="GD2:GD4"/>
    <mergeCell ref="JN1:LE1"/>
    <mergeCell ref="HV2:HV4"/>
    <mergeCell ref="GK2:GM4"/>
    <mergeCell ref="GN2:GR4"/>
    <mergeCell ref="HV1:JM1"/>
    <mergeCell ref="KV2:KV4"/>
    <mergeCell ref="LA2:LE3"/>
    <mergeCell ref="JI2:JM3"/>
    <mergeCell ref="JN2:JN4"/>
    <mergeCell ref="KI2:KI4"/>
    <mergeCell ref="IF2:IJ4"/>
    <mergeCell ref="IK2:IM4"/>
    <mergeCell ref="AP2:AP4"/>
    <mergeCell ref="CH2:CH4"/>
    <mergeCell ref="CI2:CK3"/>
    <mergeCell ref="EC2:EC4"/>
    <mergeCell ref="ED2:EF3"/>
    <mergeCell ref="FU2:FU4"/>
    <mergeCell ref="FV2:FX3"/>
    <mergeCell ref="DF2:DH4"/>
    <mergeCell ref="DI2:DN4"/>
    <mergeCell ref="FA2:FC4"/>
  </mergeCells>
  <phoneticPr fontId="43" type="noConversion"/>
  <conditionalFormatting sqref="A7:AX68">
    <cfRule type="cellIs" dxfId="784" priority="291" operator="equal">
      <formula>"LF"</formula>
    </cfRule>
    <cfRule type="cellIs" dxfId="783" priority="285" operator="equal">
      <formula>"MP"</formula>
    </cfRule>
    <cfRule type="cellIs" dxfId="782" priority="286" operator="equal">
      <formula>"RF"</formula>
    </cfRule>
    <cfRule type="cellIs" dxfId="781" priority="287" operator="equal">
      <formula>"BH"</formula>
    </cfRule>
    <cfRule type="cellIs" dxfId="780" priority="290" operator="equal">
      <formula>"RG"</formula>
    </cfRule>
    <cfRule type="cellIs" dxfId="779" priority="288" operator="equal">
      <formula>"IA"</formula>
    </cfRule>
    <cfRule type="cellIs" dxfId="778" priority="289" operator="equal">
      <formula>"JD"</formula>
    </cfRule>
    <cfRule type="cellIs" dxfId="777" priority="296" operator="equal">
      <formula>"CR"</formula>
    </cfRule>
    <cfRule type="cellIs" dxfId="776" priority="297" operator="equal">
      <formula>"HA"</formula>
    </cfRule>
    <cfRule type="cellIs" dxfId="775" priority="295" operator="equal">
      <formula>"JC"</formula>
    </cfRule>
    <cfRule type="cellIs" dxfId="774" priority="294" operator="equal">
      <formula>"LG"</formula>
    </cfRule>
    <cfRule type="cellIs" dxfId="773" priority="298" operator="equal">
      <formula>"GR"</formula>
    </cfRule>
    <cfRule type="cellIs" dxfId="772" priority="293" operator="equal">
      <formula>"MS"</formula>
    </cfRule>
    <cfRule type="cellIs" dxfId="771" priority="292" operator="equal">
      <formula>"TA"</formula>
    </cfRule>
  </conditionalFormatting>
  <conditionalFormatting sqref="A1:XFD6 A7:AX68 A69:XFD1048576">
    <cfRule type="cellIs" dxfId="770" priority="152" operator="equal">
      <formula>"LA"</formula>
    </cfRule>
  </conditionalFormatting>
  <conditionalFormatting sqref="A1:XFD6 CQ7:GC15 CQ16:FJ16 FL16:GC16 CQ17:GC68 A69:XFD1048576">
    <cfRule type="cellIs" dxfId="769" priority="1016" operator="equal">
      <formula>"MP"</formula>
    </cfRule>
  </conditionalFormatting>
  <conditionalFormatting sqref="A1:XFD6 EL7:GC15 EL16:FJ16 FL16:GC16 JI21:JI24 HW22:JM23 HW24:IJ25 IK24:JM33 HV26:IJ33 HV34:JM52 HV49:HV60 HV53:XFD68 A69:XFD1048576">
    <cfRule type="cellIs" dxfId="768" priority="1025" operator="equal">
      <formula>"LG"</formula>
    </cfRule>
    <cfRule type="cellIs" dxfId="767" priority="1024" operator="equal">
      <formula>"MS"</formula>
    </cfRule>
    <cfRule type="cellIs" dxfId="766" priority="1023" operator="equal">
      <formula>"TA"</formula>
    </cfRule>
    <cfRule type="cellIs" dxfId="765" priority="1022" operator="equal">
      <formula>"LF"</formula>
    </cfRule>
    <cfRule type="cellIs" dxfId="764" priority="1020" operator="equal">
      <formula>"JD"</formula>
    </cfRule>
    <cfRule type="cellIs" dxfId="763" priority="1019" operator="equal">
      <formula>"IA"</formula>
    </cfRule>
    <cfRule type="cellIs" dxfId="762" priority="1027" operator="equal">
      <formula>"CR"</formula>
    </cfRule>
    <cfRule type="cellIs" dxfId="761" priority="1028" operator="equal">
      <formula>"HA"</formula>
    </cfRule>
    <cfRule type="cellIs" dxfId="760" priority="1029" operator="equal">
      <formula>"GR"</formula>
    </cfRule>
    <cfRule type="cellIs" dxfId="759" priority="1021" operator="equal">
      <formula>"RG"</formula>
    </cfRule>
    <cfRule type="cellIs" dxfId="758" priority="1017" operator="equal">
      <formula>"RF"</formula>
    </cfRule>
    <cfRule type="cellIs" dxfId="757" priority="1018" operator="equal">
      <formula>"BH"</formula>
    </cfRule>
    <cfRule type="cellIs" dxfId="756" priority="1026" operator="equal">
      <formula>"JC"</formula>
    </cfRule>
  </conditionalFormatting>
  <conditionalFormatting sqref="A1:XFD1048576">
    <cfRule type="cellIs" dxfId="755" priority="1" operator="equal">
      <formula>"LA"</formula>
    </cfRule>
  </conditionalFormatting>
  <conditionalFormatting sqref="AY21:CP31">
    <cfRule type="cellIs" dxfId="754" priority="124" operator="equal">
      <formula>"RF"</formula>
    </cfRule>
    <cfRule type="cellIs" dxfId="753" priority="125" operator="equal">
      <formula>"BH"</formula>
    </cfRule>
    <cfRule type="cellIs" dxfId="752" priority="126" operator="equal">
      <formula>"IA"</formula>
    </cfRule>
    <cfRule type="cellIs" dxfId="751" priority="127" operator="equal">
      <formula>"JD"</formula>
    </cfRule>
    <cfRule type="cellIs" dxfId="750" priority="129" operator="equal">
      <formula>"LF"</formula>
    </cfRule>
    <cfRule type="cellIs" dxfId="749" priority="130" operator="equal">
      <formula>"TA"</formula>
    </cfRule>
    <cfRule type="cellIs" dxfId="748" priority="131" operator="equal">
      <formula>"MS"</formula>
    </cfRule>
    <cfRule type="cellIs" dxfId="747" priority="132" operator="equal">
      <formula>"LG"</formula>
    </cfRule>
    <cfRule type="cellIs" dxfId="746" priority="128" operator="equal">
      <formula>"RG"</formula>
    </cfRule>
    <cfRule type="cellIs" dxfId="745" priority="134" operator="equal">
      <formula>"CR"</formula>
    </cfRule>
    <cfRule type="cellIs" dxfId="744" priority="135" operator="equal">
      <formula>"HA"</formula>
    </cfRule>
    <cfRule type="cellIs" dxfId="743" priority="136" operator="equal">
      <formula>"GR"</formula>
    </cfRule>
    <cfRule type="cellIs" dxfId="742" priority="133" operator="equal">
      <formula>"JC"</formula>
    </cfRule>
  </conditionalFormatting>
  <conditionalFormatting sqref="AZ30:AZ31">
    <cfRule type="cellIs" dxfId="741" priority="66" operator="equal">
      <formula>"JC"</formula>
    </cfRule>
    <cfRule type="cellIs" dxfId="740" priority="67" operator="equal">
      <formula>"CR"</formula>
    </cfRule>
    <cfRule type="cellIs" dxfId="739" priority="68" operator="equal">
      <formula>"HA"</formula>
    </cfRule>
    <cfRule type="cellIs" dxfId="738" priority="69" operator="equal">
      <formula>"GR"</formula>
    </cfRule>
    <cfRule type="cellIs" dxfId="737" priority="60" operator="equal">
      <formula>"JD"</formula>
    </cfRule>
    <cfRule type="cellIs" dxfId="736" priority="57" operator="equal">
      <formula>"RF"</formula>
    </cfRule>
    <cfRule type="cellIs" dxfId="735" priority="58" operator="equal">
      <formula>"BH"</formula>
    </cfRule>
    <cfRule type="cellIs" dxfId="734" priority="59" operator="equal">
      <formula>"IA"</formula>
    </cfRule>
    <cfRule type="cellIs" dxfId="733" priority="61" operator="equal">
      <formula>"RG"</formula>
    </cfRule>
    <cfRule type="cellIs" dxfId="732" priority="62" operator="equal">
      <formula>"LF"</formula>
    </cfRule>
    <cfRule type="cellIs" dxfId="731" priority="63" operator="equal">
      <formula>"TA"</formula>
    </cfRule>
    <cfRule type="cellIs" dxfId="730" priority="64" operator="equal">
      <formula>"MS"</formula>
    </cfRule>
    <cfRule type="cellIs" dxfId="729" priority="65" operator="equal">
      <formula>"LG"</formula>
    </cfRule>
  </conditionalFormatting>
  <conditionalFormatting sqref="AZ7:CP14 AY7:AY19 AZ15:BP18 AZ19:BE19 BG19:BP20 AY20:BE20 AY29:AY31 BR29:BR31 AY32:BF34 AZ35:BF35 AY35:AY37 AZ36:CP36 AZ37:BR37 BS37:CP38 AY38:BR38 AY39:CP68">
    <cfRule type="cellIs" dxfId="728" priority="149" operator="equal">
      <formula>"HA"</formula>
    </cfRule>
    <cfRule type="cellIs" dxfId="727" priority="150" operator="equal">
      <formula>"GR"</formula>
    </cfRule>
    <cfRule type="cellIs" dxfId="726" priority="140" operator="equal">
      <formula>"IA"</formula>
    </cfRule>
    <cfRule type="cellIs" dxfId="725" priority="138" operator="equal">
      <formula>"RF"</formula>
    </cfRule>
    <cfRule type="cellIs" dxfId="724" priority="147" operator="equal">
      <formula>"JC"</formula>
    </cfRule>
    <cfRule type="cellIs" dxfId="723" priority="148" operator="equal">
      <formula>"CR"</formula>
    </cfRule>
    <cfRule type="cellIs" dxfId="722" priority="141" operator="equal">
      <formula>"JD"</formula>
    </cfRule>
    <cfRule type="cellIs" dxfId="721" priority="143" operator="equal">
      <formula>"LF"</formula>
    </cfRule>
    <cfRule type="cellIs" dxfId="720" priority="144" operator="equal">
      <formula>"TA"</formula>
    </cfRule>
    <cfRule type="cellIs" dxfId="719" priority="145" operator="equal">
      <formula>"MS"</formula>
    </cfRule>
    <cfRule type="cellIs" dxfId="718" priority="142" operator="equal">
      <formula>"RG"</formula>
    </cfRule>
    <cfRule type="cellIs" dxfId="717" priority="146" operator="equal">
      <formula>"LG"</formula>
    </cfRule>
    <cfRule type="cellIs" dxfId="716" priority="139" operator="equal">
      <formula>"BH"</formula>
    </cfRule>
  </conditionalFormatting>
  <conditionalFormatting sqref="BF17:BF20">
    <cfRule type="cellIs" dxfId="715" priority="83" operator="equal">
      <formula>"RF"</formula>
    </cfRule>
    <cfRule type="cellIs" dxfId="714" priority="84" operator="equal">
      <formula>"BH"</formula>
    </cfRule>
    <cfRule type="cellIs" dxfId="713" priority="85" operator="equal">
      <formula>"IA"</formula>
    </cfRule>
    <cfRule type="cellIs" dxfId="712" priority="86" operator="equal">
      <formula>"JD"</formula>
    </cfRule>
    <cfRule type="cellIs" dxfId="711" priority="87" operator="equal">
      <formula>"RG"</formula>
    </cfRule>
    <cfRule type="cellIs" dxfId="710" priority="88" operator="equal">
      <formula>"LF"</formula>
    </cfRule>
    <cfRule type="cellIs" dxfId="709" priority="89" operator="equal">
      <formula>"TA"</formula>
    </cfRule>
    <cfRule type="cellIs" dxfId="708" priority="90" operator="equal">
      <formula>"MS"</formula>
    </cfRule>
    <cfRule type="cellIs" dxfId="707" priority="91" operator="equal">
      <formula>"LG"</formula>
    </cfRule>
    <cfRule type="cellIs" dxfId="706" priority="92" operator="equal">
      <formula>"JC"</formula>
    </cfRule>
    <cfRule type="cellIs" dxfId="705" priority="93" operator="equal">
      <formula>"CR"</formula>
    </cfRule>
    <cfRule type="cellIs" dxfId="704" priority="94" operator="equal">
      <formula>"HA"</formula>
    </cfRule>
    <cfRule type="cellIs" dxfId="703" priority="95" operator="equal">
      <formula>"GR"</formula>
    </cfRule>
  </conditionalFormatting>
  <conditionalFormatting sqref="BF28:BF31">
    <cfRule type="cellIs" dxfId="702" priority="71" operator="equal">
      <formula>"BH"</formula>
    </cfRule>
    <cfRule type="cellIs" dxfId="701" priority="72" operator="equal">
      <formula>"IA"</formula>
    </cfRule>
    <cfRule type="cellIs" dxfId="700" priority="73" operator="equal">
      <formula>"JD"</formula>
    </cfRule>
    <cfRule type="cellIs" dxfId="699" priority="75" operator="equal">
      <formula>"LF"</formula>
    </cfRule>
    <cfRule type="cellIs" dxfId="698" priority="76" operator="equal">
      <formula>"TA"</formula>
    </cfRule>
    <cfRule type="cellIs" dxfId="697" priority="77" operator="equal">
      <formula>"MS"</formula>
    </cfRule>
    <cfRule type="cellIs" dxfId="696" priority="78" operator="equal">
      <formula>"LG"</formula>
    </cfRule>
    <cfRule type="cellIs" dxfId="695" priority="79" operator="equal">
      <formula>"JC"</formula>
    </cfRule>
    <cfRule type="cellIs" dxfId="694" priority="80" operator="equal">
      <formula>"CR"</formula>
    </cfRule>
    <cfRule type="cellIs" dxfId="693" priority="81" operator="equal">
      <formula>"HA"</formula>
    </cfRule>
    <cfRule type="cellIs" dxfId="692" priority="82" operator="equal">
      <formula>"GR"</formula>
    </cfRule>
    <cfRule type="cellIs" dxfId="691" priority="70" operator="equal">
      <formula>"RF"</formula>
    </cfRule>
    <cfRule type="cellIs" dxfId="690" priority="74" operator="equal">
      <formula>"RG"</formula>
    </cfRule>
  </conditionalFormatting>
  <conditionalFormatting sqref="BG32:CP35">
    <cfRule type="cellIs" dxfId="689" priority="113" operator="equal">
      <formula>"JD"</formula>
    </cfRule>
    <cfRule type="cellIs" dxfId="688" priority="114" operator="equal">
      <formula>"RG"</formula>
    </cfRule>
    <cfRule type="cellIs" dxfId="687" priority="115" operator="equal">
      <formula>"LF"</formula>
    </cfRule>
    <cfRule type="cellIs" dxfId="686" priority="116" operator="equal">
      <formula>"TA"</formula>
    </cfRule>
    <cfRule type="cellIs" dxfId="685" priority="117" operator="equal">
      <formula>"MS"</formula>
    </cfRule>
    <cfRule type="cellIs" dxfId="684" priority="118" operator="equal">
      <formula>"LG"</formula>
    </cfRule>
    <cfRule type="cellIs" dxfId="683" priority="119" operator="equal">
      <formula>"JC"</formula>
    </cfRule>
    <cfRule type="cellIs" dxfId="682" priority="120" operator="equal">
      <formula>"CR"</formula>
    </cfRule>
    <cfRule type="cellIs" dxfId="681" priority="121" operator="equal">
      <formula>"HA"</formula>
    </cfRule>
    <cfRule type="cellIs" dxfId="680" priority="122" operator="equal">
      <formula>"GR"</formula>
    </cfRule>
    <cfRule type="cellIs" dxfId="679" priority="109" operator="equal">
      <formula>"MP"</formula>
    </cfRule>
    <cfRule type="cellIs" dxfId="678" priority="110" operator="equal">
      <formula>"RF"</formula>
    </cfRule>
    <cfRule type="cellIs" dxfId="677" priority="111" operator="equal">
      <formula>"BH"</formula>
    </cfRule>
    <cfRule type="cellIs" dxfId="676" priority="112" operator="equal">
      <formula>"IA"</formula>
    </cfRule>
  </conditionalFormatting>
  <conditionalFormatting sqref="BQ15:CP20 BV18:BV24">
    <cfRule type="cellIs" dxfId="675" priority="103" operator="equal">
      <formula>"MS"</formula>
    </cfRule>
    <cfRule type="cellIs" dxfId="674" priority="105" operator="equal">
      <formula>"JC"</formula>
    </cfRule>
    <cfRule type="cellIs" dxfId="673" priority="106" operator="equal">
      <formula>"CR"</formula>
    </cfRule>
    <cfRule type="cellIs" dxfId="672" priority="104" operator="equal">
      <formula>"LG"</formula>
    </cfRule>
    <cfRule type="cellIs" dxfId="671" priority="107" operator="equal">
      <formula>"HA"</formula>
    </cfRule>
    <cfRule type="cellIs" dxfId="670" priority="108" operator="equal">
      <formula>"GR"</formula>
    </cfRule>
    <cfRule type="cellIs" dxfId="669" priority="96" operator="equal">
      <formula>"RF"</formula>
    </cfRule>
    <cfRule type="cellIs" dxfId="668" priority="97" operator="equal">
      <formula>"BH"</formula>
    </cfRule>
    <cfRule type="cellIs" dxfId="667" priority="98" operator="equal">
      <formula>"IA"</formula>
    </cfRule>
    <cfRule type="cellIs" dxfId="666" priority="99" operator="equal">
      <formula>"JD"</formula>
    </cfRule>
    <cfRule type="cellIs" dxfId="665" priority="100" operator="equal">
      <formula>"RG"</formula>
    </cfRule>
    <cfRule type="cellIs" dxfId="664" priority="101" operator="equal">
      <formula>"LF"</formula>
    </cfRule>
    <cfRule type="cellIs" dxfId="663" priority="102" operator="equal">
      <formula>"TA"</formula>
    </cfRule>
  </conditionalFormatting>
  <conditionalFormatting sqref="BV18:BV24 AZ7:CP18 AY7:AY19 AZ19:BE19 BF19:BU20 BW19:CP21 AY20:BE20 AZ21:BU21 AY21:AY22 AZ22:CP22 AY23:CP31 AY32:BF34 AZ35:BF35 AY35:AY37 AZ36:CP36 AZ37:BR37 BS37:CP38 AY38:BR38 AY39:CP68">
    <cfRule type="cellIs" dxfId="662" priority="137" operator="equal">
      <formula>"MP"</formula>
    </cfRule>
  </conditionalFormatting>
  <conditionalFormatting sqref="BV19:BV21">
    <cfRule type="cellIs" dxfId="661" priority="123" operator="equal">
      <formula>"MP"</formula>
    </cfRule>
  </conditionalFormatting>
  <conditionalFormatting sqref="CQ7:EK68">
    <cfRule type="cellIs" dxfId="660" priority="852" operator="equal">
      <formula>"BH"</formula>
    </cfRule>
    <cfRule type="cellIs" dxfId="659" priority="851" operator="equal">
      <formula>"RF"</formula>
    </cfRule>
    <cfRule type="cellIs" dxfId="658" priority="861" operator="equal">
      <formula>"CR"</formula>
    </cfRule>
    <cfRule type="cellIs" dxfId="657" priority="862" operator="equal">
      <formula>"HA"</formula>
    </cfRule>
    <cfRule type="cellIs" dxfId="656" priority="863" operator="equal">
      <formula>"GR"</formula>
    </cfRule>
    <cfRule type="cellIs" dxfId="655" priority="856" operator="equal">
      <formula>"LF"</formula>
    </cfRule>
    <cfRule type="cellIs" dxfId="654" priority="860" operator="equal">
      <formula>"JC"</formula>
    </cfRule>
    <cfRule type="cellIs" dxfId="653" priority="858" operator="equal">
      <formula>"MS"</formula>
    </cfRule>
    <cfRule type="cellIs" dxfId="652" priority="857" operator="equal">
      <formula>"TA"</formula>
    </cfRule>
    <cfRule type="cellIs" dxfId="651" priority="855" operator="equal">
      <formula>"RG"</formula>
    </cfRule>
    <cfRule type="cellIs" dxfId="650" priority="854" operator="equal">
      <formula>"JD"</formula>
    </cfRule>
    <cfRule type="cellIs" dxfId="649" priority="853" operator="equal">
      <formula>"IA"</formula>
    </cfRule>
    <cfRule type="cellIs" dxfId="648" priority="859" operator="equal">
      <formula>"LG"</formula>
    </cfRule>
  </conditionalFormatting>
  <conditionalFormatting sqref="CQ7:XFD68">
    <cfRule type="cellIs" dxfId="647" priority="2" operator="equal">
      <formula>"LA"</formula>
    </cfRule>
  </conditionalFormatting>
  <conditionalFormatting sqref="EL17:GC18 FZ18:FZ21 EL19:FY21 GA19:GC21 EM21:EM22">
    <cfRule type="cellIs" dxfId="646" priority="339" operator="equal">
      <formula>"GR"</formula>
    </cfRule>
    <cfRule type="cellIs" dxfId="645" priority="328" operator="equal">
      <formula>"BH"</formula>
    </cfRule>
    <cfRule type="cellIs" dxfId="644" priority="327" operator="equal">
      <formula>"RF"</formula>
    </cfRule>
    <cfRule type="cellIs" dxfId="643" priority="338" operator="equal">
      <formula>"HA"</formula>
    </cfRule>
    <cfRule type="cellIs" dxfId="642" priority="337" operator="equal">
      <formula>"CR"</formula>
    </cfRule>
    <cfRule type="cellIs" dxfId="641" priority="336" operator="equal">
      <formula>"JC"</formula>
    </cfRule>
    <cfRule type="cellIs" dxfId="640" priority="335" operator="equal">
      <formula>"LG"</formula>
    </cfRule>
    <cfRule type="cellIs" dxfId="639" priority="329" operator="equal">
      <formula>"IA"</formula>
    </cfRule>
    <cfRule type="cellIs" dxfId="638" priority="333" operator="equal">
      <formula>"TA"</formula>
    </cfRule>
    <cfRule type="cellIs" dxfId="637" priority="330" operator="equal">
      <formula>"JD"</formula>
    </cfRule>
    <cfRule type="cellIs" dxfId="636" priority="331" operator="equal">
      <formula>"RG"</formula>
    </cfRule>
    <cfRule type="cellIs" dxfId="635" priority="334" operator="equal">
      <formula>"MS"</formula>
    </cfRule>
    <cfRule type="cellIs" dxfId="634" priority="332" operator="equal">
      <formula>"LF"</formula>
    </cfRule>
  </conditionalFormatting>
  <conditionalFormatting sqref="EL22:GC68">
    <cfRule type="cellIs" dxfId="633" priority="324" operator="equal">
      <formula>"CR"</formula>
    </cfRule>
    <cfRule type="cellIs" dxfId="632" priority="322" operator="equal">
      <formula>"LG"</formula>
    </cfRule>
    <cfRule type="cellIs" dxfId="631" priority="323" operator="equal">
      <formula>"JC"</formula>
    </cfRule>
    <cfRule type="cellIs" dxfId="630" priority="319" operator="equal">
      <formula>"LF"</formula>
    </cfRule>
    <cfRule type="cellIs" dxfId="629" priority="326" operator="equal">
      <formula>"GR"</formula>
    </cfRule>
    <cfRule type="cellIs" dxfId="628" priority="325" operator="equal">
      <formula>"HA"</formula>
    </cfRule>
    <cfRule type="cellIs" dxfId="627" priority="314" operator="equal">
      <formula>"RF"</formula>
    </cfRule>
    <cfRule type="cellIs" dxfId="626" priority="315" operator="equal">
      <formula>"BH"</formula>
    </cfRule>
    <cfRule type="cellIs" dxfId="625" priority="316" operator="equal">
      <formula>"IA"</formula>
    </cfRule>
    <cfRule type="cellIs" dxfId="624" priority="320" operator="equal">
      <formula>"TA"</formula>
    </cfRule>
    <cfRule type="cellIs" dxfId="623" priority="317" operator="equal">
      <formula>"JD"</formula>
    </cfRule>
    <cfRule type="cellIs" dxfId="622" priority="318" operator="equal">
      <formula>"RG"</formula>
    </cfRule>
    <cfRule type="cellIs" dxfId="621" priority="321" operator="equal">
      <formula>"MS"</formula>
    </cfRule>
  </conditionalFormatting>
  <conditionalFormatting sqref="GD15:GD20">
    <cfRule type="cellIs" dxfId="620" priority="4" operator="equal">
      <formula>"BH"</formula>
    </cfRule>
    <cfRule type="cellIs" dxfId="619" priority="5" operator="equal">
      <formula>"IA"</formula>
    </cfRule>
    <cfRule type="cellIs" dxfId="618" priority="13" operator="equal">
      <formula>"CR"</formula>
    </cfRule>
    <cfRule type="cellIs" dxfId="617" priority="10" operator="equal">
      <formula>"MS"</formula>
    </cfRule>
    <cfRule type="cellIs" dxfId="616" priority="12" operator="equal">
      <formula>"JC"</formula>
    </cfRule>
    <cfRule type="cellIs" dxfId="615" priority="15" operator="equal">
      <formula>"GR"</formula>
    </cfRule>
    <cfRule type="cellIs" dxfId="614" priority="14" operator="equal">
      <formula>"HA"</formula>
    </cfRule>
    <cfRule type="cellIs" dxfId="613" priority="11" operator="equal">
      <formula>"LG"</formula>
    </cfRule>
    <cfRule type="cellIs" dxfId="612" priority="9" operator="equal">
      <formula>"TA"</formula>
    </cfRule>
    <cfRule type="cellIs" dxfId="611" priority="8" operator="equal">
      <formula>"LF"</formula>
    </cfRule>
    <cfRule type="cellIs" dxfId="610" priority="7" operator="equal">
      <formula>"RG"</formula>
    </cfRule>
    <cfRule type="cellIs" dxfId="609" priority="6" operator="equal">
      <formula>"JD"</formula>
    </cfRule>
    <cfRule type="cellIs" dxfId="608" priority="3" operator="equal">
      <formula>"RF"</formula>
    </cfRule>
  </conditionalFormatting>
  <conditionalFormatting sqref="GD7:HU68">
    <cfRule type="cellIs" dxfId="607" priority="37" operator="equal">
      <formula>"LG"</formula>
    </cfRule>
    <cfRule type="cellIs" dxfId="606" priority="38" operator="equal">
      <formula>"JC"</formula>
    </cfRule>
    <cfRule type="cellIs" dxfId="605" priority="39" operator="equal">
      <formula>"CR"</formula>
    </cfRule>
    <cfRule type="cellIs" dxfId="604" priority="40" operator="equal">
      <formula>"HA"</formula>
    </cfRule>
    <cfRule type="cellIs" dxfId="603" priority="32" operator="equal">
      <formula>"JD"</formula>
    </cfRule>
    <cfRule type="cellIs" dxfId="602" priority="29" operator="equal">
      <formula>"RF"</formula>
    </cfRule>
    <cfRule type="cellIs" dxfId="601" priority="30" operator="equal">
      <formula>"BH"</formula>
    </cfRule>
    <cfRule type="cellIs" dxfId="600" priority="31" operator="equal">
      <formula>"IA"</formula>
    </cfRule>
    <cfRule type="cellIs" dxfId="599" priority="33" operator="equal">
      <formula>"RG"</formula>
    </cfRule>
    <cfRule type="cellIs" dxfId="598" priority="34" operator="equal">
      <formula>"LF"</formula>
    </cfRule>
    <cfRule type="cellIs" dxfId="597" priority="35" operator="equal">
      <formula>"TA"</formula>
    </cfRule>
    <cfRule type="cellIs" dxfId="596" priority="36" operator="equal">
      <formula>"MS"</formula>
    </cfRule>
    <cfRule type="cellIs" dxfId="595" priority="41" operator="equal">
      <formula>"GR"</formula>
    </cfRule>
  </conditionalFormatting>
  <conditionalFormatting sqref="GD7:XFD68">
    <cfRule type="cellIs" dxfId="594" priority="42" operator="equal">
      <formula>"MP"</formula>
    </cfRule>
  </conditionalFormatting>
  <conditionalFormatting sqref="GZ16:HA21">
    <cfRule type="cellIs" dxfId="593" priority="19" operator="equal">
      <formula>"JD"</formula>
    </cfRule>
    <cfRule type="cellIs" dxfId="592" priority="18" operator="equal">
      <formula>"IA"</formula>
    </cfRule>
    <cfRule type="cellIs" dxfId="591" priority="16" operator="equal">
      <formula>"RF"</formula>
    </cfRule>
    <cfRule type="cellIs" dxfId="590" priority="28" operator="equal">
      <formula>"GR"</formula>
    </cfRule>
    <cfRule type="cellIs" dxfId="589" priority="22" operator="equal">
      <formula>"TA"</formula>
    </cfRule>
    <cfRule type="cellIs" dxfId="588" priority="21" operator="equal">
      <formula>"LF"</formula>
    </cfRule>
    <cfRule type="cellIs" dxfId="587" priority="20" operator="equal">
      <formula>"RG"</formula>
    </cfRule>
    <cfRule type="cellIs" dxfId="586" priority="17" operator="equal">
      <formula>"BH"</formula>
    </cfRule>
    <cfRule type="cellIs" dxfId="585" priority="27" operator="equal">
      <formula>"HA"</formula>
    </cfRule>
    <cfRule type="cellIs" dxfId="584" priority="26" operator="equal">
      <formula>"CR"</formula>
    </cfRule>
    <cfRule type="cellIs" dxfId="583" priority="25" operator="equal">
      <formula>"JC"</formula>
    </cfRule>
    <cfRule type="cellIs" dxfId="582" priority="24" operator="equal">
      <formula>"LG"</formula>
    </cfRule>
    <cfRule type="cellIs" dxfId="581" priority="23" operator="equal">
      <formula>"MS"</formula>
    </cfRule>
  </conditionalFormatting>
  <conditionalFormatting sqref="HV31:HV36">
    <cfRule type="cellIs" dxfId="580" priority="50" operator="equal">
      <formula>"MS"</formula>
    </cfRule>
    <cfRule type="cellIs" dxfId="579" priority="54" operator="equal">
      <formula>"HA"</formula>
    </cfRule>
    <cfRule type="cellIs" dxfId="578" priority="53" operator="equal">
      <formula>"CR"</formula>
    </cfRule>
    <cfRule type="cellIs" dxfId="577" priority="52" operator="equal">
      <formula>"JC"</formula>
    </cfRule>
    <cfRule type="cellIs" dxfId="576" priority="51" operator="equal">
      <formula>"LG"</formula>
    </cfRule>
    <cfRule type="cellIs" dxfId="575" priority="49" operator="equal">
      <formula>"TA"</formula>
    </cfRule>
    <cfRule type="cellIs" dxfId="574" priority="47" operator="equal">
      <formula>"RG"</formula>
    </cfRule>
    <cfRule type="cellIs" dxfId="573" priority="55" operator="equal">
      <formula>"GR"</formula>
    </cfRule>
    <cfRule type="cellIs" dxfId="572" priority="46" operator="equal">
      <formula>"JD"</formula>
    </cfRule>
    <cfRule type="cellIs" dxfId="571" priority="45" operator="equal">
      <formula>"IA"</formula>
    </cfRule>
    <cfRule type="cellIs" dxfId="570" priority="44" operator="equal">
      <formula>"BH"</formula>
    </cfRule>
    <cfRule type="cellIs" dxfId="569" priority="43" operator="equal">
      <formula>"RF"</formula>
    </cfRule>
    <cfRule type="cellIs" dxfId="568" priority="48" operator="equal">
      <formula>"LF"</formula>
    </cfRule>
  </conditionalFormatting>
  <conditionalFormatting sqref="HV7:XFD16 HV17:JM21 HV22:HV28">
    <cfRule type="cellIs" dxfId="567" priority="1009" operator="equal">
      <formula>"TA"</formula>
    </cfRule>
    <cfRule type="cellIs" dxfId="566" priority="1008" operator="equal">
      <formula>"LF"</formula>
    </cfRule>
    <cfRule type="cellIs" dxfId="565" priority="1007" operator="equal">
      <formula>"RG"</formula>
    </cfRule>
    <cfRule type="cellIs" dxfId="564" priority="1006" operator="equal">
      <formula>"JD"</formula>
    </cfRule>
    <cfRule type="cellIs" dxfId="563" priority="1005" operator="equal">
      <formula>"IA"</formula>
    </cfRule>
    <cfRule type="cellIs" dxfId="562" priority="1013" operator="equal">
      <formula>"CR"</formula>
    </cfRule>
    <cfRule type="cellIs" dxfId="561" priority="1012" operator="equal">
      <formula>"JC"</formula>
    </cfRule>
    <cfRule type="cellIs" dxfId="560" priority="1011" operator="equal">
      <formula>"LG"</formula>
    </cfRule>
    <cfRule type="cellIs" dxfId="559" priority="1003" operator="equal">
      <formula>"RF"</formula>
    </cfRule>
    <cfRule type="cellIs" dxfId="558" priority="1010" operator="equal">
      <formula>"MS"</formula>
    </cfRule>
    <cfRule type="cellIs" dxfId="557" priority="1014" operator="equal">
      <formula>"HA"</formula>
    </cfRule>
    <cfRule type="cellIs" dxfId="556" priority="1015" operator="equal">
      <formula>"GR"</formula>
    </cfRule>
    <cfRule type="cellIs" dxfId="555" priority="1004" operator="equal">
      <formula>"BH"</formula>
    </cfRule>
  </conditionalFormatting>
  <conditionalFormatting sqref="JN31:JN36">
    <cfRule type="cellIs" dxfId="554" priority="505" operator="equal">
      <formula>"BH"</formula>
    </cfRule>
    <cfRule type="cellIs" dxfId="553" priority="506" operator="equal">
      <formula>"IA"</formula>
    </cfRule>
    <cfRule type="cellIs" dxfId="552" priority="507" operator="equal">
      <formula>"JD"</formula>
    </cfRule>
    <cfRule type="cellIs" dxfId="551" priority="508" operator="equal">
      <formula>"RG"</formula>
    </cfRule>
    <cfRule type="cellIs" dxfId="550" priority="509" operator="equal">
      <formula>"LF"</formula>
    </cfRule>
    <cfRule type="cellIs" dxfId="549" priority="510" operator="equal">
      <formula>"TA"</formula>
    </cfRule>
    <cfRule type="cellIs" dxfId="548" priority="511" operator="equal">
      <formula>"MS"</formula>
    </cfRule>
    <cfRule type="cellIs" dxfId="547" priority="512" operator="equal">
      <formula>"LG"</formula>
    </cfRule>
    <cfRule type="cellIs" dxfId="546" priority="513" operator="equal">
      <formula>"JC"</formula>
    </cfRule>
    <cfRule type="cellIs" dxfId="545" priority="514" operator="equal">
      <formula>"CR"</formula>
    </cfRule>
    <cfRule type="cellIs" dxfId="544" priority="515" operator="equal">
      <formula>"HA"</formula>
    </cfRule>
    <cfRule type="cellIs" dxfId="543" priority="516" operator="equal">
      <formula>"GR"</formula>
    </cfRule>
    <cfRule type="cellIs" dxfId="542" priority="504" operator="equal">
      <formula>"RF"</formula>
    </cfRule>
  </conditionalFormatting>
  <conditionalFormatting sqref="JN45:JN48">
    <cfRule type="cellIs" dxfId="541" priority="496" operator="equal">
      <formula>"LF"</formula>
    </cfRule>
    <cfRule type="cellIs" dxfId="540" priority="501" operator="equal">
      <formula>"CR"</formula>
    </cfRule>
    <cfRule type="cellIs" dxfId="539" priority="500" operator="equal">
      <formula>"JC"</formula>
    </cfRule>
    <cfRule type="cellIs" dxfId="538" priority="499" operator="equal">
      <formula>"LG"</formula>
    </cfRule>
    <cfRule type="cellIs" dxfId="537" priority="497" operator="equal">
      <formula>"TA"</formula>
    </cfRule>
    <cfRule type="cellIs" dxfId="536" priority="495" operator="equal">
      <formula>"RG"</formula>
    </cfRule>
    <cfRule type="cellIs" dxfId="535" priority="498" operator="equal">
      <formula>"MS"</formula>
    </cfRule>
    <cfRule type="cellIs" dxfId="534" priority="494" operator="equal">
      <formula>"JD"</formula>
    </cfRule>
    <cfRule type="cellIs" dxfId="533" priority="503" operator="equal">
      <formula>"GR"</formula>
    </cfRule>
    <cfRule type="cellIs" dxfId="532" priority="493" operator="equal">
      <formula>"IA"</formula>
    </cfRule>
    <cfRule type="cellIs" dxfId="531" priority="492" operator="equal">
      <formula>"BH"</formula>
    </cfRule>
    <cfRule type="cellIs" dxfId="530" priority="491" operator="equal">
      <formula>"RF"</formula>
    </cfRule>
    <cfRule type="cellIs" dxfId="529" priority="502" operator="equal">
      <formula>"HA"</formula>
    </cfRule>
  </conditionalFormatting>
  <conditionalFormatting sqref="JN17:LE30">
    <cfRule type="cellIs" dxfId="528" priority="518" operator="equal">
      <formula>"BH"</formula>
    </cfRule>
    <cfRule type="cellIs" dxfId="527" priority="519" operator="equal">
      <formula>"IA"</formula>
    </cfRule>
    <cfRule type="cellIs" dxfId="526" priority="520" operator="equal">
      <formula>"JD"</formula>
    </cfRule>
    <cfRule type="cellIs" dxfId="525" priority="521" operator="equal">
      <formula>"RG"</formula>
    </cfRule>
    <cfRule type="cellIs" dxfId="524" priority="522" operator="equal">
      <formula>"LF"</formula>
    </cfRule>
    <cfRule type="cellIs" dxfId="523" priority="523" operator="equal">
      <formula>"TA"</formula>
    </cfRule>
    <cfRule type="cellIs" dxfId="522" priority="525" operator="equal">
      <formula>"LG"</formula>
    </cfRule>
    <cfRule type="cellIs" dxfId="521" priority="526" operator="equal">
      <formula>"JC"</formula>
    </cfRule>
    <cfRule type="cellIs" dxfId="520" priority="527" operator="equal">
      <formula>"CR"</formula>
    </cfRule>
    <cfRule type="cellIs" dxfId="519" priority="528" operator="equal">
      <formula>"HA"</formula>
    </cfRule>
    <cfRule type="cellIs" dxfId="518" priority="529" operator="equal">
      <formula>"GR"</formula>
    </cfRule>
    <cfRule type="cellIs" dxfId="517" priority="524" operator="equal">
      <formula>"MS"</formula>
    </cfRule>
    <cfRule type="cellIs" dxfId="516" priority="517" operator="equal">
      <formula>"RF"</formula>
    </cfRule>
  </conditionalFormatting>
  <conditionalFormatting sqref="JO31:LE35 JN36:LE52">
    <cfRule type="cellIs" dxfId="515" priority="531" operator="equal">
      <formula>"RF"</formula>
    </cfRule>
    <cfRule type="cellIs" dxfId="514" priority="532" operator="equal">
      <formula>"BH"</formula>
    </cfRule>
    <cfRule type="cellIs" dxfId="513" priority="543" operator="equal">
      <formula>"GR"</formula>
    </cfRule>
    <cfRule type="cellIs" dxfId="512" priority="542" operator="equal">
      <formula>"HA"</formula>
    </cfRule>
    <cfRule type="cellIs" dxfId="511" priority="541" operator="equal">
      <formula>"CR"</formula>
    </cfRule>
    <cfRule type="cellIs" dxfId="510" priority="540" operator="equal">
      <formula>"JC"</formula>
    </cfRule>
    <cfRule type="cellIs" dxfId="509" priority="538" operator="equal">
      <formula>"MS"</formula>
    </cfRule>
    <cfRule type="cellIs" dxfId="508" priority="537" operator="equal">
      <formula>"TA"</formula>
    </cfRule>
    <cfRule type="cellIs" dxfId="507" priority="536" operator="equal">
      <formula>"LF"</formula>
    </cfRule>
    <cfRule type="cellIs" dxfId="506" priority="539" operator="equal">
      <formula>"LG"</formula>
    </cfRule>
    <cfRule type="cellIs" dxfId="505" priority="535" operator="equal">
      <formula>"RG"</formula>
    </cfRule>
    <cfRule type="cellIs" dxfId="504" priority="534" operator="equal">
      <formula>"JD"</formula>
    </cfRule>
    <cfRule type="cellIs" dxfId="503" priority="533" operator="equal">
      <formula>"IA"</formula>
    </cfRule>
  </conditionalFormatting>
  <conditionalFormatting sqref="KI41:KI44">
    <cfRule type="cellIs" dxfId="502" priority="478" operator="equal">
      <formula>"RF"</formula>
    </cfRule>
    <cfRule type="cellIs" dxfId="501" priority="479" operator="equal">
      <formula>"BH"</formula>
    </cfRule>
    <cfRule type="cellIs" dxfId="500" priority="486" operator="equal">
      <formula>"LG"</formula>
    </cfRule>
    <cfRule type="cellIs" dxfId="499" priority="480" operator="equal">
      <formula>"IA"</formula>
    </cfRule>
    <cfRule type="cellIs" dxfId="498" priority="481" operator="equal">
      <formula>"JD"</formula>
    </cfRule>
    <cfRule type="cellIs" dxfId="497" priority="482" operator="equal">
      <formula>"RG"</formula>
    </cfRule>
    <cfRule type="cellIs" dxfId="496" priority="483" operator="equal">
      <formula>"LF"</formula>
    </cfRule>
    <cfRule type="cellIs" dxfId="495" priority="484" operator="equal">
      <formula>"TA"</formula>
    </cfRule>
    <cfRule type="cellIs" dxfId="494" priority="485" operator="equal">
      <formula>"MS"</formula>
    </cfRule>
    <cfRule type="cellIs" dxfId="493" priority="487" operator="equal">
      <formula>"JC"</formula>
    </cfRule>
    <cfRule type="cellIs" dxfId="492" priority="489" operator="equal">
      <formula>"HA"</formula>
    </cfRule>
    <cfRule type="cellIs" dxfId="491" priority="490" operator="equal">
      <formula>"GR"</formula>
    </cfRule>
    <cfRule type="cellIs" dxfId="490" priority="488" operator="equal">
      <formula>"CR"</formula>
    </cfRule>
  </conditionalFormatting>
  <conditionalFormatting sqref="KI49:KI52">
    <cfRule type="cellIs" dxfId="489" priority="476" operator="equal">
      <formula>"HA"</formula>
    </cfRule>
    <cfRule type="cellIs" dxfId="488" priority="475" operator="equal">
      <formula>"CR"</formula>
    </cfRule>
    <cfRule type="cellIs" dxfId="487" priority="474" operator="equal">
      <formula>"JC"</formula>
    </cfRule>
    <cfRule type="cellIs" dxfId="486" priority="473" operator="equal">
      <formula>"LG"</formula>
    </cfRule>
    <cfRule type="cellIs" dxfId="485" priority="467" operator="equal">
      <formula>"IA"</formula>
    </cfRule>
    <cfRule type="cellIs" dxfId="484" priority="472" operator="equal">
      <formula>"MS"</formula>
    </cfRule>
    <cfRule type="cellIs" dxfId="483" priority="471" operator="equal">
      <formula>"TA"</formula>
    </cfRule>
    <cfRule type="cellIs" dxfId="482" priority="470" operator="equal">
      <formula>"LF"</formula>
    </cfRule>
    <cfRule type="cellIs" dxfId="481" priority="469" operator="equal">
      <formula>"RG"</formula>
    </cfRule>
    <cfRule type="cellIs" dxfId="480" priority="468" operator="equal">
      <formula>"JD"</formula>
    </cfRule>
    <cfRule type="cellIs" dxfId="479" priority="466" operator="equal">
      <formula>"BH"</formula>
    </cfRule>
    <cfRule type="cellIs" dxfId="478" priority="465" operator="equal">
      <formula>"RF"</formula>
    </cfRule>
    <cfRule type="cellIs" dxfId="477" priority="477" operator="equal">
      <formula>"GR"</formula>
    </cfRule>
  </conditionalFormatting>
  <conditionalFormatting sqref="LF17:XFD52">
    <cfRule type="cellIs" dxfId="476" priority="762" operator="equal">
      <formula>"LG"</formula>
    </cfRule>
    <cfRule type="cellIs" dxfId="475" priority="761" operator="equal">
      <formula>"MS"</formula>
    </cfRule>
    <cfRule type="cellIs" dxfId="474" priority="760" operator="equal">
      <formula>"TA"</formula>
    </cfRule>
    <cfRule type="cellIs" dxfId="473" priority="758" operator="equal">
      <formula>"RG"</formula>
    </cfRule>
    <cfRule type="cellIs" dxfId="472" priority="757" operator="equal">
      <formula>"JD"</formula>
    </cfRule>
    <cfRule type="cellIs" dxfId="471" priority="759" operator="equal">
      <formula>"LF"</formula>
    </cfRule>
    <cfRule type="cellIs" dxfId="470" priority="756" operator="equal">
      <formula>"IA"</formula>
    </cfRule>
    <cfRule type="cellIs" dxfId="469" priority="765" operator="equal">
      <formula>"HA"</formula>
    </cfRule>
    <cfRule type="cellIs" dxfId="468" priority="764" operator="equal">
      <formula>"CR"</formula>
    </cfRule>
    <cfRule type="cellIs" dxfId="467" priority="755" operator="equal">
      <formula>"BH"</formula>
    </cfRule>
    <cfRule type="cellIs" dxfId="466" priority="754" operator="equal">
      <formula>"RF"</formula>
    </cfRule>
    <cfRule type="cellIs" dxfId="465" priority="763" operator="equal">
      <formula>"JC"</formula>
    </cfRule>
    <cfRule type="cellIs" dxfId="464" priority="766" operator="equal">
      <formula>"GR"</formula>
    </cfRule>
  </conditionalFormatting>
  <printOptions horizontalCentered="1" verticalCentered="1"/>
  <pageMargins left="0.21" right="0.57999999999999996" top="0.15" bottom="0.15" header="0.12" footer="0.12"/>
  <pageSetup paperSize="9" scale="68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99"/>
    <pageSetUpPr fitToPage="1"/>
  </sheetPr>
  <dimension ref="A1:DU64"/>
  <sheetViews>
    <sheetView view="pageBreakPreview" zoomScale="220" zoomScaleNormal="85" zoomScaleSheetLayoutView="220" workbookViewId="0">
      <pane xSplit="7" ySplit="1" topLeftCell="CZ2" activePane="bottomRight" state="frozen"/>
      <selection activeCell="T27" sqref="T27"/>
      <selection pane="topRight" activeCell="T27" sqref="T27"/>
      <selection pane="bottomLeft" activeCell="T27" sqref="T27"/>
      <selection pane="bottomRight" activeCell="DD15" sqref="DD15"/>
    </sheetView>
  </sheetViews>
  <sheetFormatPr defaultColWidth="9.33203125" defaultRowHeight="10.199999999999999"/>
  <cols>
    <col min="1" max="1" width="2.6640625" style="10" bestFit="1" customWidth="1"/>
    <col min="2" max="2" width="17.33203125" style="207" customWidth="1"/>
    <col min="3" max="3" width="3.6640625" style="207" hidden="1" customWidth="1"/>
    <col min="4" max="4" width="7.33203125" style="29" hidden="1" customWidth="1"/>
    <col min="5" max="5" width="10.44140625" style="29" bestFit="1" customWidth="1"/>
    <col min="6" max="6" width="4.6640625" style="207" bestFit="1" customWidth="1"/>
    <col min="7" max="7" width="4.6640625" style="207" customWidth="1"/>
    <col min="8" max="91" width="3.33203125" style="10" customWidth="1"/>
    <col min="92" max="92" width="1.33203125" style="10" customWidth="1"/>
    <col min="93" max="93" width="4.44140625" style="10" bestFit="1" customWidth="1"/>
    <col min="94" max="94" width="3.6640625" style="10" customWidth="1"/>
    <col min="95" max="95" width="4.44140625" style="10" bestFit="1" customWidth="1"/>
    <col min="96" max="96" width="4.44140625" style="10" customWidth="1"/>
    <col min="97" max="97" width="4.44140625" style="10" bestFit="1" customWidth="1"/>
    <col min="98" max="98" width="4.44140625" style="10" customWidth="1"/>
    <col min="99" max="99" width="4.44140625" style="10" bestFit="1" customWidth="1"/>
    <col min="100" max="100" width="4.33203125" style="10" bestFit="1" customWidth="1"/>
    <col min="101" max="103" width="4.33203125" style="10" customWidth="1"/>
    <col min="104" max="104" width="4.44140625" style="10" bestFit="1" customWidth="1"/>
    <col min="105" max="105" width="7.33203125" style="10" bestFit="1" customWidth="1"/>
    <col min="106" max="106" width="1.6640625" style="10" customWidth="1"/>
    <col min="107" max="113" width="4.33203125" style="10" bestFit="1" customWidth="1"/>
    <col min="114" max="125" width="3.33203125" style="10" customWidth="1"/>
    <col min="126" max="16384" width="9.33203125" style="10"/>
  </cols>
  <sheetData>
    <row r="1" spans="1:125" ht="12.75" customHeight="1">
      <c r="B1" s="197"/>
      <c r="C1" s="198"/>
      <c r="D1" s="26"/>
      <c r="E1" s="26"/>
      <c r="F1" s="199"/>
      <c r="G1" s="200"/>
      <c r="H1" s="393" t="s">
        <v>36</v>
      </c>
      <c r="I1" s="394"/>
      <c r="J1" s="394"/>
      <c r="K1" s="394"/>
      <c r="L1" s="394"/>
      <c r="M1" s="394"/>
      <c r="N1" s="394"/>
      <c r="O1" s="394"/>
      <c r="P1" s="395"/>
      <c r="Q1" s="395"/>
      <c r="R1" s="395"/>
      <c r="S1" s="395"/>
      <c r="T1" s="393" t="s">
        <v>37</v>
      </c>
      <c r="U1" s="394"/>
      <c r="V1" s="394"/>
      <c r="W1" s="394"/>
      <c r="X1" s="394"/>
      <c r="Y1" s="394"/>
      <c r="Z1" s="394"/>
      <c r="AA1" s="394"/>
      <c r="AB1" s="395"/>
      <c r="AC1" s="395"/>
      <c r="AD1" s="395"/>
      <c r="AE1" s="396"/>
      <c r="AF1" s="393" t="s">
        <v>38</v>
      </c>
      <c r="AG1" s="394"/>
      <c r="AH1" s="394"/>
      <c r="AI1" s="394"/>
      <c r="AJ1" s="394"/>
      <c r="AK1" s="394"/>
      <c r="AL1" s="394"/>
      <c r="AM1" s="394"/>
      <c r="AN1" s="395"/>
      <c r="AO1" s="395"/>
      <c r="AP1" s="395"/>
      <c r="AQ1" s="396"/>
      <c r="AR1" s="393" t="s">
        <v>39</v>
      </c>
      <c r="AS1" s="394"/>
      <c r="AT1" s="394"/>
      <c r="AU1" s="394"/>
      <c r="AV1" s="394"/>
      <c r="AW1" s="394"/>
      <c r="AX1" s="394"/>
      <c r="AY1" s="394"/>
      <c r="AZ1" s="395"/>
      <c r="BA1" s="395"/>
      <c r="BB1" s="395"/>
      <c r="BC1" s="396"/>
      <c r="BD1" s="407" t="s">
        <v>40</v>
      </c>
      <c r="BE1" s="408"/>
      <c r="BF1" s="408"/>
      <c r="BG1" s="408"/>
      <c r="BH1" s="408"/>
      <c r="BI1" s="408"/>
      <c r="BJ1" s="408"/>
      <c r="BK1" s="408"/>
      <c r="BL1" s="408"/>
      <c r="BM1" s="408"/>
      <c r="BN1" s="408"/>
      <c r="BO1" s="409"/>
      <c r="BP1" s="393" t="s">
        <v>41</v>
      </c>
      <c r="BQ1" s="394"/>
      <c r="BR1" s="394"/>
      <c r="BS1" s="394"/>
      <c r="BT1" s="394"/>
      <c r="BU1" s="394"/>
      <c r="BV1" s="394"/>
      <c r="BW1" s="394"/>
      <c r="BX1" s="395"/>
      <c r="BY1" s="395"/>
      <c r="BZ1" s="395"/>
      <c r="CA1" s="396"/>
      <c r="CB1" s="393" t="s">
        <v>22</v>
      </c>
      <c r="CC1" s="394"/>
      <c r="CD1" s="394"/>
      <c r="CE1" s="394"/>
      <c r="CF1" s="394"/>
      <c r="CG1" s="394"/>
      <c r="CH1" s="394"/>
      <c r="CI1" s="394"/>
      <c r="CJ1" s="395"/>
      <c r="CK1" s="395"/>
      <c r="CL1" s="395"/>
      <c r="CM1" s="396"/>
      <c r="CN1" s="23"/>
      <c r="CO1" s="393" t="s">
        <v>18</v>
      </c>
      <c r="CP1" s="394"/>
      <c r="CQ1" s="394"/>
      <c r="CR1" s="394"/>
      <c r="CS1" s="394"/>
      <c r="CT1" s="394"/>
      <c r="CU1" s="394"/>
      <c r="CV1" s="394"/>
      <c r="CW1" s="394"/>
      <c r="CX1" s="394"/>
      <c r="CY1" s="394"/>
      <c r="CZ1" s="394"/>
      <c r="DA1" s="396"/>
      <c r="DB1" s="11"/>
      <c r="DC1" s="32"/>
      <c r="DD1" s="32"/>
      <c r="DE1" s="32"/>
      <c r="DF1" s="32"/>
      <c r="DG1" s="32"/>
      <c r="DH1" s="32"/>
      <c r="DI1" s="32"/>
      <c r="DJ1" s="11"/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2"/>
    </row>
    <row r="2" spans="1:125">
      <c r="B2" s="201" t="s">
        <v>42</v>
      </c>
      <c r="C2" s="202" t="s">
        <v>43</v>
      </c>
      <c r="D2" s="27" t="s">
        <v>158</v>
      </c>
      <c r="E2" s="27" t="s">
        <v>333</v>
      </c>
      <c r="F2" s="203" t="s">
        <v>23</v>
      </c>
      <c r="G2" s="204" t="s">
        <v>190</v>
      </c>
      <c r="H2" s="13" t="s">
        <v>32</v>
      </c>
      <c r="I2" s="14" t="s">
        <v>48</v>
      </c>
      <c r="J2" s="14" t="s">
        <v>184</v>
      </c>
      <c r="K2" s="14" t="s">
        <v>155</v>
      </c>
      <c r="L2" s="14" t="s">
        <v>356</v>
      </c>
      <c r="M2" s="14" t="s">
        <v>357</v>
      </c>
      <c r="N2" s="14" t="s">
        <v>33</v>
      </c>
      <c r="O2" s="14" t="s">
        <v>34</v>
      </c>
      <c r="P2" s="14" t="s">
        <v>66</v>
      </c>
      <c r="Q2" s="14" t="s">
        <v>49</v>
      </c>
      <c r="R2" s="14" t="s">
        <v>358</v>
      </c>
      <c r="S2" s="237" t="s">
        <v>35</v>
      </c>
      <c r="T2" s="13" t="s">
        <v>32</v>
      </c>
      <c r="U2" s="14" t="s">
        <v>48</v>
      </c>
      <c r="V2" s="14" t="s">
        <v>184</v>
      </c>
      <c r="W2" s="14" t="s">
        <v>155</v>
      </c>
      <c r="X2" s="14" t="s">
        <v>356</v>
      </c>
      <c r="Y2" s="14" t="s">
        <v>357</v>
      </c>
      <c r="Z2" s="14" t="s">
        <v>33</v>
      </c>
      <c r="AA2" s="14" t="s">
        <v>34</v>
      </c>
      <c r="AB2" s="14" t="s">
        <v>66</v>
      </c>
      <c r="AC2" s="14" t="s">
        <v>49</v>
      </c>
      <c r="AD2" s="14" t="s">
        <v>358</v>
      </c>
      <c r="AE2" s="237" t="s">
        <v>35</v>
      </c>
      <c r="AF2" s="13" t="s">
        <v>32</v>
      </c>
      <c r="AG2" s="14" t="s">
        <v>48</v>
      </c>
      <c r="AH2" s="14" t="s">
        <v>184</v>
      </c>
      <c r="AI2" s="14" t="s">
        <v>155</v>
      </c>
      <c r="AJ2" s="14" t="s">
        <v>356</v>
      </c>
      <c r="AK2" s="14" t="s">
        <v>357</v>
      </c>
      <c r="AL2" s="14" t="s">
        <v>33</v>
      </c>
      <c r="AM2" s="14" t="s">
        <v>34</v>
      </c>
      <c r="AN2" s="14" t="s">
        <v>66</v>
      </c>
      <c r="AO2" s="14" t="s">
        <v>49</v>
      </c>
      <c r="AP2" s="14" t="s">
        <v>358</v>
      </c>
      <c r="AQ2" s="237" t="s">
        <v>35</v>
      </c>
      <c r="AR2" s="13" t="s">
        <v>32</v>
      </c>
      <c r="AS2" s="14" t="s">
        <v>48</v>
      </c>
      <c r="AT2" s="14" t="s">
        <v>184</v>
      </c>
      <c r="AU2" s="14" t="s">
        <v>155</v>
      </c>
      <c r="AV2" s="14" t="s">
        <v>356</v>
      </c>
      <c r="AW2" s="14" t="s">
        <v>357</v>
      </c>
      <c r="AX2" s="14" t="s">
        <v>33</v>
      </c>
      <c r="AY2" s="14" t="s">
        <v>34</v>
      </c>
      <c r="AZ2" s="14" t="s">
        <v>66</v>
      </c>
      <c r="BA2" s="14" t="s">
        <v>49</v>
      </c>
      <c r="BB2" s="14" t="s">
        <v>358</v>
      </c>
      <c r="BC2" s="237" t="s">
        <v>35</v>
      </c>
      <c r="BD2" s="13" t="s">
        <v>32</v>
      </c>
      <c r="BE2" s="14" t="s">
        <v>48</v>
      </c>
      <c r="BF2" s="14" t="s">
        <v>184</v>
      </c>
      <c r="BG2" s="14" t="s">
        <v>155</v>
      </c>
      <c r="BH2" s="14" t="s">
        <v>356</v>
      </c>
      <c r="BI2" s="14" t="s">
        <v>357</v>
      </c>
      <c r="BJ2" s="14" t="s">
        <v>33</v>
      </c>
      <c r="BK2" s="14" t="s">
        <v>34</v>
      </c>
      <c r="BL2" s="14" t="s">
        <v>66</v>
      </c>
      <c r="BM2" s="14" t="s">
        <v>49</v>
      </c>
      <c r="BN2" s="14" t="s">
        <v>358</v>
      </c>
      <c r="BO2" s="237" t="s">
        <v>35</v>
      </c>
      <c r="BP2" s="13" t="s">
        <v>32</v>
      </c>
      <c r="BQ2" s="14" t="s">
        <v>48</v>
      </c>
      <c r="BR2" s="14" t="s">
        <v>184</v>
      </c>
      <c r="BS2" s="14" t="s">
        <v>155</v>
      </c>
      <c r="BT2" s="14" t="s">
        <v>356</v>
      </c>
      <c r="BU2" s="14" t="s">
        <v>357</v>
      </c>
      <c r="BV2" s="14" t="s">
        <v>33</v>
      </c>
      <c r="BW2" s="14" t="s">
        <v>34</v>
      </c>
      <c r="BX2" s="14" t="s">
        <v>66</v>
      </c>
      <c r="BY2" s="14" t="s">
        <v>49</v>
      </c>
      <c r="BZ2" s="14" t="s">
        <v>358</v>
      </c>
      <c r="CA2" s="237" t="s">
        <v>35</v>
      </c>
      <c r="CB2" s="13" t="s">
        <v>32</v>
      </c>
      <c r="CC2" s="14" t="s">
        <v>48</v>
      </c>
      <c r="CD2" s="14" t="s">
        <v>184</v>
      </c>
      <c r="CE2" s="14" t="s">
        <v>155</v>
      </c>
      <c r="CF2" s="14" t="s">
        <v>356</v>
      </c>
      <c r="CG2" s="14" t="s">
        <v>357</v>
      </c>
      <c r="CH2" s="14" t="s">
        <v>33</v>
      </c>
      <c r="CI2" s="14" t="s">
        <v>34</v>
      </c>
      <c r="CJ2" s="14" t="s">
        <v>66</v>
      </c>
      <c r="CK2" s="14" t="s">
        <v>49</v>
      </c>
      <c r="CL2" s="14" t="s">
        <v>358</v>
      </c>
      <c r="CM2" s="237" t="s">
        <v>35</v>
      </c>
      <c r="CN2" s="20"/>
      <c r="CO2" s="13" t="s">
        <v>32</v>
      </c>
      <c r="CP2" s="14" t="s">
        <v>48</v>
      </c>
      <c r="CQ2" s="14" t="s">
        <v>184</v>
      </c>
      <c r="CR2" s="14" t="s">
        <v>155</v>
      </c>
      <c r="CS2" s="14" t="s">
        <v>356</v>
      </c>
      <c r="CT2" s="14" t="s">
        <v>357</v>
      </c>
      <c r="CU2" s="14" t="s">
        <v>33</v>
      </c>
      <c r="CV2" s="14" t="s">
        <v>34</v>
      </c>
      <c r="CW2" s="14" t="s">
        <v>66</v>
      </c>
      <c r="CX2" s="14" t="s">
        <v>49</v>
      </c>
      <c r="CY2" s="14" t="s">
        <v>358</v>
      </c>
      <c r="CZ2" s="14" t="s">
        <v>35</v>
      </c>
      <c r="DA2" s="15" t="s">
        <v>44</v>
      </c>
      <c r="DB2" s="16"/>
      <c r="DC2" s="33">
        <v>2</v>
      </c>
      <c r="DD2" s="33">
        <v>3</v>
      </c>
      <c r="DE2" s="33">
        <v>4</v>
      </c>
      <c r="DF2" s="33">
        <v>5</v>
      </c>
      <c r="DG2" s="33">
        <v>6</v>
      </c>
      <c r="DH2" s="33" t="s">
        <v>62</v>
      </c>
      <c r="DI2" s="33" t="s">
        <v>63</v>
      </c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7"/>
    </row>
    <row r="3" spans="1:125" ht="12" customHeight="1">
      <c r="A3" s="10">
        <v>1</v>
      </c>
      <c r="B3" s="229" t="s">
        <v>403</v>
      </c>
      <c r="C3" s="185"/>
      <c r="D3" s="230"/>
      <c r="E3" s="230"/>
      <c r="F3" s="292" t="s">
        <v>404</v>
      </c>
      <c r="G3" s="231" t="s">
        <v>192</v>
      </c>
      <c r="H3" s="79">
        <f>SUMIF(Tim!$F$7:$F$70,Ins!F3,Tim!$B$7:$B$70)</f>
        <v>0</v>
      </c>
      <c r="I3" s="80">
        <f>SUMIF(Tim!$G$7:$G$70,Ins!F3,Tim!$B$7:$B$70)+SUMIF(Tim!$H$7:$H$70,Ins!F3,Tim!$B$7:$B$70)+SUMIF(Tim!$I$7:$I$70,Ins!F3,Tim!$B$7:$B$70)+SUMIF(Tim!$J$7:$J$70,Ins!F3,Tim!$B$7:$B$70)+SUMIF(Tim!$K$7:$K$70,Ins!F3,Tim!$B$7:$B$70)+SUMIF(Tim!$L$7:$L$70,Ins!F3,Tim!$B$7:$B$70)</f>
        <v>0</v>
      </c>
      <c r="J3" s="80">
        <f>SUMIF(Tim!$M$7:$M$70,Ins!F3,Tim!$B$7:$B$70)+SUMIF(Tim!$O$7:$O$70,Ins!F3,Tim!$B$7:$B$70)+SUMIF(Tim!$N$7:$N$70,Ins!F3,Tim!$B$7:$B$70)</f>
        <v>0</v>
      </c>
      <c r="K3" s="80">
        <f>SUMIF(Tim!$P$7:$P$70,Ins!F3,Tim!$B$7:$B$70)+SUMIF(Tim!$Q$7:$Q$70,Ins!F3,Tim!$B$7:$B$70)+SUMIF(Tim!$R$7:$R$70,Ins!F3,Tim!$B$7:$B$70)+SUMIF(Tim!$S$7:$S$70,Ins!F3,Tim!$B$7:$B$70)+SUMIF(Tim!$T$7:$T$70,Ins!F3,Tim!$B$7:$B$70)</f>
        <v>0</v>
      </c>
      <c r="L3" s="80">
        <f>SUMIF(Tim!$U$7:$U$70,Ins!F3,Tim!$B$7:$B$70)+SUMIF(Tim!$W$7:$W$70,Ins!F3,Tim!$B$7:$B$70)+SUMIF(Tim!$X$7:$X$70,Ins!F3,Tim!$B$7:$B$70)</f>
        <v>0</v>
      </c>
      <c r="M3" s="80">
        <f>SUMIF(Tim!$Y$7:$Y$70,Ins!F3,Tim!$B$7:$B$70)+SUMIF(Tim!$Z$7:$Z$70,Ins!F3,Tim!$B$7:$B$70)+SUMIF(Tim!$AA$7:$AA$70,Ins!F3,Tim!$B$7:$B$70)</f>
        <v>2</v>
      </c>
      <c r="N3" s="80">
        <f>SUMIF(Tim!$AB$7:$AB$70,Ins!F3,Tim!$B$7:$B$70)</f>
        <v>2.5</v>
      </c>
      <c r="O3" s="80">
        <f>SUMIF(Tim!$AC$7:$AC$70,Ins!F3,Tim!$D$7:$D$70)+SUMIF(Tim!$AD$7:$AD$70,Ins!F3,Tim!$D$7:$D$70)+SUMIF(Tim!$AE$7:$AE$70,Ins!F3,Tim!$D$7:$D$70)+SUMIF(Tim!$AF$7:$AF$70,Ins!F3,Tim!$D$7:$D$70)+SUMIF(Tim!$AG$7:$AG$70,Ins!F3,Tim!$D$7:$D$70)+SUMIF(Tim!$AH$7:$AH$70,Ins!F3,Tim!$D$7:$D$70)+SUMIF(Tim!$AI$7:$AI$70,Ins!F3,Tim!$D$7:$D$70)+SUMIF(Tim!$AJ$7:$AJ$70,Ins!F3,Tim!$D$7:$D$70)+SUMIF(Tim!$AK$7:$AK$70,Ins!F3,Tim!$D$7:$D$70)+SUMIF(Tim!$AL$7:$AL$70,Ins!F3,Tim!$D$7:$D$70)+SUMIF(Tim!$AM$7:$AM$70,Ins!F3,Tim!$D$7:$D$70)+SUMIF(Tim!$AN$7:$AN$70,Ins!F3,Tim!$D$7:$D$70)</f>
        <v>1.5</v>
      </c>
      <c r="P3" s="80">
        <f>SUMIF(Tim!AO$7:AO$70,Ins!F3,Tim!$C$7:$C$70)</f>
        <v>0</v>
      </c>
      <c r="Q3" s="80">
        <f>SUMIF(Tim!AP$7:AP$70,Ins!F3,Tim!$C$7:$C$70)</f>
        <v>0</v>
      </c>
      <c r="R3" s="80">
        <f>SUMIF(Tim!AQ$7:AQ$70,Ins!F3,Tim!$C$7:$C$70)+SUMIF(Tim!AR$7:AR$70,Ins!F3,Tim!$C$7:$C$70)+SUMIF(Tim!AS$7:AS$70,Ins!F3,Tim!$C$7:$C$70)</f>
        <v>0</v>
      </c>
      <c r="S3" s="236">
        <f>SUMIF(Tim!$AT$7:$AT$70,Ins!F3,Tim!$C$7:$C$70)+SUMIF(Tim!$AU$7:$AU$70,Ins!F3,Tim!$C$7:$C70)+SUMIF(Tim!$AV$7:$AV$70,Ins!F3,Tim!$C$7:$C$70)+SUMIF(Tim!$AW$7:$AW$70,Ins!F3,Tim!$C$7:$C$70)+SUMIF(Tim!$AX$7:$AX$70,Ins!F3,Tim!$C$7:$C$70)</f>
        <v>2</v>
      </c>
      <c r="T3" s="79">
        <f>SUMIF(Tim!$AY$7:$AY$70,Ins!F3,Tim!$B$7:$B$70)</f>
        <v>0</v>
      </c>
      <c r="U3" s="80">
        <f>SUMIF(Tim!$AZ$7:$AZ$70,Ins!F3,Tim!$B$7:$B$70)+SUMIF(Tim!$BA$7:$BA$70,Ins!F3,Tim!$B$7:$B$70)+SUMIF(Tim!$BB$7:$BB$70,Ins!F3,Tim!$B$7:$B$70)+SUMIF(Tim!$BC$7:$BC$70,Ins!F3,Tim!$B$7:$B$70)+SUMIF(Tim!$BD$7:$BD$70,Ins!F3,Tim!$B$7:$B$70)+SUMIF(Tim!$BE$7:$BE$70,Ins!F3,Tim!$B$7:$B$70)</f>
        <v>0</v>
      </c>
      <c r="V3" s="80">
        <f>SUMIF(Tim!$BF$7:$BF$70,Ins!F3,Tim!$B$7:$B$70)+SUMIF(Tim!$BG$7:$BG$70,Ins!F3,Tim!$B$7:$B$70)+SUMIF(Tim!$BH$7:$BH$70,Ins!F3,Tim!$B$7:$B$70)</f>
        <v>0</v>
      </c>
      <c r="W3" s="80">
        <f>SUMIF(Tim!$BI$7:$BI$70,Ins!F3,Tim!$B$7:$B$70)+SUMIF(Tim!$BJ$7:$BJ$70,Ins!F3,Tim!$B$7:$B$70)+SUMIF(Tim!$BK$7:$BK$70,Ins!F3,Tim!$B$7:$B$70)+SUMIF(Tim!$BL$7:$BL$70,Ins!F3,Tim!$B$7:$B$70)+SUMIF(Tim!$BM$7:$BM$70,Ins!F3,Tim!$B$7:$B$70)</f>
        <v>0</v>
      </c>
      <c r="X3" s="80">
        <f>SUMIF(Tim!$BN$7:$BN$70,Ins!F3,Tim!$B$7:$B$70)+SUMIF(Tim!$BO$7:$BO$70,Ins!F3,Tim!$B$7:$B$70)+SUMIF(Tim!$BP$7:$BP$70,Ins!F3,Tim!$B$7:$B$70)</f>
        <v>0</v>
      </c>
      <c r="Y3" s="80">
        <f>SUMIF(Tim!$BQ$7:$BQ$70,Ins!F3,Tim!$B$7:$B$70)+SUMIF(Tim!$BR$7:$BR$70,Ins!F3,Tim!$B$7:$B$70)+SUMIF(Tim!$BS$7:$BS$70,Ins!F3,Tim!$B$7:$B$70)</f>
        <v>0</v>
      </c>
      <c r="Z3" s="80">
        <f>SUMIF(Tim!BT$7:BT$70,Ins!F3,Tim!$B$7:$B$70)</f>
        <v>2.5</v>
      </c>
      <c r="AA3" s="80">
        <f>SUMIF(Tim!$BU$7:$BU$70,Ins!F3,Tim!$D$7:$D$70)+SUMIF(Tim!$BV$7:$BV$70,Ins!F3,Tim!$D$7:$D$70)+SUMIF(Tim!$BW$7:$BW$70,Ins!F3,Tim!$D$7:$D$70)+SUMIF(Tim!$BX$7:$BX$70,Ins!F3,Tim!$D$7:$D$70)+SUMIF(Tim!$BY$7:$BY$70,Ins!F3,Tim!$D$7:$D$70)+SUMIF(Tim!$BZ$7:$BZ$70,Ins!F3,Tim!$D$7:$D$70)+SUMIF(Tim!$CA$7:$CA$70,Ins!F3,Tim!$D$7:$D$70)+SUMIF(Tim!$CB$7:$CB$70,Ins!F3,Tim!$D$7:$D$70)+SUMIF(Tim!$CC$7:$CC$70,Ins!F3,Tim!$D$7:$D$70)+SUMIF(Tim!$CD$7:$CD$70,Ins!F3,Tim!$D$7:$D$70)+SUMIF(Tim!$CE$7:$CE$70,Ins!F3,Tim!$D$7:$D$70)+SUMIF(Tim!$CF$7:$CF$70,Ins!F3,Tim!$D$7:$D$70)</f>
        <v>3.75</v>
      </c>
      <c r="AB3" s="80">
        <f>SUMIF(Tim!CG$7:CG$70,Ins!F3,Tim!$C$7:$C$70)</f>
        <v>0</v>
      </c>
      <c r="AC3" s="80">
        <f>SUMIF(Tim!CH$7:CH$70,Ins!F3,Tim!$C$7:$C$70)</f>
        <v>0</v>
      </c>
      <c r="AD3" s="80">
        <f>SUMIF(Tim!CI$7:CI$70,Ins!F3,Tim!$C$7:$C$70)+SUMIF(Tim!CJ$7:CJ$70,Ins!F3,Tim!$C$7:$C$70)+SUMIF(Tim!CK$7:CK$70,Ins!F3,Tim!$C$7:$C$70)</f>
        <v>0</v>
      </c>
      <c r="AE3" s="81">
        <f>SUMIF(Tim!$CL$7:$CL$70,Ins!F3,Tim!$C$7:$C$70)+SUMIF(Tim!$CM$7:$CM$70,Ins!F3,Tim!$C$7:$C$70)+SUMIF(Tim!$CN$7:$CN$70,Ins!F3,Tim!$C$7:$C$70)+SUMIF(Tim!$CO$7:$CO$70,Ins!F3,Tim!$C$7:$C$70)+SUMIF(Tim!$CP$7:$CP$70,Ins!F3,Tim!$C$7:$C$70)</f>
        <v>1.75</v>
      </c>
      <c r="AF3" s="79">
        <f>SUMIF(Tim!$CQ$7:$CQ$70,Ins!F3,Tim!$B$7:$B$70)</f>
        <v>0</v>
      </c>
      <c r="AG3" s="80">
        <f>SUMIF(Tim!$CR$7:$CR$70,Ins!F3,Tim!$B$7:$B$70)+SUMIF(Tim!$CS$7:$CS$70,Ins!F3,Tim!$B$7:$B$70)+SUMIF(Tim!$CT$7:$CT$70,Ins!F3,Tim!$B$7:$B$70)+SUMIF(Tim!$CU$7:$CU$70,Ins!F3,Tim!$B$7:$B$70)+SUMIF(Tim!$CV$7:$CV$70,Ins!F3,Tim!$B$7:$B$70)+SUMIF(Tim!$CW$7:$CW$70,Ins!F3,Tim!$B$7:$B$70)</f>
        <v>0</v>
      </c>
      <c r="AH3" s="80">
        <f>SUMIF(Tim!$CX$7:$CX$70,Ins!F3,Tim!$B$7:$B$70)+SUMIF(Tim!$CY$7:$CY$70,Ins!F3,Tim!$B$7:$B$70)+SUMIF(Tim!$CZ$7:$CZ$70,Ins!F3,Tim!$B$7:$B$70)</f>
        <v>0</v>
      </c>
      <c r="AI3" s="80">
        <f>SUMIF(Tim!$DA$7:$DA$70,Ins!F3,Tim!$B$7:$B$70)+SUMIF(Tim!$DB$7:$DB$70,Ins!F3,Tim!$B$7:$B$70)+SUMIF(Tim!$DC$7:$DC$70,Ins!F3,Tim!$B$7:$B$70)+SUMIF(Tim!$DD$7:$DD$70,Ins!F3,Tim!$B$7:$B$70)+SUMIF(Tim!$DE$7:$DE$70,Ins!F3,Tim!$B$7:$B$70)</f>
        <v>0</v>
      </c>
      <c r="AJ3" s="80">
        <f>SUMIF(Tim!$DF$7:$DF$70,Ins!F3,Tim!$B$7:$B$70)+SUMIF(Tim!$DG$7:$DG$70,Ins!F3,Tim!$B$7:$B$70)+SUMIF(Tim!$DH$7:$DH$70,Ins!F3,Tim!$B$7:$B$70)</f>
        <v>0.5</v>
      </c>
      <c r="AK3" s="80">
        <f>SUMIF(Tim!DI$7:DI$70,Ins!F3,Tim!$B$7:$B$70)+SUMIF(Tim!DM$7:DM$70,Ins!F3,Tim!$B$7:$B$70)+SUMIF(Tim!DN$7:DN$70,Ins!F3,Tim!$B$7:$B$70)</f>
        <v>1.5</v>
      </c>
      <c r="AL3" s="80">
        <f>SUMIF(Tim!DO$7:DO$70,Ins!F3,Tim!$B$7:$B$70)</f>
        <v>2.5</v>
      </c>
      <c r="AM3" s="80">
        <f>SUMIF(Tim!$DP$7:$DP$70,Ins!F3,Tim!$D$7:$D$70)+SUMIF(Tim!$DQ$7:$DQ$70,Ins!F3,Tim!$D$7:$D$70)+SUMIF(Tim!$DR$7:$DR$70,Ins!F3,Tim!$D$7:$D$70)+SUMIF(Tim!$DS$7:$DS$70,Ins!F3,Tim!$D$7:$D$70)+SUMIF(Tim!$DT$7:$DT$70,Ins!F3,Tim!$D$7:$D$70)+SUMIF(Tim!$DU$7:$DU$70,Ins!F3,Tim!$D$7:$D$70)+SUMIF(Tim!$DV$7:$DV$70,Ins!F3,Tim!$D$7:$D$70)+SUMIF(Tim!$DW$7:$DW$70,Ins!F3,Tim!$D$7:$D$70)+SUMIF(Tim!$DX$7:$DX$70,Ins!F3,Tim!$D$7:$D$70)+SUMIF(Tim!$DY$7:$DY$70,Ins!F3,Tim!$D$7:$D$70)+SUMIF(Tim!$DZ$7:$DZ$70,Ins!F3,Tim!$D$7:$D$70)+SUMIF(Tim!$EA$7:$EA$70,Ins!F3,Tim!$D$7:$D$70)</f>
        <v>1.5</v>
      </c>
      <c r="AN3" s="80">
        <f>SUMIF(Tim!EB$7:EB$70,Ins!F3,Tim!$C$7:$C$70)</f>
        <v>0</v>
      </c>
      <c r="AO3" s="80">
        <f>SUMIF(Tim!EC$7:EC$70,Ins!F3,Tim!$C$7:$C$70)</f>
        <v>0</v>
      </c>
      <c r="AP3" s="80">
        <f>SUMIF(Tim!ED$7:ED$70,Ins!F3,Tim!$C$7:$C$70)+SUMIF(Tim!EE$7:EE$70,Ins!F3,Tim!$C$7:$C$70)+SUMIF(Tim!EF$7:EF$70,Ins!F3,Tim!$C$7:$C$70)</f>
        <v>0</v>
      </c>
      <c r="AQ3" s="81">
        <f>SUMIF(Tim!$EG$7:$EG$70,Ins!F3,Tim!$C$7:$C$70)+SUMIF(Tim!$EH$7:$EH$70,Ins!F3,Tim!$C$7:$C$70)+SUMIF(Tim!$EI$7:$EI$70,Ins!F3,Tim!$C$7:$C$70)+SUMIF(Tim!$EJ$7:$EJ$70,Ins!F3,Tim!$C$7:$C$70)+SUMIF(Tim!$EK$7:$EK$70,Ins!F3,Tim!$C$7:$C$70)</f>
        <v>2</v>
      </c>
      <c r="AR3" s="79">
        <f>SUMIF(Tim!$EL$5:$EL$70,Ins!F3,Tim!$B$5:$B$70)</f>
        <v>1</v>
      </c>
      <c r="AS3" s="80">
        <f>SUMIF(Tim!$EM$5:$EM$70,Ins!F3,Tim!$B$5:$B$70)+SUMIF(Tim!$EN$5:$EN$70,Ins!F3,Tim!$B$5:$B$70)+SUMIF(Tim!$EO$5:$EO$70,Ins!F3,Tim!$B$5:$B$70)+SUMIF(Tim!$EP$5:$EP$70,Ins!F3,Tim!$B$5:$B$70)+SUMIF(Tim!$EQ$5:$EQ$70,Ins!F3,Tim!$B$5:$B$70)+SUMIF(Tim!$ER$5:$ER$70,Ins!F3,Tim!$B$5:$B$70)</f>
        <v>0.25</v>
      </c>
      <c r="AT3" s="80">
        <f>SUMIF(Tim!$ES$5:$ES$70,Ins!F3,Tim!$B$5:$B$70)+SUMIF(Tim!$ET$5:$ET$70,Ins!F3,Tim!$B$5:$B$70)+SUMIF(Tim!$EU$5:$EU$70,Ins!F3,Tim!$B$5:$B$70)</f>
        <v>0</v>
      </c>
      <c r="AU3" s="80">
        <f>SUMIF(Tim!$EV$5:$EV$70,Ins!F3,Tim!$B$5:$B$70)+SUMIF(Tim!$EW$5:$EW$70,Ins!F3,Tim!$B$5:$B$70)+SUMIF(Tim!$EX$5:$EX$70,Ins!F3,Tim!$B$5:$B$70)+SUMIF(Tim!$EY$5:$EY$70,Ins!F3,Tim!$B$5:$B$70)+SUMIF(Tim!$EZ$5:$EZ$70,Ins!F3,Tim!$B$5:$B$70)</f>
        <v>0</v>
      </c>
      <c r="AV3" s="80">
        <f>SUMIF(Tim!$FA$5:$FA$70,Ins!F3,Tim!$B$5:$B$70)+SUMIF(Tim!$FB$5:$FB$70,Ins!F3,Tim!$B$5:$B$70)+SUMIF(Tim!$FC$5:$FC$70,Ins!F3,Tim!$B$5:$B$70)</f>
        <v>0.25</v>
      </c>
      <c r="AW3" s="80">
        <f>SUMIF(Tim!FD$5:FD$70,Ins!F3,Tim!$B$5:$B$70)+SUMIF(Tim!FE$5:FE$70,Ins!F3,Tim!$B$5:$B$70)+SUMIF(Tim!FF$5:FF$70,Ins!F3,Tim!$B$5:$B$70)</f>
        <v>0.75</v>
      </c>
      <c r="AX3" s="80">
        <f>SUMIF(Tim!FG$5:FG$70,Ins!F3,Tim!$B$5:$B$70)</f>
        <v>0.5</v>
      </c>
      <c r="AY3" s="80">
        <f>SUMIF(Tim!$FH$5:$FH$70,Ins!F3,Tim!$D$5:$D$70)+SUMIF(Tim!$FI$5:$FI$70,Ins!F3,Tim!$D$5:$D$70)+SUMIF(Tim!$FJ$5:$FJ$70,Ins!F3,Tim!$D$5:$D$70)+SUMIF(Tim!$FK$5:$FK$70,Ins!F3,Tim!$D$5:$D$70)+SUMIF(Tim!$FL$5:$FL$70,Ins!F3,Tim!$D$5:$D$70)+SUMIF(Tim!$FM$5:$FM$70,Ins!F3,Tim!$D$5:$D$70)+SUMIF(Tim!$FN$5:$FN$70,Ins!F3,Tim!$D$5:$D$70)+SUMIF(Tim!$FO$5:$FO$70,Ins!F3,Tim!$D$5:$D$70)+SUMIF(Tim!$FP$5:$FP$70,Ins!F3,Tim!$D$5:$D$70)+SUMIF(Tim!$FQ$5:$FQ$70,Ins!F3,Tim!$D$5:$D$70)+SUMIF(Tim!$FR$5:$FR$70,Ins!F3,Tim!$D$5:$D$70)+SUMIF(Tim!$FS$5:$FS$70,Ins!F3,Tim!$D$5:$D$70)</f>
        <v>3.75</v>
      </c>
      <c r="AZ3" s="80">
        <f>SUMIF(Tim!FT$5:FT$70,Ins!F3,Tim!$C$5:$C$70)</f>
        <v>0</v>
      </c>
      <c r="BA3" s="80">
        <f>SUMIF(Tim!FU$5:FU$70,Ins!F3,Tim!$C$5:$C$70)</f>
        <v>0</v>
      </c>
      <c r="BB3" s="80">
        <f>SUMIF(Tim!FV$5:FV$70,Ins!F3,Tim!$C$5:$C$70)+SUMIF(Tim!FW$5:FW$70,Ins!F3,Tim!$C$5:$C$70)+SUMIF(Tim!FX$5:FX$70,Ins!F3,Tim!$C$5:$C$70)</f>
        <v>0</v>
      </c>
      <c r="BC3" s="81">
        <f>SUMIF(Tim!$FY$5:$FY$70,Ins!F3,Tim!$C$5:$C$70)+SUMIF(Tim!$FZ$5:$FZ$70,Ins!F3,Tim!$C$5:$C$70)+SUMIF(Tim!$GA$5:$GA$70,Ins!F3,Tim!$C$5:$C$70)+SUMIF(Tim!$GB$5:$GB$70,Ins!F3,Tim!$C$5:$C$70)+SUMIF(Tim!$GC$5:$GC$70,Ins!F3,Tim!$C$5:$C$70)</f>
        <v>1.5</v>
      </c>
      <c r="BD3" s="79">
        <f>SUMIF(Tim!$GD$5:$GD$70,Ins!F3,Tim!$B$5:$B$70)</f>
        <v>0</v>
      </c>
      <c r="BE3" s="80">
        <f>SUMIF(Tim!$GE$5:$GE$70,Ins!F3,Tim!$B$5:$B$70)+SUMIF(Tim!$GF$5:$GF$70,Ins!F3,Tim!$B$5:$B$70)+SUMIF(Tim!$GG$5:$GG$70,Ins!F3,Tim!$B$5:$B$70)+SUMIF(Tim!$GH$5:$GH$70,Ins!F3,Tim!$B$5:$B$70)+SUMIF(Tim!$GI$5:$GI$70,Ins!F3,Tim!$B$5:$B$70)+SUMIF(Tim!$GJ$5:$GJ$70,Ins!F3,Tim!$B$5:$B$70)</f>
        <v>0</v>
      </c>
      <c r="BF3" s="80">
        <f>SUMIF(Tim!$GK$5:$GK$70,Ins!F3,Tim!$B$5:$B$70)+SUMIF(Tim!$GL$5:$GL$70,Ins!F3,Tim!$B$5:$B$70)+SUMIF(Tim!$GM$5:$GM$70,Ins!F3,Tim!$B$5:$B$70)</f>
        <v>0</v>
      </c>
      <c r="BG3" s="80">
        <f>SUMIF(Tim!$GN$5:$GN$70,Ins!F3,Tim!$B$5:$B$70)+SUMIF(Tim!$GO$5:$GO$70,Ins!F3,Tim!$B$5:$B$70)+SUMIF(Tim!$GP$5:$GP$70,Ins!F3,Tim!$B$5:$B$70)+SUMIF(Tim!$GQ$5:$GQ$70,Ins!F3,Tim!$B$5:$B$70)+SUMIF(Tim!$GR$5:$GR$70,Ins!F3,Tim!$B$5:$B$70)</f>
        <v>0</v>
      </c>
      <c r="BH3" s="80">
        <f>SUMIF(Tim!$GS$5:$GS$70,Ins!F3,Tim!$B$5:$B$70)+SUMIF(Tim!$GT$5:$GT$70,Ins!F3,Tim!$B$5:$B$70)+SUMIF(Tim!$GU$5:$GU$70,Ins!F3,Tim!$B$5:$B$70)</f>
        <v>0.25</v>
      </c>
      <c r="BI3" s="80">
        <f>SUMIF(Tim!GV$5:GV$70,Ins!F3,Tim!$B$5:$B$70)+SUMIF(Tim!GW$5:GW$70,Ins!F3,Tim!$B$5:$B$70)+SUMIF(Tim!GX$5:GX$70,Ins!F3,Tim!$B$5:$B$70)</f>
        <v>0</v>
      </c>
      <c r="BJ3" s="80">
        <f>SUMIF(Tim!GY$5:GY$70,Ins!F3,Tim!$B$5:$B$70)</f>
        <v>2.75</v>
      </c>
      <c r="BK3" s="80">
        <f>SUMIF(Tim!$GZ$5:$GZ$70,Ins!F3,Tim!$D$5:$D$70)+SUMIF(Tim!$HA$5:$HA$70,Ins!F3,Tim!$D$5:$D$70)+SUMIF(Tim!$HB$5:$HB$70,Ins!F3,Tim!$D$5:$D$70)++SUMIF(Tim!$HC$5:$HC$70,Ins!F3,Tim!$D$5:$D$70)+SUMIF(Tim!$HD$5:$HD$70,Ins!F3,Tim!$D$5:$D$70)+SUMIF(Tim!$HE$5:$HE$70,Ins!F3,Tim!$D$5:$D$70)+SUMIF(Tim!$HF$5:$HF$70,Ins!F3,Tim!$D$5:$D$70)+SUMIF(Tim!$HG$5:$HG$70,Ins!F3,Tim!$D$5:$D$70)+SUMIF(Tim!$HH$5:$HH$70,Ins!F3,Tim!$D$5:$D$70)+SUMIF(Tim!$HI$5:$HI$70,Ins!F3,Tim!$D$5:$D$70)+SUMIF(Tim!$HJ$5:$HJ$70,Ins!F3,Tim!$D$5:$D$70)+SUMIF(Tim!$HK$5:$HK$70,Ins!F3,Tim!$D$5:$D$70)</f>
        <v>3</v>
      </c>
      <c r="BL3" s="80">
        <f>SUMIF(Tim!HL$5:HL$70,Ins!F3,Tim!$C$5:$C$70)</f>
        <v>0</v>
      </c>
      <c r="BM3" s="80">
        <f>SUMIF(Tim!HM$5:HM$70,Ins!F3,Tim!$C$5:$C$70)</f>
        <v>0</v>
      </c>
      <c r="BN3" s="80">
        <f>SUMIF(Tim!HN$5:HN$70,Ins!F3,Tim!$C$5:$C$70)+SUMIF(Tim!HO$5:HO$70,Ins!F3,Tim!$C$5:$C$70)+SUMIF(Tim!HP$5:HP$70,Ins!F3,Tim!$C$5:$C$70)</f>
        <v>0</v>
      </c>
      <c r="BO3" s="81">
        <f>SUMIF(Tim!$HQ$5:$HQ$70,Ins!F3,Tim!$C$5:$C$70)+SUMIF(Tim!$HR$5:$HR$70,Ins!F3,Tim!$C$5:$C$70)+SUMIF(Tim!$HS$5:$HS$70,Ins!F3,Tim!$C$5:$C$70)+SUMIF(Tim!$HT$5:$HT$70,Ins!F3,Tim!$C$5:$C$70)+SUMIF(Tim!$HU$5:$HU$70,Ins!F3,Tim!$C$5:$C$70)</f>
        <v>2</v>
      </c>
      <c r="BP3" s="79">
        <f>SUMIF(Tim!$HV$7:$HV$70,Ins!F3,Tim!$B$7:$B$70)</f>
        <v>0</v>
      </c>
      <c r="BQ3" s="80">
        <f>SUMIF(Tim!$HW$7:$HW$70,Ins!F3,Tim!$B$7:$B$70)+SUMIF(Tim!$HX$7:$HX$70,Ins!F3,Tim!$B$7:$B$70)+SUMIF(Tim!$HY$7:$HY$70,Ins!F3,Tim!$B$7:$B$70)+SUMIF(Tim!$HZ$7:$HZ$70,Ins!F3,Tim!$B$7:$B$70)+SUMIF(Tim!$IA$7:$IA$70,Ins!F3,Tim!$B$7:$B$70)+SUMIF(Tim!$IB$7:$IB$70,Ins!F3,Tim!$B$7:$B$70)</f>
        <v>0</v>
      </c>
      <c r="BR3" s="80">
        <f>SUMIF(Tim!$IC$7:$IC$70,Ins!F3,Tim!$B$7:$B$70)+SUMIF(Tim!$ID$7:$ID$70,Ins!F3,Tim!$B$7:$B$70)+SUMIF(Tim!$IE$7:$IE$70,Ins!F3,Tim!$B$7:$B$70)</f>
        <v>0</v>
      </c>
      <c r="BS3" s="80">
        <f>SUMIF(Tim!$IF$7:$IF$70,Ins!F3,Tim!$B$7:$B$70)+SUMIF(Tim!$IG$7:$IG$70,Ins!F3,Tim!$B$7:$B$70)+SUMIF(Tim!$IH$7:$IH$70,Ins!F3,Tim!$B$7:$B$70)+SUMIF(Tim!$II$7:$II$70,Ins!F3,Tim!$B$7:$B$70)+SUMIF(Tim!$IJ$7:$IJ$70,Ins!F3,Tim!$B$7:$B$70)</f>
        <v>0</v>
      </c>
      <c r="BT3" s="80">
        <f>SUMIF(Tim!$IK$7:$IK$70,Ins!F3,Tim!$B$7:$B$70)+SUMIF(Tim!$IL$7:$IL$70,Ins!F3,Tim!$B$7:$B$70)+SUMIF(Tim!$IM$7:$IM$70,Ins!F3,Tim!$B$7:$B$70)</f>
        <v>0</v>
      </c>
      <c r="BU3" s="80">
        <f>SUMIF(Tim!$IN$7:$IN$70,Ins!F3,Tim!$B$7:$B$70)+SUMIF(Tim!$IO$7:$IO$70,Ins!F3,Tim!$B$7:$B$70)+SUMIF(Tim!$IP$7:$IP$70,Ins!F3,Tim!$B$7:$B$70)</f>
        <v>0</v>
      </c>
      <c r="BV3" s="80">
        <f>SUMIF(Tim!$IQ$7:$IQ$70,Ins!F3,Tim!$B$7:$B$70)</f>
        <v>0</v>
      </c>
      <c r="BW3" s="80">
        <f>SUMIF(Tim!$IR$7:$IR$70,Ins!F3,Tim!$D$7:$D$70)+SUMIF(Tim!$IS$7:$IS$70,Ins!F3,Tim!$D$7:$D$70)+SUMIF(Tim!$IT$7:$IT$70,Ins!F3,Tim!$D$7:$D$70)+SUMIF(Tim!$IU$7:$IU$70,Ins!F3,Tim!$D$7:$D$70)+SUMIF(Tim!$IV$7:$IV$70,Ins!F3,Tim!$D$7:$D$70)+SUMIF(Tim!$IW$7:$IW$70,Ins!F3,Tim!$D$7:$D$70)+SUMIF(Tim!$IX$7:$IX$70,Ins!F3,Tim!$D$7:$D$70)+SUMIF(Tim!$IY$7:$IY$70,Ins!F3,Tim!$D$7:$D$70)+SUMIF(Tim!$IZ$7:$IZ$70,Ins!F3,Tim!$D$7:$D$70)+SUMIF(Tim!$JA$7:$JA$70,Ins!F3,Tim!$D$7:$D$70)+SUMIF(Tim!$JB$7:$JB$70,Ins!F3,Tim!$D$7:$D$70)+SUMIF(Tim!$JC$7:$JC$70,Ins!F3,Tim!$D$7:$D$70)</f>
        <v>0</v>
      </c>
      <c r="BX3" s="80">
        <f>SUMIF(Tim!JD$7:JD$70,Ins!F3,Tim!$C$7:$C$70)</f>
        <v>0</v>
      </c>
      <c r="BY3" s="80">
        <f>SUMIF(Tim!JE$7:JE$70,Ins!F3,Tim!$C$7:$C$70)</f>
        <v>0</v>
      </c>
      <c r="BZ3" s="80">
        <f>SUMIF(Tim!JF$7:JF$70,Ins!F3,Tim!$C$7:$C$70)+SUMIF(Tim!JG$7:JG$70,Ins!F3,Tim!$C$7:$C$70)+SUMIF(Tim!JH$7:JH$70,Ins!F3,Tim!$C$7:$C$70)</f>
        <v>0</v>
      </c>
      <c r="CA3" s="81">
        <f>SUMIF(Tim!$JI$7:$JI$70,Ins!F3,Tim!$C$7:$C$70)++SUMIF(Tim!$JJ$7:$JJ$70,Ins!F3,Tim!$C$7:$C$70)+SUMIF(Tim!$JK$7:$JK$70,Ins!F3,Tim!$C$7:$C$70)+SUMIF(Tim!$JL$7:$JL$70,Ins!F3,Tim!$C$7:$C$70)+SUMIF(Tim!$JM$7:$JM$70,Ins!F3,Tim!$C$7:$C$70)</f>
        <v>0</v>
      </c>
      <c r="CB3" s="79">
        <f>SUMIF(Tim!$JN$7:$JN$70,Ins!F3,Tim!$B$7:$B$70)</f>
        <v>0</v>
      </c>
      <c r="CC3" s="80">
        <f>SUMIF(Tim!$JO$7:$JO$70,Ins!F3,Tim!$B$7:$B$70)+SUMIF(Tim!$JP$7:$JP$70,Ins!F3,Tim!$B$7:$B$70)+SUMIF(Tim!$JQ$7:$JQ$70,Ins!F3,Tim!$B$7:$B$70)+SUMIF(Tim!$JR$7:$JR$70,Ins!F3,Tim!$B$7:$B$70)+SUMIF(Tim!$JS$7:$JS$70,Ins!F3,Tim!$B$7:$B$70)+SUMIF(Tim!$JT$7:$JT$70,Ins!F3,Tim!$B$7:$B$70)</f>
        <v>0</v>
      </c>
      <c r="CD3" s="80">
        <f>SUMIF(Tim!$JW$7:$JW$70,Ins!F3,Tim!$B$7:$B$70)+SUMIF(Tim!$JU$7:$JU$70,Ins!F3,Tim!$B$7:$B$70)+SUMIF(Tim!$JV$7:$JV$70,Ins!F3,Tim!$B$7:$B$70)</f>
        <v>0</v>
      </c>
      <c r="CE3" s="80">
        <f>SUMIF(Tim!$JX$7:$JX$70,Ins!F3,Tim!$B$7:$B$70)+SUMIF(Tim!$JY$7:$JY$70,Ins!F3,Tim!$B$7:$B$70)+SUMIF(Tim!$JZ$7:$JZ$70,Ins!F3,Tim!$B$7:$B$70)+SUMIF(Tim!$KA$7:$KA$70,Ins!F3,Tim!$B$7:$B$70)+SUMIF(Tim!$KB$7:$KB$70,Ins!F3,Tim!$B$7:$B$70)</f>
        <v>0</v>
      </c>
      <c r="CF3" s="80">
        <f>SUMIF(Tim!$KE$7:$KE$70,Ins!F3,Tim!$B$7:$B$70)+SUMIF(Tim!$KC$7:$KC$70,Ins!F3,Tim!$B$7:$B$70)+SUMIF(Tim!$KD$7:$KD$70,Ins!F3,Tim!$B$7:$B$70)</f>
        <v>0</v>
      </c>
      <c r="CG3" s="80">
        <f>SUMIF(Tim!$KF$7:$KF$70,Ins!F3,Tim!$B$7:$B$70)+SUMIF(Tim!$KG$7:$KG$70,Ins!F3,Tim!$B$7:$B$70)+SUMIF(Tim!$KH$7:$KH$70,Ins!F3,Tim!$B$7:$B$70)</f>
        <v>0</v>
      </c>
      <c r="CH3" s="80">
        <f>SUMIF(Tim!$KI$7:$KI$70,Ins!F3,Tim!$B$7:$B$70)</f>
        <v>0</v>
      </c>
      <c r="CI3" s="80">
        <f>SUMIF(Tim!$KJ$7:$KJ$70,Ins!F3,Tim!$D$7:$D$70)+SUMIF(Tim!$KK$7:$KK$70,Ins!F3,Tim!$D$7:$D$70)+SUMIF(Tim!$KL$7:$KL$70,Ins!F3,Tim!$D$7:$D$70)+SUMIF(Tim!$KM$7:$KM$70,Ins!F3,Tim!$D$7:$D$70)+SUMIF(Tim!$KN$7:$KN$70,Ins!F3,Tim!$D$7:$D$70)+SUMIF(Tim!$KO$7:$KO$70,Ins!F3,Tim!$D$7:$D$70)+SUMIF(Tim!$KP$7:$KP$70,Ins!F3,Tim!$D$7:$D$70)+SUMIF(Tim!$KQ$7:$KQ$70,Ins!F3,Tim!$D$7:$D$70)+SUMIF(Tim!$KR$7:$KR$70,Ins!F3,Tim!$D$7:$D$70)+SUMIF(Tim!$KS$7:$KS$70,Ins!F3,Tim!$D$7:$D$70)+SUMIF(Tim!$KT$7:$KT$70,Ins!F3,Tim!$D$7:$D$70)+SUMIF(Tim!$KU$7:$KU$70,Ins!F3,Tim!$D$7:$D$70)</f>
        <v>0</v>
      </c>
      <c r="CJ3" s="80">
        <f>SUMIF(Tim!KV$7:KV$70,Ins!F3,Tim!$C$7:$C$70)</f>
        <v>0</v>
      </c>
      <c r="CK3" s="80">
        <f>SUMIF(Tim!KW$7:KW$70,Ins!F3,Tim!$C$7:$C$70)</f>
        <v>0</v>
      </c>
      <c r="CL3" s="80">
        <f>SUMIF(Tim!KX$7:KX$70,Ins!F3,Tim!$C$7:$C$70)+SUMIF(Tim!KY$7:KY$70,Ins!F3,Tim!$C$7:$C$70)+SUMIF(Tim!KZ$7:KZ$70,Ins!F3,Tim!$C$7:$C$70)</f>
        <v>0</v>
      </c>
      <c r="CM3" s="81">
        <f>SUMIF(Tim!$LA$7:$LA$70,Ins!F3,Tim!$C$7:$C$70)+SUMIF(Tim!$LB$7:$LB$70,Ins!F3,Tim!$C$7:$C$70)+SUMIF(Tim!$LC$7:$LC$70,Ins!F3,Tim!$C$7:$C$70)+SUMIF(Tim!$LD$7:$LD$70,Ins!F3,Tim!$C$7:$C$70)+SUMIF(Tim!$LE$7:$LE$70,Ins!F3,Tim!$C$7:$C$70)</f>
        <v>0</v>
      </c>
      <c r="CN3" s="22"/>
      <c r="CO3" s="180">
        <f t="shared" ref="CO3:CZ3" si="0">H3+T3+AF3+AR3+BD3+BP3+CB3</f>
        <v>1</v>
      </c>
      <c r="CP3" s="179">
        <f t="shared" si="0"/>
        <v>0.25</v>
      </c>
      <c r="CQ3" s="179">
        <f t="shared" si="0"/>
        <v>0</v>
      </c>
      <c r="CR3" s="179">
        <f t="shared" si="0"/>
        <v>0</v>
      </c>
      <c r="CS3" s="179">
        <f t="shared" si="0"/>
        <v>1</v>
      </c>
      <c r="CT3" s="179">
        <f t="shared" si="0"/>
        <v>4.25</v>
      </c>
      <c r="CU3" s="179">
        <f t="shared" si="0"/>
        <v>10.75</v>
      </c>
      <c r="CV3" s="179">
        <f t="shared" si="0"/>
        <v>13.5</v>
      </c>
      <c r="CW3" s="179">
        <f t="shared" si="0"/>
        <v>0</v>
      </c>
      <c r="CX3" s="179">
        <f t="shared" si="0"/>
        <v>0</v>
      </c>
      <c r="CY3" s="179">
        <f t="shared" si="0"/>
        <v>0</v>
      </c>
      <c r="CZ3" s="179">
        <f t="shared" si="0"/>
        <v>9.25</v>
      </c>
      <c r="DA3" s="78">
        <f>SUM(CO3:CZ3)</f>
        <v>40</v>
      </c>
      <c r="DB3" s="16"/>
      <c r="DC3" s="34">
        <f>SUM(H3:S3)</f>
        <v>8</v>
      </c>
      <c r="DD3" s="34">
        <f>SUM(T3:AE3)</f>
        <v>8</v>
      </c>
      <c r="DE3" s="34">
        <f>SUM(AF3:AQ3)</f>
        <v>8</v>
      </c>
      <c r="DF3" s="34">
        <f>SUM(AR3:BC3)</f>
        <v>8</v>
      </c>
      <c r="DG3" s="34">
        <f>SUM(BD3:BO3)</f>
        <v>8</v>
      </c>
      <c r="DH3" s="34">
        <f>SUM(BP3:CA3)</f>
        <v>0</v>
      </c>
      <c r="DI3" s="34">
        <f>SUM(CB3:CM3)</f>
        <v>0</v>
      </c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7"/>
    </row>
    <row r="4" spans="1:125" ht="12" customHeight="1">
      <c r="A4" s="10">
        <v>2</v>
      </c>
      <c r="B4" s="229" t="s">
        <v>378</v>
      </c>
      <c r="C4" s="185"/>
      <c r="D4" s="230"/>
      <c r="E4" s="230"/>
      <c r="F4" s="293" t="s">
        <v>375</v>
      </c>
      <c r="G4" s="231" t="s">
        <v>192</v>
      </c>
      <c r="H4" s="79">
        <f>SUMIF(Tim!$F$7:$F$70,Ins!F4,Tim!$B$7:$B$70)</f>
        <v>2.75</v>
      </c>
      <c r="I4" s="80">
        <f>SUMIF(Tim!$G$7:$G$70,Ins!F4,Tim!$B$7:$B$70)+SUMIF(Tim!$H$7:$H$70,Ins!F4,Tim!$B$7:$B$70)+SUMIF(Tim!$I$7:$I$70,Ins!F4,Tim!$B$7:$B$70)+SUMIF(Tim!$J$7:$J$70,Ins!F4,Tim!$B$7:$B$70)+SUMIF(Tim!$K$7:$K$70,Ins!F4,Tim!$B$7:$B$70)+SUMIF(Tim!$L$7:$L$70,Ins!F4,Tim!$B$7:$B$70)</f>
        <v>0</v>
      </c>
      <c r="J4" s="80">
        <f>SUMIF(Tim!$M$7:$M$70,Ins!F4,Tim!$B$7:$B$70)+SUMIF(Tim!$O$7:$O$70,Ins!F4,Tim!$B$7:$B$70)+SUMIF(Tim!$N$7:$N$70,Ins!F4,Tim!$B$7:$B$70)</f>
        <v>0</v>
      </c>
      <c r="K4" s="80">
        <f>SUMIF(Tim!$P$7:$P$70,Ins!F4,Tim!$B$7:$B$70)+SUMIF(Tim!$Q$7:$Q$70,Ins!F4,Tim!$B$7:$B$70)+SUMIF(Tim!$R$7:$R$70,Ins!F4,Tim!$B$7:$B$70)+SUMIF(Tim!$S$7:$S$70,Ins!F4,Tim!$B$7:$B$70)+SUMIF(Tim!$T$7:$T$70,Ins!F4,Tim!$B$7:$B$70)</f>
        <v>1.5</v>
      </c>
      <c r="L4" s="80">
        <f>SUMIF(Tim!$U$7:$U$70,Ins!F4,Tim!$B$7:$B$70)+SUMIF(Tim!$W$7:$W$70,Ins!F4,Tim!$B$7:$B$70)+SUMIF(Tim!$X$7:$X$70,Ins!F4,Tim!$B$7:$B$70)</f>
        <v>2.75</v>
      </c>
      <c r="M4" s="80">
        <f>SUMIF(Tim!$Y$7:$Y$70,Ins!F4,Tim!$B$7:$B$70)+SUMIF(Tim!$Z$7:$Z$70,Ins!F4,Tim!$B$7:$B$70)+SUMIF(Tim!$AA$7:$AA$70,Ins!F4,Tim!$B$7:$B$70)</f>
        <v>0</v>
      </c>
      <c r="N4" s="80">
        <f>SUMIF(Tim!$AB$7:$AB$70,Ins!F4,Tim!$B$7:$B$70)</f>
        <v>0</v>
      </c>
      <c r="O4" s="80">
        <f>SUMIF(Tim!$AC$7:$AC$70,Ins!F4,Tim!$D$7:$D$70)+SUMIF(Tim!$AD$7:$AD$70,Ins!F4,Tim!$D$7:$D$70)+SUMIF(Tim!$AE$7:$AE$70,Ins!F4,Tim!$D$7:$D$70)+SUMIF(Tim!$AF$7:$AF$70,Ins!F4,Tim!$D$7:$D$70)+SUMIF(Tim!$AG$7:$AG$70,Ins!F4,Tim!$D$7:$D$70)+SUMIF(Tim!$AH$7:$AH$70,Ins!F4,Tim!$D$7:$D$70)+SUMIF(Tim!$AI$7:$AI$70,Ins!F4,Tim!$D$7:$D$70)+SUMIF(Tim!$AJ$7:$AJ$70,Ins!F4,Tim!$D$7:$D$70)+SUMIF(Tim!$AK$7:$AK$70,Ins!F4,Tim!$D$7:$D$70)+SUMIF(Tim!$AL$7:$AL$70,Ins!F4,Tim!$D$7:$D$70)+SUMIF(Tim!$AM$7:$AM$70,Ins!F4,Tim!$D$7:$D$70)+SUMIF(Tim!$AN$7:$AN$70,Ins!F4,Tim!$D$7:$D$70)</f>
        <v>0</v>
      </c>
      <c r="P4" s="80">
        <f>SUMIF(Tim!AO$7:AO$70,Ins!F4,Tim!$C$7:$C$70)</f>
        <v>0</v>
      </c>
      <c r="Q4" s="80">
        <f>SUMIF(Tim!AP$7:AP$70,Ins!F4,Tim!$C$7:$C$70)</f>
        <v>0</v>
      </c>
      <c r="R4" s="80">
        <f>SUMIF(Tim!AQ$7:AQ$70,Ins!F4,Tim!$C$7:$C$70)+SUMIF(Tim!AR$7:AR$70,Ins!F4,Tim!$C$7:$C$70)+SUMIF(Tim!AS$7:AS$70,Ins!F4,Tim!$C$7:$C$70)</f>
        <v>0</v>
      </c>
      <c r="S4" s="236">
        <f>SUMIF(Tim!$AT$7:$AT$70,Ins!F4,Tim!$C$7:$C$70)+SUMIF(Tim!$AU$7:$AU$70,Ins!F4,Tim!$C$7:$C71)+SUMIF(Tim!$AV$7:$AV$70,Ins!F4,Tim!$C$7:$C$70)+SUMIF(Tim!$AW$7:$AW$70,Ins!F4,Tim!$C$7:$C$70)+SUMIF(Tim!$AX$7:$AX$70,Ins!F4,Tim!$C$7:$C$70)</f>
        <v>1</v>
      </c>
      <c r="T4" s="79">
        <f>SUMIF(Tim!$AY$7:$AY$70,Ins!F4,Tim!$B$7:$B$70)</f>
        <v>1.25</v>
      </c>
      <c r="U4" s="80">
        <f>SUMIF(Tim!$AZ$7:$AZ$70,Ins!F4,Tim!$B$7:$B$70)+SUMIF(Tim!$BA$7:$BA$70,Ins!F4,Tim!$B$7:$B$70)+SUMIF(Tim!$BB$7:$BB$70,Ins!F4,Tim!$B$7:$B$70)+SUMIF(Tim!$BC$7:$BC$70,Ins!F4,Tim!$B$7:$B$70)+SUMIF(Tim!$BD$7:$BD$70,Ins!F4,Tim!$B$7:$B$70)+SUMIF(Tim!$BE$7:$BE$70,Ins!F4,Tim!$B$7:$B$70)</f>
        <v>0.25</v>
      </c>
      <c r="V4" s="80">
        <f>SUMIF(Tim!$BF$7:$BF$70,Ins!F4,Tim!$B$7:$B$70)+SUMIF(Tim!$BG$7:$BG$70,Ins!F4,Tim!$B$7:$B$70)+SUMIF(Tim!$BH$7:$BH$70,Ins!F4,Tim!$B$7:$B$70)</f>
        <v>0</v>
      </c>
      <c r="W4" s="80">
        <f>SUMIF(Tim!$BI$7:$BI$70,Ins!F4,Tim!$B$7:$B$70)+SUMIF(Tim!$BJ$7:$BJ$70,Ins!F4,Tim!$B$7:$B$70)+SUMIF(Tim!$BK$7:$BK$70,Ins!F4,Tim!$B$7:$B$70)+SUMIF(Tim!$BL$7:$BL$70,Ins!F4,Tim!$B$7:$B$70)+SUMIF(Tim!$BM$7:$BM$70,Ins!F4,Tim!$B$7:$B$70)</f>
        <v>1.5</v>
      </c>
      <c r="X4" s="80">
        <f>SUMIF(Tim!$BN$7:$BN$70,Ins!F4,Tim!$B$7:$B$70)+SUMIF(Tim!$BO$7:$BO$70,Ins!F4,Tim!$B$7:$B$70)+SUMIF(Tim!$BP$7:$BP$70,Ins!F4,Tim!$B$7:$B$70)</f>
        <v>0.75</v>
      </c>
      <c r="Y4" s="80">
        <f>SUMIF(Tim!$BQ$7:$BQ$70,Ins!F4,Tim!$B$7:$B$70)+SUMIF(Tim!$BR$7:$BR$70,Ins!F4,Tim!$B$7:$B$70)+SUMIF(Tim!$BS$7:$BS$70,Ins!F4,Tim!$B$7:$B$70)</f>
        <v>1.25</v>
      </c>
      <c r="Z4" s="80">
        <f>SUMIF(Tim!BT$7:BT$70,Ins!F4,Tim!$B$7:$B$70)</f>
        <v>0</v>
      </c>
      <c r="AA4" s="80">
        <f>SUMIF(Tim!$BU$7:$BU$70,Ins!F4,Tim!$D$7:$D$70)+SUMIF(Tim!$BV$7:$BV$70,Ins!F4,Tim!$D$7:$D$70)+SUMIF(Tim!$BW$7:$BW$70,Ins!F4,Tim!$D$7:$D$70)+SUMIF(Tim!$BX$7:$BX$70,Ins!F4,Tim!$D$7:$D$70)+SUMIF(Tim!$BY$7:$BY$70,Ins!F4,Tim!$D$7:$D$70)+SUMIF(Tim!$BZ$7:$BZ$70,Ins!F4,Tim!$D$7:$D$70)+SUMIF(Tim!$CA$7:$CA$70,Ins!F4,Tim!$D$7:$D$70)+SUMIF(Tim!$CB$7:$CB$70,Ins!F4,Tim!$D$7:$D$70)+SUMIF(Tim!$CC$7:$CC$70,Ins!F4,Tim!$D$7:$D$70)+SUMIF(Tim!$CD$7:$CD$70,Ins!F4,Tim!$D$7:$D$70)+SUMIF(Tim!$CE$7:$CE$70,Ins!F4,Tim!$D$7:$D$70)+SUMIF(Tim!$CF$7:$CF$70,Ins!F4,Tim!$D$7:$D$70)</f>
        <v>0</v>
      </c>
      <c r="AB4" s="80">
        <f>SUMIF(Tim!CG$7:CG$70,Ins!F4,Tim!$C$7:$C$70)</f>
        <v>0</v>
      </c>
      <c r="AC4" s="80">
        <f>SUMIF(Tim!CH$7:CH$70,Ins!F4,Tim!$C$7:$C$70)</f>
        <v>0</v>
      </c>
      <c r="AD4" s="80">
        <f>SUMIF(Tim!CI$7:CI$70,Ins!F4,Tim!$C$7:$C$70)+SUMIF(Tim!CJ$7:CJ$70,Ins!F4,Tim!$C$7:$C$70)+SUMIF(Tim!CK$7:CK$70,Ins!F4,Tim!$C$7:$C$70)</f>
        <v>0</v>
      </c>
      <c r="AE4" s="81">
        <f>SUMIF(Tim!$CL$7:$CL$70,Ins!F4,Tim!$C$7:$C$70)+SUMIF(Tim!$CM$7:$CM$70,Ins!F4,Tim!$C$7:$C$70)+SUMIF(Tim!$CN$7:$CN$70,Ins!F4,Tim!$C$7:$C$70)+SUMIF(Tim!$CO$7:$CO$70,Ins!F4,Tim!$C$7:$C$70)+SUMIF(Tim!$CP$7:$CP$70,Ins!F4,Tim!$C$7:$C$70)</f>
        <v>3</v>
      </c>
      <c r="AF4" s="79">
        <f>SUMIF(Tim!$CQ$7:$CQ$70,Ins!F4,Tim!$B$7:$B$70)</f>
        <v>2</v>
      </c>
      <c r="AG4" s="80">
        <f>SUMIF(Tim!$CR$7:$CR$70,Ins!F4,Tim!$B$7:$B$70)+SUMIF(Tim!$CS$7:$CS$70,Ins!F4,Tim!$B$7:$B$70)+SUMIF(Tim!$CT$7:$CT$70,Ins!F4,Tim!$B$7:$B$70)+SUMIF(Tim!$CU$7:$CU$70,Ins!F4,Tim!$B$7:$B$70)+SUMIF(Tim!$CV$7:$CV$70,Ins!F4,Tim!$B$7:$B$70)+SUMIF(Tim!$CW$7:$CW$70,Ins!F4,Tim!$B$7:$B$70)</f>
        <v>0</v>
      </c>
      <c r="AH4" s="80">
        <f>SUMIF(Tim!$CX$7:$CX$70,Ins!F4,Tim!$B$7:$B$70)+SUMIF(Tim!$CY$7:$CY$70,Ins!F4,Tim!$B$7:$B$70)+SUMIF(Tim!$CZ$7:$CZ$70,Ins!F4,Tim!$B$7:$B$70)</f>
        <v>0.5</v>
      </c>
      <c r="AI4" s="80">
        <f>SUMIF(Tim!$DA$7:$DA$70,Ins!F4,Tim!$B$7:$B$70)+SUMIF(Tim!$DB$7:$DB$70,Ins!F4,Tim!$B$7:$B$70)+SUMIF(Tim!$DC$7:$DC$70,Ins!F4,Tim!$B$7:$B$70)+SUMIF(Tim!$DD$7:$DD$70,Ins!F4,Tim!$B$7:$B$70)+SUMIF(Tim!$DE$7:$DE$70,Ins!F4,Tim!$B$7:$B$70)</f>
        <v>3</v>
      </c>
      <c r="AJ4" s="80">
        <f>SUMIF(Tim!$DF$7:$DF$70,Ins!F4,Tim!$B$7:$B$70)+SUMIF(Tim!$DG$7:$DG$70,Ins!F4,Tim!$B$7:$B$70)+SUMIF(Tim!$DH$7:$DH$70,Ins!F4,Tim!$B$7:$B$70)</f>
        <v>0</v>
      </c>
      <c r="AK4" s="80">
        <f>SUMIF(Tim!DI$7:DI$70,Ins!F4,Tim!$B$7:$B$70)+SUMIF(Tim!DM$7:DM$70,Ins!F4,Tim!$B$7:$B$70)+SUMIF(Tim!DN$7:DN$70,Ins!F4,Tim!$B$7:$B$70)</f>
        <v>1</v>
      </c>
      <c r="AL4" s="80">
        <f>SUMIF(Tim!DO$7:DO$70,Ins!F4,Tim!$B$7:$B$70)</f>
        <v>0</v>
      </c>
      <c r="AM4" s="80">
        <f>SUMIF(Tim!$DP$7:$DP$70,Ins!F4,Tim!$D$7:$D$70)+SUMIF(Tim!$DQ$7:$DQ$70,Ins!F4,Tim!$D$7:$D$70)+SUMIF(Tim!$DR$7:$DR$70,Ins!F4,Tim!$D$7:$D$70)+SUMIF(Tim!$DS$7:$DS$70,Ins!F4,Tim!$D$7:$D$70)+SUMIF(Tim!$DT$7:$DT$70,Ins!F4,Tim!$D$7:$D$70)+SUMIF(Tim!$DU$7:$DU$70,Ins!F4,Tim!$D$7:$D$70)+SUMIF(Tim!$DV$7:$DV$70,Ins!F4,Tim!$D$7:$D$70)+SUMIF(Tim!$DW$7:$DW$70,Ins!F4,Tim!$D$7:$D$70)+SUMIF(Tim!$DX$7:$DX$70,Ins!F4,Tim!$D$7:$D$70)+SUMIF(Tim!$DY$7:$DY$70,Ins!F4,Tim!$D$7:$D$70)+SUMIF(Tim!$DZ$7:$DZ$70,Ins!F4,Tim!$D$7:$D$70)+SUMIF(Tim!$EA$7:$EA$70,Ins!F4,Tim!$D$7:$D$70)</f>
        <v>1.5</v>
      </c>
      <c r="AN4" s="80">
        <f>SUMIF(Tim!EB$7:EB$70,Ins!F4,Tim!$C$7:$C$70)</f>
        <v>0</v>
      </c>
      <c r="AO4" s="80">
        <f>SUMIF(Tim!EC$7:EC$70,Ins!F4,Tim!$C$7:$C$70)</f>
        <v>0</v>
      </c>
      <c r="AP4" s="80">
        <f>SUMIF(Tim!ED$7:ED$70,Ins!F4,Tim!$C$7:$C$70)+SUMIF(Tim!EE$7:EE$70,Ins!F4,Tim!$C$7:$C$70)+SUMIF(Tim!EF$7:EF$70,Ins!F4,Tim!$C$7:$C$70)</f>
        <v>0</v>
      </c>
      <c r="AQ4" s="81">
        <f>SUMIF(Tim!$EG$7:$EG$70,Ins!F4,Tim!$C$7:$C$70)+SUMIF(Tim!$EH$7:$EH$70,Ins!F4,Tim!$C$7:$C$70)+SUMIF(Tim!$EI$7:$EI$70,Ins!F4,Tim!$C$7:$C$70)+SUMIF(Tim!$EJ$7:$EJ$70,Ins!F4,Tim!$C$7:$C$70)+SUMIF(Tim!$EK$7:$EK$70,Ins!F4,Tim!$C$7:$C$70)</f>
        <v>0</v>
      </c>
      <c r="AR4" s="79">
        <f>SUMIF(Tim!$EL$5:$EL$70,Ins!F4,Tim!$B$5:$B$70)</f>
        <v>1.25</v>
      </c>
      <c r="AS4" s="80">
        <f>SUMIF(Tim!$EM$5:$EM$70,Ins!F4,Tim!$B$5:$B$70)+SUMIF(Tim!$EN$5:$EN$70,Ins!F4,Tim!$B$5:$B$70)+SUMIF(Tim!$EO$5:$EO$70,Ins!F4,Tim!$B$5:$B$70)+SUMIF(Tim!$EP$5:$EP$70,Ins!F4,Tim!$B$5:$B$70)+SUMIF(Tim!$EQ$5:$EQ$70,Ins!F4,Tim!$B$5:$B$70)+SUMIF(Tim!$ER$5:$ER$70,Ins!F4,Tim!$B$5:$B$70)</f>
        <v>0.25</v>
      </c>
      <c r="AT4" s="80">
        <f>SUMIF(Tim!$ES$5:$ES$70,Ins!F4,Tim!$B$5:$B$70)+SUMIF(Tim!$ET$5:$ET$70,Ins!F4,Tim!$B$5:$B$70)+SUMIF(Tim!$EU$5:$EU$70,Ins!F4,Tim!$B$5:$B$70)</f>
        <v>0</v>
      </c>
      <c r="AU4" s="80">
        <f>SUMIF(Tim!$EV$5:$EV$70,Ins!F4,Tim!$B$5:$B$70)+SUMIF(Tim!$EW$5:$EW$70,Ins!F4,Tim!$B$5:$B$70)+SUMIF(Tim!$EX$5:$EX$70,Ins!F4,Tim!$B$5:$B$70)+SUMIF(Tim!$EY$5:$EY$70,Ins!F4,Tim!$B$5:$B$70)+SUMIF(Tim!$EZ$5:$EZ$70,Ins!F4,Tim!$B$5:$B$70)</f>
        <v>0</v>
      </c>
      <c r="AV4" s="80">
        <f>SUMIF(Tim!$FA$5:$FA$70,Ins!F4,Tim!$B$5:$B$70)+SUMIF(Tim!$FB$5:$FB$70,Ins!F4,Tim!$B$5:$B$70)+SUMIF(Tim!$FC$5:$FC$70,Ins!F4,Tim!$B$5:$B$70)</f>
        <v>0.5</v>
      </c>
      <c r="AW4" s="80">
        <f>SUMIF(Tim!FD$5:FD$70,Ins!F4,Tim!$B$5:$B$70)+SUMIF(Tim!FE$5:FE$70,Ins!F4,Tim!$B$5:$B$70)+SUMIF(Tim!FF$5:FF$70,Ins!F4,Tim!$B$5:$B$70)</f>
        <v>2</v>
      </c>
      <c r="AX4" s="80">
        <f>SUMIF(Tim!FG$5:FG$70,Ins!F4,Tim!$B$5:$B$70)</f>
        <v>0</v>
      </c>
      <c r="AY4" s="80">
        <f>SUMIF(Tim!$FH$5:$FH$70,Ins!F4,Tim!$D$5:$D$70)+SUMIF(Tim!$FI$5:$FI$70,Ins!F4,Tim!$D$5:$D$70)+SUMIF(Tim!$FJ$5:$FJ$70,Ins!F4,Tim!$D$5:$D$70)+SUMIF(Tim!$FK$5:$FK$70,Ins!F4,Tim!$D$5:$D$70)+SUMIF(Tim!$FL$5:$FL$70,Ins!F4,Tim!$D$5:$D$70)+SUMIF(Tim!$FM$5:$FM$70,Ins!F4,Tim!$D$5:$D$70)+SUMIF(Tim!$FN$5:$FN$70,Ins!F4,Tim!$D$5:$D$70)+SUMIF(Tim!$FO$5:$FO$70,Ins!F4,Tim!$D$5:$D$70)+SUMIF(Tim!$FP$5:$FP$70,Ins!F4,Tim!$D$5:$D$70)+SUMIF(Tim!$FQ$5:$FQ$70,Ins!F4,Tim!$D$5:$D$70)+SUMIF(Tim!$FR$5:$FR$70,Ins!F4,Tim!$D$5:$D$70)+SUMIF(Tim!$FS$5:$FS$70,Ins!F4,Tim!$D$5:$D$70)</f>
        <v>0</v>
      </c>
      <c r="AZ4" s="80">
        <f>SUMIF(Tim!FT$5:FT$70,Ins!F4,Tim!$C$5:$C$70)</f>
        <v>0</v>
      </c>
      <c r="BA4" s="80">
        <f>SUMIF(Tim!FU$5:FU$70,Ins!F4,Tim!$C$5:$C$70)</f>
        <v>0</v>
      </c>
      <c r="BB4" s="80">
        <f>SUMIF(Tim!FV$5:FV$70,Ins!F4,Tim!$C$5:$C$70)+SUMIF(Tim!FW$5:FW$70,Ins!F4,Tim!$C$5:$C$70)+SUMIF(Tim!FX$5:FX$70,Ins!F4,Tim!$C$5:$C$70)</f>
        <v>0</v>
      </c>
      <c r="BC4" s="81">
        <f>SUMIF(Tim!$FY$5:$FY$70,Ins!F4,Tim!$C$5:$C$70)+SUMIF(Tim!$FZ$5:$FZ$70,Ins!F4,Tim!$C$5:$C$70)+SUMIF(Tim!$GA$5:$GA$70,Ins!F4,Tim!$C$5:$C$70)+SUMIF(Tim!$GB$5:$GB$70,Ins!F4,Tim!$C$5:$C$70)+SUMIF(Tim!$GC$5:$GC$70,Ins!F4,Tim!$C$5:$C$70)</f>
        <v>4</v>
      </c>
      <c r="BD4" s="79">
        <f>SUMIF(Tim!$GD$5:$GD$70,Ins!F4,Tim!$B$5:$B$70)</f>
        <v>2</v>
      </c>
      <c r="BE4" s="80">
        <f>SUMIF(Tim!$GE$5:$GE$70,Ins!F4,Tim!$B$5:$B$70)+SUMIF(Tim!$GF$5:$GF$70,Ins!F4,Tim!$B$5:$B$70)+SUMIF(Tim!$GG$5:$GG$70,Ins!F4,Tim!$B$5:$B$70)+SUMIF(Tim!$GH$5:$GH$70,Ins!F4,Tim!$B$5:$B$70)+SUMIF(Tim!$GI$5:$GI$70,Ins!F4,Tim!$B$5:$B$70)+SUMIF(Tim!$GJ$5:$GJ$70,Ins!F4,Tim!$B$5:$B$70)</f>
        <v>0</v>
      </c>
      <c r="BF4" s="80">
        <f>SUMIF(Tim!$GK$5:$GK$70,Ins!F4,Tim!$B$5:$B$70)+SUMIF(Tim!$GL$5:$GL$70,Ins!F4,Tim!$B$5:$B$70)+SUMIF(Tim!$GM$5:$GM$70,Ins!F4,Tim!$B$5:$B$70)</f>
        <v>0</v>
      </c>
      <c r="BG4" s="80">
        <f>SUMIF(Tim!$GN$5:$GN$70,Ins!F4,Tim!$B$5:$B$70)+SUMIF(Tim!$GO$5:$GO$70,Ins!F4,Tim!$B$5:$B$70)+SUMIF(Tim!$GP$5:$GP$70,Ins!F4,Tim!$B$5:$B$70)+SUMIF(Tim!$GQ$5:$GQ$70,Ins!F4,Tim!$B$5:$B$70)+SUMIF(Tim!$GR$5:$GR$70,Ins!F4,Tim!$B$5:$B$70)</f>
        <v>6</v>
      </c>
      <c r="BH4" s="80">
        <f>SUMIF(Tim!$GS$5:$GS$70,Ins!F4,Tim!$B$5:$B$70)+SUMIF(Tim!$GT$5:$GT$70,Ins!F4,Tim!$B$5:$B$70)+SUMIF(Tim!$GU$5:$GU$70,Ins!F4,Tim!$B$5:$B$70)</f>
        <v>0</v>
      </c>
      <c r="BI4" s="80">
        <f>SUMIF(Tim!GV$5:GV$70,Ins!F4,Tim!$B$5:$B$70)+SUMIF(Tim!GW$5:GW$70,Ins!F4,Tim!$B$5:$B$70)+SUMIF(Tim!GX$5:GX$70,Ins!F4,Tim!$B$5:$B$70)</f>
        <v>0</v>
      </c>
      <c r="BJ4" s="80">
        <f>SUMIF(Tim!GY$5:GY$70,Ins!F4,Tim!$B$5:$B$70)</f>
        <v>0</v>
      </c>
      <c r="BK4" s="80">
        <f>SUMIF(Tim!$GZ$5:$GZ$70,Ins!F4,Tim!$D$5:$D$70)+SUMIF(Tim!$HA$5:$HA$70,Ins!F4,Tim!$D$5:$D$70)+SUMIF(Tim!$HB$5:$HB$70,Ins!F4,Tim!$D$5:$D$70)++SUMIF(Tim!$HC$5:$HC$70,Ins!F4,Tim!$D$5:$D$70)+SUMIF(Tim!$HD$5:$HD$70,Ins!F4,Tim!$D$5:$D$70)+SUMIF(Tim!$HE$5:$HE$70,Ins!F4,Tim!$D$5:$D$70)+SUMIF(Tim!$HF$5:$HF$70,Ins!F4,Tim!$D$5:$D$70)+SUMIF(Tim!$HG$5:$HG$70,Ins!F4,Tim!$D$5:$D$70)+SUMIF(Tim!$HH$5:$HH$70,Ins!F4,Tim!$D$5:$D$70)+SUMIF(Tim!$HI$5:$HI$70,Ins!F4,Tim!$D$5:$D$70)+SUMIF(Tim!$HJ$5:$HJ$70,Ins!F4,Tim!$D$5:$D$70)+SUMIF(Tim!$HK$5:$HK$70,Ins!F4,Tim!$D$5:$D$70)</f>
        <v>0</v>
      </c>
      <c r="BL4" s="80">
        <f>SUMIF(Tim!HL$5:HL$70,Ins!F4,Tim!$C$5:$C$70)</f>
        <v>0</v>
      </c>
      <c r="BM4" s="80">
        <f>SUMIF(Tim!HM$5:HM$70,Ins!F4,Tim!$C$5:$C$70)</f>
        <v>0</v>
      </c>
      <c r="BN4" s="80">
        <f>SUMIF(Tim!HN$5:HN$70,Ins!F4,Tim!$C$5:$C$70)+SUMIF(Tim!HO$5:HO$70,Ins!F4,Tim!$C$5:$C$70)+SUMIF(Tim!HP$5:HP$70,Ins!F4,Tim!$C$5:$C$70)</f>
        <v>0</v>
      </c>
      <c r="BO4" s="81">
        <f>SUMIF(Tim!$HQ$5:$HQ$70,Ins!F4,Tim!$C$5:$C$70)+SUMIF(Tim!$HR$5:$HR$70,Ins!F4,Tim!$C$5:$C$70)+SUMIF(Tim!$HS$5:$HS$70,Ins!F4,Tim!$C$5:$C$70)+SUMIF(Tim!$HT$5:$HT$70,Ins!F4,Tim!$C$5:$C$70)+SUMIF(Tim!$HU$5:$HU$70,Ins!F4,Tim!$C$5:$C$70)</f>
        <v>0</v>
      </c>
      <c r="BP4" s="79">
        <f>SUMIF(Tim!$HV$7:$HV$70,Ins!F4,Tim!$B$7:$B$70)</f>
        <v>0</v>
      </c>
      <c r="BQ4" s="80">
        <f>SUMIF(Tim!$HW$7:$HW$70,Ins!F4,Tim!$B$7:$B$70)+SUMIF(Tim!$HX$7:$HX$70,Ins!F4,Tim!$B$7:$B$70)+SUMIF(Tim!$HY$7:$HY$70,Ins!F4,Tim!$B$7:$B$70)+SUMIF(Tim!$HZ$7:$HZ$70,Ins!F4,Tim!$B$7:$B$70)+SUMIF(Tim!$IA$7:$IA$70,Ins!F4,Tim!$B$7:$B$70)+SUMIF(Tim!$IB$7:$IB$70,Ins!F4,Tim!$B$7:$B$70)</f>
        <v>0</v>
      </c>
      <c r="BR4" s="80">
        <f>SUMIF(Tim!$IC$7:$IC$70,Ins!F4,Tim!$B$7:$B$70)+SUMIF(Tim!$ID$7:$ID$70,Ins!F4,Tim!$B$7:$B$70)+SUMIF(Tim!$IE$7:$IE$70,Ins!F4,Tim!$B$7:$B$70)</f>
        <v>0</v>
      </c>
      <c r="BS4" s="80">
        <f>SUMIF(Tim!$IF$7:$IF$70,Ins!F4,Tim!$B$7:$B$70)+SUMIF(Tim!$IG$7:$IG$70,Ins!F4,Tim!$B$7:$B$70)+SUMIF(Tim!$IH$7:$IH$70,Ins!F4,Tim!$B$7:$B$70)+SUMIF(Tim!$II$7:$II$70,Ins!F4,Tim!$B$7:$B$70)+SUMIF(Tim!$IJ$7:$IJ$70,Ins!F4,Tim!$B$7:$B$70)</f>
        <v>0</v>
      </c>
      <c r="BT4" s="80">
        <f>SUMIF(Tim!$IK$7:$IK$70,Ins!F4,Tim!$B$7:$B$70)+SUMIF(Tim!$IL$7:$IL$70,Ins!F4,Tim!$B$7:$B$70)+SUMIF(Tim!$IM$7:$IM$70,Ins!F4,Tim!$B$7:$B$70)</f>
        <v>0</v>
      </c>
      <c r="BU4" s="80">
        <f>SUMIF(Tim!$IN$7:$IN$70,Ins!F4,Tim!$B$7:$B$70)+SUMIF(Tim!$IO$7:$IO$70,Ins!F4,Tim!$B$7:$B$70)+SUMIF(Tim!$IP$7:$IP$70,Ins!F4,Tim!$B$7:$B$70)</f>
        <v>0</v>
      </c>
      <c r="BV4" s="80">
        <f>SUMIF(Tim!$IQ$7:$IQ$70,Ins!F4,Tim!$B$7:$B$70)</f>
        <v>0</v>
      </c>
      <c r="BW4" s="80">
        <f>SUMIF(Tim!$IR$7:$IR$70,Ins!F4,Tim!$D$7:$D$70)+SUMIF(Tim!$IS$7:$IS$70,Ins!F4,Tim!$D$7:$D$70)+SUMIF(Tim!$IT$7:$IT$70,Ins!F4,Tim!$D$7:$D$70)+SUMIF(Tim!$IU$7:$IU$70,Ins!F4,Tim!$D$7:$D$70)+SUMIF(Tim!$IV$7:$IV$70,Ins!F4,Tim!$D$7:$D$70)+SUMIF(Tim!$IW$7:$IW$70,Ins!F4,Tim!$D$7:$D$70)+SUMIF(Tim!$IX$7:$IX$70,Ins!F4,Tim!$D$7:$D$70)+SUMIF(Tim!$IY$7:$IY$70,Ins!F4,Tim!$D$7:$D$70)+SUMIF(Tim!$IZ$7:$IZ$70,Ins!F4,Tim!$D$7:$D$70)+SUMIF(Tim!$JA$7:$JA$70,Ins!F4,Tim!$D$7:$D$70)+SUMIF(Tim!$JB$7:$JB$70,Ins!F4,Tim!$D$7:$D$70)+SUMIF(Tim!$JC$7:$JC$70,Ins!F4,Tim!$D$7:$D$70)</f>
        <v>0</v>
      </c>
      <c r="BX4" s="80">
        <f>SUMIF(Tim!JD$7:JD$70,Ins!F4,Tim!$C$7:$C$70)</f>
        <v>0</v>
      </c>
      <c r="BY4" s="80">
        <f>SUMIF(Tim!JE$7:JE$70,Ins!F4,Tim!$C$7:$C$70)</f>
        <v>0</v>
      </c>
      <c r="BZ4" s="80">
        <f>SUMIF(Tim!JF$7:JF$70,Ins!F4,Tim!$C$7:$C$70)+SUMIF(Tim!JG$7:JG$70,Ins!F4,Tim!$C$7:$C$70)+SUMIF(Tim!JH$7:JH$70,Ins!F4,Tim!$C$7:$C$70)</f>
        <v>0</v>
      </c>
      <c r="CA4" s="81">
        <f>SUMIF(Tim!$JI$7:$JI$70,Ins!F4,Tim!$C$7:$C$70)++SUMIF(Tim!$JJ$7:$JJ$70,Ins!F4,Tim!$C$7:$C$70)+SUMIF(Tim!$JK$7:$JK$70,Ins!F4,Tim!$C$7:$C$70)+SUMIF(Tim!$JL$7:$JL$70,Ins!F4,Tim!$C$7:$C$70)+SUMIF(Tim!$JM$7:$JM$70,Ins!F4,Tim!$C$7:$C$70)</f>
        <v>0</v>
      </c>
      <c r="CB4" s="79">
        <f>SUMIF(Tim!$JN$7:$JN$70,Ins!F4,Tim!$B$7:$B$70)</f>
        <v>0</v>
      </c>
      <c r="CC4" s="80">
        <f>SUMIF(Tim!$JO$7:$JO$70,Ins!F4,Tim!$B$7:$B$70)+SUMIF(Tim!$JP$7:$JP$70,Ins!F4,Tim!$B$7:$B$70)+SUMIF(Tim!$JQ$7:$JQ$70,Ins!F4,Tim!$B$7:$B$70)+SUMIF(Tim!$JR$7:$JR$70,Ins!F4,Tim!$B$7:$B$70)+SUMIF(Tim!$JS$7:$JS$70,Ins!F4,Tim!$B$7:$B$70)+SUMIF(Tim!$JT$7:$JT$70,Ins!F4,Tim!$B$7:$B$70)</f>
        <v>0</v>
      </c>
      <c r="CD4" s="80">
        <f>SUMIF(Tim!$JW$7:$JW$70,Ins!F4,Tim!$B$7:$B$70)+SUMIF(Tim!$JU$7:$JU$70,Ins!F4,Tim!$B$7:$B$70)+SUMIF(Tim!$JV$7:$JV$70,Ins!F4,Tim!$B$7:$B$70)</f>
        <v>0</v>
      </c>
      <c r="CE4" s="80">
        <f>SUMIF(Tim!$JX$7:$JX$70,Ins!F4,Tim!$B$7:$B$70)+SUMIF(Tim!$JY$7:$JY$70,Ins!F4,Tim!$B$7:$B$70)+SUMIF(Tim!$JZ$7:$JZ$70,Ins!F4,Tim!$B$7:$B$70)+SUMIF(Tim!$KA$7:$KA$70,Ins!F4,Tim!$B$7:$B$70)+SUMIF(Tim!$KB$7:$KB$70,Ins!F4,Tim!$B$7:$B$70)</f>
        <v>0</v>
      </c>
      <c r="CF4" s="80">
        <f>SUMIF(Tim!$KE$7:$KE$70,Ins!F4,Tim!$B$7:$B$70)+SUMIF(Tim!$KC$7:$KC$70,Ins!F4,Tim!$B$7:$B$70)+SUMIF(Tim!$KD$7:$KD$70,Ins!F4,Tim!$B$7:$B$70)</f>
        <v>0</v>
      </c>
      <c r="CG4" s="80">
        <f>SUMIF(Tim!$KF$7:$KF$70,Ins!F4,Tim!$B$7:$B$70)+SUMIF(Tim!$KG$7:$KG$70,Ins!F4,Tim!$B$7:$B$70)+SUMIF(Tim!$KH$7:$KH$70,Ins!F4,Tim!$B$7:$B$70)</f>
        <v>0</v>
      </c>
      <c r="CH4" s="80">
        <f>SUMIF(Tim!$KI$7:$KI$70,Ins!F4,Tim!$B$7:$B$70)</f>
        <v>0</v>
      </c>
      <c r="CI4" s="80">
        <f>SUMIF(Tim!$KJ$7:$KJ$70,Ins!F4,Tim!$D$7:$D$70)+SUMIF(Tim!$KK$7:$KK$70,Ins!F4,Tim!$D$7:$D$70)+SUMIF(Tim!$KL$7:$KL$70,Ins!F4,Tim!$D$7:$D$70)+SUMIF(Tim!$KM$7:$KM$70,Ins!F4,Tim!$D$7:$D$70)+SUMIF(Tim!$KN$7:$KN$70,Ins!F4,Tim!$D$7:$D$70)+SUMIF(Tim!$KO$7:$KO$70,Ins!F4,Tim!$D$7:$D$70)+SUMIF(Tim!$KP$7:$KP$70,Ins!F4,Tim!$D$7:$D$70)+SUMIF(Tim!$KQ$7:$KQ$70,Ins!F4,Tim!$D$7:$D$70)+SUMIF(Tim!$KR$7:$KR$70,Ins!F4,Tim!$D$7:$D$70)+SUMIF(Tim!$KS$7:$KS$70,Ins!F4,Tim!$D$7:$D$70)+SUMIF(Tim!$KT$7:$KT$70,Ins!F4,Tim!$D$7:$D$70)+SUMIF(Tim!$KU$7:$KU$70,Ins!F4,Tim!$D$7:$D$70)</f>
        <v>0</v>
      </c>
      <c r="CJ4" s="80">
        <f>SUMIF(Tim!KV$7:KV$70,Ins!F4,Tim!$C$7:$C$70)</f>
        <v>0</v>
      </c>
      <c r="CK4" s="80">
        <f>SUMIF(Tim!KW$7:KW$70,Ins!F4,Tim!$C$7:$C$70)</f>
        <v>0</v>
      </c>
      <c r="CL4" s="80">
        <f>SUMIF(Tim!KX$7:KX$70,Ins!F4,Tim!$C$7:$C$70)+SUMIF(Tim!KY$7:KY$70,Ins!F4,Tim!$C$7:$C$70)+SUMIF(Tim!KZ$7:KZ$70,Ins!F4,Tim!$C$7:$C$70)</f>
        <v>0</v>
      </c>
      <c r="CM4" s="81">
        <f>SUMIF(Tim!$LA$7:$LA$70,Ins!F4,Tim!$C$7:$C$70)+SUMIF(Tim!$LB$7:$LB$70,Ins!F4,Tim!$C$7:$C$70)+SUMIF(Tim!$LC$7:$LC$70,Ins!F4,Tim!$C$7:$C$70)+SUMIF(Tim!$LD$7:$LD$70,Ins!F4,Tim!$C$7:$C$70)+SUMIF(Tim!$LE$7:$LE$70,Ins!F4,Tim!$C$7:$C$70)</f>
        <v>0</v>
      </c>
      <c r="CN4" s="22"/>
      <c r="CO4" s="180">
        <f t="shared" ref="CO4:CO6" si="1">H4+T4+AF4+AR4+BD4+BP4+CB4</f>
        <v>9.25</v>
      </c>
      <c r="CP4" s="179">
        <f t="shared" ref="CP4:CP7" si="2">I4+U4+AG4+AS4+BE4+BQ4+CC4</f>
        <v>0.5</v>
      </c>
      <c r="CQ4" s="179">
        <f t="shared" ref="CQ4:CQ7" si="3">J4+V4+AH4+AT4+BF4+BR4+CD4</f>
        <v>0.5</v>
      </c>
      <c r="CR4" s="179">
        <f t="shared" ref="CR4:CR7" si="4">K4+W4+AI4+AU4+BG4+BS4+CE4</f>
        <v>12</v>
      </c>
      <c r="CS4" s="179">
        <f t="shared" ref="CS4:CS7" si="5">L4+X4+AJ4+AV4+BH4+BT4+CF4</f>
        <v>4</v>
      </c>
      <c r="CT4" s="179">
        <f t="shared" ref="CT4:CT7" si="6">M4+Y4+AK4+AW4+BI4+BU4+CG4</f>
        <v>4.25</v>
      </c>
      <c r="CU4" s="179">
        <f t="shared" ref="CU4:CU7" si="7">N4+Z4+AL4+AX4+BJ4+BV4+CH4</f>
        <v>0</v>
      </c>
      <c r="CV4" s="179">
        <f t="shared" ref="CV4:CV7" si="8">O4+AA4+AM4+AY4+BK4+BW4+CI4</f>
        <v>1.5</v>
      </c>
      <c r="CW4" s="179">
        <f t="shared" ref="CW4:CW7" si="9">P4+AB4+AN4+AZ4+BL4+BX4+CJ4</f>
        <v>0</v>
      </c>
      <c r="CX4" s="179">
        <f t="shared" ref="CX4:CX7" si="10">Q4+AC4+AO4+BA4+BM4+BY4+CK4</f>
        <v>0</v>
      </c>
      <c r="CY4" s="179">
        <f t="shared" ref="CY4:CY7" si="11">R4+AD4+AP4+BB4+BN4+BZ4+CL4</f>
        <v>0</v>
      </c>
      <c r="CZ4" s="179">
        <f t="shared" ref="CZ4:CZ7" si="12">S4+AE4+AQ4+BC4+BO4+CA4+CM4</f>
        <v>8</v>
      </c>
      <c r="DA4" s="78">
        <f t="shared" ref="DA4:DA7" si="13">SUM(CO4:CZ4)</f>
        <v>40</v>
      </c>
      <c r="DB4" s="16"/>
      <c r="DC4" s="34">
        <f t="shared" ref="DC4:DC5" si="14">SUM(H4:S4)</f>
        <v>8</v>
      </c>
      <c r="DD4" s="34">
        <f t="shared" ref="DD4:DD55" si="15">SUM(T4:AE4)</f>
        <v>8</v>
      </c>
      <c r="DE4" s="34">
        <f t="shared" ref="DE4:DE55" si="16">SUM(AF4:AQ4)</f>
        <v>8</v>
      </c>
      <c r="DF4" s="34">
        <f>SUM(AR4:BC4)</f>
        <v>8</v>
      </c>
      <c r="DG4" s="34">
        <f t="shared" ref="DG4:DG55" si="17">SUM(BD4:BO4)</f>
        <v>8</v>
      </c>
      <c r="DH4" s="34">
        <f t="shared" ref="DH4:DH55" si="18">SUM(BP4:CA4)</f>
        <v>0</v>
      </c>
      <c r="DI4" s="34">
        <f t="shared" ref="DI4:DI55" si="19">SUM(CB4:CM4)</f>
        <v>0</v>
      </c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7"/>
    </row>
    <row r="5" spans="1:125" s="33" customFormat="1" ht="12" customHeight="1">
      <c r="A5" s="10">
        <v>3</v>
      </c>
      <c r="B5" s="229" t="s">
        <v>418</v>
      </c>
      <c r="C5" s="185"/>
      <c r="D5" s="230"/>
      <c r="E5" s="230"/>
      <c r="F5" s="294" t="s">
        <v>419</v>
      </c>
      <c r="G5" s="231" t="s">
        <v>192</v>
      </c>
      <c r="H5" s="79">
        <f>SUMIF(Tim!$F$7:$F$70,Ins!F5,Tim!$B$7:$B$70)</f>
        <v>3.25</v>
      </c>
      <c r="I5" s="80">
        <f>SUMIF(Tim!$G$7:$G$70,Ins!F5,Tim!$B$7:$B$70)+SUMIF(Tim!$H$7:$H$70,Ins!F5,Tim!$B$7:$B$70)+SUMIF(Tim!$I$7:$I$70,Ins!F5,Tim!$B$7:$B$70)+SUMIF(Tim!$J$7:$J$70,Ins!F5,Tim!$B$7:$B$70)+SUMIF(Tim!$K$7:$K$70,Ins!F5,Tim!$B$7:$B$70)+SUMIF(Tim!$L$7:$L$70,Ins!F5,Tim!$B$7:$B$70)</f>
        <v>0</v>
      </c>
      <c r="J5" s="80">
        <f>SUMIF(Tim!$M$7:$M$70,Ins!F5,Tim!$B$7:$B$70)+SUMIF(Tim!$O$7:$O$70,Ins!F5,Tim!$B$7:$B$70)+SUMIF(Tim!$N$7:$N$70,Ins!F5,Tim!$B$7:$B$70)</f>
        <v>0</v>
      </c>
      <c r="K5" s="80">
        <f>SUMIF(Tim!$P$7:$P$70,Ins!F5,Tim!$B$7:$B$70)+SUMIF(Tim!$Q$7:$Q$70,Ins!F5,Tim!$B$7:$B$70)+SUMIF(Tim!$R$7:$R$70,Ins!F5,Tim!$B$7:$B$70)+SUMIF(Tim!$S$7:$S$70,Ins!F5,Tim!$B$7:$B$70)+SUMIF(Tim!$T$7:$T$70,Ins!F5,Tim!$B$7:$B$70)</f>
        <v>0</v>
      </c>
      <c r="L5" s="80">
        <f>SUMIF(Tim!$U$7:$U$70,Ins!F5,Tim!$B$7:$B$70)+SUMIF(Tim!$W$7:$W$70,Ins!F5,Tim!$B$7:$B$70)+SUMIF(Tim!$X$7:$X$70,Ins!F5,Tim!$B$7:$B$70)</f>
        <v>0.75</v>
      </c>
      <c r="M5" s="80">
        <f>SUMIF(Tim!$Y$7:$Y$70,Ins!F5,Tim!$B$7:$B$70)+SUMIF(Tim!$Z$7:$Z$70,Ins!F5,Tim!$B$7:$B$70)+SUMIF(Tim!$AA$7:$AA$70,Ins!F5,Tim!$B$7:$B$70)</f>
        <v>0</v>
      </c>
      <c r="N5" s="80">
        <f>SUMIF(Tim!$AB$7:$AB$70,Ins!F5,Tim!$B$7:$B$70)</f>
        <v>0</v>
      </c>
      <c r="O5" s="80">
        <f>SUMIF(Tim!$AC$7:$AC$70,Ins!F5,Tim!$D$7:$D$70)+SUMIF(Tim!$AD$7:$AD$70,Ins!F5,Tim!$D$7:$D$70)+SUMIF(Tim!$AE$7:$AE$70,Ins!F5,Tim!$D$7:$D$70)+SUMIF(Tim!$AF$7:$AF$70,Ins!F5,Tim!$D$7:$D$70)+SUMIF(Tim!$AG$7:$AG$70,Ins!F5,Tim!$D$7:$D$70)+SUMIF(Tim!$AH$7:$AH$70,Ins!F5,Tim!$D$7:$D$70)+SUMIF(Tim!$AI$7:$AI$70,Ins!F5,Tim!$D$7:$D$70)+SUMIF(Tim!$AJ$7:$AJ$70,Ins!F5,Tim!$D$7:$D$70)+SUMIF(Tim!$AK$7:$AK$70,Ins!F5,Tim!$D$7:$D$70)+SUMIF(Tim!$AL$7:$AL$70,Ins!F5,Tim!$D$7:$D$70)+SUMIF(Tim!$AM$7:$AM$70,Ins!F5,Tim!$D$7:$D$70)+SUMIF(Tim!$AN$7:$AN$70,Ins!F5,Tim!$D$7:$D$70)</f>
        <v>0</v>
      </c>
      <c r="P5" s="80">
        <f>SUMIF(Tim!AO$7:AO$70,Ins!F5,Tim!$C$7:$C$70)</f>
        <v>0</v>
      </c>
      <c r="Q5" s="80">
        <f>SUMIF(Tim!AP$7:AP$70,Ins!F5,Tim!$C$7:$C$70)</f>
        <v>0</v>
      </c>
      <c r="R5" s="80">
        <f>SUMIF(Tim!AQ$7:AQ$70,Ins!F5,Tim!$C$7:$C$70)+SUMIF(Tim!AR$7:AR$70,Ins!F5,Tim!$C$7:$C$70)+SUMIF(Tim!AS$7:AS$70,Ins!F5,Tim!$C$7:$C$70)</f>
        <v>0</v>
      </c>
      <c r="S5" s="236">
        <f>SUMIF(Tim!$AT$7:$AT$70,Ins!F5,Tim!$C$7:$C$70)+SUMIF(Tim!$AU$7:$AU$70,Ins!F5,Tim!$C$7:$C72)+SUMIF(Tim!$AV$7:$AV$70,Ins!F5,Tim!$C$7:$C$70)+SUMIF(Tim!$AW$7:$AW$70,Ins!F5,Tim!$C$7:$C$70)+SUMIF(Tim!$AX$7:$AX$70,Ins!F5,Tim!$C$7:$C$70)</f>
        <v>4</v>
      </c>
      <c r="T5" s="79">
        <f>SUMIF(Tim!$AY$7:$AY$70,Ins!F5,Tim!$B$7:$B$70)</f>
        <v>1.5</v>
      </c>
      <c r="U5" s="80">
        <f>SUMIF(Tim!$AZ$7:$AZ$70,Ins!F5,Tim!$B$7:$B$70)+SUMIF(Tim!$BA$7:$BA$70,Ins!F5,Tim!$B$7:$B$70)+SUMIF(Tim!$BB$7:$BB$70,Ins!F5,Tim!$B$7:$B$70)+SUMIF(Tim!$BC$7:$BC$70,Ins!F5,Tim!$B$7:$B$70)+SUMIF(Tim!$BD$7:$BD$70,Ins!F5,Tim!$B$7:$B$70)+SUMIF(Tim!$BE$7:$BE$70,Ins!F5,Tim!$B$7:$B$70)</f>
        <v>0.25</v>
      </c>
      <c r="V5" s="80">
        <f>SUMIF(Tim!$BF$7:$BF$70,Ins!F5,Tim!$B$7:$B$70)+SUMIF(Tim!$BG$7:$BG$70,Ins!F5,Tim!$B$7:$B$70)+SUMIF(Tim!$BH$7:$BH$70,Ins!F5,Tim!$B$7:$B$70)</f>
        <v>1</v>
      </c>
      <c r="W5" s="80">
        <f>SUMIF(Tim!$BI$7:$BI$70,Ins!F5,Tim!$B$7:$B$70)+SUMIF(Tim!$BJ$7:$BJ$70,Ins!F5,Tim!$B$7:$B$70)+SUMIF(Tim!$BK$7:$BK$70,Ins!F5,Tim!$B$7:$B$70)+SUMIF(Tim!$BL$7:$BL$70,Ins!F5,Tim!$B$7:$B$70)+SUMIF(Tim!$BM$7:$BM$70,Ins!F5,Tim!$B$7:$B$70)</f>
        <v>0</v>
      </c>
      <c r="X5" s="80">
        <f>SUMIF(Tim!$BN$7:$BN$70,Ins!F5,Tim!$B$7:$B$70)+SUMIF(Tim!$BO$7:$BO$70,Ins!F5,Tim!$B$7:$B$70)+SUMIF(Tim!$BP$7:$BP$70,Ins!F5,Tim!$B$7:$B$70)</f>
        <v>1.5</v>
      </c>
      <c r="Y5" s="80">
        <f>SUMIF(Tim!$BQ$7:$BQ$70,Ins!F5,Tim!$B$7:$B$70)+SUMIF(Tim!$BR$7:$BR$70,Ins!F5,Tim!$B$7:$B$70)+SUMIF(Tim!$BS$7:$BS$70,Ins!F5,Tim!$B$7:$B$70)</f>
        <v>0</v>
      </c>
      <c r="Z5" s="80">
        <f>SUMIF(Tim!BT$7:BT$70,Ins!F5,Tim!$B$7:$B$70)</f>
        <v>0</v>
      </c>
      <c r="AA5" s="80">
        <f>SUMIF(Tim!$BU$7:$BU$70,Ins!F5,Tim!$D$7:$D$70)+SUMIF(Tim!$BV$7:$BV$70,Ins!F5,Tim!$D$7:$D$70)+SUMIF(Tim!$BW$7:$BW$70,Ins!F5,Tim!$D$7:$D$70)+SUMIF(Tim!$BX$7:$BX$70,Ins!F5,Tim!$D$7:$D$70)+SUMIF(Tim!$BY$7:$BY$70,Ins!F5,Tim!$D$7:$D$70)+SUMIF(Tim!$BZ$7:$BZ$70,Ins!F5,Tim!$D$7:$D$70)+SUMIF(Tim!$CA$7:$CA$70,Ins!F5,Tim!$D$7:$D$70)+SUMIF(Tim!$CB$7:$CB$70,Ins!F5,Tim!$D$7:$D$70)+SUMIF(Tim!$CC$7:$CC$70,Ins!F5,Tim!$D$7:$D$70)+SUMIF(Tim!$CD$7:$CD$70,Ins!F5,Tim!$D$7:$D$70)+SUMIF(Tim!$CE$7:$CE$70,Ins!F5,Tim!$D$7:$D$70)+SUMIF(Tim!$CF$7:$CF$70,Ins!F5,Tim!$D$7:$D$70)</f>
        <v>0</v>
      </c>
      <c r="AB5" s="80">
        <f>SUMIF(Tim!CG$7:CG$70,Ins!F5,Tim!$C$7:$C$70)</f>
        <v>0</v>
      </c>
      <c r="AC5" s="80">
        <f>SUMIF(Tim!CH$7:CH$70,Ins!F5,Tim!$C$7:$C$70)</f>
        <v>0</v>
      </c>
      <c r="AD5" s="80">
        <f>SUMIF(Tim!CI$7:CI$70,Ins!F5,Tim!$C$7:$C$70)+SUMIF(Tim!CJ$7:CJ$70,Ins!F5,Tim!$C$7:$C$70)+SUMIF(Tim!CK$7:CK$70,Ins!F5,Tim!$C$7:$C$70)</f>
        <v>0</v>
      </c>
      <c r="AE5" s="81">
        <f>SUMIF(Tim!$CL$7:$CL$70,Ins!F5,Tim!$C$7:$C$70)+SUMIF(Tim!$CM$7:$CM$70,Ins!F5,Tim!$C$7:$C$70)+SUMIF(Tim!$CN$7:$CN$70,Ins!F5,Tim!$C$7:$C$70)+SUMIF(Tim!$CO$7:$CO$70,Ins!F5,Tim!$C$7:$C$70)+SUMIF(Tim!$CP$7:$CP$70,Ins!F5,Tim!$C$7:$C$70)</f>
        <v>3.75</v>
      </c>
      <c r="AF5" s="79">
        <f>SUMIF(Tim!$CQ$7:$CQ$70,Ins!F5,Tim!$B$7:$B$70)</f>
        <v>2.25</v>
      </c>
      <c r="AG5" s="80">
        <f>SUMIF(Tim!$CR$7:$CR$70,Ins!F5,Tim!$B$7:$B$70)+SUMIF(Tim!$CS$7:$CS$70,Ins!F5,Tim!$B$7:$B$70)+SUMIF(Tim!$CT$7:$CT$70,Ins!F5,Tim!$B$7:$B$70)+SUMIF(Tim!$CU$7:$CU$70,Ins!F5,Tim!$B$7:$B$70)+SUMIF(Tim!$CV$7:$CV$70,Ins!F5,Tim!$B$7:$B$70)+SUMIF(Tim!$CW$7:$CW$70,Ins!F5,Tim!$B$7:$B$70)</f>
        <v>1</v>
      </c>
      <c r="AH5" s="80">
        <f>SUMIF(Tim!$CX$7:$CX$70,Ins!F5,Tim!$B$7:$B$70)+SUMIF(Tim!$CY$7:$CY$70,Ins!F5,Tim!$B$7:$B$70)+SUMIF(Tim!$CZ$7:$CZ$70,Ins!F5,Tim!$B$7:$B$70)</f>
        <v>0</v>
      </c>
      <c r="AI5" s="80">
        <f>SUMIF(Tim!$DA$7:$DA$70,Ins!F5,Tim!$B$7:$B$70)+SUMIF(Tim!$DB$7:$DB$70,Ins!F5,Tim!$B$7:$B$70)+SUMIF(Tim!$DC$7:$DC$70,Ins!F5,Tim!$B$7:$B$70)+SUMIF(Tim!$DD$7:$DD$70,Ins!F5,Tim!$B$7:$B$70)+SUMIF(Tim!$DE$7:$DE$70,Ins!F5,Tim!$B$7:$B$70)</f>
        <v>0</v>
      </c>
      <c r="AJ5" s="80">
        <f>SUMIF(Tim!$DF$7:$DF$70,Ins!F5,Tim!$B$7:$B$70)+SUMIF(Tim!$DG$7:$DG$70,Ins!F5,Tim!$B$7:$B$70)+SUMIF(Tim!$DH$7:$DH$70,Ins!F5,Tim!$B$7:$B$70)</f>
        <v>0.75</v>
      </c>
      <c r="AK5" s="80">
        <f>SUMIF(Tim!DI$7:DI$70,Ins!F5,Tim!$B$7:$B$70)+SUMIF(Tim!DM$7:DM$70,Ins!F5,Tim!$B$7:$B$70)+SUMIF(Tim!DN$7:DN$70,Ins!F5,Tim!$B$7:$B$70)</f>
        <v>0</v>
      </c>
      <c r="AL5" s="80">
        <f>SUMIF(Tim!DO$7:DO$70,Ins!F5,Tim!$B$7:$B$70)</f>
        <v>0</v>
      </c>
      <c r="AM5" s="80">
        <f>SUMIF(Tim!$DP$7:$DP$70,Ins!F5,Tim!$D$7:$D$70)+SUMIF(Tim!$DQ$7:$DQ$70,Ins!F5,Tim!$D$7:$D$70)+SUMIF(Tim!$DR$7:$DR$70,Ins!F5,Tim!$D$7:$D$70)+SUMIF(Tim!$DS$7:$DS$70,Ins!F5,Tim!$D$7:$D$70)+SUMIF(Tim!$DT$7:$DT$70,Ins!F5,Tim!$D$7:$D$70)+SUMIF(Tim!$DU$7:$DU$70,Ins!F5,Tim!$D$7:$D$70)+SUMIF(Tim!$DV$7:$DV$70,Ins!F5,Tim!$D$7:$D$70)+SUMIF(Tim!$DW$7:$DW$70,Ins!F5,Tim!$D$7:$D$70)+SUMIF(Tim!$DX$7:$DX$70,Ins!F5,Tim!$D$7:$D$70)+SUMIF(Tim!$DY$7:$DY$70,Ins!F5,Tim!$D$7:$D$70)+SUMIF(Tim!$DZ$7:$DZ$70,Ins!F5,Tim!$D$7:$D$70)+SUMIF(Tim!$EA$7:$EA$70,Ins!F5,Tim!$D$7:$D$70)</f>
        <v>0</v>
      </c>
      <c r="AN5" s="80">
        <f>SUMIF(Tim!EB$7:EB$70,Ins!F5,Tim!$C$7:$C$70)</f>
        <v>0</v>
      </c>
      <c r="AO5" s="80">
        <f>SUMIF(Tim!EC$7:EC$70,Ins!F5,Tim!$C$7:$C$70)</f>
        <v>0</v>
      </c>
      <c r="AP5" s="80">
        <f>SUMIF(Tim!ED$7:ED$70,Ins!F5,Tim!$C$7:$C$70)+SUMIF(Tim!EE$7:EE$70,Ins!F5,Tim!$C$7:$C$70)+SUMIF(Tim!EF$7:EF$70,Ins!F5,Tim!$C$7:$C$70)</f>
        <v>0</v>
      </c>
      <c r="AQ5" s="81">
        <f>SUMIF(Tim!$EG$7:$EG$70,Ins!F5,Tim!$C$7:$C$70)+SUMIF(Tim!$EH$7:$EH$70,Ins!F5,Tim!$C$7:$C$70)+SUMIF(Tim!$EI$7:$EI$70,Ins!F5,Tim!$C$7:$C$70)+SUMIF(Tim!$EJ$7:$EJ$70,Ins!F5,Tim!$C$7:$C$70)+SUMIF(Tim!$EK$7:$EK$70,Ins!F5,Tim!$C$7:$C$70)</f>
        <v>4</v>
      </c>
      <c r="AR5" s="79">
        <f>SUMIF(Tim!$EL$5:$EL$70,Ins!F5,Tim!$B$5:$B$70)</f>
        <v>3.75</v>
      </c>
      <c r="AS5" s="80">
        <f>SUMIF(Tim!$EM$5:$EM$70,Ins!F5,Tim!$B$5:$B$70)+SUMIF(Tim!$EN$5:$EN$70,Ins!F5,Tim!$B$5:$B$70)+SUMIF(Tim!$EO$5:$EO$70,Ins!F5,Tim!$B$5:$B$70)+SUMIF(Tim!$EP$5:$EP$70,Ins!F5,Tim!$B$5:$B$70)+SUMIF(Tim!$EQ$5:$EQ$70,Ins!F5,Tim!$B$5:$B$70)+SUMIF(Tim!$ER$5:$ER$70,Ins!F5,Tim!$B$5:$B$70)</f>
        <v>0.25</v>
      </c>
      <c r="AT5" s="80">
        <f>SUMIF(Tim!$ES$5:$ES$70,Ins!F5,Tim!$B$5:$B$70)+SUMIF(Tim!$ET$5:$ET$70,Ins!F5,Tim!$B$5:$B$70)+SUMIF(Tim!$EU$5:$EU$70,Ins!F5,Tim!$B$5:$B$70)</f>
        <v>0</v>
      </c>
      <c r="AU5" s="80">
        <f>SUMIF(Tim!$EV$5:$EV$70,Ins!F5,Tim!$B$5:$B$70)+SUMIF(Tim!$EW$5:$EW$70,Ins!F5,Tim!$B$5:$B$70)+SUMIF(Tim!$EX$5:$EX$70,Ins!F5,Tim!$B$5:$B$70)+SUMIF(Tim!$EY$5:$EY$70,Ins!F5,Tim!$B$5:$B$70)+SUMIF(Tim!$EZ$5:$EZ$70,Ins!F5,Tim!$B$5:$B$70)</f>
        <v>0</v>
      </c>
      <c r="AV5" s="80">
        <f>SUMIF(Tim!$FA$5:$FA$70,Ins!F5,Tim!$B$5:$B$70)+SUMIF(Tim!$FB$5:$FB$70,Ins!F5,Tim!$B$5:$B$70)+SUMIF(Tim!$FC$5:$FC$70,Ins!F5,Tim!$B$5:$B$70)</f>
        <v>1.5</v>
      </c>
      <c r="AW5" s="80">
        <f>SUMIF(Tim!FD$5:FD$70,Ins!F5,Tim!$B$5:$B$70)+SUMIF(Tim!FE$5:FE$70,Ins!F5,Tim!$B$5:$B$70)+SUMIF(Tim!FF$5:FF$70,Ins!F5,Tim!$B$5:$B$70)</f>
        <v>0</v>
      </c>
      <c r="AX5" s="80">
        <f>SUMIF(Tim!FG$5:FG$70,Ins!F5,Tim!$B$5:$B$70)</f>
        <v>0</v>
      </c>
      <c r="AY5" s="80">
        <f>SUMIF(Tim!$FH$5:$FH$70,Ins!F5,Tim!$D$5:$D$70)+SUMIF(Tim!$FI$5:$FI$70,Ins!F5,Tim!$D$5:$D$70)+SUMIF(Tim!$FJ$5:$FJ$70,Ins!F5,Tim!$D$5:$D$70)+SUMIF(Tim!$FK$5:$FK$70,Ins!F5,Tim!$D$5:$D$70)+SUMIF(Tim!$FL$5:$FL$70,Ins!F5,Tim!$D$5:$D$70)+SUMIF(Tim!$FM$5:$FM$70,Ins!F5,Tim!$D$5:$D$70)+SUMIF(Tim!$FN$5:$FN$70,Ins!F5,Tim!$D$5:$D$70)+SUMIF(Tim!$FO$5:$FO$70,Ins!F5,Tim!$D$5:$D$70)+SUMIF(Tim!$FP$5:$FP$70,Ins!F5,Tim!$D$5:$D$70)+SUMIF(Tim!$FQ$5:$FQ$70,Ins!F5,Tim!$D$5:$D$70)+SUMIF(Tim!$FR$5:$FR$70,Ins!F5,Tim!$D$5:$D$70)+SUMIF(Tim!$FS$5:$FS$70,Ins!F5,Tim!$D$5:$D$70)</f>
        <v>0</v>
      </c>
      <c r="AZ5" s="80">
        <f>SUMIF(Tim!FT$5:FT$70,Ins!F5,Tim!$C$5:$C$70)</f>
        <v>0</v>
      </c>
      <c r="BA5" s="80">
        <f>SUMIF(Tim!FU$5:FU$70,Ins!F5,Tim!$C$5:$C$70)</f>
        <v>0</v>
      </c>
      <c r="BB5" s="80">
        <f>SUMIF(Tim!FV$5:FV$70,Ins!F5,Tim!$C$5:$C$70)+SUMIF(Tim!FW$5:FW$70,Ins!F5,Tim!$C$5:$C$70)+SUMIF(Tim!FX$5:FX$70,Ins!F5,Tim!$C$5:$C$70)</f>
        <v>0</v>
      </c>
      <c r="BC5" s="81">
        <f>SUMIF(Tim!$FY$5:$FY$70,Ins!F5,Tim!$C$5:$C$70)+SUMIF(Tim!$FZ$5:$FZ$70,Ins!F5,Tim!$C$5:$C$70)+SUMIF(Tim!$GA$5:$GA$70,Ins!F5,Tim!$C$5:$C$70)+SUMIF(Tim!$GB$5:$GB$70,Ins!F5,Tim!$C$5:$C$70)+SUMIF(Tim!$GC$5:$GC$70,Ins!F5,Tim!$C$5:$C$70)</f>
        <v>2.5</v>
      </c>
      <c r="BD5" s="79">
        <f>SUMIF(Tim!$GD$5:$GD$70,Ins!F5,Tim!$B$5:$B$70)</f>
        <v>2.75</v>
      </c>
      <c r="BE5" s="80">
        <f>SUMIF(Tim!$GE$5:$GE$70,Ins!F5,Tim!$B$5:$B$70)+SUMIF(Tim!$GF$5:$GF$70,Ins!F5,Tim!$B$5:$B$70)+SUMIF(Tim!$GG$5:$GG$70,Ins!F5,Tim!$B$5:$B$70)+SUMIF(Tim!$GH$5:$GH$70,Ins!F5,Tim!$B$5:$B$70)+SUMIF(Tim!$GI$5:$GI$70,Ins!F5,Tim!$B$5:$B$70)+SUMIF(Tim!$GJ$5:$GJ$70,Ins!F5,Tim!$B$5:$B$70)</f>
        <v>0.5</v>
      </c>
      <c r="BF5" s="80">
        <f>SUMIF(Tim!$GK$5:$GK$70,Ins!F5,Tim!$B$5:$B$70)+SUMIF(Tim!$GL$5:$GL$70,Ins!F5,Tim!$B$5:$B$70)+SUMIF(Tim!$GM$5:$GM$70,Ins!F5,Tim!$B$5:$B$70)</f>
        <v>1.5</v>
      </c>
      <c r="BG5" s="80">
        <f>SUMIF(Tim!$GN$5:$GN$70,Ins!F5,Tim!$B$5:$B$70)+SUMIF(Tim!$GO$5:$GO$70,Ins!F5,Tim!$B$5:$B$70)+SUMIF(Tim!$GP$5:$GP$70,Ins!F5,Tim!$B$5:$B$70)+SUMIF(Tim!$GQ$5:$GQ$70,Ins!F5,Tim!$B$5:$B$70)+SUMIF(Tim!$GR$5:$GR$70,Ins!F5,Tim!$B$5:$B$70)</f>
        <v>1</v>
      </c>
      <c r="BH5" s="80">
        <f>SUMIF(Tim!$GS$5:$GS$70,Ins!F5,Tim!$B$5:$B$70)+SUMIF(Tim!$GT$5:$GT$70,Ins!F5,Tim!$B$5:$B$70)+SUMIF(Tim!$GU$5:$GU$70,Ins!F5,Tim!$B$5:$B$70)</f>
        <v>0.25</v>
      </c>
      <c r="BI5" s="80">
        <f>SUMIF(Tim!GV$5:GV$70,Ins!F5,Tim!$B$5:$B$70)+SUMIF(Tim!GW$5:GW$70,Ins!F5,Tim!$B$5:$B$70)+SUMIF(Tim!GX$5:GX$70,Ins!F5,Tim!$B$5:$B$70)</f>
        <v>1</v>
      </c>
      <c r="BJ5" s="80">
        <f>SUMIF(Tim!GY$5:GY$70,Ins!F5,Tim!$B$5:$B$70)</f>
        <v>0</v>
      </c>
      <c r="BK5" s="80">
        <f>SUMIF(Tim!$GZ$5:$GZ$70,Ins!F5,Tim!$D$5:$D$70)+SUMIF(Tim!$HA$5:$HA$70,Ins!F5,Tim!$D$5:$D$70)+SUMIF(Tim!$HB$5:$HB$70,Ins!F5,Tim!$D$5:$D$70)++SUMIF(Tim!$HC$5:$HC$70,Ins!F5,Tim!$D$5:$D$70)+SUMIF(Tim!$HD$5:$HD$70,Ins!F5,Tim!$D$5:$D$70)+SUMIF(Tim!$HE$5:$HE$70,Ins!F5,Tim!$D$5:$D$70)+SUMIF(Tim!$HF$5:$HF$70,Ins!F5,Tim!$D$5:$D$70)+SUMIF(Tim!$HG$5:$HG$70,Ins!F5,Tim!$D$5:$D$70)+SUMIF(Tim!$HH$5:$HH$70,Ins!F5,Tim!$D$5:$D$70)+SUMIF(Tim!$HI$5:$HI$70,Ins!F5,Tim!$D$5:$D$70)+SUMIF(Tim!$HJ$5:$HJ$70,Ins!F5,Tim!$D$5:$D$70)+SUMIF(Tim!$HK$5:$HK$70,Ins!F5,Tim!$D$5:$D$70)</f>
        <v>0</v>
      </c>
      <c r="BL5" s="80">
        <f>SUMIF(Tim!HL$5:HL$70,Ins!F5,Tim!$C$5:$C$70)</f>
        <v>0</v>
      </c>
      <c r="BM5" s="80">
        <f>SUMIF(Tim!HM$5:HM$70,Ins!F5,Tim!$C$5:$C$70)</f>
        <v>0</v>
      </c>
      <c r="BN5" s="80">
        <f>SUMIF(Tim!HN$5:HN$70,Ins!F5,Tim!$C$5:$C$70)+SUMIF(Tim!HO$5:HO$70,Ins!F5,Tim!$C$5:$C$70)+SUMIF(Tim!HP$5:HP$70,Ins!F5,Tim!$C$5:$C$70)</f>
        <v>0</v>
      </c>
      <c r="BO5" s="81">
        <f>SUMIF(Tim!$HQ$5:$HQ$70,Ins!F5,Tim!$C$5:$C$70)+SUMIF(Tim!$HR$5:$HR$70,Ins!F5,Tim!$C$5:$C$70)+SUMIF(Tim!$HS$5:$HS$70,Ins!F5,Tim!$C$5:$C$70)+SUMIF(Tim!$HT$5:$HT$70,Ins!F5,Tim!$C$5:$C$70)+SUMIF(Tim!$HU$5:$HU$70,Ins!F5,Tim!$C$5:$C$70)</f>
        <v>1</v>
      </c>
      <c r="BP5" s="79">
        <f>SUMIF(Tim!$HV$7:$HV$70,Ins!F5,Tim!$B$7:$B$70)</f>
        <v>0</v>
      </c>
      <c r="BQ5" s="80">
        <f>SUMIF(Tim!$HW$7:$HW$70,Ins!F5,Tim!$B$7:$B$70)+SUMIF(Tim!$HX$7:$HX$70,Ins!F5,Tim!$B$7:$B$70)+SUMIF(Tim!$HY$7:$HY$70,Ins!F5,Tim!$B$7:$B$70)+SUMIF(Tim!$HZ$7:$HZ$70,Ins!F5,Tim!$B$7:$B$70)+SUMIF(Tim!$IA$7:$IA$70,Ins!F5,Tim!$B$7:$B$70)+SUMIF(Tim!$IB$7:$IB$70,Ins!F5,Tim!$B$7:$B$70)</f>
        <v>0</v>
      </c>
      <c r="BR5" s="80">
        <f>SUMIF(Tim!$IC$7:$IC$70,Ins!F5,Tim!$B$7:$B$70)+SUMIF(Tim!$ID$7:$ID$70,Ins!F5,Tim!$B$7:$B$70)+SUMIF(Tim!$IE$7:$IE$70,Ins!F5,Tim!$B$7:$B$70)</f>
        <v>0</v>
      </c>
      <c r="BS5" s="80">
        <f>SUMIF(Tim!$IF$7:$IF$70,Ins!F5,Tim!$B$7:$B$70)+SUMIF(Tim!$IG$7:$IG$70,Ins!F5,Tim!$B$7:$B$70)+SUMIF(Tim!$IH$7:$IH$70,Ins!F5,Tim!$B$7:$B$70)+SUMIF(Tim!$II$7:$II$70,Ins!F5,Tim!$B$7:$B$70)+SUMIF(Tim!$IJ$7:$IJ$70,Ins!F5,Tim!$B$7:$B$70)</f>
        <v>0</v>
      </c>
      <c r="BT5" s="80">
        <f>SUMIF(Tim!$IK$7:$IK$70,Ins!F5,Tim!$B$7:$B$70)+SUMIF(Tim!$IL$7:$IL$70,Ins!F5,Tim!$B$7:$B$70)+SUMIF(Tim!$IM$7:$IM$70,Ins!F5,Tim!$B$7:$B$70)</f>
        <v>0</v>
      </c>
      <c r="BU5" s="80">
        <f>SUMIF(Tim!$IN$7:$IN$70,Ins!F5,Tim!$B$7:$B$70)+SUMIF(Tim!$IO$7:$IO$70,Ins!F5,Tim!$B$7:$B$70)+SUMIF(Tim!$IP$7:$IP$70,Ins!F5,Tim!$B$7:$B$70)</f>
        <v>0</v>
      </c>
      <c r="BV5" s="80">
        <f>SUMIF(Tim!$IQ$7:$IQ$70,Ins!F5,Tim!$B$7:$B$70)</f>
        <v>0</v>
      </c>
      <c r="BW5" s="80">
        <f>SUMIF(Tim!$IR$7:$IR$70,Ins!F5,Tim!$D$7:$D$70)+SUMIF(Tim!$IS$7:$IS$70,Ins!F5,Tim!$D$7:$D$70)+SUMIF(Tim!$IT$7:$IT$70,Ins!F5,Tim!$D$7:$D$70)+SUMIF(Tim!$IU$7:$IU$70,Ins!F5,Tim!$D$7:$D$70)+SUMIF(Tim!$IV$7:$IV$70,Ins!F5,Tim!$D$7:$D$70)+SUMIF(Tim!$IW$7:$IW$70,Ins!F5,Tim!$D$7:$D$70)+SUMIF(Tim!$IX$7:$IX$70,Ins!F5,Tim!$D$7:$D$70)+SUMIF(Tim!$IY$7:$IY$70,Ins!F5,Tim!$D$7:$D$70)+SUMIF(Tim!$IZ$7:$IZ$70,Ins!F5,Tim!$D$7:$D$70)+SUMIF(Tim!$JA$7:$JA$70,Ins!F5,Tim!$D$7:$D$70)+SUMIF(Tim!$JB$7:$JB$70,Ins!F5,Tim!$D$7:$D$70)+SUMIF(Tim!$JC$7:$JC$70,Ins!F5,Tim!$D$7:$D$70)</f>
        <v>0</v>
      </c>
      <c r="BX5" s="80">
        <f>SUMIF(Tim!JD$7:JD$70,Ins!F5,Tim!$C$7:$C$70)</f>
        <v>0</v>
      </c>
      <c r="BY5" s="80">
        <f>SUMIF(Tim!JE$7:JE$70,Ins!F5,Tim!$C$7:$C$70)</f>
        <v>0</v>
      </c>
      <c r="BZ5" s="80">
        <f>SUMIF(Tim!JF$7:JF$70,Ins!F5,Tim!$C$7:$C$70)+SUMIF(Tim!JG$7:JG$70,Ins!F5,Tim!$C$7:$C$70)+SUMIF(Tim!JH$7:JH$70,Ins!F5,Tim!$C$7:$C$70)</f>
        <v>0</v>
      </c>
      <c r="CA5" s="81">
        <f>SUMIF(Tim!$JI$7:$JI$70,Ins!F5,Tim!$C$7:$C$70)++SUMIF(Tim!$JJ$7:$JJ$70,Ins!F5,Tim!$C$7:$C$70)+SUMIF(Tim!$JK$7:$JK$70,Ins!F5,Tim!$C$7:$C$70)+SUMIF(Tim!$JL$7:$JL$70,Ins!F5,Tim!$C$7:$C$70)+SUMIF(Tim!$JM$7:$JM$70,Ins!F5,Tim!$C$7:$C$70)</f>
        <v>0</v>
      </c>
      <c r="CB5" s="79">
        <f>SUMIF(Tim!$JN$7:$JN$70,Ins!F5,Tim!$B$7:$B$70)</f>
        <v>0</v>
      </c>
      <c r="CC5" s="80">
        <f>SUMIF(Tim!$JO$7:$JO$70,Ins!F5,Tim!$B$7:$B$70)+SUMIF(Tim!$JP$7:$JP$70,Ins!F5,Tim!$B$7:$B$70)+SUMIF(Tim!$JQ$7:$JQ$70,Ins!F5,Tim!$B$7:$B$70)+SUMIF(Tim!$JR$7:$JR$70,Ins!F5,Tim!$B$7:$B$70)+SUMIF(Tim!$JS$7:$JS$70,Ins!F5,Tim!$B$7:$B$70)+SUMIF(Tim!$JT$7:$JT$70,Ins!F5,Tim!$B$7:$B$70)</f>
        <v>0</v>
      </c>
      <c r="CD5" s="80">
        <f>SUMIF(Tim!$JW$7:$JW$70,Ins!F5,Tim!$B$7:$B$70)+SUMIF(Tim!$JU$7:$JU$70,Ins!F5,Tim!$B$7:$B$70)+SUMIF(Tim!$JV$7:$JV$70,Ins!F5,Tim!$B$7:$B$70)</f>
        <v>0</v>
      </c>
      <c r="CE5" s="80">
        <f>SUMIF(Tim!$JX$7:$JX$70,Ins!F5,Tim!$B$7:$B$70)+SUMIF(Tim!$JY$7:$JY$70,Ins!F5,Tim!$B$7:$B$70)+SUMIF(Tim!$JZ$7:$JZ$70,Ins!F5,Tim!$B$7:$B$70)+SUMIF(Tim!$KA$7:$KA$70,Ins!F5,Tim!$B$7:$B$70)+SUMIF(Tim!$KB$7:$KB$70,Ins!F5,Tim!$B$7:$B$70)</f>
        <v>0</v>
      </c>
      <c r="CF5" s="80">
        <f>SUMIF(Tim!$KE$7:$KE$70,Ins!F5,Tim!$B$7:$B$70)+SUMIF(Tim!$KC$7:$KC$70,Ins!F5,Tim!$B$7:$B$70)+SUMIF(Tim!$KD$7:$KD$70,Ins!F5,Tim!$B$7:$B$70)</f>
        <v>0</v>
      </c>
      <c r="CG5" s="80">
        <f>SUMIF(Tim!$KF$7:$KF$70,Ins!F5,Tim!$B$7:$B$70)+SUMIF(Tim!$KG$7:$KG$70,Ins!F5,Tim!$B$7:$B$70)+SUMIF(Tim!$KH$7:$KH$70,Ins!F5,Tim!$B$7:$B$70)</f>
        <v>0</v>
      </c>
      <c r="CH5" s="80">
        <f>SUMIF(Tim!$KI$7:$KI$70,Ins!F5,Tim!$B$7:$B$70)</f>
        <v>0</v>
      </c>
      <c r="CI5" s="80">
        <f>SUMIF(Tim!$KJ$7:$KJ$70,Ins!F5,Tim!$D$7:$D$70)+SUMIF(Tim!$KK$7:$KK$70,Ins!F5,Tim!$D$7:$D$70)+SUMIF(Tim!$KL$7:$KL$70,Ins!F5,Tim!$D$7:$D$70)+SUMIF(Tim!$KM$7:$KM$70,Ins!F5,Tim!$D$7:$D$70)+SUMIF(Tim!$KN$7:$KN$70,Ins!F5,Tim!$D$7:$D$70)+SUMIF(Tim!$KO$7:$KO$70,Ins!F5,Tim!$D$7:$D$70)+SUMIF(Tim!$KP$7:$KP$70,Ins!F5,Tim!$D$7:$D$70)+SUMIF(Tim!$KQ$7:$KQ$70,Ins!F5,Tim!$D$7:$D$70)+SUMIF(Tim!$KR$7:$KR$70,Ins!F5,Tim!$D$7:$D$70)+SUMIF(Tim!$KS$7:$KS$70,Ins!F5,Tim!$D$7:$D$70)+SUMIF(Tim!$KT$7:$KT$70,Ins!F5,Tim!$D$7:$D$70)+SUMIF(Tim!$KU$7:$KU$70,Ins!F5,Tim!$D$7:$D$70)</f>
        <v>0</v>
      </c>
      <c r="CJ5" s="80">
        <f>SUMIF(Tim!KV$7:KV$70,Ins!F5,Tim!$C$7:$C$70)</f>
        <v>0</v>
      </c>
      <c r="CK5" s="80">
        <f>SUMIF(Tim!KW$7:KW$70,Ins!F5,Tim!$C$7:$C$70)</f>
        <v>0</v>
      </c>
      <c r="CL5" s="80">
        <f>SUMIF(Tim!KX$7:KX$70,Ins!F5,Tim!$C$7:$C$70)+SUMIF(Tim!KY$7:KY$70,Ins!F5,Tim!$C$7:$C$70)+SUMIF(Tim!KZ$7:KZ$70,Ins!F5,Tim!$C$7:$C$70)</f>
        <v>0</v>
      </c>
      <c r="CM5" s="81">
        <f>SUMIF(Tim!$LA$7:$LA$70,Ins!F5,Tim!$C$7:$C$70)+SUMIF(Tim!$LB$7:$LB$70,Ins!F5,Tim!$C$7:$C$70)+SUMIF(Tim!$LC$7:$LC$70,Ins!F5,Tim!$C$7:$C$70)+SUMIF(Tim!$LD$7:$LD$70,Ins!F5,Tim!$C$7:$C$70)+SUMIF(Tim!$LE$7:$LE$70,Ins!F5,Tim!$C$7:$C$70)</f>
        <v>0</v>
      </c>
      <c r="CN5" s="22"/>
      <c r="CO5" s="180">
        <f t="shared" si="1"/>
        <v>13.5</v>
      </c>
      <c r="CP5" s="179">
        <f t="shared" si="2"/>
        <v>2</v>
      </c>
      <c r="CQ5" s="179">
        <f t="shared" si="3"/>
        <v>2.5</v>
      </c>
      <c r="CR5" s="179">
        <f t="shared" si="4"/>
        <v>1</v>
      </c>
      <c r="CS5" s="179">
        <f t="shared" si="5"/>
        <v>4.75</v>
      </c>
      <c r="CT5" s="179">
        <f t="shared" si="6"/>
        <v>1</v>
      </c>
      <c r="CU5" s="179">
        <f t="shared" si="7"/>
        <v>0</v>
      </c>
      <c r="CV5" s="179">
        <f t="shared" si="8"/>
        <v>0</v>
      </c>
      <c r="CW5" s="179">
        <f t="shared" si="9"/>
        <v>0</v>
      </c>
      <c r="CX5" s="179">
        <f t="shared" si="10"/>
        <v>0</v>
      </c>
      <c r="CY5" s="179">
        <f t="shared" si="11"/>
        <v>0</v>
      </c>
      <c r="CZ5" s="179">
        <f t="shared" si="12"/>
        <v>15.25</v>
      </c>
      <c r="DA5" s="78">
        <f t="shared" si="13"/>
        <v>40</v>
      </c>
      <c r="DB5" s="36"/>
      <c r="DC5" s="34">
        <f t="shared" si="14"/>
        <v>8</v>
      </c>
      <c r="DD5" s="34">
        <f t="shared" si="15"/>
        <v>8</v>
      </c>
      <c r="DE5" s="34">
        <f t="shared" si="16"/>
        <v>8</v>
      </c>
      <c r="DF5" s="34">
        <f t="shared" ref="DF5:DF55" si="20">SUM(AR5:BC5)</f>
        <v>8</v>
      </c>
      <c r="DG5" s="34">
        <f t="shared" si="17"/>
        <v>8</v>
      </c>
      <c r="DH5" s="34">
        <f t="shared" si="18"/>
        <v>0</v>
      </c>
      <c r="DI5" s="34">
        <f t="shared" si="19"/>
        <v>0</v>
      </c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7"/>
    </row>
    <row r="6" spans="1:125" ht="12" hidden="1" customHeight="1">
      <c r="A6" s="10">
        <v>4</v>
      </c>
      <c r="B6" s="229" t="s">
        <v>381</v>
      </c>
      <c r="C6" s="50"/>
      <c r="D6" s="230"/>
      <c r="E6" s="230"/>
      <c r="F6" s="295" t="s">
        <v>382</v>
      </c>
      <c r="G6" s="231" t="s">
        <v>192</v>
      </c>
      <c r="H6" s="79">
        <f>SUMIF(Tim!$F$7:$F$70,Ins!F6,Tim!$B$7:$B$70)</f>
        <v>0</v>
      </c>
      <c r="I6" s="80">
        <f>SUMIF(Tim!$G$7:$G$70,Ins!F6,Tim!$B$7:$B$70)+SUMIF(Tim!$H$7:$H$70,Ins!F6,Tim!$B$7:$B$70)+SUMIF(Tim!$I$7:$I$70,Ins!F6,Tim!$B$7:$B$70)+SUMIF(Tim!$J$7:$J$70,Ins!F6,Tim!$B$7:$B$70)+SUMIF(Tim!$K$7:$K$70,Ins!F6,Tim!$B$7:$B$70)+SUMIF(Tim!$L$7:$L$70,Ins!F6,Tim!$B$7:$B$70)</f>
        <v>0</v>
      </c>
      <c r="J6" s="80">
        <f>SUMIF(Tim!$M$7:$M$70,Ins!F6,Tim!$B$7:$B$70)+SUMIF(Tim!$O$7:$O$70,Ins!F6,Tim!$B$7:$B$70)+SUMIF(Tim!$N$7:$N$70,Ins!F6,Tim!$B$7:$B$70)</f>
        <v>0</v>
      </c>
      <c r="K6" s="80">
        <f>SUMIF(Tim!$P$7:$P$70,Ins!F6,Tim!$B$7:$B$70)+SUMIF(Tim!$Q$7:$Q$70,Ins!F6,Tim!$B$7:$B$70)+SUMIF(Tim!$R$7:$R$70,Ins!F6,Tim!$B$7:$B$70)+SUMIF(Tim!$S$7:$S$70,Ins!F6,Tim!$B$7:$B$70)+SUMIF(Tim!$T$7:$T$70,Ins!F6,Tim!$B$7:$B$70)</f>
        <v>0</v>
      </c>
      <c r="L6" s="80">
        <f>SUMIF(Tim!$U$7:$U$70,Ins!F6,Tim!$B$7:$B$70)+SUMIF(Tim!$W$7:$W$70,Ins!F6,Tim!$B$7:$B$70)+SUMIF(Tim!$X$7:$X$70,Ins!F6,Tim!$B$7:$B$70)</f>
        <v>0</v>
      </c>
      <c r="M6" s="80">
        <f>SUMIF(Tim!$Y$7:$Y$70,Ins!F6,Tim!$B$7:$B$70)+SUMIF(Tim!$Z$7:$Z$70,Ins!F6,Tim!$B$7:$B$70)+SUMIF(Tim!$AA$7:$AA$70,Ins!F6,Tim!$B$7:$B$70)</f>
        <v>0</v>
      </c>
      <c r="N6" s="80">
        <f>SUMIF(Tim!$AB$7:$AB$70,Ins!F6,Tim!$B$7:$B$70)</f>
        <v>0</v>
      </c>
      <c r="O6" s="80">
        <f>SUMIF(Tim!$AC$7:$AC$70,Ins!F6,Tim!$D$7:$D$70)+SUMIF(Tim!$AD$7:$AD$70,Ins!F6,Tim!$D$7:$D$70)+SUMIF(Tim!$AE$7:$AE$70,Ins!F6,Tim!$D$7:$D$70)+SUMIF(Tim!$AF$7:$AF$70,Ins!F6,Tim!$D$7:$D$70)+SUMIF(Tim!$AG$7:$AG$70,Ins!F6,Tim!$D$7:$D$70)+SUMIF(Tim!$AH$7:$AH$70,Ins!F6,Tim!$D$7:$D$70)+SUMIF(Tim!$AI$7:$AI$70,Ins!F6,Tim!$D$7:$D$70)+SUMIF(Tim!$AJ$7:$AJ$70,Ins!F6,Tim!$D$7:$D$70)+SUMIF(Tim!$AK$7:$AK$70,Ins!F6,Tim!$D$7:$D$70)+SUMIF(Tim!$AL$7:$AL$70,Ins!F6,Tim!$D$7:$D$70)+SUMIF(Tim!$AM$7:$AM$70,Ins!F6,Tim!$D$7:$D$70)+SUMIF(Tim!$AN$7:$AN$70,Ins!F6,Tim!$D$7:$D$70)</f>
        <v>0</v>
      </c>
      <c r="P6" s="80">
        <f>SUMIF(Tim!AO$7:AO$70,Ins!F6,Tim!$C$7:$C$70)</f>
        <v>0</v>
      </c>
      <c r="Q6" s="80">
        <f>SUMIF(Tim!AP$7:AP$70,Ins!F6,Tim!$C$7:$C$70)</f>
        <v>0</v>
      </c>
      <c r="R6" s="80">
        <f>SUMIF(Tim!AQ$7:AQ$70,Ins!F6,Tim!$C$7:$C$70)+SUMIF(Tim!AR$7:AR$70,Ins!F6,Tim!$C$7:$C$70)+SUMIF(Tim!AS$7:AS$70,Ins!F6,Tim!$C$7:$C$70)</f>
        <v>0</v>
      </c>
      <c r="S6" s="236">
        <f>SUMIF(Tim!$AT$7:$AT$70,Ins!F6,Tim!$C$7:$C$70)+SUMIF(Tim!$AU$7:$AU$70,Ins!F6,Tim!$C$7:$C73)+SUMIF(Tim!$AV$7:$AV$70,Ins!F6,Tim!$C$7:$C$70)+SUMIF(Tim!$AW$7:$AW$70,Ins!F6,Tim!$C$7:$C$70)+SUMIF(Tim!$AX$7:$AX$70,Ins!F6,Tim!$C$7:$C$70)</f>
        <v>0</v>
      </c>
      <c r="T6" s="79">
        <f>SUMIF(Tim!$AY$7:$AY$70,Ins!F6,Tim!$B$7:$B$70)</f>
        <v>0</v>
      </c>
      <c r="U6" s="80">
        <f>SUMIF(Tim!$AZ$7:$AZ$70,Ins!F6,Tim!$B$7:$B$70)+SUMIF(Tim!$BA$7:$BA$70,Ins!F6,Tim!$B$7:$B$70)+SUMIF(Tim!$BB$7:$BB$70,Ins!F6,Tim!$B$7:$B$70)+SUMIF(Tim!$BC$7:$BC$70,Ins!F6,Tim!$B$7:$B$70)+SUMIF(Tim!$BD$7:$BD$70,Ins!F6,Tim!$B$7:$B$70)+SUMIF(Tim!$BE$7:$BE$70,Ins!F6,Tim!$B$7:$B$70)</f>
        <v>0</v>
      </c>
      <c r="V6" s="80">
        <f>SUMIF(Tim!$BF$7:$BF$70,Ins!F6,Tim!$B$7:$B$70)+SUMIF(Tim!$BG$7:$BG$70,Ins!F6,Tim!$B$7:$B$70)+SUMIF(Tim!$BH$7:$BH$70,Ins!F6,Tim!$B$7:$B$70)</f>
        <v>0</v>
      </c>
      <c r="W6" s="80">
        <f>SUMIF(Tim!$BI$7:$BI$70,Ins!F6,Tim!$B$7:$B$70)+SUMIF(Tim!$BJ$7:$BJ$70,Ins!F6,Tim!$B$7:$B$70)+SUMIF(Tim!$BK$7:$BK$70,Ins!F6,Tim!$B$7:$B$70)+SUMIF(Tim!$BL$7:$BL$70,Ins!F6,Tim!$B$7:$B$70)+SUMIF(Tim!$BM$7:$BM$70,Ins!F6,Tim!$B$7:$B$70)</f>
        <v>0</v>
      </c>
      <c r="X6" s="80">
        <f>SUMIF(Tim!$BN$7:$BN$70,Ins!F6,Tim!$B$7:$B$70)+SUMIF(Tim!$BO$7:$BO$70,Ins!F6,Tim!$B$7:$B$70)+SUMIF(Tim!$BP$7:$BP$70,Ins!F6,Tim!$B$7:$B$70)</f>
        <v>0</v>
      </c>
      <c r="Y6" s="80">
        <f>SUMIF(Tim!$BQ$7:$BQ$70,Ins!F6,Tim!$B$7:$B$70)+SUMIF(Tim!$BR$7:$BR$70,Ins!F6,Tim!$B$7:$B$70)+SUMIF(Tim!$BS$7:$BS$70,Ins!F6,Tim!$B$7:$B$70)</f>
        <v>0</v>
      </c>
      <c r="Z6" s="80">
        <f>SUMIF(Tim!BT$7:BT$70,Ins!F6,Tim!$B$7:$B$70)</f>
        <v>0</v>
      </c>
      <c r="AA6" s="80">
        <f>SUMIF(Tim!$BU$7:$BU$70,Ins!F6,Tim!$D$7:$D$70)+SUMIF(Tim!$BV$7:$BV$70,Ins!F6,Tim!$D$7:$D$70)+SUMIF(Tim!$BW$7:$BW$70,Ins!F6,Tim!$D$7:$D$70)+SUMIF(Tim!$BX$7:$BX$70,Ins!F6,Tim!$D$7:$D$70)+SUMIF(Tim!$BY$7:$BY$70,Ins!F6,Tim!$D$7:$D$70)+SUMIF(Tim!$BZ$7:$BZ$70,Ins!F6,Tim!$D$7:$D$70)+SUMIF(Tim!$CA$7:$CA$70,Ins!F6,Tim!$D$7:$D$70)+SUMIF(Tim!$CB$7:$CB$70,Ins!F6,Tim!$D$7:$D$70)+SUMIF(Tim!$CC$7:$CC$70,Ins!F6,Tim!$D$7:$D$70)+SUMIF(Tim!$CD$7:$CD$70,Ins!F6,Tim!$D$7:$D$70)+SUMIF(Tim!$CE$7:$CE$70,Ins!F6,Tim!$D$7:$D$70)+SUMIF(Tim!$CF$7:$CF$70,Ins!F6,Tim!$D$7:$D$70)</f>
        <v>0</v>
      </c>
      <c r="AB6" s="80">
        <f>SUMIF(Tim!CG$7:CG$70,Ins!F6,Tim!$C$7:$C$70)</f>
        <v>0</v>
      </c>
      <c r="AC6" s="80">
        <f>SUMIF(Tim!CH$7:CH$70,Ins!F6,Tim!$C$7:$C$70)</f>
        <v>0</v>
      </c>
      <c r="AD6" s="80">
        <f>SUMIF(Tim!CI$7:CI$70,Ins!F6,Tim!$C$7:$C$70)+SUMIF(Tim!CJ$7:CJ$70,Ins!F6,Tim!$C$7:$C$70)+SUMIF(Tim!CK$7:CK$70,Ins!F6,Tim!$C$7:$C$70)</f>
        <v>0</v>
      </c>
      <c r="AE6" s="81">
        <f>SUMIF(Tim!$CL$7:$CL$70,Ins!F6,Tim!$C$7:$C$70)+SUMIF(Tim!$CM$7:$CM$70,Ins!F6,Tim!$C$7:$C$70)+SUMIF(Tim!$CN$7:$CN$70,Ins!F6,Tim!$C$7:$C$70)+SUMIF(Tim!$CO$7:$CO$70,Ins!F6,Tim!$C$7:$C$70)+SUMIF(Tim!$CP$7:$CP$70,Ins!F6,Tim!$C$7:$C$70)</f>
        <v>0</v>
      </c>
      <c r="AF6" s="79">
        <f>SUMIF(Tim!$CQ$7:$CQ$70,Ins!F6,Tim!$B$7:$B$70)</f>
        <v>0</v>
      </c>
      <c r="AG6" s="80">
        <f>SUMIF(Tim!$CR$7:$CR$70,Ins!F6,Tim!$B$7:$B$70)+SUMIF(Tim!$CS$7:$CS$70,Ins!F6,Tim!$B$7:$B$70)+SUMIF(Tim!$CT$7:$CT$70,Ins!F6,Tim!$B$7:$B$70)+SUMIF(Tim!$CU$7:$CU$70,Ins!F6,Tim!$B$7:$B$70)+SUMIF(Tim!$CV$7:$CV$70,Ins!F6,Tim!$B$7:$B$70)+SUMIF(Tim!$CW$7:$CW$70,Ins!F6,Tim!$B$7:$B$70)</f>
        <v>0</v>
      </c>
      <c r="AH6" s="80">
        <f>SUMIF(Tim!$CX$7:$CX$70,Ins!F6,Tim!$B$7:$B$70)+SUMIF(Tim!$CY$7:$CY$70,Ins!F6,Tim!$B$7:$B$70)+SUMIF(Tim!$CZ$7:$CZ$70,Ins!F6,Tim!$B$7:$B$70)</f>
        <v>0</v>
      </c>
      <c r="AI6" s="80">
        <f>SUMIF(Tim!$DA$7:$DA$70,Ins!F6,Tim!$B$7:$B$70)+SUMIF(Tim!$DB$7:$DB$70,Ins!F6,Tim!$B$7:$B$70)+SUMIF(Tim!$DC$7:$DC$70,Ins!F6,Tim!$B$7:$B$70)+SUMIF(Tim!$DD$7:$DD$70,Ins!F6,Tim!$B$7:$B$70)+SUMIF(Tim!$DE$7:$DE$70,Ins!F6,Tim!$B$7:$B$70)</f>
        <v>0</v>
      </c>
      <c r="AJ6" s="80">
        <f>SUMIF(Tim!$DF$7:$DF$70,Ins!F6,Tim!$B$7:$B$70)+SUMIF(Tim!$DG$7:$DG$70,Ins!F6,Tim!$B$7:$B$70)+SUMIF(Tim!$DH$7:$DH$70,Ins!F6,Tim!$B$7:$B$70)</f>
        <v>0</v>
      </c>
      <c r="AK6" s="80">
        <f>SUMIF(Tim!DI$7:DI$70,Ins!F6,Tim!$B$7:$B$70)+SUMIF(Tim!DM$7:DM$70,Ins!F6,Tim!$B$7:$B$70)+SUMIF(Tim!DN$7:DN$70,Ins!F6,Tim!$B$7:$B$70)</f>
        <v>0</v>
      </c>
      <c r="AL6" s="80">
        <f>SUMIF(Tim!DO$7:DO$70,Ins!F6,Tim!$B$7:$B$70)</f>
        <v>0</v>
      </c>
      <c r="AM6" s="80">
        <f>SUMIF(Tim!$DP$7:$DP$70,Ins!F6,Tim!$D$7:$D$70)+SUMIF(Tim!$DQ$7:$DQ$70,Ins!F6,Tim!$D$7:$D$70)+SUMIF(Tim!$DR$7:$DR$70,Ins!F6,Tim!$D$7:$D$70)+SUMIF(Tim!$DS$7:$DS$70,Ins!F6,Tim!$D$7:$D$70)+SUMIF(Tim!$DT$7:$DT$70,Ins!F6,Tim!$D$7:$D$70)+SUMIF(Tim!$DU$7:$DU$70,Ins!F6,Tim!$D$7:$D$70)+SUMIF(Tim!$DV$7:$DV$70,Ins!F6,Tim!$D$7:$D$70)+SUMIF(Tim!$DW$7:$DW$70,Ins!F6,Tim!$D$7:$D$70)+SUMIF(Tim!$DX$7:$DX$70,Ins!F6,Tim!$D$7:$D$70)+SUMIF(Tim!$DY$7:$DY$70,Ins!F6,Tim!$D$7:$D$70)+SUMIF(Tim!$DZ$7:$DZ$70,Ins!F6,Tim!$D$7:$D$70)+SUMIF(Tim!$EA$7:$EA$70,Ins!F6,Tim!$D$7:$D$70)</f>
        <v>0</v>
      </c>
      <c r="AN6" s="80">
        <f>SUMIF(Tim!EB$7:EB$70,Ins!F6,Tim!$C$7:$C$70)</f>
        <v>0</v>
      </c>
      <c r="AO6" s="80">
        <f>SUMIF(Tim!EC$7:EC$70,Ins!F6,Tim!$C$7:$C$70)</f>
        <v>0</v>
      </c>
      <c r="AP6" s="80">
        <f>SUMIF(Tim!ED$7:ED$70,Ins!F6,Tim!$C$7:$C$70)+SUMIF(Tim!EE$7:EE$70,Ins!F6,Tim!$C$7:$C$70)+SUMIF(Tim!EF$7:EF$70,Ins!F6,Tim!$C$7:$C$70)</f>
        <v>0</v>
      </c>
      <c r="AQ6" s="81">
        <f>SUMIF(Tim!$EG$7:$EG$70,Ins!F6,Tim!$C$7:$C$70)+SUMIF(Tim!$EH$7:$EH$70,Ins!F6,Tim!$C$7:$C$70)+SUMIF(Tim!$EI$7:$EI$70,Ins!F6,Tim!$C$7:$C$70)+SUMIF(Tim!$EJ$7:$EJ$70,Ins!F6,Tim!$C$7:$C$70)+SUMIF(Tim!$EK$7:$EK$70,Ins!F6,Tim!$C$7:$C$70)</f>
        <v>0</v>
      </c>
      <c r="AR6" s="79">
        <f>SUMIF(Tim!$EL$5:$EL$70,Ins!F6,Tim!$B$5:$B$70)</f>
        <v>0</v>
      </c>
      <c r="AS6" s="80">
        <f>SUMIF(Tim!$EM$5:$EM$70,Ins!F6,Tim!$B$5:$B$70)+SUMIF(Tim!$EN$5:$EN$70,Ins!F6,Tim!$B$5:$B$70)+SUMIF(Tim!$EO$5:$EO$70,Ins!F6,Tim!$B$5:$B$70)+SUMIF(Tim!$EP$5:$EP$70,Ins!F6,Tim!$B$5:$B$70)+SUMIF(Tim!$EQ$5:$EQ$70,Ins!F6,Tim!$B$5:$B$70)+SUMIF(Tim!$ER$5:$ER$70,Ins!F6,Tim!$B$5:$B$70)</f>
        <v>0</v>
      </c>
      <c r="AT6" s="80">
        <f>SUMIF(Tim!$ES$5:$ES$70,Ins!F6,Tim!$B$5:$B$70)+SUMIF(Tim!$ET$5:$ET$70,Ins!F6,Tim!$B$5:$B$70)+SUMIF(Tim!$EU$5:$EU$70,Ins!F6,Tim!$B$5:$B$70)</f>
        <v>0</v>
      </c>
      <c r="AU6" s="80">
        <f>SUMIF(Tim!$EV$5:$EV$70,Ins!F6,Tim!$B$5:$B$70)+SUMIF(Tim!$EW$5:$EW$70,Ins!F6,Tim!$B$5:$B$70)+SUMIF(Tim!$EX$5:$EX$70,Ins!F6,Tim!$B$5:$B$70)+SUMIF(Tim!$EY$5:$EY$70,Ins!F6,Tim!$B$5:$B$70)+SUMIF(Tim!$EZ$5:$EZ$70,Ins!F6,Tim!$B$5:$B$70)</f>
        <v>0</v>
      </c>
      <c r="AV6" s="80">
        <f>SUMIF(Tim!$FA$5:$FA$70,Ins!F6,Tim!$B$5:$B$70)+SUMIF(Tim!$FB$5:$FB$70,Ins!F6,Tim!$B$5:$B$70)+SUMIF(Tim!$FC$5:$FC$70,Ins!F6,Tim!$B$5:$B$70)</f>
        <v>0</v>
      </c>
      <c r="AW6" s="80">
        <f>SUMIF(Tim!FD$5:FD$70,Ins!F6,Tim!$B$5:$B$70)+SUMIF(Tim!FE$5:FE$70,Ins!F6,Tim!$B$5:$B$70)+SUMIF(Tim!FF$5:FF$70,Ins!F6,Tim!$B$5:$B$70)</f>
        <v>0</v>
      </c>
      <c r="AX6" s="80">
        <f>SUMIF(Tim!FG$5:FG$70,Ins!F6,Tim!$B$5:$B$70)</f>
        <v>0</v>
      </c>
      <c r="AY6" s="80">
        <f>SUMIF(Tim!$FH$5:$FH$70,Ins!F6,Tim!$D$5:$D$70)+SUMIF(Tim!$FI$5:$FI$70,Ins!F6,Tim!$D$5:$D$70)+SUMIF(Tim!$FJ$5:$FJ$70,Ins!F6,Tim!$D$5:$D$70)+SUMIF(Tim!$FK$5:$FK$70,Ins!F6,Tim!$D$5:$D$70)+SUMIF(Tim!$FL$5:$FL$70,Ins!F6,Tim!$D$5:$D$70)+SUMIF(Tim!$FM$5:$FM$70,Ins!F6,Tim!$D$5:$D$70)+SUMIF(Tim!$FN$5:$FN$70,Ins!F6,Tim!$D$5:$D$70)+SUMIF(Tim!$FO$5:$FO$70,Ins!F6,Tim!$D$5:$D$70)+SUMIF(Tim!$FP$5:$FP$70,Ins!F6,Tim!$D$5:$D$70)+SUMIF(Tim!$FQ$5:$FQ$70,Ins!F6,Tim!$D$5:$D$70)+SUMIF(Tim!$FR$5:$FR$70,Ins!F6,Tim!$D$5:$D$70)+SUMIF(Tim!$FS$5:$FS$70,Ins!F6,Tim!$D$5:$D$70)</f>
        <v>0</v>
      </c>
      <c r="AZ6" s="80">
        <f>SUMIF(Tim!FT$5:FT$70,Ins!F6,Tim!$C$5:$C$70)</f>
        <v>0</v>
      </c>
      <c r="BA6" s="80">
        <f>SUMIF(Tim!FU$5:FU$70,Ins!F6,Tim!$C$5:$C$70)</f>
        <v>0</v>
      </c>
      <c r="BB6" s="80">
        <f>SUMIF(Tim!FV$5:FV$70,Ins!F6,Tim!$C$5:$C$70)+SUMIF(Tim!FW$5:FW$70,Ins!F6,Tim!$C$5:$C$70)+SUMIF(Tim!FX$5:FX$70,Ins!F6,Tim!$C$5:$C$70)</f>
        <v>0</v>
      </c>
      <c r="BC6" s="81">
        <f>SUMIF(Tim!$FY$5:$FY$70,Ins!F6,Tim!$C$5:$C$70)+SUMIF(Tim!$FZ$5:$FZ$70,Ins!F6,Tim!$C$5:$C$70)+SUMIF(Tim!$GA$5:$GA$70,Ins!F6,Tim!$C$5:$C$70)+SUMIF(Tim!$GB$5:$GB$70,Ins!F6,Tim!$C$5:$C$70)+SUMIF(Tim!$GC$5:$GC$70,Ins!F6,Tim!$C$5:$C$70)</f>
        <v>0</v>
      </c>
      <c r="BD6" s="79">
        <f>SUMIF(Tim!$GD$5:$GD$70,Ins!F6,Tim!$B$5:$B$70)</f>
        <v>0</v>
      </c>
      <c r="BE6" s="80">
        <f>SUMIF(Tim!$GE$5:$GE$70,Ins!F6,Tim!$B$5:$B$70)+SUMIF(Tim!$GF$5:$GF$70,Ins!F6,Tim!$B$5:$B$70)+SUMIF(Tim!$GG$5:$GG$70,Ins!F6,Tim!$B$5:$B$70)+SUMIF(Tim!$GH$5:$GH$70,Ins!F6,Tim!$B$5:$B$70)+SUMIF(Tim!$GI$5:$GI$70,Ins!F6,Tim!$B$5:$B$70)+SUMIF(Tim!$GJ$5:$GJ$70,Ins!F6,Tim!$B$5:$B$70)</f>
        <v>0</v>
      </c>
      <c r="BF6" s="80">
        <f>SUMIF(Tim!$GK$5:$GK$70,Ins!F6,Tim!$B$5:$B$70)+SUMIF(Tim!$GL$5:$GL$70,Ins!F6,Tim!$B$5:$B$70)+SUMIF(Tim!$GM$5:$GM$70,Ins!F6,Tim!$B$5:$B$70)</f>
        <v>0</v>
      </c>
      <c r="BG6" s="80">
        <f>SUMIF(Tim!$GN$5:$GN$70,Ins!F6,Tim!$B$5:$B$70)+SUMIF(Tim!$GO$5:$GO$70,Ins!F6,Tim!$B$5:$B$70)+SUMIF(Tim!$GP$5:$GP$70,Ins!F6,Tim!$B$5:$B$70)+SUMIF(Tim!$GQ$5:$GQ$70,Ins!F6,Tim!$B$5:$B$70)+SUMIF(Tim!$GR$5:$GR$70,Ins!F6,Tim!$B$5:$B$70)</f>
        <v>0</v>
      </c>
      <c r="BH6" s="80">
        <f>SUMIF(Tim!$GS$5:$GS$70,Ins!F6,Tim!$B$5:$B$70)+SUMIF(Tim!$GT$5:$GT$70,Ins!F6,Tim!$B$5:$B$70)+SUMIF(Tim!$GU$5:$GU$70,Ins!F6,Tim!$B$5:$B$70)</f>
        <v>0</v>
      </c>
      <c r="BI6" s="80">
        <f>SUMIF(Tim!GV$5:GV$70,Ins!F6,Tim!$B$5:$B$70)+SUMIF(Tim!GW$5:GW$70,Ins!F6,Tim!$B$5:$B$70)+SUMIF(Tim!GX$5:GX$70,Ins!F6,Tim!$B$5:$B$70)</f>
        <v>0</v>
      </c>
      <c r="BJ6" s="80">
        <f>SUMIF(Tim!GY$5:GY$70,Ins!F6,Tim!$B$5:$B$70)</f>
        <v>0</v>
      </c>
      <c r="BK6" s="80">
        <f>SUMIF(Tim!$GZ$5:$GZ$70,Ins!F6,Tim!$D$5:$D$70)+SUMIF(Tim!$HA$5:$HA$70,Ins!F6,Tim!$D$5:$D$70)+SUMIF(Tim!$HB$5:$HB$70,Ins!F6,Tim!$D$5:$D$70)++SUMIF(Tim!$HC$5:$HC$70,Ins!F6,Tim!$D$5:$D$70)+SUMIF(Tim!$HD$5:$HD$70,Ins!F6,Tim!$D$5:$D$70)+SUMIF(Tim!$HE$5:$HE$70,Ins!F6,Tim!$D$5:$D$70)+SUMIF(Tim!$HF$5:$HF$70,Ins!F6,Tim!$D$5:$D$70)+SUMIF(Tim!$HG$5:$HG$70,Ins!F6,Tim!$D$5:$D$70)+SUMIF(Tim!$HH$5:$HH$70,Ins!F6,Tim!$D$5:$D$70)+SUMIF(Tim!$HI$5:$HI$70,Ins!F6,Tim!$D$5:$D$70)+SUMIF(Tim!$HJ$5:$HJ$70,Ins!F6,Tim!$D$5:$D$70)+SUMIF(Tim!$HK$5:$HK$70,Ins!F6,Tim!$D$5:$D$70)</f>
        <v>0</v>
      </c>
      <c r="BL6" s="80">
        <f>SUMIF(Tim!HL$5:HL$70,Ins!F6,Tim!$C$5:$C$70)</f>
        <v>0</v>
      </c>
      <c r="BM6" s="80">
        <f>SUMIF(Tim!HM$5:HM$70,Ins!F6,Tim!$C$5:$C$70)</f>
        <v>0</v>
      </c>
      <c r="BN6" s="80">
        <f>SUMIF(Tim!HN$5:HN$70,Ins!F6,Tim!$C$5:$C$70)+SUMIF(Tim!HO$5:HO$70,Ins!F6,Tim!$C$5:$C$70)+SUMIF(Tim!HP$5:HP$70,Ins!F6,Tim!$C$5:$C$70)</f>
        <v>0</v>
      </c>
      <c r="BO6" s="81">
        <f>SUMIF(Tim!$HQ$5:$HQ$70,Ins!F6,Tim!$C$5:$C$70)+SUMIF(Tim!$HR$5:$HR$70,Ins!F6,Tim!$C$5:$C$70)+SUMIF(Tim!$HS$5:$HS$70,Ins!F6,Tim!$C$5:$C$70)+SUMIF(Tim!$HT$5:$HT$70,Ins!F6,Tim!$C$5:$C$70)+SUMIF(Tim!$HU$5:$HU$70,Ins!F6,Tim!$C$5:$C$70)</f>
        <v>0</v>
      </c>
      <c r="BP6" s="79">
        <f>SUMIF(Tim!$HV$7:$HV$70,Ins!F6,Tim!$B$7:$B$70)</f>
        <v>0</v>
      </c>
      <c r="BQ6" s="80">
        <f>SUMIF(Tim!$HW$7:$HW$70,Ins!F6,Tim!$B$7:$B$70)+SUMIF(Tim!$HX$7:$HX$70,Ins!F6,Tim!$B$7:$B$70)+SUMIF(Tim!$HY$7:$HY$70,Ins!F6,Tim!$B$7:$B$70)+SUMIF(Tim!$HZ$7:$HZ$70,Ins!F6,Tim!$B$7:$B$70)+SUMIF(Tim!$IA$7:$IA$70,Ins!F6,Tim!$B$7:$B$70)+SUMIF(Tim!$IB$7:$IB$70,Ins!F6,Tim!$B$7:$B$70)</f>
        <v>0</v>
      </c>
      <c r="BR6" s="80">
        <f>SUMIF(Tim!$IC$7:$IC$70,Ins!F6,Tim!$B$7:$B$70)+SUMIF(Tim!$ID$7:$ID$70,Ins!F6,Tim!$B$7:$B$70)+SUMIF(Tim!$IE$7:$IE$70,Ins!F6,Tim!$B$7:$B$70)</f>
        <v>0</v>
      </c>
      <c r="BS6" s="80">
        <f>SUMIF(Tim!$IF$7:$IF$70,Ins!F6,Tim!$B$7:$B$70)+SUMIF(Tim!$IG$7:$IG$70,Ins!F6,Tim!$B$7:$B$70)+SUMIF(Tim!$IH$7:$IH$70,Ins!F6,Tim!$B$7:$B$70)+SUMIF(Tim!$II$7:$II$70,Ins!F6,Tim!$B$7:$B$70)+SUMIF(Tim!$IJ$7:$IJ$70,Ins!F6,Tim!$B$7:$B$70)</f>
        <v>0</v>
      </c>
      <c r="BT6" s="80">
        <f>SUMIF(Tim!$IK$7:$IK$70,Ins!F6,Tim!$B$7:$B$70)+SUMIF(Tim!$IL$7:$IL$70,Ins!F6,Tim!$B$7:$B$70)+SUMIF(Tim!$IM$7:$IM$70,Ins!F6,Tim!$B$7:$B$70)</f>
        <v>0</v>
      </c>
      <c r="BU6" s="80">
        <f>SUMIF(Tim!$IN$7:$IN$70,Ins!F6,Tim!$B$7:$B$70)+SUMIF(Tim!$IO$7:$IO$70,Ins!F6,Tim!$B$7:$B$70)+SUMIF(Tim!$IP$7:$IP$70,Ins!F6,Tim!$B$7:$B$70)</f>
        <v>0</v>
      </c>
      <c r="BV6" s="80">
        <f>SUMIF(Tim!$IQ$7:$IQ$70,Ins!F6,Tim!$B$7:$B$70)</f>
        <v>0</v>
      </c>
      <c r="BW6" s="80">
        <f>SUMIF(Tim!$IR$7:$IR$70,Ins!F6,Tim!$D$7:$D$70)+SUMIF(Tim!$IS$7:$IS$70,Ins!F6,Tim!$D$7:$D$70)+SUMIF(Tim!$IT$7:$IT$70,Ins!F6,Tim!$D$7:$D$70)+SUMIF(Tim!$IU$7:$IU$70,Ins!F6,Tim!$D$7:$D$70)+SUMIF(Tim!$IV$7:$IV$70,Ins!F6,Tim!$D$7:$D$70)+SUMIF(Tim!$IW$7:$IW$70,Ins!F6,Tim!$D$7:$D$70)+SUMIF(Tim!$IX$7:$IX$70,Ins!F6,Tim!$D$7:$D$70)+SUMIF(Tim!$IY$7:$IY$70,Ins!F6,Tim!$D$7:$D$70)+SUMIF(Tim!$IZ$7:$IZ$70,Ins!F6,Tim!$D$7:$D$70)+SUMIF(Tim!$JA$7:$JA$70,Ins!F6,Tim!$D$7:$D$70)+SUMIF(Tim!$JB$7:$JB$70,Ins!F6,Tim!$D$7:$D$70)+SUMIF(Tim!$JC$7:$JC$70,Ins!F6,Tim!$D$7:$D$70)</f>
        <v>0</v>
      </c>
      <c r="BX6" s="80">
        <f>SUMIF(Tim!JD$7:JD$70,Ins!F6,Tim!$C$7:$C$70)</f>
        <v>0</v>
      </c>
      <c r="BY6" s="80">
        <f>SUMIF(Tim!JE$7:JE$70,Ins!F6,Tim!$C$7:$C$70)</f>
        <v>0</v>
      </c>
      <c r="BZ6" s="80">
        <f>SUMIF(Tim!JF$7:JF$70,Ins!F6,Tim!$C$7:$C$70)+SUMIF(Tim!JG$7:JG$70,Ins!F6,Tim!$C$7:$C$70)+SUMIF(Tim!JH$7:JH$70,Ins!F6,Tim!$C$7:$C$70)</f>
        <v>0</v>
      </c>
      <c r="CA6" s="81">
        <f>SUMIF(Tim!$JI$7:$JI$70,Ins!F6,Tim!$C$7:$C$70)++SUMIF(Tim!$JJ$7:$JJ$70,Ins!F6,Tim!$C$7:$C$70)+SUMIF(Tim!$JK$7:$JK$70,Ins!F6,Tim!$C$7:$C$70)+SUMIF(Tim!$JL$7:$JL$70,Ins!F6,Tim!$C$7:$C$70)+SUMIF(Tim!$JM$7:$JM$70,Ins!F6,Tim!$C$7:$C$70)</f>
        <v>0</v>
      </c>
      <c r="CB6" s="79">
        <f>SUMIF(Tim!$JN$7:$JN$70,Ins!F6,Tim!$B$7:$B$70)</f>
        <v>0</v>
      </c>
      <c r="CC6" s="80">
        <f>SUMIF(Tim!$JO$7:$JO$70,Ins!F6,Tim!$B$7:$B$70)+SUMIF(Tim!$JP$7:$JP$70,Ins!F6,Tim!$B$7:$B$70)+SUMIF(Tim!$JQ$7:$JQ$70,Ins!F6,Tim!$B$7:$B$70)+SUMIF(Tim!$JR$7:$JR$70,Ins!F6,Tim!$B$7:$B$70)+SUMIF(Tim!$JS$7:$JS$70,Ins!F6,Tim!$B$7:$B$70)+SUMIF(Tim!$JT$7:$JT$70,Ins!F6,Tim!$B$7:$B$70)</f>
        <v>0</v>
      </c>
      <c r="CD6" s="80">
        <f>SUMIF(Tim!$JW$7:$JW$70,Ins!F6,Tim!$B$7:$B$70)+SUMIF(Tim!$JU$7:$JU$70,Ins!F6,Tim!$B$7:$B$70)+SUMIF(Tim!$JV$7:$JV$70,Ins!F6,Tim!$B$7:$B$70)</f>
        <v>0</v>
      </c>
      <c r="CE6" s="80">
        <f>SUMIF(Tim!$JX$7:$JX$70,Ins!F6,Tim!$B$7:$B$70)+SUMIF(Tim!$JY$7:$JY$70,Ins!F6,Tim!$B$7:$B$70)+SUMIF(Tim!$JZ$7:$JZ$70,Ins!F6,Tim!$B$7:$B$70)+SUMIF(Tim!$KA$7:$KA$70,Ins!F6,Tim!$B$7:$B$70)+SUMIF(Tim!$KB$7:$KB$70,Ins!F6,Tim!$B$7:$B$70)</f>
        <v>0</v>
      </c>
      <c r="CF6" s="80">
        <f>SUMIF(Tim!$KE$7:$KE$70,Ins!F6,Tim!$B$7:$B$70)+SUMIF(Tim!$KC$7:$KC$70,Ins!F6,Tim!$B$7:$B$70)+SUMIF(Tim!$KD$7:$KD$70,Ins!F6,Tim!$B$7:$B$70)</f>
        <v>0</v>
      </c>
      <c r="CG6" s="80">
        <f>SUMIF(Tim!$KF$7:$KF$70,Ins!F6,Tim!$B$7:$B$70)+SUMIF(Tim!$KG$7:$KG$70,Ins!F6,Tim!$B$7:$B$70)+SUMIF(Tim!$KH$7:$KH$70,Ins!F6,Tim!$B$7:$B$70)</f>
        <v>0</v>
      </c>
      <c r="CH6" s="80">
        <f>SUMIF(Tim!$KI$7:$KI$70,Ins!F6,Tim!$B$7:$B$70)</f>
        <v>0</v>
      </c>
      <c r="CI6" s="80">
        <f>SUMIF(Tim!$KJ$7:$KJ$70,Ins!F6,Tim!$D$7:$D$70)+SUMIF(Tim!$KK$7:$KK$70,Ins!F6,Tim!$D$7:$D$70)+SUMIF(Tim!$KL$7:$KL$70,Ins!F6,Tim!$D$7:$D$70)+SUMIF(Tim!$KM$7:$KM$70,Ins!F6,Tim!$D$7:$D$70)+SUMIF(Tim!$KN$7:$KN$70,Ins!F6,Tim!$D$7:$D$70)+SUMIF(Tim!$KO$7:$KO$70,Ins!F6,Tim!$D$7:$D$70)+SUMIF(Tim!$KP$7:$KP$70,Ins!F6,Tim!$D$7:$D$70)+SUMIF(Tim!$KQ$7:$KQ$70,Ins!F6,Tim!$D$7:$D$70)+SUMIF(Tim!$KR$7:$KR$70,Ins!F6,Tim!$D$7:$D$70)+SUMIF(Tim!$KS$7:$KS$70,Ins!F6,Tim!$D$7:$D$70)+SUMIF(Tim!$KT$7:$KT$70,Ins!F6,Tim!$D$7:$D$70)+SUMIF(Tim!$KU$7:$KU$70,Ins!F6,Tim!$D$7:$D$70)</f>
        <v>0</v>
      </c>
      <c r="CJ6" s="80">
        <f>SUMIF(Tim!KV$7:KV$70,Ins!F6,Tim!$C$7:$C$70)</f>
        <v>0</v>
      </c>
      <c r="CK6" s="80">
        <f>SUMIF(Tim!KW$7:KW$70,Ins!F6,Tim!$C$7:$C$70)</f>
        <v>0</v>
      </c>
      <c r="CL6" s="80">
        <f>SUMIF(Tim!KX$7:KX$70,Ins!F6,Tim!$C$7:$C$70)+SUMIF(Tim!KY$7:KY$70,Ins!F6,Tim!$C$7:$C$70)+SUMIF(Tim!KZ$7:KZ$70,Ins!F6,Tim!$C$7:$C$70)</f>
        <v>0</v>
      </c>
      <c r="CM6" s="81">
        <f>SUMIF(Tim!$LA$7:$LA$70,Ins!F6,Tim!$C$7:$C$70)+SUMIF(Tim!$LB$7:$LB$70,Ins!F6,Tim!$C$7:$C$70)+SUMIF(Tim!$LC$7:$LC$70,Ins!F6,Tim!$C$7:$C$70)+SUMIF(Tim!$LD$7:$LD$70,Ins!F6,Tim!$C$7:$C$70)+SUMIF(Tim!$LE$7:$LE$70,Ins!F6,Tim!$C$7:$C$70)</f>
        <v>0</v>
      </c>
      <c r="CN6" s="22"/>
      <c r="CO6" s="180">
        <f t="shared" si="1"/>
        <v>0</v>
      </c>
      <c r="CP6" s="179">
        <f t="shared" si="2"/>
        <v>0</v>
      </c>
      <c r="CQ6" s="179">
        <f t="shared" si="3"/>
        <v>0</v>
      </c>
      <c r="CR6" s="179">
        <f t="shared" si="4"/>
        <v>0</v>
      </c>
      <c r="CS6" s="179">
        <f t="shared" si="5"/>
        <v>0</v>
      </c>
      <c r="CT6" s="179">
        <f t="shared" si="6"/>
        <v>0</v>
      </c>
      <c r="CU6" s="179">
        <f t="shared" si="7"/>
        <v>0</v>
      </c>
      <c r="CV6" s="179">
        <f t="shared" si="8"/>
        <v>0</v>
      </c>
      <c r="CW6" s="179">
        <f t="shared" si="9"/>
        <v>0</v>
      </c>
      <c r="CX6" s="179">
        <f t="shared" si="10"/>
        <v>0</v>
      </c>
      <c r="CY6" s="179">
        <f t="shared" si="11"/>
        <v>0</v>
      </c>
      <c r="CZ6" s="179">
        <f t="shared" si="12"/>
        <v>0</v>
      </c>
      <c r="DA6" s="78">
        <f t="shared" si="13"/>
        <v>0</v>
      </c>
      <c r="DB6" s="16"/>
      <c r="DC6" s="34">
        <f t="shared" ref="DC6:DC7" si="21">SUM(H6:S6)</f>
        <v>0</v>
      </c>
      <c r="DD6" s="34">
        <f t="shared" ref="DD6:DD7" si="22">SUM(T6:AE6)</f>
        <v>0</v>
      </c>
      <c r="DE6" s="34">
        <f t="shared" ref="DE6:DE7" si="23">SUM(AF6:AQ6)</f>
        <v>0</v>
      </c>
      <c r="DF6" s="34">
        <f t="shared" ref="DF6:DF7" si="24">SUM(AR6:BC6)</f>
        <v>0</v>
      </c>
      <c r="DG6" s="34">
        <f t="shared" ref="DG6:DG7" si="25">SUM(BD6:BO6)</f>
        <v>0</v>
      </c>
      <c r="DH6" s="34">
        <f t="shared" ref="DH6:DH7" si="26">SUM(BP6:CA6)</f>
        <v>0</v>
      </c>
      <c r="DI6" s="34">
        <f t="shared" ref="DI6:DI7" si="27">SUM(CB6:CM6)</f>
        <v>0</v>
      </c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7"/>
    </row>
    <row r="7" spans="1:125" ht="12" hidden="1" customHeight="1">
      <c r="A7" s="10">
        <v>5</v>
      </c>
      <c r="B7" s="229" t="s">
        <v>387</v>
      </c>
      <c r="C7" s="50"/>
      <c r="D7" s="230"/>
      <c r="E7" s="230"/>
      <c r="F7" s="296" t="s">
        <v>388</v>
      </c>
      <c r="G7" s="231" t="s">
        <v>192</v>
      </c>
      <c r="H7" s="79">
        <f>SUMIF(Tim!$F$7:$F$70,Ins!F7,Tim!$B$7:$B$70)</f>
        <v>0</v>
      </c>
      <c r="I7" s="80">
        <f>SUMIF(Tim!$G$7:$G$70,Ins!F7,Tim!$B$7:$B$70)+SUMIF(Tim!$H$7:$H$70,Ins!F7,Tim!$B$7:$B$70)+SUMIF(Tim!$I$7:$I$70,Ins!F7,Tim!$B$7:$B$70)+SUMIF(Tim!$J$7:$J$70,Ins!F7,Tim!$B$7:$B$70)+SUMIF(Tim!$K$7:$K$70,Ins!F7,Tim!$B$7:$B$70)+SUMIF(Tim!$L$7:$L$70,Ins!F7,Tim!$B$7:$B$70)</f>
        <v>0</v>
      </c>
      <c r="J7" s="80">
        <f>SUMIF(Tim!$M$7:$M$70,Ins!F7,Tim!$B$7:$B$70)+SUMIF(Tim!$O$7:$O$70,Ins!F7,Tim!$B$7:$B$70)+SUMIF(Tim!$N$7:$N$70,Ins!F7,Tim!$B$7:$B$70)</f>
        <v>0</v>
      </c>
      <c r="K7" s="80">
        <f>SUMIF(Tim!$P$7:$P$70,Ins!F7,Tim!$B$7:$B$70)+SUMIF(Tim!$Q$7:$Q$70,Ins!F7,Tim!$B$7:$B$70)+SUMIF(Tim!$R$7:$R$70,Ins!F7,Tim!$B$7:$B$70)+SUMIF(Tim!$S$7:$S$70,Ins!F7,Tim!$B$7:$B$70)+SUMIF(Tim!$T$7:$T$70,Ins!F7,Tim!$B$7:$B$70)</f>
        <v>0</v>
      </c>
      <c r="L7" s="80">
        <f>SUMIF(Tim!$U$7:$U$70,Ins!F7,Tim!$B$7:$B$70)+SUMIF(Tim!$W$7:$W$70,Ins!F7,Tim!$B$7:$B$70)+SUMIF(Tim!$X$7:$X$70,Ins!F7,Tim!$B$7:$B$70)</f>
        <v>0</v>
      </c>
      <c r="M7" s="80">
        <f>SUMIF(Tim!$Y$7:$Y$70,Ins!F7,Tim!$B$7:$B$70)+SUMIF(Tim!$Z$7:$Z$70,Ins!F7,Tim!$B$7:$B$70)+SUMIF(Tim!$AA$7:$AA$70,Ins!F7,Tim!$B$7:$B$70)</f>
        <v>0</v>
      </c>
      <c r="N7" s="80">
        <f>SUMIF(Tim!$AB$7:$AB$70,Ins!F7,Tim!$B$7:$B$70)</f>
        <v>0</v>
      </c>
      <c r="O7" s="80">
        <f>SUMIF(Tim!$AC$7:$AC$70,Ins!F7,Tim!$D$7:$D$70)+SUMIF(Tim!$AD$7:$AD$70,Ins!F7,Tim!$D$7:$D$70)+SUMIF(Tim!$AE$7:$AE$70,Ins!F7,Tim!$D$7:$D$70)+SUMIF(Tim!$AF$7:$AF$70,Ins!F7,Tim!$D$7:$D$70)+SUMIF(Tim!$AG$7:$AG$70,Ins!F7,Tim!$D$7:$D$70)+SUMIF(Tim!$AH$7:$AH$70,Ins!F7,Tim!$D$7:$D$70)+SUMIF(Tim!$AI$7:$AI$70,Ins!F7,Tim!$D$7:$D$70)+SUMIF(Tim!$AJ$7:$AJ$70,Ins!F7,Tim!$D$7:$D$70)+SUMIF(Tim!$AK$7:$AK$70,Ins!F7,Tim!$D$7:$D$70)+SUMIF(Tim!$AL$7:$AL$70,Ins!F7,Tim!$D$7:$D$70)+SUMIF(Tim!$AM$7:$AM$70,Ins!F7,Tim!$D$7:$D$70)+SUMIF(Tim!$AN$7:$AN$70,Ins!F7,Tim!$D$7:$D$70)</f>
        <v>0</v>
      </c>
      <c r="P7" s="80">
        <f>SUMIF(Tim!AO$7:AO$70,Ins!F7,Tim!$C$7:$C$70)</f>
        <v>0</v>
      </c>
      <c r="Q7" s="80">
        <f>SUMIF(Tim!AP$7:AP$70,Ins!F7,Tim!$C$7:$C$70)</f>
        <v>0</v>
      </c>
      <c r="R7" s="80">
        <f>SUMIF(Tim!AQ$7:AQ$70,Ins!F7,Tim!$C$7:$C$70)+SUMIF(Tim!AR$7:AR$70,Ins!F7,Tim!$C$7:$C$70)+SUMIF(Tim!AS$7:AS$70,Ins!F7,Tim!$C$7:$C$70)</f>
        <v>0</v>
      </c>
      <c r="S7" s="236">
        <f>SUMIF(Tim!$AT$7:$AT$70,Ins!F7,Tim!$C$7:$C$70)+SUMIF(Tim!$AU$7:$AU$70,Ins!F7,Tim!$C$7:$C74)+SUMIF(Tim!$AV$7:$AV$70,Ins!F7,Tim!$C$7:$C$70)+SUMIF(Tim!$AW$7:$AW$70,Ins!F7,Tim!$C$7:$C$70)+SUMIF(Tim!$AX$7:$AX$70,Ins!F7,Tim!$C$7:$C$70)</f>
        <v>0</v>
      </c>
      <c r="T7" s="79">
        <f>SUMIF(Tim!$AY$7:$AY$70,Ins!F7,Tim!$B$7:$B$70)</f>
        <v>0</v>
      </c>
      <c r="U7" s="80">
        <f>SUMIF(Tim!$AZ$7:$AZ$70,Ins!F7,Tim!$B$7:$B$70)+SUMIF(Tim!$BA$7:$BA$70,Ins!F7,Tim!$B$7:$B$70)+SUMIF(Tim!$BB$7:$BB$70,Ins!F7,Tim!$B$7:$B$70)+SUMIF(Tim!$BC$7:$BC$70,Ins!F7,Tim!$B$7:$B$70)+SUMIF(Tim!$BD$7:$BD$70,Ins!F7,Tim!$B$7:$B$70)+SUMIF(Tim!$BE$7:$BE$70,Ins!F7,Tim!$B$7:$B$70)</f>
        <v>0</v>
      </c>
      <c r="V7" s="80">
        <f>SUMIF(Tim!$BF$7:$BF$70,Ins!F7,Tim!$B$7:$B$70)+SUMIF(Tim!$BG$7:$BG$70,Ins!F7,Tim!$B$7:$B$70)+SUMIF(Tim!$BH$7:$BH$70,Ins!F7,Tim!$B$7:$B$70)</f>
        <v>0</v>
      </c>
      <c r="W7" s="80">
        <f>SUMIF(Tim!$BI$7:$BI$70,Ins!F7,Tim!$B$7:$B$70)+SUMIF(Tim!$BJ$7:$BJ$70,Ins!F7,Tim!$B$7:$B$70)+SUMIF(Tim!$BK$7:$BK$70,Ins!F7,Tim!$B$7:$B$70)+SUMIF(Tim!$BL$7:$BL$70,Ins!F7,Tim!$B$7:$B$70)+SUMIF(Tim!$BM$7:$BM$70,Ins!F7,Tim!$B$7:$B$70)</f>
        <v>0</v>
      </c>
      <c r="X7" s="80">
        <f>SUMIF(Tim!$BN$7:$BN$70,Ins!F7,Tim!$B$7:$B$70)+SUMIF(Tim!$BO$7:$BO$70,Ins!F7,Tim!$B$7:$B$70)+SUMIF(Tim!$BP$7:$BP$70,Ins!F7,Tim!$B$7:$B$70)</f>
        <v>0</v>
      </c>
      <c r="Y7" s="80">
        <f>SUMIF(Tim!$BQ$7:$BQ$70,Ins!F7,Tim!$B$7:$B$70)+SUMIF(Tim!$BR$7:$BR$70,Ins!F7,Tim!$B$7:$B$70)+SUMIF(Tim!$BS$7:$BS$70,Ins!F7,Tim!$B$7:$B$70)</f>
        <v>0</v>
      </c>
      <c r="Z7" s="80">
        <f>SUMIF(Tim!BT$7:BT$70,Ins!F7,Tim!$B$7:$B$70)</f>
        <v>0</v>
      </c>
      <c r="AA7" s="80">
        <f>SUMIF(Tim!$BU$7:$BU$70,Ins!F7,Tim!$D$7:$D$70)+SUMIF(Tim!$BV$7:$BV$70,Ins!F7,Tim!$D$7:$D$70)+SUMIF(Tim!$BW$7:$BW$70,Ins!F7,Tim!$D$7:$D$70)+SUMIF(Tim!$BX$7:$BX$70,Ins!F7,Tim!$D$7:$D$70)+SUMIF(Tim!$BY$7:$BY$70,Ins!F7,Tim!$D$7:$D$70)+SUMIF(Tim!$BZ$7:$BZ$70,Ins!F7,Tim!$D$7:$D$70)+SUMIF(Tim!$CA$7:$CA$70,Ins!F7,Tim!$D$7:$D$70)+SUMIF(Tim!$CB$7:$CB$70,Ins!F7,Tim!$D$7:$D$70)+SUMIF(Tim!$CC$7:$CC$70,Ins!F7,Tim!$D$7:$D$70)+SUMIF(Tim!$CD$7:$CD$70,Ins!F7,Tim!$D$7:$D$70)+SUMIF(Tim!$CE$7:$CE$70,Ins!F7,Tim!$D$7:$D$70)+SUMIF(Tim!$CF$7:$CF$70,Ins!F7,Tim!$D$7:$D$70)</f>
        <v>0</v>
      </c>
      <c r="AB7" s="80">
        <f>SUMIF(Tim!CG$7:CG$70,Ins!F7,Tim!$C$7:$C$70)</f>
        <v>0</v>
      </c>
      <c r="AC7" s="80">
        <f>SUMIF(Tim!CH$7:CH$70,Ins!F7,Tim!$C$7:$C$70)</f>
        <v>0</v>
      </c>
      <c r="AD7" s="80">
        <f>SUMIF(Tim!CI$7:CI$70,Ins!F7,Tim!$C$7:$C$70)+SUMIF(Tim!CJ$7:CJ$70,Ins!F7,Tim!$C$7:$C$70)+SUMIF(Tim!CK$7:CK$70,Ins!F7,Tim!$C$7:$C$70)</f>
        <v>0</v>
      </c>
      <c r="AE7" s="81">
        <f>SUMIF(Tim!$CL$7:$CL$70,Ins!F7,Tim!$C$7:$C$70)+SUMIF(Tim!$CM$7:$CM$70,Ins!F7,Tim!$C$7:$C$70)+SUMIF(Tim!$CN$7:$CN$70,Ins!F7,Tim!$C$7:$C$70)+SUMIF(Tim!$CO$7:$CO$70,Ins!F7,Tim!$C$7:$C$70)+SUMIF(Tim!$CP$7:$CP$70,Ins!F7,Tim!$C$7:$C$70)</f>
        <v>0</v>
      </c>
      <c r="AF7" s="79">
        <f>SUMIF(Tim!$CQ$7:$CQ$70,Ins!F7,Tim!$B$7:$B$70)</f>
        <v>0</v>
      </c>
      <c r="AG7" s="80">
        <f>SUMIF(Tim!$CR$7:$CR$70,Ins!F7,Tim!$B$7:$B$70)+SUMIF(Tim!$CS$7:$CS$70,Ins!F7,Tim!$B$7:$B$70)+SUMIF(Tim!$CT$7:$CT$70,Ins!F7,Tim!$B$7:$B$70)+SUMIF(Tim!$CU$7:$CU$70,Ins!F7,Tim!$B$7:$B$70)+SUMIF(Tim!$CV$7:$CV$70,Ins!F7,Tim!$B$7:$B$70)+SUMIF(Tim!$CW$7:$CW$70,Ins!F7,Tim!$B$7:$B$70)</f>
        <v>0</v>
      </c>
      <c r="AH7" s="80">
        <f>SUMIF(Tim!$CX$7:$CX$70,Ins!F7,Tim!$B$7:$B$70)+SUMIF(Tim!$CY$7:$CY$70,Ins!F7,Tim!$B$7:$B$70)+SUMIF(Tim!$CZ$7:$CZ$70,Ins!F7,Tim!$B$7:$B$70)</f>
        <v>0</v>
      </c>
      <c r="AI7" s="80">
        <f>SUMIF(Tim!$DA$7:$DA$70,Ins!F7,Tim!$B$7:$B$70)+SUMIF(Tim!$DB$7:$DB$70,Ins!F7,Tim!$B$7:$B$70)+SUMIF(Tim!$DC$7:$DC$70,Ins!F7,Tim!$B$7:$B$70)+SUMIF(Tim!$DD$7:$DD$70,Ins!F7,Tim!$B$7:$B$70)+SUMIF(Tim!$DE$7:$DE$70,Ins!F7,Tim!$B$7:$B$70)</f>
        <v>0</v>
      </c>
      <c r="AJ7" s="80">
        <f>SUMIF(Tim!$DF$7:$DF$70,Ins!F7,Tim!$B$7:$B$70)+SUMIF(Tim!$DG$7:$DG$70,Ins!F7,Tim!$B$7:$B$70)+SUMIF(Tim!$DH$7:$DH$70,Ins!F7,Tim!$B$7:$B$70)</f>
        <v>0</v>
      </c>
      <c r="AK7" s="80">
        <f>SUMIF(Tim!DI$7:DI$70,Ins!F7,Tim!$B$7:$B$70)+SUMIF(Tim!DM$7:DM$70,Ins!F7,Tim!$B$7:$B$70)+SUMIF(Tim!DN$7:DN$70,Ins!F7,Tim!$B$7:$B$70)</f>
        <v>0</v>
      </c>
      <c r="AL7" s="80">
        <f>SUMIF(Tim!DO$7:DO$70,Ins!F7,Tim!$B$7:$B$70)</f>
        <v>0</v>
      </c>
      <c r="AM7" s="80">
        <f>SUMIF(Tim!$DP$7:$DP$70,Ins!F7,Tim!$D$7:$D$70)+SUMIF(Tim!$DQ$7:$DQ$70,Ins!F7,Tim!$D$7:$D$70)+SUMIF(Tim!$DR$7:$DR$70,Ins!F7,Tim!$D$7:$D$70)+SUMIF(Tim!$DS$7:$DS$70,Ins!F7,Tim!$D$7:$D$70)+SUMIF(Tim!$DT$7:$DT$70,Ins!F7,Tim!$D$7:$D$70)+SUMIF(Tim!$DU$7:$DU$70,Ins!F7,Tim!$D$7:$D$70)+SUMIF(Tim!$DV$7:$DV$70,Ins!F7,Tim!$D$7:$D$70)+SUMIF(Tim!$DW$7:$DW$70,Ins!F7,Tim!$D$7:$D$70)+SUMIF(Tim!$DX$7:$DX$70,Ins!F7,Tim!$D$7:$D$70)+SUMIF(Tim!$DY$7:$DY$70,Ins!F7,Tim!$D$7:$D$70)+SUMIF(Tim!$DZ$7:$DZ$70,Ins!F7,Tim!$D$7:$D$70)+SUMIF(Tim!$EA$7:$EA$70,Ins!F7,Tim!$D$7:$D$70)</f>
        <v>0</v>
      </c>
      <c r="AN7" s="80">
        <f>SUMIF(Tim!EB$7:EB$70,Ins!F7,Tim!$C$7:$C$70)</f>
        <v>0</v>
      </c>
      <c r="AO7" s="80">
        <f>SUMIF(Tim!EC$7:EC$70,Ins!F7,Tim!$C$7:$C$70)</f>
        <v>0</v>
      </c>
      <c r="AP7" s="80">
        <f>SUMIF(Tim!ED$7:ED$70,Ins!F7,Tim!$C$7:$C$70)+SUMIF(Tim!EE$7:EE$70,Ins!F7,Tim!$C$7:$C$70)+SUMIF(Tim!EF$7:EF$70,Ins!F7,Tim!$C$7:$C$70)</f>
        <v>0</v>
      </c>
      <c r="AQ7" s="81">
        <f>SUMIF(Tim!$EG$7:$EG$70,Ins!F7,Tim!$C$7:$C$70)+SUMIF(Tim!$EH$7:$EH$70,Ins!F7,Tim!$C$7:$C$70)+SUMIF(Tim!$EI$7:$EI$70,Ins!F7,Tim!$C$7:$C$70)+SUMIF(Tim!$EJ$7:$EJ$70,Ins!F7,Tim!$C$7:$C$70)+SUMIF(Tim!$EK$7:$EK$70,Ins!F7,Tim!$C$7:$C$70)</f>
        <v>0</v>
      </c>
      <c r="AR7" s="79">
        <f>SUMIF(Tim!$EL$5:$EL$70,Ins!F7,Tim!$B$5:$B$70)</f>
        <v>0</v>
      </c>
      <c r="AS7" s="80">
        <f>SUMIF(Tim!$EM$5:$EM$70,Ins!F7,Tim!$B$5:$B$70)+SUMIF(Tim!$EN$5:$EN$70,Ins!F7,Tim!$B$5:$B$70)+SUMIF(Tim!$EO$5:$EO$70,Ins!F7,Tim!$B$5:$B$70)+SUMIF(Tim!$EP$5:$EP$70,Ins!F7,Tim!$B$5:$B$70)+SUMIF(Tim!$EQ$5:$EQ$70,Ins!F7,Tim!$B$5:$B$70)+SUMIF(Tim!$ER$5:$ER$70,Ins!F7,Tim!$B$5:$B$70)</f>
        <v>0</v>
      </c>
      <c r="AT7" s="80">
        <f>SUMIF(Tim!$ES$5:$ES$70,Ins!F7,Tim!$B$5:$B$70)+SUMIF(Tim!$ET$5:$ET$70,Ins!F7,Tim!$B$5:$B$70)+SUMIF(Tim!$EU$5:$EU$70,Ins!F7,Tim!$B$5:$B$70)</f>
        <v>0</v>
      </c>
      <c r="AU7" s="80">
        <f>SUMIF(Tim!$EV$5:$EV$70,Ins!F7,Tim!$B$5:$B$70)+SUMIF(Tim!$EW$5:$EW$70,Ins!F7,Tim!$B$5:$B$70)+SUMIF(Tim!$EX$5:$EX$70,Ins!F7,Tim!$B$5:$B$70)+SUMIF(Tim!$EY$5:$EY$70,Ins!F7,Tim!$B$5:$B$70)+SUMIF(Tim!$EZ$5:$EZ$70,Ins!F7,Tim!$B$5:$B$70)</f>
        <v>0</v>
      </c>
      <c r="AV7" s="80">
        <f>SUMIF(Tim!$FA$5:$FA$70,Ins!F7,Tim!$B$5:$B$70)+SUMIF(Tim!$FB$5:$FB$70,Ins!F7,Tim!$B$5:$B$70)+SUMIF(Tim!$FC$5:$FC$70,Ins!F7,Tim!$B$5:$B$70)</f>
        <v>0</v>
      </c>
      <c r="AW7" s="80">
        <f>SUMIF(Tim!FD$5:FD$70,Ins!F7,Tim!$B$5:$B$70)+SUMIF(Tim!FE$5:FE$70,Ins!F7,Tim!$B$5:$B$70)+SUMIF(Tim!FF$5:FF$70,Ins!F7,Tim!$B$5:$B$70)</f>
        <v>0</v>
      </c>
      <c r="AX7" s="80">
        <f>SUMIF(Tim!FG$5:FG$70,Ins!F7,Tim!$B$5:$B$70)</f>
        <v>0</v>
      </c>
      <c r="AY7" s="80">
        <f>SUMIF(Tim!$FH$5:$FH$70,Ins!F7,Tim!$D$5:$D$70)+SUMIF(Tim!$FI$5:$FI$70,Ins!F7,Tim!$D$5:$D$70)+SUMIF(Tim!$FJ$5:$FJ$70,Ins!F7,Tim!$D$5:$D$70)+SUMIF(Tim!$FK$5:$FK$70,Ins!F7,Tim!$D$5:$D$70)+SUMIF(Tim!$FL$5:$FL$70,Ins!F7,Tim!$D$5:$D$70)+SUMIF(Tim!$FM$5:$FM$70,Ins!F7,Tim!$D$5:$D$70)+SUMIF(Tim!$FN$5:$FN$70,Ins!F7,Tim!$D$5:$D$70)+SUMIF(Tim!$FO$5:$FO$70,Ins!F7,Tim!$D$5:$D$70)+SUMIF(Tim!$FP$5:$FP$70,Ins!F7,Tim!$D$5:$D$70)+SUMIF(Tim!$FQ$5:$FQ$70,Ins!F7,Tim!$D$5:$D$70)+SUMIF(Tim!$FR$5:$FR$70,Ins!F7,Tim!$D$5:$D$70)+SUMIF(Tim!$FS$5:$FS$70,Ins!F7,Tim!$D$5:$D$70)</f>
        <v>0</v>
      </c>
      <c r="AZ7" s="80">
        <f>SUMIF(Tim!FT$5:FT$70,Ins!F7,Tim!$C$5:$C$70)</f>
        <v>0</v>
      </c>
      <c r="BA7" s="80">
        <f>SUMIF(Tim!FU$5:FU$70,Ins!F7,Tim!$C$5:$C$70)</f>
        <v>0</v>
      </c>
      <c r="BB7" s="80">
        <f>SUMIF(Tim!FV$5:FV$70,Ins!F7,Tim!$C$5:$C$70)+SUMIF(Tim!FW$5:FW$70,Ins!F7,Tim!$C$5:$C$70)+SUMIF(Tim!FX$5:FX$70,Ins!F7,Tim!$C$5:$C$70)</f>
        <v>0</v>
      </c>
      <c r="BC7" s="81">
        <f>SUMIF(Tim!$FY$5:$FY$70,Ins!F7,Tim!$C$5:$C$70)+SUMIF(Tim!$FZ$5:$FZ$70,Ins!F7,Tim!$C$5:$C$70)+SUMIF(Tim!$GA$5:$GA$70,Ins!F7,Tim!$C$5:$C$70)+SUMIF(Tim!$GB$5:$GB$70,Ins!F7,Tim!$C$5:$C$70)+SUMIF(Tim!$GC$5:$GC$70,Ins!F7,Tim!$C$5:$C$70)</f>
        <v>0</v>
      </c>
      <c r="BD7" s="79">
        <f>SUMIF(Tim!$GD$5:$GD$70,Ins!F7,Tim!$B$5:$B$70)</f>
        <v>0</v>
      </c>
      <c r="BE7" s="80">
        <f>SUMIF(Tim!$GE$5:$GE$70,Ins!F7,Tim!$B$5:$B$70)+SUMIF(Tim!$GF$5:$GF$70,Ins!F7,Tim!$B$5:$B$70)+SUMIF(Tim!$GG$5:$GG$70,Ins!F7,Tim!$B$5:$B$70)+SUMIF(Tim!$GH$5:$GH$70,Ins!F7,Tim!$B$5:$B$70)+SUMIF(Tim!$GI$5:$GI$70,Ins!F7,Tim!$B$5:$B$70)+SUMIF(Tim!$GJ$5:$GJ$70,Ins!F7,Tim!$B$5:$B$70)</f>
        <v>0</v>
      </c>
      <c r="BF7" s="80">
        <f>SUMIF(Tim!$GK$5:$GK$70,Ins!F7,Tim!$B$5:$B$70)+SUMIF(Tim!$GL$5:$GL$70,Ins!F7,Tim!$B$5:$B$70)+SUMIF(Tim!$GM$5:$GM$70,Ins!F7,Tim!$B$5:$B$70)</f>
        <v>0</v>
      </c>
      <c r="BG7" s="80">
        <f>SUMIF(Tim!$GN$5:$GN$70,Ins!F7,Tim!$B$5:$B$70)+SUMIF(Tim!$GO$5:$GO$70,Ins!F7,Tim!$B$5:$B$70)+SUMIF(Tim!$GP$5:$GP$70,Ins!F7,Tim!$B$5:$B$70)+SUMIF(Tim!$GQ$5:$GQ$70,Ins!F7,Tim!$B$5:$B$70)+SUMIF(Tim!$GR$5:$GR$70,Ins!F7,Tim!$B$5:$B$70)</f>
        <v>0</v>
      </c>
      <c r="BH7" s="80">
        <f>SUMIF(Tim!$GS$5:$GS$70,Ins!F7,Tim!$B$5:$B$70)+SUMIF(Tim!$GT$5:$GT$70,Ins!F7,Tim!$B$5:$B$70)+SUMIF(Tim!$GU$5:$GU$70,Ins!F7,Tim!$B$5:$B$70)</f>
        <v>0</v>
      </c>
      <c r="BI7" s="80">
        <f>SUMIF(Tim!GV$5:GV$70,Ins!F7,Tim!$B$5:$B$70)+SUMIF(Tim!GW$5:GW$70,Ins!F7,Tim!$B$5:$B$70)+SUMIF(Tim!GX$5:GX$70,Ins!F7,Tim!$B$5:$B$70)</f>
        <v>0</v>
      </c>
      <c r="BJ7" s="80">
        <f>SUMIF(Tim!GY$5:GY$70,Ins!F7,Tim!$B$5:$B$70)</f>
        <v>0</v>
      </c>
      <c r="BK7" s="80">
        <f>SUMIF(Tim!$GZ$5:$GZ$70,Ins!F7,Tim!$D$5:$D$70)+SUMIF(Tim!$HA$5:$HA$70,Ins!F7,Tim!$D$5:$D$70)+SUMIF(Tim!$HB$5:$HB$70,Ins!F7,Tim!$D$5:$D$70)++SUMIF(Tim!$HC$5:$HC$70,Ins!F7,Tim!$D$5:$D$70)+SUMIF(Tim!$HD$5:$HD$70,Ins!F7,Tim!$D$5:$D$70)+SUMIF(Tim!$HE$5:$HE$70,Ins!F7,Tim!$D$5:$D$70)+SUMIF(Tim!$HF$5:$HF$70,Ins!F7,Tim!$D$5:$D$70)+SUMIF(Tim!$HG$5:$HG$70,Ins!F7,Tim!$D$5:$D$70)+SUMIF(Tim!$HH$5:$HH$70,Ins!F7,Tim!$D$5:$D$70)+SUMIF(Tim!$HI$5:$HI$70,Ins!F7,Tim!$D$5:$D$70)+SUMIF(Tim!$HJ$5:$HJ$70,Ins!F7,Tim!$D$5:$D$70)+SUMIF(Tim!$HK$5:$HK$70,Ins!F7,Tim!$D$5:$D$70)</f>
        <v>0</v>
      </c>
      <c r="BL7" s="80">
        <f>SUMIF(Tim!HL$5:HL$70,Ins!F7,Tim!$C$5:$C$70)</f>
        <v>0</v>
      </c>
      <c r="BM7" s="80">
        <f>SUMIF(Tim!HM$5:HM$70,Ins!F7,Tim!$C$5:$C$70)</f>
        <v>0</v>
      </c>
      <c r="BN7" s="80">
        <f>SUMIF(Tim!HN$5:HN$70,Ins!F7,Tim!$C$5:$C$70)+SUMIF(Tim!HO$5:HO$70,Ins!F7,Tim!$C$5:$C$70)+SUMIF(Tim!HP$5:HP$70,Ins!F7,Tim!$C$5:$C$70)</f>
        <v>0</v>
      </c>
      <c r="BO7" s="81">
        <f>SUMIF(Tim!$HQ$5:$HQ$70,Ins!F7,Tim!$C$5:$C$70)+SUMIF(Tim!$HR$5:$HR$70,Ins!F7,Tim!$C$5:$C$70)+SUMIF(Tim!$HS$5:$HS$70,Ins!F7,Tim!$C$5:$C$70)+SUMIF(Tim!$HT$5:$HT$70,Ins!F7,Tim!$C$5:$C$70)+SUMIF(Tim!$HU$5:$HU$70,Ins!F7,Tim!$C$5:$C$70)</f>
        <v>0</v>
      </c>
      <c r="BP7" s="79">
        <f>SUMIF(Tim!$HV$7:$HV$70,Ins!F7,Tim!$B$7:$B$70)</f>
        <v>0</v>
      </c>
      <c r="BQ7" s="80">
        <f>SUMIF(Tim!$HW$7:$HW$70,Ins!F7,Tim!$B$7:$B$70)+SUMIF(Tim!$HX$7:$HX$70,Ins!F7,Tim!$B$7:$B$70)+SUMIF(Tim!$HY$7:$HY$70,Ins!F7,Tim!$B$7:$B$70)+SUMIF(Tim!$HZ$7:$HZ$70,Ins!F7,Tim!$B$7:$B$70)+SUMIF(Tim!$IA$7:$IA$70,Ins!F7,Tim!$B$7:$B$70)+SUMIF(Tim!$IB$7:$IB$70,Ins!F7,Tim!$B$7:$B$70)</f>
        <v>0</v>
      </c>
      <c r="BR7" s="80">
        <f>SUMIF(Tim!$IC$7:$IC$70,Ins!F7,Tim!$B$7:$B$70)+SUMIF(Tim!$ID$7:$ID$70,Ins!F7,Tim!$B$7:$B$70)+SUMIF(Tim!$IE$7:$IE$70,Ins!F7,Tim!$B$7:$B$70)</f>
        <v>0</v>
      </c>
      <c r="BS7" s="80">
        <f>SUMIF(Tim!$IF$7:$IF$70,Ins!F7,Tim!$B$7:$B$70)+SUMIF(Tim!$IG$7:$IG$70,Ins!F7,Tim!$B$7:$B$70)+SUMIF(Tim!$IH$7:$IH$70,Ins!F7,Tim!$B$7:$B$70)+SUMIF(Tim!$II$7:$II$70,Ins!F7,Tim!$B$7:$B$70)+SUMIF(Tim!$IJ$7:$IJ$70,Ins!F7,Tim!$B$7:$B$70)</f>
        <v>0</v>
      </c>
      <c r="BT7" s="80">
        <f>SUMIF(Tim!$IK$7:$IK$70,Ins!F7,Tim!$B$7:$B$70)+SUMIF(Tim!$IL$7:$IL$70,Ins!F7,Tim!$B$7:$B$70)+SUMIF(Tim!$IM$7:$IM$70,Ins!F7,Tim!$B$7:$B$70)</f>
        <v>0</v>
      </c>
      <c r="BU7" s="80">
        <f>SUMIF(Tim!$IN$7:$IN$70,Ins!F7,Tim!$B$7:$B$70)+SUMIF(Tim!$IO$7:$IO$70,Ins!F7,Tim!$B$7:$B$70)+SUMIF(Tim!$IP$7:$IP$70,Ins!F7,Tim!$B$7:$B$70)</f>
        <v>0</v>
      </c>
      <c r="BV7" s="80">
        <f>SUMIF(Tim!$IQ$7:$IQ$70,Ins!F7,Tim!$B$7:$B$70)</f>
        <v>0</v>
      </c>
      <c r="BW7" s="80">
        <f>SUMIF(Tim!$IR$7:$IR$70,Ins!F7,Tim!$D$7:$D$70)+SUMIF(Tim!$IS$7:$IS$70,Ins!F7,Tim!$D$7:$D$70)+SUMIF(Tim!$IT$7:$IT$70,Ins!F7,Tim!$D$7:$D$70)+SUMIF(Tim!$IU$7:$IU$70,Ins!F7,Tim!$D$7:$D$70)+SUMIF(Tim!$IV$7:$IV$70,Ins!F7,Tim!$D$7:$D$70)+SUMIF(Tim!$IW$7:$IW$70,Ins!F7,Tim!$D$7:$D$70)+SUMIF(Tim!$IX$7:$IX$70,Ins!F7,Tim!$D$7:$D$70)+SUMIF(Tim!$IY$7:$IY$70,Ins!F7,Tim!$D$7:$D$70)+SUMIF(Tim!$IZ$7:$IZ$70,Ins!F7,Tim!$D$7:$D$70)+SUMIF(Tim!$JA$7:$JA$70,Ins!F7,Tim!$D$7:$D$70)+SUMIF(Tim!$JB$7:$JB$70,Ins!F7,Tim!$D$7:$D$70)+SUMIF(Tim!$JC$7:$JC$70,Ins!F7,Tim!$D$7:$D$70)</f>
        <v>0</v>
      </c>
      <c r="BX7" s="80">
        <f>SUMIF(Tim!JD$7:JD$70,Ins!F7,Tim!$C$7:$C$70)</f>
        <v>0</v>
      </c>
      <c r="BY7" s="80">
        <f>SUMIF(Tim!JE$7:JE$70,Ins!F7,Tim!$C$7:$C$70)</f>
        <v>0</v>
      </c>
      <c r="BZ7" s="80">
        <f>SUMIF(Tim!JF$7:JF$70,Ins!F7,Tim!$C$7:$C$70)+SUMIF(Tim!JG$7:JG$70,Ins!F7,Tim!$C$7:$C$70)+SUMIF(Tim!JH$7:JH$70,Ins!F7,Tim!$C$7:$C$70)</f>
        <v>0</v>
      </c>
      <c r="CA7" s="81">
        <f>SUMIF(Tim!$JI$7:$JI$70,Ins!F7,Tim!$C$7:$C$70)++SUMIF(Tim!$JJ$7:$JJ$70,Ins!F7,Tim!$C$7:$C$70)+SUMIF(Tim!$JK$7:$JK$70,Ins!F7,Tim!$C$7:$C$70)+SUMIF(Tim!$JL$7:$JL$70,Ins!F7,Tim!$C$7:$C$70)+SUMIF(Tim!$JM$7:$JM$70,Ins!F7,Tim!$C$7:$C$70)</f>
        <v>0</v>
      </c>
      <c r="CB7" s="79">
        <f>SUMIF(Tim!$JN$7:$JN$70,Ins!F7,Tim!$B$7:$B$70)</f>
        <v>0</v>
      </c>
      <c r="CC7" s="80">
        <f>SUMIF(Tim!$JO$7:$JO$70,Ins!F7,Tim!$B$7:$B$70)+SUMIF(Tim!$JP$7:$JP$70,Ins!F7,Tim!$B$7:$B$70)+SUMIF(Tim!$JQ$7:$JQ$70,Ins!F7,Tim!$B$7:$B$70)+SUMIF(Tim!$JR$7:$JR$70,Ins!F7,Tim!$B$7:$B$70)+SUMIF(Tim!$JS$7:$JS$70,Ins!F7,Tim!$B$7:$B$70)+SUMIF(Tim!$JT$7:$JT$70,Ins!F7,Tim!$B$7:$B$70)</f>
        <v>0</v>
      </c>
      <c r="CD7" s="80">
        <f>SUMIF(Tim!$JW$7:$JW$70,Ins!F7,Tim!$B$7:$B$70)+SUMIF(Tim!$JU$7:$JU$70,Ins!F7,Tim!$B$7:$B$70)+SUMIF(Tim!$JV$7:$JV$70,Ins!F7,Tim!$B$7:$B$70)</f>
        <v>0</v>
      </c>
      <c r="CE7" s="80">
        <f>SUMIF(Tim!$JX$7:$JX$70,Ins!F7,Tim!$B$7:$B$70)+SUMIF(Tim!$JY$7:$JY$70,Ins!F7,Tim!$B$7:$B$70)+SUMIF(Tim!$JZ$7:$JZ$70,Ins!F7,Tim!$B$7:$B$70)+SUMIF(Tim!$KA$7:$KA$70,Ins!F7,Tim!$B$7:$B$70)+SUMIF(Tim!$KB$7:$KB$70,Ins!F7,Tim!$B$7:$B$70)</f>
        <v>0</v>
      </c>
      <c r="CF7" s="80">
        <f>SUMIF(Tim!$KE$7:$KE$70,Ins!F7,Tim!$B$7:$B$70)+SUMIF(Tim!$KC$7:$KC$70,Ins!F7,Tim!$B$7:$B$70)+SUMIF(Tim!$KD$7:$KD$70,Ins!F7,Tim!$B$7:$B$70)</f>
        <v>0</v>
      </c>
      <c r="CG7" s="80">
        <f>SUMIF(Tim!$KF$7:$KF$70,Ins!F7,Tim!$B$7:$B$70)+SUMIF(Tim!$KG$7:$KG$70,Ins!F7,Tim!$B$7:$B$70)+SUMIF(Tim!$KH$7:$KH$70,Ins!F7,Tim!$B$7:$B$70)</f>
        <v>0</v>
      </c>
      <c r="CH7" s="80">
        <f>SUMIF(Tim!$KI$7:$KI$70,Ins!F7,Tim!$B$7:$B$70)</f>
        <v>0</v>
      </c>
      <c r="CI7" s="80">
        <f>SUMIF(Tim!$KJ$7:$KJ$70,Ins!F7,Tim!$D$7:$D$70)+SUMIF(Tim!$KK$7:$KK$70,Ins!F7,Tim!$D$7:$D$70)+SUMIF(Tim!$KL$7:$KL$70,Ins!F7,Tim!$D$7:$D$70)+SUMIF(Tim!$KM$7:$KM$70,Ins!F7,Tim!$D$7:$D$70)+SUMIF(Tim!$KN$7:$KN$70,Ins!F7,Tim!$D$7:$D$70)+SUMIF(Tim!$KO$7:$KO$70,Ins!F7,Tim!$D$7:$D$70)+SUMIF(Tim!$KP$7:$KP$70,Ins!F7,Tim!$D$7:$D$70)+SUMIF(Tim!$KQ$7:$KQ$70,Ins!F7,Tim!$D$7:$D$70)+SUMIF(Tim!$KR$7:$KR$70,Ins!F7,Tim!$D$7:$D$70)+SUMIF(Tim!$KS$7:$KS$70,Ins!F7,Tim!$D$7:$D$70)+SUMIF(Tim!$KT$7:$KT$70,Ins!F7,Tim!$D$7:$D$70)+SUMIF(Tim!$KU$7:$KU$70,Ins!F7,Tim!$D$7:$D$70)</f>
        <v>0</v>
      </c>
      <c r="CJ7" s="80">
        <f>SUMIF(Tim!KV$7:KV$70,Ins!F7,Tim!$C$7:$C$70)</f>
        <v>0</v>
      </c>
      <c r="CK7" s="80">
        <f>SUMIF(Tim!KW$7:KW$70,Ins!F7,Tim!$C$7:$C$70)</f>
        <v>0</v>
      </c>
      <c r="CL7" s="80">
        <f>SUMIF(Tim!KX$7:KX$70,Ins!F7,Tim!$C$7:$C$70)+SUMIF(Tim!KY$7:KY$70,Ins!F7,Tim!$C$7:$C$70)+SUMIF(Tim!KZ$7:KZ$70,Ins!F7,Tim!$C$7:$C$70)</f>
        <v>0</v>
      </c>
      <c r="CM7" s="81">
        <f>SUMIF(Tim!$LA$7:$LA$70,Ins!F7,Tim!$C$7:$C$70)+SUMIF(Tim!$LB$7:$LB$70,Ins!F7,Tim!$C$7:$C$70)+SUMIF(Tim!$LC$7:$LC$70,Ins!F7,Tim!$C$7:$C$70)+SUMIF(Tim!$LD$7:$LD$70,Ins!F7,Tim!$C$7:$C$70)+SUMIF(Tim!$LE$7:$LE$70,Ins!F7,Tim!$C$7:$C$70)</f>
        <v>0</v>
      </c>
      <c r="CN7" s="22"/>
      <c r="CO7" s="180">
        <f>H7+T7+AF7+AR7+BD7+BP7+CB7</f>
        <v>0</v>
      </c>
      <c r="CP7" s="179">
        <f t="shared" si="2"/>
        <v>0</v>
      </c>
      <c r="CQ7" s="179">
        <f t="shared" si="3"/>
        <v>0</v>
      </c>
      <c r="CR7" s="179">
        <f t="shared" si="4"/>
        <v>0</v>
      </c>
      <c r="CS7" s="179">
        <f t="shared" si="5"/>
        <v>0</v>
      </c>
      <c r="CT7" s="179">
        <f t="shared" si="6"/>
        <v>0</v>
      </c>
      <c r="CU7" s="179">
        <f t="shared" si="7"/>
        <v>0</v>
      </c>
      <c r="CV7" s="179">
        <f t="shared" si="8"/>
        <v>0</v>
      </c>
      <c r="CW7" s="179">
        <f t="shared" si="9"/>
        <v>0</v>
      </c>
      <c r="CX7" s="179">
        <f t="shared" si="10"/>
        <v>0</v>
      </c>
      <c r="CY7" s="179">
        <f t="shared" si="11"/>
        <v>0</v>
      </c>
      <c r="CZ7" s="179">
        <f t="shared" si="12"/>
        <v>0</v>
      </c>
      <c r="DA7" s="78">
        <f t="shared" si="13"/>
        <v>0</v>
      </c>
      <c r="DB7" s="16"/>
      <c r="DC7" s="34">
        <f t="shared" si="21"/>
        <v>0</v>
      </c>
      <c r="DD7" s="34">
        <f t="shared" si="22"/>
        <v>0</v>
      </c>
      <c r="DE7" s="34">
        <f t="shared" si="23"/>
        <v>0</v>
      </c>
      <c r="DF7" s="34">
        <f t="shared" si="24"/>
        <v>0</v>
      </c>
      <c r="DG7" s="34">
        <f t="shared" si="25"/>
        <v>0</v>
      </c>
      <c r="DH7" s="34">
        <f t="shared" si="26"/>
        <v>0</v>
      </c>
      <c r="DI7" s="34">
        <f t="shared" si="27"/>
        <v>0</v>
      </c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7"/>
    </row>
    <row r="8" spans="1:125" ht="12" hidden="1" customHeight="1">
      <c r="A8" s="10">
        <v>6</v>
      </c>
      <c r="B8" s="229" t="s">
        <v>384</v>
      </c>
      <c r="C8" s="50"/>
      <c r="D8" s="230"/>
      <c r="E8" s="230"/>
      <c r="F8" s="306" t="s">
        <v>383</v>
      </c>
      <c r="G8" s="231" t="s">
        <v>192</v>
      </c>
      <c r="H8" s="79">
        <f>SUMIF(Tim!$F$7:$F$70,Ins!F8,Tim!$B$7:$B$70)</f>
        <v>0</v>
      </c>
      <c r="I8" s="80">
        <f>SUMIF(Tim!$G$7:$G$70,Ins!F8,Tim!$B$7:$B$70)+SUMIF(Tim!$H$7:$H$70,Ins!F8,Tim!$B$7:$B$70)+SUMIF(Tim!$I$7:$I$70,Ins!F8,Tim!$B$7:$B$70)+SUMIF(Tim!$J$7:$J$70,Ins!F8,Tim!$B$7:$B$70)+SUMIF(Tim!$K$7:$K$70,Ins!F8,Tim!$B$7:$B$70)+SUMIF(Tim!$L$7:$L$70,Ins!F8,Tim!$B$7:$B$70)</f>
        <v>0</v>
      </c>
      <c r="J8" s="80">
        <f>SUMIF(Tim!$M$7:$M$70,Ins!F8,Tim!$B$7:$B$70)+SUMIF(Tim!$O$7:$O$70,Ins!F8,Tim!$B$7:$B$70)+SUMIF(Tim!$N$7:$N$70,Ins!F8,Tim!$B$7:$B$70)</f>
        <v>0</v>
      </c>
      <c r="K8" s="80">
        <f>SUMIF(Tim!$P$7:$P$70,Ins!F8,Tim!$B$7:$B$70)+SUMIF(Tim!$Q$7:$Q$70,Ins!F8,Tim!$B$7:$B$70)+SUMIF(Tim!$R$7:$R$70,Ins!F8,Tim!$B$7:$B$70)+SUMIF(Tim!$S$7:$S$70,Ins!F8,Tim!$B$7:$B$70)+SUMIF(Tim!$T$7:$T$70,Ins!F8,Tim!$B$7:$B$70)</f>
        <v>0</v>
      </c>
      <c r="L8" s="80">
        <f>SUMIF(Tim!$U$7:$U$70,Ins!F8,Tim!$B$7:$B$70)+SUMIF(Tim!$W$7:$W$70,Ins!F8,Tim!$B$7:$B$70)+SUMIF(Tim!$X$7:$X$70,Ins!F8,Tim!$B$7:$B$70)</f>
        <v>0</v>
      </c>
      <c r="M8" s="80">
        <f>SUMIF(Tim!$Y$7:$Y$70,Ins!F8,Tim!$B$7:$B$70)+SUMIF(Tim!$Z$7:$Z$70,Ins!F8,Tim!$B$7:$B$70)+SUMIF(Tim!$AA$7:$AA$70,Ins!F8,Tim!$B$7:$B$70)</f>
        <v>0</v>
      </c>
      <c r="N8" s="80">
        <f>SUMIF(Tim!$AB$7:$AB$70,Ins!F8,Tim!$B$7:$B$70)</f>
        <v>0</v>
      </c>
      <c r="O8" s="80">
        <f>SUMIF(Tim!$AC$7:$AC$70,Ins!F8,Tim!$D$7:$D$70)+SUMIF(Tim!$AD$7:$AD$70,Ins!F8,Tim!$D$7:$D$70)+SUMIF(Tim!$AE$7:$AE$70,Ins!F8,Tim!$D$7:$D$70)+SUMIF(Tim!$AF$7:$AF$70,Ins!F8,Tim!$D$7:$D$70)+SUMIF(Tim!$AG$7:$AG$70,Ins!F8,Tim!$D$7:$D$70)+SUMIF(Tim!$AH$7:$AH$70,Ins!F8,Tim!$D$7:$D$70)+SUMIF(Tim!$AI$7:$AI$70,Ins!F8,Tim!$D$7:$D$70)+SUMIF(Tim!$AJ$7:$AJ$70,Ins!F8,Tim!$D$7:$D$70)+SUMIF(Tim!$AK$7:$AK$70,Ins!F8,Tim!$D$7:$D$70)+SUMIF(Tim!$AL$7:$AL$70,Ins!F8,Tim!$D$7:$D$70)+SUMIF(Tim!$AM$7:$AM$70,Ins!F8,Tim!$D$7:$D$70)+SUMIF(Tim!$AN$7:$AN$70,Ins!F8,Tim!$D$7:$D$70)</f>
        <v>0</v>
      </c>
      <c r="P8" s="80">
        <f>SUMIF(Tim!AO$7:AO$70,Ins!F8,Tim!$C$7:$C$70)</f>
        <v>0</v>
      </c>
      <c r="Q8" s="80">
        <f>SUMIF(Tim!AP$7:AP$70,Ins!F8,Tim!$C$7:$C$70)</f>
        <v>0</v>
      </c>
      <c r="R8" s="80">
        <f>SUMIF(Tim!AQ$7:AQ$70,Ins!F8,Tim!$C$7:$C$70)+SUMIF(Tim!AR$7:AR$70,Ins!F8,Tim!$C$7:$C$70)+SUMIF(Tim!AS$7:AS$70,Ins!F8,Tim!$C$7:$C$70)</f>
        <v>0</v>
      </c>
      <c r="S8" s="236">
        <f>SUMIF(Tim!$AT$7:$AT$70,Ins!F8,Tim!$C$7:$C$70)+SUMIF(Tim!$AU$7:$AU$70,Ins!F8,Tim!$C$7:$C75)+SUMIF(Tim!$AV$7:$AV$70,Ins!F8,Tim!$C$7:$C$70)+SUMIF(Tim!$AW$7:$AW$70,Ins!F8,Tim!$C$7:$C$70)+SUMIF(Tim!$AX$7:$AX$70,Ins!F8,Tim!$C$7:$C$70)</f>
        <v>0</v>
      </c>
      <c r="T8" s="79">
        <f>SUMIF(Tim!$AY$7:$AY$70,Ins!F8,Tim!$B$7:$B$70)</f>
        <v>0</v>
      </c>
      <c r="U8" s="80">
        <f>SUMIF(Tim!$AZ$7:$AZ$70,Ins!F8,Tim!$B$7:$B$70)+SUMIF(Tim!$BA$7:$BA$70,Ins!F8,Tim!$B$7:$B$70)+SUMIF(Tim!$BB$7:$BB$70,Ins!F8,Tim!$B$7:$B$70)+SUMIF(Tim!$BC$7:$BC$70,Ins!F8,Tim!$B$7:$B$70)+SUMIF(Tim!$BD$7:$BD$70,Ins!F8,Tim!$B$7:$B$70)+SUMIF(Tim!$BE$7:$BE$70,Ins!F8,Tim!$B$7:$B$70)</f>
        <v>0</v>
      </c>
      <c r="V8" s="80">
        <f>SUMIF(Tim!$BF$7:$BF$70,Ins!F8,Tim!$B$7:$B$70)+SUMIF(Tim!$BG$7:$BG$70,Ins!F8,Tim!$B$7:$B$70)+SUMIF(Tim!$BH$7:$BH$70,Ins!F8,Tim!$B$7:$B$70)</f>
        <v>0</v>
      </c>
      <c r="W8" s="80">
        <f>SUMIF(Tim!$BI$7:$BI$70,Ins!F8,Tim!$B$7:$B$70)+SUMIF(Tim!$BJ$7:$BJ$70,Ins!F8,Tim!$B$7:$B$70)+SUMIF(Tim!$BK$7:$BK$70,Ins!F8,Tim!$B$7:$B$70)+SUMIF(Tim!$BL$7:$BL$70,Ins!F8,Tim!$B$7:$B$70)+SUMIF(Tim!$BM$7:$BM$70,Ins!F8,Tim!$B$7:$B$70)</f>
        <v>0</v>
      </c>
      <c r="X8" s="80">
        <f>SUMIF(Tim!$BN$7:$BN$70,Ins!F8,Tim!$B$7:$B$70)+SUMIF(Tim!$BO$7:$BO$70,Ins!F8,Tim!$B$7:$B$70)+SUMIF(Tim!$BP$7:$BP$70,Ins!F8,Tim!$B$7:$B$70)</f>
        <v>0</v>
      </c>
      <c r="Y8" s="80">
        <f>SUMIF(Tim!$BQ$7:$BQ$70,Ins!F8,Tim!$B$7:$B$70)+SUMIF(Tim!$BR$7:$BR$70,Ins!F8,Tim!$B$7:$B$70)+SUMIF(Tim!$BS$7:$BS$70,Ins!F8,Tim!$B$7:$B$70)</f>
        <v>0</v>
      </c>
      <c r="Z8" s="80">
        <f>SUMIF(Tim!BT$7:BT$70,Ins!F8,Tim!$B$7:$B$70)</f>
        <v>0</v>
      </c>
      <c r="AA8" s="80">
        <f>SUMIF(Tim!$BU$7:$BU$70,Ins!F8,Tim!$D$7:$D$70)+SUMIF(Tim!$BV$7:$BV$70,Ins!F8,Tim!$D$7:$D$70)+SUMIF(Tim!$BW$7:$BW$70,Ins!F8,Tim!$D$7:$D$70)+SUMIF(Tim!$BX$7:$BX$70,Ins!F8,Tim!$D$7:$D$70)+SUMIF(Tim!$BY$7:$BY$70,Ins!F8,Tim!$D$7:$D$70)+SUMIF(Tim!$BZ$7:$BZ$70,Ins!F8,Tim!$D$7:$D$70)+SUMIF(Tim!$CA$7:$CA$70,Ins!F8,Tim!$D$7:$D$70)+SUMIF(Tim!$CB$7:$CB$70,Ins!F8,Tim!$D$7:$D$70)+SUMIF(Tim!$CC$7:$CC$70,Ins!F8,Tim!$D$7:$D$70)+SUMIF(Tim!$CD$7:$CD$70,Ins!F8,Tim!$D$7:$D$70)+SUMIF(Tim!$CE$7:$CE$70,Ins!F8,Tim!$D$7:$D$70)+SUMIF(Tim!$CF$7:$CF$70,Ins!F8,Tim!$D$7:$D$70)</f>
        <v>0</v>
      </c>
      <c r="AB8" s="80">
        <f>SUMIF(Tim!CG$7:CG$70,Ins!F8,Tim!$C$7:$C$70)</f>
        <v>0</v>
      </c>
      <c r="AC8" s="80">
        <f>SUMIF(Tim!CH$7:CH$70,Ins!F8,Tim!$C$7:$C$70)</f>
        <v>0</v>
      </c>
      <c r="AD8" s="80">
        <f>SUMIF(Tim!CI$7:CI$70,Ins!F8,Tim!$C$7:$C$70)+SUMIF(Tim!CJ$7:CJ$70,Ins!F8,Tim!$C$7:$C$70)+SUMIF(Tim!CK$7:CK$70,Ins!F8,Tim!$C$7:$C$70)</f>
        <v>0</v>
      </c>
      <c r="AE8" s="81">
        <f>SUMIF(Tim!$CL$7:$CL$70,Ins!F8,Tim!$C$7:$C$70)+SUMIF(Tim!$CM$7:$CM$70,Ins!F8,Tim!$C$7:$C$70)+SUMIF(Tim!$CN$7:$CN$70,Ins!F8,Tim!$C$7:$C$70)+SUMIF(Tim!$CO$7:$CO$70,Ins!F8,Tim!$C$7:$C$70)+SUMIF(Tim!$CP$7:$CP$70,Ins!F8,Tim!$C$7:$C$70)</f>
        <v>0</v>
      </c>
      <c r="AF8" s="79">
        <f>SUMIF(Tim!$CQ$7:$CQ$70,Ins!F8,Tim!$B$7:$B$70)</f>
        <v>0</v>
      </c>
      <c r="AG8" s="80">
        <f>SUMIF(Tim!$CR$7:$CR$70,Ins!F8,Tim!$B$7:$B$70)+SUMIF(Tim!$CS$7:$CS$70,Ins!F8,Tim!$B$7:$B$70)+SUMIF(Tim!$CT$7:$CT$70,Ins!F8,Tim!$B$7:$B$70)+SUMIF(Tim!$CU$7:$CU$70,Ins!F8,Tim!$B$7:$B$70)+SUMIF(Tim!$CV$7:$CV$70,Ins!F8,Tim!$B$7:$B$70)+SUMIF(Tim!$CW$7:$CW$70,Ins!F8,Tim!$B$7:$B$70)</f>
        <v>0</v>
      </c>
      <c r="AH8" s="80">
        <f>SUMIF(Tim!$CX$7:$CX$70,Ins!F8,Tim!$B$7:$B$70)+SUMIF(Tim!$CY$7:$CY$70,Ins!F8,Tim!$B$7:$B$70)+SUMIF(Tim!$CZ$7:$CZ$70,Ins!F8,Tim!$B$7:$B$70)</f>
        <v>0</v>
      </c>
      <c r="AI8" s="80">
        <f>SUMIF(Tim!$DA$7:$DA$70,Ins!F8,Tim!$B$7:$B$70)+SUMIF(Tim!$DB$7:$DB$70,Ins!F8,Tim!$B$7:$B$70)+SUMIF(Tim!$DC$7:$DC$70,Ins!F8,Tim!$B$7:$B$70)+SUMIF(Tim!$DD$7:$DD$70,Ins!F8,Tim!$B$7:$B$70)+SUMIF(Tim!$DE$7:$DE$70,Ins!F8,Tim!$B$7:$B$70)</f>
        <v>0</v>
      </c>
      <c r="AJ8" s="80">
        <f>SUMIF(Tim!$DF$7:$DF$70,Ins!F8,Tim!$B$7:$B$70)+SUMIF(Tim!$DG$7:$DG$70,Ins!F8,Tim!$B$7:$B$70)+SUMIF(Tim!$DH$7:$DH$70,Ins!F8,Tim!$B$7:$B$70)</f>
        <v>0</v>
      </c>
      <c r="AK8" s="80">
        <f>SUMIF(Tim!DI$7:DI$70,Ins!F8,Tim!$B$7:$B$70)+SUMIF(Tim!DM$7:DM$70,Ins!F8,Tim!$B$7:$B$70)+SUMIF(Tim!DN$7:DN$70,Ins!F8,Tim!$B$7:$B$70)</f>
        <v>0</v>
      </c>
      <c r="AL8" s="80">
        <f>SUMIF(Tim!DO$7:DO$70,Ins!F8,Tim!$B$7:$B$70)</f>
        <v>0</v>
      </c>
      <c r="AM8" s="80">
        <f>SUMIF(Tim!$DP$7:$DP$70,Ins!F8,Tim!$D$7:$D$70)+SUMIF(Tim!$DQ$7:$DQ$70,Ins!F8,Tim!$D$7:$D$70)+SUMIF(Tim!$DR$7:$DR$70,Ins!F8,Tim!$D$7:$D$70)+SUMIF(Tim!$DS$7:$DS$70,Ins!F8,Tim!$D$7:$D$70)+SUMIF(Tim!$DT$7:$DT$70,Ins!F8,Tim!$D$7:$D$70)+SUMIF(Tim!$DU$7:$DU$70,Ins!F8,Tim!$D$7:$D$70)+SUMIF(Tim!$DV$7:$DV$70,Ins!F8,Tim!$D$7:$D$70)+SUMIF(Tim!$DW$7:$DW$70,Ins!F8,Tim!$D$7:$D$70)+SUMIF(Tim!$DX$7:$DX$70,Ins!F8,Tim!$D$7:$D$70)+SUMIF(Tim!$DY$7:$DY$70,Ins!F8,Tim!$D$7:$D$70)+SUMIF(Tim!$DZ$7:$DZ$70,Ins!F8,Tim!$D$7:$D$70)+SUMIF(Tim!$EA$7:$EA$70,Ins!F8,Tim!$D$7:$D$70)</f>
        <v>0</v>
      </c>
      <c r="AN8" s="80">
        <f>SUMIF(Tim!EB$7:EB$70,Ins!F8,Tim!$C$7:$C$70)</f>
        <v>0</v>
      </c>
      <c r="AO8" s="80">
        <f>SUMIF(Tim!EC$7:EC$70,Ins!F8,Tim!$C$7:$C$70)</f>
        <v>0</v>
      </c>
      <c r="AP8" s="80">
        <f>SUMIF(Tim!ED$7:ED$70,Ins!F8,Tim!$C$7:$C$70)+SUMIF(Tim!EE$7:EE$70,Ins!F8,Tim!$C$7:$C$70)+SUMIF(Tim!EF$7:EF$70,Ins!F8,Tim!$C$7:$C$70)</f>
        <v>0</v>
      </c>
      <c r="AQ8" s="81">
        <f>SUMIF(Tim!$EG$7:$EG$70,Ins!F8,Tim!$C$7:$C$70)+SUMIF(Tim!$EH$7:$EH$70,Ins!F8,Tim!$C$7:$C$70)+SUMIF(Tim!$EI$7:$EI$70,Ins!F8,Tim!$C$7:$C$70)+SUMIF(Tim!$EJ$7:$EJ$70,Ins!F8,Tim!$C$7:$C$70)+SUMIF(Tim!$EK$7:$EK$70,Ins!F8,Tim!$C$7:$C$70)</f>
        <v>0</v>
      </c>
      <c r="AR8" s="79">
        <f>SUMIF(Tim!$EL$5:$EL$70,Ins!F8,Tim!$B$5:$B$70)</f>
        <v>0</v>
      </c>
      <c r="AS8" s="80">
        <f>SUMIF(Tim!$EM$5:$EM$70,Ins!F8,Tim!$B$5:$B$70)+SUMIF(Tim!$EN$5:$EN$70,Ins!F8,Tim!$B$5:$B$70)+SUMIF(Tim!$EO$5:$EO$70,Ins!F8,Tim!$B$5:$B$70)+SUMIF(Tim!$EP$5:$EP$70,Ins!F8,Tim!$B$5:$B$70)+SUMIF(Tim!$EQ$5:$EQ$70,Ins!F8,Tim!$B$5:$B$70)+SUMIF(Tim!$ER$5:$ER$70,Ins!F8,Tim!$B$5:$B$70)</f>
        <v>0</v>
      </c>
      <c r="AT8" s="80">
        <f>SUMIF(Tim!$ES$5:$ES$70,Ins!F8,Tim!$B$5:$B$70)+SUMIF(Tim!$ET$5:$ET$70,Ins!F8,Tim!$B$5:$B$70)+SUMIF(Tim!$EU$5:$EU$70,Ins!F8,Tim!$B$5:$B$70)</f>
        <v>0</v>
      </c>
      <c r="AU8" s="80">
        <f>SUMIF(Tim!$EV$5:$EV$70,Ins!F8,Tim!$B$5:$B$70)+SUMIF(Tim!$EW$5:$EW$70,Ins!F8,Tim!$B$5:$B$70)+SUMIF(Tim!$EX$5:$EX$70,Ins!F8,Tim!$B$5:$B$70)+SUMIF(Tim!$EY$5:$EY$70,Ins!F8,Tim!$B$5:$B$70)+SUMIF(Tim!$EZ$5:$EZ$70,Ins!F8,Tim!$B$5:$B$70)</f>
        <v>0</v>
      </c>
      <c r="AV8" s="80">
        <f>SUMIF(Tim!$FA$5:$FA$70,Ins!F8,Tim!$B$5:$B$70)+SUMIF(Tim!$FB$5:$FB$70,Ins!F8,Tim!$B$5:$B$70)+SUMIF(Tim!$FC$5:$FC$70,Ins!F8,Tim!$B$5:$B$70)</f>
        <v>0</v>
      </c>
      <c r="AW8" s="80">
        <f>SUMIF(Tim!FD$5:FD$70,Ins!F8,Tim!$B$5:$B$70)+SUMIF(Tim!FE$5:FE$70,Ins!F8,Tim!$B$5:$B$70)+SUMIF(Tim!FF$5:FF$70,Ins!F8,Tim!$B$5:$B$70)</f>
        <v>0</v>
      </c>
      <c r="AX8" s="80">
        <f>SUMIF(Tim!FG$5:FG$70,Ins!F8,Tim!$B$5:$B$70)</f>
        <v>0</v>
      </c>
      <c r="AY8" s="80">
        <f>SUMIF(Tim!$FH$5:$FH$70,Ins!F8,Tim!$D$5:$D$70)+SUMIF(Tim!$FI$5:$FI$70,Ins!F8,Tim!$D$5:$D$70)+SUMIF(Tim!$FJ$5:$FJ$70,Ins!F8,Tim!$D$5:$D$70)+SUMIF(Tim!$FK$5:$FK$70,Ins!F8,Tim!$D$5:$D$70)+SUMIF(Tim!$FL$5:$FL$70,Ins!F8,Tim!$D$5:$D$70)+SUMIF(Tim!$FM$5:$FM$70,Ins!F8,Tim!$D$5:$D$70)+SUMIF(Tim!$FN$5:$FN$70,Ins!F8,Tim!$D$5:$D$70)+SUMIF(Tim!$FO$5:$FO$70,Ins!F8,Tim!$D$5:$D$70)+SUMIF(Tim!$FP$5:$FP$70,Ins!F8,Tim!$D$5:$D$70)+SUMIF(Tim!$FQ$5:$FQ$70,Ins!F8,Tim!$D$5:$D$70)+SUMIF(Tim!$FR$5:$FR$70,Ins!F8,Tim!$D$5:$D$70)+SUMIF(Tim!$FS$5:$FS$70,Ins!F8,Tim!$D$5:$D$70)</f>
        <v>0</v>
      </c>
      <c r="AZ8" s="80">
        <f>SUMIF(Tim!FT$5:FT$70,Ins!F8,Tim!$C$5:$C$70)</f>
        <v>0</v>
      </c>
      <c r="BA8" s="80">
        <f>SUMIF(Tim!FU$5:FU$70,Ins!F8,Tim!$C$5:$C$70)</f>
        <v>0</v>
      </c>
      <c r="BB8" s="80">
        <f>SUMIF(Tim!FV$5:FV$70,Ins!F8,Tim!$C$5:$C$70)+SUMIF(Tim!FW$5:FW$70,Ins!F8,Tim!$C$5:$C$70)+SUMIF(Tim!FX$5:FX$70,Ins!F8,Tim!$C$5:$C$70)</f>
        <v>0</v>
      </c>
      <c r="BC8" s="81">
        <f>SUMIF(Tim!$FY$5:$FY$70,Ins!F8,Tim!$C$5:$C$70)+SUMIF(Tim!$FZ$5:$FZ$70,Ins!F8,Tim!$C$5:$C$70)+SUMIF(Tim!$GA$5:$GA$70,Ins!F8,Tim!$C$5:$C$70)+SUMIF(Tim!$GB$5:$GB$70,Ins!F8,Tim!$C$5:$C$70)+SUMIF(Tim!$GC$5:$GC$70,Ins!F8,Tim!$C$5:$C$70)</f>
        <v>0</v>
      </c>
      <c r="BD8" s="79">
        <f>SUMIF(Tim!$GD$5:$GD$70,Ins!F8,Tim!$B$5:$B$70)</f>
        <v>0</v>
      </c>
      <c r="BE8" s="80">
        <f>SUMIF(Tim!$GE$5:$GE$70,Ins!F8,Tim!$B$5:$B$70)+SUMIF(Tim!$GF$5:$GF$70,Ins!F8,Tim!$B$5:$B$70)+SUMIF(Tim!$GG$5:$GG$70,Ins!F8,Tim!$B$5:$B$70)+SUMIF(Tim!$GH$5:$GH$70,Ins!F8,Tim!$B$5:$B$70)+SUMIF(Tim!$GI$5:$GI$70,Ins!F8,Tim!$B$5:$B$70)+SUMIF(Tim!$GJ$5:$GJ$70,Ins!F8,Tim!$B$5:$B$70)</f>
        <v>0</v>
      </c>
      <c r="BF8" s="80">
        <f>SUMIF(Tim!$GK$5:$GK$70,Ins!F8,Tim!$B$5:$B$70)+SUMIF(Tim!$GL$5:$GL$70,Ins!F8,Tim!$B$5:$B$70)+SUMIF(Tim!$GM$5:$GM$70,Ins!F8,Tim!$B$5:$B$70)</f>
        <v>0</v>
      </c>
      <c r="BG8" s="80">
        <f>SUMIF(Tim!$GN$5:$GN$70,Ins!F8,Tim!$B$5:$B$70)+SUMIF(Tim!$GO$5:$GO$70,Ins!F8,Tim!$B$5:$B$70)+SUMIF(Tim!$GP$5:$GP$70,Ins!F8,Tim!$B$5:$B$70)+SUMIF(Tim!$GQ$5:$GQ$70,Ins!F8,Tim!$B$5:$B$70)+SUMIF(Tim!$GR$5:$GR$70,Ins!F8,Tim!$B$5:$B$70)</f>
        <v>0</v>
      </c>
      <c r="BH8" s="80">
        <f>SUMIF(Tim!$GS$5:$GS$70,Ins!F8,Tim!$B$5:$B$70)+SUMIF(Tim!$GT$5:$GT$70,Ins!F8,Tim!$B$5:$B$70)+SUMIF(Tim!$GU$5:$GU$70,Ins!F8,Tim!$B$5:$B$70)</f>
        <v>0</v>
      </c>
      <c r="BI8" s="80">
        <f>SUMIF(Tim!GV$5:GV$70,Ins!F8,Tim!$B$5:$B$70)+SUMIF(Tim!GW$5:GW$70,Ins!F8,Tim!$B$5:$B$70)+SUMIF(Tim!GX$5:GX$70,Ins!F8,Tim!$B$5:$B$70)</f>
        <v>0</v>
      </c>
      <c r="BJ8" s="80">
        <f>SUMIF(Tim!GY$5:GY$70,Ins!F8,Tim!$B$5:$B$70)</f>
        <v>0</v>
      </c>
      <c r="BK8" s="80">
        <f>SUMIF(Tim!$GZ$5:$GZ$70,Ins!F8,Tim!$D$5:$D$70)+SUMIF(Tim!$HA$5:$HA$70,Ins!F8,Tim!$D$5:$D$70)+SUMIF(Tim!$HB$5:$HB$70,Ins!F8,Tim!$D$5:$D$70)++SUMIF(Tim!$HC$5:$HC$70,Ins!F8,Tim!$D$5:$D$70)+SUMIF(Tim!$HD$5:$HD$70,Ins!F8,Tim!$D$5:$D$70)+SUMIF(Tim!$HE$5:$HE$70,Ins!F8,Tim!$D$5:$D$70)+SUMIF(Tim!$HF$5:$HF$70,Ins!F8,Tim!$D$5:$D$70)+SUMIF(Tim!$HG$5:$HG$70,Ins!F8,Tim!$D$5:$D$70)+SUMIF(Tim!$HH$5:$HH$70,Ins!F8,Tim!$D$5:$D$70)+SUMIF(Tim!$HI$5:$HI$70,Ins!F8,Tim!$D$5:$D$70)+SUMIF(Tim!$HJ$5:$HJ$70,Ins!F8,Tim!$D$5:$D$70)+SUMIF(Tim!$HK$5:$HK$70,Ins!F8,Tim!$D$5:$D$70)</f>
        <v>0</v>
      </c>
      <c r="BL8" s="80">
        <f>SUMIF(Tim!HL$5:HL$70,Ins!F8,Tim!$C$5:$C$70)</f>
        <v>0</v>
      </c>
      <c r="BM8" s="80">
        <f>SUMIF(Tim!HM$5:HM$70,Ins!F8,Tim!$C$5:$C$70)</f>
        <v>0</v>
      </c>
      <c r="BN8" s="80">
        <f>SUMIF(Tim!HN$5:HN$70,Ins!F8,Tim!$C$5:$C$70)+SUMIF(Tim!HO$5:HO$70,Ins!F8,Tim!$C$5:$C$70)+SUMIF(Tim!HP$5:HP$70,Ins!F8,Tim!$C$5:$C$70)</f>
        <v>0</v>
      </c>
      <c r="BO8" s="81">
        <f>SUMIF(Tim!$HQ$5:$HQ$70,Ins!F8,Tim!$C$5:$C$70)+SUMIF(Tim!$HR$5:$HR$70,Ins!F8,Tim!$C$5:$C$70)+SUMIF(Tim!$HS$5:$HS$70,Ins!F8,Tim!$C$5:$C$70)+SUMIF(Tim!$HT$5:$HT$70,Ins!F8,Tim!$C$5:$C$70)+SUMIF(Tim!$HU$5:$HU$70,Ins!F8,Tim!$C$5:$C$70)</f>
        <v>0</v>
      </c>
      <c r="BP8" s="79">
        <f>SUMIF(Tim!$HV$7:$HV$70,Ins!F8,Tim!$B$7:$B$70)</f>
        <v>0</v>
      </c>
      <c r="BQ8" s="80">
        <f>SUMIF(Tim!$HW$7:$HW$70,Ins!F8,Tim!$B$7:$B$70)+SUMIF(Tim!$HX$7:$HX$70,Ins!F8,Tim!$B$7:$B$70)+SUMIF(Tim!$HY$7:$HY$70,Ins!F8,Tim!$B$7:$B$70)+SUMIF(Tim!$HZ$7:$HZ$70,Ins!F8,Tim!$B$7:$B$70)+SUMIF(Tim!$IA$7:$IA$70,Ins!F8,Tim!$B$7:$B$70)+SUMIF(Tim!$IB$7:$IB$70,Ins!F8,Tim!$B$7:$B$70)</f>
        <v>0</v>
      </c>
      <c r="BR8" s="80">
        <f>SUMIF(Tim!$IC$7:$IC$70,Ins!F8,Tim!$B$7:$B$70)+SUMIF(Tim!$ID$7:$ID$70,Ins!F8,Tim!$B$7:$B$70)+SUMIF(Tim!$IE$7:$IE$70,Ins!F8,Tim!$B$7:$B$70)</f>
        <v>0</v>
      </c>
      <c r="BS8" s="80">
        <f>SUMIF(Tim!$IF$7:$IF$70,Ins!F8,Tim!$B$7:$B$70)+SUMIF(Tim!$IG$7:$IG$70,Ins!F8,Tim!$B$7:$B$70)+SUMIF(Tim!$IH$7:$IH$70,Ins!F8,Tim!$B$7:$B$70)+SUMIF(Tim!$II$7:$II$70,Ins!F8,Tim!$B$7:$B$70)+SUMIF(Tim!$IJ$7:$IJ$70,Ins!F8,Tim!$B$7:$B$70)</f>
        <v>0</v>
      </c>
      <c r="BT8" s="80">
        <f>SUMIF(Tim!$IK$7:$IK$70,Ins!F8,Tim!$B$7:$B$70)+SUMIF(Tim!$IL$7:$IL$70,Ins!F8,Tim!$B$7:$B$70)+SUMIF(Tim!$IM$7:$IM$70,Ins!F8,Tim!$B$7:$B$70)</f>
        <v>0</v>
      </c>
      <c r="BU8" s="80">
        <f>SUMIF(Tim!$IN$7:$IN$70,Ins!F8,Tim!$B$7:$B$70)+SUMIF(Tim!$IO$7:$IO$70,Ins!F8,Tim!$B$7:$B$70)+SUMIF(Tim!$IP$7:$IP$70,Ins!F8,Tim!$B$7:$B$70)</f>
        <v>0</v>
      </c>
      <c r="BV8" s="80">
        <f>SUMIF(Tim!$IQ$7:$IQ$70,Ins!F8,Tim!$B$7:$B$70)</f>
        <v>0</v>
      </c>
      <c r="BW8" s="80">
        <f>SUMIF(Tim!$IR$7:$IR$70,Ins!F8,Tim!$D$7:$D$70)+SUMIF(Tim!$IS$7:$IS$70,Ins!F8,Tim!$D$7:$D$70)+SUMIF(Tim!$IT$7:$IT$70,Ins!F8,Tim!$D$7:$D$70)+SUMIF(Tim!$IU$7:$IU$70,Ins!F8,Tim!$D$7:$D$70)+SUMIF(Tim!$IV$7:$IV$70,Ins!F8,Tim!$D$7:$D$70)+SUMIF(Tim!$IW$7:$IW$70,Ins!F8,Tim!$D$7:$D$70)+SUMIF(Tim!$IX$7:$IX$70,Ins!F8,Tim!$D$7:$D$70)+SUMIF(Tim!$IY$7:$IY$70,Ins!F8,Tim!$D$7:$D$70)+SUMIF(Tim!$IZ$7:$IZ$70,Ins!F8,Tim!$D$7:$D$70)+SUMIF(Tim!$JA$7:$JA$70,Ins!F8,Tim!$D$7:$D$70)+SUMIF(Tim!$JB$7:$JB$70,Ins!F8,Tim!$D$7:$D$70)+SUMIF(Tim!$JC$7:$JC$70,Ins!F8,Tim!$D$7:$D$70)</f>
        <v>0</v>
      </c>
      <c r="BX8" s="80">
        <f>SUMIF(Tim!JD$7:JD$70,Ins!F8,Tim!$C$7:$C$70)</f>
        <v>0</v>
      </c>
      <c r="BY8" s="80">
        <f>SUMIF(Tim!JE$7:JE$70,Ins!F8,Tim!$C$7:$C$70)</f>
        <v>0</v>
      </c>
      <c r="BZ8" s="80">
        <f>SUMIF(Tim!JF$7:JF$70,Ins!F8,Tim!$C$7:$C$70)+SUMIF(Tim!JG$7:JG$70,Ins!F8,Tim!$C$7:$C$70)+SUMIF(Tim!JH$7:JH$70,Ins!F8,Tim!$C$7:$C$70)</f>
        <v>0</v>
      </c>
      <c r="CA8" s="81">
        <f>SUMIF(Tim!$JI$7:$JI$70,Ins!F8,Tim!$C$7:$C$70)++SUMIF(Tim!$JJ$7:$JJ$70,Ins!F8,Tim!$C$7:$C$70)+SUMIF(Tim!$JK$7:$JK$70,Ins!F8,Tim!$C$7:$C$70)+SUMIF(Tim!$JL$7:$JL$70,Ins!F8,Tim!$C$7:$C$70)+SUMIF(Tim!$JM$7:$JM$70,Ins!F8,Tim!$C$7:$C$70)</f>
        <v>0</v>
      </c>
      <c r="CB8" s="79">
        <f>SUMIF(Tim!$JN$7:$JN$70,Ins!F8,Tim!$B$7:$B$70)</f>
        <v>0</v>
      </c>
      <c r="CC8" s="80">
        <f>SUMIF(Tim!$JO$7:$JO$70,Ins!F8,Tim!$B$7:$B$70)+SUMIF(Tim!$JP$7:$JP$70,Ins!F8,Tim!$B$7:$B$70)+SUMIF(Tim!$JQ$7:$JQ$70,Ins!F8,Tim!$B$7:$B$70)+SUMIF(Tim!$JR$7:$JR$70,Ins!F8,Tim!$B$7:$B$70)+SUMIF(Tim!$JS$7:$JS$70,Ins!F8,Tim!$B$7:$B$70)+SUMIF(Tim!$JT$7:$JT$70,Ins!F8,Tim!$B$7:$B$70)</f>
        <v>0</v>
      </c>
      <c r="CD8" s="80">
        <f>SUMIF(Tim!$JW$7:$JW$70,Ins!F8,Tim!$B$7:$B$70)+SUMIF(Tim!$JU$7:$JU$70,Ins!F8,Tim!$B$7:$B$70)+SUMIF(Tim!$JV$7:$JV$70,Ins!F8,Tim!$B$7:$B$70)</f>
        <v>0</v>
      </c>
      <c r="CE8" s="80">
        <f>SUMIF(Tim!$JX$7:$JX$70,Ins!F8,Tim!$B$7:$B$70)+SUMIF(Tim!$JY$7:$JY$70,Ins!F8,Tim!$B$7:$B$70)+SUMIF(Tim!$JZ$7:$JZ$70,Ins!F8,Tim!$B$7:$B$70)+SUMIF(Tim!$KA$7:$KA$70,Ins!F8,Tim!$B$7:$B$70)+SUMIF(Tim!$KB$7:$KB$70,Ins!F8,Tim!$B$7:$B$70)</f>
        <v>0</v>
      </c>
      <c r="CF8" s="80">
        <f>SUMIF(Tim!$KE$7:$KE$70,Ins!F8,Tim!$B$7:$B$70)+SUMIF(Tim!$KC$7:$KC$70,Ins!F8,Tim!$B$7:$B$70)+SUMIF(Tim!$KD$7:$KD$70,Ins!F8,Tim!$B$7:$B$70)</f>
        <v>0</v>
      </c>
      <c r="CG8" s="80">
        <f>SUMIF(Tim!$KF$7:$KF$70,Ins!F8,Tim!$B$7:$B$70)+SUMIF(Tim!$KG$7:$KG$70,Ins!F8,Tim!$B$7:$B$70)+SUMIF(Tim!$KH$7:$KH$70,Ins!F8,Tim!$B$7:$B$70)</f>
        <v>0</v>
      </c>
      <c r="CH8" s="80">
        <f>SUMIF(Tim!$KI$7:$KI$70,Ins!F8,Tim!$B$7:$B$70)</f>
        <v>0</v>
      </c>
      <c r="CI8" s="80">
        <f>SUMIF(Tim!$KJ$7:$KJ$70,Ins!F8,Tim!$D$7:$D$70)+SUMIF(Tim!$KK$7:$KK$70,Ins!F8,Tim!$D$7:$D$70)+SUMIF(Tim!$KL$7:$KL$70,Ins!F8,Tim!$D$7:$D$70)+SUMIF(Tim!$KM$7:$KM$70,Ins!F8,Tim!$D$7:$D$70)+SUMIF(Tim!$KN$7:$KN$70,Ins!F8,Tim!$D$7:$D$70)+SUMIF(Tim!$KO$7:$KO$70,Ins!F8,Tim!$D$7:$D$70)+SUMIF(Tim!$KP$7:$KP$70,Ins!F8,Tim!$D$7:$D$70)+SUMIF(Tim!$KQ$7:$KQ$70,Ins!F8,Tim!$D$7:$D$70)+SUMIF(Tim!$KR$7:$KR$70,Ins!F8,Tim!$D$7:$D$70)+SUMIF(Tim!$KS$7:$KS$70,Ins!F8,Tim!$D$7:$D$70)+SUMIF(Tim!$KT$7:$KT$70,Ins!F8,Tim!$D$7:$D$70)+SUMIF(Tim!$KU$7:$KU$70,Ins!F8,Tim!$D$7:$D$70)</f>
        <v>0</v>
      </c>
      <c r="CJ8" s="80">
        <f>SUMIF(Tim!KV$7:KV$70,Ins!F8,Tim!$C$7:$C$70)</f>
        <v>0</v>
      </c>
      <c r="CK8" s="80">
        <f>SUMIF(Tim!KW$7:KW$70,Ins!F8,Tim!$C$7:$C$70)</f>
        <v>0</v>
      </c>
      <c r="CL8" s="80">
        <f>SUMIF(Tim!KX$7:KX$70,Ins!F8,Tim!$C$7:$C$70)+SUMIF(Tim!KY$7:KY$70,Ins!F8,Tim!$C$7:$C$70)+SUMIF(Tim!KZ$7:KZ$70,Ins!F8,Tim!$C$7:$C$70)</f>
        <v>0</v>
      </c>
      <c r="CM8" s="81">
        <f>SUMIF(Tim!$LA$7:$LA$70,Ins!F8,Tim!$C$7:$C$70)+SUMIF(Tim!$LB$7:$LB$70,Ins!F8,Tim!$C$7:$C$70)+SUMIF(Tim!$LC$7:$LC$70,Ins!F8,Tim!$C$7:$C$70)+SUMIF(Tim!$LD$7:$LD$70,Ins!F8,Tim!$C$7:$C$70)+SUMIF(Tim!$LE$7:$LE$70,Ins!F8,Tim!$C$7:$C$70)</f>
        <v>0</v>
      </c>
      <c r="CN8" s="22"/>
      <c r="CO8" s="180">
        <f t="shared" ref="CO8:CO10" si="28">H8+T8+AF8+AR8+BD8+BP8+CB8</f>
        <v>0</v>
      </c>
      <c r="CP8" s="179">
        <f t="shared" ref="CP8:CP10" si="29">I8+U8+AG8+AS8+BE8+BQ8+CC8</f>
        <v>0</v>
      </c>
      <c r="CQ8" s="179">
        <f t="shared" ref="CQ8:CQ10" si="30">J8+V8+AH8+AT8+BF8+BR8+CD8</f>
        <v>0</v>
      </c>
      <c r="CR8" s="179">
        <f t="shared" ref="CR8:CR10" si="31">K8+W8+AI8+AU8+BG8+BS8+CE8</f>
        <v>0</v>
      </c>
      <c r="CS8" s="179">
        <f t="shared" ref="CS8:CS10" si="32">L8+X8+AJ8+AV8+BH8+BT8+CF8</f>
        <v>0</v>
      </c>
      <c r="CT8" s="179">
        <f t="shared" ref="CT8:CT10" si="33">M8+Y8+AK8+AW8+BI8+BU8+CG8</f>
        <v>0</v>
      </c>
      <c r="CU8" s="179">
        <f t="shared" ref="CU8:CU10" si="34">N8+Z8+AL8+AX8+BJ8+BV8+CH8</f>
        <v>0</v>
      </c>
      <c r="CV8" s="179">
        <f t="shared" ref="CV8:CV10" si="35">O8+AA8+AM8+AY8+BK8+BW8+CI8</f>
        <v>0</v>
      </c>
      <c r="CW8" s="179">
        <f t="shared" ref="CW8:CW10" si="36">P8+AB8+AN8+AZ8+BL8+BX8+CJ8</f>
        <v>0</v>
      </c>
      <c r="CX8" s="179">
        <f t="shared" ref="CX8:CX10" si="37">Q8+AC8+AO8+BA8+BM8+BY8+CK8</f>
        <v>0</v>
      </c>
      <c r="CY8" s="179">
        <f t="shared" ref="CY8:CY10" si="38">R8+AD8+AP8+BB8+BN8+BZ8+CL8</f>
        <v>0</v>
      </c>
      <c r="CZ8" s="179">
        <f t="shared" ref="CZ8:CZ10" si="39">S8+AE8+AQ8+BC8+BO8+CA8+CM8</f>
        <v>0</v>
      </c>
      <c r="DA8" s="78">
        <f t="shared" ref="DA8:DA10" si="40">SUM(CO8:CZ8)</f>
        <v>0</v>
      </c>
      <c r="DB8" s="16"/>
      <c r="DC8" s="34">
        <f t="shared" ref="DC8:DC10" si="41">SUM(H8:S8)</f>
        <v>0</v>
      </c>
      <c r="DD8" s="34">
        <f t="shared" ref="DD8:DD10" si="42">SUM(T8:AE8)</f>
        <v>0</v>
      </c>
      <c r="DE8" s="34">
        <f t="shared" ref="DE8:DE10" si="43">SUM(AF8:AQ8)</f>
        <v>0</v>
      </c>
      <c r="DF8" s="34">
        <f t="shared" ref="DF8:DF10" si="44">SUM(AR8:BC8)</f>
        <v>0</v>
      </c>
      <c r="DG8" s="34">
        <f t="shared" ref="DG8:DG10" si="45">SUM(BD8:BO8)</f>
        <v>0</v>
      </c>
      <c r="DH8" s="34">
        <f t="shared" ref="DH8:DH10" si="46">SUM(BP8:CA8)</f>
        <v>0</v>
      </c>
      <c r="DI8" s="34">
        <f t="shared" ref="DI8:DI10" si="47">SUM(CB8:CM8)</f>
        <v>0</v>
      </c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7"/>
    </row>
    <row r="9" spans="1:125" ht="12" hidden="1" customHeight="1">
      <c r="A9" s="10">
        <v>7</v>
      </c>
      <c r="B9" s="229" t="s">
        <v>372</v>
      </c>
      <c r="C9" s="50"/>
      <c r="D9" s="230"/>
      <c r="E9" s="230"/>
      <c r="F9" s="297" t="s">
        <v>89</v>
      </c>
      <c r="G9" s="231" t="s">
        <v>192</v>
      </c>
      <c r="H9" s="79">
        <f>SUMIF(Tim!$F$7:$F$70,Ins!F9,Tim!$B$7:$B$70)</f>
        <v>0</v>
      </c>
      <c r="I9" s="80">
        <f>SUMIF(Tim!$G$7:$G$70,Ins!F9,Tim!$B$7:$B$70)+SUMIF(Tim!$H$7:$H$70,Ins!F9,Tim!$B$7:$B$70)+SUMIF(Tim!$I$7:$I$70,Ins!F9,Tim!$B$7:$B$70)+SUMIF(Tim!$J$7:$J$70,Ins!F9,Tim!$B$7:$B$70)+SUMIF(Tim!$K$7:$K$70,Ins!F9,Tim!$B$7:$B$70)+SUMIF(Tim!$L$7:$L$70,Ins!F9,Tim!$B$7:$B$70)</f>
        <v>0</v>
      </c>
      <c r="J9" s="80">
        <f>SUMIF(Tim!$M$7:$M$70,Ins!F9,Tim!$B$7:$B$70)+SUMIF(Tim!$O$7:$O$70,Ins!F9,Tim!$B$7:$B$70)+SUMIF(Tim!$N$7:$N$70,Ins!F9,Tim!$B$7:$B$70)</f>
        <v>0</v>
      </c>
      <c r="K9" s="80">
        <f>SUMIF(Tim!$P$7:$P$70,Ins!F9,Tim!$B$7:$B$70)+SUMIF(Tim!$Q$7:$Q$70,Ins!F9,Tim!$B$7:$B$70)+SUMIF(Tim!$R$7:$R$70,Ins!F9,Tim!$B$7:$B$70)+SUMIF(Tim!$S$7:$S$70,Ins!F9,Tim!$B$7:$B$70)+SUMIF(Tim!$T$7:$T$70,Ins!F9,Tim!$B$7:$B$70)</f>
        <v>0</v>
      </c>
      <c r="L9" s="80">
        <f>SUMIF(Tim!$U$7:$U$70,Ins!F9,Tim!$B$7:$B$70)+SUMIF(Tim!$W$7:$W$70,Ins!F9,Tim!$B$7:$B$70)+SUMIF(Tim!$X$7:$X$70,Ins!F9,Tim!$B$7:$B$70)</f>
        <v>0</v>
      </c>
      <c r="M9" s="80">
        <f>SUMIF(Tim!$Y$7:$Y$70,Ins!F9,Tim!$B$7:$B$70)+SUMIF(Tim!$Z$7:$Z$70,Ins!F9,Tim!$B$7:$B$70)+SUMIF(Tim!$AA$7:$AA$70,Ins!F9,Tim!$B$7:$B$70)</f>
        <v>0</v>
      </c>
      <c r="N9" s="80">
        <f>SUMIF(Tim!$AB$7:$AB$70,Ins!F9,Tim!$B$7:$B$70)</f>
        <v>0</v>
      </c>
      <c r="O9" s="80">
        <f>SUMIF(Tim!$AC$7:$AC$70,Ins!F9,Tim!$D$7:$D$70)+SUMIF(Tim!$AD$7:$AD$70,Ins!F9,Tim!$D$7:$D$70)+SUMIF(Tim!$AE$7:$AE$70,Ins!F9,Tim!$D$7:$D$70)+SUMIF(Tim!$AF$7:$AF$70,Ins!F9,Tim!$D$7:$D$70)+SUMIF(Tim!$AG$7:$AG$70,Ins!F9,Tim!$D$7:$D$70)+SUMIF(Tim!$AH$7:$AH$70,Ins!F9,Tim!$D$7:$D$70)+SUMIF(Tim!$AI$7:$AI$70,Ins!F9,Tim!$D$7:$D$70)+SUMIF(Tim!$AJ$7:$AJ$70,Ins!F9,Tim!$D$7:$D$70)+SUMIF(Tim!$AK$7:$AK$70,Ins!F9,Tim!$D$7:$D$70)+SUMIF(Tim!$AL$7:$AL$70,Ins!F9,Tim!$D$7:$D$70)+SUMIF(Tim!$AM$7:$AM$70,Ins!F9,Tim!$D$7:$D$70)+SUMIF(Tim!$AN$7:$AN$70,Ins!F9,Tim!$D$7:$D$70)</f>
        <v>2.25</v>
      </c>
      <c r="P9" s="80">
        <f>SUMIF(Tim!AO$7:AO$70,Ins!F9,Tim!$C$7:$C$70)</f>
        <v>0</v>
      </c>
      <c r="Q9" s="80">
        <f>SUMIF(Tim!AP$7:AP$70,Ins!F9,Tim!$C$7:$C$70)</f>
        <v>0</v>
      </c>
      <c r="R9" s="80">
        <f>SUMIF(Tim!AQ$7:AQ$70,Ins!F9,Tim!$C$7:$C$70)+SUMIF(Tim!AR$7:AR$70,Ins!F9,Tim!$C$7:$C$70)+SUMIF(Tim!AS$7:AS$70,Ins!F9,Tim!$C$7:$C$70)</f>
        <v>0</v>
      </c>
      <c r="S9" s="236">
        <f>SUMIF(Tim!$AT$7:$AT$70,Ins!F9,Tim!$C$7:$C$70)+SUMIF(Tim!$AU$7:$AU$70,Ins!F9,Tim!$C$7:$C76)+SUMIF(Tim!$AV$7:$AV$70,Ins!F9,Tim!$C$7:$C$70)+SUMIF(Tim!$AW$7:$AW$70,Ins!F9,Tim!$C$7:$C$70)+SUMIF(Tim!$AX$7:$AX$70,Ins!F9,Tim!$C$7:$C$70)</f>
        <v>0</v>
      </c>
      <c r="T9" s="79">
        <f>SUMIF(Tim!$AY$7:$AY$70,Ins!F9,Tim!$B$7:$B$70)</f>
        <v>0</v>
      </c>
      <c r="U9" s="80">
        <f>SUMIF(Tim!$AZ$7:$AZ$70,Ins!F9,Tim!$B$7:$B$70)+SUMIF(Tim!$BA$7:$BA$70,Ins!F9,Tim!$B$7:$B$70)+SUMIF(Tim!$BB$7:$BB$70,Ins!F9,Tim!$B$7:$B$70)+SUMIF(Tim!$BC$7:$BC$70,Ins!F9,Tim!$B$7:$B$70)+SUMIF(Tim!$BD$7:$BD$70,Ins!F9,Tim!$B$7:$B$70)+SUMIF(Tim!$BE$7:$BE$70,Ins!F9,Tim!$B$7:$B$70)</f>
        <v>0</v>
      </c>
      <c r="V9" s="80">
        <f>SUMIF(Tim!$BF$7:$BF$70,Ins!F9,Tim!$B$7:$B$70)+SUMIF(Tim!$BG$7:$BG$70,Ins!F9,Tim!$B$7:$B$70)+SUMIF(Tim!$BH$7:$BH$70,Ins!F9,Tim!$B$7:$B$70)</f>
        <v>0</v>
      </c>
      <c r="W9" s="80">
        <f>SUMIF(Tim!$BI$7:$BI$70,Ins!F9,Tim!$B$7:$B$70)+SUMIF(Tim!$BJ$7:$BJ$70,Ins!F9,Tim!$B$7:$B$70)+SUMIF(Tim!$BK$7:$BK$70,Ins!F9,Tim!$B$7:$B$70)+SUMIF(Tim!$BL$7:$BL$70,Ins!F9,Tim!$B$7:$B$70)+SUMIF(Tim!$BM$7:$BM$70,Ins!F9,Tim!$B$7:$B$70)</f>
        <v>0</v>
      </c>
      <c r="X9" s="80">
        <f>SUMIF(Tim!$BN$7:$BN$70,Ins!F9,Tim!$B$7:$B$70)+SUMIF(Tim!$BO$7:$BO$70,Ins!F9,Tim!$B$7:$B$70)+SUMIF(Tim!$BP$7:$BP$70,Ins!F9,Tim!$B$7:$B$70)</f>
        <v>0</v>
      </c>
      <c r="Y9" s="80">
        <f>SUMIF(Tim!$BQ$7:$BQ$70,Ins!F9,Tim!$B$7:$B$70)+SUMIF(Tim!$BR$7:$BR$70,Ins!F9,Tim!$B$7:$B$70)+SUMIF(Tim!$BS$7:$BS$70,Ins!F9,Tim!$B$7:$B$70)</f>
        <v>0</v>
      </c>
      <c r="Z9" s="80">
        <f>SUMIF(Tim!BT$7:BT$70,Ins!F9,Tim!$B$7:$B$70)</f>
        <v>0</v>
      </c>
      <c r="AA9" s="80">
        <f>SUMIF(Tim!$BU$7:$BU$70,Ins!F9,Tim!$D$7:$D$70)+SUMIF(Tim!$BV$7:$BV$70,Ins!F9,Tim!$D$7:$D$70)+SUMIF(Tim!$BW$7:$BW$70,Ins!F9,Tim!$D$7:$D$70)+SUMIF(Tim!$BX$7:$BX$70,Ins!F9,Tim!$D$7:$D$70)+SUMIF(Tim!$BY$7:$BY$70,Ins!F9,Tim!$D$7:$D$70)+SUMIF(Tim!$BZ$7:$BZ$70,Ins!F9,Tim!$D$7:$D$70)+SUMIF(Tim!$CA$7:$CA$70,Ins!F9,Tim!$D$7:$D$70)+SUMIF(Tim!$CB$7:$CB$70,Ins!F9,Tim!$D$7:$D$70)+SUMIF(Tim!$CC$7:$CC$70,Ins!F9,Tim!$D$7:$D$70)+SUMIF(Tim!$CD$7:$CD$70,Ins!F9,Tim!$D$7:$D$70)+SUMIF(Tim!$CE$7:$CE$70,Ins!F9,Tim!$D$7:$D$70)+SUMIF(Tim!$CF$7:$CF$70,Ins!F9,Tim!$D$7:$D$70)</f>
        <v>0</v>
      </c>
      <c r="AB9" s="80">
        <f>SUMIF(Tim!CG$7:CG$70,Ins!F9,Tim!$C$7:$C$70)</f>
        <v>0</v>
      </c>
      <c r="AC9" s="80">
        <f>SUMIF(Tim!CH$7:CH$70,Ins!F9,Tim!$C$7:$C$70)</f>
        <v>0</v>
      </c>
      <c r="AD9" s="80">
        <f>SUMIF(Tim!CI$7:CI$70,Ins!F9,Tim!$C$7:$C$70)+SUMIF(Tim!CJ$7:CJ$70,Ins!F9,Tim!$C$7:$C$70)+SUMIF(Tim!CK$7:CK$70,Ins!F9,Tim!$C$7:$C$70)</f>
        <v>0</v>
      </c>
      <c r="AE9" s="81">
        <f>SUMIF(Tim!$CL$7:$CL$70,Ins!F9,Tim!$C$7:$C$70)+SUMIF(Tim!$CM$7:$CM$70,Ins!F9,Tim!$C$7:$C$70)+SUMIF(Tim!$CN$7:$CN$70,Ins!F9,Tim!$C$7:$C$70)+SUMIF(Tim!$CO$7:$CO$70,Ins!F9,Tim!$C$7:$C$70)+SUMIF(Tim!$CP$7:$CP$70,Ins!F9,Tim!$C$7:$C$70)</f>
        <v>0</v>
      </c>
      <c r="AF9" s="79">
        <f>SUMIF(Tim!$CQ$7:$CQ$70,Ins!F9,Tim!$B$7:$B$70)</f>
        <v>0</v>
      </c>
      <c r="AG9" s="80">
        <f>SUMIF(Tim!$CR$7:$CR$70,Ins!F9,Tim!$B$7:$B$70)+SUMIF(Tim!$CS$7:$CS$70,Ins!F9,Tim!$B$7:$B$70)+SUMIF(Tim!$CT$7:$CT$70,Ins!F9,Tim!$B$7:$B$70)+SUMIF(Tim!$CU$7:$CU$70,Ins!F9,Tim!$B$7:$B$70)+SUMIF(Tim!$CV$7:$CV$70,Ins!F9,Tim!$B$7:$B$70)+SUMIF(Tim!$CW$7:$CW$70,Ins!F9,Tim!$B$7:$B$70)</f>
        <v>0</v>
      </c>
      <c r="AH9" s="80">
        <f>SUMIF(Tim!$CX$7:$CX$70,Ins!F9,Tim!$B$7:$B$70)+SUMIF(Tim!$CY$7:$CY$70,Ins!F9,Tim!$B$7:$B$70)+SUMIF(Tim!$CZ$7:$CZ$70,Ins!F9,Tim!$B$7:$B$70)</f>
        <v>0</v>
      </c>
      <c r="AI9" s="80">
        <f>SUMIF(Tim!$DA$7:$DA$70,Ins!F9,Tim!$B$7:$B$70)+SUMIF(Tim!$DB$7:$DB$70,Ins!F9,Tim!$B$7:$B$70)+SUMIF(Tim!$DC$7:$DC$70,Ins!F9,Tim!$B$7:$B$70)+SUMIF(Tim!$DD$7:$DD$70,Ins!F9,Tim!$B$7:$B$70)+SUMIF(Tim!$DE$7:$DE$70,Ins!F9,Tim!$B$7:$B$70)</f>
        <v>0.5</v>
      </c>
      <c r="AJ9" s="80">
        <f>SUMIF(Tim!$DF$7:$DF$70,Ins!F9,Tim!$B$7:$B$70)+SUMIF(Tim!$DG$7:$DG$70,Ins!F9,Tim!$B$7:$B$70)+SUMIF(Tim!$DH$7:$DH$70,Ins!F9,Tim!$B$7:$B$70)</f>
        <v>0</v>
      </c>
      <c r="AK9" s="80">
        <f>SUMIF(Tim!DI$7:DI$70,Ins!F9,Tim!$B$7:$B$70)+SUMIF(Tim!DM$7:DM$70,Ins!F9,Tim!$B$7:$B$70)+SUMIF(Tim!DN$7:DN$70,Ins!F9,Tim!$B$7:$B$70)</f>
        <v>0</v>
      </c>
      <c r="AL9" s="80">
        <f>SUMIF(Tim!DO$7:DO$70,Ins!F9,Tim!$B$7:$B$70)</f>
        <v>0</v>
      </c>
      <c r="AM9" s="80">
        <f>SUMIF(Tim!$DP$7:$DP$70,Ins!F9,Tim!$D$7:$D$70)+SUMIF(Tim!$DQ$7:$DQ$70,Ins!F9,Tim!$D$7:$D$70)+SUMIF(Tim!$DR$7:$DR$70,Ins!F9,Tim!$D$7:$D$70)+SUMIF(Tim!$DS$7:$DS$70,Ins!F9,Tim!$D$7:$D$70)+SUMIF(Tim!$DT$7:$DT$70,Ins!F9,Tim!$D$7:$D$70)+SUMIF(Tim!$DU$7:$DU$70,Ins!F9,Tim!$D$7:$D$70)+SUMIF(Tim!$DV$7:$DV$70,Ins!F9,Tim!$D$7:$D$70)+SUMIF(Tim!$DW$7:$DW$70,Ins!F9,Tim!$D$7:$D$70)+SUMIF(Tim!$DX$7:$DX$70,Ins!F9,Tim!$D$7:$D$70)+SUMIF(Tim!$DY$7:$DY$70,Ins!F9,Tim!$D$7:$D$70)+SUMIF(Tim!$DZ$7:$DZ$70,Ins!F9,Tim!$D$7:$D$70)+SUMIF(Tim!$EA$7:$EA$70,Ins!F9,Tim!$D$7:$D$70)</f>
        <v>2.25</v>
      </c>
      <c r="AN9" s="80">
        <f>SUMIF(Tim!EB$7:EB$70,Ins!F9,Tim!$C$7:$C$70)</f>
        <v>0</v>
      </c>
      <c r="AO9" s="80">
        <f>SUMIF(Tim!EC$7:EC$70,Ins!F9,Tim!$C$7:$C$70)</f>
        <v>0</v>
      </c>
      <c r="AP9" s="80">
        <f>SUMIF(Tim!ED$7:ED$70,Ins!F9,Tim!$C$7:$C$70)+SUMIF(Tim!EE$7:EE$70,Ins!F9,Tim!$C$7:$C$70)+SUMIF(Tim!EF$7:EF$70,Ins!F9,Tim!$C$7:$C$70)</f>
        <v>0</v>
      </c>
      <c r="AQ9" s="81">
        <f>SUMIF(Tim!$EG$7:$EG$70,Ins!F9,Tim!$C$7:$C$70)+SUMIF(Tim!$EH$7:$EH$70,Ins!F9,Tim!$C$7:$C$70)+SUMIF(Tim!$EI$7:$EI$70,Ins!F9,Tim!$C$7:$C$70)+SUMIF(Tim!$EJ$7:$EJ$70,Ins!F9,Tim!$C$7:$C$70)+SUMIF(Tim!$EK$7:$EK$70,Ins!F9,Tim!$C$7:$C$70)</f>
        <v>0</v>
      </c>
      <c r="AR9" s="79">
        <f>SUMIF(Tim!$EL$5:$EL$70,Ins!F9,Tim!$B$5:$B$70)</f>
        <v>0</v>
      </c>
      <c r="AS9" s="80">
        <f>SUMIF(Tim!$EM$5:$EM$70,Ins!F9,Tim!$B$5:$B$70)+SUMIF(Tim!$EN$5:$EN$70,Ins!F9,Tim!$B$5:$B$70)+SUMIF(Tim!$EO$5:$EO$70,Ins!F9,Tim!$B$5:$B$70)+SUMIF(Tim!$EP$5:$EP$70,Ins!F9,Tim!$B$5:$B$70)+SUMIF(Tim!$EQ$5:$EQ$70,Ins!F9,Tim!$B$5:$B$70)+SUMIF(Tim!$ER$5:$ER$70,Ins!F9,Tim!$B$5:$B$70)</f>
        <v>0</v>
      </c>
      <c r="AT9" s="80">
        <f>SUMIF(Tim!$ES$5:$ES$70,Ins!F9,Tim!$B$5:$B$70)+SUMIF(Tim!$ET$5:$ET$70,Ins!F9,Tim!$B$5:$B$70)+SUMIF(Tim!$EU$5:$EU$70,Ins!F9,Tim!$B$5:$B$70)</f>
        <v>0</v>
      </c>
      <c r="AU9" s="80">
        <f>SUMIF(Tim!$EV$5:$EV$70,Ins!F9,Tim!$B$5:$B$70)+SUMIF(Tim!$EW$5:$EW$70,Ins!F9,Tim!$B$5:$B$70)+SUMIF(Tim!$EX$5:$EX$70,Ins!F9,Tim!$B$5:$B$70)+SUMIF(Tim!$EY$5:$EY$70,Ins!F9,Tim!$B$5:$B$70)+SUMIF(Tim!$EZ$5:$EZ$70,Ins!F9,Tim!$B$5:$B$70)</f>
        <v>0</v>
      </c>
      <c r="AV9" s="80">
        <f>SUMIF(Tim!$FA$5:$FA$70,Ins!F9,Tim!$B$5:$B$70)+SUMIF(Tim!$FB$5:$FB$70,Ins!F9,Tim!$B$5:$B$70)+SUMIF(Tim!$FC$5:$FC$70,Ins!F9,Tim!$B$5:$B$70)</f>
        <v>0</v>
      </c>
      <c r="AW9" s="80">
        <f>SUMIF(Tim!FD$5:FD$70,Ins!F9,Tim!$B$5:$B$70)+SUMIF(Tim!FE$5:FE$70,Ins!F9,Tim!$B$5:$B$70)+SUMIF(Tim!FF$5:FF$70,Ins!F9,Tim!$B$5:$B$70)</f>
        <v>0</v>
      </c>
      <c r="AX9" s="80">
        <f>SUMIF(Tim!FG$5:FG$70,Ins!F9,Tim!$B$5:$B$70)</f>
        <v>0</v>
      </c>
      <c r="AY9" s="80">
        <f>SUMIF(Tim!$FH$5:$FH$70,Ins!F9,Tim!$D$5:$D$70)+SUMIF(Tim!$FI$5:$FI$70,Ins!F9,Tim!$D$5:$D$70)+SUMIF(Tim!$FJ$5:$FJ$70,Ins!F9,Tim!$D$5:$D$70)+SUMIF(Tim!$FK$5:$FK$70,Ins!F9,Tim!$D$5:$D$70)+SUMIF(Tim!$FL$5:$FL$70,Ins!F9,Tim!$D$5:$D$70)+SUMIF(Tim!$FM$5:$FM$70,Ins!F9,Tim!$D$5:$D$70)+SUMIF(Tim!$FN$5:$FN$70,Ins!F9,Tim!$D$5:$D$70)+SUMIF(Tim!$FO$5:$FO$70,Ins!F9,Tim!$D$5:$D$70)+SUMIF(Tim!$FP$5:$FP$70,Ins!F9,Tim!$D$5:$D$70)+SUMIF(Tim!$FQ$5:$FQ$70,Ins!F9,Tim!$D$5:$D$70)+SUMIF(Tim!$FR$5:$FR$70,Ins!F9,Tim!$D$5:$D$70)+SUMIF(Tim!$FS$5:$FS$70,Ins!F9,Tim!$D$5:$D$70)</f>
        <v>0</v>
      </c>
      <c r="AZ9" s="80">
        <f>SUMIF(Tim!FT$5:FT$70,Ins!F9,Tim!$C$5:$C$70)</f>
        <v>0</v>
      </c>
      <c r="BA9" s="80">
        <f>SUMIF(Tim!FU$5:FU$70,Ins!F9,Tim!$C$5:$C$70)</f>
        <v>0</v>
      </c>
      <c r="BB9" s="80">
        <f>SUMIF(Tim!FV$5:FV$70,Ins!F9,Tim!$C$5:$C$70)+SUMIF(Tim!FW$5:FW$70,Ins!F9,Tim!$C$5:$C$70)+SUMIF(Tim!FX$5:FX$70,Ins!F9,Tim!$C$5:$C$70)</f>
        <v>0</v>
      </c>
      <c r="BC9" s="81">
        <f>SUMIF(Tim!$FY$5:$FY$70,Ins!F9,Tim!$C$5:$C$70)+SUMIF(Tim!$FZ$5:$FZ$70,Ins!F9,Tim!$C$5:$C$70)+SUMIF(Tim!$GA$5:$GA$70,Ins!F9,Tim!$C$5:$C$70)+SUMIF(Tim!$GB$5:$GB$70,Ins!F9,Tim!$C$5:$C$70)+SUMIF(Tim!$GC$5:$GC$70,Ins!F9,Tim!$C$5:$C$70)</f>
        <v>0</v>
      </c>
      <c r="BD9" s="79">
        <f>SUMIF(Tim!$GD$5:$GD$70,Ins!F9,Tim!$B$5:$B$70)</f>
        <v>0</v>
      </c>
      <c r="BE9" s="80">
        <f>SUMIF(Tim!$GE$5:$GE$70,Ins!F9,Tim!$B$5:$B$70)+SUMIF(Tim!$GF$5:$GF$70,Ins!F9,Tim!$B$5:$B$70)+SUMIF(Tim!$GG$5:$GG$70,Ins!F9,Tim!$B$5:$B$70)+SUMIF(Tim!$GH$5:$GH$70,Ins!F9,Tim!$B$5:$B$70)+SUMIF(Tim!$GI$5:$GI$70,Ins!F9,Tim!$B$5:$B$70)+SUMIF(Tim!$GJ$5:$GJ$70,Ins!F9,Tim!$B$5:$B$70)</f>
        <v>0</v>
      </c>
      <c r="BF9" s="80">
        <f>SUMIF(Tim!$GK$5:$GK$70,Ins!F9,Tim!$B$5:$B$70)+SUMIF(Tim!$GL$5:$GL$70,Ins!F9,Tim!$B$5:$B$70)+SUMIF(Tim!$GM$5:$GM$70,Ins!F9,Tim!$B$5:$B$70)</f>
        <v>0</v>
      </c>
      <c r="BG9" s="80">
        <f>SUMIF(Tim!$GN$5:$GN$70,Ins!F9,Tim!$B$5:$B$70)+SUMIF(Tim!$GO$5:$GO$70,Ins!F9,Tim!$B$5:$B$70)+SUMIF(Tim!$GP$5:$GP$70,Ins!F9,Tim!$B$5:$B$70)+SUMIF(Tim!$GQ$5:$GQ$70,Ins!F9,Tim!$B$5:$B$70)+SUMIF(Tim!$GR$5:$GR$70,Ins!F9,Tim!$B$5:$B$70)</f>
        <v>0</v>
      </c>
      <c r="BH9" s="80">
        <f>SUMIF(Tim!$GS$5:$GS$70,Ins!F9,Tim!$B$5:$B$70)+SUMIF(Tim!$GT$5:$GT$70,Ins!F9,Tim!$B$5:$B$70)+SUMIF(Tim!$GU$5:$GU$70,Ins!F9,Tim!$B$5:$B$70)</f>
        <v>0</v>
      </c>
      <c r="BI9" s="80">
        <f>SUMIF(Tim!GV$5:GV$70,Ins!F9,Tim!$B$5:$B$70)+SUMIF(Tim!GW$5:GW$70,Ins!F9,Tim!$B$5:$B$70)+SUMIF(Tim!GX$5:GX$70,Ins!F9,Tim!$B$5:$B$70)</f>
        <v>0</v>
      </c>
      <c r="BJ9" s="80">
        <f>SUMIF(Tim!GY$5:GY$70,Ins!F9,Tim!$B$5:$B$70)</f>
        <v>0</v>
      </c>
      <c r="BK9" s="80">
        <f>SUMIF(Tim!$GZ$5:$GZ$70,Ins!F9,Tim!$D$5:$D$70)+SUMIF(Tim!$HA$5:$HA$70,Ins!F9,Tim!$D$5:$D$70)+SUMIF(Tim!$HB$5:$HB$70,Ins!F9,Tim!$D$5:$D$70)++SUMIF(Tim!$HC$5:$HC$70,Ins!F9,Tim!$D$5:$D$70)+SUMIF(Tim!$HD$5:$HD$70,Ins!F9,Tim!$D$5:$D$70)+SUMIF(Tim!$HE$5:$HE$70,Ins!F9,Tim!$D$5:$D$70)+SUMIF(Tim!$HF$5:$HF$70,Ins!F9,Tim!$D$5:$D$70)+SUMIF(Tim!$HG$5:$HG$70,Ins!F9,Tim!$D$5:$D$70)+SUMIF(Tim!$HH$5:$HH$70,Ins!F9,Tim!$D$5:$D$70)+SUMIF(Tim!$HI$5:$HI$70,Ins!F9,Tim!$D$5:$D$70)+SUMIF(Tim!$HJ$5:$HJ$70,Ins!F9,Tim!$D$5:$D$70)+SUMIF(Tim!$HK$5:$HK$70,Ins!F9,Tim!$D$5:$D$70)</f>
        <v>0</v>
      </c>
      <c r="BL9" s="80">
        <f>SUMIF(Tim!HL$5:HL$70,Ins!F9,Tim!$C$5:$C$70)</f>
        <v>0</v>
      </c>
      <c r="BM9" s="80">
        <f>SUMIF(Tim!HM$5:HM$70,Ins!F9,Tim!$C$5:$C$70)</f>
        <v>0</v>
      </c>
      <c r="BN9" s="80">
        <f>SUMIF(Tim!HN$5:HN$70,Ins!F9,Tim!$C$5:$C$70)+SUMIF(Tim!HO$5:HO$70,Ins!F9,Tim!$C$5:$C$70)+SUMIF(Tim!HP$5:HP$70,Ins!F9,Tim!$C$5:$C$70)</f>
        <v>0</v>
      </c>
      <c r="BO9" s="81">
        <f>SUMIF(Tim!$HQ$5:$HQ$70,Ins!F9,Tim!$C$5:$C$70)+SUMIF(Tim!$HR$5:$HR$70,Ins!F9,Tim!$C$5:$C$70)+SUMIF(Tim!$HS$5:$HS$70,Ins!F9,Tim!$C$5:$C$70)+SUMIF(Tim!$HT$5:$HT$70,Ins!F9,Tim!$C$5:$C$70)+SUMIF(Tim!$HU$5:$HU$70,Ins!F9,Tim!$C$5:$C$70)</f>
        <v>0</v>
      </c>
      <c r="BP9" s="79">
        <f>SUMIF(Tim!$HV$7:$HV$70,Ins!F9,Tim!$B$7:$B$70)</f>
        <v>0</v>
      </c>
      <c r="BQ9" s="80">
        <f>SUMIF(Tim!$HW$7:$HW$70,Ins!F9,Tim!$B$7:$B$70)+SUMIF(Tim!$HX$7:$HX$70,Ins!F9,Tim!$B$7:$B$70)+SUMIF(Tim!$HY$7:$HY$70,Ins!F9,Tim!$B$7:$B$70)+SUMIF(Tim!$HZ$7:$HZ$70,Ins!F9,Tim!$B$7:$B$70)+SUMIF(Tim!$IA$7:$IA$70,Ins!F9,Tim!$B$7:$B$70)+SUMIF(Tim!$IB$7:$IB$70,Ins!F9,Tim!$B$7:$B$70)</f>
        <v>0</v>
      </c>
      <c r="BR9" s="80">
        <f>SUMIF(Tim!$IC$7:$IC$70,Ins!F9,Tim!$B$7:$B$70)+SUMIF(Tim!$ID$7:$ID$70,Ins!F9,Tim!$B$7:$B$70)+SUMIF(Tim!$IE$7:$IE$70,Ins!F9,Tim!$B$7:$B$70)</f>
        <v>0</v>
      </c>
      <c r="BS9" s="80">
        <f>SUMIF(Tim!$IF$7:$IF$70,Ins!F9,Tim!$B$7:$B$70)+SUMIF(Tim!$IG$7:$IG$70,Ins!F9,Tim!$B$7:$B$70)+SUMIF(Tim!$IH$7:$IH$70,Ins!F9,Tim!$B$7:$B$70)+SUMIF(Tim!$II$7:$II$70,Ins!F9,Tim!$B$7:$B$70)+SUMIF(Tim!$IJ$7:$IJ$70,Ins!F9,Tim!$B$7:$B$70)</f>
        <v>0</v>
      </c>
      <c r="BT9" s="80">
        <f>SUMIF(Tim!$IK$7:$IK$70,Ins!F9,Tim!$B$7:$B$70)+SUMIF(Tim!$IL$7:$IL$70,Ins!F9,Tim!$B$7:$B$70)+SUMIF(Tim!$IM$7:$IM$70,Ins!F9,Tim!$B$7:$B$70)</f>
        <v>0</v>
      </c>
      <c r="BU9" s="80">
        <f>SUMIF(Tim!$IN$7:$IN$70,Ins!F9,Tim!$B$7:$B$70)+SUMIF(Tim!$IO$7:$IO$70,Ins!F9,Tim!$B$7:$B$70)+SUMIF(Tim!$IP$7:$IP$70,Ins!F9,Tim!$B$7:$B$70)</f>
        <v>0</v>
      </c>
      <c r="BV9" s="80">
        <f>SUMIF(Tim!$IQ$7:$IQ$70,Ins!F9,Tim!$B$7:$B$70)</f>
        <v>0</v>
      </c>
      <c r="BW9" s="80">
        <f>SUMIF(Tim!$IR$7:$IR$70,Ins!F9,Tim!$D$7:$D$70)+SUMIF(Tim!$IS$7:$IS$70,Ins!F9,Tim!$D$7:$D$70)+SUMIF(Tim!$IT$7:$IT$70,Ins!F9,Tim!$D$7:$D$70)+SUMIF(Tim!$IU$7:$IU$70,Ins!F9,Tim!$D$7:$D$70)+SUMIF(Tim!$IV$7:$IV$70,Ins!F9,Tim!$D$7:$D$70)+SUMIF(Tim!$IW$7:$IW$70,Ins!F9,Tim!$D$7:$D$70)+SUMIF(Tim!$IX$7:$IX$70,Ins!F9,Tim!$D$7:$D$70)+SUMIF(Tim!$IY$7:$IY$70,Ins!F9,Tim!$D$7:$D$70)+SUMIF(Tim!$IZ$7:$IZ$70,Ins!F9,Tim!$D$7:$D$70)+SUMIF(Tim!$JA$7:$JA$70,Ins!F9,Tim!$D$7:$D$70)+SUMIF(Tim!$JB$7:$JB$70,Ins!F9,Tim!$D$7:$D$70)+SUMIF(Tim!$JC$7:$JC$70,Ins!F9,Tim!$D$7:$D$70)</f>
        <v>0</v>
      </c>
      <c r="BX9" s="80">
        <f>SUMIF(Tim!JD$7:JD$70,Ins!F9,Tim!$C$7:$C$70)</f>
        <v>0</v>
      </c>
      <c r="BY9" s="80">
        <f>SUMIF(Tim!JE$7:JE$70,Ins!F9,Tim!$C$7:$C$70)</f>
        <v>0</v>
      </c>
      <c r="BZ9" s="80">
        <f>SUMIF(Tim!JF$7:JF$70,Ins!F9,Tim!$C$7:$C$70)+SUMIF(Tim!JG$7:JG$70,Ins!F9,Tim!$C$7:$C$70)+SUMIF(Tim!JH$7:JH$70,Ins!F9,Tim!$C$7:$C$70)</f>
        <v>0</v>
      </c>
      <c r="CA9" s="81">
        <f>SUMIF(Tim!$JI$7:$JI$70,Ins!F9,Tim!$C$7:$C$70)++SUMIF(Tim!$JJ$7:$JJ$70,Ins!F9,Tim!$C$7:$C$70)+SUMIF(Tim!$JK$7:$JK$70,Ins!F9,Tim!$C$7:$C$70)+SUMIF(Tim!$JL$7:$JL$70,Ins!F9,Tim!$C$7:$C$70)+SUMIF(Tim!$JM$7:$JM$70,Ins!F9,Tim!$C$7:$C$70)</f>
        <v>0</v>
      </c>
      <c r="CB9" s="79">
        <f>SUMIF(Tim!$JN$7:$JN$70,Ins!F9,Tim!$B$7:$B$70)</f>
        <v>0</v>
      </c>
      <c r="CC9" s="80">
        <f>SUMIF(Tim!$JO$7:$JO$70,Ins!F9,Tim!$B$7:$B$70)+SUMIF(Tim!$JP$7:$JP$70,Ins!F9,Tim!$B$7:$B$70)+SUMIF(Tim!$JQ$7:$JQ$70,Ins!F9,Tim!$B$7:$B$70)+SUMIF(Tim!$JR$7:$JR$70,Ins!F9,Tim!$B$7:$B$70)+SUMIF(Tim!$JS$7:$JS$70,Ins!F9,Tim!$B$7:$B$70)+SUMIF(Tim!$JT$7:$JT$70,Ins!F9,Tim!$B$7:$B$70)</f>
        <v>0</v>
      </c>
      <c r="CD9" s="80">
        <f>SUMIF(Tim!$JW$7:$JW$70,Ins!F9,Tim!$B$7:$B$70)+SUMIF(Tim!$JU$7:$JU$70,Ins!F9,Tim!$B$7:$B$70)+SUMIF(Tim!$JV$7:$JV$70,Ins!F9,Tim!$B$7:$B$70)</f>
        <v>0</v>
      </c>
      <c r="CE9" s="80">
        <f>SUMIF(Tim!$JX$7:$JX$70,Ins!F9,Tim!$B$7:$B$70)+SUMIF(Tim!$JY$7:$JY$70,Ins!F9,Tim!$B$7:$B$70)+SUMIF(Tim!$JZ$7:$JZ$70,Ins!F9,Tim!$B$7:$B$70)+SUMIF(Tim!$KA$7:$KA$70,Ins!F9,Tim!$B$7:$B$70)+SUMIF(Tim!$KB$7:$KB$70,Ins!F9,Tim!$B$7:$B$70)</f>
        <v>0</v>
      </c>
      <c r="CF9" s="80">
        <f>SUMIF(Tim!$KE$7:$KE$70,Ins!F9,Tim!$B$7:$B$70)+SUMIF(Tim!$KC$7:$KC$70,Ins!F9,Tim!$B$7:$B$70)+SUMIF(Tim!$KD$7:$KD$70,Ins!F9,Tim!$B$7:$B$70)</f>
        <v>0</v>
      </c>
      <c r="CG9" s="80">
        <f>SUMIF(Tim!$KF$7:$KF$70,Ins!F9,Tim!$B$7:$B$70)+SUMIF(Tim!$KG$7:$KG$70,Ins!F9,Tim!$B$7:$B$70)+SUMIF(Tim!$KH$7:$KH$70,Ins!F9,Tim!$B$7:$B$70)</f>
        <v>0</v>
      </c>
      <c r="CH9" s="80">
        <f>SUMIF(Tim!$KI$7:$KI$70,Ins!F9,Tim!$B$7:$B$70)</f>
        <v>0</v>
      </c>
      <c r="CI9" s="80">
        <f>SUMIF(Tim!$KJ$7:$KJ$70,Ins!F9,Tim!$D$7:$D$70)+SUMIF(Tim!$KK$7:$KK$70,Ins!F9,Tim!$D$7:$D$70)+SUMIF(Tim!$KL$7:$KL$70,Ins!F9,Tim!$D$7:$D$70)+SUMIF(Tim!$KM$7:$KM$70,Ins!F9,Tim!$D$7:$D$70)+SUMIF(Tim!$KN$7:$KN$70,Ins!F9,Tim!$D$7:$D$70)+SUMIF(Tim!$KO$7:$KO$70,Ins!F9,Tim!$D$7:$D$70)+SUMIF(Tim!$KP$7:$KP$70,Ins!F9,Tim!$D$7:$D$70)+SUMIF(Tim!$KQ$7:$KQ$70,Ins!F9,Tim!$D$7:$D$70)+SUMIF(Tim!$KR$7:$KR$70,Ins!F9,Tim!$D$7:$D$70)+SUMIF(Tim!$KS$7:$KS$70,Ins!F9,Tim!$D$7:$D$70)+SUMIF(Tim!$KT$7:$KT$70,Ins!F9,Tim!$D$7:$D$70)+SUMIF(Tim!$KU$7:$KU$70,Ins!F9,Tim!$D$7:$D$70)</f>
        <v>0</v>
      </c>
      <c r="CJ9" s="80">
        <f>SUMIF(Tim!KV$7:KV$70,Ins!F9,Tim!$C$7:$C$70)</f>
        <v>0</v>
      </c>
      <c r="CK9" s="80">
        <f>SUMIF(Tim!KW$7:KW$70,Ins!F9,Tim!$C$7:$C$70)</f>
        <v>0</v>
      </c>
      <c r="CL9" s="80">
        <f>SUMIF(Tim!KX$7:KX$70,Ins!F9,Tim!$C$7:$C$70)+SUMIF(Tim!KY$7:KY$70,Ins!F9,Tim!$C$7:$C$70)+SUMIF(Tim!KZ$7:KZ$70,Ins!F9,Tim!$C$7:$C$70)</f>
        <v>0</v>
      </c>
      <c r="CM9" s="81">
        <f>SUMIF(Tim!$LA$7:$LA$70,Ins!F9,Tim!$C$7:$C$70)+SUMIF(Tim!$LB$7:$LB$70,Ins!F9,Tim!$C$7:$C$70)+SUMIF(Tim!$LC$7:$LC$70,Ins!F9,Tim!$C$7:$C$70)+SUMIF(Tim!$LD$7:$LD$70,Ins!F9,Tim!$C$7:$C$70)+SUMIF(Tim!$LE$7:$LE$70,Ins!F9,Tim!$C$7:$C$70)</f>
        <v>0</v>
      </c>
      <c r="CN9" s="22"/>
      <c r="CO9" s="180">
        <f t="shared" si="28"/>
        <v>0</v>
      </c>
      <c r="CP9" s="179">
        <f t="shared" si="29"/>
        <v>0</v>
      </c>
      <c r="CQ9" s="179">
        <f t="shared" si="30"/>
        <v>0</v>
      </c>
      <c r="CR9" s="179">
        <f t="shared" si="31"/>
        <v>0.5</v>
      </c>
      <c r="CS9" s="179">
        <f t="shared" si="32"/>
        <v>0</v>
      </c>
      <c r="CT9" s="179">
        <f t="shared" si="33"/>
        <v>0</v>
      </c>
      <c r="CU9" s="179">
        <f t="shared" si="34"/>
        <v>0</v>
      </c>
      <c r="CV9" s="179">
        <f t="shared" si="35"/>
        <v>4.5</v>
      </c>
      <c r="CW9" s="179">
        <f t="shared" si="36"/>
        <v>0</v>
      </c>
      <c r="CX9" s="179">
        <f t="shared" si="37"/>
        <v>0</v>
      </c>
      <c r="CY9" s="179">
        <f t="shared" si="38"/>
        <v>0</v>
      </c>
      <c r="CZ9" s="179">
        <f t="shared" si="39"/>
        <v>0</v>
      </c>
      <c r="DA9" s="78">
        <f t="shared" si="40"/>
        <v>5</v>
      </c>
      <c r="DB9" s="16"/>
      <c r="DC9" s="34">
        <f t="shared" si="41"/>
        <v>2.25</v>
      </c>
      <c r="DD9" s="34">
        <f t="shared" si="42"/>
        <v>0</v>
      </c>
      <c r="DE9" s="34">
        <f t="shared" si="43"/>
        <v>2.75</v>
      </c>
      <c r="DF9" s="34">
        <f t="shared" si="44"/>
        <v>0</v>
      </c>
      <c r="DG9" s="34">
        <f t="shared" si="45"/>
        <v>0</v>
      </c>
      <c r="DH9" s="34">
        <f t="shared" si="46"/>
        <v>0</v>
      </c>
      <c r="DI9" s="34">
        <f t="shared" si="47"/>
        <v>0</v>
      </c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7"/>
    </row>
    <row r="10" spans="1:125" ht="12" customHeight="1">
      <c r="A10" s="10">
        <v>8</v>
      </c>
      <c r="B10" s="229" t="s">
        <v>410</v>
      </c>
      <c r="C10" s="50"/>
      <c r="D10" s="230"/>
      <c r="E10" s="230"/>
      <c r="F10" s="297" t="s">
        <v>411</v>
      </c>
      <c r="G10" s="231" t="s">
        <v>192</v>
      </c>
      <c r="H10" s="79">
        <f>SUMIF(Tim!$F$7:$F$70,Ins!F10,Tim!$B$7:$B$70)</f>
        <v>4</v>
      </c>
      <c r="I10" s="80">
        <f>SUMIF(Tim!$G$7:$G$70,Ins!F10,Tim!$B$7:$B$70)+SUMIF(Tim!$H$7:$H$70,Ins!F10,Tim!$B$7:$B$70)+SUMIF(Tim!$I$7:$I$70,Ins!F10,Tim!$B$7:$B$70)+SUMIF(Tim!$J$7:$J$70,Ins!F10,Tim!$B$7:$B$70)+SUMIF(Tim!$K$7:$K$70,Ins!F10,Tim!$B$7:$B$70)+SUMIF(Tim!$L$7:$L$70,Ins!F10,Tim!$B$7:$B$70)</f>
        <v>0.25</v>
      </c>
      <c r="J10" s="80">
        <f>SUMIF(Tim!$M$7:$M$70,Ins!F10,Tim!$B$7:$B$70)+SUMIF(Tim!$O$7:$O$70,Ins!F10,Tim!$B$7:$B$70)+SUMIF(Tim!$N$7:$N$70,Ins!F10,Tim!$B$7:$B$70)</f>
        <v>0</v>
      </c>
      <c r="K10" s="80">
        <f>SUMIF(Tim!$P$7:$P$70,Ins!F10,Tim!$B$7:$B$70)+SUMIF(Tim!$Q$7:$Q$70,Ins!F10,Tim!$B$7:$B$70)+SUMIF(Tim!$R$7:$R$70,Ins!F10,Tim!$B$7:$B$70)+SUMIF(Tim!$S$7:$S$70,Ins!F10,Tim!$B$7:$B$70)+SUMIF(Tim!$T$7:$T$70,Ins!F10,Tim!$B$7:$B$70)</f>
        <v>1.5</v>
      </c>
      <c r="L10" s="80">
        <f>SUMIF(Tim!$U$7:$U$70,Ins!F10,Tim!$B$7:$B$70)+SUMIF(Tim!$W$7:$W$70,Ins!F10,Tim!$B$7:$B$70)+SUMIF(Tim!$X$7:$X$70,Ins!F10,Tim!$B$7:$B$70)</f>
        <v>2.25</v>
      </c>
      <c r="M10" s="80">
        <f>SUMIF(Tim!$Y$7:$Y$70,Ins!F10,Tim!$B$7:$B$70)+SUMIF(Tim!$Z$7:$Z$70,Ins!F10,Tim!$B$7:$B$70)+SUMIF(Tim!$AA$7:$AA$70,Ins!F10,Tim!$B$7:$B$70)</f>
        <v>0</v>
      </c>
      <c r="N10" s="80">
        <f>SUMIF(Tim!$AB$7:$AB$70,Ins!F10,Tim!$B$7:$B$70)</f>
        <v>0</v>
      </c>
      <c r="O10" s="80">
        <f>SUMIF(Tim!$AC$7:$AC$70,Ins!F10,Tim!$D$7:$D$70)+SUMIF(Tim!$AD$7:$AD$70,Ins!F10,Tim!$D$7:$D$70)+SUMIF(Tim!$AE$7:$AE$70,Ins!F10,Tim!$D$7:$D$70)+SUMIF(Tim!$AF$7:$AF$70,Ins!F10,Tim!$D$7:$D$70)+SUMIF(Tim!$AG$7:$AG$70,Ins!F10,Tim!$D$7:$D$70)+SUMIF(Tim!$AH$7:$AH$70,Ins!F10,Tim!$D$7:$D$70)+SUMIF(Tim!$AI$7:$AI$70,Ins!F10,Tim!$D$7:$D$70)+SUMIF(Tim!$AJ$7:$AJ$70,Ins!F10,Tim!$D$7:$D$70)+SUMIF(Tim!$AK$7:$AK$70,Ins!F10,Tim!$D$7:$D$70)+SUMIF(Tim!$AL$7:$AL$70,Ins!F10,Tim!$D$7:$D$70)+SUMIF(Tim!$AM$7:$AM$70,Ins!F10,Tim!$D$7:$D$70)+SUMIF(Tim!$AN$7:$AN$70,Ins!F10,Tim!$D$7:$D$70)</f>
        <v>0</v>
      </c>
      <c r="P10" s="80">
        <f>SUMIF(Tim!AO$7:AO$70,Ins!F10,Tim!$C$7:$C$70)</f>
        <v>0</v>
      </c>
      <c r="Q10" s="80">
        <f>SUMIF(Tim!AP$7:AP$70,Ins!F10,Tim!$C$7:$C$70)</f>
        <v>0</v>
      </c>
      <c r="R10" s="80">
        <f>SUMIF(Tim!AQ$7:AQ$70,Ins!F10,Tim!$C$7:$C$70)+SUMIF(Tim!AR$7:AR$70,Ins!F10,Tim!$C$7:$C$70)+SUMIF(Tim!AS$7:AS$70,Ins!F10,Tim!$C$7:$C$70)</f>
        <v>0</v>
      </c>
      <c r="S10" s="236">
        <f>SUMIF(Tim!$AT$7:$AT$70,Ins!F10,Tim!$C$7:$C$70)+SUMIF(Tim!$AU$7:$AU$70,Ins!F10,Tim!$C$7:$C77)+SUMIF(Tim!$AV$7:$AV$70,Ins!F10,Tim!$C$7:$C$70)+SUMIF(Tim!$AW$7:$AW$70,Ins!F10,Tim!$C$7:$C$70)+SUMIF(Tim!$AX$7:$AX$70,Ins!F10,Tim!$C$7:$C$70)</f>
        <v>0</v>
      </c>
      <c r="T10" s="79">
        <f>SUMIF(Tim!$AY$7:$AY$70,Ins!F10,Tim!$B$7:$B$70)</f>
        <v>3.5</v>
      </c>
      <c r="U10" s="80">
        <f>SUMIF(Tim!$AZ$7:$AZ$70,Ins!F10,Tim!$B$7:$B$70)+SUMIF(Tim!$BA$7:$BA$70,Ins!F10,Tim!$B$7:$B$70)+SUMIF(Tim!$BB$7:$BB$70,Ins!F10,Tim!$B$7:$B$70)+SUMIF(Tim!$BC$7:$BC$70,Ins!F10,Tim!$B$7:$B$70)+SUMIF(Tim!$BD$7:$BD$70,Ins!F10,Tim!$B$7:$B$70)+SUMIF(Tim!$BE$7:$BE$70,Ins!F10,Tim!$B$7:$B$70)</f>
        <v>0.5</v>
      </c>
      <c r="V10" s="80">
        <f>SUMIF(Tim!$BF$7:$BF$70,Ins!F10,Tim!$B$7:$B$70)+SUMIF(Tim!$BG$7:$BG$70,Ins!F10,Tim!$B$7:$B$70)+SUMIF(Tim!$BH$7:$BH$70,Ins!F10,Tim!$B$7:$B$70)</f>
        <v>0.5</v>
      </c>
      <c r="W10" s="80">
        <f>SUMIF(Tim!$BI$7:$BI$70,Ins!F10,Tim!$B$7:$B$70)+SUMIF(Tim!$BJ$7:$BJ$70,Ins!F10,Tim!$B$7:$B$70)+SUMIF(Tim!$BK$7:$BK$70,Ins!F10,Tim!$B$7:$B$70)+SUMIF(Tim!$BL$7:$BL$70,Ins!F10,Tim!$B$7:$B$70)+SUMIF(Tim!$BM$7:$BM$70,Ins!F10,Tim!$B$7:$B$70)</f>
        <v>0</v>
      </c>
      <c r="X10" s="80">
        <f>SUMIF(Tim!$BN$7:$BN$70,Ins!F10,Tim!$B$7:$B$70)+SUMIF(Tim!$BO$7:$BO$70,Ins!F10,Tim!$B$7:$B$70)+SUMIF(Tim!$BP$7:$BP$70,Ins!F10,Tim!$B$7:$B$70)</f>
        <v>0.5</v>
      </c>
      <c r="Y10" s="80">
        <f>SUMIF(Tim!$BQ$7:$BQ$70,Ins!F10,Tim!$B$7:$B$70)+SUMIF(Tim!$BR$7:$BR$70,Ins!F10,Tim!$B$7:$B$70)+SUMIF(Tim!$BS$7:$BS$70,Ins!F10,Tim!$B$7:$B$70)</f>
        <v>1</v>
      </c>
      <c r="Z10" s="80">
        <f>SUMIF(Tim!BT$7:BT$70,Ins!F10,Tim!$B$7:$B$70)</f>
        <v>0</v>
      </c>
      <c r="AA10" s="80">
        <f>SUMIF(Tim!$BU$7:$BU$70,Ins!F10,Tim!$D$7:$D$70)+SUMIF(Tim!$BV$7:$BV$70,Ins!F10,Tim!$D$7:$D$70)+SUMIF(Tim!$BW$7:$BW$70,Ins!F10,Tim!$D$7:$D$70)+SUMIF(Tim!$BX$7:$BX$70,Ins!F10,Tim!$D$7:$D$70)+SUMIF(Tim!$BY$7:$BY$70,Ins!F10,Tim!$D$7:$D$70)+SUMIF(Tim!$BZ$7:$BZ$70,Ins!F10,Tim!$D$7:$D$70)+SUMIF(Tim!$CA$7:$CA$70,Ins!F10,Tim!$D$7:$D$70)+SUMIF(Tim!$CB$7:$CB$70,Ins!F10,Tim!$D$7:$D$70)+SUMIF(Tim!$CC$7:$CC$70,Ins!F10,Tim!$D$7:$D$70)+SUMIF(Tim!$CD$7:$CD$70,Ins!F10,Tim!$D$7:$D$70)+SUMIF(Tim!$CE$7:$CE$70,Ins!F10,Tim!$D$7:$D$70)+SUMIF(Tim!$CF$7:$CF$70,Ins!F10,Tim!$D$7:$D$70)</f>
        <v>0</v>
      </c>
      <c r="AB10" s="80">
        <f>SUMIF(Tim!CG$7:CG$70,Ins!F10,Tim!$C$7:$C$70)</f>
        <v>0</v>
      </c>
      <c r="AC10" s="80">
        <f>SUMIF(Tim!CH$7:CH$70,Ins!F10,Tim!$C$7:$C$70)</f>
        <v>0</v>
      </c>
      <c r="AD10" s="80">
        <f>SUMIF(Tim!CI$7:CI$70,Ins!F10,Tim!$C$7:$C$70)+SUMIF(Tim!CJ$7:CJ$70,Ins!F10,Tim!$C$7:$C$70)+SUMIF(Tim!CK$7:CK$70,Ins!F10,Tim!$C$7:$C$70)</f>
        <v>0</v>
      </c>
      <c r="AE10" s="81">
        <f>SUMIF(Tim!$CL$7:$CL$70,Ins!F10,Tim!$C$7:$C$70)+SUMIF(Tim!$CM$7:$CM$70,Ins!F10,Tim!$C$7:$C$70)+SUMIF(Tim!$CN$7:$CN$70,Ins!F10,Tim!$C$7:$C$70)+SUMIF(Tim!$CO$7:$CO$70,Ins!F10,Tim!$C$7:$C$70)+SUMIF(Tim!$CP$7:$CP$70,Ins!F10,Tim!$C$7:$C$70)</f>
        <v>2</v>
      </c>
      <c r="AF10" s="79">
        <f>SUMIF(Tim!$CQ$7:$CQ$70,Ins!F10,Tim!$B$7:$B$70)</f>
        <v>4</v>
      </c>
      <c r="AG10" s="80">
        <f>SUMIF(Tim!$CR$7:$CR$70,Ins!F10,Tim!$B$7:$B$70)+SUMIF(Tim!$CS$7:$CS$70,Ins!F10,Tim!$B$7:$B$70)+SUMIF(Tim!$CT$7:$CT$70,Ins!F10,Tim!$B$7:$B$70)+SUMIF(Tim!$CU$7:$CU$70,Ins!F10,Tim!$B$7:$B$70)+SUMIF(Tim!$CV$7:$CV$70,Ins!F10,Tim!$B$7:$B$70)+SUMIF(Tim!$CW$7:$CW$70,Ins!F10,Tim!$B$7:$B$70)</f>
        <v>0</v>
      </c>
      <c r="AH10" s="80">
        <f>SUMIF(Tim!$CX$7:$CX$70,Ins!F10,Tim!$B$7:$B$70)+SUMIF(Tim!$CY$7:$CY$70,Ins!F10,Tim!$B$7:$B$70)+SUMIF(Tim!$CZ$7:$CZ$70,Ins!F10,Tim!$B$7:$B$70)</f>
        <v>0.5</v>
      </c>
      <c r="AI10" s="80">
        <f>SUMIF(Tim!$DA$7:$DA$70,Ins!F10,Tim!$B$7:$B$70)+SUMIF(Tim!$DB$7:$DB$70,Ins!F10,Tim!$B$7:$B$70)+SUMIF(Tim!$DC$7:$DC$70,Ins!F10,Tim!$B$7:$B$70)+SUMIF(Tim!$DD$7:$DD$70,Ins!F10,Tim!$B$7:$B$70)+SUMIF(Tim!$DE$7:$DE$70,Ins!F10,Tim!$B$7:$B$70)</f>
        <v>0</v>
      </c>
      <c r="AJ10" s="80">
        <f>SUMIF(Tim!$DF$7:$DF$70,Ins!F10,Tim!$B$7:$B$70)+SUMIF(Tim!$DG$7:$DG$70,Ins!F10,Tim!$B$7:$B$70)+SUMIF(Tim!$DH$7:$DH$70,Ins!F10,Tim!$B$7:$B$70)</f>
        <v>0.5</v>
      </c>
      <c r="AK10" s="80">
        <f>SUMIF(Tim!DI$7:DI$70,Ins!F10,Tim!$B$7:$B$70)+SUMIF(Tim!DM$7:DM$70,Ins!F10,Tim!$B$7:$B$70)+SUMIF(Tim!DN$7:DN$70,Ins!F10,Tim!$B$7:$B$70)</f>
        <v>1</v>
      </c>
      <c r="AL10" s="80">
        <f>SUMIF(Tim!DO$7:DO$70,Ins!F10,Tim!$B$7:$B$70)</f>
        <v>0</v>
      </c>
      <c r="AM10" s="80">
        <f>SUMIF(Tim!$DP$7:$DP$70,Ins!F10,Tim!$D$7:$D$70)+SUMIF(Tim!$DQ$7:$DQ$70,Ins!F10,Tim!$D$7:$D$70)+SUMIF(Tim!$DR$7:$DR$70,Ins!F10,Tim!$D$7:$D$70)+SUMIF(Tim!$DS$7:$DS$70,Ins!F10,Tim!$D$7:$D$70)+SUMIF(Tim!$DT$7:$DT$70,Ins!F10,Tim!$D$7:$D$70)+SUMIF(Tim!$DU$7:$DU$70,Ins!F10,Tim!$D$7:$D$70)+SUMIF(Tim!$DV$7:$DV$70,Ins!F10,Tim!$D$7:$D$70)+SUMIF(Tim!$DW$7:$DW$70,Ins!F10,Tim!$D$7:$D$70)+SUMIF(Tim!$DX$7:$DX$70,Ins!F10,Tim!$D$7:$D$70)+SUMIF(Tim!$DY$7:$DY$70,Ins!F10,Tim!$D$7:$D$70)+SUMIF(Tim!$DZ$7:$DZ$70,Ins!F10,Tim!$D$7:$D$70)+SUMIF(Tim!$EA$7:$EA$70,Ins!F10,Tim!$D$7:$D$70)</f>
        <v>0</v>
      </c>
      <c r="AN10" s="80">
        <f>SUMIF(Tim!EB$7:EB$70,Ins!F10,Tim!$C$7:$C$70)</f>
        <v>0</v>
      </c>
      <c r="AO10" s="80">
        <f>SUMIF(Tim!EC$7:EC$70,Ins!F10,Tim!$C$7:$C$70)</f>
        <v>0</v>
      </c>
      <c r="AP10" s="80">
        <f>SUMIF(Tim!ED$7:ED$70,Ins!F10,Tim!$C$7:$C$70)+SUMIF(Tim!EE$7:EE$70,Ins!F10,Tim!$C$7:$C$70)+SUMIF(Tim!EF$7:EF$70,Ins!F10,Tim!$C$7:$C$70)</f>
        <v>0</v>
      </c>
      <c r="AQ10" s="81">
        <f>SUMIF(Tim!$EG$7:$EG$70,Ins!F10,Tim!$C$7:$C$70)+SUMIF(Tim!$EH$7:$EH$70,Ins!F10,Tim!$C$7:$C$70)+SUMIF(Tim!$EI$7:$EI$70,Ins!F10,Tim!$C$7:$C$70)+SUMIF(Tim!$EJ$7:$EJ$70,Ins!F10,Tim!$C$7:$C$70)+SUMIF(Tim!$EK$7:$EK$70,Ins!F10,Tim!$C$7:$C$70)</f>
        <v>2</v>
      </c>
      <c r="AR10" s="79">
        <f>SUMIF(Tim!$EL$5:$EL$70,Ins!F10,Tim!$B$5:$B$70)</f>
        <v>4</v>
      </c>
      <c r="AS10" s="80">
        <f>SUMIF(Tim!$EM$5:$EM$70,Ins!F10,Tim!$B$5:$B$70)+SUMIF(Tim!$EN$5:$EN$70,Ins!F10,Tim!$B$5:$B$70)+SUMIF(Tim!$EO$5:$EO$70,Ins!F10,Tim!$B$5:$B$70)+SUMIF(Tim!$EP$5:$EP$70,Ins!F10,Tim!$B$5:$B$70)+SUMIF(Tim!$EQ$5:$EQ$70,Ins!F10,Tim!$B$5:$B$70)+SUMIF(Tim!$ER$5:$ER$70,Ins!F10,Tim!$B$5:$B$70)</f>
        <v>0.25</v>
      </c>
      <c r="AT10" s="80">
        <f>SUMIF(Tim!$ES$5:$ES$70,Ins!F10,Tim!$B$5:$B$70)+SUMIF(Tim!$ET$5:$ET$70,Ins!F10,Tim!$B$5:$B$70)+SUMIF(Tim!$EU$5:$EU$70,Ins!F10,Tim!$B$5:$B$70)</f>
        <v>1</v>
      </c>
      <c r="AU10" s="80">
        <f>SUMIF(Tim!$EV$5:$EV$70,Ins!F10,Tim!$B$5:$B$70)+SUMIF(Tim!$EW$5:$EW$70,Ins!F10,Tim!$B$5:$B$70)+SUMIF(Tim!$EX$5:$EX$70,Ins!F10,Tim!$B$5:$B$70)+SUMIF(Tim!$EY$5:$EY$70,Ins!F10,Tim!$B$5:$B$70)+SUMIF(Tim!$EZ$5:$EZ$70,Ins!F10,Tim!$B$5:$B$70)</f>
        <v>0</v>
      </c>
      <c r="AV10" s="80">
        <f>SUMIF(Tim!$FA$5:$FA$70,Ins!F10,Tim!$B$5:$B$70)+SUMIF(Tim!$FB$5:$FB$70,Ins!F10,Tim!$B$5:$B$70)+SUMIF(Tim!$FC$5:$FC$70,Ins!F10,Tim!$B$5:$B$70)</f>
        <v>0.5</v>
      </c>
      <c r="AW10" s="80">
        <f>SUMIF(Tim!FD$5:FD$70,Ins!F10,Tim!$B$5:$B$70)+SUMIF(Tim!FE$5:FE$70,Ins!F10,Tim!$B$5:$B$70)+SUMIF(Tim!FF$5:FF$70,Ins!F10,Tim!$B$5:$B$70)</f>
        <v>0.25</v>
      </c>
      <c r="AX10" s="80">
        <f>SUMIF(Tim!FG$5:FG$70,Ins!F10,Tim!$B$5:$B$70)</f>
        <v>0</v>
      </c>
      <c r="AY10" s="80">
        <f>SUMIF(Tim!$FH$5:$FH$70,Ins!F10,Tim!$D$5:$D$70)+SUMIF(Tim!$FI$5:$FI$70,Ins!F10,Tim!$D$5:$D$70)+SUMIF(Tim!$FJ$5:$FJ$70,Ins!F10,Tim!$D$5:$D$70)+SUMIF(Tim!$FK$5:$FK$70,Ins!F10,Tim!$D$5:$D$70)+SUMIF(Tim!$FL$5:$FL$70,Ins!F10,Tim!$D$5:$D$70)+SUMIF(Tim!$FM$5:$FM$70,Ins!F10,Tim!$D$5:$D$70)+SUMIF(Tim!$FN$5:$FN$70,Ins!F10,Tim!$D$5:$D$70)+SUMIF(Tim!$FO$5:$FO$70,Ins!F10,Tim!$D$5:$D$70)+SUMIF(Tim!$FP$5:$FP$70,Ins!F10,Tim!$D$5:$D$70)+SUMIF(Tim!$FQ$5:$FQ$70,Ins!F10,Tim!$D$5:$D$70)+SUMIF(Tim!$FR$5:$FR$70,Ins!F10,Tim!$D$5:$D$70)+SUMIF(Tim!$FS$5:$FS$70,Ins!F10,Tim!$D$5:$D$70)</f>
        <v>0</v>
      </c>
      <c r="AZ10" s="80">
        <f>SUMIF(Tim!FT$5:FT$70,Ins!F10,Tim!$C$5:$C$70)</f>
        <v>0</v>
      </c>
      <c r="BA10" s="80">
        <f>SUMIF(Tim!FU$5:FU$70,Ins!F10,Tim!$C$5:$C$70)</f>
        <v>0</v>
      </c>
      <c r="BB10" s="80">
        <f>SUMIF(Tim!FV$5:FV$70,Ins!F10,Tim!$C$5:$C$70)+SUMIF(Tim!FW$5:FW$70,Ins!F10,Tim!$C$5:$C$70)+SUMIF(Tim!FX$5:FX$70,Ins!F10,Tim!$C$5:$C$70)</f>
        <v>0</v>
      </c>
      <c r="BC10" s="81">
        <f>SUMIF(Tim!$FY$5:$FY$70,Ins!F10,Tim!$C$5:$C$70)+SUMIF(Tim!$FZ$5:$FZ$70,Ins!F10,Tim!$C$5:$C$70)+SUMIF(Tim!$GA$5:$GA$70,Ins!F10,Tim!$C$5:$C$70)+SUMIF(Tim!$GB$5:$GB$70,Ins!F10,Tim!$C$5:$C$70)+SUMIF(Tim!$GC$5:$GC$70,Ins!F10,Tim!$C$5:$C$70)</f>
        <v>2</v>
      </c>
      <c r="BD10" s="79">
        <f>SUMIF(Tim!$GD$5:$GD$70,Ins!F10,Tim!$B$5:$B$70)</f>
        <v>3</v>
      </c>
      <c r="BE10" s="80">
        <f>SUMIF(Tim!$GE$5:$GE$70,Ins!F10,Tim!$B$5:$B$70)+SUMIF(Tim!$GF$5:$GF$70,Ins!F10,Tim!$B$5:$B$70)+SUMIF(Tim!$GG$5:$GG$70,Ins!F10,Tim!$B$5:$B$70)+SUMIF(Tim!$GH$5:$GH$70,Ins!F10,Tim!$B$5:$B$70)+SUMIF(Tim!$GI$5:$GI$70,Ins!F10,Tim!$B$5:$B$70)+SUMIF(Tim!$GJ$5:$GJ$70,Ins!F10,Tim!$B$5:$B$70)</f>
        <v>0.25</v>
      </c>
      <c r="BF10" s="80">
        <f>SUMIF(Tim!$GK$5:$GK$70,Ins!F10,Tim!$B$5:$B$70)+SUMIF(Tim!$GL$5:$GL$70,Ins!F10,Tim!$B$5:$B$70)+SUMIF(Tim!$GM$5:$GM$70,Ins!F10,Tim!$B$5:$B$70)</f>
        <v>2</v>
      </c>
      <c r="BG10" s="80">
        <f>SUMIF(Tim!$GN$5:$GN$70,Ins!F10,Tim!$B$5:$B$70)+SUMIF(Tim!$GO$5:$GO$70,Ins!F10,Tim!$B$5:$B$70)+SUMIF(Tim!$GP$5:$GP$70,Ins!F10,Tim!$B$5:$B$70)+SUMIF(Tim!$GQ$5:$GQ$70,Ins!F10,Tim!$B$5:$B$70)+SUMIF(Tim!$GR$5:$GR$70,Ins!F10,Tim!$B$5:$B$70)</f>
        <v>0</v>
      </c>
      <c r="BH10" s="80">
        <f>SUMIF(Tim!$GS$5:$GS$70,Ins!F10,Tim!$B$5:$B$70)+SUMIF(Tim!$GT$5:$GT$70,Ins!F10,Tim!$B$5:$B$70)+SUMIF(Tim!$GU$5:$GU$70,Ins!F10,Tim!$B$5:$B$70)</f>
        <v>0.75</v>
      </c>
      <c r="BI10" s="80">
        <f>SUMIF(Tim!GV$5:GV$70,Ins!F10,Tim!$B$5:$B$70)+SUMIF(Tim!GW$5:GW$70,Ins!F10,Tim!$B$5:$B$70)+SUMIF(Tim!GX$5:GX$70,Ins!F10,Tim!$B$5:$B$70)</f>
        <v>0</v>
      </c>
      <c r="BJ10" s="80">
        <f>SUMIF(Tim!GY$5:GY$70,Ins!F10,Tim!$B$5:$B$70)</f>
        <v>0</v>
      </c>
      <c r="BK10" s="80">
        <f>SUMIF(Tim!$GZ$5:$GZ$70,Ins!F10,Tim!$D$5:$D$70)+SUMIF(Tim!$HA$5:$HA$70,Ins!F10,Tim!$D$5:$D$70)+SUMIF(Tim!$HB$5:$HB$70,Ins!F10,Tim!$D$5:$D$70)++SUMIF(Tim!$HC$5:$HC$70,Ins!F10,Tim!$D$5:$D$70)+SUMIF(Tim!$HD$5:$HD$70,Ins!F10,Tim!$D$5:$D$70)+SUMIF(Tim!$HE$5:$HE$70,Ins!F10,Tim!$D$5:$D$70)+SUMIF(Tim!$HF$5:$HF$70,Ins!F10,Tim!$D$5:$D$70)+SUMIF(Tim!$HG$5:$HG$70,Ins!F10,Tim!$D$5:$D$70)+SUMIF(Tim!$HH$5:$HH$70,Ins!F10,Tim!$D$5:$D$70)+SUMIF(Tim!$HI$5:$HI$70,Ins!F10,Tim!$D$5:$D$70)+SUMIF(Tim!$HJ$5:$HJ$70,Ins!F10,Tim!$D$5:$D$70)+SUMIF(Tim!$HK$5:$HK$70,Ins!F10,Tim!$D$5:$D$70)</f>
        <v>0</v>
      </c>
      <c r="BL10" s="80">
        <f>SUMIF(Tim!HL$5:HL$70,Ins!F10,Tim!$C$5:$C$70)</f>
        <v>0</v>
      </c>
      <c r="BM10" s="80">
        <f>SUMIF(Tim!HM$5:HM$70,Ins!F10,Tim!$C$5:$C$70)</f>
        <v>0</v>
      </c>
      <c r="BN10" s="80">
        <f>SUMIF(Tim!HN$5:HN$70,Ins!F10,Tim!$C$5:$C$70)+SUMIF(Tim!HO$5:HO$70,Ins!F10,Tim!$C$5:$C$70)+SUMIF(Tim!HP$5:HP$70,Ins!F10,Tim!$C$5:$C$70)</f>
        <v>0</v>
      </c>
      <c r="BO10" s="81">
        <f>SUMIF(Tim!$HQ$5:$HQ$70,Ins!F10,Tim!$C$5:$C$70)+SUMIF(Tim!$HR$5:$HR$70,Ins!F10,Tim!$C$5:$C$70)+SUMIF(Tim!$HS$5:$HS$70,Ins!F10,Tim!$C$5:$C$70)+SUMIF(Tim!$HT$5:$HT$70,Ins!F10,Tim!$C$5:$C$70)+SUMIF(Tim!$HU$5:$HU$70,Ins!F10,Tim!$C$5:$C$70)</f>
        <v>2</v>
      </c>
      <c r="BP10" s="79">
        <f>SUMIF(Tim!$HV$7:$HV$70,Ins!F10,Tim!$B$7:$B$70)</f>
        <v>0</v>
      </c>
      <c r="BQ10" s="80">
        <f>SUMIF(Tim!$HW$7:$HW$70,Ins!F10,Tim!$B$7:$B$70)+SUMIF(Tim!$HX$7:$HX$70,Ins!F10,Tim!$B$7:$B$70)+SUMIF(Tim!$HY$7:$HY$70,Ins!F10,Tim!$B$7:$B$70)+SUMIF(Tim!$HZ$7:$HZ$70,Ins!F10,Tim!$B$7:$B$70)+SUMIF(Tim!$IA$7:$IA$70,Ins!F10,Tim!$B$7:$B$70)+SUMIF(Tim!$IB$7:$IB$70,Ins!F10,Tim!$B$7:$B$70)</f>
        <v>0</v>
      </c>
      <c r="BR10" s="80">
        <f>SUMIF(Tim!$IC$7:$IC$70,Ins!F10,Tim!$B$7:$B$70)+SUMIF(Tim!$ID$7:$ID$70,Ins!F10,Tim!$B$7:$B$70)+SUMIF(Tim!$IE$7:$IE$70,Ins!F10,Tim!$B$7:$B$70)</f>
        <v>0</v>
      </c>
      <c r="BS10" s="80">
        <f>SUMIF(Tim!$IF$7:$IF$70,Ins!F10,Tim!$B$7:$B$70)+SUMIF(Tim!$IG$7:$IG$70,Ins!F10,Tim!$B$7:$B$70)+SUMIF(Tim!$IH$7:$IH$70,Ins!F10,Tim!$B$7:$B$70)+SUMIF(Tim!$II$7:$II$70,Ins!F10,Tim!$B$7:$B$70)+SUMIF(Tim!$IJ$7:$IJ$70,Ins!F10,Tim!$B$7:$B$70)</f>
        <v>0</v>
      </c>
      <c r="BT10" s="80">
        <f>SUMIF(Tim!$IK$7:$IK$70,Ins!F10,Tim!$B$7:$B$70)+SUMIF(Tim!$IL$7:$IL$70,Ins!F10,Tim!$B$7:$B$70)+SUMIF(Tim!$IM$7:$IM$70,Ins!F10,Tim!$B$7:$B$70)</f>
        <v>0</v>
      </c>
      <c r="BU10" s="80">
        <f>SUMIF(Tim!$IN$7:$IN$70,Ins!F10,Tim!$B$7:$B$70)+SUMIF(Tim!$IO$7:$IO$70,Ins!F10,Tim!$B$7:$B$70)+SUMIF(Tim!$IP$7:$IP$70,Ins!F10,Tim!$B$7:$B$70)</f>
        <v>0</v>
      </c>
      <c r="BV10" s="80">
        <f>SUMIF(Tim!$IQ$7:$IQ$70,Ins!F10,Tim!$B$7:$B$70)</f>
        <v>0</v>
      </c>
      <c r="BW10" s="80">
        <f>SUMIF(Tim!$IR$7:$IR$70,Ins!F10,Tim!$D$7:$D$70)+SUMIF(Tim!$IS$7:$IS$70,Ins!F10,Tim!$D$7:$D$70)+SUMIF(Tim!$IT$7:$IT$70,Ins!F10,Tim!$D$7:$D$70)+SUMIF(Tim!$IU$7:$IU$70,Ins!F10,Tim!$D$7:$D$70)+SUMIF(Tim!$IV$7:$IV$70,Ins!F10,Tim!$D$7:$D$70)+SUMIF(Tim!$IW$7:$IW$70,Ins!F10,Tim!$D$7:$D$70)+SUMIF(Tim!$IX$7:$IX$70,Ins!F10,Tim!$D$7:$D$70)+SUMIF(Tim!$IY$7:$IY$70,Ins!F10,Tim!$D$7:$D$70)+SUMIF(Tim!$IZ$7:$IZ$70,Ins!F10,Tim!$D$7:$D$70)+SUMIF(Tim!$JA$7:$JA$70,Ins!F10,Tim!$D$7:$D$70)+SUMIF(Tim!$JB$7:$JB$70,Ins!F10,Tim!$D$7:$D$70)+SUMIF(Tim!$JC$7:$JC$70,Ins!F10,Tim!$D$7:$D$70)</f>
        <v>0</v>
      </c>
      <c r="BX10" s="80">
        <f>SUMIF(Tim!JD$7:JD$70,Ins!F10,Tim!$C$7:$C$70)</f>
        <v>0</v>
      </c>
      <c r="BY10" s="80">
        <f>SUMIF(Tim!JE$7:JE$70,Ins!F10,Tim!$C$7:$C$70)</f>
        <v>0</v>
      </c>
      <c r="BZ10" s="80">
        <f>SUMIF(Tim!JF$7:JF$70,Ins!F10,Tim!$C$7:$C$70)+SUMIF(Tim!JG$7:JG$70,Ins!F10,Tim!$C$7:$C$70)+SUMIF(Tim!JH$7:JH$70,Ins!F10,Tim!$C$7:$C$70)</f>
        <v>0</v>
      </c>
      <c r="CA10" s="81">
        <f>SUMIF(Tim!$JI$7:$JI$70,Ins!F10,Tim!$C$7:$C$70)++SUMIF(Tim!$JJ$7:$JJ$70,Ins!F10,Tim!$C$7:$C$70)+SUMIF(Tim!$JK$7:$JK$70,Ins!F10,Tim!$C$7:$C$70)+SUMIF(Tim!$JL$7:$JL$70,Ins!F10,Tim!$C$7:$C$70)+SUMIF(Tim!$JM$7:$JM$70,Ins!F10,Tim!$C$7:$C$70)</f>
        <v>0</v>
      </c>
      <c r="CB10" s="79">
        <f>SUMIF(Tim!$JN$7:$JN$70,Ins!F10,Tim!$B$7:$B$70)</f>
        <v>0</v>
      </c>
      <c r="CC10" s="80">
        <f>SUMIF(Tim!$JO$7:$JO$70,Ins!F10,Tim!$B$7:$B$70)+SUMIF(Tim!$JP$7:$JP$70,Ins!F10,Tim!$B$7:$B$70)+SUMIF(Tim!$JQ$7:$JQ$70,Ins!F10,Tim!$B$7:$B$70)+SUMIF(Tim!$JR$7:$JR$70,Ins!F10,Tim!$B$7:$B$70)+SUMIF(Tim!$JS$7:$JS$70,Ins!F10,Tim!$B$7:$B$70)+SUMIF(Tim!$JT$7:$JT$70,Ins!F10,Tim!$B$7:$B$70)</f>
        <v>0</v>
      </c>
      <c r="CD10" s="80">
        <f>SUMIF(Tim!$JW$7:$JW$70,Ins!F10,Tim!$B$7:$B$70)+SUMIF(Tim!$JU$7:$JU$70,Ins!F10,Tim!$B$7:$B$70)+SUMIF(Tim!$JV$7:$JV$70,Ins!F10,Tim!$B$7:$B$70)</f>
        <v>0</v>
      </c>
      <c r="CE10" s="80">
        <f>SUMIF(Tim!$JX$7:$JX$70,Ins!F10,Tim!$B$7:$B$70)+SUMIF(Tim!$JY$7:$JY$70,Ins!F10,Tim!$B$7:$B$70)+SUMIF(Tim!$JZ$7:$JZ$70,Ins!F10,Tim!$B$7:$B$70)+SUMIF(Tim!$KA$7:$KA$70,Ins!F10,Tim!$B$7:$B$70)+SUMIF(Tim!$KB$7:$KB$70,Ins!F10,Tim!$B$7:$B$70)</f>
        <v>0</v>
      </c>
      <c r="CF10" s="80">
        <f>SUMIF(Tim!$KE$7:$KE$70,Ins!F10,Tim!$B$7:$B$70)+SUMIF(Tim!$KC$7:$KC$70,Ins!F10,Tim!$B$7:$B$70)+SUMIF(Tim!$KD$7:$KD$70,Ins!F10,Tim!$B$7:$B$70)</f>
        <v>0</v>
      </c>
      <c r="CG10" s="80">
        <f>SUMIF(Tim!$KF$7:$KF$70,Ins!F10,Tim!$B$7:$B$70)+SUMIF(Tim!$KG$7:$KG$70,Ins!F10,Tim!$B$7:$B$70)+SUMIF(Tim!$KH$7:$KH$70,Ins!F10,Tim!$B$7:$B$70)</f>
        <v>0</v>
      </c>
      <c r="CH10" s="80">
        <f>SUMIF(Tim!$KI$7:$KI$70,Ins!F10,Tim!$B$7:$B$70)</f>
        <v>0</v>
      </c>
      <c r="CI10" s="80">
        <f>SUMIF(Tim!$KJ$7:$KJ$70,Ins!F10,Tim!$D$7:$D$70)+SUMIF(Tim!$KK$7:$KK$70,Ins!F10,Tim!$D$7:$D$70)+SUMIF(Tim!$KL$7:$KL$70,Ins!F10,Tim!$D$7:$D$70)+SUMIF(Tim!$KM$7:$KM$70,Ins!F10,Tim!$D$7:$D$70)+SUMIF(Tim!$KN$7:$KN$70,Ins!F10,Tim!$D$7:$D$70)+SUMIF(Tim!$KO$7:$KO$70,Ins!F10,Tim!$D$7:$D$70)+SUMIF(Tim!$KP$7:$KP$70,Ins!F10,Tim!$D$7:$D$70)+SUMIF(Tim!$KQ$7:$KQ$70,Ins!F10,Tim!$D$7:$D$70)+SUMIF(Tim!$KR$7:$KR$70,Ins!F10,Tim!$D$7:$D$70)+SUMIF(Tim!$KS$7:$KS$70,Ins!F10,Tim!$D$7:$D$70)+SUMIF(Tim!$KT$7:$KT$70,Ins!F10,Tim!$D$7:$D$70)+SUMIF(Tim!$KU$7:$KU$70,Ins!F10,Tim!$D$7:$D$70)</f>
        <v>0</v>
      </c>
      <c r="CJ10" s="80">
        <f>SUMIF(Tim!KV$7:KV$70,Ins!F10,Tim!$C$7:$C$70)</f>
        <v>0</v>
      </c>
      <c r="CK10" s="80">
        <f>SUMIF(Tim!KW$7:KW$70,Ins!F10,Tim!$C$7:$C$70)</f>
        <v>0</v>
      </c>
      <c r="CL10" s="80">
        <f>SUMIF(Tim!KX$7:KX$70,Ins!F10,Tim!$C$7:$C$70)+SUMIF(Tim!KY$7:KY$70,Ins!F10,Tim!$C$7:$C$70)+SUMIF(Tim!KZ$7:KZ$70,Ins!F10,Tim!$C$7:$C$70)</f>
        <v>0</v>
      </c>
      <c r="CM10" s="81">
        <f>SUMIF(Tim!$LA$7:$LA$70,Ins!F10,Tim!$C$7:$C$70)+SUMIF(Tim!$LB$7:$LB$70,Ins!F10,Tim!$C$7:$C$70)+SUMIF(Tim!$LC$7:$LC$70,Ins!F10,Tim!$C$7:$C$70)+SUMIF(Tim!$LD$7:$LD$70,Ins!F10,Tim!$C$7:$C$70)+SUMIF(Tim!$LE$7:$LE$70,Ins!F10,Tim!$C$7:$C$70)</f>
        <v>0</v>
      </c>
      <c r="CN10" s="22"/>
      <c r="CO10" s="180">
        <f t="shared" si="28"/>
        <v>18.5</v>
      </c>
      <c r="CP10" s="179">
        <f t="shared" si="29"/>
        <v>1.25</v>
      </c>
      <c r="CQ10" s="179">
        <f t="shared" si="30"/>
        <v>4</v>
      </c>
      <c r="CR10" s="179">
        <f t="shared" si="31"/>
        <v>1.5</v>
      </c>
      <c r="CS10" s="179">
        <f t="shared" si="32"/>
        <v>4.5</v>
      </c>
      <c r="CT10" s="179">
        <f t="shared" si="33"/>
        <v>2.25</v>
      </c>
      <c r="CU10" s="179">
        <f t="shared" si="34"/>
        <v>0</v>
      </c>
      <c r="CV10" s="179">
        <f t="shared" si="35"/>
        <v>0</v>
      </c>
      <c r="CW10" s="179">
        <f t="shared" si="36"/>
        <v>0</v>
      </c>
      <c r="CX10" s="179">
        <f t="shared" si="37"/>
        <v>0</v>
      </c>
      <c r="CY10" s="179">
        <f t="shared" si="38"/>
        <v>0</v>
      </c>
      <c r="CZ10" s="179">
        <f t="shared" si="39"/>
        <v>8</v>
      </c>
      <c r="DA10" s="78">
        <f t="shared" si="40"/>
        <v>40</v>
      </c>
      <c r="DB10" s="16"/>
      <c r="DC10" s="34">
        <f t="shared" si="41"/>
        <v>8</v>
      </c>
      <c r="DD10" s="34">
        <f t="shared" si="42"/>
        <v>8</v>
      </c>
      <c r="DE10" s="34">
        <f t="shared" si="43"/>
        <v>8</v>
      </c>
      <c r="DF10" s="34">
        <f t="shared" si="44"/>
        <v>8</v>
      </c>
      <c r="DG10" s="34">
        <f t="shared" si="45"/>
        <v>8</v>
      </c>
      <c r="DH10" s="34">
        <f t="shared" si="46"/>
        <v>0</v>
      </c>
      <c r="DI10" s="34">
        <f t="shared" si="47"/>
        <v>0</v>
      </c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7"/>
    </row>
    <row r="11" spans="1:125" ht="12" customHeight="1">
      <c r="A11" s="10">
        <v>9</v>
      </c>
      <c r="B11" s="229" t="s">
        <v>446</v>
      </c>
      <c r="C11" s="50"/>
      <c r="D11" s="230"/>
      <c r="E11" s="230"/>
      <c r="F11" s="297" t="s">
        <v>447</v>
      </c>
      <c r="G11" s="231" t="s">
        <v>192</v>
      </c>
      <c r="H11" s="79">
        <f>SUMIF(Tim!$F$7:$F$70,Ins!F11,Tim!$B$7:$B$70)</f>
        <v>0</v>
      </c>
      <c r="I11" s="80">
        <f>SUMIF(Tim!$G$7:$G$70,Ins!F11,Tim!$B$7:$B$70)+SUMIF(Tim!$H$7:$H$70,Ins!F11,Tim!$B$7:$B$70)+SUMIF(Tim!$I$7:$I$70,Ins!F11,Tim!$B$7:$B$70)+SUMIF(Tim!$J$7:$J$70,Ins!F11,Tim!$B$7:$B$70)+SUMIF(Tim!$K$7:$K$70,Ins!F11,Tim!$B$7:$B$70)+SUMIF(Tim!$L$7:$L$70,Ins!F11,Tim!$B$7:$B$70)</f>
        <v>0</v>
      </c>
      <c r="J11" s="80">
        <f>SUMIF(Tim!$M$7:$M$70,Ins!F11,Tim!$B$7:$B$70)+SUMIF(Tim!$O$7:$O$70,Ins!F11,Tim!$B$7:$B$70)+SUMIF(Tim!$N$7:$N$70,Ins!F11,Tim!$B$7:$B$70)</f>
        <v>0</v>
      </c>
      <c r="K11" s="80">
        <f>SUMIF(Tim!$P$7:$P$70,Ins!F11,Tim!$B$7:$B$70)+SUMIF(Tim!$Q$7:$Q$70,Ins!F11,Tim!$B$7:$B$70)+SUMIF(Tim!$R$7:$R$70,Ins!F11,Tim!$B$7:$B$70)+SUMIF(Tim!$S$7:$S$70,Ins!F11,Tim!$B$7:$B$70)+SUMIF(Tim!$T$7:$T$70,Ins!F11,Tim!$B$7:$B$70)</f>
        <v>0</v>
      </c>
      <c r="L11" s="80">
        <f>SUMIF(Tim!$U$7:$U$70,Ins!F11,Tim!$B$7:$B$70)+SUMIF(Tim!$W$7:$W$70,Ins!F11,Tim!$B$7:$B$70)+SUMIF(Tim!$X$7:$X$70,Ins!F11,Tim!$B$7:$B$70)</f>
        <v>0</v>
      </c>
      <c r="M11" s="80">
        <f>SUMIF(Tim!$Y$7:$Y$70,Ins!F11,Tim!$B$7:$B$70)+SUMIF(Tim!$Z$7:$Z$70,Ins!F11,Tim!$B$7:$B$70)+SUMIF(Tim!$AA$7:$AA$70,Ins!F11,Tim!$B$7:$B$70)</f>
        <v>0</v>
      </c>
      <c r="N11" s="80">
        <f>SUMIF(Tim!$AB$7:$AB$70,Ins!F11,Tim!$B$7:$B$70)</f>
        <v>0</v>
      </c>
      <c r="O11" s="80">
        <f>SUMIF(Tim!$AC$7:$AC$70,Ins!F11,Tim!$D$7:$D$70)+SUMIF(Tim!$AD$7:$AD$70,Ins!F11,Tim!$D$7:$D$70)+SUMIF(Tim!$AE$7:$AE$70,Ins!F11,Tim!$D$7:$D$70)+SUMIF(Tim!$AF$7:$AF$70,Ins!F11,Tim!$D$7:$D$70)+SUMIF(Tim!$AG$7:$AG$70,Ins!F11,Tim!$D$7:$D$70)+SUMIF(Tim!$AH$7:$AH$70,Ins!F11,Tim!$D$7:$D$70)+SUMIF(Tim!$AI$7:$AI$70,Ins!F11,Tim!$D$7:$D$70)+SUMIF(Tim!$AJ$7:$AJ$70,Ins!F11,Tim!$D$7:$D$70)+SUMIF(Tim!$AK$7:$AK$70,Ins!F11,Tim!$D$7:$D$70)+SUMIF(Tim!$AL$7:$AL$70,Ins!F11,Tim!$D$7:$D$70)+SUMIF(Tim!$AM$7:$AM$70,Ins!F11,Tim!$D$7:$D$70)+SUMIF(Tim!$AN$7:$AN$70,Ins!F11,Tim!$D$7:$D$70)</f>
        <v>0</v>
      </c>
      <c r="P11" s="80">
        <f>SUMIF(Tim!AO$7:AO$70,Ins!F11,Tim!$C$7:$C$70)</f>
        <v>0</v>
      </c>
      <c r="Q11" s="80">
        <f>SUMIF(Tim!AP$7:AP$70,Ins!F11,Tim!$C$7:$C$70)</f>
        <v>0</v>
      </c>
      <c r="R11" s="80">
        <f>SUMIF(Tim!AQ$7:AQ$70,Ins!F11,Tim!$C$7:$C$70)+SUMIF(Tim!AR$7:AR$70,Ins!F11,Tim!$C$7:$C$70)+SUMIF(Tim!AS$7:AS$70,Ins!F11,Tim!$C$7:$C$70)</f>
        <v>0</v>
      </c>
      <c r="S11" s="236">
        <f>SUMIF(Tim!$AT$7:$AT$70,Ins!F11,Tim!$C$7:$C$70)+SUMIF(Tim!$AU$7:$AU$70,Ins!F11,Tim!$C$7:$C78)+SUMIF(Tim!$AV$7:$AV$70,Ins!F11,Tim!$C$7:$C$70)+SUMIF(Tim!$AW$7:$AW$70,Ins!F11,Tim!$C$7:$C$70)+SUMIF(Tim!$AX$7:$AX$70,Ins!F11,Tim!$C$7:$C$70)</f>
        <v>0</v>
      </c>
      <c r="T11" s="79">
        <f>SUMIF(Tim!$AY$7:$AY$70,Ins!F11,Tim!$B$7:$B$70)</f>
        <v>0</v>
      </c>
      <c r="U11" s="80">
        <f>SUMIF(Tim!$AZ$7:$AZ$70,Ins!F11,Tim!$B$7:$B$70)+SUMIF(Tim!$BA$7:$BA$70,Ins!F11,Tim!$B$7:$B$70)+SUMIF(Tim!$BB$7:$BB$70,Ins!F11,Tim!$B$7:$B$70)+SUMIF(Tim!$BC$7:$BC$70,Ins!F11,Tim!$B$7:$B$70)+SUMIF(Tim!$BD$7:$BD$70,Ins!F11,Tim!$B$7:$B$70)+SUMIF(Tim!$BE$7:$BE$70,Ins!F11,Tim!$B$7:$B$70)</f>
        <v>0</v>
      </c>
      <c r="V11" s="80">
        <f>SUMIF(Tim!$BF$7:$BF$70,Ins!F11,Tim!$B$7:$B$70)+SUMIF(Tim!$BG$7:$BG$70,Ins!F11,Tim!$B$7:$B$70)+SUMIF(Tim!$BH$7:$BH$70,Ins!F11,Tim!$B$7:$B$70)</f>
        <v>0</v>
      </c>
      <c r="W11" s="80">
        <f>SUMIF(Tim!$BI$7:$BI$70,Ins!F11,Tim!$B$7:$B$70)+SUMIF(Tim!$BJ$7:$BJ$70,Ins!F11,Tim!$B$7:$B$70)+SUMIF(Tim!$BK$7:$BK$70,Ins!F11,Tim!$B$7:$B$70)+SUMIF(Tim!$BL$7:$BL$70,Ins!F11,Tim!$B$7:$B$70)+SUMIF(Tim!$BM$7:$BM$70,Ins!F11,Tim!$B$7:$B$70)</f>
        <v>0</v>
      </c>
      <c r="X11" s="80">
        <f>SUMIF(Tim!$BN$7:$BN$70,Ins!F11,Tim!$B$7:$B$70)+SUMIF(Tim!$BO$7:$BO$70,Ins!F11,Tim!$B$7:$B$70)+SUMIF(Tim!$BP$7:$BP$70,Ins!F11,Tim!$B$7:$B$70)</f>
        <v>0</v>
      </c>
      <c r="Y11" s="80">
        <f>SUMIF(Tim!$BQ$7:$BQ$70,Ins!F11,Tim!$B$7:$B$70)+SUMIF(Tim!$BR$7:$BR$70,Ins!F11,Tim!$B$7:$B$70)+SUMIF(Tim!$BS$7:$BS$70,Ins!F11,Tim!$B$7:$B$70)</f>
        <v>0</v>
      </c>
      <c r="Z11" s="80">
        <f>SUMIF(Tim!BT$7:BT$70,Ins!F11,Tim!$B$7:$B$70)</f>
        <v>0</v>
      </c>
      <c r="AA11" s="80">
        <f>SUMIF(Tim!$BU$7:$BU$70,Ins!F11,Tim!$D$7:$D$70)+SUMIF(Tim!$BV$7:$BV$70,Ins!F11,Tim!$D$7:$D$70)+SUMIF(Tim!$BW$7:$BW$70,Ins!F11,Tim!$D$7:$D$70)+SUMIF(Tim!$BX$7:$BX$70,Ins!F11,Tim!$D$7:$D$70)+SUMIF(Tim!$BY$7:$BY$70,Ins!F11,Tim!$D$7:$D$70)+SUMIF(Tim!$BZ$7:$BZ$70,Ins!F11,Tim!$D$7:$D$70)+SUMIF(Tim!$CA$7:$CA$70,Ins!F11,Tim!$D$7:$D$70)+SUMIF(Tim!$CB$7:$CB$70,Ins!F11,Tim!$D$7:$D$70)+SUMIF(Tim!$CC$7:$CC$70,Ins!F11,Tim!$D$7:$D$70)+SUMIF(Tim!$CD$7:$CD$70,Ins!F11,Tim!$D$7:$D$70)+SUMIF(Tim!$CE$7:$CE$70,Ins!F11,Tim!$D$7:$D$70)+SUMIF(Tim!$CF$7:$CF$70,Ins!F11,Tim!$D$7:$D$70)</f>
        <v>0</v>
      </c>
      <c r="AB11" s="80">
        <f>SUMIF(Tim!CG$7:CG$70,Ins!F11,Tim!$C$7:$C$70)</f>
        <v>0</v>
      </c>
      <c r="AC11" s="80">
        <f>SUMIF(Tim!CH$7:CH$70,Ins!F11,Tim!$C$7:$C$70)</f>
        <v>0</v>
      </c>
      <c r="AD11" s="80">
        <f>SUMIF(Tim!CI$7:CI$70,Ins!F11,Tim!$C$7:$C$70)+SUMIF(Tim!CJ$7:CJ$70,Ins!F11,Tim!$C$7:$C$70)+SUMIF(Tim!CK$7:CK$70,Ins!F11,Tim!$C$7:$C$70)</f>
        <v>0</v>
      </c>
      <c r="AE11" s="81">
        <f>SUMIF(Tim!$CL$7:$CL$70,Ins!F11,Tim!$C$7:$C$70)+SUMIF(Tim!$CM$7:$CM$70,Ins!F11,Tim!$C$7:$C$70)+SUMIF(Tim!$CN$7:$CN$70,Ins!F11,Tim!$C$7:$C$70)+SUMIF(Tim!$CO$7:$CO$70,Ins!F11,Tim!$C$7:$C$70)+SUMIF(Tim!$CP$7:$CP$70,Ins!F11,Tim!$C$7:$C$70)</f>
        <v>0</v>
      </c>
      <c r="AF11" s="79">
        <f>SUMIF(Tim!$CQ$7:$CQ$70,Ins!F11,Tim!$B$7:$B$70)</f>
        <v>0</v>
      </c>
      <c r="AG11" s="80">
        <f>SUMIF(Tim!$CR$7:$CR$70,Ins!F11,Tim!$B$7:$B$70)+SUMIF(Tim!$CS$7:$CS$70,Ins!F11,Tim!$B$7:$B$70)+SUMIF(Tim!$CT$7:$CT$70,Ins!F11,Tim!$B$7:$B$70)+SUMIF(Tim!$CU$7:$CU$70,Ins!F11,Tim!$B$7:$B$70)+SUMIF(Tim!$CV$7:$CV$70,Ins!F11,Tim!$B$7:$B$70)+SUMIF(Tim!$CW$7:$CW$70,Ins!F11,Tim!$B$7:$B$70)</f>
        <v>0</v>
      </c>
      <c r="AH11" s="80">
        <f>SUMIF(Tim!$CX$7:$CX$70,Ins!F11,Tim!$B$7:$B$70)+SUMIF(Tim!$CY$7:$CY$70,Ins!F11,Tim!$B$7:$B$70)+SUMIF(Tim!$CZ$7:$CZ$70,Ins!F11,Tim!$B$7:$B$70)</f>
        <v>0</v>
      </c>
      <c r="AI11" s="80">
        <f>SUMIF(Tim!$DA$7:$DA$70,Ins!F11,Tim!$B$7:$B$70)+SUMIF(Tim!$DB$7:$DB$70,Ins!F11,Tim!$B$7:$B$70)+SUMIF(Tim!$DC$7:$DC$70,Ins!F11,Tim!$B$7:$B$70)+SUMIF(Tim!$DD$7:$DD$70,Ins!F11,Tim!$B$7:$B$70)+SUMIF(Tim!$DE$7:$DE$70,Ins!F11,Tim!$B$7:$B$70)</f>
        <v>0</v>
      </c>
      <c r="AJ11" s="80">
        <f>SUMIF(Tim!$DF$7:$DF$70,Ins!F11,Tim!$B$7:$B$70)+SUMIF(Tim!$DG$7:$DG$70,Ins!F11,Tim!$B$7:$B$70)+SUMIF(Tim!$DH$7:$DH$70,Ins!F11,Tim!$B$7:$B$70)</f>
        <v>0</v>
      </c>
      <c r="AK11" s="80">
        <f>SUMIF(Tim!DI$7:DI$70,Ins!F11,Tim!$B$7:$B$70)+SUMIF(Tim!DM$7:DM$70,Ins!F11,Tim!$B$7:$B$70)+SUMIF(Tim!DN$7:DN$70,Ins!F11,Tim!$B$7:$B$70)</f>
        <v>0</v>
      </c>
      <c r="AL11" s="80">
        <f>SUMIF(Tim!DO$7:DO$70,Ins!F11,Tim!$B$7:$B$70)</f>
        <v>0</v>
      </c>
      <c r="AM11" s="80">
        <f>SUMIF(Tim!$DP$7:$DP$70,Ins!F11,Tim!$D$7:$D$70)+SUMIF(Tim!$DQ$7:$DQ$70,Ins!F11,Tim!$D$7:$D$70)+SUMIF(Tim!$DR$7:$DR$70,Ins!F11,Tim!$D$7:$D$70)+SUMIF(Tim!$DS$7:$DS$70,Ins!F11,Tim!$D$7:$D$70)+SUMIF(Tim!$DT$7:$DT$70,Ins!F11,Tim!$D$7:$D$70)+SUMIF(Tim!$DU$7:$DU$70,Ins!F11,Tim!$D$7:$D$70)+SUMIF(Tim!$DV$7:$DV$70,Ins!F11,Tim!$D$7:$D$70)+SUMIF(Tim!$DW$7:$DW$70,Ins!F11,Tim!$D$7:$D$70)+SUMIF(Tim!$DX$7:$DX$70,Ins!F11,Tim!$D$7:$D$70)+SUMIF(Tim!$DY$7:$DY$70,Ins!F11,Tim!$D$7:$D$70)+SUMIF(Tim!$DZ$7:$DZ$70,Ins!F11,Tim!$D$7:$D$70)+SUMIF(Tim!$EA$7:$EA$70,Ins!F11,Tim!$D$7:$D$70)</f>
        <v>0</v>
      </c>
      <c r="AN11" s="80">
        <f>SUMIF(Tim!EB$7:EB$70,Ins!F11,Tim!$C$7:$C$70)</f>
        <v>0</v>
      </c>
      <c r="AO11" s="80">
        <f>SUMIF(Tim!EC$7:EC$70,Ins!F11,Tim!$C$7:$C$70)</f>
        <v>0</v>
      </c>
      <c r="AP11" s="80">
        <f>SUMIF(Tim!ED$7:ED$70,Ins!F11,Tim!$C$7:$C$70)+SUMIF(Tim!EE$7:EE$70,Ins!F11,Tim!$C$7:$C$70)+SUMIF(Tim!EF$7:EF$70,Ins!F11,Tim!$C$7:$C$70)</f>
        <v>0</v>
      </c>
      <c r="AQ11" s="81">
        <f>SUMIF(Tim!$EG$7:$EG$70,Ins!F11,Tim!$C$7:$C$70)+SUMIF(Tim!$EH$7:$EH$70,Ins!F11,Tim!$C$7:$C$70)+SUMIF(Tim!$EI$7:$EI$70,Ins!F11,Tim!$C$7:$C$70)+SUMIF(Tim!$EJ$7:$EJ$70,Ins!F11,Tim!$C$7:$C$70)+SUMIF(Tim!$EK$7:$EK$70,Ins!F11,Tim!$C$7:$C$70)</f>
        <v>0</v>
      </c>
      <c r="AR11" s="79">
        <f>SUMIF(Tim!$EL$5:$EL$70,Ins!F11,Tim!$B$5:$B$70)</f>
        <v>0</v>
      </c>
      <c r="AS11" s="80">
        <f>SUMIF(Tim!$EM$5:$EM$70,Ins!F11,Tim!$B$5:$B$70)+SUMIF(Tim!$EN$5:$EN$70,Ins!F11,Tim!$B$5:$B$70)+SUMIF(Tim!$EO$5:$EO$70,Ins!F11,Tim!$B$5:$B$70)+SUMIF(Tim!$EP$5:$EP$70,Ins!F11,Tim!$B$5:$B$70)+SUMIF(Tim!$EQ$5:$EQ$70,Ins!F11,Tim!$B$5:$B$70)+SUMIF(Tim!$ER$5:$ER$70,Ins!F11,Tim!$B$5:$B$70)</f>
        <v>0</v>
      </c>
      <c r="AT11" s="80">
        <f>SUMIF(Tim!$ES$5:$ES$70,Ins!F11,Tim!$B$5:$B$70)+SUMIF(Tim!$ET$5:$ET$70,Ins!F11,Tim!$B$5:$B$70)+SUMIF(Tim!$EU$5:$EU$70,Ins!F11,Tim!$B$5:$B$70)</f>
        <v>0</v>
      </c>
      <c r="AU11" s="80">
        <f>SUMIF(Tim!$EV$5:$EV$70,Ins!F11,Tim!$B$5:$B$70)+SUMIF(Tim!$EW$5:$EW$70,Ins!F11,Tim!$B$5:$B$70)+SUMIF(Tim!$EX$5:$EX$70,Ins!F11,Tim!$B$5:$B$70)+SUMIF(Tim!$EY$5:$EY$70,Ins!F11,Tim!$B$5:$B$70)+SUMIF(Tim!$EZ$5:$EZ$70,Ins!F11,Tim!$B$5:$B$70)</f>
        <v>0</v>
      </c>
      <c r="AV11" s="80">
        <f>SUMIF(Tim!$FA$5:$FA$70,Ins!F11,Tim!$B$5:$B$70)+SUMIF(Tim!$FB$5:$FB$70,Ins!F11,Tim!$B$5:$B$70)+SUMIF(Tim!$FC$5:$FC$70,Ins!F11,Tim!$B$5:$B$70)</f>
        <v>0</v>
      </c>
      <c r="AW11" s="80">
        <f>SUMIF(Tim!FD$5:FD$70,Ins!F11,Tim!$B$5:$B$70)+SUMIF(Tim!FE$5:FE$70,Ins!F11,Tim!$B$5:$B$70)+SUMIF(Tim!FF$5:FF$70,Ins!F11,Tim!$B$5:$B$70)</f>
        <v>0</v>
      </c>
      <c r="AX11" s="80">
        <f>SUMIF(Tim!FG$5:FG$70,Ins!F11,Tim!$B$5:$B$70)</f>
        <v>0</v>
      </c>
      <c r="AY11" s="80">
        <f>SUMIF(Tim!$FH$5:$FH$70,Ins!F11,Tim!$D$5:$D$70)+SUMIF(Tim!$FI$5:$FI$70,Ins!F11,Tim!$D$5:$D$70)+SUMIF(Tim!$FJ$5:$FJ$70,Ins!F11,Tim!$D$5:$D$70)+SUMIF(Tim!$FK$5:$FK$70,Ins!F11,Tim!$D$5:$D$70)+SUMIF(Tim!$FL$5:$FL$70,Ins!F11,Tim!$D$5:$D$70)+SUMIF(Tim!$FM$5:$FM$70,Ins!F11,Tim!$D$5:$D$70)+SUMIF(Tim!$FN$5:$FN$70,Ins!F11,Tim!$D$5:$D$70)+SUMIF(Tim!$FO$5:$FO$70,Ins!F11,Tim!$D$5:$D$70)+SUMIF(Tim!$FP$5:$FP$70,Ins!F11,Tim!$D$5:$D$70)+SUMIF(Tim!$FQ$5:$FQ$70,Ins!F11,Tim!$D$5:$D$70)+SUMIF(Tim!$FR$5:$FR$70,Ins!F11,Tim!$D$5:$D$70)+SUMIF(Tim!$FS$5:$FS$70,Ins!F11,Tim!$D$5:$D$70)</f>
        <v>0</v>
      </c>
      <c r="AZ11" s="80">
        <f>SUMIF(Tim!FT$5:FT$70,Ins!F11,Tim!$C$5:$C$70)</f>
        <v>0</v>
      </c>
      <c r="BA11" s="80">
        <f>SUMIF(Tim!FU$5:FU$70,Ins!F11,Tim!$C$5:$C$70)</f>
        <v>0</v>
      </c>
      <c r="BB11" s="80">
        <f>SUMIF(Tim!FV$5:FV$70,Ins!F11,Tim!$C$5:$C$70)+SUMIF(Tim!FW$5:FW$70,Ins!F11,Tim!$C$5:$C$70)+SUMIF(Tim!FX$5:FX$70,Ins!F11,Tim!$C$5:$C$70)</f>
        <v>0</v>
      </c>
      <c r="BC11" s="81">
        <f>SUMIF(Tim!$FY$5:$FY$70,Ins!F11,Tim!$C$5:$C$70)+SUMIF(Tim!$FZ$5:$FZ$70,Ins!F11,Tim!$C$5:$C$70)+SUMIF(Tim!$GA$5:$GA$70,Ins!F11,Tim!$C$5:$C$70)+SUMIF(Tim!$GB$5:$GB$70,Ins!F11,Tim!$C$5:$C$70)+SUMIF(Tim!$GC$5:$GC$70,Ins!F11,Tim!$C$5:$C$70)</f>
        <v>0</v>
      </c>
      <c r="BD11" s="79">
        <f>SUMIF(Tim!$GD$5:$GD$70,Ins!F11,Tim!$B$5:$B$70)</f>
        <v>0</v>
      </c>
      <c r="BE11" s="80">
        <f>SUMIF(Tim!$GE$5:$GE$70,Ins!F11,Tim!$B$5:$B$70)+SUMIF(Tim!$GF$5:$GF$70,Ins!F11,Tim!$B$5:$B$70)+SUMIF(Tim!$GG$5:$GG$70,Ins!F11,Tim!$B$5:$B$70)+SUMIF(Tim!$GH$5:$GH$70,Ins!F11,Tim!$B$5:$B$70)+SUMIF(Tim!$GI$5:$GI$70,Ins!F11,Tim!$B$5:$B$70)+SUMIF(Tim!$GJ$5:$GJ$70,Ins!F11,Tim!$B$5:$B$70)</f>
        <v>0</v>
      </c>
      <c r="BF11" s="80">
        <f>SUMIF(Tim!$GK$5:$GK$70,Ins!F11,Tim!$B$5:$B$70)+SUMIF(Tim!$GL$5:$GL$70,Ins!F11,Tim!$B$5:$B$70)+SUMIF(Tim!$GM$5:$GM$70,Ins!F11,Tim!$B$5:$B$70)</f>
        <v>0</v>
      </c>
      <c r="BG11" s="80">
        <f>SUMIF(Tim!$GN$5:$GN$70,Ins!F11,Tim!$B$5:$B$70)+SUMIF(Tim!$GO$5:$GO$70,Ins!F11,Tim!$B$5:$B$70)+SUMIF(Tim!$GP$5:$GP$70,Ins!F11,Tim!$B$5:$B$70)+SUMIF(Tim!$GQ$5:$GQ$70,Ins!F11,Tim!$B$5:$B$70)+SUMIF(Tim!$GR$5:$GR$70,Ins!F11,Tim!$B$5:$B$70)</f>
        <v>0</v>
      </c>
      <c r="BH11" s="80">
        <f>SUMIF(Tim!$GS$5:$GS$70,Ins!F11,Tim!$B$5:$B$70)+SUMIF(Tim!$GT$5:$GT$70,Ins!F11,Tim!$B$5:$B$70)+SUMIF(Tim!$GU$5:$GU$70,Ins!F11,Tim!$B$5:$B$70)</f>
        <v>0</v>
      </c>
      <c r="BI11" s="80">
        <f>SUMIF(Tim!GV$5:GV$70,Ins!F11,Tim!$B$5:$B$70)+SUMIF(Tim!GW$5:GW$70,Ins!F11,Tim!$B$5:$B$70)+SUMIF(Tim!GX$5:GX$70,Ins!F11,Tim!$B$5:$B$70)</f>
        <v>0</v>
      </c>
      <c r="BJ11" s="80">
        <f>SUMIF(Tim!GY$5:GY$70,Ins!F11,Tim!$B$5:$B$70)</f>
        <v>0</v>
      </c>
      <c r="BK11" s="80">
        <f>SUMIF(Tim!$GZ$5:$GZ$70,Ins!F11,Tim!$D$5:$D$70)+SUMIF(Tim!$HA$5:$HA$70,Ins!F11,Tim!$D$5:$D$70)+SUMIF(Tim!$HB$5:$HB$70,Ins!F11,Tim!$D$5:$D$70)++SUMIF(Tim!$HC$5:$HC$70,Ins!F11,Tim!$D$5:$D$70)+SUMIF(Tim!$HD$5:$HD$70,Ins!F11,Tim!$D$5:$D$70)+SUMIF(Tim!$HE$5:$HE$70,Ins!F11,Tim!$D$5:$D$70)+SUMIF(Tim!$HF$5:$HF$70,Ins!F11,Tim!$D$5:$D$70)+SUMIF(Tim!$HG$5:$HG$70,Ins!F11,Tim!$D$5:$D$70)+SUMIF(Tim!$HH$5:$HH$70,Ins!F11,Tim!$D$5:$D$70)+SUMIF(Tim!$HI$5:$HI$70,Ins!F11,Tim!$D$5:$D$70)+SUMIF(Tim!$HJ$5:$HJ$70,Ins!F11,Tim!$D$5:$D$70)+SUMIF(Tim!$HK$5:$HK$70,Ins!F11,Tim!$D$5:$D$70)</f>
        <v>0</v>
      </c>
      <c r="BL11" s="80">
        <f>SUMIF(Tim!HL$5:HL$70,Ins!F11,Tim!$C$5:$C$70)</f>
        <v>0</v>
      </c>
      <c r="BM11" s="80">
        <f>SUMIF(Tim!HM$5:HM$70,Ins!F11,Tim!$C$5:$C$70)</f>
        <v>0</v>
      </c>
      <c r="BN11" s="80">
        <f>SUMIF(Tim!HN$5:HN$70,Ins!F11,Tim!$C$5:$C$70)+SUMIF(Tim!HO$5:HO$70,Ins!F11,Tim!$C$5:$C$70)+SUMIF(Tim!HP$5:HP$70,Ins!F11,Tim!$C$5:$C$70)</f>
        <v>0</v>
      </c>
      <c r="BO11" s="81">
        <f>SUMIF(Tim!$HQ$5:$HQ$70,Ins!F11,Tim!$C$5:$C$70)+SUMIF(Tim!$HR$5:$HR$70,Ins!F11,Tim!$C$5:$C$70)+SUMIF(Tim!$HS$5:$HS$70,Ins!F11,Tim!$C$5:$C$70)+SUMIF(Tim!$HT$5:$HT$70,Ins!F11,Tim!$C$5:$C$70)+SUMIF(Tim!$HU$5:$HU$70,Ins!F11,Tim!$C$5:$C$70)</f>
        <v>0</v>
      </c>
      <c r="BP11" s="79">
        <f>SUMIF(Tim!$HV$7:$HV$70,Ins!F11,Tim!$B$7:$B$70)</f>
        <v>0</v>
      </c>
      <c r="BQ11" s="80">
        <f>SUMIF(Tim!$HW$7:$HW$70,Ins!F11,Tim!$B$7:$B$70)+SUMIF(Tim!$HX$7:$HX$70,Ins!F11,Tim!$B$7:$B$70)+SUMIF(Tim!$HY$7:$HY$70,Ins!F11,Tim!$B$7:$B$70)+SUMIF(Tim!$HZ$7:$HZ$70,Ins!F11,Tim!$B$7:$B$70)+SUMIF(Tim!$IA$7:$IA$70,Ins!F11,Tim!$B$7:$B$70)+SUMIF(Tim!$IB$7:$IB$70,Ins!F11,Tim!$B$7:$B$70)</f>
        <v>0</v>
      </c>
      <c r="BR11" s="80">
        <f>SUMIF(Tim!$IC$7:$IC$70,Ins!F11,Tim!$B$7:$B$70)+SUMIF(Tim!$ID$7:$ID$70,Ins!F11,Tim!$B$7:$B$70)+SUMIF(Tim!$IE$7:$IE$70,Ins!F11,Tim!$B$7:$B$70)</f>
        <v>0</v>
      </c>
      <c r="BS11" s="80">
        <f>SUMIF(Tim!$IF$7:$IF$70,Ins!F11,Tim!$B$7:$B$70)+SUMIF(Tim!$IG$7:$IG$70,Ins!F11,Tim!$B$7:$B$70)+SUMIF(Tim!$IH$7:$IH$70,Ins!F11,Tim!$B$7:$B$70)+SUMIF(Tim!$II$7:$II$70,Ins!F11,Tim!$B$7:$B$70)+SUMIF(Tim!$IJ$7:$IJ$70,Ins!F11,Tim!$B$7:$B$70)</f>
        <v>0</v>
      </c>
      <c r="BT11" s="80">
        <f>SUMIF(Tim!$IK$7:$IK$70,Ins!F11,Tim!$B$7:$B$70)+SUMIF(Tim!$IL$7:$IL$70,Ins!F11,Tim!$B$7:$B$70)+SUMIF(Tim!$IM$7:$IM$70,Ins!F11,Tim!$B$7:$B$70)</f>
        <v>0</v>
      </c>
      <c r="BU11" s="80">
        <f>SUMIF(Tim!$IN$7:$IN$70,Ins!F11,Tim!$B$7:$B$70)+SUMIF(Tim!$IO$7:$IO$70,Ins!F11,Tim!$B$7:$B$70)+SUMIF(Tim!$IP$7:$IP$70,Ins!F11,Tim!$B$7:$B$70)</f>
        <v>0</v>
      </c>
      <c r="BV11" s="80">
        <f>SUMIF(Tim!$IQ$7:$IQ$70,Ins!F11,Tim!$B$7:$B$70)</f>
        <v>0</v>
      </c>
      <c r="BW11" s="80">
        <f>SUMIF(Tim!$IR$7:$IR$70,Ins!F11,Tim!$D$7:$D$70)+SUMIF(Tim!$IS$7:$IS$70,Ins!F11,Tim!$D$7:$D$70)+SUMIF(Tim!$IT$7:$IT$70,Ins!F11,Tim!$D$7:$D$70)+SUMIF(Tim!$IU$7:$IU$70,Ins!F11,Tim!$D$7:$D$70)+SUMIF(Tim!$IV$7:$IV$70,Ins!F11,Tim!$D$7:$D$70)+SUMIF(Tim!$IW$7:$IW$70,Ins!F11,Tim!$D$7:$D$70)+SUMIF(Tim!$IX$7:$IX$70,Ins!F11,Tim!$D$7:$D$70)+SUMIF(Tim!$IY$7:$IY$70,Ins!F11,Tim!$D$7:$D$70)+SUMIF(Tim!$IZ$7:$IZ$70,Ins!F11,Tim!$D$7:$D$70)+SUMIF(Tim!$JA$7:$JA$70,Ins!F11,Tim!$D$7:$D$70)+SUMIF(Tim!$JB$7:$JB$70,Ins!F11,Tim!$D$7:$D$70)+SUMIF(Tim!$JC$7:$JC$70,Ins!F11,Tim!$D$7:$D$70)</f>
        <v>0</v>
      </c>
      <c r="BX11" s="80">
        <f>SUMIF(Tim!JD$7:JD$70,Ins!F11,Tim!$C$7:$C$70)</f>
        <v>0</v>
      </c>
      <c r="BY11" s="80">
        <f>SUMIF(Tim!JE$7:JE$70,Ins!F11,Tim!$C$7:$C$70)</f>
        <v>0</v>
      </c>
      <c r="BZ11" s="80">
        <f>SUMIF(Tim!JF$7:JF$70,Ins!F11,Tim!$C$7:$C$70)+SUMIF(Tim!JG$7:JG$70,Ins!F11,Tim!$C$7:$C$70)+SUMIF(Tim!JH$7:JH$70,Ins!F11,Tim!$C$7:$C$70)</f>
        <v>0</v>
      </c>
      <c r="CA11" s="81">
        <f>SUMIF(Tim!$JI$7:$JI$70,Ins!F11,Tim!$C$7:$C$70)++SUMIF(Tim!$JJ$7:$JJ$70,Ins!F11,Tim!$C$7:$C$70)+SUMIF(Tim!$JK$7:$JK$70,Ins!F11,Tim!$C$7:$C$70)+SUMIF(Tim!$JL$7:$JL$70,Ins!F11,Tim!$C$7:$C$70)+SUMIF(Tim!$JM$7:$JM$70,Ins!F11,Tim!$C$7:$C$70)</f>
        <v>0</v>
      </c>
      <c r="CB11" s="79">
        <f>SUMIF(Tim!$JN$7:$JN$70,Ins!F11,Tim!$B$7:$B$70)</f>
        <v>0</v>
      </c>
      <c r="CC11" s="80">
        <f>SUMIF(Tim!$JO$7:$JO$70,Ins!F11,Tim!$B$7:$B$70)+SUMIF(Tim!$JP$7:$JP$70,Ins!F11,Tim!$B$7:$B$70)+SUMIF(Tim!$JQ$7:$JQ$70,Ins!F11,Tim!$B$7:$B$70)+SUMIF(Tim!$JR$7:$JR$70,Ins!F11,Tim!$B$7:$B$70)+SUMIF(Tim!$JS$7:$JS$70,Ins!F11,Tim!$B$7:$B$70)+SUMIF(Tim!$JT$7:$JT$70,Ins!F11,Tim!$B$7:$B$70)</f>
        <v>0</v>
      </c>
      <c r="CD11" s="80">
        <f>SUMIF(Tim!$JW$7:$JW$70,Ins!F11,Tim!$B$7:$B$70)+SUMIF(Tim!$JU$7:$JU$70,Ins!F11,Tim!$B$7:$B$70)+SUMIF(Tim!$JV$7:$JV$70,Ins!F11,Tim!$B$7:$B$70)</f>
        <v>0</v>
      </c>
      <c r="CE11" s="80">
        <f>SUMIF(Tim!$JX$7:$JX$70,Ins!F11,Tim!$B$7:$B$70)+SUMIF(Tim!$JY$7:$JY$70,Ins!F11,Tim!$B$7:$B$70)+SUMIF(Tim!$JZ$7:$JZ$70,Ins!F11,Tim!$B$7:$B$70)+SUMIF(Tim!$KA$7:$KA$70,Ins!F11,Tim!$B$7:$B$70)+SUMIF(Tim!$KB$7:$KB$70,Ins!F11,Tim!$B$7:$B$70)</f>
        <v>0</v>
      </c>
      <c r="CF11" s="80">
        <f>SUMIF(Tim!$KE$7:$KE$70,Ins!F11,Tim!$B$7:$B$70)+SUMIF(Tim!$KC$7:$KC$70,Ins!F11,Tim!$B$7:$B$70)+SUMIF(Tim!$KD$7:$KD$70,Ins!F11,Tim!$B$7:$B$70)</f>
        <v>0</v>
      </c>
      <c r="CG11" s="80">
        <f>SUMIF(Tim!$KF$7:$KF$70,Ins!F11,Tim!$B$7:$B$70)+SUMIF(Tim!$KG$7:$KG$70,Ins!F11,Tim!$B$7:$B$70)+SUMIF(Tim!$KH$7:$KH$70,Ins!F11,Tim!$B$7:$B$70)</f>
        <v>0</v>
      </c>
      <c r="CH11" s="80">
        <f>SUMIF(Tim!$KI$7:$KI$70,Ins!F11,Tim!$B$7:$B$70)</f>
        <v>0</v>
      </c>
      <c r="CI11" s="80">
        <f>SUMIF(Tim!$KJ$7:$KJ$70,Ins!F11,Tim!$D$7:$D$70)+SUMIF(Tim!$KK$7:$KK$70,Ins!F11,Tim!$D$7:$D$70)+SUMIF(Tim!$KL$7:$KL$70,Ins!F11,Tim!$D$7:$D$70)+SUMIF(Tim!$KM$7:$KM$70,Ins!F11,Tim!$D$7:$D$70)+SUMIF(Tim!$KN$7:$KN$70,Ins!F11,Tim!$D$7:$D$70)+SUMIF(Tim!$KO$7:$KO$70,Ins!F11,Tim!$D$7:$D$70)+SUMIF(Tim!$KP$7:$KP$70,Ins!F11,Tim!$D$7:$D$70)+SUMIF(Tim!$KQ$7:$KQ$70,Ins!F11,Tim!$D$7:$D$70)+SUMIF(Tim!$KR$7:$KR$70,Ins!F11,Tim!$D$7:$D$70)+SUMIF(Tim!$KS$7:$KS$70,Ins!F11,Tim!$D$7:$D$70)+SUMIF(Tim!$KT$7:$KT$70,Ins!F11,Tim!$D$7:$D$70)+SUMIF(Tim!$KU$7:$KU$70,Ins!F11,Tim!$D$7:$D$70)</f>
        <v>0</v>
      </c>
      <c r="CJ11" s="80">
        <f>SUMIF(Tim!KV$7:KV$70,Ins!F11,Tim!$C$7:$C$70)</f>
        <v>0</v>
      </c>
      <c r="CK11" s="80">
        <f>SUMIF(Tim!KW$7:KW$70,Ins!F11,Tim!$C$7:$C$70)</f>
        <v>0</v>
      </c>
      <c r="CL11" s="80">
        <f>SUMIF(Tim!KX$7:KX$70,Ins!F11,Tim!$C$7:$C$70)+SUMIF(Tim!KY$7:KY$70,Ins!F11,Tim!$C$7:$C$70)+SUMIF(Tim!KZ$7:KZ$70,Ins!F11,Tim!$C$7:$C$70)</f>
        <v>0</v>
      </c>
      <c r="CM11" s="81">
        <f>SUMIF(Tim!$LA$7:$LA$70,Ins!F11,Tim!$C$7:$C$70)+SUMIF(Tim!$LB$7:$LB$70,Ins!F11,Tim!$C$7:$C$70)+SUMIF(Tim!$LC$7:$LC$70,Ins!F11,Tim!$C$7:$C$70)+SUMIF(Tim!$LD$7:$LD$70,Ins!F11,Tim!$C$7:$C$70)+SUMIF(Tim!$LE$7:$LE$70,Ins!F11,Tim!$C$7:$C$70)</f>
        <v>0</v>
      </c>
      <c r="CN11" s="22"/>
      <c r="CO11" s="180">
        <f t="shared" ref="CO11" si="48">H11+T11+AF11+AR11+BD11+BP11+CB11</f>
        <v>0</v>
      </c>
      <c r="CP11" s="179">
        <f t="shared" ref="CP11" si="49">I11+U11+AG11+AS11+BE11+BQ11+CC11</f>
        <v>0</v>
      </c>
      <c r="CQ11" s="179">
        <f t="shared" ref="CQ11" si="50">J11+V11+AH11+AT11+BF11+BR11+CD11</f>
        <v>0</v>
      </c>
      <c r="CR11" s="179">
        <f t="shared" ref="CR11" si="51">K11+W11+AI11+AU11+BG11+BS11+CE11</f>
        <v>0</v>
      </c>
      <c r="CS11" s="179">
        <f t="shared" ref="CS11" si="52">L11+X11+AJ11+AV11+BH11+BT11+CF11</f>
        <v>0</v>
      </c>
      <c r="CT11" s="179">
        <f t="shared" ref="CT11" si="53">M11+Y11+AK11+AW11+BI11+BU11+CG11</f>
        <v>0</v>
      </c>
      <c r="CU11" s="179">
        <f t="shared" ref="CU11" si="54">N11+Z11+AL11+AX11+BJ11+BV11+CH11</f>
        <v>0</v>
      </c>
      <c r="CV11" s="179">
        <f t="shared" ref="CV11" si="55">O11+AA11+AM11+AY11+BK11+BW11+CI11</f>
        <v>0</v>
      </c>
      <c r="CW11" s="179">
        <f t="shared" ref="CW11" si="56">P11+AB11+AN11+AZ11+BL11+BX11+CJ11</f>
        <v>0</v>
      </c>
      <c r="CX11" s="179">
        <f t="shared" ref="CX11" si="57">Q11+AC11+AO11+BA11+BM11+BY11+CK11</f>
        <v>0</v>
      </c>
      <c r="CY11" s="179">
        <f t="shared" ref="CY11" si="58">R11+AD11+AP11+BB11+BN11+BZ11+CL11</f>
        <v>0</v>
      </c>
      <c r="CZ11" s="179">
        <f t="shared" ref="CZ11" si="59">S11+AE11+AQ11+BC11+BO11+CA11+CM11</f>
        <v>0</v>
      </c>
      <c r="DA11" s="78">
        <f t="shared" ref="DA11" si="60">SUM(CO11:CZ11)</f>
        <v>0</v>
      </c>
      <c r="DB11" s="16"/>
      <c r="DC11" s="34">
        <f t="shared" ref="DC11" si="61">SUM(H11:S11)</f>
        <v>0</v>
      </c>
      <c r="DD11" s="34">
        <f t="shared" ref="DD11" si="62">SUM(T11:AE11)</f>
        <v>0</v>
      </c>
      <c r="DE11" s="34">
        <f t="shared" ref="DE11" si="63">SUM(AF11:AQ11)</f>
        <v>0</v>
      </c>
      <c r="DF11" s="34">
        <f t="shared" ref="DF11" si="64">SUM(AR11:BC11)</f>
        <v>0</v>
      </c>
      <c r="DG11" s="34">
        <f t="shared" ref="DG11" si="65">SUM(BD11:BO11)</f>
        <v>0</v>
      </c>
      <c r="DH11" s="34">
        <f t="shared" ref="DH11" si="66">SUM(BP11:CA11)</f>
        <v>0</v>
      </c>
      <c r="DI11" s="34">
        <f t="shared" ref="DI11" si="67">SUM(CB11:CM11)</f>
        <v>0</v>
      </c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7"/>
    </row>
    <row r="12" spans="1:125" ht="12" customHeight="1">
      <c r="A12" s="10">
        <v>10</v>
      </c>
      <c r="B12" s="229" t="s">
        <v>434</v>
      </c>
      <c r="C12" s="185"/>
      <c r="D12" s="230"/>
      <c r="E12" s="230"/>
      <c r="F12" s="298" t="s">
        <v>435</v>
      </c>
      <c r="G12" s="231" t="s">
        <v>192</v>
      </c>
      <c r="H12" s="79">
        <f>SUMIF(Tim!$F$7:$F$70,Ins!F12,Tim!$B$7:$B$70)</f>
        <v>0</v>
      </c>
      <c r="I12" s="80">
        <f>SUMIF(Tim!$G$7:$G$70,Ins!F12,Tim!$B$7:$B$70)+SUMIF(Tim!$H$7:$H$70,Ins!F12,Tim!$B$7:$B$70)+SUMIF(Tim!$I$7:$I$70,Ins!F12,Tim!$B$7:$B$70)+SUMIF(Tim!$J$7:$J$70,Ins!F12,Tim!$B$7:$B$70)+SUMIF(Tim!$K$7:$K$70,Ins!F12,Tim!$B$7:$B$70)+SUMIF(Tim!$L$7:$L$70,Ins!F12,Tim!$B$7:$B$70)</f>
        <v>0</v>
      </c>
      <c r="J12" s="80">
        <f>SUMIF(Tim!$M$7:$M$70,Ins!F12,Tim!$B$7:$B$70)+SUMIF(Tim!$O$7:$O$70,Ins!F12,Tim!$B$7:$B$70)+SUMIF(Tim!$N$7:$N$70,Ins!F12,Tim!$B$7:$B$70)</f>
        <v>0</v>
      </c>
      <c r="K12" s="80">
        <f>SUMIF(Tim!$P$7:$P$70,Ins!F12,Tim!$B$7:$B$70)+SUMIF(Tim!$Q$7:$Q$70,Ins!F12,Tim!$B$7:$B$70)+SUMIF(Tim!$R$7:$R$70,Ins!F12,Tim!$B$7:$B$70)+SUMIF(Tim!$S$7:$S$70,Ins!F12,Tim!$B$7:$B$70)+SUMIF(Tim!$T$7:$T$70,Ins!F12,Tim!$B$7:$B$70)</f>
        <v>0</v>
      </c>
      <c r="L12" s="80">
        <f>SUMIF(Tim!$U$7:$U$70,Ins!F12,Tim!$B$7:$B$70)+SUMIF(Tim!$W$7:$W$70,Ins!F12,Tim!$B$7:$B$70)+SUMIF(Tim!$X$7:$X$70,Ins!F12,Tim!$B$7:$B$70)</f>
        <v>0</v>
      </c>
      <c r="M12" s="80">
        <f>SUMIF(Tim!$Y$7:$Y$70,Ins!F12,Tim!$B$7:$B$70)+SUMIF(Tim!$Z$7:$Z$70,Ins!F12,Tim!$B$7:$B$70)+SUMIF(Tim!$AA$7:$AA$70,Ins!F12,Tim!$B$7:$B$70)</f>
        <v>0</v>
      </c>
      <c r="N12" s="80">
        <f>SUMIF(Tim!$AB$7:$AB$70,Ins!F12,Tim!$B$7:$B$70)</f>
        <v>0</v>
      </c>
      <c r="O12" s="80">
        <f>SUMIF(Tim!$AC$7:$AC$70,Ins!F12,Tim!$D$7:$D$70)+SUMIF(Tim!$AD$7:$AD$70,Ins!F12,Tim!$D$7:$D$70)+SUMIF(Tim!$AE$7:$AE$70,Ins!F12,Tim!$D$7:$D$70)+SUMIF(Tim!$AF$7:$AF$70,Ins!F12,Tim!$D$7:$D$70)+SUMIF(Tim!$AG$7:$AG$70,Ins!F12,Tim!$D$7:$D$70)+SUMIF(Tim!$AH$7:$AH$70,Ins!F12,Tim!$D$7:$D$70)+SUMIF(Tim!$AI$7:$AI$70,Ins!F12,Tim!$D$7:$D$70)+SUMIF(Tim!$AJ$7:$AJ$70,Ins!F12,Tim!$D$7:$D$70)+SUMIF(Tim!$AK$7:$AK$70,Ins!F12,Tim!$D$7:$D$70)+SUMIF(Tim!$AL$7:$AL$70,Ins!F12,Tim!$D$7:$D$70)+SUMIF(Tim!$AM$7:$AM$70,Ins!F12,Tim!$D$7:$D$70)+SUMIF(Tim!$AN$7:$AN$70,Ins!F12,Tim!$D$7:$D$70)</f>
        <v>0</v>
      </c>
      <c r="P12" s="80">
        <f>SUMIF(Tim!AO$7:AO$70,Ins!F12,Tim!$C$7:$C$70)</f>
        <v>0</v>
      </c>
      <c r="Q12" s="80">
        <f>SUMIF(Tim!AP$7:AP$70,Ins!F12,Tim!$C$7:$C$70)</f>
        <v>0</v>
      </c>
      <c r="R12" s="80">
        <f>SUMIF(Tim!AQ$7:AQ$70,Ins!F12,Tim!$C$7:$C$70)+SUMIF(Tim!AR$7:AR$70,Ins!F12,Tim!$C$7:$C$70)+SUMIF(Tim!AS$7:AS$70,Ins!F12,Tim!$C$7:$C$70)</f>
        <v>0</v>
      </c>
      <c r="S12" s="236">
        <f>SUMIF(Tim!$AT$7:$AT$70,Ins!F12,Tim!$C$7:$C$70)+SUMIF(Tim!$AU$7:$AU$70,Ins!F12,Tim!$C$7:$C78)+SUMIF(Tim!$AV$7:$AV$70,Ins!F12,Tim!$C$7:$C$70)+SUMIF(Tim!$AW$7:$AW$70,Ins!F12,Tim!$C$7:$C$70)+SUMIF(Tim!$AX$7:$AX$70,Ins!F12,Tim!$C$7:$C$70)</f>
        <v>0</v>
      </c>
      <c r="T12" s="79">
        <f>SUMIF(Tim!$AY$7:$AY$70,Ins!F12,Tim!$B$7:$B$70)</f>
        <v>0</v>
      </c>
      <c r="U12" s="80">
        <f>SUMIF(Tim!$AZ$7:$AZ$70,Ins!F12,Tim!$B$7:$B$70)+SUMIF(Tim!$BA$7:$BA$70,Ins!F12,Tim!$B$7:$B$70)+SUMIF(Tim!$BB$7:$BB$70,Ins!F12,Tim!$B$7:$B$70)+SUMIF(Tim!$BC$7:$BC$70,Ins!F12,Tim!$B$7:$B$70)+SUMIF(Tim!$BD$7:$BD$70,Ins!F12,Tim!$B$7:$B$70)+SUMIF(Tim!$BE$7:$BE$70,Ins!F12,Tim!$B$7:$B$70)</f>
        <v>0</v>
      </c>
      <c r="V12" s="80">
        <f>SUMIF(Tim!$BF$7:$BF$70,Ins!F12,Tim!$B$7:$B$70)+SUMIF(Tim!$BG$7:$BG$70,Ins!F12,Tim!$B$7:$B$70)+SUMIF(Tim!$BH$7:$BH$70,Ins!F12,Tim!$B$7:$B$70)</f>
        <v>0</v>
      </c>
      <c r="W12" s="80">
        <f>SUMIF(Tim!$BI$7:$BI$70,Ins!F12,Tim!$B$7:$B$70)+SUMIF(Tim!$BJ$7:$BJ$70,Ins!F12,Tim!$B$7:$B$70)+SUMIF(Tim!$BK$7:$BK$70,Ins!F12,Tim!$B$7:$B$70)+SUMIF(Tim!$BL$7:$BL$70,Ins!F12,Tim!$B$7:$B$70)+SUMIF(Tim!$BM$7:$BM$70,Ins!F12,Tim!$B$7:$B$70)</f>
        <v>0</v>
      </c>
      <c r="X12" s="80">
        <f>SUMIF(Tim!$BN$7:$BN$70,Ins!F12,Tim!$B$7:$B$70)+SUMIF(Tim!$BO$7:$BO$70,Ins!F12,Tim!$B$7:$B$70)+SUMIF(Tim!$BP$7:$BP$70,Ins!F12,Tim!$B$7:$B$70)</f>
        <v>0</v>
      </c>
      <c r="Y12" s="80">
        <f>SUMIF(Tim!$BQ$7:$BQ$70,Ins!F12,Tim!$B$7:$B$70)+SUMIF(Tim!$BR$7:$BR$70,Ins!F12,Tim!$B$7:$B$70)+SUMIF(Tim!$BS$7:$BS$70,Ins!F12,Tim!$B$7:$B$70)</f>
        <v>0</v>
      </c>
      <c r="Z12" s="80">
        <f>SUMIF(Tim!BT$7:BT$70,Ins!F12,Tim!$B$7:$B$70)</f>
        <v>0</v>
      </c>
      <c r="AA12" s="80">
        <f>SUMIF(Tim!$BU$7:$BU$70,Ins!F12,Tim!$D$7:$D$70)+SUMIF(Tim!$BV$7:$BV$70,Ins!F12,Tim!$D$7:$D$70)+SUMIF(Tim!$BW$7:$BW$70,Ins!F12,Tim!$D$7:$D$70)+SUMIF(Tim!$BX$7:$BX$70,Ins!F12,Tim!$D$7:$D$70)+SUMIF(Tim!$BY$7:$BY$70,Ins!F12,Tim!$D$7:$D$70)+SUMIF(Tim!$BZ$7:$BZ$70,Ins!F12,Tim!$D$7:$D$70)+SUMIF(Tim!$CA$7:$CA$70,Ins!F12,Tim!$D$7:$D$70)+SUMIF(Tim!$CB$7:$CB$70,Ins!F12,Tim!$D$7:$D$70)+SUMIF(Tim!$CC$7:$CC$70,Ins!F12,Tim!$D$7:$D$70)+SUMIF(Tim!$CD$7:$CD$70,Ins!F12,Tim!$D$7:$D$70)+SUMIF(Tim!$CE$7:$CE$70,Ins!F12,Tim!$D$7:$D$70)+SUMIF(Tim!$CF$7:$CF$70,Ins!F12,Tim!$D$7:$D$70)</f>
        <v>0</v>
      </c>
      <c r="AB12" s="80">
        <f>SUMIF(Tim!CG$7:CG$70,Ins!F12,Tim!$C$7:$C$70)</f>
        <v>0</v>
      </c>
      <c r="AC12" s="80">
        <f>SUMIF(Tim!CH$7:CH$70,Ins!F12,Tim!$C$7:$C$70)</f>
        <v>0</v>
      </c>
      <c r="AD12" s="80">
        <f>SUMIF(Tim!CI$7:CI$70,Ins!F12,Tim!$C$7:$C$70)+SUMIF(Tim!CJ$7:CJ$70,Ins!F12,Tim!$C$7:$C$70)+SUMIF(Tim!CK$7:CK$70,Ins!F12,Tim!$C$7:$C$70)</f>
        <v>0</v>
      </c>
      <c r="AE12" s="81">
        <f>SUMIF(Tim!$CL$7:$CL$70,Ins!F12,Tim!$C$7:$C$70)+SUMIF(Tim!$CM$7:$CM$70,Ins!F12,Tim!$C$7:$C$70)+SUMIF(Tim!$CN$7:$CN$70,Ins!F12,Tim!$C$7:$C$70)+SUMIF(Tim!$CO$7:$CO$70,Ins!F12,Tim!$C$7:$C$70)+SUMIF(Tim!$CP$7:$CP$70,Ins!F12,Tim!$C$7:$C$70)</f>
        <v>0</v>
      </c>
      <c r="AF12" s="79">
        <f>SUMIF(Tim!$CQ$7:$CQ$70,Ins!F12,Tim!$B$7:$B$70)</f>
        <v>0</v>
      </c>
      <c r="AG12" s="80">
        <f>SUMIF(Tim!$CR$7:$CR$70,Ins!F12,Tim!$B$7:$B$70)+SUMIF(Tim!$CS$7:$CS$70,Ins!F12,Tim!$B$7:$B$70)+SUMIF(Tim!$CT$7:$CT$70,Ins!F12,Tim!$B$7:$B$70)+SUMIF(Tim!$CU$7:$CU$70,Ins!F12,Tim!$B$7:$B$70)+SUMIF(Tim!$CV$7:$CV$70,Ins!F12,Tim!$B$7:$B$70)+SUMIF(Tim!$CW$7:$CW$70,Ins!F12,Tim!$B$7:$B$70)</f>
        <v>0</v>
      </c>
      <c r="AH12" s="80">
        <f>SUMIF(Tim!$CX$7:$CX$70,Ins!F12,Tim!$B$7:$B$70)+SUMIF(Tim!$CY$7:$CY$70,Ins!F12,Tim!$B$7:$B$70)+SUMIF(Tim!$CZ$7:$CZ$70,Ins!F12,Tim!$B$7:$B$70)</f>
        <v>0</v>
      </c>
      <c r="AI12" s="80">
        <f>SUMIF(Tim!$DA$7:$DA$70,Ins!F12,Tim!$B$7:$B$70)+SUMIF(Tim!$DB$7:$DB$70,Ins!F12,Tim!$B$7:$B$70)+SUMIF(Tim!$DC$7:$DC$70,Ins!F12,Tim!$B$7:$B$70)+SUMIF(Tim!$DD$7:$DD$70,Ins!F12,Tim!$B$7:$B$70)+SUMIF(Tim!$DE$7:$DE$70,Ins!F12,Tim!$B$7:$B$70)</f>
        <v>0</v>
      </c>
      <c r="AJ12" s="80">
        <f>SUMIF(Tim!$DF$7:$DF$70,Ins!F12,Tim!$B$7:$B$70)+SUMIF(Tim!$DG$7:$DG$70,Ins!F12,Tim!$B$7:$B$70)+SUMIF(Tim!$DH$7:$DH$70,Ins!F12,Tim!$B$7:$B$70)</f>
        <v>0</v>
      </c>
      <c r="AK12" s="80">
        <f>SUMIF(Tim!DI$7:DI$70,Ins!F12,Tim!$B$7:$B$70)+SUMIF(Tim!DM$7:DM$70,Ins!F12,Tim!$B$7:$B$70)+SUMIF(Tim!DN$7:DN$70,Ins!F12,Tim!$B$7:$B$70)</f>
        <v>0</v>
      </c>
      <c r="AL12" s="80">
        <f>SUMIF(Tim!DO$7:DO$70,Ins!F12,Tim!$B$7:$B$70)</f>
        <v>0</v>
      </c>
      <c r="AM12" s="80">
        <f>SUMIF(Tim!$DP$7:$DP$70,Ins!F12,Tim!$D$7:$D$70)+SUMIF(Tim!$DQ$7:$DQ$70,Ins!F12,Tim!$D$7:$D$70)+SUMIF(Tim!$DR$7:$DR$70,Ins!F12,Tim!$D$7:$D$70)+SUMIF(Tim!$DS$7:$DS$70,Ins!F12,Tim!$D$7:$D$70)+SUMIF(Tim!$DT$7:$DT$70,Ins!F12,Tim!$D$7:$D$70)+SUMIF(Tim!$DU$7:$DU$70,Ins!F12,Tim!$D$7:$D$70)+SUMIF(Tim!$DV$7:$DV$70,Ins!F12,Tim!$D$7:$D$70)+SUMIF(Tim!$DW$7:$DW$70,Ins!F12,Tim!$D$7:$D$70)+SUMIF(Tim!$DX$7:$DX$70,Ins!F12,Tim!$D$7:$D$70)+SUMIF(Tim!$DY$7:$DY$70,Ins!F12,Tim!$D$7:$D$70)+SUMIF(Tim!$DZ$7:$DZ$70,Ins!F12,Tim!$D$7:$D$70)+SUMIF(Tim!$EA$7:$EA$70,Ins!F12,Tim!$D$7:$D$70)</f>
        <v>0</v>
      </c>
      <c r="AN12" s="80">
        <f>SUMIF(Tim!EB$7:EB$70,Ins!F12,Tim!$C$7:$C$70)</f>
        <v>0</v>
      </c>
      <c r="AO12" s="80">
        <f>SUMIF(Tim!EC$7:EC$70,Ins!F12,Tim!$C$7:$C$70)</f>
        <v>0</v>
      </c>
      <c r="AP12" s="80">
        <f>SUMIF(Tim!ED$7:ED$70,Ins!F12,Tim!$C$7:$C$70)+SUMIF(Tim!EE$7:EE$70,Ins!F12,Tim!$C$7:$C$70)+SUMIF(Tim!EF$7:EF$70,Ins!F12,Tim!$C$7:$C$70)</f>
        <v>0</v>
      </c>
      <c r="AQ12" s="81">
        <f>SUMIF(Tim!$EG$7:$EG$70,Ins!F12,Tim!$C$7:$C$70)+SUMIF(Tim!$EH$7:$EH$70,Ins!F12,Tim!$C$7:$C$70)+SUMIF(Tim!$EI$7:$EI$70,Ins!F12,Tim!$C$7:$C$70)+SUMIF(Tim!$EJ$7:$EJ$70,Ins!F12,Tim!$C$7:$C$70)+SUMIF(Tim!$EK$7:$EK$70,Ins!F12,Tim!$C$7:$C$70)</f>
        <v>0</v>
      </c>
      <c r="AR12" s="79">
        <f>SUMIF(Tim!$EL$5:$EL$70,Ins!F12,Tim!$B$5:$B$70)</f>
        <v>0</v>
      </c>
      <c r="AS12" s="80">
        <f>SUMIF(Tim!$EM$5:$EM$70,Ins!F12,Tim!$B$5:$B$70)+SUMIF(Tim!$EN$5:$EN$70,Ins!F12,Tim!$B$5:$B$70)+SUMIF(Tim!$EO$5:$EO$70,Ins!F12,Tim!$B$5:$B$70)+SUMIF(Tim!$EP$5:$EP$70,Ins!F12,Tim!$B$5:$B$70)+SUMIF(Tim!$EQ$5:$EQ$70,Ins!F12,Tim!$B$5:$B$70)+SUMIF(Tim!$ER$5:$ER$70,Ins!F12,Tim!$B$5:$B$70)</f>
        <v>0</v>
      </c>
      <c r="AT12" s="80">
        <f>SUMIF(Tim!$ES$5:$ES$70,Ins!F12,Tim!$B$5:$B$70)+SUMIF(Tim!$ET$5:$ET$70,Ins!F12,Tim!$B$5:$B$70)+SUMIF(Tim!$EU$5:$EU$70,Ins!F12,Tim!$B$5:$B$70)</f>
        <v>0</v>
      </c>
      <c r="AU12" s="80">
        <f>SUMIF(Tim!$EV$5:$EV$70,Ins!F12,Tim!$B$5:$B$70)+SUMIF(Tim!$EW$5:$EW$70,Ins!F12,Tim!$B$5:$B$70)+SUMIF(Tim!$EX$5:$EX$70,Ins!F12,Tim!$B$5:$B$70)+SUMIF(Tim!$EY$5:$EY$70,Ins!F12,Tim!$B$5:$B$70)+SUMIF(Tim!$EZ$5:$EZ$70,Ins!F12,Tim!$B$5:$B$70)</f>
        <v>0</v>
      </c>
      <c r="AV12" s="80">
        <f>SUMIF(Tim!$FA$5:$FA$70,Ins!F12,Tim!$B$5:$B$70)+SUMIF(Tim!$FB$5:$FB$70,Ins!F12,Tim!$B$5:$B$70)+SUMIF(Tim!$FC$5:$FC$70,Ins!F12,Tim!$B$5:$B$70)</f>
        <v>0</v>
      </c>
      <c r="AW12" s="80">
        <f>SUMIF(Tim!FD$5:FD$70,Ins!F12,Tim!$B$5:$B$70)+SUMIF(Tim!FE$5:FE$70,Ins!F12,Tim!$B$5:$B$70)+SUMIF(Tim!FF$5:FF$70,Ins!F12,Tim!$B$5:$B$70)</f>
        <v>0</v>
      </c>
      <c r="AX12" s="80">
        <f>SUMIF(Tim!FG$5:FG$70,Ins!F12,Tim!$B$5:$B$70)</f>
        <v>0</v>
      </c>
      <c r="AY12" s="80">
        <f>SUMIF(Tim!$FH$5:$FH$70,Ins!F12,Tim!$D$5:$D$70)+SUMIF(Tim!$FI$5:$FI$70,Ins!F12,Tim!$D$5:$D$70)+SUMIF(Tim!$FJ$5:$FJ$70,Ins!F12,Tim!$D$5:$D$70)+SUMIF(Tim!$FK$5:$FK$70,Ins!F12,Tim!$D$5:$D$70)+SUMIF(Tim!$FL$5:$FL$70,Ins!F12,Tim!$D$5:$D$70)+SUMIF(Tim!$FM$5:$FM$70,Ins!F12,Tim!$D$5:$D$70)+SUMIF(Tim!$FN$5:$FN$70,Ins!F12,Tim!$D$5:$D$70)+SUMIF(Tim!$FO$5:$FO$70,Ins!F12,Tim!$D$5:$D$70)+SUMIF(Tim!$FP$5:$FP$70,Ins!F12,Tim!$D$5:$D$70)+SUMIF(Tim!$FQ$5:$FQ$70,Ins!F12,Tim!$D$5:$D$70)+SUMIF(Tim!$FR$5:$FR$70,Ins!F12,Tim!$D$5:$D$70)+SUMIF(Tim!$FS$5:$FS$70,Ins!F12,Tim!$D$5:$D$70)</f>
        <v>0</v>
      </c>
      <c r="AZ12" s="80">
        <f>SUMIF(Tim!FT$5:FT$70,Ins!F12,Tim!$C$5:$C$70)</f>
        <v>0</v>
      </c>
      <c r="BA12" s="80">
        <f>SUMIF(Tim!FU$5:FU$70,Ins!F12,Tim!$C$5:$C$70)</f>
        <v>0</v>
      </c>
      <c r="BB12" s="80">
        <f>SUMIF(Tim!FV$5:FV$70,Ins!F12,Tim!$C$5:$C$70)+SUMIF(Tim!FW$5:FW$70,Ins!F12,Tim!$C$5:$C$70)+SUMIF(Tim!FX$5:FX$70,Ins!F12,Tim!$C$5:$C$70)</f>
        <v>0</v>
      </c>
      <c r="BC12" s="81">
        <f>SUMIF(Tim!$FY$5:$FY$70,Ins!F12,Tim!$C$5:$C$70)+SUMIF(Tim!$FZ$5:$FZ$70,Ins!F12,Tim!$C$5:$C$70)+SUMIF(Tim!$GA$5:$GA$70,Ins!F12,Tim!$C$5:$C$70)+SUMIF(Tim!$GB$5:$GB$70,Ins!F12,Tim!$C$5:$C$70)+SUMIF(Tim!$GC$5:$GC$70,Ins!F12,Tim!$C$5:$C$70)</f>
        <v>0</v>
      </c>
      <c r="BD12" s="79">
        <f>SUMIF(Tim!$GD$5:$GD$70,Ins!F12,Tim!$B$5:$B$70)</f>
        <v>0</v>
      </c>
      <c r="BE12" s="80">
        <f>SUMIF(Tim!$GE$5:$GE$70,Ins!F12,Tim!$B$5:$B$70)+SUMIF(Tim!$GF$5:$GF$70,Ins!F12,Tim!$B$5:$B$70)+SUMIF(Tim!$GG$5:$GG$70,Ins!F12,Tim!$B$5:$B$70)+SUMIF(Tim!$GH$5:$GH$70,Ins!F12,Tim!$B$5:$B$70)+SUMIF(Tim!$GI$5:$GI$70,Ins!F12,Tim!$B$5:$B$70)+SUMIF(Tim!$GJ$5:$GJ$70,Ins!F12,Tim!$B$5:$B$70)</f>
        <v>0</v>
      </c>
      <c r="BF12" s="80">
        <f>SUMIF(Tim!$GK$5:$GK$70,Ins!F12,Tim!$B$5:$B$70)+SUMIF(Tim!$GL$5:$GL$70,Ins!F12,Tim!$B$5:$B$70)+SUMIF(Tim!$GM$5:$GM$70,Ins!F12,Tim!$B$5:$B$70)</f>
        <v>0</v>
      </c>
      <c r="BG12" s="80">
        <f>SUMIF(Tim!$GN$5:$GN$70,Ins!F12,Tim!$B$5:$B$70)+SUMIF(Tim!$GO$5:$GO$70,Ins!F12,Tim!$B$5:$B$70)+SUMIF(Tim!$GP$5:$GP$70,Ins!F12,Tim!$B$5:$B$70)+SUMIF(Tim!$GQ$5:$GQ$70,Ins!F12,Tim!$B$5:$B$70)+SUMIF(Tim!$GR$5:$GR$70,Ins!F12,Tim!$B$5:$B$70)</f>
        <v>0</v>
      </c>
      <c r="BH12" s="80">
        <f>SUMIF(Tim!$GS$5:$GS$70,Ins!F12,Tim!$B$5:$B$70)+SUMIF(Tim!$GT$5:$GT$70,Ins!F12,Tim!$B$5:$B$70)+SUMIF(Tim!$GU$5:$GU$70,Ins!F12,Tim!$B$5:$B$70)</f>
        <v>0</v>
      </c>
      <c r="BI12" s="80">
        <f>SUMIF(Tim!GV$5:GV$70,Ins!F12,Tim!$B$5:$B$70)+SUMIF(Tim!GW$5:GW$70,Ins!F12,Tim!$B$5:$B$70)+SUMIF(Tim!GX$5:GX$70,Ins!F12,Tim!$B$5:$B$70)</f>
        <v>0</v>
      </c>
      <c r="BJ12" s="80">
        <f>SUMIF(Tim!GY$5:GY$70,Ins!F12,Tim!$B$5:$B$70)</f>
        <v>0</v>
      </c>
      <c r="BK12" s="80">
        <f>SUMIF(Tim!$GZ$5:$GZ$70,Ins!F12,Tim!$D$5:$D$70)+SUMIF(Tim!$HA$5:$HA$70,Ins!F12,Tim!$D$5:$D$70)+SUMIF(Tim!$HB$5:$HB$70,Ins!F12,Tim!$D$5:$D$70)++SUMIF(Tim!$HC$5:$HC$70,Ins!F12,Tim!$D$5:$D$70)+SUMIF(Tim!$HD$5:$HD$70,Ins!F12,Tim!$D$5:$D$70)+SUMIF(Tim!$HE$5:$HE$70,Ins!F12,Tim!$D$5:$D$70)+SUMIF(Tim!$HF$5:$HF$70,Ins!F12,Tim!$D$5:$D$70)+SUMIF(Tim!$HG$5:$HG$70,Ins!F12,Tim!$D$5:$D$70)+SUMIF(Tim!$HH$5:$HH$70,Ins!F12,Tim!$D$5:$D$70)+SUMIF(Tim!$HI$5:$HI$70,Ins!F12,Tim!$D$5:$D$70)+SUMIF(Tim!$HJ$5:$HJ$70,Ins!F12,Tim!$D$5:$D$70)+SUMIF(Tim!$HK$5:$HK$70,Ins!F12,Tim!$D$5:$D$70)</f>
        <v>0</v>
      </c>
      <c r="BL12" s="80">
        <f>SUMIF(Tim!HL$5:HL$70,Ins!F12,Tim!$C$5:$C$70)</f>
        <v>0</v>
      </c>
      <c r="BM12" s="80">
        <f>SUMIF(Tim!HM$5:HM$70,Ins!F12,Tim!$C$5:$C$70)</f>
        <v>0</v>
      </c>
      <c r="BN12" s="80">
        <f>SUMIF(Tim!HN$5:HN$70,Ins!F12,Tim!$C$5:$C$70)+SUMIF(Tim!HO$5:HO$70,Ins!F12,Tim!$C$5:$C$70)+SUMIF(Tim!HP$5:HP$70,Ins!F12,Tim!$C$5:$C$70)</f>
        <v>0</v>
      </c>
      <c r="BO12" s="81">
        <f>SUMIF(Tim!$HQ$5:$HQ$70,Ins!F12,Tim!$C$5:$C$70)+SUMIF(Tim!$HR$5:$HR$70,Ins!F12,Tim!$C$5:$C$70)+SUMIF(Tim!$HS$5:$HS$70,Ins!F12,Tim!$C$5:$C$70)+SUMIF(Tim!$HT$5:$HT$70,Ins!F12,Tim!$C$5:$C$70)+SUMIF(Tim!$HU$5:$HU$70,Ins!F12,Tim!$C$5:$C$70)</f>
        <v>0</v>
      </c>
      <c r="BP12" s="79">
        <f>SUMIF(Tim!$HV$7:$HV$70,Ins!F12,Tim!$B$7:$B$70)</f>
        <v>0</v>
      </c>
      <c r="BQ12" s="80">
        <f>SUMIF(Tim!$HW$7:$HW$70,Ins!F12,Tim!$B$7:$B$70)+SUMIF(Tim!$HX$7:$HX$70,Ins!F12,Tim!$B$7:$B$70)+SUMIF(Tim!$HY$7:$HY$70,Ins!F12,Tim!$B$7:$B$70)+SUMIF(Tim!$HZ$7:$HZ$70,Ins!F12,Tim!$B$7:$B$70)+SUMIF(Tim!$IA$7:$IA$70,Ins!F12,Tim!$B$7:$B$70)+SUMIF(Tim!$IB$7:$IB$70,Ins!F12,Tim!$B$7:$B$70)</f>
        <v>0</v>
      </c>
      <c r="BR12" s="80">
        <f>SUMIF(Tim!$IC$7:$IC$70,Ins!F12,Tim!$B$7:$B$70)+SUMIF(Tim!$ID$7:$ID$70,Ins!F12,Tim!$B$7:$B$70)+SUMIF(Tim!$IE$7:$IE$70,Ins!F12,Tim!$B$7:$B$70)</f>
        <v>0</v>
      </c>
      <c r="BS12" s="80">
        <f>SUMIF(Tim!$IF$7:$IF$70,Ins!F12,Tim!$B$7:$B$70)+SUMIF(Tim!$IG$7:$IG$70,Ins!F12,Tim!$B$7:$B$70)+SUMIF(Tim!$IH$7:$IH$70,Ins!F12,Tim!$B$7:$B$70)+SUMIF(Tim!$II$7:$II$70,Ins!F12,Tim!$B$7:$B$70)+SUMIF(Tim!$IJ$7:$IJ$70,Ins!F12,Tim!$B$7:$B$70)</f>
        <v>0</v>
      </c>
      <c r="BT12" s="80">
        <f>SUMIF(Tim!$IK$7:$IK$70,Ins!F12,Tim!$B$7:$B$70)+SUMIF(Tim!$IL$7:$IL$70,Ins!F12,Tim!$B$7:$B$70)+SUMIF(Tim!$IM$7:$IM$70,Ins!F12,Tim!$B$7:$B$70)</f>
        <v>0</v>
      </c>
      <c r="BU12" s="80">
        <f>SUMIF(Tim!$IN$7:$IN$70,Ins!F12,Tim!$B$7:$B$70)+SUMIF(Tim!$IO$7:$IO$70,Ins!F12,Tim!$B$7:$B$70)+SUMIF(Tim!$IP$7:$IP$70,Ins!F12,Tim!$B$7:$B$70)</f>
        <v>0</v>
      </c>
      <c r="BV12" s="80">
        <f>SUMIF(Tim!$IQ$7:$IQ$70,Ins!F12,Tim!$B$7:$B$70)</f>
        <v>0</v>
      </c>
      <c r="BW12" s="80">
        <f>SUMIF(Tim!$IR$7:$IR$70,Ins!F12,Tim!$D$7:$D$70)+SUMIF(Tim!$IS$7:$IS$70,Ins!F12,Tim!$D$7:$D$70)+SUMIF(Tim!$IT$7:$IT$70,Ins!F12,Tim!$D$7:$D$70)+SUMIF(Tim!$IU$7:$IU$70,Ins!F12,Tim!$D$7:$D$70)+SUMIF(Tim!$IV$7:$IV$70,Ins!F12,Tim!$D$7:$D$70)+SUMIF(Tim!$IW$7:$IW$70,Ins!F12,Tim!$D$7:$D$70)+SUMIF(Tim!$IX$7:$IX$70,Ins!F12,Tim!$D$7:$D$70)+SUMIF(Tim!$IY$7:$IY$70,Ins!F12,Tim!$D$7:$D$70)+SUMIF(Tim!$IZ$7:$IZ$70,Ins!F12,Tim!$D$7:$D$70)+SUMIF(Tim!$JA$7:$JA$70,Ins!F12,Tim!$D$7:$D$70)+SUMIF(Tim!$JB$7:$JB$70,Ins!F12,Tim!$D$7:$D$70)+SUMIF(Tim!$JC$7:$JC$70,Ins!F12,Tim!$D$7:$D$70)</f>
        <v>0</v>
      </c>
      <c r="BX12" s="80">
        <f>SUMIF(Tim!JD$7:JD$70,Ins!F12,Tim!$C$7:$C$70)</f>
        <v>0</v>
      </c>
      <c r="BY12" s="80">
        <f>SUMIF(Tim!JE$7:JE$70,Ins!F12,Tim!$C$7:$C$70)</f>
        <v>0</v>
      </c>
      <c r="BZ12" s="80">
        <f>SUMIF(Tim!JF$7:JF$70,Ins!F12,Tim!$C$7:$C$70)+SUMIF(Tim!JG$7:JG$70,Ins!F12,Tim!$C$7:$C$70)+SUMIF(Tim!JH$7:JH$70,Ins!F12,Tim!$C$7:$C$70)</f>
        <v>0</v>
      </c>
      <c r="CA12" s="81">
        <f>SUMIF(Tim!$JI$7:$JI$70,Ins!F12,Tim!$C$7:$C$70)++SUMIF(Tim!$JJ$7:$JJ$70,Ins!F12,Tim!$C$7:$C$70)+SUMIF(Tim!$JK$7:$JK$70,Ins!F12,Tim!$C$7:$C$70)+SUMIF(Tim!$JL$7:$JL$70,Ins!F12,Tim!$C$7:$C$70)+SUMIF(Tim!$JM$7:$JM$70,Ins!F12,Tim!$C$7:$C$70)</f>
        <v>0</v>
      </c>
      <c r="CB12" s="79">
        <f>SUMIF(Tim!$JN$7:$JN$70,Ins!F12,Tim!$B$7:$B$70)</f>
        <v>0</v>
      </c>
      <c r="CC12" s="80">
        <f>SUMIF(Tim!$JO$7:$JO$70,Ins!F12,Tim!$B$7:$B$70)+SUMIF(Tim!$JP$7:$JP$70,Ins!F12,Tim!$B$7:$B$70)+SUMIF(Tim!$JQ$7:$JQ$70,Ins!F12,Tim!$B$7:$B$70)+SUMIF(Tim!$JR$7:$JR$70,Ins!F12,Tim!$B$7:$B$70)+SUMIF(Tim!$JS$7:$JS$70,Ins!F12,Tim!$B$7:$B$70)+SUMIF(Tim!$JT$7:$JT$70,Ins!F12,Tim!$B$7:$B$70)</f>
        <v>0</v>
      </c>
      <c r="CD12" s="80">
        <f>SUMIF(Tim!$JW$7:$JW$70,Ins!F12,Tim!$B$7:$B$70)+SUMIF(Tim!$JU$7:$JU$70,Ins!F12,Tim!$B$7:$B$70)+SUMIF(Tim!$JV$7:$JV$70,Ins!F12,Tim!$B$7:$B$70)</f>
        <v>0</v>
      </c>
      <c r="CE12" s="80">
        <f>SUMIF(Tim!$JX$7:$JX$70,Ins!F12,Tim!$B$7:$B$70)+SUMIF(Tim!$JY$7:$JY$70,Ins!F12,Tim!$B$7:$B$70)+SUMIF(Tim!$JZ$7:$JZ$70,Ins!F12,Tim!$B$7:$B$70)+SUMIF(Tim!$KA$7:$KA$70,Ins!F12,Tim!$B$7:$B$70)+SUMIF(Tim!$KB$7:$KB$70,Ins!F12,Tim!$B$7:$B$70)</f>
        <v>0</v>
      </c>
      <c r="CF12" s="80">
        <f>SUMIF(Tim!$KE$7:$KE$70,Ins!F12,Tim!$B$7:$B$70)+SUMIF(Tim!$KC$7:$KC$70,Ins!F12,Tim!$B$7:$B$70)+SUMIF(Tim!$KD$7:$KD$70,Ins!F12,Tim!$B$7:$B$70)</f>
        <v>0</v>
      </c>
      <c r="CG12" s="80">
        <f>SUMIF(Tim!$KF$7:$KF$70,Ins!F12,Tim!$B$7:$B$70)+SUMIF(Tim!$KG$7:$KG$70,Ins!F12,Tim!$B$7:$B$70)+SUMIF(Tim!$KH$7:$KH$70,Ins!F12,Tim!$B$7:$B$70)</f>
        <v>0</v>
      </c>
      <c r="CH12" s="80">
        <f>SUMIF(Tim!$KI$7:$KI$70,Ins!F12,Tim!$B$7:$B$70)</f>
        <v>0</v>
      </c>
      <c r="CI12" s="80">
        <f>SUMIF(Tim!$KJ$7:$KJ$70,Ins!F12,Tim!$D$7:$D$70)+SUMIF(Tim!$KK$7:$KK$70,Ins!F12,Tim!$D$7:$D$70)+SUMIF(Tim!$KL$7:$KL$70,Ins!F12,Tim!$D$7:$D$70)+SUMIF(Tim!$KM$7:$KM$70,Ins!F12,Tim!$D$7:$D$70)+SUMIF(Tim!$KN$7:$KN$70,Ins!F12,Tim!$D$7:$D$70)+SUMIF(Tim!$KO$7:$KO$70,Ins!F12,Tim!$D$7:$D$70)+SUMIF(Tim!$KP$7:$KP$70,Ins!F12,Tim!$D$7:$D$70)+SUMIF(Tim!$KQ$7:$KQ$70,Ins!F12,Tim!$D$7:$D$70)+SUMIF(Tim!$KR$7:$KR$70,Ins!F12,Tim!$D$7:$D$70)+SUMIF(Tim!$KS$7:$KS$70,Ins!F12,Tim!$D$7:$D$70)+SUMIF(Tim!$KT$7:$KT$70,Ins!F12,Tim!$D$7:$D$70)+SUMIF(Tim!$KU$7:$KU$70,Ins!F12,Tim!$D$7:$D$70)</f>
        <v>0</v>
      </c>
      <c r="CJ12" s="80">
        <f>SUMIF(Tim!KV$7:KV$70,Ins!F12,Tim!$C$7:$C$70)</f>
        <v>0</v>
      </c>
      <c r="CK12" s="80">
        <f>SUMIF(Tim!KW$7:KW$70,Ins!F12,Tim!$C$7:$C$70)</f>
        <v>0</v>
      </c>
      <c r="CL12" s="80">
        <f>SUMIF(Tim!KX$7:KX$70,Ins!F12,Tim!$C$7:$C$70)+SUMIF(Tim!KY$7:KY$70,Ins!F12,Tim!$C$7:$C$70)+SUMIF(Tim!KZ$7:KZ$70,Ins!F12,Tim!$C$7:$C$70)</f>
        <v>0</v>
      </c>
      <c r="CM12" s="81">
        <f>SUMIF(Tim!$LA$7:$LA$70,Ins!F12,Tim!$C$7:$C$70)+SUMIF(Tim!$LB$7:$LB$70,Ins!F12,Tim!$C$7:$C$70)+SUMIF(Tim!$LC$7:$LC$70,Ins!F12,Tim!$C$7:$C$70)+SUMIF(Tim!$LD$7:$LD$70,Ins!F12,Tim!$C$7:$C$70)+SUMIF(Tim!$LE$7:$LE$70,Ins!F12,Tim!$C$7:$C$70)</f>
        <v>0</v>
      </c>
      <c r="CN12" s="22"/>
      <c r="CO12" s="180">
        <f t="shared" ref="CO12:CO13" si="68">H12+T12+AF12+AR12+BD12+BP12+CB12</f>
        <v>0</v>
      </c>
      <c r="CP12" s="179">
        <f t="shared" ref="CP12:CP13" si="69">I12+U12+AG12+AS12+BE12+BQ12+CC12</f>
        <v>0</v>
      </c>
      <c r="CQ12" s="179">
        <f t="shared" ref="CQ12:CQ13" si="70">J12+V12+AH12+AT12+BF12+BR12+CD12</f>
        <v>0</v>
      </c>
      <c r="CR12" s="179">
        <f t="shared" ref="CR12:CR13" si="71">K12+W12+AI12+AU12+BG12+BS12+CE12</f>
        <v>0</v>
      </c>
      <c r="CS12" s="179">
        <f t="shared" ref="CS12:CS13" si="72">L12+X12+AJ12+AV12+BH12+BT12+CF12</f>
        <v>0</v>
      </c>
      <c r="CT12" s="179">
        <f t="shared" ref="CT12:CT13" si="73">M12+Y12+AK12+AW12+BI12+BU12+CG12</f>
        <v>0</v>
      </c>
      <c r="CU12" s="179">
        <f t="shared" ref="CU12:CU13" si="74">N12+Z12+AL12+AX12+BJ12+BV12+CH12</f>
        <v>0</v>
      </c>
      <c r="CV12" s="179">
        <f t="shared" ref="CV12:CV13" si="75">O12+AA12+AM12+AY12+BK12+BW12+CI12</f>
        <v>0</v>
      </c>
      <c r="CW12" s="179">
        <f t="shared" ref="CW12:CW13" si="76">P12+AB12+AN12+AZ12+BL12+BX12+CJ12</f>
        <v>0</v>
      </c>
      <c r="CX12" s="179">
        <f t="shared" ref="CX12:CX13" si="77">Q12+AC12+AO12+BA12+BM12+BY12+CK12</f>
        <v>0</v>
      </c>
      <c r="CY12" s="179">
        <f t="shared" ref="CY12:CY13" si="78">R12+AD12+AP12+BB12+BN12+BZ12+CL12</f>
        <v>0</v>
      </c>
      <c r="CZ12" s="179">
        <f t="shared" ref="CZ12:CZ13" si="79">S12+AE12+AQ12+BC12+BO12+CA12+CM12</f>
        <v>0</v>
      </c>
      <c r="DA12" s="78">
        <f t="shared" ref="DA12:DA13" si="80">SUM(CO12:CZ12)</f>
        <v>0</v>
      </c>
      <c r="DB12" s="16"/>
      <c r="DC12" s="34">
        <f t="shared" ref="DC12:DC13" si="81">SUM(H12:S12)</f>
        <v>0</v>
      </c>
      <c r="DD12" s="34">
        <f t="shared" ref="DD12:DD13" si="82">SUM(T12:AE12)</f>
        <v>0</v>
      </c>
      <c r="DE12" s="34">
        <f t="shared" ref="DE12:DE13" si="83">SUM(AF12:AQ12)</f>
        <v>0</v>
      </c>
      <c r="DF12" s="34">
        <f t="shared" ref="DF12:DF13" si="84">SUM(AR12:BC12)</f>
        <v>0</v>
      </c>
      <c r="DG12" s="34">
        <f t="shared" ref="DG12:DG13" si="85">SUM(BD12:BO12)</f>
        <v>0</v>
      </c>
      <c r="DH12" s="34">
        <f t="shared" ref="DH12:DH13" si="86">SUM(BP12:CA12)</f>
        <v>0</v>
      </c>
      <c r="DI12" s="34">
        <f t="shared" ref="DI12:DI13" si="87">SUM(CB12:CM12)</f>
        <v>0</v>
      </c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7"/>
    </row>
    <row r="13" spans="1:125" ht="12" hidden="1" customHeight="1">
      <c r="A13" s="10">
        <v>11</v>
      </c>
      <c r="B13" s="229" t="s">
        <v>420</v>
      </c>
      <c r="C13" s="185"/>
      <c r="D13" s="230"/>
      <c r="E13" s="230"/>
      <c r="F13" s="298" t="s">
        <v>339</v>
      </c>
      <c r="G13" s="231" t="s">
        <v>192</v>
      </c>
      <c r="H13" s="79">
        <f>SUMIF(Tim!$F$7:$F$70,Ins!F13,Tim!$B$7:$B$70)</f>
        <v>0</v>
      </c>
      <c r="I13" s="80">
        <f>SUMIF(Tim!$G$7:$G$70,Ins!F13,Tim!$B$7:$B$70)+SUMIF(Tim!$H$7:$H$70,Ins!F13,Tim!$B$7:$B$70)+SUMIF(Tim!$I$7:$I$70,Ins!F13,Tim!$B$7:$B$70)+SUMIF(Tim!$J$7:$J$70,Ins!F13,Tim!$B$7:$B$70)+SUMIF(Tim!$K$7:$K$70,Ins!F13,Tim!$B$7:$B$70)+SUMIF(Tim!$L$7:$L$70,Ins!F13,Tim!$B$7:$B$70)</f>
        <v>0</v>
      </c>
      <c r="J13" s="80">
        <f>SUMIF(Tim!$M$7:$M$70,Ins!F13,Tim!$B$7:$B$70)+SUMIF(Tim!$O$7:$O$70,Ins!F13,Tim!$B$7:$B$70)+SUMIF(Tim!$N$7:$N$70,Ins!F13,Tim!$B$7:$B$70)</f>
        <v>0</v>
      </c>
      <c r="K13" s="80">
        <f>SUMIF(Tim!$P$7:$P$70,Ins!F13,Tim!$B$7:$B$70)+SUMIF(Tim!$Q$7:$Q$70,Ins!F13,Tim!$B$7:$B$70)+SUMIF(Tim!$R$7:$R$70,Ins!F13,Tim!$B$7:$B$70)+SUMIF(Tim!$S$7:$S$70,Ins!F13,Tim!$B$7:$B$70)+SUMIF(Tim!$T$7:$T$70,Ins!F13,Tim!$B$7:$B$70)</f>
        <v>0</v>
      </c>
      <c r="L13" s="80">
        <f>SUMIF(Tim!$U$7:$U$70,Ins!F13,Tim!$B$7:$B$70)+SUMIF(Tim!$W$7:$W$70,Ins!F13,Tim!$B$7:$B$70)+SUMIF(Tim!$X$7:$X$70,Ins!F13,Tim!$B$7:$B$70)</f>
        <v>0</v>
      </c>
      <c r="M13" s="80">
        <f>SUMIF(Tim!$Y$7:$Y$70,Ins!F13,Tim!$B$7:$B$70)+SUMIF(Tim!$Z$7:$Z$70,Ins!F13,Tim!$B$7:$B$70)+SUMIF(Tim!$AA$7:$AA$70,Ins!F13,Tim!$B$7:$B$70)</f>
        <v>0</v>
      </c>
      <c r="N13" s="80">
        <f>SUMIF(Tim!$AB$7:$AB$70,Ins!F13,Tim!$B$7:$B$70)</f>
        <v>0</v>
      </c>
      <c r="O13" s="80">
        <f>SUMIF(Tim!$AC$7:$AC$70,Ins!F13,Tim!$D$7:$D$70)+SUMIF(Tim!$AD$7:$AD$70,Ins!F13,Tim!$D$7:$D$70)+SUMIF(Tim!$AE$7:$AE$70,Ins!F13,Tim!$D$7:$D$70)+SUMIF(Tim!$AF$7:$AF$70,Ins!F13,Tim!$D$7:$D$70)+SUMIF(Tim!$AG$7:$AG$70,Ins!F13,Tim!$D$7:$D$70)+SUMIF(Tim!$AH$7:$AH$70,Ins!F13,Tim!$D$7:$D$70)+SUMIF(Tim!$AI$7:$AI$70,Ins!F13,Tim!$D$7:$D$70)+SUMIF(Tim!$AJ$7:$AJ$70,Ins!F13,Tim!$D$7:$D$70)+SUMIF(Tim!$AK$7:$AK$70,Ins!F13,Tim!$D$7:$D$70)+SUMIF(Tim!$AL$7:$AL$70,Ins!F13,Tim!$D$7:$D$70)+SUMIF(Tim!$AM$7:$AM$70,Ins!F13,Tim!$D$7:$D$70)+SUMIF(Tim!$AN$7:$AN$70,Ins!F13,Tim!$D$7:$D$70)</f>
        <v>0</v>
      </c>
      <c r="P13" s="80">
        <f>SUMIF(Tim!AO$7:AO$70,Ins!F13,Tim!$C$7:$C$70)</f>
        <v>0</v>
      </c>
      <c r="Q13" s="80">
        <f>SUMIF(Tim!AP$7:AP$70,Ins!F13,Tim!$C$7:$C$70)</f>
        <v>0</v>
      </c>
      <c r="R13" s="80">
        <f>SUMIF(Tim!AQ$7:AQ$70,Ins!F13,Tim!$C$7:$C$70)+SUMIF(Tim!AR$7:AR$70,Ins!F13,Tim!$C$7:$C$70)+SUMIF(Tim!AS$7:AS$70,Ins!F13,Tim!$C$7:$C$70)</f>
        <v>0</v>
      </c>
      <c r="S13" s="236">
        <f>SUMIF(Tim!$AT$7:$AT$70,Ins!F13,Tim!$C$7:$C$70)+SUMIF(Tim!$AU$7:$AU$70,Ins!F13,Tim!$C$7:$C79)+SUMIF(Tim!$AV$7:$AV$70,Ins!F13,Tim!$C$7:$C$70)+SUMIF(Tim!$AW$7:$AW$70,Ins!F13,Tim!$C$7:$C$70)+SUMIF(Tim!$AX$7:$AX$70,Ins!F13,Tim!$C$7:$C$70)</f>
        <v>0</v>
      </c>
      <c r="T13" s="79">
        <f>SUMIF(Tim!$AY$7:$AY$70,Ins!F13,Tim!$B$7:$B$70)</f>
        <v>0</v>
      </c>
      <c r="U13" s="80">
        <f>SUMIF(Tim!$AZ$7:$AZ$70,Ins!F13,Tim!$B$7:$B$70)+SUMIF(Tim!$BA$7:$BA$70,Ins!F13,Tim!$B$7:$B$70)+SUMIF(Tim!$BB$7:$BB$70,Ins!F13,Tim!$B$7:$B$70)+SUMIF(Tim!$BC$7:$BC$70,Ins!F13,Tim!$B$7:$B$70)+SUMIF(Tim!$BD$7:$BD$70,Ins!F13,Tim!$B$7:$B$70)+SUMIF(Tim!$BE$7:$BE$70,Ins!F13,Tim!$B$7:$B$70)</f>
        <v>0</v>
      </c>
      <c r="V13" s="80">
        <f>SUMIF(Tim!$BF$7:$BF$70,Ins!F13,Tim!$B$7:$B$70)+SUMIF(Tim!$BG$7:$BG$70,Ins!F13,Tim!$B$7:$B$70)+SUMIF(Tim!$BH$7:$BH$70,Ins!F13,Tim!$B$7:$B$70)</f>
        <v>0</v>
      </c>
      <c r="W13" s="80">
        <f>SUMIF(Tim!$BI$7:$BI$70,Ins!F13,Tim!$B$7:$B$70)+SUMIF(Tim!$BJ$7:$BJ$70,Ins!F13,Tim!$B$7:$B$70)+SUMIF(Tim!$BK$7:$BK$70,Ins!F13,Tim!$B$7:$B$70)+SUMIF(Tim!$BL$7:$BL$70,Ins!F13,Tim!$B$7:$B$70)+SUMIF(Tim!$BM$7:$BM$70,Ins!F13,Tim!$B$7:$B$70)</f>
        <v>0</v>
      </c>
      <c r="X13" s="80">
        <f>SUMIF(Tim!$BN$7:$BN$70,Ins!F13,Tim!$B$7:$B$70)+SUMIF(Tim!$BO$7:$BO$70,Ins!F13,Tim!$B$7:$B$70)+SUMIF(Tim!$BP$7:$BP$70,Ins!F13,Tim!$B$7:$B$70)</f>
        <v>0</v>
      </c>
      <c r="Y13" s="80">
        <f>SUMIF(Tim!$BQ$7:$BQ$70,Ins!F13,Tim!$B$7:$B$70)+SUMIF(Tim!$BR$7:$BR$70,Ins!F13,Tim!$B$7:$B$70)+SUMIF(Tim!$BS$7:$BS$70,Ins!F13,Tim!$B$7:$B$70)</f>
        <v>0</v>
      </c>
      <c r="Z13" s="80">
        <f>SUMIF(Tim!BT$7:BT$70,Ins!F13,Tim!$B$7:$B$70)</f>
        <v>0</v>
      </c>
      <c r="AA13" s="80">
        <f>SUMIF(Tim!$BU$7:$BU$70,Ins!F13,Tim!$D$7:$D$70)+SUMIF(Tim!$BV$7:$BV$70,Ins!F13,Tim!$D$7:$D$70)+SUMIF(Tim!$BW$7:$BW$70,Ins!F13,Tim!$D$7:$D$70)+SUMIF(Tim!$BX$7:$BX$70,Ins!F13,Tim!$D$7:$D$70)+SUMIF(Tim!$BY$7:$BY$70,Ins!F13,Tim!$D$7:$D$70)+SUMIF(Tim!$BZ$7:$BZ$70,Ins!F13,Tim!$D$7:$D$70)+SUMIF(Tim!$CA$7:$CA$70,Ins!F13,Tim!$D$7:$D$70)+SUMIF(Tim!$CB$7:$CB$70,Ins!F13,Tim!$D$7:$D$70)+SUMIF(Tim!$CC$7:$CC$70,Ins!F13,Tim!$D$7:$D$70)+SUMIF(Tim!$CD$7:$CD$70,Ins!F13,Tim!$D$7:$D$70)+SUMIF(Tim!$CE$7:$CE$70,Ins!F13,Tim!$D$7:$D$70)+SUMIF(Tim!$CF$7:$CF$70,Ins!F13,Tim!$D$7:$D$70)</f>
        <v>0</v>
      </c>
      <c r="AB13" s="80">
        <f>SUMIF(Tim!CG$7:CG$70,Ins!F13,Tim!$C$7:$C$70)</f>
        <v>0</v>
      </c>
      <c r="AC13" s="80">
        <f>SUMIF(Tim!CH$7:CH$70,Ins!F13,Tim!$C$7:$C$70)</f>
        <v>0</v>
      </c>
      <c r="AD13" s="80">
        <f>SUMIF(Tim!CI$7:CI$70,Ins!F13,Tim!$C$7:$C$70)+SUMIF(Tim!CJ$7:CJ$70,Ins!F13,Tim!$C$7:$C$70)+SUMIF(Tim!CK$7:CK$70,Ins!F13,Tim!$C$7:$C$70)</f>
        <v>0</v>
      </c>
      <c r="AE13" s="81">
        <f>SUMIF(Tim!$CL$7:$CL$70,Ins!F13,Tim!$C$7:$C$70)+SUMIF(Tim!$CM$7:$CM$70,Ins!F13,Tim!$C$7:$C$70)+SUMIF(Tim!$CN$7:$CN$70,Ins!F13,Tim!$C$7:$C$70)+SUMIF(Tim!$CO$7:$CO$70,Ins!F13,Tim!$C$7:$C$70)+SUMIF(Tim!$CP$7:$CP$70,Ins!F13,Tim!$C$7:$C$70)</f>
        <v>0</v>
      </c>
      <c r="AF13" s="79">
        <f>SUMIF(Tim!$CQ$7:$CQ$70,Ins!F13,Tim!$B$7:$B$70)</f>
        <v>0</v>
      </c>
      <c r="AG13" s="80">
        <f>SUMIF(Tim!$CR$7:$CR$70,Ins!F13,Tim!$B$7:$B$70)+SUMIF(Tim!$CS$7:$CS$70,Ins!F13,Tim!$B$7:$B$70)+SUMIF(Tim!$CT$7:$CT$70,Ins!F13,Tim!$B$7:$B$70)+SUMIF(Tim!$CU$7:$CU$70,Ins!F13,Tim!$B$7:$B$70)+SUMIF(Tim!$CV$7:$CV$70,Ins!F13,Tim!$B$7:$B$70)+SUMIF(Tim!$CW$7:$CW$70,Ins!F13,Tim!$B$7:$B$70)</f>
        <v>0</v>
      </c>
      <c r="AH13" s="80">
        <f>SUMIF(Tim!$CX$7:$CX$70,Ins!F13,Tim!$B$7:$B$70)+SUMIF(Tim!$CY$7:$CY$70,Ins!F13,Tim!$B$7:$B$70)+SUMIF(Tim!$CZ$7:$CZ$70,Ins!F13,Tim!$B$7:$B$70)</f>
        <v>0</v>
      </c>
      <c r="AI13" s="80">
        <f>SUMIF(Tim!$DA$7:$DA$70,Ins!F13,Tim!$B$7:$B$70)+SUMIF(Tim!$DB$7:$DB$70,Ins!F13,Tim!$B$7:$B$70)+SUMIF(Tim!$DC$7:$DC$70,Ins!F13,Tim!$B$7:$B$70)+SUMIF(Tim!$DD$7:$DD$70,Ins!F13,Tim!$B$7:$B$70)+SUMIF(Tim!$DE$7:$DE$70,Ins!F13,Tim!$B$7:$B$70)</f>
        <v>0</v>
      </c>
      <c r="AJ13" s="80">
        <f>SUMIF(Tim!$DF$7:$DF$70,Ins!F13,Tim!$B$7:$B$70)+SUMIF(Tim!$DG$7:$DG$70,Ins!F13,Tim!$B$7:$B$70)+SUMIF(Tim!$DH$7:$DH$70,Ins!F13,Tim!$B$7:$B$70)</f>
        <v>0</v>
      </c>
      <c r="AK13" s="80">
        <f>SUMIF(Tim!DI$7:DI$70,Ins!F13,Tim!$B$7:$B$70)+SUMIF(Tim!DM$7:DM$70,Ins!F13,Tim!$B$7:$B$70)+SUMIF(Tim!DN$7:DN$70,Ins!F13,Tim!$B$7:$B$70)</f>
        <v>0</v>
      </c>
      <c r="AL13" s="80">
        <f>SUMIF(Tim!DO$7:DO$70,Ins!F13,Tim!$B$7:$B$70)</f>
        <v>0</v>
      </c>
      <c r="AM13" s="80">
        <f>SUMIF(Tim!$DP$7:$DP$70,Ins!F13,Tim!$D$7:$D$70)+SUMIF(Tim!$DQ$7:$DQ$70,Ins!F13,Tim!$D$7:$D$70)+SUMIF(Tim!$DR$7:$DR$70,Ins!F13,Tim!$D$7:$D$70)+SUMIF(Tim!$DS$7:$DS$70,Ins!F13,Tim!$D$7:$D$70)+SUMIF(Tim!$DT$7:$DT$70,Ins!F13,Tim!$D$7:$D$70)+SUMIF(Tim!$DU$7:$DU$70,Ins!F13,Tim!$D$7:$D$70)+SUMIF(Tim!$DV$7:$DV$70,Ins!F13,Tim!$D$7:$D$70)+SUMIF(Tim!$DW$7:$DW$70,Ins!F13,Tim!$D$7:$D$70)+SUMIF(Tim!$DX$7:$DX$70,Ins!F13,Tim!$D$7:$D$70)+SUMIF(Tim!$DY$7:$DY$70,Ins!F13,Tim!$D$7:$D$70)+SUMIF(Tim!$DZ$7:$DZ$70,Ins!F13,Tim!$D$7:$D$70)+SUMIF(Tim!$EA$7:$EA$70,Ins!F13,Tim!$D$7:$D$70)</f>
        <v>0</v>
      </c>
      <c r="AN13" s="80">
        <f>SUMIF(Tim!EB$7:EB$70,Ins!F13,Tim!$C$7:$C$70)</f>
        <v>0</v>
      </c>
      <c r="AO13" s="80">
        <f>SUMIF(Tim!EC$7:EC$70,Ins!F13,Tim!$C$7:$C$70)</f>
        <v>0</v>
      </c>
      <c r="AP13" s="80">
        <f>SUMIF(Tim!ED$7:ED$70,Ins!F13,Tim!$C$7:$C$70)+SUMIF(Tim!EE$7:EE$70,Ins!F13,Tim!$C$7:$C$70)+SUMIF(Tim!EF$7:EF$70,Ins!F13,Tim!$C$7:$C$70)</f>
        <v>0</v>
      </c>
      <c r="AQ13" s="81">
        <f>SUMIF(Tim!$EG$7:$EG$70,Ins!F13,Tim!$C$7:$C$70)+SUMIF(Tim!$EH$7:$EH$70,Ins!F13,Tim!$C$7:$C$70)+SUMIF(Tim!$EI$7:$EI$70,Ins!F13,Tim!$C$7:$C$70)+SUMIF(Tim!$EJ$7:$EJ$70,Ins!F13,Tim!$C$7:$C$70)+SUMIF(Tim!$EK$7:$EK$70,Ins!F13,Tim!$C$7:$C$70)</f>
        <v>0</v>
      </c>
      <c r="AR13" s="79">
        <f>SUMIF(Tim!$EL$5:$EL$70,Ins!F13,Tim!$B$5:$B$70)</f>
        <v>0</v>
      </c>
      <c r="AS13" s="80">
        <f>SUMIF(Tim!$EM$5:$EM$70,Ins!F13,Tim!$B$5:$B$70)+SUMIF(Tim!$EN$5:$EN$70,Ins!F13,Tim!$B$5:$B$70)+SUMIF(Tim!$EO$5:$EO$70,Ins!F13,Tim!$B$5:$B$70)+SUMIF(Tim!$EP$5:$EP$70,Ins!F13,Tim!$B$5:$B$70)+SUMIF(Tim!$EQ$5:$EQ$70,Ins!F13,Tim!$B$5:$B$70)+SUMIF(Tim!$ER$5:$ER$70,Ins!F13,Tim!$B$5:$B$70)</f>
        <v>0</v>
      </c>
      <c r="AT13" s="80">
        <f>SUMIF(Tim!$ES$5:$ES$70,Ins!F13,Tim!$B$5:$B$70)+SUMIF(Tim!$ET$5:$ET$70,Ins!F13,Tim!$B$5:$B$70)+SUMIF(Tim!$EU$5:$EU$70,Ins!F13,Tim!$B$5:$B$70)</f>
        <v>0</v>
      </c>
      <c r="AU13" s="80">
        <f>SUMIF(Tim!$EV$5:$EV$70,Ins!F13,Tim!$B$5:$B$70)+SUMIF(Tim!$EW$5:$EW$70,Ins!F13,Tim!$B$5:$B$70)+SUMIF(Tim!$EX$5:$EX$70,Ins!F13,Tim!$B$5:$B$70)+SUMIF(Tim!$EY$5:$EY$70,Ins!F13,Tim!$B$5:$B$70)+SUMIF(Tim!$EZ$5:$EZ$70,Ins!F13,Tim!$B$5:$B$70)</f>
        <v>0</v>
      </c>
      <c r="AV13" s="80">
        <f>SUMIF(Tim!$FA$5:$FA$70,Ins!F13,Tim!$B$5:$B$70)+SUMIF(Tim!$FB$5:$FB$70,Ins!F13,Tim!$B$5:$B$70)+SUMIF(Tim!$FC$5:$FC$70,Ins!F13,Tim!$B$5:$B$70)</f>
        <v>0</v>
      </c>
      <c r="AW13" s="80">
        <f>SUMIF(Tim!FD$5:FD$70,Ins!F13,Tim!$B$5:$B$70)+SUMIF(Tim!FE$5:FE$70,Ins!F13,Tim!$B$5:$B$70)+SUMIF(Tim!FF$5:FF$70,Ins!F13,Tim!$B$5:$B$70)</f>
        <v>0</v>
      </c>
      <c r="AX13" s="80">
        <f>SUMIF(Tim!FG$5:FG$70,Ins!F13,Tim!$B$5:$B$70)</f>
        <v>0</v>
      </c>
      <c r="AY13" s="80">
        <f>SUMIF(Tim!$FH$5:$FH$70,Ins!F13,Tim!$D$5:$D$70)+SUMIF(Tim!$FI$5:$FI$70,Ins!F13,Tim!$D$5:$D$70)+SUMIF(Tim!$FJ$5:$FJ$70,Ins!F13,Tim!$D$5:$D$70)+SUMIF(Tim!$FK$5:$FK$70,Ins!F13,Tim!$D$5:$D$70)+SUMIF(Tim!$FL$5:$FL$70,Ins!F13,Tim!$D$5:$D$70)+SUMIF(Tim!$FM$5:$FM$70,Ins!F13,Tim!$D$5:$D$70)+SUMIF(Tim!$FN$5:$FN$70,Ins!F13,Tim!$D$5:$D$70)+SUMIF(Tim!$FO$5:$FO$70,Ins!F13,Tim!$D$5:$D$70)+SUMIF(Tim!$FP$5:$FP$70,Ins!F13,Tim!$D$5:$D$70)+SUMIF(Tim!$FQ$5:$FQ$70,Ins!F13,Tim!$D$5:$D$70)+SUMIF(Tim!$FR$5:$FR$70,Ins!F13,Tim!$D$5:$D$70)+SUMIF(Tim!$FS$5:$FS$70,Ins!F13,Tim!$D$5:$D$70)</f>
        <v>0</v>
      </c>
      <c r="AZ13" s="80">
        <f>SUMIF(Tim!FT$5:FT$70,Ins!F13,Tim!$C$5:$C$70)</f>
        <v>0</v>
      </c>
      <c r="BA13" s="80">
        <f>SUMIF(Tim!FU$5:FU$70,Ins!F13,Tim!$C$5:$C$70)</f>
        <v>0</v>
      </c>
      <c r="BB13" s="80">
        <f>SUMIF(Tim!FV$5:FV$70,Ins!F13,Tim!$C$5:$C$70)+SUMIF(Tim!FW$5:FW$70,Ins!F13,Tim!$C$5:$C$70)+SUMIF(Tim!FX$5:FX$70,Ins!F13,Tim!$C$5:$C$70)</f>
        <v>0</v>
      </c>
      <c r="BC13" s="81">
        <f>SUMIF(Tim!$FY$5:$FY$70,Ins!F13,Tim!$C$5:$C$70)+SUMIF(Tim!$FZ$5:$FZ$70,Ins!F13,Tim!$C$5:$C$70)+SUMIF(Tim!$GA$5:$GA$70,Ins!F13,Tim!$C$5:$C$70)+SUMIF(Tim!$GB$5:$GB$70,Ins!F13,Tim!$C$5:$C$70)+SUMIF(Tim!$GC$5:$GC$70,Ins!F13,Tim!$C$5:$C$70)</f>
        <v>0</v>
      </c>
      <c r="BD13" s="79">
        <f>SUMIF(Tim!$GD$5:$GD$70,Ins!F13,Tim!$B$5:$B$70)</f>
        <v>0</v>
      </c>
      <c r="BE13" s="80">
        <f>SUMIF(Tim!$GE$5:$GE$70,Ins!F13,Tim!$B$5:$B$70)+SUMIF(Tim!$GF$5:$GF$70,Ins!F13,Tim!$B$5:$B$70)+SUMIF(Tim!$GG$5:$GG$70,Ins!F13,Tim!$B$5:$B$70)+SUMIF(Tim!$GH$5:$GH$70,Ins!F13,Tim!$B$5:$B$70)+SUMIF(Tim!$GI$5:$GI$70,Ins!F13,Tim!$B$5:$B$70)+SUMIF(Tim!$GJ$5:$GJ$70,Ins!F13,Tim!$B$5:$B$70)</f>
        <v>0</v>
      </c>
      <c r="BF13" s="80">
        <f>SUMIF(Tim!$GK$5:$GK$70,Ins!F13,Tim!$B$5:$B$70)+SUMIF(Tim!$GL$5:$GL$70,Ins!F13,Tim!$B$5:$B$70)+SUMIF(Tim!$GM$5:$GM$70,Ins!F13,Tim!$B$5:$B$70)</f>
        <v>0</v>
      </c>
      <c r="BG13" s="80">
        <f>SUMIF(Tim!$GN$5:$GN$70,Ins!F13,Tim!$B$5:$B$70)+SUMIF(Tim!$GO$5:$GO$70,Ins!F13,Tim!$B$5:$B$70)+SUMIF(Tim!$GP$5:$GP$70,Ins!F13,Tim!$B$5:$B$70)+SUMIF(Tim!$GQ$5:$GQ$70,Ins!F13,Tim!$B$5:$B$70)+SUMIF(Tim!$GR$5:$GR$70,Ins!F13,Tim!$B$5:$B$70)</f>
        <v>0</v>
      </c>
      <c r="BH13" s="80">
        <f>SUMIF(Tim!$GS$5:$GS$70,Ins!F13,Tim!$B$5:$B$70)+SUMIF(Tim!$GT$5:$GT$70,Ins!F13,Tim!$B$5:$B$70)+SUMIF(Tim!$GU$5:$GU$70,Ins!F13,Tim!$B$5:$B$70)</f>
        <v>0</v>
      </c>
      <c r="BI13" s="80">
        <f>SUMIF(Tim!GV$5:GV$70,Ins!F13,Tim!$B$5:$B$70)+SUMIF(Tim!GW$5:GW$70,Ins!F13,Tim!$B$5:$B$70)+SUMIF(Tim!GX$5:GX$70,Ins!F13,Tim!$B$5:$B$70)</f>
        <v>0</v>
      </c>
      <c r="BJ13" s="80">
        <f>SUMIF(Tim!GY$5:GY$70,Ins!F13,Tim!$B$5:$B$70)</f>
        <v>0</v>
      </c>
      <c r="BK13" s="80">
        <f>SUMIF(Tim!$GZ$5:$GZ$70,Ins!F13,Tim!$D$5:$D$70)+SUMIF(Tim!$HA$5:$HA$70,Ins!F13,Tim!$D$5:$D$70)+SUMIF(Tim!$HB$5:$HB$70,Ins!F13,Tim!$D$5:$D$70)++SUMIF(Tim!$HC$5:$HC$70,Ins!F13,Tim!$D$5:$D$70)+SUMIF(Tim!$HD$5:$HD$70,Ins!F13,Tim!$D$5:$D$70)+SUMIF(Tim!$HE$5:$HE$70,Ins!F13,Tim!$D$5:$D$70)+SUMIF(Tim!$HF$5:$HF$70,Ins!F13,Tim!$D$5:$D$70)+SUMIF(Tim!$HG$5:$HG$70,Ins!F13,Tim!$D$5:$D$70)+SUMIF(Tim!$HH$5:$HH$70,Ins!F13,Tim!$D$5:$D$70)+SUMIF(Tim!$HI$5:$HI$70,Ins!F13,Tim!$D$5:$D$70)+SUMIF(Tim!$HJ$5:$HJ$70,Ins!F13,Tim!$D$5:$D$70)+SUMIF(Tim!$HK$5:$HK$70,Ins!F13,Tim!$D$5:$D$70)</f>
        <v>0</v>
      </c>
      <c r="BL13" s="80">
        <f>SUMIF(Tim!HL$5:HL$70,Ins!F13,Tim!$C$5:$C$70)</f>
        <v>0</v>
      </c>
      <c r="BM13" s="80">
        <f>SUMIF(Tim!HM$5:HM$70,Ins!F13,Tim!$C$5:$C$70)</f>
        <v>0</v>
      </c>
      <c r="BN13" s="80">
        <f>SUMIF(Tim!HN$5:HN$70,Ins!F13,Tim!$C$5:$C$70)+SUMIF(Tim!HO$5:HO$70,Ins!F13,Tim!$C$5:$C$70)+SUMIF(Tim!HP$5:HP$70,Ins!F13,Tim!$C$5:$C$70)</f>
        <v>0</v>
      </c>
      <c r="BO13" s="81">
        <f>SUMIF(Tim!$HQ$5:$HQ$70,Ins!F13,Tim!$C$5:$C$70)+SUMIF(Tim!$HR$5:$HR$70,Ins!F13,Tim!$C$5:$C$70)+SUMIF(Tim!$HS$5:$HS$70,Ins!F13,Tim!$C$5:$C$70)+SUMIF(Tim!$HT$5:$HT$70,Ins!F13,Tim!$C$5:$C$70)+SUMIF(Tim!$HU$5:$HU$70,Ins!F13,Tim!$C$5:$C$70)</f>
        <v>0</v>
      </c>
      <c r="BP13" s="79">
        <f>SUMIF(Tim!$HV$7:$HV$70,Ins!F13,Tim!$B$7:$B$70)</f>
        <v>0</v>
      </c>
      <c r="BQ13" s="80">
        <f>SUMIF(Tim!$HW$7:$HW$70,Ins!F13,Tim!$B$7:$B$70)+SUMIF(Tim!$HX$7:$HX$70,Ins!F13,Tim!$B$7:$B$70)+SUMIF(Tim!$HY$7:$HY$70,Ins!F13,Tim!$B$7:$B$70)+SUMIF(Tim!$HZ$7:$HZ$70,Ins!F13,Tim!$B$7:$B$70)+SUMIF(Tim!$IA$7:$IA$70,Ins!F13,Tim!$B$7:$B$70)+SUMIF(Tim!$IB$7:$IB$70,Ins!F13,Tim!$B$7:$B$70)</f>
        <v>0</v>
      </c>
      <c r="BR13" s="80">
        <f>SUMIF(Tim!$IC$7:$IC$70,Ins!F13,Tim!$B$7:$B$70)+SUMIF(Tim!$ID$7:$ID$70,Ins!F13,Tim!$B$7:$B$70)+SUMIF(Tim!$IE$7:$IE$70,Ins!F13,Tim!$B$7:$B$70)</f>
        <v>0</v>
      </c>
      <c r="BS13" s="80">
        <f>SUMIF(Tim!$IF$7:$IF$70,Ins!F13,Tim!$B$7:$B$70)+SUMIF(Tim!$IG$7:$IG$70,Ins!F13,Tim!$B$7:$B$70)+SUMIF(Tim!$IH$7:$IH$70,Ins!F13,Tim!$B$7:$B$70)+SUMIF(Tim!$II$7:$II$70,Ins!F13,Tim!$B$7:$B$70)+SUMIF(Tim!$IJ$7:$IJ$70,Ins!F13,Tim!$B$7:$B$70)</f>
        <v>0</v>
      </c>
      <c r="BT13" s="80">
        <f>SUMIF(Tim!$IK$7:$IK$70,Ins!F13,Tim!$B$7:$B$70)+SUMIF(Tim!$IL$7:$IL$70,Ins!F13,Tim!$B$7:$B$70)+SUMIF(Tim!$IM$7:$IM$70,Ins!F13,Tim!$B$7:$B$70)</f>
        <v>0</v>
      </c>
      <c r="BU13" s="80">
        <f>SUMIF(Tim!$IN$7:$IN$70,Ins!F13,Tim!$B$7:$B$70)+SUMIF(Tim!$IO$7:$IO$70,Ins!F13,Tim!$B$7:$B$70)+SUMIF(Tim!$IP$7:$IP$70,Ins!F13,Tim!$B$7:$B$70)</f>
        <v>0</v>
      </c>
      <c r="BV13" s="80">
        <f>SUMIF(Tim!$IQ$7:$IQ$70,Ins!F13,Tim!$B$7:$B$70)</f>
        <v>0</v>
      </c>
      <c r="BW13" s="80">
        <f>SUMIF(Tim!$IR$7:$IR$70,Ins!F13,Tim!$D$7:$D$70)+SUMIF(Tim!$IS$7:$IS$70,Ins!F13,Tim!$D$7:$D$70)+SUMIF(Tim!$IT$7:$IT$70,Ins!F13,Tim!$D$7:$D$70)+SUMIF(Tim!$IU$7:$IU$70,Ins!F13,Tim!$D$7:$D$70)+SUMIF(Tim!$IV$7:$IV$70,Ins!F13,Tim!$D$7:$D$70)+SUMIF(Tim!$IW$7:$IW$70,Ins!F13,Tim!$D$7:$D$70)+SUMIF(Tim!$IX$7:$IX$70,Ins!F13,Tim!$D$7:$D$70)+SUMIF(Tim!$IY$7:$IY$70,Ins!F13,Tim!$D$7:$D$70)+SUMIF(Tim!$IZ$7:$IZ$70,Ins!F13,Tim!$D$7:$D$70)+SUMIF(Tim!$JA$7:$JA$70,Ins!F13,Tim!$D$7:$D$70)+SUMIF(Tim!$JB$7:$JB$70,Ins!F13,Tim!$D$7:$D$70)+SUMIF(Tim!$JC$7:$JC$70,Ins!F13,Tim!$D$7:$D$70)</f>
        <v>0</v>
      </c>
      <c r="BX13" s="80">
        <f>SUMIF(Tim!JD$7:JD$70,Ins!F13,Tim!$C$7:$C$70)</f>
        <v>0</v>
      </c>
      <c r="BY13" s="80">
        <f>SUMIF(Tim!JE$7:JE$70,Ins!F13,Tim!$C$7:$C$70)</f>
        <v>0</v>
      </c>
      <c r="BZ13" s="80">
        <f>SUMIF(Tim!JF$7:JF$70,Ins!F13,Tim!$C$7:$C$70)+SUMIF(Tim!JG$7:JG$70,Ins!F13,Tim!$C$7:$C$70)+SUMIF(Tim!JH$7:JH$70,Ins!F13,Tim!$C$7:$C$70)</f>
        <v>0</v>
      </c>
      <c r="CA13" s="81">
        <f>SUMIF(Tim!$JI$7:$JI$70,Ins!F13,Tim!$C$7:$C$70)++SUMIF(Tim!$JJ$7:$JJ$70,Ins!F13,Tim!$C$7:$C$70)+SUMIF(Tim!$JK$7:$JK$70,Ins!F13,Tim!$C$7:$C$70)+SUMIF(Tim!$JL$7:$JL$70,Ins!F13,Tim!$C$7:$C$70)+SUMIF(Tim!$JM$7:$JM$70,Ins!F13,Tim!$C$7:$C$70)</f>
        <v>0</v>
      </c>
      <c r="CB13" s="79">
        <f>SUMIF(Tim!$JN$7:$JN$70,Ins!F13,Tim!$B$7:$B$70)</f>
        <v>0</v>
      </c>
      <c r="CC13" s="80">
        <f>SUMIF(Tim!$JO$7:$JO$70,Ins!F13,Tim!$B$7:$B$70)+SUMIF(Tim!$JP$7:$JP$70,Ins!F13,Tim!$B$7:$B$70)+SUMIF(Tim!$JQ$7:$JQ$70,Ins!F13,Tim!$B$7:$B$70)+SUMIF(Tim!$JR$7:$JR$70,Ins!F13,Tim!$B$7:$B$70)+SUMIF(Tim!$JS$7:$JS$70,Ins!F13,Tim!$B$7:$B$70)+SUMIF(Tim!$JT$7:$JT$70,Ins!F13,Tim!$B$7:$B$70)</f>
        <v>0</v>
      </c>
      <c r="CD13" s="80">
        <f>SUMIF(Tim!$JW$7:$JW$70,Ins!F13,Tim!$B$7:$B$70)+SUMIF(Tim!$JU$7:$JU$70,Ins!F13,Tim!$B$7:$B$70)+SUMIF(Tim!$JV$7:$JV$70,Ins!F13,Tim!$B$7:$B$70)</f>
        <v>0</v>
      </c>
      <c r="CE13" s="80">
        <f>SUMIF(Tim!$JX$7:$JX$70,Ins!F13,Tim!$B$7:$B$70)+SUMIF(Tim!$JY$7:$JY$70,Ins!F13,Tim!$B$7:$B$70)+SUMIF(Tim!$JZ$7:$JZ$70,Ins!F13,Tim!$B$7:$B$70)+SUMIF(Tim!$KA$7:$KA$70,Ins!F13,Tim!$B$7:$B$70)+SUMIF(Tim!$KB$7:$KB$70,Ins!F13,Tim!$B$7:$B$70)</f>
        <v>0</v>
      </c>
      <c r="CF13" s="80">
        <f>SUMIF(Tim!$KE$7:$KE$70,Ins!F13,Tim!$B$7:$B$70)+SUMIF(Tim!$KC$7:$KC$70,Ins!F13,Tim!$B$7:$B$70)+SUMIF(Tim!$KD$7:$KD$70,Ins!F13,Tim!$B$7:$B$70)</f>
        <v>0</v>
      </c>
      <c r="CG13" s="80">
        <f>SUMIF(Tim!$KF$7:$KF$70,Ins!F13,Tim!$B$7:$B$70)+SUMIF(Tim!$KG$7:$KG$70,Ins!F13,Tim!$B$7:$B$70)+SUMIF(Tim!$KH$7:$KH$70,Ins!F13,Tim!$B$7:$B$70)</f>
        <v>0</v>
      </c>
      <c r="CH13" s="80">
        <f>SUMIF(Tim!$KI$7:$KI$70,Ins!F13,Tim!$B$7:$B$70)</f>
        <v>0</v>
      </c>
      <c r="CI13" s="80">
        <f>SUMIF(Tim!$KJ$7:$KJ$70,Ins!F13,Tim!$D$7:$D$70)+SUMIF(Tim!$KK$7:$KK$70,Ins!F13,Tim!$D$7:$D$70)+SUMIF(Tim!$KL$7:$KL$70,Ins!F13,Tim!$D$7:$D$70)+SUMIF(Tim!$KM$7:$KM$70,Ins!F13,Tim!$D$7:$D$70)+SUMIF(Tim!$KN$7:$KN$70,Ins!F13,Tim!$D$7:$D$70)+SUMIF(Tim!$KO$7:$KO$70,Ins!F13,Tim!$D$7:$D$70)+SUMIF(Tim!$KP$7:$KP$70,Ins!F13,Tim!$D$7:$D$70)+SUMIF(Tim!$KQ$7:$KQ$70,Ins!F13,Tim!$D$7:$D$70)+SUMIF(Tim!$KR$7:$KR$70,Ins!F13,Tim!$D$7:$D$70)+SUMIF(Tim!$KS$7:$KS$70,Ins!F13,Tim!$D$7:$D$70)+SUMIF(Tim!$KT$7:$KT$70,Ins!F13,Tim!$D$7:$D$70)+SUMIF(Tim!$KU$7:$KU$70,Ins!F13,Tim!$D$7:$D$70)</f>
        <v>0</v>
      </c>
      <c r="CJ13" s="80">
        <f>SUMIF(Tim!KV$7:KV$70,Ins!F13,Tim!$C$7:$C$70)</f>
        <v>0</v>
      </c>
      <c r="CK13" s="80">
        <f>SUMIF(Tim!KW$7:KW$70,Ins!F13,Tim!$C$7:$C$70)</f>
        <v>0</v>
      </c>
      <c r="CL13" s="80">
        <f>SUMIF(Tim!KX$7:KX$70,Ins!F13,Tim!$C$7:$C$70)+SUMIF(Tim!KY$7:KY$70,Ins!F13,Tim!$C$7:$C$70)+SUMIF(Tim!KZ$7:KZ$70,Ins!F13,Tim!$C$7:$C$70)</f>
        <v>0</v>
      </c>
      <c r="CM13" s="81">
        <f>SUMIF(Tim!$LA$7:$LA$70,Ins!F13,Tim!$C$7:$C$70)+SUMIF(Tim!$LB$7:$LB$70,Ins!F13,Tim!$C$7:$C$70)+SUMIF(Tim!$LC$7:$LC$70,Ins!F13,Tim!$C$7:$C$70)+SUMIF(Tim!$LD$7:$LD$70,Ins!F13,Tim!$C$7:$C$70)+SUMIF(Tim!$LE$7:$LE$70,Ins!F13,Tim!$C$7:$C$70)</f>
        <v>0</v>
      </c>
      <c r="CN13" s="22"/>
      <c r="CO13" s="180">
        <f t="shared" si="68"/>
        <v>0</v>
      </c>
      <c r="CP13" s="179">
        <f t="shared" si="69"/>
        <v>0</v>
      </c>
      <c r="CQ13" s="179">
        <f t="shared" si="70"/>
        <v>0</v>
      </c>
      <c r="CR13" s="179">
        <f t="shared" si="71"/>
        <v>0</v>
      </c>
      <c r="CS13" s="179">
        <f t="shared" si="72"/>
        <v>0</v>
      </c>
      <c r="CT13" s="179">
        <f t="shared" si="73"/>
        <v>0</v>
      </c>
      <c r="CU13" s="179">
        <f t="shared" si="74"/>
        <v>0</v>
      </c>
      <c r="CV13" s="179">
        <f t="shared" si="75"/>
        <v>0</v>
      </c>
      <c r="CW13" s="179">
        <f t="shared" si="76"/>
        <v>0</v>
      </c>
      <c r="CX13" s="179">
        <f t="shared" si="77"/>
        <v>0</v>
      </c>
      <c r="CY13" s="179">
        <f t="shared" si="78"/>
        <v>0</v>
      </c>
      <c r="CZ13" s="179">
        <f t="shared" si="79"/>
        <v>0</v>
      </c>
      <c r="DA13" s="78">
        <f t="shared" si="80"/>
        <v>0</v>
      </c>
      <c r="DB13" s="16"/>
      <c r="DC13" s="34">
        <f t="shared" si="81"/>
        <v>0</v>
      </c>
      <c r="DD13" s="34">
        <f t="shared" si="82"/>
        <v>0</v>
      </c>
      <c r="DE13" s="34">
        <f t="shared" si="83"/>
        <v>0</v>
      </c>
      <c r="DF13" s="34">
        <f t="shared" si="84"/>
        <v>0</v>
      </c>
      <c r="DG13" s="34">
        <f t="shared" si="85"/>
        <v>0</v>
      </c>
      <c r="DH13" s="34">
        <f t="shared" si="86"/>
        <v>0</v>
      </c>
      <c r="DI13" s="34">
        <f t="shared" si="87"/>
        <v>0</v>
      </c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7"/>
    </row>
    <row r="14" spans="1:125" ht="12" customHeight="1">
      <c r="A14" s="10">
        <v>12</v>
      </c>
      <c r="B14" s="229" t="s">
        <v>461</v>
      </c>
      <c r="C14" s="185"/>
      <c r="D14" s="230"/>
      <c r="E14" s="230"/>
      <c r="F14" s="298" t="s">
        <v>462</v>
      </c>
      <c r="G14" s="231" t="s">
        <v>192</v>
      </c>
      <c r="H14" s="79">
        <f>SUMIF(Tim!$F$7:$F$70,Ins!F14,Tim!$B$7:$B$70)</f>
        <v>4.5</v>
      </c>
      <c r="I14" s="80">
        <f>SUMIF(Tim!$G$7:$G$70,Ins!F14,Tim!$B$7:$B$70)+SUMIF(Tim!$H$7:$H$70,Ins!F14,Tim!$B$7:$B$70)+SUMIF(Tim!$I$7:$I$70,Ins!F14,Tim!$B$7:$B$70)+SUMIF(Tim!$J$7:$J$70,Ins!F14,Tim!$B$7:$B$70)+SUMIF(Tim!$K$7:$K$70,Ins!F14,Tim!$B$7:$B$70)+SUMIF(Tim!$L$7:$L$70,Ins!F14,Tim!$B$7:$B$70)</f>
        <v>0.25</v>
      </c>
      <c r="J14" s="80">
        <f>SUMIF(Tim!$M$7:$M$70,Ins!F14,Tim!$B$7:$B$70)+SUMIF(Tim!$O$7:$O$70,Ins!F14,Tim!$B$7:$B$70)+SUMIF(Tim!$N$7:$N$70,Ins!F14,Tim!$B$7:$B$70)</f>
        <v>0</v>
      </c>
      <c r="K14" s="80">
        <f>SUMIF(Tim!$P$7:$P$70,Ins!F14,Tim!$B$7:$B$70)+SUMIF(Tim!$Q$7:$Q$70,Ins!F14,Tim!$B$7:$B$70)+SUMIF(Tim!$R$7:$R$70,Ins!F14,Tim!$B$7:$B$70)+SUMIF(Tim!$S$7:$S$70,Ins!F14,Tim!$B$7:$B$70)+SUMIF(Tim!$T$7:$T$70,Ins!F14,Tim!$B$7:$B$70)</f>
        <v>0</v>
      </c>
      <c r="L14" s="80">
        <f>SUMIF(Tim!$U$7:$U$70,Ins!F14,Tim!$B$7:$B$70)+SUMIF(Tim!$W$7:$W$70,Ins!F14,Tim!$B$7:$B$70)+SUMIF(Tim!$X$7:$X$70,Ins!F14,Tim!$B$7:$B$70)</f>
        <v>0.5</v>
      </c>
      <c r="M14" s="80">
        <f>SUMIF(Tim!$Y$7:$Y$70,Ins!F14,Tim!$B$7:$B$70)+SUMIF(Tim!$Z$7:$Z$70,Ins!F14,Tim!$B$7:$B$70)+SUMIF(Tim!$AA$7:$AA$70,Ins!F14,Tim!$B$7:$B$70)</f>
        <v>1.25</v>
      </c>
      <c r="N14" s="80">
        <f>SUMIF(Tim!$AB$7:$AB$70,Ins!F14,Tim!$B$7:$B$70)</f>
        <v>0</v>
      </c>
      <c r="O14" s="80">
        <f>SUMIF(Tim!$AC$7:$AC$70,Ins!F14,Tim!$D$7:$D$70)+SUMIF(Tim!$AD$7:$AD$70,Ins!F14,Tim!$D$7:$D$70)+SUMIF(Tim!$AE$7:$AE$70,Ins!F14,Tim!$D$7:$D$70)+SUMIF(Tim!$AF$7:$AF$70,Ins!F14,Tim!$D$7:$D$70)+SUMIF(Tim!$AG$7:$AG$70,Ins!F14,Tim!$D$7:$D$70)+SUMIF(Tim!$AH$7:$AH$70,Ins!F14,Tim!$D$7:$D$70)+SUMIF(Tim!$AI$7:$AI$70,Ins!F14,Tim!$D$7:$D$70)+SUMIF(Tim!$AJ$7:$AJ$70,Ins!F14,Tim!$D$7:$D$70)+SUMIF(Tim!$AK$7:$AK$70,Ins!F14,Tim!$D$7:$D$70)+SUMIF(Tim!$AL$7:$AL$70,Ins!F14,Tim!$D$7:$D$70)+SUMIF(Tim!$AM$7:$AM$70,Ins!F14,Tim!$D$7:$D$70)+SUMIF(Tim!$AN$7:$AN$70,Ins!F14,Tim!$D$7:$D$70)</f>
        <v>0</v>
      </c>
      <c r="P14" s="80">
        <f>SUMIF(Tim!AO$7:AO$70,Ins!F14,Tim!$C$7:$C$70)</f>
        <v>0</v>
      </c>
      <c r="Q14" s="80">
        <f>SUMIF(Tim!AP$7:AP$70,Ins!F14,Tim!$C$7:$C$70)</f>
        <v>0</v>
      </c>
      <c r="R14" s="80">
        <f>SUMIF(Tim!AQ$7:AQ$70,Ins!F14,Tim!$C$7:$C$70)+SUMIF(Tim!AR$7:AR$70,Ins!F14,Tim!$C$7:$C$70)+SUMIF(Tim!AS$7:AS$70,Ins!F14,Tim!$C$7:$C$70)</f>
        <v>0</v>
      </c>
      <c r="S14" s="236">
        <f>SUMIF(Tim!$AT$7:$AT$70,Ins!F14,Tim!$C$7:$C$70)+SUMIF(Tim!$AU$7:$AU$70,Ins!F14,Tim!$C$7:$C77)+SUMIF(Tim!$AV$7:$AV$70,Ins!F14,Tim!$C$7:$C$70)+SUMIF(Tim!$AW$7:$AW$70,Ins!F14,Tim!$C$7:$C$70)+SUMIF(Tim!$AX$7:$AX$70,Ins!F14,Tim!$C$7:$C$70)</f>
        <v>1.5</v>
      </c>
      <c r="T14" s="79">
        <f>SUMIF(Tim!$AY$7:$AY$70,Ins!F14,Tim!$B$7:$B$70)</f>
        <v>4.5</v>
      </c>
      <c r="U14" s="80">
        <f>SUMIF(Tim!$AZ$7:$AZ$70,Ins!F14,Tim!$B$7:$B$70)+SUMIF(Tim!$BA$7:$BA$70,Ins!F14,Tim!$B$7:$B$70)+SUMIF(Tim!$BB$7:$BB$70,Ins!F14,Tim!$B$7:$B$70)+SUMIF(Tim!$BC$7:$BC$70,Ins!F14,Tim!$B$7:$B$70)+SUMIF(Tim!$BD$7:$BD$70,Ins!F14,Tim!$B$7:$B$70)+SUMIF(Tim!$BE$7:$BE$70,Ins!F14,Tim!$B$7:$B$70)</f>
        <v>0</v>
      </c>
      <c r="V14" s="80">
        <f>SUMIF(Tim!$BF$7:$BF$70,Ins!F14,Tim!$B$7:$B$70)+SUMIF(Tim!$BG$7:$BG$70,Ins!F14,Tim!$B$7:$B$70)+SUMIF(Tim!$BH$7:$BH$70,Ins!F14,Tim!$B$7:$B$70)</f>
        <v>0</v>
      </c>
      <c r="W14" s="80">
        <f>SUMIF(Tim!$BI$7:$BI$70,Ins!F14,Tim!$B$7:$B$70)+SUMIF(Tim!$BJ$7:$BJ$70,Ins!F14,Tim!$B$7:$B$70)+SUMIF(Tim!$BK$7:$BK$70,Ins!F14,Tim!$B$7:$B$70)+SUMIF(Tim!$BL$7:$BL$70,Ins!F14,Tim!$B$7:$B$70)+SUMIF(Tim!$BM$7:$BM$70,Ins!F14,Tim!$B$7:$B$70)</f>
        <v>0</v>
      </c>
      <c r="X14" s="80">
        <f>SUMIF(Tim!$BN$7:$BN$70,Ins!F14,Tim!$B$7:$B$70)+SUMIF(Tim!$BO$7:$BO$70,Ins!F14,Tim!$B$7:$B$70)+SUMIF(Tim!$BP$7:$BP$70,Ins!F14,Tim!$B$7:$B$70)</f>
        <v>1.5</v>
      </c>
      <c r="Y14" s="80">
        <f>SUMIF(Tim!$BQ$7:$BQ$70,Ins!F14,Tim!$B$7:$B$70)+SUMIF(Tim!$BR$7:$BR$70,Ins!F14,Tim!$B$7:$B$70)+SUMIF(Tim!$BS$7:$BS$70,Ins!F14,Tim!$B$7:$B$70)</f>
        <v>0</v>
      </c>
      <c r="Z14" s="80">
        <f>SUMIF(Tim!BT$7:BT$70,Ins!F14,Tim!$B$7:$B$70)</f>
        <v>0</v>
      </c>
      <c r="AA14" s="80">
        <f>SUMIF(Tim!$BU$7:$BU$70,Ins!F14,Tim!$D$7:$D$70)+SUMIF(Tim!$BV$7:$BV$70,Ins!F14,Tim!$D$7:$D$70)+SUMIF(Tim!$BW$7:$BW$70,Ins!F14,Tim!$D$7:$D$70)+SUMIF(Tim!$BX$7:$BX$70,Ins!F14,Tim!$D$7:$D$70)+SUMIF(Tim!$BY$7:$BY$70,Ins!F14,Tim!$D$7:$D$70)+SUMIF(Tim!$BZ$7:$BZ$70,Ins!F14,Tim!$D$7:$D$70)+SUMIF(Tim!$CA$7:$CA$70,Ins!F14,Tim!$D$7:$D$70)+SUMIF(Tim!$CB$7:$CB$70,Ins!F14,Tim!$D$7:$D$70)+SUMIF(Tim!$CC$7:$CC$70,Ins!F14,Tim!$D$7:$D$70)+SUMIF(Tim!$CD$7:$CD$70,Ins!F14,Tim!$D$7:$D$70)+SUMIF(Tim!$CE$7:$CE$70,Ins!F14,Tim!$D$7:$D$70)+SUMIF(Tim!$CF$7:$CF$70,Ins!F14,Tim!$D$7:$D$70)</f>
        <v>0</v>
      </c>
      <c r="AB14" s="80">
        <f>SUMIF(Tim!CG$7:CG$70,Ins!F14,Tim!$C$7:$C$70)</f>
        <v>0</v>
      </c>
      <c r="AC14" s="80">
        <f>SUMIF(Tim!CH$7:CH$70,Ins!F14,Tim!$C$7:$C$70)</f>
        <v>0</v>
      </c>
      <c r="AD14" s="80">
        <f>SUMIF(Tim!CI$7:CI$70,Ins!F14,Tim!$C$7:$C$70)+SUMIF(Tim!CJ$7:CJ$70,Ins!F14,Tim!$C$7:$C$70)+SUMIF(Tim!CK$7:CK$70,Ins!F14,Tim!$C$7:$C$70)</f>
        <v>0</v>
      </c>
      <c r="AE14" s="81">
        <f>SUMIF(Tim!$CL$7:$CL$70,Ins!F14,Tim!$C$7:$C$70)+SUMIF(Tim!$CM$7:$CM$70,Ins!F14,Tim!$C$7:$C$70)+SUMIF(Tim!$CN$7:$CN$70,Ins!F14,Tim!$C$7:$C$70)+SUMIF(Tim!$CO$7:$CO$70,Ins!F14,Tim!$C$7:$C$70)+SUMIF(Tim!$CP$7:$CP$70,Ins!F14,Tim!$C$7:$C$70)</f>
        <v>2</v>
      </c>
      <c r="AF14" s="79">
        <f>SUMIF(Tim!$CQ$7:$CQ$70,Ins!F14,Tim!$B$7:$B$70)</f>
        <v>0</v>
      </c>
      <c r="AG14" s="80">
        <f>SUMIF(Tim!$CR$7:$CR$70,Ins!F14,Tim!$B$7:$B$70)+SUMIF(Tim!$CS$7:$CS$70,Ins!F14,Tim!$B$7:$B$70)+SUMIF(Tim!$CT$7:$CT$70,Ins!F14,Tim!$B$7:$B$70)+SUMIF(Tim!$CU$7:$CU$70,Ins!F14,Tim!$B$7:$B$70)+SUMIF(Tim!$CV$7:$CV$70,Ins!F14,Tim!$B$7:$B$70)+SUMIF(Tim!$CW$7:$CW$70,Ins!F14,Tim!$B$7:$B$70)</f>
        <v>0</v>
      </c>
      <c r="AH14" s="80">
        <f>SUMIF(Tim!$CX$7:$CX$70,Ins!F14,Tim!$B$7:$B$70)+SUMIF(Tim!$CY$7:$CY$70,Ins!F14,Tim!$B$7:$B$70)+SUMIF(Tim!$CZ$7:$CZ$70,Ins!F14,Tim!$B$7:$B$70)</f>
        <v>0</v>
      </c>
      <c r="AI14" s="80">
        <f>SUMIF(Tim!$DA$7:$DA$70,Ins!F14,Tim!$B$7:$B$70)+SUMIF(Tim!$DB$7:$DB$70,Ins!F14,Tim!$B$7:$B$70)+SUMIF(Tim!$DC$7:$DC$70,Ins!F14,Tim!$B$7:$B$70)+SUMIF(Tim!$DD$7:$DD$70,Ins!F14,Tim!$B$7:$B$70)+SUMIF(Tim!$DE$7:$DE$70,Ins!F14,Tim!$B$7:$B$70)</f>
        <v>0</v>
      </c>
      <c r="AJ14" s="80">
        <f>SUMIF(Tim!$DF$7:$DF$70,Ins!F14,Tim!$B$7:$B$70)+SUMIF(Tim!$DG$7:$DG$70,Ins!F14,Tim!$B$7:$B$70)+SUMIF(Tim!$DH$7:$DH$70,Ins!F14,Tim!$B$7:$B$70)</f>
        <v>0</v>
      </c>
      <c r="AK14" s="80">
        <f>SUMIF(Tim!DI$7:DI$70,Ins!F14,Tim!$B$7:$B$70)+SUMIF(Tim!DM$7:DM$70,Ins!F14,Tim!$B$7:$B$70)+SUMIF(Tim!DN$7:DN$70,Ins!F14,Tim!$B$7:$B$70)</f>
        <v>0</v>
      </c>
      <c r="AL14" s="80">
        <f>SUMIF(Tim!DO$7:DO$70,Ins!F14,Tim!$B$7:$B$70)</f>
        <v>0</v>
      </c>
      <c r="AM14" s="80">
        <f>SUMIF(Tim!$DP$7:$DP$70,Ins!F14,Tim!$D$7:$D$70)+SUMIF(Tim!$DQ$7:$DQ$70,Ins!F14,Tim!$D$7:$D$70)+SUMIF(Tim!$DR$7:$DR$70,Ins!F14,Tim!$D$7:$D$70)+SUMIF(Tim!$DS$7:$DS$70,Ins!F14,Tim!$D$7:$D$70)+SUMIF(Tim!$DT$7:$DT$70,Ins!F14,Tim!$D$7:$D$70)+SUMIF(Tim!$DU$7:$DU$70,Ins!F14,Tim!$D$7:$D$70)+SUMIF(Tim!$DV$7:$DV$70,Ins!F14,Tim!$D$7:$D$70)+SUMIF(Tim!$DW$7:$DW$70,Ins!F14,Tim!$D$7:$D$70)+SUMIF(Tim!$DX$7:$DX$70,Ins!F14,Tim!$D$7:$D$70)+SUMIF(Tim!$DY$7:$DY$70,Ins!F14,Tim!$D$7:$D$70)+SUMIF(Tim!$DZ$7:$DZ$70,Ins!F14,Tim!$D$7:$D$70)+SUMIF(Tim!$EA$7:$EA$70,Ins!F14,Tim!$D$7:$D$70)</f>
        <v>0</v>
      </c>
      <c r="AN14" s="80">
        <f>SUMIF(Tim!EB$7:EB$70,Ins!F14,Tim!$C$7:$C$70)</f>
        <v>0</v>
      </c>
      <c r="AO14" s="80">
        <f>SUMIF(Tim!EC$7:EC$70,Ins!F14,Tim!$C$7:$C$70)</f>
        <v>0</v>
      </c>
      <c r="AP14" s="80">
        <f>SUMIF(Tim!ED$7:ED$70,Ins!F14,Tim!$C$7:$C$70)+SUMIF(Tim!EE$7:EE$70,Ins!F14,Tim!$C$7:$C$70)+SUMIF(Tim!EF$7:EF$70,Ins!F14,Tim!$C$7:$C$70)</f>
        <v>0</v>
      </c>
      <c r="AQ14" s="81">
        <f>SUMIF(Tim!$EG$7:$EG$70,Ins!F14,Tim!$C$7:$C$70)+SUMIF(Tim!$EH$7:$EH$70,Ins!F14,Tim!$C$7:$C$70)+SUMIF(Tim!$EI$7:$EI$70,Ins!F14,Tim!$C$7:$C$70)+SUMIF(Tim!$EJ$7:$EJ$70,Ins!F14,Tim!$C$7:$C$70)+SUMIF(Tim!$EK$7:$EK$70,Ins!F14,Tim!$C$7:$C$70)</f>
        <v>0</v>
      </c>
      <c r="AR14" s="79">
        <f>SUMIF(Tim!$EL$5:$EL$70,Ins!F14,Tim!$B$5:$B$70)</f>
        <v>0</v>
      </c>
      <c r="AS14" s="80">
        <f>SUMIF(Tim!$EM$5:$EM$70,Ins!F14,Tim!$B$5:$B$70)+SUMIF(Tim!$EN$5:$EN$70,Ins!F14,Tim!$B$5:$B$70)+SUMIF(Tim!$EO$5:$EO$70,Ins!F14,Tim!$B$5:$B$70)+SUMIF(Tim!$EP$5:$EP$70,Ins!F14,Tim!$B$5:$B$70)+SUMIF(Tim!$EQ$5:$EQ$70,Ins!F14,Tim!$B$5:$B$70)+SUMIF(Tim!$ER$5:$ER$70,Ins!F14,Tim!$B$5:$B$70)</f>
        <v>0</v>
      </c>
      <c r="AT14" s="80">
        <f>SUMIF(Tim!$ES$5:$ES$70,Ins!F14,Tim!$B$5:$B$70)+SUMIF(Tim!$ET$5:$ET$70,Ins!F14,Tim!$B$5:$B$70)+SUMIF(Tim!$EU$5:$EU$70,Ins!F14,Tim!$B$5:$B$70)</f>
        <v>0</v>
      </c>
      <c r="AU14" s="80">
        <f>SUMIF(Tim!$EV$5:$EV$70,Ins!F14,Tim!$B$5:$B$70)+SUMIF(Tim!$EW$5:$EW$70,Ins!F14,Tim!$B$5:$B$70)+SUMIF(Tim!$EX$5:$EX$70,Ins!F14,Tim!$B$5:$B$70)+SUMIF(Tim!$EY$5:$EY$70,Ins!F14,Tim!$B$5:$B$70)+SUMIF(Tim!$EZ$5:$EZ$70,Ins!F14,Tim!$B$5:$B$70)</f>
        <v>0</v>
      </c>
      <c r="AV14" s="80">
        <f>SUMIF(Tim!$FA$5:$FA$70,Ins!F14,Tim!$B$5:$B$70)+SUMIF(Tim!$FB$5:$FB$70,Ins!F14,Tim!$B$5:$B$70)+SUMIF(Tim!$FC$5:$FC$70,Ins!F14,Tim!$B$5:$B$70)</f>
        <v>0</v>
      </c>
      <c r="AW14" s="80">
        <f>SUMIF(Tim!FD$5:FD$70,Ins!F14,Tim!$B$5:$B$70)+SUMIF(Tim!FE$5:FE$70,Ins!F14,Tim!$B$5:$B$70)+SUMIF(Tim!FF$5:FF$70,Ins!F14,Tim!$B$5:$B$70)</f>
        <v>0</v>
      </c>
      <c r="AX14" s="80">
        <f>SUMIF(Tim!FG$5:FG$70,Ins!F14,Tim!$B$5:$B$70)</f>
        <v>0</v>
      </c>
      <c r="AY14" s="80">
        <f>SUMIF(Tim!$FH$5:$FH$70,Ins!F14,Tim!$D$5:$D$70)+SUMIF(Tim!$FI$5:$FI$70,Ins!F14,Tim!$D$5:$D$70)+SUMIF(Tim!$FJ$5:$FJ$70,Ins!F14,Tim!$D$5:$D$70)+SUMIF(Tim!$FK$5:$FK$70,Ins!F14,Tim!$D$5:$D$70)+SUMIF(Tim!$FL$5:$FL$70,Ins!F14,Tim!$D$5:$D$70)+SUMIF(Tim!$FM$5:$FM$70,Ins!F14,Tim!$D$5:$D$70)+SUMIF(Tim!$FN$5:$FN$70,Ins!F14,Tim!$D$5:$D$70)+SUMIF(Tim!$FO$5:$FO$70,Ins!F14,Tim!$D$5:$D$70)+SUMIF(Tim!$FP$5:$FP$70,Ins!F14,Tim!$D$5:$D$70)+SUMIF(Tim!$FQ$5:$FQ$70,Ins!F14,Tim!$D$5:$D$70)+SUMIF(Tim!$FR$5:$FR$70,Ins!F14,Tim!$D$5:$D$70)+SUMIF(Tim!$FS$5:$FS$70,Ins!F14,Tim!$D$5:$D$70)</f>
        <v>0</v>
      </c>
      <c r="AZ14" s="80">
        <f>SUMIF(Tim!FT$5:FT$70,Ins!F14,Tim!$C$5:$C$70)</f>
        <v>0</v>
      </c>
      <c r="BA14" s="80">
        <f>SUMIF(Tim!FU$5:FU$70,Ins!F14,Tim!$C$5:$C$70)</f>
        <v>0</v>
      </c>
      <c r="BB14" s="80">
        <f>SUMIF(Tim!FV$5:FV$70,Ins!F14,Tim!$C$5:$C$70)+SUMIF(Tim!FW$5:FW$70,Ins!F14,Tim!$C$5:$C$70)+SUMIF(Tim!FX$5:FX$70,Ins!F14,Tim!$C$5:$C$70)</f>
        <v>0</v>
      </c>
      <c r="BC14" s="81">
        <f>SUMIF(Tim!$FY$5:$FY$70,Ins!F14,Tim!$C$5:$C$70)+SUMIF(Tim!$FZ$5:$FZ$70,Ins!F14,Tim!$C$5:$C$70)+SUMIF(Tim!$GA$5:$GA$70,Ins!F14,Tim!$C$5:$C$70)+SUMIF(Tim!$GB$5:$GB$70,Ins!F14,Tim!$C$5:$C$70)+SUMIF(Tim!$GC$5:$GC$70,Ins!F14,Tim!$C$5:$C$70)</f>
        <v>0</v>
      </c>
      <c r="BD14" s="79">
        <f>SUMIF(Tim!$GD$5:$GD$70,Ins!F14,Tim!$B$5:$B$70)</f>
        <v>3.5</v>
      </c>
      <c r="BE14" s="80">
        <f>SUMIF(Tim!$GE$5:$GE$70,Ins!F14,Tim!$B$5:$B$70)+SUMIF(Tim!$GF$5:$GF$70,Ins!F14,Tim!$B$5:$B$70)+SUMIF(Tim!$GG$5:$GG$70,Ins!F14,Tim!$B$5:$B$70)+SUMIF(Tim!$GH$5:$GH$70,Ins!F14,Tim!$B$5:$B$70)+SUMIF(Tim!$GI$5:$GI$70,Ins!F14,Tim!$B$5:$B$70)+SUMIF(Tim!$GJ$5:$GJ$70,Ins!F14,Tim!$B$5:$B$70)</f>
        <v>0</v>
      </c>
      <c r="BF14" s="80">
        <f>SUMIF(Tim!$GK$5:$GK$70,Ins!F14,Tim!$B$5:$B$70)+SUMIF(Tim!$GL$5:$GL$70,Ins!F14,Tim!$B$5:$B$70)+SUMIF(Tim!$GM$5:$GM$70,Ins!F14,Tim!$B$5:$B$70)</f>
        <v>2.5</v>
      </c>
      <c r="BG14" s="80">
        <f>SUMIF(Tim!$GN$5:$GN$70,Ins!F14,Tim!$B$5:$B$70)+SUMIF(Tim!$GO$5:$GO$70,Ins!F14,Tim!$B$5:$B$70)+SUMIF(Tim!$GP$5:$GP$70,Ins!F14,Tim!$B$5:$B$70)+SUMIF(Tim!$GQ$5:$GQ$70,Ins!F14,Tim!$B$5:$B$70)+SUMIF(Tim!$GR$5:$GR$70,Ins!F14,Tim!$B$5:$B$70)</f>
        <v>2</v>
      </c>
      <c r="BH14" s="80">
        <f>SUMIF(Tim!$GS$5:$GS$70,Ins!F14,Tim!$B$5:$B$70)+SUMIF(Tim!$GT$5:$GT$70,Ins!F14,Tim!$B$5:$B$70)+SUMIF(Tim!$GU$5:$GU$70,Ins!F14,Tim!$B$5:$B$70)</f>
        <v>0</v>
      </c>
      <c r="BI14" s="80">
        <f>SUMIF(Tim!GV$5:GV$70,Ins!F14,Tim!$B$5:$B$70)+SUMIF(Tim!GW$5:GW$70,Ins!F14,Tim!$B$5:$B$70)+SUMIF(Tim!GX$5:GX$70,Ins!F14,Tim!$B$5:$B$70)</f>
        <v>0</v>
      </c>
      <c r="BJ14" s="80">
        <f>SUMIF(Tim!GY$5:GY$70,Ins!F14,Tim!$B$5:$B$70)</f>
        <v>0</v>
      </c>
      <c r="BK14" s="80">
        <f>SUMIF(Tim!$GZ$5:$GZ$70,Ins!F14,Tim!$D$5:$D$70)+SUMIF(Tim!$HA$5:$HA$70,Ins!F14,Tim!$D$5:$D$70)+SUMIF(Tim!$HB$5:$HB$70,Ins!F14,Tim!$D$5:$D$70)++SUMIF(Tim!$HC$5:$HC$70,Ins!F14,Tim!$D$5:$D$70)+SUMIF(Tim!$HD$5:$HD$70,Ins!F14,Tim!$D$5:$D$70)+SUMIF(Tim!$HE$5:$HE$70,Ins!F14,Tim!$D$5:$D$70)+SUMIF(Tim!$HF$5:$HF$70,Ins!F14,Tim!$D$5:$D$70)+SUMIF(Tim!$HG$5:$HG$70,Ins!F14,Tim!$D$5:$D$70)+SUMIF(Tim!$HH$5:$HH$70,Ins!F14,Tim!$D$5:$D$70)+SUMIF(Tim!$HI$5:$HI$70,Ins!F14,Tim!$D$5:$D$70)+SUMIF(Tim!$HJ$5:$HJ$70,Ins!F14,Tim!$D$5:$D$70)+SUMIF(Tim!$HK$5:$HK$70,Ins!F14,Tim!$D$5:$D$70)</f>
        <v>0</v>
      </c>
      <c r="BL14" s="80">
        <f>SUMIF(Tim!HL$5:HL$70,Ins!F14,Tim!$C$5:$C$70)</f>
        <v>0</v>
      </c>
      <c r="BM14" s="80">
        <f>SUMIF(Tim!HM$5:HM$70,Ins!F14,Tim!$C$5:$C$70)</f>
        <v>0</v>
      </c>
      <c r="BN14" s="80">
        <f>SUMIF(Tim!HN$5:HN$70,Ins!F14,Tim!$C$5:$C$70)+SUMIF(Tim!HO$5:HO$70,Ins!F14,Tim!$C$5:$C$70)+SUMIF(Tim!HP$5:HP$70,Ins!F14,Tim!$C$5:$C$70)</f>
        <v>0</v>
      </c>
      <c r="BO14" s="81">
        <f>SUMIF(Tim!$HQ$5:$HQ$70,Ins!F14,Tim!$C$5:$C$70)+SUMIF(Tim!$HR$5:$HR$70,Ins!F14,Tim!$C$5:$C$70)+SUMIF(Tim!$HS$5:$HS$70,Ins!F14,Tim!$C$5:$C$70)+SUMIF(Tim!$HT$5:$HT$70,Ins!F14,Tim!$C$5:$C$70)+SUMIF(Tim!$HU$5:$HU$70,Ins!F14,Tim!$C$5:$C$70)</f>
        <v>0</v>
      </c>
      <c r="BP14" s="79">
        <f>SUMIF(Tim!$HV$7:$HV$70,Ins!F14,Tim!$B$7:$B$70)</f>
        <v>6</v>
      </c>
      <c r="BQ14" s="80">
        <f>SUMIF(Tim!$HW$7:$HW$70,Ins!F14,Tim!$B$7:$B$70)+SUMIF(Tim!$HX$7:$HX$70,Ins!F14,Tim!$B$7:$B$70)+SUMIF(Tim!$HY$7:$HY$70,Ins!F14,Tim!$B$7:$B$70)+SUMIF(Tim!$HZ$7:$HZ$70,Ins!F14,Tim!$B$7:$B$70)+SUMIF(Tim!$IA$7:$IA$70,Ins!F14,Tim!$B$7:$B$70)+SUMIF(Tim!$IB$7:$IB$70,Ins!F14,Tim!$B$7:$B$70)</f>
        <v>0</v>
      </c>
      <c r="BR14" s="80">
        <f>SUMIF(Tim!$IC$7:$IC$70,Ins!F14,Tim!$B$7:$B$70)+SUMIF(Tim!$ID$7:$ID$70,Ins!F14,Tim!$B$7:$B$70)+SUMIF(Tim!$IE$7:$IE$70,Ins!F14,Tim!$B$7:$B$70)</f>
        <v>0.5</v>
      </c>
      <c r="BS14" s="80">
        <f>SUMIF(Tim!$IF$7:$IF$70,Ins!F14,Tim!$B$7:$B$70)+SUMIF(Tim!$IG$7:$IG$70,Ins!F14,Tim!$B$7:$B$70)+SUMIF(Tim!$IH$7:$IH$70,Ins!F14,Tim!$B$7:$B$70)+SUMIF(Tim!$II$7:$II$70,Ins!F14,Tim!$B$7:$B$70)+SUMIF(Tim!$IJ$7:$IJ$70,Ins!F14,Tim!$B$7:$B$70)</f>
        <v>1.5</v>
      </c>
      <c r="BT14" s="80">
        <f>SUMIF(Tim!$IK$7:$IK$70,Ins!F14,Tim!$B$7:$B$70)+SUMIF(Tim!$IL$7:$IL$70,Ins!F14,Tim!$B$7:$B$70)+SUMIF(Tim!$IM$7:$IM$70,Ins!F14,Tim!$B$7:$B$70)</f>
        <v>0</v>
      </c>
      <c r="BU14" s="80">
        <f>SUMIF(Tim!$IN$7:$IN$70,Ins!F14,Tim!$B$7:$B$70)+SUMIF(Tim!$IO$7:$IO$70,Ins!F14,Tim!$B$7:$B$70)+SUMIF(Tim!$IP$7:$IP$70,Ins!F14,Tim!$B$7:$B$70)</f>
        <v>0</v>
      </c>
      <c r="BV14" s="80">
        <f>SUMIF(Tim!$IQ$7:$IQ$70,Ins!F14,Tim!$B$7:$B$70)</f>
        <v>0</v>
      </c>
      <c r="BW14" s="80">
        <f>SUMIF(Tim!$IR$7:$IR$70,Ins!F14,Tim!$D$7:$D$70)+SUMIF(Tim!$IS$7:$IS$70,Ins!F14,Tim!$D$7:$D$70)+SUMIF(Tim!$IT$7:$IT$70,Ins!F14,Tim!$D$7:$D$70)+SUMIF(Tim!$IU$7:$IU$70,Ins!F14,Tim!$D$7:$D$70)+SUMIF(Tim!$IV$7:$IV$70,Ins!F14,Tim!$D$7:$D$70)+SUMIF(Tim!$IW$7:$IW$70,Ins!F14,Tim!$D$7:$D$70)+SUMIF(Tim!$IX$7:$IX$70,Ins!F14,Tim!$D$7:$D$70)+SUMIF(Tim!$IY$7:$IY$70,Ins!F14,Tim!$D$7:$D$70)+SUMIF(Tim!$IZ$7:$IZ$70,Ins!F14,Tim!$D$7:$D$70)+SUMIF(Tim!$JA$7:$JA$70,Ins!F14,Tim!$D$7:$D$70)+SUMIF(Tim!$JB$7:$JB$70,Ins!F14,Tim!$D$7:$D$70)+SUMIF(Tim!$JC$7:$JC$70,Ins!F14,Tim!$D$7:$D$70)</f>
        <v>0</v>
      </c>
      <c r="BX14" s="80">
        <f>SUMIF(Tim!JD$7:JD$70,Ins!F14,Tim!$C$7:$C$70)</f>
        <v>0</v>
      </c>
      <c r="BY14" s="80">
        <f>SUMIF(Tim!JE$7:JE$70,Ins!F14,Tim!$C$7:$C$70)</f>
        <v>0</v>
      </c>
      <c r="BZ14" s="80">
        <f>SUMIF(Tim!JF$7:JF$70,Ins!F14,Tim!$C$7:$C$70)+SUMIF(Tim!JG$7:JG$70,Ins!F14,Tim!$C$7:$C$70)+SUMIF(Tim!JH$7:JH$70,Ins!F14,Tim!$C$7:$C$70)</f>
        <v>0</v>
      </c>
      <c r="CA14" s="81">
        <f>SUMIF(Tim!$JI$7:$JI$70,Ins!F14,Tim!$C$7:$C$70)++SUMIF(Tim!$JJ$7:$JJ$70,Ins!F14,Tim!$C$7:$C$70)+SUMIF(Tim!$JK$7:$JK$70,Ins!F14,Tim!$C$7:$C$70)+SUMIF(Tim!$JL$7:$JL$70,Ins!F14,Tim!$C$7:$C$70)+SUMIF(Tim!$JM$7:$JM$70,Ins!F14,Tim!$C$7:$C$70)</f>
        <v>0</v>
      </c>
      <c r="CB14" s="79">
        <f>SUMIF(Tim!$JN$7:$JN$70,Ins!F14,Tim!$B$7:$B$70)</f>
        <v>8</v>
      </c>
      <c r="CC14" s="80">
        <f>SUMIF(Tim!$JO$7:$JO$70,Ins!F14,Tim!$B$7:$B$70)+SUMIF(Tim!$JP$7:$JP$70,Ins!F14,Tim!$B$7:$B$70)+SUMIF(Tim!$JQ$7:$JQ$70,Ins!F14,Tim!$B$7:$B$70)+SUMIF(Tim!$JR$7:$JR$70,Ins!F14,Tim!$B$7:$B$70)+SUMIF(Tim!$JS$7:$JS$70,Ins!F14,Tim!$B$7:$B$70)+SUMIF(Tim!$JT$7:$JT$70,Ins!F14,Tim!$B$7:$B$70)</f>
        <v>0</v>
      </c>
      <c r="CD14" s="80">
        <f>SUMIF(Tim!$JW$7:$JW$70,Ins!F14,Tim!$B$7:$B$70)+SUMIF(Tim!$JU$7:$JU$70,Ins!F14,Tim!$B$7:$B$70)+SUMIF(Tim!$JV$7:$JV$70,Ins!F14,Tim!$B$7:$B$70)</f>
        <v>0</v>
      </c>
      <c r="CE14" s="80">
        <f>SUMIF(Tim!$JX$7:$JX$70,Ins!F14,Tim!$B$7:$B$70)+SUMIF(Tim!$JY$7:$JY$70,Ins!F14,Tim!$B$7:$B$70)+SUMIF(Tim!$JZ$7:$JZ$70,Ins!F14,Tim!$B$7:$B$70)+SUMIF(Tim!$KA$7:$KA$70,Ins!F14,Tim!$B$7:$B$70)+SUMIF(Tim!$KB$7:$KB$70,Ins!F14,Tim!$B$7:$B$70)</f>
        <v>0</v>
      </c>
      <c r="CF14" s="80">
        <f>SUMIF(Tim!$KE$7:$KE$70,Ins!F14,Tim!$B$7:$B$70)+SUMIF(Tim!$KC$7:$KC$70,Ins!F14,Tim!$B$7:$B$70)+SUMIF(Tim!$KD$7:$KD$70,Ins!F14,Tim!$B$7:$B$70)</f>
        <v>0</v>
      </c>
      <c r="CG14" s="80">
        <f>SUMIF(Tim!$KF$7:$KF$70,Ins!F14,Tim!$B$7:$B$70)+SUMIF(Tim!$KG$7:$KG$70,Ins!F14,Tim!$B$7:$B$70)+SUMIF(Tim!$KH$7:$KH$70,Ins!F14,Tim!$B$7:$B$70)</f>
        <v>0</v>
      </c>
      <c r="CH14" s="80">
        <f>SUMIF(Tim!$KI$7:$KI$70,Ins!F14,Tim!$B$7:$B$70)</f>
        <v>0</v>
      </c>
      <c r="CI14" s="80">
        <f>SUMIF(Tim!$KJ$7:$KJ$70,Ins!F14,Tim!$D$7:$D$70)+SUMIF(Tim!$KK$7:$KK$70,Ins!F14,Tim!$D$7:$D$70)+SUMIF(Tim!$KL$7:$KL$70,Ins!F14,Tim!$D$7:$D$70)+SUMIF(Tim!$KM$7:$KM$70,Ins!F14,Tim!$D$7:$D$70)+SUMIF(Tim!$KN$7:$KN$70,Ins!F14,Tim!$D$7:$D$70)+SUMIF(Tim!$KO$7:$KO$70,Ins!F14,Tim!$D$7:$D$70)+SUMIF(Tim!$KP$7:$KP$70,Ins!F14,Tim!$D$7:$D$70)+SUMIF(Tim!$KQ$7:$KQ$70,Ins!F14,Tim!$D$7:$D$70)+SUMIF(Tim!$KR$7:$KR$70,Ins!F14,Tim!$D$7:$D$70)+SUMIF(Tim!$KS$7:$KS$70,Ins!F14,Tim!$D$7:$D$70)+SUMIF(Tim!$KT$7:$KT$70,Ins!F14,Tim!$D$7:$D$70)+SUMIF(Tim!$KU$7:$KU$70,Ins!F14,Tim!$D$7:$D$70)</f>
        <v>0</v>
      </c>
      <c r="CJ14" s="80">
        <f>SUMIF(Tim!KV$7:KV$70,Ins!F14,Tim!$C$7:$C$70)</f>
        <v>0</v>
      </c>
      <c r="CK14" s="80">
        <f>SUMIF(Tim!KW$7:KW$70,Ins!F14,Tim!$C$7:$C$70)</f>
        <v>0</v>
      </c>
      <c r="CL14" s="80">
        <f>SUMIF(Tim!KX$7:KX$70,Ins!F14,Tim!$C$7:$C$70)+SUMIF(Tim!KY$7:KY$70,Ins!F14,Tim!$C$7:$C$70)+SUMIF(Tim!KZ$7:KZ$70,Ins!F14,Tim!$C$7:$C$70)</f>
        <v>0</v>
      </c>
      <c r="CM14" s="81">
        <f>SUMIF(Tim!$LA$7:$LA$70,Ins!F14,Tim!$C$7:$C$70)+SUMIF(Tim!$LB$7:$LB$70,Ins!F14,Tim!$C$7:$C$70)+SUMIF(Tim!$LC$7:$LC$70,Ins!F14,Tim!$C$7:$C$70)+SUMIF(Tim!$LD$7:$LD$70,Ins!F14,Tim!$C$7:$C$70)+SUMIF(Tim!$LE$7:$LE$70,Ins!F14,Tim!$C$7:$C$70)</f>
        <v>0</v>
      </c>
      <c r="CN14" s="22"/>
      <c r="CO14" s="180">
        <f t="shared" ref="CO14" si="88">H14+T14+AF14+AR14+BD14+BP14+CB14</f>
        <v>26.5</v>
      </c>
      <c r="CP14" s="179">
        <f t="shared" ref="CP14" si="89">I14+U14+AG14+AS14+BE14+BQ14+CC14</f>
        <v>0.25</v>
      </c>
      <c r="CQ14" s="179">
        <f t="shared" ref="CQ14" si="90">J14+V14+AH14+AT14+BF14+BR14+CD14</f>
        <v>3</v>
      </c>
      <c r="CR14" s="179">
        <f t="shared" ref="CR14" si="91">K14+W14+AI14+AU14+BG14+BS14+CE14</f>
        <v>3.5</v>
      </c>
      <c r="CS14" s="179">
        <f t="shared" ref="CS14" si="92">L14+X14+AJ14+AV14+BH14+BT14+CF14</f>
        <v>2</v>
      </c>
      <c r="CT14" s="179">
        <f t="shared" ref="CT14" si="93">M14+Y14+AK14+AW14+BI14+BU14+CG14</f>
        <v>1.25</v>
      </c>
      <c r="CU14" s="179">
        <f t="shared" ref="CU14" si="94">N14+Z14+AL14+AX14+BJ14+BV14+CH14</f>
        <v>0</v>
      </c>
      <c r="CV14" s="179">
        <f t="shared" ref="CV14" si="95">O14+AA14+AM14+AY14+BK14+BW14+CI14</f>
        <v>0</v>
      </c>
      <c r="CW14" s="179">
        <f t="shared" ref="CW14" si="96">P14+AB14+AN14+AZ14+BL14+BX14+CJ14</f>
        <v>0</v>
      </c>
      <c r="CX14" s="179">
        <f t="shared" ref="CX14" si="97">Q14+AC14+AO14+BA14+BM14+BY14+CK14</f>
        <v>0</v>
      </c>
      <c r="CY14" s="179">
        <f t="shared" ref="CY14" si="98">R14+AD14+AP14+BB14+BN14+BZ14+CL14</f>
        <v>0</v>
      </c>
      <c r="CZ14" s="179">
        <f t="shared" ref="CZ14" si="99">S14+AE14+AQ14+BC14+BO14+CA14+CM14</f>
        <v>3.5</v>
      </c>
      <c r="DA14" s="78">
        <f t="shared" ref="DA14" si="100">SUM(CO14:CZ14)</f>
        <v>40</v>
      </c>
      <c r="DB14" s="16"/>
      <c r="DC14" s="34">
        <f t="shared" ref="DC14" si="101">SUM(H14:S14)</f>
        <v>8</v>
      </c>
      <c r="DD14" s="34">
        <f t="shared" ref="DD14" si="102">SUM(T14:AE14)</f>
        <v>8</v>
      </c>
      <c r="DE14" s="34">
        <f t="shared" ref="DE14" si="103">SUM(AF14:AQ14)</f>
        <v>0</v>
      </c>
      <c r="DF14" s="34">
        <f>SUM(AR14:BC14)</f>
        <v>0</v>
      </c>
      <c r="DG14" s="34">
        <f t="shared" ref="DG14" si="104">SUM(BD14:BO14)</f>
        <v>8</v>
      </c>
      <c r="DH14" s="34">
        <f t="shared" ref="DH14" si="105">SUM(BP14:CA14)</f>
        <v>8</v>
      </c>
      <c r="DI14" s="34">
        <f t="shared" ref="DI14" si="106">SUM(CB14:CM14)</f>
        <v>8</v>
      </c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7"/>
    </row>
    <row r="15" spans="1:125" ht="12" customHeight="1">
      <c r="A15" s="10">
        <v>13</v>
      </c>
      <c r="B15" s="229" t="s">
        <v>470</v>
      </c>
      <c r="C15" s="185"/>
      <c r="D15" s="230"/>
      <c r="E15" s="230"/>
      <c r="F15" s="298" t="s">
        <v>471</v>
      </c>
      <c r="G15" s="231" t="s">
        <v>192</v>
      </c>
      <c r="H15" s="79">
        <f>SUMIF(Tim!$F$7:$F$70,Ins!F15,Tim!$B$7:$B$70)</f>
        <v>0</v>
      </c>
      <c r="I15" s="80">
        <f>SUMIF(Tim!$G$7:$G$70,Ins!F15,Tim!$B$7:$B$70)+SUMIF(Tim!$H$7:$H$70,Ins!F15,Tim!$B$7:$B$70)+SUMIF(Tim!$I$7:$I$70,Ins!F15,Tim!$B$7:$B$70)+SUMIF(Tim!$J$7:$J$70,Ins!F15,Tim!$B$7:$B$70)+SUMIF(Tim!$K$7:$K$70,Ins!F15,Tim!$B$7:$B$70)+SUMIF(Tim!$L$7:$L$70,Ins!F15,Tim!$B$7:$B$70)</f>
        <v>0</v>
      </c>
      <c r="J15" s="80">
        <f>SUMIF(Tim!$M$7:$M$70,Ins!F15,Tim!$B$7:$B$70)+SUMIF(Tim!$O$7:$O$70,Ins!F15,Tim!$B$7:$B$70)+SUMIF(Tim!$N$7:$N$70,Ins!F15,Tim!$B$7:$B$70)</f>
        <v>0</v>
      </c>
      <c r="K15" s="80">
        <f>SUMIF(Tim!$P$7:$P$70,Ins!F15,Tim!$B$7:$B$70)+SUMIF(Tim!$Q$7:$Q$70,Ins!F15,Tim!$B$7:$B$70)+SUMIF(Tim!$R$7:$R$70,Ins!F15,Tim!$B$7:$B$70)+SUMIF(Tim!$S$7:$S$70,Ins!F15,Tim!$B$7:$B$70)+SUMIF(Tim!$T$7:$T$70,Ins!F15,Tim!$B$7:$B$70)</f>
        <v>0</v>
      </c>
      <c r="L15" s="80">
        <f>SUMIF(Tim!$U$7:$U$70,Ins!F15,Tim!$B$7:$B$70)+SUMIF(Tim!$W$7:$W$70,Ins!F15,Tim!$B$7:$B$70)+SUMIF(Tim!$X$7:$X$70,Ins!F15,Tim!$B$7:$B$70)</f>
        <v>0</v>
      </c>
      <c r="M15" s="80">
        <f>SUMIF(Tim!$Y$7:$Y$70,Ins!F15,Tim!$B$7:$B$70)+SUMIF(Tim!$Z$7:$Z$70,Ins!F15,Tim!$B$7:$B$70)+SUMIF(Tim!$AA$7:$AA$70,Ins!F15,Tim!$B$7:$B$70)</f>
        <v>0</v>
      </c>
      <c r="N15" s="80">
        <f>SUMIF(Tim!$AB$7:$AB$70,Ins!F15,Tim!$B$7:$B$70)</f>
        <v>0</v>
      </c>
      <c r="O15" s="80">
        <f>SUMIF(Tim!$AC$7:$AC$70,Ins!F15,Tim!$D$7:$D$70)+SUMIF(Tim!$AD$7:$AD$70,Ins!F15,Tim!$D$7:$D$70)+SUMIF(Tim!$AE$7:$AE$70,Ins!F15,Tim!$D$7:$D$70)+SUMIF(Tim!$AF$7:$AF$70,Ins!F15,Tim!$D$7:$D$70)+SUMIF(Tim!$AG$7:$AG$70,Ins!F15,Tim!$D$7:$D$70)+SUMIF(Tim!$AH$7:$AH$70,Ins!F15,Tim!$D$7:$D$70)+SUMIF(Tim!$AI$7:$AI$70,Ins!F15,Tim!$D$7:$D$70)+SUMIF(Tim!$AJ$7:$AJ$70,Ins!F15,Tim!$D$7:$D$70)+SUMIF(Tim!$AK$7:$AK$70,Ins!F15,Tim!$D$7:$D$70)+SUMIF(Tim!$AL$7:$AL$70,Ins!F15,Tim!$D$7:$D$70)+SUMIF(Tim!$AM$7:$AM$70,Ins!F15,Tim!$D$7:$D$70)+SUMIF(Tim!$AN$7:$AN$70,Ins!F15,Tim!$D$7:$D$70)</f>
        <v>0</v>
      </c>
      <c r="P15" s="80">
        <f>SUMIF(Tim!AO$7:AO$70,Ins!F15,Tim!$C$7:$C$70)</f>
        <v>0</v>
      </c>
      <c r="Q15" s="80">
        <f>SUMIF(Tim!AP$7:AP$70,Ins!F15,Tim!$C$7:$C$70)</f>
        <v>0</v>
      </c>
      <c r="R15" s="80">
        <f>SUMIF(Tim!AQ$7:AQ$70,Ins!F15,Tim!$C$7:$C$70)+SUMIF(Tim!AR$7:AR$70,Ins!F15,Tim!$C$7:$C$70)+SUMIF(Tim!AS$7:AS$70,Ins!F15,Tim!$C$7:$C$70)</f>
        <v>0</v>
      </c>
      <c r="S15" s="236">
        <f>SUMIF(Tim!$AT$7:$AT$70,Ins!F15,Tim!$C$7:$C$70)+SUMIF(Tim!$AU$7:$AU$70,Ins!F15,Tim!$C$7:$C78)+SUMIF(Tim!$AV$7:$AV$70,Ins!F15,Tim!$C$7:$C$70)+SUMIF(Tim!$AW$7:$AW$70,Ins!F15,Tim!$C$7:$C$70)+SUMIF(Tim!$AX$7:$AX$70,Ins!F15,Tim!$C$7:$C$70)</f>
        <v>0</v>
      </c>
      <c r="T15" s="79">
        <f>SUMIF(Tim!$AY$7:$AY$70,Ins!F15,Tim!$B$7:$B$70)</f>
        <v>4.25</v>
      </c>
      <c r="U15" s="80">
        <f>SUMIF(Tim!$AZ$7:$AZ$70,Ins!F15,Tim!$B$7:$B$70)+SUMIF(Tim!$BA$7:$BA$70,Ins!F15,Tim!$B$7:$B$70)+SUMIF(Tim!$BB$7:$BB$70,Ins!F15,Tim!$B$7:$B$70)+SUMIF(Tim!$BC$7:$BC$70,Ins!F15,Tim!$B$7:$B$70)+SUMIF(Tim!$BD$7:$BD$70,Ins!F15,Tim!$B$7:$B$70)+SUMIF(Tim!$BE$7:$BE$70,Ins!F15,Tim!$B$7:$B$70)</f>
        <v>0.75</v>
      </c>
      <c r="V15" s="80">
        <f>SUMIF(Tim!$BF$7:$BF$70,Ins!F15,Tim!$B$7:$B$70)+SUMIF(Tim!$BG$7:$BG$70,Ins!F15,Tim!$B$7:$B$70)+SUMIF(Tim!$BH$7:$BH$70,Ins!F15,Tim!$B$7:$B$70)</f>
        <v>1</v>
      </c>
      <c r="W15" s="80">
        <f>SUMIF(Tim!$BI$7:$BI$70,Ins!F15,Tim!$B$7:$B$70)+SUMIF(Tim!$BJ$7:$BJ$70,Ins!F15,Tim!$B$7:$B$70)+SUMIF(Tim!$BK$7:$BK$70,Ins!F15,Tim!$B$7:$B$70)+SUMIF(Tim!$BL$7:$BL$70,Ins!F15,Tim!$B$7:$B$70)+SUMIF(Tim!$BM$7:$BM$70,Ins!F15,Tim!$B$7:$B$70)</f>
        <v>0</v>
      </c>
      <c r="X15" s="80">
        <f>SUMIF(Tim!$BN$7:$BN$70,Ins!F15,Tim!$B$7:$B$70)+SUMIF(Tim!$BO$7:$BO$70,Ins!F15,Tim!$B$7:$B$70)+SUMIF(Tim!$BP$7:$BP$70,Ins!F15,Tim!$B$7:$B$70)</f>
        <v>0.5</v>
      </c>
      <c r="Y15" s="80">
        <f>SUMIF(Tim!$BQ$7:$BQ$70,Ins!F15,Tim!$B$7:$B$70)+SUMIF(Tim!$BR$7:$BR$70,Ins!F15,Tim!$B$7:$B$70)+SUMIF(Tim!$BS$7:$BS$70,Ins!F15,Tim!$B$7:$B$70)</f>
        <v>0</v>
      </c>
      <c r="Z15" s="80">
        <f>SUMIF(Tim!BT$7:BT$70,Ins!F15,Tim!$B$7:$B$70)</f>
        <v>0</v>
      </c>
      <c r="AA15" s="80">
        <f>SUMIF(Tim!$BU$7:$BU$70,Ins!F15,Tim!$D$7:$D$70)+SUMIF(Tim!$BV$7:$BV$70,Ins!F15,Tim!$D$7:$D$70)+SUMIF(Tim!$BW$7:$BW$70,Ins!F15,Tim!$D$7:$D$70)+SUMIF(Tim!$BX$7:$BX$70,Ins!F15,Tim!$D$7:$D$70)+SUMIF(Tim!$BY$7:$BY$70,Ins!F15,Tim!$D$7:$D$70)+SUMIF(Tim!$BZ$7:$BZ$70,Ins!F15,Tim!$D$7:$D$70)+SUMIF(Tim!$CA$7:$CA$70,Ins!F15,Tim!$D$7:$D$70)+SUMIF(Tim!$CB$7:$CB$70,Ins!F15,Tim!$D$7:$D$70)+SUMIF(Tim!$CC$7:$CC$70,Ins!F15,Tim!$D$7:$D$70)+SUMIF(Tim!$CD$7:$CD$70,Ins!F15,Tim!$D$7:$D$70)+SUMIF(Tim!$CE$7:$CE$70,Ins!F15,Tim!$D$7:$D$70)+SUMIF(Tim!$CF$7:$CF$70,Ins!F15,Tim!$D$7:$D$70)</f>
        <v>0</v>
      </c>
      <c r="AB15" s="80">
        <f>SUMIF(Tim!CG$7:CG$70,Ins!F15,Tim!$C$7:$C$70)</f>
        <v>0</v>
      </c>
      <c r="AC15" s="80">
        <f>SUMIF(Tim!CH$7:CH$70,Ins!F15,Tim!$C$7:$C$70)</f>
        <v>0</v>
      </c>
      <c r="AD15" s="80">
        <f>SUMIF(Tim!CI$7:CI$70,Ins!F15,Tim!$C$7:$C$70)+SUMIF(Tim!CJ$7:CJ$70,Ins!F15,Tim!$C$7:$C$70)+SUMIF(Tim!CK$7:CK$70,Ins!F15,Tim!$C$7:$C$70)</f>
        <v>0</v>
      </c>
      <c r="AE15" s="81">
        <f>SUMIF(Tim!$CL$7:$CL$70,Ins!F15,Tim!$C$7:$C$70)+SUMIF(Tim!$CM$7:$CM$70,Ins!F15,Tim!$C$7:$C$70)+SUMIF(Tim!$CN$7:$CN$70,Ins!F15,Tim!$C$7:$C$70)+SUMIF(Tim!$CO$7:$CO$70,Ins!F15,Tim!$C$7:$C$70)+SUMIF(Tim!$CP$7:$CP$70,Ins!F15,Tim!$C$7:$C$70)</f>
        <v>1.5</v>
      </c>
      <c r="AF15" s="79">
        <f>SUMIF(Tim!$CQ$7:$CQ$70,Ins!F15,Tim!$B$7:$B$70)</f>
        <v>5.5</v>
      </c>
      <c r="AG15" s="80">
        <f>SUMIF(Tim!$CR$7:$CR$70,Ins!F15,Tim!$B$7:$B$70)+SUMIF(Tim!$CS$7:$CS$70,Ins!F15,Tim!$B$7:$B$70)+SUMIF(Tim!$CT$7:$CT$70,Ins!F15,Tim!$B$7:$B$70)+SUMIF(Tim!$CU$7:$CU$70,Ins!F15,Tim!$B$7:$B$70)+SUMIF(Tim!$CV$7:$CV$70,Ins!F15,Tim!$B$7:$B$70)+SUMIF(Tim!$CW$7:$CW$70,Ins!F15,Tim!$B$7:$B$70)</f>
        <v>0.25</v>
      </c>
      <c r="AH15" s="80">
        <f>SUMIF(Tim!$CX$7:$CX$70,Ins!F15,Tim!$B$7:$B$70)+SUMIF(Tim!$CY$7:$CY$70,Ins!F15,Tim!$B$7:$B$70)+SUMIF(Tim!$CZ$7:$CZ$70,Ins!F15,Tim!$B$7:$B$70)</f>
        <v>0</v>
      </c>
      <c r="AI15" s="80">
        <f>SUMIF(Tim!$DA$7:$DA$70,Ins!F15,Tim!$B$7:$B$70)+SUMIF(Tim!$DB$7:$DB$70,Ins!F15,Tim!$B$7:$B$70)+SUMIF(Tim!$DC$7:$DC$70,Ins!F15,Tim!$B$7:$B$70)+SUMIF(Tim!$DD$7:$DD$70,Ins!F15,Tim!$B$7:$B$70)+SUMIF(Tim!$DE$7:$DE$70,Ins!F15,Tim!$B$7:$B$70)</f>
        <v>0</v>
      </c>
      <c r="AJ15" s="80">
        <f>SUMIF(Tim!$DF$7:$DF$70,Ins!F15,Tim!$B$7:$B$70)+SUMIF(Tim!$DG$7:$DG$70,Ins!F15,Tim!$B$7:$B$70)+SUMIF(Tim!$DH$7:$DH$70,Ins!F15,Tim!$B$7:$B$70)</f>
        <v>0.75</v>
      </c>
      <c r="AK15" s="80">
        <f>SUMIF(Tim!DI$7:DI$70,Ins!F15,Tim!$B$7:$B$70)+SUMIF(Tim!DM$7:DM$70,Ins!F15,Tim!$B$7:$B$70)+SUMIF(Tim!DN$7:DN$70,Ins!F15,Tim!$B$7:$B$70)</f>
        <v>0</v>
      </c>
      <c r="AL15" s="80">
        <f>SUMIF(Tim!DO$7:DO$70,Ins!F15,Tim!$B$7:$B$70)</f>
        <v>0</v>
      </c>
      <c r="AM15" s="80">
        <f>SUMIF(Tim!$DP$7:$DP$70,Ins!F15,Tim!$D$7:$D$70)+SUMIF(Tim!$DQ$7:$DQ$70,Ins!F15,Tim!$D$7:$D$70)+SUMIF(Tim!$DR$7:$DR$70,Ins!F15,Tim!$D$7:$D$70)+SUMIF(Tim!$DS$7:$DS$70,Ins!F15,Tim!$D$7:$D$70)+SUMIF(Tim!$DT$7:$DT$70,Ins!F15,Tim!$D$7:$D$70)+SUMIF(Tim!$DU$7:$DU$70,Ins!F15,Tim!$D$7:$D$70)+SUMIF(Tim!$DV$7:$DV$70,Ins!F15,Tim!$D$7:$D$70)+SUMIF(Tim!$DW$7:$DW$70,Ins!F15,Tim!$D$7:$D$70)+SUMIF(Tim!$DX$7:$DX$70,Ins!F15,Tim!$D$7:$D$70)+SUMIF(Tim!$DY$7:$DY$70,Ins!F15,Tim!$D$7:$D$70)+SUMIF(Tim!$DZ$7:$DZ$70,Ins!F15,Tim!$D$7:$D$70)+SUMIF(Tim!$EA$7:$EA$70,Ins!F15,Tim!$D$7:$D$70)</f>
        <v>0</v>
      </c>
      <c r="AN15" s="80">
        <f>SUMIF(Tim!EB$7:EB$70,Ins!F15,Tim!$C$7:$C$70)</f>
        <v>0</v>
      </c>
      <c r="AO15" s="80">
        <f>SUMIF(Tim!EC$7:EC$70,Ins!F15,Tim!$C$7:$C$70)</f>
        <v>0</v>
      </c>
      <c r="AP15" s="80">
        <f>SUMIF(Tim!ED$7:ED$70,Ins!F15,Tim!$C$7:$C$70)+SUMIF(Tim!EE$7:EE$70,Ins!F15,Tim!$C$7:$C$70)+SUMIF(Tim!EF$7:EF$70,Ins!F15,Tim!$C$7:$C$70)</f>
        <v>0</v>
      </c>
      <c r="AQ15" s="81">
        <f>SUMIF(Tim!$EG$7:$EG$70,Ins!F15,Tim!$C$7:$C$70)+SUMIF(Tim!$EH$7:$EH$70,Ins!F15,Tim!$C$7:$C$70)+SUMIF(Tim!$EI$7:$EI$70,Ins!F15,Tim!$C$7:$C$70)+SUMIF(Tim!$EJ$7:$EJ$70,Ins!F15,Tim!$C$7:$C$70)+SUMIF(Tim!$EK$7:$EK$70,Ins!F15,Tim!$C$7:$C$70)</f>
        <v>1.5</v>
      </c>
      <c r="AR15" s="79">
        <f>SUMIF(Tim!$EL$5:$EL$70,Ins!F15,Tim!$B$5:$B$70)</f>
        <v>3.25</v>
      </c>
      <c r="AS15" s="80">
        <f>SUMIF(Tim!$EM$5:$EM$70,Ins!F15,Tim!$B$5:$B$70)+SUMIF(Tim!$EN$5:$EN$70,Ins!F15,Tim!$B$5:$B$70)+SUMIF(Tim!$EO$5:$EO$70,Ins!F15,Tim!$B$5:$B$70)+SUMIF(Tim!$EP$5:$EP$70,Ins!F15,Tim!$B$5:$B$70)+SUMIF(Tim!$EQ$5:$EQ$70,Ins!F15,Tim!$B$5:$B$70)+SUMIF(Tim!$ER$5:$ER$70,Ins!F15,Tim!$B$5:$B$70)</f>
        <v>0</v>
      </c>
      <c r="AT15" s="80">
        <f>SUMIF(Tim!$ES$5:$ES$70,Ins!F15,Tim!$B$5:$B$70)+SUMIF(Tim!$ET$5:$ET$70,Ins!F15,Tim!$B$5:$B$70)+SUMIF(Tim!$EU$5:$EU$70,Ins!F15,Tim!$B$5:$B$70)</f>
        <v>1</v>
      </c>
      <c r="AU15" s="80">
        <f>SUMIF(Tim!$EV$5:$EV$70,Ins!F15,Tim!$B$5:$B$70)+SUMIF(Tim!$EW$5:$EW$70,Ins!F15,Tim!$B$5:$B$70)+SUMIF(Tim!$EX$5:$EX$70,Ins!F15,Tim!$B$5:$B$70)+SUMIF(Tim!$EY$5:$EY$70,Ins!F15,Tim!$B$5:$B$70)+SUMIF(Tim!$EZ$5:$EZ$70,Ins!F15,Tim!$B$5:$B$70)</f>
        <v>0</v>
      </c>
      <c r="AV15" s="80">
        <f>SUMIF(Tim!$FA$5:$FA$70,Ins!F15,Tim!$B$5:$B$70)+SUMIF(Tim!$FB$5:$FB$70,Ins!F15,Tim!$B$5:$B$70)+SUMIF(Tim!$FC$5:$FC$70,Ins!F15,Tim!$B$5:$B$70)</f>
        <v>0.75</v>
      </c>
      <c r="AW15" s="80">
        <f>SUMIF(Tim!FD$5:FD$70,Ins!F15,Tim!$B$5:$B$70)+SUMIF(Tim!FE$5:FE$70,Ins!F15,Tim!$B$5:$B$70)+SUMIF(Tim!FF$5:FF$70,Ins!F15,Tim!$B$5:$B$70)</f>
        <v>0</v>
      </c>
      <c r="AX15" s="80">
        <f>SUMIF(Tim!FG$5:FG$70,Ins!F15,Tim!$B$5:$B$70)</f>
        <v>0</v>
      </c>
      <c r="AY15" s="80">
        <f>SUMIF(Tim!$FH$5:$FH$70,Ins!F15,Tim!$D$5:$D$70)+SUMIF(Tim!$FI$5:$FI$70,Ins!F15,Tim!$D$5:$D$70)+SUMIF(Tim!$FJ$5:$FJ$70,Ins!F15,Tim!$D$5:$D$70)+SUMIF(Tim!$FK$5:$FK$70,Ins!F15,Tim!$D$5:$D$70)+SUMIF(Tim!$FL$5:$FL$70,Ins!F15,Tim!$D$5:$D$70)+SUMIF(Tim!$FM$5:$FM$70,Ins!F15,Tim!$D$5:$D$70)+SUMIF(Tim!$FN$5:$FN$70,Ins!F15,Tim!$D$5:$D$70)+SUMIF(Tim!$FO$5:$FO$70,Ins!F15,Tim!$D$5:$D$70)+SUMIF(Tim!$FP$5:$FP$70,Ins!F15,Tim!$D$5:$D$70)+SUMIF(Tim!$FQ$5:$FQ$70,Ins!F15,Tim!$D$5:$D$70)+SUMIF(Tim!$FR$5:$FR$70,Ins!F15,Tim!$D$5:$D$70)+SUMIF(Tim!$FS$5:$FS$70,Ins!F15,Tim!$D$5:$D$70)</f>
        <v>0</v>
      </c>
      <c r="AZ15" s="80">
        <f>SUMIF(Tim!FT$5:FT$70,Ins!F15,Tim!$C$5:$C$70)</f>
        <v>0</v>
      </c>
      <c r="BA15" s="80">
        <f>SUMIF(Tim!FU$5:FU$70,Ins!F15,Tim!$C$5:$C$70)</f>
        <v>0</v>
      </c>
      <c r="BB15" s="80">
        <f>SUMIF(Tim!FV$5:FV$70,Ins!F15,Tim!$C$5:$C$70)+SUMIF(Tim!FW$5:FW$70,Ins!F15,Tim!$C$5:$C$70)+SUMIF(Tim!FX$5:FX$70,Ins!F15,Tim!$C$5:$C$70)</f>
        <v>0</v>
      </c>
      <c r="BC15" s="81">
        <f>SUMIF(Tim!$FY$5:$FY$70,Ins!F15,Tim!$C$5:$C$70)+SUMIF(Tim!$FZ$5:$FZ$70,Ins!F15,Tim!$C$5:$C$70)+SUMIF(Tim!$GA$5:$GA$70,Ins!F15,Tim!$C$5:$C$70)+SUMIF(Tim!$GB$5:$GB$70,Ins!F15,Tim!$C$5:$C$70)+SUMIF(Tim!$GC$5:$GC$70,Ins!F15,Tim!$C$5:$C$70)</f>
        <v>3</v>
      </c>
      <c r="BD15" s="79">
        <f>SUMIF(Tim!$GD$5:$GD$70,Ins!F15,Tim!$B$5:$B$70)</f>
        <v>4.25</v>
      </c>
      <c r="BE15" s="80">
        <f>SUMIF(Tim!$GE$5:$GE$70,Ins!F15,Tim!$B$5:$B$70)+SUMIF(Tim!$GF$5:$GF$70,Ins!F15,Tim!$B$5:$B$70)+SUMIF(Tim!$GG$5:$GG$70,Ins!F15,Tim!$B$5:$B$70)+SUMIF(Tim!$GH$5:$GH$70,Ins!F15,Tim!$B$5:$B$70)+SUMIF(Tim!$GI$5:$GI$70,Ins!F15,Tim!$B$5:$B$70)+SUMIF(Tim!$GJ$5:$GJ$70,Ins!F15,Tim!$B$5:$B$70)</f>
        <v>0.25</v>
      </c>
      <c r="BF15" s="80">
        <f>SUMIF(Tim!$GK$5:$GK$70,Ins!F15,Tim!$B$5:$B$70)+SUMIF(Tim!$GL$5:$GL$70,Ins!F15,Tim!$B$5:$B$70)+SUMIF(Tim!$GM$5:$GM$70,Ins!F15,Tim!$B$5:$B$70)</f>
        <v>1</v>
      </c>
      <c r="BG15" s="80">
        <f>SUMIF(Tim!$GN$5:$GN$70,Ins!F15,Tim!$B$5:$B$70)+SUMIF(Tim!$GO$5:$GO$70,Ins!F15,Tim!$B$5:$B$70)+SUMIF(Tim!$GP$5:$GP$70,Ins!F15,Tim!$B$5:$B$70)+SUMIF(Tim!$GQ$5:$GQ$70,Ins!F15,Tim!$B$5:$B$70)+SUMIF(Tim!$GR$5:$GR$70,Ins!F15,Tim!$B$5:$B$70)</f>
        <v>0.75</v>
      </c>
      <c r="BH15" s="80">
        <f>SUMIF(Tim!$GS$5:$GS$70,Ins!F15,Tim!$B$5:$B$70)+SUMIF(Tim!$GT$5:$GT$70,Ins!F15,Tim!$B$5:$B$70)+SUMIF(Tim!$GU$5:$GU$70,Ins!F15,Tim!$B$5:$B$70)</f>
        <v>0.25</v>
      </c>
      <c r="BI15" s="80">
        <f>SUMIF(Tim!GV$5:GV$70,Ins!F15,Tim!$B$5:$B$70)+SUMIF(Tim!GW$5:GW$70,Ins!F15,Tim!$B$5:$B$70)+SUMIF(Tim!GX$5:GX$70,Ins!F15,Tim!$B$5:$B$70)</f>
        <v>0</v>
      </c>
      <c r="BJ15" s="80">
        <f>SUMIF(Tim!GY$5:GY$70,Ins!F15,Tim!$B$5:$B$70)</f>
        <v>0</v>
      </c>
      <c r="BK15" s="80">
        <f>SUMIF(Tim!$GZ$5:$GZ$70,Ins!F15,Tim!$D$5:$D$70)+SUMIF(Tim!$HA$5:$HA$70,Ins!F15,Tim!$D$5:$D$70)+SUMIF(Tim!$HB$5:$HB$70,Ins!F15,Tim!$D$5:$D$70)++SUMIF(Tim!$HC$5:$HC$70,Ins!F15,Tim!$D$5:$D$70)+SUMIF(Tim!$HD$5:$HD$70,Ins!F15,Tim!$D$5:$D$70)+SUMIF(Tim!$HE$5:$HE$70,Ins!F15,Tim!$D$5:$D$70)+SUMIF(Tim!$HF$5:$HF$70,Ins!F15,Tim!$D$5:$D$70)+SUMIF(Tim!$HG$5:$HG$70,Ins!F15,Tim!$D$5:$D$70)+SUMIF(Tim!$HH$5:$HH$70,Ins!F15,Tim!$D$5:$D$70)+SUMIF(Tim!$HI$5:$HI$70,Ins!F15,Tim!$D$5:$D$70)+SUMIF(Tim!$HJ$5:$HJ$70,Ins!F15,Tim!$D$5:$D$70)+SUMIF(Tim!$HK$5:$HK$70,Ins!F15,Tim!$D$5:$D$70)</f>
        <v>0</v>
      </c>
      <c r="BL15" s="80">
        <f>SUMIF(Tim!HL$5:HL$70,Ins!F15,Tim!$C$5:$C$70)</f>
        <v>0</v>
      </c>
      <c r="BM15" s="80">
        <f>SUMIF(Tim!HM$5:HM$70,Ins!F15,Tim!$C$5:$C$70)</f>
        <v>0</v>
      </c>
      <c r="BN15" s="80">
        <f>SUMIF(Tim!HN$5:HN$70,Ins!F15,Tim!$C$5:$C$70)+SUMIF(Tim!HO$5:HO$70,Ins!F15,Tim!$C$5:$C$70)+SUMIF(Tim!HP$5:HP$70,Ins!F15,Tim!$C$5:$C$70)</f>
        <v>0</v>
      </c>
      <c r="BO15" s="81">
        <f>SUMIF(Tim!$HQ$5:$HQ$70,Ins!F15,Tim!$C$5:$C$70)+SUMIF(Tim!$HR$5:$HR$70,Ins!F15,Tim!$C$5:$C$70)+SUMIF(Tim!$HS$5:$HS$70,Ins!F15,Tim!$C$5:$C$70)+SUMIF(Tim!$HT$5:$HT$70,Ins!F15,Tim!$C$5:$C$70)+SUMIF(Tim!$HU$5:$HU$70,Ins!F15,Tim!$C$5:$C$70)</f>
        <v>1.5</v>
      </c>
      <c r="BP15" s="79">
        <f>SUMIF(Tim!$HV$7:$HV$70,Ins!F15,Tim!$B$7:$B$70)</f>
        <v>6</v>
      </c>
      <c r="BQ15" s="80">
        <f>SUMIF(Tim!$HW$7:$HW$70,Ins!F15,Tim!$B$7:$B$70)+SUMIF(Tim!$HX$7:$HX$70,Ins!F15,Tim!$B$7:$B$70)+SUMIF(Tim!$HY$7:$HY$70,Ins!F15,Tim!$B$7:$B$70)+SUMIF(Tim!$HZ$7:$HZ$70,Ins!F15,Tim!$B$7:$B$70)+SUMIF(Tim!$IA$7:$IA$70,Ins!F15,Tim!$B$7:$B$70)+SUMIF(Tim!$IB$7:$IB$70,Ins!F15,Tim!$B$7:$B$70)</f>
        <v>0</v>
      </c>
      <c r="BR15" s="80">
        <f>SUMIF(Tim!$IC$7:$IC$70,Ins!F15,Tim!$B$7:$B$70)+SUMIF(Tim!$ID$7:$ID$70,Ins!F15,Tim!$B$7:$B$70)+SUMIF(Tim!$IE$7:$IE$70,Ins!F15,Tim!$B$7:$B$70)</f>
        <v>1.5</v>
      </c>
      <c r="BS15" s="80">
        <f>SUMIF(Tim!$IF$7:$IF$70,Ins!F15,Tim!$B$7:$B$70)+SUMIF(Tim!$IG$7:$IG$70,Ins!F15,Tim!$B$7:$B$70)+SUMIF(Tim!$IH$7:$IH$70,Ins!F15,Tim!$B$7:$B$70)+SUMIF(Tim!$II$7:$II$70,Ins!F15,Tim!$B$7:$B$70)+SUMIF(Tim!$IJ$7:$IJ$70,Ins!F15,Tim!$B$7:$B$70)</f>
        <v>0.5</v>
      </c>
      <c r="BT15" s="80">
        <f>SUMIF(Tim!$IK$7:$IK$70,Ins!F15,Tim!$B$7:$B$70)+SUMIF(Tim!$IL$7:$IL$70,Ins!F15,Tim!$B$7:$B$70)+SUMIF(Tim!$IM$7:$IM$70,Ins!F15,Tim!$B$7:$B$70)</f>
        <v>0</v>
      </c>
      <c r="BU15" s="80">
        <f>SUMIF(Tim!$IN$7:$IN$70,Ins!F15,Tim!$B$7:$B$70)+SUMIF(Tim!$IO$7:$IO$70,Ins!F15,Tim!$B$7:$B$70)+SUMIF(Tim!$IP$7:$IP$70,Ins!F15,Tim!$B$7:$B$70)</f>
        <v>0</v>
      </c>
      <c r="BV15" s="80">
        <f>SUMIF(Tim!$IQ$7:$IQ$70,Ins!F15,Tim!$B$7:$B$70)</f>
        <v>0</v>
      </c>
      <c r="BW15" s="80">
        <f>SUMIF(Tim!$IR$7:$IR$70,Ins!F15,Tim!$D$7:$D$70)+SUMIF(Tim!$IS$7:$IS$70,Ins!F15,Tim!$D$7:$D$70)+SUMIF(Tim!$IT$7:$IT$70,Ins!F15,Tim!$D$7:$D$70)+SUMIF(Tim!$IU$7:$IU$70,Ins!F15,Tim!$D$7:$D$70)+SUMIF(Tim!$IV$7:$IV$70,Ins!F15,Tim!$D$7:$D$70)+SUMIF(Tim!$IW$7:$IW$70,Ins!F15,Tim!$D$7:$D$70)+SUMIF(Tim!$IX$7:$IX$70,Ins!F15,Tim!$D$7:$D$70)+SUMIF(Tim!$IY$7:$IY$70,Ins!F15,Tim!$D$7:$D$70)+SUMIF(Tim!$IZ$7:$IZ$70,Ins!F15,Tim!$D$7:$D$70)+SUMIF(Tim!$JA$7:$JA$70,Ins!F15,Tim!$D$7:$D$70)+SUMIF(Tim!$JB$7:$JB$70,Ins!F15,Tim!$D$7:$D$70)+SUMIF(Tim!$JC$7:$JC$70,Ins!F15,Tim!$D$7:$D$70)</f>
        <v>0</v>
      </c>
      <c r="BX15" s="80">
        <f>SUMIF(Tim!JD$7:JD$70,Ins!F15,Tim!$C$7:$C$70)</f>
        <v>0</v>
      </c>
      <c r="BY15" s="80">
        <f>SUMIF(Tim!JE$7:JE$70,Ins!F15,Tim!$C$7:$C$70)</f>
        <v>0</v>
      </c>
      <c r="BZ15" s="80">
        <f>SUMIF(Tim!JF$7:JF$70,Ins!F15,Tim!$C$7:$C$70)+SUMIF(Tim!JG$7:JG$70,Ins!F15,Tim!$C$7:$C$70)+SUMIF(Tim!JH$7:JH$70,Ins!F15,Tim!$C$7:$C$70)</f>
        <v>0</v>
      </c>
      <c r="CA15" s="81">
        <f>SUMIF(Tim!$JI$7:$JI$70,Ins!F15,Tim!$C$7:$C$70)++SUMIF(Tim!$JJ$7:$JJ$70,Ins!F15,Tim!$C$7:$C$70)+SUMIF(Tim!$JK$7:$JK$70,Ins!F15,Tim!$C$7:$C$70)+SUMIF(Tim!$JL$7:$JL$70,Ins!F15,Tim!$C$7:$C$70)+SUMIF(Tim!$JM$7:$JM$70,Ins!F15,Tim!$C$7:$C$70)</f>
        <v>0</v>
      </c>
      <c r="CB15" s="79">
        <f>SUMIF(Tim!$JN$7:$JN$70,Ins!F15,Tim!$B$7:$B$70)</f>
        <v>0</v>
      </c>
      <c r="CC15" s="80">
        <f>SUMIF(Tim!$JO$7:$JO$70,Ins!F15,Tim!$B$7:$B$70)+SUMIF(Tim!$JP$7:$JP$70,Ins!F15,Tim!$B$7:$B$70)+SUMIF(Tim!$JQ$7:$JQ$70,Ins!F15,Tim!$B$7:$B$70)+SUMIF(Tim!$JR$7:$JR$70,Ins!F15,Tim!$B$7:$B$70)+SUMIF(Tim!$JS$7:$JS$70,Ins!F15,Tim!$B$7:$B$70)+SUMIF(Tim!$JT$7:$JT$70,Ins!F15,Tim!$B$7:$B$70)</f>
        <v>0</v>
      </c>
      <c r="CD15" s="80">
        <f>SUMIF(Tim!$JW$7:$JW$70,Ins!F15,Tim!$B$7:$B$70)+SUMIF(Tim!$JU$7:$JU$70,Ins!F15,Tim!$B$7:$B$70)+SUMIF(Tim!$JV$7:$JV$70,Ins!F15,Tim!$B$7:$B$70)</f>
        <v>0</v>
      </c>
      <c r="CE15" s="80">
        <f>SUMIF(Tim!$JX$7:$JX$70,Ins!F15,Tim!$B$7:$B$70)+SUMIF(Tim!$JY$7:$JY$70,Ins!F15,Tim!$B$7:$B$70)+SUMIF(Tim!$JZ$7:$JZ$70,Ins!F15,Tim!$B$7:$B$70)+SUMIF(Tim!$KA$7:$KA$70,Ins!F15,Tim!$B$7:$B$70)+SUMIF(Tim!$KB$7:$KB$70,Ins!F15,Tim!$B$7:$B$70)</f>
        <v>0</v>
      </c>
      <c r="CF15" s="80">
        <f>SUMIF(Tim!$KE$7:$KE$70,Ins!F15,Tim!$B$7:$B$70)+SUMIF(Tim!$KC$7:$KC$70,Ins!F15,Tim!$B$7:$B$70)+SUMIF(Tim!$KD$7:$KD$70,Ins!F15,Tim!$B$7:$B$70)</f>
        <v>0</v>
      </c>
      <c r="CG15" s="80">
        <f>SUMIF(Tim!$KF$7:$KF$70,Ins!F15,Tim!$B$7:$B$70)+SUMIF(Tim!$KG$7:$KG$70,Ins!F15,Tim!$B$7:$B$70)+SUMIF(Tim!$KH$7:$KH$70,Ins!F15,Tim!$B$7:$B$70)</f>
        <v>0</v>
      </c>
      <c r="CH15" s="80">
        <f>SUMIF(Tim!$KI$7:$KI$70,Ins!F15,Tim!$B$7:$B$70)</f>
        <v>0</v>
      </c>
      <c r="CI15" s="80">
        <f>SUMIF(Tim!$KJ$7:$KJ$70,Ins!F15,Tim!$D$7:$D$70)+SUMIF(Tim!$KK$7:$KK$70,Ins!F15,Tim!$D$7:$D$70)+SUMIF(Tim!$KL$7:$KL$70,Ins!F15,Tim!$D$7:$D$70)+SUMIF(Tim!$KM$7:$KM$70,Ins!F15,Tim!$D$7:$D$70)+SUMIF(Tim!$KN$7:$KN$70,Ins!F15,Tim!$D$7:$D$70)+SUMIF(Tim!$KO$7:$KO$70,Ins!F15,Tim!$D$7:$D$70)+SUMIF(Tim!$KP$7:$KP$70,Ins!F15,Tim!$D$7:$D$70)+SUMIF(Tim!$KQ$7:$KQ$70,Ins!F15,Tim!$D$7:$D$70)+SUMIF(Tim!$KR$7:$KR$70,Ins!F15,Tim!$D$7:$D$70)+SUMIF(Tim!$KS$7:$KS$70,Ins!F15,Tim!$D$7:$D$70)+SUMIF(Tim!$KT$7:$KT$70,Ins!F15,Tim!$D$7:$D$70)+SUMIF(Tim!$KU$7:$KU$70,Ins!F15,Tim!$D$7:$D$70)</f>
        <v>0</v>
      </c>
      <c r="CJ15" s="80">
        <f>SUMIF(Tim!KV$7:KV$70,Ins!F15,Tim!$C$7:$C$70)</f>
        <v>0</v>
      </c>
      <c r="CK15" s="80">
        <f>SUMIF(Tim!KW$7:KW$70,Ins!F15,Tim!$C$7:$C$70)</f>
        <v>0</v>
      </c>
      <c r="CL15" s="80">
        <f>SUMIF(Tim!KX$7:KX$70,Ins!F15,Tim!$C$7:$C$70)+SUMIF(Tim!KY$7:KY$70,Ins!F15,Tim!$C$7:$C$70)+SUMIF(Tim!KZ$7:KZ$70,Ins!F15,Tim!$C$7:$C$70)</f>
        <v>0</v>
      </c>
      <c r="CM15" s="81">
        <f>SUMIF(Tim!$LA$7:$LA$70,Ins!F15,Tim!$C$7:$C$70)+SUMIF(Tim!$LB$7:$LB$70,Ins!F15,Tim!$C$7:$C$70)+SUMIF(Tim!$LC$7:$LC$70,Ins!F15,Tim!$C$7:$C$70)+SUMIF(Tim!$LD$7:$LD$70,Ins!F15,Tim!$C$7:$C$70)+SUMIF(Tim!$LE$7:$LE$70,Ins!F15,Tim!$C$7:$C$70)</f>
        <v>0</v>
      </c>
      <c r="CN15" s="22"/>
      <c r="CO15" s="180">
        <f t="shared" ref="CO15" si="107">H15+T15+AF15+AR15+BD15+BP15+CB15</f>
        <v>23.25</v>
      </c>
      <c r="CP15" s="179">
        <f t="shared" ref="CP15" si="108">I15+U15+AG15+AS15+BE15+BQ15+CC15</f>
        <v>1.25</v>
      </c>
      <c r="CQ15" s="179">
        <f t="shared" ref="CQ15" si="109">J15+V15+AH15+AT15+BF15+BR15+CD15</f>
        <v>4.5</v>
      </c>
      <c r="CR15" s="179">
        <f t="shared" ref="CR15" si="110">K15+W15+AI15+AU15+BG15+BS15+CE15</f>
        <v>1.25</v>
      </c>
      <c r="CS15" s="179">
        <f t="shared" ref="CS15" si="111">L15+X15+AJ15+AV15+BH15+BT15+CF15</f>
        <v>2.25</v>
      </c>
      <c r="CT15" s="179">
        <f t="shared" ref="CT15" si="112">M15+Y15+AK15+AW15+BI15+BU15+CG15</f>
        <v>0</v>
      </c>
      <c r="CU15" s="179">
        <f t="shared" ref="CU15" si="113">N15+Z15+AL15+AX15+BJ15+BV15+CH15</f>
        <v>0</v>
      </c>
      <c r="CV15" s="179">
        <f t="shared" ref="CV15" si="114">O15+AA15+AM15+AY15+BK15+BW15+CI15</f>
        <v>0</v>
      </c>
      <c r="CW15" s="179">
        <f t="shared" ref="CW15" si="115">P15+AB15+AN15+AZ15+BL15+BX15+CJ15</f>
        <v>0</v>
      </c>
      <c r="CX15" s="179">
        <f t="shared" ref="CX15" si="116">Q15+AC15+AO15+BA15+BM15+BY15+CK15</f>
        <v>0</v>
      </c>
      <c r="CY15" s="179">
        <f t="shared" ref="CY15" si="117">R15+AD15+AP15+BB15+BN15+BZ15+CL15</f>
        <v>0</v>
      </c>
      <c r="CZ15" s="179">
        <f t="shared" ref="CZ15" si="118">S15+AE15+AQ15+BC15+BO15+CA15+CM15</f>
        <v>7.5</v>
      </c>
      <c r="DA15" s="78">
        <f t="shared" ref="DA15" si="119">SUM(CO15:CZ15)</f>
        <v>40</v>
      </c>
      <c r="DB15" s="16"/>
      <c r="DC15" s="34">
        <f t="shared" ref="DC15" si="120">SUM(H15:S15)</f>
        <v>0</v>
      </c>
      <c r="DD15" s="34">
        <f t="shared" ref="DD15" si="121">SUM(T15:AE15)</f>
        <v>8</v>
      </c>
      <c r="DE15" s="34">
        <f t="shared" ref="DE15" si="122">SUM(AF15:AQ15)</f>
        <v>8</v>
      </c>
      <c r="DF15" s="34">
        <f>SUM(AR15:BC15)</f>
        <v>8</v>
      </c>
      <c r="DG15" s="34">
        <f t="shared" ref="DG15" si="123">SUM(BD15:BO15)</f>
        <v>8</v>
      </c>
      <c r="DH15" s="34">
        <f t="shared" ref="DH15" si="124">SUM(BP15:CA15)</f>
        <v>8</v>
      </c>
      <c r="DI15" s="34">
        <f t="shared" ref="DI15" si="125">SUM(CB15:CM15)</f>
        <v>0</v>
      </c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7"/>
    </row>
    <row r="16" spans="1:125" ht="12" hidden="1" customHeight="1">
      <c r="A16" s="10">
        <v>14</v>
      </c>
      <c r="B16" s="229" t="s">
        <v>406</v>
      </c>
      <c r="C16" s="185"/>
      <c r="D16" s="230"/>
      <c r="E16" s="230"/>
      <c r="F16" s="298" t="s">
        <v>407</v>
      </c>
      <c r="G16" s="231" t="s">
        <v>192</v>
      </c>
      <c r="H16" s="79">
        <f>SUMIF(Tim!$F$7:$F$70,Ins!F16,Tim!$B$7:$B$70)</f>
        <v>0</v>
      </c>
      <c r="I16" s="80">
        <f>SUMIF(Tim!$G$7:$G$70,Ins!F16,Tim!$B$7:$B$70)+SUMIF(Tim!$H$7:$H$70,Ins!F16,Tim!$B$7:$B$70)+SUMIF(Tim!$I$7:$I$70,Ins!F16,Tim!$B$7:$B$70)+SUMIF(Tim!$J$7:$J$70,Ins!F16,Tim!$B$7:$B$70)+SUMIF(Tim!$K$7:$K$70,Ins!F16,Tim!$B$7:$B$70)+SUMIF(Tim!$L$7:$L$70,Ins!F16,Tim!$B$7:$B$70)</f>
        <v>0</v>
      </c>
      <c r="J16" s="80">
        <f>SUMIF(Tim!$M$7:$M$70,Ins!F16,Tim!$B$7:$B$70)+SUMIF(Tim!$O$7:$O$70,Ins!F16,Tim!$B$7:$B$70)+SUMIF(Tim!$N$7:$N$70,Ins!F16,Tim!$B$7:$B$70)</f>
        <v>0</v>
      </c>
      <c r="K16" s="80">
        <f>SUMIF(Tim!$P$7:$P$70,Ins!F16,Tim!$B$7:$B$70)+SUMIF(Tim!$Q$7:$Q$70,Ins!F16,Tim!$B$7:$B$70)+SUMIF(Tim!$R$7:$R$70,Ins!F16,Tim!$B$7:$B$70)+SUMIF(Tim!$S$7:$S$70,Ins!F16,Tim!$B$7:$B$70)+SUMIF(Tim!$T$7:$T$70,Ins!F16,Tim!$B$7:$B$70)</f>
        <v>0</v>
      </c>
      <c r="L16" s="80">
        <f>SUMIF(Tim!$U$7:$U$70,Ins!F16,Tim!$B$7:$B$70)+SUMIF(Tim!$W$7:$W$70,Ins!F16,Tim!$B$7:$B$70)+SUMIF(Tim!$X$7:$X$70,Ins!F16,Tim!$B$7:$B$70)</f>
        <v>0</v>
      </c>
      <c r="M16" s="80">
        <f>SUMIF(Tim!$Y$7:$Y$70,Ins!F16,Tim!$B$7:$B$70)+SUMIF(Tim!$Z$7:$Z$70,Ins!F16,Tim!$B$7:$B$70)+SUMIF(Tim!$AA$7:$AA$70,Ins!F16,Tim!$B$7:$B$70)</f>
        <v>0</v>
      </c>
      <c r="N16" s="80">
        <f>SUMIF(Tim!$AB$7:$AB$70,Ins!F16,Tim!$B$7:$B$70)</f>
        <v>0</v>
      </c>
      <c r="O16" s="80">
        <f>SUMIF(Tim!$AC$7:$AC$70,Ins!F16,Tim!$D$7:$D$70)+SUMIF(Tim!$AD$7:$AD$70,Ins!F16,Tim!$D$7:$D$70)+SUMIF(Tim!$AE$7:$AE$70,Ins!F16,Tim!$D$7:$D$70)+SUMIF(Tim!$AF$7:$AF$70,Ins!F16,Tim!$D$7:$D$70)+SUMIF(Tim!$AG$7:$AG$70,Ins!F16,Tim!$D$7:$D$70)+SUMIF(Tim!$AH$7:$AH$70,Ins!F16,Tim!$D$7:$D$70)+SUMIF(Tim!$AI$7:$AI$70,Ins!F16,Tim!$D$7:$D$70)+SUMIF(Tim!$AJ$7:$AJ$70,Ins!F16,Tim!$D$7:$D$70)+SUMIF(Tim!$AK$7:$AK$70,Ins!F16,Tim!$D$7:$D$70)+SUMIF(Tim!$AL$7:$AL$70,Ins!F16,Tim!$D$7:$D$70)+SUMIF(Tim!$AM$7:$AM$70,Ins!F16,Tim!$D$7:$D$70)+SUMIF(Tim!$AN$7:$AN$70,Ins!F16,Tim!$D$7:$D$70)</f>
        <v>0</v>
      </c>
      <c r="P16" s="80">
        <f>SUMIF(Tim!AO$7:AO$70,Ins!F16,Tim!$C$7:$C$70)</f>
        <v>0</v>
      </c>
      <c r="Q16" s="80">
        <f>SUMIF(Tim!AP$7:AP$70,Ins!F16,Tim!$C$7:$C$70)</f>
        <v>0</v>
      </c>
      <c r="R16" s="80">
        <f>SUMIF(Tim!AQ$7:AQ$70,Ins!F16,Tim!$C$7:$C$70)+SUMIF(Tim!AR$7:AR$70,Ins!F16,Tim!$C$7:$C$70)+SUMIF(Tim!AS$7:AS$70,Ins!F16,Tim!$C$7:$C$70)</f>
        <v>0</v>
      </c>
      <c r="S16" s="236">
        <f>SUMIF(Tim!$AT$7:$AT$70,Ins!F16,Tim!$C$7:$C$70)+SUMIF(Tim!$AU$7:$AU$70,Ins!F16,Tim!$C$7:$C77)+SUMIF(Tim!$AV$7:$AV$70,Ins!F16,Tim!$C$7:$C$70)+SUMIF(Tim!$AW$7:$AW$70,Ins!F16,Tim!$C$7:$C$70)+SUMIF(Tim!$AX$7:$AX$70,Ins!F16,Tim!$C$7:$C$70)</f>
        <v>0</v>
      </c>
      <c r="T16" s="79">
        <f>SUMIF(Tim!$AY$7:$AY$70,Ins!F16,Tim!$B$7:$B$70)</f>
        <v>0</v>
      </c>
      <c r="U16" s="80">
        <f>SUMIF(Tim!$AZ$7:$AZ$70,Ins!F16,Tim!$B$7:$B$70)+SUMIF(Tim!$BA$7:$BA$70,Ins!F16,Tim!$B$7:$B$70)+SUMIF(Tim!$BB$7:$BB$70,Ins!F16,Tim!$B$7:$B$70)+SUMIF(Tim!$BC$7:$BC$70,Ins!F16,Tim!$B$7:$B$70)+SUMIF(Tim!$BD$7:$BD$70,Ins!F16,Tim!$B$7:$B$70)+SUMIF(Tim!$BE$7:$BE$70,Ins!F16,Tim!$B$7:$B$70)</f>
        <v>0</v>
      </c>
      <c r="V16" s="80">
        <f>SUMIF(Tim!$BF$7:$BF$70,Ins!F16,Tim!$B$7:$B$70)+SUMIF(Tim!$BG$7:$BG$70,Ins!F16,Tim!$B$7:$B$70)+SUMIF(Tim!$BH$7:$BH$70,Ins!F16,Tim!$B$7:$B$70)</f>
        <v>0</v>
      </c>
      <c r="W16" s="80">
        <f>SUMIF(Tim!$BI$7:$BI$70,Ins!F16,Tim!$B$7:$B$70)+SUMIF(Tim!$BJ$7:$BJ$70,Ins!F16,Tim!$B$7:$B$70)+SUMIF(Tim!$BK$7:$BK$70,Ins!F16,Tim!$B$7:$B$70)+SUMIF(Tim!$BL$7:$BL$70,Ins!F16,Tim!$B$7:$B$70)+SUMIF(Tim!$BM$7:$BM$70,Ins!F16,Tim!$B$7:$B$70)</f>
        <v>0</v>
      </c>
      <c r="X16" s="80">
        <f>SUMIF(Tim!$BN$7:$BN$70,Ins!F16,Tim!$B$7:$B$70)+SUMIF(Tim!$BO$7:$BO$70,Ins!F16,Tim!$B$7:$B$70)+SUMIF(Tim!$BP$7:$BP$70,Ins!F16,Tim!$B$7:$B$70)</f>
        <v>0</v>
      </c>
      <c r="Y16" s="80">
        <f>SUMIF(Tim!$BQ$7:$BQ$70,Ins!F16,Tim!$B$7:$B$70)+SUMIF(Tim!$BR$7:$BR$70,Ins!F16,Tim!$B$7:$B$70)+SUMIF(Tim!$BS$7:$BS$70,Ins!F16,Tim!$B$7:$B$70)</f>
        <v>0</v>
      </c>
      <c r="Z16" s="80">
        <f>SUMIF(Tim!BT$7:BT$70,Ins!F16,Tim!$B$7:$B$70)</f>
        <v>0</v>
      </c>
      <c r="AA16" s="80">
        <f>SUMIF(Tim!$BU$7:$BU$70,Ins!F16,Tim!$D$7:$D$70)+SUMIF(Tim!$BV$7:$BV$70,Ins!F16,Tim!$D$7:$D$70)+SUMIF(Tim!$BW$7:$BW$70,Ins!F16,Tim!$D$7:$D$70)+SUMIF(Tim!$BX$7:$BX$70,Ins!F16,Tim!$D$7:$D$70)+SUMIF(Tim!$BY$7:$BY$70,Ins!F16,Tim!$D$7:$D$70)+SUMIF(Tim!$BZ$7:$BZ$70,Ins!F16,Tim!$D$7:$D$70)+SUMIF(Tim!$CA$7:$CA$70,Ins!F16,Tim!$D$7:$D$70)+SUMIF(Tim!$CB$7:$CB$70,Ins!F16,Tim!$D$7:$D$70)+SUMIF(Tim!$CC$7:$CC$70,Ins!F16,Tim!$D$7:$D$70)+SUMIF(Tim!$CD$7:$CD$70,Ins!F16,Tim!$D$7:$D$70)+SUMIF(Tim!$CE$7:$CE$70,Ins!F16,Tim!$D$7:$D$70)+SUMIF(Tim!$CF$7:$CF$70,Ins!F16,Tim!$D$7:$D$70)</f>
        <v>0</v>
      </c>
      <c r="AB16" s="80">
        <f>SUMIF(Tim!CG$7:CG$70,Ins!F16,Tim!$C$7:$C$70)</f>
        <v>0</v>
      </c>
      <c r="AC16" s="80">
        <f>SUMIF(Tim!CH$7:CH$70,Ins!F16,Tim!$C$7:$C$70)</f>
        <v>0</v>
      </c>
      <c r="AD16" s="80">
        <f>SUMIF(Tim!CI$7:CI$70,Ins!F16,Tim!$C$7:$C$70)+SUMIF(Tim!CJ$7:CJ$70,Ins!F16,Tim!$C$7:$C$70)+SUMIF(Tim!CK$7:CK$70,Ins!F16,Tim!$C$7:$C$70)</f>
        <v>0</v>
      </c>
      <c r="AE16" s="81">
        <f>SUMIF(Tim!$CL$7:$CL$70,Ins!F16,Tim!$C$7:$C$70)+SUMIF(Tim!$CM$7:$CM$70,Ins!F16,Tim!$C$7:$C$70)+SUMIF(Tim!$CN$7:$CN$70,Ins!F16,Tim!$C$7:$C$70)+SUMIF(Tim!$CO$7:$CO$70,Ins!F16,Tim!$C$7:$C$70)+SUMIF(Tim!$CP$7:$CP$70,Ins!F16,Tim!$C$7:$C$70)</f>
        <v>0</v>
      </c>
      <c r="AF16" s="79">
        <f>SUMIF(Tim!$CQ$7:$CQ$70,Ins!F16,Tim!$B$7:$B$70)</f>
        <v>0</v>
      </c>
      <c r="AG16" s="80">
        <f>SUMIF(Tim!$CR$7:$CR$70,Ins!F16,Tim!$B$7:$B$70)+SUMIF(Tim!$CS$7:$CS$70,Ins!F16,Tim!$B$7:$B$70)+SUMIF(Tim!$CT$7:$CT$70,Ins!F16,Tim!$B$7:$B$70)+SUMIF(Tim!$CU$7:$CU$70,Ins!F16,Tim!$B$7:$B$70)+SUMIF(Tim!$CV$7:$CV$70,Ins!F16,Tim!$B$7:$B$70)+SUMIF(Tim!$CW$7:$CW$70,Ins!F16,Tim!$B$7:$B$70)</f>
        <v>0</v>
      </c>
      <c r="AH16" s="80">
        <f>SUMIF(Tim!$CX$7:$CX$70,Ins!F16,Tim!$B$7:$B$70)+SUMIF(Tim!$CY$7:$CY$70,Ins!F16,Tim!$B$7:$B$70)+SUMIF(Tim!$CZ$7:$CZ$70,Ins!F16,Tim!$B$7:$B$70)</f>
        <v>0</v>
      </c>
      <c r="AI16" s="80">
        <f>SUMIF(Tim!$DA$7:$DA$70,Ins!F16,Tim!$B$7:$B$70)+SUMIF(Tim!$DB$7:$DB$70,Ins!F16,Tim!$B$7:$B$70)+SUMIF(Tim!$DC$7:$DC$70,Ins!F16,Tim!$B$7:$B$70)+SUMIF(Tim!$DD$7:$DD$70,Ins!F16,Tim!$B$7:$B$70)+SUMIF(Tim!$DE$7:$DE$70,Ins!F16,Tim!$B$7:$B$70)</f>
        <v>0</v>
      </c>
      <c r="AJ16" s="80">
        <f>SUMIF(Tim!$DF$7:$DF$70,Ins!F16,Tim!$B$7:$B$70)+SUMIF(Tim!$DG$7:$DG$70,Ins!F16,Tim!$B$7:$B$70)+SUMIF(Tim!$DH$7:$DH$70,Ins!F16,Tim!$B$7:$B$70)</f>
        <v>0</v>
      </c>
      <c r="AK16" s="80">
        <f>SUMIF(Tim!DI$7:DI$70,Ins!F16,Tim!$B$7:$B$70)+SUMIF(Tim!DM$7:DM$70,Ins!F16,Tim!$B$7:$B$70)+SUMIF(Tim!DN$7:DN$70,Ins!F16,Tim!$B$7:$B$70)</f>
        <v>0</v>
      </c>
      <c r="AL16" s="80">
        <f>SUMIF(Tim!DO$7:DO$70,Ins!F16,Tim!$B$7:$B$70)</f>
        <v>0</v>
      </c>
      <c r="AM16" s="80">
        <f>SUMIF(Tim!$DP$7:$DP$70,Ins!F16,Tim!$D$7:$D$70)+SUMIF(Tim!$DQ$7:$DQ$70,Ins!F16,Tim!$D$7:$D$70)+SUMIF(Tim!$DR$7:$DR$70,Ins!F16,Tim!$D$7:$D$70)+SUMIF(Tim!$DS$7:$DS$70,Ins!F16,Tim!$D$7:$D$70)+SUMIF(Tim!$DT$7:$DT$70,Ins!F16,Tim!$D$7:$D$70)+SUMIF(Tim!$DU$7:$DU$70,Ins!F16,Tim!$D$7:$D$70)+SUMIF(Tim!$DV$7:$DV$70,Ins!F16,Tim!$D$7:$D$70)+SUMIF(Tim!$DW$7:$DW$70,Ins!F16,Tim!$D$7:$D$70)+SUMIF(Tim!$DX$7:$DX$70,Ins!F16,Tim!$D$7:$D$70)+SUMIF(Tim!$DY$7:$DY$70,Ins!F16,Tim!$D$7:$D$70)+SUMIF(Tim!$DZ$7:$DZ$70,Ins!F16,Tim!$D$7:$D$70)+SUMIF(Tim!$EA$7:$EA$70,Ins!F16,Tim!$D$7:$D$70)</f>
        <v>0</v>
      </c>
      <c r="AN16" s="80">
        <f>SUMIF(Tim!EB$7:EB$70,Ins!F16,Tim!$C$7:$C$70)</f>
        <v>0</v>
      </c>
      <c r="AO16" s="80">
        <f>SUMIF(Tim!EC$7:EC$70,Ins!F16,Tim!$C$7:$C$70)</f>
        <v>0</v>
      </c>
      <c r="AP16" s="80">
        <f>SUMIF(Tim!ED$7:ED$70,Ins!F16,Tim!$C$7:$C$70)+SUMIF(Tim!EE$7:EE$70,Ins!F16,Tim!$C$7:$C$70)+SUMIF(Tim!EF$7:EF$70,Ins!F16,Tim!$C$7:$C$70)</f>
        <v>0</v>
      </c>
      <c r="AQ16" s="81">
        <f>SUMIF(Tim!$EG$7:$EG$70,Ins!F16,Tim!$C$7:$C$70)+SUMIF(Tim!$EH$7:$EH$70,Ins!F16,Tim!$C$7:$C$70)+SUMIF(Tim!$EI$7:$EI$70,Ins!F16,Tim!$C$7:$C$70)+SUMIF(Tim!$EJ$7:$EJ$70,Ins!F16,Tim!$C$7:$C$70)+SUMIF(Tim!$EK$7:$EK$70,Ins!F16,Tim!$C$7:$C$70)</f>
        <v>0</v>
      </c>
      <c r="AR16" s="79">
        <f>SUMIF(Tim!$EL$5:$EL$70,Ins!F16,Tim!$B$5:$B$70)</f>
        <v>0</v>
      </c>
      <c r="AS16" s="80">
        <f>SUMIF(Tim!$EM$5:$EM$70,Ins!F16,Tim!$B$5:$B$70)+SUMIF(Tim!$EN$5:$EN$70,Ins!F16,Tim!$B$5:$B$70)+SUMIF(Tim!$EO$5:$EO$70,Ins!F16,Tim!$B$5:$B$70)+SUMIF(Tim!$EP$5:$EP$70,Ins!F16,Tim!$B$5:$B$70)+SUMIF(Tim!$EQ$5:$EQ$70,Ins!F16,Tim!$B$5:$B$70)+SUMIF(Tim!$ER$5:$ER$70,Ins!F16,Tim!$B$5:$B$70)</f>
        <v>0</v>
      </c>
      <c r="AT16" s="80">
        <f>SUMIF(Tim!$ES$5:$ES$70,Ins!F16,Tim!$B$5:$B$70)+SUMIF(Tim!$ET$5:$ET$70,Ins!F16,Tim!$B$5:$B$70)+SUMIF(Tim!$EU$5:$EU$70,Ins!F16,Tim!$B$5:$B$70)</f>
        <v>0</v>
      </c>
      <c r="AU16" s="80">
        <f>SUMIF(Tim!$EV$5:$EV$70,Ins!F16,Tim!$B$5:$B$70)+SUMIF(Tim!$EW$5:$EW$70,Ins!F16,Tim!$B$5:$B$70)+SUMIF(Tim!$EX$5:$EX$70,Ins!F16,Tim!$B$5:$B$70)+SUMIF(Tim!$EY$5:$EY$70,Ins!F16,Tim!$B$5:$B$70)+SUMIF(Tim!$EZ$5:$EZ$70,Ins!F16,Tim!$B$5:$B$70)</f>
        <v>0</v>
      </c>
      <c r="AV16" s="80">
        <f>SUMIF(Tim!$FA$5:$FA$70,Ins!F16,Tim!$B$5:$B$70)+SUMIF(Tim!$FB$5:$FB$70,Ins!F16,Tim!$B$5:$B$70)+SUMIF(Tim!$FC$5:$FC$70,Ins!F16,Tim!$B$5:$B$70)</f>
        <v>0</v>
      </c>
      <c r="AW16" s="80">
        <f>SUMIF(Tim!FD$5:FD$70,Ins!F16,Tim!$B$5:$B$70)+SUMIF(Tim!FE$5:FE$70,Ins!F16,Tim!$B$5:$B$70)+SUMIF(Tim!FF$5:FF$70,Ins!F16,Tim!$B$5:$B$70)</f>
        <v>0</v>
      </c>
      <c r="AX16" s="80">
        <f>SUMIF(Tim!FG$5:FG$70,Ins!F16,Tim!$B$5:$B$70)</f>
        <v>0</v>
      </c>
      <c r="AY16" s="80">
        <f>SUMIF(Tim!$FH$5:$FH$70,Ins!F16,Tim!$D$5:$D$70)+SUMIF(Tim!$FI$5:$FI$70,Ins!F16,Tim!$D$5:$D$70)+SUMIF(Tim!$FJ$5:$FJ$70,Ins!F16,Tim!$D$5:$D$70)+SUMIF(Tim!$FK$5:$FK$70,Ins!F16,Tim!$D$5:$D$70)+SUMIF(Tim!$FL$5:$FL$70,Ins!F16,Tim!$D$5:$D$70)+SUMIF(Tim!$FM$5:$FM$70,Ins!F16,Tim!$D$5:$D$70)+SUMIF(Tim!$FN$5:$FN$70,Ins!F16,Tim!$D$5:$D$70)+SUMIF(Tim!$FO$5:$FO$70,Ins!F16,Tim!$D$5:$D$70)+SUMIF(Tim!$FP$5:$FP$70,Ins!F16,Tim!$D$5:$D$70)+SUMIF(Tim!$FQ$5:$FQ$70,Ins!F16,Tim!$D$5:$D$70)+SUMIF(Tim!$FR$5:$FR$70,Ins!F16,Tim!$D$5:$D$70)+SUMIF(Tim!$FS$5:$FS$70,Ins!F16,Tim!$D$5:$D$70)</f>
        <v>0</v>
      </c>
      <c r="AZ16" s="80">
        <f>SUMIF(Tim!FT$5:FT$70,Ins!F16,Tim!$C$5:$C$70)</f>
        <v>0</v>
      </c>
      <c r="BA16" s="80">
        <f>SUMIF(Tim!FU$5:FU$70,Ins!F16,Tim!$C$5:$C$70)</f>
        <v>0</v>
      </c>
      <c r="BB16" s="80">
        <f>SUMIF(Tim!FV$5:FV$70,Ins!F16,Tim!$C$5:$C$70)+SUMIF(Tim!FW$5:FW$70,Ins!F16,Tim!$C$5:$C$70)+SUMIF(Tim!FX$5:FX$70,Ins!F16,Tim!$C$5:$C$70)</f>
        <v>0</v>
      </c>
      <c r="BC16" s="81">
        <f>SUMIF(Tim!$FY$5:$FY$70,Ins!F16,Tim!$C$5:$C$70)+SUMIF(Tim!$FZ$5:$FZ$70,Ins!F16,Tim!$C$5:$C$70)+SUMIF(Tim!$GA$5:$GA$70,Ins!F16,Tim!$C$5:$C$70)+SUMIF(Tim!$GB$5:$GB$70,Ins!F16,Tim!$C$5:$C$70)+SUMIF(Tim!$GC$5:$GC$70,Ins!F16,Tim!$C$5:$C$70)</f>
        <v>0</v>
      </c>
      <c r="BD16" s="79">
        <f>SUMIF(Tim!$GD$5:$GD$70,Ins!F16,Tim!$B$5:$B$70)</f>
        <v>0</v>
      </c>
      <c r="BE16" s="80">
        <f>SUMIF(Tim!$GE$5:$GE$70,Ins!F16,Tim!$B$5:$B$70)+SUMIF(Tim!$GF$5:$GF$70,Ins!F16,Tim!$B$5:$B$70)+SUMIF(Tim!$GG$5:$GG$70,Ins!F16,Tim!$B$5:$B$70)+SUMIF(Tim!$GH$5:$GH$70,Ins!F16,Tim!$B$5:$B$70)+SUMIF(Tim!$GI$5:$GI$70,Ins!F16,Tim!$B$5:$B$70)+SUMIF(Tim!$GJ$5:$GJ$70,Ins!F16,Tim!$B$5:$B$70)</f>
        <v>0</v>
      </c>
      <c r="BF16" s="80">
        <f>SUMIF(Tim!$GK$5:$GK$70,Ins!F16,Tim!$B$5:$B$70)+SUMIF(Tim!$GL$5:$GL$70,Ins!F16,Tim!$B$5:$B$70)+SUMIF(Tim!$GM$5:$GM$70,Ins!F16,Tim!$B$5:$B$70)</f>
        <v>0</v>
      </c>
      <c r="BG16" s="80">
        <f>SUMIF(Tim!$GN$5:$GN$70,Ins!F16,Tim!$B$5:$B$70)+SUMIF(Tim!$GO$5:$GO$70,Ins!F16,Tim!$B$5:$B$70)+SUMIF(Tim!$GP$5:$GP$70,Ins!F16,Tim!$B$5:$B$70)+SUMIF(Tim!$GQ$5:$GQ$70,Ins!F16,Tim!$B$5:$B$70)+SUMIF(Tim!$GR$5:$GR$70,Ins!F16,Tim!$B$5:$B$70)</f>
        <v>0</v>
      </c>
      <c r="BH16" s="80">
        <f>SUMIF(Tim!$GS$5:$GS$70,Ins!F16,Tim!$B$5:$B$70)+SUMIF(Tim!$GT$5:$GT$70,Ins!F16,Tim!$B$5:$B$70)+SUMIF(Tim!$GU$5:$GU$70,Ins!F16,Tim!$B$5:$B$70)</f>
        <v>0</v>
      </c>
      <c r="BI16" s="80">
        <f>SUMIF(Tim!GV$5:GV$70,Ins!F16,Tim!$B$5:$B$70)+SUMIF(Tim!GW$5:GW$70,Ins!F16,Tim!$B$5:$B$70)+SUMIF(Tim!GX$5:GX$70,Ins!F16,Tim!$B$5:$B$70)</f>
        <v>0</v>
      </c>
      <c r="BJ16" s="80">
        <f>SUMIF(Tim!GY$5:GY$70,Ins!F16,Tim!$B$5:$B$70)</f>
        <v>0</v>
      </c>
      <c r="BK16" s="80">
        <f>SUMIF(Tim!$GZ$5:$GZ$70,Ins!F16,Tim!$D$5:$D$70)+SUMIF(Tim!$HA$5:$HA$70,Ins!F16,Tim!$D$5:$D$70)+SUMIF(Tim!$HB$5:$HB$70,Ins!F16,Tim!$D$5:$D$70)++SUMIF(Tim!$HC$5:$HC$70,Ins!F16,Tim!$D$5:$D$70)+SUMIF(Tim!$HD$5:$HD$70,Ins!F16,Tim!$D$5:$D$70)+SUMIF(Tim!$HE$5:$HE$70,Ins!F16,Tim!$D$5:$D$70)+SUMIF(Tim!$HF$5:$HF$70,Ins!F16,Tim!$D$5:$D$70)+SUMIF(Tim!$HG$5:$HG$70,Ins!F16,Tim!$D$5:$D$70)+SUMIF(Tim!$HH$5:$HH$70,Ins!F16,Tim!$D$5:$D$70)+SUMIF(Tim!$HI$5:$HI$70,Ins!F16,Tim!$D$5:$D$70)+SUMIF(Tim!$HJ$5:$HJ$70,Ins!F16,Tim!$D$5:$D$70)+SUMIF(Tim!$HK$5:$HK$70,Ins!F16,Tim!$D$5:$D$70)</f>
        <v>0</v>
      </c>
      <c r="BL16" s="80">
        <f>SUMIF(Tim!HL$5:HL$70,Ins!F16,Tim!$C$5:$C$70)</f>
        <v>0</v>
      </c>
      <c r="BM16" s="80">
        <f>SUMIF(Tim!HM$5:HM$70,Ins!F16,Tim!$C$5:$C$70)</f>
        <v>0</v>
      </c>
      <c r="BN16" s="80">
        <f>SUMIF(Tim!HN$5:HN$70,Ins!F16,Tim!$C$5:$C$70)+SUMIF(Tim!HO$5:HO$70,Ins!F16,Tim!$C$5:$C$70)+SUMIF(Tim!HP$5:HP$70,Ins!F16,Tim!$C$5:$C$70)</f>
        <v>0</v>
      </c>
      <c r="BO16" s="81">
        <f>SUMIF(Tim!$HQ$5:$HQ$70,Ins!F16,Tim!$C$5:$C$70)+SUMIF(Tim!$HR$5:$HR$70,Ins!F16,Tim!$C$5:$C$70)+SUMIF(Tim!$HS$5:$HS$70,Ins!F16,Tim!$C$5:$C$70)+SUMIF(Tim!$HT$5:$HT$70,Ins!F16,Tim!$C$5:$C$70)+SUMIF(Tim!$HU$5:$HU$70,Ins!F16,Tim!$C$5:$C$70)</f>
        <v>0</v>
      </c>
      <c r="BP16" s="79">
        <f>SUMIF(Tim!$HV$7:$HV$70,Ins!F16,Tim!$B$7:$B$70)</f>
        <v>0</v>
      </c>
      <c r="BQ16" s="80">
        <f>SUMIF(Tim!$HW$7:$HW$70,Ins!F16,Tim!$B$7:$B$70)+SUMIF(Tim!$HX$7:$HX$70,Ins!F16,Tim!$B$7:$B$70)+SUMIF(Tim!$HY$7:$HY$70,Ins!F16,Tim!$B$7:$B$70)+SUMIF(Tim!$HZ$7:$HZ$70,Ins!F16,Tim!$B$7:$B$70)+SUMIF(Tim!$IA$7:$IA$70,Ins!F16,Tim!$B$7:$B$70)+SUMIF(Tim!$IB$7:$IB$70,Ins!F16,Tim!$B$7:$B$70)</f>
        <v>0</v>
      </c>
      <c r="BR16" s="80">
        <f>SUMIF(Tim!$IC$7:$IC$70,Ins!F16,Tim!$B$7:$B$70)+SUMIF(Tim!$ID$7:$ID$70,Ins!F16,Tim!$B$7:$B$70)+SUMIF(Tim!$IE$7:$IE$70,Ins!F16,Tim!$B$7:$B$70)</f>
        <v>0</v>
      </c>
      <c r="BS16" s="80">
        <f>SUMIF(Tim!$IF$7:$IF$70,Ins!F16,Tim!$B$7:$B$70)+SUMIF(Tim!$IG$7:$IG$70,Ins!F16,Tim!$B$7:$B$70)+SUMIF(Tim!$IH$7:$IH$70,Ins!F16,Tim!$B$7:$B$70)+SUMIF(Tim!$II$7:$II$70,Ins!F16,Tim!$B$7:$B$70)+SUMIF(Tim!$IJ$7:$IJ$70,Ins!F16,Tim!$B$7:$B$70)</f>
        <v>0</v>
      </c>
      <c r="BT16" s="80">
        <f>SUMIF(Tim!$IK$7:$IK$70,Ins!F16,Tim!$B$7:$B$70)+SUMIF(Tim!$IL$7:$IL$70,Ins!F16,Tim!$B$7:$B$70)+SUMIF(Tim!$IM$7:$IM$70,Ins!F16,Tim!$B$7:$B$70)</f>
        <v>0</v>
      </c>
      <c r="BU16" s="80">
        <f>SUMIF(Tim!$IN$7:$IN$70,Ins!F16,Tim!$B$7:$B$70)+SUMIF(Tim!$IO$7:$IO$70,Ins!F16,Tim!$B$7:$B$70)+SUMIF(Tim!$IP$7:$IP$70,Ins!F16,Tim!$B$7:$B$70)</f>
        <v>0</v>
      </c>
      <c r="BV16" s="80">
        <f>SUMIF(Tim!$IQ$7:$IQ$70,Ins!F16,Tim!$B$7:$B$70)</f>
        <v>0</v>
      </c>
      <c r="BW16" s="80">
        <f>SUMIF(Tim!$IR$7:$IR$70,Ins!F16,Tim!$D$7:$D$70)+SUMIF(Tim!$IS$7:$IS$70,Ins!F16,Tim!$D$7:$D$70)+SUMIF(Tim!$IT$7:$IT$70,Ins!F16,Tim!$D$7:$D$70)+SUMIF(Tim!$IU$7:$IU$70,Ins!F16,Tim!$D$7:$D$70)+SUMIF(Tim!$IV$7:$IV$70,Ins!F16,Tim!$D$7:$D$70)+SUMIF(Tim!$IW$7:$IW$70,Ins!F16,Tim!$D$7:$D$70)+SUMIF(Tim!$IX$7:$IX$70,Ins!F16,Tim!$D$7:$D$70)+SUMIF(Tim!$IY$7:$IY$70,Ins!F16,Tim!$D$7:$D$70)+SUMIF(Tim!$IZ$7:$IZ$70,Ins!F16,Tim!$D$7:$D$70)+SUMIF(Tim!$JA$7:$JA$70,Ins!F16,Tim!$D$7:$D$70)+SUMIF(Tim!$JB$7:$JB$70,Ins!F16,Tim!$D$7:$D$70)+SUMIF(Tim!$JC$7:$JC$70,Ins!F16,Tim!$D$7:$D$70)</f>
        <v>0</v>
      </c>
      <c r="BX16" s="80">
        <f>SUMIF(Tim!JD$7:JD$70,Ins!F16,Tim!$C$7:$C$70)</f>
        <v>0</v>
      </c>
      <c r="BY16" s="80">
        <f>SUMIF(Tim!JE$7:JE$70,Ins!F16,Tim!$C$7:$C$70)</f>
        <v>0</v>
      </c>
      <c r="BZ16" s="80">
        <f>SUMIF(Tim!JF$7:JF$70,Ins!F16,Tim!$C$7:$C$70)+SUMIF(Tim!JG$7:JG$70,Ins!F16,Tim!$C$7:$C$70)+SUMIF(Tim!JH$7:JH$70,Ins!F16,Tim!$C$7:$C$70)</f>
        <v>0</v>
      </c>
      <c r="CA16" s="81">
        <f>SUMIF(Tim!$JI$7:$JI$70,Ins!F16,Tim!$C$7:$C$70)++SUMIF(Tim!$JJ$7:$JJ$70,Ins!F16,Tim!$C$7:$C$70)+SUMIF(Tim!$JK$7:$JK$70,Ins!F16,Tim!$C$7:$C$70)+SUMIF(Tim!$JL$7:$JL$70,Ins!F16,Tim!$C$7:$C$70)+SUMIF(Tim!$JM$7:$JM$70,Ins!F16,Tim!$C$7:$C$70)</f>
        <v>0</v>
      </c>
      <c r="CB16" s="79">
        <f>SUMIF(Tim!$JN$7:$JN$70,Ins!F16,Tim!$B$7:$B$70)</f>
        <v>0</v>
      </c>
      <c r="CC16" s="80">
        <f>SUMIF(Tim!$JO$7:$JO$70,Ins!F16,Tim!$B$7:$B$70)+SUMIF(Tim!$JP$7:$JP$70,Ins!F16,Tim!$B$7:$B$70)+SUMIF(Tim!$JQ$7:$JQ$70,Ins!F16,Tim!$B$7:$B$70)+SUMIF(Tim!$JR$7:$JR$70,Ins!F16,Tim!$B$7:$B$70)+SUMIF(Tim!$JS$7:$JS$70,Ins!F16,Tim!$B$7:$B$70)+SUMIF(Tim!$JT$7:$JT$70,Ins!F16,Tim!$B$7:$B$70)</f>
        <v>0</v>
      </c>
      <c r="CD16" s="80">
        <f>SUMIF(Tim!$JW$7:$JW$70,Ins!F16,Tim!$B$7:$B$70)+SUMIF(Tim!$JU$7:$JU$70,Ins!F16,Tim!$B$7:$B$70)+SUMIF(Tim!$JV$7:$JV$70,Ins!F16,Tim!$B$7:$B$70)</f>
        <v>0</v>
      </c>
      <c r="CE16" s="80">
        <f>SUMIF(Tim!$JX$7:$JX$70,Ins!F16,Tim!$B$7:$B$70)+SUMIF(Tim!$JY$7:$JY$70,Ins!F16,Tim!$B$7:$B$70)+SUMIF(Tim!$JZ$7:$JZ$70,Ins!F16,Tim!$B$7:$B$70)+SUMIF(Tim!$KA$7:$KA$70,Ins!F16,Tim!$B$7:$B$70)+SUMIF(Tim!$KB$7:$KB$70,Ins!F16,Tim!$B$7:$B$70)</f>
        <v>0</v>
      </c>
      <c r="CF16" s="80">
        <f>SUMIF(Tim!$KE$7:$KE$70,Ins!F16,Tim!$B$7:$B$70)+SUMIF(Tim!$KC$7:$KC$70,Ins!F16,Tim!$B$7:$B$70)+SUMIF(Tim!$KD$7:$KD$70,Ins!F16,Tim!$B$7:$B$70)</f>
        <v>0</v>
      </c>
      <c r="CG16" s="80">
        <f>SUMIF(Tim!$KF$7:$KF$70,Ins!F16,Tim!$B$7:$B$70)+SUMIF(Tim!$KG$7:$KG$70,Ins!F16,Tim!$B$7:$B$70)+SUMIF(Tim!$KH$7:$KH$70,Ins!F16,Tim!$B$7:$B$70)</f>
        <v>0</v>
      </c>
      <c r="CH16" s="80">
        <f>SUMIF(Tim!$KI$7:$KI$70,Ins!F16,Tim!$B$7:$B$70)</f>
        <v>0</v>
      </c>
      <c r="CI16" s="80">
        <f>SUMIF(Tim!$KJ$7:$KJ$70,Ins!F16,Tim!$D$7:$D$70)+SUMIF(Tim!$KK$7:$KK$70,Ins!F16,Tim!$D$7:$D$70)+SUMIF(Tim!$KL$7:$KL$70,Ins!F16,Tim!$D$7:$D$70)+SUMIF(Tim!$KM$7:$KM$70,Ins!F16,Tim!$D$7:$D$70)+SUMIF(Tim!$KN$7:$KN$70,Ins!F16,Tim!$D$7:$D$70)+SUMIF(Tim!$KO$7:$KO$70,Ins!F16,Tim!$D$7:$D$70)+SUMIF(Tim!$KP$7:$KP$70,Ins!F16,Tim!$D$7:$D$70)+SUMIF(Tim!$KQ$7:$KQ$70,Ins!F16,Tim!$D$7:$D$70)+SUMIF(Tim!$KR$7:$KR$70,Ins!F16,Tim!$D$7:$D$70)+SUMIF(Tim!$KS$7:$KS$70,Ins!F16,Tim!$D$7:$D$70)+SUMIF(Tim!$KT$7:$KT$70,Ins!F16,Tim!$D$7:$D$70)+SUMIF(Tim!$KU$7:$KU$70,Ins!F16,Tim!$D$7:$D$70)</f>
        <v>0</v>
      </c>
      <c r="CJ16" s="80">
        <f>SUMIF(Tim!KV$7:KV$70,Ins!F16,Tim!$C$7:$C$70)</f>
        <v>0</v>
      </c>
      <c r="CK16" s="80">
        <f>SUMIF(Tim!KW$7:KW$70,Ins!F16,Tim!$C$7:$C$70)</f>
        <v>0</v>
      </c>
      <c r="CL16" s="80">
        <f>SUMIF(Tim!KX$7:KX$70,Ins!F16,Tim!$C$7:$C$70)+SUMIF(Tim!KY$7:KY$70,Ins!F16,Tim!$C$7:$C$70)+SUMIF(Tim!KZ$7:KZ$70,Ins!F16,Tim!$C$7:$C$70)</f>
        <v>0</v>
      </c>
      <c r="CM16" s="81">
        <f>SUMIF(Tim!$LA$7:$LA$70,Ins!F16,Tim!$C$7:$C$70)+SUMIF(Tim!$LB$7:$LB$70,Ins!F16,Tim!$C$7:$C$70)+SUMIF(Tim!$LC$7:$LC$70,Ins!F16,Tim!$C$7:$C$70)+SUMIF(Tim!$LD$7:$LD$70,Ins!F16,Tim!$C$7:$C$70)+SUMIF(Tim!$LE$7:$LE$70,Ins!F16,Tim!$C$7:$C$70)</f>
        <v>0</v>
      </c>
      <c r="CN16" s="22"/>
      <c r="CO16" s="180">
        <f t="shared" ref="CO16" si="126">H16+T16+AF16+AR16+BD16+BP16+CB16</f>
        <v>0</v>
      </c>
      <c r="CP16" s="179">
        <f t="shared" ref="CP16" si="127">I16+U16+AG16+AS16+BE16+BQ16+CC16</f>
        <v>0</v>
      </c>
      <c r="CQ16" s="179">
        <f t="shared" ref="CQ16" si="128">J16+V16+AH16+AT16+BF16+BR16+CD16</f>
        <v>0</v>
      </c>
      <c r="CR16" s="179">
        <f t="shared" ref="CR16" si="129">K16+W16+AI16+AU16+BG16+BS16+CE16</f>
        <v>0</v>
      </c>
      <c r="CS16" s="179">
        <f t="shared" ref="CS16" si="130">L16+X16+AJ16+AV16+BH16+BT16+CF16</f>
        <v>0</v>
      </c>
      <c r="CT16" s="179">
        <f t="shared" ref="CT16" si="131">M16+Y16+AK16+AW16+BI16+BU16+CG16</f>
        <v>0</v>
      </c>
      <c r="CU16" s="179">
        <f t="shared" ref="CU16" si="132">N16+Z16+AL16+AX16+BJ16+BV16+CH16</f>
        <v>0</v>
      </c>
      <c r="CV16" s="179">
        <f t="shared" ref="CV16" si="133">O16+AA16+AM16+AY16+BK16+BW16+CI16</f>
        <v>0</v>
      </c>
      <c r="CW16" s="179">
        <f t="shared" ref="CW16" si="134">P16+AB16+AN16+AZ16+BL16+BX16+CJ16</f>
        <v>0</v>
      </c>
      <c r="CX16" s="179">
        <f t="shared" ref="CX16" si="135">Q16+AC16+AO16+BA16+BM16+BY16+CK16</f>
        <v>0</v>
      </c>
      <c r="CY16" s="179">
        <f t="shared" ref="CY16" si="136">R16+AD16+AP16+BB16+BN16+BZ16+CL16</f>
        <v>0</v>
      </c>
      <c r="CZ16" s="179">
        <f t="shared" ref="CZ16" si="137">S16+AE16+AQ16+BC16+BO16+CA16+CM16</f>
        <v>0</v>
      </c>
      <c r="DA16" s="78">
        <f t="shared" ref="DA16" si="138">SUM(CO16:CZ16)</f>
        <v>0</v>
      </c>
      <c r="DB16" s="16"/>
      <c r="DC16" s="34">
        <f t="shared" ref="DC16" si="139">SUM(H16:S16)</f>
        <v>0</v>
      </c>
      <c r="DD16" s="34">
        <f t="shared" ref="DD16" si="140">SUM(T16:AE16)</f>
        <v>0</v>
      </c>
      <c r="DE16" s="34">
        <f t="shared" ref="DE16" si="141">SUM(AF16:AQ16)</f>
        <v>0</v>
      </c>
      <c r="DF16" s="34">
        <f>SUM(AR16:BC16)</f>
        <v>0</v>
      </c>
      <c r="DG16" s="34">
        <f t="shared" ref="DG16" si="142">SUM(BD16:BO16)</f>
        <v>0</v>
      </c>
      <c r="DH16" s="34">
        <f t="shared" ref="DH16" si="143">SUM(BP16:CA16)</f>
        <v>0</v>
      </c>
      <c r="DI16" s="34">
        <f t="shared" ref="DI16" si="144">SUM(CB16:CM16)</f>
        <v>0</v>
      </c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7"/>
    </row>
    <row r="17" spans="1:125" ht="12" customHeight="1">
      <c r="A17" s="10">
        <v>15</v>
      </c>
      <c r="B17" s="229" t="s">
        <v>433</v>
      </c>
      <c r="C17" s="185"/>
      <c r="D17" s="230"/>
      <c r="E17" s="230"/>
      <c r="F17" s="302" t="s">
        <v>386</v>
      </c>
      <c r="G17" s="231" t="s">
        <v>192</v>
      </c>
      <c r="H17" s="79">
        <f>SUMIF(Tim!$F$7:$F$70,Ins!F17,Tim!$B$7:$B$70)</f>
        <v>1</v>
      </c>
      <c r="I17" s="80">
        <f>SUMIF(Tim!$G$7:$G$70,Ins!F17,Tim!$B$7:$B$70)+SUMIF(Tim!$H$7:$H$70,Ins!F17,Tim!$B$7:$B$70)+SUMIF(Tim!$I$7:$I$70,Ins!F17,Tim!$B$7:$B$70)+SUMIF(Tim!$J$7:$J$70,Ins!F17,Tim!$B$7:$B$70)+SUMIF(Tim!$K$7:$K$70,Ins!F17,Tim!$B$7:$B$70)+SUMIF(Tim!$L$7:$L$70,Ins!F17,Tim!$B$7:$B$70)</f>
        <v>0.25</v>
      </c>
      <c r="J17" s="80">
        <f>SUMIF(Tim!$M$7:$M$70,Ins!F17,Tim!$B$7:$B$70)+SUMIF(Tim!$O$7:$O$70,Ins!F17,Tim!$B$7:$B$70)+SUMIF(Tim!$N$7:$N$70,Ins!F17,Tim!$B$7:$B$70)</f>
        <v>0</v>
      </c>
      <c r="K17" s="80">
        <f>SUMIF(Tim!$P$7:$P$70,Ins!F17,Tim!$B$7:$B$70)+SUMIF(Tim!$Q$7:$Q$70,Ins!F17,Tim!$B$7:$B$70)+SUMIF(Tim!$R$7:$R$70,Ins!F17,Tim!$B$7:$B$70)+SUMIF(Tim!$S$7:$S$70,Ins!F17,Tim!$B$7:$B$70)+SUMIF(Tim!$T$7:$T$70,Ins!F17,Tim!$B$7:$B$70)</f>
        <v>1</v>
      </c>
      <c r="L17" s="80">
        <f>SUMIF(Tim!$U$7:$U$70,Ins!F17,Tim!$B$7:$B$70)+SUMIF(Tim!$W$7:$W$70,Ins!F17,Tim!$B$7:$B$70)+SUMIF(Tim!$X$7:$X$70,Ins!F17,Tim!$B$7:$B$70)</f>
        <v>0.25</v>
      </c>
      <c r="M17" s="80">
        <f>SUMIF(Tim!$Y$7:$Y$70,Ins!F17,Tim!$B$7:$B$70)+SUMIF(Tim!$Z$7:$Z$70,Ins!F17,Tim!$B$7:$B$70)+SUMIF(Tim!$AA$7:$AA$70,Ins!F17,Tim!$B$7:$B$70)</f>
        <v>1.25</v>
      </c>
      <c r="N17" s="80">
        <f>SUMIF(Tim!$AB$7:$AB$70,Ins!F17,Tim!$B$7:$B$70)</f>
        <v>0</v>
      </c>
      <c r="O17" s="80">
        <f>SUMIF(Tim!$AC$7:$AC$70,Ins!F17,Tim!$D$7:$D$70)+SUMIF(Tim!$AD$7:$AD$70,Ins!F17,Tim!$D$7:$D$70)+SUMIF(Tim!$AE$7:$AE$70,Ins!F17,Tim!$D$7:$D$70)+SUMIF(Tim!$AF$7:$AF$70,Ins!F17,Tim!$D$7:$D$70)+SUMIF(Tim!$AG$7:$AG$70,Ins!F17,Tim!$D$7:$D$70)+SUMIF(Tim!$AH$7:$AH$70,Ins!F17,Tim!$D$7:$D$70)+SUMIF(Tim!$AI$7:$AI$70,Ins!F17,Tim!$D$7:$D$70)+SUMIF(Tim!$AJ$7:$AJ$70,Ins!F17,Tim!$D$7:$D$70)+SUMIF(Tim!$AK$7:$AK$70,Ins!F17,Tim!$D$7:$D$70)+SUMIF(Tim!$AL$7:$AL$70,Ins!F17,Tim!$D$7:$D$70)+SUMIF(Tim!$AM$7:$AM$70,Ins!F17,Tim!$D$7:$D$70)+SUMIF(Tim!$AN$7:$AN$70,Ins!F17,Tim!$D$7:$D$70)</f>
        <v>0</v>
      </c>
      <c r="P17" s="80">
        <f>SUMIF(Tim!AO$7:AO$70,Ins!F17,Tim!$C$7:$C$70)</f>
        <v>0</v>
      </c>
      <c r="Q17" s="80">
        <f>SUMIF(Tim!AP$7:AP$70,Ins!F17,Tim!$C$7:$C$70)</f>
        <v>0</v>
      </c>
      <c r="R17" s="80">
        <f>SUMIF(Tim!AQ$7:AQ$70,Ins!F17,Tim!$C$7:$C$70)+SUMIF(Tim!AR$7:AR$70,Ins!F17,Tim!$C$7:$C$70)+SUMIF(Tim!AS$7:AS$70,Ins!F17,Tim!$C$7:$C$70)</f>
        <v>0</v>
      </c>
      <c r="S17" s="236">
        <f>SUMIF(Tim!$AT$7:$AT$70,Ins!F17,Tim!$C$7:$C$70)+SUMIF(Tim!$AU$7:$AU$70,Ins!F17,Tim!$C$7:$C77)+SUMIF(Tim!$AV$7:$AV$70,Ins!F17,Tim!$C$7:$C$70)+SUMIF(Tim!$AW$7:$AW$70,Ins!F17,Tim!$C$7:$C$70)+SUMIF(Tim!$AX$7:$AX$70,Ins!F17,Tim!$C$7:$C$70)</f>
        <v>2.25</v>
      </c>
      <c r="T17" s="79">
        <f>SUMIF(Tim!$AY$7:$AY$70,Ins!F17,Tim!$B$7:$B$70)</f>
        <v>0.5</v>
      </c>
      <c r="U17" s="80">
        <f>SUMIF(Tim!$AZ$7:$AZ$70,Ins!F17,Tim!$B$7:$B$70)+SUMIF(Tim!$BA$7:$BA$70,Ins!F17,Tim!$B$7:$B$70)+SUMIF(Tim!$BB$7:$BB$70,Ins!F17,Tim!$B$7:$B$70)+SUMIF(Tim!$BC$7:$BC$70,Ins!F17,Tim!$B$7:$B$70)+SUMIF(Tim!$BD$7:$BD$70,Ins!F17,Tim!$B$7:$B$70)+SUMIF(Tim!$BE$7:$BE$70,Ins!F17,Tim!$B$7:$B$70)</f>
        <v>0.5</v>
      </c>
      <c r="V17" s="80">
        <f>SUMIF(Tim!$BF$7:$BF$70,Ins!F17,Tim!$B$7:$B$70)+SUMIF(Tim!$BG$7:$BG$70,Ins!F17,Tim!$B$7:$B$70)+SUMIF(Tim!$BH$7:$BH$70,Ins!F17,Tim!$B$7:$B$70)</f>
        <v>0.5</v>
      </c>
      <c r="W17" s="80">
        <f>SUMIF(Tim!$BI$7:$BI$70,Ins!F17,Tim!$B$7:$B$70)+SUMIF(Tim!$BJ$7:$BJ$70,Ins!F17,Tim!$B$7:$B$70)+SUMIF(Tim!$BK$7:$BK$70,Ins!F17,Tim!$B$7:$B$70)+SUMIF(Tim!$BL$7:$BL$70,Ins!F17,Tim!$B$7:$B$70)+SUMIF(Tim!$BM$7:$BM$70,Ins!F17,Tim!$B$7:$B$70)</f>
        <v>1</v>
      </c>
      <c r="X17" s="80">
        <f>SUMIF(Tim!$BN$7:$BN$70,Ins!F17,Tim!$B$7:$B$70)+SUMIF(Tim!$BO$7:$BO$70,Ins!F17,Tim!$B$7:$B$70)+SUMIF(Tim!$BP$7:$BP$70,Ins!F17,Tim!$B$7:$B$70)</f>
        <v>0.5</v>
      </c>
      <c r="Y17" s="80">
        <f>SUMIF(Tim!$BQ$7:$BQ$70,Ins!F17,Tim!$B$7:$B$70)+SUMIF(Tim!$BR$7:$BR$70,Ins!F17,Tim!$B$7:$B$70)+SUMIF(Tim!$BS$7:$BS$70,Ins!F17,Tim!$B$7:$B$70)</f>
        <v>1</v>
      </c>
      <c r="Z17" s="80">
        <f>SUMIF(Tim!BT$7:BT$70,Ins!F17,Tim!$B$7:$B$70)</f>
        <v>0</v>
      </c>
      <c r="AA17" s="80">
        <f>SUMIF(Tim!$BU$7:$BU$70,Ins!F17,Tim!$D$7:$D$70)+SUMIF(Tim!$BV$7:$BV$70,Ins!F17,Tim!$D$7:$D$70)+SUMIF(Tim!$BW$7:$BW$70,Ins!F17,Tim!$D$7:$D$70)+SUMIF(Tim!$BX$7:$BX$70,Ins!F17,Tim!$D$7:$D$70)+SUMIF(Tim!$BY$7:$BY$70,Ins!F17,Tim!$D$7:$D$70)+SUMIF(Tim!$BZ$7:$BZ$70,Ins!F17,Tim!$D$7:$D$70)+SUMIF(Tim!$CA$7:$CA$70,Ins!F17,Tim!$D$7:$D$70)+SUMIF(Tim!$CB$7:$CB$70,Ins!F17,Tim!$D$7:$D$70)+SUMIF(Tim!$CC$7:$CC$70,Ins!F17,Tim!$D$7:$D$70)+SUMIF(Tim!$CD$7:$CD$70,Ins!F17,Tim!$D$7:$D$70)+SUMIF(Tim!$CE$7:$CE$70,Ins!F17,Tim!$D$7:$D$70)+SUMIF(Tim!$CF$7:$CF$70,Ins!F17,Tim!$D$7:$D$70)</f>
        <v>0</v>
      </c>
      <c r="AB17" s="80">
        <f>SUMIF(Tim!CG$7:CG$70,Ins!F17,Tim!$C$7:$C$70)</f>
        <v>0</v>
      </c>
      <c r="AC17" s="80">
        <f>SUMIF(Tim!CH$7:CH$70,Ins!F17,Tim!$C$7:$C$70)</f>
        <v>0</v>
      </c>
      <c r="AD17" s="80">
        <f>SUMIF(Tim!CI$7:CI$70,Ins!F17,Tim!$C$7:$C$70)+SUMIF(Tim!CJ$7:CJ$70,Ins!F17,Tim!$C$7:$C$70)+SUMIF(Tim!CK$7:CK$70,Ins!F17,Tim!$C$7:$C$70)</f>
        <v>0</v>
      </c>
      <c r="AE17" s="81">
        <f>SUMIF(Tim!$CL$7:$CL$70,Ins!F17,Tim!$C$7:$C$70)+SUMIF(Tim!$CM$7:$CM$70,Ins!F17,Tim!$C$7:$C$70)+SUMIF(Tim!$CN$7:$CN$70,Ins!F17,Tim!$C$7:$C$70)+SUMIF(Tim!$CO$7:$CO$70,Ins!F17,Tim!$C$7:$C$70)+SUMIF(Tim!$CP$7:$CP$70,Ins!F17,Tim!$C$7:$C$70)</f>
        <v>2</v>
      </c>
      <c r="AF17" s="79">
        <f>SUMIF(Tim!$CQ$7:$CQ$70,Ins!F17,Tim!$B$7:$B$70)</f>
        <v>1.75</v>
      </c>
      <c r="AG17" s="80">
        <f>SUMIF(Tim!$CR$7:$CR$70,Ins!F17,Tim!$B$7:$B$70)+SUMIF(Tim!$CS$7:$CS$70,Ins!F17,Tim!$B$7:$B$70)+SUMIF(Tim!$CT$7:$CT$70,Ins!F17,Tim!$B$7:$B$70)+SUMIF(Tim!$CU$7:$CU$70,Ins!F17,Tim!$B$7:$B$70)+SUMIF(Tim!$CV$7:$CV$70,Ins!F17,Tim!$B$7:$B$70)+SUMIF(Tim!$CW$7:$CW$70,Ins!F17,Tim!$B$7:$B$70)</f>
        <v>0</v>
      </c>
      <c r="AH17" s="80">
        <f>SUMIF(Tim!$CX$7:$CX$70,Ins!F17,Tim!$B$7:$B$70)+SUMIF(Tim!$CY$7:$CY$70,Ins!F17,Tim!$B$7:$B$70)+SUMIF(Tim!$CZ$7:$CZ$70,Ins!F17,Tim!$B$7:$B$70)</f>
        <v>0</v>
      </c>
      <c r="AI17" s="80">
        <f>SUMIF(Tim!$DA$7:$DA$70,Ins!F17,Tim!$B$7:$B$70)+SUMIF(Tim!$DB$7:$DB$70,Ins!F17,Tim!$B$7:$B$70)+SUMIF(Tim!$DC$7:$DC$70,Ins!F17,Tim!$B$7:$B$70)+SUMIF(Tim!$DD$7:$DD$70,Ins!F17,Tim!$B$7:$B$70)+SUMIF(Tim!$DE$7:$DE$70,Ins!F17,Tim!$B$7:$B$70)</f>
        <v>2</v>
      </c>
      <c r="AJ17" s="80">
        <f>SUMIF(Tim!$DF$7:$DF$70,Ins!F17,Tim!$B$7:$B$70)+SUMIF(Tim!$DG$7:$DG$70,Ins!F17,Tim!$B$7:$B$70)+SUMIF(Tim!$DH$7:$DH$70,Ins!F17,Tim!$B$7:$B$70)</f>
        <v>0.75</v>
      </c>
      <c r="AK17" s="80">
        <f>SUMIF(Tim!DI$7:DI$70,Ins!F17,Tim!$B$7:$B$70)+SUMIF(Tim!DM$7:DM$70,Ins!F17,Tim!$B$7:$B$70)+SUMIF(Tim!DN$7:DN$70,Ins!F17,Tim!$B$7:$B$70)</f>
        <v>0.5</v>
      </c>
      <c r="AL17" s="80">
        <f>SUMIF(Tim!DO$7:DO$70,Ins!F17,Tim!$B$7:$B$70)</f>
        <v>0</v>
      </c>
      <c r="AM17" s="80">
        <f>SUMIF(Tim!$DP$7:$DP$70,Ins!F17,Tim!$D$7:$D$70)+SUMIF(Tim!$DQ$7:$DQ$70,Ins!F17,Tim!$D$7:$D$70)+SUMIF(Tim!$DR$7:$DR$70,Ins!F17,Tim!$D$7:$D$70)+SUMIF(Tim!$DS$7:$DS$70,Ins!F17,Tim!$D$7:$D$70)+SUMIF(Tim!$DT$7:$DT$70,Ins!F17,Tim!$D$7:$D$70)+SUMIF(Tim!$DU$7:$DU$70,Ins!F17,Tim!$D$7:$D$70)+SUMIF(Tim!$DV$7:$DV$70,Ins!F17,Tim!$D$7:$D$70)+SUMIF(Tim!$DW$7:$DW$70,Ins!F17,Tim!$D$7:$D$70)+SUMIF(Tim!$DX$7:$DX$70,Ins!F17,Tim!$D$7:$D$70)+SUMIF(Tim!$DY$7:$DY$70,Ins!F17,Tim!$D$7:$D$70)+SUMIF(Tim!$DZ$7:$DZ$70,Ins!F17,Tim!$D$7:$D$70)+SUMIF(Tim!$EA$7:$EA$70,Ins!F17,Tim!$D$7:$D$70)</f>
        <v>0</v>
      </c>
      <c r="AN17" s="80">
        <f>SUMIF(Tim!EB$7:EB$70,Ins!F17,Tim!$C$7:$C$70)</f>
        <v>0</v>
      </c>
      <c r="AO17" s="80">
        <f>SUMIF(Tim!EC$7:EC$70,Ins!F17,Tim!$C$7:$C$70)</f>
        <v>0</v>
      </c>
      <c r="AP17" s="80">
        <f>SUMIF(Tim!ED$7:ED$70,Ins!F17,Tim!$C$7:$C$70)+SUMIF(Tim!EE$7:EE$70,Ins!F17,Tim!$C$7:$C$70)+SUMIF(Tim!EF$7:EF$70,Ins!F17,Tim!$C$7:$C$70)</f>
        <v>0</v>
      </c>
      <c r="AQ17" s="81">
        <f>SUMIF(Tim!$EG$7:$EG$70,Ins!F17,Tim!$C$7:$C$70)+SUMIF(Tim!$EH$7:$EH$70,Ins!F17,Tim!$C$7:$C$70)+SUMIF(Tim!$EI$7:$EI$70,Ins!F17,Tim!$C$7:$C$70)+SUMIF(Tim!$EJ$7:$EJ$70,Ins!F17,Tim!$C$7:$C$70)+SUMIF(Tim!$EK$7:$EK$70,Ins!F17,Tim!$C$7:$C$70)</f>
        <v>1</v>
      </c>
      <c r="AR17" s="79">
        <f>SUMIF(Tim!$EL$5:$EL$70,Ins!F17,Tim!$B$5:$B$70)</f>
        <v>2.25</v>
      </c>
      <c r="AS17" s="80">
        <f>SUMIF(Tim!$EM$5:$EM$70,Ins!F17,Tim!$B$5:$B$70)+SUMIF(Tim!$EN$5:$EN$70,Ins!F17,Tim!$B$5:$B$70)+SUMIF(Tim!$EO$5:$EO$70,Ins!F17,Tim!$B$5:$B$70)+SUMIF(Tim!$EP$5:$EP$70,Ins!F17,Tim!$B$5:$B$70)+SUMIF(Tim!$EQ$5:$EQ$70,Ins!F17,Tim!$B$5:$B$70)+SUMIF(Tim!$ER$5:$ER$70,Ins!F17,Tim!$B$5:$B$70)</f>
        <v>0.25</v>
      </c>
      <c r="AT17" s="80">
        <f>SUMIF(Tim!$ES$5:$ES$70,Ins!F17,Tim!$B$5:$B$70)+SUMIF(Tim!$ET$5:$ET$70,Ins!F17,Tim!$B$5:$B$70)+SUMIF(Tim!$EU$5:$EU$70,Ins!F17,Tim!$B$5:$B$70)</f>
        <v>0</v>
      </c>
      <c r="AU17" s="80">
        <f>SUMIF(Tim!$EV$5:$EV$70,Ins!F17,Tim!$B$5:$B$70)+SUMIF(Tim!$EW$5:$EW$70,Ins!F17,Tim!$B$5:$B$70)+SUMIF(Tim!$EX$5:$EX$70,Ins!F17,Tim!$B$5:$B$70)+SUMIF(Tim!$EY$5:$EY$70,Ins!F17,Tim!$B$5:$B$70)+SUMIF(Tim!$EZ$5:$EZ$70,Ins!F17,Tim!$B$5:$B$70)</f>
        <v>1</v>
      </c>
      <c r="AV17" s="80">
        <f>SUMIF(Tim!$FA$5:$FA$70,Ins!F17,Tim!$B$5:$B$70)+SUMIF(Tim!$FB$5:$FB$70,Ins!F17,Tim!$B$5:$B$70)+SUMIF(Tim!$FC$5:$FC$70,Ins!F17,Tim!$B$5:$B$70)</f>
        <v>0.5</v>
      </c>
      <c r="AW17" s="80">
        <f>SUMIF(Tim!FD$5:FD$70,Ins!F17,Tim!$B$5:$B$70)+SUMIF(Tim!FE$5:FE$70,Ins!F17,Tim!$B$5:$B$70)+SUMIF(Tim!FF$5:FF$70,Ins!F17,Tim!$B$5:$B$70)</f>
        <v>0</v>
      </c>
      <c r="AX17" s="80">
        <f>SUMIF(Tim!FG$5:FG$70,Ins!F17,Tim!$B$5:$B$70)</f>
        <v>0</v>
      </c>
      <c r="AY17" s="80">
        <f>SUMIF(Tim!$FH$5:$FH$70,Ins!F17,Tim!$D$5:$D$70)+SUMIF(Tim!$FI$5:$FI$70,Ins!F17,Tim!$D$5:$D$70)+SUMIF(Tim!$FJ$5:$FJ$70,Ins!F17,Tim!$D$5:$D$70)+SUMIF(Tim!$FK$5:$FK$70,Ins!F17,Tim!$D$5:$D$70)+SUMIF(Tim!$FL$5:$FL$70,Ins!F17,Tim!$D$5:$D$70)+SUMIF(Tim!$FM$5:$FM$70,Ins!F17,Tim!$D$5:$D$70)+SUMIF(Tim!$FN$5:$FN$70,Ins!F17,Tim!$D$5:$D$70)+SUMIF(Tim!$FO$5:$FO$70,Ins!F17,Tim!$D$5:$D$70)+SUMIF(Tim!$FP$5:$FP$70,Ins!F17,Tim!$D$5:$D$70)+SUMIF(Tim!$FQ$5:$FQ$70,Ins!F17,Tim!$D$5:$D$70)+SUMIF(Tim!$FR$5:$FR$70,Ins!F17,Tim!$D$5:$D$70)+SUMIF(Tim!$FS$5:$FS$70,Ins!F17,Tim!$D$5:$D$70)</f>
        <v>0</v>
      </c>
      <c r="AZ17" s="80">
        <f>SUMIF(Tim!FT$5:FT$70,Ins!F17,Tim!$C$5:$C$70)</f>
        <v>0</v>
      </c>
      <c r="BA17" s="80">
        <f>SUMIF(Tim!FU$5:FU$70,Ins!F17,Tim!$C$5:$C$70)</f>
        <v>0</v>
      </c>
      <c r="BB17" s="80">
        <f>SUMIF(Tim!FV$5:FV$70,Ins!F17,Tim!$C$5:$C$70)+SUMIF(Tim!FW$5:FW$70,Ins!F17,Tim!$C$5:$C$70)+SUMIF(Tim!FX$5:FX$70,Ins!F17,Tim!$C$5:$C$70)</f>
        <v>0</v>
      </c>
      <c r="BC17" s="81">
        <f>SUMIF(Tim!$FY$5:$FY$70,Ins!F17,Tim!$C$5:$C$70)+SUMIF(Tim!$FZ$5:$FZ$70,Ins!F17,Tim!$C$5:$C$70)+SUMIF(Tim!$GA$5:$GA$70,Ins!F17,Tim!$C$5:$C$70)+SUMIF(Tim!$GB$5:$GB$70,Ins!F17,Tim!$C$5:$C$70)+SUMIF(Tim!$GC$5:$GC$70,Ins!F17,Tim!$C$5:$C$70)</f>
        <v>2</v>
      </c>
      <c r="BD17" s="79">
        <f>SUMIF(Tim!$GD$5:$GD$70,Ins!F17,Tim!$B$5:$B$70)</f>
        <v>0</v>
      </c>
      <c r="BE17" s="80">
        <f>SUMIF(Tim!$GE$5:$GE$70,Ins!F17,Tim!$B$5:$B$70)+SUMIF(Tim!$GF$5:$GF$70,Ins!F17,Tim!$B$5:$B$70)+SUMIF(Tim!$GG$5:$GG$70,Ins!F17,Tim!$B$5:$B$70)+SUMIF(Tim!$GH$5:$GH$70,Ins!F17,Tim!$B$5:$B$70)+SUMIF(Tim!$GI$5:$GI$70,Ins!F17,Tim!$B$5:$B$70)+SUMIF(Tim!$GJ$5:$GJ$70,Ins!F17,Tim!$B$5:$B$70)</f>
        <v>0</v>
      </c>
      <c r="BF17" s="80">
        <f>SUMIF(Tim!$GK$5:$GK$70,Ins!F17,Tim!$B$5:$B$70)+SUMIF(Tim!$GL$5:$GL$70,Ins!F17,Tim!$B$5:$B$70)+SUMIF(Tim!$GM$5:$GM$70,Ins!F17,Tim!$B$5:$B$70)</f>
        <v>0</v>
      </c>
      <c r="BG17" s="80">
        <f>SUMIF(Tim!$GN$5:$GN$70,Ins!F17,Tim!$B$5:$B$70)+SUMIF(Tim!$GO$5:$GO$70,Ins!F17,Tim!$B$5:$B$70)+SUMIF(Tim!$GP$5:$GP$70,Ins!F17,Tim!$B$5:$B$70)+SUMIF(Tim!$GQ$5:$GQ$70,Ins!F17,Tim!$B$5:$B$70)+SUMIF(Tim!$GR$5:$GR$70,Ins!F17,Tim!$B$5:$B$70)</f>
        <v>2</v>
      </c>
      <c r="BH17" s="80">
        <f>SUMIF(Tim!$GS$5:$GS$70,Ins!F17,Tim!$B$5:$B$70)+SUMIF(Tim!$GT$5:$GT$70,Ins!F17,Tim!$B$5:$B$70)+SUMIF(Tim!$GU$5:$GU$70,Ins!F17,Tim!$B$5:$B$70)</f>
        <v>0.5</v>
      </c>
      <c r="BI17" s="80">
        <f>SUMIF(Tim!GV$5:GV$70,Ins!F17,Tim!$B$5:$B$70)+SUMIF(Tim!GW$5:GW$70,Ins!F17,Tim!$B$5:$B$70)+SUMIF(Tim!GX$5:GX$70,Ins!F17,Tim!$B$5:$B$70)</f>
        <v>0.5</v>
      </c>
      <c r="BJ17" s="80">
        <f>SUMIF(Tim!GY$5:GY$70,Ins!F17,Tim!$B$5:$B$70)</f>
        <v>0</v>
      </c>
      <c r="BK17" s="80">
        <f>SUMIF(Tim!$GZ$5:$GZ$70,Ins!F17,Tim!$D$5:$D$70)+SUMIF(Tim!$HA$5:$HA$70,Ins!F17,Tim!$D$5:$D$70)+SUMIF(Tim!$HB$5:$HB$70,Ins!F17,Tim!$D$5:$D$70)++SUMIF(Tim!$HC$5:$HC$70,Ins!F17,Tim!$D$5:$D$70)+SUMIF(Tim!$HD$5:$HD$70,Ins!F17,Tim!$D$5:$D$70)+SUMIF(Tim!$HE$5:$HE$70,Ins!F17,Tim!$D$5:$D$70)+SUMIF(Tim!$HF$5:$HF$70,Ins!F17,Tim!$D$5:$D$70)+SUMIF(Tim!$HG$5:$HG$70,Ins!F17,Tim!$D$5:$D$70)+SUMIF(Tim!$HH$5:$HH$70,Ins!F17,Tim!$D$5:$D$70)+SUMIF(Tim!$HI$5:$HI$70,Ins!F17,Tim!$D$5:$D$70)+SUMIF(Tim!$HJ$5:$HJ$70,Ins!F17,Tim!$D$5:$D$70)+SUMIF(Tim!$HK$5:$HK$70,Ins!F17,Tim!$D$5:$D$70)</f>
        <v>0</v>
      </c>
      <c r="BL17" s="80">
        <f>SUMIF(Tim!HL$5:HL$70,Ins!F17,Tim!$C$5:$C$70)</f>
        <v>0</v>
      </c>
      <c r="BM17" s="80">
        <f>SUMIF(Tim!HM$5:HM$70,Ins!F17,Tim!$C$5:$C$70)</f>
        <v>0</v>
      </c>
      <c r="BN17" s="80">
        <f>SUMIF(Tim!HN$5:HN$70,Ins!F17,Tim!$C$5:$C$70)+SUMIF(Tim!HO$5:HO$70,Ins!F17,Tim!$C$5:$C$70)+SUMIF(Tim!HP$5:HP$70,Ins!F17,Tim!$C$5:$C$70)</f>
        <v>0</v>
      </c>
      <c r="BO17" s="81">
        <f>SUMIF(Tim!$HQ$5:$HQ$70,Ins!F17,Tim!$C$5:$C$70)+SUMIF(Tim!$HR$5:$HR$70,Ins!F17,Tim!$C$5:$C$70)+SUMIF(Tim!$HS$5:$HS$70,Ins!F17,Tim!$C$5:$C$70)+SUMIF(Tim!$HT$5:$HT$70,Ins!F17,Tim!$C$5:$C$70)+SUMIF(Tim!$HU$5:$HU$70,Ins!F17,Tim!$C$5:$C$70)</f>
        <v>3</v>
      </c>
      <c r="BP17" s="79">
        <f>SUMIF(Tim!$HV$7:$HV$70,Ins!F17,Tim!$B$7:$B$70)</f>
        <v>0</v>
      </c>
      <c r="BQ17" s="80">
        <f>SUMIF(Tim!$HW$7:$HW$70,Ins!F17,Tim!$B$7:$B$70)+SUMIF(Tim!$HX$7:$HX$70,Ins!F17,Tim!$B$7:$B$70)+SUMIF(Tim!$HY$7:$HY$70,Ins!F17,Tim!$B$7:$B$70)+SUMIF(Tim!$HZ$7:$HZ$70,Ins!F17,Tim!$B$7:$B$70)+SUMIF(Tim!$IA$7:$IA$70,Ins!F17,Tim!$B$7:$B$70)+SUMIF(Tim!$IB$7:$IB$70,Ins!F17,Tim!$B$7:$B$70)</f>
        <v>0</v>
      </c>
      <c r="BR17" s="80">
        <f>SUMIF(Tim!$IC$7:$IC$70,Ins!F17,Tim!$B$7:$B$70)+SUMIF(Tim!$ID$7:$ID$70,Ins!F17,Tim!$B$7:$B$70)+SUMIF(Tim!$IE$7:$IE$70,Ins!F17,Tim!$B$7:$B$70)</f>
        <v>0</v>
      </c>
      <c r="BS17" s="80">
        <f>SUMIF(Tim!$IF$7:$IF$70,Ins!F17,Tim!$B$7:$B$70)+SUMIF(Tim!$IG$7:$IG$70,Ins!F17,Tim!$B$7:$B$70)+SUMIF(Tim!$IH$7:$IH$70,Ins!F17,Tim!$B$7:$B$70)+SUMIF(Tim!$II$7:$II$70,Ins!F17,Tim!$B$7:$B$70)+SUMIF(Tim!$IJ$7:$IJ$70,Ins!F17,Tim!$B$7:$B$70)</f>
        <v>0</v>
      </c>
      <c r="BT17" s="80">
        <f>SUMIF(Tim!$IK$7:$IK$70,Ins!F17,Tim!$B$7:$B$70)+SUMIF(Tim!$IL$7:$IL$70,Ins!F17,Tim!$B$7:$B$70)+SUMIF(Tim!$IM$7:$IM$70,Ins!F17,Tim!$B$7:$B$70)</f>
        <v>0</v>
      </c>
      <c r="BU17" s="80">
        <f>SUMIF(Tim!$IN$7:$IN$70,Ins!F17,Tim!$B$7:$B$70)+SUMIF(Tim!$IO$7:$IO$70,Ins!F17,Tim!$B$7:$B$70)+SUMIF(Tim!$IP$7:$IP$70,Ins!F17,Tim!$B$7:$B$70)</f>
        <v>0</v>
      </c>
      <c r="BV17" s="80">
        <f>SUMIF(Tim!$IQ$7:$IQ$70,Ins!F17,Tim!$B$7:$B$70)</f>
        <v>0</v>
      </c>
      <c r="BW17" s="80">
        <f>SUMIF(Tim!$IR$7:$IR$70,Ins!F17,Tim!$D$7:$D$70)+SUMIF(Tim!$IS$7:$IS$70,Ins!F17,Tim!$D$7:$D$70)+SUMIF(Tim!$IT$7:$IT$70,Ins!F17,Tim!$D$7:$D$70)+SUMIF(Tim!$IU$7:$IU$70,Ins!F17,Tim!$D$7:$D$70)+SUMIF(Tim!$IV$7:$IV$70,Ins!F17,Tim!$D$7:$D$70)+SUMIF(Tim!$IW$7:$IW$70,Ins!F17,Tim!$D$7:$D$70)+SUMIF(Tim!$IX$7:$IX$70,Ins!F17,Tim!$D$7:$D$70)+SUMIF(Tim!$IY$7:$IY$70,Ins!F17,Tim!$D$7:$D$70)+SUMIF(Tim!$IZ$7:$IZ$70,Ins!F17,Tim!$D$7:$D$70)+SUMIF(Tim!$JA$7:$JA$70,Ins!F17,Tim!$D$7:$D$70)+SUMIF(Tim!$JB$7:$JB$70,Ins!F17,Tim!$D$7:$D$70)+SUMIF(Tim!$JC$7:$JC$70,Ins!F17,Tim!$D$7:$D$70)</f>
        <v>0</v>
      </c>
      <c r="BX17" s="80">
        <f>SUMIF(Tim!JD$7:JD$70,Ins!F17,Tim!$C$7:$C$70)</f>
        <v>0</v>
      </c>
      <c r="BY17" s="80">
        <f>SUMIF(Tim!JE$7:JE$70,Ins!F17,Tim!$C$7:$C$70)</f>
        <v>0</v>
      </c>
      <c r="BZ17" s="80">
        <f>SUMIF(Tim!JF$7:JF$70,Ins!F17,Tim!$C$7:$C$70)+SUMIF(Tim!JG$7:JG$70,Ins!F17,Tim!$C$7:$C$70)+SUMIF(Tim!JH$7:JH$70,Ins!F17,Tim!$C$7:$C$70)</f>
        <v>0</v>
      </c>
      <c r="CA17" s="81">
        <f>SUMIF(Tim!$JI$7:$JI$70,Ins!F17,Tim!$C$7:$C$70)++SUMIF(Tim!$JJ$7:$JJ$70,Ins!F17,Tim!$C$7:$C$70)+SUMIF(Tim!$JK$7:$JK$70,Ins!F17,Tim!$C$7:$C$70)+SUMIF(Tim!$JL$7:$JL$70,Ins!F17,Tim!$C$7:$C$70)+SUMIF(Tim!$JM$7:$JM$70,Ins!F17,Tim!$C$7:$C$70)</f>
        <v>0</v>
      </c>
      <c r="CB17" s="79">
        <f>SUMIF(Tim!$JN$7:$JN$70,Ins!F17,Tim!$B$7:$B$70)</f>
        <v>0</v>
      </c>
      <c r="CC17" s="80">
        <f>SUMIF(Tim!$JO$7:$JO$70,Ins!F17,Tim!$B$7:$B$70)+SUMIF(Tim!$JP$7:$JP$70,Ins!F17,Tim!$B$7:$B$70)+SUMIF(Tim!$JQ$7:$JQ$70,Ins!F17,Tim!$B$7:$B$70)+SUMIF(Tim!$JR$7:$JR$70,Ins!F17,Tim!$B$7:$B$70)+SUMIF(Tim!$JS$7:$JS$70,Ins!F17,Tim!$B$7:$B$70)+SUMIF(Tim!$JT$7:$JT$70,Ins!F17,Tim!$B$7:$B$70)</f>
        <v>0</v>
      </c>
      <c r="CD17" s="80">
        <f>SUMIF(Tim!$JW$7:$JW$70,Ins!F17,Tim!$B$7:$B$70)+SUMIF(Tim!$JU$7:$JU$70,Ins!F17,Tim!$B$7:$B$70)+SUMIF(Tim!$JV$7:$JV$70,Ins!F17,Tim!$B$7:$B$70)</f>
        <v>0</v>
      </c>
      <c r="CE17" s="80">
        <f>SUMIF(Tim!$JX$7:$JX$70,Ins!F17,Tim!$B$7:$B$70)+SUMIF(Tim!$JY$7:$JY$70,Ins!F17,Tim!$B$7:$B$70)+SUMIF(Tim!$JZ$7:$JZ$70,Ins!F17,Tim!$B$7:$B$70)+SUMIF(Tim!$KA$7:$KA$70,Ins!F17,Tim!$B$7:$B$70)+SUMIF(Tim!$KB$7:$KB$70,Ins!F17,Tim!$B$7:$B$70)</f>
        <v>0</v>
      </c>
      <c r="CF17" s="80">
        <f>SUMIF(Tim!$KE$7:$KE$70,Ins!F17,Tim!$B$7:$B$70)+SUMIF(Tim!$KC$7:$KC$70,Ins!F17,Tim!$B$7:$B$70)+SUMIF(Tim!$KD$7:$KD$70,Ins!F17,Tim!$B$7:$B$70)</f>
        <v>0</v>
      </c>
      <c r="CG17" s="80">
        <f>SUMIF(Tim!$KF$7:$KF$70,Ins!F17,Tim!$B$7:$B$70)+SUMIF(Tim!$KG$7:$KG$70,Ins!F17,Tim!$B$7:$B$70)+SUMIF(Tim!$KH$7:$KH$70,Ins!F17,Tim!$B$7:$B$70)</f>
        <v>0</v>
      </c>
      <c r="CH17" s="80">
        <f>SUMIF(Tim!$KI$7:$KI$70,Ins!F17,Tim!$B$7:$B$70)</f>
        <v>0</v>
      </c>
      <c r="CI17" s="80">
        <f>SUMIF(Tim!$KJ$7:$KJ$70,Ins!F17,Tim!$D$7:$D$70)+SUMIF(Tim!$KK$7:$KK$70,Ins!F17,Tim!$D$7:$D$70)+SUMIF(Tim!$KL$7:$KL$70,Ins!F17,Tim!$D$7:$D$70)+SUMIF(Tim!$KM$7:$KM$70,Ins!F17,Tim!$D$7:$D$70)+SUMIF(Tim!$KN$7:$KN$70,Ins!F17,Tim!$D$7:$D$70)+SUMIF(Tim!$KO$7:$KO$70,Ins!F17,Tim!$D$7:$D$70)+SUMIF(Tim!$KP$7:$KP$70,Ins!F17,Tim!$D$7:$D$70)+SUMIF(Tim!$KQ$7:$KQ$70,Ins!F17,Tim!$D$7:$D$70)+SUMIF(Tim!$KR$7:$KR$70,Ins!F17,Tim!$D$7:$D$70)+SUMIF(Tim!$KS$7:$KS$70,Ins!F17,Tim!$D$7:$D$70)+SUMIF(Tim!$KT$7:$KT$70,Ins!F17,Tim!$D$7:$D$70)+SUMIF(Tim!$KU$7:$KU$70,Ins!F17,Tim!$D$7:$D$70)</f>
        <v>0</v>
      </c>
      <c r="CJ17" s="80">
        <f>SUMIF(Tim!KV$7:KV$70,Ins!F17,Tim!$C$7:$C$70)</f>
        <v>0</v>
      </c>
      <c r="CK17" s="80">
        <f>SUMIF(Tim!KW$7:KW$70,Ins!F17,Tim!$C$7:$C$70)</f>
        <v>0</v>
      </c>
      <c r="CL17" s="80">
        <f>SUMIF(Tim!KX$7:KX$70,Ins!F17,Tim!$C$7:$C$70)+SUMIF(Tim!KY$7:KY$70,Ins!F17,Tim!$C$7:$C$70)+SUMIF(Tim!KZ$7:KZ$70,Ins!F17,Tim!$C$7:$C$70)</f>
        <v>0</v>
      </c>
      <c r="CM17" s="81">
        <f>SUMIF(Tim!$LA$7:$LA$70,Ins!F17,Tim!$C$7:$C$70)+SUMIF(Tim!$LB$7:$LB$70,Ins!F17,Tim!$C$7:$C$70)+SUMIF(Tim!$LC$7:$LC$70,Ins!F17,Tim!$C$7:$C$70)+SUMIF(Tim!$LD$7:$LD$70,Ins!F17,Tim!$C$7:$C$70)+SUMIF(Tim!$LE$7:$LE$70,Ins!F17,Tim!$C$7:$C$70)</f>
        <v>0</v>
      </c>
      <c r="CN17" s="22"/>
      <c r="CO17" s="180">
        <f t="shared" ref="CO17" si="145">H17+T17+AF17+AR17+BD17+BP17+CB17</f>
        <v>5.5</v>
      </c>
      <c r="CP17" s="179">
        <f t="shared" ref="CP17" si="146">I17+U17+AG17+AS17+BE17+BQ17+CC17</f>
        <v>1</v>
      </c>
      <c r="CQ17" s="179">
        <f t="shared" ref="CQ17" si="147">J17+V17+AH17+AT17+BF17+BR17+CD17</f>
        <v>0.5</v>
      </c>
      <c r="CR17" s="179">
        <f t="shared" ref="CR17" si="148">K17+W17+AI17+AU17+BG17+BS17+CE17</f>
        <v>7</v>
      </c>
      <c r="CS17" s="179">
        <f t="shared" ref="CS17" si="149">L17+X17+AJ17+AV17+BH17+BT17+CF17</f>
        <v>2.5</v>
      </c>
      <c r="CT17" s="179">
        <f t="shared" ref="CT17" si="150">M17+Y17+AK17+AW17+BI17+BU17+CG17</f>
        <v>3.25</v>
      </c>
      <c r="CU17" s="179">
        <f t="shared" ref="CU17" si="151">N17+Z17+AL17+AX17+BJ17+BV17+CH17</f>
        <v>0</v>
      </c>
      <c r="CV17" s="179">
        <f t="shared" ref="CV17" si="152">O17+AA17+AM17+AY17+BK17+BW17+CI17</f>
        <v>0</v>
      </c>
      <c r="CW17" s="179">
        <f t="shared" ref="CW17" si="153">P17+AB17+AN17+AZ17+BL17+BX17+CJ17</f>
        <v>0</v>
      </c>
      <c r="CX17" s="179">
        <f t="shared" ref="CX17" si="154">Q17+AC17+AO17+BA17+BM17+BY17+CK17</f>
        <v>0</v>
      </c>
      <c r="CY17" s="179">
        <f t="shared" ref="CY17" si="155">R17+AD17+AP17+BB17+BN17+BZ17+CL17</f>
        <v>0</v>
      </c>
      <c r="CZ17" s="179">
        <f t="shared" ref="CZ17" si="156">S17+AE17+AQ17+BC17+BO17+CA17+CM17</f>
        <v>10.25</v>
      </c>
      <c r="DA17" s="78">
        <f t="shared" ref="DA17:DA18" si="157">SUM(CO17:CZ17)</f>
        <v>30</v>
      </c>
      <c r="DB17" s="16"/>
      <c r="DC17" s="34">
        <f>SUM(H17:S17)</f>
        <v>6</v>
      </c>
      <c r="DD17" s="34">
        <f>SUM(T17:AE17)</f>
        <v>6</v>
      </c>
      <c r="DE17" s="34">
        <f>SUM(AF17:AQ17)</f>
        <v>6</v>
      </c>
      <c r="DF17" s="34">
        <f>SUM(AR17:BC17)</f>
        <v>6</v>
      </c>
      <c r="DG17" s="34">
        <f>SUM(BD17:BO17)</f>
        <v>6</v>
      </c>
      <c r="DH17" s="34">
        <f>SUM(BP17:CA17)</f>
        <v>0</v>
      </c>
      <c r="DI17" s="34">
        <f>SUM(CB17:CM17)</f>
        <v>0</v>
      </c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7"/>
    </row>
    <row r="18" spans="1:125" ht="12" customHeight="1">
      <c r="A18" s="10">
        <v>16</v>
      </c>
      <c r="B18" s="229" t="s">
        <v>394</v>
      </c>
      <c r="C18" s="185"/>
      <c r="D18" s="230"/>
      <c r="E18" s="230" t="s">
        <v>373</v>
      </c>
      <c r="F18" s="185" t="s">
        <v>385</v>
      </c>
      <c r="G18" s="231" t="s">
        <v>191</v>
      </c>
      <c r="H18" s="79">
        <f>SUMIF(Tim!$F$7:$F$70,Ins!F18,Tim!$B$7:$B$70)</f>
        <v>0</v>
      </c>
      <c r="I18" s="80">
        <f>SUMIF(Tim!$G$7:$G$70,Ins!F18,Tim!$B$7:$B$70)+SUMIF(Tim!$H$7:$H$70,Ins!F18,Tim!$B$7:$B$70)+SUMIF(Tim!$I$7:$I$70,Ins!F18,Tim!$B$7:$B$70)+SUMIF(Tim!$J$7:$J$70,Ins!F18,Tim!$B$7:$B$70)+SUMIF(Tim!$K$7:$K$70,Ins!F18,Tim!$B$7:$B$70)+SUMIF(Tim!$L$7:$L$70,Ins!F18,Tim!$B$7:$B$70)</f>
        <v>0</v>
      </c>
      <c r="J18" s="80">
        <f>SUMIF(Tim!$M$7:$M$70,Ins!F18,Tim!$B$7:$B$70)+SUMIF(Tim!$O$7:$O$70,Ins!F18,Tim!$B$7:$B$70)+SUMIF(Tim!$N$7:$N$70,Ins!F18,Tim!$B$7:$B$70)</f>
        <v>0</v>
      </c>
      <c r="K18" s="80">
        <f>SUMIF(Tim!$P$7:$P$70,Ins!F18,Tim!$B$7:$B$70)+SUMIF(Tim!$Q$7:$Q$70,Ins!F18,Tim!$B$7:$B$70)+SUMIF(Tim!$R$7:$R$70,Ins!F18,Tim!$B$7:$B$70)+SUMIF(Tim!$S$7:$S$70,Ins!F18,Tim!$B$7:$B$70)+SUMIF(Tim!$T$7:$T$70,Ins!F18,Tim!$B$7:$B$70)</f>
        <v>0</v>
      </c>
      <c r="L18" s="80">
        <f>SUMIF(Tim!$U$7:$U$70,Ins!F18,Tim!$B$7:$B$70)+SUMIF(Tim!$W$7:$W$70,Ins!F18,Tim!$B$7:$B$70)+SUMIF(Tim!$X$7:$X$70,Ins!F18,Tim!$B$7:$B$70)</f>
        <v>0</v>
      </c>
      <c r="M18" s="80">
        <f>SUMIF(Tim!$Y$7:$Y$70,Ins!F18,Tim!$B$7:$B$70)+SUMIF(Tim!$Z$7:$Z$70,Ins!F18,Tim!$B$7:$B$70)+SUMIF(Tim!$AA$7:$AA$70,Ins!F18,Tim!$B$7:$B$70)</f>
        <v>0</v>
      </c>
      <c r="N18" s="80">
        <f>SUMIF(Tim!$AB$7:$AB$70,Ins!F18,Tim!$B$7:$B$70)</f>
        <v>0</v>
      </c>
      <c r="O18" s="80">
        <f>SUMIF(Tim!$AC$7:$AC$70,Ins!F18,Tim!$D$7:$D$70)+SUMIF(Tim!$AD$7:$AD$70,Ins!F18,Tim!$D$7:$D$70)+SUMIF(Tim!$AE$7:$AE$70,Ins!F18,Tim!$D$7:$D$70)+SUMIF(Tim!$AF$7:$AF$70,Ins!F18,Tim!$D$7:$D$70)+SUMIF(Tim!$AG$7:$AG$70,Ins!F18,Tim!$D$7:$D$70)+SUMIF(Tim!$AH$7:$AH$70,Ins!F18,Tim!$D$7:$D$70)+SUMIF(Tim!$AI$7:$AI$70,Ins!F18,Tim!$D$7:$D$70)+SUMIF(Tim!$AJ$7:$AJ$70,Ins!F18,Tim!$D$7:$D$70)+SUMIF(Tim!$AK$7:$AK$70,Ins!F18,Tim!$D$7:$D$70)+SUMIF(Tim!$AL$7:$AL$70,Ins!F18,Tim!$D$7:$D$70)+SUMIF(Tim!$AM$7:$AM$70,Ins!F18,Tim!$D$7:$D$70)+SUMIF(Tim!$AN$7:$AN$70,Ins!F18,Tim!$D$7:$D$70)</f>
        <v>0</v>
      </c>
      <c r="P18" s="80">
        <f>SUMIF(Tim!AO$7:AO$70,Ins!F18,Tim!$C$7:$C$70)</f>
        <v>0</v>
      </c>
      <c r="Q18" s="80">
        <f>SUMIF(Tim!AP$7:AP$70,Ins!F18,Tim!$C$7:$C$70)</f>
        <v>0</v>
      </c>
      <c r="R18" s="80">
        <f>SUMIF(Tim!AQ$7:AQ$70,Ins!F18,Tim!$C$7:$C$70)+SUMIF(Tim!AR$7:AR$70,Ins!F18,Tim!$C$7:$C$70)+SUMIF(Tim!AS$7:AS$70,Ins!F18,Tim!$C$7:$C$70)</f>
        <v>0</v>
      </c>
      <c r="S18" s="236">
        <f>SUMIF(Tim!$AT$7:$AT$70,Ins!F18,Tim!$C$7:$C$70)+SUMIF(Tim!$AU$7:$AU$70,Ins!F18,Tim!$C$7:$C78)+SUMIF(Tim!$AV$7:$AV$70,Ins!F18,Tim!$C$7:$C$70)+SUMIF(Tim!$AW$7:$AW$70,Ins!F18,Tim!$C$7:$C$70)+SUMIF(Tim!$AX$7:$AX$70,Ins!F18,Tim!$C$7:$C$70)</f>
        <v>0</v>
      </c>
      <c r="T18" s="79">
        <f>SUMIF(Tim!$AY$7:$AY$70,Ins!F18,Tim!$B$7:$B$70)</f>
        <v>0</v>
      </c>
      <c r="U18" s="80">
        <f>SUMIF(Tim!$AZ$7:$AZ$70,Ins!F18,Tim!$B$7:$B$70)+SUMIF(Tim!$BA$7:$BA$70,Ins!F18,Tim!$B$7:$B$70)+SUMIF(Tim!$BB$7:$BB$70,Ins!F18,Tim!$B$7:$B$70)+SUMIF(Tim!$BC$7:$BC$70,Ins!F18,Tim!$B$7:$B$70)+SUMIF(Tim!$BD$7:$BD$70,Ins!F18,Tim!$B$7:$B$70)+SUMIF(Tim!$BE$7:$BE$70,Ins!F18,Tim!$B$7:$B$70)</f>
        <v>0</v>
      </c>
      <c r="V18" s="80">
        <f>SUMIF(Tim!$BF$7:$BF$70,Ins!F18,Tim!$B$7:$B$70)+SUMIF(Tim!$BG$7:$BG$70,Ins!F18,Tim!$B$7:$B$70)+SUMIF(Tim!$BH$7:$BH$70,Ins!F18,Tim!$B$7:$B$70)</f>
        <v>0</v>
      </c>
      <c r="W18" s="80">
        <f>SUMIF(Tim!$BI$7:$BI$70,Ins!F18,Tim!$B$7:$B$70)+SUMIF(Tim!$BJ$7:$BJ$70,Ins!F18,Tim!$B$7:$B$70)+SUMIF(Tim!$BK$7:$BK$70,Ins!F18,Tim!$B$7:$B$70)+SUMIF(Tim!$BL$7:$BL$70,Ins!F18,Tim!$B$7:$B$70)+SUMIF(Tim!$BM$7:$BM$70,Ins!F18,Tim!$B$7:$B$70)</f>
        <v>0</v>
      </c>
      <c r="X18" s="80">
        <f>SUMIF(Tim!$BN$7:$BN$70,Ins!F18,Tim!$B$7:$B$70)+SUMIF(Tim!$BO$7:$BO$70,Ins!F18,Tim!$B$7:$B$70)+SUMIF(Tim!$BP$7:$BP$70,Ins!F18,Tim!$B$7:$B$70)</f>
        <v>0</v>
      </c>
      <c r="Y18" s="80">
        <f>SUMIF(Tim!$BQ$7:$BQ$70,Ins!F18,Tim!$B$7:$B$70)+SUMIF(Tim!$BR$7:$BR$70,Ins!F18,Tim!$B$7:$B$70)+SUMIF(Tim!$BS$7:$BS$70,Ins!F18,Tim!$B$7:$B$70)</f>
        <v>0</v>
      </c>
      <c r="Z18" s="80">
        <f>SUMIF(Tim!BT$7:BT$70,Ins!F18,Tim!$B$7:$B$70)</f>
        <v>0</v>
      </c>
      <c r="AA18" s="80">
        <f>SUMIF(Tim!$BU$7:$BU$70,Ins!F18,Tim!$D$7:$D$70)+SUMIF(Tim!$BV$7:$BV$70,Ins!F18,Tim!$D$7:$D$70)+SUMIF(Tim!$BW$7:$BW$70,Ins!F18,Tim!$D$7:$D$70)+SUMIF(Tim!$BX$7:$BX$70,Ins!F18,Tim!$D$7:$D$70)+SUMIF(Tim!$BY$7:$BY$70,Ins!F18,Tim!$D$7:$D$70)+SUMIF(Tim!$BZ$7:$BZ$70,Ins!F18,Tim!$D$7:$D$70)+SUMIF(Tim!$CA$7:$CA$70,Ins!F18,Tim!$D$7:$D$70)+SUMIF(Tim!$CB$7:$CB$70,Ins!F18,Tim!$D$7:$D$70)+SUMIF(Tim!$CC$7:$CC$70,Ins!F18,Tim!$D$7:$D$70)+SUMIF(Tim!$CD$7:$CD$70,Ins!F18,Tim!$D$7:$D$70)+SUMIF(Tim!$CE$7:$CE$70,Ins!F18,Tim!$D$7:$D$70)+SUMIF(Tim!$CF$7:$CF$70,Ins!F18,Tim!$D$7:$D$70)</f>
        <v>0</v>
      </c>
      <c r="AB18" s="80">
        <f>SUMIF(Tim!CG$7:CG$70,Ins!F18,Tim!$C$7:$C$70)</f>
        <v>0</v>
      </c>
      <c r="AC18" s="80">
        <f>SUMIF(Tim!CH$7:CH$70,Ins!F18,Tim!$C$7:$C$70)</f>
        <v>0</v>
      </c>
      <c r="AD18" s="80">
        <f>SUMIF(Tim!CI$7:CI$70,Ins!F18,Tim!$C$7:$C$70)+SUMIF(Tim!CJ$7:CJ$70,Ins!F18,Tim!$C$7:$C$70)+SUMIF(Tim!CK$7:CK$70,Ins!F18,Tim!$C$7:$C$70)</f>
        <v>0</v>
      </c>
      <c r="AE18" s="81">
        <f>SUMIF(Tim!$CL$7:$CL$70,Ins!F18,Tim!$C$7:$C$70)+SUMIF(Tim!$CM$7:$CM$70,Ins!F18,Tim!$C$7:$C$70)+SUMIF(Tim!$CN$7:$CN$70,Ins!F18,Tim!$C$7:$C$70)+SUMIF(Tim!$CO$7:$CO$70,Ins!F18,Tim!$C$7:$C$70)+SUMIF(Tim!$CP$7:$CP$70,Ins!F18,Tim!$C$7:$C$70)</f>
        <v>0</v>
      </c>
      <c r="AF18" s="79">
        <f>SUMIF(Tim!$CQ$7:$CQ$70,Ins!F18,Tim!$B$7:$B$70)</f>
        <v>0</v>
      </c>
      <c r="AG18" s="80">
        <f>SUMIF(Tim!$CR$7:$CR$70,Ins!F18,Tim!$B$7:$B$70)+SUMIF(Tim!$CS$7:$CS$70,Ins!F18,Tim!$B$7:$B$70)+SUMIF(Tim!$CT$7:$CT$70,Ins!F18,Tim!$B$7:$B$70)+SUMIF(Tim!$CU$7:$CU$70,Ins!F18,Tim!$B$7:$B$70)+SUMIF(Tim!$CV$7:$CV$70,Ins!F18,Tim!$B$7:$B$70)+SUMIF(Tim!$CW$7:$CW$70,Ins!F18,Tim!$B$7:$B$70)</f>
        <v>0</v>
      </c>
      <c r="AH18" s="80">
        <f>SUMIF(Tim!$CX$7:$CX$70,Ins!F18,Tim!$B$7:$B$70)+SUMIF(Tim!$CY$7:$CY$70,Ins!F18,Tim!$B$7:$B$70)+SUMIF(Tim!$CZ$7:$CZ$70,Ins!F18,Tim!$B$7:$B$70)</f>
        <v>0</v>
      </c>
      <c r="AI18" s="80">
        <f>SUMIF(Tim!$DA$7:$DA$70,Ins!F18,Tim!$B$7:$B$70)+SUMIF(Tim!$DB$7:$DB$70,Ins!F18,Tim!$B$7:$B$70)+SUMIF(Tim!$DC$7:$DC$70,Ins!F18,Tim!$B$7:$B$70)+SUMIF(Tim!$DD$7:$DD$70,Ins!F18,Tim!$B$7:$B$70)+SUMIF(Tim!$DE$7:$DE$70,Ins!F18,Tim!$B$7:$B$70)</f>
        <v>0</v>
      </c>
      <c r="AJ18" s="80">
        <f>SUMIF(Tim!$DF$7:$DF$70,Ins!F18,Tim!$B$7:$B$70)+SUMIF(Tim!$DG$7:$DG$70,Ins!F18,Tim!$B$7:$B$70)+SUMIF(Tim!$DH$7:$DH$70,Ins!F18,Tim!$B$7:$B$70)</f>
        <v>0</v>
      </c>
      <c r="AK18" s="80">
        <f>SUMIF(Tim!DI$7:DI$70,Ins!F18,Tim!$B$7:$B$70)+SUMIF(Tim!DM$7:DM$70,Ins!F18,Tim!$B$7:$B$70)+SUMIF(Tim!DN$7:DN$70,Ins!F18,Tim!$B$7:$B$70)</f>
        <v>0</v>
      </c>
      <c r="AL18" s="80">
        <f>SUMIF(Tim!DO$7:DO$70,Ins!F18,Tim!$B$7:$B$70)</f>
        <v>0</v>
      </c>
      <c r="AM18" s="80">
        <f>SUMIF(Tim!$DP$7:$DP$70,Ins!F18,Tim!$D$7:$D$70)+SUMIF(Tim!$DQ$7:$DQ$70,Ins!F18,Tim!$D$7:$D$70)+SUMIF(Tim!$DR$7:$DR$70,Ins!F18,Tim!$D$7:$D$70)+SUMIF(Tim!$DS$7:$DS$70,Ins!F18,Tim!$D$7:$D$70)+SUMIF(Tim!$DT$7:$DT$70,Ins!F18,Tim!$D$7:$D$70)+SUMIF(Tim!$DU$7:$DU$70,Ins!F18,Tim!$D$7:$D$70)+SUMIF(Tim!$DV$7:$DV$70,Ins!F18,Tim!$D$7:$D$70)+SUMIF(Tim!$DW$7:$DW$70,Ins!F18,Tim!$D$7:$D$70)+SUMIF(Tim!$DX$7:$DX$70,Ins!F18,Tim!$D$7:$D$70)+SUMIF(Tim!$DY$7:$DY$70,Ins!F18,Tim!$D$7:$D$70)+SUMIF(Tim!$DZ$7:$DZ$70,Ins!F18,Tim!$D$7:$D$70)+SUMIF(Tim!$EA$7:$EA$70,Ins!F18,Tim!$D$7:$D$70)</f>
        <v>0</v>
      </c>
      <c r="AN18" s="80">
        <f>SUMIF(Tim!EB$7:EB$70,Ins!F18,Tim!$C$7:$C$70)</f>
        <v>0</v>
      </c>
      <c r="AO18" s="80">
        <f>SUMIF(Tim!EC$7:EC$70,Ins!F18,Tim!$C$7:$C$70)</f>
        <v>0</v>
      </c>
      <c r="AP18" s="80">
        <f>SUMIF(Tim!ED$7:ED$70,Ins!F18,Tim!$C$7:$C$70)+SUMIF(Tim!EE$7:EE$70,Ins!F18,Tim!$C$7:$C$70)+SUMIF(Tim!EF$7:EF$70,Ins!F18,Tim!$C$7:$C$70)</f>
        <v>0</v>
      </c>
      <c r="AQ18" s="81">
        <f>SUMIF(Tim!$EG$7:$EG$70,Ins!F18,Tim!$C$7:$C$70)+SUMIF(Tim!$EH$7:$EH$70,Ins!F18,Tim!$C$7:$C$70)+SUMIF(Tim!$EI$7:$EI$70,Ins!F18,Tim!$C$7:$C$70)+SUMIF(Tim!$EJ$7:$EJ$70,Ins!F18,Tim!$C$7:$C$70)+SUMIF(Tim!$EK$7:$EK$70,Ins!F18,Tim!$C$7:$C$70)</f>
        <v>0</v>
      </c>
      <c r="AR18" s="79">
        <f>SUMIF(Tim!$EL$5:$EL$70,Ins!F18,Tim!$B$5:$B$70)</f>
        <v>0</v>
      </c>
      <c r="AS18" s="80">
        <f>SUMIF(Tim!$EM$5:$EM$70,Ins!F18,Tim!$B$5:$B$70)+SUMIF(Tim!$EN$5:$EN$70,Ins!F18,Tim!$B$5:$B$70)+SUMIF(Tim!$EO$5:$EO$70,Ins!F18,Tim!$B$5:$B$70)+SUMIF(Tim!$EP$5:$EP$70,Ins!F18,Tim!$B$5:$B$70)+SUMIF(Tim!$EQ$5:$EQ$70,Ins!F18,Tim!$B$5:$B$70)+SUMIF(Tim!$ER$5:$ER$70,Ins!F18,Tim!$B$5:$B$70)</f>
        <v>0</v>
      </c>
      <c r="AT18" s="80">
        <f>SUMIF(Tim!$ES$5:$ES$70,Ins!F18,Tim!$B$5:$B$70)+SUMIF(Tim!$ET$5:$ET$70,Ins!F18,Tim!$B$5:$B$70)+SUMIF(Tim!$EU$5:$EU$70,Ins!F18,Tim!$B$5:$B$70)</f>
        <v>0</v>
      </c>
      <c r="AU18" s="80">
        <f>SUMIF(Tim!$EV$5:$EV$70,Ins!F18,Tim!$B$5:$B$70)+SUMIF(Tim!$EW$5:$EW$70,Ins!F18,Tim!$B$5:$B$70)+SUMIF(Tim!$EX$5:$EX$70,Ins!F18,Tim!$B$5:$B$70)+SUMIF(Tim!$EY$5:$EY$70,Ins!F18,Tim!$B$5:$B$70)+SUMIF(Tim!$EZ$5:$EZ$70,Ins!F18,Tim!$B$5:$B$70)</f>
        <v>0</v>
      </c>
      <c r="AV18" s="80">
        <f>SUMIF(Tim!$FA$5:$FA$70,Ins!F18,Tim!$B$5:$B$70)+SUMIF(Tim!$FB$5:$FB$70,Ins!F18,Tim!$B$5:$B$70)+SUMIF(Tim!$FC$5:$FC$70,Ins!F18,Tim!$B$5:$B$70)</f>
        <v>0</v>
      </c>
      <c r="AW18" s="80">
        <f>SUMIF(Tim!FD$5:FD$70,Ins!F18,Tim!$B$5:$B$70)+SUMIF(Tim!FE$5:FE$70,Ins!F18,Tim!$B$5:$B$70)+SUMIF(Tim!FF$5:FF$70,Ins!F18,Tim!$B$5:$B$70)</f>
        <v>0</v>
      </c>
      <c r="AX18" s="80">
        <f>SUMIF(Tim!FG$5:FG$70,Ins!F18,Tim!$B$5:$B$70)</f>
        <v>0</v>
      </c>
      <c r="AY18" s="80">
        <f>SUMIF(Tim!$FH$5:$FH$70,Ins!F18,Tim!$D$5:$D$70)+SUMIF(Tim!$FI$5:$FI$70,Ins!F18,Tim!$D$5:$D$70)+SUMIF(Tim!$FJ$5:$FJ$70,Ins!F18,Tim!$D$5:$D$70)+SUMIF(Tim!$FK$5:$FK$70,Ins!F18,Tim!$D$5:$D$70)+SUMIF(Tim!$FL$5:$FL$70,Ins!F18,Tim!$D$5:$D$70)+SUMIF(Tim!$FM$5:$FM$70,Ins!F18,Tim!$D$5:$D$70)+SUMIF(Tim!$FN$5:$FN$70,Ins!F18,Tim!$D$5:$D$70)+SUMIF(Tim!$FO$5:$FO$70,Ins!F18,Tim!$D$5:$D$70)+SUMIF(Tim!$FP$5:$FP$70,Ins!F18,Tim!$D$5:$D$70)+SUMIF(Tim!$FQ$5:$FQ$70,Ins!F18,Tim!$D$5:$D$70)+SUMIF(Tim!$FR$5:$FR$70,Ins!F18,Tim!$D$5:$D$70)+SUMIF(Tim!$FS$5:$FS$70,Ins!F18,Tim!$D$5:$D$70)</f>
        <v>0</v>
      </c>
      <c r="AZ18" s="80">
        <f>SUMIF(Tim!FT$5:FT$70,Ins!F18,Tim!$C$5:$C$70)</f>
        <v>0</v>
      </c>
      <c r="BA18" s="80">
        <f>SUMIF(Tim!FU$5:FU$70,Ins!F18,Tim!$C$5:$C$70)</f>
        <v>0</v>
      </c>
      <c r="BB18" s="80">
        <f>SUMIF(Tim!FV$5:FV$70,Ins!F18,Tim!$C$5:$C$70)+SUMIF(Tim!FW$5:FW$70,Ins!F18,Tim!$C$5:$C$70)+SUMIF(Tim!FX$5:FX$70,Ins!F18,Tim!$C$5:$C$70)</f>
        <v>0</v>
      </c>
      <c r="BC18" s="81">
        <f>SUMIF(Tim!$FY$5:$FY$70,Ins!F18,Tim!$C$5:$C$70)+SUMIF(Tim!$FZ$5:$FZ$70,Ins!F18,Tim!$C$5:$C$70)+SUMIF(Tim!$GA$5:$GA$70,Ins!F18,Tim!$C$5:$C$70)+SUMIF(Tim!$GB$5:$GB$70,Ins!F18,Tim!$C$5:$C$70)+SUMIF(Tim!$GC$5:$GC$70,Ins!F18,Tim!$C$5:$C$70)</f>
        <v>0</v>
      </c>
      <c r="BD18" s="79">
        <f>SUMIF(Tim!$GD$5:$GD$70,Ins!F18,Tim!$B$5:$B$70)</f>
        <v>0</v>
      </c>
      <c r="BE18" s="80">
        <f>SUMIF(Tim!$GE$5:$GE$70,Ins!F18,Tim!$B$5:$B$70)+SUMIF(Tim!$GF$5:$GF$70,Ins!F18,Tim!$B$5:$B$70)+SUMIF(Tim!$GG$5:$GG$70,Ins!F18,Tim!$B$5:$B$70)+SUMIF(Tim!$GH$5:$GH$70,Ins!F18,Tim!$B$5:$B$70)+SUMIF(Tim!$GI$5:$GI$70,Ins!F18,Tim!$B$5:$B$70)+SUMIF(Tim!$GJ$5:$GJ$70,Ins!F18,Tim!$B$5:$B$70)</f>
        <v>0</v>
      </c>
      <c r="BF18" s="80">
        <f>SUMIF(Tim!$GK$5:$GK$70,Ins!F18,Tim!$B$5:$B$70)+SUMIF(Tim!$GL$5:$GL$70,Ins!F18,Tim!$B$5:$B$70)+SUMIF(Tim!$GM$5:$GM$70,Ins!F18,Tim!$B$5:$B$70)</f>
        <v>0</v>
      </c>
      <c r="BG18" s="80">
        <f>SUMIF(Tim!$GN$5:$GN$70,Ins!F18,Tim!$B$5:$B$70)+SUMIF(Tim!$GO$5:$GO$70,Ins!F18,Tim!$B$5:$B$70)+SUMIF(Tim!$GP$5:$GP$70,Ins!F18,Tim!$B$5:$B$70)+SUMIF(Tim!$GQ$5:$GQ$70,Ins!F18,Tim!$B$5:$B$70)+SUMIF(Tim!$GR$5:$GR$70,Ins!F18,Tim!$B$5:$B$70)</f>
        <v>0</v>
      </c>
      <c r="BH18" s="80">
        <f>SUMIF(Tim!$GS$5:$GS$70,Ins!F18,Tim!$B$5:$B$70)+SUMIF(Tim!$GT$5:$GT$70,Ins!F18,Tim!$B$5:$B$70)+SUMIF(Tim!$GU$5:$GU$70,Ins!F18,Tim!$B$5:$B$70)</f>
        <v>0</v>
      </c>
      <c r="BI18" s="80">
        <f>SUMIF(Tim!GV$5:GV$70,Ins!F18,Tim!$B$5:$B$70)+SUMIF(Tim!GW$5:GW$70,Ins!F18,Tim!$B$5:$B$70)+SUMIF(Tim!GX$5:GX$70,Ins!F18,Tim!$B$5:$B$70)</f>
        <v>0</v>
      </c>
      <c r="BJ18" s="80">
        <f>SUMIF(Tim!GY$5:GY$70,Ins!F18,Tim!$B$5:$B$70)</f>
        <v>0</v>
      </c>
      <c r="BK18" s="80">
        <f>SUMIF(Tim!$GZ$5:$GZ$70,Ins!F18,Tim!$D$5:$D$70)+SUMIF(Tim!$HA$5:$HA$70,Ins!F18,Tim!$D$5:$D$70)+SUMIF(Tim!$HB$5:$HB$70,Ins!F18,Tim!$D$5:$D$70)++SUMIF(Tim!$HC$5:$HC$70,Ins!F18,Tim!$D$5:$D$70)+SUMIF(Tim!$HD$5:$HD$70,Ins!F18,Tim!$D$5:$D$70)+SUMIF(Tim!$HE$5:$HE$70,Ins!F18,Tim!$D$5:$D$70)+SUMIF(Tim!$HF$5:$HF$70,Ins!F18,Tim!$D$5:$D$70)+SUMIF(Tim!$HG$5:$HG$70,Ins!F18,Tim!$D$5:$D$70)+SUMIF(Tim!$HH$5:$HH$70,Ins!F18,Tim!$D$5:$D$70)+SUMIF(Tim!$HI$5:$HI$70,Ins!F18,Tim!$D$5:$D$70)+SUMIF(Tim!$HJ$5:$HJ$70,Ins!F18,Tim!$D$5:$D$70)+SUMIF(Tim!$HK$5:$HK$70,Ins!F18,Tim!$D$5:$D$70)</f>
        <v>0</v>
      </c>
      <c r="BL18" s="80">
        <f>SUMIF(Tim!HL$5:HL$70,Ins!F18,Tim!$C$5:$C$70)</f>
        <v>0</v>
      </c>
      <c r="BM18" s="80">
        <f>SUMIF(Tim!HM$5:HM$70,Ins!F18,Tim!$C$5:$C$70)</f>
        <v>0</v>
      </c>
      <c r="BN18" s="80">
        <f>SUMIF(Tim!HN$5:HN$70,Ins!F18,Tim!$C$5:$C$70)+SUMIF(Tim!HO$5:HO$70,Ins!F18,Tim!$C$5:$C$70)+SUMIF(Tim!HP$5:HP$70,Ins!F18,Tim!$C$5:$C$70)</f>
        <v>0</v>
      </c>
      <c r="BO18" s="81">
        <f>SUMIF(Tim!$HQ$5:$HQ$70,Ins!F18,Tim!$C$5:$C$70)+SUMIF(Tim!$HR$5:$HR$70,Ins!F18,Tim!$C$5:$C$70)+SUMIF(Tim!$HS$5:$HS$70,Ins!F18,Tim!$C$5:$C$70)+SUMIF(Tim!$HT$5:$HT$70,Ins!F18,Tim!$C$5:$C$70)+SUMIF(Tim!$HU$5:$HU$70,Ins!F18,Tim!$C$5:$C$70)</f>
        <v>0</v>
      </c>
      <c r="BP18" s="79">
        <f>SUMIF(Tim!$HV$7:$HV$70,Ins!F18,Tim!$B$7:$B$70)</f>
        <v>0</v>
      </c>
      <c r="BQ18" s="80">
        <f>SUMIF(Tim!$HW$7:$HW$70,Ins!F18,Tim!$B$7:$B$70)+SUMIF(Tim!$HX$7:$HX$70,Ins!F18,Tim!$B$7:$B$70)+SUMIF(Tim!$HY$7:$HY$70,Ins!F18,Tim!$B$7:$B$70)+SUMIF(Tim!$HZ$7:$HZ$70,Ins!F18,Tim!$B$7:$B$70)+SUMIF(Tim!$IA$7:$IA$70,Ins!F18,Tim!$B$7:$B$70)+SUMIF(Tim!$IB$7:$IB$70,Ins!F18,Tim!$B$7:$B$70)</f>
        <v>0</v>
      </c>
      <c r="BR18" s="80">
        <f>SUMIF(Tim!$IC$7:$IC$70,Ins!F18,Tim!$B$7:$B$70)+SUMIF(Tim!$ID$7:$ID$70,Ins!F18,Tim!$B$7:$B$70)+SUMIF(Tim!$IE$7:$IE$70,Ins!F18,Tim!$B$7:$B$70)</f>
        <v>0</v>
      </c>
      <c r="BS18" s="80">
        <f>SUMIF(Tim!$IF$7:$IF$70,Ins!F18,Tim!$B$7:$B$70)+SUMIF(Tim!$IG$7:$IG$70,Ins!F18,Tim!$B$7:$B$70)+SUMIF(Tim!$IH$7:$IH$70,Ins!F18,Tim!$B$7:$B$70)+SUMIF(Tim!$II$7:$II$70,Ins!F18,Tim!$B$7:$B$70)+SUMIF(Tim!$IJ$7:$IJ$70,Ins!F18,Tim!$B$7:$B$70)</f>
        <v>0</v>
      </c>
      <c r="BT18" s="80">
        <f>SUMIF(Tim!$IK$7:$IK$70,Ins!F18,Tim!$B$7:$B$70)+SUMIF(Tim!$IL$7:$IL$70,Ins!F18,Tim!$B$7:$B$70)+SUMIF(Tim!$IM$7:$IM$70,Ins!F18,Tim!$B$7:$B$70)</f>
        <v>0</v>
      </c>
      <c r="BU18" s="80">
        <f>SUMIF(Tim!$IN$7:$IN$70,Ins!F18,Tim!$B$7:$B$70)+SUMIF(Tim!$IO$7:$IO$70,Ins!F18,Tim!$B$7:$B$70)+SUMIF(Tim!$IP$7:$IP$70,Ins!F18,Tim!$B$7:$B$70)</f>
        <v>0</v>
      </c>
      <c r="BV18" s="80">
        <f>SUMIF(Tim!$IQ$7:$IQ$70,Ins!F18,Tim!$B$7:$B$70)</f>
        <v>0</v>
      </c>
      <c r="BW18" s="80">
        <f>SUMIF(Tim!$IR$7:$IR$70,Ins!F18,Tim!$D$7:$D$70)+SUMIF(Tim!$IS$7:$IS$70,Ins!F18,Tim!$D$7:$D$70)+SUMIF(Tim!$IT$7:$IT$70,Ins!F18,Tim!$D$7:$D$70)+SUMIF(Tim!$IU$7:$IU$70,Ins!F18,Tim!$D$7:$D$70)+SUMIF(Tim!$IV$7:$IV$70,Ins!F18,Tim!$D$7:$D$70)+SUMIF(Tim!$IW$7:$IW$70,Ins!F18,Tim!$D$7:$D$70)+SUMIF(Tim!$IX$7:$IX$70,Ins!F18,Tim!$D$7:$D$70)+SUMIF(Tim!$IY$7:$IY$70,Ins!F18,Tim!$D$7:$D$70)+SUMIF(Tim!$IZ$7:$IZ$70,Ins!F18,Tim!$D$7:$D$70)+SUMIF(Tim!$JA$7:$JA$70,Ins!F18,Tim!$D$7:$D$70)+SUMIF(Tim!$JB$7:$JB$70,Ins!F18,Tim!$D$7:$D$70)+SUMIF(Tim!$JC$7:$JC$70,Ins!F18,Tim!$D$7:$D$70)</f>
        <v>0</v>
      </c>
      <c r="BX18" s="80">
        <f>SUMIF(Tim!JD$7:JD$70,Ins!F18,Tim!$C$7:$C$70)</f>
        <v>0</v>
      </c>
      <c r="BY18" s="80">
        <f>SUMIF(Tim!JE$7:JE$70,Ins!F18,Tim!$C$7:$C$70)</f>
        <v>0</v>
      </c>
      <c r="BZ18" s="80">
        <f>SUMIF(Tim!JF$7:JF$70,Ins!F18,Tim!$C$7:$C$70)+SUMIF(Tim!JG$7:JG$70,Ins!F18,Tim!$C$7:$C$70)+SUMIF(Tim!JH$7:JH$70,Ins!F18,Tim!$C$7:$C$70)</f>
        <v>0</v>
      </c>
      <c r="CA18" s="81">
        <f>SUMIF(Tim!$JI$7:$JI$70,Ins!F18,Tim!$C$7:$C$70)++SUMIF(Tim!$JJ$7:$JJ$70,Ins!F18,Tim!$C$7:$C$70)+SUMIF(Tim!$JK$7:$JK$70,Ins!F18,Tim!$C$7:$C$70)+SUMIF(Tim!$JL$7:$JL$70,Ins!F18,Tim!$C$7:$C$70)+SUMIF(Tim!$JM$7:$JM$70,Ins!F18,Tim!$C$7:$C$70)</f>
        <v>0</v>
      </c>
      <c r="CB18" s="79">
        <f>SUMIF(Tim!$JN$7:$JN$70,Ins!F18,Tim!$B$7:$B$70)</f>
        <v>0</v>
      </c>
      <c r="CC18" s="80">
        <f>SUMIF(Tim!$JO$7:$JO$70,Ins!F18,Tim!$B$7:$B$70)+SUMIF(Tim!$JP$7:$JP$70,Ins!F18,Tim!$B$7:$B$70)+SUMIF(Tim!$JQ$7:$JQ$70,Ins!F18,Tim!$B$7:$B$70)+SUMIF(Tim!$JR$7:$JR$70,Ins!F18,Tim!$B$7:$B$70)+SUMIF(Tim!$JS$7:$JS$70,Ins!F18,Tim!$B$7:$B$70)+SUMIF(Tim!$JT$7:$JT$70,Ins!F18,Tim!$B$7:$B$70)</f>
        <v>0</v>
      </c>
      <c r="CD18" s="80">
        <f>SUMIF(Tim!$JW$7:$JW$70,Ins!F18,Tim!$B$7:$B$70)+SUMIF(Tim!$JU$7:$JU$70,Ins!F18,Tim!$B$7:$B$70)+SUMIF(Tim!$JV$7:$JV$70,Ins!F18,Tim!$B$7:$B$70)</f>
        <v>0</v>
      </c>
      <c r="CE18" s="80">
        <f>SUMIF(Tim!$JX$7:$JX$70,Ins!F18,Tim!$B$7:$B$70)+SUMIF(Tim!$JY$7:$JY$70,Ins!F18,Tim!$B$7:$B$70)+SUMIF(Tim!$JZ$7:$JZ$70,Ins!F18,Tim!$B$7:$B$70)+SUMIF(Tim!$KA$7:$KA$70,Ins!F18,Tim!$B$7:$B$70)+SUMIF(Tim!$KB$7:$KB$70,Ins!F18,Tim!$B$7:$B$70)</f>
        <v>0</v>
      </c>
      <c r="CF18" s="80">
        <f>SUMIF(Tim!$KE$7:$KE$70,Ins!F18,Tim!$B$7:$B$70)+SUMIF(Tim!$KC$7:$KC$70,Ins!F18,Tim!$B$7:$B$70)+SUMIF(Tim!$KD$7:$KD$70,Ins!F18,Tim!$B$7:$B$70)</f>
        <v>0</v>
      </c>
      <c r="CG18" s="80">
        <f>SUMIF(Tim!$KF$7:$KF$70,Ins!F18,Tim!$B$7:$B$70)+SUMIF(Tim!$KG$7:$KG$70,Ins!F18,Tim!$B$7:$B$70)+SUMIF(Tim!$KH$7:$KH$70,Ins!F18,Tim!$B$7:$B$70)</f>
        <v>0</v>
      </c>
      <c r="CH18" s="80">
        <f>SUMIF(Tim!$KI$7:$KI$70,Ins!F18,Tim!$B$7:$B$70)</f>
        <v>0</v>
      </c>
      <c r="CI18" s="80">
        <f>SUMIF(Tim!$KJ$7:$KJ$70,Ins!F18,Tim!$D$7:$D$70)+SUMIF(Tim!$KK$7:$KK$70,Ins!F18,Tim!$D$7:$D$70)+SUMIF(Tim!$KL$7:$KL$70,Ins!F18,Tim!$D$7:$D$70)+SUMIF(Tim!$KM$7:$KM$70,Ins!F18,Tim!$D$7:$D$70)+SUMIF(Tim!$KN$7:$KN$70,Ins!F18,Tim!$D$7:$D$70)+SUMIF(Tim!$KO$7:$KO$70,Ins!F18,Tim!$D$7:$D$70)+SUMIF(Tim!$KP$7:$KP$70,Ins!F18,Tim!$D$7:$D$70)+SUMIF(Tim!$KQ$7:$KQ$70,Ins!F18,Tim!$D$7:$D$70)+SUMIF(Tim!$KR$7:$KR$70,Ins!F18,Tim!$D$7:$D$70)+SUMIF(Tim!$KS$7:$KS$70,Ins!F18,Tim!$D$7:$D$70)+SUMIF(Tim!$KT$7:$KT$70,Ins!F18,Tim!$D$7:$D$70)+SUMIF(Tim!$KU$7:$KU$70,Ins!F18,Tim!$D$7:$D$70)</f>
        <v>0</v>
      </c>
      <c r="CJ18" s="80">
        <f>SUMIF(Tim!KV$7:KV$70,Ins!F18,Tim!$C$7:$C$70)</f>
        <v>0</v>
      </c>
      <c r="CK18" s="80">
        <f>SUMIF(Tim!KW$7:KW$70,Ins!F18,Tim!$C$7:$C$70)</f>
        <v>0</v>
      </c>
      <c r="CL18" s="80">
        <f>SUMIF(Tim!KX$7:KX$70,Ins!F18,Tim!$C$7:$C$70)+SUMIF(Tim!KY$7:KY$70,Ins!F18,Tim!$C$7:$C$70)+SUMIF(Tim!KZ$7:KZ$70,Ins!F18,Tim!$C$7:$C$70)</f>
        <v>0</v>
      </c>
      <c r="CM18" s="81">
        <f>SUMIF(Tim!$LA$7:$LA$70,Ins!F18,Tim!$C$7:$C$70)+SUMIF(Tim!$LB$7:$LB$70,Ins!F18,Tim!$C$7:$C$70)+SUMIF(Tim!$LC$7:$LC$70,Ins!F18,Tim!$C$7:$C$70)+SUMIF(Tim!$LD$7:$LD$70,Ins!F18,Tim!$C$7:$C$70)+SUMIF(Tim!$LE$7:$LE$70,Ins!F18,Tim!$C$7:$C$70)</f>
        <v>0</v>
      </c>
      <c r="CN18" s="22"/>
      <c r="CO18" s="180">
        <f t="shared" ref="CO18:CO55" si="158">H18+T18+AF18+AR18+BD18+BP18+CB18</f>
        <v>0</v>
      </c>
      <c r="CP18" s="179">
        <f t="shared" ref="CP18:CP56" si="159">I18+U18+AG18+AS18+BE18+BQ18+CC18</f>
        <v>0</v>
      </c>
      <c r="CQ18" s="179">
        <f t="shared" ref="CQ18:CQ56" si="160">J18+V18+AH18+AT18+BF18+BR18+CD18</f>
        <v>0</v>
      </c>
      <c r="CR18" s="179">
        <f t="shared" ref="CR18:CR56" si="161">K18+W18+AI18+AU18+BG18+BS18+CE18</f>
        <v>0</v>
      </c>
      <c r="CS18" s="179">
        <f t="shared" ref="CS18:CS56" si="162">L18+X18+AJ18+AV18+BH18+BT18+CF18</f>
        <v>0</v>
      </c>
      <c r="CT18" s="179">
        <f t="shared" ref="CT18:CT56" si="163">M18+Y18+AK18+AW18+BI18+BU18+CG18</f>
        <v>0</v>
      </c>
      <c r="CU18" s="179">
        <f t="shared" ref="CU18:CU56" si="164">N18+Z18+AL18+AX18+BJ18+BV18+CH18</f>
        <v>0</v>
      </c>
      <c r="CV18" s="179">
        <f t="shared" ref="CV18:CV56" si="165">O18+AA18+AM18+AY18+BK18+BW18+CI18</f>
        <v>0</v>
      </c>
      <c r="CW18" s="179">
        <f t="shared" ref="CW18:CW56" si="166">P18+AB18+AN18+AZ18+BL18+BX18+CJ18</f>
        <v>0</v>
      </c>
      <c r="CX18" s="179">
        <f t="shared" ref="CX18:CX56" si="167">Q18+AC18+AO18+BA18+BM18+BY18+CK18</f>
        <v>0</v>
      </c>
      <c r="CY18" s="179">
        <f t="shared" ref="CY18:CY19" si="168">R18+AD18+AP18+BB18+BN18+BZ18+CL18</f>
        <v>0</v>
      </c>
      <c r="CZ18" s="179">
        <f t="shared" ref="CZ18:CZ19" si="169">S18+AE18+AQ18+BC18+BO18+CA18+CM18</f>
        <v>0</v>
      </c>
      <c r="DA18" s="78">
        <f t="shared" si="157"/>
        <v>0</v>
      </c>
      <c r="DB18" s="16"/>
      <c r="DC18" s="34">
        <f t="shared" ref="DC18:DC55" si="170">SUM(H18:S18)</f>
        <v>0</v>
      </c>
      <c r="DD18" s="34">
        <f t="shared" si="15"/>
        <v>0</v>
      </c>
      <c r="DE18" s="34">
        <f t="shared" si="16"/>
        <v>0</v>
      </c>
      <c r="DF18" s="34">
        <f t="shared" si="20"/>
        <v>0</v>
      </c>
      <c r="DG18" s="34">
        <f t="shared" si="17"/>
        <v>0</v>
      </c>
      <c r="DH18" s="34">
        <f t="shared" si="18"/>
        <v>0</v>
      </c>
      <c r="DI18" s="34">
        <f t="shared" si="19"/>
        <v>0</v>
      </c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7"/>
    </row>
    <row r="19" spans="1:125" ht="12" customHeight="1">
      <c r="A19" s="10">
        <v>17</v>
      </c>
      <c r="B19" s="229" t="s">
        <v>396</v>
      </c>
      <c r="C19" s="185"/>
      <c r="D19" s="230"/>
      <c r="E19" s="230" t="s">
        <v>373</v>
      </c>
      <c r="F19" s="185" t="s">
        <v>377</v>
      </c>
      <c r="G19" s="231" t="s">
        <v>191</v>
      </c>
      <c r="H19" s="79">
        <f>SUMIF(Tim!$F$7:$F$70,Ins!F19,Tim!$B$7:$B$70)</f>
        <v>0</v>
      </c>
      <c r="I19" s="80">
        <f>SUMIF(Tim!$G$7:$G$70,Ins!F19,Tim!$B$7:$B$70)+SUMIF(Tim!$H$7:$H$70,Ins!F19,Tim!$B$7:$B$70)+SUMIF(Tim!$I$7:$I$70,Ins!F19,Tim!$B$7:$B$70)+SUMIF(Tim!$J$7:$J$70,Ins!F19,Tim!$B$7:$B$70)+SUMIF(Tim!$K$7:$K$70,Ins!F19,Tim!$B$7:$B$70)+SUMIF(Tim!$L$7:$L$70,Ins!F19,Tim!$B$7:$B$70)</f>
        <v>0</v>
      </c>
      <c r="J19" s="80">
        <f>SUMIF(Tim!$M$7:$M$70,Ins!F19,Tim!$B$7:$B$70)+SUMIF(Tim!$O$7:$O$70,Ins!F19,Tim!$B$7:$B$70)+SUMIF(Tim!$N$7:$N$70,Ins!F19,Tim!$B$7:$B$70)</f>
        <v>0</v>
      </c>
      <c r="K19" s="80">
        <f>SUMIF(Tim!$P$7:$P$70,Ins!F19,Tim!$B$7:$B$70)+SUMIF(Tim!$Q$7:$Q$70,Ins!F19,Tim!$B$7:$B$70)+SUMIF(Tim!$R$7:$R$70,Ins!F19,Tim!$B$7:$B$70)+SUMIF(Tim!$S$7:$S$70,Ins!F19,Tim!$B$7:$B$70)+SUMIF(Tim!$T$7:$T$70,Ins!F19,Tim!$B$7:$B$70)</f>
        <v>0</v>
      </c>
      <c r="L19" s="80">
        <f>SUMIF(Tim!$U$7:$U$70,Ins!F19,Tim!$B$7:$B$70)+SUMIF(Tim!$W$7:$W$70,Ins!F19,Tim!$B$7:$B$70)+SUMIF(Tim!$X$7:$X$70,Ins!F19,Tim!$B$7:$B$70)</f>
        <v>0</v>
      </c>
      <c r="M19" s="80">
        <f>SUMIF(Tim!$Y$7:$Y$70,Ins!F19,Tim!$B$7:$B$70)+SUMIF(Tim!$Z$7:$Z$70,Ins!F19,Tim!$B$7:$B$70)+SUMIF(Tim!$AA$7:$AA$70,Ins!F19,Tim!$B$7:$B$70)</f>
        <v>0</v>
      </c>
      <c r="N19" s="80">
        <f>SUMIF(Tim!$AB$7:$AB$70,Ins!F19,Tim!$B$7:$B$70)</f>
        <v>0</v>
      </c>
      <c r="O19" s="80">
        <f>SUMIF(Tim!$AC$7:$AC$70,Ins!F19,Tim!$D$7:$D$70)+SUMIF(Tim!$AD$7:$AD$70,Ins!F19,Tim!$D$7:$D$70)+SUMIF(Tim!$AE$7:$AE$70,Ins!F19,Tim!$D$7:$D$70)+SUMIF(Tim!$AF$7:$AF$70,Ins!F19,Tim!$D$7:$D$70)+SUMIF(Tim!$AG$7:$AG$70,Ins!F19,Tim!$D$7:$D$70)+SUMIF(Tim!$AH$7:$AH$70,Ins!F19,Tim!$D$7:$D$70)+SUMIF(Tim!$AI$7:$AI$70,Ins!F19,Tim!$D$7:$D$70)+SUMIF(Tim!$AJ$7:$AJ$70,Ins!F19,Tim!$D$7:$D$70)+SUMIF(Tim!$AK$7:$AK$70,Ins!F19,Tim!$D$7:$D$70)+SUMIF(Tim!$AL$7:$AL$70,Ins!F19,Tim!$D$7:$D$70)+SUMIF(Tim!$AM$7:$AM$70,Ins!F19,Tim!$D$7:$D$70)+SUMIF(Tim!$AN$7:$AN$70,Ins!F19,Tim!$D$7:$D$70)</f>
        <v>0</v>
      </c>
      <c r="P19" s="80">
        <f>SUMIF(Tim!AO$7:AO$70,Ins!F19,Tim!$C$7:$C$70)</f>
        <v>0</v>
      </c>
      <c r="Q19" s="80">
        <f>SUMIF(Tim!AP$7:AP$70,Ins!F19,Tim!$C$7:$C$70)</f>
        <v>0</v>
      </c>
      <c r="R19" s="80">
        <f>SUMIF(Tim!AQ$7:AQ$70,Ins!F19,Tim!$C$7:$C$70)+SUMIF(Tim!AR$7:AR$70,Ins!F19,Tim!$C$7:$C$70)+SUMIF(Tim!AS$7:AS$70,Ins!F19,Tim!$C$7:$C$70)</f>
        <v>0</v>
      </c>
      <c r="S19" s="236">
        <f>SUMIF(Tim!$AT$7:$AT$70,Ins!F19,Tim!$C$7:$C$70)+SUMIF(Tim!$AU$7:$AU$70,Ins!F19,Tim!$C$7:$C79)+SUMIF(Tim!$AV$7:$AV$70,Ins!F19,Tim!$C$7:$C$70)+SUMIF(Tim!$AW$7:$AW$70,Ins!F19,Tim!$C$7:$C$70)+SUMIF(Tim!$AX$7:$AX$70,Ins!F19,Tim!$C$7:$C$70)</f>
        <v>0</v>
      </c>
      <c r="T19" s="79">
        <f>SUMIF(Tim!$AY$7:$AY$70,Ins!F19,Tim!$B$7:$B$70)</f>
        <v>0</v>
      </c>
      <c r="U19" s="80">
        <f>SUMIF(Tim!$AZ$7:$AZ$70,Ins!F19,Tim!$B$7:$B$70)+SUMIF(Tim!$BA$7:$BA$70,Ins!F19,Tim!$B$7:$B$70)+SUMIF(Tim!$BB$7:$BB$70,Ins!F19,Tim!$B$7:$B$70)+SUMIF(Tim!$BC$7:$BC$70,Ins!F19,Tim!$B$7:$B$70)+SUMIF(Tim!$BD$7:$BD$70,Ins!F19,Tim!$B$7:$B$70)+SUMIF(Tim!$BE$7:$BE$70,Ins!F19,Tim!$B$7:$B$70)</f>
        <v>0</v>
      </c>
      <c r="V19" s="80">
        <f>SUMIF(Tim!$BF$7:$BF$70,Ins!F19,Tim!$B$7:$B$70)+SUMIF(Tim!$BG$7:$BG$70,Ins!F19,Tim!$B$7:$B$70)+SUMIF(Tim!$BH$7:$BH$70,Ins!F19,Tim!$B$7:$B$70)</f>
        <v>0</v>
      </c>
      <c r="W19" s="80">
        <f>SUMIF(Tim!$BI$7:$BI$70,Ins!F19,Tim!$B$7:$B$70)+SUMIF(Tim!$BJ$7:$BJ$70,Ins!F19,Tim!$B$7:$B$70)+SUMIF(Tim!$BK$7:$BK$70,Ins!F19,Tim!$B$7:$B$70)+SUMIF(Tim!$BL$7:$BL$70,Ins!F19,Tim!$B$7:$B$70)+SUMIF(Tim!$BM$7:$BM$70,Ins!F19,Tim!$B$7:$B$70)</f>
        <v>0</v>
      </c>
      <c r="X19" s="80">
        <f>SUMIF(Tim!$BN$7:$BN$70,Ins!F19,Tim!$B$7:$B$70)+SUMIF(Tim!$BO$7:$BO$70,Ins!F19,Tim!$B$7:$B$70)+SUMIF(Tim!$BP$7:$BP$70,Ins!F19,Tim!$B$7:$B$70)</f>
        <v>0</v>
      </c>
      <c r="Y19" s="80">
        <f>SUMIF(Tim!$BQ$7:$BQ$70,Ins!F19,Tim!$B$7:$B$70)+SUMIF(Tim!$BR$7:$BR$70,Ins!F19,Tim!$B$7:$B$70)+SUMIF(Tim!$BS$7:$BS$70,Ins!F19,Tim!$B$7:$B$70)</f>
        <v>0</v>
      </c>
      <c r="Z19" s="80">
        <f>SUMIF(Tim!BT$7:BT$70,Ins!F19,Tim!$B$7:$B$70)</f>
        <v>0</v>
      </c>
      <c r="AA19" s="80">
        <f>SUMIF(Tim!$BU$7:$BU$70,Ins!F19,Tim!$D$7:$D$70)+SUMIF(Tim!$BV$7:$BV$70,Ins!F19,Tim!$D$7:$D$70)+SUMIF(Tim!$BW$7:$BW$70,Ins!F19,Tim!$D$7:$D$70)+SUMIF(Tim!$BX$7:$BX$70,Ins!F19,Tim!$D$7:$D$70)+SUMIF(Tim!$BY$7:$BY$70,Ins!F19,Tim!$D$7:$D$70)+SUMIF(Tim!$BZ$7:$BZ$70,Ins!F19,Tim!$D$7:$D$70)+SUMIF(Tim!$CA$7:$CA$70,Ins!F19,Tim!$D$7:$D$70)+SUMIF(Tim!$CB$7:$CB$70,Ins!F19,Tim!$D$7:$D$70)+SUMIF(Tim!$CC$7:$CC$70,Ins!F19,Tim!$D$7:$D$70)+SUMIF(Tim!$CD$7:$CD$70,Ins!F19,Tim!$D$7:$D$70)+SUMIF(Tim!$CE$7:$CE$70,Ins!F19,Tim!$D$7:$D$70)+SUMIF(Tim!$CF$7:$CF$70,Ins!F19,Tim!$D$7:$D$70)</f>
        <v>0</v>
      </c>
      <c r="AB19" s="80">
        <f>SUMIF(Tim!CG$7:CG$70,Ins!F19,Tim!$C$7:$C$70)</f>
        <v>0</v>
      </c>
      <c r="AC19" s="80">
        <f>SUMIF(Tim!CH$7:CH$70,Ins!F19,Tim!$C$7:$C$70)</f>
        <v>0</v>
      </c>
      <c r="AD19" s="80">
        <f>SUMIF(Tim!CI$7:CI$70,Ins!F19,Tim!$C$7:$C$70)+SUMIF(Tim!CJ$7:CJ$70,Ins!F19,Tim!$C$7:$C$70)+SUMIF(Tim!CK$7:CK$70,Ins!F19,Tim!$C$7:$C$70)</f>
        <v>0</v>
      </c>
      <c r="AE19" s="81">
        <f>SUMIF(Tim!$CL$7:$CL$70,Ins!F19,Tim!$C$7:$C$70)+SUMIF(Tim!$CM$7:$CM$70,Ins!F19,Tim!$C$7:$C$70)+SUMIF(Tim!$CN$7:$CN$70,Ins!F19,Tim!$C$7:$C$70)+SUMIF(Tim!$CO$7:$CO$70,Ins!F19,Tim!$C$7:$C$70)+SUMIF(Tim!$CP$7:$CP$70,Ins!F19,Tim!$C$7:$C$70)</f>
        <v>0</v>
      </c>
      <c r="AF19" s="79">
        <f>SUMIF(Tim!$CQ$7:$CQ$70,Ins!F19,Tim!$B$7:$B$70)</f>
        <v>0</v>
      </c>
      <c r="AG19" s="80">
        <f>SUMIF(Tim!$CR$7:$CR$70,Ins!F19,Tim!$B$7:$B$70)+SUMIF(Tim!$CS$7:$CS$70,Ins!F19,Tim!$B$7:$B$70)+SUMIF(Tim!$CT$7:$CT$70,Ins!F19,Tim!$B$7:$B$70)+SUMIF(Tim!$CU$7:$CU$70,Ins!F19,Tim!$B$7:$B$70)+SUMIF(Tim!$CV$7:$CV$70,Ins!F19,Tim!$B$7:$B$70)+SUMIF(Tim!$CW$7:$CW$70,Ins!F19,Tim!$B$7:$B$70)</f>
        <v>0</v>
      </c>
      <c r="AH19" s="80">
        <f>SUMIF(Tim!$CX$7:$CX$70,Ins!F19,Tim!$B$7:$B$70)+SUMIF(Tim!$CY$7:$CY$70,Ins!F19,Tim!$B$7:$B$70)+SUMIF(Tim!$CZ$7:$CZ$70,Ins!F19,Tim!$B$7:$B$70)</f>
        <v>0</v>
      </c>
      <c r="AI19" s="80">
        <f>SUMIF(Tim!$DA$7:$DA$70,Ins!F19,Tim!$B$7:$B$70)+SUMIF(Tim!$DB$7:$DB$70,Ins!F19,Tim!$B$7:$B$70)+SUMIF(Tim!$DC$7:$DC$70,Ins!F19,Tim!$B$7:$B$70)+SUMIF(Tim!$DD$7:$DD$70,Ins!F19,Tim!$B$7:$B$70)+SUMIF(Tim!$DE$7:$DE$70,Ins!F19,Tim!$B$7:$B$70)</f>
        <v>0</v>
      </c>
      <c r="AJ19" s="80">
        <f>SUMIF(Tim!$DF$7:$DF$70,Ins!F19,Tim!$B$7:$B$70)+SUMIF(Tim!$DG$7:$DG$70,Ins!F19,Tim!$B$7:$B$70)+SUMIF(Tim!$DH$7:$DH$70,Ins!F19,Tim!$B$7:$B$70)</f>
        <v>0</v>
      </c>
      <c r="AK19" s="80">
        <f>SUMIF(Tim!DI$7:DI$70,Ins!F19,Tim!$B$7:$B$70)+SUMIF(Tim!DM$7:DM$70,Ins!F19,Tim!$B$7:$B$70)+SUMIF(Tim!DN$7:DN$70,Ins!F19,Tim!$B$7:$B$70)</f>
        <v>0</v>
      </c>
      <c r="AL19" s="80">
        <f>SUMIF(Tim!DO$7:DO$70,Ins!F19,Tim!$B$7:$B$70)</f>
        <v>0</v>
      </c>
      <c r="AM19" s="80">
        <f>SUMIF(Tim!$DP$7:$DP$70,Ins!F19,Tim!$D$7:$D$70)+SUMIF(Tim!$DQ$7:$DQ$70,Ins!F19,Tim!$D$7:$D$70)+SUMIF(Tim!$DR$7:$DR$70,Ins!F19,Tim!$D$7:$D$70)+SUMIF(Tim!$DS$7:$DS$70,Ins!F19,Tim!$D$7:$D$70)+SUMIF(Tim!$DT$7:$DT$70,Ins!F19,Tim!$D$7:$D$70)+SUMIF(Tim!$DU$7:$DU$70,Ins!F19,Tim!$D$7:$D$70)+SUMIF(Tim!$DV$7:$DV$70,Ins!F19,Tim!$D$7:$D$70)+SUMIF(Tim!$DW$7:$DW$70,Ins!F19,Tim!$D$7:$D$70)+SUMIF(Tim!$DX$7:$DX$70,Ins!F19,Tim!$D$7:$D$70)+SUMIF(Tim!$DY$7:$DY$70,Ins!F19,Tim!$D$7:$D$70)+SUMIF(Tim!$DZ$7:$DZ$70,Ins!F19,Tim!$D$7:$D$70)+SUMIF(Tim!$EA$7:$EA$70,Ins!F19,Tim!$D$7:$D$70)</f>
        <v>0</v>
      </c>
      <c r="AN19" s="80">
        <f>SUMIF(Tim!EB$7:EB$70,Ins!F19,Tim!$C$7:$C$70)</f>
        <v>0</v>
      </c>
      <c r="AO19" s="80">
        <f>SUMIF(Tim!EC$7:EC$70,Ins!F19,Tim!$C$7:$C$70)</f>
        <v>0</v>
      </c>
      <c r="AP19" s="80">
        <f>SUMIF(Tim!ED$7:ED$70,Ins!F19,Tim!$C$7:$C$70)+SUMIF(Tim!EE$7:EE$70,Ins!F19,Tim!$C$7:$C$70)+SUMIF(Tim!EF$7:EF$70,Ins!F19,Tim!$C$7:$C$70)</f>
        <v>0</v>
      </c>
      <c r="AQ19" s="81">
        <f>SUMIF(Tim!$EG$7:$EG$70,Ins!F19,Tim!$C$7:$C$70)+SUMIF(Tim!$EH$7:$EH$70,Ins!F19,Tim!$C$7:$C$70)+SUMIF(Tim!$EI$7:$EI$70,Ins!F19,Tim!$C$7:$C$70)+SUMIF(Tim!$EJ$7:$EJ$70,Ins!F19,Tim!$C$7:$C$70)+SUMIF(Tim!$EK$7:$EK$70,Ins!F19,Tim!$C$7:$C$70)</f>
        <v>1</v>
      </c>
      <c r="AR19" s="79">
        <f>SUMIF(Tim!$EL$5:$EL$70,Ins!F19,Tim!$B$5:$B$70)</f>
        <v>0</v>
      </c>
      <c r="AS19" s="80">
        <f>SUMIF(Tim!$EM$5:$EM$70,Ins!F19,Tim!$B$5:$B$70)+SUMIF(Tim!$EN$5:$EN$70,Ins!F19,Tim!$B$5:$B$70)+SUMIF(Tim!$EO$5:$EO$70,Ins!F19,Tim!$B$5:$B$70)+SUMIF(Tim!$EP$5:$EP$70,Ins!F19,Tim!$B$5:$B$70)+SUMIF(Tim!$EQ$5:$EQ$70,Ins!F19,Tim!$B$5:$B$70)+SUMIF(Tim!$ER$5:$ER$70,Ins!F19,Tim!$B$5:$B$70)</f>
        <v>0</v>
      </c>
      <c r="AT19" s="80">
        <f>SUMIF(Tim!$ES$5:$ES$70,Ins!F19,Tim!$B$5:$B$70)+SUMIF(Tim!$ET$5:$ET$70,Ins!F19,Tim!$B$5:$B$70)+SUMIF(Tim!$EU$5:$EU$70,Ins!F19,Tim!$B$5:$B$70)</f>
        <v>0</v>
      </c>
      <c r="AU19" s="80">
        <f>SUMIF(Tim!$EV$5:$EV$70,Ins!F19,Tim!$B$5:$B$70)+SUMIF(Tim!$EW$5:$EW$70,Ins!F19,Tim!$B$5:$B$70)+SUMIF(Tim!$EX$5:$EX$70,Ins!F19,Tim!$B$5:$B$70)+SUMIF(Tim!$EY$5:$EY$70,Ins!F19,Tim!$B$5:$B$70)+SUMIF(Tim!$EZ$5:$EZ$70,Ins!F19,Tim!$B$5:$B$70)</f>
        <v>0</v>
      </c>
      <c r="AV19" s="80">
        <f>SUMIF(Tim!$FA$5:$FA$70,Ins!F19,Tim!$B$5:$B$70)+SUMIF(Tim!$FB$5:$FB$70,Ins!F19,Tim!$B$5:$B$70)+SUMIF(Tim!$FC$5:$FC$70,Ins!F19,Tim!$B$5:$B$70)</f>
        <v>0</v>
      </c>
      <c r="AW19" s="80">
        <f>SUMIF(Tim!FD$5:FD$70,Ins!F19,Tim!$B$5:$B$70)+SUMIF(Tim!FE$5:FE$70,Ins!F19,Tim!$B$5:$B$70)+SUMIF(Tim!FF$5:FF$70,Ins!F19,Tim!$B$5:$B$70)</f>
        <v>0</v>
      </c>
      <c r="AX19" s="80">
        <f>SUMIF(Tim!FG$5:FG$70,Ins!F19,Tim!$B$5:$B$70)</f>
        <v>0</v>
      </c>
      <c r="AY19" s="80">
        <f>SUMIF(Tim!$FH$5:$FH$70,Ins!F19,Tim!$D$5:$D$70)+SUMIF(Tim!$FI$5:$FI$70,Ins!F19,Tim!$D$5:$D$70)+SUMIF(Tim!$FJ$5:$FJ$70,Ins!F19,Tim!$D$5:$D$70)+SUMIF(Tim!$FK$5:$FK$70,Ins!F19,Tim!$D$5:$D$70)+SUMIF(Tim!$FL$5:$FL$70,Ins!F19,Tim!$D$5:$D$70)+SUMIF(Tim!$FM$5:$FM$70,Ins!F19,Tim!$D$5:$D$70)+SUMIF(Tim!$FN$5:$FN$70,Ins!F19,Tim!$D$5:$D$70)+SUMIF(Tim!$FO$5:$FO$70,Ins!F19,Tim!$D$5:$D$70)+SUMIF(Tim!$FP$5:$FP$70,Ins!F19,Tim!$D$5:$D$70)+SUMIF(Tim!$FQ$5:$FQ$70,Ins!F19,Tim!$D$5:$D$70)+SUMIF(Tim!$FR$5:$FR$70,Ins!F19,Tim!$D$5:$D$70)+SUMIF(Tim!$FS$5:$FS$70,Ins!F19,Tim!$D$5:$D$70)</f>
        <v>0</v>
      </c>
      <c r="AZ19" s="80">
        <f>SUMIF(Tim!FT$5:FT$70,Ins!F19,Tim!$C$5:$C$70)</f>
        <v>0</v>
      </c>
      <c r="BA19" s="80">
        <f>SUMIF(Tim!FU$5:FU$70,Ins!F19,Tim!$C$5:$C$70)</f>
        <v>0</v>
      </c>
      <c r="BB19" s="80">
        <f>SUMIF(Tim!FV$5:FV$70,Ins!F19,Tim!$C$5:$C$70)+SUMIF(Tim!FW$5:FW$70,Ins!F19,Tim!$C$5:$C$70)+SUMIF(Tim!FX$5:FX$70,Ins!F19,Tim!$C$5:$C$70)</f>
        <v>0</v>
      </c>
      <c r="BC19" s="81">
        <f>SUMIF(Tim!$FY$5:$FY$70,Ins!F19,Tim!$C$5:$C$70)+SUMIF(Tim!$FZ$5:$FZ$70,Ins!F19,Tim!$C$5:$C$70)+SUMIF(Tim!$GA$5:$GA$70,Ins!F19,Tim!$C$5:$C$70)+SUMIF(Tim!$GB$5:$GB$70,Ins!F19,Tim!$C$5:$C$70)+SUMIF(Tim!$GC$5:$GC$70,Ins!F19,Tim!$C$5:$C$70)</f>
        <v>0</v>
      </c>
      <c r="BD19" s="79">
        <f>SUMIF(Tim!$GD$5:$GD$70,Ins!F19,Tim!$B$5:$B$70)</f>
        <v>0</v>
      </c>
      <c r="BE19" s="80">
        <f>SUMIF(Tim!$GE$5:$GE$70,Ins!F19,Tim!$B$5:$B$70)+SUMIF(Tim!$GF$5:$GF$70,Ins!F19,Tim!$B$5:$B$70)+SUMIF(Tim!$GG$5:$GG$70,Ins!F19,Tim!$B$5:$B$70)+SUMIF(Tim!$GH$5:$GH$70,Ins!F19,Tim!$B$5:$B$70)+SUMIF(Tim!$GI$5:$GI$70,Ins!F19,Tim!$B$5:$B$70)+SUMIF(Tim!$GJ$5:$GJ$70,Ins!F19,Tim!$B$5:$B$70)</f>
        <v>0</v>
      </c>
      <c r="BF19" s="80">
        <f>SUMIF(Tim!$GK$5:$GK$70,Ins!F19,Tim!$B$5:$B$70)+SUMIF(Tim!$GL$5:$GL$70,Ins!F19,Tim!$B$5:$B$70)+SUMIF(Tim!$GM$5:$GM$70,Ins!F19,Tim!$B$5:$B$70)</f>
        <v>0</v>
      </c>
      <c r="BG19" s="80">
        <f>SUMIF(Tim!$GN$5:$GN$70,Ins!F19,Tim!$B$5:$B$70)+SUMIF(Tim!$GO$5:$GO$70,Ins!F19,Tim!$B$5:$B$70)+SUMIF(Tim!$GP$5:$GP$70,Ins!F19,Tim!$B$5:$B$70)+SUMIF(Tim!$GQ$5:$GQ$70,Ins!F19,Tim!$B$5:$B$70)+SUMIF(Tim!$GR$5:$GR$70,Ins!F19,Tim!$B$5:$B$70)</f>
        <v>0</v>
      </c>
      <c r="BH19" s="80">
        <f>SUMIF(Tim!$GS$5:$GS$70,Ins!F19,Tim!$B$5:$B$70)+SUMIF(Tim!$GT$5:$GT$70,Ins!F19,Tim!$B$5:$B$70)+SUMIF(Tim!$GU$5:$GU$70,Ins!F19,Tim!$B$5:$B$70)</f>
        <v>0</v>
      </c>
      <c r="BI19" s="80">
        <f>SUMIF(Tim!GV$5:GV$70,Ins!F19,Tim!$B$5:$B$70)+SUMIF(Tim!GW$5:GW$70,Ins!F19,Tim!$B$5:$B$70)+SUMIF(Tim!GX$5:GX$70,Ins!F19,Tim!$B$5:$B$70)</f>
        <v>0</v>
      </c>
      <c r="BJ19" s="80">
        <f>SUMIF(Tim!GY$5:GY$70,Ins!F19,Tim!$B$5:$B$70)</f>
        <v>0</v>
      </c>
      <c r="BK19" s="80">
        <f>SUMIF(Tim!$GZ$5:$GZ$70,Ins!F19,Tim!$D$5:$D$70)+SUMIF(Tim!$HA$5:$HA$70,Ins!F19,Tim!$D$5:$D$70)+SUMIF(Tim!$HB$5:$HB$70,Ins!F19,Tim!$D$5:$D$70)++SUMIF(Tim!$HC$5:$HC$70,Ins!F19,Tim!$D$5:$D$70)+SUMIF(Tim!$HD$5:$HD$70,Ins!F19,Tim!$D$5:$D$70)+SUMIF(Tim!$HE$5:$HE$70,Ins!F19,Tim!$D$5:$D$70)+SUMIF(Tim!$HF$5:$HF$70,Ins!F19,Tim!$D$5:$D$70)+SUMIF(Tim!$HG$5:$HG$70,Ins!F19,Tim!$D$5:$D$70)+SUMIF(Tim!$HH$5:$HH$70,Ins!F19,Tim!$D$5:$D$70)+SUMIF(Tim!$HI$5:$HI$70,Ins!F19,Tim!$D$5:$D$70)+SUMIF(Tim!$HJ$5:$HJ$70,Ins!F19,Tim!$D$5:$D$70)+SUMIF(Tim!$HK$5:$HK$70,Ins!F19,Tim!$D$5:$D$70)</f>
        <v>0</v>
      </c>
      <c r="BL19" s="80">
        <f>SUMIF(Tim!HL$5:HL$70,Ins!F19,Tim!$C$5:$C$70)</f>
        <v>0</v>
      </c>
      <c r="BM19" s="80">
        <f>SUMIF(Tim!HM$5:HM$70,Ins!F19,Tim!$C$5:$C$70)</f>
        <v>0</v>
      </c>
      <c r="BN19" s="80">
        <f>SUMIF(Tim!HN$5:HN$70,Ins!F19,Tim!$C$5:$C$70)+SUMIF(Tim!HO$5:HO$70,Ins!F19,Tim!$C$5:$C$70)+SUMIF(Tim!HP$5:HP$70,Ins!F19,Tim!$C$5:$C$70)</f>
        <v>0</v>
      </c>
      <c r="BO19" s="81">
        <f>SUMIF(Tim!$HQ$5:$HQ$70,Ins!F19,Tim!$C$5:$C$70)+SUMIF(Tim!$HR$5:$HR$70,Ins!F19,Tim!$C$5:$C$70)+SUMIF(Tim!$HS$5:$HS$70,Ins!F19,Tim!$C$5:$C$70)+SUMIF(Tim!$HT$5:$HT$70,Ins!F19,Tim!$C$5:$C$70)+SUMIF(Tim!$HU$5:$HU$70,Ins!F19,Tim!$C$5:$C$70)</f>
        <v>2</v>
      </c>
      <c r="BP19" s="79">
        <f>SUMIF(Tim!$HV$7:$HV$70,Ins!F19,Tim!$B$7:$B$70)</f>
        <v>0</v>
      </c>
      <c r="BQ19" s="80">
        <f>SUMIF(Tim!$HW$7:$HW$70,Ins!F19,Tim!$B$7:$B$70)+SUMIF(Tim!$HX$7:$HX$70,Ins!F19,Tim!$B$7:$B$70)+SUMIF(Tim!$HY$7:$HY$70,Ins!F19,Tim!$B$7:$B$70)+SUMIF(Tim!$HZ$7:$HZ$70,Ins!F19,Tim!$B$7:$B$70)+SUMIF(Tim!$IA$7:$IA$70,Ins!F19,Tim!$B$7:$B$70)+SUMIF(Tim!$IB$7:$IB$70,Ins!F19,Tim!$B$7:$B$70)</f>
        <v>0</v>
      </c>
      <c r="BR19" s="80">
        <f>SUMIF(Tim!$IC$7:$IC$70,Ins!F19,Tim!$B$7:$B$70)+SUMIF(Tim!$ID$7:$ID$70,Ins!F19,Tim!$B$7:$B$70)+SUMIF(Tim!$IE$7:$IE$70,Ins!F19,Tim!$B$7:$B$70)</f>
        <v>0</v>
      </c>
      <c r="BS19" s="80">
        <f>SUMIF(Tim!$IF$7:$IF$70,Ins!F19,Tim!$B$7:$B$70)+SUMIF(Tim!$IG$7:$IG$70,Ins!F19,Tim!$B$7:$B$70)+SUMIF(Tim!$IH$7:$IH$70,Ins!F19,Tim!$B$7:$B$70)+SUMIF(Tim!$II$7:$II$70,Ins!F19,Tim!$B$7:$B$70)+SUMIF(Tim!$IJ$7:$IJ$70,Ins!F19,Tim!$B$7:$B$70)</f>
        <v>0</v>
      </c>
      <c r="BT19" s="80">
        <f>SUMIF(Tim!$IK$7:$IK$70,Ins!F19,Tim!$B$7:$B$70)+SUMIF(Tim!$IL$7:$IL$70,Ins!F19,Tim!$B$7:$B$70)+SUMIF(Tim!$IM$7:$IM$70,Ins!F19,Tim!$B$7:$B$70)</f>
        <v>0</v>
      </c>
      <c r="BU19" s="80">
        <f>SUMIF(Tim!$IN$7:$IN$70,Ins!F19,Tim!$B$7:$B$70)+SUMIF(Tim!$IO$7:$IO$70,Ins!F19,Tim!$B$7:$B$70)+SUMIF(Tim!$IP$7:$IP$70,Ins!F19,Tim!$B$7:$B$70)</f>
        <v>0</v>
      </c>
      <c r="BV19" s="80">
        <f>SUMIF(Tim!$IQ$7:$IQ$70,Ins!F19,Tim!$B$7:$B$70)</f>
        <v>0</v>
      </c>
      <c r="BW19" s="80">
        <f>SUMIF(Tim!$IR$7:$IR$70,Ins!F19,Tim!$D$7:$D$70)+SUMIF(Tim!$IS$7:$IS$70,Ins!F19,Tim!$D$7:$D$70)+SUMIF(Tim!$IT$7:$IT$70,Ins!F19,Tim!$D$7:$D$70)+SUMIF(Tim!$IU$7:$IU$70,Ins!F19,Tim!$D$7:$D$70)+SUMIF(Tim!$IV$7:$IV$70,Ins!F19,Tim!$D$7:$D$70)+SUMIF(Tim!$IW$7:$IW$70,Ins!F19,Tim!$D$7:$D$70)+SUMIF(Tim!$IX$7:$IX$70,Ins!F19,Tim!$D$7:$D$70)+SUMIF(Tim!$IY$7:$IY$70,Ins!F19,Tim!$D$7:$D$70)+SUMIF(Tim!$IZ$7:$IZ$70,Ins!F19,Tim!$D$7:$D$70)+SUMIF(Tim!$JA$7:$JA$70,Ins!F19,Tim!$D$7:$D$70)+SUMIF(Tim!$JB$7:$JB$70,Ins!F19,Tim!$D$7:$D$70)+SUMIF(Tim!$JC$7:$JC$70,Ins!F19,Tim!$D$7:$D$70)</f>
        <v>0</v>
      </c>
      <c r="BX19" s="80">
        <f>SUMIF(Tim!JD$7:JD$70,Ins!F19,Tim!$C$7:$C$70)</f>
        <v>0</v>
      </c>
      <c r="BY19" s="80">
        <f>SUMIF(Tim!JE$7:JE$70,Ins!F19,Tim!$C$7:$C$70)</f>
        <v>0</v>
      </c>
      <c r="BZ19" s="80">
        <f>SUMIF(Tim!JF$7:JF$70,Ins!F19,Tim!$C$7:$C$70)+SUMIF(Tim!JG$7:JG$70,Ins!F19,Tim!$C$7:$C$70)+SUMIF(Tim!JH$7:JH$70,Ins!F19,Tim!$C$7:$C$70)</f>
        <v>0</v>
      </c>
      <c r="CA19" s="81">
        <f>SUMIF(Tim!$JI$7:$JI$70,Ins!F19,Tim!$C$7:$C$70)++SUMIF(Tim!$JJ$7:$JJ$70,Ins!F19,Tim!$C$7:$C$70)+SUMIF(Tim!$JK$7:$JK$70,Ins!F19,Tim!$C$7:$C$70)+SUMIF(Tim!$JL$7:$JL$70,Ins!F19,Tim!$C$7:$C$70)+SUMIF(Tim!$JM$7:$JM$70,Ins!F19,Tim!$C$7:$C$70)</f>
        <v>0</v>
      </c>
      <c r="CB19" s="79">
        <f>SUMIF(Tim!$JN$7:$JN$70,Ins!F19,Tim!$B$7:$B$70)</f>
        <v>0</v>
      </c>
      <c r="CC19" s="80">
        <f>SUMIF(Tim!$JO$7:$JO$70,Ins!F19,Tim!$B$7:$B$70)+SUMIF(Tim!$JP$7:$JP$70,Ins!F19,Tim!$B$7:$B$70)+SUMIF(Tim!$JQ$7:$JQ$70,Ins!F19,Tim!$B$7:$B$70)+SUMIF(Tim!$JR$7:$JR$70,Ins!F19,Tim!$B$7:$B$70)+SUMIF(Tim!$JS$7:$JS$70,Ins!F19,Tim!$B$7:$B$70)+SUMIF(Tim!$JT$7:$JT$70,Ins!F19,Tim!$B$7:$B$70)</f>
        <v>0</v>
      </c>
      <c r="CD19" s="80">
        <f>SUMIF(Tim!$JW$7:$JW$70,Ins!F19,Tim!$B$7:$B$70)+SUMIF(Tim!$JU$7:$JU$70,Ins!F19,Tim!$B$7:$B$70)+SUMIF(Tim!$JV$7:$JV$70,Ins!F19,Tim!$B$7:$B$70)</f>
        <v>0</v>
      </c>
      <c r="CE19" s="80">
        <f>SUMIF(Tim!$JX$7:$JX$70,Ins!F19,Tim!$B$7:$B$70)+SUMIF(Tim!$JY$7:$JY$70,Ins!F19,Tim!$B$7:$B$70)+SUMIF(Tim!$JZ$7:$JZ$70,Ins!F19,Tim!$B$7:$B$70)+SUMIF(Tim!$KA$7:$KA$70,Ins!F19,Tim!$B$7:$B$70)+SUMIF(Tim!$KB$7:$KB$70,Ins!F19,Tim!$B$7:$B$70)</f>
        <v>0</v>
      </c>
      <c r="CF19" s="80">
        <f>SUMIF(Tim!$KE$7:$KE$70,Ins!F19,Tim!$B$7:$B$70)+SUMIF(Tim!$KC$7:$KC$70,Ins!F19,Tim!$B$7:$B$70)+SUMIF(Tim!$KD$7:$KD$70,Ins!F19,Tim!$B$7:$B$70)</f>
        <v>0</v>
      </c>
      <c r="CG19" s="80">
        <f>SUMIF(Tim!$KF$7:$KF$70,Ins!F19,Tim!$B$7:$B$70)+SUMIF(Tim!$KG$7:$KG$70,Ins!F19,Tim!$B$7:$B$70)+SUMIF(Tim!$KH$7:$KH$70,Ins!F19,Tim!$B$7:$B$70)</f>
        <v>0</v>
      </c>
      <c r="CH19" s="80">
        <f>SUMIF(Tim!$KI$7:$KI$70,Ins!F19,Tim!$B$7:$B$70)</f>
        <v>0</v>
      </c>
      <c r="CI19" s="80">
        <f>SUMIF(Tim!$KJ$7:$KJ$70,Ins!F19,Tim!$D$7:$D$70)+SUMIF(Tim!$KK$7:$KK$70,Ins!F19,Tim!$D$7:$D$70)+SUMIF(Tim!$KL$7:$KL$70,Ins!F19,Tim!$D$7:$D$70)+SUMIF(Tim!$KM$7:$KM$70,Ins!F19,Tim!$D$7:$D$70)+SUMIF(Tim!$KN$7:$KN$70,Ins!F19,Tim!$D$7:$D$70)+SUMIF(Tim!$KO$7:$KO$70,Ins!F19,Tim!$D$7:$D$70)+SUMIF(Tim!$KP$7:$KP$70,Ins!F19,Tim!$D$7:$D$70)+SUMIF(Tim!$KQ$7:$KQ$70,Ins!F19,Tim!$D$7:$D$70)+SUMIF(Tim!$KR$7:$KR$70,Ins!F19,Tim!$D$7:$D$70)+SUMIF(Tim!$KS$7:$KS$70,Ins!F19,Tim!$D$7:$D$70)+SUMIF(Tim!$KT$7:$KT$70,Ins!F19,Tim!$D$7:$D$70)+SUMIF(Tim!$KU$7:$KU$70,Ins!F19,Tim!$D$7:$D$70)</f>
        <v>0</v>
      </c>
      <c r="CJ19" s="80">
        <f>SUMIF(Tim!KV$7:KV$70,Ins!F19,Tim!$C$7:$C$70)</f>
        <v>0</v>
      </c>
      <c r="CK19" s="80">
        <f>SUMIF(Tim!KW$7:KW$70,Ins!F19,Tim!$C$7:$C$70)</f>
        <v>0</v>
      </c>
      <c r="CL19" s="80">
        <f>SUMIF(Tim!KX$7:KX$70,Ins!F19,Tim!$C$7:$C$70)+SUMIF(Tim!KY$7:KY$70,Ins!F19,Tim!$C$7:$C$70)+SUMIF(Tim!KZ$7:KZ$70,Ins!F19,Tim!$C$7:$C$70)</f>
        <v>0</v>
      </c>
      <c r="CM19" s="81">
        <f>SUMIF(Tim!$LA$7:$LA$70,Ins!F19,Tim!$C$7:$C$70)+SUMIF(Tim!$LB$7:$LB$70,Ins!F19,Tim!$C$7:$C$70)+SUMIF(Tim!$LC$7:$LC$70,Ins!F19,Tim!$C$7:$C$70)+SUMIF(Tim!$LD$7:$LD$70,Ins!F19,Tim!$C$7:$C$70)+SUMIF(Tim!$LE$7:$LE$70,Ins!F19,Tim!$C$7:$C$70)</f>
        <v>0</v>
      </c>
      <c r="CN19" s="22"/>
      <c r="CO19" s="180">
        <f t="shared" si="158"/>
        <v>0</v>
      </c>
      <c r="CP19" s="179">
        <f t="shared" si="159"/>
        <v>0</v>
      </c>
      <c r="CQ19" s="179">
        <f t="shared" si="160"/>
        <v>0</v>
      </c>
      <c r="CR19" s="179">
        <f t="shared" si="161"/>
        <v>0</v>
      </c>
      <c r="CS19" s="179">
        <f t="shared" si="162"/>
        <v>0</v>
      </c>
      <c r="CT19" s="179">
        <f t="shared" si="163"/>
        <v>0</v>
      </c>
      <c r="CU19" s="179">
        <f t="shared" si="164"/>
        <v>0</v>
      </c>
      <c r="CV19" s="179">
        <f t="shared" si="165"/>
        <v>0</v>
      </c>
      <c r="CW19" s="179">
        <f t="shared" si="166"/>
        <v>0</v>
      </c>
      <c r="CX19" s="179">
        <f t="shared" si="167"/>
        <v>0</v>
      </c>
      <c r="CY19" s="179">
        <f t="shared" si="168"/>
        <v>0</v>
      </c>
      <c r="CZ19" s="179">
        <f t="shared" si="169"/>
        <v>3</v>
      </c>
      <c r="DA19" s="78">
        <f t="shared" ref="DA19" si="171">SUM(CO19:CZ19)</f>
        <v>3</v>
      </c>
      <c r="DB19" s="16"/>
      <c r="DC19" s="34">
        <f t="shared" si="170"/>
        <v>0</v>
      </c>
      <c r="DD19" s="34">
        <f t="shared" si="15"/>
        <v>0</v>
      </c>
      <c r="DE19" s="34">
        <f t="shared" si="16"/>
        <v>1</v>
      </c>
      <c r="DF19" s="34">
        <f t="shared" si="20"/>
        <v>0</v>
      </c>
      <c r="DG19" s="34">
        <f t="shared" si="17"/>
        <v>2</v>
      </c>
      <c r="DH19" s="34">
        <f t="shared" si="18"/>
        <v>0</v>
      </c>
      <c r="DI19" s="34">
        <f t="shared" si="19"/>
        <v>0</v>
      </c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7"/>
    </row>
    <row r="20" spans="1:125" ht="12" customHeight="1">
      <c r="A20" s="10">
        <v>18</v>
      </c>
      <c r="B20" s="229" t="s">
        <v>408</v>
      </c>
      <c r="C20" s="185"/>
      <c r="D20" s="230"/>
      <c r="E20" s="230" t="s">
        <v>373</v>
      </c>
      <c r="F20" s="185" t="s">
        <v>390</v>
      </c>
      <c r="G20" s="231" t="s">
        <v>191</v>
      </c>
      <c r="H20" s="79">
        <f>SUMIF(Tim!$F$7:$F$70,Ins!F20,Tim!$B$7:$B$70)</f>
        <v>0</v>
      </c>
      <c r="I20" s="80">
        <f>SUMIF(Tim!$G$7:$G$70,Ins!F20,Tim!$B$7:$B$70)+SUMIF(Tim!$H$7:$H$70,Ins!F20,Tim!$B$7:$B$70)+SUMIF(Tim!$I$7:$I$70,Ins!F20,Tim!$B$7:$B$70)+SUMIF(Tim!$J$7:$J$70,Ins!F20,Tim!$B$7:$B$70)+SUMIF(Tim!$K$7:$K$70,Ins!F20,Tim!$B$7:$B$70)+SUMIF(Tim!$L$7:$L$70,Ins!F20,Tim!$B$7:$B$70)</f>
        <v>0</v>
      </c>
      <c r="J20" s="80">
        <f>SUMIF(Tim!$M$7:$M$70,Ins!F20,Tim!$B$7:$B$70)+SUMIF(Tim!$O$7:$O$70,Ins!F20,Tim!$B$7:$B$70)+SUMIF(Tim!$N$7:$N$70,Ins!F20,Tim!$B$7:$B$70)</f>
        <v>0</v>
      </c>
      <c r="K20" s="80">
        <f>SUMIF(Tim!$P$7:$P$70,Ins!F20,Tim!$B$7:$B$70)+SUMIF(Tim!$Q$7:$Q$70,Ins!F20,Tim!$B$7:$B$70)+SUMIF(Tim!$R$7:$R$70,Ins!F20,Tim!$B$7:$B$70)+SUMIF(Tim!$S$7:$S$70,Ins!F20,Tim!$B$7:$B$70)+SUMIF(Tim!$T$7:$T$70,Ins!F20,Tim!$B$7:$B$70)</f>
        <v>0</v>
      </c>
      <c r="L20" s="80">
        <f>SUMIF(Tim!$U$7:$U$70,Ins!F20,Tim!$B$7:$B$70)+SUMIF(Tim!$W$7:$W$70,Ins!F20,Tim!$B$7:$B$70)+SUMIF(Tim!$X$7:$X$70,Ins!F20,Tim!$B$7:$B$70)</f>
        <v>0</v>
      </c>
      <c r="M20" s="80">
        <f>SUMIF(Tim!$Y$7:$Y$70,Ins!F20,Tim!$B$7:$B$70)+SUMIF(Tim!$Z$7:$Z$70,Ins!F20,Tim!$B$7:$B$70)+SUMIF(Tim!$AA$7:$AA$70,Ins!F20,Tim!$B$7:$B$70)</f>
        <v>0</v>
      </c>
      <c r="N20" s="80">
        <f>SUMIF(Tim!$AB$7:$AB$70,Ins!F20,Tim!$B$7:$B$70)</f>
        <v>0</v>
      </c>
      <c r="O20" s="80">
        <f>SUMIF(Tim!$AC$7:$AC$70,Ins!F20,Tim!$D$7:$D$70)+SUMIF(Tim!$AD$7:$AD$70,Ins!F20,Tim!$D$7:$D$70)+SUMIF(Tim!$AE$7:$AE$70,Ins!F20,Tim!$D$7:$D$70)+SUMIF(Tim!$AF$7:$AF$70,Ins!F20,Tim!$D$7:$D$70)+SUMIF(Tim!$AG$7:$AG$70,Ins!F20,Tim!$D$7:$D$70)+SUMIF(Tim!$AH$7:$AH$70,Ins!F20,Tim!$D$7:$D$70)+SUMIF(Tim!$AI$7:$AI$70,Ins!F20,Tim!$D$7:$D$70)+SUMIF(Tim!$AJ$7:$AJ$70,Ins!F20,Tim!$D$7:$D$70)+SUMIF(Tim!$AK$7:$AK$70,Ins!F20,Tim!$D$7:$D$70)+SUMIF(Tim!$AL$7:$AL$70,Ins!F20,Tim!$D$7:$D$70)+SUMIF(Tim!$AM$7:$AM$70,Ins!F20,Tim!$D$7:$D$70)+SUMIF(Tim!$AN$7:$AN$70,Ins!F20,Tim!$D$7:$D$70)</f>
        <v>0</v>
      </c>
      <c r="P20" s="80">
        <f>SUMIF(Tim!AO$7:AO$70,Ins!F20,Tim!$C$7:$C$70)</f>
        <v>0</v>
      </c>
      <c r="Q20" s="80">
        <f>SUMIF(Tim!AP$7:AP$70,Ins!F20,Tim!$C$7:$C$70)</f>
        <v>0</v>
      </c>
      <c r="R20" s="80">
        <f>SUMIF(Tim!AQ$7:AQ$70,Ins!F20,Tim!$C$7:$C$70)+SUMIF(Tim!AR$7:AR$70,Ins!F20,Tim!$C$7:$C$70)+SUMIF(Tim!AS$7:AS$70,Ins!F20,Tim!$C$7:$C$70)</f>
        <v>0</v>
      </c>
      <c r="S20" s="236">
        <f>SUMIF(Tim!$AT$7:$AT$70,Ins!F20,Tim!$C$7:$C$70)+SUMIF(Tim!$AU$7:$AU$70,Ins!F20,Tim!$C$7:$C80)+SUMIF(Tim!$AV$7:$AV$70,Ins!F20,Tim!$C$7:$C$70)+SUMIF(Tim!$AW$7:$AW$70,Ins!F20,Tim!$C$7:$C$70)+SUMIF(Tim!$AX$7:$AX$70,Ins!F20,Tim!$C$7:$C$70)</f>
        <v>0</v>
      </c>
      <c r="T20" s="79">
        <f>SUMIF(Tim!$AY$7:$AY$70,Ins!F20,Tim!$B$7:$B$70)</f>
        <v>0</v>
      </c>
      <c r="U20" s="80">
        <f>SUMIF(Tim!$AZ$7:$AZ$70,Ins!F20,Tim!$B$7:$B$70)+SUMIF(Tim!$BA$7:$BA$70,Ins!F20,Tim!$B$7:$B$70)+SUMIF(Tim!$BB$7:$BB$70,Ins!F20,Tim!$B$7:$B$70)+SUMIF(Tim!$BC$7:$BC$70,Ins!F20,Tim!$B$7:$B$70)+SUMIF(Tim!$BD$7:$BD$70,Ins!F20,Tim!$B$7:$B$70)+SUMIF(Tim!$BE$7:$BE$70,Ins!F20,Tim!$B$7:$B$70)</f>
        <v>0</v>
      </c>
      <c r="V20" s="80">
        <f>SUMIF(Tim!$BF$7:$BF$70,Ins!F20,Tim!$B$7:$B$70)+SUMIF(Tim!$BG$7:$BG$70,Ins!F20,Tim!$B$7:$B$70)+SUMIF(Tim!$BH$7:$BH$70,Ins!F20,Tim!$B$7:$B$70)</f>
        <v>0</v>
      </c>
      <c r="W20" s="80">
        <f>SUMIF(Tim!$BI$7:$BI$70,Ins!F20,Tim!$B$7:$B$70)+SUMIF(Tim!$BJ$7:$BJ$70,Ins!F20,Tim!$B$7:$B$70)+SUMIF(Tim!$BK$7:$BK$70,Ins!F20,Tim!$B$7:$B$70)+SUMIF(Tim!$BL$7:$BL$70,Ins!F20,Tim!$B$7:$B$70)+SUMIF(Tim!$BM$7:$BM$70,Ins!F20,Tim!$B$7:$B$70)</f>
        <v>0</v>
      </c>
      <c r="X20" s="80">
        <f>SUMIF(Tim!$BN$7:$BN$70,Ins!F20,Tim!$B$7:$B$70)+SUMIF(Tim!$BO$7:$BO$70,Ins!F20,Tim!$B$7:$B$70)+SUMIF(Tim!$BP$7:$BP$70,Ins!F20,Tim!$B$7:$B$70)</f>
        <v>0</v>
      </c>
      <c r="Y20" s="80">
        <f>SUMIF(Tim!$BQ$7:$BQ$70,Ins!F20,Tim!$B$7:$B$70)+SUMIF(Tim!$BR$7:$BR$70,Ins!F20,Tim!$B$7:$B$70)+SUMIF(Tim!$BS$7:$BS$70,Ins!F20,Tim!$B$7:$B$70)</f>
        <v>0</v>
      </c>
      <c r="Z20" s="80">
        <f>SUMIF(Tim!BT$7:BT$70,Ins!F20,Tim!$B$7:$B$70)</f>
        <v>0</v>
      </c>
      <c r="AA20" s="80">
        <f>SUMIF(Tim!$BU$7:$BU$70,Ins!F20,Tim!$D$7:$D$70)+SUMIF(Tim!$BV$7:$BV$70,Ins!F20,Tim!$D$7:$D$70)+SUMIF(Tim!$BW$7:$BW$70,Ins!F20,Tim!$D$7:$D$70)+SUMIF(Tim!$BX$7:$BX$70,Ins!F20,Tim!$D$7:$D$70)+SUMIF(Tim!$BY$7:$BY$70,Ins!F20,Tim!$D$7:$D$70)+SUMIF(Tim!$BZ$7:$BZ$70,Ins!F20,Tim!$D$7:$D$70)+SUMIF(Tim!$CA$7:$CA$70,Ins!F20,Tim!$D$7:$D$70)+SUMIF(Tim!$CB$7:$CB$70,Ins!F20,Tim!$D$7:$D$70)+SUMIF(Tim!$CC$7:$CC$70,Ins!F20,Tim!$D$7:$D$70)+SUMIF(Tim!$CD$7:$CD$70,Ins!F20,Tim!$D$7:$D$70)+SUMIF(Tim!$CE$7:$CE$70,Ins!F20,Tim!$D$7:$D$70)+SUMIF(Tim!$CF$7:$CF$70,Ins!F20,Tim!$D$7:$D$70)</f>
        <v>0</v>
      </c>
      <c r="AB20" s="80">
        <f>SUMIF(Tim!CG$7:CG$70,Ins!F20,Tim!$C$7:$C$70)</f>
        <v>0</v>
      </c>
      <c r="AC20" s="80">
        <f>SUMIF(Tim!CH$7:CH$70,Ins!F20,Tim!$C$7:$C$70)</f>
        <v>0</v>
      </c>
      <c r="AD20" s="80">
        <f>SUMIF(Tim!CI$7:CI$70,Ins!F20,Tim!$C$7:$C$70)+SUMIF(Tim!CJ$7:CJ$70,Ins!F20,Tim!$C$7:$C$70)+SUMIF(Tim!CK$7:CK$70,Ins!F20,Tim!$C$7:$C$70)</f>
        <v>0</v>
      </c>
      <c r="AE20" s="81">
        <f>SUMIF(Tim!$CL$7:$CL$70,Ins!F20,Tim!$C$7:$C$70)+SUMIF(Tim!$CM$7:$CM$70,Ins!F20,Tim!$C$7:$C$70)+SUMIF(Tim!$CN$7:$CN$70,Ins!F20,Tim!$C$7:$C$70)+SUMIF(Tim!$CO$7:$CO$70,Ins!F20,Tim!$C$7:$C$70)+SUMIF(Tim!$CP$7:$CP$70,Ins!F20,Tim!$C$7:$C$70)</f>
        <v>0</v>
      </c>
      <c r="AF20" s="79">
        <f>SUMIF(Tim!$CQ$7:$CQ$70,Ins!F20,Tim!$B$7:$B$70)</f>
        <v>0</v>
      </c>
      <c r="AG20" s="80">
        <f>SUMIF(Tim!$CR$7:$CR$70,Ins!F20,Tim!$B$7:$B$70)+SUMIF(Tim!$CS$7:$CS$70,Ins!F20,Tim!$B$7:$B$70)+SUMIF(Tim!$CT$7:$CT$70,Ins!F20,Tim!$B$7:$B$70)+SUMIF(Tim!$CU$7:$CU$70,Ins!F20,Tim!$B$7:$B$70)+SUMIF(Tim!$CV$7:$CV$70,Ins!F20,Tim!$B$7:$B$70)+SUMIF(Tim!$CW$7:$CW$70,Ins!F20,Tim!$B$7:$B$70)</f>
        <v>0</v>
      </c>
      <c r="AH20" s="80">
        <f>SUMIF(Tim!$CX$7:$CX$70,Ins!F20,Tim!$B$7:$B$70)+SUMIF(Tim!$CY$7:$CY$70,Ins!F20,Tim!$B$7:$B$70)+SUMIF(Tim!$CZ$7:$CZ$70,Ins!F20,Tim!$B$7:$B$70)</f>
        <v>0</v>
      </c>
      <c r="AI20" s="80">
        <f>SUMIF(Tim!$DA$7:$DA$70,Ins!F20,Tim!$B$7:$B$70)+SUMIF(Tim!$DB$7:$DB$70,Ins!F20,Tim!$B$7:$B$70)+SUMIF(Tim!$DC$7:$DC$70,Ins!F20,Tim!$B$7:$B$70)+SUMIF(Tim!$DD$7:$DD$70,Ins!F20,Tim!$B$7:$B$70)+SUMIF(Tim!$DE$7:$DE$70,Ins!F20,Tim!$B$7:$B$70)</f>
        <v>0</v>
      </c>
      <c r="AJ20" s="80">
        <f>SUMIF(Tim!$DF$7:$DF$70,Ins!F20,Tim!$B$7:$B$70)+SUMIF(Tim!$DG$7:$DG$70,Ins!F20,Tim!$B$7:$B$70)+SUMIF(Tim!$DH$7:$DH$70,Ins!F20,Tim!$B$7:$B$70)</f>
        <v>0</v>
      </c>
      <c r="AK20" s="80">
        <f>SUMIF(Tim!DI$7:DI$70,Ins!F20,Tim!$B$7:$B$70)+SUMIF(Tim!DM$7:DM$70,Ins!F20,Tim!$B$7:$B$70)+SUMIF(Tim!DN$7:DN$70,Ins!F20,Tim!$B$7:$B$70)</f>
        <v>0</v>
      </c>
      <c r="AL20" s="80">
        <f>SUMIF(Tim!DO$7:DO$70,Ins!F20,Tim!$B$7:$B$70)</f>
        <v>0</v>
      </c>
      <c r="AM20" s="80">
        <f>SUMIF(Tim!$DP$7:$DP$70,Ins!F20,Tim!$D$7:$D$70)+SUMIF(Tim!$DQ$7:$DQ$70,Ins!F20,Tim!$D$7:$D$70)+SUMIF(Tim!$DR$7:$DR$70,Ins!F20,Tim!$D$7:$D$70)+SUMIF(Tim!$DS$7:$DS$70,Ins!F20,Tim!$D$7:$D$70)+SUMIF(Tim!$DT$7:$DT$70,Ins!F20,Tim!$D$7:$D$70)+SUMIF(Tim!$DU$7:$DU$70,Ins!F20,Tim!$D$7:$D$70)+SUMIF(Tim!$DV$7:$DV$70,Ins!F20,Tim!$D$7:$D$70)+SUMIF(Tim!$DW$7:$DW$70,Ins!F20,Tim!$D$7:$D$70)+SUMIF(Tim!$DX$7:$DX$70,Ins!F20,Tim!$D$7:$D$70)+SUMIF(Tim!$DY$7:$DY$70,Ins!F20,Tim!$D$7:$D$70)+SUMIF(Tim!$DZ$7:$DZ$70,Ins!F20,Tim!$D$7:$D$70)+SUMIF(Tim!$EA$7:$EA$70,Ins!F20,Tim!$D$7:$D$70)</f>
        <v>0</v>
      </c>
      <c r="AN20" s="80">
        <f>SUMIF(Tim!EB$7:EB$70,Ins!F20,Tim!$C$7:$C$70)</f>
        <v>0</v>
      </c>
      <c r="AO20" s="80">
        <f>SUMIF(Tim!EC$7:EC$70,Ins!F20,Tim!$C$7:$C$70)</f>
        <v>0</v>
      </c>
      <c r="AP20" s="80">
        <f>SUMIF(Tim!ED$7:ED$70,Ins!F20,Tim!$C$7:$C$70)+SUMIF(Tim!EE$7:EE$70,Ins!F20,Tim!$C$7:$C$70)+SUMIF(Tim!EF$7:EF$70,Ins!F20,Tim!$C$7:$C$70)</f>
        <v>0</v>
      </c>
      <c r="AQ20" s="81">
        <f>SUMIF(Tim!$EG$7:$EG$70,Ins!F20,Tim!$C$7:$C$70)+SUMIF(Tim!$EH$7:$EH$70,Ins!F20,Tim!$C$7:$C$70)+SUMIF(Tim!$EI$7:$EI$70,Ins!F20,Tim!$C$7:$C$70)+SUMIF(Tim!$EJ$7:$EJ$70,Ins!F20,Tim!$C$7:$C$70)+SUMIF(Tim!$EK$7:$EK$70,Ins!F20,Tim!$C$7:$C$70)</f>
        <v>0</v>
      </c>
      <c r="AR20" s="79">
        <f>SUMIF(Tim!$EL$5:$EL$70,Ins!F20,Tim!$B$5:$B$70)</f>
        <v>0</v>
      </c>
      <c r="AS20" s="80">
        <f>SUMIF(Tim!$EM$5:$EM$70,Ins!F20,Tim!$B$5:$B$70)+SUMIF(Tim!$EN$5:$EN$70,Ins!F20,Tim!$B$5:$B$70)+SUMIF(Tim!$EO$5:$EO$70,Ins!F20,Tim!$B$5:$B$70)+SUMIF(Tim!$EP$5:$EP$70,Ins!F20,Tim!$B$5:$B$70)+SUMIF(Tim!$EQ$5:$EQ$70,Ins!F20,Tim!$B$5:$B$70)+SUMIF(Tim!$ER$5:$ER$70,Ins!F20,Tim!$B$5:$B$70)</f>
        <v>0</v>
      </c>
      <c r="AT20" s="80">
        <f>SUMIF(Tim!$ES$5:$ES$70,Ins!F20,Tim!$B$5:$B$70)+SUMIF(Tim!$ET$5:$ET$70,Ins!F20,Tim!$B$5:$B$70)+SUMIF(Tim!$EU$5:$EU$70,Ins!F20,Tim!$B$5:$B$70)</f>
        <v>0</v>
      </c>
      <c r="AU20" s="80">
        <f>SUMIF(Tim!$EV$5:$EV$70,Ins!F20,Tim!$B$5:$B$70)+SUMIF(Tim!$EW$5:$EW$70,Ins!F20,Tim!$B$5:$B$70)+SUMIF(Tim!$EX$5:$EX$70,Ins!F20,Tim!$B$5:$B$70)+SUMIF(Tim!$EY$5:$EY$70,Ins!F20,Tim!$B$5:$B$70)+SUMIF(Tim!$EZ$5:$EZ$70,Ins!F20,Tim!$B$5:$B$70)</f>
        <v>0</v>
      </c>
      <c r="AV20" s="80">
        <f>SUMIF(Tim!$FA$5:$FA$70,Ins!F20,Tim!$B$5:$B$70)+SUMIF(Tim!$FB$5:$FB$70,Ins!F20,Tim!$B$5:$B$70)+SUMIF(Tim!$FC$5:$FC$70,Ins!F20,Tim!$B$5:$B$70)</f>
        <v>0</v>
      </c>
      <c r="AW20" s="80">
        <f>SUMIF(Tim!FD$5:FD$70,Ins!F20,Tim!$B$5:$B$70)+SUMIF(Tim!FE$5:FE$70,Ins!F20,Tim!$B$5:$B$70)+SUMIF(Tim!FF$5:FF$70,Ins!F20,Tim!$B$5:$B$70)</f>
        <v>0</v>
      </c>
      <c r="AX20" s="80">
        <f>SUMIF(Tim!FG$5:FG$70,Ins!F20,Tim!$B$5:$B$70)</f>
        <v>0</v>
      </c>
      <c r="AY20" s="80">
        <f>SUMIF(Tim!$FH$5:$FH$70,Ins!F20,Tim!$D$5:$D$70)+SUMIF(Tim!$FI$5:$FI$70,Ins!F20,Tim!$D$5:$D$70)+SUMIF(Tim!$FJ$5:$FJ$70,Ins!F20,Tim!$D$5:$D$70)+SUMIF(Tim!$FK$5:$FK$70,Ins!F20,Tim!$D$5:$D$70)+SUMIF(Tim!$FL$5:$FL$70,Ins!F20,Tim!$D$5:$D$70)+SUMIF(Tim!$FM$5:$FM$70,Ins!F20,Tim!$D$5:$D$70)+SUMIF(Tim!$FN$5:$FN$70,Ins!F20,Tim!$D$5:$D$70)+SUMIF(Tim!$FO$5:$FO$70,Ins!F20,Tim!$D$5:$D$70)+SUMIF(Tim!$FP$5:$FP$70,Ins!F20,Tim!$D$5:$D$70)+SUMIF(Tim!$FQ$5:$FQ$70,Ins!F20,Tim!$D$5:$D$70)+SUMIF(Tim!$FR$5:$FR$70,Ins!F20,Tim!$D$5:$D$70)+SUMIF(Tim!$FS$5:$FS$70,Ins!F20,Tim!$D$5:$D$70)</f>
        <v>0</v>
      </c>
      <c r="AZ20" s="80">
        <f>SUMIF(Tim!FT$5:FT$70,Ins!F20,Tim!$C$5:$C$70)</f>
        <v>0</v>
      </c>
      <c r="BA20" s="80">
        <f>SUMIF(Tim!FU$5:FU$70,Ins!F20,Tim!$C$5:$C$70)</f>
        <v>0</v>
      </c>
      <c r="BB20" s="80">
        <f>SUMIF(Tim!FV$5:FV$70,Ins!F20,Tim!$C$5:$C$70)+SUMIF(Tim!FW$5:FW$70,Ins!F20,Tim!$C$5:$C$70)+SUMIF(Tim!FX$5:FX$70,Ins!F20,Tim!$C$5:$C$70)</f>
        <v>0</v>
      </c>
      <c r="BC20" s="81">
        <f>SUMIF(Tim!$FY$5:$FY$70,Ins!F20,Tim!$C$5:$C$70)+SUMIF(Tim!$FZ$5:$FZ$70,Ins!F20,Tim!$C$5:$C$70)+SUMIF(Tim!$GA$5:$GA$70,Ins!F20,Tim!$C$5:$C$70)+SUMIF(Tim!$GB$5:$GB$70,Ins!F20,Tim!$C$5:$C$70)+SUMIF(Tim!$GC$5:$GC$70,Ins!F20,Tim!$C$5:$C$70)</f>
        <v>0</v>
      </c>
      <c r="BD20" s="79">
        <f>SUMIF(Tim!$GD$5:$GD$70,Ins!F20,Tim!$B$5:$B$70)</f>
        <v>0</v>
      </c>
      <c r="BE20" s="80">
        <f>SUMIF(Tim!$GE$5:$GE$70,Ins!F20,Tim!$B$5:$B$70)+SUMIF(Tim!$GF$5:$GF$70,Ins!F20,Tim!$B$5:$B$70)+SUMIF(Tim!$GG$5:$GG$70,Ins!F20,Tim!$B$5:$B$70)+SUMIF(Tim!$GH$5:$GH$70,Ins!F20,Tim!$B$5:$B$70)+SUMIF(Tim!$GI$5:$GI$70,Ins!F20,Tim!$B$5:$B$70)+SUMIF(Tim!$GJ$5:$GJ$70,Ins!F20,Tim!$B$5:$B$70)</f>
        <v>0</v>
      </c>
      <c r="BF20" s="80">
        <f>SUMIF(Tim!$GK$5:$GK$70,Ins!F20,Tim!$B$5:$B$70)+SUMIF(Tim!$GL$5:$GL$70,Ins!F20,Tim!$B$5:$B$70)+SUMIF(Tim!$GM$5:$GM$70,Ins!F20,Tim!$B$5:$B$70)</f>
        <v>0</v>
      </c>
      <c r="BG20" s="80">
        <f>SUMIF(Tim!$GN$5:$GN$70,Ins!F20,Tim!$B$5:$B$70)+SUMIF(Tim!$GO$5:$GO$70,Ins!F20,Tim!$B$5:$B$70)+SUMIF(Tim!$GP$5:$GP$70,Ins!F20,Tim!$B$5:$B$70)+SUMIF(Tim!$GQ$5:$GQ$70,Ins!F20,Tim!$B$5:$B$70)+SUMIF(Tim!$GR$5:$GR$70,Ins!F20,Tim!$B$5:$B$70)</f>
        <v>0</v>
      </c>
      <c r="BH20" s="80">
        <f>SUMIF(Tim!$GS$5:$GS$70,Ins!F20,Tim!$B$5:$B$70)+SUMIF(Tim!$GT$5:$GT$70,Ins!F20,Tim!$B$5:$B$70)+SUMIF(Tim!$GU$5:$GU$70,Ins!F20,Tim!$B$5:$B$70)</f>
        <v>0</v>
      </c>
      <c r="BI20" s="80">
        <f>SUMIF(Tim!GV$5:GV$70,Ins!F20,Tim!$B$5:$B$70)+SUMIF(Tim!GW$5:GW$70,Ins!F20,Tim!$B$5:$B$70)+SUMIF(Tim!GX$5:GX$70,Ins!F20,Tim!$B$5:$B$70)</f>
        <v>0</v>
      </c>
      <c r="BJ20" s="80">
        <f>SUMIF(Tim!GY$5:GY$70,Ins!F20,Tim!$B$5:$B$70)</f>
        <v>0</v>
      </c>
      <c r="BK20" s="80">
        <f>SUMIF(Tim!$GZ$5:$GZ$70,Ins!F20,Tim!$D$5:$D$70)+SUMIF(Tim!$HA$5:$HA$70,Ins!F20,Tim!$D$5:$D$70)+SUMIF(Tim!$HB$5:$HB$70,Ins!F20,Tim!$D$5:$D$70)++SUMIF(Tim!$HC$5:$HC$70,Ins!F20,Tim!$D$5:$D$70)+SUMIF(Tim!$HD$5:$HD$70,Ins!F20,Tim!$D$5:$D$70)+SUMIF(Tim!$HE$5:$HE$70,Ins!F20,Tim!$D$5:$D$70)+SUMIF(Tim!$HF$5:$HF$70,Ins!F20,Tim!$D$5:$D$70)+SUMIF(Tim!$HG$5:$HG$70,Ins!F20,Tim!$D$5:$D$70)+SUMIF(Tim!$HH$5:$HH$70,Ins!F20,Tim!$D$5:$D$70)+SUMIF(Tim!$HI$5:$HI$70,Ins!F20,Tim!$D$5:$D$70)+SUMIF(Tim!$HJ$5:$HJ$70,Ins!F20,Tim!$D$5:$D$70)+SUMIF(Tim!$HK$5:$HK$70,Ins!F20,Tim!$D$5:$D$70)</f>
        <v>0</v>
      </c>
      <c r="BL20" s="80">
        <f>SUMIF(Tim!HL$5:HL$70,Ins!F20,Tim!$C$5:$C$70)</f>
        <v>0</v>
      </c>
      <c r="BM20" s="80">
        <f>SUMIF(Tim!HM$5:HM$70,Ins!F20,Tim!$C$5:$C$70)</f>
        <v>0</v>
      </c>
      <c r="BN20" s="80">
        <f>SUMIF(Tim!HN$5:HN$70,Ins!F20,Tim!$C$5:$C$70)+SUMIF(Tim!HO$5:HO$70,Ins!F20,Tim!$C$5:$C$70)+SUMIF(Tim!HP$5:HP$70,Ins!F20,Tim!$C$5:$C$70)</f>
        <v>0</v>
      </c>
      <c r="BO20" s="81">
        <f>SUMIF(Tim!$HQ$5:$HQ$70,Ins!F20,Tim!$C$5:$C$70)+SUMIF(Tim!$HR$5:$HR$70,Ins!F20,Tim!$C$5:$C$70)+SUMIF(Tim!$HS$5:$HS$70,Ins!F20,Tim!$C$5:$C$70)+SUMIF(Tim!$HT$5:$HT$70,Ins!F20,Tim!$C$5:$C$70)+SUMIF(Tim!$HU$5:$HU$70,Ins!F20,Tim!$C$5:$C$70)</f>
        <v>0</v>
      </c>
      <c r="BP20" s="79">
        <f>SUMIF(Tim!$HV$7:$HV$70,Ins!F20,Tim!$B$7:$B$70)</f>
        <v>0</v>
      </c>
      <c r="BQ20" s="80">
        <f>SUMIF(Tim!$HW$7:$HW$70,Ins!F20,Tim!$B$7:$B$70)+SUMIF(Tim!$HX$7:$HX$70,Ins!F20,Tim!$B$7:$B$70)+SUMIF(Tim!$HY$7:$HY$70,Ins!F20,Tim!$B$7:$B$70)+SUMIF(Tim!$HZ$7:$HZ$70,Ins!F20,Tim!$B$7:$B$70)+SUMIF(Tim!$IA$7:$IA$70,Ins!F20,Tim!$B$7:$B$70)+SUMIF(Tim!$IB$7:$IB$70,Ins!F20,Tim!$B$7:$B$70)</f>
        <v>0</v>
      </c>
      <c r="BR20" s="80">
        <f>SUMIF(Tim!$IC$7:$IC$70,Ins!F20,Tim!$B$7:$B$70)+SUMIF(Tim!$ID$7:$ID$70,Ins!F20,Tim!$B$7:$B$70)+SUMIF(Tim!$IE$7:$IE$70,Ins!F20,Tim!$B$7:$B$70)</f>
        <v>0</v>
      </c>
      <c r="BS20" s="80">
        <f>SUMIF(Tim!$IF$7:$IF$70,Ins!F20,Tim!$B$7:$B$70)+SUMIF(Tim!$IG$7:$IG$70,Ins!F20,Tim!$B$7:$B$70)+SUMIF(Tim!$IH$7:$IH$70,Ins!F20,Tim!$B$7:$B$70)+SUMIF(Tim!$II$7:$II$70,Ins!F20,Tim!$B$7:$B$70)+SUMIF(Tim!$IJ$7:$IJ$70,Ins!F20,Tim!$B$7:$B$70)</f>
        <v>0</v>
      </c>
      <c r="BT20" s="80">
        <f>SUMIF(Tim!$IK$7:$IK$70,Ins!F20,Tim!$B$7:$B$70)+SUMIF(Tim!$IL$7:$IL$70,Ins!F20,Tim!$B$7:$B$70)+SUMIF(Tim!$IM$7:$IM$70,Ins!F20,Tim!$B$7:$B$70)</f>
        <v>0</v>
      </c>
      <c r="BU20" s="80">
        <f>SUMIF(Tim!$IN$7:$IN$70,Ins!F20,Tim!$B$7:$B$70)+SUMIF(Tim!$IO$7:$IO$70,Ins!F20,Tim!$B$7:$B$70)+SUMIF(Tim!$IP$7:$IP$70,Ins!F20,Tim!$B$7:$B$70)</f>
        <v>0</v>
      </c>
      <c r="BV20" s="80">
        <f>SUMIF(Tim!$IQ$7:$IQ$70,Ins!F20,Tim!$B$7:$B$70)</f>
        <v>0</v>
      </c>
      <c r="BW20" s="80">
        <f>SUMIF(Tim!$IR$7:$IR$70,Ins!F20,Tim!$D$7:$D$70)+SUMIF(Tim!$IS$7:$IS$70,Ins!F20,Tim!$D$7:$D$70)+SUMIF(Tim!$IT$7:$IT$70,Ins!F20,Tim!$D$7:$D$70)+SUMIF(Tim!$IU$7:$IU$70,Ins!F20,Tim!$D$7:$D$70)+SUMIF(Tim!$IV$7:$IV$70,Ins!F20,Tim!$D$7:$D$70)+SUMIF(Tim!$IW$7:$IW$70,Ins!F20,Tim!$D$7:$D$70)+SUMIF(Tim!$IX$7:$IX$70,Ins!F20,Tim!$D$7:$D$70)+SUMIF(Tim!$IY$7:$IY$70,Ins!F20,Tim!$D$7:$D$70)+SUMIF(Tim!$IZ$7:$IZ$70,Ins!F20,Tim!$D$7:$D$70)+SUMIF(Tim!$JA$7:$JA$70,Ins!F20,Tim!$D$7:$D$70)+SUMIF(Tim!$JB$7:$JB$70,Ins!F20,Tim!$D$7:$D$70)+SUMIF(Tim!$JC$7:$JC$70,Ins!F20,Tim!$D$7:$D$70)</f>
        <v>0</v>
      </c>
      <c r="BX20" s="80">
        <f>SUMIF(Tim!JD$7:JD$70,Ins!F20,Tim!$C$7:$C$70)</f>
        <v>0</v>
      </c>
      <c r="BY20" s="80">
        <f>SUMIF(Tim!JE$7:JE$70,Ins!F20,Tim!$C$7:$C$70)</f>
        <v>0</v>
      </c>
      <c r="BZ20" s="80">
        <f>SUMIF(Tim!JF$7:JF$70,Ins!F20,Tim!$C$7:$C$70)+SUMIF(Tim!JG$7:JG$70,Ins!F20,Tim!$C$7:$C$70)+SUMIF(Tim!JH$7:JH$70,Ins!F20,Tim!$C$7:$C$70)</f>
        <v>0</v>
      </c>
      <c r="CA20" s="81">
        <f>SUMIF(Tim!$JI$7:$JI$70,Ins!F20,Tim!$C$7:$C$70)++SUMIF(Tim!$JJ$7:$JJ$70,Ins!F20,Tim!$C$7:$C$70)+SUMIF(Tim!$JK$7:$JK$70,Ins!F20,Tim!$C$7:$C$70)+SUMIF(Tim!$JL$7:$JL$70,Ins!F20,Tim!$C$7:$C$70)+SUMIF(Tim!$JM$7:$JM$70,Ins!F20,Tim!$C$7:$C$70)</f>
        <v>2</v>
      </c>
      <c r="CB20" s="79">
        <f>SUMIF(Tim!$JN$7:$JN$70,Ins!F20,Tim!$B$7:$B$70)</f>
        <v>0</v>
      </c>
      <c r="CC20" s="80">
        <f>SUMIF(Tim!$JO$7:$JO$70,Ins!F20,Tim!$B$7:$B$70)+SUMIF(Tim!$JP$7:$JP$70,Ins!F20,Tim!$B$7:$B$70)+SUMIF(Tim!$JQ$7:$JQ$70,Ins!F20,Tim!$B$7:$B$70)+SUMIF(Tim!$JR$7:$JR$70,Ins!F20,Tim!$B$7:$B$70)+SUMIF(Tim!$JS$7:$JS$70,Ins!F20,Tim!$B$7:$B$70)+SUMIF(Tim!$JT$7:$JT$70,Ins!F20,Tim!$B$7:$B$70)</f>
        <v>0</v>
      </c>
      <c r="CD20" s="80">
        <f>SUMIF(Tim!$JW$7:$JW$70,Ins!F20,Tim!$B$7:$B$70)+SUMIF(Tim!$JU$7:$JU$70,Ins!F20,Tim!$B$7:$B$70)+SUMIF(Tim!$JV$7:$JV$70,Ins!F20,Tim!$B$7:$B$70)</f>
        <v>0</v>
      </c>
      <c r="CE20" s="80">
        <f>SUMIF(Tim!$JX$7:$JX$70,Ins!F20,Tim!$B$7:$B$70)+SUMIF(Tim!$JY$7:$JY$70,Ins!F20,Tim!$B$7:$B$70)+SUMIF(Tim!$JZ$7:$JZ$70,Ins!F20,Tim!$B$7:$B$70)+SUMIF(Tim!$KA$7:$KA$70,Ins!F20,Tim!$B$7:$B$70)+SUMIF(Tim!$KB$7:$KB$70,Ins!F20,Tim!$B$7:$B$70)</f>
        <v>0</v>
      </c>
      <c r="CF20" s="80">
        <f>SUMIF(Tim!$KE$7:$KE$70,Ins!F20,Tim!$B$7:$B$70)+SUMIF(Tim!$KC$7:$KC$70,Ins!F20,Tim!$B$7:$B$70)+SUMIF(Tim!$KD$7:$KD$70,Ins!F20,Tim!$B$7:$B$70)</f>
        <v>0</v>
      </c>
      <c r="CG20" s="80">
        <f>SUMIF(Tim!$KF$7:$KF$70,Ins!F20,Tim!$B$7:$B$70)+SUMIF(Tim!$KG$7:$KG$70,Ins!F20,Tim!$B$7:$B$70)+SUMIF(Tim!$KH$7:$KH$70,Ins!F20,Tim!$B$7:$B$70)</f>
        <v>0</v>
      </c>
      <c r="CH20" s="80">
        <f>SUMIF(Tim!$KI$7:$KI$70,Ins!F20,Tim!$B$7:$B$70)</f>
        <v>0</v>
      </c>
      <c r="CI20" s="80">
        <f>SUMIF(Tim!$KJ$7:$KJ$70,Ins!F20,Tim!$D$7:$D$70)+SUMIF(Tim!$KK$7:$KK$70,Ins!F20,Tim!$D$7:$D$70)+SUMIF(Tim!$KL$7:$KL$70,Ins!F20,Tim!$D$7:$D$70)+SUMIF(Tim!$KM$7:$KM$70,Ins!F20,Tim!$D$7:$D$70)+SUMIF(Tim!$KN$7:$KN$70,Ins!F20,Tim!$D$7:$D$70)+SUMIF(Tim!$KO$7:$KO$70,Ins!F20,Tim!$D$7:$D$70)+SUMIF(Tim!$KP$7:$KP$70,Ins!F20,Tim!$D$7:$D$70)+SUMIF(Tim!$KQ$7:$KQ$70,Ins!F20,Tim!$D$7:$D$70)+SUMIF(Tim!$KR$7:$KR$70,Ins!F20,Tim!$D$7:$D$70)+SUMIF(Tim!$KS$7:$KS$70,Ins!F20,Tim!$D$7:$D$70)+SUMIF(Tim!$KT$7:$KT$70,Ins!F20,Tim!$D$7:$D$70)+SUMIF(Tim!$KU$7:$KU$70,Ins!F20,Tim!$D$7:$D$70)</f>
        <v>0</v>
      </c>
      <c r="CJ20" s="80">
        <f>SUMIF(Tim!KV$7:KV$70,Ins!F20,Tim!$C$7:$C$70)</f>
        <v>0</v>
      </c>
      <c r="CK20" s="80">
        <f>SUMIF(Tim!KW$7:KW$70,Ins!F20,Tim!$C$7:$C$70)</f>
        <v>0</v>
      </c>
      <c r="CL20" s="80">
        <f>SUMIF(Tim!KX$7:KX$70,Ins!F20,Tim!$C$7:$C$70)+SUMIF(Tim!KY$7:KY$70,Ins!F20,Tim!$C$7:$C$70)+SUMIF(Tim!KZ$7:KZ$70,Ins!F20,Tim!$C$7:$C$70)</f>
        <v>0</v>
      </c>
      <c r="CM20" s="81">
        <f>SUMIF(Tim!$LA$7:$LA$70,Ins!F20,Tim!$C$7:$C$70)+SUMIF(Tim!$LB$7:$LB$70,Ins!F20,Tim!$C$7:$C$70)+SUMIF(Tim!$LC$7:$LC$70,Ins!F20,Tim!$C$7:$C$70)+SUMIF(Tim!$LD$7:$LD$70,Ins!F20,Tim!$C$7:$C$70)+SUMIF(Tim!$LE$7:$LE$70,Ins!F20,Tim!$C$7:$C$70)</f>
        <v>0</v>
      </c>
      <c r="CN20" s="22"/>
      <c r="CO20" s="180">
        <f t="shared" si="158"/>
        <v>0</v>
      </c>
      <c r="CP20" s="179">
        <f t="shared" si="159"/>
        <v>0</v>
      </c>
      <c r="CQ20" s="179">
        <f t="shared" si="160"/>
        <v>0</v>
      </c>
      <c r="CR20" s="179">
        <f t="shared" si="161"/>
        <v>0</v>
      </c>
      <c r="CS20" s="179">
        <f t="shared" si="162"/>
        <v>0</v>
      </c>
      <c r="CT20" s="179">
        <f t="shared" si="163"/>
        <v>0</v>
      </c>
      <c r="CU20" s="179">
        <f t="shared" si="164"/>
        <v>0</v>
      </c>
      <c r="CV20" s="179">
        <f t="shared" si="165"/>
        <v>0</v>
      </c>
      <c r="CW20" s="179">
        <f t="shared" si="166"/>
        <v>0</v>
      </c>
      <c r="CX20" s="179">
        <f t="shared" si="167"/>
        <v>0</v>
      </c>
      <c r="CY20" s="179">
        <f t="shared" ref="CY20:CY55" si="172">R20+AD20+AP20+BB20+BN20+BZ20+CL20</f>
        <v>0</v>
      </c>
      <c r="CZ20" s="179">
        <f t="shared" ref="CZ20:CZ56" si="173">S20+AE20+AQ20+BC20+BO20+CA20+CM20</f>
        <v>2</v>
      </c>
      <c r="DA20" s="78">
        <f t="shared" ref="DA20:DA55" si="174">SUM(CO20:CZ20)</f>
        <v>2</v>
      </c>
      <c r="DB20" s="16"/>
      <c r="DC20" s="34">
        <f t="shared" si="170"/>
        <v>0</v>
      </c>
      <c r="DD20" s="34">
        <f t="shared" si="15"/>
        <v>0</v>
      </c>
      <c r="DE20" s="34">
        <f t="shared" si="16"/>
        <v>0</v>
      </c>
      <c r="DF20" s="34">
        <f t="shared" si="20"/>
        <v>0</v>
      </c>
      <c r="DG20" s="34">
        <f t="shared" si="17"/>
        <v>0</v>
      </c>
      <c r="DH20" s="34">
        <f t="shared" si="18"/>
        <v>2</v>
      </c>
      <c r="DI20" s="34">
        <f t="shared" si="19"/>
        <v>0</v>
      </c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7"/>
    </row>
    <row r="21" spans="1:125" ht="12" customHeight="1">
      <c r="A21" s="10">
        <v>19</v>
      </c>
      <c r="B21" s="229" t="s">
        <v>395</v>
      </c>
      <c r="C21" s="185"/>
      <c r="D21" s="230"/>
      <c r="E21" s="230" t="s">
        <v>373</v>
      </c>
      <c r="F21" s="185" t="s">
        <v>389</v>
      </c>
      <c r="G21" s="231" t="s">
        <v>191</v>
      </c>
      <c r="H21" s="79">
        <f>SUMIF(Tim!$F$7:$F$70,Ins!F21,Tim!$B$7:$B$70)</f>
        <v>0</v>
      </c>
      <c r="I21" s="80">
        <f>SUMIF(Tim!$G$7:$G$70,Ins!F21,Tim!$B$7:$B$70)+SUMIF(Tim!$H$7:$H$70,Ins!F21,Tim!$B$7:$B$70)+SUMIF(Tim!$I$7:$I$70,Ins!F21,Tim!$B$7:$B$70)+SUMIF(Tim!$J$7:$J$70,Ins!F21,Tim!$B$7:$B$70)+SUMIF(Tim!$K$7:$K$70,Ins!F21,Tim!$B$7:$B$70)+SUMIF(Tim!$L$7:$L$70,Ins!F21,Tim!$B$7:$B$70)</f>
        <v>0</v>
      </c>
      <c r="J21" s="80">
        <f>SUMIF(Tim!$M$7:$M$70,Ins!F21,Tim!$B$7:$B$70)+SUMIF(Tim!$O$7:$O$70,Ins!F21,Tim!$B$7:$B$70)+SUMIF(Tim!$N$7:$N$70,Ins!F21,Tim!$B$7:$B$70)</f>
        <v>0</v>
      </c>
      <c r="K21" s="80">
        <f>SUMIF(Tim!$P$7:$P$70,Ins!F21,Tim!$B$7:$B$70)+SUMIF(Tim!$Q$7:$Q$70,Ins!F21,Tim!$B$7:$B$70)+SUMIF(Tim!$R$7:$R$70,Ins!F21,Tim!$B$7:$B$70)+SUMIF(Tim!$S$7:$S$70,Ins!F21,Tim!$B$7:$B$70)+SUMIF(Tim!$T$7:$T$70,Ins!F21,Tim!$B$7:$B$70)</f>
        <v>0</v>
      </c>
      <c r="L21" s="80">
        <f>SUMIF(Tim!$U$7:$U$70,Ins!F21,Tim!$B$7:$B$70)+SUMIF(Tim!$W$7:$W$70,Ins!F21,Tim!$B$7:$B$70)+SUMIF(Tim!$X$7:$X$70,Ins!F21,Tim!$B$7:$B$70)</f>
        <v>0</v>
      </c>
      <c r="M21" s="80">
        <f>SUMIF(Tim!$Y$7:$Y$70,Ins!F21,Tim!$B$7:$B$70)+SUMIF(Tim!$Z$7:$Z$70,Ins!F21,Tim!$B$7:$B$70)+SUMIF(Tim!$AA$7:$AA$70,Ins!F21,Tim!$B$7:$B$70)</f>
        <v>0</v>
      </c>
      <c r="N21" s="80">
        <f>SUMIF(Tim!$AB$7:$AB$70,Ins!F21,Tim!$B$7:$B$70)</f>
        <v>0</v>
      </c>
      <c r="O21" s="80">
        <f>SUMIF(Tim!$AC$7:$AC$70,Ins!F21,Tim!$D$7:$D$70)+SUMIF(Tim!$AD$7:$AD$70,Ins!F21,Tim!$D$7:$D$70)+SUMIF(Tim!$AE$7:$AE$70,Ins!F21,Tim!$D$7:$D$70)+SUMIF(Tim!$AF$7:$AF$70,Ins!F21,Tim!$D$7:$D$70)+SUMIF(Tim!$AG$7:$AG$70,Ins!F21,Tim!$D$7:$D$70)+SUMIF(Tim!$AH$7:$AH$70,Ins!F21,Tim!$D$7:$D$70)+SUMIF(Tim!$AI$7:$AI$70,Ins!F21,Tim!$D$7:$D$70)+SUMIF(Tim!$AJ$7:$AJ$70,Ins!F21,Tim!$D$7:$D$70)+SUMIF(Tim!$AK$7:$AK$70,Ins!F21,Tim!$D$7:$D$70)+SUMIF(Tim!$AL$7:$AL$70,Ins!F21,Tim!$D$7:$D$70)+SUMIF(Tim!$AM$7:$AM$70,Ins!F21,Tim!$D$7:$D$70)+SUMIF(Tim!$AN$7:$AN$70,Ins!F21,Tim!$D$7:$D$70)</f>
        <v>0</v>
      </c>
      <c r="P21" s="80">
        <f>SUMIF(Tim!AO$7:AO$70,Ins!F21,Tim!$C$7:$C$70)</f>
        <v>0</v>
      </c>
      <c r="Q21" s="80">
        <f>SUMIF(Tim!AP$7:AP$70,Ins!F21,Tim!$C$7:$C$70)</f>
        <v>0</v>
      </c>
      <c r="R21" s="80">
        <f>SUMIF(Tim!AQ$7:AQ$70,Ins!F21,Tim!$C$7:$C$70)+SUMIF(Tim!AR$7:AR$70,Ins!F21,Tim!$C$7:$C$70)+SUMIF(Tim!AS$7:AS$70,Ins!F21,Tim!$C$7:$C$70)</f>
        <v>0</v>
      </c>
      <c r="S21" s="236">
        <f>SUMIF(Tim!$AT$7:$AT$70,Ins!F21,Tim!$C$7:$C$70)+SUMIF(Tim!$AU$7:$AU$70,Ins!F21,Tim!$C$7:$C81)+SUMIF(Tim!$AV$7:$AV$70,Ins!F21,Tim!$C$7:$C$70)+SUMIF(Tim!$AW$7:$AW$70,Ins!F21,Tim!$C$7:$C$70)+SUMIF(Tim!$AX$7:$AX$70,Ins!F21,Tim!$C$7:$C$70)</f>
        <v>0</v>
      </c>
      <c r="T21" s="79">
        <f>SUMIF(Tim!$AY$7:$AY$70,Ins!F21,Tim!$B$7:$B$70)</f>
        <v>0</v>
      </c>
      <c r="U21" s="80">
        <f>SUMIF(Tim!$AZ$7:$AZ$70,Ins!F21,Tim!$B$7:$B$70)+SUMIF(Tim!$BA$7:$BA$70,Ins!F21,Tim!$B$7:$B$70)+SUMIF(Tim!$BB$7:$BB$70,Ins!F21,Tim!$B$7:$B$70)+SUMIF(Tim!$BC$7:$BC$70,Ins!F21,Tim!$B$7:$B$70)+SUMIF(Tim!$BD$7:$BD$70,Ins!F21,Tim!$B$7:$B$70)+SUMIF(Tim!$BE$7:$BE$70,Ins!F21,Tim!$B$7:$B$70)</f>
        <v>0</v>
      </c>
      <c r="V21" s="80">
        <f>SUMIF(Tim!$BF$7:$BF$70,Ins!F21,Tim!$B$7:$B$70)+SUMIF(Tim!$BG$7:$BG$70,Ins!F21,Tim!$B$7:$B$70)+SUMIF(Tim!$BH$7:$BH$70,Ins!F21,Tim!$B$7:$B$70)</f>
        <v>0</v>
      </c>
      <c r="W21" s="80">
        <f>SUMIF(Tim!$BI$7:$BI$70,Ins!F21,Tim!$B$7:$B$70)+SUMIF(Tim!$BJ$7:$BJ$70,Ins!F21,Tim!$B$7:$B$70)+SUMIF(Tim!$BK$7:$BK$70,Ins!F21,Tim!$B$7:$B$70)+SUMIF(Tim!$BL$7:$BL$70,Ins!F21,Tim!$B$7:$B$70)+SUMIF(Tim!$BM$7:$BM$70,Ins!F21,Tim!$B$7:$B$70)</f>
        <v>0</v>
      </c>
      <c r="X21" s="80">
        <f>SUMIF(Tim!$BN$7:$BN$70,Ins!F21,Tim!$B$7:$B$70)+SUMIF(Tim!$BO$7:$BO$70,Ins!F21,Tim!$B$7:$B$70)+SUMIF(Tim!$BP$7:$BP$70,Ins!F21,Tim!$B$7:$B$70)</f>
        <v>0</v>
      </c>
      <c r="Y21" s="80">
        <f>SUMIF(Tim!$BQ$7:$BQ$70,Ins!F21,Tim!$B$7:$B$70)+SUMIF(Tim!$BR$7:$BR$70,Ins!F21,Tim!$B$7:$B$70)+SUMIF(Tim!$BS$7:$BS$70,Ins!F21,Tim!$B$7:$B$70)</f>
        <v>0</v>
      </c>
      <c r="Z21" s="80">
        <f>SUMIF(Tim!BT$7:BT$70,Ins!F21,Tim!$B$7:$B$70)</f>
        <v>0</v>
      </c>
      <c r="AA21" s="80">
        <f>SUMIF(Tim!$BU$7:$BU$70,Ins!F21,Tim!$D$7:$D$70)+SUMIF(Tim!$BV$7:$BV$70,Ins!F21,Tim!$D$7:$D$70)+SUMIF(Tim!$BW$7:$BW$70,Ins!F21,Tim!$D$7:$D$70)+SUMIF(Tim!$BX$7:$BX$70,Ins!F21,Tim!$D$7:$D$70)+SUMIF(Tim!$BY$7:$BY$70,Ins!F21,Tim!$D$7:$D$70)+SUMIF(Tim!$BZ$7:$BZ$70,Ins!F21,Tim!$D$7:$D$70)+SUMIF(Tim!$CA$7:$CA$70,Ins!F21,Tim!$D$7:$D$70)+SUMIF(Tim!$CB$7:$CB$70,Ins!F21,Tim!$D$7:$D$70)+SUMIF(Tim!$CC$7:$CC$70,Ins!F21,Tim!$D$7:$D$70)+SUMIF(Tim!$CD$7:$CD$70,Ins!F21,Tim!$D$7:$D$70)+SUMIF(Tim!$CE$7:$CE$70,Ins!F21,Tim!$D$7:$D$70)+SUMIF(Tim!$CF$7:$CF$70,Ins!F21,Tim!$D$7:$D$70)</f>
        <v>0</v>
      </c>
      <c r="AB21" s="80">
        <f>SUMIF(Tim!CG$7:CG$70,Ins!F21,Tim!$C$7:$C$70)</f>
        <v>0</v>
      </c>
      <c r="AC21" s="80">
        <f>SUMIF(Tim!CH$7:CH$70,Ins!F21,Tim!$C$7:$C$70)</f>
        <v>0</v>
      </c>
      <c r="AD21" s="80">
        <f>SUMIF(Tim!CI$7:CI$70,Ins!F21,Tim!$C$7:$C$70)+SUMIF(Tim!CJ$7:CJ$70,Ins!F21,Tim!$C$7:$C$70)+SUMIF(Tim!CK$7:CK$70,Ins!F21,Tim!$C$7:$C$70)</f>
        <v>0</v>
      </c>
      <c r="AE21" s="81">
        <f>SUMIF(Tim!$CL$7:$CL$70,Ins!F21,Tim!$C$7:$C$70)+SUMIF(Tim!$CM$7:$CM$70,Ins!F21,Tim!$C$7:$C$70)+SUMIF(Tim!$CN$7:$CN$70,Ins!F21,Tim!$C$7:$C$70)+SUMIF(Tim!$CO$7:$CO$70,Ins!F21,Tim!$C$7:$C$70)+SUMIF(Tim!$CP$7:$CP$70,Ins!F21,Tim!$C$7:$C$70)</f>
        <v>0</v>
      </c>
      <c r="AF21" s="79">
        <f>SUMIF(Tim!$CQ$7:$CQ$70,Ins!F21,Tim!$B$7:$B$70)</f>
        <v>0</v>
      </c>
      <c r="AG21" s="80">
        <f>SUMIF(Tim!$CR$7:$CR$70,Ins!F21,Tim!$B$7:$B$70)+SUMIF(Tim!$CS$7:$CS$70,Ins!F21,Tim!$B$7:$B$70)+SUMIF(Tim!$CT$7:$CT$70,Ins!F21,Tim!$B$7:$B$70)+SUMIF(Tim!$CU$7:$CU$70,Ins!F21,Tim!$B$7:$B$70)+SUMIF(Tim!$CV$7:$CV$70,Ins!F21,Tim!$B$7:$B$70)+SUMIF(Tim!$CW$7:$CW$70,Ins!F21,Tim!$B$7:$B$70)</f>
        <v>0</v>
      </c>
      <c r="AH21" s="80">
        <f>SUMIF(Tim!$CX$7:$CX$70,Ins!F21,Tim!$B$7:$B$70)+SUMIF(Tim!$CY$7:$CY$70,Ins!F21,Tim!$B$7:$B$70)+SUMIF(Tim!$CZ$7:$CZ$70,Ins!F21,Tim!$B$7:$B$70)</f>
        <v>0</v>
      </c>
      <c r="AI21" s="80">
        <f>SUMIF(Tim!$DA$7:$DA$70,Ins!F21,Tim!$B$7:$B$70)+SUMIF(Tim!$DB$7:$DB$70,Ins!F21,Tim!$B$7:$B$70)+SUMIF(Tim!$DC$7:$DC$70,Ins!F21,Tim!$B$7:$B$70)+SUMIF(Tim!$DD$7:$DD$70,Ins!F21,Tim!$B$7:$B$70)+SUMIF(Tim!$DE$7:$DE$70,Ins!F21,Tim!$B$7:$B$70)</f>
        <v>0</v>
      </c>
      <c r="AJ21" s="80">
        <f>SUMIF(Tim!$DF$7:$DF$70,Ins!F21,Tim!$B$7:$B$70)+SUMIF(Tim!$DG$7:$DG$70,Ins!F21,Tim!$B$7:$B$70)+SUMIF(Tim!$DH$7:$DH$70,Ins!F21,Tim!$B$7:$B$70)</f>
        <v>0</v>
      </c>
      <c r="AK21" s="80">
        <f>SUMIF(Tim!DI$7:DI$70,Ins!F21,Tim!$B$7:$B$70)+SUMIF(Tim!DM$7:DM$70,Ins!F21,Tim!$B$7:$B$70)+SUMIF(Tim!DN$7:DN$70,Ins!F21,Tim!$B$7:$B$70)</f>
        <v>0</v>
      </c>
      <c r="AL21" s="80">
        <f>SUMIF(Tim!DO$7:DO$70,Ins!F21,Tim!$B$7:$B$70)</f>
        <v>0</v>
      </c>
      <c r="AM21" s="80">
        <f>SUMIF(Tim!$DP$7:$DP$70,Ins!F21,Tim!$D$7:$D$70)+SUMIF(Tim!$DQ$7:$DQ$70,Ins!F21,Tim!$D$7:$D$70)+SUMIF(Tim!$DR$7:$DR$70,Ins!F21,Tim!$D$7:$D$70)+SUMIF(Tim!$DS$7:$DS$70,Ins!F21,Tim!$D$7:$D$70)+SUMIF(Tim!$DT$7:$DT$70,Ins!F21,Tim!$D$7:$D$70)+SUMIF(Tim!$DU$7:$DU$70,Ins!F21,Tim!$D$7:$D$70)+SUMIF(Tim!$DV$7:$DV$70,Ins!F21,Tim!$D$7:$D$70)+SUMIF(Tim!$DW$7:$DW$70,Ins!F21,Tim!$D$7:$D$70)+SUMIF(Tim!$DX$7:$DX$70,Ins!F21,Tim!$D$7:$D$70)+SUMIF(Tim!$DY$7:$DY$70,Ins!F21,Tim!$D$7:$D$70)+SUMIF(Tim!$DZ$7:$DZ$70,Ins!F21,Tim!$D$7:$D$70)+SUMIF(Tim!$EA$7:$EA$70,Ins!F21,Tim!$D$7:$D$70)</f>
        <v>0</v>
      </c>
      <c r="AN21" s="80">
        <f>SUMIF(Tim!EB$7:EB$70,Ins!F21,Tim!$C$7:$C$70)</f>
        <v>0</v>
      </c>
      <c r="AO21" s="80">
        <f>SUMIF(Tim!EC$7:EC$70,Ins!F21,Tim!$C$7:$C$70)</f>
        <v>0</v>
      </c>
      <c r="AP21" s="80">
        <f>SUMIF(Tim!ED$7:ED$70,Ins!F21,Tim!$C$7:$C$70)+SUMIF(Tim!EE$7:EE$70,Ins!F21,Tim!$C$7:$C$70)+SUMIF(Tim!EF$7:EF$70,Ins!F21,Tim!$C$7:$C$70)</f>
        <v>0</v>
      </c>
      <c r="AQ21" s="81">
        <f>SUMIF(Tim!$EG$7:$EG$70,Ins!F21,Tim!$C$7:$C$70)+SUMIF(Tim!$EH$7:$EH$70,Ins!F21,Tim!$C$7:$C$70)+SUMIF(Tim!$EI$7:$EI$70,Ins!F21,Tim!$C$7:$C$70)+SUMIF(Tim!$EJ$7:$EJ$70,Ins!F21,Tim!$C$7:$C$70)+SUMIF(Tim!$EK$7:$EK$70,Ins!F21,Tim!$C$7:$C$70)</f>
        <v>0</v>
      </c>
      <c r="AR21" s="79">
        <f>SUMIF(Tim!$EL$5:$EL$70,Ins!F21,Tim!$B$5:$B$70)</f>
        <v>0</v>
      </c>
      <c r="AS21" s="80">
        <f>SUMIF(Tim!$EM$5:$EM$70,Ins!F21,Tim!$B$5:$B$70)+SUMIF(Tim!$EN$5:$EN$70,Ins!F21,Tim!$B$5:$B$70)+SUMIF(Tim!$EO$5:$EO$70,Ins!F21,Tim!$B$5:$B$70)+SUMIF(Tim!$EP$5:$EP$70,Ins!F21,Tim!$B$5:$B$70)+SUMIF(Tim!$EQ$5:$EQ$70,Ins!F21,Tim!$B$5:$B$70)+SUMIF(Tim!$ER$5:$ER$70,Ins!F21,Tim!$B$5:$B$70)</f>
        <v>0</v>
      </c>
      <c r="AT21" s="80">
        <f>SUMIF(Tim!$ES$5:$ES$70,Ins!F21,Tim!$B$5:$B$70)+SUMIF(Tim!$ET$5:$ET$70,Ins!F21,Tim!$B$5:$B$70)+SUMIF(Tim!$EU$5:$EU$70,Ins!F21,Tim!$B$5:$B$70)</f>
        <v>0</v>
      </c>
      <c r="AU21" s="80">
        <f>SUMIF(Tim!$EV$5:$EV$70,Ins!F21,Tim!$B$5:$B$70)+SUMIF(Tim!$EW$5:$EW$70,Ins!F21,Tim!$B$5:$B$70)+SUMIF(Tim!$EX$5:$EX$70,Ins!F21,Tim!$B$5:$B$70)+SUMIF(Tim!$EY$5:$EY$70,Ins!F21,Tim!$B$5:$B$70)+SUMIF(Tim!$EZ$5:$EZ$70,Ins!F21,Tim!$B$5:$B$70)</f>
        <v>0</v>
      </c>
      <c r="AV21" s="80">
        <f>SUMIF(Tim!$FA$5:$FA$70,Ins!F21,Tim!$B$5:$B$70)+SUMIF(Tim!$FB$5:$FB$70,Ins!F21,Tim!$B$5:$B$70)+SUMIF(Tim!$FC$5:$FC$70,Ins!F21,Tim!$B$5:$B$70)</f>
        <v>0</v>
      </c>
      <c r="AW21" s="80">
        <f>SUMIF(Tim!FD$5:FD$70,Ins!F21,Tim!$B$5:$B$70)+SUMIF(Tim!FE$5:FE$70,Ins!F21,Tim!$B$5:$B$70)+SUMIF(Tim!FF$5:FF$70,Ins!F21,Tim!$B$5:$B$70)</f>
        <v>0</v>
      </c>
      <c r="AX21" s="80">
        <f>SUMIF(Tim!FG$5:FG$70,Ins!F21,Tim!$B$5:$B$70)</f>
        <v>0</v>
      </c>
      <c r="AY21" s="80">
        <f>SUMIF(Tim!$FH$5:$FH$70,Ins!F21,Tim!$D$5:$D$70)+SUMIF(Tim!$FI$5:$FI$70,Ins!F21,Tim!$D$5:$D$70)+SUMIF(Tim!$FJ$5:$FJ$70,Ins!F21,Tim!$D$5:$D$70)+SUMIF(Tim!$FK$5:$FK$70,Ins!F21,Tim!$D$5:$D$70)+SUMIF(Tim!$FL$5:$FL$70,Ins!F21,Tim!$D$5:$D$70)+SUMIF(Tim!$FM$5:$FM$70,Ins!F21,Tim!$D$5:$D$70)+SUMIF(Tim!$FN$5:$FN$70,Ins!F21,Tim!$D$5:$D$70)+SUMIF(Tim!$FO$5:$FO$70,Ins!F21,Tim!$D$5:$D$70)+SUMIF(Tim!$FP$5:$FP$70,Ins!F21,Tim!$D$5:$D$70)+SUMIF(Tim!$FQ$5:$FQ$70,Ins!F21,Tim!$D$5:$D$70)+SUMIF(Tim!$FR$5:$FR$70,Ins!F21,Tim!$D$5:$D$70)+SUMIF(Tim!$FS$5:$FS$70,Ins!F21,Tim!$D$5:$D$70)</f>
        <v>0</v>
      </c>
      <c r="AZ21" s="80">
        <f>SUMIF(Tim!FT$5:FT$70,Ins!F21,Tim!$C$5:$C$70)</f>
        <v>0</v>
      </c>
      <c r="BA21" s="80">
        <f>SUMIF(Tim!FU$5:FU$70,Ins!F21,Tim!$C$5:$C$70)</f>
        <v>0</v>
      </c>
      <c r="BB21" s="80">
        <f>SUMIF(Tim!FV$5:FV$70,Ins!F21,Tim!$C$5:$C$70)+SUMIF(Tim!FW$5:FW$70,Ins!F21,Tim!$C$5:$C$70)+SUMIF(Tim!FX$5:FX$70,Ins!F21,Tim!$C$5:$C$70)</f>
        <v>0</v>
      </c>
      <c r="BC21" s="81">
        <f>SUMIF(Tim!$FY$5:$FY$70,Ins!F21,Tim!$C$5:$C$70)+SUMIF(Tim!$FZ$5:$FZ$70,Ins!F21,Tim!$C$5:$C$70)+SUMIF(Tim!$GA$5:$GA$70,Ins!F21,Tim!$C$5:$C$70)+SUMIF(Tim!$GB$5:$GB$70,Ins!F21,Tim!$C$5:$C$70)+SUMIF(Tim!$GC$5:$GC$70,Ins!F21,Tim!$C$5:$C$70)</f>
        <v>0</v>
      </c>
      <c r="BD21" s="79">
        <f>SUMIF(Tim!$GD$5:$GD$70,Ins!F21,Tim!$B$5:$B$70)</f>
        <v>0</v>
      </c>
      <c r="BE21" s="80">
        <f>SUMIF(Tim!$GE$5:$GE$70,Ins!F21,Tim!$B$5:$B$70)+SUMIF(Tim!$GF$5:$GF$70,Ins!F21,Tim!$B$5:$B$70)+SUMIF(Tim!$GG$5:$GG$70,Ins!F21,Tim!$B$5:$B$70)+SUMIF(Tim!$GH$5:$GH$70,Ins!F21,Tim!$B$5:$B$70)+SUMIF(Tim!$GI$5:$GI$70,Ins!F21,Tim!$B$5:$B$70)+SUMIF(Tim!$GJ$5:$GJ$70,Ins!F21,Tim!$B$5:$B$70)</f>
        <v>0</v>
      </c>
      <c r="BF21" s="80">
        <f>SUMIF(Tim!$GK$5:$GK$70,Ins!F21,Tim!$B$5:$B$70)+SUMIF(Tim!$GL$5:$GL$70,Ins!F21,Tim!$B$5:$B$70)+SUMIF(Tim!$GM$5:$GM$70,Ins!F21,Tim!$B$5:$B$70)</f>
        <v>0</v>
      </c>
      <c r="BG21" s="80">
        <f>SUMIF(Tim!$GN$5:$GN$70,Ins!F21,Tim!$B$5:$B$70)+SUMIF(Tim!$GO$5:$GO$70,Ins!F21,Tim!$B$5:$B$70)+SUMIF(Tim!$GP$5:$GP$70,Ins!F21,Tim!$B$5:$B$70)+SUMIF(Tim!$GQ$5:$GQ$70,Ins!F21,Tim!$B$5:$B$70)+SUMIF(Tim!$GR$5:$GR$70,Ins!F21,Tim!$B$5:$B$70)</f>
        <v>0</v>
      </c>
      <c r="BH21" s="80">
        <f>SUMIF(Tim!$GS$5:$GS$70,Ins!F21,Tim!$B$5:$B$70)+SUMIF(Tim!$GT$5:$GT$70,Ins!F21,Tim!$B$5:$B$70)+SUMIF(Tim!$GU$5:$GU$70,Ins!F21,Tim!$B$5:$B$70)</f>
        <v>0</v>
      </c>
      <c r="BI21" s="80">
        <f>SUMIF(Tim!GV$5:GV$70,Ins!F21,Tim!$B$5:$B$70)+SUMIF(Tim!GW$5:GW$70,Ins!F21,Tim!$B$5:$B$70)+SUMIF(Tim!GX$5:GX$70,Ins!F21,Tim!$B$5:$B$70)</f>
        <v>0</v>
      </c>
      <c r="BJ21" s="80">
        <f>SUMIF(Tim!GY$5:GY$70,Ins!F21,Tim!$B$5:$B$70)</f>
        <v>0</v>
      </c>
      <c r="BK21" s="80">
        <f>SUMIF(Tim!$GZ$5:$GZ$70,Ins!F21,Tim!$D$5:$D$70)+SUMIF(Tim!$HA$5:$HA$70,Ins!F21,Tim!$D$5:$D$70)+SUMIF(Tim!$HB$5:$HB$70,Ins!F21,Tim!$D$5:$D$70)++SUMIF(Tim!$HC$5:$HC$70,Ins!F21,Tim!$D$5:$D$70)+SUMIF(Tim!$HD$5:$HD$70,Ins!F21,Tim!$D$5:$D$70)+SUMIF(Tim!$HE$5:$HE$70,Ins!F21,Tim!$D$5:$D$70)+SUMIF(Tim!$HF$5:$HF$70,Ins!F21,Tim!$D$5:$D$70)+SUMIF(Tim!$HG$5:$HG$70,Ins!F21,Tim!$D$5:$D$70)+SUMIF(Tim!$HH$5:$HH$70,Ins!F21,Tim!$D$5:$D$70)+SUMIF(Tim!$HI$5:$HI$70,Ins!F21,Tim!$D$5:$D$70)+SUMIF(Tim!$HJ$5:$HJ$70,Ins!F21,Tim!$D$5:$D$70)+SUMIF(Tim!$HK$5:$HK$70,Ins!F21,Tim!$D$5:$D$70)</f>
        <v>0</v>
      </c>
      <c r="BL21" s="80">
        <f>SUMIF(Tim!HL$5:HL$70,Ins!F21,Tim!$C$5:$C$70)</f>
        <v>0</v>
      </c>
      <c r="BM21" s="80">
        <f>SUMIF(Tim!HM$5:HM$70,Ins!F21,Tim!$C$5:$C$70)</f>
        <v>0</v>
      </c>
      <c r="BN21" s="80">
        <f>SUMIF(Tim!HN$5:HN$70,Ins!F21,Tim!$C$5:$C$70)+SUMIF(Tim!HO$5:HO$70,Ins!F21,Tim!$C$5:$C$70)+SUMIF(Tim!HP$5:HP$70,Ins!F21,Tim!$C$5:$C$70)</f>
        <v>0</v>
      </c>
      <c r="BO21" s="81">
        <f>SUMIF(Tim!$HQ$5:$HQ$70,Ins!F21,Tim!$C$5:$C$70)+SUMIF(Tim!$HR$5:$HR$70,Ins!F21,Tim!$C$5:$C$70)+SUMIF(Tim!$HS$5:$HS$70,Ins!F21,Tim!$C$5:$C$70)+SUMIF(Tim!$HT$5:$HT$70,Ins!F21,Tim!$C$5:$C$70)+SUMIF(Tim!$HU$5:$HU$70,Ins!F21,Tim!$C$5:$C$70)</f>
        <v>0</v>
      </c>
      <c r="BP21" s="79">
        <f>SUMIF(Tim!$HV$7:$HV$70,Ins!F21,Tim!$B$7:$B$70)</f>
        <v>0</v>
      </c>
      <c r="BQ21" s="80">
        <f>SUMIF(Tim!$HW$7:$HW$70,Ins!F21,Tim!$B$7:$B$70)+SUMIF(Tim!$HX$7:$HX$70,Ins!F21,Tim!$B$7:$B$70)+SUMIF(Tim!$HY$7:$HY$70,Ins!F21,Tim!$B$7:$B$70)+SUMIF(Tim!$HZ$7:$HZ$70,Ins!F21,Tim!$B$7:$B$70)+SUMIF(Tim!$IA$7:$IA$70,Ins!F21,Tim!$B$7:$B$70)+SUMIF(Tim!$IB$7:$IB$70,Ins!F21,Tim!$B$7:$B$70)</f>
        <v>0</v>
      </c>
      <c r="BR21" s="80">
        <f>SUMIF(Tim!$IC$7:$IC$70,Ins!F21,Tim!$B$7:$B$70)+SUMIF(Tim!$ID$7:$ID$70,Ins!F21,Tim!$B$7:$B$70)+SUMIF(Tim!$IE$7:$IE$70,Ins!F21,Tim!$B$7:$B$70)</f>
        <v>0</v>
      </c>
      <c r="BS21" s="80">
        <f>SUMIF(Tim!$IF$7:$IF$70,Ins!F21,Tim!$B$7:$B$70)+SUMIF(Tim!$IG$7:$IG$70,Ins!F21,Tim!$B$7:$B$70)+SUMIF(Tim!$IH$7:$IH$70,Ins!F21,Tim!$B$7:$B$70)+SUMIF(Tim!$II$7:$II$70,Ins!F21,Tim!$B$7:$B$70)+SUMIF(Tim!$IJ$7:$IJ$70,Ins!F21,Tim!$B$7:$B$70)</f>
        <v>0</v>
      </c>
      <c r="BT21" s="80">
        <f>SUMIF(Tim!$IK$7:$IK$70,Ins!F21,Tim!$B$7:$B$70)+SUMIF(Tim!$IL$7:$IL$70,Ins!F21,Tim!$B$7:$B$70)+SUMIF(Tim!$IM$7:$IM$70,Ins!F21,Tim!$B$7:$B$70)</f>
        <v>0</v>
      </c>
      <c r="BU21" s="80">
        <f>SUMIF(Tim!$IN$7:$IN$70,Ins!F21,Tim!$B$7:$B$70)+SUMIF(Tim!$IO$7:$IO$70,Ins!F21,Tim!$B$7:$B$70)+SUMIF(Tim!$IP$7:$IP$70,Ins!F21,Tim!$B$7:$B$70)</f>
        <v>0</v>
      </c>
      <c r="BV21" s="80">
        <f>SUMIF(Tim!$IQ$7:$IQ$70,Ins!F21,Tim!$B$7:$B$70)</f>
        <v>0</v>
      </c>
      <c r="BW21" s="80">
        <f>SUMIF(Tim!$IR$7:$IR$70,Ins!F21,Tim!$D$7:$D$70)+SUMIF(Tim!$IS$7:$IS$70,Ins!F21,Tim!$D$7:$D$70)+SUMIF(Tim!$IT$7:$IT$70,Ins!F21,Tim!$D$7:$D$70)+SUMIF(Tim!$IU$7:$IU$70,Ins!F21,Tim!$D$7:$D$70)+SUMIF(Tim!$IV$7:$IV$70,Ins!F21,Tim!$D$7:$D$70)+SUMIF(Tim!$IW$7:$IW$70,Ins!F21,Tim!$D$7:$D$70)+SUMIF(Tim!$IX$7:$IX$70,Ins!F21,Tim!$D$7:$D$70)+SUMIF(Tim!$IY$7:$IY$70,Ins!F21,Tim!$D$7:$D$70)+SUMIF(Tim!$IZ$7:$IZ$70,Ins!F21,Tim!$D$7:$D$70)+SUMIF(Tim!$JA$7:$JA$70,Ins!F21,Tim!$D$7:$D$70)+SUMIF(Tim!$JB$7:$JB$70,Ins!F21,Tim!$D$7:$D$70)+SUMIF(Tim!$JC$7:$JC$70,Ins!F21,Tim!$D$7:$D$70)</f>
        <v>0</v>
      </c>
      <c r="BX21" s="80">
        <f>SUMIF(Tim!JD$7:JD$70,Ins!F21,Tim!$C$7:$C$70)</f>
        <v>0</v>
      </c>
      <c r="BY21" s="80">
        <f>SUMIF(Tim!JE$7:JE$70,Ins!F21,Tim!$C$7:$C$70)</f>
        <v>0</v>
      </c>
      <c r="BZ21" s="80">
        <f>SUMIF(Tim!JF$7:JF$70,Ins!F21,Tim!$C$7:$C$70)+SUMIF(Tim!JG$7:JG$70,Ins!F21,Tim!$C$7:$C$70)+SUMIF(Tim!JH$7:JH$70,Ins!F21,Tim!$C$7:$C$70)</f>
        <v>0</v>
      </c>
      <c r="CA21" s="81">
        <f>SUMIF(Tim!$JI$7:$JI$70,Ins!F21,Tim!$C$7:$C$70)++SUMIF(Tim!$JJ$7:$JJ$70,Ins!F21,Tim!$C$7:$C$70)+SUMIF(Tim!$JK$7:$JK$70,Ins!F21,Tim!$C$7:$C$70)+SUMIF(Tim!$JL$7:$JL$70,Ins!F21,Tim!$C$7:$C$70)+SUMIF(Tim!$JM$7:$JM$70,Ins!F21,Tim!$C$7:$C$70)</f>
        <v>0</v>
      </c>
      <c r="CB21" s="79">
        <f>SUMIF(Tim!$JN$7:$JN$70,Ins!F21,Tim!$B$7:$B$70)</f>
        <v>0</v>
      </c>
      <c r="CC21" s="80">
        <f>SUMIF(Tim!$JO$7:$JO$70,Ins!F21,Tim!$B$7:$B$70)+SUMIF(Tim!$JP$7:$JP$70,Ins!F21,Tim!$B$7:$B$70)+SUMIF(Tim!$JQ$7:$JQ$70,Ins!F21,Tim!$B$7:$B$70)+SUMIF(Tim!$JR$7:$JR$70,Ins!F21,Tim!$B$7:$B$70)+SUMIF(Tim!$JS$7:$JS$70,Ins!F21,Tim!$B$7:$B$70)+SUMIF(Tim!$JT$7:$JT$70,Ins!F21,Tim!$B$7:$B$70)</f>
        <v>0</v>
      </c>
      <c r="CD21" s="80">
        <f>SUMIF(Tim!$JW$7:$JW$70,Ins!F21,Tim!$B$7:$B$70)+SUMIF(Tim!$JU$7:$JU$70,Ins!F21,Tim!$B$7:$B$70)+SUMIF(Tim!$JV$7:$JV$70,Ins!F21,Tim!$B$7:$B$70)</f>
        <v>0</v>
      </c>
      <c r="CE21" s="80">
        <f>SUMIF(Tim!$JX$7:$JX$70,Ins!F21,Tim!$B$7:$B$70)+SUMIF(Tim!$JY$7:$JY$70,Ins!F21,Tim!$B$7:$B$70)+SUMIF(Tim!$JZ$7:$JZ$70,Ins!F21,Tim!$B$7:$B$70)+SUMIF(Tim!$KA$7:$KA$70,Ins!F21,Tim!$B$7:$B$70)+SUMIF(Tim!$KB$7:$KB$70,Ins!F21,Tim!$B$7:$B$70)</f>
        <v>0</v>
      </c>
      <c r="CF21" s="80">
        <f>SUMIF(Tim!$KE$7:$KE$70,Ins!F21,Tim!$B$7:$B$70)+SUMIF(Tim!$KC$7:$KC$70,Ins!F21,Tim!$B$7:$B$70)+SUMIF(Tim!$KD$7:$KD$70,Ins!F21,Tim!$B$7:$B$70)</f>
        <v>0</v>
      </c>
      <c r="CG21" s="80">
        <f>SUMIF(Tim!$KF$7:$KF$70,Ins!F21,Tim!$B$7:$B$70)+SUMIF(Tim!$KG$7:$KG$70,Ins!F21,Tim!$B$7:$B$70)+SUMIF(Tim!$KH$7:$KH$70,Ins!F21,Tim!$B$7:$B$70)</f>
        <v>0</v>
      </c>
      <c r="CH21" s="80">
        <f>SUMIF(Tim!$KI$7:$KI$70,Ins!F21,Tim!$B$7:$B$70)</f>
        <v>0</v>
      </c>
      <c r="CI21" s="80">
        <f>SUMIF(Tim!$KJ$7:$KJ$70,Ins!F21,Tim!$D$7:$D$70)+SUMIF(Tim!$KK$7:$KK$70,Ins!F21,Tim!$D$7:$D$70)+SUMIF(Tim!$KL$7:$KL$70,Ins!F21,Tim!$D$7:$D$70)+SUMIF(Tim!$KM$7:$KM$70,Ins!F21,Tim!$D$7:$D$70)+SUMIF(Tim!$KN$7:$KN$70,Ins!F21,Tim!$D$7:$D$70)+SUMIF(Tim!$KO$7:$KO$70,Ins!F21,Tim!$D$7:$D$70)+SUMIF(Tim!$KP$7:$KP$70,Ins!F21,Tim!$D$7:$D$70)+SUMIF(Tim!$KQ$7:$KQ$70,Ins!F21,Tim!$D$7:$D$70)+SUMIF(Tim!$KR$7:$KR$70,Ins!F21,Tim!$D$7:$D$70)+SUMIF(Tim!$KS$7:$KS$70,Ins!F21,Tim!$D$7:$D$70)+SUMIF(Tim!$KT$7:$KT$70,Ins!F21,Tim!$D$7:$D$70)+SUMIF(Tim!$KU$7:$KU$70,Ins!F21,Tim!$D$7:$D$70)</f>
        <v>0</v>
      </c>
      <c r="CJ21" s="80">
        <f>SUMIF(Tim!KV$7:KV$70,Ins!F21,Tim!$C$7:$C$70)</f>
        <v>0</v>
      </c>
      <c r="CK21" s="80">
        <f>SUMIF(Tim!KW$7:KW$70,Ins!F21,Tim!$C$7:$C$70)</f>
        <v>0</v>
      </c>
      <c r="CL21" s="80">
        <f>SUMIF(Tim!KX$7:KX$70,Ins!F21,Tim!$C$7:$C$70)+SUMIF(Tim!KY$7:KY$70,Ins!F21,Tim!$C$7:$C$70)+SUMIF(Tim!KZ$7:KZ$70,Ins!F21,Tim!$C$7:$C$70)</f>
        <v>0</v>
      </c>
      <c r="CM21" s="81">
        <f>SUMIF(Tim!$LA$7:$LA$70,Ins!F21,Tim!$C$7:$C$70)+SUMIF(Tim!$LB$7:$LB$70,Ins!F21,Tim!$C$7:$C$70)+SUMIF(Tim!$LC$7:$LC$70,Ins!F21,Tim!$C$7:$C$70)+SUMIF(Tim!$LD$7:$LD$70,Ins!F21,Tim!$C$7:$C$70)+SUMIF(Tim!$LE$7:$LE$70,Ins!F21,Tim!$C$7:$C$70)</f>
        <v>0</v>
      </c>
      <c r="CN21" s="22"/>
      <c r="CO21" s="180">
        <f t="shared" si="158"/>
        <v>0</v>
      </c>
      <c r="CP21" s="179">
        <f t="shared" si="159"/>
        <v>0</v>
      </c>
      <c r="CQ21" s="179">
        <f t="shared" si="160"/>
        <v>0</v>
      </c>
      <c r="CR21" s="179">
        <f t="shared" si="161"/>
        <v>0</v>
      </c>
      <c r="CS21" s="179">
        <f t="shared" si="162"/>
        <v>0</v>
      </c>
      <c r="CT21" s="179">
        <f t="shared" si="163"/>
        <v>0</v>
      </c>
      <c r="CU21" s="179">
        <f t="shared" si="164"/>
        <v>0</v>
      </c>
      <c r="CV21" s="179">
        <f t="shared" si="165"/>
        <v>0</v>
      </c>
      <c r="CW21" s="179">
        <f t="shared" si="166"/>
        <v>0</v>
      </c>
      <c r="CX21" s="179">
        <f t="shared" si="167"/>
        <v>0</v>
      </c>
      <c r="CY21" s="179">
        <f t="shared" si="172"/>
        <v>0</v>
      </c>
      <c r="CZ21" s="179">
        <f t="shared" si="173"/>
        <v>0</v>
      </c>
      <c r="DA21" s="78">
        <f t="shared" si="174"/>
        <v>0</v>
      </c>
      <c r="DB21" s="16"/>
      <c r="DC21" s="34">
        <f t="shared" si="170"/>
        <v>0</v>
      </c>
      <c r="DD21" s="34">
        <f t="shared" si="15"/>
        <v>0</v>
      </c>
      <c r="DE21" s="34">
        <f t="shared" si="16"/>
        <v>0</v>
      </c>
      <c r="DF21" s="34">
        <f t="shared" si="20"/>
        <v>0</v>
      </c>
      <c r="DG21" s="34">
        <f t="shared" si="17"/>
        <v>0</v>
      </c>
      <c r="DH21" s="34">
        <f t="shared" si="18"/>
        <v>0</v>
      </c>
      <c r="DI21" s="34">
        <f t="shared" si="19"/>
        <v>0</v>
      </c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7"/>
    </row>
    <row r="22" spans="1:125" ht="12" customHeight="1">
      <c r="A22" s="10">
        <v>20</v>
      </c>
      <c r="B22" s="229" t="s">
        <v>431</v>
      </c>
      <c r="C22" s="185"/>
      <c r="D22" s="230"/>
      <c r="E22" s="230" t="s">
        <v>373</v>
      </c>
      <c r="F22" s="185" t="s">
        <v>432</v>
      </c>
      <c r="G22" s="231" t="s">
        <v>191</v>
      </c>
      <c r="H22" s="79">
        <f>SUMIF(Tim!$F$7:$F$70,Ins!F22,Tim!$B$7:$B$70)</f>
        <v>0</v>
      </c>
      <c r="I22" s="80">
        <f>SUMIF(Tim!$G$7:$G$70,Ins!F22,Tim!$B$7:$B$70)+SUMIF(Tim!$H$7:$H$70,Ins!F22,Tim!$B$7:$B$70)+SUMIF(Tim!$I$7:$I$70,Ins!F22,Tim!$B$7:$B$70)+SUMIF(Tim!$J$7:$J$70,Ins!F22,Tim!$B$7:$B$70)+SUMIF(Tim!$K$7:$K$70,Ins!F22,Tim!$B$7:$B$70)+SUMIF(Tim!$L$7:$L$70,Ins!F22,Tim!$B$7:$B$70)</f>
        <v>0</v>
      </c>
      <c r="J22" s="80">
        <f>SUMIF(Tim!$M$7:$M$70,Ins!F22,Tim!$B$7:$B$70)+SUMIF(Tim!$O$7:$O$70,Ins!F22,Tim!$B$7:$B$70)+SUMIF(Tim!$N$7:$N$70,Ins!F22,Tim!$B$7:$B$70)</f>
        <v>0</v>
      </c>
      <c r="K22" s="80">
        <f>SUMIF(Tim!$P$7:$P$70,Ins!F22,Tim!$B$7:$B$70)+SUMIF(Tim!$Q$7:$Q$70,Ins!F22,Tim!$B$7:$B$70)+SUMIF(Tim!$R$7:$R$70,Ins!F22,Tim!$B$7:$B$70)+SUMIF(Tim!$S$7:$S$70,Ins!F22,Tim!$B$7:$B$70)+SUMIF(Tim!$T$7:$T$70,Ins!F22,Tim!$B$7:$B$70)</f>
        <v>0</v>
      </c>
      <c r="L22" s="80">
        <f>SUMIF(Tim!$U$7:$U$70,Ins!F22,Tim!$B$7:$B$70)+SUMIF(Tim!$W$7:$W$70,Ins!F22,Tim!$B$7:$B$70)+SUMIF(Tim!$X$7:$X$70,Ins!F22,Tim!$B$7:$B$70)</f>
        <v>0</v>
      </c>
      <c r="M22" s="80">
        <f>SUMIF(Tim!$Y$7:$Y$70,Ins!F22,Tim!$B$7:$B$70)+SUMIF(Tim!$Z$7:$Z$70,Ins!F22,Tim!$B$7:$B$70)+SUMIF(Tim!$AA$7:$AA$70,Ins!F22,Tim!$B$7:$B$70)</f>
        <v>0</v>
      </c>
      <c r="N22" s="80">
        <f>SUMIF(Tim!$AB$7:$AB$70,Ins!F22,Tim!$B$7:$B$70)</f>
        <v>0</v>
      </c>
      <c r="O22" s="80">
        <f>SUMIF(Tim!$AC$7:$AC$70,Ins!F22,Tim!$D$7:$D$70)+SUMIF(Tim!$AD$7:$AD$70,Ins!F22,Tim!$D$7:$D$70)+SUMIF(Tim!$AE$7:$AE$70,Ins!F22,Tim!$D$7:$D$70)+SUMIF(Tim!$AF$7:$AF$70,Ins!F22,Tim!$D$7:$D$70)+SUMIF(Tim!$AG$7:$AG$70,Ins!F22,Tim!$D$7:$D$70)+SUMIF(Tim!$AH$7:$AH$70,Ins!F22,Tim!$D$7:$D$70)+SUMIF(Tim!$AI$7:$AI$70,Ins!F22,Tim!$D$7:$D$70)+SUMIF(Tim!$AJ$7:$AJ$70,Ins!F22,Tim!$D$7:$D$70)+SUMIF(Tim!$AK$7:$AK$70,Ins!F22,Tim!$D$7:$D$70)+SUMIF(Tim!$AL$7:$AL$70,Ins!F22,Tim!$D$7:$D$70)+SUMIF(Tim!$AM$7:$AM$70,Ins!F22,Tim!$D$7:$D$70)+SUMIF(Tim!$AN$7:$AN$70,Ins!F22,Tim!$D$7:$D$70)</f>
        <v>0</v>
      </c>
      <c r="P22" s="80">
        <f>SUMIF(Tim!AO$7:AO$70,Ins!F22,Tim!$C$7:$C$70)</f>
        <v>0</v>
      </c>
      <c r="Q22" s="80">
        <f>SUMIF(Tim!AP$7:AP$70,Ins!F22,Tim!$C$7:$C$70)</f>
        <v>0</v>
      </c>
      <c r="R22" s="80">
        <f>SUMIF(Tim!AQ$7:AQ$70,Ins!F22,Tim!$C$7:$C$70)+SUMIF(Tim!AR$7:AR$70,Ins!F22,Tim!$C$7:$C$70)+SUMIF(Tim!AS$7:AS$70,Ins!F22,Tim!$C$7:$C$70)</f>
        <v>0</v>
      </c>
      <c r="S22" s="236">
        <f>SUMIF(Tim!$AT$7:$AT$70,Ins!F22,Tim!$C$7:$C$70)+SUMIF(Tim!$AU$7:$AU$70,Ins!F22,Tim!$C$7:$C82)+SUMIF(Tim!$AV$7:$AV$70,Ins!F22,Tim!$C$7:$C$70)+SUMIF(Tim!$AW$7:$AW$70,Ins!F22,Tim!$C$7:$C$70)+SUMIF(Tim!$AX$7:$AX$70,Ins!F22,Tim!$C$7:$C$70)</f>
        <v>2</v>
      </c>
      <c r="T22" s="79">
        <f>SUMIF(Tim!$AY$7:$AY$70,Ins!F22,Tim!$B$7:$B$70)</f>
        <v>0</v>
      </c>
      <c r="U22" s="80">
        <f>SUMIF(Tim!$AZ$7:$AZ$70,Ins!F22,Tim!$B$7:$B$70)+SUMIF(Tim!$BA$7:$BA$70,Ins!F22,Tim!$B$7:$B$70)+SUMIF(Tim!$BB$7:$BB$70,Ins!F22,Tim!$B$7:$B$70)+SUMIF(Tim!$BC$7:$BC$70,Ins!F22,Tim!$B$7:$B$70)+SUMIF(Tim!$BD$7:$BD$70,Ins!F22,Tim!$B$7:$B$70)+SUMIF(Tim!$BE$7:$BE$70,Ins!F22,Tim!$B$7:$B$70)</f>
        <v>0</v>
      </c>
      <c r="V22" s="80">
        <f>SUMIF(Tim!$BF$7:$BF$70,Ins!F22,Tim!$B$7:$B$70)+SUMIF(Tim!$BG$7:$BG$70,Ins!F22,Tim!$B$7:$B$70)+SUMIF(Tim!$BH$7:$BH$70,Ins!F22,Tim!$B$7:$B$70)</f>
        <v>0</v>
      </c>
      <c r="W22" s="80">
        <f>SUMIF(Tim!$BI$7:$BI$70,Ins!F22,Tim!$B$7:$B$70)+SUMIF(Tim!$BJ$7:$BJ$70,Ins!F22,Tim!$B$7:$B$70)+SUMIF(Tim!$BK$7:$BK$70,Ins!F22,Tim!$B$7:$B$70)+SUMIF(Tim!$BL$7:$BL$70,Ins!F22,Tim!$B$7:$B$70)+SUMIF(Tim!$BM$7:$BM$70,Ins!F22,Tim!$B$7:$B$70)</f>
        <v>0</v>
      </c>
      <c r="X22" s="80">
        <f>SUMIF(Tim!$BN$7:$BN$70,Ins!F22,Tim!$B$7:$B$70)+SUMIF(Tim!$BO$7:$BO$70,Ins!F22,Tim!$B$7:$B$70)+SUMIF(Tim!$BP$7:$BP$70,Ins!F22,Tim!$B$7:$B$70)</f>
        <v>0</v>
      </c>
      <c r="Y22" s="80">
        <f>SUMIF(Tim!$BQ$7:$BQ$70,Ins!F22,Tim!$B$7:$B$70)+SUMIF(Tim!$BR$7:$BR$70,Ins!F22,Tim!$B$7:$B$70)+SUMIF(Tim!$BS$7:$BS$70,Ins!F22,Tim!$B$7:$B$70)</f>
        <v>0</v>
      </c>
      <c r="Z22" s="80">
        <f>SUMIF(Tim!BT$7:BT$70,Ins!F22,Tim!$B$7:$B$70)</f>
        <v>0</v>
      </c>
      <c r="AA22" s="80">
        <f>SUMIF(Tim!$BU$7:$BU$70,Ins!F22,Tim!$D$7:$D$70)+SUMIF(Tim!$BV$7:$BV$70,Ins!F22,Tim!$D$7:$D$70)+SUMIF(Tim!$BW$7:$BW$70,Ins!F22,Tim!$D$7:$D$70)+SUMIF(Tim!$BX$7:$BX$70,Ins!F22,Tim!$D$7:$D$70)+SUMIF(Tim!$BY$7:$BY$70,Ins!F22,Tim!$D$7:$D$70)+SUMIF(Tim!$BZ$7:$BZ$70,Ins!F22,Tim!$D$7:$D$70)+SUMIF(Tim!$CA$7:$CA$70,Ins!F22,Tim!$D$7:$D$70)+SUMIF(Tim!$CB$7:$CB$70,Ins!F22,Tim!$D$7:$D$70)+SUMIF(Tim!$CC$7:$CC$70,Ins!F22,Tim!$D$7:$D$70)+SUMIF(Tim!$CD$7:$CD$70,Ins!F22,Tim!$D$7:$D$70)+SUMIF(Tim!$CE$7:$CE$70,Ins!F22,Tim!$D$7:$D$70)+SUMIF(Tim!$CF$7:$CF$70,Ins!F22,Tim!$D$7:$D$70)</f>
        <v>0</v>
      </c>
      <c r="AB22" s="80">
        <f>SUMIF(Tim!CG$7:CG$70,Ins!F22,Tim!$C$7:$C$70)</f>
        <v>0</v>
      </c>
      <c r="AC22" s="80">
        <f>SUMIF(Tim!CH$7:CH$70,Ins!F22,Tim!$C$7:$C$70)</f>
        <v>0</v>
      </c>
      <c r="AD22" s="80">
        <f>SUMIF(Tim!CI$7:CI$70,Ins!F22,Tim!$C$7:$C$70)+SUMIF(Tim!CJ$7:CJ$70,Ins!F22,Tim!$C$7:$C$70)+SUMIF(Tim!CK$7:CK$70,Ins!F22,Tim!$C$7:$C$70)</f>
        <v>0</v>
      </c>
      <c r="AE22" s="81">
        <f>SUMIF(Tim!$CL$7:$CL$70,Ins!F22,Tim!$C$7:$C$70)+SUMIF(Tim!$CM$7:$CM$70,Ins!F22,Tim!$C$7:$C$70)+SUMIF(Tim!$CN$7:$CN$70,Ins!F22,Tim!$C$7:$C$70)+SUMIF(Tim!$CO$7:$CO$70,Ins!F22,Tim!$C$7:$C$70)+SUMIF(Tim!$CP$7:$CP$70,Ins!F22,Tim!$C$7:$C$70)</f>
        <v>1</v>
      </c>
      <c r="AF22" s="79">
        <f>SUMIF(Tim!$CQ$7:$CQ$70,Ins!F22,Tim!$B$7:$B$70)</f>
        <v>0</v>
      </c>
      <c r="AG22" s="80">
        <f>SUMIF(Tim!$CR$7:$CR$70,Ins!F22,Tim!$B$7:$B$70)+SUMIF(Tim!$CS$7:$CS$70,Ins!F22,Tim!$B$7:$B$70)+SUMIF(Tim!$CT$7:$CT$70,Ins!F22,Tim!$B$7:$B$70)+SUMIF(Tim!$CU$7:$CU$70,Ins!F22,Tim!$B$7:$B$70)+SUMIF(Tim!$CV$7:$CV$70,Ins!F22,Tim!$B$7:$B$70)+SUMIF(Tim!$CW$7:$CW$70,Ins!F22,Tim!$B$7:$B$70)</f>
        <v>0</v>
      </c>
      <c r="AH22" s="80">
        <f>SUMIF(Tim!$CX$7:$CX$70,Ins!F22,Tim!$B$7:$B$70)+SUMIF(Tim!$CY$7:$CY$70,Ins!F22,Tim!$B$7:$B$70)+SUMIF(Tim!$CZ$7:$CZ$70,Ins!F22,Tim!$B$7:$B$70)</f>
        <v>0</v>
      </c>
      <c r="AI22" s="80">
        <f>SUMIF(Tim!$DA$7:$DA$70,Ins!F22,Tim!$B$7:$B$70)+SUMIF(Tim!$DB$7:$DB$70,Ins!F22,Tim!$B$7:$B$70)+SUMIF(Tim!$DC$7:$DC$70,Ins!F22,Tim!$B$7:$B$70)+SUMIF(Tim!$DD$7:$DD$70,Ins!F22,Tim!$B$7:$B$70)+SUMIF(Tim!$DE$7:$DE$70,Ins!F22,Tim!$B$7:$B$70)</f>
        <v>0</v>
      </c>
      <c r="AJ22" s="80">
        <f>SUMIF(Tim!$DF$7:$DF$70,Ins!F22,Tim!$B$7:$B$70)+SUMIF(Tim!$DG$7:$DG$70,Ins!F22,Tim!$B$7:$B$70)+SUMIF(Tim!$DH$7:$DH$70,Ins!F22,Tim!$B$7:$B$70)</f>
        <v>0</v>
      </c>
      <c r="AK22" s="80">
        <f>SUMIF(Tim!DI$7:DI$70,Ins!F22,Tim!$B$7:$B$70)+SUMIF(Tim!DM$7:DM$70,Ins!F22,Tim!$B$7:$B$70)+SUMIF(Tim!DN$7:DN$70,Ins!F22,Tim!$B$7:$B$70)</f>
        <v>0</v>
      </c>
      <c r="AL22" s="80">
        <f>SUMIF(Tim!DO$7:DO$70,Ins!F22,Tim!$B$7:$B$70)</f>
        <v>0</v>
      </c>
      <c r="AM22" s="80">
        <f>SUMIF(Tim!$DP$7:$DP$70,Ins!F22,Tim!$D$7:$D$70)+SUMIF(Tim!$DQ$7:$DQ$70,Ins!F22,Tim!$D$7:$D$70)+SUMIF(Tim!$DR$7:$DR$70,Ins!F22,Tim!$D$7:$D$70)+SUMIF(Tim!$DS$7:$DS$70,Ins!F22,Tim!$D$7:$D$70)+SUMIF(Tim!$DT$7:$DT$70,Ins!F22,Tim!$D$7:$D$70)+SUMIF(Tim!$DU$7:$DU$70,Ins!F22,Tim!$D$7:$D$70)+SUMIF(Tim!$DV$7:$DV$70,Ins!F22,Tim!$D$7:$D$70)+SUMIF(Tim!$DW$7:$DW$70,Ins!F22,Tim!$D$7:$D$70)+SUMIF(Tim!$DX$7:$DX$70,Ins!F22,Tim!$D$7:$D$70)+SUMIF(Tim!$DY$7:$DY$70,Ins!F22,Tim!$D$7:$D$70)+SUMIF(Tim!$DZ$7:$DZ$70,Ins!F22,Tim!$D$7:$D$70)+SUMIF(Tim!$EA$7:$EA$70,Ins!F22,Tim!$D$7:$D$70)</f>
        <v>0</v>
      </c>
      <c r="AN22" s="80">
        <f>SUMIF(Tim!EB$7:EB$70,Ins!F22,Tim!$C$7:$C$70)</f>
        <v>0</v>
      </c>
      <c r="AO22" s="80">
        <f>SUMIF(Tim!EC$7:EC$70,Ins!F22,Tim!$C$7:$C$70)</f>
        <v>0</v>
      </c>
      <c r="AP22" s="80">
        <f>SUMIF(Tim!ED$7:ED$70,Ins!F22,Tim!$C$7:$C$70)+SUMIF(Tim!EE$7:EE$70,Ins!F22,Tim!$C$7:$C$70)+SUMIF(Tim!EF$7:EF$70,Ins!F22,Tim!$C$7:$C$70)</f>
        <v>0</v>
      </c>
      <c r="AQ22" s="81">
        <f>SUMIF(Tim!$EG$7:$EG$70,Ins!F22,Tim!$C$7:$C$70)+SUMIF(Tim!$EH$7:$EH$70,Ins!F22,Tim!$C$7:$C$70)+SUMIF(Tim!$EI$7:$EI$70,Ins!F22,Tim!$C$7:$C$70)+SUMIF(Tim!$EJ$7:$EJ$70,Ins!F22,Tim!$C$7:$C$70)+SUMIF(Tim!$EK$7:$EK$70,Ins!F22,Tim!$C$7:$C$70)</f>
        <v>0</v>
      </c>
      <c r="AR22" s="79">
        <f>SUMIF(Tim!$EL$5:$EL$70,Ins!F22,Tim!$B$5:$B$70)</f>
        <v>0</v>
      </c>
      <c r="AS22" s="80">
        <f>SUMIF(Tim!$EM$5:$EM$70,Ins!F22,Tim!$B$5:$B$70)+SUMIF(Tim!$EN$5:$EN$70,Ins!F22,Tim!$B$5:$B$70)+SUMIF(Tim!$EO$5:$EO$70,Ins!F22,Tim!$B$5:$B$70)+SUMIF(Tim!$EP$5:$EP$70,Ins!F22,Tim!$B$5:$B$70)+SUMIF(Tim!$EQ$5:$EQ$70,Ins!F22,Tim!$B$5:$B$70)+SUMIF(Tim!$ER$5:$ER$70,Ins!F22,Tim!$B$5:$B$70)</f>
        <v>0</v>
      </c>
      <c r="AT22" s="80">
        <f>SUMIF(Tim!$ES$5:$ES$70,Ins!F22,Tim!$B$5:$B$70)+SUMIF(Tim!$ET$5:$ET$70,Ins!F22,Tim!$B$5:$B$70)+SUMIF(Tim!$EU$5:$EU$70,Ins!F22,Tim!$B$5:$B$70)</f>
        <v>0</v>
      </c>
      <c r="AU22" s="80">
        <f>SUMIF(Tim!$EV$5:$EV$70,Ins!F22,Tim!$B$5:$B$70)+SUMIF(Tim!$EW$5:$EW$70,Ins!F22,Tim!$B$5:$B$70)+SUMIF(Tim!$EX$5:$EX$70,Ins!F22,Tim!$B$5:$B$70)+SUMIF(Tim!$EY$5:$EY$70,Ins!F22,Tim!$B$5:$B$70)+SUMIF(Tim!$EZ$5:$EZ$70,Ins!F22,Tim!$B$5:$B$70)</f>
        <v>0</v>
      </c>
      <c r="AV22" s="80">
        <f>SUMIF(Tim!$FA$5:$FA$70,Ins!F22,Tim!$B$5:$B$70)+SUMIF(Tim!$FB$5:$FB$70,Ins!F22,Tim!$B$5:$B$70)+SUMIF(Tim!$FC$5:$FC$70,Ins!F22,Tim!$B$5:$B$70)</f>
        <v>0</v>
      </c>
      <c r="AW22" s="80">
        <f>SUMIF(Tim!FD$5:FD$70,Ins!F22,Tim!$B$5:$B$70)+SUMIF(Tim!FE$5:FE$70,Ins!F22,Tim!$B$5:$B$70)+SUMIF(Tim!FF$5:FF$70,Ins!F22,Tim!$B$5:$B$70)</f>
        <v>0</v>
      </c>
      <c r="AX22" s="80">
        <f>SUMIF(Tim!FG$5:FG$70,Ins!F22,Tim!$B$5:$B$70)</f>
        <v>0</v>
      </c>
      <c r="AY22" s="80">
        <f>SUMIF(Tim!$FH$5:$FH$70,Ins!F22,Tim!$D$5:$D$70)+SUMIF(Tim!$FI$5:$FI$70,Ins!F22,Tim!$D$5:$D$70)+SUMIF(Tim!$FJ$5:$FJ$70,Ins!F22,Tim!$D$5:$D$70)+SUMIF(Tim!$FK$5:$FK$70,Ins!F22,Tim!$D$5:$D$70)+SUMIF(Tim!$FL$5:$FL$70,Ins!F22,Tim!$D$5:$D$70)+SUMIF(Tim!$FM$5:$FM$70,Ins!F22,Tim!$D$5:$D$70)+SUMIF(Tim!$FN$5:$FN$70,Ins!F22,Tim!$D$5:$D$70)+SUMIF(Tim!$FO$5:$FO$70,Ins!F22,Tim!$D$5:$D$70)+SUMIF(Tim!$FP$5:$FP$70,Ins!F22,Tim!$D$5:$D$70)+SUMIF(Tim!$FQ$5:$FQ$70,Ins!F22,Tim!$D$5:$D$70)+SUMIF(Tim!$FR$5:$FR$70,Ins!F22,Tim!$D$5:$D$70)+SUMIF(Tim!$FS$5:$FS$70,Ins!F22,Tim!$D$5:$D$70)</f>
        <v>0</v>
      </c>
      <c r="AZ22" s="80">
        <f>SUMIF(Tim!FT$5:FT$70,Ins!F22,Tim!$C$5:$C$70)</f>
        <v>0</v>
      </c>
      <c r="BA22" s="80">
        <f>SUMIF(Tim!FU$5:FU$70,Ins!F22,Tim!$C$5:$C$70)</f>
        <v>0</v>
      </c>
      <c r="BB22" s="80">
        <f>SUMIF(Tim!FV$5:FV$70,Ins!F22,Tim!$C$5:$C$70)+SUMIF(Tim!FW$5:FW$70,Ins!F22,Tim!$C$5:$C$70)+SUMIF(Tim!FX$5:FX$70,Ins!F22,Tim!$C$5:$C$70)</f>
        <v>0</v>
      </c>
      <c r="BC22" s="81">
        <f>SUMIF(Tim!$FY$5:$FY$70,Ins!F22,Tim!$C$5:$C$70)+SUMIF(Tim!$FZ$5:$FZ$70,Ins!F22,Tim!$C$5:$C$70)+SUMIF(Tim!$GA$5:$GA$70,Ins!F22,Tim!$C$5:$C$70)+SUMIF(Tim!$GB$5:$GB$70,Ins!F22,Tim!$C$5:$C$70)+SUMIF(Tim!$GC$5:$GC$70,Ins!F22,Tim!$C$5:$C$70)</f>
        <v>0</v>
      </c>
      <c r="BD22" s="79">
        <f>SUMIF(Tim!$GD$5:$GD$70,Ins!F22,Tim!$B$5:$B$70)</f>
        <v>0</v>
      </c>
      <c r="BE22" s="80">
        <f>SUMIF(Tim!$GE$5:$GE$70,Ins!F22,Tim!$B$5:$B$70)+SUMIF(Tim!$GF$5:$GF$70,Ins!F22,Tim!$B$5:$B$70)+SUMIF(Tim!$GG$5:$GG$70,Ins!F22,Tim!$B$5:$B$70)+SUMIF(Tim!$GH$5:$GH$70,Ins!F22,Tim!$B$5:$B$70)+SUMIF(Tim!$GI$5:$GI$70,Ins!F22,Tim!$B$5:$B$70)+SUMIF(Tim!$GJ$5:$GJ$70,Ins!F22,Tim!$B$5:$B$70)</f>
        <v>0</v>
      </c>
      <c r="BF22" s="80">
        <f>SUMIF(Tim!$GK$5:$GK$70,Ins!F22,Tim!$B$5:$B$70)+SUMIF(Tim!$GL$5:$GL$70,Ins!F22,Tim!$B$5:$B$70)+SUMIF(Tim!$GM$5:$GM$70,Ins!F22,Tim!$B$5:$B$70)</f>
        <v>0</v>
      </c>
      <c r="BG22" s="80">
        <f>SUMIF(Tim!$GN$5:$GN$70,Ins!F22,Tim!$B$5:$B$70)+SUMIF(Tim!$GO$5:$GO$70,Ins!F22,Tim!$B$5:$B$70)+SUMIF(Tim!$GP$5:$GP$70,Ins!F22,Tim!$B$5:$B$70)+SUMIF(Tim!$GQ$5:$GQ$70,Ins!F22,Tim!$B$5:$B$70)+SUMIF(Tim!$GR$5:$GR$70,Ins!F22,Tim!$B$5:$B$70)</f>
        <v>0</v>
      </c>
      <c r="BH22" s="80">
        <f>SUMIF(Tim!$GS$5:$GS$70,Ins!F22,Tim!$B$5:$B$70)+SUMIF(Tim!$GT$5:$GT$70,Ins!F22,Tim!$B$5:$B$70)+SUMIF(Tim!$GU$5:$GU$70,Ins!F22,Tim!$B$5:$B$70)</f>
        <v>0</v>
      </c>
      <c r="BI22" s="80">
        <f>SUMIF(Tim!GV$5:GV$70,Ins!F22,Tim!$B$5:$B$70)+SUMIF(Tim!GW$5:GW$70,Ins!F22,Tim!$B$5:$B$70)+SUMIF(Tim!GX$5:GX$70,Ins!F22,Tim!$B$5:$B$70)</f>
        <v>0</v>
      </c>
      <c r="BJ22" s="80">
        <f>SUMIF(Tim!GY$5:GY$70,Ins!F22,Tim!$B$5:$B$70)</f>
        <v>0</v>
      </c>
      <c r="BK22" s="80">
        <f>SUMIF(Tim!$GZ$5:$GZ$70,Ins!F22,Tim!$D$5:$D$70)+SUMIF(Tim!$HA$5:$HA$70,Ins!F22,Tim!$D$5:$D$70)+SUMIF(Tim!$HB$5:$HB$70,Ins!F22,Tim!$D$5:$D$70)++SUMIF(Tim!$HC$5:$HC$70,Ins!F22,Tim!$D$5:$D$70)+SUMIF(Tim!$HD$5:$HD$70,Ins!F22,Tim!$D$5:$D$70)+SUMIF(Tim!$HE$5:$HE$70,Ins!F22,Tim!$D$5:$D$70)+SUMIF(Tim!$HF$5:$HF$70,Ins!F22,Tim!$D$5:$D$70)+SUMIF(Tim!$HG$5:$HG$70,Ins!F22,Tim!$D$5:$D$70)+SUMIF(Tim!$HH$5:$HH$70,Ins!F22,Tim!$D$5:$D$70)+SUMIF(Tim!$HI$5:$HI$70,Ins!F22,Tim!$D$5:$D$70)+SUMIF(Tim!$HJ$5:$HJ$70,Ins!F22,Tim!$D$5:$D$70)+SUMIF(Tim!$HK$5:$HK$70,Ins!F22,Tim!$D$5:$D$70)</f>
        <v>0</v>
      </c>
      <c r="BL22" s="80">
        <f>SUMIF(Tim!HL$5:HL$70,Ins!F22,Tim!$C$5:$C$70)</f>
        <v>0</v>
      </c>
      <c r="BM22" s="80">
        <f>SUMIF(Tim!HM$5:HM$70,Ins!F22,Tim!$C$5:$C$70)</f>
        <v>0</v>
      </c>
      <c r="BN22" s="80">
        <f>SUMIF(Tim!HN$5:HN$70,Ins!F22,Tim!$C$5:$C$70)+SUMIF(Tim!HO$5:HO$70,Ins!F22,Tim!$C$5:$C$70)+SUMIF(Tim!HP$5:HP$70,Ins!F22,Tim!$C$5:$C$70)</f>
        <v>0</v>
      </c>
      <c r="BO22" s="81">
        <f>SUMIF(Tim!$HQ$5:$HQ$70,Ins!F22,Tim!$C$5:$C$70)+SUMIF(Tim!$HR$5:$HR$70,Ins!F22,Tim!$C$5:$C$70)+SUMIF(Tim!$HS$5:$HS$70,Ins!F22,Tim!$C$5:$C$70)+SUMIF(Tim!$HT$5:$HT$70,Ins!F22,Tim!$C$5:$C$70)+SUMIF(Tim!$HU$5:$HU$70,Ins!F22,Tim!$C$5:$C$70)</f>
        <v>0</v>
      </c>
      <c r="BP22" s="79">
        <f>SUMIF(Tim!$HV$7:$HV$70,Ins!F22,Tim!$B$7:$B$70)</f>
        <v>0</v>
      </c>
      <c r="BQ22" s="80">
        <f>SUMIF(Tim!$HW$7:$HW$70,Ins!F22,Tim!$B$7:$B$70)+SUMIF(Tim!$HX$7:$HX$70,Ins!F22,Tim!$B$7:$B$70)+SUMIF(Tim!$HY$7:$HY$70,Ins!F22,Tim!$B$7:$B$70)+SUMIF(Tim!$HZ$7:$HZ$70,Ins!F22,Tim!$B$7:$B$70)+SUMIF(Tim!$IA$7:$IA$70,Ins!F22,Tim!$B$7:$B$70)+SUMIF(Tim!$IB$7:$IB$70,Ins!F22,Tim!$B$7:$B$70)</f>
        <v>0</v>
      </c>
      <c r="BR22" s="80">
        <f>SUMIF(Tim!$IC$7:$IC$70,Ins!F22,Tim!$B$7:$B$70)+SUMIF(Tim!$ID$7:$ID$70,Ins!F22,Tim!$B$7:$B$70)+SUMIF(Tim!$IE$7:$IE$70,Ins!F22,Tim!$B$7:$B$70)</f>
        <v>0</v>
      </c>
      <c r="BS22" s="80">
        <f>SUMIF(Tim!$IF$7:$IF$70,Ins!F22,Tim!$B$7:$B$70)+SUMIF(Tim!$IG$7:$IG$70,Ins!F22,Tim!$B$7:$B$70)+SUMIF(Tim!$IH$7:$IH$70,Ins!F22,Tim!$B$7:$B$70)+SUMIF(Tim!$II$7:$II$70,Ins!F22,Tim!$B$7:$B$70)+SUMIF(Tim!$IJ$7:$IJ$70,Ins!F22,Tim!$B$7:$B$70)</f>
        <v>0</v>
      </c>
      <c r="BT22" s="80">
        <f>SUMIF(Tim!$IK$7:$IK$70,Ins!F22,Tim!$B$7:$B$70)+SUMIF(Tim!$IL$7:$IL$70,Ins!F22,Tim!$B$7:$B$70)+SUMIF(Tim!$IM$7:$IM$70,Ins!F22,Tim!$B$7:$B$70)</f>
        <v>0</v>
      </c>
      <c r="BU22" s="80">
        <f>SUMIF(Tim!$IN$7:$IN$70,Ins!F22,Tim!$B$7:$B$70)+SUMIF(Tim!$IO$7:$IO$70,Ins!F22,Tim!$B$7:$B$70)+SUMIF(Tim!$IP$7:$IP$70,Ins!F22,Tim!$B$7:$B$70)</f>
        <v>0</v>
      </c>
      <c r="BV22" s="80">
        <f>SUMIF(Tim!$IQ$7:$IQ$70,Ins!F22,Tim!$B$7:$B$70)</f>
        <v>0</v>
      </c>
      <c r="BW22" s="80">
        <f>SUMIF(Tim!$IR$7:$IR$70,Ins!F22,Tim!$D$7:$D$70)+SUMIF(Tim!$IS$7:$IS$70,Ins!F22,Tim!$D$7:$D$70)+SUMIF(Tim!$IT$7:$IT$70,Ins!F22,Tim!$D$7:$D$70)+SUMIF(Tim!$IU$7:$IU$70,Ins!F22,Tim!$D$7:$D$70)+SUMIF(Tim!$IV$7:$IV$70,Ins!F22,Tim!$D$7:$D$70)+SUMIF(Tim!$IW$7:$IW$70,Ins!F22,Tim!$D$7:$D$70)+SUMIF(Tim!$IX$7:$IX$70,Ins!F22,Tim!$D$7:$D$70)+SUMIF(Tim!$IY$7:$IY$70,Ins!F22,Tim!$D$7:$D$70)+SUMIF(Tim!$IZ$7:$IZ$70,Ins!F22,Tim!$D$7:$D$70)+SUMIF(Tim!$JA$7:$JA$70,Ins!F22,Tim!$D$7:$D$70)+SUMIF(Tim!$JB$7:$JB$70,Ins!F22,Tim!$D$7:$D$70)+SUMIF(Tim!$JC$7:$JC$70,Ins!F22,Tim!$D$7:$D$70)</f>
        <v>0</v>
      </c>
      <c r="BX22" s="80">
        <f>SUMIF(Tim!JD$7:JD$70,Ins!F22,Tim!$C$7:$C$70)</f>
        <v>0</v>
      </c>
      <c r="BY22" s="80">
        <f>SUMIF(Tim!JE$7:JE$70,Ins!F22,Tim!$C$7:$C$70)</f>
        <v>0</v>
      </c>
      <c r="BZ22" s="80">
        <f>SUMIF(Tim!JF$7:JF$70,Ins!F22,Tim!$C$7:$C$70)+SUMIF(Tim!JG$7:JG$70,Ins!F22,Tim!$C$7:$C$70)+SUMIF(Tim!JH$7:JH$70,Ins!F22,Tim!$C$7:$C$70)</f>
        <v>0</v>
      </c>
      <c r="CA22" s="81">
        <f>SUMIF(Tim!$JI$7:$JI$70,Ins!F22,Tim!$C$7:$C$70)++SUMIF(Tim!$JJ$7:$JJ$70,Ins!F22,Tim!$C$7:$C$70)+SUMIF(Tim!$JK$7:$JK$70,Ins!F22,Tim!$C$7:$C$70)+SUMIF(Tim!$JL$7:$JL$70,Ins!F22,Tim!$C$7:$C$70)+SUMIF(Tim!$JM$7:$JM$70,Ins!F22,Tim!$C$7:$C$70)</f>
        <v>1</v>
      </c>
      <c r="CB22" s="79">
        <f>SUMIF(Tim!$JN$7:$JN$70,Ins!F22,Tim!$B$7:$B$70)</f>
        <v>0</v>
      </c>
      <c r="CC22" s="80">
        <f>SUMIF(Tim!$JO$7:$JO$70,Ins!F22,Tim!$B$7:$B$70)+SUMIF(Tim!$JP$7:$JP$70,Ins!F22,Tim!$B$7:$B$70)+SUMIF(Tim!$JQ$7:$JQ$70,Ins!F22,Tim!$B$7:$B$70)+SUMIF(Tim!$JR$7:$JR$70,Ins!F22,Tim!$B$7:$B$70)+SUMIF(Tim!$JS$7:$JS$70,Ins!F22,Tim!$B$7:$B$70)+SUMIF(Tim!$JT$7:$JT$70,Ins!F22,Tim!$B$7:$B$70)</f>
        <v>0</v>
      </c>
      <c r="CD22" s="80">
        <f>SUMIF(Tim!$JW$7:$JW$70,Ins!F22,Tim!$B$7:$B$70)+SUMIF(Tim!$JU$7:$JU$70,Ins!F22,Tim!$B$7:$B$70)+SUMIF(Tim!$JV$7:$JV$70,Ins!F22,Tim!$B$7:$B$70)</f>
        <v>0</v>
      </c>
      <c r="CE22" s="80">
        <f>SUMIF(Tim!$JX$7:$JX$70,Ins!F22,Tim!$B$7:$B$70)+SUMIF(Tim!$JY$7:$JY$70,Ins!F22,Tim!$B$7:$B$70)+SUMIF(Tim!$JZ$7:$JZ$70,Ins!F22,Tim!$B$7:$B$70)+SUMIF(Tim!$KA$7:$KA$70,Ins!F22,Tim!$B$7:$B$70)+SUMIF(Tim!$KB$7:$KB$70,Ins!F22,Tim!$B$7:$B$70)</f>
        <v>0</v>
      </c>
      <c r="CF22" s="80">
        <f>SUMIF(Tim!$KE$7:$KE$70,Ins!F22,Tim!$B$7:$B$70)+SUMIF(Tim!$KC$7:$KC$70,Ins!F22,Tim!$B$7:$B$70)+SUMIF(Tim!$KD$7:$KD$70,Ins!F22,Tim!$B$7:$B$70)</f>
        <v>0</v>
      </c>
      <c r="CG22" s="80">
        <f>SUMIF(Tim!$KF$7:$KF$70,Ins!F22,Tim!$B$7:$B$70)+SUMIF(Tim!$KG$7:$KG$70,Ins!F22,Tim!$B$7:$B$70)+SUMIF(Tim!$KH$7:$KH$70,Ins!F22,Tim!$B$7:$B$70)</f>
        <v>0</v>
      </c>
      <c r="CH22" s="80">
        <f>SUMIF(Tim!$KI$7:$KI$70,Ins!F22,Tim!$B$7:$B$70)</f>
        <v>0</v>
      </c>
      <c r="CI22" s="80">
        <f>SUMIF(Tim!$KJ$7:$KJ$70,Ins!F22,Tim!$D$7:$D$70)+SUMIF(Tim!$KK$7:$KK$70,Ins!F22,Tim!$D$7:$D$70)+SUMIF(Tim!$KL$7:$KL$70,Ins!F22,Tim!$D$7:$D$70)+SUMIF(Tim!$KM$7:$KM$70,Ins!F22,Tim!$D$7:$D$70)+SUMIF(Tim!$KN$7:$KN$70,Ins!F22,Tim!$D$7:$D$70)+SUMIF(Tim!$KO$7:$KO$70,Ins!F22,Tim!$D$7:$D$70)+SUMIF(Tim!$KP$7:$KP$70,Ins!F22,Tim!$D$7:$D$70)+SUMIF(Tim!$KQ$7:$KQ$70,Ins!F22,Tim!$D$7:$D$70)+SUMIF(Tim!$KR$7:$KR$70,Ins!F22,Tim!$D$7:$D$70)+SUMIF(Tim!$KS$7:$KS$70,Ins!F22,Tim!$D$7:$D$70)+SUMIF(Tim!$KT$7:$KT$70,Ins!F22,Tim!$D$7:$D$70)+SUMIF(Tim!$KU$7:$KU$70,Ins!F22,Tim!$D$7:$D$70)</f>
        <v>0</v>
      </c>
      <c r="CJ22" s="80">
        <f>SUMIF(Tim!KV$7:KV$70,Ins!F22,Tim!$C$7:$C$70)</f>
        <v>0</v>
      </c>
      <c r="CK22" s="80">
        <f>SUMIF(Tim!KW$7:KW$70,Ins!F22,Tim!$C$7:$C$70)</f>
        <v>0</v>
      </c>
      <c r="CL22" s="80">
        <f>SUMIF(Tim!KX$7:KX$70,Ins!F22,Tim!$C$7:$C$70)+SUMIF(Tim!KY$7:KY$70,Ins!F22,Tim!$C$7:$C$70)+SUMIF(Tim!KZ$7:KZ$70,Ins!F22,Tim!$C$7:$C$70)</f>
        <v>0</v>
      </c>
      <c r="CM22" s="81">
        <f>SUMIF(Tim!$LA$7:$LA$70,Ins!F22,Tim!$C$7:$C$70)+SUMIF(Tim!$LB$7:$LB$70,Ins!F22,Tim!$C$7:$C$70)+SUMIF(Tim!$LC$7:$LC$70,Ins!F22,Tim!$C$7:$C$70)+SUMIF(Tim!$LD$7:$LD$70,Ins!F22,Tim!$C$7:$C$70)+SUMIF(Tim!$LE$7:$LE$70,Ins!F22,Tim!$C$7:$C$70)</f>
        <v>2</v>
      </c>
      <c r="CN22" s="22"/>
      <c r="CO22" s="180">
        <f t="shared" si="158"/>
        <v>0</v>
      </c>
      <c r="CP22" s="179">
        <f t="shared" si="159"/>
        <v>0</v>
      </c>
      <c r="CQ22" s="179">
        <f t="shared" si="160"/>
        <v>0</v>
      </c>
      <c r="CR22" s="179">
        <f t="shared" si="161"/>
        <v>0</v>
      </c>
      <c r="CS22" s="179">
        <f t="shared" si="162"/>
        <v>0</v>
      </c>
      <c r="CT22" s="179">
        <f t="shared" si="163"/>
        <v>0</v>
      </c>
      <c r="CU22" s="179">
        <f t="shared" si="164"/>
        <v>0</v>
      </c>
      <c r="CV22" s="179">
        <f t="shared" si="165"/>
        <v>0</v>
      </c>
      <c r="CW22" s="179">
        <f t="shared" si="166"/>
        <v>0</v>
      </c>
      <c r="CX22" s="179">
        <f t="shared" si="167"/>
        <v>0</v>
      </c>
      <c r="CY22" s="179">
        <f t="shared" si="172"/>
        <v>0</v>
      </c>
      <c r="CZ22" s="179">
        <f t="shared" si="173"/>
        <v>6</v>
      </c>
      <c r="DA22" s="78">
        <f t="shared" si="174"/>
        <v>6</v>
      </c>
      <c r="DB22" s="16"/>
      <c r="DC22" s="34">
        <f t="shared" si="170"/>
        <v>2</v>
      </c>
      <c r="DD22" s="34">
        <f t="shared" si="15"/>
        <v>1</v>
      </c>
      <c r="DE22" s="34">
        <f t="shared" si="16"/>
        <v>0</v>
      </c>
      <c r="DF22" s="34">
        <f t="shared" si="20"/>
        <v>0</v>
      </c>
      <c r="DG22" s="34">
        <f t="shared" si="17"/>
        <v>0</v>
      </c>
      <c r="DH22" s="34">
        <f t="shared" si="18"/>
        <v>1</v>
      </c>
      <c r="DI22" s="34">
        <f t="shared" si="19"/>
        <v>2</v>
      </c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7"/>
    </row>
    <row r="23" spans="1:125" ht="12" customHeight="1">
      <c r="A23" s="10">
        <v>21</v>
      </c>
      <c r="B23" s="229" t="s">
        <v>468</v>
      </c>
      <c r="C23" s="185"/>
      <c r="D23" s="230"/>
      <c r="E23" s="230" t="s">
        <v>373</v>
      </c>
      <c r="F23" s="185" t="s">
        <v>469</v>
      </c>
      <c r="G23" s="231" t="s">
        <v>191</v>
      </c>
      <c r="H23" s="79">
        <f>SUMIF(Tim!$F$7:$F$70,Ins!F23,Tim!$B$7:$B$70)</f>
        <v>0</v>
      </c>
      <c r="I23" s="80">
        <f>SUMIF(Tim!$G$7:$G$70,Ins!F23,Tim!$B$7:$B$70)+SUMIF(Tim!$H$7:$H$70,Ins!F23,Tim!$B$7:$B$70)+SUMIF(Tim!$I$7:$I$70,Ins!F23,Tim!$B$7:$B$70)+SUMIF(Tim!$J$7:$J$70,Ins!F23,Tim!$B$7:$B$70)+SUMIF(Tim!$K$7:$K$70,Ins!F23,Tim!$B$7:$B$70)+SUMIF(Tim!$L$7:$L$70,Ins!F23,Tim!$B$7:$B$70)</f>
        <v>0</v>
      </c>
      <c r="J23" s="80">
        <f>SUMIF(Tim!$M$7:$M$70,Ins!F23,Tim!$B$7:$B$70)+SUMIF(Tim!$O$7:$O$70,Ins!F23,Tim!$B$7:$B$70)+SUMIF(Tim!$N$7:$N$70,Ins!F23,Tim!$B$7:$B$70)</f>
        <v>0</v>
      </c>
      <c r="K23" s="80">
        <f>SUMIF(Tim!$P$7:$P$70,Ins!F23,Tim!$B$7:$B$70)+SUMIF(Tim!$Q$7:$Q$70,Ins!F23,Tim!$B$7:$B$70)+SUMIF(Tim!$R$7:$R$70,Ins!F23,Tim!$B$7:$B$70)+SUMIF(Tim!$S$7:$S$70,Ins!F23,Tim!$B$7:$B$70)+SUMIF(Tim!$T$7:$T$70,Ins!F23,Tim!$B$7:$B$70)</f>
        <v>0</v>
      </c>
      <c r="L23" s="80">
        <f>SUMIF(Tim!$U$7:$U$70,Ins!F23,Tim!$B$7:$B$70)+SUMIF(Tim!$W$7:$W$70,Ins!F23,Tim!$B$7:$B$70)+SUMIF(Tim!$X$7:$X$70,Ins!F23,Tim!$B$7:$B$70)</f>
        <v>0</v>
      </c>
      <c r="M23" s="80">
        <f>SUMIF(Tim!$Y$7:$Y$70,Ins!F23,Tim!$B$7:$B$70)+SUMIF(Tim!$Z$7:$Z$70,Ins!F23,Tim!$B$7:$B$70)+SUMIF(Tim!$AA$7:$AA$70,Ins!F23,Tim!$B$7:$B$70)</f>
        <v>0</v>
      </c>
      <c r="N23" s="80">
        <f>SUMIF(Tim!$AB$7:$AB$70,Ins!F23,Tim!$B$7:$B$70)</f>
        <v>0</v>
      </c>
      <c r="O23" s="80">
        <f>SUMIF(Tim!$AC$7:$AC$70,Ins!F23,Tim!$D$7:$D$70)+SUMIF(Tim!$AD$7:$AD$70,Ins!F23,Tim!$D$7:$D$70)+SUMIF(Tim!$AE$7:$AE$70,Ins!F23,Tim!$D$7:$D$70)+SUMIF(Tim!$AF$7:$AF$70,Ins!F23,Tim!$D$7:$D$70)+SUMIF(Tim!$AG$7:$AG$70,Ins!F23,Tim!$D$7:$D$70)+SUMIF(Tim!$AH$7:$AH$70,Ins!F23,Tim!$D$7:$D$70)+SUMIF(Tim!$AI$7:$AI$70,Ins!F23,Tim!$D$7:$D$70)+SUMIF(Tim!$AJ$7:$AJ$70,Ins!F23,Tim!$D$7:$D$70)+SUMIF(Tim!$AK$7:$AK$70,Ins!F23,Tim!$D$7:$D$70)+SUMIF(Tim!$AL$7:$AL$70,Ins!F23,Tim!$D$7:$D$70)+SUMIF(Tim!$AM$7:$AM$70,Ins!F23,Tim!$D$7:$D$70)+SUMIF(Tim!$AN$7:$AN$70,Ins!F23,Tim!$D$7:$D$70)</f>
        <v>0</v>
      </c>
      <c r="P23" s="80">
        <f>SUMIF(Tim!AO$7:AO$70,Ins!F23,Tim!$C$7:$C$70)</f>
        <v>0</v>
      </c>
      <c r="Q23" s="80">
        <f>SUMIF(Tim!AP$7:AP$70,Ins!F23,Tim!$C$7:$C$70)</f>
        <v>0</v>
      </c>
      <c r="R23" s="80">
        <f>SUMIF(Tim!AQ$7:AQ$70,Ins!F23,Tim!$C$7:$C$70)+SUMIF(Tim!AR$7:AR$70,Ins!F23,Tim!$C$7:$C$70)+SUMIF(Tim!AS$7:AS$70,Ins!F23,Tim!$C$7:$C$70)</f>
        <v>0</v>
      </c>
      <c r="S23" s="236">
        <f>SUMIF(Tim!$AT$7:$AT$70,Ins!F23,Tim!$C$7:$C$70)+SUMIF(Tim!$AU$7:$AU$70,Ins!F23,Tim!$C$7:$C83)+SUMIF(Tim!$AV$7:$AV$70,Ins!F23,Tim!$C$7:$C$70)+SUMIF(Tim!$AW$7:$AW$70,Ins!F23,Tim!$C$7:$C$70)+SUMIF(Tim!$AX$7:$AX$70,Ins!F23,Tim!$C$7:$C$70)</f>
        <v>0</v>
      </c>
      <c r="T23" s="79">
        <f>SUMIF(Tim!$AY$7:$AY$70,Ins!F23,Tim!$B$7:$B$70)</f>
        <v>0</v>
      </c>
      <c r="U23" s="80">
        <f>SUMIF(Tim!$AZ$7:$AZ$70,Ins!F23,Tim!$B$7:$B$70)+SUMIF(Tim!$BA$7:$BA$70,Ins!F23,Tim!$B$7:$B$70)+SUMIF(Tim!$BB$7:$BB$70,Ins!F23,Tim!$B$7:$B$70)+SUMIF(Tim!$BC$7:$BC$70,Ins!F23,Tim!$B$7:$B$70)+SUMIF(Tim!$BD$7:$BD$70,Ins!F23,Tim!$B$7:$B$70)+SUMIF(Tim!$BE$7:$BE$70,Ins!F23,Tim!$B$7:$B$70)</f>
        <v>0</v>
      </c>
      <c r="V23" s="80">
        <f>SUMIF(Tim!$BF$7:$BF$70,Ins!F23,Tim!$B$7:$B$70)+SUMIF(Tim!$BG$7:$BG$70,Ins!F23,Tim!$B$7:$B$70)+SUMIF(Tim!$BH$7:$BH$70,Ins!F23,Tim!$B$7:$B$70)</f>
        <v>0</v>
      </c>
      <c r="W23" s="80">
        <f>SUMIF(Tim!$BI$7:$BI$70,Ins!F23,Tim!$B$7:$B$70)+SUMIF(Tim!$BJ$7:$BJ$70,Ins!F23,Tim!$B$7:$B$70)+SUMIF(Tim!$BK$7:$BK$70,Ins!F23,Tim!$B$7:$B$70)+SUMIF(Tim!$BL$7:$BL$70,Ins!F23,Tim!$B$7:$B$70)+SUMIF(Tim!$BM$7:$BM$70,Ins!F23,Tim!$B$7:$B$70)</f>
        <v>0</v>
      </c>
      <c r="X23" s="80">
        <f>SUMIF(Tim!$BN$7:$BN$70,Ins!F23,Tim!$B$7:$B$70)+SUMIF(Tim!$BO$7:$BO$70,Ins!F23,Tim!$B$7:$B$70)+SUMIF(Tim!$BP$7:$BP$70,Ins!F23,Tim!$B$7:$B$70)</f>
        <v>0</v>
      </c>
      <c r="Y23" s="80">
        <f>SUMIF(Tim!$BQ$7:$BQ$70,Ins!F23,Tim!$B$7:$B$70)+SUMIF(Tim!$BR$7:$BR$70,Ins!F23,Tim!$B$7:$B$70)+SUMIF(Tim!$BS$7:$BS$70,Ins!F23,Tim!$B$7:$B$70)</f>
        <v>0</v>
      </c>
      <c r="Z23" s="80">
        <f>SUMIF(Tim!BT$7:BT$70,Ins!F23,Tim!$B$7:$B$70)</f>
        <v>0</v>
      </c>
      <c r="AA23" s="80">
        <f>SUMIF(Tim!$BU$7:$BU$70,Ins!F23,Tim!$D$7:$D$70)+SUMIF(Tim!$BV$7:$BV$70,Ins!F23,Tim!$D$7:$D$70)+SUMIF(Tim!$BW$7:$BW$70,Ins!F23,Tim!$D$7:$D$70)+SUMIF(Tim!$BX$7:$BX$70,Ins!F23,Tim!$D$7:$D$70)+SUMIF(Tim!$BY$7:$BY$70,Ins!F23,Tim!$D$7:$D$70)+SUMIF(Tim!$BZ$7:$BZ$70,Ins!F23,Tim!$D$7:$D$70)+SUMIF(Tim!$CA$7:$CA$70,Ins!F23,Tim!$D$7:$D$70)+SUMIF(Tim!$CB$7:$CB$70,Ins!F23,Tim!$D$7:$D$70)+SUMIF(Tim!$CC$7:$CC$70,Ins!F23,Tim!$D$7:$D$70)+SUMIF(Tim!$CD$7:$CD$70,Ins!F23,Tim!$D$7:$D$70)+SUMIF(Tim!$CE$7:$CE$70,Ins!F23,Tim!$D$7:$D$70)+SUMIF(Tim!$CF$7:$CF$70,Ins!F23,Tim!$D$7:$D$70)</f>
        <v>0</v>
      </c>
      <c r="AB23" s="80">
        <f>SUMIF(Tim!CG$7:CG$70,Ins!F23,Tim!$C$7:$C$70)</f>
        <v>0</v>
      </c>
      <c r="AC23" s="80">
        <f>SUMIF(Tim!CH$7:CH$70,Ins!F23,Tim!$C$7:$C$70)</f>
        <v>0</v>
      </c>
      <c r="AD23" s="80">
        <f>SUMIF(Tim!CI$7:CI$70,Ins!F23,Tim!$C$7:$C$70)+SUMIF(Tim!CJ$7:CJ$70,Ins!F23,Tim!$C$7:$C$70)+SUMIF(Tim!CK$7:CK$70,Ins!F23,Tim!$C$7:$C$70)</f>
        <v>0</v>
      </c>
      <c r="AE23" s="81">
        <f>SUMIF(Tim!$CL$7:$CL$70,Ins!F23,Tim!$C$7:$C$70)+SUMIF(Tim!$CM$7:$CM$70,Ins!F23,Tim!$C$7:$C$70)+SUMIF(Tim!$CN$7:$CN$70,Ins!F23,Tim!$C$7:$C$70)+SUMIF(Tim!$CO$7:$CO$70,Ins!F23,Tim!$C$7:$C$70)+SUMIF(Tim!$CP$7:$CP$70,Ins!F23,Tim!$C$7:$C$70)</f>
        <v>0</v>
      </c>
      <c r="AF23" s="79">
        <f>SUMIF(Tim!$CQ$7:$CQ$70,Ins!F23,Tim!$B$7:$B$70)</f>
        <v>0</v>
      </c>
      <c r="AG23" s="80">
        <f>SUMIF(Tim!$CR$7:$CR$70,Ins!F23,Tim!$B$7:$B$70)+SUMIF(Tim!$CS$7:$CS$70,Ins!F23,Tim!$B$7:$B$70)+SUMIF(Tim!$CT$7:$CT$70,Ins!F23,Tim!$B$7:$B$70)+SUMIF(Tim!$CU$7:$CU$70,Ins!F23,Tim!$B$7:$B$70)+SUMIF(Tim!$CV$7:$CV$70,Ins!F23,Tim!$B$7:$B$70)+SUMIF(Tim!$CW$7:$CW$70,Ins!F23,Tim!$B$7:$B$70)</f>
        <v>0</v>
      </c>
      <c r="AH23" s="80">
        <f>SUMIF(Tim!$CX$7:$CX$70,Ins!F23,Tim!$B$7:$B$70)+SUMIF(Tim!$CY$7:$CY$70,Ins!F23,Tim!$B$7:$B$70)+SUMIF(Tim!$CZ$7:$CZ$70,Ins!F23,Tim!$B$7:$B$70)</f>
        <v>0</v>
      </c>
      <c r="AI23" s="80">
        <f>SUMIF(Tim!$DA$7:$DA$70,Ins!F23,Tim!$B$7:$B$70)+SUMIF(Tim!$DB$7:$DB$70,Ins!F23,Tim!$B$7:$B$70)+SUMIF(Tim!$DC$7:$DC$70,Ins!F23,Tim!$B$7:$B$70)+SUMIF(Tim!$DD$7:$DD$70,Ins!F23,Tim!$B$7:$B$70)+SUMIF(Tim!$DE$7:$DE$70,Ins!F23,Tim!$B$7:$B$70)</f>
        <v>0</v>
      </c>
      <c r="AJ23" s="80">
        <f>SUMIF(Tim!$DF$7:$DF$70,Ins!F23,Tim!$B$7:$B$70)+SUMIF(Tim!$DG$7:$DG$70,Ins!F23,Tim!$B$7:$B$70)+SUMIF(Tim!$DH$7:$DH$70,Ins!F23,Tim!$B$7:$B$70)</f>
        <v>0</v>
      </c>
      <c r="AK23" s="80">
        <f>SUMIF(Tim!DI$7:DI$70,Ins!F23,Tim!$B$7:$B$70)+SUMIF(Tim!DM$7:DM$70,Ins!F23,Tim!$B$7:$B$70)+SUMIF(Tim!DN$7:DN$70,Ins!F23,Tim!$B$7:$B$70)</f>
        <v>0</v>
      </c>
      <c r="AL23" s="80">
        <f>SUMIF(Tim!DO$7:DO$70,Ins!F23,Tim!$B$7:$B$70)</f>
        <v>0</v>
      </c>
      <c r="AM23" s="80">
        <f>SUMIF(Tim!$DP$7:$DP$70,Ins!F23,Tim!$D$7:$D$70)+SUMIF(Tim!$DQ$7:$DQ$70,Ins!F23,Tim!$D$7:$D$70)+SUMIF(Tim!$DR$7:$DR$70,Ins!F23,Tim!$D$7:$D$70)+SUMIF(Tim!$DS$7:$DS$70,Ins!F23,Tim!$D$7:$D$70)+SUMIF(Tim!$DT$7:$DT$70,Ins!F23,Tim!$D$7:$D$70)+SUMIF(Tim!$DU$7:$DU$70,Ins!F23,Tim!$D$7:$D$70)+SUMIF(Tim!$DV$7:$DV$70,Ins!F23,Tim!$D$7:$D$70)+SUMIF(Tim!$DW$7:$DW$70,Ins!F23,Tim!$D$7:$D$70)+SUMIF(Tim!$DX$7:$DX$70,Ins!F23,Tim!$D$7:$D$70)+SUMIF(Tim!$DY$7:$DY$70,Ins!F23,Tim!$D$7:$D$70)+SUMIF(Tim!$DZ$7:$DZ$70,Ins!F23,Tim!$D$7:$D$70)+SUMIF(Tim!$EA$7:$EA$70,Ins!F23,Tim!$D$7:$D$70)</f>
        <v>0</v>
      </c>
      <c r="AN23" s="80">
        <f>SUMIF(Tim!EB$7:EB$70,Ins!F23,Tim!$C$7:$C$70)</f>
        <v>0</v>
      </c>
      <c r="AO23" s="80">
        <f>SUMIF(Tim!EC$7:EC$70,Ins!F23,Tim!$C$7:$C$70)</f>
        <v>0</v>
      </c>
      <c r="AP23" s="80">
        <f>SUMIF(Tim!ED$7:ED$70,Ins!F23,Tim!$C$7:$C$70)+SUMIF(Tim!EE$7:EE$70,Ins!F23,Tim!$C$7:$C$70)+SUMIF(Tim!EF$7:EF$70,Ins!F23,Tim!$C$7:$C$70)</f>
        <v>0</v>
      </c>
      <c r="AQ23" s="81">
        <f>SUMIF(Tim!$EG$7:$EG$70,Ins!F23,Tim!$C$7:$C$70)+SUMIF(Tim!$EH$7:$EH$70,Ins!F23,Tim!$C$7:$C$70)+SUMIF(Tim!$EI$7:$EI$70,Ins!F23,Tim!$C$7:$C$70)+SUMIF(Tim!$EJ$7:$EJ$70,Ins!F23,Tim!$C$7:$C$70)+SUMIF(Tim!$EK$7:$EK$70,Ins!F23,Tim!$C$7:$C$70)</f>
        <v>0</v>
      </c>
      <c r="AR23" s="79">
        <f>SUMIF(Tim!$EL$5:$EL$70,Ins!F23,Tim!$B$5:$B$70)</f>
        <v>0</v>
      </c>
      <c r="AS23" s="80">
        <f>SUMIF(Tim!$EM$5:$EM$70,Ins!F23,Tim!$B$5:$B$70)+SUMIF(Tim!$EN$5:$EN$70,Ins!F23,Tim!$B$5:$B$70)+SUMIF(Tim!$EO$5:$EO$70,Ins!F23,Tim!$B$5:$B$70)+SUMIF(Tim!$EP$5:$EP$70,Ins!F23,Tim!$B$5:$B$70)+SUMIF(Tim!$EQ$5:$EQ$70,Ins!F23,Tim!$B$5:$B$70)+SUMIF(Tim!$ER$5:$ER$70,Ins!F23,Tim!$B$5:$B$70)</f>
        <v>0</v>
      </c>
      <c r="AT23" s="80">
        <f>SUMIF(Tim!$ES$5:$ES$70,Ins!F23,Tim!$B$5:$B$70)+SUMIF(Tim!$ET$5:$ET$70,Ins!F23,Tim!$B$5:$B$70)+SUMIF(Tim!$EU$5:$EU$70,Ins!F23,Tim!$B$5:$B$70)</f>
        <v>0</v>
      </c>
      <c r="AU23" s="80">
        <f>SUMIF(Tim!$EV$5:$EV$70,Ins!F23,Tim!$B$5:$B$70)+SUMIF(Tim!$EW$5:$EW$70,Ins!F23,Tim!$B$5:$B$70)+SUMIF(Tim!$EX$5:$EX$70,Ins!F23,Tim!$B$5:$B$70)+SUMIF(Tim!$EY$5:$EY$70,Ins!F23,Tim!$B$5:$B$70)+SUMIF(Tim!$EZ$5:$EZ$70,Ins!F23,Tim!$B$5:$B$70)</f>
        <v>0</v>
      </c>
      <c r="AV23" s="80">
        <f>SUMIF(Tim!$FA$5:$FA$70,Ins!F23,Tim!$B$5:$B$70)+SUMIF(Tim!$FB$5:$FB$70,Ins!F23,Tim!$B$5:$B$70)+SUMIF(Tim!$FC$5:$FC$70,Ins!F23,Tim!$B$5:$B$70)</f>
        <v>0</v>
      </c>
      <c r="AW23" s="80">
        <f>SUMIF(Tim!FD$5:FD$70,Ins!F23,Tim!$B$5:$B$70)+SUMIF(Tim!FE$5:FE$70,Ins!F23,Tim!$B$5:$B$70)+SUMIF(Tim!FF$5:FF$70,Ins!F23,Tim!$B$5:$B$70)</f>
        <v>0</v>
      </c>
      <c r="AX23" s="80">
        <f>SUMIF(Tim!FG$5:FG$70,Ins!F23,Tim!$B$5:$B$70)</f>
        <v>0</v>
      </c>
      <c r="AY23" s="80">
        <f>SUMIF(Tim!$FH$5:$FH$70,Ins!F23,Tim!$D$5:$D$70)+SUMIF(Tim!$FI$5:$FI$70,Ins!F23,Tim!$D$5:$D$70)+SUMIF(Tim!$FJ$5:$FJ$70,Ins!F23,Tim!$D$5:$D$70)+SUMIF(Tim!$FK$5:$FK$70,Ins!F23,Tim!$D$5:$D$70)+SUMIF(Tim!$FL$5:$FL$70,Ins!F23,Tim!$D$5:$D$70)+SUMIF(Tim!$FM$5:$FM$70,Ins!F23,Tim!$D$5:$D$70)+SUMIF(Tim!$FN$5:$FN$70,Ins!F23,Tim!$D$5:$D$70)+SUMIF(Tim!$FO$5:$FO$70,Ins!F23,Tim!$D$5:$D$70)+SUMIF(Tim!$FP$5:$FP$70,Ins!F23,Tim!$D$5:$D$70)+SUMIF(Tim!$FQ$5:$FQ$70,Ins!F23,Tim!$D$5:$D$70)+SUMIF(Tim!$FR$5:$FR$70,Ins!F23,Tim!$D$5:$D$70)+SUMIF(Tim!$FS$5:$FS$70,Ins!F23,Tim!$D$5:$D$70)</f>
        <v>0</v>
      </c>
      <c r="AZ23" s="80">
        <f>SUMIF(Tim!FT$5:FT$70,Ins!F23,Tim!$C$5:$C$70)</f>
        <v>0</v>
      </c>
      <c r="BA23" s="80">
        <f>SUMIF(Tim!FU$5:FU$70,Ins!F23,Tim!$C$5:$C$70)</f>
        <v>0</v>
      </c>
      <c r="BB23" s="80">
        <f>SUMIF(Tim!FV$5:FV$70,Ins!F23,Tim!$C$5:$C$70)+SUMIF(Tim!FW$5:FW$70,Ins!F23,Tim!$C$5:$C$70)+SUMIF(Tim!FX$5:FX$70,Ins!F23,Tim!$C$5:$C$70)</f>
        <v>0</v>
      </c>
      <c r="BC23" s="81">
        <f>SUMIF(Tim!$FY$5:$FY$70,Ins!F23,Tim!$C$5:$C$70)+SUMIF(Tim!$FZ$5:$FZ$70,Ins!F23,Tim!$C$5:$C$70)+SUMIF(Tim!$GA$5:$GA$70,Ins!F23,Tim!$C$5:$C$70)+SUMIF(Tim!$GB$5:$GB$70,Ins!F23,Tim!$C$5:$C$70)+SUMIF(Tim!$GC$5:$GC$70,Ins!F23,Tim!$C$5:$C$70)</f>
        <v>0</v>
      </c>
      <c r="BD23" s="79">
        <f>SUMIF(Tim!$GD$5:$GD$70,Ins!F23,Tim!$B$5:$B$70)</f>
        <v>0</v>
      </c>
      <c r="BE23" s="80">
        <f>SUMIF(Tim!$GE$5:$GE$70,Ins!F23,Tim!$B$5:$B$70)+SUMIF(Tim!$GF$5:$GF$70,Ins!F23,Tim!$B$5:$B$70)+SUMIF(Tim!$GG$5:$GG$70,Ins!F23,Tim!$B$5:$B$70)+SUMIF(Tim!$GH$5:$GH$70,Ins!F23,Tim!$B$5:$B$70)+SUMIF(Tim!$GI$5:$GI$70,Ins!F23,Tim!$B$5:$B$70)+SUMIF(Tim!$GJ$5:$GJ$70,Ins!F23,Tim!$B$5:$B$70)</f>
        <v>0</v>
      </c>
      <c r="BF23" s="80">
        <f>SUMIF(Tim!$GK$5:$GK$70,Ins!F23,Tim!$B$5:$B$70)+SUMIF(Tim!$GL$5:$GL$70,Ins!F23,Tim!$B$5:$B$70)+SUMIF(Tim!$GM$5:$GM$70,Ins!F23,Tim!$B$5:$B$70)</f>
        <v>0</v>
      </c>
      <c r="BG23" s="80">
        <f>SUMIF(Tim!$GN$5:$GN$70,Ins!F23,Tim!$B$5:$B$70)+SUMIF(Tim!$GO$5:$GO$70,Ins!F23,Tim!$B$5:$B$70)+SUMIF(Tim!$GP$5:$GP$70,Ins!F23,Tim!$B$5:$B$70)+SUMIF(Tim!$GQ$5:$GQ$70,Ins!F23,Tim!$B$5:$B$70)+SUMIF(Tim!$GR$5:$GR$70,Ins!F23,Tim!$B$5:$B$70)</f>
        <v>0</v>
      </c>
      <c r="BH23" s="80">
        <f>SUMIF(Tim!$GS$5:$GS$70,Ins!F23,Tim!$B$5:$B$70)+SUMIF(Tim!$GT$5:$GT$70,Ins!F23,Tim!$B$5:$B$70)+SUMIF(Tim!$GU$5:$GU$70,Ins!F23,Tim!$B$5:$B$70)</f>
        <v>0</v>
      </c>
      <c r="BI23" s="80">
        <f>SUMIF(Tim!GV$5:GV$70,Ins!F23,Tim!$B$5:$B$70)+SUMIF(Tim!GW$5:GW$70,Ins!F23,Tim!$B$5:$B$70)+SUMIF(Tim!GX$5:GX$70,Ins!F23,Tim!$B$5:$B$70)</f>
        <v>0</v>
      </c>
      <c r="BJ23" s="80">
        <f>SUMIF(Tim!GY$5:GY$70,Ins!F23,Tim!$B$5:$B$70)</f>
        <v>0</v>
      </c>
      <c r="BK23" s="80">
        <f>SUMIF(Tim!$GZ$5:$GZ$70,Ins!F23,Tim!$D$5:$D$70)+SUMIF(Tim!$HA$5:$HA$70,Ins!F23,Tim!$D$5:$D$70)+SUMIF(Tim!$HB$5:$HB$70,Ins!F23,Tim!$D$5:$D$70)++SUMIF(Tim!$HC$5:$HC$70,Ins!F23,Tim!$D$5:$D$70)+SUMIF(Tim!$HD$5:$HD$70,Ins!F23,Tim!$D$5:$D$70)+SUMIF(Tim!$HE$5:$HE$70,Ins!F23,Tim!$D$5:$D$70)+SUMIF(Tim!$HF$5:$HF$70,Ins!F23,Tim!$D$5:$D$70)+SUMIF(Tim!$HG$5:$HG$70,Ins!F23,Tim!$D$5:$D$70)+SUMIF(Tim!$HH$5:$HH$70,Ins!F23,Tim!$D$5:$D$70)+SUMIF(Tim!$HI$5:$HI$70,Ins!F23,Tim!$D$5:$D$70)+SUMIF(Tim!$HJ$5:$HJ$70,Ins!F23,Tim!$D$5:$D$70)+SUMIF(Tim!$HK$5:$HK$70,Ins!F23,Tim!$D$5:$D$70)</f>
        <v>0</v>
      </c>
      <c r="BL23" s="80">
        <f>SUMIF(Tim!HL$5:HL$70,Ins!F23,Tim!$C$5:$C$70)</f>
        <v>0</v>
      </c>
      <c r="BM23" s="80">
        <f>SUMIF(Tim!HM$5:HM$70,Ins!F23,Tim!$C$5:$C$70)</f>
        <v>0</v>
      </c>
      <c r="BN23" s="80">
        <f>SUMIF(Tim!HN$5:HN$70,Ins!F23,Tim!$C$5:$C$70)+SUMIF(Tim!HO$5:HO$70,Ins!F23,Tim!$C$5:$C$70)+SUMIF(Tim!HP$5:HP$70,Ins!F23,Tim!$C$5:$C$70)</f>
        <v>0</v>
      </c>
      <c r="BO23" s="81">
        <f>SUMIF(Tim!$HQ$5:$HQ$70,Ins!F23,Tim!$C$5:$C$70)+SUMIF(Tim!$HR$5:$HR$70,Ins!F23,Tim!$C$5:$C$70)+SUMIF(Tim!$HS$5:$HS$70,Ins!F23,Tim!$C$5:$C$70)+SUMIF(Tim!$HT$5:$HT$70,Ins!F23,Tim!$C$5:$C$70)+SUMIF(Tim!$HU$5:$HU$70,Ins!F23,Tim!$C$5:$C$70)</f>
        <v>1</v>
      </c>
      <c r="BP23" s="79">
        <f>SUMIF(Tim!$HV$7:$HV$70,Ins!F23,Tim!$B$7:$B$70)</f>
        <v>0</v>
      </c>
      <c r="BQ23" s="80">
        <f>SUMIF(Tim!$HW$7:$HW$70,Ins!F23,Tim!$B$7:$B$70)+SUMIF(Tim!$HX$7:$HX$70,Ins!F23,Tim!$B$7:$B$70)+SUMIF(Tim!$HY$7:$HY$70,Ins!F23,Tim!$B$7:$B$70)+SUMIF(Tim!$HZ$7:$HZ$70,Ins!F23,Tim!$B$7:$B$70)+SUMIF(Tim!$IA$7:$IA$70,Ins!F23,Tim!$B$7:$B$70)+SUMIF(Tim!$IB$7:$IB$70,Ins!F23,Tim!$B$7:$B$70)</f>
        <v>0</v>
      </c>
      <c r="BR23" s="80">
        <f>SUMIF(Tim!$IC$7:$IC$70,Ins!F23,Tim!$B$7:$B$70)+SUMIF(Tim!$ID$7:$ID$70,Ins!F23,Tim!$B$7:$B$70)+SUMIF(Tim!$IE$7:$IE$70,Ins!F23,Tim!$B$7:$B$70)</f>
        <v>0</v>
      </c>
      <c r="BS23" s="80">
        <f>SUMIF(Tim!$IF$7:$IF$70,Ins!F23,Tim!$B$7:$B$70)+SUMIF(Tim!$IG$7:$IG$70,Ins!F23,Tim!$B$7:$B$70)+SUMIF(Tim!$IH$7:$IH$70,Ins!F23,Tim!$B$7:$B$70)+SUMIF(Tim!$II$7:$II$70,Ins!F23,Tim!$B$7:$B$70)+SUMIF(Tim!$IJ$7:$IJ$70,Ins!F23,Tim!$B$7:$B$70)</f>
        <v>0</v>
      </c>
      <c r="BT23" s="80">
        <f>SUMIF(Tim!$IK$7:$IK$70,Ins!F23,Tim!$B$7:$B$70)+SUMIF(Tim!$IL$7:$IL$70,Ins!F23,Tim!$B$7:$B$70)+SUMIF(Tim!$IM$7:$IM$70,Ins!F23,Tim!$B$7:$B$70)</f>
        <v>0</v>
      </c>
      <c r="BU23" s="80">
        <f>SUMIF(Tim!$IN$7:$IN$70,Ins!F23,Tim!$B$7:$B$70)+SUMIF(Tim!$IO$7:$IO$70,Ins!F23,Tim!$B$7:$B$70)+SUMIF(Tim!$IP$7:$IP$70,Ins!F23,Tim!$B$7:$B$70)</f>
        <v>0</v>
      </c>
      <c r="BV23" s="80">
        <f>SUMIF(Tim!$IQ$7:$IQ$70,Ins!F23,Tim!$B$7:$B$70)</f>
        <v>0</v>
      </c>
      <c r="BW23" s="80">
        <f>SUMIF(Tim!$IR$7:$IR$70,Ins!F23,Tim!$D$7:$D$70)+SUMIF(Tim!$IS$7:$IS$70,Ins!F23,Tim!$D$7:$D$70)+SUMIF(Tim!$IT$7:$IT$70,Ins!F23,Tim!$D$7:$D$70)+SUMIF(Tim!$IU$7:$IU$70,Ins!F23,Tim!$D$7:$D$70)+SUMIF(Tim!$IV$7:$IV$70,Ins!F23,Tim!$D$7:$D$70)+SUMIF(Tim!$IW$7:$IW$70,Ins!F23,Tim!$D$7:$D$70)+SUMIF(Tim!$IX$7:$IX$70,Ins!F23,Tim!$D$7:$D$70)+SUMIF(Tim!$IY$7:$IY$70,Ins!F23,Tim!$D$7:$D$70)+SUMIF(Tim!$IZ$7:$IZ$70,Ins!F23,Tim!$D$7:$D$70)+SUMIF(Tim!$JA$7:$JA$70,Ins!F23,Tim!$D$7:$D$70)+SUMIF(Tim!$JB$7:$JB$70,Ins!F23,Tim!$D$7:$D$70)+SUMIF(Tim!$JC$7:$JC$70,Ins!F23,Tim!$D$7:$D$70)</f>
        <v>0</v>
      </c>
      <c r="BX23" s="80">
        <f>SUMIF(Tim!JD$7:JD$70,Ins!F23,Tim!$C$7:$C$70)</f>
        <v>0</v>
      </c>
      <c r="BY23" s="80">
        <f>SUMIF(Tim!JE$7:JE$70,Ins!F23,Tim!$C$7:$C$70)</f>
        <v>0</v>
      </c>
      <c r="BZ23" s="80">
        <f>SUMIF(Tim!JF$7:JF$70,Ins!F23,Tim!$C$7:$C$70)+SUMIF(Tim!JG$7:JG$70,Ins!F23,Tim!$C$7:$C$70)+SUMIF(Tim!JH$7:JH$70,Ins!F23,Tim!$C$7:$C$70)</f>
        <v>0</v>
      </c>
      <c r="CA23" s="81">
        <f>SUMIF(Tim!$JI$7:$JI$70,Ins!F23,Tim!$C$7:$C$70)++SUMIF(Tim!$JJ$7:$JJ$70,Ins!F23,Tim!$C$7:$C$70)+SUMIF(Tim!$JK$7:$JK$70,Ins!F23,Tim!$C$7:$C$70)+SUMIF(Tim!$JL$7:$JL$70,Ins!F23,Tim!$C$7:$C$70)+SUMIF(Tim!$JM$7:$JM$70,Ins!F23,Tim!$C$7:$C$70)</f>
        <v>0</v>
      </c>
      <c r="CB23" s="79">
        <f>SUMIF(Tim!$JN$7:$JN$70,Ins!F23,Tim!$B$7:$B$70)</f>
        <v>0</v>
      </c>
      <c r="CC23" s="80">
        <f>SUMIF(Tim!$JO$7:$JO$70,Ins!F23,Tim!$B$7:$B$70)+SUMIF(Tim!$JP$7:$JP$70,Ins!F23,Tim!$B$7:$B$70)+SUMIF(Tim!$JQ$7:$JQ$70,Ins!F23,Tim!$B$7:$B$70)+SUMIF(Tim!$JR$7:$JR$70,Ins!F23,Tim!$B$7:$B$70)+SUMIF(Tim!$JS$7:$JS$70,Ins!F23,Tim!$B$7:$B$70)+SUMIF(Tim!$JT$7:$JT$70,Ins!F23,Tim!$B$7:$B$70)</f>
        <v>0</v>
      </c>
      <c r="CD23" s="80">
        <f>SUMIF(Tim!$JW$7:$JW$70,Ins!F23,Tim!$B$7:$B$70)+SUMIF(Tim!$JU$7:$JU$70,Ins!F23,Tim!$B$7:$B$70)+SUMIF(Tim!$JV$7:$JV$70,Ins!F23,Tim!$B$7:$B$70)</f>
        <v>0</v>
      </c>
      <c r="CE23" s="80">
        <f>SUMIF(Tim!$JX$7:$JX$70,Ins!F23,Tim!$B$7:$B$70)+SUMIF(Tim!$JY$7:$JY$70,Ins!F23,Tim!$B$7:$B$70)+SUMIF(Tim!$JZ$7:$JZ$70,Ins!F23,Tim!$B$7:$B$70)+SUMIF(Tim!$KA$7:$KA$70,Ins!F23,Tim!$B$7:$B$70)+SUMIF(Tim!$KB$7:$KB$70,Ins!F23,Tim!$B$7:$B$70)</f>
        <v>0</v>
      </c>
      <c r="CF23" s="80">
        <f>SUMIF(Tim!$KE$7:$KE$70,Ins!F23,Tim!$B$7:$B$70)+SUMIF(Tim!$KC$7:$KC$70,Ins!F23,Tim!$B$7:$B$70)+SUMIF(Tim!$KD$7:$KD$70,Ins!F23,Tim!$B$7:$B$70)</f>
        <v>0</v>
      </c>
      <c r="CG23" s="80">
        <f>SUMIF(Tim!$KF$7:$KF$70,Ins!F23,Tim!$B$7:$B$70)+SUMIF(Tim!$KG$7:$KG$70,Ins!F23,Tim!$B$7:$B$70)+SUMIF(Tim!$KH$7:$KH$70,Ins!F23,Tim!$B$7:$B$70)</f>
        <v>0</v>
      </c>
      <c r="CH23" s="80">
        <f>SUMIF(Tim!$KI$7:$KI$70,Ins!F23,Tim!$B$7:$B$70)</f>
        <v>0</v>
      </c>
      <c r="CI23" s="80">
        <f>SUMIF(Tim!$KJ$7:$KJ$70,Ins!F23,Tim!$D$7:$D$70)+SUMIF(Tim!$KK$7:$KK$70,Ins!F23,Tim!$D$7:$D$70)+SUMIF(Tim!$KL$7:$KL$70,Ins!F23,Tim!$D$7:$D$70)+SUMIF(Tim!$KM$7:$KM$70,Ins!F23,Tim!$D$7:$D$70)+SUMIF(Tim!$KN$7:$KN$70,Ins!F23,Tim!$D$7:$D$70)+SUMIF(Tim!$KO$7:$KO$70,Ins!F23,Tim!$D$7:$D$70)+SUMIF(Tim!$KP$7:$KP$70,Ins!F23,Tim!$D$7:$D$70)+SUMIF(Tim!$KQ$7:$KQ$70,Ins!F23,Tim!$D$7:$D$70)+SUMIF(Tim!$KR$7:$KR$70,Ins!F23,Tim!$D$7:$D$70)+SUMIF(Tim!$KS$7:$KS$70,Ins!F23,Tim!$D$7:$D$70)+SUMIF(Tim!$KT$7:$KT$70,Ins!F23,Tim!$D$7:$D$70)+SUMIF(Tim!$KU$7:$KU$70,Ins!F23,Tim!$D$7:$D$70)</f>
        <v>0</v>
      </c>
      <c r="CJ23" s="80">
        <f>SUMIF(Tim!KV$7:KV$70,Ins!F23,Tim!$C$7:$C$70)</f>
        <v>0</v>
      </c>
      <c r="CK23" s="80">
        <f>SUMIF(Tim!KW$7:KW$70,Ins!F23,Tim!$C$7:$C$70)</f>
        <v>0</v>
      </c>
      <c r="CL23" s="80">
        <f>SUMIF(Tim!KX$7:KX$70,Ins!F23,Tim!$C$7:$C$70)+SUMIF(Tim!KY$7:KY$70,Ins!F23,Tim!$C$7:$C$70)+SUMIF(Tim!KZ$7:KZ$70,Ins!F23,Tim!$C$7:$C$70)</f>
        <v>0</v>
      </c>
      <c r="CM23" s="81">
        <f>SUMIF(Tim!$LA$7:$LA$70,Ins!F23,Tim!$C$7:$C$70)+SUMIF(Tim!$LB$7:$LB$70,Ins!F23,Tim!$C$7:$C$70)+SUMIF(Tim!$LC$7:$LC$70,Ins!F23,Tim!$C$7:$C$70)+SUMIF(Tim!$LD$7:$LD$70,Ins!F23,Tim!$C$7:$C$70)+SUMIF(Tim!$LE$7:$LE$70,Ins!F23,Tim!$C$7:$C$70)</f>
        <v>0</v>
      </c>
      <c r="CN23" s="22"/>
      <c r="CO23" s="180">
        <f t="shared" ref="CO23" si="175">H23+T23+AF23+AR23+BD23+BP23+CB23</f>
        <v>0</v>
      </c>
      <c r="CP23" s="179">
        <f t="shared" ref="CP23" si="176">I23+U23+AG23+AS23+BE23+BQ23+CC23</f>
        <v>0</v>
      </c>
      <c r="CQ23" s="179">
        <f t="shared" ref="CQ23" si="177">J23+V23+AH23+AT23+BF23+BR23+CD23</f>
        <v>0</v>
      </c>
      <c r="CR23" s="179">
        <f t="shared" ref="CR23" si="178">K23+W23+AI23+AU23+BG23+BS23+CE23</f>
        <v>0</v>
      </c>
      <c r="CS23" s="179">
        <f t="shared" ref="CS23" si="179">L23+X23+AJ23+AV23+BH23+BT23+CF23</f>
        <v>0</v>
      </c>
      <c r="CT23" s="179">
        <f t="shared" ref="CT23" si="180">M23+Y23+AK23+AW23+BI23+BU23+CG23</f>
        <v>0</v>
      </c>
      <c r="CU23" s="179">
        <f t="shared" ref="CU23" si="181">N23+Z23+AL23+AX23+BJ23+BV23+CH23</f>
        <v>0</v>
      </c>
      <c r="CV23" s="179">
        <f t="shared" ref="CV23" si="182">O23+AA23+AM23+AY23+BK23+BW23+CI23</f>
        <v>0</v>
      </c>
      <c r="CW23" s="179">
        <f t="shared" ref="CW23" si="183">P23+AB23+AN23+AZ23+BL23+BX23+CJ23</f>
        <v>0</v>
      </c>
      <c r="CX23" s="179">
        <f t="shared" ref="CX23" si="184">Q23+AC23+AO23+BA23+BM23+BY23+CK23</f>
        <v>0</v>
      </c>
      <c r="CY23" s="179">
        <f t="shared" ref="CY23" si="185">R23+AD23+AP23+BB23+BN23+BZ23+CL23</f>
        <v>0</v>
      </c>
      <c r="CZ23" s="179">
        <f t="shared" ref="CZ23" si="186">S23+AE23+AQ23+BC23+BO23+CA23+CM23</f>
        <v>1</v>
      </c>
      <c r="DA23" s="78">
        <f t="shared" ref="DA23" si="187">SUM(CO23:CZ23)</f>
        <v>1</v>
      </c>
      <c r="DB23" s="16"/>
      <c r="DC23" s="34">
        <f t="shared" ref="DC23" si="188">SUM(H23:S23)</f>
        <v>0</v>
      </c>
      <c r="DD23" s="34">
        <f t="shared" ref="DD23" si="189">SUM(T23:AE23)</f>
        <v>0</v>
      </c>
      <c r="DE23" s="34">
        <f t="shared" ref="DE23" si="190">SUM(AF23:AQ23)</f>
        <v>0</v>
      </c>
      <c r="DF23" s="34">
        <f t="shared" ref="DF23" si="191">SUM(AR23:BC23)</f>
        <v>0</v>
      </c>
      <c r="DG23" s="34">
        <f t="shared" ref="DG23" si="192">SUM(BD23:BO23)</f>
        <v>1</v>
      </c>
      <c r="DH23" s="34">
        <f t="shared" ref="DH23" si="193">SUM(BP23:CA23)</f>
        <v>0</v>
      </c>
      <c r="DI23" s="34">
        <f t="shared" ref="DI23" si="194">SUM(CB23:CM23)</f>
        <v>0</v>
      </c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7"/>
    </row>
    <row r="24" spans="1:125" ht="12" customHeight="1">
      <c r="A24" s="10">
        <v>22</v>
      </c>
      <c r="B24" s="229" t="s">
        <v>443</v>
      </c>
      <c r="C24" s="185"/>
      <c r="D24" s="230"/>
      <c r="E24" s="230" t="s">
        <v>373</v>
      </c>
      <c r="F24" s="185" t="s">
        <v>442</v>
      </c>
      <c r="G24" s="231" t="s">
        <v>191</v>
      </c>
      <c r="H24" s="79">
        <f>SUMIF(Tim!$F$7:$F$70,Ins!F24,Tim!$B$7:$B$70)</f>
        <v>0</v>
      </c>
      <c r="I24" s="80">
        <f>SUMIF(Tim!$G$7:$G$70,Ins!F24,Tim!$B$7:$B$70)+SUMIF(Tim!$H$7:$H$70,Ins!F24,Tim!$B$7:$B$70)+SUMIF(Tim!$I$7:$I$70,Ins!F24,Tim!$B$7:$B$70)+SUMIF(Tim!$J$7:$J$70,Ins!F24,Tim!$B$7:$B$70)+SUMIF(Tim!$K$7:$K$70,Ins!F24,Tim!$B$7:$B$70)+SUMIF(Tim!$L$7:$L$70,Ins!F24,Tim!$B$7:$B$70)</f>
        <v>0</v>
      </c>
      <c r="J24" s="80">
        <f>SUMIF(Tim!$M$7:$M$70,Ins!F24,Tim!$B$7:$B$70)+SUMIF(Tim!$O$7:$O$70,Ins!F24,Tim!$B$7:$B$70)+SUMIF(Tim!$N$7:$N$70,Ins!F24,Tim!$B$7:$B$70)</f>
        <v>0</v>
      </c>
      <c r="K24" s="80">
        <f>SUMIF(Tim!$P$7:$P$70,Ins!F24,Tim!$B$7:$B$70)+SUMIF(Tim!$Q$7:$Q$70,Ins!F24,Tim!$B$7:$B$70)+SUMIF(Tim!$R$7:$R$70,Ins!F24,Tim!$B$7:$B$70)+SUMIF(Tim!$S$7:$S$70,Ins!F24,Tim!$B$7:$B$70)+SUMIF(Tim!$T$7:$T$70,Ins!F24,Tim!$B$7:$B$70)</f>
        <v>0</v>
      </c>
      <c r="L24" s="80">
        <f>SUMIF(Tim!$U$7:$U$70,Ins!F24,Tim!$B$7:$B$70)+SUMIF(Tim!$W$7:$W$70,Ins!F24,Tim!$B$7:$B$70)+SUMIF(Tim!$X$7:$X$70,Ins!F24,Tim!$B$7:$B$70)</f>
        <v>0</v>
      </c>
      <c r="M24" s="80">
        <f>SUMIF(Tim!$Y$7:$Y$70,Ins!F24,Tim!$B$7:$B$70)+SUMIF(Tim!$Z$7:$Z$70,Ins!F24,Tim!$B$7:$B$70)+SUMIF(Tim!$AA$7:$AA$70,Ins!F24,Tim!$B$7:$B$70)</f>
        <v>0</v>
      </c>
      <c r="N24" s="80">
        <f>SUMIF(Tim!$AB$7:$AB$70,Ins!F24,Tim!$B$7:$B$70)</f>
        <v>0</v>
      </c>
      <c r="O24" s="80">
        <f>SUMIF(Tim!$AC$7:$AC$70,Ins!F24,Tim!$D$7:$D$70)+SUMIF(Tim!$AD$7:$AD$70,Ins!F24,Tim!$D$7:$D$70)+SUMIF(Tim!$AE$7:$AE$70,Ins!F24,Tim!$D$7:$D$70)+SUMIF(Tim!$AF$7:$AF$70,Ins!F24,Tim!$D$7:$D$70)+SUMIF(Tim!$AG$7:$AG$70,Ins!F24,Tim!$D$7:$D$70)+SUMIF(Tim!$AH$7:$AH$70,Ins!F24,Tim!$D$7:$D$70)+SUMIF(Tim!$AI$7:$AI$70,Ins!F24,Tim!$D$7:$D$70)+SUMIF(Tim!$AJ$7:$AJ$70,Ins!F24,Tim!$D$7:$D$70)+SUMIF(Tim!$AK$7:$AK$70,Ins!F24,Tim!$D$7:$D$70)+SUMIF(Tim!$AL$7:$AL$70,Ins!F24,Tim!$D$7:$D$70)+SUMIF(Tim!$AM$7:$AM$70,Ins!F24,Tim!$D$7:$D$70)+SUMIF(Tim!$AN$7:$AN$70,Ins!F24,Tim!$D$7:$D$70)</f>
        <v>0</v>
      </c>
      <c r="P24" s="80">
        <f>SUMIF(Tim!AO$7:AO$70,Ins!F24,Tim!$C$7:$C$70)</f>
        <v>0</v>
      </c>
      <c r="Q24" s="80">
        <f>SUMIF(Tim!AP$7:AP$70,Ins!F24,Tim!$C$7:$C$70)</f>
        <v>0</v>
      </c>
      <c r="R24" s="80">
        <f>SUMIF(Tim!AQ$7:AQ$70,Ins!F24,Tim!$C$7:$C$70)+SUMIF(Tim!AR$7:AR$70,Ins!F24,Tim!$C$7:$C$70)+SUMIF(Tim!AS$7:AS$70,Ins!F24,Tim!$C$7:$C$70)</f>
        <v>0</v>
      </c>
      <c r="S24" s="236">
        <f>SUMIF(Tim!$AT$7:$AT$70,Ins!F24,Tim!$C$7:$C$70)+SUMIF(Tim!$AU$7:$AU$70,Ins!F24,Tim!$C$7:$C83)+SUMIF(Tim!$AV$7:$AV$70,Ins!F24,Tim!$C$7:$C$70)+SUMIF(Tim!$AW$7:$AW$70,Ins!F24,Tim!$C$7:$C$70)+SUMIF(Tim!$AX$7:$AX$70,Ins!F24,Tim!$C$7:$C$70)</f>
        <v>0</v>
      </c>
      <c r="T24" s="79">
        <f>SUMIF(Tim!$AY$7:$AY$70,Ins!F24,Tim!$B$7:$B$70)</f>
        <v>0</v>
      </c>
      <c r="U24" s="80">
        <f>SUMIF(Tim!$AZ$7:$AZ$70,Ins!F24,Tim!$B$7:$B$70)+SUMIF(Tim!$BA$7:$BA$70,Ins!F24,Tim!$B$7:$B$70)+SUMIF(Tim!$BB$7:$BB$70,Ins!F24,Tim!$B$7:$B$70)+SUMIF(Tim!$BC$7:$BC$70,Ins!F24,Tim!$B$7:$B$70)+SUMIF(Tim!$BD$7:$BD$70,Ins!F24,Tim!$B$7:$B$70)+SUMIF(Tim!$BE$7:$BE$70,Ins!F24,Tim!$B$7:$B$70)</f>
        <v>0</v>
      </c>
      <c r="V24" s="80">
        <f>SUMIF(Tim!$BF$7:$BF$70,Ins!F24,Tim!$B$7:$B$70)+SUMIF(Tim!$BG$7:$BG$70,Ins!F24,Tim!$B$7:$B$70)+SUMIF(Tim!$BH$7:$BH$70,Ins!F24,Tim!$B$7:$B$70)</f>
        <v>0</v>
      </c>
      <c r="W24" s="80">
        <f>SUMIF(Tim!$BI$7:$BI$70,Ins!F24,Tim!$B$7:$B$70)+SUMIF(Tim!$BJ$7:$BJ$70,Ins!F24,Tim!$B$7:$B$70)+SUMIF(Tim!$BK$7:$BK$70,Ins!F24,Tim!$B$7:$B$70)+SUMIF(Tim!$BL$7:$BL$70,Ins!F24,Tim!$B$7:$B$70)+SUMIF(Tim!$BM$7:$BM$70,Ins!F24,Tim!$B$7:$B$70)</f>
        <v>0</v>
      </c>
      <c r="X24" s="80">
        <f>SUMIF(Tim!$BN$7:$BN$70,Ins!F24,Tim!$B$7:$B$70)+SUMIF(Tim!$BO$7:$BO$70,Ins!F24,Tim!$B$7:$B$70)+SUMIF(Tim!$BP$7:$BP$70,Ins!F24,Tim!$B$7:$B$70)</f>
        <v>0</v>
      </c>
      <c r="Y24" s="80">
        <f>SUMIF(Tim!$BQ$7:$BQ$70,Ins!F24,Tim!$B$7:$B$70)+SUMIF(Tim!$BR$7:$BR$70,Ins!F24,Tim!$B$7:$B$70)+SUMIF(Tim!$BS$7:$BS$70,Ins!F24,Tim!$B$7:$B$70)</f>
        <v>0</v>
      </c>
      <c r="Z24" s="80">
        <f>SUMIF(Tim!BT$7:BT$70,Ins!F24,Tim!$B$7:$B$70)</f>
        <v>0</v>
      </c>
      <c r="AA24" s="80">
        <f>SUMIF(Tim!$BU$7:$BU$70,Ins!F24,Tim!$D$7:$D$70)+SUMIF(Tim!$BV$7:$BV$70,Ins!F24,Tim!$D$7:$D$70)+SUMIF(Tim!$BW$7:$BW$70,Ins!F24,Tim!$D$7:$D$70)+SUMIF(Tim!$BX$7:$BX$70,Ins!F24,Tim!$D$7:$D$70)+SUMIF(Tim!$BY$7:$BY$70,Ins!F24,Tim!$D$7:$D$70)+SUMIF(Tim!$BZ$7:$BZ$70,Ins!F24,Tim!$D$7:$D$70)+SUMIF(Tim!$CA$7:$CA$70,Ins!F24,Tim!$D$7:$D$70)+SUMIF(Tim!$CB$7:$CB$70,Ins!F24,Tim!$D$7:$D$70)+SUMIF(Tim!$CC$7:$CC$70,Ins!F24,Tim!$D$7:$D$70)+SUMIF(Tim!$CD$7:$CD$70,Ins!F24,Tim!$D$7:$D$70)+SUMIF(Tim!$CE$7:$CE$70,Ins!F24,Tim!$D$7:$D$70)+SUMIF(Tim!$CF$7:$CF$70,Ins!F24,Tim!$D$7:$D$70)</f>
        <v>0</v>
      </c>
      <c r="AB24" s="80">
        <f>SUMIF(Tim!CG$7:CG$70,Ins!F24,Tim!$C$7:$C$70)</f>
        <v>0</v>
      </c>
      <c r="AC24" s="80">
        <f>SUMIF(Tim!CH$7:CH$70,Ins!F24,Tim!$C$7:$C$70)</f>
        <v>0</v>
      </c>
      <c r="AD24" s="80">
        <f>SUMIF(Tim!CI$7:CI$70,Ins!F24,Tim!$C$7:$C$70)+SUMIF(Tim!CJ$7:CJ$70,Ins!F24,Tim!$C$7:$C$70)+SUMIF(Tim!CK$7:CK$70,Ins!F24,Tim!$C$7:$C$70)</f>
        <v>0</v>
      </c>
      <c r="AE24" s="81">
        <f>SUMIF(Tim!$CL$7:$CL$70,Ins!F24,Tim!$C$7:$C$70)+SUMIF(Tim!$CM$7:$CM$70,Ins!F24,Tim!$C$7:$C$70)+SUMIF(Tim!$CN$7:$CN$70,Ins!F24,Tim!$C$7:$C$70)+SUMIF(Tim!$CO$7:$CO$70,Ins!F24,Tim!$C$7:$C$70)+SUMIF(Tim!$CP$7:$CP$70,Ins!F24,Tim!$C$7:$C$70)</f>
        <v>0</v>
      </c>
      <c r="AF24" s="79">
        <f>SUMIF(Tim!$CQ$7:$CQ$70,Ins!F24,Tim!$B$7:$B$70)</f>
        <v>0</v>
      </c>
      <c r="AG24" s="80">
        <f>SUMIF(Tim!$CR$7:$CR$70,Ins!F24,Tim!$B$7:$B$70)+SUMIF(Tim!$CS$7:$CS$70,Ins!F24,Tim!$B$7:$B$70)+SUMIF(Tim!$CT$7:$CT$70,Ins!F24,Tim!$B$7:$B$70)+SUMIF(Tim!$CU$7:$CU$70,Ins!F24,Tim!$B$7:$B$70)+SUMIF(Tim!$CV$7:$CV$70,Ins!F24,Tim!$B$7:$B$70)+SUMIF(Tim!$CW$7:$CW$70,Ins!F24,Tim!$B$7:$B$70)</f>
        <v>0</v>
      </c>
      <c r="AH24" s="80">
        <f>SUMIF(Tim!$CX$7:$CX$70,Ins!F24,Tim!$B$7:$B$70)+SUMIF(Tim!$CY$7:$CY$70,Ins!F24,Tim!$B$7:$B$70)+SUMIF(Tim!$CZ$7:$CZ$70,Ins!F24,Tim!$B$7:$B$70)</f>
        <v>0</v>
      </c>
      <c r="AI24" s="80">
        <f>SUMIF(Tim!$DA$7:$DA$70,Ins!F24,Tim!$B$7:$B$70)+SUMIF(Tim!$DB$7:$DB$70,Ins!F24,Tim!$B$7:$B$70)+SUMIF(Tim!$DC$7:$DC$70,Ins!F24,Tim!$B$7:$B$70)+SUMIF(Tim!$DD$7:$DD$70,Ins!F24,Tim!$B$7:$B$70)+SUMIF(Tim!$DE$7:$DE$70,Ins!F24,Tim!$B$7:$B$70)</f>
        <v>0</v>
      </c>
      <c r="AJ24" s="80">
        <f>SUMIF(Tim!$DF$7:$DF$70,Ins!F24,Tim!$B$7:$B$70)+SUMIF(Tim!$DG$7:$DG$70,Ins!F24,Tim!$B$7:$B$70)+SUMIF(Tim!$DH$7:$DH$70,Ins!F24,Tim!$B$7:$B$70)</f>
        <v>0</v>
      </c>
      <c r="AK24" s="80">
        <f>SUMIF(Tim!DI$7:DI$70,Ins!F24,Tim!$B$7:$B$70)+SUMIF(Tim!DM$7:DM$70,Ins!F24,Tim!$B$7:$B$70)+SUMIF(Tim!DN$7:DN$70,Ins!F24,Tim!$B$7:$B$70)</f>
        <v>0</v>
      </c>
      <c r="AL24" s="80">
        <f>SUMIF(Tim!DO$7:DO$70,Ins!F24,Tim!$B$7:$B$70)</f>
        <v>0</v>
      </c>
      <c r="AM24" s="80">
        <f>SUMIF(Tim!$DP$7:$DP$70,Ins!F24,Tim!$D$7:$D$70)+SUMIF(Tim!$DQ$7:$DQ$70,Ins!F24,Tim!$D$7:$D$70)+SUMIF(Tim!$DR$7:$DR$70,Ins!F24,Tim!$D$7:$D$70)+SUMIF(Tim!$DS$7:$DS$70,Ins!F24,Tim!$D$7:$D$70)+SUMIF(Tim!$DT$7:$DT$70,Ins!F24,Tim!$D$7:$D$70)+SUMIF(Tim!$DU$7:$DU$70,Ins!F24,Tim!$D$7:$D$70)+SUMIF(Tim!$DV$7:$DV$70,Ins!F24,Tim!$D$7:$D$70)+SUMIF(Tim!$DW$7:$DW$70,Ins!F24,Tim!$D$7:$D$70)+SUMIF(Tim!$DX$7:$DX$70,Ins!F24,Tim!$D$7:$D$70)+SUMIF(Tim!$DY$7:$DY$70,Ins!F24,Tim!$D$7:$D$70)+SUMIF(Tim!$DZ$7:$DZ$70,Ins!F24,Tim!$D$7:$D$70)+SUMIF(Tim!$EA$7:$EA$70,Ins!F24,Tim!$D$7:$D$70)</f>
        <v>0</v>
      </c>
      <c r="AN24" s="80">
        <f>SUMIF(Tim!EB$7:EB$70,Ins!F24,Tim!$C$7:$C$70)</f>
        <v>0</v>
      </c>
      <c r="AO24" s="80">
        <f>SUMIF(Tim!EC$7:EC$70,Ins!F24,Tim!$C$7:$C$70)</f>
        <v>0</v>
      </c>
      <c r="AP24" s="80">
        <f>SUMIF(Tim!ED$7:ED$70,Ins!F24,Tim!$C$7:$C$70)+SUMIF(Tim!EE$7:EE$70,Ins!F24,Tim!$C$7:$C$70)+SUMIF(Tim!EF$7:EF$70,Ins!F24,Tim!$C$7:$C$70)</f>
        <v>0</v>
      </c>
      <c r="AQ24" s="81">
        <f>SUMIF(Tim!$EG$7:$EG$70,Ins!F24,Tim!$C$7:$C$70)+SUMIF(Tim!$EH$7:$EH$70,Ins!F24,Tim!$C$7:$C$70)+SUMIF(Tim!$EI$7:$EI$70,Ins!F24,Tim!$C$7:$C$70)+SUMIF(Tim!$EJ$7:$EJ$70,Ins!F24,Tim!$C$7:$C$70)+SUMIF(Tim!$EK$7:$EK$70,Ins!F24,Tim!$C$7:$C$70)</f>
        <v>0</v>
      </c>
      <c r="AR24" s="79">
        <f>SUMIF(Tim!$EL$5:$EL$70,Ins!F24,Tim!$B$5:$B$70)</f>
        <v>0</v>
      </c>
      <c r="AS24" s="80">
        <f>SUMIF(Tim!$EM$5:$EM$70,Ins!F24,Tim!$B$5:$B$70)+SUMIF(Tim!$EN$5:$EN$70,Ins!F24,Tim!$B$5:$B$70)+SUMIF(Tim!$EO$5:$EO$70,Ins!F24,Tim!$B$5:$B$70)+SUMIF(Tim!$EP$5:$EP$70,Ins!F24,Tim!$B$5:$B$70)+SUMIF(Tim!$EQ$5:$EQ$70,Ins!F24,Tim!$B$5:$B$70)+SUMIF(Tim!$ER$5:$ER$70,Ins!F24,Tim!$B$5:$B$70)</f>
        <v>0</v>
      </c>
      <c r="AT24" s="80">
        <f>SUMIF(Tim!$ES$5:$ES$70,Ins!F24,Tim!$B$5:$B$70)+SUMIF(Tim!$ET$5:$ET$70,Ins!F24,Tim!$B$5:$B$70)+SUMIF(Tim!$EU$5:$EU$70,Ins!F24,Tim!$B$5:$B$70)</f>
        <v>0</v>
      </c>
      <c r="AU24" s="80">
        <f>SUMIF(Tim!$EV$5:$EV$70,Ins!F24,Tim!$B$5:$B$70)+SUMIF(Tim!$EW$5:$EW$70,Ins!F24,Tim!$B$5:$B$70)+SUMIF(Tim!$EX$5:$EX$70,Ins!F24,Tim!$B$5:$B$70)+SUMIF(Tim!$EY$5:$EY$70,Ins!F24,Tim!$B$5:$B$70)+SUMIF(Tim!$EZ$5:$EZ$70,Ins!F24,Tim!$B$5:$B$70)</f>
        <v>0</v>
      </c>
      <c r="AV24" s="80">
        <f>SUMIF(Tim!$FA$5:$FA$70,Ins!F24,Tim!$B$5:$B$70)+SUMIF(Tim!$FB$5:$FB$70,Ins!F24,Tim!$B$5:$B$70)+SUMIF(Tim!$FC$5:$FC$70,Ins!F24,Tim!$B$5:$B$70)</f>
        <v>0</v>
      </c>
      <c r="AW24" s="80">
        <f>SUMIF(Tim!FD$5:FD$70,Ins!F24,Tim!$B$5:$B$70)+SUMIF(Tim!FE$5:FE$70,Ins!F24,Tim!$B$5:$B$70)+SUMIF(Tim!FF$5:FF$70,Ins!F24,Tim!$B$5:$B$70)</f>
        <v>0</v>
      </c>
      <c r="AX24" s="80">
        <f>SUMIF(Tim!FG$5:FG$70,Ins!F24,Tim!$B$5:$B$70)</f>
        <v>0</v>
      </c>
      <c r="AY24" s="80">
        <f>SUMIF(Tim!$FH$5:$FH$70,Ins!F24,Tim!$D$5:$D$70)+SUMIF(Tim!$FI$5:$FI$70,Ins!F24,Tim!$D$5:$D$70)+SUMIF(Tim!$FJ$5:$FJ$70,Ins!F24,Tim!$D$5:$D$70)+SUMIF(Tim!$FK$5:$FK$70,Ins!F24,Tim!$D$5:$D$70)+SUMIF(Tim!$FL$5:$FL$70,Ins!F24,Tim!$D$5:$D$70)+SUMIF(Tim!$FM$5:$FM$70,Ins!F24,Tim!$D$5:$D$70)+SUMIF(Tim!$FN$5:$FN$70,Ins!F24,Tim!$D$5:$D$70)+SUMIF(Tim!$FO$5:$FO$70,Ins!F24,Tim!$D$5:$D$70)+SUMIF(Tim!$FP$5:$FP$70,Ins!F24,Tim!$D$5:$D$70)+SUMIF(Tim!$FQ$5:$FQ$70,Ins!F24,Tim!$D$5:$D$70)+SUMIF(Tim!$FR$5:$FR$70,Ins!F24,Tim!$D$5:$D$70)+SUMIF(Tim!$FS$5:$FS$70,Ins!F24,Tim!$D$5:$D$70)</f>
        <v>0</v>
      </c>
      <c r="AZ24" s="80">
        <f>SUMIF(Tim!FT$5:FT$70,Ins!F24,Tim!$C$5:$C$70)</f>
        <v>0</v>
      </c>
      <c r="BA24" s="80">
        <f>SUMIF(Tim!FU$5:FU$70,Ins!F24,Tim!$C$5:$C$70)</f>
        <v>0</v>
      </c>
      <c r="BB24" s="80">
        <f>SUMIF(Tim!FV$5:FV$70,Ins!F24,Tim!$C$5:$C$70)+SUMIF(Tim!FW$5:FW$70,Ins!F24,Tim!$C$5:$C$70)+SUMIF(Tim!FX$5:FX$70,Ins!F24,Tim!$C$5:$C$70)</f>
        <v>0</v>
      </c>
      <c r="BC24" s="81">
        <f>SUMIF(Tim!$FY$5:$FY$70,Ins!F24,Tim!$C$5:$C$70)+SUMIF(Tim!$FZ$5:$FZ$70,Ins!F24,Tim!$C$5:$C$70)+SUMIF(Tim!$GA$5:$GA$70,Ins!F24,Tim!$C$5:$C$70)+SUMIF(Tim!$GB$5:$GB$70,Ins!F24,Tim!$C$5:$C$70)+SUMIF(Tim!$GC$5:$GC$70,Ins!F24,Tim!$C$5:$C$70)</f>
        <v>0</v>
      </c>
      <c r="BD24" s="79">
        <f>SUMIF(Tim!$GD$5:$GD$70,Ins!F24,Tim!$B$5:$B$70)</f>
        <v>0</v>
      </c>
      <c r="BE24" s="80">
        <f>SUMIF(Tim!$GE$5:$GE$70,Ins!F24,Tim!$B$5:$B$70)+SUMIF(Tim!$GF$5:$GF$70,Ins!F24,Tim!$B$5:$B$70)+SUMIF(Tim!$GG$5:$GG$70,Ins!F24,Tim!$B$5:$B$70)+SUMIF(Tim!$GH$5:$GH$70,Ins!F24,Tim!$B$5:$B$70)+SUMIF(Tim!$GI$5:$GI$70,Ins!F24,Tim!$B$5:$B$70)+SUMIF(Tim!$GJ$5:$GJ$70,Ins!F24,Tim!$B$5:$B$70)</f>
        <v>0</v>
      </c>
      <c r="BF24" s="80">
        <f>SUMIF(Tim!$GK$5:$GK$70,Ins!F24,Tim!$B$5:$B$70)+SUMIF(Tim!$GL$5:$GL$70,Ins!F24,Tim!$B$5:$B$70)+SUMIF(Tim!$GM$5:$GM$70,Ins!F24,Tim!$B$5:$B$70)</f>
        <v>0</v>
      </c>
      <c r="BG24" s="80">
        <f>SUMIF(Tim!$GN$5:$GN$70,Ins!F24,Tim!$B$5:$B$70)+SUMIF(Tim!$GO$5:$GO$70,Ins!F24,Tim!$B$5:$B$70)+SUMIF(Tim!$GP$5:$GP$70,Ins!F24,Tim!$B$5:$B$70)+SUMIF(Tim!$GQ$5:$GQ$70,Ins!F24,Tim!$B$5:$B$70)+SUMIF(Tim!$GR$5:$GR$70,Ins!F24,Tim!$B$5:$B$70)</f>
        <v>0</v>
      </c>
      <c r="BH24" s="80">
        <f>SUMIF(Tim!$GS$5:$GS$70,Ins!F24,Tim!$B$5:$B$70)+SUMIF(Tim!$GT$5:$GT$70,Ins!F24,Tim!$B$5:$B$70)+SUMIF(Tim!$GU$5:$GU$70,Ins!F24,Tim!$B$5:$B$70)</f>
        <v>0</v>
      </c>
      <c r="BI24" s="80">
        <f>SUMIF(Tim!GV$5:GV$70,Ins!F24,Tim!$B$5:$B$70)+SUMIF(Tim!GW$5:GW$70,Ins!F24,Tim!$B$5:$B$70)+SUMIF(Tim!GX$5:GX$70,Ins!F24,Tim!$B$5:$B$70)</f>
        <v>0</v>
      </c>
      <c r="BJ24" s="80">
        <f>SUMIF(Tim!GY$5:GY$70,Ins!F24,Tim!$B$5:$B$70)</f>
        <v>0</v>
      </c>
      <c r="BK24" s="80">
        <f>SUMIF(Tim!$GZ$5:$GZ$70,Ins!F24,Tim!$D$5:$D$70)+SUMIF(Tim!$HA$5:$HA$70,Ins!F24,Tim!$D$5:$D$70)+SUMIF(Tim!$HB$5:$HB$70,Ins!F24,Tim!$D$5:$D$70)++SUMIF(Tim!$HC$5:$HC$70,Ins!F24,Tim!$D$5:$D$70)+SUMIF(Tim!$HD$5:$HD$70,Ins!F24,Tim!$D$5:$D$70)+SUMIF(Tim!$HE$5:$HE$70,Ins!F24,Tim!$D$5:$D$70)+SUMIF(Tim!$HF$5:$HF$70,Ins!F24,Tim!$D$5:$D$70)+SUMIF(Tim!$HG$5:$HG$70,Ins!F24,Tim!$D$5:$D$70)+SUMIF(Tim!$HH$5:$HH$70,Ins!F24,Tim!$D$5:$D$70)+SUMIF(Tim!$HI$5:$HI$70,Ins!F24,Tim!$D$5:$D$70)+SUMIF(Tim!$HJ$5:$HJ$70,Ins!F24,Tim!$D$5:$D$70)+SUMIF(Tim!$HK$5:$HK$70,Ins!F24,Tim!$D$5:$D$70)</f>
        <v>0</v>
      </c>
      <c r="BL24" s="80">
        <f>SUMIF(Tim!HL$5:HL$70,Ins!F24,Tim!$C$5:$C$70)</f>
        <v>0</v>
      </c>
      <c r="BM24" s="80">
        <f>SUMIF(Tim!HM$5:HM$70,Ins!F24,Tim!$C$5:$C$70)</f>
        <v>0</v>
      </c>
      <c r="BN24" s="80">
        <f>SUMIF(Tim!HN$5:HN$70,Ins!F24,Tim!$C$5:$C$70)+SUMIF(Tim!HO$5:HO$70,Ins!F24,Tim!$C$5:$C$70)+SUMIF(Tim!HP$5:HP$70,Ins!F24,Tim!$C$5:$C$70)</f>
        <v>0</v>
      </c>
      <c r="BO24" s="81">
        <f>SUMIF(Tim!$HQ$5:$HQ$70,Ins!F24,Tim!$C$5:$C$70)+SUMIF(Tim!$HR$5:$HR$70,Ins!F24,Tim!$C$5:$C$70)+SUMIF(Tim!$HS$5:$HS$70,Ins!F24,Tim!$C$5:$C$70)+SUMIF(Tim!$HT$5:$HT$70,Ins!F24,Tim!$C$5:$C$70)+SUMIF(Tim!$HU$5:$HU$70,Ins!F24,Tim!$C$5:$C$70)</f>
        <v>0</v>
      </c>
      <c r="BP24" s="79">
        <f>SUMIF(Tim!$HV$7:$HV$70,Ins!F24,Tim!$B$7:$B$70)</f>
        <v>0</v>
      </c>
      <c r="BQ24" s="80">
        <f>SUMIF(Tim!$HW$7:$HW$70,Ins!F24,Tim!$B$7:$B$70)+SUMIF(Tim!$HX$7:$HX$70,Ins!F24,Tim!$B$7:$B$70)+SUMIF(Tim!$HY$7:$HY$70,Ins!F24,Tim!$B$7:$B$70)+SUMIF(Tim!$HZ$7:$HZ$70,Ins!F24,Tim!$B$7:$B$70)+SUMIF(Tim!$IA$7:$IA$70,Ins!F24,Tim!$B$7:$B$70)+SUMIF(Tim!$IB$7:$IB$70,Ins!F24,Tim!$B$7:$B$70)</f>
        <v>0</v>
      </c>
      <c r="BR24" s="80">
        <f>SUMIF(Tim!$IC$7:$IC$70,Ins!F24,Tim!$B$7:$B$70)+SUMIF(Tim!$ID$7:$ID$70,Ins!F24,Tim!$B$7:$B$70)+SUMIF(Tim!$IE$7:$IE$70,Ins!F24,Tim!$B$7:$B$70)</f>
        <v>0</v>
      </c>
      <c r="BS24" s="80">
        <f>SUMIF(Tim!$IF$7:$IF$70,Ins!F24,Tim!$B$7:$B$70)+SUMIF(Tim!$IG$7:$IG$70,Ins!F24,Tim!$B$7:$B$70)+SUMIF(Tim!$IH$7:$IH$70,Ins!F24,Tim!$B$7:$B$70)+SUMIF(Tim!$II$7:$II$70,Ins!F24,Tim!$B$7:$B$70)+SUMIF(Tim!$IJ$7:$IJ$70,Ins!F24,Tim!$B$7:$B$70)</f>
        <v>0</v>
      </c>
      <c r="BT24" s="80">
        <f>SUMIF(Tim!$IK$7:$IK$70,Ins!F24,Tim!$B$7:$B$70)+SUMIF(Tim!$IL$7:$IL$70,Ins!F24,Tim!$B$7:$B$70)+SUMIF(Tim!$IM$7:$IM$70,Ins!F24,Tim!$B$7:$B$70)</f>
        <v>0</v>
      </c>
      <c r="BU24" s="80">
        <f>SUMIF(Tim!$IN$7:$IN$70,Ins!F24,Tim!$B$7:$B$70)+SUMIF(Tim!$IO$7:$IO$70,Ins!F24,Tim!$B$7:$B$70)+SUMIF(Tim!$IP$7:$IP$70,Ins!F24,Tim!$B$7:$B$70)</f>
        <v>0</v>
      </c>
      <c r="BV24" s="80">
        <f>SUMIF(Tim!$IQ$7:$IQ$70,Ins!F24,Tim!$B$7:$B$70)</f>
        <v>0</v>
      </c>
      <c r="BW24" s="80">
        <f>SUMIF(Tim!$IR$7:$IR$70,Ins!F24,Tim!$D$7:$D$70)+SUMIF(Tim!$IS$7:$IS$70,Ins!F24,Tim!$D$7:$D$70)+SUMIF(Tim!$IT$7:$IT$70,Ins!F24,Tim!$D$7:$D$70)+SUMIF(Tim!$IU$7:$IU$70,Ins!F24,Tim!$D$7:$D$70)+SUMIF(Tim!$IV$7:$IV$70,Ins!F24,Tim!$D$7:$D$70)+SUMIF(Tim!$IW$7:$IW$70,Ins!F24,Tim!$D$7:$D$70)+SUMIF(Tim!$IX$7:$IX$70,Ins!F24,Tim!$D$7:$D$70)+SUMIF(Tim!$IY$7:$IY$70,Ins!F24,Tim!$D$7:$D$70)+SUMIF(Tim!$IZ$7:$IZ$70,Ins!F24,Tim!$D$7:$D$70)+SUMIF(Tim!$JA$7:$JA$70,Ins!F24,Tim!$D$7:$D$70)+SUMIF(Tim!$JB$7:$JB$70,Ins!F24,Tim!$D$7:$D$70)+SUMIF(Tim!$JC$7:$JC$70,Ins!F24,Tim!$D$7:$D$70)</f>
        <v>0</v>
      </c>
      <c r="BX24" s="80">
        <f>SUMIF(Tim!JD$7:JD$70,Ins!F24,Tim!$C$7:$C$70)</f>
        <v>0</v>
      </c>
      <c r="BY24" s="80">
        <f>SUMIF(Tim!JE$7:JE$70,Ins!F24,Tim!$C$7:$C$70)</f>
        <v>0</v>
      </c>
      <c r="BZ24" s="80">
        <f>SUMIF(Tim!JF$7:JF$70,Ins!F24,Tim!$C$7:$C$70)+SUMIF(Tim!JG$7:JG$70,Ins!F24,Tim!$C$7:$C$70)+SUMIF(Tim!JH$7:JH$70,Ins!F24,Tim!$C$7:$C$70)</f>
        <v>0</v>
      </c>
      <c r="CA24" s="81">
        <f>SUMIF(Tim!$JI$7:$JI$70,Ins!F24,Tim!$C$7:$C$70)++SUMIF(Tim!$JJ$7:$JJ$70,Ins!F24,Tim!$C$7:$C$70)+SUMIF(Tim!$JK$7:$JK$70,Ins!F24,Tim!$C$7:$C$70)+SUMIF(Tim!$JL$7:$JL$70,Ins!F24,Tim!$C$7:$C$70)+SUMIF(Tim!$JM$7:$JM$70,Ins!F24,Tim!$C$7:$C$70)</f>
        <v>0</v>
      </c>
      <c r="CB24" s="79">
        <f>SUMIF(Tim!$JN$7:$JN$70,Ins!F24,Tim!$B$7:$B$70)</f>
        <v>0</v>
      </c>
      <c r="CC24" s="80">
        <f>SUMIF(Tim!$JO$7:$JO$70,Ins!F24,Tim!$B$7:$B$70)+SUMIF(Tim!$JP$7:$JP$70,Ins!F24,Tim!$B$7:$B$70)+SUMIF(Tim!$JQ$7:$JQ$70,Ins!F24,Tim!$B$7:$B$70)+SUMIF(Tim!$JR$7:$JR$70,Ins!F24,Tim!$B$7:$B$70)+SUMIF(Tim!$JS$7:$JS$70,Ins!F24,Tim!$B$7:$B$70)+SUMIF(Tim!$JT$7:$JT$70,Ins!F24,Tim!$B$7:$B$70)</f>
        <v>0</v>
      </c>
      <c r="CD24" s="80">
        <f>SUMIF(Tim!$JW$7:$JW$70,Ins!F24,Tim!$B$7:$B$70)+SUMIF(Tim!$JU$7:$JU$70,Ins!F24,Tim!$B$7:$B$70)+SUMIF(Tim!$JV$7:$JV$70,Ins!F24,Tim!$B$7:$B$70)</f>
        <v>0</v>
      </c>
      <c r="CE24" s="80">
        <f>SUMIF(Tim!$JX$7:$JX$70,Ins!F24,Tim!$B$7:$B$70)+SUMIF(Tim!$JY$7:$JY$70,Ins!F24,Tim!$B$7:$B$70)+SUMIF(Tim!$JZ$7:$JZ$70,Ins!F24,Tim!$B$7:$B$70)+SUMIF(Tim!$KA$7:$KA$70,Ins!F24,Tim!$B$7:$B$70)+SUMIF(Tim!$KB$7:$KB$70,Ins!F24,Tim!$B$7:$B$70)</f>
        <v>0</v>
      </c>
      <c r="CF24" s="80">
        <f>SUMIF(Tim!$KE$7:$KE$70,Ins!F24,Tim!$B$7:$B$70)+SUMIF(Tim!$KC$7:$KC$70,Ins!F24,Tim!$B$7:$B$70)+SUMIF(Tim!$KD$7:$KD$70,Ins!F24,Tim!$B$7:$B$70)</f>
        <v>0</v>
      </c>
      <c r="CG24" s="80">
        <f>SUMIF(Tim!$KF$7:$KF$70,Ins!F24,Tim!$B$7:$B$70)+SUMIF(Tim!$KG$7:$KG$70,Ins!F24,Tim!$B$7:$B$70)+SUMIF(Tim!$KH$7:$KH$70,Ins!F24,Tim!$B$7:$B$70)</f>
        <v>0</v>
      </c>
      <c r="CH24" s="80">
        <f>SUMIF(Tim!$KI$7:$KI$70,Ins!F24,Tim!$B$7:$B$70)</f>
        <v>0</v>
      </c>
      <c r="CI24" s="80">
        <f>SUMIF(Tim!$KJ$7:$KJ$70,Ins!F24,Tim!$D$7:$D$70)+SUMIF(Tim!$KK$7:$KK$70,Ins!F24,Tim!$D$7:$D$70)+SUMIF(Tim!$KL$7:$KL$70,Ins!F24,Tim!$D$7:$D$70)+SUMIF(Tim!$KM$7:$KM$70,Ins!F24,Tim!$D$7:$D$70)+SUMIF(Tim!$KN$7:$KN$70,Ins!F24,Tim!$D$7:$D$70)+SUMIF(Tim!$KO$7:$KO$70,Ins!F24,Tim!$D$7:$D$70)+SUMIF(Tim!$KP$7:$KP$70,Ins!F24,Tim!$D$7:$D$70)+SUMIF(Tim!$KQ$7:$KQ$70,Ins!F24,Tim!$D$7:$D$70)+SUMIF(Tim!$KR$7:$KR$70,Ins!F24,Tim!$D$7:$D$70)+SUMIF(Tim!$KS$7:$KS$70,Ins!F24,Tim!$D$7:$D$70)+SUMIF(Tim!$KT$7:$KT$70,Ins!F24,Tim!$D$7:$D$70)+SUMIF(Tim!$KU$7:$KU$70,Ins!F24,Tim!$D$7:$D$70)</f>
        <v>0</v>
      </c>
      <c r="CJ24" s="80">
        <f>SUMIF(Tim!KV$7:KV$70,Ins!F24,Tim!$C$7:$C$70)</f>
        <v>0</v>
      </c>
      <c r="CK24" s="80">
        <f>SUMIF(Tim!KW$7:KW$70,Ins!F24,Tim!$C$7:$C$70)</f>
        <v>0</v>
      </c>
      <c r="CL24" s="80">
        <f>SUMIF(Tim!KX$7:KX$70,Ins!F24,Tim!$C$7:$C$70)+SUMIF(Tim!KY$7:KY$70,Ins!F24,Tim!$C$7:$C$70)+SUMIF(Tim!KZ$7:KZ$70,Ins!F24,Tim!$C$7:$C$70)</f>
        <v>0</v>
      </c>
      <c r="CM24" s="81">
        <f>SUMIF(Tim!$LA$7:$LA$70,Ins!F24,Tim!$C$7:$C$70)+SUMIF(Tim!$LB$7:$LB$70,Ins!F24,Tim!$C$7:$C$70)+SUMIF(Tim!$LC$7:$LC$70,Ins!F24,Tim!$C$7:$C$70)+SUMIF(Tim!$LD$7:$LD$70,Ins!F24,Tim!$C$7:$C$70)+SUMIF(Tim!$LE$7:$LE$70,Ins!F24,Tim!$C$7:$C$70)</f>
        <v>0</v>
      </c>
      <c r="CN24" s="22"/>
      <c r="CO24" s="180">
        <f t="shared" si="158"/>
        <v>0</v>
      </c>
      <c r="CP24" s="179">
        <f t="shared" si="159"/>
        <v>0</v>
      </c>
      <c r="CQ24" s="179">
        <f t="shared" si="160"/>
        <v>0</v>
      </c>
      <c r="CR24" s="179">
        <f t="shared" si="161"/>
        <v>0</v>
      </c>
      <c r="CS24" s="179">
        <f t="shared" si="162"/>
        <v>0</v>
      </c>
      <c r="CT24" s="179">
        <f t="shared" si="163"/>
        <v>0</v>
      </c>
      <c r="CU24" s="179">
        <f t="shared" si="164"/>
        <v>0</v>
      </c>
      <c r="CV24" s="179">
        <f t="shared" si="165"/>
        <v>0</v>
      </c>
      <c r="CW24" s="179">
        <f t="shared" si="166"/>
        <v>0</v>
      </c>
      <c r="CX24" s="179">
        <f t="shared" si="167"/>
        <v>0</v>
      </c>
      <c r="CY24" s="179">
        <f t="shared" si="172"/>
        <v>0</v>
      </c>
      <c r="CZ24" s="179">
        <f t="shared" si="173"/>
        <v>0</v>
      </c>
      <c r="DA24" s="78">
        <f t="shared" si="174"/>
        <v>0</v>
      </c>
      <c r="DB24" s="16"/>
      <c r="DC24" s="34">
        <f t="shared" si="170"/>
        <v>0</v>
      </c>
      <c r="DD24" s="34">
        <f t="shared" si="15"/>
        <v>0</v>
      </c>
      <c r="DE24" s="34">
        <f t="shared" si="16"/>
        <v>0</v>
      </c>
      <c r="DF24" s="34">
        <f t="shared" si="20"/>
        <v>0</v>
      </c>
      <c r="DG24" s="34">
        <f t="shared" si="17"/>
        <v>0</v>
      </c>
      <c r="DH24" s="34">
        <f t="shared" si="18"/>
        <v>0</v>
      </c>
      <c r="DI24" s="34">
        <f t="shared" si="19"/>
        <v>0</v>
      </c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7"/>
    </row>
    <row r="25" spans="1:125" ht="12" customHeight="1">
      <c r="A25" s="10">
        <v>23</v>
      </c>
      <c r="B25" s="229" t="s">
        <v>397</v>
      </c>
      <c r="C25" s="185"/>
      <c r="D25" s="230"/>
      <c r="E25" s="230" t="s">
        <v>373</v>
      </c>
      <c r="F25" s="185" t="s">
        <v>393</v>
      </c>
      <c r="G25" s="231" t="s">
        <v>191</v>
      </c>
      <c r="H25" s="79">
        <f>SUMIF(Tim!$F$7:$F$70,Ins!F25,Tim!$B$7:$B$70)</f>
        <v>0</v>
      </c>
      <c r="I25" s="80">
        <f>SUMIF(Tim!$G$7:$G$70,Ins!F25,Tim!$B$7:$B$70)+SUMIF(Tim!$H$7:$H$70,Ins!F25,Tim!$B$7:$B$70)+SUMIF(Tim!$I$7:$I$70,Ins!F25,Tim!$B$7:$B$70)+SUMIF(Tim!$J$7:$J$70,Ins!F25,Tim!$B$7:$B$70)+SUMIF(Tim!$K$7:$K$70,Ins!F25,Tim!$B$7:$B$70)+SUMIF(Tim!$L$7:$L$70,Ins!F25,Tim!$B$7:$B$70)</f>
        <v>0</v>
      </c>
      <c r="J25" s="80">
        <f>SUMIF(Tim!$M$7:$M$70,Ins!F25,Tim!$B$7:$B$70)+SUMIF(Tim!$O$7:$O$70,Ins!F25,Tim!$B$7:$B$70)+SUMIF(Tim!$N$7:$N$70,Ins!F25,Tim!$B$7:$B$70)</f>
        <v>0</v>
      </c>
      <c r="K25" s="80">
        <f>SUMIF(Tim!$P$7:$P$70,Ins!F25,Tim!$B$7:$B$70)+SUMIF(Tim!$Q$7:$Q$70,Ins!F25,Tim!$B$7:$B$70)+SUMIF(Tim!$R$7:$R$70,Ins!F25,Tim!$B$7:$B$70)+SUMIF(Tim!$S$7:$S$70,Ins!F25,Tim!$B$7:$B$70)+SUMIF(Tim!$T$7:$T$70,Ins!F25,Tim!$B$7:$B$70)</f>
        <v>0</v>
      </c>
      <c r="L25" s="80">
        <f>SUMIF(Tim!$U$7:$U$70,Ins!F25,Tim!$B$7:$B$70)+SUMIF(Tim!$W$7:$W$70,Ins!F25,Tim!$B$7:$B$70)+SUMIF(Tim!$X$7:$X$70,Ins!F25,Tim!$B$7:$B$70)</f>
        <v>0</v>
      </c>
      <c r="M25" s="80">
        <f>SUMIF(Tim!$Y$7:$Y$70,Ins!F25,Tim!$B$7:$B$70)+SUMIF(Tim!$Z$7:$Z$70,Ins!F25,Tim!$B$7:$B$70)+SUMIF(Tim!$AA$7:$AA$70,Ins!F25,Tim!$B$7:$B$70)</f>
        <v>0</v>
      </c>
      <c r="N25" s="80">
        <f>SUMIF(Tim!$AB$7:$AB$70,Ins!F25,Tim!$B$7:$B$70)</f>
        <v>0</v>
      </c>
      <c r="O25" s="80">
        <f>SUMIF(Tim!$AC$7:$AC$70,Ins!F25,Tim!$D$7:$D$70)+SUMIF(Tim!$AD$7:$AD$70,Ins!F25,Tim!$D$7:$D$70)+SUMIF(Tim!$AE$7:$AE$70,Ins!F25,Tim!$D$7:$D$70)+SUMIF(Tim!$AF$7:$AF$70,Ins!F25,Tim!$D$7:$D$70)+SUMIF(Tim!$AG$7:$AG$70,Ins!F25,Tim!$D$7:$D$70)+SUMIF(Tim!$AH$7:$AH$70,Ins!F25,Tim!$D$7:$D$70)+SUMIF(Tim!$AI$7:$AI$70,Ins!F25,Tim!$D$7:$D$70)+SUMIF(Tim!$AJ$7:$AJ$70,Ins!F25,Tim!$D$7:$D$70)+SUMIF(Tim!$AK$7:$AK$70,Ins!F25,Tim!$D$7:$D$70)+SUMIF(Tim!$AL$7:$AL$70,Ins!F25,Tim!$D$7:$D$70)+SUMIF(Tim!$AM$7:$AM$70,Ins!F25,Tim!$D$7:$D$70)+SUMIF(Tim!$AN$7:$AN$70,Ins!F25,Tim!$D$7:$D$70)</f>
        <v>0</v>
      </c>
      <c r="P25" s="80">
        <f>SUMIF(Tim!AO$7:AO$70,Ins!F25,Tim!$C$7:$C$70)</f>
        <v>0</v>
      </c>
      <c r="Q25" s="80">
        <f>SUMIF(Tim!AP$7:AP$70,Ins!F25,Tim!$C$7:$C$70)</f>
        <v>0</v>
      </c>
      <c r="R25" s="80">
        <f>SUMIF(Tim!AQ$7:AQ$70,Ins!F25,Tim!$C$7:$C$70)+SUMIF(Tim!AR$7:AR$70,Ins!F25,Tim!$C$7:$C$70)+SUMIF(Tim!AS$7:AS$70,Ins!F25,Tim!$C$7:$C$70)</f>
        <v>0</v>
      </c>
      <c r="S25" s="236">
        <f>SUMIF(Tim!$AT$7:$AT$70,Ins!F25,Tim!$C$7:$C$70)+SUMIF(Tim!$AU$7:$AU$70,Ins!F25,Tim!$C$7:$C84)+SUMIF(Tim!$AV$7:$AV$70,Ins!F25,Tim!$C$7:$C$70)+SUMIF(Tim!$AW$7:$AW$70,Ins!F25,Tim!$C$7:$C$70)+SUMIF(Tim!$AX$7:$AX$70,Ins!F25,Tim!$C$7:$C$70)</f>
        <v>0</v>
      </c>
      <c r="T25" s="79">
        <f>SUMIF(Tim!$AY$7:$AY$70,Ins!F25,Tim!$B$7:$B$70)</f>
        <v>0</v>
      </c>
      <c r="U25" s="80">
        <f>SUMIF(Tim!$AZ$7:$AZ$70,Ins!F25,Tim!$B$7:$B$70)+SUMIF(Tim!$BA$7:$BA$70,Ins!F25,Tim!$B$7:$B$70)+SUMIF(Tim!$BB$7:$BB$70,Ins!F25,Tim!$B$7:$B$70)+SUMIF(Tim!$BC$7:$BC$70,Ins!F25,Tim!$B$7:$B$70)+SUMIF(Tim!$BD$7:$BD$70,Ins!F25,Tim!$B$7:$B$70)+SUMIF(Tim!$BE$7:$BE$70,Ins!F25,Tim!$B$7:$B$70)</f>
        <v>0</v>
      </c>
      <c r="V25" s="80">
        <f>SUMIF(Tim!$BF$7:$BF$70,Ins!F25,Tim!$B$7:$B$70)+SUMIF(Tim!$BG$7:$BG$70,Ins!F25,Tim!$B$7:$B$70)+SUMIF(Tim!$BH$7:$BH$70,Ins!F25,Tim!$B$7:$B$70)</f>
        <v>0</v>
      </c>
      <c r="W25" s="80">
        <f>SUMIF(Tim!$BI$7:$BI$70,Ins!F25,Tim!$B$7:$B$70)+SUMIF(Tim!$BJ$7:$BJ$70,Ins!F25,Tim!$B$7:$B$70)+SUMIF(Tim!$BK$7:$BK$70,Ins!F25,Tim!$B$7:$B$70)+SUMIF(Tim!$BL$7:$BL$70,Ins!F25,Tim!$B$7:$B$70)+SUMIF(Tim!$BM$7:$BM$70,Ins!F25,Tim!$B$7:$B$70)</f>
        <v>0</v>
      </c>
      <c r="X25" s="80">
        <f>SUMIF(Tim!$BN$7:$BN$70,Ins!F25,Tim!$B$7:$B$70)+SUMIF(Tim!$BO$7:$BO$70,Ins!F25,Tim!$B$7:$B$70)+SUMIF(Tim!$BP$7:$BP$70,Ins!F25,Tim!$B$7:$B$70)</f>
        <v>0</v>
      </c>
      <c r="Y25" s="80">
        <f>SUMIF(Tim!$BQ$7:$BQ$70,Ins!F25,Tim!$B$7:$B$70)+SUMIF(Tim!$BR$7:$BR$70,Ins!F25,Tim!$B$7:$B$70)+SUMIF(Tim!$BS$7:$BS$70,Ins!F25,Tim!$B$7:$B$70)</f>
        <v>0</v>
      </c>
      <c r="Z25" s="80">
        <f>SUMIF(Tim!BT$7:BT$70,Ins!F25,Tim!$B$7:$B$70)</f>
        <v>0</v>
      </c>
      <c r="AA25" s="80">
        <f>SUMIF(Tim!$BU$7:$BU$70,Ins!F25,Tim!$D$7:$D$70)+SUMIF(Tim!$BV$7:$BV$70,Ins!F25,Tim!$D$7:$D$70)+SUMIF(Tim!$BW$7:$BW$70,Ins!F25,Tim!$D$7:$D$70)+SUMIF(Tim!$BX$7:$BX$70,Ins!F25,Tim!$D$7:$D$70)+SUMIF(Tim!$BY$7:$BY$70,Ins!F25,Tim!$D$7:$D$70)+SUMIF(Tim!$BZ$7:$BZ$70,Ins!F25,Tim!$D$7:$D$70)+SUMIF(Tim!$CA$7:$CA$70,Ins!F25,Tim!$D$7:$D$70)+SUMIF(Tim!$CB$7:$CB$70,Ins!F25,Tim!$D$7:$D$70)+SUMIF(Tim!$CC$7:$CC$70,Ins!F25,Tim!$D$7:$D$70)+SUMIF(Tim!$CD$7:$CD$70,Ins!F25,Tim!$D$7:$D$70)+SUMIF(Tim!$CE$7:$CE$70,Ins!F25,Tim!$D$7:$D$70)+SUMIF(Tim!$CF$7:$CF$70,Ins!F25,Tim!$D$7:$D$70)</f>
        <v>0</v>
      </c>
      <c r="AB25" s="80">
        <f>SUMIF(Tim!CG$7:CG$70,Ins!F25,Tim!$C$7:$C$70)</f>
        <v>0</v>
      </c>
      <c r="AC25" s="80">
        <f>SUMIF(Tim!CH$7:CH$70,Ins!F25,Tim!$C$7:$C$70)</f>
        <v>0</v>
      </c>
      <c r="AD25" s="80">
        <f>SUMIF(Tim!CI$7:CI$70,Ins!F25,Tim!$C$7:$C$70)+SUMIF(Tim!CJ$7:CJ$70,Ins!F25,Tim!$C$7:$C$70)+SUMIF(Tim!CK$7:CK$70,Ins!F25,Tim!$C$7:$C$70)</f>
        <v>0</v>
      </c>
      <c r="AE25" s="81">
        <f>SUMIF(Tim!$CL$7:$CL$70,Ins!F25,Tim!$C$7:$C$70)+SUMIF(Tim!$CM$7:$CM$70,Ins!F25,Tim!$C$7:$C$70)+SUMIF(Tim!$CN$7:$CN$70,Ins!F25,Tim!$C$7:$C$70)+SUMIF(Tim!$CO$7:$CO$70,Ins!F25,Tim!$C$7:$C$70)+SUMIF(Tim!$CP$7:$CP$70,Ins!F25,Tim!$C$7:$C$70)</f>
        <v>1</v>
      </c>
      <c r="AF25" s="79">
        <f>SUMIF(Tim!$CQ$7:$CQ$70,Ins!F25,Tim!$B$7:$B$70)</f>
        <v>0</v>
      </c>
      <c r="AG25" s="80">
        <f>SUMIF(Tim!$CR$7:$CR$70,Ins!F25,Tim!$B$7:$B$70)+SUMIF(Tim!$CS$7:$CS$70,Ins!F25,Tim!$B$7:$B$70)+SUMIF(Tim!$CT$7:$CT$70,Ins!F25,Tim!$B$7:$B$70)+SUMIF(Tim!$CU$7:$CU$70,Ins!F25,Tim!$B$7:$B$70)+SUMIF(Tim!$CV$7:$CV$70,Ins!F25,Tim!$B$7:$B$70)+SUMIF(Tim!$CW$7:$CW$70,Ins!F25,Tim!$B$7:$B$70)</f>
        <v>0</v>
      </c>
      <c r="AH25" s="80">
        <f>SUMIF(Tim!$CX$7:$CX$70,Ins!F25,Tim!$B$7:$B$70)+SUMIF(Tim!$CY$7:$CY$70,Ins!F25,Tim!$B$7:$B$70)+SUMIF(Tim!$CZ$7:$CZ$70,Ins!F25,Tim!$B$7:$B$70)</f>
        <v>0</v>
      </c>
      <c r="AI25" s="80">
        <f>SUMIF(Tim!$DA$7:$DA$70,Ins!F25,Tim!$B$7:$B$70)+SUMIF(Tim!$DB$7:$DB$70,Ins!F25,Tim!$B$7:$B$70)+SUMIF(Tim!$DC$7:$DC$70,Ins!F25,Tim!$B$7:$B$70)+SUMIF(Tim!$DD$7:$DD$70,Ins!F25,Tim!$B$7:$B$70)+SUMIF(Tim!$DE$7:$DE$70,Ins!F25,Tim!$B$7:$B$70)</f>
        <v>0</v>
      </c>
      <c r="AJ25" s="80">
        <f>SUMIF(Tim!$DF$7:$DF$70,Ins!F25,Tim!$B$7:$B$70)+SUMIF(Tim!$DG$7:$DG$70,Ins!F25,Tim!$B$7:$B$70)+SUMIF(Tim!$DH$7:$DH$70,Ins!F25,Tim!$B$7:$B$70)</f>
        <v>0</v>
      </c>
      <c r="AK25" s="80">
        <f>SUMIF(Tim!DI$7:DI$70,Ins!F25,Tim!$B$7:$B$70)+SUMIF(Tim!DM$7:DM$70,Ins!F25,Tim!$B$7:$B$70)+SUMIF(Tim!DN$7:DN$70,Ins!F25,Tim!$B$7:$B$70)</f>
        <v>0</v>
      </c>
      <c r="AL25" s="80">
        <f>SUMIF(Tim!DO$7:DO$70,Ins!F25,Tim!$B$7:$B$70)</f>
        <v>0</v>
      </c>
      <c r="AM25" s="80">
        <f>SUMIF(Tim!$DP$7:$DP$70,Ins!F25,Tim!$D$7:$D$70)+SUMIF(Tim!$DQ$7:$DQ$70,Ins!F25,Tim!$D$7:$D$70)+SUMIF(Tim!$DR$7:$DR$70,Ins!F25,Tim!$D$7:$D$70)+SUMIF(Tim!$DS$7:$DS$70,Ins!F25,Tim!$D$7:$D$70)+SUMIF(Tim!$DT$7:$DT$70,Ins!F25,Tim!$D$7:$D$70)+SUMIF(Tim!$DU$7:$DU$70,Ins!F25,Tim!$D$7:$D$70)+SUMIF(Tim!$DV$7:$DV$70,Ins!F25,Tim!$D$7:$D$70)+SUMIF(Tim!$DW$7:$DW$70,Ins!F25,Tim!$D$7:$D$70)+SUMIF(Tim!$DX$7:$DX$70,Ins!F25,Tim!$D$7:$D$70)+SUMIF(Tim!$DY$7:$DY$70,Ins!F25,Tim!$D$7:$D$70)+SUMIF(Tim!$DZ$7:$DZ$70,Ins!F25,Tim!$D$7:$D$70)+SUMIF(Tim!$EA$7:$EA$70,Ins!F25,Tim!$D$7:$D$70)</f>
        <v>0</v>
      </c>
      <c r="AN25" s="80">
        <f>SUMIF(Tim!EB$7:EB$70,Ins!F25,Tim!$C$7:$C$70)</f>
        <v>0</v>
      </c>
      <c r="AO25" s="80">
        <f>SUMIF(Tim!EC$7:EC$70,Ins!F25,Tim!$C$7:$C$70)</f>
        <v>0</v>
      </c>
      <c r="AP25" s="80">
        <f>SUMIF(Tim!ED$7:ED$70,Ins!F25,Tim!$C$7:$C$70)+SUMIF(Tim!EE$7:EE$70,Ins!F25,Tim!$C$7:$C$70)+SUMIF(Tim!EF$7:EF$70,Ins!F25,Tim!$C$7:$C$70)</f>
        <v>0</v>
      </c>
      <c r="AQ25" s="81">
        <f>SUMIF(Tim!$EG$7:$EG$70,Ins!F25,Tim!$C$7:$C$70)+SUMIF(Tim!$EH$7:$EH$70,Ins!F25,Tim!$C$7:$C$70)+SUMIF(Tim!$EI$7:$EI$70,Ins!F25,Tim!$C$7:$C$70)+SUMIF(Tim!$EJ$7:$EJ$70,Ins!F25,Tim!$C$7:$C$70)+SUMIF(Tim!$EK$7:$EK$70,Ins!F25,Tim!$C$7:$C$70)</f>
        <v>0</v>
      </c>
      <c r="AR25" s="79">
        <f>SUMIF(Tim!$EL$5:$EL$70,Ins!F25,Tim!$B$5:$B$70)</f>
        <v>0</v>
      </c>
      <c r="AS25" s="80">
        <f>SUMIF(Tim!$EM$5:$EM$70,Ins!F25,Tim!$B$5:$B$70)+SUMIF(Tim!$EN$5:$EN$70,Ins!F25,Tim!$B$5:$B$70)+SUMIF(Tim!$EO$5:$EO$70,Ins!F25,Tim!$B$5:$B$70)+SUMIF(Tim!$EP$5:$EP$70,Ins!F25,Tim!$B$5:$B$70)+SUMIF(Tim!$EQ$5:$EQ$70,Ins!F25,Tim!$B$5:$B$70)+SUMIF(Tim!$ER$5:$ER$70,Ins!F25,Tim!$B$5:$B$70)</f>
        <v>0</v>
      </c>
      <c r="AT25" s="80">
        <f>SUMIF(Tim!$ES$5:$ES$70,Ins!F25,Tim!$B$5:$B$70)+SUMIF(Tim!$ET$5:$ET$70,Ins!F25,Tim!$B$5:$B$70)+SUMIF(Tim!$EU$5:$EU$70,Ins!F25,Tim!$B$5:$B$70)</f>
        <v>0</v>
      </c>
      <c r="AU25" s="80">
        <f>SUMIF(Tim!$EV$5:$EV$70,Ins!F25,Tim!$B$5:$B$70)+SUMIF(Tim!$EW$5:$EW$70,Ins!F25,Tim!$B$5:$B$70)+SUMIF(Tim!$EX$5:$EX$70,Ins!F25,Tim!$B$5:$B$70)+SUMIF(Tim!$EY$5:$EY$70,Ins!F25,Tim!$B$5:$B$70)+SUMIF(Tim!$EZ$5:$EZ$70,Ins!F25,Tim!$B$5:$B$70)</f>
        <v>0</v>
      </c>
      <c r="AV25" s="80">
        <f>SUMIF(Tim!$FA$5:$FA$70,Ins!F25,Tim!$B$5:$B$70)+SUMIF(Tim!$FB$5:$FB$70,Ins!F25,Tim!$B$5:$B$70)+SUMIF(Tim!$FC$5:$FC$70,Ins!F25,Tim!$B$5:$B$70)</f>
        <v>0</v>
      </c>
      <c r="AW25" s="80">
        <f>SUMIF(Tim!FD$5:FD$70,Ins!F25,Tim!$B$5:$B$70)+SUMIF(Tim!FE$5:FE$70,Ins!F25,Tim!$B$5:$B$70)+SUMIF(Tim!FF$5:FF$70,Ins!F25,Tim!$B$5:$B$70)</f>
        <v>0</v>
      </c>
      <c r="AX25" s="80">
        <f>SUMIF(Tim!FG$5:FG$70,Ins!F25,Tim!$B$5:$B$70)</f>
        <v>0</v>
      </c>
      <c r="AY25" s="80">
        <f>SUMIF(Tim!$FH$5:$FH$70,Ins!F25,Tim!$D$5:$D$70)+SUMIF(Tim!$FI$5:$FI$70,Ins!F25,Tim!$D$5:$D$70)+SUMIF(Tim!$FJ$5:$FJ$70,Ins!F25,Tim!$D$5:$D$70)+SUMIF(Tim!$FK$5:$FK$70,Ins!F25,Tim!$D$5:$D$70)+SUMIF(Tim!$FL$5:$FL$70,Ins!F25,Tim!$D$5:$D$70)+SUMIF(Tim!$FM$5:$FM$70,Ins!F25,Tim!$D$5:$D$70)+SUMIF(Tim!$FN$5:$FN$70,Ins!F25,Tim!$D$5:$D$70)+SUMIF(Tim!$FO$5:$FO$70,Ins!F25,Tim!$D$5:$D$70)+SUMIF(Tim!$FP$5:$FP$70,Ins!F25,Tim!$D$5:$D$70)+SUMIF(Tim!$FQ$5:$FQ$70,Ins!F25,Tim!$D$5:$D$70)+SUMIF(Tim!$FR$5:$FR$70,Ins!F25,Tim!$D$5:$D$70)+SUMIF(Tim!$FS$5:$FS$70,Ins!F25,Tim!$D$5:$D$70)</f>
        <v>0</v>
      </c>
      <c r="AZ25" s="80">
        <f>SUMIF(Tim!FT$5:FT$70,Ins!F25,Tim!$C$5:$C$70)</f>
        <v>0</v>
      </c>
      <c r="BA25" s="80">
        <f>SUMIF(Tim!FU$5:FU$70,Ins!F25,Tim!$C$5:$C$70)</f>
        <v>0</v>
      </c>
      <c r="BB25" s="80">
        <f>SUMIF(Tim!FV$5:FV$70,Ins!F25,Tim!$C$5:$C$70)+SUMIF(Tim!FW$5:FW$70,Ins!F25,Tim!$C$5:$C$70)+SUMIF(Tim!FX$5:FX$70,Ins!F25,Tim!$C$5:$C$70)</f>
        <v>0</v>
      </c>
      <c r="BC25" s="81">
        <f>SUMIF(Tim!$FY$5:$FY$70,Ins!F25,Tim!$C$5:$C$70)+SUMIF(Tim!$FZ$5:$FZ$70,Ins!F25,Tim!$C$5:$C$70)+SUMIF(Tim!$GA$5:$GA$70,Ins!F25,Tim!$C$5:$C$70)+SUMIF(Tim!$GB$5:$GB$70,Ins!F25,Tim!$C$5:$C$70)+SUMIF(Tim!$GC$5:$GC$70,Ins!F25,Tim!$C$5:$C$70)</f>
        <v>0</v>
      </c>
      <c r="BD25" s="79">
        <f>SUMIF(Tim!$GD$5:$GD$70,Ins!F25,Tim!$B$5:$B$70)</f>
        <v>0</v>
      </c>
      <c r="BE25" s="80">
        <f>SUMIF(Tim!$GE$5:$GE$70,Ins!F25,Tim!$B$5:$B$70)+SUMIF(Tim!$GF$5:$GF$70,Ins!F25,Tim!$B$5:$B$70)+SUMIF(Tim!$GG$5:$GG$70,Ins!F25,Tim!$B$5:$B$70)+SUMIF(Tim!$GH$5:$GH$70,Ins!F25,Tim!$B$5:$B$70)+SUMIF(Tim!$GI$5:$GI$70,Ins!F25,Tim!$B$5:$B$70)+SUMIF(Tim!$GJ$5:$GJ$70,Ins!F25,Tim!$B$5:$B$70)</f>
        <v>0</v>
      </c>
      <c r="BF25" s="80">
        <f>SUMIF(Tim!$GK$5:$GK$70,Ins!F25,Tim!$B$5:$B$70)+SUMIF(Tim!$GL$5:$GL$70,Ins!F25,Tim!$B$5:$B$70)+SUMIF(Tim!$GM$5:$GM$70,Ins!F25,Tim!$B$5:$B$70)</f>
        <v>0</v>
      </c>
      <c r="BG25" s="80">
        <f>SUMIF(Tim!$GN$5:$GN$70,Ins!F25,Tim!$B$5:$B$70)+SUMIF(Tim!$GO$5:$GO$70,Ins!F25,Tim!$B$5:$B$70)+SUMIF(Tim!$GP$5:$GP$70,Ins!F25,Tim!$B$5:$B$70)+SUMIF(Tim!$GQ$5:$GQ$70,Ins!F25,Tim!$B$5:$B$70)+SUMIF(Tim!$GR$5:$GR$70,Ins!F25,Tim!$B$5:$B$70)</f>
        <v>0</v>
      </c>
      <c r="BH25" s="80">
        <f>SUMIF(Tim!$GS$5:$GS$70,Ins!F25,Tim!$B$5:$B$70)+SUMIF(Tim!$GT$5:$GT$70,Ins!F25,Tim!$B$5:$B$70)+SUMIF(Tim!$GU$5:$GU$70,Ins!F25,Tim!$B$5:$B$70)</f>
        <v>0</v>
      </c>
      <c r="BI25" s="80">
        <f>SUMIF(Tim!GV$5:GV$70,Ins!F25,Tim!$B$5:$B$70)+SUMIF(Tim!GW$5:GW$70,Ins!F25,Tim!$B$5:$B$70)+SUMIF(Tim!GX$5:GX$70,Ins!F25,Tim!$B$5:$B$70)</f>
        <v>0</v>
      </c>
      <c r="BJ25" s="80">
        <f>SUMIF(Tim!GY$5:GY$70,Ins!F25,Tim!$B$5:$B$70)</f>
        <v>0</v>
      </c>
      <c r="BK25" s="80">
        <f>SUMIF(Tim!$GZ$5:$GZ$70,Ins!F25,Tim!$D$5:$D$70)+SUMIF(Tim!$HA$5:$HA$70,Ins!F25,Tim!$D$5:$D$70)+SUMIF(Tim!$HB$5:$HB$70,Ins!F25,Tim!$D$5:$D$70)++SUMIF(Tim!$HC$5:$HC$70,Ins!F25,Tim!$D$5:$D$70)+SUMIF(Tim!$HD$5:$HD$70,Ins!F25,Tim!$D$5:$D$70)+SUMIF(Tim!$HE$5:$HE$70,Ins!F25,Tim!$D$5:$D$70)+SUMIF(Tim!$HF$5:$HF$70,Ins!F25,Tim!$D$5:$D$70)+SUMIF(Tim!$HG$5:$HG$70,Ins!F25,Tim!$D$5:$D$70)+SUMIF(Tim!$HH$5:$HH$70,Ins!F25,Tim!$D$5:$D$70)+SUMIF(Tim!$HI$5:$HI$70,Ins!F25,Tim!$D$5:$D$70)+SUMIF(Tim!$HJ$5:$HJ$70,Ins!F25,Tim!$D$5:$D$70)+SUMIF(Tim!$HK$5:$HK$70,Ins!F25,Tim!$D$5:$D$70)</f>
        <v>0</v>
      </c>
      <c r="BL25" s="80">
        <f>SUMIF(Tim!HL$5:HL$70,Ins!F25,Tim!$C$5:$C$70)</f>
        <v>0</v>
      </c>
      <c r="BM25" s="80">
        <f>SUMIF(Tim!HM$5:HM$70,Ins!F25,Tim!$C$5:$C$70)</f>
        <v>0</v>
      </c>
      <c r="BN25" s="80">
        <f>SUMIF(Tim!HN$5:HN$70,Ins!F25,Tim!$C$5:$C$70)+SUMIF(Tim!HO$5:HO$70,Ins!F25,Tim!$C$5:$C$70)+SUMIF(Tim!HP$5:HP$70,Ins!F25,Tim!$C$5:$C$70)</f>
        <v>0</v>
      </c>
      <c r="BO25" s="81">
        <f>SUMIF(Tim!$HQ$5:$HQ$70,Ins!F25,Tim!$C$5:$C$70)+SUMIF(Tim!$HR$5:$HR$70,Ins!F25,Tim!$C$5:$C$70)+SUMIF(Tim!$HS$5:$HS$70,Ins!F25,Tim!$C$5:$C$70)+SUMIF(Tim!$HT$5:$HT$70,Ins!F25,Tim!$C$5:$C$70)+SUMIF(Tim!$HU$5:$HU$70,Ins!F25,Tim!$C$5:$C$70)</f>
        <v>1</v>
      </c>
      <c r="BP25" s="79">
        <f>SUMIF(Tim!$HV$7:$HV$70,Ins!F25,Tim!$B$7:$B$70)</f>
        <v>0</v>
      </c>
      <c r="BQ25" s="80">
        <f>SUMIF(Tim!$HW$7:$HW$70,Ins!F25,Tim!$B$7:$B$70)+SUMIF(Tim!$HX$7:$HX$70,Ins!F25,Tim!$B$7:$B$70)+SUMIF(Tim!$HY$7:$HY$70,Ins!F25,Tim!$B$7:$B$70)+SUMIF(Tim!$HZ$7:$HZ$70,Ins!F25,Tim!$B$7:$B$70)+SUMIF(Tim!$IA$7:$IA$70,Ins!F25,Tim!$B$7:$B$70)+SUMIF(Tim!$IB$7:$IB$70,Ins!F25,Tim!$B$7:$B$70)</f>
        <v>0</v>
      </c>
      <c r="BR25" s="80">
        <f>SUMIF(Tim!$IC$7:$IC$70,Ins!F25,Tim!$B$7:$B$70)+SUMIF(Tim!$ID$7:$ID$70,Ins!F25,Tim!$B$7:$B$70)+SUMIF(Tim!$IE$7:$IE$70,Ins!F25,Tim!$B$7:$B$70)</f>
        <v>0</v>
      </c>
      <c r="BS25" s="80">
        <f>SUMIF(Tim!$IF$7:$IF$70,Ins!F25,Tim!$B$7:$B$70)+SUMIF(Tim!$IG$7:$IG$70,Ins!F25,Tim!$B$7:$B$70)+SUMIF(Tim!$IH$7:$IH$70,Ins!F25,Tim!$B$7:$B$70)+SUMIF(Tim!$II$7:$II$70,Ins!F25,Tim!$B$7:$B$70)+SUMIF(Tim!$IJ$7:$IJ$70,Ins!F25,Tim!$B$7:$B$70)</f>
        <v>0</v>
      </c>
      <c r="BT25" s="80">
        <f>SUMIF(Tim!$IK$7:$IK$70,Ins!F25,Tim!$B$7:$B$70)+SUMIF(Tim!$IL$7:$IL$70,Ins!F25,Tim!$B$7:$B$70)+SUMIF(Tim!$IM$7:$IM$70,Ins!F25,Tim!$B$7:$B$70)</f>
        <v>0</v>
      </c>
      <c r="BU25" s="80">
        <f>SUMIF(Tim!$IN$7:$IN$70,Ins!F25,Tim!$B$7:$B$70)+SUMIF(Tim!$IO$7:$IO$70,Ins!F25,Tim!$B$7:$B$70)+SUMIF(Tim!$IP$7:$IP$70,Ins!F25,Tim!$B$7:$B$70)</f>
        <v>0</v>
      </c>
      <c r="BV25" s="80">
        <f>SUMIF(Tim!$IQ$7:$IQ$70,Ins!F25,Tim!$B$7:$B$70)</f>
        <v>0</v>
      </c>
      <c r="BW25" s="80">
        <f>SUMIF(Tim!$IR$7:$IR$70,Ins!F25,Tim!$D$7:$D$70)+SUMIF(Tim!$IS$7:$IS$70,Ins!F25,Tim!$D$7:$D$70)+SUMIF(Tim!$IT$7:$IT$70,Ins!F25,Tim!$D$7:$D$70)+SUMIF(Tim!$IU$7:$IU$70,Ins!F25,Tim!$D$7:$D$70)+SUMIF(Tim!$IV$7:$IV$70,Ins!F25,Tim!$D$7:$D$70)+SUMIF(Tim!$IW$7:$IW$70,Ins!F25,Tim!$D$7:$D$70)+SUMIF(Tim!$IX$7:$IX$70,Ins!F25,Tim!$D$7:$D$70)+SUMIF(Tim!$IY$7:$IY$70,Ins!F25,Tim!$D$7:$D$70)+SUMIF(Tim!$IZ$7:$IZ$70,Ins!F25,Tim!$D$7:$D$70)+SUMIF(Tim!$JA$7:$JA$70,Ins!F25,Tim!$D$7:$D$70)+SUMIF(Tim!$JB$7:$JB$70,Ins!F25,Tim!$D$7:$D$70)+SUMIF(Tim!$JC$7:$JC$70,Ins!F25,Tim!$D$7:$D$70)</f>
        <v>0</v>
      </c>
      <c r="BX25" s="80">
        <f>SUMIF(Tim!JD$7:JD$70,Ins!F25,Tim!$C$7:$C$70)</f>
        <v>0</v>
      </c>
      <c r="BY25" s="80">
        <f>SUMIF(Tim!JE$7:JE$70,Ins!F25,Tim!$C$7:$C$70)</f>
        <v>0</v>
      </c>
      <c r="BZ25" s="80">
        <f>SUMIF(Tim!JF$7:JF$70,Ins!F25,Tim!$C$7:$C$70)+SUMIF(Tim!JG$7:JG$70,Ins!F25,Tim!$C$7:$C$70)+SUMIF(Tim!JH$7:JH$70,Ins!F25,Tim!$C$7:$C$70)</f>
        <v>0</v>
      </c>
      <c r="CA25" s="81">
        <f>SUMIF(Tim!$JI$7:$JI$70,Ins!F25,Tim!$C$7:$C$70)++SUMIF(Tim!$JJ$7:$JJ$70,Ins!F25,Tim!$C$7:$C$70)+SUMIF(Tim!$JK$7:$JK$70,Ins!F25,Tim!$C$7:$C$70)+SUMIF(Tim!$JL$7:$JL$70,Ins!F25,Tim!$C$7:$C$70)+SUMIF(Tim!$JM$7:$JM$70,Ins!F25,Tim!$C$7:$C$70)</f>
        <v>0</v>
      </c>
      <c r="CB25" s="79">
        <f>SUMIF(Tim!$JN$7:$JN$70,Ins!F25,Tim!$B$7:$B$70)</f>
        <v>0</v>
      </c>
      <c r="CC25" s="80">
        <f>SUMIF(Tim!$JO$7:$JO$70,Ins!F25,Tim!$B$7:$B$70)+SUMIF(Tim!$JP$7:$JP$70,Ins!F25,Tim!$B$7:$B$70)+SUMIF(Tim!$JQ$7:$JQ$70,Ins!F25,Tim!$B$7:$B$70)+SUMIF(Tim!$JR$7:$JR$70,Ins!F25,Tim!$B$7:$B$70)+SUMIF(Tim!$JS$7:$JS$70,Ins!F25,Tim!$B$7:$B$70)+SUMIF(Tim!$JT$7:$JT$70,Ins!F25,Tim!$B$7:$B$70)</f>
        <v>0</v>
      </c>
      <c r="CD25" s="80">
        <f>SUMIF(Tim!$JW$7:$JW$70,Ins!F25,Tim!$B$7:$B$70)+SUMIF(Tim!$JU$7:$JU$70,Ins!F25,Tim!$B$7:$B$70)+SUMIF(Tim!$JV$7:$JV$70,Ins!F25,Tim!$B$7:$B$70)</f>
        <v>0</v>
      </c>
      <c r="CE25" s="80">
        <f>SUMIF(Tim!$JX$7:$JX$70,Ins!F25,Tim!$B$7:$B$70)+SUMIF(Tim!$JY$7:$JY$70,Ins!F25,Tim!$B$7:$B$70)+SUMIF(Tim!$JZ$7:$JZ$70,Ins!F25,Tim!$B$7:$B$70)+SUMIF(Tim!$KA$7:$KA$70,Ins!F25,Tim!$B$7:$B$70)+SUMIF(Tim!$KB$7:$KB$70,Ins!F25,Tim!$B$7:$B$70)</f>
        <v>0</v>
      </c>
      <c r="CF25" s="80">
        <f>SUMIF(Tim!$KE$7:$KE$70,Ins!F25,Tim!$B$7:$B$70)+SUMIF(Tim!$KC$7:$KC$70,Ins!F25,Tim!$B$7:$B$70)+SUMIF(Tim!$KD$7:$KD$70,Ins!F25,Tim!$B$7:$B$70)</f>
        <v>0</v>
      </c>
      <c r="CG25" s="80">
        <f>SUMIF(Tim!$KF$7:$KF$70,Ins!F25,Tim!$B$7:$B$70)+SUMIF(Tim!$KG$7:$KG$70,Ins!F25,Tim!$B$7:$B$70)+SUMIF(Tim!$KH$7:$KH$70,Ins!F25,Tim!$B$7:$B$70)</f>
        <v>0</v>
      </c>
      <c r="CH25" s="80">
        <f>SUMIF(Tim!$KI$7:$KI$70,Ins!F25,Tim!$B$7:$B$70)</f>
        <v>0</v>
      </c>
      <c r="CI25" s="80">
        <f>SUMIF(Tim!$KJ$7:$KJ$70,Ins!F25,Tim!$D$7:$D$70)+SUMIF(Tim!$KK$7:$KK$70,Ins!F25,Tim!$D$7:$D$70)+SUMIF(Tim!$KL$7:$KL$70,Ins!F25,Tim!$D$7:$D$70)+SUMIF(Tim!$KM$7:$KM$70,Ins!F25,Tim!$D$7:$D$70)+SUMIF(Tim!$KN$7:$KN$70,Ins!F25,Tim!$D$7:$D$70)+SUMIF(Tim!$KO$7:$KO$70,Ins!F25,Tim!$D$7:$D$70)+SUMIF(Tim!$KP$7:$KP$70,Ins!F25,Tim!$D$7:$D$70)+SUMIF(Tim!$KQ$7:$KQ$70,Ins!F25,Tim!$D$7:$D$70)+SUMIF(Tim!$KR$7:$KR$70,Ins!F25,Tim!$D$7:$D$70)+SUMIF(Tim!$KS$7:$KS$70,Ins!F25,Tim!$D$7:$D$70)+SUMIF(Tim!$KT$7:$KT$70,Ins!F25,Tim!$D$7:$D$70)+SUMIF(Tim!$KU$7:$KU$70,Ins!F25,Tim!$D$7:$D$70)</f>
        <v>0</v>
      </c>
      <c r="CJ25" s="80">
        <f>SUMIF(Tim!KV$7:KV$70,Ins!F25,Tim!$C$7:$C$70)</f>
        <v>0</v>
      </c>
      <c r="CK25" s="80">
        <f>SUMIF(Tim!KW$7:KW$70,Ins!F25,Tim!$C$7:$C$70)</f>
        <v>0</v>
      </c>
      <c r="CL25" s="80">
        <f>SUMIF(Tim!KX$7:KX$70,Ins!F25,Tim!$C$7:$C$70)+SUMIF(Tim!KY$7:KY$70,Ins!F25,Tim!$C$7:$C$70)+SUMIF(Tim!KZ$7:KZ$70,Ins!F25,Tim!$C$7:$C$70)</f>
        <v>0</v>
      </c>
      <c r="CM25" s="81">
        <f>SUMIF(Tim!$LA$7:$LA$70,Ins!F25,Tim!$C$7:$C$70)+SUMIF(Tim!$LB$7:$LB$70,Ins!F25,Tim!$C$7:$C$70)+SUMIF(Tim!$LC$7:$LC$70,Ins!F25,Tim!$C$7:$C$70)+SUMIF(Tim!$LD$7:$LD$70,Ins!F25,Tim!$C$7:$C$70)+SUMIF(Tim!$LE$7:$LE$70,Ins!F25,Tim!$C$7:$C$70)</f>
        <v>3</v>
      </c>
      <c r="CN25" s="22"/>
      <c r="CO25" s="180">
        <f t="shared" si="158"/>
        <v>0</v>
      </c>
      <c r="CP25" s="179">
        <f t="shared" si="159"/>
        <v>0</v>
      </c>
      <c r="CQ25" s="179">
        <f t="shared" si="160"/>
        <v>0</v>
      </c>
      <c r="CR25" s="179">
        <f t="shared" si="161"/>
        <v>0</v>
      </c>
      <c r="CS25" s="179">
        <f t="shared" si="162"/>
        <v>0</v>
      </c>
      <c r="CT25" s="179">
        <f t="shared" si="163"/>
        <v>0</v>
      </c>
      <c r="CU25" s="179">
        <f t="shared" si="164"/>
        <v>0</v>
      </c>
      <c r="CV25" s="179">
        <f t="shared" si="165"/>
        <v>0</v>
      </c>
      <c r="CW25" s="179">
        <f t="shared" si="166"/>
        <v>0</v>
      </c>
      <c r="CX25" s="179">
        <f t="shared" si="167"/>
        <v>0</v>
      </c>
      <c r="CY25" s="179">
        <f t="shared" si="172"/>
        <v>0</v>
      </c>
      <c r="CZ25" s="179">
        <f t="shared" si="173"/>
        <v>5</v>
      </c>
      <c r="DA25" s="78">
        <f t="shared" si="174"/>
        <v>5</v>
      </c>
      <c r="DB25" s="16"/>
      <c r="DC25" s="34">
        <f t="shared" si="170"/>
        <v>0</v>
      </c>
      <c r="DD25" s="34">
        <f t="shared" si="15"/>
        <v>1</v>
      </c>
      <c r="DE25" s="34">
        <f t="shared" si="16"/>
        <v>0</v>
      </c>
      <c r="DF25" s="34">
        <f t="shared" si="20"/>
        <v>0</v>
      </c>
      <c r="DG25" s="34">
        <f t="shared" si="17"/>
        <v>1</v>
      </c>
      <c r="DH25" s="34">
        <f t="shared" si="18"/>
        <v>0</v>
      </c>
      <c r="DI25" s="34">
        <f t="shared" si="19"/>
        <v>3</v>
      </c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7"/>
    </row>
    <row r="26" spans="1:125" ht="12" customHeight="1">
      <c r="A26" s="10">
        <v>24</v>
      </c>
      <c r="B26" s="229" t="s">
        <v>398</v>
      </c>
      <c r="C26" s="185"/>
      <c r="D26" s="230"/>
      <c r="E26" s="230" t="s">
        <v>373</v>
      </c>
      <c r="F26" s="185" t="s">
        <v>371</v>
      </c>
      <c r="G26" s="231" t="s">
        <v>191</v>
      </c>
      <c r="H26" s="79">
        <f>SUMIF(Tim!$F$7:$F$70,Ins!F26,Tim!$B$7:$B$70)</f>
        <v>0</v>
      </c>
      <c r="I26" s="80">
        <f>SUMIF(Tim!$G$7:$G$70,Ins!F26,Tim!$B$7:$B$70)+SUMIF(Tim!$H$7:$H$70,Ins!F26,Tim!$B$7:$B$70)+SUMIF(Tim!$I$7:$I$70,Ins!F26,Tim!$B$7:$B$70)+SUMIF(Tim!$J$7:$J$70,Ins!F26,Tim!$B$7:$B$70)+SUMIF(Tim!$K$7:$K$70,Ins!F26,Tim!$B$7:$B$70)+SUMIF(Tim!$L$7:$L$70,Ins!F26,Tim!$B$7:$B$70)</f>
        <v>0</v>
      </c>
      <c r="J26" s="80">
        <f>SUMIF(Tim!$M$7:$M$70,Ins!F26,Tim!$B$7:$B$70)+SUMIF(Tim!$O$7:$O$70,Ins!F26,Tim!$B$7:$B$70)+SUMIF(Tim!$N$7:$N$70,Ins!F26,Tim!$B$7:$B$70)</f>
        <v>0</v>
      </c>
      <c r="K26" s="80">
        <f>SUMIF(Tim!$P$7:$P$70,Ins!F26,Tim!$B$7:$B$70)+SUMIF(Tim!$Q$7:$Q$70,Ins!F26,Tim!$B$7:$B$70)+SUMIF(Tim!$R$7:$R$70,Ins!F26,Tim!$B$7:$B$70)+SUMIF(Tim!$S$7:$S$70,Ins!F26,Tim!$B$7:$B$70)+SUMIF(Tim!$T$7:$T$70,Ins!F26,Tim!$B$7:$B$70)</f>
        <v>0</v>
      </c>
      <c r="L26" s="80">
        <f>SUMIF(Tim!$U$7:$U$70,Ins!F26,Tim!$B$7:$B$70)+SUMIF(Tim!$W$7:$W$70,Ins!F26,Tim!$B$7:$B$70)+SUMIF(Tim!$X$7:$X$70,Ins!F26,Tim!$B$7:$B$70)</f>
        <v>0</v>
      </c>
      <c r="M26" s="80">
        <f>SUMIF(Tim!$Y$7:$Y$70,Ins!F26,Tim!$B$7:$B$70)+SUMIF(Tim!$Z$7:$Z$70,Ins!F26,Tim!$B$7:$B$70)+SUMIF(Tim!$AA$7:$AA$70,Ins!F26,Tim!$B$7:$B$70)</f>
        <v>0</v>
      </c>
      <c r="N26" s="80">
        <f>SUMIF(Tim!$AB$7:$AB$70,Ins!F26,Tim!$B$7:$B$70)</f>
        <v>0</v>
      </c>
      <c r="O26" s="80">
        <f>SUMIF(Tim!$AC$7:$AC$70,Ins!F26,Tim!$D$7:$D$70)+SUMIF(Tim!$AD$7:$AD$70,Ins!F26,Tim!$D$7:$D$70)+SUMIF(Tim!$AE$7:$AE$70,Ins!F26,Tim!$D$7:$D$70)+SUMIF(Tim!$AF$7:$AF$70,Ins!F26,Tim!$D$7:$D$70)+SUMIF(Tim!$AG$7:$AG$70,Ins!F26,Tim!$D$7:$D$70)+SUMIF(Tim!$AH$7:$AH$70,Ins!F26,Tim!$D$7:$D$70)+SUMIF(Tim!$AI$7:$AI$70,Ins!F26,Tim!$D$7:$D$70)+SUMIF(Tim!$AJ$7:$AJ$70,Ins!F26,Tim!$D$7:$D$70)+SUMIF(Tim!$AK$7:$AK$70,Ins!F26,Tim!$D$7:$D$70)+SUMIF(Tim!$AL$7:$AL$70,Ins!F26,Tim!$D$7:$D$70)+SUMIF(Tim!$AM$7:$AM$70,Ins!F26,Tim!$D$7:$D$70)+SUMIF(Tim!$AN$7:$AN$70,Ins!F26,Tim!$D$7:$D$70)</f>
        <v>0</v>
      </c>
      <c r="P26" s="80">
        <f>SUMIF(Tim!AO$7:AO$70,Ins!F26,Tim!$C$7:$C$70)</f>
        <v>0</v>
      </c>
      <c r="Q26" s="80">
        <f>SUMIF(Tim!AP$7:AP$70,Ins!F26,Tim!$C$7:$C$70)</f>
        <v>0</v>
      </c>
      <c r="R26" s="80">
        <f>SUMIF(Tim!AQ$7:AQ$70,Ins!F26,Tim!$C$7:$C$70)+SUMIF(Tim!AR$7:AR$70,Ins!F26,Tim!$C$7:$C$70)+SUMIF(Tim!AS$7:AS$70,Ins!F26,Tim!$C$7:$C$70)</f>
        <v>0</v>
      </c>
      <c r="S26" s="236">
        <f>SUMIF(Tim!$AT$7:$AT$70,Ins!F26,Tim!$C$7:$C$70)+SUMIF(Tim!$AU$7:$AU$70,Ins!F26,Tim!$C$7:$C85)+SUMIF(Tim!$AV$7:$AV$70,Ins!F26,Tim!$C$7:$C$70)+SUMIF(Tim!$AW$7:$AW$70,Ins!F26,Tim!$C$7:$C$70)+SUMIF(Tim!$AX$7:$AX$70,Ins!F26,Tim!$C$7:$C$70)</f>
        <v>3</v>
      </c>
      <c r="T26" s="79">
        <f>SUMIF(Tim!$AY$7:$AY$70,Ins!F26,Tim!$B$7:$B$70)</f>
        <v>0</v>
      </c>
      <c r="U26" s="80">
        <f>SUMIF(Tim!$AZ$7:$AZ$70,Ins!F26,Tim!$B$7:$B$70)+SUMIF(Tim!$BA$7:$BA$70,Ins!F26,Tim!$B$7:$B$70)+SUMIF(Tim!$BB$7:$BB$70,Ins!F26,Tim!$B$7:$B$70)+SUMIF(Tim!$BC$7:$BC$70,Ins!F26,Tim!$B$7:$B$70)+SUMIF(Tim!$BD$7:$BD$70,Ins!F26,Tim!$B$7:$B$70)+SUMIF(Tim!$BE$7:$BE$70,Ins!F26,Tim!$B$7:$B$70)</f>
        <v>0</v>
      </c>
      <c r="V26" s="80">
        <f>SUMIF(Tim!$BF$7:$BF$70,Ins!F26,Tim!$B$7:$B$70)+SUMIF(Tim!$BG$7:$BG$70,Ins!F26,Tim!$B$7:$B$70)+SUMIF(Tim!$BH$7:$BH$70,Ins!F26,Tim!$B$7:$B$70)</f>
        <v>0</v>
      </c>
      <c r="W26" s="80">
        <f>SUMIF(Tim!$BI$7:$BI$70,Ins!F26,Tim!$B$7:$B$70)+SUMIF(Tim!$BJ$7:$BJ$70,Ins!F26,Tim!$B$7:$B$70)+SUMIF(Tim!$BK$7:$BK$70,Ins!F26,Tim!$B$7:$B$70)+SUMIF(Tim!$BL$7:$BL$70,Ins!F26,Tim!$B$7:$B$70)+SUMIF(Tim!$BM$7:$BM$70,Ins!F26,Tim!$B$7:$B$70)</f>
        <v>0</v>
      </c>
      <c r="X26" s="80">
        <f>SUMIF(Tim!$BN$7:$BN$70,Ins!F26,Tim!$B$7:$B$70)+SUMIF(Tim!$BO$7:$BO$70,Ins!F26,Tim!$B$7:$B$70)+SUMIF(Tim!$BP$7:$BP$70,Ins!F26,Tim!$B$7:$B$70)</f>
        <v>0</v>
      </c>
      <c r="Y26" s="80">
        <f>SUMIF(Tim!$BQ$7:$BQ$70,Ins!F26,Tim!$B$7:$B$70)+SUMIF(Tim!$BR$7:$BR$70,Ins!F26,Tim!$B$7:$B$70)+SUMIF(Tim!$BS$7:$BS$70,Ins!F26,Tim!$B$7:$B$70)</f>
        <v>0</v>
      </c>
      <c r="Z26" s="80">
        <f>SUMIF(Tim!BT$7:BT$70,Ins!F26,Tim!$B$7:$B$70)</f>
        <v>0</v>
      </c>
      <c r="AA26" s="80">
        <f>SUMIF(Tim!$BU$7:$BU$70,Ins!F26,Tim!$D$7:$D$70)+SUMIF(Tim!$BV$7:$BV$70,Ins!F26,Tim!$D$7:$D$70)+SUMIF(Tim!$BW$7:$BW$70,Ins!F26,Tim!$D$7:$D$70)+SUMIF(Tim!$BX$7:$BX$70,Ins!F26,Tim!$D$7:$D$70)+SUMIF(Tim!$BY$7:$BY$70,Ins!F26,Tim!$D$7:$D$70)+SUMIF(Tim!$BZ$7:$BZ$70,Ins!F26,Tim!$D$7:$D$70)+SUMIF(Tim!$CA$7:$CA$70,Ins!F26,Tim!$D$7:$D$70)+SUMIF(Tim!$CB$7:$CB$70,Ins!F26,Tim!$D$7:$D$70)+SUMIF(Tim!$CC$7:$CC$70,Ins!F26,Tim!$D$7:$D$70)+SUMIF(Tim!$CD$7:$CD$70,Ins!F26,Tim!$D$7:$D$70)+SUMIF(Tim!$CE$7:$CE$70,Ins!F26,Tim!$D$7:$D$70)+SUMIF(Tim!$CF$7:$CF$70,Ins!F26,Tim!$D$7:$D$70)</f>
        <v>0</v>
      </c>
      <c r="AB26" s="80">
        <f>SUMIF(Tim!CG$7:CG$70,Ins!F26,Tim!$C$7:$C$70)</f>
        <v>0</v>
      </c>
      <c r="AC26" s="80">
        <f>SUMIF(Tim!CH$7:CH$70,Ins!F26,Tim!$C$7:$C$70)</f>
        <v>0</v>
      </c>
      <c r="AD26" s="80">
        <f>SUMIF(Tim!CI$7:CI$70,Ins!F26,Tim!$C$7:$C$70)+SUMIF(Tim!CJ$7:CJ$70,Ins!F26,Tim!$C$7:$C$70)+SUMIF(Tim!CK$7:CK$70,Ins!F26,Tim!$C$7:$C$70)</f>
        <v>0</v>
      </c>
      <c r="AE26" s="81">
        <f>SUMIF(Tim!$CL$7:$CL$70,Ins!F26,Tim!$C$7:$C$70)+SUMIF(Tim!$CM$7:$CM$70,Ins!F26,Tim!$C$7:$C$70)+SUMIF(Tim!$CN$7:$CN$70,Ins!F26,Tim!$C$7:$C$70)+SUMIF(Tim!$CO$7:$CO$70,Ins!F26,Tim!$C$7:$C$70)+SUMIF(Tim!$CP$7:$CP$70,Ins!F26,Tim!$C$7:$C$70)</f>
        <v>0</v>
      </c>
      <c r="AF26" s="79">
        <f>SUMIF(Tim!$CQ$7:$CQ$70,Ins!F26,Tim!$B$7:$B$70)</f>
        <v>0</v>
      </c>
      <c r="AG26" s="80">
        <f>SUMIF(Tim!$CR$7:$CR$70,Ins!F26,Tim!$B$7:$B$70)+SUMIF(Tim!$CS$7:$CS$70,Ins!F26,Tim!$B$7:$B$70)+SUMIF(Tim!$CT$7:$CT$70,Ins!F26,Tim!$B$7:$B$70)+SUMIF(Tim!$CU$7:$CU$70,Ins!F26,Tim!$B$7:$B$70)+SUMIF(Tim!$CV$7:$CV$70,Ins!F26,Tim!$B$7:$B$70)+SUMIF(Tim!$CW$7:$CW$70,Ins!F26,Tim!$B$7:$B$70)</f>
        <v>0</v>
      </c>
      <c r="AH26" s="80">
        <f>SUMIF(Tim!$CX$7:$CX$70,Ins!F26,Tim!$B$7:$B$70)+SUMIF(Tim!$CY$7:$CY$70,Ins!F26,Tim!$B$7:$B$70)+SUMIF(Tim!$CZ$7:$CZ$70,Ins!F26,Tim!$B$7:$B$70)</f>
        <v>0</v>
      </c>
      <c r="AI26" s="80">
        <f>SUMIF(Tim!$DA$7:$DA$70,Ins!F26,Tim!$B$7:$B$70)+SUMIF(Tim!$DB$7:$DB$70,Ins!F26,Tim!$B$7:$B$70)+SUMIF(Tim!$DC$7:$DC$70,Ins!F26,Tim!$B$7:$B$70)+SUMIF(Tim!$DD$7:$DD$70,Ins!F26,Tim!$B$7:$B$70)+SUMIF(Tim!$DE$7:$DE$70,Ins!F26,Tim!$B$7:$B$70)</f>
        <v>0</v>
      </c>
      <c r="AJ26" s="80">
        <f>SUMIF(Tim!$DF$7:$DF$70,Ins!F26,Tim!$B$7:$B$70)+SUMIF(Tim!$DG$7:$DG$70,Ins!F26,Tim!$B$7:$B$70)+SUMIF(Tim!$DH$7:$DH$70,Ins!F26,Tim!$B$7:$B$70)</f>
        <v>0</v>
      </c>
      <c r="AK26" s="80">
        <f>SUMIF(Tim!DI$7:DI$70,Ins!F26,Tim!$B$7:$B$70)+SUMIF(Tim!DM$7:DM$70,Ins!F26,Tim!$B$7:$B$70)+SUMIF(Tim!DN$7:DN$70,Ins!F26,Tim!$B$7:$B$70)</f>
        <v>0</v>
      </c>
      <c r="AL26" s="80">
        <f>SUMIF(Tim!DO$7:DO$70,Ins!F26,Tim!$B$7:$B$70)</f>
        <v>0</v>
      </c>
      <c r="AM26" s="80">
        <f>SUMIF(Tim!$DP$7:$DP$70,Ins!F26,Tim!$D$7:$D$70)+SUMIF(Tim!$DQ$7:$DQ$70,Ins!F26,Tim!$D$7:$D$70)+SUMIF(Tim!$DR$7:$DR$70,Ins!F26,Tim!$D$7:$D$70)+SUMIF(Tim!$DS$7:$DS$70,Ins!F26,Tim!$D$7:$D$70)+SUMIF(Tim!$DT$7:$DT$70,Ins!F26,Tim!$D$7:$D$70)+SUMIF(Tim!$DU$7:$DU$70,Ins!F26,Tim!$D$7:$D$70)+SUMIF(Tim!$DV$7:$DV$70,Ins!F26,Tim!$D$7:$D$70)+SUMIF(Tim!$DW$7:$DW$70,Ins!F26,Tim!$D$7:$D$70)+SUMIF(Tim!$DX$7:$DX$70,Ins!F26,Tim!$D$7:$D$70)+SUMIF(Tim!$DY$7:$DY$70,Ins!F26,Tim!$D$7:$D$70)+SUMIF(Tim!$DZ$7:$DZ$70,Ins!F26,Tim!$D$7:$D$70)+SUMIF(Tim!$EA$7:$EA$70,Ins!F26,Tim!$D$7:$D$70)</f>
        <v>0</v>
      </c>
      <c r="AN26" s="80">
        <f>SUMIF(Tim!EB$7:EB$70,Ins!F26,Tim!$C$7:$C$70)</f>
        <v>0</v>
      </c>
      <c r="AO26" s="80">
        <f>SUMIF(Tim!EC$7:EC$70,Ins!F26,Tim!$C$7:$C$70)</f>
        <v>0</v>
      </c>
      <c r="AP26" s="80">
        <f>SUMIF(Tim!ED$7:ED$70,Ins!F26,Tim!$C$7:$C$70)+SUMIF(Tim!EE$7:EE$70,Ins!F26,Tim!$C$7:$C$70)+SUMIF(Tim!EF$7:EF$70,Ins!F26,Tim!$C$7:$C$70)</f>
        <v>0</v>
      </c>
      <c r="AQ26" s="81">
        <f>SUMIF(Tim!$EG$7:$EG$70,Ins!F26,Tim!$C$7:$C$70)+SUMIF(Tim!$EH$7:$EH$70,Ins!F26,Tim!$C$7:$C$70)+SUMIF(Tim!$EI$7:$EI$70,Ins!F26,Tim!$C$7:$C$70)+SUMIF(Tim!$EJ$7:$EJ$70,Ins!F26,Tim!$C$7:$C$70)+SUMIF(Tim!$EK$7:$EK$70,Ins!F26,Tim!$C$7:$C$70)</f>
        <v>2</v>
      </c>
      <c r="AR26" s="79">
        <f>SUMIF(Tim!$EL$5:$EL$70,Ins!F26,Tim!$B$5:$B$70)</f>
        <v>0</v>
      </c>
      <c r="AS26" s="80">
        <f>SUMIF(Tim!$EM$5:$EM$70,Ins!F26,Tim!$B$5:$B$70)+SUMIF(Tim!$EN$5:$EN$70,Ins!F26,Tim!$B$5:$B$70)+SUMIF(Tim!$EO$5:$EO$70,Ins!F26,Tim!$B$5:$B$70)+SUMIF(Tim!$EP$5:$EP$70,Ins!F26,Tim!$B$5:$B$70)+SUMIF(Tim!$EQ$5:$EQ$70,Ins!F26,Tim!$B$5:$B$70)+SUMIF(Tim!$ER$5:$ER$70,Ins!F26,Tim!$B$5:$B$70)</f>
        <v>0</v>
      </c>
      <c r="AT26" s="80">
        <f>SUMIF(Tim!$ES$5:$ES$70,Ins!F26,Tim!$B$5:$B$70)+SUMIF(Tim!$ET$5:$ET$70,Ins!F26,Tim!$B$5:$B$70)+SUMIF(Tim!$EU$5:$EU$70,Ins!F26,Tim!$B$5:$B$70)</f>
        <v>0</v>
      </c>
      <c r="AU26" s="80">
        <f>SUMIF(Tim!$EV$5:$EV$70,Ins!F26,Tim!$B$5:$B$70)+SUMIF(Tim!$EW$5:$EW$70,Ins!F26,Tim!$B$5:$B$70)+SUMIF(Tim!$EX$5:$EX$70,Ins!F26,Tim!$B$5:$B$70)+SUMIF(Tim!$EY$5:$EY$70,Ins!F26,Tim!$B$5:$B$70)+SUMIF(Tim!$EZ$5:$EZ$70,Ins!F26,Tim!$B$5:$B$70)</f>
        <v>0</v>
      </c>
      <c r="AV26" s="80">
        <f>SUMIF(Tim!$FA$5:$FA$70,Ins!F26,Tim!$B$5:$B$70)+SUMIF(Tim!$FB$5:$FB$70,Ins!F26,Tim!$B$5:$B$70)+SUMIF(Tim!$FC$5:$FC$70,Ins!F26,Tim!$B$5:$B$70)</f>
        <v>0</v>
      </c>
      <c r="AW26" s="80">
        <f>SUMIF(Tim!FD$5:FD$70,Ins!F26,Tim!$B$5:$B$70)+SUMIF(Tim!FE$5:FE$70,Ins!F26,Tim!$B$5:$B$70)+SUMIF(Tim!FF$5:FF$70,Ins!F26,Tim!$B$5:$B$70)</f>
        <v>0</v>
      </c>
      <c r="AX26" s="80">
        <f>SUMIF(Tim!FG$5:FG$70,Ins!F26,Tim!$B$5:$B$70)</f>
        <v>0</v>
      </c>
      <c r="AY26" s="80">
        <f>SUMIF(Tim!$FH$5:$FH$70,Ins!F26,Tim!$D$5:$D$70)+SUMIF(Tim!$FI$5:$FI$70,Ins!F26,Tim!$D$5:$D$70)+SUMIF(Tim!$FJ$5:$FJ$70,Ins!F26,Tim!$D$5:$D$70)+SUMIF(Tim!$FK$5:$FK$70,Ins!F26,Tim!$D$5:$D$70)+SUMIF(Tim!$FL$5:$FL$70,Ins!F26,Tim!$D$5:$D$70)+SUMIF(Tim!$FM$5:$FM$70,Ins!F26,Tim!$D$5:$D$70)+SUMIF(Tim!$FN$5:$FN$70,Ins!F26,Tim!$D$5:$D$70)+SUMIF(Tim!$FO$5:$FO$70,Ins!F26,Tim!$D$5:$D$70)+SUMIF(Tim!$FP$5:$FP$70,Ins!F26,Tim!$D$5:$D$70)+SUMIF(Tim!$FQ$5:$FQ$70,Ins!F26,Tim!$D$5:$D$70)+SUMIF(Tim!$FR$5:$FR$70,Ins!F26,Tim!$D$5:$D$70)+SUMIF(Tim!$FS$5:$FS$70,Ins!F26,Tim!$D$5:$D$70)</f>
        <v>0</v>
      </c>
      <c r="AZ26" s="80">
        <f>SUMIF(Tim!FT$5:FT$70,Ins!F26,Tim!$C$5:$C$70)</f>
        <v>0</v>
      </c>
      <c r="BA26" s="80">
        <f>SUMIF(Tim!FU$5:FU$70,Ins!F26,Tim!$C$5:$C$70)</f>
        <v>0</v>
      </c>
      <c r="BB26" s="80">
        <f>SUMIF(Tim!FV$5:FV$70,Ins!F26,Tim!$C$5:$C$70)+SUMIF(Tim!FW$5:FW$70,Ins!F26,Tim!$C$5:$C$70)+SUMIF(Tim!FX$5:FX$70,Ins!F26,Tim!$C$5:$C$70)</f>
        <v>0</v>
      </c>
      <c r="BC26" s="81">
        <f>SUMIF(Tim!$FY$5:$FY$70,Ins!F26,Tim!$C$5:$C$70)+SUMIF(Tim!$FZ$5:$FZ$70,Ins!F26,Tim!$C$5:$C$70)+SUMIF(Tim!$GA$5:$GA$70,Ins!F26,Tim!$C$5:$C$70)+SUMIF(Tim!$GB$5:$GB$70,Ins!F26,Tim!$C$5:$C$70)+SUMIF(Tim!$GC$5:$GC$70,Ins!F26,Tim!$C$5:$C$70)</f>
        <v>0</v>
      </c>
      <c r="BD26" s="79">
        <f>SUMIF(Tim!$GD$5:$GD$70,Ins!F26,Tim!$B$5:$B$70)</f>
        <v>0</v>
      </c>
      <c r="BE26" s="80">
        <f>SUMIF(Tim!$GE$5:$GE$70,Ins!F26,Tim!$B$5:$B$70)+SUMIF(Tim!$GF$5:$GF$70,Ins!F26,Tim!$B$5:$B$70)+SUMIF(Tim!$GG$5:$GG$70,Ins!F26,Tim!$B$5:$B$70)+SUMIF(Tim!$GH$5:$GH$70,Ins!F26,Tim!$B$5:$B$70)+SUMIF(Tim!$GI$5:$GI$70,Ins!F26,Tim!$B$5:$B$70)+SUMIF(Tim!$GJ$5:$GJ$70,Ins!F26,Tim!$B$5:$B$70)</f>
        <v>0</v>
      </c>
      <c r="BF26" s="80">
        <f>SUMIF(Tim!$GK$5:$GK$70,Ins!F26,Tim!$B$5:$B$70)+SUMIF(Tim!$GL$5:$GL$70,Ins!F26,Tim!$B$5:$B$70)+SUMIF(Tim!$GM$5:$GM$70,Ins!F26,Tim!$B$5:$B$70)</f>
        <v>0</v>
      </c>
      <c r="BG26" s="80">
        <f>SUMIF(Tim!$GN$5:$GN$70,Ins!F26,Tim!$B$5:$B$70)+SUMIF(Tim!$GO$5:$GO$70,Ins!F26,Tim!$B$5:$B$70)+SUMIF(Tim!$GP$5:$GP$70,Ins!F26,Tim!$B$5:$B$70)+SUMIF(Tim!$GQ$5:$GQ$70,Ins!F26,Tim!$B$5:$B$70)+SUMIF(Tim!$GR$5:$GR$70,Ins!F26,Tim!$B$5:$B$70)</f>
        <v>0</v>
      </c>
      <c r="BH26" s="80">
        <f>SUMIF(Tim!$GS$5:$GS$70,Ins!F26,Tim!$B$5:$B$70)+SUMIF(Tim!$GT$5:$GT$70,Ins!F26,Tim!$B$5:$B$70)+SUMIF(Tim!$GU$5:$GU$70,Ins!F26,Tim!$B$5:$B$70)</f>
        <v>0</v>
      </c>
      <c r="BI26" s="80">
        <f>SUMIF(Tim!GV$5:GV$70,Ins!F26,Tim!$B$5:$B$70)+SUMIF(Tim!GW$5:GW$70,Ins!F26,Tim!$B$5:$B$70)+SUMIF(Tim!GX$5:GX$70,Ins!F26,Tim!$B$5:$B$70)</f>
        <v>0</v>
      </c>
      <c r="BJ26" s="80">
        <f>SUMIF(Tim!GY$5:GY$70,Ins!F26,Tim!$B$5:$B$70)</f>
        <v>0</v>
      </c>
      <c r="BK26" s="80">
        <f>SUMIF(Tim!$GZ$5:$GZ$70,Ins!F26,Tim!$D$5:$D$70)+SUMIF(Tim!$HA$5:$HA$70,Ins!F26,Tim!$D$5:$D$70)+SUMIF(Tim!$HB$5:$HB$70,Ins!F26,Tim!$D$5:$D$70)++SUMIF(Tim!$HC$5:$HC$70,Ins!F26,Tim!$D$5:$D$70)+SUMIF(Tim!$HD$5:$HD$70,Ins!F26,Tim!$D$5:$D$70)+SUMIF(Tim!$HE$5:$HE$70,Ins!F26,Tim!$D$5:$D$70)+SUMIF(Tim!$HF$5:$HF$70,Ins!F26,Tim!$D$5:$D$70)+SUMIF(Tim!$HG$5:$HG$70,Ins!F26,Tim!$D$5:$D$70)+SUMIF(Tim!$HH$5:$HH$70,Ins!F26,Tim!$D$5:$D$70)+SUMIF(Tim!$HI$5:$HI$70,Ins!F26,Tim!$D$5:$D$70)+SUMIF(Tim!$HJ$5:$HJ$70,Ins!F26,Tim!$D$5:$D$70)+SUMIF(Tim!$HK$5:$HK$70,Ins!F26,Tim!$D$5:$D$70)</f>
        <v>0</v>
      </c>
      <c r="BL26" s="80">
        <f>SUMIF(Tim!HL$5:HL$70,Ins!F26,Tim!$C$5:$C$70)</f>
        <v>0</v>
      </c>
      <c r="BM26" s="80">
        <f>SUMIF(Tim!HM$5:HM$70,Ins!F26,Tim!$C$5:$C$70)</f>
        <v>0</v>
      </c>
      <c r="BN26" s="80">
        <f>SUMIF(Tim!HN$5:HN$70,Ins!F26,Tim!$C$5:$C$70)+SUMIF(Tim!HO$5:HO$70,Ins!F26,Tim!$C$5:$C$70)+SUMIF(Tim!HP$5:HP$70,Ins!F26,Tim!$C$5:$C$70)</f>
        <v>0</v>
      </c>
      <c r="BO26" s="81">
        <f>SUMIF(Tim!$HQ$5:$HQ$70,Ins!F26,Tim!$C$5:$C$70)+SUMIF(Tim!$HR$5:$HR$70,Ins!F26,Tim!$C$5:$C$70)+SUMIF(Tim!$HS$5:$HS$70,Ins!F26,Tim!$C$5:$C$70)+SUMIF(Tim!$HT$5:$HT$70,Ins!F26,Tim!$C$5:$C$70)+SUMIF(Tim!$HU$5:$HU$70,Ins!F26,Tim!$C$5:$C$70)</f>
        <v>0</v>
      </c>
      <c r="BP26" s="79">
        <f>SUMIF(Tim!$HV$7:$HV$70,Ins!F26,Tim!$B$7:$B$70)</f>
        <v>0</v>
      </c>
      <c r="BQ26" s="80">
        <f>SUMIF(Tim!$HW$7:$HW$70,Ins!F26,Tim!$B$7:$B$70)+SUMIF(Tim!$HX$7:$HX$70,Ins!F26,Tim!$B$7:$B$70)+SUMIF(Tim!$HY$7:$HY$70,Ins!F26,Tim!$B$7:$B$70)+SUMIF(Tim!$HZ$7:$HZ$70,Ins!F26,Tim!$B$7:$B$70)+SUMIF(Tim!$IA$7:$IA$70,Ins!F26,Tim!$B$7:$B$70)+SUMIF(Tim!$IB$7:$IB$70,Ins!F26,Tim!$B$7:$B$70)</f>
        <v>0</v>
      </c>
      <c r="BR26" s="80">
        <f>SUMIF(Tim!$IC$7:$IC$70,Ins!F26,Tim!$B$7:$B$70)+SUMIF(Tim!$ID$7:$ID$70,Ins!F26,Tim!$B$7:$B$70)+SUMIF(Tim!$IE$7:$IE$70,Ins!F26,Tim!$B$7:$B$70)</f>
        <v>0</v>
      </c>
      <c r="BS26" s="80">
        <f>SUMIF(Tim!$IF$7:$IF$70,Ins!F26,Tim!$B$7:$B$70)+SUMIF(Tim!$IG$7:$IG$70,Ins!F26,Tim!$B$7:$B$70)+SUMIF(Tim!$IH$7:$IH$70,Ins!F26,Tim!$B$7:$B$70)+SUMIF(Tim!$II$7:$II$70,Ins!F26,Tim!$B$7:$B$70)+SUMIF(Tim!$IJ$7:$IJ$70,Ins!F26,Tim!$B$7:$B$70)</f>
        <v>0</v>
      </c>
      <c r="BT26" s="80">
        <f>SUMIF(Tim!$IK$7:$IK$70,Ins!F26,Tim!$B$7:$B$70)+SUMIF(Tim!$IL$7:$IL$70,Ins!F26,Tim!$B$7:$B$70)+SUMIF(Tim!$IM$7:$IM$70,Ins!F26,Tim!$B$7:$B$70)</f>
        <v>0</v>
      </c>
      <c r="BU26" s="80">
        <f>SUMIF(Tim!$IN$7:$IN$70,Ins!F26,Tim!$B$7:$B$70)+SUMIF(Tim!$IO$7:$IO$70,Ins!F26,Tim!$B$7:$B$70)+SUMIF(Tim!$IP$7:$IP$70,Ins!F26,Tim!$B$7:$B$70)</f>
        <v>0</v>
      </c>
      <c r="BV26" s="80">
        <f>SUMIF(Tim!$IQ$7:$IQ$70,Ins!F26,Tim!$B$7:$B$70)</f>
        <v>0</v>
      </c>
      <c r="BW26" s="80">
        <f>SUMIF(Tim!$IR$7:$IR$70,Ins!F26,Tim!$D$7:$D$70)+SUMIF(Tim!$IS$7:$IS$70,Ins!F26,Tim!$D$7:$D$70)+SUMIF(Tim!$IT$7:$IT$70,Ins!F26,Tim!$D$7:$D$70)+SUMIF(Tim!$IU$7:$IU$70,Ins!F26,Tim!$D$7:$D$70)+SUMIF(Tim!$IV$7:$IV$70,Ins!F26,Tim!$D$7:$D$70)+SUMIF(Tim!$IW$7:$IW$70,Ins!F26,Tim!$D$7:$D$70)+SUMIF(Tim!$IX$7:$IX$70,Ins!F26,Tim!$D$7:$D$70)+SUMIF(Tim!$IY$7:$IY$70,Ins!F26,Tim!$D$7:$D$70)+SUMIF(Tim!$IZ$7:$IZ$70,Ins!F26,Tim!$D$7:$D$70)+SUMIF(Tim!$JA$7:$JA$70,Ins!F26,Tim!$D$7:$D$70)+SUMIF(Tim!$JB$7:$JB$70,Ins!F26,Tim!$D$7:$D$70)+SUMIF(Tim!$JC$7:$JC$70,Ins!F26,Tim!$D$7:$D$70)</f>
        <v>0</v>
      </c>
      <c r="BX26" s="80">
        <f>SUMIF(Tim!JD$7:JD$70,Ins!F26,Tim!$C$7:$C$70)</f>
        <v>0</v>
      </c>
      <c r="BY26" s="80">
        <f>SUMIF(Tim!JE$7:JE$70,Ins!F26,Tim!$C$7:$C$70)</f>
        <v>0</v>
      </c>
      <c r="BZ26" s="80">
        <f>SUMIF(Tim!JF$7:JF$70,Ins!F26,Tim!$C$7:$C$70)+SUMIF(Tim!JG$7:JG$70,Ins!F26,Tim!$C$7:$C$70)+SUMIF(Tim!JH$7:JH$70,Ins!F26,Tim!$C$7:$C$70)</f>
        <v>0</v>
      </c>
      <c r="CA26" s="81">
        <f>SUMIF(Tim!$JI$7:$JI$70,Ins!F26,Tim!$C$7:$C$70)++SUMIF(Tim!$JJ$7:$JJ$70,Ins!F26,Tim!$C$7:$C$70)+SUMIF(Tim!$JK$7:$JK$70,Ins!F26,Tim!$C$7:$C$70)+SUMIF(Tim!$JL$7:$JL$70,Ins!F26,Tim!$C$7:$C$70)+SUMIF(Tim!$JM$7:$JM$70,Ins!F26,Tim!$C$7:$C$70)</f>
        <v>0</v>
      </c>
      <c r="CB26" s="79">
        <f>SUMIF(Tim!$JN$7:$JN$70,Ins!F26,Tim!$B$7:$B$70)</f>
        <v>0</v>
      </c>
      <c r="CC26" s="80">
        <f>SUMIF(Tim!$JO$7:$JO$70,Ins!F26,Tim!$B$7:$B$70)+SUMIF(Tim!$JP$7:$JP$70,Ins!F26,Tim!$B$7:$B$70)+SUMIF(Tim!$JQ$7:$JQ$70,Ins!F26,Tim!$B$7:$B$70)+SUMIF(Tim!$JR$7:$JR$70,Ins!F26,Tim!$B$7:$B$70)+SUMIF(Tim!$JS$7:$JS$70,Ins!F26,Tim!$B$7:$B$70)+SUMIF(Tim!$JT$7:$JT$70,Ins!F26,Tim!$B$7:$B$70)</f>
        <v>0</v>
      </c>
      <c r="CD26" s="80">
        <f>SUMIF(Tim!$JW$7:$JW$70,Ins!F26,Tim!$B$7:$B$70)+SUMIF(Tim!$JU$7:$JU$70,Ins!F26,Tim!$B$7:$B$70)+SUMIF(Tim!$JV$7:$JV$70,Ins!F26,Tim!$B$7:$B$70)</f>
        <v>0</v>
      </c>
      <c r="CE26" s="80">
        <f>SUMIF(Tim!$JX$7:$JX$70,Ins!F26,Tim!$B$7:$B$70)+SUMIF(Tim!$JY$7:$JY$70,Ins!F26,Tim!$B$7:$B$70)+SUMIF(Tim!$JZ$7:$JZ$70,Ins!F26,Tim!$B$7:$B$70)+SUMIF(Tim!$KA$7:$KA$70,Ins!F26,Tim!$B$7:$B$70)+SUMIF(Tim!$KB$7:$KB$70,Ins!F26,Tim!$B$7:$B$70)</f>
        <v>0</v>
      </c>
      <c r="CF26" s="80">
        <f>SUMIF(Tim!$KE$7:$KE$70,Ins!F26,Tim!$B$7:$B$70)+SUMIF(Tim!$KC$7:$KC$70,Ins!F26,Tim!$B$7:$B$70)+SUMIF(Tim!$KD$7:$KD$70,Ins!F26,Tim!$B$7:$B$70)</f>
        <v>0</v>
      </c>
      <c r="CG26" s="80">
        <f>SUMIF(Tim!$KF$7:$KF$70,Ins!F26,Tim!$B$7:$B$70)+SUMIF(Tim!$KG$7:$KG$70,Ins!F26,Tim!$B$7:$B$70)+SUMIF(Tim!$KH$7:$KH$70,Ins!F26,Tim!$B$7:$B$70)</f>
        <v>0</v>
      </c>
      <c r="CH26" s="80">
        <f>SUMIF(Tim!$KI$7:$KI$70,Ins!F26,Tim!$B$7:$B$70)</f>
        <v>0</v>
      </c>
      <c r="CI26" s="80">
        <f>SUMIF(Tim!$KJ$7:$KJ$70,Ins!F26,Tim!$D$7:$D$70)+SUMIF(Tim!$KK$7:$KK$70,Ins!F26,Tim!$D$7:$D$70)+SUMIF(Tim!$KL$7:$KL$70,Ins!F26,Tim!$D$7:$D$70)+SUMIF(Tim!$KM$7:$KM$70,Ins!F26,Tim!$D$7:$D$70)+SUMIF(Tim!$KN$7:$KN$70,Ins!F26,Tim!$D$7:$D$70)+SUMIF(Tim!$KO$7:$KO$70,Ins!F26,Tim!$D$7:$D$70)+SUMIF(Tim!$KP$7:$KP$70,Ins!F26,Tim!$D$7:$D$70)+SUMIF(Tim!$KQ$7:$KQ$70,Ins!F26,Tim!$D$7:$D$70)+SUMIF(Tim!$KR$7:$KR$70,Ins!F26,Tim!$D$7:$D$70)+SUMIF(Tim!$KS$7:$KS$70,Ins!F26,Tim!$D$7:$D$70)+SUMIF(Tim!$KT$7:$KT$70,Ins!F26,Tim!$D$7:$D$70)+SUMIF(Tim!$KU$7:$KU$70,Ins!F26,Tim!$D$7:$D$70)</f>
        <v>0</v>
      </c>
      <c r="CJ26" s="80">
        <f>SUMIF(Tim!KV$7:KV$70,Ins!F26,Tim!$C$7:$C$70)</f>
        <v>0</v>
      </c>
      <c r="CK26" s="80">
        <f>SUMIF(Tim!KW$7:KW$70,Ins!F26,Tim!$C$7:$C$70)</f>
        <v>0</v>
      </c>
      <c r="CL26" s="80">
        <f>SUMIF(Tim!KX$7:KX$70,Ins!F26,Tim!$C$7:$C$70)+SUMIF(Tim!KY$7:KY$70,Ins!F26,Tim!$C$7:$C$70)+SUMIF(Tim!KZ$7:KZ$70,Ins!F26,Tim!$C$7:$C$70)</f>
        <v>0</v>
      </c>
      <c r="CM26" s="81">
        <f>SUMIF(Tim!$LA$7:$LA$70,Ins!F26,Tim!$C$7:$C$70)+SUMIF(Tim!$LB$7:$LB$70,Ins!F26,Tim!$C$7:$C$70)+SUMIF(Tim!$LC$7:$LC$70,Ins!F26,Tim!$C$7:$C$70)+SUMIF(Tim!$LD$7:$LD$70,Ins!F26,Tim!$C$7:$C$70)+SUMIF(Tim!$LE$7:$LE$70,Ins!F26,Tim!$C$7:$C$70)</f>
        <v>0</v>
      </c>
      <c r="CN26" s="22"/>
      <c r="CO26" s="180">
        <f t="shared" si="158"/>
        <v>0</v>
      </c>
      <c r="CP26" s="179">
        <f t="shared" si="159"/>
        <v>0</v>
      </c>
      <c r="CQ26" s="179">
        <f t="shared" si="160"/>
        <v>0</v>
      </c>
      <c r="CR26" s="179">
        <f t="shared" si="161"/>
        <v>0</v>
      </c>
      <c r="CS26" s="179">
        <f t="shared" si="162"/>
        <v>0</v>
      </c>
      <c r="CT26" s="179">
        <f t="shared" si="163"/>
        <v>0</v>
      </c>
      <c r="CU26" s="179">
        <f t="shared" si="164"/>
        <v>0</v>
      </c>
      <c r="CV26" s="179">
        <f t="shared" si="165"/>
        <v>0</v>
      </c>
      <c r="CW26" s="179">
        <f t="shared" si="166"/>
        <v>0</v>
      </c>
      <c r="CX26" s="179">
        <f t="shared" si="167"/>
        <v>0</v>
      </c>
      <c r="CY26" s="179">
        <f t="shared" si="172"/>
        <v>0</v>
      </c>
      <c r="CZ26" s="179">
        <f t="shared" si="173"/>
        <v>5</v>
      </c>
      <c r="DA26" s="78">
        <f t="shared" si="174"/>
        <v>5</v>
      </c>
      <c r="DB26" s="16"/>
      <c r="DC26" s="34">
        <f t="shared" si="170"/>
        <v>3</v>
      </c>
      <c r="DD26" s="34">
        <f t="shared" si="15"/>
        <v>0</v>
      </c>
      <c r="DE26" s="34">
        <f t="shared" si="16"/>
        <v>2</v>
      </c>
      <c r="DF26" s="34">
        <f t="shared" si="20"/>
        <v>0</v>
      </c>
      <c r="DG26" s="34">
        <f t="shared" si="17"/>
        <v>0</v>
      </c>
      <c r="DH26" s="34">
        <f t="shared" si="18"/>
        <v>0</v>
      </c>
      <c r="DI26" s="34">
        <f t="shared" si="19"/>
        <v>0</v>
      </c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7"/>
    </row>
    <row r="27" spans="1:125" ht="12" customHeight="1">
      <c r="A27" s="10">
        <v>25</v>
      </c>
      <c r="B27" s="273" t="s">
        <v>436</v>
      </c>
      <c r="C27" s="185"/>
      <c r="D27" s="230"/>
      <c r="E27" s="230" t="s">
        <v>373</v>
      </c>
      <c r="F27" s="185" t="s">
        <v>437</v>
      </c>
      <c r="G27" s="231" t="s">
        <v>191</v>
      </c>
      <c r="H27" s="79">
        <f>SUMIF(Tim!$F$7:$F$70,Ins!F27,Tim!$B$7:$B$70)</f>
        <v>0</v>
      </c>
      <c r="I27" s="80">
        <f>SUMIF(Tim!$G$7:$G$70,Ins!F27,Tim!$B$7:$B$70)+SUMIF(Tim!$H$7:$H$70,Ins!F27,Tim!$B$7:$B$70)+SUMIF(Tim!$I$7:$I$70,Ins!F27,Tim!$B$7:$B$70)+SUMIF(Tim!$J$7:$J$70,Ins!F27,Tim!$B$7:$B$70)+SUMIF(Tim!$K$7:$K$70,Ins!F27,Tim!$B$7:$B$70)+SUMIF(Tim!$L$7:$L$70,Ins!F27,Tim!$B$7:$B$70)</f>
        <v>0</v>
      </c>
      <c r="J27" s="80">
        <f>SUMIF(Tim!$M$7:$M$70,Ins!F27,Tim!$B$7:$B$70)+SUMIF(Tim!$O$7:$O$70,Ins!F27,Tim!$B$7:$B$70)+SUMIF(Tim!$N$7:$N$70,Ins!F27,Tim!$B$7:$B$70)</f>
        <v>0</v>
      </c>
      <c r="K27" s="80">
        <f>SUMIF(Tim!$P$7:$P$70,Ins!F27,Tim!$B$7:$B$70)+SUMIF(Tim!$Q$7:$Q$70,Ins!F27,Tim!$B$7:$B$70)+SUMIF(Tim!$R$7:$R$70,Ins!F27,Tim!$B$7:$B$70)+SUMIF(Tim!$S$7:$S$70,Ins!F27,Tim!$B$7:$B$70)+SUMIF(Tim!$T$7:$T$70,Ins!F27,Tim!$B$7:$B$70)</f>
        <v>0</v>
      </c>
      <c r="L27" s="80">
        <f>SUMIF(Tim!$U$7:$U$70,Ins!F27,Tim!$B$7:$B$70)+SUMIF(Tim!$W$7:$W$70,Ins!F27,Tim!$B$7:$B$70)+SUMIF(Tim!$X$7:$X$70,Ins!F27,Tim!$B$7:$B$70)</f>
        <v>0</v>
      </c>
      <c r="M27" s="80">
        <f>SUMIF(Tim!$Y$7:$Y$70,Ins!F27,Tim!$B$7:$B$70)+SUMIF(Tim!$Z$7:$Z$70,Ins!F27,Tim!$B$7:$B$70)+SUMIF(Tim!$AA$7:$AA$70,Ins!F27,Tim!$B$7:$B$70)</f>
        <v>0</v>
      </c>
      <c r="N27" s="80">
        <f>SUMIF(Tim!$AB$7:$AB$70,Ins!F27,Tim!$B$7:$B$70)</f>
        <v>0</v>
      </c>
      <c r="O27" s="80">
        <f>SUMIF(Tim!$AC$7:$AC$70,Ins!F27,Tim!$D$7:$D$70)+SUMIF(Tim!$AD$7:$AD$70,Ins!F27,Tim!$D$7:$D$70)+SUMIF(Tim!$AE$7:$AE$70,Ins!F27,Tim!$D$7:$D$70)+SUMIF(Tim!$AF$7:$AF$70,Ins!F27,Tim!$D$7:$D$70)+SUMIF(Tim!$AG$7:$AG$70,Ins!F27,Tim!$D$7:$D$70)+SUMIF(Tim!$AH$7:$AH$70,Ins!F27,Tim!$D$7:$D$70)+SUMIF(Tim!$AI$7:$AI$70,Ins!F27,Tim!$D$7:$D$70)+SUMIF(Tim!$AJ$7:$AJ$70,Ins!F27,Tim!$D$7:$D$70)+SUMIF(Tim!$AK$7:$AK$70,Ins!F27,Tim!$D$7:$D$70)+SUMIF(Tim!$AL$7:$AL$70,Ins!F27,Tim!$D$7:$D$70)+SUMIF(Tim!$AM$7:$AM$70,Ins!F27,Tim!$D$7:$D$70)+SUMIF(Tim!$AN$7:$AN$70,Ins!F27,Tim!$D$7:$D$70)</f>
        <v>0</v>
      </c>
      <c r="P27" s="80">
        <f>SUMIF(Tim!AO$7:AO$70,Ins!F27,Tim!$C$7:$C$70)</f>
        <v>0</v>
      </c>
      <c r="Q27" s="80">
        <f>SUMIF(Tim!AP$7:AP$70,Ins!F27,Tim!$C$7:$C$70)</f>
        <v>0</v>
      </c>
      <c r="R27" s="80">
        <f>SUMIF(Tim!AQ$7:AQ$70,Ins!F27,Tim!$C$7:$C$70)+SUMIF(Tim!AR$7:AR$70,Ins!F27,Tim!$C$7:$C$70)+SUMIF(Tim!AS$7:AS$70,Ins!F27,Tim!$C$7:$C$70)</f>
        <v>0</v>
      </c>
      <c r="S27" s="236">
        <f>SUMIF(Tim!$AT$7:$AT$70,Ins!F27,Tim!$C$7:$C$70)+SUMIF(Tim!$AU$7:$AU$70,Ins!F27,Tim!$C$7:$C86)+SUMIF(Tim!$AV$7:$AV$70,Ins!F27,Tim!$C$7:$C$70)+SUMIF(Tim!$AW$7:$AW$70,Ins!F27,Tim!$C$7:$C$70)+SUMIF(Tim!$AX$7:$AX$70,Ins!F27,Tim!$C$7:$C$70)</f>
        <v>0</v>
      </c>
      <c r="T27" s="79">
        <f>SUMIF(Tim!$AY$7:$AY$70,Ins!F27,Tim!$B$7:$B$70)</f>
        <v>0</v>
      </c>
      <c r="U27" s="80">
        <f>SUMIF(Tim!$AZ$7:$AZ$70,Ins!F27,Tim!$B$7:$B$70)+SUMIF(Tim!$BA$7:$BA$70,Ins!F27,Tim!$B$7:$B$70)+SUMIF(Tim!$BB$7:$BB$70,Ins!F27,Tim!$B$7:$B$70)+SUMIF(Tim!$BC$7:$BC$70,Ins!F27,Tim!$B$7:$B$70)+SUMIF(Tim!$BD$7:$BD$70,Ins!F27,Tim!$B$7:$B$70)+SUMIF(Tim!$BE$7:$BE$70,Ins!F27,Tim!$B$7:$B$70)</f>
        <v>0</v>
      </c>
      <c r="V27" s="80">
        <f>SUMIF(Tim!$BF$7:$BF$70,Ins!F27,Tim!$B$7:$B$70)+SUMIF(Tim!$BG$7:$BG$70,Ins!F27,Tim!$B$7:$B$70)+SUMIF(Tim!$BH$7:$BH$70,Ins!F27,Tim!$B$7:$B$70)</f>
        <v>0</v>
      </c>
      <c r="W27" s="80">
        <f>SUMIF(Tim!$BI$7:$BI$70,Ins!F27,Tim!$B$7:$B$70)+SUMIF(Tim!$BJ$7:$BJ$70,Ins!F27,Tim!$B$7:$B$70)+SUMIF(Tim!$BK$7:$BK$70,Ins!F27,Tim!$B$7:$B$70)+SUMIF(Tim!$BL$7:$BL$70,Ins!F27,Tim!$B$7:$B$70)+SUMIF(Tim!$BM$7:$BM$70,Ins!F27,Tim!$B$7:$B$70)</f>
        <v>0</v>
      </c>
      <c r="X27" s="80">
        <f>SUMIF(Tim!$BN$7:$BN$70,Ins!F27,Tim!$B$7:$B$70)+SUMIF(Tim!$BO$7:$BO$70,Ins!F27,Tim!$B$7:$B$70)+SUMIF(Tim!$BP$7:$BP$70,Ins!F27,Tim!$B$7:$B$70)</f>
        <v>0</v>
      </c>
      <c r="Y27" s="80">
        <f>SUMIF(Tim!$BQ$7:$BQ$70,Ins!F27,Tim!$B$7:$B$70)+SUMIF(Tim!$BR$7:$BR$70,Ins!F27,Tim!$B$7:$B$70)+SUMIF(Tim!$BS$7:$BS$70,Ins!F27,Tim!$B$7:$B$70)</f>
        <v>0</v>
      </c>
      <c r="Z27" s="80">
        <f>SUMIF(Tim!BT$7:BT$70,Ins!F27,Tim!$B$7:$B$70)</f>
        <v>0</v>
      </c>
      <c r="AA27" s="80">
        <f>SUMIF(Tim!$BU$7:$BU$70,Ins!F27,Tim!$D$7:$D$70)+SUMIF(Tim!$BV$7:$BV$70,Ins!F27,Tim!$D$7:$D$70)+SUMIF(Tim!$BW$7:$BW$70,Ins!F27,Tim!$D$7:$D$70)+SUMIF(Tim!$BX$7:$BX$70,Ins!F27,Tim!$D$7:$D$70)+SUMIF(Tim!$BY$7:$BY$70,Ins!F27,Tim!$D$7:$D$70)+SUMIF(Tim!$BZ$7:$BZ$70,Ins!F27,Tim!$D$7:$D$70)+SUMIF(Tim!$CA$7:$CA$70,Ins!F27,Tim!$D$7:$D$70)+SUMIF(Tim!$CB$7:$CB$70,Ins!F27,Tim!$D$7:$D$70)+SUMIF(Tim!$CC$7:$CC$70,Ins!F27,Tim!$D$7:$D$70)+SUMIF(Tim!$CD$7:$CD$70,Ins!F27,Tim!$D$7:$D$70)+SUMIF(Tim!$CE$7:$CE$70,Ins!F27,Tim!$D$7:$D$70)+SUMIF(Tim!$CF$7:$CF$70,Ins!F27,Tim!$D$7:$D$70)</f>
        <v>0</v>
      </c>
      <c r="AB27" s="80">
        <f>SUMIF(Tim!CG$7:CG$70,Ins!F27,Tim!$C$7:$C$70)</f>
        <v>0</v>
      </c>
      <c r="AC27" s="80">
        <f>SUMIF(Tim!CH$7:CH$70,Ins!F27,Tim!$C$7:$C$70)</f>
        <v>0</v>
      </c>
      <c r="AD27" s="80">
        <f>SUMIF(Tim!CI$7:CI$70,Ins!F27,Tim!$C$7:$C$70)+SUMIF(Tim!CJ$7:CJ$70,Ins!F27,Tim!$C$7:$C$70)+SUMIF(Tim!CK$7:CK$70,Ins!F27,Tim!$C$7:$C$70)</f>
        <v>0</v>
      </c>
      <c r="AE27" s="81">
        <f>SUMIF(Tim!$CL$7:$CL$70,Ins!F27,Tim!$C$7:$C$70)+SUMIF(Tim!$CM$7:$CM$70,Ins!F27,Tim!$C$7:$C$70)+SUMIF(Tim!$CN$7:$CN$70,Ins!F27,Tim!$C$7:$C$70)+SUMIF(Tim!$CO$7:$CO$70,Ins!F27,Tim!$C$7:$C$70)+SUMIF(Tim!$CP$7:$CP$70,Ins!F27,Tim!$C$7:$C$70)</f>
        <v>0</v>
      </c>
      <c r="AF27" s="79">
        <f>SUMIF(Tim!$CQ$7:$CQ$70,Ins!F27,Tim!$B$7:$B$70)</f>
        <v>0</v>
      </c>
      <c r="AG27" s="80">
        <f>SUMIF(Tim!$CR$7:$CR$70,Ins!F27,Tim!$B$7:$B$70)+SUMIF(Tim!$CS$7:$CS$70,Ins!F27,Tim!$B$7:$B$70)+SUMIF(Tim!$CT$7:$CT$70,Ins!F27,Tim!$B$7:$B$70)+SUMIF(Tim!$CU$7:$CU$70,Ins!F27,Tim!$B$7:$B$70)+SUMIF(Tim!$CV$7:$CV$70,Ins!F27,Tim!$B$7:$B$70)+SUMIF(Tim!$CW$7:$CW$70,Ins!F27,Tim!$B$7:$B$70)</f>
        <v>0</v>
      </c>
      <c r="AH27" s="80">
        <f>SUMIF(Tim!$CX$7:$CX$70,Ins!F27,Tim!$B$7:$B$70)+SUMIF(Tim!$CY$7:$CY$70,Ins!F27,Tim!$B$7:$B$70)+SUMIF(Tim!$CZ$7:$CZ$70,Ins!F27,Tim!$B$7:$B$70)</f>
        <v>0</v>
      </c>
      <c r="AI27" s="80">
        <f>SUMIF(Tim!$DA$7:$DA$70,Ins!F27,Tim!$B$7:$B$70)+SUMIF(Tim!$DB$7:$DB$70,Ins!F27,Tim!$B$7:$B$70)+SUMIF(Tim!$DC$7:$DC$70,Ins!F27,Tim!$B$7:$B$70)+SUMIF(Tim!$DD$7:$DD$70,Ins!F27,Tim!$B$7:$B$70)+SUMIF(Tim!$DE$7:$DE$70,Ins!F27,Tim!$B$7:$B$70)</f>
        <v>0</v>
      </c>
      <c r="AJ27" s="80">
        <f>SUMIF(Tim!$DF$7:$DF$70,Ins!F27,Tim!$B$7:$B$70)+SUMIF(Tim!$DG$7:$DG$70,Ins!F27,Tim!$B$7:$B$70)+SUMIF(Tim!$DH$7:$DH$70,Ins!F27,Tim!$B$7:$B$70)</f>
        <v>0</v>
      </c>
      <c r="AK27" s="80">
        <f>SUMIF(Tim!DI$7:DI$70,Ins!F27,Tim!$B$7:$B$70)+SUMIF(Tim!DM$7:DM$70,Ins!F27,Tim!$B$7:$B$70)+SUMIF(Tim!DN$7:DN$70,Ins!F27,Tim!$B$7:$B$70)</f>
        <v>0</v>
      </c>
      <c r="AL27" s="80">
        <f>SUMIF(Tim!DO$7:DO$70,Ins!F27,Tim!$B$7:$B$70)</f>
        <v>0</v>
      </c>
      <c r="AM27" s="80">
        <f>SUMIF(Tim!$DP$7:$DP$70,Ins!F27,Tim!$D$7:$D$70)+SUMIF(Tim!$DQ$7:$DQ$70,Ins!F27,Tim!$D$7:$D$70)+SUMIF(Tim!$DR$7:$DR$70,Ins!F27,Tim!$D$7:$D$70)+SUMIF(Tim!$DS$7:$DS$70,Ins!F27,Tim!$D$7:$D$70)+SUMIF(Tim!$DT$7:$DT$70,Ins!F27,Tim!$D$7:$D$70)+SUMIF(Tim!$DU$7:$DU$70,Ins!F27,Tim!$D$7:$D$70)+SUMIF(Tim!$DV$7:$DV$70,Ins!F27,Tim!$D$7:$D$70)+SUMIF(Tim!$DW$7:$DW$70,Ins!F27,Tim!$D$7:$D$70)+SUMIF(Tim!$DX$7:$DX$70,Ins!F27,Tim!$D$7:$D$70)+SUMIF(Tim!$DY$7:$DY$70,Ins!F27,Tim!$D$7:$D$70)+SUMIF(Tim!$DZ$7:$DZ$70,Ins!F27,Tim!$D$7:$D$70)+SUMIF(Tim!$EA$7:$EA$70,Ins!F27,Tim!$D$7:$D$70)</f>
        <v>0</v>
      </c>
      <c r="AN27" s="80">
        <f>SUMIF(Tim!EB$7:EB$70,Ins!F27,Tim!$C$7:$C$70)</f>
        <v>0</v>
      </c>
      <c r="AO27" s="80">
        <f>SUMIF(Tim!EC$7:EC$70,Ins!F27,Tim!$C$7:$C$70)</f>
        <v>0</v>
      </c>
      <c r="AP27" s="80">
        <f>SUMIF(Tim!ED$7:ED$70,Ins!F27,Tim!$C$7:$C$70)+SUMIF(Tim!EE$7:EE$70,Ins!F27,Tim!$C$7:$C$70)+SUMIF(Tim!EF$7:EF$70,Ins!F27,Tim!$C$7:$C$70)</f>
        <v>0</v>
      </c>
      <c r="AQ27" s="81">
        <f>SUMIF(Tim!$EG$7:$EG$70,Ins!F27,Tim!$C$7:$C$70)+SUMIF(Tim!$EH$7:$EH$70,Ins!F27,Tim!$C$7:$C$70)+SUMIF(Tim!$EI$7:$EI$70,Ins!F27,Tim!$C$7:$C$70)+SUMIF(Tim!$EJ$7:$EJ$70,Ins!F27,Tim!$C$7:$C$70)+SUMIF(Tim!$EK$7:$EK$70,Ins!F27,Tim!$C$7:$C$70)</f>
        <v>1</v>
      </c>
      <c r="AR27" s="79">
        <f>SUMIF(Tim!$EL$5:$EL$70,Ins!F27,Tim!$B$5:$B$70)</f>
        <v>0</v>
      </c>
      <c r="AS27" s="80">
        <f>SUMIF(Tim!$EM$5:$EM$70,Ins!F27,Tim!$B$5:$B$70)+SUMIF(Tim!$EN$5:$EN$70,Ins!F27,Tim!$B$5:$B$70)+SUMIF(Tim!$EO$5:$EO$70,Ins!F27,Tim!$B$5:$B$70)+SUMIF(Tim!$EP$5:$EP$70,Ins!F27,Tim!$B$5:$B$70)+SUMIF(Tim!$EQ$5:$EQ$70,Ins!F27,Tim!$B$5:$B$70)+SUMIF(Tim!$ER$5:$ER$70,Ins!F27,Tim!$B$5:$B$70)</f>
        <v>0</v>
      </c>
      <c r="AT27" s="80">
        <f>SUMIF(Tim!$ES$5:$ES$70,Ins!F27,Tim!$B$5:$B$70)+SUMIF(Tim!$ET$5:$ET$70,Ins!F27,Tim!$B$5:$B$70)+SUMIF(Tim!$EU$5:$EU$70,Ins!F27,Tim!$B$5:$B$70)</f>
        <v>0</v>
      </c>
      <c r="AU27" s="80">
        <f>SUMIF(Tim!$EV$5:$EV$70,Ins!F27,Tim!$B$5:$B$70)+SUMIF(Tim!$EW$5:$EW$70,Ins!F27,Tim!$B$5:$B$70)+SUMIF(Tim!$EX$5:$EX$70,Ins!F27,Tim!$B$5:$B$70)+SUMIF(Tim!$EY$5:$EY$70,Ins!F27,Tim!$B$5:$B$70)+SUMIF(Tim!$EZ$5:$EZ$70,Ins!F27,Tim!$B$5:$B$70)</f>
        <v>0</v>
      </c>
      <c r="AV27" s="80">
        <f>SUMIF(Tim!$FA$5:$FA$70,Ins!F27,Tim!$B$5:$B$70)+SUMIF(Tim!$FB$5:$FB$70,Ins!F27,Tim!$B$5:$B$70)+SUMIF(Tim!$FC$5:$FC$70,Ins!F27,Tim!$B$5:$B$70)</f>
        <v>0</v>
      </c>
      <c r="AW27" s="80">
        <f>SUMIF(Tim!FD$5:FD$70,Ins!F27,Tim!$B$5:$B$70)+SUMIF(Tim!FE$5:FE$70,Ins!F27,Tim!$B$5:$B$70)+SUMIF(Tim!FF$5:FF$70,Ins!F27,Tim!$B$5:$B$70)</f>
        <v>0</v>
      </c>
      <c r="AX27" s="80">
        <f>SUMIF(Tim!FG$5:FG$70,Ins!F27,Tim!$B$5:$B$70)</f>
        <v>0</v>
      </c>
      <c r="AY27" s="80">
        <f>SUMIF(Tim!$FH$5:$FH$70,Ins!F27,Tim!$D$5:$D$70)+SUMIF(Tim!$FI$5:$FI$70,Ins!F27,Tim!$D$5:$D$70)+SUMIF(Tim!$FJ$5:$FJ$70,Ins!F27,Tim!$D$5:$D$70)+SUMIF(Tim!$FK$5:$FK$70,Ins!F27,Tim!$D$5:$D$70)+SUMIF(Tim!$FL$5:$FL$70,Ins!F27,Tim!$D$5:$D$70)+SUMIF(Tim!$FM$5:$FM$70,Ins!F27,Tim!$D$5:$D$70)+SUMIF(Tim!$FN$5:$FN$70,Ins!F27,Tim!$D$5:$D$70)+SUMIF(Tim!$FO$5:$FO$70,Ins!F27,Tim!$D$5:$D$70)+SUMIF(Tim!$FP$5:$FP$70,Ins!F27,Tim!$D$5:$D$70)+SUMIF(Tim!$FQ$5:$FQ$70,Ins!F27,Tim!$D$5:$D$70)+SUMIF(Tim!$FR$5:$FR$70,Ins!F27,Tim!$D$5:$D$70)+SUMIF(Tim!$FS$5:$FS$70,Ins!F27,Tim!$D$5:$D$70)</f>
        <v>0</v>
      </c>
      <c r="AZ27" s="80">
        <f>SUMIF(Tim!FT$5:FT$70,Ins!F27,Tim!$C$5:$C$70)</f>
        <v>0</v>
      </c>
      <c r="BA27" s="80">
        <f>SUMIF(Tim!FU$5:FU$70,Ins!F27,Tim!$C$5:$C$70)</f>
        <v>0</v>
      </c>
      <c r="BB27" s="80">
        <f>SUMIF(Tim!FV$5:FV$70,Ins!F27,Tim!$C$5:$C$70)+SUMIF(Tim!FW$5:FW$70,Ins!F27,Tim!$C$5:$C$70)+SUMIF(Tim!FX$5:FX$70,Ins!F27,Tim!$C$5:$C$70)</f>
        <v>0</v>
      </c>
      <c r="BC27" s="81">
        <f>SUMIF(Tim!$FY$5:$FY$70,Ins!F27,Tim!$C$5:$C$70)+SUMIF(Tim!$FZ$5:$FZ$70,Ins!F27,Tim!$C$5:$C$70)+SUMIF(Tim!$GA$5:$GA$70,Ins!F27,Tim!$C$5:$C$70)+SUMIF(Tim!$GB$5:$GB$70,Ins!F27,Tim!$C$5:$C$70)+SUMIF(Tim!$GC$5:$GC$70,Ins!F27,Tim!$C$5:$C$70)</f>
        <v>0</v>
      </c>
      <c r="BD27" s="79">
        <f>SUMIF(Tim!$GD$5:$GD$70,Ins!F27,Tim!$B$5:$B$70)</f>
        <v>0</v>
      </c>
      <c r="BE27" s="80">
        <f>SUMIF(Tim!$GE$5:$GE$70,Ins!F27,Tim!$B$5:$B$70)+SUMIF(Tim!$GF$5:$GF$70,Ins!F27,Tim!$B$5:$B$70)+SUMIF(Tim!$GG$5:$GG$70,Ins!F27,Tim!$B$5:$B$70)+SUMIF(Tim!$GH$5:$GH$70,Ins!F27,Tim!$B$5:$B$70)+SUMIF(Tim!$GI$5:$GI$70,Ins!F27,Tim!$B$5:$B$70)+SUMIF(Tim!$GJ$5:$GJ$70,Ins!F27,Tim!$B$5:$B$70)</f>
        <v>0</v>
      </c>
      <c r="BF27" s="80">
        <f>SUMIF(Tim!$GK$5:$GK$70,Ins!F27,Tim!$B$5:$B$70)+SUMIF(Tim!$GL$5:$GL$70,Ins!F27,Tim!$B$5:$B$70)+SUMIF(Tim!$GM$5:$GM$70,Ins!F27,Tim!$B$5:$B$70)</f>
        <v>0</v>
      </c>
      <c r="BG27" s="80">
        <f>SUMIF(Tim!$GN$5:$GN$70,Ins!F27,Tim!$B$5:$B$70)+SUMIF(Tim!$GO$5:$GO$70,Ins!F27,Tim!$B$5:$B$70)+SUMIF(Tim!$GP$5:$GP$70,Ins!F27,Tim!$B$5:$B$70)+SUMIF(Tim!$GQ$5:$GQ$70,Ins!F27,Tim!$B$5:$B$70)+SUMIF(Tim!$GR$5:$GR$70,Ins!F27,Tim!$B$5:$B$70)</f>
        <v>0</v>
      </c>
      <c r="BH27" s="80">
        <f>SUMIF(Tim!$GS$5:$GS$70,Ins!F27,Tim!$B$5:$B$70)+SUMIF(Tim!$GT$5:$GT$70,Ins!F27,Tim!$B$5:$B$70)+SUMIF(Tim!$GU$5:$GU$70,Ins!F27,Tim!$B$5:$B$70)</f>
        <v>0</v>
      </c>
      <c r="BI27" s="80">
        <f>SUMIF(Tim!GV$5:GV$70,Ins!F27,Tim!$B$5:$B$70)+SUMIF(Tim!GW$5:GW$70,Ins!F27,Tim!$B$5:$B$70)+SUMIF(Tim!GX$5:GX$70,Ins!F27,Tim!$B$5:$B$70)</f>
        <v>0</v>
      </c>
      <c r="BJ27" s="80">
        <f>SUMIF(Tim!GY$5:GY$70,Ins!F27,Tim!$B$5:$B$70)</f>
        <v>0</v>
      </c>
      <c r="BK27" s="80">
        <f>SUMIF(Tim!$GZ$5:$GZ$70,Ins!F27,Tim!$D$5:$D$70)+SUMIF(Tim!$HA$5:$HA$70,Ins!F27,Tim!$D$5:$D$70)+SUMIF(Tim!$HB$5:$HB$70,Ins!F27,Tim!$D$5:$D$70)++SUMIF(Tim!$HC$5:$HC$70,Ins!F27,Tim!$D$5:$D$70)+SUMIF(Tim!$HD$5:$HD$70,Ins!F27,Tim!$D$5:$D$70)+SUMIF(Tim!$HE$5:$HE$70,Ins!F27,Tim!$D$5:$D$70)+SUMIF(Tim!$HF$5:$HF$70,Ins!F27,Tim!$D$5:$D$70)+SUMIF(Tim!$HG$5:$HG$70,Ins!F27,Tim!$D$5:$D$70)+SUMIF(Tim!$HH$5:$HH$70,Ins!F27,Tim!$D$5:$D$70)+SUMIF(Tim!$HI$5:$HI$70,Ins!F27,Tim!$D$5:$D$70)+SUMIF(Tim!$HJ$5:$HJ$70,Ins!F27,Tim!$D$5:$D$70)+SUMIF(Tim!$HK$5:$HK$70,Ins!F27,Tim!$D$5:$D$70)</f>
        <v>0</v>
      </c>
      <c r="BL27" s="80">
        <f>SUMIF(Tim!HL$5:HL$70,Ins!F27,Tim!$C$5:$C$70)</f>
        <v>0</v>
      </c>
      <c r="BM27" s="80">
        <f>SUMIF(Tim!HM$5:HM$70,Ins!F27,Tim!$C$5:$C$70)</f>
        <v>0</v>
      </c>
      <c r="BN27" s="80">
        <f>SUMIF(Tim!HN$5:HN$70,Ins!F27,Tim!$C$5:$C$70)+SUMIF(Tim!HO$5:HO$70,Ins!F27,Tim!$C$5:$C$70)+SUMIF(Tim!HP$5:HP$70,Ins!F27,Tim!$C$5:$C$70)</f>
        <v>0</v>
      </c>
      <c r="BO27" s="81">
        <f>SUMIF(Tim!$HQ$5:$HQ$70,Ins!F27,Tim!$C$5:$C$70)+SUMIF(Tim!$HR$5:$HR$70,Ins!F27,Tim!$C$5:$C$70)+SUMIF(Tim!$HS$5:$HS$70,Ins!F27,Tim!$C$5:$C$70)+SUMIF(Tim!$HT$5:$HT$70,Ins!F27,Tim!$C$5:$C$70)+SUMIF(Tim!$HU$5:$HU$70,Ins!F27,Tim!$C$5:$C$70)</f>
        <v>0</v>
      </c>
      <c r="BP27" s="79">
        <f>SUMIF(Tim!$HV$7:$HV$70,Ins!F27,Tim!$B$7:$B$70)</f>
        <v>0</v>
      </c>
      <c r="BQ27" s="80">
        <f>SUMIF(Tim!$HW$7:$HW$70,Ins!F27,Tim!$B$7:$B$70)+SUMIF(Tim!$HX$7:$HX$70,Ins!F27,Tim!$B$7:$B$70)+SUMIF(Tim!$HY$7:$HY$70,Ins!F27,Tim!$B$7:$B$70)+SUMIF(Tim!$HZ$7:$HZ$70,Ins!F27,Tim!$B$7:$B$70)+SUMIF(Tim!$IA$7:$IA$70,Ins!F27,Tim!$B$7:$B$70)+SUMIF(Tim!$IB$7:$IB$70,Ins!F27,Tim!$B$7:$B$70)</f>
        <v>0</v>
      </c>
      <c r="BR27" s="80">
        <f>SUMIF(Tim!$IC$7:$IC$70,Ins!F27,Tim!$B$7:$B$70)+SUMIF(Tim!$ID$7:$ID$70,Ins!F27,Tim!$B$7:$B$70)+SUMIF(Tim!$IE$7:$IE$70,Ins!F27,Tim!$B$7:$B$70)</f>
        <v>0</v>
      </c>
      <c r="BS27" s="80">
        <f>SUMIF(Tim!$IF$7:$IF$70,Ins!F27,Tim!$B$7:$B$70)+SUMIF(Tim!$IG$7:$IG$70,Ins!F27,Tim!$B$7:$B$70)+SUMIF(Tim!$IH$7:$IH$70,Ins!F27,Tim!$B$7:$B$70)+SUMIF(Tim!$II$7:$II$70,Ins!F27,Tim!$B$7:$B$70)+SUMIF(Tim!$IJ$7:$IJ$70,Ins!F27,Tim!$B$7:$B$70)</f>
        <v>0</v>
      </c>
      <c r="BT27" s="80">
        <f>SUMIF(Tim!$IK$7:$IK$70,Ins!F27,Tim!$B$7:$B$70)+SUMIF(Tim!$IL$7:$IL$70,Ins!F27,Tim!$B$7:$B$70)+SUMIF(Tim!$IM$7:$IM$70,Ins!F27,Tim!$B$7:$B$70)</f>
        <v>0</v>
      </c>
      <c r="BU27" s="80">
        <f>SUMIF(Tim!$IN$7:$IN$70,Ins!F27,Tim!$B$7:$B$70)+SUMIF(Tim!$IO$7:$IO$70,Ins!F27,Tim!$B$7:$B$70)+SUMIF(Tim!$IP$7:$IP$70,Ins!F27,Tim!$B$7:$B$70)</f>
        <v>0</v>
      </c>
      <c r="BV27" s="80">
        <f>SUMIF(Tim!$IQ$7:$IQ$70,Ins!F27,Tim!$B$7:$B$70)</f>
        <v>0</v>
      </c>
      <c r="BW27" s="80">
        <f>SUMIF(Tim!$IR$7:$IR$70,Ins!F27,Tim!$D$7:$D$70)+SUMIF(Tim!$IS$7:$IS$70,Ins!F27,Tim!$D$7:$D$70)+SUMIF(Tim!$IT$7:$IT$70,Ins!F27,Tim!$D$7:$D$70)+SUMIF(Tim!$IU$7:$IU$70,Ins!F27,Tim!$D$7:$D$70)+SUMIF(Tim!$IV$7:$IV$70,Ins!F27,Tim!$D$7:$D$70)+SUMIF(Tim!$IW$7:$IW$70,Ins!F27,Tim!$D$7:$D$70)+SUMIF(Tim!$IX$7:$IX$70,Ins!F27,Tim!$D$7:$D$70)+SUMIF(Tim!$IY$7:$IY$70,Ins!F27,Tim!$D$7:$D$70)+SUMIF(Tim!$IZ$7:$IZ$70,Ins!F27,Tim!$D$7:$D$70)+SUMIF(Tim!$JA$7:$JA$70,Ins!F27,Tim!$D$7:$D$70)+SUMIF(Tim!$JB$7:$JB$70,Ins!F27,Tim!$D$7:$D$70)+SUMIF(Tim!$JC$7:$JC$70,Ins!F27,Tim!$D$7:$D$70)</f>
        <v>0</v>
      </c>
      <c r="BX27" s="80">
        <f>SUMIF(Tim!JD$7:JD$70,Ins!F27,Tim!$C$7:$C$70)</f>
        <v>0</v>
      </c>
      <c r="BY27" s="80">
        <f>SUMIF(Tim!JE$7:JE$70,Ins!F27,Tim!$C$7:$C$70)</f>
        <v>0</v>
      </c>
      <c r="BZ27" s="80">
        <f>SUMIF(Tim!JF$7:JF$70,Ins!F27,Tim!$C$7:$C$70)+SUMIF(Tim!JG$7:JG$70,Ins!F27,Tim!$C$7:$C$70)+SUMIF(Tim!JH$7:JH$70,Ins!F27,Tim!$C$7:$C$70)</f>
        <v>0</v>
      </c>
      <c r="CA27" s="81">
        <f>SUMIF(Tim!$JI$7:$JI$70,Ins!F27,Tim!$C$7:$C$70)++SUMIF(Tim!$JJ$7:$JJ$70,Ins!F27,Tim!$C$7:$C$70)+SUMIF(Tim!$JK$7:$JK$70,Ins!F27,Tim!$C$7:$C$70)+SUMIF(Tim!$JL$7:$JL$70,Ins!F27,Tim!$C$7:$C$70)+SUMIF(Tim!$JM$7:$JM$70,Ins!F27,Tim!$C$7:$C$70)</f>
        <v>0</v>
      </c>
      <c r="CB27" s="79">
        <f>SUMIF(Tim!$JN$7:$JN$70,Ins!F27,Tim!$B$7:$B$70)</f>
        <v>0</v>
      </c>
      <c r="CC27" s="80">
        <f>SUMIF(Tim!$JO$7:$JO$70,Ins!F27,Tim!$B$7:$B$70)+SUMIF(Tim!$JP$7:$JP$70,Ins!F27,Tim!$B$7:$B$70)+SUMIF(Tim!$JQ$7:$JQ$70,Ins!F27,Tim!$B$7:$B$70)+SUMIF(Tim!$JR$7:$JR$70,Ins!F27,Tim!$B$7:$B$70)+SUMIF(Tim!$JS$7:$JS$70,Ins!F27,Tim!$B$7:$B$70)+SUMIF(Tim!$JT$7:$JT$70,Ins!F27,Tim!$B$7:$B$70)</f>
        <v>0</v>
      </c>
      <c r="CD27" s="80">
        <f>SUMIF(Tim!$JW$7:$JW$70,Ins!F27,Tim!$B$7:$B$70)+SUMIF(Tim!$JU$7:$JU$70,Ins!F27,Tim!$B$7:$B$70)+SUMIF(Tim!$JV$7:$JV$70,Ins!F27,Tim!$B$7:$B$70)</f>
        <v>0</v>
      </c>
      <c r="CE27" s="80">
        <f>SUMIF(Tim!$JX$7:$JX$70,Ins!F27,Tim!$B$7:$B$70)+SUMIF(Tim!$JY$7:$JY$70,Ins!F27,Tim!$B$7:$B$70)+SUMIF(Tim!$JZ$7:$JZ$70,Ins!F27,Tim!$B$7:$B$70)+SUMIF(Tim!$KA$7:$KA$70,Ins!F27,Tim!$B$7:$B$70)+SUMIF(Tim!$KB$7:$KB$70,Ins!F27,Tim!$B$7:$B$70)</f>
        <v>0</v>
      </c>
      <c r="CF27" s="80">
        <f>SUMIF(Tim!$KE$7:$KE$70,Ins!F27,Tim!$B$7:$B$70)+SUMIF(Tim!$KC$7:$KC$70,Ins!F27,Tim!$B$7:$B$70)+SUMIF(Tim!$KD$7:$KD$70,Ins!F27,Tim!$B$7:$B$70)</f>
        <v>0</v>
      </c>
      <c r="CG27" s="80">
        <f>SUMIF(Tim!$KF$7:$KF$70,Ins!F27,Tim!$B$7:$B$70)+SUMIF(Tim!$KG$7:$KG$70,Ins!F27,Tim!$B$7:$B$70)+SUMIF(Tim!$KH$7:$KH$70,Ins!F27,Tim!$B$7:$B$70)</f>
        <v>0</v>
      </c>
      <c r="CH27" s="80">
        <f>SUMIF(Tim!$KI$7:$KI$70,Ins!F27,Tim!$B$7:$B$70)</f>
        <v>0</v>
      </c>
      <c r="CI27" s="80">
        <f>SUMIF(Tim!$KJ$7:$KJ$70,Ins!F27,Tim!$D$7:$D$70)+SUMIF(Tim!$KK$7:$KK$70,Ins!F27,Tim!$D$7:$D$70)+SUMIF(Tim!$KL$7:$KL$70,Ins!F27,Tim!$D$7:$D$70)+SUMIF(Tim!$KM$7:$KM$70,Ins!F27,Tim!$D$7:$D$70)+SUMIF(Tim!$KN$7:$KN$70,Ins!F27,Tim!$D$7:$D$70)+SUMIF(Tim!$KO$7:$KO$70,Ins!F27,Tim!$D$7:$D$70)+SUMIF(Tim!$KP$7:$KP$70,Ins!F27,Tim!$D$7:$D$70)+SUMIF(Tim!$KQ$7:$KQ$70,Ins!F27,Tim!$D$7:$D$70)+SUMIF(Tim!$KR$7:$KR$70,Ins!F27,Tim!$D$7:$D$70)+SUMIF(Tim!$KS$7:$KS$70,Ins!F27,Tim!$D$7:$D$70)+SUMIF(Tim!$KT$7:$KT$70,Ins!F27,Tim!$D$7:$D$70)+SUMIF(Tim!$KU$7:$KU$70,Ins!F27,Tim!$D$7:$D$70)</f>
        <v>0</v>
      </c>
      <c r="CJ27" s="80">
        <f>SUMIF(Tim!KV$7:KV$70,Ins!F27,Tim!$C$7:$C$70)</f>
        <v>0</v>
      </c>
      <c r="CK27" s="80">
        <f>SUMIF(Tim!KW$7:KW$70,Ins!F27,Tim!$C$7:$C$70)</f>
        <v>0</v>
      </c>
      <c r="CL27" s="80">
        <f>SUMIF(Tim!KX$7:KX$70,Ins!F27,Tim!$C$7:$C$70)+SUMIF(Tim!KY$7:KY$70,Ins!F27,Tim!$C$7:$C$70)+SUMIF(Tim!KZ$7:KZ$70,Ins!F27,Tim!$C$7:$C$70)</f>
        <v>0</v>
      </c>
      <c r="CM27" s="81">
        <f>SUMIF(Tim!$LA$7:$LA$70,Ins!F27,Tim!$C$7:$C$70)+SUMIF(Tim!$LB$7:$LB$70,Ins!F27,Tim!$C$7:$C$70)+SUMIF(Tim!$LC$7:$LC$70,Ins!F27,Tim!$C$7:$C$70)+SUMIF(Tim!$LD$7:$LD$70,Ins!F27,Tim!$C$7:$C$70)+SUMIF(Tim!$LE$7:$LE$70,Ins!F27,Tim!$C$7:$C$70)</f>
        <v>0</v>
      </c>
      <c r="CN27" s="22"/>
      <c r="CO27" s="180">
        <f t="shared" si="158"/>
        <v>0</v>
      </c>
      <c r="CP27" s="179">
        <f t="shared" si="159"/>
        <v>0</v>
      </c>
      <c r="CQ27" s="179">
        <f t="shared" si="160"/>
        <v>0</v>
      </c>
      <c r="CR27" s="179">
        <f t="shared" si="161"/>
        <v>0</v>
      </c>
      <c r="CS27" s="179">
        <f t="shared" si="162"/>
        <v>0</v>
      </c>
      <c r="CT27" s="179">
        <f t="shared" si="163"/>
        <v>0</v>
      </c>
      <c r="CU27" s="179">
        <f t="shared" si="164"/>
        <v>0</v>
      </c>
      <c r="CV27" s="179">
        <f t="shared" si="165"/>
        <v>0</v>
      </c>
      <c r="CW27" s="179">
        <f t="shared" si="166"/>
        <v>0</v>
      </c>
      <c r="CX27" s="179">
        <f t="shared" si="167"/>
        <v>0</v>
      </c>
      <c r="CY27" s="179">
        <f t="shared" si="172"/>
        <v>0</v>
      </c>
      <c r="CZ27" s="179">
        <f t="shared" si="173"/>
        <v>1</v>
      </c>
      <c r="DA27" s="78">
        <f t="shared" si="174"/>
        <v>1</v>
      </c>
      <c r="DB27" s="16"/>
      <c r="DC27" s="34">
        <f t="shared" si="170"/>
        <v>0</v>
      </c>
      <c r="DD27" s="34">
        <f t="shared" si="15"/>
        <v>0</v>
      </c>
      <c r="DE27" s="34">
        <f t="shared" si="16"/>
        <v>1</v>
      </c>
      <c r="DF27" s="34">
        <f t="shared" si="20"/>
        <v>0</v>
      </c>
      <c r="DG27" s="34">
        <f t="shared" si="17"/>
        <v>0</v>
      </c>
      <c r="DH27" s="34">
        <f t="shared" si="18"/>
        <v>0</v>
      </c>
      <c r="DI27" s="34">
        <f t="shared" si="19"/>
        <v>0</v>
      </c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7"/>
    </row>
    <row r="28" spans="1:125" s="33" customFormat="1" ht="12" customHeight="1">
      <c r="A28" s="10">
        <v>26</v>
      </c>
      <c r="B28" s="229" t="s">
        <v>400</v>
      </c>
      <c r="C28" s="185"/>
      <c r="D28" s="230"/>
      <c r="E28" s="230" t="s">
        <v>373</v>
      </c>
      <c r="F28" s="185" t="s">
        <v>392</v>
      </c>
      <c r="G28" s="205" t="s">
        <v>191</v>
      </c>
      <c r="H28" s="79">
        <f>SUMIF(Tim!$F$7:$F$70,Ins!F28,Tim!$B$7:$B$70)</f>
        <v>0</v>
      </c>
      <c r="I28" s="80">
        <f>SUMIF(Tim!$G$7:$G$70,Ins!F28,Tim!$B$7:$B$70)+SUMIF(Tim!$H$7:$H$70,Ins!F28,Tim!$B$7:$B$70)+SUMIF(Tim!$I$7:$I$70,Ins!F28,Tim!$B$7:$B$70)+SUMIF(Tim!$J$7:$J$70,Ins!F28,Tim!$B$7:$B$70)+SUMIF(Tim!$K$7:$K$70,Ins!F28,Tim!$B$7:$B$70)+SUMIF(Tim!$L$7:$L$70,Ins!F28,Tim!$B$7:$B$70)</f>
        <v>0</v>
      </c>
      <c r="J28" s="80">
        <f>SUMIF(Tim!$M$7:$M$70,Ins!F28,Tim!$B$7:$B$70)+SUMIF(Tim!$O$7:$O$70,Ins!F28,Tim!$B$7:$B$70)+SUMIF(Tim!$N$7:$N$70,Ins!F28,Tim!$B$7:$B$70)</f>
        <v>0</v>
      </c>
      <c r="K28" s="80">
        <f>SUMIF(Tim!$P$7:$P$70,Ins!F28,Tim!$B$7:$B$70)+SUMIF(Tim!$Q$7:$Q$70,Ins!F28,Tim!$B$7:$B$70)+SUMIF(Tim!$R$7:$R$70,Ins!F28,Tim!$B$7:$B$70)+SUMIF(Tim!$S$7:$S$70,Ins!F28,Tim!$B$7:$B$70)+SUMIF(Tim!$T$7:$T$70,Ins!F28,Tim!$B$7:$B$70)</f>
        <v>0</v>
      </c>
      <c r="L28" s="80">
        <f>SUMIF(Tim!$U$7:$U$70,Ins!F28,Tim!$B$7:$B$70)+SUMIF(Tim!$W$7:$W$70,Ins!F28,Tim!$B$7:$B$70)+SUMIF(Tim!$X$7:$X$70,Ins!F28,Tim!$B$7:$B$70)</f>
        <v>0</v>
      </c>
      <c r="M28" s="80">
        <f>SUMIF(Tim!$Y$7:$Y$70,Ins!F28,Tim!$B$7:$B$70)+SUMIF(Tim!$Z$7:$Z$70,Ins!F28,Tim!$B$7:$B$70)+SUMIF(Tim!$AA$7:$AA$70,Ins!F28,Tim!$B$7:$B$70)</f>
        <v>0</v>
      </c>
      <c r="N28" s="80">
        <f>SUMIF(Tim!$AB$7:$AB$70,Ins!F28,Tim!$B$7:$B$70)</f>
        <v>0</v>
      </c>
      <c r="O28" s="80">
        <f>SUMIF(Tim!$AC$7:$AC$70,Ins!F28,Tim!$D$7:$D$70)+SUMIF(Tim!$AD$7:$AD$70,Ins!F28,Tim!$D$7:$D$70)+SUMIF(Tim!$AE$7:$AE$70,Ins!F28,Tim!$D$7:$D$70)+SUMIF(Tim!$AF$7:$AF$70,Ins!F28,Tim!$D$7:$D$70)+SUMIF(Tim!$AG$7:$AG$70,Ins!F28,Tim!$D$7:$D$70)+SUMIF(Tim!$AH$7:$AH$70,Ins!F28,Tim!$D$7:$D$70)+SUMIF(Tim!$AI$7:$AI$70,Ins!F28,Tim!$D$7:$D$70)+SUMIF(Tim!$AJ$7:$AJ$70,Ins!F28,Tim!$D$7:$D$70)+SUMIF(Tim!$AK$7:$AK$70,Ins!F28,Tim!$D$7:$D$70)+SUMIF(Tim!$AL$7:$AL$70,Ins!F28,Tim!$D$7:$D$70)+SUMIF(Tim!$AM$7:$AM$70,Ins!F28,Tim!$D$7:$D$70)+SUMIF(Tim!$AN$7:$AN$70,Ins!F28,Tim!$D$7:$D$70)</f>
        <v>0</v>
      </c>
      <c r="P28" s="80">
        <f>SUMIF(Tim!AO$7:AO$70,Ins!F28,Tim!$C$7:$C$70)</f>
        <v>0</v>
      </c>
      <c r="Q28" s="80">
        <f>SUMIF(Tim!AP$7:AP$70,Ins!F28,Tim!$C$7:$C$70)</f>
        <v>0</v>
      </c>
      <c r="R28" s="80">
        <f>SUMIF(Tim!AQ$7:AQ$70,Ins!F28,Tim!$C$7:$C$70)+SUMIF(Tim!AR$7:AR$70,Ins!F28,Tim!$C$7:$C$70)+SUMIF(Tim!AS$7:AS$70,Ins!F28,Tim!$C$7:$C$70)</f>
        <v>0</v>
      </c>
      <c r="S28" s="236">
        <f>SUMIF(Tim!$AT$7:$AT$70,Ins!F28,Tim!$C$7:$C$70)+SUMIF(Tim!$AU$7:$AU$70,Ins!F28,Tim!$C$7:$C87)+SUMIF(Tim!$AV$7:$AV$70,Ins!F28,Tim!$C$7:$C$70)+SUMIF(Tim!$AW$7:$AW$70,Ins!F28,Tim!$C$7:$C$70)+SUMIF(Tim!$AX$7:$AX$70,Ins!F28,Tim!$C$7:$C$70)</f>
        <v>0</v>
      </c>
      <c r="T28" s="79">
        <f>SUMIF(Tim!$AY$7:$AY$70,Ins!F28,Tim!$B$7:$B$70)</f>
        <v>0</v>
      </c>
      <c r="U28" s="80">
        <f>SUMIF(Tim!$AZ$7:$AZ$70,Ins!F28,Tim!$B$7:$B$70)+SUMIF(Tim!$BA$7:$BA$70,Ins!F28,Tim!$B$7:$B$70)+SUMIF(Tim!$BB$7:$BB$70,Ins!F28,Tim!$B$7:$B$70)+SUMIF(Tim!$BC$7:$BC$70,Ins!F28,Tim!$B$7:$B$70)+SUMIF(Tim!$BD$7:$BD$70,Ins!F28,Tim!$B$7:$B$70)+SUMIF(Tim!$BE$7:$BE$70,Ins!F28,Tim!$B$7:$B$70)</f>
        <v>0</v>
      </c>
      <c r="V28" s="80">
        <f>SUMIF(Tim!$BF$7:$BF$70,Ins!F28,Tim!$B$7:$B$70)+SUMIF(Tim!$BG$7:$BG$70,Ins!F28,Tim!$B$7:$B$70)+SUMIF(Tim!$BH$7:$BH$70,Ins!F28,Tim!$B$7:$B$70)</f>
        <v>0</v>
      </c>
      <c r="W28" s="80">
        <f>SUMIF(Tim!$BI$7:$BI$70,Ins!F28,Tim!$B$7:$B$70)+SUMIF(Tim!$BJ$7:$BJ$70,Ins!F28,Tim!$B$7:$B$70)+SUMIF(Tim!$BK$7:$BK$70,Ins!F28,Tim!$B$7:$B$70)+SUMIF(Tim!$BL$7:$BL$70,Ins!F28,Tim!$B$7:$B$70)+SUMIF(Tim!$BM$7:$BM$70,Ins!F28,Tim!$B$7:$B$70)</f>
        <v>0</v>
      </c>
      <c r="X28" s="80">
        <f>SUMIF(Tim!$BN$7:$BN$70,Ins!F28,Tim!$B$7:$B$70)+SUMIF(Tim!$BO$7:$BO$70,Ins!F28,Tim!$B$7:$B$70)+SUMIF(Tim!$BP$7:$BP$70,Ins!F28,Tim!$B$7:$B$70)</f>
        <v>0</v>
      </c>
      <c r="Y28" s="80">
        <f>SUMIF(Tim!$BQ$7:$BQ$70,Ins!F28,Tim!$B$7:$B$70)+SUMIF(Tim!$BR$7:$BR$70,Ins!F28,Tim!$B$7:$B$70)+SUMIF(Tim!$BS$7:$BS$70,Ins!F28,Tim!$B$7:$B$70)</f>
        <v>0</v>
      </c>
      <c r="Z28" s="80">
        <f>SUMIF(Tim!BT$7:BT$70,Ins!F28,Tim!$B$7:$B$70)</f>
        <v>0</v>
      </c>
      <c r="AA28" s="80">
        <f>SUMIF(Tim!$BU$7:$BU$70,Ins!F28,Tim!$D$7:$D$70)+SUMIF(Tim!$BV$7:$BV$70,Ins!F28,Tim!$D$7:$D$70)+SUMIF(Tim!$BW$7:$BW$70,Ins!F28,Tim!$D$7:$D$70)+SUMIF(Tim!$BX$7:$BX$70,Ins!F28,Tim!$D$7:$D$70)+SUMIF(Tim!$BY$7:$BY$70,Ins!F28,Tim!$D$7:$D$70)+SUMIF(Tim!$BZ$7:$BZ$70,Ins!F28,Tim!$D$7:$D$70)+SUMIF(Tim!$CA$7:$CA$70,Ins!F28,Tim!$D$7:$D$70)+SUMIF(Tim!$CB$7:$CB$70,Ins!F28,Tim!$D$7:$D$70)+SUMIF(Tim!$CC$7:$CC$70,Ins!F28,Tim!$D$7:$D$70)+SUMIF(Tim!$CD$7:$CD$70,Ins!F28,Tim!$D$7:$D$70)+SUMIF(Tim!$CE$7:$CE$70,Ins!F28,Tim!$D$7:$D$70)+SUMIF(Tim!$CF$7:$CF$70,Ins!F28,Tim!$D$7:$D$70)</f>
        <v>0</v>
      </c>
      <c r="AB28" s="80">
        <f>SUMIF(Tim!CG$7:CG$70,Ins!F28,Tim!$C$7:$C$70)</f>
        <v>0</v>
      </c>
      <c r="AC28" s="80">
        <f>SUMIF(Tim!CH$7:CH$70,Ins!F28,Tim!$C$7:$C$70)</f>
        <v>0</v>
      </c>
      <c r="AD28" s="80">
        <f>SUMIF(Tim!CI$7:CI$70,Ins!F28,Tim!$C$7:$C$70)+SUMIF(Tim!CJ$7:CJ$70,Ins!F28,Tim!$C$7:$C$70)+SUMIF(Tim!CK$7:CK$70,Ins!F28,Tim!$C$7:$C$70)</f>
        <v>0</v>
      </c>
      <c r="AE28" s="81">
        <f>SUMIF(Tim!$CL$7:$CL$70,Ins!F28,Tim!$C$7:$C$70)+SUMIF(Tim!$CM$7:$CM$70,Ins!F28,Tim!$C$7:$C$70)+SUMIF(Tim!$CN$7:$CN$70,Ins!F28,Tim!$C$7:$C$70)+SUMIF(Tim!$CO$7:$CO$70,Ins!F28,Tim!$C$7:$C$70)+SUMIF(Tim!$CP$7:$CP$70,Ins!F28,Tim!$C$7:$C$70)</f>
        <v>0</v>
      </c>
      <c r="AF28" s="79">
        <f>SUMIF(Tim!$CQ$7:$CQ$70,Ins!F28,Tim!$B$7:$B$70)</f>
        <v>0</v>
      </c>
      <c r="AG28" s="80">
        <f>SUMIF(Tim!$CR$7:$CR$70,Ins!F28,Tim!$B$7:$B$70)+SUMIF(Tim!$CS$7:$CS$70,Ins!F28,Tim!$B$7:$B$70)+SUMIF(Tim!$CT$7:$CT$70,Ins!F28,Tim!$B$7:$B$70)+SUMIF(Tim!$CU$7:$CU$70,Ins!F28,Tim!$B$7:$B$70)+SUMIF(Tim!$CV$7:$CV$70,Ins!F28,Tim!$B$7:$B$70)+SUMIF(Tim!$CW$7:$CW$70,Ins!F28,Tim!$B$7:$B$70)</f>
        <v>0</v>
      </c>
      <c r="AH28" s="80">
        <f>SUMIF(Tim!$CX$7:$CX$70,Ins!F28,Tim!$B$7:$B$70)+SUMIF(Tim!$CY$7:$CY$70,Ins!F28,Tim!$B$7:$B$70)+SUMIF(Tim!$CZ$7:$CZ$70,Ins!F28,Tim!$B$7:$B$70)</f>
        <v>0</v>
      </c>
      <c r="AI28" s="80">
        <f>SUMIF(Tim!$DA$7:$DA$70,Ins!F28,Tim!$B$7:$B$70)+SUMIF(Tim!$DB$7:$DB$70,Ins!F28,Tim!$B$7:$B$70)+SUMIF(Tim!$DC$7:$DC$70,Ins!F28,Tim!$B$7:$B$70)+SUMIF(Tim!$DD$7:$DD$70,Ins!F28,Tim!$B$7:$B$70)+SUMIF(Tim!$DE$7:$DE$70,Ins!F28,Tim!$B$7:$B$70)</f>
        <v>0</v>
      </c>
      <c r="AJ28" s="80">
        <f>SUMIF(Tim!$DF$7:$DF$70,Ins!F28,Tim!$B$7:$B$70)+SUMIF(Tim!$DG$7:$DG$70,Ins!F28,Tim!$B$7:$B$70)+SUMIF(Tim!$DH$7:$DH$70,Ins!F28,Tim!$B$7:$B$70)</f>
        <v>0</v>
      </c>
      <c r="AK28" s="80">
        <f>SUMIF(Tim!DI$7:DI$70,Ins!F28,Tim!$B$7:$B$70)+SUMIF(Tim!DM$7:DM$70,Ins!F28,Tim!$B$7:$B$70)+SUMIF(Tim!DN$7:DN$70,Ins!F28,Tim!$B$7:$B$70)</f>
        <v>0</v>
      </c>
      <c r="AL28" s="80">
        <f>SUMIF(Tim!DO$7:DO$70,Ins!F28,Tim!$B$7:$B$70)</f>
        <v>0</v>
      </c>
      <c r="AM28" s="80">
        <f>SUMIF(Tim!$DP$7:$DP$70,Ins!F28,Tim!$D$7:$D$70)+SUMIF(Tim!$DQ$7:$DQ$70,Ins!F28,Tim!$D$7:$D$70)+SUMIF(Tim!$DR$7:$DR$70,Ins!F28,Tim!$D$7:$D$70)+SUMIF(Tim!$DS$7:$DS$70,Ins!F28,Tim!$D$7:$D$70)+SUMIF(Tim!$DT$7:$DT$70,Ins!F28,Tim!$D$7:$D$70)+SUMIF(Tim!$DU$7:$DU$70,Ins!F28,Tim!$D$7:$D$70)+SUMIF(Tim!$DV$7:$DV$70,Ins!F28,Tim!$D$7:$D$70)+SUMIF(Tim!$DW$7:$DW$70,Ins!F28,Tim!$D$7:$D$70)+SUMIF(Tim!$DX$7:$DX$70,Ins!F28,Tim!$D$7:$D$70)+SUMIF(Tim!$DY$7:$DY$70,Ins!F28,Tim!$D$7:$D$70)+SUMIF(Tim!$DZ$7:$DZ$70,Ins!F28,Tim!$D$7:$D$70)+SUMIF(Tim!$EA$7:$EA$70,Ins!F28,Tim!$D$7:$D$70)</f>
        <v>0</v>
      </c>
      <c r="AN28" s="80">
        <f>SUMIF(Tim!EB$7:EB$70,Ins!F28,Tim!$C$7:$C$70)</f>
        <v>0</v>
      </c>
      <c r="AO28" s="80">
        <f>SUMIF(Tim!EC$7:EC$70,Ins!F28,Tim!$C$7:$C$70)</f>
        <v>0</v>
      </c>
      <c r="AP28" s="80">
        <f>SUMIF(Tim!ED$7:ED$70,Ins!F28,Tim!$C$7:$C$70)+SUMIF(Tim!EE$7:EE$70,Ins!F28,Tim!$C$7:$C$70)+SUMIF(Tim!EF$7:EF$70,Ins!F28,Tim!$C$7:$C$70)</f>
        <v>0</v>
      </c>
      <c r="AQ28" s="81">
        <f>SUMIF(Tim!$EG$7:$EG$70,Ins!F28,Tim!$C$7:$C$70)+SUMIF(Tim!$EH$7:$EH$70,Ins!F28,Tim!$C$7:$C$70)+SUMIF(Tim!$EI$7:$EI$70,Ins!F28,Tim!$C$7:$C$70)+SUMIF(Tim!$EJ$7:$EJ$70,Ins!F28,Tim!$C$7:$C$70)+SUMIF(Tim!$EK$7:$EK$70,Ins!F28,Tim!$C$7:$C$70)</f>
        <v>0</v>
      </c>
      <c r="AR28" s="79">
        <f>SUMIF(Tim!$EL$5:$EL$70,Ins!F28,Tim!$B$5:$B$70)</f>
        <v>0</v>
      </c>
      <c r="AS28" s="80">
        <f>SUMIF(Tim!$EM$5:$EM$70,Ins!F28,Tim!$B$5:$B$70)+SUMIF(Tim!$EN$5:$EN$70,Ins!F28,Tim!$B$5:$B$70)+SUMIF(Tim!$EO$5:$EO$70,Ins!F28,Tim!$B$5:$B$70)+SUMIF(Tim!$EP$5:$EP$70,Ins!F28,Tim!$B$5:$B$70)+SUMIF(Tim!$EQ$5:$EQ$70,Ins!F28,Tim!$B$5:$B$70)+SUMIF(Tim!$ER$5:$ER$70,Ins!F28,Tim!$B$5:$B$70)</f>
        <v>0</v>
      </c>
      <c r="AT28" s="80">
        <f>SUMIF(Tim!$ES$5:$ES$70,Ins!F28,Tim!$B$5:$B$70)+SUMIF(Tim!$ET$5:$ET$70,Ins!F28,Tim!$B$5:$B$70)+SUMIF(Tim!$EU$5:$EU$70,Ins!F28,Tim!$B$5:$B$70)</f>
        <v>0</v>
      </c>
      <c r="AU28" s="80">
        <f>SUMIF(Tim!$EV$5:$EV$70,Ins!F28,Tim!$B$5:$B$70)+SUMIF(Tim!$EW$5:$EW$70,Ins!F28,Tim!$B$5:$B$70)+SUMIF(Tim!$EX$5:$EX$70,Ins!F28,Tim!$B$5:$B$70)+SUMIF(Tim!$EY$5:$EY$70,Ins!F28,Tim!$B$5:$B$70)+SUMIF(Tim!$EZ$5:$EZ$70,Ins!F28,Tim!$B$5:$B$70)</f>
        <v>0</v>
      </c>
      <c r="AV28" s="80">
        <f>SUMIF(Tim!$FA$5:$FA$70,Ins!F28,Tim!$B$5:$B$70)+SUMIF(Tim!$FB$5:$FB$70,Ins!F28,Tim!$B$5:$B$70)+SUMIF(Tim!$FC$5:$FC$70,Ins!F28,Tim!$B$5:$B$70)</f>
        <v>0</v>
      </c>
      <c r="AW28" s="80">
        <f>SUMIF(Tim!FD$5:FD$70,Ins!F28,Tim!$B$5:$B$70)+SUMIF(Tim!FE$5:FE$70,Ins!F28,Tim!$B$5:$B$70)+SUMIF(Tim!FF$5:FF$70,Ins!F28,Tim!$B$5:$B$70)</f>
        <v>0</v>
      </c>
      <c r="AX28" s="80">
        <f>SUMIF(Tim!FG$5:FG$70,Ins!F28,Tim!$B$5:$B$70)</f>
        <v>0</v>
      </c>
      <c r="AY28" s="80">
        <f>SUMIF(Tim!$FH$5:$FH$70,Ins!F28,Tim!$D$5:$D$70)+SUMIF(Tim!$FI$5:$FI$70,Ins!F28,Tim!$D$5:$D$70)+SUMIF(Tim!$FJ$5:$FJ$70,Ins!F28,Tim!$D$5:$D$70)+SUMIF(Tim!$FK$5:$FK$70,Ins!F28,Tim!$D$5:$D$70)+SUMIF(Tim!$FL$5:$FL$70,Ins!F28,Tim!$D$5:$D$70)+SUMIF(Tim!$FM$5:$FM$70,Ins!F28,Tim!$D$5:$D$70)+SUMIF(Tim!$FN$5:$FN$70,Ins!F28,Tim!$D$5:$D$70)+SUMIF(Tim!$FO$5:$FO$70,Ins!F28,Tim!$D$5:$D$70)+SUMIF(Tim!$FP$5:$FP$70,Ins!F28,Tim!$D$5:$D$70)+SUMIF(Tim!$FQ$5:$FQ$70,Ins!F28,Tim!$D$5:$D$70)+SUMIF(Tim!$FR$5:$FR$70,Ins!F28,Tim!$D$5:$D$70)+SUMIF(Tim!$FS$5:$FS$70,Ins!F28,Tim!$D$5:$D$70)</f>
        <v>0</v>
      </c>
      <c r="AZ28" s="80">
        <f>SUMIF(Tim!FT$5:FT$70,Ins!F28,Tim!$C$5:$C$70)</f>
        <v>0</v>
      </c>
      <c r="BA28" s="80">
        <f>SUMIF(Tim!FU$5:FU$70,Ins!F28,Tim!$C$5:$C$70)</f>
        <v>0</v>
      </c>
      <c r="BB28" s="80">
        <f>SUMIF(Tim!FV$5:FV$70,Ins!F28,Tim!$C$5:$C$70)+SUMIF(Tim!FW$5:FW$70,Ins!F28,Tim!$C$5:$C$70)+SUMIF(Tim!FX$5:FX$70,Ins!F28,Tim!$C$5:$C$70)</f>
        <v>0</v>
      </c>
      <c r="BC28" s="81">
        <f>SUMIF(Tim!$FY$5:$FY$70,Ins!F28,Tim!$C$5:$C$70)+SUMIF(Tim!$FZ$5:$FZ$70,Ins!F28,Tim!$C$5:$C$70)+SUMIF(Tim!$GA$5:$GA$70,Ins!F28,Tim!$C$5:$C$70)+SUMIF(Tim!$GB$5:$GB$70,Ins!F28,Tim!$C$5:$C$70)+SUMIF(Tim!$GC$5:$GC$70,Ins!F28,Tim!$C$5:$C$70)</f>
        <v>0</v>
      </c>
      <c r="BD28" s="79">
        <f>SUMIF(Tim!$GD$5:$GD$70,Ins!F28,Tim!$B$5:$B$70)</f>
        <v>0</v>
      </c>
      <c r="BE28" s="80">
        <f>SUMIF(Tim!$GE$5:$GE$70,Ins!F28,Tim!$B$5:$B$70)+SUMIF(Tim!$GF$5:$GF$70,Ins!F28,Tim!$B$5:$B$70)+SUMIF(Tim!$GG$5:$GG$70,Ins!F28,Tim!$B$5:$B$70)+SUMIF(Tim!$GH$5:$GH$70,Ins!F28,Tim!$B$5:$B$70)+SUMIF(Tim!$GI$5:$GI$70,Ins!F28,Tim!$B$5:$B$70)+SUMIF(Tim!$GJ$5:$GJ$70,Ins!F28,Tim!$B$5:$B$70)</f>
        <v>0</v>
      </c>
      <c r="BF28" s="80">
        <f>SUMIF(Tim!$GK$5:$GK$70,Ins!F28,Tim!$B$5:$B$70)+SUMIF(Tim!$GL$5:$GL$70,Ins!F28,Tim!$B$5:$B$70)+SUMIF(Tim!$GM$5:$GM$70,Ins!F28,Tim!$B$5:$B$70)</f>
        <v>0</v>
      </c>
      <c r="BG28" s="80">
        <f>SUMIF(Tim!$GN$5:$GN$70,Ins!F28,Tim!$B$5:$B$70)+SUMIF(Tim!$GO$5:$GO$70,Ins!F28,Tim!$B$5:$B$70)+SUMIF(Tim!$GP$5:$GP$70,Ins!F28,Tim!$B$5:$B$70)+SUMIF(Tim!$GQ$5:$GQ$70,Ins!F28,Tim!$B$5:$B$70)+SUMIF(Tim!$GR$5:$GR$70,Ins!F28,Tim!$B$5:$B$70)</f>
        <v>0</v>
      </c>
      <c r="BH28" s="80">
        <f>SUMIF(Tim!$GS$5:$GS$70,Ins!F28,Tim!$B$5:$B$70)+SUMIF(Tim!$GT$5:$GT$70,Ins!F28,Tim!$B$5:$B$70)+SUMIF(Tim!$GU$5:$GU$70,Ins!F28,Tim!$B$5:$B$70)</f>
        <v>0</v>
      </c>
      <c r="BI28" s="80">
        <f>SUMIF(Tim!GV$5:GV$70,Ins!F28,Tim!$B$5:$B$70)+SUMIF(Tim!GW$5:GW$70,Ins!F28,Tim!$B$5:$B$70)+SUMIF(Tim!GX$5:GX$70,Ins!F28,Tim!$B$5:$B$70)</f>
        <v>0</v>
      </c>
      <c r="BJ28" s="80">
        <f>SUMIF(Tim!GY$5:GY$70,Ins!F28,Tim!$B$5:$B$70)</f>
        <v>0</v>
      </c>
      <c r="BK28" s="80">
        <f>SUMIF(Tim!$GZ$5:$GZ$70,Ins!F28,Tim!$D$5:$D$70)+SUMIF(Tim!$HA$5:$HA$70,Ins!F28,Tim!$D$5:$D$70)+SUMIF(Tim!$HB$5:$HB$70,Ins!F28,Tim!$D$5:$D$70)++SUMIF(Tim!$HC$5:$HC$70,Ins!F28,Tim!$D$5:$D$70)+SUMIF(Tim!$HD$5:$HD$70,Ins!F28,Tim!$D$5:$D$70)+SUMIF(Tim!$HE$5:$HE$70,Ins!F28,Tim!$D$5:$D$70)+SUMIF(Tim!$HF$5:$HF$70,Ins!F28,Tim!$D$5:$D$70)+SUMIF(Tim!$HG$5:$HG$70,Ins!F28,Tim!$D$5:$D$70)+SUMIF(Tim!$HH$5:$HH$70,Ins!F28,Tim!$D$5:$D$70)+SUMIF(Tim!$HI$5:$HI$70,Ins!F28,Tim!$D$5:$D$70)+SUMIF(Tim!$HJ$5:$HJ$70,Ins!F28,Tim!$D$5:$D$70)+SUMIF(Tim!$HK$5:$HK$70,Ins!F28,Tim!$D$5:$D$70)</f>
        <v>0</v>
      </c>
      <c r="BL28" s="80">
        <f>SUMIF(Tim!HL$5:HL$70,Ins!F28,Tim!$C$5:$C$70)</f>
        <v>0</v>
      </c>
      <c r="BM28" s="80">
        <f>SUMIF(Tim!HM$5:HM$70,Ins!F28,Tim!$C$5:$C$70)</f>
        <v>0</v>
      </c>
      <c r="BN28" s="80">
        <f>SUMIF(Tim!HN$5:HN$70,Ins!F28,Tim!$C$5:$C$70)+SUMIF(Tim!HO$5:HO$70,Ins!F28,Tim!$C$5:$C$70)+SUMIF(Tim!HP$5:HP$70,Ins!F28,Tim!$C$5:$C$70)</f>
        <v>0</v>
      </c>
      <c r="BO28" s="81">
        <f>SUMIF(Tim!$HQ$5:$HQ$70,Ins!F28,Tim!$C$5:$C$70)+SUMIF(Tim!$HR$5:$HR$70,Ins!F28,Tim!$C$5:$C$70)+SUMIF(Tim!$HS$5:$HS$70,Ins!F28,Tim!$C$5:$C$70)+SUMIF(Tim!$HT$5:$HT$70,Ins!F28,Tim!$C$5:$C$70)+SUMIF(Tim!$HU$5:$HU$70,Ins!F28,Tim!$C$5:$C$70)</f>
        <v>0</v>
      </c>
      <c r="BP28" s="79">
        <f>SUMIF(Tim!$HV$7:$HV$70,Ins!F28,Tim!$B$7:$B$70)</f>
        <v>0</v>
      </c>
      <c r="BQ28" s="80">
        <f>SUMIF(Tim!$HW$7:$HW$70,Ins!F28,Tim!$B$7:$B$70)+SUMIF(Tim!$HX$7:$HX$70,Ins!F28,Tim!$B$7:$B$70)+SUMIF(Tim!$HY$7:$HY$70,Ins!F28,Tim!$B$7:$B$70)+SUMIF(Tim!$HZ$7:$HZ$70,Ins!F28,Tim!$B$7:$B$70)+SUMIF(Tim!$IA$7:$IA$70,Ins!F28,Tim!$B$7:$B$70)+SUMIF(Tim!$IB$7:$IB$70,Ins!F28,Tim!$B$7:$B$70)</f>
        <v>0</v>
      </c>
      <c r="BR28" s="80">
        <f>SUMIF(Tim!$IC$7:$IC$70,Ins!F28,Tim!$B$7:$B$70)+SUMIF(Tim!$ID$7:$ID$70,Ins!F28,Tim!$B$7:$B$70)+SUMIF(Tim!$IE$7:$IE$70,Ins!F28,Tim!$B$7:$B$70)</f>
        <v>0</v>
      </c>
      <c r="BS28" s="80">
        <f>SUMIF(Tim!$IF$7:$IF$70,Ins!F28,Tim!$B$7:$B$70)+SUMIF(Tim!$IG$7:$IG$70,Ins!F28,Tim!$B$7:$B$70)+SUMIF(Tim!$IH$7:$IH$70,Ins!F28,Tim!$B$7:$B$70)+SUMIF(Tim!$II$7:$II$70,Ins!F28,Tim!$B$7:$B$70)+SUMIF(Tim!$IJ$7:$IJ$70,Ins!F28,Tim!$B$7:$B$70)</f>
        <v>0</v>
      </c>
      <c r="BT28" s="80">
        <f>SUMIF(Tim!$IK$7:$IK$70,Ins!F28,Tim!$B$7:$B$70)+SUMIF(Tim!$IL$7:$IL$70,Ins!F28,Tim!$B$7:$B$70)+SUMIF(Tim!$IM$7:$IM$70,Ins!F28,Tim!$B$7:$B$70)</f>
        <v>0</v>
      </c>
      <c r="BU28" s="80">
        <f>SUMIF(Tim!$IN$7:$IN$70,Ins!F28,Tim!$B$7:$B$70)+SUMIF(Tim!$IO$7:$IO$70,Ins!F28,Tim!$B$7:$B$70)+SUMIF(Tim!$IP$7:$IP$70,Ins!F28,Tim!$B$7:$B$70)</f>
        <v>0</v>
      </c>
      <c r="BV28" s="80">
        <f>SUMIF(Tim!$IQ$7:$IQ$70,Ins!F28,Tim!$B$7:$B$70)</f>
        <v>0</v>
      </c>
      <c r="BW28" s="80">
        <f>SUMIF(Tim!$IR$7:$IR$70,Ins!F28,Tim!$D$7:$D$70)+SUMIF(Tim!$IS$7:$IS$70,Ins!F28,Tim!$D$7:$D$70)+SUMIF(Tim!$IT$7:$IT$70,Ins!F28,Tim!$D$7:$D$70)+SUMIF(Tim!$IU$7:$IU$70,Ins!F28,Tim!$D$7:$D$70)+SUMIF(Tim!$IV$7:$IV$70,Ins!F28,Tim!$D$7:$D$70)+SUMIF(Tim!$IW$7:$IW$70,Ins!F28,Tim!$D$7:$D$70)+SUMIF(Tim!$IX$7:$IX$70,Ins!F28,Tim!$D$7:$D$70)+SUMIF(Tim!$IY$7:$IY$70,Ins!F28,Tim!$D$7:$D$70)+SUMIF(Tim!$IZ$7:$IZ$70,Ins!F28,Tim!$D$7:$D$70)+SUMIF(Tim!$JA$7:$JA$70,Ins!F28,Tim!$D$7:$D$70)+SUMIF(Tim!$JB$7:$JB$70,Ins!F28,Tim!$D$7:$D$70)+SUMIF(Tim!$JC$7:$JC$70,Ins!F28,Tim!$D$7:$D$70)</f>
        <v>0</v>
      </c>
      <c r="BX28" s="80">
        <f>SUMIF(Tim!JD$7:JD$70,Ins!F28,Tim!$C$7:$C$70)</f>
        <v>0</v>
      </c>
      <c r="BY28" s="80">
        <f>SUMIF(Tim!JE$7:JE$70,Ins!F28,Tim!$C$7:$C$70)</f>
        <v>0</v>
      </c>
      <c r="BZ28" s="80">
        <f>SUMIF(Tim!JF$7:JF$70,Ins!F28,Tim!$C$7:$C$70)+SUMIF(Tim!JG$7:JG$70,Ins!F28,Tim!$C$7:$C$70)+SUMIF(Tim!JH$7:JH$70,Ins!F28,Tim!$C$7:$C$70)</f>
        <v>0</v>
      </c>
      <c r="CA28" s="81">
        <f>SUMIF(Tim!$JI$7:$JI$70,Ins!F28,Tim!$C$7:$C$70)++SUMIF(Tim!$JJ$7:$JJ$70,Ins!F28,Tim!$C$7:$C$70)+SUMIF(Tim!$JK$7:$JK$70,Ins!F28,Tim!$C$7:$C$70)+SUMIF(Tim!$JL$7:$JL$70,Ins!F28,Tim!$C$7:$C$70)+SUMIF(Tim!$JM$7:$JM$70,Ins!F28,Tim!$C$7:$C$70)</f>
        <v>1</v>
      </c>
      <c r="CB28" s="79">
        <f>SUMIF(Tim!$JN$7:$JN$70,Ins!F28,Tim!$B$7:$B$70)</f>
        <v>0</v>
      </c>
      <c r="CC28" s="80">
        <f>SUMIF(Tim!$JO$7:$JO$70,Ins!F28,Tim!$B$7:$B$70)+SUMIF(Tim!$JP$7:$JP$70,Ins!F28,Tim!$B$7:$B$70)+SUMIF(Tim!$JQ$7:$JQ$70,Ins!F28,Tim!$B$7:$B$70)+SUMIF(Tim!$JR$7:$JR$70,Ins!F28,Tim!$B$7:$B$70)+SUMIF(Tim!$JS$7:$JS$70,Ins!F28,Tim!$B$7:$B$70)+SUMIF(Tim!$JT$7:$JT$70,Ins!F28,Tim!$B$7:$B$70)</f>
        <v>0</v>
      </c>
      <c r="CD28" s="80">
        <f>SUMIF(Tim!$JW$7:$JW$70,Ins!F28,Tim!$B$7:$B$70)+SUMIF(Tim!$JU$7:$JU$70,Ins!F28,Tim!$B$7:$B$70)+SUMIF(Tim!$JV$7:$JV$70,Ins!F28,Tim!$B$7:$B$70)</f>
        <v>0</v>
      </c>
      <c r="CE28" s="80">
        <f>SUMIF(Tim!$JX$7:$JX$70,Ins!F28,Tim!$B$7:$B$70)+SUMIF(Tim!$JY$7:$JY$70,Ins!F28,Tim!$B$7:$B$70)+SUMIF(Tim!$JZ$7:$JZ$70,Ins!F28,Tim!$B$7:$B$70)+SUMIF(Tim!$KA$7:$KA$70,Ins!F28,Tim!$B$7:$B$70)+SUMIF(Tim!$KB$7:$KB$70,Ins!F28,Tim!$B$7:$B$70)</f>
        <v>0</v>
      </c>
      <c r="CF28" s="80">
        <f>SUMIF(Tim!$KE$7:$KE$70,Ins!F28,Tim!$B$7:$B$70)+SUMIF(Tim!$KC$7:$KC$70,Ins!F28,Tim!$B$7:$B$70)+SUMIF(Tim!$KD$7:$KD$70,Ins!F28,Tim!$B$7:$B$70)</f>
        <v>0</v>
      </c>
      <c r="CG28" s="80">
        <f>SUMIF(Tim!$KF$7:$KF$70,Ins!F28,Tim!$B$7:$B$70)+SUMIF(Tim!$KG$7:$KG$70,Ins!F28,Tim!$B$7:$B$70)+SUMIF(Tim!$KH$7:$KH$70,Ins!F28,Tim!$B$7:$B$70)</f>
        <v>0</v>
      </c>
      <c r="CH28" s="80">
        <f>SUMIF(Tim!$KI$7:$KI$70,Ins!F28,Tim!$B$7:$B$70)</f>
        <v>0</v>
      </c>
      <c r="CI28" s="80">
        <f>SUMIF(Tim!$KJ$7:$KJ$70,Ins!F28,Tim!$D$7:$D$70)+SUMIF(Tim!$KK$7:$KK$70,Ins!F28,Tim!$D$7:$D$70)+SUMIF(Tim!$KL$7:$KL$70,Ins!F28,Tim!$D$7:$D$70)+SUMIF(Tim!$KM$7:$KM$70,Ins!F28,Tim!$D$7:$D$70)+SUMIF(Tim!$KN$7:$KN$70,Ins!F28,Tim!$D$7:$D$70)+SUMIF(Tim!$KO$7:$KO$70,Ins!F28,Tim!$D$7:$D$70)+SUMIF(Tim!$KP$7:$KP$70,Ins!F28,Tim!$D$7:$D$70)+SUMIF(Tim!$KQ$7:$KQ$70,Ins!F28,Tim!$D$7:$D$70)+SUMIF(Tim!$KR$7:$KR$70,Ins!F28,Tim!$D$7:$D$70)+SUMIF(Tim!$KS$7:$KS$70,Ins!F28,Tim!$D$7:$D$70)+SUMIF(Tim!$KT$7:$KT$70,Ins!F28,Tim!$D$7:$D$70)+SUMIF(Tim!$KU$7:$KU$70,Ins!F28,Tim!$D$7:$D$70)</f>
        <v>0</v>
      </c>
      <c r="CJ28" s="80">
        <f>SUMIF(Tim!KV$7:KV$70,Ins!F28,Tim!$C$7:$C$70)</f>
        <v>0</v>
      </c>
      <c r="CK28" s="80">
        <f>SUMIF(Tim!KW$7:KW$70,Ins!F28,Tim!$C$7:$C$70)</f>
        <v>0</v>
      </c>
      <c r="CL28" s="80">
        <f>SUMIF(Tim!KX$7:KX$70,Ins!F28,Tim!$C$7:$C$70)+SUMIF(Tim!KY$7:KY$70,Ins!F28,Tim!$C$7:$C$70)+SUMIF(Tim!KZ$7:KZ$70,Ins!F28,Tim!$C$7:$C$70)</f>
        <v>0</v>
      </c>
      <c r="CM28" s="81">
        <f>SUMIF(Tim!$LA$7:$LA$70,Ins!F28,Tim!$C$7:$C$70)+SUMIF(Tim!$LB$7:$LB$70,Ins!F28,Tim!$C$7:$C$70)+SUMIF(Tim!$LC$7:$LC$70,Ins!F28,Tim!$C$7:$C$70)+SUMIF(Tim!$LD$7:$LD$70,Ins!F28,Tim!$C$7:$C$70)+SUMIF(Tim!$LE$7:$LE$70,Ins!F28,Tim!$C$7:$C$70)</f>
        <v>1</v>
      </c>
      <c r="CN28" s="22"/>
      <c r="CO28" s="180">
        <f t="shared" si="158"/>
        <v>0</v>
      </c>
      <c r="CP28" s="179">
        <f t="shared" si="159"/>
        <v>0</v>
      </c>
      <c r="CQ28" s="179">
        <f t="shared" si="160"/>
        <v>0</v>
      </c>
      <c r="CR28" s="179">
        <f t="shared" si="161"/>
        <v>0</v>
      </c>
      <c r="CS28" s="179">
        <f t="shared" si="162"/>
        <v>0</v>
      </c>
      <c r="CT28" s="179">
        <f t="shared" si="163"/>
        <v>0</v>
      </c>
      <c r="CU28" s="179">
        <f t="shared" si="164"/>
        <v>0</v>
      </c>
      <c r="CV28" s="179">
        <f t="shared" si="165"/>
        <v>0</v>
      </c>
      <c r="CW28" s="179">
        <f t="shared" si="166"/>
        <v>0</v>
      </c>
      <c r="CX28" s="179">
        <f t="shared" si="167"/>
        <v>0</v>
      </c>
      <c r="CY28" s="179">
        <f t="shared" si="172"/>
        <v>0</v>
      </c>
      <c r="CZ28" s="179">
        <f t="shared" si="173"/>
        <v>2</v>
      </c>
      <c r="DA28" s="78">
        <f t="shared" si="174"/>
        <v>2</v>
      </c>
      <c r="DB28" s="36"/>
      <c r="DC28" s="34">
        <f t="shared" si="170"/>
        <v>0</v>
      </c>
      <c r="DD28" s="34">
        <f t="shared" si="15"/>
        <v>0</v>
      </c>
      <c r="DE28" s="34">
        <f t="shared" si="16"/>
        <v>0</v>
      </c>
      <c r="DF28" s="34">
        <f t="shared" si="20"/>
        <v>0</v>
      </c>
      <c r="DG28" s="34">
        <f t="shared" si="17"/>
        <v>0</v>
      </c>
      <c r="DH28" s="34">
        <f t="shared" si="18"/>
        <v>1</v>
      </c>
      <c r="DI28" s="34">
        <f t="shared" si="19"/>
        <v>1</v>
      </c>
      <c r="DJ28" s="36"/>
      <c r="DK28" s="36"/>
      <c r="DL28" s="36"/>
      <c r="DM28" s="36"/>
      <c r="DN28" s="36"/>
      <c r="DO28" s="36"/>
      <c r="DP28" s="36"/>
      <c r="DQ28" s="36"/>
      <c r="DR28" s="36"/>
      <c r="DS28" s="36"/>
      <c r="DT28" s="36"/>
      <c r="DU28" s="37"/>
    </row>
    <row r="29" spans="1:125" ht="12" customHeight="1">
      <c r="A29" s="10">
        <v>27</v>
      </c>
      <c r="B29" s="229" t="s">
        <v>399</v>
      </c>
      <c r="C29" s="185"/>
      <c r="D29" s="230"/>
      <c r="E29" s="230" t="s">
        <v>373</v>
      </c>
      <c r="F29" s="185" t="s">
        <v>380</v>
      </c>
      <c r="G29" s="205" t="s">
        <v>191</v>
      </c>
      <c r="H29" s="79">
        <f>SUMIF(Tim!$F$7:$F$70,Ins!F29,Tim!$B$7:$B$70)</f>
        <v>0</v>
      </c>
      <c r="I29" s="80">
        <f>SUMIF(Tim!$G$7:$G$70,Ins!F29,Tim!$B$7:$B$70)+SUMIF(Tim!$H$7:$H$70,Ins!F29,Tim!$B$7:$B$70)+SUMIF(Tim!$I$7:$I$70,Ins!F29,Tim!$B$7:$B$70)+SUMIF(Tim!$J$7:$J$70,Ins!F29,Tim!$B$7:$B$70)+SUMIF(Tim!$K$7:$K$70,Ins!F29,Tim!$B$7:$B$70)+SUMIF(Tim!$L$7:$L$70,Ins!F29,Tim!$B$7:$B$70)</f>
        <v>0</v>
      </c>
      <c r="J29" s="80">
        <f>SUMIF(Tim!$M$7:$M$70,Ins!F29,Tim!$B$7:$B$70)+SUMIF(Tim!$O$7:$O$70,Ins!F29,Tim!$B$7:$B$70)+SUMIF(Tim!$N$7:$N$70,Ins!F29,Tim!$B$7:$B$70)</f>
        <v>0</v>
      </c>
      <c r="K29" s="80">
        <f>SUMIF(Tim!$P$7:$P$70,Ins!F29,Tim!$B$7:$B$70)+SUMIF(Tim!$Q$7:$Q$70,Ins!F29,Tim!$B$7:$B$70)+SUMIF(Tim!$R$7:$R$70,Ins!F29,Tim!$B$7:$B$70)+SUMIF(Tim!$S$7:$S$70,Ins!F29,Tim!$B$7:$B$70)+SUMIF(Tim!$T$7:$T$70,Ins!F29,Tim!$B$7:$B$70)</f>
        <v>0</v>
      </c>
      <c r="L29" s="80">
        <f>SUMIF(Tim!$U$7:$U$70,Ins!F29,Tim!$B$7:$B$70)+SUMIF(Tim!$W$7:$W$70,Ins!F29,Tim!$B$7:$B$70)+SUMIF(Tim!$X$7:$X$70,Ins!F29,Tim!$B$7:$B$70)</f>
        <v>0</v>
      </c>
      <c r="M29" s="80">
        <f>SUMIF(Tim!$Y$7:$Y$70,Ins!F29,Tim!$B$7:$B$70)+SUMIF(Tim!$Z$7:$Z$70,Ins!F29,Tim!$B$7:$B$70)+SUMIF(Tim!$AA$7:$AA$70,Ins!F29,Tim!$B$7:$B$70)</f>
        <v>0</v>
      </c>
      <c r="N29" s="80">
        <f>SUMIF(Tim!$AB$7:$AB$70,Ins!F29,Tim!$B$7:$B$70)</f>
        <v>0</v>
      </c>
      <c r="O29" s="80">
        <f>SUMIF(Tim!$AC$7:$AC$70,Ins!F29,Tim!$D$7:$D$70)+SUMIF(Tim!$AD$7:$AD$70,Ins!F29,Tim!$D$7:$D$70)+SUMIF(Tim!$AE$7:$AE$70,Ins!F29,Tim!$D$7:$D$70)+SUMIF(Tim!$AF$7:$AF$70,Ins!F29,Tim!$D$7:$D$70)+SUMIF(Tim!$AG$7:$AG$70,Ins!F29,Tim!$D$7:$D$70)+SUMIF(Tim!$AH$7:$AH$70,Ins!F29,Tim!$D$7:$D$70)+SUMIF(Tim!$AI$7:$AI$70,Ins!F29,Tim!$D$7:$D$70)+SUMIF(Tim!$AJ$7:$AJ$70,Ins!F29,Tim!$D$7:$D$70)+SUMIF(Tim!$AK$7:$AK$70,Ins!F29,Tim!$D$7:$D$70)+SUMIF(Tim!$AL$7:$AL$70,Ins!F29,Tim!$D$7:$D$70)+SUMIF(Tim!$AM$7:$AM$70,Ins!F29,Tim!$D$7:$D$70)+SUMIF(Tim!$AN$7:$AN$70,Ins!F29,Tim!$D$7:$D$70)</f>
        <v>0</v>
      </c>
      <c r="P29" s="80">
        <f>SUMIF(Tim!AO$7:AO$70,Ins!F29,Tim!$C$7:$C$70)</f>
        <v>0</v>
      </c>
      <c r="Q29" s="80">
        <f>SUMIF(Tim!AP$7:AP$70,Ins!F29,Tim!$C$7:$C$70)</f>
        <v>0</v>
      </c>
      <c r="R29" s="80">
        <f>SUMIF(Tim!AQ$7:AQ$70,Ins!F29,Tim!$C$7:$C$70)+SUMIF(Tim!AR$7:AR$70,Ins!F29,Tim!$C$7:$C$70)+SUMIF(Tim!AS$7:AS$70,Ins!F29,Tim!$C$7:$C$70)</f>
        <v>0</v>
      </c>
      <c r="S29" s="236">
        <f>SUMIF(Tim!$AT$7:$AT$70,Ins!F29,Tim!$C$7:$C$70)+SUMIF(Tim!$AU$7:$AU$70,Ins!F29,Tim!$C$7:$C89)+SUMIF(Tim!$AV$7:$AV$70,Ins!F29,Tim!$C$7:$C$70)+SUMIF(Tim!$AW$7:$AW$70,Ins!F29,Tim!$C$7:$C$70)+SUMIF(Tim!$AX$7:$AX$70,Ins!F29,Tim!$C$7:$C$70)</f>
        <v>0</v>
      </c>
      <c r="T29" s="79">
        <f>SUMIF(Tim!$AY$7:$AY$70,Ins!F29,Tim!$B$7:$B$70)</f>
        <v>0</v>
      </c>
      <c r="U29" s="80">
        <f>SUMIF(Tim!$AZ$7:$AZ$70,Ins!F29,Tim!$B$7:$B$70)+SUMIF(Tim!$BA$7:$BA$70,Ins!F29,Tim!$B$7:$B$70)+SUMIF(Tim!$BB$7:$BB$70,Ins!F29,Tim!$B$7:$B$70)+SUMIF(Tim!$BC$7:$BC$70,Ins!F29,Tim!$B$7:$B$70)+SUMIF(Tim!$BD$7:$BD$70,Ins!F29,Tim!$B$7:$B$70)+SUMIF(Tim!$BE$7:$BE$70,Ins!F29,Tim!$B$7:$B$70)</f>
        <v>0</v>
      </c>
      <c r="V29" s="80">
        <f>SUMIF(Tim!$BF$7:$BF$70,Ins!F29,Tim!$B$7:$B$70)+SUMIF(Tim!$BG$7:$BG$70,Ins!F29,Tim!$B$7:$B$70)+SUMIF(Tim!$BH$7:$BH$70,Ins!F29,Tim!$B$7:$B$70)</f>
        <v>0</v>
      </c>
      <c r="W29" s="80">
        <f>SUMIF(Tim!$BI$7:$BI$70,Ins!F29,Tim!$B$7:$B$70)+SUMIF(Tim!$BJ$7:$BJ$70,Ins!F29,Tim!$B$7:$B$70)+SUMIF(Tim!$BK$7:$BK$70,Ins!F29,Tim!$B$7:$B$70)+SUMIF(Tim!$BL$7:$BL$70,Ins!F29,Tim!$B$7:$B$70)+SUMIF(Tim!$BM$7:$BM$70,Ins!F29,Tim!$B$7:$B$70)</f>
        <v>0</v>
      </c>
      <c r="X29" s="80">
        <f>SUMIF(Tim!$BN$7:$BN$70,Ins!F29,Tim!$B$7:$B$70)+SUMIF(Tim!$BO$7:$BO$70,Ins!F29,Tim!$B$7:$B$70)+SUMIF(Tim!$BP$7:$BP$70,Ins!F29,Tim!$B$7:$B$70)</f>
        <v>0</v>
      </c>
      <c r="Y29" s="80">
        <f>SUMIF(Tim!$BQ$7:$BQ$70,Ins!F29,Tim!$B$7:$B$70)+SUMIF(Tim!$BR$7:$BR$70,Ins!F29,Tim!$B$7:$B$70)+SUMIF(Tim!$BS$7:$BS$70,Ins!F29,Tim!$B$7:$B$70)</f>
        <v>0</v>
      </c>
      <c r="Z29" s="80">
        <f>SUMIF(Tim!BT$7:BT$70,Ins!F29,Tim!$B$7:$B$70)</f>
        <v>0</v>
      </c>
      <c r="AA29" s="80">
        <f>SUMIF(Tim!$BU$7:$BU$70,Ins!F29,Tim!$D$7:$D$70)+SUMIF(Tim!$BV$7:$BV$70,Ins!F29,Tim!$D$7:$D$70)+SUMIF(Tim!$BW$7:$BW$70,Ins!F29,Tim!$D$7:$D$70)+SUMIF(Tim!$BX$7:$BX$70,Ins!F29,Tim!$D$7:$D$70)+SUMIF(Tim!$BY$7:$BY$70,Ins!F29,Tim!$D$7:$D$70)+SUMIF(Tim!$BZ$7:$BZ$70,Ins!F29,Tim!$D$7:$D$70)+SUMIF(Tim!$CA$7:$CA$70,Ins!F29,Tim!$D$7:$D$70)+SUMIF(Tim!$CB$7:$CB$70,Ins!F29,Tim!$D$7:$D$70)+SUMIF(Tim!$CC$7:$CC$70,Ins!F29,Tim!$D$7:$D$70)+SUMIF(Tim!$CD$7:$CD$70,Ins!F29,Tim!$D$7:$D$70)+SUMIF(Tim!$CE$7:$CE$70,Ins!F29,Tim!$D$7:$D$70)+SUMIF(Tim!$CF$7:$CF$70,Ins!F29,Tim!$D$7:$D$70)</f>
        <v>0</v>
      </c>
      <c r="AB29" s="80">
        <f>SUMIF(Tim!CG$7:CG$70,Ins!F29,Tim!$C$7:$C$70)</f>
        <v>0</v>
      </c>
      <c r="AC29" s="80">
        <f>SUMIF(Tim!CH$7:CH$70,Ins!F29,Tim!$C$7:$C$70)</f>
        <v>0</v>
      </c>
      <c r="AD29" s="80">
        <f>SUMIF(Tim!CI$7:CI$70,Ins!F29,Tim!$C$7:$C$70)+SUMIF(Tim!CJ$7:CJ$70,Ins!F29,Tim!$C$7:$C$70)+SUMIF(Tim!CK$7:CK$70,Ins!F29,Tim!$C$7:$C$70)</f>
        <v>0</v>
      </c>
      <c r="AE29" s="81">
        <f>SUMIF(Tim!$CL$7:$CL$70,Ins!F29,Tim!$C$7:$C$70)+SUMIF(Tim!$CM$7:$CM$70,Ins!F29,Tim!$C$7:$C$70)+SUMIF(Tim!$CN$7:$CN$70,Ins!F29,Tim!$C$7:$C$70)+SUMIF(Tim!$CO$7:$CO$70,Ins!F29,Tim!$C$7:$C$70)+SUMIF(Tim!$CP$7:$CP$70,Ins!F29,Tim!$C$7:$C$70)</f>
        <v>0</v>
      </c>
      <c r="AF29" s="79">
        <f>SUMIF(Tim!$CQ$7:$CQ$70,Ins!F29,Tim!$B$7:$B$70)</f>
        <v>0</v>
      </c>
      <c r="AG29" s="80">
        <f>SUMIF(Tim!$CR$7:$CR$70,Ins!F29,Tim!$B$7:$B$70)+SUMIF(Tim!$CS$7:$CS$70,Ins!F29,Tim!$B$7:$B$70)+SUMIF(Tim!$CT$7:$CT$70,Ins!F29,Tim!$B$7:$B$70)+SUMIF(Tim!$CU$7:$CU$70,Ins!F29,Tim!$B$7:$B$70)+SUMIF(Tim!$CV$7:$CV$70,Ins!F29,Tim!$B$7:$B$70)+SUMIF(Tim!$CW$7:$CW$70,Ins!F29,Tim!$B$7:$B$70)</f>
        <v>0</v>
      </c>
      <c r="AH29" s="80">
        <f>SUMIF(Tim!$CX$7:$CX$70,Ins!F29,Tim!$B$7:$B$70)+SUMIF(Tim!$CY$7:$CY$70,Ins!F29,Tim!$B$7:$B$70)+SUMIF(Tim!$CZ$7:$CZ$70,Ins!F29,Tim!$B$7:$B$70)</f>
        <v>0</v>
      </c>
      <c r="AI29" s="80">
        <f>SUMIF(Tim!$DA$7:$DA$70,Ins!F29,Tim!$B$7:$B$70)+SUMIF(Tim!$DB$7:$DB$70,Ins!F29,Tim!$B$7:$B$70)+SUMIF(Tim!$DC$7:$DC$70,Ins!F29,Tim!$B$7:$B$70)+SUMIF(Tim!$DD$7:$DD$70,Ins!F29,Tim!$B$7:$B$70)+SUMIF(Tim!$DE$7:$DE$70,Ins!F29,Tim!$B$7:$B$70)</f>
        <v>0</v>
      </c>
      <c r="AJ29" s="80">
        <f>SUMIF(Tim!$DF$7:$DF$70,Ins!F29,Tim!$B$7:$B$70)+SUMIF(Tim!$DG$7:$DG$70,Ins!F29,Tim!$B$7:$B$70)+SUMIF(Tim!$DH$7:$DH$70,Ins!F29,Tim!$B$7:$B$70)</f>
        <v>0</v>
      </c>
      <c r="AK29" s="80">
        <f>SUMIF(Tim!DI$7:DI$70,Ins!F29,Tim!$B$7:$B$70)+SUMIF(Tim!DM$7:DM$70,Ins!F29,Tim!$B$7:$B$70)+SUMIF(Tim!DN$7:DN$70,Ins!F29,Tim!$B$7:$B$70)</f>
        <v>0</v>
      </c>
      <c r="AL29" s="80">
        <f>SUMIF(Tim!DO$7:DO$70,Ins!F29,Tim!$B$7:$B$70)</f>
        <v>0</v>
      </c>
      <c r="AM29" s="80">
        <f>SUMIF(Tim!$DP$7:$DP$70,Ins!F29,Tim!$D$7:$D$70)+SUMIF(Tim!$DQ$7:$DQ$70,Ins!F29,Tim!$D$7:$D$70)+SUMIF(Tim!$DR$7:$DR$70,Ins!F29,Tim!$D$7:$D$70)+SUMIF(Tim!$DS$7:$DS$70,Ins!F29,Tim!$D$7:$D$70)+SUMIF(Tim!$DT$7:$DT$70,Ins!F29,Tim!$D$7:$D$70)+SUMIF(Tim!$DU$7:$DU$70,Ins!F29,Tim!$D$7:$D$70)+SUMIF(Tim!$DV$7:$DV$70,Ins!F29,Tim!$D$7:$D$70)+SUMIF(Tim!$DW$7:$DW$70,Ins!F29,Tim!$D$7:$D$70)+SUMIF(Tim!$DX$7:$DX$70,Ins!F29,Tim!$D$7:$D$70)+SUMIF(Tim!$DY$7:$DY$70,Ins!F29,Tim!$D$7:$D$70)+SUMIF(Tim!$DZ$7:$DZ$70,Ins!F29,Tim!$D$7:$D$70)+SUMIF(Tim!$EA$7:$EA$70,Ins!F29,Tim!$D$7:$D$70)</f>
        <v>0</v>
      </c>
      <c r="AN29" s="80">
        <f>SUMIF(Tim!EB$7:EB$70,Ins!F29,Tim!$C$7:$C$70)</f>
        <v>0</v>
      </c>
      <c r="AO29" s="80">
        <f>SUMIF(Tim!EC$7:EC$70,Ins!F29,Tim!$C$7:$C$70)</f>
        <v>0</v>
      </c>
      <c r="AP29" s="80">
        <f>SUMIF(Tim!ED$7:ED$70,Ins!F29,Tim!$C$7:$C$70)+SUMIF(Tim!EE$7:EE$70,Ins!F29,Tim!$C$7:$C$70)+SUMIF(Tim!EF$7:EF$70,Ins!F29,Tim!$C$7:$C$70)</f>
        <v>0</v>
      </c>
      <c r="AQ29" s="81">
        <f>SUMIF(Tim!$EG$7:$EG$70,Ins!F29,Tim!$C$7:$C$70)+SUMIF(Tim!$EH$7:$EH$70,Ins!F29,Tim!$C$7:$C$70)+SUMIF(Tim!$EI$7:$EI$70,Ins!F29,Tim!$C$7:$C$70)+SUMIF(Tim!$EJ$7:$EJ$70,Ins!F29,Tim!$C$7:$C$70)+SUMIF(Tim!$EK$7:$EK$70,Ins!F29,Tim!$C$7:$C$70)</f>
        <v>0</v>
      </c>
      <c r="AR29" s="79">
        <f>SUMIF(Tim!$EL$5:$EL$70,Ins!F29,Tim!$B$5:$B$70)</f>
        <v>0</v>
      </c>
      <c r="AS29" s="80">
        <f>SUMIF(Tim!$EM$5:$EM$70,Ins!F29,Tim!$B$5:$B$70)+SUMIF(Tim!$EN$5:$EN$70,Ins!F29,Tim!$B$5:$B$70)+SUMIF(Tim!$EO$5:$EO$70,Ins!F29,Tim!$B$5:$B$70)+SUMIF(Tim!$EP$5:$EP$70,Ins!F29,Tim!$B$5:$B$70)+SUMIF(Tim!$EQ$5:$EQ$70,Ins!F29,Tim!$B$5:$B$70)+SUMIF(Tim!$ER$5:$ER$70,Ins!F29,Tim!$B$5:$B$70)</f>
        <v>0</v>
      </c>
      <c r="AT29" s="80">
        <f>SUMIF(Tim!$ES$5:$ES$70,Ins!F29,Tim!$B$5:$B$70)+SUMIF(Tim!$ET$5:$ET$70,Ins!F29,Tim!$B$5:$B$70)+SUMIF(Tim!$EU$5:$EU$70,Ins!F29,Tim!$B$5:$B$70)</f>
        <v>0</v>
      </c>
      <c r="AU29" s="80">
        <f>SUMIF(Tim!$EV$5:$EV$70,Ins!F29,Tim!$B$5:$B$70)+SUMIF(Tim!$EW$5:$EW$70,Ins!F29,Tim!$B$5:$B$70)+SUMIF(Tim!$EX$5:$EX$70,Ins!F29,Tim!$B$5:$B$70)+SUMIF(Tim!$EY$5:$EY$70,Ins!F29,Tim!$B$5:$B$70)+SUMIF(Tim!$EZ$5:$EZ$70,Ins!F29,Tim!$B$5:$B$70)</f>
        <v>0</v>
      </c>
      <c r="AV29" s="80">
        <f>SUMIF(Tim!$FA$5:$FA$70,Ins!F29,Tim!$B$5:$B$70)+SUMIF(Tim!$FB$5:$FB$70,Ins!F29,Tim!$B$5:$B$70)+SUMIF(Tim!$FC$5:$FC$70,Ins!F29,Tim!$B$5:$B$70)</f>
        <v>0</v>
      </c>
      <c r="AW29" s="80">
        <f>SUMIF(Tim!FD$5:FD$70,Ins!F29,Tim!$B$5:$B$70)+SUMIF(Tim!FE$5:FE$70,Ins!F29,Tim!$B$5:$B$70)+SUMIF(Tim!FF$5:FF$70,Ins!F29,Tim!$B$5:$B$70)</f>
        <v>0</v>
      </c>
      <c r="AX29" s="80">
        <f>SUMIF(Tim!FG$5:FG$70,Ins!F29,Tim!$B$5:$B$70)</f>
        <v>0</v>
      </c>
      <c r="AY29" s="80">
        <f>SUMIF(Tim!$FH$5:$FH$70,Ins!F29,Tim!$D$5:$D$70)+SUMIF(Tim!$FI$5:$FI$70,Ins!F29,Tim!$D$5:$D$70)+SUMIF(Tim!$FJ$5:$FJ$70,Ins!F29,Tim!$D$5:$D$70)+SUMIF(Tim!$FK$5:$FK$70,Ins!F29,Tim!$D$5:$D$70)+SUMIF(Tim!$FL$5:$FL$70,Ins!F29,Tim!$D$5:$D$70)+SUMIF(Tim!$FM$5:$FM$70,Ins!F29,Tim!$D$5:$D$70)+SUMIF(Tim!$FN$5:$FN$70,Ins!F29,Tim!$D$5:$D$70)+SUMIF(Tim!$FO$5:$FO$70,Ins!F29,Tim!$D$5:$D$70)+SUMIF(Tim!$FP$5:$FP$70,Ins!F29,Tim!$D$5:$D$70)+SUMIF(Tim!$FQ$5:$FQ$70,Ins!F29,Tim!$D$5:$D$70)+SUMIF(Tim!$FR$5:$FR$70,Ins!F29,Tim!$D$5:$D$70)+SUMIF(Tim!$FS$5:$FS$70,Ins!F29,Tim!$D$5:$D$70)</f>
        <v>0</v>
      </c>
      <c r="AZ29" s="80">
        <f>SUMIF(Tim!FT$5:FT$70,Ins!F29,Tim!$C$5:$C$70)</f>
        <v>0</v>
      </c>
      <c r="BA29" s="80">
        <f>SUMIF(Tim!FU$5:FU$70,Ins!F29,Tim!$C$5:$C$70)</f>
        <v>0</v>
      </c>
      <c r="BB29" s="80">
        <f>SUMIF(Tim!FV$5:FV$70,Ins!F29,Tim!$C$5:$C$70)+SUMIF(Tim!FW$5:FW$70,Ins!F29,Tim!$C$5:$C$70)+SUMIF(Tim!FX$5:FX$70,Ins!F29,Tim!$C$5:$C$70)</f>
        <v>0</v>
      </c>
      <c r="BC29" s="81">
        <f>SUMIF(Tim!$FY$5:$FY$70,Ins!F29,Tim!$C$5:$C$70)+SUMIF(Tim!$FZ$5:$FZ$70,Ins!F29,Tim!$C$5:$C$70)+SUMIF(Tim!$GA$5:$GA$70,Ins!F29,Tim!$C$5:$C$70)+SUMIF(Tim!$GB$5:$GB$70,Ins!F29,Tim!$C$5:$C$70)+SUMIF(Tim!$GC$5:$GC$70,Ins!F29,Tim!$C$5:$C$70)</f>
        <v>0</v>
      </c>
      <c r="BD29" s="79">
        <f>SUMIF(Tim!$GD$5:$GD$70,Ins!F29,Tim!$B$5:$B$70)</f>
        <v>0</v>
      </c>
      <c r="BE29" s="80">
        <f>SUMIF(Tim!$GE$5:$GE$70,Ins!F29,Tim!$B$5:$B$70)+SUMIF(Tim!$GF$5:$GF$70,Ins!F29,Tim!$B$5:$B$70)+SUMIF(Tim!$GG$5:$GG$70,Ins!F29,Tim!$B$5:$B$70)+SUMIF(Tim!$GH$5:$GH$70,Ins!F29,Tim!$B$5:$B$70)+SUMIF(Tim!$GI$5:$GI$70,Ins!F29,Tim!$B$5:$B$70)+SUMIF(Tim!$GJ$5:$GJ$70,Ins!F29,Tim!$B$5:$B$70)</f>
        <v>0</v>
      </c>
      <c r="BF29" s="80">
        <f>SUMIF(Tim!$GK$5:$GK$70,Ins!F29,Tim!$B$5:$B$70)+SUMIF(Tim!$GL$5:$GL$70,Ins!F29,Tim!$B$5:$B$70)+SUMIF(Tim!$GM$5:$GM$70,Ins!F29,Tim!$B$5:$B$70)</f>
        <v>0</v>
      </c>
      <c r="BG29" s="80">
        <f>SUMIF(Tim!$GN$5:$GN$70,Ins!F29,Tim!$B$5:$B$70)+SUMIF(Tim!$GO$5:$GO$70,Ins!F29,Tim!$B$5:$B$70)+SUMIF(Tim!$GP$5:$GP$70,Ins!F29,Tim!$B$5:$B$70)+SUMIF(Tim!$GQ$5:$GQ$70,Ins!F29,Tim!$B$5:$B$70)+SUMIF(Tim!$GR$5:$GR$70,Ins!F29,Tim!$B$5:$B$70)</f>
        <v>0</v>
      </c>
      <c r="BH29" s="80">
        <f>SUMIF(Tim!$GS$5:$GS$70,Ins!F29,Tim!$B$5:$B$70)+SUMIF(Tim!$GT$5:$GT$70,Ins!F29,Tim!$B$5:$B$70)+SUMIF(Tim!$GU$5:$GU$70,Ins!F29,Tim!$B$5:$B$70)</f>
        <v>0</v>
      </c>
      <c r="BI29" s="80">
        <f>SUMIF(Tim!GV$5:GV$70,Ins!F29,Tim!$B$5:$B$70)+SUMIF(Tim!GW$5:GW$70,Ins!F29,Tim!$B$5:$B$70)+SUMIF(Tim!GX$5:GX$70,Ins!F29,Tim!$B$5:$B$70)</f>
        <v>0</v>
      </c>
      <c r="BJ29" s="80">
        <f>SUMIF(Tim!GY$5:GY$70,Ins!F29,Tim!$B$5:$B$70)</f>
        <v>0</v>
      </c>
      <c r="BK29" s="80">
        <f>SUMIF(Tim!$GZ$5:$GZ$70,Ins!F29,Tim!$D$5:$D$70)+SUMIF(Tim!$HA$5:$HA$70,Ins!F29,Tim!$D$5:$D$70)+SUMIF(Tim!$HB$5:$HB$70,Ins!F29,Tim!$D$5:$D$70)++SUMIF(Tim!$HC$5:$HC$70,Ins!F29,Tim!$D$5:$D$70)+SUMIF(Tim!$HD$5:$HD$70,Ins!F29,Tim!$D$5:$D$70)+SUMIF(Tim!$HE$5:$HE$70,Ins!F29,Tim!$D$5:$D$70)+SUMIF(Tim!$HF$5:$HF$70,Ins!F29,Tim!$D$5:$D$70)+SUMIF(Tim!$HG$5:$HG$70,Ins!F29,Tim!$D$5:$D$70)+SUMIF(Tim!$HH$5:$HH$70,Ins!F29,Tim!$D$5:$D$70)+SUMIF(Tim!$HI$5:$HI$70,Ins!F29,Tim!$D$5:$D$70)+SUMIF(Tim!$HJ$5:$HJ$70,Ins!F29,Tim!$D$5:$D$70)+SUMIF(Tim!$HK$5:$HK$70,Ins!F29,Tim!$D$5:$D$70)</f>
        <v>0</v>
      </c>
      <c r="BL29" s="80">
        <f>SUMIF(Tim!HL$5:HL$70,Ins!F29,Tim!$C$5:$C$70)</f>
        <v>0</v>
      </c>
      <c r="BM29" s="80">
        <f>SUMIF(Tim!HM$5:HM$70,Ins!F29,Tim!$C$5:$C$70)</f>
        <v>0</v>
      </c>
      <c r="BN29" s="80">
        <f>SUMIF(Tim!HN$5:HN$70,Ins!F29,Tim!$C$5:$C$70)+SUMIF(Tim!HO$5:HO$70,Ins!F29,Tim!$C$5:$C$70)+SUMIF(Tim!HP$5:HP$70,Ins!F29,Tim!$C$5:$C$70)</f>
        <v>0</v>
      </c>
      <c r="BO29" s="81">
        <f>SUMIF(Tim!$HQ$5:$HQ$70,Ins!F29,Tim!$C$5:$C$70)+SUMIF(Tim!$HR$5:$HR$70,Ins!F29,Tim!$C$5:$C$70)+SUMIF(Tim!$HS$5:$HS$70,Ins!F29,Tim!$C$5:$C$70)+SUMIF(Tim!$HT$5:$HT$70,Ins!F29,Tim!$C$5:$C$70)+SUMIF(Tim!$HU$5:$HU$70,Ins!F29,Tim!$C$5:$C$70)</f>
        <v>0</v>
      </c>
      <c r="BP29" s="79">
        <f>SUMIF(Tim!$HV$7:$HV$70,Ins!F29,Tim!$B$7:$B$70)</f>
        <v>0</v>
      </c>
      <c r="BQ29" s="80">
        <f>SUMIF(Tim!$HW$7:$HW$70,Ins!F29,Tim!$B$7:$B$70)+SUMIF(Tim!$HX$7:$HX$70,Ins!F29,Tim!$B$7:$B$70)+SUMIF(Tim!$HY$7:$HY$70,Ins!F29,Tim!$B$7:$B$70)+SUMIF(Tim!$HZ$7:$HZ$70,Ins!F29,Tim!$B$7:$B$70)+SUMIF(Tim!$IA$7:$IA$70,Ins!F29,Tim!$B$7:$B$70)+SUMIF(Tim!$IB$7:$IB$70,Ins!F29,Tim!$B$7:$B$70)</f>
        <v>0</v>
      </c>
      <c r="BR29" s="80">
        <f>SUMIF(Tim!$IC$7:$IC$70,Ins!F29,Tim!$B$7:$B$70)+SUMIF(Tim!$ID$7:$ID$70,Ins!F29,Tim!$B$7:$B$70)+SUMIF(Tim!$IE$7:$IE$70,Ins!F29,Tim!$B$7:$B$70)</f>
        <v>0</v>
      </c>
      <c r="BS29" s="80">
        <f>SUMIF(Tim!$IF$7:$IF$70,Ins!F29,Tim!$B$7:$B$70)+SUMIF(Tim!$IG$7:$IG$70,Ins!F29,Tim!$B$7:$B$70)+SUMIF(Tim!$IH$7:$IH$70,Ins!F29,Tim!$B$7:$B$70)+SUMIF(Tim!$II$7:$II$70,Ins!F29,Tim!$B$7:$B$70)+SUMIF(Tim!$IJ$7:$IJ$70,Ins!F29,Tim!$B$7:$B$70)</f>
        <v>0</v>
      </c>
      <c r="BT29" s="80">
        <f>SUMIF(Tim!$IK$7:$IK$70,Ins!F29,Tim!$B$7:$B$70)+SUMIF(Tim!$IL$7:$IL$70,Ins!F29,Tim!$B$7:$B$70)+SUMIF(Tim!$IM$7:$IM$70,Ins!F29,Tim!$B$7:$B$70)</f>
        <v>0</v>
      </c>
      <c r="BU29" s="80">
        <f>SUMIF(Tim!$IN$7:$IN$70,Ins!F29,Tim!$B$7:$B$70)+SUMIF(Tim!$IO$7:$IO$70,Ins!F29,Tim!$B$7:$B$70)+SUMIF(Tim!$IP$7:$IP$70,Ins!F29,Tim!$B$7:$B$70)</f>
        <v>0</v>
      </c>
      <c r="BV29" s="80">
        <f>SUMIF(Tim!$IQ$7:$IQ$70,Ins!F29,Tim!$B$7:$B$70)</f>
        <v>0</v>
      </c>
      <c r="BW29" s="80">
        <f>SUMIF(Tim!$IR$7:$IR$70,Ins!F29,Tim!$D$7:$D$70)+SUMIF(Tim!$IS$7:$IS$70,Ins!F29,Tim!$D$7:$D$70)+SUMIF(Tim!$IT$7:$IT$70,Ins!F29,Tim!$D$7:$D$70)+SUMIF(Tim!$IU$7:$IU$70,Ins!F29,Tim!$D$7:$D$70)+SUMIF(Tim!$IV$7:$IV$70,Ins!F29,Tim!$D$7:$D$70)+SUMIF(Tim!$IW$7:$IW$70,Ins!F29,Tim!$D$7:$D$70)+SUMIF(Tim!$IX$7:$IX$70,Ins!F29,Tim!$D$7:$D$70)+SUMIF(Tim!$IY$7:$IY$70,Ins!F29,Tim!$D$7:$D$70)+SUMIF(Tim!$IZ$7:$IZ$70,Ins!F29,Tim!$D$7:$D$70)+SUMIF(Tim!$JA$7:$JA$70,Ins!F29,Tim!$D$7:$D$70)+SUMIF(Tim!$JB$7:$JB$70,Ins!F29,Tim!$D$7:$D$70)+SUMIF(Tim!$JC$7:$JC$70,Ins!F29,Tim!$D$7:$D$70)</f>
        <v>0</v>
      </c>
      <c r="BX29" s="80">
        <f>SUMIF(Tim!JD$7:JD$70,Ins!F29,Tim!$C$7:$C$70)</f>
        <v>0</v>
      </c>
      <c r="BY29" s="80">
        <f>SUMIF(Tim!JE$7:JE$70,Ins!F29,Tim!$C$7:$C$70)</f>
        <v>0</v>
      </c>
      <c r="BZ29" s="80">
        <f>SUMIF(Tim!JF$7:JF$70,Ins!F29,Tim!$C$7:$C$70)+SUMIF(Tim!JG$7:JG$70,Ins!F29,Tim!$C$7:$C$70)+SUMIF(Tim!JH$7:JH$70,Ins!F29,Tim!$C$7:$C$70)</f>
        <v>0</v>
      </c>
      <c r="CA29" s="81">
        <f>SUMIF(Tim!$JI$7:$JI$70,Ins!F29,Tim!$C$7:$C$70)++SUMIF(Tim!$JJ$7:$JJ$70,Ins!F29,Tim!$C$7:$C$70)+SUMIF(Tim!$JK$7:$JK$70,Ins!F29,Tim!$C$7:$C$70)+SUMIF(Tim!$JL$7:$JL$70,Ins!F29,Tim!$C$7:$C$70)+SUMIF(Tim!$JM$7:$JM$70,Ins!F29,Tim!$C$7:$C$70)</f>
        <v>2</v>
      </c>
      <c r="CB29" s="79">
        <f>SUMIF(Tim!$JN$7:$JN$70,Ins!F29,Tim!$B$7:$B$70)</f>
        <v>0</v>
      </c>
      <c r="CC29" s="80">
        <f>SUMIF(Tim!$JO$7:$JO$70,Ins!F29,Tim!$B$7:$B$70)+SUMIF(Tim!$JP$7:$JP$70,Ins!F29,Tim!$B$7:$B$70)+SUMIF(Tim!$JQ$7:$JQ$70,Ins!F29,Tim!$B$7:$B$70)+SUMIF(Tim!$JR$7:$JR$70,Ins!F29,Tim!$B$7:$B$70)+SUMIF(Tim!$JS$7:$JS$70,Ins!F29,Tim!$B$7:$B$70)+SUMIF(Tim!$JT$7:$JT$70,Ins!F29,Tim!$B$7:$B$70)</f>
        <v>0</v>
      </c>
      <c r="CD29" s="80">
        <f>SUMIF(Tim!$JW$7:$JW$70,Ins!F29,Tim!$B$7:$B$70)+SUMIF(Tim!$JU$7:$JU$70,Ins!F29,Tim!$B$7:$B$70)+SUMIF(Tim!$JV$7:$JV$70,Ins!F29,Tim!$B$7:$B$70)</f>
        <v>0</v>
      </c>
      <c r="CE29" s="80">
        <f>SUMIF(Tim!$JX$7:$JX$70,Ins!F29,Tim!$B$7:$B$70)+SUMIF(Tim!$JY$7:$JY$70,Ins!F29,Tim!$B$7:$B$70)+SUMIF(Tim!$JZ$7:$JZ$70,Ins!F29,Tim!$B$7:$B$70)+SUMIF(Tim!$KA$7:$KA$70,Ins!F29,Tim!$B$7:$B$70)+SUMIF(Tim!$KB$7:$KB$70,Ins!F29,Tim!$B$7:$B$70)</f>
        <v>0</v>
      </c>
      <c r="CF29" s="80">
        <f>SUMIF(Tim!$KE$7:$KE$70,Ins!F29,Tim!$B$7:$B$70)+SUMIF(Tim!$KC$7:$KC$70,Ins!F29,Tim!$B$7:$B$70)+SUMIF(Tim!$KD$7:$KD$70,Ins!F29,Tim!$B$7:$B$70)</f>
        <v>0</v>
      </c>
      <c r="CG29" s="80">
        <f>SUMIF(Tim!$KF$7:$KF$70,Ins!F29,Tim!$B$7:$B$70)+SUMIF(Tim!$KG$7:$KG$70,Ins!F29,Tim!$B$7:$B$70)+SUMIF(Tim!$KH$7:$KH$70,Ins!F29,Tim!$B$7:$B$70)</f>
        <v>0</v>
      </c>
      <c r="CH29" s="80">
        <f>SUMIF(Tim!$KI$7:$KI$70,Ins!F29,Tim!$B$7:$B$70)</f>
        <v>0</v>
      </c>
      <c r="CI29" s="80">
        <f>SUMIF(Tim!$KJ$7:$KJ$70,Ins!F29,Tim!$D$7:$D$70)+SUMIF(Tim!$KK$7:$KK$70,Ins!F29,Tim!$D$7:$D$70)+SUMIF(Tim!$KL$7:$KL$70,Ins!F29,Tim!$D$7:$D$70)+SUMIF(Tim!$KM$7:$KM$70,Ins!F29,Tim!$D$7:$D$70)+SUMIF(Tim!$KN$7:$KN$70,Ins!F29,Tim!$D$7:$D$70)+SUMIF(Tim!$KO$7:$KO$70,Ins!F29,Tim!$D$7:$D$70)+SUMIF(Tim!$KP$7:$KP$70,Ins!F29,Tim!$D$7:$D$70)+SUMIF(Tim!$KQ$7:$KQ$70,Ins!F29,Tim!$D$7:$D$70)+SUMIF(Tim!$KR$7:$KR$70,Ins!F29,Tim!$D$7:$D$70)+SUMIF(Tim!$KS$7:$KS$70,Ins!F29,Tim!$D$7:$D$70)+SUMIF(Tim!$KT$7:$KT$70,Ins!F29,Tim!$D$7:$D$70)+SUMIF(Tim!$KU$7:$KU$70,Ins!F29,Tim!$D$7:$D$70)</f>
        <v>0</v>
      </c>
      <c r="CJ29" s="80">
        <f>SUMIF(Tim!KV$7:KV$70,Ins!F29,Tim!$C$7:$C$70)</f>
        <v>0</v>
      </c>
      <c r="CK29" s="80">
        <f>SUMIF(Tim!KW$7:KW$70,Ins!F29,Tim!$C$7:$C$70)</f>
        <v>0</v>
      </c>
      <c r="CL29" s="80">
        <f>SUMIF(Tim!KX$7:KX$70,Ins!F29,Tim!$C$7:$C$70)+SUMIF(Tim!KY$7:KY$70,Ins!F29,Tim!$C$7:$C$70)+SUMIF(Tim!KZ$7:KZ$70,Ins!F29,Tim!$C$7:$C$70)</f>
        <v>0</v>
      </c>
      <c r="CM29" s="81">
        <f>SUMIF(Tim!$LA$7:$LA$70,Ins!F29,Tim!$C$7:$C$70)+SUMIF(Tim!$LB$7:$LB$70,Ins!F29,Tim!$C$7:$C$70)+SUMIF(Tim!$LC$7:$LC$70,Ins!F29,Tim!$C$7:$C$70)+SUMIF(Tim!$LD$7:$LD$70,Ins!F29,Tim!$C$7:$C$70)+SUMIF(Tim!$LE$7:$LE$70,Ins!F29,Tim!$C$7:$C$70)</f>
        <v>0</v>
      </c>
      <c r="CN29" s="22"/>
      <c r="CO29" s="180">
        <f t="shared" si="158"/>
        <v>0</v>
      </c>
      <c r="CP29" s="179">
        <f t="shared" si="159"/>
        <v>0</v>
      </c>
      <c r="CQ29" s="179">
        <f t="shared" si="160"/>
        <v>0</v>
      </c>
      <c r="CR29" s="179">
        <f t="shared" si="161"/>
        <v>0</v>
      </c>
      <c r="CS29" s="179">
        <f t="shared" si="162"/>
        <v>0</v>
      </c>
      <c r="CT29" s="179">
        <f t="shared" si="163"/>
        <v>0</v>
      </c>
      <c r="CU29" s="179">
        <f t="shared" si="164"/>
        <v>0</v>
      </c>
      <c r="CV29" s="179">
        <f t="shared" si="165"/>
        <v>0</v>
      </c>
      <c r="CW29" s="179">
        <f t="shared" si="166"/>
        <v>0</v>
      </c>
      <c r="CX29" s="179">
        <f t="shared" si="167"/>
        <v>0</v>
      </c>
      <c r="CY29" s="179">
        <f t="shared" si="172"/>
        <v>0</v>
      </c>
      <c r="CZ29" s="179">
        <f t="shared" si="173"/>
        <v>2</v>
      </c>
      <c r="DA29" s="78">
        <f t="shared" si="174"/>
        <v>2</v>
      </c>
      <c r="DB29" s="16"/>
      <c r="DC29" s="34">
        <f t="shared" si="170"/>
        <v>0</v>
      </c>
      <c r="DD29" s="34">
        <f t="shared" si="15"/>
        <v>0</v>
      </c>
      <c r="DE29" s="34">
        <f t="shared" si="16"/>
        <v>0</v>
      </c>
      <c r="DF29" s="34">
        <f t="shared" si="20"/>
        <v>0</v>
      </c>
      <c r="DG29" s="34">
        <f t="shared" si="17"/>
        <v>0</v>
      </c>
      <c r="DH29" s="34">
        <f t="shared" si="18"/>
        <v>2</v>
      </c>
      <c r="DI29" s="34">
        <f t="shared" si="19"/>
        <v>0</v>
      </c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7"/>
    </row>
    <row r="30" spans="1:125" ht="12" customHeight="1">
      <c r="A30" s="10">
        <v>28</v>
      </c>
      <c r="B30" s="229" t="s">
        <v>438</v>
      </c>
      <c r="C30" s="185"/>
      <c r="D30" s="230"/>
      <c r="E30" s="230" t="s">
        <v>373</v>
      </c>
      <c r="F30" s="185" t="s">
        <v>439</v>
      </c>
      <c r="G30" s="205" t="s">
        <v>191</v>
      </c>
      <c r="H30" s="79">
        <f>SUMIF(Tim!$F$7:$F$70,Ins!F30,Tim!$B$7:$B$70)</f>
        <v>0</v>
      </c>
      <c r="I30" s="80">
        <f>SUMIF(Tim!$G$7:$G$70,Ins!F30,Tim!$B$7:$B$70)+SUMIF(Tim!$H$7:$H$70,Ins!F30,Tim!$B$7:$B$70)+SUMIF(Tim!$I$7:$I$70,Ins!F30,Tim!$B$7:$B$70)+SUMIF(Tim!$J$7:$J$70,Ins!F30,Tim!$B$7:$B$70)+SUMIF(Tim!$K$7:$K$70,Ins!F30,Tim!$B$7:$B$70)+SUMIF(Tim!$L$7:$L$70,Ins!F30,Tim!$B$7:$B$70)</f>
        <v>0</v>
      </c>
      <c r="J30" s="80">
        <f>SUMIF(Tim!$M$7:$M$70,Ins!F30,Tim!$B$7:$B$70)+SUMIF(Tim!$O$7:$O$70,Ins!F30,Tim!$B$7:$B$70)+SUMIF(Tim!$N$7:$N$70,Ins!F30,Tim!$B$7:$B$70)</f>
        <v>0</v>
      </c>
      <c r="K30" s="80">
        <f>SUMIF(Tim!$P$7:$P$70,Ins!F30,Tim!$B$7:$B$70)+SUMIF(Tim!$Q$7:$Q$70,Ins!F30,Tim!$B$7:$B$70)+SUMIF(Tim!$R$7:$R$70,Ins!F30,Tim!$B$7:$B$70)+SUMIF(Tim!$S$7:$S$70,Ins!F30,Tim!$B$7:$B$70)+SUMIF(Tim!$T$7:$T$70,Ins!F30,Tim!$B$7:$B$70)</f>
        <v>0</v>
      </c>
      <c r="L30" s="80">
        <f>SUMIF(Tim!$U$7:$U$70,Ins!F30,Tim!$B$7:$B$70)+SUMIF(Tim!$W$7:$W$70,Ins!F30,Tim!$B$7:$B$70)+SUMIF(Tim!$X$7:$X$70,Ins!F30,Tim!$B$7:$B$70)</f>
        <v>0</v>
      </c>
      <c r="M30" s="80">
        <f>SUMIF(Tim!$Y$7:$Y$70,Ins!F30,Tim!$B$7:$B$70)+SUMIF(Tim!$Z$7:$Z$70,Ins!F30,Tim!$B$7:$B$70)+SUMIF(Tim!$AA$7:$AA$70,Ins!F30,Tim!$B$7:$B$70)</f>
        <v>0</v>
      </c>
      <c r="N30" s="80">
        <f>SUMIF(Tim!$AB$7:$AB$70,Ins!F30,Tim!$B$7:$B$70)</f>
        <v>0</v>
      </c>
      <c r="O30" s="80">
        <f>SUMIF(Tim!$AC$7:$AC$70,Ins!F30,Tim!$D$7:$D$70)+SUMIF(Tim!$AD$7:$AD$70,Ins!F30,Tim!$D$7:$D$70)+SUMIF(Tim!$AE$7:$AE$70,Ins!F30,Tim!$D$7:$D$70)+SUMIF(Tim!$AF$7:$AF$70,Ins!F30,Tim!$D$7:$D$70)+SUMIF(Tim!$AG$7:$AG$70,Ins!F30,Tim!$D$7:$D$70)+SUMIF(Tim!$AH$7:$AH$70,Ins!F30,Tim!$D$7:$D$70)+SUMIF(Tim!$AI$7:$AI$70,Ins!F30,Tim!$D$7:$D$70)+SUMIF(Tim!$AJ$7:$AJ$70,Ins!F30,Tim!$D$7:$D$70)+SUMIF(Tim!$AK$7:$AK$70,Ins!F30,Tim!$D$7:$D$70)+SUMIF(Tim!$AL$7:$AL$70,Ins!F30,Tim!$D$7:$D$70)+SUMIF(Tim!$AM$7:$AM$70,Ins!F30,Tim!$D$7:$D$70)+SUMIF(Tim!$AN$7:$AN$70,Ins!F30,Tim!$D$7:$D$70)</f>
        <v>0</v>
      </c>
      <c r="P30" s="80">
        <f>SUMIF(Tim!AO$7:AO$70,Ins!F30,Tim!$C$7:$C$70)</f>
        <v>0</v>
      </c>
      <c r="Q30" s="80">
        <f>SUMIF(Tim!AP$7:AP$70,Ins!F30,Tim!$C$7:$C$70)</f>
        <v>0</v>
      </c>
      <c r="R30" s="80">
        <f>SUMIF(Tim!AQ$7:AQ$70,Ins!F30,Tim!$C$7:$C$70)+SUMIF(Tim!AR$7:AR$70,Ins!F30,Tim!$C$7:$C$70)+SUMIF(Tim!AS$7:AS$70,Ins!F30,Tim!$C$7:$C$70)</f>
        <v>0</v>
      </c>
      <c r="S30" s="236">
        <f>SUMIF(Tim!$AT$7:$AT$70,Ins!F30,Tim!$C$7:$C$70)+SUMIF(Tim!$AU$7:$AU$70,Ins!F30,Tim!$C$7:$C90)+SUMIF(Tim!$AV$7:$AV$70,Ins!F30,Tim!$C$7:$C$70)+SUMIF(Tim!$AW$7:$AW$70,Ins!F30,Tim!$C$7:$C$70)+SUMIF(Tim!$AX$7:$AX$70,Ins!F30,Tim!$C$7:$C$70)</f>
        <v>0</v>
      </c>
      <c r="T30" s="79">
        <f>SUMIF(Tim!$AY$7:$AY$70,Ins!F30,Tim!$B$7:$B$70)</f>
        <v>0</v>
      </c>
      <c r="U30" s="80">
        <f>SUMIF(Tim!$AZ$7:$AZ$70,Ins!F30,Tim!$B$7:$B$70)+SUMIF(Tim!$BA$7:$BA$70,Ins!F30,Tim!$B$7:$B$70)+SUMIF(Tim!$BB$7:$BB$70,Ins!F30,Tim!$B$7:$B$70)+SUMIF(Tim!$BC$7:$BC$70,Ins!F30,Tim!$B$7:$B$70)+SUMIF(Tim!$BD$7:$BD$70,Ins!F30,Tim!$B$7:$B$70)+SUMIF(Tim!$BE$7:$BE$70,Ins!F30,Tim!$B$7:$B$70)</f>
        <v>0</v>
      </c>
      <c r="V30" s="80">
        <f>SUMIF(Tim!$BF$7:$BF$70,Ins!F30,Tim!$B$7:$B$70)+SUMIF(Tim!$BG$7:$BG$70,Ins!F30,Tim!$B$7:$B$70)+SUMIF(Tim!$BH$7:$BH$70,Ins!F30,Tim!$B$7:$B$70)</f>
        <v>0</v>
      </c>
      <c r="W30" s="80">
        <f>SUMIF(Tim!$BI$7:$BI$70,Ins!F30,Tim!$B$7:$B$70)+SUMIF(Tim!$BJ$7:$BJ$70,Ins!F30,Tim!$B$7:$B$70)+SUMIF(Tim!$BK$7:$BK$70,Ins!F30,Tim!$B$7:$B$70)+SUMIF(Tim!$BL$7:$BL$70,Ins!F30,Tim!$B$7:$B$70)+SUMIF(Tim!$BM$7:$BM$70,Ins!F30,Tim!$B$7:$B$70)</f>
        <v>0</v>
      </c>
      <c r="X30" s="80">
        <f>SUMIF(Tim!$BN$7:$BN$70,Ins!F30,Tim!$B$7:$B$70)+SUMIF(Tim!$BO$7:$BO$70,Ins!F30,Tim!$B$7:$B$70)+SUMIF(Tim!$BP$7:$BP$70,Ins!F30,Tim!$B$7:$B$70)</f>
        <v>0</v>
      </c>
      <c r="Y30" s="80">
        <f>SUMIF(Tim!$BQ$7:$BQ$70,Ins!F30,Tim!$B$7:$B$70)+SUMIF(Tim!$BR$7:$BR$70,Ins!F30,Tim!$B$7:$B$70)+SUMIF(Tim!$BS$7:$BS$70,Ins!F30,Tim!$B$7:$B$70)</f>
        <v>0</v>
      </c>
      <c r="Z30" s="80">
        <f>SUMIF(Tim!BT$7:BT$70,Ins!F30,Tim!$B$7:$B$70)</f>
        <v>0</v>
      </c>
      <c r="AA30" s="80">
        <f>SUMIF(Tim!$BU$7:$BU$70,Ins!F30,Tim!$D$7:$D$70)+SUMIF(Tim!$BV$7:$BV$70,Ins!F30,Tim!$D$7:$D$70)+SUMIF(Tim!$BW$7:$BW$70,Ins!F30,Tim!$D$7:$D$70)+SUMIF(Tim!$BX$7:$BX$70,Ins!F30,Tim!$D$7:$D$70)+SUMIF(Tim!$BY$7:$BY$70,Ins!F30,Tim!$D$7:$D$70)+SUMIF(Tim!$BZ$7:$BZ$70,Ins!F30,Tim!$D$7:$D$70)+SUMIF(Tim!$CA$7:$CA$70,Ins!F30,Tim!$D$7:$D$70)+SUMIF(Tim!$CB$7:$CB$70,Ins!F30,Tim!$D$7:$D$70)+SUMIF(Tim!$CC$7:$CC$70,Ins!F30,Tim!$D$7:$D$70)+SUMIF(Tim!$CD$7:$CD$70,Ins!F30,Tim!$D$7:$D$70)+SUMIF(Tim!$CE$7:$CE$70,Ins!F30,Tim!$D$7:$D$70)+SUMIF(Tim!$CF$7:$CF$70,Ins!F30,Tim!$D$7:$D$70)</f>
        <v>0</v>
      </c>
      <c r="AB30" s="80">
        <f>SUMIF(Tim!CG$7:CG$70,Ins!F30,Tim!$C$7:$C$70)</f>
        <v>0</v>
      </c>
      <c r="AC30" s="80">
        <f>SUMIF(Tim!CH$7:CH$70,Ins!F30,Tim!$C$7:$C$70)</f>
        <v>0</v>
      </c>
      <c r="AD30" s="80">
        <f>SUMIF(Tim!CI$7:CI$70,Ins!F30,Tim!$C$7:$C$70)+SUMIF(Tim!CJ$7:CJ$70,Ins!F30,Tim!$C$7:$C$70)+SUMIF(Tim!CK$7:CK$70,Ins!F30,Tim!$C$7:$C$70)</f>
        <v>0</v>
      </c>
      <c r="AE30" s="81">
        <f>SUMIF(Tim!$CL$7:$CL$70,Ins!F30,Tim!$C$7:$C$70)+SUMIF(Tim!$CM$7:$CM$70,Ins!F30,Tim!$C$7:$C$70)+SUMIF(Tim!$CN$7:$CN$70,Ins!F30,Tim!$C$7:$C$70)+SUMIF(Tim!$CO$7:$CO$70,Ins!F30,Tim!$C$7:$C$70)+SUMIF(Tim!$CP$7:$CP$70,Ins!F30,Tim!$C$7:$C$70)</f>
        <v>0</v>
      </c>
      <c r="AF30" s="79">
        <f>SUMIF(Tim!$CQ$7:$CQ$70,Ins!F30,Tim!$B$7:$B$70)</f>
        <v>0</v>
      </c>
      <c r="AG30" s="80">
        <f>SUMIF(Tim!$CR$7:$CR$70,Ins!F30,Tim!$B$7:$B$70)+SUMIF(Tim!$CS$7:$CS$70,Ins!F30,Tim!$B$7:$B$70)+SUMIF(Tim!$CT$7:$CT$70,Ins!F30,Tim!$B$7:$B$70)+SUMIF(Tim!$CU$7:$CU$70,Ins!F30,Tim!$B$7:$B$70)+SUMIF(Tim!$CV$7:$CV$70,Ins!F30,Tim!$B$7:$B$70)+SUMIF(Tim!$CW$7:$CW$70,Ins!F30,Tim!$B$7:$B$70)</f>
        <v>0</v>
      </c>
      <c r="AH30" s="80">
        <f>SUMIF(Tim!$CX$7:$CX$70,Ins!F30,Tim!$B$7:$B$70)+SUMIF(Tim!$CY$7:$CY$70,Ins!F30,Tim!$B$7:$B$70)+SUMIF(Tim!$CZ$7:$CZ$70,Ins!F30,Tim!$B$7:$B$70)</f>
        <v>0</v>
      </c>
      <c r="AI30" s="80">
        <f>SUMIF(Tim!$DA$7:$DA$70,Ins!F30,Tim!$B$7:$B$70)+SUMIF(Tim!$DB$7:$DB$70,Ins!F30,Tim!$B$7:$B$70)+SUMIF(Tim!$DC$7:$DC$70,Ins!F30,Tim!$B$7:$B$70)+SUMIF(Tim!$DD$7:$DD$70,Ins!F30,Tim!$B$7:$B$70)+SUMIF(Tim!$DE$7:$DE$70,Ins!F30,Tim!$B$7:$B$70)</f>
        <v>0</v>
      </c>
      <c r="AJ30" s="80">
        <f>SUMIF(Tim!$DF$7:$DF$70,Ins!F30,Tim!$B$7:$B$70)+SUMIF(Tim!$DG$7:$DG$70,Ins!F30,Tim!$B$7:$B$70)+SUMIF(Tim!$DH$7:$DH$70,Ins!F30,Tim!$B$7:$B$70)</f>
        <v>0</v>
      </c>
      <c r="AK30" s="80">
        <f>SUMIF(Tim!DI$7:DI$70,Ins!F30,Tim!$B$7:$B$70)+SUMIF(Tim!DM$7:DM$70,Ins!F30,Tim!$B$7:$B$70)+SUMIF(Tim!DN$7:DN$70,Ins!F30,Tim!$B$7:$B$70)</f>
        <v>0</v>
      </c>
      <c r="AL30" s="80">
        <f>SUMIF(Tim!DO$7:DO$70,Ins!F30,Tim!$B$7:$B$70)</f>
        <v>0</v>
      </c>
      <c r="AM30" s="80">
        <f>SUMIF(Tim!$DP$7:$DP$70,Ins!F30,Tim!$D$7:$D$70)+SUMIF(Tim!$DQ$7:$DQ$70,Ins!F30,Tim!$D$7:$D$70)+SUMIF(Tim!$DR$7:$DR$70,Ins!F30,Tim!$D$7:$D$70)+SUMIF(Tim!$DS$7:$DS$70,Ins!F30,Tim!$D$7:$D$70)+SUMIF(Tim!$DT$7:$DT$70,Ins!F30,Tim!$D$7:$D$70)+SUMIF(Tim!$DU$7:$DU$70,Ins!F30,Tim!$D$7:$D$70)+SUMIF(Tim!$DV$7:$DV$70,Ins!F30,Tim!$D$7:$D$70)+SUMIF(Tim!$DW$7:$DW$70,Ins!F30,Tim!$D$7:$D$70)+SUMIF(Tim!$DX$7:$DX$70,Ins!F30,Tim!$D$7:$D$70)+SUMIF(Tim!$DY$7:$DY$70,Ins!F30,Tim!$D$7:$D$70)+SUMIF(Tim!$DZ$7:$DZ$70,Ins!F30,Tim!$D$7:$D$70)+SUMIF(Tim!$EA$7:$EA$70,Ins!F30,Tim!$D$7:$D$70)</f>
        <v>0</v>
      </c>
      <c r="AN30" s="80">
        <f>SUMIF(Tim!EB$7:EB$70,Ins!F30,Tim!$C$7:$C$70)</f>
        <v>0</v>
      </c>
      <c r="AO30" s="80">
        <f>SUMIF(Tim!EC$7:EC$70,Ins!F30,Tim!$C$7:$C$70)</f>
        <v>0</v>
      </c>
      <c r="AP30" s="80">
        <f>SUMIF(Tim!ED$7:ED$70,Ins!F30,Tim!$C$7:$C$70)+SUMIF(Tim!EE$7:EE$70,Ins!F30,Tim!$C$7:$C$70)+SUMIF(Tim!EF$7:EF$70,Ins!F30,Tim!$C$7:$C$70)</f>
        <v>0</v>
      </c>
      <c r="AQ30" s="81">
        <f>SUMIF(Tim!$EG$7:$EG$70,Ins!F30,Tim!$C$7:$C$70)+SUMIF(Tim!$EH$7:$EH$70,Ins!F30,Tim!$C$7:$C$70)+SUMIF(Tim!$EI$7:$EI$70,Ins!F30,Tim!$C$7:$C$70)+SUMIF(Tim!$EJ$7:$EJ$70,Ins!F30,Tim!$C$7:$C$70)+SUMIF(Tim!$EK$7:$EK$70,Ins!F30,Tim!$C$7:$C$70)</f>
        <v>0</v>
      </c>
      <c r="AR30" s="79">
        <f>SUMIF(Tim!$EL$5:$EL$70,Ins!F30,Tim!$B$5:$B$70)</f>
        <v>0</v>
      </c>
      <c r="AS30" s="80">
        <f>SUMIF(Tim!$EM$5:$EM$70,Ins!F30,Tim!$B$5:$B$70)+SUMIF(Tim!$EN$5:$EN$70,Ins!F30,Tim!$B$5:$B$70)+SUMIF(Tim!$EO$5:$EO$70,Ins!F30,Tim!$B$5:$B$70)+SUMIF(Tim!$EP$5:$EP$70,Ins!F30,Tim!$B$5:$B$70)+SUMIF(Tim!$EQ$5:$EQ$70,Ins!F30,Tim!$B$5:$B$70)+SUMIF(Tim!$ER$5:$ER$70,Ins!F30,Tim!$B$5:$B$70)</f>
        <v>0</v>
      </c>
      <c r="AT30" s="80">
        <f>SUMIF(Tim!$ES$5:$ES$70,Ins!F30,Tim!$B$5:$B$70)+SUMIF(Tim!$ET$5:$ET$70,Ins!F30,Tim!$B$5:$B$70)+SUMIF(Tim!$EU$5:$EU$70,Ins!F30,Tim!$B$5:$B$70)</f>
        <v>0</v>
      </c>
      <c r="AU30" s="80">
        <f>SUMIF(Tim!$EV$5:$EV$70,Ins!F30,Tim!$B$5:$B$70)+SUMIF(Tim!$EW$5:$EW$70,Ins!F30,Tim!$B$5:$B$70)+SUMIF(Tim!$EX$5:$EX$70,Ins!F30,Tim!$B$5:$B$70)+SUMIF(Tim!$EY$5:$EY$70,Ins!F30,Tim!$B$5:$B$70)+SUMIF(Tim!$EZ$5:$EZ$70,Ins!F30,Tim!$B$5:$B$70)</f>
        <v>0</v>
      </c>
      <c r="AV30" s="80">
        <f>SUMIF(Tim!$FA$5:$FA$70,Ins!F30,Tim!$B$5:$B$70)+SUMIF(Tim!$FB$5:$FB$70,Ins!F30,Tim!$B$5:$B$70)+SUMIF(Tim!$FC$5:$FC$70,Ins!F30,Tim!$B$5:$B$70)</f>
        <v>0</v>
      </c>
      <c r="AW30" s="80">
        <f>SUMIF(Tim!FD$5:FD$70,Ins!F30,Tim!$B$5:$B$70)+SUMIF(Tim!FE$5:FE$70,Ins!F30,Tim!$B$5:$B$70)+SUMIF(Tim!FF$5:FF$70,Ins!F30,Tim!$B$5:$B$70)</f>
        <v>0</v>
      </c>
      <c r="AX30" s="80">
        <f>SUMIF(Tim!FG$5:FG$70,Ins!F30,Tim!$B$5:$B$70)</f>
        <v>0</v>
      </c>
      <c r="AY30" s="80">
        <f>SUMIF(Tim!$FH$5:$FH$70,Ins!F30,Tim!$D$5:$D$70)+SUMIF(Tim!$FI$5:$FI$70,Ins!F30,Tim!$D$5:$D$70)+SUMIF(Tim!$FJ$5:$FJ$70,Ins!F30,Tim!$D$5:$D$70)+SUMIF(Tim!$FK$5:$FK$70,Ins!F30,Tim!$D$5:$D$70)+SUMIF(Tim!$FL$5:$FL$70,Ins!F30,Tim!$D$5:$D$70)+SUMIF(Tim!$FM$5:$FM$70,Ins!F30,Tim!$D$5:$D$70)+SUMIF(Tim!$FN$5:$FN$70,Ins!F30,Tim!$D$5:$D$70)+SUMIF(Tim!$FO$5:$FO$70,Ins!F30,Tim!$D$5:$D$70)+SUMIF(Tim!$FP$5:$FP$70,Ins!F30,Tim!$D$5:$D$70)+SUMIF(Tim!$FQ$5:$FQ$70,Ins!F30,Tim!$D$5:$D$70)+SUMIF(Tim!$FR$5:$FR$70,Ins!F30,Tim!$D$5:$D$70)+SUMIF(Tim!$FS$5:$FS$70,Ins!F30,Tim!$D$5:$D$70)</f>
        <v>0</v>
      </c>
      <c r="AZ30" s="80">
        <f>SUMIF(Tim!FT$5:FT$70,Ins!F30,Tim!$C$5:$C$70)</f>
        <v>0</v>
      </c>
      <c r="BA30" s="80">
        <f>SUMIF(Tim!FU$5:FU$70,Ins!F30,Tim!$C$5:$C$70)</f>
        <v>0</v>
      </c>
      <c r="BB30" s="80">
        <f>SUMIF(Tim!FV$5:FV$70,Ins!F30,Tim!$C$5:$C$70)+SUMIF(Tim!FW$5:FW$70,Ins!F30,Tim!$C$5:$C$70)+SUMIF(Tim!FX$5:FX$70,Ins!F30,Tim!$C$5:$C$70)</f>
        <v>0</v>
      </c>
      <c r="BC30" s="81">
        <f>SUMIF(Tim!$FY$5:$FY$70,Ins!F30,Tim!$C$5:$C$70)+SUMIF(Tim!$FZ$5:$FZ$70,Ins!F30,Tim!$C$5:$C$70)+SUMIF(Tim!$GA$5:$GA$70,Ins!F30,Tim!$C$5:$C$70)+SUMIF(Tim!$GB$5:$GB$70,Ins!F30,Tim!$C$5:$C$70)+SUMIF(Tim!$GC$5:$GC$70,Ins!F30,Tim!$C$5:$C$70)</f>
        <v>0</v>
      </c>
      <c r="BD30" s="79">
        <f>SUMIF(Tim!$GD$5:$GD$70,Ins!F30,Tim!$B$5:$B$70)</f>
        <v>0</v>
      </c>
      <c r="BE30" s="80">
        <f>SUMIF(Tim!$GE$5:$GE$70,Ins!F30,Tim!$B$5:$B$70)+SUMIF(Tim!$GF$5:$GF$70,Ins!F30,Tim!$B$5:$B$70)+SUMIF(Tim!$GG$5:$GG$70,Ins!F30,Tim!$B$5:$B$70)+SUMIF(Tim!$GH$5:$GH$70,Ins!F30,Tim!$B$5:$B$70)+SUMIF(Tim!$GI$5:$GI$70,Ins!F30,Tim!$B$5:$B$70)+SUMIF(Tim!$GJ$5:$GJ$70,Ins!F30,Tim!$B$5:$B$70)</f>
        <v>0</v>
      </c>
      <c r="BF30" s="80">
        <f>SUMIF(Tim!$GK$5:$GK$70,Ins!F30,Tim!$B$5:$B$70)+SUMIF(Tim!$GL$5:$GL$70,Ins!F30,Tim!$B$5:$B$70)+SUMIF(Tim!$GM$5:$GM$70,Ins!F30,Tim!$B$5:$B$70)</f>
        <v>0</v>
      </c>
      <c r="BG30" s="80">
        <f>SUMIF(Tim!$GN$5:$GN$70,Ins!F30,Tim!$B$5:$B$70)+SUMIF(Tim!$GO$5:$GO$70,Ins!F30,Tim!$B$5:$B$70)+SUMIF(Tim!$GP$5:$GP$70,Ins!F30,Tim!$B$5:$B$70)+SUMIF(Tim!$GQ$5:$GQ$70,Ins!F30,Tim!$B$5:$B$70)+SUMIF(Tim!$GR$5:$GR$70,Ins!F30,Tim!$B$5:$B$70)</f>
        <v>0</v>
      </c>
      <c r="BH30" s="80">
        <f>SUMIF(Tim!$GS$5:$GS$70,Ins!F30,Tim!$B$5:$B$70)+SUMIF(Tim!$GT$5:$GT$70,Ins!F30,Tim!$B$5:$B$70)+SUMIF(Tim!$GU$5:$GU$70,Ins!F30,Tim!$B$5:$B$70)</f>
        <v>0</v>
      </c>
      <c r="BI30" s="80">
        <f>SUMIF(Tim!GV$5:GV$70,Ins!F30,Tim!$B$5:$B$70)+SUMIF(Tim!GW$5:GW$70,Ins!F30,Tim!$B$5:$B$70)+SUMIF(Tim!GX$5:GX$70,Ins!F30,Tim!$B$5:$B$70)</f>
        <v>0</v>
      </c>
      <c r="BJ30" s="80">
        <f>SUMIF(Tim!GY$5:GY$70,Ins!F30,Tim!$B$5:$B$70)</f>
        <v>0</v>
      </c>
      <c r="BK30" s="80">
        <f>SUMIF(Tim!$GZ$5:$GZ$70,Ins!F30,Tim!$D$5:$D$70)+SUMIF(Tim!$HA$5:$HA$70,Ins!F30,Tim!$D$5:$D$70)+SUMIF(Tim!$HB$5:$HB$70,Ins!F30,Tim!$D$5:$D$70)++SUMIF(Tim!$HC$5:$HC$70,Ins!F30,Tim!$D$5:$D$70)+SUMIF(Tim!$HD$5:$HD$70,Ins!F30,Tim!$D$5:$D$70)+SUMIF(Tim!$HE$5:$HE$70,Ins!F30,Tim!$D$5:$D$70)+SUMIF(Tim!$HF$5:$HF$70,Ins!F30,Tim!$D$5:$D$70)+SUMIF(Tim!$HG$5:$HG$70,Ins!F30,Tim!$D$5:$D$70)+SUMIF(Tim!$HH$5:$HH$70,Ins!F30,Tim!$D$5:$D$70)+SUMIF(Tim!$HI$5:$HI$70,Ins!F30,Tim!$D$5:$D$70)+SUMIF(Tim!$HJ$5:$HJ$70,Ins!F30,Tim!$D$5:$D$70)+SUMIF(Tim!$HK$5:$HK$70,Ins!F30,Tim!$D$5:$D$70)</f>
        <v>0</v>
      </c>
      <c r="BL30" s="80">
        <f>SUMIF(Tim!HL$5:HL$70,Ins!F30,Tim!$C$5:$C$70)</f>
        <v>0</v>
      </c>
      <c r="BM30" s="80">
        <f>SUMIF(Tim!HM$5:HM$70,Ins!F30,Tim!$C$5:$C$70)</f>
        <v>0</v>
      </c>
      <c r="BN30" s="80">
        <f>SUMIF(Tim!HN$5:HN$70,Ins!F30,Tim!$C$5:$C$70)+SUMIF(Tim!HO$5:HO$70,Ins!F30,Tim!$C$5:$C$70)+SUMIF(Tim!HP$5:HP$70,Ins!F30,Tim!$C$5:$C$70)</f>
        <v>0</v>
      </c>
      <c r="BO30" s="81">
        <f>SUMIF(Tim!$HQ$5:$HQ$70,Ins!F30,Tim!$C$5:$C$70)+SUMIF(Tim!$HR$5:$HR$70,Ins!F30,Tim!$C$5:$C$70)+SUMIF(Tim!$HS$5:$HS$70,Ins!F30,Tim!$C$5:$C$70)+SUMIF(Tim!$HT$5:$HT$70,Ins!F30,Tim!$C$5:$C$70)+SUMIF(Tim!$HU$5:$HU$70,Ins!F30,Tim!$C$5:$C$70)</f>
        <v>0</v>
      </c>
      <c r="BP30" s="79">
        <f>SUMIF(Tim!$HV$7:$HV$70,Ins!F30,Tim!$B$7:$B$70)</f>
        <v>0</v>
      </c>
      <c r="BQ30" s="80">
        <f>SUMIF(Tim!$HW$7:$HW$70,Ins!F30,Tim!$B$7:$B$70)+SUMIF(Tim!$HX$7:$HX$70,Ins!F30,Tim!$B$7:$B$70)+SUMIF(Tim!$HY$7:$HY$70,Ins!F30,Tim!$B$7:$B$70)+SUMIF(Tim!$HZ$7:$HZ$70,Ins!F30,Tim!$B$7:$B$70)+SUMIF(Tim!$IA$7:$IA$70,Ins!F30,Tim!$B$7:$B$70)+SUMIF(Tim!$IB$7:$IB$70,Ins!F30,Tim!$B$7:$B$70)</f>
        <v>0</v>
      </c>
      <c r="BR30" s="80">
        <f>SUMIF(Tim!$IC$7:$IC$70,Ins!F30,Tim!$B$7:$B$70)+SUMIF(Tim!$ID$7:$ID$70,Ins!F30,Tim!$B$7:$B$70)+SUMIF(Tim!$IE$7:$IE$70,Ins!F30,Tim!$B$7:$B$70)</f>
        <v>0</v>
      </c>
      <c r="BS30" s="80">
        <f>SUMIF(Tim!$IF$7:$IF$70,Ins!F30,Tim!$B$7:$B$70)+SUMIF(Tim!$IG$7:$IG$70,Ins!F30,Tim!$B$7:$B$70)+SUMIF(Tim!$IH$7:$IH$70,Ins!F30,Tim!$B$7:$B$70)+SUMIF(Tim!$II$7:$II$70,Ins!F30,Tim!$B$7:$B$70)+SUMIF(Tim!$IJ$7:$IJ$70,Ins!F30,Tim!$B$7:$B$70)</f>
        <v>0</v>
      </c>
      <c r="BT30" s="80">
        <f>SUMIF(Tim!$IK$7:$IK$70,Ins!F30,Tim!$B$7:$B$70)+SUMIF(Tim!$IL$7:$IL$70,Ins!F30,Tim!$B$7:$B$70)+SUMIF(Tim!$IM$7:$IM$70,Ins!F30,Tim!$B$7:$B$70)</f>
        <v>0</v>
      </c>
      <c r="BU30" s="80">
        <f>SUMIF(Tim!$IN$7:$IN$70,Ins!F30,Tim!$B$7:$B$70)+SUMIF(Tim!$IO$7:$IO$70,Ins!F30,Tim!$B$7:$B$70)+SUMIF(Tim!$IP$7:$IP$70,Ins!F30,Tim!$B$7:$B$70)</f>
        <v>0</v>
      </c>
      <c r="BV30" s="80">
        <f>SUMIF(Tim!$IQ$7:$IQ$70,Ins!F30,Tim!$B$7:$B$70)</f>
        <v>0</v>
      </c>
      <c r="BW30" s="80">
        <f>SUMIF(Tim!$IR$7:$IR$70,Ins!F30,Tim!$D$7:$D$70)+SUMIF(Tim!$IS$7:$IS$70,Ins!F30,Tim!$D$7:$D$70)+SUMIF(Tim!$IT$7:$IT$70,Ins!F30,Tim!$D$7:$D$70)+SUMIF(Tim!$IU$7:$IU$70,Ins!F30,Tim!$D$7:$D$70)+SUMIF(Tim!$IV$7:$IV$70,Ins!F30,Tim!$D$7:$D$70)+SUMIF(Tim!$IW$7:$IW$70,Ins!F30,Tim!$D$7:$D$70)+SUMIF(Tim!$IX$7:$IX$70,Ins!F30,Tim!$D$7:$D$70)+SUMIF(Tim!$IY$7:$IY$70,Ins!F30,Tim!$D$7:$D$70)+SUMIF(Tim!$IZ$7:$IZ$70,Ins!F30,Tim!$D$7:$D$70)+SUMIF(Tim!$JA$7:$JA$70,Ins!F30,Tim!$D$7:$D$70)+SUMIF(Tim!$JB$7:$JB$70,Ins!F30,Tim!$D$7:$D$70)+SUMIF(Tim!$JC$7:$JC$70,Ins!F30,Tim!$D$7:$D$70)</f>
        <v>0</v>
      </c>
      <c r="BX30" s="80">
        <f>SUMIF(Tim!JD$7:JD$70,Ins!F30,Tim!$C$7:$C$70)</f>
        <v>0</v>
      </c>
      <c r="BY30" s="80">
        <f>SUMIF(Tim!JE$7:JE$70,Ins!F30,Tim!$C$7:$C$70)</f>
        <v>0</v>
      </c>
      <c r="BZ30" s="80">
        <f>SUMIF(Tim!JF$7:JF$70,Ins!F30,Tim!$C$7:$C$70)+SUMIF(Tim!JG$7:JG$70,Ins!F30,Tim!$C$7:$C$70)+SUMIF(Tim!JH$7:JH$70,Ins!F30,Tim!$C$7:$C$70)</f>
        <v>0</v>
      </c>
      <c r="CA30" s="81">
        <f>SUMIF(Tim!$JI$7:$JI$70,Ins!F30,Tim!$C$7:$C$70)++SUMIF(Tim!$JJ$7:$JJ$70,Ins!F30,Tim!$C$7:$C$70)+SUMIF(Tim!$JK$7:$JK$70,Ins!F30,Tim!$C$7:$C$70)+SUMIF(Tim!$JL$7:$JL$70,Ins!F30,Tim!$C$7:$C$70)+SUMIF(Tim!$JM$7:$JM$70,Ins!F30,Tim!$C$7:$C$70)</f>
        <v>0</v>
      </c>
      <c r="CB30" s="79">
        <f>SUMIF(Tim!$JN$7:$JN$70,Ins!F30,Tim!$B$7:$B$70)</f>
        <v>0</v>
      </c>
      <c r="CC30" s="80">
        <f>SUMIF(Tim!$JO$7:$JO$70,Ins!F30,Tim!$B$7:$B$70)+SUMIF(Tim!$JP$7:$JP$70,Ins!F30,Tim!$B$7:$B$70)+SUMIF(Tim!$JQ$7:$JQ$70,Ins!F30,Tim!$B$7:$B$70)+SUMIF(Tim!$JR$7:$JR$70,Ins!F30,Tim!$B$7:$B$70)+SUMIF(Tim!$JS$7:$JS$70,Ins!F30,Tim!$B$7:$B$70)+SUMIF(Tim!$JT$7:$JT$70,Ins!F30,Tim!$B$7:$B$70)</f>
        <v>0</v>
      </c>
      <c r="CD30" s="80">
        <f>SUMIF(Tim!$JW$7:$JW$70,Ins!F30,Tim!$B$7:$B$70)+SUMIF(Tim!$JU$7:$JU$70,Ins!F30,Tim!$B$7:$B$70)+SUMIF(Tim!$JV$7:$JV$70,Ins!F30,Tim!$B$7:$B$70)</f>
        <v>0</v>
      </c>
      <c r="CE30" s="80">
        <f>SUMIF(Tim!$JX$7:$JX$70,Ins!F30,Tim!$B$7:$B$70)+SUMIF(Tim!$JY$7:$JY$70,Ins!F30,Tim!$B$7:$B$70)+SUMIF(Tim!$JZ$7:$JZ$70,Ins!F30,Tim!$B$7:$B$70)+SUMIF(Tim!$KA$7:$KA$70,Ins!F30,Tim!$B$7:$B$70)+SUMIF(Tim!$KB$7:$KB$70,Ins!F30,Tim!$B$7:$B$70)</f>
        <v>0</v>
      </c>
      <c r="CF30" s="80">
        <f>SUMIF(Tim!$KE$7:$KE$70,Ins!F30,Tim!$B$7:$B$70)+SUMIF(Tim!$KC$7:$KC$70,Ins!F30,Tim!$B$7:$B$70)+SUMIF(Tim!$KD$7:$KD$70,Ins!F30,Tim!$B$7:$B$70)</f>
        <v>0</v>
      </c>
      <c r="CG30" s="80">
        <f>SUMIF(Tim!$KF$7:$KF$70,Ins!F30,Tim!$B$7:$B$70)+SUMIF(Tim!$KG$7:$KG$70,Ins!F30,Tim!$B$7:$B$70)+SUMIF(Tim!$KH$7:$KH$70,Ins!F30,Tim!$B$7:$B$70)</f>
        <v>0</v>
      </c>
      <c r="CH30" s="80">
        <f>SUMIF(Tim!$KI$7:$KI$70,Ins!F30,Tim!$B$7:$B$70)</f>
        <v>0</v>
      </c>
      <c r="CI30" s="80">
        <f>SUMIF(Tim!$KJ$7:$KJ$70,Ins!F30,Tim!$D$7:$D$70)+SUMIF(Tim!$KK$7:$KK$70,Ins!F30,Tim!$D$7:$D$70)+SUMIF(Tim!$KL$7:$KL$70,Ins!F30,Tim!$D$7:$D$70)+SUMIF(Tim!$KM$7:$KM$70,Ins!F30,Tim!$D$7:$D$70)+SUMIF(Tim!$KN$7:$KN$70,Ins!F30,Tim!$D$7:$D$70)+SUMIF(Tim!$KO$7:$KO$70,Ins!F30,Tim!$D$7:$D$70)+SUMIF(Tim!$KP$7:$KP$70,Ins!F30,Tim!$D$7:$D$70)+SUMIF(Tim!$KQ$7:$KQ$70,Ins!F30,Tim!$D$7:$D$70)+SUMIF(Tim!$KR$7:$KR$70,Ins!F30,Tim!$D$7:$D$70)+SUMIF(Tim!$KS$7:$KS$70,Ins!F30,Tim!$D$7:$D$70)+SUMIF(Tim!$KT$7:$KT$70,Ins!F30,Tim!$D$7:$D$70)+SUMIF(Tim!$KU$7:$KU$70,Ins!F30,Tim!$D$7:$D$70)</f>
        <v>0</v>
      </c>
      <c r="CJ30" s="80">
        <f>SUMIF(Tim!KV$7:KV$70,Ins!F30,Tim!$C$7:$C$70)</f>
        <v>0</v>
      </c>
      <c r="CK30" s="80">
        <f>SUMIF(Tim!KW$7:KW$70,Ins!F30,Tim!$C$7:$C$70)</f>
        <v>0</v>
      </c>
      <c r="CL30" s="80">
        <f>SUMIF(Tim!KX$7:KX$70,Ins!F30,Tim!$C$7:$C$70)+SUMIF(Tim!KY$7:KY$70,Ins!F30,Tim!$C$7:$C$70)+SUMIF(Tim!KZ$7:KZ$70,Ins!F30,Tim!$C$7:$C$70)</f>
        <v>0</v>
      </c>
      <c r="CM30" s="81">
        <f>SUMIF(Tim!$LA$7:$LA$70,Ins!F30,Tim!$C$7:$C$70)+SUMIF(Tim!$LB$7:$LB$70,Ins!F30,Tim!$C$7:$C$70)+SUMIF(Tim!$LC$7:$LC$70,Ins!F30,Tim!$C$7:$C$70)+SUMIF(Tim!$LD$7:$LD$70,Ins!F30,Tim!$C$7:$C$70)+SUMIF(Tim!$LE$7:$LE$70,Ins!F30,Tim!$C$7:$C$70)</f>
        <v>0</v>
      </c>
      <c r="CN30" s="22"/>
      <c r="CO30" s="180">
        <f t="shared" si="158"/>
        <v>0</v>
      </c>
      <c r="CP30" s="179">
        <f t="shared" si="159"/>
        <v>0</v>
      </c>
      <c r="CQ30" s="179">
        <f t="shared" si="160"/>
        <v>0</v>
      </c>
      <c r="CR30" s="179">
        <f t="shared" si="161"/>
        <v>0</v>
      </c>
      <c r="CS30" s="179">
        <f t="shared" si="162"/>
        <v>0</v>
      </c>
      <c r="CT30" s="179">
        <f t="shared" si="163"/>
        <v>0</v>
      </c>
      <c r="CU30" s="179">
        <f t="shared" si="164"/>
        <v>0</v>
      </c>
      <c r="CV30" s="179">
        <f t="shared" si="165"/>
        <v>0</v>
      </c>
      <c r="CW30" s="179">
        <f t="shared" si="166"/>
        <v>0</v>
      </c>
      <c r="CX30" s="179">
        <f t="shared" si="167"/>
        <v>0</v>
      </c>
      <c r="CY30" s="179">
        <f t="shared" si="172"/>
        <v>0</v>
      </c>
      <c r="CZ30" s="179">
        <f t="shared" si="173"/>
        <v>0</v>
      </c>
      <c r="DA30" s="78">
        <f t="shared" si="174"/>
        <v>0</v>
      </c>
      <c r="DB30" s="16"/>
      <c r="DC30" s="34">
        <f t="shared" si="170"/>
        <v>0</v>
      </c>
      <c r="DD30" s="34">
        <f t="shared" si="15"/>
        <v>0</v>
      </c>
      <c r="DE30" s="34">
        <f t="shared" si="16"/>
        <v>0</v>
      </c>
      <c r="DF30" s="34">
        <f t="shared" si="20"/>
        <v>0</v>
      </c>
      <c r="DG30" s="34">
        <f t="shared" si="17"/>
        <v>0</v>
      </c>
      <c r="DH30" s="34">
        <f t="shared" si="18"/>
        <v>0</v>
      </c>
      <c r="DI30" s="34">
        <f t="shared" si="19"/>
        <v>0</v>
      </c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7"/>
    </row>
    <row r="31" spans="1:125" ht="12" customHeight="1">
      <c r="A31" s="10">
        <v>29</v>
      </c>
      <c r="B31" s="229" t="s">
        <v>452</v>
      </c>
      <c r="C31" s="185"/>
      <c r="D31" s="230"/>
      <c r="E31" s="230" t="s">
        <v>373</v>
      </c>
      <c r="F31" s="185" t="s">
        <v>357</v>
      </c>
      <c r="G31" s="205" t="s">
        <v>191</v>
      </c>
      <c r="H31" s="79">
        <f>SUMIF(Tim!$F$7:$F$70,Ins!F31,Tim!$B$7:$B$70)</f>
        <v>0</v>
      </c>
      <c r="I31" s="80">
        <f>SUMIF(Tim!$G$7:$G$70,Ins!F31,Tim!$B$7:$B$70)+SUMIF(Tim!$H$7:$H$70,Ins!F31,Tim!$B$7:$B$70)+SUMIF(Tim!$I$7:$I$70,Ins!F31,Tim!$B$7:$B$70)+SUMIF(Tim!$J$7:$J$70,Ins!F31,Tim!$B$7:$B$70)+SUMIF(Tim!$K$7:$K$70,Ins!F31,Tim!$B$7:$B$70)+SUMIF(Tim!$L$7:$L$70,Ins!F31,Tim!$B$7:$B$70)</f>
        <v>0</v>
      </c>
      <c r="J31" s="80">
        <f>SUMIF(Tim!$M$7:$M$70,Ins!F31,Tim!$B$7:$B$70)+SUMIF(Tim!$O$7:$O$70,Ins!F31,Tim!$B$7:$B$70)+SUMIF(Tim!$N$7:$N$70,Ins!F31,Tim!$B$7:$B$70)</f>
        <v>0</v>
      </c>
      <c r="K31" s="80">
        <f>SUMIF(Tim!$P$7:$P$70,Ins!F31,Tim!$B$7:$B$70)+SUMIF(Tim!$Q$7:$Q$70,Ins!F31,Tim!$B$7:$B$70)+SUMIF(Tim!$R$7:$R$70,Ins!F31,Tim!$B$7:$B$70)+SUMIF(Tim!$S$7:$S$70,Ins!F31,Tim!$B$7:$B$70)+SUMIF(Tim!$T$7:$T$70,Ins!F31,Tim!$B$7:$B$70)</f>
        <v>0</v>
      </c>
      <c r="L31" s="80">
        <f>SUMIF(Tim!$U$7:$U$70,Ins!F31,Tim!$B$7:$B$70)+SUMIF(Tim!$W$7:$W$70,Ins!F31,Tim!$B$7:$B$70)+SUMIF(Tim!$X$7:$X$70,Ins!F31,Tim!$B$7:$B$70)</f>
        <v>0</v>
      </c>
      <c r="M31" s="80">
        <f>SUMIF(Tim!$Y$7:$Y$70,Ins!F31,Tim!$B$7:$B$70)+SUMIF(Tim!$Z$7:$Z$70,Ins!F31,Tim!$B$7:$B$70)+SUMIF(Tim!$AA$7:$AA$70,Ins!F31,Tim!$B$7:$B$70)</f>
        <v>0</v>
      </c>
      <c r="N31" s="80">
        <f>SUMIF(Tim!$AB$7:$AB$70,Ins!F31,Tim!$B$7:$B$70)</f>
        <v>0</v>
      </c>
      <c r="O31" s="80">
        <f>SUMIF(Tim!$AC$7:$AC$70,Ins!F31,Tim!$D$7:$D$70)+SUMIF(Tim!$AD$7:$AD$70,Ins!F31,Tim!$D$7:$D$70)+SUMIF(Tim!$AE$7:$AE$70,Ins!F31,Tim!$D$7:$D$70)+SUMIF(Tim!$AF$7:$AF$70,Ins!F31,Tim!$D$7:$D$70)+SUMIF(Tim!$AG$7:$AG$70,Ins!F31,Tim!$D$7:$D$70)+SUMIF(Tim!$AH$7:$AH$70,Ins!F31,Tim!$D$7:$D$70)+SUMIF(Tim!$AI$7:$AI$70,Ins!F31,Tim!$D$7:$D$70)+SUMIF(Tim!$AJ$7:$AJ$70,Ins!F31,Tim!$D$7:$D$70)+SUMIF(Tim!$AK$7:$AK$70,Ins!F31,Tim!$D$7:$D$70)+SUMIF(Tim!$AL$7:$AL$70,Ins!F31,Tim!$D$7:$D$70)+SUMIF(Tim!$AM$7:$AM$70,Ins!F31,Tim!$D$7:$D$70)+SUMIF(Tim!$AN$7:$AN$70,Ins!F31,Tim!$D$7:$D$70)</f>
        <v>0</v>
      </c>
      <c r="P31" s="80">
        <f>SUMIF(Tim!AO$7:AO$70,Ins!F31,Tim!$C$7:$C$70)</f>
        <v>0</v>
      </c>
      <c r="Q31" s="80">
        <f>SUMIF(Tim!AP$7:AP$70,Ins!F31,Tim!$C$7:$C$70)</f>
        <v>0</v>
      </c>
      <c r="R31" s="80">
        <f>SUMIF(Tim!AQ$7:AQ$70,Ins!F31,Tim!$C$7:$C$70)+SUMIF(Tim!AR$7:AR$70,Ins!F31,Tim!$C$7:$C$70)+SUMIF(Tim!AS$7:AS$70,Ins!F31,Tim!$C$7:$C$70)</f>
        <v>0</v>
      </c>
      <c r="S31" s="236">
        <f>SUMIF(Tim!$AT$7:$AT$70,Ins!F31,Tim!$C$7:$C$70)+SUMIF(Tim!$AU$7:$AU$70,Ins!F31,Tim!$C$7:$C91)+SUMIF(Tim!$AV$7:$AV$70,Ins!F31,Tim!$C$7:$C$70)+SUMIF(Tim!$AW$7:$AW$70,Ins!F31,Tim!$C$7:$C$70)+SUMIF(Tim!$AX$7:$AX$70,Ins!F31,Tim!$C$7:$C$70)</f>
        <v>0</v>
      </c>
      <c r="T31" s="79">
        <f>SUMIF(Tim!$AY$7:$AY$70,Ins!F31,Tim!$B$7:$B$70)</f>
        <v>0</v>
      </c>
      <c r="U31" s="80">
        <f>SUMIF(Tim!$AZ$7:$AZ$70,Ins!F31,Tim!$B$7:$B$70)+SUMIF(Tim!$BA$7:$BA$70,Ins!F31,Tim!$B$7:$B$70)+SUMIF(Tim!$BB$7:$BB$70,Ins!F31,Tim!$B$7:$B$70)+SUMIF(Tim!$BC$7:$BC$70,Ins!F31,Tim!$B$7:$B$70)+SUMIF(Tim!$BD$7:$BD$70,Ins!F31,Tim!$B$7:$B$70)+SUMIF(Tim!$BE$7:$BE$70,Ins!F31,Tim!$B$7:$B$70)</f>
        <v>0</v>
      </c>
      <c r="V31" s="80">
        <f>SUMIF(Tim!$BF$7:$BF$70,Ins!F31,Tim!$B$7:$B$70)+SUMIF(Tim!$BG$7:$BG$70,Ins!F31,Tim!$B$7:$B$70)+SUMIF(Tim!$BH$7:$BH$70,Ins!F31,Tim!$B$7:$B$70)</f>
        <v>0</v>
      </c>
      <c r="W31" s="80">
        <f>SUMIF(Tim!$BI$7:$BI$70,Ins!F31,Tim!$B$7:$B$70)+SUMIF(Tim!$BJ$7:$BJ$70,Ins!F31,Tim!$B$7:$B$70)+SUMIF(Tim!$BK$7:$BK$70,Ins!F31,Tim!$B$7:$B$70)+SUMIF(Tim!$BL$7:$BL$70,Ins!F31,Tim!$B$7:$B$70)+SUMIF(Tim!$BM$7:$BM$70,Ins!F31,Tim!$B$7:$B$70)</f>
        <v>0</v>
      </c>
      <c r="X31" s="80">
        <f>SUMIF(Tim!$BN$7:$BN$70,Ins!F31,Tim!$B$7:$B$70)+SUMIF(Tim!$BO$7:$BO$70,Ins!F31,Tim!$B$7:$B$70)+SUMIF(Tim!$BP$7:$BP$70,Ins!F31,Tim!$B$7:$B$70)</f>
        <v>0</v>
      </c>
      <c r="Y31" s="80">
        <f>SUMIF(Tim!$BQ$7:$BQ$70,Ins!F31,Tim!$B$7:$B$70)+SUMIF(Tim!$BR$7:$BR$70,Ins!F31,Tim!$B$7:$B$70)+SUMIF(Tim!$BS$7:$BS$70,Ins!F31,Tim!$B$7:$B$70)</f>
        <v>0</v>
      </c>
      <c r="Z31" s="80">
        <f>SUMIF(Tim!BT$7:BT$70,Ins!F31,Tim!$B$7:$B$70)</f>
        <v>0</v>
      </c>
      <c r="AA31" s="80">
        <f>SUMIF(Tim!$BU$7:$BU$70,Ins!F31,Tim!$D$7:$D$70)+SUMIF(Tim!$BV$7:$BV$70,Ins!F31,Tim!$D$7:$D$70)+SUMIF(Tim!$BW$7:$BW$70,Ins!F31,Tim!$D$7:$D$70)+SUMIF(Tim!$BX$7:$BX$70,Ins!F31,Tim!$D$7:$D$70)+SUMIF(Tim!$BY$7:$BY$70,Ins!F31,Tim!$D$7:$D$70)+SUMIF(Tim!$BZ$7:$BZ$70,Ins!F31,Tim!$D$7:$D$70)+SUMIF(Tim!$CA$7:$CA$70,Ins!F31,Tim!$D$7:$D$70)+SUMIF(Tim!$CB$7:$CB$70,Ins!F31,Tim!$D$7:$D$70)+SUMIF(Tim!$CC$7:$CC$70,Ins!F31,Tim!$D$7:$D$70)+SUMIF(Tim!$CD$7:$CD$70,Ins!F31,Tim!$D$7:$D$70)+SUMIF(Tim!$CE$7:$CE$70,Ins!F31,Tim!$D$7:$D$70)+SUMIF(Tim!$CF$7:$CF$70,Ins!F31,Tim!$D$7:$D$70)</f>
        <v>0</v>
      </c>
      <c r="AB31" s="80">
        <f>SUMIF(Tim!CG$7:CG$70,Ins!F31,Tim!$C$7:$C$70)</f>
        <v>0</v>
      </c>
      <c r="AC31" s="80">
        <f>SUMIF(Tim!CH$7:CH$70,Ins!F31,Tim!$C$7:$C$70)</f>
        <v>0</v>
      </c>
      <c r="AD31" s="80">
        <f>SUMIF(Tim!CI$7:CI$70,Ins!F31,Tim!$C$7:$C$70)+SUMIF(Tim!CJ$7:CJ$70,Ins!F31,Tim!$C$7:$C$70)+SUMIF(Tim!CK$7:CK$70,Ins!F31,Tim!$C$7:$C$70)</f>
        <v>0</v>
      </c>
      <c r="AE31" s="81">
        <f>SUMIF(Tim!$CL$7:$CL$70,Ins!F31,Tim!$C$7:$C$70)+SUMIF(Tim!$CM$7:$CM$70,Ins!F31,Tim!$C$7:$C$70)+SUMIF(Tim!$CN$7:$CN$70,Ins!F31,Tim!$C$7:$C$70)+SUMIF(Tim!$CO$7:$CO$70,Ins!F31,Tim!$C$7:$C$70)+SUMIF(Tim!$CP$7:$CP$70,Ins!F31,Tim!$C$7:$C$70)</f>
        <v>0</v>
      </c>
      <c r="AF31" s="79">
        <f>SUMIF(Tim!$CQ$7:$CQ$70,Ins!F31,Tim!$B$7:$B$70)</f>
        <v>0</v>
      </c>
      <c r="AG31" s="80">
        <f>SUMIF(Tim!$CR$7:$CR$70,Ins!F31,Tim!$B$7:$B$70)+SUMIF(Tim!$CS$7:$CS$70,Ins!F31,Tim!$B$7:$B$70)+SUMIF(Tim!$CT$7:$CT$70,Ins!F31,Tim!$B$7:$B$70)+SUMIF(Tim!$CU$7:$CU$70,Ins!F31,Tim!$B$7:$B$70)+SUMIF(Tim!$CV$7:$CV$70,Ins!F31,Tim!$B$7:$B$70)+SUMIF(Tim!$CW$7:$CW$70,Ins!F31,Tim!$B$7:$B$70)</f>
        <v>0</v>
      </c>
      <c r="AH31" s="80">
        <f>SUMIF(Tim!$CX$7:$CX$70,Ins!F31,Tim!$B$7:$B$70)+SUMIF(Tim!$CY$7:$CY$70,Ins!F31,Tim!$B$7:$B$70)+SUMIF(Tim!$CZ$7:$CZ$70,Ins!F31,Tim!$B$7:$B$70)</f>
        <v>0</v>
      </c>
      <c r="AI31" s="80">
        <f>SUMIF(Tim!$DA$7:$DA$70,Ins!F31,Tim!$B$7:$B$70)+SUMIF(Tim!$DB$7:$DB$70,Ins!F31,Tim!$B$7:$B$70)+SUMIF(Tim!$DC$7:$DC$70,Ins!F31,Tim!$B$7:$B$70)+SUMIF(Tim!$DD$7:$DD$70,Ins!F31,Tim!$B$7:$B$70)+SUMIF(Tim!$DE$7:$DE$70,Ins!F31,Tim!$B$7:$B$70)</f>
        <v>0</v>
      </c>
      <c r="AJ31" s="80">
        <f>SUMIF(Tim!$DF$7:$DF$70,Ins!F31,Tim!$B$7:$B$70)+SUMIF(Tim!$DG$7:$DG$70,Ins!F31,Tim!$B$7:$B$70)+SUMIF(Tim!$DH$7:$DH$70,Ins!F31,Tim!$B$7:$B$70)</f>
        <v>0</v>
      </c>
      <c r="AK31" s="80">
        <f>SUMIF(Tim!DI$7:DI$70,Ins!F31,Tim!$B$7:$B$70)+SUMIF(Tim!DM$7:DM$70,Ins!F31,Tim!$B$7:$B$70)+SUMIF(Tim!DN$7:DN$70,Ins!F31,Tim!$B$7:$B$70)</f>
        <v>0</v>
      </c>
      <c r="AL31" s="80">
        <f>SUMIF(Tim!DO$7:DO$70,Ins!F31,Tim!$B$7:$B$70)</f>
        <v>0</v>
      </c>
      <c r="AM31" s="80">
        <f>SUMIF(Tim!$DP$7:$DP$70,Ins!F31,Tim!$D$7:$D$70)+SUMIF(Tim!$DQ$7:$DQ$70,Ins!F31,Tim!$D$7:$D$70)+SUMIF(Tim!$DR$7:$DR$70,Ins!F31,Tim!$D$7:$D$70)+SUMIF(Tim!$DS$7:$DS$70,Ins!F31,Tim!$D$7:$D$70)+SUMIF(Tim!$DT$7:$DT$70,Ins!F31,Tim!$D$7:$D$70)+SUMIF(Tim!$DU$7:$DU$70,Ins!F31,Tim!$D$7:$D$70)+SUMIF(Tim!$DV$7:$DV$70,Ins!F31,Tim!$D$7:$D$70)+SUMIF(Tim!$DW$7:$DW$70,Ins!F31,Tim!$D$7:$D$70)+SUMIF(Tim!$DX$7:$DX$70,Ins!F31,Tim!$D$7:$D$70)+SUMIF(Tim!$DY$7:$DY$70,Ins!F31,Tim!$D$7:$D$70)+SUMIF(Tim!$DZ$7:$DZ$70,Ins!F31,Tim!$D$7:$D$70)+SUMIF(Tim!$EA$7:$EA$70,Ins!F31,Tim!$D$7:$D$70)</f>
        <v>1.5</v>
      </c>
      <c r="AN31" s="80">
        <f>SUMIF(Tim!EB$7:EB$70,Ins!F31,Tim!$C$7:$C$70)</f>
        <v>0</v>
      </c>
      <c r="AO31" s="80">
        <f>SUMIF(Tim!EC$7:EC$70,Ins!F31,Tim!$C$7:$C$70)</f>
        <v>0</v>
      </c>
      <c r="AP31" s="80">
        <f>SUMIF(Tim!ED$7:ED$70,Ins!F31,Tim!$C$7:$C$70)+SUMIF(Tim!EE$7:EE$70,Ins!F31,Tim!$C$7:$C$70)+SUMIF(Tim!EF$7:EF$70,Ins!F31,Tim!$C$7:$C$70)</f>
        <v>0</v>
      </c>
      <c r="AQ31" s="81">
        <f>SUMIF(Tim!$EG$7:$EG$70,Ins!F31,Tim!$C$7:$C$70)+SUMIF(Tim!$EH$7:$EH$70,Ins!F31,Tim!$C$7:$C$70)+SUMIF(Tim!$EI$7:$EI$70,Ins!F31,Tim!$C$7:$C$70)+SUMIF(Tim!$EJ$7:$EJ$70,Ins!F31,Tim!$C$7:$C$70)+SUMIF(Tim!$EK$7:$EK$70,Ins!F31,Tim!$C$7:$C$70)</f>
        <v>0</v>
      </c>
      <c r="AR31" s="79">
        <f>SUMIF(Tim!$EL$5:$EL$70,Ins!F31,Tim!$B$5:$B$70)</f>
        <v>0</v>
      </c>
      <c r="AS31" s="80">
        <f>SUMIF(Tim!$EM$5:$EM$70,Ins!F31,Tim!$B$5:$B$70)+SUMIF(Tim!$EN$5:$EN$70,Ins!F31,Tim!$B$5:$B$70)+SUMIF(Tim!$EO$5:$EO$70,Ins!F31,Tim!$B$5:$B$70)+SUMIF(Tim!$EP$5:$EP$70,Ins!F31,Tim!$B$5:$B$70)+SUMIF(Tim!$EQ$5:$EQ$70,Ins!F31,Tim!$B$5:$B$70)+SUMIF(Tim!$ER$5:$ER$70,Ins!F31,Tim!$B$5:$B$70)</f>
        <v>0</v>
      </c>
      <c r="AT31" s="80">
        <f>SUMIF(Tim!$ES$5:$ES$70,Ins!F31,Tim!$B$5:$B$70)+SUMIF(Tim!$ET$5:$ET$70,Ins!F31,Tim!$B$5:$B$70)+SUMIF(Tim!$EU$5:$EU$70,Ins!F31,Tim!$B$5:$B$70)</f>
        <v>0</v>
      </c>
      <c r="AU31" s="80">
        <f>SUMIF(Tim!$EV$5:$EV$70,Ins!F31,Tim!$B$5:$B$70)+SUMIF(Tim!$EW$5:$EW$70,Ins!F31,Tim!$B$5:$B$70)+SUMIF(Tim!$EX$5:$EX$70,Ins!F31,Tim!$B$5:$B$70)+SUMIF(Tim!$EY$5:$EY$70,Ins!F31,Tim!$B$5:$B$70)+SUMIF(Tim!$EZ$5:$EZ$70,Ins!F31,Tim!$B$5:$B$70)</f>
        <v>0</v>
      </c>
      <c r="AV31" s="80">
        <f>SUMIF(Tim!$FA$5:$FA$70,Ins!F31,Tim!$B$5:$B$70)+SUMIF(Tim!$FB$5:$FB$70,Ins!F31,Tim!$B$5:$B$70)+SUMIF(Tim!$FC$5:$FC$70,Ins!F31,Tim!$B$5:$B$70)</f>
        <v>0</v>
      </c>
      <c r="AW31" s="80">
        <f>SUMIF(Tim!FD$5:FD$70,Ins!F31,Tim!$B$5:$B$70)+SUMIF(Tim!FE$5:FE$70,Ins!F31,Tim!$B$5:$B$70)+SUMIF(Tim!FF$5:FF$70,Ins!F31,Tim!$B$5:$B$70)</f>
        <v>0</v>
      </c>
      <c r="AX31" s="80">
        <f>SUMIF(Tim!FG$5:FG$70,Ins!F31,Tim!$B$5:$B$70)</f>
        <v>0</v>
      </c>
      <c r="AY31" s="80">
        <f>SUMIF(Tim!$FH$5:$FH$70,Ins!F31,Tim!$D$5:$D$70)+SUMIF(Tim!$FI$5:$FI$70,Ins!F31,Tim!$D$5:$D$70)+SUMIF(Tim!$FJ$5:$FJ$70,Ins!F31,Tim!$D$5:$D$70)+SUMIF(Tim!$FK$5:$FK$70,Ins!F31,Tim!$D$5:$D$70)+SUMIF(Tim!$FL$5:$FL$70,Ins!F31,Tim!$D$5:$D$70)+SUMIF(Tim!$FM$5:$FM$70,Ins!F31,Tim!$D$5:$D$70)+SUMIF(Tim!$FN$5:$FN$70,Ins!F31,Tim!$D$5:$D$70)+SUMIF(Tim!$FO$5:$FO$70,Ins!F31,Tim!$D$5:$D$70)+SUMIF(Tim!$FP$5:$FP$70,Ins!F31,Tim!$D$5:$D$70)+SUMIF(Tim!$FQ$5:$FQ$70,Ins!F31,Tim!$D$5:$D$70)+SUMIF(Tim!$FR$5:$FR$70,Ins!F31,Tim!$D$5:$D$70)+SUMIF(Tim!$FS$5:$FS$70,Ins!F31,Tim!$D$5:$D$70)</f>
        <v>1.5</v>
      </c>
      <c r="AZ31" s="80">
        <f>SUMIF(Tim!FT$5:FT$70,Ins!F31,Tim!$C$5:$C$70)</f>
        <v>0</v>
      </c>
      <c r="BA31" s="80">
        <f>SUMIF(Tim!FU$5:FU$70,Ins!F31,Tim!$C$5:$C$70)</f>
        <v>0</v>
      </c>
      <c r="BB31" s="80">
        <f>SUMIF(Tim!FV$5:FV$70,Ins!F31,Tim!$C$5:$C$70)+SUMIF(Tim!FW$5:FW$70,Ins!F31,Tim!$C$5:$C$70)+SUMIF(Tim!FX$5:FX$70,Ins!F31,Tim!$C$5:$C$70)</f>
        <v>0</v>
      </c>
      <c r="BC31" s="81">
        <f>SUMIF(Tim!$FY$5:$FY$70,Ins!F31,Tim!$C$5:$C$70)+SUMIF(Tim!$FZ$5:$FZ$70,Ins!F31,Tim!$C$5:$C$70)+SUMIF(Tim!$GA$5:$GA$70,Ins!F31,Tim!$C$5:$C$70)+SUMIF(Tim!$GB$5:$GB$70,Ins!F31,Tim!$C$5:$C$70)+SUMIF(Tim!$GC$5:$GC$70,Ins!F31,Tim!$C$5:$C$70)</f>
        <v>0</v>
      </c>
      <c r="BD31" s="79">
        <f>SUMIF(Tim!$GD$5:$GD$70,Ins!F31,Tim!$B$5:$B$70)</f>
        <v>0</v>
      </c>
      <c r="BE31" s="80">
        <f>SUMIF(Tim!$GE$5:$GE$70,Ins!F31,Tim!$B$5:$B$70)+SUMIF(Tim!$GF$5:$GF$70,Ins!F31,Tim!$B$5:$B$70)+SUMIF(Tim!$GG$5:$GG$70,Ins!F31,Tim!$B$5:$B$70)+SUMIF(Tim!$GH$5:$GH$70,Ins!F31,Tim!$B$5:$B$70)+SUMIF(Tim!$GI$5:$GI$70,Ins!F31,Tim!$B$5:$B$70)+SUMIF(Tim!$GJ$5:$GJ$70,Ins!F31,Tim!$B$5:$B$70)</f>
        <v>0</v>
      </c>
      <c r="BF31" s="80">
        <f>SUMIF(Tim!$GK$5:$GK$70,Ins!F31,Tim!$B$5:$B$70)+SUMIF(Tim!$GL$5:$GL$70,Ins!F31,Tim!$B$5:$B$70)+SUMIF(Tim!$GM$5:$GM$70,Ins!F31,Tim!$B$5:$B$70)</f>
        <v>0</v>
      </c>
      <c r="BG31" s="80">
        <f>SUMIF(Tim!$GN$5:$GN$70,Ins!F31,Tim!$B$5:$B$70)+SUMIF(Tim!$GO$5:$GO$70,Ins!F31,Tim!$B$5:$B$70)+SUMIF(Tim!$GP$5:$GP$70,Ins!F31,Tim!$B$5:$B$70)+SUMIF(Tim!$GQ$5:$GQ$70,Ins!F31,Tim!$B$5:$B$70)+SUMIF(Tim!$GR$5:$GR$70,Ins!F31,Tim!$B$5:$B$70)</f>
        <v>0</v>
      </c>
      <c r="BH31" s="80">
        <f>SUMIF(Tim!$GS$5:$GS$70,Ins!F31,Tim!$B$5:$B$70)+SUMIF(Tim!$GT$5:$GT$70,Ins!F31,Tim!$B$5:$B$70)+SUMIF(Tim!$GU$5:$GU$70,Ins!F31,Tim!$B$5:$B$70)</f>
        <v>0</v>
      </c>
      <c r="BI31" s="80">
        <f>SUMIF(Tim!GV$5:GV$70,Ins!F31,Tim!$B$5:$B$70)+SUMIF(Tim!GW$5:GW$70,Ins!F31,Tim!$B$5:$B$70)+SUMIF(Tim!GX$5:GX$70,Ins!F31,Tim!$B$5:$B$70)</f>
        <v>0</v>
      </c>
      <c r="BJ31" s="80">
        <f>SUMIF(Tim!GY$5:GY$70,Ins!F31,Tim!$B$5:$B$70)</f>
        <v>0</v>
      </c>
      <c r="BK31" s="80">
        <f>SUMIF(Tim!$GZ$5:$GZ$70,Ins!F31,Tim!$D$5:$D$70)+SUMIF(Tim!$HA$5:$HA$70,Ins!F31,Tim!$D$5:$D$70)+SUMIF(Tim!$HB$5:$HB$70,Ins!F31,Tim!$D$5:$D$70)++SUMIF(Tim!$HC$5:$HC$70,Ins!F31,Tim!$D$5:$D$70)+SUMIF(Tim!$HD$5:$HD$70,Ins!F31,Tim!$D$5:$D$70)+SUMIF(Tim!$HE$5:$HE$70,Ins!F31,Tim!$D$5:$D$70)+SUMIF(Tim!$HF$5:$HF$70,Ins!F31,Tim!$D$5:$D$70)+SUMIF(Tim!$HG$5:$HG$70,Ins!F31,Tim!$D$5:$D$70)+SUMIF(Tim!$HH$5:$HH$70,Ins!F31,Tim!$D$5:$D$70)+SUMIF(Tim!$HI$5:$HI$70,Ins!F31,Tim!$D$5:$D$70)+SUMIF(Tim!$HJ$5:$HJ$70,Ins!F31,Tim!$D$5:$D$70)+SUMIF(Tim!$HK$5:$HK$70,Ins!F31,Tim!$D$5:$D$70)</f>
        <v>0</v>
      </c>
      <c r="BL31" s="80">
        <f>SUMIF(Tim!HL$5:HL$70,Ins!F31,Tim!$C$5:$C$70)</f>
        <v>0</v>
      </c>
      <c r="BM31" s="80">
        <f>SUMIF(Tim!HM$5:HM$70,Ins!F31,Tim!$C$5:$C$70)</f>
        <v>0</v>
      </c>
      <c r="BN31" s="80">
        <f>SUMIF(Tim!HN$5:HN$70,Ins!F31,Tim!$C$5:$C$70)+SUMIF(Tim!HO$5:HO$70,Ins!F31,Tim!$C$5:$C$70)+SUMIF(Tim!HP$5:HP$70,Ins!F31,Tim!$C$5:$C$70)</f>
        <v>0</v>
      </c>
      <c r="BO31" s="81">
        <f>SUMIF(Tim!$HQ$5:$HQ$70,Ins!F31,Tim!$C$5:$C$70)+SUMIF(Tim!$HR$5:$HR$70,Ins!F31,Tim!$C$5:$C$70)+SUMIF(Tim!$HS$5:$HS$70,Ins!F31,Tim!$C$5:$C$70)+SUMIF(Tim!$HT$5:$HT$70,Ins!F31,Tim!$C$5:$C$70)+SUMIF(Tim!$HU$5:$HU$70,Ins!F31,Tim!$C$5:$C$70)</f>
        <v>0</v>
      </c>
      <c r="BP31" s="79">
        <f>SUMIF(Tim!$HV$7:$HV$70,Ins!F31,Tim!$B$7:$B$70)</f>
        <v>0</v>
      </c>
      <c r="BQ31" s="80">
        <f>SUMIF(Tim!$HW$7:$HW$70,Ins!F31,Tim!$B$7:$B$70)+SUMIF(Tim!$HX$7:$HX$70,Ins!F31,Tim!$B$7:$B$70)+SUMIF(Tim!$HY$7:$HY$70,Ins!F31,Tim!$B$7:$B$70)+SUMIF(Tim!$HZ$7:$HZ$70,Ins!F31,Tim!$B$7:$B$70)+SUMIF(Tim!$IA$7:$IA$70,Ins!F31,Tim!$B$7:$B$70)+SUMIF(Tim!$IB$7:$IB$70,Ins!F31,Tim!$B$7:$B$70)</f>
        <v>0</v>
      </c>
      <c r="BR31" s="80">
        <f>SUMIF(Tim!$IC$7:$IC$70,Ins!F31,Tim!$B$7:$B$70)+SUMIF(Tim!$ID$7:$ID$70,Ins!F31,Tim!$B$7:$B$70)+SUMIF(Tim!$IE$7:$IE$70,Ins!F31,Tim!$B$7:$B$70)</f>
        <v>0</v>
      </c>
      <c r="BS31" s="80">
        <f>SUMIF(Tim!$IF$7:$IF$70,Ins!F31,Tim!$B$7:$B$70)+SUMIF(Tim!$IG$7:$IG$70,Ins!F31,Tim!$B$7:$B$70)+SUMIF(Tim!$IH$7:$IH$70,Ins!F31,Tim!$B$7:$B$70)+SUMIF(Tim!$II$7:$II$70,Ins!F31,Tim!$B$7:$B$70)+SUMIF(Tim!$IJ$7:$IJ$70,Ins!F31,Tim!$B$7:$B$70)</f>
        <v>0</v>
      </c>
      <c r="BT31" s="80">
        <f>SUMIF(Tim!$IK$7:$IK$70,Ins!F31,Tim!$B$7:$B$70)+SUMIF(Tim!$IL$7:$IL$70,Ins!F31,Tim!$B$7:$B$70)+SUMIF(Tim!$IM$7:$IM$70,Ins!F31,Tim!$B$7:$B$70)</f>
        <v>0</v>
      </c>
      <c r="BU31" s="80">
        <f>SUMIF(Tim!$IN$7:$IN$70,Ins!F31,Tim!$B$7:$B$70)+SUMIF(Tim!$IO$7:$IO$70,Ins!F31,Tim!$B$7:$B$70)+SUMIF(Tim!$IP$7:$IP$70,Ins!F31,Tim!$B$7:$B$70)</f>
        <v>0</v>
      </c>
      <c r="BV31" s="80">
        <f>SUMIF(Tim!$IQ$7:$IQ$70,Ins!F31,Tim!$B$7:$B$70)</f>
        <v>0</v>
      </c>
      <c r="BW31" s="80">
        <f>SUMIF(Tim!$IR$7:$IR$70,Ins!F31,Tim!$D$7:$D$70)+SUMIF(Tim!$IS$7:$IS$70,Ins!F31,Tim!$D$7:$D$70)+SUMIF(Tim!$IT$7:$IT$70,Ins!F31,Tim!$D$7:$D$70)+SUMIF(Tim!$IU$7:$IU$70,Ins!F31,Tim!$D$7:$D$70)+SUMIF(Tim!$IV$7:$IV$70,Ins!F31,Tim!$D$7:$D$70)+SUMIF(Tim!$IW$7:$IW$70,Ins!F31,Tim!$D$7:$D$70)+SUMIF(Tim!$IX$7:$IX$70,Ins!F31,Tim!$D$7:$D$70)+SUMIF(Tim!$IY$7:$IY$70,Ins!F31,Tim!$D$7:$D$70)+SUMIF(Tim!$IZ$7:$IZ$70,Ins!F31,Tim!$D$7:$D$70)+SUMIF(Tim!$JA$7:$JA$70,Ins!F31,Tim!$D$7:$D$70)+SUMIF(Tim!$JB$7:$JB$70,Ins!F31,Tim!$D$7:$D$70)+SUMIF(Tim!$JC$7:$JC$70,Ins!F31,Tim!$D$7:$D$70)</f>
        <v>0</v>
      </c>
      <c r="BX31" s="80">
        <f>SUMIF(Tim!JD$7:JD$70,Ins!F31,Tim!$C$7:$C$70)</f>
        <v>0</v>
      </c>
      <c r="BY31" s="80">
        <f>SUMIF(Tim!JE$7:JE$70,Ins!F31,Tim!$C$7:$C$70)</f>
        <v>0</v>
      </c>
      <c r="BZ31" s="80">
        <f>SUMIF(Tim!JF$7:JF$70,Ins!F31,Tim!$C$7:$C$70)+SUMIF(Tim!JG$7:JG$70,Ins!F31,Tim!$C$7:$C$70)+SUMIF(Tim!JH$7:JH$70,Ins!F31,Tim!$C$7:$C$70)</f>
        <v>0</v>
      </c>
      <c r="CA31" s="81">
        <f>SUMIF(Tim!$JI$7:$JI$70,Ins!F31,Tim!$C$7:$C$70)++SUMIF(Tim!$JJ$7:$JJ$70,Ins!F31,Tim!$C$7:$C$70)+SUMIF(Tim!$JK$7:$JK$70,Ins!F31,Tim!$C$7:$C$70)+SUMIF(Tim!$JL$7:$JL$70,Ins!F31,Tim!$C$7:$C$70)+SUMIF(Tim!$JM$7:$JM$70,Ins!F31,Tim!$C$7:$C$70)</f>
        <v>0</v>
      </c>
      <c r="CB31" s="79">
        <f>SUMIF(Tim!$JN$7:$JN$70,Ins!F31,Tim!$B$7:$B$70)</f>
        <v>0</v>
      </c>
      <c r="CC31" s="80">
        <f>SUMIF(Tim!$JO$7:$JO$70,Ins!F31,Tim!$B$7:$B$70)+SUMIF(Tim!$JP$7:$JP$70,Ins!F31,Tim!$B$7:$B$70)+SUMIF(Tim!$JQ$7:$JQ$70,Ins!F31,Tim!$B$7:$B$70)+SUMIF(Tim!$JR$7:$JR$70,Ins!F31,Tim!$B$7:$B$70)+SUMIF(Tim!$JS$7:$JS$70,Ins!F31,Tim!$B$7:$B$70)+SUMIF(Tim!$JT$7:$JT$70,Ins!F31,Tim!$B$7:$B$70)</f>
        <v>0</v>
      </c>
      <c r="CD31" s="80">
        <f>SUMIF(Tim!$JW$7:$JW$70,Ins!F31,Tim!$B$7:$B$70)+SUMIF(Tim!$JU$7:$JU$70,Ins!F31,Tim!$B$7:$B$70)+SUMIF(Tim!$JV$7:$JV$70,Ins!F31,Tim!$B$7:$B$70)</f>
        <v>0</v>
      </c>
      <c r="CE31" s="80">
        <f>SUMIF(Tim!$JX$7:$JX$70,Ins!F31,Tim!$B$7:$B$70)+SUMIF(Tim!$JY$7:$JY$70,Ins!F31,Tim!$B$7:$B$70)+SUMIF(Tim!$JZ$7:$JZ$70,Ins!F31,Tim!$B$7:$B$70)+SUMIF(Tim!$KA$7:$KA$70,Ins!F31,Tim!$B$7:$B$70)+SUMIF(Tim!$KB$7:$KB$70,Ins!F31,Tim!$B$7:$B$70)</f>
        <v>0</v>
      </c>
      <c r="CF31" s="80">
        <f>SUMIF(Tim!$KE$7:$KE$70,Ins!F31,Tim!$B$7:$B$70)+SUMIF(Tim!$KC$7:$KC$70,Ins!F31,Tim!$B$7:$B$70)+SUMIF(Tim!$KD$7:$KD$70,Ins!F31,Tim!$B$7:$B$70)</f>
        <v>0</v>
      </c>
      <c r="CG31" s="80">
        <f>SUMIF(Tim!$KF$7:$KF$70,Ins!F31,Tim!$B$7:$B$70)+SUMIF(Tim!$KG$7:$KG$70,Ins!F31,Tim!$B$7:$B$70)+SUMIF(Tim!$KH$7:$KH$70,Ins!F31,Tim!$B$7:$B$70)</f>
        <v>0</v>
      </c>
      <c r="CH31" s="80">
        <f>SUMIF(Tim!$KI$7:$KI$70,Ins!F31,Tim!$B$7:$B$70)</f>
        <v>0</v>
      </c>
      <c r="CI31" s="80">
        <f>SUMIF(Tim!$KJ$7:$KJ$70,Ins!F31,Tim!$D$7:$D$70)+SUMIF(Tim!$KK$7:$KK$70,Ins!F31,Tim!$D$7:$D$70)+SUMIF(Tim!$KL$7:$KL$70,Ins!F31,Tim!$D$7:$D$70)+SUMIF(Tim!$KM$7:$KM$70,Ins!F31,Tim!$D$7:$D$70)+SUMIF(Tim!$KN$7:$KN$70,Ins!F31,Tim!$D$7:$D$70)+SUMIF(Tim!$KO$7:$KO$70,Ins!F31,Tim!$D$7:$D$70)+SUMIF(Tim!$KP$7:$KP$70,Ins!F31,Tim!$D$7:$D$70)+SUMIF(Tim!$KQ$7:$KQ$70,Ins!F31,Tim!$D$7:$D$70)+SUMIF(Tim!$KR$7:$KR$70,Ins!F31,Tim!$D$7:$D$70)+SUMIF(Tim!$KS$7:$KS$70,Ins!F31,Tim!$D$7:$D$70)+SUMIF(Tim!$KT$7:$KT$70,Ins!F31,Tim!$D$7:$D$70)+SUMIF(Tim!$KU$7:$KU$70,Ins!F31,Tim!$D$7:$D$70)</f>
        <v>0</v>
      </c>
      <c r="CJ31" s="80">
        <f>SUMIF(Tim!KV$7:KV$70,Ins!F31,Tim!$C$7:$C$70)</f>
        <v>0</v>
      </c>
      <c r="CK31" s="80">
        <f>SUMIF(Tim!KW$7:KW$70,Ins!F31,Tim!$C$7:$C$70)</f>
        <v>0</v>
      </c>
      <c r="CL31" s="80">
        <f>SUMIF(Tim!KX$7:KX$70,Ins!F31,Tim!$C$7:$C$70)+SUMIF(Tim!KY$7:KY$70,Ins!F31,Tim!$C$7:$C$70)+SUMIF(Tim!KZ$7:KZ$70,Ins!F31,Tim!$C$7:$C$70)</f>
        <v>0</v>
      </c>
      <c r="CM31" s="81">
        <f>SUMIF(Tim!$LA$7:$LA$70,Ins!F31,Tim!$C$7:$C$70)+SUMIF(Tim!$LB$7:$LB$70,Ins!F31,Tim!$C$7:$C$70)+SUMIF(Tim!$LC$7:$LC$70,Ins!F31,Tim!$C$7:$C$70)+SUMIF(Tim!$LD$7:$LD$70,Ins!F31,Tim!$C$7:$C$70)+SUMIF(Tim!$LE$7:$LE$70,Ins!F31,Tim!$C$7:$C$70)</f>
        <v>0</v>
      </c>
      <c r="CN31" s="22"/>
      <c r="CO31" s="180">
        <f t="shared" si="158"/>
        <v>0</v>
      </c>
      <c r="CP31" s="179">
        <f t="shared" si="159"/>
        <v>0</v>
      </c>
      <c r="CQ31" s="179">
        <f t="shared" si="160"/>
        <v>0</v>
      </c>
      <c r="CR31" s="179">
        <f t="shared" si="161"/>
        <v>0</v>
      </c>
      <c r="CS31" s="179">
        <f t="shared" si="162"/>
        <v>0</v>
      </c>
      <c r="CT31" s="179">
        <f t="shared" si="163"/>
        <v>0</v>
      </c>
      <c r="CU31" s="179">
        <f t="shared" si="164"/>
        <v>0</v>
      </c>
      <c r="CV31" s="179">
        <f t="shared" si="165"/>
        <v>3</v>
      </c>
      <c r="CW31" s="179">
        <f t="shared" si="166"/>
        <v>0</v>
      </c>
      <c r="CX31" s="179">
        <f t="shared" si="167"/>
        <v>0</v>
      </c>
      <c r="CY31" s="179">
        <f t="shared" si="172"/>
        <v>0</v>
      </c>
      <c r="CZ31" s="179">
        <f t="shared" si="173"/>
        <v>0</v>
      </c>
      <c r="DA31" s="78">
        <f t="shared" si="174"/>
        <v>3</v>
      </c>
      <c r="DB31" s="16"/>
      <c r="DC31" s="34">
        <f t="shared" si="170"/>
        <v>0</v>
      </c>
      <c r="DD31" s="34">
        <f t="shared" si="15"/>
        <v>0</v>
      </c>
      <c r="DE31" s="34">
        <f t="shared" si="16"/>
        <v>1.5</v>
      </c>
      <c r="DF31" s="34">
        <f t="shared" si="20"/>
        <v>1.5</v>
      </c>
      <c r="DG31" s="34">
        <f t="shared" si="17"/>
        <v>0</v>
      </c>
      <c r="DH31" s="34">
        <f t="shared" si="18"/>
        <v>0</v>
      </c>
      <c r="DI31" s="34">
        <f t="shared" si="19"/>
        <v>0</v>
      </c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7"/>
    </row>
    <row r="32" spans="1:125" ht="12" customHeight="1">
      <c r="A32" s="10">
        <v>30</v>
      </c>
      <c r="B32" s="229" t="s">
        <v>401</v>
      </c>
      <c r="C32" s="185"/>
      <c r="D32" s="230"/>
      <c r="E32" s="230" t="s">
        <v>373</v>
      </c>
      <c r="F32" s="185" t="s">
        <v>374</v>
      </c>
      <c r="G32" s="205" t="s">
        <v>191</v>
      </c>
      <c r="H32" s="79">
        <f>SUMIF(Tim!$F$7:$F$70,Ins!F32,Tim!$B$7:$B$70)</f>
        <v>0</v>
      </c>
      <c r="I32" s="80">
        <f>SUMIF(Tim!$G$7:$G$70,Ins!F32,Tim!$B$7:$B$70)+SUMIF(Tim!$H$7:$H$70,Ins!F32,Tim!$B$7:$B$70)+SUMIF(Tim!$I$7:$I$70,Ins!F32,Tim!$B$7:$B$70)+SUMIF(Tim!$J$7:$J$70,Ins!F32,Tim!$B$7:$B$70)+SUMIF(Tim!$K$7:$K$70,Ins!F32,Tim!$B$7:$B$70)+SUMIF(Tim!$L$7:$L$70,Ins!F32,Tim!$B$7:$B$70)</f>
        <v>0</v>
      </c>
      <c r="J32" s="80">
        <f>SUMIF(Tim!$M$7:$M$70,Ins!F32,Tim!$B$7:$B$70)+SUMIF(Tim!$O$7:$O$70,Ins!F32,Tim!$B$7:$B$70)+SUMIF(Tim!$N$7:$N$70,Ins!F32,Tim!$B$7:$B$70)</f>
        <v>0</v>
      </c>
      <c r="K32" s="80">
        <f>SUMIF(Tim!$P$7:$P$70,Ins!F32,Tim!$B$7:$B$70)+SUMIF(Tim!$Q$7:$Q$70,Ins!F32,Tim!$B$7:$B$70)+SUMIF(Tim!$R$7:$R$70,Ins!F32,Tim!$B$7:$B$70)+SUMIF(Tim!$S$7:$S$70,Ins!F32,Tim!$B$7:$B$70)+SUMIF(Tim!$T$7:$T$70,Ins!F32,Tim!$B$7:$B$70)</f>
        <v>0</v>
      </c>
      <c r="L32" s="80">
        <f>SUMIF(Tim!$U$7:$U$70,Ins!F32,Tim!$B$7:$B$70)+SUMIF(Tim!$W$7:$W$70,Ins!F32,Tim!$B$7:$B$70)+SUMIF(Tim!$X$7:$X$70,Ins!F32,Tim!$B$7:$B$70)</f>
        <v>0</v>
      </c>
      <c r="M32" s="80">
        <f>SUMIF(Tim!$Y$7:$Y$70,Ins!F32,Tim!$B$7:$B$70)+SUMIF(Tim!$Z$7:$Z$70,Ins!F32,Tim!$B$7:$B$70)+SUMIF(Tim!$AA$7:$AA$70,Ins!F32,Tim!$B$7:$B$70)</f>
        <v>0</v>
      </c>
      <c r="N32" s="80">
        <f>SUMIF(Tim!$AB$7:$AB$70,Ins!F32,Tim!$B$7:$B$70)</f>
        <v>0</v>
      </c>
      <c r="O32" s="80">
        <f>SUMIF(Tim!$AC$7:$AC$70,Ins!F32,Tim!$D$7:$D$70)+SUMIF(Tim!$AD$7:$AD$70,Ins!F32,Tim!$D$7:$D$70)+SUMIF(Tim!$AE$7:$AE$70,Ins!F32,Tim!$D$7:$D$70)+SUMIF(Tim!$AF$7:$AF$70,Ins!F32,Tim!$D$7:$D$70)+SUMIF(Tim!$AG$7:$AG$70,Ins!F32,Tim!$D$7:$D$70)+SUMIF(Tim!$AH$7:$AH$70,Ins!F32,Tim!$D$7:$D$70)+SUMIF(Tim!$AI$7:$AI$70,Ins!F32,Tim!$D$7:$D$70)+SUMIF(Tim!$AJ$7:$AJ$70,Ins!F32,Tim!$D$7:$D$70)+SUMIF(Tim!$AK$7:$AK$70,Ins!F32,Tim!$D$7:$D$70)+SUMIF(Tim!$AL$7:$AL$70,Ins!F32,Tim!$D$7:$D$70)+SUMIF(Tim!$AM$7:$AM$70,Ins!F32,Tim!$D$7:$D$70)+SUMIF(Tim!$AN$7:$AN$70,Ins!F32,Tim!$D$7:$D$70)</f>
        <v>0</v>
      </c>
      <c r="P32" s="80">
        <f>SUMIF(Tim!AO$7:AO$70,Ins!F32,Tim!$C$7:$C$70)</f>
        <v>0</v>
      </c>
      <c r="Q32" s="80">
        <f>SUMIF(Tim!AP$7:AP$70,Ins!F32,Tim!$C$7:$C$70)</f>
        <v>0</v>
      </c>
      <c r="R32" s="80">
        <f>SUMIF(Tim!AQ$7:AQ$70,Ins!F32,Tim!$C$7:$C$70)+SUMIF(Tim!AR$7:AR$70,Ins!F32,Tim!$C$7:$C$70)+SUMIF(Tim!AS$7:AS$70,Ins!F32,Tim!$C$7:$C$70)</f>
        <v>0</v>
      </c>
      <c r="S32" s="236">
        <f>SUMIF(Tim!$AT$7:$AT$70,Ins!F32,Tim!$C$7:$C$70)+SUMIF(Tim!$AU$7:$AU$70,Ins!F32,Tim!$C$7:$C92)+SUMIF(Tim!$AV$7:$AV$70,Ins!F32,Tim!$C$7:$C$70)+SUMIF(Tim!$AW$7:$AW$70,Ins!F32,Tim!$C$7:$C$70)+SUMIF(Tim!$AX$7:$AX$70,Ins!F32,Tim!$C$7:$C$70)</f>
        <v>0</v>
      </c>
      <c r="T32" s="79">
        <f>SUMIF(Tim!$AY$7:$AY$70,Ins!F32,Tim!$B$7:$B$70)</f>
        <v>0</v>
      </c>
      <c r="U32" s="80">
        <f>SUMIF(Tim!$AZ$7:$AZ$70,Ins!F32,Tim!$B$7:$B$70)+SUMIF(Tim!$BA$7:$BA$70,Ins!F32,Tim!$B$7:$B$70)+SUMIF(Tim!$BB$7:$BB$70,Ins!F32,Tim!$B$7:$B$70)+SUMIF(Tim!$BC$7:$BC$70,Ins!F32,Tim!$B$7:$B$70)+SUMIF(Tim!$BD$7:$BD$70,Ins!F32,Tim!$B$7:$B$70)+SUMIF(Tim!$BE$7:$BE$70,Ins!F32,Tim!$B$7:$B$70)</f>
        <v>0</v>
      </c>
      <c r="V32" s="80">
        <f>SUMIF(Tim!$BF$7:$BF$70,Ins!F32,Tim!$B$7:$B$70)+SUMIF(Tim!$BG$7:$BG$70,Ins!F32,Tim!$B$7:$B$70)+SUMIF(Tim!$BH$7:$BH$70,Ins!F32,Tim!$B$7:$B$70)</f>
        <v>0</v>
      </c>
      <c r="W32" s="80">
        <f>SUMIF(Tim!$BI$7:$BI$70,Ins!F32,Tim!$B$7:$B$70)+SUMIF(Tim!$BJ$7:$BJ$70,Ins!F32,Tim!$B$7:$B$70)+SUMIF(Tim!$BK$7:$BK$70,Ins!F32,Tim!$B$7:$B$70)+SUMIF(Tim!$BL$7:$BL$70,Ins!F32,Tim!$B$7:$B$70)+SUMIF(Tim!$BM$7:$BM$70,Ins!F32,Tim!$B$7:$B$70)</f>
        <v>0</v>
      </c>
      <c r="X32" s="80">
        <f>SUMIF(Tim!$BN$7:$BN$70,Ins!F32,Tim!$B$7:$B$70)+SUMIF(Tim!$BO$7:$BO$70,Ins!F32,Tim!$B$7:$B$70)+SUMIF(Tim!$BP$7:$BP$70,Ins!F32,Tim!$B$7:$B$70)</f>
        <v>0</v>
      </c>
      <c r="Y32" s="80">
        <f>SUMIF(Tim!$BQ$7:$BQ$70,Ins!F32,Tim!$B$7:$B$70)+SUMIF(Tim!$BR$7:$BR$70,Ins!F32,Tim!$B$7:$B$70)+SUMIF(Tim!$BS$7:$BS$70,Ins!F32,Tim!$B$7:$B$70)</f>
        <v>0</v>
      </c>
      <c r="Z32" s="80">
        <f>SUMIF(Tim!BT$7:BT$70,Ins!F32,Tim!$B$7:$B$70)</f>
        <v>0</v>
      </c>
      <c r="AA32" s="80">
        <f>SUMIF(Tim!$BU$7:$BU$70,Ins!F32,Tim!$D$7:$D$70)+SUMIF(Tim!$BV$7:$BV$70,Ins!F32,Tim!$D$7:$D$70)+SUMIF(Tim!$BW$7:$BW$70,Ins!F32,Tim!$D$7:$D$70)+SUMIF(Tim!$BX$7:$BX$70,Ins!F32,Tim!$D$7:$D$70)+SUMIF(Tim!$BY$7:$BY$70,Ins!F32,Tim!$D$7:$D$70)+SUMIF(Tim!$BZ$7:$BZ$70,Ins!F32,Tim!$D$7:$D$70)+SUMIF(Tim!$CA$7:$CA$70,Ins!F32,Tim!$D$7:$D$70)+SUMIF(Tim!$CB$7:$CB$70,Ins!F32,Tim!$D$7:$D$70)+SUMIF(Tim!$CC$7:$CC$70,Ins!F32,Tim!$D$7:$D$70)+SUMIF(Tim!$CD$7:$CD$70,Ins!F32,Tim!$D$7:$D$70)+SUMIF(Tim!$CE$7:$CE$70,Ins!F32,Tim!$D$7:$D$70)+SUMIF(Tim!$CF$7:$CF$70,Ins!F32,Tim!$D$7:$D$70)</f>
        <v>0</v>
      </c>
      <c r="AB32" s="80">
        <f>SUMIF(Tim!CG$7:CG$70,Ins!F32,Tim!$C$7:$C$70)</f>
        <v>0</v>
      </c>
      <c r="AC32" s="80">
        <f>SUMIF(Tim!CH$7:CH$70,Ins!F32,Tim!$C$7:$C$70)</f>
        <v>0</v>
      </c>
      <c r="AD32" s="80">
        <f>SUMIF(Tim!CI$7:CI$70,Ins!F32,Tim!$C$7:$C$70)+SUMIF(Tim!CJ$7:CJ$70,Ins!F32,Tim!$C$7:$C$70)+SUMIF(Tim!CK$7:CK$70,Ins!F32,Tim!$C$7:$C$70)</f>
        <v>0</v>
      </c>
      <c r="AE32" s="81">
        <f>SUMIF(Tim!$CL$7:$CL$70,Ins!F32,Tim!$C$7:$C$70)+SUMIF(Tim!$CM$7:$CM$70,Ins!F32,Tim!$C$7:$C$70)+SUMIF(Tim!$CN$7:$CN$70,Ins!F32,Tim!$C$7:$C$70)+SUMIF(Tim!$CO$7:$CO$70,Ins!F32,Tim!$C$7:$C$70)+SUMIF(Tim!$CP$7:$CP$70,Ins!F32,Tim!$C$7:$C$70)</f>
        <v>0</v>
      </c>
      <c r="AF32" s="79">
        <f>SUMIF(Tim!$CQ$7:$CQ$70,Ins!F32,Tim!$B$7:$B$70)</f>
        <v>0</v>
      </c>
      <c r="AG32" s="80">
        <f>SUMIF(Tim!$CR$7:$CR$70,Ins!F32,Tim!$B$7:$B$70)+SUMIF(Tim!$CS$7:$CS$70,Ins!F32,Tim!$B$7:$B$70)+SUMIF(Tim!$CT$7:$CT$70,Ins!F32,Tim!$B$7:$B$70)+SUMIF(Tim!$CU$7:$CU$70,Ins!F32,Tim!$B$7:$B$70)+SUMIF(Tim!$CV$7:$CV$70,Ins!F32,Tim!$B$7:$B$70)+SUMIF(Tim!$CW$7:$CW$70,Ins!F32,Tim!$B$7:$B$70)</f>
        <v>0</v>
      </c>
      <c r="AH32" s="80">
        <f>SUMIF(Tim!$CX$7:$CX$70,Ins!F32,Tim!$B$7:$B$70)+SUMIF(Tim!$CY$7:$CY$70,Ins!F32,Tim!$B$7:$B$70)+SUMIF(Tim!$CZ$7:$CZ$70,Ins!F32,Tim!$B$7:$B$70)</f>
        <v>0</v>
      </c>
      <c r="AI32" s="80">
        <f>SUMIF(Tim!$DA$7:$DA$70,Ins!F32,Tim!$B$7:$B$70)+SUMIF(Tim!$DB$7:$DB$70,Ins!F32,Tim!$B$7:$B$70)+SUMIF(Tim!$DC$7:$DC$70,Ins!F32,Tim!$B$7:$B$70)+SUMIF(Tim!$DD$7:$DD$70,Ins!F32,Tim!$B$7:$B$70)+SUMIF(Tim!$DE$7:$DE$70,Ins!F32,Tim!$B$7:$B$70)</f>
        <v>0</v>
      </c>
      <c r="AJ32" s="80">
        <f>SUMIF(Tim!$DF$7:$DF$70,Ins!F32,Tim!$B$7:$B$70)+SUMIF(Tim!$DG$7:$DG$70,Ins!F32,Tim!$B$7:$B$70)+SUMIF(Tim!$DH$7:$DH$70,Ins!F32,Tim!$B$7:$B$70)</f>
        <v>0</v>
      </c>
      <c r="AK32" s="80">
        <f>SUMIF(Tim!DI$7:DI$70,Ins!F32,Tim!$B$7:$B$70)+SUMIF(Tim!DM$7:DM$70,Ins!F32,Tim!$B$7:$B$70)+SUMIF(Tim!DN$7:DN$70,Ins!F32,Tim!$B$7:$B$70)</f>
        <v>0</v>
      </c>
      <c r="AL32" s="80">
        <f>SUMIF(Tim!DO$7:DO$70,Ins!F32,Tim!$B$7:$B$70)</f>
        <v>0</v>
      </c>
      <c r="AM32" s="80">
        <f>SUMIF(Tim!$DP$7:$DP$70,Ins!F32,Tim!$D$7:$D$70)+SUMIF(Tim!$DQ$7:$DQ$70,Ins!F32,Tim!$D$7:$D$70)+SUMIF(Tim!$DR$7:$DR$70,Ins!F32,Tim!$D$7:$D$70)+SUMIF(Tim!$DS$7:$DS$70,Ins!F32,Tim!$D$7:$D$70)+SUMIF(Tim!$DT$7:$DT$70,Ins!F32,Tim!$D$7:$D$70)+SUMIF(Tim!$DU$7:$DU$70,Ins!F32,Tim!$D$7:$D$70)+SUMIF(Tim!$DV$7:$DV$70,Ins!F32,Tim!$D$7:$D$70)+SUMIF(Tim!$DW$7:$DW$70,Ins!F32,Tim!$D$7:$D$70)+SUMIF(Tim!$DX$7:$DX$70,Ins!F32,Tim!$D$7:$D$70)+SUMIF(Tim!$DY$7:$DY$70,Ins!F32,Tim!$D$7:$D$70)+SUMIF(Tim!$DZ$7:$DZ$70,Ins!F32,Tim!$D$7:$D$70)+SUMIF(Tim!$EA$7:$EA$70,Ins!F32,Tim!$D$7:$D$70)</f>
        <v>0</v>
      </c>
      <c r="AN32" s="80">
        <f>SUMIF(Tim!EB$7:EB$70,Ins!F32,Tim!$C$7:$C$70)</f>
        <v>0</v>
      </c>
      <c r="AO32" s="80">
        <f>SUMIF(Tim!EC$7:EC$70,Ins!F32,Tim!$C$7:$C$70)</f>
        <v>0</v>
      </c>
      <c r="AP32" s="80">
        <f>SUMIF(Tim!ED$7:ED$70,Ins!F32,Tim!$C$7:$C$70)+SUMIF(Tim!EE$7:EE$70,Ins!F32,Tim!$C$7:$C$70)+SUMIF(Tim!EF$7:EF$70,Ins!F32,Tim!$C$7:$C$70)</f>
        <v>0</v>
      </c>
      <c r="AQ32" s="81">
        <f>SUMIF(Tim!$EG$7:$EG$70,Ins!F32,Tim!$C$7:$C$70)+SUMIF(Tim!$EH$7:$EH$70,Ins!F32,Tim!$C$7:$C$70)+SUMIF(Tim!$EI$7:$EI$70,Ins!F32,Tim!$C$7:$C$70)+SUMIF(Tim!$EJ$7:$EJ$70,Ins!F32,Tim!$C$7:$C$70)+SUMIF(Tim!$EK$7:$EK$70,Ins!F32,Tim!$C$7:$C$70)</f>
        <v>0</v>
      </c>
      <c r="AR32" s="79">
        <f>SUMIF(Tim!$EL$5:$EL$70,Ins!F32,Tim!$B$5:$B$70)</f>
        <v>0</v>
      </c>
      <c r="AS32" s="80">
        <f>SUMIF(Tim!$EM$5:$EM$70,Ins!F32,Tim!$B$5:$B$70)+SUMIF(Tim!$EN$5:$EN$70,Ins!F32,Tim!$B$5:$B$70)+SUMIF(Tim!$EO$5:$EO$70,Ins!F32,Tim!$B$5:$B$70)+SUMIF(Tim!$EP$5:$EP$70,Ins!F32,Tim!$B$5:$B$70)+SUMIF(Tim!$EQ$5:$EQ$70,Ins!F32,Tim!$B$5:$B$70)+SUMIF(Tim!$ER$5:$ER$70,Ins!F32,Tim!$B$5:$B$70)</f>
        <v>0</v>
      </c>
      <c r="AT32" s="80">
        <f>SUMIF(Tim!$ES$5:$ES$70,Ins!F32,Tim!$B$5:$B$70)+SUMIF(Tim!$ET$5:$ET$70,Ins!F32,Tim!$B$5:$B$70)+SUMIF(Tim!$EU$5:$EU$70,Ins!F32,Tim!$B$5:$B$70)</f>
        <v>0</v>
      </c>
      <c r="AU32" s="80">
        <f>SUMIF(Tim!$EV$5:$EV$70,Ins!F32,Tim!$B$5:$B$70)+SUMIF(Tim!$EW$5:$EW$70,Ins!F32,Tim!$B$5:$B$70)+SUMIF(Tim!$EX$5:$EX$70,Ins!F32,Tim!$B$5:$B$70)+SUMIF(Tim!$EY$5:$EY$70,Ins!F32,Tim!$B$5:$B$70)+SUMIF(Tim!$EZ$5:$EZ$70,Ins!F32,Tim!$B$5:$B$70)</f>
        <v>0</v>
      </c>
      <c r="AV32" s="80">
        <f>SUMIF(Tim!$FA$5:$FA$70,Ins!F32,Tim!$B$5:$B$70)+SUMIF(Tim!$FB$5:$FB$70,Ins!F32,Tim!$B$5:$B$70)+SUMIF(Tim!$FC$5:$FC$70,Ins!F32,Tim!$B$5:$B$70)</f>
        <v>0</v>
      </c>
      <c r="AW32" s="80">
        <f>SUMIF(Tim!FD$5:FD$70,Ins!F32,Tim!$B$5:$B$70)+SUMIF(Tim!FE$5:FE$70,Ins!F32,Tim!$B$5:$B$70)+SUMIF(Tim!FF$5:FF$70,Ins!F32,Tim!$B$5:$B$70)</f>
        <v>0</v>
      </c>
      <c r="AX32" s="80">
        <f>SUMIF(Tim!FG$5:FG$70,Ins!F32,Tim!$B$5:$B$70)</f>
        <v>0</v>
      </c>
      <c r="AY32" s="80">
        <f>SUMIF(Tim!$FH$5:$FH$70,Ins!F32,Tim!$D$5:$D$70)+SUMIF(Tim!$FI$5:$FI$70,Ins!F32,Tim!$D$5:$D$70)+SUMIF(Tim!$FJ$5:$FJ$70,Ins!F32,Tim!$D$5:$D$70)+SUMIF(Tim!$FK$5:$FK$70,Ins!F32,Tim!$D$5:$D$70)+SUMIF(Tim!$FL$5:$FL$70,Ins!F32,Tim!$D$5:$D$70)+SUMIF(Tim!$FM$5:$FM$70,Ins!F32,Tim!$D$5:$D$70)+SUMIF(Tim!$FN$5:$FN$70,Ins!F32,Tim!$D$5:$D$70)+SUMIF(Tim!$FO$5:$FO$70,Ins!F32,Tim!$D$5:$D$70)+SUMIF(Tim!$FP$5:$FP$70,Ins!F32,Tim!$D$5:$D$70)+SUMIF(Tim!$FQ$5:$FQ$70,Ins!F32,Tim!$D$5:$D$70)+SUMIF(Tim!$FR$5:$FR$70,Ins!F32,Tim!$D$5:$D$70)+SUMIF(Tim!$FS$5:$FS$70,Ins!F32,Tim!$D$5:$D$70)</f>
        <v>0</v>
      </c>
      <c r="AZ32" s="80">
        <f>SUMIF(Tim!FT$5:FT$70,Ins!F32,Tim!$C$5:$C$70)</f>
        <v>0</v>
      </c>
      <c r="BA32" s="80">
        <f>SUMIF(Tim!FU$5:FU$70,Ins!F32,Tim!$C$5:$C$70)</f>
        <v>0</v>
      </c>
      <c r="BB32" s="80">
        <f>SUMIF(Tim!FV$5:FV$70,Ins!F32,Tim!$C$5:$C$70)+SUMIF(Tim!FW$5:FW$70,Ins!F32,Tim!$C$5:$C$70)+SUMIF(Tim!FX$5:FX$70,Ins!F32,Tim!$C$5:$C$70)</f>
        <v>0</v>
      </c>
      <c r="BC32" s="81">
        <f>SUMIF(Tim!$FY$5:$FY$70,Ins!F32,Tim!$C$5:$C$70)+SUMIF(Tim!$FZ$5:$FZ$70,Ins!F32,Tim!$C$5:$C$70)+SUMIF(Tim!$GA$5:$GA$70,Ins!F32,Tim!$C$5:$C$70)+SUMIF(Tim!$GB$5:$GB$70,Ins!F32,Tim!$C$5:$C$70)+SUMIF(Tim!$GC$5:$GC$70,Ins!F32,Tim!$C$5:$C$70)</f>
        <v>0</v>
      </c>
      <c r="BD32" s="79">
        <f>SUMIF(Tim!$GD$5:$GD$70,Ins!F32,Tim!$B$5:$B$70)</f>
        <v>0</v>
      </c>
      <c r="BE32" s="80">
        <f>SUMIF(Tim!$GE$5:$GE$70,Ins!F32,Tim!$B$5:$B$70)+SUMIF(Tim!$GF$5:$GF$70,Ins!F32,Tim!$B$5:$B$70)+SUMIF(Tim!$GG$5:$GG$70,Ins!F32,Tim!$B$5:$B$70)+SUMIF(Tim!$GH$5:$GH$70,Ins!F32,Tim!$B$5:$B$70)+SUMIF(Tim!$GI$5:$GI$70,Ins!F32,Tim!$B$5:$B$70)+SUMIF(Tim!$GJ$5:$GJ$70,Ins!F32,Tim!$B$5:$B$70)</f>
        <v>0</v>
      </c>
      <c r="BF32" s="80">
        <f>SUMIF(Tim!$GK$5:$GK$70,Ins!F32,Tim!$B$5:$B$70)+SUMIF(Tim!$GL$5:$GL$70,Ins!F32,Tim!$B$5:$B$70)+SUMIF(Tim!$GM$5:$GM$70,Ins!F32,Tim!$B$5:$B$70)</f>
        <v>0</v>
      </c>
      <c r="BG32" s="80">
        <f>SUMIF(Tim!$GN$5:$GN$70,Ins!F32,Tim!$B$5:$B$70)+SUMIF(Tim!$GO$5:$GO$70,Ins!F32,Tim!$B$5:$B$70)+SUMIF(Tim!$GP$5:$GP$70,Ins!F32,Tim!$B$5:$B$70)+SUMIF(Tim!$GQ$5:$GQ$70,Ins!F32,Tim!$B$5:$B$70)+SUMIF(Tim!$GR$5:$GR$70,Ins!F32,Tim!$B$5:$B$70)</f>
        <v>0</v>
      </c>
      <c r="BH32" s="80">
        <f>SUMIF(Tim!$GS$5:$GS$70,Ins!F32,Tim!$B$5:$B$70)+SUMIF(Tim!$GT$5:$GT$70,Ins!F32,Tim!$B$5:$B$70)+SUMIF(Tim!$GU$5:$GU$70,Ins!F32,Tim!$B$5:$B$70)</f>
        <v>0</v>
      </c>
      <c r="BI32" s="80">
        <f>SUMIF(Tim!GV$5:GV$70,Ins!F32,Tim!$B$5:$B$70)+SUMIF(Tim!GW$5:GW$70,Ins!F32,Tim!$B$5:$B$70)+SUMIF(Tim!GX$5:GX$70,Ins!F32,Tim!$B$5:$B$70)</f>
        <v>0</v>
      </c>
      <c r="BJ32" s="80">
        <f>SUMIF(Tim!GY$5:GY$70,Ins!F32,Tim!$B$5:$B$70)</f>
        <v>0</v>
      </c>
      <c r="BK32" s="80">
        <f>SUMIF(Tim!$GZ$5:$GZ$70,Ins!F32,Tim!$D$5:$D$70)+SUMIF(Tim!$HA$5:$HA$70,Ins!F32,Tim!$D$5:$D$70)+SUMIF(Tim!$HB$5:$HB$70,Ins!F32,Tim!$D$5:$D$70)++SUMIF(Tim!$HC$5:$HC$70,Ins!F32,Tim!$D$5:$D$70)+SUMIF(Tim!$HD$5:$HD$70,Ins!F32,Tim!$D$5:$D$70)+SUMIF(Tim!$HE$5:$HE$70,Ins!F32,Tim!$D$5:$D$70)+SUMIF(Tim!$HF$5:$HF$70,Ins!F32,Tim!$D$5:$D$70)+SUMIF(Tim!$HG$5:$HG$70,Ins!F32,Tim!$D$5:$D$70)+SUMIF(Tim!$HH$5:$HH$70,Ins!F32,Tim!$D$5:$D$70)+SUMIF(Tim!$HI$5:$HI$70,Ins!F32,Tim!$D$5:$D$70)+SUMIF(Tim!$HJ$5:$HJ$70,Ins!F32,Tim!$D$5:$D$70)+SUMIF(Tim!$HK$5:$HK$70,Ins!F32,Tim!$D$5:$D$70)</f>
        <v>3</v>
      </c>
      <c r="BL32" s="80">
        <f>SUMIF(Tim!HL$5:HL$70,Ins!F32,Tim!$C$5:$C$70)</f>
        <v>0</v>
      </c>
      <c r="BM32" s="80">
        <f>SUMIF(Tim!HM$5:HM$70,Ins!F32,Tim!$C$5:$C$70)</f>
        <v>0</v>
      </c>
      <c r="BN32" s="80">
        <f>SUMIF(Tim!HN$5:HN$70,Ins!F32,Tim!$C$5:$C$70)+SUMIF(Tim!HO$5:HO$70,Ins!F32,Tim!$C$5:$C$70)+SUMIF(Tim!HP$5:HP$70,Ins!F32,Tim!$C$5:$C$70)</f>
        <v>0</v>
      </c>
      <c r="BO32" s="81">
        <f>SUMIF(Tim!$HQ$5:$HQ$70,Ins!F32,Tim!$C$5:$C$70)+SUMIF(Tim!$HR$5:$HR$70,Ins!F32,Tim!$C$5:$C$70)+SUMIF(Tim!$HS$5:$HS$70,Ins!F32,Tim!$C$5:$C$70)+SUMIF(Tim!$HT$5:$HT$70,Ins!F32,Tim!$C$5:$C$70)+SUMIF(Tim!$HU$5:$HU$70,Ins!F32,Tim!$C$5:$C$70)</f>
        <v>0</v>
      </c>
      <c r="BP32" s="79">
        <f>SUMIF(Tim!$HV$7:$HV$70,Ins!F32,Tim!$B$7:$B$70)</f>
        <v>0</v>
      </c>
      <c r="BQ32" s="80">
        <f>SUMIF(Tim!$HW$7:$HW$70,Ins!F32,Tim!$B$7:$B$70)+SUMIF(Tim!$HX$7:$HX$70,Ins!F32,Tim!$B$7:$B$70)+SUMIF(Tim!$HY$7:$HY$70,Ins!F32,Tim!$B$7:$B$70)+SUMIF(Tim!$HZ$7:$HZ$70,Ins!F32,Tim!$B$7:$B$70)+SUMIF(Tim!$IA$7:$IA$70,Ins!F32,Tim!$B$7:$B$70)+SUMIF(Tim!$IB$7:$IB$70,Ins!F32,Tim!$B$7:$B$70)</f>
        <v>0</v>
      </c>
      <c r="BR32" s="80">
        <f>SUMIF(Tim!$IC$7:$IC$70,Ins!F32,Tim!$B$7:$B$70)+SUMIF(Tim!$ID$7:$ID$70,Ins!F32,Tim!$B$7:$B$70)+SUMIF(Tim!$IE$7:$IE$70,Ins!F32,Tim!$B$7:$B$70)</f>
        <v>0</v>
      </c>
      <c r="BS32" s="80">
        <f>SUMIF(Tim!$IF$7:$IF$70,Ins!F32,Tim!$B$7:$B$70)+SUMIF(Tim!$IG$7:$IG$70,Ins!F32,Tim!$B$7:$B$70)+SUMIF(Tim!$IH$7:$IH$70,Ins!F32,Tim!$B$7:$B$70)+SUMIF(Tim!$II$7:$II$70,Ins!F32,Tim!$B$7:$B$70)+SUMIF(Tim!$IJ$7:$IJ$70,Ins!F32,Tim!$B$7:$B$70)</f>
        <v>0</v>
      </c>
      <c r="BT32" s="80">
        <f>SUMIF(Tim!$IK$7:$IK$70,Ins!F32,Tim!$B$7:$B$70)+SUMIF(Tim!$IL$7:$IL$70,Ins!F32,Tim!$B$7:$B$70)+SUMIF(Tim!$IM$7:$IM$70,Ins!F32,Tim!$B$7:$B$70)</f>
        <v>0</v>
      </c>
      <c r="BU32" s="80">
        <f>SUMIF(Tim!$IN$7:$IN$70,Ins!F32,Tim!$B$7:$B$70)+SUMIF(Tim!$IO$7:$IO$70,Ins!F32,Tim!$B$7:$B$70)+SUMIF(Tim!$IP$7:$IP$70,Ins!F32,Tim!$B$7:$B$70)</f>
        <v>0</v>
      </c>
      <c r="BV32" s="80">
        <f>SUMIF(Tim!$IQ$7:$IQ$70,Ins!F32,Tim!$B$7:$B$70)</f>
        <v>0</v>
      </c>
      <c r="BW32" s="80">
        <f>SUMIF(Tim!$IR$7:$IR$70,Ins!F32,Tim!$D$7:$D$70)+SUMIF(Tim!$IS$7:$IS$70,Ins!F32,Tim!$D$7:$D$70)+SUMIF(Tim!$IT$7:$IT$70,Ins!F32,Tim!$D$7:$D$70)+SUMIF(Tim!$IU$7:$IU$70,Ins!F32,Tim!$D$7:$D$70)+SUMIF(Tim!$IV$7:$IV$70,Ins!F32,Tim!$D$7:$D$70)+SUMIF(Tim!$IW$7:$IW$70,Ins!F32,Tim!$D$7:$D$70)+SUMIF(Tim!$IX$7:$IX$70,Ins!F32,Tim!$D$7:$D$70)+SUMIF(Tim!$IY$7:$IY$70,Ins!F32,Tim!$D$7:$D$70)+SUMIF(Tim!$IZ$7:$IZ$70,Ins!F32,Tim!$D$7:$D$70)+SUMIF(Tim!$JA$7:$JA$70,Ins!F32,Tim!$D$7:$D$70)+SUMIF(Tim!$JB$7:$JB$70,Ins!F32,Tim!$D$7:$D$70)+SUMIF(Tim!$JC$7:$JC$70,Ins!F32,Tim!$D$7:$D$70)</f>
        <v>0</v>
      </c>
      <c r="BX32" s="80">
        <f>SUMIF(Tim!JD$7:JD$70,Ins!F32,Tim!$C$7:$C$70)</f>
        <v>0</v>
      </c>
      <c r="BY32" s="80">
        <f>SUMIF(Tim!JE$7:JE$70,Ins!F32,Tim!$C$7:$C$70)</f>
        <v>0</v>
      </c>
      <c r="BZ32" s="80">
        <f>SUMIF(Tim!JF$7:JF$70,Ins!F32,Tim!$C$7:$C$70)+SUMIF(Tim!JG$7:JG$70,Ins!F32,Tim!$C$7:$C$70)+SUMIF(Tim!JH$7:JH$70,Ins!F32,Tim!$C$7:$C$70)</f>
        <v>0</v>
      </c>
      <c r="CA32" s="81">
        <f>SUMIF(Tim!$JI$7:$JI$70,Ins!F32,Tim!$C$7:$C$70)++SUMIF(Tim!$JJ$7:$JJ$70,Ins!F32,Tim!$C$7:$C$70)+SUMIF(Tim!$JK$7:$JK$70,Ins!F32,Tim!$C$7:$C$70)+SUMIF(Tim!$JL$7:$JL$70,Ins!F32,Tim!$C$7:$C$70)+SUMIF(Tim!$JM$7:$JM$70,Ins!F32,Tim!$C$7:$C$70)</f>
        <v>0</v>
      </c>
      <c r="CB32" s="79">
        <f>SUMIF(Tim!$JN$7:$JN$70,Ins!F32,Tim!$B$7:$B$70)</f>
        <v>0</v>
      </c>
      <c r="CC32" s="80">
        <f>SUMIF(Tim!$JO$7:$JO$70,Ins!F32,Tim!$B$7:$B$70)+SUMIF(Tim!$JP$7:$JP$70,Ins!F32,Tim!$B$7:$B$70)+SUMIF(Tim!$JQ$7:$JQ$70,Ins!F32,Tim!$B$7:$B$70)+SUMIF(Tim!$JR$7:$JR$70,Ins!F32,Tim!$B$7:$B$70)+SUMIF(Tim!$JS$7:$JS$70,Ins!F32,Tim!$B$7:$B$70)+SUMIF(Tim!$JT$7:$JT$70,Ins!F32,Tim!$B$7:$B$70)</f>
        <v>0</v>
      </c>
      <c r="CD32" s="80">
        <f>SUMIF(Tim!$JW$7:$JW$70,Ins!F32,Tim!$B$7:$B$70)+SUMIF(Tim!$JU$7:$JU$70,Ins!F32,Tim!$B$7:$B$70)+SUMIF(Tim!$JV$7:$JV$70,Ins!F32,Tim!$B$7:$B$70)</f>
        <v>0</v>
      </c>
      <c r="CE32" s="80">
        <f>SUMIF(Tim!$JX$7:$JX$70,Ins!F32,Tim!$B$7:$B$70)+SUMIF(Tim!$JY$7:$JY$70,Ins!F32,Tim!$B$7:$B$70)+SUMIF(Tim!$JZ$7:$JZ$70,Ins!F32,Tim!$B$7:$B$70)+SUMIF(Tim!$KA$7:$KA$70,Ins!F32,Tim!$B$7:$B$70)+SUMIF(Tim!$KB$7:$KB$70,Ins!F32,Tim!$B$7:$B$70)</f>
        <v>0</v>
      </c>
      <c r="CF32" s="80">
        <f>SUMIF(Tim!$KE$7:$KE$70,Ins!F32,Tim!$B$7:$B$70)+SUMIF(Tim!$KC$7:$KC$70,Ins!F32,Tim!$B$7:$B$70)+SUMIF(Tim!$KD$7:$KD$70,Ins!F32,Tim!$B$7:$B$70)</f>
        <v>0</v>
      </c>
      <c r="CG32" s="80">
        <f>SUMIF(Tim!$KF$7:$KF$70,Ins!F32,Tim!$B$7:$B$70)+SUMIF(Tim!$KG$7:$KG$70,Ins!F32,Tim!$B$7:$B$70)+SUMIF(Tim!$KH$7:$KH$70,Ins!F32,Tim!$B$7:$B$70)</f>
        <v>0</v>
      </c>
      <c r="CH32" s="80">
        <f>SUMIF(Tim!$KI$7:$KI$70,Ins!F32,Tim!$B$7:$B$70)</f>
        <v>0</v>
      </c>
      <c r="CI32" s="80">
        <f>SUMIF(Tim!$KJ$7:$KJ$70,Ins!F32,Tim!$D$7:$D$70)+SUMIF(Tim!$KK$7:$KK$70,Ins!F32,Tim!$D$7:$D$70)+SUMIF(Tim!$KL$7:$KL$70,Ins!F32,Tim!$D$7:$D$70)+SUMIF(Tim!$KM$7:$KM$70,Ins!F32,Tim!$D$7:$D$70)+SUMIF(Tim!$KN$7:$KN$70,Ins!F32,Tim!$D$7:$D$70)+SUMIF(Tim!$KO$7:$KO$70,Ins!F32,Tim!$D$7:$D$70)+SUMIF(Tim!$KP$7:$KP$70,Ins!F32,Tim!$D$7:$D$70)+SUMIF(Tim!$KQ$7:$KQ$70,Ins!F32,Tim!$D$7:$D$70)+SUMIF(Tim!$KR$7:$KR$70,Ins!F32,Tim!$D$7:$D$70)+SUMIF(Tim!$KS$7:$KS$70,Ins!F32,Tim!$D$7:$D$70)+SUMIF(Tim!$KT$7:$KT$70,Ins!F32,Tim!$D$7:$D$70)+SUMIF(Tim!$KU$7:$KU$70,Ins!F32,Tim!$D$7:$D$70)</f>
        <v>0</v>
      </c>
      <c r="CJ32" s="80">
        <f>SUMIF(Tim!KV$7:KV$70,Ins!F32,Tim!$C$7:$C$70)</f>
        <v>0</v>
      </c>
      <c r="CK32" s="80">
        <f>SUMIF(Tim!KW$7:KW$70,Ins!F32,Tim!$C$7:$C$70)</f>
        <v>0</v>
      </c>
      <c r="CL32" s="80">
        <f>SUMIF(Tim!KX$7:KX$70,Ins!F32,Tim!$C$7:$C$70)+SUMIF(Tim!KY$7:KY$70,Ins!F32,Tim!$C$7:$C$70)+SUMIF(Tim!KZ$7:KZ$70,Ins!F32,Tim!$C$7:$C$70)</f>
        <v>0</v>
      </c>
      <c r="CM32" s="81">
        <f>SUMIF(Tim!$LA$7:$LA$70,Ins!F32,Tim!$C$7:$C$70)+SUMIF(Tim!$LB$7:$LB$70,Ins!F32,Tim!$C$7:$C$70)+SUMIF(Tim!$LC$7:$LC$70,Ins!F32,Tim!$C$7:$C$70)+SUMIF(Tim!$LD$7:$LD$70,Ins!F32,Tim!$C$7:$C$70)+SUMIF(Tim!$LE$7:$LE$70,Ins!F32,Tim!$C$7:$C$70)</f>
        <v>0</v>
      </c>
      <c r="CN32" s="22"/>
      <c r="CO32" s="180">
        <f t="shared" si="158"/>
        <v>0</v>
      </c>
      <c r="CP32" s="179">
        <f t="shared" si="159"/>
        <v>0</v>
      </c>
      <c r="CQ32" s="179">
        <f t="shared" si="160"/>
        <v>0</v>
      </c>
      <c r="CR32" s="179">
        <f t="shared" si="161"/>
        <v>0</v>
      </c>
      <c r="CS32" s="179">
        <f t="shared" si="162"/>
        <v>0</v>
      </c>
      <c r="CT32" s="179">
        <f t="shared" si="163"/>
        <v>0</v>
      </c>
      <c r="CU32" s="179">
        <f t="shared" si="164"/>
        <v>0</v>
      </c>
      <c r="CV32" s="179">
        <f t="shared" si="165"/>
        <v>3</v>
      </c>
      <c r="CW32" s="179">
        <f t="shared" si="166"/>
        <v>0</v>
      </c>
      <c r="CX32" s="179">
        <f t="shared" si="167"/>
        <v>0</v>
      </c>
      <c r="CY32" s="179">
        <f t="shared" si="172"/>
        <v>0</v>
      </c>
      <c r="CZ32" s="179">
        <f t="shared" si="173"/>
        <v>0</v>
      </c>
      <c r="DA32" s="78">
        <f t="shared" si="174"/>
        <v>3</v>
      </c>
      <c r="DB32" s="16"/>
      <c r="DC32" s="34">
        <f t="shared" si="170"/>
        <v>0</v>
      </c>
      <c r="DD32" s="34">
        <f t="shared" si="15"/>
        <v>0</v>
      </c>
      <c r="DE32" s="34">
        <f t="shared" si="16"/>
        <v>0</v>
      </c>
      <c r="DF32" s="34">
        <f t="shared" si="20"/>
        <v>0</v>
      </c>
      <c r="DG32" s="34">
        <f t="shared" si="17"/>
        <v>3</v>
      </c>
      <c r="DH32" s="34">
        <f t="shared" si="18"/>
        <v>0</v>
      </c>
      <c r="DI32" s="34">
        <f t="shared" si="19"/>
        <v>0</v>
      </c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7"/>
    </row>
    <row r="33" spans="1:125" ht="12" customHeight="1">
      <c r="A33" s="10">
        <v>31</v>
      </c>
      <c r="B33" s="229" t="s">
        <v>440</v>
      </c>
      <c r="C33" s="185"/>
      <c r="D33" s="230"/>
      <c r="E33" s="230" t="s">
        <v>373</v>
      </c>
      <c r="F33" s="185" t="s">
        <v>441</v>
      </c>
      <c r="G33" s="231" t="s">
        <v>191</v>
      </c>
      <c r="H33" s="79">
        <f>SUMIF(Tim!$F$7:$F$70,Ins!F33,Tim!$B$7:$B$70)</f>
        <v>0</v>
      </c>
      <c r="I33" s="80">
        <f>SUMIF(Tim!$G$7:$G$70,Ins!F33,Tim!$B$7:$B$70)+SUMIF(Tim!$H$7:$H$70,Ins!F33,Tim!$B$7:$B$70)+SUMIF(Tim!$I$7:$I$70,Ins!F33,Tim!$B$7:$B$70)+SUMIF(Tim!$J$7:$J$70,Ins!F33,Tim!$B$7:$B$70)+SUMIF(Tim!$K$7:$K$70,Ins!F33,Tim!$B$7:$B$70)+SUMIF(Tim!$L$7:$L$70,Ins!F33,Tim!$B$7:$B$70)</f>
        <v>0</v>
      </c>
      <c r="J33" s="80">
        <f>SUMIF(Tim!$M$7:$M$70,Ins!F33,Tim!$B$7:$B$70)+SUMIF(Tim!$O$7:$O$70,Ins!F33,Tim!$B$7:$B$70)+SUMIF(Tim!$N$7:$N$70,Ins!F33,Tim!$B$7:$B$70)</f>
        <v>0</v>
      </c>
      <c r="K33" s="80">
        <f>SUMIF(Tim!$P$7:$P$70,Ins!F33,Tim!$B$7:$B$70)+SUMIF(Tim!$Q$7:$Q$70,Ins!F33,Tim!$B$7:$B$70)+SUMIF(Tim!$R$7:$R$70,Ins!F33,Tim!$B$7:$B$70)+SUMIF(Tim!$S$7:$S$70,Ins!F33,Tim!$B$7:$B$70)+SUMIF(Tim!$T$7:$T$70,Ins!F33,Tim!$B$7:$B$70)</f>
        <v>0</v>
      </c>
      <c r="L33" s="80">
        <f>SUMIF(Tim!$U$7:$U$70,Ins!F33,Tim!$B$7:$B$70)+SUMIF(Tim!$W$7:$W$70,Ins!F33,Tim!$B$7:$B$70)+SUMIF(Tim!$X$7:$X$70,Ins!F33,Tim!$B$7:$B$70)</f>
        <v>0</v>
      </c>
      <c r="M33" s="80">
        <f>SUMIF(Tim!$Y$7:$Y$70,Ins!F33,Tim!$B$7:$B$70)+SUMIF(Tim!$Z$7:$Z$70,Ins!F33,Tim!$B$7:$B$70)+SUMIF(Tim!$AA$7:$AA$70,Ins!F33,Tim!$B$7:$B$70)</f>
        <v>0</v>
      </c>
      <c r="N33" s="80">
        <f>SUMIF(Tim!$AB$7:$AB$70,Ins!F33,Tim!$B$7:$B$70)</f>
        <v>0</v>
      </c>
      <c r="O33" s="80">
        <f>SUMIF(Tim!$AC$7:$AC$70,Ins!F33,Tim!$D$7:$D$70)+SUMIF(Tim!$AD$7:$AD$70,Ins!F33,Tim!$D$7:$D$70)+SUMIF(Tim!$AE$7:$AE$70,Ins!F33,Tim!$D$7:$D$70)+SUMIF(Tim!$AF$7:$AF$70,Ins!F33,Tim!$D$7:$D$70)+SUMIF(Tim!$AG$7:$AG$70,Ins!F33,Tim!$D$7:$D$70)+SUMIF(Tim!$AH$7:$AH$70,Ins!F33,Tim!$D$7:$D$70)+SUMIF(Tim!$AI$7:$AI$70,Ins!F33,Tim!$D$7:$D$70)+SUMIF(Tim!$AJ$7:$AJ$70,Ins!F33,Tim!$D$7:$D$70)+SUMIF(Tim!$AK$7:$AK$70,Ins!F33,Tim!$D$7:$D$70)+SUMIF(Tim!$AL$7:$AL$70,Ins!F33,Tim!$D$7:$D$70)+SUMIF(Tim!$AM$7:$AM$70,Ins!F33,Tim!$D$7:$D$70)+SUMIF(Tim!$AN$7:$AN$70,Ins!F33,Tim!$D$7:$D$70)</f>
        <v>0</v>
      </c>
      <c r="P33" s="80">
        <f>SUMIF(Tim!AO$7:AO$70,Ins!F33,Tim!$C$7:$C$70)</f>
        <v>0</v>
      </c>
      <c r="Q33" s="80">
        <f>SUMIF(Tim!AP$7:AP$70,Ins!F33,Tim!$C$7:$C$70)</f>
        <v>0</v>
      </c>
      <c r="R33" s="80">
        <f>SUMIF(Tim!AQ$7:AQ$70,Ins!F33,Tim!$C$7:$C$70)+SUMIF(Tim!AR$7:AR$70,Ins!F33,Tim!$C$7:$C$70)+SUMIF(Tim!AS$7:AS$70,Ins!F33,Tim!$C$7:$C$70)</f>
        <v>0</v>
      </c>
      <c r="S33" s="236">
        <f>SUMIF(Tim!$AT$7:$AT$70,Ins!F33,Tim!$C$7:$C$70)+SUMIF(Tim!$AU$7:$AU$70,Ins!F33,Tim!$C$7:$C94)+SUMIF(Tim!$AV$7:$AV$70,Ins!F33,Tim!$C$7:$C$70)+SUMIF(Tim!$AW$7:$AW$70,Ins!F33,Tim!$C$7:$C$70)+SUMIF(Tim!$AX$7:$AX$70,Ins!F33,Tim!$C$7:$C$70)</f>
        <v>0</v>
      </c>
      <c r="T33" s="79">
        <f>SUMIF(Tim!$AY$7:$AY$70,Ins!F33,Tim!$B$7:$B$70)</f>
        <v>0</v>
      </c>
      <c r="U33" s="80">
        <f>SUMIF(Tim!$AZ$7:$AZ$70,Ins!F33,Tim!$B$7:$B$70)+SUMIF(Tim!$BA$7:$BA$70,Ins!F33,Tim!$B$7:$B$70)+SUMIF(Tim!$BB$7:$BB$70,Ins!F33,Tim!$B$7:$B$70)+SUMIF(Tim!$BC$7:$BC$70,Ins!F33,Tim!$B$7:$B$70)+SUMIF(Tim!$BD$7:$BD$70,Ins!F33,Tim!$B$7:$B$70)+SUMIF(Tim!$BE$7:$BE$70,Ins!F33,Tim!$B$7:$B$70)</f>
        <v>0</v>
      </c>
      <c r="V33" s="80">
        <f>SUMIF(Tim!$BF$7:$BF$70,Ins!F33,Tim!$B$7:$B$70)+SUMIF(Tim!$BG$7:$BG$70,Ins!F33,Tim!$B$7:$B$70)+SUMIF(Tim!$BH$7:$BH$70,Ins!F33,Tim!$B$7:$B$70)</f>
        <v>0</v>
      </c>
      <c r="W33" s="80">
        <f>SUMIF(Tim!$BI$7:$BI$70,Ins!F33,Tim!$B$7:$B$70)+SUMIF(Tim!$BJ$7:$BJ$70,Ins!F33,Tim!$B$7:$B$70)+SUMIF(Tim!$BK$7:$BK$70,Ins!F33,Tim!$B$7:$B$70)+SUMIF(Tim!$BL$7:$BL$70,Ins!F33,Tim!$B$7:$B$70)+SUMIF(Tim!$BM$7:$BM$70,Ins!F33,Tim!$B$7:$B$70)</f>
        <v>0</v>
      </c>
      <c r="X33" s="80">
        <f>SUMIF(Tim!$BN$7:$BN$70,Ins!F33,Tim!$B$7:$B$70)+SUMIF(Tim!$BO$7:$BO$70,Ins!F33,Tim!$B$7:$B$70)+SUMIF(Tim!$BP$7:$BP$70,Ins!F33,Tim!$B$7:$B$70)</f>
        <v>0</v>
      </c>
      <c r="Y33" s="80">
        <f>SUMIF(Tim!$BQ$7:$BQ$70,Ins!F33,Tim!$B$7:$B$70)+SUMIF(Tim!$BR$7:$BR$70,Ins!F33,Tim!$B$7:$B$70)+SUMIF(Tim!$BS$7:$BS$70,Ins!F33,Tim!$B$7:$B$70)</f>
        <v>0</v>
      </c>
      <c r="Z33" s="80">
        <f>SUMIF(Tim!BT$7:BT$70,Ins!F33,Tim!$B$7:$B$70)</f>
        <v>0</v>
      </c>
      <c r="AA33" s="80">
        <f>SUMIF(Tim!$BU$7:$BU$70,Ins!F33,Tim!$D$7:$D$70)+SUMIF(Tim!$BV$7:$BV$70,Ins!F33,Tim!$D$7:$D$70)+SUMIF(Tim!$BW$7:$BW$70,Ins!F33,Tim!$D$7:$D$70)+SUMIF(Tim!$BX$7:$BX$70,Ins!F33,Tim!$D$7:$D$70)+SUMIF(Tim!$BY$7:$BY$70,Ins!F33,Tim!$D$7:$D$70)+SUMIF(Tim!$BZ$7:$BZ$70,Ins!F33,Tim!$D$7:$D$70)+SUMIF(Tim!$CA$7:$CA$70,Ins!F33,Tim!$D$7:$D$70)+SUMIF(Tim!$CB$7:$CB$70,Ins!F33,Tim!$D$7:$D$70)+SUMIF(Tim!$CC$7:$CC$70,Ins!F33,Tim!$D$7:$D$70)+SUMIF(Tim!$CD$7:$CD$70,Ins!F33,Tim!$D$7:$D$70)+SUMIF(Tim!$CE$7:$CE$70,Ins!F33,Tim!$D$7:$D$70)+SUMIF(Tim!$CF$7:$CF$70,Ins!F33,Tim!$D$7:$D$70)</f>
        <v>0</v>
      </c>
      <c r="AB33" s="80">
        <f>SUMIF(Tim!CG$7:CG$70,Ins!F33,Tim!$C$7:$C$70)</f>
        <v>0</v>
      </c>
      <c r="AC33" s="80">
        <f>SUMIF(Tim!CH$7:CH$70,Ins!F33,Tim!$C$7:$C$70)</f>
        <v>0</v>
      </c>
      <c r="AD33" s="80">
        <f>SUMIF(Tim!CI$7:CI$70,Ins!F33,Tim!$C$7:$C$70)+SUMIF(Tim!CJ$7:CJ$70,Ins!F33,Tim!$C$7:$C$70)+SUMIF(Tim!CK$7:CK$70,Ins!F33,Tim!$C$7:$C$70)</f>
        <v>0</v>
      </c>
      <c r="AE33" s="81">
        <f>SUMIF(Tim!$CL$7:$CL$70,Ins!F33,Tim!$C$7:$C$70)+SUMIF(Tim!$CM$7:$CM$70,Ins!F33,Tim!$C$7:$C$70)+SUMIF(Tim!$CN$7:$CN$70,Ins!F33,Tim!$C$7:$C$70)+SUMIF(Tim!$CO$7:$CO$70,Ins!F33,Tim!$C$7:$C$70)+SUMIF(Tim!$CP$7:$CP$70,Ins!F33,Tim!$C$7:$C$70)</f>
        <v>0</v>
      </c>
      <c r="AF33" s="79">
        <f>SUMIF(Tim!$CQ$7:$CQ$70,Ins!F33,Tim!$B$7:$B$70)</f>
        <v>0</v>
      </c>
      <c r="AG33" s="80">
        <f>SUMIF(Tim!$CR$7:$CR$70,Ins!F33,Tim!$B$7:$B$70)+SUMIF(Tim!$CS$7:$CS$70,Ins!F33,Tim!$B$7:$B$70)+SUMIF(Tim!$CT$7:$CT$70,Ins!F33,Tim!$B$7:$B$70)+SUMIF(Tim!$CU$7:$CU$70,Ins!F33,Tim!$B$7:$B$70)+SUMIF(Tim!$CV$7:$CV$70,Ins!F33,Tim!$B$7:$B$70)+SUMIF(Tim!$CW$7:$CW$70,Ins!F33,Tim!$B$7:$B$70)</f>
        <v>0</v>
      </c>
      <c r="AH33" s="80">
        <f>SUMIF(Tim!$CX$7:$CX$70,Ins!F33,Tim!$B$7:$B$70)+SUMIF(Tim!$CY$7:$CY$70,Ins!F33,Tim!$B$7:$B$70)+SUMIF(Tim!$CZ$7:$CZ$70,Ins!F33,Tim!$B$7:$B$70)</f>
        <v>0</v>
      </c>
      <c r="AI33" s="80">
        <f>SUMIF(Tim!$DA$7:$DA$70,Ins!F33,Tim!$B$7:$B$70)+SUMIF(Tim!$DB$7:$DB$70,Ins!F33,Tim!$B$7:$B$70)+SUMIF(Tim!$DC$7:$DC$70,Ins!F33,Tim!$B$7:$B$70)+SUMIF(Tim!$DD$7:$DD$70,Ins!F33,Tim!$B$7:$B$70)+SUMIF(Tim!$DE$7:$DE$70,Ins!F33,Tim!$B$7:$B$70)</f>
        <v>0</v>
      </c>
      <c r="AJ33" s="80">
        <f>SUMIF(Tim!$DF$7:$DF$70,Ins!F33,Tim!$B$7:$B$70)+SUMIF(Tim!$DG$7:$DG$70,Ins!F33,Tim!$B$7:$B$70)+SUMIF(Tim!$DH$7:$DH$70,Ins!F33,Tim!$B$7:$B$70)</f>
        <v>0</v>
      </c>
      <c r="AK33" s="80">
        <f>SUMIF(Tim!DI$7:DI$70,Ins!F33,Tim!$B$7:$B$70)+SUMIF(Tim!DM$7:DM$70,Ins!F33,Tim!$B$7:$B$70)+SUMIF(Tim!DN$7:DN$70,Ins!F33,Tim!$B$7:$B$70)</f>
        <v>0</v>
      </c>
      <c r="AL33" s="80">
        <f>SUMIF(Tim!DO$7:DO$70,Ins!F33,Tim!$B$7:$B$70)</f>
        <v>0</v>
      </c>
      <c r="AM33" s="80">
        <f>SUMIF(Tim!$DP$7:$DP$70,Ins!F33,Tim!$D$7:$D$70)+SUMIF(Tim!$DQ$7:$DQ$70,Ins!F33,Tim!$D$7:$D$70)+SUMIF(Tim!$DR$7:$DR$70,Ins!F33,Tim!$D$7:$D$70)+SUMIF(Tim!$DS$7:$DS$70,Ins!F33,Tim!$D$7:$D$70)+SUMIF(Tim!$DT$7:$DT$70,Ins!F33,Tim!$D$7:$D$70)+SUMIF(Tim!$DU$7:$DU$70,Ins!F33,Tim!$D$7:$D$70)+SUMIF(Tim!$DV$7:$DV$70,Ins!F33,Tim!$D$7:$D$70)+SUMIF(Tim!$DW$7:$DW$70,Ins!F33,Tim!$D$7:$D$70)+SUMIF(Tim!$DX$7:$DX$70,Ins!F33,Tim!$D$7:$D$70)+SUMIF(Tim!$DY$7:$DY$70,Ins!F33,Tim!$D$7:$D$70)+SUMIF(Tim!$DZ$7:$DZ$70,Ins!F33,Tim!$D$7:$D$70)+SUMIF(Tim!$EA$7:$EA$70,Ins!F33,Tim!$D$7:$D$70)</f>
        <v>0</v>
      </c>
      <c r="AN33" s="80">
        <f>SUMIF(Tim!EB$7:EB$70,Ins!F33,Tim!$C$7:$C$70)</f>
        <v>0</v>
      </c>
      <c r="AO33" s="80">
        <f>SUMIF(Tim!EC$7:EC$70,Ins!F33,Tim!$C$7:$C$70)</f>
        <v>0</v>
      </c>
      <c r="AP33" s="80">
        <f>SUMIF(Tim!ED$7:ED$70,Ins!F33,Tim!$C$7:$C$70)+SUMIF(Tim!EE$7:EE$70,Ins!F33,Tim!$C$7:$C$70)+SUMIF(Tim!EF$7:EF$70,Ins!F33,Tim!$C$7:$C$70)</f>
        <v>0</v>
      </c>
      <c r="AQ33" s="81">
        <f>SUMIF(Tim!$EG$7:$EG$70,Ins!F33,Tim!$C$7:$C$70)+SUMIF(Tim!$EH$7:$EH$70,Ins!F33,Tim!$C$7:$C$70)+SUMIF(Tim!$EI$7:$EI$70,Ins!F33,Tim!$C$7:$C$70)+SUMIF(Tim!$EJ$7:$EJ$70,Ins!F33,Tim!$C$7:$C$70)+SUMIF(Tim!$EK$7:$EK$70,Ins!F33,Tim!$C$7:$C$70)</f>
        <v>0</v>
      </c>
      <c r="AR33" s="79">
        <f>SUMIF(Tim!$EL$5:$EL$70,Ins!F33,Tim!$B$5:$B$70)</f>
        <v>0</v>
      </c>
      <c r="AS33" s="80">
        <f>SUMIF(Tim!$EM$5:$EM$70,Ins!F33,Tim!$B$5:$B$70)+SUMIF(Tim!$EN$5:$EN$70,Ins!F33,Tim!$B$5:$B$70)+SUMIF(Tim!$EO$5:$EO$70,Ins!F33,Tim!$B$5:$B$70)+SUMIF(Tim!$EP$5:$EP$70,Ins!F33,Tim!$B$5:$B$70)+SUMIF(Tim!$EQ$5:$EQ$70,Ins!F33,Tim!$B$5:$B$70)+SUMIF(Tim!$ER$5:$ER$70,Ins!F33,Tim!$B$5:$B$70)</f>
        <v>0</v>
      </c>
      <c r="AT33" s="80">
        <f>SUMIF(Tim!$ES$5:$ES$70,Ins!F33,Tim!$B$5:$B$70)+SUMIF(Tim!$ET$5:$ET$70,Ins!F33,Tim!$B$5:$B$70)+SUMIF(Tim!$EU$5:$EU$70,Ins!F33,Tim!$B$5:$B$70)</f>
        <v>0</v>
      </c>
      <c r="AU33" s="80">
        <f>SUMIF(Tim!$EV$5:$EV$70,Ins!F33,Tim!$B$5:$B$70)+SUMIF(Tim!$EW$5:$EW$70,Ins!F33,Tim!$B$5:$B$70)+SUMIF(Tim!$EX$5:$EX$70,Ins!F33,Tim!$B$5:$B$70)+SUMIF(Tim!$EY$5:$EY$70,Ins!F33,Tim!$B$5:$B$70)+SUMIF(Tim!$EZ$5:$EZ$70,Ins!F33,Tim!$B$5:$B$70)</f>
        <v>0</v>
      </c>
      <c r="AV33" s="80">
        <f>SUMIF(Tim!$FA$5:$FA$70,Ins!F33,Tim!$B$5:$B$70)+SUMIF(Tim!$FB$5:$FB$70,Ins!F33,Tim!$B$5:$B$70)+SUMIF(Tim!$FC$5:$FC$70,Ins!F33,Tim!$B$5:$B$70)</f>
        <v>0</v>
      </c>
      <c r="AW33" s="80">
        <f>SUMIF(Tim!FD$5:FD$70,Ins!F33,Tim!$B$5:$B$70)+SUMIF(Tim!FE$5:FE$70,Ins!F33,Tim!$B$5:$B$70)+SUMIF(Tim!FF$5:FF$70,Ins!F33,Tim!$B$5:$B$70)</f>
        <v>0</v>
      </c>
      <c r="AX33" s="80">
        <f>SUMIF(Tim!FG$5:FG$70,Ins!F33,Tim!$B$5:$B$70)</f>
        <v>0</v>
      </c>
      <c r="AY33" s="80">
        <f>SUMIF(Tim!$FH$5:$FH$70,Ins!F33,Tim!$D$5:$D$70)+SUMIF(Tim!$FI$5:$FI$70,Ins!F33,Tim!$D$5:$D$70)+SUMIF(Tim!$FJ$5:$FJ$70,Ins!F33,Tim!$D$5:$D$70)+SUMIF(Tim!$FK$5:$FK$70,Ins!F33,Tim!$D$5:$D$70)+SUMIF(Tim!$FL$5:$FL$70,Ins!F33,Tim!$D$5:$D$70)+SUMIF(Tim!$FM$5:$FM$70,Ins!F33,Tim!$D$5:$D$70)+SUMIF(Tim!$FN$5:$FN$70,Ins!F33,Tim!$D$5:$D$70)+SUMIF(Tim!$FO$5:$FO$70,Ins!F33,Tim!$D$5:$D$70)+SUMIF(Tim!$FP$5:$FP$70,Ins!F33,Tim!$D$5:$D$70)+SUMIF(Tim!$FQ$5:$FQ$70,Ins!F33,Tim!$D$5:$D$70)+SUMIF(Tim!$FR$5:$FR$70,Ins!F33,Tim!$D$5:$D$70)+SUMIF(Tim!$FS$5:$FS$70,Ins!F33,Tim!$D$5:$D$70)</f>
        <v>0</v>
      </c>
      <c r="AZ33" s="80">
        <f>SUMIF(Tim!FT$5:FT$70,Ins!F33,Tim!$C$5:$C$70)</f>
        <v>0</v>
      </c>
      <c r="BA33" s="80">
        <f>SUMIF(Tim!FU$5:FU$70,Ins!F33,Tim!$C$5:$C$70)</f>
        <v>0</v>
      </c>
      <c r="BB33" s="80">
        <f>SUMIF(Tim!FV$5:FV$70,Ins!F33,Tim!$C$5:$C$70)+SUMIF(Tim!FW$5:FW$70,Ins!F33,Tim!$C$5:$C$70)+SUMIF(Tim!FX$5:FX$70,Ins!F33,Tim!$C$5:$C$70)</f>
        <v>0</v>
      </c>
      <c r="BC33" s="81">
        <f>SUMIF(Tim!$FY$5:$FY$70,Ins!F33,Tim!$C$5:$C$70)+SUMIF(Tim!$FZ$5:$FZ$70,Ins!F33,Tim!$C$5:$C$70)+SUMIF(Tim!$GA$5:$GA$70,Ins!F33,Tim!$C$5:$C$70)+SUMIF(Tim!$GB$5:$GB$70,Ins!F33,Tim!$C$5:$C$70)+SUMIF(Tim!$GC$5:$GC$70,Ins!F33,Tim!$C$5:$C$70)</f>
        <v>0</v>
      </c>
      <c r="BD33" s="79">
        <f>SUMIF(Tim!$GD$5:$GD$70,Ins!F33,Tim!$B$5:$B$70)</f>
        <v>0</v>
      </c>
      <c r="BE33" s="80">
        <f>SUMIF(Tim!$GE$5:$GE$70,Ins!F33,Tim!$B$5:$B$70)+SUMIF(Tim!$GF$5:$GF$70,Ins!F33,Tim!$B$5:$B$70)+SUMIF(Tim!$GG$5:$GG$70,Ins!F33,Tim!$B$5:$B$70)+SUMIF(Tim!$GH$5:$GH$70,Ins!F33,Tim!$B$5:$B$70)+SUMIF(Tim!$GI$5:$GI$70,Ins!F33,Tim!$B$5:$B$70)+SUMIF(Tim!$GJ$5:$GJ$70,Ins!F33,Tim!$B$5:$B$70)</f>
        <v>0</v>
      </c>
      <c r="BF33" s="80">
        <f>SUMIF(Tim!$GK$5:$GK$70,Ins!F33,Tim!$B$5:$B$70)+SUMIF(Tim!$GL$5:$GL$70,Ins!F33,Tim!$B$5:$B$70)+SUMIF(Tim!$GM$5:$GM$70,Ins!F33,Tim!$B$5:$B$70)</f>
        <v>0</v>
      </c>
      <c r="BG33" s="80">
        <f>SUMIF(Tim!$GN$5:$GN$70,Ins!F33,Tim!$B$5:$B$70)+SUMIF(Tim!$GO$5:$GO$70,Ins!F33,Tim!$B$5:$B$70)+SUMIF(Tim!$GP$5:$GP$70,Ins!F33,Tim!$B$5:$B$70)+SUMIF(Tim!$GQ$5:$GQ$70,Ins!F33,Tim!$B$5:$B$70)+SUMIF(Tim!$GR$5:$GR$70,Ins!F33,Tim!$B$5:$B$70)</f>
        <v>0</v>
      </c>
      <c r="BH33" s="80">
        <f>SUMIF(Tim!$GS$5:$GS$70,Ins!F33,Tim!$B$5:$B$70)+SUMIF(Tim!$GT$5:$GT$70,Ins!F33,Tim!$B$5:$B$70)+SUMIF(Tim!$GU$5:$GU$70,Ins!F33,Tim!$B$5:$B$70)</f>
        <v>0</v>
      </c>
      <c r="BI33" s="80">
        <f>SUMIF(Tim!GV$5:GV$70,Ins!F33,Tim!$B$5:$B$70)+SUMIF(Tim!GW$5:GW$70,Ins!F33,Tim!$B$5:$B$70)+SUMIF(Tim!GX$5:GX$70,Ins!F33,Tim!$B$5:$B$70)</f>
        <v>0</v>
      </c>
      <c r="BJ33" s="80">
        <f>SUMIF(Tim!GY$5:GY$70,Ins!F33,Tim!$B$5:$B$70)</f>
        <v>0</v>
      </c>
      <c r="BK33" s="80">
        <f>SUMIF(Tim!$GZ$5:$GZ$70,Ins!F33,Tim!$D$5:$D$70)+SUMIF(Tim!$HA$5:$HA$70,Ins!F33,Tim!$D$5:$D$70)+SUMIF(Tim!$HB$5:$HB$70,Ins!F33,Tim!$D$5:$D$70)++SUMIF(Tim!$HC$5:$HC$70,Ins!F33,Tim!$D$5:$D$70)+SUMIF(Tim!$HD$5:$HD$70,Ins!F33,Tim!$D$5:$D$70)+SUMIF(Tim!$HE$5:$HE$70,Ins!F33,Tim!$D$5:$D$70)+SUMIF(Tim!$HF$5:$HF$70,Ins!F33,Tim!$D$5:$D$70)+SUMIF(Tim!$HG$5:$HG$70,Ins!F33,Tim!$D$5:$D$70)+SUMIF(Tim!$HH$5:$HH$70,Ins!F33,Tim!$D$5:$D$70)+SUMIF(Tim!$HI$5:$HI$70,Ins!F33,Tim!$D$5:$D$70)+SUMIF(Tim!$HJ$5:$HJ$70,Ins!F33,Tim!$D$5:$D$70)+SUMIF(Tim!$HK$5:$HK$70,Ins!F33,Tim!$D$5:$D$70)</f>
        <v>0</v>
      </c>
      <c r="BL33" s="80">
        <f>SUMIF(Tim!HL$5:HL$70,Ins!F33,Tim!$C$5:$C$70)</f>
        <v>0</v>
      </c>
      <c r="BM33" s="80">
        <f>SUMIF(Tim!HM$5:HM$70,Ins!F33,Tim!$C$5:$C$70)</f>
        <v>0</v>
      </c>
      <c r="BN33" s="80">
        <f>SUMIF(Tim!HN$5:HN$70,Ins!F33,Tim!$C$5:$C$70)+SUMIF(Tim!HO$5:HO$70,Ins!F33,Tim!$C$5:$C$70)+SUMIF(Tim!HP$5:HP$70,Ins!F33,Tim!$C$5:$C$70)</f>
        <v>0</v>
      </c>
      <c r="BO33" s="81">
        <f>SUMIF(Tim!$HQ$5:$HQ$70,Ins!F33,Tim!$C$5:$C$70)+SUMIF(Tim!$HR$5:$HR$70,Ins!F33,Tim!$C$5:$C$70)+SUMIF(Tim!$HS$5:$HS$70,Ins!F33,Tim!$C$5:$C$70)+SUMIF(Tim!$HT$5:$HT$70,Ins!F33,Tim!$C$5:$C$70)+SUMIF(Tim!$HU$5:$HU$70,Ins!F33,Tim!$C$5:$C$70)</f>
        <v>0</v>
      </c>
      <c r="BP33" s="79">
        <f>SUMIF(Tim!$HV$7:$HV$70,Ins!F33,Tim!$B$7:$B$70)</f>
        <v>0</v>
      </c>
      <c r="BQ33" s="80">
        <f>SUMIF(Tim!$HW$7:$HW$70,Ins!F33,Tim!$B$7:$B$70)+SUMIF(Tim!$HX$7:$HX$70,Ins!F33,Tim!$B$7:$B$70)+SUMIF(Tim!$HY$7:$HY$70,Ins!F33,Tim!$B$7:$B$70)+SUMIF(Tim!$HZ$7:$HZ$70,Ins!F33,Tim!$B$7:$B$70)+SUMIF(Tim!$IA$7:$IA$70,Ins!F33,Tim!$B$7:$B$70)+SUMIF(Tim!$IB$7:$IB$70,Ins!F33,Tim!$B$7:$B$70)</f>
        <v>0</v>
      </c>
      <c r="BR33" s="80">
        <f>SUMIF(Tim!$IC$7:$IC$70,Ins!F33,Tim!$B$7:$B$70)+SUMIF(Tim!$ID$7:$ID$70,Ins!F33,Tim!$B$7:$B$70)+SUMIF(Tim!$IE$7:$IE$70,Ins!F33,Tim!$B$7:$B$70)</f>
        <v>0</v>
      </c>
      <c r="BS33" s="80">
        <f>SUMIF(Tim!$IF$7:$IF$70,Ins!F33,Tim!$B$7:$B$70)+SUMIF(Tim!$IG$7:$IG$70,Ins!F33,Tim!$B$7:$B$70)+SUMIF(Tim!$IH$7:$IH$70,Ins!F33,Tim!$B$7:$B$70)+SUMIF(Tim!$II$7:$II$70,Ins!F33,Tim!$B$7:$B$70)+SUMIF(Tim!$IJ$7:$IJ$70,Ins!F33,Tim!$B$7:$B$70)</f>
        <v>0</v>
      </c>
      <c r="BT33" s="80">
        <f>SUMIF(Tim!$IK$7:$IK$70,Ins!F33,Tim!$B$7:$B$70)+SUMIF(Tim!$IL$7:$IL$70,Ins!F33,Tim!$B$7:$B$70)+SUMIF(Tim!$IM$7:$IM$70,Ins!F33,Tim!$B$7:$B$70)</f>
        <v>0</v>
      </c>
      <c r="BU33" s="80">
        <f>SUMIF(Tim!$IN$7:$IN$70,Ins!F33,Tim!$B$7:$B$70)+SUMIF(Tim!$IO$7:$IO$70,Ins!F33,Tim!$B$7:$B$70)+SUMIF(Tim!$IP$7:$IP$70,Ins!F33,Tim!$B$7:$B$70)</f>
        <v>0</v>
      </c>
      <c r="BV33" s="80">
        <f>SUMIF(Tim!$IQ$7:$IQ$70,Ins!F33,Tim!$B$7:$B$70)</f>
        <v>0</v>
      </c>
      <c r="BW33" s="80">
        <f>SUMIF(Tim!$IR$7:$IR$70,Ins!F33,Tim!$D$7:$D$70)+SUMIF(Tim!$IS$7:$IS$70,Ins!F33,Tim!$D$7:$D$70)+SUMIF(Tim!$IT$7:$IT$70,Ins!F33,Tim!$D$7:$D$70)+SUMIF(Tim!$IU$7:$IU$70,Ins!F33,Tim!$D$7:$D$70)+SUMIF(Tim!$IV$7:$IV$70,Ins!F33,Tim!$D$7:$D$70)+SUMIF(Tim!$IW$7:$IW$70,Ins!F33,Tim!$D$7:$D$70)+SUMIF(Tim!$IX$7:$IX$70,Ins!F33,Tim!$D$7:$D$70)+SUMIF(Tim!$IY$7:$IY$70,Ins!F33,Tim!$D$7:$D$70)+SUMIF(Tim!$IZ$7:$IZ$70,Ins!F33,Tim!$D$7:$D$70)+SUMIF(Tim!$JA$7:$JA$70,Ins!F33,Tim!$D$7:$D$70)+SUMIF(Tim!$JB$7:$JB$70,Ins!F33,Tim!$D$7:$D$70)+SUMIF(Tim!$JC$7:$JC$70,Ins!F33,Tim!$D$7:$D$70)</f>
        <v>0</v>
      </c>
      <c r="BX33" s="80">
        <f>SUMIF(Tim!JD$7:JD$70,Ins!F33,Tim!$C$7:$C$70)</f>
        <v>0</v>
      </c>
      <c r="BY33" s="80">
        <f>SUMIF(Tim!JE$7:JE$70,Ins!F33,Tim!$C$7:$C$70)</f>
        <v>0</v>
      </c>
      <c r="BZ33" s="80">
        <f>SUMIF(Tim!JF$7:JF$70,Ins!F33,Tim!$C$7:$C$70)+SUMIF(Tim!JG$7:JG$70,Ins!F33,Tim!$C$7:$C$70)+SUMIF(Tim!JH$7:JH$70,Ins!F33,Tim!$C$7:$C$70)</f>
        <v>0</v>
      </c>
      <c r="CA33" s="81">
        <f>SUMIF(Tim!$JI$7:$JI$70,Ins!F33,Tim!$C$7:$C$70)++SUMIF(Tim!$JJ$7:$JJ$70,Ins!F33,Tim!$C$7:$C$70)+SUMIF(Tim!$JK$7:$JK$70,Ins!F33,Tim!$C$7:$C$70)+SUMIF(Tim!$JL$7:$JL$70,Ins!F33,Tim!$C$7:$C$70)+SUMIF(Tim!$JM$7:$JM$70,Ins!F33,Tim!$C$7:$C$70)</f>
        <v>0</v>
      </c>
      <c r="CB33" s="79">
        <f>SUMIF(Tim!$JN$7:$JN$70,Ins!F33,Tim!$B$7:$B$70)</f>
        <v>0</v>
      </c>
      <c r="CC33" s="80">
        <f>SUMIF(Tim!$JO$7:$JO$70,Ins!F33,Tim!$B$7:$B$70)+SUMIF(Tim!$JP$7:$JP$70,Ins!F33,Tim!$B$7:$B$70)+SUMIF(Tim!$JQ$7:$JQ$70,Ins!F33,Tim!$B$7:$B$70)+SUMIF(Tim!$JR$7:$JR$70,Ins!F33,Tim!$B$7:$B$70)+SUMIF(Tim!$JS$7:$JS$70,Ins!F33,Tim!$B$7:$B$70)+SUMIF(Tim!$JT$7:$JT$70,Ins!F33,Tim!$B$7:$B$70)</f>
        <v>0</v>
      </c>
      <c r="CD33" s="80">
        <f>SUMIF(Tim!$JW$7:$JW$70,Ins!F33,Tim!$B$7:$B$70)+SUMIF(Tim!$JU$7:$JU$70,Ins!F33,Tim!$B$7:$B$70)+SUMIF(Tim!$JV$7:$JV$70,Ins!F33,Tim!$B$7:$B$70)</f>
        <v>0</v>
      </c>
      <c r="CE33" s="80">
        <f>SUMIF(Tim!$JX$7:$JX$70,Ins!F33,Tim!$B$7:$B$70)+SUMIF(Tim!$JY$7:$JY$70,Ins!F33,Tim!$B$7:$B$70)+SUMIF(Tim!$JZ$7:$JZ$70,Ins!F33,Tim!$B$7:$B$70)+SUMIF(Tim!$KA$7:$KA$70,Ins!F33,Tim!$B$7:$B$70)+SUMIF(Tim!$KB$7:$KB$70,Ins!F33,Tim!$B$7:$B$70)</f>
        <v>0</v>
      </c>
      <c r="CF33" s="80">
        <f>SUMIF(Tim!$KE$7:$KE$70,Ins!F33,Tim!$B$7:$B$70)+SUMIF(Tim!$KC$7:$KC$70,Ins!F33,Tim!$B$7:$B$70)+SUMIF(Tim!$KD$7:$KD$70,Ins!F33,Tim!$B$7:$B$70)</f>
        <v>0</v>
      </c>
      <c r="CG33" s="80">
        <f>SUMIF(Tim!$KF$7:$KF$70,Ins!F33,Tim!$B$7:$B$70)+SUMIF(Tim!$KG$7:$KG$70,Ins!F33,Tim!$B$7:$B$70)+SUMIF(Tim!$KH$7:$KH$70,Ins!F33,Tim!$B$7:$B$70)</f>
        <v>0</v>
      </c>
      <c r="CH33" s="80">
        <f>SUMIF(Tim!$KI$7:$KI$70,Ins!F33,Tim!$B$7:$B$70)</f>
        <v>0</v>
      </c>
      <c r="CI33" s="80">
        <f>SUMIF(Tim!$KJ$7:$KJ$70,Ins!F33,Tim!$D$7:$D$70)+SUMIF(Tim!$KK$7:$KK$70,Ins!F33,Tim!$D$7:$D$70)+SUMIF(Tim!$KL$7:$KL$70,Ins!F33,Tim!$D$7:$D$70)+SUMIF(Tim!$KM$7:$KM$70,Ins!F33,Tim!$D$7:$D$70)+SUMIF(Tim!$KN$7:$KN$70,Ins!F33,Tim!$D$7:$D$70)+SUMIF(Tim!$KO$7:$KO$70,Ins!F33,Tim!$D$7:$D$70)+SUMIF(Tim!$KP$7:$KP$70,Ins!F33,Tim!$D$7:$D$70)+SUMIF(Tim!$KQ$7:$KQ$70,Ins!F33,Tim!$D$7:$D$70)+SUMIF(Tim!$KR$7:$KR$70,Ins!F33,Tim!$D$7:$D$70)+SUMIF(Tim!$KS$7:$KS$70,Ins!F33,Tim!$D$7:$D$70)+SUMIF(Tim!$KT$7:$KT$70,Ins!F33,Tim!$D$7:$D$70)+SUMIF(Tim!$KU$7:$KU$70,Ins!F33,Tim!$D$7:$D$70)</f>
        <v>0</v>
      </c>
      <c r="CJ33" s="80">
        <f>SUMIF(Tim!KV$7:KV$70,Ins!F33,Tim!$C$7:$C$70)</f>
        <v>0</v>
      </c>
      <c r="CK33" s="80">
        <f>SUMIF(Tim!KW$7:KW$70,Ins!F33,Tim!$C$7:$C$70)</f>
        <v>0</v>
      </c>
      <c r="CL33" s="80">
        <f>SUMIF(Tim!KX$7:KX$70,Ins!F33,Tim!$C$7:$C$70)+SUMIF(Tim!KY$7:KY$70,Ins!F33,Tim!$C$7:$C$70)+SUMIF(Tim!KZ$7:KZ$70,Ins!F33,Tim!$C$7:$C$70)</f>
        <v>0</v>
      </c>
      <c r="CM33" s="81">
        <f>SUMIF(Tim!$LA$7:$LA$70,Ins!F33,Tim!$C$7:$C$70)+SUMIF(Tim!$LB$7:$LB$70,Ins!F33,Tim!$C$7:$C$70)+SUMIF(Tim!$LC$7:$LC$70,Ins!F33,Tim!$C$7:$C$70)+SUMIF(Tim!$LD$7:$LD$70,Ins!F33,Tim!$C$7:$C$70)+SUMIF(Tim!$LE$7:$LE$70,Ins!F33,Tim!$C$7:$C$70)</f>
        <v>0</v>
      </c>
      <c r="CN33" s="22"/>
      <c r="CO33" s="180">
        <f t="shared" ref="CO33:CO34" si="195">H33+T33+AF33+AR33+BD33+BP33+CB33</f>
        <v>0</v>
      </c>
      <c r="CP33" s="179">
        <f t="shared" ref="CP33:CP34" si="196">I33+U33+AG33+AS33+BE33+BQ33+CC33</f>
        <v>0</v>
      </c>
      <c r="CQ33" s="179">
        <f t="shared" ref="CQ33:CQ34" si="197">J33+V33+AH33+AT33+BF33+BR33+CD33</f>
        <v>0</v>
      </c>
      <c r="CR33" s="179">
        <f t="shared" ref="CR33:CR34" si="198">K33+W33+AI33+AU33+BG33+BS33+CE33</f>
        <v>0</v>
      </c>
      <c r="CS33" s="179">
        <f t="shared" ref="CS33:CS34" si="199">L33+X33+AJ33+AV33+BH33+BT33+CF33</f>
        <v>0</v>
      </c>
      <c r="CT33" s="179">
        <f t="shared" ref="CT33:CT34" si="200">M33+Y33+AK33+AW33+BI33+BU33+CG33</f>
        <v>0</v>
      </c>
      <c r="CU33" s="179">
        <f t="shared" ref="CU33:CU34" si="201">N33+Z33+AL33+AX33+BJ33+BV33+CH33</f>
        <v>0</v>
      </c>
      <c r="CV33" s="179">
        <f t="shared" ref="CV33:CV34" si="202">O33+AA33+AM33+AY33+BK33+BW33+CI33</f>
        <v>0</v>
      </c>
      <c r="CW33" s="179">
        <f t="shared" ref="CW33:CW34" si="203">P33+AB33+AN33+AZ33+BL33+BX33+CJ33</f>
        <v>0</v>
      </c>
      <c r="CX33" s="179">
        <f t="shared" ref="CX33:CX34" si="204">Q33+AC33+AO33+BA33+BM33+BY33+CK33</f>
        <v>0</v>
      </c>
      <c r="CY33" s="179">
        <f t="shared" ref="CY33:CY34" si="205">R33+AD33+AP33+BB33+BN33+BZ33+CL33</f>
        <v>0</v>
      </c>
      <c r="CZ33" s="179">
        <f t="shared" ref="CZ33:CZ34" si="206">S33+AE33+AQ33+BC33+BO33+CA33+CM33</f>
        <v>0</v>
      </c>
      <c r="DA33" s="78">
        <f t="shared" ref="DA33:DA34" si="207">SUM(CO33:CZ33)</f>
        <v>0</v>
      </c>
      <c r="DB33" s="16"/>
      <c r="DC33" s="34">
        <f t="shared" ref="DC33:DC34" si="208">SUM(H33:S33)</f>
        <v>0</v>
      </c>
      <c r="DD33" s="34">
        <f t="shared" ref="DD33:DD34" si="209">SUM(T33:AE33)</f>
        <v>0</v>
      </c>
      <c r="DE33" s="34">
        <f t="shared" ref="DE33:DE34" si="210">SUM(AF33:AQ33)</f>
        <v>0</v>
      </c>
      <c r="DF33" s="34">
        <f t="shared" ref="DF33:DF34" si="211">SUM(AR33:BC33)</f>
        <v>0</v>
      </c>
      <c r="DG33" s="34">
        <f t="shared" ref="DG33:DG34" si="212">SUM(BD33:BO33)</f>
        <v>0</v>
      </c>
      <c r="DH33" s="34">
        <f t="shared" ref="DH33:DH34" si="213">SUM(BP33:CA33)</f>
        <v>0</v>
      </c>
      <c r="DI33" s="34">
        <f t="shared" ref="DI33:DI34" si="214">SUM(CB33:CM33)</f>
        <v>0</v>
      </c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7"/>
    </row>
    <row r="34" spans="1:125" ht="12" customHeight="1">
      <c r="A34" s="10">
        <v>32</v>
      </c>
      <c r="B34" s="229" t="s">
        <v>402</v>
      </c>
      <c r="C34" s="185"/>
      <c r="D34" s="230"/>
      <c r="E34" s="230" t="s">
        <v>373</v>
      </c>
      <c r="F34" s="185" t="s">
        <v>376</v>
      </c>
      <c r="G34" s="231" t="s">
        <v>191</v>
      </c>
      <c r="H34" s="79">
        <f>SUMIF(Tim!$F$7:$F$70,Ins!F34,Tim!$B$7:$B$70)</f>
        <v>0</v>
      </c>
      <c r="I34" s="80">
        <f>SUMIF(Tim!$G$7:$G$70,Ins!F34,Tim!$B$7:$B$70)+SUMIF(Tim!$H$7:$H$70,Ins!F34,Tim!$B$7:$B$70)+SUMIF(Tim!$I$7:$I$70,Ins!F34,Tim!$B$7:$B$70)+SUMIF(Tim!$J$7:$J$70,Ins!F34,Tim!$B$7:$B$70)+SUMIF(Tim!$K$7:$K$70,Ins!F34,Tim!$B$7:$B$70)+SUMIF(Tim!$L$7:$L$70,Ins!F34,Tim!$B$7:$B$70)</f>
        <v>0</v>
      </c>
      <c r="J34" s="80">
        <f>SUMIF(Tim!$M$7:$M$70,Ins!F34,Tim!$B$7:$B$70)+SUMIF(Tim!$O$7:$O$70,Ins!F34,Tim!$B$7:$B$70)+SUMIF(Tim!$N$7:$N$70,Ins!F34,Tim!$B$7:$B$70)</f>
        <v>0</v>
      </c>
      <c r="K34" s="80">
        <f>SUMIF(Tim!$P$7:$P$70,Ins!F34,Tim!$B$7:$B$70)+SUMIF(Tim!$Q$7:$Q$70,Ins!F34,Tim!$B$7:$B$70)+SUMIF(Tim!$R$7:$R$70,Ins!F34,Tim!$B$7:$B$70)+SUMIF(Tim!$S$7:$S$70,Ins!F34,Tim!$B$7:$B$70)+SUMIF(Tim!$T$7:$T$70,Ins!F34,Tim!$B$7:$B$70)</f>
        <v>0</v>
      </c>
      <c r="L34" s="80">
        <f>SUMIF(Tim!$U$7:$U$70,Ins!F34,Tim!$B$7:$B$70)+SUMIF(Tim!$W$7:$W$70,Ins!F34,Tim!$B$7:$B$70)+SUMIF(Tim!$X$7:$X$70,Ins!F34,Tim!$B$7:$B$70)</f>
        <v>0</v>
      </c>
      <c r="M34" s="80">
        <f>SUMIF(Tim!$Y$7:$Y$70,Ins!F34,Tim!$B$7:$B$70)+SUMIF(Tim!$Z$7:$Z$70,Ins!F34,Tim!$B$7:$B$70)+SUMIF(Tim!$AA$7:$AA$70,Ins!F34,Tim!$B$7:$B$70)</f>
        <v>0</v>
      </c>
      <c r="N34" s="80">
        <f>SUMIF(Tim!$AB$7:$AB$70,Ins!F34,Tim!$B$7:$B$70)</f>
        <v>0</v>
      </c>
      <c r="O34" s="80">
        <f>SUMIF(Tim!$AC$7:$AC$70,Ins!F34,Tim!$D$7:$D$70)+SUMIF(Tim!$AD$7:$AD$70,Ins!F34,Tim!$D$7:$D$70)+SUMIF(Tim!$AE$7:$AE$70,Ins!F34,Tim!$D$7:$D$70)+SUMIF(Tim!$AF$7:$AF$70,Ins!F34,Tim!$D$7:$D$70)+SUMIF(Tim!$AG$7:$AG$70,Ins!F34,Tim!$D$7:$D$70)+SUMIF(Tim!$AH$7:$AH$70,Ins!F34,Tim!$D$7:$D$70)+SUMIF(Tim!$AI$7:$AI$70,Ins!F34,Tim!$D$7:$D$70)+SUMIF(Tim!$AJ$7:$AJ$70,Ins!F34,Tim!$D$7:$D$70)+SUMIF(Tim!$AK$7:$AK$70,Ins!F34,Tim!$D$7:$D$70)+SUMIF(Tim!$AL$7:$AL$70,Ins!F34,Tim!$D$7:$D$70)+SUMIF(Tim!$AM$7:$AM$70,Ins!F34,Tim!$D$7:$D$70)+SUMIF(Tim!$AN$7:$AN$70,Ins!F34,Tim!$D$7:$D$70)</f>
        <v>0</v>
      </c>
      <c r="P34" s="80">
        <f>SUMIF(Tim!AO$7:AO$70,Ins!F34,Tim!$C$7:$C$70)</f>
        <v>0</v>
      </c>
      <c r="Q34" s="80">
        <f>SUMIF(Tim!AP$7:AP$70,Ins!F34,Tim!$C$7:$C$70)</f>
        <v>0</v>
      </c>
      <c r="R34" s="80">
        <f>SUMIF(Tim!AQ$7:AQ$70,Ins!F34,Tim!$C$7:$C$70)+SUMIF(Tim!AR$7:AR$70,Ins!F34,Tim!$C$7:$C$70)+SUMIF(Tim!AS$7:AS$70,Ins!F34,Tim!$C$7:$C$70)</f>
        <v>0</v>
      </c>
      <c r="S34" s="236">
        <f>SUMIF(Tim!$AT$7:$AT$70,Ins!F34,Tim!$C$7:$C$70)+SUMIF(Tim!$AU$7:$AU$70,Ins!F34,Tim!$C$7:$C95)+SUMIF(Tim!$AV$7:$AV$70,Ins!F34,Tim!$C$7:$C$70)+SUMIF(Tim!$AW$7:$AW$70,Ins!F34,Tim!$C$7:$C$70)+SUMIF(Tim!$AX$7:$AX$70,Ins!F34,Tim!$C$7:$C$70)</f>
        <v>0</v>
      </c>
      <c r="T34" s="79">
        <f>SUMIF(Tim!$AY$7:$AY$70,Ins!F34,Tim!$B$7:$B$70)</f>
        <v>0</v>
      </c>
      <c r="U34" s="80">
        <f>SUMIF(Tim!$AZ$7:$AZ$70,Ins!F34,Tim!$B$7:$B$70)+SUMIF(Tim!$BA$7:$BA$70,Ins!F34,Tim!$B$7:$B$70)+SUMIF(Tim!$BB$7:$BB$70,Ins!F34,Tim!$B$7:$B$70)+SUMIF(Tim!$BC$7:$BC$70,Ins!F34,Tim!$B$7:$B$70)+SUMIF(Tim!$BD$7:$BD$70,Ins!F34,Tim!$B$7:$B$70)+SUMIF(Tim!$BE$7:$BE$70,Ins!F34,Tim!$B$7:$B$70)</f>
        <v>0</v>
      </c>
      <c r="V34" s="80">
        <f>SUMIF(Tim!$BF$7:$BF$70,Ins!F34,Tim!$B$7:$B$70)+SUMIF(Tim!$BG$7:$BG$70,Ins!F34,Tim!$B$7:$B$70)+SUMIF(Tim!$BH$7:$BH$70,Ins!F34,Tim!$B$7:$B$70)</f>
        <v>0</v>
      </c>
      <c r="W34" s="80">
        <f>SUMIF(Tim!$BI$7:$BI$70,Ins!F34,Tim!$B$7:$B$70)+SUMIF(Tim!$BJ$7:$BJ$70,Ins!F34,Tim!$B$7:$B$70)+SUMIF(Tim!$BK$7:$BK$70,Ins!F34,Tim!$B$7:$B$70)+SUMIF(Tim!$BL$7:$BL$70,Ins!F34,Tim!$B$7:$B$70)+SUMIF(Tim!$BM$7:$BM$70,Ins!F34,Tim!$B$7:$B$70)</f>
        <v>0</v>
      </c>
      <c r="X34" s="80">
        <f>SUMIF(Tim!$BN$7:$BN$70,Ins!F34,Tim!$B$7:$B$70)+SUMIF(Tim!$BO$7:$BO$70,Ins!F34,Tim!$B$7:$B$70)+SUMIF(Tim!$BP$7:$BP$70,Ins!F34,Tim!$B$7:$B$70)</f>
        <v>0</v>
      </c>
      <c r="Y34" s="80">
        <f>SUMIF(Tim!$BQ$7:$BQ$70,Ins!F34,Tim!$B$7:$B$70)+SUMIF(Tim!$BR$7:$BR$70,Ins!F34,Tim!$B$7:$B$70)+SUMIF(Tim!$BS$7:$BS$70,Ins!F34,Tim!$B$7:$B$70)</f>
        <v>0</v>
      </c>
      <c r="Z34" s="80">
        <f>SUMIF(Tim!BT$7:BT$70,Ins!F34,Tim!$B$7:$B$70)</f>
        <v>0</v>
      </c>
      <c r="AA34" s="80">
        <f>SUMIF(Tim!$BU$7:$BU$70,Ins!F34,Tim!$D$7:$D$70)+SUMIF(Tim!$BV$7:$BV$70,Ins!F34,Tim!$D$7:$D$70)+SUMIF(Tim!$BW$7:$BW$70,Ins!F34,Tim!$D$7:$D$70)+SUMIF(Tim!$BX$7:$BX$70,Ins!F34,Tim!$D$7:$D$70)+SUMIF(Tim!$BY$7:$BY$70,Ins!F34,Tim!$D$7:$D$70)+SUMIF(Tim!$BZ$7:$BZ$70,Ins!F34,Tim!$D$7:$D$70)+SUMIF(Tim!$CA$7:$CA$70,Ins!F34,Tim!$D$7:$D$70)+SUMIF(Tim!$CB$7:$CB$70,Ins!F34,Tim!$D$7:$D$70)+SUMIF(Tim!$CC$7:$CC$70,Ins!F34,Tim!$D$7:$D$70)+SUMIF(Tim!$CD$7:$CD$70,Ins!F34,Tim!$D$7:$D$70)+SUMIF(Tim!$CE$7:$CE$70,Ins!F34,Tim!$D$7:$D$70)+SUMIF(Tim!$CF$7:$CF$70,Ins!F34,Tim!$D$7:$D$70)</f>
        <v>2.25</v>
      </c>
      <c r="AB34" s="80">
        <f>SUMIF(Tim!CG$7:CG$70,Ins!F34,Tim!$C$7:$C$70)</f>
        <v>0</v>
      </c>
      <c r="AC34" s="80">
        <f>SUMIF(Tim!CH$7:CH$70,Ins!F34,Tim!$C$7:$C$70)</f>
        <v>0</v>
      </c>
      <c r="AD34" s="80">
        <f>SUMIF(Tim!CI$7:CI$70,Ins!F34,Tim!$C$7:$C$70)+SUMIF(Tim!CJ$7:CJ$70,Ins!F34,Tim!$C$7:$C$70)+SUMIF(Tim!CK$7:CK$70,Ins!F34,Tim!$C$7:$C$70)</f>
        <v>0</v>
      </c>
      <c r="AE34" s="81">
        <f>SUMIF(Tim!$CL$7:$CL$70,Ins!F34,Tim!$C$7:$C$70)+SUMIF(Tim!$CM$7:$CM$70,Ins!F34,Tim!$C$7:$C$70)+SUMIF(Tim!$CN$7:$CN$70,Ins!F34,Tim!$C$7:$C$70)+SUMIF(Tim!$CO$7:$CO$70,Ins!F34,Tim!$C$7:$C$70)+SUMIF(Tim!$CP$7:$CP$70,Ins!F34,Tim!$C$7:$C$70)</f>
        <v>1</v>
      </c>
      <c r="AF34" s="79">
        <f>SUMIF(Tim!$CQ$7:$CQ$70,Ins!F34,Tim!$B$7:$B$70)</f>
        <v>0</v>
      </c>
      <c r="AG34" s="80">
        <f>SUMIF(Tim!$CR$7:$CR$70,Ins!F34,Tim!$B$7:$B$70)+SUMIF(Tim!$CS$7:$CS$70,Ins!F34,Tim!$B$7:$B$70)+SUMIF(Tim!$CT$7:$CT$70,Ins!F34,Tim!$B$7:$B$70)+SUMIF(Tim!$CU$7:$CU$70,Ins!F34,Tim!$B$7:$B$70)+SUMIF(Tim!$CV$7:$CV$70,Ins!F34,Tim!$B$7:$B$70)+SUMIF(Tim!$CW$7:$CW$70,Ins!F34,Tim!$B$7:$B$70)</f>
        <v>0</v>
      </c>
      <c r="AH34" s="80">
        <f>SUMIF(Tim!$CX$7:$CX$70,Ins!F34,Tim!$B$7:$B$70)+SUMIF(Tim!$CY$7:$CY$70,Ins!F34,Tim!$B$7:$B$70)+SUMIF(Tim!$CZ$7:$CZ$70,Ins!F34,Tim!$B$7:$B$70)</f>
        <v>0</v>
      </c>
      <c r="AI34" s="80">
        <f>SUMIF(Tim!$DA$7:$DA$70,Ins!F34,Tim!$B$7:$B$70)+SUMIF(Tim!$DB$7:$DB$70,Ins!F34,Tim!$B$7:$B$70)+SUMIF(Tim!$DC$7:$DC$70,Ins!F34,Tim!$B$7:$B$70)+SUMIF(Tim!$DD$7:$DD$70,Ins!F34,Tim!$B$7:$B$70)+SUMIF(Tim!$DE$7:$DE$70,Ins!F34,Tim!$B$7:$B$70)</f>
        <v>0</v>
      </c>
      <c r="AJ34" s="80">
        <f>SUMIF(Tim!$DF$7:$DF$70,Ins!F34,Tim!$B$7:$B$70)+SUMIF(Tim!$DG$7:$DG$70,Ins!F34,Tim!$B$7:$B$70)+SUMIF(Tim!$DH$7:$DH$70,Ins!F34,Tim!$B$7:$B$70)</f>
        <v>0</v>
      </c>
      <c r="AK34" s="80">
        <f>SUMIF(Tim!DI$7:DI$70,Ins!F34,Tim!$B$7:$B$70)+SUMIF(Tim!DM$7:DM$70,Ins!F34,Tim!$B$7:$B$70)+SUMIF(Tim!DN$7:DN$70,Ins!F34,Tim!$B$7:$B$70)</f>
        <v>0</v>
      </c>
      <c r="AL34" s="80">
        <f>SUMIF(Tim!DO$7:DO$70,Ins!F34,Tim!$B$7:$B$70)</f>
        <v>0</v>
      </c>
      <c r="AM34" s="80">
        <f>SUMIF(Tim!$DP$7:$DP$70,Ins!F34,Tim!$D$7:$D$70)+SUMIF(Tim!$DQ$7:$DQ$70,Ins!F34,Tim!$D$7:$D$70)+SUMIF(Tim!$DR$7:$DR$70,Ins!F34,Tim!$D$7:$D$70)+SUMIF(Tim!$DS$7:$DS$70,Ins!F34,Tim!$D$7:$D$70)+SUMIF(Tim!$DT$7:$DT$70,Ins!F34,Tim!$D$7:$D$70)+SUMIF(Tim!$DU$7:$DU$70,Ins!F34,Tim!$D$7:$D$70)+SUMIF(Tim!$DV$7:$DV$70,Ins!F34,Tim!$D$7:$D$70)+SUMIF(Tim!$DW$7:$DW$70,Ins!F34,Tim!$D$7:$D$70)+SUMIF(Tim!$DX$7:$DX$70,Ins!F34,Tim!$D$7:$D$70)+SUMIF(Tim!$DY$7:$DY$70,Ins!F34,Tim!$D$7:$D$70)+SUMIF(Tim!$DZ$7:$DZ$70,Ins!F34,Tim!$D$7:$D$70)+SUMIF(Tim!$EA$7:$EA$70,Ins!F34,Tim!$D$7:$D$70)</f>
        <v>2.25</v>
      </c>
      <c r="AN34" s="80">
        <f>SUMIF(Tim!EB$7:EB$70,Ins!F34,Tim!$C$7:$C$70)</f>
        <v>0</v>
      </c>
      <c r="AO34" s="80">
        <f>SUMIF(Tim!EC$7:EC$70,Ins!F34,Tim!$C$7:$C$70)</f>
        <v>0</v>
      </c>
      <c r="AP34" s="80">
        <f>SUMIF(Tim!ED$7:ED$70,Ins!F34,Tim!$C$7:$C$70)+SUMIF(Tim!EE$7:EE$70,Ins!F34,Tim!$C$7:$C$70)+SUMIF(Tim!EF$7:EF$70,Ins!F34,Tim!$C$7:$C$70)</f>
        <v>0</v>
      </c>
      <c r="AQ34" s="81">
        <f>SUMIF(Tim!$EG$7:$EG$70,Ins!F34,Tim!$C$7:$C$70)+SUMIF(Tim!$EH$7:$EH$70,Ins!F34,Tim!$C$7:$C$70)+SUMIF(Tim!$EI$7:$EI$70,Ins!F34,Tim!$C$7:$C$70)+SUMIF(Tim!$EJ$7:$EJ$70,Ins!F34,Tim!$C$7:$C$70)+SUMIF(Tim!$EK$7:$EK$70,Ins!F34,Tim!$C$7:$C$70)</f>
        <v>0</v>
      </c>
      <c r="AR34" s="79">
        <f>SUMIF(Tim!$EL$5:$EL$70,Ins!F34,Tim!$B$5:$B$70)</f>
        <v>0</v>
      </c>
      <c r="AS34" s="80">
        <f>SUMIF(Tim!$EM$5:$EM$70,Ins!F34,Tim!$B$5:$B$70)+SUMIF(Tim!$EN$5:$EN$70,Ins!F34,Tim!$B$5:$B$70)+SUMIF(Tim!$EO$5:$EO$70,Ins!F34,Tim!$B$5:$B$70)+SUMIF(Tim!$EP$5:$EP$70,Ins!F34,Tim!$B$5:$B$70)+SUMIF(Tim!$EQ$5:$EQ$70,Ins!F34,Tim!$B$5:$B$70)+SUMIF(Tim!$ER$5:$ER$70,Ins!F34,Tim!$B$5:$B$70)</f>
        <v>0</v>
      </c>
      <c r="AT34" s="80">
        <f>SUMIF(Tim!$ES$5:$ES$70,Ins!F34,Tim!$B$5:$B$70)+SUMIF(Tim!$ET$5:$ET$70,Ins!F34,Tim!$B$5:$B$70)+SUMIF(Tim!$EU$5:$EU$70,Ins!F34,Tim!$B$5:$B$70)</f>
        <v>0</v>
      </c>
      <c r="AU34" s="80">
        <f>SUMIF(Tim!$EV$5:$EV$70,Ins!F34,Tim!$B$5:$B$70)+SUMIF(Tim!$EW$5:$EW$70,Ins!F34,Tim!$B$5:$B$70)+SUMIF(Tim!$EX$5:$EX$70,Ins!F34,Tim!$B$5:$B$70)+SUMIF(Tim!$EY$5:$EY$70,Ins!F34,Tim!$B$5:$B$70)+SUMIF(Tim!$EZ$5:$EZ$70,Ins!F34,Tim!$B$5:$B$70)</f>
        <v>0</v>
      </c>
      <c r="AV34" s="80">
        <f>SUMIF(Tim!$FA$5:$FA$70,Ins!F34,Tim!$B$5:$B$70)+SUMIF(Tim!$FB$5:$FB$70,Ins!F34,Tim!$B$5:$B$70)+SUMIF(Tim!$FC$5:$FC$70,Ins!F34,Tim!$B$5:$B$70)</f>
        <v>0</v>
      </c>
      <c r="AW34" s="80">
        <f>SUMIF(Tim!FD$5:FD$70,Ins!F34,Tim!$B$5:$B$70)+SUMIF(Tim!FE$5:FE$70,Ins!F34,Tim!$B$5:$B$70)+SUMIF(Tim!FF$5:FF$70,Ins!F34,Tim!$B$5:$B$70)</f>
        <v>0</v>
      </c>
      <c r="AX34" s="80">
        <f>SUMIF(Tim!FG$5:FG$70,Ins!F34,Tim!$B$5:$B$70)</f>
        <v>0</v>
      </c>
      <c r="AY34" s="80">
        <f>SUMIF(Tim!$FH$5:$FH$70,Ins!F34,Tim!$D$5:$D$70)+SUMIF(Tim!$FI$5:$FI$70,Ins!F34,Tim!$D$5:$D$70)+SUMIF(Tim!$FJ$5:$FJ$70,Ins!F34,Tim!$D$5:$D$70)+SUMIF(Tim!$FK$5:$FK$70,Ins!F34,Tim!$D$5:$D$70)+SUMIF(Tim!$FL$5:$FL$70,Ins!F34,Tim!$D$5:$D$70)+SUMIF(Tim!$FM$5:$FM$70,Ins!F34,Tim!$D$5:$D$70)+SUMIF(Tim!$FN$5:$FN$70,Ins!F34,Tim!$D$5:$D$70)+SUMIF(Tim!$FO$5:$FO$70,Ins!F34,Tim!$D$5:$D$70)+SUMIF(Tim!$FP$5:$FP$70,Ins!F34,Tim!$D$5:$D$70)+SUMIF(Tim!$FQ$5:$FQ$70,Ins!F34,Tim!$D$5:$D$70)+SUMIF(Tim!$FR$5:$FR$70,Ins!F34,Tim!$D$5:$D$70)+SUMIF(Tim!$FS$5:$FS$70,Ins!F34,Tim!$D$5:$D$70)</f>
        <v>2.25</v>
      </c>
      <c r="AZ34" s="80">
        <f>SUMIF(Tim!FT$5:FT$70,Ins!F34,Tim!$C$5:$C$70)</f>
        <v>0</v>
      </c>
      <c r="BA34" s="80">
        <f>SUMIF(Tim!FU$5:FU$70,Ins!F34,Tim!$C$5:$C$70)</f>
        <v>0</v>
      </c>
      <c r="BB34" s="80">
        <f>SUMIF(Tim!FV$5:FV$70,Ins!F34,Tim!$C$5:$C$70)+SUMIF(Tim!FW$5:FW$70,Ins!F34,Tim!$C$5:$C$70)+SUMIF(Tim!FX$5:FX$70,Ins!F34,Tim!$C$5:$C$70)</f>
        <v>0</v>
      </c>
      <c r="BC34" s="81">
        <f>SUMIF(Tim!$FY$5:$FY$70,Ins!F34,Tim!$C$5:$C$70)+SUMIF(Tim!$FZ$5:$FZ$70,Ins!F34,Tim!$C$5:$C$70)+SUMIF(Tim!$GA$5:$GA$70,Ins!F34,Tim!$C$5:$C$70)+SUMIF(Tim!$GB$5:$GB$70,Ins!F34,Tim!$C$5:$C$70)+SUMIF(Tim!$GC$5:$GC$70,Ins!F34,Tim!$C$5:$C$70)</f>
        <v>1</v>
      </c>
      <c r="BD34" s="79">
        <f>SUMIF(Tim!$GD$5:$GD$70,Ins!F34,Tim!$B$5:$B$70)</f>
        <v>0</v>
      </c>
      <c r="BE34" s="80">
        <f>SUMIF(Tim!$GE$5:$GE$70,Ins!F34,Tim!$B$5:$B$70)+SUMIF(Tim!$GF$5:$GF$70,Ins!F34,Tim!$B$5:$B$70)+SUMIF(Tim!$GG$5:$GG$70,Ins!F34,Tim!$B$5:$B$70)+SUMIF(Tim!$GH$5:$GH$70,Ins!F34,Tim!$B$5:$B$70)+SUMIF(Tim!$GI$5:$GI$70,Ins!F34,Tim!$B$5:$B$70)+SUMIF(Tim!$GJ$5:$GJ$70,Ins!F34,Tim!$B$5:$B$70)</f>
        <v>0</v>
      </c>
      <c r="BF34" s="80">
        <f>SUMIF(Tim!$GK$5:$GK$70,Ins!F34,Tim!$B$5:$B$70)+SUMIF(Tim!$GL$5:$GL$70,Ins!F34,Tim!$B$5:$B$70)+SUMIF(Tim!$GM$5:$GM$70,Ins!F34,Tim!$B$5:$B$70)</f>
        <v>0</v>
      </c>
      <c r="BG34" s="80">
        <f>SUMIF(Tim!$GN$5:$GN$70,Ins!F34,Tim!$B$5:$B$70)+SUMIF(Tim!$GO$5:$GO$70,Ins!F34,Tim!$B$5:$B$70)+SUMIF(Tim!$GP$5:$GP$70,Ins!F34,Tim!$B$5:$B$70)+SUMIF(Tim!$GQ$5:$GQ$70,Ins!F34,Tim!$B$5:$B$70)+SUMIF(Tim!$GR$5:$GR$70,Ins!F34,Tim!$B$5:$B$70)</f>
        <v>0</v>
      </c>
      <c r="BH34" s="80">
        <f>SUMIF(Tim!$GS$5:$GS$70,Ins!F34,Tim!$B$5:$B$70)+SUMIF(Tim!$GT$5:$GT$70,Ins!F34,Tim!$B$5:$B$70)+SUMIF(Tim!$GU$5:$GU$70,Ins!F34,Tim!$B$5:$B$70)</f>
        <v>0</v>
      </c>
      <c r="BI34" s="80">
        <f>SUMIF(Tim!GV$5:GV$70,Ins!F34,Tim!$B$5:$B$70)+SUMIF(Tim!GW$5:GW$70,Ins!F34,Tim!$B$5:$B$70)+SUMIF(Tim!GX$5:GX$70,Ins!F34,Tim!$B$5:$B$70)</f>
        <v>0</v>
      </c>
      <c r="BJ34" s="80">
        <f>SUMIF(Tim!GY$5:GY$70,Ins!F34,Tim!$B$5:$B$70)</f>
        <v>0</v>
      </c>
      <c r="BK34" s="80">
        <f>SUMIF(Tim!$GZ$5:$GZ$70,Ins!F34,Tim!$D$5:$D$70)+SUMIF(Tim!$HA$5:$HA$70,Ins!F34,Tim!$D$5:$D$70)+SUMIF(Tim!$HB$5:$HB$70,Ins!F34,Tim!$D$5:$D$70)++SUMIF(Tim!$HC$5:$HC$70,Ins!F34,Tim!$D$5:$D$70)+SUMIF(Tim!$HD$5:$HD$70,Ins!F34,Tim!$D$5:$D$70)+SUMIF(Tim!$HE$5:$HE$70,Ins!F34,Tim!$D$5:$D$70)+SUMIF(Tim!$HF$5:$HF$70,Ins!F34,Tim!$D$5:$D$70)+SUMIF(Tim!$HG$5:$HG$70,Ins!F34,Tim!$D$5:$D$70)+SUMIF(Tim!$HH$5:$HH$70,Ins!F34,Tim!$D$5:$D$70)+SUMIF(Tim!$HI$5:$HI$70,Ins!F34,Tim!$D$5:$D$70)+SUMIF(Tim!$HJ$5:$HJ$70,Ins!F34,Tim!$D$5:$D$70)+SUMIF(Tim!$HK$5:$HK$70,Ins!F34,Tim!$D$5:$D$70)</f>
        <v>0</v>
      </c>
      <c r="BL34" s="80">
        <f>SUMIF(Tim!HL$5:HL$70,Ins!F34,Tim!$C$5:$C$70)</f>
        <v>0</v>
      </c>
      <c r="BM34" s="80">
        <f>SUMIF(Tim!HM$5:HM$70,Ins!F34,Tim!$C$5:$C$70)</f>
        <v>0</v>
      </c>
      <c r="BN34" s="80">
        <f>SUMIF(Tim!HN$5:HN$70,Ins!F34,Tim!$C$5:$C$70)+SUMIF(Tim!HO$5:HO$70,Ins!F34,Tim!$C$5:$C$70)+SUMIF(Tim!HP$5:HP$70,Ins!F34,Tim!$C$5:$C$70)</f>
        <v>0</v>
      </c>
      <c r="BO34" s="81">
        <f>SUMIF(Tim!$HQ$5:$HQ$70,Ins!F34,Tim!$C$5:$C$70)+SUMIF(Tim!$HR$5:$HR$70,Ins!F34,Tim!$C$5:$C$70)+SUMIF(Tim!$HS$5:$HS$70,Ins!F34,Tim!$C$5:$C$70)+SUMIF(Tim!$HT$5:$HT$70,Ins!F34,Tim!$C$5:$C$70)+SUMIF(Tim!$HU$5:$HU$70,Ins!F34,Tim!$C$5:$C$70)</f>
        <v>0</v>
      </c>
      <c r="BP34" s="79">
        <f>SUMIF(Tim!$HV$7:$HV$70,Ins!F34,Tim!$B$7:$B$70)</f>
        <v>0</v>
      </c>
      <c r="BQ34" s="80">
        <f>SUMIF(Tim!$HW$7:$HW$70,Ins!F34,Tim!$B$7:$B$70)+SUMIF(Tim!$HX$7:$HX$70,Ins!F34,Tim!$B$7:$B$70)+SUMIF(Tim!$HY$7:$HY$70,Ins!F34,Tim!$B$7:$B$70)+SUMIF(Tim!$HZ$7:$HZ$70,Ins!F34,Tim!$B$7:$B$70)+SUMIF(Tim!$IA$7:$IA$70,Ins!F34,Tim!$B$7:$B$70)+SUMIF(Tim!$IB$7:$IB$70,Ins!F34,Tim!$B$7:$B$70)</f>
        <v>0</v>
      </c>
      <c r="BR34" s="80">
        <f>SUMIF(Tim!$IC$7:$IC$70,Ins!F34,Tim!$B$7:$B$70)+SUMIF(Tim!$ID$7:$ID$70,Ins!F34,Tim!$B$7:$B$70)+SUMIF(Tim!$IE$7:$IE$70,Ins!F34,Tim!$B$7:$B$70)</f>
        <v>0</v>
      </c>
      <c r="BS34" s="80">
        <f>SUMIF(Tim!$IF$7:$IF$70,Ins!F34,Tim!$B$7:$B$70)+SUMIF(Tim!$IG$7:$IG$70,Ins!F34,Tim!$B$7:$B$70)+SUMIF(Tim!$IH$7:$IH$70,Ins!F34,Tim!$B$7:$B$70)+SUMIF(Tim!$II$7:$II$70,Ins!F34,Tim!$B$7:$B$70)+SUMIF(Tim!$IJ$7:$IJ$70,Ins!F34,Tim!$B$7:$B$70)</f>
        <v>0</v>
      </c>
      <c r="BT34" s="80">
        <f>SUMIF(Tim!$IK$7:$IK$70,Ins!F34,Tim!$B$7:$B$70)+SUMIF(Tim!$IL$7:$IL$70,Ins!F34,Tim!$B$7:$B$70)+SUMIF(Tim!$IM$7:$IM$70,Ins!F34,Tim!$B$7:$B$70)</f>
        <v>0</v>
      </c>
      <c r="BU34" s="80">
        <f>SUMIF(Tim!$IN$7:$IN$70,Ins!F34,Tim!$B$7:$B$70)+SUMIF(Tim!$IO$7:$IO$70,Ins!F34,Tim!$B$7:$B$70)+SUMIF(Tim!$IP$7:$IP$70,Ins!F34,Tim!$B$7:$B$70)</f>
        <v>0</v>
      </c>
      <c r="BV34" s="80">
        <f>SUMIF(Tim!$IQ$7:$IQ$70,Ins!F34,Tim!$B$7:$B$70)</f>
        <v>0</v>
      </c>
      <c r="BW34" s="80">
        <f>SUMIF(Tim!$IR$7:$IR$70,Ins!F34,Tim!$D$7:$D$70)+SUMIF(Tim!$IS$7:$IS$70,Ins!F34,Tim!$D$7:$D$70)+SUMIF(Tim!$IT$7:$IT$70,Ins!F34,Tim!$D$7:$D$70)+SUMIF(Tim!$IU$7:$IU$70,Ins!F34,Tim!$D$7:$D$70)+SUMIF(Tim!$IV$7:$IV$70,Ins!F34,Tim!$D$7:$D$70)+SUMIF(Tim!$IW$7:$IW$70,Ins!F34,Tim!$D$7:$D$70)+SUMIF(Tim!$IX$7:$IX$70,Ins!F34,Tim!$D$7:$D$70)+SUMIF(Tim!$IY$7:$IY$70,Ins!F34,Tim!$D$7:$D$70)+SUMIF(Tim!$IZ$7:$IZ$70,Ins!F34,Tim!$D$7:$D$70)+SUMIF(Tim!$JA$7:$JA$70,Ins!F34,Tim!$D$7:$D$70)+SUMIF(Tim!$JB$7:$JB$70,Ins!F34,Tim!$D$7:$D$70)+SUMIF(Tim!$JC$7:$JC$70,Ins!F34,Tim!$D$7:$D$70)</f>
        <v>0</v>
      </c>
      <c r="BX34" s="80">
        <f>SUMIF(Tim!JD$7:JD$70,Ins!F34,Tim!$C$7:$C$70)</f>
        <v>0</v>
      </c>
      <c r="BY34" s="80">
        <f>SUMIF(Tim!JE$7:JE$70,Ins!F34,Tim!$C$7:$C$70)</f>
        <v>0</v>
      </c>
      <c r="BZ34" s="80">
        <f>SUMIF(Tim!JF$7:JF$70,Ins!F34,Tim!$C$7:$C$70)+SUMIF(Tim!JG$7:JG$70,Ins!F34,Tim!$C$7:$C$70)+SUMIF(Tim!JH$7:JH$70,Ins!F34,Tim!$C$7:$C$70)</f>
        <v>0</v>
      </c>
      <c r="CA34" s="81">
        <f>SUMIF(Tim!$JI$7:$JI$70,Ins!F34,Tim!$C$7:$C$70)++SUMIF(Tim!$JJ$7:$JJ$70,Ins!F34,Tim!$C$7:$C$70)+SUMIF(Tim!$JK$7:$JK$70,Ins!F34,Tim!$C$7:$C$70)+SUMIF(Tim!$JL$7:$JL$70,Ins!F34,Tim!$C$7:$C$70)+SUMIF(Tim!$JM$7:$JM$70,Ins!F34,Tim!$C$7:$C$70)</f>
        <v>0</v>
      </c>
      <c r="CB34" s="79">
        <f>SUMIF(Tim!$JN$7:$JN$70,Ins!F34,Tim!$B$7:$B$70)</f>
        <v>0</v>
      </c>
      <c r="CC34" s="80">
        <f>SUMIF(Tim!$JO$7:$JO$70,Ins!F34,Tim!$B$7:$B$70)+SUMIF(Tim!$JP$7:$JP$70,Ins!F34,Tim!$B$7:$B$70)+SUMIF(Tim!$JQ$7:$JQ$70,Ins!F34,Tim!$B$7:$B$70)+SUMIF(Tim!$JR$7:$JR$70,Ins!F34,Tim!$B$7:$B$70)+SUMIF(Tim!$JS$7:$JS$70,Ins!F34,Tim!$B$7:$B$70)+SUMIF(Tim!$JT$7:$JT$70,Ins!F34,Tim!$B$7:$B$70)</f>
        <v>0</v>
      </c>
      <c r="CD34" s="80">
        <f>SUMIF(Tim!$JW$7:$JW$70,Ins!F34,Tim!$B$7:$B$70)+SUMIF(Tim!$JU$7:$JU$70,Ins!F34,Tim!$B$7:$B$70)+SUMIF(Tim!$JV$7:$JV$70,Ins!F34,Tim!$B$7:$B$70)</f>
        <v>0</v>
      </c>
      <c r="CE34" s="80">
        <f>SUMIF(Tim!$JX$7:$JX$70,Ins!F34,Tim!$B$7:$B$70)+SUMIF(Tim!$JY$7:$JY$70,Ins!F34,Tim!$B$7:$B$70)+SUMIF(Tim!$JZ$7:$JZ$70,Ins!F34,Tim!$B$7:$B$70)+SUMIF(Tim!$KA$7:$KA$70,Ins!F34,Tim!$B$7:$B$70)+SUMIF(Tim!$KB$7:$KB$70,Ins!F34,Tim!$B$7:$B$70)</f>
        <v>0</v>
      </c>
      <c r="CF34" s="80">
        <f>SUMIF(Tim!$KE$7:$KE$70,Ins!F34,Tim!$B$7:$B$70)+SUMIF(Tim!$KC$7:$KC$70,Ins!F34,Tim!$B$7:$B$70)+SUMIF(Tim!$KD$7:$KD$70,Ins!F34,Tim!$B$7:$B$70)</f>
        <v>0</v>
      </c>
      <c r="CG34" s="80">
        <f>SUMIF(Tim!$KF$7:$KF$70,Ins!F34,Tim!$B$7:$B$70)+SUMIF(Tim!$KG$7:$KG$70,Ins!F34,Tim!$B$7:$B$70)+SUMIF(Tim!$KH$7:$KH$70,Ins!F34,Tim!$B$7:$B$70)</f>
        <v>0</v>
      </c>
      <c r="CH34" s="80">
        <f>SUMIF(Tim!$KI$7:$KI$70,Ins!F34,Tim!$B$7:$B$70)</f>
        <v>0</v>
      </c>
      <c r="CI34" s="80">
        <f>SUMIF(Tim!$KJ$7:$KJ$70,Ins!F34,Tim!$D$7:$D$70)+SUMIF(Tim!$KK$7:$KK$70,Ins!F34,Tim!$D$7:$D$70)+SUMIF(Tim!$KL$7:$KL$70,Ins!F34,Tim!$D$7:$D$70)+SUMIF(Tim!$KM$7:$KM$70,Ins!F34,Tim!$D$7:$D$70)+SUMIF(Tim!$KN$7:$KN$70,Ins!F34,Tim!$D$7:$D$70)+SUMIF(Tim!$KO$7:$KO$70,Ins!F34,Tim!$D$7:$D$70)+SUMIF(Tim!$KP$7:$KP$70,Ins!F34,Tim!$D$7:$D$70)+SUMIF(Tim!$KQ$7:$KQ$70,Ins!F34,Tim!$D$7:$D$70)+SUMIF(Tim!$KR$7:$KR$70,Ins!F34,Tim!$D$7:$D$70)+SUMIF(Tim!$KS$7:$KS$70,Ins!F34,Tim!$D$7:$D$70)+SUMIF(Tim!$KT$7:$KT$70,Ins!F34,Tim!$D$7:$D$70)+SUMIF(Tim!$KU$7:$KU$70,Ins!F34,Tim!$D$7:$D$70)</f>
        <v>0</v>
      </c>
      <c r="CJ34" s="80">
        <f>SUMIF(Tim!KV$7:KV$70,Ins!F34,Tim!$C$7:$C$70)</f>
        <v>0</v>
      </c>
      <c r="CK34" s="80">
        <f>SUMIF(Tim!KW$7:KW$70,Ins!F34,Tim!$C$7:$C$70)</f>
        <v>0</v>
      </c>
      <c r="CL34" s="80">
        <f>SUMIF(Tim!KX$7:KX$70,Ins!F34,Tim!$C$7:$C$70)+SUMIF(Tim!KY$7:KY$70,Ins!F34,Tim!$C$7:$C$70)+SUMIF(Tim!KZ$7:KZ$70,Ins!F34,Tim!$C$7:$C$70)</f>
        <v>0</v>
      </c>
      <c r="CM34" s="81">
        <f>SUMIF(Tim!$LA$7:$LA$70,Ins!F34,Tim!$C$7:$C$70)+SUMIF(Tim!$LB$7:$LB$70,Ins!F34,Tim!$C$7:$C$70)+SUMIF(Tim!$LC$7:$LC$70,Ins!F34,Tim!$C$7:$C$70)+SUMIF(Tim!$LD$7:$LD$70,Ins!F34,Tim!$C$7:$C$70)+SUMIF(Tim!$LE$7:$LE$70,Ins!F34,Tim!$C$7:$C$70)</f>
        <v>0</v>
      </c>
      <c r="CN34" s="22"/>
      <c r="CO34" s="180">
        <f t="shared" si="195"/>
        <v>0</v>
      </c>
      <c r="CP34" s="179">
        <f t="shared" si="196"/>
        <v>0</v>
      </c>
      <c r="CQ34" s="179">
        <f t="shared" si="197"/>
        <v>0</v>
      </c>
      <c r="CR34" s="179">
        <f t="shared" si="198"/>
        <v>0</v>
      </c>
      <c r="CS34" s="179">
        <f t="shared" si="199"/>
        <v>0</v>
      </c>
      <c r="CT34" s="179">
        <f t="shared" si="200"/>
        <v>0</v>
      </c>
      <c r="CU34" s="179">
        <f t="shared" si="201"/>
        <v>0</v>
      </c>
      <c r="CV34" s="179">
        <f t="shared" si="202"/>
        <v>6.75</v>
      </c>
      <c r="CW34" s="179">
        <f t="shared" si="203"/>
        <v>0</v>
      </c>
      <c r="CX34" s="179">
        <f t="shared" si="204"/>
        <v>0</v>
      </c>
      <c r="CY34" s="179">
        <f t="shared" si="205"/>
        <v>0</v>
      </c>
      <c r="CZ34" s="179">
        <f t="shared" si="206"/>
        <v>2</v>
      </c>
      <c r="DA34" s="78">
        <f t="shared" si="207"/>
        <v>8.75</v>
      </c>
      <c r="DB34" s="16"/>
      <c r="DC34" s="34">
        <f t="shared" si="208"/>
        <v>0</v>
      </c>
      <c r="DD34" s="34">
        <f t="shared" si="209"/>
        <v>3.25</v>
      </c>
      <c r="DE34" s="34">
        <f t="shared" si="210"/>
        <v>2.25</v>
      </c>
      <c r="DF34" s="34">
        <f t="shared" si="211"/>
        <v>3.25</v>
      </c>
      <c r="DG34" s="34">
        <f t="shared" si="212"/>
        <v>0</v>
      </c>
      <c r="DH34" s="34">
        <f t="shared" si="213"/>
        <v>0</v>
      </c>
      <c r="DI34" s="34">
        <f t="shared" si="214"/>
        <v>0</v>
      </c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7"/>
    </row>
    <row r="35" spans="1:125" ht="12" customHeight="1">
      <c r="A35" s="10">
        <v>33</v>
      </c>
      <c r="B35" s="24" t="s">
        <v>453</v>
      </c>
      <c r="C35" s="234"/>
      <c r="D35" s="28"/>
      <c r="E35" s="28" t="s">
        <v>373</v>
      </c>
      <c r="F35" s="185" t="s">
        <v>454</v>
      </c>
      <c r="G35" s="205" t="s">
        <v>191</v>
      </c>
      <c r="H35" s="79">
        <f>SUMIF(Tim!$F$7:$F$70,Ins!F35,Tim!$B$7:$B$70)</f>
        <v>0</v>
      </c>
      <c r="I35" s="80">
        <f>SUMIF(Tim!$G$7:$G$70,Ins!F35,Tim!$B$7:$B$70)+SUMIF(Tim!$H$7:$H$70,Ins!F35,Tim!$B$7:$B$70)+SUMIF(Tim!$I$7:$I$70,Ins!F35,Tim!$B$7:$B$70)+SUMIF(Tim!$J$7:$J$70,Ins!F35,Tim!$B$7:$B$70)+SUMIF(Tim!$K$7:$K$70,Ins!F35,Tim!$B$7:$B$70)+SUMIF(Tim!$L$7:$L$70,Ins!F35,Tim!$B$7:$B$70)</f>
        <v>0</v>
      </c>
      <c r="J35" s="80">
        <f>SUMIF(Tim!$M$7:$M$70,Ins!F35,Tim!$B$7:$B$70)+SUMIF(Tim!$O$7:$O$70,Ins!F35,Tim!$B$7:$B$70)+SUMIF(Tim!$N$7:$N$70,Ins!F35,Tim!$B$7:$B$70)</f>
        <v>0</v>
      </c>
      <c r="K35" s="80">
        <f>SUMIF(Tim!$P$7:$P$70,Ins!F35,Tim!$B$7:$B$70)+SUMIF(Tim!$Q$7:$Q$70,Ins!F35,Tim!$B$7:$B$70)+SUMIF(Tim!$R$7:$R$70,Ins!F35,Tim!$B$7:$B$70)+SUMIF(Tim!$S$7:$S$70,Ins!F35,Tim!$B$7:$B$70)+SUMIF(Tim!$T$7:$T$70,Ins!F35,Tim!$B$7:$B$70)</f>
        <v>0</v>
      </c>
      <c r="L35" s="80">
        <f>SUMIF(Tim!$U$7:$U$70,Ins!F35,Tim!$B$7:$B$70)+SUMIF(Tim!$W$7:$W$70,Ins!F35,Tim!$B$7:$B$70)+SUMIF(Tim!$X$7:$X$70,Ins!F35,Tim!$B$7:$B$70)</f>
        <v>0</v>
      </c>
      <c r="M35" s="80">
        <f>SUMIF(Tim!$Y$7:$Y$70,Ins!F35,Tim!$B$7:$B$70)+SUMIF(Tim!$Z$7:$Z$70,Ins!F35,Tim!$B$7:$B$70)+SUMIF(Tim!$AA$7:$AA$70,Ins!F35,Tim!$B$7:$B$70)</f>
        <v>0</v>
      </c>
      <c r="N35" s="80">
        <f>SUMIF(Tim!$AB$7:$AB$70,Ins!F35,Tim!$B$7:$B$70)</f>
        <v>0</v>
      </c>
      <c r="O35" s="80">
        <f>SUMIF(Tim!$AC$7:$AC$70,Ins!F35,Tim!$D$7:$D$70)+SUMIF(Tim!$AD$7:$AD$70,Ins!F35,Tim!$D$7:$D$70)+SUMIF(Tim!$AE$7:$AE$70,Ins!F35,Tim!$D$7:$D$70)+SUMIF(Tim!$AF$7:$AF$70,Ins!F35,Tim!$D$7:$D$70)+SUMIF(Tim!$AG$7:$AG$70,Ins!F35,Tim!$D$7:$D$70)+SUMIF(Tim!$AH$7:$AH$70,Ins!F35,Tim!$D$7:$D$70)+SUMIF(Tim!$AI$7:$AI$70,Ins!F35,Tim!$D$7:$D$70)+SUMIF(Tim!$AJ$7:$AJ$70,Ins!F35,Tim!$D$7:$D$70)+SUMIF(Tim!$AK$7:$AK$70,Ins!F35,Tim!$D$7:$D$70)+SUMIF(Tim!$AL$7:$AL$70,Ins!F35,Tim!$D$7:$D$70)+SUMIF(Tim!$AM$7:$AM$70,Ins!F35,Tim!$D$7:$D$70)+SUMIF(Tim!$AN$7:$AN$70,Ins!F35,Tim!$D$7:$D$70)</f>
        <v>0</v>
      </c>
      <c r="P35" s="80">
        <f>SUMIF(Tim!AO$7:AO$70,Ins!F35,Tim!$C$7:$C$70)</f>
        <v>0</v>
      </c>
      <c r="Q35" s="80">
        <f>SUMIF(Tim!AP$7:AP$70,Ins!F35,Tim!$C$7:$C$70)</f>
        <v>0</v>
      </c>
      <c r="R35" s="80">
        <f>SUMIF(Tim!AQ$7:AQ$70,Ins!F35,Tim!$C$7:$C$70)+SUMIF(Tim!AR$7:AR$70,Ins!F35,Tim!$C$7:$C$70)+SUMIF(Tim!AS$7:AS$70,Ins!F35,Tim!$C$7:$C$70)</f>
        <v>0</v>
      </c>
      <c r="S35" s="236">
        <f>SUMIF(Tim!$AT$7:$AT$70,Ins!F35,Tim!$C$7:$C$70)+SUMIF(Tim!$AU$7:$AU$70,Ins!F35,Tim!$C$7:$C96)+SUMIF(Tim!$AV$7:$AV$70,Ins!F35,Tim!$C$7:$C$70)+SUMIF(Tim!$AW$7:$AW$70,Ins!F35,Tim!$C$7:$C$70)+SUMIF(Tim!$AX$7:$AX$70,Ins!F35,Tim!$C$7:$C$70)</f>
        <v>0</v>
      </c>
      <c r="T35" s="79">
        <f>SUMIF(Tim!$AY$7:$AY$70,Ins!F35,Tim!$B$7:$B$70)</f>
        <v>0</v>
      </c>
      <c r="U35" s="80">
        <f>SUMIF(Tim!$AZ$7:$AZ$70,Ins!F35,Tim!$B$7:$B$70)+SUMIF(Tim!$BA$7:$BA$70,Ins!F35,Tim!$B$7:$B$70)+SUMIF(Tim!$BB$7:$BB$70,Ins!F35,Tim!$B$7:$B$70)+SUMIF(Tim!$BC$7:$BC$70,Ins!F35,Tim!$B$7:$B$70)+SUMIF(Tim!$BD$7:$BD$70,Ins!F35,Tim!$B$7:$B$70)+SUMIF(Tim!$BE$7:$BE$70,Ins!F35,Tim!$B$7:$B$70)</f>
        <v>0</v>
      </c>
      <c r="V35" s="80">
        <f>SUMIF(Tim!$BF$7:$BF$70,Ins!F35,Tim!$B$7:$B$70)+SUMIF(Tim!$BG$7:$BG$70,Ins!F35,Tim!$B$7:$B$70)+SUMIF(Tim!$BH$7:$BH$70,Ins!F35,Tim!$B$7:$B$70)</f>
        <v>0</v>
      </c>
      <c r="W35" s="80">
        <f>SUMIF(Tim!$BI$7:$BI$70,Ins!F35,Tim!$B$7:$B$70)+SUMIF(Tim!$BJ$7:$BJ$70,Ins!F35,Tim!$B$7:$B$70)+SUMIF(Tim!$BK$7:$BK$70,Ins!F35,Tim!$B$7:$B$70)+SUMIF(Tim!$BL$7:$BL$70,Ins!F35,Tim!$B$7:$B$70)+SUMIF(Tim!$BM$7:$BM$70,Ins!F35,Tim!$B$7:$B$70)</f>
        <v>0</v>
      </c>
      <c r="X35" s="80">
        <f>SUMIF(Tim!$BN$7:$BN$70,Ins!F35,Tim!$B$7:$B$70)+SUMIF(Tim!$BO$7:$BO$70,Ins!F35,Tim!$B$7:$B$70)+SUMIF(Tim!$BP$7:$BP$70,Ins!F35,Tim!$B$7:$B$70)</f>
        <v>0</v>
      </c>
      <c r="Y35" s="80">
        <f>SUMIF(Tim!$BQ$7:$BQ$70,Ins!F35,Tim!$B$7:$B$70)+SUMIF(Tim!$BR$7:$BR$70,Ins!F35,Tim!$B$7:$B$70)+SUMIF(Tim!$BS$7:$BS$70,Ins!F35,Tim!$B$7:$B$70)</f>
        <v>0</v>
      </c>
      <c r="Z35" s="80">
        <f>SUMIF(Tim!BT$7:BT$70,Ins!F35,Tim!$B$7:$B$70)</f>
        <v>0</v>
      </c>
      <c r="AA35" s="80">
        <f>SUMIF(Tim!$BU$7:$BU$70,Ins!F35,Tim!$D$7:$D$70)+SUMIF(Tim!$BV$7:$BV$70,Ins!F35,Tim!$D$7:$D$70)+SUMIF(Tim!$BW$7:$BW$70,Ins!F35,Tim!$D$7:$D$70)+SUMIF(Tim!$BX$7:$BX$70,Ins!F35,Tim!$D$7:$D$70)+SUMIF(Tim!$BY$7:$BY$70,Ins!F35,Tim!$D$7:$D$70)+SUMIF(Tim!$BZ$7:$BZ$70,Ins!F35,Tim!$D$7:$D$70)+SUMIF(Tim!$CA$7:$CA$70,Ins!F35,Tim!$D$7:$D$70)+SUMIF(Tim!$CB$7:$CB$70,Ins!F35,Tim!$D$7:$D$70)+SUMIF(Tim!$CC$7:$CC$70,Ins!F35,Tim!$D$7:$D$70)+SUMIF(Tim!$CD$7:$CD$70,Ins!F35,Tim!$D$7:$D$70)+SUMIF(Tim!$CE$7:$CE$70,Ins!F35,Tim!$D$7:$D$70)+SUMIF(Tim!$CF$7:$CF$70,Ins!F35,Tim!$D$7:$D$70)</f>
        <v>0</v>
      </c>
      <c r="AB35" s="80">
        <f>SUMIF(Tim!CG$7:CG$70,Ins!F35,Tim!$C$7:$C$70)</f>
        <v>0</v>
      </c>
      <c r="AC35" s="80">
        <f>SUMIF(Tim!CH$7:CH$70,Ins!F35,Tim!$C$7:$C$70)</f>
        <v>0</v>
      </c>
      <c r="AD35" s="80">
        <f>SUMIF(Tim!CI$7:CI$70,Ins!F35,Tim!$C$7:$C$70)+SUMIF(Tim!CJ$7:CJ$70,Ins!F35,Tim!$C$7:$C$70)+SUMIF(Tim!CK$7:CK$70,Ins!F35,Tim!$C$7:$C$70)</f>
        <v>0</v>
      </c>
      <c r="AE35" s="81">
        <f>SUMIF(Tim!$CL$7:$CL$70,Ins!F35,Tim!$C$7:$C$70)+SUMIF(Tim!$CM$7:$CM$70,Ins!F35,Tim!$C$7:$C$70)+SUMIF(Tim!$CN$7:$CN$70,Ins!F35,Tim!$C$7:$C$70)+SUMIF(Tim!$CO$7:$CO$70,Ins!F35,Tim!$C$7:$C$70)+SUMIF(Tim!$CP$7:$CP$70,Ins!F35,Tim!$C$7:$C$70)</f>
        <v>0</v>
      </c>
      <c r="AF35" s="79">
        <f>SUMIF(Tim!$CQ$7:$CQ$70,Ins!F35,Tim!$B$7:$B$70)</f>
        <v>0</v>
      </c>
      <c r="AG35" s="80">
        <f>SUMIF(Tim!$CR$7:$CR$70,Ins!F35,Tim!$B$7:$B$70)+SUMIF(Tim!$CS$7:$CS$70,Ins!F35,Tim!$B$7:$B$70)+SUMIF(Tim!$CT$7:$CT$70,Ins!F35,Tim!$B$7:$B$70)+SUMIF(Tim!$CU$7:$CU$70,Ins!F35,Tim!$B$7:$B$70)+SUMIF(Tim!$CV$7:$CV$70,Ins!F35,Tim!$B$7:$B$70)+SUMIF(Tim!$CW$7:$CW$70,Ins!F35,Tim!$B$7:$B$70)</f>
        <v>0</v>
      </c>
      <c r="AH35" s="80">
        <f>SUMIF(Tim!$CX$7:$CX$70,Ins!F35,Tim!$B$7:$B$70)+SUMIF(Tim!$CY$7:$CY$70,Ins!F35,Tim!$B$7:$B$70)+SUMIF(Tim!$CZ$7:$CZ$70,Ins!F35,Tim!$B$7:$B$70)</f>
        <v>0</v>
      </c>
      <c r="AI35" s="80">
        <f>SUMIF(Tim!$DA$7:$DA$70,Ins!F35,Tim!$B$7:$B$70)+SUMIF(Tim!$DB$7:$DB$70,Ins!F35,Tim!$B$7:$B$70)+SUMIF(Tim!$DC$7:$DC$70,Ins!F35,Tim!$B$7:$B$70)+SUMIF(Tim!$DD$7:$DD$70,Ins!F35,Tim!$B$7:$B$70)+SUMIF(Tim!$DE$7:$DE$70,Ins!F35,Tim!$B$7:$B$70)</f>
        <v>0</v>
      </c>
      <c r="AJ35" s="80">
        <f>SUMIF(Tim!$DF$7:$DF$70,Ins!F35,Tim!$B$7:$B$70)+SUMIF(Tim!$DG$7:$DG$70,Ins!F35,Tim!$B$7:$B$70)+SUMIF(Tim!$DH$7:$DH$70,Ins!F35,Tim!$B$7:$B$70)</f>
        <v>0</v>
      </c>
      <c r="AK35" s="80">
        <f>SUMIF(Tim!DI$7:DI$70,Ins!F35,Tim!$B$7:$B$70)+SUMIF(Tim!DM$7:DM$70,Ins!F35,Tim!$B$7:$B$70)+SUMIF(Tim!DN$7:DN$70,Ins!F35,Tim!$B$7:$B$70)</f>
        <v>0</v>
      </c>
      <c r="AL35" s="80">
        <f>SUMIF(Tim!DO$7:DO$70,Ins!F35,Tim!$B$7:$B$70)</f>
        <v>0</v>
      </c>
      <c r="AM35" s="80">
        <f>SUMIF(Tim!$DP$7:$DP$70,Ins!F35,Tim!$D$7:$D$70)+SUMIF(Tim!$DQ$7:$DQ$70,Ins!F35,Tim!$D$7:$D$70)+SUMIF(Tim!$DR$7:$DR$70,Ins!F35,Tim!$D$7:$D$70)+SUMIF(Tim!$DS$7:$DS$70,Ins!F35,Tim!$D$7:$D$70)+SUMIF(Tim!$DT$7:$DT$70,Ins!F35,Tim!$D$7:$D$70)+SUMIF(Tim!$DU$7:$DU$70,Ins!F35,Tim!$D$7:$D$70)+SUMIF(Tim!$DV$7:$DV$70,Ins!F35,Tim!$D$7:$D$70)+SUMIF(Tim!$DW$7:$DW$70,Ins!F35,Tim!$D$7:$D$70)+SUMIF(Tim!$DX$7:$DX$70,Ins!F35,Tim!$D$7:$D$70)+SUMIF(Tim!$DY$7:$DY$70,Ins!F35,Tim!$D$7:$D$70)+SUMIF(Tim!$DZ$7:$DZ$70,Ins!F35,Tim!$D$7:$D$70)+SUMIF(Tim!$EA$7:$EA$70,Ins!F35,Tim!$D$7:$D$70)</f>
        <v>0</v>
      </c>
      <c r="AN35" s="80">
        <f>SUMIF(Tim!EB$7:EB$70,Ins!F35,Tim!$C$7:$C$70)</f>
        <v>0</v>
      </c>
      <c r="AO35" s="80">
        <f>SUMIF(Tim!EC$7:EC$70,Ins!F35,Tim!$C$7:$C$70)</f>
        <v>0</v>
      </c>
      <c r="AP35" s="80">
        <f>SUMIF(Tim!ED$7:ED$70,Ins!F35,Tim!$C$7:$C$70)+SUMIF(Tim!EE$7:EE$70,Ins!F35,Tim!$C$7:$C$70)+SUMIF(Tim!EF$7:EF$70,Ins!F35,Tim!$C$7:$C$70)</f>
        <v>0</v>
      </c>
      <c r="AQ35" s="81">
        <f>SUMIF(Tim!$EG$7:$EG$70,Ins!F35,Tim!$C$7:$C$70)+SUMIF(Tim!$EH$7:$EH$70,Ins!F35,Tim!$C$7:$C$70)+SUMIF(Tim!$EI$7:$EI$70,Ins!F35,Tim!$C$7:$C$70)+SUMIF(Tim!$EJ$7:$EJ$70,Ins!F35,Tim!$C$7:$C$70)+SUMIF(Tim!$EK$7:$EK$70,Ins!F35,Tim!$C$7:$C$70)</f>
        <v>0</v>
      </c>
      <c r="AR35" s="79">
        <f>SUMIF(Tim!$EL$5:$EL$70,Ins!F35,Tim!$B$5:$B$70)</f>
        <v>0</v>
      </c>
      <c r="AS35" s="80">
        <f>SUMIF(Tim!$EM$5:$EM$70,Ins!F35,Tim!$B$5:$B$70)+SUMIF(Tim!$EN$5:$EN$70,Ins!F35,Tim!$B$5:$B$70)+SUMIF(Tim!$EO$5:$EO$70,Ins!F35,Tim!$B$5:$B$70)+SUMIF(Tim!$EP$5:$EP$70,Ins!F35,Tim!$B$5:$B$70)+SUMIF(Tim!$EQ$5:$EQ$70,Ins!F35,Tim!$B$5:$B$70)+SUMIF(Tim!$ER$5:$ER$70,Ins!F35,Tim!$B$5:$B$70)</f>
        <v>0</v>
      </c>
      <c r="AT35" s="80">
        <f>SUMIF(Tim!$ES$5:$ES$70,Ins!F35,Tim!$B$5:$B$70)+SUMIF(Tim!$ET$5:$ET$70,Ins!F35,Tim!$B$5:$B$70)+SUMIF(Tim!$EU$5:$EU$70,Ins!F35,Tim!$B$5:$B$70)</f>
        <v>0</v>
      </c>
      <c r="AU35" s="80">
        <f>SUMIF(Tim!$EV$5:$EV$70,Ins!F35,Tim!$B$5:$B$70)+SUMIF(Tim!$EW$5:$EW$70,Ins!F35,Tim!$B$5:$B$70)+SUMIF(Tim!$EX$5:$EX$70,Ins!F35,Tim!$B$5:$B$70)+SUMIF(Tim!$EY$5:$EY$70,Ins!F35,Tim!$B$5:$B$70)+SUMIF(Tim!$EZ$5:$EZ$70,Ins!F35,Tim!$B$5:$B$70)</f>
        <v>0</v>
      </c>
      <c r="AV35" s="80">
        <f>SUMIF(Tim!$FA$5:$FA$70,Ins!F35,Tim!$B$5:$B$70)+SUMIF(Tim!$FB$5:$FB$70,Ins!F35,Tim!$B$5:$B$70)+SUMIF(Tim!$FC$5:$FC$70,Ins!F35,Tim!$B$5:$B$70)</f>
        <v>0</v>
      </c>
      <c r="AW35" s="80">
        <f>SUMIF(Tim!FD$5:FD$70,Ins!F35,Tim!$B$5:$B$70)+SUMIF(Tim!FE$5:FE$70,Ins!F35,Tim!$B$5:$B$70)+SUMIF(Tim!FF$5:FF$70,Ins!F35,Tim!$B$5:$B$70)</f>
        <v>0</v>
      </c>
      <c r="AX35" s="80">
        <f>SUMIF(Tim!FG$5:FG$70,Ins!F35,Tim!$B$5:$B$70)</f>
        <v>0</v>
      </c>
      <c r="AY35" s="80">
        <f>SUMIF(Tim!$FH$5:$FH$70,Ins!F35,Tim!$D$5:$D$70)+SUMIF(Tim!$FI$5:$FI$70,Ins!F35,Tim!$D$5:$D$70)+SUMIF(Tim!$FJ$5:$FJ$70,Ins!F35,Tim!$D$5:$D$70)+SUMIF(Tim!$FK$5:$FK$70,Ins!F35,Tim!$D$5:$D$70)+SUMIF(Tim!$FL$5:$FL$70,Ins!F35,Tim!$D$5:$D$70)+SUMIF(Tim!$FM$5:$FM$70,Ins!F35,Tim!$D$5:$D$70)+SUMIF(Tim!$FN$5:$FN$70,Ins!F35,Tim!$D$5:$D$70)+SUMIF(Tim!$FO$5:$FO$70,Ins!F35,Tim!$D$5:$D$70)+SUMIF(Tim!$FP$5:$FP$70,Ins!F35,Tim!$D$5:$D$70)+SUMIF(Tim!$FQ$5:$FQ$70,Ins!F35,Tim!$D$5:$D$70)+SUMIF(Tim!$FR$5:$FR$70,Ins!F35,Tim!$D$5:$D$70)+SUMIF(Tim!$FS$5:$FS$70,Ins!F35,Tim!$D$5:$D$70)</f>
        <v>0</v>
      </c>
      <c r="AZ35" s="80">
        <f>SUMIF(Tim!FT$5:FT$70,Ins!F35,Tim!$C$5:$C$70)</f>
        <v>0</v>
      </c>
      <c r="BA35" s="80">
        <f>SUMIF(Tim!FU$5:FU$70,Ins!F35,Tim!$C$5:$C$70)</f>
        <v>0</v>
      </c>
      <c r="BB35" s="80">
        <f>SUMIF(Tim!FV$5:FV$70,Ins!F35,Tim!$C$5:$C$70)+SUMIF(Tim!FW$5:FW$70,Ins!F35,Tim!$C$5:$C$70)+SUMIF(Tim!FX$5:FX$70,Ins!F35,Tim!$C$5:$C$70)</f>
        <v>0</v>
      </c>
      <c r="BC35" s="81">
        <f>SUMIF(Tim!$FY$5:$FY$70,Ins!F35,Tim!$C$5:$C$70)+SUMIF(Tim!$FZ$5:$FZ$70,Ins!F35,Tim!$C$5:$C$70)+SUMIF(Tim!$GA$5:$GA$70,Ins!F35,Tim!$C$5:$C$70)+SUMIF(Tim!$GB$5:$GB$70,Ins!F35,Tim!$C$5:$C$70)+SUMIF(Tim!$GC$5:$GC$70,Ins!F35,Tim!$C$5:$C$70)</f>
        <v>0</v>
      </c>
      <c r="BD35" s="79">
        <f>SUMIF(Tim!$GD$5:$GD$70,Ins!F35,Tim!$B$5:$B$70)</f>
        <v>0</v>
      </c>
      <c r="BE35" s="80">
        <f>SUMIF(Tim!$GE$5:$GE$70,Ins!F35,Tim!$B$5:$B$70)+SUMIF(Tim!$GF$5:$GF$70,Ins!F35,Tim!$B$5:$B$70)+SUMIF(Tim!$GG$5:$GG$70,Ins!F35,Tim!$B$5:$B$70)+SUMIF(Tim!$GH$5:$GH$70,Ins!F35,Tim!$B$5:$B$70)+SUMIF(Tim!$GI$5:$GI$70,Ins!F35,Tim!$B$5:$B$70)+SUMIF(Tim!$GJ$5:$GJ$70,Ins!F35,Tim!$B$5:$B$70)</f>
        <v>0</v>
      </c>
      <c r="BF35" s="80">
        <f>SUMIF(Tim!$GK$5:$GK$70,Ins!F35,Tim!$B$5:$B$70)+SUMIF(Tim!$GL$5:$GL$70,Ins!F35,Tim!$B$5:$B$70)+SUMIF(Tim!$GM$5:$GM$70,Ins!F35,Tim!$B$5:$B$70)</f>
        <v>0</v>
      </c>
      <c r="BG35" s="80">
        <f>SUMIF(Tim!$GN$5:$GN$70,Ins!F35,Tim!$B$5:$B$70)+SUMIF(Tim!$GO$5:$GO$70,Ins!F35,Tim!$B$5:$B$70)+SUMIF(Tim!$GP$5:$GP$70,Ins!F35,Tim!$B$5:$B$70)+SUMIF(Tim!$GQ$5:$GQ$70,Ins!F35,Tim!$B$5:$B$70)+SUMIF(Tim!$GR$5:$GR$70,Ins!F35,Tim!$B$5:$B$70)</f>
        <v>0</v>
      </c>
      <c r="BH35" s="80">
        <f>SUMIF(Tim!$GS$5:$GS$70,Ins!F35,Tim!$B$5:$B$70)+SUMIF(Tim!$GT$5:$GT$70,Ins!F35,Tim!$B$5:$B$70)+SUMIF(Tim!$GU$5:$GU$70,Ins!F35,Tim!$B$5:$B$70)</f>
        <v>0</v>
      </c>
      <c r="BI35" s="80">
        <f>SUMIF(Tim!GV$5:GV$70,Ins!F35,Tim!$B$5:$B$70)+SUMIF(Tim!GW$5:GW$70,Ins!F35,Tim!$B$5:$B$70)+SUMIF(Tim!GX$5:GX$70,Ins!F35,Tim!$B$5:$B$70)</f>
        <v>0</v>
      </c>
      <c r="BJ35" s="80">
        <f>SUMIF(Tim!GY$5:GY$70,Ins!F35,Tim!$B$5:$B$70)</f>
        <v>0</v>
      </c>
      <c r="BK35" s="80">
        <f>SUMIF(Tim!$GZ$5:$GZ$70,Ins!F35,Tim!$D$5:$D$70)+SUMIF(Tim!$HA$5:$HA$70,Ins!F35,Tim!$D$5:$D$70)+SUMIF(Tim!$HB$5:$HB$70,Ins!F35,Tim!$D$5:$D$70)++SUMIF(Tim!$HC$5:$HC$70,Ins!F35,Tim!$D$5:$D$70)+SUMIF(Tim!$HD$5:$HD$70,Ins!F35,Tim!$D$5:$D$70)+SUMIF(Tim!$HE$5:$HE$70,Ins!F35,Tim!$D$5:$D$70)+SUMIF(Tim!$HF$5:$HF$70,Ins!F35,Tim!$D$5:$D$70)+SUMIF(Tim!$HG$5:$HG$70,Ins!F35,Tim!$D$5:$D$70)+SUMIF(Tim!$HH$5:$HH$70,Ins!F35,Tim!$D$5:$D$70)+SUMIF(Tim!$HI$5:$HI$70,Ins!F35,Tim!$D$5:$D$70)+SUMIF(Tim!$HJ$5:$HJ$70,Ins!F35,Tim!$D$5:$D$70)+SUMIF(Tim!$HK$5:$HK$70,Ins!F35,Tim!$D$5:$D$70)</f>
        <v>0</v>
      </c>
      <c r="BL35" s="80">
        <f>SUMIF(Tim!HL$5:HL$70,Ins!F35,Tim!$C$5:$C$70)</f>
        <v>0</v>
      </c>
      <c r="BM35" s="80">
        <f>SUMIF(Tim!HM$5:HM$70,Ins!F35,Tim!$C$5:$C$70)</f>
        <v>0</v>
      </c>
      <c r="BN35" s="80">
        <f>SUMIF(Tim!HN$5:HN$70,Ins!F35,Tim!$C$5:$C$70)+SUMIF(Tim!HO$5:HO$70,Ins!F35,Tim!$C$5:$C$70)+SUMIF(Tim!HP$5:HP$70,Ins!F35,Tim!$C$5:$C$70)</f>
        <v>0</v>
      </c>
      <c r="BO35" s="81">
        <f>SUMIF(Tim!$HQ$5:$HQ$70,Ins!F35,Tim!$C$5:$C$70)+SUMIF(Tim!$HR$5:$HR$70,Ins!F35,Tim!$C$5:$C$70)+SUMIF(Tim!$HS$5:$HS$70,Ins!F35,Tim!$C$5:$C$70)+SUMIF(Tim!$HT$5:$HT$70,Ins!F35,Tim!$C$5:$C$70)+SUMIF(Tim!$HU$5:$HU$70,Ins!F35,Tim!$C$5:$C$70)</f>
        <v>0</v>
      </c>
      <c r="BP35" s="79">
        <f>SUMIF(Tim!$HV$7:$HV$70,Ins!F35,Tim!$B$7:$B$70)</f>
        <v>0</v>
      </c>
      <c r="BQ35" s="80">
        <f>SUMIF(Tim!$HW$7:$HW$70,Ins!F35,Tim!$B$7:$B$70)+SUMIF(Tim!$HX$7:$HX$70,Ins!F35,Tim!$B$7:$B$70)+SUMIF(Tim!$HY$7:$HY$70,Ins!F35,Tim!$B$7:$B$70)+SUMIF(Tim!$HZ$7:$HZ$70,Ins!F35,Tim!$B$7:$B$70)+SUMIF(Tim!$IA$7:$IA$70,Ins!F35,Tim!$B$7:$B$70)+SUMIF(Tim!$IB$7:$IB$70,Ins!F35,Tim!$B$7:$B$70)</f>
        <v>0</v>
      </c>
      <c r="BR35" s="80">
        <f>SUMIF(Tim!$IC$7:$IC$70,Ins!F35,Tim!$B$7:$B$70)+SUMIF(Tim!$ID$7:$ID$70,Ins!F35,Tim!$B$7:$B$70)+SUMIF(Tim!$IE$7:$IE$70,Ins!F35,Tim!$B$7:$B$70)</f>
        <v>0</v>
      </c>
      <c r="BS35" s="80">
        <f>SUMIF(Tim!$IF$7:$IF$70,Ins!F35,Tim!$B$7:$B$70)+SUMIF(Tim!$IG$7:$IG$70,Ins!F35,Tim!$B$7:$B$70)+SUMIF(Tim!$IH$7:$IH$70,Ins!F35,Tim!$B$7:$B$70)+SUMIF(Tim!$II$7:$II$70,Ins!F35,Tim!$B$7:$B$70)+SUMIF(Tim!$IJ$7:$IJ$70,Ins!F35,Tim!$B$7:$B$70)</f>
        <v>0</v>
      </c>
      <c r="BT35" s="80">
        <f>SUMIF(Tim!$IK$7:$IK$70,Ins!F35,Tim!$B$7:$B$70)+SUMIF(Tim!$IL$7:$IL$70,Ins!F35,Tim!$B$7:$B$70)+SUMIF(Tim!$IM$7:$IM$70,Ins!F35,Tim!$B$7:$B$70)</f>
        <v>0</v>
      </c>
      <c r="BU35" s="80">
        <f>SUMIF(Tim!$IN$7:$IN$70,Ins!F35,Tim!$B$7:$B$70)+SUMIF(Tim!$IO$7:$IO$70,Ins!F35,Tim!$B$7:$B$70)+SUMIF(Tim!$IP$7:$IP$70,Ins!F35,Tim!$B$7:$B$70)</f>
        <v>0</v>
      </c>
      <c r="BV35" s="80">
        <f>SUMIF(Tim!$IQ$7:$IQ$70,Ins!F35,Tim!$B$7:$B$70)</f>
        <v>0</v>
      </c>
      <c r="BW35" s="80">
        <f>SUMIF(Tim!$IR$7:$IR$70,Ins!F35,Tim!$D$7:$D$70)+SUMIF(Tim!$IS$7:$IS$70,Ins!F35,Tim!$D$7:$D$70)+SUMIF(Tim!$IT$7:$IT$70,Ins!F35,Tim!$D$7:$D$70)+SUMIF(Tim!$IU$7:$IU$70,Ins!F35,Tim!$D$7:$D$70)+SUMIF(Tim!$IV$7:$IV$70,Ins!F35,Tim!$D$7:$D$70)+SUMIF(Tim!$IW$7:$IW$70,Ins!F35,Tim!$D$7:$D$70)+SUMIF(Tim!$IX$7:$IX$70,Ins!F35,Tim!$D$7:$D$70)+SUMIF(Tim!$IY$7:$IY$70,Ins!F35,Tim!$D$7:$D$70)+SUMIF(Tim!$IZ$7:$IZ$70,Ins!F35,Tim!$D$7:$D$70)+SUMIF(Tim!$JA$7:$JA$70,Ins!F35,Tim!$D$7:$D$70)+SUMIF(Tim!$JB$7:$JB$70,Ins!F35,Tim!$D$7:$D$70)+SUMIF(Tim!$JC$7:$JC$70,Ins!F35,Tim!$D$7:$D$70)</f>
        <v>0</v>
      </c>
      <c r="BX35" s="80">
        <f>SUMIF(Tim!JD$7:JD$70,Ins!F35,Tim!$C$7:$C$70)</f>
        <v>0</v>
      </c>
      <c r="BY35" s="80">
        <f>SUMIF(Tim!JE$7:JE$70,Ins!F35,Tim!$C$7:$C$70)</f>
        <v>0</v>
      </c>
      <c r="BZ35" s="80">
        <f>SUMIF(Tim!JF$7:JF$70,Ins!F35,Tim!$C$7:$C$70)+SUMIF(Tim!JG$7:JG$70,Ins!F35,Tim!$C$7:$C$70)+SUMIF(Tim!JH$7:JH$70,Ins!F35,Tim!$C$7:$C$70)</f>
        <v>0</v>
      </c>
      <c r="CA35" s="81">
        <f>SUMIF(Tim!$JI$7:$JI$70,Ins!F35,Tim!$C$7:$C$70)++SUMIF(Tim!$JJ$7:$JJ$70,Ins!F35,Tim!$C$7:$C$70)+SUMIF(Tim!$JK$7:$JK$70,Ins!F35,Tim!$C$7:$C$70)+SUMIF(Tim!$JL$7:$JL$70,Ins!F35,Tim!$C$7:$C$70)+SUMIF(Tim!$JM$7:$JM$70,Ins!F35,Tim!$C$7:$C$70)</f>
        <v>0</v>
      </c>
      <c r="CB35" s="79">
        <f>SUMIF(Tim!$JN$7:$JN$70,Ins!F35,Tim!$B$7:$B$70)</f>
        <v>0</v>
      </c>
      <c r="CC35" s="80">
        <f>SUMIF(Tim!$JO$7:$JO$70,Ins!F35,Tim!$B$7:$B$70)+SUMIF(Tim!$JP$7:$JP$70,Ins!F35,Tim!$B$7:$B$70)+SUMIF(Tim!$JQ$7:$JQ$70,Ins!F35,Tim!$B$7:$B$70)+SUMIF(Tim!$JR$7:$JR$70,Ins!F35,Tim!$B$7:$B$70)+SUMIF(Tim!$JS$7:$JS$70,Ins!F35,Tim!$B$7:$B$70)+SUMIF(Tim!$JT$7:$JT$70,Ins!F35,Tim!$B$7:$B$70)</f>
        <v>0</v>
      </c>
      <c r="CD35" s="80">
        <f>SUMIF(Tim!$JW$7:$JW$70,Ins!F35,Tim!$B$7:$B$70)+SUMIF(Tim!$JU$7:$JU$70,Ins!F35,Tim!$B$7:$B$70)+SUMIF(Tim!$JV$7:$JV$70,Ins!F35,Tim!$B$7:$B$70)</f>
        <v>0</v>
      </c>
      <c r="CE35" s="80">
        <f>SUMIF(Tim!$JX$7:$JX$70,Ins!F35,Tim!$B$7:$B$70)+SUMIF(Tim!$JY$7:$JY$70,Ins!F35,Tim!$B$7:$B$70)+SUMIF(Tim!$JZ$7:$JZ$70,Ins!F35,Tim!$B$7:$B$70)+SUMIF(Tim!$KA$7:$KA$70,Ins!F35,Tim!$B$7:$B$70)+SUMIF(Tim!$KB$7:$KB$70,Ins!F35,Tim!$B$7:$B$70)</f>
        <v>0</v>
      </c>
      <c r="CF35" s="80">
        <f>SUMIF(Tim!$KE$7:$KE$70,Ins!F35,Tim!$B$7:$B$70)+SUMIF(Tim!$KC$7:$KC$70,Ins!F35,Tim!$B$7:$B$70)+SUMIF(Tim!$KD$7:$KD$70,Ins!F35,Tim!$B$7:$B$70)</f>
        <v>0</v>
      </c>
      <c r="CG35" s="80">
        <f>SUMIF(Tim!$KF$7:$KF$70,Ins!F35,Tim!$B$7:$B$70)+SUMIF(Tim!$KG$7:$KG$70,Ins!F35,Tim!$B$7:$B$70)+SUMIF(Tim!$KH$7:$KH$70,Ins!F35,Tim!$B$7:$B$70)</f>
        <v>0</v>
      </c>
      <c r="CH35" s="80">
        <f>SUMIF(Tim!$KI$7:$KI$70,Ins!F35,Tim!$B$7:$B$70)</f>
        <v>0</v>
      </c>
      <c r="CI35" s="80">
        <f>SUMIF(Tim!$KJ$7:$KJ$70,Ins!F35,Tim!$D$7:$D$70)+SUMIF(Tim!$KK$7:$KK$70,Ins!F35,Tim!$D$7:$D$70)+SUMIF(Tim!$KL$7:$KL$70,Ins!F35,Tim!$D$7:$D$70)+SUMIF(Tim!$KM$7:$KM$70,Ins!F35,Tim!$D$7:$D$70)+SUMIF(Tim!$KN$7:$KN$70,Ins!F35,Tim!$D$7:$D$70)+SUMIF(Tim!$KO$7:$KO$70,Ins!F35,Tim!$D$7:$D$70)+SUMIF(Tim!$KP$7:$KP$70,Ins!F35,Tim!$D$7:$D$70)+SUMIF(Tim!$KQ$7:$KQ$70,Ins!F35,Tim!$D$7:$D$70)+SUMIF(Tim!$KR$7:$KR$70,Ins!F35,Tim!$D$7:$D$70)+SUMIF(Tim!$KS$7:$KS$70,Ins!F35,Tim!$D$7:$D$70)+SUMIF(Tim!$KT$7:$KT$70,Ins!F35,Tim!$D$7:$D$70)+SUMIF(Tim!$KU$7:$KU$70,Ins!F35,Tim!$D$7:$D$70)</f>
        <v>0</v>
      </c>
      <c r="CJ35" s="80">
        <f>SUMIF(Tim!KV$7:KV$70,Ins!F35,Tim!$C$7:$C$70)</f>
        <v>0</v>
      </c>
      <c r="CK35" s="80">
        <f>SUMIF(Tim!KW$7:KW$70,Ins!F35,Tim!$C$7:$C$70)</f>
        <v>0</v>
      </c>
      <c r="CL35" s="80">
        <f>SUMIF(Tim!KX$7:KX$70,Ins!F35,Tim!$C$7:$C$70)+SUMIF(Tim!KY$7:KY$70,Ins!F35,Tim!$C$7:$C$70)+SUMIF(Tim!KZ$7:KZ$70,Ins!F35,Tim!$C$7:$C$70)</f>
        <v>0</v>
      </c>
      <c r="CM35" s="81">
        <f>SUMIF(Tim!$LA$7:$LA$70,Ins!F35,Tim!$C$7:$C$70)+SUMIF(Tim!$LB$7:$LB$70,Ins!F35,Tim!$C$7:$C$70)+SUMIF(Tim!$LC$7:$LC$70,Ins!F35,Tim!$C$7:$C$70)+SUMIF(Tim!$LD$7:$LD$70,Ins!F35,Tim!$C$7:$C$70)+SUMIF(Tim!$LE$7:$LE$70,Ins!F35,Tim!$C$7:$C$70)</f>
        <v>0</v>
      </c>
      <c r="CN35" s="22"/>
      <c r="CO35" s="180">
        <f t="shared" si="158"/>
        <v>0</v>
      </c>
      <c r="CP35" s="179">
        <f t="shared" si="159"/>
        <v>0</v>
      </c>
      <c r="CQ35" s="179">
        <f t="shared" si="160"/>
        <v>0</v>
      </c>
      <c r="CR35" s="179">
        <f t="shared" si="161"/>
        <v>0</v>
      </c>
      <c r="CS35" s="179">
        <f t="shared" si="162"/>
        <v>0</v>
      </c>
      <c r="CT35" s="179">
        <f t="shared" si="163"/>
        <v>0</v>
      </c>
      <c r="CU35" s="179">
        <f t="shared" si="164"/>
        <v>0</v>
      </c>
      <c r="CV35" s="179">
        <f t="shared" si="165"/>
        <v>0</v>
      </c>
      <c r="CW35" s="179">
        <f t="shared" si="166"/>
        <v>0</v>
      </c>
      <c r="CX35" s="179">
        <f t="shared" si="167"/>
        <v>0</v>
      </c>
      <c r="CY35" s="179">
        <f t="shared" si="172"/>
        <v>0</v>
      </c>
      <c r="CZ35" s="179">
        <f t="shared" si="173"/>
        <v>0</v>
      </c>
      <c r="DA35" s="78">
        <f t="shared" si="174"/>
        <v>0</v>
      </c>
      <c r="DB35" s="16"/>
      <c r="DC35" s="34">
        <f t="shared" si="170"/>
        <v>0</v>
      </c>
      <c r="DD35" s="34">
        <f t="shared" si="15"/>
        <v>0</v>
      </c>
      <c r="DE35" s="34">
        <f t="shared" si="16"/>
        <v>0</v>
      </c>
      <c r="DF35" s="34">
        <f t="shared" si="20"/>
        <v>0</v>
      </c>
      <c r="DG35" s="34">
        <f t="shared" si="17"/>
        <v>0</v>
      </c>
      <c r="DH35" s="34">
        <f t="shared" si="18"/>
        <v>0</v>
      </c>
      <c r="DI35" s="34">
        <f t="shared" si="19"/>
        <v>0</v>
      </c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7"/>
    </row>
    <row r="36" spans="1:125" ht="12" customHeight="1">
      <c r="A36" s="10">
        <v>34</v>
      </c>
      <c r="B36" s="24" t="s">
        <v>448</v>
      </c>
      <c r="C36" s="234"/>
      <c r="D36" s="28"/>
      <c r="E36" s="28" t="s">
        <v>373</v>
      </c>
      <c r="F36" s="185" t="s">
        <v>449</v>
      </c>
      <c r="G36" s="205" t="s">
        <v>191</v>
      </c>
      <c r="H36" s="79">
        <f>SUMIF(Tim!$F$7:$F$70,Ins!F36,Tim!$B$7:$B$70)</f>
        <v>0</v>
      </c>
      <c r="I36" s="80">
        <f>SUMIF(Tim!$G$7:$G$70,Ins!F36,Tim!$B$7:$B$70)+SUMIF(Tim!$H$7:$H$70,Ins!F36,Tim!$B$7:$B$70)+SUMIF(Tim!$I$7:$I$70,Ins!F36,Tim!$B$7:$B$70)+SUMIF(Tim!$J$7:$J$70,Ins!F36,Tim!$B$7:$B$70)+SUMIF(Tim!$K$7:$K$70,Ins!F36,Tim!$B$7:$B$70)+SUMIF(Tim!$L$7:$L$70,Ins!F36,Tim!$B$7:$B$70)</f>
        <v>0</v>
      </c>
      <c r="J36" s="80">
        <f>SUMIF(Tim!$M$7:$M$70,Ins!F36,Tim!$B$7:$B$70)+SUMIF(Tim!$O$7:$O$70,Ins!F36,Tim!$B$7:$B$70)+SUMIF(Tim!$N$7:$N$70,Ins!F36,Tim!$B$7:$B$70)</f>
        <v>0</v>
      </c>
      <c r="K36" s="80">
        <f>SUMIF(Tim!$P$7:$P$70,Ins!F36,Tim!$B$7:$B$70)+SUMIF(Tim!$Q$7:$Q$70,Ins!F36,Tim!$B$7:$B$70)+SUMIF(Tim!$R$7:$R$70,Ins!F36,Tim!$B$7:$B$70)+SUMIF(Tim!$S$7:$S$70,Ins!F36,Tim!$B$7:$B$70)+SUMIF(Tim!$T$7:$T$70,Ins!F36,Tim!$B$7:$B$70)</f>
        <v>0</v>
      </c>
      <c r="L36" s="80">
        <f>SUMIF(Tim!$U$7:$U$70,Ins!F36,Tim!$B$7:$B$70)+SUMIF(Tim!$W$7:$W$70,Ins!F36,Tim!$B$7:$B$70)+SUMIF(Tim!$X$7:$X$70,Ins!F36,Tim!$B$7:$B$70)</f>
        <v>0</v>
      </c>
      <c r="M36" s="80">
        <f>SUMIF(Tim!$Y$7:$Y$70,Ins!F36,Tim!$B$7:$B$70)+SUMIF(Tim!$Z$7:$Z$70,Ins!F36,Tim!$B$7:$B$70)+SUMIF(Tim!$AA$7:$AA$70,Ins!F36,Tim!$B$7:$B$70)</f>
        <v>0</v>
      </c>
      <c r="N36" s="80">
        <f>SUMIF(Tim!$AB$7:$AB$70,Ins!F36,Tim!$B$7:$B$70)</f>
        <v>0</v>
      </c>
      <c r="O36" s="80">
        <f>SUMIF(Tim!$AC$7:$AC$70,Ins!F36,Tim!$D$7:$D$70)+SUMIF(Tim!$AD$7:$AD$70,Ins!F36,Tim!$D$7:$D$70)+SUMIF(Tim!$AE$7:$AE$70,Ins!F36,Tim!$D$7:$D$70)+SUMIF(Tim!$AF$7:$AF$70,Ins!F36,Tim!$D$7:$D$70)+SUMIF(Tim!$AG$7:$AG$70,Ins!F36,Tim!$D$7:$D$70)+SUMIF(Tim!$AH$7:$AH$70,Ins!F36,Tim!$D$7:$D$70)+SUMIF(Tim!$AI$7:$AI$70,Ins!F36,Tim!$D$7:$D$70)+SUMIF(Tim!$AJ$7:$AJ$70,Ins!F36,Tim!$D$7:$D$70)+SUMIF(Tim!$AK$7:$AK$70,Ins!F36,Tim!$D$7:$D$70)+SUMIF(Tim!$AL$7:$AL$70,Ins!F36,Tim!$D$7:$D$70)+SUMIF(Tim!$AM$7:$AM$70,Ins!F36,Tim!$D$7:$D$70)+SUMIF(Tim!$AN$7:$AN$70,Ins!F36,Tim!$D$7:$D$70)</f>
        <v>0</v>
      </c>
      <c r="P36" s="80">
        <f>SUMIF(Tim!AO$7:AO$70,Ins!F36,Tim!$C$7:$C$70)</f>
        <v>0</v>
      </c>
      <c r="Q36" s="80">
        <f>SUMIF(Tim!AP$7:AP$70,Ins!F36,Tim!$C$7:$C$70)</f>
        <v>0</v>
      </c>
      <c r="R36" s="80">
        <f>SUMIF(Tim!AQ$7:AQ$70,Ins!F36,Tim!$C$7:$C$70)+SUMIF(Tim!AR$7:AR$70,Ins!F36,Tim!$C$7:$C$70)+SUMIF(Tim!AS$7:AS$70,Ins!F36,Tim!$C$7:$C$70)</f>
        <v>0</v>
      </c>
      <c r="S36" s="236">
        <f>SUMIF(Tim!$AT$7:$AT$70,Ins!F36,Tim!$C$7:$C$70)+SUMIF(Tim!$AU$7:$AU$70,Ins!F36,Tim!$C$7:$C97)+SUMIF(Tim!$AV$7:$AV$70,Ins!F36,Tim!$C$7:$C$70)+SUMIF(Tim!$AW$7:$AW$70,Ins!F36,Tim!$C$7:$C$70)+SUMIF(Tim!$AX$7:$AX$70,Ins!F36,Tim!$C$7:$C$70)</f>
        <v>1</v>
      </c>
      <c r="T36" s="79">
        <f>SUMIF(Tim!$AY$7:$AY$70,Ins!F36,Tim!$B$7:$B$70)</f>
        <v>0</v>
      </c>
      <c r="U36" s="80">
        <f>SUMIF(Tim!$AZ$7:$AZ$70,Ins!F36,Tim!$B$7:$B$70)+SUMIF(Tim!$BA$7:$BA$70,Ins!F36,Tim!$B$7:$B$70)+SUMIF(Tim!$BB$7:$BB$70,Ins!F36,Tim!$B$7:$B$70)+SUMIF(Tim!$BC$7:$BC$70,Ins!F36,Tim!$B$7:$B$70)+SUMIF(Tim!$BD$7:$BD$70,Ins!F36,Tim!$B$7:$B$70)+SUMIF(Tim!$BE$7:$BE$70,Ins!F36,Tim!$B$7:$B$70)</f>
        <v>0</v>
      </c>
      <c r="V36" s="80">
        <f>SUMIF(Tim!$BF$7:$BF$70,Ins!F36,Tim!$B$7:$B$70)+SUMIF(Tim!$BG$7:$BG$70,Ins!F36,Tim!$B$7:$B$70)+SUMIF(Tim!$BH$7:$BH$70,Ins!F36,Tim!$B$7:$B$70)</f>
        <v>0</v>
      </c>
      <c r="W36" s="80">
        <f>SUMIF(Tim!$BI$7:$BI$70,Ins!F36,Tim!$B$7:$B$70)+SUMIF(Tim!$BJ$7:$BJ$70,Ins!F36,Tim!$B$7:$B$70)+SUMIF(Tim!$BK$7:$BK$70,Ins!F36,Tim!$B$7:$B$70)+SUMIF(Tim!$BL$7:$BL$70,Ins!F36,Tim!$B$7:$B$70)+SUMIF(Tim!$BM$7:$BM$70,Ins!F36,Tim!$B$7:$B$70)</f>
        <v>0</v>
      </c>
      <c r="X36" s="80">
        <f>SUMIF(Tim!$BN$7:$BN$70,Ins!F36,Tim!$B$7:$B$70)+SUMIF(Tim!$BO$7:$BO$70,Ins!F36,Tim!$B$7:$B$70)+SUMIF(Tim!$BP$7:$BP$70,Ins!F36,Tim!$B$7:$B$70)</f>
        <v>0</v>
      </c>
      <c r="Y36" s="80">
        <f>SUMIF(Tim!$BQ$7:$BQ$70,Ins!F36,Tim!$B$7:$B$70)+SUMIF(Tim!$BR$7:$BR$70,Ins!F36,Tim!$B$7:$B$70)+SUMIF(Tim!$BS$7:$BS$70,Ins!F36,Tim!$B$7:$B$70)</f>
        <v>0</v>
      </c>
      <c r="Z36" s="80">
        <f>SUMIF(Tim!BT$7:BT$70,Ins!F36,Tim!$B$7:$B$70)</f>
        <v>0</v>
      </c>
      <c r="AA36" s="80">
        <f>SUMIF(Tim!$BU$7:$BU$70,Ins!F36,Tim!$D$7:$D$70)+SUMIF(Tim!$BV$7:$BV$70,Ins!F36,Tim!$D$7:$D$70)+SUMIF(Tim!$BW$7:$BW$70,Ins!F36,Tim!$D$7:$D$70)+SUMIF(Tim!$BX$7:$BX$70,Ins!F36,Tim!$D$7:$D$70)+SUMIF(Tim!$BY$7:$BY$70,Ins!F36,Tim!$D$7:$D$70)+SUMIF(Tim!$BZ$7:$BZ$70,Ins!F36,Tim!$D$7:$D$70)+SUMIF(Tim!$CA$7:$CA$70,Ins!F36,Tim!$D$7:$D$70)+SUMIF(Tim!$CB$7:$CB$70,Ins!F36,Tim!$D$7:$D$70)+SUMIF(Tim!$CC$7:$CC$70,Ins!F36,Tim!$D$7:$D$70)+SUMIF(Tim!$CD$7:$CD$70,Ins!F36,Tim!$D$7:$D$70)+SUMIF(Tim!$CE$7:$CE$70,Ins!F36,Tim!$D$7:$D$70)+SUMIF(Tim!$CF$7:$CF$70,Ins!F36,Tim!$D$7:$D$70)</f>
        <v>0</v>
      </c>
      <c r="AB36" s="80">
        <f>SUMIF(Tim!CG$7:CG$70,Ins!F36,Tim!$C$7:$C$70)</f>
        <v>0</v>
      </c>
      <c r="AC36" s="80">
        <f>SUMIF(Tim!CH$7:CH$70,Ins!F36,Tim!$C$7:$C$70)</f>
        <v>0</v>
      </c>
      <c r="AD36" s="80">
        <f>SUMIF(Tim!CI$7:CI$70,Ins!F36,Tim!$C$7:$C$70)+SUMIF(Tim!CJ$7:CJ$70,Ins!F36,Tim!$C$7:$C$70)+SUMIF(Tim!CK$7:CK$70,Ins!F36,Tim!$C$7:$C$70)</f>
        <v>0</v>
      </c>
      <c r="AE36" s="81">
        <f>SUMIF(Tim!$CL$7:$CL$70,Ins!F36,Tim!$C$7:$C$70)+SUMIF(Tim!$CM$7:$CM$70,Ins!F36,Tim!$C$7:$C$70)+SUMIF(Tim!$CN$7:$CN$70,Ins!F36,Tim!$C$7:$C$70)+SUMIF(Tim!$CO$7:$CO$70,Ins!F36,Tim!$C$7:$C$70)+SUMIF(Tim!$CP$7:$CP$70,Ins!F36,Tim!$C$7:$C$70)</f>
        <v>0</v>
      </c>
      <c r="AF36" s="79">
        <f>SUMIF(Tim!$CQ$7:$CQ$70,Ins!F36,Tim!$B$7:$B$70)</f>
        <v>0</v>
      </c>
      <c r="AG36" s="80">
        <f>SUMIF(Tim!$CR$7:$CR$70,Ins!F36,Tim!$B$7:$B$70)+SUMIF(Tim!$CS$7:$CS$70,Ins!F36,Tim!$B$7:$B$70)+SUMIF(Tim!$CT$7:$CT$70,Ins!F36,Tim!$B$7:$B$70)+SUMIF(Tim!$CU$7:$CU$70,Ins!F36,Tim!$B$7:$B$70)+SUMIF(Tim!$CV$7:$CV$70,Ins!F36,Tim!$B$7:$B$70)+SUMIF(Tim!$CW$7:$CW$70,Ins!F36,Tim!$B$7:$B$70)</f>
        <v>0</v>
      </c>
      <c r="AH36" s="80">
        <f>SUMIF(Tim!$CX$7:$CX$70,Ins!F36,Tim!$B$7:$B$70)+SUMIF(Tim!$CY$7:$CY$70,Ins!F36,Tim!$B$7:$B$70)+SUMIF(Tim!$CZ$7:$CZ$70,Ins!F36,Tim!$B$7:$B$70)</f>
        <v>0</v>
      </c>
      <c r="AI36" s="80">
        <f>SUMIF(Tim!$DA$7:$DA$70,Ins!F36,Tim!$B$7:$B$70)+SUMIF(Tim!$DB$7:$DB$70,Ins!F36,Tim!$B$7:$B$70)+SUMIF(Tim!$DC$7:$DC$70,Ins!F36,Tim!$B$7:$B$70)+SUMIF(Tim!$DD$7:$DD$70,Ins!F36,Tim!$B$7:$B$70)+SUMIF(Tim!$DE$7:$DE$70,Ins!F36,Tim!$B$7:$B$70)</f>
        <v>0</v>
      </c>
      <c r="AJ36" s="80">
        <f>SUMIF(Tim!$DF$7:$DF$70,Ins!F36,Tim!$B$7:$B$70)+SUMIF(Tim!$DG$7:$DG$70,Ins!F36,Tim!$B$7:$B$70)+SUMIF(Tim!$DH$7:$DH$70,Ins!F36,Tim!$B$7:$B$70)</f>
        <v>0</v>
      </c>
      <c r="AK36" s="80">
        <f>SUMIF(Tim!DI$7:DI$70,Ins!F36,Tim!$B$7:$B$70)+SUMIF(Tim!DM$7:DM$70,Ins!F36,Tim!$B$7:$B$70)+SUMIF(Tim!DN$7:DN$70,Ins!F36,Tim!$B$7:$B$70)</f>
        <v>0</v>
      </c>
      <c r="AL36" s="80">
        <f>SUMIF(Tim!DO$7:DO$70,Ins!F36,Tim!$B$7:$B$70)</f>
        <v>0</v>
      </c>
      <c r="AM36" s="80">
        <f>SUMIF(Tim!$DP$7:$DP$70,Ins!F36,Tim!$D$7:$D$70)+SUMIF(Tim!$DQ$7:$DQ$70,Ins!F36,Tim!$D$7:$D$70)+SUMIF(Tim!$DR$7:$DR$70,Ins!F36,Tim!$D$7:$D$70)+SUMIF(Tim!$DS$7:$DS$70,Ins!F36,Tim!$D$7:$D$70)+SUMIF(Tim!$DT$7:$DT$70,Ins!F36,Tim!$D$7:$D$70)+SUMIF(Tim!$DU$7:$DU$70,Ins!F36,Tim!$D$7:$D$70)+SUMIF(Tim!$DV$7:$DV$70,Ins!F36,Tim!$D$7:$D$70)+SUMIF(Tim!$DW$7:$DW$70,Ins!F36,Tim!$D$7:$D$70)+SUMIF(Tim!$DX$7:$DX$70,Ins!F36,Tim!$D$7:$D$70)+SUMIF(Tim!$DY$7:$DY$70,Ins!F36,Tim!$D$7:$D$70)+SUMIF(Tim!$DZ$7:$DZ$70,Ins!F36,Tim!$D$7:$D$70)+SUMIF(Tim!$EA$7:$EA$70,Ins!F36,Tim!$D$7:$D$70)</f>
        <v>0</v>
      </c>
      <c r="AN36" s="80">
        <f>SUMIF(Tim!EB$7:EB$70,Ins!F36,Tim!$C$7:$C$70)</f>
        <v>0</v>
      </c>
      <c r="AO36" s="80">
        <f>SUMIF(Tim!EC$7:EC$70,Ins!F36,Tim!$C$7:$C$70)</f>
        <v>0</v>
      </c>
      <c r="AP36" s="80">
        <f>SUMIF(Tim!ED$7:ED$70,Ins!F36,Tim!$C$7:$C$70)+SUMIF(Tim!EE$7:EE$70,Ins!F36,Tim!$C$7:$C$70)+SUMIF(Tim!EF$7:EF$70,Ins!F36,Tim!$C$7:$C$70)</f>
        <v>0</v>
      </c>
      <c r="AQ36" s="81">
        <f>SUMIF(Tim!$EG$7:$EG$70,Ins!F36,Tim!$C$7:$C$70)+SUMIF(Tim!$EH$7:$EH$70,Ins!F36,Tim!$C$7:$C$70)+SUMIF(Tim!$EI$7:$EI$70,Ins!F36,Tim!$C$7:$C$70)+SUMIF(Tim!$EJ$7:$EJ$70,Ins!F36,Tim!$C$7:$C$70)+SUMIF(Tim!$EK$7:$EK$70,Ins!F36,Tim!$C$7:$C$70)</f>
        <v>0</v>
      </c>
      <c r="AR36" s="79">
        <f>SUMIF(Tim!$EL$5:$EL$70,Ins!F36,Tim!$B$5:$B$70)</f>
        <v>0</v>
      </c>
      <c r="AS36" s="80">
        <f>SUMIF(Tim!$EM$5:$EM$70,Ins!F36,Tim!$B$5:$B$70)+SUMIF(Tim!$EN$5:$EN$70,Ins!F36,Tim!$B$5:$B$70)+SUMIF(Tim!$EO$5:$EO$70,Ins!F36,Tim!$B$5:$B$70)+SUMIF(Tim!$EP$5:$EP$70,Ins!F36,Tim!$B$5:$B$70)+SUMIF(Tim!$EQ$5:$EQ$70,Ins!F36,Tim!$B$5:$B$70)+SUMIF(Tim!$ER$5:$ER$70,Ins!F36,Tim!$B$5:$B$70)</f>
        <v>0</v>
      </c>
      <c r="AT36" s="80">
        <f>SUMIF(Tim!$ES$5:$ES$70,Ins!F36,Tim!$B$5:$B$70)+SUMIF(Tim!$ET$5:$ET$70,Ins!F36,Tim!$B$5:$B$70)+SUMIF(Tim!$EU$5:$EU$70,Ins!F36,Tim!$B$5:$B$70)</f>
        <v>0</v>
      </c>
      <c r="AU36" s="80">
        <f>SUMIF(Tim!$EV$5:$EV$70,Ins!F36,Tim!$B$5:$B$70)+SUMIF(Tim!$EW$5:$EW$70,Ins!F36,Tim!$B$5:$B$70)+SUMIF(Tim!$EX$5:$EX$70,Ins!F36,Tim!$B$5:$B$70)+SUMIF(Tim!$EY$5:$EY$70,Ins!F36,Tim!$B$5:$B$70)+SUMIF(Tim!$EZ$5:$EZ$70,Ins!F36,Tim!$B$5:$B$70)</f>
        <v>0</v>
      </c>
      <c r="AV36" s="80">
        <f>SUMIF(Tim!$FA$5:$FA$70,Ins!F36,Tim!$B$5:$B$70)+SUMIF(Tim!$FB$5:$FB$70,Ins!F36,Tim!$B$5:$B$70)+SUMIF(Tim!$FC$5:$FC$70,Ins!F36,Tim!$B$5:$B$70)</f>
        <v>0</v>
      </c>
      <c r="AW36" s="80">
        <f>SUMIF(Tim!FD$5:FD$70,Ins!F36,Tim!$B$5:$B$70)+SUMIF(Tim!FE$5:FE$70,Ins!F36,Tim!$B$5:$B$70)+SUMIF(Tim!FF$5:FF$70,Ins!F36,Tim!$B$5:$B$70)</f>
        <v>0</v>
      </c>
      <c r="AX36" s="80">
        <f>SUMIF(Tim!FG$5:FG$70,Ins!F36,Tim!$B$5:$B$70)</f>
        <v>0</v>
      </c>
      <c r="AY36" s="80">
        <f>SUMIF(Tim!$FH$5:$FH$70,Ins!F36,Tim!$D$5:$D$70)+SUMIF(Tim!$FI$5:$FI$70,Ins!F36,Tim!$D$5:$D$70)+SUMIF(Tim!$FJ$5:$FJ$70,Ins!F36,Tim!$D$5:$D$70)+SUMIF(Tim!$FK$5:$FK$70,Ins!F36,Tim!$D$5:$D$70)+SUMIF(Tim!$FL$5:$FL$70,Ins!F36,Tim!$D$5:$D$70)+SUMIF(Tim!$FM$5:$FM$70,Ins!F36,Tim!$D$5:$D$70)+SUMIF(Tim!$FN$5:$FN$70,Ins!F36,Tim!$D$5:$D$70)+SUMIF(Tim!$FO$5:$FO$70,Ins!F36,Tim!$D$5:$D$70)+SUMIF(Tim!$FP$5:$FP$70,Ins!F36,Tim!$D$5:$D$70)+SUMIF(Tim!$FQ$5:$FQ$70,Ins!F36,Tim!$D$5:$D$70)+SUMIF(Tim!$FR$5:$FR$70,Ins!F36,Tim!$D$5:$D$70)+SUMIF(Tim!$FS$5:$FS$70,Ins!F36,Tim!$D$5:$D$70)</f>
        <v>0</v>
      </c>
      <c r="AZ36" s="80">
        <f>SUMIF(Tim!FT$5:FT$70,Ins!F36,Tim!$C$5:$C$70)</f>
        <v>0</v>
      </c>
      <c r="BA36" s="80">
        <f>SUMIF(Tim!FU$5:FU$70,Ins!F36,Tim!$C$5:$C$70)</f>
        <v>0</v>
      </c>
      <c r="BB36" s="80">
        <f>SUMIF(Tim!FV$5:FV$70,Ins!F36,Tim!$C$5:$C$70)+SUMIF(Tim!FW$5:FW$70,Ins!F36,Tim!$C$5:$C$70)+SUMIF(Tim!FX$5:FX$70,Ins!F36,Tim!$C$5:$C$70)</f>
        <v>0</v>
      </c>
      <c r="BC36" s="81">
        <f>SUMIF(Tim!$FY$5:$FY$70,Ins!F36,Tim!$C$5:$C$70)+SUMIF(Tim!$FZ$5:$FZ$70,Ins!F36,Tim!$C$5:$C$70)+SUMIF(Tim!$GA$5:$GA$70,Ins!F36,Tim!$C$5:$C$70)+SUMIF(Tim!$GB$5:$GB$70,Ins!F36,Tim!$C$5:$C$70)+SUMIF(Tim!$GC$5:$GC$70,Ins!F36,Tim!$C$5:$C$70)</f>
        <v>0</v>
      </c>
      <c r="BD36" s="79">
        <f>SUMIF(Tim!$GD$5:$GD$70,Ins!F36,Tim!$B$5:$B$70)</f>
        <v>0</v>
      </c>
      <c r="BE36" s="80">
        <f>SUMIF(Tim!$GE$5:$GE$70,Ins!F36,Tim!$B$5:$B$70)+SUMIF(Tim!$GF$5:$GF$70,Ins!F36,Tim!$B$5:$B$70)+SUMIF(Tim!$GG$5:$GG$70,Ins!F36,Tim!$B$5:$B$70)+SUMIF(Tim!$GH$5:$GH$70,Ins!F36,Tim!$B$5:$B$70)+SUMIF(Tim!$GI$5:$GI$70,Ins!F36,Tim!$B$5:$B$70)+SUMIF(Tim!$GJ$5:$GJ$70,Ins!F36,Tim!$B$5:$B$70)</f>
        <v>0</v>
      </c>
      <c r="BF36" s="80">
        <f>SUMIF(Tim!$GK$5:$GK$70,Ins!F36,Tim!$B$5:$B$70)+SUMIF(Tim!$GL$5:$GL$70,Ins!F36,Tim!$B$5:$B$70)+SUMIF(Tim!$GM$5:$GM$70,Ins!F36,Tim!$B$5:$B$70)</f>
        <v>0</v>
      </c>
      <c r="BG36" s="80">
        <f>SUMIF(Tim!$GN$5:$GN$70,Ins!F36,Tim!$B$5:$B$70)+SUMIF(Tim!$GO$5:$GO$70,Ins!F36,Tim!$B$5:$B$70)+SUMIF(Tim!$GP$5:$GP$70,Ins!F36,Tim!$B$5:$B$70)+SUMIF(Tim!$GQ$5:$GQ$70,Ins!F36,Tim!$B$5:$B$70)+SUMIF(Tim!$GR$5:$GR$70,Ins!F36,Tim!$B$5:$B$70)</f>
        <v>0</v>
      </c>
      <c r="BH36" s="80">
        <f>SUMIF(Tim!$GS$5:$GS$70,Ins!F36,Tim!$B$5:$B$70)+SUMIF(Tim!$GT$5:$GT$70,Ins!F36,Tim!$B$5:$B$70)+SUMIF(Tim!$GU$5:$GU$70,Ins!F36,Tim!$B$5:$B$70)</f>
        <v>0</v>
      </c>
      <c r="BI36" s="80">
        <f>SUMIF(Tim!GV$5:GV$70,Ins!F36,Tim!$B$5:$B$70)+SUMIF(Tim!GW$5:GW$70,Ins!F36,Tim!$B$5:$B$70)+SUMIF(Tim!GX$5:GX$70,Ins!F36,Tim!$B$5:$B$70)</f>
        <v>0</v>
      </c>
      <c r="BJ36" s="80">
        <f>SUMIF(Tim!GY$5:GY$70,Ins!F36,Tim!$B$5:$B$70)</f>
        <v>0</v>
      </c>
      <c r="BK36" s="80">
        <f>SUMIF(Tim!$GZ$5:$GZ$70,Ins!F36,Tim!$D$5:$D$70)+SUMIF(Tim!$HA$5:$HA$70,Ins!F36,Tim!$D$5:$D$70)+SUMIF(Tim!$HB$5:$HB$70,Ins!F36,Tim!$D$5:$D$70)++SUMIF(Tim!$HC$5:$HC$70,Ins!F36,Tim!$D$5:$D$70)+SUMIF(Tim!$HD$5:$HD$70,Ins!F36,Tim!$D$5:$D$70)+SUMIF(Tim!$HE$5:$HE$70,Ins!F36,Tim!$D$5:$D$70)+SUMIF(Tim!$HF$5:$HF$70,Ins!F36,Tim!$D$5:$D$70)+SUMIF(Tim!$HG$5:$HG$70,Ins!F36,Tim!$D$5:$D$70)+SUMIF(Tim!$HH$5:$HH$70,Ins!F36,Tim!$D$5:$D$70)+SUMIF(Tim!$HI$5:$HI$70,Ins!F36,Tim!$D$5:$D$70)+SUMIF(Tim!$HJ$5:$HJ$70,Ins!F36,Tim!$D$5:$D$70)+SUMIF(Tim!$HK$5:$HK$70,Ins!F36,Tim!$D$5:$D$70)</f>
        <v>0</v>
      </c>
      <c r="BL36" s="80">
        <f>SUMIF(Tim!HL$5:HL$70,Ins!F36,Tim!$C$5:$C$70)</f>
        <v>0</v>
      </c>
      <c r="BM36" s="80">
        <f>SUMIF(Tim!HM$5:HM$70,Ins!F36,Tim!$C$5:$C$70)</f>
        <v>0</v>
      </c>
      <c r="BN36" s="80">
        <f>SUMIF(Tim!HN$5:HN$70,Ins!F36,Tim!$C$5:$C$70)+SUMIF(Tim!HO$5:HO$70,Ins!F36,Tim!$C$5:$C$70)+SUMIF(Tim!HP$5:HP$70,Ins!F36,Tim!$C$5:$C$70)</f>
        <v>0</v>
      </c>
      <c r="BO36" s="81">
        <f>SUMIF(Tim!$HQ$5:$HQ$70,Ins!F36,Tim!$C$5:$C$70)+SUMIF(Tim!$HR$5:$HR$70,Ins!F36,Tim!$C$5:$C$70)+SUMIF(Tim!$HS$5:$HS$70,Ins!F36,Tim!$C$5:$C$70)+SUMIF(Tim!$HT$5:$HT$70,Ins!F36,Tim!$C$5:$C$70)+SUMIF(Tim!$HU$5:$HU$70,Ins!F36,Tim!$C$5:$C$70)</f>
        <v>0</v>
      </c>
      <c r="BP36" s="79">
        <f>SUMIF(Tim!$HV$7:$HV$70,Ins!F36,Tim!$B$7:$B$70)</f>
        <v>0</v>
      </c>
      <c r="BQ36" s="80">
        <f>SUMIF(Tim!$HW$7:$HW$70,Ins!F36,Tim!$B$7:$B$70)+SUMIF(Tim!$HX$7:$HX$70,Ins!F36,Tim!$B$7:$B$70)+SUMIF(Tim!$HY$7:$HY$70,Ins!F36,Tim!$B$7:$B$70)+SUMIF(Tim!$HZ$7:$HZ$70,Ins!F36,Tim!$B$7:$B$70)+SUMIF(Tim!$IA$7:$IA$70,Ins!F36,Tim!$B$7:$B$70)+SUMIF(Tim!$IB$7:$IB$70,Ins!F36,Tim!$B$7:$B$70)</f>
        <v>0</v>
      </c>
      <c r="BR36" s="80">
        <f>SUMIF(Tim!$IC$7:$IC$70,Ins!F36,Tim!$B$7:$B$70)+SUMIF(Tim!$ID$7:$ID$70,Ins!F36,Tim!$B$7:$B$70)+SUMIF(Tim!$IE$7:$IE$70,Ins!F36,Tim!$B$7:$B$70)</f>
        <v>0</v>
      </c>
      <c r="BS36" s="80">
        <f>SUMIF(Tim!$IF$7:$IF$70,Ins!F36,Tim!$B$7:$B$70)+SUMIF(Tim!$IG$7:$IG$70,Ins!F36,Tim!$B$7:$B$70)+SUMIF(Tim!$IH$7:$IH$70,Ins!F36,Tim!$B$7:$B$70)+SUMIF(Tim!$II$7:$II$70,Ins!F36,Tim!$B$7:$B$70)+SUMIF(Tim!$IJ$7:$IJ$70,Ins!F36,Tim!$B$7:$B$70)</f>
        <v>0</v>
      </c>
      <c r="BT36" s="80">
        <f>SUMIF(Tim!$IK$7:$IK$70,Ins!F36,Tim!$B$7:$B$70)+SUMIF(Tim!$IL$7:$IL$70,Ins!F36,Tim!$B$7:$B$70)+SUMIF(Tim!$IM$7:$IM$70,Ins!F36,Tim!$B$7:$B$70)</f>
        <v>0</v>
      </c>
      <c r="BU36" s="80">
        <f>SUMIF(Tim!$IN$7:$IN$70,Ins!F36,Tim!$B$7:$B$70)+SUMIF(Tim!$IO$7:$IO$70,Ins!F36,Tim!$B$7:$B$70)+SUMIF(Tim!$IP$7:$IP$70,Ins!F36,Tim!$B$7:$B$70)</f>
        <v>0</v>
      </c>
      <c r="BV36" s="80">
        <f>SUMIF(Tim!$IQ$7:$IQ$70,Ins!F36,Tim!$B$7:$B$70)</f>
        <v>0</v>
      </c>
      <c r="BW36" s="80">
        <f>SUMIF(Tim!$IR$7:$IR$70,Ins!F36,Tim!$D$7:$D$70)+SUMIF(Tim!$IS$7:$IS$70,Ins!F36,Tim!$D$7:$D$70)+SUMIF(Tim!$IT$7:$IT$70,Ins!F36,Tim!$D$7:$D$70)+SUMIF(Tim!$IU$7:$IU$70,Ins!F36,Tim!$D$7:$D$70)+SUMIF(Tim!$IV$7:$IV$70,Ins!F36,Tim!$D$7:$D$70)+SUMIF(Tim!$IW$7:$IW$70,Ins!F36,Tim!$D$7:$D$70)+SUMIF(Tim!$IX$7:$IX$70,Ins!F36,Tim!$D$7:$D$70)+SUMIF(Tim!$IY$7:$IY$70,Ins!F36,Tim!$D$7:$D$70)+SUMIF(Tim!$IZ$7:$IZ$70,Ins!F36,Tim!$D$7:$D$70)+SUMIF(Tim!$JA$7:$JA$70,Ins!F36,Tim!$D$7:$D$70)+SUMIF(Tim!$JB$7:$JB$70,Ins!F36,Tim!$D$7:$D$70)+SUMIF(Tim!$JC$7:$JC$70,Ins!F36,Tim!$D$7:$D$70)</f>
        <v>0</v>
      </c>
      <c r="BX36" s="80">
        <f>SUMIF(Tim!JD$7:JD$70,Ins!F36,Tim!$C$7:$C$70)</f>
        <v>0</v>
      </c>
      <c r="BY36" s="80">
        <f>SUMIF(Tim!JE$7:JE$70,Ins!F36,Tim!$C$7:$C$70)</f>
        <v>0</v>
      </c>
      <c r="BZ36" s="80">
        <f>SUMIF(Tim!JF$7:JF$70,Ins!F36,Tim!$C$7:$C$70)+SUMIF(Tim!JG$7:JG$70,Ins!F36,Tim!$C$7:$C$70)+SUMIF(Tim!JH$7:JH$70,Ins!F36,Tim!$C$7:$C$70)</f>
        <v>0</v>
      </c>
      <c r="CA36" s="81">
        <f>SUMIF(Tim!$JI$7:$JI$70,Ins!F36,Tim!$C$7:$C$70)++SUMIF(Tim!$JJ$7:$JJ$70,Ins!F36,Tim!$C$7:$C$70)+SUMIF(Tim!$JK$7:$JK$70,Ins!F36,Tim!$C$7:$C$70)+SUMIF(Tim!$JL$7:$JL$70,Ins!F36,Tim!$C$7:$C$70)+SUMIF(Tim!$JM$7:$JM$70,Ins!F36,Tim!$C$7:$C$70)</f>
        <v>0</v>
      </c>
      <c r="CB36" s="79">
        <f>SUMIF(Tim!$JN$7:$JN$70,Ins!F36,Tim!$B$7:$B$70)</f>
        <v>0</v>
      </c>
      <c r="CC36" s="80">
        <f>SUMIF(Tim!$JO$7:$JO$70,Ins!F36,Tim!$B$7:$B$70)+SUMIF(Tim!$JP$7:$JP$70,Ins!F36,Tim!$B$7:$B$70)+SUMIF(Tim!$JQ$7:$JQ$70,Ins!F36,Tim!$B$7:$B$70)+SUMIF(Tim!$JR$7:$JR$70,Ins!F36,Tim!$B$7:$B$70)+SUMIF(Tim!$JS$7:$JS$70,Ins!F36,Tim!$B$7:$B$70)+SUMIF(Tim!$JT$7:$JT$70,Ins!F36,Tim!$B$7:$B$70)</f>
        <v>0</v>
      </c>
      <c r="CD36" s="80">
        <f>SUMIF(Tim!$JW$7:$JW$70,Ins!F36,Tim!$B$7:$B$70)+SUMIF(Tim!$JU$7:$JU$70,Ins!F36,Tim!$B$7:$B$70)+SUMIF(Tim!$JV$7:$JV$70,Ins!F36,Tim!$B$7:$B$70)</f>
        <v>0</v>
      </c>
      <c r="CE36" s="80">
        <f>SUMIF(Tim!$JX$7:$JX$70,Ins!F36,Tim!$B$7:$B$70)+SUMIF(Tim!$JY$7:$JY$70,Ins!F36,Tim!$B$7:$B$70)+SUMIF(Tim!$JZ$7:$JZ$70,Ins!F36,Tim!$B$7:$B$70)+SUMIF(Tim!$KA$7:$KA$70,Ins!F36,Tim!$B$7:$B$70)+SUMIF(Tim!$KB$7:$KB$70,Ins!F36,Tim!$B$7:$B$70)</f>
        <v>0</v>
      </c>
      <c r="CF36" s="80">
        <f>SUMIF(Tim!$KE$7:$KE$70,Ins!F36,Tim!$B$7:$B$70)+SUMIF(Tim!$KC$7:$KC$70,Ins!F36,Tim!$B$7:$B$70)+SUMIF(Tim!$KD$7:$KD$70,Ins!F36,Tim!$B$7:$B$70)</f>
        <v>0</v>
      </c>
      <c r="CG36" s="80">
        <f>SUMIF(Tim!$KF$7:$KF$70,Ins!F36,Tim!$B$7:$B$70)+SUMIF(Tim!$KG$7:$KG$70,Ins!F36,Tim!$B$7:$B$70)+SUMIF(Tim!$KH$7:$KH$70,Ins!F36,Tim!$B$7:$B$70)</f>
        <v>0</v>
      </c>
      <c r="CH36" s="80">
        <f>SUMIF(Tim!$KI$7:$KI$70,Ins!F36,Tim!$B$7:$B$70)</f>
        <v>0</v>
      </c>
      <c r="CI36" s="80">
        <f>SUMIF(Tim!$KJ$7:$KJ$70,Ins!F36,Tim!$D$7:$D$70)+SUMIF(Tim!$KK$7:$KK$70,Ins!F36,Tim!$D$7:$D$70)+SUMIF(Tim!$KL$7:$KL$70,Ins!F36,Tim!$D$7:$D$70)+SUMIF(Tim!$KM$7:$KM$70,Ins!F36,Tim!$D$7:$D$70)+SUMIF(Tim!$KN$7:$KN$70,Ins!F36,Tim!$D$7:$D$70)+SUMIF(Tim!$KO$7:$KO$70,Ins!F36,Tim!$D$7:$D$70)+SUMIF(Tim!$KP$7:$KP$70,Ins!F36,Tim!$D$7:$D$70)+SUMIF(Tim!$KQ$7:$KQ$70,Ins!F36,Tim!$D$7:$D$70)+SUMIF(Tim!$KR$7:$KR$70,Ins!F36,Tim!$D$7:$D$70)+SUMIF(Tim!$KS$7:$KS$70,Ins!F36,Tim!$D$7:$D$70)+SUMIF(Tim!$KT$7:$KT$70,Ins!F36,Tim!$D$7:$D$70)+SUMIF(Tim!$KU$7:$KU$70,Ins!F36,Tim!$D$7:$D$70)</f>
        <v>0</v>
      </c>
      <c r="CJ36" s="80">
        <f>SUMIF(Tim!KV$7:KV$70,Ins!F36,Tim!$C$7:$C$70)</f>
        <v>0</v>
      </c>
      <c r="CK36" s="80">
        <f>SUMIF(Tim!KW$7:KW$70,Ins!F36,Tim!$C$7:$C$70)</f>
        <v>0</v>
      </c>
      <c r="CL36" s="80">
        <f>SUMIF(Tim!KX$7:KX$70,Ins!F36,Tim!$C$7:$C$70)+SUMIF(Tim!KY$7:KY$70,Ins!F36,Tim!$C$7:$C$70)+SUMIF(Tim!KZ$7:KZ$70,Ins!F36,Tim!$C$7:$C$70)</f>
        <v>0</v>
      </c>
      <c r="CM36" s="81">
        <f>SUMIF(Tim!$LA$7:$LA$70,Ins!F36,Tim!$C$7:$C$70)+SUMIF(Tim!$LB$7:$LB$70,Ins!F36,Tim!$C$7:$C$70)+SUMIF(Tim!$LC$7:$LC$70,Ins!F36,Tim!$C$7:$C$70)+SUMIF(Tim!$LD$7:$LD$70,Ins!F36,Tim!$C$7:$C$70)+SUMIF(Tim!$LE$7:$LE$70,Ins!F36,Tim!$C$7:$C$70)</f>
        <v>0</v>
      </c>
      <c r="CN36" s="22"/>
      <c r="CO36" s="180">
        <f t="shared" si="158"/>
        <v>0</v>
      </c>
      <c r="CP36" s="179">
        <f t="shared" si="159"/>
        <v>0</v>
      </c>
      <c r="CQ36" s="179">
        <f t="shared" si="160"/>
        <v>0</v>
      </c>
      <c r="CR36" s="179">
        <f t="shared" si="161"/>
        <v>0</v>
      </c>
      <c r="CS36" s="179">
        <f t="shared" si="162"/>
        <v>0</v>
      </c>
      <c r="CT36" s="179">
        <f t="shared" si="163"/>
        <v>0</v>
      </c>
      <c r="CU36" s="179">
        <f t="shared" si="164"/>
        <v>0</v>
      </c>
      <c r="CV36" s="179">
        <f t="shared" si="165"/>
        <v>0</v>
      </c>
      <c r="CW36" s="179">
        <f t="shared" si="166"/>
        <v>0</v>
      </c>
      <c r="CX36" s="179">
        <f t="shared" si="167"/>
        <v>0</v>
      </c>
      <c r="CY36" s="179">
        <f t="shared" si="172"/>
        <v>0</v>
      </c>
      <c r="CZ36" s="179">
        <f t="shared" si="173"/>
        <v>1</v>
      </c>
      <c r="DA36" s="78">
        <f t="shared" si="174"/>
        <v>1</v>
      </c>
      <c r="DB36" s="16"/>
      <c r="DC36" s="34">
        <f t="shared" si="170"/>
        <v>1</v>
      </c>
      <c r="DD36" s="34">
        <f t="shared" si="15"/>
        <v>0</v>
      </c>
      <c r="DE36" s="34">
        <f t="shared" si="16"/>
        <v>0</v>
      </c>
      <c r="DF36" s="34">
        <f t="shared" si="20"/>
        <v>0</v>
      </c>
      <c r="DG36" s="34">
        <f t="shared" si="17"/>
        <v>0</v>
      </c>
      <c r="DH36" s="34">
        <f t="shared" si="18"/>
        <v>0</v>
      </c>
      <c r="DI36" s="34">
        <f t="shared" si="19"/>
        <v>0</v>
      </c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7"/>
    </row>
    <row r="37" spans="1:125" s="33" customFormat="1" ht="12" customHeight="1">
      <c r="A37" s="10">
        <v>35</v>
      </c>
      <c r="B37" s="24" t="s">
        <v>405</v>
      </c>
      <c r="C37" s="234"/>
      <c r="D37" s="28"/>
      <c r="E37" s="28" t="s">
        <v>373</v>
      </c>
      <c r="F37" s="185" t="s">
        <v>379</v>
      </c>
      <c r="G37" s="205" t="s">
        <v>191</v>
      </c>
      <c r="H37" s="79">
        <f>SUMIF(Tim!$F$7:$F$70,Ins!F37,Tim!$B$7:$B$70)</f>
        <v>0</v>
      </c>
      <c r="I37" s="80">
        <f>SUMIF(Tim!$G$7:$G$70,Ins!F37,Tim!$B$7:$B$70)+SUMIF(Tim!$H$7:$H$70,Ins!F37,Tim!$B$7:$B$70)+SUMIF(Tim!$I$7:$I$70,Ins!F37,Tim!$B$7:$B$70)+SUMIF(Tim!$J$7:$J$70,Ins!F37,Tim!$B$7:$B$70)+SUMIF(Tim!$K$7:$K$70,Ins!F37,Tim!$B$7:$B$70)+SUMIF(Tim!$L$7:$L$70,Ins!F37,Tim!$B$7:$B$70)</f>
        <v>0</v>
      </c>
      <c r="J37" s="80">
        <f>SUMIF(Tim!$M$7:$M$70,Ins!F37,Tim!$B$7:$B$70)+SUMIF(Tim!$O$7:$O$70,Ins!F37,Tim!$B$7:$B$70)+SUMIF(Tim!$N$7:$N$70,Ins!F37,Tim!$B$7:$B$70)</f>
        <v>0</v>
      </c>
      <c r="K37" s="80">
        <f>SUMIF(Tim!$P$7:$P$70,Ins!F37,Tim!$B$7:$B$70)+SUMIF(Tim!$Q$7:$Q$70,Ins!F37,Tim!$B$7:$B$70)+SUMIF(Tim!$R$7:$R$70,Ins!F37,Tim!$B$7:$B$70)+SUMIF(Tim!$S$7:$S$70,Ins!F37,Tim!$B$7:$B$70)+SUMIF(Tim!$T$7:$T$70,Ins!F37,Tim!$B$7:$B$70)</f>
        <v>0</v>
      </c>
      <c r="L37" s="80">
        <f>SUMIF(Tim!$U$7:$U$70,Ins!F37,Tim!$B$7:$B$70)+SUMIF(Tim!$W$7:$W$70,Ins!F37,Tim!$B$7:$B$70)+SUMIF(Tim!$X$7:$X$70,Ins!F37,Tim!$B$7:$B$70)</f>
        <v>0</v>
      </c>
      <c r="M37" s="80">
        <f>SUMIF(Tim!$Y$7:$Y$70,Ins!F37,Tim!$B$7:$B$70)+SUMIF(Tim!$Z$7:$Z$70,Ins!F37,Tim!$B$7:$B$70)+SUMIF(Tim!$AA$7:$AA$70,Ins!F37,Tim!$B$7:$B$70)</f>
        <v>0</v>
      </c>
      <c r="N37" s="80">
        <f>SUMIF(Tim!$AB$7:$AB$70,Ins!F37,Tim!$B$7:$B$70)</f>
        <v>0</v>
      </c>
      <c r="O37" s="80">
        <f>SUMIF(Tim!$AC$7:$AC$70,Ins!F37,Tim!$D$7:$D$70)+SUMIF(Tim!$AD$7:$AD$70,Ins!F37,Tim!$D$7:$D$70)+SUMIF(Tim!$AE$7:$AE$70,Ins!F37,Tim!$D$7:$D$70)+SUMIF(Tim!$AF$7:$AF$70,Ins!F37,Tim!$D$7:$D$70)+SUMIF(Tim!$AG$7:$AG$70,Ins!F37,Tim!$D$7:$D$70)+SUMIF(Tim!$AH$7:$AH$70,Ins!F37,Tim!$D$7:$D$70)+SUMIF(Tim!$AI$7:$AI$70,Ins!F37,Tim!$D$7:$D$70)+SUMIF(Tim!$AJ$7:$AJ$70,Ins!F37,Tim!$D$7:$D$70)+SUMIF(Tim!$AK$7:$AK$70,Ins!F37,Tim!$D$7:$D$70)+SUMIF(Tim!$AL$7:$AL$70,Ins!F37,Tim!$D$7:$D$70)+SUMIF(Tim!$AM$7:$AM$70,Ins!F37,Tim!$D$7:$D$70)+SUMIF(Tim!$AN$7:$AN$70,Ins!F37,Tim!$D$7:$D$70)</f>
        <v>4.5</v>
      </c>
      <c r="P37" s="80">
        <f>SUMIF(Tim!AO$7:AO$70,Ins!F37,Tim!$C$7:$C$70)</f>
        <v>0</v>
      </c>
      <c r="Q37" s="80">
        <f>SUMIF(Tim!AP$7:AP$70,Ins!F37,Tim!$C$7:$C$70)</f>
        <v>0</v>
      </c>
      <c r="R37" s="80">
        <f>SUMIF(Tim!AQ$7:AQ$70,Ins!F37,Tim!$C$7:$C$70)+SUMIF(Tim!AR$7:AR$70,Ins!F37,Tim!$C$7:$C$70)+SUMIF(Tim!AS$7:AS$70,Ins!F37,Tim!$C$7:$C$70)</f>
        <v>0</v>
      </c>
      <c r="S37" s="236">
        <f>SUMIF(Tim!$AT$7:$AT$70,Ins!F37,Tim!$C$7:$C$70)+SUMIF(Tim!$AU$7:$AU$70,Ins!F37,Tim!$C$7:$C98)+SUMIF(Tim!$AV$7:$AV$70,Ins!F37,Tim!$C$7:$C$70)+SUMIF(Tim!$AW$7:$AW$70,Ins!F37,Tim!$C$7:$C$70)+SUMIF(Tim!$AX$7:$AX$70,Ins!F37,Tim!$C$7:$C$70)</f>
        <v>0</v>
      </c>
      <c r="T37" s="79">
        <f>SUMIF(Tim!$AY$7:$AY$70,Ins!F37,Tim!$B$7:$B$70)</f>
        <v>0</v>
      </c>
      <c r="U37" s="80">
        <f>SUMIF(Tim!$AZ$7:$AZ$70,Ins!F37,Tim!$B$7:$B$70)+SUMIF(Tim!$BA$7:$BA$70,Ins!F37,Tim!$B$7:$B$70)+SUMIF(Tim!$BB$7:$BB$70,Ins!F37,Tim!$B$7:$B$70)+SUMIF(Tim!$BC$7:$BC$70,Ins!F37,Tim!$B$7:$B$70)+SUMIF(Tim!$BD$7:$BD$70,Ins!F37,Tim!$B$7:$B$70)+SUMIF(Tim!$BE$7:$BE$70,Ins!F37,Tim!$B$7:$B$70)</f>
        <v>0</v>
      </c>
      <c r="V37" s="80">
        <f>SUMIF(Tim!$BF$7:$BF$70,Ins!F37,Tim!$B$7:$B$70)+SUMIF(Tim!$BG$7:$BG$70,Ins!F37,Tim!$B$7:$B$70)+SUMIF(Tim!$BH$7:$BH$70,Ins!F37,Tim!$B$7:$B$70)</f>
        <v>0</v>
      </c>
      <c r="W37" s="80">
        <f>SUMIF(Tim!$BI$7:$BI$70,Ins!F37,Tim!$B$7:$B$70)+SUMIF(Tim!$BJ$7:$BJ$70,Ins!F37,Tim!$B$7:$B$70)+SUMIF(Tim!$BK$7:$BK$70,Ins!F37,Tim!$B$7:$B$70)+SUMIF(Tim!$BL$7:$BL$70,Ins!F37,Tim!$B$7:$B$70)+SUMIF(Tim!$BM$7:$BM$70,Ins!F37,Tim!$B$7:$B$70)</f>
        <v>0</v>
      </c>
      <c r="X37" s="80">
        <f>SUMIF(Tim!$BN$7:$BN$70,Ins!F37,Tim!$B$7:$B$70)+SUMIF(Tim!$BO$7:$BO$70,Ins!F37,Tim!$B$7:$B$70)+SUMIF(Tim!$BP$7:$BP$70,Ins!F37,Tim!$B$7:$B$70)</f>
        <v>0</v>
      </c>
      <c r="Y37" s="80">
        <f>SUMIF(Tim!$BQ$7:$BQ$70,Ins!F37,Tim!$B$7:$B$70)+SUMIF(Tim!$BR$7:$BR$70,Ins!F37,Tim!$B$7:$B$70)+SUMIF(Tim!$BS$7:$BS$70,Ins!F37,Tim!$B$7:$B$70)</f>
        <v>0</v>
      </c>
      <c r="Z37" s="80">
        <f>SUMIF(Tim!BT$7:BT$70,Ins!F37,Tim!$B$7:$B$70)</f>
        <v>0</v>
      </c>
      <c r="AA37" s="80">
        <f>SUMIF(Tim!$BU$7:$BU$70,Ins!F37,Tim!$D$7:$D$70)+SUMIF(Tim!$BV$7:$BV$70,Ins!F37,Tim!$D$7:$D$70)+SUMIF(Tim!$BW$7:$BW$70,Ins!F37,Tim!$D$7:$D$70)+SUMIF(Tim!$BX$7:$BX$70,Ins!F37,Tim!$D$7:$D$70)+SUMIF(Tim!$BY$7:$BY$70,Ins!F37,Tim!$D$7:$D$70)+SUMIF(Tim!$BZ$7:$BZ$70,Ins!F37,Tim!$D$7:$D$70)+SUMIF(Tim!$CA$7:$CA$70,Ins!F37,Tim!$D$7:$D$70)+SUMIF(Tim!$CB$7:$CB$70,Ins!F37,Tim!$D$7:$D$70)+SUMIF(Tim!$CC$7:$CC$70,Ins!F37,Tim!$D$7:$D$70)+SUMIF(Tim!$CD$7:$CD$70,Ins!F37,Tim!$D$7:$D$70)+SUMIF(Tim!$CE$7:$CE$70,Ins!F37,Tim!$D$7:$D$70)+SUMIF(Tim!$CF$7:$CF$70,Ins!F37,Tim!$D$7:$D$70)</f>
        <v>0</v>
      </c>
      <c r="AB37" s="80">
        <f>SUMIF(Tim!CG$7:CG$70,Ins!F37,Tim!$C$7:$C$70)</f>
        <v>0</v>
      </c>
      <c r="AC37" s="80">
        <f>SUMIF(Tim!CH$7:CH$70,Ins!F37,Tim!$C$7:$C$70)</f>
        <v>0</v>
      </c>
      <c r="AD37" s="80">
        <f>SUMIF(Tim!CI$7:CI$70,Ins!F37,Tim!$C$7:$C$70)+SUMIF(Tim!CJ$7:CJ$70,Ins!F37,Tim!$C$7:$C$70)+SUMIF(Tim!CK$7:CK$70,Ins!F37,Tim!$C$7:$C$70)</f>
        <v>0</v>
      </c>
      <c r="AE37" s="81">
        <f>SUMIF(Tim!$CL$7:$CL$70,Ins!F37,Tim!$C$7:$C$70)+SUMIF(Tim!$CM$7:$CM$70,Ins!F37,Tim!$C$7:$C$70)+SUMIF(Tim!$CN$7:$CN$70,Ins!F37,Tim!$C$7:$C$70)+SUMIF(Tim!$CO$7:$CO$70,Ins!F37,Tim!$C$7:$C$70)+SUMIF(Tim!$CP$7:$CP$70,Ins!F37,Tim!$C$7:$C$70)</f>
        <v>0</v>
      </c>
      <c r="AF37" s="79">
        <f>SUMIF(Tim!$CQ$7:$CQ$70,Ins!F37,Tim!$B$7:$B$70)</f>
        <v>0</v>
      </c>
      <c r="AG37" s="80">
        <f>SUMIF(Tim!$CR$7:$CR$70,Ins!F37,Tim!$B$7:$B$70)+SUMIF(Tim!$CS$7:$CS$70,Ins!F37,Tim!$B$7:$B$70)+SUMIF(Tim!$CT$7:$CT$70,Ins!F37,Tim!$B$7:$B$70)+SUMIF(Tim!$CU$7:$CU$70,Ins!F37,Tim!$B$7:$B$70)+SUMIF(Tim!$CV$7:$CV$70,Ins!F37,Tim!$B$7:$B$70)+SUMIF(Tim!$CW$7:$CW$70,Ins!F37,Tim!$B$7:$B$70)</f>
        <v>0</v>
      </c>
      <c r="AH37" s="80">
        <f>SUMIF(Tim!$CX$7:$CX$70,Ins!F37,Tim!$B$7:$B$70)+SUMIF(Tim!$CY$7:$CY$70,Ins!F37,Tim!$B$7:$B$70)+SUMIF(Tim!$CZ$7:$CZ$70,Ins!F37,Tim!$B$7:$B$70)</f>
        <v>0</v>
      </c>
      <c r="AI37" s="80">
        <f>SUMIF(Tim!$DA$7:$DA$70,Ins!F37,Tim!$B$7:$B$70)+SUMIF(Tim!$DB$7:$DB$70,Ins!F37,Tim!$B$7:$B$70)+SUMIF(Tim!$DC$7:$DC$70,Ins!F37,Tim!$B$7:$B$70)+SUMIF(Tim!$DD$7:$DD$70,Ins!F37,Tim!$B$7:$B$70)+SUMIF(Tim!$DE$7:$DE$70,Ins!F37,Tim!$B$7:$B$70)</f>
        <v>0</v>
      </c>
      <c r="AJ37" s="80">
        <f>SUMIF(Tim!$DF$7:$DF$70,Ins!F37,Tim!$B$7:$B$70)+SUMIF(Tim!$DG$7:$DG$70,Ins!F37,Tim!$B$7:$B$70)+SUMIF(Tim!$DH$7:$DH$70,Ins!F37,Tim!$B$7:$B$70)</f>
        <v>0</v>
      </c>
      <c r="AK37" s="80">
        <f>SUMIF(Tim!DI$7:DI$70,Ins!F37,Tim!$B$7:$B$70)+SUMIF(Tim!DM$7:DM$70,Ins!F37,Tim!$B$7:$B$70)+SUMIF(Tim!DN$7:DN$70,Ins!F37,Tim!$B$7:$B$70)</f>
        <v>0</v>
      </c>
      <c r="AL37" s="80">
        <f>SUMIF(Tim!DO$7:DO$70,Ins!F37,Tim!$B$7:$B$70)</f>
        <v>0</v>
      </c>
      <c r="AM37" s="80">
        <f>SUMIF(Tim!$DP$7:$DP$70,Ins!F37,Tim!$D$7:$D$70)+SUMIF(Tim!$DQ$7:$DQ$70,Ins!F37,Tim!$D$7:$D$70)+SUMIF(Tim!$DR$7:$DR$70,Ins!F37,Tim!$D$7:$D$70)+SUMIF(Tim!$DS$7:$DS$70,Ins!F37,Tim!$D$7:$D$70)+SUMIF(Tim!$DT$7:$DT$70,Ins!F37,Tim!$D$7:$D$70)+SUMIF(Tim!$DU$7:$DU$70,Ins!F37,Tim!$D$7:$D$70)+SUMIF(Tim!$DV$7:$DV$70,Ins!F37,Tim!$D$7:$D$70)+SUMIF(Tim!$DW$7:$DW$70,Ins!F37,Tim!$D$7:$D$70)+SUMIF(Tim!$DX$7:$DX$70,Ins!F37,Tim!$D$7:$D$70)+SUMIF(Tim!$DY$7:$DY$70,Ins!F37,Tim!$D$7:$D$70)+SUMIF(Tim!$DZ$7:$DZ$70,Ins!F37,Tim!$D$7:$D$70)+SUMIF(Tim!$EA$7:$EA$70,Ins!F37,Tim!$D$7:$D$70)</f>
        <v>3</v>
      </c>
      <c r="AN37" s="80">
        <f>SUMIF(Tim!EB$7:EB$70,Ins!F37,Tim!$C$7:$C$70)</f>
        <v>0</v>
      </c>
      <c r="AO37" s="80">
        <f>SUMIF(Tim!EC$7:EC$70,Ins!F37,Tim!$C$7:$C$70)</f>
        <v>0</v>
      </c>
      <c r="AP37" s="80">
        <f>SUMIF(Tim!ED$7:ED$70,Ins!F37,Tim!$C$7:$C$70)+SUMIF(Tim!EE$7:EE$70,Ins!F37,Tim!$C$7:$C$70)+SUMIF(Tim!EF$7:EF$70,Ins!F37,Tim!$C$7:$C$70)</f>
        <v>0</v>
      </c>
      <c r="AQ37" s="81">
        <f>SUMIF(Tim!$EG$7:$EG$70,Ins!F37,Tim!$C$7:$C$70)+SUMIF(Tim!$EH$7:$EH$70,Ins!F37,Tim!$C$7:$C$70)+SUMIF(Tim!$EI$7:$EI$70,Ins!F37,Tim!$C$7:$C$70)+SUMIF(Tim!$EJ$7:$EJ$70,Ins!F37,Tim!$C$7:$C$70)+SUMIF(Tim!$EK$7:$EK$70,Ins!F37,Tim!$C$7:$C$70)</f>
        <v>0</v>
      </c>
      <c r="AR37" s="79">
        <f>SUMIF(Tim!$EL$5:$EL$70,Ins!F37,Tim!$B$5:$B$70)</f>
        <v>0</v>
      </c>
      <c r="AS37" s="80">
        <f>SUMIF(Tim!$EM$5:$EM$70,Ins!F37,Tim!$B$5:$B$70)+SUMIF(Tim!$EN$5:$EN$70,Ins!F37,Tim!$B$5:$B$70)+SUMIF(Tim!$EO$5:$EO$70,Ins!F37,Tim!$B$5:$B$70)+SUMIF(Tim!$EP$5:$EP$70,Ins!F37,Tim!$B$5:$B$70)+SUMIF(Tim!$EQ$5:$EQ$70,Ins!F37,Tim!$B$5:$B$70)+SUMIF(Tim!$ER$5:$ER$70,Ins!F37,Tim!$B$5:$B$70)</f>
        <v>0</v>
      </c>
      <c r="AT37" s="80">
        <f>SUMIF(Tim!$ES$5:$ES$70,Ins!F37,Tim!$B$5:$B$70)+SUMIF(Tim!$ET$5:$ET$70,Ins!F37,Tim!$B$5:$B$70)+SUMIF(Tim!$EU$5:$EU$70,Ins!F37,Tim!$B$5:$B$70)</f>
        <v>0</v>
      </c>
      <c r="AU37" s="80">
        <f>SUMIF(Tim!$EV$5:$EV$70,Ins!F37,Tim!$B$5:$B$70)+SUMIF(Tim!$EW$5:$EW$70,Ins!F37,Tim!$B$5:$B$70)+SUMIF(Tim!$EX$5:$EX$70,Ins!F37,Tim!$B$5:$B$70)+SUMIF(Tim!$EY$5:$EY$70,Ins!F37,Tim!$B$5:$B$70)+SUMIF(Tim!$EZ$5:$EZ$70,Ins!F37,Tim!$B$5:$B$70)</f>
        <v>0</v>
      </c>
      <c r="AV37" s="80">
        <f>SUMIF(Tim!$FA$5:$FA$70,Ins!F37,Tim!$B$5:$B$70)+SUMIF(Tim!$FB$5:$FB$70,Ins!F37,Tim!$B$5:$B$70)+SUMIF(Tim!$FC$5:$FC$70,Ins!F37,Tim!$B$5:$B$70)</f>
        <v>0</v>
      </c>
      <c r="AW37" s="80">
        <f>SUMIF(Tim!FD$5:FD$70,Ins!F37,Tim!$B$5:$B$70)+SUMIF(Tim!FE$5:FE$70,Ins!F37,Tim!$B$5:$B$70)+SUMIF(Tim!FF$5:FF$70,Ins!F37,Tim!$B$5:$B$70)</f>
        <v>0</v>
      </c>
      <c r="AX37" s="80">
        <f>SUMIF(Tim!FG$5:FG$70,Ins!F37,Tim!$B$5:$B$70)</f>
        <v>0</v>
      </c>
      <c r="AY37" s="80">
        <f>SUMIF(Tim!$FH$5:$FH$70,Ins!F37,Tim!$D$5:$D$70)+SUMIF(Tim!$FI$5:$FI$70,Ins!F37,Tim!$D$5:$D$70)+SUMIF(Tim!$FJ$5:$FJ$70,Ins!F37,Tim!$D$5:$D$70)+SUMIF(Tim!$FK$5:$FK$70,Ins!F37,Tim!$D$5:$D$70)+SUMIF(Tim!$FL$5:$FL$70,Ins!F37,Tim!$D$5:$D$70)+SUMIF(Tim!$FM$5:$FM$70,Ins!F37,Tim!$D$5:$D$70)+SUMIF(Tim!$FN$5:$FN$70,Ins!F37,Tim!$D$5:$D$70)+SUMIF(Tim!$FO$5:$FO$70,Ins!F37,Tim!$D$5:$D$70)+SUMIF(Tim!$FP$5:$FP$70,Ins!F37,Tim!$D$5:$D$70)+SUMIF(Tim!$FQ$5:$FQ$70,Ins!F37,Tim!$D$5:$D$70)+SUMIF(Tim!$FR$5:$FR$70,Ins!F37,Tim!$D$5:$D$70)+SUMIF(Tim!$FS$5:$FS$70,Ins!F37,Tim!$D$5:$D$70)</f>
        <v>0</v>
      </c>
      <c r="AZ37" s="80">
        <f>SUMIF(Tim!FT$5:FT$70,Ins!F37,Tim!$C$5:$C$70)</f>
        <v>0</v>
      </c>
      <c r="BA37" s="80">
        <f>SUMIF(Tim!FU$5:FU$70,Ins!F37,Tim!$C$5:$C$70)</f>
        <v>0</v>
      </c>
      <c r="BB37" s="80">
        <f>SUMIF(Tim!FV$5:FV$70,Ins!F37,Tim!$C$5:$C$70)+SUMIF(Tim!FW$5:FW$70,Ins!F37,Tim!$C$5:$C$70)+SUMIF(Tim!FX$5:FX$70,Ins!F37,Tim!$C$5:$C$70)</f>
        <v>0</v>
      </c>
      <c r="BC37" s="81">
        <f>SUMIF(Tim!$FY$5:$FY$70,Ins!F37,Tim!$C$5:$C$70)+SUMIF(Tim!$FZ$5:$FZ$70,Ins!F37,Tim!$C$5:$C$70)+SUMIF(Tim!$GA$5:$GA$70,Ins!F37,Tim!$C$5:$C$70)+SUMIF(Tim!$GB$5:$GB$70,Ins!F37,Tim!$C$5:$C$70)+SUMIF(Tim!$GC$5:$GC$70,Ins!F37,Tim!$C$5:$C$70)</f>
        <v>0</v>
      </c>
      <c r="BD37" s="79">
        <f>SUMIF(Tim!$GD$5:$GD$70,Ins!F37,Tim!$B$5:$B$70)</f>
        <v>0</v>
      </c>
      <c r="BE37" s="80">
        <f>SUMIF(Tim!$GE$5:$GE$70,Ins!F37,Tim!$B$5:$B$70)+SUMIF(Tim!$GF$5:$GF$70,Ins!F37,Tim!$B$5:$B$70)+SUMIF(Tim!$GG$5:$GG$70,Ins!F37,Tim!$B$5:$B$70)+SUMIF(Tim!$GH$5:$GH$70,Ins!F37,Tim!$B$5:$B$70)+SUMIF(Tim!$GI$5:$GI$70,Ins!F37,Tim!$B$5:$B$70)+SUMIF(Tim!$GJ$5:$GJ$70,Ins!F37,Tim!$B$5:$B$70)</f>
        <v>0</v>
      </c>
      <c r="BF37" s="80">
        <f>SUMIF(Tim!$GK$5:$GK$70,Ins!F37,Tim!$B$5:$B$70)+SUMIF(Tim!$GL$5:$GL$70,Ins!F37,Tim!$B$5:$B$70)+SUMIF(Tim!$GM$5:$GM$70,Ins!F37,Tim!$B$5:$B$70)</f>
        <v>0</v>
      </c>
      <c r="BG37" s="80">
        <f>SUMIF(Tim!$GN$5:$GN$70,Ins!F37,Tim!$B$5:$B$70)+SUMIF(Tim!$GO$5:$GO$70,Ins!F37,Tim!$B$5:$B$70)+SUMIF(Tim!$GP$5:$GP$70,Ins!F37,Tim!$B$5:$B$70)+SUMIF(Tim!$GQ$5:$GQ$70,Ins!F37,Tim!$B$5:$B$70)+SUMIF(Tim!$GR$5:$GR$70,Ins!F37,Tim!$B$5:$B$70)</f>
        <v>0</v>
      </c>
      <c r="BH37" s="80">
        <f>SUMIF(Tim!$GS$5:$GS$70,Ins!F37,Tim!$B$5:$B$70)+SUMIF(Tim!$GT$5:$GT$70,Ins!F37,Tim!$B$5:$B$70)+SUMIF(Tim!$GU$5:$GU$70,Ins!F37,Tim!$B$5:$B$70)</f>
        <v>0</v>
      </c>
      <c r="BI37" s="80">
        <f>SUMIF(Tim!GV$5:GV$70,Ins!F37,Tim!$B$5:$B$70)+SUMIF(Tim!GW$5:GW$70,Ins!F37,Tim!$B$5:$B$70)+SUMIF(Tim!GX$5:GX$70,Ins!F37,Tim!$B$5:$B$70)</f>
        <v>0</v>
      </c>
      <c r="BJ37" s="80">
        <f>SUMIF(Tim!GY$5:GY$70,Ins!F37,Tim!$B$5:$B$70)</f>
        <v>0</v>
      </c>
      <c r="BK37" s="80">
        <f>SUMIF(Tim!$GZ$5:$GZ$70,Ins!F37,Tim!$D$5:$D$70)+SUMIF(Tim!$HA$5:$HA$70,Ins!F37,Tim!$D$5:$D$70)+SUMIF(Tim!$HB$5:$HB$70,Ins!F37,Tim!$D$5:$D$70)++SUMIF(Tim!$HC$5:$HC$70,Ins!F37,Tim!$D$5:$D$70)+SUMIF(Tim!$HD$5:$HD$70,Ins!F37,Tim!$D$5:$D$70)+SUMIF(Tim!$HE$5:$HE$70,Ins!F37,Tim!$D$5:$D$70)+SUMIF(Tim!$HF$5:$HF$70,Ins!F37,Tim!$D$5:$D$70)+SUMIF(Tim!$HG$5:$HG$70,Ins!F37,Tim!$D$5:$D$70)+SUMIF(Tim!$HH$5:$HH$70,Ins!F37,Tim!$D$5:$D$70)+SUMIF(Tim!$HI$5:$HI$70,Ins!F37,Tim!$D$5:$D$70)+SUMIF(Tim!$HJ$5:$HJ$70,Ins!F37,Tim!$D$5:$D$70)+SUMIF(Tim!$HK$5:$HK$70,Ins!F37,Tim!$D$5:$D$70)</f>
        <v>2.25</v>
      </c>
      <c r="BL37" s="80">
        <f>SUMIF(Tim!HL$5:HL$70,Ins!F37,Tim!$C$5:$C$70)</f>
        <v>0</v>
      </c>
      <c r="BM37" s="80">
        <f>SUMIF(Tim!HM$5:HM$70,Ins!F37,Tim!$C$5:$C$70)</f>
        <v>0</v>
      </c>
      <c r="BN37" s="80">
        <f>SUMIF(Tim!HN$5:HN$70,Ins!F37,Tim!$C$5:$C$70)+SUMIF(Tim!HO$5:HO$70,Ins!F37,Tim!$C$5:$C$70)+SUMIF(Tim!HP$5:HP$70,Ins!F37,Tim!$C$5:$C$70)</f>
        <v>0</v>
      </c>
      <c r="BO37" s="81">
        <f>SUMIF(Tim!$HQ$5:$HQ$70,Ins!F37,Tim!$C$5:$C$70)+SUMIF(Tim!$HR$5:$HR$70,Ins!F37,Tim!$C$5:$C$70)+SUMIF(Tim!$HS$5:$HS$70,Ins!F37,Tim!$C$5:$C$70)+SUMIF(Tim!$HT$5:$HT$70,Ins!F37,Tim!$C$5:$C$70)+SUMIF(Tim!$HU$5:$HU$70,Ins!F37,Tim!$C$5:$C$70)</f>
        <v>1</v>
      </c>
      <c r="BP37" s="79">
        <f>SUMIF(Tim!$HV$7:$HV$70,Ins!F37,Tim!$B$7:$B$70)</f>
        <v>0</v>
      </c>
      <c r="BQ37" s="80">
        <f>SUMIF(Tim!$HW$7:$HW$70,Ins!F37,Tim!$B$7:$B$70)+SUMIF(Tim!$HX$7:$HX$70,Ins!F37,Tim!$B$7:$B$70)+SUMIF(Tim!$HY$7:$HY$70,Ins!F37,Tim!$B$7:$B$70)+SUMIF(Tim!$HZ$7:$HZ$70,Ins!F37,Tim!$B$7:$B$70)+SUMIF(Tim!$IA$7:$IA$70,Ins!F37,Tim!$B$7:$B$70)+SUMIF(Tim!$IB$7:$IB$70,Ins!F37,Tim!$B$7:$B$70)</f>
        <v>0</v>
      </c>
      <c r="BR37" s="80">
        <f>SUMIF(Tim!$IC$7:$IC$70,Ins!F37,Tim!$B$7:$B$70)+SUMIF(Tim!$ID$7:$ID$70,Ins!F37,Tim!$B$7:$B$70)+SUMIF(Tim!$IE$7:$IE$70,Ins!F37,Tim!$B$7:$B$70)</f>
        <v>0</v>
      </c>
      <c r="BS37" s="80">
        <f>SUMIF(Tim!$IF$7:$IF$70,Ins!F37,Tim!$B$7:$B$70)+SUMIF(Tim!$IG$7:$IG$70,Ins!F37,Tim!$B$7:$B$70)+SUMIF(Tim!$IH$7:$IH$70,Ins!F37,Tim!$B$7:$B$70)+SUMIF(Tim!$II$7:$II$70,Ins!F37,Tim!$B$7:$B$70)+SUMIF(Tim!$IJ$7:$IJ$70,Ins!F37,Tim!$B$7:$B$70)</f>
        <v>0</v>
      </c>
      <c r="BT37" s="80">
        <f>SUMIF(Tim!$IK$7:$IK$70,Ins!F37,Tim!$B$7:$B$70)+SUMIF(Tim!$IL$7:$IL$70,Ins!F37,Tim!$B$7:$B$70)+SUMIF(Tim!$IM$7:$IM$70,Ins!F37,Tim!$B$7:$B$70)</f>
        <v>0</v>
      </c>
      <c r="BU37" s="80">
        <f>SUMIF(Tim!$IN$7:$IN$70,Ins!F37,Tim!$B$7:$B$70)+SUMIF(Tim!$IO$7:$IO$70,Ins!F37,Tim!$B$7:$B$70)+SUMIF(Tim!$IP$7:$IP$70,Ins!F37,Tim!$B$7:$B$70)</f>
        <v>0</v>
      </c>
      <c r="BV37" s="80">
        <f>SUMIF(Tim!$IQ$7:$IQ$70,Ins!F37,Tim!$B$7:$B$70)</f>
        <v>0</v>
      </c>
      <c r="BW37" s="80">
        <f>SUMIF(Tim!$IR$7:$IR$70,Ins!F37,Tim!$D$7:$D$70)+SUMIF(Tim!$IS$7:$IS$70,Ins!F37,Tim!$D$7:$D$70)+SUMIF(Tim!$IT$7:$IT$70,Ins!F37,Tim!$D$7:$D$70)+SUMIF(Tim!$IU$7:$IU$70,Ins!F37,Tim!$D$7:$D$70)+SUMIF(Tim!$IV$7:$IV$70,Ins!F37,Tim!$D$7:$D$70)+SUMIF(Tim!$IW$7:$IW$70,Ins!F37,Tim!$D$7:$D$70)+SUMIF(Tim!$IX$7:$IX$70,Ins!F37,Tim!$D$7:$D$70)+SUMIF(Tim!$IY$7:$IY$70,Ins!F37,Tim!$D$7:$D$70)+SUMIF(Tim!$IZ$7:$IZ$70,Ins!F37,Tim!$D$7:$D$70)+SUMIF(Tim!$JA$7:$JA$70,Ins!F37,Tim!$D$7:$D$70)+SUMIF(Tim!$JB$7:$JB$70,Ins!F37,Tim!$D$7:$D$70)+SUMIF(Tim!$JC$7:$JC$70,Ins!F37,Tim!$D$7:$D$70)</f>
        <v>3.75</v>
      </c>
      <c r="BX37" s="80">
        <f>SUMIF(Tim!JD$7:JD$70,Ins!F37,Tim!$C$7:$C$70)</f>
        <v>0</v>
      </c>
      <c r="BY37" s="80">
        <f>SUMIF(Tim!JE$7:JE$70,Ins!F37,Tim!$C$7:$C$70)</f>
        <v>0</v>
      </c>
      <c r="BZ37" s="80">
        <f>SUMIF(Tim!JF$7:JF$70,Ins!F37,Tim!$C$7:$C$70)+SUMIF(Tim!JG$7:JG$70,Ins!F37,Tim!$C$7:$C$70)+SUMIF(Tim!JH$7:JH$70,Ins!F37,Tim!$C$7:$C$70)</f>
        <v>0</v>
      </c>
      <c r="CA37" s="81">
        <f>SUMIF(Tim!$JI$7:$JI$70,Ins!F37,Tim!$C$7:$C$70)++SUMIF(Tim!$JJ$7:$JJ$70,Ins!F37,Tim!$C$7:$C$70)+SUMIF(Tim!$JK$7:$JK$70,Ins!F37,Tim!$C$7:$C$70)+SUMIF(Tim!$JL$7:$JL$70,Ins!F37,Tim!$C$7:$C$70)+SUMIF(Tim!$JM$7:$JM$70,Ins!F37,Tim!$C$7:$C$70)</f>
        <v>1</v>
      </c>
      <c r="CB37" s="79">
        <f>SUMIF(Tim!$JN$7:$JN$70,Ins!F37,Tim!$B$7:$B$70)</f>
        <v>0</v>
      </c>
      <c r="CC37" s="80">
        <f>SUMIF(Tim!$JO$7:$JO$70,Ins!F37,Tim!$B$7:$B$70)+SUMIF(Tim!$JP$7:$JP$70,Ins!F37,Tim!$B$7:$B$70)+SUMIF(Tim!$JQ$7:$JQ$70,Ins!F37,Tim!$B$7:$B$70)+SUMIF(Tim!$JR$7:$JR$70,Ins!F37,Tim!$B$7:$B$70)+SUMIF(Tim!$JS$7:$JS$70,Ins!F37,Tim!$B$7:$B$70)+SUMIF(Tim!$JT$7:$JT$70,Ins!F37,Tim!$B$7:$B$70)</f>
        <v>0</v>
      </c>
      <c r="CD37" s="80">
        <f>SUMIF(Tim!$JW$7:$JW$70,Ins!F37,Tim!$B$7:$B$70)+SUMIF(Tim!$JU$7:$JU$70,Ins!F37,Tim!$B$7:$B$70)+SUMIF(Tim!$JV$7:$JV$70,Ins!F37,Tim!$B$7:$B$70)</f>
        <v>0</v>
      </c>
      <c r="CE37" s="80">
        <f>SUMIF(Tim!$JX$7:$JX$70,Ins!F37,Tim!$B$7:$B$70)+SUMIF(Tim!$JY$7:$JY$70,Ins!F37,Tim!$B$7:$B$70)+SUMIF(Tim!$JZ$7:$JZ$70,Ins!F37,Tim!$B$7:$B$70)+SUMIF(Tim!$KA$7:$KA$70,Ins!F37,Tim!$B$7:$B$70)+SUMIF(Tim!$KB$7:$KB$70,Ins!F37,Tim!$B$7:$B$70)</f>
        <v>0</v>
      </c>
      <c r="CF37" s="80">
        <f>SUMIF(Tim!$KE$7:$KE$70,Ins!F37,Tim!$B$7:$B$70)+SUMIF(Tim!$KC$7:$KC$70,Ins!F37,Tim!$B$7:$B$70)+SUMIF(Tim!$KD$7:$KD$70,Ins!F37,Tim!$B$7:$B$70)</f>
        <v>0</v>
      </c>
      <c r="CG37" s="80">
        <f>SUMIF(Tim!$KF$7:$KF$70,Ins!F37,Tim!$B$7:$B$70)+SUMIF(Tim!$KG$7:$KG$70,Ins!F37,Tim!$B$7:$B$70)+SUMIF(Tim!$KH$7:$KH$70,Ins!F37,Tim!$B$7:$B$70)</f>
        <v>0</v>
      </c>
      <c r="CH37" s="80">
        <f>SUMIF(Tim!$KI$7:$KI$70,Ins!F37,Tim!$B$7:$B$70)</f>
        <v>0</v>
      </c>
      <c r="CI37" s="80">
        <f>SUMIF(Tim!$KJ$7:$KJ$70,Ins!F37,Tim!$D$7:$D$70)+SUMIF(Tim!$KK$7:$KK$70,Ins!F37,Tim!$D$7:$D$70)+SUMIF(Tim!$KL$7:$KL$70,Ins!F37,Tim!$D$7:$D$70)+SUMIF(Tim!$KM$7:$KM$70,Ins!F37,Tim!$D$7:$D$70)+SUMIF(Tim!$KN$7:$KN$70,Ins!F37,Tim!$D$7:$D$70)+SUMIF(Tim!$KO$7:$KO$70,Ins!F37,Tim!$D$7:$D$70)+SUMIF(Tim!$KP$7:$KP$70,Ins!F37,Tim!$D$7:$D$70)+SUMIF(Tim!$KQ$7:$KQ$70,Ins!F37,Tim!$D$7:$D$70)+SUMIF(Tim!$KR$7:$KR$70,Ins!F37,Tim!$D$7:$D$70)+SUMIF(Tim!$KS$7:$KS$70,Ins!F37,Tim!$D$7:$D$70)+SUMIF(Tim!$KT$7:$KT$70,Ins!F37,Tim!$D$7:$D$70)+SUMIF(Tim!$KU$7:$KU$70,Ins!F37,Tim!$D$7:$D$70)</f>
        <v>2.25</v>
      </c>
      <c r="CJ37" s="80">
        <f>SUMIF(Tim!KV$7:KV$70,Ins!F37,Tim!$C$7:$C$70)</f>
        <v>0</v>
      </c>
      <c r="CK37" s="80">
        <f>SUMIF(Tim!KW$7:KW$70,Ins!F37,Tim!$C$7:$C$70)</f>
        <v>0</v>
      </c>
      <c r="CL37" s="80">
        <f>SUMIF(Tim!KX$7:KX$70,Ins!F37,Tim!$C$7:$C$70)+SUMIF(Tim!KY$7:KY$70,Ins!F37,Tim!$C$7:$C$70)+SUMIF(Tim!KZ$7:KZ$70,Ins!F37,Tim!$C$7:$C$70)</f>
        <v>0</v>
      </c>
      <c r="CM37" s="81">
        <f>SUMIF(Tim!$LA$7:$LA$70,Ins!F37,Tim!$C$7:$C$70)+SUMIF(Tim!$LB$7:$LB$70,Ins!F37,Tim!$C$7:$C$70)+SUMIF(Tim!$LC$7:$LC$70,Ins!F37,Tim!$C$7:$C$70)+SUMIF(Tim!$LD$7:$LD$70,Ins!F37,Tim!$C$7:$C$70)+SUMIF(Tim!$LE$7:$LE$70,Ins!F37,Tim!$C$7:$C$70)</f>
        <v>1</v>
      </c>
      <c r="CN37" s="22"/>
      <c r="CO37" s="180">
        <f t="shared" si="158"/>
        <v>0</v>
      </c>
      <c r="CP37" s="179">
        <f t="shared" si="159"/>
        <v>0</v>
      </c>
      <c r="CQ37" s="179">
        <f t="shared" si="160"/>
        <v>0</v>
      </c>
      <c r="CR37" s="179">
        <f t="shared" si="161"/>
        <v>0</v>
      </c>
      <c r="CS37" s="179">
        <f t="shared" si="162"/>
        <v>0</v>
      </c>
      <c r="CT37" s="179">
        <f t="shared" si="163"/>
        <v>0</v>
      </c>
      <c r="CU37" s="179">
        <f t="shared" si="164"/>
        <v>0</v>
      </c>
      <c r="CV37" s="179">
        <f t="shared" si="165"/>
        <v>15.75</v>
      </c>
      <c r="CW37" s="179">
        <f t="shared" si="166"/>
        <v>0</v>
      </c>
      <c r="CX37" s="179">
        <f t="shared" si="167"/>
        <v>0</v>
      </c>
      <c r="CY37" s="179">
        <f t="shared" si="172"/>
        <v>0</v>
      </c>
      <c r="CZ37" s="179">
        <f t="shared" si="173"/>
        <v>3</v>
      </c>
      <c r="DA37" s="78">
        <f t="shared" si="174"/>
        <v>18.75</v>
      </c>
      <c r="DB37" s="36"/>
      <c r="DC37" s="34">
        <f t="shared" si="170"/>
        <v>4.5</v>
      </c>
      <c r="DD37" s="34">
        <f t="shared" si="15"/>
        <v>0</v>
      </c>
      <c r="DE37" s="34">
        <f t="shared" si="16"/>
        <v>3</v>
      </c>
      <c r="DF37" s="34">
        <f t="shared" si="20"/>
        <v>0</v>
      </c>
      <c r="DG37" s="34">
        <f t="shared" si="17"/>
        <v>3.25</v>
      </c>
      <c r="DH37" s="34">
        <f t="shared" si="18"/>
        <v>4.75</v>
      </c>
      <c r="DI37" s="34">
        <f t="shared" si="19"/>
        <v>3.25</v>
      </c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7"/>
    </row>
    <row r="38" spans="1:125" s="33" customFormat="1" ht="12" customHeight="1">
      <c r="A38" s="10">
        <v>36</v>
      </c>
      <c r="B38" s="24" t="s">
        <v>451</v>
      </c>
      <c r="C38" s="234"/>
      <c r="D38" s="28"/>
      <c r="E38" s="28" t="s">
        <v>373</v>
      </c>
      <c r="F38" s="228" t="s">
        <v>89</v>
      </c>
      <c r="G38" s="205" t="s">
        <v>191</v>
      </c>
      <c r="H38" s="79">
        <f>SUMIF(Tim!$F$7:$F$70,Ins!F38,Tim!$B$7:$B$70)</f>
        <v>0</v>
      </c>
      <c r="I38" s="80">
        <f>SUMIF(Tim!$G$7:$G$70,Ins!F38,Tim!$B$7:$B$70)+SUMIF(Tim!$H$7:$H$70,Ins!F38,Tim!$B$7:$B$70)+SUMIF(Tim!$I$7:$I$70,Ins!F38,Tim!$B$7:$B$70)+SUMIF(Tim!$J$7:$J$70,Ins!F38,Tim!$B$7:$B$70)+SUMIF(Tim!$K$7:$K$70,Ins!F38,Tim!$B$7:$B$70)+SUMIF(Tim!$L$7:$L$70,Ins!F38,Tim!$B$7:$B$70)</f>
        <v>0</v>
      </c>
      <c r="J38" s="80">
        <f>SUMIF(Tim!$M$7:$M$70,Ins!F38,Tim!$B$7:$B$70)+SUMIF(Tim!$O$7:$O$70,Ins!F38,Tim!$B$7:$B$70)+SUMIF(Tim!$N$7:$N$70,Ins!F38,Tim!$B$7:$B$70)</f>
        <v>0</v>
      </c>
      <c r="K38" s="80">
        <f>SUMIF(Tim!$P$7:$P$70,Ins!F38,Tim!$B$7:$B$70)+SUMIF(Tim!$Q$7:$Q$70,Ins!F38,Tim!$B$7:$B$70)+SUMIF(Tim!$R$7:$R$70,Ins!F38,Tim!$B$7:$B$70)+SUMIF(Tim!$S$7:$S$70,Ins!F38,Tim!$B$7:$B$70)+SUMIF(Tim!$T$7:$T$70,Ins!F38,Tim!$B$7:$B$70)</f>
        <v>0</v>
      </c>
      <c r="L38" s="80">
        <f>SUMIF(Tim!$U$7:$U$70,Ins!F38,Tim!$B$7:$B$70)+SUMIF(Tim!$W$7:$W$70,Ins!F38,Tim!$B$7:$B$70)+SUMIF(Tim!$X$7:$X$70,Ins!F38,Tim!$B$7:$B$70)</f>
        <v>0</v>
      </c>
      <c r="M38" s="80">
        <f>SUMIF(Tim!$Y$7:$Y$70,Ins!F38,Tim!$B$7:$B$70)+SUMIF(Tim!$Z$7:$Z$70,Ins!F38,Tim!$B$7:$B$70)+SUMIF(Tim!$AA$7:$AA$70,Ins!F38,Tim!$B$7:$B$70)</f>
        <v>0</v>
      </c>
      <c r="N38" s="80">
        <f>SUMIF(Tim!$AB$7:$AB$70,Ins!F38,Tim!$B$7:$B$70)</f>
        <v>0</v>
      </c>
      <c r="O38" s="80">
        <f>SUMIF(Tim!$AC$7:$AC$70,Ins!F38,Tim!$D$7:$D$70)+SUMIF(Tim!$AD$7:$AD$70,Ins!F38,Tim!$D$7:$D$70)+SUMIF(Tim!$AE$7:$AE$70,Ins!F38,Tim!$D$7:$D$70)+SUMIF(Tim!$AF$7:$AF$70,Ins!F38,Tim!$D$7:$D$70)+SUMIF(Tim!$AG$7:$AG$70,Ins!F38,Tim!$D$7:$D$70)+SUMIF(Tim!$AH$7:$AH$70,Ins!F38,Tim!$D$7:$D$70)+SUMIF(Tim!$AI$7:$AI$70,Ins!F38,Tim!$D$7:$D$70)+SUMIF(Tim!$AJ$7:$AJ$70,Ins!F38,Tim!$D$7:$D$70)+SUMIF(Tim!$AK$7:$AK$70,Ins!F38,Tim!$D$7:$D$70)+SUMIF(Tim!$AL$7:$AL$70,Ins!F38,Tim!$D$7:$D$70)+SUMIF(Tim!$AM$7:$AM$70,Ins!F38,Tim!$D$7:$D$70)+SUMIF(Tim!$AN$7:$AN$70,Ins!F38,Tim!$D$7:$D$70)</f>
        <v>2.25</v>
      </c>
      <c r="P38" s="80">
        <f>SUMIF(Tim!AO$7:AO$70,Ins!F38,Tim!$C$7:$C$70)</f>
        <v>0</v>
      </c>
      <c r="Q38" s="80">
        <f>SUMIF(Tim!AP$7:AP$70,Ins!F38,Tim!$C$7:$C$70)</f>
        <v>0</v>
      </c>
      <c r="R38" s="80">
        <f>SUMIF(Tim!AQ$7:AQ$70,Ins!F38,Tim!$C$7:$C$70)+SUMIF(Tim!AR$7:AR$70,Ins!F38,Tim!$C$7:$C$70)+SUMIF(Tim!AS$7:AS$70,Ins!F38,Tim!$C$7:$C$70)</f>
        <v>0</v>
      </c>
      <c r="S38" s="236">
        <f>SUMIF(Tim!$AT$7:$AT$70,Ins!F38,Tim!$C$7:$C$70)+SUMIF(Tim!$AU$7:$AU$70,Ins!F38,Tim!$C$7:$C99)+SUMIF(Tim!$AV$7:$AV$70,Ins!F38,Tim!$C$7:$C$70)+SUMIF(Tim!$AW$7:$AW$70,Ins!F38,Tim!$C$7:$C$70)+SUMIF(Tim!$AX$7:$AX$70,Ins!F38,Tim!$C$7:$C$70)</f>
        <v>0</v>
      </c>
      <c r="T38" s="79">
        <f>SUMIF(Tim!$AY$7:$AY$70,Ins!F38,Tim!$B$7:$B$70)</f>
        <v>0</v>
      </c>
      <c r="U38" s="80">
        <f>SUMIF(Tim!$AZ$7:$AZ$70,Ins!F38,Tim!$B$7:$B$70)+SUMIF(Tim!$BA$7:$BA$70,Ins!F38,Tim!$B$7:$B$70)+SUMIF(Tim!$BB$7:$BB$70,Ins!F38,Tim!$B$7:$B$70)+SUMIF(Tim!$BC$7:$BC$70,Ins!F38,Tim!$B$7:$B$70)+SUMIF(Tim!$BD$7:$BD$70,Ins!F38,Tim!$B$7:$B$70)+SUMIF(Tim!$BE$7:$BE$70,Ins!F38,Tim!$B$7:$B$70)</f>
        <v>0</v>
      </c>
      <c r="V38" s="80">
        <f>SUMIF(Tim!$BF$7:$BF$70,Ins!F38,Tim!$B$7:$B$70)+SUMIF(Tim!$BG$7:$BG$70,Ins!F38,Tim!$B$7:$B$70)+SUMIF(Tim!$BH$7:$BH$70,Ins!F38,Tim!$B$7:$B$70)</f>
        <v>0</v>
      </c>
      <c r="W38" s="80">
        <f>SUMIF(Tim!$BI$7:$BI$70,Ins!F38,Tim!$B$7:$B$70)+SUMIF(Tim!$BJ$7:$BJ$70,Ins!F38,Tim!$B$7:$B$70)+SUMIF(Tim!$BK$7:$BK$70,Ins!F38,Tim!$B$7:$B$70)+SUMIF(Tim!$BL$7:$BL$70,Ins!F38,Tim!$B$7:$B$70)+SUMIF(Tim!$BM$7:$BM$70,Ins!F38,Tim!$B$7:$B$70)</f>
        <v>0</v>
      </c>
      <c r="X38" s="80">
        <f>SUMIF(Tim!$BN$7:$BN$70,Ins!F38,Tim!$B$7:$B$70)+SUMIF(Tim!$BO$7:$BO$70,Ins!F38,Tim!$B$7:$B$70)+SUMIF(Tim!$BP$7:$BP$70,Ins!F38,Tim!$B$7:$B$70)</f>
        <v>0</v>
      </c>
      <c r="Y38" s="80">
        <f>SUMIF(Tim!$BQ$7:$BQ$70,Ins!F38,Tim!$B$7:$B$70)+SUMIF(Tim!$BR$7:$BR$70,Ins!F38,Tim!$B$7:$B$70)+SUMIF(Tim!$BS$7:$BS$70,Ins!F38,Tim!$B$7:$B$70)</f>
        <v>0</v>
      </c>
      <c r="Z38" s="80">
        <f>SUMIF(Tim!BT$7:BT$70,Ins!F38,Tim!$B$7:$B$70)</f>
        <v>0</v>
      </c>
      <c r="AA38" s="80">
        <f>SUMIF(Tim!$BU$7:$BU$70,Ins!F38,Tim!$D$7:$D$70)+SUMIF(Tim!$BV$7:$BV$70,Ins!F38,Tim!$D$7:$D$70)+SUMIF(Tim!$BW$7:$BW$70,Ins!F38,Tim!$D$7:$D$70)+SUMIF(Tim!$BX$7:$BX$70,Ins!F38,Tim!$D$7:$D$70)+SUMIF(Tim!$BY$7:$BY$70,Ins!F38,Tim!$D$7:$D$70)+SUMIF(Tim!$BZ$7:$BZ$70,Ins!F38,Tim!$D$7:$D$70)+SUMIF(Tim!$CA$7:$CA$70,Ins!F38,Tim!$D$7:$D$70)+SUMIF(Tim!$CB$7:$CB$70,Ins!F38,Tim!$D$7:$D$70)+SUMIF(Tim!$CC$7:$CC$70,Ins!F38,Tim!$D$7:$D$70)+SUMIF(Tim!$CD$7:$CD$70,Ins!F38,Tim!$D$7:$D$70)+SUMIF(Tim!$CE$7:$CE$70,Ins!F38,Tim!$D$7:$D$70)+SUMIF(Tim!$CF$7:$CF$70,Ins!F38,Tim!$D$7:$D$70)</f>
        <v>0</v>
      </c>
      <c r="AB38" s="80">
        <f>SUMIF(Tim!CG$7:CG$70,Ins!F38,Tim!$C$7:$C$70)</f>
        <v>0</v>
      </c>
      <c r="AC38" s="80">
        <f>SUMIF(Tim!CH$7:CH$70,Ins!F38,Tim!$C$7:$C$70)</f>
        <v>0</v>
      </c>
      <c r="AD38" s="80">
        <f>SUMIF(Tim!CI$7:CI$70,Ins!F38,Tim!$C$7:$C$70)+SUMIF(Tim!CJ$7:CJ$70,Ins!F38,Tim!$C$7:$C$70)+SUMIF(Tim!CK$7:CK$70,Ins!F38,Tim!$C$7:$C$70)</f>
        <v>0</v>
      </c>
      <c r="AE38" s="81">
        <f>SUMIF(Tim!$CL$7:$CL$70,Ins!F38,Tim!$C$7:$C$70)+SUMIF(Tim!$CM$7:$CM$70,Ins!F38,Tim!$C$7:$C$70)+SUMIF(Tim!$CN$7:$CN$70,Ins!F38,Tim!$C$7:$C$70)+SUMIF(Tim!$CO$7:$CO$70,Ins!F38,Tim!$C$7:$C$70)+SUMIF(Tim!$CP$7:$CP$70,Ins!F38,Tim!$C$7:$C$70)</f>
        <v>0</v>
      </c>
      <c r="AF38" s="79">
        <f>SUMIF(Tim!$CQ$7:$CQ$70,Ins!F38,Tim!$B$7:$B$70)</f>
        <v>0</v>
      </c>
      <c r="AG38" s="80">
        <f>SUMIF(Tim!$CR$7:$CR$70,Ins!F38,Tim!$B$7:$B$70)+SUMIF(Tim!$CS$7:$CS$70,Ins!F38,Tim!$B$7:$B$70)+SUMIF(Tim!$CT$7:$CT$70,Ins!F38,Tim!$B$7:$B$70)+SUMIF(Tim!$CU$7:$CU$70,Ins!F38,Tim!$B$7:$B$70)+SUMIF(Tim!$CV$7:$CV$70,Ins!F38,Tim!$B$7:$B$70)+SUMIF(Tim!$CW$7:$CW$70,Ins!F38,Tim!$B$7:$B$70)</f>
        <v>0</v>
      </c>
      <c r="AH38" s="80">
        <f>SUMIF(Tim!$CX$7:$CX$70,Ins!F38,Tim!$B$7:$B$70)+SUMIF(Tim!$CY$7:$CY$70,Ins!F38,Tim!$B$7:$B$70)+SUMIF(Tim!$CZ$7:$CZ$70,Ins!F38,Tim!$B$7:$B$70)</f>
        <v>0</v>
      </c>
      <c r="AI38" s="80">
        <f>SUMIF(Tim!$DA$7:$DA$70,Ins!F38,Tim!$B$7:$B$70)+SUMIF(Tim!$DB$7:$DB$70,Ins!F38,Tim!$B$7:$B$70)+SUMIF(Tim!$DC$7:$DC$70,Ins!F38,Tim!$B$7:$B$70)+SUMIF(Tim!$DD$7:$DD$70,Ins!F38,Tim!$B$7:$B$70)+SUMIF(Tim!$DE$7:$DE$70,Ins!F38,Tim!$B$7:$B$70)</f>
        <v>0.5</v>
      </c>
      <c r="AJ38" s="80">
        <f>SUMIF(Tim!$DF$7:$DF$70,Ins!F38,Tim!$B$7:$B$70)+SUMIF(Tim!$DG$7:$DG$70,Ins!F38,Tim!$B$7:$B$70)+SUMIF(Tim!$DH$7:$DH$70,Ins!F38,Tim!$B$7:$B$70)</f>
        <v>0</v>
      </c>
      <c r="AK38" s="80">
        <f>SUMIF(Tim!DI$7:DI$70,Ins!F38,Tim!$B$7:$B$70)+SUMIF(Tim!DM$7:DM$70,Ins!F38,Tim!$B$7:$B$70)+SUMIF(Tim!DN$7:DN$70,Ins!F38,Tim!$B$7:$B$70)</f>
        <v>0</v>
      </c>
      <c r="AL38" s="80">
        <f>SUMIF(Tim!DO$7:DO$70,Ins!F38,Tim!$B$7:$B$70)</f>
        <v>0</v>
      </c>
      <c r="AM38" s="80">
        <f>SUMIF(Tim!$DP$7:$DP$70,Ins!F38,Tim!$D$7:$D$70)+SUMIF(Tim!$DQ$7:$DQ$70,Ins!F38,Tim!$D$7:$D$70)+SUMIF(Tim!$DR$7:$DR$70,Ins!F38,Tim!$D$7:$D$70)+SUMIF(Tim!$DS$7:$DS$70,Ins!F38,Tim!$D$7:$D$70)+SUMIF(Tim!$DT$7:$DT$70,Ins!F38,Tim!$D$7:$D$70)+SUMIF(Tim!$DU$7:$DU$70,Ins!F38,Tim!$D$7:$D$70)+SUMIF(Tim!$DV$7:$DV$70,Ins!F38,Tim!$D$7:$D$70)+SUMIF(Tim!$DW$7:$DW$70,Ins!F38,Tim!$D$7:$D$70)+SUMIF(Tim!$DX$7:$DX$70,Ins!F38,Tim!$D$7:$D$70)+SUMIF(Tim!$DY$7:$DY$70,Ins!F38,Tim!$D$7:$D$70)+SUMIF(Tim!$DZ$7:$DZ$70,Ins!F38,Tim!$D$7:$D$70)+SUMIF(Tim!$EA$7:$EA$70,Ins!F38,Tim!$D$7:$D$70)</f>
        <v>2.25</v>
      </c>
      <c r="AN38" s="80">
        <f>SUMIF(Tim!EB$7:EB$70,Ins!F38,Tim!$C$7:$C$70)</f>
        <v>0</v>
      </c>
      <c r="AO38" s="80">
        <f>SUMIF(Tim!EC$7:EC$70,Ins!F38,Tim!$C$7:$C$70)</f>
        <v>0</v>
      </c>
      <c r="AP38" s="80">
        <f>SUMIF(Tim!ED$7:ED$70,Ins!F38,Tim!$C$7:$C$70)+SUMIF(Tim!EE$7:EE$70,Ins!F38,Tim!$C$7:$C$70)+SUMIF(Tim!EF$7:EF$70,Ins!F38,Tim!$C$7:$C$70)</f>
        <v>0</v>
      </c>
      <c r="AQ38" s="81">
        <f>SUMIF(Tim!$EG$7:$EG$70,Ins!F38,Tim!$C$7:$C$70)+SUMIF(Tim!$EH$7:$EH$70,Ins!F38,Tim!$C$7:$C$70)+SUMIF(Tim!$EI$7:$EI$70,Ins!F38,Tim!$C$7:$C$70)+SUMIF(Tim!$EJ$7:$EJ$70,Ins!F38,Tim!$C$7:$C$70)+SUMIF(Tim!$EK$7:$EK$70,Ins!F38,Tim!$C$7:$C$70)</f>
        <v>0</v>
      </c>
      <c r="AR38" s="79">
        <f>SUMIF(Tim!$EL$5:$EL$70,Ins!F38,Tim!$B$5:$B$70)</f>
        <v>0</v>
      </c>
      <c r="AS38" s="80">
        <f>SUMIF(Tim!$EM$5:$EM$70,Ins!F38,Tim!$B$5:$B$70)+SUMIF(Tim!$EN$5:$EN$70,Ins!F38,Tim!$B$5:$B$70)+SUMIF(Tim!$EO$5:$EO$70,Ins!F38,Tim!$B$5:$B$70)+SUMIF(Tim!$EP$5:$EP$70,Ins!F38,Tim!$B$5:$B$70)+SUMIF(Tim!$EQ$5:$EQ$70,Ins!F38,Tim!$B$5:$B$70)+SUMIF(Tim!$ER$5:$ER$70,Ins!F38,Tim!$B$5:$B$70)</f>
        <v>0</v>
      </c>
      <c r="AT38" s="80">
        <f>SUMIF(Tim!$ES$5:$ES$70,Ins!F38,Tim!$B$5:$B$70)+SUMIF(Tim!$ET$5:$ET$70,Ins!F38,Tim!$B$5:$B$70)+SUMIF(Tim!$EU$5:$EU$70,Ins!F38,Tim!$B$5:$B$70)</f>
        <v>0</v>
      </c>
      <c r="AU38" s="80">
        <f>SUMIF(Tim!$EV$5:$EV$70,Ins!F38,Tim!$B$5:$B$70)+SUMIF(Tim!$EW$5:$EW$70,Ins!F38,Tim!$B$5:$B$70)+SUMIF(Tim!$EX$5:$EX$70,Ins!F38,Tim!$B$5:$B$70)+SUMIF(Tim!$EY$5:$EY$70,Ins!F38,Tim!$B$5:$B$70)+SUMIF(Tim!$EZ$5:$EZ$70,Ins!F38,Tim!$B$5:$B$70)</f>
        <v>0</v>
      </c>
      <c r="AV38" s="80">
        <f>SUMIF(Tim!$FA$5:$FA$70,Ins!F38,Tim!$B$5:$B$70)+SUMIF(Tim!$FB$5:$FB$70,Ins!F38,Tim!$B$5:$B$70)+SUMIF(Tim!$FC$5:$FC$70,Ins!F38,Tim!$B$5:$B$70)</f>
        <v>0</v>
      </c>
      <c r="AW38" s="80">
        <f>SUMIF(Tim!FD$5:FD$70,Ins!F38,Tim!$B$5:$B$70)+SUMIF(Tim!FE$5:FE$70,Ins!F38,Tim!$B$5:$B$70)+SUMIF(Tim!FF$5:FF$70,Ins!F38,Tim!$B$5:$B$70)</f>
        <v>0</v>
      </c>
      <c r="AX38" s="80">
        <f>SUMIF(Tim!FG$5:FG$70,Ins!F38,Tim!$B$5:$B$70)</f>
        <v>0</v>
      </c>
      <c r="AY38" s="80">
        <f>SUMIF(Tim!$FH$5:$FH$70,Ins!F38,Tim!$D$5:$D$70)+SUMIF(Tim!$FI$5:$FI$70,Ins!F38,Tim!$D$5:$D$70)+SUMIF(Tim!$FJ$5:$FJ$70,Ins!F38,Tim!$D$5:$D$70)+SUMIF(Tim!$FK$5:$FK$70,Ins!F38,Tim!$D$5:$D$70)+SUMIF(Tim!$FL$5:$FL$70,Ins!F38,Tim!$D$5:$D$70)+SUMIF(Tim!$FM$5:$FM$70,Ins!F38,Tim!$D$5:$D$70)+SUMIF(Tim!$FN$5:$FN$70,Ins!F38,Tim!$D$5:$D$70)+SUMIF(Tim!$FO$5:$FO$70,Ins!F38,Tim!$D$5:$D$70)+SUMIF(Tim!$FP$5:$FP$70,Ins!F38,Tim!$D$5:$D$70)+SUMIF(Tim!$FQ$5:$FQ$70,Ins!F38,Tim!$D$5:$D$70)+SUMIF(Tim!$FR$5:$FR$70,Ins!F38,Tim!$D$5:$D$70)+SUMIF(Tim!$FS$5:$FS$70,Ins!F38,Tim!$D$5:$D$70)</f>
        <v>0</v>
      </c>
      <c r="AZ38" s="80">
        <f>SUMIF(Tim!FT$5:FT$70,Ins!F38,Tim!$C$5:$C$70)</f>
        <v>0</v>
      </c>
      <c r="BA38" s="80">
        <f>SUMIF(Tim!FU$5:FU$70,Ins!F38,Tim!$C$5:$C$70)</f>
        <v>0</v>
      </c>
      <c r="BB38" s="80">
        <f>SUMIF(Tim!FV$5:FV$70,Ins!F38,Tim!$C$5:$C$70)+SUMIF(Tim!FW$5:FW$70,Ins!F38,Tim!$C$5:$C$70)+SUMIF(Tim!FX$5:FX$70,Ins!F38,Tim!$C$5:$C$70)</f>
        <v>0</v>
      </c>
      <c r="BC38" s="81">
        <f>SUMIF(Tim!$FY$5:$FY$70,Ins!F38,Tim!$C$5:$C$70)+SUMIF(Tim!$FZ$5:$FZ$70,Ins!F38,Tim!$C$5:$C$70)+SUMIF(Tim!$GA$5:$GA$70,Ins!F38,Tim!$C$5:$C$70)+SUMIF(Tim!$GB$5:$GB$70,Ins!F38,Tim!$C$5:$C$70)+SUMIF(Tim!$GC$5:$GC$70,Ins!F38,Tim!$C$5:$C$70)</f>
        <v>0</v>
      </c>
      <c r="BD38" s="79">
        <f>SUMIF(Tim!$GD$5:$GD$70,Ins!F38,Tim!$B$5:$B$70)</f>
        <v>0</v>
      </c>
      <c r="BE38" s="80">
        <f>SUMIF(Tim!$GE$5:$GE$70,Ins!F38,Tim!$B$5:$B$70)+SUMIF(Tim!$GF$5:$GF$70,Ins!F38,Tim!$B$5:$B$70)+SUMIF(Tim!$GG$5:$GG$70,Ins!F38,Tim!$B$5:$B$70)+SUMIF(Tim!$GH$5:$GH$70,Ins!F38,Tim!$B$5:$B$70)+SUMIF(Tim!$GI$5:$GI$70,Ins!F38,Tim!$B$5:$B$70)+SUMIF(Tim!$GJ$5:$GJ$70,Ins!F38,Tim!$B$5:$B$70)</f>
        <v>0</v>
      </c>
      <c r="BF38" s="80">
        <f>SUMIF(Tim!$GK$5:$GK$70,Ins!F38,Tim!$B$5:$B$70)+SUMIF(Tim!$GL$5:$GL$70,Ins!F38,Tim!$B$5:$B$70)+SUMIF(Tim!$GM$5:$GM$70,Ins!F38,Tim!$B$5:$B$70)</f>
        <v>0</v>
      </c>
      <c r="BG38" s="80">
        <f>SUMIF(Tim!$GN$5:$GN$70,Ins!F38,Tim!$B$5:$B$70)+SUMIF(Tim!$GO$5:$GO$70,Ins!F38,Tim!$B$5:$B$70)+SUMIF(Tim!$GP$5:$GP$70,Ins!F38,Tim!$B$5:$B$70)+SUMIF(Tim!$GQ$5:$GQ$70,Ins!F38,Tim!$B$5:$B$70)+SUMIF(Tim!$GR$5:$GR$70,Ins!F38,Tim!$B$5:$B$70)</f>
        <v>0</v>
      </c>
      <c r="BH38" s="80">
        <f>SUMIF(Tim!$GS$5:$GS$70,Ins!F38,Tim!$B$5:$B$70)+SUMIF(Tim!$GT$5:$GT$70,Ins!F38,Tim!$B$5:$B$70)+SUMIF(Tim!$GU$5:$GU$70,Ins!F38,Tim!$B$5:$B$70)</f>
        <v>0</v>
      </c>
      <c r="BI38" s="80">
        <f>SUMIF(Tim!GV$5:GV$70,Ins!F38,Tim!$B$5:$B$70)+SUMIF(Tim!GW$5:GW$70,Ins!F38,Tim!$B$5:$B$70)+SUMIF(Tim!GX$5:GX$70,Ins!F38,Tim!$B$5:$B$70)</f>
        <v>0</v>
      </c>
      <c r="BJ38" s="80">
        <f>SUMIF(Tim!GY$5:GY$70,Ins!F38,Tim!$B$5:$B$70)</f>
        <v>0</v>
      </c>
      <c r="BK38" s="80">
        <f>SUMIF(Tim!$GZ$5:$GZ$70,Ins!F38,Tim!$D$5:$D$70)+SUMIF(Tim!$HA$5:$HA$70,Ins!F38,Tim!$D$5:$D$70)+SUMIF(Tim!$HB$5:$HB$70,Ins!F38,Tim!$D$5:$D$70)++SUMIF(Tim!$HC$5:$HC$70,Ins!F38,Tim!$D$5:$D$70)+SUMIF(Tim!$HD$5:$HD$70,Ins!F38,Tim!$D$5:$D$70)+SUMIF(Tim!$HE$5:$HE$70,Ins!F38,Tim!$D$5:$D$70)+SUMIF(Tim!$HF$5:$HF$70,Ins!F38,Tim!$D$5:$D$70)+SUMIF(Tim!$HG$5:$HG$70,Ins!F38,Tim!$D$5:$D$70)+SUMIF(Tim!$HH$5:$HH$70,Ins!F38,Tim!$D$5:$D$70)+SUMIF(Tim!$HI$5:$HI$70,Ins!F38,Tim!$D$5:$D$70)+SUMIF(Tim!$HJ$5:$HJ$70,Ins!F38,Tim!$D$5:$D$70)+SUMIF(Tim!$HK$5:$HK$70,Ins!F38,Tim!$D$5:$D$70)</f>
        <v>0</v>
      </c>
      <c r="BL38" s="80">
        <f>SUMIF(Tim!HL$5:HL$70,Ins!F38,Tim!$C$5:$C$70)</f>
        <v>0</v>
      </c>
      <c r="BM38" s="80">
        <f>SUMIF(Tim!HM$5:HM$70,Ins!F38,Tim!$C$5:$C$70)</f>
        <v>0</v>
      </c>
      <c r="BN38" s="80">
        <f>SUMIF(Tim!HN$5:HN$70,Ins!F38,Tim!$C$5:$C$70)+SUMIF(Tim!HO$5:HO$70,Ins!F38,Tim!$C$5:$C$70)+SUMIF(Tim!HP$5:HP$70,Ins!F38,Tim!$C$5:$C$70)</f>
        <v>0</v>
      </c>
      <c r="BO38" s="81">
        <f>SUMIF(Tim!$HQ$5:$HQ$70,Ins!F38,Tim!$C$5:$C$70)+SUMIF(Tim!$HR$5:$HR$70,Ins!F38,Tim!$C$5:$C$70)+SUMIF(Tim!$HS$5:$HS$70,Ins!F38,Tim!$C$5:$C$70)+SUMIF(Tim!$HT$5:$HT$70,Ins!F38,Tim!$C$5:$C$70)+SUMIF(Tim!$HU$5:$HU$70,Ins!F38,Tim!$C$5:$C$70)</f>
        <v>0</v>
      </c>
      <c r="BP38" s="79">
        <f>SUMIF(Tim!$HV$7:$HV$70,Ins!F38,Tim!$B$7:$B$70)</f>
        <v>0</v>
      </c>
      <c r="BQ38" s="80">
        <f>SUMIF(Tim!$HW$7:$HW$70,Ins!F38,Tim!$B$7:$B$70)+SUMIF(Tim!$HX$7:$HX$70,Ins!F38,Tim!$B$7:$B$70)+SUMIF(Tim!$HY$7:$HY$70,Ins!F38,Tim!$B$7:$B$70)+SUMIF(Tim!$HZ$7:$HZ$70,Ins!F38,Tim!$B$7:$B$70)+SUMIF(Tim!$IA$7:$IA$70,Ins!F38,Tim!$B$7:$B$70)+SUMIF(Tim!$IB$7:$IB$70,Ins!F38,Tim!$B$7:$B$70)</f>
        <v>0</v>
      </c>
      <c r="BR38" s="80">
        <f>SUMIF(Tim!$IC$7:$IC$70,Ins!F38,Tim!$B$7:$B$70)+SUMIF(Tim!$ID$7:$ID$70,Ins!F38,Tim!$B$7:$B$70)+SUMIF(Tim!$IE$7:$IE$70,Ins!F38,Tim!$B$7:$B$70)</f>
        <v>0</v>
      </c>
      <c r="BS38" s="80">
        <f>SUMIF(Tim!$IF$7:$IF$70,Ins!F38,Tim!$B$7:$B$70)+SUMIF(Tim!$IG$7:$IG$70,Ins!F38,Tim!$B$7:$B$70)+SUMIF(Tim!$IH$7:$IH$70,Ins!F38,Tim!$B$7:$B$70)+SUMIF(Tim!$II$7:$II$70,Ins!F38,Tim!$B$7:$B$70)+SUMIF(Tim!$IJ$7:$IJ$70,Ins!F38,Tim!$B$7:$B$70)</f>
        <v>0</v>
      </c>
      <c r="BT38" s="80">
        <f>SUMIF(Tim!$IK$7:$IK$70,Ins!F38,Tim!$B$7:$B$70)+SUMIF(Tim!$IL$7:$IL$70,Ins!F38,Tim!$B$7:$B$70)+SUMIF(Tim!$IM$7:$IM$70,Ins!F38,Tim!$B$7:$B$70)</f>
        <v>0</v>
      </c>
      <c r="BU38" s="80">
        <f>SUMIF(Tim!$IN$7:$IN$70,Ins!F38,Tim!$B$7:$B$70)+SUMIF(Tim!$IO$7:$IO$70,Ins!F38,Tim!$B$7:$B$70)+SUMIF(Tim!$IP$7:$IP$70,Ins!F38,Tim!$B$7:$B$70)</f>
        <v>0</v>
      </c>
      <c r="BV38" s="80">
        <f>SUMIF(Tim!$IQ$7:$IQ$70,Ins!F38,Tim!$B$7:$B$70)</f>
        <v>0</v>
      </c>
      <c r="BW38" s="80">
        <f>SUMIF(Tim!$IR$7:$IR$70,Ins!F38,Tim!$D$7:$D$70)+SUMIF(Tim!$IS$7:$IS$70,Ins!F38,Tim!$D$7:$D$70)+SUMIF(Tim!$IT$7:$IT$70,Ins!F38,Tim!$D$7:$D$70)+SUMIF(Tim!$IU$7:$IU$70,Ins!F38,Tim!$D$7:$D$70)+SUMIF(Tim!$IV$7:$IV$70,Ins!F38,Tim!$D$7:$D$70)+SUMIF(Tim!$IW$7:$IW$70,Ins!F38,Tim!$D$7:$D$70)+SUMIF(Tim!$IX$7:$IX$70,Ins!F38,Tim!$D$7:$D$70)+SUMIF(Tim!$IY$7:$IY$70,Ins!F38,Tim!$D$7:$D$70)+SUMIF(Tim!$IZ$7:$IZ$70,Ins!F38,Tim!$D$7:$D$70)+SUMIF(Tim!$JA$7:$JA$70,Ins!F38,Tim!$D$7:$D$70)+SUMIF(Tim!$JB$7:$JB$70,Ins!F38,Tim!$D$7:$D$70)+SUMIF(Tim!$JC$7:$JC$70,Ins!F38,Tim!$D$7:$D$70)</f>
        <v>0</v>
      </c>
      <c r="BX38" s="80">
        <f>SUMIF(Tim!JD$7:JD$70,Ins!F38,Tim!$C$7:$C$70)</f>
        <v>0</v>
      </c>
      <c r="BY38" s="80">
        <f>SUMIF(Tim!JE$7:JE$70,Ins!F38,Tim!$C$7:$C$70)</f>
        <v>0</v>
      </c>
      <c r="BZ38" s="80">
        <f>SUMIF(Tim!JF$7:JF$70,Ins!F38,Tim!$C$7:$C$70)+SUMIF(Tim!JG$7:JG$70,Ins!F38,Tim!$C$7:$C$70)+SUMIF(Tim!JH$7:JH$70,Ins!F38,Tim!$C$7:$C$70)</f>
        <v>0</v>
      </c>
      <c r="CA38" s="81">
        <f>SUMIF(Tim!$JI$7:$JI$70,Ins!F38,Tim!$C$7:$C$70)++SUMIF(Tim!$JJ$7:$JJ$70,Ins!F38,Tim!$C$7:$C$70)+SUMIF(Tim!$JK$7:$JK$70,Ins!F38,Tim!$C$7:$C$70)+SUMIF(Tim!$JL$7:$JL$70,Ins!F38,Tim!$C$7:$C$70)+SUMIF(Tim!$JM$7:$JM$70,Ins!F38,Tim!$C$7:$C$70)</f>
        <v>0</v>
      </c>
      <c r="CB38" s="79">
        <f>SUMIF(Tim!$JN$7:$JN$70,Ins!F38,Tim!$B$7:$B$70)</f>
        <v>0</v>
      </c>
      <c r="CC38" s="80">
        <f>SUMIF(Tim!$JO$7:$JO$70,Ins!F38,Tim!$B$7:$B$70)+SUMIF(Tim!$JP$7:$JP$70,Ins!F38,Tim!$B$7:$B$70)+SUMIF(Tim!$JQ$7:$JQ$70,Ins!F38,Tim!$B$7:$B$70)+SUMIF(Tim!$JR$7:$JR$70,Ins!F38,Tim!$B$7:$B$70)+SUMIF(Tim!$JS$7:$JS$70,Ins!F38,Tim!$B$7:$B$70)+SUMIF(Tim!$JT$7:$JT$70,Ins!F38,Tim!$B$7:$B$70)</f>
        <v>0</v>
      </c>
      <c r="CD38" s="80">
        <f>SUMIF(Tim!$JW$7:$JW$70,Ins!F38,Tim!$B$7:$B$70)+SUMIF(Tim!$JU$7:$JU$70,Ins!F38,Tim!$B$7:$B$70)+SUMIF(Tim!$JV$7:$JV$70,Ins!F38,Tim!$B$7:$B$70)</f>
        <v>0</v>
      </c>
      <c r="CE38" s="80">
        <f>SUMIF(Tim!$JX$7:$JX$70,Ins!F38,Tim!$B$7:$B$70)+SUMIF(Tim!$JY$7:$JY$70,Ins!F38,Tim!$B$7:$B$70)+SUMIF(Tim!$JZ$7:$JZ$70,Ins!F38,Tim!$B$7:$B$70)+SUMIF(Tim!$KA$7:$KA$70,Ins!F38,Tim!$B$7:$B$70)+SUMIF(Tim!$KB$7:$KB$70,Ins!F38,Tim!$B$7:$B$70)</f>
        <v>0</v>
      </c>
      <c r="CF38" s="80">
        <f>SUMIF(Tim!$KE$7:$KE$70,Ins!F38,Tim!$B$7:$B$70)+SUMIF(Tim!$KC$7:$KC$70,Ins!F38,Tim!$B$7:$B$70)+SUMIF(Tim!$KD$7:$KD$70,Ins!F38,Tim!$B$7:$B$70)</f>
        <v>0</v>
      </c>
      <c r="CG38" s="80">
        <f>SUMIF(Tim!$KF$7:$KF$70,Ins!F38,Tim!$B$7:$B$70)+SUMIF(Tim!$KG$7:$KG$70,Ins!F38,Tim!$B$7:$B$70)+SUMIF(Tim!$KH$7:$KH$70,Ins!F38,Tim!$B$7:$B$70)</f>
        <v>0</v>
      </c>
      <c r="CH38" s="80">
        <f>SUMIF(Tim!$KI$7:$KI$70,Ins!F38,Tim!$B$7:$B$70)</f>
        <v>0</v>
      </c>
      <c r="CI38" s="80">
        <f>SUMIF(Tim!$KJ$7:$KJ$70,Ins!F38,Tim!$D$7:$D$70)+SUMIF(Tim!$KK$7:$KK$70,Ins!F38,Tim!$D$7:$D$70)+SUMIF(Tim!$KL$7:$KL$70,Ins!F38,Tim!$D$7:$D$70)+SUMIF(Tim!$KM$7:$KM$70,Ins!F38,Tim!$D$7:$D$70)+SUMIF(Tim!$KN$7:$KN$70,Ins!F38,Tim!$D$7:$D$70)+SUMIF(Tim!$KO$7:$KO$70,Ins!F38,Tim!$D$7:$D$70)+SUMIF(Tim!$KP$7:$KP$70,Ins!F38,Tim!$D$7:$D$70)+SUMIF(Tim!$KQ$7:$KQ$70,Ins!F38,Tim!$D$7:$D$70)+SUMIF(Tim!$KR$7:$KR$70,Ins!F38,Tim!$D$7:$D$70)+SUMIF(Tim!$KS$7:$KS$70,Ins!F38,Tim!$D$7:$D$70)+SUMIF(Tim!$KT$7:$KT$70,Ins!F38,Tim!$D$7:$D$70)+SUMIF(Tim!$KU$7:$KU$70,Ins!F38,Tim!$D$7:$D$70)</f>
        <v>0</v>
      </c>
      <c r="CJ38" s="80">
        <f>SUMIF(Tim!KV$7:KV$70,Ins!F38,Tim!$C$7:$C$70)</f>
        <v>0</v>
      </c>
      <c r="CK38" s="80">
        <f>SUMIF(Tim!KW$7:KW$70,Ins!F38,Tim!$C$7:$C$70)</f>
        <v>0</v>
      </c>
      <c r="CL38" s="80">
        <f>SUMIF(Tim!KX$7:KX$70,Ins!F38,Tim!$C$7:$C$70)+SUMIF(Tim!KY$7:KY$70,Ins!F38,Tim!$C$7:$C$70)+SUMIF(Tim!KZ$7:KZ$70,Ins!F38,Tim!$C$7:$C$70)</f>
        <v>0</v>
      </c>
      <c r="CM38" s="81">
        <f>SUMIF(Tim!$LA$7:$LA$70,Ins!F38,Tim!$C$7:$C$70)+SUMIF(Tim!$LB$7:$LB$70,Ins!F38,Tim!$C$7:$C$70)+SUMIF(Tim!$LC$7:$LC$70,Ins!F38,Tim!$C$7:$C$70)+SUMIF(Tim!$LD$7:$LD$70,Ins!F38,Tim!$C$7:$C$70)+SUMIF(Tim!$LE$7:$LE$70,Ins!F38,Tim!$C$7:$C$70)</f>
        <v>0</v>
      </c>
      <c r="CN38" s="22"/>
      <c r="CO38" s="180">
        <f t="shared" si="158"/>
        <v>0</v>
      </c>
      <c r="CP38" s="179">
        <f t="shared" si="159"/>
        <v>0</v>
      </c>
      <c r="CQ38" s="179">
        <f t="shared" si="160"/>
        <v>0</v>
      </c>
      <c r="CR38" s="179">
        <f t="shared" si="161"/>
        <v>0.5</v>
      </c>
      <c r="CS38" s="179">
        <f t="shared" si="162"/>
        <v>0</v>
      </c>
      <c r="CT38" s="179">
        <f t="shared" si="163"/>
        <v>0</v>
      </c>
      <c r="CU38" s="179">
        <f t="shared" si="164"/>
        <v>0</v>
      </c>
      <c r="CV38" s="179">
        <f t="shared" si="165"/>
        <v>4.5</v>
      </c>
      <c r="CW38" s="179">
        <f t="shared" si="166"/>
        <v>0</v>
      </c>
      <c r="CX38" s="179">
        <f t="shared" si="167"/>
        <v>0</v>
      </c>
      <c r="CY38" s="179">
        <f t="shared" si="172"/>
        <v>0</v>
      </c>
      <c r="CZ38" s="179">
        <f t="shared" si="173"/>
        <v>0</v>
      </c>
      <c r="DA38" s="78">
        <f t="shared" si="174"/>
        <v>5</v>
      </c>
      <c r="DB38" s="36"/>
      <c r="DC38" s="34">
        <f t="shared" si="170"/>
        <v>2.25</v>
      </c>
      <c r="DD38" s="34">
        <f t="shared" si="15"/>
        <v>0</v>
      </c>
      <c r="DE38" s="34">
        <f t="shared" si="16"/>
        <v>2.75</v>
      </c>
      <c r="DF38" s="34">
        <f t="shared" si="20"/>
        <v>0</v>
      </c>
      <c r="DG38" s="34">
        <f t="shared" si="17"/>
        <v>0</v>
      </c>
      <c r="DH38" s="34">
        <f t="shared" si="18"/>
        <v>0</v>
      </c>
      <c r="DI38" s="34">
        <f t="shared" si="19"/>
        <v>0</v>
      </c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7"/>
    </row>
    <row r="39" spans="1:125" s="33" customFormat="1" ht="12" customHeight="1">
      <c r="A39" s="10">
        <v>37</v>
      </c>
      <c r="B39" s="24" t="s">
        <v>473</v>
      </c>
      <c r="C39" s="234"/>
      <c r="D39" s="28"/>
      <c r="E39" s="28" t="s">
        <v>373</v>
      </c>
      <c r="F39" s="185" t="s">
        <v>474</v>
      </c>
      <c r="G39" s="205" t="s">
        <v>191</v>
      </c>
      <c r="H39" s="79">
        <f>SUMIF(Tim!$F$7:$F$70,Ins!F39,Tim!$B$7:$B$70)</f>
        <v>0</v>
      </c>
      <c r="I39" s="80">
        <f>SUMIF(Tim!$G$7:$G$70,Ins!F39,Tim!$B$7:$B$70)+SUMIF(Tim!$H$7:$H$70,Ins!F39,Tim!$B$7:$B$70)+SUMIF(Tim!$I$7:$I$70,Ins!F39,Tim!$B$7:$B$70)+SUMIF(Tim!$J$7:$J$70,Ins!F39,Tim!$B$7:$B$70)+SUMIF(Tim!$K$7:$K$70,Ins!F39,Tim!$B$7:$B$70)+SUMIF(Tim!$L$7:$L$70,Ins!F39,Tim!$B$7:$B$70)</f>
        <v>0</v>
      </c>
      <c r="J39" s="80">
        <f>SUMIF(Tim!$M$7:$M$70,Ins!F39,Tim!$B$7:$B$70)+SUMIF(Tim!$O$7:$O$70,Ins!F39,Tim!$B$7:$B$70)+SUMIF(Tim!$N$7:$N$70,Ins!F39,Tim!$B$7:$B$70)</f>
        <v>0</v>
      </c>
      <c r="K39" s="80">
        <f>SUMIF(Tim!$P$7:$P$70,Ins!F39,Tim!$B$7:$B$70)+SUMIF(Tim!$Q$7:$Q$70,Ins!F39,Tim!$B$7:$B$70)+SUMIF(Tim!$R$7:$R$70,Ins!F39,Tim!$B$7:$B$70)+SUMIF(Tim!$S$7:$S$70,Ins!F39,Tim!$B$7:$B$70)+SUMIF(Tim!$T$7:$T$70,Ins!F39,Tim!$B$7:$B$70)</f>
        <v>0</v>
      </c>
      <c r="L39" s="80">
        <f>SUMIF(Tim!$U$7:$U$70,Ins!F39,Tim!$B$7:$B$70)+SUMIF(Tim!$W$7:$W$70,Ins!F39,Tim!$B$7:$B$70)+SUMIF(Tim!$X$7:$X$70,Ins!F39,Tim!$B$7:$B$70)</f>
        <v>0</v>
      </c>
      <c r="M39" s="80">
        <f>SUMIF(Tim!$Y$7:$Y$70,Ins!F39,Tim!$B$7:$B$70)+SUMIF(Tim!$Z$7:$Z$70,Ins!F39,Tim!$B$7:$B$70)+SUMIF(Tim!$AA$7:$AA$70,Ins!F39,Tim!$B$7:$B$70)</f>
        <v>0</v>
      </c>
      <c r="N39" s="80">
        <f>SUMIF(Tim!$AB$7:$AB$70,Ins!F39,Tim!$B$7:$B$70)</f>
        <v>0</v>
      </c>
      <c r="O39" s="80">
        <f>SUMIF(Tim!$AC$7:$AC$70,Ins!F39,Tim!$D$7:$D$70)+SUMIF(Tim!$AD$7:$AD$70,Ins!F39,Tim!$D$7:$D$70)+SUMIF(Tim!$AE$7:$AE$70,Ins!F39,Tim!$D$7:$D$70)+SUMIF(Tim!$AF$7:$AF$70,Ins!F39,Tim!$D$7:$D$70)+SUMIF(Tim!$AG$7:$AG$70,Ins!F39,Tim!$D$7:$D$70)+SUMIF(Tim!$AH$7:$AH$70,Ins!F39,Tim!$D$7:$D$70)+SUMIF(Tim!$AI$7:$AI$70,Ins!F39,Tim!$D$7:$D$70)+SUMIF(Tim!$AJ$7:$AJ$70,Ins!F39,Tim!$D$7:$D$70)+SUMIF(Tim!$AK$7:$AK$70,Ins!F39,Tim!$D$7:$D$70)+SUMIF(Tim!$AL$7:$AL$70,Ins!F39,Tim!$D$7:$D$70)+SUMIF(Tim!$AM$7:$AM$70,Ins!F39,Tim!$D$7:$D$70)+SUMIF(Tim!$AN$7:$AN$70,Ins!F39,Tim!$D$7:$D$70)</f>
        <v>0</v>
      </c>
      <c r="P39" s="80">
        <f>SUMIF(Tim!AO$7:AO$70,Ins!F39,Tim!$C$7:$C$70)</f>
        <v>0</v>
      </c>
      <c r="Q39" s="80">
        <f>SUMIF(Tim!AP$7:AP$70,Ins!F39,Tim!$C$7:$C$70)</f>
        <v>0</v>
      </c>
      <c r="R39" s="80">
        <f>SUMIF(Tim!AQ$7:AQ$70,Ins!F39,Tim!$C$7:$C$70)+SUMIF(Tim!AR$7:AR$70,Ins!F39,Tim!$C$7:$C$70)+SUMIF(Tim!AS$7:AS$70,Ins!F39,Tim!$C$7:$C$70)</f>
        <v>0</v>
      </c>
      <c r="S39" s="236">
        <f>SUMIF(Tim!$AT$7:$AT$70,Ins!F39,Tim!$C$7:$C$70)+SUMIF(Tim!$AU$7:$AU$70,Ins!F39,Tim!$C$7:$C100)+SUMIF(Tim!$AV$7:$AV$70,Ins!F39,Tim!$C$7:$C$70)+SUMIF(Tim!$AW$7:$AW$70,Ins!F39,Tim!$C$7:$C$70)+SUMIF(Tim!$AX$7:$AX$70,Ins!F39,Tim!$C$7:$C$70)</f>
        <v>0</v>
      </c>
      <c r="T39" s="79">
        <f>SUMIF(Tim!$AY$7:$AY$70,Ins!F39,Tim!$B$7:$B$70)</f>
        <v>0</v>
      </c>
      <c r="U39" s="80">
        <f>SUMIF(Tim!$AZ$7:$AZ$70,Ins!F39,Tim!$B$7:$B$70)+SUMIF(Tim!$BA$7:$BA$70,Ins!F39,Tim!$B$7:$B$70)+SUMIF(Tim!$BB$7:$BB$70,Ins!F39,Tim!$B$7:$B$70)+SUMIF(Tim!$BC$7:$BC$70,Ins!F39,Tim!$B$7:$B$70)+SUMIF(Tim!$BD$7:$BD$70,Ins!F39,Tim!$B$7:$B$70)+SUMIF(Tim!$BE$7:$BE$70,Ins!F39,Tim!$B$7:$B$70)</f>
        <v>0</v>
      </c>
      <c r="V39" s="80">
        <f>SUMIF(Tim!$BF$7:$BF$70,Ins!F39,Tim!$B$7:$B$70)+SUMIF(Tim!$BG$7:$BG$70,Ins!F39,Tim!$B$7:$B$70)+SUMIF(Tim!$BH$7:$BH$70,Ins!F39,Tim!$B$7:$B$70)</f>
        <v>0</v>
      </c>
      <c r="W39" s="80">
        <f>SUMIF(Tim!$BI$7:$BI$70,Ins!F39,Tim!$B$7:$B$70)+SUMIF(Tim!$BJ$7:$BJ$70,Ins!F39,Tim!$B$7:$B$70)+SUMIF(Tim!$BK$7:$BK$70,Ins!F39,Tim!$B$7:$B$70)+SUMIF(Tim!$BL$7:$BL$70,Ins!F39,Tim!$B$7:$B$70)+SUMIF(Tim!$BM$7:$BM$70,Ins!F39,Tim!$B$7:$B$70)</f>
        <v>0</v>
      </c>
      <c r="X39" s="80">
        <f>SUMIF(Tim!$BN$7:$BN$70,Ins!F39,Tim!$B$7:$B$70)+SUMIF(Tim!$BO$7:$BO$70,Ins!F39,Tim!$B$7:$B$70)+SUMIF(Tim!$BP$7:$BP$70,Ins!F39,Tim!$B$7:$B$70)</f>
        <v>0</v>
      </c>
      <c r="Y39" s="80">
        <f>SUMIF(Tim!$BQ$7:$BQ$70,Ins!F39,Tim!$B$7:$B$70)+SUMIF(Tim!$BR$7:$BR$70,Ins!F39,Tim!$B$7:$B$70)+SUMIF(Tim!$BS$7:$BS$70,Ins!F39,Tim!$B$7:$B$70)</f>
        <v>0</v>
      </c>
      <c r="Z39" s="80">
        <f>SUMIF(Tim!BT$7:BT$70,Ins!F39,Tim!$B$7:$B$70)</f>
        <v>0</v>
      </c>
      <c r="AA39" s="80">
        <f>SUMIF(Tim!$BU$7:$BU$70,Ins!F39,Tim!$D$7:$D$70)+SUMIF(Tim!$BV$7:$BV$70,Ins!F39,Tim!$D$7:$D$70)+SUMIF(Tim!$BW$7:$BW$70,Ins!F39,Tim!$D$7:$D$70)+SUMIF(Tim!$BX$7:$BX$70,Ins!F39,Tim!$D$7:$D$70)+SUMIF(Tim!$BY$7:$BY$70,Ins!F39,Tim!$D$7:$D$70)+SUMIF(Tim!$BZ$7:$BZ$70,Ins!F39,Tim!$D$7:$D$70)+SUMIF(Tim!$CA$7:$CA$70,Ins!F39,Tim!$D$7:$D$70)+SUMIF(Tim!$CB$7:$CB$70,Ins!F39,Tim!$D$7:$D$70)+SUMIF(Tim!$CC$7:$CC$70,Ins!F39,Tim!$D$7:$D$70)+SUMIF(Tim!$CD$7:$CD$70,Ins!F39,Tim!$D$7:$D$70)+SUMIF(Tim!$CE$7:$CE$70,Ins!F39,Tim!$D$7:$D$70)+SUMIF(Tim!$CF$7:$CF$70,Ins!F39,Tim!$D$7:$D$70)</f>
        <v>0</v>
      </c>
      <c r="AB39" s="80">
        <f>SUMIF(Tim!CG$7:CG$70,Ins!F39,Tim!$C$7:$C$70)</f>
        <v>0</v>
      </c>
      <c r="AC39" s="80">
        <f>SUMIF(Tim!CH$7:CH$70,Ins!F39,Tim!$C$7:$C$70)</f>
        <v>0</v>
      </c>
      <c r="AD39" s="80">
        <f>SUMIF(Tim!CI$7:CI$70,Ins!F39,Tim!$C$7:$C$70)+SUMIF(Tim!CJ$7:CJ$70,Ins!F39,Tim!$C$7:$C$70)+SUMIF(Tim!CK$7:CK$70,Ins!F39,Tim!$C$7:$C$70)</f>
        <v>0</v>
      </c>
      <c r="AE39" s="81">
        <f>SUMIF(Tim!$CL$7:$CL$70,Ins!F39,Tim!$C$7:$C$70)+SUMIF(Tim!$CM$7:$CM$70,Ins!F39,Tim!$C$7:$C$70)+SUMIF(Tim!$CN$7:$CN$70,Ins!F39,Tim!$C$7:$C$70)+SUMIF(Tim!$CO$7:$CO$70,Ins!F39,Tim!$C$7:$C$70)+SUMIF(Tim!$CP$7:$CP$70,Ins!F39,Tim!$C$7:$C$70)</f>
        <v>0</v>
      </c>
      <c r="AF39" s="79">
        <f>SUMIF(Tim!$CQ$7:$CQ$70,Ins!F39,Tim!$B$7:$B$70)</f>
        <v>0</v>
      </c>
      <c r="AG39" s="80">
        <f>SUMIF(Tim!$CR$7:$CR$70,Ins!F39,Tim!$B$7:$B$70)+SUMIF(Tim!$CS$7:$CS$70,Ins!F39,Tim!$B$7:$B$70)+SUMIF(Tim!$CT$7:$CT$70,Ins!F39,Tim!$B$7:$B$70)+SUMIF(Tim!$CU$7:$CU$70,Ins!F39,Tim!$B$7:$B$70)+SUMIF(Tim!$CV$7:$CV$70,Ins!F39,Tim!$B$7:$B$70)+SUMIF(Tim!$CW$7:$CW$70,Ins!F39,Tim!$B$7:$B$70)</f>
        <v>0</v>
      </c>
      <c r="AH39" s="80">
        <f>SUMIF(Tim!$CX$7:$CX$70,Ins!F39,Tim!$B$7:$B$70)+SUMIF(Tim!$CY$7:$CY$70,Ins!F39,Tim!$B$7:$B$70)+SUMIF(Tim!$CZ$7:$CZ$70,Ins!F39,Tim!$B$7:$B$70)</f>
        <v>0</v>
      </c>
      <c r="AI39" s="80">
        <f>SUMIF(Tim!$DA$7:$DA$70,Ins!F39,Tim!$B$7:$B$70)+SUMIF(Tim!$DB$7:$DB$70,Ins!F39,Tim!$B$7:$B$70)+SUMIF(Tim!$DC$7:$DC$70,Ins!F39,Tim!$B$7:$B$70)+SUMIF(Tim!$DD$7:$DD$70,Ins!F39,Tim!$B$7:$B$70)+SUMIF(Tim!$DE$7:$DE$70,Ins!F39,Tim!$B$7:$B$70)</f>
        <v>0</v>
      </c>
      <c r="AJ39" s="80">
        <f>SUMIF(Tim!$DF$7:$DF$70,Ins!F39,Tim!$B$7:$B$70)+SUMIF(Tim!$DG$7:$DG$70,Ins!F39,Tim!$B$7:$B$70)+SUMIF(Tim!$DH$7:$DH$70,Ins!F39,Tim!$B$7:$B$70)</f>
        <v>0</v>
      </c>
      <c r="AK39" s="80">
        <f>SUMIF(Tim!DI$7:DI$70,Ins!F39,Tim!$B$7:$B$70)+SUMIF(Tim!DM$7:DM$70,Ins!F39,Tim!$B$7:$B$70)+SUMIF(Tim!DN$7:DN$70,Ins!F39,Tim!$B$7:$B$70)</f>
        <v>0</v>
      </c>
      <c r="AL39" s="80">
        <f>SUMIF(Tim!DO$7:DO$70,Ins!F39,Tim!$B$7:$B$70)</f>
        <v>0</v>
      </c>
      <c r="AM39" s="80">
        <f>SUMIF(Tim!$DP$7:$DP$70,Ins!F39,Tim!$D$7:$D$70)+SUMIF(Tim!$DQ$7:$DQ$70,Ins!F39,Tim!$D$7:$D$70)+SUMIF(Tim!$DR$7:$DR$70,Ins!F39,Tim!$D$7:$D$70)+SUMIF(Tim!$DS$7:$DS$70,Ins!F39,Tim!$D$7:$D$70)+SUMIF(Tim!$DT$7:$DT$70,Ins!F39,Tim!$D$7:$D$70)+SUMIF(Tim!$DU$7:$DU$70,Ins!F39,Tim!$D$7:$D$70)+SUMIF(Tim!$DV$7:$DV$70,Ins!F39,Tim!$D$7:$D$70)+SUMIF(Tim!$DW$7:$DW$70,Ins!F39,Tim!$D$7:$D$70)+SUMIF(Tim!$DX$7:$DX$70,Ins!F39,Tim!$D$7:$D$70)+SUMIF(Tim!$DY$7:$DY$70,Ins!F39,Tim!$D$7:$D$70)+SUMIF(Tim!$DZ$7:$DZ$70,Ins!F39,Tim!$D$7:$D$70)+SUMIF(Tim!$EA$7:$EA$70,Ins!F39,Tim!$D$7:$D$70)</f>
        <v>0</v>
      </c>
      <c r="AN39" s="80">
        <f>SUMIF(Tim!EB$7:EB$70,Ins!F39,Tim!$C$7:$C$70)</f>
        <v>0</v>
      </c>
      <c r="AO39" s="80">
        <f>SUMIF(Tim!EC$7:EC$70,Ins!F39,Tim!$C$7:$C$70)</f>
        <v>0</v>
      </c>
      <c r="AP39" s="80">
        <f>SUMIF(Tim!ED$7:ED$70,Ins!F39,Tim!$C$7:$C$70)+SUMIF(Tim!EE$7:EE$70,Ins!F39,Tim!$C$7:$C$70)+SUMIF(Tim!EF$7:EF$70,Ins!F39,Tim!$C$7:$C$70)</f>
        <v>0</v>
      </c>
      <c r="AQ39" s="81">
        <f>SUMIF(Tim!$EG$7:$EG$70,Ins!F39,Tim!$C$7:$C$70)+SUMIF(Tim!$EH$7:$EH$70,Ins!F39,Tim!$C$7:$C$70)+SUMIF(Tim!$EI$7:$EI$70,Ins!F39,Tim!$C$7:$C$70)+SUMIF(Tim!$EJ$7:$EJ$70,Ins!F39,Tim!$C$7:$C$70)+SUMIF(Tim!$EK$7:$EK$70,Ins!F39,Tim!$C$7:$C$70)</f>
        <v>1</v>
      </c>
      <c r="AR39" s="79">
        <f>SUMIF(Tim!$EL$5:$EL$70,Ins!F39,Tim!$B$5:$B$70)</f>
        <v>0</v>
      </c>
      <c r="AS39" s="80">
        <f>SUMIF(Tim!$EM$5:$EM$70,Ins!F39,Tim!$B$5:$B$70)+SUMIF(Tim!$EN$5:$EN$70,Ins!F39,Tim!$B$5:$B$70)+SUMIF(Tim!$EO$5:$EO$70,Ins!F39,Tim!$B$5:$B$70)+SUMIF(Tim!$EP$5:$EP$70,Ins!F39,Tim!$B$5:$B$70)+SUMIF(Tim!$EQ$5:$EQ$70,Ins!F39,Tim!$B$5:$B$70)+SUMIF(Tim!$ER$5:$ER$70,Ins!F39,Tim!$B$5:$B$70)</f>
        <v>0</v>
      </c>
      <c r="AT39" s="80">
        <f>SUMIF(Tim!$ES$5:$ES$70,Ins!F39,Tim!$B$5:$B$70)+SUMIF(Tim!$ET$5:$ET$70,Ins!F39,Tim!$B$5:$B$70)+SUMIF(Tim!$EU$5:$EU$70,Ins!F39,Tim!$B$5:$B$70)</f>
        <v>0</v>
      </c>
      <c r="AU39" s="80">
        <f>SUMIF(Tim!$EV$5:$EV$70,Ins!F39,Tim!$B$5:$B$70)+SUMIF(Tim!$EW$5:$EW$70,Ins!F39,Tim!$B$5:$B$70)+SUMIF(Tim!$EX$5:$EX$70,Ins!F39,Tim!$B$5:$B$70)+SUMIF(Tim!$EY$5:$EY$70,Ins!F39,Tim!$B$5:$B$70)+SUMIF(Tim!$EZ$5:$EZ$70,Ins!F39,Tim!$B$5:$B$70)</f>
        <v>0</v>
      </c>
      <c r="AV39" s="80">
        <f>SUMIF(Tim!$FA$5:$FA$70,Ins!F39,Tim!$B$5:$B$70)+SUMIF(Tim!$FB$5:$FB$70,Ins!F39,Tim!$B$5:$B$70)+SUMIF(Tim!$FC$5:$FC$70,Ins!F39,Tim!$B$5:$B$70)</f>
        <v>0</v>
      </c>
      <c r="AW39" s="80">
        <f>SUMIF(Tim!FD$5:FD$70,Ins!F39,Tim!$B$5:$B$70)+SUMIF(Tim!FE$5:FE$70,Ins!F39,Tim!$B$5:$B$70)+SUMIF(Tim!FF$5:FF$70,Ins!F39,Tim!$B$5:$B$70)</f>
        <v>0</v>
      </c>
      <c r="AX39" s="80">
        <f>SUMIF(Tim!FG$5:FG$70,Ins!F39,Tim!$B$5:$B$70)</f>
        <v>0</v>
      </c>
      <c r="AY39" s="80">
        <f>SUMIF(Tim!$FH$5:$FH$70,Ins!F39,Tim!$D$5:$D$70)+SUMIF(Tim!$FI$5:$FI$70,Ins!F39,Tim!$D$5:$D$70)+SUMIF(Tim!$FJ$5:$FJ$70,Ins!F39,Tim!$D$5:$D$70)+SUMIF(Tim!$FK$5:$FK$70,Ins!F39,Tim!$D$5:$D$70)+SUMIF(Tim!$FL$5:$FL$70,Ins!F39,Tim!$D$5:$D$70)+SUMIF(Tim!$FM$5:$FM$70,Ins!F39,Tim!$D$5:$D$70)+SUMIF(Tim!$FN$5:$FN$70,Ins!F39,Tim!$D$5:$D$70)+SUMIF(Tim!$FO$5:$FO$70,Ins!F39,Tim!$D$5:$D$70)+SUMIF(Tim!$FP$5:$FP$70,Ins!F39,Tim!$D$5:$D$70)+SUMIF(Tim!$FQ$5:$FQ$70,Ins!F39,Tim!$D$5:$D$70)+SUMIF(Tim!$FR$5:$FR$70,Ins!F39,Tim!$D$5:$D$70)+SUMIF(Tim!$FS$5:$FS$70,Ins!F39,Tim!$D$5:$D$70)</f>
        <v>0</v>
      </c>
      <c r="AZ39" s="80">
        <f>SUMIF(Tim!FT$5:FT$70,Ins!F39,Tim!$C$5:$C$70)</f>
        <v>0</v>
      </c>
      <c r="BA39" s="80">
        <f>SUMIF(Tim!FU$5:FU$70,Ins!F39,Tim!$C$5:$C$70)</f>
        <v>0</v>
      </c>
      <c r="BB39" s="80">
        <f>SUMIF(Tim!FV$5:FV$70,Ins!F39,Tim!$C$5:$C$70)+SUMIF(Tim!FW$5:FW$70,Ins!F39,Tim!$C$5:$C$70)+SUMIF(Tim!FX$5:FX$70,Ins!F39,Tim!$C$5:$C$70)</f>
        <v>0</v>
      </c>
      <c r="BC39" s="81">
        <f>SUMIF(Tim!$FY$5:$FY$70,Ins!F39,Tim!$C$5:$C$70)+SUMIF(Tim!$FZ$5:$FZ$70,Ins!F39,Tim!$C$5:$C$70)+SUMIF(Tim!$GA$5:$GA$70,Ins!F39,Tim!$C$5:$C$70)+SUMIF(Tim!$GB$5:$GB$70,Ins!F39,Tim!$C$5:$C$70)+SUMIF(Tim!$GC$5:$GC$70,Ins!F39,Tim!$C$5:$C$70)</f>
        <v>0</v>
      </c>
      <c r="BD39" s="79">
        <f>SUMIF(Tim!$GD$5:$GD$70,Ins!F39,Tim!$B$5:$B$70)</f>
        <v>0</v>
      </c>
      <c r="BE39" s="80">
        <f>SUMIF(Tim!$GE$5:$GE$70,Ins!F39,Tim!$B$5:$B$70)+SUMIF(Tim!$GF$5:$GF$70,Ins!F39,Tim!$B$5:$B$70)+SUMIF(Tim!$GG$5:$GG$70,Ins!F39,Tim!$B$5:$B$70)+SUMIF(Tim!$GH$5:$GH$70,Ins!F39,Tim!$B$5:$B$70)+SUMIF(Tim!$GI$5:$GI$70,Ins!F39,Tim!$B$5:$B$70)+SUMIF(Tim!$GJ$5:$GJ$70,Ins!F39,Tim!$B$5:$B$70)</f>
        <v>0</v>
      </c>
      <c r="BF39" s="80">
        <f>SUMIF(Tim!$GK$5:$GK$70,Ins!F39,Tim!$B$5:$B$70)+SUMIF(Tim!$GL$5:$GL$70,Ins!F39,Tim!$B$5:$B$70)+SUMIF(Tim!$GM$5:$GM$70,Ins!F39,Tim!$B$5:$B$70)</f>
        <v>0</v>
      </c>
      <c r="BG39" s="80">
        <f>SUMIF(Tim!$GN$5:$GN$70,Ins!F39,Tim!$B$5:$B$70)+SUMIF(Tim!$GO$5:$GO$70,Ins!F39,Tim!$B$5:$B$70)+SUMIF(Tim!$GP$5:$GP$70,Ins!F39,Tim!$B$5:$B$70)+SUMIF(Tim!$GQ$5:$GQ$70,Ins!F39,Tim!$B$5:$B$70)+SUMIF(Tim!$GR$5:$GR$70,Ins!F39,Tim!$B$5:$B$70)</f>
        <v>0</v>
      </c>
      <c r="BH39" s="80">
        <f>SUMIF(Tim!$GS$5:$GS$70,Ins!F39,Tim!$B$5:$B$70)+SUMIF(Tim!$GT$5:$GT$70,Ins!F39,Tim!$B$5:$B$70)+SUMIF(Tim!$GU$5:$GU$70,Ins!F39,Tim!$B$5:$B$70)</f>
        <v>0</v>
      </c>
      <c r="BI39" s="80">
        <f>SUMIF(Tim!GV$5:GV$70,Ins!F39,Tim!$B$5:$B$70)+SUMIF(Tim!GW$5:GW$70,Ins!F39,Tim!$B$5:$B$70)+SUMIF(Tim!GX$5:GX$70,Ins!F39,Tim!$B$5:$B$70)</f>
        <v>0</v>
      </c>
      <c r="BJ39" s="80">
        <f>SUMIF(Tim!GY$5:GY$70,Ins!F39,Tim!$B$5:$B$70)</f>
        <v>0</v>
      </c>
      <c r="BK39" s="80">
        <f>SUMIF(Tim!$GZ$5:$GZ$70,Ins!F39,Tim!$D$5:$D$70)+SUMIF(Tim!$HA$5:$HA$70,Ins!F39,Tim!$D$5:$D$70)+SUMIF(Tim!$HB$5:$HB$70,Ins!F39,Tim!$D$5:$D$70)++SUMIF(Tim!$HC$5:$HC$70,Ins!F39,Tim!$D$5:$D$70)+SUMIF(Tim!$HD$5:$HD$70,Ins!F39,Tim!$D$5:$D$70)+SUMIF(Tim!$HE$5:$HE$70,Ins!F39,Tim!$D$5:$D$70)+SUMIF(Tim!$HF$5:$HF$70,Ins!F39,Tim!$D$5:$D$70)+SUMIF(Tim!$HG$5:$HG$70,Ins!F39,Tim!$D$5:$D$70)+SUMIF(Tim!$HH$5:$HH$70,Ins!F39,Tim!$D$5:$D$70)+SUMIF(Tim!$HI$5:$HI$70,Ins!F39,Tim!$D$5:$D$70)+SUMIF(Tim!$HJ$5:$HJ$70,Ins!F39,Tim!$D$5:$D$70)+SUMIF(Tim!$HK$5:$HK$70,Ins!F39,Tim!$D$5:$D$70)</f>
        <v>0</v>
      </c>
      <c r="BL39" s="80">
        <f>SUMIF(Tim!HL$5:HL$70,Ins!F39,Tim!$C$5:$C$70)</f>
        <v>0</v>
      </c>
      <c r="BM39" s="80">
        <f>SUMIF(Tim!HM$5:HM$70,Ins!F39,Tim!$C$5:$C$70)</f>
        <v>0</v>
      </c>
      <c r="BN39" s="80">
        <f>SUMIF(Tim!HN$5:HN$70,Ins!F39,Tim!$C$5:$C$70)+SUMIF(Tim!HO$5:HO$70,Ins!F39,Tim!$C$5:$C$70)+SUMIF(Tim!HP$5:HP$70,Ins!F39,Tim!$C$5:$C$70)</f>
        <v>0</v>
      </c>
      <c r="BO39" s="81">
        <f>SUMIF(Tim!$HQ$5:$HQ$70,Ins!F39,Tim!$C$5:$C$70)+SUMIF(Tim!$HR$5:$HR$70,Ins!F39,Tim!$C$5:$C$70)+SUMIF(Tim!$HS$5:$HS$70,Ins!F39,Tim!$C$5:$C$70)+SUMIF(Tim!$HT$5:$HT$70,Ins!F39,Tim!$C$5:$C$70)+SUMIF(Tim!$HU$5:$HU$70,Ins!F39,Tim!$C$5:$C$70)</f>
        <v>0</v>
      </c>
      <c r="BP39" s="79">
        <f>SUMIF(Tim!$HV$7:$HV$70,Ins!F39,Tim!$B$7:$B$70)</f>
        <v>0</v>
      </c>
      <c r="BQ39" s="80">
        <f>SUMIF(Tim!$HW$7:$HW$70,Ins!F39,Tim!$B$7:$B$70)+SUMIF(Tim!$HX$7:$HX$70,Ins!F39,Tim!$B$7:$B$70)+SUMIF(Tim!$HY$7:$HY$70,Ins!F39,Tim!$B$7:$B$70)+SUMIF(Tim!$HZ$7:$HZ$70,Ins!F39,Tim!$B$7:$B$70)+SUMIF(Tim!$IA$7:$IA$70,Ins!F39,Tim!$B$7:$B$70)+SUMIF(Tim!$IB$7:$IB$70,Ins!F39,Tim!$B$7:$B$70)</f>
        <v>0</v>
      </c>
      <c r="BR39" s="80">
        <f>SUMIF(Tim!$IC$7:$IC$70,Ins!F39,Tim!$B$7:$B$70)+SUMIF(Tim!$ID$7:$ID$70,Ins!F39,Tim!$B$7:$B$70)+SUMIF(Tim!$IE$7:$IE$70,Ins!F39,Tim!$B$7:$B$70)</f>
        <v>0</v>
      </c>
      <c r="BS39" s="80">
        <f>SUMIF(Tim!$IF$7:$IF$70,Ins!F39,Tim!$B$7:$B$70)+SUMIF(Tim!$IG$7:$IG$70,Ins!F39,Tim!$B$7:$B$70)+SUMIF(Tim!$IH$7:$IH$70,Ins!F39,Tim!$B$7:$B$70)+SUMIF(Tim!$II$7:$II$70,Ins!F39,Tim!$B$7:$B$70)+SUMIF(Tim!$IJ$7:$IJ$70,Ins!F39,Tim!$B$7:$B$70)</f>
        <v>0</v>
      </c>
      <c r="BT39" s="80">
        <f>SUMIF(Tim!$IK$7:$IK$70,Ins!F39,Tim!$B$7:$B$70)+SUMIF(Tim!$IL$7:$IL$70,Ins!F39,Tim!$B$7:$B$70)+SUMIF(Tim!$IM$7:$IM$70,Ins!F39,Tim!$B$7:$B$70)</f>
        <v>0</v>
      </c>
      <c r="BU39" s="80">
        <f>SUMIF(Tim!$IN$7:$IN$70,Ins!F39,Tim!$B$7:$B$70)+SUMIF(Tim!$IO$7:$IO$70,Ins!F39,Tim!$B$7:$B$70)+SUMIF(Tim!$IP$7:$IP$70,Ins!F39,Tim!$B$7:$B$70)</f>
        <v>0</v>
      </c>
      <c r="BV39" s="80">
        <f>SUMIF(Tim!$IQ$7:$IQ$70,Ins!F39,Tim!$B$7:$B$70)</f>
        <v>0</v>
      </c>
      <c r="BW39" s="80">
        <f>SUMIF(Tim!$IR$7:$IR$70,Ins!F39,Tim!$D$7:$D$70)+SUMIF(Tim!$IS$7:$IS$70,Ins!F39,Tim!$D$7:$D$70)+SUMIF(Tim!$IT$7:$IT$70,Ins!F39,Tim!$D$7:$D$70)+SUMIF(Tim!$IU$7:$IU$70,Ins!F39,Tim!$D$7:$D$70)+SUMIF(Tim!$IV$7:$IV$70,Ins!F39,Tim!$D$7:$D$70)+SUMIF(Tim!$IW$7:$IW$70,Ins!F39,Tim!$D$7:$D$70)+SUMIF(Tim!$IX$7:$IX$70,Ins!F39,Tim!$D$7:$D$70)+SUMIF(Tim!$IY$7:$IY$70,Ins!F39,Tim!$D$7:$D$70)+SUMIF(Tim!$IZ$7:$IZ$70,Ins!F39,Tim!$D$7:$D$70)+SUMIF(Tim!$JA$7:$JA$70,Ins!F39,Tim!$D$7:$D$70)+SUMIF(Tim!$JB$7:$JB$70,Ins!F39,Tim!$D$7:$D$70)+SUMIF(Tim!$JC$7:$JC$70,Ins!F39,Tim!$D$7:$D$70)</f>
        <v>0</v>
      </c>
      <c r="BX39" s="80">
        <f>SUMIF(Tim!JD$7:JD$70,Ins!F39,Tim!$C$7:$C$70)</f>
        <v>0</v>
      </c>
      <c r="BY39" s="80">
        <f>SUMIF(Tim!JE$7:JE$70,Ins!F39,Tim!$C$7:$C$70)</f>
        <v>0</v>
      </c>
      <c r="BZ39" s="80">
        <f>SUMIF(Tim!JF$7:JF$70,Ins!F39,Tim!$C$7:$C$70)+SUMIF(Tim!JG$7:JG$70,Ins!F39,Tim!$C$7:$C$70)+SUMIF(Tim!JH$7:JH$70,Ins!F39,Tim!$C$7:$C$70)</f>
        <v>0</v>
      </c>
      <c r="CA39" s="81">
        <f>SUMIF(Tim!$JI$7:$JI$70,Ins!F39,Tim!$C$7:$C$70)++SUMIF(Tim!$JJ$7:$JJ$70,Ins!F39,Tim!$C$7:$C$70)+SUMIF(Tim!$JK$7:$JK$70,Ins!F39,Tim!$C$7:$C$70)+SUMIF(Tim!$JL$7:$JL$70,Ins!F39,Tim!$C$7:$C$70)+SUMIF(Tim!$JM$7:$JM$70,Ins!F39,Tim!$C$7:$C$70)</f>
        <v>0</v>
      </c>
      <c r="CB39" s="79">
        <f>SUMIF(Tim!$JN$7:$JN$70,Ins!F39,Tim!$B$7:$B$70)</f>
        <v>0</v>
      </c>
      <c r="CC39" s="80">
        <f>SUMIF(Tim!$JO$7:$JO$70,Ins!F39,Tim!$B$7:$B$70)+SUMIF(Tim!$JP$7:$JP$70,Ins!F39,Tim!$B$7:$B$70)+SUMIF(Tim!$JQ$7:$JQ$70,Ins!F39,Tim!$B$7:$B$70)+SUMIF(Tim!$JR$7:$JR$70,Ins!F39,Tim!$B$7:$B$70)+SUMIF(Tim!$JS$7:$JS$70,Ins!F39,Tim!$B$7:$B$70)+SUMIF(Tim!$JT$7:$JT$70,Ins!F39,Tim!$B$7:$B$70)</f>
        <v>0</v>
      </c>
      <c r="CD39" s="80">
        <f>SUMIF(Tim!$JW$7:$JW$70,Ins!F39,Tim!$B$7:$B$70)+SUMIF(Tim!$JU$7:$JU$70,Ins!F39,Tim!$B$7:$B$70)+SUMIF(Tim!$JV$7:$JV$70,Ins!F39,Tim!$B$7:$B$70)</f>
        <v>0</v>
      </c>
      <c r="CE39" s="80">
        <f>SUMIF(Tim!$JX$7:$JX$70,Ins!F39,Tim!$B$7:$B$70)+SUMIF(Tim!$JY$7:$JY$70,Ins!F39,Tim!$B$7:$B$70)+SUMIF(Tim!$JZ$7:$JZ$70,Ins!F39,Tim!$B$7:$B$70)+SUMIF(Tim!$KA$7:$KA$70,Ins!F39,Tim!$B$7:$B$70)+SUMIF(Tim!$KB$7:$KB$70,Ins!F39,Tim!$B$7:$B$70)</f>
        <v>0</v>
      </c>
      <c r="CF39" s="80">
        <f>SUMIF(Tim!$KE$7:$KE$70,Ins!F39,Tim!$B$7:$B$70)+SUMIF(Tim!$KC$7:$KC$70,Ins!F39,Tim!$B$7:$B$70)+SUMIF(Tim!$KD$7:$KD$70,Ins!F39,Tim!$B$7:$B$70)</f>
        <v>0</v>
      </c>
      <c r="CG39" s="80">
        <f>SUMIF(Tim!$KF$7:$KF$70,Ins!F39,Tim!$B$7:$B$70)+SUMIF(Tim!$KG$7:$KG$70,Ins!F39,Tim!$B$7:$B$70)+SUMIF(Tim!$KH$7:$KH$70,Ins!F39,Tim!$B$7:$B$70)</f>
        <v>0</v>
      </c>
      <c r="CH39" s="80">
        <f>SUMIF(Tim!$KI$7:$KI$70,Ins!F39,Tim!$B$7:$B$70)</f>
        <v>0</v>
      </c>
      <c r="CI39" s="80">
        <f>SUMIF(Tim!$KJ$7:$KJ$70,Ins!F39,Tim!$D$7:$D$70)+SUMIF(Tim!$KK$7:$KK$70,Ins!F39,Tim!$D$7:$D$70)+SUMIF(Tim!$KL$7:$KL$70,Ins!F39,Tim!$D$7:$D$70)+SUMIF(Tim!$KM$7:$KM$70,Ins!F39,Tim!$D$7:$D$70)+SUMIF(Tim!$KN$7:$KN$70,Ins!F39,Tim!$D$7:$D$70)+SUMIF(Tim!$KO$7:$KO$70,Ins!F39,Tim!$D$7:$D$70)+SUMIF(Tim!$KP$7:$KP$70,Ins!F39,Tim!$D$7:$D$70)+SUMIF(Tim!$KQ$7:$KQ$70,Ins!F39,Tim!$D$7:$D$70)+SUMIF(Tim!$KR$7:$KR$70,Ins!F39,Tim!$D$7:$D$70)+SUMIF(Tim!$KS$7:$KS$70,Ins!F39,Tim!$D$7:$D$70)+SUMIF(Tim!$KT$7:$KT$70,Ins!F39,Tim!$D$7:$D$70)+SUMIF(Tim!$KU$7:$KU$70,Ins!F39,Tim!$D$7:$D$70)</f>
        <v>0</v>
      </c>
      <c r="CJ39" s="80">
        <f>SUMIF(Tim!KV$7:KV$70,Ins!F39,Tim!$C$7:$C$70)</f>
        <v>0</v>
      </c>
      <c r="CK39" s="80">
        <f>SUMIF(Tim!KW$7:KW$70,Ins!F39,Tim!$C$7:$C$70)</f>
        <v>0</v>
      </c>
      <c r="CL39" s="80">
        <f>SUMIF(Tim!KX$7:KX$70,Ins!F39,Tim!$C$7:$C$70)+SUMIF(Tim!KY$7:KY$70,Ins!F39,Tim!$C$7:$C$70)+SUMIF(Tim!KZ$7:KZ$70,Ins!F39,Tim!$C$7:$C$70)</f>
        <v>0</v>
      </c>
      <c r="CM39" s="81">
        <f>SUMIF(Tim!$LA$7:$LA$70,Ins!F39,Tim!$C$7:$C$70)+SUMIF(Tim!$LB$7:$LB$70,Ins!F39,Tim!$C$7:$C$70)+SUMIF(Tim!$LC$7:$LC$70,Ins!F39,Tim!$C$7:$C$70)+SUMIF(Tim!$LD$7:$LD$70,Ins!F39,Tim!$C$7:$C$70)+SUMIF(Tim!$LE$7:$LE$70,Ins!F39,Tim!$C$7:$C$70)</f>
        <v>0</v>
      </c>
      <c r="CN39" s="22"/>
      <c r="CO39" s="180">
        <f t="shared" si="158"/>
        <v>0</v>
      </c>
      <c r="CP39" s="179">
        <f t="shared" si="159"/>
        <v>0</v>
      </c>
      <c r="CQ39" s="179">
        <f t="shared" si="160"/>
        <v>0</v>
      </c>
      <c r="CR39" s="179">
        <f t="shared" si="161"/>
        <v>0</v>
      </c>
      <c r="CS39" s="179">
        <f t="shared" si="162"/>
        <v>0</v>
      </c>
      <c r="CT39" s="179">
        <f t="shared" si="163"/>
        <v>0</v>
      </c>
      <c r="CU39" s="179">
        <f t="shared" si="164"/>
        <v>0</v>
      </c>
      <c r="CV39" s="179">
        <f t="shared" si="165"/>
        <v>0</v>
      </c>
      <c r="CW39" s="179">
        <f t="shared" si="166"/>
        <v>0</v>
      </c>
      <c r="CX39" s="179">
        <f t="shared" si="167"/>
        <v>0</v>
      </c>
      <c r="CY39" s="179">
        <f t="shared" si="172"/>
        <v>0</v>
      </c>
      <c r="CZ39" s="179">
        <f t="shared" si="173"/>
        <v>1</v>
      </c>
      <c r="DA39" s="78">
        <f t="shared" si="174"/>
        <v>1</v>
      </c>
      <c r="DB39" s="36"/>
      <c r="DC39" s="34">
        <f t="shared" si="170"/>
        <v>0</v>
      </c>
      <c r="DD39" s="34">
        <f t="shared" si="15"/>
        <v>0</v>
      </c>
      <c r="DE39" s="34">
        <f t="shared" si="16"/>
        <v>1</v>
      </c>
      <c r="DF39" s="34">
        <f t="shared" si="20"/>
        <v>0</v>
      </c>
      <c r="DG39" s="34">
        <f t="shared" si="17"/>
        <v>0</v>
      </c>
      <c r="DH39" s="34">
        <f t="shared" si="18"/>
        <v>0</v>
      </c>
      <c r="DI39" s="34">
        <f t="shared" si="19"/>
        <v>0</v>
      </c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7"/>
    </row>
    <row r="40" spans="1:125" s="33" customFormat="1" ht="12" customHeight="1">
      <c r="A40" s="10">
        <v>38</v>
      </c>
      <c r="B40" s="24" t="s">
        <v>464</v>
      </c>
      <c r="C40" s="234"/>
      <c r="D40" s="28"/>
      <c r="E40" s="28" t="s">
        <v>373</v>
      </c>
      <c r="F40" s="185" t="s">
        <v>463</v>
      </c>
      <c r="G40" s="205" t="s">
        <v>191</v>
      </c>
      <c r="H40" s="79">
        <f>SUMIF(Tim!$F$7:$F$70,Ins!F40,Tim!$B$7:$B$70)</f>
        <v>0</v>
      </c>
      <c r="I40" s="80">
        <f>SUMIF(Tim!$G$7:$G$70,Ins!F40,Tim!$B$7:$B$70)+SUMIF(Tim!$H$7:$H$70,Ins!F40,Tim!$B$7:$B$70)+SUMIF(Tim!$I$7:$I$70,Ins!F40,Tim!$B$7:$B$70)+SUMIF(Tim!$J$7:$J$70,Ins!F40,Tim!$B$7:$B$70)+SUMIF(Tim!$K$7:$K$70,Ins!F40,Tim!$B$7:$B$70)+SUMIF(Tim!$L$7:$L$70,Ins!F40,Tim!$B$7:$B$70)</f>
        <v>0</v>
      </c>
      <c r="J40" s="80">
        <f>SUMIF(Tim!$M$7:$M$70,Ins!F40,Tim!$B$7:$B$70)+SUMIF(Tim!$O$7:$O$70,Ins!F40,Tim!$B$7:$B$70)+SUMIF(Tim!$N$7:$N$70,Ins!F40,Tim!$B$7:$B$70)</f>
        <v>0</v>
      </c>
      <c r="K40" s="80">
        <f>SUMIF(Tim!$P$7:$P$70,Ins!F40,Tim!$B$7:$B$70)+SUMIF(Tim!$Q$7:$Q$70,Ins!F40,Tim!$B$7:$B$70)+SUMIF(Tim!$R$7:$R$70,Ins!F40,Tim!$B$7:$B$70)+SUMIF(Tim!$S$7:$S$70,Ins!F40,Tim!$B$7:$B$70)+SUMIF(Tim!$T$7:$T$70,Ins!F40,Tim!$B$7:$B$70)</f>
        <v>0</v>
      </c>
      <c r="L40" s="80">
        <f>SUMIF(Tim!$U$7:$U$70,Ins!F40,Tim!$B$7:$B$70)+SUMIF(Tim!$W$7:$W$70,Ins!F40,Tim!$B$7:$B$70)+SUMIF(Tim!$X$7:$X$70,Ins!F40,Tim!$B$7:$B$70)</f>
        <v>0</v>
      </c>
      <c r="M40" s="80">
        <f>SUMIF(Tim!$Y$7:$Y$70,Ins!F40,Tim!$B$7:$B$70)+SUMIF(Tim!$Z$7:$Z$70,Ins!F40,Tim!$B$7:$B$70)+SUMIF(Tim!$AA$7:$AA$70,Ins!F40,Tim!$B$7:$B$70)</f>
        <v>0</v>
      </c>
      <c r="N40" s="80">
        <f>SUMIF(Tim!$AB$7:$AB$70,Ins!F40,Tim!$B$7:$B$70)</f>
        <v>0</v>
      </c>
      <c r="O40" s="80">
        <f>SUMIF(Tim!$AC$7:$AC$70,Ins!F40,Tim!$D$7:$D$70)+SUMIF(Tim!$AD$7:$AD$70,Ins!F40,Tim!$D$7:$D$70)+SUMIF(Tim!$AE$7:$AE$70,Ins!F40,Tim!$D$7:$D$70)+SUMIF(Tim!$AF$7:$AF$70,Ins!F40,Tim!$D$7:$D$70)+SUMIF(Tim!$AG$7:$AG$70,Ins!F40,Tim!$D$7:$D$70)+SUMIF(Tim!$AH$7:$AH$70,Ins!F40,Tim!$D$7:$D$70)+SUMIF(Tim!$AI$7:$AI$70,Ins!F40,Tim!$D$7:$D$70)+SUMIF(Tim!$AJ$7:$AJ$70,Ins!F40,Tim!$D$7:$D$70)+SUMIF(Tim!$AK$7:$AK$70,Ins!F40,Tim!$D$7:$D$70)+SUMIF(Tim!$AL$7:$AL$70,Ins!F40,Tim!$D$7:$D$70)+SUMIF(Tim!$AM$7:$AM$70,Ins!F40,Tim!$D$7:$D$70)+SUMIF(Tim!$AN$7:$AN$70,Ins!F40,Tim!$D$7:$D$70)</f>
        <v>0</v>
      </c>
      <c r="P40" s="80">
        <f>SUMIF(Tim!AO$7:AO$70,Ins!F40,Tim!$C$7:$C$70)</f>
        <v>0</v>
      </c>
      <c r="Q40" s="80">
        <f>SUMIF(Tim!AP$7:AP$70,Ins!F40,Tim!$C$7:$C$70)</f>
        <v>0</v>
      </c>
      <c r="R40" s="80">
        <f>SUMIF(Tim!AQ$7:AQ$70,Ins!F40,Tim!$C$7:$C$70)+SUMIF(Tim!AR$7:AR$70,Ins!F40,Tim!$C$7:$C$70)+SUMIF(Tim!AS$7:AS$70,Ins!F40,Tim!$C$7:$C$70)</f>
        <v>0</v>
      </c>
      <c r="S40" s="236">
        <f>SUMIF(Tim!$AT$7:$AT$70,Ins!F40,Tim!$C$7:$C$70)+SUMIF(Tim!$AU$7:$AU$70,Ins!F40,Tim!$C$7:$C101)+SUMIF(Tim!$AV$7:$AV$70,Ins!F40,Tim!$C$7:$C$70)+SUMIF(Tim!$AW$7:$AW$70,Ins!F40,Tim!$C$7:$C$70)+SUMIF(Tim!$AX$7:$AX$70,Ins!F40,Tim!$C$7:$C$70)</f>
        <v>0</v>
      </c>
      <c r="T40" s="79">
        <f>SUMIF(Tim!$AY$7:$AY$70,Ins!F40,Tim!$B$7:$B$70)</f>
        <v>0</v>
      </c>
      <c r="U40" s="80">
        <f>SUMIF(Tim!$AZ$7:$AZ$70,Ins!F40,Tim!$B$7:$B$70)+SUMIF(Tim!$BA$7:$BA$70,Ins!F40,Tim!$B$7:$B$70)+SUMIF(Tim!$BB$7:$BB$70,Ins!F40,Tim!$B$7:$B$70)+SUMIF(Tim!$BC$7:$BC$70,Ins!F40,Tim!$B$7:$B$70)+SUMIF(Tim!$BD$7:$BD$70,Ins!F40,Tim!$B$7:$B$70)+SUMIF(Tim!$BE$7:$BE$70,Ins!F40,Tim!$B$7:$B$70)</f>
        <v>0</v>
      </c>
      <c r="V40" s="80">
        <f>SUMIF(Tim!$BF$7:$BF$70,Ins!F40,Tim!$B$7:$B$70)+SUMIF(Tim!$BG$7:$BG$70,Ins!F40,Tim!$B$7:$B$70)+SUMIF(Tim!$BH$7:$BH$70,Ins!F40,Tim!$B$7:$B$70)</f>
        <v>0</v>
      </c>
      <c r="W40" s="80">
        <f>SUMIF(Tim!$BI$7:$BI$70,Ins!F40,Tim!$B$7:$B$70)+SUMIF(Tim!$BJ$7:$BJ$70,Ins!F40,Tim!$B$7:$B$70)+SUMIF(Tim!$BK$7:$BK$70,Ins!F40,Tim!$B$7:$B$70)+SUMIF(Tim!$BL$7:$BL$70,Ins!F40,Tim!$B$7:$B$70)+SUMIF(Tim!$BM$7:$BM$70,Ins!F40,Tim!$B$7:$B$70)</f>
        <v>0</v>
      </c>
      <c r="X40" s="80">
        <f>SUMIF(Tim!$BN$7:$BN$70,Ins!F40,Tim!$B$7:$B$70)+SUMIF(Tim!$BO$7:$BO$70,Ins!F40,Tim!$B$7:$B$70)+SUMIF(Tim!$BP$7:$BP$70,Ins!F40,Tim!$B$7:$B$70)</f>
        <v>0</v>
      </c>
      <c r="Y40" s="80">
        <f>SUMIF(Tim!$BQ$7:$BQ$70,Ins!F40,Tim!$B$7:$B$70)+SUMIF(Tim!$BR$7:$BR$70,Ins!F40,Tim!$B$7:$B$70)+SUMIF(Tim!$BS$7:$BS$70,Ins!F40,Tim!$B$7:$B$70)</f>
        <v>0</v>
      </c>
      <c r="Z40" s="80">
        <f>SUMIF(Tim!BT$7:BT$70,Ins!F40,Tim!$B$7:$B$70)</f>
        <v>0</v>
      </c>
      <c r="AA40" s="80">
        <f>SUMIF(Tim!$BU$7:$BU$70,Ins!F40,Tim!$D$7:$D$70)+SUMIF(Tim!$BV$7:$BV$70,Ins!F40,Tim!$D$7:$D$70)+SUMIF(Tim!$BW$7:$BW$70,Ins!F40,Tim!$D$7:$D$70)+SUMIF(Tim!$BX$7:$BX$70,Ins!F40,Tim!$D$7:$D$70)+SUMIF(Tim!$BY$7:$BY$70,Ins!F40,Tim!$D$7:$D$70)+SUMIF(Tim!$BZ$7:$BZ$70,Ins!F40,Tim!$D$7:$D$70)+SUMIF(Tim!$CA$7:$CA$70,Ins!F40,Tim!$D$7:$D$70)+SUMIF(Tim!$CB$7:$CB$70,Ins!F40,Tim!$D$7:$D$70)+SUMIF(Tim!$CC$7:$CC$70,Ins!F40,Tim!$D$7:$D$70)+SUMIF(Tim!$CD$7:$CD$70,Ins!F40,Tim!$D$7:$D$70)+SUMIF(Tim!$CE$7:$CE$70,Ins!F40,Tim!$D$7:$D$70)+SUMIF(Tim!$CF$7:$CF$70,Ins!F40,Tim!$D$7:$D$70)</f>
        <v>0</v>
      </c>
      <c r="AB40" s="80">
        <f>SUMIF(Tim!CG$7:CG$70,Ins!F40,Tim!$C$7:$C$70)</f>
        <v>0</v>
      </c>
      <c r="AC40" s="80">
        <f>SUMIF(Tim!CH$7:CH$70,Ins!F40,Tim!$C$7:$C$70)</f>
        <v>0</v>
      </c>
      <c r="AD40" s="80">
        <f>SUMIF(Tim!CI$7:CI$70,Ins!F40,Tim!$C$7:$C$70)+SUMIF(Tim!CJ$7:CJ$70,Ins!F40,Tim!$C$7:$C$70)+SUMIF(Tim!CK$7:CK$70,Ins!F40,Tim!$C$7:$C$70)</f>
        <v>0</v>
      </c>
      <c r="AE40" s="81">
        <f>SUMIF(Tim!$CL$7:$CL$70,Ins!F40,Tim!$C$7:$C$70)+SUMIF(Tim!$CM$7:$CM$70,Ins!F40,Tim!$C$7:$C$70)+SUMIF(Tim!$CN$7:$CN$70,Ins!F40,Tim!$C$7:$C$70)+SUMIF(Tim!$CO$7:$CO$70,Ins!F40,Tim!$C$7:$C$70)+SUMIF(Tim!$CP$7:$CP$70,Ins!F40,Tim!$C$7:$C$70)</f>
        <v>0</v>
      </c>
      <c r="AF40" s="79">
        <f>SUMIF(Tim!$CQ$7:$CQ$70,Ins!F40,Tim!$B$7:$B$70)</f>
        <v>0</v>
      </c>
      <c r="AG40" s="80">
        <f>SUMIF(Tim!$CR$7:$CR$70,Ins!F40,Tim!$B$7:$B$70)+SUMIF(Tim!$CS$7:$CS$70,Ins!F40,Tim!$B$7:$B$70)+SUMIF(Tim!$CT$7:$CT$70,Ins!F40,Tim!$B$7:$B$70)+SUMIF(Tim!$CU$7:$CU$70,Ins!F40,Tim!$B$7:$B$70)+SUMIF(Tim!$CV$7:$CV$70,Ins!F40,Tim!$B$7:$B$70)+SUMIF(Tim!$CW$7:$CW$70,Ins!F40,Tim!$B$7:$B$70)</f>
        <v>0</v>
      </c>
      <c r="AH40" s="80">
        <f>SUMIF(Tim!$CX$7:$CX$70,Ins!F40,Tim!$B$7:$B$70)+SUMIF(Tim!$CY$7:$CY$70,Ins!F40,Tim!$B$7:$B$70)+SUMIF(Tim!$CZ$7:$CZ$70,Ins!F40,Tim!$B$7:$B$70)</f>
        <v>0</v>
      </c>
      <c r="AI40" s="80">
        <f>SUMIF(Tim!$DA$7:$DA$70,Ins!F40,Tim!$B$7:$B$70)+SUMIF(Tim!$DB$7:$DB$70,Ins!F40,Tim!$B$7:$B$70)+SUMIF(Tim!$DC$7:$DC$70,Ins!F40,Tim!$B$7:$B$70)+SUMIF(Tim!$DD$7:$DD$70,Ins!F40,Tim!$B$7:$B$70)+SUMIF(Tim!$DE$7:$DE$70,Ins!F40,Tim!$B$7:$B$70)</f>
        <v>0</v>
      </c>
      <c r="AJ40" s="80">
        <f>SUMIF(Tim!$DF$7:$DF$70,Ins!F40,Tim!$B$7:$B$70)+SUMIF(Tim!$DG$7:$DG$70,Ins!F40,Tim!$B$7:$B$70)+SUMIF(Tim!$DH$7:$DH$70,Ins!F40,Tim!$B$7:$B$70)</f>
        <v>0</v>
      </c>
      <c r="AK40" s="80">
        <f>SUMIF(Tim!DI$7:DI$70,Ins!F40,Tim!$B$7:$B$70)+SUMIF(Tim!DM$7:DM$70,Ins!F40,Tim!$B$7:$B$70)+SUMIF(Tim!DN$7:DN$70,Ins!F40,Tim!$B$7:$B$70)</f>
        <v>0</v>
      </c>
      <c r="AL40" s="80">
        <f>SUMIF(Tim!DO$7:DO$70,Ins!F40,Tim!$B$7:$B$70)</f>
        <v>0</v>
      </c>
      <c r="AM40" s="80">
        <f>SUMIF(Tim!$DP$7:$DP$70,Ins!F40,Tim!$D$7:$D$70)+SUMIF(Tim!$DQ$7:$DQ$70,Ins!F40,Tim!$D$7:$D$70)+SUMIF(Tim!$DR$7:$DR$70,Ins!F40,Tim!$D$7:$D$70)+SUMIF(Tim!$DS$7:$DS$70,Ins!F40,Tim!$D$7:$D$70)+SUMIF(Tim!$DT$7:$DT$70,Ins!F40,Tim!$D$7:$D$70)+SUMIF(Tim!$DU$7:$DU$70,Ins!F40,Tim!$D$7:$D$70)+SUMIF(Tim!$DV$7:$DV$70,Ins!F40,Tim!$D$7:$D$70)+SUMIF(Tim!$DW$7:$DW$70,Ins!F40,Tim!$D$7:$D$70)+SUMIF(Tim!$DX$7:$DX$70,Ins!F40,Tim!$D$7:$D$70)+SUMIF(Tim!$DY$7:$DY$70,Ins!F40,Tim!$D$7:$D$70)+SUMIF(Tim!$DZ$7:$DZ$70,Ins!F40,Tim!$D$7:$D$70)+SUMIF(Tim!$EA$7:$EA$70,Ins!F40,Tim!$D$7:$D$70)</f>
        <v>0</v>
      </c>
      <c r="AN40" s="80">
        <f>SUMIF(Tim!EB$7:EB$70,Ins!F40,Tim!$C$7:$C$70)</f>
        <v>0</v>
      </c>
      <c r="AO40" s="80">
        <f>SUMIF(Tim!EC$7:EC$70,Ins!F40,Tim!$C$7:$C$70)</f>
        <v>0</v>
      </c>
      <c r="AP40" s="80">
        <f>SUMIF(Tim!ED$7:ED$70,Ins!F40,Tim!$C$7:$C$70)+SUMIF(Tim!EE$7:EE$70,Ins!F40,Tim!$C$7:$C$70)+SUMIF(Tim!EF$7:EF$70,Ins!F40,Tim!$C$7:$C$70)</f>
        <v>0</v>
      </c>
      <c r="AQ40" s="81">
        <f>SUMIF(Tim!$EG$7:$EG$70,Ins!F40,Tim!$C$7:$C$70)+SUMIF(Tim!$EH$7:$EH$70,Ins!F40,Tim!$C$7:$C$70)+SUMIF(Tim!$EI$7:$EI$70,Ins!F40,Tim!$C$7:$C$70)+SUMIF(Tim!$EJ$7:$EJ$70,Ins!F40,Tim!$C$7:$C$70)+SUMIF(Tim!$EK$7:$EK$70,Ins!F40,Tim!$C$7:$C$70)</f>
        <v>0</v>
      </c>
      <c r="AR40" s="79">
        <f>SUMIF(Tim!$EL$5:$EL$70,Ins!F40,Tim!$B$5:$B$70)</f>
        <v>0</v>
      </c>
      <c r="AS40" s="80">
        <f>SUMIF(Tim!$EM$5:$EM$70,Ins!F40,Tim!$B$5:$B$70)+SUMIF(Tim!$EN$5:$EN$70,Ins!F40,Tim!$B$5:$B$70)+SUMIF(Tim!$EO$5:$EO$70,Ins!F40,Tim!$B$5:$B$70)+SUMIF(Tim!$EP$5:$EP$70,Ins!F40,Tim!$B$5:$B$70)+SUMIF(Tim!$EQ$5:$EQ$70,Ins!F40,Tim!$B$5:$B$70)+SUMIF(Tim!$ER$5:$ER$70,Ins!F40,Tim!$B$5:$B$70)</f>
        <v>0</v>
      </c>
      <c r="AT40" s="80">
        <f>SUMIF(Tim!$ES$5:$ES$70,Ins!F40,Tim!$B$5:$B$70)+SUMIF(Tim!$ET$5:$ET$70,Ins!F40,Tim!$B$5:$B$70)+SUMIF(Tim!$EU$5:$EU$70,Ins!F40,Tim!$B$5:$B$70)</f>
        <v>0</v>
      </c>
      <c r="AU40" s="80">
        <f>SUMIF(Tim!$EV$5:$EV$70,Ins!F40,Tim!$B$5:$B$70)+SUMIF(Tim!$EW$5:$EW$70,Ins!F40,Tim!$B$5:$B$70)+SUMIF(Tim!$EX$5:$EX$70,Ins!F40,Tim!$B$5:$B$70)+SUMIF(Tim!$EY$5:$EY$70,Ins!F40,Tim!$B$5:$B$70)+SUMIF(Tim!$EZ$5:$EZ$70,Ins!F40,Tim!$B$5:$B$70)</f>
        <v>0</v>
      </c>
      <c r="AV40" s="80">
        <f>SUMIF(Tim!$FA$5:$FA$70,Ins!F40,Tim!$B$5:$B$70)+SUMIF(Tim!$FB$5:$FB$70,Ins!F40,Tim!$B$5:$B$70)+SUMIF(Tim!$FC$5:$FC$70,Ins!F40,Tim!$B$5:$B$70)</f>
        <v>0</v>
      </c>
      <c r="AW40" s="80">
        <f>SUMIF(Tim!FD$5:FD$70,Ins!F40,Tim!$B$5:$B$70)+SUMIF(Tim!FE$5:FE$70,Ins!F40,Tim!$B$5:$B$70)+SUMIF(Tim!FF$5:FF$70,Ins!F40,Tim!$B$5:$B$70)</f>
        <v>0</v>
      </c>
      <c r="AX40" s="80">
        <f>SUMIF(Tim!FG$5:FG$70,Ins!F40,Tim!$B$5:$B$70)</f>
        <v>0</v>
      </c>
      <c r="AY40" s="80">
        <f>SUMIF(Tim!$FH$5:$FH$70,Ins!F40,Tim!$D$5:$D$70)+SUMIF(Tim!$FI$5:$FI$70,Ins!F40,Tim!$D$5:$D$70)+SUMIF(Tim!$FJ$5:$FJ$70,Ins!F40,Tim!$D$5:$D$70)+SUMIF(Tim!$FK$5:$FK$70,Ins!F40,Tim!$D$5:$D$70)+SUMIF(Tim!$FL$5:$FL$70,Ins!F40,Tim!$D$5:$D$70)+SUMIF(Tim!$FM$5:$FM$70,Ins!F40,Tim!$D$5:$D$70)+SUMIF(Tim!$FN$5:$FN$70,Ins!F40,Tim!$D$5:$D$70)+SUMIF(Tim!$FO$5:$FO$70,Ins!F40,Tim!$D$5:$D$70)+SUMIF(Tim!$FP$5:$FP$70,Ins!F40,Tim!$D$5:$D$70)+SUMIF(Tim!$FQ$5:$FQ$70,Ins!F40,Tim!$D$5:$D$70)+SUMIF(Tim!$FR$5:$FR$70,Ins!F40,Tim!$D$5:$D$70)+SUMIF(Tim!$FS$5:$FS$70,Ins!F40,Tim!$D$5:$D$70)</f>
        <v>0</v>
      </c>
      <c r="AZ40" s="80">
        <f>SUMIF(Tim!FT$5:FT$70,Ins!F40,Tim!$C$5:$C$70)</f>
        <v>0</v>
      </c>
      <c r="BA40" s="80">
        <f>SUMIF(Tim!FU$5:FU$70,Ins!F40,Tim!$C$5:$C$70)</f>
        <v>0</v>
      </c>
      <c r="BB40" s="80">
        <f>SUMIF(Tim!FV$5:FV$70,Ins!F40,Tim!$C$5:$C$70)+SUMIF(Tim!FW$5:FW$70,Ins!F40,Tim!$C$5:$C$70)+SUMIF(Tim!FX$5:FX$70,Ins!F40,Tim!$C$5:$C$70)</f>
        <v>0</v>
      </c>
      <c r="BC40" s="81">
        <f>SUMIF(Tim!$FY$5:$FY$70,Ins!F40,Tim!$C$5:$C$70)+SUMIF(Tim!$FZ$5:$FZ$70,Ins!F40,Tim!$C$5:$C$70)+SUMIF(Tim!$GA$5:$GA$70,Ins!F40,Tim!$C$5:$C$70)+SUMIF(Tim!$GB$5:$GB$70,Ins!F40,Tim!$C$5:$C$70)+SUMIF(Tim!$GC$5:$GC$70,Ins!F40,Tim!$C$5:$C$70)</f>
        <v>2</v>
      </c>
      <c r="BD40" s="79">
        <f>SUMIF(Tim!$GD$5:$GD$70,Ins!F40,Tim!$B$5:$B$70)</f>
        <v>0</v>
      </c>
      <c r="BE40" s="80">
        <f>SUMIF(Tim!$GE$5:$GE$70,Ins!F40,Tim!$B$5:$B$70)+SUMIF(Tim!$GF$5:$GF$70,Ins!F40,Tim!$B$5:$B$70)+SUMIF(Tim!$GG$5:$GG$70,Ins!F40,Tim!$B$5:$B$70)+SUMIF(Tim!$GH$5:$GH$70,Ins!F40,Tim!$B$5:$B$70)+SUMIF(Tim!$GI$5:$GI$70,Ins!F40,Tim!$B$5:$B$70)+SUMIF(Tim!$GJ$5:$GJ$70,Ins!F40,Tim!$B$5:$B$70)</f>
        <v>0</v>
      </c>
      <c r="BF40" s="80">
        <f>SUMIF(Tim!$GK$5:$GK$70,Ins!F40,Tim!$B$5:$B$70)+SUMIF(Tim!$GL$5:$GL$70,Ins!F40,Tim!$B$5:$B$70)+SUMIF(Tim!$GM$5:$GM$70,Ins!F40,Tim!$B$5:$B$70)</f>
        <v>0</v>
      </c>
      <c r="BG40" s="80">
        <f>SUMIF(Tim!$GN$5:$GN$70,Ins!F40,Tim!$B$5:$B$70)+SUMIF(Tim!$GO$5:$GO$70,Ins!F40,Tim!$B$5:$B$70)+SUMIF(Tim!$GP$5:$GP$70,Ins!F40,Tim!$B$5:$B$70)+SUMIF(Tim!$GQ$5:$GQ$70,Ins!F40,Tim!$B$5:$B$70)+SUMIF(Tim!$GR$5:$GR$70,Ins!F40,Tim!$B$5:$B$70)</f>
        <v>0</v>
      </c>
      <c r="BH40" s="80">
        <f>SUMIF(Tim!$GS$5:$GS$70,Ins!F40,Tim!$B$5:$B$70)+SUMIF(Tim!$GT$5:$GT$70,Ins!F40,Tim!$B$5:$B$70)+SUMIF(Tim!$GU$5:$GU$70,Ins!F40,Tim!$B$5:$B$70)</f>
        <v>0</v>
      </c>
      <c r="BI40" s="80">
        <f>SUMIF(Tim!GV$5:GV$70,Ins!F40,Tim!$B$5:$B$70)+SUMIF(Tim!GW$5:GW$70,Ins!F40,Tim!$B$5:$B$70)+SUMIF(Tim!GX$5:GX$70,Ins!F40,Tim!$B$5:$B$70)</f>
        <v>0</v>
      </c>
      <c r="BJ40" s="80">
        <f>SUMIF(Tim!GY$5:GY$70,Ins!F40,Tim!$B$5:$B$70)</f>
        <v>0</v>
      </c>
      <c r="BK40" s="80">
        <f>SUMIF(Tim!$GZ$5:$GZ$70,Ins!F40,Tim!$D$5:$D$70)+SUMIF(Tim!$HA$5:$HA$70,Ins!F40,Tim!$D$5:$D$70)+SUMIF(Tim!$HB$5:$HB$70,Ins!F40,Tim!$D$5:$D$70)++SUMIF(Tim!$HC$5:$HC$70,Ins!F40,Tim!$D$5:$D$70)+SUMIF(Tim!$HD$5:$HD$70,Ins!F40,Tim!$D$5:$D$70)+SUMIF(Tim!$HE$5:$HE$70,Ins!F40,Tim!$D$5:$D$70)+SUMIF(Tim!$HF$5:$HF$70,Ins!F40,Tim!$D$5:$D$70)+SUMIF(Tim!$HG$5:$HG$70,Ins!F40,Tim!$D$5:$D$70)+SUMIF(Tim!$HH$5:$HH$70,Ins!F40,Tim!$D$5:$D$70)+SUMIF(Tim!$HI$5:$HI$70,Ins!F40,Tim!$D$5:$D$70)+SUMIF(Tim!$HJ$5:$HJ$70,Ins!F40,Tim!$D$5:$D$70)+SUMIF(Tim!$HK$5:$HK$70,Ins!F40,Tim!$D$5:$D$70)</f>
        <v>0</v>
      </c>
      <c r="BL40" s="80">
        <f>SUMIF(Tim!HL$5:HL$70,Ins!F40,Tim!$C$5:$C$70)</f>
        <v>0</v>
      </c>
      <c r="BM40" s="80">
        <f>SUMIF(Tim!HM$5:HM$70,Ins!F40,Tim!$C$5:$C$70)</f>
        <v>0</v>
      </c>
      <c r="BN40" s="80">
        <f>SUMIF(Tim!HN$5:HN$70,Ins!F40,Tim!$C$5:$C$70)+SUMIF(Tim!HO$5:HO$70,Ins!F40,Tim!$C$5:$C$70)+SUMIF(Tim!HP$5:HP$70,Ins!F40,Tim!$C$5:$C$70)</f>
        <v>0</v>
      </c>
      <c r="BO40" s="81">
        <f>SUMIF(Tim!$HQ$5:$HQ$70,Ins!F40,Tim!$C$5:$C$70)+SUMIF(Tim!$HR$5:$HR$70,Ins!F40,Tim!$C$5:$C$70)+SUMIF(Tim!$HS$5:$HS$70,Ins!F40,Tim!$C$5:$C$70)+SUMIF(Tim!$HT$5:$HT$70,Ins!F40,Tim!$C$5:$C$70)+SUMIF(Tim!$HU$5:$HU$70,Ins!F40,Tim!$C$5:$C$70)</f>
        <v>0</v>
      </c>
      <c r="BP40" s="79">
        <f>SUMIF(Tim!$HV$7:$HV$70,Ins!F40,Tim!$B$7:$B$70)</f>
        <v>0</v>
      </c>
      <c r="BQ40" s="80">
        <f>SUMIF(Tim!$HW$7:$HW$70,Ins!F40,Tim!$B$7:$B$70)+SUMIF(Tim!$HX$7:$HX$70,Ins!F40,Tim!$B$7:$B$70)+SUMIF(Tim!$HY$7:$HY$70,Ins!F40,Tim!$B$7:$B$70)+SUMIF(Tim!$HZ$7:$HZ$70,Ins!F40,Tim!$B$7:$B$70)+SUMIF(Tim!$IA$7:$IA$70,Ins!F40,Tim!$B$7:$B$70)+SUMIF(Tim!$IB$7:$IB$70,Ins!F40,Tim!$B$7:$B$70)</f>
        <v>0</v>
      </c>
      <c r="BR40" s="80">
        <f>SUMIF(Tim!$IC$7:$IC$70,Ins!F40,Tim!$B$7:$B$70)+SUMIF(Tim!$ID$7:$ID$70,Ins!F40,Tim!$B$7:$B$70)+SUMIF(Tim!$IE$7:$IE$70,Ins!F40,Tim!$B$7:$B$70)</f>
        <v>0</v>
      </c>
      <c r="BS40" s="80">
        <f>SUMIF(Tim!$IF$7:$IF$70,Ins!F40,Tim!$B$7:$B$70)+SUMIF(Tim!$IG$7:$IG$70,Ins!F40,Tim!$B$7:$B$70)+SUMIF(Tim!$IH$7:$IH$70,Ins!F40,Tim!$B$7:$B$70)+SUMIF(Tim!$II$7:$II$70,Ins!F40,Tim!$B$7:$B$70)+SUMIF(Tim!$IJ$7:$IJ$70,Ins!F40,Tim!$B$7:$B$70)</f>
        <v>0</v>
      </c>
      <c r="BT40" s="80">
        <f>SUMIF(Tim!$IK$7:$IK$70,Ins!F40,Tim!$B$7:$B$70)+SUMIF(Tim!$IL$7:$IL$70,Ins!F40,Tim!$B$7:$B$70)+SUMIF(Tim!$IM$7:$IM$70,Ins!F40,Tim!$B$7:$B$70)</f>
        <v>0</v>
      </c>
      <c r="BU40" s="80">
        <f>SUMIF(Tim!$IN$7:$IN$70,Ins!F40,Tim!$B$7:$B$70)+SUMIF(Tim!$IO$7:$IO$70,Ins!F40,Tim!$B$7:$B$70)+SUMIF(Tim!$IP$7:$IP$70,Ins!F40,Tim!$B$7:$B$70)</f>
        <v>0</v>
      </c>
      <c r="BV40" s="80">
        <f>SUMIF(Tim!$IQ$7:$IQ$70,Ins!F40,Tim!$B$7:$B$70)</f>
        <v>0</v>
      </c>
      <c r="BW40" s="80">
        <f>SUMIF(Tim!$IR$7:$IR$70,Ins!F40,Tim!$D$7:$D$70)+SUMIF(Tim!$IS$7:$IS$70,Ins!F40,Tim!$D$7:$D$70)+SUMIF(Tim!$IT$7:$IT$70,Ins!F40,Tim!$D$7:$D$70)+SUMIF(Tim!$IU$7:$IU$70,Ins!F40,Tim!$D$7:$D$70)+SUMIF(Tim!$IV$7:$IV$70,Ins!F40,Tim!$D$7:$D$70)+SUMIF(Tim!$IW$7:$IW$70,Ins!F40,Tim!$D$7:$D$70)+SUMIF(Tim!$IX$7:$IX$70,Ins!F40,Tim!$D$7:$D$70)+SUMIF(Tim!$IY$7:$IY$70,Ins!F40,Tim!$D$7:$D$70)+SUMIF(Tim!$IZ$7:$IZ$70,Ins!F40,Tim!$D$7:$D$70)+SUMIF(Tim!$JA$7:$JA$70,Ins!F40,Tim!$D$7:$D$70)+SUMIF(Tim!$JB$7:$JB$70,Ins!F40,Tim!$D$7:$D$70)+SUMIF(Tim!$JC$7:$JC$70,Ins!F40,Tim!$D$7:$D$70)</f>
        <v>0</v>
      </c>
      <c r="BX40" s="80">
        <f>SUMIF(Tim!JD$7:JD$70,Ins!F40,Tim!$C$7:$C$70)</f>
        <v>0</v>
      </c>
      <c r="BY40" s="80">
        <f>SUMIF(Tim!JE$7:JE$70,Ins!F40,Tim!$C$7:$C$70)</f>
        <v>0</v>
      </c>
      <c r="BZ40" s="80">
        <f>SUMIF(Tim!JF$7:JF$70,Ins!F40,Tim!$C$7:$C$70)+SUMIF(Tim!JG$7:JG$70,Ins!F40,Tim!$C$7:$C$70)+SUMIF(Tim!JH$7:JH$70,Ins!F40,Tim!$C$7:$C$70)</f>
        <v>0</v>
      </c>
      <c r="CA40" s="81">
        <f>SUMIF(Tim!$JI$7:$JI$70,Ins!F40,Tim!$C$7:$C$70)++SUMIF(Tim!$JJ$7:$JJ$70,Ins!F40,Tim!$C$7:$C$70)+SUMIF(Tim!$JK$7:$JK$70,Ins!F40,Tim!$C$7:$C$70)+SUMIF(Tim!$JL$7:$JL$70,Ins!F40,Tim!$C$7:$C$70)+SUMIF(Tim!$JM$7:$JM$70,Ins!F40,Tim!$C$7:$C$70)</f>
        <v>0</v>
      </c>
      <c r="CB40" s="79">
        <f>SUMIF(Tim!$JN$7:$JN$70,Ins!F40,Tim!$B$7:$B$70)</f>
        <v>0</v>
      </c>
      <c r="CC40" s="80">
        <f>SUMIF(Tim!$JO$7:$JO$70,Ins!F40,Tim!$B$7:$B$70)+SUMIF(Tim!$JP$7:$JP$70,Ins!F40,Tim!$B$7:$B$70)+SUMIF(Tim!$JQ$7:$JQ$70,Ins!F40,Tim!$B$7:$B$70)+SUMIF(Tim!$JR$7:$JR$70,Ins!F40,Tim!$B$7:$B$70)+SUMIF(Tim!$JS$7:$JS$70,Ins!F40,Tim!$B$7:$B$70)+SUMIF(Tim!$JT$7:$JT$70,Ins!F40,Tim!$B$7:$B$70)</f>
        <v>0</v>
      </c>
      <c r="CD40" s="80">
        <f>SUMIF(Tim!$JW$7:$JW$70,Ins!F40,Tim!$B$7:$B$70)+SUMIF(Tim!$JU$7:$JU$70,Ins!F40,Tim!$B$7:$B$70)+SUMIF(Tim!$JV$7:$JV$70,Ins!F40,Tim!$B$7:$B$70)</f>
        <v>0</v>
      </c>
      <c r="CE40" s="80">
        <f>SUMIF(Tim!$JX$7:$JX$70,Ins!F40,Tim!$B$7:$B$70)+SUMIF(Tim!$JY$7:$JY$70,Ins!F40,Tim!$B$7:$B$70)+SUMIF(Tim!$JZ$7:$JZ$70,Ins!F40,Tim!$B$7:$B$70)+SUMIF(Tim!$KA$7:$KA$70,Ins!F40,Tim!$B$7:$B$70)+SUMIF(Tim!$KB$7:$KB$70,Ins!F40,Tim!$B$7:$B$70)</f>
        <v>0</v>
      </c>
      <c r="CF40" s="80">
        <f>SUMIF(Tim!$KE$7:$KE$70,Ins!F40,Tim!$B$7:$B$70)+SUMIF(Tim!$KC$7:$KC$70,Ins!F40,Tim!$B$7:$B$70)+SUMIF(Tim!$KD$7:$KD$70,Ins!F40,Tim!$B$7:$B$70)</f>
        <v>0</v>
      </c>
      <c r="CG40" s="80">
        <f>SUMIF(Tim!$KF$7:$KF$70,Ins!F40,Tim!$B$7:$B$70)+SUMIF(Tim!$KG$7:$KG$70,Ins!F40,Tim!$B$7:$B$70)+SUMIF(Tim!$KH$7:$KH$70,Ins!F40,Tim!$B$7:$B$70)</f>
        <v>0</v>
      </c>
      <c r="CH40" s="80">
        <f>SUMIF(Tim!$KI$7:$KI$70,Ins!F40,Tim!$B$7:$B$70)</f>
        <v>0</v>
      </c>
      <c r="CI40" s="80">
        <f>SUMIF(Tim!$KJ$7:$KJ$70,Ins!F40,Tim!$D$7:$D$70)+SUMIF(Tim!$KK$7:$KK$70,Ins!F40,Tim!$D$7:$D$70)+SUMIF(Tim!$KL$7:$KL$70,Ins!F40,Tim!$D$7:$D$70)+SUMIF(Tim!$KM$7:$KM$70,Ins!F40,Tim!$D$7:$D$70)+SUMIF(Tim!$KN$7:$KN$70,Ins!F40,Tim!$D$7:$D$70)+SUMIF(Tim!$KO$7:$KO$70,Ins!F40,Tim!$D$7:$D$70)+SUMIF(Tim!$KP$7:$KP$70,Ins!F40,Tim!$D$7:$D$70)+SUMIF(Tim!$KQ$7:$KQ$70,Ins!F40,Tim!$D$7:$D$70)+SUMIF(Tim!$KR$7:$KR$70,Ins!F40,Tim!$D$7:$D$70)+SUMIF(Tim!$KS$7:$KS$70,Ins!F40,Tim!$D$7:$D$70)+SUMIF(Tim!$KT$7:$KT$70,Ins!F40,Tim!$D$7:$D$70)+SUMIF(Tim!$KU$7:$KU$70,Ins!F40,Tim!$D$7:$D$70)</f>
        <v>0</v>
      </c>
      <c r="CJ40" s="80">
        <f>SUMIF(Tim!KV$7:KV$70,Ins!F40,Tim!$C$7:$C$70)</f>
        <v>0</v>
      </c>
      <c r="CK40" s="80">
        <f>SUMIF(Tim!KW$7:KW$70,Ins!F40,Tim!$C$7:$C$70)</f>
        <v>0</v>
      </c>
      <c r="CL40" s="80">
        <f>SUMIF(Tim!KX$7:KX$70,Ins!F40,Tim!$C$7:$C$70)+SUMIF(Tim!KY$7:KY$70,Ins!F40,Tim!$C$7:$C$70)+SUMIF(Tim!KZ$7:KZ$70,Ins!F40,Tim!$C$7:$C$70)</f>
        <v>0</v>
      </c>
      <c r="CM40" s="81">
        <f>SUMIF(Tim!$LA$7:$LA$70,Ins!F40,Tim!$C$7:$C$70)+SUMIF(Tim!$LB$7:$LB$70,Ins!F40,Tim!$C$7:$C$70)+SUMIF(Tim!$LC$7:$LC$70,Ins!F40,Tim!$C$7:$C$70)+SUMIF(Tim!$LD$7:$LD$70,Ins!F40,Tim!$C$7:$C$70)+SUMIF(Tim!$LE$7:$LE$70,Ins!F40,Tim!$C$7:$C$70)</f>
        <v>0</v>
      </c>
      <c r="CN40" s="22"/>
      <c r="CO40" s="180">
        <f t="shared" si="158"/>
        <v>0</v>
      </c>
      <c r="CP40" s="179">
        <f t="shared" si="159"/>
        <v>0</v>
      </c>
      <c r="CQ40" s="179">
        <f t="shared" si="160"/>
        <v>0</v>
      </c>
      <c r="CR40" s="179">
        <f t="shared" si="161"/>
        <v>0</v>
      </c>
      <c r="CS40" s="179">
        <f t="shared" si="162"/>
        <v>0</v>
      </c>
      <c r="CT40" s="179">
        <f t="shared" si="163"/>
        <v>0</v>
      </c>
      <c r="CU40" s="179">
        <f t="shared" si="164"/>
        <v>0</v>
      </c>
      <c r="CV40" s="179">
        <f t="shared" si="165"/>
        <v>0</v>
      </c>
      <c r="CW40" s="179">
        <f t="shared" si="166"/>
        <v>0</v>
      </c>
      <c r="CX40" s="179">
        <f t="shared" si="167"/>
        <v>0</v>
      </c>
      <c r="CY40" s="179">
        <f t="shared" si="172"/>
        <v>0</v>
      </c>
      <c r="CZ40" s="179">
        <f t="shared" si="173"/>
        <v>2</v>
      </c>
      <c r="DA40" s="78">
        <f t="shared" si="174"/>
        <v>2</v>
      </c>
      <c r="DB40" s="36"/>
      <c r="DC40" s="34">
        <f t="shared" si="170"/>
        <v>0</v>
      </c>
      <c r="DD40" s="34">
        <f t="shared" si="15"/>
        <v>0</v>
      </c>
      <c r="DE40" s="34">
        <f t="shared" si="16"/>
        <v>0</v>
      </c>
      <c r="DF40" s="34">
        <f t="shared" si="20"/>
        <v>2</v>
      </c>
      <c r="DG40" s="34">
        <f t="shared" si="17"/>
        <v>0</v>
      </c>
      <c r="DH40" s="34">
        <f t="shared" si="18"/>
        <v>0</v>
      </c>
      <c r="DI40" s="34">
        <f t="shared" si="19"/>
        <v>0</v>
      </c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7"/>
    </row>
    <row r="41" spans="1:125" s="33" customFormat="1" ht="12" customHeight="1">
      <c r="A41" s="10">
        <v>39</v>
      </c>
      <c r="B41" s="24" t="s">
        <v>429</v>
      </c>
      <c r="C41" s="234"/>
      <c r="D41" s="28"/>
      <c r="E41" s="28" t="s">
        <v>373</v>
      </c>
      <c r="F41" s="185" t="s">
        <v>430</v>
      </c>
      <c r="G41" s="205" t="s">
        <v>191</v>
      </c>
      <c r="H41" s="79">
        <f>SUMIF(Tim!$F$7:$F$70,Ins!F41,Tim!$B$7:$B$70)</f>
        <v>0</v>
      </c>
      <c r="I41" s="80">
        <f>SUMIF(Tim!$G$7:$G$70,Ins!F41,Tim!$B$7:$B$70)+SUMIF(Tim!$H$7:$H$70,Ins!F41,Tim!$B$7:$B$70)+SUMIF(Tim!$I$7:$I$70,Ins!F41,Tim!$B$7:$B$70)+SUMIF(Tim!$J$7:$J$70,Ins!F41,Tim!$B$7:$B$70)+SUMIF(Tim!$K$7:$K$70,Ins!F41,Tim!$B$7:$B$70)+SUMIF(Tim!$L$7:$L$70,Ins!F41,Tim!$B$7:$B$70)</f>
        <v>0</v>
      </c>
      <c r="J41" s="80">
        <f>SUMIF(Tim!$M$7:$M$70,Ins!F41,Tim!$B$7:$B$70)+SUMIF(Tim!$O$7:$O$70,Ins!F41,Tim!$B$7:$B$70)+SUMIF(Tim!$N$7:$N$70,Ins!F41,Tim!$B$7:$B$70)</f>
        <v>0</v>
      </c>
      <c r="K41" s="80">
        <f>SUMIF(Tim!$P$7:$P$70,Ins!F41,Tim!$B$7:$B$70)+SUMIF(Tim!$Q$7:$Q$70,Ins!F41,Tim!$B$7:$B$70)+SUMIF(Tim!$R$7:$R$70,Ins!F41,Tim!$B$7:$B$70)+SUMIF(Tim!$S$7:$S$70,Ins!F41,Tim!$B$7:$B$70)+SUMIF(Tim!$T$7:$T$70,Ins!F41,Tim!$B$7:$B$70)</f>
        <v>0</v>
      </c>
      <c r="L41" s="80">
        <f>SUMIF(Tim!$U$7:$U$70,Ins!F41,Tim!$B$7:$B$70)+SUMIF(Tim!$W$7:$W$70,Ins!F41,Tim!$B$7:$B$70)+SUMIF(Tim!$X$7:$X$70,Ins!F41,Tim!$B$7:$B$70)</f>
        <v>0</v>
      </c>
      <c r="M41" s="80">
        <f>SUMIF(Tim!$Y$7:$Y$70,Ins!F41,Tim!$B$7:$B$70)+SUMIF(Tim!$Z$7:$Z$70,Ins!F41,Tim!$B$7:$B$70)+SUMIF(Tim!$AA$7:$AA$70,Ins!F41,Tim!$B$7:$B$70)</f>
        <v>0</v>
      </c>
      <c r="N41" s="80">
        <f>SUMIF(Tim!$AB$7:$AB$70,Ins!F41,Tim!$B$7:$B$70)</f>
        <v>0</v>
      </c>
      <c r="O41" s="80">
        <f>SUMIF(Tim!$AC$7:$AC$70,Ins!F41,Tim!$D$7:$D$70)+SUMIF(Tim!$AD$7:$AD$70,Ins!F41,Tim!$D$7:$D$70)+SUMIF(Tim!$AE$7:$AE$70,Ins!F41,Tim!$D$7:$D$70)+SUMIF(Tim!$AF$7:$AF$70,Ins!F41,Tim!$D$7:$D$70)+SUMIF(Tim!$AG$7:$AG$70,Ins!F41,Tim!$D$7:$D$70)+SUMIF(Tim!$AH$7:$AH$70,Ins!F41,Tim!$D$7:$D$70)+SUMIF(Tim!$AI$7:$AI$70,Ins!F41,Tim!$D$7:$D$70)+SUMIF(Tim!$AJ$7:$AJ$70,Ins!F41,Tim!$D$7:$D$70)+SUMIF(Tim!$AK$7:$AK$70,Ins!F41,Tim!$D$7:$D$70)+SUMIF(Tim!$AL$7:$AL$70,Ins!F41,Tim!$D$7:$D$70)+SUMIF(Tim!$AM$7:$AM$70,Ins!F41,Tim!$D$7:$D$70)+SUMIF(Tim!$AN$7:$AN$70,Ins!F41,Tim!$D$7:$D$70)</f>
        <v>0</v>
      </c>
      <c r="P41" s="80">
        <f>SUMIF(Tim!AO$7:AO$70,Ins!F41,Tim!$C$7:$C$70)</f>
        <v>0</v>
      </c>
      <c r="Q41" s="80">
        <f>SUMIF(Tim!AP$7:AP$70,Ins!F41,Tim!$C$7:$C$70)</f>
        <v>0</v>
      </c>
      <c r="R41" s="80">
        <f>SUMIF(Tim!AQ$7:AQ$70,Ins!F41,Tim!$C$7:$C$70)+SUMIF(Tim!AR$7:AR$70,Ins!F41,Tim!$C$7:$C$70)+SUMIF(Tim!AS$7:AS$70,Ins!F41,Tim!$C$7:$C$70)</f>
        <v>0</v>
      </c>
      <c r="S41" s="236">
        <f>SUMIF(Tim!$AT$7:$AT$70,Ins!F41,Tim!$C$7:$C$70)+SUMIF(Tim!$AU$7:$AU$70,Ins!F41,Tim!$C$7:$C102)+SUMIF(Tim!$AV$7:$AV$70,Ins!F41,Tim!$C$7:$C$70)+SUMIF(Tim!$AW$7:$AW$70,Ins!F41,Tim!$C$7:$C$70)+SUMIF(Tim!$AX$7:$AX$70,Ins!F41,Tim!$C$7:$C$70)</f>
        <v>0</v>
      </c>
      <c r="T41" s="79">
        <f>SUMIF(Tim!$AY$7:$AY$70,Ins!F41,Tim!$B$7:$B$70)</f>
        <v>0</v>
      </c>
      <c r="U41" s="80">
        <f>SUMIF(Tim!$AZ$7:$AZ$70,Ins!F41,Tim!$B$7:$B$70)+SUMIF(Tim!$BA$7:$BA$70,Ins!F41,Tim!$B$7:$B$70)+SUMIF(Tim!$BB$7:$BB$70,Ins!F41,Tim!$B$7:$B$70)+SUMIF(Tim!$BC$7:$BC$70,Ins!F41,Tim!$B$7:$B$70)+SUMIF(Tim!$BD$7:$BD$70,Ins!F41,Tim!$B$7:$B$70)+SUMIF(Tim!$BE$7:$BE$70,Ins!F41,Tim!$B$7:$B$70)</f>
        <v>0</v>
      </c>
      <c r="V41" s="80">
        <f>SUMIF(Tim!$BF$7:$BF$70,Ins!F41,Tim!$B$7:$B$70)+SUMIF(Tim!$BG$7:$BG$70,Ins!F41,Tim!$B$7:$B$70)+SUMIF(Tim!$BH$7:$BH$70,Ins!F41,Tim!$B$7:$B$70)</f>
        <v>0</v>
      </c>
      <c r="W41" s="80">
        <f>SUMIF(Tim!$BI$7:$BI$70,Ins!F41,Tim!$B$7:$B$70)+SUMIF(Tim!$BJ$7:$BJ$70,Ins!F41,Tim!$B$7:$B$70)+SUMIF(Tim!$BK$7:$BK$70,Ins!F41,Tim!$B$7:$B$70)+SUMIF(Tim!$BL$7:$BL$70,Ins!F41,Tim!$B$7:$B$70)+SUMIF(Tim!$BM$7:$BM$70,Ins!F41,Tim!$B$7:$B$70)</f>
        <v>0</v>
      </c>
      <c r="X41" s="80">
        <f>SUMIF(Tim!$BN$7:$BN$70,Ins!F41,Tim!$B$7:$B$70)+SUMIF(Tim!$BO$7:$BO$70,Ins!F41,Tim!$B$7:$B$70)+SUMIF(Tim!$BP$7:$BP$70,Ins!F41,Tim!$B$7:$B$70)</f>
        <v>0</v>
      </c>
      <c r="Y41" s="80">
        <f>SUMIF(Tim!$BQ$7:$BQ$70,Ins!F41,Tim!$B$7:$B$70)+SUMIF(Tim!$BR$7:$BR$70,Ins!F41,Tim!$B$7:$B$70)+SUMIF(Tim!$BS$7:$BS$70,Ins!F41,Tim!$B$7:$B$70)</f>
        <v>0</v>
      </c>
      <c r="Z41" s="80">
        <f>SUMIF(Tim!BT$7:BT$70,Ins!F41,Tim!$B$7:$B$70)</f>
        <v>0</v>
      </c>
      <c r="AA41" s="80">
        <f>SUMIF(Tim!$BU$7:$BU$70,Ins!F41,Tim!$D$7:$D$70)+SUMIF(Tim!$BV$7:$BV$70,Ins!F41,Tim!$D$7:$D$70)+SUMIF(Tim!$BW$7:$BW$70,Ins!F41,Tim!$D$7:$D$70)+SUMIF(Tim!$BX$7:$BX$70,Ins!F41,Tim!$D$7:$D$70)+SUMIF(Tim!$BY$7:$BY$70,Ins!F41,Tim!$D$7:$D$70)+SUMIF(Tim!$BZ$7:$BZ$70,Ins!F41,Tim!$D$7:$D$70)+SUMIF(Tim!$CA$7:$CA$70,Ins!F41,Tim!$D$7:$D$70)+SUMIF(Tim!$CB$7:$CB$70,Ins!F41,Tim!$D$7:$D$70)+SUMIF(Tim!$CC$7:$CC$70,Ins!F41,Tim!$D$7:$D$70)+SUMIF(Tim!$CD$7:$CD$70,Ins!F41,Tim!$D$7:$D$70)+SUMIF(Tim!$CE$7:$CE$70,Ins!F41,Tim!$D$7:$D$70)+SUMIF(Tim!$CF$7:$CF$70,Ins!F41,Tim!$D$7:$D$70)</f>
        <v>0</v>
      </c>
      <c r="AB41" s="80">
        <f>SUMIF(Tim!CG$7:CG$70,Ins!F41,Tim!$C$7:$C$70)</f>
        <v>0</v>
      </c>
      <c r="AC41" s="80">
        <f>SUMIF(Tim!CH$7:CH$70,Ins!F41,Tim!$C$7:$C$70)</f>
        <v>0</v>
      </c>
      <c r="AD41" s="80">
        <f>SUMIF(Tim!CI$7:CI$70,Ins!F41,Tim!$C$7:$C$70)+SUMIF(Tim!CJ$7:CJ$70,Ins!F41,Tim!$C$7:$C$70)+SUMIF(Tim!CK$7:CK$70,Ins!F41,Tim!$C$7:$C$70)</f>
        <v>0</v>
      </c>
      <c r="AE41" s="81">
        <f>SUMIF(Tim!$CL$7:$CL$70,Ins!F41,Tim!$C$7:$C$70)+SUMIF(Tim!$CM$7:$CM$70,Ins!F41,Tim!$C$7:$C$70)+SUMIF(Tim!$CN$7:$CN$70,Ins!F41,Tim!$C$7:$C$70)+SUMIF(Tim!$CO$7:$CO$70,Ins!F41,Tim!$C$7:$C$70)+SUMIF(Tim!$CP$7:$CP$70,Ins!F41,Tim!$C$7:$C$70)</f>
        <v>0</v>
      </c>
      <c r="AF41" s="79">
        <f>SUMIF(Tim!$CQ$7:$CQ$70,Ins!F41,Tim!$B$7:$B$70)</f>
        <v>0</v>
      </c>
      <c r="AG41" s="80">
        <f>SUMIF(Tim!$CR$7:$CR$70,Ins!F41,Tim!$B$7:$B$70)+SUMIF(Tim!$CS$7:$CS$70,Ins!F41,Tim!$B$7:$B$70)+SUMIF(Tim!$CT$7:$CT$70,Ins!F41,Tim!$B$7:$B$70)+SUMIF(Tim!$CU$7:$CU$70,Ins!F41,Tim!$B$7:$B$70)+SUMIF(Tim!$CV$7:$CV$70,Ins!F41,Tim!$B$7:$B$70)+SUMIF(Tim!$CW$7:$CW$70,Ins!F41,Tim!$B$7:$B$70)</f>
        <v>0</v>
      </c>
      <c r="AH41" s="80">
        <f>SUMIF(Tim!$CX$7:$CX$70,Ins!F41,Tim!$B$7:$B$70)+SUMIF(Tim!$CY$7:$CY$70,Ins!F41,Tim!$B$7:$B$70)+SUMIF(Tim!$CZ$7:$CZ$70,Ins!F41,Tim!$B$7:$B$70)</f>
        <v>0</v>
      </c>
      <c r="AI41" s="80">
        <f>SUMIF(Tim!$DA$7:$DA$70,Ins!F41,Tim!$B$7:$B$70)+SUMIF(Tim!$DB$7:$DB$70,Ins!F41,Tim!$B$7:$B$70)+SUMIF(Tim!$DC$7:$DC$70,Ins!F41,Tim!$B$7:$B$70)+SUMIF(Tim!$DD$7:$DD$70,Ins!F41,Tim!$B$7:$B$70)+SUMIF(Tim!$DE$7:$DE$70,Ins!F41,Tim!$B$7:$B$70)</f>
        <v>0</v>
      </c>
      <c r="AJ41" s="80">
        <f>SUMIF(Tim!$DF$7:$DF$70,Ins!F41,Tim!$B$7:$B$70)+SUMIF(Tim!$DG$7:$DG$70,Ins!F41,Tim!$B$7:$B$70)+SUMIF(Tim!$DH$7:$DH$70,Ins!F41,Tim!$B$7:$B$70)</f>
        <v>0</v>
      </c>
      <c r="AK41" s="80">
        <f>SUMIF(Tim!DI$7:DI$70,Ins!F41,Tim!$B$7:$B$70)+SUMIF(Tim!DM$7:DM$70,Ins!F41,Tim!$B$7:$B$70)+SUMIF(Tim!DN$7:DN$70,Ins!F41,Tim!$B$7:$B$70)</f>
        <v>0</v>
      </c>
      <c r="AL41" s="80">
        <f>SUMIF(Tim!DO$7:DO$70,Ins!F41,Tim!$B$7:$B$70)</f>
        <v>0</v>
      </c>
      <c r="AM41" s="80">
        <f>SUMIF(Tim!$DP$7:$DP$70,Ins!F41,Tim!$D$7:$D$70)+SUMIF(Tim!$DQ$7:$DQ$70,Ins!F41,Tim!$D$7:$D$70)+SUMIF(Tim!$DR$7:$DR$70,Ins!F41,Tim!$D$7:$D$70)+SUMIF(Tim!$DS$7:$DS$70,Ins!F41,Tim!$D$7:$D$70)+SUMIF(Tim!$DT$7:$DT$70,Ins!F41,Tim!$D$7:$D$70)+SUMIF(Tim!$DU$7:$DU$70,Ins!F41,Tim!$D$7:$D$70)+SUMIF(Tim!$DV$7:$DV$70,Ins!F41,Tim!$D$7:$D$70)+SUMIF(Tim!$DW$7:$DW$70,Ins!F41,Tim!$D$7:$D$70)+SUMIF(Tim!$DX$7:$DX$70,Ins!F41,Tim!$D$7:$D$70)+SUMIF(Tim!$DY$7:$DY$70,Ins!F41,Tim!$D$7:$D$70)+SUMIF(Tim!$DZ$7:$DZ$70,Ins!F41,Tim!$D$7:$D$70)+SUMIF(Tim!$EA$7:$EA$70,Ins!F41,Tim!$D$7:$D$70)</f>
        <v>0</v>
      </c>
      <c r="AN41" s="80">
        <f>SUMIF(Tim!EB$7:EB$70,Ins!F41,Tim!$C$7:$C$70)</f>
        <v>0</v>
      </c>
      <c r="AO41" s="80">
        <f>SUMIF(Tim!EC$7:EC$70,Ins!F41,Tim!$C$7:$C$70)</f>
        <v>0</v>
      </c>
      <c r="AP41" s="80">
        <f>SUMIF(Tim!ED$7:ED$70,Ins!F41,Tim!$C$7:$C$70)+SUMIF(Tim!EE$7:EE$70,Ins!F41,Tim!$C$7:$C$70)+SUMIF(Tim!EF$7:EF$70,Ins!F41,Tim!$C$7:$C$70)</f>
        <v>0</v>
      </c>
      <c r="AQ41" s="81">
        <f>SUMIF(Tim!$EG$7:$EG$70,Ins!F41,Tim!$C$7:$C$70)+SUMIF(Tim!$EH$7:$EH$70,Ins!F41,Tim!$C$7:$C$70)+SUMIF(Tim!$EI$7:$EI$70,Ins!F41,Tim!$C$7:$C$70)+SUMIF(Tim!$EJ$7:$EJ$70,Ins!F41,Tim!$C$7:$C$70)+SUMIF(Tim!$EK$7:$EK$70,Ins!F41,Tim!$C$7:$C$70)</f>
        <v>0</v>
      </c>
      <c r="AR41" s="79">
        <f>SUMIF(Tim!$EL$5:$EL$70,Ins!F41,Tim!$B$5:$B$70)</f>
        <v>0</v>
      </c>
      <c r="AS41" s="80">
        <f>SUMIF(Tim!$EM$5:$EM$70,Ins!F41,Tim!$B$5:$B$70)+SUMIF(Tim!$EN$5:$EN$70,Ins!F41,Tim!$B$5:$B$70)+SUMIF(Tim!$EO$5:$EO$70,Ins!F41,Tim!$B$5:$B$70)+SUMIF(Tim!$EP$5:$EP$70,Ins!F41,Tim!$B$5:$B$70)+SUMIF(Tim!$EQ$5:$EQ$70,Ins!F41,Tim!$B$5:$B$70)+SUMIF(Tim!$ER$5:$ER$70,Ins!F41,Tim!$B$5:$B$70)</f>
        <v>0</v>
      </c>
      <c r="AT41" s="80">
        <f>SUMIF(Tim!$ES$5:$ES$70,Ins!F41,Tim!$B$5:$B$70)+SUMIF(Tim!$ET$5:$ET$70,Ins!F41,Tim!$B$5:$B$70)+SUMIF(Tim!$EU$5:$EU$70,Ins!F41,Tim!$B$5:$B$70)</f>
        <v>0</v>
      </c>
      <c r="AU41" s="80">
        <f>SUMIF(Tim!$EV$5:$EV$70,Ins!F41,Tim!$B$5:$B$70)+SUMIF(Tim!$EW$5:$EW$70,Ins!F41,Tim!$B$5:$B$70)+SUMIF(Tim!$EX$5:$EX$70,Ins!F41,Tim!$B$5:$B$70)+SUMIF(Tim!$EY$5:$EY$70,Ins!F41,Tim!$B$5:$B$70)+SUMIF(Tim!$EZ$5:$EZ$70,Ins!F41,Tim!$B$5:$B$70)</f>
        <v>0</v>
      </c>
      <c r="AV41" s="80">
        <f>SUMIF(Tim!$FA$5:$FA$70,Ins!F41,Tim!$B$5:$B$70)+SUMIF(Tim!$FB$5:$FB$70,Ins!F41,Tim!$B$5:$B$70)+SUMIF(Tim!$FC$5:$FC$70,Ins!F41,Tim!$B$5:$B$70)</f>
        <v>0</v>
      </c>
      <c r="AW41" s="80">
        <f>SUMIF(Tim!FD$5:FD$70,Ins!F41,Tim!$B$5:$B$70)+SUMIF(Tim!FE$5:FE$70,Ins!F41,Tim!$B$5:$B$70)+SUMIF(Tim!FF$5:FF$70,Ins!F41,Tim!$B$5:$B$70)</f>
        <v>0</v>
      </c>
      <c r="AX41" s="80">
        <f>SUMIF(Tim!FG$5:FG$70,Ins!F41,Tim!$B$5:$B$70)</f>
        <v>0</v>
      </c>
      <c r="AY41" s="80">
        <f>SUMIF(Tim!$FH$5:$FH$70,Ins!F41,Tim!$D$5:$D$70)+SUMIF(Tim!$FI$5:$FI$70,Ins!F41,Tim!$D$5:$D$70)+SUMIF(Tim!$FJ$5:$FJ$70,Ins!F41,Tim!$D$5:$D$70)+SUMIF(Tim!$FK$5:$FK$70,Ins!F41,Tim!$D$5:$D$70)+SUMIF(Tim!$FL$5:$FL$70,Ins!F41,Tim!$D$5:$D$70)+SUMIF(Tim!$FM$5:$FM$70,Ins!F41,Tim!$D$5:$D$70)+SUMIF(Tim!$FN$5:$FN$70,Ins!F41,Tim!$D$5:$D$70)+SUMIF(Tim!$FO$5:$FO$70,Ins!F41,Tim!$D$5:$D$70)+SUMIF(Tim!$FP$5:$FP$70,Ins!F41,Tim!$D$5:$D$70)+SUMIF(Tim!$FQ$5:$FQ$70,Ins!F41,Tim!$D$5:$D$70)+SUMIF(Tim!$FR$5:$FR$70,Ins!F41,Tim!$D$5:$D$70)+SUMIF(Tim!$FS$5:$FS$70,Ins!F41,Tim!$D$5:$D$70)</f>
        <v>1.5</v>
      </c>
      <c r="AZ41" s="80">
        <f>SUMIF(Tim!FT$5:FT$70,Ins!F41,Tim!$C$5:$C$70)</f>
        <v>0</v>
      </c>
      <c r="BA41" s="80">
        <f>SUMIF(Tim!FU$5:FU$70,Ins!F41,Tim!$C$5:$C$70)</f>
        <v>0</v>
      </c>
      <c r="BB41" s="80">
        <f>SUMIF(Tim!FV$5:FV$70,Ins!F41,Tim!$C$5:$C$70)+SUMIF(Tim!FW$5:FW$70,Ins!F41,Tim!$C$5:$C$70)+SUMIF(Tim!FX$5:FX$70,Ins!F41,Tim!$C$5:$C$70)</f>
        <v>0</v>
      </c>
      <c r="BC41" s="81">
        <f>SUMIF(Tim!$FY$5:$FY$70,Ins!F41,Tim!$C$5:$C$70)+SUMIF(Tim!$FZ$5:$FZ$70,Ins!F41,Tim!$C$5:$C$70)+SUMIF(Tim!$GA$5:$GA$70,Ins!F41,Tim!$C$5:$C$70)+SUMIF(Tim!$GB$5:$GB$70,Ins!F41,Tim!$C$5:$C$70)+SUMIF(Tim!$GC$5:$GC$70,Ins!F41,Tim!$C$5:$C$70)</f>
        <v>0</v>
      </c>
      <c r="BD41" s="79">
        <f>SUMIF(Tim!$GD$5:$GD$70,Ins!F41,Tim!$B$5:$B$70)</f>
        <v>0</v>
      </c>
      <c r="BE41" s="80">
        <f>SUMIF(Tim!$GE$5:$GE$70,Ins!F41,Tim!$B$5:$B$70)+SUMIF(Tim!$GF$5:$GF$70,Ins!F41,Tim!$B$5:$B$70)+SUMIF(Tim!$GG$5:$GG$70,Ins!F41,Tim!$B$5:$B$70)+SUMIF(Tim!$GH$5:$GH$70,Ins!F41,Tim!$B$5:$B$70)+SUMIF(Tim!$GI$5:$GI$70,Ins!F41,Tim!$B$5:$B$70)+SUMIF(Tim!$GJ$5:$GJ$70,Ins!F41,Tim!$B$5:$B$70)</f>
        <v>0</v>
      </c>
      <c r="BF41" s="80">
        <f>SUMIF(Tim!$GK$5:$GK$70,Ins!F41,Tim!$B$5:$B$70)+SUMIF(Tim!$GL$5:$GL$70,Ins!F41,Tim!$B$5:$B$70)+SUMIF(Tim!$GM$5:$GM$70,Ins!F41,Tim!$B$5:$B$70)</f>
        <v>0</v>
      </c>
      <c r="BG41" s="80">
        <f>SUMIF(Tim!$GN$5:$GN$70,Ins!F41,Tim!$B$5:$B$70)+SUMIF(Tim!$GO$5:$GO$70,Ins!F41,Tim!$B$5:$B$70)+SUMIF(Tim!$GP$5:$GP$70,Ins!F41,Tim!$B$5:$B$70)+SUMIF(Tim!$GQ$5:$GQ$70,Ins!F41,Tim!$B$5:$B$70)+SUMIF(Tim!$GR$5:$GR$70,Ins!F41,Tim!$B$5:$B$70)</f>
        <v>0</v>
      </c>
      <c r="BH41" s="80">
        <f>SUMIF(Tim!$GS$5:$GS$70,Ins!F41,Tim!$B$5:$B$70)+SUMIF(Tim!$GT$5:$GT$70,Ins!F41,Tim!$B$5:$B$70)+SUMIF(Tim!$GU$5:$GU$70,Ins!F41,Tim!$B$5:$B$70)</f>
        <v>0</v>
      </c>
      <c r="BI41" s="80">
        <f>SUMIF(Tim!GV$5:GV$70,Ins!F41,Tim!$B$5:$B$70)+SUMIF(Tim!GW$5:GW$70,Ins!F41,Tim!$B$5:$B$70)+SUMIF(Tim!GX$5:GX$70,Ins!F41,Tim!$B$5:$B$70)</f>
        <v>0</v>
      </c>
      <c r="BJ41" s="80">
        <f>SUMIF(Tim!GY$5:GY$70,Ins!F41,Tim!$B$5:$B$70)</f>
        <v>0</v>
      </c>
      <c r="BK41" s="80">
        <f>SUMIF(Tim!$GZ$5:$GZ$70,Ins!F41,Tim!$D$5:$D$70)+SUMIF(Tim!$HA$5:$HA$70,Ins!F41,Tim!$D$5:$D$70)+SUMIF(Tim!$HB$5:$HB$70,Ins!F41,Tim!$D$5:$D$70)++SUMIF(Tim!$HC$5:$HC$70,Ins!F41,Tim!$D$5:$D$70)+SUMIF(Tim!$HD$5:$HD$70,Ins!F41,Tim!$D$5:$D$70)+SUMIF(Tim!$HE$5:$HE$70,Ins!F41,Tim!$D$5:$D$70)+SUMIF(Tim!$HF$5:$HF$70,Ins!F41,Tim!$D$5:$D$70)+SUMIF(Tim!$HG$5:$HG$70,Ins!F41,Tim!$D$5:$D$70)+SUMIF(Tim!$HH$5:$HH$70,Ins!F41,Tim!$D$5:$D$70)+SUMIF(Tim!$HI$5:$HI$70,Ins!F41,Tim!$D$5:$D$70)+SUMIF(Tim!$HJ$5:$HJ$70,Ins!F41,Tim!$D$5:$D$70)+SUMIF(Tim!$HK$5:$HK$70,Ins!F41,Tim!$D$5:$D$70)</f>
        <v>0</v>
      </c>
      <c r="BL41" s="80">
        <f>SUMIF(Tim!HL$5:HL$70,Ins!F41,Tim!$C$5:$C$70)</f>
        <v>0</v>
      </c>
      <c r="BM41" s="80">
        <f>SUMIF(Tim!HM$5:HM$70,Ins!F41,Tim!$C$5:$C$70)</f>
        <v>0</v>
      </c>
      <c r="BN41" s="80">
        <f>SUMIF(Tim!HN$5:HN$70,Ins!F41,Tim!$C$5:$C$70)+SUMIF(Tim!HO$5:HO$70,Ins!F41,Tim!$C$5:$C$70)+SUMIF(Tim!HP$5:HP$70,Ins!F41,Tim!$C$5:$C$70)</f>
        <v>0</v>
      </c>
      <c r="BO41" s="81">
        <f>SUMIF(Tim!$HQ$5:$HQ$70,Ins!F41,Tim!$C$5:$C$70)+SUMIF(Tim!$HR$5:$HR$70,Ins!F41,Tim!$C$5:$C$70)+SUMIF(Tim!$HS$5:$HS$70,Ins!F41,Tim!$C$5:$C$70)+SUMIF(Tim!$HT$5:$HT$70,Ins!F41,Tim!$C$5:$C$70)+SUMIF(Tim!$HU$5:$HU$70,Ins!F41,Tim!$C$5:$C$70)</f>
        <v>0</v>
      </c>
      <c r="BP41" s="79">
        <f>SUMIF(Tim!$HV$7:$HV$70,Ins!F41,Tim!$B$7:$B$70)</f>
        <v>0</v>
      </c>
      <c r="BQ41" s="80">
        <f>SUMIF(Tim!$HW$7:$HW$70,Ins!F41,Tim!$B$7:$B$70)+SUMIF(Tim!$HX$7:$HX$70,Ins!F41,Tim!$B$7:$B$70)+SUMIF(Tim!$HY$7:$HY$70,Ins!F41,Tim!$B$7:$B$70)+SUMIF(Tim!$HZ$7:$HZ$70,Ins!F41,Tim!$B$7:$B$70)+SUMIF(Tim!$IA$7:$IA$70,Ins!F41,Tim!$B$7:$B$70)+SUMIF(Tim!$IB$7:$IB$70,Ins!F41,Tim!$B$7:$B$70)</f>
        <v>0</v>
      </c>
      <c r="BR41" s="80">
        <f>SUMIF(Tim!$IC$7:$IC$70,Ins!F41,Tim!$B$7:$B$70)+SUMIF(Tim!$ID$7:$ID$70,Ins!F41,Tim!$B$7:$B$70)+SUMIF(Tim!$IE$7:$IE$70,Ins!F41,Tim!$B$7:$B$70)</f>
        <v>0</v>
      </c>
      <c r="BS41" s="80">
        <f>SUMIF(Tim!$IF$7:$IF$70,Ins!F41,Tim!$B$7:$B$70)+SUMIF(Tim!$IG$7:$IG$70,Ins!F41,Tim!$B$7:$B$70)+SUMIF(Tim!$IH$7:$IH$70,Ins!F41,Tim!$B$7:$B$70)+SUMIF(Tim!$II$7:$II$70,Ins!F41,Tim!$B$7:$B$70)+SUMIF(Tim!$IJ$7:$IJ$70,Ins!F41,Tim!$B$7:$B$70)</f>
        <v>0</v>
      </c>
      <c r="BT41" s="80">
        <f>SUMIF(Tim!$IK$7:$IK$70,Ins!F41,Tim!$B$7:$B$70)+SUMIF(Tim!$IL$7:$IL$70,Ins!F41,Tim!$B$7:$B$70)+SUMIF(Tim!$IM$7:$IM$70,Ins!F41,Tim!$B$7:$B$70)</f>
        <v>0</v>
      </c>
      <c r="BU41" s="80">
        <f>SUMIF(Tim!$IN$7:$IN$70,Ins!F41,Tim!$B$7:$B$70)+SUMIF(Tim!$IO$7:$IO$70,Ins!F41,Tim!$B$7:$B$70)+SUMIF(Tim!$IP$7:$IP$70,Ins!F41,Tim!$B$7:$B$70)</f>
        <v>0</v>
      </c>
      <c r="BV41" s="80">
        <f>SUMIF(Tim!$IQ$7:$IQ$70,Ins!F41,Tim!$B$7:$B$70)</f>
        <v>0</v>
      </c>
      <c r="BW41" s="80">
        <f>SUMIF(Tim!$IR$7:$IR$70,Ins!F41,Tim!$D$7:$D$70)+SUMIF(Tim!$IS$7:$IS$70,Ins!F41,Tim!$D$7:$D$70)+SUMIF(Tim!$IT$7:$IT$70,Ins!F41,Tim!$D$7:$D$70)+SUMIF(Tim!$IU$7:$IU$70,Ins!F41,Tim!$D$7:$D$70)+SUMIF(Tim!$IV$7:$IV$70,Ins!F41,Tim!$D$7:$D$70)+SUMIF(Tim!$IW$7:$IW$70,Ins!F41,Tim!$D$7:$D$70)+SUMIF(Tim!$IX$7:$IX$70,Ins!F41,Tim!$D$7:$D$70)+SUMIF(Tim!$IY$7:$IY$70,Ins!F41,Tim!$D$7:$D$70)+SUMIF(Tim!$IZ$7:$IZ$70,Ins!F41,Tim!$D$7:$D$70)+SUMIF(Tim!$JA$7:$JA$70,Ins!F41,Tim!$D$7:$D$70)+SUMIF(Tim!$JB$7:$JB$70,Ins!F41,Tim!$D$7:$D$70)+SUMIF(Tim!$JC$7:$JC$70,Ins!F41,Tim!$D$7:$D$70)</f>
        <v>0</v>
      </c>
      <c r="BX41" s="80">
        <f>SUMIF(Tim!JD$7:JD$70,Ins!F41,Tim!$C$7:$C$70)</f>
        <v>0</v>
      </c>
      <c r="BY41" s="80">
        <f>SUMIF(Tim!JE$7:JE$70,Ins!F41,Tim!$C$7:$C$70)</f>
        <v>0</v>
      </c>
      <c r="BZ41" s="80">
        <f>SUMIF(Tim!JF$7:JF$70,Ins!F41,Tim!$C$7:$C$70)+SUMIF(Tim!JG$7:JG$70,Ins!F41,Tim!$C$7:$C$70)+SUMIF(Tim!JH$7:JH$70,Ins!F41,Tim!$C$7:$C$70)</f>
        <v>0</v>
      </c>
      <c r="CA41" s="81">
        <f>SUMIF(Tim!$JI$7:$JI$70,Ins!F41,Tim!$C$7:$C$70)++SUMIF(Tim!$JJ$7:$JJ$70,Ins!F41,Tim!$C$7:$C$70)+SUMIF(Tim!$JK$7:$JK$70,Ins!F41,Tim!$C$7:$C$70)+SUMIF(Tim!$JL$7:$JL$70,Ins!F41,Tim!$C$7:$C$70)+SUMIF(Tim!$JM$7:$JM$70,Ins!F41,Tim!$C$7:$C$70)</f>
        <v>0</v>
      </c>
      <c r="CB41" s="79">
        <f>SUMIF(Tim!$JN$7:$JN$70,Ins!F41,Tim!$B$7:$B$70)</f>
        <v>0</v>
      </c>
      <c r="CC41" s="80">
        <f>SUMIF(Tim!$JO$7:$JO$70,Ins!F41,Tim!$B$7:$B$70)+SUMIF(Tim!$JP$7:$JP$70,Ins!F41,Tim!$B$7:$B$70)+SUMIF(Tim!$JQ$7:$JQ$70,Ins!F41,Tim!$B$7:$B$70)+SUMIF(Tim!$JR$7:$JR$70,Ins!F41,Tim!$B$7:$B$70)+SUMIF(Tim!$JS$7:$JS$70,Ins!F41,Tim!$B$7:$B$70)+SUMIF(Tim!$JT$7:$JT$70,Ins!F41,Tim!$B$7:$B$70)</f>
        <v>0</v>
      </c>
      <c r="CD41" s="80">
        <f>SUMIF(Tim!$JW$7:$JW$70,Ins!F41,Tim!$B$7:$B$70)+SUMIF(Tim!$JU$7:$JU$70,Ins!F41,Tim!$B$7:$B$70)+SUMIF(Tim!$JV$7:$JV$70,Ins!F41,Tim!$B$7:$B$70)</f>
        <v>0</v>
      </c>
      <c r="CE41" s="80">
        <f>SUMIF(Tim!$JX$7:$JX$70,Ins!F41,Tim!$B$7:$B$70)+SUMIF(Tim!$JY$7:$JY$70,Ins!F41,Tim!$B$7:$B$70)+SUMIF(Tim!$JZ$7:$JZ$70,Ins!F41,Tim!$B$7:$B$70)+SUMIF(Tim!$KA$7:$KA$70,Ins!F41,Tim!$B$7:$B$70)+SUMIF(Tim!$KB$7:$KB$70,Ins!F41,Tim!$B$7:$B$70)</f>
        <v>0</v>
      </c>
      <c r="CF41" s="80">
        <f>SUMIF(Tim!$KE$7:$KE$70,Ins!F41,Tim!$B$7:$B$70)+SUMIF(Tim!$KC$7:$KC$70,Ins!F41,Tim!$B$7:$B$70)+SUMIF(Tim!$KD$7:$KD$70,Ins!F41,Tim!$B$7:$B$70)</f>
        <v>0</v>
      </c>
      <c r="CG41" s="80">
        <f>SUMIF(Tim!$KF$7:$KF$70,Ins!F41,Tim!$B$7:$B$70)+SUMIF(Tim!$KG$7:$KG$70,Ins!F41,Tim!$B$7:$B$70)+SUMIF(Tim!$KH$7:$KH$70,Ins!F41,Tim!$B$7:$B$70)</f>
        <v>0</v>
      </c>
      <c r="CH41" s="80">
        <f>SUMIF(Tim!$KI$7:$KI$70,Ins!F41,Tim!$B$7:$B$70)</f>
        <v>0</v>
      </c>
      <c r="CI41" s="80">
        <f>SUMIF(Tim!$KJ$7:$KJ$70,Ins!F41,Tim!$D$7:$D$70)+SUMIF(Tim!$KK$7:$KK$70,Ins!F41,Tim!$D$7:$D$70)+SUMIF(Tim!$KL$7:$KL$70,Ins!F41,Tim!$D$7:$D$70)+SUMIF(Tim!$KM$7:$KM$70,Ins!F41,Tim!$D$7:$D$70)+SUMIF(Tim!$KN$7:$KN$70,Ins!F41,Tim!$D$7:$D$70)+SUMIF(Tim!$KO$7:$KO$70,Ins!F41,Tim!$D$7:$D$70)+SUMIF(Tim!$KP$7:$KP$70,Ins!F41,Tim!$D$7:$D$70)+SUMIF(Tim!$KQ$7:$KQ$70,Ins!F41,Tim!$D$7:$D$70)+SUMIF(Tim!$KR$7:$KR$70,Ins!F41,Tim!$D$7:$D$70)+SUMIF(Tim!$KS$7:$KS$70,Ins!F41,Tim!$D$7:$D$70)+SUMIF(Tim!$KT$7:$KT$70,Ins!F41,Tim!$D$7:$D$70)+SUMIF(Tim!$KU$7:$KU$70,Ins!F41,Tim!$D$7:$D$70)</f>
        <v>0</v>
      </c>
      <c r="CJ41" s="80">
        <f>SUMIF(Tim!KV$7:KV$70,Ins!F41,Tim!$C$7:$C$70)</f>
        <v>0</v>
      </c>
      <c r="CK41" s="80">
        <f>SUMIF(Tim!KW$7:KW$70,Ins!F41,Tim!$C$7:$C$70)</f>
        <v>0</v>
      </c>
      <c r="CL41" s="80">
        <f>SUMIF(Tim!KX$7:KX$70,Ins!F41,Tim!$C$7:$C$70)+SUMIF(Tim!KY$7:KY$70,Ins!F41,Tim!$C$7:$C$70)+SUMIF(Tim!KZ$7:KZ$70,Ins!F41,Tim!$C$7:$C$70)</f>
        <v>0</v>
      </c>
      <c r="CM41" s="81">
        <f>SUMIF(Tim!$LA$7:$LA$70,Ins!F41,Tim!$C$7:$C$70)+SUMIF(Tim!$LB$7:$LB$70,Ins!F41,Tim!$C$7:$C$70)+SUMIF(Tim!$LC$7:$LC$70,Ins!F41,Tim!$C$7:$C$70)+SUMIF(Tim!$LD$7:$LD$70,Ins!F41,Tim!$C$7:$C$70)+SUMIF(Tim!$LE$7:$LE$70,Ins!F41,Tim!$C$7:$C$70)</f>
        <v>0</v>
      </c>
      <c r="CN41" s="22"/>
      <c r="CO41" s="180">
        <f t="shared" ref="CO41" si="215">H41+T41+AF41+AR41+BD41+BP41+CB41</f>
        <v>0</v>
      </c>
      <c r="CP41" s="179">
        <f t="shared" ref="CP41" si="216">I41+U41+AG41+AS41+BE41+BQ41+CC41</f>
        <v>0</v>
      </c>
      <c r="CQ41" s="179">
        <f t="shared" ref="CQ41" si="217">J41+V41+AH41+AT41+BF41+BR41+CD41</f>
        <v>0</v>
      </c>
      <c r="CR41" s="179">
        <f t="shared" ref="CR41" si="218">K41+W41+AI41+AU41+BG41+BS41+CE41</f>
        <v>0</v>
      </c>
      <c r="CS41" s="179">
        <f t="shared" ref="CS41" si="219">L41+X41+AJ41+AV41+BH41+BT41+CF41</f>
        <v>0</v>
      </c>
      <c r="CT41" s="179">
        <f t="shared" ref="CT41" si="220">M41+Y41+AK41+AW41+BI41+BU41+CG41</f>
        <v>0</v>
      </c>
      <c r="CU41" s="179">
        <f t="shared" ref="CU41" si="221">N41+Z41+AL41+AX41+BJ41+BV41+CH41</f>
        <v>0</v>
      </c>
      <c r="CV41" s="179">
        <f t="shared" ref="CV41" si="222">O41+AA41+AM41+AY41+BK41+BW41+CI41</f>
        <v>1.5</v>
      </c>
      <c r="CW41" s="179">
        <f t="shared" ref="CW41" si="223">P41+AB41+AN41+AZ41+BL41+BX41+CJ41</f>
        <v>0</v>
      </c>
      <c r="CX41" s="179">
        <f t="shared" ref="CX41" si="224">Q41+AC41+AO41+BA41+BM41+BY41+CK41</f>
        <v>0</v>
      </c>
      <c r="CY41" s="179">
        <f t="shared" ref="CY41" si="225">R41+AD41+AP41+BB41+BN41+BZ41+CL41</f>
        <v>0</v>
      </c>
      <c r="CZ41" s="179">
        <f t="shared" ref="CZ41" si="226">S41+AE41+AQ41+BC41+BO41+CA41+CM41</f>
        <v>0</v>
      </c>
      <c r="DA41" s="78">
        <f t="shared" ref="DA41" si="227">SUM(CO41:CZ41)</f>
        <v>1.5</v>
      </c>
      <c r="DB41" s="36"/>
      <c r="DC41" s="34">
        <f t="shared" ref="DC41" si="228">SUM(H41:S41)</f>
        <v>0</v>
      </c>
      <c r="DD41" s="34">
        <f t="shared" ref="DD41" si="229">SUM(T41:AE41)</f>
        <v>0</v>
      </c>
      <c r="DE41" s="34">
        <f t="shared" ref="DE41" si="230">SUM(AF41:AQ41)</f>
        <v>0</v>
      </c>
      <c r="DF41" s="34">
        <f t="shared" ref="DF41" si="231">SUM(AR41:BC41)</f>
        <v>1.5</v>
      </c>
      <c r="DG41" s="34">
        <f t="shared" ref="DG41" si="232">SUM(BD41:BO41)</f>
        <v>0</v>
      </c>
      <c r="DH41" s="34">
        <f t="shared" ref="DH41" si="233">SUM(BP41:CA41)</f>
        <v>0</v>
      </c>
      <c r="DI41" s="34">
        <f t="shared" ref="DI41" si="234">SUM(CB41:CM41)</f>
        <v>0</v>
      </c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7"/>
    </row>
    <row r="42" spans="1:125" s="33" customFormat="1" ht="12" customHeight="1">
      <c r="A42" s="10">
        <v>40</v>
      </c>
      <c r="B42" s="24" t="s">
        <v>455</v>
      </c>
      <c r="C42" s="234"/>
      <c r="D42" s="28"/>
      <c r="E42" s="28" t="s">
        <v>373</v>
      </c>
      <c r="F42" s="185" t="s">
        <v>456</v>
      </c>
      <c r="G42" s="205" t="s">
        <v>191</v>
      </c>
      <c r="H42" s="79">
        <f>SUMIF(Tim!$F$7:$F$70,Ins!F42,Tim!$B$7:$B$70)</f>
        <v>0</v>
      </c>
      <c r="I42" s="80">
        <f>SUMIF(Tim!$G$7:$G$70,Ins!F42,Tim!$B$7:$B$70)+SUMIF(Tim!$H$7:$H$70,Ins!F42,Tim!$B$7:$B$70)+SUMIF(Tim!$I$7:$I$70,Ins!F42,Tim!$B$7:$B$70)+SUMIF(Tim!$J$7:$J$70,Ins!F42,Tim!$B$7:$B$70)+SUMIF(Tim!$K$7:$K$70,Ins!F42,Tim!$B$7:$B$70)+SUMIF(Tim!$L$7:$L$70,Ins!F42,Tim!$B$7:$B$70)</f>
        <v>0</v>
      </c>
      <c r="J42" s="80">
        <f>SUMIF(Tim!$M$7:$M$70,Ins!F42,Tim!$B$7:$B$70)+SUMIF(Tim!$O$7:$O$70,Ins!F42,Tim!$B$7:$B$70)+SUMIF(Tim!$N$7:$N$70,Ins!F42,Tim!$B$7:$B$70)</f>
        <v>0</v>
      </c>
      <c r="K42" s="80">
        <f>SUMIF(Tim!$P$7:$P$70,Ins!F42,Tim!$B$7:$B$70)+SUMIF(Tim!$Q$7:$Q$70,Ins!F42,Tim!$B$7:$B$70)+SUMIF(Tim!$R$7:$R$70,Ins!F42,Tim!$B$7:$B$70)+SUMIF(Tim!$S$7:$S$70,Ins!F42,Tim!$B$7:$B$70)+SUMIF(Tim!$T$7:$T$70,Ins!F42,Tim!$B$7:$B$70)</f>
        <v>0</v>
      </c>
      <c r="L42" s="80">
        <f>SUMIF(Tim!$U$7:$U$70,Ins!F42,Tim!$B$7:$B$70)+SUMIF(Tim!$W$7:$W$70,Ins!F42,Tim!$B$7:$B$70)+SUMIF(Tim!$X$7:$X$70,Ins!F42,Tim!$B$7:$B$70)</f>
        <v>0</v>
      </c>
      <c r="M42" s="80">
        <f>SUMIF(Tim!$Y$7:$Y$70,Ins!F42,Tim!$B$7:$B$70)+SUMIF(Tim!$Z$7:$Z$70,Ins!F42,Tim!$B$7:$B$70)+SUMIF(Tim!$AA$7:$AA$70,Ins!F42,Tim!$B$7:$B$70)</f>
        <v>0</v>
      </c>
      <c r="N42" s="80">
        <f>SUMIF(Tim!$AB$7:$AB$70,Ins!F42,Tim!$B$7:$B$70)</f>
        <v>0</v>
      </c>
      <c r="O42" s="80">
        <f>SUMIF(Tim!$AC$7:$AC$70,Ins!F42,Tim!$D$7:$D$70)+SUMIF(Tim!$AD$7:$AD$70,Ins!F42,Tim!$D$7:$D$70)+SUMIF(Tim!$AE$7:$AE$70,Ins!F42,Tim!$D$7:$D$70)+SUMIF(Tim!$AF$7:$AF$70,Ins!F42,Tim!$D$7:$D$70)+SUMIF(Tim!$AG$7:$AG$70,Ins!F42,Tim!$D$7:$D$70)+SUMIF(Tim!$AH$7:$AH$70,Ins!F42,Tim!$D$7:$D$70)+SUMIF(Tim!$AI$7:$AI$70,Ins!F42,Tim!$D$7:$D$70)+SUMIF(Tim!$AJ$7:$AJ$70,Ins!F42,Tim!$D$7:$D$70)+SUMIF(Tim!$AK$7:$AK$70,Ins!F42,Tim!$D$7:$D$70)+SUMIF(Tim!$AL$7:$AL$70,Ins!F42,Tim!$D$7:$D$70)+SUMIF(Tim!$AM$7:$AM$70,Ins!F42,Tim!$D$7:$D$70)+SUMIF(Tim!$AN$7:$AN$70,Ins!F42,Tim!$D$7:$D$70)</f>
        <v>0</v>
      </c>
      <c r="P42" s="80">
        <f>SUMIF(Tim!AO$7:AO$70,Ins!F42,Tim!$C$7:$C$70)</f>
        <v>0</v>
      </c>
      <c r="Q42" s="80">
        <f>SUMIF(Tim!AP$7:AP$70,Ins!F42,Tim!$C$7:$C$70)</f>
        <v>0</v>
      </c>
      <c r="R42" s="80">
        <f>SUMIF(Tim!AQ$7:AQ$70,Ins!F42,Tim!$C$7:$C$70)+SUMIF(Tim!AR$7:AR$70,Ins!F42,Tim!$C$7:$C$70)+SUMIF(Tim!AS$7:AS$70,Ins!F42,Tim!$C$7:$C$70)</f>
        <v>0</v>
      </c>
      <c r="S42" s="236">
        <f>SUMIF(Tim!$AT$7:$AT$70,Ins!F42,Tim!$C$7:$C$70)+SUMIF(Tim!$AU$7:$AU$70,Ins!F42,Tim!$C$7:$C102)+SUMIF(Tim!$AV$7:$AV$70,Ins!F42,Tim!$C$7:$C$70)+SUMIF(Tim!$AW$7:$AW$70,Ins!F42,Tim!$C$7:$C$70)+SUMIF(Tim!$AX$7:$AX$70,Ins!F42,Tim!$C$7:$C$70)</f>
        <v>0</v>
      </c>
      <c r="T42" s="79">
        <f>SUMIF(Tim!$AY$7:$AY$70,Ins!F42,Tim!$B$7:$B$70)</f>
        <v>0</v>
      </c>
      <c r="U42" s="80">
        <f>SUMIF(Tim!$AZ$7:$AZ$70,Ins!F42,Tim!$B$7:$B$70)+SUMIF(Tim!$BA$7:$BA$70,Ins!F42,Tim!$B$7:$B$70)+SUMIF(Tim!$BB$7:$BB$70,Ins!F42,Tim!$B$7:$B$70)+SUMIF(Tim!$BC$7:$BC$70,Ins!F42,Tim!$B$7:$B$70)+SUMIF(Tim!$BD$7:$BD$70,Ins!F42,Tim!$B$7:$B$70)+SUMIF(Tim!$BE$7:$BE$70,Ins!F42,Tim!$B$7:$B$70)</f>
        <v>0</v>
      </c>
      <c r="V42" s="80">
        <f>SUMIF(Tim!$BF$7:$BF$70,Ins!F42,Tim!$B$7:$B$70)+SUMIF(Tim!$BG$7:$BG$70,Ins!F42,Tim!$B$7:$B$70)+SUMIF(Tim!$BH$7:$BH$70,Ins!F42,Tim!$B$7:$B$70)</f>
        <v>0</v>
      </c>
      <c r="W42" s="80">
        <f>SUMIF(Tim!$BI$7:$BI$70,Ins!F42,Tim!$B$7:$B$70)+SUMIF(Tim!$BJ$7:$BJ$70,Ins!F42,Tim!$B$7:$B$70)+SUMIF(Tim!$BK$7:$BK$70,Ins!F42,Tim!$B$7:$B$70)+SUMIF(Tim!$BL$7:$BL$70,Ins!F42,Tim!$B$7:$B$70)+SUMIF(Tim!$BM$7:$BM$70,Ins!F42,Tim!$B$7:$B$70)</f>
        <v>0</v>
      </c>
      <c r="X42" s="80">
        <f>SUMIF(Tim!$BN$7:$BN$70,Ins!F42,Tim!$B$7:$B$70)+SUMIF(Tim!$BO$7:$BO$70,Ins!F42,Tim!$B$7:$B$70)+SUMIF(Tim!$BP$7:$BP$70,Ins!F42,Tim!$B$7:$B$70)</f>
        <v>0</v>
      </c>
      <c r="Y42" s="80">
        <f>SUMIF(Tim!$BQ$7:$BQ$70,Ins!F42,Tim!$B$7:$B$70)+SUMIF(Tim!$BR$7:$BR$70,Ins!F42,Tim!$B$7:$B$70)+SUMIF(Tim!$BS$7:$BS$70,Ins!F42,Tim!$B$7:$B$70)</f>
        <v>0</v>
      </c>
      <c r="Z42" s="80">
        <f>SUMIF(Tim!BT$7:BT$70,Ins!F42,Tim!$B$7:$B$70)</f>
        <v>0</v>
      </c>
      <c r="AA42" s="80">
        <f>SUMIF(Tim!$BU$7:$BU$70,Ins!F42,Tim!$D$7:$D$70)+SUMIF(Tim!$BV$7:$BV$70,Ins!F42,Tim!$D$7:$D$70)+SUMIF(Tim!$BW$7:$BW$70,Ins!F42,Tim!$D$7:$D$70)+SUMIF(Tim!$BX$7:$BX$70,Ins!F42,Tim!$D$7:$D$70)+SUMIF(Tim!$BY$7:$BY$70,Ins!F42,Tim!$D$7:$D$70)+SUMIF(Tim!$BZ$7:$BZ$70,Ins!F42,Tim!$D$7:$D$70)+SUMIF(Tim!$CA$7:$CA$70,Ins!F42,Tim!$D$7:$D$70)+SUMIF(Tim!$CB$7:$CB$70,Ins!F42,Tim!$D$7:$D$70)+SUMIF(Tim!$CC$7:$CC$70,Ins!F42,Tim!$D$7:$D$70)+SUMIF(Tim!$CD$7:$CD$70,Ins!F42,Tim!$D$7:$D$70)+SUMIF(Tim!$CE$7:$CE$70,Ins!F42,Tim!$D$7:$D$70)+SUMIF(Tim!$CF$7:$CF$70,Ins!F42,Tim!$D$7:$D$70)</f>
        <v>0</v>
      </c>
      <c r="AB42" s="80">
        <f>SUMIF(Tim!CG$7:CG$70,Ins!F42,Tim!$C$7:$C$70)</f>
        <v>0</v>
      </c>
      <c r="AC42" s="80">
        <f>SUMIF(Tim!CH$7:CH$70,Ins!F42,Tim!$C$7:$C$70)</f>
        <v>0</v>
      </c>
      <c r="AD42" s="80">
        <f>SUMIF(Tim!CI$7:CI$70,Ins!F42,Tim!$C$7:$C$70)+SUMIF(Tim!CJ$7:CJ$70,Ins!F42,Tim!$C$7:$C$70)+SUMIF(Tim!CK$7:CK$70,Ins!F42,Tim!$C$7:$C$70)</f>
        <v>0</v>
      </c>
      <c r="AE42" s="81">
        <f>SUMIF(Tim!$CL$7:$CL$70,Ins!F42,Tim!$C$7:$C$70)+SUMIF(Tim!$CM$7:$CM$70,Ins!F42,Tim!$C$7:$C$70)+SUMIF(Tim!$CN$7:$CN$70,Ins!F42,Tim!$C$7:$C$70)+SUMIF(Tim!$CO$7:$CO$70,Ins!F42,Tim!$C$7:$C$70)+SUMIF(Tim!$CP$7:$CP$70,Ins!F42,Tim!$C$7:$C$70)</f>
        <v>0</v>
      </c>
      <c r="AF42" s="79">
        <f>SUMIF(Tim!$CQ$7:$CQ$70,Ins!F42,Tim!$B$7:$B$70)</f>
        <v>0</v>
      </c>
      <c r="AG42" s="80">
        <f>SUMIF(Tim!$CR$7:$CR$70,Ins!F42,Tim!$B$7:$B$70)+SUMIF(Tim!$CS$7:$CS$70,Ins!F42,Tim!$B$7:$B$70)+SUMIF(Tim!$CT$7:$CT$70,Ins!F42,Tim!$B$7:$B$70)+SUMIF(Tim!$CU$7:$CU$70,Ins!F42,Tim!$B$7:$B$70)+SUMIF(Tim!$CV$7:$CV$70,Ins!F42,Tim!$B$7:$B$70)+SUMIF(Tim!$CW$7:$CW$70,Ins!F42,Tim!$B$7:$B$70)</f>
        <v>0</v>
      </c>
      <c r="AH42" s="80">
        <f>SUMIF(Tim!$CX$7:$CX$70,Ins!F42,Tim!$B$7:$B$70)+SUMIF(Tim!$CY$7:$CY$70,Ins!F42,Tim!$B$7:$B$70)+SUMIF(Tim!$CZ$7:$CZ$70,Ins!F42,Tim!$B$7:$B$70)</f>
        <v>0</v>
      </c>
      <c r="AI42" s="80">
        <f>SUMIF(Tim!$DA$7:$DA$70,Ins!F42,Tim!$B$7:$B$70)+SUMIF(Tim!$DB$7:$DB$70,Ins!F42,Tim!$B$7:$B$70)+SUMIF(Tim!$DC$7:$DC$70,Ins!F42,Tim!$B$7:$B$70)+SUMIF(Tim!$DD$7:$DD$70,Ins!F42,Tim!$B$7:$B$70)+SUMIF(Tim!$DE$7:$DE$70,Ins!F42,Tim!$B$7:$B$70)</f>
        <v>0</v>
      </c>
      <c r="AJ42" s="80">
        <f>SUMIF(Tim!$DF$7:$DF$70,Ins!F42,Tim!$B$7:$B$70)+SUMIF(Tim!$DG$7:$DG$70,Ins!F42,Tim!$B$7:$B$70)+SUMIF(Tim!$DH$7:$DH$70,Ins!F42,Tim!$B$7:$B$70)</f>
        <v>0</v>
      </c>
      <c r="AK42" s="80">
        <f>SUMIF(Tim!DI$7:DI$70,Ins!F42,Tim!$B$7:$B$70)+SUMIF(Tim!DM$7:DM$70,Ins!F42,Tim!$B$7:$B$70)+SUMIF(Tim!DN$7:DN$70,Ins!F42,Tim!$B$7:$B$70)</f>
        <v>0</v>
      </c>
      <c r="AL42" s="80">
        <f>SUMIF(Tim!DO$7:DO$70,Ins!F42,Tim!$B$7:$B$70)</f>
        <v>0</v>
      </c>
      <c r="AM42" s="80">
        <f>SUMIF(Tim!$DP$7:$DP$70,Ins!F42,Tim!$D$7:$D$70)+SUMIF(Tim!$DQ$7:$DQ$70,Ins!F42,Tim!$D$7:$D$70)+SUMIF(Tim!$DR$7:$DR$70,Ins!F42,Tim!$D$7:$D$70)+SUMIF(Tim!$DS$7:$DS$70,Ins!F42,Tim!$D$7:$D$70)+SUMIF(Tim!$DT$7:$DT$70,Ins!F42,Tim!$D$7:$D$70)+SUMIF(Tim!$DU$7:$DU$70,Ins!F42,Tim!$D$7:$D$70)+SUMIF(Tim!$DV$7:$DV$70,Ins!F42,Tim!$D$7:$D$70)+SUMIF(Tim!$DW$7:$DW$70,Ins!F42,Tim!$D$7:$D$70)+SUMIF(Tim!$DX$7:$DX$70,Ins!F42,Tim!$D$7:$D$70)+SUMIF(Tim!$DY$7:$DY$70,Ins!F42,Tim!$D$7:$D$70)+SUMIF(Tim!$DZ$7:$DZ$70,Ins!F42,Tim!$D$7:$D$70)+SUMIF(Tim!$EA$7:$EA$70,Ins!F42,Tim!$D$7:$D$70)</f>
        <v>0</v>
      </c>
      <c r="AN42" s="80">
        <f>SUMIF(Tim!EB$7:EB$70,Ins!F42,Tim!$C$7:$C$70)</f>
        <v>0</v>
      </c>
      <c r="AO42" s="80">
        <f>SUMIF(Tim!EC$7:EC$70,Ins!F42,Tim!$C$7:$C$70)</f>
        <v>0</v>
      </c>
      <c r="AP42" s="80">
        <f>SUMIF(Tim!ED$7:ED$70,Ins!F42,Tim!$C$7:$C$70)+SUMIF(Tim!EE$7:EE$70,Ins!F42,Tim!$C$7:$C$70)+SUMIF(Tim!EF$7:EF$70,Ins!F42,Tim!$C$7:$C$70)</f>
        <v>0</v>
      </c>
      <c r="AQ42" s="81">
        <f>SUMIF(Tim!$EG$7:$EG$70,Ins!F42,Tim!$C$7:$C$70)+SUMIF(Tim!$EH$7:$EH$70,Ins!F42,Tim!$C$7:$C$70)+SUMIF(Tim!$EI$7:$EI$70,Ins!F42,Tim!$C$7:$C$70)+SUMIF(Tim!$EJ$7:$EJ$70,Ins!F42,Tim!$C$7:$C$70)+SUMIF(Tim!$EK$7:$EK$70,Ins!F42,Tim!$C$7:$C$70)</f>
        <v>0</v>
      </c>
      <c r="AR42" s="79">
        <f>SUMIF(Tim!$EL$5:$EL$70,Ins!F42,Tim!$B$5:$B$70)</f>
        <v>0</v>
      </c>
      <c r="AS42" s="80">
        <f>SUMIF(Tim!$EM$5:$EM$70,Ins!F42,Tim!$B$5:$B$70)+SUMIF(Tim!$EN$5:$EN$70,Ins!F42,Tim!$B$5:$B$70)+SUMIF(Tim!$EO$5:$EO$70,Ins!F42,Tim!$B$5:$B$70)+SUMIF(Tim!$EP$5:$EP$70,Ins!F42,Tim!$B$5:$B$70)+SUMIF(Tim!$EQ$5:$EQ$70,Ins!F42,Tim!$B$5:$B$70)+SUMIF(Tim!$ER$5:$ER$70,Ins!F42,Tim!$B$5:$B$70)</f>
        <v>0</v>
      </c>
      <c r="AT42" s="80">
        <f>SUMIF(Tim!$ES$5:$ES$70,Ins!F42,Tim!$B$5:$B$70)+SUMIF(Tim!$ET$5:$ET$70,Ins!F42,Tim!$B$5:$B$70)+SUMIF(Tim!$EU$5:$EU$70,Ins!F42,Tim!$B$5:$B$70)</f>
        <v>0</v>
      </c>
      <c r="AU42" s="80">
        <f>SUMIF(Tim!$EV$5:$EV$70,Ins!F42,Tim!$B$5:$B$70)+SUMIF(Tim!$EW$5:$EW$70,Ins!F42,Tim!$B$5:$B$70)+SUMIF(Tim!$EX$5:$EX$70,Ins!F42,Tim!$B$5:$B$70)+SUMIF(Tim!$EY$5:$EY$70,Ins!F42,Tim!$B$5:$B$70)+SUMIF(Tim!$EZ$5:$EZ$70,Ins!F42,Tim!$B$5:$B$70)</f>
        <v>0</v>
      </c>
      <c r="AV42" s="80">
        <f>SUMIF(Tim!$FA$5:$FA$70,Ins!F42,Tim!$B$5:$B$70)+SUMIF(Tim!$FB$5:$FB$70,Ins!F42,Tim!$B$5:$B$70)+SUMIF(Tim!$FC$5:$FC$70,Ins!F42,Tim!$B$5:$B$70)</f>
        <v>0</v>
      </c>
      <c r="AW42" s="80">
        <f>SUMIF(Tim!FD$5:FD$70,Ins!F42,Tim!$B$5:$B$70)+SUMIF(Tim!FE$5:FE$70,Ins!F42,Tim!$B$5:$B$70)+SUMIF(Tim!FF$5:FF$70,Ins!F42,Tim!$B$5:$B$70)</f>
        <v>0</v>
      </c>
      <c r="AX42" s="80">
        <f>SUMIF(Tim!FG$5:FG$70,Ins!F42,Tim!$B$5:$B$70)</f>
        <v>0</v>
      </c>
      <c r="AY42" s="80">
        <f>SUMIF(Tim!$FH$5:$FH$70,Ins!F42,Tim!$D$5:$D$70)+SUMIF(Tim!$FI$5:$FI$70,Ins!F42,Tim!$D$5:$D$70)+SUMIF(Tim!$FJ$5:$FJ$70,Ins!F42,Tim!$D$5:$D$70)+SUMIF(Tim!$FK$5:$FK$70,Ins!F42,Tim!$D$5:$D$70)+SUMIF(Tim!$FL$5:$FL$70,Ins!F42,Tim!$D$5:$D$70)+SUMIF(Tim!$FM$5:$FM$70,Ins!F42,Tim!$D$5:$D$70)+SUMIF(Tim!$FN$5:$FN$70,Ins!F42,Tim!$D$5:$D$70)+SUMIF(Tim!$FO$5:$FO$70,Ins!F42,Tim!$D$5:$D$70)+SUMIF(Tim!$FP$5:$FP$70,Ins!F42,Tim!$D$5:$D$70)+SUMIF(Tim!$FQ$5:$FQ$70,Ins!F42,Tim!$D$5:$D$70)+SUMIF(Tim!$FR$5:$FR$70,Ins!F42,Tim!$D$5:$D$70)+SUMIF(Tim!$FS$5:$FS$70,Ins!F42,Tim!$D$5:$D$70)</f>
        <v>0</v>
      </c>
      <c r="AZ42" s="80">
        <f>SUMIF(Tim!FT$5:FT$70,Ins!F42,Tim!$C$5:$C$70)</f>
        <v>0</v>
      </c>
      <c r="BA42" s="80">
        <f>SUMIF(Tim!FU$5:FU$70,Ins!F42,Tim!$C$5:$C$70)</f>
        <v>0</v>
      </c>
      <c r="BB42" s="80">
        <f>SUMIF(Tim!FV$5:FV$70,Ins!F42,Tim!$C$5:$C$70)+SUMIF(Tim!FW$5:FW$70,Ins!F42,Tim!$C$5:$C$70)+SUMIF(Tim!FX$5:FX$70,Ins!F42,Tim!$C$5:$C$70)</f>
        <v>0</v>
      </c>
      <c r="BC42" s="81">
        <f>SUMIF(Tim!$FY$5:$FY$70,Ins!F42,Tim!$C$5:$C$70)+SUMIF(Tim!$FZ$5:$FZ$70,Ins!F42,Tim!$C$5:$C$70)+SUMIF(Tim!$GA$5:$GA$70,Ins!F42,Tim!$C$5:$C$70)+SUMIF(Tim!$GB$5:$GB$70,Ins!F42,Tim!$C$5:$C$70)+SUMIF(Tim!$GC$5:$GC$70,Ins!F42,Tim!$C$5:$C$70)</f>
        <v>1</v>
      </c>
      <c r="BD42" s="79">
        <f>SUMIF(Tim!$GD$5:$GD$70,Ins!F42,Tim!$B$5:$B$70)</f>
        <v>0</v>
      </c>
      <c r="BE42" s="80">
        <f>SUMIF(Tim!$GE$5:$GE$70,Ins!F42,Tim!$B$5:$B$70)+SUMIF(Tim!$GF$5:$GF$70,Ins!F42,Tim!$B$5:$B$70)+SUMIF(Tim!$GG$5:$GG$70,Ins!F42,Tim!$B$5:$B$70)+SUMIF(Tim!$GH$5:$GH$70,Ins!F42,Tim!$B$5:$B$70)+SUMIF(Tim!$GI$5:$GI$70,Ins!F42,Tim!$B$5:$B$70)+SUMIF(Tim!$GJ$5:$GJ$70,Ins!F42,Tim!$B$5:$B$70)</f>
        <v>0</v>
      </c>
      <c r="BF42" s="80">
        <f>SUMIF(Tim!$GK$5:$GK$70,Ins!F42,Tim!$B$5:$B$70)+SUMIF(Tim!$GL$5:$GL$70,Ins!F42,Tim!$B$5:$B$70)+SUMIF(Tim!$GM$5:$GM$70,Ins!F42,Tim!$B$5:$B$70)</f>
        <v>0</v>
      </c>
      <c r="BG42" s="80">
        <f>SUMIF(Tim!$GN$5:$GN$70,Ins!F42,Tim!$B$5:$B$70)+SUMIF(Tim!$GO$5:$GO$70,Ins!F42,Tim!$B$5:$B$70)+SUMIF(Tim!$GP$5:$GP$70,Ins!F42,Tim!$B$5:$B$70)+SUMIF(Tim!$GQ$5:$GQ$70,Ins!F42,Tim!$B$5:$B$70)+SUMIF(Tim!$GR$5:$GR$70,Ins!F42,Tim!$B$5:$B$70)</f>
        <v>0</v>
      </c>
      <c r="BH42" s="80">
        <f>SUMIF(Tim!$GS$5:$GS$70,Ins!F42,Tim!$B$5:$B$70)+SUMIF(Tim!$GT$5:$GT$70,Ins!F42,Tim!$B$5:$B$70)+SUMIF(Tim!$GU$5:$GU$70,Ins!F42,Tim!$B$5:$B$70)</f>
        <v>0</v>
      </c>
      <c r="BI42" s="80">
        <f>SUMIF(Tim!GV$5:GV$70,Ins!F42,Tim!$B$5:$B$70)+SUMIF(Tim!GW$5:GW$70,Ins!F42,Tim!$B$5:$B$70)+SUMIF(Tim!GX$5:GX$70,Ins!F42,Tim!$B$5:$B$70)</f>
        <v>0</v>
      </c>
      <c r="BJ42" s="80">
        <f>SUMIF(Tim!GY$5:GY$70,Ins!F42,Tim!$B$5:$B$70)</f>
        <v>0</v>
      </c>
      <c r="BK42" s="80">
        <f>SUMIF(Tim!$GZ$5:$GZ$70,Ins!F42,Tim!$D$5:$D$70)+SUMIF(Tim!$HA$5:$HA$70,Ins!F42,Tim!$D$5:$D$70)+SUMIF(Tim!$HB$5:$HB$70,Ins!F42,Tim!$D$5:$D$70)++SUMIF(Tim!$HC$5:$HC$70,Ins!F42,Tim!$D$5:$D$70)+SUMIF(Tim!$HD$5:$HD$70,Ins!F42,Tim!$D$5:$D$70)+SUMIF(Tim!$HE$5:$HE$70,Ins!F42,Tim!$D$5:$D$70)+SUMIF(Tim!$HF$5:$HF$70,Ins!F42,Tim!$D$5:$D$70)+SUMIF(Tim!$HG$5:$HG$70,Ins!F42,Tim!$D$5:$D$70)+SUMIF(Tim!$HH$5:$HH$70,Ins!F42,Tim!$D$5:$D$70)+SUMIF(Tim!$HI$5:$HI$70,Ins!F42,Tim!$D$5:$D$70)+SUMIF(Tim!$HJ$5:$HJ$70,Ins!F42,Tim!$D$5:$D$70)+SUMIF(Tim!$HK$5:$HK$70,Ins!F42,Tim!$D$5:$D$70)</f>
        <v>0</v>
      </c>
      <c r="BL42" s="80">
        <f>SUMIF(Tim!HL$5:HL$70,Ins!F42,Tim!$C$5:$C$70)</f>
        <v>0</v>
      </c>
      <c r="BM42" s="80">
        <f>SUMIF(Tim!HM$5:HM$70,Ins!F42,Tim!$C$5:$C$70)</f>
        <v>0</v>
      </c>
      <c r="BN42" s="80">
        <f>SUMIF(Tim!HN$5:HN$70,Ins!F42,Tim!$C$5:$C$70)+SUMIF(Tim!HO$5:HO$70,Ins!F42,Tim!$C$5:$C$70)+SUMIF(Tim!HP$5:HP$70,Ins!F42,Tim!$C$5:$C$70)</f>
        <v>0</v>
      </c>
      <c r="BO42" s="81">
        <f>SUMIF(Tim!$HQ$5:$HQ$70,Ins!F42,Tim!$C$5:$C$70)+SUMIF(Tim!$HR$5:$HR$70,Ins!F42,Tim!$C$5:$C$70)+SUMIF(Tim!$HS$5:$HS$70,Ins!F42,Tim!$C$5:$C$70)+SUMIF(Tim!$HT$5:$HT$70,Ins!F42,Tim!$C$5:$C$70)+SUMIF(Tim!$HU$5:$HU$70,Ins!F42,Tim!$C$5:$C$70)</f>
        <v>0</v>
      </c>
      <c r="BP42" s="79">
        <f>SUMIF(Tim!$HV$7:$HV$70,Ins!F42,Tim!$B$7:$B$70)</f>
        <v>0</v>
      </c>
      <c r="BQ42" s="80">
        <f>SUMIF(Tim!$HW$7:$HW$70,Ins!F42,Tim!$B$7:$B$70)+SUMIF(Tim!$HX$7:$HX$70,Ins!F42,Tim!$B$7:$B$70)+SUMIF(Tim!$HY$7:$HY$70,Ins!F42,Tim!$B$7:$B$70)+SUMIF(Tim!$HZ$7:$HZ$70,Ins!F42,Tim!$B$7:$B$70)+SUMIF(Tim!$IA$7:$IA$70,Ins!F42,Tim!$B$7:$B$70)+SUMIF(Tim!$IB$7:$IB$70,Ins!F42,Tim!$B$7:$B$70)</f>
        <v>0</v>
      </c>
      <c r="BR42" s="80">
        <f>SUMIF(Tim!$IC$7:$IC$70,Ins!F42,Tim!$B$7:$B$70)+SUMIF(Tim!$ID$7:$ID$70,Ins!F42,Tim!$B$7:$B$70)+SUMIF(Tim!$IE$7:$IE$70,Ins!F42,Tim!$B$7:$B$70)</f>
        <v>0</v>
      </c>
      <c r="BS42" s="80">
        <f>SUMIF(Tim!$IF$7:$IF$70,Ins!F42,Tim!$B$7:$B$70)+SUMIF(Tim!$IG$7:$IG$70,Ins!F42,Tim!$B$7:$B$70)+SUMIF(Tim!$IH$7:$IH$70,Ins!F42,Tim!$B$7:$B$70)+SUMIF(Tim!$II$7:$II$70,Ins!F42,Tim!$B$7:$B$70)+SUMIF(Tim!$IJ$7:$IJ$70,Ins!F42,Tim!$B$7:$B$70)</f>
        <v>0</v>
      </c>
      <c r="BT42" s="80">
        <f>SUMIF(Tim!$IK$7:$IK$70,Ins!F42,Tim!$B$7:$B$70)+SUMIF(Tim!$IL$7:$IL$70,Ins!F42,Tim!$B$7:$B$70)+SUMIF(Tim!$IM$7:$IM$70,Ins!F42,Tim!$B$7:$B$70)</f>
        <v>0</v>
      </c>
      <c r="BU42" s="80">
        <f>SUMIF(Tim!$IN$7:$IN$70,Ins!F42,Tim!$B$7:$B$70)+SUMIF(Tim!$IO$7:$IO$70,Ins!F42,Tim!$B$7:$B$70)+SUMIF(Tim!$IP$7:$IP$70,Ins!F42,Tim!$B$7:$B$70)</f>
        <v>0</v>
      </c>
      <c r="BV42" s="80">
        <f>SUMIF(Tim!$IQ$7:$IQ$70,Ins!F42,Tim!$B$7:$B$70)</f>
        <v>0</v>
      </c>
      <c r="BW42" s="80">
        <f>SUMIF(Tim!$IR$7:$IR$70,Ins!F42,Tim!$D$7:$D$70)+SUMIF(Tim!$IS$7:$IS$70,Ins!F42,Tim!$D$7:$D$70)+SUMIF(Tim!$IT$7:$IT$70,Ins!F42,Tim!$D$7:$D$70)+SUMIF(Tim!$IU$7:$IU$70,Ins!F42,Tim!$D$7:$D$70)+SUMIF(Tim!$IV$7:$IV$70,Ins!F42,Tim!$D$7:$D$70)+SUMIF(Tim!$IW$7:$IW$70,Ins!F42,Tim!$D$7:$D$70)+SUMIF(Tim!$IX$7:$IX$70,Ins!F42,Tim!$D$7:$D$70)+SUMIF(Tim!$IY$7:$IY$70,Ins!F42,Tim!$D$7:$D$70)+SUMIF(Tim!$IZ$7:$IZ$70,Ins!F42,Tim!$D$7:$D$70)+SUMIF(Tim!$JA$7:$JA$70,Ins!F42,Tim!$D$7:$D$70)+SUMIF(Tim!$JB$7:$JB$70,Ins!F42,Tim!$D$7:$D$70)+SUMIF(Tim!$JC$7:$JC$70,Ins!F42,Tim!$D$7:$D$70)</f>
        <v>0</v>
      </c>
      <c r="BX42" s="80">
        <f>SUMIF(Tim!JD$7:JD$70,Ins!F42,Tim!$C$7:$C$70)</f>
        <v>0</v>
      </c>
      <c r="BY42" s="80">
        <f>SUMIF(Tim!JE$7:JE$70,Ins!F42,Tim!$C$7:$C$70)</f>
        <v>0</v>
      </c>
      <c r="BZ42" s="80">
        <f>SUMIF(Tim!JF$7:JF$70,Ins!F42,Tim!$C$7:$C$70)+SUMIF(Tim!JG$7:JG$70,Ins!F42,Tim!$C$7:$C$70)+SUMIF(Tim!JH$7:JH$70,Ins!F42,Tim!$C$7:$C$70)</f>
        <v>0</v>
      </c>
      <c r="CA42" s="81">
        <f>SUMIF(Tim!$JI$7:$JI$70,Ins!F42,Tim!$C$7:$C$70)++SUMIF(Tim!$JJ$7:$JJ$70,Ins!F42,Tim!$C$7:$C$70)+SUMIF(Tim!$JK$7:$JK$70,Ins!F42,Tim!$C$7:$C$70)+SUMIF(Tim!$JL$7:$JL$70,Ins!F42,Tim!$C$7:$C$70)+SUMIF(Tim!$JM$7:$JM$70,Ins!F42,Tim!$C$7:$C$70)</f>
        <v>0</v>
      </c>
      <c r="CB42" s="79">
        <f>SUMIF(Tim!$JN$7:$JN$70,Ins!F42,Tim!$B$7:$B$70)</f>
        <v>0</v>
      </c>
      <c r="CC42" s="80">
        <f>SUMIF(Tim!$JO$7:$JO$70,Ins!F42,Tim!$B$7:$B$70)+SUMIF(Tim!$JP$7:$JP$70,Ins!F42,Tim!$B$7:$B$70)+SUMIF(Tim!$JQ$7:$JQ$70,Ins!F42,Tim!$B$7:$B$70)+SUMIF(Tim!$JR$7:$JR$70,Ins!F42,Tim!$B$7:$B$70)+SUMIF(Tim!$JS$7:$JS$70,Ins!F42,Tim!$B$7:$B$70)+SUMIF(Tim!$JT$7:$JT$70,Ins!F42,Tim!$B$7:$B$70)</f>
        <v>0</v>
      </c>
      <c r="CD42" s="80">
        <f>SUMIF(Tim!$JW$7:$JW$70,Ins!F42,Tim!$B$7:$B$70)+SUMIF(Tim!$JU$7:$JU$70,Ins!F42,Tim!$B$7:$B$70)+SUMIF(Tim!$JV$7:$JV$70,Ins!F42,Tim!$B$7:$B$70)</f>
        <v>0</v>
      </c>
      <c r="CE42" s="80">
        <f>SUMIF(Tim!$JX$7:$JX$70,Ins!F42,Tim!$B$7:$B$70)+SUMIF(Tim!$JY$7:$JY$70,Ins!F42,Tim!$B$7:$B$70)+SUMIF(Tim!$JZ$7:$JZ$70,Ins!F42,Tim!$B$7:$B$70)+SUMIF(Tim!$KA$7:$KA$70,Ins!F42,Tim!$B$7:$B$70)+SUMIF(Tim!$KB$7:$KB$70,Ins!F42,Tim!$B$7:$B$70)</f>
        <v>0</v>
      </c>
      <c r="CF42" s="80">
        <f>SUMIF(Tim!$KE$7:$KE$70,Ins!F42,Tim!$B$7:$B$70)+SUMIF(Tim!$KC$7:$KC$70,Ins!F42,Tim!$B$7:$B$70)+SUMIF(Tim!$KD$7:$KD$70,Ins!F42,Tim!$B$7:$B$70)</f>
        <v>0</v>
      </c>
      <c r="CG42" s="80">
        <f>SUMIF(Tim!$KF$7:$KF$70,Ins!F42,Tim!$B$7:$B$70)+SUMIF(Tim!$KG$7:$KG$70,Ins!F42,Tim!$B$7:$B$70)+SUMIF(Tim!$KH$7:$KH$70,Ins!F42,Tim!$B$7:$B$70)</f>
        <v>0</v>
      </c>
      <c r="CH42" s="80">
        <f>SUMIF(Tim!$KI$7:$KI$70,Ins!F42,Tim!$B$7:$B$70)</f>
        <v>0</v>
      </c>
      <c r="CI42" s="80">
        <f>SUMIF(Tim!$KJ$7:$KJ$70,Ins!F42,Tim!$D$7:$D$70)+SUMIF(Tim!$KK$7:$KK$70,Ins!F42,Tim!$D$7:$D$70)+SUMIF(Tim!$KL$7:$KL$70,Ins!F42,Tim!$D$7:$D$70)+SUMIF(Tim!$KM$7:$KM$70,Ins!F42,Tim!$D$7:$D$70)+SUMIF(Tim!$KN$7:$KN$70,Ins!F42,Tim!$D$7:$D$70)+SUMIF(Tim!$KO$7:$KO$70,Ins!F42,Tim!$D$7:$D$70)+SUMIF(Tim!$KP$7:$KP$70,Ins!F42,Tim!$D$7:$D$70)+SUMIF(Tim!$KQ$7:$KQ$70,Ins!F42,Tim!$D$7:$D$70)+SUMIF(Tim!$KR$7:$KR$70,Ins!F42,Tim!$D$7:$D$70)+SUMIF(Tim!$KS$7:$KS$70,Ins!F42,Tim!$D$7:$D$70)+SUMIF(Tim!$KT$7:$KT$70,Ins!F42,Tim!$D$7:$D$70)+SUMIF(Tim!$KU$7:$KU$70,Ins!F42,Tim!$D$7:$D$70)</f>
        <v>0</v>
      </c>
      <c r="CJ42" s="80">
        <f>SUMIF(Tim!KV$7:KV$70,Ins!F42,Tim!$C$7:$C$70)</f>
        <v>0</v>
      </c>
      <c r="CK42" s="80">
        <f>SUMIF(Tim!KW$7:KW$70,Ins!F42,Tim!$C$7:$C$70)</f>
        <v>0</v>
      </c>
      <c r="CL42" s="80">
        <f>SUMIF(Tim!KX$7:KX$70,Ins!F42,Tim!$C$7:$C$70)+SUMIF(Tim!KY$7:KY$70,Ins!F42,Tim!$C$7:$C$70)+SUMIF(Tim!KZ$7:KZ$70,Ins!F42,Tim!$C$7:$C$70)</f>
        <v>0</v>
      </c>
      <c r="CM42" s="81">
        <f>SUMIF(Tim!$LA$7:$LA$70,Ins!F42,Tim!$C$7:$C$70)+SUMIF(Tim!$LB$7:$LB$70,Ins!F42,Tim!$C$7:$C$70)+SUMIF(Tim!$LC$7:$LC$70,Ins!F42,Tim!$C$7:$C$70)+SUMIF(Tim!$LD$7:$LD$70,Ins!F42,Tim!$C$7:$C$70)+SUMIF(Tim!$LE$7:$LE$70,Ins!F42,Tim!$C$7:$C$70)</f>
        <v>0</v>
      </c>
      <c r="CN42" s="22"/>
      <c r="CO42" s="180">
        <f t="shared" ref="CO42" si="235">H42+T42+AF42+AR42+BD42+BP42+CB42</f>
        <v>0</v>
      </c>
      <c r="CP42" s="179">
        <f t="shared" ref="CP42" si="236">I42+U42+AG42+AS42+BE42+BQ42+CC42</f>
        <v>0</v>
      </c>
      <c r="CQ42" s="179">
        <f t="shared" ref="CQ42" si="237">J42+V42+AH42+AT42+BF42+BR42+CD42</f>
        <v>0</v>
      </c>
      <c r="CR42" s="179">
        <f t="shared" ref="CR42" si="238">K42+W42+AI42+AU42+BG42+BS42+CE42</f>
        <v>0</v>
      </c>
      <c r="CS42" s="179">
        <f t="shared" ref="CS42" si="239">L42+X42+AJ42+AV42+BH42+BT42+CF42</f>
        <v>0</v>
      </c>
      <c r="CT42" s="179">
        <f t="shared" ref="CT42" si="240">M42+Y42+AK42+AW42+BI42+BU42+CG42</f>
        <v>0</v>
      </c>
      <c r="CU42" s="179">
        <f t="shared" ref="CU42" si="241">N42+Z42+AL42+AX42+BJ42+BV42+CH42</f>
        <v>0</v>
      </c>
      <c r="CV42" s="179">
        <f t="shared" ref="CV42" si="242">O42+AA42+AM42+AY42+BK42+BW42+CI42</f>
        <v>0</v>
      </c>
      <c r="CW42" s="179">
        <f t="shared" ref="CW42" si="243">P42+AB42+AN42+AZ42+BL42+BX42+CJ42</f>
        <v>0</v>
      </c>
      <c r="CX42" s="179">
        <f t="shared" ref="CX42" si="244">Q42+AC42+AO42+BA42+BM42+BY42+CK42</f>
        <v>0</v>
      </c>
      <c r="CY42" s="179">
        <f t="shared" ref="CY42" si="245">R42+AD42+AP42+BB42+BN42+BZ42+CL42</f>
        <v>0</v>
      </c>
      <c r="CZ42" s="179">
        <f t="shared" ref="CZ42" si="246">S42+AE42+AQ42+BC42+BO42+CA42+CM42</f>
        <v>1</v>
      </c>
      <c r="DA42" s="78">
        <f t="shared" ref="DA42" si="247">SUM(CO42:CZ42)</f>
        <v>1</v>
      </c>
      <c r="DB42" s="36"/>
      <c r="DC42" s="34">
        <f t="shared" ref="DC42" si="248">SUM(H42:S42)</f>
        <v>0</v>
      </c>
      <c r="DD42" s="34">
        <f t="shared" ref="DD42" si="249">SUM(T42:AE42)</f>
        <v>0</v>
      </c>
      <c r="DE42" s="34">
        <f t="shared" ref="DE42" si="250">SUM(AF42:AQ42)</f>
        <v>0</v>
      </c>
      <c r="DF42" s="34">
        <f t="shared" ref="DF42" si="251">SUM(AR42:BC42)</f>
        <v>1</v>
      </c>
      <c r="DG42" s="34">
        <f t="shared" ref="DG42" si="252">SUM(BD42:BO42)</f>
        <v>0</v>
      </c>
      <c r="DH42" s="34">
        <f t="shared" ref="DH42" si="253">SUM(BP42:CA42)</f>
        <v>0</v>
      </c>
      <c r="DI42" s="34">
        <f t="shared" ref="DI42" si="254">SUM(CB42:CM42)</f>
        <v>0</v>
      </c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7"/>
    </row>
    <row r="43" spans="1:125" s="33" customFormat="1" ht="12" customHeight="1">
      <c r="A43" s="10">
        <v>41</v>
      </c>
      <c r="B43" s="24" t="s">
        <v>416</v>
      </c>
      <c r="C43" s="234"/>
      <c r="D43" s="28"/>
      <c r="E43" s="28" t="s">
        <v>373</v>
      </c>
      <c r="F43" s="185" t="s">
        <v>415</v>
      </c>
      <c r="G43" s="205" t="s">
        <v>191</v>
      </c>
      <c r="H43" s="79">
        <f>SUMIF(Tim!$F$7:$F$70,Ins!F43,Tim!$B$7:$B$70)</f>
        <v>0</v>
      </c>
      <c r="I43" s="80">
        <f>SUMIF(Tim!$G$7:$G$70,Ins!F43,Tim!$B$7:$B$70)+SUMIF(Tim!$H$7:$H$70,Ins!F43,Tim!$B$7:$B$70)+SUMIF(Tim!$I$7:$I$70,Ins!F43,Tim!$B$7:$B$70)+SUMIF(Tim!$J$7:$J$70,Ins!F43,Tim!$B$7:$B$70)+SUMIF(Tim!$K$7:$K$70,Ins!F43,Tim!$B$7:$B$70)+SUMIF(Tim!$L$7:$L$70,Ins!F43,Tim!$B$7:$B$70)</f>
        <v>0</v>
      </c>
      <c r="J43" s="80">
        <f>SUMIF(Tim!$M$7:$M$70,Ins!F43,Tim!$B$7:$B$70)+SUMIF(Tim!$O$7:$O$70,Ins!F43,Tim!$B$7:$B$70)+SUMIF(Tim!$N$7:$N$70,Ins!F43,Tim!$B$7:$B$70)</f>
        <v>0</v>
      </c>
      <c r="K43" s="80">
        <f>SUMIF(Tim!$P$7:$P$70,Ins!F43,Tim!$B$7:$B$70)+SUMIF(Tim!$Q$7:$Q$70,Ins!F43,Tim!$B$7:$B$70)+SUMIF(Tim!$R$7:$R$70,Ins!F43,Tim!$B$7:$B$70)+SUMIF(Tim!$S$7:$S$70,Ins!F43,Tim!$B$7:$B$70)+SUMIF(Tim!$T$7:$T$70,Ins!F43,Tim!$B$7:$B$70)</f>
        <v>0</v>
      </c>
      <c r="L43" s="80">
        <f>SUMIF(Tim!$U$7:$U$70,Ins!F43,Tim!$B$7:$B$70)+SUMIF(Tim!$W$7:$W$70,Ins!F43,Tim!$B$7:$B$70)+SUMIF(Tim!$X$7:$X$70,Ins!F43,Tim!$B$7:$B$70)</f>
        <v>0</v>
      </c>
      <c r="M43" s="80">
        <f>SUMIF(Tim!$Y$7:$Y$70,Ins!F43,Tim!$B$7:$B$70)+SUMIF(Tim!$Z$7:$Z$70,Ins!F43,Tim!$B$7:$B$70)+SUMIF(Tim!$AA$7:$AA$70,Ins!F43,Tim!$B$7:$B$70)</f>
        <v>0</v>
      </c>
      <c r="N43" s="80">
        <f>SUMIF(Tim!$AB$7:$AB$70,Ins!F43,Tim!$B$7:$B$70)</f>
        <v>0</v>
      </c>
      <c r="O43" s="80">
        <f>SUMIF(Tim!$AC$7:$AC$70,Ins!F43,Tim!$D$7:$D$70)+SUMIF(Tim!$AD$7:$AD$70,Ins!F43,Tim!$D$7:$D$70)+SUMIF(Tim!$AE$7:$AE$70,Ins!F43,Tim!$D$7:$D$70)+SUMIF(Tim!$AF$7:$AF$70,Ins!F43,Tim!$D$7:$D$70)+SUMIF(Tim!$AG$7:$AG$70,Ins!F43,Tim!$D$7:$D$70)+SUMIF(Tim!$AH$7:$AH$70,Ins!F43,Tim!$D$7:$D$70)+SUMIF(Tim!$AI$7:$AI$70,Ins!F43,Tim!$D$7:$D$70)+SUMIF(Tim!$AJ$7:$AJ$70,Ins!F43,Tim!$D$7:$D$70)+SUMIF(Tim!$AK$7:$AK$70,Ins!F43,Tim!$D$7:$D$70)+SUMIF(Tim!$AL$7:$AL$70,Ins!F43,Tim!$D$7:$D$70)+SUMIF(Tim!$AM$7:$AM$70,Ins!F43,Tim!$D$7:$D$70)+SUMIF(Tim!$AN$7:$AN$70,Ins!F43,Tim!$D$7:$D$70)</f>
        <v>0</v>
      </c>
      <c r="P43" s="80">
        <f>SUMIF(Tim!AO$7:AO$70,Ins!F43,Tim!$C$7:$C$70)</f>
        <v>0</v>
      </c>
      <c r="Q43" s="80">
        <f>SUMIF(Tim!AP$7:AP$70,Ins!F43,Tim!$C$7:$C$70)</f>
        <v>0</v>
      </c>
      <c r="R43" s="80">
        <f>SUMIF(Tim!AQ$7:AQ$70,Ins!F43,Tim!$C$7:$C$70)+SUMIF(Tim!AR$7:AR$70,Ins!F43,Tim!$C$7:$C$70)+SUMIF(Tim!AS$7:AS$70,Ins!F43,Tim!$C$7:$C$70)</f>
        <v>0</v>
      </c>
      <c r="S43" s="236">
        <f>SUMIF(Tim!$AT$7:$AT$70,Ins!F43,Tim!$C$7:$C$70)+SUMIF(Tim!$AU$7:$AU$70,Ins!F43,Tim!$C$7:$C103)+SUMIF(Tim!$AV$7:$AV$70,Ins!F43,Tim!$C$7:$C$70)+SUMIF(Tim!$AW$7:$AW$70,Ins!F43,Tim!$C$7:$C$70)+SUMIF(Tim!$AX$7:$AX$70,Ins!F43,Tim!$C$7:$C$70)</f>
        <v>0</v>
      </c>
      <c r="T43" s="79">
        <f>SUMIF(Tim!$AY$7:$AY$70,Ins!F43,Tim!$B$7:$B$70)</f>
        <v>0</v>
      </c>
      <c r="U43" s="80">
        <f>SUMIF(Tim!$AZ$7:$AZ$70,Ins!F43,Tim!$B$7:$B$70)+SUMIF(Tim!$BA$7:$BA$70,Ins!F43,Tim!$B$7:$B$70)+SUMIF(Tim!$BB$7:$BB$70,Ins!F43,Tim!$B$7:$B$70)+SUMIF(Tim!$BC$7:$BC$70,Ins!F43,Tim!$B$7:$B$70)+SUMIF(Tim!$BD$7:$BD$70,Ins!F43,Tim!$B$7:$B$70)+SUMIF(Tim!$BE$7:$BE$70,Ins!F43,Tim!$B$7:$B$70)</f>
        <v>0</v>
      </c>
      <c r="V43" s="80">
        <f>SUMIF(Tim!$BF$7:$BF$70,Ins!F43,Tim!$B$7:$B$70)+SUMIF(Tim!$BG$7:$BG$70,Ins!F43,Tim!$B$7:$B$70)+SUMIF(Tim!$BH$7:$BH$70,Ins!F43,Tim!$B$7:$B$70)</f>
        <v>0</v>
      </c>
      <c r="W43" s="80">
        <f>SUMIF(Tim!$BI$7:$BI$70,Ins!F43,Tim!$B$7:$B$70)+SUMIF(Tim!$BJ$7:$BJ$70,Ins!F43,Tim!$B$7:$B$70)+SUMIF(Tim!$BK$7:$BK$70,Ins!F43,Tim!$B$7:$B$70)+SUMIF(Tim!$BL$7:$BL$70,Ins!F43,Tim!$B$7:$B$70)+SUMIF(Tim!$BM$7:$BM$70,Ins!F43,Tim!$B$7:$B$70)</f>
        <v>0</v>
      </c>
      <c r="X43" s="80">
        <f>SUMIF(Tim!$BN$7:$BN$70,Ins!F43,Tim!$B$7:$B$70)+SUMIF(Tim!$BO$7:$BO$70,Ins!F43,Tim!$B$7:$B$70)+SUMIF(Tim!$BP$7:$BP$70,Ins!F43,Tim!$B$7:$B$70)</f>
        <v>0</v>
      </c>
      <c r="Y43" s="80">
        <f>SUMIF(Tim!$BQ$7:$BQ$70,Ins!F43,Tim!$B$7:$B$70)+SUMIF(Tim!$BR$7:$BR$70,Ins!F43,Tim!$B$7:$B$70)+SUMIF(Tim!$BS$7:$BS$70,Ins!F43,Tim!$B$7:$B$70)</f>
        <v>0</v>
      </c>
      <c r="Z43" s="80">
        <f>SUMIF(Tim!BT$7:BT$70,Ins!F43,Tim!$B$7:$B$70)</f>
        <v>0</v>
      </c>
      <c r="AA43" s="80">
        <f>SUMIF(Tim!$BU$7:$BU$70,Ins!F43,Tim!$D$7:$D$70)+SUMIF(Tim!$BV$7:$BV$70,Ins!F43,Tim!$D$7:$D$70)+SUMIF(Tim!$BW$7:$BW$70,Ins!F43,Tim!$D$7:$D$70)+SUMIF(Tim!$BX$7:$BX$70,Ins!F43,Tim!$D$7:$D$70)+SUMIF(Tim!$BY$7:$BY$70,Ins!F43,Tim!$D$7:$D$70)+SUMIF(Tim!$BZ$7:$BZ$70,Ins!F43,Tim!$D$7:$D$70)+SUMIF(Tim!$CA$7:$CA$70,Ins!F43,Tim!$D$7:$D$70)+SUMIF(Tim!$CB$7:$CB$70,Ins!F43,Tim!$D$7:$D$70)+SUMIF(Tim!$CC$7:$CC$70,Ins!F43,Tim!$D$7:$D$70)+SUMIF(Tim!$CD$7:$CD$70,Ins!F43,Tim!$D$7:$D$70)+SUMIF(Tim!$CE$7:$CE$70,Ins!F43,Tim!$D$7:$D$70)+SUMIF(Tim!$CF$7:$CF$70,Ins!F43,Tim!$D$7:$D$70)</f>
        <v>0</v>
      </c>
      <c r="AB43" s="80">
        <f>SUMIF(Tim!CG$7:CG$70,Ins!F43,Tim!$C$7:$C$70)</f>
        <v>0</v>
      </c>
      <c r="AC43" s="80">
        <f>SUMIF(Tim!CH$7:CH$70,Ins!F43,Tim!$C$7:$C$70)</f>
        <v>0</v>
      </c>
      <c r="AD43" s="80">
        <f>SUMIF(Tim!CI$7:CI$70,Ins!F43,Tim!$C$7:$C$70)+SUMIF(Tim!CJ$7:CJ$70,Ins!F43,Tim!$C$7:$C$70)+SUMIF(Tim!CK$7:CK$70,Ins!F43,Tim!$C$7:$C$70)</f>
        <v>0</v>
      </c>
      <c r="AE43" s="81">
        <f>SUMIF(Tim!$CL$7:$CL$70,Ins!F43,Tim!$C$7:$C$70)+SUMIF(Tim!$CM$7:$CM$70,Ins!F43,Tim!$C$7:$C$70)+SUMIF(Tim!$CN$7:$CN$70,Ins!F43,Tim!$C$7:$C$70)+SUMIF(Tim!$CO$7:$CO$70,Ins!F43,Tim!$C$7:$C$70)+SUMIF(Tim!$CP$7:$CP$70,Ins!F43,Tim!$C$7:$C$70)</f>
        <v>0</v>
      </c>
      <c r="AF43" s="79">
        <f>SUMIF(Tim!$CQ$7:$CQ$70,Ins!F43,Tim!$B$7:$B$70)</f>
        <v>0</v>
      </c>
      <c r="AG43" s="80">
        <f>SUMIF(Tim!$CR$7:$CR$70,Ins!F43,Tim!$B$7:$B$70)+SUMIF(Tim!$CS$7:$CS$70,Ins!F43,Tim!$B$7:$B$70)+SUMIF(Tim!$CT$7:$CT$70,Ins!F43,Tim!$B$7:$B$70)+SUMIF(Tim!$CU$7:$CU$70,Ins!F43,Tim!$B$7:$B$70)+SUMIF(Tim!$CV$7:$CV$70,Ins!F43,Tim!$B$7:$B$70)+SUMIF(Tim!$CW$7:$CW$70,Ins!F43,Tim!$B$7:$B$70)</f>
        <v>0</v>
      </c>
      <c r="AH43" s="80">
        <f>SUMIF(Tim!$CX$7:$CX$70,Ins!F43,Tim!$B$7:$B$70)+SUMIF(Tim!$CY$7:$CY$70,Ins!F43,Tim!$B$7:$B$70)+SUMIF(Tim!$CZ$7:$CZ$70,Ins!F43,Tim!$B$7:$B$70)</f>
        <v>0</v>
      </c>
      <c r="AI43" s="80">
        <f>SUMIF(Tim!$DA$7:$DA$70,Ins!F43,Tim!$B$7:$B$70)+SUMIF(Tim!$DB$7:$DB$70,Ins!F43,Tim!$B$7:$B$70)+SUMIF(Tim!$DC$7:$DC$70,Ins!F43,Tim!$B$7:$B$70)+SUMIF(Tim!$DD$7:$DD$70,Ins!F43,Tim!$B$7:$B$70)+SUMIF(Tim!$DE$7:$DE$70,Ins!F43,Tim!$B$7:$B$70)</f>
        <v>0</v>
      </c>
      <c r="AJ43" s="80">
        <f>SUMIF(Tim!$DF$7:$DF$70,Ins!F43,Tim!$B$7:$B$70)+SUMIF(Tim!$DG$7:$DG$70,Ins!F43,Tim!$B$7:$B$70)+SUMIF(Tim!$DH$7:$DH$70,Ins!F43,Tim!$B$7:$B$70)</f>
        <v>0</v>
      </c>
      <c r="AK43" s="80">
        <f>SUMIF(Tim!DI$7:DI$70,Ins!F43,Tim!$B$7:$B$70)+SUMIF(Tim!DM$7:DM$70,Ins!F43,Tim!$B$7:$B$70)+SUMIF(Tim!DN$7:DN$70,Ins!F43,Tim!$B$7:$B$70)</f>
        <v>0</v>
      </c>
      <c r="AL43" s="80">
        <f>SUMIF(Tim!DO$7:DO$70,Ins!F43,Tim!$B$7:$B$70)</f>
        <v>0</v>
      </c>
      <c r="AM43" s="80">
        <f>SUMIF(Tim!$DP$7:$DP$70,Ins!F43,Tim!$D$7:$D$70)+SUMIF(Tim!$DQ$7:$DQ$70,Ins!F43,Tim!$D$7:$D$70)+SUMIF(Tim!$DR$7:$DR$70,Ins!F43,Tim!$D$7:$D$70)+SUMIF(Tim!$DS$7:$DS$70,Ins!F43,Tim!$D$7:$D$70)+SUMIF(Tim!$DT$7:$DT$70,Ins!F43,Tim!$D$7:$D$70)+SUMIF(Tim!$DU$7:$DU$70,Ins!F43,Tim!$D$7:$D$70)+SUMIF(Tim!$DV$7:$DV$70,Ins!F43,Tim!$D$7:$D$70)+SUMIF(Tim!$DW$7:$DW$70,Ins!F43,Tim!$D$7:$D$70)+SUMIF(Tim!$DX$7:$DX$70,Ins!F43,Tim!$D$7:$D$70)+SUMIF(Tim!$DY$7:$DY$70,Ins!F43,Tim!$D$7:$D$70)+SUMIF(Tim!$DZ$7:$DZ$70,Ins!F43,Tim!$D$7:$D$70)+SUMIF(Tim!$EA$7:$EA$70,Ins!F43,Tim!$D$7:$D$70)</f>
        <v>0</v>
      </c>
      <c r="AN43" s="80">
        <f>SUMIF(Tim!EB$7:EB$70,Ins!F43,Tim!$C$7:$C$70)</f>
        <v>0</v>
      </c>
      <c r="AO43" s="80">
        <f>SUMIF(Tim!EC$7:EC$70,Ins!F43,Tim!$C$7:$C$70)</f>
        <v>0</v>
      </c>
      <c r="AP43" s="80">
        <f>SUMIF(Tim!ED$7:ED$70,Ins!F43,Tim!$C$7:$C$70)+SUMIF(Tim!EE$7:EE$70,Ins!F43,Tim!$C$7:$C$70)+SUMIF(Tim!EF$7:EF$70,Ins!F43,Tim!$C$7:$C$70)</f>
        <v>0</v>
      </c>
      <c r="AQ43" s="81">
        <f>SUMIF(Tim!$EG$7:$EG$70,Ins!F43,Tim!$C$7:$C$70)+SUMIF(Tim!$EH$7:$EH$70,Ins!F43,Tim!$C$7:$C$70)+SUMIF(Tim!$EI$7:$EI$70,Ins!F43,Tim!$C$7:$C$70)+SUMIF(Tim!$EJ$7:$EJ$70,Ins!F43,Tim!$C$7:$C$70)+SUMIF(Tim!$EK$7:$EK$70,Ins!F43,Tim!$C$7:$C$70)</f>
        <v>0</v>
      </c>
      <c r="AR43" s="79">
        <f>SUMIF(Tim!$EL$5:$EL$70,Ins!F43,Tim!$B$5:$B$70)</f>
        <v>0</v>
      </c>
      <c r="AS43" s="80">
        <f>SUMIF(Tim!$EM$5:$EM$70,Ins!F43,Tim!$B$5:$B$70)+SUMIF(Tim!$EN$5:$EN$70,Ins!F43,Tim!$B$5:$B$70)+SUMIF(Tim!$EO$5:$EO$70,Ins!F43,Tim!$B$5:$B$70)+SUMIF(Tim!$EP$5:$EP$70,Ins!F43,Tim!$B$5:$B$70)+SUMIF(Tim!$EQ$5:$EQ$70,Ins!F43,Tim!$B$5:$B$70)+SUMIF(Tim!$ER$5:$ER$70,Ins!F43,Tim!$B$5:$B$70)</f>
        <v>0</v>
      </c>
      <c r="AT43" s="80">
        <f>SUMIF(Tim!$ES$5:$ES$70,Ins!F43,Tim!$B$5:$B$70)+SUMIF(Tim!$ET$5:$ET$70,Ins!F43,Tim!$B$5:$B$70)+SUMIF(Tim!$EU$5:$EU$70,Ins!F43,Tim!$B$5:$B$70)</f>
        <v>0</v>
      </c>
      <c r="AU43" s="80">
        <f>SUMIF(Tim!$EV$5:$EV$70,Ins!F43,Tim!$B$5:$B$70)+SUMIF(Tim!$EW$5:$EW$70,Ins!F43,Tim!$B$5:$B$70)+SUMIF(Tim!$EX$5:$EX$70,Ins!F43,Tim!$B$5:$B$70)+SUMIF(Tim!$EY$5:$EY$70,Ins!F43,Tim!$B$5:$B$70)+SUMIF(Tim!$EZ$5:$EZ$70,Ins!F43,Tim!$B$5:$B$70)</f>
        <v>0</v>
      </c>
      <c r="AV43" s="80">
        <f>SUMIF(Tim!$FA$5:$FA$70,Ins!F43,Tim!$B$5:$B$70)+SUMIF(Tim!$FB$5:$FB$70,Ins!F43,Tim!$B$5:$B$70)+SUMIF(Tim!$FC$5:$FC$70,Ins!F43,Tim!$B$5:$B$70)</f>
        <v>0</v>
      </c>
      <c r="AW43" s="80">
        <f>SUMIF(Tim!FD$5:FD$70,Ins!F43,Tim!$B$5:$B$70)+SUMIF(Tim!FE$5:FE$70,Ins!F43,Tim!$B$5:$B$70)+SUMIF(Tim!FF$5:FF$70,Ins!F43,Tim!$B$5:$B$70)</f>
        <v>0</v>
      </c>
      <c r="AX43" s="80">
        <f>SUMIF(Tim!FG$5:FG$70,Ins!F43,Tim!$B$5:$B$70)</f>
        <v>0</v>
      </c>
      <c r="AY43" s="80">
        <f>SUMIF(Tim!$FH$5:$FH$70,Ins!F43,Tim!$D$5:$D$70)+SUMIF(Tim!$FI$5:$FI$70,Ins!F43,Tim!$D$5:$D$70)+SUMIF(Tim!$FJ$5:$FJ$70,Ins!F43,Tim!$D$5:$D$70)+SUMIF(Tim!$FK$5:$FK$70,Ins!F43,Tim!$D$5:$D$70)+SUMIF(Tim!$FL$5:$FL$70,Ins!F43,Tim!$D$5:$D$70)+SUMIF(Tim!$FM$5:$FM$70,Ins!F43,Tim!$D$5:$D$70)+SUMIF(Tim!$FN$5:$FN$70,Ins!F43,Tim!$D$5:$D$70)+SUMIF(Tim!$FO$5:$FO$70,Ins!F43,Tim!$D$5:$D$70)+SUMIF(Tim!$FP$5:$FP$70,Ins!F43,Tim!$D$5:$D$70)+SUMIF(Tim!$FQ$5:$FQ$70,Ins!F43,Tim!$D$5:$D$70)+SUMIF(Tim!$FR$5:$FR$70,Ins!F43,Tim!$D$5:$D$70)+SUMIF(Tim!$FS$5:$FS$70,Ins!F43,Tim!$D$5:$D$70)</f>
        <v>0</v>
      </c>
      <c r="AZ43" s="80">
        <f>SUMIF(Tim!FT$5:FT$70,Ins!F43,Tim!$C$5:$C$70)</f>
        <v>0</v>
      </c>
      <c r="BA43" s="80">
        <f>SUMIF(Tim!FU$5:FU$70,Ins!F43,Tim!$C$5:$C$70)</f>
        <v>0</v>
      </c>
      <c r="BB43" s="80">
        <f>SUMIF(Tim!FV$5:FV$70,Ins!F43,Tim!$C$5:$C$70)+SUMIF(Tim!FW$5:FW$70,Ins!F43,Tim!$C$5:$C$70)+SUMIF(Tim!FX$5:FX$70,Ins!F43,Tim!$C$5:$C$70)</f>
        <v>0</v>
      </c>
      <c r="BC43" s="81">
        <f>SUMIF(Tim!$FY$5:$FY$70,Ins!F43,Tim!$C$5:$C$70)+SUMIF(Tim!$FZ$5:$FZ$70,Ins!F43,Tim!$C$5:$C$70)+SUMIF(Tim!$GA$5:$GA$70,Ins!F43,Tim!$C$5:$C$70)+SUMIF(Tim!$GB$5:$GB$70,Ins!F43,Tim!$C$5:$C$70)+SUMIF(Tim!$GC$5:$GC$70,Ins!F43,Tim!$C$5:$C$70)</f>
        <v>0</v>
      </c>
      <c r="BD43" s="79">
        <f>SUMIF(Tim!$GD$5:$GD$70,Ins!F43,Tim!$B$5:$B$70)</f>
        <v>0</v>
      </c>
      <c r="BE43" s="80">
        <f>SUMIF(Tim!$GE$5:$GE$70,Ins!F43,Tim!$B$5:$B$70)+SUMIF(Tim!$GF$5:$GF$70,Ins!F43,Tim!$B$5:$B$70)+SUMIF(Tim!$GG$5:$GG$70,Ins!F43,Tim!$B$5:$B$70)+SUMIF(Tim!$GH$5:$GH$70,Ins!F43,Tim!$B$5:$B$70)+SUMIF(Tim!$GI$5:$GI$70,Ins!F43,Tim!$B$5:$B$70)+SUMIF(Tim!$GJ$5:$GJ$70,Ins!F43,Tim!$B$5:$B$70)</f>
        <v>0</v>
      </c>
      <c r="BF43" s="80">
        <f>SUMIF(Tim!$GK$5:$GK$70,Ins!F43,Tim!$B$5:$B$70)+SUMIF(Tim!$GL$5:$GL$70,Ins!F43,Tim!$B$5:$B$70)+SUMIF(Tim!$GM$5:$GM$70,Ins!F43,Tim!$B$5:$B$70)</f>
        <v>0</v>
      </c>
      <c r="BG43" s="80">
        <f>SUMIF(Tim!$GN$5:$GN$70,Ins!F43,Tim!$B$5:$B$70)+SUMIF(Tim!$GO$5:$GO$70,Ins!F43,Tim!$B$5:$B$70)+SUMIF(Tim!$GP$5:$GP$70,Ins!F43,Tim!$B$5:$B$70)+SUMIF(Tim!$GQ$5:$GQ$70,Ins!F43,Tim!$B$5:$B$70)+SUMIF(Tim!$GR$5:$GR$70,Ins!F43,Tim!$B$5:$B$70)</f>
        <v>0</v>
      </c>
      <c r="BH43" s="80">
        <f>SUMIF(Tim!$GS$5:$GS$70,Ins!F43,Tim!$B$5:$B$70)+SUMIF(Tim!$GT$5:$GT$70,Ins!F43,Tim!$B$5:$B$70)+SUMIF(Tim!$GU$5:$GU$70,Ins!F43,Tim!$B$5:$B$70)</f>
        <v>0</v>
      </c>
      <c r="BI43" s="80">
        <f>SUMIF(Tim!GV$5:GV$70,Ins!F43,Tim!$B$5:$B$70)+SUMIF(Tim!GW$5:GW$70,Ins!F43,Tim!$B$5:$B$70)+SUMIF(Tim!GX$5:GX$70,Ins!F43,Tim!$B$5:$B$70)</f>
        <v>0</v>
      </c>
      <c r="BJ43" s="80">
        <f>SUMIF(Tim!GY$5:GY$70,Ins!F43,Tim!$B$5:$B$70)</f>
        <v>0</v>
      </c>
      <c r="BK43" s="80">
        <f>SUMIF(Tim!$GZ$5:$GZ$70,Ins!F43,Tim!$D$5:$D$70)+SUMIF(Tim!$HA$5:$HA$70,Ins!F43,Tim!$D$5:$D$70)+SUMIF(Tim!$HB$5:$HB$70,Ins!F43,Tim!$D$5:$D$70)++SUMIF(Tim!$HC$5:$HC$70,Ins!F43,Tim!$D$5:$D$70)+SUMIF(Tim!$HD$5:$HD$70,Ins!F43,Tim!$D$5:$D$70)+SUMIF(Tim!$HE$5:$HE$70,Ins!F43,Tim!$D$5:$D$70)+SUMIF(Tim!$HF$5:$HF$70,Ins!F43,Tim!$D$5:$D$70)+SUMIF(Tim!$HG$5:$HG$70,Ins!F43,Tim!$D$5:$D$70)+SUMIF(Tim!$HH$5:$HH$70,Ins!F43,Tim!$D$5:$D$70)+SUMIF(Tim!$HI$5:$HI$70,Ins!F43,Tim!$D$5:$D$70)+SUMIF(Tim!$HJ$5:$HJ$70,Ins!F43,Tim!$D$5:$D$70)+SUMIF(Tim!$HK$5:$HK$70,Ins!F43,Tim!$D$5:$D$70)</f>
        <v>0</v>
      </c>
      <c r="BL43" s="80">
        <f>SUMIF(Tim!HL$5:HL$70,Ins!F43,Tim!$C$5:$C$70)</f>
        <v>0</v>
      </c>
      <c r="BM43" s="80">
        <f>SUMIF(Tim!HM$5:HM$70,Ins!F43,Tim!$C$5:$C$70)</f>
        <v>0</v>
      </c>
      <c r="BN43" s="80">
        <f>SUMIF(Tim!HN$5:HN$70,Ins!F43,Tim!$C$5:$C$70)+SUMIF(Tim!HO$5:HO$70,Ins!F43,Tim!$C$5:$C$70)+SUMIF(Tim!HP$5:HP$70,Ins!F43,Tim!$C$5:$C$70)</f>
        <v>0</v>
      </c>
      <c r="BO43" s="81">
        <f>SUMIF(Tim!$HQ$5:$HQ$70,Ins!F43,Tim!$C$5:$C$70)+SUMIF(Tim!$HR$5:$HR$70,Ins!F43,Tim!$C$5:$C$70)+SUMIF(Tim!$HS$5:$HS$70,Ins!F43,Tim!$C$5:$C$70)+SUMIF(Tim!$HT$5:$HT$70,Ins!F43,Tim!$C$5:$C$70)+SUMIF(Tim!$HU$5:$HU$70,Ins!F43,Tim!$C$5:$C$70)</f>
        <v>0</v>
      </c>
      <c r="BP43" s="79">
        <f>SUMIF(Tim!$HV$7:$HV$70,Ins!F43,Tim!$B$7:$B$70)</f>
        <v>0</v>
      </c>
      <c r="BQ43" s="80">
        <f>SUMIF(Tim!$HW$7:$HW$70,Ins!F43,Tim!$B$7:$B$70)+SUMIF(Tim!$HX$7:$HX$70,Ins!F43,Tim!$B$7:$B$70)+SUMIF(Tim!$HY$7:$HY$70,Ins!F43,Tim!$B$7:$B$70)+SUMIF(Tim!$HZ$7:$HZ$70,Ins!F43,Tim!$B$7:$B$70)+SUMIF(Tim!$IA$7:$IA$70,Ins!F43,Tim!$B$7:$B$70)+SUMIF(Tim!$IB$7:$IB$70,Ins!F43,Tim!$B$7:$B$70)</f>
        <v>0</v>
      </c>
      <c r="BR43" s="80">
        <f>SUMIF(Tim!$IC$7:$IC$70,Ins!F43,Tim!$B$7:$B$70)+SUMIF(Tim!$ID$7:$ID$70,Ins!F43,Tim!$B$7:$B$70)+SUMIF(Tim!$IE$7:$IE$70,Ins!F43,Tim!$B$7:$B$70)</f>
        <v>0</v>
      </c>
      <c r="BS43" s="80">
        <f>SUMIF(Tim!$IF$7:$IF$70,Ins!F43,Tim!$B$7:$B$70)+SUMIF(Tim!$IG$7:$IG$70,Ins!F43,Tim!$B$7:$B$70)+SUMIF(Tim!$IH$7:$IH$70,Ins!F43,Tim!$B$7:$B$70)+SUMIF(Tim!$II$7:$II$70,Ins!F43,Tim!$B$7:$B$70)+SUMIF(Tim!$IJ$7:$IJ$70,Ins!F43,Tim!$B$7:$B$70)</f>
        <v>0</v>
      </c>
      <c r="BT43" s="80">
        <f>SUMIF(Tim!$IK$7:$IK$70,Ins!F43,Tim!$B$7:$B$70)+SUMIF(Tim!$IL$7:$IL$70,Ins!F43,Tim!$B$7:$B$70)+SUMIF(Tim!$IM$7:$IM$70,Ins!F43,Tim!$B$7:$B$70)</f>
        <v>0</v>
      </c>
      <c r="BU43" s="80">
        <f>SUMIF(Tim!$IN$7:$IN$70,Ins!F43,Tim!$B$7:$B$70)+SUMIF(Tim!$IO$7:$IO$70,Ins!F43,Tim!$B$7:$B$70)+SUMIF(Tim!$IP$7:$IP$70,Ins!F43,Tim!$B$7:$B$70)</f>
        <v>0</v>
      </c>
      <c r="BV43" s="80">
        <f>SUMIF(Tim!$IQ$7:$IQ$70,Ins!F43,Tim!$B$7:$B$70)</f>
        <v>0</v>
      </c>
      <c r="BW43" s="80">
        <f>SUMIF(Tim!$IR$7:$IR$70,Ins!F43,Tim!$D$7:$D$70)+SUMIF(Tim!$IS$7:$IS$70,Ins!F43,Tim!$D$7:$D$70)+SUMIF(Tim!$IT$7:$IT$70,Ins!F43,Tim!$D$7:$D$70)+SUMIF(Tim!$IU$7:$IU$70,Ins!F43,Tim!$D$7:$D$70)+SUMIF(Tim!$IV$7:$IV$70,Ins!F43,Tim!$D$7:$D$70)+SUMIF(Tim!$IW$7:$IW$70,Ins!F43,Tim!$D$7:$D$70)+SUMIF(Tim!$IX$7:$IX$70,Ins!F43,Tim!$D$7:$D$70)+SUMIF(Tim!$IY$7:$IY$70,Ins!F43,Tim!$D$7:$D$70)+SUMIF(Tim!$IZ$7:$IZ$70,Ins!F43,Tim!$D$7:$D$70)+SUMIF(Tim!$JA$7:$JA$70,Ins!F43,Tim!$D$7:$D$70)+SUMIF(Tim!$JB$7:$JB$70,Ins!F43,Tim!$D$7:$D$70)+SUMIF(Tim!$JC$7:$JC$70,Ins!F43,Tim!$D$7:$D$70)</f>
        <v>0</v>
      </c>
      <c r="BX43" s="80">
        <f>SUMIF(Tim!JD$7:JD$70,Ins!F43,Tim!$C$7:$C$70)</f>
        <v>0</v>
      </c>
      <c r="BY43" s="80">
        <f>SUMIF(Tim!JE$7:JE$70,Ins!F43,Tim!$C$7:$C$70)</f>
        <v>0</v>
      </c>
      <c r="BZ43" s="80">
        <f>SUMIF(Tim!JF$7:JF$70,Ins!F43,Tim!$C$7:$C$70)+SUMIF(Tim!JG$7:JG$70,Ins!F43,Tim!$C$7:$C$70)+SUMIF(Tim!JH$7:JH$70,Ins!F43,Tim!$C$7:$C$70)</f>
        <v>0</v>
      </c>
      <c r="CA43" s="81">
        <f>SUMIF(Tim!$JI$7:$JI$70,Ins!F43,Tim!$C$7:$C$70)++SUMIF(Tim!$JJ$7:$JJ$70,Ins!F43,Tim!$C$7:$C$70)+SUMIF(Tim!$JK$7:$JK$70,Ins!F43,Tim!$C$7:$C$70)+SUMIF(Tim!$JL$7:$JL$70,Ins!F43,Tim!$C$7:$C$70)+SUMIF(Tim!$JM$7:$JM$70,Ins!F43,Tim!$C$7:$C$70)</f>
        <v>0</v>
      </c>
      <c r="CB43" s="79">
        <f>SUMIF(Tim!$JN$7:$JN$70,Ins!F43,Tim!$B$7:$B$70)</f>
        <v>0</v>
      </c>
      <c r="CC43" s="80">
        <f>SUMIF(Tim!$JO$7:$JO$70,Ins!F43,Tim!$B$7:$B$70)+SUMIF(Tim!$JP$7:$JP$70,Ins!F43,Tim!$B$7:$B$70)+SUMIF(Tim!$JQ$7:$JQ$70,Ins!F43,Tim!$B$7:$B$70)+SUMIF(Tim!$JR$7:$JR$70,Ins!F43,Tim!$B$7:$B$70)+SUMIF(Tim!$JS$7:$JS$70,Ins!F43,Tim!$B$7:$B$70)+SUMIF(Tim!$JT$7:$JT$70,Ins!F43,Tim!$B$7:$B$70)</f>
        <v>0</v>
      </c>
      <c r="CD43" s="80">
        <f>SUMIF(Tim!$JW$7:$JW$70,Ins!F43,Tim!$B$7:$B$70)+SUMIF(Tim!$JU$7:$JU$70,Ins!F43,Tim!$B$7:$B$70)+SUMIF(Tim!$JV$7:$JV$70,Ins!F43,Tim!$B$7:$B$70)</f>
        <v>0</v>
      </c>
      <c r="CE43" s="80">
        <f>SUMIF(Tim!$JX$7:$JX$70,Ins!F43,Tim!$B$7:$B$70)+SUMIF(Tim!$JY$7:$JY$70,Ins!F43,Tim!$B$7:$B$70)+SUMIF(Tim!$JZ$7:$JZ$70,Ins!F43,Tim!$B$7:$B$70)+SUMIF(Tim!$KA$7:$KA$70,Ins!F43,Tim!$B$7:$B$70)+SUMIF(Tim!$KB$7:$KB$70,Ins!F43,Tim!$B$7:$B$70)</f>
        <v>0</v>
      </c>
      <c r="CF43" s="80">
        <f>SUMIF(Tim!$KE$7:$KE$70,Ins!F43,Tim!$B$7:$B$70)+SUMIF(Tim!$KC$7:$KC$70,Ins!F43,Tim!$B$7:$B$70)+SUMIF(Tim!$KD$7:$KD$70,Ins!F43,Tim!$B$7:$B$70)</f>
        <v>0</v>
      </c>
      <c r="CG43" s="80">
        <f>SUMIF(Tim!$KF$7:$KF$70,Ins!F43,Tim!$B$7:$B$70)+SUMIF(Tim!$KG$7:$KG$70,Ins!F43,Tim!$B$7:$B$70)+SUMIF(Tim!$KH$7:$KH$70,Ins!F43,Tim!$B$7:$B$70)</f>
        <v>0</v>
      </c>
      <c r="CH43" s="80">
        <f>SUMIF(Tim!$KI$7:$KI$70,Ins!F43,Tim!$B$7:$B$70)</f>
        <v>0</v>
      </c>
      <c r="CI43" s="80">
        <f>SUMIF(Tim!$KJ$7:$KJ$70,Ins!F43,Tim!$D$7:$D$70)+SUMIF(Tim!$KK$7:$KK$70,Ins!F43,Tim!$D$7:$D$70)+SUMIF(Tim!$KL$7:$KL$70,Ins!F43,Tim!$D$7:$D$70)+SUMIF(Tim!$KM$7:$KM$70,Ins!F43,Tim!$D$7:$D$70)+SUMIF(Tim!$KN$7:$KN$70,Ins!F43,Tim!$D$7:$D$70)+SUMIF(Tim!$KO$7:$KO$70,Ins!F43,Tim!$D$7:$D$70)+SUMIF(Tim!$KP$7:$KP$70,Ins!F43,Tim!$D$7:$D$70)+SUMIF(Tim!$KQ$7:$KQ$70,Ins!F43,Tim!$D$7:$D$70)+SUMIF(Tim!$KR$7:$KR$70,Ins!F43,Tim!$D$7:$D$70)+SUMIF(Tim!$KS$7:$KS$70,Ins!F43,Tim!$D$7:$D$70)+SUMIF(Tim!$KT$7:$KT$70,Ins!F43,Tim!$D$7:$D$70)+SUMIF(Tim!$KU$7:$KU$70,Ins!F43,Tim!$D$7:$D$70)</f>
        <v>0</v>
      </c>
      <c r="CJ43" s="80">
        <f>SUMIF(Tim!KV$7:KV$70,Ins!F43,Tim!$C$7:$C$70)</f>
        <v>0</v>
      </c>
      <c r="CK43" s="80">
        <f>SUMIF(Tim!KW$7:KW$70,Ins!F43,Tim!$C$7:$C$70)</f>
        <v>0</v>
      </c>
      <c r="CL43" s="80">
        <f>SUMIF(Tim!KX$7:KX$70,Ins!F43,Tim!$C$7:$C$70)+SUMIF(Tim!KY$7:KY$70,Ins!F43,Tim!$C$7:$C$70)+SUMIF(Tim!KZ$7:KZ$70,Ins!F43,Tim!$C$7:$C$70)</f>
        <v>0</v>
      </c>
      <c r="CM43" s="81">
        <f>SUMIF(Tim!$LA$7:$LA$70,Ins!F43,Tim!$C$7:$C$70)+SUMIF(Tim!$LB$7:$LB$70,Ins!F43,Tim!$C$7:$C$70)+SUMIF(Tim!$LC$7:$LC$70,Ins!F43,Tim!$C$7:$C$70)+SUMIF(Tim!$LD$7:$LD$70,Ins!F43,Tim!$C$7:$C$70)+SUMIF(Tim!$LE$7:$LE$70,Ins!F43,Tim!$C$7:$C$70)</f>
        <v>0</v>
      </c>
      <c r="CN43" s="22"/>
      <c r="CO43" s="180">
        <f t="shared" ref="CO43" si="255">H43+T43+AF43+AR43+BD43+BP43+CB43</f>
        <v>0</v>
      </c>
      <c r="CP43" s="179">
        <f t="shared" ref="CP43" si="256">I43+U43+AG43+AS43+BE43+BQ43+CC43</f>
        <v>0</v>
      </c>
      <c r="CQ43" s="179">
        <f t="shared" ref="CQ43" si="257">J43+V43+AH43+AT43+BF43+BR43+CD43</f>
        <v>0</v>
      </c>
      <c r="CR43" s="179">
        <f t="shared" ref="CR43" si="258">K43+W43+AI43+AU43+BG43+BS43+CE43</f>
        <v>0</v>
      </c>
      <c r="CS43" s="179">
        <f t="shared" ref="CS43" si="259">L43+X43+AJ43+AV43+BH43+BT43+CF43</f>
        <v>0</v>
      </c>
      <c r="CT43" s="179">
        <f t="shared" ref="CT43" si="260">M43+Y43+AK43+AW43+BI43+BU43+CG43</f>
        <v>0</v>
      </c>
      <c r="CU43" s="179">
        <f t="shared" ref="CU43" si="261">N43+Z43+AL43+AX43+BJ43+BV43+CH43</f>
        <v>0</v>
      </c>
      <c r="CV43" s="179">
        <f t="shared" ref="CV43" si="262">O43+AA43+AM43+AY43+BK43+BW43+CI43</f>
        <v>0</v>
      </c>
      <c r="CW43" s="179">
        <f t="shared" ref="CW43" si="263">P43+AB43+AN43+AZ43+BL43+BX43+CJ43</f>
        <v>0</v>
      </c>
      <c r="CX43" s="179">
        <f t="shared" ref="CX43" si="264">Q43+AC43+AO43+BA43+BM43+BY43+CK43</f>
        <v>0</v>
      </c>
      <c r="CY43" s="179">
        <f t="shared" ref="CY43" si="265">R43+AD43+AP43+BB43+BN43+BZ43+CL43</f>
        <v>0</v>
      </c>
      <c r="CZ43" s="179">
        <f t="shared" ref="CZ43" si="266">S43+AE43+AQ43+BC43+BO43+CA43+CM43</f>
        <v>0</v>
      </c>
      <c r="DA43" s="78">
        <f t="shared" ref="DA43" si="267">SUM(CO43:CZ43)</f>
        <v>0</v>
      </c>
      <c r="DB43" s="36"/>
      <c r="DC43" s="34">
        <f t="shared" ref="DC43" si="268">SUM(H43:S43)</f>
        <v>0</v>
      </c>
      <c r="DD43" s="34">
        <f t="shared" ref="DD43" si="269">SUM(T43:AE43)</f>
        <v>0</v>
      </c>
      <c r="DE43" s="34">
        <f t="shared" ref="DE43" si="270">SUM(AF43:AQ43)</f>
        <v>0</v>
      </c>
      <c r="DF43" s="34">
        <f t="shared" ref="DF43" si="271">SUM(AR43:BC43)</f>
        <v>0</v>
      </c>
      <c r="DG43" s="34">
        <f t="shared" ref="DG43" si="272">SUM(BD43:BO43)</f>
        <v>0</v>
      </c>
      <c r="DH43" s="34">
        <f t="shared" ref="DH43" si="273">SUM(BP43:CA43)</f>
        <v>0</v>
      </c>
      <c r="DI43" s="34">
        <f t="shared" ref="DI43" si="274">SUM(CB43:CM43)</f>
        <v>0</v>
      </c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7"/>
    </row>
    <row r="44" spans="1:125" s="33" customFormat="1" ht="12" customHeight="1">
      <c r="A44" s="10">
        <v>42</v>
      </c>
      <c r="B44" s="24" t="s">
        <v>445</v>
      </c>
      <c r="C44" s="234"/>
      <c r="D44" s="28"/>
      <c r="E44" s="28" t="s">
        <v>373</v>
      </c>
      <c r="F44" s="185" t="s">
        <v>444</v>
      </c>
      <c r="G44" s="205" t="s">
        <v>191</v>
      </c>
      <c r="H44" s="79">
        <f>SUMIF(Tim!$F$7:$F$70,Ins!F44,Tim!$B$7:$B$70)</f>
        <v>0</v>
      </c>
      <c r="I44" s="80">
        <f>SUMIF(Tim!$G$7:$G$70,Ins!F44,Tim!$B$7:$B$70)+SUMIF(Tim!$H$7:$H$70,Ins!F44,Tim!$B$7:$B$70)+SUMIF(Tim!$I$7:$I$70,Ins!F44,Tim!$B$7:$B$70)+SUMIF(Tim!$J$7:$J$70,Ins!F44,Tim!$B$7:$B$70)+SUMIF(Tim!$K$7:$K$70,Ins!F44,Tim!$B$7:$B$70)+SUMIF(Tim!$L$7:$L$70,Ins!F44,Tim!$B$7:$B$70)</f>
        <v>0</v>
      </c>
      <c r="J44" s="80">
        <f>SUMIF(Tim!$M$7:$M$70,Ins!F44,Tim!$B$7:$B$70)+SUMIF(Tim!$O$7:$O$70,Ins!F44,Tim!$B$7:$B$70)+SUMIF(Tim!$N$7:$N$70,Ins!F44,Tim!$B$7:$B$70)</f>
        <v>0</v>
      </c>
      <c r="K44" s="80">
        <f>SUMIF(Tim!$P$7:$P$70,Ins!F44,Tim!$B$7:$B$70)+SUMIF(Tim!$Q$7:$Q$70,Ins!F44,Tim!$B$7:$B$70)+SUMIF(Tim!$R$7:$R$70,Ins!F44,Tim!$B$7:$B$70)+SUMIF(Tim!$S$7:$S$70,Ins!F44,Tim!$B$7:$B$70)+SUMIF(Tim!$T$7:$T$70,Ins!F44,Tim!$B$7:$B$70)</f>
        <v>0</v>
      </c>
      <c r="L44" s="80">
        <f>SUMIF(Tim!$U$7:$U$70,Ins!F44,Tim!$B$7:$B$70)+SUMIF(Tim!$W$7:$W$70,Ins!F44,Tim!$B$7:$B$70)+SUMIF(Tim!$X$7:$X$70,Ins!F44,Tim!$B$7:$B$70)</f>
        <v>0</v>
      </c>
      <c r="M44" s="80">
        <f>SUMIF(Tim!$Y$7:$Y$70,Ins!F44,Tim!$B$7:$B$70)+SUMIF(Tim!$Z$7:$Z$70,Ins!F44,Tim!$B$7:$B$70)+SUMIF(Tim!$AA$7:$AA$70,Ins!F44,Tim!$B$7:$B$70)</f>
        <v>0</v>
      </c>
      <c r="N44" s="80">
        <f>SUMIF(Tim!$AB$7:$AB$70,Ins!F44,Tim!$B$7:$B$70)</f>
        <v>0</v>
      </c>
      <c r="O44" s="80">
        <f>SUMIF(Tim!$AC$7:$AC$70,Ins!F44,Tim!$D$7:$D$70)+SUMIF(Tim!$AD$7:$AD$70,Ins!F44,Tim!$D$7:$D$70)+SUMIF(Tim!$AE$7:$AE$70,Ins!F44,Tim!$D$7:$D$70)+SUMIF(Tim!$AF$7:$AF$70,Ins!F44,Tim!$D$7:$D$70)+SUMIF(Tim!$AG$7:$AG$70,Ins!F44,Tim!$D$7:$D$70)+SUMIF(Tim!$AH$7:$AH$70,Ins!F44,Tim!$D$7:$D$70)+SUMIF(Tim!$AI$7:$AI$70,Ins!F44,Tim!$D$7:$D$70)+SUMIF(Tim!$AJ$7:$AJ$70,Ins!F44,Tim!$D$7:$D$70)+SUMIF(Tim!$AK$7:$AK$70,Ins!F44,Tim!$D$7:$D$70)+SUMIF(Tim!$AL$7:$AL$70,Ins!F44,Tim!$D$7:$D$70)+SUMIF(Tim!$AM$7:$AM$70,Ins!F44,Tim!$D$7:$D$70)+SUMIF(Tim!$AN$7:$AN$70,Ins!F44,Tim!$D$7:$D$70)</f>
        <v>0</v>
      </c>
      <c r="P44" s="80">
        <f>SUMIF(Tim!AO$7:AO$70,Ins!F44,Tim!$C$7:$C$70)</f>
        <v>0</v>
      </c>
      <c r="Q44" s="80">
        <f>SUMIF(Tim!AP$7:AP$70,Ins!F44,Tim!$C$7:$C$70)</f>
        <v>0</v>
      </c>
      <c r="R44" s="80">
        <f>SUMIF(Tim!AQ$7:AQ$70,Ins!F44,Tim!$C$7:$C$70)+SUMIF(Tim!AR$7:AR$70,Ins!F44,Tim!$C$7:$C$70)+SUMIF(Tim!AS$7:AS$70,Ins!F44,Tim!$C$7:$C$70)</f>
        <v>0</v>
      </c>
      <c r="S44" s="236">
        <f>SUMIF(Tim!$AT$7:$AT$70,Ins!F44,Tim!$C$7:$C$70)+SUMIF(Tim!$AU$7:$AU$70,Ins!F44,Tim!$C$7:$C104)+SUMIF(Tim!$AV$7:$AV$70,Ins!F44,Tim!$C$7:$C$70)+SUMIF(Tim!$AW$7:$AW$70,Ins!F44,Tim!$C$7:$C$70)+SUMIF(Tim!$AX$7:$AX$70,Ins!F44,Tim!$C$7:$C$70)</f>
        <v>0</v>
      </c>
      <c r="T44" s="79">
        <f>SUMIF(Tim!$AY$7:$AY$70,Ins!F44,Tim!$B$7:$B$70)</f>
        <v>0</v>
      </c>
      <c r="U44" s="80">
        <f>SUMIF(Tim!$AZ$7:$AZ$70,Ins!F44,Tim!$B$7:$B$70)+SUMIF(Tim!$BA$7:$BA$70,Ins!F44,Tim!$B$7:$B$70)+SUMIF(Tim!$BB$7:$BB$70,Ins!F44,Tim!$B$7:$B$70)+SUMIF(Tim!$BC$7:$BC$70,Ins!F44,Tim!$B$7:$B$70)+SUMIF(Tim!$BD$7:$BD$70,Ins!F44,Tim!$B$7:$B$70)+SUMIF(Tim!$BE$7:$BE$70,Ins!F44,Tim!$B$7:$B$70)</f>
        <v>0</v>
      </c>
      <c r="V44" s="80">
        <f>SUMIF(Tim!$BF$7:$BF$70,Ins!F44,Tim!$B$7:$B$70)+SUMIF(Tim!$BG$7:$BG$70,Ins!F44,Tim!$B$7:$B$70)+SUMIF(Tim!$BH$7:$BH$70,Ins!F44,Tim!$B$7:$B$70)</f>
        <v>0</v>
      </c>
      <c r="W44" s="80">
        <f>SUMIF(Tim!$BI$7:$BI$70,Ins!F44,Tim!$B$7:$B$70)+SUMIF(Tim!$BJ$7:$BJ$70,Ins!F44,Tim!$B$7:$B$70)+SUMIF(Tim!$BK$7:$BK$70,Ins!F44,Tim!$B$7:$B$70)+SUMIF(Tim!$BL$7:$BL$70,Ins!F44,Tim!$B$7:$B$70)+SUMIF(Tim!$BM$7:$BM$70,Ins!F44,Tim!$B$7:$B$70)</f>
        <v>0</v>
      </c>
      <c r="X44" s="80">
        <f>SUMIF(Tim!$BN$7:$BN$70,Ins!F44,Tim!$B$7:$B$70)+SUMIF(Tim!$BO$7:$BO$70,Ins!F44,Tim!$B$7:$B$70)+SUMIF(Tim!$BP$7:$BP$70,Ins!F44,Tim!$B$7:$B$70)</f>
        <v>0</v>
      </c>
      <c r="Y44" s="80">
        <f>SUMIF(Tim!$BQ$7:$BQ$70,Ins!F44,Tim!$B$7:$B$70)+SUMIF(Tim!$BR$7:$BR$70,Ins!F44,Tim!$B$7:$B$70)+SUMIF(Tim!$BS$7:$BS$70,Ins!F44,Tim!$B$7:$B$70)</f>
        <v>0</v>
      </c>
      <c r="Z44" s="80">
        <f>SUMIF(Tim!BT$7:BT$70,Ins!F44,Tim!$B$7:$B$70)</f>
        <v>0</v>
      </c>
      <c r="AA44" s="80">
        <f>SUMIF(Tim!$BU$7:$BU$70,Ins!F44,Tim!$D$7:$D$70)+SUMIF(Tim!$BV$7:$BV$70,Ins!F44,Tim!$D$7:$D$70)+SUMIF(Tim!$BW$7:$BW$70,Ins!F44,Tim!$D$7:$D$70)+SUMIF(Tim!$BX$7:$BX$70,Ins!F44,Tim!$D$7:$D$70)+SUMIF(Tim!$BY$7:$BY$70,Ins!F44,Tim!$D$7:$D$70)+SUMIF(Tim!$BZ$7:$BZ$70,Ins!F44,Tim!$D$7:$D$70)+SUMIF(Tim!$CA$7:$CA$70,Ins!F44,Tim!$D$7:$D$70)+SUMIF(Tim!$CB$7:$CB$70,Ins!F44,Tim!$D$7:$D$70)+SUMIF(Tim!$CC$7:$CC$70,Ins!F44,Tim!$D$7:$D$70)+SUMIF(Tim!$CD$7:$CD$70,Ins!F44,Tim!$D$7:$D$70)+SUMIF(Tim!$CE$7:$CE$70,Ins!F44,Tim!$D$7:$D$70)+SUMIF(Tim!$CF$7:$CF$70,Ins!F44,Tim!$D$7:$D$70)</f>
        <v>0</v>
      </c>
      <c r="AB44" s="80">
        <f>SUMIF(Tim!CG$7:CG$70,Ins!F44,Tim!$C$7:$C$70)</f>
        <v>0</v>
      </c>
      <c r="AC44" s="80">
        <f>SUMIF(Tim!CH$7:CH$70,Ins!F44,Tim!$C$7:$C$70)</f>
        <v>0</v>
      </c>
      <c r="AD44" s="80">
        <f>SUMIF(Tim!CI$7:CI$70,Ins!F44,Tim!$C$7:$C$70)+SUMIF(Tim!CJ$7:CJ$70,Ins!F44,Tim!$C$7:$C$70)+SUMIF(Tim!CK$7:CK$70,Ins!F44,Tim!$C$7:$C$70)</f>
        <v>0</v>
      </c>
      <c r="AE44" s="81">
        <f>SUMIF(Tim!$CL$7:$CL$70,Ins!F44,Tim!$C$7:$C$70)+SUMIF(Tim!$CM$7:$CM$70,Ins!F44,Tim!$C$7:$C$70)+SUMIF(Tim!$CN$7:$CN$70,Ins!F44,Tim!$C$7:$C$70)+SUMIF(Tim!$CO$7:$CO$70,Ins!F44,Tim!$C$7:$C$70)+SUMIF(Tim!$CP$7:$CP$70,Ins!F44,Tim!$C$7:$C$70)</f>
        <v>3</v>
      </c>
      <c r="AF44" s="79">
        <f>SUMIF(Tim!$CQ$7:$CQ$70,Ins!F44,Tim!$B$7:$B$70)</f>
        <v>0</v>
      </c>
      <c r="AG44" s="80">
        <f>SUMIF(Tim!$CR$7:$CR$70,Ins!F44,Tim!$B$7:$B$70)+SUMIF(Tim!$CS$7:$CS$70,Ins!F44,Tim!$B$7:$B$70)+SUMIF(Tim!$CT$7:$CT$70,Ins!F44,Tim!$B$7:$B$70)+SUMIF(Tim!$CU$7:$CU$70,Ins!F44,Tim!$B$7:$B$70)+SUMIF(Tim!$CV$7:$CV$70,Ins!F44,Tim!$B$7:$B$70)+SUMIF(Tim!$CW$7:$CW$70,Ins!F44,Tim!$B$7:$B$70)</f>
        <v>0</v>
      </c>
      <c r="AH44" s="80">
        <f>SUMIF(Tim!$CX$7:$CX$70,Ins!F44,Tim!$B$7:$B$70)+SUMIF(Tim!$CY$7:$CY$70,Ins!F44,Tim!$B$7:$B$70)+SUMIF(Tim!$CZ$7:$CZ$70,Ins!F44,Tim!$B$7:$B$70)</f>
        <v>0</v>
      </c>
      <c r="AI44" s="80">
        <f>SUMIF(Tim!$DA$7:$DA$70,Ins!F44,Tim!$B$7:$B$70)+SUMIF(Tim!$DB$7:$DB$70,Ins!F44,Tim!$B$7:$B$70)+SUMIF(Tim!$DC$7:$DC$70,Ins!F44,Tim!$B$7:$B$70)+SUMIF(Tim!$DD$7:$DD$70,Ins!F44,Tim!$B$7:$B$70)+SUMIF(Tim!$DE$7:$DE$70,Ins!F44,Tim!$B$7:$B$70)</f>
        <v>0</v>
      </c>
      <c r="AJ44" s="80">
        <f>SUMIF(Tim!$DF$7:$DF$70,Ins!F44,Tim!$B$7:$B$70)+SUMIF(Tim!$DG$7:$DG$70,Ins!F44,Tim!$B$7:$B$70)+SUMIF(Tim!$DH$7:$DH$70,Ins!F44,Tim!$B$7:$B$70)</f>
        <v>0</v>
      </c>
      <c r="AK44" s="80">
        <f>SUMIF(Tim!DI$7:DI$70,Ins!F44,Tim!$B$7:$B$70)+SUMIF(Tim!DM$7:DM$70,Ins!F44,Tim!$B$7:$B$70)+SUMIF(Tim!DN$7:DN$70,Ins!F44,Tim!$B$7:$B$70)</f>
        <v>0</v>
      </c>
      <c r="AL44" s="80">
        <f>SUMIF(Tim!DO$7:DO$70,Ins!F44,Tim!$B$7:$B$70)</f>
        <v>0</v>
      </c>
      <c r="AM44" s="80">
        <f>SUMIF(Tim!$DP$7:$DP$70,Ins!F44,Tim!$D$7:$D$70)+SUMIF(Tim!$DQ$7:$DQ$70,Ins!F44,Tim!$D$7:$D$70)+SUMIF(Tim!$DR$7:$DR$70,Ins!F44,Tim!$D$7:$D$70)+SUMIF(Tim!$DS$7:$DS$70,Ins!F44,Tim!$D$7:$D$70)+SUMIF(Tim!$DT$7:$DT$70,Ins!F44,Tim!$D$7:$D$70)+SUMIF(Tim!$DU$7:$DU$70,Ins!F44,Tim!$D$7:$D$70)+SUMIF(Tim!$DV$7:$DV$70,Ins!F44,Tim!$D$7:$D$70)+SUMIF(Tim!$DW$7:$DW$70,Ins!F44,Tim!$D$7:$D$70)+SUMIF(Tim!$DX$7:$DX$70,Ins!F44,Tim!$D$7:$D$70)+SUMIF(Tim!$DY$7:$DY$70,Ins!F44,Tim!$D$7:$D$70)+SUMIF(Tim!$DZ$7:$DZ$70,Ins!F44,Tim!$D$7:$D$70)+SUMIF(Tim!$EA$7:$EA$70,Ins!F44,Tim!$D$7:$D$70)</f>
        <v>0</v>
      </c>
      <c r="AN44" s="80">
        <f>SUMIF(Tim!EB$7:EB$70,Ins!F44,Tim!$C$7:$C$70)</f>
        <v>0</v>
      </c>
      <c r="AO44" s="80">
        <f>SUMIF(Tim!EC$7:EC$70,Ins!F44,Tim!$C$7:$C$70)</f>
        <v>0</v>
      </c>
      <c r="AP44" s="80">
        <f>SUMIF(Tim!ED$7:ED$70,Ins!F44,Tim!$C$7:$C$70)+SUMIF(Tim!EE$7:EE$70,Ins!F44,Tim!$C$7:$C$70)+SUMIF(Tim!EF$7:EF$70,Ins!F44,Tim!$C$7:$C$70)</f>
        <v>0</v>
      </c>
      <c r="AQ44" s="81">
        <f>SUMIF(Tim!$EG$7:$EG$70,Ins!F44,Tim!$C$7:$C$70)+SUMIF(Tim!$EH$7:$EH$70,Ins!F44,Tim!$C$7:$C$70)+SUMIF(Tim!$EI$7:$EI$70,Ins!F44,Tim!$C$7:$C$70)+SUMIF(Tim!$EJ$7:$EJ$70,Ins!F44,Tim!$C$7:$C$70)+SUMIF(Tim!$EK$7:$EK$70,Ins!F44,Tim!$C$7:$C$70)</f>
        <v>2</v>
      </c>
      <c r="AR44" s="79">
        <f>SUMIF(Tim!$EL$5:$EL$70,Ins!F44,Tim!$B$5:$B$70)</f>
        <v>0</v>
      </c>
      <c r="AS44" s="80">
        <f>SUMIF(Tim!$EM$5:$EM$70,Ins!F44,Tim!$B$5:$B$70)+SUMIF(Tim!$EN$5:$EN$70,Ins!F44,Tim!$B$5:$B$70)+SUMIF(Tim!$EO$5:$EO$70,Ins!F44,Tim!$B$5:$B$70)+SUMIF(Tim!$EP$5:$EP$70,Ins!F44,Tim!$B$5:$B$70)+SUMIF(Tim!$EQ$5:$EQ$70,Ins!F44,Tim!$B$5:$B$70)+SUMIF(Tim!$ER$5:$ER$70,Ins!F44,Tim!$B$5:$B$70)</f>
        <v>0</v>
      </c>
      <c r="AT44" s="80">
        <f>SUMIF(Tim!$ES$5:$ES$70,Ins!F44,Tim!$B$5:$B$70)+SUMIF(Tim!$ET$5:$ET$70,Ins!F44,Tim!$B$5:$B$70)+SUMIF(Tim!$EU$5:$EU$70,Ins!F44,Tim!$B$5:$B$70)</f>
        <v>0</v>
      </c>
      <c r="AU44" s="80">
        <f>SUMIF(Tim!$EV$5:$EV$70,Ins!F44,Tim!$B$5:$B$70)+SUMIF(Tim!$EW$5:$EW$70,Ins!F44,Tim!$B$5:$B$70)+SUMIF(Tim!$EX$5:$EX$70,Ins!F44,Tim!$B$5:$B$70)+SUMIF(Tim!$EY$5:$EY$70,Ins!F44,Tim!$B$5:$B$70)+SUMIF(Tim!$EZ$5:$EZ$70,Ins!F44,Tim!$B$5:$B$70)</f>
        <v>0</v>
      </c>
      <c r="AV44" s="80">
        <f>SUMIF(Tim!$FA$5:$FA$70,Ins!F44,Tim!$B$5:$B$70)+SUMIF(Tim!$FB$5:$FB$70,Ins!F44,Tim!$B$5:$B$70)+SUMIF(Tim!$FC$5:$FC$70,Ins!F44,Tim!$B$5:$B$70)</f>
        <v>0</v>
      </c>
      <c r="AW44" s="80">
        <f>SUMIF(Tim!FD$5:FD$70,Ins!F44,Tim!$B$5:$B$70)+SUMIF(Tim!FE$5:FE$70,Ins!F44,Tim!$B$5:$B$70)+SUMIF(Tim!FF$5:FF$70,Ins!F44,Tim!$B$5:$B$70)</f>
        <v>0</v>
      </c>
      <c r="AX44" s="80">
        <f>SUMIF(Tim!FG$5:FG$70,Ins!F44,Tim!$B$5:$B$70)</f>
        <v>0</v>
      </c>
      <c r="AY44" s="80">
        <f>SUMIF(Tim!$FH$5:$FH$70,Ins!F44,Tim!$D$5:$D$70)+SUMIF(Tim!$FI$5:$FI$70,Ins!F44,Tim!$D$5:$D$70)+SUMIF(Tim!$FJ$5:$FJ$70,Ins!F44,Tim!$D$5:$D$70)+SUMIF(Tim!$FK$5:$FK$70,Ins!F44,Tim!$D$5:$D$70)+SUMIF(Tim!$FL$5:$FL$70,Ins!F44,Tim!$D$5:$D$70)+SUMIF(Tim!$FM$5:$FM$70,Ins!F44,Tim!$D$5:$D$70)+SUMIF(Tim!$FN$5:$FN$70,Ins!F44,Tim!$D$5:$D$70)+SUMIF(Tim!$FO$5:$FO$70,Ins!F44,Tim!$D$5:$D$70)+SUMIF(Tim!$FP$5:$FP$70,Ins!F44,Tim!$D$5:$D$70)+SUMIF(Tim!$FQ$5:$FQ$70,Ins!F44,Tim!$D$5:$D$70)+SUMIF(Tim!$FR$5:$FR$70,Ins!F44,Tim!$D$5:$D$70)+SUMIF(Tim!$FS$5:$FS$70,Ins!F44,Tim!$D$5:$D$70)</f>
        <v>0</v>
      </c>
      <c r="AZ44" s="80">
        <f>SUMIF(Tim!FT$5:FT$70,Ins!F44,Tim!$C$5:$C$70)</f>
        <v>0</v>
      </c>
      <c r="BA44" s="80">
        <f>SUMIF(Tim!FU$5:FU$70,Ins!F44,Tim!$C$5:$C$70)</f>
        <v>0</v>
      </c>
      <c r="BB44" s="80">
        <f>SUMIF(Tim!FV$5:FV$70,Ins!F44,Tim!$C$5:$C$70)+SUMIF(Tim!FW$5:FW$70,Ins!F44,Tim!$C$5:$C$70)+SUMIF(Tim!FX$5:FX$70,Ins!F44,Tim!$C$5:$C$70)</f>
        <v>0</v>
      </c>
      <c r="BC44" s="81">
        <f>SUMIF(Tim!$FY$5:$FY$70,Ins!F44,Tim!$C$5:$C$70)+SUMIF(Tim!$FZ$5:$FZ$70,Ins!F44,Tim!$C$5:$C$70)+SUMIF(Tim!$GA$5:$GA$70,Ins!F44,Tim!$C$5:$C$70)+SUMIF(Tim!$GB$5:$GB$70,Ins!F44,Tim!$C$5:$C$70)+SUMIF(Tim!$GC$5:$GC$70,Ins!F44,Tim!$C$5:$C$70)</f>
        <v>0</v>
      </c>
      <c r="BD44" s="79">
        <f>SUMIF(Tim!$GD$5:$GD$70,Ins!F44,Tim!$B$5:$B$70)</f>
        <v>0</v>
      </c>
      <c r="BE44" s="80">
        <f>SUMIF(Tim!$GE$5:$GE$70,Ins!F44,Tim!$B$5:$B$70)+SUMIF(Tim!$GF$5:$GF$70,Ins!F44,Tim!$B$5:$B$70)+SUMIF(Tim!$GG$5:$GG$70,Ins!F44,Tim!$B$5:$B$70)+SUMIF(Tim!$GH$5:$GH$70,Ins!F44,Tim!$B$5:$B$70)+SUMIF(Tim!$GI$5:$GI$70,Ins!F44,Tim!$B$5:$B$70)+SUMIF(Tim!$GJ$5:$GJ$70,Ins!F44,Tim!$B$5:$B$70)</f>
        <v>0</v>
      </c>
      <c r="BF44" s="80">
        <f>SUMIF(Tim!$GK$5:$GK$70,Ins!F44,Tim!$B$5:$B$70)+SUMIF(Tim!$GL$5:$GL$70,Ins!F44,Tim!$B$5:$B$70)+SUMIF(Tim!$GM$5:$GM$70,Ins!F44,Tim!$B$5:$B$70)</f>
        <v>0</v>
      </c>
      <c r="BG44" s="80">
        <f>SUMIF(Tim!$GN$5:$GN$70,Ins!F44,Tim!$B$5:$B$70)+SUMIF(Tim!$GO$5:$GO$70,Ins!F44,Tim!$B$5:$B$70)+SUMIF(Tim!$GP$5:$GP$70,Ins!F44,Tim!$B$5:$B$70)+SUMIF(Tim!$GQ$5:$GQ$70,Ins!F44,Tim!$B$5:$B$70)+SUMIF(Tim!$GR$5:$GR$70,Ins!F44,Tim!$B$5:$B$70)</f>
        <v>0</v>
      </c>
      <c r="BH44" s="80">
        <f>SUMIF(Tim!$GS$5:$GS$70,Ins!F44,Tim!$B$5:$B$70)+SUMIF(Tim!$GT$5:$GT$70,Ins!F44,Tim!$B$5:$B$70)+SUMIF(Tim!$GU$5:$GU$70,Ins!F44,Tim!$B$5:$B$70)</f>
        <v>0</v>
      </c>
      <c r="BI44" s="80">
        <f>SUMIF(Tim!GV$5:GV$70,Ins!F44,Tim!$B$5:$B$70)+SUMIF(Tim!GW$5:GW$70,Ins!F44,Tim!$B$5:$B$70)+SUMIF(Tim!GX$5:GX$70,Ins!F44,Tim!$B$5:$B$70)</f>
        <v>0</v>
      </c>
      <c r="BJ44" s="80">
        <f>SUMIF(Tim!GY$5:GY$70,Ins!F44,Tim!$B$5:$B$70)</f>
        <v>0</v>
      </c>
      <c r="BK44" s="80">
        <f>SUMIF(Tim!$GZ$5:$GZ$70,Ins!F44,Tim!$D$5:$D$70)+SUMIF(Tim!$HA$5:$HA$70,Ins!F44,Tim!$D$5:$D$70)+SUMIF(Tim!$HB$5:$HB$70,Ins!F44,Tim!$D$5:$D$70)++SUMIF(Tim!$HC$5:$HC$70,Ins!F44,Tim!$D$5:$D$70)+SUMIF(Tim!$HD$5:$HD$70,Ins!F44,Tim!$D$5:$D$70)+SUMIF(Tim!$HE$5:$HE$70,Ins!F44,Tim!$D$5:$D$70)+SUMIF(Tim!$HF$5:$HF$70,Ins!F44,Tim!$D$5:$D$70)+SUMIF(Tim!$HG$5:$HG$70,Ins!F44,Tim!$D$5:$D$70)+SUMIF(Tim!$HH$5:$HH$70,Ins!F44,Tim!$D$5:$D$70)+SUMIF(Tim!$HI$5:$HI$70,Ins!F44,Tim!$D$5:$D$70)+SUMIF(Tim!$HJ$5:$HJ$70,Ins!F44,Tim!$D$5:$D$70)+SUMIF(Tim!$HK$5:$HK$70,Ins!F44,Tim!$D$5:$D$70)</f>
        <v>0</v>
      </c>
      <c r="BL44" s="80">
        <f>SUMIF(Tim!HL$5:HL$70,Ins!F44,Tim!$C$5:$C$70)</f>
        <v>0</v>
      </c>
      <c r="BM44" s="80">
        <f>SUMIF(Tim!HM$5:HM$70,Ins!F44,Tim!$C$5:$C$70)</f>
        <v>0</v>
      </c>
      <c r="BN44" s="80">
        <f>SUMIF(Tim!HN$5:HN$70,Ins!F44,Tim!$C$5:$C$70)+SUMIF(Tim!HO$5:HO$70,Ins!F44,Tim!$C$5:$C$70)+SUMIF(Tim!HP$5:HP$70,Ins!F44,Tim!$C$5:$C$70)</f>
        <v>0</v>
      </c>
      <c r="BO44" s="81">
        <f>SUMIF(Tim!$HQ$5:$HQ$70,Ins!F44,Tim!$C$5:$C$70)+SUMIF(Tim!$HR$5:$HR$70,Ins!F44,Tim!$C$5:$C$70)+SUMIF(Tim!$HS$5:$HS$70,Ins!F44,Tim!$C$5:$C$70)+SUMIF(Tim!$HT$5:$HT$70,Ins!F44,Tim!$C$5:$C$70)+SUMIF(Tim!$HU$5:$HU$70,Ins!F44,Tim!$C$5:$C$70)</f>
        <v>0</v>
      </c>
      <c r="BP44" s="79">
        <f>SUMIF(Tim!$HV$7:$HV$70,Ins!F44,Tim!$B$7:$B$70)</f>
        <v>0</v>
      </c>
      <c r="BQ44" s="80">
        <f>SUMIF(Tim!$HW$7:$HW$70,Ins!F44,Tim!$B$7:$B$70)+SUMIF(Tim!$HX$7:$HX$70,Ins!F44,Tim!$B$7:$B$70)+SUMIF(Tim!$HY$7:$HY$70,Ins!F44,Tim!$B$7:$B$70)+SUMIF(Tim!$HZ$7:$HZ$70,Ins!F44,Tim!$B$7:$B$70)+SUMIF(Tim!$IA$7:$IA$70,Ins!F44,Tim!$B$7:$B$70)+SUMIF(Tim!$IB$7:$IB$70,Ins!F44,Tim!$B$7:$B$70)</f>
        <v>0</v>
      </c>
      <c r="BR44" s="80">
        <f>SUMIF(Tim!$IC$7:$IC$70,Ins!F44,Tim!$B$7:$B$70)+SUMIF(Tim!$ID$7:$ID$70,Ins!F44,Tim!$B$7:$B$70)+SUMIF(Tim!$IE$7:$IE$70,Ins!F44,Tim!$B$7:$B$70)</f>
        <v>0</v>
      </c>
      <c r="BS44" s="80">
        <f>SUMIF(Tim!$IF$7:$IF$70,Ins!F44,Tim!$B$7:$B$70)+SUMIF(Tim!$IG$7:$IG$70,Ins!F44,Tim!$B$7:$B$70)+SUMIF(Tim!$IH$7:$IH$70,Ins!F44,Tim!$B$7:$B$70)+SUMIF(Tim!$II$7:$II$70,Ins!F44,Tim!$B$7:$B$70)+SUMIF(Tim!$IJ$7:$IJ$70,Ins!F44,Tim!$B$7:$B$70)</f>
        <v>0</v>
      </c>
      <c r="BT44" s="80">
        <f>SUMIF(Tim!$IK$7:$IK$70,Ins!F44,Tim!$B$7:$B$70)+SUMIF(Tim!$IL$7:$IL$70,Ins!F44,Tim!$B$7:$B$70)+SUMIF(Tim!$IM$7:$IM$70,Ins!F44,Tim!$B$7:$B$70)</f>
        <v>0</v>
      </c>
      <c r="BU44" s="80">
        <f>SUMIF(Tim!$IN$7:$IN$70,Ins!F44,Tim!$B$7:$B$70)+SUMIF(Tim!$IO$7:$IO$70,Ins!F44,Tim!$B$7:$B$70)+SUMIF(Tim!$IP$7:$IP$70,Ins!F44,Tim!$B$7:$B$70)</f>
        <v>0</v>
      </c>
      <c r="BV44" s="80">
        <f>SUMIF(Tim!$IQ$7:$IQ$70,Ins!F44,Tim!$B$7:$B$70)</f>
        <v>0</v>
      </c>
      <c r="BW44" s="80">
        <f>SUMIF(Tim!$IR$7:$IR$70,Ins!F44,Tim!$D$7:$D$70)+SUMIF(Tim!$IS$7:$IS$70,Ins!F44,Tim!$D$7:$D$70)+SUMIF(Tim!$IT$7:$IT$70,Ins!F44,Tim!$D$7:$D$70)+SUMIF(Tim!$IU$7:$IU$70,Ins!F44,Tim!$D$7:$D$70)+SUMIF(Tim!$IV$7:$IV$70,Ins!F44,Tim!$D$7:$D$70)+SUMIF(Tim!$IW$7:$IW$70,Ins!F44,Tim!$D$7:$D$70)+SUMIF(Tim!$IX$7:$IX$70,Ins!F44,Tim!$D$7:$D$70)+SUMIF(Tim!$IY$7:$IY$70,Ins!F44,Tim!$D$7:$D$70)+SUMIF(Tim!$IZ$7:$IZ$70,Ins!F44,Tim!$D$7:$D$70)+SUMIF(Tim!$JA$7:$JA$70,Ins!F44,Tim!$D$7:$D$70)+SUMIF(Tim!$JB$7:$JB$70,Ins!F44,Tim!$D$7:$D$70)+SUMIF(Tim!$JC$7:$JC$70,Ins!F44,Tim!$D$7:$D$70)</f>
        <v>0</v>
      </c>
      <c r="BX44" s="80">
        <f>SUMIF(Tim!JD$7:JD$70,Ins!F44,Tim!$C$7:$C$70)</f>
        <v>0</v>
      </c>
      <c r="BY44" s="80">
        <f>SUMIF(Tim!JE$7:JE$70,Ins!F44,Tim!$C$7:$C$70)</f>
        <v>0</v>
      </c>
      <c r="BZ44" s="80">
        <f>SUMIF(Tim!JF$7:JF$70,Ins!F44,Tim!$C$7:$C$70)+SUMIF(Tim!JG$7:JG$70,Ins!F44,Tim!$C$7:$C$70)+SUMIF(Tim!JH$7:JH$70,Ins!F44,Tim!$C$7:$C$70)</f>
        <v>0</v>
      </c>
      <c r="CA44" s="81">
        <f>SUMIF(Tim!$JI$7:$JI$70,Ins!F44,Tim!$C$7:$C$70)++SUMIF(Tim!$JJ$7:$JJ$70,Ins!F44,Tim!$C$7:$C$70)+SUMIF(Tim!$JK$7:$JK$70,Ins!F44,Tim!$C$7:$C$70)+SUMIF(Tim!$JL$7:$JL$70,Ins!F44,Tim!$C$7:$C$70)+SUMIF(Tim!$JM$7:$JM$70,Ins!F44,Tim!$C$7:$C$70)</f>
        <v>0</v>
      </c>
      <c r="CB44" s="79">
        <f>SUMIF(Tim!$JN$7:$JN$70,Ins!F44,Tim!$B$7:$B$70)</f>
        <v>0</v>
      </c>
      <c r="CC44" s="80">
        <f>SUMIF(Tim!$JO$7:$JO$70,Ins!F44,Tim!$B$7:$B$70)+SUMIF(Tim!$JP$7:$JP$70,Ins!F44,Tim!$B$7:$B$70)+SUMIF(Tim!$JQ$7:$JQ$70,Ins!F44,Tim!$B$7:$B$70)+SUMIF(Tim!$JR$7:$JR$70,Ins!F44,Tim!$B$7:$B$70)+SUMIF(Tim!$JS$7:$JS$70,Ins!F44,Tim!$B$7:$B$70)+SUMIF(Tim!$JT$7:$JT$70,Ins!F44,Tim!$B$7:$B$70)</f>
        <v>0</v>
      </c>
      <c r="CD44" s="80">
        <f>SUMIF(Tim!$JW$7:$JW$70,Ins!F44,Tim!$B$7:$B$70)+SUMIF(Tim!$JU$7:$JU$70,Ins!F44,Tim!$B$7:$B$70)+SUMIF(Tim!$JV$7:$JV$70,Ins!F44,Tim!$B$7:$B$70)</f>
        <v>0</v>
      </c>
      <c r="CE44" s="80">
        <f>SUMIF(Tim!$JX$7:$JX$70,Ins!F44,Tim!$B$7:$B$70)+SUMIF(Tim!$JY$7:$JY$70,Ins!F44,Tim!$B$7:$B$70)+SUMIF(Tim!$JZ$7:$JZ$70,Ins!F44,Tim!$B$7:$B$70)+SUMIF(Tim!$KA$7:$KA$70,Ins!F44,Tim!$B$7:$B$70)+SUMIF(Tim!$KB$7:$KB$70,Ins!F44,Tim!$B$7:$B$70)</f>
        <v>0</v>
      </c>
      <c r="CF44" s="80">
        <f>SUMIF(Tim!$KE$7:$KE$70,Ins!F44,Tim!$B$7:$B$70)+SUMIF(Tim!$KC$7:$KC$70,Ins!F44,Tim!$B$7:$B$70)+SUMIF(Tim!$KD$7:$KD$70,Ins!F44,Tim!$B$7:$B$70)</f>
        <v>0</v>
      </c>
      <c r="CG44" s="80">
        <f>SUMIF(Tim!$KF$7:$KF$70,Ins!F44,Tim!$B$7:$B$70)+SUMIF(Tim!$KG$7:$KG$70,Ins!F44,Tim!$B$7:$B$70)+SUMIF(Tim!$KH$7:$KH$70,Ins!F44,Tim!$B$7:$B$70)</f>
        <v>0</v>
      </c>
      <c r="CH44" s="80">
        <f>SUMIF(Tim!$KI$7:$KI$70,Ins!F44,Tim!$B$7:$B$70)</f>
        <v>0</v>
      </c>
      <c r="CI44" s="80">
        <f>SUMIF(Tim!$KJ$7:$KJ$70,Ins!F44,Tim!$D$7:$D$70)+SUMIF(Tim!$KK$7:$KK$70,Ins!F44,Tim!$D$7:$D$70)+SUMIF(Tim!$KL$7:$KL$70,Ins!F44,Tim!$D$7:$D$70)+SUMIF(Tim!$KM$7:$KM$70,Ins!F44,Tim!$D$7:$D$70)+SUMIF(Tim!$KN$7:$KN$70,Ins!F44,Tim!$D$7:$D$70)+SUMIF(Tim!$KO$7:$KO$70,Ins!F44,Tim!$D$7:$D$70)+SUMIF(Tim!$KP$7:$KP$70,Ins!F44,Tim!$D$7:$D$70)+SUMIF(Tim!$KQ$7:$KQ$70,Ins!F44,Tim!$D$7:$D$70)+SUMIF(Tim!$KR$7:$KR$70,Ins!F44,Tim!$D$7:$D$70)+SUMIF(Tim!$KS$7:$KS$70,Ins!F44,Tim!$D$7:$D$70)+SUMIF(Tim!$KT$7:$KT$70,Ins!F44,Tim!$D$7:$D$70)+SUMIF(Tim!$KU$7:$KU$70,Ins!F44,Tim!$D$7:$D$70)</f>
        <v>0</v>
      </c>
      <c r="CJ44" s="80">
        <f>SUMIF(Tim!KV$7:KV$70,Ins!F44,Tim!$C$7:$C$70)</f>
        <v>0</v>
      </c>
      <c r="CK44" s="80">
        <f>SUMIF(Tim!KW$7:KW$70,Ins!F44,Tim!$C$7:$C$70)</f>
        <v>0</v>
      </c>
      <c r="CL44" s="80">
        <f>SUMIF(Tim!KX$7:KX$70,Ins!F44,Tim!$C$7:$C$70)+SUMIF(Tim!KY$7:KY$70,Ins!F44,Tim!$C$7:$C$70)+SUMIF(Tim!KZ$7:KZ$70,Ins!F44,Tim!$C$7:$C$70)</f>
        <v>0</v>
      </c>
      <c r="CM44" s="81">
        <f>SUMIF(Tim!$LA$7:$LA$70,Ins!F44,Tim!$C$7:$C$70)+SUMIF(Tim!$LB$7:$LB$70,Ins!F44,Tim!$C$7:$C$70)+SUMIF(Tim!$LC$7:$LC$70,Ins!F44,Tim!$C$7:$C$70)+SUMIF(Tim!$LD$7:$LD$70,Ins!F44,Tim!$C$7:$C$70)+SUMIF(Tim!$LE$7:$LE$70,Ins!F44,Tim!$C$7:$C$70)</f>
        <v>0</v>
      </c>
      <c r="CN44" s="22"/>
      <c r="CO44" s="180">
        <f t="shared" ref="CO44" si="275">H44+T44+AF44+AR44+BD44+BP44+CB44</f>
        <v>0</v>
      </c>
      <c r="CP44" s="179">
        <f t="shared" ref="CP44" si="276">I44+U44+AG44+AS44+BE44+BQ44+CC44</f>
        <v>0</v>
      </c>
      <c r="CQ44" s="179">
        <f t="shared" ref="CQ44" si="277">J44+V44+AH44+AT44+BF44+BR44+CD44</f>
        <v>0</v>
      </c>
      <c r="CR44" s="179">
        <f t="shared" ref="CR44" si="278">K44+W44+AI44+AU44+BG44+BS44+CE44</f>
        <v>0</v>
      </c>
      <c r="CS44" s="179">
        <f t="shared" ref="CS44" si="279">L44+X44+AJ44+AV44+BH44+BT44+CF44</f>
        <v>0</v>
      </c>
      <c r="CT44" s="179">
        <f t="shared" ref="CT44" si="280">M44+Y44+AK44+AW44+BI44+BU44+CG44</f>
        <v>0</v>
      </c>
      <c r="CU44" s="179">
        <f t="shared" ref="CU44" si="281">N44+Z44+AL44+AX44+BJ44+BV44+CH44</f>
        <v>0</v>
      </c>
      <c r="CV44" s="179">
        <f t="shared" ref="CV44" si="282">O44+AA44+AM44+AY44+BK44+BW44+CI44</f>
        <v>0</v>
      </c>
      <c r="CW44" s="179">
        <f t="shared" ref="CW44" si="283">P44+AB44+AN44+AZ44+BL44+BX44+CJ44</f>
        <v>0</v>
      </c>
      <c r="CX44" s="179">
        <f t="shared" ref="CX44" si="284">Q44+AC44+AO44+BA44+BM44+BY44+CK44</f>
        <v>0</v>
      </c>
      <c r="CY44" s="179">
        <f t="shared" ref="CY44" si="285">R44+AD44+AP44+BB44+BN44+BZ44+CL44</f>
        <v>0</v>
      </c>
      <c r="CZ44" s="179">
        <f t="shared" ref="CZ44" si="286">S44+AE44+AQ44+BC44+BO44+CA44+CM44</f>
        <v>5</v>
      </c>
      <c r="DA44" s="78">
        <f t="shared" ref="DA44" si="287">SUM(CO44:CZ44)</f>
        <v>5</v>
      </c>
      <c r="DB44" s="36"/>
      <c r="DC44" s="34">
        <f t="shared" ref="DC44" si="288">SUM(H44:S44)</f>
        <v>0</v>
      </c>
      <c r="DD44" s="34">
        <f t="shared" ref="DD44" si="289">SUM(T44:AE44)</f>
        <v>3</v>
      </c>
      <c r="DE44" s="34">
        <f t="shared" ref="DE44" si="290">SUM(AF44:AQ44)</f>
        <v>2</v>
      </c>
      <c r="DF44" s="34">
        <f t="shared" ref="DF44" si="291">SUM(AR44:BC44)</f>
        <v>0</v>
      </c>
      <c r="DG44" s="34">
        <f t="shared" ref="DG44" si="292">SUM(BD44:BO44)</f>
        <v>0</v>
      </c>
      <c r="DH44" s="34">
        <f t="shared" ref="DH44" si="293">SUM(BP44:CA44)</f>
        <v>0</v>
      </c>
      <c r="DI44" s="34">
        <f t="shared" ref="DI44" si="294">SUM(CB44:CM44)</f>
        <v>0</v>
      </c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7"/>
    </row>
    <row r="45" spans="1:125" s="33" customFormat="1" ht="12" hidden="1" customHeight="1">
      <c r="A45" s="10">
        <v>43</v>
      </c>
      <c r="B45" s="343" t="s">
        <v>459</v>
      </c>
      <c r="C45" s="234"/>
      <c r="D45" s="28"/>
      <c r="E45" s="28" t="s">
        <v>373</v>
      </c>
      <c r="F45" s="185" t="s">
        <v>460</v>
      </c>
      <c r="G45" s="205" t="s">
        <v>191</v>
      </c>
      <c r="H45" s="79">
        <f>SUMIF(Tim!$F$7:$F$70,Ins!F45,Tim!$B$7:$B$70)</f>
        <v>0</v>
      </c>
      <c r="I45" s="80">
        <f>SUMIF(Tim!$G$7:$G$70,Ins!F45,Tim!$B$7:$B$70)+SUMIF(Tim!$H$7:$H$70,Ins!F45,Tim!$B$7:$B$70)+SUMIF(Tim!$I$7:$I$70,Ins!F45,Tim!$B$7:$B$70)+SUMIF(Tim!$J$7:$J$70,Ins!F45,Tim!$B$7:$B$70)+SUMIF(Tim!$K$7:$K$70,Ins!F45,Tim!$B$7:$B$70)+SUMIF(Tim!$L$7:$L$70,Ins!F45,Tim!$B$7:$B$70)</f>
        <v>0</v>
      </c>
      <c r="J45" s="80">
        <f>SUMIF(Tim!$M$7:$M$70,Ins!F45,Tim!$B$7:$B$70)+SUMIF(Tim!$O$7:$O$70,Ins!F45,Tim!$B$7:$B$70)+SUMIF(Tim!$N$7:$N$70,Ins!F45,Tim!$B$7:$B$70)</f>
        <v>0</v>
      </c>
      <c r="K45" s="80">
        <f>SUMIF(Tim!$P$7:$P$70,Ins!F45,Tim!$B$7:$B$70)+SUMIF(Tim!$Q$7:$Q$70,Ins!F45,Tim!$B$7:$B$70)+SUMIF(Tim!$R$7:$R$70,Ins!F45,Tim!$B$7:$B$70)+SUMIF(Tim!$S$7:$S$70,Ins!F45,Tim!$B$7:$B$70)+SUMIF(Tim!$T$7:$T$70,Ins!F45,Tim!$B$7:$B$70)</f>
        <v>0</v>
      </c>
      <c r="L45" s="80">
        <f>SUMIF(Tim!$U$7:$U$70,Ins!F45,Tim!$B$7:$B$70)+SUMIF(Tim!$W$7:$W$70,Ins!F45,Tim!$B$7:$B$70)+SUMIF(Tim!$X$7:$X$70,Ins!F45,Tim!$B$7:$B$70)</f>
        <v>0</v>
      </c>
      <c r="M45" s="80">
        <f>SUMIF(Tim!$Y$7:$Y$70,Ins!F45,Tim!$B$7:$B$70)+SUMIF(Tim!$Z$7:$Z$70,Ins!F45,Tim!$B$7:$B$70)+SUMIF(Tim!$AA$7:$AA$70,Ins!F45,Tim!$B$7:$B$70)</f>
        <v>0</v>
      </c>
      <c r="N45" s="80">
        <f>SUMIF(Tim!$AB$7:$AB$70,Ins!F45,Tim!$B$7:$B$70)</f>
        <v>0</v>
      </c>
      <c r="O45" s="80">
        <f>SUMIF(Tim!$AC$7:$AC$70,Ins!F45,Tim!$D$7:$D$70)+SUMIF(Tim!$AD$7:$AD$70,Ins!F45,Tim!$D$7:$D$70)+SUMIF(Tim!$AE$7:$AE$70,Ins!F45,Tim!$D$7:$D$70)+SUMIF(Tim!$AF$7:$AF$70,Ins!F45,Tim!$D$7:$D$70)+SUMIF(Tim!$AG$7:$AG$70,Ins!F45,Tim!$D$7:$D$70)+SUMIF(Tim!$AH$7:$AH$70,Ins!F45,Tim!$D$7:$D$70)+SUMIF(Tim!$AI$7:$AI$70,Ins!F45,Tim!$D$7:$D$70)+SUMIF(Tim!$AJ$7:$AJ$70,Ins!F45,Tim!$D$7:$D$70)+SUMIF(Tim!$AK$7:$AK$70,Ins!F45,Tim!$D$7:$D$70)+SUMIF(Tim!$AL$7:$AL$70,Ins!F45,Tim!$D$7:$D$70)+SUMIF(Tim!$AM$7:$AM$70,Ins!F45,Tim!$D$7:$D$70)+SUMIF(Tim!$AN$7:$AN$70,Ins!F45,Tim!$D$7:$D$70)</f>
        <v>0</v>
      </c>
      <c r="P45" s="80">
        <f>SUMIF(Tim!AO$7:AO$70,Ins!F45,Tim!$C$7:$C$70)</f>
        <v>0</v>
      </c>
      <c r="Q45" s="80">
        <f>SUMIF(Tim!AP$7:AP$70,Ins!F45,Tim!$C$7:$C$70)</f>
        <v>0</v>
      </c>
      <c r="R45" s="80">
        <f>SUMIF(Tim!AQ$7:AQ$70,Ins!F45,Tim!$C$7:$C$70)+SUMIF(Tim!AR$7:AR$70,Ins!F45,Tim!$C$7:$C$70)+SUMIF(Tim!AS$7:AS$70,Ins!F45,Tim!$C$7:$C$70)</f>
        <v>0</v>
      </c>
      <c r="S45" s="236">
        <f>SUMIF(Tim!$AT$7:$AT$70,Ins!F45,Tim!$C$7:$C$70)+SUMIF(Tim!$AU$7:$AU$70,Ins!F45,Tim!$C$7:$C105)+SUMIF(Tim!$AV$7:$AV$70,Ins!F45,Tim!$C$7:$C$70)+SUMIF(Tim!$AW$7:$AW$70,Ins!F45,Tim!$C$7:$C$70)+SUMIF(Tim!$AX$7:$AX$70,Ins!F45,Tim!$C$7:$C$70)</f>
        <v>0</v>
      </c>
      <c r="T45" s="79">
        <f>SUMIF(Tim!$AY$7:$AY$70,Ins!F45,Tim!$B$7:$B$70)</f>
        <v>0</v>
      </c>
      <c r="U45" s="80">
        <f>SUMIF(Tim!$AZ$7:$AZ$70,Ins!F45,Tim!$B$7:$B$70)+SUMIF(Tim!$BA$7:$BA$70,Ins!F45,Tim!$B$7:$B$70)+SUMIF(Tim!$BB$7:$BB$70,Ins!F45,Tim!$B$7:$B$70)+SUMIF(Tim!$BC$7:$BC$70,Ins!F45,Tim!$B$7:$B$70)+SUMIF(Tim!$BD$7:$BD$70,Ins!F45,Tim!$B$7:$B$70)+SUMIF(Tim!$BE$7:$BE$70,Ins!F45,Tim!$B$7:$B$70)</f>
        <v>0</v>
      </c>
      <c r="V45" s="80">
        <f>SUMIF(Tim!$BF$7:$BF$70,Ins!F45,Tim!$B$7:$B$70)+SUMIF(Tim!$BG$7:$BG$70,Ins!F45,Tim!$B$7:$B$70)+SUMIF(Tim!$BH$7:$BH$70,Ins!F45,Tim!$B$7:$B$70)</f>
        <v>0</v>
      </c>
      <c r="W45" s="80">
        <f>SUMIF(Tim!$BI$7:$BI$70,Ins!F45,Tim!$B$7:$B$70)+SUMIF(Tim!$BJ$7:$BJ$70,Ins!F45,Tim!$B$7:$B$70)+SUMIF(Tim!$BK$7:$BK$70,Ins!F45,Tim!$B$7:$B$70)+SUMIF(Tim!$BL$7:$BL$70,Ins!F45,Tim!$B$7:$B$70)+SUMIF(Tim!$BM$7:$BM$70,Ins!F45,Tim!$B$7:$B$70)</f>
        <v>0</v>
      </c>
      <c r="X45" s="80">
        <f>SUMIF(Tim!$BN$7:$BN$70,Ins!F45,Tim!$B$7:$B$70)+SUMIF(Tim!$BO$7:$BO$70,Ins!F45,Tim!$B$7:$B$70)+SUMIF(Tim!$BP$7:$BP$70,Ins!F45,Tim!$B$7:$B$70)</f>
        <v>0</v>
      </c>
      <c r="Y45" s="80">
        <f>SUMIF(Tim!$BQ$7:$BQ$70,Ins!F45,Tim!$B$7:$B$70)+SUMIF(Tim!$BR$7:$BR$70,Ins!F45,Tim!$B$7:$B$70)+SUMIF(Tim!$BS$7:$BS$70,Ins!F45,Tim!$B$7:$B$70)</f>
        <v>0</v>
      </c>
      <c r="Z45" s="80">
        <f>SUMIF(Tim!BT$7:BT$70,Ins!F45,Tim!$B$7:$B$70)</f>
        <v>0</v>
      </c>
      <c r="AA45" s="80">
        <f>SUMIF(Tim!$BU$7:$BU$70,Ins!F45,Tim!$D$7:$D$70)+SUMIF(Tim!$BV$7:$BV$70,Ins!F45,Tim!$D$7:$D$70)+SUMIF(Tim!$BW$7:$BW$70,Ins!F45,Tim!$D$7:$D$70)+SUMIF(Tim!$BX$7:$BX$70,Ins!F45,Tim!$D$7:$D$70)+SUMIF(Tim!$BY$7:$BY$70,Ins!F45,Tim!$D$7:$D$70)+SUMIF(Tim!$BZ$7:$BZ$70,Ins!F45,Tim!$D$7:$D$70)+SUMIF(Tim!$CA$7:$CA$70,Ins!F45,Tim!$D$7:$D$70)+SUMIF(Tim!$CB$7:$CB$70,Ins!F45,Tim!$D$7:$D$70)+SUMIF(Tim!$CC$7:$CC$70,Ins!F45,Tim!$D$7:$D$70)+SUMIF(Tim!$CD$7:$CD$70,Ins!F45,Tim!$D$7:$D$70)+SUMIF(Tim!$CE$7:$CE$70,Ins!F45,Tim!$D$7:$D$70)+SUMIF(Tim!$CF$7:$CF$70,Ins!F45,Tim!$D$7:$D$70)</f>
        <v>0</v>
      </c>
      <c r="AB45" s="80">
        <f>SUMIF(Tim!CG$7:CG$70,Ins!F45,Tim!$C$7:$C$70)</f>
        <v>0</v>
      </c>
      <c r="AC45" s="80">
        <f>SUMIF(Tim!CH$7:CH$70,Ins!F45,Tim!$C$7:$C$70)</f>
        <v>0</v>
      </c>
      <c r="AD45" s="80">
        <f>SUMIF(Tim!CI$7:CI$70,Ins!F45,Tim!$C$7:$C$70)+SUMIF(Tim!CJ$7:CJ$70,Ins!F45,Tim!$C$7:$C$70)+SUMIF(Tim!CK$7:CK$70,Ins!F45,Tim!$C$7:$C$70)</f>
        <v>0</v>
      </c>
      <c r="AE45" s="81">
        <f>SUMIF(Tim!$CL$7:$CL$70,Ins!F45,Tim!$C$7:$C$70)+SUMIF(Tim!$CM$7:$CM$70,Ins!F45,Tim!$C$7:$C$70)+SUMIF(Tim!$CN$7:$CN$70,Ins!F45,Tim!$C$7:$C$70)+SUMIF(Tim!$CO$7:$CO$70,Ins!F45,Tim!$C$7:$C$70)+SUMIF(Tim!$CP$7:$CP$70,Ins!F45,Tim!$C$7:$C$70)</f>
        <v>0</v>
      </c>
      <c r="AF45" s="79">
        <f>SUMIF(Tim!$CQ$7:$CQ$70,Ins!F45,Tim!$B$7:$B$70)</f>
        <v>0</v>
      </c>
      <c r="AG45" s="80">
        <f>SUMIF(Tim!$CR$7:$CR$70,Ins!F45,Tim!$B$7:$B$70)+SUMIF(Tim!$CS$7:$CS$70,Ins!F45,Tim!$B$7:$B$70)+SUMIF(Tim!$CT$7:$CT$70,Ins!F45,Tim!$B$7:$B$70)+SUMIF(Tim!$CU$7:$CU$70,Ins!F45,Tim!$B$7:$B$70)+SUMIF(Tim!$CV$7:$CV$70,Ins!F45,Tim!$B$7:$B$70)+SUMIF(Tim!$CW$7:$CW$70,Ins!F45,Tim!$B$7:$B$70)</f>
        <v>0</v>
      </c>
      <c r="AH45" s="80">
        <f>SUMIF(Tim!$CX$7:$CX$70,Ins!F45,Tim!$B$7:$B$70)+SUMIF(Tim!$CY$7:$CY$70,Ins!F45,Tim!$B$7:$B$70)+SUMIF(Tim!$CZ$7:$CZ$70,Ins!F45,Tim!$B$7:$B$70)</f>
        <v>0</v>
      </c>
      <c r="AI45" s="80">
        <f>SUMIF(Tim!$DA$7:$DA$70,Ins!F45,Tim!$B$7:$B$70)+SUMIF(Tim!$DB$7:$DB$70,Ins!F45,Tim!$B$7:$B$70)+SUMIF(Tim!$DC$7:$DC$70,Ins!F45,Tim!$B$7:$B$70)+SUMIF(Tim!$DD$7:$DD$70,Ins!F45,Tim!$B$7:$B$70)+SUMIF(Tim!$DE$7:$DE$70,Ins!F45,Tim!$B$7:$B$70)</f>
        <v>0</v>
      </c>
      <c r="AJ45" s="80">
        <f>SUMIF(Tim!$DF$7:$DF$70,Ins!F45,Tim!$B$7:$B$70)+SUMIF(Tim!$DG$7:$DG$70,Ins!F45,Tim!$B$7:$B$70)+SUMIF(Tim!$DH$7:$DH$70,Ins!F45,Tim!$B$7:$B$70)</f>
        <v>0</v>
      </c>
      <c r="AK45" s="80">
        <f>SUMIF(Tim!DI$7:DI$70,Ins!F45,Tim!$B$7:$B$70)+SUMIF(Tim!DM$7:DM$70,Ins!F45,Tim!$B$7:$B$70)+SUMIF(Tim!DN$7:DN$70,Ins!F45,Tim!$B$7:$B$70)</f>
        <v>0</v>
      </c>
      <c r="AL45" s="80">
        <f>SUMIF(Tim!DO$7:DO$70,Ins!F45,Tim!$B$7:$B$70)</f>
        <v>0</v>
      </c>
      <c r="AM45" s="80">
        <f>SUMIF(Tim!$DP$7:$DP$70,Ins!F45,Tim!$D$7:$D$70)+SUMIF(Tim!$DQ$7:$DQ$70,Ins!F45,Tim!$D$7:$D$70)+SUMIF(Tim!$DR$7:$DR$70,Ins!F45,Tim!$D$7:$D$70)+SUMIF(Tim!$DS$7:$DS$70,Ins!F45,Tim!$D$7:$D$70)+SUMIF(Tim!$DT$7:$DT$70,Ins!F45,Tim!$D$7:$D$70)+SUMIF(Tim!$DU$7:$DU$70,Ins!F45,Tim!$D$7:$D$70)+SUMIF(Tim!$DV$7:$DV$70,Ins!F45,Tim!$D$7:$D$70)+SUMIF(Tim!$DW$7:$DW$70,Ins!F45,Tim!$D$7:$D$70)+SUMIF(Tim!$DX$7:$DX$70,Ins!F45,Tim!$D$7:$D$70)+SUMIF(Tim!$DY$7:$DY$70,Ins!F45,Tim!$D$7:$D$70)+SUMIF(Tim!$DZ$7:$DZ$70,Ins!F45,Tim!$D$7:$D$70)+SUMIF(Tim!$EA$7:$EA$70,Ins!F45,Tim!$D$7:$D$70)</f>
        <v>0</v>
      </c>
      <c r="AN45" s="80">
        <f>SUMIF(Tim!EB$7:EB$70,Ins!F45,Tim!$C$7:$C$70)</f>
        <v>0</v>
      </c>
      <c r="AO45" s="80">
        <f>SUMIF(Tim!EC$7:EC$70,Ins!F45,Tim!$C$7:$C$70)</f>
        <v>0</v>
      </c>
      <c r="AP45" s="80">
        <f>SUMIF(Tim!ED$7:ED$70,Ins!F45,Tim!$C$7:$C$70)+SUMIF(Tim!EE$7:EE$70,Ins!F45,Tim!$C$7:$C$70)+SUMIF(Tim!EF$7:EF$70,Ins!F45,Tim!$C$7:$C$70)</f>
        <v>0</v>
      </c>
      <c r="AQ45" s="81">
        <f>SUMIF(Tim!$EG$7:$EG$70,Ins!F45,Tim!$C$7:$C$70)+SUMIF(Tim!$EH$7:$EH$70,Ins!F45,Tim!$C$7:$C$70)+SUMIF(Tim!$EI$7:$EI$70,Ins!F45,Tim!$C$7:$C$70)+SUMIF(Tim!$EJ$7:$EJ$70,Ins!F45,Tim!$C$7:$C$70)+SUMIF(Tim!$EK$7:$EK$70,Ins!F45,Tim!$C$7:$C$70)</f>
        <v>0</v>
      </c>
      <c r="AR45" s="79">
        <f>SUMIF(Tim!$EL$5:$EL$70,Ins!F45,Tim!$B$5:$B$70)</f>
        <v>0</v>
      </c>
      <c r="AS45" s="80">
        <f>SUMIF(Tim!$EM$5:$EM$70,Ins!F45,Tim!$B$5:$B$70)+SUMIF(Tim!$EN$5:$EN$70,Ins!F45,Tim!$B$5:$B$70)+SUMIF(Tim!$EO$5:$EO$70,Ins!F45,Tim!$B$5:$B$70)+SUMIF(Tim!$EP$5:$EP$70,Ins!F45,Tim!$B$5:$B$70)+SUMIF(Tim!$EQ$5:$EQ$70,Ins!F45,Tim!$B$5:$B$70)+SUMIF(Tim!$ER$5:$ER$70,Ins!F45,Tim!$B$5:$B$70)</f>
        <v>0</v>
      </c>
      <c r="AT45" s="80">
        <f>SUMIF(Tim!$ES$5:$ES$70,Ins!F45,Tim!$B$5:$B$70)+SUMIF(Tim!$ET$5:$ET$70,Ins!F45,Tim!$B$5:$B$70)+SUMIF(Tim!$EU$5:$EU$70,Ins!F45,Tim!$B$5:$B$70)</f>
        <v>0</v>
      </c>
      <c r="AU45" s="80">
        <f>SUMIF(Tim!$EV$5:$EV$70,Ins!F45,Tim!$B$5:$B$70)+SUMIF(Tim!$EW$5:$EW$70,Ins!F45,Tim!$B$5:$B$70)+SUMIF(Tim!$EX$5:$EX$70,Ins!F45,Tim!$B$5:$B$70)+SUMIF(Tim!$EY$5:$EY$70,Ins!F45,Tim!$B$5:$B$70)+SUMIF(Tim!$EZ$5:$EZ$70,Ins!F45,Tim!$B$5:$B$70)</f>
        <v>0</v>
      </c>
      <c r="AV45" s="80">
        <f>SUMIF(Tim!$FA$5:$FA$70,Ins!F45,Tim!$B$5:$B$70)+SUMIF(Tim!$FB$5:$FB$70,Ins!F45,Tim!$B$5:$B$70)+SUMIF(Tim!$FC$5:$FC$70,Ins!F45,Tim!$B$5:$B$70)</f>
        <v>0</v>
      </c>
      <c r="AW45" s="80">
        <f>SUMIF(Tim!FD$5:FD$70,Ins!F45,Tim!$B$5:$B$70)+SUMIF(Tim!FE$5:FE$70,Ins!F45,Tim!$B$5:$B$70)+SUMIF(Tim!FF$5:FF$70,Ins!F45,Tim!$B$5:$B$70)</f>
        <v>0</v>
      </c>
      <c r="AX45" s="80">
        <f>SUMIF(Tim!FG$5:FG$70,Ins!F45,Tim!$B$5:$B$70)</f>
        <v>0</v>
      </c>
      <c r="AY45" s="80">
        <f>SUMIF(Tim!$FH$5:$FH$70,Ins!F45,Tim!$D$5:$D$70)+SUMIF(Tim!$FI$5:$FI$70,Ins!F45,Tim!$D$5:$D$70)+SUMIF(Tim!$FJ$5:$FJ$70,Ins!F45,Tim!$D$5:$D$70)+SUMIF(Tim!$FK$5:$FK$70,Ins!F45,Tim!$D$5:$D$70)+SUMIF(Tim!$FL$5:$FL$70,Ins!F45,Tim!$D$5:$D$70)+SUMIF(Tim!$FM$5:$FM$70,Ins!F45,Tim!$D$5:$D$70)+SUMIF(Tim!$FN$5:$FN$70,Ins!F45,Tim!$D$5:$D$70)+SUMIF(Tim!$FO$5:$FO$70,Ins!F45,Tim!$D$5:$D$70)+SUMIF(Tim!$FP$5:$FP$70,Ins!F45,Tim!$D$5:$D$70)+SUMIF(Tim!$FQ$5:$FQ$70,Ins!F45,Tim!$D$5:$D$70)+SUMIF(Tim!$FR$5:$FR$70,Ins!F45,Tim!$D$5:$D$70)+SUMIF(Tim!$FS$5:$FS$70,Ins!F45,Tim!$D$5:$D$70)</f>
        <v>0</v>
      </c>
      <c r="AZ45" s="80">
        <f>SUMIF(Tim!FT$5:FT$70,Ins!F45,Tim!$C$5:$C$70)</f>
        <v>0</v>
      </c>
      <c r="BA45" s="80">
        <f>SUMIF(Tim!FU$5:FU$70,Ins!F45,Tim!$C$5:$C$70)</f>
        <v>0</v>
      </c>
      <c r="BB45" s="80">
        <f>SUMIF(Tim!FV$5:FV$70,Ins!F45,Tim!$C$5:$C$70)+SUMIF(Tim!FW$5:FW$70,Ins!F45,Tim!$C$5:$C$70)+SUMIF(Tim!FX$5:FX$70,Ins!F45,Tim!$C$5:$C$70)</f>
        <v>0</v>
      </c>
      <c r="BC45" s="81">
        <f>SUMIF(Tim!$FY$5:$FY$70,Ins!F45,Tim!$C$5:$C$70)+SUMIF(Tim!$FZ$5:$FZ$70,Ins!F45,Tim!$C$5:$C$70)+SUMIF(Tim!$GA$5:$GA$70,Ins!F45,Tim!$C$5:$C$70)+SUMIF(Tim!$GB$5:$GB$70,Ins!F45,Tim!$C$5:$C$70)+SUMIF(Tim!$GC$5:$GC$70,Ins!F45,Tim!$C$5:$C$70)</f>
        <v>0</v>
      </c>
      <c r="BD45" s="79">
        <f>SUMIF(Tim!$GD$5:$GD$70,Ins!F45,Tim!$B$5:$B$70)</f>
        <v>0</v>
      </c>
      <c r="BE45" s="80">
        <f>SUMIF(Tim!$GE$5:$GE$70,Ins!F45,Tim!$B$5:$B$70)+SUMIF(Tim!$GF$5:$GF$70,Ins!F45,Tim!$B$5:$B$70)+SUMIF(Tim!$GG$5:$GG$70,Ins!F45,Tim!$B$5:$B$70)+SUMIF(Tim!$GH$5:$GH$70,Ins!F45,Tim!$B$5:$B$70)+SUMIF(Tim!$GI$5:$GI$70,Ins!F45,Tim!$B$5:$B$70)+SUMIF(Tim!$GJ$5:$GJ$70,Ins!F45,Tim!$B$5:$B$70)</f>
        <v>0</v>
      </c>
      <c r="BF45" s="80">
        <f>SUMIF(Tim!$GK$5:$GK$70,Ins!F45,Tim!$B$5:$B$70)+SUMIF(Tim!$GL$5:$GL$70,Ins!F45,Tim!$B$5:$B$70)+SUMIF(Tim!$GM$5:$GM$70,Ins!F45,Tim!$B$5:$B$70)</f>
        <v>0</v>
      </c>
      <c r="BG45" s="80">
        <f>SUMIF(Tim!$GN$5:$GN$70,Ins!F45,Tim!$B$5:$B$70)+SUMIF(Tim!$GO$5:$GO$70,Ins!F45,Tim!$B$5:$B$70)+SUMIF(Tim!$GP$5:$GP$70,Ins!F45,Tim!$B$5:$B$70)+SUMIF(Tim!$GQ$5:$GQ$70,Ins!F45,Tim!$B$5:$B$70)+SUMIF(Tim!$GR$5:$GR$70,Ins!F45,Tim!$B$5:$B$70)</f>
        <v>0</v>
      </c>
      <c r="BH45" s="80">
        <f>SUMIF(Tim!$GS$5:$GS$70,Ins!F45,Tim!$B$5:$B$70)+SUMIF(Tim!$GT$5:$GT$70,Ins!F45,Tim!$B$5:$B$70)+SUMIF(Tim!$GU$5:$GU$70,Ins!F45,Tim!$B$5:$B$70)</f>
        <v>0</v>
      </c>
      <c r="BI45" s="80">
        <f>SUMIF(Tim!GV$5:GV$70,Ins!F45,Tim!$B$5:$B$70)+SUMIF(Tim!GW$5:GW$70,Ins!F45,Tim!$B$5:$B$70)+SUMIF(Tim!GX$5:GX$70,Ins!F45,Tim!$B$5:$B$70)</f>
        <v>0</v>
      </c>
      <c r="BJ45" s="80">
        <f>SUMIF(Tim!GY$5:GY$70,Ins!F45,Tim!$B$5:$B$70)</f>
        <v>0</v>
      </c>
      <c r="BK45" s="80">
        <f>SUMIF(Tim!$GZ$5:$GZ$70,Ins!F45,Tim!$D$5:$D$70)+SUMIF(Tim!$HA$5:$HA$70,Ins!F45,Tim!$D$5:$D$70)+SUMIF(Tim!$HB$5:$HB$70,Ins!F45,Tim!$D$5:$D$70)++SUMIF(Tim!$HC$5:$HC$70,Ins!F45,Tim!$D$5:$D$70)+SUMIF(Tim!$HD$5:$HD$70,Ins!F45,Tim!$D$5:$D$70)+SUMIF(Tim!$HE$5:$HE$70,Ins!F45,Tim!$D$5:$D$70)+SUMIF(Tim!$HF$5:$HF$70,Ins!F45,Tim!$D$5:$D$70)+SUMIF(Tim!$HG$5:$HG$70,Ins!F45,Tim!$D$5:$D$70)+SUMIF(Tim!$HH$5:$HH$70,Ins!F45,Tim!$D$5:$D$70)+SUMIF(Tim!$HI$5:$HI$70,Ins!F45,Tim!$D$5:$D$70)+SUMIF(Tim!$HJ$5:$HJ$70,Ins!F45,Tim!$D$5:$D$70)+SUMIF(Tim!$HK$5:$HK$70,Ins!F45,Tim!$D$5:$D$70)</f>
        <v>0</v>
      </c>
      <c r="BL45" s="80">
        <f>SUMIF(Tim!HL$5:HL$70,Ins!F45,Tim!$C$5:$C$70)</f>
        <v>0</v>
      </c>
      <c r="BM45" s="80">
        <f>SUMIF(Tim!HM$5:HM$70,Ins!F45,Tim!$C$5:$C$70)</f>
        <v>0</v>
      </c>
      <c r="BN45" s="80">
        <f>SUMIF(Tim!HN$5:HN$70,Ins!F45,Tim!$C$5:$C$70)+SUMIF(Tim!HO$5:HO$70,Ins!F45,Tim!$C$5:$C$70)+SUMIF(Tim!HP$5:HP$70,Ins!F45,Tim!$C$5:$C$70)</f>
        <v>0</v>
      </c>
      <c r="BO45" s="81">
        <f>SUMIF(Tim!$HQ$5:$HQ$70,Ins!F45,Tim!$C$5:$C$70)+SUMIF(Tim!$HR$5:$HR$70,Ins!F45,Tim!$C$5:$C$70)+SUMIF(Tim!$HS$5:$HS$70,Ins!F45,Tim!$C$5:$C$70)+SUMIF(Tim!$HT$5:$HT$70,Ins!F45,Tim!$C$5:$C$70)+SUMIF(Tim!$HU$5:$HU$70,Ins!F45,Tim!$C$5:$C$70)</f>
        <v>0</v>
      </c>
      <c r="BP45" s="79">
        <f>SUMIF(Tim!$HV$7:$HV$70,Ins!F45,Tim!$B$7:$B$70)</f>
        <v>0</v>
      </c>
      <c r="BQ45" s="80">
        <f>SUMIF(Tim!$HW$7:$HW$70,Ins!F45,Tim!$B$7:$B$70)+SUMIF(Tim!$HX$7:$HX$70,Ins!F45,Tim!$B$7:$B$70)+SUMIF(Tim!$HY$7:$HY$70,Ins!F45,Tim!$B$7:$B$70)+SUMIF(Tim!$HZ$7:$HZ$70,Ins!F45,Tim!$B$7:$B$70)+SUMIF(Tim!$IA$7:$IA$70,Ins!F45,Tim!$B$7:$B$70)+SUMIF(Tim!$IB$7:$IB$70,Ins!F45,Tim!$B$7:$B$70)</f>
        <v>0</v>
      </c>
      <c r="BR45" s="80">
        <f>SUMIF(Tim!$IC$7:$IC$70,Ins!F45,Tim!$B$7:$B$70)+SUMIF(Tim!$ID$7:$ID$70,Ins!F45,Tim!$B$7:$B$70)+SUMIF(Tim!$IE$7:$IE$70,Ins!F45,Tim!$B$7:$B$70)</f>
        <v>0</v>
      </c>
      <c r="BS45" s="80">
        <f>SUMIF(Tim!$IF$7:$IF$70,Ins!F45,Tim!$B$7:$B$70)+SUMIF(Tim!$IG$7:$IG$70,Ins!F45,Tim!$B$7:$B$70)+SUMIF(Tim!$IH$7:$IH$70,Ins!F45,Tim!$B$7:$B$70)+SUMIF(Tim!$II$7:$II$70,Ins!F45,Tim!$B$7:$B$70)+SUMIF(Tim!$IJ$7:$IJ$70,Ins!F45,Tim!$B$7:$B$70)</f>
        <v>0</v>
      </c>
      <c r="BT45" s="80">
        <f>SUMIF(Tim!$IK$7:$IK$70,Ins!F45,Tim!$B$7:$B$70)+SUMIF(Tim!$IL$7:$IL$70,Ins!F45,Tim!$B$7:$B$70)+SUMIF(Tim!$IM$7:$IM$70,Ins!F45,Tim!$B$7:$B$70)</f>
        <v>0</v>
      </c>
      <c r="BU45" s="80">
        <f>SUMIF(Tim!$IN$7:$IN$70,Ins!F45,Tim!$B$7:$B$70)+SUMIF(Tim!$IO$7:$IO$70,Ins!F45,Tim!$B$7:$B$70)+SUMIF(Tim!$IP$7:$IP$70,Ins!F45,Tim!$B$7:$B$70)</f>
        <v>0</v>
      </c>
      <c r="BV45" s="80">
        <f>SUMIF(Tim!$IQ$7:$IQ$70,Ins!F45,Tim!$B$7:$B$70)</f>
        <v>0</v>
      </c>
      <c r="BW45" s="80">
        <f>SUMIF(Tim!$IR$7:$IR$70,Ins!F45,Tim!$D$7:$D$70)+SUMIF(Tim!$IS$7:$IS$70,Ins!F45,Tim!$D$7:$D$70)+SUMIF(Tim!$IT$7:$IT$70,Ins!F45,Tim!$D$7:$D$70)+SUMIF(Tim!$IU$7:$IU$70,Ins!F45,Tim!$D$7:$D$70)+SUMIF(Tim!$IV$7:$IV$70,Ins!F45,Tim!$D$7:$D$70)+SUMIF(Tim!$IW$7:$IW$70,Ins!F45,Tim!$D$7:$D$70)+SUMIF(Tim!$IX$7:$IX$70,Ins!F45,Tim!$D$7:$D$70)+SUMIF(Tim!$IY$7:$IY$70,Ins!F45,Tim!$D$7:$D$70)+SUMIF(Tim!$IZ$7:$IZ$70,Ins!F45,Tim!$D$7:$D$70)+SUMIF(Tim!$JA$7:$JA$70,Ins!F45,Tim!$D$7:$D$70)+SUMIF(Tim!$JB$7:$JB$70,Ins!F45,Tim!$D$7:$D$70)+SUMIF(Tim!$JC$7:$JC$70,Ins!F45,Tim!$D$7:$D$70)</f>
        <v>0</v>
      </c>
      <c r="BX45" s="80">
        <f>SUMIF(Tim!JD$7:JD$70,Ins!F45,Tim!$C$7:$C$70)</f>
        <v>0</v>
      </c>
      <c r="BY45" s="80">
        <f>SUMIF(Tim!JE$7:JE$70,Ins!F45,Tim!$C$7:$C$70)</f>
        <v>0</v>
      </c>
      <c r="BZ45" s="80">
        <f>SUMIF(Tim!JF$7:JF$70,Ins!F45,Tim!$C$7:$C$70)+SUMIF(Tim!JG$7:JG$70,Ins!F45,Tim!$C$7:$C$70)+SUMIF(Tim!JH$7:JH$70,Ins!F45,Tim!$C$7:$C$70)</f>
        <v>0</v>
      </c>
      <c r="CA45" s="81">
        <f>SUMIF(Tim!$JI$7:$JI$70,Ins!F45,Tim!$C$7:$C$70)++SUMIF(Tim!$JJ$7:$JJ$70,Ins!F45,Tim!$C$7:$C$70)+SUMIF(Tim!$JK$7:$JK$70,Ins!F45,Tim!$C$7:$C$70)+SUMIF(Tim!$JL$7:$JL$70,Ins!F45,Tim!$C$7:$C$70)+SUMIF(Tim!$JM$7:$JM$70,Ins!F45,Tim!$C$7:$C$70)</f>
        <v>0</v>
      </c>
      <c r="CB45" s="79">
        <f>SUMIF(Tim!$JN$7:$JN$70,Ins!F45,Tim!$B$7:$B$70)</f>
        <v>0</v>
      </c>
      <c r="CC45" s="80">
        <f>SUMIF(Tim!$JO$7:$JO$70,Ins!F45,Tim!$B$7:$B$70)+SUMIF(Tim!$JP$7:$JP$70,Ins!F45,Tim!$B$7:$B$70)+SUMIF(Tim!$JQ$7:$JQ$70,Ins!F45,Tim!$B$7:$B$70)+SUMIF(Tim!$JR$7:$JR$70,Ins!F45,Tim!$B$7:$B$70)+SUMIF(Tim!$JS$7:$JS$70,Ins!F45,Tim!$B$7:$B$70)+SUMIF(Tim!$JT$7:$JT$70,Ins!F45,Tim!$B$7:$B$70)</f>
        <v>0</v>
      </c>
      <c r="CD45" s="80">
        <f>SUMIF(Tim!$JW$7:$JW$70,Ins!F45,Tim!$B$7:$B$70)+SUMIF(Tim!$JU$7:$JU$70,Ins!F45,Tim!$B$7:$B$70)+SUMIF(Tim!$JV$7:$JV$70,Ins!F45,Tim!$B$7:$B$70)</f>
        <v>0</v>
      </c>
      <c r="CE45" s="80">
        <f>SUMIF(Tim!$JX$7:$JX$70,Ins!F45,Tim!$B$7:$B$70)+SUMIF(Tim!$JY$7:$JY$70,Ins!F45,Tim!$B$7:$B$70)+SUMIF(Tim!$JZ$7:$JZ$70,Ins!F45,Tim!$B$7:$B$70)+SUMIF(Tim!$KA$7:$KA$70,Ins!F45,Tim!$B$7:$B$70)+SUMIF(Tim!$KB$7:$KB$70,Ins!F45,Tim!$B$7:$B$70)</f>
        <v>0</v>
      </c>
      <c r="CF45" s="80">
        <f>SUMIF(Tim!$KE$7:$KE$70,Ins!F45,Tim!$B$7:$B$70)+SUMIF(Tim!$KC$7:$KC$70,Ins!F45,Tim!$B$7:$B$70)+SUMIF(Tim!$KD$7:$KD$70,Ins!F45,Tim!$B$7:$B$70)</f>
        <v>0</v>
      </c>
      <c r="CG45" s="80">
        <f>SUMIF(Tim!$KF$7:$KF$70,Ins!F45,Tim!$B$7:$B$70)+SUMIF(Tim!$KG$7:$KG$70,Ins!F45,Tim!$B$7:$B$70)+SUMIF(Tim!$KH$7:$KH$70,Ins!F45,Tim!$B$7:$B$70)</f>
        <v>0</v>
      </c>
      <c r="CH45" s="80">
        <f>SUMIF(Tim!$KI$7:$KI$70,Ins!F45,Tim!$B$7:$B$70)</f>
        <v>0</v>
      </c>
      <c r="CI45" s="80">
        <f>SUMIF(Tim!$KJ$7:$KJ$70,Ins!F45,Tim!$D$7:$D$70)+SUMIF(Tim!$KK$7:$KK$70,Ins!F45,Tim!$D$7:$D$70)+SUMIF(Tim!$KL$7:$KL$70,Ins!F45,Tim!$D$7:$D$70)+SUMIF(Tim!$KM$7:$KM$70,Ins!F45,Tim!$D$7:$D$70)+SUMIF(Tim!$KN$7:$KN$70,Ins!F45,Tim!$D$7:$D$70)+SUMIF(Tim!$KO$7:$KO$70,Ins!F45,Tim!$D$7:$D$70)+SUMIF(Tim!$KP$7:$KP$70,Ins!F45,Tim!$D$7:$D$70)+SUMIF(Tim!$KQ$7:$KQ$70,Ins!F45,Tim!$D$7:$D$70)+SUMIF(Tim!$KR$7:$KR$70,Ins!F45,Tim!$D$7:$D$70)+SUMIF(Tim!$KS$7:$KS$70,Ins!F45,Tim!$D$7:$D$70)+SUMIF(Tim!$KT$7:$KT$70,Ins!F45,Tim!$D$7:$D$70)+SUMIF(Tim!$KU$7:$KU$70,Ins!F45,Tim!$D$7:$D$70)</f>
        <v>0</v>
      </c>
      <c r="CJ45" s="80">
        <f>SUMIF(Tim!KV$7:KV$70,Ins!F45,Tim!$C$7:$C$70)</f>
        <v>0</v>
      </c>
      <c r="CK45" s="80">
        <f>SUMIF(Tim!KW$7:KW$70,Ins!F45,Tim!$C$7:$C$70)</f>
        <v>0</v>
      </c>
      <c r="CL45" s="80">
        <f>SUMIF(Tim!KX$7:KX$70,Ins!F45,Tim!$C$7:$C$70)+SUMIF(Tim!KY$7:KY$70,Ins!F45,Tim!$C$7:$C$70)+SUMIF(Tim!KZ$7:KZ$70,Ins!F45,Tim!$C$7:$C$70)</f>
        <v>0</v>
      </c>
      <c r="CM45" s="81">
        <f>SUMIF(Tim!$LA$7:$LA$70,Ins!F45,Tim!$C$7:$C$70)+SUMIF(Tim!$LB$7:$LB$70,Ins!F45,Tim!$C$7:$C$70)+SUMIF(Tim!$LC$7:$LC$70,Ins!F45,Tim!$C$7:$C$70)+SUMIF(Tim!$LD$7:$LD$70,Ins!F45,Tim!$C$7:$C$70)+SUMIF(Tim!$LE$7:$LE$70,Ins!F45,Tim!$C$7:$C$70)</f>
        <v>0</v>
      </c>
      <c r="CN45" s="22"/>
      <c r="CO45" s="180">
        <f t="shared" ref="CO45" si="295">H45+T45+AF45+AR45+BD45+BP45+CB45</f>
        <v>0</v>
      </c>
      <c r="CP45" s="179">
        <f t="shared" ref="CP45" si="296">I45+U45+AG45+AS45+BE45+BQ45+CC45</f>
        <v>0</v>
      </c>
      <c r="CQ45" s="179">
        <f t="shared" ref="CQ45" si="297">J45+V45+AH45+AT45+BF45+BR45+CD45</f>
        <v>0</v>
      </c>
      <c r="CR45" s="179">
        <f t="shared" ref="CR45" si="298">K45+W45+AI45+AU45+BG45+BS45+CE45</f>
        <v>0</v>
      </c>
      <c r="CS45" s="179">
        <f t="shared" ref="CS45" si="299">L45+X45+AJ45+AV45+BH45+BT45+CF45</f>
        <v>0</v>
      </c>
      <c r="CT45" s="179">
        <f t="shared" ref="CT45" si="300">M45+Y45+AK45+AW45+BI45+BU45+CG45</f>
        <v>0</v>
      </c>
      <c r="CU45" s="179">
        <f t="shared" ref="CU45" si="301">N45+Z45+AL45+AX45+BJ45+BV45+CH45</f>
        <v>0</v>
      </c>
      <c r="CV45" s="179">
        <f t="shared" ref="CV45" si="302">O45+AA45+AM45+AY45+BK45+BW45+CI45</f>
        <v>0</v>
      </c>
      <c r="CW45" s="179">
        <f t="shared" ref="CW45" si="303">P45+AB45+AN45+AZ45+BL45+BX45+CJ45</f>
        <v>0</v>
      </c>
      <c r="CX45" s="179">
        <f t="shared" ref="CX45" si="304">Q45+AC45+AO45+BA45+BM45+BY45+CK45</f>
        <v>0</v>
      </c>
      <c r="CY45" s="179">
        <f t="shared" ref="CY45" si="305">R45+AD45+AP45+BB45+BN45+BZ45+CL45</f>
        <v>0</v>
      </c>
      <c r="CZ45" s="179">
        <f t="shared" ref="CZ45" si="306">S45+AE45+AQ45+BC45+BO45+CA45+CM45</f>
        <v>0</v>
      </c>
      <c r="DA45" s="78">
        <f t="shared" ref="DA45" si="307">SUM(CO45:CZ45)</f>
        <v>0</v>
      </c>
      <c r="DB45" s="36"/>
      <c r="DC45" s="34">
        <f t="shared" ref="DC45" si="308">SUM(H45:S45)</f>
        <v>0</v>
      </c>
      <c r="DD45" s="34">
        <f t="shared" ref="DD45" si="309">SUM(T45:AE45)</f>
        <v>0</v>
      </c>
      <c r="DE45" s="34">
        <f t="shared" ref="DE45" si="310">SUM(AF45:AQ45)</f>
        <v>0</v>
      </c>
      <c r="DF45" s="34">
        <f t="shared" ref="DF45" si="311">SUM(AR45:BC45)</f>
        <v>0</v>
      </c>
      <c r="DG45" s="34">
        <f t="shared" ref="DG45" si="312">SUM(BD45:BO45)</f>
        <v>0</v>
      </c>
      <c r="DH45" s="34">
        <f t="shared" ref="DH45" si="313">SUM(BP45:CA45)</f>
        <v>0</v>
      </c>
      <c r="DI45" s="34">
        <f t="shared" ref="DI45" si="314">SUM(CB45:CM45)</f>
        <v>0</v>
      </c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7"/>
    </row>
    <row r="46" spans="1:125" s="33" customFormat="1" ht="12" customHeight="1">
      <c r="A46" s="10">
        <v>44</v>
      </c>
      <c r="B46" s="24" t="s">
        <v>417</v>
      </c>
      <c r="C46" s="234"/>
      <c r="D46" s="28"/>
      <c r="E46" s="28" t="s">
        <v>373</v>
      </c>
      <c r="F46" s="185" t="s">
        <v>184</v>
      </c>
      <c r="G46" s="205" t="s">
        <v>191</v>
      </c>
      <c r="H46" s="79">
        <f>SUMIF(Tim!$F$7:$F$70,Ins!F46,Tim!$B$7:$B$70)</f>
        <v>0</v>
      </c>
      <c r="I46" s="80">
        <f>SUMIF(Tim!$G$7:$G$70,Ins!F46,Tim!$B$7:$B$70)+SUMIF(Tim!$H$7:$H$70,Ins!F46,Tim!$B$7:$B$70)+SUMIF(Tim!$I$7:$I$70,Ins!F46,Tim!$B$7:$B$70)+SUMIF(Tim!$J$7:$J$70,Ins!F46,Tim!$B$7:$B$70)+SUMIF(Tim!$K$7:$K$70,Ins!F46,Tim!$B$7:$B$70)+SUMIF(Tim!$L$7:$L$70,Ins!F46,Tim!$B$7:$B$70)</f>
        <v>0</v>
      </c>
      <c r="J46" s="80">
        <f>SUMIF(Tim!$M$7:$M$70,Ins!F46,Tim!$B$7:$B$70)+SUMIF(Tim!$O$7:$O$70,Ins!F46,Tim!$B$7:$B$70)+SUMIF(Tim!$N$7:$N$70,Ins!F46,Tim!$B$7:$B$70)</f>
        <v>0</v>
      </c>
      <c r="K46" s="80">
        <f>SUMIF(Tim!$P$7:$P$70,Ins!F46,Tim!$B$7:$B$70)+SUMIF(Tim!$Q$7:$Q$70,Ins!F46,Tim!$B$7:$B$70)+SUMIF(Tim!$R$7:$R$70,Ins!F46,Tim!$B$7:$B$70)+SUMIF(Tim!$S$7:$S$70,Ins!F46,Tim!$B$7:$B$70)+SUMIF(Tim!$T$7:$T$70,Ins!F46,Tim!$B$7:$B$70)</f>
        <v>0</v>
      </c>
      <c r="L46" s="80">
        <f>SUMIF(Tim!$U$7:$U$70,Ins!F46,Tim!$B$7:$B$70)+SUMIF(Tim!$W$7:$W$70,Ins!F46,Tim!$B$7:$B$70)+SUMIF(Tim!$X$7:$X$70,Ins!F46,Tim!$B$7:$B$70)</f>
        <v>0</v>
      </c>
      <c r="M46" s="80">
        <f>SUMIF(Tim!$Y$7:$Y$70,Ins!F46,Tim!$B$7:$B$70)+SUMIF(Tim!$Z$7:$Z$70,Ins!F46,Tim!$B$7:$B$70)+SUMIF(Tim!$AA$7:$AA$70,Ins!F46,Tim!$B$7:$B$70)</f>
        <v>0</v>
      </c>
      <c r="N46" s="80">
        <f>SUMIF(Tim!$AB$7:$AB$70,Ins!F46,Tim!$B$7:$B$70)</f>
        <v>0</v>
      </c>
      <c r="O46" s="80">
        <f>SUMIF(Tim!$AC$7:$AC$70,Ins!F46,Tim!$D$7:$D$70)+SUMIF(Tim!$AD$7:$AD$70,Ins!F46,Tim!$D$7:$D$70)+SUMIF(Tim!$AE$7:$AE$70,Ins!F46,Tim!$D$7:$D$70)+SUMIF(Tim!$AF$7:$AF$70,Ins!F46,Tim!$D$7:$D$70)+SUMIF(Tim!$AG$7:$AG$70,Ins!F46,Tim!$D$7:$D$70)+SUMIF(Tim!$AH$7:$AH$70,Ins!F46,Tim!$D$7:$D$70)+SUMIF(Tim!$AI$7:$AI$70,Ins!F46,Tim!$D$7:$D$70)+SUMIF(Tim!$AJ$7:$AJ$70,Ins!F46,Tim!$D$7:$D$70)+SUMIF(Tim!$AK$7:$AK$70,Ins!F46,Tim!$D$7:$D$70)+SUMIF(Tim!$AL$7:$AL$70,Ins!F46,Tim!$D$7:$D$70)+SUMIF(Tim!$AM$7:$AM$70,Ins!F46,Tim!$D$7:$D$70)+SUMIF(Tim!$AN$7:$AN$70,Ins!F46,Tim!$D$7:$D$70)</f>
        <v>0</v>
      </c>
      <c r="P46" s="80">
        <f>SUMIF(Tim!AO$7:AO$70,Ins!F46,Tim!$C$7:$C$70)</f>
        <v>0</v>
      </c>
      <c r="Q46" s="80">
        <f>SUMIF(Tim!AP$7:AP$70,Ins!F46,Tim!$C$7:$C$70)</f>
        <v>0</v>
      </c>
      <c r="R46" s="80">
        <f>SUMIF(Tim!AQ$7:AQ$70,Ins!F46,Tim!$C$7:$C$70)+SUMIF(Tim!AR$7:AR$70,Ins!F46,Tim!$C$7:$C$70)+SUMIF(Tim!AS$7:AS$70,Ins!F46,Tim!$C$7:$C$70)</f>
        <v>0</v>
      </c>
      <c r="S46" s="236">
        <f>SUMIF(Tim!$AT$7:$AT$70,Ins!F46,Tim!$C$7:$C$70)+SUMIF(Tim!$AU$7:$AU$70,Ins!F46,Tim!$C$7:$C106)+SUMIF(Tim!$AV$7:$AV$70,Ins!F46,Tim!$C$7:$C$70)+SUMIF(Tim!$AW$7:$AW$70,Ins!F46,Tim!$C$7:$C$70)+SUMIF(Tim!$AX$7:$AX$70,Ins!F46,Tim!$C$7:$C$70)</f>
        <v>0</v>
      </c>
      <c r="T46" s="79">
        <f>SUMIF(Tim!$AY$7:$AY$70,Ins!F46,Tim!$B$7:$B$70)</f>
        <v>0</v>
      </c>
      <c r="U46" s="80">
        <f>SUMIF(Tim!$AZ$7:$AZ$70,Ins!F46,Tim!$B$7:$B$70)+SUMIF(Tim!$BA$7:$BA$70,Ins!F46,Tim!$B$7:$B$70)+SUMIF(Tim!$BB$7:$BB$70,Ins!F46,Tim!$B$7:$B$70)+SUMIF(Tim!$BC$7:$BC$70,Ins!F46,Tim!$B$7:$B$70)+SUMIF(Tim!$BD$7:$BD$70,Ins!F46,Tim!$B$7:$B$70)+SUMIF(Tim!$BE$7:$BE$70,Ins!F46,Tim!$B$7:$B$70)</f>
        <v>0</v>
      </c>
      <c r="V46" s="80">
        <f>SUMIF(Tim!$BF$7:$BF$70,Ins!F46,Tim!$B$7:$B$70)+SUMIF(Tim!$BG$7:$BG$70,Ins!F46,Tim!$B$7:$B$70)+SUMIF(Tim!$BH$7:$BH$70,Ins!F46,Tim!$B$7:$B$70)</f>
        <v>0</v>
      </c>
      <c r="W46" s="80">
        <f>SUMIF(Tim!$BI$7:$BI$70,Ins!F46,Tim!$B$7:$B$70)+SUMIF(Tim!$BJ$7:$BJ$70,Ins!F46,Tim!$B$7:$B$70)+SUMIF(Tim!$BK$7:$BK$70,Ins!F46,Tim!$B$7:$B$70)+SUMIF(Tim!$BL$7:$BL$70,Ins!F46,Tim!$B$7:$B$70)+SUMIF(Tim!$BM$7:$BM$70,Ins!F46,Tim!$B$7:$B$70)</f>
        <v>0</v>
      </c>
      <c r="X46" s="80">
        <f>SUMIF(Tim!$BN$7:$BN$70,Ins!F46,Tim!$B$7:$B$70)+SUMIF(Tim!$BO$7:$BO$70,Ins!F46,Tim!$B$7:$B$70)+SUMIF(Tim!$BP$7:$BP$70,Ins!F46,Tim!$B$7:$B$70)</f>
        <v>0</v>
      </c>
      <c r="Y46" s="80">
        <f>SUMIF(Tim!$BQ$7:$BQ$70,Ins!F46,Tim!$B$7:$B$70)+SUMIF(Tim!$BR$7:$BR$70,Ins!F46,Tim!$B$7:$B$70)+SUMIF(Tim!$BS$7:$BS$70,Ins!F46,Tim!$B$7:$B$70)</f>
        <v>0</v>
      </c>
      <c r="Z46" s="80">
        <f>SUMIF(Tim!BT$7:BT$70,Ins!F46,Tim!$B$7:$B$70)</f>
        <v>0</v>
      </c>
      <c r="AA46" s="80">
        <f>SUMIF(Tim!$BU$7:$BU$70,Ins!F46,Tim!$D$7:$D$70)+SUMIF(Tim!$BV$7:$BV$70,Ins!F46,Tim!$D$7:$D$70)+SUMIF(Tim!$BW$7:$BW$70,Ins!F46,Tim!$D$7:$D$70)+SUMIF(Tim!$BX$7:$BX$70,Ins!F46,Tim!$D$7:$D$70)+SUMIF(Tim!$BY$7:$BY$70,Ins!F46,Tim!$D$7:$D$70)+SUMIF(Tim!$BZ$7:$BZ$70,Ins!F46,Tim!$D$7:$D$70)+SUMIF(Tim!$CA$7:$CA$70,Ins!F46,Tim!$D$7:$D$70)+SUMIF(Tim!$CB$7:$CB$70,Ins!F46,Tim!$D$7:$D$70)+SUMIF(Tim!$CC$7:$CC$70,Ins!F46,Tim!$D$7:$D$70)+SUMIF(Tim!$CD$7:$CD$70,Ins!F46,Tim!$D$7:$D$70)+SUMIF(Tim!$CE$7:$CE$70,Ins!F46,Tim!$D$7:$D$70)+SUMIF(Tim!$CF$7:$CF$70,Ins!F46,Tim!$D$7:$D$70)</f>
        <v>0</v>
      </c>
      <c r="AB46" s="80">
        <f>SUMIF(Tim!CG$7:CG$70,Ins!F46,Tim!$C$7:$C$70)</f>
        <v>0</v>
      </c>
      <c r="AC46" s="80">
        <f>SUMIF(Tim!CH$7:CH$70,Ins!F46,Tim!$C$7:$C$70)</f>
        <v>0</v>
      </c>
      <c r="AD46" s="80">
        <f>SUMIF(Tim!CI$7:CI$70,Ins!F46,Tim!$C$7:$C$70)+SUMIF(Tim!CJ$7:CJ$70,Ins!F46,Tim!$C$7:$C$70)+SUMIF(Tim!CK$7:CK$70,Ins!F46,Tim!$C$7:$C$70)</f>
        <v>0</v>
      </c>
      <c r="AE46" s="81">
        <f>SUMIF(Tim!$CL$7:$CL$70,Ins!F46,Tim!$C$7:$C$70)+SUMIF(Tim!$CM$7:$CM$70,Ins!F46,Tim!$C$7:$C$70)+SUMIF(Tim!$CN$7:$CN$70,Ins!F46,Tim!$C$7:$C$70)+SUMIF(Tim!$CO$7:$CO$70,Ins!F46,Tim!$C$7:$C$70)+SUMIF(Tim!$CP$7:$CP$70,Ins!F46,Tim!$C$7:$C$70)</f>
        <v>0</v>
      </c>
      <c r="AF46" s="79">
        <f>SUMIF(Tim!$CQ$7:$CQ$70,Ins!F46,Tim!$B$7:$B$70)</f>
        <v>0</v>
      </c>
      <c r="AG46" s="80">
        <f>SUMIF(Tim!$CR$7:$CR$70,Ins!F46,Tim!$B$7:$B$70)+SUMIF(Tim!$CS$7:$CS$70,Ins!F46,Tim!$B$7:$B$70)+SUMIF(Tim!$CT$7:$CT$70,Ins!F46,Tim!$B$7:$B$70)+SUMIF(Tim!$CU$7:$CU$70,Ins!F46,Tim!$B$7:$B$70)+SUMIF(Tim!$CV$7:$CV$70,Ins!F46,Tim!$B$7:$B$70)+SUMIF(Tim!$CW$7:$CW$70,Ins!F46,Tim!$B$7:$B$70)</f>
        <v>0</v>
      </c>
      <c r="AH46" s="80">
        <f>SUMIF(Tim!$CX$7:$CX$70,Ins!F46,Tim!$B$7:$B$70)+SUMIF(Tim!$CY$7:$CY$70,Ins!F46,Tim!$B$7:$B$70)+SUMIF(Tim!$CZ$7:$CZ$70,Ins!F46,Tim!$B$7:$B$70)</f>
        <v>0</v>
      </c>
      <c r="AI46" s="80">
        <f>SUMIF(Tim!$DA$7:$DA$70,Ins!F46,Tim!$B$7:$B$70)+SUMIF(Tim!$DB$7:$DB$70,Ins!F46,Tim!$B$7:$B$70)+SUMIF(Tim!$DC$7:$DC$70,Ins!F46,Tim!$B$7:$B$70)+SUMIF(Tim!$DD$7:$DD$70,Ins!F46,Tim!$B$7:$B$70)+SUMIF(Tim!$DE$7:$DE$70,Ins!F46,Tim!$B$7:$B$70)</f>
        <v>0</v>
      </c>
      <c r="AJ46" s="80">
        <f>SUMIF(Tim!$DF$7:$DF$70,Ins!F46,Tim!$B$7:$B$70)+SUMIF(Tim!$DG$7:$DG$70,Ins!F46,Tim!$B$7:$B$70)+SUMIF(Tim!$DH$7:$DH$70,Ins!F46,Tim!$B$7:$B$70)</f>
        <v>0</v>
      </c>
      <c r="AK46" s="80">
        <f>SUMIF(Tim!DI$7:DI$70,Ins!F46,Tim!$B$7:$B$70)+SUMIF(Tim!DM$7:DM$70,Ins!F46,Tim!$B$7:$B$70)+SUMIF(Tim!DN$7:DN$70,Ins!F46,Tim!$B$7:$B$70)</f>
        <v>0</v>
      </c>
      <c r="AL46" s="80">
        <f>SUMIF(Tim!DO$7:DO$70,Ins!F46,Tim!$B$7:$B$70)</f>
        <v>0</v>
      </c>
      <c r="AM46" s="80">
        <f>SUMIF(Tim!$DP$7:$DP$70,Ins!F46,Tim!$D$7:$D$70)+SUMIF(Tim!$DQ$7:$DQ$70,Ins!F46,Tim!$D$7:$D$70)+SUMIF(Tim!$DR$7:$DR$70,Ins!F46,Tim!$D$7:$D$70)+SUMIF(Tim!$DS$7:$DS$70,Ins!F46,Tim!$D$7:$D$70)+SUMIF(Tim!$DT$7:$DT$70,Ins!F46,Tim!$D$7:$D$70)+SUMIF(Tim!$DU$7:$DU$70,Ins!F46,Tim!$D$7:$D$70)+SUMIF(Tim!$DV$7:$DV$70,Ins!F46,Tim!$D$7:$D$70)+SUMIF(Tim!$DW$7:$DW$70,Ins!F46,Tim!$D$7:$D$70)+SUMIF(Tim!$DX$7:$DX$70,Ins!F46,Tim!$D$7:$D$70)+SUMIF(Tim!$DY$7:$DY$70,Ins!F46,Tim!$D$7:$D$70)+SUMIF(Tim!$DZ$7:$DZ$70,Ins!F46,Tim!$D$7:$D$70)+SUMIF(Tim!$EA$7:$EA$70,Ins!F46,Tim!$D$7:$D$70)</f>
        <v>0</v>
      </c>
      <c r="AN46" s="80">
        <f>SUMIF(Tim!EB$7:EB$70,Ins!F46,Tim!$C$7:$C$70)</f>
        <v>0</v>
      </c>
      <c r="AO46" s="80">
        <f>SUMIF(Tim!EC$7:EC$70,Ins!F46,Tim!$C$7:$C$70)</f>
        <v>0</v>
      </c>
      <c r="AP46" s="80">
        <f>SUMIF(Tim!ED$7:ED$70,Ins!F46,Tim!$C$7:$C$70)+SUMIF(Tim!EE$7:EE$70,Ins!F46,Tim!$C$7:$C$70)+SUMIF(Tim!EF$7:EF$70,Ins!F46,Tim!$C$7:$C$70)</f>
        <v>0</v>
      </c>
      <c r="AQ46" s="81">
        <f>SUMIF(Tim!$EG$7:$EG$70,Ins!F46,Tim!$C$7:$C$70)+SUMIF(Tim!$EH$7:$EH$70,Ins!F46,Tim!$C$7:$C$70)+SUMIF(Tim!$EI$7:$EI$70,Ins!F46,Tim!$C$7:$C$70)+SUMIF(Tim!$EJ$7:$EJ$70,Ins!F46,Tim!$C$7:$C$70)+SUMIF(Tim!$EK$7:$EK$70,Ins!F46,Tim!$C$7:$C$70)</f>
        <v>0</v>
      </c>
      <c r="AR46" s="79">
        <f>SUMIF(Tim!$EL$5:$EL$70,Ins!F46,Tim!$B$5:$B$70)</f>
        <v>0</v>
      </c>
      <c r="AS46" s="80">
        <f>SUMIF(Tim!$EM$5:$EM$70,Ins!F46,Tim!$B$5:$B$70)+SUMIF(Tim!$EN$5:$EN$70,Ins!F46,Tim!$B$5:$B$70)+SUMIF(Tim!$EO$5:$EO$70,Ins!F46,Tim!$B$5:$B$70)+SUMIF(Tim!$EP$5:$EP$70,Ins!F46,Tim!$B$5:$B$70)+SUMIF(Tim!$EQ$5:$EQ$70,Ins!F46,Tim!$B$5:$B$70)+SUMIF(Tim!$ER$5:$ER$70,Ins!F46,Tim!$B$5:$B$70)</f>
        <v>0</v>
      </c>
      <c r="AT46" s="80">
        <f>SUMIF(Tim!$ES$5:$ES$70,Ins!F46,Tim!$B$5:$B$70)+SUMIF(Tim!$ET$5:$ET$70,Ins!F46,Tim!$B$5:$B$70)+SUMIF(Tim!$EU$5:$EU$70,Ins!F46,Tim!$B$5:$B$70)</f>
        <v>0</v>
      </c>
      <c r="AU46" s="80">
        <f>SUMIF(Tim!$EV$5:$EV$70,Ins!F46,Tim!$B$5:$B$70)+SUMIF(Tim!$EW$5:$EW$70,Ins!F46,Tim!$B$5:$B$70)+SUMIF(Tim!$EX$5:$EX$70,Ins!F46,Tim!$B$5:$B$70)+SUMIF(Tim!$EY$5:$EY$70,Ins!F46,Tim!$B$5:$B$70)+SUMIF(Tim!$EZ$5:$EZ$70,Ins!F46,Tim!$B$5:$B$70)</f>
        <v>0</v>
      </c>
      <c r="AV46" s="80">
        <f>SUMIF(Tim!$FA$5:$FA$70,Ins!F46,Tim!$B$5:$B$70)+SUMIF(Tim!$FB$5:$FB$70,Ins!F46,Tim!$B$5:$B$70)+SUMIF(Tim!$FC$5:$FC$70,Ins!F46,Tim!$B$5:$B$70)</f>
        <v>0</v>
      </c>
      <c r="AW46" s="80">
        <f>SUMIF(Tim!FD$5:FD$70,Ins!F46,Tim!$B$5:$B$70)+SUMIF(Tim!FE$5:FE$70,Ins!F46,Tim!$B$5:$B$70)+SUMIF(Tim!FF$5:FF$70,Ins!F46,Tim!$B$5:$B$70)</f>
        <v>0</v>
      </c>
      <c r="AX46" s="80">
        <f>SUMIF(Tim!FG$5:FG$70,Ins!F46,Tim!$B$5:$B$70)</f>
        <v>0</v>
      </c>
      <c r="AY46" s="80">
        <f>SUMIF(Tim!$FH$5:$FH$70,Ins!F46,Tim!$D$5:$D$70)+SUMIF(Tim!$FI$5:$FI$70,Ins!F46,Tim!$D$5:$D$70)+SUMIF(Tim!$FJ$5:$FJ$70,Ins!F46,Tim!$D$5:$D$70)+SUMIF(Tim!$FK$5:$FK$70,Ins!F46,Tim!$D$5:$D$70)+SUMIF(Tim!$FL$5:$FL$70,Ins!F46,Tim!$D$5:$D$70)+SUMIF(Tim!$FM$5:$FM$70,Ins!F46,Tim!$D$5:$D$70)+SUMIF(Tim!$FN$5:$FN$70,Ins!F46,Tim!$D$5:$D$70)+SUMIF(Tim!$FO$5:$FO$70,Ins!F46,Tim!$D$5:$D$70)+SUMIF(Tim!$FP$5:$FP$70,Ins!F46,Tim!$D$5:$D$70)+SUMIF(Tim!$FQ$5:$FQ$70,Ins!F46,Tim!$D$5:$D$70)+SUMIF(Tim!$FR$5:$FR$70,Ins!F46,Tim!$D$5:$D$70)+SUMIF(Tim!$FS$5:$FS$70,Ins!F46,Tim!$D$5:$D$70)</f>
        <v>0</v>
      </c>
      <c r="AZ46" s="80">
        <f>SUMIF(Tim!FT$5:FT$70,Ins!F46,Tim!$C$5:$C$70)</f>
        <v>0</v>
      </c>
      <c r="BA46" s="80">
        <f>SUMIF(Tim!FU$5:FU$70,Ins!F46,Tim!$C$5:$C$70)</f>
        <v>0</v>
      </c>
      <c r="BB46" s="80">
        <f>SUMIF(Tim!FV$5:FV$70,Ins!F46,Tim!$C$5:$C$70)+SUMIF(Tim!FW$5:FW$70,Ins!F46,Tim!$C$5:$C$70)+SUMIF(Tim!FX$5:FX$70,Ins!F46,Tim!$C$5:$C$70)</f>
        <v>0</v>
      </c>
      <c r="BC46" s="81">
        <f>SUMIF(Tim!$FY$5:$FY$70,Ins!F46,Tim!$C$5:$C$70)+SUMIF(Tim!$FZ$5:$FZ$70,Ins!F46,Tim!$C$5:$C$70)+SUMIF(Tim!$GA$5:$GA$70,Ins!F46,Tim!$C$5:$C$70)+SUMIF(Tim!$GB$5:$GB$70,Ins!F46,Tim!$C$5:$C$70)+SUMIF(Tim!$GC$5:$GC$70,Ins!F46,Tim!$C$5:$C$70)</f>
        <v>0</v>
      </c>
      <c r="BD46" s="79">
        <f>SUMIF(Tim!$GD$5:$GD$70,Ins!F46,Tim!$B$5:$B$70)</f>
        <v>0</v>
      </c>
      <c r="BE46" s="80">
        <f>SUMIF(Tim!$GE$5:$GE$70,Ins!F46,Tim!$B$5:$B$70)+SUMIF(Tim!$GF$5:$GF$70,Ins!F46,Tim!$B$5:$B$70)+SUMIF(Tim!$GG$5:$GG$70,Ins!F46,Tim!$B$5:$B$70)+SUMIF(Tim!$GH$5:$GH$70,Ins!F46,Tim!$B$5:$B$70)+SUMIF(Tim!$GI$5:$GI$70,Ins!F46,Tim!$B$5:$B$70)+SUMIF(Tim!$GJ$5:$GJ$70,Ins!F46,Tim!$B$5:$B$70)</f>
        <v>0</v>
      </c>
      <c r="BF46" s="80">
        <f>SUMIF(Tim!$GK$5:$GK$70,Ins!F46,Tim!$B$5:$B$70)+SUMIF(Tim!$GL$5:$GL$70,Ins!F46,Tim!$B$5:$B$70)+SUMIF(Tim!$GM$5:$GM$70,Ins!F46,Tim!$B$5:$B$70)</f>
        <v>0</v>
      </c>
      <c r="BG46" s="80">
        <f>SUMIF(Tim!$GN$5:$GN$70,Ins!F46,Tim!$B$5:$B$70)+SUMIF(Tim!$GO$5:$GO$70,Ins!F46,Tim!$B$5:$B$70)+SUMIF(Tim!$GP$5:$GP$70,Ins!F46,Tim!$B$5:$B$70)+SUMIF(Tim!$GQ$5:$GQ$70,Ins!F46,Tim!$B$5:$B$70)+SUMIF(Tim!$GR$5:$GR$70,Ins!F46,Tim!$B$5:$B$70)</f>
        <v>0</v>
      </c>
      <c r="BH46" s="80">
        <f>SUMIF(Tim!$GS$5:$GS$70,Ins!F46,Tim!$B$5:$B$70)+SUMIF(Tim!$GT$5:$GT$70,Ins!F46,Tim!$B$5:$B$70)+SUMIF(Tim!$GU$5:$GU$70,Ins!F46,Tim!$B$5:$B$70)</f>
        <v>0</v>
      </c>
      <c r="BI46" s="80">
        <f>SUMIF(Tim!GV$5:GV$70,Ins!F46,Tim!$B$5:$B$70)+SUMIF(Tim!GW$5:GW$70,Ins!F46,Tim!$B$5:$B$70)+SUMIF(Tim!GX$5:GX$70,Ins!F46,Tim!$B$5:$B$70)</f>
        <v>0</v>
      </c>
      <c r="BJ46" s="80">
        <f>SUMIF(Tim!GY$5:GY$70,Ins!F46,Tim!$B$5:$B$70)</f>
        <v>0</v>
      </c>
      <c r="BK46" s="80">
        <f>SUMIF(Tim!$GZ$5:$GZ$70,Ins!F46,Tim!$D$5:$D$70)+SUMIF(Tim!$HA$5:$HA$70,Ins!F46,Tim!$D$5:$D$70)+SUMIF(Tim!$HB$5:$HB$70,Ins!F46,Tim!$D$5:$D$70)++SUMIF(Tim!$HC$5:$HC$70,Ins!F46,Tim!$D$5:$D$70)+SUMIF(Tim!$HD$5:$HD$70,Ins!F46,Tim!$D$5:$D$70)+SUMIF(Tim!$HE$5:$HE$70,Ins!F46,Tim!$D$5:$D$70)+SUMIF(Tim!$HF$5:$HF$70,Ins!F46,Tim!$D$5:$D$70)+SUMIF(Tim!$HG$5:$HG$70,Ins!F46,Tim!$D$5:$D$70)+SUMIF(Tim!$HH$5:$HH$70,Ins!F46,Tim!$D$5:$D$70)+SUMIF(Tim!$HI$5:$HI$70,Ins!F46,Tim!$D$5:$D$70)+SUMIF(Tim!$HJ$5:$HJ$70,Ins!F46,Tim!$D$5:$D$70)+SUMIF(Tim!$HK$5:$HK$70,Ins!F46,Tim!$D$5:$D$70)</f>
        <v>0</v>
      </c>
      <c r="BL46" s="80">
        <f>SUMIF(Tim!HL$5:HL$70,Ins!F46,Tim!$C$5:$C$70)</f>
        <v>0</v>
      </c>
      <c r="BM46" s="80">
        <f>SUMIF(Tim!HM$5:HM$70,Ins!F46,Tim!$C$5:$C$70)</f>
        <v>0</v>
      </c>
      <c r="BN46" s="80">
        <f>SUMIF(Tim!HN$5:HN$70,Ins!F46,Tim!$C$5:$C$70)+SUMIF(Tim!HO$5:HO$70,Ins!F46,Tim!$C$5:$C$70)+SUMIF(Tim!HP$5:HP$70,Ins!F46,Tim!$C$5:$C$70)</f>
        <v>0</v>
      </c>
      <c r="BO46" s="81">
        <f>SUMIF(Tim!$HQ$5:$HQ$70,Ins!F46,Tim!$C$5:$C$70)+SUMIF(Tim!$HR$5:$HR$70,Ins!F46,Tim!$C$5:$C$70)+SUMIF(Tim!$HS$5:$HS$70,Ins!F46,Tim!$C$5:$C$70)+SUMIF(Tim!$HT$5:$HT$70,Ins!F46,Tim!$C$5:$C$70)+SUMIF(Tim!$HU$5:$HU$70,Ins!F46,Tim!$C$5:$C$70)</f>
        <v>0</v>
      </c>
      <c r="BP46" s="79">
        <f>SUMIF(Tim!$HV$7:$HV$70,Ins!F46,Tim!$B$7:$B$70)</f>
        <v>0</v>
      </c>
      <c r="BQ46" s="80">
        <f>SUMIF(Tim!$HW$7:$HW$70,Ins!F46,Tim!$B$7:$B$70)+SUMIF(Tim!$HX$7:$HX$70,Ins!F46,Tim!$B$7:$B$70)+SUMIF(Tim!$HY$7:$HY$70,Ins!F46,Tim!$B$7:$B$70)+SUMIF(Tim!$HZ$7:$HZ$70,Ins!F46,Tim!$B$7:$B$70)+SUMIF(Tim!$IA$7:$IA$70,Ins!F46,Tim!$B$7:$B$70)+SUMIF(Tim!$IB$7:$IB$70,Ins!F46,Tim!$B$7:$B$70)</f>
        <v>0</v>
      </c>
      <c r="BR46" s="80">
        <f>SUMIF(Tim!$IC$7:$IC$70,Ins!F46,Tim!$B$7:$B$70)+SUMIF(Tim!$ID$7:$ID$70,Ins!F46,Tim!$B$7:$B$70)+SUMIF(Tim!$IE$7:$IE$70,Ins!F46,Tim!$B$7:$B$70)</f>
        <v>0</v>
      </c>
      <c r="BS46" s="80">
        <f>SUMIF(Tim!$IF$7:$IF$70,Ins!F46,Tim!$B$7:$B$70)+SUMIF(Tim!$IG$7:$IG$70,Ins!F46,Tim!$B$7:$B$70)+SUMIF(Tim!$IH$7:$IH$70,Ins!F46,Tim!$B$7:$B$70)+SUMIF(Tim!$II$7:$II$70,Ins!F46,Tim!$B$7:$B$70)+SUMIF(Tim!$IJ$7:$IJ$70,Ins!F46,Tim!$B$7:$B$70)</f>
        <v>0</v>
      </c>
      <c r="BT46" s="80">
        <f>SUMIF(Tim!$IK$7:$IK$70,Ins!F46,Tim!$B$7:$B$70)+SUMIF(Tim!$IL$7:$IL$70,Ins!F46,Tim!$B$7:$B$70)+SUMIF(Tim!$IM$7:$IM$70,Ins!F46,Tim!$B$7:$B$70)</f>
        <v>0</v>
      </c>
      <c r="BU46" s="80">
        <f>SUMIF(Tim!$IN$7:$IN$70,Ins!F46,Tim!$B$7:$B$70)+SUMIF(Tim!$IO$7:$IO$70,Ins!F46,Tim!$B$7:$B$70)+SUMIF(Tim!$IP$7:$IP$70,Ins!F46,Tim!$B$7:$B$70)</f>
        <v>0</v>
      </c>
      <c r="BV46" s="80">
        <f>SUMIF(Tim!$IQ$7:$IQ$70,Ins!F46,Tim!$B$7:$B$70)</f>
        <v>0</v>
      </c>
      <c r="BW46" s="80">
        <f>SUMIF(Tim!$IR$7:$IR$70,Ins!F46,Tim!$D$7:$D$70)+SUMIF(Tim!$IS$7:$IS$70,Ins!F46,Tim!$D$7:$D$70)+SUMIF(Tim!$IT$7:$IT$70,Ins!F46,Tim!$D$7:$D$70)+SUMIF(Tim!$IU$7:$IU$70,Ins!F46,Tim!$D$7:$D$70)+SUMIF(Tim!$IV$7:$IV$70,Ins!F46,Tim!$D$7:$D$70)+SUMIF(Tim!$IW$7:$IW$70,Ins!F46,Tim!$D$7:$D$70)+SUMIF(Tim!$IX$7:$IX$70,Ins!F46,Tim!$D$7:$D$70)+SUMIF(Tim!$IY$7:$IY$70,Ins!F46,Tim!$D$7:$D$70)+SUMIF(Tim!$IZ$7:$IZ$70,Ins!F46,Tim!$D$7:$D$70)+SUMIF(Tim!$JA$7:$JA$70,Ins!F46,Tim!$D$7:$D$70)+SUMIF(Tim!$JB$7:$JB$70,Ins!F46,Tim!$D$7:$D$70)+SUMIF(Tim!$JC$7:$JC$70,Ins!F46,Tim!$D$7:$D$70)</f>
        <v>0</v>
      </c>
      <c r="BX46" s="80">
        <f>SUMIF(Tim!JD$7:JD$70,Ins!F46,Tim!$C$7:$C$70)</f>
        <v>0</v>
      </c>
      <c r="BY46" s="80">
        <f>SUMIF(Tim!JE$7:JE$70,Ins!F46,Tim!$C$7:$C$70)</f>
        <v>0</v>
      </c>
      <c r="BZ46" s="80">
        <f>SUMIF(Tim!JF$7:JF$70,Ins!F46,Tim!$C$7:$C$70)+SUMIF(Tim!JG$7:JG$70,Ins!F46,Tim!$C$7:$C$70)+SUMIF(Tim!JH$7:JH$70,Ins!F46,Tim!$C$7:$C$70)</f>
        <v>0</v>
      </c>
      <c r="CA46" s="81">
        <f>SUMIF(Tim!$JI$7:$JI$70,Ins!F46,Tim!$C$7:$C$70)++SUMIF(Tim!$JJ$7:$JJ$70,Ins!F46,Tim!$C$7:$C$70)+SUMIF(Tim!$JK$7:$JK$70,Ins!F46,Tim!$C$7:$C$70)+SUMIF(Tim!$JL$7:$JL$70,Ins!F46,Tim!$C$7:$C$70)+SUMIF(Tim!$JM$7:$JM$70,Ins!F46,Tim!$C$7:$C$70)</f>
        <v>0</v>
      </c>
      <c r="CB46" s="79">
        <f>SUMIF(Tim!$JN$7:$JN$70,Ins!F46,Tim!$B$7:$B$70)</f>
        <v>0</v>
      </c>
      <c r="CC46" s="80">
        <f>SUMIF(Tim!$JO$7:$JO$70,Ins!F46,Tim!$B$7:$B$70)+SUMIF(Tim!$JP$7:$JP$70,Ins!F46,Tim!$B$7:$B$70)+SUMIF(Tim!$JQ$7:$JQ$70,Ins!F46,Tim!$B$7:$B$70)+SUMIF(Tim!$JR$7:$JR$70,Ins!F46,Tim!$B$7:$B$70)+SUMIF(Tim!$JS$7:$JS$70,Ins!F46,Tim!$B$7:$B$70)+SUMIF(Tim!$JT$7:$JT$70,Ins!F46,Tim!$B$7:$B$70)</f>
        <v>0</v>
      </c>
      <c r="CD46" s="80">
        <f>SUMIF(Tim!$JW$7:$JW$70,Ins!F46,Tim!$B$7:$B$70)+SUMIF(Tim!$JU$7:$JU$70,Ins!F46,Tim!$B$7:$B$70)+SUMIF(Tim!$JV$7:$JV$70,Ins!F46,Tim!$B$7:$B$70)</f>
        <v>0</v>
      </c>
      <c r="CE46" s="80">
        <f>SUMIF(Tim!$JX$7:$JX$70,Ins!F46,Tim!$B$7:$B$70)+SUMIF(Tim!$JY$7:$JY$70,Ins!F46,Tim!$B$7:$B$70)+SUMIF(Tim!$JZ$7:$JZ$70,Ins!F46,Tim!$B$7:$B$70)+SUMIF(Tim!$KA$7:$KA$70,Ins!F46,Tim!$B$7:$B$70)+SUMIF(Tim!$KB$7:$KB$70,Ins!F46,Tim!$B$7:$B$70)</f>
        <v>0</v>
      </c>
      <c r="CF46" s="80">
        <f>SUMIF(Tim!$KE$7:$KE$70,Ins!F46,Tim!$B$7:$B$70)+SUMIF(Tim!$KC$7:$KC$70,Ins!F46,Tim!$B$7:$B$70)+SUMIF(Tim!$KD$7:$KD$70,Ins!F46,Tim!$B$7:$B$70)</f>
        <v>0</v>
      </c>
      <c r="CG46" s="80">
        <f>SUMIF(Tim!$KF$7:$KF$70,Ins!F46,Tim!$B$7:$B$70)+SUMIF(Tim!$KG$7:$KG$70,Ins!F46,Tim!$B$7:$B$70)+SUMIF(Tim!$KH$7:$KH$70,Ins!F46,Tim!$B$7:$B$70)</f>
        <v>0</v>
      </c>
      <c r="CH46" s="80">
        <f>SUMIF(Tim!$KI$7:$KI$70,Ins!F46,Tim!$B$7:$B$70)</f>
        <v>0</v>
      </c>
      <c r="CI46" s="80">
        <f>SUMIF(Tim!$KJ$7:$KJ$70,Ins!F46,Tim!$D$7:$D$70)+SUMIF(Tim!$KK$7:$KK$70,Ins!F46,Tim!$D$7:$D$70)+SUMIF(Tim!$KL$7:$KL$70,Ins!F46,Tim!$D$7:$D$70)+SUMIF(Tim!$KM$7:$KM$70,Ins!F46,Tim!$D$7:$D$70)+SUMIF(Tim!$KN$7:$KN$70,Ins!F46,Tim!$D$7:$D$70)+SUMIF(Tim!$KO$7:$KO$70,Ins!F46,Tim!$D$7:$D$70)+SUMIF(Tim!$KP$7:$KP$70,Ins!F46,Tim!$D$7:$D$70)+SUMIF(Tim!$KQ$7:$KQ$70,Ins!F46,Tim!$D$7:$D$70)+SUMIF(Tim!$KR$7:$KR$70,Ins!F46,Tim!$D$7:$D$70)+SUMIF(Tim!$KS$7:$KS$70,Ins!F46,Tim!$D$7:$D$70)+SUMIF(Tim!$KT$7:$KT$70,Ins!F46,Tim!$D$7:$D$70)+SUMIF(Tim!$KU$7:$KU$70,Ins!F46,Tim!$D$7:$D$70)</f>
        <v>0</v>
      </c>
      <c r="CJ46" s="80">
        <f>SUMIF(Tim!KV$7:KV$70,Ins!F46,Tim!$C$7:$C$70)</f>
        <v>0</v>
      </c>
      <c r="CK46" s="80">
        <f>SUMIF(Tim!KW$7:KW$70,Ins!F46,Tim!$C$7:$C$70)</f>
        <v>0</v>
      </c>
      <c r="CL46" s="80">
        <f>SUMIF(Tim!KX$7:KX$70,Ins!F46,Tim!$C$7:$C$70)+SUMIF(Tim!KY$7:KY$70,Ins!F46,Tim!$C$7:$C$70)+SUMIF(Tim!KZ$7:KZ$70,Ins!F46,Tim!$C$7:$C$70)</f>
        <v>0</v>
      </c>
      <c r="CM46" s="81">
        <f>SUMIF(Tim!$LA$7:$LA$70,Ins!F46,Tim!$C$7:$C$70)+SUMIF(Tim!$LB$7:$LB$70,Ins!F46,Tim!$C$7:$C$70)+SUMIF(Tim!$LC$7:$LC$70,Ins!F46,Tim!$C$7:$C$70)+SUMIF(Tim!$LD$7:$LD$70,Ins!F46,Tim!$C$7:$C$70)+SUMIF(Tim!$LE$7:$LE$70,Ins!F46,Tim!$C$7:$C$70)</f>
        <v>0</v>
      </c>
      <c r="CN46" s="22"/>
      <c r="CO46" s="180">
        <f t="shared" ref="CO46" si="315">H46+T46+AF46+AR46+BD46+BP46+CB46</f>
        <v>0</v>
      </c>
      <c r="CP46" s="179">
        <f t="shared" ref="CP46" si="316">I46+U46+AG46+AS46+BE46+BQ46+CC46</f>
        <v>0</v>
      </c>
      <c r="CQ46" s="179">
        <f t="shared" ref="CQ46" si="317">J46+V46+AH46+AT46+BF46+BR46+CD46</f>
        <v>0</v>
      </c>
      <c r="CR46" s="179">
        <f t="shared" ref="CR46" si="318">K46+W46+AI46+AU46+BG46+BS46+CE46</f>
        <v>0</v>
      </c>
      <c r="CS46" s="179">
        <f t="shared" ref="CS46" si="319">L46+X46+AJ46+AV46+BH46+BT46+CF46</f>
        <v>0</v>
      </c>
      <c r="CT46" s="179">
        <f t="shared" ref="CT46" si="320">M46+Y46+AK46+AW46+BI46+BU46+CG46</f>
        <v>0</v>
      </c>
      <c r="CU46" s="179">
        <f t="shared" ref="CU46" si="321">N46+Z46+AL46+AX46+BJ46+BV46+CH46</f>
        <v>0</v>
      </c>
      <c r="CV46" s="179">
        <f t="shared" ref="CV46" si="322">O46+AA46+AM46+AY46+BK46+BW46+CI46</f>
        <v>0</v>
      </c>
      <c r="CW46" s="179">
        <f t="shared" ref="CW46" si="323">P46+AB46+AN46+AZ46+BL46+BX46+CJ46</f>
        <v>0</v>
      </c>
      <c r="CX46" s="179">
        <f t="shared" ref="CX46" si="324">Q46+AC46+AO46+BA46+BM46+BY46+CK46</f>
        <v>0</v>
      </c>
      <c r="CY46" s="179">
        <f t="shared" ref="CY46" si="325">R46+AD46+AP46+BB46+BN46+BZ46+CL46</f>
        <v>0</v>
      </c>
      <c r="CZ46" s="179">
        <f t="shared" ref="CZ46" si="326">S46+AE46+AQ46+BC46+BO46+CA46+CM46</f>
        <v>0</v>
      </c>
      <c r="DA46" s="78">
        <f t="shared" ref="DA46" si="327">SUM(CO46:CZ46)</f>
        <v>0</v>
      </c>
      <c r="DB46" s="36"/>
      <c r="DC46" s="34">
        <f t="shared" ref="DC46" si="328">SUM(H46:S46)</f>
        <v>0</v>
      </c>
      <c r="DD46" s="34">
        <f t="shared" ref="DD46" si="329">SUM(T46:AE46)</f>
        <v>0</v>
      </c>
      <c r="DE46" s="34">
        <f t="shared" ref="DE46" si="330">SUM(AF46:AQ46)</f>
        <v>0</v>
      </c>
      <c r="DF46" s="34">
        <f t="shared" ref="DF46" si="331">SUM(AR46:BC46)</f>
        <v>0</v>
      </c>
      <c r="DG46" s="34">
        <f t="shared" ref="DG46" si="332">SUM(BD46:BO46)</f>
        <v>0</v>
      </c>
      <c r="DH46" s="34">
        <f t="shared" ref="DH46" si="333">SUM(BP46:CA46)</f>
        <v>0</v>
      </c>
      <c r="DI46" s="34">
        <f t="shared" ref="DI46" si="334">SUM(CB46:CM46)</f>
        <v>0</v>
      </c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7"/>
    </row>
    <row r="47" spans="1:125" s="33" customFormat="1" ht="12" customHeight="1">
      <c r="A47" s="10">
        <v>45</v>
      </c>
      <c r="B47" s="24" t="s">
        <v>465</v>
      </c>
      <c r="C47" s="234"/>
      <c r="D47" s="28"/>
      <c r="E47" s="28" t="s">
        <v>373</v>
      </c>
      <c r="F47" s="185" t="s">
        <v>466</v>
      </c>
      <c r="G47" s="205" t="s">
        <v>191</v>
      </c>
      <c r="H47" s="79">
        <f>SUMIF(Tim!$F$7:$F$70,Ins!F47,Tim!$B$7:$B$70)</f>
        <v>0</v>
      </c>
      <c r="I47" s="80">
        <f>SUMIF(Tim!$G$7:$G$70,Ins!F47,Tim!$B$7:$B$70)+SUMIF(Tim!$H$7:$H$70,Ins!F47,Tim!$B$7:$B$70)+SUMIF(Tim!$I$7:$I$70,Ins!F47,Tim!$B$7:$B$70)+SUMIF(Tim!$J$7:$J$70,Ins!F47,Tim!$B$7:$B$70)+SUMIF(Tim!$K$7:$K$70,Ins!F47,Tim!$B$7:$B$70)+SUMIF(Tim!$L$7:$L$70,Ins!F47,Tim!$B$7:$B$70)</f>
        <v>0</v>
      </c>
      <c r="J47" s="80">
        <f>SUMIF(Tim!$M$7:$M$70,Ins!F47,Tim!$B$7:$B$70)+SUMIF(Tim!$O$7:$O$70,Ins!F47,Tim!$B$7:$B$70)+SUMIF(Tim!$N$7:$N$70,Ins!F47,Tim!$B$7:$B$70)</f>
        <v>0</v>
      </c>
      <c r="K47" s="80">
        <f>SUMIF(Tim!$P$7:$P$70,Ins!F47,Tim!$B$7:$B$70)+SUMIF(Tim!$Q$7:$Q$70,Ins!F47,Tim!$B$7:$B$70)+SUMIF(Tim!$R$7:$R$70,Ins!F47,Tim!$B$7:$B$70)+SUMIF(Tim!$S$7:$S$70,Ins!F47,Tim!$B$7:$B$70)+SUMIF(Tim!$T$7:$T$70,Ins!F47,Tim!$B$7:$B$70)</f>
        <v>0</v>
      </c>
      <c r="L47" s="80">
        <f>SUMIF(Tim!$U$7:$U$70,Ins!F47,Tim!$B$7:$B$70)+SUMIF(Tim!$W$7:$W$70,Ins!F47,Tim!$B$7:$B$70)+SUMIF(Tim!$X$7:$X$70,Ins!F47,Tim!$B$7:$B$70)</f>
        <v>0</v>
      </c>
      <c r="M47" s="80">
        <f>SUMIF(Tim!$Y$7:$Y$70,Ins!F47,Tim!$B$7:$B$70)+SUMIF(Tim!$Z$7:$Z$70,Ins!F47,Tim!$B$7:$B$70)+SUMIF(Tim!$AA$7:$AA$70,Ins!F47,Tim!$B$7:$B$70)</f>
        <v>0</v>
      </c>
      <c r="N47" s="80">
        <f>SUMIF(Tim!$AB$7:$AB$70,Ins!F47,Tim!$B$7:$B$70)</f>
        <v>0</v>
      </c>
      <c r="O47" s="80">
        <f>SUMIF(Tim!$AC$7:$AC$70,Ins!F47,Tim!$D$7:$D$70)+SUMIF(Tim!$AD$7:$AD$70,Ins!F47,Tim!$D$7:$D$70)+SUMIF(Tim!$AE$7:$AE$70,Ins!F47,Tim!$D$7:$D$70)+SUMIF(Tim!$AF$7:$AF$70,Ins!F47,Tim!$D$7:$D$70)+SUMIF(Tim!$AG$7:$AG$70,Ins!F47,Tim!$D$7:$D$70)+SUMIF(Tim!$AH$7:$AH$70,Ins!F47,Tim!$D$7:$D$70)+SUMIF(Tim!$AI$7:$AI$70,Ins!F47,Tim!$D$7:$D$70)+SUMIF(Tim!$AJ$7:$AJ$70,Ins!F47,Tim!$D$7:$D$70)+SUMIF(Tim!$AK$7:$AK$70,Ins!F47,Tim!$D$7:$D$70)+SUMIF(Tim!$AL$7:$AL$70,Ins!F47,Tim!$D$7:$D$70)+SUMIF(Tim!$AM$7:$AM$70,Ins!F47,Tim!$D$7:$D$70)+SUMIF(Tim!$AN$7:$AN$70,Ins!F47,Tim!$D$7:$D$70)</f>
        <v>0</v>
      </c>
      <c r="P47" s="80">
        <f>SUMIF(Tim!AO$7:AO$70,Ins!F47,Tim!$C$7:$C$70)</f>
        <v>0</v>
      </c>
      <c r="Q47" s="80">
        <f>SUMIF(Tim!AP$7:AP$70,Ins!F47,Tim!$C$7:$C$70)</f>
        <v>0</v>
      </c>
      <c r="R47" s="80">
        <f>SUMIF(Tim!AQ$7:AQ$70,Ins!F47,Tim!$C$7:$C$70)+SUMIF(Tim!AR$7:AR$70,Ins!F47,Tim!$C$7:$C$70)+SUMIF(Tim!AS$7:AS$70,Ins!F47,Tim!$C$7:$C$70)</f>
        <v>0</v>
      </c>
      <c r="S47" s="236">
        <f>SUMIF(Tim!$AT$7:$AT$70,Ins!F47,Tim!$C$7:$C$70)+SUMIF(Tim!$AU$7:$AU$70,Ins!F47,Tim!$C$7:$C107)+SUMIF(Tim!$AV$7:$AV$70,Ins!F47,Tim!$C$7:$C$70)+SUMIF(Tim!$AW$7:$AW$70,Ins!F47,Tim!$C$7:$C$70)+SUMIF(Tim!$AX$7:$AX$70,Ins!F47,Tim!$C$7:$C$70)</f>
        <v>0</v>
      </c>
      <c r="T47" s="79">
        <f>SUMIF(Tim!$AY$7:$AY$70,Ins!F47,Tim!$B$7:$B$70)</f>
        <v>0</v>
      </c>
      <c r="U47" s="80">
        <f>SUMIF(Tim!$AZ$7:$AZ$70,Ins!F47,Tim!$B$7:$B$70)+SUMIF(Tim!$BA$7:$BA$70,Ins!F47,Tim!$B$7:$B$70)+SUMIF(Tim!$BB$7:$BB$70,Ins!F47,Tim!$B$7:$B$70)+SUMIF(Tim!$BC$7:$BC$70,Ins!F47,Tim!$B$7:$B$70)+SUMIF(Tim!$BD$7:$BD$70,Ins!F47,Tim!$B$7:$B$70)+SUMIF(Tim!$BE$7:$BE$70,Ins!F47,Tim!$B$7:$B$70)</f>
        <v>0</v>
      </c>
      <c r="V47" s="80">
        <f>SUMIF(Tim!$BF$7:$BF$70,Ins!F47,Tim!$B$7:$B$70)+SUMIF(Tim!$BG$7:$BG$70,Ins!F47,Tim!$B$7:$B$70)+SUMIF(Tim!$BH$7:$BH$70,Ins!F47,Tim!$B$7:$B$70)</f>
        <v>0</v>
      </c>
      <c r="W47" s="80">
        <f>SUMIF(Tim!$BI$7:$BI$70,Ins!F47,Tim!$B$7:$B$70)+SUMIF(Tim!$BJ$7:$BJ$70,Ins!F47,Tim!$B$7:$B$70)+SUMIF(Tim!$BK$7:$BK$70,Ins!F47,Tim!$B$7:$B$70)+SUMIF(Tim!$BL$7:$BL$70,Ins!F47,Tim!$B$7:$B$70)+SUMIF(Tim!$BM$7:$BM$70,Ins!F47,Tim!$B$7:$B$70)</f>
        <v>0</v>
      </c>
      <c r="X47" s="80">
        <f>SUMIF(Tim!$BN$7:$BN$70,Ins!F47,Tim!$B$7:$B$70)+SUMIF(Tim!$BO$7:$BO$70,Ins!F47,Tim!$B$7:$B$70)+SUMIF(Tim!$BP$7:$BP$70,Ins!F47,Tim!$B$7:$B$70)</f>
        <v>0</v>
      </c>
      <c r="Y47" s="80">
        <f>SUMIF(Tim!$BQ$7:$BQ$70,Ins!F47,Tim!$B$7:$B$70)+SUMIF(Tim!$BR$7:$BR$70,Ins!F47,Tim!$B$7:$B$70)+SUMIF(Tim!$BS$7:$BS$70,Ins!F47,Tim!$B$7:$B$70)</f>
        <v>0</v>
      </c>
      <c r="Z47" s="80">
        <f>SUMIF(Tim!BT$7:BT$70,Ins!F47,Tim!$B$7:$B$70)</f>
        <v>0</v>
      </c>
      <c r="AA47" s="80">
        <f>SUMIF(Tim!$BU$7:$BU$70,Ins!F47,Tim!$D$7:$D$70)+SUMIF(Tim!$BV$7:$BV$70,Ins!F47,Tim!$D$7:$D$70)+SUMIF(Tim!$BW$7:$BW$70,Ins!F47,Tim!$D$7:$D$70)+SUMIF(Tim!$BX$7:$BX$70,Ins!F47,Tim!$D$7:$D$70)+SUMIF(Tim!$BY$7:$BY$70,Ins!F47,Tim!$D$7:$D$70)+SUMIF(Tim!$BZ$7:$BZ$70,Ins!F47,Tim!$D$7:$D$70)+SUMIF(Tim!$CA$7:$CA$70,Ins!F47,Tim!$D$7:$D$70)+SUMIF(Tim!$CB$7:$CB$70,Ins!F47,Tim!$D$7:$D$70)+SUMIF(Tim!$CC$7:$CC$70,Ins!F47,Tim!$D$7:$D$70)+SUMIF(Tim!$CD$7:$CD$70,Ins!F47,Tim!$D$7:$D$70)+SUMIF(Tim!$CE$7:$CE$70,Ins!F47,Tim!$D$7:$D$70)+SUMIF(Tim!$CF$7:$CF$70,Ins!F47,Tim!$D$7:$D$70)</f>
        <v>0</v>
      </c>
      <c r="AB47" s="80">
        <f>SUMIF(Tim!CG$7:CG$70,Ins!F47,Tim!$C$7:$C$70)</f>
        <v>0</v>
      </c>
      <c r="AC47" s="80">
        <f>SUMIF(Tim!CH$7:CH$70,Ins!F47,Tim!$C$7:$C$70)</f>
        <v>0</v>
      </c>
      <c r="AD47" s="80">
        <f>SUMIF(Tim!CI$7:CI$70,Ins!F47,Tim!$C$7:$C$70)+SUMIF(Tim!CJ$7:CJ$70,Ins!F47,Tim!$C$7:$C$70)+SUMIF(Tim!CK$7:CK$70,Ins!F47,Tim!$C$7:$C$70)</f>
        <v>0</v>
      </c>
      <c r="AE47" s="81">
        <f>SUMIF(Tim!$CL$7:$CL$70,Ins!F47,Tim!$C$7:$C$70)+SUMIF(Tim!$CM$7:$CM$70,Ins!F47,Tim!$C$7:$C$70)+SUMIF(Tim!$CN$7:$CN$70,Ins!F47,Tim!$C$7:$C$70)+SUMIF(Tim!$CO$7:$CO$70,Ins!F47,Tim!$C$7:$C$70)+SUMIF(Tim!$CP$7:$CP$70,Ins!F47,Tim!$C$7:$C$70)</f>
        <v>0</v>
      </c>
      <c r="AF47" s="79">
        <f>SUMIF(Tim!$CQ$7:$CQ$70,Ins!F47,Tim!$B$7:$B$70)</f>
        <v>0</v>
      </c>
      <c r="AG47" s="80">
        <f>SUMIF(Tim!$CR$7:$CR$70,Ins!F47,Tim!$B$7:$B$70)+SUMIF(Tim!$CS$7:$CS$70,Ins!F47,Tim!$B$7:$B$70)+SUMIF(Tim!$CT$7:$CT$70,Ins!F47,Tim!$B$7:$B$70)+SUMIF(Tim!$CU$7:$CU$70,Ins!F47,Tim!$B$7:$B$70)+SUMIF(Tim!$CV$7:$CV$70,Ins!F47,Tim!$B$7:$B$70)+SUMIF(Tim!$CW$7:$CW$70,Ins!F47,Tim!$B$7:$B$70)</f>
        <v>0</v>
      </c>
      <c r="AH47" s="80">
        <f>SUMIF(Tim!$CX$7:$CX$70,Ins!F47,Tim!$B$7:$B$70)+SUMIF(Tim!$CY$7:$CY$70,Ins!F47,Tim!$B$7:$B$70)+SUMIF(Tim!$CZ$7:$CZ$70,Ins!F47,Tim!$B$7:$B$70)</f>
        <v>0</v>
      </c>
      <c r="AI47" s="80">
        <f>SUMIF(Tim!$DA$7:$DA$70,Ins!F47,Tim!$B$7:$B$70)+SUMIF(Tim!$DB$7:$DB$70,Ins!F47,Tim!$B$7:$B$70)+SUMIF(Tim!$DC$7:$DC$70,Ins!F47,Tim!$B$7:$B$70)+SUMIF(Tim!$DD$7:$DD$70,Ins!F47,Tim!$B$7:$B$70)+SUMIF(Tim!$DE$7:$DE$70,Ins!F47,Tim!$B$7:$B$70)</f>
        <v>0</v>
      </c>
      <c r="AJ47" s="80">
        <f>SUMIF(Tim!$DF$7:$DF$70,Ins!F47,Tim!$B$7:$B$70)+SUMIF(Tim!$DG$7:$DG$70,Ins!F47,Tim!$B$7:$B$70)+SUMIF(Tim!$DH$7:$DH$70,Ins!F47,Tim!$B$7:$B$70)</f>
        <v>0</v>
      </c>
      <c r="AK47" s="80">
        <f>SUMIF(Tim!DI$7:DI$70,Ins!F47,Tim!$B$7:$B$70)+SUMIF(Tim!DM$7:DM$70,Ins!F47,Tim!$B$7:$B$70)+SUMIF(Tim!DN$7:DN$70,Ins!F47,Tim!$B$7:$B$70)</f>
        <v>0</v>
      </c>
      <c r="AL47" s="80">
        <f>SUMIF(Tim!DO$7:DO$70,Ins!F47,Tim!$B$7:$B$70)</f>
        <v>0</v>
      </c>
      <c r="AM47" s="80">
        <f>SUMIF(Tim!$DP$7:$DP$70,Ins!F47,Tim!$D$7:$D$70)+SUMIF(Tim!$DQ$7:$DQ$70,Ins!F47,Tim!$D$7:$D$70)+SUMIF(Tim!$DR$7:$DR$70,Ins!F47,Tim!$D$7:$D$70)+SUMIF(Tim!$DS$7:$DS$70,Ins!F47,Tim!$D$7:$D$70)+SUMIF(Tim!$DT$7:$DT$70,Ins!F47,Tim!$D$7:$D$70)+SUMIF(Tim!$DU$7:$DU$70,Ins!F47,Tim!$D$7:$D$70)+SUMIF(Tim!$DV$7:$DV$70,Ins!F47,Tim!$D$7:$D$70)+SUMIF(Tim!$DW$7:$DW$70,Ins!F47,Tim!$D$7:$D$70)+SUMIF(Tim!$DX$7:$DX$70,Ins!F47,Tim!$D$7:$D$70)+SUMIF(Tim!$DY$7:$DY$70,Ins!F47,Tim!$D$7:$D$70)+SUMIF(Tim!$DZ$7:$DZ$70,Ins!F47,Tim!$D$7:$D$70)+SUMIF(Tim!$EA$7:$EA$70,Ins!F47,Tim!$D$7:$D$70)</f>
        <v>0</v>
      </c>
      <c r="AN47" s="80">
        <f>SUMIF(Tim!EB$7:EB$70,Ins!F47,Tim!$C$7:$C$70)</f>
        <v>0</v>
      </c>
      <c r="AO47" s="80">
        <f>SUMIF(Tim!EC$7:EC$70,Ins!F47,Tim!$C$7:$C$70)</f>
        <v>0</v>
      </c>
      <c r="AP47" s="80">
        <f>SUMIF(Tim!ED$7:ED$70,Ins!F47,Tim!$C$7:$C$70)+SUMIF(Tim!EE$7:EE$70,Ins!F47,Tim!$C$7:$C$70)+SUMIF(Tim!EF$7:EF$70,Ins!F47,Tim!$C$7:$C$70)</f>
        <v>0</v>
      </c>
      <c r="AQ47" s="81">
        <f>SUMIF(Tim!$EG$7:$EG$70,Ins!F47,Tim!$C$7:$C$70)+SUMIF(Tim!$EH$7:$EH$70,Ins!F47,Tim!$C$7:$C$70)+SUMIF(Tim!$EI$7:$EI$70,Ins!F47,Tim!$C$7:$C$70)+SUMIF(Tim!$EJ$7:$EJ$70,Ins!F47,Tim!$C$7:$C$70)+SUMIF(Tim!$EK$7:$EK$70,Ins!F47,Tim!$C$7:$C$70)</f>
        <v>0</v>
      </c>
      <c r="AR47" s="79">
        <f>SUMIF(Tim!$EL$5:$EL$70,Ins!F47,Tim!$B$5:$B$70)</f>
        <v>0</v>
      </c>
      <c r="AS47" s="80">
        <f>SUMIF(Tim!$EM$5:$EM$70,Ins!F47,Tim!$B$5:$B$70)+SUMIF(Tim!$EN$5:$EN$70,Ins!F47,Tim!$B$5:$B$70)+SUMIF(Tim!$EO$5:$EO$70,Ins!F47,Tim!$B$5:$B$70)+SUMIF(Tim!$EP$5:$EP$70,Ins!F47,Tim!$B$5:$B$70)+SUMIF(Tim!$EQ$5:$EQ$70,Ins!F47,Tim!$B$5:$B$70)+SUMIF(Tim!$ER$5:$ER$70,Ins!F47,Tim!$B$5:$B$70)</f>
        <v>0</v>
      </c>
      <c r="AT47" s="80">
        <f>SUMIF(Tim!$ES$5:$ES$70,Ins!F47,Tim!$B$5:$B$70)+SUMIF(Tim!$ET$5:$ET$70,Ins!F47,Tim!$B$5:$B$70)+SUMIF(Tim!$EU$5:$EU$70,Ins!F47,Tim!$B$5:$B$70)</f>
        <v>0</v>
      </c>
      <c r="AU47" s="80">
        <f>SUMIF(Tim!$EV$5:$EV$70,Ins!F47,Tim!$B$5:$B$70)+SUMIF(Tim!$EW$5:$EW$70,Ins!F47,Tim!$B$5:$B$70)+SUMIF(Tim!$EX$5:$EX$70,Ins!F47,Tim!$B$5:$B$70)+SUMIF(Tim!$EY$5:$EY$70,Ins!F47,Tim!$B$5:$B$70)+SUMIF(Tim!$EZ$5:$EZ$70,Ins!F47,Tim!$B$5:$B$70)</f>
        <v>0</v>
      </c>
      <c r="AV47" s="80">
        <f>SUMIF(Tim!$FA$5:$FA$70,Ins!F47,Tim!$B$5:$B$70)+SUMIF(Tim!$FB$5:$FB$70,Ins!F47,Tim!$B$5:$B$70)+SUMIF(Tim!$FC$5:$FC$70,Ins!F47,Tim!$B$5:$B$70)</f>
        <v>0</v>
      </c>
      <c r="AW47" s="80">
        <f>SUMIF(Tim!FD$5:FD$70,Ins!F47,Tim!$B$5:$B$70)+SUMIF(Tim!FE$5:FE$70,Ins!F47,Tim!$B$5:$B$70)+SUMIF(Tim!FF$5:FF$70,Ins!F47,Tim!$B$5:$B$70)</f>
        <v>0</v>
      </c>
      <c r="AX47" s="80">
        <f>SUMIF(Tim!FG$5:FG$70,Ins!F47,Tim!$B$5:$B$70)</f>
        <v>0</v>
      </c>
      <c r="AY47" s="80">
        <f>SUMIF(Tim!$FH$5:$FH$70,Ins!F47,Tim!$D$5:$D$70)+SUMIF(Tim!$FI$5:$FI$70,Ins!F47,Tim!$D$5:$D$70)+SUMIF(Tim!$FJ$5:$FJ$70,Ins!F47,Tim!$D$5:$D$70)+SUMIF(Tim!$FK$5:$FK$70,Ins!F47,Tim!$D$5:$D$70)+SUMIF(Tim!$FL$5:$FL$70,Ins!F47,Tim!$D$5:$D$70)+SUMIF(Tim!$FM$5:$FM$70,Ins!F47,Tim!$D$5:$D$70)+SUMIF(Tim!$FN$5:$FN$70,Ins!F47,Tim!$D$5:$D$70)+SUMIF(Tim!$FO$5:$FO$70,Ins!F47,Tim!$D$5:$D$70)+SUMIF(Tim!$FP$5:$FP$70,Ins!F47,Tim!$D$5:$D$70)+SUMIF(Tim!$FQ$5:$FQ$70,Ins!F47,Tim!$D$5:$D$70)+SUMIF(Tim!$FR$5:$FR$70,Ins!F47,Tim!$D$5:$D$70)+SUMIF(Tim!$FS$5:$FS$70,Ins!F47,Tim!$D$5:$D$70)</f>
        <v>0</v>
      </c>
      <c r="AZ47" s="80">
        <f>SUMIF(Tim!FT$5:FT$70,Ins!F47,Tim!$C$5:$C$70)</f>
        <v>0</v>
      </c>
      <c r="BA47" s="80">
        <f>SUMIF(Tim!FU$5:FU$70,Ins!F47,Tim!$C$5:$C$70)</f>
        <v>0</v>
      </c>
      <c r="BB47" s="80">
        <f>SUMIF(Tim!FV$5:FV$70,Ins!F47,Tim!$C$5:$C$70)+SUMIF(Tim!FW$5:FW$70,Ins!F47,Tim!$C$5:$C$70)+SUMIF(Tim!FX$5:FX$70,Ins!F47,Tim!$C$5:$C$70)</f>
        <v>0</v>
      </c>
      <c r="BC47" s="81">
        <f>SUMIF(Tim!$FY$5:$FY$70,Ins!F47,Tim!$C$5:$C$70)+SUMIF(Tim!$FZ$5:$FZ$70,Ins!F47,Tim!$C$5:$C$70)+SUMIF(Tim!$GA$5:$GA$70,Ins!F47,Tim!$C$5:$C$70)+SUMIF(Tim!$GB$5:$GB$70,Ins!F47,Tim!$C$5:$C$70)+SUMIF(Tim!$GC$5:$GC$70,Ins!F47,Tim!$C$5:$C$70)</f>
        <v>0</v>
      </c>
      <c r="BD47" s="79">
        <f>SUMIF(Tim!$GD$5:$GD$70,Ins!F47,Tim!$B$5:$B$70)</f>
        <v>0</v>
      </c>
      <c r="BE47" s="80">
        <f>SUMIF(Tim!$GE$5:$GE$70,Ins!F47,Tim!$B$5:$B$70)+SUMIF(Tim!$GF$5:$GF$70,Ins!F47,Tim!$B$5:$B$70)+SUMIF(Tim!$GG$5:$GG$70,Ins!F47,Tim!$B$5:$B$70)+SUMIF(Tim!$GH$5:$GH$70,Ins!F47,Tim!$B$5:$B$70)+SUMIF(Tim!$GI$5:$GI$70,Ins!F47,Tim!$B$5:$B$70)+SUMIF(Tim!$GJ$5:$GJ$70,Ins!F47,Tim!$B$5:$B$70)</f>
        <v>0</v>
      </c>
      <c r="BF47" s="80">
        <f>SUMIF(Tim!$GK$5:$GK$70,Ins!F47,Tim!$B$5:$B$70)+SUMIF(Tim!$GL$5:$GL$70,Ins!F47,Tim!$B$5:$B$70)+SUMIF(Tim!$GM$5:$GM$70,Ins!F47,Tim!$B$5:$B$70)</f>
        <v>0</v>
      </c>
      <c r="BG47" s="80">
        <f>SUMIF(Tim!$GN$5:$GN$70,Ins!F47,Tim!$B$5:$B$70)+SUMIF(Tim!$GO$5:$GO$70,Ins!F47,Tim!$B$5:$B$70)+SUMIF(Tim!$GP$5:$GP$70,Ins!F47,Tim!$B$5:$B$70)+SUMIF(Tim!$GQ$5:$GQ$70,Ins!F47,Tim!$B$5:$B$70)+SUMIF(Tim!$GR$5:$GR$70,Ins!F47,Tim!$B$5:$B$70)</f>
        <v>0</v>
      </c>
      <c r="BH47" s="80">
        <f>SUMIF(Tim!$GS$5:$GS$70,Ins!F47,Tim!$B$5:$B$70)+SUMIF(Tim!$GT$5:$GT$70,Ins!F47,Tim!$B$5:$B$70)+SUMIF(Tim!$GU$5:$GU$70,Ins!F47,Tim!$B$5:$B$70)</f>
        <v>0</v>
      </c>
      <c r="BI47" s="80">
        <f>SUMIF(Tim!GV$5:GV$70,Ins!F47,Tim!$B$5:$B$70)+SUMIF(Tim!GW$5:GW$70,Ins!F47,Tim!$B$5:$B$70)+SUMIF(Tim!GX$5:GX$70,Ins!F47,Tim!$B$5:$B$70)</f>
        <v>0</v>
      </c>
      <c r="BJ47" s="80">
        <f>SUMIF(Tim!GY$5:GY$70,Ins!F47,Tim!$B$5:$B$70)</f>
        <v>0</v>
      </c>
      <c r="BK47" s="80">
        <f>SUMIF(Tim!$GZ$5:$GZ$70,Ins!F47,Tim!$D$5:$D$70)+SUMIF(Tim!$HA$5:$HA$70,Ins!F47,Tim!$D$5:$D$70)+SUMIF(Tim!$HB$5:$HB$70,Ins!F47,Tim!$D$5:$D$70)++SUMIF(Tim!$HC$5:$HC$70,Ins!F47,Tim!$D$5:$D$70)+SUMIF(Tim!$HD$5:$HD$70,Ins!F47,Tim!$D$5:$D$70)+SUMIF(Tim!$HE$5:$HE$70,Ins!F47,Tim!$D$5:$D$70)+SUMIF(Tim!$HF$5:$HF$70,Ins!F47,Tim!$D$5:$D$70)+SUMIF(Tim!$HG$5:$HG$70,Ins!F47,Tim!$D$5:$D$70)+SUMIF(Tim!$HH$5:$HH$70,Ins!F47,Tim!$D$5:$D$70)+SUMIF(Tim!$HI$5:$HI$70,Ins!F47,Tim!$D$5:$D$70)+SUMIF(Tim!$HJ$5:$HJ$70,Ins!F47,Tim!$D$5:$D$70)+SUMIF(Tim!$HK$5:$HK$70,Ins!F47,Tim!$D$5:$D$70)</f>
        <v>1.5</v>
      </c>
      <c r="BL47" s="80">
        <f>SUMIF(Tim!HL$5:HL$70,Ins!F47,Tim!$C$5:$C$70)</f>
        <v>0</v>
      </c>
      <c r="BM47" s="80">
        <f>SUMIF(Tim!HM$5:HM$70,Ins!F47,Tim!$C$5:$C$70)</f>
        <v>0</v>
      </c>
      <c r="BN47" s="80">
        <f>SUMIF(Tim!HN$5:HN$70,Ins!F47,Tim!$C$5:$C$70)+SUMIF(Tim!HO$5:HO$70,Ins!F47,Tim!$C$5:$C$70)+SUMIF(Tim!HP$5:HP$70,Ins!F47,Tim!$C$5:$C$70)</f>
        <v>0</v>
      </c>
      <c r="BO47" s="81">
        <f>SUMIF(Tim!$HQ$5:$HQ$70,Ins!F47,Tim!$C$5:$C$70)+SUMIF(Tim!$HR$5:$HR$70,Ins!F47,Tim!$C$5:$C$70)+SUMIF(Tim!$HS$5:$HS$70,Ins!F47,Tim!$C$5:$C$70)+SUMIF(Tim!$HT$5:$HT$70,Ins!F47,Tim!$C$5:$C$70)+SUMIF(Tim!$HU$5:$HU$70,Ins!F47,Tim!$C$5:$C$70)</f>
        <v>0</v>
      </c>
      <c r="BP47" s="79">
        <f>SUMIF(Tim!$HV$7:$HV$70,Ins!F47,Tim!$B$7:$B$70)</f>
        <v>0</v>
      </c>
      <c r="BQ47" s="80">
        <f>SUMIF(Tim!$HW$7:$HW$70,Ins!F47,Tim!$B$7:$B$70)+SUMIF(Tim!$HX$7:$HX$70,Ins!F47,Tim!$B$7:$B$70)+SUMIF(Tim!$HY$7:$HY$70,Ins!F47,Tim!$B$7:$B$70)+SUMIF(Tim!$HZ$7:$HZ$70,Ins!F47,Tim!$B$7:$B$70)+SUMIF(Tim!$IA$7:$IA$70,Ins!F47,Tim!$B$7:$B$70)+SUMIF(Tim!$IB$7:$IB$70,Ins!F47,Tim!$B$7:$B$70)</f>
        <v>0</v>
      </c>
      <c r="BR47" s="80">
        <f>SUMIF(Tim!$IC$7:$IC$70,Ins!F47,Tim!$B$7:$B$70)+SUMIF(Tim!$ID$7:$ID$70,Ins!F47,Tim!$B$7:$B$70)+SUMIF(Tim!$IE$7:$IE$70,Ins!F47,Tim!$B$7:$B$70)</f>
        <v>0</v>
      </c>
      <c r="BS47" s="80">
        <f>SUMIF(Tim!$IF$7:$IF$70,Ins!F47,Tim!$B$7:$B$70)+SUMIF(Tim!$IG$7:$IG$70,Ins!F47,Tim!$B$7:$B$70)+SUMIF(Tim!$IH$7:$IH$70,Ins!F47,Tim!$B$7:$B$70)+SUMIF(Tim!$II$7:$II$70,Ins!F47,Tim!$B$7:$B$70)+SUMIF(Tim!$IJ$7:$IJ$70,Ins!F47,Tim!$B$7:$B$70)</f>
        <v>0</v>
      </c>
      <c r="BT47" s="80">
        <f>SUMIF(Tim!$IK$7:$IK$70,Ins!F47,Tim!$B$7:$B$70)+SUMIF(Tim!$IL$7:$IL$70,Ins!F47,Tim!$B$7:$B$70)+SUMIF(Tim!$IM$7:$IM$70,Ins!F47,Tim!$B$7:$B$70)</f>
        <v>0</v>
      </c>
      <c r="BU47" s="80">
        <f>SUMIF(Tim!$IN$7:$IN$70,Ins!F47,Tim!$B$7:$B$70)+SUMIF(Tim!$IO$7:$IO$70,Ins!F47,Tim!$B$7:$B$70)+SUMIF(Tim!$IP$7:$IP$70,Ins!F47,Tim!$B$7:$B$70)</f>
        <v>0</v>
      </c>
      <c r="BV47" s="80">
        <f>SUMIF(Tim!$IQ$7:$IQ$70,Ins!F47,Tim!$B$7:$B$70)</f>
        <v>0</v>
      </c>
      <c r="BW47" s="80">
        <f>SUMIF(Tim!$IR$7:$IR$70,Ins!F47,Tim!$D$7:$D$70)+SUMIF(Tim!$IS$7:$IS$70,Ins!F47,Tim!$D$7:$D$70)+SUMIF(Tim!$IT$7:$IT$70,Ins!F47,Tim!$D$7:$D$70)+SUMIF(Tim!$IU$7:$IU$70,Ins!F47,Tim!$D$7:$D$70)+SUMIF(Tim!$IV$7:$IV$70,Ins!F47,Tim!$D$7:$D$70)+SUMIF(Tim!$IW$7:$IW$70,Ins!F47,Tim!$D$7:$D$70)+SUMIF(Tim!$IX$7:$IX$70,Ins!F47,Tim!$D$7:$D$70)+SUMIF(Tim!$IY$7:$IY$70,Ins!F47,Tim!$D$7:$D$70)+SUMIF(Tim!$IZ$7:$IZ$70,Ins!F47,Tim!$D$7:$D$70)+SUMIF(Tim!$JA$7:$JA$70,Ins!F47,Tim!$D$7:$D$70)+SUMIF(Tim!$JB$7:$JB$70,Ins!F47,Tim!$D$7:$D$70)+SUMIF(Tim!$JC$7:$JC$70,Ins!F47,Tim!$D$7:$D$70)</f>
        <v>0</v>
      </c>
      <c r="BX47" s="80">
        <f>SUMIF(Tim!JD$7:JD$70,Ins!F47,Tim!$C$7:$C$70)</f>
        <v>0</v>
      </c>
      <c r="BY47" s="80">
        <f>SUMIF(Tim!JE$7:JE$70,Ins!F47,Tim!$C$7:$C$70)</f>
        <v>0</v>
      </c>
      <c r="BZ47" s="80">
        <f>SUMIF(Tim!JF$7:JF$70,Ins!F47,Tim!$C$7:$C$70)+SUMIF(Tim!JG$7:JG$70,Ins!F47,Tim!$C$7:$C$70)+SUMIF(Tim!JH$7:JH$70,Ins!F47,Tim!$C$7:$C$70)</f>
        <v>0</v>
      </c>
      <c r="CA47" s="81">
        <f>SUMIF(Tim!$JI$7:$JI$70,Ins!F47,Tim!$C$7:$C$70)++SUMIF(Tim!$JJ$7:$JJ$70,Ins!F47,Tim!$C$7:$C$70)+SUMIF(Tim!$JK$7:$JK$70,Ins!F47,Tim!$C$7:$C$70)+SUMIF(Tim!$JL$7:$JL$70,Ins!F47,Tim!$C$7:$C$70)+SUMIF(Tim!$JM$7:$JM$70,Ins!F47,Tim!$C$7:$C$70)</f>
        <v>0</v>
      </c>
      <c r="CB47" s="79">
        <f>SUMIF(Tim!$JN$7:$JN$70,Ins!F47,Tim!$B$7:$B$70)</f>
        <v>0</v>
      </c>
      <c r="CC47" s="80">
        <f>SUMIF(Tim!$JO$7:$JO$70,Ins!F47,Tim!$B$7:$B$70)+SUMIF(Tim!$JP$7:$JP$70,Ins!F47,Tim!$B$7:$B$70)+SUMIF(Tim!$JQ$7:$JQ$70,Ins!F47,Tim!$B$7:$B$70)+SUMIF(Tim!$JR$7:$JR$70,Ins!F47,Tim!$B$7:$B$70)+SUMIF(Tim!$JS$7:$JS$70,Ins!F47,Tim!$B$7:$B$70)+SUMIF(Tim!$JT$7:$JT$70,Ins!F47,Tim!$B$7:$B$70)</f>
        <v>0</v>
      </c>
      <c r="CD47" s="80">
        <f>SUMIF(Tim!$JW$7:$JW$70,Ins!F47,Tim!$B$7:$B$70)+SUMIF(Tim!$JU$7:$JU$70,Ins!F47,Tim!$B$7:$B$70)+SUMIF(Tim!$JV$7:$JV$70,Ins!F47,Tim!$B$7:$B$70)</f>
        <v>0</v>
      </c>
      <c r="CE47" s="80">
        <f>SUMIF(Tim!$JX$7:$JX$70,Ins!F47,Tim!$B$7:$B$70)+SUMIF(Tim!$JY$7:$JY$70,Ins!F47,Tim!$B$7:$B$70)+SUMIF(Tim!$JZ$7:$JZ$70,Ins!F47,Tim!$B$7:$B$70)+SUMIF(Tim!$KA$7:$KA$70,Ins!F47,Tim!$B$7:$B$70)+SUMIF(Tim!$KB$7:$KB$70,Ins!F47,Tim!$B$7:$B$70)</f>
        <v>0</v>
      </c>
      <c r="CF47" s="80">
        <f>SUMIF(Tim!$KE$7:$KE$70,Ins!F47,Tim!$B$7:$B$70)+SUMIF(Tim!$KC$7:$KC$70,Ins!F47,Tim!$B$7:$B$70)+SUMIF(Tim!$KD$7:$KD$70,Ins!F47,Tim!$B$7:$B$70)</f>
        <v>0</v>
      </c>
      <c r="CG47" s="80">
        <f>SUMIF(Tim!$KF$7:$KF$70,Ins!F47,Tim!$B$7:$B$70)+SUMIF(Tim!$KG$7:$KG$70,Ins!F47,Tim!$B$7:$B$70)+SUMIF(Tim!$KH$7:$KH$70,Ins!F47,Tim!$B$7:$B$70)</f>
        <v>0</v>
      </c>
      <c r="CH47" s="80">
        <f>SUMIF(Tim!$KI$7:$KI$70,Ins!F47,Tim!$B$7:$B$70)</f>
        <v>0</v>
      </c>
      <c r="CI47" s="80">
        <f>SUMIF(Tim!$KJ$7:$KJ$70,Ins!F47,Tim!$D$7:$D$70)+SUMIF(Tim!$KK$7:$KK$70,Ins!F47,Tim!$D$7:$D$70)+SUMIF(Tim!$KL$7:$KL$70,Ins!F47,Tim!$D$7:$D$70)+SUMIF(Tim!$KM$7:$KM$70,Ins!F47,Tim!$D$7:$D$70)+SUMIF(Tim!$KN$7:$KN$70,Ins!F47,Tim!$D$7:$D$70)+SUMIF(Tim!$KO$7:$KO$70,Ins!F47,Tim!$D$7:$D$70)+SUMIF(Tim!$KP$7:$KP$70,Ins!F47,Tim!$D$7:$D$70)+SUMIF(Tim!$KQ$7:$KQ$70,Ins!F47,Tim!$D$7:$D$70)+SUMIF(Tim!$KR$7:$KR$70,Ins!F47,Tim!$D$7:$D$70)+SUMIF(Tim!$KS$7:$KS$70,Ins!F47,Tim!$D$7:$D$70)+SUMIF(Tim!$KT$7:$KT$70,Ins!F47,Tim!$D$7:$D$70)+SUMIF(Tim!$KU$7:$KU$70,Ins!F47,Tim!$D$7:$D$70)</f>
        <v>0</v>
      </c>
      <c r="CJ47" s="80">
        <f>SUMIF(Tim!KV$7:KV$70,Ins!F47,Tim!$C$7:$C$70)</f>
        <v>0</v>
      </c>
      <c r="CK47" s="80">
        <f>SUMIF(Tim!KW$7:KW$70,Ins!F47,Tim!$C$7:$C$70)</f>
        <v>0</v>
      </c>
      <c r="CL47" s="80">
        <f>SUMIF(Tim!KX$7:KX$70,Ins!F47,Tim!$C$7:$C$70)+SUMIF(Tim!KY$7:KY$70,Ins!F47,Tim!$C$7:$C$70)+SUMIF(Tim!KZ$7:KZ$70,Ins!F47,Tim!$C$7:$C$70)</f>
        <v>0</v>
      </c>
      <c r="CM47" s="81">
        <f>SUMIF(Tim!$LA$7:$LA$70,Ins!F47,Tim!$C$7:$C$70)+SUMIF(Tim!$LB$7:$LB$70,Ins!F47,Tim!$C$7:$C$70)+SUMIF(Tim!$LC$7:$LC$70,Ins!F47,Tim!$C$7:$C$70)+SUMIF(Tim!$LD$7:$LD$70,Ins!F47,Tim!$C$7:$C$70)+SUMIF(Tim!$LE$7:$LE$70,Ins!F47,Tim!$C$7:$C$70)</f>
        <v>0</v>
      </c>
      <c r="CN47" s="22"/>
      <c r="CO47" s="180">
        <f t="shared" ref="CO47" si="335">H47+T47+AF47+AR47+BD47+BP47+CB47</f>
        <v>0</v>
      </c>
      <c r="CP47" s="179">
        <f t="shared" ref="CP47" si="336">I47+U47+AG47+AS47+BE47+BQ47+CC47</f>
        <v>0</v>
      </c>
      <c r="CQ47" s="179">
        <f t="shared" ref="CQ47" si="337">J47+V47+AH47+AT47+BF47+BR47+CD47</f>
        <v>0</v>
      </c>
      <c r="CR47" s="179">
        <f t="shared" ref="CR47" si="338">K47+W47+AI47+AU47+BG47+BS47+CE47</f>
        <v>0</v>
      </c>
      <c r="CS47" s="179">
        <f t="shared" ref="CS47" si="339">L47+X47+AJ47+AV47+BH47+BT47+CF47</f>
        <v>0</v>
      </c>
      <c r="CT47" s="179">
        <f t="shared" ref="CT47" si="340">M47+Y47+AK47+AW47+BI47+BU47+CG47</f>
        <v>0</v>
      </c>
      <c r="CU47" s="179">
        <f t="shared" ref="CU47" si="341">N47+Z47+AL47+AX47+BJ47+BV47+CH47</f>
        <v>0</v>
      </c>
      <c r="CV47" s="179">
        <f t="shared" ref="CV47" si="342">O47+AA47+AM47+AY47+BK47+BW47+CI47</f>
        <v>1.5</v>
      </c>
      <c r="CW47" s="179">
        <f t="shared" ref="CW47" si="343">P47+AB47+AN47+AZ47+BL47+BX47+CJ47</f>
        <v>0</v>
      </c>
      <c r="CX47" s="179">
        <f t="shared" ref="CX47" si="344">Q47+AC47+AO47+BA47+BM47+BY47+CK47</f>
        <v>0</v>
      </c>
      <c r="CY47" s="179">
        <f t="shared" ref="CY47" si="345">R47+AD47+AP47+BB47+BN47+BZ47+CL47</f>
        <v>0</v>
      </c>
      <c r="CZ47" s="179">
        <f t="shared" ref="CZ47" si="346">S47+AE47+AQ47+BC47+BO47+CA47+CM47</f>
        <v>0</v>
      </c>
      <c r="DA47" s="78">
        <f t="shared" ref="DA47" si="347">SUM(CO47:CZ47)</f>
        <v>1.5</v>
      </c>
      <c r="DB47" s="36"/>
      <c r="DC47" s="34">
        <f t="shared" ref="DC47" si="348">SUM(H47:S47)</f>
        <v>0</v>
      </c>
      <c r="DD47" s="34">
        <f t="shared" ref="DD47" si="349">SUM(T47:AE47)</f>
        <v>0</v>
      </c>
      <c r="DE47" s="34">
        <f t="shared" ref="DE47" si="350">SUM(AF47:AQ47)</f>
        <v>0</v>
      </c>
      <c r="DF47" s="34">
        <f t="shared" ref="DF47" si="351">SUM(AR47:BC47)</f>
        <v>0</v>
      </c>
      <c r="DG47" s="34">
        <f t="shared" ref="DG47" si="352">SUM(BD47:BO47)</f>
        <v>1.5</v>
      </c>
      <c r="DH47" s="34">
        <f t="shared" ref="DH47" si="353">SUM(BP47:CA47)</f>
        <v>0</v>
      </c>
      <c r="DI47" s="34">
        <f t="shared" ref="DI47" si="354">SUM(CB47:CM47)</f>
        <v>0</v>
      </c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7"/>
    </row>
    <row r="48" spans="1:125" s="33" customFormat="1" ht="12" customHeight="1">
      <c r="A48" s="10">
        <v>46</v>
      </c>
      <c r="B48" s="24" t="s">
        <v>413</v>
      </c>
      <c r="C48" s="234"/>
      <c r="D48" s="28"/>
      <c r="E48" s="28" t="s">
        <v>373</v>
      </c>
      <c r="F48" s="185" t="s">
        <v>414</v>
      </c>
      <c r="G48" s="205" t="s">
        <v>191</v>
      </c>
      <c r="H48" s="79">
        <f>SUMIF(Tim!$F$7:$F$70,Ins!F48,Tim!$B$7:$B$70)</f>
        <v>0</v>
      </c>
      <c r="I48" s="80">
        <f>SUMIF(Tim!$G$7:$G$70,Ins!F48,Tim!$B$7:$B$70)+SUMIF(Tim!$H$7:$H$70,Ins!F48,Tim!$B$7:$B$70)+SUMIF(Tim!$I$7:$I$70,Ins!F48,Tim!$B$7:$B$70)+SUMIF(Tim!$J$7:$J$70,Ins!F48,Tim!$B$7:$B$70)+SUMIF(Tim!$K$7:$K$70,Ins!F48,Tim!$B$7:$B$70)+SUMIF(Tim!$L$7:$L$70,Ins!F48,Tim!$B$7:$B$70)</f>
        <v>0</v>
      </c>
      <c r="J48" s="80">
        <f>SUMIF(Tim!$M$7:$M$70,Ins!F48,Tim!$B$7:$B$70)+SUMIF(Tim!$O$7:$O$70,Ins!F48,Tim!$B$7:$B$70)+SUMIF(Tim!$N$7:$N$70,Ins!F48,Tim!$B$7:$B$70)</f>
        <v>0</v>
      </c>
      <c r="K48" s="80">
        <f>SUMIF(Tim!$P$7:$P$70,Ins!F48,Tim!$B$7:$B$70)+SUMIF(Tim!$Q$7:$Q$70,Ins!F48,Tim!$B$7:$B$70)+SUMIF(Tim!$R$7:$R$70,Ins!F48,Tim!$B$7:$B$70)+SUMIF(Tim!$S$7:$S$70,Ins!F48,Tim!$B$7:$B$70)+SUMIF(Tim!$T$7:$T$70,Ins!F48,Tim!$B$7:$B$70)</f>
        <v>0</v>
      </c>
      <c r="L48" s="80">
        <f>SUMIF(Tim!$U$7:$U$70,Ins!F48,Tim!$B$7:$B$70)+SUMIF(Tim!$W$7:$W$70,Ins!F48,Tim!$B$7:$B$70)+SUMIF(Tim!$X$7:$X$70,Ins!F48,Tim!$B$7:$B$70)</f>
        <v>0</v>
      </c>
      <c r="M48" s="80">
        <f>SUMIF(Tim!$Y$7:$Y$70,Ins!F48,Tim!$B$7:$B$70)+SUMIF(Tim!$Z$7:$Z$70,Ins!F48,Tim!$B$7:$B$70)+SUMIF(Tim!$AA$7:$AA$70,Ins!F48,Tim!$B$7:$B$70)</f>
        <v>0</v>
      </c>
      <c r="N48" s="80">
        <f>SUMIF(Tim!$AB$7:$AB$70,Ins!F48,Tim!$B$7:$B$70)</f>
        <v>0</v>
      </c>
      <c r="O48" s="80">
        <f>SUMIF(Tim!$AC$7:$AC$70,Ins!F48,Tim!$D$7:$D$70)+SUMIF(Tim!$AD$7:$AD$70,Ins!F48,Tim!$D$7:$D$70)+SUMIF(Tim!$AE$7:$AE$70,Ins!F48,Tim!$D$7:$D$70)+SUMIF(Tim!$AF$7:$AF$70,Ins!F48,Tim!$D$7:$D$70)+SUMIF(Tim!$AG$7:$AG$70,Ins!F48,Tim!$D$7:$D$70)+SUMIF(Tim!$AH$7:$AH$70,Ins!F48,Tim!$D$7:$D$70)+SUMIF(Tim!$AI$7:$AI$70,Ins!F48,Tim!$D$7:$D$70)+SUMIF(Tim!$AJ$7:$AJ$70,Ins!F48,Tim!$D$7:$D$70)+SUMIF(Tim!$AK$7:$AK$70,Ins!F48,Tim!$D$7:$D$70)+SUMIF(Tim!$AL$7:$AL$70,Ins!F48,Tim!$D$7:$D$70)+SUMIF(Tim!$AM$7:$AM$70,Ins!F48,Tim!$D$7:$D$70)+SUMIF(Tim!$AN$7:$AN$70,Ins!F48,Tim!$D$7:$D$70)</f>
        <v>0</v>
      </c>
      <c r="P48" s="80">
        <f>SUMIF(Tim!AO$7:AO$70,Ins!F48,Tim!$C$7:$C$70)</f>
        <v>0</v>
      </c>
      <c r="Q48" s="80">
        <f>SUMIF(Tim!AP$7:AP$70,Ins!F48,Tim!$C$7:$C$70)</f>
        <v>0</v>
      </c>
      <c r="R48" s="80">
        <f>SUMIF(Tim!AQ$7:AQ$70,Ins!F48,Tim!$C$7:$C$70)+SUMIF(Tim!AR$7:AR$70,Ins!F48,Tim!$C$7:$C$70)+SUMIF(Tim!AS$7:AS$70,Ins!F48,Tim!$C$7:$C$70)</f>
        <v>0</v>
      </c>
      <c r="S48" s="236">
        <f>SUMIF(Tim!$AT$7:$AT$70,Ins!F48,Tim!$C$7:$C$70)+SUMIF(Tim!$AU$7:$AU$70,Ins!F48,Tim!$C$7:$C106)+SUMIF(Tim!$AV$7:$AV$70,Ins!F48,Tim!$C$7:$C$70)+SUMIF(Tim!$AW$7:$AW$70,Ins!F48,Tim!$C$7:$C$70)+SUMIF(Tim!$AX$7:$AX$70,Ins!F48,Tim!$C$7:$C$70)</f>
        <v>0</v>
      </c>
      <c r="T48" s="79">
        <f>SUMIF(Tim!$AY$7:$AY$70,Ins!F48,Tim!$B$7:$B$70)</f>
        <v>0</v>
      </c>
      <c r="U48" s="80">
        <f>SUMIF(Tim!$AZ$7:$AZ$70,Ins!F48,Tim!$B$7:$B$70)+SUMIF(Tim!$BA$7:$BA$70,Ins!F48,Tim!$B$7:$B$70)+SUMIF(Tim!$BB$7:$BB$70,Ins!F48,Tim!$B$7:$B$70)+SUMIF(Tim!$BC$7:$BC$70,Ins!F48,Tim!$B$7:$B$70)+SUMIF(Tim!$BD$7:$BD$70,Ins!F48,Tim!$B$7:$B$70)+SUMIF(Tim!$BE$7:$BE$70,Ins!F48,Tim!$B$7:$B$70)</f>
        <v>0</v>
      </c>
      <c r="V48" s="80">
        <f>SUMIF(Tim!$BF$7:$BF$70,Ins!F48,Tim!$B$7:$B$70)+SUMIF(Tim!$BG$7:$BG$70,Ins!F48,Tim!$B$7:$B$70)+SUMIF(Tim!$BH$7:$BH$70,Ins!F48,Tim!$B$7:$B$70)</f>
        <v>0</v>
      </c>
      <c r="W48" s="80">
        <f>SUMIF(Tim!$BI$7:$BI$70,Ins!F48,Tim!$B$7:$B$70)+SUMIF(Tim!$BJ$7:$BJ$70,Ins!F48,Tim!$B$7:$B$70)+SUMIF(Tim!$BK$7:$BK$70,Ins!F48,Tim!$B$7:$B$70)+SUMIF(Tim!$BL$7:$BL$70,Ins!F48,Tim!$B$7:$B$70)+SUMIF(Tim!$BM$7:$BM$70,Ins!F48,Tim!$B$7:$B$70)</f>
        <v>0</v>
      </c>
      <c r="X48" s="80">
        <f>SUMIF(Tim!$BN$7:$BN$70,Ins!F48,Tim!$B$7:$B$70)+SUMIF(Tim!$BO$7:$BO$70,Ins!F48,Tim!$B$7:$B$70)+SUMIF(Tim!$BP$7:$BP$70,Ins!F48,Tim!$B$7:$B$70)</f>
        <v>0</v>
      </c>
      <c r="Y48" s="80">
        <f>SUMIF(Tim!$BQ$7:$BQ$70,Ins!F48,Tim!$B$7:$B$70)+SUMIF(Tim!$BR$7:$BR$70,Ins!F48,Tim!$B$7:$B$70)+SUMIF(Tim!$BS$7:$BS$70,Ins!F48,Tim!$B$7:$B$70)</f>
        <v>0</v>
      </c>
      <c r="Z48" s="80">
        <f>SUMIF(Tim!BT$7:BT$70,Ins!F48,Tim!$B$7:$B$70)</f>
        <v>0</v>
      </c>
      <c r="AA48" s="80">
        <f>SUMIF(Tim!$BU$7:$BU$70,Ins!F48,Tim!$D$7:$D$70)+SUMIF(Tim!$BV$7:$BV$70,Ins!F48,Tim!$D$7:$D$70)+SUMIF(Tim!$BW$7:$BW$70,Ins!F48,Tim!$D$7:$D$70)+SUMIF(Tim!$BX$7:$BX$70,Ins!F48,Tim!$D$7:$D$70)+SUMIF(Tim!$BY$7:$BY$70,Ins!F48,Tim!$D$7:$D$70)+SUMIF(Tim!$BZ$7:$BZ$70,Ins!F48,Tim!$D$7:$D$70)+SUMIF(Tim!$CA$7:$CA$70,Ins!F48,Tim!$D$7:$D$70)+SUMIF(Tim!$CB$7:$CB$70,Ins!F48,Tim!$D$7:$D$70)+SUMIF(Tim!$CC$7:$CC$70,Ins!F48,Tim!$D$7:$D$70)+SUMIF(Tim!$CD$7:$CD$70,Ins!F48,Tim!$D$7:$D$70)+SUMIF(Tim!$CE$7:$CE$70,Ins!F48,Tim!$D$7:$D$70)+SUMIF(Tim!$CF$7:$CF$70,Ins!F48,Tim!$D$7:$D$70)</f>
        <v>0</v>
      </c>
      <c r="AB48" s="80">
        <f>SUMIF(Tim!CG$7:CG$70,Ins!F48,Tim!$C$7:$C$70)</f>
        <v>0</v>
      </c>
      <c r="AC48" s="80">
        <f>SUMIF(Tim!CH$7:CH$70,Ins!F48,Tim!$C$7:$C$70)</f>
        <v>0</v>
      </c>
      <c r="AD48" s="80">
        <f>SUMIF(Tim!CI$7:CI$70,Ins!F48,Tim!$C$7:$C$70)+SUMIF(Tim!CJ$7:CJ$70,Ins!F48,Tim!$C$7:$C$70)+SUMIF(Tim!CK$7:CK$70,Ins!F48,Tim!$C$7:$C$70)</f>
        <v>0</v>
      </c>
      <c r="AE48" s="81">
        <f>SUMIF(Tim!$CL$7:$CL$70,Ins!F48,Tim!$C$7:$C$70)+SUMIF(Tim!$CM$7:$CM$70,Ins!F48,Tim!$C$7:$C$70)+SUMIF(Tim!$CN$7:$CN$70,Ins!F48,Tim!$C$7:$C$70)+SUMIF(Tim!$CO$7:$CO$70,Ins!F48,Tim!$C$7:$C$70)+SUMIF(Tim!$CP$7:$CP$70,Ins!F48,Tim!$C$7:$C$70)</f>
        <v>0</v>
      </c>
      <c r="AF48" s="79">
        <f>SUMIF(Tim!$CQ$7:$CQ$70,Ins!F48,Tim!$B$7:$B$70)</f>
        <v>0</v>
      </c>
      <c r="AG48" s="80">
        <f>SUMIF(Tim!$CR$7:$CR$70,Ins!F48,Tim!$B$7:$B$70)+SUMIF(Tim!$CS$7:$CS$70,Ins!F48,Tim!$B$7:$B$70)+SUMIF(Tim!$CT$7:$CT$70,Ins!F48,Tim!$B$7:$B$70)+SUMIF(Tim!$CU$7:$CU$70,Ins!F48,Tim!$B$7:$B$70)+SUMIF(Tim!$CV$7:$CV$70,Ins!F48,Tim!$B$7:$B$70)+SUMIF(Tim!$CW$7:$CW$70,Ins!F48,Tim!$B$7:$B$70)</f>
        <v>0</v>
      </c>
      <c r="AH48" s="80">
        <f>SUMIF(Tim!$CX$7:$CX$70,Ins!F48,Tim!$B$7:$B$70)+SUMIF(Tim!$CY$7:$CY$70,Ins!F48,Tim!$B$7:$B$70)+SUMIF(Tim!$CZ$7:$CZ$70,Ins!F48,Tim!$B$7:$B$70)</f>
        <v>0</v>
      </c>
      <c r="AI48" s="80">
        <f>SUMIF(Tim!$DA$7:$DA$70,Ins!F48,Tim!$B$7:$B$70)+SUMIF(Tim!$DB$7:$DB$70,Ins!F48,Tim!$B$7:$B$70)+SUMIF(Tim!$DC$7:$DC$70,Ins!F48,Tim!$B$7:$B$70)+SUMIF(Tim!$DD$7:$DD$70,Ins!F48,Tim!$B$7:$B$70)+SUMIF(Tim!$DE$7:$DE$70,Ins!F48,Tim!$B$7:$B$70)</f>
        <v>0</v>
      </c>
      <c r="AJ48" s="80">
        <f>SUMIF(Tim!$DF$7:$DF$70,Ins!F48,Tim!$B$7:$B$70)+SUMIF(Tim!$DG$7:$DG$70,Ins!F48,Tim!$B$7:$B$70)+SUMIF(Tim!$DH$7:$DH$70,Ins!F48,Tim!$B$7:$B$70)</f>
        <v>0</v>
      </c>
      <c r="AK48" s="80">
        <f>SUMIF(Tim!DI$7:DI$70,Ins!F48,Tim!$B$7:$B$70)+SUMIF(Tim!DM$7:DM$70,Ins!F48,Tim!$B$7:$B$70)+SUMIF(Tim!DN$7:DN$70,Ins!F48,Tim!$B$7:$B$70)</f>
        <v>0</v>
      </c>
      <c r="AL48" s="80">
        <f>SUMIF(Tim!DO$7:DO$70,Ins!F48,Tim!$B$7:$B$70)</f>
        <v>0</v>
      </c>
      <c r="AM48" s="80">
        <f>SUMIF(Tim!$DP$7:$DP$70,Ins!F48,Tim!$D$7:$D$70)+SUMIF(Tim!$DQ$7:$DQ$70,Ins!F48,Tim!$D$7:$D$70)+SUMIF(Tim!$DR$7:$DR$70,Ins!F48,Tim!$D$7:$D$70)+SUMIF(Tim!$DS$7:$DS$70,Ins!F48,Tim!$D$7:$D$70)+SUMIF(Tim!$DT$7:$DT$70,Ins!F48,Tim!$D$7:$D$70)+SUMIF(Tim!$DU$7:$DU$70,Ins!F48,Tim!$D$7:$D$70)+SUMIF(Tim!$DV$7:$DV$70,Ins!F48,Tim!$D$7:$D$70)+SUMIF(Tim!$DW$7:$DW$70,Ins!F48,Tim!$D$7:$D$70)+SUMIF(Tim!$DX$7:$DX$70,Ins!F48,Tim!$D$7:$D$70)+SUMIF(Tim!$DY$7:$DY$70,Ins!F48,Tim!$D$7:$D$70)+SUMIF(Tim!$DZ$7:$DZ$70,Ins!F48,Tim!$D$7:$D$70)+SUMIF(Tim!$EA$7:$EA$70,Ins!F48,Tim!$D$7:$D$70)</f>
        <v>0</v>
      </c>
      <c r="AN48" s="80">
        <f>SUMIF(Tim!EB$7:EB$70,Ins!F48,Tim!$C$7:$C$70)</f>
        <v>0</v>
      </c>
      <c r="AO48" s="80">
        <f>SUMIF(Tim!EC$7:EC$70,Ins!F48,Tim!$C$7:$C$70)</f>
        <v>0</v>
      </c>
      <c r="AP48" s="80">
        <f>SUMIF(Tim!ED$7:ED$70,Ins!F48,Tim!$C$7:$C$70)+SUMIF(Tim!EE$7:EE$70,Ins!F48,Tim!$C$7:$C$70)+SUMIF(Tim!EF$7:EF$70,Ins!F48,Tim!$C$7:$C$70)</f>
        <v>0</v>
      </c>
      <c r="AQ48" s="81">
        <f>SUMIF(Tim!$EG$7:$EG$70,Ins!F48,Tim!$C$7:$C$70)+SUMIF(Tim!$EH$7:$EH$70,Ins!F48,Tim!$C$7:$C$70)+SUMIF(Tim!$EI$7:$EI$70,Ins!F48,Tim!$C$7:$C$70)+SUMIF(Tim!$EJ$7:$EJ$70,Ins!F48,Tim!$C$7:$C$70)+SUMIF(Tim!$EK$7:$EK$70,Ins!F48,Tim!$C$7:$C$70)</f>
        <v>0</v>
      </c>
      <c r="AR48" s="79">
        <f>SUMIF(Tim!$EL$5:$EL$70,Ins!F48,Tim!$B$5:$B$70)</f>
        <v>0</v>
      </c>
      <c r="AS48" s="80">
        <f>SUMIF(Tim!$EM$5:$EM$70,Ins!F48,Tim!$B$5:$B$70)+SUMIF(Tim!$EN$5:$EN$70,Ins!F48,Tim!$B$5:$B$70)+SUMIF(Tim!$EO$5:$EO$70,Ins!F48,Tim!$B$5:$B$70)+SUMIF(Tim!$EP$5:$EP$70,Ins!F48,Tim!$B$5:$B$70)+SUMIF(Tim!$EQ$5:$EQ$70,Ins!F48,Tim!$B$5:$B$70)+SUMIF(Tim!$ER$5:$ER$70,Ins!F48,Tim!$B$5:$B$70)</f>
        <v>0</v>
      </c>
      <c r="AT48" s="80">
        <f>SUMIF(Tim!$ES$5:$ES$70,Ins!F48,Tim!$B$5:$B$70)+SUMIF(Tim!$ET$5:$ET$70,Ins!F48,Tim!$B$5:$B$70)+SUMIF(Tim!$EU$5:$EU$70,Ins!F48,Tim!$B$5:$B$70)</f>
        <v>0</v>
      </c>
      <c r="AU48" s="80">
        <f>SUMIF(Tim!$EV$5:$EV$70,Ins!F48,Tim!$B$5:$B$70)+SUMIF(Tim!$EW$5:$EW$70,Ins!F48,Tim!$B$5:$B$70)+SUMIF(Tim!$EX$5:$EX$70,Ins!F48,Tim!$B$5:$B$70)+SUMIF(Tim!$EY$5:$EY$70,Ins!F48,Tim!$B$5:$B$70)+SUMIF(Tim!$EZ$5:$EZ$70,Ins!F48,Tim!$B$5:$B$70)</f>
        <v>0</v>
      </c>
      <c r="AV48" s="80">
        <f>SUMIF(Tim!$FA$5:$FA$70,Ins!F48,Tim!$B$5:$B$70)+SUMIF(Tim!$FB$5:$FB$70,Ins!F48,Tim!$B$5:$B$70)+SUMIF(Tim!$FC$5:$FC$70,Ins!F48,Tim!$B$5:$B$70)</f>
        <v>0</v>
      </c>
      <c r="AW48" s="80">
        <f>SUMIF(Tim!FD$5:FD$70,Ins!F48,Tim!$B$5:$B$70)+SUMIF(Tim!FE$5:FE$70,Ins!F48,Tim!$B$5:$B$70)+SUMIF(Tim!FF$5:FF$70,Ins!F48,Tim!$B$5:$B$70)</f>
        <v>0</v>
      </c>
      <c r="AX48" s="80">
        <f>SUMIF(Tim!FG$5:FG$70,Ins!F48,Tim!$B$5:$B$70)</f>
        <v>0</v>
      </c>
      <c r="AY48" s="80">
        <f>SUMIF(Tim!$FH$5:$FH$70,Ins!F48,Tim!$D$5:$D$70)+SUMIF(Tim!$FI$5:$FI$70,Ins!F48,Tim!$D$5:$D$70)+SUMIF(Tim!$FJ$5:$FJ$70,Ins!F48,Tim!$D$5:$D$70)+SUMIF(Tim!$FK$5:$FK$70,Ins!F48,Tim!$D$5:$D$70)+SUMIF(Tim!$FL$5:$FL$70,Ins!F48,Tim!$D$5:$D$70)+SUMIF(Tim!$FM$5:$FM$70,Ins!F48,Tim!$D$5:$D$70)+SUMIF(Tim!$FN$5:$FN$70,Ins!F48,Tim!$D$5:$D$70)+SUMIF(Tim!$FO$5:$FO$70,Ins!F48,Tim!$D$5:$D$70)+SUMIF(Tim!$FP$5:$FP$70,Ins!F48,Tim!$D$5:$D$70)+SUMIF(Tim!$FQ$5:$FQ$70,Ins!F48,Tim!$D$5:$D$70)+SUMIF(Tim!$FR$5:$FR$70,Ins!F48,Tim!$D$5:$D$70)+SUMIF(Tim!$FS$5:$FS$70,Ins!F48,Tim!$D$5:$D$70)</f>
        <v>0</v>
      </c>
      <c r="AZ48" s="80">
        <f>SUMIF(Tim!FT$5:FT$70,Ins!F48,Tim!$C$5:$C$70)</f>
        <v>0</v>
      </c>
      <c r="BA48" s="80">
        <f>SUMIF(Tim!FU$5:FU$70,Ins!F48,Tim!$C$5:$C$70)</f>
        <v>0</v>
      </c>
      <c r="BB48" s="80">
        <f>SUMIF(Tim!FV$5:FV$70,Ins!F48,Tim!$C$5:$C$70)+SUMIF(Tim!FW$5:FW$70,Ins!F48,Tim!$C$5:$C$70)+SUMIF(Tim!FX$5:FX$70,Ins!F48,Tim!$C$5:$C$70)</f>
        <v>0</v>
      </c>
      <c r="BC48" s="81">
        <f>SUMIF(Tim!$FY$5:$FY$70,Ins!F48,Tim!$C$5:$C$70)+SUMIF(Tim!$FZ$5:$FZ$70,Ins!F48,Tim!$C$5:$C$70)+SUMIF(Tim!$GA$5:$GA$70,Ins!F48,Tim!$C$5:$C$70)+SUMIF(Tim!$GB$5:$GB$70,Ins!F48,Tim!$C$5:$C$70)+SUMIF(Tim!$GC$5:$GC$70,Ins!F48,Tim!$C$5:$C$70)</f>
        <v>0</v>
      </c>
      <c r="BD48" s="79">
        <f>SUMIF(Tim!$GD$5:$GD$70,Ins!F48,Tim!$B$5:$B$70)</f>
        <v>0</v>
      </c>
      <c r="BE48" s="80">
        <f>SUMIF(Tim!$GE$5:$GE$70,Ins!F48,Tim!$B$5:$B$70)+SUMIF(Tim!$GF$5:$GF$70,Ins!F48,Tim!$B$5:$B$70)+SUMIF(Tim!$GG$5:$GG$70,Ins!F48,Tim!$B$5:$B$70)+SUMIF(Tim!$GH$5:$GH$70,Ins!F48,Tim!$B$5:$B$70)+SUMIF(Tim!$GI$5:$GI$70,Ins!F48,Tim!$B$5:$B$70)+SUMIF(Tim!$GJ$5:$GJ$70,Ins!F48,Tim!$B$5:$B$70)</f>
        <v>0</v>
      </c>
      <c r="BF48" s="80">
        <f>SUMIF(Tim!$GK$5:$GK$70,Ins!F48,Tim!$B$5:$B$70)+SUMIF(Tim!$GL$5:$GL$70,Ins!F48,Tim!$B$5:$B$70)+SUMIF(Tim!$GM$5:$GM$70,Ins!F48,Tim!$B$5:$B$70)</f>
        <v>0</v>
      </c>
      <c r="BG48" s="80">
        <f>SUMIF(Tim!$GN$5:$GN$70,Ins!F48,Tim!$B$5:$B$70)+SUMIF(Tim!$GO$5:$GO$70,Ins!F48,Tim!$B$5:$B$70)+SUMIF(Tim!$GP$5:$GP$70,Ins!F48,Tim!$B$5:$B$70)+SUMIF(Tim!$GQ$5:$GQ$70,Ins!F48,Tim!$B$5:$B$70)+SUMIF(Tim!$GR$5:$GR$70,Ins!F48,Tim!$B$5:$B$70)</f>
        <v>0</v>
      </c>
      <c r="BH48" s="80">
        <f>SUMIF(Tim!$GS$5:$GS$70,Ins!F48,Tim!$B$5:$B$70)+SUMIF(Tim!$GT$5:$GT$70,Ins!F48,Tim!$B$5:$B$70)+SUMIF(Tim!$GU$5:$GU$70,Ins!F48,Tim!$B$5:$B$70)</f>
        <v>0</v>
      </c>
      <c r="BI48" s="80">
        <f>SUMIF(Tim!GV$5:GV$70,Ins!F48,Tim!$B$5:$B$70)+SUMIF(Tim!GW$5:GW$70,Ins!F48,Tim!$B$5:$B$70)+SUMIF(Tim!GX$5:GX$70,Ins!F48,Tim!$B$5:$B$70)</f>
        <v>0</v>
      </c>
      <c r="BJ48" s="80">
        <f>SUMIF(Tim!GY$5:GY$70,Ins!F48,Tim!$B$5:$B$70)</f>
        <v>0</v>
      </c>
      <c r="BK48" s="80">
        <f>SUMIF(Tim!$GZ$5:$GZ$70,Ins!F48,Tim!$D$5:$D$70)+SUMIF(Tim!$HA$5:$HA$70,Ins!F48,Tim!$D$5:$D$70)+SUMIF(Tim!$HB$5:$HB$70,Ins!F48,Tim!$D$5:$D$70)++SUMIF(Tim!$HC$5:$HC$70,Ins!F48,Tim!$D$5:$D$70)+SUMIF(Tim!$HD$5:$HD$70,Ins!F48,Tim!$D$5:$D$70)+SUMIF(Tim!$HE$5:$HE$70,Ins!F48,Tim!$D$5:$D$70)+SUMIF(Tim!$HF$5:$HF$70,Ins!F48,Tim!$D$5:$D$70)+SUMIF(Tim!$HG$5:$HG$70,Ins!F48,Tim!$D$5:$D$70)+SUMIF(Tim!$HH$5:$HH$70,Ins!F48,Tim!$D$5:$D$70)+SUMIF(Tim!$HI$5:$HI$70,Ins!F48,Tim!$D$5:$D$70)+SUMIF(Tim!$HJ$5:$HJ$70,Ins!F48,Tim!$D$5:$D$70)+SUMIF(Tim!$HK$5:$HK$70,Ins!F48,Tim!$D$5:$D$70)</f>
        <v>0</v>
      </c>
      <c r="BL48" s="80">
        <f>SUMIF(Tim!HL$5:HL$70,Ins!F48,Tim!$C$5:$C$70)</f>
        <v>0</v>
      </c>
      <c r="BM48" s="80">
        <f>SUMIF(Tim!HM$5:HM$70,Ins!F48,Tim!$C$5:$C$70)</f>
        <v>0</v>
      </c>
      <c r="BN48" s="80">
        <f>SUMIF(Tim!HN$5:HN$70,Ins!F48,Tim!$C$5:$C$70)+SUMIF(Tim!HO$5:HO$70,Ins!F48,Tim!$C$5:$C$70)+SUMIF(Tim!HP$5:HP$70,Ins!F48,Tim!$C$5:$C$70)</f>
        <v>0</v>
      </c>
      <c r="BO48" s="81">
        <f>SUMIF(Tim!$HQ$5:$HQ$70,Ins!F48,Tim!$C$5:$C$70)+SUMIF(Tim!$HR$5:$HR$70,Ins!F48,Tim!$C$5:$C$70)+SUMIF(Tim!$HS$5:$HS$70,Ins!F48,Tim!$C$5:$C$70)+SUMIF(Tim!$HT$5:$HT$70,Ins!F48,Tim!$C$5:$C$70)+SUMIF(Tim!$HU$5:$HU$70,Ins!F48,Tim!$C$5:$C$70)</f>
        <v>0</v>
      </c>
      <c r="BP48" s="79">
        <f>SUMIF(Tim!$HV$7:$HV$70,Ins!F48,Tim!$B$7:$B$70)</f>
        <v>0</v>
      </c>
      <c r="BQ48" s="80">
        <f>SUMIF(Tim!$HW$7:$HW$70,Ins!F48,Tim!$B$7:$B$70)+SUMIF(Tim!$HX$7:$HX$70,Ins!F48,Tim!$B$7:$B$70)+SUMIF(Tim!$HY$7:$HY$70,Ins!F48,Tim!$B$7:$B$70)+SUMIF(Tim!$HZ$7:$HZ$70,Ins!F48,Tim!$B$7:$B$70)+SUMIF(Tim!$IA$7:$IA$70,Ins!F48,Tim!$B$7:$B$70)+SUMIF(Tim!$IB$7:$IB$70,Ins!F48,Tim!$B$7:$B$70)</f>
        <v>0</v>
      </c>
      <c r="BR48" s="80">
        <f>SUMIF(Tim!$IC$7:$IC$70,Ins!F48,Tim!$B$7:$B$70)+SUMIF(Tim!$ID$7:$ID$70,Ins!F48,Tim!$B$7:$B$70)+SUMIF(Tim!$IE$7:$IE$70,Ins!F48,Tim!$B$7:$B$70)</f>
        <v>0</v>
      </c>
      <c r="BS48" s="80">
        <f>SUMIF(Tim!$IF$7:$IF$70,Ins!F48,Tim!$B$7:$B$70)+SUMIF(Tim!$IG$7:$IG$70,Ins!F48,Tim!$B$7:$B$70)+SUMIF(Tim!$IH$7:$IH$70,Ins!F48,Tim!$B$7:$B$70)+SUMIF(Tim!$II$7:$II$70,Ins!F48,Tim!$B$7:$B$70)+SUMIF(Tim!$IJ$7:$IJ$70,Ins!F48,Tim!$B$7:$B$70)</f>
        <v>0</v>
      </c>
      <c r="BT48" s="80">
        <f>SUMIF(Tim!$IK$7:$IK$70,Ins!F48,Tim!$B$7:$B$70)+SUMIF(Tim!$IL$7:$IL$70,Ins!F48,Tim!$B$7:$B$70)+SUMIF(Tim!$IM$7:$IM$70,Ins!F48,Tim!$B$7:$B$70)</f>
        <v>0</v>
      </c>
      <c r="BU48" s="80">
        <f>SUMIF(Tim!$IN$7:$IN$70,Ins!F48,Tim!$B$7:$B$70)+SUMIF(Tim!$IO$7:$IO$70,Ins!F48,Tim!$B$7:$B$70)+SUMIF(Tim!$IP$7:$IP$70,Ins!F48,Tim!$B$7:$B$70)</f>
        <v>0</v>
      </c>
      <c r="BV48" s="80">
        <f>SUMIF(Tim!$IQ$7:$IQ$70,Ins!F48,Tim!$B$7:$B$70)</f>
        <v>0</v>
      </c>
      <c r="BW48" s="80">
        <f>SUMIF(Tim!$IR$7:$IR$70,Ins!F48,Tim!$D$7:$D$70)+SUMIF(Tim!$IS$7:$IS$70,Ins!F48,Tim!$D$7:$D$70)+SUMIF(Tim!$IT$7:$IT$70,Ins!F48,Tim!$D$7:$D$70)+SUMIF(Tim!$IU$7:$IU$70,Ins!F48,Tim!$D$7:$D$70)+SUMIF(Tim!$IV$7:$IV$70,Ins!F48,Tim!$D$7:$D$70)+SUMIF(Tim!$IW$7:$IW$70,Ins!F48,Tim!$D$7:$D$70)+SUMIF(Tim!$IX$7:$IX$70,Ins!F48,Tim!$D$7:$D$70)+SUMIF(Tim!$IY$7:$IY$70,Ins!F48,Tim!$D$7:$D$70)+SUMIF(Tim!$IZ$7:$IZ$70,Ins!F48,Tim!$D$7:$D$70)+SUMIF(Tim!$JA$7:$JA$70,Ins!F48,Tim!$D$7:$D$70)+SUMIF(Tim!$JB$7:$JB$70,Ins!F48,Tim!$D$7:$D$70)+SUMIF(Tim!$JC$7:$JC$70,Ins!F48,Tim!$D$7:$D$70)</f>
        <v>0</v>
      </c>
      <c r="BX48" s="80">
        <f>SUMIF(Tim!JD$7:JD$70,Ins!F48,Tim!$C$7:$C$70)</f>
        <v>0</v>
      </c>
      <c r="BY48" s="80">
        <f>SUMIF(Tim!JE$7:JE$70,Ins!F48,Tim!$C$7:$C$70)</f>
        <v>0</v>
      </c>
      <c r="BZ48" s="80">
        <f>SUMIF(Tim!JF$7:JF$70,Ins!F48,Tim!$C$7:$C$70)+SUMIF(Tim!JG$7:JG$70,Ins!F48,Tim!$C$7:$C$70)+SUMIF(Tim!JH$7:JH$70,Ins!F48,Tim!$C$7:$C$70)</f>
        <v>0</v>
      </c>
      <c r="CA48" s="81">
        <f>SUMIF(Tim!$JI$7:$JI$70,Ins!F48,Tim!$C$7:$C$70)++SUMIF(Tim!$JJ$7:$JJ$70,Ins!F48,Tim!$C$7:$C$70)+SUMIF(Tim!$JK$7:$JK$70,Ins!F48,Tim!$C$7:$C$70)+SUMIF(Tim!$JL$7:$JL$70,Ins!F48,Tim!$C$7:$C$70)+SUMIF(Tim!$JM$7:$JM$70,Ins!F48,Tim!$C$7:$C$70)</f>
        <v>0</v>
      </c>
      <c r="CB48" s="79">
        <f>SUMIF(Tim!$JN$7:$JN$70,Ins!F48,Tim!$B$7:$B$70)</f>
        <v>0</v>
      </c>
      <c r="CC48" s="80">
        <f>SUMIF(Tim!$JO$7:$JO$70,Ins!F48,Tim!$B$7:$B$70)+SUMIF(Tim!$JP$7:$JP$70,Ins!F48,Tim!$B$7:$B$70)+SUMIF(Tim!$JQ$7:$JQ$70,Ins!F48,Tim!$B$7:$B$70)+SUMIF(Tim!$JR$7:$JR$70,Ins!F48,Tim!$B$7:$B$70)+SUMIF(Tim!$JS$7:$JS$70,Ins!F48,Tim!$B$7:$B$70)+SUMIF(Tim!$JT$7:$JT$70,Ins!F48,Tim!$B$7:$B$70)</f>
        <v>0</v>
      </c>
      <c r="CD48" s="80">
        <f>SUMIF(Tim!$JW$7:$JW$70,Ins!F48,Tim!$B$7:$B$70)+SUMIF(Tim!$JU$7:$JU$70,Ins!F48,Tim!$B$7:$B$70)+SUMIF(Tim!$JV$7:$JV$70,Ins!F48,Tim!$B$7:$B$70)</f>
        <v>0</v>
      </c>
      <c r="CE48" s="80">
        <f>SUMIF(Tim!$JX$7:$JX$70,Ins!F48,Tim!$B$7:$B$70)+SUMIF(Tim!$JY$7:$JY$70,Ins!F48,Tim!$B$7:$B$70)+SUMIF(Tim!$JZ$7:$JZ$70,Ins!F48,Tim!$B$7:$B$70)+SUMIF(Tim!$KA$7:$KA$70,Ins!F48,Tim!$B$7:$B$70)+SUMIF(Tim!$KB$7:$KB$70,Ins!F48,Tim!$B$7:$B$70)</f>
        <v>0</v>
      </c>
      <c r="CF48" s="80">
        <f>SUMIF(Tim!$KE$7:$KE$70,Ins!F48,Tim!$B$7:$B$70)+SUMIF(Tim!$KC$7:$KC$70,Ins!F48,Tim!$B$7:$B$70)+SUMIF(Tim!$KD$7:$KD$70,Ins!F48,Tim!$B$7:$B$70)</f>
        <v>0</v>
      </c>
      <c r="CG48" s="80">
        <f>SUMIF(Tim!$KF$7:$KF$70,Ins!F48,Tim!$B$7:$B$70)+SUMIF(Tim!$KG$7:$KG$70,Ins!F48,Tim!$B$7:$B$70)+SUMIF(Tim!$KH$7:$KH$70,Ins!F48,Tim!$B$7:$B$70)</f>
        <v>0</v>
      </c>
      <c r="CH48" s="80">
        <f>SUMIF(Tim!$KI$7:$KI$70,Ins!F48,Tim!$B$7:$B$70)</f>
        <v>0</v>
      </c>
      <c r="CI48" s="80">
        <f>SUMIF(Tim!$KJ$7:$KJ$70,Ins!F48,Tim!$D$7:$D$70)+SUMIF(Tim!$KK$7:$KK$70,Ins!F48,Tim!$D$7:$D$70)+SUMIF(Tim!$KL$7:$KL$70,Ins!F48,Tim!$D$7:$D$70)+SUMIF(Tim!$KM$7:$KM$70,Ins!F48,Tim!$D$7:$D$70)+SUMIF(Tim!$KN$7:$KN$70,Ins!F48,Tim!$D$7:$D$70)+SUMIF(Tim!$KO$7:$KO$70,Ins!F48,Tim!$D$7:$D$70)+SUMIF(Tim!$KP$7:$KP$70,Ins!F48,Tim!$D$7:$D$70)+SUMIF(Tim!$KQ$7:$KQ$70,Ins!F48,Tim!$D$7:$D$70)+SUMIF(Tim!$KR$7:$KR$70,Ins!F48,Tim!$D$7:$D$70)+SUMIF(Tim!$KS$7:$KS$70,Ins!F48,Tim!$D$7:$D$70)+SUMIF(Tim!$KT$7:$KT$70,Ins!F48,Tim!$D$7:$D$70)+SUMIF(Tim!$KU$7:$KU$70,Ins!F48,Tim!$D$7:$D$70)</f>
        <v>0</v>
      </c>
      <c r="CJ48" s="80">
        <f>SUMIF(Tim!KV$7:KV$70,Ins!F48,Tim!$C$7:$C$70)</f>
        <v>0</v>
      </c>
      <c r="CK48" s="80">
        <f>SUMIF(Tim!KW$7:KW$70,Ins!F48,Tim!$C$7:$C$70)</f>
        <v>0</v>
      </c>
      <c r="CL48" s="80">
        <f>SUMIF(Tim!KX$7:KX$70,Ins!F48,Tim!$C$7:$C$70)+SUMIF(Tim!KY$7:KY$70,Ins!F48,Tim!$C$7:$C$70)+SUMIF(Tim!KZ$7:KZ$70,Ins!F48,Tim!$C$7:$C$70)</f>
        <v>0</v>
      </c>
      <c r="CM48" s="81">
        <f>SUMIF(Tim!$LA$7:$LA$70,Ins!F48,Tim!$C$7:$C$70)+SUMIF(Tim!$LB$7:$LB$70,Ins!F48,Tim!$C$7:$C$70)+SUMIF(Tim!$LC$7:$LC$70,Ins!F48,Tim!$C$7:$C$70)+SUMIF(Tim!$LD$7:$LD$70,Ins!F48,Tim!$C$7:$C$70)+SUMIF(Tim!$LE$7:$LE$70,Ins!F48,Tim!$C$7:$C$70)</f>
        <v>0</v>
      </c>
      <c r="CN48" s="22"/>
      <c r="CO48" s="180">
        <f t="shared" ref="CO48" si="355">H48+T48+AF48+AR48+BD48+BP48+CB48</f>
        <v>0</v>
      </c>
      <c r="CP48" s="179">
        <f t="shared" ref="CP48" si="356">I48+U48+AG48+AS48+BE48+BQ48+CC48</f>
        <v>0</v>
      </c>
      <c r="CQ48" s="179">
        <f t="shared" ref="CQ48" si="357">J48+V48+AH48+AT48+BF48+BR48+CD48</f>
        <v>0</v>
      </c>
      <c r="CR48" s="179">
        <f t="shared" ref="CR48" si="358">K48+W48+AI48+AU48+BG48+BS48+CE48</f>
        <v>0</v>
      </c>
      <c r="CS48" s="179">
        <f t="shared" ref="CS48" si="359">L48+X48+AJ48+AV48+BH48+BT48+CF48</f>
        <v>0</v>
      </c>
      <c r="CT48" s="179">
        <f t="shared" ref="CT48" si="360">M48+Y48+AK48+AW48+BI48+BU48+CG48</f>
        <v>0</v>
      </c>
      <c r="CU48" s="179">
        <f t="shared" ref="CU48" si="361">N48+Z48+AL48+AX48+BJ48+BV48+CH48</f>
        <v>0</v>
      </c>
      <c r="CV48" s="179">
        <f t="shared" ref="CV48" si="362">O48+AA48+AM48+AY48+BK48+BW48+CI48</f>
        <v>0</v>
      </c>
      <c r="CW48" s="179">
        <f t="shared" ref="CW48" si="363">P48+AB48+AN48+AZ48+BL48+BX48+CJ48</f>
        <v>0</v>
      </c>
      <c r="CX48" s="179">
        <f t="shared" ref="CX48" si="364">Q48+AC48+AO48+BA48+BM48+BY48+CK48</f>
        <v>0</v>
      </c>
      <c r="CY48" s="179">
        <f t="shared" ref="CY48" si="365">R48+AD48+AP48+BB48+BN48+BZ48+CL48</f>
        <v>0</v>
      </c>
      <c r="CZ48" s="179">
        <f t="shared" ref="CZ48" si="366">S48+AE48+AQ48+BC48+BO48+CA48+CM48</f>
        <v>0</v>
      </c>
      <c r="DA48" s="78">
        <f t="shared" ref="DA48" si="367">SUM(CO48:CZ48)</f>
        <v>0</v>
      </c>
      <c r="DB48" s="36"/>
      <c r="DC48" s="34">
        <f t="shared" ref="DC48" si="368">SUM(H48:S48)</f>
        <v>0</v>
      </c>
      <c r="DD48" s="34">
        <f t="shared" ref="DD48" si="369">SUM(T48:AE48)</f>
        <v>0</v>
      </c>
      <c r="DE48" s="34">
        <f t="shared" ref="DE48" si="370">SUM(AF48:AQ48)</f>
        <v>0</v>
      </c>
      <c r="DF48" s="34">
        <f t="shared" ref="DF48" si="371">SUM(AR48:BC48)</f>
        <v>0</v>
      </c>
      <c r="DG48" s="34">
        <f t="shared" ref="DG48" si="372">SUM(BD48:BO48)</f>
        <v>0</v>
      </c>
      <c r="DH48" s="34">
        <f t="shared" ref="DH48" si="373">SUM(BP48:CA48)</f>
        <v>0</v>
      </c>
      <c r="DI48" s="34">
        <f t="shared" ref="DI48" si="374">SUM(CB48:CM48)</f>
        <v>0</v>
      </c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7"/>
    </row>
    <row r="49" spans="1:125" s="33" customFormat="1" ht="12" customHeight="1">
      <c r="A49" s="10">
        <v>47</v>
      </c>
      <c r="B49" s="24" t="s">
        <v>458</v>
      </c>
      <c r="C49" s="234"/>
      <c r="D49" s="28"/>
      <c r="E49" s="28" t="s">
        <v>373</v>
      </c>
      <c r="F49" s="185" t="s">
        <v>457</v>
      </c>
      <c r="G49" s="205" t="s">
        <v>191</v>
      </c>
      <c r="H49" s="79">
        <f>SUMIF(Tim!$F$7:$F$70,Ins!F49,Tim!$B$7:$B$70)</f>
        <v>0</v>
      </c>
      <c r="I49" s="80">
        <f>SUMIF(Tim!$G$7:$G$70,Ins!F49,Tim!$B$7:$B$70)+SUMIF(Tim!$H$7:$H$70,Ins!F49,Tim!$B$7:$B$70)+SUMIF(Tim!$I$7:$I$70,Ins!F49,Tim!$B$7:$B$70)+SUMIF(Tim!$J$7:$J$70,Ins!F49,Tim!$B$7:$B$70)+SUMIF(Tim!$K$7:$K$70,Ins!F49,Tim!$B$7:$B$70)+SUMIF(Tim!$L$7:$L$70,Ins!F49,Tim!$B$7:$B$70)</f>
        <v>0</v>
      </c>
      <c r="J49" s="80">
        <f>SUMIF(Tim!$M$7:$M$70,Ins!F49,Tim!$B$7:$B$70)+SUMIF(Tim!$O$7:$O$70,Ins!F49,Tim!$B$7:$B$70)+SUMIF(Tim!$N$7:$N$70,Ins!F49,Tim!$B$7:$B$70)</f>
        <v>0</v>
      </c>
      <c r="K49" s="80">
        <f>SUMIF(Tim!$P$7:$P$70,Ins!F49,Tim!$B$7:$B$70)+SUMIF(Tim!$Q$7:$Q$70,Ins!F49,Tim!$B$7:$B$70)+SUMIF(Tim!$R$7:$R$70,Ins!F49,Tim!$B$7:$B$70)+SUMIF(Tim!$S$7:$S$70,Ins!F49,Tim!$B$7:$B$70)+SUMIF(Tim!$T$7:$T$70,Ins!F49,Tim!$B$7:$B$70)</f>
        <v>0</v>
      </c>
      <c r="L49" s="80">
        <f>SUMIF(Tim!$U$7:$U$70,Ins!F49,Tim!$B$7:$B$70)+SUMIF(Tim!$W$7:$W$70,Ins!F49,Tim!$B$7:$B$70)+SUMIF(Tim!$X$7:$X$70,Ins!F49,Tim!$B$7:$B$70)</f>
        <v>0</v>
      </c>
      <c r="M49" s="80">
        <f>SUMIF(Tim!$Y$7:$Y$70,Ins!F49,Tim!$B$7:$B$70)+SUMIF(Tim!$Z$7:$Z$70,Ins!F49,Tim!$B$7:$B$70)+SUMIF(Tim!$AA$7:$AA$70,Ins!F49,Tim!$B$7:$B$70)</f>
        <v>0</v>
      </c>
      <c r="N49" s="80">
        <f>SUMIF(Tim!$AB$7:$AB$70,Ins!F49,Tim!$B$7:$B$70)</f>
        <v>0</v>
      </c>
      <c r="O49" s="80">
        <f>SUMIF(Tim!$AC$7:$AC$70,Ins!F49,Tim!$D$7:$D$70)+SUMIF(Tim!$AD$7:$AD$70,Ins!F49,Tim!$D$7:$D$70)+SUMIF(Tim!$AE$7:$AE$70,Ins!F49,Tim!$D$7:$D$70)+SUMIF(Tim!$AF$7:$AF$70,Ins!F49,Tim!$D$7:$D$70)+SUMIF(Tim!$AG$7:$AG$70,Ins!F49,Tim!$D$7:$D$70)+SUMIF(Tim!$AH$7:$AH$70,Ins!F49,Tim!$D$7:$D$70)+SUMIF(Tim!$AI$7:$AI$70,Ins!F49,Tim!$D$7:$D$70)+SUMIF(Tim!$AJ$7:$AJ$70,Ins!F49,Tim!$D$7:$D$70)+SUMIF(Tim!$AK$7:$AK$70,Ins!F49,Tim!$D$7:$D$70)+SUMIF(Tim!$AL$7:$AL$70,Ins!F49,Tim!$D$7:$D$70)+SUMIF(Tim!$AM$7:$AM$70,Ins!F49,Tim!$D$7:$D$70)+SUMIF(Tim!$AN$7:$AN$70,Ins!F49,Tim!$D$7:$D$70)</f>
        <v>0</v>
      </c>
      <c r="P49" s="80">
        <f>SUMIF(Tim!AO$7:AO$70,Ins!F49,Tim!$C$7:$C$70)</f>
        <v>0</v>
      </c>
      <c r="Q49" s="80">
        <f>SUMIF(Tim!AP$7:AP$70,Ins!F49,Tim!$C$7:$C$70)</f>
        <v>0</v>
      </c>
      <c r="R49" s="80">
        <f>SUMIF(Tim!AQ$7:AQ$70,Ins!F49,Tim!$C$7:$C$70)+SUMIF(Tim!AR$7:AR$70,Ins!F49,Tim!$C$7:$C$70)+SUMIF(Tim!AS$7:AS$70,Ins!F49,Tim!$C$7:$C$70)</f>
        <v>0</v>
      </c>
      <c r="S49" s="236">
        <f>SUMIF(Tim!$AT$7:$AT$70,Ins!F49,Tim!$C$7:$C$70)+SUMIF(Tim!$AU$7:$AU$70,Ins!F49,Tim!$C$7:$C107)+SUMIF(Tim!$AV$7:$AV$70,Ins!F49,Tim!$C$7:$C$70)+SUMIF(Tim!$AW$7:$AW$70,Ins!F49,Tim!$C$7:$C$70)+SUMIF(Tim!$AX$7:$AX$70,Ins!F49,Tim!$C$7:$C$70)</f>
        <v>0</v>
      </c>
      <c r="T49" s="79">
        <f>SUMIF(Tim!$AY$7:$AY$70,Ins!F49,Tim!$B$7:$B$70)</f>
        <v>0</v>
      </c>
      <c r="U49" s="80">
        <f>SUMIF(Tim!$AZ$7:$AZ$70,Ins!F49,Tim!$B$7:$B$70)+SUMIF(Tim!$BA$7:$BA$70,Ins!F49,Tim!$B$7:$B$70)+SUMIF(Tim!$BB$7:$BB$70,Ins!F49,Tim!$B$7:$B$70)+SUMIF(Tim!$BC$7:$BC$70,Ins!F49,Tim!$B$7:$B$70)+SUMIF(Tim!$BD$7:$BD$70,Ins!F49,Tim!$B$7:$B$70)+SUMIF(Tim!$BE$7:$BE$70,Ins!F49,Tim!$B$7:$B$70)</f>
        <v>0</v>
      </c>
      <c r="V49" s="80">
        <f>SUMIF(Tim!$BF$7:$BF$70,Ins!F49,Tim!$B$7:$B$70)+SUMIF(Tim!$BG$7:$BG$70,Ins!F49,Tim!$B$7:$B$70)+SUMIF(Tim!$BH$7:$BH$70,Ins!F49,Tim!$B$7:$B$70)</f>
        <v>0</v>
      </c>
      <c r="W49" s="80">
        <f>SUMIF(Tim!$BI$7:$BI$70,Ins!F49,Tim!$B$7:$B$70)+SUMIF(Tim!$BJ$7:$BJ$70,Ins!F49,Tim!$B$7:$B$70)+SUMIF(Tim!$BK$7:$BK$70,Ins!F49,Tim!$B$7:$B$70)+SUMIF(Tim!$BL$7:$BL$70,Ins!F49,Tim!$B$7:$B$70)+SUMIF(Tim!$BM$7:$BM$70,Ins!F49,Tim!$B$7:$B$70)</f>
        <v>0</v>
      </c>
      <c r="X49" s="80">
        <f>SUMIF(Tim!$BN$7:$BN$70,Ins!F49,Tim!$B$7:$B$70)+SUMIF(Tim!$BO$7:$BO$70,Ins!F49,Tim!$B$7:$B$70)+SUMIF(Tim!$BP$7:$BP$70,Ins!F49,Tim!$B$7:$B$70)</f>
        <v>0</v>
      </c>
      <c r="Y49" s="80">
        <f>SUMIF(Tim!$BQ$7:$BQ$70,Ins!F49,Tim!$B$7:$B$70)+SUMIF(Tim!$BR$7:$BR$70,Ins!F49,Tim!$B$7:$B$70)+SUMIF(Tim!$BS$7:$BS$70,Ins!F49,Tim!$B$7:$B$70)</f>
        <v>0</v>
      </c>
      <c r="Z49" s="80">
        <f>SUMIF(Tim!BT$7:BT$70,Ins!F49,Tim!$B$7:$B$70)</f>
        <v>0</v>
      </c>
      <c r="AA49" s="80">
        <f>SUMIF(Tim!$BU$7:$BU$70,Ins!F49,Tim!$D$7:$D$70)+SUMIF(Tim!$BV$7:$BV$70,Ins!F49,Tim!$D$7:$D$70)+SUMIF(Tim!$BW$7:$BW$70,Ins!F49,Tim!$D$7:$D$70)+SUMIF(Tim!$BX$7:$BX$70,Ins!F49,Tim!$D$7:$D$70)+SUMIF(Tim!$BY$7:$BY$70,Ins!F49,Tim!$D$7:$D$70)+SUMIF(Tim!$BZ$7:$BZ$70,Ins!F49,Tim!$D$7:$D$70)+SUMIF(Tim!$CA$7:$CA$70,Ins!F49,Tim!$D$7:$D$70)+SUMIF(Tim!$CB$7:$CB$70,Ins!F49,Tim!$D$7:$D$70)+SUMIF(Tim!$CC$7:$CC$70,Ins!F49,Tim!$D$7:$D$70)+SUMIF(Tim!$CD$7:$CD$70,Ins!F49,Tim!$D$7:$D$70)+SUMIF(Tim!$CE$7:$CE$70,Ins!F49,Tim!$D$7:$D$70)+SUMIF(Tim!$CF$7:$CF$70,Ins!F49,Tim!$D$7:$D$70)</f>
        <v>0</v>
      </c>
      <c r="AB49" s="80">
        <f>SUMIF(Tim!CG$7:CG$70,Ins!F49,Tim!$C$7:$C$70)</f>
        <v>0</v>
      </c>
      <c r="AC49" s="80">
        <f>SUMIF(Tim!CH$7:CH$70,Ins!F49,Tim!$C$7:$C$70)</f>
        <v>0</v>
      </c>
      <c r="AD49" s="80">
        <f>SUMIF(Tim!CI$7:CI$70,Ins!F49,Tim!$C$7:$C$70)+SUMIF(Tim!CJ$7:CJ$70,Ins!F49,Tim!$C$7:$C$70)+SUMIF(Tim!CK$7:CK$70,Ins!F49,Tim!$C$7:$C$70)</f>
        <v>0</v>
      </c>
      <c r="AE49" s="81">
        <f>SUMIF(Tim!$CL$7:$CL$70,Ins!F49,Tim!$C$7:$C$70)+SUMIF(Tim!$CM$7:$CM$70,Ins!F49,Tim!$C$7:$C$70)+SUMIF(Tim!$CN$7:$CN$70,Ins!F49,Tim!$C$7:$C$70)+SUMIF(Tim!$CO$7:$CO$70,Ins!F49,Tim!$C$7:$C$70)+SUMIF(Tim!$CP$7:$CP$70,Ins!F49,Tim!$C$7:$C$70)</f>
        <v>0</v>
      </c>
      <c r="AF49" s="79">
        <f>SUMIF(Tim!$CQ$7:$CQ$70,Ins!F49,Tim!$B$7:$B$70)</f>
        <v>0</v>
      </c>
      <c r="AG49" s="80">
        <f>SUMIF(Tim!$CR$7:$CR$70,Ins!F49,Tim!$B$7:$B$70)+SUMIF(Tim!$CS$7:$CS$70,Ins!F49,Tim!$B$7:$B$70)+SUMIF(Tim!$CT$7:$CT$70,Ins!F49,Tim!$B$7:$B$70)+SUMIF(Tim!$CU$7:$CU$70,Ins!F49,Tim!$B$7:$B$70)+SUMIF(Tim!$CV$7:$CV$70,Ins!F49,Tim!$B$7:$B$70)+SUMIF(Tim!$CW$7:$CW$70,Ins!F49,Tim!$B$7:$B$70)</f>
        <v>0</v>
      </c>
      <c r="AH49" s="80">
        <f>SUMIF(Tim!$CX$7:$CX$70,Ins!F49,Tim!$B$7:$B$70)+SUMIF(Tim!$CY$7:$CY$70,Ins!F49,Tim!$B$7:$B$70)+SUMIF(Tim!$CZ$7:$CZ$70,Ins!F49,Tim!$B$7:$B$70)</f>
        <v>0</v>
      </c>
      <c r="AI49" s="80">
        <f>SUMIF(Tim!$DA$7:$DA$70,Ins!F49,Tim!$B$7:$B$70)+SUMIF(Tim!$DB$7:$DB$70,Ins!F49,Tim!$B$7:$B$70)+SUMIF(Tim!$DC$7:$DC$70,Ins!F49,Tim!$B$7:$B$70)+SUMIF(Tim!$DD$7:$DD$70,Ins!F49,Tim!$B$7:$B$70)+SUMIF(Tim!$DE$7:$DE$70,Ins!F49,Tim!$B$7:$B$70)</f>
        <v>0</v>
      </c>
      <c r="AJ49" s="80">
        <f>SUMIF(Tim!$DF$7:$DF$70,Ins!F49,Tim!$B$7:$B$70)+SUMIF(Tim!$DG$7:$DG$70,Ins!F49,Tim!$B$7:$B$70)+SUMIF(Tim!$DH$7:$DH$70,Ins!F49,Tim!$B$7:$B$70)</f>
        <v>0</v>
      </c>
      <c r="AK49" s="80">
        <f>SUMIF(Tim!DI$7:DI$70,Ins!F49,Tim!$B$7:$B$70)+SUMIF(Tim!DM$7:DM$70,Ins!F49,Tim!$B$7:$B$70)+SUMIF(Tim!DN$7:DN$70,Ins!F49,Tim!$B$7:$B$70)</f>
        <v>0</v>
      </c>
      <c r="AL49" s="80">
        <f>SUMIF(Tim!DO$7:DO$70,Ins!F49,Tim!$B$7:$B$70)</f>
        <v>0</v>
      </c>
      <c r="AM49" s="80">
        <f>SUMIF(Tim!$DP$7:$DP$70,Ins!F49,Tim!$D$7:$D$70)+SUMIF(Tim!$DQ$7:$DQ$70,Ins!F49,Tim!$D$7:$D$70)+SUMIF(Tim!$DR$7:$DR$70,Ins!F49,Tim!$D$7:$D$70)+SUMIF(Tim!$DS$7:$DS$70,Ins!F49,Tim!$D$7:$D$70)+SUMIF(Tim!$DT$7:$DT$70,Ins!F49,Tim!$D$7:$D$70)+SUMIF(Tim!$DU$7:$DU$70,Ins!F49,Tim!$D$7:$D$70)+SUMIF(Tim!$DV$7:$DV$70,Ins!F49,Tim!$D$7:$D$70)+SUMIF(Tim!$DW$7:$DW$70,Ins!F49,Tim!$D$7:$D$70)+SUMIF(Tim!$DX$7:$DX$70,Ins!F49,Tim!$D$7:$D$70)+SUMIF(Tim!$DY$7:$DY$70,Ins!F49,Tim!$D$7:$D$70)+SUMIF(Tim!$DZ$7:$DZ$70,Ins!F49,Tim!$D$7:$D$70)+SUMIF(Tim!$EA$7:$EA$70,Ins!F49,Tim!$D$7:$D$70)</f>
        <v>0</v>
      </c>
      <c r="AN49" s="80">
        <f>SUMIF(Tim!EB$7:EB$70,Ins!F49,Tim!$C$7:$C$70)</f>
        <v>0</v>
      </c>
      <c r="AO49" s="80">
        <f>SUMIF(Tim!EC$7:EC$70,Ins!F49,Tim!$C$7:$C$70)</f>
        <v>0</v>
      </c>
      <c r="AP49" s="80">
        <f>SUMIF(Tim!ED$7:ED$70,Ins!F49,Tim!$C$7:$C$70)+SUMIF(Tim!EE$7:EE$70,Ins!F49,Tim!$C$7:$C$70)+SUMIF(Tim!EF$7:EF$70,Ins!F49,Tim!$C$7:$C$70)</f>
        <v>0</v>
      </c>
      <c r="AQ49" s="81">
        <f>SUMIF(Tim!$EG$7:$EG$70,Ins!F49,Tim!$C$7:$C$70)+SUMIF(Tim!$EH$7:$EH$70,Ins!F49,Tim!$C$7:$C$70)+SUMIF(Tim!$EI$7:$EI$70,Ins!F49,Tim!$C$7:$C$70)+SUMIF(Tim!$EJ$7:$EJ$70,Ins!F49,Tim!$C$7:$C$70)+SUMIF(Tim!$EK$7:$EK$70,Ins!F49,Tim!$C$7:$C$70)</f>
        <v>0</v>
      </c>
      <c r="AR49" s="79">
        <f>SUMIF(Tim!$EL$5:$EL$70,Ins!F49,Tim!$B$5:$B$70)</f>
        <v>0</v>
      </c>
      <c r="AS49" s="80">
        <f>SUMIF(Tim!$EM$5:$EM$70,Ins!F49,Tim!$B$5:$B$70)+SUMIF(Tim!$EN$5:$EN$70,Ins!F49,Tim!$B$5:$B$70)+SUMIF(Tim!$EO$5:$EO$70,Ins!F49,Tim!$B$5:$B$70)+SUMIF(Tim!$EP$5:$EP$70,Ins!F49,Tim!$B$5:$B$70)+SUMIF(Tim!$EQ$5:$EQ$70,Ins!F49,Tim!$B$5:$B$70)+SUMIF(Tim!$ER$5:$ER$70,Ins!F49,Tim!$B$5:$B$70)</f>
        <v>0</v>
      </c>
      <c r="AT49" s="80">
        <f>SUMIF(Tim!$ES$5:$ES$70,Ins!F49,Tim!$B$5:$B$70)+SUMIF(Tim!$ET$5:$ET$70,Ins!F49,Tim!$B$5:$B$70)+SUMIF(Tim!$EU$5:$EU$70,Ins!F49,Tim!$B$5:$B$70)</f>
        <v>0</v>
      </c>
      <c r="AU49" s="80">
        <f>SUMIF(Tim!$EV$5:$EV$70,Ins!F49,Tim!$B$5:$B$70)+SUMIF(Tim!$EW$5:$EW$70,Ins!F49,Tim!$B$5:$B$70)+SUMIF(Tim!$EX$5:$EX$70,Ins!F49,Tim!$B$5:$B$70)+SUMIF(Tim!$EY$5:$EY$70,Ins!F49,Tim!$B$5:$B$70)+SUMIF(Tim!$EZ$5:$EZ$70,Ins!F49,Tim!$B$5:$B$70)</f>
        <v>0</v>
      </c>
      <c r="AV49" s="80">
        <f>SUMIF(Tim!$FA$5:$FA$70,Ins!F49,Tim!$B$5:$B$70)+SUMIF(Tim!$FB$5:$FB$70,Ins!F49,Tim!$B$5:$B$70)+SUMIF(Tim!$FC$5:$FC$70,Ins!F49,Tim!$B$5:$B$70)</f>
        <v>0</v>
      </c>
      <c r="AW49" s="80">
        <f>SUMIF(Tim!FD$5:FD$70,Ins!F49,Tim!$B$5:$B$70)+SUMIF(Tim!FE$5:FE$70,Ins!F49,Tim!$B$5:$B$70)+SUMIF(Tim!FF$5:FF$70,Ins!F49,Tim!$B$5:$B$70)</f>
        <v>0</v>
      </c>
      <c r="AX49" s="80">
        <f>SUMIF(Tim!FG$5:FG$70,Ins!F49,Tim!$B$5:$B$70)</f>
        <v>0</v>
      </c>
      <c r="AY49" s="80">
        <f>SUMIF(Tim!$FH$5:$FH$70,Ins!F49,Tim!$D$5:$D$70)+SUMIF(Tim!$FI$5:$FI$70,Ins!F49,Tim!$D$5:$D$70)+SUMIF(Tim!$FJ$5:$FJ$70,Ins!F49,Tim!$D$5:$D$70)+SUMIF(Tim!$FK$5:$FK$70,Ins!F49,Tim!$D$5:$D$70)+SUMIF(Tim!$FL$5:$FL$70,Ins!F49,Tim!$D$5:$D$70)+SUMIF(Tim!$FM$5:$FM$70,Ins!F49,Tim!$D$5:$D$70)+SUMIF(Tim!$FN$5:$FN$70,Ins!F49,Tim!$D$5:$D$70)+SUMIF(Tim!$FO$5:$FO$70,Ins!F49,Tim!$D$5:$D$70)+SUMIF(Tim!$FP$5:$FP$70,Ins!F49,Tim!$D$5:$D$70)+SUMIF(Tim!$FQ$5:$FQ$70,Ins!F49,Tim!$D$5:$D$70)+SUMIF(Tim!$FR$5:$FR$70,Ins!F49,Tim!$D$5:$D$70)+SUMIF(Tim!$FS$5:$FS$70,Ins!F49,Tim!$D$5:$D$70)</f>
        <v>0</v>
      </c>
      <c r="AZ49" s="80">
        <f>SUMIF(Tim!FT$5:FT$70,Ins!F49,Tim!$C$5:$C$70)</f>
        <v>0</v>
      </c>
      <c r="BA49" s="80">
        <f>SUMIF(Tim!FU$5:FU$70,Ins!F49,Tim!$C$5:$C$70)</f>
        <v>0</v>
      </c>
      <c r="BB49" s="80">
        <f>SUMIF(Tim!FV$5:FV$70,Ins!F49,Tim!$C$5:$C$70)+SUMIF(Tim!FW$5:FW$70,Ins!F49,Tim!$C$5:$C$70)+SUMIF(Tim!FX$5:FX$70,Ins!F49,Tim!$C$5:$C$70)</f>
        <v>0</v>
      </c>
      <c r="BC49" s="81">
        <f>SUMIF(Tim!$FY$5:$FY$70,Ins!F49,Tim!$C$5:$C$70)+SUMIF(Tim!$FZ$5:$FZ$70,Ins!F49,Tim!$C$5:$C$70)+SUMIF(Tim!$GA$5:$GA$70,Ins!F49,Tim!$C$5:$C$70)+SUMIF(Tim!$GB$5:$GB$70,Ins!F49,Tim!$C$5:$C$70)+SUMIF(Tim!$GC$5:$GC$70,Ins!F49,Tim!$C$5:$C$70)</f>
        <v>0</v>
      </c>
      <c r="BD49" s="79">
        <f>SUMIF(Tim!$GD$5:$GD$70,Ins!F49,Tim!$B$5:$B$70)</f>
        <v>0</v>
      </c>
      <c r="BE49" s="80">
        <f>SUMIF(Tim!$GE$5:$GE$70,Ins!F49,Tim!$B$5:$B$70)+SUMIF(Tim!$GF$5:$GF$70,Ins!F49,Tim!$B$5:$B$70)+SUMIF(Tim!$GG$5:$GG$70,Ins!F49,Tim!$B$5:$B$70)+SUMIF(Tim!$GH$5:$GH$70,Ins!F49,Tim!$B$5:$B$70)+SUMIF(Tim!$GI$5:$GI$70,Ins!F49,Tim!$B$5:$B$70)+SUMIF(Tim!$GJ$5:$GJ$70,Ins!F49,Tim!$B$5:$B$70)</f>
        <v>0</v>
      </c>
      <c r="BF49" s="80">
        <f>SUMIF(Tim!$GK$5:$GK$70,Ins!F49,Tim!$B$5:$B$70)+SUMIF(Tim!$GL$5:$GL$70,Ins!F49,Tim!$B$5:$B$70)+SUMIF(Tim!$GM$5:$GM$70,Ins!F49,Tim!$B$5:$B$70)</f>
        <v>0</v>
      </c>
      <c r="BG49" s="80">
        <f>SUMIF(Tim!$GN$5:$GN$70,Ins!F49,Tim!$B$5:$B$70)+SUMIF(Tim!$GO$5:$GO$70,Ins!F49,Tim!$B$5:$B$70)+SUMIF(Tim!$GP$5:$GP$70,Ins!F49,Tim!$B$5:$B$70)+SUMIF(Tim!$GQ$5:$GQ$70,Ins!F49,Tim!$B$5:$B$70)+SUMIF(Tim!$GR$5:$GR$70,Ins!F49,Tim!$B$5:$B$70)</f>
        <v>0</v>
      </c>
      <c r="BH49" s="80">
        <f>SUMIF(Tim!$GS$5:$GS$70,Ins!F49,Tim!$B$5:$B$70)+SUMIF(Tim!$GT$5:$GT$70,Ins!F49,Tim!$B$5:$B$70)+SUMIF(Tim!$GU$5:$GU$70,Ins!F49,Tim!$B$5:$B$70)</f>
        <v>0</v>
      </c>
      <c r="BI49" s="80">
        <f>SUMIF(Tim!GV$5:GV$70,Ins!F49,Tim!$B$5:$B$70)+SUMIF(Tim!GW$5:GW$70,Ins!F49,Tim!$B$5:$B$70)+SUMIF(Tim!GX$5:GX$70,Ins!F49,Tim!$B$5:$B$70)</f>
        <v>0</v>
      </c>
      <c r="BJ49" s="80">
        <f>SUMIF(Tim!GY$5:GY$70,Ins!F49,Tim!$B$5:$B$70)</f>
        <v>0</v>
      </c>
      <c r="BK49" s="80">
        <f>SUMIF(Tim!$GZ$5:$GZ$70,Ins!F49,Tim!$D$5:$D$70)+SUMIF(Tim!$HA$5:$HA$70,Ins!F49,Tim!$D$5:$D$70)+SUMIF(Tim!$HB$5:$HB$70,Ins!F49,Tim!$D$5:$D$70)++SUMIF(Tim!$HC$5:$HC$70,Ins!F49,Tim!$D$5:$D$70)+SUMIF(Tim!$HD$5:$HD$70,Ins!F49,Tim!$D$5:$D$70)+SUMIF(Tim!$HE$5:$HE$70,Ins!F49,Tim!$D$5:$D$70)+SUMIF(Tim!$HF$5:$HF$70,Ins!F49,Tim!$D$5:$D$70)+SUMIF(Tim!$HG$5:$HG$70,Ins!F49,Tim!$D$5:$D$70)+SUMIF(Tim!$HH$5:$HH$70,Ins!F49,Tim!$D$5:$D$70)+SUMIF(Tim!$HI$5:$HI$70,Ins!F49,Tim!$D$5:$D$70)+SUMIF(Tim!$HJ$5:$HJ$70,Ins!F49,Tim!$D$5:$D$70)+SUMIF(Tim!$HK$5:$HK$70,Ins!F49,Tim!$D$5:$D$70)</f>
        <v>1.5</v>
      </c>
      <c r="BL49" s="80">
        <f>SUMIF(Tim!HL$5:HL$70,Ins!F49,Tim!$C$5:$C$70)</f>
        <v>0</v>
      </c>
      <c r="BM49" s="80">
        <f>SUMIF(Tim!HM$5:HM$70,Ins!F49,Tim!$C$5:$C$70)</f>
        <v>0</v>
      </c>
      <c r="BN49" s="80">
        <f>SUMIF(Tim!HN$5:HN$70,Ins!F49,Tim!$C$5:$C$70)+SUMIF(Tim!HO$5:HO$70,Ins!F49,Tim!$C$5:$C$70)+SUMIF(Tim!HP$5:HP$70,Ins!F49,Tim!$C$5:$C$70)</f>
        <v>0</v>
      </c>
      <c r="BO49" s="81">
        <f>SUMIF(Tim!$HQ$5:$HQ$70,Ins!F49,Tim!$C$5:$C$70)+SUMIF(Tim!$HR$5:$HR$70,Ins!F49,Tim!$C$5:$C$70)+SUMIF(Tim!$HS$5:$HS$70,Ins!F49,Tim!$C$5:$C$70)+SUMIF(Tim!$HT$5:$HT$70,Ins!F49,Tim!$C$5:$C$70)+SUMIF(Tim!$HU$5:$HU$70,Ins!F49,Tim!$C$5:$C$70)</f>
        <v>0</v>
      </c>
      <c r="BP49" s="79">
        <f>SUMIF(Tim!$HV$7:$HV$70,Ins!F49,Tim!$B$7:$B$70)</f>
        <v>0</v>
      </c>
      <c r="BQ49" s="80">
        <f>SUMIF(Tim!$HW$7:$HW$70,Ins!F49,Tim!$B$7:$B$70)+SUMIF(Tim!$HX$7:$HX$70,Ins!F49,Tim!$B$7:$B$70)+SUMIF(Tim!$HY$7:$HY$70,Ins!F49,Tim!$B$7:$B$70)+SUMIF(Tim!$HZ$7:$HZ$70,Ins!F49,Tim!$B$7:$B$70)+SUMIF(Tim!$IA$7:$IA$70,Ins!F49,Tim!$B$7:$B$70)+SUMIF(Tim!$IB$7:$IB$70,Ins!F49,Tim!$B$7:$B$70)</f>
        <v>0</v>
      </c>
      <c r="BR49" s="80">
        <f>SUMIF(Tim!$IC$7:$IC$70,Ins!F49,Tim!$B$7:$B$70)+SUMIF(Tim!$ID$7:$ID$70,Ins!F49,Tim!$B$7:$B$70)+SUMIF(Tim!$IE$7:$IE$70,Ins!F49,Tim!$B$7:$B$70)</f>
        <v>0</v>
      </c>
      <c r="BS49" s="80">
        <f>SUMIF(Tim!$IF$7:$IF$70,Ins!F49,Tim!$B$7:$B$70)+SUMIF(Tim!$IG$7:$IG$70,Ins!F49,Tim!$B$7:$B$70)+SUMIF(Tim!$IH$7:$IH$70,Ins!F49,Tim!$B$7:$B$70)+SUMIF(Tim!$II$7:$II$70,Ins!F49,Tim!$B$7:$B$70)+SUMIF(Tim!$IJ$7:$IJ$70,Ins!F49,Tim!$B$7:$B$70)</f>
        <v>0</v>
      </c>
      <c r="BT49" s="80">
        <f>SUMIF(Tim!$IK$7:$IK$70,Ins!F49,Tim!$B$7:$B$70)+SUMIF(Tim!$IL$7:$IL$70,Ins!F49,Tim!$B$7:$B$70)+SUMIF(Tim!$IM$7:$IM$70,Ins!F49,Tim!$B$7:$B$70)</f>
        <v>0</v>
      </c>
      <c r="BU49" s="80">
        <f>SUMIF(Tim!$IN$7:$IN$70,Ins!F49,Tim!$B$7:$B$70)+SUMIF(Tim!$IO$7:$IO$70,Ins!F49,Tim!$B$7:$B$70)+SUMIF(Tim!$IP$7:$IP$70,Ins!F49,Tim!$B$7:$B$70)</f>
        <v>0</v>
      </c>
      <c r="BV49" s="80">
        <f>SUMIF(Tim!$IQ$7:$IQ$70,Ins!F49,Tim!$B$7:$B$70)</f>
        <v>0</v>
      </c>
      <c r="BW49" s="80">
        <f>SUMIF(Tim!$IR$7:$IR$70,Ins!F49,Tim!$D$7:$D$70)+SUMIF(Tim!$IS$7:$IS$70,Ins!F49,Tim!$D$7:$D$70)+SUMIF(Tim!$IT$7:$IT$70,Ins!F49,Tim!$D$7:$D$70)+SUMIF(Tim!$IU$7:$IU$70,Ins!F49,Tim!$D$7:$D$70)+SUMIF(Tim!$IV$7:$IV$70,Ins!F49,Tim!$D$7:$D$70)+SUMIF(Tim!$IW$7:$IW$70,Ins!F49,Tim!$D$7:$D$70)+SUMIF(Tim!$IX$7:$IX$70,Ins!F49,Tim!$D$7:$D$70)+SUMIF(Tim!$IY$7:$IY$70,Ins!F49,Tim!$D$7:$D$70)+SUMIF(Tim!$IZ$7:$IZ$70,Ins!F49,Tim!$D$7:$D$70)+SUMIF(Tim!$JA$7:$JA$70,Ins!F49,Tim!$D$7:$D$70)+SUMIF(Tim!$JB$7:$JB$70,Ins!F49,Tim!$D$7:$D$70)+SUMIF(Tim!$JC$7:$JC$70,Ins!F49,Tim!$D$7:$D$70)</f>
        <v>0</v>
      </c>
      <c r="BX49" s="80">
        <f>SUMIF(Tim!JD$7:JD$70,Ins!F49,Tim!$C$7:$C$70)</f>
        <v>0</v>
      </c>
      <c r="BY49" s="80">
        <f>SUMIF(Tim!JE$7:JE$70,Ins!F49,Tim!$C$7:$C$70)</f>
        <v>0</v>
      </c>
      <c r="BZ49" s="80">
        <f>SUMIF(Tim!JF$7:JF$70,Ins!F49,Tim!$C$7:$C$70)+SUMIF(Tim!JG$7:JG$70,Ins!F49,Tim!$C$7:$C$70)+SUMIF(Tim!JH$7:JH$70,Ins!F49,Tim!$C$7:$C$70)</f>
        <v>0</v>
      </c>
      <c r="CA49" s="81">
        <f>SUMIF(Tim!$JI$7:$JI$70,Ins!F49,Tim!$C$7:$C$70)++SUMIF(Tim!$JJ$7:$JJ$70,Ins!F49,Tim!$C$7:$C$70)+SUMIF(Tim!$JK$7:$JK$70,Ins!F49,Tim!$C$7:$C$70)+SUMIF(Tim!$JL$7:$JL$70,Ins!F49,Tim!$C$7:$C$70)+SUMIF(Tim!$JM$7:$JM$70,Ins!F49,Tim!$C$7:$C$70)</f>
        <v>0</v>
      </c>
      <c r="CB49" s="79">
        <f>SUMIF(Tim!$JN$7:$JN$70,Ins!F49,Tim!$B$7:$B$70)</f>
        <v>0</v>
      </c>
      <c r="CC49" s="80">
        <f>SUMIF(Tim!$JO$7:$JO$70,Ins!F49,Tim!$B$7:$B$70)+SUMIF(Tim!$JP$7:$JP$70,Ins!F49,Tim!$B$7:$B$70)+SUMIF(Tim!$JQ$7:$JQ$70,Ins!F49,Tim!$B$7:$B$70)+SUMIF(Tim!$JR$7:$JR$70,Ins!F49,Tim!$B$7:$B$70)+SUMIF(Tim!$JS$7:$JS$70,Ins!F49,Tim!$B$7:$B$70)+SUMIF(Tim!$JT$7:$JT$70,Ins!F49,Tim!$B$7:$B$70)</f>
        <v>0</v>
      </c>
      <c r="CD49" s="80">
        <f>SUMIF(Tim!$JW$7:$JW$70,Ins!F49,Tim!$B$7:$B$70)+SUMIF(Tim!$JU$7:$JU$70,Ins!F49,Tim!$B$7:$B$70)+SUMIF(Tim!$JV$7:$JV$70,Ins!F49,Tim!$B$7:$B$70)</f>
        <v>0</v>
      </c>
      <c r="CE49" s="80">
        <f>SUMIF(Tim!$JX$7:$JX$70,Ins!F49,Tim!$B$7:$B$70)+SUMIF(Tim!$JY$7:$JY$70,Ins!F49,Tim!$B$7:$B$70)+SUMIF(Tim!$JZ$7:$JZ$70,Ins!F49,Tim!$B$7:$B$70)+SUMIF(Tim!$KA$7:$KA$70,Ins!F49,Tim!$B$7:$B$70)+SUMIF(Tim!$KB$7:$KB$70,Ins!F49,Tim!$B$7:$B$70)</f>
        <v>0</v>
      </c>
      <c r="CF49" s="80">
        <f>SUMIF(Tim!$KE$7:$KE$70,Ins!F49,Tim!$B$7:$B$70)+SUMIF(Tim!$KC$7:$KC$70,Ins!F49,Tim!$B$7:$B$70)+SUMIF(Tim!$KD$7:$KD$70,Ins!F49,Tim!$B$7:$B$70)</f>
        <v>0</v>
      </c>
      <c r="CG49" s="80">
        <f>SUMIF(Tim!$KF$7:$KF$70,Ins!F49,Tim!$B$7:$B$70)+SUMIF(Tim!$KG$7:$KG$70,Ins!F49,Tim!$B$7:$B$70)+SUMIF(Tim!$KH$7:$KH$70,Ins!F49,Tim!$B$7:$B$70)</f>
        <v>0</v>
      </c>
      <c r="CH49" s="80">
        <f>SUMIF(Tim!$KI$7:$KI$70,Ins!F49,Tim!$B$7:$B$70)</f>
        <v>0</v>
      </c>
      <c r="CI49" s="80">
        <f>SUMIF(Tim!$KJ$7:$KJ$70,Ins!F49,Tim!$D$7:$D$70)+SUMIF(Tim!$KK$7:$KK$70,Ins!F49,Tim!$D$7:$D$70)+SUMIF(Tim!$KL$7:$KL$70,Ins!F49,Tim!$D$7:$D$70)+SUMIF(Tim!$KM$7:$KM$70,Ins!F49,Tim!$D$7:$D$70)+SUMIF(Tim!$KN$7:$KN$70,Ins!F49,Tim!$D$7:$D$70)+SUMIF(Tim!$KO$7:$KO$70,Ins!F49,Tim!$D$7:$D$70)+SUMIF(Tim!$KP$7:$KP$70,Ins!F49,Tim!$D$7:$D$70)+SUMIF(Tim!$KQ$7:$KQ$70,Ins!F49,Tim!$D$7:$D$70)+SUMIF(Tim!$KR$7:$KR$70,Ins!F49,Tim!$D$7:$D$70)+SUMIF(Tim!$KS$7:$KS$70,Ins!F49,Tim!$D$7:$D$70)+SUMIF(Tim!$KT$7:$KT$70,Ins!F49,Tim!$D$7:$D$70)+SUMIF(Tim!$KU$7:$KU$70,Ins!F49,Tim!$D$7:$D$70)</f>
        <v>1.5</v>
      </c>
      <c r="CJ49" s="80">
        <f>SUMIF(Tim!KV$7:KV$70,Ins!F49,Tim!$C$7:$C$70)</f>
        <v>0</v>
      </c>
      <c r="CK49" s="80">
        <f>SUMIF(Tim!KW$7:KW$70,Ins!F49,Tim!$C$7:$C$70)</f>
        <v>0</v>
      </c>
      <c r="CL49" s="80">
        <f>SUMIF(Tim!KX$7:KX$70,Ins!F49,Tim!$C$7:$C$70)+SUMIF(Tim!KY$7:KY$70,Ins!F49,Tim!$C$7:$C$70)+SUMIF(Tim!KZ$7:KZ$70,Ins!F49,Tim!$C$7:$C$70)</f>
        <v>0</v>
      </c>
      <c r="CM49" s="81">
        <f>SUMIF(Tim!$LA$7:$LA$70,Ins!F49,Tim!$C$7:$C$70)+SUMIF(Tim!$LB$7:$LB$70,Ins!F49,Tim!$C$7:$C$70)+SUMIF(Tim!$LC$7:$LC$70,Ins!F49,Tim!$C$7:$C$70)+SUMIF(Tim!$LD$7:$LD$70,Ins!F49,Tim!$C$7:$C$70)+SUMIF(Tim!$LE$7:$LE$70,Ins!F49,Tim!$C$7:$C$70)</f>
        <v>0</v>
      </c>
      <c r="CN49" s="22"/>
      <c r="CO49" s="180">
        <f t="shared" ref="CO49" si="375">H49+T49+AF49+AR49+BD49+BP49+CB49</f>
        <v>0</v>
      </c>
      <c r="CP49" s="179">
        <f t="shared" ref="CP49" si="376">I49+U49+AG49+AS49+BE49+BQ49+CC49</f>
        <v>0</v>
      </c>
      <c r="CQ49" s="179">
        <f t="shared" ref="CQ49" si="377">J49+V49+AH49+AT49+BF49+BR49+CD49</f>
        <v>0</v>
      </c>
      <c r="CR49" s="179">
        <f t="shared" ref="CR49" si="378">K49+W49+AI49+AU49+BG49+BS49+CE49</f>
        <v>0</v>
      </c>
      <c r="CS49" s="179">
        <f t="shared" ref="CS49" si="379">L49+X49+AJ49+AV49+BH49+BT49+CF49</f>
        <v>0</v>
      </c>
      <c r="CT49" s="179">
        <f t="shared" ref="CT49" si="380">M49+Y49+AK49+AW49+BI49+BU49+CG49</f>
        <v>0</v>
      </c>
      <c r="CU49" s="179">
        <f t="shared" ref="CU49" si="381">N49+Z49+AL49+AX49+BJ49+BV49+CH49</f>
        <v>0</v>
      </c>
      <c r="CV49" s="179">
        <f t="shared" ref="CV49" si="382">O49+AA49+AM49+AY49+BK49+BW49+CI49</f>
        <v>3</v>
      </c>
      <c r="CW49" s="179">
        <f t="shared" ref="CW49" si="383">P49+AB49+AN49+AZ49+BL49+BX49+CJ49</f>
        <v>0</v>
      </c>
      <c r="CX49" s="179">
        <f t="shared" ref="CX49" si="384">Q49+AC49+AO49+BA49+BM49+BY49+CK49</f>
        <v>0</v>
      </c>
      <c r="CY49" s="179">
        <f t="shared" ref="CY49" si="385">R49+AD49+AP49+BB49+BN49+BZ49+CL49</f>
        <v>0</v>
      </c>
      <c r="CZ49" s="179">
        <f t="shared" ref="CZ49" si="386">S49+AE49+AQ49+BC49+BO49+CA49+CM49</f>
        <v>0</v>
      </c>
      <c r="DA49" s="78">
        <f t="shared" ref="DA49" si="387">SUM(CO49:CZ49)</f>
        <v>3</v>
      </c>
      <c r="DB49" s="36"/>
      <c r="DC49" s="34">
        <f t="shared" ref="DC49" si="388">SUM(H49:S49)</f>
        <v>0</v>
      </c>
      <c r="DD49" s="34">
        <f t="shared" ref="DD49" si="389">SUM(T49:AE49)</f>
        <v>0</v>
      </c>
      <c r="DE49" s="34">
        <f t="shared" ref="DE49" si="390">SUM(AF49:AQ49)</f>
        <v>0</v>
      </c>
      <c r="DF49" s="34">
        <f t="shared" ref="DF49" si="391">SUM(AR49:BC49)</f>
        <v>0</v>
      </c>
      <c r="DG49" s="34">
        <f t="shared" ref="DG49" si="392">SUM(BD49:BO49)</f>
        <v>1.5</v>
      </c>
      <c r="DH49" s="34">
        <f t="shared" ref="DH49" si="393">SUM(BP49:CA49)</f>
        <v>0</v>
      </c>
      <c r="DI49" s="34">
        <f t="shared" ref="DI49" si="394">SUM(CB49:CM49)</f>
        <v>1.5</v>
      </c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7"/>
    </row>
    <row r="50" spans="1:125" s="33" customFormat="1" ht="12" customHeight="1">
      <c r="A50" s="10">
        <v>48</v>
      </c>
      <c r="B50" s="24" t="s">
        <v>421</v>
      </c>
      <c r="C50" s="234"/>
      <c r="D50" s="28"/>
      <c r="E50" s="28" t="s">
        <v>373</v>
      </c>
      <c r="F50" s="185" t="s">
        <v>412</v>
      </c>
      <c r="G50" s="205" t="s">
        <v>191</v>
      </c>
      <c r="H50" s="79">
        <f>SUMIF(Tim!$F$7:$F$70,Ins!F50,Tim!$B$7:$B$70)</f>
        <v>0</v>
      </c>
      <c r="I50" s="80">
        <f>SUMIF(Tim!$G$7:$G$70,Ins!F50,Tim!$B$7:$B$70)+SUMIF(Tim!$H$7:$H$70,Ins!F50,Tim!$B$7:$B$70)+SUMIF(Tim!$I$7:$I$70,Ins!F50,Tim!$B$7:$B$70)+SUMIF(Tim!$J$7:$J$70,Ins!F50,Tim!$B$7:$B$70)+SUMIF(Tim!$K$7:$K$70,Ins!F50,Tim!$B$7:$B$70)+SUMIF(Tim!$L$7:$L$70,Ins!F50,Tim!$B$7:$B$70)</f>
        <v>0</v>
      </c>
      <c r="J50" s="80">
        <f>SUMIF(Tim!$M$7:$M$70,Ins!F50,Tim!$B$7:$B$70)+SUMIF(Tim!$O$7:$O$70,Ins!F50,Tim!$B$7:$B$70)+SUMIF(Tim!$N$7:$N$70,Ins!F50,Tim!$B$7:$B$70)</f>
        <v>0</v>
      </c>
      <c r="K50" s="80">
        <f>SUMIF(Tim!$P$7:$P$70,Ins!F50,Tim!$B$7:$B$70)+SUMIF(Tim!$Q$7:$Q$70,Ins!F50,Tim!$B$7:$B$70)+SUMIF(Tim!$R$7:$R$70,Ins!F50,Tim!$B$7:$B$70)+SUMIF(Tim!$S$7:$S$70,Ins!F50,Tim!$B$7:$B$70)+SUMIF(Tim!$T$7:$T$70,Ins!F50,Tim!$B$7:$B$70)</f>
        <v>0</v>
      </c>
      <c r="L50" s="80">
        <f>SUMIF(Tim!$U$7:$U$70,Ins!F50,Tim!$B$7:$B$70)+SUMIF(Tim!$W$7:$W$70,Ins!F50,Tim!$B$7:$B$70)+SUMIF(Tim!$X$7:$X$70,Ins!F50,Tim!$B$7:$B$70)</f>
        <v>0</v>
      </c>
      <c r="M50" s="80">
        <f>SUMIF(Tim!$Y$7:$Y$70,Ins!F50,Tim!$B$7:$B$70)+SUMIF(Tim!$Z$7:$Z$70,Ins!F50,Tim!$B$7:$B$70)+SUMIF(Tim!$AA$7:$AA$70,Ins!F50,Tim!$B$7:$B$70)</f>
        <v>0</v>
      </c>
      <c r="N50" s="80">
        <f>SUMIF(Tim!$AB$7:$AB$70,Ins!F50,Tim!$B$7:$B$70)</f>
        <v>0</v>
      </c>
      <c r="O50" s="80">
        <f>SUMIF(Tim!$AC$7:$AC$70,Ins!F50,Tim!$D$7:$D$70)+SUMIF(Tim!$AD$7:$AD$70,Ins!F50,Tim!$D$7:$D$70)+SUMIF(Tim!$AE$7:$AE$70,Ins!F50,Tim!$D$7:$D$70)+SUMIF(Tim!$AF$7:$AF$70,Ins!F50,Tim!$D$7:$D$70)+SUMIF(Tim!$AG$7:$AG$70,Ins!F50,Tim!$D$7:$D$70)+SUMIF(Tim!$AH$7:$AH$70,Ins!F50,Tim!$D$7:$D$70)+SUMIF(Tim!$AI$7:$AI$70,Ins!F50,Tim!$D$7:$D$70)+SUMIF(Tim!$AJ$7:$AJ$70,Ins!F50,Tim!$D$7:$D$70)+SUMIF(Tim!$AK$7:$AK$70,Ins!F50,Tim!$D$7:$D$70)+SUMIF(Tim!$AL$7:$AL$70,Ins!F50,Tim!$D$7:$D$70)+SUMIF(Tim!$AM$7:$AM$70,Ins!F50,Tim!$D$7:$D$70)+SUMIF(Tim!$AN$7:$AN$70,Ins!F50,Tim!$D$7:$D$70)</f>
        <v>0</v>
      </c>
      <c r="P50" s="80">
        <f>SUMIF(Tim!AO$7:AO$70,Ins!F50,Tim!$C$7:$C$70)</f>
        <v>0</v>
      </c>
      <c r="Q50" s="80">
        <f>SUMIF(Tim!AP$7:AP$70,Ins!F50,Tim!$C$7:$C$70)</f>
        <v>0</v>
      </c>
      <c r="R50" s="80">
        <f>SUMIF(Tim!AQ$7:AQ$70,Ins!F50,Tim!$C$7:$C$70)+SUMIF(Tim!AR$7:AR$70,Ins!F50,Tim!$C$7:$C$70)+SUMIF(Tim!AS$7:AS$70,Ins!F50,Tim!$C$7:$C$70)</f>
        <v>0</v>
      </c>
      <c r="S50" s="236">
        <f>SUMIF(Tim!$AT$7:$AT$70,Ins!F50,Tim!$C$7:$C$70)+SUMIF(Tim!$AU$7:$AU$70,Ins!F50,Tim!$C$7:$C108)+SUMIF(Tim!$AV$7:$AV$70,Ins!F50,Tim!$C$7:$C$70)+SUMIF(Tim!$AW$7:$AW$70,Ins!F50,Tim!$C$7:$C$70)+SUMIF(Tim!$AX$7:$AX$70,Ins!F50,Tim!$C$7:$C$70)</f>
        <v>0</v>
      </c>
      <c r="T50" s="79">
        <f>SUMIF(Tim!$AY$7:$AY$70,Ins!F50,Tim!$B$7:$B$70)</f>
        <v>0</v>
      </c>
      <c r="U50" s="80">
        <f>SUMIF(Tim!$AZ$7:$AZ$70,Ins!F50,Tim!$B$7:$B$70)+SUMIF(Tim!$BA$7:$BA$70,Ins!F50,Tim!$B$7:$B$70)+SUMIF(Tim!$BB$7:$BB$70,Ins!F50,Tim!$B$7:$B$70)+SUMIF(Tim!$BC$7:$BC$70,Ins!F50,Tim!$B$7:$B$70)+SUMIF(Tim!$BD$7:$BD$70,Ins!F50,Tim!$B$7:$B$70)+SUMIF(Tim!$BE$7:$BE$70,Ins!F50,Tim!$B$7:$B$70)</f>
        <v>0</v>
      </c>
      <c r="V50" s="80">
        <f>SUMIF(Tim!$BF$7:$BF$70,Ins!F50,Tim!$B$7:$B$70)+SUMIF(Tim!$BG$7:$BG$70,Ins!F50,Tim!$B$7:$B$70)+SUMIF(Tim!$BH$7:$BH$70,Ins!F50,Tim!$B$7:$B$70)</f>
        <v>0</v>
      </c>
      <c r="W50" s="80">
        <f>SUMIF(Tim!$BI$7:$BI$70,Ins!F50,Tim!$B$7:$B$70)+SUMIF(Tim!$BJ$7:$BJ$70,Ins!F50,Tim!$B$7:$B$70)+SUMIF(Tim!$BK$7:$BK$70,Ins!F50,Tim!$B$7:$B$70)+SUMIF(Tim!$BL$7:$BL$70,Ins!F50,Tim!$B$7:$B$70)+SUMIF(Tim!$BM$7:$BM$70,Ins!F50,Tim!$B$7:$B$70)</f>
        <v>0</v>
      </c>
      <c r="X50" s="80">
        <f>SUMIF(Tim!$BN$7:$BN$70,Ins!F50,Tim!$B$7:$B$70)+SUMIF(Tim!$BO$7:$BO$70,Ins!F50,Tim!$B$7:$B$70)+SUMIF(Tim!$BP$7:$BP$70,Ins!F50,Tim!$B$7:$B$70)</f>
        <v>0</v>
      </c>
      <c r="Y50" s="80">
        <f>SUMIF(Tim!$BQ$7:$BQ$70,Ins!F50,Tim!$B$7:$B$70)+SUMIF(Tim!$BR$7:$BR$70,Ins!F50,Tim!$B$7:$B$70)+SUMIF(Tim!$BS$7:$BS$70,Ins!F50,Tim!$B$7:$B$70)</f>
        <v>0</v>
      </c>
      <c r="Z50" s="80">
        <f>SUMIF(Tim!BT$7:BT$70,Ins!F50,Tim!$B$7:$B$70)</f>
        <v>0</v>
      </c>
      <c r="AA50" s="80">
        <f>SUMIF(Tim!$BU$7:$BU$70,Ins!F50,Tim!$D$7:$D$70)+SUMIF(Tim!$BV$7:$BV$70,Ins!F50,Tim!$D$7:$D$70)+SUMIF(Tim!$BW$7:$BW$70,Ins!F50,Tim!$D$7:$D$70)+SUMIF(Tim!$BX$7:$BX$70,Ins!F50,Tim!$D$7:$D$70)+SUMIF(Tim!$BY$7:$BY$70,Ins!F50,Tim!$D$7:$D$70)+SUMIF(Tim!$BZ$7:$BZ$70,Ins!F50,Tim!$D$7:$D$70)+SUMIF(Tim!$CA$7:$CA$70,Ins!F50,Tim!$D$7:$D$70)+SUMIF(Tim!$CB$7:$CB$70,Ins!F50,Tim!$D$7:$D$70)+SUMIF(Tim!$CC$7:$CC$70,Ins!F50,Tim!$D$7:$D$70)+SUMIF(Tim!$CD$7:$CD$70,Ins!F50,Tim!$D$7:$D$70)+SUMIF(Tim!$CE$7:$CE$70,Ins!F50,Tim!$D$7:$D$70)+SUMIF(Tim!$CF$7:$CF$70,Ins!F50,Tim!$D$7:$D$70)</f>
        <v>0</v>
      </c>
      <c r="AB50" s="80">
        <f>SUMIF(Tim!CG$7:CG$70,Ins!F50,Tim!$C$7:$C$70)</f>
        <v>0</v>
      </c>
      <c r="AC50" s="80">
        <f>SUMIF(Tim!CH$7:CH$70,Ins!F50,Tim!$C$7:$C$70)</f>
        <v>0</v>
      </c>
      <c r="AD50" s="80">
        <f>SUMIF(Tim!CI$7:CI$70,Ins!F50,Tim!$C$7:$C$70)+SUMIF(Tim!CJ$7:CJ$70,Ins!F50,Tim!$C$7:$C$70)+SUMIF(Tim!CK$7:CK$70,Ins!F50,Tim!$C$7:$C$70)</f>
        <v>0</v>
      </c>
      <c r="AE50" s="81">
        <f>SUMIF(Tim!$CL$7:$CL$70,Ins!F50,Tim!$C$7:$C$70)+SUMIF(Tim!$CM$7:$CM$70,Ins!F50,Tim!$C$7:$C$70)+SUMIF(Tim!$CN$7:$CN$70,Ins!F50,Tim!$C$7:$C$70)+SUMIF(Tim!$CO$7:$CO$70,Ins!F50,Tim!$C$7:$C$70)+SUMIF(Tim!$CP$7:$CP$70,Ins!F50,Tim!$C$7:$C$70)</f>
        <v>0</v>
      </c>
      <c r="AF50" s="79">
        <f>SUMIF(Tim!$CQ$7:$CQ$70,Ins!F50,Tim!$B$7:$B$70)</f>
        <v>0</v>
      </c>
      <c r="AG50" s="80">
        <f>SUMIF(Tim!$CR$7:$CR$70,Ins!F50,Tim!$B$7:$B$70)+SUMIF(Tim!$CS$7:$CS$70,Ins!F50,Tim!$B$7:$B$70)+SUMIF(Tim!$CT$7:$CT$70,Ins!F50,Tim!$B$7:$B$70)+SUMIF(Tim!$CU$7:$CU$70,Ins!F50,Tim!$B$7:$B$70)+SUMIF(Tim!$CV$7:$CV$70,Ins!F50,Tim!$B$7:$B$70)+SUMIF(Tim!$CW$7:$CW$70,Ins!F50,Tim!$B$7:$B$70)</f>
        <v>0</v>
      </c>
      <c r="AH50" s="80">
        <f>SUMIF(Tim!$CX$7:$CX$70,Ins!F50,Tim!$B$7:$B$70)+SUMIF(Tim!$CY$7:$CY$70,Ins!F50,Tim!$B$7:$B$70)+SUMIF(Tim!$CZ$7:$CZ$70,Ins!F50,Tim!$B$7:$B$70)</f>
        <v>0</v>
      </c>
      <c r="AI50" s="80">
        <f>SUMIF(Tim!$DA$7:$DA$70,Ins!F50,Tim!$B$7:$B$70)+SUMIF(Tim!$DB$7:$DB$70,Ins!F50,Tim!$B$7:$B$70)+SUMIF(Tim!$DC$7:$DC$70,Ins!F50,Tim!$B$7:$B$70)+SUMIF(Tim!$DD$7:$DD$70,Ins!F50,Tim!$B$7:$B$70)+SUMIF(Tim!$DE$7:$DE$70,Ins!F50,Tim!$B$7:$B$70)</f>
        <v>0</v>
      </c>
      <c r="AJ50" s="80">
        <f>SUMIF(Tim!$DF$7:$DF$70,Ins!F50,Tim!$B$7:$B$70)+SUMIF(Tim!$DG$7:$DG$70,Ins!F50,Tim!$B$7:$B$70)+SUMIF(Tim!$DH$7:$DH$70,Ins!F50,Tim!$B$7:$B$70)</f>
        <v>0</v>
      </c>
      <c r="AK50" s="80">
        <f>SUMIF(Tim!DI$7:DI$70,Ins!F50,Tim!$B$7:$B$70)+SUMIF(Tim!DM$7:DM$70,Ins!F50,Tim!$B$7:$B$70)+SUMIF(Tim!DN$7:DN$70,Ins!F50,Tim!$B$7:$B$70)</f>
        <v>0</v>
      </c>
      <c r="AL50" s="80">
        <f>SUMIF(Tim!DO$7:DO$70,Ins!F50,Tim!$B$7:$B$70)</f>
        <v>0</v>
      </c>
      <c r="AM50" s="80">
        <f>SUMIF(Tim!$DP$7:$DP$70,Ins!F50,Tim!$D$7:$D$70)+SUMIF(Tim!$DQ$7:$DQ$70,Ins!F50,Tim!$D$7:$D$70)+SUMIF(Tim!$DR$7:$DR$70,Ins!F50,Tim!$D$7:$D$70)+SUMIF(Tim!$DS$7:$DS$70,Ins!F50,Tim!$D$7:$D$70)+SUMIF(Tim!$DT$7:$DT$70,Ins!F50,Tim!$D$7:$D$70)+SUMIF(Tim!$DU$7:$DU$70,Ins!F50,Tim!$D$7:$D$70)+SUMIF(Tim!$DV$7:$DV$70,Ins!F50,Tim!$D$7:$D$70)+SUMIF(Tim!$DW$7:$DW$70,Ins!F50,Tim!$D$7:$D$70)+SUMIF(Tim!$DX$7:$DX$70,Ins!F50,Tim!$D$7:$D$70)+SUMIF(Tim!$DY$7:$DY$70,Ins!F50,Tim!$D$7:$D$70)+SUMIF(Tim!$DZ$7:$DZ$70,Ins!F50,Tim!$D$7:$D$70)+SUMIF(Tim!$EA$7:$EA$70,Ins!F50,Tim!$D$7:$D$70)</f>
        <v>3.75</v>
      </c>
      <c r="AN50" s="80">
        <f>SUMIF(Tim!EB$7:EB$70,Ins!F50,Tim!$C$7:$C$70)</f>
        <v>0</v>
      </c>
      <c r="AO50" s="80">
        <f>SUMIF(Tim!EC$7:EC$70,Ins!F50,Tim!$C$7:$C$70)</f>
        <v>0</v>
      </c>
      <c r="AP50" s="80">
        <f>SUMIF(Tim!ED$7:ED$70,Ins!F50,Tim!$C$7:$C$70)+SUMIF(Tim!EE$7:EE$70,Ins!F50,Tim!$C$7:$C$70)+SUMIF(Tim!EF$7:EF$70,Ins!F50,Tim!$C$7:$C$70)</f>
        <v>0</v>
      </c>
      <c r="AQ50" s="81">
        <f>SUMIF(Tim!$EG$7:$EG$70,Ins!F50,Tim!$C$7:$C$70)+SUMIF(Tim!$EH$7:$EH$70,Ins!F50,Tim!$C$7:$C$70)+SUMIF(Tim!$EI$7:$EI$70,Ins!F50,Tim!$C$7:$C$70)+SUMIF(Tim!$EJ$7:$EJ$70,Ins!F50,Tim!$C$7:$C$70)+SUMIF(Tim!$EK$7:$EK$70,Ins!F50,Tim!$C$7:$C$70)</f>
        <v>0</v>
      </c>
      <c r="AR50" s="79">
        <f>SUMIF(Tim!$EL$5:$EL$70,Ins!F50,Tim!$B$5:$B$70)</f>
        <v>0</v>
      </c>
      <c r="AS50" s="80">
        <f>SUMIF(Tim!$EM$5:$EM$70,Ins!F50,Tim!$B$5:$B$70)+SUMIF(Tim!$EN$5:$EN$70,Ins!F50,Tim!$B$5:$B$70)+SUMIF(Tim!$EO$5:$EO$70,Ins!F50,Tim!$B$5:$B$70)+SUMIF(Tim!$EP$5:$EP$70,Ins!F50,Tim!$B$5:$B$70)+SUMIF(Tim!$EQ$5:$EQ$70,Ins!F50,Tim!$B$5:$B$70)+SUMIF(Tim!$ER$5:$ER$70,Ins!F50,Tim!$B$5:$B$70)</f>
        <v>0</v>
      </c>
      <c r="AT50" s="80">
        <f>SUMIF(Tim!$ES$5:$ES$70,Ins!F50,Tim!$B$5:$B$70)+SUMIF(Tim!$ET$5:$ET$70,Ins!F50,Tim!$B$5:$B$70)+SUMIF(Tim!$EU$5:$EU$70,Ins!F50,Tim!$B$5:$B$70)</f>
        <v>0</v>
      </c>
      <c r="AU50" s="80">
        <f>SUMIF(Tim!$EV$5:$EV$70,Ins!F50,Tim!$B$5:$B$70)+SUMIF(Tim!$EW$5:$EW$70,Ins!F50,Tim!$B$5:$B$70)+SUMIF(Tim!$EX$5:$EX$70,Ins!F50,Tim!$B$5:$B$70)+SUMIF(Tim!$EY$5:$EY$70,Ins!F50,Tim!$B$5:$B$70)+SUMIF(Tim!$EZ$5:$EZ$70,Ins!F50,Tim!$B$5:$B$70)</f>
        <v>0</v>
      </c>
      <c r="AV50" s="80">
        <f>SUMIF(Tim!$FA$5:$FA$70,Ins!F50,Tim!$B$5:$B$70)+SUMIF(Tim!$FB$5:$FB$70,Ins!F50,Tim!$B$5:$B$70)+SUMIF(Tim!$FC$5:$FC$70,Ins!F50,Tim!$B$5:$B$70)</f>
        <v>0</v>
      </c>
      <c r="AW50" s="80">
        <f>SUMIF(Tim!FD$5:FD$70,Ins!F50,Tim!$B$5:$B$70)+SUMIF(Tim!FE$5:FE$70,Ins!F50,Tim!$B$5:$B$70)+SUMIF(Tim!FF$5:FF$70,Ins!F50,Tim!$B$5:$B$70)</f>
        <v>0</v>
      </c>
      <c r="AX50" s="80">
        <f>SUMIF(Tim!FG$5:FG$70,Ins!F50,Tim!$B$5:$B$70)</f>
        <v>0</v>
      </c>
      <c r="AY50" s="80">
        <f>SUMIF(Tim!$FH$5:$FH$70,Ins!F50,Tim!$D$5:$D$70)+SUMIF(Tim!$FI$5:$FI$70,Ins!F50,Tim!$D$5:$D$70)+SUMIF(Tim!$FJ$5:$FJ$70,Ins!F50,Tim!$D$5:$D$70)+SUMIF(Tim!$FK$5:$FK$70,Ins!F50,Tim!$D$5:$D$70)+SUMIF(Tim!$FL$5:$FL$70,Ins!F50,Tim!$D$5:$D$70)+SUMIF(Tim!$FM$5:$FM$70,Ins!F50,Tim!$D$5:$D$70)+SUMIF(Tim!$FN$5:$FN$70,Ins!F50,Tim!$D$5:$D$70)+SUMIF(Tim!$FO$5:$FO$70,Ins!F50,Tim!$D$5:$D$70)+SUMIF(Tim!$FP$5:$FP$70,Ins!F50,Tim!$D$5:$D$70)+SUMIF(Tim!$FQ$5:$FQ$70,Ins!F50,Tim!$D$5:$D$70)+SUMIF(Tim!$FR$5:$FR$70,Ins!F50,Tim!$D$5:$D$70)+SUMIF(Tim!$FS$5:$FS$70,Ins!F50,Tim!$D$5:$D$70)</f>
        <v>1.5</v>
      </c>
      <c r="AZ50" s="80">
        <f>SUMIF(Tim!FT$5:FT$70,Ins!F50,Tim!$C$5:$C$70)</f>
        <v>0</v>
      </c>
      <c r="BA50" s="80">
        <f>SUMIF(Tim!FU$5:FU$70,Ins!F50,Tim!$C$5:$C$70)</f>
        <v>0</v>
      </c>
      <c r="BB50" s="80">
        <f>SUMIF(Tim!FV$5:FV$70,Ins!F50,Tim!$C$5:$C$70)+SUMIF(Tim!FW$5:FW$70,Ins!F50,Tim!$C$5:$C$70)+SUMIF(Tim!FX$5:FX$70,Ins!F50,Tim!$C$5:$C$70)</f>
        <v>0</v>
      </c>
      <c r="BC50" s="81">
        <f>SUMIF(Tim!$FY$5:$FY$70,Ins!F50,Tim!$C$5:$C$70)+SUMIF(Tim!$FZ$5:$FZ$70,Ins!F50,Tim!$C$5:$C$70)+SUMIF(Tim!$GA$5:$GA$70,Ins!F50,Tim!$C$5:$C$70)+SUMIF(Tim!$GB$5:$GB$70,Ins!F50,Tim!$C$5:$C$70)+SUMIF(Tim!$GC$5:$GC$70,Ins!F50,Tim!$C$5:$C$70)</f>
        <v>0</v>
      </c>
      <c r="BD50" s="79">
        <f>SUMIF(Tim!$GD$5:$GD$70,Ins!F50,Tim!$B$5:$B$70)</f>
        <v>0</v>
      </c>
      <c r="BE50" s="80">
        <f>SUMIF(Tim!$GE$5:$GE$70,Ins!F50,Tim!$B$5:$B$70)+SUMIF(Tim!$GF$5:$GF$70,Ins!F50,Tim!$B$5:$B$70)+SUMIF(Tim!$GG$5:$GG$70,Ins!F50,Tim!$B$5:$B$70)+SUMIF(Tim!$GH$5:$GH$70,Ins!F50,Tim!$B$5:$B$70)+SUMIF(Tim!$GI$5:$GI$70,Ins!F50,Tim!$B$5:$B$70)+SUMIF(Tim!$GJ$5:$GJ$70,Ins!F50,Tim!$B$5:$B$70)</f>
        <v>0</v>
      </c>
      <c r="BF50" s="80">
        <f>SUMIF(Tim!$GK$5:$GK$70,Ins!F50,Tim!$B$5:$B$70)+SUMIF(Tim!$GL$5:$GL$70,Ins!F50,Tim!$B$5:$B$70)+SUMIF(Tim!$GM$5:$GM$70,Ins!F50,Tim!$B$5:$B$70)</f>
        <v>0</v>
      </c>
      <c r="BG50" s="80">
        <f>SUMIF(Tim!$GN$5:$GN$70,Ins!F50,Tim!$B$5:$B$70)+SUMIF(Tim!$GO$5:$GO$70,Ins!F50,Tim!$B$5:$B$70)+SUMIF(Tim!$GP$5:$GP$70,Ins!F50,Tim!$B$5:$B$70)+SUMIF(Tim!$GQ$5:$GQ$70,Ins!F50,Tim!$B$5:$B$70)+SUMIF(Tim!$GR$5:$GR$70,Ins!F50,Tim!$B$5:$B$70)</f>
        <v>0</v>
      </c>
      <c r="BH50" s="80">
        <f>SUMIF(Tim!$GS$5:$GS$70,Ins!F50,Tim!$B$5:$B$70)+SUMIF(Tim!$GT$5:$GT$70,Ins!F50,Tim!$B$5:$B$70)+SUMIF(Tim!$GU$5:$GU$70,Ins!F50,Tim!$B$5:$B$70)</f>
        <v>0</v>
      </c>
      <c r="BI50" s="80">
        <f>SUMIF(Tim!GV$5:GV$70,Ins!F50,Tim!$B$5:$B$70)+SUMIF(Tim!GW$5:GW$70,Ins!F50,Tim!$B$5:$B$70)+SUMIF(Tim!GX$5:GX$70,Ins!F50,Tim!$B$5:$B$70)</f>
        <v>0</v>
      </c>
      <c r="BJ50" s="80">
        <f>SUMIF(Tim!GY$5:GY$70,Ins!F50,Tim!$B$5:$B$70)</f>
        <v>0</v>
      </c>
      <c r="BK50" s="80">
        <f>SUMIF(Tim!$GZ$5:$GZ$70,Ins!F50,Tim!$D$5:$D$70)+SUMIF(Tim!$HA$5:$HA$70,Ins!F50,Tim!$D$5:$D$70)+SUMIF(Tim!$HB$5:$HB$70,Ins!F50,Tim!$D$5:$D$70)++SUMIF(Tim!$HC$5:$HC$70,Ins!F50,Tim!$D$5:$D$70)+SUMIF(Tim!$HD$5:$HD$70,Ins!F50,Tim!$D$5:$D$70)+SUMIF(Tim!$HE$5:$HE$70,Ins!F50,Tim!$D$5:$D$70)+SUMIF(Tim!$HF$5:$HF$70,Ins!F50,Tim!$D$5:$D$70)+SUMIF(Tim!$HG$5:$HG$70,Ins!F50,Tim!$D$5:$D$70)+SUMIF(Tim!$HH$5:$HH$70,Ins!F50,Tim!$D$5:$D$70)+SUMIF(Tim!$HI$5:$HI$70,Ins!F50,Tim!$D$5:$D$70)+SUMIF(Tim!$HJ$5:$HJ$70,Ins!F50,Tim!$D$5:$D$70)+SUMIF(Tim!$HK$5:$HK$70,Ins!F50,Tim!$D$5:$D$70)</f>
        <v>0</v>
      </c>
      <c r="BL50" s="80">
        <f>SUMIF(Tim!HL$5:HL$70,Ins!F50,Tim!$C$5:$C$70)</f>
        <v>0</v>
      </c>
      <c r="BM50" s="80">
        <f>SUMIF(Tim!HM$5:HM$70,Ins!F50,Tim!$C$5:$C$70)</f>
        <v>0</v>
      </c>
      <c r="BN50" s="80">
        <f>SUMIF(Tim!HN$5:HN$70,Ins!F50,Tim!$C$5:$C$70)+SUMIF(Tim!HO$5:HO$70,Ins!F50,Tim!$C$5:$C$70)+SUMIF(Tim!HP$5:HP$70,Ins!F50,Tim!$C$5:$C$70)</f>
        <v>0</v>
      </c>
      <c r="BO50" s="81">
        <f>SUMIF(Tim!$HQ$5:$HQ$70,Ins!F50,Tim!$C$5:$C$70)+SUMIF(Tim!$HR$5:$HR$70,Ins!F50,Tim!$C$5:$C$70)+SUMIF(Tim!$HS$5:$HS$70,Ins!F50,Tim!$C$5:$C$70)+SUMIF(Tim!$HT$5:$HT$70,Ins!F50,Tim!$C$5:$C$70)+SUMIF(Tim!$HU$5:$HU$70,Ins!F50,Tim!$C$5:$C$70)</f>
        <v>0</v>
      </c>
      <c r="BP50" s="79">
        <f>SUMIF(Tim!$HV$7:$HV$70,Ins!F50,Tim!$B$7:$B$70)</f>
        <v>0</v>
      </c>
      <c r="BQ50" s="80">
        <f>SUMIF(Tim!$HW$7:$HW$70,Ins!F50,Tim!$B$7:$B$70)+SUMIF(Tim!$HX$7:$HX$70,Ins!F50,Tim!$B$7:$B$70)+SUMIF(Tim!$HY$7:$HY$70,Ins!F50,Tim!$B$7:$B$70)+SUMIF(Tim!$HZ$7:$HZ$70,Ins!F50,Tim!$B$7:$B$70)+SUMIF(Tim!$IA$7:$IA$70,Ins!F50,Tim!$B$7:$B$70)+SUMIF(Tim!$IB$7:$IB$70,Ins!F50,Tim!$B$7:$B$70)</f>
        <v>0</v>
      </c>
      <c r="BR50" s="80">
        <f>SUMIF(Tim!$IC$7:$IC$70,Ins!F50,Tim!$B$7:$B$70)+SUMIF(Tim!$ID$7:$ID$70,Ins!F50,Tim!$B$7:$B$70)+SUMIF(Tim!$IE$7:$IE$70,Ins!F50,Tim!$B$7:$B$70)</f>
        <v>0</v>
      </c>
      <c r="BS50" s="80">
        <f>SUMIF(Tim!$IF$7:$IF$70,Ins!F50,Tim!$B$7:$B$70)+SUMIF(Tim!$IG$7:$IG$70,Ins!F50,Tim!$B$7:$B$70)+SUMIF(Tim!$IH$7:$IH$70,Ins!F50,Tim!$B$7:$B$70)+SUMIF(Tim!$II$7:$II$70,Ins!F50,Tim!$B$7:$B$70)+SUMIF(Tim!$IJ$7:$IJ$70,Ins!F50,Tim!$B$7:$B$70)</f>
        <v>0</v>
      </c>
      <c r="BT50" s="80">
        <f>SUMIF(Tim!$IK$7:$IK$70,Ins!F50,Tim!$B$7:$B$70)+SUMIF(Tim!$IL$7:$IL$70,Ins!F50,Tim!$B$7:$B$70)+SUMIF(Tim!$IM$7:$IM$70,Ins!F50,Tim!$B$7:$B$70)</f>
        <v>0</v>
      </c>
      <c r="BU50" s="80">
        <f>SUMIF(Tim!$IN$7:$IN$70,Ins!F50,Tim!$B$7:$B$70)+SUMIF(Tim!$IO$7:$IO$70,Ins!F50,Tim!$B$7:$B$70)+SUMIF(Tim!$IP$7:$IP$70,Ins!F50,Tim!$B$7:$B$70)</f>
        <v>0</v>
      </c>
      <c r="BV50" s="80">
        <f>SUMIF(Tim!$IQ$7:$IQ$70,Ins!F50,Tim!$B$7:$B$70)</f>
        <v>0</v>
      </c>
      <c r="BW50" s="80">
        <f>SUMIF(Tim!$IR$7:$IR$70,Ins!F50,Tim!$D$7:$D$70)+SUMIF(Tim!$IS$7:$IS$70,Ins!F50,Tim!$D$7:$D$70)+SUMIF(Tim!$IT$7:$IT$70,Ins!F50,Tim!$D$7:$D$70)+SUMIF(Tim!$IU$7:$IU$70,Ins!F50,Tim!$D$7:$D$70)+SUMIF(Tim!$IV$7:$IV$70,Ins!F50,Tim!$D$7:$D$70)+SUMIF(Tim!$IW$7:$IW$70,Ins!F50,Tim!$D$7:$D$70)+SUMIF(Tim!$IX$7:$IX$70,Ins!F50,Tim!$D$7:$D$70)+SUMIF(Tim!$IY$7:$IY$70,Ins!F50,Tim!$D$7:$D$70)+SUMIF(Tim!$IZ$7:$IZ$70,Ins!F50,Tim!$D$7:$D$70)+SUMIF(Tim!$JA$7:$JA$70,Ins!F50,Tim!$D$7:$D$70)+SUMIF(Tim!$JB$7:$JB$70,Ins!F50,Tim!$D$7:$D$70)+SUMIF(Tim!$JC$7:$JC$70,Ins!F50,Tim!$D$7:$D$70)</f>
        <v>3</v>
      </c>
      <c r="BX50" s="80">
        <f>SUMIF(Tim!JD$7:JD$70,Ins!F50,Tim!$C$7:$C$70)</f>
        <v>0</v>
      </c>
      <c r="BY50" s="80">
        <f>SUMIF(Tim!JE$7:JE$70,Ins!F50,Tim!$C$7:$C$70)</f>
        <v>0</v>
      </c>
      <c r="BZ50" s="80">
        <f>SUMIF(Tim!JF$7:JF$70,Ins!F50,Tim!$C$7:$C$70)+SUMIF(Tim!JG$7:JG$70,Ins!F50,Tim!$C$7:$C$70)+SUMIF(Tim!JH$7:JH$70,Ins!F50,Tim!$C$7:$C$70)</f>
        <v>0</v>
      </c>
      <c r="CA50" s="81">
        <f>SUMIF(Tim!$JI$7:$JI$70,Ins!F50,Tim!$C$7:$C$70)++SUMIF(Tim!$JJ$7:$JJ$70,Ins!F50,Tim!$C$7:$C$70)+SUMIF(Tim!$JK$7:$JK$70,Ins!F50,Tim!$C$7:$C$70)+SUMIF(Tim!$JL$7:$JL$70,Ins!F50,Tim!$C$7:$C$70)+SUMIF(Tim!$JM$7:$JM$70,Ins!F50,Tim!$C$7:$C$70)</f>
        <v>0</v>
      </c>
      <c r="CB50" s="79">
        <f>SUMIF(Tim!$JN$7:$JN$70,Ins!F50,Tim!$B$7:$B$70)</f>
        <v>0</v>
      </c>
      <c r="CC50" s="80">
        <f>SUMIF(Tim!$JO$7:$JO$70,Ins!F50,Tim!$B$7:$B$70)+SUMIF(Tim!$JP$7:$JP$70,Ins!F50,Tim!$B$7:$B$70)+SUMIF(Tim!$JQ$7:$JQ$70,Ins!F50,Tim!$B$7:$B$70)+SUMIF(Tim!$JR$7:$JR$70,Ins!F50,Tim!$B$7:$B$70)+SUMIF(Tim!$JS$7:$JS$70,Ins!F50,Tim!$B$7:$B$70)+SUMIF(Tim!$JT$7:$JT$70,Ins!F50,Tim!$B$7:$B$70)</f>
        <v>0</v>
      </c>
      <c r="CD50" s="80">
        <f>SUMIF(Tim!$JW$7:$JW$70,Ins!F50,Tim!$B$7:$B$70)+SUMIF(Tim!$JU$7:$JU$70,Ins!F50,Tim!$B$7:$B$70)+SUMIF(Tim!$JV$7:$JV$70,Ins!F50,Tim!$B$7:$B$70)</f>
        <v>0</v>
      </c>
      <c r="CE50" s="80">
        <f>SUMIF(Tim!$JX$7:$JX$70,Ins!F50,Tim!$B$7:$B$70)+SUMIF(Tim!$JY$7:$JY$70,Ins!F50,Tim!$B$7:$B$70)+SUMIF(Tim!$JZ$7:$JZ$70,Ins!F50,Tim!$B$7:$B$70)+SUMIF(Tim!$KA$7:$KA$70,Ins!F50,Tim!$B$7:$B$70)+SUMIF(Tim!$KB$7:$KB$70,Ins!F50,Tim!$B$7:$B$70)</f>
        <v>0</v>
      </c>
      <c r="CF50" s="80">
        <f>SUMIF(Tim!$KE$7:$KE$70,Ins!F50,Tim!$B$7:$B$70)+SUMIF(Tim!$KC$7:$KC$70,Ins!F50,Tim!$B$7:$B$70)+SUMIF(Tim!$KD$7:$KD$70,Ins!F50,Tim!$B$7:$B$70)</f>
        <v>0</v>
      </c>
      <c r="CG50" s="80">
        <f>SUMIF(Tim!$KF$7:$KF$70,Ins!F50,Tim!$B$7:$B$70)+SUMIF(Tim!$KG$7:$KG$70,Ins!F50,Tim!$B$7:$B$70)+SUMIF(Tim!$KH$7:$KH$70,Ins!F50,Tim!$B$7:$B$70)</f>
        <v>0</v>
      </c>
      <c r="CH50" s="80">
        <f>SUMIF(Tim!$KI$7:$KI$70,Ins!F50,Tim!$B$7:$B$70)</f>
        <v>0</v>
      </c>
      <c r="CI50" s="80">
        <f>SUMIF(Tim!$KJ$7:$KJ$70,Ins!F50,Tim!$D$7:$D$70)+SUMIF(Tim!$KK$7:$KK$70,Ins!F50,Tim!$D$7:$D$70)+SUMIF(Tim!$KL$7:$KL$70,Ins!F50,Tim!$D$7:$D$70)+SUMIF(Tim!$KM$7:$KM$70,Ins!F50,Tim!$D$7:$D$70)+SUMIF(Tim!$KN$7:$KN$70,Ins!F50,Tim!$D$7:$D$70)+SUMIF(Tim!$KO$7:$KO$70,Ins!F50,Tim!$D$7:$D$70)+SUMIF(Tim!$KP$7:$KP$70,Ins!F50,Tim!$D$7:$D$70)+SUMIF(Tim!$KQ$7:$KQ$70,Ins!F50,Tim!$D$7:$D$70)+SUMIF(Tim!$KR$7:$KR$70,Ins!F50,Tim!$D$7:$D$70)+SUMIF(Tim!$KS$7:$KS$70,Ins!F50,Tim!$D$7:$D$70)+SUMIF(Tim!$KT$7:$KT$70,Ins!F50,Tim!$D$7:$D$70)+SUMIF(Tim!$KU$7:$KU$70,Ins!F50,Tim!$D$7:$D$70)</f>
        <v>0</v>
      </c>
      <c r="CJ50" s="80">
        <f>SUMIF(Tim!KV$7:KV$70,Ins!F50,Tim!$C$7:$C$70)</f>
        <v>0</v>
      </c>
      <c r="CK50" s="80">
        <f>SUMIF(Tim!KW$7:KW$70,Ins!F50,Tim!$C$7:$C$70)</f>
        <v>0</v>
      </c>
      <c r="CL50" s="80">
        <f>SUMIF(Tim!KX$7:KX$70,Ins!F50,Tim!$C$7:$C$70)+SUMIF(Tim!KY$7:KY$70,Ins!F50,Tim!$C$7:$C$70)+SUMIF(Tim!KZ$7:KZ$70,Ins!F50,Tim!$C$7:$C$70)</f>
        <v>0</v>
      </c>
      <c r="CM50" s="81">
        <f>SUMIF(Tim!$LA$7:$LA$70,Ins!F50,Tim!$C$7:$C$70)+SUMIF(Tim!$LB$7:$LB$70,Ins!F50,Tim!$C$7:$C$70)+SUMIF(Tim!$LC$7:$LC$70,Ins!F50,Tim!$C$7:$C$70)+SUMIF(Tim!$LD$7:$LD$70,Ins!F50,Tim!$C$7:$C$70)+SUMIF(Tim!$LE$7:$LE$70,Ins!F50,Tim!$C$7:$C$70)</f>
        <v>0</v>
      </c>
      <c r="CN50" s="22"/>
      <c r="CO50" s="180">
        <f t="shared" ref="CO50" si="395">H50+T50+AF50+AR50+BD50+BP50+CB50</f>
        <v>0</v>
      </c>
      <c r="CP50" s="179">
        <f t="shared" ref="CP50" si="396">I50+U50+AG50+AS50+BE50+BQ50+CC50</f>
        <v>0</v>
      </c>
      <c r="CQ50" s="179">
        <f t="shared" ref="CQ50" si="397">J50+V50+AH50+AT50+BF50+BR50+CD50</f>
        <v>0</v>
      </c>
      <c r="CR50" s="179">
        <f t="shared" ref="CR50" si="398">K50+W50+AI50+AU50+BG50+BS50+CE50</f>
        <v>0</v>
      </c>
      <c r="CS50" s="179">
        <f t="shared" ref="CS50" si="399">L50+X50+AJ50+AV50+BH50+BT50+CF50</f>
        <v>0</v>
      </c>
      <c r="CT50" s="179">
        <f t="shared" ref="CT50" si="400">M50+Y50+AK50+AW50+BI50+BU50+CG50</f>
        <v>0</v>
      </c>
      <c r="CU50" s="179">
        <f t="shared" ref="CU50" si="401">N50+Z50+AL50+AX50+BJ50+BV50+CH50</f>
        <v>0</v>
      </c>
      <c r="CV50" s="179">
        <f t="shared" ref="CV50" si="402">O50+AA50+AM50+AY50+BK50+BW50+CI50</f>
        <v>8.25</v>
      </c>
      <c r="CW50" s="179">
        <f t="shared" ref="CW50" si="403">P50+AB50+AN50+AZ50+BL50+BX50+CJ50</f>
        <v>0</v>
      </c>
      <c r="CX50" s="179">
        <f t="shared" ref="CX50" si="404">Q50+AC50+AO50+BA50+BM50+BY50+CK50</f>
        <v>0</v>
      </c>
      <c r="CY50" s="179">
        <f t="shared" ref="CY50" si="405">R50+AD50+AP50+BB50+BN50+BZ50+CL50</f>
        <v>0</v>
      </c>
      <c r="CZ50" s="179">
        <f t="shared" ref="CZ50" si="406">S50+AE50+AQ50+BC50+BO50+CA50+CM50</f>
        <v>0</v>
      </c>
      <c r="DA50" s="78">
        <f t="shared" ref="DA50" si="407">SUM(CO50:CZ50)</f>
        <v>8.25</v>
      </c>
      <c r="DB50" s="36"/>
      <c r="DC50" s="34">
        <f t="shared" ref="DC50" si="408">SUM(H50:S50)</f>
        <v>0</v>
      </c>
      <c r="DD50" s="34">
        <f t="shared" ref="DD50" si="409">SUM(T50:AE50)</f>
        <v>0</v>
      </c>
      <c r="DE50" s="34">
        <f t="shared" ref="DE50" si="410">SUM(AF50:AQ50)</f>
        <v>3.75</v>
      </c>
      <c r="DF50" s="34">
        <f t="shared" ref="DF50" si="411">SUM(AR50:BC50)</f>
        <v>1.5</v>
      </c>
      <c r="DG50" s="34">
        <f t="shared" ref="DG50" si="412">SUM(BD50:BO50)</f>
        <v>0</v>
      </c>
      <c r="DH50" s="34">
        <f t="shared" ref="DH50" si="413">SUM(BP50:CA50)</f>
        <v>3</v>
      </c>
      <c r="DI50" s="34">
        <f t="shared" ref="DI50" si="414">SUM(CB50:CM50)</f>
        <v>0</v>
      </c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7"/>
    </row>
    <row r="51" spans="1:125" s="33" customFormat="1" ht="12" customHeight="1">
      <c r="A51" s="10">
        <v>49</v>
      </c>
      <c r="B51" s="24" t="s">
        <v>422</v>
      </c>
      <c r="C51" s="234"/>
      <c r="D51" s="28"/>
      <c r="E51" s="28" t="s">
        <v>373</v>
      </c>
      <c r="F51" s="185" t="s">
        <v>423</v>
      </c>
      <c r="G51" s="205" t="s">
        <v>191</v>
      </c>
      <c r="H51" s="79">
        <f>SUMIF(Tim!$F$7:$F$70,Ins!F51,Tim!$B$7:$B$70)</f>
        <v>0</v>
      </c>
      <c r="I51" s="80">
        <f>SUMIF(Tim!$G$7:$G$70,Ins!F51,Tim!$B$7:$B$70)+SUMIF(Tim!$H$7:$H$70,Ins!F51,Tim!$B$7:$B$70)+SUMIF(Tim!$I$7:$I$70,Ins!F51,Tim!$B$7:$B$70)+SUMIF(Tim!$J$7:$J$70,Ins!F51,Tim!$B$7:$B$70)+SUMIF(Tim!$K$7:$K$70,Ins!F51,Tim!$B$7:$B$70)+SUMIF(Tim!$L$7:$L$70,Ins!F51,Tim!$B$7:$B$70)</f>
        <v>0</v>
      </c>
      <c r="J51" s="80">
        <f>SUMIF(Tim!$M$7:$M$70,Ins!F51,Tim!$B$7:$B$70)+SUMIF(Tim!$O$7:$O$70,Ins!F51,Tim!$B$7:$B$70)+SUMIF(Tim!$N$7:$N$70,Ins!F51,Tim!$B$7:$B$70)</f>
        <v>0</v>
      </c>
      <c r="K51" s="80">
        <f>SUMIF(Tim!$P$7:$P$70,Ins!F51,Tim!$B$7:$B$70)+SUMIF(Tim!$Q$7:$Q$70,Ins!F51,Tim!$B$7:$B$70)+SUMIF(Tim!$R$7:$R$70,Ins!F51,Tim!$B$7:$B$70)+SUMIF(Tim!$S$7:$S$70,Ins!F51,Tim!$B$7:$B$70)+SUMIF(Tim!$T$7:$T$70,Ins!F51,Tim!$B$7:$B$70)</f>
        <v>0</v>
      </c>
      <c r="L51" s="80">
        <f>SUMIF(Tim!$U$7:$U$70,Ins!F51,Tim!$B$7:$B$70)+SUMIF(Tim!$W$7:$W$70,Ins!F51,Tim!$B$7:$B$70)+SUMIF(Tim!$X$7:$X$70,Ins!F51,Tim!$B$7:$B$70)</f>
        <v>0</v>
      </c>
      <c r="M51" s="80">
        <f>SUMIF(Tim!$Y$7:$Y$70,Ins!F51,Tim!$B$7:$B$70)+SUMIF(Tim!$Z$7:$Z$70,Ins!F51,Tim!$B$7:$B$70)+SUMIF(Tim!$AA$7:$AA$70,Ins!F51,Tim!$B$7:$B$70)</f>
        <v>0</v>
      </c>
      <c r="N51" s="80">
        <f>SUMIF(Tim!$AB$7:$AB$70,Ins!F51,Tim!$B$7:$B$70)</f>
        <v>0</v>
      </c>
      <c r="O51" s="80">
        <f>SUMIF(Tim!$AC$7:$AC$70,Ins!F51,Tim!$D$7:$D$70)+SUMIF(Tim!$AD$7:$AD$70,Ins!F51,Tim!$D$7:$D$70)+SUMIF(Tim!$AE$7:$AE$70,Ins!F51,Tim!$D$7:$D$70)+SUMIF(Tim!$AF$7:$AF$70,Ins!F51,Tim!$D$7:$D$70)+SUMIF(Tim!$AG$7:$AG$70,Ins!F51,Tim!$D$7:$D$70)+SUMIF(Tim!$AH$7:$AH$70,Ins!F51,Tim!$D$7:$D$70)+SUMIF(Tim!$AI$7:$AI$70,Ins!F51,Tim!$D$7:$D$70)+SUMIF(Tim!$AJ$7:$AJ$70,Ins!F51,Tim!$D$7:$D$70)+SUMIF(Tim!$AK$7:$AK$70,Ins!F51,Tim!$D$7:$D$70)+SUMIF(Tim!$AL$7:$AL$70,Ins!F51,Tim!$D$7:$D$70)+SUMIF(Tim!$AM$7:$AM$70,Ins!F51,Tim!$D$7:$D$70)+SUMIF(Tim!$AN$7:$AN$70,Ins!F51,Tim!$D$7:$D$70)</f>
        <v>0</v>
      </c>
      <c r="P51" s="80">
        <f>SUMIF(Tim!AO$7:AO$70,Ins!F51,Tim!$C$7:$C$70)</f>
        <v>0</v>
      </c>
      <c r="Q51" s="80">
        <f>SUMIF(Tim!AP$7:AP$70,Ins!F51,Tim!$C$7:$C$70)</f>
        <v>0</v>
      </c>
      <c r="R51" s="80">
        <f>SUMIF(Tim!AQ$7:AQ$70,Ins!F51,Tim!$C$7:$C$70)+SUMIF(Tim!AR$7:AR$70,Ins!F51,Tim!$C$7:$C$70)+SUMIF(Tim!AS$7:AS$70,Ins!F51,Tim!$C$7:$C$70)</f>
        <v>0</v>
      </c>
      <c r="S51" s="236">
        <f>SUMIF(Tim!$AT$7:$AT$70,Ins!F51,Tim!$C$7:$C$70)+SUMIF(Tim!$AU$7:$AU$70,Ins!F51,Tim!$C$7:$C109)+SUMIF(Tim!$AV$7:$AV$70,Ins!F51,Tim!$C$7:$C$70)+SUMIF(Tim!$AW$7:$AW$70,Ins!F51,Tim!$C$7:$C$70)+SUMIF(Tim!$AX$7:$AX$70,Ins!F51,Tim!$C$7:$C$70)</f>
        <v>0</v>
      </c>
      <c r="T51" s="79">
        <f>SUMIF(Tim!$AY$7:$AY$70,Ins!F51,Tim!$B$7:$B$70)</f>
        <v>0</v>
      </c>
      <c r="U51" s="80">
        <f>SUMIF(Tim!$AZ$7:$AZ$70,Ins!F51,Tim!$B$7:$B$70)+SUMIF(Tim!$BA$7:$BA$70,Ins!F51,Tim!$B$7:$B$70)+SUMIF(Tim!$BB$7:$BB$70,Ins!F51,Tim!$B$7:$B$70)+SUMIF(Tim!$BC$7:$BC$70,Ins!F51,Tim!$B$7:$B$70)+SUMIF(Tim!$BD$7:$BD$70,Ins!F51,Tim!$B$7:$B$70)+SUMIF(Tim!$BE$7:$BE$70,Ins!F51,Tim!$B$7:$B$70)</f>
        <v>0</v>
      </c>
      <c r="V51" s="80">
        <f>SUMIF(Tim!$BF$7:$BF$70,Ins!F51,Tim!$B$7:$B$70)+SUMIF(Tim!$BG$7:$BG$70,Ins!F51,Tim!$B$7:$B$70)+SUMIF(Tim!$BH$7:$BH$70,Ins!F51,Tim!$B$7:$B$70)</f>
        <v>0</v>
      </c>
      <c r="W51" s="80">
        <f>SUMIF(Tim!$BI$7:$BI$70,Ins!F51,Tim!$B$7:$B$70)+SUMIF(Tim!$BJ$7:$BJ$70,Ins!F51,Tim!$B$7:$B$70)+SUMIF(Tim!$BK$7:$BK$70,Ins!F51,Tim!$B$7:$B$70)+SUMIF(Tim!$BL$7:$BL$70,Ins!F51,Tim!$B$7:$B$70)+SUMIF(Tim!$BM$7:$BM$70,Ins!F51,Tim!$B$7:$B$70)</f>
        <v>0</v>
      </c>
      <c r="X51" s="80">
        <f>SUMIF(Tim!$BN$7:$BN$70,Ins!F51,Tim!$B$7:$B$70)+SUMIF(Tim!$BO$7:$BO$70,Ins!F51,Tim!$B$7:$B$70)+SUMIF(Tim!$BP$7:$BP$70,Ins!F51,Tim!$B$7:$B$70)</f>
        <v>0</v>
      </c>
      <c r="Y51" s="80">
        <f>SUMIF(Tim!$BQ$7:$BQ$70,Ins!F51,Tim!$B$7:$B$70)+SUMIF(Tim!$BR$7:$BR$70,Ins!F51,Tim!$B$7:$B$70)+SUMIF(Tim!$BS$7:$BS$70,Ins!F51,Tim!$B$7:$B$70)</f>
        <v>0</v>
      </c>
      <c r="Z51" s="80">
        <f>SUMIF(Tim!BT$7:BT$70,Ins!F51,Tim!$B$7:$B$70)</f>
        <v>0</v>
      </c>
      <c r="AA51" s="80">
        <f>SUMIF(Tim!$BU$7:$BU$70,Ins!F51,Tim!$D$7:$D$70)+SUMIF(Tim!$BV$7:$BV$70,Ins!F51,Tim!$D$7:$D$70)+SUMIF(Tim!$BW$7:$BW$70,Ins!F51,Tim!$D$7:$D$70)+SUMIF(Tim!$BX$7:$BX$70,Ins!F51,Tim!$D$7:$D$70)+SUMIF(Tim!$BY$7:$BY$70,Ins!F51,Tim!$D$7:$D$70)+SUMIF(Tim!$BZ$7:$BZ$70,Ins!F51,Tim!$D$7:$D$70)+SUMIF(Tim!$CA$7:$CA$70,Ins!F51,Tim!$D$7:$D$70)+SUMIF(Tim!$CB$7:$CB$70,Ins!F51,Tim!$D$7:$D$70)+SUMIF(Tim!$CC$7:$CC$70,Ins!F51,Tim!$D$7:$D$70)+SUMIF(Tim!$CD$7:$CD$70,Ins!F51,Tim!$D$7:$D$70)+SUMIF(Tim!$CE$7:$CE$70,Ins!F51,Tim!$D$7:$D$70)+SUMIF(Tim!$CF$7:$CF$70,Ins!F51,Tim!$D$7:$D$70)</f>
        <v>1.5</v>
      </c>
      <c r="AB51" s="80">
        <f>SUMIF(Tim!CG$7:CG$70,Ins!F51,Tim!$C$7:$C$70)</f>
        <v>0</v>
      </c>
      <c r="AC51" s="80">
        <f>SUMIF(Tim!CH$7:CH$70,Ins!F51,Tim!$C$7:$C$70)</f>
        <v>0</v>
      </c>
      <c r="AD51" s="80">
        <f>SUMIF(Tim!CI$7:CI$70,Ins!F51,Tim!$C$7:$C$70)+SUMIF(Tim!CJ$7:CJ$70,Ins!F51,Tim!$C$7:$C$70)+SUMIF(Tim!CK$7:CK$70,Ins!F51,Tim!$C$7:$C$70)</f>
        <v>0</v>
      </c>
      <c r="AE51" s="81">
        <f>SUMIF(Tim!$CL$7:$CL$70,Ins!F51,Tim!$C$7:$C$70)+SUMIF(Tim!$CM$7:$CM$70,Ins!F51,Tim!$C$7:$C$70)+SUMIF(Tim!$CN$7:$CN$70,Ins!F51,Tim!$C$7:$C$70)+SUMIF(Tim!$CO$7:$CO$70,Ins!F51,Tim!$C$7:$C$70)+SUMIF(Tim!$CP$7:$CP$70,Ins!F51,Tim!$C$7:$C$70)</f>
        <v>0</v>
      </c>
      <c r="AF51" s="79">
        <f>SUMIF(Tim!$CQ$7:$CQ$70,Ins!F51,Tim!$B$7:$B$70)</f>
        <v>0</v>
      </c>
      <c r="AG51" s="80">
        <f>SUMIF(Tim!$CR$7:$CR$70,Ins!F51,Tim!$B$7:$B$70)+SUMIF(Tim!$CS$7:$CS$70,Ins!F51,Tim!$B$7:$B$70)+SUMIF(Tim!$CT$7:$CT$70,Ins!F51,Tim!$B$7:$B$70)+SUMIF(Tim!$CU$7:$CU$70,Ins!F51,Tim!$B$7:$B$70)+SUMIF(Tim!$CV$7:$CV$70,Ins!F51,Tim!$B$7:$B$70)+SUMIF(Tim!$CW$7:$CW$70,Ins!F51,Tim!$B$7:$B$70)</f>
        <v>0</v>
      </c>
      <c r="AH51" s="80">
        <f>SUMIF(Tim!$CX$7:$CX$70,Ins!F51,Tim!$B$7:$B$70)+SUMIF(Tim!$CY$7:$CY$70,Ins!F51,Tim!$B$7:$B$70)+SUMIF(Tim!$CZ$7:$CZ$70,Ins!F51,Tim!$B$7:$B$70)</f>
        <v>0</v>
      </c>
      <c r="AI51" s="80">
        <f>SUMIF(Tim!$DA$7:$DA$70,Ins!F51,Tim!$B$7:$B$70)+SUMIF(Tim!$DB$7:$DB$70,Ins!F51,Tim!$B$7:$B$70)+SUMIF(Tim!$DC$7:$DC$70,Ins!F51,Tim!$B$7:$B$70)+SUMIF(Tim!$DD$7:$DD$70,Ins!F51,Tim!$B$7:$B$70)+SUMIF(Tim!$DE$7:$DE$70,Ins!F51,Tim!$B$7:$B$70)</f>
        <v>0</v>
      </c>
      <c r="AJ51" s="80">
        <f>SUMIF(Tim!$DF$7:$DF$70,Ins!F51,Tim!$B$7:$B$70)+SUMIF(Tim!$DG$7:$DG$70,Ins!F51,Tim!$B$7:$B$70)+SUMIF(Tim!$DH$7:$DH$70,Ins!F51,Tim!$B$7:$B$70)</f>
        <v>0</v>
      </c>
      <c r="AK51" s="80">
        <f>SUMIF(Tim!DI$7:DI$70,Ins!F51,Tim!$B$7:$B$70)+SUMIF(Tim!DM$7:DM$70,Ins!F51,Tim!$B$7:$B$70)+SUMIF(Tim!DN$7:DN$70,Ins!F51,Tim!$B$7:$B$70)</f>
        <v>0</v>
      </c>
      <c r="AL51" s="80">
        <f>SUMIF(Tim!DO$7:DO$70,Ins!F51,Tim!$B$7:$B$70)</f>
        <v>0</v>
      </c>
      <c r="AM51" s="80">
        <f>SUMIF(Tim!$DP$7:$DP$70,Ins!F51,Tim!$D$7:$D$70)+SUMIF(Tim!$DQ$7:$DQ$70,Ins!F51,Tim!$D$7:$D$70)+SUMIF(Tim!$DR$7:$DR$70,Ins!F51,Tim!$D$7:$D$70)+SUMIF(Tim!$DS$7:$DS$70,Ins!F51,Tim!$D$7:$D$70)+SUMIF(Tim!$DT$7:$DT$70,Ins!F51,Tim!$D$7:$D$70)+SUMIF(Tim!$DU$7:$DU$70,Ins!F51,Tim!$D$7:$D$70)+SUMIF(Tim!$DV$7:$DV$70,Ins!F51,Tim!$D$7:$D$70)+SUMIF(Tim!$DW$7:$DW$70,Ins!F51,Tim!$D$7:$D$70)+SUMIF(Tim!$DX$7:$DX$70,Ins!F51,Tim!$D$7:$D$70)+SUMIF(Tim!$DY$7:$DY$70,Ins!F51,Tim!$D$7:$D$70)+SUMIF(Tim!$DZ$7:$DZ$70,Ins!F51,Tim!$D$7:$D$70)+SUMIF(Tim!$EA$7:$EA$70,Ins!F51,Tim!$D$7:$D$70)</f>
        <v>0</v>
      </c>
      <c r="AN51" s="80">
        <f>SUMIF(Tim!EB$7:EB$70,Ins!F51,Tim!$C$7:$C$70)</f>
        <v>0</v>
      </c>
      <c r="AO51" s="80">
        <f>SUMIF(Tim!EC$7:EC$70,Ins!F51,Tim!$C$7:$C$70)</f>
        <v>0</v>
      </c>
      <c r="AP51" s="80">
        <f>SUMIF(Tim!ED$7:ED$70,Ins!F51,Tim!$C$7:$C$70)+SUMIF(Tim!EE$7:EE$70,Ins!F51,Tim!$C$7:$C$70)+SUMIF(Tim!EF$7:EF$70,Ins!F51,Tim!$C$7:$C$70)</f>
        <v>0</v>
      </c>
      <c r="AQ51" s="81">
        <f>SUMIF(Tim!$EG$7:$EG$70,Ins!F51,Tim!$C$7:$C$70)+SUMIF(Tim!$EH$7:$EH$70,Ins!F51,Tim!$C$7:$C$70)+SUMIF(Tim!$EI$7:$EI$70,Ins!F51,Tim!$C$7:$C$70)+SUMIF(Tim!$EJ$7:$EJ$70,Ins!F51,Tim!$C$7:$C$70)+SUMIF(Tim!$EK$7:$EK$70,Ins!F51,Tim!$C$7:$C$70)</f>
        <v>0</v>
      </c>
      <c r="AR51" s="79">
        <f>SUMIF(Tim!$EL$5:$EL$70,Ins!F51,Tim!$B$5:$B$70)</f>
        <v>0</v>
      </c>
      <c r="AS51" s="80">
        <f>SUMIF(Tim!$EM$5:$EM$70,Ins!F51,Tim!$B$5:$B$70)+SUMIF(Tim!$EN$5:$EN$70,Ins!F51,Tim!$B$5:$B$70)+SUMIF(Tim!$EO$5:$EO$70,Ins!F51,Tim!$B$5:$B$70)+SUMIF(Tim!$EP$5:$EP$70,Ins!F51,Tim!$B$5:$B$70)+SUMIF(Tim!$EQ$5:$EQ$70,Ins!F51,Tim!$B$5:$B$70)+SUMIF(Tim!$ER$5:$ER$70,Ins!F51,Tim!$B$5:$B$70)</f>
        <v>0</v>
      </c>
      <c r="AT51" s="80">
        <f>SUMIF(Tim!$ES$5:$ES$70,Ins!F51,Tim!$B$5:$B$70)+SUMIF(Tim!$ET$5:$ET$70,Ins!F51,Tim!$B$5:$B$70)+SUMIF(Tim!$EU$5:$EU$70,Ins!F51,Tim!$B$5:$B$70)</f>
        <v>0</v>
      </c>
      <c r="AU51" s="80">
        <f>SUMIF(Tim!$EV$5:$EV$70,Ins!F51,Tim!$B$5:$B$70)+SUMIF(Tim!$EW$5:$EW$70,Ins!F51,Tim!$B$5:$B$70)+SUMIF(Tim!$EX$5:$EX$70,Ins!F51,Tim!$B$5:$B$70)+SUMIF(Tim!$EY$5:$EY$70,Ins!F51,Tim!$B$5:$B$70)+SUMIF(Tim!$EZ$5:$EZ$70,Ins!F51,Tim!$B$5:$B$70)</f>
        <v>0</v>
      </c>
      <c r="AV51" s="80">
        <f>SUMIF(Tim!$FA$5:$FA$70,Ins!F51,Tim!$B$5:$B$70)+SUMIF(Tim!$FB$5:$FB$70,Ins!F51,Tim!$B$5:$B$70)+SUMIF(Tim!$FC$5:$FC$70,Ins!F51,Tim!$B$5:$B$70)</f>
        <v>0</v>
      </c>
      <c r="AW51" s="80">
        <f>SUMIF(Tim!FD$5:FD$70,Ins!F51,Tim!$B$5:$B$70)+SUMIF(Tim!FE$5:FE$70,Ins!F51,Tim!$B$5:$B$70)+SUMIF(Tim!FF$5:FF$70,Ins!F51,Tim!$B$5:$B$70)</f>
        <v>0</v>
      </c>
      <c r="AX51" s="80">
        <f>SUMIF(Tim!FG$5:FG$70,Ins!F51,Tim!$B$5:$B$70)</f>
        <v>0</v>
      </c>
      <c r="AY51" s="80">
        <f>SUMIF(Tim!$FH$5:$FH$70,Ins!F51,Tim!$D$5:$D$70)+SUMIF(Tim!$FI$5:$FI$70,Ins!F51,Tim!$D$5:$D$70)+SUMIF(Tim!$FJ$5:$FJ$70,Ins!F51,Tim!$D$5:$D$70)+SUMIF(Tim!$FK$5:$FK$70,Ins!F51,Tim!$D$5:$D$70)+SUMIF(Tim!$FL$5:$FL$70,Ins!F51,Tim!$D$5:$D$70)+SUMIF(Tim!$FM$5:$FM$70,Ins!F51,Tim!$D$5:$D$70)+SUMIF(Tim!$FN$5:$FN$70,Ins!F51,Tim!$D$5:$D$70)+SUMIF(Tim!$FO$5:$FO$70,Ins!F51,Tim!$D$5:$D$70)+SUMIF(Tim!$FP$5:$FP$70,Ins!F51,Tim!$D$5:$D$70)+SUMIF(Tim!$FQ$5:$FQ$70,Ins!F51,Tim!$D$5:$D$70)+SUMIF(Tim!$FR$5:$FR$70,Ins!F51,Tim!$D$5:$D$70)+SUMIF(Tim!$FS$5:$FS$70,Ins!F51,Tim!$D$5:$D$70)</f>
        <v>0.75</v>
      </c>
      <c r="AZ51" s="80">
        <f>SUMIF(Tim!FT$5:FT$70,Ins!F51,Tim!$C$5:$C$70)</f>
        <v>0</v>
      </c>
      <c r="BA51" s="80">
        <f>SUMIF(Tim!FU$5:FU$70,Ins!F51,Tim!$C$5:$C$70)</f>
        <v>0</v>
      </c>
      <c r="BB51" s="80">
        <f>SUMIF(Tim!FV$5:FV$70,Ins!F51,Tim!$C$5:$C$70)+SUMIF(Tim!FW$5:FW$70,Ins!F51,Tim!$C$5:$C$70)+SUMIF(Tim!FX$5:FX$70,Ins!F51,Tim!$C$5:$C$70)</f>
        <v>0</v>
      </c>
      <c r="BC51" s="81">
        <f>SUMIF(Tim!$FY$5:$FY$70,Ins!F51,Tim!$C$5:$C$70)+SUMIF(Tim!$FZ$5:$FZ$70,Ins!F51,Tim!$C$5:$C$70)+SUMIF(Tim!$GA$5:$GA$70,Ins!F51,Tim!$C$5:$C$70)+SUMIF(Tim!$GB$5:$GB$70,Ins!F51,Tim!$C$5:$C$70)+SUMIF(Tim!$GC$5:$GC$70,Ins!F51,Tim!$C$5:$C$70)</f>
        <v>0</v>
      </c>
      <c r="BD51" s="79">
        <f>SUMIF(Tim!$GD$5:$GD$70,Ins!F51,Tim!$B$5:$B$70)</f>
        <v>0</v>
      </c>
      <c r="BE51" s="80">
        <f>SUMIF(Tim!$GE$5:$GE$70,Ins!F51,Tim!$B$5:$B$70)+SUMIF(Tim!$GF$5:$GF$70,Ins!F51,Tim!$B$5:$B$70)+SUMIF(Tim!$GG$5:$GG$70,Ins!F51,Tim!$B$5:$B$70)+SUMIF(Tim!$GH$5:$GH$70,Ins!F51,Tim!$B$5:$B$70)+SUMIF(Tim!$GI$5:$GI$70,Ins!F51,Tim!$B$5:$B$70)+SUMIF(Tim!$GJ$5:$GJ$70,Ins!F51,Tim!$B$5:$B$70)</f>
        <v>0</v>
      </c>
      <c r="BF51" s="80">
        <f>SUMIF(Tim!$GK$5:$GK$70,Ins!F51,Tim!$B$5:$B$70)+SUMIF(Tim!$GL$5:$GL$70,Ins!F51,Tim!$B$5:$B$70)+SUMIF(Tim!$GM$5:$GM$70,Ins!F51,Tim!$B$5:$B$70)</f>
        <v>0</v>
      </c>
      <c r="BG51" s="80">
        <f>SUMIF(Tim!$GN$5:$GN$70,Ins!F51,Tim!$B$5:$B$70)+SUMIF(Tim!$GO$5:$GO$70,Ins!F51,Tim!$B$5:$B$70)+SUMIF(Tim!$GP$5:$GP$70,Ins!F51,Tim!$B$5:$B$70)+SUMIF(Tim!$GQ$5:$GQ$70,Ins!F51,Tim!$B$5:$B$70)+SUMIF(Tim!$GR$5:$GR$70,Ins!F51,Tim!$B$5:$B$70)</f>
        <v>0</v>
      </c>
      <c r="BH51" s="80">
        <f>SUMIF(Tim!$GS$5:$GS$70,Ins!F51,Tim!$B$5:$B$70)+SUMIF(Tim!$GT$5:$GT$70,Ins!F51,Tim!$B$5:$B$70)+SUMIF(Tim!$GU$5:$GU$70,Ins!F51,Tim!$B$5:$B$70)</f>
        <v>0</v>
      </c>
      <c r="BI51" s="80">
        <f>SUMIF(Tim!GV$5:GV$70,Ins!F51,Tim!$B$5:$B$70)+SUMIF(Tim!GW$5:GW$70,Ins!F51,Tim!$B$5:$B$70)+SUMIF(Tim!GX$5:GX$70,Ins!F51,Tim!$B$5:$B$70)</f>
        <v>0</v>
      </c>
      <c r="BJ51" s="80">
        <f>SUMIF(Tim!GY$5:GY$70,Ins!F51,Tim!$B$5:$B$70)</f>
        <v>0</v>
      </c>
      <c r="BK51" s="80">
        <f>SUMIF(Tim!$GZ$5:$GZ$70,Ins!F51,Tim!$D$5:$D$70)+SUMIF(Tim!$HA$5:$HA$70,Ins!F51,Tim!$D$5:$D$70)+SUMIF(Tim!$HB$5:$HB$70,Ins!F51,Tim!$D$5:$D$70)++SUMIF(Tim!$HC$5:$HC$70,Ins!F51,Tim!$D$5:$D$70)+SUMIF(Tim!$HD$5:$HD$70,Ins!F51,Tim!$D$5:$D$70)+SUMIF(Tim!$HE$5:$HE$70,Ins!F51,Tim!$D$5:$D$70)+SUMIF(Tim!$HF$5:$HF$70,Ins!F51,Tim!$D$5:$D$70)+SUMIF(Tim!$HG$5:$HG$70,Ins!F51,Tim!$D$5:$D$70)+SUMIF(Tim!$HH$5:$HH$70,Ins!F51,Tim!$D$5:$D$70)+SUMIF(Tim!$HI$5:$HI$70,Ins!F51,Tim!$D$5:$D$70)+SUMIF(Tim!$HJ$5:$HJ$70,Ins!F51,Tim!$D$5:$D$70)+SUMIF(Tim!$HK$5:$HK$70,Ins!F51,Tim!$D$5:$D$70)</f>
        <v>0</v>
      </c>
      <c r="BL51" s="80">
        <f>SUMIF(Tim!HL$5:HL$70,Ins!F51,Tim!$C$5:$C$70)</f>
        <v>0</v>
      </c>
      <c r="BM51" s="80">
        <f>SUMIF(Tim!HM$5:HM$70,Ins!F51,Tim!$C$5:$C$70)</f>
        <v>0</v>
      </c>
      <c r="BN51" s="80">
        <f>SUMIF(Tim!HN$5:HN$70,Ins!F51,Tim!$C$5:$C$70)+SUMIF(Tim!HO$5:HO$70,Ins!F51,Tim!$C$5:$C$70)+SUMIF(Tim!HP$5:HP$70,Ins!F51,Tim!$C$5:$C$70)</f>
        <v>0</v>
      </c>
      <c r="BO51" s="81">
        <f>SUMIF(Tim!$HQ$5:$HQ$70,Ins!F51,Tim!$C$5:$C$70)+SUMIF(Tim!$HR$5:$HR$70,Ins!F51,Tim!$C$5:$C$70)+SUMIF(Tim!$HS$5:$HS$70,Ins!F51,Tim!$C$5:$C$70)+SUMIF(Tim!$HT$5:$HT$70,Ins!F51,Tim!$C$5:$C$70)+SUMIF(Tim!$HU$5:$HU$70,Ins!F51,Tim!$C$5:$C$70)</f>
        <v>0</v>
      </c>
      <c r="BP51" s="79">
        <f>SUMIF(Tim!$HV$7:$HV$70,Ins!F51,Tim!$B$7:$B$70)</f>
        <v>0</v>
      </c>
      <c r="BQ51" s="80">
        <f>SUMIF(Tim!$HW$7:$HW$70,Ins!F51,Tim!$B$7:$B$70)+SUMIF(Tim!$HX$7:$HX$70,Ins!F51,Tim!$B$7:$B$70)+SUMIF(Tim!$HY$7:$HY$70,Ins!F51,Tim!$B$7:$B$70)+SUMIF(Tim!$HZ$7:$HZ$70,Ins!F51,Tim!$B$7:$B$70)+SUMIF(Tim!$IA$7:$IA$70,Ins!F51,Tim!$B$7:$B$70)+SUMIF(Tim!$IB$7:$IB$70,Ins!F51,Tim!$B$7:$B$70)</f>
        <v>0</v>
      </c>
      <c r="BR51" s="80">
        <f>SUMIF(Tim!$IC$7:$IC$70,Ins!F51,Tim!$B$7:$B$70)+SUMIF(Tim!$ID$7:$ID$70,Ins!F51,Tim!$B$7:$B$70)+SUMIF(Tim!$IE$7:$IE$70,Ins!F51,Tim!$B$7:$B$70)</f>
        <v>0</v>
      </c>
      <c r="BS51" s="80">
        <f>SUMIF(Tim!$IF$7:$IF$70,Ins!F51,Tim!$B$7:$B$70)+SUMIF(Tim!$IG$7:$IG$70,Ins!F51,Tim!$B$7:$B$70)+SUMIF(Tim!$IH$7:$IH$70,Ins!F51,Tim!$B$7:$B$70)+SUMIF(Tim!$II$7:$II$70,Ins!F51,Tim!$B$7:$B$70)+SUMIF(Tim!$IJ$7:$IJ$70,Ins!F51,Tim!$B$7:$B$70)</f>
        <v>0</v>
      </c>
      <c r="BT51" s="80">
        <f>SUMIF(Tim!$IK$7:$IK$70,Ins!F51,Tim!$B$7:$B$70)+SUMIF(Tim!$IL$7:$IL$70,Ins!F51,Tim!$B$7:$B$70)+SUMIF(Tim!$IM$7:$IM$70,Ins!F51,Tim!$B$7:$B$70)</f>
        <v>0</v>
      </c>
      <c r="BU51" s="80">
        <f>SUMIF(Tim!$IN$7:$IN$70,Ins!F51,Tim!$B$7:$B$70)+SUMIF(Tim!$IO$7:$IO$70,Ins!F51,Tim!$B$7:$B$70)+SUMIF(Tim!$IP$7:$IP$70,Ins!F51,Tim!$B$7:$B$70)</f>
        <v>0</v>
      </c>
      <c r="BV51" s="80">
        <f>SUMIF(Tim!$IQ$7:$IQ$70,Ins!F51,Tim!$B$7:$B$70)</f>
        <v>0</v>
      </c>
      <c r="BW51" s="80">
        <f>SUMIF(Tim!$IR$7:$IR$70,Ins!F51,Tim!$D$7:$D$70)+SUMIF(Tim!$IS$7:$IS$70,Ins!F51,Tim!$D$7:$D$70)+SUMIF(Tim!$IT$7:$IT$70,Ins!F51,Tim!$D$7:$D$70)+SUMIF(Tim!$IU$7:$IU$70,Ins!F51,Tim!$D$7:$D$70)+SUMIF(Tim!$IV$7:$IV$70,Ins!F51,Tim!$D$7:$D$70)+SUMIF(Tim!$IW$7:$IW$70,Ins!F51,Tim!$D$7:$D$70)+SUMIF(Tim!$IX$7:$IX$70,Ins!F51,Tim!$D$7:$D$70)+SUMIF(Tim!$IY$7:$IY$70,Ins!F51,Tim!$D$7:$D$70)+SUMIF(Tim!$IZ$7:$IZ$70,Ins!F51,Tim!$D$7:$D$70)+SUMIF(Tim!$JA$7:$JA$70,Ins!F51,Tim!$D$7:$D$70)+SUMIF(Tim!$JB$7:$JB$70,Ins!F51,Tim!$D$7:$D$70)+SUMIF(Tim!$JC$7:$JC$70,Ins!F51,Tim!$D$7:$D$70)</f>
        <v>2.25</v>
      </c>
      <c r="BX51" s="80">
        <f>SUMIF(Tim!JD$7:JD$70,Ins!F51,Tim!$C$7:$C$70)</f>
        <v>0</v>
      </c>
      <c r="BY51" s="80">
        <f>SUMIF(Tim!JE$7:JE$70,Ins!F51,Tim!$C$7:$C$70)</f>
        <v>0</v>
      </c>
      <c r="BZ51" s="80">
        <f>SUMIF(Tim!JF$7:JF$70,Ins!F51,Tim!$C$7:$C$70)+SUMIF(Tim!JG$7:JG$70,Ins!F51,Tim!$C$7:$C$70)+SUMIF(Tim!JH$7:JH$70,Ins!F51,Tim!$C$7:$C$70)</f>
        <v>0</v>
      </c>
      <c r="CA51" s="81">
        <f>SUMIF(Tim!$JI$7:$JI$70,Ins!F51,Tim!$C$7:$C$70)++SUMIF(Tim!$JJ$7:$JJ$70,Ins!F51,Tim!$C$7:$C$70)+SUMIF(Tim!$JK$7:$JK$70,Ins!F51,Tim!$C$7:$C$70)+SUMIF(Tim!$JL$7:$JL$70,Ins!F51,Tim!$C$7:$C$70)+SUMIF(Tim!$JM$7:$JM$70,Ins!F51,Tim!$C$7:$C$70)</f>
        <v>1</v>
      </c>
      <c r="CB51" s="79">
        <f>SUMIF(Tim!$JN$7:$JN$70,Ins!F51,Tim!$B$7:$B$70)</f>
        <v>0</v>
      </c>
      <c r="CC51" s="80">
        <f>SUMIF(Tim!$JO$7:$JO$70,Ins!F51,Tim!$B$7:$B$70)+SUMIF(Tim!$JP$7:$JP$70,Ins!F51,Tim!$B$7:$B$70)+SUMIF(Tim!$JQ$7:$JQ$70,Ins!F51,Tim!$B$7:$B$70)+SUMIF(Tim!$JR$7:$JR$70,Ins!F51,Tim!$B$7:$B$70)+SUMIF(Tim!$JS$7:$JS$70,Ins!F51,Tim!$B$7:$B$70)+SUMIF(Tim!$JT$7:$JT$70,Ins!F51,Tim!$B$7:$B$70)</f>
        <v>0</v>
      </c>
      <c r="CD51" s="80">
        <f>SUMIF(Tim!$JW$7:$JW$70,Ins!F51,Tim!$B$7:$B$70)+SUMIF(Tim!$JU$7:$JU$70,Ins!F51,Tim!$B$7:$B$70)+SUMIF(Tim!$JV$7:$JV$70,Ins!F51,Tim!$B$7:$B$70)</f>
        <v>0</v>
      </c>
      <c r="CE51" s="80">
        <f>SUMIF(Tim!$JX$7:$JX$70,Ins!F51,Tim!$B$7:$B$70)+SUMIF(Tim!$JY$7:$JY$70,Ins!F51,Tim!$B$7:$B$70)+SUMIF(Tim!$JZ$7:$JZ$70,Ins!F51,Tim!$B$7:$B$70)+SUMIF(Tim!$KA$7:$KA$70,Ins!F51,Tim!$B$7:$B$70)+SUMIF(Tim!$KB$7:$KB$70,Ins!F51,Tim!$B$7:$B$70)</f>
        <v>0</v>
      </c>
      <c r="CF51" s="80">
        <f>SUMIF(Tim!$KE$7:$KE$70,Ins!F51,Tim!$B$7:$B$70)+SUMIF(Tim!$KC$7:$KC$70,Ins!F51,Tim!$B$7:$B$70)+SUMIF(Tim!$KD$7:$KD$70,Ins!F51,Tim!$B$7:$B$70)</f>
        <v>0</v>
      </c>
      <c r="CG51" s="80">
        <f>SUMIF(Tim!$KF$7:$KF$70,Ins!F51,Tim!$B$7:$B$70)+SUMIF(Tim!$KG$7:$KG$70,Ins!F51,Tim!$B$7:$B$70)+SUMIF(Tim!$KH$7:$KH$70,Ins!F51,Tim!$B$7:$B$70)</f>
        <v>0</v>
      </c>
      <c r="CH51" s="80">
        <f>SUMIF(Tim!$KI$7:$KI$70,Ins!F51,Tim!$B$7:$B$70)</f>
        <v>0</v>
      </c>
      <c r="CI51" s="80">
        <f>SUMIF(Tim!$KJ$7:$KJ$70,Ins!F51,Tim!$D$7:$D$70)+SUMIF(Tim!$KK$7:$KK$70,Ins!F51,Tim!$D$7:$D$70)+SUMIF(Tim!$KL$7:$KL$70,Ins!F51,Tim!$D$7:$D$70)+SUMIF(Tim!$KM$7:$KM$70,Ins!F51,Tim!$D$7:$D$70)+SUMIF(Tim!$KN$7:$KN$70,Ins!F51,Tim!$D$7:$D$70)+SUMIF(Tim!$KO$7:$KO$70,Ins!F51,Tim!$D$7:$D$70)+SUMIF(Tim!$KP$7:$KP$70,Ins!F51,Tim!$D$7:$D$70)+SUMIF(Tim!$KQ$7:$KQ$70,Ins!F51,Tim!$D$7:$D$70)+SUMIF(Tim!$KR$7:$KR$70,Ins!F51,Tim!$D$7:$D$70)+SUMIF(Tim!$KS$7:$KS$70,Ins!F51,Tim!$D$7:$D$70)+SUMIF(Tim!$KT$7:$KT$70,Ins!F51,Tim!$D$7:$D$70)+SUMIF(Tim!$KU$7:$KU$70,Ins!F51,Tim!$D$7:$D$70)</f>
        <v>0</v>
      </c>
      <c r="CJ51" s="80">
        <f>SUMIF(Tim!KV$7:KV$70,Ins!F51,Tim!$C$7:$C$70)</f>
        <v>0</v>
      </c>
      <c r="CK51" s="80">
        <f>SUMIF(Tim!KW$7:KW$70,Ins!F51,Tim!$C$7:$C$70)</f>
        <v>0</v>
      </c>
      <c r="CL51" s="80">
        <f>SUMIF(Tim!KX$7:KX$70,Ins!F51,Tim!$C$7:$C$70)+SUMIF(Tim!KY$7:KY$70,Ins!F51,Tim!$C$7:$C$70)+SUMIF(Tim!KZ$7:KZ$70,Ins!F51,Tim!$C$7:$C$70)</f>
        <v>0</v>
      </c>
      <c r="CM51" s="81">
        <f>SUMIF(Tim!$LA$7:$LA$70,Ins!F51,Tim!$C$7:$C$70)+SUMIF(Tim!$LB$7:$LB$70,Ins!F51,Tim!$C$7:$C$70)+SUMIF(Tim!$LC$7:$LC$70,Ins!F51,Tim!$C$7:$C$70)+SUMIF(Tim!$LD$7:$LD$70,Ins!F51,Tim!$C$7:$C$70)+SUMIF(Tim!$LE$7:$LE$70,Ins!F51,Tim!$C$7:$C$70)</f>
        <v>0</v>
      </c>
      <c r="CN51" s="22"/>
      <c r="CO51" s="180">
        <f t="shared" ref="CO51" si="415">H51+T51+AF51+AR51+BD51+BP51+CB51</f>
        <v>0</v>
      </c>
      <c r="CP51" s="179">
        <f t="shared" ref="CP51" si="416">I51+U51+AG51+AS51+BE51+BQ51+CC51</f>
        <v>0</v>
      </c>
      <c r="CQ51" s="179">
        <f t="shared" ref="CQ51" si="417">J51+V51+AH51+AT51+BF51+BR51+CD51</f>
        <v>0</v>
      </c>
      <c r="CR51" s="179">
        <f t="shared" ref="CR51" si="418">K51+W51+AI51+AU51+BG51+BS51+CE51</f>
        <v>0</v>
      </c>
      <c r="CS51" s="179">
        <f t="shared" ref="CS51" si="419">L51+X51+AJ51+AV51+BH51+BT51+CF51</f>
        <v>0</v>
      </c>
      <c r="CT51" s="179">
        <f t="shared" ref="CT51" si="420">M51+Y51+AK51+AW51+BI51+BU51+CG51</f>
        <v>0</v>
      </c>
      <c r="CU51" s="179">
        <f t="shared" ref="CU51" si="421">N51+Z51+AL51+AX51+BJ51+BV51+CH51</f>
        <v>0</v>
      </c>
      <c r="CV51" s="179">
        <f t="shared" ref="CV51" si="422">O51+AA51+AM51+AY51+BK51+BW51+CI51</f>
        <v>4.5</v>
      </c>
      <c r="CW51" s="179">
        <f t="shared" ref="CW51" si="423">P51+AB51+AN51+AZ51+BL51+BX51+CJ51</f>
        <v>0</v>
      </c>
      <c r="CX51" s="179">
        <f t="shared" ref="CX51" si="424">Q51+AC51+AO51+BA51+BM51+BY51+CK51</f>
        <v>0</v>
      </c>
      <c r="CY51" s="179">
        <f t="shared" ref="CY51" si="425">R51+AD51+AP51+BB51+BN51+BZ51+CL51</f>
        <v>0</v>
      </c>
      <c r="CZ51" s="179">
        <f t="shared" ref="CZ51" si="426">S51+AE51+AQ51+BC51+BO51+CA51+CM51</f>
        <v>1</v>
      </c>
      <c r="DA51" s="78">
        <f t="shared" ref="DA51" si="427">SUM(CO51:CZ51)</f>
        <v>5.5</v>
      </c>
      <c r="DB51" s="36"/>
      <c r="DC51" s="34">
        <f t="shared" ref="DC51" si="428">SUM(H51:S51)</f>
        <v>0</v>
      </c>
      <c r="DD51" s="34">
        <f t="shared" ref="DD51" si="429">SUM(T51:AE51)</f>
        <v>1.5</v>
      </c>
      <c r="DE51" s="34">
        <f t="shared" ref="DE51" si="430">SUM(AF51:AQ51)</f>
        <v>0</v>
      </c>
      <c r="DF51" s="34">
        <f t="shared" ref="DF51" si="431">SUM(AR51:BC51)</f>
        <v>0.75</v>
      </c>
      <c r="DG51" s="34">
        <f t="shared" ref="DG51" si="432">SUM(BD51:BO51)</f>
        <v>0</v>
      </c>
      <c r="DH51" s="34">
        <f t="shared" ref="DH51" si="433">SUM(BP51:CA51)</f>
        <v>3.25</v>
      </c>
      <c r="DI51" s="34">
        <f t="shared" ref="DI51" si="434">SUM(CB51:CM51)</f>
        <v>0</v>
      </c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7"/>
    </row>
    <row r="52" spans="1:125" s="33" customFormat="1" ht="12" customHeight="1">
      <c r="A52" s="10">
        <v>50</v>
      </c>
      <c r="B52" s="24" t="s">
        <v>424</v>
      </c>
      <c r="C52" s="234"/>
      <c r="D52" s="28"/>
      <c r="E52" s="28" t="s">
        <v>373</v>
      </c>
      <c r="F52" s="185" t="s">
        <v>425</v>
      </c>
      <c r="G52" s="205" t="s">
        <v>191</v>
      </c>
      <c r="H52" s="79">
        <f>SUMIF(Tim!$F$7:$F$70,Ins!F52,Tim!$B$7:$B$70)</f>
        <v>0</v>
      </c>
      <c r="I52" s="80">
        <f>SUMIF(Tim!$G$7:$G$70,Ins!F52,Tim!$B$7:$B$70)+SUMIF(Tim!$H$7:$H$70,Ins!F52,Tim!$B$7:$B$70)+SUMIF(Tim!$I$7:$I$70,Ins!F52,Tim!$B$7:$B$70)+SUMIF(Tim!$J$7:$J$70,Ins!F52,Tim!$B$7:$B$70)+SUMIF(Tim!$K$7:$K$70,Ins!F52,Tim!$B$7:$B$70)+SUMIF(Tim!$L$7:$L$70,Ins!F52,Tim!$B$7:$B$70)</f>
        <v>0</v>
      </c>
      <c r="J52" s="80">
        <f>SUMIF(Tim!$M$7:$M$70,Ins!F52,Tim!$B$7:$B$70)+SUMIF(Tim!$O$7:$O$70,Ins!F52,Tim!$B$7:$B$70)+SUMIF(Tim!$N$7:$N$70,Ins!F52,Tim!$B$7:$B$70)</f>
        <v>0</v>
      </c>
      <c r="K52" s="80">
        <f>SUMIF(Tim!$P$7:$P$70,Ins!F52,Tim!$B$7:$B$70)+SUMIF(Tim!$Q$7:$Q$70,Ins!F52,Tim!$B$7:$B$70)+SUMIF(Tim!$R$7:$R$70,Ins!F52,Tim!$B$7:$B$70)+SUMIF(Tim!$S$7:$S$70,Ins!F52,Tim!$B$7:$B$70)+SUMIF(Tim!$T$7:$T$70,Ins!F52,Tim!$B$7:$B$70)</f>
        <v>0</v>
      </c>
      <c r="L52" s="80">
        <f>SUMIF(Tim!$U$7:$U$70,Ins!F52,Tim!$B$7:$B$70)+SUMIF(Tim!$W$7:$W$70,Ins!F52,Tim!$B$7:$B$70)+SUMIF(Tim!$X$7:$X$70,Ins!F52,Tim!$B$7:$B$70)</f>
        <v>0</v>
      </c>
      <c r="M52" s="80">
        <f>SUMIF(Tim!$Y$7:$Y$70,Ins!F52,Tim!$B$7:$B$70)+SUMIF(Tim!$Z$7:$Z$70,Ins!F52,Tim!$B$7:$B$70)+SUMIF(Tim!$AA$7:$AA$70,Ins!F52,Tim!$B$7:$B$70)</f>
        <v>0</v>
      </c>
      <c r="N52" s="80">
        <f>SUMIF(Tim!$AB$7:$AB$70,Ins!F52,Tim!$B$7:$B$70)</f>
        <v>0</v>
      </c>
      <c r="O52" s="80">
        <f>SUMIF(Tim!$AC$7:$AC$70,Ins!F52,Tim!$D$7:$D$70)+SUMIF(Tim!$AD$7:$AD$70,Ins!F52,Tim!$D$7:$D$70)+SUMIF(Tim!$AE$7:$AE$70,Ins!F52,Tim!$D$7:$D$70)+SUMIF(Tim!$AF$7:$AF$70,Ins!F52,Tim!$D$7:$D$70)+SUMIF(Tim!$AG$7:$AG$70,Ins!F52,Tim!$D$7:$D$70)+SUMIF(Tim!$AH$7:$AH$70,Ins!F52,Tim!$D$7:$D$70)+SUMIF(Tim!$AI$7:$AI$70,Ins!F52,Tim!$D$7:$D$70)+SUMIF(Tim!$AJ$7:$AJ$70,Ins!F52,Tim!$D$7:$D$70)+SUMIF(Tim!$AK$7:$AK$70,Ins!F52,Tim!$D$7:$D$70)+SUMIF(Tim!$AL$7:$AL$70,Ins!F52,Tim!$D$7:$D$70)+SUMIF(Tim!$AM$7:$AM$70,Ins!F52,Tim!$D$7:$D$70)+SUMIF(Tim!$AN$7:$AN$70,Ins!F52,Tim!$D$7:$D$70)</f>
        <v>0</v>
      </c>
      <c r="P52" s="80">
        <f>SUMIF(Tim!AO$7:AO$70,Ins!F52,Tim!$C$7:$C$70)</f>
        <v>0</v>
      </c>
      <c r="Q52" s="80">
        <f>SUMIF(Tim!AP$7:AP$70,Ins!F52,Tim!$C$7:$C$70)</f>
        <v>0</v>
      </c>
      <c r="R52" s="80">
        <f>SUMIF(Tim!AQ$7:AQ$70,Ins!F52,Tim!$C$7:$C$70)+SUMIF(Tim!AR$7:AR$70,Ins!F52,Tim!$C$7:$C$70)+SUMIF(Tim!AS$7:AS$70,Ins!F52,Tim!$C$7:$C$70)</f>
        <v>0</v>
      </c>
      <c r="S52" s="236">
        <f>SUMIF(Tim!$AT$7:$AT$70,Ins!F52,Tim!$C$7:$C$70)+SUMIF(Tim!$AU$7:$AU$70,Ins!F52,Tim!$C$7:$C110)+SUMIF(Tim!$AV$7:$AV$70,Ins!F52,Tim!$C$7:$C$70)+SUMIF(Tim!$AW$7:$AW$70,Ins!F52,Tim!$C$7:$C$70)+SUMIF(Tim!$AX$7:$AX$70,Ins!F52,Tim!$C$7:$C$70)</f>
        <v>0</v>
      </c>
      <c r="T52" s="79">
        <f>SUMIF(Tim!$AY$7:$AY$70,Ins!F52,Tim!$B$7:$B$70)</f>
        <v>0</v>
      </c>
      <c r="U52" s="80">
        <f>SUMIF(Tim!$AZ$7:$AZ$70,Ins!F52,Tim!$B$7:$B$70)+SUMIF(Tim!$BA$7:$BA$70,Ins!F52,Tim!$B$7:$B$70)+SUMIF(Tim!$BB$7:$BB$70,Ins!F52,Tim!$B$7:$B$70)+SUMIF(Tim!$BC$7:$BC$70,Ins!F52,Tim!$B$7:$B$70)+SUMIF(Tim!$BD$7:$BD$70,Ins!F52,Tim!$B$7:$B$70)+SUMIF(Tim!$BE$7:$BE$70,Ins!F52,Tim!$B$7:$B$70)</f>
        <v>0</v>
      </c>
      <c r="V52" s="80">
        <f>SUMIF(Tim!$BF$7:$BF$70,Ins!F52,Tim!$B$7:$B$70)+SUMIF(Tim!$BG$7:$BG$70,Ins!F52,Tim!$B$7:$B$70)+SUMIF(Tim!$BH$7:$BH$70,Ins!F52,Tim!$B$7:$B$70)</f>
        <v>0</v>
      </c>
      <c r="W52" s="80">
        <f>SUMIF(Tim!$BI$7:$BI$70,Ins!F52,Tim!$B$7:$B$70)+SUMIF(Tim!$BJ$7:$BJ$70,Ins!F52,Tim!$B$7:$B$70)+SUMIF(Tim!$BK$7:$BK$70,Ins!F52,Tim!$B$7:$B$70)+SUMIF(Tim!$BL$7:$BL$70,Ins!F52,Tim!$B$7:$B$70)+SUMIF(Tim!$BM$7:$BM$70,Ins!F52,Tim!$B$7:$B$70)</f>
        <v>0</v>
      </c>
      <c r="X52" s="80">
        <f>SUMIF(Tim!$BN$7:$BN$70,Ins!F52,Tim!$B$7:$B$70)+SUMIF(Tim!$BO$7:$BO$70,Ins!F52,Tim!$B$7:$B$70)+SUMIF(Tim!$BP$7:$BP$70,Ins!F52,Tim!$B$7:$B$70)</f>
        <v>0</v>
      </c>
      <c r="Y52" s="80">
        <f>SUMIF(Tim!$BQ$7:$BQ$70,Ins!F52,Tim!$B$7:$B$70)+SUMIF(Tim!$BR$7:$BR$70,Ins!F52,Tim!$B$7:$B$70)+SUMIF(Tim!$BS$7:$BS$70,Ins!F52,Tim!$B$7:$B$70)</f>
        <v>0</v>
      </c>
      <c r="Z52" s="80">
        <f>SUMIF(Tim!BT$7:BT$70,Ins!F52,Tim!$B$7:$B$70)</f>
        <v>0</v>
      </c>
      <c r="AA52" s="80">
        <f>SUMIF(Tim!$BU$7:$BU$70,Ins!F52,Tim!$D$7:$D$70)+SUMIF(Tim!$BV$7:$BV$70,Ins!F52,Tim!$D$7:$D$70)+SUMIF(Tim!$BW$7:$BW$70,Ins!F52,Tim!$D$7:$D$70)+SUMIF(Tim!$BX$7:$BX$70,Ins!F52,Tim!$D$7:$D$70)+SUMIF(Tim!$BY$7:$BY$70,Ins!F52,Tim!$D$7:$D$70)+SUMIF(Tim!$BZ$7:$BZ$70,Ins!F52,Tim!$D$7:$D$70)+SUMIF(Tim!$CA$7:$CA$70,Ins!F52,Tim!$D$7:$D$70)+SUMIF(Tim!$CB$7:$CB$70,Ins!F52,Tim!$D$7:$D$70)+SUMIF(Tim!$CC$7:$CC$70,Ins!F52,Tim!$D$7:$D$70)+SUMIF(Tim!$CD$7:$CD$70,Ins!F52,Tim!$D$7:$D$70)+SUMIF(Tim!$CE$7:$CE$70,Ins!F52,Tim!$D$7:$D$70)+SUMIF(Tim!$CF$7:$CF$70,Ins!F52,Tim!$D$7:$D$70)</f>
        <v>0</v>
      </c>
      <c r="AB52" s="80">
        <f>SUMIF(Tim!CG$7:CG$70,Ins!F52,Tim!$C$7:$C$70)</f>
        <v>0</v>
      </c>
      <c r="AC52" s="80">
        <f>SUMIF(Tim!CH$7:CH$70,Ins!F52,Tim!$C$7:$C$70)</f>
        <v>0</v>
      </c>
      <c r="AD52" s="80">
        <f>SUMIF(Tim!CI$7:CI$70,Ins!F52,Tim!$C$7:$C$70)+SUMIF(Tim!CJ$7:CJ$70,Ins!F52,Tim!$C$7:$C$70)+SUMIF(Tim!CK$7:CK$70,Ins!F52,Tim!$C$7:$C$70)</f>
        <v>0</v>
      </c>
      <c r="AE52" s="81">
        <f>SUMIF(Tim!$CL$7:$CL$70,Ins!F52,Tim!$C$7:$C$70)+SUMIF(Tim!$CM$7:$CM$70,Ins!F52,Tim!$C$7:$C$70)+SUMIF(Tim!$CN$7:$CN$70,Ins!F52,Tim!$C$7:$C$70)+SUMIF(Tim!$CO$7:$CO$70,Ins!F52,Tim!$C$7:$C$70)+SUMIF(Tim!$CP$7:$CP$70,Ins!F52,Tim!$C$7:$C$70)</f>
        <v>0</v>
      </c>
      <c r="AF52" s="79">
        <f>SUMIF(Tim!$CQ$7:$CQ$70,Ins!F52,Tim!$B$7:$B$70)</f>
        <v>0</v>
      </c>
      <c r="AG52" s="80">
        <f>SUMIF(Tim!$CR$7:$CR$70,Ins!F52,Tim!$B$7:$B$70)+SUMIF(Tim!$CS$7:$CS$70,Ins!F52,Tim!$B$7:$B$70)+SUMIF(Tim!$CT$7:$CT$70,Ins!F52,Tim!$B$7:$B$70)+SUMIF(Tim!$CU$7:$CU$70,Ins!F52,Tim!$B$7:$B$70)+SUMIF(Tim!$CV$7:$CV$70,Ins!F52,Tim!$B$7:$B$70)+SUMIF(Tim!$CW$7:$CW$70,Ins!F52,Tim!$B$7:$B$70)</f>
        <v>0</v>
      </c>
      <c r="AH52" s="80">
        <f>SUMIF(Tim!$CX$7:$CX$70,Ins!F52,Tim!$B$7:$B$70)+SUMIF(Tim!$CY$7:$CY$70,Ins!F52,Tim!$B$7:$B$70)+SUMIF(Tim!$CZ$7:$CZ$70,Ins!F52,Tim!$B$7:$B$70)</f>
        <v>0</v>
      </c>
      <c r="AI52" s="80">
        <f>SUMIF(Tim!$DA$7:$DA$70,Ins!F52,Tim!$B$7:$B$70)+SUMIF(Tim!$DB$7:$DB$70,Ins!F52,Tim!$B$7:$B$70)+SUMIF(Tim!$DC$7:$DC$70,Ins!F52,Tim!$B$7:$B$70)+SUMIF(Tim!$DD$7:$DD$70,Ins!F52,Tim!$B$7:$B$70)+SUMIF(Tim!$DE$7:$DE$70,Ins!F52,Tim!$B$7:$B$70)</f>
        <v>0</v>
      </c>
      <c r="AJ52" s="80">
        <f>SUMIF(Tim!$DF$7:$DF$70,Ins!F52,Tim!$B$7:$B$70)+SUMIF(Tim!$DG$7:$DG$70,Ins!F52,Tim!$B$7:$B$70)+SUMIF(Tim!$DH$7:$DH$70,Ins!F52,Tim!$B$7:$B$70)</f>
        <v>0</v>
      </c>
      <c r="AK52" s="80">
        <f>SUMIF(Tim!DI$7:DI$70,Ins!F52,Tim!$B$7:$B$70)+SUMIF(Tim!DM$7:DM$70,Ins!F52,Tim!$B$7:$B$70)+SUMIF(Tim!DN$7:DN$70,Ins!F52,Tim!$B$7:$B$70)</f>
        <v>0</v>
      </c>
      <c r="AL52" s="80">
        <f>SUMIF(Tim!DO$7:DO$70,Ins!F52,Tim!$B$7:$B$70)</f>
        <v>0</v>
      </c>
      <c r="AM52" s="80">
        <f>SUMIF(Tim!$DP$7:$DP$70,Ins!F52,Tim!$D$7:$D$70)+SUMIF(Tim!$DQ$7:$DQ$70,Ins!F52,Tim!$D$7:$D$70)+SUMIF(Tim!$DR$7:$DR$70,Ins!F52,Tim!$D$7:$D$70)+SUMIF(Tim!$DS$7:$DS$70,Ins!F52,Tim!$D$7:$D$70)+SUMIF(Tim!$DT$7:$DT$70,Ins!F52,Tim!$D$7:$D$70)+SUMIF(Tim!$DU$7:$DU$70,Ins!F52,Tim!$D$7:$D$70)+SUMIF(Tim!$DV$7:$DV$70,Ins!F52,Tim!$D$7:$D$70)+SUMIF(Tim!$DW$7:$DW$70,Ins!F52,Tim!$D$7:$D$70)+SUMIF(Tim!$DX$7:$DX$70,Ins!F52,Tim!$D$7:$D$70)+SUMIF(Tim!$DY$7:$DY$70,Ins!F52,Tim!$D$7:$D$70)+SUMIF(Tim!$DZ$7:$DZ$70,Ins!F52,Tim!$D$7:$D$70)+SUMIF(Tim!$EA$7:$EA$70,Ins!F52,Tim!$D$7:$D$70)</f>
        <v>0</v>
      </c>
      <c r="AN52" s="80">
        <f>SUMIF(Tim!EB$7:EB$70,Ins!F52,Tim!$C$7:$C$70)</f>
        <v>0</v>
      </c>
      <c r="AO52" s="80">
        <f>SUMIF(Tim!EC$7:EC$70,Ins!F52,Tim!$C$7:$C$70)</f>
        <v>0</v>
      </c>
      <c r="AP52" s="80">
        <f>SUMIF(Tim!ED$7:ED$70,Ins!F52,Tim!$C$7:$C$70)+SUMIF(Tim!EE$7:EE$70,Ins!F52,Tim!$C$7:$C$70)+SUMIF(Tim!EF$7:EF$70,Ins!F52,Tim!$C$7:$C$70)</f>
        <v>0</v>
      </c>
      <c r="AQ52" s="81">
        <f>SUMIF(Tim!$EG$7:$EG$70,Ins!F52,Tim!$C$7:$C$70)+SUMIF(Tim!$EH$7:$EH$70,Ins!F52,Tim!$C$7:$C$70)+SUMIF(Tim!$EI$7:$EI$70,Ins!F52,Tim!$C$7:$C$70)+SUMIF(Tim!$EJ$7:$EJ$70,Ins!F52,Tim!$C$7:$C$70)+SUMIF(Tim!$EK$7:$EK$70,Ins!F52,Tim!$C$7:$C$70)</f>
        <v>0</v>
      </c>
      <c r="AR52" s="79">
        <f>SUMIF(Tim!$EL$5:$EL$70,Ins!F52,Tim!$B$5:$B$70)</f>
        <v>0</v>
      </c>
      <c r="AS52" s="80">
        <f>SUMIF(Tim!$EM$5:$EM$70,Ins!F52,Tim!$B$5:$B$70)+SUMIF(Tim!$EN$5:$EN$70,Ins!F52,Tim!$B$5:$B$70)+SUMIF(Tim!$EO$5:$EO$70,Ins!F52,Tim!$B$5:$B$70)+SUMIF(Tim!$EP$5:$EP$70,Ins!F52,Tim!$B$5:$B$70)+SUMIF(Tim!$EQ$5:$EQ$70,Ins!F52,Tim!$B$5:$B$70)+SUMIF(Tim!$ER$5:$ER$70,Ins!F52,Tim!$B$5:$B$70)</f>
        <v>0</v>
      </c>
      <c r="AT52" s="80">
        <f>SUMIF(Tim!$ES$5:$ES$70,Ins!F52,Tim!$B$5:$B$70)+SUMIF(Tim!$ET$5:$ET$70,Ins!F52,Tim!$B$5:$B$70)+SUMIF(Tim!$EU$5:$EU$70,Ins!F52,Tim!$B$5:$B$70)</f>
        <v>0</v>
      </c>
      <c r="AU52" s="80">
        <f>SUMIF(Tim!$EV$5:$EV$70,Ins!F52,Tim!$B$5:$B$70)+SUMIF(Tim!$EW$5:$EW$70,Ins!F52,Tim!$B$5:$B$70)+SUMIF(Tim!$EX$5:$EX$70,Ins!F52,Tim!$B$5:$B$70)+SUMIF(Tim!$EY$5:$EY$70,Ins!F52,Tim!$B$5:$B$70)+SUMIF(Tim!$EZ$5:$EZ$70,Ins!F52,Tim!$B$5:$B$70)</f>
        <v>0</v>
      </c>
      <c r="AV52" s="80">
        <f>SUMIF(Tim!$FA$5:$FA$70,Ins!F52,Tim!$B$5:$B$70)+SUMIF(Tim!$FB$5:$FB$70,Ins!F52,Tim!$B$5:$B$70)+SUMIF(Tim!$FC$5:$FC$70,Ins!F52,Tim!$B$5:$B$70)</f>
        <v>0</v>
      </c>
      <c r="AW52" s="80">
        <f>SUMIF(Tim!FD$5:FD$70,Ins!F52,Tim!$B$5:$B$70)+SUMIF(Tim!FE$5:FE$70,Ins!F52,Tim!$B$5:$B$70)+SUMIF(Tim!FF$5:FF$70,Ins!F52,Tim!$B$5:$B$70)</f>
        <v>0</v>
      </c>
      <c r="AX52" s="80">
        <f>SUMIF(Tim!FG$5:FG$70,Ins!F52,Tim!$B$5:$B$70)</f>
        <v>0</v>
      </c>
      <c r="AY52" s="80">
        <f>SUMIF(Tim!$FH$5:$FH$70,Ins!F52,Tim!$D$5:$D$70)+SUMIF(Tim!$FI$5:$FI$70,Ins!F52,Tim!$D$5:$D$70)+SUMIF(Tim!$FJ$5:$FJ$70,Ins!F52,Tim!$D$5:$D$70)+SUMIF(Tim!$FK$5:$FK$70,Ins!F52,Tim!$D$5:$D$70)+SUMIF(Tim!$FL$5:$FL$70,Ins!F52,Tim!$D$5:$D$70)+SUMIF(Tim!$FM$5:$FM$70,Ins!F52,Tim!$D$5:$D$70)+SUMIF(Tim!$FN$5:$FN$70,Ins!F52,Tim!$D$5:$D$70)+SUMIF(Tim!$FO$5:$FO$70,Ins!F52,Tim!$D$5:$D$70)+SUMIF(Tim!$FP$5:$FP$70,Ins!F52,Tim!$D$5:$D$70)+SUMIF(Tim!$FQ$5:$FQ$70,Ins!F52,Tim!$D$5:$D$70)+SUMIF(Tim!$FR$5:$FR$70,Ins!F52,Tim!$D$5:$D$70)+SUMIF(Tim!$FS$5:$FS$70,Ins!F52,Tim!$D$5:$D$70)</f>
        <v>0</v>
      </c>
      <c r="AZ52" s="80">
        <f>SUMIF(Tim!FT$5:FT$70,Ins!F52,Tim!$C$5:$C$70)</f>
        <v>0</v>
      </c>
      <c r="BA52" s="80">
        <f>SUMIF(Tim!FU$5:FU$70,Ins!F52,Tim!$C$5:$C$70)</f>
        <v>0</v>
      </c>
      <c r="BB52" s="80">
        <f>SUMIF(Tim!FV$5:FV$70,Ins!F52,Tim!$C$5:$C$70)+SUMIF(Tim!FW$5:FW$70,Ins!F52,Tim!$C$5:$C$70)+SUMIF(Tim!FX$5:FX$70,Ins!F52,Tim!$C$5:$C$70)</f>
        <v>0</v>
      </c>
      <c r="BC52" s="81">
        <f>SUMIF(Tim!$FY$5:$FY$70,Ins!F52,Tim!$C$5:$C$70)+SUMIF(Tim!$FZ$5:$FZ$70,Ins!F52,Tim!$C$5:$C$70)+SUMIF(Tim!$GA$5:$GA$70,Ins!F52,Tim!$C$5:$C$70)+SUMIF(Tim!$GB$5:$GB$70,Ins!F52,Tim!$C$5:$C$70)+SUMIF(Tim!$GC$5:$GC$70,Ins!F52,Tim!$C$5:$C$70)</f>
        <v>0</v>
      </c>
      <c r="BD52" s="79">
        <f>SUMIF(Tim!$GD$5:$GD$70,Ins!F52,Tim!$B$5:$B$70)</f>
        <v>0</v>
      </c>
      <c r="BE52" s="80">
        <f>SUMIF(Tim!$GE$5:$GE$70,Ins!F52,Tim!$B$5:$B$70)+SUMIF(Tim!$GF$5:$GF$70,Ins!F52,Tim!$B$5:$B$70)+SUMIF(Tim!$GG$5:$GG$70,Ins!F52,Tim!$B$5:$B$70)+SUMIF(Tim!$GH$5:$GH$70,Ins!F52,Tim!$B$5:$B$70)+SUMIF(Tim!$GI$5:$GI$70,Ins!F52,Tim!$B$5:$B$70)+SUMIF(Tim!$GJ$5:$GJ$70,Ins!F52,Tim!$B$5:$B$70)</f>
        <v>0</v>
      </c>
      <c r="BF52" s="80">
        <f>SUMIF(Tim!$GK$5:$GK$70,Ins!F52,Tim!$B$5:$B$70)+SUMIF(Tim!$GL$5:$GL$70,Ins!F52,Tim!$B$5:$B$70)+SUMIF(Tim!$GM$5:$GM$70,Ins!F52,Tim!$B$5:$B$70)</f>
        <v>0</v>
      </c>
      <c r="BG52" s="80">
        <f>SUMIF(Tim!$GN$5:$GN$70,Ins!F52,Tim!$B$5:$B$70)+SUMIF(Tim!$GO$5:$GO$70,Ins!F52,Tim!$B$5:$B$70)+SUMIF(Tim!$GP$5:$GP$70,Ins!F52,Tim!$B$5:$B$70)+SUMIF(Tim!$GQ$5:$GQ$70,Ins!F52,Tim!$B$5:$B$70)+SUMIF(Tim!$GR$5:$GR$70,Ins!F52,Tim!$B$5:$B$70)</f>
        <v>0</v>
      </c>
      <c r="BH52" s="80">
        <f>SUMIF(Tim!$GS$5:$GS$70,Ins!F52,Tim!$B$5:$B$70)+SUMIF(Tim!$GT$5:$GT$70,Ins!F52,Tim!$B$5:$B$70)+SUMIF(Tim!$GU$5:$GU$70,Ins!F52,Tim!$B$5:$B$70)</f>
        <v>0</v>
      </c>
      <c r="BI52" s="80">
        <f>SUMIF(Tim!GV$5:GV$70,Ins!F52,Tim!$B$5:$B$70)+SUMIF(Tim!GW$5:GW$70,Ins!F52,Tim!$B$5:$B$70)+SUMIF(Tim!GX$5:GX$70,Ins!F52,Tim!$B$5:$B$70)</f>
        <v>0</v>
      </c>
      <c r="BJ52" s="80">
        <f>SUMIF(Tim!GY$5:GY$70,Ins!F52,Tim!$B$5:$B$70)</f>
        <v>0</v>
      </c>
      <c r="BK52" s="80">
        <f>SUMIF(Tim!$GZ$5:$GZ$70,Ins!F52,Tim!$D$5:$D$70)+SUMIF(Tim!$HA$5:$HA$70,Ins!F52,Tim!$D$5:$D$70)+SUMIF(Tim!$HB$5:$HB$70,Ins!F52,Tim!$D$5:$D$70)++SUMIF(Tim!$HC$5:$HC$70,Ins!F52,Tim!$D$5:$D$70)+SUMIF(Tim!$HD$5:$HD$70,Ins!F52,Tim!$D$5:$D$70)+SUMIF(Tim!$HE$5:$HE$70,Ins!F52,Tim!$D$5:$D$70)+SUMIF(Tim!$HF$5:$HF$70,Ins!F52,Tim!$D$5:$D$70)+SUMIF(Tim!$HG$5:$HG$70,Ins!F52,Tim!$D$5:$D$70)+SUMIF(Tim!$HH$5:$HH$70,Ins!F52,Tim!$D$5:$D$70)+SUMIF(Tim!$HI$5:$HI$70,Ins!F52,Tim!$D$5:$D$70)+SUMIF(Tim!$HJ$5:$HJ$70,Ins!F52,Tim!$D$5:$D$70)+SUMIF(Tim!$HK$5:$HK$70,Ins!F52,Tim!$D$5:$D$70)</f>
        <v>0</v>
      </c>
      <c r="BL52" s="80">
        <f>SUMIF(Tim!HL$5:HL$70,Ins!F52,Tim!$C$5:$C$70)</f>
        <v>0</v>
      </c>
      <c r="BM52" s="80">
        <f>SUMIF(Tim!HM$5:HM$70,Ins!F52,Tim!$C$5:$C$70)</f>
        <v>0</v>
      </c>
      <c r="BN52" s="80">
        <f>SUMIF(Tim!HN$5:HN$70,Ins!F52,Tim!$C$5:$C$70)+SUMIF(Tim!HO$5:HO$70,Ins!F52,Tim!$C$5:$C$70)+SUMIF(Tim!HP$5:HP$70,Ins!F52,Tim!$C$5:$C$70)</f>
        <v>0</v>
      </c>
      <c r="BO52" s="81">
        <f>SUMIF(Tim!$HQ$5:$HQ$70,Ins!F52,Tim!$C$5:$C$70)+SUMIF(Tim!$HR$5:$HR$70,Ins!F52,Tim!$C$5:$C$70)+SUMIF(Tim!$HS$5:$HS$70,Ins!F52,Tim!$C$5:$C$70)+SUMIF(Tim!$HT$5:$HT$70,Ins!F52,Tim!$C$5:$C$70)+SUMIF(Tim!$HU$5:$HU$70,Ins!F52,Tim!$C$5:$C$70)</f>
        <v>0</v>
      </c>
      <c r="BP52" s="79">
        <f>SUMIF(Tim!$HV$7:$HV$70,Ins!F52,Tim!$B$7:$B$70)</f>
        <v>0</v>
      </c>
      <c r="BQ52" s="80">
        <f>SUMIF(Tim!$HW$7:$HW$70,Ins!F52,Tim!$B$7:$B$70)+SUMIF(Tim!$HX$7:$HX$70,Ins!F52,Tim!$B$7:$B$70)+SUMIF(Tim!$HY$7:$HY$70,Ins!F52,Tim!$B$7:$B$70)+SUMIF(Tim!$HZ$7:$HZ$70,Ins!F52,Tim!$B$7:$B$70)+SUMIF(Tim!$IA$7:$IA$70,Ins!F52,Tim!$B$7:$B$70)+SUMIF(Tim!$IB$7:$IB$70,Ins!F52,Tim!$B$7:$B$70)</f>
        <v>0</v>
      </c>
      <c r="BR52" s="80">
        <f>SUMIF(Tim!$IC$7:$IC$70,Ins!F52,Tim!$B$7:$B$70)+SUMIF(Tim!$ID$7:$ID$70,Ins!F52,Tim!$B$7:$B$70)+SUMIF(Tim!$IE$7:$IE$70,Ins!F52,Tim!$B$7:$B$70)</f>
        <v>0</v>
      </c>
      <c r="BS52" s="80">
        <f>SUMIF(Tim!$IF$7:$IF$70,Ins!F52,Tim!$B$7:$B$70)+SUMIF(Tim!$IG$7:$IG$70,Ins!F52,Tim!$B$7:$B$70)+SUMIF(Tim!$IH$7:$IH$70,Ins!F52,Tim!$B$7:$B$70)+SUMIF(Tim!$II$7:$II$70,Ins!F52,Tim!$B$7:$B$70)+SUMIF(Tim!$IJ$7:$IJ$70,Ins!F52,Tim!$B$7:$B$70)</f>
        <v>0</v>
      </c>
      <c r="BT52" s="80">
        <f>SUMIF(Tim!$IK$7:$IK$70,Ins!F52,Tim!$B$7:$B$70)+SUMIF(Tim!$IL$7:$IL$70,Ins!F52,Tim!$B$7:$B$70)+SUMIF(Tim!$IM$7:$IM$70,Ins!F52,Tim!$B$7:$B$70)</f>
        <v>0</v>
      </c>
      <c r="BU52" s="80">
        <f>SUMIF(Tim!$IN$7:$IN$70,Ins!F52,Tim!$B$7:$B$70)+SUMIF(Tim!$IO$7:$IO$70,Ins!F52,Tim!$B$7:$B$70)+SUMIF(Tim!$IP$7:$IP$70,Ins!F52,Tim!$B$7:$B$70)</f>
        <v>0</v>
      </c>
      <c r="BV52" s="80">
        <f>SUMIF(Tim!$IQ$7:$IQ$70,Ins!F52,Tim!$B$7:$B$70)</f>
        <v>0</v>
      </c>
      <c r="BW52" s="80">
        <f>SUMIF(Tim!$IR$7:$IR$70,Ins!F52,Tim!$D$7:$D$70)+SUMIF(Tim!$IS$7:$IS$70,Ins!F52,Tim!$D$7:$D$70)+SUMIF(Tim!$IT$7:$IT$70,Ins!F52,Tim!$D$7:$D$70)+SUMIF(Tim!$IU$7:$IU$70,Ins!F52,Tim!$D$7:$D$70)+SUMIF(Tim!$IV$7:$IV$70,Ins!F52,Tim!$D$7:$D$70)+SUMIF(Tim!$IW$7:$IW$70,Ins!F52,Tim!$D$7:$D$70)+SUMIF(Tim!$IX$7:$IX$70,Ins!F52,Tim!$D$7:$D$70)+SUMIF(Tim!$IY$7:$IY$70,Ins!F52,Tim!$D$7:$D$70)+SUMIF(Tim!$IZ$7:$IZ$70,Ins!F52,Tim!$D$7:$D$70)+SUMIF(Tim!$JA$7:$JA$70,Ins!F52,Tim!$D$7:$D$70)+SUMIF(Tim!$JB$7:$JB$70,Ins!F52,Tim!$D$7:$D$70)+SUMIF(Tim!$JC$7:$JC$70,Ins!F52,Tim!$D$7:$D$70)</f>
        <v>1.5</v>
      </c>
      <c r="BX52" s="80">
        <f>SUMIF(Tim!JD$7:JD$70,Ins!F52,Tim!$C$7:$C$70)</f>
        <v>0</v>
      </c>
      <c r="BY52" s="80">
        <f>SUMIF(Tim!JE$7:JE$70,Ins!F52,Tim!$C$7:$C$70)</f>
        <v>0</v>
      </c>
      <c r="BZ52" s="80">
        <f>SUMIF(Tim!JF$7:JF$70,Ins!F52,Tim!$C$7:$C$70)+SUMIF(Tim!JG$7:JG$70,Ins!F52,Tim!$C$7:$C$70)+SUMIF(Tim!JH$7:JH$70,Ins!F52,Tim!$C$7:$C$70)</f>
        <v>0</v>
      </c>
      <c r="CA52" s="81">
        <f>SUMIF(Tim!$JI$7:$JI$70,Ins!F52,Tim!$C$7:$C$70)++SUMIF(Tim!$JJ$7:$JJ$70,Ins!F52,Tim!$C$7:$C$70)+SUMIF(Tim!$JK$7:$JK$70,Ins!F52,Tim!$C$7:$C$70)+SUMIF(Tim!$JL$7:$JL$70,Ins!F52,Tim!$C$7:$C$70)+SUMIF(Tim!$JM$7:$JM$70,Ins!F52,Tim!$C$7:$C$70)</f>
        <v>0</v>
      </c>
      <c r="CB52" s="79">
        <f>SUMIF(Tim!$JN$7:$JN$70,Ins!F52,Tim!$B$7:$B$70)</f>
        <v>0</v>
      </c>
      <c r="CC52" s="80">
        <f>SUMIF(Tim!$JO$7:$JO$70,Ins!F52,Tim!$B$7:$B$70)+SUMIF(Tim!$JP$7:$JP$70,Ins!F52,Tim!$B$7:$B$70)+SUMIF(Tim!$JQ$7:$JQ$70,Ins!F52,Tim!$B$7:$B$70)+SUMIF(Tim!$JR$7:$JR$70,Ins!F52,Tim!$B$7:$B$70)+SUMIF(Tim!$JS$7:$JS$70,Ins!F52,Tim!$B$7:$B$70)+SUMIF(Tim!$JT$7:$JT$70,Ins!F52,Tim!$B$7:$B$70)</f>
        <v>0</v>
      </c>
      <c r="CD52" s="80">
        <f>SUMIF(Tim!$JW$7:$JW$70,Ins!F52,Tim!$B$7:$B$70)+SUMIF(Tim!$JU$7:$JU$70,Ins!F52,Tim!$B$7:$B$70)+SUMIF(Tim!$JV$7:$JV$70,Ins!F52,Tim!$B$7:$B$70)</f>
        <v>0</v>
      </c>
      <c r="CE52" s="80">
        <f>SUMIF(Tim!$JX$7:$JX$70,Ins!F52,Tim!$B$7:$B$70)+SUMIF(Tim!$JY$7:$JY$70,Ins!F52,Tim!$B$7:$B$70)+SUMIF(Tim!$JZ$7:$JZ$70,Ins!F52,Tim!$B$7:$B$70)+SUMIF(Tim!$KA$7:$KA$70,Ins!F52,Tim!$B$7:$B$70)+SUMIF(Tim!$KB$7:$KB$70,Ins!F52,Tim!$B$7:$B$70)</f>
        <v>0</v>
      </c>
      <c r="CF52" s="80">
        <f>SUMIF(Tim!$KE$7:$KE$70,Ins!F52,Tim!$B$7:$B$70)+SUMIF(Tim!$KC$7:$KC$70,Ins!F52,Tim!$B$7:$B$70)+SUMIF(Tim!$KD$7:$KD$70,Ins!F52,Tim!$B$7:$B$70)</f>
        <v>0</v>
      </c>
      <c r="CG52" s="80">
        <f>SUMIF(Tim!$KF$7:$KF$70,Ins!F52,Tim!$B$7:$B$70)+SUMIF(Tim!$KG$7:$KG$70,Ins!F52,Tim!$B$7:$B$70)+SUMIF(Tim!$KH$7:$KH$70,Ins!F52,Tim!$B$7:$B$70)</f>
        <v>0</v>
      </c>
      <c r="CH52" s="80">
        <f>SUMIF(Tim!$KI$7:$KI$70,Ins!F52,Tim!$B$7:$B$70)</f>
        <v>0</v>
      </c>
      <c r="CI52" s="80">
        <f>SUMIF(Tim!$KJ$7:$KJ$70,Ins!F52,Tim!$D$7:$D$70)+SUMIF(Tim!$KK$7:$KK$70,Ins!F52,Tim!$D$7:$D$70)+SUMIF(Tim!$KL$7:$KL$70,Ins!F52,Tim!$D$7:$D$70)+SUMIF(Tim!$KM$7:$KM$70,Ins!F52,Tim!$D$7:$D$70)+SUMIF(Tim!$KN$7:$KN$70,Ins!F52,Tim!$D$7:$D$70)+SUMIF(Tim!$KO$7:$KO$70,Ins!F52,Tim!$D$7:$D$70)+SUMIF(Tim!$KP$7:$KP$70,Ins!F52,Tim!$D$7:$D$70)+SUMIF(Tim!$KQ$7:$KQ$70,Ins!F52,Tim!$D$7:$D$70)+SUMIF(Tim!$KR$7:$KR$70,Ins!F52,Tim!$D$7:$D$70)+SUMIF(Tim!$KS$7:$KS$70,Ins!F52,Tim!$D$7:$D$70)+SUMIF(Tim!$KT$7:$KT$70,Ins!F52,Tim!$D$7:$D$70)+SUMIF(Tim!$KU$7:$KU$70,Ins!F52,Tim!$D$7:$D$70)</f>
        <v>0</v>
      </c>
      <c r="CJ52" s="80">
        <f>SUMIF(Tim!KV$7:KV$70,Ins!F52,Tim!$C$7:$C$70)</f>
        <v>0</v>
      </c>
      <c r="CK52" s="80">
        <f>SUMIF(Tim!KW$7:KW$70,Ins!F52,Tim!$C$7:$C$70)</f>
        <v>0</v>
      </c>
      <c r="CL52" s="80">
        <f>SUMIF(Tim!KX$7:KX$70,Ins!F52,Tim!$C$7:$C$70)+SUMIF(Tim!KY$7:KY$70,Ins!F52,Tim!$C$7:$C$70)+SUMIF(Tim!KZ$7:KZ$70,Ins!F52,Tim!$C$7:$C$70)</f>
        <v>0</v>
      </c>
      <c r="CM52" s="81">
        <f>SUMIF(Tim!$LA$7:$LA$70,Ins!F52,Tim!$C$7:$C$70)+SUMIF(Tim!$LB$7:$LB$70,Ins!F52,Tim!$C$7:$C$70)+SUMIF(Tim!$LC$7:$LC$70,Ins!F52,Tim!$C$7:$C$70)+SUMIF(Tim!$LD$7:$LD$70,Ins!F52,Tim!$C$7:$C$70)+SUMIF(Tim!$LE$7:$LE$70,Ins!F52,Tim!$C$7:$C$70)</f>
        <v>0</v>
      </c>
      <c r="CN52" s="22"/>
      <c r="CO52" s="180">
        <f t="shared" ref="CO52" si="435">H52+T52+AF52+AR52+BD52+BP52+CB52</f>
        <v>0</v>
      </c>
      <c r="CP52" s="179">
        <f t="shared" ref="CP52" si="436">I52+U52+AG52+AS52+BE52+BQ52+CC52</f>
        <v>0</v>
      </c>
      <c r="CQ52" s="179">
        <f t="shared" ref="CQ52" si="437">J52+V52+AH52+AT52+BF52+BR52+CD52</f>
        <v>0</v>
      </c>
      <c r="CR52" s="179">
        <f t="shared" ref="CR52" si="438">K52+W52+AI52+AU52+BG52+BS52+CE52</f>
        <v>0</v>
      </c>
      <c r="CS52" s="179">
        <f t="shared" ref="CS52" si="439">L52+X52+AJ52+AV52+BH52+BT52+CF52</f>
        <v>0</v>
      </c>
      <c r="CT52" s="179">
        <f t="shared" ref="CT52" si="440">M52+Y52+AK52+AW52+BI52+BU52+CG52</f>
        <v>0</v>
      </c>
      <c r="CU52" s="179">
        <f t="shared" ref="CU52" si="441">N52+Z52+AL52+AX52+BJ52+BV52+CH52</f>
        <v>0</v>
      </c>
      <c r="CV52" s="179">
        <f t="shared" ref="CV52" si="442">O52+AA52+AM52+AY52+BK52+BW52+CI52</f>
        <v>1.5</v>
      </c>
      <c r="CW52" s="179">
        <f t="shared" ref="CW52" si="443">P52+AB52+AN52+AZ52+BL52+BX52+CJ52</f>
        <v>0</v>
      </c>
      <c r="CX52" s="179">
        <f t="shared" ref="CX52" si="444">Q52+AC52+AO52+BA52+BM52+BY52+CK52</f>
        <v>0</v>
      </c>
      <c r="CY52" s="179">
        <f t="shared" ref="CY52" si="445">R52+AD52+AP52+BB52+BN52+BZ52+CL52</f>
        <v>0</v>
      </c>
      <c r="CZ52" s="179">
        <f t="shared" ref="CZ52" si="446">S52+AE52+AQ52+BC52+BO52+CA52+CM52</f>
        <v>0</v>
      </c>
      <c r="DA52" s="78">
        <f t="shared" ref="DA52" si="447">SUM(CO52:CZ52)</f>
        <v>1.5</v>
      </c>
      <c r="DB52" s="36"/>
      <c r="DC52" s="34">
        <f t="shared" ref="DC52" si="448">SUM(H52:S52)</f>
        <v>0</v>
      </c>
      <c r="DD52" s="34">
        <f t="shared" ref="DD52" si="449">SUM(T52:AE52)</f>
        <v>0</v>
      </c>
      <c r="DE52" s="34">
        <f t="shared" ref="DE52" si="450">SUM(AF52:AQ52)</f>
        <v>0</v>
      </c>
      <c r="DF52" s="34">
        <f t="shared" ref="DF52" si="451">SUM(AR52:BC52)</f>
        <v>0</v>
      </c>
      <c r="DG52" s="34">
        <f t="shared" ref="DG52" si="452">SUM(BD52:BO52)</f>
        <v>0</v>
      </c>
      <c r="DH52" s="34">
        <f t="shared" ref="DH52" si="453">SUM(BP52:CA52)</f>
        <v>1.5</v>
      </c>
      <c r="DI52" s="34">
        <f t="shared" ref="DI52" si="454">SUM(CB52:CM52)</f>
        <v>0</v>
      </c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7"/>
    </row>
    <row r="53" spans="1:125" s="33" customFormat="1" ht="12" customHeight="1">
      <c r="A53" s="10">
        <v>51</v>
      </c>
      <c r="B53" s="24" t="s">
        <v>451</v>
      </c>
      <c r="C53" s="234"/>
      <c r="D53" s="28"/>
      <c r="E53" s="28" t="s">
        <v>373</v>
      </c>
      <c r="F53" s="185" t="s">
        <v>89</v>
      </c>
      <c r="G53" s="205" t="s">
        <v>191</v>
      </c>
      <c r="H53" s="79">
        <f>SUMIF(Tim!$F$7:$F$70,Ins!F53,Tim!$B$7:$B$70)</f>
        <v>0</v>
      </c>
      <c r="I53" s="80">
        <f>SUMIF(Tim!$G$7:$G$70,Ins!F53,Tim!$B$7:$B$70)+SUMIF(Tim!$H$7:$H$70,Ins!F53,Tim!$B$7:$B$70)+SUMIF(Tim!$I$7:$I$70,Ins!F53,Tim!$B$7:$B$70)+SUMIF(Tim!$J$7:$J$70,Ins!F53,Tim!$B$7:$B$70)+SUMIF(Tim!$K$7:$K$70,Ins!F53,Tim!$B$7:$B$70)+SUMIF(Tim!$L$7:$L$70,Ins!F53,Tim!$B$7:$B$70)</f>
        <v>0</v>
      </c>
      <c r="J53" s="80">
        <f>SUMIF(Tim!$M$7:$M$70,Ins!F53,Tim!$B$7:$B$70)+SUMIF(Tim!$O$7:$O$70,Ins!F53,Tim!$B$7:$B$70)+SUMIF(Tim!$N$7:$N$70,Ins!F53,Tim!$B$7:$B$70)</f>
        <v>0</v>
      </c>
      <c r="K53" s="80">
        <f>SUMIF(Tim!$P$7:$P$70,Ins!F53,Tim!$B$7:$B$70)+SUMIF(Tim!$Q$7:$Q$70,Ins!F53,Tim!$B$7:$B$70)+SUMIF(Tim!$R$7:$R$70,Ins!F53,Tim!$B$7:$B$70)+SUMIF(Tim!$S$7:$S$70,Ins!F53,Tim!$B$7:$B$70)+SUMIF(Tim!$T$7:$T$70,Ins!F53,Tim!$B$7:$B$70)</f>
        <v>0</v>
      </c>
      <c r="L53" s="80">
        <f>SUMIF(Tim!$U$7:$U$70,Ins!F53,Tim!$B$7:$B$70)+SUMIF(Tim!$W$7:$W$70,Ins!F53,Tim!$B$7:$B$70)+SUMIF(Tim!$X$7:$X$70,Ins!F53,Tim!$B$7:$B$70)</f>
        <v>0</v>
      </c>
      <c r="M53" s="80">
        <f>SUMIF(Tim!$Y$7:$Y$70,Ins!F53,Tim!$B$7:$B$70)+SUMIF(Tim!$Z$7:$Z$70,Ins!F53,Tim!$B$7:$B$70)+SUMIF(Tim!$AA$7:$AA$70,Ins!F53,Tim!$B$7:$B$70)</f>
        <v>0</v>
      </c>
      <c r="N53" s="80">
        <f>SUMIF(Tim!$AB$7:$AB$70,Ins!F53,Tim!$B$7:$B$70)</f>
        <v>0</v>
      </c>
      <c r="O53" s="80">
        <f>SUMIF(Tim!$AC$7:$AC$70,Ins!F53,Tim!$D$7:$D$70)+SUMIF(Tim!$AD$7:$AD$70,Ins!F53,Tim!$D$7:$D$70)+SUMIF(Tim!$AE$7:$AE$70,Ins!F53,Tim!$D$7:$D$70)+SUMIF(Tim!$AF$7:$AF$70,Ins!F53,Tim!$D$7:$D$70)+SUMIF(Tim!$AG$7:$AG$70,Ins!F53,Tim!$D$7:$D$70)+SUMIF(Tim!$AH$7:$AH$70,Ins!F53,Tim!$D$7:$D$70)+SUMIF(Tim!$AI$7:$AI$70,Ins!F53,Tim!$D$7:$D$70)+SUMIF(Tim!$AJ$7:$AJ$70,Ins!F53,Tim!$D$7:$D$70)+SUMIF(Tim!$AK$7:$AK$70,Ins!F53,Tim!$D$7:$D$70)+SUMIF(Tim!$AL$7:$AL$70,Ins!F53,Tim!$D$7:$D$70)+SUMIF(Tim!$AM$7:$AM$70,Ins!F53,Tim!$D$7:$D$70)+SUMIF(Tim!$AN$7:$AN$70,Ins!F53,Tim!$D$7:$D$70)</f>
        <v>2.25</v>
      </c>
      <c r="P53" s="80">
        <f>SUMIF(Tim!AO$7:AO$70,Ins!F53,Tim!$C$7:$C$70)</f>
        <v>0</v>
      </c>
      <c r="Q53" s="80">
        <f>SUMIF(Tim!AP$7:AP$70,Ins!F53,Tim!$C$7:$C$70)</f>
        <v>0</v>
      </c>
      <c r="R53" s="80">
        <f>SUMIF(Tim!AQ$7:AQ$70,Ins!F53,Tim!$C$7:$C$70)+SUMIF(Tim!AR$7:AR$70,Ins!F53,Tim!$C$7:$C$70)+SUMIF(Tim!AS$7:AS$70,Ins!F53,Tim!$C$7:$C$70)</f>
        <v>0</v>
      </c>
      <c r="S53" s="236">
        <f>SUMIF(Tim!$AT$7:$AT$70,Ins!F53,Tim!$C$7:$C$70)+SUMIF(Tim!$AU$7:$AU$70,Ins!F53,Tim!$C$7:$C111)+SUMIF(Tim!$AV$7:$AV$70,Ins!F53,Tim!$C$7:$C$70)+SUMIF(Tim!$AW$7:$AW$70,Ins!F53,Tim!$C$7:$C$70)+SUMIF(Tim!$AX$7:$AX$70,Ins!F53,Tim!$C$7:$C$70)</f>
        <v>0</v>
      </c>
      <c r="T53" s="79">
        <f>SUMIF(Tim!$AY$7:$AY$70,Ins!F53,Tim!$B$7:$B$70)</f>
        <v>0</v>
      </c>
      <c r="U53" s="80">
        <f>SUMIF(Tim!$AZ$7:$AZ$70,Ins!F53,Tim!$B$7:$B$70)+SUMIF(Tim!$BA$7:$BA$70,Ins!F53,Tim!$B$7:$B$70)+SUMIF(Tim!$BB$7:$BB$70,Ins!F53,Tim!$B$7:$B$70)+SUMIF(Tim!$BC$7:$BC$70,Ins!F53,Tim!$B$7:$B$70)+SUMIF(Tim!$BD$7:$BD$70,Ins!F53,Tim!$B$7:$B$70)+SUMIF(Tim!$BE$7:$BE$70,Ins!F53,Tim!$B$7:$B$70)</f>
        <v>0</v>
      </c>
      <c r="V53" s="80">
        <f>SUMIF(Tim!$BF$7:$BF$70,Ins!F53,Tim!$B$7:$B$70)+SUMIF(Tim!$BG$7:$BG$70,Ins!F53,Tim!$B$7:$B$70)+SUMIF(Tim!$BH$7:$BH$70,Ins!F53,Tim!$B$7:$B$70)</f>
        <v>0</v>
      </c>
      <c r="W53" s="80">
        <f>SUMIF(Tim!$BI$7:$BI$70,Ins!F53,Tim!$B$7:$B$70)+SUMIF(Tim!$BJ$7:$BJ$70,Ins!F53,Tim!$B$7:$B$70)+SUMIF(Tim!$BK$7:$BK$70,Ins!F53,Tim!$B$7:$B$70)+SUMIF(Tim!$BL$7:$BL$70,Ins!F53,Tim!$B$7:$B$70)+SUMIF(Tim!$BM$7:$BM$70,Ins!F53,Tim!$B$7:$B$70)</f>
        <v>0</v>
      </c>
      <c r="X53" s="80">
        <f>SUMIF(Tim!$BN$7:$BN$70,Ins!F53,Tim!$B$7:$B$70)+SUMIF(Tim!$BO$7:$BO$70,Ins!F53,Tim!$B$7:$B$70)+SUMIF(Tim!$BP$7:$BP$70,Ins!F53,Tim!$B$7:$B$70)</f>
        <v>0</v>
      </c>
      <c r="Y53" s="80">
        <f>SUMIF(Tim!$BQ$7:$BQ$70,Ins!F53,Tim!$B$7:$B$70)+SUMIF(Tim!$BR$7:$BR$70,Ins!F53,Tim!$B$7:$B$70)+SUMIF(Tim!$BS$7:$BS$70,Ins!F53,Tim!$B$7:$B$70)</f>
        <v>0</v>
      </c>
      <c r="Z53" s="80">
        <f>SUMIF(Tim!BT$7:BT$70,Ins!F53,Tim!$B$7:$B$70)</f>
        <v>0</v>
      </c>
      <c r="AA53" s="80">
        <f>SUMIF(Tim!$BU$7:$BU$70,Ins!F53,Tim!$D$7:$D$70)+SUMIF(Tim!$BV$7:$BV$70,Ins!F53,Tim!$D$7:$D$70)+SUMIF(Tim!$BW$7:$BW$70,Ins!F53,Tim!$D$7:$D$70)+SUMIF(Tim!$BX$7:$BX$70,Ins!F53,Tim!$D$7:$D$70)+SUMIF(Tim!$BY$7:$BY$70,Ins!F53,Tim!$D$7:$D$70)+SUMIF(Tim!$BZ$7:$BZ$70,Ins!F53,Tim!$D$7:$D$70)+SUMIF(Tim!$CA$7:$CA$70,Ins!F53,Tim!$D$7:$D$70)+SUMIF(Tim!$CB$7:$CB$70,Ins!F53,Tim!$D$7:$D$70)+SUMIF(Tim!$CC$7:$CC$70,Ins!F53,Tim!$D$7:$D$70)+SUMIF(Tim!$CD$7:$CD$70,Ins!F53,Tim!$D$7:$D$70)+SUMIF(Tim!$CE$7:$CE$70,Ins!F53,Tim!$D$7:$D$70)+SUMIF(Tim!$CF$7:$CF$70,Ins!F53,Tim!$D$7:$D$70)</f>
        <v>0</v>
      </c>
      <c r="AB53" s="80">
        <f>SUMIF(Tim!CG$7:CG$70,Ins!F53,Tim!$C$7:$C$70)</f>
        <v>0</v>
      </c>
      <c r="AC53" s="80">
        <f>SUMIF(Tim!CH$7:CH$70,Ins!F53,Tim!$C$7:$C$70)</f>
        <v>0</v>
      </c>
      <c r="AD53" s="80">
        <f>SUMIF(Tim!CI$7:CI$70,Ins!F53,Tim!$C$7:$C$70)+SUMIF(Tim!CJ$7:CJ$70,Ins!F53,Tim!$C$7:$C$70)+SUMIF(Tim!CK$7:CK$70,Ins!F53,Tim!$C$7:$C$70)</f>
        <v>0</v>
      </c>
      <c r="AE53" s="81">
        <f>SUMIF(Tim!$CL$7:$CL$70,Ins!F53,Tim!$C$7:$C$70)+SUMIF(Tim!$CM$7:$CM$70,Ins!F53,Tim!$C$7:$C$70)+SUMIF(Tim!$CN$7:$CN$70,Ins!F53,Tim!$C$7:$C$70)+SUMIF(Tim!$CO$7:$CO$70,Ins!F53,Tim!$C$7:$C$70)+SUMIF(Tim!$CP$7:$CP$70,Ins!F53,Tim!$C$7:$C$70)</f>
        <v>0</v>
      </c>
      <c r="AF53" s="79">
        <f>SUMIF(Tim!$CQ$7:$CQ$70,Ins!F53,Tim!$B$7:$B$70)</f>
        <v>0</v>
      </c>
      <c r="AG53" s="80">
        <f>SUMIF(Tim!$CR$7:$CR$70,Ins!F53,Tim!$B$7:$B$70)+SUMIF(Tim!$CS$7:$CS$70,Ins!F53,Tim!$B$7:$B$70)+SUMIF(Tim!$CT$7:$CT$70,Ins!F53,Tim!$B$7:$B$70)+SUMIF(Tim!$CU$7:$CU$70,Ins!F53,Tim!$B$7:$B$70)+SUMIF(Tim!$CV$7:$CV$70,Ins!F53,Tim!$B$7:$B$70)+SUMIF(Tim!$CW$7:$CW$70,Ins!F53,Tim!$B$7:$B$70)</f>
        <v>0</v>
      </c>
      <c r="AH53" s="80">
        <f>SUMIF(Tim!$CX$7:$CX$70,Ins!F53,Tim!$B$7:$B$70)+SUMIF(Tim!$CY$7:$CY$70,Ins!F53,Tim!$B$7:$B$70)+SUMIF(Tim!$CZ$7:$CZ$70,Ins!F53,Tim!$B$7:$B$70)</f>
        <v>0</v>
      </c>
      <c r="AI53" s="80">
        <f>SUMIF(Tim!$DA$7:$DA$70,Ins!F53,Tim!$B$7:$B$70)+SUMIF(Tim!$DB$7:$DB$70,Ins!F53,Tim!$B$7:$B$70)+SUMIF(Tim!$DC$7:$DC$70,Ins!F53,Tim!$B$7:$B$70)+SUMIF(Tim!$DD$7:$DD$70,Ins!F53,Tim!$B$7:$B$70)+SUMIF(Tim!$DE$7:$DE$70,Ins!F53,Tim!$B$7:$B$70)</f>
        <v>0.5</v>
      </c>
      <c r="AJ53" s="80">
        <f>SUMIF(Tim!$DF$7:$DF$70,Ins!F53,Tim!$B$7:$B$70)+SUMIF(Tim!$DG$7:$DG$70,Ins!F53,Tim!$B$7:$B$70)+SUMIF(Tim!$DH$7:$DH$70,Ins!F53,Tim!$B$7:$B$70)</f>
        <v>0</v>
      </c>
      <c r="AK53" s="80">
        <f>SUMIF(Tim!DI$7:DI$70,Ins!F53,Tim!$B$7:$B$70)+SUMIF(Tim!DM$7:DM$70,Ins!F53,Tim!$B$7:$B$70)+SUMIF(Tim!DN$7:DN$70,Ins!F53,Tim!$B$7:$B$70)</f>
        <v>0</v>
      </c>
      <c r="AL53" s="80">
        <f>SUMIF(Tim!DO$7:DO$70,Ins!F53,Tim!$B$7:$B$70)</f>
        <v>0</v>
      </c>
      <c r="AM53" s="80">
        <f>SUMIF(Tim!$DP$7:$DP$70,Ins!F53,Tim!$D$7:$D$70)+SUMIF(Tim!$DQ$7:$DQ$70,Ins!F53,Tim!$D$7:$D$70)+SUMIF(Tim!$DR$7:$DR$70,Ins!F53,Tim!$D$7:$D$70)+SUMIF(Tim!$DS$7:$DS$70,Ins!F53,Tim!$D$7:$D$70)+SUMIF(Tim!$DT$7:$DT$70,Ins!F53,Tim!$D$7:$D$70)+SUMIF(Tim!$DU$7:$DU$70,Ins!F53,Tim!$D$7:$D$70)+SUMIF(Tim!$DV$7:$DV$70,Ins!F53,Tim!$D$7:$D$70)+SUMIF(Tim!$DW$7:$DW$70,Ins!F53,Tim!$D$7:$D$70)+SUMIF(Tim!$DX$7:$DX$70,Ins!F53,Tim!$D$7:$D$70)+SUMIF(Tim!$DY$7:$DY$70,Ins!F53,Tim!$D$7:$D$70)+SUMIF(Tim!$DZ$7:$DZ$70,Ins!F53,Tim!$D$7:$D$70)+SUMIF(Tim!$EA$7:$EA$70,Ins!F53,Tim!$D$7:$D$70)</f>
        <v>2.25</v>
      </c>
      <c r="AN53" s="80">
        <f>SUMIF(Tim!EB$7:EB$70,Ins!F53,Tim!$C$7:$C$70)</f>
        <v>0</v>
      </c>
      <c r="AO53" s="80">
        <f>SUMIF(Tim!EC$7:EC$70,Ins!F53,Tim!$C$7:$C$70)</f>
        <v>0</v>
      </c>
      <c r="AP53" s="80">
        <f>SUMIF(Tim!ED$7:ED$70,Ins!F53,Tim!$C$7:$C$70)+SUMIF(Tim!EE$7:EE$70,Ins!F53,Tim!$C$7:$C$70)+SUMIF(Tim!EF$7:EF$70,Ins!F53,Tim!$C$7:$C$70)</f>
        <v>0</v>
      </c>
      <c r="AQ53" s="81">
        <f>SUMIF(Tim!$EG$7:$EG$70,Ins!F53,Tim!$C$7:$C$70)+SUMIF(Tim!$EH$7:$EH$70,Ins!F53,Tim!$C$7:$C$70)+SUMIF(Tim!$EI$7:$EI$70,Ins!F53,Tim!$C$7:$C$70)+SUMIF(Tim!$EJ$7:$EJ$70,Ins!F53,Tim!$C$7:$C$70)+SUMIF(Tim!$EK$7:$EK$70,Ins!F53,Tim!$C$7:$C$70)</f>
        <v>0</v>
      </c>
      <c r="AR53" s="79">
        <f>SUMIF(Tim!$EL$5:$EL$70,Ins!F53,Tim!$B$5:$B$70)</f>
        <v>0</v>
      </c>
      <c r="AS53" s="80">
        <f>SUMIF(Tim!$EM$5:$EM$70,Ins!F53,Tim!$B$5:$B$70)+SUMIF(Tim!$EN$5:$EN$70,Ins!F53,Tim!$B$5:$B$70)+SUMIF(Tim!$EO$5:$EO$70,Ins!F53,Tim!$B$5:$B$70)+SUMIF(Tim!$EP$5:$EP$70,Ins!F53,Tim!$B$5:$B$70)+SUMIF(Tim!$EQ$5:$EQ$70,Ins!F53,Tim!$B$5:$B$70)+SUMIF(Tim!$ER$5:$ER$70,Ins!F53,Tim!$B$5:$B$70)</f>
        <v>0</v>
      </c>
      <c r="AT53" s="80">
        <f>SUMIF(Tim!$ES$5:$ES$70,Ins!F53,Tim!$B$5:$B$70)+SUMIF(Tim!$ET$5:$ET$70,Ins!F53,Tim!$B$5:$B$70)+SUMIF(Tim!$EU$5:$EU$70,Ins!F53,Tim!$B$5:$B$70)</f>
        <v>0</v>
      </c>
      <c r="AU53" s="80">
        <f>SUMIF(Tim!$EV$5:$EV$70,Ins!F53,Tim!$B$5:$B$70)+SUMIF(Tim!$EW$5:$EW$70,Ins!F53,Tim!$B$5:$B$70)+SUMIF(Tim!$EX$5:$EX$70,Ins!F53,Tim!$B$5:$B$70)+SUMIF(Tim!$EY$5:$EY$70,Ins!F53,Tim!$B$5:$B$70)+SUMIF(Tim!$EZ$5:$EZ$70,Ins!F53,Tim!$B$5:$B$70)</f>
        <v>0</v>
      </c>
      <c r="AV53" s="80">
        <f>SUMIF(Tim!$FA$5:$FA$70,Ins!F53,Tim!$B$5:$B$70)+SUMIF(Tim!$FB$5:$FB$70,Ins!F53,Tim!$B$5:$B$70)+SUMIF(Tim!$FC$5:$FC$70,Ins!F53,Tim!$B$5:$B$70)</f>
        <v>0</v>
      </c>
      <c r="AW53" s="80">
        <f>SUMIF(Tim!FD$5:FD$70,Ins!F53,Tim!$B$5:$B$70)+SUMIF(Tim!FE$5:FE$70,Ins!F53,Tim!$B$5:$B$70)+SUMIF(Tim!FF$5:FF$70,Ins!F53,Tim!$B$5:$B$70)</f>
        <v>0</v>
      </c>
      <c r="AX53" s="80">
        <f>SUMIF(Tim!FG$5:FG$70,Ins!F53,Tim!$B$5:$B$70)</f>
        <v>0</v>
      </c>
      <c r="AY53" s="80">
        <f>SUMIF(Tim!$FH$5:$FH$70,Ins!F53,Tim!$D$5:$D$70)+SUMIF(Tim!$FI$5:$FI$70,Ins!F53,Tim!$D$5:$D$70)+SUMIF(Tim!$FJ$5:$FJ$70,Ins!F53,Tim!$D$5:$D$70)+SUMIF(Tim!$FK$5:$FK$70,Ins!F53,Tim!$D$5:$D$70)+SUMIF(Tim!$FL$5:$FL$70,Ins!F53,Tim!$D$5:$D$70)+SUMIF(Tim!$FM$5:$FM$70,Ins!F53,Tim!$D$5:$D$70)+SUMIF(Tim!$FN$5:$FN$70,Ins!F53,Tim!$D$5:$D$70)+SUMIF(Tim!$FO$5:$FO$70,Ins!F53,Tim!$D$5:$D$70)+SUMIF(Tim!$FP$5:$FP$70,Ins!F53,Tim!$D$5:$D$70)+SUMIF(Tim!$FQ$5:$FQ$70,Ins!F53,Tim!$D$5:$D$70)+SUMIF(Tim!$FR$5:$FR$70,Ins!F53,Tim!$D$5:$D$70)+SUMIF(Tim!$FS$5:$FS$70,Ins!F53,Tim!$D$5:$D$70)</f>
        <v>0</v>
      </c>
      <c r="AZ53" s="80">
        <f>SUMIF(Tim!FT$5:FT$70,Ins!F53,Tim!$C$5:$C$70)</f>
        <v>0</v>
      </c>
      <c r="BA53" s="80">
        <f>SUMIF(Tim!FU$5:FU$70,Ins!F53,Tim!$C$5:$C$70)</f>
        <v>0</v>
      </c>
      <c r="BB53" s="80">
        <f>SUMIF(Tim!FV$5:FV$70,Ins!F53,Tim!$C$5:$C$70)+SUMIF(Tim!FW$5:FW$70,Ins!F53,Tim!$C$5:$C$70)+SUMIF(Tim!FX$5:FX$70,Ins!F53,Tim!$C$5:$C$70)</f>
        <v>0</v>
      </c>
      <c r="BC53" s="81">
        <f>SUMIF(Tim!$FY$5:$FY$70,Ins!F53,Tim!$C$5:$C$70)+SUMIF(Tim!$FZ$5:$FZ$70,Ins!F53,Tim!$C$5:$C$70)+SUMIF(Tim!$GA$5:$GA$70,Ins!F53,Tim!$C$5:$C$70)+SUMIF(Tim!$GB$5:$GB$70,Ins!F53,Tim!$C$5:$C$70)+SUMIF(Tim!$GC$5:$GC$70,Ins!F53,Tim!$C$5:$C$70)</f>
        <v>0</v>
      </c>
      <c r="BD53" s="79">
        <f>SUMIF(Tim!$GD$5:$GD$70,Ins!F53,Tim!$B$5:$B$70)</f>
        <v>0</v>
      </c>
      <c r="BE53" s="80">
        <f>SUMIF(Tim!$GE$5:$GE$70,Ins!F53,Tim!$B$5:$B$70)+SUMIF(Tim!$GF$5:$GF$70,Ins!F53,Tim!$B$5:$B$70)+SUMIF(Tim!$GG$5:$GG$70,Ins!F53,Tim!$B$5:$B$70)+SUMIF(Tim!$GH$5:$GH$70,Ins!F53,Tim!$B$5:$B$70)+SUMIF(Tim!$GI$5:$GI$70,Ins!F53,Tim!$B$5:$B$70)+SUMIF(Tim!$GJ$5:$GJ$70,Ins!F53,Tim!$B$5:$B$70)</f>
        <v>0</v>
      </c>
      <c r="BF53" s="80">
        <f>SUMIF(Tim!$GK$5:$GK$70,Ins!F53,Tim!$B$5:$B$70)+SUMIF(Tim!$GL$5:$GL$70,Ins!F53,Tim!$B$5:$B$70)+SUMIF(Tim!$GM$5:$GM$70,Ins!F53,Tim!$B$5:$B$70)</f>
        <v>0</v>
      </c>
      <c r="BG53" s="80">
        <f>SUMIF(Tim!$GN$5:$GN$70,Ins!F53,Tim!$B$5:$B$70)+SUMIF(Tim!$GO$5:$GO$70,Ins!F53,Tim!$B$5:$B$70)+SUMIF(Tim!$GP$5:$GP$70,Ins!F53,Tim!$B$5:$B$70)+SUMIF(Tim!$GQ$5:$GQ$70,Ins!F53,Tim!$B$5:$B$70)+SUMIF(Tim!$GR$5:$GR$70,Ins!F53,Tim!$B$5:$B$70)</f>
        <v>0</v>
      </c>
      <c r="BH53" s="80">
        <f>SUMIF(Tim!$GS$5:$GS$70,Ins!F53,Tim!$B$5:$B$70)+SUMIF(Tim!$GT$5:$GT$70,Ins!F53,Tim!$B$5:$B$70)+SUMIF(Tim!$GU$5:$GU$70,Ins!F53,Tim!$B$5:$B$70)</f>
        <v>0</v>
      </c>
      <c r="BI53" s="80">
        <f>SUMIF(Tim!GV$5:GV$70,Ins!F53,Tim!$B$5:$B$70)+SUMIF(Tim!GW$5:GW$70,Ins!F53,Tim!$B$5:$B$70)+SUMIF(Tim!GX$5:GX$70,Ins!F53,Tim!$B$5:$B$70)</f>
        <v>0</v>
      </c>
      <c r="BJ53" s="80">
        <f>SUMIF(Tim!GY$5:GY$70,Ins!F53,Tim!$B$5:$B$70)</f>
        <v>0</v>
      </c>
      <c r="BK53" s="80">
        <f>SUMIF(Tim!$GZ$5:$GZ$70,Ins!F53,Tim!$D$5:$D$70)+SUMIF(Tim!$HA$5:$HA$70,Ins!F53,Tim!$D$5:$D$70)+SUMIF(Tim!$HB$5:$HB$70,Ins!F53,Tim!$D$5:$D$70)++SUMIF(Tim!$HC$5:$HC$70,Ins!F53,Tim!$D$5:$D$70)+SUMIF(Tim!$HD$5:$HD$70,Ins!F53,Tim!$D$5:$D$70)+SUMIF(Tim!$HE$5:$HE$70,Ins!F53,Tim!$D$5:$D$70)+SUMIF(Tim!$HF$5:$HF$70,Ins!F53,Tim!$D$5:$D$70)+SUMIF(Tim!$HG$5:$HG$70,Ins!F53,Tim!$D$5:$D$70)+SUMIF(Tim!$HH$5:$HH$70,Ins!F53,Tim!$D$5:$D$70)+SUMIF(Tim!$HI$5:$HI$70,Ins!F53,Tim!$D$5:$D$70)+SUMIF(Tim!$HJ$5:$HJ$70,Ins!F53,Tim!$D$5:$D$70)+SUMIF(Tim!$HK$5:$HK$70,Ins!F53,Tim!$D$5:$D$70)</f>
        <v>0</v>
      </c>
      <c r="BL53" s="80">
        <f>SUMIF(Tim!HL$5:HL$70,Ins!F53,Tim!$C$5:$C$70)</f>
        <v>0</v>
      </c>
      <c r="BM53" s="80">
        <f>SUMIF(Tim!HM$5:HM$70,Ins!F53,Tim!$C$5:$C$70)</f>
        <v>0</v>
      </c>
      <c r="BN53" s="80">
        <f>SUMIF(Tim!HN$5:HN$70,Ins!F53,Tim!$C$5:$C$70)+SUMIF(Tim!HO$5:HO$70,Ins!F53,Tim!$C$5:$C$70)+SUMIF(Tim!HP$5:HP$70,Ins!F53,Tim!$C$5:$C$70)</f>
        <v>0</v>
      </c>
      <c r="BO53" s="81">
        <f>SUMIF(Tim!$HQ$5:$HQ$70,Ins!F53,Tim!$C$5:$C$70)+SUMIF(Tim!$HR$5:$HR$70,Ins!F53,Tim!$C$5:$C$70)+SUMIF(Tim!$HS$5:$HS$70,Ins!F53,Tim!$C$5:$C$70)+SUMIF(Tim!$HT$5:$HT$70,Ins!F53,Tim!$C$5:$C$70)+SUMIF(Tim!$HU$5:$HU$70,Ins!F53,Tim!$C$5:$C$70)</f>
        <v>0</v>
      </c>
      <c r="BP53" s="79">
        <f>SUMIF(Tim!$HV$7:$HV$70,Ins!F53,Tim!$B$7:$B$70)</f>
        <v>0</v>
      </c>
      <c r="BQ53" s="80">
        <f>SUMIF(Tim!$HW$7:$HW$70,Ins!F53,Tim!$B$7:$B$70)+SUMIF(Tim!$HX$7:$HX$70,Ins!F53,Tim!$B$7:$B$70)+SUMIF(Tim!$HY$7:$HY$70,Ins!F53,Tim!$B$7:$B$70)+SUMIF(Tim!$HZ$7:$HZ$70,Ins!F53,Tim!$B$7:$B$70)+SUMIF(Tim!$IA$7:$IA$70,Ins!F53,Tim!$B$7:$B$70)+SUMIF(Tim!$IB$7:$IB$70,Ins!F53,Tim!$B$7:$B$70)</f>
        <v>0</v>
      </c>
      <c r="BR53" s="80">
        <f>SUMIF(Tim!$IC$7:$IC$70,Ins!F53,Tim!$B$7:$B$70)+SUMIF(Tim!$ID$7:$ID$70,Ins!F53,Tim!$B$7:$B$70)+SUMIF(Tim!$IE$7:$IE$70,Ins!F53,Tim!$B$7:$B$70)</f>
        <v>0</v>
      </c>
      <c r="BS53" s="80">
        <f>SUMIF(Tim!$IF$7:$IF$70,Ins!F53,Tim!$B$7:$B$70)+SUMIF(Tim!$IG$7:$IG$70,Ins!F53,Tim!$B$7:$B$70)+SUMIF(Tim!$IH$7:$IH$70,Ins!F53,Tim!$B$7:$B$70)+SUMIF(Tim!$II$7:$II$70,Ins!F53,Tim!$B$7:$B$70)+SUMIF(Tim!$IJ$7:$IJ$70,Ins!F53,Tim!$B$7:$B$70)</f>
        <v>0</v>
      </c>
      <c r="BT53" s="80">
        <f>SUMIF(Tim!$IK$7:$IK$70,Ins!F53,Tim!$B$7:$B$70)+SUMIF(Tim!$IL$7:$IL$70,Ins!F53,Tim!$B$7:$B$70)+SUMIF(Tim!$IM$7:$IM$70,Ins!F53,Tim!$B$7:$B$70)</f>
        <v>0</v>
      </c>
      <c r="BU53" s="80">
        <f>SUMIF(Tim!$IN$7:$IN$70,Ins!F53,Tim!$B$7:$B$70)+SUMIF(Tim!$IO$7:$IO$70,Ins!F53,Tim!$B$7:$B$70)+SUMIF(Tim!$IP$7:$IP$70,Ins!F53,Tim!$B$7:$B$70)</f>
        <v>0</v>
      </c>
      <c r="BV53" s="80">
        <f>SUMIF(Tim!$IQ$7:$IQ$70,Ins!F53,Tim!$B$7:$B$70)</f>
        <v>0</v>
      </c>
      <c r="BW53" s="80">
        <f>SUMIF(Tim!$IR$7:$IR$70,Ins!F53,Tim!$D$7:$D$70)+SUMIF(Tim!$IS$7:$IS$70,Ins!F53,Tim!$D$7:$D$70)+SUMIF(Tim!$IT$7:$IT$70,Ins!F53,Tim!$D$7:$D$70)+SUMIF(Tim!$IU$7:$IU$70,Ins!F53,Tim!$D$7:$D$70)+SUMIF(Tim!$IV$7:$IV$70,Ins!F53,Tim!$D$7:$D$70)+SUMIF(Tim!$IW$7:$IW$70,Ins!F53,Tim!$D$7:$D$70)+SUMIF(Tim!$IX$7:$IX$70,Ins!F53,Tim!$D$7:$D$70)+SUMIF(Tim!$IY$7:$IY$70,Ins!F53,Tim!$D$7:$D$70)+SUMIF(Tim!$IZ$7:$IZ$70,Ins!F53,Tim!$D$7:$D$70)+SUMIF(Tim!$JA$7:$JA$70,Ins!F53,Tim!$D$7:$D$70)+SUMIF(Tim!$JB$7:$JB$70,Ins!F53,Tim!$D$7:$D$70)+SUMIF(Tim!$JC$7:$JC$70,Ins!F53,Tim!$D$7:$D$70)</f>
        <v>0</v>
      </c>
      <c r="BX53" s="80">
        <f>SUMIF(Tim!JD$7:JD$70,Ins!F53,Tim!$C$7:$C$70)</f>
        <v>0</v>
      </c>
      <c r="BY53" s="80">
        <f>SUMIF(Tim!JE$7:JE$70,Ins!F53,Tim!$C$7:$C$70)</f>
        <v>0</v>
      </c>
      <c r="BZ53" s="80">
        <f>SUMIF(Tim!JF$7:JF$70,Ins!F53,Tim!$C$7:$C$70)+SUMIF(Tim!JG$7:JG$70,Ins!F53,Tim!$C$7:$C$70)+SUMIF(Tim!JH$7:JH$70,Ins!F53,Tim!$C$7:$C$70)</f>
        <v>0</v>
      </c>
      <c r="CA53" s="81">
        <f>SUMIF(Tim!$JI$7:$JI$70,Ins!F53,Tim!$C$7:$C$70)++SUMIF(Tim!$JJ$7:$JJ$70,Ins!F53,Tim!$C$7:$C$70)+SUMIF(Tim!$JK$7:$JK$70,Ins!F53,Tim!$C$7:$C$70)+SUMIF(Tim!$JL$7:$JL$70,Ins!F53,Tim!$C$7:$C$70)+SUMIF(Tim!$JM$7:$JM$70,Ins!F53,Tim!$C$7:$C$70)</f>
        <v>0</v>
      </c>
      <c r="CB53" s="79">
        <f>SUMIF(Tim!$JN$7:$JN$70,Ins!F53,Tim!$B$7:$B$70)</f>
        <v>0</v>
      </c>
      <c r="CC53" s="80">
        <f>SUMIF(Tim!$JO$7:$JO$70,Ins!F53,Tim!$B$7:$B$70)+SUMIF(Tim!$JP$7:$JP$70,Ins!F53,Tim!$B$7:$B$70)+SUMIF(Tim!$JQ$7:$JQ$70,Ins!F53,Tim!$B$7:$B$70)+SUMIF(Tim!$JR$7:$JR$70,Ins!F53,Tim!$B$7:$B$70)+SUMIF(Tim!$JS$7:$JS$70,Ins!F53,Tim!$B$7:$B$70)+SUMIF(Tim!$JT$7:$JT$70,Ins!F53,Tim!$B$7:$B$70)</f>
        <v>0</v>
      </c>
      <c r="CD53" s="80">
        <f>SUMIF(Tim!$JW$7:$JW$70,Ins!F53,Tim!$B$7:$B$70)+SUMIF(Tim!$JU$7:$JU$70,Ins!F53,Tim!$B$7:$B$70)+SUMIF(Tim!$JV$7:$JV$70,Ins!F53,Tim!$B$7:$B$70)</f>
        <v>0</v>
      </c>
      <c r="CE53" s="80">
        <f>SUMIF(Tim!$JX$7:$JX$70,Ins!F53,Tim!$B$7:$B$70)+SUMIF(Tim!$JY$7:$JY$70,Ins!F53,Tim!$B$7:$B$70)+SUMIF(Tim!$JZ$7:$JZ$70,Ins!F53,Tim!$B$7:$B$70)+SUMIF(Tim!$KA$7:$KA$70,Ins!F53,Tim!$B$7:$B$70)+SUMIF(Tim!$KB$7:$KB$70,Ins!F53,Tim!$B$7:$B$70)</f>
        <v>0</v>
      </c>
      <c r="CF53" s="80">
        <f>SUMIF(Tim!$KE$7:$KE$70,Ins!F53,Tim!$B$7:$B$70)+SUMIF(Tim!$KC$7:$KC$70,Ins!F53,Tim!$B$7:$B$70)+SUMIF(Tim!$KD$7:$KD$70,Ins!F53,Tim!$B$7:$B$70)</f>
        <v>0</v>
      </c>
      <c r="CG53" s="80">
        <f>SUMIF(Tim!$KF$7:$KF$70,Ins!F53,Tim!$B$7:$B$70)+SUMIF(Tim!$KG$7:$KG$70,Ins!F53,Tim!$B$7:$B$70)+SUMIF(Tim!$KH$7:$KH$70,Ins!F53,Tim!$B$7:$B$70)</f>
        <v>0</v>
      </c>
      <c r="CH53" s="80">
        <f>SUMIF(Tim!$KI$7:$KI$70,Ins!F53,Tim!$B$7:$B$70)</f>
        <v>0</v>
      </c>
      <c r="CI53" s="80">
        <f>SUMIF(Tim!$KJ$7:$KJ$70,Ins!F53,Tim!$D$7:$D$70)+SUMIF(Tim!$KK$7:$KK$70,Ins!F53,Tim!$D$7:$D$70)+SUMIF(Tim!$KL$7:$KL$70,Ins!F53,Tim!$D$7:$D$70)+SUMIF(Tim!$KM$7:$KM$70,Ins!F53,Tim!$D$7:$D$70)+SUMIF(Tim!$KN$7:$KN$70,Ins!F53,Tim!$D$7:$D$70)+SUMIF(Tim!$KO$7:$KO$70,Ins!F53,Tim!$D$7:$D$70)+SUMIF(Tim!$KP$7:$KP$70,Ins!F53,Tim!$D$7:$D$70)+SUMIF(Tim!$KQ$7:$KQ$70,Ins!F53,Tim!$D$7:$D$70)+SUMIF(Tim!$KR$7:$KR$70,Ins!F53,Tim!$D$7:$D$70)+SUMIF(Tim!$KS$7:$KS$70,Ins!F53,Tim!$D$7:$D$70)+SUMIF(Tim!$KT$7:$KT$70,Ins!F53,Tim!$D$7:$D$70)+SUMIF(Tim!$KU$7:$KU$70,Ins!F53,Tim!$D$7:$D$70)</f>
        <v>0</v>
      </c>
      <c r="CJ53" s="80">
        <f>SUMIF(Tim!KV$7:KV$70,Ins!F53,Tim!$C$7:$C$70)</f>
        <v>0</v>
      </c>
      <c r="CK53" s="80">
        <f>SUMIF(Tim!KW$7:KW$70,Ins!F53,Tim!$C$7:$C$70)</f>
        <v>0</v>
      </c>
      <c r="CL53" s="80">
        <f>SUMIF(Tim!KX$7:KX$70,Ins!F53,Tim!$C$7:$C$70)+SUMIF(Tim!KY$7:KY$70,Ins!F53,Tim!$C$7:$C$70)+SUMIF(Tim!KZ$7:KZ$70,Ins!F53,Tim!$C$7:$C$70)</f>
        <v>0</v>
      </c>
      <c r="CM53" s="81">
        <f>SUMIF(Tim!$LA$7:$LA$70,Ins!F53,Tim!$C$7:$C$70)+SUMIF(Tim!$LB$7:$LB$70,Ins!F53,Tim!$C$7:$C$70)+SUMIF(Tim!$LC$7:$LC$70,Ins!F53,Tim!$C$7:$C$70)+SUMIF(Tim!$LD$7:$LD$70,Ins!F53,Tim!$C$7:$C$70)+SUMIF(Tim!$LE$7:$LE$70,Ins!F53,Tim!$C$7:$C$70)</f>
        <v>0</v>
      </c>
      <c r="CN53" s="22"/>
      <c r="CO53" s="180">
        <f t="shared" ref="CO53" si="455">H53+T53+AF53+AR53+BD53+BP53+CB53</f>
        <v>0</v>
      </c>
      <c r="CP53" s="179">
        <f t="shared" ref="CP53" si="456">I53+U53+AG53+AS53+BE53+BQ53+CC53</f>
        <v>0</v>
      </c>
      <c r="CQ53" s="179">
        <f t="shared" ref="CQ53" si="457">J53+V53+AH53+AT53+BF53+BR53+CD53</f>
        <v>0</v>
      </c>
      <c r="CR53" s="179">
        <f t="shared" ref="CR53" si="458">K53+W53+AI53+AU53+BG53+BS53+CE53</f>
        <v>0.5</v>
      </c>
      <c r="CS53" s="179">
        <f t="shared" ref="CS53" si="459">L53+X53+AJ53+AV53+BH53+BT53+CF53</f>
        <v>0</v>
      </c>
      <c r="CT53" s="179">
        <f t="shared" ref="CT53" si="460">M53+Y53+AK53+AW53+BI53+BU53+CG53</f>
        <v>0</v>
      </c>
      <c r="CU53" s="179">
        <f t="shared" ref="CU53" si="461">N53+Z53+AL53+AX53+BJ53+BV53+CH53</f>
        <v>0</v>
      </c>
      <c r="CV53" s="179">
        <f t="shared" ref="CV53" si="462">O53+AA53+AM53+AY53+BK53+BW53+CI53</f>
        <v>4.5</v>
      </c>
      <c r="CW53" s="179">
        <f t="shared" ref="CW53" si="463">P53+AB53+AN53+AZ53+BL53+BX53+CJ53</f>
        <v>0</v>
      </c>
      <c r="CX53" s="179">
        <f t="shared" ref="CX53" si="464">Q53+AC53+AO53+BA53+BM53+BY53+CK53</f>
        <v>0</v>
      </c>
      <c r="CY53" s="179">
        <f t="shared" ref="CY53" si="465">R53+AD53+AP53+BB53+BN53+BZ53+CL53</f>
        <v>0</v>
      </c>
      <c r="CZ53" s="179">
        <f t="shared" ref="CZ53" si="466">S53+AE53+AQ53+BC53+BO53+CA53+CM53</f>
        <v>0</v>
      </c>
      <c r="DA53" s="78">
        <f t="shared" ref="DA53" si="467">SUM(CO53:CZ53)</f>
        <v>5</v>
      </c>
      <c r="DB53" s="36"/>
      <c r="DC53" s="34">
        <f t="shared" ref="DC53" si="468">SUM(H53:S53)</f>
        <v>2.25</v>
      </c>
      <c r="DD53" s="34">
        <f t="shared" ref="DD53" si="469">SUM(T53:AE53)</f>
        <v>0</v>
      </c>
      <c r="DE53" s="34">
        <f t="shared" ref="DE53" si="470">SUM(AF53:AQ53)</f>
        <v>2.75</v>
      </c>
      <c r="DF53" s="34">
        <f t="shared" ref="DF53" si="471">SUM(AR53:BC53)</f>
        <v>0</v>
      </c>
      <c r="DG53" s="34">
        <f t="shared" ref="DG53" si="472">SUM(BD53:BO53)</f>
        <v>0</v>
      </c>
      <c r="DH53" s="34">
        <f t="shared" ref="DH53" si="473">SUM(BP53:CA53)</f>
        <v>0</v>
      </c>
      <c r="DI53" s="34">
        <f t="shared" ref="DI53" si="474">SUM(CB53:CM53)</f>
        <v>0</v>
      </c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7"/>
    </row>
    <row r="54" spans="1:125" s="33" customFormat="1" ht="12" customHeight="1">
      <c r="A54" s="10">
        <v>52</v>
      </c>
      <c r="B54" s="24" t="s">
        <v>428</v>
      </c>
      <c r="C54" s="234"/>
      <c r="D54" s="28"/>
      <c r="E54" s="28" t="s">
        <v>373</v>
      </c>
      <c r="F54" s="185" t="s">
        <v>427</v>
      </c>
      <c r="G54" s="205" t="s">
        <v>191</v>
      </c>
      <c r="H54" s="79">
        <f>SUMIF(Tim!$F$7:$F$70,Ins!F54,Tim!$B$7:$B$70)</f>
        <v>0</v>
      </c>
      <c r="I54" s="80">
        <f>SUMIF(Tim!$G$7:$G$70,Ins!F54,Tim!$B$7:$B$70)+SUMIF(Tim!$H$7:$H$70,Ins!F54,Tim!$B$7:$B$70)+SUMIF(Tim!$I$7:$I$70,Ins!F54,Tim!$B$7:$B$70)+SUMIF(Tim!$J$7:$J$70,Ins!F54,Tim!$B$7:$B$70)+SUMIF(Tim!$K$7:$K$70,Ins!F54,Tim!$B$7:$B$70)+SUMIF(Tim!$L$7:$L$70,Ins!F54,Tim!$B$7:$B$70)</f>
        <v>0</v>
      </c>
      <c r="J54" s="80">
        <f>SUMIF(Tim!$M$7:$M$70,Ins!F54,Tim!$B$7:$B$70)+SUMIF(Tim!$O$7:$O$70,Ins!F54,Tim!$B$7:$B$70)+SUMIF(Tim!$N$7:$N$70,Ins!F54,Tim!$B$7:$B$70)</f>
        <v>0</v>
      </c>
      <c r="K54" s="80">
        <f>SUMIF(Tim!$P$7:$P$70,Ins!F54,Tim!$B$7:$B$70)+SUMIF(Tim!$Q$7:$Q$70,Ins!F54,Tim!$B$7:$B$70)+SUMIF(Tim!$R$7:$R$70,Ins!F54,Tim!$B$7:$B$70)+SUMIF(Tim!$S$7:$S$70,Ins!F54,Tim!$B$7:$B$70)+SUMIF(Tim!$T$7:$T$70,Ins!F54,Tim!$B$7:$B$70)</f>
        <v>0</v>
      </c>
      <c r="L54" s="80">
        <f>SUMIF(Tim!$U$7:$U$70,Ins!F54,Tim!$B$7:$B$70)+SUMIF(Tim!$W$7:$W$70,Ins!F54,Tim!$B$7:$B$70)+SUMIF(Tim!$X$7:$X$70,Ins!F54,Tim!$B$7:$B$70)</f>
        <v>0</v>
      </c>
      <c r="M54" s="80">
        <f>SUMIF(Tim!$Y$7:$Y$70,Ins!F54,Tim!$B$7:$B$70)+SUMIF(Tim!$Z$7:$Z$70,Ins!F54,Tim!$B$7:$B$70)+SUMIF(Tim!$AA$7:$AA$70,Ins!F54,Tim!$B$7:$B$70)</f>
        <v>0</v>
      </c>
      <c r="N54" s="80">
        <f>SUMIF(Tim!$AB$7:$AB$70,Ins!F54,Tim!$B$7:$B$70)</f>
        <v>0</v>
      </c>
      <c r="O54" s="80">
        <f>SUMIF(Tim!$AC$7:$AC$70,Ins!F54,Tim!$D$7:$D$70)+SUMIF(Tim!$AD$7:$AD$70,Ins!F54,Tim!$D$7:$D$70)+SUMIF(Tim!$AE$7:$AE$70,Ins!F54,Tim!$D$7:$D$70)+SUMIF(Tim!$AF$7:$AF$70,Ins!F54,Tim!$D$7:$D$70)+SUMIF(Tim!$AG$7:$AG$70,Ins!F54,Tim!$D$7:$D$70)+SUMIF(Tim!$AH$7:$AH$70,Ins!F54,Tim!$D$7:$D$70)+SUMIF(Tim!$AI$7:$AI$70,Ins!F54,Tim!$D$7:$D$70)+SUMIF(Tim!$AJ$7:$AJ$70,Ins!F54,Tim!$D$7:$D$70)+SUMIF(Tim!$AK$7:$AK$70,Ins!F54,Tim!$D$7:$D$70)+SUMIF(Tim!$AL$7:$AL$70,Ins!F54,Tim!$D$7:$D$70)+SUMIF(Tim!$AM$7:$AM$70,Ins!F54,Tim!$D$7:$D$70)+SUMIF(Tim!$AN$7:$AN$70,Ins!F54,Tim!$D$7:$D$70)</f>
        <v>0</v>
      </c>
      <c r="P54" s="80">
        <f>SUMIF(Tim!AO$7:AO$70,Ins!F54,Tim!$C$7:$C$70)</f>
        <v>0</v>
      </c>
      <c r="Q54" s="80">
        <f>SUMIF(Tim!AP$7:AP$70,Ins!F54,Tim!$C$7:$C$70)</f>
        <v>0</v>
      </c>
      <c r="R54" s="80">
        <f>SUMIF(Tim!AQ$7:AQ$70,Ins!F54,Tim!$C$7:$C$70)+SUMIF(Tim!AR$7:AR$70,Ins!F54,Tim!$C$7:$C$70)+SUMIF(Tim!AS$7:AS$70,Ins!F54,Tim!$C$7:$C$70)</f>
        <v>0</v>
      </c>
      <c r="S54" s="236">
        <f>SUMIF(Tim!$AT$7:$AT$70,Ins!F54,Tim!$C$7:$C$70)+SUMIF(Tim!$AU$7:$AU$70,Ins!F54,Tim!$C$7:$C112)+SUMIF(Tim!$AV$7:$AV$70,Ins!F54,Tim!$C$7:$C$70)+SUMIF(Tim!$AW$7:$AW$70,Ins!F54,Tim!$C$7:$C$70)+SUMIF(Tim!$AX$7:$AX$70,Ins!F54,Tim!$C$7:$C$70)</f>
        <v>1</v>
      </c>
      <c r="T54" s="79">
        <f>SUMIF(Tim!$AY$7:$AY$70,Ins!F54,Tim!$B$7:$B$70)</f>
        <v>0</v>
      </c>
      <c r="U54" s="80">
        <f>SUMIF(Tim!$AZ$7:$AZ$70,Ins!F54,Tim!$B$7:$B$70)+SUMIF(Tim!$BA$7:$BA$70,Ins!F54,Tim!$B$7:$B$70)+SUMIF(Tim!$BB$7:$BB$70,Ins!F54,Tim!$B$7:$B$70)+SUMIF(Tim!$BC$7:$BC$70,Ins!F54,Tim!$B$7:$B$70)+SUMIF(Tim!$BD$7:$BD$70,Ins!F54,Tim!$B$7:$B$70)+SUMIF(Tim!$BE$7:$BE$70,Ins!F54,Tim!$B$7:$B$70)</f>
        <v>0</v>
      </c>
      <c r="V54" s="80">
        <f>SUMIF(Tim!$BF$7:$BF$70,Ins!F54,Tim!$B$7:$B$70)+SUMIF(Tim!$BG$7:$BG$70,Ins!F54,Tim!$B$7:$B$70)+SUMIF(Tim!$BH$7:$BH$70,Ins!F54,Tim!$B$7:$B$70)</f>
        <v>0</v>
      </c>
      <c r="W54" s="80">
        <f>SUMIF(Tim!$BI$7:$BI$70,Ins!F54,Tim!$B$7:$B$70)+SUMIF(Tim!$BJ$7:$BJ$70,Ins!F54,Tim!$B$7:$B$70)+SUMIF(Tim!$BK$7:$BK$70,Ins!F54,Tim!$B$7:$B$70)+SUMIF(Tim!$BL$7:$BL$70,Ins!F54,Tim!$B$7:$B$70)+SUMIF(Tim!$BM$7:$BM$70,Ins!F54,Tim!$B$7:$B$70)</f>
        <v>0</v>
      </c>
      <c r="X54" s="80">
        <f>SUMIF(Tim!$BN$7:$BN$70,Ins!F54,Tim!$B$7:$B$70)+SUMIF(Tim!$BO$7:$BO$70,Ins!F54,Tim!$B$7:$B$70)+SUMIF(Tim!$BP$7:$BP$70,Ins!F54,Tim!$B$7:$B$70)</f>
        <v>0</v>
      </c>
      <c r="Y54" s="80">
        <f>SUMIF(Tim!$BQ$7:$BQ$70,Ins!F54,Tim!$B$7:$B$70)+SUMIF(Tim!$BR$7:$BR$70,Ins!F54,Tim!$B$7:$B$70)+SUMIF(Tim!$BS$7:$BS$70,Ins!F54,Tim!$B$7:$B$70)</f>
        <v>0</v>
      </c>
      <c r="Z54" s="80">
        <f>SUMIF(Tim!BT$7:BT$70,Ins!F54,Tim!$B$7:$B$70)</f>
        <v>0</v>
      </c>
      <c r="AA54" s="80">
        <f>SUMIF(Tim!$BU$7:$BU$70,Ins!F54,Tim!$D$7:$D$70)+SUMIF(Tim!$BV$7:$BV$70,Ins!F54,Tim!$D$7:$D$70)+SUMIF(Tim!$BW$7:$BW$70,Ins!F54,Tim!$D$7:$D$70)+SUMIF(Tim!$BX$7:$BX$70,Ins!F54,Tim!$D$7:$D$70)+SUMIF(Tim!$BY$7:$BY$70,Ins!F54,Tim!$D$7:$D$70)+SUMIF(Tim!$BZ$7:$BZ$70,Ins!F54,Tim!$D$7:$D$70)+SUMIF(Tim!$CA$7:$CA$70,Ins!F54,Tim!$D$7:$D$70)+SUMIF(Tim!$CB$7:$CB$70,Ins!F54,Tim!$D$7:$D$70)+SUMIF(Tim!$CC$7:$CC$70,Ins!F54,Tim!$D$7:$D$70)+SUMIF(Tim!$CD$7:$CD$70,Ins!F54,Tim!$D$7:$D$70)+SUMIF(Tim!$CE$7:$CE$70,Ins!F54,Tim!$D$7:$D$70)+SUMIF(Tim!$CF$7:$CF$70,Ins!F54,Tim!$D$7:$D$70)</f>
        <v>0</v>
      </c>
      <c r="AB54" s="80">
        <f>SUMIF(Tim!CG$7:CG$70,Ins!F54,Tim!$C$7:$C$70)</f>
        <v>0</v>
      </c>
      <c r="AC54" s="80">
        <f>SUMIF(Tim!CH$7:CH$70,Ins!F54,Tim!$C$7:$C$70)</f>
        <v>0</v>
      </c>
      <c r="AD54" s="80">
        <f>SUMIF(Tim!CI$7:CI$70,Ins!F54,Tim!$C$7:$C$70)+SUMIF(Tim!CJ$7:CJ$70,Ins!F54,Tim!$C$7:$C$70)+SUMIF(Tim!CK$7:CK$70,Ins!F54,Tim!$C$7:$C$70)</f>
        <v>0</v>
      </c>
      <c r="AE54" s="81">
        <f>SUMIF(Tim!$CL$7:$CL$70,Ins!F54,Tim!$C$7:$C$70)+SUMIF(Tim!$CM$7:$CM$70,Ins!F54,Tim!$C$7:$C$70)+SUMIF(Tim!$CN$7:$CN$70,Ins!F54,Tim!$C$7:$C$70)+SUMIF(Tim!$CO$7:$CO$70,Ins!F54,Tim!$C$7:$C$70)+SUMIF(Tim!$CP$7:$CP$70,Ins!F54,Tim!$C$7:$C$70)</f>
        <v>0</v>
      </c>
      <c r="AF54" s="79">
        <f>SUMIF(Tim!$CQ$7:$CQ$70,Ins!F54,Tim!$B$7:$B$70)</f>
        <v>0</v>
      </c>
      <c r="AG54" s="80">
        <f>SUMIF(Tim!$CR$7:$CR$70,Ins!F54,Tim!$B$7:$B$70)+SUMIF(Tim!$CS$7:$CS$70,Ins!F54,Tim!$B$7:$B$70)+SUMIF(Tim!$CT$7:$CT$70,Ins!F54,Tim!$B$7:$B$70)+SUMIF(Tim!$CU$7:$CU$70,Ins!F54,Tim!$B$7:$B$70)+SUMIF(Tim!$CV$7:$CV$70,Ins!F54,Tim!$B$7:$B$70)+SUMIF(Tim!$CW$7:$CW$70,Ins!F54,Tim!$B$7:$B$70)</f>
        <v>0</v>
      </c>
      <c r="AH54" s="80">
        <f>SUMIF(Tim!$CX$7:$CX$70,Ins!F54,Tim!$B$7:$B$70)+SUMIF(Tim!$CY$7:$CY$70,Ins!F54,Tim!$B$7:$B$70)+SUMIF(Tim!$CZ$7:$CZ$70,Ins!F54,Tim!$B$7:$B$70)</f>
        <v>0</v>
      </c>
      <c r="AI54" s="80">
        <f>SUMIF(Tim!$DA$7:$DA$70,Ins!F54,Tim!$B$7:$B$70)+SUMIF(Tim!$DB$7:$DB$70,Ins!F54,Tim!$B$7:$B$70)+SUMIF(Tim!$DC$7:$DC$70,Ins!F54,Tim!$B$7:$B$70)+SUMIF(Tim!$DD$7:$DD$70,Ins!F54,Tim!$B$7:$B$70)+SUMIF(Tim!$DE$7:$DE$70,Ins!F54,Tim!$B$7:$B$70)</f>
        <v>0</v>
      </c>
      <c r="AJ54" s="80">
        <f>SUMIF(Tim!$DF$7:$DF$70,Ins!F54,Tim!$B$7:$B$70)+SUMIF(Tim!$DG$7:$DG$70,Ins!F54,Tim!$B$7:$B$70)+SUMIF(Tim!$DH$7:$DH$70,Ins!F54,Tim!$B$7:$B$70)</f>
        <v>0</v>
      </c>
      <c r="AK54" s="80">
        <f>SUMIF(Tim!DI$7:DI$70,Ins!F54,Tim!$B$7:$B$70)+SUMIF(Tim!DM$7:DM$70,Ins!F54,Tim!$B$7:$B$70)+SUMIF(Tim!DN$7:DN$70,Ins!F54,Tim!$B$7:$B$70)</f>
        <v>0</v>
      </c>
      <c r="AL54" s="80">
        <f>SUMIF(Tim!DO$7:DO$70,Ins!F54,Tim!$B$7:$B$70)</f>
        <v>0</v>
      </c>
      <c r="AM54" s="80">
        <f>SUMIF(Tim!$DP$7:$DP$70,Ins!F54,Tim!$D$7:$D$70)+SUMIF(Tim!$DQ$7:$DQ$70,Ins!F54,Tim!$D$7:$D$70)+SUMIF(Tim!$DR$7:$DR$70,Ins!F54,Tim!$D$7:$D$70)+SUMIF(Tim!$DS$7:$DS$70,Ins!F54,Tim!$D$7:$D$70)+SUMIF(Tim!$DT$7:$DT$70,Ins!F54,Tim!$D$7:$D$70)+SUMIF(Tim!$DU$7:$DU$70,Ins!F54,Tim!$D$7:$D$70)+SUMIF(Tim!$DV$7:$DV$70,Ins!F54,Tim!$D$7:$D$70)+SUMIF(Tim!$DW$7:$DW$70,Ins!F54,Tim!$D$7:$D$70)+SUMIF(Tim!$DX$7:$DX$70,Ins!F54,Tim!$D$7:$D$70)+SUMIF(Tim!$DY$7:$DY$70,Ins!F54,Tim!$D$7:$D$70)+SUMIF(Tim!$DZ$7:$DZ$70,Ins!F54,Tim!$D$7:$D$70)+SUMIF(Tim!$EA$7:$EA$70,Ins!F54,Tim!$D$7:$D$70)</f>
        <v>0</v>
      </c>
      <c r="AN54" s="80">
        <f>SUMIF(Tim!EB$7:EB$70,Ins!F54,Tim!$C$7:$C$70)</f>
        <v>0</v>
      </c>
      <c r="AO54" s="80">
        <f>SUMIF(Tim!EC$7:EC$70,Ins!F54,Tim!$C$7:$C$70)</f>
        <v>0</v>
      </c>
      <c r="AP54" s="80">
        <f>SUMIF(Tim!ED$7:ED$70,Ins!F54,Tim!$C$7:$C$70)+SUMIF(Tim!EE$7:EE$70,Ins!F54,Tim!$C$7:$C$70)+SUMIF(Tim!EF$7:EF$70,Ins!F54,Tim!$C$7:$C$70)</f>
        <v>0</v>
      </c>
      <c r="AQ54" s="81">
        <f>SUMIF(Tim!$EG$7:$EG$70,Ins!F54,Tim!$C$7:$C$70)+SUMIF(Tim!$EH$7:$EH$70,Ins!F54,Tim!$C$7:$C$70)+SUMIF(Tim!$EI$7:$EI$70,Ins!F54,Tim!$C$7:$C$70)+SUMIF(Tim!$EJ$7:$EJ$70,Ins!F54,Tim!$C$7:$C$70)+SUMIF(Tim!$EK$7:$EK$70,Ins!F54,Tim!$C$7:$C$70)</f>
        <v>1</v>
      </c>
      <c r="AR54" s="79">
        <f>SUMIF(Tim!$EL$5:$EL$70,Ins!F54,Tim!$B$5:$B$70)</f>
        <v>0</v>
      </c>
      <c r="AS54" s="80">
        <f>SUMIF(Tim!$EM$5:$EM$70,Ins!F54,Tim!$B$5:$B$70)+SUMIF(Tim!$EN$5:$EN$70,Ins!F54,Tim!$B$5:$B$70)+SUMIF(Tim!$EO$5:$EO$70,Ins!F54,Tim!$B$5:$B$70)+SUMIF(Tim!$EP$5:$EP$70,Ins!F54,Tim!$B$5:$B$70)+SUMIF(Tim!$EQ$5:$EQ$70,Ins!F54,Tim!$B$5:$B$70)+SUMIF(Tim!$ER$5:$ER$70,Ins!F54,Tim!$B$5:$B$70)</f>
        <v>0</v>
      </c>
      <c r="AT54" s="80">
        <f>SUMIF(Tim!$ES$5:$ES$70,Ins!F54,Tim!$B$5:$B$70)+SUMIF(Tim!$ET$5:$ET$70,Ins!F54,Tim!$B$5:$B$70)+SUMIF(Tim!$EU$5:$EU$70,Ins!F54,Tim!$B$5:$B$70)</f>
        <v>0</v>
      </c>
      <c r="AU54" s="80">
        <f>SUMIF(Tim!$EV$5:$EV$70,Ins!F54,Tim!$B$5:$B$70)+SUMIF(Tim!$EW$5:$EW$70,Ins!F54,Tim!$B$5:$B$70)+SUMIF(Tim!$EX$5:$EX$70,Ins!F54,Tim!$B$5:$B$70)+SUMIF(Tim!$EY$5:$EY$70,Ins!F54,Tim!$B$5:$B$70)+SUMIF(Tim!$EZ$5:$EZ$70,Ins!F54,Tim!$B$5:$B$70)</f>
        <v>0</v>
      </c>
      <c r="AV54" s="80">
        <f>SUMIF(Tim!$FA$5:$FA$70,Ins!F54,Tim!$B$5:$B$70)+SUMIF(Tim!$FB$5:$FB$70,Ins!F54,Tim!$B$5:$B$70)+SUMIF(Tim!$FC$5:$FC$70,Ins!F54,Tim!$B$5:$B$70)</f>
        <v>0</v>
      </c>
      <c r="AW54" s="80">
        <f>SUMIF(Tim!FD$5:FD$70,Ins!F54,Tim!$B$5:$B$70)+SUMIF(Tim!FE$5:FE$70,Ins!F54,Tim!$B$5:$B$70)+SUMIF(Tim!FF$5:FF$70,Ins!F54,Tim!$B$5:$B$70)</f>
        <v>0</v>
      </c>
      <c r="AX54" s="80">
        <f>SUMIF(Tim!FG$5:FG$70,Ins!F54,Tim!$B$5:$B$70)</f>
        <v>0</v>
      </c>
      <c r="AY54" s="80">
        <f>SUMIF(Tim!$FH$5:$FH$70,Ins!F54,Tim!$D$5:$D$70)+SUMIF(Tim!$FI$5:$FI$70,Ins!F54,Tim!$D$5:$D$70)+SUMIF(Tim!$FJ$5:$FJ$70,Ins!F54,Tim!$D$5:$D$70)+SUMIF(Tim!$FK$5:$FK$70,Ins!F54,Tim!$D$5:$D$70)+SUMIF(Tim!$FL$5:$FL$70,Ins!F54,Tim!$D$5:$D$70)+SUMIF(Tim!$FM$5:$FM$70,Ins!F54,Tim!$D$5:$D$70)+SUMIF(Tim!$FN$5:$FN$70,Ins!F54,Tim!$D$5:$D$70)+SUMIF(Tim!$FO$5:$FO$70,Ins!F54,Tim!$D$5:$D$70)+SUMIF(Tim!$FP$5:$FP$70,Ins!F54,Tim!$D$5:$D$70)+SUMIF(Tim!$FQ$5:$FQ$70,Ins!F54,Tim!$D$5:$D$70)+SUMIF(Tim!$FR$5:$FR$70,Ins!F54,Tim!$D$5:$D$70)+SUMIF(Tim!$FS$5:$FS$70,Ins!F54,Tim!$D$5:$D$70)</f>
        <v>0</v>
      </c>
      <c r="AZ54" s="80">
        <f>SUMIF(Tim!FT$5:FT$70,Ins!F54,Tim!$C$5:$C$70)</f>
        <v>0</v>
      </c>
      <c r="BA54" s="80">
        <f>SUMIF(Tim!FU$5:FU$70,Ins!F54,Tim!$C$5:$C$70)</f>
        <v>0</v>
      </c>
      <c r="BB54" s="80">
        <f>SUMIF(Tim!FV$5:FV$70,Ins!F54,Tim!$C$5:$C$70)+SUMIF(Tim!FW$5:FW$70,Ins!F54,Tim!$C$5:$C$70)+SUMIF(Tim!FX$5:FX$70,Ins!F54,Tim!$C$5:$C$70)</f>
        <v>0</v>
      </c>
      <c r="BC54" s="81">
        <f>SUMIF(Tim!$FY$5:$FY$70,Ins!F54,Tim!$C$5:$C$70)+SUMIF(Tim!$FZ$5:$FZ$70,Ins!F54,Tim!$C$5:$C$70)+SUMIF(Tim!$GA$5:$GA$70,Ins!F54,Tim!$C$5:$C$70)+SUMIF(Tim!$GB$5:$GB$70,Ins!F54,Tim!$C$5:$C$70)+SUMIF(Tim!$GC$5:$GC$70,Ins!F54,Tim!$C$5:$C$70)</f>
        <v>0</v>
      </c>
      <c r="BD54" s="79">
        <f>SUMIF(Tim!$GD$5:$GD$70,Ins!F54,Tim!$B$5:$B$70)</f>
        <v>0</v>
      </c>
      <c r="BE54" s="80">
        <f>SUMIF(Tim!$GE$5:$GE$70,Ins!F54,Tim!$B$5:$B$70)+SUMIF(Tim!$GF$5:$GF$70,Ins!F54,Tim!$B$5:$B$70)+SUMIF(Tim!$GG$5:$GG$70,Ins!F54,Tim!$B$5:$B$70)+SUMIF(Tim!$GH$5:$GH$70,Ins!F54,Tim!$B$5:$B$70)+SUMIF(Tim!$GI$5:$GI$70,Ins!F54,Tim!$B$5:$B$70)+SUMIF(Tim!$GJ$5:$GJ$70,Ins!F54,Tim!$B$5:$B$70)</f>
        <v>0</v>
      </c>
      <c r="BF54" s="80">
        <f>SUMIF(Tim!$GK$5:$GK$70,Ins!F54,Tim!$B$5:$B$70)+SUMIF(Tim!$GL$5:$GL$70,Ins!F54,Tim!$B$5:$B$70)+SUMIF(Tim!$GM$5:$GM$70,Ins!F54,Tim!$B$5:$B$70)</f>
        <v>0</v>
      </c>
      <c r="BG54" s="80">
        <f>SUMIF(Tim!$GN$5:$GN$70,Ins!F54,Tim!$B$5:$B$70)+SUMIF(Tim!$GO$5:$GO$70,Ins!F54,Tim!$B$5:$B$70)+SUMIF(Tim!$GP$5:$GP$70,Ins!F54,Tim!$B$5:$B$70)+SUMIF(Tim!$GQ$5:$GQ$70,Ins!F54,Tim!$B$5:$B$70)+SUMIF(Tim!$GR$5:$GR$70,Ins!F54,Tim!$B$5:$B$70)</f>
        <v>0</v>
      </c>
      <c r="BH54" s="80">
        <f>SUMIF(Tim!$GS$5:$GS$70,Ins!F54,Tim!$B$5:$B$70)+SUMIF(Tim!$GT$5:$GT$70,Ins!F54,Tim!$B$5:$B$70)+SUMIF(Tim!$GU$5:$GU$70,Ins!F54,Tim!$B$5:$B$70)</f>
        <v>0</v>
      </c>
      <c r="BI54" s="80">
        <f>SUMIF(Tim!GV$5:GV$70,Ins!F54,Tim!$B$5:$B$70)+SUMIF(Tim!GW$5:GW$70,Ins!F54,Tim!$B$5:$B$70)+SUMIF(Tim!GX$5:GX$70,Ins!F54,Tim!$B$5:$B$70)</f>
        <v>0</v>
      </c>
      <c r="BJ54" s="80">
        <f>SUMIF(Tim!GY$5:GY$70,Ins!F54,Tim!$B$5:$B$70)</f>
        <v>0</v>
      </c>
      <c r="BK54" s="80">
        <f>SUMIF(Tim!$GZ$5:$GZ$70,Ins!F54,Tim!$D$5:$D$70)+SUMIF(Tim!$HA$5:$HA$70,Ins!F54,Tim!$D$5:$D$70)+SUMIF(Tim!$HB$5:$HB$70,Ins!F54,Tim!$D$5:$D$70)++SUMIF(Tim!$HC$5:$HC$70,Ins!F54,Tim!$D$5:$D$70)+SUMIF(Tim!$HD$5:$HD$70,Ins!F54,Tim!$D$5:$D$70)+SUMIF(Tim!$HE$5:$HE$70,Ins!F54,Tim!$D$5:$D$70)+SUMIF(Tim!$HF$5:$HF$70,Ins!F54,Tim!$D$5:$D$70)+SUMIF(Tim!$HG$5:$HG$70,Ins!F54,Tim!$D$5:$D$70)+SUMIF(Tim!$HH$5:$HH$70,Ins!F54,Tim!$D$5:$D$70)+SUMIF(Tim!$HI$5:$HI$70,Ins!F54,Tim!$D$5:$D$70)+SUMIF(Tim!$HJ$5:$HJ$70,Ins!F54,Tim!$D$5:$D$70)+SUMIF(Tim!$HK$5:$HK$70,Ins!F54,Tim!$D$5:$D$70)</f>
        <v>0</v>
      </c>
      <c r="BL54" s="80">
        <f>SUMIF(Tim!HL$5:HL$70,Ins!F54,Tim!$C$5:$C$70)</f>
        <v>0</v>
      </c>
      <c r="BM54" s="80">
        <f>SUMIF(Tim!HM$5:HM$70,Ins!F54,Tim!$C$5:$C$70)</f>
        <v>0</v>
      </c>
      <c r="BN54" s="80">
        <f>SUMIF(Tim!HN$5:HN$70,Ins!F54,Tim!$C$5:$C$70)+SUMIF(Tim!HO$5:HO$70,Ins!F54,Tim!$C$5:$C$70)+SUMIF(Tim!HP$5:HP$70,Ins!F54,Tim!$C$5:$C$70)</f>
        <v>0</v>
      </c>
      <c r="BO54" s="81">
        <f>SUMIF(Tim!$HQ$5:$HQ$70,Ins!F54,Tim!$C$5:$C$70)+SUMIF(Tim!$HR$5:$HR$70,Ins!F54,Tim!$C$5:$C$70)+SUMIF(Tim!$HS$5:$HS$70,Ins!F54,Tim!$C$5:$C$70)+SUMIF(Tim!$HT$5:$HT$70,Ins!F54,Tim!$C$5:$C$70)+SUMIF(Tim!$HU$5:$HU$70,Ins!F54,Tim!$C$5:$C$70)</f>
        <v>0</v>
      </c>
      <c r="BP54" s="79">
        <f>SUMIF(Tim!$HV$7:$HV$70,Ins!F54,Tim!$B$7:$B$70)</f>
        <v>0</v>
      </c>
      <c r="BQ54" s="80">
        <f>SUMIF(Tim!$HW$7:$HW$70,Ins!F54,Tim!$B$7:$B$70)+SUMIF(Tim!$HX$7:$HX$70,Ins!F54,Tim!$B$7:$B$70)+SUMIF(Tim!$HY$7:$HY$70,Ins!F54,Tim!$B$7:$B$70)+SUMIF(Tim!$HZ$7:$HZ$70,Ins!F54,Tim!$B$7:$B$70)+SUMIF(Tim!$IA$7:$IA$70,Ins!F54,Tim!$B$7:$B$70)+SUMIF(Tim!$IB$7:$IB$70,Ins!F54,Tim!$B$7:$B$70)</f>
        <v>0</v>
      </c>
      <c r="BR54" s="80">
        <f>SUMIF(Tim!$IC$7:$IC$70,Ins!F54,Tim!$B$7:$B$70)+SUMIF(Tim!$ID$7:$ID$70,Ins!F54,Tim!$B$7:$B$70)+SUMIF(Tim!$IE$7:$IE$70,Ins!F54,Tim!$B$7:$B$70)</f>
        <v>0</v>
      </c>
      <c r="BS54" s="80">
        <f>SUMIF(Tim!$IF$7:$IF$70,Ins!F54,Tim!$B$7:$B$70)+SUMIF(Tim!$IG$7:$IG$70,Ins!F54,Tim!$B$7:$B$70)+SUMIF(Tim!$IH$7:$IH$70,Ins!F54,Tim!$B$7:$B$70)+SUMIF(Tim!$II$7:$II$70,Ins!F54,Tim!$B$7:$B$70)+SUMIF(Tim!$IJ$7:$IJ$70,Ins!F54,Tim!$B$7:$B$70)</f>
        <v>0</v>
      </c>
      <c r="BT54" s="80">
        <f>SUMIF(Tim!$IK$7:$IK$70,Ins!F54,Tim!$B$7:$B$70)+SUMIF(Tim!$IL$7:$IL$70,Ins!F54,Tim!$B$7:$B$70)+SUMIF(Tim!$IM$7:$IM$70,Ins!F54,Tim!$B$7:$B$70)</f>
        <v>0</v>
      </c>
      <c r="BU54" s="80">
        <f>SUMIF(Tim!$IN$7:$IN$70,Ins!F54,Tim!$B$7:$B$70)+SUMIF(Tim!$IO$7:$IO$70,Ins!F54,Tim!$B$7:$B$70)+SUMIF(Tim!$IP$7:$IP$70,Ins!F54,Tim!$B$7:$B$70)</f>
        <v>0</v>
      </c>
      <c r="BV54" s="80">
        <f>SUMIF(Tim!$IQ$7:$IQ$70,Ins!F54,Tim!$B$7:$B$70)</f>
        <v>0</v>
      </c>
      <c r="BW54" s="80">
        <f>SUMIF(Tim!$IR$7:$IR$70,Ins!F54,Tim!$D$7:$D$70)+SUMIF(Tim!$IS$7:$IS$70,Ins!F54,Tim!$D$7:$D$70)+SUMIF(Tim!$IT$7:$IT$70,Ins!F54,Tim!$D$7:$D$70)+SUMIF(Tim!$IU$7:$IU$70,Ins!F54,Tim!$D$7:$D$70)+SUMIF(Tim!$IV$7:$IV$70,Ins!F54,Tim!$D$7:$D$70)+SUMIF(Tim!$IW$7:$IW$70,Ins!F54,Tim!$D$7:$D$70)+SUMIF(Tim!$IX$7:$IX$70,Ins!F54,Tim!$D$7:$D$70)+SUMIF(Tim!$IY$7:$IY$70,Ins!F54,Tim!$D$7:$D$70)+SUMIF(Tim!$IZ$7:$IZ$70,Ins!F54,Tim!$D$7:$D$70)+SUMIF(Tim!$JA$7:$JA$70,Ins!F54,Tim!$D$7:$D$70)+SUMIF(Tim!$JB$7:$JB$70,Ins!F54,Tim!$D$7:$D$70)+SUMIF(Tim!$JC$7:$JC$70,Ins!F54,Tim!$D$7:$D$70)</f>
        <v>0</v>
      </c>
      <c r="BX54" s="80">
        <f>SUMIF(Tim!JD$7:JD$70,Ins!F54,Tim!$C$7:$C$70)</f>
        <v>0</v>
      </c>
      <c r="BY54" s="80">
        <f>SUMIF(Tim!JE$7:JE$70,Ins!F54,Tim!$C$7:$C$70)</f>
        <v>0</v>
      </c>
      <c r="BZ54" s="80">
        <f>SUMIF(Tim!JF$7:JF$70,Ins!F54,Tim!$C$7:$C$70)+SUMIF(Tim!JG$7:JG$70,Ins!F54,Tim!$C$7:$C$70)+SUMIF(Tim!JH$7:JH$70,Ins!F54,Tim!$C$7:$C$70)</f>
        <v>0</v>
      </c>
      <c r="CA54" s="81">
        <f>SUMIF(Tim!$JI$7:$JI$70,Ins!F54,Tim!$C$7:$C$70)++SUMIF(Tim!$JJ$7:$JJ$70,Ins!F54,Tim!$C$7:$C$70)+SUMIF(Tim!$JK$7:$JK$70,Ins!F54,Tim!$C$7:$C$70)+SUMIF(Tim!$JL$7:$JL$70,Ins!F54,Tim!$C$7:$C$70)+SUMIF(Tim!$JM$7:$JM$70,Ins!F54,Tim!$C$7:$C$70)</f>
        <v>0</v>
      </c>
      <c r="CB54" s="79">
        <f>SUMIF(Tim!$JN$7:$JN$70,Ins!F54,Tim!$B$7:$B$70)</f>
        <v>0</v>
      </c>
      <c r="CC54" s="80">
        <f>SUMIF(Tim!$JO$7:$JO$70,Ins!F54,Tim!$B$7:$B$70)+SUMIF(Tim!$JP$7:$JP$70,Ins!F54,Tim!$B$7:$B$70)+SUMIF(Tim!$JQ$7:$JQ$70,Ins!F54,Tim!$B$7:$B$70)+SUMIF(Tim!$JR$7:$JR$70,Ins!F54,Tim!$B$7:$B$70)+SUMIF(Tim!$JS$7:$JS$70,Ins!F54,Tim!$B$7:$B$70)+SUMIF(Tim!$JT$7:$JT$70,Ins!F54,Tim!$B$7:$B$70)</f>
        <v>0</v>
      </c>
      <c r="CD54" s="80">
        <f>SUMIF(Tim!$JW$7:$JW$70,Ins!F54,Tim!$B$7:$B$70)+SUMIF(Tim!$JU$7:$JU$70,Ins!F54,Tim!$B$7:$B$70)+SUMIF(Tim!$JV$7:$JV$70,Ins!F54,Tim!$B$7:$B$70)</f>
        <v>0</v>
      </c>
      <c r="CE54" s="80">
        <f>SUMIF(Tim!$JX$7:$JX$70,Ins!F54,Tim!$B$7:$B$70)+SUMIF(Tim!$JY$7:$JY$70,Ins!F54,Tim!$B$7:$B$70)+SUMIF(Tim!$JZ$7:$JZ$70,Ins!F54,Tim!$B$7:$B$70)+SUMIF(Tim!$KA$7:$KA$70,Ins!F54,Tim!$B$7:$B$70)+SUMIF(Tim!$KB$7:$KB$70,Ins!F54,Tim!$B$7:$B$70)</f>
        <v>0</v>
      </c>
      <c r="CF54" s="80">
        <f>SUMIF(Tim!$KE$7:$KE$70,Ins!F54,Tim!$B$7:$B$70)+SUMIF(Tim!$KC$7:$KC$70,Ins!F54,Tim!$B$7:$B$70)+SUMIF(Tim!$KD$7:$KD$70,Ins!F54,Tim!$B$7:$B$70)</f>
        <v>0</v>
      </c>
      <c r="CG54" s="80">
        <f>SUMIF(Tim!$KF$7:$KF$70,Ins!F54,Tim!$B$7:$B$70)+SUMIF(Tim!$KG$7:$KG$70,Ins!F54,Tim!$B$7:$B$70)+SUMIF(Tim!$KH$7:$KH$70,Ins!F54,Tim!$B$7:$B$70)</f>
        <v>0</v>
      </c>
      <c r="CH54" s="80">
        <f>SUMIF(Tim!$KI$7:$KI$70,Ins!F54,Tim!$B$7:$B$70)</f>
        <v>0</v>
      </c>
      <c r="CI54" s="80">
        <f>SUMIF(Tim!$KJ$7:$KJ$70,Ins!F54,Tim!$D$7:$D$70)+SUMIF(Tim!$KK$7:$KK$70,Ins!F54,Tim!$D$7:$D$70)+SUMIF(Tim!$KL$7:$KL$70,Ins!F54,Tim!$D$7:$D$70)+SUMIF(Tim!$KM$7:$KM$70,Ins!F54,Tim!$D$7:$D$70)+SUMIF(Tim!$KN$7:$KN$70,Ins!F54,Tim!$D$7:$D$70)+SUMIF(Tim!$KO$7:$KO$70,Ins!F54,Tim!$D$7:$D$70)+SUMIF(Tim!$KP$7:$KP$70,Ins!F54,Tim!$D$7:$D$70)+SUMIF(Tim!$KQ$7:$KQ$70,Ins!F54,Tim!$D$7:$D$70)+SUMIF(Tim!$KR$7:$KR$70,Ins!F54,Tim!$D$7:$D$70)+SUMIF(Tim!$KS$7:$KS$70,Ins!F54,Tim!$D$7:$D$70)+SUMIF(Tim!$KT$7:$KT$70,Ins!F54,Tim!$D$7:$D$70)+SUMIF(Tim!$KU$7:$KU$70,Ins!F54,Tim!$D$7:$D$70)</f>
        <v>0</v>
      </c>
      <c r="CJ54" s="80">
        <f>SUMIF(Tim!KV$7:KV$70,Ins!F54,Tim!$C$7:$C$70)</f>
        <v>0</v>
      </c>
      <c r="CK54" s="80">
        <f>SUMIF(Tim!KW$7:KW$70,Ins!F54,Tim!$C$7:$C$70)</f>
        <v>0</v>
      </c>
      <c r="CL54" s="80">
        <f>SUMIF(Tim!KX$7:KX$70,Ins!F54,Tim!$C$7:$C$70)+SUMIF(Tim!KY$7:KY$70,Ins!F54,Tim!$C$7:$C$70)+SUMIF(Tim!KZ$7:KZ$70,Ins!F54,Tim!$C$7:$C$70)</f>
        <v>0</v>
      </c>
      <c r="CM54" s="81">
        <f>SUMIF(Tim!$LA$7:$LA$70,Ins!F54,Tim!$C$7:$C$70)+SUMIF(Tim!$LB$7:$LB$70,Ins!F54,Tim!$C$7:$C$70)+SUMIF(Tim!$LC$7:$LC$70,Ins!F54,Tim!$C$7:$C$70)+SUMIF(Tim!$LD$7:$LD$70,Ins!F54,Tim!$C$7:$C$70)+SUMIF(Tim!$LE$7:$LE$70,Ins!F54,Tim!$C$7:$C$70)</f>
        <v>0</v>
      </c>
      <c r="CN54" s="22"/>
      <c r="CO54" s="180">
        <f t="shared" ref="CO54" si="475">H54+T54+AF54+AR54+BD54+BP54+CB54</f>
        <v>0</v>
      </c>
      <c r="CP54" s="179">
        <f t="shared" ref="CP54" si="476">I54+U54+AG54+AS54+BE54+BQ54+CC54</f>
        <v>0</v>
      </c>
      <c r="CQ54" s="179">
        <f t="shared" ref="CQ54" si="477">J54+V54+AH54+AT54+BF54+BR54+CD54</f>
        <v>0</v>
      </c>
      <c r="CR54" s="179">
        <f t="shared" ref="CR54" si="478">K54+W54+AI54+AU54+BG54+BS54+CE54</f>
        <v>0</v>
      </c>
      <c r="CS54" s="179">
        <f t="shared" ref="CS54" si="479">L54+X54+AJ54+AV54+BH54+BT54+CF54</f>
        <v>0</v>
      </c>
      <c r="CT54" s="179">
        <f t="shared" ref="CT54" si="480">M54+Y54+AK54+AW54+BI54+BU54+CG54</f>
        <v>0</v>
      </c>
      <c r="CU54" s="179">
        <f t="shared" ref="CU54" si="481">N54+Z54+AL54+AX54+BJ54+BV54+CH54</f>
        <v>0</v>
      </c>
      <c r="CV54" s="179">
        <f t="shared" ref="CV54" si="482">O54+AA54+AM54+AY54+BK54+BW54+CI54</f>
        <v>0</v>
      </c>
      <c r="CW54" s="179">
        <f t="shared" ref="CW54" si="483">P54+AB54+AN54+AZ54+BL54+BX54+CJ54</f>
        <v>0</v>
      </c>
      <c r="CX54" s="179">
        <f t="shared" ref="CX54" si="484">Q54+AC54+AO54+BA54+BM54+BY54+CK54</f>
        <v>0</v>
      </c>
      <c r="CY54" s="179">
        <f t="shared" ref="CY54" si="485">R54+AD54+AP54+BB54+BN54+BZ54+CL54</f>
        <v>0</v>
      </c>
      <c r="CZ54" s="179">
        <f t="shared" ref="CZ54" si="486">S54+AE54+AQ54+BC54+BO54+CA54+CM54</f>
        <v>2</v>
      </c>
      <c r="DA54" s="78">
        <f t="shared" ref="DA54" si="487">SUM(CO54:CZ54)</f>
        <v>2</v>
      </c>
      <c r="DB54" s="36"/>
      <c r="DC54" s="34">
        <f t="shared" ref="DC54" si="488">SUM(H54:S54)</f>
        <v>1</v>
      </c>
      <c r="DD54" s="34">
        <f t="shared" ref="DD54" si="489">SUM(T54:AE54)</f>
        <v>0</v>
      </c>
      <c r="DE54" s="34">
        <f t="shared" ref="DE54" si="490">SUM(AF54:AQ54)</f>
        <v>1</v>
      </c>
      <c r="DF54" s="34">
        <f t="shared" ref="DF54" si="491">SUM(AR54:BC54)</f>
        <v>0</v>
      </c>
      <c r="DG54" s="34">
        <f t="shared" ref="DG54" si="492">SUM(BD54:BO54)</f>
        <v>0</v>
      </c>
      <c r="DH54" s="34">
        <f t="shared" ref="DH54" si="493">SUM(BP54:CA54)</f>
        <v>0</v>
      </c>
      <c r="DI54" s="34">
        <f t="shared" ref="DI54" si="494">SUM(CB54:CM54)</f>
        <v>0</v>
      </c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7"/>
    </row>
    <row r="55" spans="1:125" s="33" customFormat="1" ht="12" customHeight="1">
      <c r="A55" s="10">
        <v>53</v>
      </c>
      <c r="B55" s="24" t="s">
        <v>409</v>
      </c>
      <c r="C55" s="234"/>
      <c r="D55" s="28"/>
      <c r="E55" s="28" t="s">
        <v>373</v>
      </c>
      <c r="F55" s="185" t="s">
        <v>391</v>
      </c>
      <c r="G55" s="205" t="s">
        <v>191</v>
      </c>
      <c r="H55" s="79">
        <f>SUMIF(Tim!$F$7:$F$70,Ins!F55,Tim!$B$7:$B$70)</f>
        <v>0</v>
      </c>
      <c r="I55" s="80">
        <f>SUMIF(Tim!$G$7:$G$70,Ins!F55,Tim!$B$7:$B$70)+SUMIF(Tim!$H$7:$H$70,Ins!F55,Tim!$B$7:$B$70)+SUMIF(Tim!$I$7:$I$70,Ins!F55,Tim!$B$7:$B$70)+SUMIF(Tim!$J$7:$J$70,Ins!F55,Tim!$B$7:$B$70)+SUMIF(Tim!$K$7:$K$70,Ins!F55,Tim!$B$7:$B$70)+SUMIF(Tim!$L$7:$L$70,Ins!F55,Tim!$B$7:$B$70)</f>
        <v>0</v>
      </c>
      <c r="J55" s="80">
        <f>SUMIF(Tim!$M$7:$M$70,Ins!F55,Tim!$B$7:$B$70)+SUMIF(Tim!$O$7:$O$70,Ins!F55,Tim!$B$7:$B$70)+SUMIF(Tim!$N$7:$N$70,Ins!F55,Tim!$B$7:$B$70)</f>
        <v>0</v>
      </c>
      <c r="K55" s="80">
        <f>SUMIF(Tim!$P$7:$P$70,Ins!F55,Tim!$B$7:$B$70)+SUMIF(Tim!$Q$7:$Q$70,Ins!F55,Tim!$B$7:$B$70)+SUMIF(Tim!$R$7:$R$70,Ins!F55,Tim!$B$7:$B$70)+SUMIF(Tim!$S$7:$S$70,Ins!F55,Tim!$B$7:$B$70)+SUMIF(Tim!$T$7:$T$70,Ins!F55,Tim!$B$7:$B$70)</f>
        <v>0</v>
      </c>
      <c r="L55" s="80">
        <f>SUMIF(Tim!$U$7:$U$70,Ins!F55,Tim!$B$7:$B$70)+SUMIF(Tim!$W$7:$W$70,Ins!F55,Tim!$B$7:$B$70)+SUMIF(Tim!$X$7:$X$70,Ins!F55,Tim!$B$7:$B$70)</f>
        <v>0</v>
      </c>
      <c r="M55" s="80">
        <f>SUMIF(Tim!$Y$7:$Y$70,Ins!F55,Tim!$B$7:$B$70)+SUMIF(Tim!$Z$7:$Z$70,Ins!F55,Tim!$B$7:$B$70)+SUMIF(Tim!$AA$7:$AA$70,Ins!F55,Tim!$B$7:$B$70)</f>
        <v>0</v>
      </c>
      <c r="N55" s="80">
        <f>SUMIF(Tim!$AB$7:$AB$70,Ins!F55,Tim!$B$7:$B$70)</f>
        <v>0</v>
      </c>
      <c r="O55" s="80">
        <f>SUMIF(Tim!$AC$7:$AC$70,Ins!F55,Tim!$D$7:$D$70)+SUMIF(Tim!$AD$7:$AD$70,Ins!F55,Tim!$D$7:$D$70)+SUMIF(Tim!$AE$7:$AE$70,Ins!F55,Tim!$D$7:$D$70)+SUMIF(Tim!$AF$7:$AF$70,Ins!F55,Tim!$D$7:$D$70)+SUMIF(Tim!$AG$7:$AG$70,Ins!F55,Tim!$D$7:$D$70)+SUMIF(Tim!$AH$7:$AH$70,Ins!F55,Tim!$D$7:$D$70)+SUMIF(Tim!$AI$7:$AI$70,Ins!F55,Tim!$D$7:$D$70)+SUMIF(Tim!$AJ$7:$AJ$70,Ins!F55,Tim!$D$7:$D$70)+SUMIF(Tim!$AK$7:$AK$70,Ins!F55,Tim!$D$7:$D$70)+SUMIF(Tim!$AL$7:$AL$70,Ins!F55,Tim!$D$7:$D$70)+SUMIF(Tim!$AM$7:$AM$70,Ins!F55,Tim!$D$7:$D$70)+SUMIF(Tim!$AN$7:$AN$70,Ins!F55,Tim!$D$7:$D$70)</f>
        <v>0</v>
      </c>
      <c r="P55" s="80">
        <f>SUMIF(Tim!AO$7:AO$70,Ins!F55,Tim!$C$7:$C$70)</f>
        <v>0</v>
      </c>
      <c r="Q55" s="80">
        <f>SUMIF(Tim!AP$7:AP$70,Ins!F55,Tim!$C$7:$C$70)</f>
        <v>0</v>
      </c>
      <c r="R55" s="80">
        <f>SUMIF(Tim!AQ$7:AQ$70,Ins!F55,Tim!$C$7:$C$70)+SUMIF(Tim!AR$7:AR$70,Ins!F55,Tim!$C$7:$C$70)+SUMIF(Tim!AS$7:AS$70,Ins!F55,Tim!$C$7:$C$70)</f>
        <v>0</v>
      </c>
      <c r="S55" s="236">
        <f>SUMIF(Tim!$AT$7:$AT$70,Ins!F55,Tim!$C$7:$C$70)+SUMIF(Tim!$AU$7:$AU$70,Ins!F55,Tim!$C$7:$C102)+SUMIF(Tim!$AV$7:$AV$70,Ins!F55,Tim!$C$7:$C$70)+SUMIF(Tim!$AW$7:$AW$70,Ins!F55,Tim!$C$7:$C$70)+SUMIF(Tim!$AX$7:$AX$70,Ins!F55,Tim!$C$7:$C$70)</f>
        <v>0</v>
      </c>
      <c r="T55" s="79">
        <f>SUMIF(Tim!$AY$7:$AY$70,Ins!F55,Tim!$B$7:$B$70)</f>
        <v>0</v>
      </c>
      <c r="U55" s="80">
        <f>SUMIF(Tim!$AZ$7:$AZ$70,Ins!F55,Tim!$B$7:$B$70)+SUMIF(Tim!$BA$7:$BA$70,Ins!F55,Tim!$B$7:$B$70)+SUMIF(Tim!$BB$7:$BB$70,Ins!F55,Tim!$B$7:$B$70)+SUMIF(Tim!$BC$7:$BC$70,Ins!F55,Tim!$B$7:$B$70)+SUMIF(Tim!$BD$7:$BD$70,Ins!F55,Tim!$B$7:$B$70)+SUMIF(Tim!$BE$7:$BE$70,Ins!F55,Tim!$B$7:$B$70)</f>
        <v>0</v>
      </c>
      <c r="V55" s="80">
        <f>SUMIF(Tim!$BF$7:$BF$70,Ins!F55,Tim!$B$7:$B$70)+SUMIF(Tim!$BG$7:$BG$70,Ins!F55,Tim!$B$7:$B$70)+SUMIF(Tim!$BH$7:$BH$70,Ins!F55,Tim!$B$7:$B$70)</f>
        <v>0</v>
      </c>
      <c r="W55" s="80">
        <f>SUMIF(Tim!$BI$7:$BI$70,Ins!F55,Tim!$B$7:$B$70)+SUMIF(Tim!$BJ$7:$BJ$70,Ins!F55,Tim!$B$7:$B$70)+SUMIF(Tim!$BK$7:$BK$70,Ins!F55,Tim!$B$7:$B$70)+SUMIF(Tim!$BL$7:$BL$70,Ins!F55,Tim!$B$7:$B$70)+SUMIF(Tim!$BM$7:$BM$70,Ins!F55,Tim!$B$7:$B$70)</f>
        <v>0</v>
      </c>
      <c r="X55" s="80">
        <f>SUMIF(Tim!$BN$7:$BN$70,Ins!F55,Tim!$B$7:$B$70)+SUMIF(Tim!$BO$7:$BO$70,Ins!F55,Tim!$B$7:$B$70)+SUMIF(Tim!$BP$7:$BP$70,Ins!F55,Tim!$B$7:$B$70)</f>
        <v>0</v>
      </c>
      <c r="Y55" s="80">
        <f>SUMIF(Tim!$BQ$7:$BQ$70,Ins!F55,Tim!$B$7:$B$70)+SUMIF(Tim!$BR$7:$BR$70,Ins!F55,Tim!$B$7:$B$70)+SUMIF(Tim!$BS$7:$BS$70,Ins!F55,Tim!$B$7:$B$70)</f>
        <v>0</v>
      </c>
      <c r="Z55" s="80">
        <f>SUMIF(Tim!BT$7:BT$70,Ins!F55,Tim!$B$7:$B$70)</f>
        <v>0</v>
      </c>
      <c r="AA55" s="80">
        <f>SUMIF(Tim!$BU$7:$BU$70,Ins!F55,Tim!$D$7:$D$70)+SUMIF(Tim!$BV$7:$BV$70,Ins!F55,Tim!$D$7:$D$70)+SUMIF(Tim!$BW$7:$BW$70,Ins!F55,Tim!$D$7:$D$70)+SUMIF(Tim!$BX$7:$BX$70,Ins!F55,Tim!$D$7:$D$70)+SUMIF(Tim!$BY$7:$BY$70,Ins!F55,Tim!$D$7:$D$70)+SUMIF(Tim!$BZ$7:$BZ$70,Ins!F55,Tim!$D$7:$D$70)+SUMIF(Tim!$CA$7:$CA$70,Ins!F55,Tim!$D$7:$D$70)+SUMIF(Tim!$CB$7:$CB$70,Ins!F55,Tim!$D$7:$D$70)+SUMIF(Tim!$CC$7:$CC$70,Ins!F55,Tim!$D$7:$D$70)+SUMIF(Tim!$CD$7:$CD$70,Ins!F55,Tim!$D$7:$D$70)+SUMIF(Tim!$CE$7:$CE$70,Ins!F55,Tim!$D$7:$D$70)+SUMIF(Tim!$CF$7:$CF$70,Ins!F55,Tim!$D$7:$D$70)</f>
        <v>0</v>
      </c>
      <c r="AB55" s="80">
        <f>SUMIF(Tim!CG$7:CG$70,Ins!F55,Tim!$C$7:$C$70)</f>
        <v>0</v>
      </c>
      <c r="AC55" s="80">
        <f>SUMIF(Tim!CH$7:CH$70,Ins!F55,Tim!$C$7:$C$70)</f>
        <v>0</v>
      </c>
      <c r="AD55" s="80">
        <f>SUMIF(Tim!CI$7:CI$70,Ins!F55,Tim!$C$7:$C$70)+SUMIF(Tim!CJ$7:CJ$70,Ins!F55,Tim!$C$7:$C$70)+SUMIF(Tim!CK$7:CK$70,Ins!F55,Tim!$C$7:$C$70)</f>
        <v>0</v>
      </c>
      <c r="AE55" s="81">
        <f>SUMIF(Tim!$CL$7:$CL$70,Ins!F55,Tim!$C$7:$C$70)+SUMIF(Tim!$CM$7:$CM$70,Ins!F55,Tim!$C$7:$C$70)+SUMIF(Tim!$CN$7:$CN$70,Ins!F55,Tim!$C$7:$C$70)+SUMIF(Tim!$CO$7:$CO$70,Ins!F55,Tim!$C$7:$C$70)+SUMIF(Tim!$CP$7:$CP$70,Ins!F55,Tim!$C$7:$C$70)</f>
        <v>0</v>
      </c>
      <c r="AF55" s="79">
        <f>SUMIF(Tim!$CQ$7:$CQ$70,Ins!F55,Tim!$B$7:$B$70)</f>
        <v>0</v>
      </c>
      <c r="AG55" s="80">
        <f>SUMIF(Tim!$CR$7:$CR$70,Ins!F55,Tim!$B$7:$B$70)+SUMIF(Tim!$CS$7:$CS$70,Ins!F55,Tim!$B$7:$B$70)+SUMIF(Tim!$CT$7:$CT$70,Ins!F55,Tim!$B$7:$B$70)+SUMIF(Tim!$CU$7:$CU$70,Ins!F55,Tim!$B$7:$B$70)+SUMIF(Tim!$CV$7:$CV$70,Ins!F55,Tim!$B$7:$B$70)+SUMIF(Tim!$CW$7:$CW$70,Ins!F55,Tim!$B$7:$B$70)</f>
        <v>0</v>
      </c>
      <c r="AH55" s="80">
        <f>SUMIF(Tim!$CX$7:$CX$70,Ins!F55,Tim!$B$7:$B$70)+SUMIF(Tim!$CY$7:$CY$70,Ins!F55,Tim!$B$7:$B$70)+SUMIF(Tim!$CZ$7:$CZ$70,Ins!F55,Tim!$B$7:$B$70)</f>
        <v>0</v>
      </c>
      <c r="AI55" s="80">
        <f>SUMIF(Tim!$DA$7:$DA$70,Ins!F55,Tim!$B$7:$B$70)+SUMIF(Tim!$DB$7:$DB$70,Ins!F55,Tim!$B$7:$B$70)+SUMIF(Tim!$DC$7:$DC$70,Ins!F55,Tim!$B$7:$B$70)+SUMIF(Tim!$DD$7:$DD$70,Ins!F55,Tim!$B$7:$B$70)+SUMIF(Tim!$DE$7:$DE$70,Ins!F55,Tim!$B$7:$B$70)</f>
        <v>0</v>
      </c>
      <c r="AJ55" s="80">
        <f>SUMIF(Tim!$DF$7:$DF$70,Ins!F55,Tim!$B$7:$B$70)+SUMIF(Tim!$DG$7:$DG$70,Ins!F55,Tim!$B$7:$B$70)+SUMIF(Tim!$DH$7:$DH$70,Ins!F55,Tim!$B$7:$B$70)</f>
        <v>0</v>
      </c>
      <c r="AK55" s="80">
        <f>SUMIF(Tim!DI$7:DI$70,Ins!F55,Tim!$B$7:$B$70)+SUMIF(Tim!DM$7:DM$70,Ins!F55,Tim!$B$7:$B$70)+SUMIF(Tim!DN$7:DN$70,Ins!F55,Tim!$B$7:$B$70)</f>
        <v>0</v>
      </c>
      <c r="AL55" s="80">
        <f>SUMIF(Tim!DO$7:DO$70,Ins!F55,Tim!$B$7:$B$70)</f>
        <v>0</v>
      </c>
      <c r="AM55" s="80">
        <f>SUMIF(Tim!$DP$7:$DP$70,Ins!F55,Tim!$D$7:$D$70)+SUMIF(Tim!$DQ$7:$DQ$70,Ins!F55,Tim!$D$7:$D$70)+SUMIF(Tim!$DR$7:$DR$70,Ins!F55,Tim!$D$7:$D$70)+SUMIF(Tim!$DS$7:$DS$70,Ins!F55,Tim!$D$7:$D$70)+SUMIF(Tim!$DT$7:$DT$70,Ins!F55,Tim!$D$7:$D$70)+SUMIF(Tim!$DU$7:$DU$70,Ins!F55,Tim!$D$7:$D$70)+SUMIF(Tim!$DV$7:$DV$70,Ins!F55,Tim!$D$7:$D$70)+SUMIF(Tim!$DW$7:$DW$70,Ins!F55,Tim!$D$7:$D$70)+SUMIF(Tim!$DX$7:$DX$70,Ins!F55,Tim!$D$7:$D$70)+SUMIF(Tim!$DY$7:$DY$70,Ins!F55,Tim!$D$7:$D$70)+SUMIF(Tim!$DZ$7:$DZ$70,Ins!F55,Tim!$D$7:$D$70)+SUMIF(Tim!$EA$7:$EA$70,Ins!F55,Tim!$D$7:$D$70)</f>
        <v>0</v>
      </c>
      <c r="AN55" s="80">
        <f>SUMIF(Tim!EB$7:EB$70,Ins!F55,Tim!$C$7:$C$70)</f>
        <v>0</v>
      </c>
      <c r="AO55" s="80">
        <f>SUMIF(Tim!EC$7:EC$70,Ins!F55,Tim!$C$7:$C$70)</f>
        <v>0</v>
      </c>
      <c r="AP55" s="80">
        <f>SUMIF(Tim!ED$7:ED$70,Ins!F55,Tim!$C$7:$C$70)+SUMIF(Tim!EE$7:EE$70,Ins!F55,Tim!$C$7:$C$70)+SUMIF(Tim!EF$7:EF$70,Ins!F55,Tim!$C$7:$C$70)</f>
        <v>0</v>
      </c>
      <c r="AQ55" s="81">
        <f>SUMIF(Tim!$EG$7:$EG$70,Ins!F55,Tim!$C$7:$C$70)+SUMIF(Tim!$EH$7:$EH$70,Ins!F55,Tim!$C$7:$C$70)+SUMIF(Tim!$EI$7:$EI$70,Ins!F55,Tim!$C$7:$C$70)+SUMIF(Tim!$EJ$7:$EJ$70,Ins!F55,Tim!$C$7:$C$70)+SUMIF(Tim!$EK$7:$EK$70,Ins!F55,Tim!$C$7:$C$70)</f>
        <v>0</v>
      </c>
      <c r="AR55" s="79">
        <f>SUMIF(Tim!$EL$5:$EL$70,Ins!F55,Tim!$B$5:$B$70)</f>
        <v>0</v>
      </c>
      <c r="AS55" s="80">
        <f>SUMIF(Tim!$EM$5:$EM$70,Ins!F55,Tim!$B$5:$B$70)+SUMIF(Tim!$EN$5:$EN$70,Ins!F55,Tim!$B$5:$B$70)+SUMIF(Tim!$EO$5:$EO$70,Ins!F55,Tim!$B$5:$B$70)+SUMIF(Tim!$EP$5:$EP$70,Ins!F55,Tim!$B$5:$B$70)+SUMIF(Tim!$EQ$5:$EQ$70,Ins!F55,Tim!$B$5:$B$70)+SUMIF(Tim!$ER$5:$ER$70,Ins!F55,Tim!$B$5:$B$70)</f>
        <v>0</v>
      </c>
      <c r="AT55" s="80">
        <f>SUMIF(Tim!$ES$5:$ES$70,Ins!F55,Tim!$B$5:$B$70)+SUMIF(Tim!$ET$5:$ET$70,Ins!F55,Tim!$B$5:$B$70)+SUMIF(Tim!$EU$5:$EU$70,Ins!F55,Tim!$B$5:$B$70)</f>
        <v>0</v>
      </c>
      <c r="AU55" s="80">
        <f>SUMIF(Tim!$EV$5:$EV$70,Ins!F55,Tim!$B$5:$B$70)+SUMIF(Tim!$EW$5:$EW$70,Ins!F55,Tim!$B$5:$B$70)+SUMIF(Tim!$EX$5:$EX$70,Ins!F55,Tim!$B$5:$B$70)+SUMIF(Tim!$EY$5:$EY$70,Ins!F55,Tim!$B$5:$B$70)+SUMIF(Tim!$EZ$5:$EZ$70,Ins!F55,Tim!$B$5:$B$70)</f>
        <v>0</v>
      </c>
      <c r="AV55" s="80">
        <f>SUMIF(Tim!$FA$5:$FA$70,Ins!F55,Tim!$B$5:$B$70)+SUMIF(Tim!$FB$5:$FB$70,Ins!F55,Tim!$B$5:$B$70)+SUMIF(Tim!$FC$5:$FC$70,Ins!F55,Tim!$B$5:$B$70)</f>
        <v>0</v>
      </c>
      <c r="AW55" s="80">
        <f>SUMIF(Tim!FD$5:FD$70,Ins!F55,Tim!$B$5:$B$70)+SUMIF(Tim!FE$5:FE$70,Ins!F55,Tim!$B$5:$B$70)+SUMIF(Tim!FF$5:FF$70,Ins!F55,Tim!$B$5:$B$70)</f>
        <v>0</v>
      </c>
      <c r="AX55" s="80">
        <f>SUMIF(Tim!FG$5:FG$70,Ins!F55,Tim!$B$5:$B$70)</f>
        <v>0</v>
      </c>
      <c r="AY55" s="80">
        <f>SUMIF(Tim!$FH$5:$FH$70,Ins!F55,Tim!$D$5:$D$70)+SUMIF(Tim!$FI$5:$FI$70,Ins!F55,Tim!$D$5:$D$70)+SUMIF(Tim!$FJ$5:$FJ$70,Ins!F55,Tim!$D$5:$D$70)+SUMIF(Tim!$FK$5:$FK$70,Ins!F55,Tim!$D$5:$D$70)+SUMIF(Tim!$FL$5:$FL$70,Ins!F55,Tim!$D$5:$D$70)+SUMIF(Tim!$FM$5:$FM$70,Ins!F55,Tim!$D$5:$D$70)+SUMIF(Tim!$FN$5:$FN$70,Ins!F55,Tim!$D$5:$D$70)+SUMIF(Tim!$FO$5:$FO$70,Ins!F55,Tim!$D$5:$D$70)+SUMIF(Tim!$FP$5:$FP$70,Ins!F55,Tim!$D$5:$D$70)+SUMIF(Tim!$FQ$5:$FQ$70,Ins!F55,Tim!$D$5:$D$70)+SUMIF(Tim!$FR$5:$FR$70,Ins!F55,Tim!$D$5:$D$70)+SUMIF(Tim!$FS$5:$FS$70,Ins!F55,Tim!$D$5:$D$70)</f>
        <v>0</v>
      </c>
      <c r="AZ55" s="80">
        <f>SUMIF(Tim!FT$5:FT$70,Ins!F55,Tim!$C$5:$C$70)</f>
        <v>0</v>
      </c>
      <c r="BA55" s="80">
        <f>SUMIF(Tim!FU$5:FU$70,Ins!F55,Tim!$C$5:$C$70)</f>
        <v>0</v>
      </c>
      <c r="BB55" s="80">
        <f>SUMIF(Tim!FV$5:FV$70,Ins!F55,Tim!$C$5:$C$70)+SUMIF(Tim!FW$5:FW$70,Ins!F55,Tim!$C$5:$C$70)+SUMIF(Tim!FX$5:FX$70,Ins!F55,Tim!$C$5:$C$70)</f>
        <v>0</v>
      </c>
      <c r="BC55" s="81">
        <f>SUMIF(Tim!$FY$5:$FY$70,Ins!F55,Tim!$C$5:$C$70)+SUMIF(Tim!$FZ$5:$FZ$70,Ins!F55,Tim!$C$5:$C$70)+SUMIF(Tim!$GA$5:$GA$70,Ins!F55,Tim!$C$5:$C$70)+SUMIF(Tim!$GB$5:$GB$70,Ins!F55,Tim!$C$5:$C$70)+SUMIF(Tim!$GC$5:$GC$70,Ins!F55,Tim!$C$5:$C$70)</f>
        <v>0</v>
      </c>
      <c r="BD55" s="79">
        <f>SUMIF(Tim!$GD$5:$GD$70,Ins!F55,Tim!$B$5:$B$70)</f>
        <v>0</v>
      </c>
      <c r="BE55" s="80">
        <f>SUMIF(Tim!$GE$5:$GE$70,Ins!F55,Tim!$B$5:$B$70)+SUMIF(Tim!$GF$5:$GF$70,Ins!F55,Tim!$B$5:$B$70)+SUMIF(Tim!$GG$5:$GG$70,Ins!F55,Tim!$B$5:$B$70)+SUMIF(Tim!$GH$5:$GH$70,Ins!F55,Tim!$B$5:$B$70)+SUMIF(Tim!$GI$5:$GI$70,Ins!F55,Tim!$B$5:$B$70)+SUMIF(Tim!$GJ$5:$GJ$70,Ins!F55,Tim!$B$5:$B$70)</f>
        <v>0</v>
      </c>
      <c r="BF55" s="80">
        <f>SUMIF(Tim!$GK$5:$GK$70,Ins!F55,Tim!$B$5:$B$70)+SUMIF(Tim!$GL$5:$GL$70,Ins!F55,Tim!$B$5:$B$70)+SUMIF(Tim!$GM$5:$GM$70,Ins!F55,Tim!$B$5:$B$70)</f>
        <v>0</v>
      </c>
      <c r="BG55" s="80">
        <f>SUMIF(Tim!$GN$5:$GN$70,Ins!F55,Tim!$B$5:$B$70)+SUMIF(Tim!$GO$5:$GO$70,Ins!F55,Tim!$B$5:$B$70)+SUMIF(Tim!$GP$5:$GP$70,Ins!F55,Tim!$B$5:$B$70)+SUMIF(Tim!$GQ$5:$GQ$70,Ins!F55,Tim!$B$5:$B$70)+SUMIF(Tim!$GR$5:$GR$70,Ins!F55,Tim!$B$5:$B$70)</f>
        <v>0</v>
      </c>
      <c r="BH55" s="80">
        <f>SUMIF(Tim!$GS$5:$GS$70,Ins!F55,Tim!$B$5:$B$70)+SUMIF(Tim!$GT$5:$GT$70,Ins!F55,Tim!$B$5:$B$70)+SUMIF(Tim!$GU$5:$GU$70,Ins!F55,Tim!$B$5:$B$70)</f>
        <v>0</v>
      </c>
      <c r="BI55" s="80">
        <f>SUMIF(Tim!GV$5:GV$70,Ins!F55,Tim!$B$5:$B$70)+SUMIF(Tim!GW$5:GW$70,Ins!F55,Tim!$B$5:$B$70)+SUMIF(Tim!GX$5:GX$70,Ins!F55,Tim!$B$5:$B$70)</f>
        <v>0</v>
      </c>
      <c r="BJ55" s="80">
        <f>SUMIF(Tim!GY$5:GY$70,Ins!F55,Tim!$B$5:$B$70)</f>
        <v>0</v>
      </c>
      <c r="BK55" s="80">
        <f>SUMIF(Tim!$GZ$5:$GZ$70,Ins!F55,Tim!$D$5:$D$70)+SUMIF(Tim!$HA$5:$HA$70,Ins!F55,Tim!$D$5:$D$70)+SUMIF(Tim!$HB$5:$HB$70,Ins!F55,Tim!$D$5:$D$70)++SUMIF(Tim!$HC$5:$HC$70,Ins!F55,Tim!$D$5:$D$70)+SUMIF(Tim!$HD$5:$HD$70,Ins!F55,Tim!$D$5:$D$70)+SUMIF(Tim!$HE$5:$HE$70,Ins!F55,Tim!$D$5:$D$70)+SUMIF(Tim!$HF$5:$HF$70,Ins!F55,Tim!$D$5:$D$70)+SUMIF(Tim!$HG$5:$HG$70,Ins!F55,Tim!$D$5:$D$70)+SUMIF(Tim!$HH$5:$HH$70,Ins!F55,Tim!$D$5:$D$70)+SUMIF(Tim!$HI$5:$HI$70,Ins!F55,Tim!$D$5:$D$70)+SUMIF(Tim!$HJ$5:$HJ$70,Ins!F55,Tim!$D$5:$D$70)+SUMIF(Tim!$HK$5:$HK$70,Ins!F55,Tim!$D$5:$D$70)</f>
        <v>0</v>
      </c>
      <c r="BL55" s="80">
        <f>SUMIF(Tim!HL$5:HL$70,Ins!F55,Tim!$C$5:$C$70)</f>
        <v>0</v>
      </c>
      <c r="BM55" s="80">
        <f>SUMIF(Tim!HM$5:HM$70,Ins!F55,Tim!$C$5:$C$70)</f>
        <v>0</v>
      </c>
      <c r="BN55" s="80">
        <f>SUMIF(Tim!HN$5:HN$70,Ins!F55,Tim!$C$5:$C$70)+SUMIF(Tim!HO$5:HO$70,Ins!F55,Tim!$C$5:$C$70)+SUMIF(Tim!HP$5:HP$70,Ins!F55,Tim!$C$5:$C$70)</f>
        <v>0</v>
      </c>
      <c r="BO55" s="81">
        <f>SUMIF(Tim!$HQ$5:$HQ$70,Ins!F55,Tim!$C$5:$C$70)+SUMIF(Tim!$HR$5:$HR$70,Ins!F55,Tim!$C$5:$C$70)+SUMIF(Tim!$HS$5:$HS$70,Ins!F55,Tim!$C$5:$C$70)+SUMIF(Tim!$HT$5:$HT$70,Ins!F55,Tim!$C$5:$C$70)+SUMIF(Tim!$HU$5:$HU$70,Ins!F55,Tim!$C$5:$C$70)</f>
        <v>0</v>
      </c>
      <c r="BP55" s="79">
        <f>SUMIF(Tim!$HV$7:$HV$70,Ins!F55,Tim!$B$7:$B$70)</f>
        <v>0</v>
      </c>
      <c r="BQ55" s="80">
        <f>SUMIF(Tim!$HW$7:$HW$70,Ins!F55,Tim!$B$7:$B$70)+SUMIF(Tim!$HX$7:$HX$70,Ins!F55,Tim!$B$7:$B$70)+SUMIF(Tim!$HY$7:$HY$70,Ins!F55,Tim!$B$7:$B$70)+SUMIF(Tim!$HZ$7:$HZ$70,Ins!F55,Tim!$B$7:$B$70)+SUMIF(Tim!$IA$7:$IA$70,Ins!F55,Tim!$B$7:$B$70)+SUMIF(Tim!$IB$7:$IB$70,Ins!F55,Tim!$B$7:$B$70)</f>
        <v>0</v>
      </c>
      <c r="BR55" s="80">
        <f>SUMIF(Tim!$IC$7:$IC$70,Ins!F55,Tim!$B$7:$B$70)+SUMIF(Tim!$ID$7:$ID$70,Ins!F55,Tim!$B$7:$B$70)+SUMIF(Tim!$IE$7:$IE$70,Ins!F55,Tim!$B$7:$B$70)</f>
        <v>0</v>
      </c>
      <c r="BS55" s="80">
        <f>SUMIF(Tim!$IF$7:$IF$70,Ins!F55,Tim!$B$7:$B$70)+SUMIF(Tim!$IG$7:$IG$70,Ins!F55,Tim!$B$7:$B$70)+SUMIF(Tim!$IH$7:$IH$70,Ins!F55,Tim!$B$7:$B$70)+SUMIF(Tim!$II$7:$II$70,Ins!F55,Tim!$B$7:$B$70)+SUMIF(Tim!$IJ$7:$IJ$70,Ins!F55,Tim!$B$7:$B$70)</f>
        <v>0</v>
      </c>
      <c r="BT55" s="80">
        <f>SUMIF(Tim!$IK$7:$IK$70,Ins!F55,Tim!$B$7:$B$70)+SUMIF(Tim!$IL$7:$IL$70,Ins!F55,Tim!$B$7:$B$70)+SUMIF(Tim!$IM$7:$IM$70,Ins!F55,Tim!$B$7:$B$70)</f>
        <v>0</v>
      </c>
      <c r="BU55" s="80">
        <f>SUMIF(Tim!$IN$7:$IN$70,Ins!F55,Tim!$B$7:$B$70)+SUMIF(Tim!$IO$7:$IO$70,Ins!F55,Tim!$B$7:$B$70)+SUMIF(Tim!$IP$7:$IP$70,Ins!F55,Tim!$B$7:$B$70)</f>
        <v>0</v>
      </c>
      <c r="BV55" s="80">
        <f>SUMIF(Tim!$IQ$7:$IQ$70,Ins!F55,Tim!$B$7:$B$70)</f>
        <v>0</v>
      </c>
      <c r="BW55" s="80">
        <f>SUMIF(Tim!$IR$7:$IR$70,Ins!F55,Tim!$D$7:$D$70)+SUMIF(Tim!$IS$7:$IS$70,Ins!F55,Tim!$D$7:$D$70)+SUMIF(Tim!$IT$7:$IT$70,Ins!F55,Tim!$D$7:$D$70)+SUMIF(Tim!$IU$7:$IU$70,Ins!F55,Tim!$D$7:$D$70)+SUMIF(Tim!$IV$7:$IV$70,Ins!F55,Tim!$D$7:$D$70)+SUMIF(Tim!$IW$7:$IW$70,Ins!F55,Tim!$D$7:$D$70)+SUMIF(Tim!$IX$7:$IX$70,Ins!F55,Tim!$D$7:$D$70)+SUMIF(Tim!$IY$7:$IY$70,Ins!F55,Tim!$D$7:$D$70)+SUMIF(Tim!$IZ$7:$IZ$70,Ins!F55,Tim!$D$7:$D$70)+SUMIF(Tim!$JA$7:$JA$70,Ins!F55,Tim!$D$7:$D$70)+SUMIF(Tim!$JB$7:$JB$70,Ins!F55,Tim!$D$7:$D$70)+SUMIF(Tim!$JC$7:$JC$70,Ins!F55,Tim!$D$7:$D$70)</f>
        <v>0</v>
      </c>
      <c r="BX55" s="80">
        <f>SUMIF(Tim!JD$7:JD$70,Ins!F55,Tim!$C$7:$C$70)</f>
        <v>0</v>
      </c>
      <c r="BY55" s="80">
        <f>SUMIF(Tim!JE$7:JE$70,Ins!F55,Tim!$C$7:$C$70)</f>
        <v>0</v>
      </c>
      <c r="BZ55" s="80">
        <f>SUMIF(Tim!JF$7:JF$70,Ins!F55,Tim!$C$7:$C$70)+SUMIF(Tim!JG$7:JG$70,Ins!F55,Tim!$C$7:$C$70)+SUMIF(Tim!JH$7:JH$70,Ins!F55,Tim!$C$7:$C$70)</f>
        <v>0</v>
      </c>
      <c r="CA55" s="81">
        <f>SUMIF(Tim!$JI$7:$JI$70,Ins!F55,Tim!$C$7:$C$70)++SUMIF(Tim!$JJ$7:$JJ$70,Ins!F55,Tim!$C$7:$C$70)+SUMIF(Tim!$JK$7:$JK$70,Ins!F55,Tim!$C$7:$C$70)+SUMIF(Tim!$JL$7:$JL$70,Ins!F55,Tim!$C$7:$C$70)+SUMIF(Tim!$JM$7:$JM$70,Ins!F55,Tim!$C$7:$C$70)</f>
        <v>2</v>
      </c>
      <c r="CB55" s="79">
        <f>SUMIF(Tim!$JN$7:$JN$70,Ins!F55,Tim!$B$7:$B$70)</f>
        <v>0</v>
      </c>
      <c r="CC55" s="80">
        <f>SUMIF(Tim!$JO$7:$JO$70,Ins!F55,Tim!$B$7:$B$70)+SUMIF(Tim!$JP$7:$JP$70,Ins!F55,Tim!$B$7:$B$70)+SUMIF(Tim!$JQ$7:$JQ$70,Ins!F55,Tim!$B$7:$B$70)+SUMIF(Tim!$JR$7:$JR$70,Ins!F55,Tim!$B$7:$B$70)+SUMIF(Tim!$JS$7:$JS$70,Ins!F55,Tim!$B$7:$B$70)+SUMIF(Tim!$JT$7:$JT$70,Ins!F55,Tim!$B$7:$B$70)</f>
        <v>0</v>
      </c>
      <c r="CD55" s="80">
        <f>SUMIF(Tim!$JW$7:$JW$70,Ins!F55,Tim!$B$7:$B$70)+SUMIF(Tim!$JU$7:$JU$70,Ins!F55,Tim!$B$7:$B$70)+SUMIF(Tim!$JV$7:$JV$70,Ins!F55,Tim!$B$7:$B$70)</f>
        <v>0</v>
      </c>
      <c r="CE55" s="80">
        <f>SUMIF(Tim!$JX$7:$JX$70,Ins!F55,Tim!$B$7:$B$70)+SUMIF(Tim!$JY$7:$JY$70,Ins!F55,Tim!$B$7:$B$70)+SUMIF(Tim!$JZ$7:$JZ$70,Ins!F55,Tim!$B$7:$B$70)+SUMIF(Tim!$KA$7:$KA$70,Ins!F55,Tim!$B$7:$B$70)+SUMIF(Tim!$KB$7:$KB$70,Ins!F55,Tim!$B$7:$B$70)</f>
        <v>0</v>
      </c>
      <c r="CF55" s="80">
        <f>SUMIF(Tim!$KE$7:$KE$70,Ins!F55,Tim!$B$7:$B$70)+SUMIF(Tim!$KC$7:$KC$70,Ins!F55,Tim!$B$7:$B$70)+SUMIF(Tim!$KD$7:$KD$70,Ins!F55,Tim!$B$7:$B$70)</f>
        <v>0</v>
      </c>
      <c r="CG55" s="80">
        <f>SUMIF(Tim!$KF$7:$KF$70,Ins!F55,Tim!$B$7:$B$70)+SUMIF(Tim!$KG$7:$KG$70,Ins!F55,Tim!$B$7:$B$70)+SUMIF(Tim!$KH$7:$KH$70,Ins!F55,Tim!$B$7:$B$70)</f>
        <v>0</v>
      </c>
      <c r="CH55" s="80">
        <f>SUMIF(Tim!$KI$7:$KI$70,Ins!F55,Tim!$B$7:$B$70)</f>
        <v>0</v>
      </c>
      <c r="CI55" s="80">
        <f>SUMIF(Tim!$KJ$7:$KJ$70,Ins!F55,Tim!$D$7:$D$70)+SUMIF(Tim!$KK$7:$KK$70,Ins!F55,Tim!$D$7:$D$70)+SUMIF(Tim!$KL$7:$KL$70,Ins!F55,Tim!$D$7:$D$70)+SUMIF(Tim!$KM$7:$KM$70,Ins!F55,Tim!$D$7:$D$70)+SUMIF(Tim!$KN$7:$KN$70,Ins!F55,Tim!$D$7:$D$70)+SUMIF(Tim!$KO$7:$KO$70,Ins!F55,Tim!$D$7:$D$70)+SUMIF(Tim!$KP$7:$KP$70,Ins!F55,Tim!$D$7:$D$70)+SUMIF(Tim!$KQ$7:$KQ$70,Ins!F55,Tim!$D$7:$D$70)+SUMIF(Tim!$KR$7:$KR$70,Ins!F55,Tim!$D$7:$D$70)+SUMIF(Tim!$KS$7:$KS$70,Ins!F55,Tim!$D$7:$D$70)+SUMIF(Tim!$KT$7:$KT$70,Ins!F55,Tim!$D$7:$D$70)+SUMIF(Tim!$KU$7:$KU$70,Ins!F55,Tim!$D$7:$D$70)</f>
        <v>0</v>
      </c>
      <c r="CJ55" s="80">
        <f>SUMIF(Tim!KV$7:KV$70,Ins!F55,Tim!$C$7:$C$70)</f>
        <v>0</v>
      </c>
      <c r="CK55" s="80">
        <f>SUMIF(Tim!KW$7:KW$70,Ins!F55,Tim!$C$7:$C$70)</f>
        <v>0</v>
      </c>
      <c r="CL55" s="80">
        <f>SUMIF(Tim!KX$7:KX$70,Ins!F55,Tim!$C$7:$C$70)+SUMIF(Tim!KY$7:KY$70,Ins!F55,Tim!$C$7:$C$70)+SUMIF(Tim!KZ$7:KZ$70,Ins!F55,Tim!$C$7:$C$70)</f>
        <v>0</v>
      </c>
      <c r="CM55" s="81">
        <f>SUMIF(Tim!$LA$7:$LA$70,Ins!F55,Tim!$C$7:$C$70)+SUMIF(Tim!$LB$7:$LB$70,Ins!F55,Tim!$C$7:$C$70)+SUMIF(Tim!$LC$7:$LC$70,Ins!F55,Tim!$C$7:$C$70)+SUMIF(Tim!$LD$7:$LD$70,Ins!F55,Tim!$C$7:$C$70)+SUMIF(Tim!$LE$7:$LE$70,Ins!F55,Tim!$C$7:$C$70)</f>
        <v>0</v>
      </c>
      <c r="CN55" s="22"/>
      <c r="CO55" s="180">
        <f t="shared" si="158"/>
        <v>0</v>
      </c>
      <c r="CP55" s="179">
        <f t="shared" si="159"/>
        <v>0</v>
      </c>
      <c r="CQ55" s="179">
        <f t="shared" si="160"/>
        <v>0</v>
      </c>
      <c r="CR55" s="179">
        <f t="shared" si="161"/>
        <v>0</v>
      </c>
      <c r="CS55" s="179">
        <f t="shared" si="162"/>
        <v>0</v>
      </c>
      <c r="CT55" s="179">
        <f t="shared" si="163"/>
        <v>0</v>
      </c>
      <c r="CU55" s="179">
        <f t="shared" si="164"/>
        <v>0</v>
      </c>
      <c r="CV55" s="179">
        <f t="shared" si="165"/>
        <v>0</v>
      </c>
      <c r="CW55" s="179">
        <f t="shared" si="166"/>
        <v>0</v>
      </c>
      <c r="CX55" s="179">
        <f t="shared" si="167"/>
        <v>0</v>
      </c>
      <c r="CY55" s="179">
        <f t="shared" si="172"/>
        <v>0</v>
      </c>
      <c r="CZ55" s="179">
        <f t="shared" si="173"/>
        <v>2</v>
      </c>
      <c r="DA55" s="78">
        <f t="shared" si="174"/>
        <v>2</v>
      </c>
      <c r="DB55" s="36"/>
      <c r="DC55" s="34">
        <f t="shared" si="170"/>
        <v>0</v>
      </c>
      <c r="DD55" s="34">
        <f t="shared" si="15"/>
        <v>0</v>
      </c>
      <c r="DE55" s="34">
        <f t="shared" si="16"/>
        <v>0</v>
      </c>
      <c r="DF55" s="34">
        <f t="shared" si="20"/>
        <v>0</v>
      </c>
      <c r="DG55" s="34">
        <f t="shared" si="17"/>
        <v>0</v>
      </c>
      <c r="DH55" s="34">
        <f t="shared" si="18"/>
        <v>2</v>
      </c>
      <c r="DI55" s="34">
        <f t="shared" si="19"/>
        <v>0</v>
      </c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7"/>
    </row>
    <row r="56" spans="1:125" ht="12" customHeight="1">
      <c r="B56" s="414" t="s">
        <v>45</v>
      </c>
      <c r="C56" s="415"/>
      <c r="D56" s="415"/>
      <c r="E56" s="416"/>
      <c r="F56" s="208"/>
      <c r="G56" s="206"/>
      <c r="H56" s="79">
        <f>SUM(H3:H55)</f>
        <v>15.5</v>
      </c>
      <c r="I56" s="80">
        <f>SUMIF(Tim!$G$7:$G$70,Ins!F56,Tim!$B$7:$B$70)+SUMIF(Tim!$H$7:$H$70,Ins!F56,Tim!$B$7:$B$70)+SUMIF(Tim!$I$7:$I$70,Ins!F56,Tim!$B$7:$B$70)+SUMIF(Tim!$J$7:$J$70,Ins!F56,Tim!$B$7:$B$70)+SUMIF(Tim!$K$7:$K$70,Ins!F56,Tim!$B$7:$B$70)+SUMIF(Tim!$L$7:$L$70,Ins!F56,Tim!$B$7:$B$70)</f>
        <v>0</v>
      </c>
      <c r="J56" s="80">
        <f>SUMIF(Tim!$M$7:$M$70,Ins!F56,Tim!$B$7:$B$70)+SUMIF(Tim!$O$7:$O$70,Ins!F56,Tim!$B$7:$B$70)+SUMIF(Tim!$N$7:$N$70,Ins!F56,Tim!$B$7:$B$70)</f>
        <v>0</v>
      </c>
      <c r="K56" s="80">
        <f>SUM(K3:K55)</f>
        <v>4</v>
      </c>
      <c r="L56" s="80">
        <f>SUM(L3:L55)</f>
        <v>6.5</v>
      </c>
      <c r="M56" s="80">
        <f>SUM(M3:M55)</f>
        <v>4.5</v>
      </c>
      <c r="N56" s="80">
        <f>SUM(N3:N55)</f>
        <v>2.5</v>
      </c>
      <c r="O56" s="80">
        <f>SUMIF(Tim!$AC$7:$AC$70,Ins!F56,Tim!$D$7:$D$70)+SUMIF(Tim!$AD$7:$AD$70,Ins!F56,Tim!$D$7:$D$70)+SUMIF(Tim!$AE$7:$AE$70,Ins!F56,Tim!$D$7:$D$70)+SUMIF(Tim!$AF$7:$AF$70,Ins!F56,Tim!$D$7:$D$70)+SUMIF(Tim!$AG$7:$AG$70,Ins!F56,Tim!$D$7:$D$70)+SUMIF(Tim!$AH$7:$AH$70,Ins!F56,Tim!$D$7:$D$70)+SUMIF(Tim!$AI$7:$AI$70,Ins!F56,Tim!$D$7:$D$70)+SUMIF(Tim!$AJ$7:$AJ$70,Ins!F56,Tim!$D$7:$D$70)+SUMIF(Tim!$AK$7:$AK$70,Ins!F56,Tim!$D$7:$D$70)+SUMIF(Tim!$AL$7:$AL$70,Ins!F56,Tim!$D$7:$D$70)+SUMIF(Tim!$AM$7:$AM$70,Ins!F56,Tim!$D$7:$D$70)+SUMIF(Tim!$AN$7:$AN$70,Ins!F56,Tim!$D$7:$D$70)</f>
        <v>0</v>
      </c>
      <c r="P56" s="80">
        <f>SUM(P3:P55)</f>
        <v>0</v>
      </c>
      <c r="Q56" s="80">
        <f>SUM(Q3:Q55)</f>
        <v>0</v>
      </c>
      <c r="R56" s="80">
        <f>SUMIF(Tim!AQ$7:AQ$70,Ins!F56,Tim!$C$7:$C$70)+SUMIF(Tim!AR$7:AR$70,Ins!F56,Tim!$C$7:$C$70)+SUMIF(Tim!AS$7:AS$70,Ins!F56,Tim!$C$7:$C$70)</f>
        <v>0</v>
      </c>
      <c r="S56" s="236">
        <f>SUMIF(Tim!$AT$7:$AT$70,Ins!F56,Tim!$C$7:$C$70)+SUMIF(Tim!$AU$7:$AU$70,Ins!F56,Tim!$C$7:$C103)+SUMIF(Tim!$AV$7:$AV$70,Ins!F56,Tim!$C$7:$C$70)+SUMIF(Tim!$AW$7:$AW$70,Ins!F56,Tim!$C$7:$C$70)+SUMIF(Tim!$AX$7:$AX$70,Ins!F56,Tim!$C$7:$C$70)</f>
        <v>0</v>
      </c>
      <c r="T56" s="79">
        <f t="shared" ref="T56:Z56" si="495">SUM(T3:T55)</f>
        <v>15.5</v>
      </c>
      <c r="U56" s="80">
        <f t="shared" si="495"/>
        <v>2.25</v>
      </c>
      <c r="V56" s="80">
        <f t="shared" si="495"/>
        <v>3</v>
      </c>
      <c r="W56" s="80">
        <f t="shared" si="495"/>
        <v>2.5</v>
      </c>
      <c r="X56" s="80">
        <f t="shared" si="495"/>
        <v>5.25</v>
      </c>
      <c r="Y56" s="80">
        <f t="shared" si="495"/>
        <v>3.25</v>
      </c>
      <c r="Z56" s="80">
        <f t="shared" si="495"/>
        <v>2.5</v>
      </c>
      <c r="AA56" s="80">
        <f>SUMIF(Tim!$BU$7:$BU$70,Ins!F56,Tim!$D$7:$D$70)+SUMIF(Tim!$BV$7:$BV$70,Ins!F56,Tim!$D$7:$D$70)+SUMIF(Tim!$BW$7:$BW$70,Ins!F56,Tim!$D$7:$D$70)+SUMIF(Tim!$BX$7:$BX$70,Ins!F56,Tim!$D$7:$D$70)+SUMIF(Tim!$BY$7:$BY$70,Ins!F56,Tim!$D$7:$D$70)+SUMIF(Tim!$BZ$7:$BZ$70,Ins!F56,Tim!$D$7:$D$70)+SUMIF(Tim!$CA$7:$CA$70,Ins!F56,Tim!$D$7:$D$70)+SUMIF(Tim!$CB$7:$CB$70,Ins!F56,Tim!$D$7:$D$70)+SUMIF(Tim!$CC$7:$CC$70,Ins!F56,Tim!$D$7:$D$70)+SUMIF(Tim!$CD$7:$CD$70,Ins!F56,Tim!$D$7:$D$70)+SUMIF(Tim!$CE$7:$CE$70,Ins!F56,Tim!$D$7:$D$70)+SUMIF(Tim!$CF$7:$CF$70,Ins!F56,Tim!$D$7:$D$70)</f>
        <v>0</v>
      </c>
      <c r="AB56" s="80">
        <f>SUM(AB3:AB55)</f>
        <v>0</v>
      </c>
      <c r="AC56" s="80">
        <f>SUM(AC3:AC55)</f>
        <v>0</v>
      </c>
      <c r="AD56" s="80">
        <f>SUMIF(Tim!CI$7:CI$70,Ins!F56,Tim!$C$7:$C$70)+SUMIF(Tim!CJ$7:CJ$70,Ins!F56,Tim!$C$7:$C$70)+SUMIF(Tim!CK$7:CK$70,Ins!F56,Tim!$C$7:$C$70)</f>
        <v>0</v>
      </c>
      <c r="AE56" s="81">
        <f>SUMIF(Tim!$CL$7:$CL$70,Ins!F56,Tim!$C$7:$C$70)+SUMIF(Tim!$CM$7:$CM$70,Ins!F56,Tim!$C$7:$C$70)+SUMIF(Tim!$CN$7:$CN$70,Ins!F56,Tim!$C$7:$C$70)+SUMIF(Tim!$CO$7:$CO$70,Ins!F56,Tim!$C$7:$C$70)+SUMIF(Tim!$CP$7:$CP$70,Ins!F56,Tim!$C$7:$C$70)</f>
        <v>0</v>
      </c>
      <c r="AF56" s="79">
        <f t="shared" ref="AF56:AL56" si="496">SUM(AF3:AF55)</f>
        <v>15.5</v>
      </c>
      <c r="AG56" s="80">
        <f t="shared" si="496"/>
        <v>1.25</v>
      </c>
      <c r="AH56" s="80">
        <f t="shared" si="496"/>
        <v>1</v>
      </c>
      <c r="AI56" s="80">
        <f t="shared" si="496"/>
        <v>6.5</v>
      </c>
      <c r="AJ56" s="80">
        <f t="shared" si="496"/>
        <v>3.25</v>
      </c>
      <c r="AK56" s="80">
        <f t="shared" si="496"/>
        <v>4</v>
      </c>
      <c r="AL56" s="80">
        <f t="shared" si="496"/>
        <v>2.5</v>
      </c>
      <c r="AM56" s="80">
        <f>SUMIF(Tim!$DP$7:$DP$70,Ins!F56,Tim!$D$7:$D$70)+SUMIF(Tim!$DQ$7:$DQ$70,Ins!F56,Tim!$D$7:$D$70)+SUMIF(Tim!$DR$7:$DR$70,Ins!F56,Tim!$D$7:$D$70)+SUMIF(Tim!$DS$7:$DS$70,Ins!F56,Tim!$D$7:$D$70)+SUMIF(Tim!$DT$7:$DT$70,Ins!F56,Tim!$D$7:$D$70)+SUMIF(Tim!$DU$7:$DU$70,Ins!F56,Tim!$D$7:$D$70)+SUMIF(Tim!$DV$7:$DV$70,Ins!F56,Tim!$D$7:$D$70)+SUMIF(Tim!$DW$7:$DW$70,Ins!F56,Tim!$D$7:$D$70)+SUMIF(Tim!$DX$7:$DX$70,Ins!F56,Tim!$D$7:$D$70)+SUMIF(Tim!$DY$7:$DY$70,Ins!F56,Tim!$D$7:$D$70)+SUMIF(Tim!$DZ$7:$DZ$70,Ins!F56,Tim!$D$7:$D$70)+SUMIF(Tim!$EA$7:$EA$70,Ins!F56,Tim!$D$7:$D$70)</f>
        <v>0</v>
      </c>
      <c r="AN56" s="80">
        <f>SUM(AN3:AN55)</f>
        <v>0</v>
      </c>
      <c r="AO56" s="80">
        <f>SUM(AO3:AO55)</f>
        <v>0</v>
      </c>
      <c r="AP56" s="80">
        <f>SUMIF(Tim!ED$7:ED$70,Ins!F56,Tim!$C$7:$C$70)+SUMIF(Tim!EE$7:EE$70,Ins!F56,Tim!$C$7:$C$70)+SUMIF(Tim!EF$7:EF$70,Ins!F56,Tim!$C$7:$C$70)</f>
        <v>0</v>
      </c>
      <c r="AQ56" s="81">
        <f>SUMIF(Tim!$EG$7:$EG$70,Ins!F56,Tim!$C$7:$C$70)+SUMIF(Tim!$EH$7:$EH$70,Ins!F56,Tim!$C$7:$C$70)+SUMIF(Tim!$EI$7:$EI$70,Ins!F56,Tim!$C$7:$C$70)+SUMIF(Tim!$EJ$7:$EJ$70,Ins!F56,Tim!$C$7:$C$70)+SUMIF(Tim!$EK$7:$EK$70,Ins!F56,Tim!$C$7:$C$70)</f>
        <v>0</v>
      </c>
      <c r="AR56" s="79">
        <f t="shared" ref="AR56:AX56" si="497">SUM(AR3:AR55)</f>
        <v>15.5</v>
      </c>
      <c r="AS56" s="80">
        <f t="shared" si="497"/>
        <v>1.25</v>
      </c>
      <c r="AT56" s="80">
        <f t="shared" si="497"/>
        <v>2</v>
      </c>
      <c r="AU56" s="80">
        <f t="shared" si="497"/>
        <v>1</v>
      </c>
      <c r="AV56" s="80">
        <f t="shared" si="497"/>
        <v>4</v>
      </c>
      <c r="AW56" s="80">
        <f t="shared" si="497"/>
        <v>3</v>
      </c>
      <c r="AX56" s="80">
        <f t="shared" si="497"/>
        <v>0.5</v>
      </c>
      <c r="AY56" s="80">
        <f>SUMIF(Tim!$FH$7:$FH$70,Ins!F56,Tim!$D$7:$D$70)+SUMIF(Tim!$FI$7:$FI$70,Ins!F56,Tim!$D$7:$D$70)+SUMIF(Tim!$FJ$7:$FJ$70,Ins!F56,Tim!$D$7:$D$70)+SUMIF(Tim!$FK$7:$FK$70,Ins!F56,Tim!$D$7:$D$70)+SUMIF(Tim!$FL$7:$FL$70,Ins!F56,Tim!$D$7:$D$70)+SUMIF(Tim!$FM$7:$FM$70,Ins!F56,Tim!$D$7:$D$70)+SUMIF(Tim!$FN$7:$FN$70,Ins!F56,Tim!$D$7:$D$70)+SUMIF(Tim!$FO$7:$FO$70,Ins!F56,Tim!$D$7:$D$70)+SUMIF(Tim!$FP$7:$FP$70,Ins!F56,Tim!$D$7:$D$70)+SUMIF(Tim!$FQ$7:$FQ$70,Ins!F56,Tim!$D$7:$D$70)+SUMIF(Tim!$FR$7:$FR$70,Ins!F56,Tim!$D$7:$D$70)+SUMIF(Tim!$FS$7:$FS$70,Ins!F56,Tim!$D$7:$D$70)</f>
        <v>0</v>
      </c>
      <c r="AZ56" s="80">
        <f>SUM(AZ3:AZ55)</f>
        <v>0</v>
      </c>
      <c r="BA56" s="80">
        <f>SUM(BA3:BA55)</f>
        <v>0</v>
      </c>
      <c r="BB56" s="80">
        <f>SUM(BB3:BB55)</f>
        <v>0</v>
      </c>
      <c r="BC56" s="81">
        <f>SUMIF(Tim!$FY$7:$FY$70,Ins!F56,Tim!$C$7:$C$70)+SUMIF(Tim!$FZ$7:$FZ$70,Ins!F56,Tim!$C$7:$C$70)+SUMIF(Tim!$GA$7:$GA$70,Ins!F56,Tim!$C$7:$C$70)+SUMIF(Tim!$GB$7:$GB$70,Ins!F56,Tim!$C$7:$C$70)+SUMIF(Tim!$GC$7:$GC$70,Ins!F56,Tim!$C$7:$C$70)</f>
        <v>0</v>
      </c>
      <c r="BD56" s="79">
        <f t="shared" ref="BD56:BK56" si="498">SUM(BD3:BD55)</f>
        <v>15.5</v>
      </c>
      <c r="BE56" s="80">
        <f t="shared" si="498"/>
        <v>1</v>
      </c>
      <c r="BF56" s="80">
        <f t="shared" si="498"/>
        <v>7</v>
      </c>
      <c r="BG56" s="80">
        <f t="shared" si="498"/>
        <v>11.75</v>
      </c>
      <c r="BH56" s="80">
        <f t="shared" si="498"/>
        <v>2</v>
      </c>
      <c r="BI56" s="80">
        <f t="shared" si="498"/>
        <v>1.5</v>
      </c>
      <c r="BJ56" s="80">
        <f t="shared" si="498"/>
        <v>2.75</v>
      </c>
      <c r="BK56" s="80">
        <f t="shared" si="498"/>
        <v>11.25</v>
      </c>
      <c r="BL56" s="80">
        <f>SUMIF(Tim!HL$7:HL$70,Ins!F56,Tim!$C$7:$C$70)</f>
        <v>0</v>
      </c>
      <c r="BM56" s="80">
        <f>SUM(BM3:BM55)</f>
        <v>0</v>
      </c>
      <c r="BN56" s="80">
        <f>SUM(BN3:BN55)</f>
        <v>0</v>
      </c>
      <c r="BO56" s="81">
        <f>SUMIF(Tim!$HQ$7:$HQ$70,Ins!F56,Tim!$C$7:$C$70)+SUMIF(Tim!$HR$7:$HR$70,Ins!F56,Tim!$C$7:$C$70)+SUMIF(Tim!$HS$7:$HS$70,Ins!F56,Tim!$C$7:$C$70)+SUMIF(Tim!$HT$7:$HT$70,Ins!F56,Tim!$C$7:$C$70)+SUMIF(Tim!$HU$7:$HU$70,Ins!F56,Tim!$C$7:$C$70)</f>
        <v>0</v>
      </c>
      <c r="BP56" s="79">
        <f t="shared" ref="BP56:BZ56" si="499">SUM(BP3:BP55)</f>
        <v>12</v>
      </c>
      <c r="BQ56" s="80">
        <f t="shared" si="499"/>
        <v>0</v>
      </c>
      <c r="BR56" s="80">
        <f t="shared" si="499"/>
        <v>2</v>
      </c>
      <c r="BS56" s="80">
        <f t="shared" si="499"/>
        <v>2</v>
      </c>
      <c r="BT56" s="80">
        <f t="shared" si="499"/>
        <v>0</v>
      </c>
      <c r="BU56" s="80">
        <f t="shared" si="499"/>
        <v>0</v>
      </c>
      <c r="BV56" s="80">
        <f t="shared" si="499"/>
        <v>0</v>
      </c>
      <c r="BW56" s="80">
        <f t="shared" si="499"/>
        <v>10.5</v>
      </c>
      <c r="BX56" s="80">
        <f t="shared" si="499"/>
        <v>0</v>
      </c>
      <c r="BY56" s="80">
        <f t="shared" si="499"/>
        <v>0</v>
      </c>
      <c r="BZ56" s="80">
        <f t="shared" si="499"/>
        <v>0</v>
      </c>
      <c r="CA56" s="81">
        <f>SUMIF(Tim!$JI$7:$JI$70,Ins!F56,Tim!$C$7:$C$70)++SUMIF(Tim!$JJ$7:$JJ$70,Ins!F56,Tim!$C$7:$C$70)+SUMIF(Tim!$JK$7:$JK$70,Ins!F56,Tim!$C$7:$C$70)+SUMIF(Tim!$JL$7:$JL$70,Ins!F56,Tim!$C$7:$C$70)+SUMIF(Tim!$JM$7:$JM$70,Ins!F56,Tim!$C$7:$C$70)</f>
        <v>0</v>
      </c>
      <c r="CB56" s="79">
        <f t="shared" ref="CB56:CL56" si="500">SUM(CB3:CB55)</f>
        <v>8</v>
      </c>
      <c r="CC56" s="80">
        <f t="shared" si="500"/>
        <v>0</v>
      </c>
      <c r="CD56" s="80">
        <f t="shared" si="500"/>
        <v>0</v>
      </c>
      <c r="CE56" s="80">
        <f t="shared" si="500"/>
        <v>0</v>
      </c>
      <c r="CF56" s="80">
        <f t="shared" si="500"/>
        <v>0</v>
      </c>
      <c r="CG56" s="80">
        <f t="shared" si="500"/>
        <v>0</v>
      </c>
      <c r="CH56" s="80">
        <f t="shared" si="500"/>
        <v>0</v>
      </c>
      <c r="CI56" s="80">
        <f t="shared" si="500"/>
        <v>3.75</v>
      </c>
      <c r="CJ56" s="80">
        <f t="shared" si="500"/>
        <v>0</v>
      </c>
      <c r="CK56" s="80">
        <f t="shared" si="500"/>
        <v>0</v>
      </c>
      <c r="CL56" s="80">
        <f t="shared" si="500"/>
        <v>0</v>
      </c>
      <c r="CM56" s="81">
        <f>SUMIF(Tim!$LA$7:$LA$70,Ins!F56,Tim!$C$7:$C$70)+SUMIF(Tim!$LB$7:$LB$70,Ins!F56,Tim!$C$7:$C$70)+SUMIF(Tim!$LC$7:$LC$70,Ins!F56,Tim!$C$7:$C$70)+SUMIF(Tim!$LD$7:$LD$70,Ins!F56,Tim!$C$7:$C$70)+SUMIF(Tim!$LE$7:$LE$70,Ins!F56,Tim!$C$7:$C$70)</f>
        <v>0</v>
      </c>
      <c r="CN56" s="22"/>
      <c r="CO56" s="180">
        <f>H56+T56+AF56+AR56+BD56+BP56+CB56</f>
        <v>97.5</v>
      </c>
      <c r="CP56" s="179">
        <f t="shared" si="159"/>
        <v>5.75</v>
      </c>
      <c r="CQ56" s="179">
        <f t="shared" si="160"/>
        <v>15</v>
      </c>
      <c r="CR56" s="179">
        <f t="shared" si="161"/>
        <v>27.75</v>
      </c>
      <c r="CS56" s="179">
        <f t="shared" si="162"/>
        <v>21</v>
      </c>
      <c r="CT56" s="179">
        <f t="shared" si="163"/>
        <v>16.25</v>
      </c>
      <c r="CU56" s="179">
        <f t="shared" si="164"/>
        <v>10.75</v>
      </c>
      <c r="CV56" s="179">
        <f t="shared" si="165"/>
        <v>25.5</v>
      </c>
      <c r="CW56" s="179">
        <f t="shared" si="166"/>
        <v>0</v>
      </c>
      <c r="CX56" s="179">
        <f t="shared" si="167"/>
        <v>0</v>
      </c>
      <c r="CY56" s="179">
        <f>R56+AD56+AP56+BB56+BN56+BZ56+CL56</f>
        <v>0</v>
      </c>
      <c r="CZ56" s="179">
        <f t="shared" si="173"/>
        <v>0</v>
      </c>
      <c r="DA56" s="397"/>
      <c r="DB56" s="16"/>
      <c r="DC56" s="34"/>
      <c r="DD56" s="34"/>
      <c r="DE56" s="34"/>
      <c r="DF56" s="34"/>
      <c r="DG56" s="34"/>
      <c r="DH56" s="34"/>
      <c r="DI56" s="34"/>
      <c r="DJ56" s="16"/>
      <c r="DK56" s="16"/>
      <c r="DL56" s="16"/>
      <c r="DM56" s="16"/>
      <c r="DN56" s="16"/>
      <c r="DO56" s="16"/>
      <c r="DP56" s="16"/>
      <c r="DQ56" s="16"/>
      <c r="DR56" s="16"/>
      <c r="DS56" s="16"/>
      <c r="DT56" s="16"/>
      <c r="DU56" s="17"/>
    </row>
    <row r="57" spans="1:125" ht="12" customHeight="1">
      <c r="B57" s="417"/>
      <c r="C57" s="418"/>
      <c r="D57" s="418"/>
      <c r="E57" s="419"/>
      <c r="F57" s="208"/>
      <c r="G57" s="206"/>
      <c r="H57" s="400">
        <f>SUM(H56:S56)</f>
        <v>33</v>
      </c>
      <c r="I57" s="401"/>
      <c r="J57" s="401"/>
      <c r="K57" s="401"/>
      <c r="L57" s="401"/>
      <c r="M57" s="401"/>
      <c r="N57" s="401"/>
      <c r="O57" s="401"/>
      <c r="P57" s="402"/>
      <c r="Q57" s="402"/>
      <c r="R57" s="402"/>
      <c r="S57" s="402"/>
      <c r="T57" s="403">
        <f>SUM(T56:AE56)</f>
        <v>34.25</v>
      </c>
      <c r="U57" s="404"/>
      <c r="V57" s="404"/>
      <c r="W57" s="404"/>
      <c r="X57" s="404"/>
      <c r="Y57" s="404"/>
      <c r="Z57" s="404"/>
      <c r="AA57" s="404"/>
      <c r="AB57" s="405"/>
      <c r="AC57" s="405"/>
      <c r="AD57" s="405"/>
      <c r="AE57" s="406"/>
      <c r="AF57" s="403">
        <f>SUM(AF56:AQ56)</f>
        <v>34</v>
      </c>
      <c r="AG57" s="404"/>
      <c r="AH57" s="404"/>
      <c r="AI57" s="404"/>
      <c r="AJ57" s="404"/>
      <c r="AK57" s="404"/>
      <c r="AL57" s="404"/>
      <c r="AM57" s="404"/>
      <c r="AN57" s="405"/>
      <c r="AO57" s="405"/>
      <c r="AP57" s="405"/>
      <c r="AQ57" s="406"/>
      <c r="AR57" s="403">
        <f>SUM(AR56:BC56)</f>
        <v>27.25</v>
      </c>
      <c r="AS57" s="404"/>
      <c r="AT57" s="404"/>
      <c r="AU57" s="404"/>
      <c r="AV57" s="404"/>
      <c r="AW57" s="404"/>
      <c r="AX57" s="404"/>
      <c r="AY57" s="404"/>
      <c r="AZ57" s="405"/>
      <c r="BA57" s="405"/>
      <c r="BB57" s="405"/>
      <c r="BC57" s="406"/>
      <c r="BD57" s="403">
        <f>SUM(BD56:BO56)</f>
        <v>52.75</v>
      </c>
      <c r="BE57" s="404"/>
      <c r="BF57" s="404"/>
      <c r="BG57" s="404"/>
      <c r="BH57" s="404"/>
      <c r="BI57" s="404"/>
      <c r="BJ57" s="404"/>
      <c r="BK57" s="404"/>
      <c r="BL57" s="405"/>
      <c r="BM57" s="405"/>
      <c r="BN57" s="405"/>
      <c r="BO57" s="406"/>
      <c r="BP57" s="403">
        <f>SUM(BP56:CA56)</f>
        <v>26.5</v>
      </c>
      <c r="BQ57" s="404"/>
      <c r="BR57" s="404"/>
      <c r="BS57" s="404"/>
      <c r="BT57" s="404"/>
      <c r="BU57" s="404"/>
      <c r="BV57" s="404"/>
      <c r="BW57" s="404"/>
      <c r="BX57" s="405"/>
      <c r="BY57" s="405"/>
      <c r="BZ57" s="405"/>
      <c r="CA57" s="406"/>
      <c r="CB57" s="403">
        <f>SUM(CB56:CM56)</f>
        <v>11.75</v>
      </c>
      <c r="CC57" s="404"/>
      <c r="CD57" s="404"/>
      <c r="CE57" s="404"/>
      <c r="CF57" s="404"/>
      <c r="CG57" s="404"/>
      <c r="CH57" s="404"/>
      <c r="CI57" s="404"/>
      <c r="CJ57" s="405"/>
      <c r="CK57" s="405"/>
      <c r="CL57" s="405"/>
      <c r="CM57" s="406"/>
      <c r="CN57" s="22"/>
      <c r="CO57" s="403">
        <f>SUM(CO56:CZ56)</f>
        <v>219.5</v>
      </c>
      <c r="CP57" s="404"/>
      <c r="CQ57" s="404"/>
      <c r="CR57" s="404"/>
      <c r="CS57" s="404"/>
      <c r="CT57" s="404"/>
      <c r="CU57" s="404"/>
      <c r="CV57" s="404"/>
      <c r="CW57" s="404"/>
      <c r="CX57" s="404"/>
      <c r="CY57" s="404"/>
      <c r="CZ57" s="404"/>
      <c r="DA57" s="397"/>
      <c r="DB57" s="16"/>
      <c r="DC57" s="34"/>
      <c r="DD57" s="34"/>
      <c r="DE57" s="34"/>
      <c r="DF57" s="34"/>
      <c r="DG57" s="34"/>
      <c r="DH57" s="34"/>
      <c r="DI57" s="34"/>
      <c r="DJ57" s="16"/>
      <c r="DK57" s="16"/>
      <c r="DL57" s="16"/>
      <c r="DM57" s="16"/>
      <c r="DN57" s="16"/>
      <c r="DO57" s="16"/>
      <c r="DP57" s="16"/>
      <c r="DQ57" s="16"/>
      <c r="DR57" s="16"/>
      <c r="DS57" s="16"/>
      <c r="DT57" s="16"/>
      <c r="DU57" s="17"/>
    </row>
    <row r="58" spans="1:125" ht="12" customHeight="1">
      <c r="B58" s="410" t="s">
        <v>46</v>
      </c>
      <c r="C58" s="411"/>
      <c r="D58" s="412"/>
      <c r="E58" s="412"/>
      <c r="F58" s="412"/>
      <c r="G58" s="205"/>
      <c r="H58" s="209">
        <f>Tim!F75</f>
        <v>15.5</v>
      </c>
      <c r="I58" s="209">
        <f>Tim!G75</f>
        <v>0.75</v>
      </c>
      <c r="J58" s="209">
        <f>Tim!H75</f>
        <v>0</v>
      </c>
      <c r="K58" s="209">
        <f>Tim!I75</f>
        <v>4</v>
      </c>
      <c r="L58" s="209">
        <f>Tim!J75</f>
        <v>6.5</v>
      </c>
      <c r="M58" s="209">
        <f>Tim!K75</f>
        <v>4.5</v>
      </c>
      <c r="N58" s="209">
        <f>Tim!L75</f>
        <v>2.5</v>
      </c>
      <c r="O58" s="209">
        <f>Tim!M75</f>
        <v>8.25</v>
      </c>
      <c r="P58" s="209">
        <f>Tim!N75</f>
        <v>0.75</v>
      </c>
      <c r="Q58" s="209">
        <f>Tim!O75</f>
        <v>0</v>
      </c>
      <c r="R58" s="209">
        <f>Tim!P75</f>
        <v>0</v>
      </c>
      <c r="S58" s="209">
        <f>Tim!Q75</f>
        <v>18</v>
      </c>
      <c r="T58" s="209">
        <f>Tim!AY75</f>
        <v>15.5</v>
      </c>
      <c r="U58" s="209">
        <f>Tim!AZ75</f>
        <v>2.5</v>
      </c>
      <c r="V58" s="209">
        <f>Tim!BA75</f>
        <v>3</v>
      </c>
      <c r="W58" s="209">
        <f>Tim!BB75</f>
        <v>2.5</v>
      </c>
      <c r="X58" s="209">
        <f>Tim!BC75</f>
        <v>5.25</v>
      </c>
      <c r="Y58" s="209">
        <f>Tim!BD75</f>
        <v>3.25</v>
      </c>
      <c r="Z58" s="209">
        <f>Tim!BE75</f>
        <v>2.5</v>
      </c>
      <c r="AA58" s="209">
        <f>Tim!BF75</f>
        <v>7.5</v>
      </c>
      <c r="AB58" s="209">
        <f>Tim!BG75</f>
        <v>0.5</v>
      </c>
      <c r="AC58" s="209">
        <f>Tim!BH75</f>
        <v>0</v>
      </c>
      <c r="AD58" s="209">
        <f>Tim!BI75</f>
        <v>0</v>
      </c>
      <c r="AE58" s="209">
        <f>Tim!BJ75</f>
        <v>23</v>
      </c>
      <c r="AF58" s="209">
        <f>Tim!CQ75</f>
        <v>15.5</v>
      </c>
      <c r="AG58" s="209">
        <f>Tim!CR75</f>
        <v>1.25</v>
      </c>
      <c r="AH58" s="209">
        <f>Tim!CS75</f>
        <v>1</v>
      </c>
      <c r="AI58" s="209">
        <f>Tim!CT75</f>
        <v>5.5</v>
      </c>
      <c r="AJ58" s="209">
        <f>Tim!CU75</f>
        <v>3.25</v>
      </c>
      <c r="AK58" s="209">
        <f>Tim!CV75</f>
        <v>4</v>
      </c>
      <c r="AL58" s="209">
        <f>Tim!CW75</f>
        <v>2.5</v>
      </c>
      <c r="AM58" s="209">
        <f>Tim!CX75</f>
        <v>13.5</v>
      </c>
      <c r="AN58" s="209">
        <f>Tim!CY75</f>
        <v>0.25</v>
      </c>
      <c r="AO58" s="209">
        <f>Tim!CZ75</f>
        <v>0</v>
      </c>
      <c r="AP58" s="209">
        <f>Tim!DA75</f>
        <v>0</v>
      </c>
      <c r="AQ58" s="209">
        <f>Tim!DB75</f>
        <v>19.5</v>
      </c>
      <c r="AR58" s="209">
        <f>Tim!EL75</f>
        <v>15.5</v>
      </c>
      <c r="AS58" s="209">
        <f>Tim!EM75</f>
        <v>1.25</v>
      </c>
      <c r="AT58" s="209">
        <f>Tim!EN75</f>
        <v>2</v>
      </c>
      <c r="AU58" s="209">
        <f>Tim!EO75</f>
        <v>1</v>
      </c>
      <c r="AV58" s="209">
        <f>Tim!EP75</f>
        <v>4</v>
      </c>
      <c r="AW58" s="209">
        <f>Tim!EQ75</f>
        <v>3</v>
      </c>
      <c r="AX58" s="209">
        <f>Tim!ER75</f>
        <v>0.5</v>
      </c>
      <c r="AY58" s="209">
        <f>Tim!ES75</f>
        <v>12</v>
      </c>
      <c r="AZ58" s="209">
        <f>Tim!ET75</f>
        <v>0</v>
      </c>
      <c r="BA58" s="209">
        <f>Tim!EU75</f>
        <v>0</v>
      </c>
      <c r="BB58" s="209">
        <f>Tim!EV75</f>
        <v>0</v>
      </c>
      <c r="BC58" s="209">
        <f>Tim!EW75</f>
        <v>19</v>
      </c>
      <c r="BD58" s="209">
        <f>Tim!GD75</f>
        <v>15.5</v>
      </c>
      <c r="BE58" s="209">
        <f>Tim!GE75</f>
        <v>1</v>
      </c>
      <c r="BF58" s="209">
        <f>Tim!GF75</f>
        <v>7</v>
      </c>
      <c r="BG58" s="209">
        <f>Tim!GG75</f>
        <v>11.75</v>
      </c>
      <c r="BH58" s="209">
        <f>Tim!GH75</f>
        <v>2</v>
      </c>
      <c r="BI58" s="209">
        <f>Tim!GI75</f>
        <v>1.5</v>
      </c>
      <c r="BJ58" s="209">
        <f>Tim!GJ75</f>
        <v>2.75</v>
      </c>
      <c r="BK58" s="209">
        <f>Tim!GK75</f>
        <v>11.25</v>
      </c>
      <c r="BL58" s="209">
        <f>Tim!GL75</f>
        <v>0.25</v>
      </c>
      <c r="BM58" s="209">
        <f>Tim!GM75</f>
        <v>0</v>
      </c>
      <c r="BN58" s="209">
        <f>Tim!GN75</f>
        <v>0</v>
      </c>
      <c r="BO58" s="209">
        <f>Tim!GO75</f>
        <v>14.5</v>
      </c>
      <c r="BP58" s="209">
        <f>Tim!HV75</f>
        <v>12</v>
      </c>
      <c r="BQ58" s="209">
        <f>Tim!HW75</f>
        <v>0</v>
      </c>
      <c r="BR58" s="209">
        <f>Tim!HX75</f>
        <v>2</v>
      </c>
      <c r="BS58" s="209">
        <f>Tim!HY75</f>
        <v>2</v>
      </c>
      <c r="BT58" s="209">
        <f>Tim!HZ75</f>
        <v>0</v>
      </c>
      <c r="BU58" s="209">
        <f>Tim!IA75</f>
        <v>0</v>
      </c>
      <c r="BV58" s="209">
        <f>Tim!IB75</f>
        <v>0</v>
      </c>
      <c r="BW58" s="209">
        <f>Tim!IC75</f>
        <v>10.5</v>
      </c>
      <c r="BX58" s="209">
        <f>Tim!ID75</f>
        <v>0</v>
      </c>
      <c r="BY58" s="209">
        <f>Tim!IE75</f>
        <v>0</v>
      </c>
      <c r="BZ58" s="209">
        <f>Tim!IF75</f>
        <v>0</v>
      </c>
      <c r="CA58" s="209">
        <f>Tim!IG75</f>
        <v>10</v>
      </c>
      <c r="CB58" s="209">
        <f>Tim!JN75</f>
        <v>8</v>
      </c>
      <c r="CC58" s="209">
        <f>Tim!JO75</f>
        <v>0</v>
      </c>
      <c r="CD58" s="209">
        <f>Tim!JP75</f>
        <v>0</v>
      </c>
      <c r="CE58" s="209">
        <f>Tim!JQ75</f>
        <v>0</v>
      </c>
      <c r="CF58" s="209">
        <f>Tim!JR75</f>
        <v>0</v>
      </c>
      <c r="CG58" s="209">
        <f>Tim!JS75</f>
        <v>0</v>
      </c>
      <c r="CH58" s="209">
        <f>Tim!JT75</f>
        <v>0</v>
      </c>
      <c r="CI58" s="209">
        <f>Tim!JU75</f>
        <v>3.75</v>
      </c>
      <c r="CJ58" s="209">
        <f>Tim!JV75</f>
        <v>0</v>
      </c>
      <c r="CK58" s="209">
        <f>Tim!JW75</f>
        <v>0</v>
      </c>
      <c r="CL58" s="209">
        <f>Tim!JX75</f>
        <v>0</v>
      </c>
      <c r="CM58" s="209">
        <f>Tim!JY75</f>
        <v>7</v>
      </c>
      <c r="CN58" s="22"/>
      <c r="CO58" s="242">
        <f>H58+T58+AF58+AR58+BD58+BP58+CB58</f>
        <v>97.5</v>
      </c>
      <c r="CP58" s="242">
        <f t="shared" ref="CP58:CZ58" si="501">I58+U58+AG58+AS58+BE58+BQ58+CC58</f>
        <v>6.75</v>
      </c>
      <c r="CQ58" s="242">
        <f t="shared" si="501"/>
        <v>15</v>
      </c>
      <c r="CR58" s="242">
        <f t="shared" si="501"/>
        <v>26.75</v>
      </c>
      <c r="CS58" s="242">
        <f t="shared" si="501"/>
        <v>21</v>
      </c>
      <c r="CT58" s="242">
        <f t="shared" si="501"/>
        <v>16.25</v>
      </c>
      <c r="CU58" s="242">
        <f t="shared" si="501"/>
        <v>10.75</v>
      </c>
      <c r="CV58" s="242">
        <f t="shared" si="501"/>
        <v>66.75</v>
      </c>
      <c r="CW58" s="242">
        <f t="shared" si="501"/>
        <v>1.75</v>
      </c>
      <c r="CX58" s="242">
        <f t="shared" si="501"/>
        <v>0</v>
      </c>
      <c r="CY58" s="242">
        <f t="shared" si="501"/>
        <v>0</v>
      </c>
      <c r="CZ58" s="242">
        <f t="shared" si="501"/>
        <v>111</v>
      </c>
      <c r="DA58" s="398"/>
      <c r="DB58" s="16"/>
      <c r="DC58" s="34"/>
      <c r="DD58" s="34"/>
      <c r="DE58" s="34"/>
      <c r="DF58" s="34"/>
      <c r="DG58" s="34"/>
      <c r="DH58" s="34"/>
      <c r="DI58" s="34"/>
      <c r="DJ58" s="16"/>
      <c r="DK58" s="16"/>
      <c r="DL58" s="16"/>
      <c r="DM58" s="16"/>
      <c r="DN58" s="16"/>
      <c r="DO58" s="16"/>
      <c r="DP58" s="16"/>
      <c r="DQ58" s="16"/>
      <c r="DR58" s="16"/>
      <c r="DS58" s="16"/>
      <c r="DT58" s="16"/>
      <c r="DU58" s="17"/>
    </row>
    <row r="59" spans="1:125" ht="12" customHeight="1" thickBot="1">
      <c r="B59" s="411" t="s">
        <v>47</v>
      </c>
      <c r="C59" s="411"/>
      <c r="D59" s="411"/>
      <c r="E59" s="411"/>
      <c r="F59" s="411"/>
      <c r="G59" s="241"/>
      <c r="H59" s="209">
        <f>H58-H56</f>
        <v>0</v>
      </c>
      <c r="I59" s="209">
        <f t="shared" ref="I59:CM59" si="502">I58-I56</f>
        <v>0.75</v>
      </c>
      <c r="J59" s="209">
        <f t="shared" si="502"/>
        <v>0</v>
      </c>
      <c r="K59" s="209">
        <f t="shared" si="502"/>
        <v>0</v>
      </c>
      <c r="L59" s="209">
        <f t="shared" si="502"/>
        <v>0</v>
      </c>
      <c r="M59" s="209">
        <f t="shared" si="502"/>
        <v>0</v>
      </c>
      <c r="N59" s="209">
        <f t="shared" si="502"/>
        <v>0</v>
      </c>
      <c r="O59" s="209">
        <f t="shared" si="502"/>
        <v>8.25</v>
      </c>
      <c r="P59" s="209">
        <f t="shared" si="502"/>
        <v>0.75</v>
      </c>
      <c r="Q59" s="209">
        <f t="shared" si="502"/>
        <v>0</v>
      </c>
      <c r="R59" s="209">
        <f t="shared" si="502"/>
        <v>0</v>
      </c>
      <c r="S59" s="209">
        <f t="shared" si="502"/>
        <v>18</v>
      </c>
      <c r="T59" s="209">
        <f>T58-T56</f>
        <v>0</v>
      </c>
      <c r="U59" s="209">
        <f t="shared" si="502"/>
        <v>0.25</v>
      </c>
      <c r="V59" s="209">
        <f t="shared" si="502"/>
        <v>0</v>
      </c>
      <c r="W59" s="209">
        <f t="shared" si="502"/>
        <v>0</v>
      </c>
      <c r="X59" s="209">
        <f t="shared" si="502"/>
        <v>0</v>
      </c>
      <c r="Y59" s="209">
        <f t="shared" si="502"/>
        <v>0</v>
      </c>
      <c r="Z59" s="209">
        <f t="shared" si="502"/>
        <v>0</v>
      </c>
      <c r="AA59" s="209">
        <f t="shared" si="502"/>
        <v>7.5</v>
      </c>
      <c r="AB59" s="209">
        <f t="shared" si="502"/>
        <v>0.5</v>
      </c>
      <c r="AC59" s="209">
        <f t="shared" si="502"/>
        <v>0</v>
      </c>
      <c r="AD59" s="209">
        <f t="shared" si="502"/>
        <v>0</v>
      </c>
      <c r="AE59" s="209">
        <f t="shared" si="502"/>
        <v>23</v>
      </c>
      <c r="AF59" s="209">
        <f t="shared" si="502"/>
        <v>0</v>
      </c>
      <c r="AG59" s="209">
        <f t="shared" si="502"/>
        <v>0</v>
      </c>
      <c r="AH59" s="209">
        <f t="shared" si="502"/>
        <v>0</v>
      </c>
      <c r="AI59" s="209">
        <f t="shared" si="502"/>
        <v>-1</v>
      </c>
      <c r="AJ59" s="209">
        <f t="shared" si="502"/>
        <v>0</v>
      </c>
      <c r="AK59" s="209">
        <f t="shared" si="502"/>
        <v>0</v>
      </c>
      <c r="AL59" s="209">
        <f t="shared" si="502"/>
        <v>0</v>
      </c>
      <c r="AM59" s="209">
        <f t="shared" si="502"/>
        <v>13.5</v>
      </c>
      <c r="AN59" s="209">
        <f t="shared" si="502"/>
        <v>0.25</v>
      </c>
      <c r="AO59" s="209">
        <f t="shared" si="502"/>
        <v>0</v>
      </c>
      <c r="AP59" s="209">
        <f t="shared" si="502"/>
        <v>0</v>
      </c>
      <c r="AQ59" s="209">
        <f t="shared" si="502"/>
        <v>19.5</v>
      </c>
      <c r="AR59" s="209">
        <f t="shared" si="502"/>
        <v>0</v>
      </c>
      <c r="AS59" s="209">
        <f t="shared" si="502"/>
        <v>0</v>
      </c>
      <c r="AT59" s="209">
        <f t="shared" si="502"/>
        <v>0</v>
      </c>
      <c r="AU59" s="209">
        <f t="shared" si="502"/>
        <v>0</v>
      </c>
      <c r="AV59" s="209">
        <f t="shared" si="502"/>
        <v>0</v>
      </c>
      <c r="AW59" s="209">
        <f t="shared" si="502"/>
        <v>0</v>
      </c>
      <c r="AX59" s="209">
        <f t="shared" si="502"/>
        <v>0</v>
      </c>
      <c r="AY59" s="209">
        <f t="shared" si="502"/>
        <v>12</v>
      </c>
      <c r="AZ59" s="209">
        <f t="shared" si="502"/>
        <v>0</v>
      </c>
      <c r="BA59" s="209">
        <f t="shared" si="502"/>
        <v>0</v>
      </c>
      <c r="BB59" s="209">
        <f t="shared" si="502"/>
        <v>0</v>
      </c>
      <c r="BC59" s="209">
        <f t="shared" si="502"/>
        <v>19</v>
      </c>
      <c r="BD59" s="209">
        <f t="shared" si="502"/>
        <v>0</v>
      </c>
      <c r="BE59" s="209">
        <f t="shared" si="502"/>
        <v>0</v>
      </c>
      <c r="BF59" s="209">
        <f t="shared" si="502"/>
        <v>0</v>
      </c>
      <c r="BG59" s="209">
        <f t="shared" si="502"/>
        <v>0</v>
      </c>
      <c r="BH59" s="209">
        <f t="shared" si="502"/>
        <v>0</v>
      </c>
      <c r="BI59" s="209">
        <f t="shared" si="502"/>
        <v>0</v>
      </c>
      <c r="BJ59" s="209">
        <f t="shared" si="502"/>
        <v>0</v>
      </c>
      <c r="BK59" s="209">
        <f t="shared" si="502"/>
        <v>0</v>
      </c>
      <c r="BL59" s="209">
        <f t="shared" si="502"/>
        <v>0.25</v>
      </c>
      <c r="BM59" s="209">
        <f t="shared" si="502"/>
        <v>0</v>
      </c>
      <c r="BN59" s="209">
        <f t="shared" si="502"/>
        <v>0</v>
      </c>
      <c r="BO59" s="209">
        <f t="shared" si="502"/>
        <v>14.5</v>
      </c>
      <c r="BP59" s="209">
        <f t="shared" si="502"/>
        <v>0</v>
      </c>
      <c r="BQ59" s="209">
        <f t="shared" si="502"/>
        <v>0</v>
      </c>
      <c r="BR59" s="209">
        <f t="shared" si="502"/>
        <v>0</v>
      </c>
      <c r="BS59" s="209">
        <f t="shared" si="502"/>
        <v>0</v>
      </c>
      <c r="BT59" s="209">
        <f t="shared" si="502"/>
        <v>0</v>
      </c>
      <c r="BU59" s="209">
        <f t="shared" si="502"/>
        <v>0</v>
      </c>
      <c r="BV59" s="209">
        <f t="shared" si="502"/>
        <v>0</v>
      </c>
      <c r="BW59" s="209">
        <f t="shared" si="502"/>
        <v>0</v>
      </c>
      <c r="BX59" s="209">
        <f t="shared" si="502"/>
        <v>0</v>
      </c>
      <c r="BY59" s="209">
        <f t="shared" si="502"/>
        <v>0</v>
      </c>
      <c r="BZ59" s="209">
        <f t="shared" si="502"/>
        <v>0</v>
      </c>
      <c r="CA59" s="209">
        <f t="shared" si="502"/>
        <v>10</v>
      </c>
      <c r="CB59" s="209">
        <f t="shared" si="502"/>
        <v>0</v>
      </c>
      <c r="CC59" s="209">
        <f t="shared" si="502"/>
        <v>0</v>
      </c>
      <c r="CD59" s="209">
        <f t="shared" si="502"/>
        <v>0</v>
      </c>
      <c r="CE59" s="209">
        <f t="shared" si="502"/>
        <v>0</v>
      </c>
      <c r="CF59" s="209">
        <f t="shared" si="502"/>
        <v>0</v>
      </c>
      <c r="CG59" s="209">
        <f t="shared" si="502"/>
        <v>0</v>
      </c>
      <c r="CH59" s="209">
        <f t="shared" si="502"/>
        <v>0</v>
      </c>
      <c r="CI59" s="209">
        <f t="shared" si="502"/>
        <v>0</v>
      </c>
      <c r="CJ59" s="209">
        <f t="shared" si="502"/>
        <v>0</v>
      </c>
      <c r="CK59" s="209">
        <f t="shared" si="502"/>
        <v>0</v>
      </c>
      <c r="CL59" s="209">
        <f t="shared" si="502"/>
        <v>0</v>
      </c>
      <c r="CM59" s="209">
        <f t="shared" si="502"/>
        <v>7</v>
      </c>
      <c r="CN59" s="25"/>
      <c r="CO59" s="242">
        <f>CO58-CO56</f>
        <v>0</v>
      </c>
      <c r="CP59" s="242">
        <f t="shared" ref="CP59:CZ59" si="503">CP58-CP56</f>
        <v>1</v>
      </c>
      <c r="CQ59" s="242">
        <f>CQ58-CQ56</f>
        <v>0</v>
      </c>
      <c r="CR59" s="242">
        <f>CR58-CR56</f>
        <v>-1</v>
      </c>
      <c r="CS59" s="242">
        <f>CS58-CS56</f>
        <v>0</v>
      </c>
      <c r="CT59" s="242">
        <f>CT58-CT56</f>
        <v>0</v>
      </c>
      <c r="CU59" s="242">
        <f t="shared" si="503"/>
        <v>0</v>
      </c>
      <c r="CV59" s="242">
        <f t="shared" si="503"/>
        <v>41.25</v>
      </c>
      <c r="CW59" s="242">
        <f>CW58-CW56</f>
        <v>1.75</v>
      </c>
      <c r="CX59" s="242">
        <f>CX58-CX56</f>
        <v>0</v>
      </c>
      <c r="CY59" s="242">
        <f t="shared" si="503"/>
        <v>0</v>
      </c>
      <c r="CZ59" s="242">
        <f t="shared" si="503"/>
        <v>111</v>
      </c>
      <c r="DA59" s="399"/>
      <c r="DB59" s="18"/>
      <c r="DC59" s="35"/>
      <c r="DD59" s="35"/>
      <c r="DE59" s="35"/>
      <c r="DF59" s="35"/>
      <c r="DG59" s="35"/>
      <c r="DH59" s="35"/>
      <c r="DI59" s="35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9"/>
    </row>
    <row r="60" spans="1:125" ht="10.8" thickBot="1">
      <c r="B60" s="248"/>
      <c r="C60" s="248"/>
      <c r="D60" s="249"/>
      <c r="E60" s="249"/>
      <c r="F60" s="248"/>
      <c r="G60" s="248"/>
      <c r="H60" s="413">
        <f>Tim!F73</f>
        <v>60.75</v>
      </c>
      <c r="I60" s="413"/>
      <c r="J60" s="413"/>
      <c r="K60" s="413"/>
      <c r="L60" s="413"/>
      <c r="M60" s="413"/>
      <c r="N60" s="413"/>
      <c r="O60" s="413"/>
      <c r="P60" s="413"/>
      <c r="Q60" s="413"/>
      <c r="R60" s="413"/>
      <c r="S60" s="413"/>
      <c r="T60" s="413">
        <f>Tim!AY73</f>
        <v>65.5</v>
      </c>
      <c r="U60" s="413"/>
      <c r="V60" s="413"/>
      <c r="W60" s="413"/>
      <c r="X60" s="413"/>
      <c r="Y60" s="413"/>
      <c r="Z60" s="413"/>
      <c r="AA60" s="413"/>
      <c r="AB60" s="413"/>
      <c r="AC60" s="413"/>
      <c r="AD60" s="413"/>
      <c r="AE60" s="413"/>
      <c r="AF60" s="413">
        <f>Tim!CQ73</f>
        <v>68.5</v>
      </c>
      <c r="AG60" s="413"/>
      <c r="AH60" s="413"/>
      <c r="AI60" s="413"/>
      <c r="AJ60" s="413"/>
      <c r="AK60" s="413"/>
      <c r="AL60" s="413"/>
      <c r="AM60" s="413"/>
      <c r="AN60" s="413"/>
      <c r="AO60" s="413"/>
      <c r="AP60" s="413"/>
      <c r="AQ60" s="413"/>
      <c r="AR60" s="413">
        <f>Tim!EL73</f>
        <v>58.25</v>
      </c>
      <c r="AS60" s="413"/>
      <c r="AT60" s="413"/>
      <c r="AU60" s="413"/>
      <c r="AV60" s="413"/>
      <c r="AW60" s="413"/>
      <c r="AX60" s="413"/>
      <c r="AY60" s="413"/>
      <c r="AZ60" s="413"/>
      <c r="BA60" s="413"/>
      <c r="BB60" s="413"/>
      <c r="BC60" s="413"/>
      <c r="BD60" s="413">
        <f>Tim!GD73</f>
        <v>67.5</v>
      </c>
      <c r="BE60" s="413"/>
      <c r="BF60" s="413"/>
      <c r="BG60" s="413"/>
      <c r="BH60" s="413"/>
      <c r="BI60" s="413"/>
      <c r="BJ60" s="413"/>
      <c r="BK60" s="413"/>
      <c r="BL60" s="413"/>
      <c r="BM60" s="413"/>
      <c r="BN60" s="413"/>
      <c r="BO60" s="413"/>
      <c r="BP60" s="413">
        <f>Tim!HV73</f>
        <v>36.5</v>
      </c>
      <c r="BQ60" s="413"/>
      <c r="BR60" s="413"/>
      <c r="BS60" s="413"/>
      <c r="BT60" s="413"/>
      <c r="BU60" s="413"/>
      <c r="BV60" s="413"/>
      <c r="BW60" s="413"/>
      <c r="BX60" s="413"/>
      <c r="BY60" s="413"/>
      <c r="BZ60" s="413"/>
      <c r="CA60" s="413"/>
      <c r="CB60" s="413">
        <f>Tim!JN73</f>
        <v>18.75</v>
      </c>
      <c r="CC60" s="413"/>
      <c r="CD60" s="413"/>
      <c r="CE60" s="413"/>
      <c r="CF60" s="413"/>
      <c r="CG60" s="413"/>
      <c r="CH60" s="413"/>
      <c r="CI60" s="413"/>
      <c r="CJ60" s="413"/>
      <c r="CK60" s="413"/>
      <c r="CL60" s="413"/>
      <c r="CM60" s="413"/>
      <c r="CN60" s="20"/>
      <c r="CO60" s="21"/>
      <c r="CP60" s="21"/>
      <c r="CQ60" s="21"/>
      <c r="CR60" s="21"/>
      <c r="CS60" s="21"/>
      <c r="CT60" s="21"/>
      <c r="CU60" s="21"/>
      <c r="CV60" s="21"/>
      <c r="CW60" s="21"/>
      <c r="CX60" s="21"/>
      <c r="CY60" s="21"/>
      <c r="CZ60" s="21"/>
    </row>
    <row r="61" spans="1:125" ht="10.8" thickBot="1">
      <c r="B61" s="246"/>
      <c r="C61" s="246"/>
      <c r="D61" s="247"/>
      <c r="E61" s="247"/>
      <c r="F61" s="246"/>
      <c r="G61" s="246"/>
      <c r="H61" s="420">
        <f>H60-H57</f>
        <v>27.75</v>
      </c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>
        <f t="shared" ref="T61" si="504">T60-T57</f>
        <v>31.25</v>
      </c>
      <c r="U61" s="420"/>
      <c r="V61" s="420"/>
      <c r="W61" s="420"/>
      <c r="X61" s="420"/>
      <c r="Y61" s="420"/>
      <c r="Z61" s="420"/>
      <c r="AA61" s="420"/>
      <c r="AB61" s="420"/>
      <c r="AC61" s="420"/>
      <c r="AD61" s="420"/>
      <c r="AE61" s="420"/>
      <c r="AF61" s="420">
        <f t="shared" ref="AF61" si="505">AF60-AF57</f>
        <v>34.5</v>
      </c>
      <c r="AG61" s="420"/>
      <c r="AH61" s="420"/>
      <c r="AI61" s="420"/>
      <c r="AJ61" s="420"/>
      <c r="AK61" s="420"/>
      <c r="AL61" s="420"/>
      <c r="AM61" s="420"/>
      <c r="AN61" s="420"/>
      <c r="AO61" s="420"/>
      <c r="AP61" s="420"/>
      <c r="AQ61" s="420"/>
      <c r="AR61" s="420">
        <f t="shared" ref="AR61" si="506">AR60-AR57</f>
        <v>31</v>
      </c>
      <c r="AS61" s="420"/>
      <c r="AT61" s="420"/>
      <c r="AU61" s="420"/>
      <c r="AV61" s="420"/>
      <c r="AW61" s="420"/>
      <c r="AX61" s="420"/>
      <c r="AY61" s="420"/>
      <c r="AZ61" s="420"/>
      <c r="BA61" s="420"/>
      <c r="BB61" s="420"/>
      <c r="BC61" s="420"/>
      <c r="BD61" s="420">
        <f t="shared" ref="BD61" si="507">BD60-BD57</f>
        <v>14.75</v>
      </c>
      <c r="BE61" s="420"/>
      <c r="BF61" s="420"/>
      <c r="BG61" s="420"/>
      <c r="BH61" s="420"/>
      <c r="BI61" s="420"/>
      <c r="BJ61" s="420"/>
      <c r="BK61" s="420"/>
      <c r="BL61" s="420"/>
      <c r="BM61" s="420"/>
      <c r="BN61" s="420"/>
      <c r="BO61" s="420"/>
      <c r="BP61" s="420">
        <f t="shared" ref="BP61" si="508">BP60-BP57</f>
        <v>10</v>
      </c>
      <c r="BQ61" s="420"/>
      <c r="BR61" s="420"/>
      <c r="BS61" s="420"/>
      <c r="BT61" s="420"/>
      <c r="BU61" s="420"/>
      <c r="BV61" s="420"/>
      <c r="BW61" s="420"/>
      <c r="BX61" s="420"/>
      <c r="BY61" s="420"/>
      <c r="BZ61" s="420"/>
      <c r="CA61" s="420"/>
      <c r="CB61" s="420">
        <f t="shared" ref="CB61" si="509">CB60-CB57</f>
        <v>7</v>
      </c>
      <c r="CC61" s="420"/>
      <c r="CD61" s="420"/>
      <c r="CE61" s="420"/>
      <c r="CF61" s="420"/>
      <c r="CG61" s="420"/>
      <c r="CH61" s="420"/>
      <c r="CI61" s="420"/>
      <c r="CJ61" s="420"/>
      <c r="CK61" s="420"/>
      <c r="CL61" s="420"/>
      <c r="CM61" s="420"/>
      <c r="CN61" s="20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</row>
    <row r="62" spans="1:125">
      <c r="CN62" s="20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</row>
    <row r="64" spans="1:125"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</row>
  </sheetData>
  <sortState xmlns:xlrd2="http://schemas.microsoft.com/office/spreadsheetml/2017/richdata2" ref="B3:G78">
    <sortCondition ref="B3:B78"/>
  </sortState>
  <mergeCells count="34">
    <mergeCell ref="BP61:CA61"/>
    <mergeCell ref="CB61:CM61"/>
    <mergeCell ref="H61:S61"/>
    <mergeCell ref="T60:AE60"/>
    <mergeCell ref="AF60:AQ60"/>
    <mergeCell ref="AR60:BC60"/>
    <mergeCell ref="BD60:BO60"/>
    <mergeCell ref="T61:AE61"/>
    <mergeCell ref="AF61:AQ61"/>
    <mergeCell ref="AR61:BC61"/>
    <mergeCell ref="BD61:BO61"/>
    <mergeCell ref="CO57:CZ57"/>
    <mergeCell ref="B58:F58"/>
    <mergeCell ref="H60:S60"/>
    <mergeCell ref="BP60:CA60"/>
    <mergeCell ref="CB60:CM60"/>
    <mergeCell ref="B59:F59"/>
    <mergeCell ref="B56:E57"/>
    <mergeCell ref="CB1:CM1"/>
    <mergeCell ref="CO1:DA1"/>
    <mergeCell ref="DA56:DA59"/>
    <mergeCell ref="H57:S57"/>
    <mergeCell ref="T57:AE57"/>
    <mergeCell ref="AF57:AQ57"/>
    <mergeCell ref="AR57:BC57"/>
    <mergeCell ref="BD57:BO57"/>
    <mergeCell ref="H1:S1"/>
    <mergeCell ref="T1:AE1"/>
    <mergeCell ref="AF1:AQ1"/>
    <mergeCell ref="AR1:BC1"/>
    <mergeCell ref="BD1:BO1"/>
    <mergeCell ref="BP1:CA1"/>
    <mergeCell ref="BP57:CA57"/>
    <mergeCell ref="CB57:CM57"/>
  </mergeCells>
  <conditionalFormatting sqref="A1:XFD1048576">
    <cfRule type="cellIs" dxfId="463" priority="1" operator="equal">
      <formula>"LA"</formula>
    </cfRule>
    <cfRule type="cellIs" dxfId="462" priority="2" operator="equal">
      <formula>"MP"</formula>
    </cfRule>
    <cfRule type="cellIs" dxfId="461" priority="3" operator="equal">
      <formula>"RF"</formula>
    </cfRule>
    <cfRule type="cellIs" dxfId="460" priority="4" operator="equal">
      <formula>"LF"</formula>
    </cfRule>
    <cfRule type="cellIs" dxfId="459" priority="5" operator="equal">
      <formula>"GR"</formula>
    </cfRule>
    <cfRule type="cellIs" dxfId="458" priority="6" operator="equal">
      <formula>"TA"</formula>
    </cfRule>
    <cfRule type="cellIs" dxfId="457" priority="7" operator="equal">
      <formula>"HA"</formula>
    </cfRule>
    <cfRule type="cellIs" dxfId="456" priority="8" operator="equal">
      <formula>"MS"</formula>
    </cfRule>
    <cfRule type="cellIs" dxfId="455" priority="9" operator="equal">
      <formula>"JC"</formula>
    </cfRule>
    <cfRule type="cellIs" dxfId="454" priority="10" operator="equal">
      <formula>"LG"</formula>
    </cfRule>
  </conditionalFormatting>
  <conditionalFormatting sqref="F1:F2 F35:F1048576">
    <cfRule type="containsText" dxfId="453" priority="60" operator="containsText" text="lf">
      <formula>NOT(ISERROR(SEARCH("lf",F1)))</formula>
    </cfRule>
    <cfRule type="containsText" dxfId="452" priority="61" operator="containsText" text="ss">
      <formula>NOT(ISERROR(SEARCH("ss",F1)))</formula>
    </cfRule>
  </conditionalFormatting>
  <conditionalFormatting sqref="F3:F17">
    <cfRule type="containsText" dxfId="451" priority="28" operator="containsText" text="MQ">
      <formula>NOT(ISERROR(SEARCH("MQ",F3)))</formula>
    </cfRule>
    <cfRule type="cellIs" dxfId="450" priority="30" operator="equal">
      <formula>"FL"</formula>
    </cfRule>
    <cfRule type="cellIs" dxfId="449" priority="31" operator="equal">
      <formula>"MO"</formula>
    </cfRule>
    <cfRule type="cellIs" dxfId="448" priority="32" operator="equal">
      <formula>"AV"</formula>
    </cfRule>
    <cfRule type="cellIs" dxfId="447" priority="33" operator="equal">
      <formula>"GG"</formula>
    </cfRule>
    <cfRule type="cellIs" dxfId="446" priority="34" operator="equal">
      <formula>"SA"</formula>
    </cfRule>
    <cfRule type="cellIs" dxfId="445" priority="35" operator="equal">
      <formula>"MQ"</formula>
    </cfRule>
  </conditionalFormatting>
  <conditionalFormatting sqref="F18:F29">
    <cfRule type="containsText" dxfId="444" priority="11" operator="containsText" text="lf">
      <formula>NOT(ISERROR(SEARCH("lf",F18)))</formula>
    </cfRule>
    <cfRule type="containsText" dxfId="443" priority="12" operator="containsText" text="ss">
      <formula>NOT(ISERROR(SEARCH("ss",F18)))</formula>
    </cfRule>
    <cfRule type="containsText" dxfId="442" priority="13" operator="containsText" text="is">
      <formula>NOT(ISERROR(SEARCH("is",F18)))</formula>
    </cfRule>
    <cfRule type="containsText" dxfId="441" priority="14" operator="containsText" text="AC">
      <formula>NOT(ISERROR(SEARCH("AC",F18)))</formula>
    </cfRule>
    <cfRule type="containsText" dxfId="440" priority="19" operator="containsText" text="AB">
      <formula>NOT(ISERROR(SEARCH("AB",F18)))</formula>
    </cfRule>
    <cfRule type="containsText" dxfId="439" priority="16" operator="containsText" text="ALF">
      <formula>NOT(ISERROR(SEARCH("ALF",F18)))</formula>
    </cfRule>
    <cfRule type="containsText" dxfId="438" priority="20" operator="containsText" text="AV">
      <formula>NOT(ISERROR(SEARCH("AV",F18)))</formula>
    </cfRule>
    <cfRule type="containsText" dxfId="437" priority="15" operator="containsText" text="JP">
      <formula>NOT(ISERROR(SEARCH("JP",F18)))</formula>
    </cfRule>
    <cfRule type="containsText" dxfId="436" priority="21" operator="containsText" text="CR">
      <formula>NOT(ISERROR(SEARCH("CR",F18)))</formula>
    </cfRule>
    <cfRule type="containsText" dxfId="435" priority="22" operator="containsText" text="MV">
      <formula>NOT(ISERROR(SEARCH("MV",F18)))</formula>
    </cfRule>
    <cfRule type="containsText" dxfId="434" priority="18" operator="containsText" text="RP">
      <formula>NOT(ISERROR(SEARCH("RP",F18)))</formula>
    </cfRule>
    <cfRule type="containsText" dxfId="433" priority="17" operator="containsText" text="TS">
      <formula>NOT(ISERROR(SEARCH("TS",F18)))</formula>
    </cfRule>
  </conditionalFormatting>
  <conditionalFormatting sqref="F31">
    <cfRule type="containsText" dxfId="432" priority="24" operator="containsText" text="AJ">
      <formula>NOT(ISERROR(SEARCH("AJ",F31)))</formula>
    </cfRule>
    <cfRule type="containsText" dxfId="431" priority="25" operator="containsText" text="AJ">
      <formula>NOT(ISERROR(SEARCH("AJ",F31)))</formula>
    </cfRule>
  </conditionalFormatting>
  <conditionalFormatting sqref="F31:F34">
    <cfRule type="expression" dxfId="430" priority="58">
      <formula>F31="PM"</formula>
    </cfRule>
    <cfRule type="expression" dxfId="429" priority="59">
      <formula>F31="JS"</formula>
    </cfRule>
    <cfRule type="expression" dxfId="428" priority="36">
      <formula>F31="MM"</formula>
    </cfRule>
    <cfRule type="expression" dxfId="427" priority="37">
      <formula>F31="OS"</formula>
    </cfRule>
    <cfRule type="expression" dxfId="426" priority="38">
      <formula>F31="CA"</formula>
    </cfRule>
    <cfRule type="expression" dxfId="425" priority="39">
      <formula>F31="LA"</formula>
    </cfRule>
    <cfRule type="expression" dxfId="424" priority="40">
      <formula>F31="AS"</formula>
    </cfRule>
    <cfRule type="expression" dxfId="423" priority="41">
      <formula>F31="AL"</formula>
    </cfRule>
    <cfRule type="expression" dxfId="422" priority="42">
      <formula>F31="MC"</formula>
    </cfRule>
    <cfRule type="expression" dxfId="421" priority="43">
      <formula>F31="GM"</formula>
    </cfRule>
    <cfRule type="expression" dxfId="420" priority="44">
      <formula>F31="RL"</formula>
    </cfRule>
    <cfRule type="expression" dxfId="419" priority="45">
      <formula>F31="RM"</formula>
    </cfRule>
    <cfRule type="expression" dxfId="418" priority="46">
      <formula>F31="JE"</formula>
    </cfRule>
    <cfRule type="expression" dxfId="417" priority="47">
      <formula>F31="CS"</formula>
    </cfRule>
    <cfRule type="expression" dxfId="416" priority="48">
      <formula>F31="DP"</formula>
    </cfRule>
    <cfRule type="expression" dxfId="415" priority="49">
      <formula>F31="FC"</formula>
    </cfRule>
    <cfRule type="expression" dxfId="414" priority="50">
      <formula>F31="MV"</formula>
    </cfRule>
    <cfRule type="expression" dxfId="413" priority="51">
      <formula>F31="AB"</formula>
    </cfRule>
    <cfRule type="expression" dxfId="412" priority="52">
      <formula>F31="IR"</formula>
    </cfRule>
    <cfRule type="expression" dxfId="411" priority="53">
      <formula>F31="AM"</formula>
    </cfRule>
    <cfRule type="expression" dxfId="410" priority="54">
      <formula>F31="CM"</formula>
    </cfRule>
    <cfRule type="expression" dxfId="409" priority="55">
      <formula>F31="JC"</formula>
    </cfRule>
    <cfRule type="expression" dxfId="408" priority="56">
      <formula>F31="ALF"</formula>
    </cfRule>
    <cfRule type="expression" dxfId="407" priority="57">
      <formula>F31="CR"</formula>
    </cfRule>
  </conditionalFormatting>
  <conditionalFormatting sqref="F32">
    <cfRule type="containsText" dxfId="406" priority="26" operator="containsText" text="ARE">
      <formula>NOT(ISERROR(SEARCH("ARE",F32)))</formula>
    </cfRule>
    <cfRule type="containsText" dxfId="405" priority="27" operator="containsText" text="ARE">
      <formula>NOT(ISERROR(SEARCH("ARE",F32)))</formula>
    </cfRule>
  </conditionalFormatting>
  <conditionalFormatting sqref="F33">
    <cfRule type="containsText" dxfId="404" priority="29" operator="containsText" text="CT">
      <formula>NOT(ISERROR(SEARCH("CT",F33)))</formula>
    </cfRule>
  </conditionalFormatting>
  <conditionalFormatting sqref="F34">
    <cfRule type="containsText" dxfId="403" priority="23" operator="containsText" text="SR">
      <formula>NOT(ISERROR(SEARCH("SR",F34)))</formula>
    </cfRule>
  </conditionalFormatting>
  <conditionalFormatting sqref="F35">
    <cfRule type="cellIs" dxfId="402" priority="486" operator="equal">
      <formula>"AV"</formula>
    </cfRule>
    <cfRule type="containsText" dxfId="401" priority="138" operator="containsText" text="FF">
      <formula>NOT(ISERROR(SEARCH("FF",F35)))</formula>
    </cfRule>
    <cfRule type="cellIs" dxfId="400" priority="484" operator="equal">
      <formula>"MO"</formula>
    </cfRule>
    <cfRule type="cellIs" dxfId="399" priority="485" operator="equal">
      <formula>"AR"</formula>
    </cfRule>
    <cfRule type="cellIs" dxfId="398" priority="487" operator="equal">
      <formula>"GG"</formula>
    </cfRule>
    <cfRule type="cellIs" dxfId="397" priority="488" operator="equal">
      <formula>"SA"</formula>
    </cfRule>
    <cfRule type="cellIs" dxfId="396" priority="489" operator="equal">
      <formula>"MQ"</formula>
    </cfRule>
    <cfRule type="cellIs" dxfId="395" priority="490" operator="equal">
      <formula>"PV"</formula>
    </cfRule>
  </conditionalFormatting>
  <conditionalFormatting sqref="F35:F57">
    <cfRule type="containsText" dxfId="394" priority="62" operator="containsText" text="is">
      <formula>NOT(ISERROR(SEARCH("is",F35)))</formula>
    </cfRule>
  </conditionalFormatting>
  <conditionalFormatting sqref="F36">
    <cfRule type="containsText" dxfId="393" priority="136" operator="containsText" text="HU">
      <formula>NOT(ISERROR(SEARCH("HU",F36)))</formula>
    </cfRule>
    <cfRule type="containsText" dxfId="392" priority="137" operator="containsText" text="HU">
      <formula>NOT(ISERROR(SEARCH("HU",F36)))</formula>
    </cfRule>
  </conditionalFormatting>
  <conditionalFormatting sqref="F36:F55">
    <cfRule type="cellIs" dxfId="391" priority="512" operator="equal">
      <formula>"RG"</formula>
    </cfRule>
    <cfRule type="cellIs" dxfId="390" priority="513" operator="equal">
      <formula>"VF"</formula>
    </cfRule>
    <cfRule type="cellIs" dxfId="389" priority="514" operator="equal">
      <formula>"JM"</formula>
    </cfRule>
  </conditionalFormatting>
  <conditionalFormatting sqref="F37">
    <cfRule type="containsText" dxfId="388" priority="135" operator="containsText" text="MJ">
      <formula>NOT(ISERROR(SEARCH("MJ",F37)))</formula>
    </cfRule>
  </conditionalFormatting>
  <conditionalFormatting sqref="F55">
    <cfRule type="cellIs" dxfId="387" priority="518" operator="equal">
      <formula>"JD"</formula>
    </cfRule>
  </conditionalFormatting>
  <conditionalFormatting sqref="H59:CM59">
    <cfRule type="cellIs" dxfId="386" priority="526" stopIfTrue="1" operator="notEqual">
      <formula>0</formula>
    </cfRule>
  </conditionalFormatting>
  <conditionalFormatting sqref="CO59:CZ59">
    <cfRule type="cellIs" dxfId="385" priority="684" stopIfTrue="1" operator="notEqual">
      <formula>0</formula>
    </cfRule>
  </conditionalFormatting>
  <conditionalFormatting sqref="DA3:DA55 H3:CM56">
    <cfRule type="cellIs" dxfId="384" priority="79" operator="equal">
      <formula>0</formula>
    </cfRule>
  </conditionalFormatting>
  <conditionalFormatting sqref="DA3:DA55">
    <cfRule type="cellIs" dxfId="383" priority="78" operator="greaterThan">
      <formula>40</formula>
    </cfRule>
  </conditionalFormatting>
  <conditionalFormatting sqref="DC3:DI55">
    <cfRule type="cellIs" dxfId="382" priority="63" operator="equal">
      <formula>8</formula>
    </cfRule>
    <cfRule type="cellIs" dxfId="381" priority="77" operator="notEqual">
      <formula>8</formula>
    </cfRule>
    <cfRule type="cellIs" dxfId="380" priority="76" operator="equal">
      <formula>0</formula>
    </cfRule>
  </conditionalFormatting>
  <conditionalFormatting sqref="DC19:DI19">
    <cfRule type="cellIs" dxfId="379" priority="64" operator="equal">
      <formula>0</formula>
    </cfRule>
    <cfRule type="cellIs" dxfId="378" priority="65" operator="notEqual">
      <formula>8</formula>
    </cfRule>
  </conditionalFormatting>
  <printOptions horizontalCentered="1" verticalCentered="1"/>
  <pageMargins left="0.21" right="0.57999999999999996" top="0.15" bottom="0.15" header="0.12" footer="0.12"/>
  <pageSetup paperSize="9" scale="34" orientation="landscape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FF99"/>
    <pageSetUpPr fitToPage="1"/>
  </sheetPr>
  <dimension ref="B1:CM68"/>
  <sheetViews>
    <sheetView zoomScale="90" zoomScaleNormal="90" zoomScaleSheetLayoutView="100" workbookViewId="0">
      <pane ySplit="4" topLeftCell="A5" activePane="bottomLeft" state="frozen"/>
      <selection activeCell="T27" sqref="T27"/>
      <selection pane="bottomLeft" activeCell="AR2" sqref="AR2:AW4"/>
    </sheetView>
  </sheetViews>
  <sheetFormatPr defaultColWidth="9.33203125" defaultRowHeight="10.5" customHeight="1"/>
  <cols>
    <col min="1" max="1" width="1.6640625" style="49" customWidth="1"/>
    <col min="2" max="3" width="3.6640625" style="49" hidden="1" customWidth="1"/>
    <col min="4" max="4" width="3.33203125" style="49" hidden="1" customWidth="1"/>
    <col min="5" max="5" width="5.6640625" style="49" customWidth="1"/>
    <col min="6" max="90" width="3.33203125" style="49" customWidth="1"/>
    <col min="91" max="91" width="5" style="49" bestFit="1" customWidth="1"/>
    <col min="92" max="16384" width="9.33203125" style="49"/>
  </cols>
  <sheetData>
    <row r="1" spans="2:91" ht="10.5" customHeight="1">
      <c r="E1" s="378"/>
      <c r="F1" s="378" t="s">
        <v>27</v>
      </c>
      <c r="G1" s="379"/>
      <c r="H1" s="379"/>
      <c r="I1" s="379"/>
      <c r="J1" s="379"/>
      <c r="K1" s="379"/>
      <c r="L1" s="379"/>
      <c r="M1" s="239"/>
      <c r="N1" s="239"/>
      <c r="O1" s="239"/>
      <c r="P1" s="239"/>
      <c r="Q1" s="240"/>
      <c r="R1" s="378" t="s">
        <v>28</v>
      </c>
      <c r="S1" s="379"/>
      <c r="T1" s="379"/>
      <c r="U1" s="379"/>
      <c r="V1" s="379"/>
      <c r="W1" s="379"/>
      <c r="X1" s="379"/>
      <c r="Y1" s="379"/>
      <c r="Z1" s="239"/>
      <c r="AA1" s="239"/>
      <c r="AB1" s="239"/>
      <c r="AC1" s="239"/>
      <c r="AD1" s="240"/>
      <c r="AE1" s="378" t="s">
        <v>29</v>
      </c>
      <c r="AF1" s="379"/>
      <c r="AG1" s="379"/>
      <c r="AH1" s="379"/>
      <c r="AI1" s="379"/>
      <c r="AJ1" s="379"/>
      <c r="AK1" s="379"/>
      <c r="AL1" s="239"/>
      <c r="AM1" s="239"/>
      <c r="AN1" s="239"/>
      <c r="AO1" s="239"/>
      <c r="AP1" s="240"/>
      <c r="AQ1" s="378" t="s">
        <v>30</v>
      </c>
      <c r="AR1" s="379"/>
      <c r="AS1" s="379"/>
      <c r="AT1" s="379"/>
      <c r="AU1" s="379"/>
      <c r="AV1" s="379"/>
      <c r="AW1" s="379"/>
      <c r="AX1" s="239"/>
      <c r="AY1" s="239"/>
      <c r="AZ1" s="239"/>
      <c r="BA1" s="239"/>
      <c r="BB1" s="240"/>
      <c r="BC1" s="378" t="s">
        <v>31</v>
      </c>
      <c r="BD1" s="379"/>
      <c r="BE1" s="379"/>
      <c r="BF1" s="379"/>
      <c r="BG1" s="379"/>
      <c r="BH1" s="379"/>
      <c r="BI1" s="379"/>
      <c r="BJ1" s="239"/>
      <c r="BK1" s="239"/>
      <c r="BL1" s="239"/>
      <c r="BM1" s="239"/>
      <c r="BN1" s="240"/>
      <c r="BO1" s="378" t="s">
        <v>5</v>
      </c>
      <c r="BP1" s="379"/>
      <c r="BQ1" s="379"/>
      <c r="BR1" s="379"/>
      <c r="BS1" s="379"/>
      <c r="BT1" s="379"/>
      <c r="BU1" s="379"/>
      <c r="BV1" s="239"/>
      <c r="BW1" s="239"/>
      <c r="BX1" s="239"/>
      <c r="BY1" s="239"/>
      <c r="BZ1" s="240"/>
      <c r="CA1" s="379" t="s">
        <v>6</v>
      </c>
      <c r="CB1" s="379"/>
      <c r="CC1" s="379"/>
      <c r="CD1" s="379"/>
      <c r="CE1" s="379"/>
      <c r="CF1" s="379"/>
      <c r="CG1" s="380"/>
      <c r="CH1" s="239"/>
      <c r="CI1" s="239"/>
      <c r="CJ1" s="239"/>
      <c r="CK1" s="239"/>
      <c r="CL1" s="240"/>
      <c r="CM1" s="368"/>
    </row>
    <row r="2" spans="2:91" ht="10.5" customHeight="1">
      <c r="E2" s="386"/>
      <c r="F2" s="381" t="s">
        <v>32</v>
      </c>
      <c r="G2" s="358" t="s">
        <v>48</v>
      </c>
      <c r="H2" s="359"/>
      <c r="I2" s="359"/>
      <c r="J2" s="359"/>
      <c r="K2" s="359"/>
      <c r="L2" s="359"/>
      <c r="M2" s="364" t="s">
        <v>155</v>
      </c>
      <c r="N2" s="364"/>
      <c r="O2" s="364"/>
      <c r="P2" s="364"/>
      <c r="Q2" s="421"/>
      <c r="R2" s="381" t="s">
        <v>32</v>
      </c>
      <c r="S2" s="358" t="s">
        <v>48</v>
      </c>
      <c r="T2" s="359"/>
      <c r="U2" s="359"/>
      <c r="V2" s="359"/>
      <c r="W2" s="359"/>
      <c r="X2" s="359"/>
      <c r="Y2" s="359"/>
      <c r="Z2" s="364" t="s">
        <v>155</v>
      </c>
      <c r="AA2" s="364"/>
      <c r="AB2" s="364"/>
      <c r="AC2" s="364"/>
      <c r="AD2" s="421"/>
      <c r="AE2" s="381" t="s">
        <v>32</v>
      </c>
      <c r="AF2" s="358" t="s">
        <v>48</v>
      </c>
      <c r="AG2" s="359"/>
      <c r="AH2" s="359"/>
      <c r="AI2" s="359"/>
      <c r="AJ2" s="359"/>
      <c r="AK2" s="359"/>
      <c r="AL2" s="364" t="s">
        <v>155</v>
      </c>
      <c r="AM2" s="364"/>
      <c r="AN2" s="364"/>
      <c r="AO2" s="364"/>
      <c r="AP2" s="421"/>
      <c r="AQ2" s="381" t="s">
        <v>32</v>
      </c>
      <c r="AR2" s="358" t="s">
        <v>48</v>
      </c>
      <c r="AS2" s="359"/>
      <c r="AT2" s="359"/>
      <c r="AU2" s="359"/>
      <c r="AV2" s="359"/>
      <c r="AW2" s="359"/>
      <c r="AX2" s="364" t="s">
        <v>155</v>
      </c>
      <c r="AY2" s="364"/>
      <c r="AZ2" s="364"/>
      <c r="BA2" s="364"/>
      <c r="BB2" s="421"/>
      <c r="BC2" s="381" t="s">
        <v>32</v>
      </c>
      <c r="BD2" s="358" t="s">
        <v>48</v>
      </c>
      <c r="BE2" s="359"/>
      <c r="BF2" s="359"/>
      <c r="BG2" s="359"/>
      <c r="BH2" s="359"/>
      <c r="BI2" s="359"/>
      <c r="BJ2" s="364" t="s">
        <v>155</v>
      </c>
      <c r="BK2" s="364"/>
      <c r="BL2" s="364"/>
      <c r="BM2" s="364"/>
      <c r="BN2" s="421"/>
      <c r="BO2" s="381" t="s">
        <v>32</v>
      </c>
      <c r="BP2" s="358" t="s">
        <v>48</v>
      </c>
      <c r="BQ2" s="359"/>
      <c r="BR2" s="359"/>
      <c r="BS2" s="359"/>
      <c r="BT2" s="359"/>
      <c r="BU2" s="360"/>
      <c r="BV2" s="364" t="s">
        <v>155</v>
      </c>
      <c r="BW2" s="364"/>
      <c r="BX2" s="364"/>
      <c r="BY2" s="364"/>
      <c r="BZ2" s="421"/>
      <c r="CA2" s="377" t="s">
        <v>32</v>
      </c>
      <c r="CB2" s="358" t="s">
        <v>48</v>
      </c>
      <c r="CC2" s="359"/>
      <c r="CD2" s="359"/>
      <c r="CE2" s="359"/>
      <c r="CF2" s="359"/>
      <c r="CG2" s="375"/>
      <c r="CH2" s="364" t="s">
        <v>155</v>
      </c>
      <c r="CI2" s="364"/>
      <c r="CJ2" s="364"/>
      <c r="CK2" s="364"/>
      <c r="CL2" s="421"/>
      <c r="CM2" s="369"/>
    </row>
    <row r="3" spans="2:91" ht="10.5" customHeight="1">
      <c r="E3" s="386"/>
      <c r="F3" s="381"/>
      <c r="G3" s="365"/>
      <c r="H3" s="366"/>
      <c r="I3" s="366"/>
      <c r="J3" s="366"/>
      <c r="K3" s="366"/>
      <c r="L3" s="366"/>
      <c r="M3" s="364"/>
      <c r="N3" s="364"/>
      <c r="O3" s="364"/>
      <c r="P3" s="364"/>
      <c r="Q3" s="421"/>
      <c r="R3" s="381"/>
      <c r="S3" s="365"/>
      <c r="T3" s="366"/>
      <c r="U3" s="366"/>
      <c r="V3" s="366"/>
      <c r="W3" s="366"/>
      <c r="X3" s="366"/>
      <c r="Y3" s="366"/>
      <c r="Z3" s="364"/>
      <c r="AA3" s="364"/>
      <c r="AB3" s="364"/>
      <c r="AC3" s="364"/>
      <c r="AD3" s="421"/>
      <c r="AE3" s="381"/>
      <c r="AF3" s="365"/>
      <c r="AG3" s="366"/>
      <c r="AH3" s="366"/>
      <c r="AI3" s="366"/>
      <c r="AJ3" s="366"/>
      <c r="AK3" s="366"/>
      <c r="AL3" s="364"/>
      <c r="AM3" s="364"/>
      <c r="AN3" s="364"/>
      <c r="AO3" s="364"/>
      <c r="AP3" s="421"/>
      <c r="AQ3" s="381"/>
      <c r="AR3" s="365"/>
      <c r="AS3" s="366"/>
      <c r="AT3" s="366"/>
      <c r="AU3" s="366"/>
      <c r="AV3" s="366"/>
      <c r="AW3" s="366"/>
      <c r="AX3" s="364"/>
      <c r="AY3" s="364"/>
      <c r="AZ3" s="364"/>
      <c r="BA3" s="364"/>
      <c r="BB3" s="421"/>
      <c r="BC3" s="381"/>
      <c r="BD3" s="365"/>
      <c r="BE3" s="366"/>
      <c r="BF3" s="366"/>
      <c r="BG3" s="366"/>
      <c r="BH3" s="366"/>
      <c r="BI3" s="366"/>
      <c r="BJ3" s="364"/>
      <c r="BK3" s="364"/>
      <c r="BL3" s="364"/>
      <c r="BM3" s="364"/>
      <c r="BN3" s="421"/>
      <c r="BO3" s="381"/>
      <c r="BP3" s="365"/>
      <c r="BQ3" s="366"/>
      <c r="BR3" s="366"/>
      <c r="BS3" s="366"/>
      <c r="BT3" s="366"/>
      <c r="BU3" s="367"/>
      <c r="BV3" s="364"/>
      <c r="BW3" s="364"/>
      <c r="BX3" s="364"/>
      <c r="BY3" s="364"/>
      <c r="BZ3" s="421"/>
      <c r="CA3" s="360"/>
      <c r="CB3" s="365"/>
      <c r="CC3" s="366"/>
      <c r="CD3" s="366"/>
      <c r="CE3" s="366"/>
      <c r="CF3" s="366"/>
      <c r="CG3" s="428"/>
      <c r="CH3" s="364"/>
      <c r="CI3" s="364"/>
      <c r="CJ3" s="364"/>
      <c r="CK3" s="364"/>
      <c r="CL3" s="421"/>
      <c r="CM3" s="369"/>
    </row>
    <row r="4" spans="2:91" ht="10.5" customHeight="1" thickBot="1">
      <c r="E4" s="386"/>
      <c r="F4" s="381"/>
      <c r="G4" s="361"/>
      <c r="H4" s="362"/>
      <c r="I4" s="362"/>
      <c r="J4" s="362"/>
      <c r="K4" s="362"/>
      <c r="L4" s="362"/>
      <c r="M4" s="364"/>
      <c r="N4" s="364"/>
      <c r="O4" s="364"/>
      <c r="P4" s="364"/>
      <c r="Q4" s="421"/>
      <c r="R4" s="381"/>
      <c r="S4" s="361"/>
      <c r="T4" s="362"/>
      <c r="U4" s="362"/>
      <c r="V4" s="362"/>
      <c r="W4" s="362"/>
      <c r="X4" s="362"/>
      <c r="Y4" s="362"/>
      <c r="Z4" s="364"/>
      <c r="AA4" s="364"/>
      <c r="AB4" s="364"/>
      <c r="AC4" s="364"/>
      <c r="AD4" s="421"/>
      <c r="AE4" s="381"/>
      <c r="AF4" s="361"/>
      <c r="AG4" s="362"/>
      <c r="AH4" s="362"/>
      <c r="AI4" s="362"/>
      <c r="AJ4" s="362"/>
      <c r="AK4" s="362"/>
      <c r="AL4" s="364"/>
      <c r="AM4" s="364"/>
      <c r="AN4" s="364"/>
      <c r="AO4" s="364"/>
      <c r="AP4" s="421"/>
      <c r="AQ4" s="381"/>
      <c r="AR4" s="361"/>
      <c r="AS4" s="362"/>
      <c r="AT4" s="362"/>
      <c r="AU4" s="362"/>
      <c r="AV4" s="362"/>
      <c r="AW4" s="362"/>
      <c r="AX4" s="364"/>
      <c r="AY4" s="364"/>
      <c r="AZ4" s="364"/>
      <c r="BA4" s="364"/>
      <c r="BB4" s="421"/>
      <c r="BC4" s="381"/>
      <c r="BD4" s="361"/>
      <c r="BE4" s="362"/>
      <c r="BF4" s="362"/>
      <c r="BG4" s="362"/>
      <c r="BH4" s="362"/>
      <c r="BI4" s="362"/>
      <c r="BJ4" s="364"/>
      <c r="BK4" s="364"/>
      <c r="BL4" s="364"/>
      <c r="BM4" s="364"/>
      <c r="BN4" s="421"/>
      <c r="BO4" s="381"/>
      <c r="BP4" s="383"/>
      <c r="BQ4" s="384"/>
      <c r="BR4" s="384"/>
      <c r="BS4" s="384"/>
      <c r="BT4" s="384"/>
      <c r="BU4" s="385"/>
      <c r="BV4" s="364"/>
      <c r="BW4" s="364"/>
      <c r="BX4" s="364"/>
      <c r="BY4" s="364"/>
      <c r="BZ4" s="421"/>
      <c r="CA4" s="360"/>
      <c r="CB4" s="365"/>
      <c r="CC4" s="366"/>
      <c r="CD4" s="366"/>
      <c r="CE4" s="366"/>
      <c r="CF4" s="366"/>
      <c r="CG4" s="428"/>
      <c r="CH4" s="364"/>
      <c r="CI4" s="364"/>
      <c r="CJ4" s="364"/>
      <c r="CK4" s="364"/>
      <c r="CL4" s="421"/>
      <c r="CM4" s="369"/>
    </row>
    <row r="5" spans="2:91" ht="10.5" customHeight="1">
      <c r="B5" s="51">
        <v>0.25</v>
      </c>
      <c r="C5" s="51">
        <v>0.25</v>
      </c>
      <c r="D5" s="51">
        <v>0.25</v>
      </c>
      <c r="E5" s="172">
        <v>0.29166666666666669</v>
      </c>
      <c r="F5" s="56" t="str">
        <f>IF(Tim!F7="","",Tim!F7)</f>
        <v>RF</v>
      </c>
      <c r="G5" s="53" t="str">
        <f>IF(Tim!G7="","",Tim!G7)</f>
        <v/>
      </c>
      <c r="H5" s="53" t="str">
        <f>IF(Tim!H7="","",Tim!H7)</f>
        <v/>
      </c>
      <c r="I5" s="53" t="str">
        <f>IF(Tim!I7="","",Tim!I7)</f>
        <v/>
      </c>
      <c r="J5" s="53" t="str">
        <f>IF(Tim!J7="","",Tim!J7)</f>
        <v/>
      </c>
      <c r="K5" s="53" t="str">
        <f>IF(Tim!K7="","",Tim!K7)</f>
        <v/>
      </c>
      <c r="L5" s="53" t="str">
        <f>IF(Tim!L7="","",Tim!L7)</f>
        <v/>
      </c>
      <c r="M5" s="53" t="str">
        <f>IF(Tim!P7="","",Tim!P7)</f>
        <v/>
      </c>
      <c r="N5" s="53" t="str">
        <f>IF(Tim!Q7="","",Tim!Q7)</f>
        <v/>
      </c>
      <c r="O5" s="53" t="str">
        <f>IF(Tim!R7="","",Tim!R7)</f>
        <v/>
      </c>
      <c r="P5" s="53" t="str">
        <f>IF(Tim!S7="","",Tim!S7)</f>
        <v/>
      </c>
      <c r="Q5" s="55" t="str">
        <f>IF(Tim!T7="","",Tim!T7)</f>
        <v/>
      </c>
      <c r="R5" s="56" t="str">
        <f>IF(Tim!AY7="","",Tim!AY7)</f>
        <v>RF</v>
      </c>
      <c r="S5" s="53" t="str">
        <f>IF(Tim!AZ7="","",Tim!AZ7)</f>
        <v/>
      </c>
      <c r="T5" s="53" t="str">
        <f>IF(Tim!BA7="","",Tim!BA7)</f>
        <v/>
      </c>
      <c r="U5" s="53" t="str">
        <f>IF(Tim!BB7="","",Tim!BB7)</f>
        <v/>
      </c>
      <c r="V5" s="53" t="str">
        <f>IF(Tim!BC7="","",Tim!BC7)</f>
        <v/>
      </c>
      <c r="W5" s="53" t="str">
        <f>IF(Tim!BD7="","",Tim!BD7)</f>
        <v/>
      </c>
      <c r="X5" s="53" t="str">
        <f>IF(Tim!BE7="","",Tim!BE7)</f>
        <v/>
      </c>
      <c r="Y5" s="53" t="str">
        <f>IF(Tim!BF7="","",Tim!BF7)</f>
        <v/>
      </c>
      <c r="Z5" s="53" t="str">
        <f>IF(Tim!BI7="","",Tim!BI7)</f>
        <v/>
      </c>
      <c r="AA5" s="53" t="str">
        <f>IF(Tim!BJ7="","",Tim!BJ7)</f>
        <v/>
      </c>
      <c r="AB5" s="53" t="str">
        <f>IF(Tim!BK7="","",Tim!BK7)</f>
        <v/>
      </c>
      <c r="AC5" s="53" t="str">
        <f>IF(Tim!BL7="","",Tim!BL7)</f>
        <v/>
      </c>
      <c r="AD5" s="55" t="str">
        <f>IF(Tim!BM7="","",Tim!BM7)</f>
        <v/>
      </c>
      <c r="AE5" s="56" t="str">
        <f>IF(Tim!CQ7="","",Tim!CQ7)</f>
        <v>LA</v>
      </c>
      <c r="AF5" s="53" t="str">
        <f>IF(Tim!CR7="","",Tim!CR7)</f>
        <v/>
      </c>
      <c r="AG5" s="53" t="str">
        <f>IF(Tim!CS7="","",Tim!CS7)</f>
        <v/>
      </c>
      <c r="AH5" s="53" t="str">
        <f>IF(Tim!CT7="","",Tim!CT7)</f>
        <v/>
      </c>
      <c r="AI5" s="53" t="str">
        <f>IF(Tim!CU7="","",Tim!CU7)</f>
        <v/>
      </c>
      <c r="AJ5" s="53" t="str">
        <f>IF(Tim!CV7="","",Tim!CV7)</f>
        <v/>
      </c>
      <c r="AK5" s="53" t="str">
        <f>IF(Tim!CW7="","",Tim!CW7)</f>
        <v/>
      </c>
      <c r="AL5" s="53" t="str">
        <f>IF(Tim!DA7="","",Tim!DA7)</f>
        <v/>
      </c>
      <c r="AM5" s="53" t="str">
        <f>IF(Tim!DB7="","",Tim!DB7)</f>
        <v/>
      </c>
      <c r="AN5" s="53" t="str">
        <f>IF(Tim!DC7="","",Tim!DC7)</f>
        <v/>
      </c>
      <c r="AO5" s="53" t="str">
        <f>IF(Tim!DD7="","",Tim!DD7)</f>
        <v/>
      </c>
      <c r="AP5" s="53" t="str">
        <f>IF(Tim!DE7="","",Tim!DE7)</f>
        <v/>
      </c>
      <c r="AQ5" s="56" t="str">
        <f>IF(Tim!EL7="","",Tim!EL7)</f>
        <v>MS</v>
      </c>
      <c r="AR5" s="53" t="str">
        <f>IF(Tim!EM7="","",Tim!EM7)</f>
        <v/>
      </c>
      <c r="AS5" s="53" t="str">
        <f>IF(Tim!EN7="","",Tim!EN7)</f>
        <v/>
      </c>
      <c r="AT5" s="53" t="str">
        <f>IF(Tim!EO7="","",Tim!EO7)</f>
        <v/>
      </c>
      <c r="AU5" s="53" t="str">
        <f>IF(Tim!EP7="","",Tim!EP7)</f>
        <v/>
      </c>
      <c r="AV5" s="53" t="str">
        <f>IF(Tim!EQ7="","",Tim!EQ7)</f>
        <v/>
      </c>
      <c r="AW5" s="53" t="str">
        <f>IF(Tim!ER7="","",Tim!ER7)</f>
        <v/>
      </c>
      <c r="AX5" s="53" t="str">
        <f>IF(Tim!EV7="","",Tim!EV7)</f>
        <v/>
      </c>
      <c r="AY5" s="53" t="str">
        <f>IF(Tim!EW7="","",Tim!EW7)</f>
        <v/>
      </c>
      <c r="AZ5" s="53" t="str">
        <f>IF(Tim!EX7="","",Tim!EX7)</f>
        <v/>
      </c>
      <c r="BA5" s="53" t="str">
        <f>IF(Tim!EY7="","",Tim!EY7)</f>
        <v/>
      </c>
      <c r="BB5" s="53" t="str">
        <f>IF(Tim!EZ7="","",Tim!EZ7)</f>
        <v/>
      </c>
      <c r="BC5" s="56" t="str">
        <f>IF(Tim!GD7="","",Tim!GD7)</f>
        <v>CR</v>
      </c>
      <c r="BD5" s="53" t="str">
        <f>IF(Tim!GE7="","",Tim!GE7)</f>
        <v/>
      </c>
      <c r="BE5" s="53" t="str">
        <f>IF(Tim!GF7="","",Tim!GF7)</f>
        <v/>
      </c>
      <c r="BF5" s="53" t="str">
        <f>IF(Tim!GG7="","",Tim!GG7)</f>
        <v/>
      </c>
      <c r="BG5" s="53" t="str">
        <f>IF(Tim!GH7="","",Tim!GH7)</f>
        <v/>
      </c>
      <c r="BH5" s="53" t="str">
        <f>IF(Tim!GI7="","",Tim!GI7)</f>
        <v/>
      </c>
      <c r="BI5" s="53" t="str">
        <f>IF(Tim!GJ7="","",Tim!GJ7)</f>
        <v/>
      </c>
      <c r="BJ5" s="53" t="str">
        <f>IF(Tim!GN7="","",Tim!GN7)</f>
        <v/>
      </c>
      <c r="BK5" s="53" t="str">
        <f>IF(Tim!GO7="","",Tim!GO7)</f>
        <v/>
      </c>
      <c r="BL5" s="53" t="str">
        <f>IF(Tim!GP7="","",Tim!GP7)</f>
        <v/>
      </c>
      <c r="BM5" s="53" t="str">
        <f>IF(Tim!GQ7="","",Tim!GQ7)</f>
        <v/>
      </c>
      <c r="BN5" s="53" t="str">
        <f>IF(Tim!GR7="","",Tim!GR7)</f>
        <v/>
      </c>
      <c r="BO5" s="422" t="str">
        <f>IF(Tim!DE7="","",Tim!DE7)</f>
        <v/>
      </c>
      <c r="BP5" s="423"/>
      <c r="BQ5" s="423"/>
      <c r="BR5" s="423"/>
      <c r="BS5" s="423"/>
      <c r="BT5" s="423"/>
      <c r="BU5" s="423"/>
      <c r="BV5" s="423"/>
      <c r="BW5" s="423"/>
      <c r="BX5" s="423"/>
      <c r="BY5" s="423"/>
      <c r="BZ5" s="424"/>
      <c r="CA5" s="422" t="str">
        <f>IF(Tim!DT7="","",Tim!DT7)</f>
        <v/>
      </c>
      <c r="CB5" s="423"/>
      <c r="CC5" s="423"/>
      <c r="CD5" s="423"/>
      <c r="CE5" s="423"/>
      <c r="CF5" s="423"/>
      <c r="CG5" s="423"/>
      <c r="CH5" s="423"/>
      <c r="CI5" s="423"/>
      <c r="CJ5" s="423"/>
      <c r="CK5" s="423"/>
      <c r="CL5" s="424"/>
      <c r="CM5" s="52">
        <v>0.29166666666666669</v>
      </c>
    </row>
    <row r="6" spans="2:91" ht="10.5" customHeight="1">
      <c r="B6" s="51">
        <v>0.25</v>
      </c>
      <c r="C6" s="51">
        <v>0.25</v>
      </c>
      <c r="D6" s="51">
        <v>0.25</v>
      </c>
      <c r="E6" s="172">
        <v>0.30208333333333331</v>
      </c>
      <c r="F6" s="56" t="str">
        <f>IF(Tim!F8="","",Tim!F8)</f>
        <v>RF</v>
      </c>
      <c r="G6" s="53" t="str">
        <f>IF(Tim!G8="","",Tim!G8)</f>
        <v/>
      </c>
      <c r="H6" s="53" t="str">
        <f>IF(Tim!H8="","",Tim!H8)</f>
        <v/>
      </c>
      <c r="I6" s="53" t="str">
        <f>IF(Tim!I8="","",Tim!I8)</f>
        <v/>
      </c>
      <c r="J6" s="53" t="str">
        <f>IF(Tim!J8="","",Tim!J8)</f>
        <v/>
      </c>
      <c r="K6" s="53" t="str">
        <f>IF(Tim!K8="","",Tim!K8)</f>
        <v/>
      </c>
      <c r="L6" s="53" t="str">
        <f>IF(Tim!L8="","",Tim!L8)</f>
        <v/>
      </c>
      <c r="M6" s="53" t="str">
        <f>IF(Tim!P8="","",Tim!P8)</f>
        <v/>
      </c>
      <c r="N6" s="53" t="str">
        <f>IF(Tim!Q8="","",Tim!Q8)</f>
        <v/>
      </c>
      <c r="O6" s="53" t="str">
        <f>IF(Tim!R8="","",Tim!R8)</f>
        <v/>
      </c>
      <c r="P6" s="53" t="str">
        <f>IF(Tim!S8="","",Tim!S8)</f>
        <v/>
      </c>
      <c r="Q6" s="55" t="str">
        <f>IF(Tim!T8="","",Tim!T8)</f>
        <v/>
      </c>
      <c r="R6" s="56" t="str">
        <f>IF(Tim!AY8="","",Tim!AY8)</f>
        <v>RF</v>
      </c>
      <c r="S6" s="53" t="str">
        <f>IF(Tim!AZ8="","",Tim!AZ8)</f>
        <v/>
      </c>
      <c r="T6" s="53" t="str">
        <f>IF(Tim!BA8="","",Tim!BA8)</f>
        <v/>
      </c>
      <c r="U6" s="53" t="str">
        <f>IF(Tim!BB8="","",Tim!BB8)</f>
        <v/>
      </c>
      <c r="V6" s="53" t="str">
        <f>IF(Tim!BC8="","",Tim!BC8)</f>
        <v/>
      </c>
      <c r="W6" s="53" t="str">
        <f>IF(Tim!BD8="","",Tim!BD8)</f>
        <v/>
      </c>
      <c r="X6" s="53" t="str">
        <f>IF(Tim!BE8="","",Tim!BE8)</f>
        <v/>
      </c>
      <c r="Y6" s="53" t="str">
        <f>IF(Tim!BF8="","",Tim!BF8)</f>
        <v/>
      </c>
      <c r="Z6" s="53" t="str">
        <f>IF(Tim!BI8="","",Tim!BI8)</f>
        <v/>
      </c>
      <c r="AA6" s="53" t="str">
        <f>IF(Tim!BJ8="","",Tim!BJ8)</f>
        <v/>
      </c>
      <c r="AB6" s="53" t="str">
        <f>IF(Tim!BK8="","",Tim!BK8)</f>
        <v/>
      </c>
      <c r="AC6" s="53" t="str">
        <f>IF(Tim!BL8="","",Tim!BL8)</f>
        <v/>
      </c>
      <c r="AD6" s="55" t="str">
        <f>IF(Tim!BM8="","",Tim!BM8)</f>
        <v/>
      </c>
      <c r="AE6" s="56" t="str">
        <f>IF(Tim!CQ8="","",Tim!CQ8)</f>
        <v>LA</v>
      </c>
      <c r="AF6" s="53" t="str">
        <f>IF(Tim!CR8="","",Tim!CR8)</f>
        <v/>
      </c>
      <c r="AG6" s="53" t="str">
        <f>IF(Tim!CS8="","",Tim!CS8)</f>
        <v/>
      </c>
      <c r="AH6" s="53" t="str">
        <f>IF(Tim!CT8="","",Tim!CT8)</f>
        <v/>
      </c>
      <c r="AI6" s="53" t="str">
        <f>IF(Tim!CU8="","",Tim!CU8)</f>
        <v/>
      </c>
      <c r="AJ6" s="53" t="str">
        <f>IF(Tim!CV8="","",Tim!CV8)</f>
        <v/>
      </c>
      <c r="AK6" s="53" t="str">
        <f>IF(Tim!CW8="","",Tim!CW8)</f>
        <v/>
      </c>
      <c r="AL6" s="53" t="str">
        <f>IF(Tim!DA8="","",Tim!DA8)</f>
        <v/>
      </c>
      <c r="AM6" s="53" t="str">
        <f>IF(Tim!DB8="","",Tim!DB8)</f>
        <v/>
      </c>
      <c r="AN6" s="53" t="str">
        <f>IF(Tim!DC8="","",Tim!DC8)</f>
        <v/>
      </c>
      <c r="AO6" s="53" t="str">
        <f>IF(Tim!DD8="","",Tim!DD8)</f>
        <v/>
      </c>
      <c r="AP6" s="53" t="str">
        <f>IF(Tim!DE8="","",Tim!DE8)</f>
        <v/>
      </c>
      <c r="AQ6" s="56" t="str">
        <f>IF(Tim!EL8="","",Tim!EL8)</f>
        <v>MS</v>
      </c>
      <c r="AR6" s="53" t="str">
        <f>IF(Tim!EM8="","",Tim!EM8)</f>
        <v/>
      </c>
      <c r="AS6" s="53" t="str">
        <f>IF(Tim!EN8="","",Tim!EN8)</f>
        <v/>
      </c>
      <c r="AT6" s="53" t="str">
        <f>IF(Tim!EO8="","",Tim!EO8)</f>
        <v/>
      </c>
      <c r="AU6" s="53" t="str">
        <f>IF(Tim!EP8="","",Tim!EP8)</f>
        <v/>
      </c>
      <c r="AV6" s="53" t="str">
        <f>IF(Tim!EQ8="","",Tim!EQ8)</f>
        <v/>
      </c>
      <c r="AW6" s="53" t="str">
        <f>IF(Tim!ER8="","",Tim!ER8)</f>
        <v/>
      </c>
      <c r="AX6" s="53" t="str">
        <f>IF(Tim!EV8="","",Tim!EV8)</f>
        <v/>
      </c>
      <c r="AY6" s="53" t="str">
        <f>IF(Tim!EW8="","",Tim!EW8)</f>
        <v/>
      </c>
      <c r="AZ6" s="53" t="str">
        <f>IF(Tim!EX8="","",Tim!EX8)</f>
        <v/>
      </c>
      <c r="BA6" s="53" t="str">
        <f>IF(Tim!EY8="","",Tim!EY8)</f>
        <v/>
      </c>
      <c r="BB6" s="53" t="str">
        <f>IF(Tim!EZ8="","",Tim!EZ8)</f>
        <v/>
      </c>
      <c r="BC6" s="56" t="str">
        <f>IF(Tim!GD8="","",Tim!GD8)</f>
        <v>CR</v>
      </c>
      <c r="BD6" s="53" t="str">
        <f>IF(Tim!GE8="","",Tim!GE8)</f>
        <v/>
      </c>
      <c r="BE6" s="53" t="str">
        <f>IF(Tim!GF8="","",Tim!GF8)</f>
        <v/>
      </c>
      <c r="BF6" s="53" t="str">
        <f>IF(Tim!GG8="","",Tim!GG8)</f>
        <v/>
      </c>
      <c r="BG6" s="53" t="str">
        <f>IF(Tim!GH8="","",Tim!GH8)</f>
        <v/>
      </c>
      <c r="BH6" s="53" t="str">
        <f>IF(Tim!GI8="","",Tim!GI8)</f>
        <v/>
      </c>
      <c r="BI6" s="53" t="str">
        <f>IF(Tim!GJ8="","",Tim!GJ8)</f>
        <v/>
      </c>
      <c r="BJ6" s="53" t="str">
        <f>IF(Tim!GN8="","",Tim!GN8)</f>
        <v/>
      </c>
      <c r="BK6" s="53" t="str">
        <f>IF(Tim!GO8="","",Tim!GO8)</f>
        <v/>
      </c>
      <c r="BL6" s="53" t="str">
        <f>IF(Tim!GP8="","",Tim!GP8)</f>
        <v/>
      </c>
      <c r="BM6" s="53" t="str">
        <f>IF(Tim!GQ8="","",Tim!GQ8)</f>
        <v/>
      </c>
      <c r="BN6" s="53" t="str">
        <f>IF(Tim!GR8="","",Tim!GR8)</f>
        <v/>
      </c>
      <c r="BO6" s="422"/>
      <c r="BP6" s="423"/>
      <c r="BQ6" s="423"/>
      <c r="BR6" s="423"/>
      <c r="BS6" s="423"/>
      <c r="BT6" s="423"/>
      <c r="BU6" s="423"/>
      <c r="BV6" s="423"/>
      <c r="BW6" s="423"/>
      <c r="BX6" s="423"/>
      <c r="BY6" s="423"/>
      <c r="BZ6" s="424"/>
      <c r="CA6" s="422"/>
      <c r="CB6" s="423"/>
      <c r="CC6" s="423"/>
      <c r="CD6" s="423"/>
      <c r="CE6" s="423"/>
      <c r="CF6" s="423"/>
      <c r="CG6" s="423"/>
      <c r="CH6" s="423"/>
      <c r="CI6" s="423"/>
      <c r="CJ6" s="423"/>
      <c r="CK6" s="423"/>
      <c r="CL6" s="424"/>
      <c r="CM6" s="52">
        <v>0.30208333333333331</v>
      </c>
    </row>
    <row r="7" spans="2:91" ht="10.5" customHeight="1">
      <c r="B7" s="51">
        <v>0.25</v>
      </c>
      <c r="C7" s="51">
        <v>0.25</v>
      </c>
      <c r="D7" s="51">
        <v>0.25</v>
      </c>
      <c r="E7" s="172">
        <v>0.3125</v>
      </c>
      <c r="F7" s="56" t="str">
        <f>IF(Tim!F9="","",Tim!F9)</f>
        <v>RF</v>
      </c>
      <c r="G7" s="53" t="str">
        <f>IF(Tim!G9="","",Tim!G9)</f>
        <v/>
      </c>
      <c r="H7" s="53" t="str">
        <f>IF(Tim!H9="","",Tim!H9)</f>
        <v/>
      </c>
      <c r="I7" s="53" t="str">
        <f>IF(Tim!I9="","",Tim!I9)</f>
        <v/>
      </c>
      <c r="J7" s="53" t="str">
        <f>IF(Tim!J9="","",Tim!J9)</f>
        <v/>
      </c>
      <c r="K7" s="53" t="str">
        <f>IF(Tim!K9="","",Tim!K9)</f>
        <v/>
      </c>
      <c r="L7" s="53" t="str">
        <f>IF(Tim!L9="","",Tim!L9)</f>
        <v/>
      </c>
      <c r="M7" s="53" t="str">
        <f>IF(Tim!P9="","",Tim!P9)</f>
        <v/>
      </c>
      <c r="N7" s="53" t="str">
        <f>IF(Tim!Q9="","",Tim!Q9)</f>
        <v/>
      </c>
      <c r="O7" s="53" t="str">
        <f>IF(Tim!R9="","",Tim!R9)</f>
        <v/>
      </c>
      <c r="P7" s="53" t="str">
        <f>IF(Tim!S9="","",Tim!S9)</f>
        <v/>
      </c>
      <c r="Q7" s="55" t="str">
        <f>IF(Tim!T9="","",Tim!T9)</f>
        <v/>
      </c>
      <c r="R7" s="56" t="str">
        <f>IF(Tim!AY9="","",Tim!AY9)</f>
        <v>RF</v>
      </c>
      <c r="S7" s="53" t="str">
        <f>IF(Tim!AZ9="","",Tim!AZ9)</f>
        <v/>
      </c>
      <c r="T7" s="53" t="str">
        <f>IF(Tim!BA9="","",Tim!BA9)</f>
        <v/>
      </c>
      <c r="U7" s="53" t="str">
        <f>IF(Tim!BB9="","",Tim!BB9)</f>
        <v/>
      </c>
      <c r="V7" s="53" t="str">
        <f>IF(Tim!BC9="","",Tim!BC9)</f>
        <v/>
      </c>
      <c r="W7" s="53" t="str">
        <f>IF(Tim!BD9="","",Tim!BD9)</f>
        <v/>
      </c>
      <c r="X7" s="53" t="str">
        <f>IF(Tim!BE9="","",Tim!BE9)</f>
        <v/>
      </c>
      <c r="Y7" s="53" t="str">
        <f>IF(Tim!BF9="","",Tim!BF9)</f>
        <v/>
      </c>
      <c r="Z7" s="53" t="str">
        <f>IF(Tim!BI9="","",Tim!BI9)</f>
        <v/>
      </c>
      <c r="AA7" s="53" t="str">
        <f>IF(Tim!BJ9="","",Tim!BJ9)</f>
        <v/>
      </c>
      <c r="AB7" s="53" t="str">
        <f>IF(Tim!BK9="","",Tim!BK9)</f>
        <v/>
      </c>
      <c r="AC7" s="53" t="str">
        <f>IF(Tim!BL9="","",Tim!BL9)</f>
        <v/>
      </c>
      <c r="AD7" s="55" t="str">
        <f>IF(Tim!BM9="","",Tim!BM9)</f>
        <v/>
      </c>
      <c r="AE7" s="56" t="str">
        <f>IF(Tim!CQ9="","",Tim!CQ9)</f>
        <v>LA</v>
      </c>
      <c r="AF7" s="53" t="str">
        <f>IF(Tim!CR9="","",Tim!CR9)</f>
        <v/>
      </c>
      <c r="AG7" s="53" t="str">
        <f>IF(Tim!CS9="","",Tim!CS9)</f>
        <v/>
      </c>
      <c r="AH7" s="53" t="str">
        <f>IF(Tim!CT9="","",Tim!CT9)</f>
        <v/>
      </c>
      <c r="AI7" s="53" t="str">
        <f>IF(Tim!CU9="","",Tim!CU9)</f>
        <v/>
      </c>
      <c r="AJ7" s="53" t="str">
        <f>IF(Tim!CV9="","",Tim!CV9)</f>
        <v/>
      </c>
      <c r="AK7" s="53" t="str">
        <f>IF(Tim!CW9="","",Tim!CW9)</f>
        <v/>
      </c>
      <c r="AL7" s="53" t="str">
        <f>IF(Tim!DA9="","",Tim!DA9)</f>
        <v>LF</v>
      </c>
      <c r="AM7" s="53" t="str">
        <f>IF(Tim!DB9="","",Tim!DB9)</f>
        <v/>
      </c>
      <c r="AN7" s="53" t="str">
        <f>IF(Tim!DC9="","",Tim!DC9)</f>
        <v/>
      </c>
      <c r="AO7" s="53" t="str">
        <f>IF(Tim!DD9="","",Tim!DD9)</f>
        <v/>
      </c>
      <c r="AP7" s="53" t="str">
        <f>IF(Tim!DE9="","",Tim!DE9)</f>
        <v/>
      </c>
      <c r="AQ7" s="56" t="str">
        <f>IF(Tim!EL9="","",Tim!EL9)</f>
        <v>MS</v>
      </c>
      <c r="AR7" s="53" t="str">
        <f>IF(Tim!EM9="","",Tim!EM9)</f>
        <v/>
      </c>
      <c r="AS7" s="53" t="str">
        <f>IF(Tim!EN9="","",Tim!EN9)</f>
        <v/>
      </c>
      <c r="AT7" s="53" t="str">
        <f>IF(Tim!EO9="","",Tim!EO9)</f>
        <v/>
      </c>
      <c r="AU7" s="53" t="str">
        <f>IF(Tim!EP9="","",Tim!EP9)</f>
        <v/>
      </c>
      <c r="AV7" s="53" t="str">
        <f>IF(Tim!EQ9="","",Tim!EQ9)</f>
        <v/>
      </c>
      <c r="AW7" s="53" t="str">
        <f>IF(Tim!ER9="","",Tim!ER9)</f>
        <v/>
      </c>
      <c r="AX7" s="53" t="str">
        <f>IF(Tim!EV9="","",Tim!EV9)</f>
        <v/>
      </c>
      <c r="AY7" s="53" t="str">
        <f>IF(Tim!EW9="","",Tim!EW9)</f>
        <v/>
      </c>
      <c r="AZ7" s="53" t="str">
        <f>IF(Tim!EX9="","",Tim!EX9)</f>
        <v/>
      </c>
      <c r="BA7" s="53" t="str">
        <f>IF(Tim!EY9="","",Tim!EY9)</f>
        <v/>
      </c>
      <c r="BB7" s="53" t="str">
        <f>IF(Tim!EZ9="","",Tim!EZ9)</f>
        <v/>
      </c>
      <c r="BC7" s="56" t="str">
        <f>IF(Tim!GD9="","",Tim!GD9)</f>
        <v>CR</v>
      </c>
      <c r="BD7" s="53" t="str">
        <f>IF(Tim!GE9="","",Tim!GE9)</f>
        <v/>
      </c>
      <c r="BE7" s="53" t="str">
        <f>IF(Tim!GF9="","",Tim!GF9)</f>
        <v/>
      </c>
      <c r="BF7" s="53" t="str">
        <f>IF(Tim!GG9="","",Tim!GG9)</f>
        <v/>
      </c>
      <c r="BG7" s="53" t="str">
        <f>IF(Tim!GH9="","",Tim!GH9)</f>
        <v/>
      </c>
      <c r="BH7" s="53" t="str">
        <f>IF(Tim!GI9="","",Tim!GI9)</f>
        <v/>
      </c>
      <c r="BI7" s="53" t="str">
        <f>IF(Tim!GJ9="","",Tim!GJ9)</f>
        <v/>
      </c>
      <c r="BJ7" s="53" t="str">
        <f>IF(Tim!GN9="","",Tim!GN9)</f>
        <v/>
      </c>
      <c r="BK7" s="53" t="str">
        <f>IF(Tim!GO9="","",Tim!GO9)</f>
        <v/>
      </c>
      <c r="BL7" s="53" t="str">
        <f>IF(Tim!GP9="","",Tim!GP9)</f>
        <v/>
      </c>
      <c r="BM7" s="53" t="str">
        <f>IF(Tim!GQ9="","",Tim!GQ9)</f>
        <v/>
      </c>
      <c r="BN7" s="53" t="str">
        <f>IF(Tim!GR9="","",Tim!GR9)</f>
        <v/>
      </c>
      <c r="BO7" s="422"/>
      <c r="BP7" s="423"/>
      <c r="BQ7" s="423"/>
      <c r="BR7" s="423"/>
      <c r="BS7" s="423"/>
      <c r="BT7" s="423"/>
      <c r="BU7" s="423"/>
      <c r="BV7" s="423"/>
      <c r="BW7" s="423"/>
      <c r="BX7" s="423"/>
      <c r="BY7" s="423"/>
      <c r="BZ7" s="424"/>
      <c r="CA7" s="422"/>
      <c r="CB7" s="423"/>
      <c r="CC7" s="423"/>
      <c r="CD7" s="423"/>
      <c r="CE7" s="423"/>
      <c r="CF7" s="423"/>
      <c r="CG7" s="423"/>
      <c r="CH7" s="423"/>
      <c r="CI7" s="423"/>
      <c r="CJ7" s="423"/>
      <c r="CK7" s="423"/>
      <c r="CL7" s="424"/>
      <c r="CM7" s="52">
        <v>0.3125</v>
      </c>
    </row>
    <row r="8" spans="2:91" ht="10.5" customHeight="1">
      <c r="B8" s="51">
        <v>0.25</v>
      </c>
      <c r="C8" s="51">
        <v>0.25</v>
      </c>
      <c r="D8" s="51">
        <v>0.25</v>
      </c>
      <c r="E8" s="172">
        <v>0.32291666666666702</v>
      </c>
      <c r="F8" s="56" t="str">
        <f>IF(Tim!F10="","",Tim!F10)</f>
        <v>RF</v>
      </c>
      <c r="G8" s="53" t="str">
        <f>IF(Tim!G10="","",Tim!G10)</f>
        <v/>
      </c>
      <c r="H8" s="53" t="str">
        <f>IF(Tim!H10="","",Tim!H10)</f>
        <v/>
      </c>
      <c r="I8" s="53" t="str">
        <f>IF(Tim!I10="","",Tim!I10)</f>
        <v/>
      </c>
      <c r="J8" s="53" t="str">
        <f>IF(Tim!J10="","",Tim!J10)</f>
        <v/>
      </c>
      <c r="K8" s="53" t="str">
        <f>IF(Tim!K10="","",Tim!K10)</f>
        <v/>
      </c>
      <c r="L8" s="53" t="str">
        <f>IF(Tim!L10="","",Tim!L10)</f>
        <v/>
      </c>
      <c r="M8" s="53" t="str">
        <f>IF(Tim!P10="","",Tim!P10)</f>
        <v/>
      </c>
      <c r="N8" s="53" t="str">
        <f>IF(Tim!Q10="","",Tim!Q10)</f>
        <v/>
      </c>
      <c r="O8" s="53" t="str">
        <f>IF(Tim!R10="","",Tim!R10)</f>
        <v/>
      </c>
      <c r="P8" s="53" t="str">
        <f>IF(Tim!S10="","",Tim!S10)</f>
        <v/>
      </c>
      <c r="Q8" s="55" t="str">
        <f>IF(Tim!T10="","",Tim!T10)</f>
        <v/>
      </c>
      <c r="R8" s="56" t="str">
        <f>IF(Tim!AY10="","",Tim!AY10)</f>
        <v>RF</v>
      </c>
      <c r="S8" s="53" t="str">
        <f>IF(Tim!AZ10="","",Tim!AZ10)</f>
        <v/>
      </c>
      <c r="T8" s="53" t="str">
        <f>IF(Tim!BA10="","",Tim!BA10)</f>
        <v/>
      </c>
      <c r="U8" s="53" t="str">
        <f>IF(Tim!BB10="","",Tim!BB10)</f>
        <v/>
      </c>
      <c r="V8" s="53" t="str">
        <f>IF(Tim!BC10="","",Tim!BC10)</f>
        <v/>
      </c>
      <c r="W8" s="53" t="str">
        <f>IF(Tim!BD10="","",Tim!BD10)</f>
        <v/>
      </c>
      <c r="X8" s="53" t="str">
        <f>IF(Tim!BE10="","",Tim!BE10)</f>
        <v/>
      </c>
      <c r="Y8" s="53" t="str">
        <f>IF(Tim!BF10="","",Tim!BF10)</f>
        <v/>
      </c>
      <c r="Z8" s="53" t="str">
        <f>IF(Tim!BI10="","",Tim!BI10)</f>
        <v/>
      </c>
      <c r="AA8" s="53" t="str">
        <f>IF(Tim!BJ10="","",Tim!BJ10)</f>
        <v/>
      </c>
      <c r="AB8" s="53" t="str">
        <f>IF(Tim!BK10="","",Tim!BK10)</f>
        <v/>
      </c>
      <c r="AC8" s="53" t="str">
        <f>IF(Tim!BL10="","",Tim!BL10)</f>
        <v/>
      </c>
      <c r="AD8" s="55" t="str">
        <f>IF(Tim!BM10="","",Tim!BM10)</f>
        <v/>
      </c>
      <c r="AE8" s="56" t="str">
        <f>IF(Tim!CQ10="","",Tim!CQ10)</f>
        <v>LA</v>
      </c>
      <c r="AF8" s="53" t="str">
        <f>IF(Tim!CR10="","",Tim!CR10)</f>
        <v/>
      </c>
      <c r="AG8" s="53" t="str">
        <f>IF(Tim!CS10="","",Tim!CS10)</f>
        <v/>
      </c>
      <c r="AH8" s="53" t="str">
        <f>IF(Tim!CT10="","",Tim!CT10)</f>
        <v/>
      </c>
      <c r="AI8" s="53" t="str">
        <f>IF(Tim!CU10="","",Tim!CU10)</f>
        <v/>
      </c>
      <c r="AJ8" s="53" t="str">
        <f>IF(Tim!CV10="","",Tim!CV10)</f>
        <v/>
      </c>
      <c r="AK8" s="53" t="str">
        <f>IF(Tim!CW10="","",Tim!CW10)</f>
        <v/>
      </c>
      <c r="AL8" s="53" t="str">
        <f>IF(Tim!DA10="","",Tim!DA10)</f>
        <v>LF</v>
      </c>
      <c r="AM8" s="53" t="str">
        <f>IF(Tim!DB10="","",Tim!DB10)</f>
        <v/>
      </c>
      <c r="AN8" s="53" t="str">
        <f>IF(Tim!DC10="","",Tim!DC10)</f>
        <v/>
      </c>
      <c r="AO8" s="53" t="str">
        <f>IF(Tim!DD10="","",Tim!DD10)</f>
        <v/>
      </c>
      <c r="AP8" s="53" t="str">
        <f>IF(Tim!DE10="","",Tim!DE10)</f>
        <v/>
      </c>
      <c r="AQ8" s="56" t="str">
        <f>IF(Tim!EL10="","",Tim!EL10)</f>
        <v>MS</v>
      </c>
      <c r="AR8" s="53" t="str">
        <f>IF(Tim!EM10="","",Tim!EM10)</f>
        <v/>
      </c>
      <c r="AS8" s="53" t="str">
        <f>IF(Tim!EN10="","",Tim!EN10)</f>
        <v/>
      </c>
      <c r="AT8" s="53" t="str">
        <f>IF(Tim!EO10="","",Tim!EO10)</f>
        <v/>
      </c>
      <c r="AU8" s="53" t="str">
        <f>IF(Tim!EP10="","",Tim!EP10)</f>
        <v/>
      </c>
      <c r="AV8" s="53" t="str">
        <f>IF(Tim!EQ10="","",Tim!EQ10)</f>
        <v/>
      </c>
      <c r="AW8" s="53" t="str">
        <f>IF(Tim!ER10="","",Tim!ER10)</f>
        <v/>
      </c>
      <c r="AX8" s="53" t="str">
        <f>IF(Tim!EV10="","",Tim!EV10)</f>
        <v/>
      </c>
      <c r="AY8" s="53" t="str">
        <f>IF(Tim!EW10="","",Tim!EW10)</f>
        <v/>
      </c>
      <c r="AZ8" s="53" t="str">
        <f>IF(Tim!EX10="","",Tim!EX10)</f>
        <v/>
      </c>
      <c r="BA8" s="53" t="str">
        <f>IF(Tim!EY10="","",Tim!EY10)</f>
        <v/>
      </c>
      <c r="BB8" s="53" t="str">
        <f>IF(Tim!EZ10="","",Tim!EZ10)</f>
        <v/>
      </c>
      <c r="BC8" s="56" t="str">
        <f>IF(Tim!GD10="","",Tim!GD10)</f>
        <v>CR</v>
      </c>
      <c r="BD8" s="53" t="str">
        <f>IF(Tim!GE10="","",Tim!GE10)</f>
        <v/>
      </c>
      <c r="BE8" s="53" t="str">
        <f>IF(Tim!GF10="","",Tim!GF10)</f>
        <v/>
      </c>
      <c r="BF8" s="53" t="str">
        <f>IF(Tim!GG10="","",Tim!GG10)</f>
        <v/>
      </c>
      <c r="BG8" s="53" t="str">
        <f>IF(Tim!GH10="","",Tim!GH10)</f>
        <v/>
      </c>
      <c r="BH8" s="53" t="str">
        <f>IF(Tim!GI10="","",Tim!GI10)</f>
        <v/>
      </c>
      <c r="BI8" s="53" t="str">
        <f>IF(Tim!GJ10="","",Tim!GJ10)</f>
        <v/>
      </c>
      <c r="BJ8" s="53" t="str">
        <f>IF(Tim!GN10="","",Tim!GN10)</f>
        <v/>
      </c>
      <c r="BK8" s="53" t="str">
        <f>IF(Tim!GO10="","",Tim!GO10)</f>
        <v/>
      </c>
      <c r="BL8" s="53" t="str">
        <f>IF(Tim!GP10="","",Tim!GP10)</f>
        <v/>
      </c>
      <c r="BM8" s="53" t="str">
        <f>IF(Tim!GQ10="","",Tim!GQ10)</f>
        <v/>
      </c>
      <c r="BN8" s="53" t="str">
        <f>IF(Tim!GR10="","",Tim!GR10)</f>
        <v/>
      </c>
      <c r="BO8" s="422"/>
      <c r="BP8" s="423"/>
      <c r="BQ8" s="423"/>
      <c r="BR8" s="423"/>
      <c r="BS8" s="423"/>
      <c r="BT8" s="423"/>
      <c r="BU8" s="423"/>
      <c r="BV8" s="423"/>
      <c r="BW8" s="423"/>
      <c r="BX8" s="423"/>
      <c r="BY8" s="423"/>
      <c r="BZ8" s="424"/>
      <c r="CA8" s="422"/>
      <c r="CB8" s="423"/>
      <c r="CC8" s="423"/>
      <c r="CD8" s="423"/>
      <c r="CE8" s="423"/>
      <c r="CF8" s="423"/>
      <c r="CG8" s="423"/>
      <c r="CH8" s="423"/>
      <c r="CI8" s="423"/>
      <c r="CJ8" s="423"/>
      <c r="CK8" s="423"/>
      <c r="CL8" s="424"/>
      <c r="CM8" s="52">
        <v>0.32291666666666702</v>
      </c>
    </row>
    <row r="9" spans="2:91" ht="10.5" customHeight="1">
      <c r="B9" s="51">
        <v>0.25</v>
      </c>
      <c r="C9" s="51">
        <v>0.25</v>
      </c>
      <c r="D9" s="51">
        <v>0.25</v>
      </c>
      <c r="E9" s="172">
        <v>0.33333333333333298</v>
      </c>
      <c r="F9" s="56" t="str">
        <f>IF(Tim!F11="","",Tim!F11)</f>
        <v>RF</v>
      </c>
      <c r="G9" s="53" t="str">
        <f>IF(Tim!G11="","",Tim!G11)</f>
        <v/>
      </c>
      <c r="H9" s="53" t="str">
        <f>IF(Tim!H11="","",Tim!H11)</f>
        <v/>
      </c>
      <c r="I9" s="53" t="str">
        <f>IF(Tim!I11="","",Tim!I11)</f>
        <v/>
      </c>
      <c r="J9" s="53" t="str">
        <f>IF(Tim!J11="","",Tim!J11)</f>
        <v/>
      </c>
      <c r="K9" s="53" t="str">
        <f>IF(Tim!K11="","",Tim!K11)</f>
        <v/>
      </c>
      <c r="L9" s="53" t="str">
        <f>IF(Tim!L11="","",Tim!L11)</f>
        <v/>
      </c>
      <c r="M9" s="53" t="str">
        <f>IF(Tim!P11="","",Tim!P11)</f>
        <v/>
      </c>
      <c r="N9" s="53" t="str">
        <f>IF(Tim!Q11="","",Tim!Q11)</f>
        <v/>
      </c>
      <c r="O9" s="53" t="str">
        <f>IF(Tim!R11="","",Tim!R11)</f>
        <v/>
      </c>
      <c r="P9" s="53" t="str">
        <f>IF(Tim!S11="","",Tim!S11)</f>
        <v/>
      </c>
      <c r="Q9" s="55" t="str">
        <f>IF(Tim!T11="","",Tim!T11)</f>
        <v/>
      </c>
      <c r="R9" s="56" t="str">
        <f>IF(Tim!AY11="","",Tim!AY11)</f>
        <v>RF</v>
      </c>
      <c r="S9" s="53" t="str">
        <f>IF(Tim!AZ11="","",Tim!AZ11)</f>
        <v/>
      </c>
      <c r="T9" s="53" t="str">
        <f>IF(Tim!BA11="","",Tim!BA11)</f>
        <v/>
      </c>
      <c r="U9" s="53" t="str">
        <f>IF(Tim!BB11="","",Tim!BB11)</f>
        <v/>
      </c>
      <c r="V9" s="53" t="str">
        <f>IF(Tim!BC11="","",Tim!BC11)</f>
        <v/>
      </c>
      <c r="W9" s="53" t="str">
        <f>IF(Tim!BD11="","",Tim!BD11)</f>
        <v/>
      </c>
      <c r="X9" s="53" t="str">
        <f>IF(Tim!BE11="","",Tim!BE11)</f>
        <v/>
      </c>
      <c r="Y9" s="53" t="str">
        <f>IF(Tim!BF11="","",Tim!BF11)</f>
        <v/>
      </c>
      <c r="Z9" s="53" t="str">
        <f>IF(Tim!BI11="","",Tim!BI11)</f>
        <v/>
      </c>
      <c r="AA9" s="53" t="str">
        <f>IF(Tim!BJ11="","",Tim!BJ11)</f>
        <v/>
      </c>
      <c r="AB9" s="53" t="str">
        <f>IF(Tim!BK11="","",Tim!BK11)</f>
        <v/>
      </c>
      <c r="AC9" s="53" t="str">
        <f>IF(Tim!BL11="","",Tim!BL11)</f>
        <v/>
      </c>
      <c r="AD9" s="55" t="str">
        <f>IF(Tim!BM11="","",Tim!BM11)</f>
        <v/>
      </c>
      <c r="AE9" s="56" t="str">
        <f>IF(Tim!CQ11="","",Tim!CQ11)</f>
        <v>LA</v>
      </c>
      <c r="AF9" s="53" t="str">
        <f>IF(Tim!CR11="","",Tim!CR11)</f>
        <v/>
      </c>
      <c r="AG9" s="53" t="str">
        <f>IF(Tim!CS11="","",Tim!CS11)</f>
        <v/>
      </c>
      <c r="AH9" s="53" t="str">
        <f>IF(Tim!CT11="","",Tim!CT11)</f>
        <v/>
      </c>
      <c r="AI9" s="53" t="str">
        <f>IF(Tim!CU11="","",Tim!CU11)</f>
        <v/>
      </c>
      <c r="AJ9" s="53" t="str">
        <f>IF(Tim!CV11="","",Tim!CV11)</f>
        <v/>
      </c>
      <c r="AK9" s="53" t="str">
        <f>IF(Tim!CW11="","",Tim!CW11)</f>
        <v/>
      </c>
      <c r="AL9" s="53" t="str">
        <f>IF(Tim!DA11="","",Tim!DA11)</f>
        <v>LF</v>
      </c>
      <c r="AM9" s="53" t="str">
        <f>IF(Tim!DB11="","",Tim!DB11)</f>
        <v/>
      </c>
      <c r="AN9" s="53" t="str">
        <f>IF(Tim!DC11="","",Tim!DC11)</f>
        <v/>
      </c>
      <c r="AO9" s="53" t="str">
        <f>IF(Tim!DD11="","",Tim!DD11)</f>
        <v/>
      </c>
      <c r="AP9" s="53" t="str">
        <f>IF(Tim!DE11="","",Tim!DE11)</f>
        <v/>
      </c>
      <c r="AQ9" s="56" t="str">
        <f>IF(Tim!EL11="","",Tim!EL11)</f>
        <v>MS</v>
      </c>
      <c r="AR9" s="53" t="str">
        <f>IF(Tim!EM11="","",Tim!EM11)</f>
        <v/>
      </c>
      <c r="AS9" s="53" t="str">
        <f>IF(Tim!EN11="","",Tim!EN11)</f>
        <v/>
      </c>
      <c r="AT9" s="53" t="str">
        <f>IF(Tim!EO11="","",Tim!EO11)</f>
        <v/>
      </c>
      <c r="AU9" s="53" t="str">
        <f>IF(Tim!EP11="","",Tim!EP11)</f>
        <v/>
      </c>
      <c r="AV9" s="53" t="str">
        <f>IF(Tim!EQ11="","",Tim!EQ11)</f>
        <v/>
      </c>
      <c r="AW9" s="53" t="str">
        <f>IF(Tim!ER11="","",Tim!ER11)</f>
        <v/>
      </c>
      <c r="AX9" s="53" t="str">
        <f>IF(Tim!EV11="","",Tim!EV11)</f>
        <v/>
      </c>
      <c r="AY9" s="53" t="str">
        <f>IF(Tim!EW11="","",Tim!EW11)</f>
        <v/>
      </c>
      <c r="AZ9" s="53" t="str">
        <f>IF(Tim!EX11="","",Tim!EX11)</f>
        <v/>
      </c>
      <c r="BA9" s="53" t="str">
        <f>IF(Tim!EY11="","",Tim!EY11)</f>
        <v/>
      </c>
      <c r="BB9" s="53" t="str">
        <f>IF(Tim!EZ11="","",Tim!EZ11)</f>
        <v/>
      </c>
      <c r="BC9" s="56" t="str">
        <f>IF(Tim!GD11="","",Tim!GD11)</f>
        <v>MS</v>
      </c>
      <c r="BD9" s="53" t="str">
        <f>IF(Tim!GE11="","",Tim!GE11)</f>
        <v/>
      </c>
      <c r="BE9" s="53" t="str">
        <f>IF(Tim!GF11="","",Tim!GF11)</f>
        <v/>
      </c>
      <c r="BF9" s="53" t="str">
        <f>IF(Tim!GG11="","",Tim!GG11)</f>
        <v/>
      </c>
      <c r="BG9" s="53" t="str">
        <f>IF(Tim!GH11="","",Tim!GH11)</f>
        <v/>
      </c>
      <c r="BH9" s="53" t="str">
        <f>IF(Tim!GI11="","",Tim!GI11)</f>
        <v/>
      </c>
      <c r="BI9" s="53" t="str">
        <f>IF(Tim!GJ11="","",Tim!GJ11)</f>
        <v/>
      </c>
      <c r="BJ9" s="53" t="str">
        <f>IF(Tim!GN11="","",Tim!GN11)</f>
        <v>CR</v>
      </c>
      <c r="BK9" s="53" t="str">
        <f>IF(Tim!GO11="","",Tim!GO11)</f>
        <v/>
      </c>
      <c r="BL9" s="53" t="str">
        <f>IF(Tim!GP11="","",Tim!GP11)</f>
        <v/>
      </c>
      <c r="BM9" s="53" t="str">
        <f>IF(Tim!GQ11="","",Tim!GQ11)</f>
        <v/>
      </c>
      <c r="BN9" s="53" t="str">
        <f>IF(Tim!GR11="","",Tim!GR11)</f>
        <v/>
      </c>
      <c r="BO9" s="422"/>
      <c r="BP9" s="423"/>
      <c r="BQ9" s="423"/>
      <c r="BR9" s="423"/>
      <c r="BS9" s="423"/>
      <c r="BT9" s="423"/>
      <c r="BU9" s="423"/>
      <c r="BV9" s="423"/>
      <c r="BW9" s="423"/>
      <c r="BX9" s="423"/>
      <c r="BY9" s="423"/>
      <c r="BZ9" s="424"/>
      <c r="CA9" s="422"/>
      <c r="CB9" s="423"/>
      <c r="CC9" s="423"/>
      <c r="CD9" s="423"/>
      <c r="CE9" s="423"/>
      <c r="CF9" s="423"/>
      <c r="CG9" s="423"/>
      <c r="CH9" s="423"/>
      <c r="CI9" s="423"/>
      <c r="CJ9" s="423"/>
      <c r="CK9" s="423"/>
      <c r="CL9" s="424"/>
      <c r="CM9" s="52">
        <v>0.33333333333333298</v>
      </c>
    </row>
    <row r="10" spans="2:91" ht="10.5" customHeight="1">
      <c r="B10" s="51">
        <v>0.25</v>
      </c>
      <c r="C10" s="51">
        <v>0.25</v>
      </c>
      <c r="D10" s="51">
        <v>0.25</v>
      </c>
      <c r="E10" s="172">
        <v>0.34375</v>
      </c>
      <c r="F10" s="56" t="str">
        <f>IF(Tim!F12="","",Tim!F12)</f>
        <v>RF</v>
      </c>
      <c r="G10" s="53" t="str">
        <f>IF(Tim!G12="","",Tim!G12)</f>
        <v/>
      </c>
      <c r="H10" s="53" t="str">
        <f>IF(Tim!H12="","",Tim!H12)</f>
        <v/>
      </c>
      <c r="I10" s="53" t="str">
        <f>IF(Tim!I12="","",Tim!I12)</f>
        <v/>
      </c>
      <c r="J10" s="53" t="str">
        <f>IF(Tim!J12="","",Tim!J12)</f>
        <v/>
      </c>
      <c r="K10" s="53" t="str">
        <f>IF(Tim!K12="","",Tim!K12)</f>
        <v/>
      </c>
      <c r="L10" s="53" t="str">
        <f>IF(Tim!L12="","",Tim!L12)</f>
        <v/>
      </c>
      <c r="M10" s="53" t="str">
        <f>IF(Tim!P12="","",Tim!P12)</f>
        <v/>
      </c>
      <c r="N10" s="53" t="str">
        <f>IF(Tim!Q12="","",Tim!Q12)</f>
        <v/>
      </c>
      <c r="O10" s="53" t="str">
        <f>IF(Tim!R12="","",Tim!R12)</f>
        <v/>
      </c>
      <c r="P10" s="53" t="str">
        <f>IF(Tim!S12="","",Tim!S12)</f>
        <v/>
      </c>
      <c r="Q10" s="55" t="str">
        <f>IF(Tim!T12="","",Tim!T12)</f>
        <v/>
      </c>
      <c r="R10" s="56" t="str">
        <f>IF(Tim!AY12="","",Tim!AY12)</f>
        <v>CR</v>
      </c>
      <c r="S10" s="53" t="str">
        <f>IF(Tim!AZ12="","",Tim!AZ12)</f>
        <v/>
      </c>
      <c r="T10" s="53" t="str">
        <f>IF(Tim!BA12="","",Tim!BA12)</f>
        <v/>
      </c>
      <c r="U10" s="53" t="str">
        <f>IF(Tim!BB12="","",Tim!BB12)</f>
        <v/>
      </c>
      <c r="V10" s="53" t="str">
        <f>IF(Tim!BC12="","",Tim!BC12)</f>
        <v/>
      </c>
      <c r="W10" s="53" t="str">
        <f>IF(Tim!BD12="","",Tim!BD12)</f>
        <v/>
      </c>
      <c r="X10" s="53" t="str">
        <f>IF(Tim!BE12="","",Tim!BE12)</f>
        <v/>
      </c>
      <c r="Y10" s="53" t="str">
        <f>IF(Tim!BF12="","",Tim!BF12)</f>
        <v/>
      </c>
      <c r="Z10" s="53" t="str">
        <f>IF(Tim!BI12="","",Tim!BI12)</f>
        <v/>
      </c>
      <c r="AA10" s="53" t="str">
        <f>IF(Tim!BJ12="","",Tim!BJ12)</f>
        <v/>
      </c>
      <c r="AB10" s="53" t="str">
        <f>IF(Tim!BK12="","",Tim!BK12)</f>
        <v/>
      </c>
      <c r="AC10" s="53" t="str">
        <f>IF(Tim!BL12="","",Tim!BL12)</f>
        <v/>
      </c>
      <c r="AD10" s="55" t="str">
        <f>IF(Tim!BM12="","",Tim!BM12)</f>
        <v/>
      </c>
      <c r="AE10" s="56" t="str">
        <f>IF(Tim!CQ12="","",Tim!CQ12)</f>
        <v>LA</v>
      </c>
      <c r="AF10" s="53" t="str">
        <f>IF(Tim!CR12="","",Tim!CR12)</f>
        <v/>
      </c>
      <c r="AG10" s="53" t="str">
        <f>IF(Tim!CS12="","",Tim!CS12)</f>
        <v/>
      </c>
      <c r="AH10" s="53" t="str">
        <f>IF(Tim!CT12="","",Tim!CT12)</f>
        <v/>
      </c>
      <c r="AI10" s="53" t="str">
        <f>IF(Tim!CU12="","",Tim!CU12)</f>
        <v/>
      </c>
      <c r="AJ10" s="53" t="str">
        <f>IF(Tim!CV12="","",Tim!CV12)</f>
        <v/>
      </c>
      <c r="AK10" s="53" t="str">
        <f>IF(Tim!CW12="","",Tim!CW12)</f>
        <v/>
      </c>
      <c r="AL10" s="53" t="str">
        <f>IF(Tim!DA12="","",Tim!DA12)</f>
        <v>LF</v>
      </c>
      <c r="AM10" s="53" t="str">
        <f>IF(Tim!DB12="","",Tim!DB12)</f>
        <v/>
      </c>
      <c r="AN10" s="53" t="str">
        <f>IF(Tim!DC12="","",Tim!DC12)</f>
        <v/>
      </c>
      <c r="AO10" s="53" t="str">
        <f>IF(Tim!DD12="","",Tim!DD12)</f>
        <v/>
      </c>
      <c r="AP10" s="53" t="str">
        <f>IF(Tim!DE12="","",Tim!DE12)</f>
        <v/>
      </c>
      <c r="AQ10" s="56" t="str">
        <f>IF(Tim!EL12="","",Tim!EL12)</f>
        <v>MS</v>
      </c>
      <c r="AR10" s="53" t="str">
        <f>IF(Tim!EM12="","",Tim!EM12)</f>
        <v/>
      </c>
      <c r="AS10" s="53" t="str">
        <f>IF(Tim!EN12="","",Tim!EN12)</f>
        <v/>
      </c>
      <c r="AT10" s="53" t="str">
        <f>IF(Tim!EO12="","",Tim!EO12)</f>
        <v/>
      </c>
      <c r="AU10" s="53" t="str">
        <f>IF(Tim!EP12="","",Tim!EP12)</f>
        <v/>
      </c>
      <c r="AV10" s="53" t="str">
        <f>IF(Tim!EQ12="","",Tim!EQ12)</f>
        <v/>
      </c>
      <c r="AW10" s="53" t="str">
        <f>IF(Tim!ER12="","",Tim!ER12)</f>
        <v/>
      </c>
      <c r="AX10" s="53" t="str">
        <f>IF(Tim!EV12="","",Tim!EV12)</f>
        <v/>
      </c>
      <c r="AY10" s="53" t="str">
        <f>IF(Tim!EW12="","",Tim!EW12)</f>
        <v/>
      </c>
      <c r="AZ10" s="53" t="str">
        <f>IF(Tim!EX12="","",Tim!EX12)</f>
        <v/>
      </c>
      <c r="BA10" s="53" t="str">
        <f>IF(Tim!EY12="","",Tim!EY12)</f>
        <v/>
      </c>
      <c r="BB10" s="53" t="str">
        <f>IF(Tim!EZ12="","",Tim!EZ12)</f>
        <v/>
      </c>
      <c r="BC10" s="56" t="str">
        <f>IF(Tim!GD12="","",Tim!GD12)</f>
        <v>MS</v>
      </c>
      <c r="BD10" s="53" t="str">
        <f>IF(Tim!GE12="","",Tim!GE12)</f>
        <v/>
      </c>
      <c r="BE10" s="53" t="str">
        <f>IF(Tim!GF12="","",Tim!GF12)</f>
        <v/>
      </c>
      <c r="BF10" s="53" t="str">
        <f>IF(Tim!GG12="","",Tim!GG12)</f>
        <v/>
      </c>
      <c r="BG10" s="53" t="str">
        <f>IF(Tim!GH12="","",Tim!GH12)</f>
        <v/>
      </c>
      <c r="BH10" s="53" t="str">
        <f>IF(Tim!GI12="","",Tim!GI12)</f>
        <v/>
      </c>
      <c r="BI10" s="53" t="str">
        <f>IF(Tim!GJ12="","",Tim!GJ12)</f>
        <v/>
      </c>
      <c r="BJ10" s="53" t="str">
        <f>IF(Tim!GN12="","",Tim!GN12)</f>
        <v>CR</v>
      </c>
      <c r="BK10" s="53" t="str">
        <f>IF(Tim!GO12="","",Tim!GO12)</f>
        <v/>
      </c>
      <c r="BL10" s="53" t="str">
        <f>IF(Tim!GP12="","",Tim!GP12)</f>
        <v/>
      </c>
      <c r="BM10" s="53" t="str">
        <f>IF(Tim!GQ12="","",Tim!GQ12)</f>
        <v/>
      </c>
      <c r="BN10" s="53" t="str">
        <f>IF(Tim!GR12="","",Tim!GR12)</f>
        <v/>
      </c>
      <c r="BO10" s="422"/>
      <c r="BP10" s="423"/>
      <c r="BQ10" s="423"/>
      <c r="BR10" s="423"/>
      <c r="BS10" s="423"/>
      <c r="BT10" s="423"/>
      <c r="BU10" s="423"/>
      <c r="BV10" s="423"/>
      <c r="BW10" s="423"/>
      <c r="BX10" s="423"/>
      <c r="BY10" s="423"/>
      <c r="BZ10" s="424"/>
      <c r="CA10" s="422"/>
      <c r="CB10" s="423"/>
      <c r="CC10" s="423"/>
      <c r="CD10" s="423"/>
      <c r="CE10" s="423"/>
      <c r="CF10" s="423"/>
      <c r="CG10" s="423"/>
      <c r="CH10" s="423"/>
      <c r="CI10" s="423"/>
      <c r="CJ10" s="423"/>
      <c r="CK10" s="423"/>
      <c r="CL10" s="424"/>
      <c r="CM10" s="52">
        <v>0.34375</v>
      </c>
    </row>
    <row r="11" spans="2:91" ht="10.5" customHeight="1">
      <c r="B11" s="51">
        <v>0.25</v>
      </c>
      <c r="C11" s="51">
        <v>0.25</v>
      </c>
      <c r="D11" s="51">
        <v>0.25</v>
      </c>
      <c r="E11" s="172">
        <v>0.35416666666666602</v>
      </c>
      <c r="F11" s="56" t="str">
        <f>IF(Tim!F13="","",Tim!F13)</f>
        <v>RF</v>
      </c>
      <c r="G11" s="53" t="str">
        <f>IF(Tim!G13="","",Tim!G13)</f>
        <v/>
      </c>
      <c r="H11" s="53" t="str">
        <f>IF(Tim!H13="","",Tim!H13)</f>
        <v/>
      </c>
      <c r="I11" s="53" t="str">
        <f>IF(Tim!I13="","",Tim!I13)</f>
        <v/>
      </c>
      <c r="J11" s="53" t="str">
        <f>IF(Tim!J13="","",Tim!J13)</f>
        <v/>
      </c>
      <c r="K11" s="53" t="str">
        <f>IF(Tim!K13="","",Tim!K13)</f>
        <v/>
      </c>
      <c r="L11" s="53" t="str">
        <f>IF(Tim!L13="","",Tim!L13)</f>
        <v/>
      </c>
      <c r="M11" s="53" t="str">
        <f>IF(Tim!P13="","",Tim!P13)</f>
        <v/>
      </c>
      <c r="N11" s="53" t="str">
        <f>IF(Tim!Q13="","",Tim!Q13)</f>
        <v/>
      </c>
      <c r="O11" s="53" t="str">
        <f>IF(Tim!R13="","",Tim!R13)</f>
        <v/>
      </c>
      <c r="P11" s="53" t="str">
        <f>IF(Tim!S13="","",Tim!S13)</f>
        <v/>
      </c>
      <c r="Q11" s="55" t="str">
        <f>IF(Tim!T13="","",Tim!T13)</f>
        <v/>
      </c>
      <c r="R11" s="56" t="str">
        <f>IF(Tim!AY13="","",Tim!AY13)</f>
        <v>CR</v>
      </c>
      <c r="S11" s="53" t="str">
        <f>IF(Tim!AZ13="","",Tim!AZ13)</f>
        <v/>
      </c>
      <c r="T11" s="53" t="str">
        <f>IF(Tim!BA13="","",Tim!BA13)</f>
        <v/>
      </c>
      <c r="U11" s="53" t="str">
        <f>IF(Tim!BB13="","",Tim!BB13)</f>
        <v/>
      </c>
      <c r="V11" s="53" t="str">
        <f>IF(Tim!BC13="","",Tim!BC13)</f>
        <v/>
      </c>
      <c r="W11" s="53" t="str">
        <f>IF(Tim!BD13="","",Tim!BD13)</f>
        <v/>
      </c>
      <c r="X11" s="53" t="str">
        <f>IF(Tim!BE13="","",Tim!BE13)</f>
        <v/>
      </c>
      <c r="Y11" s="53" t="str">
        <f>IF(Tim!BF13="","",Tim!BF13)</f>
        <v/>
      </c>
      <c r="Z11" s="53" t="str">
        <f>IF(Tim!BI13="","",Tim!BI13)</f>
        <v/>
      </c>
      <c r="AA11" s="53" t="str">
        <f>IF(Tim!BJ13="","",Tim!BJ13)</f>
        <v/>
      </c>
      <c r="AB11" s="53" t="str">
        <f>IF(Tim!BK13="","",Tim!BK13)</f>
        <v/>
      </c>
      <c r="AC11" s="53" t="str">
        <f>IF(Tim!BL13="","",Tim!BL13)</f>
        <v/>
      </c>
      <c r="AD11" s="55" t="str">
        <f>IF(Tim!BM13="","",Tim!BM13)</f>
        <v/>
      </c>
      <c r="AE11" s="56" t="str">
        <f>IF(Tim!CQ13="","",Tim!CQ13)</f>
        <v>LA</v>
      </c>
      <c r="AF11" s="53" t="str">
        <f>IF(Tim!CR13="","",Tim!CR13)</f>
        <v/>
      </c>
      <c r="AG11" s="53" t="str">
        <f>IF(Tim!CS13="","",Tim!CS13)</f>
        <v/>
      </c>
      <c r="AH11" s="53" t="str">
        <f>IF(Tim!CT13="","",Tim!CT13)</f>
        <v/>
      </c>
      <c r="AI11" s="53" t="str">
        <f>IF(Tim!CU13="","",Tim!CU13)</f>
        <v/>
      </c>
      <c r="AJ11" s="53" t="str">
        <f>IF(Tim!CV13="","",Tim!CV13)</f>
        <v/>
      </c>
      <c r="AK11" s="53" t="str">
        <f>IF(Tim!CW13="","",Tim!CW13)</f>
        <v/>
      </c>
      <c r="AL11" s="53" t="str">
        <f>IF(Tim!DA13="","",Tim!DA13)</f>
        <v>LF</v>
      </c>
      <c r="AM11" s="53" t="str">
        <f>IF(Tim!DB13="","",Tim!DB13)</f>
        <v/>
      </c>
      <c r="AN11" s="53" t="str">
        <f>IF(Tim!DC13="","",Tim!DC13)</f>
        <v/>
      </c>
      <c r="AO11" s="53" t="str">
        <f>IF(Tim!DD13="","",Tim!DD13)</f>
        <v/>
      </c>
      <c r="AP11" s="53" t="str">
        <f>IF(Tim!DE13="","",Tim!DE13)</f>
        <v/>
      </c>
      <c r="AQ11" s="56" t="str">
        <f>IF(Tim!EL13="","",Tim!EL13)</f>
        <v>MS</v>
      </c>
      <c r="AR11" s="53" t="str">
        <f>IF(Tim!EM13="","",Tim!EM13)</f>
        <v/>
      </c>
      <c r="AS11" s="53" t="str">
        <f>IF(Tim!EN13="","",Tim!EN13)</f>
        <v/>
      </c>
      <c r="AT11" s="53" t="str">
        <f>IF(Tim!EO13="","",Tim!EO13)</f>
        <v/>
      </c>
      <c r="AU11" s="53" t="str">
        <f>IF(Tim!EP13="","",Tim!EP13)</f>
        <v/>
      </c>
      <c r="AV11" s="53" t="str">
        <f>IF(Tim!EQ13="","",Tim!EQ13)</f>
        <v/>
      </c>
      <c r="AW11" s="53" t="str">
        <f>IF(Tim!ER13="","",Tim!ER13)</f>
        <v/>
      </c>
      <c r="AX11" s="53" t="str">
        <f>IF(Tim!EV13="","",Tim!EV13)</f>
        <v/>
      </c>
      <c r="AY11" s="53" t="str">
        <f>IF(Tim!EW13="","",Tim!EW13)</f>
        <v/>
      </c>
      <c r="AZ11" s="53" t="str">
        <f>IF(Tim!EX13="","",Tim!EX13)</f>
        <v/>
      </c>
      <c r="BA11" s="53" t="str">
        <f>IF(Tim!EY13="","",Tim!EY13)</f>
        <v/>
      </c>
      <c r="BB11" s="53" t="str">
        <f>IF(Tim!EZ13="","",Tim!EZ13)</f>
        <v/>
      </c>
      <c r="BC11" s="56" t="str">
        <f>IF(Tim!GD13="","",Tim!GD13)</f>
        <v>CR</v>
      </c>
      <c r="BD11" s="53" t="str">
        <f>IF(Tim!GE13="","",Tim!GE13)</f>
        <v/>
      </c>
      <c r="BE11" s="53" t="str">
        <f>IF(Tim!GF13="","",Tim!GF13)</f>
        <v/>
      </c>
      <c r="BF11" s="53" t="str">
        <f>IF(Tim!GG13="","",Tim!GG13)</f>
        <v/>
      </c>
      <c r="BG11" s="53" t="str">
        <f>IF(Tim!GH13="","",Tim!GH13)</f>
        <v/>
      </c>
      <c r="BH11" s="53" t="str">
        <f>IF(Tim!GI13="","",Tim!GI13)</f>
        <v/>
      </c>
      <c r="BI11" s="53" t="str">
        <f>IF(Tim!GJ13="","",Tim!GJ13)</f>
        <v/>
      </c>
      <c r="BJ11" s="53" t="str">
        <f>IF(Tim!GN13="","",Tim!GN13)</f>
        <v/>
      </c>
      <c r="BK11" s="53" t="str">
        <f>IF(Tim!GO13="","",Tim!GO13)</f>
        <v/>
      </c>
      <c r="BL11" s="53" t="str">
        <f>IF(Tim!GP13="","",Tim!GP13)</f>
        <v/>
      </c>
      <c r="BM11" s="53" t="str">
        <f>IF(Tim!GQ13="","",Tim!GQ13)</f>
        <v/>
      </c>
      <c r="BN11" s="53" t="str">
        <f>IF(Tim!GR13="","",Tim!GR13)</f>
        <v/>
      </c>
      <c r="BO11" s="422"/>
      <c r="BP11" s="423"/>
      <c r="BQ11" s="423"/>
      <c r="BR11" s="423"/>
      <c r="BS11" s="423"/>
      <c r="BT11" s="423"/>
      <c r="BU11" s="423"/>
      <c r="BV11" s="423"/>
      <c r="BW11" s="423"/>
      <c r="BX11" s="423"/>
      <c r="BY11" s="423"/>
      <c r="BZ11" s="424"/>
      <c r="CA11" s="422"/>
      <c r="CB11" s="423"/>
      <c r="CC11" s="423"/>
      <c r="CD11" s="423"/>
      <c r="CE11" s="423"/>
      <c r="CF11" s="423"/>
      <c r="CG11" s="423"/>
      <c r="CH11" s="423"/>
      <c r="CI11" s="423"/>
      <c r="CJ11" s="423"/>
      <c r="CK11" s="423"/>
      <c r="CL11" s="424"/>
      <c r="CM11" s="52">
        <v>0.35416666666666602</v>
      </c>
    </row>
    <row r="12" spans="2:91" ht="10.5" customHeight="1" thickBot="1">
      <c r="B12" s="51">
        <v>0.25</v>
      </c>
      <c r="C12" s="51">
        <v>0.25</v>
      </c>
      <c r="D12" s="51">
        <v>0.25</v>
      </c>
      <c r="E12" s="172">
        <v>0.36458333333333298</v>
      </c>
      <c r="F12" s="56" t="str">
        <f>IF(Tim!F14="","",Tim!F14)</f>
        <v>RF</v>
      </c>
      <c r="G12" s="53" t="str">
        <f>IF(Tim!G14="","",Tim!G14)</f>
        <v/>
      </c>
      <c r="H12" s="53" t="str">
        <f>IF(Tim!H14="","",Tim!H14)</f>
        <v/>
      </c>
      <c r="I12" s="53" t="str">
        <f>IF(Tim!I14="","",Tim!I14)</f>
        <v/>
      </c>
      <c r="J12" s="53" t="str">
        <f>IF(Tim!J14="","",Tim!J14)</f>
        <v/>
      </c>
      <c r="K12" s="53" t="str">
        <f>IF(Tim!K14="","",Tim!K14)</f>
        <v/>
      </c>
      <c r="L12" s="53" t="str">
        <f>IF(Tim!L14="","",Tim!L14)</f>
        <v/>
      </c>
      <c r="M12" s="53" t="str">
        <f>IF(Tim!P14="","",Tim!P14)</f>
        <v/>
      </c>
      <c r="N12" s="53" t="str">
        <f>IF(Tim!Q14="","",Tim!Q14)</f>
        <v/>
      </c>
      <c r="O12" s="53" t="str">
        <f>IF(Tim!R14="","",Tim!R14)</f>
        <v/>
      </c>
      <c r="P12" s="53" t="str">
        <f>IF(Tim!S14="","",Tim!S14)</f>
        <v/>
      </c>
      <c r="Q12" s="55" t="str">
        <f>IF(Tim!T14="","",Tim!T14)</f>
        <v/>
      </c>
      <c r="R12" s="56" t="str">
        <f>IF(Tim!AY14="","",Tim!AY14)</f>
        <v>CR</v>
      </c>
      <c r="S12" s="53" t="str">
        <f>IF(Tim!AZ14="","",Tim!AZ14)</f>
        <v/>
      </c>
      <c r="T12" s="53" t="str">
        <f>IF(Tim!BA14="","",Tim!BA14)</f>
        <v/>
      </c>
      <c r="U12" s="53" t="str">
        <f>IF(Tim!BB14="","",Tim!BB14)</f>
        <v/>
      </c>
      <c r="V12" s="53" t="str">
        <f>IF(Tim!BC14="","",Tim!BC14)</f>
        <v/>
      </c>
      <c r="W12" s="53" t="str">
        <f>IF(Tim!BD14="","",Tim!BD14)</f>
        <v/>
      </c>
      <c r="X12" s="53" t="str">
        <f>IF(Tim!BE14="","",Tim!BE14)</f>
        <v/>
      </c>
      <c r="Y12" s="53" t="str">
        <f>IF(Tim!BF14="","",Tim!BF14)</f>
        <v/>
      </c>
      <c r="Z12" s="53" t="e">
        <f>IF(Tim!#REF!="","",Tim!#REF!)</f>
        <v>#REF!</v>
      </c>
      <c r="AA12" s="53" t="str">
        <f>IF(Tim!BJ14="","",Tim!BJ14)</f>
        <v/>
      </c>
      <c r="AB12" s="53" t="str">
        <f>IF(Tim!BK14="","",Tim!BK14)</f>
        <v/>
      </c>
      <c r="AC12" s="53" t="str">
        <f>IF(Tim!BL14="","",Tim!BL14)</f>
        <v/>
      </c>
      <c r="AD12" s="55" t="str">
        <f>IF(Tim!BM14="","",Tim!BM14)</f>
        <v/>
      </c>
      <c r="AE12" s="56" t="str">
        <f>IF(Tim!CQ14="","",Tim!CQ14)</f>
        <v>LA</v>
      </c>
      <c r="AF12" s="53" t="str">
        <f>IF(Tim!CR14="","",Tim!CR14)</f>
        <v/>
      </c>
      <c r="AG12" s="53" t="str">
        <f>IF(Tim!CS14="","",Tim!CS14)</f>
        <v/>
      </c>
      <c r="AH12" s="53" t="str">
        <f>IF(Tim!CT14="","",Tim!CT14)</f>
        <v/>
      </c>
      <c r="AI12" s="53" t="str">
        <f>IF(Tim!CU14="","",Tim!CU14)</f>
        <v/>
      </c>
      <c r="AJ12" s="53" t="str">
        <f>IF(Tim!CV14="","",Tim!CV14)</f>
        <v/>
      </c>
      <c r="AK12" s="53" t="str">
        <f>IF(Tim!CW14="","",Tim!CW14)</f>
        <v/>
      </c>
      <c r="AL12" s="53" t="str">
        <f>IF(Tim!DA14="","",Tim!DA14)</f>
        <v>LF</v>
      </c>
      <c r="AM12" s="53" t="str">
        <f>IF(Tim!DB14="","",Tim!DB14)</f>
        <v/>
      </c>
      <c r="AN12" s="53" t="str">
        <f>IF(Tim!DC14="","",Tim!DC14)</f>
        <v/>
      </c>
      <c r="AO12" s="53" t="str">
        <f>IF(Tim!DD14="","",Tim!DD14)</f>
        <v/>
      </c>
      <c r="AP12" s="53" t="str">
        <f>IF(Tim!DE14="","",Tim!DE14)</f>
        <v/>
      </c>
      <c r="AQ12" s="56" t="str">
        <f>IF(Tim!EL14="","",Tim!EL14)</f>
        <v>LF</v>
      </c>
      <c r="AR12" s="53" t="str">
        <f>IF(Tim!EM14="","",Tim!EM14)</f>
        <v/>
      </c>
      <c r="AS12" s="53" t="str">
        <f>IF(Tim!EN14="","",Tim!EN14)</f>
        <v/>
      </c>
      <c r="AT12" s="53" t="str">
        <f>IF(Tim!EO14="","",Tim!EO14)</f>
        <v/>
      </c>
      <c r="AU12" s="53" t="str">
        <f>IF(Tim!EP14="","",Tim!EP14)</f>
        <v/>
      </c>
      <c r="AV12" s="53" t="str">
        <f>IF(Tim!EQ14="","",Tim!EQ14)</f>
        <v/>
      </c>
      <c r="AW12" s="53" t="str">
        <f>IF(Tim!ER14="","",Tim!ER14)</f>
        <v/>
      </c>
      <c r="AX12" s="53" t="str">
        <f>IF(Tim!EV14="","",Tim!EV14)</f>
        <v/>
      </c>
      <c r="AY12" s="53" t="str">
        <f>IF(Tim!EW14="","",Tim!EW14)</f>
        <v/>
      </c>
      <c r="AZ12" s="53" t="str">
        <f>IF(Tim!EX14="","",Tim!EX14)</f>
        <v/>
      </c>
      <c r="BA12" s="53" t="str">
        <f>IF(Tim!EY14="","",Tim!EY14)</f>
        <v/>
      </c>
      <c r="BB12" s="53" t="str">
        <f>IF(Tim!EZ14="","",Tim!EZ14)</f>
        <v/>
      </c>
      <c r="BC12" s="56" t="str">
        <f>IF(Tim!GD14="","",Tim!GD14)</f>
        <v>CR</v>
      </c>
      <c r="BD12" s="53" t="str">
        <f>IF(Tim!GE14="","",Tim!GE14)</f>
        <v/>
      </c>
      <c r="BE12" s="53" t="str">
        <f>IF(Tim!GF14="","",Tim!GF14)</f>
        <v/>
      </c>
      <c r="BF12" s="53" t="str">
        <f>IF(Tim!GG14="","",Tim!GG14)</f>
        <v/>
      </c>
      <c r="BG12" s="53" t="str">
        <f>IF(Tim!GH14="","",Tim!GH14)</f>
        <v/>
      </c>
      <c r="BH12" s="53" t="str">
        <f>IF(Tim!GI14="","",Tim!GI14)</f>
        <v/>
      </c>
      <c r="BI12" s="53" t="str">
        <f>IF(Tim!GJ14="","",Tim!GJ14)</f>
        <v/>
      </c>
      <c r="BJ12" s="53" t="str">
        <f>IF(Tim!GN14="","",Tim!GN14)</f>
        <v/>
      </c>
      <c r="BK12" s="53" t="str">
        <f>IF(Tim!GO14="","",Tim!GO14)</f>
        <v/>
      </c>
      <c r="BL12" s="53" t="str">
        <f>IF(Tim!GP14="","",Tim!GP14)</f>
        <v/>
      </c>
      <c r="BM12" s="53" t="str">
        <f>IF(Tim!GQ14="","",Tim!GQ14)</f>
        <v/>
      </c>
      <c r="BN12" s="53" t="str">
        <f>IF(Tim!GR14="","",Tim!GR14)</f>
        <v/>
      </c>
      <c r="BO12" s="422"/>
      <c r="BP12" s="423"/>
      <c r="BQ12" s="423"/>
      <c r="BR12" s="423"/>
      <c r="BS12" s="423"/>
      <c r="BT12" s="423"/>
      <c r="BU12" s="423"/>
      <c r="BV12" s="423"/>
      <c r="BW12" s="423"/>
      <c r="BX12" s="423"/>
      <c r="BY12" s="423"/>
      <c r="BZ12" s="424"/>
      <c r="CA12" s="422"/>
      <c r="CB12" s="423"/>
      <c r="CC12" s="423"/>
      <c r="CD12" s="423"/>
      <c r="CE12" s="423"/>
      <c r="CF12" s="423"/>
      <c r="CG12" s="423"/>
      <c r="CH12" s="423"/>
      <c r="CI12" s="423"/>
      <c r="CJ12" s="423"/>
      <c r="CK12" s="423"/>
      <c r="CL12" s="424"/>
      <c r="CM12" s="52">
        <v>0.36458333333333298</v>
      </c>
    </row>
    <row r="13" spans="2:91" ht="10.5" customHeight="1">
      <c r="B13" s="51">
        <v>0.25</v>
      </c>
      <c r="C13" s="51">
        <v>0.25</v>
      </c>
      <c r="D13" s="51">
        <v>0.25</v>
      </c>
      <c r="E13" s="172">
        <v>0.375</v>
      </c>
      <c r="F13" s="56" t="str">
        <f>IF(Tim!F15="","",Tim!F15)</f>
        <v>RF</v>
      </c>
      <c r="G13" s="53" t="str">
        <f>IF(Tim!G15="","",Tim!G15)</f>
        <v/>
      </c>
      <c r="H13" s="53" t="str">
        <f>IF(Tim!H15="","",Tim!H15)</f>
        <v/>
      </c>
      <c r="I13" s="53" t="str">
        <f>IF(Tim!I15="","",Tim!I15)</f>
        <v/>
      </c>
      <c r="J13" s="53" t="str">
        <f>IF(Tim!J15="","",Tim!J15)</f>
        <v/>
      </c>
      <c r="K13" s="53" t="str">
        <f>IF(Tim!K15="","",Tim!K15)</f>
        <v/>
      </c>
      <c r="L13" s="53" t="str">
        <f>IF(Tim!L15="","",Tim!L15)</f>
        <v/>
      </c>
      <c r="M13" s="53" t="str">
        <f>IF(Tim!P15="","",Tim!P15)</f>
        <v/>
      </c>
      <c r="N13" s="53" t="str">
        <f>IF(Tim!Q15="","",Tim!Q15)</f>
        <v/>
      </c>
      <c r="O13" s="53" t="str">
        <f>IF(Tim!R15="","",Tim!R15)</f>
        <v/>
      </c>
      <c r="P13" s="53" t="str">
        <f>IF(Tim!S15="","",Tim!S15)</f>
        <v/>
      </c>
      <c r="Q13" s="55" t="str">
        <f>IF(Tim!T15="","",Tim!T15)</f>
        <v/>
      </c>
      <c r="R13" s="56" t="str">
        <f>IF(Tim!AY15="","",Tim!AY15)</f>
        <v>CR</v>
      </c>
      <c r="S13" s="53" t="str">
        <f>IF(Tim!AZ15="","",Tim!AZ15)</f>
        <v/>
      </c>
      <c r="T13" s="53" t="str">
        <f>IF(Tim!BA15="","",Tim!BA15)</f>
        <v/>
      </c>
      <c r="U13" s="53" t="str">
        <f>IF(Tim!BB15="","",Tim!BB15)</f>
        <v/>
      </c>
      <c r="V13" s="53" t="str">
        <f>IF(Tim!BC15="","",Tim!BC15)</f>
        <v/>
      </c>
      <c r="W13" s="53" t="str">
        <f>IF(Tim!BD15="","",Tim!BD15)</f>
        <v/>
      </c>
      <c r="X13" s="53" t="str">
        <f>IF(Tim!BE15="","",Tim!BE15)</f>
        <v/>
      </c>
      <c r="Y13" s="53" t="str">
        <f>IF(Tim!BF15="","",Tim!BF15)</f>
        <v/>
      </c>
      <c r="Z13" s="53" t="str">
        <f>IF(Tim!BI15="","",Tim!BI15)</f>
        <v/>
      </c>
      <c r="AA13" s="53" t="str">
        <f>IF(Tim!BJ15="","",Tim!BJ15)</f>
        <v/>
      </c>
      <c r="AB13" s="53" t="str">
        <f>IF(Tim!BK15="","",Tim!BK15)</f>
        <v/>
      </c>
      <c r="AC13" s="53" t="str">
        <f>IF(Tim!BL15="","",Tim!BL15)</f>
        <v/>
      </c>
      <c r="AD13" s="55" t="str">
        <f>IF(Tim!BM15="","",Tim!BM15)</f>
        <v/>
      </c>
      <c r="AE13" s="56" t="str">
        <f>IF(Tim!CQ15="","",Tim!CQ15)</f>
        <v>LA</v>
      </c>
      <c r="AF13" s="53" t="str">
        <f>IF(Tim!CR15="","",Tim!CR15)</f>
        <v/>
      </c>
      <c r="AG13" s="53" t="str">
        <f>IF(Tim!CS15="","",Tim!CS15)</f>
        <v/>
      </c>
      <c r="AH13" s="53" t="str">
        <f>IF(Tim!CT15="","",Tim!CT15)</f>
        <v/>
      </c>
      <c r="AI13" s="53" t="str">
        <f>IF(Tim!CU15="","",Tim!CU15)</f>
        <v/>
      </c>
      <c r="AJ13" s="53" t="str">
        <f>IF(Tim!CV15="","",Tim!CV15)</f>
        <v/>
      </c>
      <c r="AK13" s="53" t="str">
        <f>IF(Tim!CW15="","",Tim!CW15)</f>
        <v/>
      </c>
      <c r="AL13" s="53" t="str">
        <f>IF(Tim!DA15="","",Tim!DA15)</f>
        <v/>
      </c>
      <c r="AM13" s="53" t="str">
        <f>IF(Tim!DB15="","",Tim!DB15)</f>
        <v/>
      </c>
      <c r="AN13" s="53" t="str">
        <f>IF(Tim!DC15="","",Tim!DC15)</f>
        <v/>
      </c>
      <c r="AO13" s="53" t="str">
        <f>IF(Tim!DD15="","",Tim!DD15)</f>
        <v/>
      </c>
      <c r="AP13" s="53" t="str">
        <f>IF(Tim!DE15="","",Tim!DE15)</f>
        <v/>
      </c>
      <c r="AQ13" s="56" t="str">
        <f>IF(Tim!EL15="","",Tim!EL15)</f>
        <v>LF</v>
      </c>
      <c r="AR13" s="53" t="str">
        <f>IF(Tim!EM15="","",Tim!EM15)</f>
        <v/>
      </c>
      <c r="AS13" s="53" t="str">
        <f>IF(Tim!EN15="","",Tim!EN15)</f>
        <v/>
      </c>
      <c r="AT13" s="53" t="str">
        <f>IF(Tim!EO15="","",Tim!EO15)</f>
        <v/>
      </c>
      <c r="AU13" s="53" t="str">
        <f>IF(Tim!EP15="","",Tim!EP15)</f>
        <v/>
      </c>
      <c r="AV13" s="53" t="str">
        <f>IF(Tim!EQ15="","",Tim!EQ15)</f>
        <v/>
      </c>
      <c r="AW13" s="53" t="str">
        <f>IF(Tim!ER15="","",Tim!ER15)</f>
        <v/>
      </c>
      <c r="AX13" s="53" t="str">
        <f>IF(Tim!EV15="","",Tim!EV15)</f>
        <v/>
      </c>
      <c r="AY13" s="53" t="str">
        <f>IF(Tim!EW15="","",Tim!EW15)</f>
        <v/>
      </c>
      <c r="AZ13" s="53" t="str">
        <f>IF(Tim!EX15="","",Tim!EX15)</f>
        <v/>
      </c>
      <c r="BA13" s="53" t="str">
        <f>IF(Tim!EY15="","",Tim!EY15)</f>
        <v/>
      </c>
      <c r="BB13" s="53" t="str">
        <f>IF(Tim!EZ15="","",Tim!EZ15)</f>
        <v/>
      </c>
      <c r="BC13" s="56" t="str">
        <f>IF(Tim!GD15="","",Tim!GD15)</f>
        <v>MS</v>
      </c>
      <c r="BD13" s="53" t="str">
        <f>IF(Tim!GE15="","",Tim!GE15)</f>
        <v/>
      </c>
      <c r="BE13" s="53" t="str">
        <f>IF(Tim!GF15="","",Tim!GF15)</f>
        <v/>
      </c>
      <c r="BF13" s="53" t="str">
        <f>IF(Tim!GG15="","",Tim!GG15)</f>
        <v/>
      </c>
      <c r="BG13" s="53" t="str">
        <f>IF(Tim!GH15="","",Tim!GH15)</f>
        <v/>
      </c>
      <c r="BH13" s="53" t="str">
        <f>IF(Tim!GI15="","",Tim!GI15)</f>
        <v/>
      </c>
      <c r="BI13" s="53" t="str">
        <f>IF(Tim!GJ15="","",Tim!GJ15)</f>
        <v/>
      </c>
      <c r="BJ13" s="53" t="str">
        <f>IF(Tim!GN15="","",Tim!GN15)</f>
        <v>CR</v>
      </c>
      <c r="BK13" s="53" t="str">
        <f>IF(Tim!GO15="","",Tim!GO15)</f>
        <v/>
      </c>
      <c r="BL13" s="53" t="str">
        <f>IF(Tim!GP15="","",Tim!GP15)</f>
        <v/>
      </c>
      <c r="BM13" s="53" t="str">
        <f>IF(Tim!GQ15="","",Tim!GQ15)</f>
        <v/>
      </c>
      <c r="BN13" s="53" t="str">
        <f>IF(Tim!GR15="","",Tim!GR15)</f>
        <v/>
      </c>
      <c r="BO13" s="56" t="str">
        <f>IF(Tim!HV15="","",Tim!HV15)</f>
        <v>RF</v>
      </c>
      <c r="BP13" s="210" t="str">
        <f>IF(Tim!HW15="","",Tim!HW15)</f>
        <v/>
      </c>
      <c r="BQ13" s="210" t="str">
        <f>IF(Tim!HX15="","",Tim!HX15)</f>
        <v/>
      </c>
      <c r="BR13" s="210" t="str">
        <f>IF(Tim!HY15="","",Tim!HY15)</f>
        <v/>
      </c>
      <c r="BS13" s="210" t="str">
        <f>IF(Tim!HZ15="","",Tim!HZ15)</f>
        <v/>
      </c>
      <c r="BT13" s="210" t="str">
        <f>IF(Tim!IA15="","",Tim!IA15)</f>
        <v/>
      </c>
      <c r="BU13" s="211" t="str">
        <f>IF(Tim!IB15="","",Tim!IB15)</f>
        <v/>
      </c>
      <c r="BV13" s="53" t="str">
        <f>IF(Tim!IF15="","",Tim!IF15)</f>
        <v/>
      </c>
      <c r="BW13" s="53" t="str">
        <f>IF(Tim!IG15="","",Tim!IG15)</f>
        <v/>
      </c>
      <c r="BX13" s="53" t="str">
        <f>IF(Tim!IH15="","",Tim!IH15)</f>
        <v/>
      </c>
      <c r="BY13" s="53" t="str">
        <f>IF(Tim!II15="","",Tim!II15)</f>
        <v/>
      </c>
      <c r="BZ13" s="53" t="str">
        <f>IF(Tim!IJ15="","",Tim!IJ15)</f>
        <v/>
      </c>
      <c r="CA13" s="56" t="str">
        <f>IF(Tim!JN15="","",Tim!JN15)</f>
        <v/>
      </c>
      <c r="CB13" s="57" t="str">
        <f>IF(Tim!JO15="","",Tim!JO15)</f>
        <v/>
      </c>
      <c r="CC13" s="57" t="str">
        <f>IF(Tim!JP15="","",Tim!JP15)</f>
        <v/>
      </c>
      <c r="CD13" s="57" t="str">
        <f>IF(Tim!JQ15="","",Tim!JQ15)</f>
        <v/>
      </c>
      <c r="CE13" s="57" t="str">
        <f>IF(Tim!JR15="","",Tim!JR15)</f>
        <v/>
      </c>
      <c r="CF13" s="57" t="str">
        <f>IF(Tim!JS15="","",Tim!JS15)</f>
        <v/>
      </c>
      <c r="CG13" s="57" t="str">
        <f>IF(Tim!JT15="","",Tim!JT15)</f>
        <v/>
      </c>
      <c r="CH13" s="53" t="str">
        <f>IF(Tim!JX15="","",Tim!JX15)</f>
        <v/>
      </c>
      <c r="CI13" s="53" t="str">
        <f>IF(Tim!JY15="","",Tim!JY15)</f>
        <v/>
      </c>
      <c r="CJ13" s="53" t="str">
        <f>IF(Tim!JZ15="","",Tim!JZ15)</f>
        <v/>
      </c>
      <c r="CK13" s="53" t="str">
        <f>IF(Tim!KA15="","",Tim!KA15)</f>
        <v/>
      </c>
      <c r="CL13" s="53" t="str">
        <f>IF(Tim!KB15="","",Tim!KB15)</f>
        <v/>
      </c>
      <c r="CM13" s="52">
        <v>0.375</v>
      </c>
    </row>
    <row r="14" spans="2:91" ht="10.5" customHeight="1">
      <c r="B14" s="51">
        <v>0.25</v>
      </c>
      <c r="C14" s="51">
        <v>0.25</v>
      </c>
      <c r="D14" s="51">
        <v>0.25</v>
      </c>
      <c r="E14" s="172">
        <v>0.38541666666666602</v>
      </c>
      <c r="F14" s="56" t="str">
        <f>IF(Tim!F16="","",Tim!F16)</f>
        <v>RF</v>
      </c>
      <c r="G14" s="53" t="str">
        <f>IF(Tim!G16="","",Tim!G16)</f>
        <v/>
      </c>
      <c r="H14" s="53" t="str">
        <f>IF(Tim!H16="","",Tim!H16)</f>
        <v/>
      </c>
      <c r="I14" s="53" t="str">
        <f>IF(Tim!I16="","",Tim!I16)</f>
        <v/>
      </c>
      <c r="J14" s="53" t="str">
        <f>IF(Tim!J16="","",Tim!J16)</f>
        <v/>
      </c>
      <c r="K14" s="53" t="str">
        <f>IF(Tim!K16="","",Tim!K16)</f>
        <v/>
      </c>
      <c r="L14" s="53" t="str">
        <f>IF(Tim!L16="","",Tim!L16)</f>
        <v/>
      </c>
      <c r="M14" s="53" t="str">
        <f>IF(Tim!P16="","",Tim!P16)</f>
        <v/>
      </c>
      <c r="N14" s="53" t="str">
        <f>IF(Tim!Q16="","",Tim!Q16)</f>
        <v/>
      </c>
      <c r="O14" s="53" t="str">
        <f>IF(Tim!R16="","",Tim!R16)</f>
        <v/>
      </c>
      <c r="P14" s="53" t="str">
        <f>IF(Tim!S16="","",Tim!S16)</f>
        <v/>
      </c>
      <c r="Q14" s="55" t="str">
        <f>IF(Tim!T16="","",Tim!T16)</f>
        <v/>
      </c>
      <c r="R14" s="56" t="str">
        <f>IF(Tim!AY16="","",Tim!AY16)</f>
        <v>CR</v>
      </c>
      <c r="S14" s="53" t="str">
        <f>IF(Tim!AZ16="","",Tim!AZ16)</f>
        <v/>
      </c>
      <c r="T14" s="53" t="str">
        <f>IF(Tim!BA16="","",Tim!BA16)</f>
        <v/>
      </c>
      <c r="U14" s="53" t="str">
        <f>IF(Tim!BB16="","",Tim!BB16)</f>
        <v/>
      </c>
      <c r="V14" s="53" t="str">
        <f>IF(Tim!BC16="","",Tim!BC16)</f>
        <v/>
      </c>
      <c r="W14" s="53" t="str">
        <f>IF(Tim!BD16="","",Tim!BD16)</f>
        <v/>
      </c>
      <c r="X14" s="53" t="str">
        <f>IF(Tim!BE16="","",Tim!BE16)</f>
        <v/>
      </c>
      <c r="Y14" s="53" t="str">
        <f>IF(Tim!BF16="","",Tim!BF16)</f>
        <v/>
      </c>
      <c r="Z14" s="53" t="str">
        <f>IF(Tim!BI16="","",Tim!BI16)</f>
        <v/>
      </c>
      <c r="AA14" s="53" t="str">
        <f>IF(Tim!BJ16="","",Tim!BJ16)</f>
        <v/>
      </c>
      <c r="AB14" s="53" t="str">
        <f>IF(Tim!BK16="","",Tim!BK16)</f>
        <v/>
      </c>
      <c r="AC14" s="53" t="str">
        <f>IF(Tim!BL16="","",Tim!BL16)</f>
        <v/>
      </c>
      <c r="AD14" s="55" t="str">
        <f>IF(Tim!BM16="","",Tim!BM16)</f>
        <v/>
      </c>
      <c r="AE14" s="56" t="str">
        <f>IF(Tim!CQ16="","",Tim!CQ16)</f>
        <v>LA</v>
      </c>
      <c r="AF14" s="53" t="str">
        <f>IF(Tim!CR16="","",Tim!CR16)</f>
        <v/>
      </c>
      <c r="AG14" s="53" t="str">
        <f>IF(Tim!CS16="","",Tim!CS16)</f>
        <v/>
      </c>
      <c r="AH14" s="53" t="str">
        <f>IF(Tim!CT16="","",Tim!CT16)</f>
        <v/>
      </c>
      <c r="AI14" s="53" t="str">
        <f>IF(Tim!CU16="","",Tim!CU16)</f>
        <v/>
      </c>
      <c r="AJ14" s="53" t="str">
        <f>IF(Tim!CV16="","",Tim!CV16)</f>
        <v/>
      </c>
      <c r="AK14" s="53" t="str">
        <f>IF(Tim!CW16="","",Tim!CW16)</f>
        <v/>
      </c>
      <c r="AL14" s="53" t="str">
        <f>IF(Tim!DA16="","",Tim!DA16)</f>
        <v/>
      </c>
      <c r="AM14" s="53" t="str">
        <f>IF(Tim!DB16="","",Tim!DB16)</f>
        <v/>
      </c>
      <c r="AN14" s="53" t="str">
        <f>IF(Tim!DC16="","",Tim!DC16)</f>
        <v/>
      </c>
      <c r="AO14" s="53" t="str">
        <f>IF(Tim!DD16="","",Tim!DD16)</f>
        <v/>
      </c>
      <c r="AP14" s="53" t="str">
        <f>IF(Tim!DE16="","",Tim!DE16)</f>
        <v/>
      </c>
      <c r="AQ14" s="56" t="e">
        <f>IF(Tim!#REF!="","",Tim!#REF!)</f>
        <v>#REF!</v>
      </c>
      <c r="AR14" s="53" t="str">
        <f>IF(Tim!EM16="","",Tim!EM16)</f>
        <v/>
      </c>
      <c r="AS14" s="53" t="str">
        <f>IF(Tim!EN16="","",Tim!EN16)</f>
        <v/>
      </c>
      <c r="AT14" s="53" t="str">
        <f>IF(Tim!EO16="","",Tim!EO16)</f>
        <v/>
      </c>
      <c r="AU14" s="53" t="str">
        <f>IF(Tim!EP16="","",Tim!EP16)</f>
        <v/>
      </c>
      <c r="AV14" s="53" t="str">
        <f>IF(Tim!EQ16="","",Tim!EQ16)</f>
        <v/>
      </c>
      <c r="AW14" s="53" t="str">
        <f>IF(Tim!ER16="","",Tim!ER16)</f>
        <v/>
      </c>
      <c r="AX14" s="53" t="str">
        <f>IF(Tim!EV16="","",Tim!EV16)</f>
        <v/>
      </c>
      <c r="AY14" s="53" t="str">
        <f>IF(Tim!EW16="","",Tim!EW16)</f>
        <v/>
      </c>
      <c r="AZ14" s="53" t="str">
        <f>IF(Tim!EX16="","",Tim!EX16)</f>
        <v/>
      </c>
      <c r="BA14" s="53" t="str">
        <f>IF(Tim!EY16="","",Tim!EY16)</f>
        <v/>
      </c>
      <c r="BB14" s="53" t="str">
        <f>IF(Tim!EZ16="","",Tim!EZ16)</f>
        <v/>
      </c>
      <c r="BC14" s="56" t="str">
        <f>IF(Tim!GD16="","",Tim!GD16)</f>
        <v>MS</v>
      </c>
      <c r="BD14" s="53" t="str">
        <f>IF(Tim!GE16="","",Tim!GE16)</f>
        <v/>
      </c>
      <c r="BE14" s="53" t="str">
        <f>IF(Tim!GF16="","",Tim!GF16)</f>
        <v/>
      </c>
      <c r="BF14" s="53" t="str">
        <f>IF(Tim!GG16="","",Tim!GG16)</f>
        <v/>
      </c>
      <c r="BG14" s="53" t="str">
        <f>IF(Tim!GH16="","",Tim!GH16)</f>
        <v/>
      </c>
      <c r="BH14" s="53" t="str">
        <f>IF(Tim!GI16="","",Tim!GI16)</f>
        <v/>
      </c>
      <c r="BI14" s="53" t="str">
        <f>IF(Tim!GJ16="","",Tim!GJ16)</f>
        <v/>
      </c>
      <c r="BJ14" s="53" t="str">
        <f>IF(Tim!GN16="","",Tim!GN16)</f>
        <v>CR</v>
      </c>
      <c r="BK14" s="53" t="str">
        <f>IF(Tim!GO16="","",Tim!GO16)</f>
        <v/>
      </c>
      <c r="BL14" s="53" t="str">
        <f>IF(Tim!GP16="","",Tim!GP16)</f>
        <v/>
      </c>
      <c r="BM14" s="53" t="str">
        <f>IF(Tim!GQ16="","",Tim!GQ16)</f>
        <v/>
      </c>
      <c r="BN14" s="53" t="str">
        <f>IF(Tim!GR16="","",Tim!GR16)</f>
        <v/>
      </c>
      <c r="BO14" s="56" t="str">
        <f>IF(Tim!HV16="","",Tim!HV16)</f>
        <v>RF</v>
      </c>
      <c r="BP14" s="53" t="str">
        <f>IF(Tim!HW16="","",Tim!HW16)</f>
        <v/>
      </c>
      <c r="BQ14" s="53" t="str">
        <f>IF(Tim!HX16="","",Tim!HX16)</f>
        <v/>
      </c>
      <c r="BR14" s="53" t="str">
        <f>IF(Tim!HY16="","",Tim!HY16)</f>
        <v/>
      </c>
      <c r="BS14" s="53" t="str">
        <f>IF(Tim!HZ16="","",Tim!HZ16)</f>
        <v/>
      </c>
      <c r="BT14" s="53" t="str">
        <f>IF(Tim!IA16="","",Tim!IA16)</f>
        <v/>
      </c>
      <c r="BU14" s="55" t="str">
        <f>IF(Tim!IB16="","",Tim!IB16)</f>
        <v/>
      </c>
      <c r="BV14" s="53" t="str">
        <f>IF(Tim!IF16="","",Tim!IF16)</f>
        <v/>
      </c>
      <c r="BW14" s="53" t="str">
        <f>IF(Tim!IG16="","",Tim!IG16)</f>
        <v/>
      </c>
      <c r="BX14" s="53" t="str">
        <f>IF(Tim!IH16="","",Tim!IH16)</f>
        <v/>
      </c>
      <c r="BY14" s="53" t="str">
        <f>IF(Tim!II16="","",Tim!II16)</f>
        <v/>
      </c>
      <c r="BZ14" s="53" t="str">
        <f>IF(Tim!IJ16="","",Tim!IJ16)</f>
        <v/>
      </c>
      <c r="CA14" s="59" t="str">
        <f>IF(Tim!JN16="","",Tim!JN16)</f>
        <v/>
      </c>
      <c r="CB14" s="59" t="str">
        <f>IF(Tim!JO16="","",Tim!JO16)</f>
        <v/>
      </c>
      <c r="CC14" s="59" t="str">
        <f>IF(Tim!JP16="","",Tim!JP16)</f>
        <v/>
      </c>
      <c r="CD14" s="59" t="str">
        <f>IF(Tim!JQ16="","",Tim!JQ16)</f>
        <v/>
      </c>
      <c r="CE14" s="59" t="str">
        <f>IF(Tim!JR16="","",Tim!JR16)</f>
        <v/>
      </c>
      <c r="CF14" s="59" t="str">
        <f>IF(Tim!JS16="","",Tim!JS16)</f>
        <v/>
      </c>
      <c r="CG14" s="59" t="str">
        <f>IF(Tim!JT16="","",Tim!JT16)</f>
        <v/>
      </c>
      <c r="CH14" s="53" t="str">
        <f>IF(Tim!JX16="","",Tim!JX16)</f>
        <v/>
      </c>
      <c r="CI14" s="53" t="str">
        <f>IF(Tim!JY16="","",Tim!JY16)</f>
        <v/>
      </c>
      <c r="CJ14" s="53" t="str">
        <f>IF(Tim!JZ16="","",Tim!JZ16)</f>
        <v/>
      </c>
      <c r="CK14" s="53" t="str">
        <f>IF(Tim!KA16="","",Tim!KA16)</f>
        <v/>
      </c>
      <c r="CL14" s="53" t="str">
        <f>IF(Tim!KB16="","",Tim!KB16)</f>
        <v/>
      </c>
      <c r="CM14" s="52">
        <v>0.38541666666666602</v>
      </c>
    </row>
    <row r="15" spans="2:91" ht="10.5" customHeight="1">
      <c r="B15" s="51">
        <v>0.25</v>
      </c>
      <c r="C15" s="51">
        <v>0.25</v>
      </c>
      <c r="D15" s="51">
        <v>0.25</v>
      </c>
      <c r="E15" s="172">
        <v>0.39583333333333298</v>
      </c>
      <c r="F15" s="56" t="str">
        <f>IF(Tim!F17="","",Tim!F17)</f>
        <v>RF</v>
      </c>
      <c r="G15" s="53" t="str">
        <f>IF(Tim!G17="","",Tim!G17)</f>
        <v/>
      </c>
      <c r="H15" s="53" t="str">
        <f>IF(Tim!H17="","",Tim!H17)</f>
        <v/>
      </c>
      <c r="I15" s="53" t="str">
        <f>IF(Tim!I17="","",Tim!I17)</f>
        <v/>
      </c>
      <c r="J15" s="53" t="str">
        <f>IF(Tim!J17="","",Tim!J17)</f>
        <v/>
      </c>
      <c r="K15" s="53" t="str">
        <f>IF(Tim!K17="","",Tim!K17)</f>
        <v/>
      </c>
      <c r="L15" s="53" t="str">
        <f>IF(Tim!L17="","",Tim!L17)</f>
        <v/>
      </c>
      <c r="M15" s="53" t="str">
        <f>IF(Tim!P17="","",Tim!P17)</f>
        <v/>
      </c>
      <c r="N15" s="53" t="str">
        <f>IF(Tim!Q17="","",Tim!Q17)</f>
        <v/>
      </c>
      <c r="O15" s="53" t="str">
        <f>IF(Tim!R17="","",Tim!R17)</f>
        <v/>
      </c>
      <c r="P15" s="53" t="str">
        <f>IF(Tim!S17="","",Tim!S17)</f>
        <v/>
      </c>
      <c r="Q15" s="55" t="str">
        <f>IF(Tim!T17="","",Tim!T17)</f>
        <v/>
      </c>
      <c r="R15" s="56" t="str">
        <f>IF(Tim!AY17="","",Tim!AY17)</f>
        <v>RF</v>
      </c>
      <c r="S15" s="53" t="str">
        <f>IF(Tim!AZ17="","",Tim!AZ17)</f>
        <v/>
      </c>
      <c r="T15" s="53" t="str">
        <f>IF(Tim!BA17="","",Tim!BA17)</f>
        <v/>
      </c>
      <c r="U15" s="53" t="str">
        <f>IF(Tim!BB17="","",Tim!BB17)</f>
        <v/>
      </c>
      <c r="V15" s="53" t="str">
        <f>IF(Tim!BC17="","",Tim!BC17)</f>
        <v/>
      </c>
      <c r="W15" s="53" t="str">
        <f>IF(Tim!BD17="","",Tim!BD17)</f>
        <v/>
      </c>
      <c r="X15" s="53" t="str">
        <f>IF(Tim!BE17="","",Tim!BE17)</f>
        <v/>
      </c>
      <c r="Y15" s="53" t="str">
        <f>IF(Tim!BF17="","",Tim!BF17)</f>
        <v/>
      </c>
      <c r="Z15" s="53" t="str">
        <f>IF(Tim!BI17="","",Tim!BI17)</f>
        <v/>
      </c>
      <c r="AA15" s="53" t="str">
        <f>IF(Tim!BJ17="","",Tim!BJ17)</f>
        <v/>
      </c>
      <c r="AB15" s="53" t="str">
        <f>IF(Tim!BK17="","",Tim!BK17)</f>
        <v/>
      </c>
      <c r="AC15" s="53" t="str">
        <f>IF(Tim!BL17="","",Tim!BL17)</f>
        <v/>
      </c>
      <c r="AD15" s="55" t="str">
        <f>IF(Tim!BM17="","",Tim!BM17)</f>
        <v/>
      </c>
      <c r="AE15" s="56" t="str">
        <f>IF(Tim!CQ17="","",Tim!CQ17)</f>
        <v>LA</v>
      </c>
      <c r="AF15" s="53" t="str">
        <f>IF(Tim!CR17="","",Tim!CR17)</f>
        <v/>
      </c>
      <c r="AG15" s="53" t="str">
        <f>IF(Tim!CS17="","",Tim!CS17)</f>
        <v/>
      </c>
      <c r="AH15" s="53" t="str">
        <f>IF(Tim!CT17="","",Tim!CT17)</f>
        <v/>
      </c>
      <c r="AI15" s="53" t="str">
        <f>IF(Tim!CU17="","",Tim!CU17)</f>
        <v/>
      </c>
      <c r="AJ15" s="53" t="str">
        <f>IF(Tim!CV17="","",Tim!CV17)</f>
        <v/>
      </c>
      <c r="AK15" s="53" t="str">
        <f>IF(Tim!CW17="","",Tim!CW17)</f>
        <v/>
      </c>
      <c r="AL15" s="53" t="str">
        <f>IF(Tim!DA17="","",Tim!DA17)</f>
        <v/>
      </c>
      <c r="AM15" s="53" t="str">
        <f>IF(Tim!DB17="","",Tim!DB17)</f>
        <v/>
      </c>
      <c r="AN15" s="53" t="str">
        <f>IF(Tim!DC17="","",Tim!DC17)</f>
        <v/>
      </c>
      <c r="AO15" s="53" t="str">
        <f>IF(Tim!DD17="","",Tim!DD17)</f>
        <v/>
      </c>
      <c r="AP15" s="53" t="str">
        <f>IF(Tim!DE17="","",Tim!DE17)</f>
        <v/>
      </c>
      <c r="AQ15" s="56" t="str">
        <f>IF(Tim!EL16="","",Tim!EL16)</f>
        <v>LF</v>
      </c>
      <c r="AR15" s="53" t="str">
        <f>IF(Tim!EM17="","",Tim!EM17)</f>
        <v/>
      </c>
      <c r="AS15" s="53" t="str">
        <f>IF(Tim!EN17="","",Tim!EN17)</f>
        <v/>
      </c>
      <c r="AT15" s="53" t="str">
        <f>IF(Tim!EO17="","",Tim!EO17)</f>
        <v/>
      </c>
      <c r="AU15" s="53" t="str">
        <f>IF(Tim!EP17="","",Tim!EP17)</f>
        <v/>
      </c>
      <c r="AV15" s="53" t="str">
        <f>IF(Tim!EQ17="","",Tim!EQ17)</f>
        <v/>
      </c>
      <c r="AW15" s="53" t="str">
        <f>IF(Tim!ER17="","",Tim!ER17)</f>
        <v/>
      </c>
      <c r="AX15" s="53" t="str">
        <f>IF(Tim!EV17="","",Tim!EV17)</f>
        <v/>
      </c>
      <c r="AY15" s="53" t="str">
        <f>IF(Tim!EW17="","",Tim!EW17)</f>
        <v/>
      </c>
      <c r="AZ15" s="53" t="str">
        <f>IF(Tim!EX17="","",Tim!EX17)</f>
        <v/>
      </c>
      <c r="BA15" s="53" t="str">
        <f>IF(Tim!EY17="","",Tim!EY17)</f>
        <v/>
      </c>
      <c r="BB15" s="53" t="str">
        <f>IF(Tim!EZ17="","",Tim!EZ17)</f>
        <v/>
      </c>
      <c r="BC15" s="56" t="str">
        <f>IF(Tim!GD17="","",Tim!GD17)</f>
        <v>MS</v>
      </c>
      <c r="BD15" s="53" t="str">
        <f>IF(Tim!GE17="","",Tim!GE17)</f>
        <v/>
      </c>
      <c r="BE15" s="53" t="str">
        <f>IF(Tim!GF17="","",Tim!GF17)</f>
        <v/>
      </c>
      <c r="BF15" s="53" t="str">
        <f>IF(Tim!GG17="","",Tim!GG17)</f>
        <v/>
      </c>
      <c r="BG15" s="53" t="str">
        <f>IF(Tim!GH17="","",Tim!GH17)</f>
        <v/>
      </c>
      <c r="BH15" s="53" t="str">
        <f>IF(Tim!GI17="","",Tim!GI17)</f>
        <v/>
      </c>
      <c r="BI15" s="53" t="str">
        <f>IF(Tim!GJ17="","",Tim!GJ17)</f>
        <v/>
      </c>
      <c r="BJ15" s="53" t="str">
        <f>IF(Tim!GN17="","",Tim!GN17)</f>
        <v>CR</v>
      </c>
      <c r="BK15" s="53" t="str">
        <f>IF(Tim!GO17="","",Tim!GO17)</f>
        <v/>
      </c>
      <c r="BL15" s="53" t="str">
        <f>IF(Tim!GP17="","",Tim!GP17)</f>
        <v/>
      </c>
      <c r="BM15" s="53" t="str">
        <f>IF(Tim!GQ17="","",Tim!GQ17)</f>
        <v/>
      </c>
      <c r="BN15" s="53" t="str">
        <f>IF(Tim!GR17="","",Tim!GR17)</f>
        <v/>
      </c>
      <c r="BO15" s="56" t="str">
        <f>IF(Tim!HV17="","",Tim!HV17)</f>
        <v>RF</v>
      </c>
      <c r="BP15" s="53" t="str">
        <f>IF(Tim!HW17="","",Tim!HW17)</f>
        <v/>
      </c>
      <c r="BQ15" s="53" t="str">
        <f>IF(Tim!HX17="","",Tim!HX17)</f>
        <v/>
      </c>
      <c r="BR15" s="53" t="str">
        <f>IF(Tim!HY17="","",Tim!HY17)</f>
        <v/>
      </c>
      <c r="BS15" s="53" t="str">
        <f>IF(Tim!HZ17="","",Tim!HZ17)</f>
        <v/>
      </c>
      <c r="BT15" s="53" t="str">
        <f>IF(Tim!IA17="","",Tim!IA17)</f>
        <v/>
      </c>
      <c r="BU15" s="55" t="str">
        <f>IF(Tim!IB17="","",Tim!IB17)</f>
        <v/>
      </c>
      <c r="BV15" s="53" t="str">
        <f>IF(Tim!IF17="","",Tim!IF17)</f>
        <v/>
      </c>
      <c r="BW15" s="53" t="str">
        <f>IF(Tim!IG17="","",Tim!IG17)</f>
        <v/>
      </c>
      <c r="BX15" s="53" t="str">
        <f>IF(Tim!IH17="","",Tim!IH17)</f>
        <v/>
      </c>
      <c r="BY15" s="53" t="str">
        <f>IF(Tim!II17="","",Tim!II17)</f>
        <v/>
      </c>
      <c r="BZ15" s="53" t="str">
        <f>IF(Tim!IJ17="","",Tim!IJ17)</f>
        <v/>
      </c>
      <c r="CA15" s="59" t="str">
        <f>IF(Tim!JN17="","",Tim!JN17)</f>
        <v>RF</v>
      </c>
      <c r="CB15" s="59" t="str">
        <f>IF(Tim!JO17="","",Tim!JO17)</f>
        <v/>
      </c>
      <c r="CC15" s="59" t="str">
        <f>IF(Tim!JP17="","",Tim!JP17)</f>
        <v/>
      </c>
      <c r="CD15" s="59" t="str">
        <f>IF(Tim!JQ17="","",Tim!JQ17)</f>
        <v/>
      </c>
      <c r="CE15" s="59" t="str">
        <f>IF(Tim!JR17="","",Tim!JR17)</f>
        <v/>
      </c>
      <c r="CF15" s="59" t="str">
        <f>IF(Tim!JS17="","",Tim!JS17)</f>
        <v/>
      </c>
      <c r="CG15" s="59" t="str">
        <f>IF(Tim!JT17="","",Tim!JT17)</f>
        <v/>
      </c>
      <c r="CH15" s="53" t="str">
        <f>IF(Tim!JX17="","",Tim!JX17)</f>
        <v/>
      </c>
      <c r="CI15" s="53" t="str">
        <f>IF(Tim!JY17="","",Tim!JY17)</f>
        <v/>
      </c>
      <c r="CJ15" s="53" t="str">
        <f>IF(Tim!JZ17="","",Tim!JZ17)</f>
        <v/>
      </c>
      <c r="CK15" s="53" t="str">
        <f>IF(Tim!KA17="","",Tim!KA17)</f>
        <v/>
      </c>
      <c r="CL15" s="53" t="str">
        <f>IF(Tim!KB17="","",Tim!KB17)</f>
        <v/>
      </c>
      <c r="CM15" s="52">
        <v>0.39583333333333298</v>
      </c>
    </row>
    <row r="16" spans="2:91" ht="10.5" customHeight="1">
      <c r="B16" s="51">
        <v>0.25</v>
      </c>
      <c r="C16" s="51">
        <v>0.25</v>
      </c>
      <c r="D16" s="51">
        <v>0.25</v>
      </c>
      <c r="E16" s="172">
        <v>0.40625</v>
      </c>
      <c r="F16" s="56" t="str">
        <f>IF(Tim!F18="","",Tim!F18)</f>
        <v>HA</v>
      </c>
      <c r="G16" s="53" t="str">
        <f>IF(Tim!G18="","",Tim!G18)</f>
        <v/>
      </c>
      <c r="H16" s="53" t="str">
        <f>IF(Tim!H18="","",Tim!H18)</f>
        <v/>
      </c>
      <c r="I16" s="53" t="str">
        <f>IF(Tim!I18="","",Tim!I18)</f>
        <v/>
      </c>
      <c r="J16" s="53" t="str">
        <f>IF(Tim!J18="","",Tim!J18)</f>
        <v/>
      </c>
      <c r="K16" s="53" t="str">
        <f>IF(Tim!K18="","",Tim!K18)</f>
        <v/>
      </c>
      <c r="L16" s="53" t="str">
        <f>IF(Tim!L18="","",Tim!L18)</f>
        <v/>
      </c>
      <c r="M16" s="53" t="str">
        <f>IF(Tim!P18="","",Tim!P18)</f>
        <v/>
      </c>
      <c r="N16" s="53" t="str">
        <f>IF(Tim!Q18="","",Tim!Q18)</f>
        <v/>
      </c>
      <c r="O16" s="53" t="str">
        <f>IF(Tim!R18="","",Tim!R18)</f>
        <v/>
      </c>
      <c r="P16" s="53" t="str">
        <f>IF(Tim!S18="","",Tim!S18)</f>
        <v/>
      </c>
      <c r="Q16" s="55" t="str">
        <f>IF(Tim!T18="","",Tim!T18)</f>
        <v/>
      </c>
      <c r="R16" s="56" t="str">
        <f>IF(Tim!AY18="","",Tim!AY18)</f>
        <v>RF</v>
      </c>
      <c r="S16" s="53" t="str">
        <f>IF(Tim!AZ18="","",Tim!AZ18)</f>
        <v/>
      </c>
      <c r="T16" s="53" t="str">
        <f>IF(Tim!BA18="","",Tim!BA18)</f>
        <v/>
      </c>
      <c r="U16" s="53" t="str">
        <f>IF(Tim!BB18="","",Tim!BB18)</f>
        <v/>
      </c>
      <c r="V16" s="53" t="str">
        <f>IF(Tim!BC18="","",Tim!BC18)</f>
        <v/>
      </c>
      <c r="W16" s="53" t="str">
        <f>IF(Tim!BD18="","",Tim!BD18)</f>
        <v/>
      </c>
      <c r="X16" s="53" t="str">
        <f>IF(Tim!BE18="","",Tim!BE18)</f>
        <v/>
      </c>
      <c r="Y16" s="53" t="str">
        <f>IF(Tim!BF18="","",Tim!BF18)</f>
        <v/>
      </c>
      <c r="Z16" s="53" t="str">
        <f>IF(Tim!BI18="","",Tim!BI18)</f>
        <v/>
      </c>
      <c r="AA16" s="53" t="str">
        <f>IF(Tim!BJ18="","",Tim!BJ18)</f>
        <v/>
      </c>
      <c r="AB16" s="53" t="str">
        <f>IF(Tim!BK18="","",Tim!BK18)</f>
        <v/>
      </c>
      <c r="AC16" s="53" t="str">
        <f>IF(Tim!BL18="","",Tim!BL18)</f>
        <v/>
      </c>
      <c r="AD16" s="55" t="str">
        <f>IF(Tim!BM18="","",Tim!BM18)</f>
        <v/>
      </c>
      <c r="AE16" s="56" t="str">
        <f>IF(Tim!CQ18="","",Tim!CQ18)</f>
        <v>LA</v>
      </c>
      <c r="AF16" s="53" t="str">
        <f>IF(Tim!CR18="","",Tim!CR18)</f>
        <v>HA</v>
      </c>
      <c r="AG16" s="53" t="str">
        <f>IF(Tim!CS18="","",Tim!CS18)</f>
        <v/>
      </c>
      <c r="AH16" s="53" t="str">
        <f>IF(Tim!CT18="","",Tim!CT18)</f>
        <v/>
      </c>
      <c r="AI16" s="53" t="str">
        <f>IF(Tim!CU18="","",Tim!CU18)</f>
        <v/>
      </c>
      <c r="AJ16" s="53" t="str">
        <f>IF(Tim!CV18="","",Tim!CV18)</f>
        <v/>
      </c>
      <c r="AK16" s="53" t="str">
        <f>IF(Tim!CW18="","",Tim!CW18)</f>
        <v/>
      </c>
      <c r="AL16" s="53" t="str">
        <f>IF(Tim!DA18="","",Tim!DA18)</f>
        <v/>
      </c>
      <c r="AM16" s="53" t="str">
        <f>IF(Tim!DB18="","",Tim!DB18)</f>
        <v/>
      </c>
      <c r="AN16" s="53" t="str">
        <f>IF(Tim!DC18="","",Tim!DC18)</f>
        <v/>
      </c>
      <c r="AO16" s="53" t="str">
        <f>IF(Tim!DD18="","",Tim!DD18)</f>
        <v/>
      </c>
      <c r="AP16" s="53" t="str">
        <f>IF(Tim!DE18="","",Tim!DE18)</f>
        <v/>
      </c>
      <c r="AQ16" s="56" t="str">
        <f>IF(Tim!EL18="","",Tim!EL18)</f>
        <v>CR</v>
      </c>
      <c r="AR16" s="53" t="str">
        <f>IF(Tim!EM18="","",Tim!EM18)</f>
        <v/>
      </c>
      <c r="AS16" s="53" t="str">
        <f>IF(Tim!EN18="","",Tim!EN18)</f>
        <v/>
      </c>
      <c r="AT16" s="53" t="str">
        <f>IF(Tim!EO18="","",Tim!EO18)</f>
        <v/>
      </c>
      <c r="AU16" s="53" t="str">
        <f>IF(Tim!EP18="","",Tim!EP18)</f>
        <v/>
      </c>
      <c r="AV16" s="53" t="str">
        <f>IF(Tim!EQ18="","",Tim!EQ18)</f>
        <v/>
      </c>
      <c r="AW16" s="53" t="str">
        <f>IF(Tim!ER18="","",Tim!ER18)</f>
        <v/>
      </c>
      <c r="AX16" s="53" t="str">
        <f>IF(Tim!EV18="","",Tim!EV18)</f>
        <v/>
      </c>
      <c r="AY16" s="53" t="str">
        <f>IF(Tim!EW18="","",Tim!EW18)</f>
        <v/>
      </c>
      <c r="AZ16" s="53" t="str">
        <f>IF(Tim!EX18="","",Tim!EX18)</f>
        <v/>
      </c>
      <c r="BA16" s="53" t="str">
        <f>IF(Tim!EY18="","",Tim!EY18)</f>
        <v/>
      </c>
      <c r="BB16" s="53" t="str">
        <f>IF(Tim!EZ18="","",Tim!EZ18)</f>
        <v/>
      </c>
      <c r="BC16" s="56" t="str">
        <f>IF(Tim!GD18="","",Tim!GD18)</f>
        <v>MS</v>
      </c>
      <c r="BD16" s="53" t="str">
        <f>IF(Tim!GE18="","",Tim!GE18)</f>
        <v/>
      </c>
      <c r="BE16" s="53" t="str">
        <f>IF(Tim!GF18="","",Tim!GF18)</f>
        <v/>
      </c>
      <c r="BF16" s="53" t="str">
        <f>IF(Tim!GG18="","",Tim!GG18)</f>
        <v/>
      </c>
      <c r="BG16" s="53" t="str">
        <f>IF(Tim!GH18="","",Tim!GH18)</f>
        <v/>
      </c>
      <c r="BH16" s="53" t="str">
        <f>IF(Tim!GI18="","",Tim!GI18)</f>
        <v/>
      </c>
      <c r="BI16" s="53" t="str">
        <f>IF(Tim!GJ18="","",Tim!GJ18)</f>
        <v/>
      </c>
      <c r="BJ16" s="53" t="str">
        <f>IF(Tim!GN18="","",Tim!GN18)</f>
        <v>CR</v>
      </c>
      <c r="BK16" s="53" t="str">
        <f>IF(Tim!GO18="","",Tim!GO18)</f>
        <v/>
      </c>
      <c r="BL16" s="53" t="str">
        <f>IF(Tim!GP18="","",Tim!GP18)</f>
        <v/>
      </c>
      <c r="BM16" s="53" t="str">
        <f>IF(Tim!GQ18="","",Tim!GQ18)</f>
        <v/>
      </c>
      <c r="BN16" s="53" t="str">
        <f>IF(Tim!GR18="","",Tim!GR18)</f>
        <v/>
      </c>
      <c r="BO16" s="56" t="str">
        <f>IF(Tim!HV18="","",Tim!HV18)</f>
        <v>RF</v>
      </c>
      <c r="BP16" s="53" t="str">
        <f>IF(Tim!HW18="","",Tim!HW18)</f>
        <v/>
      </c>
      <c r="BQ16" s="53" t="str">
        <f>IF(Tim!HX18="","",Tim!HX18)</f>
        <v/>
      </c>
      <c r="BR16" s="53" t="str">
        <f>IF(Tim!HY18="","",Tim!HY18)</f>
        <v/>
      </c>
      <c r="BS16" s="53" t="str">
        <f>IF(Tim!HZ18="","",Tim!HZ18)</f>
        <v/>
      </c>
      <c r="BT16" s="53" t="str">
        <f>IF(Tim!IA18="","",Tim!IA18)</f>
        <v/>
      </c>
      <c r="BU16" s="55" t="str">
        <f>IF(Tim!IB18="","",Tim!IB18)</f>
        <v/>
      </c>
      <c r="BV16" s="53" t="str">
        <f>IF(Tim!IF18="","",Tim!IF18)</f>
        <v/>
      </c>
      <c r="BW16" s="53" t="str">
        <f>IF(Tim!IG18="","",Tim!IG18)</f>
        <v/>
      </c>
      <c r="BX16" s="53" t="str">
        <f>IF(Tim!IH18="","",Tim!IH18)</f>
        <v/>
      </c>
      <c r="BY16" s="53" t="str">
        <f>IF(Tim!II18="","",Tim!II18)</f>
        <v/>
      </c>
      <c r="BZ16" s="53" t="str">
        <f>IF(Tim!IJ18="","",Tim!IJ18)</f>
        <v/>
      </c>
      <c r="CA16" s="59" t="str">
        <f>IF(Tim!JN18="","",Tim!JN18)</f>
        <v>RF</v>
      </c>
      <c r="CB16" s="59" t="str">
        <f>IF(Tim!JO18="","",Tim!JO18)</f>
        <v/>
      </c>
      <c r="CC16" s="59" t="str">
        <f>IF(Tim!JP18="","",Tim!JP18)</f>
        <v/>
      </c>
      <c r="CD16" s="59" t="str">
        <f>IF(Tim!JQ18="","",Tim!JQ18)</f>
        <v/>
      </c>
      <c r="CE16" s="59" t="str">
        <f>IF(Tim!JR18="","",Tim!JR18)</f>
        <v/>
      </c>
      <c r="CF16" s="59" t="str">
        <f>IF(Tim!JS18="","",Tim!JS18)</f>
        <v/>
      </c>
      <c r="CG16" s="59" t="str">
        <f>IF(Tim!JT18="","",Tim!JT18)</f>
        <v/>
      </c>
      <c r="CH16" s="53" t="str">
        <f>IF(Tim!JX18="","",Tim!JX18)</f>
        <v/>
      </c>
      <c r="CI16" s="53" t="str">
        <f>IF(Tim!JY18="","",Tim!JY18)</f>
        <v/>
      </c>
      <c r="CJ16" s="53" t="str">
        <f>IF(Tim!JZ18="","",Tim!JZ18)</f>
        <v/>
      </c>
      <c r="CK16" s="53" t="str">
        <f>IF(Tim!KA18="","",Tim!KA18)</f>
        <v/>
      </c>
      <c r="CL16" s="53" t="str">
        <f>IF(Tim!KB18="","",Tim!KB18)</f>
        <v/>
      </c>
      <c r="CM16" s="52">
        <v>0.40625</v>
      </c>
    </row>
    <row r="17" spans="2:91" ht="10.5" customHeight="1">
      <c r="B17" s="51">
        <v>0.25</v>
      </c>
      <c r="C17" s="51">
        <v>0.25</v>
      </c>
      <c r="D17" s="51">
        <v>0.25</v>
      </c>
      <c r="E17" s="172">
        <v>0.41666666666666702</v>
      </c>
      <c r="F17" s="56" t="str">
        <f>IF(Tim!F19="","",Tim!F19)</f>
        <v>HA</v>
      </c>
      <c r="G17" s="53" t="str">
        <f>IF(Tim!G19="","",Tim!G19)</f>
        <v/>
      </c>
      <c r="H17" s="53" t="str">
        <f>IF(Tim!H19="","",Tim!H19)</f>
        <v/>
      </c>
      <c r="I17" s="53" t="str">
        <f>IF(Tim!I19="","",Tim!I19)</f>
        <v/>
      </c>
      <c r="J17" s="53" t="str">
        <f>IF(Tim!J19="","",Tim!J19)</f>
        <v/>
      </c>
      <c r="K17" s="53" t="str">
        <f>IF(Tim!K19="","",Tim!K19)</f>
        <v/>
      </c>
      <c r="L17" s="53" t="str">
        <f>IF(Tim!L19="","",Tim!L19)</f>
        <v/>
      </c>
      <c r="M17" s="53" t="str">
        <f>IF(Tim!P19="","",Tim!P19)</f>
        <v/>
      </c>
      <c r="N17" s="53" t="str">
        <f>IF(Tim!Q19="","",Tim!Q19)</f>
        <v/>
      </c>
      <c r="O17" s="53" t="str">
        <f>IF(Tim!R19="","",Tim!R19)</f>
        <v/>
      </c>
      <c r="P17" s="53" t="str">
        <f>IF(Tim!S19="","",Tim!S19)</f>
        <v/>
      </c>
      <c r="Q17" s="55" t="str">
        <f>IF(Tim!T19="","",Tim!T19)</f>
        <v/>
      </c>
      <c r="R17" s="56" t="str">
        <f>IF(Tim!AY19="","",Tim!AY19)</f>
        <v>RF</v>
      </c>
      <c r="S17" s="53" t="str">
        <f>IF(Tim!AZ19="","",Tim!AZ19)</f>
        <v/>
      </c>
      <c r="T17" s="53" t="str">
        <f>IF(Tim!BA19="","",Tim!BA19)</f>
        <v/>
      </c>
      <c r="U17" s="53" t="str">
        <f>IF(Tim!BB19="","",Tim!BB19)</f>
        <v/>
      </c>
      <c r="V17" s="53" t="str">
        <f>IF(Tim!BC19="","",Tim!BC19)</f>
        <v/>
      </c>
      <c r="W17" s="53" t="str">
        <f>IF(Tim!BD19="","",Tim!BD19)</f>
        <v/>
      </c>
      <c r="X17" s="53" t="str">
        <f>IF(Tim!BE19="","",Tim!BE19)</f>
        <v/>
      </c>
      <c r="Y17" s="53" t="str">
        <f>IF(Tim!BF19="","",Tim!BF19)</f>
        <v/>
      </c>
      <c r="Z17" s="53" t="str">
        <f>IF(Tim!BI19="","",Tim!BI19)</f>
        <v/>
      </c>
      <c r="AA17" s="53" t="str">
        <f>IF(Tim!BJ19="","",Tim!BJ19)</f>
        <v/>
      </c>
      <c r="AB17" s="53" t="str">
        <f>IF(Tim!BK19="","",Tim!BK19)</f>
        <v/>
      </c>
      <c r="AC17" s="53" t="str">
        <f>IF(Tim!BL19="","",Tim!BL19)</f>
        <v/>
      </c>
      <c r="AD17" s="55" t="str">
        <f>IF(Tim!BM19="","",Tim!BM19)</f>
        <v/>
      </c>
      <c r="AE17" s="56" t="str">
        <f>IF(Tim!CQ19="","",Tim!CQ19)</f>
        <v>HA</v>
      </c>
      <c r="AF17" s="53" t="str">
        <f>IF(Tim!CR19="","",Tim!CR19)</f>
        <v>LA</v>
      </c>
      <c r="AG17" s="53" t="str">
        <f>IF(Tim!CS19="","",Tim!CS19)</f>
        <v/>
      </c>
      <c r="AH17" s="53" t="str">
        <f>IF(Tim!CT19="","",Tim!CT19)</f>
        <v/>
      </c>
      <c r="AI17" s="53" t="str">
        <f>IF(Tim!CU19="","",Tim!CU19)</f>
        <v/>
      </c>
      <c r="AJ17" s="53" t="str">
        <f>IF(Tim!CV19="","",Tim!CV19)</f>
        <v/>
      </c>
      <c r="AK17" s="53" t="str">
        <f>IF(Tim!CW19="","",Tim!CW19)</f>
        <v/>
      </c>
      <c r="AL17" s="53" t="str">
        <f>IF(Tim!DA19="","",Tim!DA19)</f>
        <v/>
      </c>
      <c r="AM17" s="53" t="str">
        <f>IF(Tim!DB19="","",Tim!DB19)</f>
        <v/>
      </c>
      <c r="AN17" s="53" t="str">
        <f>IF(Tim!DC19="","",Tim!DC19)</f>
        <v/>
      </c>
      <c r="AO17" s="53" t="str">
        <f>IF(Tim!DD19="","",Tim!DD19)</f>
        <v/>
      </c>
      <c r="AP17" s="53" t="str">
        <f>IF(Tim!DE19="","",Tim!DE19)</f>
        <v/>
      </c>
      <c r="AQ17" s="56" t="str">
        <f>IF(Tim!EL19="","",Tim!EL19)</f>
        <v>CR</v>
      </c>
      <c r="AR17" s="53" t="str">
        <f>IF(Tim!EM19="","",Tim!EM19)</f>
        <v/>
      </c>
      <c r="AS17" s="53" t="str">
        <f>IF(Tim!EN19="","",Tim!EN19)</f>
        <v/>
      </c>
      <c r="AT17" s="53" t="str">
        <f>IF(Tim!EO19="","",Tim!EO19)</f>
        <v/>
      </c>
      <c r="AU17" s="53" t="str">
        <f>IF(Tim!EP19="","",Tim!EP19)</f>
        <v/>
      </c>
      <c r="AV17" s="53" t="str">
        <f>IF(Tim!EQ19="","",Tim!EQ19)</f>
        <v/>
      </c>
      <c r="AW17" s="53" t="str">
        <f>IF(Tim!ER19="","",Tim!ER19)</f>
        <v/>
      </c>
      <c r="AX17" s="53" t="str">
        <f>IF(Tim!EV19="","",Tim!EV19)</f>
        <v/>
      </c>
      <c r="AY17" s="53" t="str">
        <f>IF(Tim!EW19="","",Tim!EW19)</f>
        <v/>
      </c>
      <c r="AZ17" s="53" t="str">
        <f>IF(Tim!EX19="","",Tim!EX19)</f>
        <v/>
      </c>
      <c r="BA17" s="53" t="str">
        <f>IF(Tim!EY19="","",Tim!EY19)</f>
        <v/>
      </c>
      <c r="BB17" s="53" t="str">
        <f>IF(Tim!EZ19="","",Tim!EZ19)</f>
        <v/>
      </c>
      <c r="BC17" s="56" t="str">
        <f>IF(Tim!GD19="","",Tim!GD19)</f>
        <v>MS</v>
      </c>
      <c r="BD17" s="53" t="str">
        <f>IF(Tim!GE19="","",Tim!GE19)</f>
        <v/>
      </c>
      <c r="BE17" s="53" t="str">
        <f>IF(Tim!GF19="","",Tim!GF19)</f>
        <v/>
      </c>
      <c r="BF17" s="53" t="str">
        <f>IF(Tim!GG19="","",Tim!GG19)</f>
        <v/>
      </c>
      <c r="BG17" s="53" t="str">
        <f>IF(Tim!GH19="","",Tim!GH19)</f>
        <v/>
      </c>
      <c r="BH17" s="53" t="str">
        <f>IF(Tim!GI19="","",Tim!GI19)</f>
        <v/>
      </c>
      <c r="BI17" s="53" t="str">
        <f>IF(Tim!GJ19="","",Tim!GJ19)</f>
        <v/>
      </c>
      <c r="BJ17" s="53" t="str">
        <f>IF(Tim!GN19="","",Tim!GN19)</f>
        <v>CR</v>
      </c>
      <c r="BK17" s="53" t="str">
        <f>IF(Tim!GO19="","",Tim!GO19)</f>
        <v/>
      </c>
      <c r="BL17" s="53" t="str">
        <f>IF(Tim!GP19="","",Tim!GP19)</f>
        <v/>
      </c>
      <c r="BM17" s="53" t="str">
        <f>IF(Tim!GQ19="","",Tim!GQ19)</f>
        <v/>
      </c>
      <c r="BN17" s="53" t="str">
        <f>IF(Tim!GR19="","",Tim!GR19)</f>
        <v/>
      </c>
      <c r="BO17" s="56" t="str">
        <f>IF(Tim!HV19="","",Tim!HV19)</f>
        <v>RF</v>
      </c>
      <c r="BP17" s="53" t="str">
        <f>IF(Tim!HW19="","",Tim!HW19)</f>
        <v/>
      </c>
      <c r="BQ17" s="53" t="str">
        <f>IF(Tim!HX19="","",Tim!HX19)</f>
        <v/>
      </c>
      <c r="BR17" s="53" t="str">
        <f>IF(Tim!HY19="","",Tim!HY19)</f>
        <v/>
      </c>
      <c r="BS17" s="53" t="str">
        <f>IF(Tim!HZ19="","",Tim!HZ19)</f>
        <v/>
      </c>
      <c r="BT17" s="53" t="str">
        <f>IF(Tim!IA19="","",Tim!IA19)</f>
        <v/>
      </c>
      <c r="BU17" s="55" t="str">
        <f>IF(Tim!IB19="","",Tim!IB19)</f>
        <v/>
      </c>
      <c r="BV17" s="53" t="str">
        <f>IF(Tim!IF19="","",Tim!IF19)</f>
        <v/>
      </c>
      <c r="BW17" s="53" t="str">
        <f>IF(Tim!IG19="","",Tim!IG19)</f>
        <v/>
      </c>
      <c r="BX17" s="53" t="str">
        <f>IF(Tim!IH19="","",Tim!IH19)</f>
        <v/>
      </c>
      <c r="BY17" s="53" t="str">
        <f>IF(Tim!II19="","",Tim!II19)</f>
        <v/>
      </c>
      <c r="BZ17" s="53" t="str">
        <f>IF(Tim!IJ19="","",Tim!IJ19)</f>
        <v/>
      </c>
      <c r="CA17" s="59" t="str">
        <f>IF(Tim!JN19="","",Tim!JN19)</f>
        <v>RF</v>
      </c>
      <c r="CB17" s="59" t="str">
        <f>IF(Tim!JO19="","",Tim!JO19)</f>
        <v/>
      </c>
      <c r="CC17" s="59" t="str">
        <f>IF(Tim!JP19="","",Tim!JP19)</f>
        <v/>
      </c>
      <c r="CD17" s="59" t="str">
        <f>IF(Tim!JQ19="","",Tim!JQ19)</f>
        <v/>
      </c>
      <c r="CE17" s="59" t="str">
        <f>IF(Tim!JR19="","",Tim!JR19)</f>
        <v/>
      </c>
      <c r="CF17" s="59" t="str">
        <f>IF(Tim!JS19="","",Tim!JS19)</f>
        <v/>
      </c>
      <c r="CG17" s="59" t="str">
        <f>IF(Tim!JT19="","",Tim!JT19)</f>
        <v/>
      </c>
      <c r="CH17" s="53" t="str">
        <f>IF(Tim!JX19="","",Tim!JX19)</f>
        <v/>
      </c>
      <c r="CI17" s="53" t="str">
        <f>IF(Tim!JY19="","",Tim!JY19)</f>
        <v/>
      </c>
      <c r="CJ17" s="53" t="str">
        <f>IF(Tim!JZ19="","",Tim!JZ19)</f>
        <v/>
      </c>
      <c r="CK17" s="53" t="str">
        <f>IF(Tim!KA19="","",Tim!KA19)</f>
        <v/>
      </c>
      <c r="CL17" s="53" t="str">
        <f>IF(Tim!KB19="","",Tim!KB19)</f>
        <v/>
      </c>
      <c r="CM17" s="52">
        <v>0.41666666666666702</v>
      </c>
    </row>
    <row r="18" spans="2:91" ht="10.5" customHeight="1">
      <c r="B18" s="51">
        <v>0.25</v>
      </c>
      <c r="C18" s="51">
        <v>0.25</v>
      </c>
      <c r="D18" s="51">
        <v>0.25</v>
      </c>
      <c r="E18" s="172">
        <v>0.42708333333333298</v>
      </c>
      <c r="F18" s="56" t="str">
        <f>IF(Tim!F20="","",Tim!F20)</f>
        <v>HA</v>
      </c>
      <c r="G18" s="53" t="str">
        <f>IF(Tim!G20="","",Tim!G20)</f>
        <v/>
      </c>
      <c r="H18" s="53" t="str">
        <f>IF(Tim!H20="","",Tim!H20)</f>
        <v/>
      </c>
      <c r="I18" s="53" t="str">
        <f>IF(Tim!I20="","",Tim!I20)</f>
        <v/>
      </c>
      <c r="J18" s="53" t="str">
        <f>IF(Tim!J20="","",Tim!J20)</f>
        <v/>
      </c>
      <c r="K18" s="53" t="str">
        <f>IF(Tim!K20="","",Tim!K20)</f>
        <v/>
      </c>
      <c r="L18" s="53" t="str">
        <f>IF(Tim!L20="","",Tim!L20)</f>
        <v/>
      </c>
      <c r="M18" s="53" t="str">
        <f>IF(Tim!P20="","",Tim!P20)</f>
        <v/>
      </c>
      <c r="N18" s="53" t="str">
        <f>IF(Tim!Q20="","",Tim!Q20)</f>
        <v/>
      </c>
      <c r="O18" s="53" t="str">
        <f>IF(Tim!R20="","",Tim!R20)</f>
        <v/>
      </c>
      <c r="P18" s="53" t="str">
        <f>IF(Tim!S20="","",Tim!S20)</f>
        <v/>
      </c>
      <c r="Q18" s="55" t="str">
        <f>IF(Tim!T20="","",Tim!T20)</f>
        <v/>
      </c>
      <c r="R18" s="56" t="str">
        <f>IF(Tim!AY20="","",Tim!AY20)</f>
        <v>RF</v>
      </c>
      <c r="S18" s="53" t="str">
        <f>IF(Tim!AZ20="","",Tim!AZ20)</f>
        <v/>
      </c>
      <c r="T18" s="53" t="str">
        <f>IF(Tim!BA20="","",Tim!BA20)</f>
        <v/>
      </c>
      <c r="U18" s="53" t="str">
        <f>IF(Tim!BB20="","",Tim!BB20)</f>
        <v/>
      </c>
      <c r="V18" s="53" t="str">
        <f>IF(Tim!BC20="","",Tim!BC20)</f>
        <v/>
      </c>
      <c r="W18" s="53" t="str">
        <f>IF(Tim!BD20="","",Tim!BD20)</f>
        <v/>
      </c>
      <c r="X18" s="53" t="str">
        <f>IF(Tim!BE20="","",Tim!BE20)</f>
        <v/>
      </c>
      <c r="Y18" s="53" t="str">
        <f>IF(Tim!BF20="","",Tim!BF20)</f>
        <v/>
      </c>
      <c r="Z18" s="53" t="str">
        <f>IF(Tim!BI20="","",Tim!BI20)</f>
        <v/>
      </c>
      <c r="AA18" s="53" t="str">
        <f>IF(Tim!BJ20="","",Tim!BJ20)</f>
        <v/>
      </c>
      <c r="AB18" s="53" t="str">
        <f>IF(Tim!BK20="","",Tim!BK20)</f>
        <v/>
      </c>
      <c r="AC18" s="53" t="str">
        <f>IF(Tim!BL20="","",Tim!BL20)</f>
        <v/>
      </c>
      <c r="AD18" s="55" t="str">
        <f>IF(Tim!BM20="","",Tim!BM20)</f>
        <v/>
      </c>
      <c r="AE18" s="56" t="str">
        <f>IF(Tim!CQ20="","",Tim!CQ20)</f>
        <v>HA</v>
      </c>
      <c r="AF18" s="53" t="str">
        <f>IF(Tim!CR20="","",Tim!CR20)</f>
        <v/>
      </c>
      <c r="AG18" s="53" t="str">
        <f>IF(Tim!CS20="","",Tim!CS20)</f>
        <v/>
      </c>
      <c r="AH18" s="53" t="str">
        <f>IF(Tim!CT20="","",Tim!CT20)</f>
        <v/>
      </c>
      <c r="AI18" s="53" t="str">
        <f>IF(Tim!CU20="","",Tim!CU20)</f>
        <v/>
      </c>
      <c r="AJ18" s="53" t="str">
        <f>IF(Tim!CV20="","",Tim!CV20)</f>
        <v/>
      </c>
      <c r="AK18" s="53" t="str">
        <f>IF(Tim!CW20="","",Tim!CW20)</f>
        <v/>
      </c>
      <c r="AL18" s="53" t="str">
        <f>IF(Tim!DA20="","",Tim!DA20)</f>
        <v/>
      </c>
      <c r="AM18" s="53" t="str">
        <f>IF(Tim!DB20="","",Tim!DB20)</f>
        <v/>
      </c>
      <c r="AN18" s="53" t="str">
        <f>IF(Tim!DC20="","",Tim!DC20)</f>
        <v/>
      </c>
      <c r="AO18" s="53" t="str">
        <f>IF(Tim!DD20="","",Tim!DD20)</f>
        <v/>
      </c>
      <c r="AP18" s="53" t="str">
        <f>IF(Tim!DE20="","",Tim!DE20)</f>
        <v/>
      </c>
      <c r="AQ18" s="56" t="str">
        <f>IF(Tim!EL20="","",Tim!EL20)</f>
        <v>CR</v>
      </c>
      <c r="AR18" s="53" t="str">
        <f>IF(Tim!EM20="","",Tim!EM20)</f>
        <v/>
      </c>
      <c r="AS18" s="53" t="str">
        <f>IF(Tim!EN20="","",Tim!EN20)</f>
        <v/>
      </c>
      <c r="AT18" s="53" t="str">
        <f>IF(Tim!EO20="","",Tim!EO20)</f>
        <v/>
      </c>
      <c r="AU18" s="53" t="str">
        <f>IF(Tim!EP20="","",Tim!EP20)</f>
        <v/>
      </c>
      <c r="AV18" s="53" t="str">
        <f>IF(Tim!EQ20="","",Tim!EQ20)</f>
        <v/>
      </c>
      <c r="AW18" s="53" t="str">
        <f>IF(Tim!ER20="","",Tim!ER20)</f>
        <v/>
      </c>
      <c r="AX18" s="53" t="str">
        <f>IF(Tim!EV20="","",Tim!EV20)</f>
        <v/>
      </c>
      <c r="AY18" s="53" t="str">
        <f>IF(Tim!EW20="","",Tim!EW20)</f>
        <v/>
      </c>
      <c r="AZ18" s="53" t="str">
        <f>IF(Tim!EX20="","",Tim!EX20)</f>
        <v/>
      </c>
      <c r="BA18" s="53" t="str">
        <f>IF(Tim!EY20="","",Tim!EY20)</f>
        <v/>
      </c>
      <c r="BB18" s="53" t="str">
        <f>IF(Tim!EZ20="","",Tim!EZ20)</f>
        <v/>
      </c>
      <c r="BC18" s="56" t="str">
        <f>IF(Tim!GD20="","",Tim!GD20)</f>
        <v>MS</v>
      </c>
      <c r="BD18" s="53" t="str">
        <f>IF(Tim!GE20="","",Tim!GE20)</f>
        <v/>
      </c>
      <c r="BE18" s="53" t="str">
        <f>IF(Tim!GF20="","",Tim!GF20)</f>
        <v/>
      </c>
      <c r="BF18" s="53" t="str">
        <f>IF(Tim!GG20="","",Tim!GG20)</f>
        <v/>
      </c>
      <c r="BG18" s="53" t="str">
        <f>IF(Tim!GH20="","",Tim!GH20)</f>
        <v/>
      </c>
      <c r="BH18" s="53" t="str">
        <f>IF(Tim!GI20="","",Tim!GI20)</f>
        <v/>
      </c>
      <c r="BI18" s="53" t="str">
        <f>IF(Tim!GJ20="","",Tim!GJ20)</f>
        <v/>
      </c>
      <c r="BJ18" s="53" t="str">
        <f>IF(Tim!GN20="","",Tim!GN20)</f>
        <v>CR</v>
      </c>
      <c r="BK18" s="53" t="str">
        <f>IF(Tim!GO20="","",Tim!GO20)</f>
        <v/>
      </c>
      <c r="BL18" s="53" t="str">
        <f>IF(Tim!GP20="","",Tim!GP20)</f>
        <v/>
      </c>
      <c r="BM18" s="53" t="str">
        <f>IF(Tim!GQ20="","",Tim!GQ20)</f>
        <v/>
      </c>
      <c r="BN18" s="53" t="str">
        <f>IF(Tim!GR20="","",Tim!GR20)</f>
        <v/>
      </c>
      <c r="BO18" s="56" t="str">
        <f>IF(Tim!HV20="","",Tim!HV20)</f>
        <v>RF</v>
      </c>
      <c r="BP18" s="53" t="str">
        <f>IF(Tim!HW20="","",Tim!HW20)</f>
        <v/>
      </c>
      <c r="BQ18" s="53" t="str">
        <f>IF(Tim!HX20="","",Tim!HX20)</f>
        <v/>
      </c>
      <c r="BR18" s="53" t="str">
        <f>IF(Tim!HY20="","",Tim!HY20)</f>
        <v/>
      </c>
      <c r="BS18" s="53" t="str">
        <f>IF(Tim!HZ20="","",Tim!HZ20)</f>
        <v/>
      </c>
      <c r="BT18" s="53" t="str">
        <f>IF(Tim!IA20="","",Tim!IA20)</f>
        <v/>
      </c>
      <c r="BU18" s="55" t="str">
        <f>IF(Tim!IB20="","",Tim!IB20)</f>
        <v/>
      </c>
      <c r="BV18" s="53" t="str">
        <f>IF(Tim!IF20="","",Tim!IF20)</f>
        <v/>
      </c>
      <c r="BW18" s="53" t="str">
        <f>IF(Tim!IG20="","",Tim!IG20)</f>
        <v/>
      </c>
      <c r="BX18" s="53" t="str">
        <f>IF(Tim!IH20="","",Tim!IH20)</f>
        <v/>
      </c>
      <c r="BY18" s="53" t="str">
        <f>IF(Tim!II20="","",Tim!II20)</f>
        <v/>
      </c>
      <c r="BZ18" s="53" t="str">
        <f>IF(Tim!IJ20="","",Tim!IJ20)</f>
        <v/>
      </c>
      <c r="CA18" s="59" t="str">
        <f>IF(Tim!JN20="","",Tim!JN20)</f>
        <v>RF</v>
      </c>
      <c r="CB18" s="59" t="str">
        <f>IF(Tim!JO20="","",Tim!JO20)</f>
        <v/>
      </c>
      <c r="CC18" s="59" t="str">
        <f>IF(Tim!JP20="","",Tim!JP20)</f>
        <v/>
      </c>
      <c r="CD18" s="59" t="str">
        <f>IF(Tim!JQ20="","",Tim!JQ20)</f>
        <v/>
      </c>
      <c r="CE18" s="59" t="str">
        <f>IF(Tim!JR20="","",Tim!JR20)</f>
        <v/>
      </c>
      <c r="CF18" s="59" t="str">
        <f>IF(Tim!JS20="","",Tim!JS20)</f>
        <v/>
      </c>
      <c r="CG18" s="59" t="str">
        <f>IF(Tim!JT20="","",Tim!JT20)</f>
        <v/>
      </c>
      <c r="CH18" s="53" t="str">
        <f>IF(Tim!JX20="","",Tim!JX20)</f>
        <v/>
      </c>
      <c r="CI18" s="53" t="str">
        <f>IF(Tim!JY20="","",Tim!JY20)</f>
        <v/>
      </c>
      <c r="CJ18" s="53" t="str">
        <f>IF(Tim!JZ20="","",Tim!JZ20)</f>
        <v/>
      </c>
      <c r="CK18" s="53" t="str">
        <f>IF(Tim!KA20="","",Tim!KA20)</f>
        <v/>
      </c>
      <c r="CL18" s="53" t="str">
        <f>IF(Tim!KB20="","",Tim!KB20)</f>
        <v/>
      </c>
      <c r="CM18" s="52">
        <v>0.42708333333333298</v>
      </c>
    </row>
    <row r="19" spans="2:91" ht="10.5" customHeight="1">
      <c r="B19" s="51">
        <v>0.25</v>
      </c>
      <c r="C19" s="51">
        <v>0.25</v>
      </c>
      <c r="D19" s="51">
        <v>0.25</v>
      </c>
      <c r="E19" s="172">
        <v>0.4375</v>
      </c>
      <c r="F19" s="56" t="str">
        <f>IF(Tim!F21="","",Tim!F21)</f>
        <v>HA</v>
      </c>
      <c r="G19" s="53" t="str">
        <f>IF(Tim!G21="","",Tim!G21)</f>
        <v/>
      </c>
      <c r="H19" s="53" t="str">
        <f>IF(Tim!H21="","",Tim!H21)</f>
        <v/>
      </c>
      <c r="I19" s="53" t="str">
        <f>IF(Tim!I21="","",Tim!I21)</f>
        <v/>
      </c>
      <c r="J19" s="53" t="str">
        <f>IF(Tim!J21="","",Tim!J21)</f>
        <v/>
      </c>
      <c r="K19" s="53" t="str">
        <f>IF(Tim!K21="","",Tim!K21)</f>
        <v/>
      </c>
      <c r="L19" s="53" t="str">
        <f>IF(Tim!L21="","",Tim!L21)</f>
        <v/>
      </c>
      <c r="M19" s="53" t="str">
        <f>IF(Tim!P21="","",Tim!P21)</f>
        <v/>
      </c>
      <c r="N19" s="53" t="str">
        <f>IF(Tim!Q21="","",Tim!Q21)</f>
        <v/>
      </c>
      <c r="O19" s="53" t="str">
        <f>IF(Tim!R21="","",Tim!R21)</f>
        <v/>
      </c>
      <c r="P19" s="53" t="str">
        <f>IF(Tim!S21="","",Tim!S21)</f>
        <v/>
      </c>
      <c r="Q19" s="55" t="str">
        <f>IF(Tim!T21="","",Tim!T21)</f>
        <v/>
      </c>
      <c r="R19" s="56" t="str">
        <f>IF(Tim!AY21="","",Tim!AY21)</f>
        <v>RF</v>
      </c>
      <c r="S19" s="53" t="str">
        <f>IF(Tim!AZ21="","",Tim!AZ21)</f>
        <v/>
      </c>
      <c r="T19" s="53" t="str">
        <f>IF(Tim!BA21="","",Tim!BA21)</f>
        <v/>
      </c>
      <c r="U19" s="53" t="str">
        <f>IF(Tim!BB21="","",Tim!BB21)</f>
        <v/>
      </c>
      <c r="V19" s="53" t="str">
        <f>IF(Tim!BC21="","",Tim!BC21)</f>
        <v/>
      </c>
      <c r="W19" s="53" t="str">
        <f>IF(Tim!BD21="","",Tim!BD21)</f>
        <v/>
      </c>
      <c r="X19" s="53" t="str">
        <f>IF(Tim!BE21="","",Tim!BE21)</f>
        <v/>
      </c>
      <c r="Y19" s="53" t="str">
        <f>IF(Tim!BF21="","",Tim!BF21)</f>
        <v/>
      </c>
      <c r="Z19" s="53" t="str">
        <f>IF(Tim!BI21="","",Tim!BI21)</f>
        <v/>
      </c>
      <c r="AA19" s="53" t="str">
        <f>IF(Tim!BJ21="","",Tim!BJ21)</f>
        <v/>
      </c>
      <c r="AB19" s="53" t="str">
        <f>IF(Tim!BK21="","",Tim!BK21)</f>
        <v/>
      </c>
      <c r="AC19" s="53" t="str">
        <f>IF(Tim!BL21="","",Tim!BL21)</f>
        <v/>
      </c>
      <c r="AD19" s="55" t="str">
        <f>IF(Tim!BM21="","",Tim!BM21)</f>
        <v/>
      </c>
      <c r="AE19" s="56" t="str">
        <f>IF(Tim!CQ21="","",Tim!CQ21)</f>
        <v>HA</v>
      </c>
      <c r="AF19" s="53" t="str">
        <f>IF(Tim!CR21="","",Tim!CR21)</f>
        <v/>
      </c>
      <c r="AG19" s="53" t="str">
        <f>IF(Tim!CS21="","",Tim!CS21)</f>
        <v/>
      </c>
      <c r="AH19" s="53" t="str">
        <f>IF(Tim!CT21="","",Tim!CT21)</f>
        <v/>
      </c>
      <c r="AI19" s="53" t="str">
        <f>IF(Tim!CU21="","",Tim!CU21)</f>
        <v/>
      </c>
      <c r="AJ19" s="53" t="str">
        <f>IF(Tim!CV21="","",Tim!CV21)</f>
        <v/>
      </c>
      <c r="AK19" s="53" t="str">
        <f>IF(Tim!CW21="","",Tim!CW21)</f>
        <v/>
      </c>
      <c r="AL19" s="53" t="str">
        <f>IF(Tim!DA21="","",Tim!DA21)</f>
        <v/>
      </c>
      <c r="AM19" s="53" t="str">
        <f>IF(Tim!DB21="","",Tim!DB21)</f>
        <v/>
      </c>
      <c r="AN19" s="53" t="str">
        <f>IF(Tim!DC21="","",Tim!DC21)</f>
        <v/>
      </c>
      <c r="AO19" s="53" t="str">
        <f>IF(Tim!DD21="","",Tim!DD21)</f>
        <v/>
      </c>
      <c r="AP19" s="53" t="str">
        <f>IF(Tim!DE21="","",Tim!DE21)</f>
        <v/>
      </c>
      <c r="AQ19" s="56" t="str">
        <f>IF(Tim!EL21="","",Tim!EL21)</f>
        <v>CR</v>
      </c>
      <c r="AR19" s="53" t="str">
        <f>IF(Tim!EM21="","",Tim!EM21)</f>
        <v/>
      </c>
      <c r="AS19" s="53" t="str">
        <f>IF(Tim!EN21="","",Tim!EN21)</f>
        <v/>
      </c>
      <c r="AT19" s="53" t="str">
        <f>IF(Tim!EO21="","",Tim!EO21)</f>
        <v/>
      </c>
      <c r="AU19" s="53" t="str">
        <f>IF(Tim!EP21="","",Tim!EP21)</f>
        <v/>
      </c>
      <c r="AV19" s="53" t="str">
        <f>IF(Tim!EQ21="","",Tim!EQ21)</f>
        <v/>
      </c>
      <c r="AW19" s="53" t="str">
        <f>IF(Tim!ER21="","",Tim!ER21)</f>
        <v/>
      </c>
      <c r="AX19" s="53" t="str">
        <f>IF(Tim!EV21="","",Tim!EV21)</f>
        <v/>
      </c>
      <c r="AY19" s="53" t="str">
        <f>IF(Tim!EW21="","",Tim!EW21)</f>
        <v/>
      </c>
      <c r="AZ19" s="53" t="str">
        <f>IF(Tim!EX21="","",Tim!EX21)</f>
        <v/>
      </c>
      <c r="BA19" s="53" t="str">
        <f>IF(Tim!EY21="","",Tim!EY21)</f>
        <v/>
      </c>
      <c r="BB19" s="53" t="str">
        <f>IF(Tim!EZ21="","",Tim!EZ21)</f>
        <v/>
      </c>
      <c r="BC19" s="56" t="str">
        <f>IF(Tim!GD21="","",Tim!GD21)</f>
        <v>CR</v>
      </c>
      <c r="BD19" s="53" t="str">
        <f>IF(Tim!GE21="","",Tim!GE21)</f>
        <v>MS</v>
      </c>
      <c r="BE19" s="53" t="str">
        <f>IF(Tim!GF21="","",Tim!GF21)</f>
        <v/>
      </c>
      <c r="BF19" s="53" t="str">
        <f>IF(Tim!GG21="","",Tim!GG21)</f>
        <v/>
      </c>
      <c r="BG19" s="53" t="str">
        <f>IF(Tim!GH21="","",Tim!GH21)</f>
        <v/>
      </c>
      <c r="BH19" s="53" t="str">
        <f>IF(Tim!GI21="","",Tim!GI21)</f>
        <v/>
      </c>
      <c r="BI19" s="53" t="str">
        <f>IF(Tim!GJ21="","",Tim!GJ21)</f>
        <v/>
      </c>
      <c r="BJ19" s="53" t="str">
        <f>IF(Tim!GN21="","",Tim!GN21)</f>
        <v/>
      </c>
      <c r="BK19" s="53" t="str">
        <f>IF(Tim!GO21="","",Tim!GO21)</f>
        <v/>
      </c>
      <c r="BL19" s="53" t="str">
        <f>IF(Tim!GP21="","",Tim!GP21)</f>
        <v/>
      </c>
      <c r="BM19" s="53" t="str">
        <f>IF(Tim!GQ21="","",Tim!GQ21)</f>
        <v/>
      </c>
      <c r="BN19" s="53" t="str">
        <f>IF(Tim!GR21="","",Tim!GR21)</f>
        <v/>
      </c>
      <c r="BO19" s="56" t="str">
        <f>IF(Tim!HV21="","",Tim!HV21)</f>
        <v>RF</v>
      </c>
      <c r="BP19" s="53" t="str">
        <f>IF(Tim!HW21="","",Tim!HW21)</f>
        <v/>
      </c>
      <c r="BQ19" s="53" t="str">
        <f>IF(Tim!HX21="","",Tim!HX21)</f>
        <v/>
      </c>
      <c r="BR19" s="53" t="str">
        <f>IF(Tim!HY21="","",Tim!HY21)</f>
        <v/>
      </c>
      <c r="BS19" s="53" t="str">
        <f>IF(Tim!HZ21="","",Tim!HZ21)</f>
        <v/>
      </c>
      <c r="BT19" s="53" t="str">
        <f>IF(Tim!IA21="","",Tim!IA21)</f>
        <v/>
      </c>
      <c r="BU19" s="55" t="str">
        <f>IF(Tim!IB21="","",Tim!IB21)</f>
        <v/>
      </c>
      <c r="BV19" s="53" t="str">
        <f>IF(Tim!IF21="","",Tim!IF21)</f>
        <v/>
      </c>
      <c r="BW19" s="53" t="str">
        <f>IF(Tim!IG21="","",Tim!IG21)</f>
        <v/>
      </c>
      <c r="BX19" s="53" t="str">
        <f>IF(Tim!IH21="","",Tim!IH21)</f>
        <v/>
      </c>
      <c r="BY19" s="53" t="str">
        <f>IF(Tim!II21="","",Tim!II21)</f>
        <v/>
      </c>
      <c r="BZ19" s="53" t="str">
        <f>IF(Tim!IJ21="","",Tim!IJ21)</f>
        <v/>
      </c>
      <c r="CA19" s="59" t="str">
        <f>IF(Tim!JN21="","",Tim!JN21)</f>
        <v>RF</v>
      </c>
      <c r="CB19" s="59" t="str">
        <f>IF(Tim!JO21="","",Tim!JO21)</f>
        <v/>
      </c>
      <c r="CC19" s="59" t="str">
        <f>IF(Tim!JP21="","",Tim!JP21)</f>
        <v/>
      </c>
      <c r="CD19" s="59" t="str">
        <f>IF(Tim!JQ21="","",Tim!JQ21)</f>
        <v/>
      </c>
      <c r="CE19" s="59" t="str">
        <f>IF(Tim!JR21="","",Tim!JR21)</f>
        <v/>
      </c>
      <c r="CF19" s="59" t="str">
        <f>IF(Tim!JS21="","",Tim!JS21)</f>
        <v/>
      </c>
      <c r="CG19" s="59" t="str">
        <f>IF(Tim!JT21="","",Tim!JT21)</f>
        <v/>
      </c>
      <c r="CH19" s="53" t="str">
        <f>IF(Tim!JX21="","",Tim!JX21)</f>
        <v/>
      </c>
      <c r="CI19" s="53" t="str">
        <f>IF(Tim!JY21="","",Tim!JY21)</f>
        <v/>
      </c>
      <c r="CJ19" s="53" t="str">
        <f>IF(Tim!JZ21="","",Tim!JZ21)</f>
        <v/>
      </c>
      <c r="CK19" s="53" t="str">
        <f>IF(Tim!KA21="","",Tim!KA21)</f>
        <v/>
      </c>
      <c r="CL19" s="53" t="str">
        <f>IF(Tim!KB21="","",Tim!KB21)</f>
        <v/>
      </c>
      <c r="CM19" s="52">
        <v>0.4375</v>
      </c>
    </row>
    <row r="20" spans="2:91" ht="10.5" customHeight="1">
      <c r="B20" s="51">
        <v>0.25</v>
      </c>
      <c r="C20" s="51">
        <v>0.25</v>
      </c>
      <c r="D20" s="51">
        <v>0.25</v>
      </c>
      <c r="E20" s="172">
        <v>0.44791666666666602</v>
      </c>
      <c r="F20" s="56" t="str">
        <f>IF(Tim!F22="","",Tim!F22)</f>
        <v>HA</v>
      </c>
      <c r="G20" s="53" t="str">
        <f>IF(Tim!G22="","",Tim!G22)</f>
        <v/>
      </c>
      <c r="H20" s="53" t="str">
        <f>IF(Tim!H22="","",Tim!H22)</f>
        <v/>
      </c>
      <c r="I20" s="53" t="str">
        <f>IF(Tim!I22="","",Tim!I22)</f>
        <v/>
      </c>
      <c r="J20" s="53" t="str">
        <f>IF(Tim!J22="","",Tim!J22)</f>
        <v/>
      </c>
      <c r="K20" s="53" t="str">
        <f>IF(Tim!K22="","",Tim!K22)</f>
        <v/>
      </c>
      <c r="L20" s="53" t="str">
        <f>IF(Tim!L22="","",Tim!L22)</f>
        <v/>
      </c>
      <c r="M20" s="53" t="str">
        <f>IF(Tim!P22="","",Tim!P22)</f>
        <v/>
      </c>
      <c r="N20" s="53" t="str">
        <f>IF(Tim!Q22="","",Tim!Q22)</f>
        <v/>
      </c>
      <c r="O20" s="53" t="str">
        <f>IF(Tim!R22="","",Tim!R22)</f>
        <v/>
      </c>
      <c r="P20" s="53" t="str">
        <f>IF(Tim!S22="","",Tim!S22)</f>
        <v/>
      </c>
      <c r="Q20" s="55" t="str">
        <f>IF(Tim!T22="","",Tim!T22)</f>
        <v/>
      </c>
      <c r="R20" s="56" t="str">
        <f>IF(Tim!AY22="","",Tim!AY22)</f>
        <v>RF</v>
      </c>
      <c r="S20" s="53" t="str">
        <f>IF(Tim!AZ22="","",Tim!AZ22)</f>
        <v/>
      </c>
      <c r="T20" s="53" t="str">
        <f>IF(Tim!BA22="","",Tim!BA22)</f>
        <v/>
      </c>
      <c r="U20" s="53" t="str">
        <f>IF(Tim!BB22="","",Tim!BB22)</f>
        <v/>
      </c>
      <c r="V20" s="53" t="str">
        <f>IF(Tim!BC22="","",Tim!BC22)</f>
        <v/>
      </c>
      <c r="W20" s="53" t="str">
        <f>IF(Tim!BD22="","",Tim!BD22)</f>
        <v/>
      </c>
      <c r="X20" s="53" t="str">
        <f>IF(Tim!BE22="","",Tim!BE22)</f>
        <v/>
      </c>
      <c r="Y20" s="53" t="str">
        <f>IF(Tim!BF22="","",Tim!BF22)</f>
        <v/>
      </c>
      <c r="Z20" s="53" t="str">
        <f>IF(Tim!BI22="","",Tim!BI22)</f>
        <v/>
      </c>
      <c r="AA20" s="53" t="str">
        <f>IF(Tim!BJ22="","",Tim!BJ22)</f>
        <v/>
      </c>
      <c r="AB20" s="53" t="str">
        <f>IF(Tim!BK22="","",Tim!BK22)</f>
        <v/>
      </c>
      <c r="AC20" s="53" t="str">
        <f>IF(Tim!BL22="","",Tim!BL22)</f>
        <v/>
      </c>
      <c r="AD20" s="55" t="str">
        <f>IF(Tim!BM22="","",Tim!BM22)</f>
        <v/>
      </c>
      <c r="AE20" s="56" t="str">
        <f>IF(Tim!CQ22="","",Tim!CQ22)</f>
        <v>HA</v>
      </c>
      <c r="AF20" s="53" t="str">
        <f>IF(Tim!CR22="","",Tim!CR22)</f>
        <v/>
      </c>
      <c r="AG20" s="53" t="str">
        <f>IF(Tim!CS22="","",Tim!CS22)</f>
        <v/>
      </c>
      <c r="AH20" s="53" t="str">
        <f>IF(Tim!CT22="","",Tim!CT22)</f>
        <v/>
      </c>
      <c r="AI20" s="53" t="str">
        <f>IF(Tim!CU22="","",Tim!CU22)</f>
        <v/>
      </c>
      <c r="AJ20" s="53" t="str">
        <f>IF(Tim!CV22="","",Tim!CV22)</f>
        <v/>
      </c>
      <c r="AK20" s="53" t="str">
        <f>IF(Tim!CW22="","",Tim!CW22)</f>
        <v/>
      </c>
      <c r="AL20" s="53" t="str">
        <f>IF(Tim!DA22="","",Tim!DA22)</f>
        <v/>
      </c>
      <c r="AM20" s="53" t="str">
        <f>IF(Tim!DB22="","",Tim!DB22)</f>
        <v>LF</v>
      </c>
      <c r="AN20" s="53" t="str">
        <f>IF(Tim!DC22="","",Tim!DC22)</f>
        <v/>
      </c>
      <c r="AO20" s="53" t="str">
        <f>IF(Tim!DD22="","",Tim!DD22)</f>
        <v/>
      </c>
      <c r="AP20" s="53" t="str">
        <f>IF(Tim!DE22="","",Tim!DE22)</f>
        <v/>
      </c>
      <c r="AQ20" s="56" t="str">
        <f>IF(Tim!EL22="","",Tim!EL22)</f>
        <v>MS</v>
      </c>
      <c r="AR20" s="53" t="str">
        <f>IF(Tim!EM22="","",Tim!EM22)</f>
        <v/>
      </c>
      <c r="AS20" s="53" t="str">
        <f>IF(Tim!EN22="","",Tim!EN22)</f>
        <v/>
      </c>
      <c r="AT20" s="53" t="str">
        <f>IF(Tim!EO22="","",Tim!EO22)</f>
        <v/>
      </c>
      <c r="AU20" s="53" t="str">
        <f>IF(Tim!EP22="","",Tim!EP22)</f>
        <v/>
      </c>
      <c r="AV20" s="53" t="str">
        <f>IF(Tim!EQ22="","",Tim!EQ22)</f>
        <v/>
      </c>
      <c r="AW20" s="53" t="str">
        <f>IF(Tim!ER22="","",Tim!ER22)</f>
        <v/>
      </c>
      <c r="AX20" s="53" t="str">
        <f>IF(Tim!EV22="","",Tim!EV22)</f>
        <v/>
      </c>
      <c r="AY20" s="53" t="str">
        <f>IF(Tim!EW22="","",Tim!EW22)</f>
        <v/>
      </c>
      <c r="AZ20" s="53" t="str">
        <f>IF(Tim!EX22="","",Tim!EX22)</f>
        <v/>
      </c>
      <c r="BA20" s="53" t="str">
        <f>IF(Tim!EY22="","",Tim!EY22)</f>
        <v/>
      </c>
      <c r="BB20" s="53" t="str">
        <f>IF(Tim!EZ22="","",Tim!EZ22)</f>
        <v/>
      </c>
      <c r="BC20" s="56" t="str">
        <f>IF(Tim!GD22="","",Tim!GD22)</f>
        <v>CR</v>
      </c>
      <c r="BD20" s="53" t="str">
        <f>IF(Tim!GE22="","",Tim!GE22)</f>
        <v/>
      </c>
      <c r="BE20" s="53" t="str">
        <f>IF(Tim!GF22="","",Tim!GF22)</f>
        <v/>
      </c>
      <c r="BF20" s="53" t="str">
        <f>IF(Tim!GG22="","",Tim!GG22)</f>
        <v/>
      </c>
      <c r="BG20" s="53" t="str">
        <f>IF(Tim!GH22="","",Tim!GH22)</f>
        <v/>
      </c>
      <c r="BH20" s="53" t="str">
        <f>IF(Tim!GI22="","",Tim!GI22)</f>
        <v/>
      </c>
      <c r="BI20" s="53" t="str">
        <f>IF(Tim!GJ22="","",Tim!GJ22)</f>
        <v/>
      </c>
      <c r="BJ20" s="53" t="str">
        <f>IF(Tim!GN22="","",Tim!GN22)</f>
        <v/>
      </c>
      <c r="BK20" s="53" t="str">
        <f>IF(Tim!GO22="","",Tim!GO22)</f>
        <v/>
      </c>
      <c r="BL20" s="53" t="str">
        <f>IF(Tim!GP22="","",Tim!GP22)</f>
        <v/>
      </c>
      <c r="BM20" s="53" t="str">
        <f>IF(Tim!GQ22="","",Tim!GQ22)</f>
        <v/>
      </c>
      <c r="BN20" s="53" t="str">
        <f>IF(Tim!GR22="","",Tim!GR22)</f>
        <v/>
      </c>
      <c r="BO20" s="56" t="str">
        <f>IF(Tim!HV22="","",Tim!HV22)</f>
        <v>RF</v>
      </c>
      <c r="BP20" s="53" t="str">
        <f>IF(Tim!HW22="","",Tim!HW22)</f>
        <v/>
      </c>
      <c r="BQ20" s="53" t="str">
        <f>IF(Tim!HX22="","",Tim!HX22)</f>
        <v/>
      </c>
      <c r="BR20" s="53" t="str">
        <f>IF(Tim!HY22="","",Tim!HY22)</f>
        <v/>
      </c>
      <c r="BS20" s="53" t="str">
        <f>IF(Tim!HZ22="","",Tim!HZ22)</f>
        <v/>
      </c>
      <c r="BT20" s="53" t="str">
        <f>IF(Tim!IA22="","",Tim!IA22)</f>
        <v/>
      </c>
      <c r="BU20" s="55" t="str">
        <f>IF(Tim!IB22="","",Tim!IB22)</f>
        <v/>
      </c>
      <c r="BV20" s="53" t="str">
        <f>IF(Tim!IF22="","",Tim!IF22)</f>
        <v/>
      </c>
      <c r="BW20" s="53" t="str">
        <f>IF(Tim!IG22="","",Tim!IG22)</f>
        <v/>
      </c>
      <c r="BX20" s="53" t="str">
        <f>IF(Tim!IH22="","",Tim!IH22)</f>
        <v/>
      </c>
      <c r="BY20" s="53" t="str">
        <f>IF(Tim!II22="","",Tim!II22)</f>
        <v/>
      </c>
      <c r="BZ20" s="53" t="str">
        <f>IF(Tim!IJ22="","",Tim!IJ22)</f>
        <v/>
      </c>
      <c r="CA20" s="59" t="str">
        <f>IF(Tim!JN22="","",Tim!JN22)</f>
        <v>RF</v>
      </c>
      <c r="CB20" s="59" t="str">
        <f>IF(Tim!JO22="","",Tim!JO22)</f>
        <v/>
      </c>
      <c r="CC20" s="59" t="str">
        <f>IF(Tim!JP22="","",Tim!JP22)</f>
        <v/>
      </c>
      <c r="CD20" s="59" t="str">
        <f>IF(Tim!JQ22="","",Tim!JQ22)</f>
        <v/>
      </c>
      <c r="CE20" s="59" t="str">
        <f>IF(Tim!JR22="","",Tim!JR22)</f>
        <v/>
      </c>
      <c r="CF20" s="59" t="str">
        <f>IF(Tim!JS22="","",Tim!JS22)</f>
        <v/>
      </c>
      <c r="CG20" s="59" t="str">
        <f>IF(Tim!JT22="","",Tim!JT22)</f>
        <v/>
      </c>
      <c r="CH20" s="53" t="str">
        <f>IF(Tim!JX22="","",Tim!JX22)</f>
        <v/>
      </c>
      <c r="CI20" s="53" t="str">
        <f>IF(Tim!JY22="","",Tim!JY22)</f>
        <v/>
      </c>
      <c r="CJ20" s="53" t="str">
        <f>IF(Tim!JZ22="","",Tim!JZ22)</f>
        <v/>
      </c>
      <c r="CK20" s="53" t="str">
        <f>IF(Tim!KA22="","",Tim!KA22)</f>
        <v/>
      </c>
      <c r="CL20" s="53" t="str">
        <f>IF(Tim!KB22="","",Tim!KB22)</f>
        <v/>
      </c>
      <c r="CM20" s="52">
        <v>0.44791666666666602</v>
      </c>
    </row>
    <row r="21" spans="2:91" ht="10.5" customHeight="1">
      <c r="B21" s="51">
        <v>0.25</v>
      </c>
      <c r="C21" s="51">
        <v>0.25</v>
      </c>
      <c r="D21" s="51">
        <v>0.25</v>
      </c>
      <c r="E21" s="212">
        <v>0.45833333333333298</v>
      </c>
      <c r="F21" s="56" t="str">
        <f>IF(Tim!F23="","",Tim!F23)</f>
        <v>HA</v>
      </c>
      <c r="G21" s="53" t="str">
        <f>IF(Tim!G23="","",Tim!G23)</f>
        <v/>
      </c>
      <c r="H21" s="53" t="str">
        <f>IF(Tim!H23="","",Tim!H23)</f>
        <v/>
      </c>
      <c r="I21" s="53" t="str">
        <f>IF(Tim!I23="","",Tim!I23)</f>
        <v/>
      </c>
      <c r="J21" s="53" t="str">
        <f>IF(Tim!J23="","",Tim!J23)</f>
        <v/>
      </c>
      <c r="K21" s="53" t="str">
        <f>IF(Tim!K23="","",Tim!K23)</f>
        <v/>
      </c>
      <c r="L21" s="53" t="str">
        <f>IF(Tim!L23="","",Tim!L23)</f>
        <v/>
      </c>
      <c r="M21" s="53" t="str">
        <f>IF(Tim!P23="","",Tim!P23)</f>
        <v/>
      </c>
      <c r="N21" s="53" t="str">
        <f>IF(Tim!Q23="","",Tim!Q23)</f>
        <v/>
      </c>
      <c r="O21" s="53" t="str">
        <f>IF(Tim!R23="","",Tim!R23)</f>
        <v/>
      </c>
      <c r="P21" s="53" t="str">
        <f>IF(Tim!S23="","",Tim!S23)</f>
        <v/>
      </c>
      <c r="Q21" s="55" t="str">
        <f>IF(Tim!T23="","",Tim!T23)</f>
        <v/>
      </c>
      <c r="R21" s="56" t="str">
        <f>IF(Tim!AY23="","",Tim!AY23)</f>
        <v>RF</v>
      </c>
      <c r="S21" s="53" t="str">
        <f>IF(Tim!AZ23="","",Tim!AZ23)</f>
        <v/>
      </c>
      <c r="T21" s="53" t="str">
        <f>IF(Tim!BA23="","",Tim!BA23)</f>
        <v/>
      </c>
      <c r="U21" s="53" t="str">
        <f>IF(Tim!BB23="","",Tim!BB23)</f>
        <v/>
      </c>
      <c r="V21" s="53" t="str">
        <f>IF(Tim!BC23="","",Tim!BC23)</f>
        <v/>
      </c>
      <c r="W21" s="53" t="str">
        <f>IF(Tim!BD23="","",Tim!BD23)</f>
        <v/>
      </c>
      <c r="X21" s="53" t="str">
        <f>IF(Tim!BE23="","",Tim!BE23)</f>
        <v/>
      </c>
      <c r="Y21" s="53" t="str">
        <f>IF(Tim!BF23="","",Tim!BF23)</f>
        <v/>
      </c>
      <c r="Z21" s="53" t="str">
        <f>IF(Tim!BI23="","",Tim!BI23)</f>
        <v/>
      </c>
      <c r="AA21" s="53" t="str">
        <f>IF(Tim!BJ23="","",Tim!BJ23)</f>
        <v/>
      </c>
      <c r="AB21" s="53" t="str">
        <f>IF(Tim!BK23="","",Tim!BK23)</f>
        <v/>
      </c>
      <c r="AC21" s="53" t="str">
        <f>IF(Tim!BL23="","",Tim!BL23)</f>
        <v/>
      </c>
      <c r="AD21" s="55" t="str">
        <f>IF(Tim!BM23="","",Tim!BM23)</f>
        <v/>
      </c>
      <c r="AE21" s="56" t="str">
        <f>IF(Tim!CQ23="","",Tim!CQ23)</f>
        <v>HA</v>
      </c>
      <c r="AF21" s="53" t="str">
        <f>IF(Tim!CR23="","",Tim!CR23)</f>
        <v/>
      </c>
      <c r="AG21" s="53" t="str">
        <f>IF(Tim!CS23="","",Tim!CS23)</f>
        <v/>
      </c>
      <c r="AH21" s="53" t="str">
        <f>IF(Tim!CT23="","",Tim!CT23)</f>
        <v/>
      </c>
      <c r="AI21" s="53" t="str">
        <f>IF(Tim!CU23="","",Tim!CU23)</f>
        <v/>
      </c>
      <c r="AJ21" s="53" t="str">
        <f>IF(Tim!CV23="","",Tim!CV23)</f>
        <v/>
      </c>
      <c r="AK21" s="53" t="str">
        <f>IF(Tim!CW23="","",Tim!CW23)</f>
        <v/>
      </c>
      <c r="AL21" s="53" t="str">
        <f>IF(Tim!DA23="","",Tim!DA23)</f>
        <v/>
      </c>
      <c r="AM21" s="53" t="str">
        <f>IF(Tim!DB23="","",Tim!DB23)</f>
        <v>LF</v>
      </c>
      <c r="AN21" s="53" t="str">
        <f>IF(Tim!DC23="","",Tim!DC23)</f>
        <v/>
      </c>
      <c r="AO21" s="53" t="str">
        <f>IF(Tim!DD23="","",Tim!DD23)</f>
        <v/>
      </c>
      <c r="AP21" s="53" t="str">
        <f>IF(Tim!DE23="","",Tim!DE23)</f>
        <v/>
      </c>
      <c r="AQ21" s="56" t="str">
        <f>IF(Tim!EL23="","",Tim!EL23)</f>
        <v>MS</v>
      </c>
      <c r="AR21" s="53" t="str">
        <f>IF(Tim!EM23="","",Tim!EM23)</f>
        <v/>
      </c>
      <c r="AS21" s="53" t="str">
        <f>IF(Tim!EN23="","",Tim!EN23)</f>
        <v/>
      </c>
      <c r="AT21" s="53" t="str">
        <f>IF(Tim!EO23="","",Tim!EO23)</f>
        <v/>
      </c>
      <c r="AU21" s="53" t="str">
        <f>IF(Tim!EP23="","",Tim!EP23)</f>
        <v/>
      </c>
      <c r="AV21" s="53" t="str">
        <f>IF(Tim!EQ23="","",Tim!EQ23)</f>
        <v/>
      </c>
      <c r="AW21" s="53" t="str">
        <f>IF(Tim!ER23="","",Tim!ER23)</f>
        <v/>
      </c>
      <c r="AX21" s="53" t="str">
        <f>IF(Tim!EV23="","",Tim!EV23)</f>
        <v/>
      </c>
      <c r="AY21" s="53" t="str">
        <f>IF(Tim!EW23="","",Tim!EW23)</f>
        <v/>
      </c>
      <c r="AZ21" s="53" t="str">
        <f>IF(Tim!EX23="","",Tim!EX23)</f>
        <v/>
      </c>
      <c r="BA21" s="53" t="str">
        <f>IF(Tim!EY23="","",Tim!EY23)</f>
        <v/>
      </c>
      <c r="BB21" s="53" t="str">
        <f>IF(Tim!EZ23="","",Tim!EZ23)</f>
        <v/>
      </c>
      <c r="BC21" s="56" t="str">
        <f>IF(Tim!GD23="","",Tim!GD23)</f>
        <v>HA</v>
      </c>
      <c r="BD21" s="53" t="str">
        <f>IF(Tim!GE23="","",Tim!GE23)</f>
        <v/>
      </c>
      <c r="BE21" s="53" t="str">
        <f>IF(Tim!GF23="","",Tim!GF23)</f>
        <v/>
      </c>
      <c r="BF21" s="53" t="str">
        <f>IF(Tim!GG23="","",Tim!GG23)</f>
        <v/>
      </c>
      <c r="BG21" s="53" t="str">
        <f>IF(Tim!GH23="","",Tim!GH23)</f>
        <v/>
      </c>
      <c r="BH21" s="53" t="str">
        <f>IF(Tim!GI23="","",Tim!GI23)</f>
        <v/>
      </c>
      <c r="BI21" s="53" t="str">
        <f>IF(Tim!GJ23="","",Tim!GJ23)</f>
        <v/>
      </c>
      <c r="BJ21" s="53" t="str">
        <f>IF(Tim!GN23="","",Tim!GN23)</f>
        <v>CR</v>
      </c>
      <c r="BK21" s="53" t="str">
        <f>IF(Tim!GO23="","",Tim!GO23)</f>
        <v/>
      </c>
      <c r="BL21" s="53" t="str">
        <f>IF(Tim!GP23="","",Tim!GP23)</f>
        <v/>
      </c>
      <c r="BM21" s="53" t="str">
        <f>IF(Tim!GQ23="","",Tim!GQ23)</f>
        <v/>
      </c>
      <c r="BN21" s="53" t="str">
        <f>IF(Tim!GR23="","",Tim!GR23)</f>
        <v/>
      </c>
      <c r="BO21" s="56" t="str">
        <f>IF(Tim!HV23="","",Tim!HV23)</f>
        <v>RF</v>
      </c>
      <c r="BP21" s="53" t="str">
        <f>IF(Tim!HW23="","",Tim!HW23)</f>
        <v/>
      </c>
      <c r="BQ21" s="53" t="str">
        <f>IF(Tim!HX23="","",Tim!HX23)</f>
        <v/>
      </c>
      <c r="BR21" s="53" t="str">
        <f>IF(Tim!HY23="","",Tim!HY23)</f>
        <v/>
      </c>
      <c r="BS21" s="53" t="str">
        <f>IF(Tim!HZ23="","",Tim!HZ23)</f>
        <v/>
      </c>
      <c r="BT21" s="53" t="str">
        <f>IF(Tim!IA23="","",Tim!IA23)</f>
        <v/>
      </c>
      <c r="BU21" s="55" t="str">
        <f>IF(Tim!IB23="","",Tim!IB23)</f>
        <v/>
      </c>
      <c r="BV21" s="53" t="str">
        <f>IF(Tim!IF23="","",Tim!IF23)</f>
        <v/>
      </c>
      <c r="BW21" s="53" t="str">
        <f>IF(Tim!IG23="","",Tim!IG23)</f>
        <v/>
      </c>
      <c r="BX21" s="53" t="str">
        <f>IF(Tim!IH23="","",Tim!IH23)</f>
        <v/>
      </c>
      <c r="BY21" s="53" t="str">
        <f>IF(Tim!II23="","",Tim!II23)</f>
        <v/>
      </c>
      <c r="BZ21" s="53" t="str">
        <f>IF(Tim!IJ23="","",Tim!IJ23)</f>
        <v/>
      </c>
      <c r="CA21" s="59" t="str">
        <f>IF(Tim!JN23="","",Tim!JN23)</f>
        <v>RF</v>
      </c>
      <c r="CB21" s="59" t="str">
        <f>IF(Tim!JO23="","",Tim!JO23)</f>
        <v/>
      </c>
      <c r="CC21" s="59" t="str">
        <f>IF(Tim!JP23="","",Tim!JP23)</f>
        <v/>
      </c>
      <c r="CD21" s="59" t="str">
        <f>IF(Tim!JQ23="","",Tim!JQ23)</f>
        <v/>
      </c>
      <c r="CE21" s="59" t="str">
        <f>IF(Tim!JR23="","",Tim!JR23)</f>
        <v/>
      </c>
      <c r="CF21" s="59" t="str">
        <f>IF(Tim!JS23="","",Tim!JS23)</f>
        <v/>
      </c>
      <c r="CG21" s="59" t="str">
        <f>IF(Tim!JT23="","",Tim!JT23)</f>
        <v/>
      </c>
      <c r="CH21" s="53" t="str">
        <f>IF(Tim!JX23="","",Tim!JX23)</f>
        <v/>
      </c>
      <c r="CI21" s="53" t="str">
        <f>IF(Tim!JY23="","",Tim!JY23)</f>
        <v/>
      </c>
      <c r="CJ21" s="53" t="str">
        <f>IF(Tim!JZ23="","",Tim!JZ23)</f>
        <v/>
      </c>
      <c r="CK21" s="53" t="str">
        <f>IF(Tim!KA23="","",Tim!KA23)</f>
        <v/>
      </c>
      <c r="CL21" s="53" t="str">
        <f>IF(Tim!KB23="","",Tim!KB23)</f>
        <v/>
      </c>
      <c r="CM21" s="52">
        <v>0.45833333333333298</v>
      </c>
    </row>
    <row r="22" spans="2:91" ht="10.5" customHeight="1">
      <c r="B22" s="51">
        <v>0.25</v>
      </c>
      <c r="C22" s="51">
        <v>0.25</v>
      </c>
      <c r="D22" s="51">
        <v>0.25</v>
      </c>
      <c r="E22" s="212">
        <v>0.46875</v>
      </c>
      <c r="F22" s="56" t="str">
        <f>IF(Tim!F24="","",Tim!F24)</f>
        <v>HA</v>
      </c>
      <c r="G22" s="53" t="str">
        <f>IF(Tim!G24="","",Tim!G24)</f>
        <v/>
      </c>
      <c r="H22" s="53" t="str">
        <f>IF(Tim!H24="","",Tim!H24)</f>
        <v/>
      </c>
      <c r="I22" s="53" t="str">
        <f>IF(Tim!I24="","",Tim!I24)</f>
        <v/>
      </c>
      <c r="J22" s="53" t="str">
        <f>IF(Tim!J24="","",Tim!J24)</f>
        <v/>
      </c>
      <c r="K22" s="53" t="str">
        <f>IF(Tim!K24="","",Tim!K24)</f>
        <v/>
      </c>
      <c r="L22" s="53" t="str">
        <f>IF(Tim!L24="","",Tim!L24)</f>
        <v/>
      </c>
      <c r="M22" s="53" t="str">
        <f>IF(Tim!P24="","",Tim!P24)</f>
        <v/>
      </c>
      <c r="N22" s="53" t="str">
        <f>IF(Tim!Q24="","",Tim!Q24)</f>
        <v/>
      </c>
      <c r="O22" s="53" t="str">
        <f>IF(Tim!R24="","",Tim!R24)</f>
        <v/>
      </c>
      <c r="P22" s="53" t="str">
        <f>IF(Tim!S24="","",Tim!S24)</f>
        <v/>
      </c>
      <c r="Q22" s="55" t="str">
        <f>IF(Tim!T24="","",Tim!T24)</f>
        <v/>
      </c>
      <c r="R22" s="56" t="str">
        <f>IF(Tim!AY24="","",Tim!AY24)</f>
        <v>RF</v>
      </c>
      <c r="S22" s="53" t="str">
        <f>IF(Tim!AZ24="","",Tim!AZ24)</f>
        <v>LA</v>
      </c>
      <c r="T22" s="53" t="str">
        <f>IF(Tim!BA24="","",Tim!BA24)</f>
        <v/>
      </c>
      <c r="U22" s="53" t="str">
        <f>IF(Tim!BB24="","",Tim!BB24)</f>
        <v/>
      </c>
      <c r="V22" s="53" t="str">
        <f>IF(Tim!BC24="","",Tim!BC24)</f>
        <v/>
      </c>
      <c r="W22" s="53" t="str">
        <f>IF(Tim!BD24="","",Tim!BD24)</f>
        <v/>
      </c>
      <c r="X22" s="53" t="str">
        <f>IF(Tim!BE24="","",Tim!BE24)</f>
        <v/>
      </c>
      <c r="Y22" s="53" t="str">
        <f>IF(Tim!BF24="","",Tim!BF24)</f>
        <v/>
      </c>
      <c r="Z22" s="53" t="str">
        <f>IF(Tim!BI24="","",Tim!BI24)</f>
        <v/>
      </c>
      <c r="AA22" s="53" t="str">
        <f>IF(Tim!BJ24="","",Tim!BJ24)</f>
        <v/>
      </c>
      <c r="AB22" s="53" t="str">
        <f>IF(Tim!BK24="","",Tim!BK24)</f>
        <v/>
      </c>
      <c r="AC22" s="53" t="str">
        <f>IF(Tim!BL24="","",Tim!BL24)</f>
        <v/>
      </c>
      <c r="AD22" s="55" t="str">
        <f>IF(Tim!BM24="","",Tim!BM24)</f>
        <v/>
      </c>
      <c r="AE22" s="56" t="str">
        <f>IF(Tim!CQ24="","",Tim!CQ24)</f>
        <v>LF</v>
      </c>
      <c r="AF22" s="53" t="str">
        <f>IF(Tim!CR24="","",Tim!CR24)</f>
        <v>HA</v>
      </c>
      <c r="AG22" s="53" t="str">
        <f>IF(Tim!CS24="","",Tim!CS24)</f>
        <v/>
      </c>
      <c r="AH22" s="53" t="str">
        <f>IF(Tim!CT24="","",Tim!CT24)</f>
        <v/>
      </c>
      <c r="AI22" s="53" t="str">
        <f>IF(Tim!CU24="","",Tim!CU24)</f>
        <v/>
      </c>
      <c r="AJ22" s="53" t="str">
        <f>IF(Tim!CV24="","",Tim!CV24)</f>
        <v/>
      </c>
      <c r="AK22" s="53" t="str">
        <f>IF(Tim!CW24="","",Tim!CW24)</f>
        <v/>
      </c>
      <c r="AL22" s="53" t="str">
        <f>IF(Tim!DA24="","",Tim!DA24)</f>
        <v/>
      </c>
      <c r="AM22" s="53" t="str">
        <f>IF(Tim!DB24="","",Tim!DB24)</f>
        <v/>
      </c>
      <c r="AN22" s="53" t="str">
        <f>IF(Tim!DC24="","",Tim!DC24)</f>
        <v/>
      </c>
      <c r="AO22" s="53" t="str">
        <f>IF(Tim!DD24="","",Tim!DD24)</f>
        <v/>
      </c>
      <c r="AP22" s="53" t="str">
        <f>IF(Tim!DE24="","",Tim!DE24)</f>
        <v/>
      </c>
      <c r="AQ22" s="56" t="str">
        <f>IF(Tim!EL24="","",Tim!EL24)</f>
        <v>MS</v>
      </c>
      <c r="AR22" s="53" t="str">
        <f>IF(Tim!EM24="","",Tim!EM24)</f>
        <v/>
      </c>
      <c r="AS22" s="53" t="str">
        <f>IF(Tim!EN24="","",Tim!EN24)</f>
        <v/>
      </c>
      <c r="AT22" s="53" t="str">
        <f>IF(Tim!EO24="","",Tim!EO24)</f>
        <v/>
      </c>
      <c r="AU22" s="53" t="str">
        <f>IF(Tim!EP24="","",Tim!EP24)</f>
        <v/>
      </c>
      <c r="AV22" s="53" t="str">
        <f>IF(Tim!EQ24="","",Tim!EQ24)</f>
        <v/>
      </c>
      <c r="AW22" s="53" t="str">
        <f>IF(Tim!ER24="","",Tim!ER24)</f>
        <v/>
      </c>
      <c r="AX22" s="53" t="str">
        <f>IF(Tim!EV24="","",Tim!EV24)</f>
        <v/>
      </c>
      <c r="AY22" s="53" t="str">
        <f>IF(Tim!EW24="","",Tim!EW24)</f>
        <v/>
      </c>
      <c r="AZ22" s="53" t="str">
        <f>IF(Tim!EX24="","",Tim!EX24)</f>
        <v/>
      </c>
      <c r="BA22" s="53" t="str">
        <f>IF(Tim!EY24="","",Tim!EY24)</f>
        <v/>
      </c>
      <c r="BB22" s="53" t="str">
        <f>IF(Tim!EZ24="","",Tim!EZ24)</f>
        <v/>
      </c>
      <c r="BC22" s="56" t="str">
        <f>IF(Tim!GD24="","",Tim!GD24)</f>
        <v>HA</v>
      </c>
      <c r="BD22" s="53" t="str">
        <f>IF(Tim!GE24="","",Tim!GE24)</f>
        <v/>
      </c>
      <c r="BE22" s="53" t="str">
        <f>IF(Tim!GF24="","",Tim!GF24)</f>
        <v/>
      </c>
      <c r="BF22" s="53" t="str">
        <f>IF(Tim!GG24="","",Tim!GG24)</f>
        <v/>
      </c>
      <c r="BG22" s="53" t="str">
        <f>IF(Tim!GH24="","",Tim!GH24)</f>
        <v/>
      </c>
      <c r="BH22" s="53" t="str">
        <f>IF(Tim!GI24="","",Tim!GI24)</f>
        <v/>
      </c>
      <c r="BI22" s="53" t="str">
        <f>IF(Tim!GJ24="","",Tim!GJ24)</f>
        <v/>
      </c>
      <c r="BJ22" s="53" t="str">
        <f>IF(Tim!GN24="","",Tim!GN24)</f>
        <v>CR</v>
      </c>
      <c r="BK22" s="53" t="str">
        <f>IF(Tim!GO24="","",Tim!GO24)</f>
        <v/>
      </c>
      <c r="BL22" s="53" t="str">
        <f>IF(Tim!GP24="","",Tim!GP24)</f>
        <v/>
      </c>
      <c r="BM22" s="53" t="str">
        <f>IF(Tim!GQ24="","",Tim!GQ24)</f>
        <v/>
      </c>
      <c r="BN22" s="53" t="str">
        <f>IF(Tim!GR24="","",Tim!GR24)</f>
        <v/>
      </c>
      <c r="BO22" s="56" t="str">
        <f>IF(Tim!HV24="","",Tim!HV24)</f>
        <v>RF</v>
      </c>
      <c r="BP22" s="53" t="str">
        <f>IF(Tim!HW24="","",Tim!HW24)</f>
        <v/>
      </c>
      <c r="BQ22" s="53" t="str">
        <f>IF(Tim!HX24="","",Tim!HX24)</f>
        <v/>
      </c>
      <c r="BR22" s="53" t="str">
        <f>IF(Tim!HY24="","",Tim!HY24)</f>
        <v/>
      </c>
      <c r="BS22" s="53" t="str">
        <f>IF(Tim!HZ24="","",Tim!HZ24)</f>
        <v/>
      </c>
      <c r="BT22" s="53" t="str">
        <f>IF(Tim!IA24="","",Tim!IA24)</f>
        <v/>
      </c>
      <c r="BU22" s="55" t="str">
        <f>IF(Tim!IB24="","",Tim!IB24)</f>
        <v/>
      </c>
      <c r="BV22" s="53" t="str">
        <f>IF(Tim!IF24="","",Tim!IF24)</f>
        <v/>
      </c>
      <c r="BW22" s="53" t="str">
        <f>IF(Tim!IG24="","",Tim!IG24)</f>
        <v/>
      </c>
      <c r="BX22" s="53" t="str">
        <f>IF(Tim!IH24="","",Tim!IH24)</f>
        <v/>
      </c>
      <c r="BY22" s="53" t="str">
        <f>IF(Tim!II24="","",Tim!II24)</f>
        <v/>
      </c>
      <c r="BZ22" s="53" t="str">
        <f>IF(Tim!IJ24="","",Tim!IJ24)</f>
        <v/>
      </c>
      <c r="CA22" s="59" t="str">
        <f>IF(Tim!JN24="","",Tim!JN24)</f>
        <v>RF</v>
      </c>
      <c r="CB22" s="59" t="str">
        <f>IF(Tim!JO24="","",Tim!JO24)</f>
        <v/>
      </c>
      <c r="CC22" s="59" t="str">
        <f>IF(Tim!JP24="","",Tim!JP24)</f>
        <v/>
      </c>
      <c r="CD22" s="59" t="str">
        <f>IF(Tim!JQ24="","",Tim!JQ24)</f>
        <v/>
      </c>
      <c r="CE22" s="59" t="str">
        <f>IF(Tim!JR24="","",Tim!JR24)</f>
        <v/>
      </c>
      <c r="CF22" s="59" t="str">
        <f>IF(Tim!JS24="","",Tim!JS24)</f>
        <v/>
      </c>
      <c r="CG22" s="59" t="str">
        <f>IF(Tim!JT24="","",Tim!JT24)</f>
        <v/>
      </c>
      <c r="CH22" s="53" t="str">
        <f>IF(Tim!JX24="","",Tim!JX24)</f>
        <v/>
      </c>
      <c r="CI22" s="53" t="str">
        <f>IF(Tim!JY24="","",Tim!JY24)</f>
        <v/>
      </c>
      <c r="CJ22" s="53" t="str">
        <f>IF(Tim!JZ24="","",Tim!JZ24)</f>
        <v/>
      </c>
      <c r="CK22" s="53" t="str">
        <f>IF(Tim!KA24="","",Tim!KA24)</f>
        <v/>
      </c>
      <c r="CL22" s="53" t="str">
        <f>IF(Tim!KB24="","",Tim!KB24)</f>
        <v/>
      </c>
      <c r="CM22" s="52">
        <v>0.46875</v>
      </c>
    </row>
    <row r="23" spans="2:91" ht="10.5" customHeight="1">
      <c r="B23" s="51">
        <v>0.25</v>
      </c>
      <c r="C23" s="51">
        <v>0.25</v>
      </c>
      <c r="D23" s="51">
        <v>0.25</v>
      </c>
      <c r="E23" s="212">
        <v>0.47916666666666602</v>
      </c>
      <c r="F23" s="56" t="str">
        <f>IF(Tim!F25="","",Tim!F25)</f>
        <v>HA</v>
      </c>
      <c r="G23" s="53" t="str">
        <f>IF(Tim!G25="","",Tim!G25)</f>
        <v/>
      </c>
      <c r="H23" s="53" t="str">
        <f>IF(Tim!H25="","",Tim!H25)</f>
        <v/>
      </c>
      <c r="I23" s="53" t="str">
        <f>IF(Tim!I25="","",Tim!I25)</f>
        <v/>
      </c>
      <c r="J23" s="53" t="str">
        <f>IF(Tim!J25="","",Tim!J25)</f>
        <v/>
      </c>
      <c r="K23" s="53" t="str">
        <f>IF(Tim!K25="","",Tim!K25)</f>
        <v/>
      </c>
      <c r="L23" s="53" t="str">
        <f>IF(Tim!L25="","",Tim!L25)</f>
        <v/>
      </c>
      <c r="M23" s="53" t="str">
        <f>IF(Tim!P25="","",Tim!P25)</f>
        <v>CR</v>
      </c>
      <c r="N23" s="53" t="str">
        <f>IF(Tim!Q25="","",Tim!Q25)</f>
        <v/>
      </c>
      <c r="O23" s="53" t="str">
        <f>IF(Tim!R25="","",Tim!R25)</f>
        <v/>
      </c>
      <c r="P23" s="53" t="str">
        <f>IF(Tim!S25="","",Tim!S25)</f>
        <v/>
      </c>
      <c r="Q23" s="55" t="str">
        <f>IF(Tim!T25="","",Tim!T25)</f>
        <v/>
      </c>
      <c r="R23" s="56" t="str">
        <f>IF(Tim!AY25="","",Tim!AY25)</f>
        <v>RF</v>
      </c>
      <c r="S23" s="53" t="str">
        <f>IF(Tim!AZ25="","",Tim!AZ25)</f>
        <v>LA</v>
      </c>
      <c r="T23" s="53" t="str">
        <f>IF(Tim!BA25="","",Tim!BA25)</f>
        <v/>
      </c>
      <c r="U23" s="53" t="str">
        <f>IF(Tim!BB25="","",Tim!BB25)</f>
        <v/>
      </c>
      <c r="V23" s="53" t="str">
        <f>IF(Tim!BC25="","",Tim!BC25)</f>
        <v/>
      </c>
      <c r="W23" s="53" t="str">
        <f>IF(Tim!BD25="","",Tim!BD25)</f>
        <v/>
      </c>
      <c r="X23" s="53" t="str">
        <f>IF(Tim!BE25="","",Tim!BE25)</f>
        <v/>
      </c>
      <c r="Y23" s="53" t="str">
        <f>IF(Tim!BF25="","",Tim!BF25)</f>
        <v/>
      </c>
      <c r="Z23" s="53" t="str">
        <f>IF(Tim!BI25="","",Tim!BI25)</f>
        <v/>
      </c>
      <c r="AA23" s="53" t="str">
        <f>IF(Tim!BJ25="","",Tim!BJ25)</f>
        <v/>
      </c>
      <c r="AB23" s="53" t="str">
        <f>IF(Tim!BK25="","",Tim!BK25)</f>
        <v/>
      </c>
      <c r="AC23" s="53" t="str">
        <f>IF(Tim!BL25="","",Tim!BL25)</f>
        <v/>
      </c>
      <c r="AD23" s="55" t="str">
        <f>IF(Tim!BM25="","",Tim!BM25)</f>
        <v/>
      </c>
      <c r="AE23" s="56" t="str">
        <f>IF(Tim!CQ25="","",Tim!CQ25)</f>
        <v>LF</v>
      </c>
      <c r="AF23" s="53" t="str">
        <f>IF(Tim!CR25="","",Tim!CR25)</f>
        <v/>
      </c>
      <c r="AG23" s="53" t="str">
        <f>IF(Tim!CS25="","",Tim!CS25)</f>
        <v/>
      </c>
      <c r="AH23" s="53" t="str">
        <f>IF(Tim!CT25="","",Tim!CT25)</f>
        <v/>
      </c>
      <c r="AI23" s="53" t="str">
        <f>IF(Tim!CU25="","",Tim!CU25)</f>
        <v/>
      </c>
      <c r="AJ23" s="53" t="str">
        <f>IF(Tim!CV25="","",Tim!CV25)</f>
        <v/>
      </c>
      <c r="AK23" s="53" t="str">
        <f>IF(Tim!CW25="","",Tim!CW25)</f>
        <v/>
      </c>
      <c r="AL23" s="53" t="str">
        <f>IF(Tim!DA25="","",Tim!DA25)</f>
        <v/>
      </c>
      <c r="AM23" s="53" t="str">
        <f>IF(Tim!DB25="","",Tim!DB25)</f>
        <v>CR</v>
      </c>
      <c r="AN23" s="53" t="str">
        <f>IF(Tim!DC25="","",Tim!DC25)</f>
        <v/>
      </c>
      <c r="AO23" s="53" t="str">
        <f>IF(Tim!DD25="","",Tim!DD25)</f>
        <v/>
      </c>
      <c r="AP23" s="53" t="str">
        <f>IF(Tim!DE25="","",Tim!DE25)</f>
        <v/>
      </c>
      <c r="AQ23" s="56" t="str">
        <f>IF(Tim!EL25="","",Tim!EL25)</f>
        <v>MS</v>
      </c>
      <c r="AR23" s="53" t="str">
        <f>IF(Tim!EM25="","",Tim!EM25)</f>
        <v/>
      </c>
      <c r="AS23" s="53" t="str">
        <f>IF(Tim!EN25="","",Tim!EN25)</f>
        <v/>
      </c>
      <c r="AT23" s="53" t="str">
        <f>IF(Tim!EO25="","",Tim!EO25)</f>
        <v/>
      </c>
      <c r="AU23" s="53" t="str">
        <f>IF(Tim!EP25="","",Tim!EP25)</f>
        <v/>
      </c>
      <c r="AV23" s="53" t="str">
        <f>IF(Tim!EQ25="","",Tim!EQ25)</f>
        <v/>
      </c>
      <c r="AW23" s="53" t="str">
        <f>IF(Tim!ER25="","",Tim!ER25)</f>
        <v/>
      </c>
      <c r="AX23" s="53" t="str">
        <f>IF(Tim!EV25="","",Tim!EV25)</f>
        <v/>
      </c>
      <c r="AY23" s="53" t="str">
        <f>IF(Tim!EW25="","",Tim!EW25)</f>
        <v/>
      </c>
      <c r="AZ23" s="53" t="str">
        <f>IF(Tim!EX25="","",Tim!EX25)</f>
        <v/>
      </c>
      <c r="BA23" s="53" t="str">
        <f>IF(Tim!EY25="","",Tim!EY25)</f>
        <v/>
      </c>
      <c r="BB23" s="53" t="str">
        <f>IF(Tim!EZ25="","",Tim!EZ25)</f>
        <v/>
      </c>
      <c r="BC23" s="56" t="str">
        <f>IF(Tim!GD25="","",Tim!GD25)</f>
        <v>RF</v>
      </c>
      <c r="BD23" s="53" t="str">
        <f>IF(Tim!GE25="","",Tim!GE25)</f>
        <v/>
      </c>
      <c r="BE23" s="53" t="str">
        <f>IF(Tim!GF25="","",Tim!GF25)</f>
        <v/>
      </c>
      <c r="BF23" s="53" t="str">
        <f>IF(Tim!GG25="","",Tim!GG25)</f>
        <v/>
      </c>
      <c r="BG23" s="53" t="str">
        <f>IF(Tim!GH25="","",Tim!GH25)</f>
        <v/>
      </c>
      <c r="BH23" s="53" t="str">
        <f>IF(Tim!GI25="","",Tim!GI25)</f>
        <v/>
      </c>
      <c r="BI23" s="53" t="str">
        <f>IF(Tim!GJ25="","",Tim!GJ25)</f>
        <v/>
      </c>
      <c r="BJ23" s="53" t="str">
        <f>IF(Tim!GN25="","",Tim!GN25)</f>
        <v>CR</v>
      </c>
      <c r="BK23" s="53" t="str">
        <f>IF(Tim!GO25="","",Tim!GO25)</f>
        <v/>
      </c>
      <c r="BL23" s="53" t="str">
        <f>IF(Tim!GP25="","",Tim!GP25)</f>
        <v/>
      </c>
      <c r="BM23" s="53" t="str">
        <f>IF(Tim!GQ25="","",Tim!GQ25)</f>
        <v/>
      </c>
      <c r="BN23" s="53" t="str">
        <f>IF(Tim!GR25="","",Tim!GR25)</f>
        <v/>
      </c>
      <c r="BO23" s="56" t="str">
        <f>IF(Tim!HV25="","",Tim!HV25)</f>
        <v>LA</v>
      </c>
      <c r="BP23" s="53" t="str">
        <f>IF(Tim!HW25="","",Tim!HW25)</f>
        <v/>
      </c>
      <c r="BQ23" s="53" t="str">
        <f>IF(Tim!HX25="","",Tim!HX25)</f>
        <v/>
      </c>
      <c r="BR23" s="53" t="str">
        <f>IF(Tim!HY25="","",Tim!HY25)</f>
        <v/>
      </c>
      <c r="BS23" s="53" t="str">
        <f>IF(Tim!HZ25="","",Tim!HZ25)</f>
        <v/>
      </c>
      <c r="BT23" s="53" t="str">
        <f>IF(Tim!IA25="","",Tim!IA25)</f>
        <v/>
      </c>
      <c r="BU23" s="55" t="str">
        <f>IF(Tim!IB25="","",Tim!IB25)</f>
        <v/>
      </c>
      <c r="BV23" s="53" t="str">
        <f>IF(Tim!IF25="","",Tim!IF25)</f>
        <v>RF</v>
      </c>
      <c r="BW23" s="53" t="str">
        <f>IF(Tim!IG25="","",Tim!IG25)</f>
        <v/>
      </c>
      <c r="BX23" s="53" t="str">
        <f>IF(Tim!IH25="","",Tim!IH25)</f>
        <v/>
      </c>
      <c r="BY23" s="53" t="str">
        <f>IF(Tim!II25="","",Tim!II25)</f>
        <v/>
      </c>
      <c r="BZ23" s="53" t="str">
        <f>IF(Tim!IJ25="","",Tim!IJ25)</f>
        <v/>
      </c>
      <c r="CA23" s="59" t="str">
        <f>IF(Tim!JN25="","",Tim!JN25)</f>
        <v>RF</v>
      </c>
      <c r="CB23" s="59" t="str">
        <f>IF(Tim!JO25="","",Tim!JO25)</f>
        <v/>
      </c>
      <c r="CC23" s="59" t="str">
        <f>IF(Tim!JP25="","",Tim!JP25)</f>
        <v/>
      </c>
      <c r="CD23" s="59" t="str">
        <f>IF(Tim!JQ25="","",Tim!JQ25)</f>
        <v/>
      </c>
      <c r="CE23" s="59" t="str">
        <f>IF(Tim!JR25="","",Tim!JR25)</f>
        <v/>
      </c>
      <c r="CF23" s="59" t="str">
        <f>IF(Tim!JS25="","",Tim!JS25)</f>
        <v/>
      </c>
      <c r="CG23" s="59" t="str">
        <f>IF(Tim!JT25="","",Tim!JT25)</f>
        <v/>
      </c>
      <c r="CH23" s="53" t="str">
        <f>IF(Tim!JX25="","",Tim!JX25)</f>
        <v/>
      </c>
      <c r="CI23" s="53" t="str">
        <f>IF(Tim!JY25="","",Tim!JY25)</f>
        <v/>
      </c>
      <c r="CJ23" s="53" t="str">
        <f>IF(Tim!JZ25="","",Tim!JZ25)</f>
        <v/>
      </c>
      <c r="CK23" s="53" t="str">
        <f>IF(Tim!KA25="","",Tim!KA25)</f>
        <v/>
      </c>
      <c r="CL23" s="53" t="str">
        <f>IF(Tim!KB25="","",Tim!KB25)</f>
        <v/>
      </c>
      <c r="CM23" s="52">
        <v>0.47916666666666602</v>
      </c>
    </row>
    <row r="24" spans="2:91" ht="10.5" customHeight="1">
      <c r="B24" s="51">
        <v>0.25</v>
      </c>
      <c r="C24" s="51">
        <v>0.25</v>
      </c>
      <c r="D24" s="51">
        <v>0.25</v>
      </c>
      <c r="E24" s="212">
        <v>0.48958333333333298</v>
      </c>
      <c r="F24" s="56" t="str">
        <f>IF(Tim!F26="","",Tim!F26)</f>
        <v>RF</v>
      </c>
      <c r="G24" s="53" t="str">
        <f>IF(Tim!G26="","",Tim!G26)</f>
        <v/>
      </c>
      <c r="H24" s="53" t="str">
        <f>IF(Tim!H26="","",Tim!H26)</f>
        <v/>
      </c>
      <c r="I24" s="53" t="str">
        <f>IF(Tim!I26="","",Tim!I26)</f>
        <v/>
      </c>
      <c r="J24" s="53" t="str">
        <f>IF(Tim!J26="","",Tim!J26)</f>
        <v/>
      </c>
      <c r="K24" s="53" t="str">
        <f>IF(Tim!K26="","",Tim!K26)</f>
        <v/>
      </c>
      <c r="L24" s="53" t="str">
        <f>IF(Tim!L26="","",Tim!L26)</f>
        <v/>
      </c>
      <c r="M24" s="53" t="str">
        <f>IF(Tim!P26="","",Tim!P26)</f>
        <v>CR</v>
      </c>
      <c r="N24" s="53" t="str">
        <f>IF(Tim!Q26="","",Tim!Q26)</f>
        <v/>
      </c>
      <c r="O24" s="53" t="str">
        <f>IF(Tim!R26="","",Tim!R26)</f>
        <v/>
      </c>
      <c r="P24" s="53" t="str">
        <f>IF(Tim!S26="","",Tim!S26)</f>
        <v/>
      </c>
      <c r="Q24" s="55" t="str">
        <f>IF(Tim!T26="","",Tim!T26)</f>
        <v/>
      </c>
      <c r="R24" s="56" t="str">
        <f>IF(Tim!AY26="","",Tim!AY26)</f>
        <v>LA</v>
      </c>
      <c r="S24" s="53" t="str">
        <f>IF(Tim!AZ26="","",Tim!AZ26)</f>
        <v/>
      </c>
      <c r="T24" s="53" t="str">
        <f>IF(Tim!BA26="","",Tim!BA26)</f>
        <v/>
      </c>
      <c r="U24" s="53" t="str">
        <f>IF(Tim!BB26="","",Tim!BB26)</f>
        <v/>
      </c>
      <c r="V24" s="53" t="str">
        <f>IF(Tim!BC26="","",Tim!BC26)</f>
        <v/>
      </c>
      <c r="W24" s="53" t="str">
        <f>IF(Tim!BD26="","",Tim!BD26)</f>
        <v/>
      </c>
      <c r="X24" s="53" t="str">
        <f>IF(Tim!BE26="","",Tim!BE26)</f>
        <v/>
      </c>
      <c r="Y24" s="53" t="str">
        <f>IF(Tim!BF26="","",Tim!BF26)</f>
        <v/>
      </c>
      <c r="Z24" s="53" t="str">
        <f>IF(Tim!BI26="","",Tim!BI26)</f>
        <v/>
      </c>
      <c r="AA24" s="53" t="str">
        <f>IF(Tim!BJ26="","",Tim!BJ26)</f>
        <v/>
      </c>
      <c r="AB24" s="53" t="str">
        <f>IF(Tim!BK26="","",Tim!BK26)</f>
        <v/>
      </c>
      <c r="AC24" s="53" t="str">
        <f>IF(Tim!BL26="","",Tim!BL26)</f>
        <v/>
      </c>
      <c r="AD24" s="55" t="str">
        <f>IF(Tim!BM26="","",Tim!BM26)</f>
        <v/>
      </c>
      <c r="AE24" s="56" t="str">
        <f>IF(Tim!CQ26="","",Tim!CQ26)</f>
        <v>LF</v>
      </c>
      <c r="AF24" s="53" t="str">
        <f>IF(Tim!CR26="","",Tim!CR26)</f>
        <v/>
      </c>
      <c r="AG24" s="53" t="str">
        <f>IF(Tim!CS26="","",Tim!CS26)</f>
        <v/>
      </c>
      <c r="AH24" s="53" t="str">
        <f>IF(Tim!CT26="","",Tim!CT26)</f>
        <v/>
      </c>
      <c r="AI24" s="53" t="str">
        <f>IF(Tim!CU26="","",Tim!CU26)</f>
        <v/>
      </c>
      <c r="AJ24" s="53" t="str">
        <f>IF(Tim!CV26="","",Tim!CV26)</f>
        <v/>
      </c>
      <c r="AK24" s="53" t="str">
        <f>IF(Tim!CW26="","",Tim!CW26)</f>
        <v/>
      </c>
      <c r="AL24" s="53" t="str">
        <f>IF(Tim!DA26="","",Tim!DA26)</f>
        <v/>
      </c>
      <c r="AM24" s="53" t="str">
        <f>IF(Tim!DB26="","",Tim!DB26)</f>
        <v>CR</v>
      </c>
      <c r="AN24" s="53" t="str">
        <f>IF(Tim!DC26="","",Tim!DC26)</f>
        <v/>
      </c>
      <c r="AO24" s="53" t="str">
        <f>IF(Tim!DD26="","",Tim!DD26)</f>
        <v/>
      </c>
      <c r="AP24" s="53" t="str">
        <f>IF(Tim!DE26="","",Tim!DE26)</f>
        <v/>
      </c>
      <c r="AQ24" s="56" t="str">
        <f>IF(Tim!EL26="","",Tim!EL26)</f>
        <v>MS</v>
      </c>
      <c r="AR24" s="53" t="str">
        <f>IF(Tim!EM26="","",Tim!EM26)</f>
        <v/>
      </c>
      <c r="AS24" s="53" t="str">
        <f>IF(Tim!EN26="","",Tim!EN26)</f>
        <v/>
      </c>
      <c r="AT24" s="53" t="str">
        <f>IF(Tim!EO26="","",Tim!EO26)</f>
        <v/>
      </c>
      <c r="AU24" s="53" t="str">
        <f>IF(Tim!EP26="","",Tim!EP26)</f>
        <v/>
      </c>
      <c r="AV24" s="53" t="str">
        <f>IF(Tim!EQ26="","",Tim!EQ26)</f>
        <v/>
      </c>
      <c r="AW24" s="53" t="str">
        <f>IF(Tim!ER26="","",Tim!ER26)</f>
        <v/>
      </c>
      <c r="AX24" s="53" t="str">
        <f>IF(Tim!EV26="","",Tim!EV26)</f>
        <v/>
      </c>
      <c r="AY24" s="53" t="str">
        <f>IF(Tim!EW26="","",Tim!EW26)</f>
        <v/>
      </c>
      <c r="AZ24" s="53" t="str">
        <f>IF(Tim!EX26="","",Tim!EX26)</f>
        <v/>
      </c>
      <c r="BA24" s="53" t="str">
        <f>IF(Tim!EY26="","",Tim!EY26)</f>
        <v/>
      </c>
      <c r="BB24" s="53" t="str">
        <f>IF(Tim!EZ26="","",Tim!EZ26)</f>
        <v/>
      </c>
      <c r="BC24" s="56" t="str">
        <f>IF(Tim!GD26="","",Tim!GD26)</f>
        <v>RF</v>
      </c>
      <c r="BD24" s="53" t="str">
        <f>IF(Tim!GE26="","",Tim!GE26)</f>
        <v/>
      </c>
      <c r="BE24" s="53" t="str">
        <f>IF(Tim!GF26="","",Tim!GF26)</f>
        <v/>
      </c>
      <c r="BF24" s="53" t="str">
        <f>IF(Tim!GG26="","",Tim!GG26)</f>
        <v/>
      </c>
      <c r="BG24" s="53" t="str">
        <f>IF(Tim!GH26="","",Tim!GH26)</f>
        <v/>
      </c>
      <c r="BH24" s="53" t="str">
        <f>IF(Tim!GI26="","",Tim!GI26)</f>
        <v/>
      </c>
      <c r="BI24" s="53" t="str">
        <f>IF(Tim!GJ26="","",Tim!GJ26)</f>
        <v/>
      </c>
      <c r="BJ24" s="53" t="str">
        <f>IF(Tim!GN26="","",Tim!GN26)</f>
        <v>CR</v>
      </c>
      <c r="BK24" s="53" t="str">
        <f>IF(Tim!GO26="","",Tim!GO26)</f>
        <v/>
      </c>
      <c r="BL24" s="53" t="str">
        <f>IF(Tim!GP26="","",Tim!GP26)</f>
        <v/>
      </c>
      <c r="BM24" s="53" t="str">
        <f>IF(Tim!GQ26="","",Tim!GQ26)</f>
        <v/>
      </c>
      <c r="BN24" s="53" t="str">
        <f>IF(Tim!GR26="","",Tim!GR26)</f>
        <v/>
      </c>
      <c r="BO24" s="56" t="str">
        <f>IF(Tim!HV26="","",Tim!HV26)</f>
        <v>LA</v>
      </c>
      <c r="BP24" s="53" t="str">
        <f>IF(Tim!HW26="","",Tim!HW26)</f>
        <v/>
      </c>
      <c r="BQ24" s="53" t="str">
        <f>IF(Tim!HX26="","",Tim!HX26)</f>
        <v/>
      </c>
      <c r="BR24" s="53" t="str">
        <f>IF(Tim!HY26="","",Tim!HY26)</f>
        <v/>
      </c>
      <c r="BS24" s="53" t="str">
        <f>IF(Tim!HZ26="","",Tim!HZ26)</f>
        <v/>
      </c>
      <c r="BT24" s="53" t="str">
        <f>IF(Tim!IA26="","",Tim!IA26)</f>
        <v/>
      </c>
      <c r="BU24" s="55" t="str">
        <f>IF(Tim!IB26="","",Tim!IB26)</f>
        <v/>
      </c>
      <c r="BV24" s="53" t="str">
        <f>IF(Tim!IF26="","",Tim!IF26)</f>
        <v>RF</v>
      </c>
      <c r="BW24" s="53" t="str">
        <f>IF(Tim!IG26="","",Tim!IG26)</f>
        <v/>
      </c>
      <c r="BX24" s="53" t="str">
        <f>IF(Tim!IH26="","",Tim!IH26)</f>
        <v/>
      </c>
      <c r="BY24" s="53" t="str">
        <f>IF(Tim!II26="","",Tim!II26)</f>
        <v/>
      </c>
      <c r="BZ24" s="53" t="str">
        <f>IF(Tim!IJ26="","",Tim!IJ26)</f>
        <v/>
      </c>
      <c r="CA24" s="59" t="str">
        <f>IF(Tim!JN26="","",Tim!JN26)</f>
        <v>RF</v>
      </c>
      <c r="CB24" s="59" t="str">
        <f>IF(Tim!JO26="","",Tim!JO26)</f>
        <v/>
      </c>
      <c r="CC24" s="59" t="str">
        <f>IF(Tim!JP26="","",Tim!JP26)</f>
        <v/>
      </c>
      <c r="CD24" s="59" t="str">
        <f>IF(Tim!JQ26="","",Tim!JQ26)</f>
        <v/>
      </c>
      <c r="CE24" s="59" t="str">
        <f>IF(Tim!JR26="","",Tim!JR26)</f>
        <v/>
      </c>
      <c r="CF24" s="59" t="str">
        <f>IF(Tim!JS26="","",Tim!JS26)</f>
        <v/>
      </c>
      <c r="CG24" s="59" t="str">
        <f>IF(Tim!JT26="","",Tim!JT26)</f>
        <v/>
      </c>
      <c r="CH24" s="53" t="str">
        <f>IF(Tim!JX26="","",Tim!JX26)</f>
        <v/>
      </c>
      <c r="CI24" s="53" t="str">
        <f>IF(Tim!JY26="","",Tim!JY26)</f>
        <v/>
      </c>
      <c r="CJ24" s="53" t="str">
        <f>IF(Tim!JZ26="","",Tim!JZ26)</f>
        <v/>
      </c>
      <c r="CK24" s="53" t="str">
        <f>IF(Tim!KA26="","",Tim!KA26)</f>
        <v/>
      </c>
      <c r="CL24" s="53" t="str">
        <f>IF(Tim!KB26="","",Tim!KB26)</f>
        <v/>
      </c>
      <c r="CM24" s="52">
        <v>0.48958333333333298</v>
      </c>
    </row>
    <row r="25" spans="2:91" ht="10.5" customHeight="1">
      <c r="B25" s="51">
        <v>0.25</v>
      </c>
      <c r="C25" s="51">
        <v>0.25</v>
      </c>
      <c r="D25" s="51">
        <v>0.25</v>
      </c>
      <c r="E25" s="172">
        <v>0.5</v>
      </c>
      <c r="F25" s="56" t="str">
        <f>IF(Tim!F27="","",Tim!F27)</f>
        <v>RF</v>
      </c>
      <c r="G25" s="53" t="str">
        <f>IF(Tim!G27="","",Tim!G27)</f>
        <v/>
      </c>
      <c r="H25" s="53" t="str">
        <f>IF(Tim!H27="","",Tim!H27)</f>
        <v/>
      </c>
      <c r="I25" s="53" t="str">
        <f>IF(Tim!I27="","",Tim!I27)</f>
        <v/>
      </c>
      <c r="J25" s="53" t="str">
        <f>IF(Tim!J27="","",Tim!J27)</f>
        <v/>
      </c>
      <c r="K25" s="53" t="str">
        <f>IF(Tim!K27="","",Tim!K27)</f>
        <v/>
      </c>
      <c r="L25" s="53" t="str">
        <f>IF(Tim!L27="","",Tim!L27)</f>
        <v/>
      </c>
      <c r="M25" s="53" t="str">
        <f>IF(Tim!P27="","",Tim!P27)</f>
        <v>CR</v>
      </c>
      <c r="N25" s="53" t="str">
        <f>IF(Tim!Q27="","",Tim!Q27)</f>
        <v/>
      </c>
      <c r="O25" s="53" t="str">
        <f>IF(Tim!R27="","",Tim!R27)</f>
        <v/>
      </c>
      <c r="P25" s="53" t="str">
        <f>IF(Tim!S27="","",Tim!S27)</f>
        <v/>
      </c>
      <c r="Q25" s="55" t="str">
        <f>IF(Tim!T27="","",Tim!T27)</f>
        <v/>
      </c>
      <c r="R25" s="56" t="str">
        <f>IF(Tim!AY27="","",Tim!AY27)</f>
        <v>HA</v>
      </c>
      <c r="S25" s="53" t="str">
        <f>IF(Tim!AZ27="","",Tim!AZ27)</f>
        <v/>
      </c>
      <c r="T25" s="53" t="str">
        <f>IF(Tim!BA27="","",Tim!BA27)</f>
        <v/>
      </c>
      <c r="U25" s="53" t="str">
        <f>IF(Tim!BB27="","",Tim!BB27)</f>
        <v/>
      </c>
      <c r="V25" s="53" t="str">
        <f>IF(Tim!BC27="","",Tim!BC27)</f>
        <v/>
      </c>
      <c r="W25" s="53" t="str">
        <f>IF(Tim!BD27="","",Tim!BD27)</f>
        <v/>
      </c>
      <c r="X25" s="53" t="str">
        <f>IF(Tim!BE27="","",Tim!BE27)</f>
        <v/>
      </c>
      <c r="Y25" s="53" t="str">
        <f>IF(Tim!BF27="","",Tim!BF27)</f>
        <v>LA</v>
      </c>
      <c r="Z25" s="53" t="str">
        <f>IF(Tim!BI27="","",Tim!BI27)</f>
        <v/>
      </c>
      <c r="AA25" s="53" t="str">
        <f>IF(Tim!BJ27="","",Tim!BJ27)</f>
        <v/>
      </c>
      <c r="AB25" s="53" t="str">
        <f>IF(Tim!BK27="","",Tim!BK27)</f>
        <v/>
      </c>
      <c r="AC25" s="53" t="str">
        <f>IF(Tim!BL27="","",Tim!BL27)</f>
        <v/>
      </c>
      <c r="AD25" s="55" t="str">
        <f>IF(Tim!BM27="","",Tim!BM27)</f>
        <v/>
      </c>
      <c r="AE25" s="56" t="str">
        <f>IF(Tim!CQ27="","",Tim!CQ27)</f>
        <v>LF</v>
      </c>
      <c r="AF25" s="53" t="str">
        <f>IF(Tim!CR27="","",Tim!CR27)</f>
        <v/>
      </c>
      <c r="AG25" s="53" t="str">
        <f>IF(Tim!CS27="","",Tim!CS27)</f>
        <v/>
      </c>
      <c r="AH25" s="53" t="str">
        <f>IF(Tim!CT27="","",Tim!CT27)</f>
        <v/>
      </c>
      <c r="AI25" s="53" t="str">
        <f>IF(Tim!CU27="","",Tim!CU27)</f>
        <v/>
      </c>
      <c r="AJ25" s="53" t="str">
        <f>IF(Tim!CV27="","",Tim!CV27)</f>
        <v/>
      </c>
      <c r="AK25" s="53" t="str">
        <f>IF(Tim!CW27="","",Tim!CW27)</f>
        <v/>
      </c>
      <c r="AL25" s="53" t="str">
        <f>IF(Tim!DA27="","",Tim!DA27)</f>
        <v/>
      </c>
      <c r="AM25" s="53" t="str">
        <f>IF(Tim!DB27="","",Tim!DB27)</f>
        <v>CR</v>
      </c>
      <c r="AN25" s="53" t="str">
        <f>IF(Tim!DC27="","",Tim!DC27)</f>
        <v/>
      </c>
      <c r="AO25" s="53" t="str">
        <f>IF(Tim!DD27="","",Tim!DD27)</f>
        <v/>
      </c>
      <c r="AP25" s="53" t="str">
        <f>IF(Tim!DE27="","",Tim!DE27)</f>
        <v/>
      </c>
      <c r="AQ25" s="56" t="str">
        <f>IF(Tim!EL27="","",Tim!EL27)</f>
        <v>RG</v>
      </c>
      <c r="AR25" s="53" t="str">
        <f>IF(Tim!EM27="","",Tim!EM27)</f>
        <v>MS</v>
      </c>
      <c r="AS25" s="53" t="str">
        <f>IF(Tim!EN27="","",Tim!EN27)</f>
        <v/>
      </c>
      <c r="AT25" s="53" t="str">
        <f>IF(Tim!EO27="","",Tim!EO27)</f>
        <v/>
      </c>
      <c r="AU25" s="53" t="str">
        <f>IF(Tim!EP27="","",Tim!EP27)</f>
        <v/>
      </c>
      <c r="AV25" s="53" t="str">
        <f>IF(Tim!EQ27="","",Tim!EQ27)</f>
        <v/>
      </c>
      <c r="AW25" s="53" t="str">
        <f>IF(Tim!ER27="","",Tim!ER27)</f>
        <v/>
      </c>
      <c r="AX25" s="53" t="str">
        <f>IF(Tim!EV27="","",Tim!EV27)</f>
        <v/>
      </c>
      <c r="AY25" s="53" t="str">
        <f>IF(Tim!EW27="","",Tim!EW27)</f>
        <v>LF</v>
      </c>
      <c r="AZ25" s="53" t="str">
        <f>IF(Tim!EX27="","",Tim!EX27)</f>
        <v/>
      </c>
      <c r="BA25" s="53" t="str">
        <f>IF(Tim!EY27="","",Tim!EY27)</f>
        <v/>
      </c>
      <c r="BB25" s="53" t="str">
        <f>IF(Tim!EZ27="","",Tim!EZ27)</f>
        <v/>
      </c>
      <c r="BC25" s="56" t="str">
        <f>IF(Tim!GD27="","",Tim!GD27)</f>
        <v>RF</v>
      </c>
      <c r="BD25" s="53" t="str">
        <f>IF(Tim!GE27="","",Tim!GE27)</f>
        <v/>
      </c>
      <c r="BE25" s="53" t="str">
        <f>IF(Tim!GF27="","",Tim!GF27)</f>
        <v/>
      </c>
      <c r="BF25" s="53" t="str">
        <f>IF(Tim!GG27="","",Tim!GG27)</f>
        <v/>
      </c>
      <c r="BG25" s="53" t="str">
        <f>IF(Tim!GH27="","",Tim!GH27)</f>
        <v/>
      </c>
      <c r="BH25" s="53" t="str">
        <f>IF(Tim!GI27="","",Tim!GI27)</f>
        <v/>
      </c>
      <c r="BI25" s="53" t="str">
        <f>IF(Tim!GJ27="","",Tim!GJ27)</f>
        <v/>
      </c>
      <c r="BJ25" s="53" t="str">
        <f>IF(Tim!GN27="","",Tim!GN27)</f>
        <v>CR</v>
      </c>
      <c r="BK25" s="53" t="str">
        <f>IF(Tim!GO27="","",Tim!GO27)</f>
        <v/>
      </c>
      <c r="BL25" s="53" t="str">
        <f>IF(Tim!GP27="","",Tim!GP27)</f>
        <v>LF</v>
      </c>
      <c r="BM25" s="53" t="str">
        <f>IF(Tim!GQ27="","",Tim!GQ27)</f>
        <v/>
      </c>
      <c r="BN25" s="53" t="str">
        <f>IF(Tim!GR27="","",Tim!GR27)</f>
        <v/>
      </c>
      <c r="BO25" s="56" t="str">
        <f>IF(Tim!HV27="","",Tim!HV27)</f>
        <v>LA</v>
      </c>
      <c r="BP25" s="53" t="str">
        <f>IF(Tim!HW27="","",Tim!HW27)</f>
        <v/>
      </c>
      <c r="BQ25" s="53" t="str">
        <f>IF(Tim!HX27="","",Tim!HX27)</f>
        <v/>
      </c>
      <c r="BR25" s="53" t="str">
        <f>IF(Tim!HY27="","",Tim!HY27)</f>
        <v/>
      </c>
      <c r="BS25" s="53" t="str">
        <f>IF(Tim!HZ27="","",Tim!HZ27)</f>
        <v/>
      </c>
      <c r="BT25" s="53" t="str">
        <f>IF(Tim!IA27="","",Tim!IA27)</f>
        <v/>
      </c>
      <c r="BU25" s="55" t="str">
        <f>IF(Tim!IB27="","",Tim!IB27)</f>
        <v/>
      </c>
      <c r="BV25" s="53" t="str">
        <f>IF(Tim!IF27="","",Tim!IF27)</f>
        <v>RF</v>
      </c>
      <c r="BW25" s="53" t="str">
        <f>IF(Tim!IG27="","",Tim!IG27)</f>
        <v/>
      </c>
      <c r="BX25" s="53" t="str">
        <f>IF(Tim!IH27="","",Tim!IH27)</f>
        <v/>
      </c>
      <c r="BY25" s="53" t="str">
        <f>IF(Tim!II27="","",Tim!II27)</f>
        <v/>
      </c>
      <c r="BZ25" s="53" t="str">
        <f>IF(Tim!IJ27="","",Tim!IJ27)</f>
        <v/>
      </c>
      <c r="CA25" s="59" t="str">
        <f>IF(Tim!JN27="","",Tim!JN27)</f>
        <v>RF</v>
      </c>
      <c r="CB25" s="59" t="str">
        <f>IF(Tim!JO27="","",Tim!JO27)</f>
        <v/>
      </c>
      <c r="CC25" s="59" t="str">
        <f>IF(Tim!JP27="","",Tim!JP27)</f>
        <v/>
      </c>
      <c r="CD25" s="59" t="str">
        <f>IF(Tim!JQ27="","",Tim!JQ27)</f>
        <v/>
      </c>
      <c r="CE25" s="59" t="str">
        <f>IF(Tim!JR27="","",Tim!JR27)</f>
        <v/>
      </c>
      <c r="CF25" s="59" t="str">
        <f>IF(Tim!JS27="","",Tim!JS27)</f>
        <v/>
      </c>
      <c r="CG25" s="59" t="str">
        <f>IF(Tim!JT27="","",Tim!JT27)</f>
        <v/>
      </c>
      <c r="CH25" s="53" t="str">
        <f>IF(Tim!JX27="","",Tim!JX27)</f>
        <v/>
      </c>
      <c r="CI25" s="53" t="str">
        <f>IF(Tim!JY27="","",Tim!JY27)</f>
        <v/>
      </c>
      <c r="CJ25" s="53" t="str">
        <f>IF(Tim!JZ27="","",Tim!JZ27)</f>
        <v/>
      </c>
      <c r="CK25" s="53" t="str">
        <f>IF(Tim!KA27="","",Tim!KA27)</f>
        <v/>
      </c>
      <c r="CL25" s="53" t="str">
        <f>IF(Tim!KB27="","",Tim!KB27)</f>
        <v/>
      </c>
      <c r="CM25" s="52">
        <v>0.5</v>
      </c>
    </row>
    <row r="26" spans="2:91" ht="10.5" customHeight="1">
      <c r="B26" s="51">
        <v>0.25</v>
      </c>
      <c r="C26" s="51">
        <v>0.25</v>
      </c>
      <c r="D26" s="51">
        <v>0.25</v>
      </c>
      <c r="E26" s="172">
        <v>0.51041666666666596</v>
      </c>
      <c r="F26" s="56" t="str">
        <f>IF(Tim!F28="","",Tim!F28)</f>
        <v>RF</v>
      </c>
      <c r="G26" s="53" t="str">
        <f>IF(Tim!G28="","",Tim!G28)</f>
        <v/>
      </c>
      <c r="H26" s="53" t="str">
        <f>IF(Tim!H28="","",Tim!H28)</f>
        <v/>
      </c>
      <c r="I26" s="53" t="str">
        <f>IF(Tim!I28="","",Tim!I28)</f>
        <v/>
      </c>
      <c r="J26" s="53" t="str">
        <f>IF(Tim!J28="","",Tim!J28)</f>
        <v/>
      </c>
      <c r="K26" s="53" t="str">
        <f>IF(Tim!K28="","",Tim!K28)</f>
        <v/>
      </c>
      <c r="L26" s="53" t="str">
        <f>IF(Tim!L28="","",Tim!L28)</f>
        <v/>
      </c>
      <c r="M26" s="53" t="str">
        <f>IF(Tim!P28="","",Tim!P28)</f>
        <v>CR</v>
      </c>
      <c r="N26" s="53" t="str">
        <f>IF(Tim!Q28="","",Tim!Q28)</f>
        <v/>
      </c>
      <c r="O26" s="53" t="str">
        <f>IF(Tim!R28="","",Tim!R28)</f>
        <v/>
      </c>
      <c r="P26" s="53" t="str">
        <f>IF(Tim!S28="","",Tim!S28)</f>
        <v/>
      </c>
      <c r="Q26" s="55" t="str">
        <f>IF(Tim!T28="","",Tim!T28)</f>
        <v/>
      </c>
      <c r="R26" s="56" t="str">
        <f>IF(Tim!AY28="","",Tim!AY28)</f>
        <v>HA</v>
      </c>
      <c r="S26" s="53" t="str">
        <f>IF(Tim!AZ28="","",Tim!AZ28)</f>
        <v>LF</v>
      </c>
      <c r="T26" s="53" t="str">
        <f>IF(Tim!BA28="","",Tim!BA28)</f>
        <v/>
      </c>
      <c r="U26" s="53" t="str">
        <f>IF(Tim!BB28="","",Tim!BB28)</f>
        <v/>
      </c>
      <c r="V26" s="53" t="str">
        <f>IF(Tim!BC28="","",Tim!BC28)</f>
        <v/>
      </c>
      <c r="W26" s="53" t="str">
        <f>IF(Tim!BD28="","",Tim!BD28)</f>
        <v/>
      </c>
      <c r="X26" s="53" t="str">
        <f>IF(Tim!BE28="","",Tim!BE28)</f>
        <v/>
      </c>
      <c r="Y26" s="53" t="str">
        <f>IF(Tim!BF28="","",Tim!BF28)</f>
        <v>LA</v>
      </c>
      <c r="Z26" s="53" t="str">
        <f>IF(Tim!BI28="","",Tim!BI28)</f>
        <v>CR</v>
      </c>
      <c r="AA26" s="53" t="str">
        <f>IF(Tim!BJ28="","",Tim!BJ28)</f>
        <v/>
      </c>
      <c r="AB26" s="53" t="str">
        <f>IF(Tim!BK28="","",Tim!BK28)</f>
        <v/>
      </c>
      <c r="AC26" s="53" t="str">
        <f>IF(Tim!BL28="","",Tim!BL28)</f>
        <v/>
      </c>
      <c r="AD26" s="55" t="str">
        <f>IF(Tim!BM28="","",Tim!BM28)</f>
        <v/>
      </c>
      <c r="AE26" s="56" t="str">
        <f>IF(Tim!CQ28="","",Tim!CQ28)</f>
        <v>LF</v>
      </c>
      <c r="AF26" s="53" t="str">
        <f>IF(Tim!CR28="","",Tim!CR28)</f>
        <v/>
      </c>
      <c r="AG26" s="53" t="str">
        <f>IF(Tim!CS28="","",Tim!CS28)</f>
        <v/>
      </c>
      <c r="AH26" s="53" t="str">
        <f>IF(Tim!CT28="","",Tim!CT28)</f>
        <v/>
      </c>
      <c r="AI26" s="53" t="str">
        <f>IF(Tim!CU28="","",Tim!CU28)</f>
        <v/>
      </c>
      <c r="AJ26" s="53" t="str">
        <f>IF(Tim!CV28="","",Tim!CV28)</f>
        <v/>
      </c>
      <c r="AK26" s="53" t="str">
        <f>IF(Tim!CW28="","",Tim!CW28)</f>
        <v/>
      </c>
      <c r="AL26" s="53" t="str">
        <f>IF(Tim!DA28="","",Tim!DA28)</f>
        <v/>
      </c>
      <c r="AM26" s="53" t="str">
        <f>IF(Tim!DB28="","",Tim!DB28)</f>
        <v>CR</v>
      </c>
      <c r="AN26" s="53" t="str">
        <f>IF(Tim!DC28="","",Tim!DC28)</f>
        <v/>
      </c>
      <c r="AO26" s="53" t="str">
        <f>IF(Tim!DD28="","",Tim!DD28)</f>
        <v/>
      </c>
      <c r="AP26" s="53" t="str">
        <f>IF(Tim!DE28="","",Tim!DE28)</f>
        <v/>
      </c>
      <c r="AQ26" s="56" t="str">
        <f>IF(Tim!EL28="","",Tim!EL28)</f>
        <v>RG</v>
      </c>
      <c r="AR26" s="53" t="str">
        <f>IF(Tim!EM28="","",Tim!EM28)</f>
        <v>CR</v>
      </c>
      <c r="AS26" s="53" t="str">
        <f>IF(Tim!EN28="","",Tim!EN28)</f>
        <v/>
      </c>
      <c r="AT26" s="53" t="str">
        <f>IF(Tim!EO28="","",Tim!EO28)</f>
        <v/>
      </c>
      <c r="AU26" s="53" t="str">
        <f>IF(Tim!EP28="","",Tim!EP28)</f>
        <v/>
      </c>
      <c r="AV26" s="53" t="str">
        <f>IF(Tim!EQ28="","",Tim!EQ28)</f>
        <v/>
      </c>
      <c r="AW26" s="53" t="str">
        <f>IF(Tim!ER28="","",Tim!ER28)</f>
        <v/>
      </c>
      <c r="AX26" s="53" t="str">
        <f>IF(Tim!EV28="","",Tim!EV28)</f>
        <v/>
      </c>
      <c r="AY26" s="53" t="str">
        <f>IF(Tim!EW28="","",Tim!EW28)</f>
        <v>LF</v>
      </c>
      <c r="AZ26" s="53" t="str">
        <f>IF(Tim!EX28="","",Tim!EX28)</f>
        <v/>
      </c>
      <c r="BA26" s="53" t="str">
        <f>IF(Tim!EY28="","",Tim!EY28)</f>
        <v/>
      </c>
      <c r="BB26" s="53" t="str">
        <f>IF(Tim!EZ28="","",Tim!EZ28)</f>
        <v/>
      </c>
      <c r="BC26" s="56" t="str">
        <f>IF(Tim!GD28="","",Tim!GD28)</f>
        <v>RF</v>
      </c>
      <c r="BD26" s="53" t="str">
        <f>IF(Tim!GE28="","",Tim!GE28)</f>
        <v/>
      </c>
      <c r="BE26" s="53" t="str">
        <f>IF(Tim!GF28="","",Tim!GF28)</f>
        <v/>
      </c>
      <c r="BF26" s="53" t="str">
        <f>IF(Tim!GG28="","",Tim!GG28)</f>
        <v/>
      </c>
      <c r="BG26" s="53" t="str">
        <f>IF(Tim!GH28="","",Tim!GH28)</f>
        <v/>
      </c>
      <c r="BH26" s="53" t="str">
        <f>IF(Tim!GI28="","",Tim!GI28)</f>
        <v/>
      </c>
      <c r="BI26" s="53" t="str">
        <f>IF(Tim!GJ28="","",Tim!GJ28)</f>
        <v/>
      </c>
      <c r="BJ26" s="53" t="str">
        <f>IF(Tim!GN28="","",Tim!GN28)</f>
        <v>CR</v>
      </c>
      <c r="BK26" s="53" t="str">
        <f>IF(Tim!GO28="","",Tim!GO28)</f>
        <v/>
      </c>
      <c r="BL26" s="53" t="str">
        <f>IF(Tim!GP28="","",Tim!GP28)</f>
        <v>LF</v>
      </c>
      <c r="BM26" s="53" t="str">
        <f>IF(Tim!GQ28="","",Tim!GQ28)</f>
        <v/>
      </c>
      <c r="BN26" s="53" t="str">
        <f>IF(Tim!GR28="","",Tim!GR28)</f>
        <v/>
      </c>
      <c r="BO26" s="56" t="str">
        <f>IF(Tim!HV28="","",Tim!HV28)</f>
        <v>LA</v>
      </c>
      <c r="BP26" s="53" t="str">
        <f>IF(Tim!HW28="","",Tim!HW28)</f>
        <v/>
      </c>
      <c r="BQ26" s="53" t="str">
        <f>IF(Tim!HX28="","",Tim!HX28)</f>
        <v/>
      </c>
      <c r="BR26" s="53" t="str">
        <f>IF(Tim!HY28="","",Tim!HY28)</f>
        <v/>
      </c>
      <c r="BS26" s="53" t="str">
        <f>IF(Tim!HZ28="","",Tim!HZ28)</f>
        <v/>
      </c>
      <c r="BT26" s="53" t="str">
        <f>IF(Tim!IA28="","",Tim!IA28)</f>
        <v/>
      </c>
      <c r="BU26" s="55" t="str">
        <f>IF(Tim!IB28="","",Tim!IB28)</f>
        <v/>
      </c>
      <c r="BV26" s="53" t="str">
        <f>IF(Tim!IF28="","",Tim!IF28)</f>
        <v>RF</v>
      </c>
      <c r="BW26" s="53" t="str">
        <f>IF(Tim!IG28="","",Tim!IG28)</f>
        <v/>
      </c>
      <c r="BX26" s="53" t="str">
        <f>IF(Tim!IH28="","",Tim!IH28)</f>
        <v/>
      </c>
      <c r="BY26" s="53" t="str">
        <f>IF(Tim!II28="","",Tim!II28)</f>
        <v/>
      </c>
      <c r="BZ26" s="53" t="str">
        <f>IF(Tim!IJ28="","",Tim!IJ28)</f>
        <v/>
      </c>
      <c r="CA26" s="59" t="str">
        <f>IF(Tim!JN28="","",Tim!JN28)</f>
        <v>RF</v>
      </c>
      <c r="CB26" s="59" t="str">
        <f>IF(Tim!JO28="","",Tim!JO28)</f>
        <v/>
      </c>
      <c r="CC26" s="59" t="str">
        <f>IF(Tim!JP28="","",Tim!JP28)</f>
        <v/>
      </c>
      <c r="CD26" s="59" t="str">
        <f>IF(Tim!JQ28="","",Tim!JQ28)</f>
        <v/>
      </c>
      <c r="CE26" s="59" t="str">
        <f>IF(Tim!JR28="","",Tim!JR28)</f>
        <v/>
      </c>
      <c r="CF26" s="59" t="str">
        <f>IF(Tim!JS28="","",Tim!JS28)</f>
        <v/>
      </c>
      <c r="CG26" s="59" t="str">
        <f>IF(Tim!JT28="","",Tim!JT28)</f>
        <v/>
      </c>
      <c r="CH26" s="53" t="str">
        <f>IF(Tim!JX28="","",Tim!JX28)</f>
        <v/>
      </c>
      <c r="CI26" s="53" t="str">
        <f>IF(Tim!JY28="","",Tim!JY28)</f>
        <v/>
      </c>
      <c r="CJ26" s="53" t="str">
        <f>IF(Tim!JZ28="","",Tim!JZ28)</f>
        <v/>
      </c>
      <c r="CK26" s="53" t="str">
        <f>IF(Tim!KA28="","",Tim!KA28)</f>
        <v/>
      </c>
      <c r="CL26" s="53" t="str">
        <f>IF(Tim!KB28="","",Tim!KB28)</f>
        <v/>
      </c>
      <c r="CM26" s="52">
        <v>0.51041666666666596</v>
      </c>
    </row>
    <row r="27" spans="2:91" ht="10.5" customHeight="1">
      <c r="B27" s="51">
        <v>0.25</v>
      </c>
      <c r="C27" s="51">
        <v>0.25</v>
      </c>
      <c r="D27" s="51">
        <v>0.25</v>
      </c>
      <c r="E27" s="172">
        <v>0.52083333333333304</v>
      </c>
      <c r="F27" s="56" t="str">
        <f>IF(Tim!F29="","",Tim!F29)</f>
        <v>RF</v>
      </c>
      <c r="G27" s="53" t="str">
        <f>IF(Tim!G29="","",Tim!G29)</f>
        <v/>
      </c>
      <c r="H27" s="53" t="str">
        <f>IF(Tim!H29="","",Tim!H29)</f>
        <v/>
      </c>
      <c r="I27" s="53" t="str">
        <f>IF(Tim!I29="","",Tim!I29)</f>
        <v/>
      </c>
      <c r="J27" s="53" t="str">
        <f>IF(Tim!J29="","",Tim!J29)</f>
        <v/>
      </c>
      <c r="K27" s="53" t="str">
        <f>IF(Tim!K29="","",Tim!K29)</f>
        <v/>
      </c>
      <c r="L27" s="53" t="str">
        <f>IF(Tim!L29="","",Tim!L29)</f>
        <v/>
      </c>
      <c r="M27" s="53" t="str">
        <f>IF(Tim!P29="","",Tim!P29)</f>
        <v>CR</v>
      </c>
      <c r="N27" s="53" t="str">
        <f>IF(Tim!Q29="","",Tim!Q29)</f>
        <v/>
      </c>
      <c r="O27" s="53" t="str">
        <f>IF(Tim!R29="","",Tim!R29)</f>
        <v/>
      </c>
      <c r="P27" s="53" t="str">
        <f>IF(Tim!S29="","",Tim!S29)</f>
        <v/>
      </c>
      <c r="Q27" s="55" t="str">
        <f>IF(Tim!T29="","",Tim!T29)</f>
        <v/>
      </c>
      <c r="R27" s="56" t="str">
        <f>IF(Tim!AY29="","",Tim!AY29)</f>
        <v>LA</v>
      </c>
      <c r="S27" s="53" t="str">
        <f>IF(Tim!AZ29="","",Tim!AZ29)</f>
        <v/>
      </c>
      <c r="T27" s="53" t="str">
        <f>IF(Tim!BA29="","",Tim!BA29)</f>
        <v/>
      </c>
      <c r="U27" s="53" t="str">
        <f>IF(Tim!BB29="","",Tim!BB29)</f>
        <v/>
      </c>
      <c r="V27" s="53" t="str">
        <f>IF(Tim!BC29="","",Tim!BC29)</f>
        <v/>
      </c>
      <c r="W27" s="53" t="str">
        <f>IF(Tim!BD29="","",Tim!BD29)</f>
        <v/>
      </c>
      <c r="X27" s="53" t="str">
        <f>IF(Tim!BE29="","",Tim!BE29)</f>
        <v/>
      </c>
      <c r="Y27" s="53" t="str">
        <f>IF(Tim!BF29="","",Tim!BF29)</f>
        <v/>
      </c>
      <c r="Z27" s="53" t="str">
        <f>IF(Tim!BI29="","",Tim!BI29)</f>
        <v>CR</v>
      </c>
      <c r="AA27" s="53" t="str">
        <f>IF(Tim!BJ29="","",Tim!BJ29)</f>
        <v/>
      </c>
      <c r="AB27" s="53" t="str">
        <f>IF(Tim!BK29="","",Tim!BK29)</f>
        <v/>
      </c>
      <c r="AC27" s="53" t="str">
        <f>IF(Tim!BL29="","",Tim!BL29)</f>
        <v/>
      </c>
      <c r="AD27" s="55" t="str">
        <f>IF(Tim!BM29="","",Tim!BM29)</f>
        <v/>
      </c>
      <c r="AE27" s="56" t="str">
        <f>IF(Tim!CQ29="","",Tim!CQ29)</f>
        <v>LA</v>
      </c>
      <c r="AF27" s="53" t="str">
        <f>IF(Tim!CR29="","",Tim!CR29)</f>
        <v/>
      </c>
      <c r="AG27" s="53" t="str">
        <f>IF(Tim!CS29="","",Tim!CS29)</f>
        <v/>
      </c>
      <c r="AH27" s="53" t="str">
        <f>IF(Tim!CT29="","",Tim!CT29)</f>
        <v/>
      </c>
      <c r="AI27" s="53" t="str">
        <f>IF(Tim!CU29="","",Tim!CU29)</f>
        <v/>
      </c>
      <c r="AJ27" s="53" t="str">
        <f>IF(Tim!CV29="","",Tim!CV29)</f>
        <v/>
      </c>
      <c r="AK27" s="53" t="str">
        <f>IF(Tim!CW29="","",Tim!CW29)</f>
        <v/>
      </c>
      <c r="AL27" s="53" t="str">
        <f>IF(Tim!DA29="","",Tim!DA29)</f>
        <v/>
      </c>
      <c r="AM27" s="53" t="str">
        <f>IF(Tim!DB29="","",Tim!DB29)</f>
        <v/>
      </c>
      <c r="AN27" s="53" t="str">
        <f>IF(Tim!DC29="","",Tim!DC29)</f>
        <v/>
      </c>
      <c r="AO27" s="53" t="str">
        <f>IF(Tim!DD29="","",Tim!DD29)</f>
        <v/>
      </c>
      <c r="AP27" s="53" t="str">
        <f>IF(Tim!DE29="","",Tim!DE29)</f>
        <v/>
      </c>
      <c r="AQ27" s="56" t="str">
        <f>IF(Tim!EL29="","",Tim!EL29)</f>
        <v>RG</v>
      </c>
      <c r="AR27" s="53" t="str">
        <f>IF(Tim!EM29="","",Tim!EM29)</f>
        <v/>
      </c>
      <c r="AS27" s="53" t="str">
        <f>IF(Tim!EN29="","",Tim!EN29)</f>
        <v/>
      </c>
      <c r="AT27" s="53" t="str">
        <f>IF(Tim!EO29="","",Tim!EO29)</f>
        <v/>
      </c>
      <c r="AU27" s="53" t="str">
        <f>IF(Tim!EP29="","",Tim!EP29)</f>
        <v/>
      </c>
      <c r="AV27" s="53" t="str">
        <f>IF(Tim!EQ29="","",Tim!EQ29)</f>
        <v/>
      </c>
      <c r="AW27" s="53" t="str">
        <f>IF(Tim!ER29="","",Tim!ER29)</f>
        <v/>
      </c>
      <c r="AX27" s="53" t="str">
        <f>IF(Tim!EV29="","",Tim!EV29)</f>
        <v/>
      </c>
      <c r="AY27" s="53" t="str">
        <f>IF(Tim!EW29="","",Tim!EW29)</f>
        <v>LF</v>
      </c>
      <c r="AZ27" s="53" t="str">
        <f>IF(Tim!EX29="","",Tim!EX29)</f>
        <v/>
      </c>
      <c r="BA27" s="53" t="str">
        <f>IF(Tim!EY29="","",Tim!EY29)</f>
        <v/>
      </c>
      <c r="BB27" s="53" t="str">
        <f>IF(Tim!EZ29="","",Tim!EZ29)</f>
        <v/>
      </c>
      <c r="BC27" s="56" t="str">
        <f>IF(Tim!GD29="","",Tim!GD29)</f>
        <v>RF</v>
      </c>
      <c r="BD27" s="53" t="str">
        <f>IF(Tim!GE29="","",Tim!GE29)</f>
        <v/>
      </c>
      <c r="BE27" s="53" t="str">
        <f>IF(Tim!GF29="","",Tim!GF29)</f>
        <v/>
      </c>
      <c r="BF27" s="53" t="str">
        <f>IF(Tim!GG29="","",Tim!GG29)</f>
        <v/>
      </c>
      <c r="BG27" s="53" t="str">
        <f>IF(Tim!GH29="","",Tim!GH29)</f>
        <v/>
      </c>
      <c r="BH27" s="53" t="str">
        <f>IF(Tim!GI29="","",Tim!GI29)</f>
        <v/>
      </c>
      <c r="BI27" s="53" t="str">
        <f>IF(Tim!GJ29="","",Tim!GJ29)</f>
        <v/>
      </c>
      <c r="BJ27" s="53" t="str">
        <f>IF(Tim!GN29="","",Tim!GN29)</f>
        <v>CR</v>
      </c>
      <c r="BK27" s="53" t="str">
        <f>IF(Tim!GO29="","",Tim!GO29)</f>
        <v/>
      </c>
      <c r="BL27" s="53" t="str">
        <f>IF(Tim!GP29="","",Tim!GP29)</f>
        <v>LF</v>
      </c>
      <c r="BM27" s="53" t="str">
        <f>IF(Tim!GQ29="","",Tim!GQ29)</f>
        <v/>
      </c>
      <c r="BN27" s="53" t="str">
        <f>IF(Tim!GR29="","",Tim!GR29)</f>
        <v/>
      </c>
      <c r="BO27" s="56" t="str">
        <f>IF(Tim!HV29="","",Tim!HV29)</f>
        <v>RF</v>
      </c>
      <c r="BP27" s="53" t="str">
        <f>IF(Tim!HW29="","",Tim!HW29)</f>
        <v/>
      </c>
      <c r="BQ27" s="53" t="str">
        <f>IF(Tim!HX29="","",Tim!HX29)</f>
        <v/>
      </c>
      <c r="BR27" s="53" t="str">
        <f>IF(Tim!HY29="","",Tim!HY29)</f>
        <v/>
      </c>
      <c r="BS27" s="53" t="str">
        <f>IF(Tim!HZ29="","",Tim!HZ29)</f>
        <v/>
      </c>
      <c r="BT27" s="53" t="str">
        <f>IF(Tim!IA29="","",Tim!IA29)</f>
        <v/>
      </c>
      <c r="BU27" s="55" t="str">
        <f>IF(Tim!IB29="","",Tim!IB29)</f>
        <v/>
      </c>
      <c r="BV27" s="53" t="str">
        <f>IF(Tim!IF29="","",Tim!IF29)</f>
        <v>LA</v>
      </c>
      <c r="BW27" s="53" t="str">
        <f>IF(Tim!IG29="","",Tim!IG29)</f>
        <v/>
      </c>
      <c r="BX27" s="53" t="str">
        <f>IF(Tim!IH29="","",Tim!IH29)</f>
        <v/>
      </c>
      <c r="BY27" s="53" t="str">
        <f>IF(Tim!II29="","",Tim!II29)</f>
        <v/>
      </c>
      <c r="BZ27" s="53" t="str">
        <f>IF(Tim!IJ29="","",Tim!IJ29)</f>
        <v/>
      </c>
      <c r="CA27" s="59" t="str">
        <f>IF(Tim!JN29="","",Tim!JN29)</f>
        <v>RF</v>
      </c>
      <c r="CB27" s="59" t="str">
        <f>IF(Tim!JO29="","",Tim!JO29)</f>
        <v/>
      </c>
      <c r="CC27" s="59" t="str">
        <f>IF(Tim!JP29="","",Tim!JP29)</f>
        <v/>
      </c>
      <c r="CD27" s="59" t="str">
        <f>IF(Tim!JQ29="","",Tim!JQ29)</f>
        <v/>
      </c>
      <c r="CE27" s="59" t="str">
        <f>IF(Tim!JR29="","",Tim!JR29)</f>
        <v/>
      </c>
      <c r="CF27" s="59" t="str">
        <f>IF(Tim!JS29="","",Tim!JS29)</f>
        <v/>
      </c>
      <c r="CG27" s="59" t="str">
        <f>IF(Tim!JT29="","",Tim!JT29)</f>
        <v/>
      </c>
      <c r="CH27" s="53" t="str">
        <f>IF(Tim!JX29="","",Tim!JX29)</f>
        <v/>
      </c>
      <c r="CI27" s="53" t="str">
        <f>IF(Tim!JY29="","",Tim!JY29)</f>
        <v/>
      </c>
      <c r="CJ27" s="53" t="str">
        <f>IF(Tim!JZ29="","",Tim!JZ29)</f>
        <v/>
      </c>
      <c r="CK27" s="53" t="str">
        <f>IF(Tim!KA29="","",Tim!KA29)</f>
        <v/>
      </c>
      <c r="CL27" s="53" t="str">
        <f>IF(Tim!KB29="","",Tim!KB29)</f>
        <v/>
      </c>
      <c r="CM27" s="52">
        <v>0.52083333333333304</v>
      </c>
    </row>
    <row r="28" spans="2:91" ht="10.5" customHeight="1">
      <c r="B28" s="51">
        <v>0.25</v>
      </c>
      <c r="C28" s="51">
        <v>0.25</v>
      </c>
      <c r="D28" s="51">
        <v>0.25</v>
      </c>
      <c r="E28" s="172">
        <v>0.531249999999999</v>
      </c>
      <c r="F28" s="56" t="str">
        <f>IF(Tim!F30="","",Tim!F30)</f>
        <v>LF</v>
      </c>
      <c r="G28" s="53" t="str">
        <f>IF(Tim!G30="","",Tim!G30)</f>
        <v/>
      </c>
      <c r="H28" s="53" t="str">
        <f>IF(Tim!H30="","",Tim!H30)</f>
        <v/>
      </c>
      <c r="I28" s="53" t="str">
        <f>IF(Tim!I30="","",Tim!I30)</f>
        <v/>
      </c>
      <c r="J28" s="53" t="str">
        <f>IF(Tim!J30="","",Tim!J30)</f>
        <v/>
      </c>
      <c r="K28" s="53" t="str">
        <f>IF(Tim!K30="","",Tim!K30)</f>
        <v/>
      </c>
      <c r="L28" s="53" t="str">
        <f>IF(Tim!L30="","",Tim!L30)</f>
        <v/>
      </c>
      <c r="M28" s="53" t="str">
        <f>IF(Tim!P30="","",Tim!P30)</f>
        <v>CR</v>
      </c>
      <c r="N28" s="53" t="str">
        <f>IF(Tim!Q30="","",Tim!Q30)</f>
        <v/>
      </c>
      <c r="O28" s="53" t="str">
        <f>IF(Tim!R30="","",Tim!R30)</f>
        <v/>
      </c>
      <c r="P28" s="53" t="str">
        <f>IF(Tim!S30="","",Tim!S30)</f>
        <v/>
      </c>
      <c r="Q28" s="55" t="str">
        <f>IF(Tim!T30="","",Tim!T30)</f>
        <v/>
      </c>
      <c r="R28" s="56" t="str">
        <f>IF(Tim!AY30="","",Tim!AY30)</f>
        <v>LA</v>
      </c>
      <c r="S28" s="53" t="str">
        <f>IF(Tim!AZ30="","",Tim!AZ30)</f>
        <v/>
      </c>
      <c r="T28" s="53" t="str">
        <f>IF(Tim!BA30="","",Tim!BA30)</f>
        <v/>
      </c>
      <c r="U28" s="53" t="str">
        <f>IF(Tim!BB30="","",Tim!BB30)</f>
        <v/>
      </c>
      <c r="V28" s="53" t="str">
        <f>IF(Tim!BC30="","",Tim!BC30)</f>
        <v/>
      </c>
      <c r="W28" s="53" t="str">
        <f>IF(Tim!BD30="","",Tim!BD30)</f>
        <v/>
      </c>
      <c r="X28" s="53" t="str">
        <f>IF(Tim!BE30="","",Tim!BE30)</f>
        <v/>
      </c>
      <c r="Y28" s="53" t="str">
        <f>IF(Tim!BF30="","",Tim!BF30)</f>
        <v/>
      </c>
      <c r="Z28" s="53" t="str">
        <f>IF(Tim!BI30="","",Tim!BI30)</f>
        <v>CR</v>
      </c>
      <c r="AA28" s="53" t="str">
        <f>IF(Tim!BJ30="","",Tim!BJ30)</f>
        <v/>
      </c>
      <c r="AB28" s="53" t="str">
        <f>IF(Tim!BK30="","",Tim!BK30)</f>
        <v/>
      </c>
      <c r="AC28" s="53" t="str">
        <f>IF(Tim!BL30="","",Tim!BL30)</f>
        <v/>
      </c>
      <c r="AD28" s="55" t="str">
        <f>IF(Tim!BM30="","",Tim!BM30)</f>
        <v/>
      </c>
      <c r="AE28" s="56" t="str">
        <f>IF(Tim!CQ30="","",Tim!CQ30)</f>
        <v>LA</v>
      </c>
      <c r="AF28" s="53" t="str">
        <f>IF(Tim!CR30="","",Tim!CR30)</f>
        <v>HA</v>
      </c>
      <c r="AG28" s="53" t="str">
        <f>IF(Tim!CS30="","",Tim!CS30)</f>
        <v/>
      </c>
      <c r="AH28" s="53" t="str">
        <f>IF(Tim!CT30="","",Tim!CT30)</f>
        <v/>
      </c>
      <c r="AI28" s="53" t="str">
        <f>IF(Tim!CU30="","",Tim!CU30)</f>
        <v/>
      </c>
      <c r="AJ28" s="53" t="str">
        <f>IF(Tim!CV30="","",Tim!CV30)</f>
        <v/>
      </c>
      <c r="AK28" s="53" t="str">
        <f>IF(Tim!CW30="","",Tim!CW30)</f>
        <v/>
      </c>
      <c r="AL28" s="53" t="str">
        <f>IF(Tim!DA30="","",Tim!DA30)</f>
        <v/>
      </c>
      <c r="AM28" s="53" t="str">
        <f>IF(Tim!DB30="","",Tim!DB30)</f>
        <v/>
      </c>
      <c r="AN28" s="53" t="str">
        <f>IF(Tim!DC30="","",Tim!DC30)</f>
        <v/>
      </c>
      <c r="AO28" s="53" t="str">
        <f>IF(Tim!DD30="","",Tim!DD30)</f>
        <v/>
      </c>
      <c r="AP28" s="53" t="str">
        <f>IF(Tim!DE30="","",Tim!DE30)</f>
        <v/>
      </c>
      <c r="AQ28" s="56" t="str">
        <f>IF(Tim!EL30="","",Tim!EL30)</f>
        <v>RG</v>
      </c>
      <c r="AR28" s="53" t="str">
        <f>IF(Tim!EM30="","",Tim!EM30)</f>
        <v/>
      </c>
      <c r="AS28" s="53" t="str">
        <f>IF(Tim!EN30="","",Tim!EN30)</f>
        <v/>
      </c>
      <c r="AT28" s="53" t="str">
        <f>IF(Tim!EO30="","",Tim!EO30)</f>
        <v/>
      </c>
      <c r="AU28" s="53" t="str">
        <f>IF(Tim!EP30="","",Tim!EP30)</f>
        <v/>
      </c>
      <c r="AV28" s="53" t="str">
        <f>IF(Tim!EQ30="","",Tim!EQ30)</f>
        <v/>
      </c>
      <c r="AW28" s="53" t="str">
        <f>IF(Tim!ER30="","",Tim!ER30)</f>
        <v/>
      </c>
      <c r="AX28" s="53" t="str">
        <f>IF(Tim!EV30="","",Tim!EV30)</f>
        <v/>
      </c>
      <c r="AY28" s="53" t="e">
        <f>IF(Tim!#REF!="","",Tim!#REF!)</f>
        <v>#REF!</v>
      </c>
      <c r="AZ28" s="53" t="str">
        <f>IF(Tim!EX30="","",Tim!EX30)</f>
        <v/>
      </c>
      <c r="BA28" s="53" t="str">
        <f>IF(Tim!EY30="","",Tim!EY30)</f>
        <v/>
      </c>
      <c r="BB28" s="53" t="str">
        <f>IF(Tim!EZ30="","",Tim!EZ30)</f>
        <v/>
      </c>
      <c r="BC28" s="56" t="str">
        <f>IF(Tim!GD30="","",Tim!GD30)</f>
        <v>RF</v>
      </c>
      <c r="BD28" s="53" t="str">
        <f>IF(Tim!GE30="","",Tim!GE30)</f>
        <v/>
      </c>
      <c r="BE28" s="53" t="str">
        <f>IF(Tim!GF30="","",Tim!GF30)</f>
        <v/>
      </c>
      <c r="BF28" s="53" t="str">
        <f>IF(Tim!GG30="","",Tim!GG30)</f>
        <v/>
      </c>
      <c r="BG28" s="53" t="str">
        <f>IF(Tim!GH30="","",Tim!GH30)</f>
        <v/>
      </c>
      <c r="BH28" s="53" t="str">
        <f>IF(Tim!GI30="","",Tim!GI30)</f>
        <v/>
      </c>
      <c r="BI28" s="53" t="str">
        <f>IF(Tim!GJ30="","",Tim!GJ30)</f>
        <v/>
      </c>
      <c r="BJ28" s="53" t="str">
        <f>IF(Tim!GN30="","",Tim!GN30)</f>
        <v>CR</v>
      </c>
      <c r="BK28" s="53" t="str">
        <f>IF(Tim!GO30="","",Tim!GO30)</f>
        <v/>
      </c>
      <c r="BL28" s="53" t="str">
        <f>IF(Tim!GP30="","",Tim!GP30)</f>
        <v>LF</v>
      </c>
      <c r="BM28" s="53" t="str">
        <f>IF(Tim!GQ30="","",Tim!GQ30)</f>
        <v/>
      </c>
      <c r="BN28" s="53" t="str">
        <f>IF(Tim!GR30="","",Tim!GR30)</f>
        <v/>
      </c>
      <c r="BO28" s="56" t="str">
        <f>IF(Tim!HV30="","",Tim!HV30)</f>
        <v>RF</v>
      </c>
      <c r="BP28" s="53" t="str">
        <f>IF(Tim!HW30="","",Tim!HW30)</f>
        <v/>
      </c>
      <c r="BQ28" s="53" t="str">
        <f>IF(Tim!HX30="","",Tim!HX30)</f>
        <v/>
      </c>
      <c r="BR28" s="53" t="str">
        <f>IF(Tim!HY30="","",Tim!HY30)</f>
        <v/>
      </c>
      <c r="BS28" s="53" t="str">
        <f>IF(Tim!HZ30="","",Tim!HZ30)</f>
        <v/>
      </c>
      <c r="BT28" s="53" t="str">
        <f>IF(Tim!IA30="","",Tim!IA30)</f>
        <v/>
      </c>
      <c r="BU28" s="55" t="str">
        <f>IF(Tim!IB30="","",Tim!IB30)</f>
        <v/>
      </c>
      <c r="BV28" s="53" t="str">
        <f>IF(Tim!IF30="","",Tim!IF30)</f>
        <v>LA</v>
      </c>
      <c r="BW28" s="53" t="str">
        <f>IF(Tim!IG30="","",Tim!IG30)</f>
        <v/>
      </c>
      <c r="BX28" s="53" t="str">
        <f>IF(Tim!IH30="","",Tim!IH30)</f>
        <v/>
      </c>
      <c r="BY28" s="53" t="str">
        <f>IF(Tim!II30="","",Tim!II30)</f>
        <v/>
      </c>
      <c r="BZ28" s="53" t="str">
        <f>IF(Tim!IJ30="","",Tim!IJ30)</f>
        <v/>
      </c>
      <c r="CA28" s="59" t="str">
        <f>IF(Tim!JN30="","",Tim!JN30)</f>
        <v>RF</v>
      </c>
      <c r="CB28" s="59" t="str">
        <f>IF(Tim!JO30="","",Tim!JO30)</f>
        <v/>
      </c>
      <c r="CC28" s="59" t="str">
        <f>IF(Tim!JP30="","",Tim!JP30)</f>
        <v/>
      </c>
      <c r="CD28" s="59" t="str">
        <f>IF(Tim!JQ30="","",Tim!JQ30)</f>
        <v/>
      </c>
      <c r="CE28" s="59" t="str">
        <f>IF(Tim!JR30="","",Tim!JR30)</f>
        <v/>
      </c>
      <c r="CF28" s="59" t="str">
        <f>IF(Tim!JS30="","",Tim!JS30)</f>
        <v/>
      </c>
      <c r="CG28" s="59" t="str">
        <f>IF(Tim!JT30="","",Tim!JT30)</f>
        <v/>
      </c>
      <c r="CH28" s="53" t="str">
        <f>IF(Tim!JX30="","",Tim!JX30)</f>
        <v/>
      </c>
      <c r="CI28" s="53" t="str">
        <f>IF(Tim!JY30="","",Tim!JY30)</f>
        <v/>
      </c>
      <c r="CJ28" s="53" t="str">
        <f>IF(Tim!JZ30="","",Tim!JZ30)</f>
        <v/>
      </c>
      <c r="CK28" s="53" t="str">
        <f>IF(Tim!KA30="","",Tim!KA30)</f>
        <v/>
      </c>
      <c r="CL28" s="53" t="str">
        <f>IF(Tim!KB30="","",Tim!KB30)</f>
        <v/>
      </c>
      <c r="CM28" s="52">
        <v>0.531249999999999</v>
      </c>
    </row>
    <row r="29" spans="2:91" ht="10.5" customHeight="1">
      <c r="B29" s="51">
        <v>0.25</v>
      </c>
      <c r="C29" s="51">
        <v>0.25</v>
      </c>
      <c r="D29" s="51">
        <v>0.25</v>
      </c>
      <c r="E29" s="172">
        <v>0.54166666666666596</v>
      </c>
      <c r="F29" s="56" t="str">
        <f>IF(Tim!F31="","",Tim!F31)</f>
        <v>LF</v>
      </c>
      <c r="G29" s="53" t="str">
        <f>IF(Tim!G31="","",Tim!G31)</f>
        <v/>
      </c>
      <c r="H29" s="53" t="str">
        <f>IF(Tim!H31="","",Tim!H31)</f>
        <v/>
      </c>
      <c r="I29" s="53" t="str">
        <f>IF(Tim!I31="","",Tim!I31)</f>
        <v/>
      </c>
      <c r="J29" s="53" t="str">
        <f>IF(Tim!J31="","",Tim!J31)</f>
        <v/>
      </c>
      <c r="K29" s="53" t="str">
        <f>IF(Tim!K31="","",Tim!K31)</f>
        <v/>
      </c>
      <c r="L29" s="53" t="str">
        <f>IF(Tim!L31="","",Tim!L31)</f>
        <v/>
      </c>
      <c r="M29" s="53" t="str">
        <f>IF(Tim!P31="","",Tim!P31)</f>
        <v/>
      </c>
      <c r="N29" s="53" t="str">
        <f>IF(Tim!Q31="","",Tim!Q31)</f>
        <v/>
      </c>
      <c r="O29" s="53" t="str">
        <f>IF(Tim!R31="","",Tim!R31)</f>
        <v/>
      </c>
      <c r="P29" s="53" t="str">
        <f>IF(Tim!S31="","",Tim!S31)</f>
        <v/>
      </c>
      <c r="Q29" s="55" t="str">
        <f>IF(Tim!T31="","",Tim!T31)</f>
        <v/>
      </c>
      <c r="R29" s="56" t="str">
        <f>IF(Tim!AY31="","",Tim!AY31)</f>
        <v>LA</v>
      </c>
      <c r="S29" s="53" t="str">
        <f>IF(Tim!AZ31="","",Tim!AZ31)</f>
        <v/>
      </c>
      <c r="T29" s="53" t="str">
        <f>IF(Tim!BA31="","",Tim!BA31)</f>
        <v/>
      </c>
      <c r="U29" s="53" t="str">
        <f>IF(Tim!BB31="","",Tim!BB31)</f>
        <v/>
      </c>
      <c r="V29" s="53" t="str">
        <f>IF(Tim!BC31="","",Tim!BC31)</f>
        <v/>
      </c>
      <c r="W29" s="53" t="str">
        <f>IF(Tim!BD31="","",Tim!BD31)</f>
        <v/>
      </c>
      <c r="X29" s="53" t="str">
        <f>IF(Tim!BE31="","",Tim!BE31)</f>
        <v/>
      </c>
      <c r="Y29" s="53" t="str">
        <f>IF(Tim!BF31="","",Tim!BF31)</f>
        <v/>
      </c>
      <c r="Z29" s="53" t="str">
        <f>IF(Tim!BI31="","",Tim!BI31)</f>
        <v>CR</v>
      </c>
      <c r="AA29" s="53" t="str">
        <f>IF(Tim!BJ31="","",Tim!BJ31)</f>
        <v/>
      </c>
      <c r="AB29" s="53" t="str">
        <f>IF(Tim!BK31="","",Tim!BK31)</f>
        <v/>
      </c>
      <c r="AC29" s="53" t="str">
        <f>IF(Tim!BL31="","",Tim!BL31)</f>
        <v/>
      </c>
      <c r="AD29" s="55" t="str">
        <f>IF(Tim!BM31="","",Tim!BM31)</f>
        <v/>
      </c>
      <c r="AE29" s="56" t="str">
        <f>IF(Tim!CQ31="","",Tim!CQ31)</f>
        <v>HA</v>
      </c>
      <c r="AF29" s="53" t="str">
        <f>IF(Tim!CR31="","",Tim!CR31)</f>
        <v/>
      </c>
      <c r="AG29" s="53" t="str">
        <f>IF(Tim!CS31="","",Tim!CS31)</f>
        <v/>
      </c>
      <c r="AH29" s="53" t="str">
        <f>IF(Tim!CT31="","",Tim!CT31)</f>
        <v/>
      </c>
      <c r="AI29" s="53" t="str">
        <f>IF(Tim!CU31="","",Tim!CU31)</f>
        <v/>
      </c>
      <c r="AJ29" s="53" t="str">
        <f>IF(Tim!CV31="","",Tim!CV31)</f>
        <v/>
      </c>
      <c r="AK29" s="53" t="str">
        <f>IF(Tim!CW31="","",Tim!CW31)</f>
        <v/>
      </c>
      <c r="AL29" s="53" t="str">
        <f>IF(Tim!DA31="","",Tim!DA31)</f>
        <v/>
      </c>
      <c r="AM29" s="53" t="str">
        <f>IF(Tim!DB31="","",Tim!DB31)</f>
        <v>CR</v>
      </c>
      <c r="AN29" s="53" t="str">
        <f>IF(Tim!DC31="","",Tim!DC31)</f>
        <v/>
      </c>
      <c r="AO29" s="53" t="str">
        <f>IF(Tim!DD31="","",Tim!DD31)</f>
        <v/>
      </c>
      <c r="AP29" s="53" t="str">
        <f>IF(Tim!DE31="","",Tim!DE31)</f>
        <v/>
      </c>
      <c r="AQ29" s="56" t="str">
        <f>IF(Tim!EL31="","",Tim!EL31)</f>
        <v>LF</v>
      </c>
      <c r="AR29" s="53" t="str">
        <f>IF(Tim!EM31="","",Tim!EM31)</f>
        <v>RG</v>
      </c>
      <c r="AS29" s="53" t="str">
        <f>IF(Tim!EN31="","",Tim!EN31)</f>
        <v/>
      </c>
      <c r="AT29" s="53" t="str">
        <f>IF(Tim!EO31="","",Tim!EO31)</f>
        <v/>
      </c>
      <c r="AU29" s="53" t="str">
        <f>IF(Tim!EP31="","",Tim!EP31)</f>
        <v/>
      </c>
      <c r="AV29" s="53" t="str">
        <f>IF(Tim!EQ31="","",Tim!EQ31)</f>
        <v/>
      </c>
      <c r="AW29" s="53" t="str">
        <f>IF(Tim!ER31="","",Tim!ER31)</f>
        <v/>
      </c>
      <c r="AX29" s="53" t="str">
        <f>IF(Tim!EV31="","",Tim!EV31)</f>
        <v/>
      </c>
      <c r="AY29" s="53" t="str">
        <f>IF(Tim!EW30="","",Tim!EW30)</f>
        <v>LF</v>
      </c>
      <c r="AZ29" s="53" t="str">
        <f>IF(Tim!EX31="","",Tim!EX31)</f>
        <v/>
      </c>
      <c r="BA29" s="53" t="str">
        <f>IF(Tim!EY31="","",Tim!EY31)</f>
        <v/>
      </c>
      <c r="BB29" s="53" t="str">
        <f>IF(Tim!EZ31="","",Tim!EZ31)</f>
        <v/>
      </c>
      <c r="BC29" s="56" t="str">
        <f>IF(Tim!GD31="","",Tim!GD31)</f>
        <v>RF</v>
      </c>
      <c r="BD29" s="53" t="str">
        <f>IF(Tim!GE31="","",Tim!GE31)</f>
        <v/>
      </c>
      <c r="BE29" s="53" t="str">
        <f>IF(Tim!GF31="","",Tim!GF31)</f>
        <v/>
      </c>
      <c r="BF29" s="53" t="str">
        <f>IF(Tim!GG31="","",Tim!GG31)</f>
        <v/>
      </c>
      <c r="BG29" s="53" t="str">
        <f>IF(Tim!GH31="","",Tim!GH31)</f>
        <v/>
      </c>
      <c r="BH29" s="53" t="str">
        <f>IF(Tim!GI31="","",Tim!GI31)</f>
        <v/>
      </c>
      <c r="BI29" s="53" t="str">
        <f>IF(Tim!GJ31="","",Tim!GJ31)</f>
        <v/>
      </c>
      <c r="BJ29" s="53" t="str">
        <f>IF(Tim!GN31="","",Tim!GN31)</f>
        <v>HA</v>
      </c>
      <c r="BK29" s="53" t="str">
        <f>IF(Tim!GO31="","",Tim!GO31)</f>
        <v/>
      </c>
      <c r="BL29" s="53" t="str">
        <f>IF(Tim!GP31="","",Tim!GP31)</f>
        <v/>
      </c>
      <c r="BM29" s="53" t="str">
        <f>IF(Tim!GQ31="","",Tim!GQ31)</f>
        <v/>
      </c>
      <c r="BN29" s="53" t="str">
        <f>IF(Tim!GR31="","",Tim!GR31)</f>
        <v/>
      </c>
      <c r="BO29" s="56" t="str">
        <f>IF(Tim!HV31="","",Tim!HV31)</f>
        <v>LA</v>
      </c>
      <c r="BP29" s="53" t="str">
        <f>IF(Tim!HW31="","",Tim!HW31)</f>
        <v/>
      </c>
      <c r="BQ29" s="53" t="str">
        <f>IF(Tim!HX31="","",Tim!HX31)</f>
        <v/>
      </c>
      <c r="BR29" s="53" t="str">
        <f>IF(Tim!HY31="","",Tim!HY31)</f>
        <v/>
      </c>
      <c r="BS29" s="53" t="str">
        <f>IF(Tim!HZ31="","",Tim!HZ31)</f>
        <v/>
      </c>
      <c r="BT29" s="53" t="str">
        <f>IF(Tim!IA31="","",Tim!IA31)</f>
        <v/>
      </c>
      <c r="BU29" s="55" t="str">
        <f>IF(Tim!IB31="","",Tim!IB31)</f>
        <v/>
      </c>
      <c r="BV29" s="53" t="str">
        <f>IF(Tim!IF31="","",Tim!IF31)</f>
        <v>RF</v>
      </c>
      <c r="BW29" s="53" t="str">
        <f>IF(Tim!IG31="","",Tim!IG31)</f>
        <v/>
      </c>
      <c r="BX29" s="53" t="str">
        <f>IF(Tim!IH31="","",Tim!IH31)</f>
        <v/>
      </c>
      <c r="BY29" s="53" t="str">
        <f>IF(Tim!II31="","",Tim!II31)</f>
        <v/>
      </c>
      <c r="BZ29" s="53" t="str">
        <f>IF(Tim!IJ31="","",Tim!IJ31)</f>
        <v/>
      </c>
      <c r="CA29" s="59" t="str">
        <f>IF(Tim!JN31="","",Tim!JN31)</f>
        <v>RF</v>
      </c>
      <c r="CB29" s="59" t="str">
        <f>IF(Tim!JO31="","",Tim!JO31)</f>
        <v/>
      </c>
      <c r="CC29" s="59" t="str">
        <f>IF(Tim!JP31="","",Tim!JP31)</f>
        <v/>
      </c>
      <c r="CD29" s="59" t="str">
        <f>IF(Tim!JQ31="","",Tim!JQ31)</f>
        <v/>
      </c>
      <c r="CE29" s="59" t="str">
        <f>IF(Tim!JR31="","",Tim!JR31)</f>
        <v/>
      </c>
      <c r="CF29" s="59" t="str">
        <f>IF(Tim!JS31="","",Tim!JS31)</f>
        <v/>
      </c>
      <c r="CG29" s="59" t="str">
        <f>IF(Tim!JT31="","",Tim!JT31)</f>
        <v/>
      </c>
      <c r="CH29" s="53" t="str">
        <f>IF(Tim!JX31="","",Tim!JX31)</f>
        <v/>
      </c>
      <c r="CI29" s="53" t="str">
        <f>IF(Tim!JY31="","",Tim!JY31)</f>
        <v/>
      </c>
      <c r="CJ29" s="53" t="str">
        <f>IF(Tim!JZ31="","",Tim!JZ31)</f>
        <v/>
      </c>
      <c r="CK29" s="53" t="str">
        <f>IF(Tim!KA31="","",Tim!KA31)</f>
        <v/>
      </c>
      <c r="CL29" s="53" t="str">
        <f>IF(Tim!KB31="","",Tim!KB31)</f>
        <v/>
      </c>
      <c r="CM29" s="52">
        <v>0.54166666666666596</v>
      </c>
    </row>
    <row r="30" spans="2:91" ht="10.5" customHeight="1">
      <c r="B30" s="51">
        <v>0.25</v>
      </c>
      <c r="C30" s="51">
        <v>0.25</v>
      </c>
      <c r="D30" s="51">
        <v>0.25</v>
      </c>
      <c r="E30" s="172">
        <v>0.55208333333333304</v>
      </c>
      <c r="F30" s="56" t="str">
        <f>IF(Tim!F32="","",Tim!F32)</f>
        <v>LF</v>
      </c>
      <c r="G30" s="53" t="str">
        <f>IF(Tim!G32="","",Tim!G32)</f>
        <v/>
      </c>
      <c r="H30" s="53" t="str">
        <f>IF(Tim!H32="","",Tim!H32)</f>
        <v/>
      </c>
      <c r="I30" s="53" t="str">
        <f>IF(Tim!I32="","",Tim!I32)</f>
        <v/>
      </c>
      <c r="J30" s="53" t="str">
        <f>IF(Tim!J32="","",Tim!J32)</f>
        <v/>
      </c>
      <c r="K30" s="53" t="str">
        <f>IF(Tim!K32="","",Tim!K32)</f>
        <v/>
      </c>
      <c r="L30" s="53" t="str">
        <f>IF(Tim!L32="","",Tim!L32)</f>
        <v/>
      </c>
      <c r="M30" s="53" t="str">
        <f>IF(Tim!P32="","",Tim!P32)</f>
        <v/>
      </c>
      <c r="N30" s="53" t="str">
        <f>IF(Tim!Q32="","",Tim!Q32)</f>
        <v/>
      </c>
      <c r="O30" s="53" t="str">
        <f>IF(Tim!R32="","",Tim!R32)</f>
        <v/>
      </c>
      <c r="P30" s="53" t="str">
        <f>IF(Tim!S32="","",Tim!S32)</f>
        <v/>
      </c>
      <c r="Q30" s="55" t="str">
        <f>IF(Tim!T32="","",Tim!T32)</f>
        <v/>
      </c>
      <c r="R30" s="56" t="str">
        <f>IF(Tim!AY32="","",Tim!AY32)</f>
        <v>LA</v>
      </c>
      <c r="S30" s="53" t="str">
        <f>IF(Tim!AZ32="","",Tim!AZ32)</f>
        <v/>
      </c>
      <c r="T30" s="53" t="str">
        <f>IF(Tim!BA32="","",Tim!BA32)</f>
        <v/>
      </c>
      <c r="U30" s="53" t="str">
        <f>IF(Tim!BB32="","",Tim!BB32)</f>
        <v/>
      </c>
      <c r="V30" s="53" t="str">
        <f>IF(Tim!BC32="","",Tim!BC32)</f>
        <v/>
      </c>
      <c r="W30" s="53" t="str">
        <f>IF(Tim!BD32="","",Tim!BD32)</f>
        <v/>
      </c>
      <c r="X30" s="53" t="str">
        <f>IF(Tim!BE32="","",Tim!BE32)</f>
        <v/>
      </c>
      <c r="Y30" s="53" t="str">
        <f>IF(Tim!BF32="","",Tim!BF32)</f>
        <v/>
      </c>
      <c r="Z30" s="53" t="str">
        <f>IF(Tim!BI32="","",Tim!BI32)</f>
        <v>CR</v>
      </c>
      <c r="AA30" s="53" t="str">
        <f>IF(Tim!BJ32="","",Tim!BJ32)</f>
        <v/>
      </c>
      <c r="AB30" s="53" t="str">
        <f>IF(Tim!BK32="","",Tim!BK32)</f>
        <v/>
      </c>
      <c r="AC30" s="53" t="str">
        <f>IF(Tim!BL32="","",Tim!BL32)</f>
        <v/>
      </c>
      <c r="AD30" s="55" t="str">
        <f>IF(Tim!BM32="","",Tim!BM32)</f>
        <v/>
      </c>
      <c r="AE30" s="56" t="str">
        <f>IF(Tim!CQ32="","",Tim!CQ32)</f>
        <v>HA</v>
      </c>
      <c r="AF30" s="53" t="str">
        <f>IF(Tim!CR32="","",Tim!CR32)</f>
        <v/>
      </c>
      <c r="AG30" s="53" t="str">
        <f>IF(Tim!CS32="","",Tim!CS32)</f>
        <v/>
      </c>
      <c r="AH30" s="53" t="str">
        <f>IF(Tim!CT32="","",Tim!CT32)</f>
        <v/>
      </c>
      <c r="AI30" s="53" t="str">
        <f>IF(Tim!CU32="","",Tim!CU32)</f>
        <v/>
      </c>
      <c r="AJ30" s="53" t="str">
        <f>IF(Tim!CV32="","",Tim!CV32)</f>
        <v/>
      </c>
      <c r="AK30" s="53" t="str">
        <f>IF(Tim!CW32="","",Tim!CW32)</f>
        <v/>
      </c>
      <c r="AL30" s="53" t="str">
        <f>IF(Tim!DA32="","",Tim!DA32)</f>
        <v/>
      </c>
      <c r="AM30" s="53" t="str">
        <f>IF(Tim!DB32="","",Tim!DB32)</f>
        <v>CR</v>
      </c>
      <c r="AN30" s="53" t="str">
        <f>IF(Tim!DC32="","",Tim!DC32)</f>
        <v/>
      </c>
      <c r="AO30" s="53" t="str">
        <f>IF(Tim!DD32="","",Tim!DD32)</f>
        <v/>
      </c>
      <c r="AP30" s="53" t="str">
        <f>IF(Tim!DE32="","",Tim!DE32)</f>
        <v/>
      </c>
      <c r="AQ30" s="56" t="str">
        <f>IF(Tim!EL32="","",Tim!EL32)</f>
        <v>LF</v>
      </c>
      <c r="AR30" s="53" t="str">
        <f>IF(Tim!EM32="","",Tim!EM32)</f>
        <v/>
      </c>
      <c r="AS30" s="53" t="str">
        <f>IF(Tim!EN32="","",Tim!EN32)</f>
        <v/>
      </c>
      <c r="AT30" s="53" t="str">
        <f>IF(Tim!EO32="","",Tim!EO32)</f>
        <v/>
      </c>
      <c r="AU30" s="53" t="str">
        <f>IF(Tim!EP32="","",Tim!EP32)</f>
        <v/>
      </c>
      <c r="AV30" s="53" t="str">
        <f>IF(Tim!EQ32="","",Tim!EQ32)</f>
        <v/>
      </c>
      <c r="AW30" s="53" t="str">
        <f>IF(Tim!ER32="","",Tim!ER32)</f>
        <v/>
      </c>
      <c r="AX30" s="53" t="str">
        <f>IF(Tim!EV32="","",Tim!EV32)</f>
        <v/>
      </c>
      <c r="AY30" s="53" t="str">
        <f>IF(Tim!EW32="","",Tim!EW32)</f>
        <v/>
      </c>
      <c r="AZ30" s="53" t="str">
        <f>IF(Tim!EX32="","",Tim!EX32)</f>
        <v/>
      </c>
      <c r="BA30" s="53" t="str">
        <f>IF(Tim!EY32="","",Tim!EY32)</f>
        <v/>
      </c>
      <c r="BB30" s="53" t="str">
        <f>IF(Tim!EZ32="","",Tim!EZ32)</f>
        <v/>
      </c>
      <c r="BC30" s="56" t="str">
        <f>IF(Tim!GD32="","",Tim!GD32)</f>
        <v>RF</v>
      </c>
      <c r="BD30" s="53" t="str">
        <f>IF(Tim!GE32="","",Tim!GE32)</f>
        <v/>
      </c>
      <c r="BE30" s="53" t="str">
        <f>IF(Tim!GF32="","",Tim!GF32)</f>
        <v/>
      </c>
      <c r="BF30" s="53" t="str">
        <f>IF(Tim!GG32="","",Tim!GG32)</f>
        <v/>
      </c>
      <c r="BG30" s="53" t="str">
        <f>IF(Tim!GH32="","",Tim!GH32)</f>
        <v/>
      </c>
      <c r="BH30" s="53" t="str">
        <f>IF(Tim!GI32="","",Tim!GI32)</f>
        <v/>
      </c>
      <c r="BI30" s="53" t="str">
        <f>IF(Tim!GJ32="","",Tim!GJ32)</f>
        <v/>
      </c>
      <c r="BJ30" s="53" t="str">
        <f>IF(Tim!GN32="","",Tim!GN32)</f>
        <v>HA</v>
      </c>
      <c r="BK30" s="53" t="str">
        <f>IF(Tim!GO32="","",Tim!GO32)</f>
        <v/>
      </c>
      <c r="BL30" s="53" t="str">
        <f>IF(Tim!GP32="","",Tim!GP32)</f>
        <v/>
      </c>
      <c r="BM30" s="53" t="str">
        <f>IF(Tim!GQ32="","",Tim!GQ32)</f>
        <v/>
      </c>
      <c r="BN30" s="53" t="str">
        <f>IF(Tim!GR32="","",Tim!GR32)</f>
        <v/>
      </c>
      <c r="BO30" s="56" t="str">
        <f>IF(Tim!HV32="","",Tim!HV32)</f>
        <v>LA</v>
      </c>
      <c r="BP30" s="53" t="str">
        <f>IF(Tim!HW32="","",Tim!HW32)</f>
        <v/>
      </c>
      <c r="BQ30" s="53" t="str">
        <f>IF(Tim!HX32="","",Tim!HX32)</f>
        <v/>
      </c>
      <c r="BR30" s="53" t="str">
        <f>IF(Tim!HY32="","",Tim!HY32)</f>
        <v/>
      </c>
      <c r="BS30" s="53" t="str">
        <f>IF(Tim!HZ32="","",Tim!HZ32)</f>
        <v/>
      </c>
      <c r="BT30" s="53" t="str">
        <f>IF(Tim!IA32="","",Tim!IA32)</f>
        <v/>
      </c>
      <c r="BU30" s="55" t="str">
        <f>IF(Tim!IB32="","",Tim!IB32)</f>
        <v/>
      </c>
      <c r="BV30" s="53" t="str">
        <f>IF(Tim!IF32="","",Tim!IF32)</f>
        <v>RF</v>
      </c>
      <c r="BW30" s="53" t="str">
        <f>IF(Tim!IG32="","",Tim!IG32)</f>
        <v/>
      </c>
      <c r="BX30" s="53" t="str">
        <f>IF(Tim!IH32="","",Tim!IH32)</f>
        <v/>
      </c>
      <c r="BY30" s="53" t="str">
        <f>IF(Tim!II32="","",Tim!II32)</f>
        <v/>
      </c>
      <c r="BZ30" s="53" t="str">
        <f>IF(Tim!IJ32="","",Tim!IJ32)</f>
        <v/>
      </c>
      <c r="CA30" s="59" t="str">
        <f>IF(Tim!JN32="","",Tim!JN32)</f>
        <v>RF</v>
      </c>
      <c r="CB30" s="59" t="str">
        <f>IF(Tim!JO32="","",Tim!JO32)</f>
        <v/>
      </c>
      <c r="CC30" s="59" t="str">
        <f>IF(Tim!JP32="","",Tim!JP32)</f>
        <v/>
      </c>
      <c r="CD30" s="59" t="str">
        <f>IF(Tim!JQ32="","",Tim!JQ32)</f>
        <v/>
      </c>
      <c r="CE30" s="59" t="str">
        <f>IF(Tim!JR32="","",Tim!JR32)</f>
        <v/>
      </c>
      <c r="CF30" s="59" t="str">
        <f>IF(Tim!JS32="","",Tim!JS32)</f>
        <v/>
      </c>
      <c r="CG30" s="59" t="str">
        <f>IF(Tim!JT32="","",Tim!JT32)</f>
        <v/>
      </c>
      <c r="CH30" s="53" t="str">
        <f>IF(Tim!JX32="","",Tim!JX32)</f>
        <v/>
      </c>
      <c r="CI30" s="53" t="str">
        <f>IF(Tim!JY32="","",Tim!JY32)</f>
        <v/>
      </c>
      <c r="CJ30" s="53" t="str">
        <f>IF(Tim!JZ32="","",Tim!JZ32)</f>
        <v/>
      </c>
      <c r="CK30" s="53" t="str">
        <f>IF(Tim!KA32="","",Tim!KA32)</f>
        <v/>
      </c>
      <c r="CL30" s="53" t="str">
        <f>IF(Tim!KB32="","",Tim!KB32)</f>
        <v/>
      </c>
      <c r="CM30" s="52">
        <v>0.55208333333333304</v>
      </c>
    </row>
    <row r="31" spans="2:91" ht="10.5" customHeight="1">
      <c r="B31" s="51">
        <v>0.25</v>
      </c>
      <c r="C31" s="51">
        <v>0.25</v>
      </c>
      <c r="D31" s="51">
        <v>0.25</v>
      </c>
      <c r="E31" s="172">
        <v>0.562499999999999</v>
      </c>
      <c r="F31" s="56" t="str">
        <f>IF(Tim!F33="","",Tim!F33)</f>
        <v>LF</v>
      </c>
      <c r="G31" s="53" t="str">
        <f>IF(Tim!G33="","",Tim!G33)</f>
        <v/>
      </c>
      <c r="H31" s="53" t="str">
        <f>IF(Tim!H33="","",Tim!H33)</f>
        <v/>
      </c>
      <c r="I31" s="53" t="str">
        <f>IF(Tim!I33="","",Tim!I33)</f>
        <v/>
      </c>
      <c r="J31" s="53" t="str">
        <f>IF(Tim!J33="","",Tim!J33)</f>
        <v/>
      </c>
      <c r="K31" s="53" t="str">
        <f>IF(Tim!K33="","",Tim!K33)</f>
        <v/>
      </c>
      <c r="L31" s="53" t="str">
        <f>IF(Tim!L33="","",Tim!L33)</f>
        <v/>
      </c>
      <c r="M31" s="53" t="str">
        <f>IF(Tim!P33="","",Tim!P33)</f>
        <v/>
      </c>
      <c r="N31" s="53" t="str">
        <f>IF(Tim!Q33="","",Tim!Q33)</f>
        <v/>
      </c>
      <c r="O31" s="53" t="str">
        <f>IF(Tim!R33="","",Tim!R33)</f>
        <v/>
      </c>
      <c r="P31" s="53" t="str">
        <f>IF(Tim!S33="","",Tim!S33)</f>
        <v/>
      </c>
      <c r="Q31" s="55" t="str">
        <f>IF(Tim!T33="","",Tim!T33)</f>
        <v/>
      </c>
      <c r="R31" s="56" t="str">
        <f>IF(Tim!AY33="","",Tim!AY33)</f>
        <v>LA</v>
      </c>
      <c r="S31" s="53" t="str">
        <f>IF(Tim!AZ33="","",Tim!AZ33)</f>
        <v/>
      </c>
      <c r="T31" s="53" t="str">
        <f>IF(Tim!BA33="","",Tim!BA33)</f>
        <v/>
      </c>
      <c r="U31" s="53" t="str">
        <f>IF(Tim!BB33="","",Tim!BB33)</f>
        <v/>
      </c>
      <c r="V31" s="53" t="str">
        <f>IF(Tim!BC33="","",Tim!BC33)</f>
        <v/>
      </c>
      <c r="W31" s="53" t="str">
        <f>IF(Tim!BD33="","",Tim!BD33)</f>
        <v/>
      </c>
      <c r="X31" s="53" t="str">
        <f>IF(Tim!BE33="","",Tim!BE33)</f>
        <v/>
      </c>
      <c r="Y31" s="53" t="str">
        <f>IF(Tim!BF33="","",Tim!BF33)</f>
        <v/>
      </c>
      <c r="Z31" s="53" t="str">
        <f>IF(Tim!BI33="","",Tim!BI33)</f>
        <v>CR</v>
      </c>
      <c r="AA31" s="53" t="str">
        <f>IF(Tim!BJ33="","",Tim!BJ33)</f>
        <v/>
      </c>
      <c r="AB31" s="53" t="str">
        <f>IF(Tim!BK33="","",Tim!BK33)</f>
        <v/>
      </c>
      <c r="AC31" s="53" t="str">
        <f>IF(Tim!BL33="","",Tim!BL33)</f>
        <v/>
      </c>
      <c r="AD31" s="55" t="str">
        <f>IF(Tim!BM33="","",Tim!BM33)</f>
        <v/>
      </c>
      <c r="AE31" s="56" t="str">
        <f>IF(Tim!CQ33="","",Tim!CQ33)</f>
        <v>HA</v>
      </c>
      <c r="AF31" s="53" t="str">
        <f>IF(Tim!CR33="","",Tim!CR33)</f>
        <v/>
      </c>
      <c r="AG31" s="53" t="str">
        <f>IF(Tim!CS33="","",Tim!CS33)</f>
        <v/>
      </c>
      <c r="AH31" s="53" t="str">
        <f>IF(Tim!CT33="","",Tim!CT33)</f>
        <v/>
      </c>
      <c r="AI31" s="53" t="str">
        <f>IF(Tim!CU33="","",Tim!CU33)</f>
        <v/>
      </c>
      <c r="AJ31" s="53" t="str">
        <f>IF(Tim!CV33="","",Tim!CV33)</f>
        <v/>
      </c>
      <c r="AK31" s="53" t="str">
        <f>IF(Tim!CW33="","",Tim!CW33)</f>
        <v/>
      </c>
      <c r="AL31" s="53" t="str">
        <f>IF(Tim!DA33="","",Tim!DA33)</f>
        <v/>
      </c>
      <c r="AM31" s="53" t="str">
        <f>IF(Tim!DB33="","",Tim!DB33)</f>
        <v>CR</v>
      </c>
      <c r="AN31" s="53" t="str">
        <f>IF(Tim!DC33="","",Tim!DC33)</f>
        <v/>
      </c>
      <c r="AO31" s="53" t="str">
        <f>IF(Tim!DD33="","",Tim!DD33)</f>
        <v/>
      </c>
      <c r="AP31" s="53" t="str">
        <f>IF(Tim!DE33="","",Tim!DE33)</f>
        <v/>
      </c>
      <c r="AQ31" s="56" t="str">
        <f>IF(Tim!EL33="","",Tim!EL33)</f>
        <v>LF</v>
      </c>
      <c r="AR31" s="53" t="str">
        <f>IF(Tim!EM33="","",Tim!EM33)</f>
        <v/>
      </c>
      <c r="AS31" s="53" t="str">
        <f>IF(Tim!EN33="","",Tim!EN33)</f>
        <v/>
      </c>
      <c r="AT31" s="53" t="str">
        <f>IF(Tim!EO33="","",Tim!EO33)</f>
        <v/>
      </c>
      <c r="AU31" s="53" t="str">
        <f>IF(Tim!EP33="","",Tim!EP33)</f>
        <v/>
      </c>
      <c r="AV31" s="53" t="str">
        <f>IF(Tim!EQ33="","",Tim!EQ33)</f>
        <v/>
      </c>
      <c r="AW31" s="53" t="str">
        <f>IF(Tim!ER33="","",Tim!ER33)</f>
        <v/>
      </c>
      <c r="AX31" s="53" t="str">
        <f>IF(Tim!EV33="","",Tim!EV33)</f>
        <v/>
      </c>
      <c r="AY31" s="53" t="str">
        <f>IF(Tim!EW33="","",Tim!EW33)</f>
        <v/>
      </c>
      <c r="AZ31" s="53" t="str">
        <f>IF(Tim!EX33="","",Tim!EX33)</f>
        <v/>
      </c>
      <c r="BA31" s="53" t="str">
        <f>IF(Tim!EY33="","",Tim!EY33)</f>
        <v/>
      </c>
      <c r="BB31" s="53" t="str">
        <f>IF(Tim!EZ33="","",Tim!EZ33)</f>
        <v/>
      </c>
      <c r="BC31" s="56" t="str">
        <f>IF(Tim!GD33="","",Tim!GD33)</f>
        <v>LA</v>
      </c>
      <c r="BD31" s="53" t="str">
        <f>IF(Tim!GE33="","",Tim!GE33)</f>
        <v/>
      </c>
      <c r="BE31" s="53" t="str">
        <f>IF(Tim!GF33="","",Tim!GF33)</f>
        <v/>
      </c>
      <c r="BF31" s="53" t="str">
        <f>IF(Tim!GG33="","",Tim!GG33)</f>
        <v/>
      </c>
      <c r="BG31" s="53" t="str">
        <f>IF(Tim!GH33="","",Tim!GH33)</f>
        <v/>
      </c>
      <c r="BH31" s="53" t="str">
        <f>IF(Tim!GI33="","",Tim!GI33)</f>
        <v/>
      </c>
      <c r="BI31" s="53" t="str">
        <f>IF(Tim!GJ33="","",Tim!GJ33)</f>
        <v/>
      </c>
      <c r="BJ31" s="53" t="str">
        <f>IF(Tim!GN33="","",Tim!GN33)</f>
        <v>HA</v>
      </c>
      <c r="BK31" s="53" t="str">
        <f>IF(Tim!GO33="","",Tim!GO33)</f>
        <v/>
      </c>
      <c r="BL31" s="53" t="str">
        <f>IF(Tim!GP33="","",Tim!GP33)</f>
        <v/>
      </c>
      <c r="BM31" s="53" t="str">
        <f>IF(Tim!GQ33="","",Tim!GQ33)</f>
        <v/>
      </c>
      <c r="BN31" s="53" t="str">
        <f>IF(Tim!GR33="","",Tim!GR33)</f>
        <v/>
      </c>
      <c r="BO31" s="56" t="str">
        <f>IF(Tim!HV33="","",Tim!HV33)</f>
        <v>LA</v>
      </c>
      <c r="BP31" s="53" t="str">
        <f>IF(Tim!HW33="","",Tim!HW33)</f>
        <v/>
      </c>
      <c r="BQ31" s="53" t="str">
        <f>IF(Tim!HX33="","",Tim!HX33)</f>
        <v/>
      </c>
      <c r="BR31" s="53" t="str">
        <f>IF(Tim!HY33="","",Tim!HY33)</f>
        <v/>
      </c>
      <c r="BS31" s="53" t="str">
        <f>IF(Tim!HZ33="","",Tim!HZ33)</f>
        <v/>
      </c>
      <c r="BT31" s="53" t="str">
        <f>IF(Tim!IA33="","",Tim!IA33)</f>
        <v/>
      </c>
      <c r="BU31" s="55" t="str">
        <f>IF(Tim!IB33="","",Tim!IB33)</f>
        <v/>
      </c>
      <c r="BV31" s="53" t="str">
        <f>IF(Tim!IF33="","",Tim!IF33)</f>
        <v/>
      </c>
      <c r="BW31" s="53" t="str">
        <f>IF(Tim!IG33="","",Tim!IG33)</f>
        <v/>
      </c>
      <c r="BX31" s="53" t="str">
        <f>IF(Tim!IH33="","",Tim!IH33)</f>
        <v/>
      </c>
      <c r="BY31" s="53" t="str">
        <f>IF(Tim!II33="","",Tim!II33)</f>
        <v/>
      </c>
      <c r="BZ31" s="53" t="str">
        <f>IF(Tim!IJ33="","",Tim!IJ33)</f>
        <v/>
      </c>
      <c r="CA31" s="59" t="str">
        <f>IF(Tim!JN33="","",Tim!JN33)</f>
        <v/>
      </c>
      <c r="CB31" s="59" t="str">
        <f>IF(Tim!JO33="","",Tim!JO33)</f>
        <v/>
      </c>
      <c r="CC31" s="59" t="str">
        <f>IF(Tim!JP33="","",Tim!JP33)</f>
        <v/>
      </c>
      <c r="CD31" s="59" t="str">
        <f>IF(Tim!JQ33="","",Tim!JQ33)</f>
        <v/>
      </c>
      <c r="CE31" s="59" t="str">
        <f>IF(Tim!JR33="","",Tim!JR33)</f>
        <v/>
      </c>
      <c r="CF31" s="59" t="str">
        <f>IF(Tim!JS33="","",Tim!JS33)</f>
        <v/>
      </c>
      <c r="CG31" s="59" t="str">
        <f>IF(Tim!JT33="","",Tim!JT33)</f>
        <v/>
      </c>
      <c r="CH31" s="53" t="str">
        <f>IF(Tim!JX33="","",Tim!JX33)</f>
        <v/>
      </c>
      <c r="CI31" s="53" t="str">
        <f>IF(Tim!JY33="","",Tim!JY33)</f>
        <v/>
      </c>
      <c r="CJ31" s="53" t="str">
        <f>IF(Tim!JZ33="","",Tim!JZ33)</f>
        <v/>
      </c>
      <c r="CK31" s="53" t="str">
        <f>IF(Tim!KA33="","",Tim!KA33)</f>
        <v/>
      </c>
      <c r="CL31" s="53" t="str">
        <f>IF(Tim!KB33="","",Tim!KB33)</f>
        <v/>
      </c>
      <c r="CM31" s="52">
        <v>0.562499999999999</v>
      </c>
    </row>
    <row r="32" spans="2:91" ht="10.5" customHeight="1">
      <c r="B32" s="51">
        <v>0.25</v>
      </c>
      <c r="C32" s="51">
        <v>0.25</v>
      </c>
      <c r="D32" s="51">
        <v>0.25</v>
      </c>
      <c r="E32" s="172">
        <v>0.57291666666666596</v>
      </c>
      <c r="F32" s="56" t="str">
        <f>IF(Tim!F34="","",Tim!F34)</f>
        <v>RF</v>
      </c>
      <c r="G32" s="53" t="str">
        <f>IF(Tim!G34="","",Tim!G34)</f>
        <v/>
      </c>
      <c r="H32" s="53" t="str">
        <f>IF(Tim!H34="","",Tim!H34)</f>
        <v/>
      </c>
      <c r="I32" s="53" t="str">
        <f>IF(Tim!I34="","",Tim!I34)</f>
        <v/>
      </c>
      <c r="J32" s="53" t="str">
        <f>IF(Tim!J34="","",Tim!J34)</f>
        <v/>
      </c>
      <c r="K32" s="53" t="str">
        <f>IF(Tim!K34="","",Tim!K34)</f>
        <v/>
      </c>
      <c r="L32" s="53" t="str">
        <f>IF(Tim!L34="","",Tim!L34)</f>
        <v/>
      </c>
      <c r="M32" s="53" t="str">
        <f>IF(Tim!P34="","",Tim!P34)</f>
        <v/>
      </c>
      <c r="N32" s="53" t="str">
        <f>IF(Tim!Q34="","",Tim!Q34)</f>
        <v/>
      </c>
      <c r="O32" s="53" t="str">
        <f>IF(Tim!R34="","",Tim!R34)</f>
        <v/>
      </c>
      <c r="P32" s="53" t="str">
        <f>IF(Tim!S34="","",Tim!S34)</f>
        <v/>
      </c>
      <c r="Q32" s="55" t="str">
        <f>IF(Tim!T34="","",Tim!T34)</f>
        <v/>
      </c>
      <c r="R32" s="56" t="str">
        <f>IF(Tim!AY34="","",Tim!AY34)</f>
        <v>LA</v>
      </c>
      <c r="S32" s="53" t="str">
        <f>IF(Tim!AZ34="","",Tim!AZ34)</f>
        <v/>
      </c>
      <c r="T32" s="53" t="str">
        <f>IF(Tim!BA34="","",Tim!BA34)</f>
        <v>CR</v>
      </c>
      <c r="U32" s="53" t="str">
        <f>IF(Tim!BB34="","",Tim!BB34)</f>
        <v/>
      </c>
      <c r="V32" s="53" t="str">
        <f>IF(Tim!BC34="","",Tim!BC34)</f>
        <v/>
      </c>
      <c r="W32" s="53" t="str">
        <f>IF(Tim!BD34="","",Tim!BD34)</f>
        <v/>
      </c>
      <c r="X32" s="53" t="str">
        <f>IF(Tim!BE34="","",Tim!BE34)</f>
        <v/>
      </c>
      <c r="Y32" s="53" t="str">
        <f>IF(Tim!BF34="","",Tim!BF34)</f>
        <v/>
      </c>
      <c r="Z32" s="53" t="str">
        <f>IF(Tim!BI34="","",Tim!BI34)</f>
        <v/>
      </c>
      <c r="AA32" s="53" t="str">
        <f>IF(Tim!BJ34="","",Tim!BJ34)</f>
        <v/>
      </c>
      <c r="AB32" s="53" t="str">
        <f>IF(Tim!BK34="","",Tim!BK34)</f>
        <v/>
      </c>
      <c r="AC32" s="53" t="str">
        <f>IF(Tim!BL34="","",Tim!BL34)</f>
        <v/>
      </c>
      <c r="AD32" s="55" t="str">
        <f>IF(Tim!BM34="","",Tim!BM34)</f>
        <v/>
      </c>
      <c r="AE32" s="56" t="str">
        <f>IF(Tim!CQ34="","",Tim!CQ34)</f>
        <v>HA</v>
      </c>
      <c r="AF32" s="53" t="str">
        <f>IF(Tim!CR34="","",Tim!CR34)</f>
        <v/>
      </c>
      <c r="AG32" s="53" t="str">
        <f>IF(Tim!CS34="","",Tim!CS34)</f>
        <v/>
      </c>
      <c r="AH32" s="53" t="str">
        <f>IF(Tim!CT34="","",Tim!CT34)</f>
        <v/>
      </c>
      <c r="AI32" s="53" t="str">
        <f>IF(Tim!CU34="","",Tim!CU34)</f>
        <v/>
      </c>
      <c r="AJ32" s="53" t="str">
        <f>IF(Tim!CV34="","",Tim!CV34)</f>
        <v/>
      </c>
      <c r="AK32" s="53" t="str">
        <f>IF(Tim!CW34="","",Tim!CW34)</f>
        <v/>
      </c>
      <c r="AL32" s="53" t="str">
        <f>IF(Tim!DA34="","",Tim!DA34)</f>
        <v/>
      </c>
      <c r="AM32" s="53" t="str">
        <f>IF(Tim!DB34="","",Tim!DB34)</f>
        <v>CR</v>
      </c>
      <c r="AN32" s="53" t="str">
        <f>IF(Tim!DC34="","",Tim!DC34)</f>
        <v/>
      </c>
      <c r="AO32" s="53" t="str">
        <f>IF(Tim!DD34="","",Tim!DD34)</f>
        <v/>
      </c>
      <c r="AP32" s="53" t="str">
        <f>IF(Tim!DE34="","",Tim!DE34)</f>
        <v/>
      </c>
      <c r="AQ32" s="56" t="str">
        <f>IF(Tim!EL34="","",Tim!EL34)</f>
        <v>LF</v>
      </c>
      <c r="AR32" s="53" t="str">
        <f>IF(Tim!EM34="","",Tim!EM34)</f>
        <v/>
      </c>
      <c r="AS32" s="53" t="str">
        <f>IF(Tim!EN34="","",Tim!EN34)</f>
        <v/>
      </c>
      <c r="AT32" s="53" t="str">
        <f>IF(Tim!EO34="","",Tim!EO34)</f>
        <v/>
      </c>
      <c r="AU32" s="53" t="str">
        <f>IF(Tim!EP34="","",Tim!EP34)</f>
        <v/>
      </c>
      <c r="AV32" s="53" t="str">
        <f>IF(Tim!EQ34="","",Tim!EQ34)</f>
        <v/>
      </c>
      <c r="AW32" s="53" t="str">
        <f>IF(Tim!ER34="","",Tim!ER34)</f>
        <v/>
      </c>
      <c r="AX32" s="53" t="str">
        <f>IF(Tim!EV34="","",Tim!EV34)</f>
        <v/>
      </c>
      <c r="AY32" s="53" t="str">
        <f>IF(Tim!EW34="","",Tim!EW34)</f>
        <v/>
      </c>
      <c r="AZ32" s="53" t="str">
        <f>IF(Tim!EX34="","",Tim!EX34)</f>
        <v/>
      </c>
      <c r="BA32" s="53" t="str">
        <f>IF(Tim!EY34="","",Tim!EY34)</f>
        <v/>
      </c>
      <c r="BB32" s="53" t="str">
        <f>IF(Tim!EZ34="","",Tim!EZ34)</f>
        <v/>
      </c>
      <c r="BC32" s="56" t="str">
        <f>IF(Tim!GD34="","",Tim!GD34)</f>
        <v>LA</v>
      </c>
      <c r="BD32" s="53" t="str">
        <f>IF(Tim!GE34="","",Tim!GE34)</f>
        <v/>
      </c>
      <c r="BE32" s="53" t="str">
        <f>IF(Tim!GF34="","",Tim!GF34)</f>
        <v/>
      </c>
      <c r="BF32" s="53" t="str">
        <f>IF(Tim!GG34="","",Tim!GG34)</f>
        <v/>
      </c>
      <c r="BG32" s="53" t="str">
        <f>IF(Tim!GH34="","",Tim!GH34)</f>
        <v/>
      </c>
      <c r="BH32" s="53" t="str">
        <f>IF(Tim!GI34="","",Tim!GI34)</f>
        <v/>
      </c>
      <c r="BI32" s="53" t="str">
        <f>IF(Tim!GJ34="","",Tim!GJ34)</f>
        <v/>
      </c>
      <c r="BJ32" s="53" t="str">
        <f>IF(Tim!GN34="","",Tim!GN34)</f>
        <v>HA</v>
      </c>
      <c r="BK32" s="53" t="str">
        <f>IF(Tim!GO34="","",Tim!GO34)</f>
        <v/>
      </c>
      <c r="BL32" s="53" t="str">
        <f>IF(Tim!GP34="","",Tim!GP34)</f>
        <v/>
      </c>
      <c r="BM32" s="53" t="str">
        <f>IF(Tim!GQ34="","",Tim!GQ34)</f>
        <v/>
      </c>
      <c r="BN32" s="53" t="str">
        <f>IF(Tim!GR34="","",Tim!GR34)</f>
        <v/>
      </c>
      <c r="BO32" s="56" t="str">
        <f>IF(Tim!HV34="","",Tim!HV34)</f>
        <v>LA</v>
      </c>
      <c r="BP32" s="53" t="str">
        <f>IF(Tim!HW34="","",Tim!HW34)</f>
        <v/>
      </c>
      <c r="BQ32" s="53" t="str">
        <f>IF(Tim!HX34="","",Tim!HX34)</f>
        <v/>
      </c>
      <c r="BR32" s="53" t="str">
        <f>IF(Tim!HY34="","",Tim!HY34)</f>
        <v/>
      </c>
      <c r="BS32" s="53" t="str">
        <f>IF(Tim!HZ34="","",Tim!HZ34)</f>
        <v/>
      </c>
      <c r="BT32" s="53" t="str">
        <f>IF(Tim!IA34="","",Tim!IA34)</f>
        <v/>
      </c>
      <c r="BU32" s="55" t="str">
        <f>IF(Tim!IB34="","",Tim!IB34)</f>
        <v/>
      </c>
      <c r="BV32" s="53" t="str">
        <f>IF(Tim!IF34="","",Tim!IF34)</f>
        <v/>
      </c>
      <c r="BW32" s="53" t="str">
        <f>IF(Tim!IG34="","",Tim!IG34)</f>
        <v/>
      </c>
      <c r="BX32" s="53" t="str">
        <f>IF(Tim!IH34="","",Tim!IH34)</f>
        <v/>
      </c>
      <c r="BY32" s="53" t="str">
        <f>IF(Tim!II34="","",Tim!II34)</f>
        <v/>
      </c>
      <c r="BZ32" s="53" t="str">
        <f>IF(Tim!IJ34="","",Tim!IJ34)</f>
        <v/>
      </c>
      <c r="CA32" s="59" t="str">
        <f>IF(Tim!JN34="","",Tim!JN34)</f>
        <v/>
      </c>
      <c r="CB32" s="59" t="str">
        <f>IF(Tim!JO34="","",Tim!JO34)</f>
        <v/>
      </c>
      <c r="CC32" s="59" t="str">
        <f>IF(Tim!JP34="","",Tim!JP34)</f>
        <v/>
      </c>
      <c r="CD32" s="59" t="str">
        <f>IF(Tim!JQ34="","",Tim!JQ34)</f>
        <v/>
      </c>
      <c r="CE32" s="59" t="str">
        <f>IF(Tim!JR34="","",Tim!JR34)</f>
        <v/>
      </c>
      <c r="CF32" s="59" t="str">
        <f>IF(Tim!JS34="","",Tim!JS34)</f>
        <v/>
      </c>
      <c r="CG32" s="59" t="str">
        <f>IF(Tim!JT34="","",Tim!JT34)</f>
        <v/>
      </c>
      <c r="CH32" s="53" t="str">
        <f>IF(Tim!JX34="","",Tim!JX34)</f>
        <v/>
      </c>
      <c r="CI32" s="53" t="str">
        <f>IF(Tim!JY34="","",Tim!JY34)</f>
        <v/>
      </c>
      <c r="CJ32" s="53" t="str">
        <f>IF(Tim!JZ34="","",Tim!JZ34)</f>
        <v/>
      </c>
      <c r="CK32" s="53" t="str">
        <f>IF(Tim!KA34="","",Tim!KA34)</f>
        <v/>
      </c>
      <c r="CL32" s="53" t="str">
        <f>IF(Tim!KB34="","",Tim!KB34)</f>
        <v/>
      </c>
      <c r="CM32" s="52">
        <v>0.57291666666666596</v>
      </c>
    </row>
    <row r="33" spans="2:91" ht="10.5" customHeight="1">
      <c r="B33" s="51">
        <v>0.25</v>
      </c>
      <c r="C33" s="51">
        <v>0.25</v>
      </c>
      <c r="D33" s="51">
        <v>0.25</v>
      </c>
      <c r="E33" s="172">
        <v>0.58333333333333304</v>
      </c>
      <c r="F33" s="56" t="str">
        <f>IF(Tim!F35="","",Tim!F35)</f>
        <v>RF</v>
      </c>
      <c r="G33" s="53" t="str">
        <f>IF(Tim!G35="","",Tim!G35)</f>
        <v/>
      </c>
      <c r="H33" s="53" t="str">
        <f>IF(Tim!H35="","",Tim!H35)</f>
        <v/>
      </c>
      <c r="I33" s="53" t="str">
        <f>IF(Tim!I35="","",Tim!I35)</f>
        <v/>
      </c>
      <c r="J33" s="53" t="str">
        <f>IF(Tim!J35="","",Tim!J35)</f>
        <v/>
      </c>
      <c r="K33" s="53" t="str">
        <f>IF(Tim!K35="","",Tim!K35)</f>
        <v/>
      </c>
      <c r="L33" s="53" t="str">
        <f>IF(Tim!L35="","",Tim!L35)</f>
        <v/>
      </c>
      <c r="M33" s="53" t="str">
        <f>IF(Tim!P35="","",Tim!P35)</f>
        <v/>
      </c>
      <c r="N33" s="53" t="str">
        <f>IF(Tim!Q35="","",Tim!Q35)</f>
        <v/>
      </c>
      <c r="O33" s="53" t="str">
        <f>IF(Tim!R35="","",Tim!R35)</f>
        <v/>
      </c>
      <c r="P33" s="53" t="str">
        <f>IF(Tim!S35="","",Tim!S35)</f>
        <v/>
      </c>
      <c r="Q33" s="55" t="str">
        <f>IF(Tim!T35="","",Tim!T35)</f>
        <v/>
      </c>
      <c r="R33" s="56" t="str">
        <f>IF(Tim!AY35="","",Tim!AY35)</f>
        <v>LA</v>
      </c>
      <c r="S33" s="53" t="str">
        <f>IF(Tim!AZ35="","",Tim!AZ35)</f>
        <v/>
      </c>
      <c r="T33" s="53" t="str">
        <f>IF(Tim!BA35="","",Tim!BA35)</f>
        <v/>
      </c>
      <c r="U33" s="53" t="str">
        <f>IF(Tim!BB35="","",Tim!BB35)</f>
        <v/>
      </c>
      <c r="V33" s="53" t="str">
        <f>IF(Tim!BC35="","",Tim!BC35)</f>
        <v/>
      </c>
      <c r="W33" s="53" t="str">
        <f>IF(Tim!BD35="","",Tim!BD35)</f>
        <v/>
      </c>
      <c r="X33" s="53" t="str">
        <f>IF(Tim!BE35="","",Tim!BE35)</f>
        <v/>
      </c>
      <c r="Y33" s="53" t="str">
        <f>IF(Tim!BF35="","",Tim!BF35)</f>
        <v/>
      </c>
      <c r="Z33" s="53" t="str">
        <f>IF(Tim!BI35="","",Tim!BI35)</f>
        <v/>
      </c>
      <c r="AA33" s="53" t="str">
        <f>IF(Tim!BJ35="","",Tim!BJ35)</f>
        <v/>
      </c>
      <c r="AB33" s="53" t="str">
        <f>IF(Tim!BK35="","",Tim!BK35)</f>
        <v/>
      </c>
      <c r="AC33" s="53" t="str">
        <f>IF(Tim!BL35="","",Tim!BL35)</f>
        <v/>
      </c>
      <c r="AD33" s="55" t="str">
        <f>IF(Tim!BM35="","",Tim!BM35)</f>
        <v/>
      </c>
      <c r="AE33" s="56" t="str">
        <f>IF(Tim!CQ35="","",Tim!CQ35)</f>
        <v>LF</v>
      </c>
      <c r="AF33" s="53" t="str">
        <f>IF(Tim!CR35="","",Tim!CR35)</f>
        <v/>
      </c>
      <c r="AG33" s="53" t="str">
        <f>IF(Tim!CS35="","",Tim!CS35)</f>
        <v/>
      </c>
      <c r="AH33" s="53" t="str">
        <f>IF(Tim!CT35="","",Tim!CT35)</f>
        <v/>
      </c>
      <c r="AI33" s="53" t="str">
        <f>IF(Tim!CU35="","",Tim!CU35)</f>
        <v/>
      </c>
      <c r="AJ33" s="53" t="str">
        <f>IF(Tim!CV35="","",Tim!CV35)</f>
        <v/>
      </c>
      <c r="AK33" s="53" t="str">
        <f>IF(Tim!CW35="","",Tim!CW35)</f>
        <v/>
      </c>
      <c r="AL33" s="53" t="str">
        <f>IF(Tim!DA35="","",Tim!DA35)</f>
        <v/>
      </c>
      <c r="AM33" s="53" t="str">
        <f>IF(Tim!DB35="","",Tim!DB35)</f>
        <v/>
      </c>
      <c r="AN33" s="53" t="str">
        <f>IF(Tim!DC35="","",Tim!DC35)</f>
        <v/>
      </c>
      <c r="AO33" s="53" t="str">
        <f>IF(Tim!DD35="","",Tim!DD35)</f>
        <v/>
      </c>
      <c r="AP33" s="53" t="str">
        <f>IF(Tim!DE35="","",Tim!DE35)</f>
        <v/>
      </c>
      <c r="AQ33" s="56" t="str">
        <f>IF(Tim!EL35="","",Tim!EL35)</f>
        <v>LF</v>
      </c>
      <c r="AR33" s="53" t="str">
        <f>IF(Tim!EM35="","",Tim!EM35)</f>
        <v/>
      </c>
      <c r="AS33" s="53" t="str">
        <f>IF(Tim!EN35="","",Tim!EN35)</f>
        <v/>
      </c>
      <c r="AT33" s="53" t="str">
        <f>IF(Tim!EO35="","",Tim!EO35)</f>
        <v/>
      </c>
      <c r="AU33" s="53" t="str">
        <f>IF(Tim!EP35="","",Tim!EP35)</f>
        <v/>
      </c>
      <c r="AV33" s="53" t="str">
        <f>IF(Tim!EQ35="","",Tim!EQ35)</f>
        <v/>
      </c>
      <c r="AW33" s="53" t="str">
        <f>IF(Tim!ER35="","",Tim!ER35)</f>
        <v/>
      </c>
      <c r="AX33" s="53" t="str">
        <f>IF(Tim!EV35="","",Tim!EV35)</f>
        <v/>
      </c>
      <c r="AY33" s="53" t="str">
        <f>IF(Tim!EW35="","",Tim!EW35)</f>
        <v/>
      </c>
      <c r="AZ33" s="53" t="str">
        <f>IF(Tim!EX35="","",Tim!EX35)</f>
        <v/>
      </c>
      <c r="BA33" s="53" t="str">
        <f>IF(Tim!EY35="","",Tim!EY35)</f>
        <v/>
      </c>
      <c r="BB33" s="53" t="str">
        <f>IF(Tim!EZ35="","",Tim!EZ35)</f>
        <v/>
      </c>
      <c r="BC33" s="56" t="str">
        <f>IF(Tim!GD35="","",Tim!GD35)</f>
        <v>LA</v>
      </c>
      <c r="BD33" s="53" t="str">
        <f>IF(Tim!GE35="","",Tim!GE35)</f>
        <v/>
      </c>
      <c r="BE33" s="53" t="str">
        <f>IF(Tim!GF35="","",Tim!GF35)</f>
        <v/>
      </c>
      <c r="BF33" s="53" t="str">
        <f>IF(Tim!GG35="","",Tim!GG35)</f>
        <v/>
      </c>
      <c r="BG33" s="53" t="str">
        <f>IF(Tim!GH35="","",Tim!GH35)</f>
        <v/>
      </c>
      <c r="BH33" s="53" t="str">
        <f>IF(Tim!GI35="","",Tim!GI35)</f>
        <v/>
      </c>
      <c r="BI33" s="53" t="str">
        <f>IF(Tim!GJ35="","",Tim!GJ35)</f>
        <v/>
      </c>
      <c r="BJ33" s="53" t="str">
        <f>IF(Tim!GN35="","",Tim!GN35)</f>
        <v>CR</v>
      </c>
      <c r="BK33" s="53" t="str">
        <f>IF(Tim!GO35="","",Tim!GO35)</f>
        <v/>
      </c>
      <c r="BL33" s="53" t="str">
        <f>IF(Tim!GP35="","",Tim!GP35)</f>
        <v/>
      </c>
      <c r="BM33" s="53" t="str">
        <f>IF(Tim!GQ35="","",Tim!GQ35)</f>
        <v/>
      </c>
      <c r="BN33" s="53" t="str">
        <f>IF(Tim!GR35="","",Tim!GR35)</f>
        <v/>
      </c>
      <c r="BO33" s="56" t="str">
        <f>IF(Tim!HV35="","",Tim!HV35)</f>
        <v>LA</v>
      </c>
      <c r="BP33" s="53" t="str">
        <f>IF(Tim!HW35="","",Tim!HW35)</f>
        <v/>
      </c>
      <c r="BQ33" s="53" t="str">
        <f>IF(Tim!HX35="","",Tim!HX35)</f>
        <v/>
      </c>
      <c r="BR33" s="53" t="str">
        <f>IF(Tim!HY35="","",Tim!HY35)</f>
        <v/>
      </c>
      <c r="BS33" s="53" t="str">
        <f>IF(Tim!HZ35="","",Tim!HZ35)</f>
        <v/>
      </c>
      <c r="BT33" s="53" t="str">
        <f>IF(Tim!IA35="","",Tim!IA35)</f>
        <v/>
      </c>
      <c r="BU33" s="55" t="str">
        <f>IF(Tim!IB35="","",Tim!IB35)</f>
        <v/>
      </c>
      <c r="BV33" s="53" t="str">
        <f>IF(Tim!IF35="","",Tim!IF35)</f>
        <v/>
      </c>
      <c r="BW33" s="53" t="str">
        <f>IF(Tim!IG35="","",Tim!IG35)</f>
        <v/>
      </c>
      <c r="BX33" s="53" t="str">
        <f>IF(Tim!IH35="","",Tim!IH35)</f>
        <v/>
      </c>
      <c r="BY33" s="53" t="str">
        <f>IF(Tim!II35="","",Tim!II35)</f>
        <v/>
      </c>
      <c r="BZ33" s="53" t="str">
        <f>IF(Tim!IJ35="","",Tim!IJ35)</f>
        <v/>
      </c>
      <c r="CA33" s="59" t="str">
        <f>IF(Tim!JN35="","",Tim!JN35)</f>
        <v/>
      </c>
      <c r="CB33" s="59" t="str">
        <f>IF(Tim!JO35="","",Tim!JO35)</f>
        <v/>
      </c>
      <c r="CC33" s="59" t="str">
        <f>IF(Tim!JP35="","",Tim!JP35)</f>
        <v/>
      </c>
      <c r="CD33" s="59" t="str">
        <f>IF(Tim!JQ35="","",Tim!JQ35)</f>
        <v/>
      </c>
      <c r="CE33" s="59" t="str">
        <f>IF(Tim!JR35="","",Tim!JR35)</f>
        <v/>
      </c>
      <c r="CF33" s="59" t="str">
        <f>IF(Tim!JS35="","",Tim!JS35)</f>
        <v/>
      </c>
      <c r="CG33" s="59" t="str">
        <f>IF(Tim!JT35="","",Tim!JT35)</f>
        <v/>
      </c>
      <c r="CH33" s="53" t="str">
        <f>IF(Tim!JX35="","",Tim!JX35)</f>
        <v/>
      </c>
      <c r="CI33" s="53" t="str">
        <f>IF(Tim!JY35="","",Tim!JY35)</f>
        <v/>
      </c>
      <c r="CJ33" s="53" t="str">
        <f>IF(Tim!JZ35="","",Tim!JZ35)</f>
        <v/>
      </c>
      <c r="CK33" s="53" t="str">
        <f>IF(Tim!KA35="","",Tim!KA35)</f>
        <v/>
      </c>
      <c r="CL33" s="53" t="str">
        <f>IF(Tim!KB35="","",Tim!KB35)</f>
        <v/>
      </c>
      <c r="CM33" s="52">
        <v>0.58333333333333304</v>
      </c>
    </row>
    <row r="34" spans="2:91" ht="10.5" customHeight="1">
      <c r="B34" s="51">
        <v>0.25</v>
      </c>
      <c r="C34" s="51">
        <v>0.25</v>
      </c>
      <c r="D34" s="51">
        <v>0.25</v>
      </c>
      <c r="E34" s="172">
        <v>0.593749999999999</v>
      </c>
      <c r="F34" s="56" t="str">
        <f>IF(Tim!F36="","",Tim!F36)</f>
        <v>RF</v>
      </c>
      <c r="G34" s="53" t="str">
        <f>IF(Tim!G36="","",Tim!G36)</f>
        <v/>
      </c>
      <c r="H34" s="53" t="str">
        <f>IF(Tim!H36="","",Tim!H36)</f>
        <v/>
      </c>
      <c r="I34" s="53" t="str">
        <f>IF(Tim!I36="","",Tim!I36)</f>
        <v/>
      </c>
      <c r="J34" s="53" t="str">
        <f>IF(Tim!J36="","",Tim!J36)</f>
        <v/>
      </c>
      <c r="K34" s="53" t="str">
        <f>IF(Tim!K36="","",Tim!K36)</f>
        <v/>
      </c>
      <c r="L34" s="53" t="str">
        <f>IF(Tim!L36="","",Tim!L36)</f>
        <v/>
      </c>
      <c r="M34" s="53" t="str">
        <f>IF(Tim!P36="","",Tim!P36)</f>
        <v/>
      </c>
      <c r="N34" s="53" t="str">
        <f>IF(Tim!Q36="","",Tim!Q36)</f>
        <v/>
      </c>
      <c r="O34" s="53" t="str">
        <f>IF(Tim!R36="","",Tim!R36)</f>
        <v/>
      </c>
      <c r="P34" s="53" t="str">
        <f>IF(Tim!S36="","",Tim!S36)</f>
        <v/>
      </c>
      <c r="Q34" s="55" t="str">
        <f>IF(Tim!T36="","",Tim!T36)</f>
        <v/>
      </c>
      <c r="R34" s="56" t="str">
        <f>IF(Tim!AY36="","",Tim!AY36)</f>
        <v>LA</v>
      </c>
      <c r="S34" s="53" t="str">
        <f>IF(Tim!AZ36="","",Tim!AZ36)</f>
        <v>RF'</v>
      </c>
      <c r="T34" s="53" t="str">
        <f>IF(Tim!BA36="","",Tim!BA36)</f>
        <v/>
      </c>
      <c r="U34" s="53" t="str">
        <f>IF(Tim!BB36="","",Tim!BB36)</f>
        <v/>
      </c>
      <c r="V34" s="53" t="str">
        <f>IF(Tim!BC36="","",Tim!BC36)</f>
        <v/>
      </c>
      <c r="W34" s="53" t="str">
        <f>IF(Tim!BD36="","",Tim!BD36)</f>
        <v/>
      </c>
      <c r="X34" s="53" t="str">
        <f>IF(Tim!BE36="","",Tim!BE36)</f>
        <v/>
      </c>
      <c r="Y34" s="53" t="str">
        <f>IF(Tim!BF36="","",Tim!BF36)</f>
        <v/>
      </c>
      <c r="Z34" s="53" t="str">
        <f>IF(Tim!BI36="","",Tim!BI36)</f>
        <v/>
      </c>
      <c r="AA34" s="53" t="str">
        <f>IF(Tim!BJ36="","",Tim!BJ36)</f>
        <v/>
      </c>
      <c r="AB34" s="53" t="str">
        <f>IF(Tim!BK36="","",Tim!BK36)</f>
        <v/>
      </c>
      <c r="AC34" s="53" t="str">
        <f>IF(Tim!BL36="","",Tim!BL36)</f>
        <v/>
      </c>
      <c r="AD34" s="55" t="str">
        <f>IF(Tim!BM36="","",Tim!BM36)</f>
        <v/>
      </c>
      <c r="AE34" s="56" t="str">
        <f>IF(Tim!CQ36="","",Tim!CQ36)</f>
        <v>LF</v>
      </c>
      <c r="AF34" s="53" t="str">
        <f>IF(Tim!CR36="","",Tim!CR36)</f>
        <v/>
      </c>
      <c r="AG34" s="53" t="str">
        <f>IF(Tim!CS36="","",Tim!CS36)</f>
        <v/>
      </c>
      <c r="AH34" s="53" t="str">
        <f>IF(Tim!CT36="","",Tim!CT36)</f>
        <v/>
      </c>
      <c r="AI34" s="53" t="str">
        <f>IF(Tim!CU36="","",Tim!CU36)</f>
        <v/>
      </c>
      <c r="AJ34" s="53" t="str">
        <f>IF(Tim!CV36="","",Tim!CV36)</f>
        <v/>
      </c>
      <c r="AK34" s="53" t="str">
        <f>IF(Tim!CW36="","",Tim!CW36)</f>
        <v/>
      </c>
      <c r="AL34" s="53" t="str">
        <f>IF(Tim!DA36="","",Tim!DA36)</f>
        <v/>
      </c>
      <c r="AM34" s="53" t="str">
        <f>IF(Tim!DB36="","",Tim!DB36)</f>
        <v/>
      </c>
      <c r="AN34" s="53" t="str">
        <f>IF(Tim!DC36="","",Tim!DC36)</f>
        <v/>
      </c>
      <c r="AO34" s="53" t="str">
        <f>IF(Tim!DD36="","",Tim!DD36)</f>
        <v/>
      </c>
      <c r="AP34" s="53" t="str">
        <f>IF(Tim!DE36="","",Tim!DE36)</f>
        <v/>
      </c>
      <c r="AQ34" s="56" t="str">
        <f>IF(Tim!EL36="","",Tim!EL36)</f>
        <v>LF</v>
      </c>
      <c r="AR34" s="53" t="str">
        <f>IF(Tim!EM36="","",Tim!EM36)</f>
        <v/>
      </c>
      <c r="AS34" s="53" t="str">
        <f>IF(Tim!EN36="","",Tim!EN36)</f>
        <v/>
      </c>
      <c r="AT34" s="53" t="str">
        <f>IF(Tim!EO36="","",Tim!EO36)</f>
        <v/>
      </c>
      <c r="AU34" s="53" t="str">
        <f>IF(Tim!EP36="","",Tim!EP36)</f>
        <v/>
      </c>
      <c r="AV34" s="53" t="str">
        <f>IF(Tim!EQ36="","",Tim!EQ36)</f>
        <v/>
      </c>
      <c r="AW34" s="53" t="str">
        <f>IF(Tim!ER36="","",Tim!ER36)</f>
        <v/>
      </c>
      <c r="AX34" s="53" t="str">
        <f>IF(Tim!EV36="","",Tim!EV36)</f>
        <v/>
      </c>
      <c r="AY34" s="53" t="str">
        <f>IF(Tim!EW36="","",Tim!EW36)</f>
        <v/>
      </c>
      <c r="AZ34" s="53" t="str">
        <f>IF(Tim!EX36="","",Tim!EX36)</f>
        <v/>
      </c>
      <c r="BA34" s="53" t="str">
        <f>IF(Tim!EY36="","",Tim!EY36)</f>
        <v/>
      </c>
      <c r="BB34" s="53" t="str">
        <f>IF(Tim!EZ36="","",Tim!EZ36)</f>
        <v/>
      </c>
      <c r="BC34" s="56" t="str">
        <f>IF(Tim!GD36="","",Tim!GD36)</f>
        <v>LA</v>
      </c>
      <c r="BD34" s="53" t="str">
        <f>IF(Tim!GE36="","",Tim!GE36)</f>
        <v/>
      </c>
      <c r="BE34" s="53" t="str">
        <f>IF(Tim!GF36="","",Tim!GF36)</f>
        <v/>
      </c>
      <c r="BF34" s="53" t="str">
        <f>IF(Tim!GG36="","",Tim!GG36)</f>
        <v/>
      </c>
      <c r="BG34" s="53" t="str">
        <f>IF(Tim!GH36="","",Tim!GH36)</f>
        <v/>
      </c>
      <c r="BH34" s="53" t="str">
        <f>IF(Tim!GI36="","",Tim!GI36)</f>
        <v/>
      </c>
      <c r="BI34" s="53" t="str">
        <f>IF(Tim!GJ36="","",Tim!GJ36)</f>
        <v/>
      </c>
      <c r="BJ34" s="53" t="str">
        <f>IF(Tim!GN36="","",Tim!GN36)</f>
        <v>CR</v>
      </c>
      <c r="BK34" s="53" t="str">
        <f>IF(Tim!GO36="","",Tim!GO36)</f>
        <v/>
      </c>
      <c r="BL34" s="53" t="str">
        <f>IF(Tim!GP36="","",Tim!GP36)</f>
        <v/>
      </c>
      <c r="BM34" s="53" t="str">
        <f>IF(Tim!GQ36="","",Tim!GQ36)</f>
        <v/>
      </c>
      <c r="BN34" s="53" t="str">
        <f>IF(Tim!GR36="","",Tim!GR36)</f>
        <v/>
      </c>
      <c r="BO34" s="56" t="str">
        <f>IF(Tim!HV36="","",Tim!HV36)</f>
        <v>LA</v>
      </c>
      <c r="BP34" s="53" t="str">
        <f>IF(Tim!HW36="","",Tim!HW36)</f>
        <v/>
      </c>
      <c r="BQ34" s="53" t="str">
        <f>IF(Tim!HX36="","",Tim!HX36)</f>
        <v/>
      </c>
      <c r="BR34" s="53" t="str">
        <f>IF(Tim!HY36="","",Tim!HY36)</f>
        <v/>
      </c>
      <c r="BS34" s="53" t="str">
        <f>IF(Tim!HZ36="","",Tim!HZ36)</f>
        <v/>
      </c>
      <c r="BT34" s="53" t="str">
        <f>IF(Tim!IA36="","",Tim!IA36)</f>
        <v/>
      </c>
      <c r="BU34" s="55" t="str">
        <f>IF(Tim!IB36="","",Tim!IB36)</f>
        <v/>
      </c>
      <c r="BV34" s="53" t="str">
        <f>IF(Tim!IF36="","",Tim!IF36)</f>
        <v/>
      </c>
      <c r="BW34" s="53" t="str">
        <f>IF(Tim!IG36="","",Tim!IG36)</f>
        <v/>
      </c>
      <c r="BX34" s="53" t="str">
        <f>IF(Tim!IH36="","",Tim!IH36)</f>
        <v/>
      </c>
      <c r="BY34" s="53" t="str">
        <f>IF(Tim!II36="","",Tim!II36)</f>
        <v/>
      </c>
      <c r="BZ34" s="53" t="str">
        <f>IF(Tim!IJ36="","",Tim!IJ36)</f>
        <v/>
      </c>
      <c r="CA34" s="59" t="str">
        <f>IF(Tim!JN36="","",Tim!JN36)</f>
        <v/>
      </c>
      <c r="CB34" s="59" t="str">
        <f>IF(Tim!JO36="","",Tim!JO36)</f>
        <v/>
      </c>
      <c r="CC34" s="59" t="str">
        <f>IF(Tim!JP36="","",Tim!JP36)</f>
        <v/>
      </c>
      <c r="CD34" s="59" t="str">
        <f>IF(Tim!JQ36="","",Tim!JQ36)</f>
        <v/>
      </c>
      <c r="CE34" s="59" t="str">
        <f>IF(Tim!JR36="","",Tim!JR36)</f>
        <v/>
      </c>
      <c r="CF34" s="59" t="str">
        <f>IF(Tim!JS36="","",Tim!JS36)</f>
        <v/>
      </c>
      <c r="CG34" s="59" t="str">
        <f>IF(Tim!JT36="","",Tim!JT36)</f>
        <v/>
      </c>
      <c r="CH34" s="53" t="str">
        <f>IF(Tim!JX36="","",Tim!JX36)</f>
        <v/>
      </c>
      <c r="CI34" s="53" t="str">
        <f>IF(Tim!JY36="","",Tim!JY36)</f>
        <v/>
      </c>
      <c r="CJ34" s="53" t="str">
        <f>IF(Tim!JZ36="","",Tim!JZ36)</f>
        <v/>
      </c>
      <c r="CK34" s="53" t="str">
        <f>IF(Tim!KA36="","",Tim!KA36)</f>
        <v/>
      </c>
      <c r="CL34" s="53" t="str">
        <f>IF(Tim!KB36="","",Tim!KB36)</f>
        <v/>
      </c>
      <c r="CM34" s="52">
        <v>0.593749999999999</v>
      </c>
    </row>
    <row r="35" spans="2:91" ht="10.5" customHeight="1">
      <c r="B35" s="51">
        <v>0.25</v>
      </c>
      <c r="C35" s="51">
        <v>0.25</v>
      </c>
      <c r="D35" s="51">
        <v>0.25</v>
      </c>
      <c r="E35" s="172">
        <v>0.60416666666666596</v>
      </c>
      <c r="F35" s="56" t="str">
        <f>IF(Tim!F37="","",Tim!F37)</f>
        <v>HA</v>
      </c>
      <c r="G35" s="53" t="str">
        <f>IF(Tim!G37="","",Tim!G37)</f>
        <v>RF</v>
      </c>
      <c r="H35" s="53" t="str">
        <f>IF(Tim!H37="","",Tim!H37)</f>
        <v/>
      </c>
      <c r="I35" s="53" t="str">
        <f>IF(Tim!I37="","",Tim!I37)</f>
        <v/>
      </c>
      <c r="J35" s="53" t="str">
        <f>IF(Tim!J37="","",Tim!J37)</f>
        <v/>
      </c>
      <c r="K35" s="53" t="str">
        <f>IF(Tim!K37="","",Tim!K37)</f>
        <v/>
      </c>
      <c r="L35" s="53" t="str">
        <f>IF(Tim!L37="","",Tim!L37)</f>
        <v/>
      </c>
      <c r="M35" s="53" t="str">
        <f>IF(Tim!P37="","",Tim!P37)</f>
        <v/>
      </c>
      <c r="N35" s="53" t="str">
        <f>IF(Tim!Q37="","",Tim!Q37)</f>
        <v/>
      </c>
      <c r="O35" s="53" t="str">
        <f>IF(Tim!R37="","",Tim!R37)</f>
        <v/>
      </c>
      <c r="P35" s="53" t="str">
        <f>IF(Tim!S37="","",Tim!S37)</f>
        <v/>
      </c>
      <c r="Q35" s="55" t="str">
        <f>IF(Tim!T37="","",Tim!T37)</f>
        <v/>
      </c>
      <c r="R35" s="56" t="str">
        <f>IF(Tim!AY37="","",Tim!AY37)</f>
        <v>RF</v>
      </c>
      <c r="S35" s="53" t="str">
        <f>IF(Tim!AZ37="","",Tim!AZ37)</f>
        <v/>
      </c>
      <c r="T35" s="53" t="str">
        <f>IF(Tim!BA37="","",Tim!BA37)</f>
        <v/>
      </c>
      <c r="U35" s="53" t="str">
        <f>IF(Tim!BB37="","",Tim!BB37)</f>
        <v/>
      </c>
      <c r="V35" s="53" t="str">
        <f>IF(Tim!BC37="","",Tim!BC37)</f>
        <v/>
      </c>
      <c r="W35" s="53" t="str">
        <f>IF(Tim!BD37="","",Tim!BD37)</f>
        <v/>
      </c>
      <c r="X35" s="53" t="str">
        <f>IF(Tim!BE37="","",Tim!BE37)</f>
        <v/>
      </c>
      <c r="Y35" s="53" t="str">
        <f>IF(Tim!BF37="","",Tim!BF37)</f>
        <v>LA</v>
      </c>
      <c r="Z35" s="53" t="str">
        <f>IF(Tim!BI37="","",Tim!BI37)</f>
        <v/>
      </c>
      <c r="AA35" s="53" t="str">
        <f>IF(Tim!BJ37="","",Tim!BJ37)</f>
        <v/>
      </c>
      <c r="AB35" s="53" t="str">
        <f>IF(Tim!BK37="","",Tim!BK37)</f>
        <v/>
      </c>
      <c r="AC35" s="53" t="str">
        <f>IF(Tim!BL37="","",Tim!BL37)</f>
        <v/>
      </c>
      <c r="AD35" s="55" t="str">
        <f>IF(Tim!BM37="","",Tim!BM37)</f>
        <v/>
      </c>
      <c r="AE35" s="56" t="str">
        <f>IF(Tim!CQ37="","",Tim!CQ37)</f>
        <v>LA</v>
      </c>
      <c r="AF35" s="53" t="str">
        <f>IF(Tim!CR37="","",Tim!CR37)</f>
        <v/>
      </c>
      <c r="AG35" s="53" t="str">
        <f>IF(Tim!CS37="","",Tim!CS37)</f>
        <v/>
      </c>
      <c r="AH35" s="53" t="str">
        <f>IF(Tim!CT37="","",Tim!CT37)</f>
        <v/>
      </c>
      <c r="AI35" s="53" t="str">
        <f>IF(Tim!CU37="","",Tim!CU37)</f>
        <v/>
      </c>
      <c r="AJ35" s="53" t="str">
        <f>IF(Tim!CV37="","",Tim!CV37)</f>
        <v/>
      </c>
      <c r="AK35" s="53" t="str">
        <f>IF(Tim!CW37="","",Tim!CW37)</f>
        <v/>
      </c>
      <c r="AL35" s="53" t="str">
        <f>IF(Tim!DA37="","",Tim!DA37)</f>
        <v/>
      </c>
      <c r="AM35" s="53" t="str">
        <f>IF(Tim!DB37="","",Tim!DB37)</f>
        <v/>
      </c>
      <c r="AN35" s="53" t="str">
        <f>IF(Tim!DC37="","",Tim!DC37)</f>
        <v/>
      </c>
      <c r="AO35" s="53" t="str">
        <f>IF(Tim!DD37="","",Tim!DD37)</f>
        <v>RP</v>
      </c>
      <c r="AP35" s="53" t="str">
        <f>IF(Tim!DE37="","",Tim!DE37)</f>
        <v>RP</v>
      </c>
      <c r="AQ35" s="56" t="str">
        <f>IF(Tim!EL37="","",Tim!EL37)</f>
        <v>MS</v>
      </c>
      <c r="AR35" s="53" t="str">
        <f>IF(Tim!EM37="","",Tim!EM37)</f>
        <v>LF</v>
      </c>
      <c r="AS35" s="53" t="str">
        <f>IF(Tim!EN37="","",Tim!EN37)</f>
        <v/>
      </c>
      <c r="AT35" s="53" t="str">
        <f>IF(Tim!EO37="","",Tim!EO37)</f>
        <v/>
      </c>
      <c r="AU35" s="53" t="str">
        <f>IF(Tim!EP37="","",Tim!EP37)</f>
        <v/>
      </c>
      <c r="AV35" s="53" t="str">
        <f>IF(Tim!EQ37="","",Tim!EQ37)</f>
        <v/>
      </c>
      <c r="AW35" s="53" t="str">
        <f>IF(Tim!ER37="","",Tim!ER37)</f>
        <v/>
      </c>
      <c r="AX35" s="53" t="str">
        <f>IF(Tim!EV37="","",Tim!EV37)</f>
        <v/>
      </c>
      <c r="AY35" s="53" t="str">
        <f>IF(Tim!EW37="","",Tim!EW37)</f>
        <v/>
      </c>
      <c r="AZ35" s="53" t="str">
        <f>IF(Tim!EX37="","",Tim!EX37)</f>
        <v/>
      </c>
      <c r="BA35" s="53" t="str">
        <f>IF(Tim!EY37="","",Tim!EY37)</f>
        <v/>
      </c>
      <c r="BB35" s="53" t="str">
        <f>IF(Tim!EZ37="","",Tim!EZ37)</f>
        <v/>
      </c>
      <c r="BC35" s="56" t="str">
        <f>IF(Tim!GD37="","",Tim!GD37)</f>
        <v>MS</v>
      </c>
      <c r="BD35" s="53" t="str">
        <f>IF(Tim!GE37="","",Tim!GE37)</f>
        <v>HA</v>
      </c>
      <c r="BE35" s="53" t="str">
        <f>IF(Tim!GF37="","",Tim!GF37)</f>
        <v/>
      </c>
      <c r="BF35" s="53" t="str">
        <f>IF(Tim!GG37="","",Tim!GG37)</f>
        <v/>
      </c>
      <c r="BG35" s="53" t="str">
        <f>IF(Tim!GH37="","",Tim!GH37)</f>
        <v/>
      </c>
      <c r="BH35" s="53" t="str">
        <f>IF(Tim!GI37="","",Tim!GI37)</f>
        <v/>
      </c>
      <c r="BI35" s="53" t="str">
        <f>IF(Tim!GJ37="","",Tim!GJ37)</f>
        <v/>
      </c>
      <c r="BJ35" s="53" t="str">
        <f>IF(Tim!GN37="","",Tim!GN37)</f>
        <v>CR</v>
      </c>
      <c r="BK35" s="53" t="str">
        <f>IF(Tim!GO37="","",Tim!GO37)</f>
        <v/>
      </c>
      <c r="BL35" s="53" t="str">
        <f>IF(Tim!GP37="","",Tim!GP37)</f>
        <v>LA</v>
      </c>
      <c r="BM35" s="53" t="str">
        <f>IF(Tim!GQ37="","",Tim!GQ37)</f>
        <v/>
      </c>
      <c r="BN35" s="53" t="str">
        <f>IF(Tim!GR37="","",Tim!GR37)</f>
        <v/>
      </c>
      <c r="BO35" s="56" t="str">
        <f>IF(Tim!HV37="","",Tim!HV37)</f>
        <v>RF</v>
      </c>
      <c r="BP35" s="53" t="str">
        <f>IF(Tim!HW37="","",Tim!HW37)</f>
        <v/>
      </c>
      <c r="BQ35" s="53" t="str">
        <f>IF(Tim!HX37="","",Tim!HX37)</f>
        <v/>
      </c>
      <c r="BR35" s="53" t="str">
        <f>IF(Tim!HY37="","",Tim!HY37)</f>
        <v/>
      </c>
      <c r="BS35" s="53" t="str">
        <f>IF(Tim!HZ37="","",Tim!HZ37)</f>
        <v/>
      </c>
      <c r="BT35" s="53" t="str">
        <f>IF(Tim!IA37="","",Tim!IA37)</f>
        <v/>
      </c>
      <c r="BU35" s="55" t="str">
        <f>IF(Tim!IB37="","",Tim!IB37)</f>
        <v/>
      </c>
      <c r="BV35" s="53" t="str">
        <f>IF(Tim!IF37="","",Tim!IF37)</f>
        <v/>
      </c>
      <c r="BW35" s="53" t="str">
        <f>IF(Tim!IG37="","",Tim!IG37)</f>
        <v/>
      </c>
      <c r="BX35" s="53" t="str">
        <f>IF(Tim!IH37="","",Tim!IH37)</f>
        <v/>
      </c>
      <c r="BY35" s="53" t="str">
        <f>IF(Tim!II37="","",Tim!II37)</f>
        <v/>
      </c>
      <c r="BZ35" s="53" t="str">
        <f>IF(Tim!IJ37="","",Tim!IJ37)</f>
        <v/>
      </c>
      <c r="CA35" s="59" t="str">
        <f>IF(Tim!JN37="","",Tim!JN37)</f>
        <v>RF</v>
      </c>
      <c r="CB35" s="59" t="str">
        <f>IF(Tim!JO37="","",Tim!JO37)</f>
        <v/>
      </c>
      <c r="CC35" s="59" t="str">
        <f>IF(Tim!JP37="","",Tim!JP37)</f>
        <v/>
      </c>
      <c r="CD35" s="59" t="str">
        <f>IF(Tim!JQ37="","",Tim!JQ37)</f>
        <v/>
      </c>
      <c r="CE35" s="59" t="str">
        <f>IF(Tim!JR37="","",Tim!JR37)</f>
        <v/>
      </c>
      <c r="CF35" s="59" t="str">
        <f>IF(Tim!JS37="","",Tim!JS37)</f>
        <v/>
      </c>
      <c r="CG35" s="59" t="str">
        <f>IF(Tim!JT37="","",Tim!JT37)</f>
        <v/>
      </c>
      <c r="CH35" s="53" t="str">
        <f>IF(Tim!JX37="","",Tim!JX37)</f>
        <v/>
      </c>
      <c r="CI35" s="53" t="str">
        <f>IF(Tim!JY37="","",Tim!JY37)</f>
        <v/>
      </c>
      <c r="CJ35" s="53" t="str">
        <f>IF(Tim!JZ37="","",Tim!JZ37)</f>
        <v/>
      </c>
      <c r="CK35" s="53" t="str">
        <f>IF(Tim!KA37="","",Tim!KA37)</f>
        <v/>
      </c>
      <c r="CL35" s="53" t="str">
        <f>IF(Tim!KB37="","",Tim!KB37)</f>
        <v/>
      </c>
      <c r="CM35" s="52">
        <v>0.60416666666666596</v>
      </c>
    </row>
    <row r="36" spans="2:91" ht="10.5" customHeight="1">
      <c r="B36" s="51">
        <v>0.25</v>
      </c>
      <c r="C36" s="51">
        <v>0.25</v>
      </c>
      <c r="D36" s="51">
        <v>0.25</v>
      </c>
      <c r="E36" s="172">
        <v>0.61458333333333304</v>
      </c>
      <c r="F36" s="56" t="str">
        <f>IF(Tim!F38="","",Tim!F38)</f>
        <v>HA</v>
      </c>
      <c r="G36" s="53" t="str">
        <f>IF(Tim!G38="","",Tim!G38)</f>
        <v/>
      </c>
      <c r="H36" s="53" t="str">
        <f>IF(Tim!H38="","",Tim!H38)</f>
        <v/>
      </c>
      <c r="I36" s="53" t="str">
        <f>IF(Tim!I38="","",Tim!I38)</f>
        <v/>
      </c>
      <c r="J36" s="53" t="str">
        <f>IF(Tim!J38="","",Tim!J38)</f>
        <v/>
      </c>
      <c r="K36" s="53" t="str">
        <f>IF(Tim!K38="","",Tim!K38)</f>
        <v/>
      </c>
      <c r="L36" s="53" t="str">
        <f>IF(Tim!L38="","",Tim!L38)</f>
        <v/>
      </c>
      <c r="M36" s="53" t="str">
        <f>IF(Tim!P38="","",Tim!P38)</f>
        <v/>
      </c>
      <c r="N36" s="53" t="str">
        <f>IF(Tim!Q38="","",Tim!Q38)</f>
        <v/>
      </c>
      <c r="O36" s="53" t="str">
        <f>IF(Tim!R38="","",Tim!R38)</f>
        <v/>
      </c>
      <c r="P36" s="53" t="str">
        <f>IF(Tim!S38="","",Tim!S38)</f>
        <v/>
      </c>
      <c r="Q36" s="55" t="str">
        <f>IF(Tim!T38="","",Tim!T38)</f>
        <v/>
      </c>
      <c r="R36" s="56" t="str">
        <f>IF(Tim!AY38="","",Tim!AY38)</f>
        <v>RF</v>
      </c>
      <c r="S36" s="53" t="str">
        <f>IF(Tim!AZ38="","",Tim!AZ38)</f>
        <v/>
      </c>
      <c r="T36" s="53" t="str">
        <f>IF(Tim!BA38="","",Tim!BA38)</f>
        <v/>
      </c>
      <c r="U36" s="53" t="str">
        <f>IF(Tim!BB38="","",Tim!BB38)</f>
        <v/>
      </c>
      <c r="V36" s="53" t="str">
        <f>IF(Tim!BC38="","",Tim!BC38)</f>
        <v/>
      </c>
      <c r="W36" s="53" t="str">
        <f>IF(Tim!BD38="","",Tim!BD38)</f>
        <v/>
      </c>
      <c r="X36" s="53" t="str">
        <f>IF(Tim!BE38="","",Tim!BE38)</f>
        <v/>
      </c>
      <c r="Y36" s="53" t="str">
        <f>IF(Tim!BF38="","",Tim!BF38)</f>
        <v>LA</v>
      </c>
      <c r="Z36" s="53" t="str">
        <f>IF(Tim!BI38="","",Tim!BI38)</f>
        <v/>
      </c>
      <c r="AA36" s="53" t="str">
        <f>IF(Tim!BJ38="","",Tim!BJ38)</f>
        <v/>
      </c>
      <c r="AB36" s="53" t="str">
        <f>IF(Tim!BK38="","",Tim!BK38)</f>
        <v/>
      </c>
      <c r="AC36" s="53" t="str">
        <f>IF(Tim!BL38="","",Tim!BL38)</f>
        <v/>
      </c>
      <c r="AD36" s="55" t="str">
        <f>IF(Tim!BM38="","",Tim!BM38)</f>
        <v/>
      </c>
      <c r="AE36" s="56" t="str">
        <f>IF(Tim!CQ38="","",Tim!CQ38)</f>
        <v>LA</v>
      </c>
      <c r="AF36" s="53" t="str">
        <f>IF(Tim!CR38="","",Tim!CR38)</f>
        <v/>
      </c>
      <c r="AG36" s="53" t="str">
        <f>IF(Tim!CS38="","",Tim!CS38)</f>
        <v/>
      </c>
      <c r="AH36" s="53" t="str">
        <f>IF(Tim!CT38="","",Tim!CT38)</f>
        <v/>
      </c>
      <c r="AI36" s="53" t="str">
        <f>IF(Tim!CU38="","",Tim!CU38)</f>
        <v/>
      </c>
      <c r="AJ36" s="53" t="str">
        <f>IF(Tim!CV38="","",Tim!CV38)</f>
        <v/>
      </c>
      <c r="AK36" s="53" t="str">
        <f>IF(Tim!CW38="","",Tim!CW38)</f>
        <v/>
      </c>
      <c r="AL36" s="53" t="str">
        <f>IF(Tim!DA38="","",Tim!DA38)</f>
        <v/>
      </c>
      <c r="AM36" s="53" t="str">
        <f>IF(Tim!DB38="","",Tim!DB38)</f>
        <v/>
      </c>
      <c r="AN36" s="53" t="str">
        <f>IF(Tim!DC38="","",Tim!DC38)</f>
        <v/>
      </c>
      <c r="AO36" s="53" t="str">
        <f>IF(Tim!DD38="","",Tim!DD38)</f>
        <v/>
      </c>
      <c r="AP36" s="53" t="str">
        <f>IF(Tim!DE38="","",Tim!DE38)</f>
        <v/>
      </c>
      <c r="AQ36" s="56" t="str">
        <f>IF(Tim!EL38="","",Tim!EL38)</f>
        <v>MS</v>
      </c>
      <c r="AR36" s="53" t="str">
        <f>IF(Tim!EM38="","",Tim!EM38)</f>
        <v/>
      </c>
      <c r="AS36" s="53" t="str">
        <f>IF(Tim!EN38="","",Tim!EN38)</f>
        <v/>
      </c>
      <c r="AT36" s="53" t="str">
        <f>IF(Tim!EO38="","",Tim!EO38)</f>
        <v/>
      </c>
      <c r="AU36" s="53" t="str">
        <f>IF(Tim!EP38="","",Tim!EP38)</f>
        <v/>
      </c>
      <c r="AV36" s="53" t="str">
        <f>IF(Tim!EQ38="","",Tim!EQ38)</f>
        <v/>
      </c>
      <c r="AW36" s="53" t="str">
        <f>IF(Tim!ER38="","",Tim!ER38)</f>
        <v/>
      </c>
      <c r="AX36" s="53" t="str">
        <f>IF(Tim!EV38="","",Tim!EV38)</f>
        <v/>
      </c>
      <c r="AY36" s="53" t="str">
        <f>IF(Tim!EW38="","",Tim!EW38)</f>
        <v/>
      </c>
      <c r="AZ36" s="53" t="str">
        <f>IF(Tim!EX38="","",Tim!EX38)</f>
        <v/>
      </c>
      <c r="BA36" s="53" t="str">
        <f>IF(Tim!EY38="","",Tim!EY38)</f>
        <v/>
      </c>
      <c r="BB36" s="53" t="str">
        <f>IF(Tim!EZ38="","",Tim!EZ38)</f>
        <v/>
      </c>
      <c r="BC36" s="56" t="str">
        <f>IF(Tim!GD38="","",Tim!GD38)</f>
        <v>MS</v>
      </c>
      <c r="BD36" s="53" t="str">
        <f>IF(Tim!GE38="","",Tim!GE38)</f>
        <v/>
      </c>
      <c r="BE36" s="53" t="str">
        <f>IF(Tim!GF38="","",Tim!GF38)</f>
        <v/>
      </c>
      <c r="BF36" s="53" t="str">
        <f>IF(Tim!GG38="","",Tim!GG38)</f>
        <v/>
      </c>
      <c r="BG36" s="53" t="str">
        <f>IF(Tim!GH38="","",Tim!GH38)</f>
        <v/>
      </c>
      <c r="BH36" s="53" t="str">
        <f>IF(Tim!GI38="","",Tim!GI38)</f>
        <v/>
      </c>
      <c r="BI36" s="53" t="str">
        <f>IF(Tim!GJ38="","",Tim!GJ38)</f>
        <v/>
      </c>
      <c r="BJ36" s="53" t="str">
        <f>IF(Tim!GN38="","",Tim!GN38)</f>
        <v>CR</v>
      </c>
      <c r="BK36" s="53" t="str">
        <f>IF(Tim!GO38="","",Tim!GO38)</f>
        <v/>
      </c>
      <c r="BL36" s="53" t="str">
        <f>IF(Tim!GP38="","",Tim!GP38)</f>
        <v>LA</v>
      </c>
      <c r="BM36" s="53" t="str">
        <f>IF(Tim!GQ38="","",Tim!GQ38)</f>
        <v/>
      </c>
      <c r="BN36" s="53" t="str">
        <f>IF(Tim!GR38="","",Tim!GR38)</f>
        <v/>
      </c>
      <c r="BO36" s="56" t="str">
        <f>IF(Tim!HV38="","",Tim!HV38)</f>
        <v>RF</v>
      </c>
      <c r="BP36" s="53" t="str">
        <f>IF(Tim!HW38="","",Tim!HW38)</f>
        <v/>
      </c>
      <c r="BQ36" s="53" t="str">
        <f>IF(Tim!HX38="","",Tim!HX38)</f>
        <v/>
      </c>
      <c r="BR36" s="53" t="str">
        <f>IF(Tim!HY38="","",Tim!HY38)</f>
        <v/>
      </c>
      <c r="BS36" s="53" t="str">
        <f>IF(Tim!HZ38="","",Tim!HZ38)</f>
        <v/>
      </c>
      <c r="BT36" s="53" t="str">
        <f>IF(Tim!IA38="","",Tim!IA38)</f>
        <v/>
      </c>
      <c r="BU36" s="55" t="str">
        <f>IF(Tim!IB38="","",Tim!IB38)</f>
        <v/>
      </c>
      <c r="BV36" s="53" t="str">
        <f>IF(Tim!IF38="","",Tim!IF38)</f>
        <v/>
      </c>
      <c r="BW36" s="53" t="str">
        <f>IF(Tim!IG38="","",Tim!IG38)</f>
        <v/>
      </c>
      <c r="BX36" s="53" t="str">
        <f>IF(Tim!IH38="","",Tim!IH38)</f>
        <v/>
      </c>
      <c r="BY36" s="53" t="str">
        <f>IF(Tim!II38="","",Tim!II38)</f>
        <v/>
      </c>
      <c r="BZ36" s="53" t="str">
        <f>IF(Tim!IJ38="","",Tim!IJ38)</f>
        <v/>
      </c>
      <c r="CA36" s="59" t="str">
        <f>IF(Tim!JN38="","",Tim!JN38)</f>
        <v>RF</v>
      </c>
      <c r="CB36" s="59" t="str">
        <f>IF(Tim!JO38="","",Tim!JO38)</f>
        <v/>
      </c>
      <c r="CC36" s="59" t="str">
        <f>IF(Tim!JP38="","",Tim!JP38)</f>
        <v/>
      </c>
      <c r="CD36" s="59" t="str">
        <f>IF(Tim!JQ38="","",Tim!JQ38)</f>
        <v/>
      </c>
      <c r="CE36" s="59" t="str">
        <f>IF(Tim!JR38="","",Tim!JR38)</f>
        <v/>
      </c>
      <c r="CF36" s="59" t="str">
        <f>IF(Tim!JS38="","",Tim!JS38)</f>
        <v/>
      </c>
      <c r="CG36" s="59" t="str">
        <f>IF(Tim!JT38="","",Tim!JT38)</f>
        <v/>
      </c>
      <c r="CH36" s="53" t="str">
        <f>IF(Tim!JX38="","",Tim!JX38)</f>
        <v/>
      </c>
      <c r="CI36" s="53" t="str">
        <f>IF(Tim!JY38="","",Tim!JY38)</f>
        <v/>
      </c>
      <c r="CJ36" s="53" t="str">
        <f>IF(Tim!JZ38="","",Tim!JZ38)</f>
        <v/>
      </c>
      <c r="CK36" s="53" t="str">
        <f>IF(Tim!KA38="","",Tim!KA38)</f>
        <v/>
      </c>
      <c r="CL36" s="53" t="str">
        <f>IF(Tim!KB38="","",Tim!KB38)</f>
        <v/>
      </c>
      <c r="CM36" s="52">
        <v>0.61458333333333304</v>
      </c>
    </row>
    <row r="37" spans="2:91" ht="10.5" customHeight="1">
      <c r="B37" s="51">
        <v>0.25</v>
      </c>
      <c r="C37" s="51">
        <v>0.25</v>
      </c>
      <c r="D37" s="51">
        <v>0.25</v>
      </c>
      <c r="E37" s="172">
        <v>0.624999999999999</v>
      </c>
      <c r="F37" s="56" t="str">
        <f>IF(Tim!F39="","",Tim!F39)</f>
        <v>HA</v>
      </c>
      <c r="G37" s="53" t="str">
        <f>IF(Tim!G39="","",Tim!G39)</f>
        <v/>
      </c>
      <c r="H37" s="53" t="str">
        <f>IF(Tim!H39="","",Tim!H39)</f>
        <v/>
      </c>
      <c r="I37" s="53" t="str">
        <f>IF(Tim!I39="","",Tim!I39)</f>
        <v/>
      </c>
      <c r="J37" s="53" t="str">
        <f>IF(Tim!J39="","",Tim!J39)</f>
        <v/>
      </c>
      <c r="K37" s="53" t="str">
        <f>IF(Tim!K39="","",Tim!K39)</f>
        <v/>
      </c>
      <c r="L37" s="53" t="str">
        <f>IF(Tim!L39="","",Tim!L39)</f>
        <v/>
      </c>
      <c r="M37" s="53" t="str">
        <f>IF(Tim!P39="","",Tim!P39)</f>
        <v/>
      </c>
      <c r="N37" s="53" t="str">
        <f>IF(Tim!Q39="","",Tim!Q39)</f>
        <v/>
      </c>
      <c r="O37" s="53" t="str">
        <f>IF(Tim!R39="","",Tim!R39)</f>
        <v/>
      </c>
      <c r="P37" s="53" t="str">
        <f>IF(Tim!S39="","",Tim!S39)</f>
        <v/>
      </c>
      <c r="Q37" s="55" t="str">
        <f>IF(Tim!T39="","",Tim!T39)</f>
        <v/>
      </c>
      <c r="R37" s="56" t="str">
        <f>IF(Tim!AY39="","",Tim!AY39)</f>
        <v>LA</v>
      </c>
      <c r="S37" s="53" t="str">
        <f>IF(Tim!AZ39="","",Tim!AZ39)</f>
        <v/>
      </c>
      <c r="T37" s="53" t="str">
        <f>IF(Tim!BA39="","",Tim!BA39)</f>
        <v/>
      </c>
      <c r="U37" s="53" t="str">
        <f>IF(Tim!BB39="","",Tim!BB39)</f>
        <v/>
      </c>
      <c r="V37" s="53" t="str">
        <f>IF(Tim!BC39="","",Tim!BC39)</f>
        <v/>
      </c>
      <c r="W37" s="53" t="str">
        <f>IF(Tim!BD39="","",Tim!BD39)</f>
        <v/>
      </c>
      <c r="X37" s="53" t="str">
        <f>IF(Tim!BE39="","",Tim!BE39)</f>
        <v/>
      </c>
      <c r="Y37" s="53" t="str">
        <f>IF(Tim!BF39="","",Tim!BF39)</f>
        <v/>
      </c>
      <c r="Z37" s="53" t="str">
        <f>IF(Tim!BI39="","",Tim!BI39)</f>
        <v/>
      </c>
      <c r="AA37" s="53" t="str">
        <f>IF(Tim!BJ39="","",Tim!BJ39)</f>
        <v/>
      </c>
      <c r="AB37" s="53" t="str">
        <f>IF(Tim!BK39="","",Tim!BK39)</f>
        <v/>
      </c>
      <c r="AC37" s="53" t="str">
        <f>IF(Tim!BL39="","",Tim!BL39)</f>
        <v/>
      </c>
      <c r="AD37" s="55" t="str">
        <f>IF(Tim!BM39="","",Tim!BM39)</f>
        <v/>
      </c>
      <c r="AE37" s="56" t="str">
        <f>IF(Tim!CQ39="","",Tim!CQ39)</f>
        <v>LA</v>
      </c>
      <c r="AF37" s="53" t="str">
        <f>IF(Tim!CR39="","",Tim!CR39)</f>
        <v/>
      </c>
      <c r="AG37" s="53" t="str">
        <f>IF(Tim!CS39="","",Tim!CS39)</f>
        <v/>
      </c>
      <c r="AH37" s="53" t="str">
        <f>IF(Tim!CT39="","",Tim!CT39)</f>
        <v/>
      </c>
      <c r="AI37" s="53" t="str">
        <f>IF(Tim!CU39="","",Tim!CU39)</f>
        <v/>
      </c>
      <c r="AJ37" s="53" t="str">
        <f>IF(Tim!CV39="","",Tim!CV39)</f>
        <v/>
      </c>
      <c r="AK37" s="53" t="str">
        <f>IF(Tim!CW39="","",Tim!CW39)</f>
        <v/>
      </c>
      <c r="AL37" s="53" t="str">
        <f>IF(Tim!DA39="","",Tim!DA39)</f>
        <v/>
      </c>
      <c r="AM37" s="53" t="str">
        <f>IF(Tim!DB39="","",Tim!DB39)</f>
        <v/>
      </c>
      <c r="AN37" s="53" t="str">
        <f>IF(Tim!DC39="","",Tim!DC39)</f>
        <v/>
      </c>
      <c r="AO37" s="53" t="str">
        <f>IF(Tim!DD39="","",Tim!DD39)</f>
        <v/>
      </c>
      <c r="AP37" s="53" t="str">
        <f>IF(Tim!DE39="","",Tim!DE39)</f>
        <v/>
      </c>
      <c r="AQ37" s="56" t="str">
        <f>IF(Tim!EL39="","",Tim!EL39)</f>
        <v>MS</v>
      </c>
      <c r="AR37" s="53" t="str">
        <f>IF(Tim!EM39="","",Tim!EM39)</f>
        <v/>
      </c>
      <c r="AS37" s="53" t="str">
        <f>IF(Tim!EN39="","",Tim!EN39)</f>
        <v/>
      </c>
      <c r="AT37" s="53" t="str">
        <f>IF(Tim!EO39="","",Tim!EO39)</f>
        <v/>
      </c>
      <c r="AU37" s="53" t="str">
        <f>IF(Tim!EP39="","",Tim!EP39)</f>
        <v/>
      </c>
      <c r="AV37" s="53" t="str">
        <f>IF(Tim!EQ39="","",Tim!EQ39)</f>
        <v/>
      </c>
      <c r="AW37" s="53" t="str">
        <f>IF(Tim!ER39="","",Tim!ER39)</f>
        <v/>
      </c>
      <c r="AX37" s="53" t="str">
        <f>IF(Tim!EV39="","",Tim!EV39)</f>
        <v/>
      </c>
      <c r="AY37" s="53" t="str">
        <f>IF(Tim!EW39="","",Tim!EW39)</f>
        <v/>
      </c>
      <c r="AZ37" s="53" t="str">
        <f>IF(Tim!EX39="","",Tim!EX39)</f>
        <v/>
      </c>
      <c r="BA37" s="53" t="str">
        <f>IF(Tim!EY39="","",Tim!EY39)</f>
        <v/>
      </c>
      <c r="BB37" s="53" t="str">
        <f>IF(Tim!EZ39="","",Tim!EZ39)</f>
        <v/>
      </c>
      <c r="BC37" s="56" t="str">
        <f>IF(Tim!GD39="","",Tim!GD39)</f>
        <v>MS</v>
      </c>
      <c r="BD37" s="53" t="str">
        <f>IF(Tim!GE39="","",Tim!GE39)</f>
        <v/>
      </c>
      <c r="BE37" s="53" t="str">
        <f>IF(Tim!GF39="","",Tim!GF39)</f>
        <v/>
      </c>
      <c r="BF37" s="53" t="str">
        <f>IF(Tim!GG39="","",Tim!GG39)</f>
        <v/>
      </c>
      <c r="BG37" s="53" t="str">
        <f>IF(Tim!GH39="","",Tim!GH39)</f>
        <v/>
      </c>
      <c r="BH37" s="53" t="str">
        <f>IF(Tim!GI39="","",Tim!GI39)</f>
        <v/>
      </c>
      <c r="BI37" s="53" t="str">
        <f>IF(Tim!GJ39="","",Tim!GJ39)</f>
        <v/>
      </c>
      <c r="BJ37" s="53" t="str">
        <f>IF(Tim!GN39="","",Tim!GN39)</f>
        <v>CR</v>
      </c>
      <c r="BK37" s="53" t="str">
        <f>IF(Tim!GO39="","",Tim!GO39)</f>
        <v/>
      </c>
      <c r="BL37" s="53" t="str">
        <f>IF(Tim!GP39="","",Tim!GP39)</f>
        <v/>
      </c>
      <c r="BM37" s="53" t="str">
        <f>IF(Tim!GQ39="","",Tim!GQ39)</f>
        <v/>
      </c>
      <c r="BN37" s="53" t="str">
        <f>IF(Tim!GR39="","",Tim!GR39)</f>
        <v/>
      </c>
      <c r="BO37" s="56" t="str">
        <f>IF(Tim!HV39="","",Tim!HV39)</f>
        <v>RF</v>
      </c>
      <c r="BP37" s="53" t="str">
        <f>IF(Tim!HW39="","",Tim!HW39)</f>
        <v/>
      </c>
      <c r="BQ37" s="53" t="str">
        <f>IF(Tim!HX39="","",Tim!HX39)</f>
        <v/>
      </c>
      <c r="BR37" s="53" t="str">
        <f>IF(Tim!HY39="","",Tim!HY39)</f>
        <v/>
      </c>
      <c r="BS37" s="53" t="str">
        <f>IF(Tim!HZ39="","",Tim!HZ39)</f>
        <v/>
      </c>
      <c r="BT37" s="53" t="str">
        <f>IF(Tim!IA39="","",Tim!IA39)</f>
        <v/>
      </c>
      <c r="BU37" s="55" t="str">
        <f>IF(Tim!IB39="","",Tim!IB39)</f>
        <v/>
      </c>
      <c r="BV37" s="53" t="str">
        <f>IF(Tim!IF39="","",Tim!IF39)</f>
        <v/>
      </c>
      <c r="BW37" s="53" t="str">
        <f>IF(Tim!IG39="","",Tim!IG39)</f>
        <v/>
      </c>
      <c r="BX37" s="53" t="str">
        <f>IF(Tim!IH39="","",Tim!IH39)</f>
        <v/>
      </c>
      <c r="BY37" s="53" t="str">
        <f>IF(Tim!II39="","",Tim!II39)</f>
        <v/>
      </c>
      <c r="BZ37" s="53" t="str">
        <f>IF(Tim!IJ39="","",Tim!IJ39)</f>
        <v/>
      </c>
      <c r="CA37" s="59" t="str">
        <f>IF(Tim!JN39="","",Tim!JN39)</f>
        <v>RF</v>
      </c>
      <c r="CB37" s="59" t="str">
        <f>IF(Tim!JO39="","",Tim!JO39)</f>
        <v/>
      </c>
      <c r="CC37" s="59" t="str">
        <f>IF(Tim!JP39="","",Tim!JP39)</f>
        <v/>
      </c>
      <c r="CD37" s="59" t="str">
        <f>IF(Tim!JQ39="","",Tim!JQ39)</f>
        <v/>
      </c>
      <c r="CE37" s="59" t="str">
        <f>IF(Tim!JR39="","",Tim!JR39)</f>
        <v/>
      </c>
      <c r="CF37" s="59" t="str">
        <f>IF(Tim!JS39="","",Tim!JS39)</f>
        <v/>
      </c>
      <c r="CG37" s="59" t="str">
        <f>IF(Tim!JT39="","",Tim!JT39)</f>
        <v/>
      </c>
      <c r="CH37" s="53" t="str">
        <f>IF(Tim!JX39="","",Tim!JX39)</f>
        <v/>
      </c>
      <c r="CI37" s="53" t="str">
        <f>IF(Tim!JY39="","",Tim!JY39)</f>
        <v/>
      </c>
      <c r="CJ37" s="53" t="str">
        <f>IF(Tim!JZ39="","",Tim!JZ39)</f>
        <v/>
      </c>
      <c r="CK37" s="53" t="str">
        <f>IF(Tim!KA39="","",Tim!KA39)</f>
        <v/>
      </c>
      <c r="CL37" s="53" t="str">
        <f>IF(Tim!KB39="","",Tim!KB39)</f>
        <v/>
      </c>
      <c r="CM37" s="52">
        <v>0.624999999999999</v>
      </c>
    </row>
    <row r="38" spans="2:91" ht="10.5" customHeight="1">
      <c r="B38" s="51">
        <v>0.25</v>
      </c>
      <c r="C38" s="51">
        <v>0.25</v>
      </c>
      <c r="D38" s="51">
        <v>0.25</v>
      </c>
      <c r="E38" s="172">
        <v>0.63541666666666596</v>
      </c>
      <c r="F38" s="56" t="str">
        <f>IF(Tim!F40="","",Tim!F40)</f>
        <v>HA</v>
      </c>
      <c r="G38" s="53" t="str">
        <f>IF(Tim!G40="","",Tim!G40)</f>
        <v/>
      </c>
      <c r="H38" s="53" t="str">
        <f>IF(Tim!H40="","",Tim!H40)</f>
        <v/>
      </c>
      <c r="I38" s="53" t="str">
        <f>IF(Tim!I40="","",Tim!I40)</f>
        <v/>
      </c>
      <c r="J38" s="53" t="str">
        <f>IF(Tim!J40="","",Tim!J40)</f>
        <v/>
      </c>
      <c r="K38" s="53" t="str">
        <f>IF(Tim!K40="","",Tim!K40)</f>
        <v/>
      </c>
      <c r="L38" s="53" t="str">
        <f>IF(Tim!L40="","",Tim!L40)</f>
        <v/>
      </c>
      <c r="M38" s="53" t="str">
        <f>IF(Tim!P40="","",Tim!P40)</f>
        <v/>
      </c>
      <c r="N38" s="53" t="str">
        <f>IF(Tim!Q40="","",Tim!Q40)</f>
        <v/>
      </c>
      <c r="O38" s="53" t="str">
        <f>IF(Tim!R40="","",Tim!R40)</f>
        <v/>
      </c>
      <c r="P38" s="53" t="str">
        <f>IF(Tim!S40="","",Tim!S40)</f>
        <v/>
      </c>
      <c r="Q38" s="55" t="str">
        <f>IF(Tim!T40="","",Tim!T40)</f>
        <v/>
      </c>
      <c r="R38" s="56" t="str">
        <f>IF(Tim!AY40="","",Tim!AY40)</f>
        <v>LA</v>
      </c>
      <c r="S38" s="53" t="str">
        <f>IF(Tim!AZ40="","",Tim!AZ40)</f>
        <v>LF</v>
      </c>
      <c r="T38" s="53" t="str">
        <f>IF(Tim!BA40="","",Tim!BA40)</f>
        <v/>
      </c>
      <c r="U38" s="53" t="str">
        <f>IF(Tim!BB40="","",Tim!BB40)</f>
        <v/>
      </c>
      <c r="V38" s="53" t="str">
        <f>IF(Tim!BC40="","",Tim!BC40)</f>
        <v/>
      </c>
      <c r="W38" s="53" t="str">
        <f>IF(Tim!BD40="","",Tim!BD40)</f>
        <v/>
      </c>
      <c r="X38" s="53" t="str">
        <f>IF(Tim!BE40="","",Tim!BE40)</f>
        <v/>
      </c>
      <c r="Y38" s="53" t="str">
        <f>IF(Tim!BF40="","",Tim!BF40)</f>
        <v/>
      </c>
      <c r="Z38" s="53" t="str">
        <f>IF(Tim!BI40="","",Tim!BI40)</f>
        <v/>
      </c>
      <c r="AA38" s="53" t="str">
        <f>IF(Tim!BJ40="","",Tim!BJ40)</f>
        <v/>
      </c>
      <c r="AB38" s="53" t="str">
        <f>IF(Tim!BK40="","",Tim!BK40)</f>
        <v/>
      </c>
      <c r="AC38" s="53" t="str">
        <f>IF(Tim!BL40="","",Tim!BL40)</f>
        <v/>
      </c>
      <c r="AD38" s="55" t="str">
        <f>IF(Tim!BM40="","",Tim!BM40)</f>
        <v/>
      </c>
      <c r="AE38" s="56" t="str">
        <f>IF(Tim!CQ40="","",Tim!CQ40)</f>
        <v>LA</v>
      </c>
      <c r="AF38" s="53" t="str">
        <f>IF(Tim!CR40="","",Tim!CR40)</f>
        <v/>
      </c>
      <c r="AG38" s="53" t="str">
        <f>IF(Tim!CS40="","",Tim!CS40)</f>
        <v/>
      </c>
      <c r="AH38" s="53" t="str">
        <f>IF(Tim!CT40="","",Tim!CT40)</f>
        <v/>
      </c>
      <c r="AI38" s="53" t="str">
        <f>IF(Tim!CU40="","",Tim!CU40)</f>
        <v/>
      </c>
      <c r="AJ38" s="53" t="str">
        <f>IF(Tim!CV40="","",Tim!CV40)</f>
        <v/>
      </c>
      <c r="AK38" s="53" t="str">
        <f>IF(Tim!CW40="","",Tim!CW40)</f>
        <v/>
      </c>
      <c r="AL38" s="53" t="str">
        <f>IF(Tim!DA40="","",Tim!DA40)</f>
        <v/>
      </c>
      <c r="AM38" s="53" t="str">
        <f>IF(Tim!DB40="","",Tim!DB40)</f>
        <v/>
      </c>
      <c r="AN38" s="53" t="str">
        <f>IF(Tim!DC40="","",Tim!DC40)</f>
        <v/>
      </c>
      <c r="AO38" s="53" t="str">
        <f>IF(Tim!DD40="","",Tim!DD40)</f>
        <v/>
      </c>
      <c r="AP38" s="53" t="str">
        <f>IF(Tim!DE40="","",Tim!DE40)</f>
        <v/>
      </c>
      <c r="AQ38" s="56" t="str">
        <f>IF(Tim!EL40="","",Tim!EL40)</f>
        <v>MS</v>
      </c>
      <c r="AR38" s="53" t="str">
        <f>IF(Tim!EM40="","",Tim!EM40)</f>
        <v/>
      </c>
      <c r="AS38" s="53" t="str">
        <f>IF(Tim!EN40="","",Tim!EN40)</f>
        <v/>
      </c>
      <c r="AT38" s="53" t="str">
        <f>IF(Tim!EO40="","",Tim!EO40)</f>
        <v/>
      </c>
      <c r="AU38" s="53" t="str">
        <f>IF(Tim!EP40="","",Tim!EP40)</f>
        <v/>
      </c>
      <c r="AV38" s="53" t="str">
        <f>IF(Tim!EQ40="","",Tim!EQ40)</f>
        <v/>
      </c>
      <c r="AW38" s="53" t="str">
        <f>IF(Tim!ER40="","",Tim!ER40)</f>
        <v/>
      </c>
      <c r="AX38" s="53" t="str">
        <f>IF(Tim!EV40="","",Tim!EV40)</f>
        <v/>
      </c>
      <c r="AY38" s="53" t="str">
        <f>IF(Tim!EW40="","",Tim!EW40)</f>
        <v/>
      </c>
      <c r="AZ38" s="53" t="str">
        <f>IF(Tim!EX40="","",Tim!EX40)</f>
        <v/>
      </c>
      <c r="BA38" s="53" t="str">
        <f>IF(Tim!EY40="","",Tim!EY40)</f>
        <v/>
      </c>
      <c r="BB38" s="53" t="str">
        <f>IF(Tim!EZ40="","",Tim!EZ40)</f>
        <v/>
      </c>
      <c r="BC38" s="56" t="str">
        <f>IF(Tim!GD40="","",Tim!GD40)</f>
        <v>MS</v>
      </c>
      <c r="BD38" s="53" t="str">
        <f>IF(Tim!GE40="","",Tim!GE40)</f>
        <v/>
      </c>
      <c r="BE38" s="53" t="str">
        <f>IF(Tim!GF40="","",Tim!GF40)</f>
        <v/>
      </c>
      <c r="BF38" s="53" t="str">
        <f>IF(Tim!GG40="","",Tim!GG40)</f>
        <v/>
      </c>
      <c r="BG38" s="53" t="str">
        <f>IF(Tim!GH40="","",Tim!GH40)</f>
        <v/>
      </c>
      <c r="BH38" s="53" t="str">
        <f>IF(Tim!GI40="","",Tim!GI40)</f>
        <v/>
      </c>
      <c r="BI38" s="53" t="str">
        <f>IF(Tim!GJ40="","",Tim!GJ40)</f>
        <v/>
      </c>
      <c r="BJ38" s="53" t="str">
        <f>IF(Tim!GN40="","",Tim!GN40)</f>
        <v>CR</v>
      </c>
      <c r="BK38" s="53" t="str">
        <f>IF(Tim!GO40="","",Tim!GO40)</f>
        <v/>
      </c>
      <c r="BL38" s="53" t="str">
        <f>IF(Tim!GP40="","",Tim!GP40)</f>
        <v/>
      </c>
      <c r="BM38" s="53" t="str">
        <f>IF(Tim!GQ40="","",Tim!GQ40)</f>
        <v/>
      </c>
      <c r="BN38" s="53" t="str">
        <f>IF(Tim!GR40="","",Tim!GR40)</f>
        <v/>
      </c>
      <c r="BO38" s="56" t="str">
        <f>IF(Tim!HV40="","",Tim!HV40)</f>
        <v>RF</v>
      </c>
      <c r="BP38" s="53" t="str">
        <f>IF(Tim!HW40="","",Tim!HW40)</f>
        <v/>
      </c>
      <c r="BQ38" s="53" t="str">
        <f>IF(Tim!HX40="","",Tim!HX40)</f>
        <v/>
      </c>
      <c r="BR38" s="53" t="str">
        <f>IF(Tim!HY40="","",Tim!HY40)</f>
        <v/>
      </c>
      <c r="BS38" s="53" t="str">
        <f>IF(Tim!HZ40="","",Tim!HZ40)</f>
        <v/>
      </c>
      <c r="BT38" s="53" t="str">
        <f>IF(Tim!IA40="","",Tim!IA40)</f>
        <v/>
      </c>
      <c r="BU38" s="55" t="str">
        <f>IF(Tim!IB40="","",Tim!IB40)</f>
        <v/>
      </c>
      <c r="BV38" s="53" t="str">
        <f>IF(Tim!IF40="","",Tim!IF40)</f>
        <v/>
      </c>
      <c r="BW38" s="53" t="str">
        <f>IF(Tim!IG40="","",Tim!IG40)</f>
        <v/>
      </c>
      <c r="BX38" s="53" t="str">
        <f>IF(Tim!IH40="","",Tim!IH40)</f>
        <v/>
      </c>
      <c r="BY38" s="53" t="str">
        <f>IF(Tim!II40="","",Tim!II40)</f>
        <v/>
      </c>
      <c r="BZ38" s="53" t="str">
        <f>IF(Tim!IJ40="","",Tim!IJ40)</f>
        <v/>
      </c>
      <c r="CA38" s="59" t="str">
        <f>IF(Tim!JN40="","",Tim!JN40)</f>
        <v>RF</v>
      </c>
      <c r="CB38" s="59" t="str">
        <f>IF(Tim!JO40="","",Tim!JO40)</f>
        <v/>
      </c>
      <c r="CC38" s="59" t="str">
        <f>IF(Tim!JP40="","",Tim!JP40)</f>
        <v/>
      </c>
      <c r="CD38" s="59" t="str">
        <f>IF(Tim!JQ40="","",Tim!JQ40)</f>
        <v/>
      </c>
      <c r="CE38" s="59" t="str">
        <f>IF(Tim!JR40="","",Tim!JR40)</f>
        <v/>
      </c>
      <c r="CF38" s="59" t="str">
        <f>IF(Tim!JS40="","",Tim!JS40)</f>
        <v/>
      </c>
      <c r="CG38" s="59" t="str">
        <f>IF(Tim!JT40="","",Tim!JT40)</f>
        <v/>
      </c>
      <c r="CH38" s="53" t="str">
        <f>IF(Tim!JX40="","",Tim!JX40)</f>
        <v/>
      </c>
      <c r="CI38" s="53" t="str">
        <f>IF(Tim!JY40="","",Tim!JY40)</f>
        <v/>
      </c>
      <c r="CJ38" s="53" t="str">
        <f>IF(Tim!JZ40="","",Tim!JZ40)</f>
        <v/>
      </c>
      <c r="CK38" s="53" t="str">
        <f>IF(Tim!KA40="","",Tim!KA40)</f>
        <v/>
      </c>
      <c r="CL38" s="53" t="str">
        <f>IF(Tim!KB40="","",Tim!KB40)</f>
        <v/>
      </c>
      <c r="CM38" s="52">
        <v>0.63541666666666596</v>
      </c>
    </row>
    <row r="39" spans="2:91" ht="10.5" customHeight="1">
      <c r="B39" s="51">
        <v>0.25</v>
      </c>
      <c r="C39" s="51">
        <v>0.25</v>
      </c>
      <c r="D39" s="51">
        <v>0.25</v>
      </c>
      <c r="E39" s="172">
        <v>0.64583333333333204</v>
      </c>
      <c r="F39" s="56" t="str">
        <f>IF(Tim!F41="","",Tim!F41)</f>
        <v>HA</v>
      </c>
      <c r="G39" s="53" t="str">
        <f>IF(Tim!G41="","",Tim!G41)</f>
        <v/>
      </c>
      <c r="H39" s="53" t="str">
        <f>IF(Tim!H41="","",Tim!H41)</f>
        <v/>
      </c>
      <c r="I39" s="53" t="str">
        <f>IF(Tim!I41="","",Tim!I41)</f>
        <v/>
      </c>
      <c r="J39" s="53" t="str">
        <f>IF(Tim!J41="","",Tim!J41)</f>
        <v/>
      </c>
      <c r="K39" s="53" t="str">
        <f>IF(Tim!K41="","",Tim!K41)</f>
        <v/>
      </c>
      <c r="L39" s="53" t="str">
        <f>IF(Tim!L41="","",Tim!L41)</f>
        <v/>
      </c>
      <c r="M39" s="53" t="str">
        <f>IF(Tim!P41="","",Tim!P41)</f>
        <v/>
      </c>
      <c r="N39" s="53" t="str">
        <f>IF(Tim!Q41="","",Tim!Q41)</f>
        <v/>
      </c>
      <c r="O39" s="53" t="str">
        <f>IF(Tim!R41="","",Tim!R41)</f>
        <v/>
      </c>
      <c r="P39" s="53" t="str">
        <f>IF(Tim!S41="","",Tim!S41)</f>
        <v/>
      </c>
      <c r="Q39" s="55" t="str">
        <f>IF(Tim!T41="","",Tim!T41)</f>
        <v/>
      </c>
      <c r="R39" s="56" t="str">
        <f>IF(Tim!AY41="","",Tim!AY41)</f>
        <v>LF</v>
      </c>
      <c r="S39" s="53" t="str">
        <f>IF(Tim!AZ41="","",Tim!AZ41)</f>
        <v/>
      </c>
      <c r="T39" s="53" t="str">
        <f>IF(Tim!BA41="","",Tim!BA41)</f>
        <v/>
      </c>
      <c r="U39" s="53" t="str">
        <f>IF(Tim!BB41="","",Tim!BB41)</f>
        <v/>
      </c>
      <c r="V39" s="53" t="str">
        <f>IF(Tim!BC41="","",Tim!BC41)</f>
        <v/>
      </c>
      <c r="W39" s="53" t="str">
        <f>IF(Tim!BD41="","",Tim!BD41)</f>
        <v/>
      </c>
      <c r="X39" s="53" t="str">
        <f>IF(Tim!BE41="","",Tim!BE41)</f>
        <v/>
      </c>
      <c r="Y39" s="53" t="str">
        <f>IF(Tim!BF41="","",Tim!BF41)</f>
        <v>MS</v>
      </c>
      <c r="Z39" s="53" t="str">
        <f>IF(Tim!BI41="","",Tim!BI41)</f>
        <v/>
      </c>
      <c r="AA39" s="53" t="str">
        <f>IF(Tim!BJ41="","",Tim!BJ41)</f>
        <v/>
      </c>
      <c r="AB39" s="53" t="str">
        <f>IF(Tim!BK41="","",Tim!BK41)</f>
        <v/>
      </c>
      <c r="AC39" s="53" t="str">
        <f>IF(Tim!BL41="","",Tim!BL41)</f>
        <v/>
      </c>
      <c r="AD39" s="55" t="str">
        <f>IF(Tim!BM41="","",Tim!BM41)</f>
        <v/>
      </c>
      <c r="AE39" s="56" t="str">
        <f>IF(Tim!CQ41="","",Tim!CQ41)</f>
        <v>LA</v>
      </c>
      <c r="AF39" s="53" t="str">
        <f>IF(Tim!CR41="","",Tim!CR41)</f>
        <v/>
      </c>
      <c r="AG39" s="53" t="str">
        <f>IF(Tim!CS41="","",Tim!CS41)</f>
        <v>HA</v>
      </c>
      <c r="AH39" s="53" t="str">
        <f>IF(Tim!CT41="","",Tim!CT41)</f>
        <v/>
      </c>
      <c r="AI39" s="53" t="str">
        <f>IF(Tim!CU41="","",Tim!CU41)</f>
        <v/>
      </c>
      <c r="AJ39" s="53" t="str">
        <f>IF(Tim!CV41="","",Tim!CV41)</f>
        <v/>
      </c>
      <c r="AK39" s="53" t="str">
        <f>IF(Tim!CW41="","",Tim!CW41)</f>
        <v/>
      </c>
      <c r="AL39" s="53" t="str">
        <f>IF(Tim!DA41="","",Tim!DA41)</f>
        <v/>
      </c>
      <c r="AM39" s="53" t="str">
        <f>IF(Tim!DB41="","",Tim!DB41)</f>
        <v/>
      </c>
      <c r="AN39" s="53" t="str">
        <f>IF(Tim!DC41="","",Tim!DC41)</f>
        <v/>
      </c>
      <c r="AO39" s="53" t="str">
        <f>IF(Tim!DD41="","",Tim!DD41)</f>
        <v/>
      </c>
      <c r="AP39" s="53" t="str">
        <f>IF(Tim!DE41="","",Tim!DE41)</f>
        <v/>
      </c>
      <c r="AQ39" s="56" t="str">
        <f>IF(Tim!EL41="","",Tim!EL41)</f>
        <v>LA</v>
      </c>
      <c r="AR39" s="53" t="str">
        <f>IF(Tim!EM41="","",Tim!EM41)</f>
        <v/>
      </c>
      <c r="AS39" s="53" t="str">
        <f>IF(Tim!EN41="","",Tim!EN41)</f>
        <v/>
      </c>
      <c r="AT39" s="53" t="str">
        <f>IF(Tim!EO41="","",Tim!EO41)</f>
        <v/>
      </c>
      <c r="AU39" s="53" t="str">
        <f>IF(Tim!EP41="","",Tim!EP41)</f>
        <v/>
      </c>
      <c r="AV39" s="53" t="str">
        <f>IF(Tim!EQ41="","",Tim!EQ41)</f>
        <v/>
      </c>
      <c r="AW39" s="53" t="str">
        <f>IF(Tim!ER41="","",Tim!ER41)</f>
        <v/>
      </c>
      <c r="AX39" s="53" t="str">
        <f>IF(Tim!EV41="","",Tim!EV41)</f>
        <v/>
      </c>
      <c r="AY39" s="53" t="str">
        <f>IF(Tim!EW41="","",Tim!EW41)</f>
        <v/>
      </c>
      <c r="AZ39" s="53" t="str">
        <f>IF(Tim!EX41="","",Tim!EX41)</f>
        <v/>
      </c>
      <c r="BA39" s="53" t="str">
        <f>IF(Tim!EY41="","",Tim!EY41)</f>
        <v/>
      </c>
      <c r="BB39" s="53" t="str">
        <f>IF(Tim!EZ41="","",Tim!EZ41)</f>
        <v/>
      </c>
      <c r="BC39" s="56" t="str">
        <f>IF(Tim!GD41="","",Tim!GD41)</f>
        <v>RF</v>
      </c>
      <c r="BD39" s="53" t="str">
        <f>IF(Tim!GE41="","",Tim!GE41)</f>
        <v/>
      </c>
      <c r="BE39" s="53" t="str">
        <f>IF(Tim!GF41="","",Tim!GF41)</f>
        <v/>
      </c>
      <c r="BF39" s="53" t="str">
        <f>IF(Tim!GG41="","",Tim!GG41)</f>
        <v/>
      </c>
      <c r="BG39" s="53" t="str">
        <f>IF(Tim!GH41="","",Tim!GH41)</f>
        <v/>
      </c>
      <c r="BH39" s="53" t="str">
        <f>IF(Tim!GI41="","",Tim!GI41)</f>
        <v/>
      </c>
      <c r="BI39" s="53" t="str">
        <f>IF(Tim!GJ41="","",Tim!GJ41)</f>
        <v/>
      </c>
      <c r="BJ39" s="53" t="str">
        <f>IF(Tim!GN41="","",Tim!GN41)</f>
        <v>CR</v>
      </c>
      <c r="BK39" s="53" t="str">
        <f>IF(Tim!GO41="","",Tim!GO41)</f>
        <v>LF</v>
      </c>
      <c r="BL39" s="53" t="str">
        <f>IF(Tim!GP41="","",Tim!GP41)</f>
        <v>LA</v>
      </c>
      <c r="BM39" s="53" t="str">
        <f>IF(Tim!GQ41="","",Tim!GQ41)</f>
        <v/>
      </c>
      <c r="BN39" s="53" t="str">
        <f>IF(Tim!GR41="","",Tim!GR41)</f>
        <v/>
      </c>
      <c r="BO39" s="56" t="str">
        <f>IF(Tim!HV41="","",Tim!HV41)</f>
        <v>RF</v>
      </c>
      <c r="BP39" s="53" t="str">
        <f>IF(Tim!HW41="","",Tim!HW41)</f>
        <v/>
      </c>
      <c r="BQ39" s="53" t="str">
        <f>IF(Tim!HX41="","",Tim!HX41)</f>
        <v/>
      </c>
      <c r="BR39" s="53" t="str">
        <f>IF(Tim!HY41="","",Tim!HY41)</f>
        <v/>
      </c>
      <c r="BS39" s="53" t="str">
        <f>IF(Tim!HZ41="","",Tim!HZ41)</f>
        <v/>
      </c>
      <c r="BT39" s="53" t="str">
        <f>IF(Tim!IA41="","",Tim!IA41)</f>
        <v/>
      </c>
      <c r="BU39" s="55" t="str">
        <f>IF(Tim!IB41="","",Tim!IB41)</f>
        <v/>
      </c>
      <c r="BV39" s="53" t="str">
        <f>IF(Tim!IF41="","",Tim!IF41)</f>
        <v/>
      </c>
      <c r="BW39" s="53" t="str">
        <f>IF(Tim!IG41="","",Tim!IG41)</f>
        <v/>
      </c>
      <c r="BX39" s="53" t="str">
        <f>IF(Tim!IH41="","",Tim!IH41)</f>
        <v/>
      </c>
      <c r="BY39" s="53" t="str">
        <f>IF(Tim!II41="","",Tim!II41)</f>
        <v/>
      </c>
      <c r="BZ39" s="53" t="str">
        <f>IF(Tim!IJ41="","",Tim!IJ41)</f>
        <v/>
      </c>
      <c r="CA39" s="59" t="str">
        <f>IF(Tim!JN41="","",Tim!JN41)</f>
        <v>RF</v>
      </c>
      <c r="CB39" s="59" t="str">
        <f>IF(Tim!JO41="","",Tim!JO41)</f>
        <v/>
      </c>
      <c r="CC39" s="59" t="str">
        <f>IF(Tim!JP41="","",Tim!JP41)</f>
        <v/>
      </c>
      <c r="CD39" s="59" t="str">
        <f>IF(Tim!JQ41="","",Tim!JQ41)</f>
        <v/>
      </c>
      <c r="CE39" s="59" t="str">
        <f>IF(Tim!JR41="","",Tim!JR41)</f>
        <v/>
      </c>
      <c r="CF39" s="59" t="str">
        <f>IF(Tim!JS41="","",Tim!JS41)</f>
        <v/>
      </c>
      <c r="CG39" s="59" t="str">
        <f>IF(Tim!JT41="","",Tim!JT41)</f>
        <v/>
      </c>
      <c r="CH39" s="53" t="str">
        <f>IF(Tim!JX41="","",Tim!JX41)</f>
        <v/>
      </c>
      <c r="CI39" s="53" t="str">
        <f>IF(Tim!JY41="","",Tim!JY41)</f>
        <v/>
      </c>
      <c r="CJ39" s="53" t="str">
        <f>IF(Tim!JZ41="","",Tim!JZ41)</f>
        <v/>
      </c>
      <c r="CK39" s="53" t="str">
        <f>IF(Tim!KA41="","",Tim!KA41)</f>
        <v/>
      </c>
      <c r="CL39" s="53" t="str">
        <f>IF(Tim!KB41="","",Tim!KB41)</f>
        <v/>
      </c>
      <c r="CM39" s="52">
        <v>0.64583333333333204</v>
      </c>
    </row>
    <row r="40" spans="2:91" ht="10.5" customHeight="1">
      <c r="B40" s="51">
        <v>0.25</v>
      </c>
      <c r="C40" s="51">
        <v>0.25</v>
      </c>
      <c r="D40" s="51">
        <v>0.25</v>
      </c>
      <c r="E40" s="172">
        <v>0.656249999999999</v>
      </c>
      <c r="F40" s="56" t="str">
        <f>IF(Tim!F42="","",Tim!F42)</f>
        <v>MS</v>
      </c>
      <c r="G40" s="53" t="str">
        <f>IF(Tim!G42="","",Tim!G42)</f>
        <v/>
      </c>
      <c r="H40" s="53" t="str">
        <f>IF(Tim!H42="","",Tim!H42)</f>
        <v/>
      </c>
      <c r="I40" s="53" t="str">
        <f>IF(Tim!I42="","",Tim!I42)</f>
        <v/>
      </c>
      <c r="J40" s="53" t="str">
        <f>IF(Tim!J42="","",Tim!J42)</f>
        <v/>
      </c>
      <c r="K40" s="53" t="str">
        <f>IF(Tim!K42="","",Tim!K42)</f>
        <v/>
      </c>
      <c r="L40" s="53" t="str">
        <f>IF(Tim!L42="","",Tim!L42)</f>
        <v/>
      </c>
      <c r="M40" s="53" t="str">
        <f>IF(Tim!P42="","",Tim!P42)</f>
        <v/>
      </c>
      <c r="N40" s="53" t="str">
        <f>IF(Tim!Q42="","",Tim!Q42)</f>
        <v/>
      </c>
      <c r="O40" s="53" t="str">
        <f>IF(Tim!R42="","",Tim!R42)</f>
        <v/>
      </c>
      <c r="P40" s="53" t="str">
        <f>IF(Tim!S42="","",Tim!S42)</f>
        <v/>
      </c>
      <c r="Q40" s="55" t="str">
        <f>IF(Tim!T42="","",Tim!T42)</f>
        <v/>
      </c>
      <c r="R40" s="56" t="str">
        <f>IF(Tim!AY42="","",Tim!AY42)</f>
        <v>LF</v>
      </c>
      <c r="S40" s="53" t="str">
        <f>IF(Tim!AZ42="","",Tim!AZ42)</f>
        <v/>
      </c>
      <c r="T40" s="53" t="str">
        <f>IF(Tim!BA42="","",Tim!BA42)</f>
        <v/>
      </c>
      <c r="U40" s="53" t="str">
        <f>IF(Tim!BB42="","",Tim!BB42)</f>
        <v/>
      </c>
      <c r="V40" s="53" t="str">
        <f>IF(Tim!BC42="","",Tim!BC42)</f>
        <v/>
      </c>
      <c r="W40" s="53" t="str">
        <f>IF(Tim!BD42="","",Tim!BD42)</f>
        <v/>
      </c>
      <c r="X40" s="53" t="str">
        <f>IF(Tim!BE42="","",Tim!BE42)</f>
        <v/>
      </c>
      <c r="Y40" s="53" t="str">
        <f>IF(Tim!BF42="","",Tim!BF42)</f>
        <v>MS</v>
      </c>
      <c r="Z40" s="53" t="str">
        <f>IF(Tim!BI42="","",Tim!BI42)</f>
        <v/>
      </c>
      <c r="AA40" s="53" t="str">
        <f>IF(Tim!BJ42="","",Tim!BJ42)</f>
        <v/>
      </c>
      <c r="AB40" s="53" t="str">
        <f>IF(Tim!BK42="","",Tim!BK42)</f>
        <v/>
      </c>
      <c r="AC40" s="53" t="str">
        <f>IF(Tim!BL42="","",Tim!BL42)</f>
        <v/>
      </c>
      <c r="AD40" s="55" t="str">
        <f>IF(Tim!BM42="","",Tim!BM42)</f>
        <v/>
      </c>
      <c r="AE40" s="56" t="str">
        <f>IF(Tim!CQ42="","",Tim!CQ42)</f>
        <v>LA</v>
      </c>
      <c r="AF40" s="53" t="str">
        <f>IF(Tim!CR42="","",Tim!CR42)</f>
        <v/>
      </c>
      <c r="AG40" s="53" t="str">
        <f>IF(Tim!CS42="","",Tim!CS42)</f>
        <v/>
      </c>
      <c r="AH40" s="53" t="str">
        <f>IF(Tim!CT42="","",Tim!CT42)</f>
        <v/>
      </c>
      <c r="AI40" s="53" t="str">
        <f>IF(Tim!CU42="","",Tim!CU42)</f>
        <v/>
      </c>
      <c r="AJ40" s="53" t="str">
        <f>IF(Tim!CV42="","",Tim!CV42)</f>
        <v/>
      </c>
      <c r="AK40" s="53" t="str">
        <f>IF(Tim!CW42="","",Tim!CW42)</f>
        <v/>
      </c>
      <c r="AL40" s="53" t="str">
        <f>IF(Tim!DA42="","",Tim!DA42)</f>
        <v/>
      </c>
      <c r="AM40" s="53" t="str">
        <f>IF(Tim!DB42="","",Tim!DB42)</f>
        <v/>
      </c>
      <c r="AN40" s="53" t="str">
        <f>IF(Tim!DC42="","",Tim!DC42)</f>
        <v/>
      </c>
      <c r="AO40" s="53" t="str">
        <f>IF(Tim!DD42="","",Tim!DD42)</f>
        <v/>
      </c>
      <c r="AP40" s="53" t="str">
        <f>IF(Tim!DE42="","",Tim!DE42)</f>
        <v/>
      </c>
      <c r="AQ40" s="56" t="str">
        <f>IF(Tim!EL42="","",Tim!EL42)</f>
        <v>LA</v>
      </c>
      <c r="AR40" s="53" t="str">
        <f>IF(Tim!EM42="","",Tim!EM42)</f>
        <v/>
      </c>
      <c r="AS40" s="53" t="str">
        <f>IF(Tim!EN42="","",Tim!EN42)</f>
        <v/>
      </c>
      <c r="AT40" s="53" t="str">
        <f>IF(Tim!EO42="","",Tim!EO42)</f>
        <v/>
      </c>
      <c r="AU40" s="53" t="str">
        <f>IF(Tim!EP42="","",Tim!EP42)</f>
        <v/>
      </c>
      <c r="AV40" s="53" t="str">
        <f>IF(Tim!EQ42="","",Tim!EQ42)</f>
        <v/>
      </c>
      <c r="AW40" s="53" t="str">
        <f>IF(Tim!ER42="","",Tim!ER42)</f>
        <v/>
      </c>
      <c r="AX40" s="53" t="str">
        <f>IF(Tim!EV42="","",Tim!EV42)</f>
        <v/>
      </c>
      <c r="AY40" s="53" t="str">
        <f>IF(Tim!EW42="","",Tim!EW42)</f>
        <v/>
      </c>
      <c r="AZ40" s="53" t="str">
        <f>IF(Tim!EX42="","",Tim!EX42)</f>
        <v/>
      </c>
      <c r="BA40" s="53" t="str">
        <f>IF(Tim!EY42="","",Tim!EY42)</f>
        <v/>
      </c>
      <c r="BB40" s="53" t="str">
        <f>IF(Tim!EZ42="","",Tim!EZ42)</f>
        <v/>
      </c>
      <c r="BC40" s="56" t="str">
        <f>IF(Tim!GD42="","",Tim!GD42)</f>
        <v>RF</v>
      </c>
      <c r="BD40" s="53" t="str">
        <f>IF(Tim!GE42="","",Tim!GE42)</f>
        <v>LA</v>
      </c>
      <c r="BE40" s="53" t="str">
        <f>IF(Tim!GF42="","",Tim!GF42)</f>
        <v/>
      </c>
      <c r="BF40" s="53" t="str">
        <f>IF(Tim!GG42="","",Tim!GG42)</f>
        <v/>
      </c>
      <c r="BG40" s="53" t="str">
        <f>IF(Tim!GH42="","",Tim!GH42)</f>
        <v/>
      </c>
      <c r="BH40" s="53" t="str">
        <f>IF(Tim!GI42="","",Tim!GI42)</f>
        <v/>
      </c>
      <c r="BI40" s="53" t="str">
        <f>IF(Tim!GJ42="","",Tim!GJ42)</f>
        <v/>
      </c>
      <c r="BJ40" s="53" t="str">
        <f>IF(Tim!GN42="","",Tim!GN42)</f>
        <v>CR</v>
      </c>
      <c r="BK40" s="53" t="str">
        <f>IF(Tim!GO42="","",Tim!GO42)</f>
        <v>LF</v>
      </c>
      <c r="BL40" s="53" t="str">
        <f>IF(Tim!GP42="","",Tim!GP42)</f>
        <v/>
      </c>
      <c r="BM40" s="53" t="str">
        <f>IF(Tim!GQ42="","",Tim!GQ42)</f>
        <v/>
      </c>
      <c r="BN40" s="53" t="str">
        <f>IF(Tim!GR42="","",Tim!GR42)</f>
        <v/>
      </c>
      <c r="BO40" s="56" t="str">
        <f>IF(Tim!HV42="","",Tim!HV42)</f>
        <v>RF</v>
      </c>
      <c r="BP40" s="53" t="str">
        <f>IF(Tim!HW42="","",Tim!HW42)</f>
        <v/>
      </c>
      <c r="BQ40" s="53" t="str">
        <f>IF(Tim!HX42="","",Tim!HX42)</f>
        <v/>
      </c>
      <c r="BR40" s="53" t="str">
        <f>IF(Tim!HY42="","",Tim!HY42)</f>
        <v/>
      </c>
      <c r="BS40" s="53" t="str">
        <f>IF(Tim!HZ42="","",Tim!HZ42)</f>
        <v/>
      </c>
      <c r="BT40" s="53" t="str">
        <f>IF(Tim!IA42="","",Tim!IA42)</f>
        <v/>
      </c>
      <c r="BU40" s="55" t="str">
        <f>IF(Tim!IB42="","",Tim!IB42)</f>
        <v/>
      </c>
      <c r="BV40" s="53" t="str">
        <f>IF(Tim!IF42="","",Tim!IF42)</f>
        <v/>
      </c>
      <c r="BW40" s="53" t="str">
        <f>IF(Tim!IG42="","",Tim!IG42)</f>
        <v/>
      </c>
      <c r="BX40" s="53" t="str">
        <f>IF(Tim!IH42="","",Tim!IH42)</f>
        <v/>
      </c>
      <c r="BY40" s="53" t="str">
        <f>IF(Tim!II42="","",Tim!II42)</f>
        <v/>
      </c>
      <c r="BZ40" s="53" t="str">
        <f>IF(Tim!IJ42="","",Tim!IJ42)</f>
        <v/>
      </c>
      <c r="CA40" s="59" t="str">
        <f>IF(Tim!JN42="","",Tim!JN42)</f>
        <v>RF</v>
      </c>
      <c r="CB40" s="59" t="str">
        <f>IF(Tim!JO42="","",Tim!JO42)</f>
        <v/>
      </c>
      <c r="CC40" s="59" t="str">
        <f>IF(Tim!JP42="","",Tim!JP42)</f>
        <v/>
      </c>
      <c r="CD40" s="59" t="str">
        <f>IF(Tim!JQ42="","",Tim!JQ42)</f>
        <v/>
      </c>
      <c r="CE40" s="59" t="str">
        <f>IF(Tim!JR42="","",Tim!JR42)</f>
        <v/>
      </c>
      <c r="CF40" s="59" t="str">
        <f>IF(Tim!JS42="","",Tim!JS42)</f>
        <v/>
      </c>
      <c r="CG40" s="59" t="str">
        <f>IF(Tim!JT42="","",Tim!JT42)</f>
        <v/>
      </c>
      <c r="CH40" s="53" t="str">
        <f>IF(Tim!JX42="","",Tim!JX42)</f>
        <v/>
      </c>
      <c r="CI40" s="53" t="str">
        <f>IF(Tim!JY42="","",Tim!JY42)</f>
        <v/>
      </c>
      <c r="CJ40" s="53" t="str">
        <f>IF(Tim!JZ42="","",Tim!JZ42)</f>
        <v/>
      </c>
      <c r="CK40" s="53" t="str">
        <f>IF(Tim!KA42="","",Tim!KA42)</f>
        <v/>
      </c>
      <c r="CL40" s="53" t="str">
        <f>IF(Tim!KB42="","",Tim!KB42)</f>
        <v/>
      </c>
      <c r="CM40" s="52">
        <v>0.656249999999999</v>
      </c>
    </row>
    <row r="41" spans="2:91" ht="10.5" customHeight="1">
      <c r="B41" s="51">
        <v>0.25</v>
      </c>
      <c r="C41" s="51">
        <v>0.25</v>
      </c>
      <c r="D41" s="51">
        <v>0.25</v>
      </c>
      <c r="E41" s="172">
        <v>0.66666666666666596</v>
      </c>
      <c r="F41" s="56" t="str">
        <f>IF(Tim!F43="","",Tim!F43)</f>
        <v>MS</v>
      </c>
      <c r="G41" s="53" t="str">
        <f>IF(Tim!G43="","",Tim!G43)</f>
        <v/>
      </c>
      <c r="H41" s="53" t="str">
        <f>IF(Tim!H43="","",Tim!H43)</f>
        <v/>
      </c>
      <c r="I41" s="53" t="str">
        <f>IF(Tim!I43="","",Tim!I43)</f>
        <v/>
      </c>
      <c r="J41" s="53" t="str">
        <f>IF(Tim!J43="","",Tim!J43)</f>
        <v/>
      </c>
      <c r="K41" s="53" t="str">
        <f>IF(Tim!K43="","",Tim!K43)</f>
        <v/>
      </c>
      <c r="L41" s="53" t="str">
        <f>IF(Tim!L43="","",Tim!L43)</f>
        <v/>
      </c>
      <c r="M41" s="53" t="str">
        <f>IF(Tim!P43="","",Tim!P43)</f>
        <v/>
      </c>
      <c r="N41" s="53" t="str">
        <f>IF(Tim!Q43="","",Tim!Q43)</f>
        <v/>
      </c>
      <c r="O41" s="53" t="str">
        <f>IF(Tim!R43="","",Tim!R43)</f>
        <v/>
      </c>
      <c r="P41" s="53" t="str">
        <f>IF(Tim!S43="","",Tim!S43)</f>
        <v/>
      </c>
      <c r="Q41" s="55" t="str">
        <f>IF(Tim!T43="","",Tim!T43)</f>
        <v/>
      </c>
      <c r="R41" s="56" t="str">
        <f>IF(Tim!AY43="","",Tim!AY43)</f>
        <v>RF</v>
      </c>
      <c r="S41" s="53" t="str">
        <f>IF(Tim!AZ43="","",Tim!AZ43)</f>
        <v>MS</v>
      </c>
      <c r="T41" s="53" t="str">
        <f>IF(Tim!BA43="","",Tim!BA43)</f>
        <v/>
      </c>
      <c r="U41" s="53" t="str">
        <f>IF(Tim!BB43="","",Tim!BB43)</f>
        <v/>
      </c>
      <c r="V41" s="53" t="str">
        <f>IF(Tim!BC43="","",Tim!BC43)</f>
        <v/>
      </c>
      <c r="W41" s="53" t="str">
        <f>IF(Tim!BD43="","",Tim!BD43)</f>
        <v/>
      </c>
      <c r="X41" s="53" t="str">
        <f>IF(Tim!BE43="","",Tim!BE43)</f>
        <v/>
      </c>
      <c r="Y41" s="53" t="str">
        <f>IF(Tim!BF43="","",Tim!BF43)</f>
        <v/>
      </c>
      <c r="Z41" s="53" t="str">
        <f>IF(Tim!BI43="","",Tim!BI43)</f>
        <v/>
      </c>
      <c r="AA41" s="53" t="str">
        <f>IF(Tim!BJ43="","",Tim!BJ43)</f>
        <v/>
      </c>
      <c r="AB41" s="53" t="str">
        <f>IF(Tim!BK43="","",Tim!BK43)</f>
        <v/>
      </c>
      <c r="AC41" s="53" t="str">
        <f>IF(Tim!BL43="","",Tim!BL43)</f>
        <v/>
      </c>
      <c r="AD41" s="55" t="str">
        <f>IF(Tim!BM43="","",Tim!BM43)</f>
        <v/>
      </c>
      <c r="AE41" s="56" t="str">
        <f>IF(Tim!CQ43="","",Tim!CQ43)</f>
        <v>LA</v>
      </c>
      <c r="AF41" s="53" t="str">
        <f>IF(Tim!CR43="","",Tim!CR43)</f>
        <v/>
      </c>
      <c r="AG41" s="53" t="str">
        <f>IF(Tim!CS43="","",Tim!CS43)</f>
        <v/>
      </c>
      <c r="AH41" s="53" t="str">
        <f>IF(Tim!CT43="","",Tim!CT43)</f>
        <v/>
      </c>
      <c r="AI41" s="53" t="str">
        <f>IF(Tim!CU43="","",Tim!CU43)</f>
        <v/>
      </c>
      <c r="AJ41" s="53" t="str">
        <f>IF(Tim!CV43="","",Tim!CV43)</f>
        <v/>
      </c>
      <c r="AK41" s="53" t="str">
        <f>IF(Tim!CW43="","",Tim!CW43)</f>
        <v/>
      </c>
      <c r="AL41" s="53" t="str">
        <f>IF(Tim!DA43="","",Tim!DA43)</f>
        <v/>
      </c>
      <c r="AM41" s="53" t="str">
        <f>IF(Tim!DB43="","",Tim!DB43)</f>
        <v/>
      </c>
      <c r="AN41" s="53" t="str">
        <f>IF(Tim!DC43="","",Tim!DC43)</f>
        <v/>
      </c>
      <c r="AO41" s="53" t="str">
        <f>IF(Tim!DD43="","",Tim!DD43)</f>
        <v/>
      </c>
      <c r="AP41" s="53" t="str">
        <f>IF(Tim!DE43="","",Tim!DE43)</f>
        <v/>
      </c>
      <c r="AQ41" s="56" t="str">
        <f>IF(Tim!EL43="","",Tim!EL43)</f>
        <v>LA</v>
      </c>
      <c r="AR41" s="53" t="str">
        <f>IF(Tim!EM43="","",Tim!EM43)</f>
        <v/>
      </c>
      <c r="AS41" s="53" t="str">
        <f>IF(Tim!EN43="","",Tim!EN43)</f>
        <v/>
      </c>
      <c r="AT41" s="53" t="str">
        <f>IF(Tim!EO43="","",Tim!EO43)</f>
        <v/>
      </c>
      <c r="AU41" s="53" t="str">
        <f>IF(Tim!EP43="","",Tim!EP43)</f>
        <v/>
      </c>
      <c r="AV41" s="53" t="str">
        <f>IF(Tim!EQ43="","",Tim!EQ43)</f>
        <v/>
      </c>
      <c r="AW41" s="53" t="str">
        <f>IF(Tim!ER43="","",Tim!ER43)</f>
        <v/>
      </c>
      <c r="AX41" s="53" t="str">
        <f>IF(Tim!EV43="","",Tim!EV43)</f>
        <v/>
      </c>
      <c r="AY41" s="53" t="str">
        <f>IF(Tim!EW43="","",Tim!EW43)</f>
        <v/>
      </c>
      <c r="AZ41" s="53" t="str">
        <f>IF(Tim!EX43="","",Tim!EX43)</f>
        <v/>
      </c>
      <c r="BA41" s="53" t="str">
        <f>IF(Tim!EY43="","",Tim!EY43)</f>
        <v/>
      </c>
      <c r="BB41" s="53" t="str">
        <f>IF(Tim!EZ43="","",Tim!EZ43)</f>
        <v/>
      </c>
      <c r="BC41" s="56" t="str">
        <f>IF(Tim!GD43="","",Tim!GD43)</f>
        <v>LA</v>
      </c>
      <c r="BD41" s="53" t="str">
        <f>IF(Tim!GE43="","",Tim!GE43)</f>
        <v/>
      </c>
      <c r="BE41" s="53" t="str">
        <f>IF(Tim!GF43="","",Tim!GF43)</f>
        <v/>
      </c>
      <c r="BF41" s="53" t="str">
        <f>IF(Tim!GG43="","",Tim!GG43)</f>
        <v/>
      </c>
      <c r="BG41" s="53" t="str">
        <f>IF(Tim!GH43="","",Tim!GH43)</f>
        <v/>
      </c>
      <c r="BH41" s="53" t="str">
        <f>IF(Tim!GI43="","",Tim!GI43)</f>
        <v/>
      </c>
      <c r="BI41" s="53" t="str">
        <f>IF(Tim!GJ43="","",Tim!GJ43)</f>
        <v/>
      </c>
      <c r="BJ41" s="53" t="str">
        <f>IF(Tim!GO43="","",Tim!GO43)</f>
        <v>LF</v>
      </c>
      <c r="BK41" s="53" t="e">
        <f>IF(Tim!#REF!="","",Tim!#REF!)</f>
        <v>#REF!</v>
      </c>
      <c r="BL41" s="53" t="str">
        <f>IF(Tim!GP43="","",Tim!GP43)</f>
        <v/>
      </c>
      <c r="BM41" s="53" t="str">
        <f>IF(Tim!GQ43="","",Tim!GQ43)</f>
        <v/>
      </c>
      <c r="BN41" s="53" t="str">
        <f>IF(Tim!GR43="","",Tim!GR43)</f>
        <v/>
      </c>
      <c r="BO41" s="56" t="str">
        <f>IF(Tim!HV43="","",Tim!HV43)</f>
        <v>LA</v>
      </c>
      <c r="BP41" s="53" t="str">
        <f>IF(Tim!HW43="","",Tim!HW43)</f>
        <v/>
      </c>
      <c r="BQ41" s="53" t="str">
        <f>IF(Tim!HX43="","",Tim!HX43)</f>
        <v/>
      </c>
      <c r="BR41" s="53" t="str">
        <f>IF(Tim!HY43="","",Tim!HY43)</f>
        <v/>
      </c>
      <c r="BS41" s="53" t="str">
        <f>IF(Tim!HZ43="","",Tim!HZ43)</f>
        <v/>
      </c>
      <c r="BT41" s="53" t="str">
        <f>IF(Tim!IA43="","",Tim!IA43)</f>
        <v/>
      </c>
      <c r="BU41" s="55" t="str">
        <f>IF(Tim!IB43="","",Tim!IB43)</f>
        <v/>
      </c>
      <c r="BV41" s="53" t="str">
        <f>IF(Tim!IF43="","",Tim!IF43)</f>
        <v/>
      </c>
      <c r="BW41" s="53" t="str">
        <f>IF(Tim!IG43="","",Tim!IG43)</f>
        <v/>
      </c>
      <c r="BX41" s="53" t="str">
        <f>IF(Tim!IH43="","",Tim!IH43)</f>
        <v/>
      </c>
      <c r="BY41" s="53" t="str">
        <f>IF(Tim!II43="","",Tim!II43)</f>
        <v/>
      </c>
      <c r="BZ41" s="53" t="str">
        <f>IF(Tim!IJ43="","",Tim!IJ43)</f>
        <v/>
      </c>
      <c r="CA41" s="59" t="str">
        <f>IF(Tim!JN43="","",Tim!JN43)</f>
        <v>RF</v>
      </c>
      <c r="CB41" s="59" t="str">
        <f>IF(Tim!JO43="","",Tim!JO43)</f>
        <v/>
      </c>
      <c r="CC41" s="59" t="str">
        <f>IF(Tim!JP43="","",Tim!JP43)</f>
        <v/>
      </c>
      <c r="CD41" s="59" t="str">
        <f>IF(Tim!JQ43="","",Tim!JQ43)</f>
        <v/>
      </c>
      <c r="CE41" s="59" t="str">
        <f>IF(Tim!JR43="","",Tim!JR43)</f>
        <v/>
      </c>
      <c r="CF41" s="59" t="str">
        <f>IF(Tim!JS43="","",Tim!JS43)</f>
        <v/>
      </c>
      <c r="CG41" s="59" t="str">
        <f>IF(Tim!JT43="","",Tim!JT43)</f>
        <v/>
      </c>
      <c r="CH41" s="53" t="str">
        <f>IF(Tim!JX43="","",Tim!JX43)</f>
        <v/>
      </c>
      <c r="CI41" s="53" t="str">
        <f>IF(Tim!JY43="","",Tim!JY43)</f>
        <v/>
      </c>
      <c r="CJ41" s="53" t="str">
        <f>IF(Tim!JZ43="","",Tim!JZ43)</f>
        <v/>
      </c>
      <c r="CK41" s="53" t="str">
        <f>IF(Tim!KA43="","",Tim!KA43)</f>
        <v/>
      </c>
      <c r="CL41" s="53" t="str">
        <f>IF(Tim!KB43="","",Tim!KB43)</f>
        <v/>
      </c>
      <c r="CM41" s="52">
        <v>0.66666666666666596</v>
      </c>
    </row>
    <row r="42" spans="2:91" ht="10.5" customHeight="1">
      <c r="B42" s="51">
        <v>0.25</v>
      </c>
      <c r="C42" s="51">
        <v>0.25</v>
      </c>
      <c r="D42" s="51">
        <v>0.25</v>
      </c>
      <c r="E42" s="172">
        <v>0.67708333333333204</v>
      </c>
      <c r="F42" s="56" t="str">
        <f>IF(Tim!F44="","",Tim!F44)</f>
        <v>MS</v>
      </c>
      <c r="G42" s="53" t="str">
        <f>IF(Tim!G44="","",Tim!G44)</f>
        <v/>
      </c>
      <c r="H42" s="53" t="str">
        <f>IF(Tim!H44="","",Tim!H44)</f>
        <v/>
      </c>
      <c r="I42" s="53" t="str">
        <f>IF(Tim!I44="","",Tim!I44)</f>
        <v/>
      </c>
      <c r="J42" s="53" t="str">
        <f>IF(Tim!J44="","",Tim!J44)</f>
        <v/>
      </c>
      <c r="K42" s="53" t="str">
        <f>IF(Tim!K44="","",Tim!K44)</f>
        <v/>
      </c>
      <c r="L42" s="53" t="str">
        <f>IF(Tim!L44="","",Tim!L44)</f>
        <v/>
      </c>
      <c r="M42" s="53" t="str">
        <f>IF(Tim!P44="","",Tim!P44)</f>
        <v/>
      </c>
      <c r="N42" s="53" t="str">
        <f>IF(Tim!Q44="","",Tim!Q44)</f>
        <v/>
      </c>
      <c r="O42" s="53" t="str">
        <f>IF(Tim!R44="","",Tim!R44)</f>
        <v/>
      </c>
      <c r="P42" s="53" t="str">
        <f>IF(Tim!S44="","",Tim!S44)</f>
        <v/>
      </c>
      <c r="Q42" s="55" t="str">
        <f>IF(Tim!T44="","",Tim!T44)</f>
        <v/>
      </c>
      <c r="R42" s="56" t="str">
        <f>IF(Tim!AY44="","",Tim!AY44)</f>
        <v>RF</v>
      </c>
      <c r="S42" s="53" t="str">
        <f>IF(Tim!AZ44="","",Tim!AZ44)</f>
        <v/>
      </c>
      <c r="T42" s="53" t="str">
        <f>IF(Tim!BA44="","",Tim!BA44)</f>
        <v/>
      </c>
      <c r="U42" s="53" t="str">
        <f>IF(Tim!BB44="","",Tim!BB44)</f>
        <v/>
      </c>
      <c r="V42" s="53" t="str">
        <f>IF(Tim!BC44="","",Tim!BC44)</f>
        <v/>
      </c>
      <c r="W42" s="53" t="str">
        <f>IF(Tim!BD44="","",Tim!BD44)</f>
        <v/>
      </c>
      <c r="X42" s="53" t="str">
        <f>IF(Tim!BE44="","",Tim!BE44)</f>
        <v/>
      </c>
      <c r="Y42" s="53" t="str">
        <f>IF(Tim!BF44="","",Tim!BF44)</f>
        <v/>
      </c>
      <c r="Z42" s="53" t="str">
        <f>IF(Tim!BI44="","",Tim!BI44)</f>
        <v/>
      </c>
      <c r="AA42" s="53" t="str">
        <f>IF(Tim!BJ44="","",Tim!BJ44)</f>
        <v/>
      </c>
      <c r="AB42" s="53" t="str">
        <f>IF(Tim!BK44="","",Tim!BK44)</f>
        <v/>
      </c>
      <c r="AC42" s="53" t="str">
        <f>IF(Tim!BL44="","",Tim!BL44)</f>
        <v/>
      </c>
      <c r="AD42" s="55" t="str">
        <f>IF(Tim!BM44="","",Tim!BM44)</f>
        <v/>
      </c>
      <c r="AE42" s="56" t="str">
        <f>IF(Tim!CQ44="","",Tim!CQ44)</f>
        <v>LA</v>
      </c>
      <c r="AF42" s="53" t="str">
        <f>IF(Tim!CR44="","",Tim!CR44)</f>
        <v/>
      </c>
      <c r="AG42" s="53" t="str">
        <f>IF(Tim!CS44="","",Tim!CS44)</f>
        <v/>
      </c>
      <c r="AH42" s="53" t="str">
        <f>IF(Tim!CT44="","",Tim!CT44)</f>
        <v/>
      </c>
      <c r="AI42" s="53" t="str">
        <f>IF(Tim!CU44="","",Tim!CU44)</f>
        <v/>
      </c>
      <c r="AJ42" s="53" t="str">
        <f>IF(Tim!CV44="","",Tim!CV44)</f>
        <v/>
      </c>
      <c r="AK42" s="53" t="str">
        <f>IF(Tim!CW44="","",Tim!CW44)</f>
        <v/>
      </c>
      <c r="AL42" s="53" t="str">
        <f>IF(Tim!DA44="","",Tim!DA44)</f>
        <v/>
      </c>
      <c r="AM42" s="53" t="str">
        <f>IF(Tim!DB44="","",Tim!DB44)</f>
        <v/>
      </c>
      <c r="AN42" s="53" t="str">
        <f>IF(Tim!DC44="","",Tim!DC44)</f>
        <v/>
      </c>
      <c r="AO42" s="53" t="str">
        <f>IF(Tim!DD44="","",Tim!DD44)</f>
        <v/>
      </c>
      <c r="AP42" s="53" t="str">
        <f>IF(Tim!DE44="","",Tim!DE44)</f>
        <v/>
      </c>
      <c r="AQ42" s="56" t="str">
        <f>IF(Tim!EL44="","",Tim!EL44)</f>
        <v>LA</v>
      </c>
      <c r="AR42" s="53" t="str">
        <f>IF(Tim!EM44="","",Tim!EM44)</f>
        <v>HA</v>
      </c>
      <c r="AS42" s="53" t="str">
        <f>IF(Tim!EN44="","",Tim!EN44)</f>
        <v/>
      </c>
      <c r="AT42" s="53" t="str">
        <f>IF(Tim!EO44="","",Tim!EO44)</f>
        <v/>
      </c>
      <c r="AU42" s="53" t="str">
        <f>IF(Tim!EP44="","",Tim!EP44)</f>
        <v/>
      </c>
      <c r="AV42" s="53" t="str">
        <f>IF(Tim!EQ44="","",Tim!EQ44)</f>
        <v/>
      </c>
      <c r="AW42" s="53" t="str">
        <f>IF(Tim!ER44="","",Tim!ER44)</f>
        <v/>
      </c>
      <c r="AX42" s="53" t="e">
        <f>IF(Tim!#REF!="","",Tim!#REF!)</f>
        <v>#REF!</v>
      </c>
      <c r="AY42" s="53" t="str">
        <f>IF(Tim!EW44="","",Tim!EW44)</f>
        <v/>
      </c>
      <c r="AZ42" s="53" t="str">
        <f>IF(Tim!EX44="","",Tim!EX44)</f>
        <v/>
      </c>
      <c r="BA42" s="53" t="str">
        <f>IF(Tim!EY44="","",Tim!EY44)</f>
        <v/>
      </c>
      <c r="BB42" s="53" t="str">
        <f>IF(Tim!EZ44="","",Tim!EZ44)</f>
        <v/>
      </c>
      <c r="BC42" s="56" t="str">
        <f>IF(Tim!GD44="","",Tim!GD44)</f>
        <v>LA</v>
      </c>
      <c r="BD42" s="53" t="str">
        <f>IF(Tim!GE44="","",Tim!GE44)</f>
        <v/>
      </c>
      <c r="BE42" s="53" t="str">
        <f>IF(Tim!GF44="","",Tim!GF44)</f>
        <v/>
      </c>
      <c r="BF42" s="53" t="str">
        <f>IF(Tim!GG44="","",Tim!GG44)</f>
        <v/>
      </c>
      <c r="BG42" s="53" t="str">
        <f>IF(Tim!GH44="","",Tim!GH44)</f>
        <v/>
      </c>
      <c r="BH42" s="53" t="str">
        <f>IF(Tim!GI44="","",Tim!GI44)</f>
        <v/>
      </c>
      <c r="BI42" s="53" t="str">
        <f>IF(Tim!GJ44="","",Tim!GJ44)</f>
        <v/>
      </c>
      <c r="BJ42" s="53" t="str">
        <f>IF(Tim!GO44="","",Tim!GO44)</f>
        <v>LF</v>
      </c>
      <c r="BK42" s="53" t="e">
        <f>IF(Tim!#REF!="","",Tim!#REF!)</f>
        <v>#REF!</v>
      </c>
      <c r="BL42" s="53" t="str">
        <f>IF(Tim!GP44="","",Tim!GP44)</f>
        <v/>
      </c>
      <c r="BM42" s="53" t="str">
        <f>IF(Tim!GQ44="","",Tim!GQ44)</f>
        <v/>
      </c>
      <c r="BN42" s="53" t="str">
        <f>IF(Tim!GR44="","",Tim!GR44)</f>
        <v/>
      </c>
      <c r="BO42" s="56" t="str">
        <f>IF(Tim!HV44="","",Tim!HV44)</f>
        <v>LA</v>
      </c>
      <c r="BP42" s="53" t="str">
        <f>IF(Tim!HW44="","",Tim!HW44)</f>
        <v/>
      </c>
      <c r="BQ42" s="53" t="str">
        <f>IF(Tim!HX44="","",Tim!HX44)</f>
        <v/>
      </c>
      <c r="BR42" s="53" t="str">
        <f>IF(Tim!HY44="","",Tim!HY44)</f>
        <v/>
      </c>
      <c r="BS42" s="53" t="str">
        <f>IF(Tim!HZ44="","",Tim!HZ44)</f>
        <v/>
      </c>
      <c r="BT42" s="53" t="str">
        <f>IF(Tim!IA44="","",Tim!IA44)</f>
        <v/>
      </c>
      <c r="BU42" s="55" t="str">
        <f>IF(Tim!IB44="","",Tim!IB44)</f>
        <v/>
      </c>
      <c r="BV42" s="53" t="str">
        <f>IF(Tim!IF44="","",Tim!IF44)</f>
        <v/>
      </c>
      <c r="BW42" s="53" t="str">
        <f>IF(Tim!IG44="","",Tim!IG44)</f>
        <v/>
      </c>
      <c r="BX42" s="53" t="str">
        <f>IF(Tim!IH44="","",Tim!IH44)</f>
        <v/>
      </c>
      <c r="BY42" s="53" t="str">
        <f>IF(Tim!II44="","",Tim!II44)</f>
        <v/>
      </c>
      <c r="BZ42" s="53" t="str">
        <f>IF(Tim!IJ44="","",Tim!IJ44)</f>
        <v/>
      </c>
      <c r="CA42" s="59" t="str">
        <f>IF(Tim!JN44="","",Tim!JN44)</f>
        <v>RF</v>
      </c>
      <c r="CB42" s="59" t="str">
        <f>IF(Tim!JO44="","",Tim!JO44)</f>
        <v/>
      </c>
      <c r="CC42" s="59" t="str">
        <f>IF(Tim!JP44="","",Tim!JP44)</f>
        <v/>
      </c>
      <c r="CD42" s="59" t="str">
        <f>IF(Tim!JQ44="","",Tim!JQ44)</f>
        <v/>
      </c>
      <c r="CE42" s="59" t="str">
        <f>IF(Tim!JR44="","",Tim!JR44)</f>
        <v/>
      </c>
      <c r="CF42" s="59" t="str">
        <f>IF(Tim!JS44="","",Tim!JS44)</f>
        <v/>
      </c>
      <c r="CG42" s="59" t="str">
        <f>IF(Tim!JT44="","",Tim!JT44)</f>
        <v/>
      </c>
      <c r="CH42" s="53" t="str">
        <f>IF(Tim!JX44="","",Tim!JX44)</f>
        <v/>
      </c>
      <c r="CI42" s="53" t="str">
        <f>IF(Tim!JY44="","",Tim!JY44)</f>
        <v/>
      </c>
      <c r="CJ42" s="53" t="str">
        <f>IF(Tim!JZ44="","",Tim!JZ44)</f>
        <v/>
      </c>
      <c r="CK42" s="53" t="str">
        <f>IF(Tim!KA44="","",Tim!KA44)</f>
        <v/>
      </c>
      <c r="CL42" s="53" t="str">
        <f>IF(Tim!KB44="","",Tim!KB44)</f>
        <v/>
      </c>
      <c r="CM42" s="52">
        <v>0.67708333333333204</v>
      </c>
    </row>
    <row r="43" spans="2:91" ht="10.5" customHeight="1">
      <c r="B43" s="51">
        <v>0.25</v>
      </c>
      <c r="C43" s="51">
        <v>0.25</v>
      </c>
      <c r="D43" s="51">
        <v>0.25</v>
      </c>
      <c r="E43" s="172">
        <v>0.687499999999999</v>
      </c>
      <c r="F43" s="56" t="str">
        <f>IF(Tim!F45="","",Tim!F45)</f>
        <v>MS</v>
      </c>
      <c r="G43" s="53" t="str">
        <f>IF(Tim!G45="","",Tim!G45)</f>
        <v/>
      </c>
      <c r="H43" s="53" t="str">
        <f>IF(Tim!H45="","",Tim!H45)</f>
        <v/>
      </c>
      <c r="I43" s="53" t="str">
        <f>IF(Tim!I45="","",Tim!I45)</f>
        <v/>
      </c>
      <c r="J43" s="53" t="str">
        <f>IF(Tim!J45="","",Tim!J45)</f>
        <v/>
      </c>
      <c r="K43" s="53" t="str">
        <f>IF(Tim!K45="","",Tim!K45)</f>
        <v/>
      </c>
      <c r="L43" s="53" t="str">
        <f>IF(Tim!L45="","",Tim!L45)</f>
        <v/>
      </c>
      <c r="M43" s="53" t="str">
        <f>IF(Tim!P45="","",Tim!P45)</f>
        <v/>
      </c>
      <c r="N43" s="53" t="str">
        <f>IF(Tim!Q45="","",Tim!Q45)</f>
        <v/>
      </c>
      <c r="O43" s="53" t="str">
        <f>IF(Tim!R45="","",Tim!R45)</f>
        <v/>
      </c>
      <c r="P43" s="53" t="str">
        <f>IF(Tim!S45="","",Tim!S45)</f>
        <v/>
      </c>
      <c r="Q43" s="55" t="str">
        <f>IF(Tim!T45="","",Tim!T45)</f>
        <v/>
      </c>
      <c r="R43" s="56" t="str">
        <f>IF(Tim!AY45="","",Tim!AY45)</f>
        <v>LA</v>
      </c>
      <c r="S43" s="53" t="str">
        <f>IF(Tim!AZ45="","",Tim!AZ45)</f>
        <v/>
      </c>
      <c r="T43" s="53" t="str">
        <f>IF(Tim!BA45="","",Tim!BA45)</f>
        <v/>
      </c>
      <c r="U43" s="53" t="str">
        <f>IF(Tim!BB45="","",Tim!BB45)</f>
        <v/>
      </c>
      <c r="V43" s="53" t="str">
        <f>IF(Tim!BC45="","",Tim!BC45)</f>
        <v/>
      </c>
      <c r="W43" s="53" t="str">
        <f>IF(Tim!BD45="","",Tim!BD45)</f>
        <v/>
      </c>
      <c r="X43" s="53" t="str">
        <f>IF(Tim!BE45="","",Tim!BE45)</f>
        <v/>
      </c>
      <c r="Y43" s="53" t="str">
        <f>IF(Tim!BF45="","",Tim!BF45)</f>
        <v/>
      </c>
      <c r="Z43" s="53" t="str">
        <f>IF(Tim!BI45="","",Tim!BI45)</f>
        <v/>
      </c>
      <c r="AA43" s="53" t="str">
        <f>IF(Tim!BJ45="","",Tim!BJ45)</f>
        <v>LF</v>
      </c>
      <c r="AB43" s="53" t="str">
        <f>IF(Tim!BK45="","",Tim!BK45)</f>
        <v/>
      </c>
      <c r="AC43" s="53" t="str">
        <f>IF(Tim!BL45="","",Tim!BL45)</f>
        <v/>
      </c>
      <c r="AD43" s="55" t="str">
        <f>IF(Tim!BM45="","",Tim!BM45)</f>
        <v/>
      </c>
      <c r="AE43" s="56" t="str">
        <f>IF(Tim!CQ45="","",Tim!CQ45)</f>
        <v>CR</v>
      </c>
      <c r="AF43" s="53" t="str">
        <f>IF(Tim!CR45="","",Tim!CR45)</f>
        <v/>
      </c>
      <c r="AG43" s="53" t="str">
        <f>IF(Tim!CS45="","",Tim!CS45)</f>
        <v/>
      </c>
      <c r="AH43" s="53" t="str">
        <f>IF(Tim!CT45="","",Tim!CT45)</f>
        <v/>
      </c>
      <c r="AI43" s="53" t="str">
        <f>IF(Tim!CU45="","",Tim!CU45)</f>
        <v/>
      </c>
      <c r="AJ43" s="53" t="str">
        <f>IF(Tim!CV45="","",Tim!CV45)</f>
        <v/>
      </c>
      <c r="AK43" s="53" t="str">
        <f>IF(Tim!CW45="","",Tim!CW45)</f>
        <v/>
      </c>
      <c r="AL43" s="53" t="str">
        <f>IF(Tim!DA45="","",Tim!DA45)</f>
        <v/>
      </c>
      <c r="AM43" s="53" t="str">
        <f>IF(Tim!DB45="","",Tim!DB45)</f>
        <v/>
      </c>
      <c r="AN43" s="53" t="str">
        <f>IF(Tim!DC45="","",Tim!DC45)</f>
        <v/>
      </c>
      <c r="AO43" s="53" t="str">
        <f>IF(Tim!DD45="","",Tim!DD45)</f>
        <v/>
      </c>
      <c r="AP43" s="53" t="str">
        <f>IF(Tim!DE45="","",Tim!DE45)</f>
        <v/>
      </c>
      <c r="AQ43" s="56" t="str">
        <f>IF(Tim!EL45="","",Tim!EL45)</f>
        <v>HA</v>
      </c>
      <c r="AR43" s="53" t="str">
        <f>IF(Tim!EM45="","",Tim!EM45)</f>
        <v/>
      </c>
      <c r="AS43" s="53" t="str">
        <f>IF(Tim!EN45="","",Tim!EN45)</f>
        <v/>
      </c>
      <c r="AT43" s="53" t="str">
        <f>IF(Tim!EO45="","",Tim!EO45)</f>
        <v/>
      </c>
      <c r="AU43" s="53" t="str">
        <f>IF(Tim!EP45="","",Tim!EP45)</f>
        <v/>
      </c>
      <c r="AV43" s="53" t="str">
        <f>IF(Tim!EQ45="","",Tim!EQ45)</f>
        <v/>
      </c>
      <c r="AW43" s="53" t="str">
        <f>IF(Tim!ER45="","",Tim!ER45)</f>
        <v/>
      </c>
      <c r="AX43" s="53" t="str">
        <f>IF(Tim!EV45="","",Tim!EV45)</f>
        <v/>
      </c>
      <c r="AY43" s="53" t="str">
        <f>IF(Tim!EW45="","",Tim!EW45)</f>
        <v/>
      </c>
      <c r="AZ43" s="53" t="str">
        <f>IF(Tim!EX45="","",Tim!EX45)</f>
        <v/>
      </c>
      <c r="BA43" s="53" t="str">
        <f>IF(Tim!EY45="","",Tim!EY45)</f>
        <v/>
      </c>
      <c r="BB43" s="53" t="str">
        <f>IF(Tim!EZ45="","",Tim!EZ45)</f>
        <v/>
      </c>
      <c r="BC43" s="56" t="str">
        <f>IF(Tim!GD45="","",Tim!GD45)</f>
        <v>LA</v>
      </c>
      <c r="BD43" s="53" t="str">
        <f>IF(Tim!GE45="","",Tim!GE45)</f>
        <v/>
      </c>
      <c r="BE43" s="53" t="str">
        <f>IF(Tim!GF45="","",Tim!GF45)</f>
        <v/>
      </c>
      <c r="BF43" s="53" t="str">
        <f>IF(Tim!GG45="","",Tim!GG45)</f>
        <v/>
      </c>
      <c r="BG43" s="53" t="str">
        <f>IF(Tim!GH45="","",Tim!GH45)</f>
        <v/>
      </c>
      <c r="BH43" s="53" t="str">
        <f>IF(Tim!GI45="","",Tim!GI45)</f>
        <v/>
      </c>
      <c r="BI43" s="53" t="str">
        <f>IF(Tim!GJ45="","",Tim!GJ45)</f>
        <v/>
      </c>
      <c r="BJ43" s="53" t="str">
        <f>IF(Tim!GO45="","",Tim!GO45)</f>
        <v/>
      </c>
      <c r="BK43" s="53" t="e">
        <f>IF(Tim!#REF!="","",Tim!#REF!)</f>
        <v>#REF!</v>
      </c>
      <c r="BL43" s="53" t="str">
        <f>IF(Tim!GP45="","",Tim!GP45)</f>
        <v/>
      </c>
      <c r="BM43" s="53" t="str">
        <f>IF(Tim!GQ45="","",Tim!GQ45)</f>
        <v/>
      </c>
      <c r="BN43" s="53" t="str">
        <f>IF(Tim!GR45="","",Tim!GR45)</f>
        <v/>
      </c>
      <c r="BO43" s="56" t="str">
        <f>IF(Tim!HV45="","",Tim!HV45)</f>
        <v>RF</v>
      </c>
      <c r="BP43" s="53" t="str">
        <f>IF(Tim!HW45="","",Tim!HW45)</f>
        <v/>
      </c>
      <c r="BQ43" s="53" t="str">
        <f>IF(Tim!HX45="","",Tim!HX45)</f>
        <v/>
      </c>
      <c r="BR43" s="53" t="str">
        <f>IF(Tim!HY45="","",Tim!HY45)</f>
        <v/>
      </c>
      <c r="BS43" s="53" t="str">
        <f>IF(Tim!HZ45="","",Tim!HZ45)</f>
        <v/>
      </c>
      <c r="BT43" s="53" t="str">
        <f>IF(Tim!IA45="","",Tim!IA45)</f>
        <v/>
      </c>
      <c r="BU43" s="55" t="str">
        <f>IF(Tim!IB45="","",Tim!IB45)</f>
        <v/>
      </c>
      <c r="BV43" s="53" t="str">
        <f>IF(Tim!IF45="","",Tim!IF45)</f>
        <v/>
      </c>
      <c r="BW43" s="53" t="str">
        <f>IF(Tim!IG45="","",Tim!IG45)</f>
        <v/>
      </c>
      <c r="BX43" s="53" t="str">
        <f>IF(Tim!IH45="","",Tim!IH45)</f>
        <v/>
      </c>
      <c r="BY43" s="53" t="str">
        <f>IF(Tim!II45="","",Tim!II45)</f>
        <v/>
      </c>
      <c r="BZ43" s="53" t="str">
        <f>IF(Tim!IJ45="","",Tim!IJ45)</f>
        <v/>
      </c>
      <c r="CA43" s="59" t="str">
        <f>IF(Tim!JN45="","",Tim!JN45)</f>
        <v>RF</v>
      </c>
      <c r="CB43" s="59" t="str">
        <f>IF(Tim!JO45="","",Tim!JO45)</f>
        <v/>
      </c>
      <c r="CC43" s="59" t="str">
        <f>IF(Tim!JP45="","",Tim!JP45)</f>
        <v/>
      </c>
      <c r="CD43" s="59" t="str">
        <f>IF(Tim!JQ45="","",Tim!JQ45)</f>
        <v/>
      </c>
      <c r="CE43" s="59" t="str">
        <f>IF(Tim!JR45="","",Tim!JR45)</f>
        <v/>
      </c>
      <c r="CF43" s="59" t="str">
        <f>IF(Tim!JS45="","",Tim!JS45)</f>
        <v/>
      </c>
      <c r="CG43" s="59" t="str">
        <f>IF(Tim!JT45="","",Tim!JT45)</f>
        <v/>
      </c>
      <c r="CH43" s="53" t="str">
        <f>IF(Tim!JX45="","",Tim!JX45)</f>
        <v/>
      </c>
      <c r="CI43" s="53" t="str">
        <f>IF(Tim!JY45="","",Tim!JY45)</f>
        <v/>
      </c>
      <c r="CJ43" s="53" t="str">
        <f>IF(Tim!JZ45="","",Tim!JZ45)</f>
        <v/>
      </c>
      <c r="CK43" s="53" t="str">
        <f>IF(Tim!KA45="","",Tim!KA45)</f>
        <v/>
      </c>
      <c r="CL43" s="53" t="str">
        <f>IF(Tim!KB45="","",Tim!KB45)</f>
        <v/>
      </c>
      <c r="CM43" s="52">
        <v>0.687499999999999</v>
      </c>
    </row>
    <row r="44" spans="2:91" ht="10.5" customHeight="1">
      <c r="B44" s="51">
        <v>0.25</v>
      </c>
      <c r="C44" s="51">
        <v>0.25</v>
      </c>
      <c r="D44" s="51">
        <v>0.25</v>
      </c>
      <c r="E44" s="172">
        <v>0.69791666666666596</v>
      </c>
      <c r="F44" s="56" t="str">
        <f>IF(Tim!F46="","",Tim!F46)</f>
        <v>MS</v>
      </c>
      <c r="G44" s="53" t="str">
        <f>IF(Tim!G46="","",Tim!G46)</f>
        <v/>
      </c>
      <c r="H44" s="53" t="str">
        <f>IF(Tim!H46="","",Tim!H46)</f>
        <v/>
      </c>
      <c r="I44" s="53" t="str">
        <f>IF(Tim!I46="","",Tim!I46)</f>
        <v/>
      </c>
      <c r="J44" s="53" t="str">
        <f>IF(Tim!J46="","",Tim!J46)</f>
        <v/>
      </c>
      <c r="K44" s="53" t="str">
        <f>IF(Tim!K46="","",Tim!K46)</f>
        <v/>
      </c>
      <c r="L44" s="53" t="str">
        <f>IF(Tim!L46="","",Tim!L46)</f>
        <v/>
      </c>
      <c r="M44" s="53" t="str">
        <f>IF(Tim!P46="","",Tim!P46)</f>
        <v/>
      </c>
      <c r="N44" s="53" t="str">
        <f>IF(Tim!Q46="","",Tim!Q46)</f>
        <v/>
      </c>
      <c r="O44" s="53" t="str">
        <f>IF(Tim!R46="","",Tim!R46)</f>
        <v/>
      </c>
      <c r="P44" s="53" t="str">
        <f>IF(Tim!S46="","",Tim!S46)</f>
        <v/>
      </c>
      <c r="Q44" s="55" t="str">
        <f>IF(Tim!T46="","",Tim!T46)</f>
        <v/>
      </c>
      <c r="R44" s="56" t="str">
        <f>IF(Tim!AY46="","",Tim!AY46)</f>
        <v>LA</v>
      </c>
      <c r="S44" s="53" t="str">
        <f>IF(Tim!AZ46="","",Tim!AZ46)</f>
        <v/>
      </c>
      <c r="T44" s="53" t="str">
        <f>IF(Tim!BA46="","",Tim!BA46)</f>
        <v/>
      </c>
      <c r="U44" s="53" t="str">
        <f>IF(Tim!BB46="","",Tim!BB46)</f>
        <v/>
      </c>
      <c r="V44" s="53" t="str">
        <f>IF(Tim!BC46="","",Tim!BC46)</f>
        <v/>
      </c>
      <c r="W44" s="53" t="str">
        <f>IF(Tim!BD46="","",Tim!BD46)</f>
        <v/>
      </c>
      <c r="X44" s="53" t="str">
        <f>IF(Tim!BE46="","",Tim!BE46)</f>
        <v/>
      </c>
      <c r="Y44" s="53" t="str">
        <f>IF(Tim!BF46="","",Tim!BF46)</f>
        <v/>
      </c>
      <c r="Z44" s="53" t="str">
        <f>IF(Tim!BI46="","",Tim!BI46)</f>
        <v/>
      </c>
      <c r="AA44" s="53" t="str">
        <f>IF(Tim!BJ46="","",Tim!BJ46)</f>
        <v>LF</v>
      </c>
      <c r="AB44" s="53" t="str">
        <f>IF(Tim!BK46="","",Tim!BK46)</f>
        <v/>
      </c>
      <c r="AC44" s="53" t="str">
        <f>IF(Tim!BL46="","",Tim!BL46)</f>
        <v/>
      </c>
      <c r="AD44" s="55" t="str">
        <f>IF(Tim!BM46="","",Tim!BM46)</f>
        <v/>
      </c>
      <c r="AE44" s="56" t="str">
        <f>IF(Tim!CQ46="","",Tim!CQ46)</f>
        <v>CR</v>
      </c>
      <c r="AF44" s="53" t="str">
        <f>IF(Tim!CR46="","",Tim!CR46)</f>
        <v/>
      </c>
      <c r="AG44" s="53" t="str">
        <f>IF(Tim!CS46="","",Tim!CS46)</f>
        <v/>
      </c>
      <c r="AH44" s="53" t="str">
        <f>IF(Tim!CT46="","",Tim!CT46)</f>
        <v/>
      </c>
      <c r="AI44" s="53" t="str">
        <f>IF(Tim!CU46="","",Tim!CU46)</f>
        <v/>
      </c>
      <c r="AJ44" s="53" t="str">
        <f>IF(Tim!CV46="","",Tim!CV46)</f>
        <v/>
      </c>
      <c r="AK44" s="53" t="str">
        <f>IF(Tim!CW46="","",Tim!CW46)</f>
        <v/>
      </c>
      <c r="AL44" s="53" t="str">
        <f>IF(Tim!DA46="","",Tim!DA46)</f>
        <v/>
      </c>
      <c r="AM44" s="53" t="str">
        <f>IF(Tim!DB46="","",Tim!DB46)</f>
        <v/>
      </c>
      <c r="AN44" s="53" t="str">
        <f>IF(Tim!DC46="","",Tim!DC46)</f>
        <v/>
      </c>
      <c r="AO44" s="53" t="str">
        <f>IF(Tim!DD46="","",Tim!DD46)</f>
        <v/>
      </c>
      <c r="AP44" s="53" t="str">
        <f>IF(Tim!DE46="","",Tim!DE46)</f>
        <v/>
      </c>
      <c r="AQ44" s="56" t="str">
        <f>IF(Tim!EL46="","",Tim!EL46)</f>
        <v>HA</v>
      </c>
      <c r="AR44" s="53" t="str">
        <f>IF(Tim!EM46="","",Tim!EM46)</f>
        <v/>
      </c>
      <c r="AS44" s="53" t="str">
        <f>IF(Tim!EN46="","",Tim!EN46)</f>
        <v/>
      </c>
      <c r="AT44" s="53" t="str">
        <f>IF(Tim!EO46="","",Tim!EO46)</f>
        <v/>
      </c>
      <c r="AU44" s="53" t="str">
        <f>IF(Tim!EP46="","",Tim!EP46)</f>
        <v/>
      </c>
      <c r="AV44" s="53" t="str">
        <f>IF(Tim!EQ46="","",Tim!EQ46)</f>
        <v/>
      </c>
      <c r="AW44" s="53" t="str">
        <f>IF(Tim!ER46="","",Tim!ER46)</f>
        <v/>
      </c>
      <c r="AX44" s="53" t="str">
        <f>IF(Tim!EV46="","",Tim!EV46)</f>
        <v/>
      </c>
      <c r="AY44" s="53" t="str">
        <f>IF(Tim!EW46="","",Tim!EW46)</f>
        <v/>
      </c>
      <c r="AZ44" s="53" t="str">
        <f>IF(Tim!EX46="","",Tim!EX46)</f>
        <v/>
      </c>
      <c r="BA44" s="53" t="str">
        <f>IF(Tim!EY46="","",Tim!EY46)</f>
        <v/>
      </c>
      <c r="BB44" s="53" t="str">
        <f>IF(Tim!EZ46="","",Tim!EZ46)</f>
        <v/>
      </c>
      <c r="BC44" s="56" t="str">
        <f>IF(Tim!GD46="","",Tim!GD46)</f>
        <v>LA</v>
      </c>
      <c r="BD44" s="53" t="str">
        <f>IF(Tim!GE46="","",Tim!GE46)</f>
        <v/>
      </c>
      <c r="BE44" s="53" t="str">
        <f>IF(Tim!GF46="","",Tim!GF46)</f>
        <v/>
      </c>
      <c r="BF44" s="53" t="str">
        <f>IF(Tim!GG46="","",Tim!GG46)</f>
        <v/>
      </c>
      <c r="BG44" s="53" t="str">
        <f>IF(Tim!GH46="","",Tim!GH46)</f>
        <v/>
      </c>
      <c r="BH44" s="53" t="str">
        <f>IF(Tim!GI46="","",Tim!GI46)</f>
        <v/>
      </c>
      <c r="BI44" s="53" t="str">
        <f>IF(Tim!GJ46="","",Tim!GJ46)</f>
        <v/>
      </c>
      <c r="BJ44" s="53" t="str">
        <f>IF(Tim!GO46="","",Tim!GO46)</f>
        <v/>
      </c>
      <c r="BK44" s="53" t="e">
        <f>IF(Tim!#REF!="","",Tim!#REF!)</f>
        <v>#REF!</v>
      </c>
      <c r="BL44" s="53" t="str">
        <f>IF(Tim!GP46="","",Tim!GP46)</f>
        <v/>
      </c>
      <c r="BM44" s="53" t="str">
        <f>IF(Tim!GQ46="","",Tim!GQ46)</f>
        <v/>
      </c>
      <c r="BN44" s="53" t="str">
        <f>IF(Tim!GR46="","",Tim!GR46)</f>
        <v/>
      </c>
      <c r="BO44" s="56" t="str">
        <f>IF(Tim!HV46="","",Tim!HV46)</f>
        <v>RF</v>
      </c>
      <c r="BP44" s="53" t="str">
        <f>IF(Tim!HW46="","",Tim!HW46)</f>
        <v/>
      </c>
      <c r="BQ44" s="53" t="str">
        <f>IF(Tim!HX46="","",Tim!HX46)</f>
        <v/>
      </c>
      <c r="BR44" s="53" t="str">
        <f>IF(Tim!HY46="","",Tim!HY46)</f>
        <v/>
      </c>
      <c r="BS44" s="53" t="str">
        <f>IF(Tim!HZ46="","",Tim!HZ46)</f>
        <v/>
      </c>
      <c r="BT44" s="53" t="str">
        <f>IF(Tim!IA46="","",Tim!IA46)</f>
        <v/>
      </c>
      <c r="BU44" s="55" t="str">
        <f>IF(Tim!IB46="","",Tim!IB46)</f>
        <v/>
      </c>
      <c r="BV44" s="53" t="str">
        <f>IF(Tim!IF46="","",Tim!IF46)</f>
        <v/>
      </c>
      <c r="BW44" s="53" t="str">
        <f>IF(Tim!IG46="","",Tim!IG46)</f>
        <v/>
      </c>
      <c r="BX44" s="53" t="str">
        <f>IF(Tim!IH46="","",Tim!IH46)</f>
        <v/>
      </c>
      <c r="BY44" s="53" t="str">
        <f>IF(Tim!II46="","",Tim!II46)</f>
        <v/>
      </c>
      <c r="BZ44" s="53" t="str">
        <f>IF(Tim!IJ46="","",Tim!IJ46)</f>
        <v/>
      </c>
      <c r="CA44" s="59" t="str">
        <f>IF(Tim!JN46="","",Tim!JN46)</f>
        <v>RF</v>
      </c>
      <c r="CB44" s="59" t="str">
        <f>IF(Tim!JO46="","",Tim!JO46)</f>
        <v/>
      </c>
      <c r="CC44" s="59" t="str">
        <f>IF(Tim!JP46="","",Tim!JP46)</f>
        <v/>
      </c>
      <c r="CD44" s="59" t="str">
        <f>IF(Tim!JQ46="","",Tim!JQ46)</f>
        <v/>
      </c>
      <c r="CE44" s="59" t="str">
        <f>IF(Tim!JR46="","",Tim!JR46)</f>
        <v/>
      </c>
      <c r="CF44" s="59" t="str">
        <f>IF(Tim!JS46="","",Tim!JS46)</f>
        <v/>
      </c>
      <c r="CG44" s="59" t="str">
        <f>IF(Tim!JT46="","",Tim!JT46)</f>
        <v/>
      </c>
      <c r="CH44" s="53" t="str">
        <f>IF(Tim!JX46="","",Tim!JX46)</f>
        <v/>
      </c>
      <c r="CI44" s="53" t="str">
        <f>IF(Tim!JY46="","",Tim!JY46)</f>
        <v/>
      </c>
      <c r="CJ44" s="53" t="str">
        <f>IF(Tim!JZ46="","",Tim!JZ46)</f>
        <v/>
      </c>
      <c r="CK44" s="53" t="str">
        <f>IF(Tim!KA46="","",Tim!KA46)</f>
        <v/>
      </c>
      <c r="CL44" s="53" t="str">
        <f>IF(Tim!KB46="","",Tim!KB46)</f>
        <v/>
      </c>
      <c r="CM44" s="52">
        <v>0.69791666666666596</v>
      </c>
    </row>
    <row r="45" spans="2:91" ht="10.5" customHeight="1">
      <c r="B45" s="51">
        <v>0.25</v>
      </c>
      <c r="C45" s="51">
        <v>0.25</v>
      </c>
      <c r="D45" s="51">
        <v>0.25</v>
      </c>
      <c r="E45" s="172">
        <v>0.70833333333333204</v>
      </c>
      <c r="F45" s="56" t="str">
        <f>IF(Tim!F47="","",Tim!F47)</f>
        <v>MS</v>
      </c>
      <c r="G45" s="53" t="str">
        <f>IF(Tim!G47="","",Tim!G47)</f>
        <v/>
      </c>
      <c r="H45" s="53" t="str">
        <f>IF(Tim!H47="","",Tim!H47)</f>
        <v/>
      </c>
      <c r="I45" s="53" t="str">
        <f>IF(Tim!I47="","",Tim!I47)</f>
        <v/>
      </c>
      <c r="J45" s="53" t="str">
        <f>IF(Tim!J47="","",Tim!J47)</f>
        <v/>
      </c>
      <c r="K45" s="53" t="str">
        <f>IF(Tim!K47="","",Tim!K47)</f>
        <v/>
      </c>
      <c r="L45" s="53" t="str">
        <f>IF(Tim!L47="","",Tim!L47)</f>
        <v/>
      </c>
      <c r="M45" s="53" t="str">
        <f>IF(Tim!P47="","",Tim!P47)</f>
        <v/>
      </c>
      <c r="N45" s="53" t="str">
        <f>IF(Tim!Q47="","",Tim!Q47)</f>
        <v/>
      </c>
      <c r="O45" s="53" t="str">
        <f>IF(Tim!R47="","",Tim!R47)</f>
        <v/>
      </c>
      <c r="P45" s="53" t="str">
        <f>IF(Tim!S47="","",Tim!S47)</f>
        <v/>
      </c>
      <c r="Q45" s="55" t="str">
        <f>IF(Tim!T47="","",Tim!T47)</f>
        <v/>
      </c>
      <c r="R45" s="56" t="str">
        <f>IF(Tim!AY47="","",Tim!AY47)</f>
        <v>LA</v>
      </c>
      <c r="S45" s="53" t="str">
        <f>IF(Tim!AZ47="","",Tim!AZ47)</f>
        <v/>
      </c>
      <c r="T45" s="53" t="str">
        <f>IF(Tim!BA47="","",Tim!BA47)</f>
        <v/>
      </c>
      <c r="U45" s="53" t="str">
        <f>IF(Tim!BB47="","",Tim!BB47)</f>
        <v/>
      </c>
      <c r="V45" s="53" t="str">
        <f>IF(Tim!BC47="","",Tim!BC47)</f>
        <v/>
      </c>
      <c r="W45" s="53" t="str">
        <f>IF(Tim!BD47="","",Tim!BD47)</f>
        <v/>
      </c>
      <c r="X45" s="53" t="str">
        <f>IF(Tim!BE47="","",Tim!BE47)</f>
        <v/>
      </c>
      <c r="Y45" s="53" t="str">
        <f>IF(Tim!BF47="","",Tim!BF47)</f>
        <v/>
      </c>
      <c r="Z45" s="53" t="str">
        <f>IF(Tim!BI47="","",Tim!BI47)</f>
        <v/>
      </c>
      <c r="AA45" s="53" t="str">
        <f>IF(Tim!BJ47="","",Tim!BJ47)</f>
        <v>LF</v>
      </c>
      <c r="AB45" s="53" t="str">
        <f>IF(Tim!BK47="","",Tim!BK47)</f>
        <v/>
      </c>
      <c r="AC45" s="53" t="str">
        <f>IF(Tim!BL47="","",Tim!BL47)</f>
        <v/>
      </c>
      <c r="AD45" s="55" t="str">
        <f>IF(Tim!BM47="","",Tim!BM47)</f>
        <v/>
      </c>
      <c r="AE45" s="56" t="str">
        <f>IF(Tim!CQ47="","",Tim!CQ47)</f>
        <v>CR</v>
      </c>
      <c r="AF45" s="53" t="str">
        <f>IF(Tim!CR47="","",Tim!CR47)</f>
        <v/>
      </c>
      <c r="AG45" s="53" t="str">
        <f>IF(Tim!CS47="","",Tim!CS47)</f>
        <v/>
      </c>
      <c r="AH45" s="53" t="str">
        <f>IF(Tim!CT47="","",Tim!CT47)</f>
        <v/>
      </c>
      <c r="AI45" s="53" t="str">
        <f>IF(Tim!CU47="","",Tim!CU47)</f>
        <v/>
      </c>
      <c r="AJ45" s="53" t="str">
        <f>IF(Tim!CV47="","",Tim!CV47)</f>
        <v/>
      </c>
      <c r="AK45" s="53" t="str">
        <f>IF(Tim!CW47="","",Tim!CW47)</f>
        <v/>
      </c>
      <c r="AL45" s="53" t="str">
        <f>IF(Tim!DA47="","",Tim!DA47)</f>
        <v/>
      </c>
      <c r="AM45" s="53" t="str">
        <f>IF(Tim!DB47="","",Tim!DB47)</f>
        <v/>
      </c>
      <c r="AN45" s="53" t="str">
        <f>IF(Tim!DC47="","",Tim!DC47)</f>
        <v/>
      </c>
      <c r="AO45" s="53" t="str">
        <f>IF(Tim!DD47="","",Tim!DD47)</f>
        <v/>
      </c>
      <c r="AP45" s="53" t="str">
        <f>IF(Tim!DE47="","",Tim!DE47)</f>
        <v/>
      </c>
      <c r="AQ45" s="56" t="str">
        <f>IF(Tim!EL47="","",Tim!EL47)</f>
        <v>LA</v>
      </c>
      <c r="AR45" s="53" t="str">
        <f>IF(Tim!EM47="","",Tim!EM47)</f>
        <v/>
      </c>
      <c r="AS45" s="53" t="str">
        <f>IF(Tim!EN47="","",Tim!EN47)</f>
        <v/>
      </c>
      <c r="AT45" s="53" t="str">
        <f>IF(Tim!EO47="","",Tim!EO47)</f>
        <v/>
      </c>
      <c r="AU45" s="53" t="str">
        <f>IF(Tim!EP47="","",Tim!EP47)</f>
        <v/>
      </c>
      <c r="AV45" s="53" t="str">
        <f>IF(Tim!EQ47="","",Tim!EQ47)</f>
        <v/>
      </c>
      <c r="AW45" s="53" t="str">
        <f>IF(Tim!ER47="","",Tim!ER47)</f>
        <v/>
      </c>
      <c r="AX45" s="53" t="str">
        <f>IF(Tim!EV47="","",Tim!EV47)</f>
        <v/>
      </c>
      <c r="AY45" s="53" t="str">
        <f>IF(Tim!EW47="","",Tim!EW47)</f>
        <v/>
      </c>
      <c r="AZ45" s="53" t="str">
        <f>IF(Tim!EX47="","",Tim!EX47)</f>
        <v/>
      </c>
      <c r="BA45" s="53" t="str">
        <f>IF(Tim!EY47="","",Tim!EY47)</f>
        <v/>
      </c>
      <c r="BB45" s="53" t="str">
        <f>IF(Tim!EZ47="","",Tim!EZ47)</f>
        <v/>
      </c>
      <c r="BC45" s="56" t="str">
        <f>IF(Tim!GD47="","",Tim!GD47)</f>
        <v>RF</v>
      </c>
      <c r="BD45" s="53" t="str">
        <f>IF(Tim!GE47="","",Tim!GE47)</f>
        <v/>
      </c>
      <c r="BE45" s="53" t="str">
        <f>IF(Tim!GF47="","",Tim!GF47)</f>
        <v/>
      </c>
      <c r="BF45" s="53" t="str">
        <f>IF(Tim!GG47="","",Tim!GG47)</f>
        <v/>
      </c>
      <c r="BG45" s="53" t="str">
        <f>IF(Tim!GH47="","",Tim!GH47)</f>
        <v/>
      </c>
      <c r="BH45" s="53" t="str">
        <f>IF(Tim!GI47="","",Tim!GI47)</f>
        <v/>
      </c>
      <c r="BI45" s="53" t="str">
        <f>IF(Tim!GJ47="","",Tim!GJ47)</f>
        <v/>
      </c>
      <c r="BJ45" s="53" t="str">
        <f>IF(Tim!GN47="","",Tim!GN47)</f>
        <v/>
      </c>
      <c r="BK45" s="53" t="str">
        <f>IF(Tim!GO47="","",Tim!GO47)</f>
        <v/>
      </c>
      <c r="BL45" s="53" t="str">
        <f>IF(Tim!GP47="","",Tim!GP47)</f>
        <v/>
      </c>
      <c r="BM45" s="53" t="str">
        <f>IF(Tim!GQ47="","",Tim!GQ47)</f>
        <v/>
      </c>
      <c r="BN45" s="53" t="str">
        <f>IF(Tim!GR47="","",Tim!GR47)</f>
        <v/>
      </c>
      <c r="BO45" s="56" t="str">
        <f>IF(Tim!HV47="","",Tim!HV47)</f>
        <v>RF</v>
      </c>
      <c r="BP45" s="53" t="str">
        <f>IF(Tim!HW47="","",Tim!HW47)</f>
        <v/>
      </c>
      <c r="BQ45" s="53" t="str">
        <f>IF(Tim!HX47="","",Tim!HX47)</f>
        <v/>
      </c>
      <c r="BR45" s="53" t="str">
        <f>IF(Tim!HY47="","",Tim!HY47)</f>
        <v/>
      </c>
      <c r="BS45" s="53" t="str">
        <f>IF(Tim!HZ47="","",Tim!HZ47)</f>
        <v/>
      </c>
      <c r="BT45" s="53" t="str">
        <f>IF(Tim!IA47="","",Tim!IA47)</f>
        <v/>
      </c>
      <c r="BU45" s="55" t="str">
        <f>IF(Tim!IB47="","",Tim!IB47)</f>
        <v/>
      </c>
      <c r="BV45" s="53" t="str">
        <f>IF(Tim!IF47="","",Tim!IF47)</f>
        <v/>
      </c>
      <c r="BW45" s="53" t="str">
        <f>IF(Tim!IG47="","",Tim!IG47)</f>
        <v/>
      </c>
      <c r="BX45" s="53" t="str">
        <f>IF(Tim!IH47="","",Tim!IH47)</f>
        <v/>
      </c>
      <c r="BY45" s="53" t="str">
        <f>IF(Tim!II47="","",Tim!II47)</f>
        <v/>
      </c>
      <c r="BZ45" s="53" t="str">
        <f>IF(Tim!IJ47="","",Tim!IJ47)</f>
        <v/>
      </c>
      <c r="CA45" s="59" t="str">
        <f>IF(Tim!JN47="","",Tim!JN47)</f>
        <v>RF</v>
      </c>
      <c r="CB45" s="59" t="str">
        <f>IF(Tim!JO47="","",Tim!JO47)</f>
        <v/>
      </c>
      <c r="CC45" s="59" t="str">
        <f>IF(Tim!JP47="","",Tim!JP47)</f>
        <v/>
      </c>
      <c r="CD45" s="59" t="str">
        <f>IF(Tim!JQ47="","",Tim!JQ47)</f>
        <v/>
      </c>
      <c r="CE45" s="59" t="str">
        <f>IF(Tim!JR47="","",Tim!JR47)</f>
        <v/>
      </c>
      <c r="CF45" s="59" t="str">
        <f>IF(Tim!JS47="","",Tim!JS47)</f>
        <v/>
      </c>
      <c r="CG45" s="59" t="str">
        <f>IF(Tim!JT47="","",Tim!JT47)</f>
        <v/>
      </c>
      <c r="CH45" s="53" t="str">
        <f>IF(Tim!JX47="","",Tim!JX47)</f>
        <v/>
      </c>
      <c r="CI45" s="53" t="str">
        <f>IF(Tim!JY47="","",Tim!JY47)</f>
        <v/>
      </c>
      <c r="CJ45" s="53" t="str">
        <f>IF(Tim!JZ47="","",Tim!JZ47)</f>
        <v/>
      </c>
      <c r="CK45" s="53" t="str">
        <f>IF(Tim!KA47="","",Tim!KA47)</f>
        <v/>
      </c>
      <c r="CL45" s="53" t="str">
        <f>IF(Tim!KB47="","",Tim!KB47)</f>
        <v/>
      </c>
      <c r="CM45" s="52">
        <v>0.70833333333333204</v>
      </c>
    </row>
    <row r="46" spans="2:91" ht="10.5" customHeight="1">
      <c r="B46" s="51">
        <v>0.25</v>
      </c>
      <c r="C46" s="51">
        <v>0.25</v>
      </c>
      <c r="D46" s="51">
        <v>0.25</v>
      </c>
      <c r="E46" s="172">
        <v>0.718749999999999</v>
      </c>
      <c r="F46" s="56" t="str">
        <f>IF(Tim!F48="","",Tim!F48)</f>
        <v>MS</v>
      </c>
      <c r="G46" s="53" t="str">
        <f>IF(Tim!G48="","",Tim!G48)</f>
        <v/>
      </c>
      <c r="H46" s="53" t="str">
        <f>IF(Tim!H48="","",Tim!H48)</f>
        <v/>
      </c>
      <c r="I46" s="53" t="str">
        <f>IF(Tim!I48="","",Tim!I48)</f>
        <v/>
      </c>
      <c r="J46" s="53" t="str">
        <f>IF(Tim!J48="","",Tim!J48)</f>
        <v/>
      </c>
      <c r="K46" s="53" t="str">
        <f>IF(Tim!K48="","",Tim!K48)</f>
        <v/>
      </c>
      <c r="L46" s="53" t="str">
        <f>IF(Tim!L48="","",Tim!L48)</f>
        <v/>
      </c>
      <c r="M46" s="53" t="str">
        <f>IF(Tim!P48="","",Tim!P48)</f>
        <v/>
      </c>
      <c r="N46" s="53" t="str">
        <f>IF(Tim!Q48="","",Tim!Q48)</f>
        <v/>
      </c>
      <c r="O46" s="53" t="str">
        <f>IF(Tim!R48="","",Tim!R48)</f>
        <v/>
      </c>
      <c r="P46" s="53" t="str">
        <f>IF(Tim!S48="","",Tim!S48)</f>
        <v/>
      </c>
      <c r="Q46" s="55" t="str">
        <f>IF(Tim!T48="","",Tim!T48)</f>
        <v/>
      </c>
      <c r="R46" s="56" t="str">
        <f>IF(Tim!AY48="","",Tim!AY48)</f>
        <v>LA</v>
      </c>
      <c r="S46" s="53" t="str">
        <f>IF(Tim!AZ48="","",Tim!AZ48)</f>
        <v/>
      </c>
      <c r="T46" s="53" t="str">
        <f>IF(Tim!BA48="","",Tim!BA48)</f>
        <v/>
      </c>
      <c r="U46" s="53" t="str">
        <f>IF(Tim!BB48="","",Tim!BB48)</f>
        <v/>
      </c>
      <c r="V46" s="53" t="str">
        <f>IF(Tim!BC48="","",Tim!BC48)</f>
        <v/>
      </c>
      <c r="W46" s="53" t="str">
        <f>IF(Tim!BD48="","",Tim!BD48)</f>
        <v/>
      </c>
      <c r="X46" s="53" t="str">
        <f>IF(Tim!BE48="","",Tim!BE48)</f>
        <v/>
      </c>
      <c r="Y46" s="53" t="str">
        <f>IF(Tim!BF48="","",Tim!BF48)</f>
        <v/>
      </c>
      <c r="Z46" s="53" t="str">
        <f>IF(Tim!BI48="","",Tim!BI48)</f>
        <v/>
      </c>
      <c r="AA46" s="53" t="str">
        <f>IF(Tim!BJ48="","",Tim!BJ48)</f>
        <v>LF</v>
      </c>
      <c r="AB46" s="53" t="str">
        <f>IF(Tim!BK48="","",Tim!BK48)</f>
        <v/>
      </c>
      <c r="AC46" s="53" t="str">
        <f>IF(Tim!BL48="","",Tim!BL48)</f>
        <v/>
      </c>
      <c r="AD46" s="55" t="str">
        <f>IF(Tim!BM48="","",Tim!BM48)</f>
        <v/>
      </c>
      <c r="AE46" s="56" t="str">
        <f>IF(Tim!CQ48="","",Tim!CQ48)</f>
        <v>CR</v>
      </c>
      <c r="AF46" s="53" t="str">
        <f>IF(Tim!CR48="","",Tim!CR48)</f>
        <v/>
      </c>
      <c r="AG46" s="53" t="str">
        <f>IF(Tim!CS48="","",Tim!CS48)</f>
        <v/>
      </c>
      <c r="AH46" s="53" t="str">
        <f>IF(Tim!CT48="","",Tim!CT48)</f>
        <v/>
      </c>
      <c r="AI46" s="53" t="str">
        <f>IF(Tim!CU48="","",Tim!CU48)</f>
        <v/>
      </c>
      <c r="AJ46" s="53" t="str">
        <f>IF(Tim!CV48="","",Tim!CV48)</f>
        <v/>
      </c>
      <c r="AK46" s="53" t="str">
        <f>IF(Tim!CW48="","",Tim!CW48)</f>
        <v/>
      </c>
      <c r="AL46" s="53" t="str">
        <f>IF(Tim!DA48="","",Tim!DA48)</f>
        <v/>
      </c>
      <c r="AM46" s="53" t="str">
        <f>IF(Tim!DB48="","",Tim!DB48)</f>
        <v/>
      </c>
      <c r="AN46" s="53" t="str">
        <f>IF(Tim!DC48="","",Tim!DC48)</f>
        <v/>
      </c>
      <c r="AO46" s="53" t="str">
        <f>IF(Tim!DD48="","",Tim!DD48)</f>
        <v/>
      </c>
      <c r="AP46" s="53" t="str">
        <f>IF(Tim!DE48="","",Tim!DE48)</f>
        <v/>
      </c>
      <c r="AQ46" s="56" t="str">
        <f>IF(Tim!EL48="","",Tim!EL48)</f>
        <v>LA</v>
      </c>
      <c r="AR46" s="53" t="str">
        <f>IF(Tim!EM48="","",Tim!EM48)</f>
        <v/>
      </c>
      <c r="AS46" s="53" t="str">
        <f>IF(Tim!EN48="","",Tim!EN48)</f>
        <v/>
      </c>
      <c r="AT46" s="53" t="str">
        <f>IF(Tim!EO48="","",Tim!EO48)</f>
        <v/>
      </c>
      <c r="AU46" s="53" t="str">
        <f>IF(Tim!EP48="","",Tim!EP48)</f>
        <v/>
      </c>
      <c r="AV46" s="53" t="str">
        <f>IF(Tim!EQ48="","",Tim!EQ48)</f>
        <v/>
      </c>
      <c r="AW46" s="53" t="str">
        <f>IF(Tim!ER48="","",Tim!ER48)</f>
        <v/>
      </c>
      <c r="AX46" s="53" t="str">
        <f>IF(Tim!EV44="","",Tim!EV44)</f>
        <v/>
      </c>
      <c r="AY46" s="53" t="str">
        <f>IF(Tim!EW48="","",Tim!EW48)</f>
        <v/>
      </c>
      <c r="AZ46" s="53" t="str">
        <f>IF(Tim!EX48="","",Tim!EX48)</f>
        <v/>
      </c>
      <c r="BA46" s="53" t="str">
        <f>IF(Tim!EY48="","",Tim!EY48)</f>
        <v/>
      </c>
      <c r="BB46" s="53" t="str">
        <f>IF(Tim!EZ48="","",Tim!EZ48)</f>
        <v/>
      </c>
      <c r="BC46" s="56" t="str">
        <f>IF(Tim!GD48="","",Tim!GD48)</f>
        <v>RF</v>
      </c>
      <c r="BD46" s="53" t="str">
        <f>IF(Tim!GE48="","",Tim!GE48)</f>
        <v>HA</v>
      </c>
      <c r="BE46" s="53" t="str">
        <f>IF(Tim!GF48="","",Tim!GF48)</f>
        <v/>
      </c>
      <c r="BF46" s="53" t="str">
        <f>IF(Tim!GG48="","",Tim!GG48)</f>
        <v/>
      </c>
      <c r="BG46" s="53" t="str">
        <f>IF(Tim!GH48="","",Tim!GH48)</f>
        <v/>
      </c>
      <c r="BH46" s="53" t="str">
        <f>IF(Tim!GI48="","",Tim!GI48)</f>
        <v/>
      </c>
      <c r="BI46" s="53" t="str">
        <f>IF(Tim!GJ48="","",Tim!GJ48)</f>
        <v/>
      </c>
      <c r="BJ46" s="53" t="str">
        <f>IF(Tim!GN48="","",Tim!GN48)</f>
        <v/>
      </c>
      <c r="BK46" s="53" t="str">
        <f>IF(Tim!GO48="","",Tim!GO48)</f>
        <v/>
      </c>
      <c r="BL46" s="53" t="str">
        <f>IF(Tim!GP48="","",Tim!GP48)</f>
        <v/>
      </c>
      <c r="BM46" s="53" t="str">
        <f>IF(Tim!GQ48="","",Tim!GQ48)</f>
        <v/>
      </c>
      <c r="BN46" s="53" t="str">
        <f>IF(Tim!GR48="","",Tim!GR48)</f>
        <v/>
      </c>
      <c r="BO46" s="56" t="str">
        <f>IF(Tim!HV48="","",Tim!HV48)</f>
        <v>RF</v>
      </c>
      <c r="BP46" s="53" t="str">
        <f>IF(Tim!HW48="","",Tim!HW48)</f>
        <v/>
      </c>
      <c r="BQ46" s="53" t="str">
        <f>IF(Tim!HX48="","",Tim!HX48)</f>
        <v/>
      </c>
      <c r="BR46" s="53" t="str">
        <f>IF(Tim!HY48="","",Tim!HY48)</f>
        <v/>
      </c>
      <c r="BS46" s="53" t="str">
        <f>IF(Tim!HZ48="","",Tim!HZ48)</f>
        <v/>
      </c>
      <c r="BT46" s="53" t="str">
        <f>IF(Tim!IA48="","",Tim!IA48)</f>
        <v/>
      </c>
      <c r="BU46" s="55" t="str">
        <f>IF(Tim!IB48="","",Tim!IB48)</f>
        <v/>
      </c>
      <c r="BV46" s="53" t="str">
        <f>IF(Tim!IF48="","",Tim!IF48)</f>
        <v/>
      </c>
      <c r="BW46" s="53" t="str">
        <f>IF(Tim!IG48="","",Tim!IG48)</f>
        <v/>
      </c>
      <c r="BX46" s="53" t="str">
        <f>IF(Tim!IH48="","",Tim!IH48)</f>
        <v/>
      </c>
      <c r="BY46" s="53" t="str">
        <f>IF(Tim!II48="","",Tim!II48)</f>
        <v/>
      </c>
      <c r="BZ46" s="53" t="str">
        <f>IF(Tim!IJ48="","",Tim!IJ48)</f>
        <v/>
      </c>
      <c r="CA46" s="59" t="str">
        <f>IF(Tim!JN48="","",Tim!JN48)</f>
        <v>RF</v>
      </c>
      <c r="CB46" s="59" t="str">
        <f>IF(Tim!JO48="","",Tim!JO48)</f>
        <v/>
      </c>
      <c r="CC46" s="59" t="str">
        <f>IF(Tim!JP48="","",Tim!JP48)</f>
        <v/>
      </c>
      <c r="CD46" s="59" t="str">
        <f>IF(Tim!JQ48="","",Tim!JQ48)</f>
        <v/>
      </c>
      <c r="CE46" s="59" t="str">
        <f>IF(Tim!JR48="","",Tim!JR48)</f>
        <v/>
      </c>
      <c r="CF46" s="59" t="str">
        <f>IF(Tim!JS48="","",Tim!JS48)</f>
        <v/>
      </c>
      <c r="CG46" s="59" t="str">
        <f>IF(Tim!JT48="","",Tim!JT48)</f>
        <v/>
      </c>
      <c r="CH46" s="53" t="str">
        <f>IF(Tim!JX48="","",Tim!JX48)</f>
        <v/>
      </c>
      <c r="CI46" s="53" t="str">
        <f>IF(Tim!JY48="","",Tim!JY48)</f>
        <v/>
      </c>
      <c r="CJ46" s="53" t="str">
        <f>IF(Tim!JZ48="","",Tim!JZ48)</f>
        <v/>
      </c>
      <c r="CK46" s="53" t="str">
        <f>IF(Tim!KA48="","",Tim!KA48)</f>
        <v/>
      </c>
      <c r="CL46" s="53" t="str">
        <f>IF(Tim!KB48="","",Tim!KB48)</f>
        <v/>
      </c>
      <c r="CM46" s="52">
        <v>0.718749999999999</v>
      </c>
    </row>
    <row r="47" spans="2:91" ht="10.5" customHeight="1">
      <c r="B47" s="51">
        <v>0.25</v>
      </c>
      <c r="C47" s="51">
        <v>0.25</v>
      </c>
      <c r="D47" s="51">
        <v>0.25</v>
      </c>
      <c r="E47" s="172">
        <v>0.72916666666666496</v>
      </c>
      <c r="F47" s="56" t="str">
        <f>IF(Tim!F49="","",Tim!F49)</f>
        <v>MS</v>
      </c>
      <c r="G47" s="53" t="str">
        <f>IF(Tim!G49="","",Tim!G49)</f>
        <v/>
      </c>
      <c r="H47" s="53" t="str">
        <f>IF(Tim!H49="","",Tim!H49)</f>
        <v/>
      </c>
      <c r="I47" s="53" t="str">
        <f>IF(Tim!I49="","",Tim!I49)</f>
        <v/>
      </c>
      <c r="J47" s="53" t="str">
        <f>IF(Tim!J49="","",Tim!J49)</f>
        <v/>
      </c>
      <c r="K47" s="53" t="str">
        <f>IF(Tim!K49="","",Tim!K49)</f>
        <v/>
      </c>
      <c r="L47" s="53" t="str">
        <f>IF(Tim!L49="","",Tim!L49)</f>
        <v/>
      </c>
      <c r="M47" s="53" t="str">
        <f>IF(Tim!P49="","",Tim!P49)</f>
        <v/>
      </c>
      <c r="N47" s="53" t="str">
        <f>IF(Tim!Q49="","",Tim!Q49)</f>
        <v>LF</v>
      </c>
      <c r="O47" s="53" t="str">
        <f>IF(Tim!R49="","",Tim!R49)</f>
        <v/>
      </c>
      <c r="P47" s="53" t="str">
        <f>IF(Tim!S49="","",Tim!S49)</f>
        <v/>
      </c>
      <c r="Q47" s="55" t="str">
        <f>IF(Tim!T49="","",Tim!T49)</f>
        <v/>
      </c>
      <c r="R47" s="56" t="str">
        <f>IF(Tim!AY49="","",Tim!AY49)</f>
        <v>LA</v>
      </c>
      <c r="S47" s="53" t="str">
        <f>IF(Tim!AZ49="","",Tim!AZ49)</f>
        <v/>
      </c>
      <c r="T47" s="53" t="str">
        <f>IF(Tim!BA49="","",Tim!BA49)</f>
        <v/>
      </c>
      <c r="U47" s="53" t="str">
        <f>IF(Tim!BB49="","",Tim!BB49)</f>
        <v/>
      </c>
      <c r="V47" s="53" t="str">
        <f>IF(Tim!BC49="","",Tim!BC49)</f>
        <v/>
      </c>
      <c r="W47" s="53" t="str">
        <f>IF(Tim!BD49="","",Tim!BD49)</f>
        <v/>
      </c>
      <c r="X47" s="53" t="str">
        <f>IF(Tim!BE49="","",Tim!BE49)</f>
        <v/>
      </c>
      <c r="Y47" s="53" t="str">
        <f>IF(Tim!BF49="","",Tim!BF49)</f>
        <v>HA</v>
      </c>
      <c r="Z47" s="53" t="str">
        <f>IF(Tim!BI49="","",Tim!BI49)</f>
        <v/>
      </c>
      <c r="AA47" s="53" t="str">
        <f>IF(Tim!BJ49="","",Tim!BJ49)</f>
        <v/>
      </c>
      <c r="AB47" s="53" t="str">
        <f>IF(Tim!BK49="","",Tim!BK49)</f>
        <v/>
      </c>
      <c r="AC47" s="53" t="str">
        <f>IF(Tim!BL49="","",Tim!BL49)</f>
        <v/>
      </c>
      <c r="AD47" s="55" t="str">
        <f>IF(Tim!BM49="","",Tim!BM49)</f>
        <v/>
      </c>
      <c r="AE47" s="56" t="str">
        <f>IF(Tim!CQ49="","",Tim!CQ49)</f>
        <v>MS</v>
      </c>
      <c r="AF47" s="53" t="str">
        <f>IF(Tim!CR49="","",Tim!CR49)</f>
        <v/>
      </c>
      <c r="AG47" s="53" t="str">
        <f>IF(Tim!CS49="","",Tim!CS49)</f>
        <v/>
      </c>
      <c r="AH47" s="53" t="str">
        <f>IF(Tim!CT49="","",Tim!CT49)</f>
        <v/>
      </c>
      <c r="AI47" s="53" t="str">
        <f>IF(Tim!CU49="","",Tim!CU49)</f>
        <v/>
      </c>
      <c r="AJ47" s="53" t="str">
        <f>IF(Tim!CV49="","",Tim!CV49)</f>
        <v/>
      </c>
      <c r="AK47" s="53" t="str">
        <f>IF(Tim!CW49="","",Tim!CW49)</f>
        <v/>
      </c>
      <c r="AL47" s="53" t="str">
        <f>IF(Tim!DA49="","",Tim!DA49)</f>
        <v/>
      </c>
      <c r="AM47" s="53" t="str">
        <f>IF(Tim!DB49="","",Tim!DB49)</f>
        <v/>
      </c>
      <c r="AN47" s="53" t="str">
        <f>IF(Tim!DC49="","",Tim!DC49)</f>
        <v>CR</v>
      </c>
      <c r="AO47" s="53" t="str">
        <f>IF(Tim!DD49="","",Tim!DD49)</f>
        <v/>
      </c>
      <c r="AP47" s="53" t="str">
        <f>IF(Tim!DE49="","",Tim!DE49)</f>
        <v/>
      </c>
      <c r="AQ47" s="56" t="str">
        <f>IF(Tim!EL49="","",Tim!EL49)</f>
        <v>LA</v>
      </c>
      <c r="AR47" s="53" t="str">
        <f>IF(Tim!EM49="","",Tim!EM49)</f>
        <v/>
      </c>
      <c r="AS47" s="53" t="str">
        <f>IF(Tim!EN49="","",Tim!EN49)</f>
        <v/>
      </c>
      <c r="AT47" s="53" t="str">
        <f>IF(Tim!EO49="","",Tim!EO49)</f>
        <v/>
      </c>
      <c r="AU47" s="53" t="str">
        <f>IF(Tim!EP49="","",Tim!EP49)</f>
        <v/>
      </c>
      <c r="AV47" s="53" t="str">
        <f>IF(Tim!EQ49="","",Tim!EQ49)</f>
        <v/>
      </c>
      <c r="AW47" s="53" t="str">
        <f>IF(Tim!ER49="","",Tim!ER49)</f>
        <v/>
      </c>
      <c r="AX47" s="53" t="str">
        <f>IF(Tim!EV49="","",Tim!EV49)</f>
        <v/>
      </c>
      <c r="AY47" s="53" t="str">
        <f>IF(Tim!EW49="","",Tim!EW49)</f>
        <v/>
      </c>
      <c r="AZ47" s="53" t="str">
        <f>IF(Tim!EX49="","",Tim!EX49)</f>
        <v/>
      </c>
      <c r="BA47" s="53" t="str">
        <f>IF(Tim!EY49="","",Tim!EY49)</f>
        <v/>
      </c>
      <c r="BB47" s="53" t="str">
        <f>IF(Tim!EZ49="","",Tim!EZ49)</f>
        <v/>
      </c>
      <c r="BC47" s="56" t="str">
        <f>IF(Tim!GD49="","",Tim!GD49)</f>
        <v>RF</v>
      </c>
      <c r="BD47" s="53" t="str">
        <f>IF(Tim!GE49="","",Tim!GE49)</f>
        <v/>
      </c>
      <c r="BE47" s="53" t="str">
        <f>IF(Tim!GF49="","",Tim!GF49)</f>
        <v/>
      </c>
      <c r="BF47" s="53" t="str">
        <f>IF(Tim!GG49="","",Tim!GG49)</f>
        <v/>
      </c>
      <c r="BG47" s="53" t="str">
        <f>IF(Tim!GH49="","",Tim!GH49)</f>
        <v/>
      </c>
      <c r="BH47" s="53" t="str">
        <f>IF(Tim!GI49="","",Tim!GI49)</f>
        <v/>
      </c>
      <c r="BI47" s="53" t="str">
        <f>IF(Tim!GJ49="","",Tim!GJ49)</f>
        <v/>
      </c>
      <c r="BJ47" s="53" t="str">
        <f>IF(Tim!GN49="","",Tim!GN49)</f>
        <v/>
      </c>
      <c r="BK47" s="53" t="str">
        <f>IF(Tim!GO49="","",Tim!GO49)</f>
        <v/>
      </c>
      <c r="BL47" s="53" t="str">
        <f>IF(Tim!GP49="","",Tim!GP49)</f>
        <v/>
      </c>
      <c r="BM47" s="53" t="str">
        <f>IF(Tim!GQ49="","",Tim!GQ49)</f>
        <v/>
      </c>
      <c r="BN47" s="53" t="str">
        <f>IF(Tim!GR49="","",Tim!GR49)</f>
        <v/>
      </c>
      <c r="BO47" s="56" t="str">
        <f>IF(Tim!HV49="","",Tim!HV49)</f>
        <v>LA</v>
      </c>
      <c r="BP47" s="53" t="str">
        <f>IF(Tim!HW49="","",Tim!HW49)</f>
        <v/>
      </c>
      <c r="BQ47" s="53" t="str">
        <f>IF(Tim!HX49="","",Tim!HX49)</f>
        <v/>
      </c>
      <c r="BR47" s="53" t="str">
        <f>IF(Tim!HY49="","",Tim!HY49)</f>
        <v/>
      </c>
      <c r="BS47" s="53" t="str">
        <f>IF(Tim!HZ49="","",Tim!HZ49)</f>
        <v/>
      </c>
      <c r="BT47" s="53" t="str">
        <f>IF(Tim!IA49="","",Tim!IA49)</f>
        <v/>
      </c>
      <c r="BU47" s="55" t="str">
        <f>IF(Tim!IB49="","",Tim!IB49)</f>
        <v/>
      </c>
      <c r="BV47" s="53" t="str">
        <f>IF(Tim!IF49="","",Tim!IF49)</f>
        <v/>
      </c>
      <c r="BW47" s="53" t="str">
        <f>IF(Tim!IG49="","",Tim!IG49)</f>
        <v/>
      </c>
      <c r="BX47" s="53" t="str">
        <f>IF(Tim!IH49="","",Tim!IH49)</f>
        <v/>
      </c>
      <c r="BY47" s="53" t="str">
        <f>IF(Tim!II49="","",Tim!II49)</f>
        <v/>
      </c>
      <c r="BZ47" s="53" t="str">
        <f>IF(Tim!IJ49="","",Tim!IJ49)</f>
        <v/>
      </c>
      <c r="CA47" s="59" t="str">
        <f>IF(Tim!JN49="","",Tim!JN49)</f>
        <v>RF</v>
      </c>
      <c r="CB47" s="59" t="str">
        <f>IF(Tim!JO49="","",Tim!JO49)</f>
        <v/>
      </c>
      <c r="CC47" s="59" t="str">
        <f>IF(Tim!JP49="","",Tim!JP49)</f>
        <v/>
      </c>
      <c r="CD47" s="59" t="str">
        <f>IF(Tim!JQ49="","",Tim!JQ49)</f>
        <v/>
      </c>
      <c r="CE47" s="59" t="str">
        <f>IF(Tim!JR49="","",Tim!JR49)</f>
        <v/>
      </c>
      <c r="CF47" s="59" t="str">
        <f>IF(Tim!JS49="","",Tim!JS49)</f>
        <v/>
      </c>
      <c r="CG47" s="59" t="str">
        <f>IF(Tim!JT49="","",Tim!JT49)</f>
        <v/>
      </c>
      <c r="CH47" s="53" t="str">
        <f>IF(Tim!JX49="","",Tim!JX49)</f>
        <v/>
      </c>
      <c r="CI47" s="53" t="str">
        <f>IF(Tim!JY49="","",Tim!JY49)</f>
        <v/>
      </c>
      <c r="CJ47" s="53" t="str">
        <f>IF(Tim!JZ49="","",Tim!JZ49)</f>
        <v/>
      </c>
      <c r="CK47" s="53" t="str">
        <f>IF(Tim!KA49="","",Tim!KA49)</f>
        <v/>
      </c>
      <c r="CL47" s="53" t="str">
        <f>IF(Tim!KB49="","",Tim!KB49)</f>
        <v/>
      </c>
      <c r="CM47" s="52">
        <v>0.72916666666666496</v>
      </c>
    </row>
    <row r="48" spans="2:91" ht="11.7" customHeight="1">
      <c r="B48" s="51">
        <v>0.25</v>
      </c>
      <c r="C48" s="51">
        <v>0.25</v>
      </c>
      <c r="D48" s="51">
        <v>0.25</v>
      </c>
      <c r="E48" s="172">
        <v>0.73958333333333204</v>
      </c>
      <c r="F48" s="56" t="str">
        <f>IF(Tim!F50="","",Tim!F50)</f>
        <v>MS</v>
      </c>
      <c r="G48" s="53" t="str">
        <f>IF(Tim!G50="","",Tim!G50)</f>
        <v/>
      </c>
      <c r="H48" s="53" t="str">
        <f>IF(Tim!H50="","",Tim!H50)</f>
        <v/>
      </c>
      <c r="I48" s="53" t="str">
        <f>IF(Tim!I50="","",Tim!I50)</f>
        <v/>
      </c>
      <c r="J48" s="53" t="str">
        <f>IF(Tim!J50="","",Tim!J50)</f>
        <v/>
      </c>
      <c r="K48" s="53" t="str">
        <f>IF(Tim!K50="","",Tim!K50)</f>
        <v/>
      </c>
      <c r="L48" s="53" t="str">
        <f>IF(Tim!L50="","",Tim!L50)</f>
        <v/>
      </c>
      <c r="M48" s="53" t="str">
        <f>IF(Tim!P50="","",Tim!P50)</f>
        <v/>
      </c>
      <c r="N48" s="53" t="str">
        <f>IF(Tim!Q50="","",Tim!Q50)</f>
        <v>LF</v>
      </c>
      <c r="O48" s="53" t="str">
        <f>IF(Tim!R50="","",Tim!R50)</f>
        <v/>
      </c>
      <c r="P48" s="53" t="str">
        <f>IF(Tim!S50="","",Tim!S50)</f>
        <v/>
      </c>
      <c r="Q48" s="55" t="str">
        <f>IF(Tim!T50="","",Tim!T50)</f>
        <v/>
      </c>
      <c r="R48" s="56" t="str">
        <f>IF(Tim!AY50="","",Tim!AY50)</f>
        <v>LA</v>
      </c>
      <c r="S48" s="53" t="str">
        <f>IF(Tim!AZ50="","",Tim!AZ50)</f>
        <v>MS</v>
      </c>
      <c r="T48" s="53" t="str">
        <f>IF(Tim!BA50="","",Tim!BA50)</f>
        <v/>
      </c>
      <c r="U48" s="53" t="str">
        <f>IF(Tim!BB50="","",Tim!BB50)</f>
        <v/>
      </c>
      <c r="V48" s="53" t="str">
        <f>IF(Tim!BC50="","",Tim!BC50)</f>
        <v/>
      </c>
      <c r="W48" s="53" t="str">
        <f>IF(Tim!BD50="","",Tim!BD50)</f>
        <v/>
      </c>
      <c r="X48" s="53" t="str">
        <f>IF(Tim!BE50="","",Tim!BE50)</f>
        <v/>
      </c>
      <c r="Y48" s="53" t="str">
        <f>IF(Tim!BF50="","",Tim!BF50)</f>
        <v>HA</v>
      </c>
      <c r="Z48" s="53" t="str">
        <f>IF(Tim!BI50="","",Tim!BI50)</f>
        <v/>
      </c>
      <c r="AA48" s="53" t="str">
        <f>IF(Tim!BJ50="","",Tim!BJ50)</f>
        <v/>
      </c>
      <c r="AB48" s="53" t="str">
        <f>IF(Tim!BK50="","",Tim!BK50)</f>
        <v/>
      </c>
      <c r="AC48" s="53" t="str">
        <f>IF(Tim!BL50="","",Tim!BL50)</f>
        <v/>
      </c>
      <c r="AD48" s="55" t="str">
        <f>IF(Tim!BM50="","",Tim!BM50)</f>
        <v/>
      </c>
      <c r="AE48" s="56" t="str">
        <f>IF(Tim!CQ50="","",Tim!CQ50)</f>
        <v>MS</v>
      </c>
      <c r="AF48" s="53" t="str">
        <f>IF(Tim!CR50="","",Tim!CR50)</f>
        <v/>
      </c>
      <c r="AG48" s="53" t="str">
        <f>IF(Tim!CS50="","",Tim!CS50)</f>
        <v/>
      </c>
      <c r="AH48" s="53" t="str">
        <f>IF(Tim!CT50="","",Tim!CT50)</f>
        <v/>
      </c>
      <c r="AI48" s="53" t="str">
        <f>IF(Tim!CU50="","",Tim!CU50)</f>
        <v/>
      </c>
      <c r="AJ48" s="53" t="str">
        <f>IF(Tim!CV50="","",Tim!CV50)</f>
        <v/>
      </c>
      <c r="AK48" s="53" t="str">
        <f>IF(Tim!CW50="","",Tim!CW50)</f>
        <v/>
      </c>
      <c r="AL48" s="53" t="str">
        <f>IF(Tim!DA50="","",Tim!DA50)</f>
        <v/>
      </c>
      <c r="AM48" s="53" t="str">
        <f>IF(Tim!DB50="","",Tim!DB50)</f>
        <v/>
      </c>
      <c r="AN48" s="53" t="str">
        <f>IF(Tim!DC50="","",Tim!DC50)</f>
        <v>CR</v>
      </c>
      <c r="AO48" s="53" t="str">
        <f>IF(Tim!DD50="","",Tim!DD50)</f>
        <v/>
      </c>
      <c r="AP48" s="53" t="str">
        <f>IF(Tim!DE50="","",Tim!DE50)</f>
        <v/>
      </c>
      <c r="AQ48" s="56" t="str">
        <f>IF(Tim!EL50="","",Tim!EL50)</f>
        <v>LA</v>
      </c>
      <c r="AR48" s="53" t="str">
        <f>IF(Tim!EM50="","",Tim!EM50)</f>
        <v/>
      </c>
      <c r="AS48" s="53" t="str">
        <f>IF(Tim!EN50="","",Tim!EN50)</f>
        <v/>
      </c>
      <c r="AT48" s="53" t="str">
        <f>IF(Tim!EO50="","",Tim!EO50)</f>
        <v/>
      </c>
      <c r="AU48" s="53" t="str">
        <f>IF(Tim!EP50="","",Tim!EP50)</f>
        <v/>
      </c>
      <c r="AV48" s="53" t="str">
        <f>IF(Tim!EQ50="","",Tim!EQ50)</f>
        <v/>
      </c>
      <c r="AW48" s="53" t="str">
        <f>IF(Tim!ER50="","",Tim!ER50)</f>
        <v/>
      </c>
      <c r="AX48" s="53" t="str">
        <f>IF(Tim!EV50="","",Tim!EV50)</f>
        <v/>
      </c>
      <c r="AY48" s="53" t="str">
        <f>IF(Tim!EW50="","",Tim!EW50)</f>
        <v/>
      </c>
      <c r="AZ48" s="53" t="str">
        <f>IF(Tim!EX50="","",Tim!EX50)</f>
        <v/>
      </c>
      <c r="BA48" s="53" t="str">
        <f>IF(Tim!EY50="","",Tim!EY50)</f>
        <v/>
      </c>
      <c r="BB48" s="53" t="str">
        <f>IF(Tim!EZ50="","",Tim!EZ50)</f>
        <v/>
      </c>
      <c r="BC48" s="56" t="str">
        <f>IF(Tim!GD50="","",Tim!GD50)</f>
        <v>RF</v>
      </c>
      <c r="BD48" s="53" t="str">
        <f>IF(Tim!GE50="","",Tim!GE50)</f>
        <v/>
      </c>
      <c r="BE48" s="53" t="str">
        <f>IF(Tim!GF50="","",Tim!GF50)</f>
        <v/>
      </c>
      <c r="BF48" s="53" t="str">
        <f>IF(Tim!GG50="","",Tim!GG50)</f>
        <v/>
      </c>
      <c r="BG48" s="53" t="str">
        <f>IF(Tim!GH50="","",Tim!GH50)</f>
        <v/>
      </c>
      <c r="BH48" s="53" t="str">
        <f>IF(Tim!GI50="","",Tim!GI50)</f>
        <v/>
      </c>
      <c r="BI48" s="53" t="str">
        <f>IF(Tim!GJ50="","",Tim!GJ50)</f>
        <v/>
      </c>
      <c r="BJ48" s="53" t="str">
        <f>IF(Tim!GN50="","",Tim!GN50)</f>
        <v/>
      </c>
      <c r="BK48" s="53" t="str">
        <f>IF(Tim!GO50="","",Tim!GO50)</f>
        <v/>
      </c>
      <c r="BL48" s="53" t="str">
        <f>IF(Tim!GP50="","",Tim!GP50)</f>
        <v/>
      </c>
      <c r="BM48" s="53" t="str">
        <f>IF(Tim!GQ50="","",Tim!GQ50)</f>
        <v/>
      </c>
      <c r="BN48" s="53" t="str">
        <f>IF(Tim!GR50="","",Tim!GR50)</f>
        <v/>
      </c>
      <c r="BO48" s="56" t="str">
        <f>IF(Tim!HV50="","",Tim!HV50)</f>
        <v>LA</v>
      </c>
      <c r="BP48" s="53" t="str">
        <f>IF(Tim!HW50="","",Tim!HW50)</f>
        <v/>
      </c>
      <c r="BQ48" s="53" t="str">
        <f>IF(Tim!HX50="","",Tim!HX50)</f>
        <v/>
      </c>
      <c r="BR48" s="53" t="str">
        <f>IF(Tim!HY50="","",Tim!HY50)</f>
        <v/>
      </c>
      <c r="BS48" s="53" t="str">
        <f>IF(Tim!HZ50="","",Tim!HZ50)</f>
        <v/>
      </c>
      <c r="BT48" s="53" t="str">
        <f>IF(Tim!IA50="","",Tim!IA50)</f>
        <v/>
      </c>
      <c r="BU48" s="55" t="str">
        <f>IF(Tim!IB50="","",Tim!IB50)</f>
        <v/>
      </c>
      <c r="BV48" s="53" t="str">
        <f>IF(Tim!IF50="","",Tim!IF50)</f>
        <v/>
      </c>
      <c r="BW48" s="53" t="str">
        <f>IF(Tim!IG50="","",Tim!IG50)</f>
        <v/>
      </c>
      <c r="BX48" s="53" t="str">
        <f>IF(Tim!IH50="","",Tim!IH50)</f>
        <v/>
      </c>
      <c r="BY48" s="53" t="str">
        <f>IF(Tim!II50="","",Tim!II50)</f>
        <v/>
      </c>
      <c r="BZ48" s="53" t="str">
        <f>IF(Tim!IJ50="","",Tim!IJ50)</f>
        <v/>
      </c>
      <c r="CA48" s="59" t="str">
        <f>IF(Tim!JN50="","",Tim!JN50)</f>
        <v>RF</v>
      </c>
      <c r="CB48" s="59" t="str">
        <f>IF(Tim!JO50="","",Tim!JO50)</f>
        <v/>
      </c>
      <c r="CC48" s="59" t="str">
        <f>IF(Tim!JP50="","",Tim!JP50)</f>
        <v/>
      </c>
      <c r="CD48" s="59" t="str">
        <f>IF(Tim!JQ50="","",Tim!JQ50)</f>
        <v/>
      </c>
      <c r="CE48" s="59" t="str">
        <f>IF(Tim!JR50="","",Tim!JR50)</f>
        <v/>
      </c>
      <c r="CF48" s="59" t="str">
        <f>IF(Tim!JS50="","",Tim!JS50)</f>
        <v/>
      </c>
      <c r="CG48" s="59" t="str">
        <f>IF(Tim!JT50="","",Tim!JT50)</f>
        <v/>
      </c>
      <c r="CH48" s="53" t="str">
        <f>IF(Tim!JX50="","",Tim!JX50)</f>
        <v/>
      </c>
      <c r="CI48" s="53" t="str">
        <f>IF(Tim!JY50="","",Tim!JY50)</f>
        <v/>
      </c>
      <c r="CJ48" s="53" t="str">
        <f>IF(Tim!JZ50="","",Tim!JZ50)</f>
        <v/>
      </c>
      <c r="CK48" s="53" t="str">
        <f>IF(Tim!KA50="","",Tim!KA50)</f>
        <v/>
      </c>
      <c r="CL48" s="53" t="str">
        <f>IF(Tim!KB50="","",Tim!KB50)</f>
        <v/>
      </c>
      <c r="CM48" s="52">
        <v>0.73958333333333204</v>
      </c>
    </row>
    <row r="49" spans="2:91" ht="10.5" customHeight="1">
      <c r="B49" s="51">
        <v>0.25</v>
      </c>
      <c r="C49" s="51">
        <v>0.25</v>
      </c>
      <c r="D49" s="51">
        <v>0.25</v>
      </c>
      <c r="E49" s="212">
        <v>0.749999999999999</v>
      </c>
      <c r="F49" s="56" t="str">
        <f>IF(Tim!F51="","",Tim!F51)</f>
        <v>CR</v>
      </c>
      <c r="G49" s="53" t="str">
        <f>IF(Tim!G51="","",Tim!G51)</f>
        <v/>
      </c>
      <c r="H49" s="53" t="str">
        <f>IF(Tim!H51="","",Tim!H51)</f>
        <v/>
      </c>
      <c r="I49" s="53" t="str">
        <f>IF(Tim!I51="","",Tim!I51)</f>
        <v/>
      </c>
      <c r="J49" s="53" t="str">
        <f>IF(Tim!J51="","",Tim!J51)</f>
        <v/>
      </c>
      <c r="K49" s="53" t="str">
        <f>IF(Tim!K51="","",Tim!K51)</f>
        <v/>
      </c>
      <c r="L49" s="53" t="str">
        <f>IF(Tim!L51="","",Tim!L51)</f>
        <v/>
      </c>
      <c r="M49" s="53" t="str">
        <f>IF(Tim!P51="","",Tim!P51)</f>
        <v/>
      </c>
      <c r="N49" s="53" t="str">
        <f>IF(Tim!Q51="","",Tim!Q51)</f>
        <v>LF</v>
      </c>
      <c r="O49" s="53" t="str">
        <f>IF(Tim!R51="","",Tim!R51)</f>
        <v/>
      </c>
      <c r="P49" s="53" t="str">
        <f>IF(Tim!S51="","",Tim!S51)</f>
        <v/>
      </c>
      <c r="Q49" s="55" t="str">
        <f>IF(Tim!T51="","",Tim!T51)</f>
        <v/>
      </c>
      <c r="R49" s="56" t="str">
        <f>IF(Tim!AY51="","",Tim!AY51)</f>
        <v>MS</v>
      </c>
      <c r="S49" s="53" t="str">
        <f>IF(Tim!AZ51="","",Tim!AZ51)</f>
        <v>LA</v>
      </c>
      <c r="T49" s="53" t="str">
        <f>IF(Tim!BA51="","",Tim!BA51)</f>
        <v>HA</v>
      </c>
      <c r="U49" s="53" t="str">
        <f>IF(Tim!BB51="","",Tim!BB51)</f>
        <v/>
      </c>
      <c r="V49" s="53" t="str">
        <f>IF(Tim!BC51="","",Tim!BC51)</f>
        <v/>
      </c>
      <c r="W49" s="53" t="str">
        <f>IF(Tim!BD51="","",Tim!BD51)</f>
        <v/>
      </c>
      <c r="X49" s="53" t="str">
        <f>IF(Tim!BE51="","",Tim!BE51)</f>
        <v/>
      </c>
      <c r="Y49" s="53" t="str">
        <f>IF(Tim!BF51="","",Tim!BF51)</f>
        <v/>
      </c>
      <c r="Z49" s="53" t="str">
        <f>IF(Tim!BI51="","",Tim!BI51)</f>
        <v/>
      </c>
      <c r="AA49" s="53" t="str">
        <f>IF(Tim!BJ51="","",Tim!BJ51)</f>
        <v/>
      </c>
      <c r="AB49" s="53" t="str">
        <f>IF(Tim!BK51="","",Tim!BK51)</f>
        <v/>
      </c>
      <c r="AC49" s="53" t="str">
        <f>IF(Tim!BL51="","",Tim!BL51)</f>
        <v/>
      </c>
      <c r="AD49" s="55" t="str">
        <f>IF(Tim!BM51="","",Tim!BM51)</f>
        <v/>
      </c>
      <c r="AE49" s="56" t="str">
        <f>IF(Tim!CQ51="","",Tim!CQ51)</f>
        <v>MS</v>
      </c>
      <c r="AF49" s="53" t="str">
        <f>IF(Tim!CR51="","",Tim!CR51)</f>
        <v/>
      </c>
      <c r="AG49" s="53" t="str">
        <f>IF(Tim!CS51="","",Tim!CS51)</f>
        <v/>
      </c>
      <c r="AH49" s="53" t="str">
        <f>IF(Tim!CT51="","",Tim!CT51)</f>
        <v/>
      </c>
      <c r="AI49" s="53" t="str">
        <f>IF(Tim!CU51="","",Tim!CU51)</f>
        <v/>
      </c>
      <c r="AJ49" s="53" t="str">
        <f>IF(Tim!CV51="","",Tim!CV51)</f>
        <v/>
      </c>
      <c r="AK49" s="53" t="str">
        <f>IF(Tim!CW51="","",Tim!CW51)</f>
        <v/>
      </c>
      <c r="AL49" s="53" t="str">
        <f>IF(Tim!DA51="","",Tim!DA51)</f>
        <v/>
      </c>
      <c r="AM49" s="53" t="str">
        <f>IF(Tim!DB51="","",Tim!DB51)</f>
        <v/>
      </c>
      <c r="AN49" s="53" t="str">
        <f>IF(Tim!DC51="","",Tim!DC51)</f>
        <v>CR</v>
      </c>
      <c r="AO49" s="53" t="str">
        <f>IF(Tim!DD51="","",Tim!DD51)</f>
        <v/>
      </c>
      <c r="AP49" s="53" t="str">
        <f>IF(Tim!DE51="","",Tim!DE51)</f>
        <v/>
      </c>
      <c r="AQ49" s="56" t="str">
        <f>IF(Tim!EL51="","",Tim!EL51)</f>
        <v>LA</v>
      </c>
      <c r="AR49" s="53" t="str">
        <f>IF(Tim!EM51="","",Tim!EM51)</f>
        <v/>
      </c>
      <c r="AS49" s="53" t="str">
        <f>IF(Tim!EN51="","",Tim!EN51)</f>
        <v/>
      </c>
      <c r="AT49" s="53" t="str">
        <f>IF(Tim!EO51="","",Tim!EO51)</f>
        <v/>
      </c>
      <c r="AU49" s="53" t="str">
        <f>IF(Tim!EP51="","",Tim!EP51)</f>
        <v/>
      </c>
      <c r="AV49" s="53" t="str">
        <f>IF(Tim!EQ51="","",Tim!EQ51)</f>
        <v/>
      </c>
      <c r="AW49" s="53" t="str">
        <f>IF(Tim!ER51="","",Tim!ER51)</f>
        <v/>
      </c>
      <c r="AX49" s="53" t="str">
        <f>IF(Tim!EV51="","",Tim!EV51)</f>
        <v/>
      </c>
      <c r="AY49" s="53" t="str">
        <f>IF(Tim!EW51="","",Tim!EW51)</f>
        <v/>
      </c>
      <c r="AZ49" s="53" t="str">
        <f>IF(Tim!EX51="","",Tim!EX51)</f>
        <v/>
      </c>
      <c r="BA49" s="53" t="str">
        <f>IF(Tim!EY51="","",Tim!EY51)</f>
        <v/>
      </c>
      <c r="BB49" s="53" t="str">
        <f>IF(Tim!EZ51="","",Tim!EZ51)</f>
        <v/>
      </c>
      <c r="BC49" s="56" t="str">
        <f>IF(Tim!GD51="","",Tim!GD51)</f>
        <v>HA</v>
      </c>
      <c r="BD49" s="53" t="str">
        <f>IF(Tim!GE51="","",Tim!GE51)</f>
        <v/>
      </c>
      <c r="BE49" s="53" t="str">
        <f>IF(Tim!GF51="","",Tim!GF51)</f>
        <v/>
      </c>
      <c r="BF49" s="53" t="str">
        <f>IF(Tim!GG51="","",Tim!GG51)</f>
        <v/>
      </c>
      <c r="BG49" s="53" t="str">
        <f>IF(Tim!GH51="","",Tim!GH51)</f>
        <v/>
      </c>
      <c r="BH49" s="53" t="str">
        <f>IF(Tim!GI51="","",Tim!GI51)</f>
        <v/>
      </c>
      <c r="BI49" s="53" t="str">
        <f>IF(Tim!GJ51="","",Tim!GJ51)</f>
        <v/>
      </c>
      <c r="BJ49" s="53" t="str">
        <f>IF(Tim!GN51="","",Tim!GN51)</f>
        <v/>
      </c>
      <c r="BK49" s="53" t="str">
        <f>IF(Tim!GO51="","",Tim!GO51)</f>
        <v/>
      </c>
      <c r="BL49" s="53" t="str">
        <f>IF(Tim!GP51="","",Tim!GP51)</f>
        <v/>
      </c>
      <c r="BM49" s="53" t="str">
        <f>IF(Tim!GQ51="","",Tim!GQ51)</f>
        <v/>
      </c>
      <c r="BN49" s="53" t="str">
        <f>IF(Tim!GR51="","",Tim!GR51)</f>
        <v/>
      </c>
      <c r="BO49" s="56" t="str">
        <f>IF(Tim!HV51="","",Tim!HV51)</f>
        <v>LA</v>
      </c>
      <c r="BP49" s="53" t="str">
        <f>IF(Tim!HW51="","",Tim!HW51)</f>
        <v/>
      </c>
      <c r="BQ49" s="53" t="str">
        <f>IF(Tim!HX51="","",Tim!HX51)</f>
        <v/>
      </c>
      <c r="BR49" s="53" t="str">
        <f>IF(Tim!HY51="","",Tim!HY51)</f>
        <v/>
      </c>
      <c r="BS49" s="53" t="str">
        <f>IF(Tim!HZ51="","",Tim!HZ51)</f>
        <v/>
      </c>
      <c r="BT49" s="53" t="str">
        <f>IF(Tim!IA51="","",Tim!IA51)</f>
        <v/>
      </c>
      <c r="BU49" s="55" t="str">
        <f>IF(Tim!IB51="","",Tim!IB51)</f>
        <v/>
      </c>
      <c r="BV49" s="53" t="str">
        <f>IF(Tim!IF51="","",Tim!IF51)</f>
        <v/>
      </c>
      <c r="BW49" s="53" t="str">
        <f>IF(Tim!IG51="","",Tim!IG51)</f>
        <v/>
      </c>
      <c r="BX49" s="53" t="str">
        <f>IF(Tim!IH51="","",Tim!IH51)</f>
        <v/>
      </c>
      <c r="BY49" s="53" t="str">
        <f>IF(Tim!II51="","",Tim!II51)</f>
        <v/>
      </c>
      <c r="BZ49" s="53" t="str">
        <f>IF(Tim!IJ51="","",Tim!IJ51)</f>
        <v/>
      </c>
      <c r="CA49" s="422" t="str">
        <f>IF(Tim!DT51="","",Tim!DT51)</f>
        <v/>
      </c>
      <c r="CB49" s="423"/>
      <c r="CC49" s="423"/>
      <c r="CD49" s="423"/>
      <c r="CE49" s="423"/>
      <c r="CF49" s="423"/>
      <c r="CG49" s="423"/>
      <c r="CH49" s="423"/>
      <c r="CI49" s="423"/>
      <c r="CJ49" s="423"/>
      <c r="CK49" s="423"/>
      <c r="CL49" s="424"/>
      <c r="CM49" s="52">
        <v>0.749999999999999</v>
      </c>
    </row>
    <row r="50" spans="2:91" ht="10.5" customHeight="1">
      <c r="B50" s="51">
        <v>0.25</v>
      </c>
      <c r="C50" s="51">
        <v>0.25</v>
      </c>
      <c r="D50" s="51">
        <v>0.25</v>
      </c>
      <c r="E50" s="212">
        <v>0.76041666666666496</v>
      </c>
      <c r="F50" s="56" t="str">
        <f>IF(Tim!F52="","",Tim!F52)</f>
        <v>CR</v>
      </c>
      <c r="G50" s="53" t="str">
        <f>IF(Tim!G52="","",Tim!G52)</f>
        <v/>
      </c>
      <c r="H50" s="53" t="str">
        <f>IF(Tim!H52="","",Tim!H52)</f>
        <v/>
      </c>
      <c r="I50" s="53" t="str">
        <f>IF(Tim!I52="","",Tim!I52)</f>
        <v/>
      </c>
      <c r="J50" s="53" t="str">
        <f>IF(Tim!J52="","",Tim!J52)</f>
        <v/>
      </c>
      <c r="K50" s="53" t="str">
        <f>IF(Tim!K52="","",Tim!K52)</f>
        <v/>
      </c>
      <c r="L50" s="53" t="str">
        <f>IF(Tim!L52="","",Tim!L52)</f>
        <v/>
      </c>
      <c r="M50" s="53" t="str">
        <f>IF(Tim!P52="","",Tim!P52)</f>
        <v/>
      </c>
      <c r="N50" s="53" t="str">
        <f>IF(Tim!Q52="","",Tim!Q52)</f>
        <v>LF</v>
      </c>
      <c r="O50" s="53" t="str">
        <f>IF(Tim!R52="","",Tim!R52)</f>
        <v/>
      </c>
      <c r="P50" s="53" t="str">
        <f>IF(Tim!S52="","",Tim!S52)</f>
        <v/>
      </c>
      <c r="Q50" s="55" t="str">
        <f>IF(Tim!T52="","",Tim!T52)</f>
        <v/>
      </c>
      <c r="R50" s="56" t="str">
        <f>IF(Tim!AY52="","",Tim!AY52)</f>
        <v>HA</v>
      </c>
      <c r="S50" s="53" t="str">
        <f>IF(Tim!AZ52="","",Tim!AZ52)</f>
        <v/>
      </c>
      <c r="T50" s="53" t="str">
        <f>IF(Tim!BA52="","",Tim!BA52)</f>
        <v/>
      </c>
      <c r="U50" s="53" t="str">
        <f>IF(Tim!BB52="","",Tim!BB52)</f>
        <v/>
      </c>
      <c r="V50" s="53" t="str">
        <f>IF(Tim!BC52="","",Tim!BC52)</f>
        <v/>
      </c>
      <c r="W50" s="53" t="str">
        <f>IF(Tim!BD52="","",Tim!BD52)</f>
        <v/>
      </c>
      <c r="X50" s="53" t="str">
        <f>IF(Tim!BE52="","",Tim!BE52)</f>
        <v/>
      </c>
      <c r="Y50" s="53" t="str">
        <f>IF(Tim!BF52="","",Tim!BF52)</f>
        <v/>
      </c>
      <c r="Z50" s="53" t="str">
        <f>IF(Tim!BI52="","",Tim!BI52)</f>
        <v/>
      </c>
      <c r="AA50" s="53" t="str">
        <f>IF(Tim!BJ52="","",Tim!BJ52)</f>
        <v/>
      </c>
      <c r="AB50" s="53" t="str">
        <f>IF(Tim!BK52="","",Tim!BK52)</f>
        <v/>
      </c>
      <c r="AC50" s="53" t="str">
        <f>IF(Tim!BL52="","",Tim!BL52)</f>
        <v/>
      </c>
      <c r="AD50" s="55" t="str">
        <f>IF(Tim!BM52="","",Tim!BM52)</f>
        <v/>
      </c>
      <c r="AE50" s="56" t="str">
        <f>IF(Tim!CQ52="","",Tim!CQ52)</f>
        <v>MS</v>
      </c>
      <c r="AF50" s="53" t="str">
        <f>IF(Tim!CR52="","",Tim!CR52)</f>
        <v/>
      </c>
      <c r="AG50" s="53" t="str">
        <f>IF(Tim!CS52="","",Tim!CS52)</f>
        <v/>
      </c>
      <c r="AH50" s="53" t="str">
        <f>IF(Tim!CT52="","",Tim!CT52)</f>
        <v/>
      </c>
      <c r="AI50" s="53" t="str">
        <f>IF(Tim!CU52="","",Tim!CU52)</f>
        <v/>
      </c>
      <c r="AJ50" s="53" t="str">
        <f>IF(Tim!CV52="","",Tim!CV52)</f>
        <v/>
      </c>
      <c r="AK50" s="53" t="str">
        <f>IF(Tim!CW52="","",Tim!CW52)</f>
        <v/>
      </c>
      <c r="AL50" s="53" t="str">
        <f>IF(Tim!DA52="","",Tim!DA52)</f>
        <v/>
      </c>
      <c r="AM50" s="53" t="str">
        <f>IF(Tim!DB52="","",Tim!DB52)</f>
        <v/>
      </c>
      <c r="AN50" s="53" t="str">
        <f>IF(Tim!DC52="","",Tim!DC52)</f>
        <v>CR</v>
      </c>
      <c r="AO50" s="53" t="str">
        <f>IF(Tim!DD52="","",Tim!DD52)</f>
        <v/>
      </c>
      <c r="AP50" s="53" t="str">
        <f>IF(Tim!DE52="","",Tim!DE52)</f>
        <v/>
      </c>
      <c r="AQ50" s="56" t="str">
        <f>IF(Tim!EL52="","",Tim!EL52)</f>
        <v>LA</v>
      </c>
      <c r="AR50" s="53" t="str">
        <f>IF(Tim!EM52="","",Tim!EM52)</f>
        <v/>
      </c>
      <c r="AS50" s="53" t="str">
        <f>IF(Tim!EN52="","",Tim!EN52)</f>
        <v/>
      </c>
      <c r="AT50" s="53" t="str">
        <f>IF(Tim!EO52="","",Tim!EO52)</f>
        <v/>
      </c>
      <c r="AU50" s="53" t="str">
        <f>IF(Tim!EP52="","",Tim!EP52)</f>
        <v/>
      </c>
      <c r="AV50" s="53" t="str">
        <f>IF(Tim!EQ52="","",Tim!EQ52)</f>
        <v/>
      </c>
      <c r="AW50" s="53" t="str">
        <f>IF(Tim!ER52="","",Tim!ER52)</f>
        <v/>
      </c>
      <c r="AX50" s="53" t="str">
        <f>IF(Tim!EV52="","",Tim!EV52)</f>
        <v/>
      </c>
      <c r="AY50" s="53" t="str">
        <f>IF(Tim!EW52="","",Tim!EW52)</f>
        <v/>
      </c>
      <c r="AZ50" s="53" t="str">
        <f>IF(Tim!EX52="","",Tim!EX52)</f>
        <v/>
      </c>
      <c r="BA50" s="53" t="str">
        <f>IF(Tim!EY52="","",Tim!EY52)</f>
        <v/>
      </c>
      <c r="BB50" s="53" t="str">
        <f>IF(Tim!EZ52="","",Tim!EZ52)</f>
        <v/>
      </c>
      <c r="BC50" s="56" t="str">
        <f>IF(Tim!GD52="","",Tim!GD52)</f>
        <v>HA</v>
      </c>
      <c r="BD50" s="53" t="str">
        <f>IF(Tim!GE52="","",Tim!GE52)</f>
        <v/>
      </c>
      <c r="BE50" s="53" t="str">
        <f>IF(Tim!GF52="","",Tim!GF52)</f>
        <v/>
      </c>
      <c r="BF50" s="53" t="str">
        <f>IF(Tim!GG52="","",Tim!GG52)</f>
        <v/>
      </c>
      <c r="BG50" s="53" t="str">
        <f>IF(Tim!GH52="","",Tim!GH52)</f>
        <v/>
      </c>
      <c r="BH50" s="53" t="str">
        <f>IF(Tim!GI52="","",Tim!GI52)</f>
        <v/>
      </c>
      <c r="BI50" s="53" t="str">
        <f>IF(Tim!GJ52="","",Tim!GJ52)</f>
        <v/>
      </c>
      <c r="BJ50" s="53" t="str">
        <f>IF(Tim!GN52="","",Tim!GN52)</f>
        <v/>
      </c>
      <c r="BK50" s="53" t="str">
        <f>IF(Tim!GO52="","",Tim!GO52)</f>
        <v/>
      </c>
      <c r="BL50" s="53" t="str">
        <f>IF(Tim!GP52="","",Tim!GP52)</f>
        <v/>
      </c>
      <c r="BM50" s="53" t="str">
        <f>IF(Tim!GQ52="","",Tim!GQ52)</f>
        <v/>
      </c>
      <c r="BN50" s="53" t="str">
        <f>IF(Tim!GR52="","",Tim!GR52)</f>
        <v/>
      </c>
      <c r="BO50" s="56" t="str">
        <f>IF(Tim!HV52="","",Tim!HV52)</f>
        <v>LA</v>
      </c>
      <c r="BP50" s="53" t="str">
        <f>IF(Tim!HW52="","",Tim!HW52)</f>
        <v/>
      </c>
      <c r="BQ50" s="53" t="str">
        <f>IF(Tim!HX52="","",Tim!HX52)</f>
        <v/>
      </c>
      <c r="BR50" s="53" t="str">
        <f>IF(Tim!HY52="","",Tim!HY52)</f>
        <v/>
      </c>
      <c r="BS50" s="53" t="str">
        <f>IF(Tim!HZ52="","",Tim!HZ52)</f>
        <v/>
      </c>
      <c r="BT50" s="53" t="str">
        <f>IF(Tim!IA52="","",Tim!IA52)</f>
        <v/>
      </c>
      <c r="BU50" s="55" t="str">
        <f>IF(Tim!IB52="","",Tim!IB52)</f>
        <v/>
      </c>
      <c r="BV50" s="53" t="str">
        <f>IF(Tim!IF52="","",Tim!IF52)</f>
        <v/>
      </c>
      <c r="BW50" s="53" t="str">
        <f>IF(Tim!IG52="","",Tim!IG52)</f>
        <v/>
      </c>
      <c r="BX50" s="53" t="str">
        <f>IF(Tim!IH52="","",Tim!IH52)</f>
        <v/>
      </c>
      <c r="BY50" s="53" t="str">
        <f>IF(Tim!II52="","",Tim!II52)</f>
        <v/>
      </c>
      <c r="BZ50" s="53" t="str">
        <f>IF(Tim!IJ52="","",Tim!IJ52)</f>
        <v/>
      </c>
      <c r="CA50" s="422"/>
      <c r="CB50" s="423"/>
      <c r="CC50" s="423"/>
      <c r="CD50" s="423"/>
      <c r="CE50" s="423"/>
      <c r="CF50" s="423"/>
      <c r="CG50" s="423"/>
      <c r="CH50" s="423"/>
      <c r="CI50" s="423"/>
      <c r="CJ50" s="423"/>
      <c r="CK50" s="423"/>
      <c r="CL50" s="424"/>
      <c r="CM50" s="52">
        <v>0.76041666666666496</v>
      </c>
    </row>
    <row r="51" spans="2:91" ht="10.5" customHeight="1">
      <c r="B51" s="51">
        <v>0.25</v>
      </c>
      <c r="C51" s="51">
        <v>0.25</v>
      </c>
      <c r="D51" s="51">
        <v>0.25</v>
      </c>
      <c r="E51" s="212">
        <v>0.77083333333333204</v>
      </c>
      <c r="F51" s="56" t="str">
        <f>IF(Tim!F53="","",Tim!F53)</f>
        <v>CR</v>
      </c>
      <c r="G51" s="53" t="str">
        <f>IF(Tim!G53="","",Tim!G53)</f>
        <v>LF</v>
      </c>
      <c r="H51" s="53" t="str">
        <f>IF(Tim!H53="","",Tim!H53)</f>
        <v/>
      </c>
      <c r="I51" s="53" t="str">
        <f>IF(Tim!I53="","",Tim!I53)</f>
        <v/>
      </c>
      <c r="J51" s="53" t="str">
        <f>IF(Tim!J53="","",Tim!J53)</f>
        <v/>
      </c>
      <c r="K51" s="53" t="str">
        <f>IF(Tim!K53="","",Tim!K53)</f>
        <v/>
      </c>
      <c r="L51" s="53" t="str">
        <f>IF(Tim!L53="","",Tim!L53)</f>
        <v/>
      </c>
      <c r="M51" s="53" t="str">
        <f>IF(Tim!P53="","",Tim!P53)</f>
        <v/>
      </c>
      <c r="N51" s="53" t="str">
        <f>IF(Tim!Q53="","",Tim!Q53)</f>
        <v/>
      </c>
      <c r="O51" s="53" t="str">
        <f>IF(Tim!R53="","",Tim!R53)</f>
        <v/>
      </c>
      <c r="P51" s="53" t="str">
        <f>IF(Tim!S53="","",Tim!S53)</f>
        <v/>
      </c>
      <c r="Q51" s="55" t="str">
        <f>IF(Tim!T53="","",Tim!T53)</f>
        <v/>
      </c>
      <c r="R51" s="56" t="str">
        <f>IF(Tim!AY53="","",Tim!AY53)</f>
        <v>HA</v>
      </c>
      <c r="S51" s="53" t="str">
        <f>IF(Tim!AZ53="","",Tim!AZ53)</f>
        <v/>
      </c>
      <c r="T51" s="53" t="str">
        <f>IF(Tim!BA53="","",Tim!BA53)</f>
        <v/>
      </c>
      <c r="U51" s="53" t="str">
        <f>IF(Tim!BB53="","",Tim!BB53)</f>
        <v/>
      </c>
      <c r="V51" s="53" t="str">
        <f>IF(Tim!BC53="","",Tim!BC53)</f>
        <v/>
      </c>
      <c r="W51" s="53" t="str">
        <f>IF(Tim!BD53="","",Tim!BD53)</f>
        <v/>
      </c>
      <c r="X51" s="53" t="str">
        <f>IF(Tim!BE53="","",Tim!BE53)</f>
        <v/>
      </c>
      <c r="Y51" s="53" t="str">
        <f>IF(Tim!BF53="","",Tim!BF53)</f>
        <v/>
      </c>
      <c r="Z51" s="53" t="str">
        <f>IF(Tim!BI53="","",Tim!BI53)</f>
        <v/>
      </c>
      <c r="AA51" s="53" t="str">
        <f>IF(Tim!BJ53="","",Tim!BJ53)</f>
        <v/>
      </c>
      <c r="AB51" s="53" t="str">
        <f>IF(Tim!BK53="","",Tim!BK53)</f>
        <v/>
      </c>
      <c r="AC51" s="53" t="str">
        <f>IF(Tim!BL53="","",Tim!BL53)</f>
        <v/>
      </c>
      <c r="AD51" s="55" t="str">
        <f>IF(Tim!BM53="","",Tim!BM53)</f>
        <v/>
      </c>
      <c r="AE51" s="56" t="str">
        <f>IF(Tim!CQ53="","",Tim!CQ53)</f>
        <v>CR</v>
      </c>
      <c r="AF51" s="53" t="str">
        <f>IF(Tim!CR53="","",Tim!CR53)</f>
        <v/>
      </c>
      <c r="AG51" s="53" t="str">
        <f>IF(Tim!CS53="","",Tim!CS53)</f>
        <v/>
      </c>
      <c r="AH51" s="53" t="str">
        <f>IF(Tim!CT53="","",Tim!CT53)</f>
        <v/>
      </c>
      <c r="AI51" s="53" t="str">
        <f>IF(Tim!CU53="","",Tim!CU53)</f>
        <v/>
      </c>
      <c r="AJ51" s="53" t="str">
        <f>IF(Tim!CV53="","",Tim!CV53)</f>
        <v/>
      </c>
      <c r="AK51" s="53" t="str">
        <f>IF(Tim!CW53="","",Tim!CW53)</f>
        <v/>
      </c>
      <c r="AL51" s="53" t="str">
        <f>IF(Tim!DA53="","",Tim!DA53)</f>
        <v/>
      </c>
      <c r="AM51" s="53" t="str">
        <f>IF(Tim!DB53="","",Tim!DB53)</f>
        <v/>
      </c>
      <c r="AN51" s="53" t="str">
        <f>IF(Tim!DC53="","",Tim!DC53)</f>
        <v/>
      </c>
      <c r="AO51" s="53" t="str">
        <f>IF(Tim!DD53="","",Tim!DD53)</f>
        <v/>
      </c>
      <c r="AP51" s="53" t="str">
        <f>IF(Tim!DE53="","",Tim!DE53)</f>
        <v/>
      </c>
      <c r="AQ51" s="56" t="str">
        <f>IF(Tim!EL53="","",Tim!EL53)</f>
        <v>LA</v>
      </c>
      <c r="AR51" s="53" t="str">
        <f>IF(Tim!EM53="","",Tim!EM53)</f>
        <v/>
      </c>
      <c r="AS51" s="53" t="str">
        <f>IF(Tim!EN53="","",Tim!EN53)</f>
        <v/>
      </c>
      <c r="AT51" s="53" t="str">
        <f>IF(Tim!EO53="","",Tim!EO53)</f>
        <v/>
      </c>
      <c r="AU51" s="53" t="str">
        <f>IF(Tim!EP53="","",Tim!EP53)</f>
        <v/>
      </c>
      <c r="AV51" s="53" t="str">
        <f>IF(Tim!EQ53="","",Tim!EQ53)</f>
        <v/>
      </c>
      <c r="AW51" s="53" t="str">
        <f>IF(Tim!ER53="","",Tim!ER53)</f>
        <v/>
      </c>
      <c r="AX51" s="53" t="str">
        <f>IF(Tim!EV53="","",Tim!EV53)</f>
        <v/>
      </c>
      <c r="AY51" s="53" t="str">
        <f>IF(Tim!EW53="","",Tim!EW53)</f>
        <v/>
      </c>
      <c r="AZ51" s="53" t="str">
        <f>IF(Tim!EX53="","",Tim!EX53)</f>
        <v/>
      </c>
      <c r="BA51" s="53" t="str">
        <f>IF(Tim!EY53="","",Tim!EY53)</f>
        <v/>
      </c>
      <c r="BB51" s="53" t="str">
        <f>IF(Tim!EZ53="","",Tim!EZ53)</f>
        <v/>
      </c>
      <c r="BC51" s="56" t="str">
        <f>IF(Tim!GD53="","",Tim!GD53)</f>
        <v>HA</v>
      </c>
      <c r="BD51" s="53" t="str">
        <f>IF(Tim!GE53="","",Tim!GE53)</f>
        <v/>
      </c>
      <c r="BE51" s="53" t="str">
        <f>IF(Tim!GF53="","",Tim!GF53)</f>
        <v/>
      </c>
      <c r="BF51" s="53" t="str">
        <f>IF(Tim!GG53="","",Tim!GG53)</f>
        <v/>
      </c>
      <c r="BG51" s="53" t="str">
        <f>IF(Tim!GH53="","",Tim!GH53)</f>
        <v/>
      </c>
      <c r="BH51" s="53" t="str">
        <f>IF(Tim!GI53="","",Tim!GI53)</f>
        <v/>
      </c>
      <c r="BI51" s="53" t="str">
        <f>IF(Tim!GJ53="","",Tim!GJ53)</f>
        <v/>
      </c>
      <c r="BJ51" s="53" t="str">
        <f>IF(Tim!GN53="","",Tim!GN53)</f>
        <v>RF</v>
      </c>
      <c r="BK51" s="53" t="str">
        <f>IF(Tim!GO53="","",Tim!GO53)</f>
        <v/>
      </c>
      <c r="BL51" s="53" t="str">
        <f>IF(Tim!GP53="","",Tim!GP53)</f>
        <v/>
      </c>
      <c r="BM51" s="53" t="str">
        <f>IF(Tim!GQ53="","",Tim!GQ53)</f>
        <v/>
      </c>
      <c r="BN51" s="53" t="str">
        <f>IF(Tim!GR53="","",Tim!GR53)</f>
        <v/>
      </c>
      <c r="BO51" s="56" t="str">
        <f>IF(Tim!HV53="","",Tim!HV53)</f>
        <v>LA</v>
      </c>
      <c r="BP51" s="53" t="str">
        <f>IF(Tim!HW53="","",Tim!HW53)</f>
        <v/>
      </c>
      <c r="BQ51" s="53" t="str">
        <f>IF(Tim!HX53="","",Tim!HX53)</f>
        <v/>
      </c>
      <c r="BR51" s="53" t="str">
        <f>IF(Tim!HY53="","",Tim!HY53)</f>
        <v/>
      </c>
      <c r="BS51" s="53" t="str">
        <f>IF(Tim!HZ53="","",Tim!HZ53)</f>
        <v/>
      </c>
      <c r="BT51" s="53" t="str">
        <f>IF(Tim!IA53="","",Tim!IA53)</f>
        <v/>
      </c>
      <c r="BU51" s="55" t="str">
        <f>IF(Tim!IB53="","",Tim!IB53)</f>
        <v/>
      </c>
      <c r="BV51" s="53" t="str">
        <f>IF(Tim!IF53="","",Tim!IF53)</f>
        <v/>
      </c>
      <c r="BW51" s="53" t="str">
        <f>IF(Tim!IG53="","",Tim!IG53)</f>
        <v/>
      </c>
      <c r="BX51" s="53" t="str">
        <f>IF(Tim!IH53="","",Tim!IH53)</f>
        <v/>
      </c>
      <c r="BY51" s="53" t="str">
        <f>IF(Tim!II53="","",Tim!II53)</f>
        <v/>
      </c>
      <c r="BZ51" s="53" t="str">
        <f>IF(Tim!IJ53="","",Tim!IJ53)</f>
        <v/>
      </c>
      <c r="CA51" s="422"/>
      <c r="CB51" s="423"/>
      <c r="CC51" s="423"/>
      <c r="CD51" s="423"/>
      <c r="CE51" s="423"/>
      <c r="CF51" s="423"/>
      <c r="CG51" s="423"/>
      <c r="CH51" s="423"/>
      <c r="CI51" s="423"/>
      <c r="CJ51" s="423"/>
      <c r="CK51" s="423"/>
      <c r="CL51" s="424"/>
      <c r="CM51" s="52">
        <v>0.77083333333333204</v>
      </c>
    </row>
    <row r="52" spans="2:91" ht="10.5" customHeight="1">
      <c r="B52" s="51">
        <v>0.25</v>
      </c>
      <c r="C52" s="51">
        <v>0.25</v>
      </c>
      <c r="D52" s="51">
        <v>0.25</v>
      </c>
      <c r="E52" s="212">
        <v>0.781249999999999</v>
      </c>
      <c r="F52" s="56" t="str">
        <f>IF(Tim!F54="","",Tim!F54)</f>
        <v>CR</v>
      </c>
      <c r="G52" s="53" t="str">
        <f>IF(Tim!G54="","",Tim!G54)</f>
        <v/>
      </c>
      <c r="H52" s="53" t="str">
        <f>IF(Tim!H54="","",Tim!H54)</f>
        <v/>
      </c>
      <c r="I52" s="53" t="str">
        <f>IF(Tim!I54="","",Tim!I54)</f>
        <v/>
      </c>
      <c r="J52" s="53" t="str">
        <f>IF(Tim!J54="","",Tim!J54)</f>
        <v/>
      </c>
      <c r="K52" s="53" t="str">
        <f>IF(Tim!K54="","",Tim!K54)</f>
        <v/>
      </c>
      <c r="L52" s="53" t="str">
        <f>IF(Tim!L54="","",Tim!L54)</f>
        <v/>
      </c>
      <c r="M52" s="53" t="str">
        <f>IF(Tim!P54="","",Tim!P54)</f>
        <v/>
      </c>
      <c r="N52" s="53" t="str">
        <f>IF(Tim!Q54="","",Tim!Q54)</f>
        <v/>
      </c>
      <c r="O52" s="53" t="str">
        <f>IF(Tim!R54="","",Tim!R54)</f>
        <v/>
      </c>
      <c r="P52" s="53" t="str">
        <f>IF(Tim!S54="","",Tim!S54)</f>
        <v/>
      </c>
      <c r="Q52" s="55" t="str">
        <f>IF(Tim!T54="","",Tim!T54)</f>
        <v/>
      </c>
      <c r="R52" s="56" t="str">
        <f>IF(Tim!AY54="","",Tim!AY54)</f>
        <v>HA</v>
      </c>
      <c r="S52" s="53" t="str">
        <f>IF(Tim!AZ54="","",Tim!AZ54)</f>
        <v/>
      </c>
      <c r="T52" s="53" t="str">
        <f>IF(Tim!BA54="","",Tim!BA54)</f>
        <v/>
      </c>
      <c r="U52" s="53" t="str">
        <f>IF(Tim!BB54="","",Tim!BB54)</f>
        <v/>
      </c>
      <c r="V52" s="53" t="str">
        <f>IF(Tim!BC54="","",Tim!BC54)</f>
        <v/>
      </c>
      <c r="W52" s="53" t="str">
        <f>IF(Tim!BD54="","",Tim!BD54)</f>
        <v/>
      </c>
      <c r="X52" s="53" t="str">
        <f>IF(Tim!BE54="","",Tim!BE54)</f>
        <v/>
      </c>
      <c r="Y52" s="53" t="str">
        <f>IF(Tim!BF54="","",Tim!BF54)</f>
        <v/>
      </c>
      <c r="Z52" s="53" t="str">
        <f>IF(Tim!BI54="","",Tim!BI54)</f>
        <v/>
      </c>
      <c r="AA52" s="53" t="str">
        <f>IF(Tim!BJ54="","",Tim!BJ54)</f>
        <v/>
      </c>
      <c r="AB52" s="53" t="str">
        <f>IF(Tim!BK54="","",Tim!BK54)</f>
        <v/>
      </c>
      <c r="AC52" s="53" t="str">
        <f>IF(Tim!BL54="","",Tim!BL54)</f>
        <v/>
      </c>
      <c r="AD52" s="55" t="str">
        <f>IF(Tim!BM54="","",Tim!BM54)</f>
        <v/>
      </c>
      <c r="AE52" s="56" t="str">
        <f>IF(Tim!CQ54="","",Tim!CQ54)</f>
        <v>CR</v>
      </c>
      <c r="AF52" s="53" t="str">
        <f>IF(Tim!CR54="","",Tim!CR54)</f>
        <v/>
      </c>
      <c r="AG52" s="53" t="str">
        <f>IF(Tim!CS54="","",Tim!CS54)</f>
        <v/>
      </c>
      <c r="AH52" s="53" t="str">
        <f>IF(Tim!CT54="","",Tim!CT54)</f>
        <v/>
      </c>
      <c r="AI52" s="53" t="str">
        <f>IF(Tim!CU54="","",Tim!CU54)</f>
        <v/>
      </c>
      <c r="AJ52" s="53" t="str">
        <f>IF(Tim!CV54="","",Tim!CV54)</f>
        <v/>
      </c>
      <c r="AK52" s="53" t="str">
        <f>IF(Tim!CW54="","",Tim!CW54)</f>
        <v/>
      </c>
      <c r="AL52" s="53" t="str">
        <f>IF(Tim!DA54="","",Tim!DA54)</f>
        <v/>
      </c>
      <c r="AM52" s="53" t="str">
        <f>IF(Tim!DB54="","",Tim!DB54)</f>
        <v/>
      </c>
      <c r="AN52" s="53" t="str">
        <f>IF(Tim!DC54="","",Tim!DC54)</f>
        <v/>
      </c>
      <c r="AO52" s="53" t="str">
        <f>IF(Tim!DD54="","",Tim!DD54)</f>
        <v/>
      </c>
      <c r="AP52" s="53" t="str">
        <f>IF(Tim!DE54="","",Tim!DE54)</f>
        <v/>
      </c>
      <c r="AQ52" s="56" t="str">
        <f>IF(Tim!EL54="","",Tim!EL54)</f>
        <v>LA</v>
      </c>
      <c r="AR52" s="53" t="str">
        <f>IF(Tim!EM54="","",Tim!EM54)</f>
        <v/>
      </c>
      <c r="AS52" s="53" t="str">
        <f>IF(Tim!EN54="","",Tim!EN54)</f>
        <v/>
      </c>
      <c r="AT52" s="53" t="str">
        <f>IF(Tim!EO54="","",Tim!EO54)</f>
        <v/>
      </c>
      <c r="AU52" s="53" t="str">
        <f>IF(Tim!EP54="","",Tim!EP54)</f>
        <v/>
      </c>
      <c r="AV52" s="53" t="str">
        <f>IF(Tim!EQ54="","",Tim!EQ54)</f>
        <v/>
      </c>
      <c r="AW52" s="53" t="str">
        <f>IF(Tim!ER54="","",Tim!ER54)</f>
        <v/>
      </c>
      <c r="AX52" s="53" t="str">
        <f>IF(Tim!EV54="","",Tim!EV54)</f>
        <v/>
      </c>
      <c r="AY52" s="53" t="str">
        <f>IF(Tim!EW54="","",Tim!EW54)</f>
        <v/>
      </c>
      <c r="AZ52" s="53" t="str">
        <f>IF(Tim!EX54="","",Tim!EX54)</f>
        <v/>
      </c>
      <c r="BA52" s="53" t="str">
        <f>IF(Tim!EY54="","",Tim!EY54)</f>
        <v/>
      </c>
      <c r="BB52" s="53" t="str">
        <f>IF(Tim!EZ54="","",Tim!EZ54)</f>
        <v/>
      </c>
      <c r="BC52" s="56" t="str">
        <f>IF(Tim!GD54="","",Tim!GD54)</f>
        <v>HA</v>
      </c>
      <c r="BD52" s="53" t="str">
        <f>IF(Tim!GE54="","",Tim!GE54)</f>
        <v/>
      </c>
      <c r="BE52" s="53" t="str">
        <f>IF(Tim!GF54="","",Tim!GF54)</f>
        <v/>
      </c>
      <c r="BF52" s="53" t="str">
        <f>IF(Tim!GG54="","",Tim!GG54)</f>
        <v/>
      </c>
      <c r="BG52" s="53" t="str">
        <f>IF(Tim!GH54="","",Tim!GH54)</f>
        <v/>
      </c>
      <c r="BH52" s="53" t="str">
        <f>IF(Tim!GI54="","",Tim!GI54)</f>
        <v/>
      </c>
      <c r="BI52" s="53" t="str">
        <f>IF(Tim!GJ54="","",Tim!GJ54)</f>
        <v/>
      </c>
      <c r="BJ52" s="53" t="str">
        <f>IF(Tim!GN54="","",Tim!GN54)</f>
        <v>RF</v>
      </c>
      <c r="BK52" s="53" t="str">
        <f>IF(Tim!GO54="","",Tim!GO54)</f>
        <v/>
      </c>
      <c r="BL52" s="53" t="str">
        <f>IF(Tim!GP54="","",Tim!GP54)</f>
        <v/>
      </c>
      <c r="BM52" s="53" t="str">
        <f>IF(Tim!GQ54="","",Tim!GQ54)</f>
        <v/>
      </c>
      <c r="BN52" s="53" t="str">
        <f>IF(Tim!GR54="","",Tim!GR54)</f>
        <v/>
      </c>
      <c r="BO52" s="56" t="str">
        <f>IF(Tim!HV54="","",Tim!HV54)</f>
        <v>LA</v>
      </c>
      <c r="BP52" s="53" t="str">
        <f>IF(Tim!HW54="","",Tim!HW54)</f>
        <v/>
      </c>
      <c r="BQ52" s="53" t="str">
        <f>IF(Tim!HX54="","",Tim!HX54)</f>
        <v/>
      </c>
      <c r="BR52" s="53" t="str">
        <f>IF(Tim!HY54="","",Tim!HY54)</f>
        <v/>
      </c>
      <c r="BS52" s="53" t="str">
        <f>IF(Tim!HZ54="","",Tim!HZ54)</f>
        <v/>
      </c>
      <c r="BT52" s="53" t="str">
        <f>IF(Tim!IA54="","",Tim!IA54)</f>
        <v/>
      </c>
      <c r="BU52" s="55" t="str">
        <f>IF(Tim!IB54="","",Tim!IB54)</f>
        <v/>
      </c>
      <c r="BV52" s="53" t="str">
        <f>IF(Tim!IF54="","",Tim!IF54)</f>
        <v/>
      </c>
      <c r="BW52" s="53" t="str">
        <f>IF(Tim!IG54="","",Tim!IG54)</f>
        <v/>
      </c>
      <c r="BX52" s="53" t="str">
        <f>IF(Tim!IH54="","",Tim!IH54)</f>
        <v/>
      </c>
      <c r="BY52" s="53" t="str">
        <f>IF(Tim!II54="","",Tim!II54)</f>
        <v/>
      </c>
      <c r="BZ52" s="53" t="str">
        <f>IF(Tim!IJ54="","",Tim!IJ54)</f>
        <v/>
      </c>
      <c r="CA52" s="422"/>
      <c r="CB52" s="423"/>
      <c r="CC52" s="423"/>
      <c r="CD52" s="423"/>
      <c r="CE52" s="423"/>
      <c r="CF52" s="423"/>
      <c r="CG52" s="423"/>
      <c r="CH52" s="423"/>
      <c r="CI52" s="423"/>
      <c r="CJ52" s="423"/>
      <c r="CK52" s="423"/>
      <c r="CL52" s="424"/>
      <c r="CM52" s="52">
        <v>0.781249999999999</v>
      </c>
    </row>
    <row r="53" spans="2:91" ht="10.5" customHeight="1">
      <c r="B53" s="51">
        <v>0.25</v>
      </c>
      <c r="C53" s="51">
        <v>0.25</v>
      </c>
      <c r="D53" s="51">
        <v>0.25</v>
      </c>
      <c r="E53" s="212">
        <v>0.79166666666666496</v>
      </c>
      <c r="F53" s="56" t="str">
        <f>IF(Tim!F55="","",Tim!F55)</f>
        <v>CR</v>
      </c>
      <c r="G53" s="53" t="str">
        <f>IF(Tim!G55="","",Tim!G55)</f>
        <v/>
      </c>
      <c r="H53" s="53" t="str">
        <f>IF(Tim!H55="","",Tim!H55)</f>
        <v/>
      </c>
      <c r="I53" s="53" t="str">
        <f>IF(Tim!I55="","",Tim!I55)</f>
        <v/>
      </c>
      <c r="J53" s="53" t="str">
        <f>IF(Tim!J55="","",Tim!J55)</f>
        <v/>
      </c>
      <c r="K53" s="53" t="str">
        <f>IF(Tim!K55="","",Tim!K55)</f>
        <v/>
      </c>
      <c r="L53" s="53" t="str">
        <f>IF(Tim!L55="","",Tim!L55)</f>
        <v/>
      </c>
      <c r="M53" s="53" t="str">
        <f>IF(Tim!P55="","",Tim!P55)</f>
        <v/>
      </c>
      <c r="N53" s="53" t="str">
        <f>IF(Tim!Q55="","",Tim!Q55)</f>
        <v>MS</v>
      </c>
      <c r="O53" s="53" t="str">
        <f>IF(Tim!R55="","",Tim!R55)</f>
        <v/>
      </c>
      <c r="P53" s="53" t="str">
        <f>IF(Tim!S55="","",Tim!S55)</f>
        <v/>
      </c>
      <c r="Q53" s="55" t="str">
        <f>IF(Tim!T55="","",Tim!T55)</f>
        <v/>
      </c>
      <c r="R53" s="56" t="str">
        <f>IF(Tim!AY55="","",Tim!AY55)</f>
        <v>HA</v>
      </c>
      <c r="S53" s="53" t="str">
        <f>IF(Tim!AZ55="","",Tim!AZ55)</f>
        <v/>
      </c>
      <c r="T53" s="53" t="str">
        <f>IF(Tim!BA55="","",Tim!BA55)</f>
        <v/>
      </c>
      <c r="U53" s="53" t="str">
        <f>IF(Tim!BB55="","",Tim!BB55)</f>
        <v/>
      </c>
      <c r="V53" s="53" t="str">
        <f>IF(Tim!BC55="","",Tim!BC55)</f>
        <v/>
      </c>
      <c r="W53" s="53" t="str">
        <f>IF(Tim!BD55="","",Tim!BD55)</f>
        <v/>
      </c>
      <c r="X53" s="53" t="str">
        <f>IF(Tim!BE55="","",Tim!BE55)</f>
        <v/>
      </c>
      <c r="Y53" s="53" t="str">
        <f>IF(Tim!BF55="","",Tim!BF55)</f>
        <v/>
      </c>
      <c r="Z53" s="53" t="str">
        <f>IF(Tim!BI55="","",Tim!BI55)</f>
        <v/>
      </c>
      <c r="AA53" s="53" t="str">
        <f>IF(Tim!BJ55="","",Tim!BJ55)</f>
        <v/>
      </c>
      <c r="AB53" s="53" t="str">
        <f>IF(Tim!BK55="","",Tim!BK55)</f>
        <v/>
      </c>
      <c r="AC53" s="53" t="str">
        <f>IF(Tim!BL55="","",Tim!BL55)</f>
        <v/>
      </c>
      <c r="AD53" s="55" t="str">
        <f>IF(Tim!BM55="","",Tim!BM55)</f>
        <v/>
      </c>
      <c r="AE53" s="56" t="str">
        <f>IF(Tim!CQ55="","",Tim!CQ55)</f>
        <v>CR</v>
      </c>
      <c r="AF53" s="53" t="str">
        <f>IF(Tim!CR55="","",Tim!CR55)</f>
        <v/>
      </c>
      <c r="AG53" s="53" t="str">
        <f>IF(Tim!CS55="","",Tim!CS55)</f>
        <v/>
      </c>
      <c r="AH53" s="53" t="str">
        <f>IF(Tim!CT55="","",Tim!CT55)</f>
        <v/>
      </c>
      <c r="AI53" s="53" t="str">
        <f>IF(Tim!CU55="","",Tim!CU55)</f>
        <v/>
      </c>
      <c r="AJ53" s="53" t="str">
        <f>IF(Tim!CV55="","",Tim!CV55)</f>
        <v/>
      </c>
      <c r="AK53" s="53" t="str">
        <f>IF(Tim!CW55="","",Tim!CW55)</f>
        <v/>
      </c>
      <c r="AL53" s="53" t="str">
        <f>IF(Tim!DA55="","",Tim!DA55)</f>
        <v/>
      </c>
      <c r="AM53" s="53" t="str">
        <f>IF(Tim!DB55="","",Tim!DB55)</f>
        <v/>
      </c>
      <c r="AN53" s="53" t="str">
        <f>IF(Tim!DC55="","",Tim!DC55)</f>
        <v/>
      </c>
      <c r="AO53" s="53" t="str">
        <f>IF(Tim!DD55="","",Tim!DD55)</f>
        <v/>
      </c>
      <c r="AP53" s="53" t="str">
        <f>IF(Tim!DE55="","",Tim!DE55)</f>
        <v/>
      </c>
      <c r="AQ53" s="56" t="str">
        <f>IF(Tim!EL55="","",Tim!EL55)</f>
        <v>LA</v>
      </c>
      <c r="AR53" s="53" t="str">
        <f>IF(Tim!EM55="","",Tim!EM55)</f>
        <v/>
      </c>
      <c r="AS53" s="53" t="str">
        <f>IF(Tim!EN55="","",Tim!EN55)</f>
        <v/>
      </c>
      <c r="AT53" s="53" t="str">
        <f>IF(Tim!EO55="","",Tim!EO55)</f>
        <v/>
      </c>
      <c r="AU53" s="53" t="str">
        <f>IF(Tim!EP55="","",Tim!EP55)</f>
        <v/>
      </c>
      <c r="AV53" s="53" t="str">
        <f>IF(Tim!EQ55="","",Tim!EQ55)</f>
        <v/>
      </c>
      <c r="AW53" s="53" t="str">
        <f>IF(Tim!ER55="","",Tim!ER55)</f>
        <v/>
      </c>
      <c r="AX53" s="53" t="str">
        <f>IF(Tim!EV55="","",Tim!EV55)</f>
        <v/>
      </c>
      <c r="AY53" s="53" t="str">
        <f>IF(Tim!EW55="","",Tim!EW55)</f>
        <v/>
      </c>
      <c r="AZ53" s="53" t="str">
        <f>IF(Tim!EX55="","",Tim!EX55)</f>
        <v/>
      </c>
      <c r="BA53" s="53" t="str">
        <f>IF(Tim!EY55="","",Tim!EY55)</f>
        <v/>
      </c>
      <c r="BB53" s="53" t="str">
        <f>IF(Tim!EZ55="","",Tim!EZ55)</f>
        <v/>
      </c>
      <c r="BC53" s="56" t="str">
        <f>IF(Tim!GD55="","",Tim!GD55)</f>
        <v>HA</v>
      </c>
      <c r="BD53" s="53" t="str">
        <f>IF(Tim!GE55="","",Tim!GE55)</f>
        <v/>
      </c>
      <c r="BE53" s="53" t="str">
        <f>IF(Tim!GF55="","",Tim!GF55)</f>
        <v/>
      </c>
      <c r="BF53" s="53" t="str">
        <f>IF(Tim!GG55="","",Tim!GG55)</f>
        <v/>
      </c>
      <c r="BG53" s="53" t="str">
        <f>IF(Tim!GH55="","",Tim!GH55)</f>
        <v/>
      </c>
      <c r="BH53" s="53" t="str">
        <f>IF(Tim!GI55="","",Tim!GI55)</f>
        <v/>
      </c>
      <c r="BI53" s="53" t="str">
        <f>IF(Tim!GJ55="","",Tim!GJ55)</f>
        <v/>
      </c>
      <c r="BJ53" s="53" t="str">
        <f>IF(Tim!GN55="","",Tim!GN55)</f>
        <v>RF</v>
      </c>
      <c r="BK53" s="53" t="str">
        <f>IF(Tim!GO55="","",Tim!GO55)</f>
        <v/>
      </c>
      <c r="BL53" s="53" t="str">
        <f>IF(Tim!GP55="","",Tim!GP55)</f>
        <v/>
      </c>
      <c r="BM53" s="53" t="str">
        <f>IF(Tim!GQ55="","",Tim!GQ55)</f>
        <v/>
      </c>
      <c r="BN53" s="53" t="str">
        <f>IF(Tim!GR55="","",Tim!GR55)</f>
        <v/>
      </c>
      <c r="BO53" s="56" t="str">
        <f>IF(Tim!HV55="","",Tim!HV55)</f>
        <v>LA</v>
      </c>
      <c r="BP53" s="53" t="str">
        <f>IF(Tim!HW55="","",Tim!HW55)</f>
        <v/>
      </c>
      <c r="BQ53" s="53" t="str">
        <f>IF(Tim!HX55="","",Tim!HX55)</f>
        <v/>
      </c>
      <c r="BR53" s="53" t="str">
        <f>IF(Tim!HY55="","",Tim!HY55)</f>
        <v/>
      </c>
      <c r="BS53" s="53" t="str">
        <f>IF(Tim!HZ55="","",Tim!HZ55)</f>
        <v/>
      </c>
      <c r="BT53" s="53" t="str">
        <f>IF(Tim!IA55="","",Tim!IA55)</f>
        <v/>
      </c>
      <c r="BU53" s="55" t="str">
        <f>IF(Tim!IB55="","",Tim!IB55)</f>
        <v/>
      </c>
      <c r="BV53" s="53" t="str">
        <f>IF(Tim!IF55="","",Tim!IF55)</f>
        <v/>
      </c>
      <c r="BW53" s="53" t="str">
        <f>IF(Tim!IG55="","",Tim!IG55)</f>
        <v/>
      </c>
      <c r="BX53" s="53" t="str">
        <f>IF(Tim!IH55="","",Tim!IH55)</f>
        <v/>
      </c>
      <c r="BY53" s="53" t="str">
        <f>IF(Tim!II55="","",Tim!II55)</f>
        <v/>
      </c>
      <c r="BZ53" s="53" t="str">
        <f>IF(Tim!IJ55="","",Tim!IJ55)</f>
        <v/>
      </c>
      <c r="CA53" s="422"/>
      <c r="CB53" s="423"/>
      <c r="CC53" s="423"/>
      <c r="CD53" s="423"/>
      <c r="CE53" s="423"/>
      <c r="CF53" s="423"/>
      <c r="CG53" s="423"/>
      <c r="CH53" s="423"/>
      <c r="CI53" s="423"/>
      <c r="CJ53" s="423"/>
      <c r="CK53" s="423"/>
      <c r="CL53" s="424"/>
      <c r="CM53" s="52">
        <v>0.79166666666666496</v>
      </c>
    </row>
    <row r="54" spans="2:91" ht="10.5" customHeight="1">
      <c r="B54" s="51">
        <v>0.25</v>
      </c>
      <c r="C54" s="51">
        <v>0.25</v>
      </c>
      <c r="D54" s="51">
        <v>0.25</v>
      </c>
      <c r="E54" s="212">
        <v>0.80208333333333204</v>
      </c>
      <c r="F54" s="56" t="str">
        <f>IF(Tim!F56="","",Tim!F56)</f>
        <v>CR</v>
      </c>
      <c r="G54" s="53" t="str">
        <f>IF(Tim!G56="","",Tim!G56)</f>
        <v/>
      </c>
      <c r="H54" s="53" t="str">
        <f>IF(Tim!H56="","",Tim!H56)</f>
        <v/>
      </c>
      <c r="I54" s="53" t="str">
        <f>IF(Tim!I56="","",Tim!I56)</f>
        <v/>
      </c>
      <c r="J54" s="53" t="str">
        <f>IF(Tim!J56="","",Tim!J56)</f>
        <v/>
      </c>
      <c r="K54" s="53" t="str">
        <f>IF(Tim!K56="","",Tim!K56)</f>
        <v/>
      </c>
      <c r="L54" s="53" t="str">
        <f>IF(Tim!L56="","",Tim!L56)</f>
        <v/>
      </c>
      <c r="M54" s="53" t="str">
        <f>IF(Tim!P56="","",Tim!P56)</f>
        <v/>
      </c>
      <c r="N54" s="53" t="str">
        <f>IF(Tim!Q56="","",Tim!Q56)</f>
        <v>MS</v>
      </c>
      <c r="O54" s="53" t="str">
        <f>IF(Tim!R56="","",Tim!R56)</f>
        <v/>
      </c>
      <c r="P54" s="53" t="str">
        <f>IF(Tim!S56="","",Tim!S56)</f>
        <v/>
      </c>
      <c r="Q54" s="55" t="str">
        <f>IF(Tim!T56="","",Tim!T56)</f>
        <v/>
      </c>
      <c r="R54" s="56" t="str">
        <f>IF(Tim!AY56="","",Tim!AY56)</f>
        <v>MS</v>
      </c>
      <c r="S54" s="53" t="str">
        <f>IF(Tim!AZ56="","",Tim!AZ56)</f>
        <v/>
      </c>
      <c r="T54" s="53" t="str">
        <f>IF(Tim!BA56="","",Tim!BA56)</f>
        <v/>
      </c>
      <c r="U54" s="53" t="str">
        <f>IF(Tim!BB56="","",Tim!BB56)</f>
        <v/>
      </c>
      <c r="V54" s="53" t="str">
        <f>IF(Tim!BC56="","",Tim!BC56)</f>
        <v/>
      </c>
      <c r="W54" s="53" t="str">
        <f>IF(Tim!BD56="","",Tim!BD56)</f>
        <v/>
      </c>
      <c r="X54" s="53" t="str">
        <f>IF(Tim!BE56="","",Tim!BE56)</f>
        <v/>
      </c>
      <c r="Y54" s="53" t="str">
        <f>IF(Tim!BF56="","",Tim!BF56)</f>
        <v/>
      </c>
      <c r="Z54" s="53" t="str">
        <f>IF(Tim!BI56="","",Tim!BI56)</f>
        <v/>
      </c>
      <c r="AA54" s="53" t="str">
        <f>IF(Tim!BJ56="","",Tim!BJ56)</f>
        <v/>
      </c>
      <c r="AB54" s="53" t="str">
        <f>IF(Tim!BK56="","",Tim!BK56)</f>
        <v/>
      </c>
      <c r="AC54" s="53" t="str">
        <f>IF(Tim!BL56="","",Tim!BL56)</f>
        <v/>
      </c>
      <c r="AD54" s="55" t="str">
        <f>IF(Tim!BM56="","",Tim!BM56)</f>
        <v/>
      </c>
      <c r="AE54" s="56" t="str">
        <f>IF(Tim!CQ56="","",Tim!CQ56)</f>
        <v>CR</v>
      </c>
      <c r="AF54" s="53" t="str">
        <f>IF(Tim!CR56="","",Tim!CR56)</f>
        <v/>
      </c>
      <c r="AG54" s="53" t="str">
        <f>IF(Tim!CS56="","",Tim!CS56)</f>
        <v/>
      </c>
      <c r="AH54" s="53" t="str">
        <f>IF(Tim!CT56="","",Tim!CT56)</f>
        <v/>
      </c>
      <c r="AI54" s="53" t="str">
        <f>IF(Tim!CU56="","",Tim!CU56)</f>
        <v/>
      </c>
      <c r="AJ54" s="53" t="str">
        <f>IF(Tim!CV56="","",Tim!CV56)</f>
        <v/>
      </c>
      <c r="AK54" s="53" t="str">
        <f>IF(Tim!CW56="","",Tim!CW56)</f>
        <v/>
      </c>
      <c r="AL54" s="53" t="str">
        <f>IF(Tim!DA56="","",Tim!DA56)</f>
        <v/>
      </c>
      <c r="AM54" s="53" t="str">
        <f>IF(Tim!DB56="","",Tim!DB56)</f>
        <v/>
      </c>
      <c r="AN54" s="53" t="str">
        <f>IF(Tim!DC56="","",Tim!DC56)</f>
        <v/>
      </c>
      <c r="AO54" s="53" t="str">
        <f>IF(Tim!DD56="","",Tim!DD56)</f>
        <v/>
      </c>
      <c r="AP54" s="53" t="str">
        <f>IF(Tim!DE56="","",Tim!DE56)</f>
        <v/>
      </c>
      <c r="AQ54" s="56" t="str">
        <f>IF(Tim!EL56="","",Tim!EL56)</f>
        <v>HA</v>
      </c>
      <c r="AR54" s="53" t="str">
        <f>IF(Tim!EM56="","",Tim!EM56)</f>
        <v/>
      </c>
      <c r="AS54" s="53" t="str">
        <f>IF(Tim!EN56="","",Tim!EN56)</f>
        <v/>
      </c>
      <c r="AT54" s="53" t="str">
        <f>IF(Tim!EO56="","",Tim!EO56)</f>
        <v/>
      </c>
      <c r="AU54" s="53" t="str">
        <f>IF(Tim!EP56="","",Tim!EP56)</f>
        <v/>
      </c>
      <c r="AV54" s="53" t="str">
        <f>IF(Tim!EQ56="","",Tim!EQ56)</f>
        <v/>
      </c>
      <c r="AW54" s="53" t="str">
        <f>IF(Tim!ER56="","",Tim!ER56)</f>
        <v/>
      </c>
      <c r="AX54" s="53" t="str">
        <f>IF(Tim!EV56="","",Tim!EV56)</f>
        <v/>
      </c>
      <c r="AY54" s="53" t="str">
        <f>IF(Tim!EW56="","",Tim!EW56)</f>
        <v/>
      </c>
      <c r="AZ54" s="53" t="str">
        <f>IF(Tim!EX56="","",Tim!EX56)</f>
        <v/>
      </c>
      <c r="BA54" s="53" t="str">
        <f>IF(Tim!EY56="","",Tim!EY56)</f>
        <v/>
      </c>
      <c r="BB54" s="53" t="str">
        <f>IF(Tim!EZ56="","",Tim!EZ56)</f>
        <v/>
      </c>
      <c r="BC54" s="56" t="str">
        <f>IF(Tim!GD56="","",Tim!GD56)</f>
        <v>HA</v>
      </c>
      <c r="BD54" s="53" t="str">
        <f>IF(Tim!GE56="","",Tim!GE56)</f>
        <v/>
      </c>
      <c r="BE54" s="53" t="str">
        <f>IF(Tim!GF56="","",Tim!GF56)</f>
        <v/>
      </c>
      <c r="BF54" s="53" t="str">
        <f>IF(Tim!GG56="","",Tim!GG56)</f>
        <v/>
      </c>
      <c r="BG54" s="53" t="str">
        <f>IF(Tim!GH56="","",Tim!GH56)</f>
        <v/>
      </c>
      <c r="BH54" s="53" t="str">
        <f>IF(Tim!GI56="","",Tim!GI56)</f>
        <v/>
      </c>
      <c r="BI54" s="53" t="str">
        <f>IF(Tim!GJ56="","",Tim!GJ56)</f>
        <v/>
      </c>
      <c r="BJ54" s="53" t="str">
        <f>IF(Tim!GN56="","",Tim!GN56)</f>
        <v>RF</v>
      </c>
      <c r="BK54" s="53" t="str">
        <f>IF(Tim!GO56="","",Tim!GO56)</f>
        <v/>
      </c>
      <c r="BL54" s="53" t="str">
        <f>IF(Tim!GP56="","",Tim!GP56)</f>
        <v/>
      </c>
      <c r="BM54" s="53" t="str">
        <f>IF(Tim!GQ56="","",Tim!GQ56)</f>
        <v/>
      </c>
      <c r="BN54" s="53" t="str">
        <f>IF(Tim!GR56="","",Tim!GR56)</f>
        <v/>
      </c>
      <c r="BO54" s="56" t="str">
        <f>IF(Tim!HV56="","",Tim!HV56)</f>
        <v>LA</v>
      </c>
      <c r="BP54" s="53" t="str">
        <f>IF(Tim!HW56="","",Tim!HW56)</f>
        <v/>
      </c>
      <c r="BQ54" s="53" t="str">
        <f>IF(Tim!HX56="","",Tim!HX56)</f>
        <v/>
      </c>
      <c r="BR54" s="53" t="str">
        <f>IF(Tim!HY56="","",Tim!HY56)</f>
        <v/>
      </c>
      <c r="BS54" s="53" t="str">
        <f>IF(Tim!HZ56="","",Tim!HZ56)</f>
        <v/>
      </c>
      <c r="BT54" s="53" t="str">
        <f>IF(Tim!IA56="","",Tim!IA56)</f>
        <v/>
      </c>
      <c r="BU54" s="55" t="str">
        <f>IF(Tim!IB56="","",Tim!IB56)</f>
        <v/>
      </c>
      <c r="BV54" s="53" t="str">
        <f>IF(Tim!IF56="","",Tim!IF56)</f>
        <v/>
      </c>
      <c r="BW54" s="53" t="str">
        <f>IF(Tim!IG56="","",Tim!IG56)</f>
        <v/>
      </c>
      <c r="BX54" s="53" t="str">
        <f>IF(Tim!IH56="","",Tim!IH56)</f>
        <v/>
      </c>
      <c r="BY54" s="53" t="str">
        <f>IF(Tim!II56="","",Tim!II56)</f>
        <v/>
      </c>
      <c r="BZ54" s="53" t="str">
        <f>IF(Tim!IJ56="","",Tim!IJ56)</f>
        <v/>
      </c>
      <c r="CA54" s="422"/>
      <c r="CB54" s="423"/>
      <c r="CC54" s="423"/>
      <c r="CD54" s="423"/>
      <c r="CE54" s="423"/>
      <c r="CF54" s="423"/>
      <c r="CG54" s="423"/>
      <c r="CH54" s="423"/>
      <c r="CI54" s="423"/>
      <c r="CJ54" s="423"/>
      <c r="CK54" s="423"/>
      <c r="CL54" s="424"/>
      <c r="CM54" s="52">
        <v>0.80208333333333204</v>
      </c>
    </row>
    <row r="55" spans="2:91" ht="10.5" customHeight="1">
      <c r="B55" s="51">
        <v>0.25</v>
      </c>
      <c r="C55" s="51">
        <v>0.25</v>
      </c>
      <c r="D55" s="51">
        <v>0.25</v>
      </c>
      <c r="E55" s="212">
        <v>0.812499999999998</v>
      </c>
      <c r="F55" s="56" t="str">
        <f>IF(Tim!F57="","",Tim!F57)</f>
        <v>CR</v>
      </c>
      <c r="G55" s="53" t="str">
        <f>IF(Tim!G57="","",Tim!G57)</f>
        <v/>
      </c>
      <c r="H55" s="53" t="str">
        <f>IF(Tim!H57="","",Tim!H57)</f>
        <v/>
      </c>
      <c r="I55" s="53" t="str">
        <f>IF(Tim!I57="","",Tim!I57)</f>
        <v/>
      </c>
      <c r="J55" s="53" t="str">
        <f>IF(Tim!J57="","",Tim!J57)</f>
        <v/>
      </c>
      <c r="K55" s="53" t="str">
        <f>IF(Tim!K57="","",Tim!K57)</f>
        <v/>
      </c>
      <c r="L55" s="53" t="str">
        <f>IF(Tim!L57="","",Tim!L57)</f>
        <v/>
      </c>
      <c r="M55" s="53" t="str">
        <f>IF(Tim!P57="","",Tim!P57)</f>
        <v/>
      </c>
      <c r="N55" s="53" t="str">
        <f>IF(Tim!Q57="","",Tim!Q57)</f>
        <v>MS</v>
      </c>
      <c r="O55" s="53" t="str">
        <f>IF(Tim!R57="","",Tim!R57)</f>
        <v/>
      </c>
      <c r="P55" s="53" t="str">
        <f>IF(Tim!S57="","",Tim!S57)</f>
        <v/>
      </c>
      <c r="Q55" s="55" t="str">
        <f>IF(Tim!T57="","",Tim!T57)</f>
        <v/>
      </c>
      <c r="R55" s="56" t="str">
        <f>IF(Tim!AY57="","",Tim!AY57)</f>
        <v>MS</v>
      </c>
      <c r="S55" s="53" t="str">
        <f>IF(Tim!AZ57="","",Tim!AZ57)</f>
        <v/>
      </c>
      <c r="T55" s="53" t="str">
        <f>IF(Tim!BA57="","",Tim!BA57)</f>
        <v/>
      </c>
      <c r="U55" s="53" t="str">
        <f>IF(Tim!BB57="","",Tim!BB57)</f>
        <v/>
      </c>
      <c r="V55" s="53" t="str">
        <f>IF(Tim!BC57="","",Tim!BC57)</f>
        <v/>
      </c>
      <c r="W55" s="53" t="str">
        <f>IF(Tim!BD57="","",Tim!BD57)</f>
        <v/>
      </c>
      <c r="X55" s="53" t="str">
        <f>IF(Tim!BE57="","",Tim!BE57)</f>
        <v/>
      </c>
      <c r="Y55" s="53" t="str">
        <f>IF(Tim!BF57="","",Tim!BF57)</f>
        <v/>
      </c>
      <c r="Z55" s="53" t="str">
        <f>IF(Tim!BI57="","",Tim!BI57)</f>
        <v/>
      </c>
      <c r="AA55" s="53" t="str">
        <f>IF(Tim!BJ57="","",Tim!BJ57)</f>
        <v/>
      </c>
      <c r="AB55" s="53" t="str">
        <f>IF(Tim!BK57="","",Tim!BK57)</f>
        <v/>
      </c>
      <c r="AC55" s="53" t="str">
        <f>IF(Tim!BL57="","",Tim!BL57)</f>
        <v/>
      </c>
      <c r="AD55" s="55" t="str">
        <f>IF(Tim!BM57="","",Tim!BM57)</f>
        <v/>
      </c>
      <c r="AE55" s="56" t="str">
        <f>IF(Tim!CQ57="","",Tim!CQ57)</f>
        <v>MS</v>
      </c>
      <c r="AF55" s="53" t="str">
        <f>IF(Tim!CR57="","",Tim!CR57)</f>
        <v/>
      </c>
      <c r="AG55" s="53" t="str">
        <f>IF(Tim!CS57="","",Tim!CS57)</f>
        <v/>
      </c>
      <c r="AH55" s="53" t="str">
        <f>IF(Tim!CT57="","",Tim!CT57)</f>
        <v/>
      </c>
      <c r="AI55" s="53" t="str">
        <f>IF(Tim!CU57="","",Tim!CU57)</f>
        <v/>
      </c>
      <c r="AJ55" s="53" t="str">
        <f>IF(Tim!CV57="","",Tim!CV57)</f>
        <v/>
      </c>
      <c r="AK55" s="53" t="str">
        <f>IF(Tim!CW57="","",Tim!CW57)</f>
        <v/>
      </c>
      <c r="AL55" s="53" t="str">
        <f>IF(Tim!DA57="","",Tim!DA57)</f>
        <v/>
      </c>
      <c r="AM55" s="53" t="str">
        <f>IF(Tim!DB57="","",Tim!DB57)</f>
        <v/>
      </c>
      <c r="AN55" s="53" t="str">
        <f>IF(Tim!DC57="","",Tim!DC57)</f>
        <v/>
      </c>
      <c r="AO55" s="53" t="str">
        <f>IF(Tim!DD57="","",Tim!DD57)</f>
        <v/>
      </c>
      <c r="AP55" s="53" t="str">
        <f>IF(Tim!DE57="","",Tim!DE57)</f>
        <v/>
      </c>
      <c r="AQ55" s="56" t="str">
        <f>IF(Tim!EL57="","",Tim!EL57)</f>
        <v>HA</v>
      </c>
      <c r="AR55" s="53" t="str">
        <f>IF(Tim!EM57="","",Tim!EM57)</f>
        <v/>
      </c>
      <c r="AS55" s="53" t="str">
        <f>IF(Tim!EN57="","",Tim!EN57)</f>
        <v/>
      </c>
      <c r="AT55" s="53" t="str">
        <f>IF(Tim!EO57="","",Tim!EO57)</f>
        <v/>
      </c>
      <c r="AU55" s="53" t="str">
        <f>IF(Tim!EP57="","",Tim!EP57)</f>
        <v/>
      </c>
      <c r="AV55" s="53" t="str">
        <f>IF(Tim!EQ57="","",Tim!EQ57)</f>
        <v/>
      </c>
      <c r="AW55" s="53" t="str">
        <f>IF(Tim!ER57="","",Tim!ER57)</f>
        <v/>
      </c>
      <c r="AX55" s="53" t="str">
        <f>IF(Tim!EV57="","",Tim!EV57)</f>
        <v/>
      </c>
      <c r="AY55" s="53" t="str">
        <f>IF(Tim!EW57="","",Tim!EW57)</f>
        <v/>
      </c>
      <c r="AZ55" s="53" t="str">
        <f>IF(Tim!EX57="","",Tim!EX57)</f>
        <v/>
      </c>
      <c r="BA55" s="53" t="str">
        <f>IF(Tim!EY57="","",Tim!EY57)</f>
        <v/>
      </c>
      <c r="BB55" s="53" t="str">
        <f>IF(Tim!EZ57="","",Tim!EZ57)</f>
        <v/>
      </c>
      <c r="BC55" s="56" t="str">
        <f>IF(Tim!GD57="","",Tim!GD57)</f>
        <v>HA</v>
      </c>
      <c r="BD55" s="53" t="str">
        <f>IF(Tim!GE57="","",Tim!GE57)</f>
        <v/>
      </c>
      <c r="BE55" s="53" t="str">
        <f>IF(Tim!GF57="","",Tim!GF57)</f>
        <v/>
      </c>
      <c r="BF55" s="53" t="str">
        <f>IF(Tim!GG57="","",Tim!GG57)</f>
        <v/>
      </c>
      <c r="BG55" s="53" t="str">
        <f>IF(Tim!GH57="","",Tim!GH57)</f>
        <v/>
      </c>
      <c r="BH55" s="53" t="str">
        <f>IF(Tim!GI57="","",Tim!GI57)</f>
        <v/>
      </c>
      <c r="BI55" s="53" t="str">
        <f>IF(Tim!GJ57="","",Tim!GJ57)</f>
        <v/>
      </c>
      <c r="BJ55" s="53" t="str">
        <f>IF(Tim!GN57="","",Tim!GN57)</f>
        <v>RF</v>
      </c>
      <c r="BK55" s="53" t="str">
        <f>IF(Tim!GO57="","",Tim!GO57)</f>
        <v/>
      </c>
      <c r="BL55" s="53" t="str">
        <f>IF(Tim!GP57="","",Tim!GP57)</f>
        <v/>
      </c>
      <c r="BM55" s="53" t="str">
        <f>IF(Tim!GQ57="","",Tim!GQ57)</f>
        <v/>
      </c>
      <c r="BN55" s="53" t="str">
        <f>IF(Tim!GR57="","",Tim!GR57)</f>
        <v/>
      </c>
      <c r="BO55" s="56" t="str">
        <f>IF(Tim!HV57="","",Tim!HV57)</f>
        <v>LA</v>
      </c>
      <c r="BP55" s="53" t="str">
        <f>IF(Tim!HW57="","",Tim!HW57)</f>
        <v/>
      </c>
      <c r="BQ55" s="53" t="str">
        <f>IF(Tim!HX57="","",Tim!HX57)</f>
        <v/>
      </c>
      <c r="BR55" s="53" t="str">
        <f>IF(Tim!HY57="","",Tim!HY57)</f>
        <v/>
      </c>
      <c r="BS55" s="53" t="str">
        <f>IF(Tim!HZ57="","",Tim!HZ57)</f>
        <v/>
      </c>
      <c r="BT55" s="53" t="str">
        <f>IF(Tim!IA57="","",Tim!IA57)</f>
        <v/>
      </c>
      <c r="BU55" s="55" t="str">
        <f>IF(Tim!IB57="","",Tim!IB57)</f>
        <v/>
      </c>
      <c r="BV55" s="53" t="str">
        <f>IF(Tim!IF57="","",Tim!IF57)</f>
        <v/>
      </c>
      <c r="BW55" s="53" t="str">
        <f>IF(Tim!IG57="","",Tim!IG57)</f>
        <v/>
      </c>
      <c r="BX55" s="53" t="str">
        <f>IF(Tim!IH57="","",Tim!IH57)</f>
        <v/>
      </c>
      <c r="BY55" s="53" t="str">
        <f>IF(Tim!II57="","",Tim!II57)</f>
        <v/>
      </c>
      <c r="BZ55" s="53" t="str">
        <f>IF(Tim!IJ57="","",Tim!IJ57)</f>
        <v/>
      </c>
      <c r="CA55" s="422"/>
      <c r="CB55" s="423"/>
      <c r="CC55" s="423"/>
      <c r="CD55" s="423"/>
      <c r="CE55" s="423"/>
      <c r="CF55" s="423"/>
      <c r="CG55" s="423"/>
      <c r="CH55" s="423"/>
      <c r="CI55" s="423"/>
      <c r="CJ55" s="423"/>
      <c r="CK55" s="423"/>
      <c r="CL55" s="424"/>
      <c r="CM55" s="52">
        <v>0.812499999999998</v>
      </c>
    </row>
    <row r="56" spans="2:91" ht="10.5" customHeight="1" thickBot="1">
      <c r="B56" s="51">
        <v>0.25</v>
      </c>
      <c r="C56" s="51">
        <v>0.25</v>
      </c>
      <c r="D56" s="51">
        <v>0.25</v>
      </c>
      <c r="E56" s="212">
        <v>0.82291666666666496</v>
      </c>
      <c r="F56" s="56" t="str">
        <f>IF(Tim!F58="","",Tim!F58)</f>
        <v>CR</v>
      </c>
      <c r="G56" s="53" t="str">
        <f>IF(Tim!G58="","",Tim!G58)</f>
        <v/>
      </c>
      <c r="H56" s="53" t="str">
        <f>IF(Tim!H58="","",Tim!H58)</f>
        <v/>
      </c>
      <c r="I56" s="53" t="str">
        <f>IF(Tim!I58="","",Tim!I58)</f>
        <v/>
      </c>
      <c r="J56" s="53" t="str">
        <f>IF(Tim!J58="","",Tim!J58)</f>
        <v/>
      </c>
      <c r="K56" s="53" t="str">
        <f>IF(Tim!K58="","",Tim!K58)</f>
        <v/>
      </c>
      <c r="L56" s="53" t="str">
        <f>IF(Tim!L58="","",Tim!L58)</f>
        <v/>
      </c>
      <c r="M56" s="53" t="str">
        <f>IF(Tim!P58="","",Tim!P58)</f>
        <v/>
      </c>
      <c r="N56" s="53" t="str">
        <f>IF(Tim!Q58="","",Tim!Q58)</f>
        <v>MS</v>
      </c>
      <c r="O56" s="53" t="str">
        <f>IF(Tim!R58="","",Tim!R58)</f>
        <v/>
      </c>
      <c r="P56" s="53" t="str">
        <f>IF(Tim!S58="","",Tim!S58)</f>
        <v/>
      </c>
      <c r="Q56" s="55" t="str">
        <f>IF(Tim!T58="","",Tim!T58)</f>
        <v/>
      </c>
      <c r="R56" s="56" t="str">
        <f>IF(Tim!AY58="","",Tim!AY58)</f>
        <v>MS</v>
      </c>
      <c r="S56" s="53" t="str">
        <f>IF(Tim!AZ58="","",Tim!AZ58)</f>
        <v/>
      </c>
      <c r="T56" s="53" t="str">
        <f>IF(Tim!BA58="","",Tim!BA58)</f>
        <v/>
      </c>
      <c r="U56" s="53" t="str">
        <f>IF(Tim!BB58="","",Tim!BB58)</f>
        <v/>
      </c>
      <c r="V56" s="53" t="str">
        <f>IF(Tim!BC58="","",Tim!BC58)</f>
        <v/>
      </c>
      <c r="W56" s="53" t="str">
        <f>IF(Tim!BD58="","",Tim!BD58)</f>
        <v/>
      </c>
      <c r="X56" s="53" t="str">
        <f>IF(Tim!BE58="","",Tim!BE58)</f>
        <v/>
      </c>
      <c r="Y56" s="53" t="str">
        <f>IF(Tim!BF58="","",Tim!BF58)</f>
        <v/>
      </c>
      <c r="Z56" s="53" t="str">
        <f>IF(Tim!BI58="","",Tim!BI58)</f>
        <v/>
      </c>
      <c r="AA56" s="53" t="str">
        <f>IF(Tim!BJ58="","",Tim!BJ58)</f>
        <v/>
      </c>
      <c r="AB56" s="53" t="str">
        <f>IF(Tim!BK58="","",Tim!BK58)</f>
        <v/>
      </c>
      <c r="AC56" s="53" t="str">
        <f>IF(Tim!BL58="","",Tim!BL58)</f>
        <v/>
      </c>
      <c r="AD56" s="55" t="str">
        <f>IF(Tim!BM58="","",Tim!BM58)</f>
        <v/>
      </c>
      <c r="AE56" s="56" t="str">
        <f>IF(Tim!CQ58="","",Tim!CQ58)</f>
        <v>MS</v>
      </c>
      <c r="AF56" s="53" t="str">
        <f>IF(Tim!CR58="","",Tim!CR58)</f>
        <v/>
      </c>
      <c r="AG56" s="53" t="str">
        <f>IF(Tim!CS58="","",Tim!CS58)</f>
        <v/>
      </c>
      <c r="AH56" s="53" t="str">
        <f>IF(Tim!CT58="","",Tim!CT58)</f>
        <v/>
      </c>
      <c r="AI56" s="53" t="str">
        <f>IF(Tim!CU58="","",Tim!CU58)</f>
        <v/>
      </c>
      <c r="AJ56" s="53" t="str">
        <f>IF(Tim!CV58="","",Tim!CV58)</f>
        <v/>
      </c>
      <c r="AK56" s="53" t="str">
        <f>IF(Tim!CW58="","",Tim!CW58)</f>
        <v/>
      </c>
      <c r="AL56" s="53" t="str">
        <f>IF(Tim!DA58="","",Tim!DA58)</f>
        <v/>
      </c>
      <c r="AM56" s="53" t="str">
        <f>IF(Tim!DB58="","",Tim!DB58)</f>
        <v/>
      </c>
      <c r="AN56" s="53" t="str">
        <f>IF(Tim!DC58="","",Tim!DC58)</f>
        <v/>
      </c>
      <c r="AO56" s="53" t="str">
        <f>IF(Tim!DD58="","",Tim!DD58)</f>
        <v/>
      </c>
      <c r="AP56" s="53" t="str">
        <f>IF(Tim!DE58="","",Tim!DE58)</f>
        <v/>
      </c>
      <c r="AQ56" s="56" t="str">
        <f>IF(Tim!EL58="","",Tim!EL58)</f>
        <v>HA</v>
      </c>
      <c r="AR56" s="53" t="str">
        <f>IF(Tim!EM58="","",Tim!EM58)</f>
        <v/>
      </c>
      <c r="AS56" s="53" t="str">
        <f>IF(Tim!EN58="","",Tim!EN58)</f>
        <v/>
      </c>
      <c r="AT56" s="53" t="str">
        <f>IF(Tim!EO58="","",Tim!EO58)</f>
        <v/>
      </c>
      <c r="AU56" s="53" t="str">
        <f>IF(Tim!EP58="","",Tim!EP58)</f>
        <v/>
      </c>
      <c r="AV56" s="53" t="str">
        <f>IF(Tim!EQ58="","",Tim!EQ58)</f>
        <v/>
      </c>
      <c r="AW56" s="53" t="str">
        <f>IF(Tim!ER58="","",Tim!ER58)</f>
        <v/>
      </c>
      <c r="AX56" s="53" t="str">
        <f>IF(Tim!EV58="","",Tim!EV58)</f>
        <v/>
      </c>
      <c r="AY56" s="53" t="str">
        <f>IF(Tim!EW58="","",Tim!EW58)</f>
        <v/>
      </c>
      <c r="AZ56" s="53" t="str">
        <f>IF(Tim!EX58="","",Tim!EX58)</f>
        <v/>
      </c>
      <c r="BA56" s="53" t="str">
        <f>IF(Tim!EY58="","",Tim!EY58)</f>
        <v/>
      </c>
      <c r="BB56" s="53" t="str">
        <f>IF(Tim!EZ58="","",Tim!EZ58)</f>
        <v/>
      </c>
      <c r="BC56" s="56" t="str">
        <f>IF(Tim!GD58="","",Tim!GD58)</f>
        <v>HA</v>
      </c>
      <c r="BD56" s="53" t="str">
        <f>IF(Tim!GE58="","",Tim!GE58)</f>
        <v/>
      </c>
      <c r="BE56" s="53" t="str">
        <f>IF(Tim!GF58="","",Tim!GF58)</f>
        <v/>
      </c>
      <c r="BF56" s="53" t="str">
        <f>IF(Tim!GG58="","",Tim!GG58)</f>
        <v/>
      </c>
      <c r="BG56" s="53" t="str">
        <f>IF(Tim!GH58="","",Tim!GH58)</f>
        <v/>
      </c>
      <c r="BH56" s="53" t="str">
        <f>IF(Tim!GI58="","",Tim!GI58)</f>
        <v/>
      </c>
      <c r="BI56" s="53" t="str">
        <f>IF(Tim!GJ58="","",Tim!GJ58)</f>
        <v/>
      </c>
      <c r="BJ56" s="53" t="str">
        <f>IF(Tim!GN58="","",Tim!GN58)</f>
        <v>RF</v>
      </c>
      <c r="BK56" s="53" t="str">
        <f>IF(Tim!GO58="","",Tim!GO58)</f>
        <v/>
      </c>
      <c r="BL56" s="53" t="str">
        <f>IF(Tim!GP58="","",Tim!GP58)</f>
        <v/>
      </c>
      <c r="BM56" s="53" t="str">
        <f>IF(Tim!GQ58="","",Tim!GQ58)</f>
        <v/>
      </c>
      <c r="BN56" s="53" t="str">
        <f>IF(Tim!GR58="","",Tim!GR58)</f>
        <v/>
      </c>
      <c r="BO56" s="56" t="str">
        <f>IF(Tim!HV58="","",Tim!HV58)</f>
        <v>LA</v>
      </c>
      <c r="BP56" s="70" t="str">
        <f>IF(Tim!HW58="","",Tim!HW58)</f>
        <v/>
      </c>
      <c r="BQ56" s="70" t="str">
        <f>IF(Tim!HX58="","",Tim!HX58)</f>
        <v/>
      </c>
      <c r="BR56" s="70" t="str">
        <f>IF(Tim!HY58="","",Tim!HY58)</f>
        <v/>
      </c>
      <c r="BS56" s="70" t="str">
        <f>IF(Tim!HZ58="","",Tim!HZ58)</f>
        <v/>
      </c>
      <c r="BT56" s="70" t="str">
        <f>IF(Tim!IA58="","",Tim!IA58)</f>
        <v/>
      </c>
      <c r="BU56" s="72" t="str">
        <f>IF(Tim!IB58="","",Tim!IB58)</f>
        <v/>
      </c>
      <c r="BV56" s="53" t="str">
        <f>IF(Tim!IF58="","",Tim!IF58)</f>
        <v/>
      </c>
      <c r="BW56" s="53" t="str">
        <f>IF(Tim!IG58="","",Tim!IG58)</f>
        <v/>
      </c>
      <c r="BX56" s="53" t="str">
        <f>IF(Tim!IH58="","",Tim!IH58)</f>
        <v/>
      </c>
      <c r="BY56" s="53" t="str">
        <f>IF(Tim!II58="","",Tim!II58)</f>
        <v/>
      </c>
      <c r="BZ56" s="53" t="str">
        <f>IF(Tim!IJ58="","",Tim!IJ58)</f>
        <v/>
      </c>
      <c r="CA56" s="422"/>
      <c r="CB56" s="423"/>
      <c r="CC56" s="423"/>
      <c r="CD56" s="423"/>
      <c r="CE56" s="423"/>
      <c r="CF56" s="423"/>
      <c r="CG56" s="423"/>
      <c r="CH56" s="423"/>
      <c r="CI56" s="423"/>
      <c r="CJ56" s="423"/>
      <c r="CK56" s="423"/>
      <c r="CL56" s="424"/>
      <c r="CM56" s="52">
        <v>0.82291666666666496</v>
      </c>
    </row>
    <row r="57" spans="2:91" ht="10.5" customHeight="1">
      <c r="B57" s="51">
        <v>0.25</v>
      </c>
      <c r="C57" s="51">
        <v>0.25</v>
      </c>
      <c r="D57" s="51">
        <v>0.25</v>
      </c>
      <c r="E57" s="212">
        <v>0.83333333333333204</v>
      </c>
      <c r="F57" s="56" t="str">
        <f>IF(Tim!F59="","",Tim!F59)</f>
        <v>CR</v>
      </c>
      <c r="G57" s="53" t="str">
        <f>IF(Tim!G59="","",Tim!G59)</f>
        <v/>
      </c>
      <c r="H57" s="53" t="str">
        <f>IF(Tim!H59="","",Tim!H59)</f>
        <v/>
      </c>
      <c r="I57" s="53" t="str">
        <f>IF(Tim!I59="","",Tim!I59)</f>
        <v/>
      </c>
      <c r="J57" s="53" t="str">
        <f>IF(Tim!J59="","",Tim!J59)</f>
        <v/>
      </c>
      <c r="K57" s="53" t="str">
        <f>IF(Tim!K59="","",Tim!K59)</f>
        <v/>
      </c>
      <c r="L57" s="53" t="str">
        <f>IF(Tim!L59="","",Tim!L59)</f>
        <v/>
      </c>
      <c r="M57" s="53" t="str">
        <f>IF(Tim!P59="","",Tim!P59)</f>
        <v/>
      </c>
      <c r="N57" s="53" t="str">
        <f>IF(Tim!Q59="","",Tim!Q59)</f>
        <v>MS</v>
      </c>
      <c r="O57" s="53" t="str">
        <f>IF(Tim!R59="","",Tim!R59)</f>
        <v/>
      </c>
      <c r="P57" s="53" t="str">
        <f>IF(Tim!S59="","",Tim!S59)</f>
        <v/>
      </c>
      <c r="Q57" s="55" t="str">
        <f>IF(Tim!T59="","",Tim!T59)</f>
        <v/>
      </c>
      <c r="R57" s="56" t="str">
        <f>IF(Tim!AY59="","",Tim!AY59)</f>
        <v>MS</v>
      </c>
      <c r="S57" s="53" t="str">
        <f>IF(Tim!AZ59="","",Tim!AZ59)</f>
        <v/>
      </c>
      <c r="T57" s="53" t="str">
        <f>IF(Tim!BA59="","",Tim!BA59)</f>
        <v/>
      </c>
      <c r="U57" s="53" t="str">
        <f>IF(Tim!BB59="","",Tim!BB59)</f>
        <v/>
      </c>
      <c r="V57" s="53" t="str">
        <f>IF(Tim!BC59="","",Tim!BC59)</f>
        <v/>
      </c>
      <c r="W57" s="53" t="str">
        <f>IF(Tim!BD59="","",Tim!BD59)</f>
        <v/>
      </c>
      <c r="X57" s="53" t="str">
        <f>IF(Tim!BE59="","",Tim!BE59)</f>
        <v/>
      </c>
      <c r="Y57" s="53" t="str">
        <f>IF(Tim!BF59="","",Tim!BF59)</f>
        <v/>
      </c>
      <c r="Z57" s="53" t="str">
        <f>IF(Tim!BI59="","",Tim!BI59)</f>
        <v/>
      </c>
      <c r="AA57" s="53" t="str">
        <f>IF(Tim!BJ59="","",Tim!BJ59)</f>
        <v/>
      </c>
      <c r="AB57" s="53" t="str">
        <f>IF(Tim!BK59="","",Tim!BK59)</f>
        <v/>
      </c>
      <c r="AC57" s="53" t="str">
        <f>IF(Tim!BL59="","",Tim!BL59)</f>
        <v/>
      </c>
      <c r="AD57" s="55" t="str">
        <f>IF(Tim!BM59="","",Tim!BM59)</f>
        <v/>
      </c>
      <c r="AE57" s="56" t="str">
        <f>IF(Tim!CQ59="","",Tim!CQ59)</f>
        <v>MS</v>
      </c>
      <c r="AF57" s="53" t="str">
        <f>IF(Tim!CR59="","",Tim!CR59)</f>
        <v/>
      </c>
      <c r="AG57" s="53" t="str">
        <f>IF(Tim!CS59="","",Tim!CS59)</f>
        <v/>
      </c>
      <c r="AH57" s="53" t="str">
        <f>IF(Tim!CT59="","",Tim!CT59)</f>
        <v/>
      </c>
      <c r="AI57" s="53" t="str">
        <f>IF(Tim!CU59="","",Tim!CU59)</f>
        <v/>
      </c>
      <c r="AJ57" s="53" t="str">
        <f>IF(Tim!CV59="","",Tim!CV59)</f>
        <v/>
      </c>
      <c r="AK57" s="53" t="str">
        <f>IF(Tim!CW59="","",Tim!CW59)</f>
        <v/>
      </c>
      <c r="AL57" s="53" t="str">
        <f>IF(Tim!DA59="","",Tim!DA59)</f>
        <v/>
      </c>
      <c r="AM57" s="53" t="str">
        <f>IF(Tim!DB59="","",Tim!DB59)</f>
        <v/>
      </c>
      <c r="AN57" s="53" t="str">
        <f>IF(Tim!DC59="","",Tim!DC59)</f>
        <v/>
      </c>
      <c r="AO57" s="53" t="str">
        <f>IF(Tim!DD59="","",Tim!DD59)</f>
        <v/>
      </c>
      <c r="AP57" s="53" t="str">
        <f>IF(Tim!DE59="","",Tim!DE59)</f>
        <v/>
      </c>
      <c r="AQ57" s="56" t="str">
        <f>IF(Tim!EL59="","",Tim!EL59)</f>
        <v>HA</v>
      </c>
      <c r="AR57" s="53" t="str">
        <f>IF(Tim!EM59="","",Tim!EM59)</f>
        <v/>
      </c>
      <c r="AS57" s="53" t="str">
        <f>IF(Tim!EN59="","",Tim!EN59)</f>
        <v/>
      </c>
      <c r="AT57" s="53" t="str">
        <f>IF(Tim!EO59="","",Tim!EO59)</f>
        <v/>
      </c>
      <c r="AU57" s="53" t="str">
        <f>IF(Tim!EP59="","",Tim!EP59)</f>
        <v/>
      </c>
      <c r="AV57" s="53" t="str">
        <f>IF(Tim!EQ59="","",Tim!EQ59)</f>
        <v/>
      </c>
      <c r="AW57" s="53" t="str">
        <f>IF(Tim!ER59="","",Tim!ER59)</f>
        <v/>
      </c>
      <c r="AX57" s="53" t="str">
        <f>IF(Tim!EV59="","",Tim!EV59)</f>
        <v/>
      </c>
      <c r="AY57" s="53" t="str">
        <f>IF(Tim!EW59="","",Tim!EW59)</f>
        <v/>
      </c>
      <c r="AZ57" s="53" t="str">
        <f>IF(Tim!EX59="","",Tim!EX59)</f>
        <v/>
      </c>
      <c r="BA57" s="53" t="str">
        <f>IF(Tim!EY59="","",Tim!EY59)</f>
        <v/>
      </c>
      <c r="BB57" s="53" t="str">
        <f>IF(Tim!EZ59="","",Tim!EZ59)</f>
        <v/>
      </c>
      <c r="BC57" s="56" t="str">
        <f>IF(Tim!GD59="","",Tim!GD59)</f>
        <v>HA</v>
      </c>
      <c r="BD57" s="53" t="str">
        <f>IF(Tim!GE59="","",Tim!GE59)</f>
        <v/>
      </c>
      <c r="BE57" s="53" t="str">
        <f>IF(Tim!GF59="","",Tim!GF59)</f>
        <v/>
      </c>
      <c r="BF57" s="53" t="str">
        <f>IF(Tim!GG59="","",Tim!GG59)</f>
        <v/>
      </c>
      <c r="BG57" s="53" t="str">
        <f>IF(Tim!GH59="","",Tim!GH59)</f>
        <v/>
      </c>
      <c r="BH57" s="53" t="str">
        <f>IF(Tim!GI59="","",Tim!GI59)</f>
        <v/>
      </c>
      <c r="BI57" s="53" t="str">
        <f>IF(Tim!GJ59="","",Tim!GJ59)</f>
        <v/>
      </c>
      <c r="BJ57" s="53" t="str">
        <f>IF(Tim!GN59="","",Tim!GN59)</f>
        <v>RF</v>
      </c>
      <c r="BK57" s="53" t="str">
        <f>IF(Tim!GO59="","",Tim!GO59)</f>
        <v/>
      </c>
      <c r="BL57" s="53" t="str">
        <f>IF(Tim!GP59="","",Tim!GP59)</f>
        <v/>
      </c>
      <c r="BM57" s="53" t="str">
        <f>IF(Tim!GQ59="","",Tim!GQ59)</f>
        <v/>
      </c>
      <c r="BN57" s="53" t="str">
        <f>IF(Tim!GR59="","",Tim!GR59)</f>
        <v/>
      </c>
      <c r="BO57" s="422" t="str">
        <f>IF(Tim!DE59="","",Tim!DE59)</f>
        <v/>
      </c>
      <c r="BP57" s="423"/>
      <c r="BQ57" s="423"/>
      <c r="BR57" s="423"/>
      <c r="BS57" s="423"/>
      <c r="BT57" s="423"/>
      <c r="BU57" s="423"/>
      <c r="BV57" s="423"/>
      <c r="BW57" s="423"/>
      <c r="BX57" s="423"/>
      <c r="BY57" s="423"/>
      <c r="BZ57" s="424"/>
      <c r="CA57" s="422"/>
      <c r="CB57" s="423"/>
      <c r="CC57" s="423"/>
      <c r="CD57" s="423"/>
      <c r="CE57" s="423"/>
      <c r="CF57" s="423"/>
      <c r="CG57" s="423"/>
      <c r="CH57" s="423"/>
      <c r="CI57" s="423"/>
      <c r="CJ57" s="423"/>
      <c r="CK57" s="423"/>
      <c r="CL57" s="424"/>
      <c r="CM57" s="52">
        <v>0.83333333333333204</v>
      </c>
    </row>
    <row r="58" spans="2:91" ht="10.5" customHeight="1">
      <c r="B58" s="51">
        <v>0.25</v>
      </c>
      <c r="C58" s="51">
        <v>0.25</v>
      </c>
      <c r="D58" s="51">
        <v>0.25</v>
      </c>
      <c r="E58" s="212">
        <v>0.843749999999998</v>
      </c>
      <c r="F58" s="56" t="str">
        <f>IF(Tim!F60="","",Tim!F60)</f>
        <v>CR</v>
      </c>
      <c r="G58" s="53" t="str">
        <f>IF(Tim!G60="","",Tim!G60)</f>
        <v/>
      </c>
      <c r="H58" s="53" t="str">
        <f>IF(Tim!H60="","",Tim!H60)</f>
        <v/>
      </c>
      <c r="I58" s="53" t="str">
        <f>IF(Tim!I60="","",Tim!I60)</f>
        <v/>
      </c>
      <c r="J58" s="53" t="str">
        <f>IF(Tim!J60="","",Tim!J60)</f>
        <v/>
      </c>
      <c r="K58" s="53" t="str">
        <f>IF(Tim!K60="","",Tim!K60)</f>
        <v/>
      </c>
      <c r="L58" s="53" t="str">
        <f>IF(Tim!L60="","",Tim!L60)</f>
        <v/>
      </c>
      <c r="M58" s="53" t="str">
        <f>IF(Tim!P60="","",Tim!P60)</f>
        <v/>
      </c>
      <c r="N58" s="53" t="str">
        <f>IF(Tim!Q60="","",Tim!Q60)</f>
        <v>MS</v>
      </c>
      <c r="O58" s="53" t="str">
        <f>IF(Tim!R60="","",Tim!R60)</f>
        <v/>
      </c>
      <c r="P58" s="53" t="str">
        <f>IF(Tim!S60="","",Tim!S60)</f>
        <v/>
      </c>
      <c r="Q58" s="55" t="str">
        <f>IF(Tim!T60="","",Tim!T60)</f>
        <v/>
      </c>
      <c r="R58" s="56" t="str">
        <f>IF(Tim!AY60="","",Tim!AY60)</f>
        <v>MS</v>
      </c>
      <c r="S58" s="53" t="str">
        <f>IF(Tim!AZ60="","",Tim!AZ60)</f>
        <v/>
      </c>
      <c r="T58" s="53" t="str">
        <f>IF(Tim!BA60="","",Tim!BA60)</f>
        <v/>
      </c>
      <c r="U58" s="53" t="str">
        <f>IF(Tim!BB60="","",Tim!BB60)</f>
        <v/>
      </c>
      <c r="V58" s="53" t="str">
        <f>IF(Tim!BC60="","",Tim!BC60)</f>
        <v/>
      </c>
      <c r="W58" s="53" t="str">
        <f>IF(Tim!BD60="","",Tim!BD60)</f>
        <v/>
      </c>
      <c r="X58" s="53" t="str">
        <f>IF(Tim!BE60="","",Tim!BE60)</f>
        <v/>
      </c>
      <c r="Y58" s="53" t="str">
        <f>IF(Tim!BF60="","",Tim!BF60)</f>
        <v/>
      </c>
      <c r="Z58" s="53" t="str">
        <f>IF(Tim!BI60="","",Tim!BI60)</f>
        <v/>
      </c>
      <c r="AA58" s="53" t="str">
        <f>IF(Tim!BJ60="","",Tim!BJ60)</f>
        <v/>
      </c>
      <c r="AB58" s="53" t="str">
        <f>IF(Tim!BK60="","",Tim!BK60)</f>
        <v/>
      </c>
      <c r="AC58" s="53" t="str">
        <f>IF(Tim!BL60="","",Tim!BL60)</f>
        <v/>
      </c>
      <c r="AD58" s="55" t="str">
        <f>IF(Tim!BM60="","",Tim!BM60)</f>
        <v/>
      </c>
      <c r="AE58" s="56" t="str">
        <f>IF(Tim!CQ60="","",Tim!CQ60)</f>
        <v>MS</v>
      </c>
      <c r="AF58" s="53" t="str">
        <f>IF(Tim!CR60="","",Tim!CR60)</f>
        <v/>
      </c>
      <c r="AG58" s="53" t="str">
        <f>IF(Tim!CS60="","",Tim!CS60)</f>
        <v/>
      </c>
      <c r="AH58" s="53" t="str">
        <f>IF(Tim!CT60="","",Tim!CT60)</f>
        <v/>
      </c>
      <c r="AI58" s="53" t="str">
        <f>IF(Tim!CU60="","",Tim!CU60)</f>
        <v/>
      </c>
      <c r="AJ58" s="53" t="str">
        <f>IF(Tim!CV60="","",Tim!CV60)</f>
        <v/>
      </c>
      <c r="AK58" s="53" t="str">
        <f>IF(Tim!CW60="","",Tim!CW60)</f>
        <v/>
      </c>
      <c r="AL58" s="53" t="str">
        <f>IF(Tim!DA60="","",Tim!DA60)</f>
        <v/>
      </c>
      <c r="AM58" s="53" t="str">
        <f>IF(Tim!DB60="","",Tim!DB60)</f>
        <v/>
      </c>
      <c r="AN58" s="53" t="str">
        <f>IF(Tim!DC60="","",Tim!DC60)</f>
        <v/>
      </c>
      <c r="AO58" s="53" t="str">
        <f>IF(Tim!DD60="","",Tim!DD60)</f>
        <v/>
      </c>
      <c r="AP58" s="53" t="str">
        <f>IF(Tim!DE60="","",Tim!DE60)</f>
        <v/>
      </c>
      <c r="AQ58" s="56" t="str">
        <f>IF(Tim!EL60="","",Tim!EL60)</f>
        <v>HA</v>
      </c>
      <c r="AR58" s="53" t="str">
        <f>IF(Tim!EM60="","",Tim!EM60)</f>
        <v/>
      </c>
      <c r="AS58" s="53" t="str">
        <f>IF(Tim!EN60="","",Tim!EN60)</f>
        <v/>
      </c>
      <c r="AT58" s="53" t="str">
        <f>IF(Tim!EO60="","",Tim!EO60)</f>
        <v/>
      </c>
      <c r="AU58" s="53" t="str">
        <f>IF(Tim!EP60="","",Tim!EP60)</f>
        <v/>
      </c>
      <c r="AV58" s="53" t="str">
        <f>IF(Tim!EQ60="","",Tim!EQ60)</f>
        <v/>
      </c>
      <c r="AW58" s="53" t="str">
        <f>IF(Tim!ER60="","",Tim!ER60)</f>
        <v/>
      </c>
      <c r="AX58" s="53" t="str">
        <f>IF(Tim!EV60="","",Tim!EV60)</f>
        <v/>
      </c>
      <c r="AY58" s="53" t="str">
        <f>IF(Tim!EW60="","",Tim!EW60)</f>
        <v/>
      </c>
      <c r="AZ58" s="53" t="str">
        <f>IF(Tim!EX60="","",Tim!EX60)</f>
        <v/>
      </c>
      <c r="BA58" s="53" t="str">
        <f>IF(Tim!EY60="","",Tim!EY60)</f>
        <v/>
      </c>
      <c r="BB58" s="53" t="str">
        <f>IF(Tim!EZ60="","",Tim!EZ60)</f>
        <v/>
      </c>
      <c r="BC58" s="56" t="str">
        <f>IF(Tim!GD60="","",Tim!GD60)</f>
        <v>LA</v>
      </c>
      <c r="BD58" s="53" t="str">
        <f>IF(Tim!GE60="","",Tim!GE60)</f>
        <v/>
      </c>
      <c r="BE58" s="53" t="str">
        <f>IF(Tim!GF60="","",Tim!GF60)</f>
        <v/>
      </c>
      <c r="BF58" s="53" t="str">
        <f>IF(Tim!GG60="","",Tim!GG60)</f>
        <v/>
      </c>
      <c r="BG58" s="53" t="str">
        <f>IF(Tim!GH60="","",Tim!GH60)</f>
        <v/>
      </c>
      <c r="BH58" s="53" t="str">
        <f>IF(Tim!GI60="","",Tim!GI60)</f>
        <v/>
      </c>
      <c r="BI58" s="53" t="str">
        <f>IF(Tim!GJ60="","",Tim!GJ60)</f>
        <v/>
      </c>
      <c r="BJ58" s="53" t="str">
        <f>IF(Tim!GN60="","",Tim!GN60)</f>
        <v>RF</v>
      </c>
      <c r="BK58" s="53" t="str">
        <f>IF(Tim!GO60="","",Tim!GO60)</f>
        <v/>
      </c>
      <c r="BL58" s="53" t="str">
        <f>IF(Tim!GP60="","",Tim!GP60)</f>
        <v/>
      </c>
      <c r="BM58" s="53" t="str">
        <f>IF(Tim!GQ60="","",Tim!GQ60)</f>
        <v/>
      </c>
      <c r="BN58" s="53" t="str">
        <f>IF(Tim!GR60="","",Tim!GR60)</f>
        <v/>
      </c>
      <c r="BO58" s="422"/>
      <c r="BP58" s="423"/>
      <c r="BQ58" s="423"/>
      <c r="BR58" s="423"/>
      <c r="BS58" s="423"/>
      <c r="BT58" s="423"/>
      <c r="BU58" s="423"/>
      <c r="BV58" s="423"/>
      <c r="BW58" s="423"/>
      <c r="BX58" s="423"/>
      <c r="BY58" s="423"/>
      <c r="BZ58" s="424"/>
      <c r="CA58" s="422"/>
      <c r="CB58" s="423"/>
      <c r="CC58" s="423"/>
      <c r="CD58" s="423"/>
      <c r="CE58" s="423"/>
      <c r="CF58" s="423"/>
      <c r="CG58" s="423"/>
      <c r="CH58" s="423"/>
      <c r="CI58" s="423"/>
      <c r="CJ58" s="423"/>
      <c r="CK58" s="423"/>
      <c r="CL58" s="424"/>
      <c r="CM58" s="52">
        <v>0.843749999999998</v>
      </c>
    </row>
    <row r="59" spans="2:91" ht="10.5" customHeight="1">
      <c r="B59" s="51">
        <v>0.25</v>
      </c>
      <c r="C59" s="51">
        <v>0.25</v>
      </c>
      <c r="D59" s="51">
        <v>0.25</v>
      </c>
      <c r="E59" s="212">
        <v>0.85416666666666496</v>
      </c>
      <c r="F59" s="56" t="str">
        <f>IF(Tim!F61="","",Tim!F61)</f>
        <v>CR</v>
      </c>
      <c r="G59" s="53" t="str">
        <f>IF(Tim!G61="","",Tim!G61)</f>
        <v>MS</v>
      </c>
      <c r="H59" s="53" t="str">
        <f>IF(Tim!H61="","",Tim!H61)</f>
        <v/>
      </c>
      <c r="I59" s="53" t="str">
        <f>IF(Tim!I61="","",Tim!I61)</f>
        <v/>
      </c>
      <c r="J59" s="53" t="str">
        <f>IF(Tim!J61="","",Tim!J61)</f>
        <v/>
      </c>
      <c r="K59" s="53" t="str">
        <f>IF(Tim!K61="","",Tim!K61)</f>
        <v/>
      </c>
      <c r="L59" s="53" t="str">
        <f>IF(Tim!L61="","",Tim!L61)</f>
        <v/>
      </c>
      <c r="M59" s="53" t="str">
        <f>IF(Tim!P61="","",Tim!P61)</f>
        <v/>
      </c>
      <c r="N59" s="53" t="str">
        <f>IF(Tim!Q61="","",Tim!Q61)</f>
        <v/>
      </c>
      <c r="O59" s="53" t="str">
        <f>IF(Tim!R61="","",Tim!R61)</f>
        <v/>
      </c>
      <c r="P59" s="53" t="str">
        <f>IF(Tim!S61="","",Tim!S61)</f>
        <v/>
      </c>
      <c r="Q59" s="55" t="str">
        <f>IF(Tim!T61="","",Tim!T61)</f>
        <v/>
      </c>
      <c r="R59" s="56" t="str">
        <f>IF(Tim!AY61="","",Tim!AY61)</f>
        <v>MS</v>
      </c>
      <c r="S59" s="53" t="str">
        <f>IF(Tim!AZ61="","",Tim!AZ61)</f>
        <v/>
      </c>
      <c r="T59" s="53" t="str">
        <f>IF(Tim!BA61="","",Tim!BA61)</f>
        <v/>
      </c>
      <c r="U59" s="53" t="str">
        <f>IF(Tim!BB61="","",Tim!BB61)</f>
        <v/>
      </c>
      <c r="V59" s="53" t="str">
        <f>IF(Tim!BC61="","",Tim!BC61)</f>
        <v/>
      </c>
      <c r="W59" s="53" t="str">
        <f>IF(Tim!BD61="","",Tim!BD61)</f>
        <v/>
      </c>
      <c r="X59" s="53" t="str">
        <f>IF(Tim!BE61="","",Tim!BE61)</f>
        <v/>
      </c>
      <c r="Y59" s="53" t="str">
        <f>IF(Tim!BF61="","",Tim!BF61)</f>
        <v/>
      </c>
      <c r="Z59" s="53" t="str">
        <f>IF(Tim!BI61="","",Tim!BI61)</f>
        <v/>
      </c>
      <c r="AA59" s="53" t="str">
        <f>IF(Tim!BJ61="","",Tim!BJ61)</f>
        <v/>
      </c>
      <c r="AB59" s="53" t="str">
        <f>IF(Tim!BK61="","",Tim!BK61)</f>
        <v/>
      </c>
      <c r="AC59" s="53" t="str">
        <f>IF(Tim!BL61="","",Tim!BL61)</f>
        <v/>
      </c>
      <c r="AD59" s="55" t="str">
        <f>IF(Tim!BM61="","",Tim!BM61)</f>
        <v/>
      </c>
      <c r="AE59" s="56" t="str">
        <f>IF(Tim!CQ61="","",Tim!CQ61)</f>
        <v>MS</v>
      </c>
      <c r="AF59" s="53" t="str">
        <f>IF(Tim!CR61="","",Tim!CR61)</f>
        <v/>
      </c>
      <c r="AG59" s="53" t="str">
        <f>IF(Tim!CS61="","",Tim!CS61)</f>
        <v/>
      </c>
      <c r="AH59" s="53" t="str">
        <f>IF(Tim!CT61="","",Tim!CT61)</f>
        <v/>
      </c>
      <c r="AI59" s="53" t="str">
        <f>IF(Tim!CU61="","",Tim!CU61)</f>
        <v/>
      </c>
      <c r="AJ59" s="53" t="str">
        <f>IF(Tim!CV61="","",Tim!CV61)</f>
        <v/>
      </c>
      <c r="AK59" s="53" t="str">
        <f>IF(Tim!CW61="","",Tim!CW61)</f>
        <v/>
      </c>
      <c r="AL59" s="53" t="str">
        <f>IF(Tim!DA61="","",Tim!DA61)</f>
        <v/>
      </c>
      <c r="AM59" s="53" t="str">
        <f>IF(Tim!DB61="","",Tim!DB61)</f>
        <v/>
      </c>
      <c r="AN59" s="53" t="str">
        <f>IF(Tim!DC61="","",Tim!DC61)</f>
        <v/>
      </c>
      <c r="AO59" s="53" t="str">
        <f>IF(Tim!DD61="","",Tim!DD61)</f>
        <v/>
      </c>
      <c r="AP59" s="53" t="str">
        <f>IF(Tim!DE61="","",Tim!DE61)</f>
        <v/>
      </c>
      <c r="AQ59" s="56" t="str">
        <f>IF(Tim!EL61="","",Tim!EL61)</f>
        <v>HA</v>
      </c>
      <c r="AR59" s="53" t="str">
        <f>IF(Tim!EM61="","",Tim!EM61)</f>
        <v/>
      </c>
      <c r="AS59" s="53" t="str">
        <f>IF(Tim!EN61="","",Tim!EN61)</f>
        <v/>
      </c>
      <c r="AT59" s="53" t="str">
        <f>IF(Tim!EO61="","",Tim!EO61)</f>
        <v/>
      </c>
      <c r="AU59" s="53" t="str">
        <f>IF(Tim!EP61="","",Tim!EP61)</f>
        <v/>
      </c>
      <c r="AV59" s="53" t="str">
        <f>IF(Tim!EQ61="","",Tim!EQ61)</f>
        <v/>
      </c>
      <c r="AW59" s="53" t="str">
        <f>IF(Tim!ER61="","",Tim!ER61)</f>
        <v/>
      </c>
      <c r="AX59" s="53" t="str">
        <f>IF(Tim!EV61="","",Tim!EV61)</f>
        <v/>
      </c>
      <c r="AY59" s="53" t="str">
        <f>IF(Tim!EW61="","",Tim!EW61)</f>
        <v/>
      </c>
      <c r="AZ59" s="53" t="str">
        <f>IF(Tim!EX61="","",Tim!EX61)</f>
        <v/>
      </c>
      <c r="BA59" s="53" t="str">
        <f>IF(Tim!EY61="","",Tim!EY61)</f>
        <v/>
      </c>
      <c r="BB59" s="53" t="str">
        <f>IF(Tim!EZ61="","",Tim!EZ61)</f>
        <v/>
      </c>
      <c r="BC59" s="56" t="str">
        <f>IF(Tim!GD61="","",Tim!GD61)</f>
        <v>LA</v>
      </c>
      <c r="BD59" s="53" t="str">
        <f>IF(Tim!GE61="","",Tim!GE61)</f>
        <v/>
      </c>
      <c r="BE59" s="53" t="str">
        <f>IF(Tim!GF61="","",Tim!GF61)</f>
        <v/>
      </c>
      <c r="BF59" s="53" t="str">
        <f>IF(Tim!GG61="","",Tim!GG61)</f>
        <v/>
      </c>
      <c r="BG59" s="53" t="str">
        <f>IF(Tim!GH61="","",Tim!GH61)</f>
        <v/>
      </c>
      <c r="BH59" s="53" t="str">
        <f>IF(Tim!GI61="","",Tim!GI61)</f>
        <v/>
      </c>
      <c r="BI59" s="53" t="str">
        <f>IF(Tim!GJ61="","",Tim!GJ61)</f>
        <v/>
      </c>
      <c r="BJ59" s="53" t="str">
        <f>IF(Tim!GN61="","",Tim!GN61)</f>
        <v/>
      </c>
      <c r="BK59" s="53" t="str">
        <f>IF(Tim!GO61="","",Tim!GO61)</f>
        <v/>
      </c>
      <c r="BL59" s="53" t="str">
        <f>IF(Tim!GP61="","",Tim!GP61)</f>
        <v/>
      </c>
      <c r="BM59" s="53" t="str">
        <f>IF(Tim!GQ61="","",Tim!GQ61)</f>
        <v/>
      </c>
      <c r="BN59" s="53" t="str">
        <f>IF(Tim!GR61="","",Tim!GR61)</f>
        <v/>
      </c>
      <c r="BO59" s="422"/>
      <c r="BP59" s="423"/>
      <c r="BQ59" s="423"/>
      <c r="BR59" s="423"/>
      <c r="BS59" s="423"/>
      <c r="BT59" s="423"/>
      <c r="BU59" s="423"/>
      <c r="BV59" s="423"/>
      <c r="BW59" s="423"/>
      <c r="BX59" s="423"/>
      <c r="BY59" s="423"/>
      <c r="BZ59" s="424"/>
      <c r="CA59" s="422"/>
      <c r="CB59" s="423"/>
      <c r="CC59" s="423"/>
      <c r="CD59" s="423"/>
      <c r="CE59" s="423"/>
      <c r="CF59" s="423"/>
      <c r="CG59" s="423"/>
      <c r="CH59" s="423"/>
      <c r="CI59" s="423"/>
      <c r="CJ59" s="423"/>
      <c r="CK59" s="423"/>
      <c r="CL59" s="424"/>
      <c r="CM59" s="52">
        <v>0.85416666666666496</v>
      </c>
    </row>
    <row r="60" spans="2:91" ht="10.5" customHeight="1">
      <c r="B60" s="51">
        <v>0.25</v>
      </c>
      <c r="C60" s="51">
        <v>0.25</v>
      </c>
      <c r="D60" s="51">
        <v>0.25</v>
      </c>
      <c r="E60" s="212">
        <v>0.86458333333333204</v>
      </c>
      <c r="F60" s="56" t="str">
        <f>IF(Tim!F62="","",Tim!F62)</f>
        <v>MS</v>
      </c>
      <c r="G60" s="53" t="str">
        <f>IF(Tim!G62="","",Tim!G62)</f>
        <v/>
      </c>
      <c r="H60" s="53" t="str">
        <f>IF(Tim!H62="","",Tim!H62)</f>
        <v/>
      </c>
      <c r="I60" s="53" t="str">
        <f>IF(Tim!I62="","",Tim!I62)</f>
        <v/>
      </c>
      <c r="J60" s="53" t="str">
        <f>IF(Tim!J62="","",Tim!J62)</f>
        <v/>
      </c>
      <c r="K60" s="53" t="str">
        <f>IF(Tim!K62="","",Tim!K62)</f>
        <v/>
      </c>
      <c r="L60" s="53" t="str">
        <f>IF(Tim!L62="","",Tim!L62)</f>
        <v/>
      </c>
      <c r="M60" s="53" t="str">
        <f>IF(Tim!P62="","",Tim!P62)</f>
        <v/>
      </c>
      <c r="N60" s="53" t="str">
        <f>IF(Tim!Q62="","",Tim!Q62)</f>
        <v/>
      </c>
      <c r="O60" s="53" t="str">
        <f>IF(Tim!R62="","",Tim!R62)</f>
        <v/>
      </c>
      <c r="P60" s="53" t="str">
        <f>IF(Tim!S62="","",Tim!S62)</f>
        <v/>
      </c>
      <c r="Q60" s="55" t="str">
        <f>IF(Tim!T62="","",Tim!T62)</f>
        <v/>
      </c>
      <c r="R60" s="56" t="str">
        <f>IF(Tim!AY62="","",Tim!AY62)</f>
        <v>MS</v>
      </c>
      <c r="S60" s="53" t="str">
        <f>IF(Tim!AZ62="","",Tim!AZ62)</f>
        <v/>
      </c>
      <c r="T60" s="53" t="str">
        <f>IF(Tim!BA62="","",Tim!BA62)</f>
        <v/>
      </c>
      <c r="U60" s="53" t="str">
        <f>IF(Tim!BB62="","",Tim!BB62)</f>
        <v/>
      </c>
      <c r="V60" s="53" t="str">
        <f>IF(Tim!BC62="","",Tim!BC62)</f>
        <v/>
      </c>
      <c r="W60" s="53" t="str">
        <f>IF(Tim!BD62="","",Tim!BD62)</f>
        <v/>
      </c>
      <c r="X60" s="53" t="str">
        <f>IF(Tim!BE62="","",Tim!BE62)</f>
        <v/>
      </c>
      <c r="Y60" s="53" t="str">
        <f>IF(Tim!BF62="","",Tim!BF62)</f>
        <v/>
      </c>
      <c r="Z60" s="53" t="str">
        <f>IF(Tim!BI62="","",Tim!BI62)</f>
        <v/>
      </c>
      <c r="AA60" s="53" t="str">
        <f>IF(Tim!BJ62="","",Tim!BJ62)</f>
        <v/>
      </c>
      <c r="AB60" s="53" t="str">
        <f>IF(Tim!BK62="","",Tim!BK62)</f>
        <v/>
      </c>
      <c r="AC60" s="53" t="str">
        <f>IF(Tim!BL62="","",Tim!BL62)</f>
        <v/>
      </c>
      <c r="AD60" s="55" t="str">
        <f>IF(Tim!BM62="","",Tim!BM62)</f>
        <v/>
      </c>
      <c r="AE60" s="56" t="str">
        <f>IF(Tim!CQ62="","",Tim!CQ62)</f>
        <v>MS</v>
      </c>
      <c r="AF60" s="53" t="str">
        <f>IF(Tim!CR62="","",Tim!CR62)</f>
        <v/>
      </c>
      <c r="AG60" s="53" t="str">
        <f>IF(Tim!CS62="","",Tim!CS62)</f>
        <v/>
      </c>
      <c r="AH60" s="53" t="str">
        <f>IF(Tim!CT62="","",Tim!CT62)</f>
        <v/>
      </c>
      <c r="AI60" s="53" t="str">
        <f>IF(Tim!CU62="","",Tim!CU62)</f>
        <v/>
      </c>
      <c r="AJ60" s="53" t="str">
        <f>IF(Tim!CV62="","",Tim!CV62)</f>
        <v/>
      </c>
      <c r="AK60" s="53" t="str">
        <f>IF(Tim!CW62="","",Tim!CW62)</f>
        <v/>
      </c>
      <c r="AL60" s="53" t="str">
        <f>IF(Tim!DA62="","",Tim!DA62)</f>
        <v/>
      </c>
      <c r="AM60" s="53" t="str">
        <f>IF(Tim!DB62="","",Tim!DB62)</f>
        <v/>
      </c>
      <c r="AN60" s="53" t="str">
        <f>IF(Tim!DC62="","",Tim!DC62)</f>
        <v/>
      </c>
      <c r="AO60" s="53" t="str">
        <f>IF(Tim!DD62="","",Tim!DD62)</f>
        <v/>
      </c>
      <c r="AP60" s="53" t="str">
        <f>IF(Tim!DE62="","",Tim!DE62)</f>
        <v/>
      </c>
      <c r="AQ60" s="56" t="str">
        <f>IF(Tim!EL62="","",Tim!EL62)</f>
        <v>HA</v>
      </c>
      <c r="AR60" s="53" t="str">
        <f>IF(Tim!EM62="","",Tim!EM62)</f>
        <v/>
      </c>
      <c r="AS60" s="53" t="str">
        <f>IF(Tim!EN62="","",Tim!EN62)</f>
        <v/>
      </c>
      <c r="AT60" s="53" t="str">
        <f>IF(Tim!EO62="","",Tim!EO62)</f>
        <v/>
      </c>
      <c r="AU60" s="53" t="str">
        <f>IF(Tim!EP62="","",Tim!EP62)</f>
        <v/>
      </c>
      <c r="AV60" s="53" t="str">
        <f>IF(Tim!EQ62="","",Tim!EQ62)</f>
        <v/>
      </c>
      <c r="AW60" s="53" t="str">
        <f>IF(Tim!ER62="","",Tim!ER62)</f>
        <v/>
      </c>
      <c r="AX60" s="53" t="str">
        <f>IF(Tim!EV62="","",Tim!EV62)</f>
        <v/>
      </c>
      <c r="AY60" s="53" t="str">
        <f>IF(Tim!EW62="","",Tim!EW62)</f>
        <v/>
      </c>
      <c r="AZ60" s="53" t="str">
        <f>IF(Tim!EX62="","",Tim!EX62)</f>
        <v/>
      </c>
      <c r="BA60" s="53" t="str">
        <f>IF(Tim!EY62="","",Tim!EY62)</f>
        <v/>
      </c>
      <c r="BB60" s="53" t="str">
        <f>IF(Tim!EZ62="","",Tim!EZ62)</f>
        <v/>
      </c>
      <c r="BC60" s="56" t="str">
        <f>IF(Tim!GD62="","",Tim!GD62)</f>
        <v>LA</v>
      </c>
      <c r="BD60" s="53" t="str">
        <f>IF(Tim!GE62="","",Tim!GE62)</f>
        <v/>
      </c>
      <c r="BE60" s="53" t="str">
        <f>IF(Tim!GF62="","",Tim!GF62)</f>
        <v/>
      </c>
      <c r="BF60" s="53" t="str">
        <f>IF(Tim!GG62="","",Tim!GG62)</f>
        <v/>
      </c>
      <c r="BG60" s="53" t="str">
        <f>IF(Tim!GH62="","",Tim!GH62)</f>
        <v/>
      </c>
      <c r="BH60" s="53" t="str">
        <f>IF(Tim!GI62="","",Tim!GI62)</f>
        <v/>
      </c>
      <c r="BI60" s="53" t="str">
        <f>IF(Tim!GJ62="","",Tim!GJ62)</f>
        <v/>
      </c>
      <c r="BJ60" s="53" t="str">
        <f>IF(Tim!GN62="","",Tim!GN62)</f>
        <v/>
      </c>
      <c r="BK60" s="53" t="str">
        <f>IF(Tim!GO62="","",Tim!GO62)</f>
        <v/>
      </c>
      <c r="BL60" s="53" t="str">
        <f>IF(Tim!GP62="","",Tim!GP62)</f>
        <v/>
      </c>
      <c r="BM60" s="53" t="str">
        <f>IF(Tim!GQ62="","",Tim!GQ62)</f>
        <v/>
      </c>
      <c r="BN60" s="53" t="str">
        <f>IF(Tim!GR62="","",Tim!GR62)</f>
        <v/>
      </c>
      <c r="BO60" s="422"/>
      <c r="BP60" s="423"/>
      <c r="BQ60" s="423"/>
      <c r="BR60" s="423"/>
      <c r="BS60" s="423"/>
      <c r="BT60" s="423"/>
      <c r="BU60" s="423"/>
      <c r="BV60" s="423"/>
      <c r="BW60" s="423"/>
      <c r="BX60" s="423"/>
      <c r="BY60" s="423"/>
      <c r="BZ60" s="424"/>
      <c r="CA60" s="422"/>
      <c r="CB60" s="423"/>
      <c r="CC60" s="423"/>
      <c r="CD60" s="423"/>
      <c r="CE60" s="423"/>
      <c r="CF60" s="423"/>
      <c r="CG60" s="423"/>
      <c r="CH60" s="423"/>
      <c r="CI60" s="423"/>
      <c r="CJ60" s="423"/>
      <c r="CK60" s="423"/>
      <c r="CL60" s="424"/>
      <c r="CM60" s="52">
        <v>0.86458333333333204</v>
      </c>
    </row>
    <row r="61" spans="2:91" ht="10.5" customHeight="1">
      <c r="B61" s="51">
        <v>0.25</v>
      </c>
      <c r="C61" s="51">
        <v>0.25</v>
      </c>
      <c r="D61" s="51">
        <v>0.25</v>
      </c>
      <c r="E61" s="172">
        <v>0.874999999999998</v>
      </c>
      <c r="F61" s="56" t="str">
        <f>IF(Tim!F63="","",Tim!F63)</f>
        <v>MS</v>
      </c>
      <c r="G61" s="53" t="str">
        <f>IF(Tim!G63="","",Tim!G63)</f>
        <v/>
      </c>
      <c r="H61" s="53" t="str">
        <f>IF(Tim!H63="","",Tim!H63)</f>
        <v/>
      </c>
      <c r="I61" s="53" t="str">
        <f>IF(Tim!I63="","",Tim!I63)</f>
        <v/>
      </c>
      <c r="J61" s="53" t="str">
        <f>IF(Tim!J63="","",Tim!J63)</f>
        <v/>
      </c>
      <c r="K61" s="53" t="str">
        <f>IF(Tim!K63="","",Tim!K63)</f>
        <v/>
      </c>
      <c r="L61" s="53" t="str">
        <f>IF(Tim!L63="","",Tim!L63)</f>
        <v/>
      </c>
      <c r="M61" s="53" t="str">
        <f>IF(Tim!P63="","",Tim!P63)</f>
        <v/>
      </c>
      <c r="N61" s="53" t="str">
        <f>IF(Tim!Q63="","",Tim!Q63)</f>
        <v/>
      </c>
      <c r="O61" s="53" t="str">
        <f>IF(Tim!R63="","",Tim!R63)</f>
        <v/>
      </c>
      <c r="P61" s="53" t="str">
        <f>IF(Tim!S63="","",Tim!S63)</f>
        <v/>
      </c>
      <c r="Q61" s="55" t="str">
        <f>IF(Tim!T63="","",Tim!T63)</f>
        <v/>
      </c>
      <c r="R61" s="56" t="str">
        <f>IF(Tim!AY63="","",Tim!AY63)</f>
        <v>MS</v>
      </c>
      <c r="S61" s="53" t="str">
        <f>IF(Tim!AZ63="","",Tim!AZ63)</f>
        <v/>
      </c>
      <c r="T61" s="53" t="str">
        <f>IF(Tim!BA63="","",Tim!BA63)</f>
        <v/>
      </c>
      <c r="U61" s="53" t="str">
        <f>IF(Tim!BB63="","",Tim!BB63)</f>
        <v/>
      </c>
      <c r="V61" s="53" t="str">
        <f>IF(Tim!BC63="","",Tim!BC63)</f>
        <v/>
      </c>
      <c r="W61" s="53" t="str">
        <f>IF(Tim!BD63="","",Tim!BD63)</f>
        <v/>
      </c>
      <c r="X61" s="53" t="str">
        <f>IF(Tim!BE63="","",Tim!BE63)</f>
        <v/>
      </c>
      <c r="Y61" s="53" t="str">
        <f>IF(Tim!BF63="","",Tim!BF63)</f>
        <v/>
      </c>
      <c r="Z61" s="53" t="str">
        <f>IF(Tim!BI63="","",Tim!BI63)</f>
        <v/>
      </c>
      <c r="AA61" s="53" t="str">
        <f>IF(Tim!BJ63="","",Tim!BJ63)</f>
        <v/>
      </c>
      <c r="AB61" s="53" t="str">
        <f>IF(Tim!BK63="","",Tim!BK63)</f>
        <v/>
      </c>
      <c r="AC61" s="53" t="str">
        <f>IF(Tim!BL63="","",Tim!BL63)</f>
        <v/>
      </c>
      <c r="AD61" s="55" t="str">
        <f>IF(Tim!BM63="","",Tim!BM63)</f>
        <v/>
      </c>
      <c r="AE61" s="56" t="str">
        <f>IF(Tim!CQ63="","",Tim!CQ63)</f>
        <v>MS</v>
      </c>
      <c r="AF61" s="53" t="str">
        <f>IF(Tim!CR63="","",Tim!CR63)</f>
        <v/>
      </c>
      <c r="AG61" s="53" t="str">
        <f>IF(Tim!CS63="","",Tim!CS63)</f>
        <v/>
      </c>
      <c r="AH61" s="53" t="str">
        <f>IF(Tim!CT63="","",Tim!CT63)</f>
        <v/>
      </c>
      <c r="AI61" s="53" t="str">
        <f>IF(Tim!CU63="","",Tim!CU63)</f>
        <v/>
      </c>
      <c r="AJ61" s="53" t="str">
        <f>IF(Tim!CV63="","",Tim!CV63)</f>
        <v/>
      </c>
      <c r="AK61" s="53" t="str">
        <f>IF(Tim!CW63="","",Tim!CW63)</f>
        <v/>
      </c>
      <c r="AL61" s="53" t="str">
        <f>IF(Tim!DA63="","",Tim!DA63)</f>
        <v/>
      </c>
      <c r="AM61" s="53" t="str">
        <f>IF(Tim!DB63="","",Tim!DB63)</f>
        <v/>
      </c>
      <c r="AN61" s="53" t="str">
        <f>IF(Tim!DC63="","",Tim!DC63)</f>
        <v/>
      </c>
      <c r="AO61" s="53" t="str">
        <f>IF(Tim!DD63="","",Tim!DD63)</f>
        <v/>
      </c>
      <c r="AP61" s="53" t="str">
        <f>IF(Tim!DE63="","",Tim!DE63)</f>
        <v/>
      </c>
      <c r="AQ61" s="56" t="str">
        <f>IF(Tim!EL63="","",Tim!EL63)</f>
        <v>HA</v>
      </c>
      <c r="AR61" s="53" t="str">
        <f>IF(Tim!EM63="","",Tim!EM63)</f>
        <v/>
      </c>
      <c r="AS61" s="53" t="str">
        <f>IF(Tim!EN63="","",Tim!EN63)</f>
        <v/>
      </c>
      <c r="AT61" s="53" t="str">
        <f>IF(Tim!EO63="","",Tim!EO63)</f>
        <v/>
      </c>
      <c r="AU61" s="53" t="str">
        <f>IF(Tim!EP63="","",Tim!EP63)</f>
        <v/>
      </c>
      <c r="AV61" s="53" t="str">
        <f>IF(Tim!EQ63="","",Tim!EQ63)</f>
        <v/>
      </c>
      <c r="AW61" s="53" t="str">
        <f>IF(Tim!ER63="","",Tim!ER63)</f>
        <v/>
      </c>
      <c r="AX61" s="53" t="str">
        <f>IF(Tim!EV63="","",Tim!EV63)</f>
        <v/>
      </c>
      <c r="AY61" s="53" t="str">
        <f>IF(Tim!EW63="","",Tim!EW63)</f>
        <v/>
      </c>
      <c r="AZ61" s="53" t="str">
        <f>IF(Tim!EX63="","",Tim!EX63)</f>
        <v/>
      </c>
      <c r="BA61" s="53" t="str">
        <f>IF(Tim!EY63="","",Tim!EY63)</f>
        <v/>
      </c>
      <c r="BB61" s="53" t="str">
        <f>IF(Tim!EZ63="","",Tim!EZ63)</f>
        <v/>
      </c>
      <c r="BC61" s="56" t="str">
        <f>IF(Tim!GD63="","",Tim!GD63)</f>
        <v>LA</v>
      </c>
      <c r="BD61" s="53" t="str">
        <f>IF(Tim!GE63="","",Tim!GE63)</f>
        <v/>
      </c>
      <c r="BE61" s="53" t="str">
        <f>IF(Tim!GF63="","",Tim!GF63)</f>
        <v/>
      </c>
      <c r="BF61" s="53" t="str">
        <f>IF(Tim!GG63="","",Tim!GG63)</f>
        <v/>
      </c>
      <c r="BG61" s="53" t="str">
        <f>IF(Tim!GH63="","",Tim!GH63)</f>
        <v/>
      </c>
      <c r="BH61" s="53" t="str">
        <f>IF(Tim!GI63="","",Tim!GI63)</f>
        <v/>
      </c>
      <c r="BI61" s="53" t="str">
        <f>IF(Tim!GJ63="","",Tim!GJ63)</f>
        <v/>
      </c>
      <c r="BJ61" s="53" t="str">
        <f>IF(Tim!GN63="","",Tim!GN63)</f>
        <v/>
      </c>
      <c r="BK61" s="53" t="str">
        <f>IF(Tim!GO63="","",Tim!GO63)</f>
        <v/>
      </c>
      <c r="BL61" s="53" t="str">
        <f>IF(Tim!GP63="","",Tim!GP63)</f>
        <v/>
      </c>
      <c r="BM61" s="53" t="str">
        <f>IF(Tim!GQ63="","",Tim!GQ63)</f>
        <v/>
      </c>
      <c r="BN61" s="53" t="str">
        <f>IF(Tim!GR63="","",Tim!GR63)</f>
        <v/>
      </c>
      <c r="BO61" s="422"/>
      <c r="BP61" s="423"/>
      <c r="BQ61" s="423"/>
      <c r="BR61" s="423"/>
      <c r="BS61" s="423"/>
      <c r="BT61" s="423"/>
      <c r="BU61" s="423"/>
      <c r="BV61" s="423"/>
      <c r="BW61" s="423"/>
      <c r="BX61" s="423"/>
      <c r="BY61" s="423"/>
      <c r="BZ61" s="424"/>
      <c r="CA61" s="422"/>
      <c r="CB61" s="423"/>
      <c r="CC61" s="423"/>
      <c r="CD61" s="423"/>
      <c r="CE61" s="423"/>
      <c r="CF61" s="423"/>
      <c r="CG61" s="423"/>
      <c r="CH61" s="423"/>
      <c r="CI61" s="423"/>
      <c r="CJ61" s="423"/>
      <c r="CK61" s="423"/>
      <c r="CL61" s="424"/>
      <c r="CM61" s="52">
        <v>0.874999999999998</v>
      </c>
    </row>
    <row r="62" spans="2:91" ht="10.5" customHeight="1">
      <c r="B62" s="51">
        <v>0.25</v>
      </c>
      <c r="C62" s="51">
        <v>0.25</v>
      </c>
      <c r="D62" s="51">
        <v>0.25</v>
      </c>
      <c r="E62" s="172">
        <v>0.88541666666666496</v>
      </c>
      <c r="F62" s="56" t="str">
        <f>IF(Tim!F64="","",Tim!F64)</f>
        <v>MS</v>
      </c>
      <c r="G62" s="53" t="str">
        <f>IF(Tim!G64="","",Tim!G64)</f>
        <v/>
      </c>
      <c r="H62" s="53" t="str">
        <f>IF(Tim!H64="","",Tim!H64)</f>
        <v/>
      </c>
      <c r="I62" s="53" t="str">
        <f>IF(Tim!I64="","",Tim!I64)</f>
        <v/>
      </c>
      <c r="J62" s="53" t="str">
        <f>IF(Tim!J64="","",Tim!J64)</f>
        <v/>
      </c>
      <c r="K62" s="53" t="str">
        <f>IF(Tim!K64="","",Tim!K64)</f>
        <v/>
      </c>
      <c r="L62" s="53" t="str">
        <f>IF(Tim!L64="","",Tim!L64)</f>
        <v/>
      </c>
      <c r="M62" s="53" t="str">
        <f>IF(Tim!P64="","",Tim!P64)</f>
        <v/>
      </c>
      <c r="N62" s="53" t="str">
        <f>IF(Tim!Q64="","",Tim!Q64)</f>
        <v/>
      </c>
      <c r="O62" s="53" t="str">
        <f>IF(Tim!R64="","",Tim!R64)</f>
        <v/>
      </c>
      <c r="P62" s="53" t="str">
        <f>IF(Tim!S64="","",Tim!S64)</f>
        <v/>
      </c>
      <c r="Q62" s="55" t="str">
        <f>IF(Tim!T64="","",Tim!T64)</f>
        <v/>
      </c>
      <c r="R62" s="56" t="str">
        <f>IF(Tim!AY64="","",Tim!AY64)</f>
        <v>MS</v>
      </c>
      <c r="S62" s="53" t="str">
        <f>IF(Tim!AZ64="","",Tim!AZ64)</f>
        <v/>
      </c>
      <c r="T62" s="53" t="str">
        <f>IF(Tim!BA64="","",Tim!BA64)</f>
        <v/>
      </c>
      <c r="U62" s="53" t="str">
        <f>IF(Tim!BB64="","",Tim!BB64)</f>
        <v/>
      </c>
      <c r="V62" s="53" t="str">
        <f>IF(Tim!BC64="","",Tim!BC64)</f>
        <v/>
      </c>
      <c r="W62" s="53" t="str">
        <f>IF(Tim!BD64="","",Tim!BD64)</f>
        <v/>
      </c>
      <c r="X62" s="53" t="str">
        <f>IF(Tim!BE64="","",Tim!BE64)</f>
        <v/>
      </c>
      <c r="Y62" s="53" t="str">
        <f>IF(Tim!BF64="","",Tim!BF64)</f>
        <v/>
      </c>
      <c r="Z62" s="53" t="str">
        <f>IF(Tim!BI64="","",Tim!BI64)</f>
        <v/>
      </c>
      <c r="AA62" s="53" t="str">
        <f>IF(Tim!BJ64="","",Tim!BJ64)</f>
        <v/>
      </c>
      <c r="AB62" s="53" t="str">
        <f>IF(Tim!BK64="","",Tim!BK64)</f>
        <v/>
      </c>
      <c r="AC62" s="53" t="str">
        <f>IF(Tim!BL64="","",Tim!BL64)</f>
        <v/>
      </c>
      <c r="AD62" s="55" t="str">
        <f>IF(Tim!BM64="","",Tim!BM64)</f>
        <v/>
      </c>
      <c r="AE62" s="56" t="str">
        <f>IF(Tim!CQ64="","",Tim!CQ64)</f>
        <v>MS</v>
      </c>
      <c r="AF62" s="53" t="str">
        <f>IF(Tim!CR64="","",Tim!CR64)</f>
        <v/>
      </c>
      <c r="AG62" s="53" t="str">
        <f>IF(Tim!CS64="","",Tim!CS64)</f>
        <v/>
      </c>
      <c r="AH62" s="53" t="str">
        <f>IF(Tim!CT64="","",Tim!CT64)</f>
        <v/>
      </c>
      <c r="AI62" s="53" t="str">
        <f>IF(Tim!CU64="","",Tim!CU64)</f>
        <v/>
      </c>
      <c r="AJ62" s="53" t="str">
        <f>IF(Tim!CV64="","",Tim!CV64)</f>
        <v/>
      </c>
      <c r="AK62" s="53" t="str">
        <f>IF(Tim!CW64="","",Tim!CW64)</f>
        <v/>
      </c>
      <c r="AL62" s="53" t="str">
        <f>IF(Tim!DA64="","",Tim!DA64)</f>
        <v/>
      </c>
      <c r="AM62" s="53" t="str">
        <f>IF(Tim!DB64="","",Tim!DB64)</f>
        <v/>
      </c>
      <c r="AN62" s="53" t="str">
        <f>IF(Tim!DC64="","",Tim!DC64)</f>
        <v/>
      </c>
      <c r="AO62" s="53" t="str">
        <f>IF(Tim!DD64="","",Tim!DD64)</f>
        <v/>
      </c>
      <c r="AP62" s="53" t="str">
        <f>IF(Tim!DE64="","",Tim!DE64)</f>
        <v/>
      </c>
      <c r="AQ62" s="56" t="str">
        <f>IF(Tim!EL64="","",Tim!EL64)</f>
        <v>HA</v>
      </c>
      <c r="AR62" s="53" t="str">
        <f>IF(Tim!EM64="","",Tim!EM64)</f>
        <v/>
      </c>
      <c r="AS62" s="53" t="str">
        <f>IF(Tim!EN64="","",Tim!EN64)</f>
        <v/>
      </c>
      <c r="AT62" s="53" t="str">
        <f>IF(Tim!EO64="","",Tim!EO64)</f>
        <v/>
      </c>
      <c r="AU62" s="53" t="str">
        <f>IF(Tim!EP64="","",Tim!EP64)</f>
        <v/>
      </c>
      <c r="AV62" s="53" t="str">
        <f>IF(Tim!EQ64="","",Tim!EQ64)</f>
        <v/>
      </c>
      <c r="AW62" s="53" t="str">
        <f>IF(Tim!ER64="","",Tim!ER64)</f>
        <v/>
      </c>
      <c r="AX62" s="53" t="str">
        <f>IF(Tim!EV64="","",Tim!EV64)</f>
        <v/>
      </c>
      <c r="AY62" s="53" t="str">
        <f>IF(Tim!EW64="","",Tim!EW64)</f>
        <v/>
      </c>
      <c r="AZ62" s="53" t="str">
        <f>IF(Tim!EX64="","",Tim!EX64)</f>
        <v/>
      </c>
      <c r="BA62" s="53" t="str">
        <f>IF(Tim!EY64="","",Tim!EY64)</f>
        <v/>
      </c>
      <c r="BB62" s="53" t="str">
        <f>IF(Tim!EZ64="","",Tim!EZ64)</f>
        <v/>
      </c>
      <c r="BC62" s="56" t="str">
        <f>IF(Tim!GD64="","",Tim!GD64)</f>
        <v>LA</v>
      </c>
      <c r="BD62" s="53" t="str">
        <f>IF(Tim!GE64="","",Tim!GE64)</f>
        <v/>
      </c>
      <c r="BE62" s="53" t="str">
        <f>IF(Tim!GF64="","",Tim!GF64)</f>
        <v/>
      </c>
      <c r="BF62" s="53" t="str">
        <f>IF(Tim!GG64="","",Tim!GG64)</f>
        <v/>
      </c>
      <c r="BG62" s="53" t="str">
        <f>IF(Tim!GH64="","",Tim!GH64)</f>
        <v/>
      </c>
      <c r="BH62" s="53" t="str">
        <f>IF(Tim!GI64="","",Tim!GI64)</f>
        <v/>
      </c>
      <c r="BI62" s="53" t="str">
        <f>IF(Tim!GJ64="","",Tim!GJ64)</f>
        <v/>
      </c>
      <c r="BJ62" s="53" t="str">
        <f>IF(Tim!GN64="","",Tim!GN64)</f>
        <v/>
      </c>
      <c r="BK62" s="53" t="str">
        <f>IF(Tim!GO64="","",Tim!GO64)</f>
        <v/>
      </c>
      <c r="BL62" s="53" t="str">
        <f>IF(Tim!GP64="","",Tim!GP64)</f>
        <v/>
      </c>
      <c r="BM62" s="53" t="str">
        <f>IF(Tim!GQ64="","",Tim!GQ64)</f>
        <v/>
      </c>
      <c r="BN62" s="53" t="str">
        <f>IF(Tim!GR64="","",Tim!GR64)</f>
        <v/>
      </c>
      <c r="BO62" s="422"/>
      <c r="BP62" s="423"/>
      <c r="BQ62" s="423"/>
      <c r="BR62" s="423"/>
      <c r="BS62" s="423"/>
      <c r="BT62" s="423"/>
      <c r="BU62" s="423"/>
      <c r="BV62" s="423"/>
      <c r="BW62" s="423"/>
      <c r="BX62" s="423"/>
      <c r="BY62" s="423"/>
      <c r="BZ62" s="424"/>
      <c r="CA62" s="422"/>
      <c r="CB62" s="423"/>
      <c r="CC62" s="423"/>
      <c r="CD62" s="423"/>
      <c r="CE62" s="423"/>
      <c r="CF62" s="423"/>
      <c r="CG62" s="423"/>
      <c r="CH62" s="423"/>
      <c r="CI62" s="423"/>
      <c r="CJ62" s="423"/>
      <c r="CK62" s="423"/>
      <c r="CL62" s="424"/>
      <c r="CM62" s="52">
        <v>0.88541666666666496</v>
      </c>
    </row>
    <row r="63" spans="2:91" ht="10.5" customHeight="1">
      <c r="B63" s="51">
        <v>0.25</v>
      </c>
      <c r="C63" s="51">
        <v>0.25</v>
      </c>
      <c r="D63" s="51">
        <v>0.25</v>
      </c>
      <c r="E63" s="172">
        <v>0.89583333333333204</v>
      </c>
      <c r="F63" s="56" t="str">
        <f>IF(Tim!F65="","",Tim!F65)</f>
        <v>MS</v>
      </c>
      <c r="G63" s="53" t="str">
        <f>IF(Tim!G65="","",Tim!G65)</f>
        <v/>
      </c>
      <c r="H63" s="53" t="str">
        <f>IF(Tim!H65="","",Tim!H65)</f>
        <v/>
      </c>
      <c r="I63" s="53" t="str">
        <f>IF(Tim!I65="","",Tim!I65)</f>
        <v/>
      </c>
      <c r="J63" s="53" t="str">
        <f>IF(Tim!J65="","",Tim!J65)</f>
        <v/>
      </c>
      <c r="K63" s="53" t="str">
        <f>IF(Tim!K65="","",Tim!K65)</f>
        <v/>
      </c>
      <c r="L63" s="53" t="str">
        <f>IF(Tim!L65="","",Tim!L65)</f>
        <v/>
      </c>
      <c r="M63" s="53" t="str">
        <f>IF(Tim!P65="","",Tim!P65)</f>
        <v/>
      </c>
      <c r="N63" s="53" t="str">
        <f>IF(Tim!Q65="","",Tim!Q65)</f>
        <v/>
      </c>
      <c r="O63" s="53" t="str">
        <f>IF(Tim!R65="","",Tim!R65)</f>
        <v/>
      </c>
      <c r="P63" s="53" t="str">
        <f>IF(Tim!S65="","",Tim!S65)</f>
        <v/>
      </c>
      <c r="Q63" s="55" t="str">
        <f>IF(Tim!T65="","",Tim!T65)</f>
        <v/>
      </c>
      <c r="R63" s="56" t="str">
        <f>IF(Tim!AY65="","",Tim!AY65)</f>
        <v>MS</v>
      </c>
      <c r="S63" s="53" t="str">
        <f>IF(Tim!AZ65="","",Tim!AZ65)</f>
        <v/>
      </c>
      <c r="T63" s="53" t="str">
        <f>IF(Tim!BA65="","",Tim!BA65)</f>
        <v/>
      </c>
      <c r="U63" s="53" t="str">
        <f>IF(Tim!BB65="","",Tim!BB65)</f>
        <v/>
      </c>
      <c r="V63" s="53" t="str">
        <f>IF(Tim!BC65="","",Tim!BC65)</f>
        <v/>
      </c>
      <c r="W63" s="53" t="str">
        <f>IF(Tim!BD65="","",Tim!BD65)</f>
        <v/>
      </c>
      <c r="X63" s="53" t="str">
        <f>IF(Tim!BE65="","",Tim!BE65)</f>
        <v/>
      </c>
      <c r="Y63" s="53" t="str">
        <f>IF(Tim!BF65="","",Tim!BF65)</f>
        <v/>
      </c>
      <c r="Z63" s="53" t="str">
        <f>IF(Tim!BI65="","",Tim!BI65)</f>
        <v/>
      </c>
      <c r="AA63" s="53" t="str">
        <f>IF(Tim!BJ65="","",Tim!BJ65)</f>
        <v/>
      </c>
      <c r="AB63" s="53" t="str">
        <f>IF(Tim!BK65="","",Tim!BK65)</f>
        <v/>
      </c>
      <c r="AC63" s="53" t="str">
        <f>IF(Tim!BL65="","",Tim!BL65)</f>
        <v/>
      </c>
      <c r="AD63" s="55" t="str">
        <f>IF(Tim!BM65="","",Tim!BM65)</f>
        <v/>
      </c>
      <c r="AE63" s="56" t="str">
        <f>IF(Tim!CQ65="","",Tim!CQ65)</f>
        <v>MS</v>
      </c>
      <c r="AF63" s="53" t="str">
        <f>IF(Tim!CR65="","",Tim!CR65)</f>
        <v/>
      </c>
      <c r="AG63" s="53" t="str">
        <f>IF(Tim!CS65="","",Tim!CS65)</f>
        <v/>
      </c>
      <c r="AH63" s="53" t="str">
        <f>IF(Tim!CT65="","",Tim!CT65)</f>
        <v/>
      </c>
      <c r="AI63" s="53" t="str">
        <f>IF(Tim!CU65="","",Tim!CU65)</f>
        <v/>
      </c>
      <c r="AJ63" s="53" t="str">
        <f>IF(Tim!CV65="","",Tim!CV65)</f>
        <v/>
      </c>
      <c r="AK63" s="53" t="str">
        <f>IF(Tim!CW65="","",Tim!CW65)</f>
        <v/>
      </c>
      <c r="AL63" s="53" t="str">
        <f>IF(Tim!DA65="","",Tim!DA65)</f>
        <v/>
      </c>
      <c r="AM63" s="53" t="str">
        <f>IF(Tim!DB65="","",Tim!DB65)</f>
        <v/>
      </c>
      <c r="AN63" s="53" t="str">
        <f>IF(Tim!DC65="","",Tim!DC65)</f>
        <v/>
      </c>
      <c r="AO63" s="53" t="str">
        <f>IF(Tim!DD65="","",Tim!DD65)</f>
        <v/>
      </c>
      <c r="AP63" s="53" t="str">
        <f>IF(Tim!DE65="","",Tim!DE65)</f>
        <v/>
      </c>
      <c r="AQ63" s="56" t="str">
        <f>IF(Tim!EL65="","",Tim!EL65)</f>
        <v>HA</v>
      </c>
      <c r="AR63" s="53" t="str">
        <f>IF(Tim!EM65="","",Tim!EM65)</f>
        <v/>
      </c>
      <c r="AS63" s="53" t="str">
        <f>IF(Tim!EN65="","",Tim!EN65)</f>
        <v/>
      </c>
      <c r="AT63" s="53" t="str">
        <f>IF(Tim!EO65="","",Tim!EO65)</f>
        <v/>
      </c>
      <c r="AU63" s="53" t="str">
        <f>IF(Tim!EP65="","",Tim!EP65)</f>
        <v/>
      </c>
      <c r="AV63" s="53" t="str">
        <f>IF(Tim!EQ65="","",Tim!EQ65)</f>
        <v/>
      </c>
      <c r="AW63" s="53" t="str">
        <f>IF(Tim!ER65="","",Tim!ER65)</f>
        <v/>
      </c>
      <c r="AX63" s="53" t="str">
        <f>IF(Tim!EV65="","",Tim!EV65)</f>
        <v/>
      </c>
      <c r="AY63" s="53" t="str">
        <f>IF(Tim!EW65="","",Tim!EW65)</f>
        <v/>
      </c>
      <c r="AZ63" s="53" t="str">
        <f>IF(Tim!EX65="","",Tim!EX65)</f>
        <v/>
      </c>
      <c r="BA63" s="53" t="str">
        <f>IF(Tim!EY65="","",Tim!EY65)</f>
        <v/>
      </c>
      <c r="BB63" s="53" t="str">
        <f>IF(Tim!EZ65="","",Tim!EZ65)</f>
        <v/>
      </c>
      <c r="BC63" s="56" t="str">
        <f>IF(Tim!GD65="","",Tim!GD65)</f>
        <v>LA</v>
      </c>
      <c r="BD63" s="53" t="str">
        <f>IF(Tim!GE65="","",Tim!GE65)</f>
        <v/>
      </c>
      <c r="BE63" s="53" t="str">
        <f>IF(Tim!GF65="","",Tim!GF65)</f>
        <v/>
      </c>
      <c r="BF63" s="53" t="str">
        <f>IF(Tim!GG65="","",Tim!GG65)</f>
        <v/>
      </c>
      <c r="BG63" s="53" t="str">
        <f>IF(Tim!GH65="","",Tim!GH65)</f>
        <v/>
      </c>
      <c r="BH63" s="53" t="str">
        <f>IF(Tim!GI65="","",Tim!GI65)</f>
        <v/>
      </c>
      <c r="BI63" s="53" t="str">
        <f>IF(Tim!GJ65="","",Tim!GJ65)</f>
        <v/>
      </c>
      <c r="BJ63" s="53" t="str">
        <f>IF(Tim!GN65="","",Tim!GN65)</f>
        <v/>
      </c>
      <c r="BK63" s="53" t="str">
        <f>IF(Tim!GO65="","",Tim!GO65)</f>
        <v/>
      </c>
      <c r="BL63" s="53" t="str">
        <f>IF(Tim!GP65="","",Tim!GP65)</f>
        <v/>
      </c>
      <c r="BM63" s="53" t="str">
        <f>IF(Tim!GQ65="","",Tim!GQ65)</f>
        <v/>
      </c>
      <c r="BN63" s="53" t="str">
        <f>IF(Tim!GR65="","",Tim!GR65)</f>
        <v/>
      </c>
      <c r="BO63" s="422"/>
      <c r="BP63" s="423"/>
      <c r="BQ63" s="423"/>
      <c r="BR63" s="423"/>
      <c r="BS63" s="423"/>
      <c r="BT63" s="423"/>
      <c r="BU63" s="423"/>
      <c r="BV63" s="423"/>
      <c r="BW63" s="423"/>
      <c r="BX63" s="423"/>
      <c r="BY63" s="423"/>
      <c r="BZ63" s="424"/>
      <c r="CA63" s="422"/>
      <c r="CB63" s="423"/>
      <c r="CC63" s="423"/>
      <c r="CD63" s="423"/>
      <c r="CE63" s="423"/>
      <c r="CF63" s="423"/>
      <c r="CG63" s="423"/>
      <c r="CH63" s="423"/>
      <c r="CI63" s="423"/>
      <c r="CJ63" s="423"/>
      <c r="CK63" s="423"/>
      <c r="CL63" s="424"/>
      <c r="CM63" s="52">
        <v>0.89583333333333204</v>
      </c>
    </row>
    <row r="64" spans="2:91" ht="10.5" customHeight="1">
      <c r="B64" s="51">
        <v>0.25</v>
      </c>
      <c r="C64" s="51">
        <v>0.25</v>
      </c>
      <c r="D64" s="51">
        <v>0.25</v>
      </c>
      <c r="E64" s="172">
        <v>0.906249999999998</v>
      </c>
      <c r="F64" s="56" t="str">
        <f>IF(Tim!F66="","",Tim!F66)</f>
        <v>MS</v>
      </c>
      <c r="G64" s="53" t="str">
        <f>IF(Tim!G66="","",Tim!G66)</f>
        <v/>
      </c>
      <c r="H64" s="53" t="str">
        <f>IF(Tim!H66="","",Tim!H66)</f>
        <v/>
      </c>
      <c r="I64" s="53" t="str">
        <f>IF(Tim!I66="","",Tim!I66)</f>
        <v/>
      </c>
      <c r="J64" s="53" t="str">
        <f>IF(Tim!J66="","",Tim!J66)</f>
        <v/>
      </c>
      <c r="K64" s="53" t="str">
        <f>IF(Tim!K66="","",Tim!K66)</f>
        <v/>
      </c>
      <c r="L64" s="53" t="str">
        <f>IF(Tim!L66="","",Tim!L66)</f>
        <v/>
      </c>
      <c r="M64" s="53" t="str">
        <f>IF(Tim!P66="","",Tim!P66)</f>
        <v/>
      </c>
      <c r="N64" s="53" t="str">
        <f>IF(Tim!Q66="","",Tim!Q66)</f>
        <v/>
      </c>
      <c r="O64" s="53" t="str">
        <f>IF(Tim!R66="","",Tim!R66)</f>
        <v/>
      </c>
      <c r="P64" s="53" t="str">
        <f>IF(Tim!S66="","",Tim!S66)</f>
        <v/>
      </c>
      <c r="Q64" s="55" t="str">
        <f>IF(Tim!T66="","",Tim!T66)</f>
        <v/>
      </c>
      <c r="R64" s="56" t="str">
        <f>IF(Tim!AY66="","",Tim!AY66)</f>
        <v>MS</v>
      </c>
      <c r="S64" s="53" t="str">
        <f>IF(Tim!AZ66="","",Tim!AZ66)</f>
        <v/>
      </c>
      <c r="T64" s="53" t="str">
        <f>IF(Tim!BA66="","",Tim!BA66)</f>
        <v/>
      </c>
      <c r="U64" s="53" t="str">
        <f>IF(Tim!BB66="","",Tim!BB66)</f>
        <v/>
      </c>
      <c r="V64" s="53" t="str">
        <f>IF(Tim!BC66="","",Tim!BC66)</f>
        <v/>
      </c>
      <c r="W64" s="53" t="str">
        <f>IF(Tim!BD66="","",Tim!BD66)</f>
        <v/>
      </c>
      <c r="X64" s="53" t="str">
        <f>IF(Tim!BE66="","",Tim!BE66)</f>
        <v/>
      </c>
      <c r="Y64" s="53" t="str">
        <f>IF(Tim!BF66="","",Tim!BF66)</f>
        <v/>
      </c>
      <c r="Z64" s="53" t="str">
        <f>IF(Tim!BI66="","",Tim!BI66)</f>
        <v/>
      </c>
      <c r="AA64" s="53" t="str">
        <f>IF(Tim!BJ66="","",Tim!BJ66)</f>
        <v/>
      </c>
      <c r="AB64" s="53" t="str">
        <f>IF(Tim!BK66="","",Tim!BK66)</f>
        <v/>
      </c>
      <c r="AC64" s="53" t="str">
        <f>IF(Tim!BL66="","",Tim!BL66)</f>
        <v/>
      </c>
      <c r="AD64" s="55" t="str">
        <f>IF(Tim!BM66="","",Tim!BM66)</f>
        <v/>
      </c>
      <c r="AE64" s="56" t="str">
        <f>IF(Tim!CQ66="","",Tim!CQ66)</f>
        <v>MS</v>
      </c>
      <c r="AF64" s="53" t="str">
        <f>IF(Tim!CR66="","",Tim!CR66)</f>
        <v/>
      </c>
      <c r="AG64" s="53" t="str">
        <f>IF(Tim!CS66="","",Tim!CS66)</f>
        <v/>
      </c>
      <c r="AH64" s="53" t="str">
        <f>IF(Tim!CT66="","",Tim!CT66)</f>
        <v/>
      </c>
      <c r="AI64" s="53" t="str">
        <f>IF(Tim!CU66="","",Tim!CU66)</f>
        <v/>
      </c>
      <c r="AJ64" s="53" t="str">
        <f>IF(Tim!CV66="","",Tim!CV66)</f>
        <v/>
      </c>
      <c r="AK64" s="53" t="str">
        <f>IF(Tim!CW66="","",Tim!CW66)</f>
        <v/>
      </c>
      <c r="AL64" s="53" t="str">
        <f>IF(Tim!DA66="","",Tim!DA66)</f>
        <v/>
      </c>
      <c r="AM64" s="53" t="str">
        <f>IF(Tim!DB66="","",Tim!DB66)</f>
        <v/>
      </c>
      <c r="AN64" s="53" t="str">
        <f>IF(Tim!DC66="","",Tim!DC66)</f>
        <v/>
      </c>
      <c r="AO64" s="53" t="str">
        <f>IF(Tim!DD66="","",Tim!DD66)</f>
        <v/>
      </c>
      <c r="AP64" s="53" t="str">
        <f>IF(Tim!DE66="","",Tim!DE66)</f>
        <v/>
      </c>
      <c r="AQ64" s="56" t="str">
        <f>IF(Tim!EL66="","",Tim!EL66)</f>
        <v>HA</v>
      </c>
      <c r="AR64" s="53" t="str">
        <f>IF(Tim!EM66="","",Tim!EM66)</f>
        <v/>
      </c>
      <c r="AS64" s="53" t="str">
        <f>IF(Tim!EN66="","",Tim!EN66)</f>
        <v/>
      </c>
      <c r="AT64" s="53" t="str">
        <f>IF(Tim!EO66="","",Tim!EO66)</f>
        <v/>
      </c>
      <c r="AU64" s="53" t="str">
        <f>IF(Tim!EP66="","",Tim!EP66)</f>
        <v/>
      </c>
      <c r="AV64" s="53" t="str">
        <f>IF(Tim!EQ66="","",Tim!EQ66)</f>
        <v/>
      </c>
      <c r="AW64" s="53" t="str">
        <f>IF(Tim!ER66="","",Tim!ER66)</f>
        <v/>
      </c>
      <c r="AX64" s="53" t="str">
        <f>IF(Tim!EV66="","",Tim!EV66)</f>
        <v/>
      </c>
      <c r="AY64" s="53" t="str">
        <f>IF(Tim!EW66="","",Tim!EW66)</f>
        <v/>
      </c>
      <c r="AZ64" s="53" t="str">
        <f>IF(Tim!EX66="","",Tim!EX66)</f>
        <v/>
      </c>
      <c r="BA64" s="53" t="str">
        <f>IF(Tim!EY66="","",Tim!EY66)</f>
        <v/>
      </c>
      <c r="BB64" s="53" t="str">
        <f>IF(Tim!EZ66="","",Tim!EZ66)</f>
        <v/>
      </c>
      <c r="BC64" s="56" t="str">
        <f>IF(Tim!GD66="","",Tim!GD66)</f>
        <v>LA</v>
      </c>
      <c r="BD64" s="53" t="str">
        <f>IF(Tim!GE66="","",Tim!GE66)</f>
        <v/>
      </c>
      <c r="BE64" s="53" t="str">
        <f>IF(Tim!GF66="","",Tim!GF66)</f>
        <v/>
      </c>
      <c r="BF64" s="53" t="str">
        <f>IF(Tim!GG66="","",Tim!GG66)</f>
        <v/>
      </c>
      <c r="BG64" s="53" t="str">
        <f>IF(Tim!GH66="","",Tim!GH66)</f>
        <v/>
      </c>
      <c r="BH64" s="53" t="str">
        <f>IF(Tim!GI66="","",Tim!GI66)</f>
        <v/>
      </c>
      <c r="BI64" s="53" t="str">
        <f>IF(Tim!GJ66="","",Tim!GJ66)</f>
        <v/>
      </c>
      <c r="BJ64" s="53" t="str">
        <f>IF(Tim!GN66="","",Tim!GN66)</f>
        <v/>
      </c>
      <c r="BK64" s="53" t="str">
        <f>IF(Tim!GO66="","",Tim!GO66)</f>
        <v/>
      </c>
      <c r="BL64" s="53" t="str">
        <f>IF(Tim!GP66="","",Tim!GP66)</f>
        <v/>
      </c>
      <c r="BM64" s="53" t="str">
        <f>IF(Tim!GQ66="","",Tim!GQ66)</f>
        <v/>
      </c>
      <c r="BN64" s="53" t="str">
        <f>IF(Tim!GR66="","",Tim!GR66)</f>
        <v/>
      </c>
      <c r="BO64" s="422"/>
      <c r="BP64" s="423"/>
      <c r="BQ64" s="423"/>
      <c r="BR64" s="423"/>
      <c r="BS64" s="423"/>
      <c r="BT64" s="423"/>
      <c r="BU64" s="423"/>
      <c r="BV64" s="423"/>
      <c r="BW64" s="423"/>
      <c r="BX64" s="423"/>
      <c r="BY64" s="423"/>
      <c r="BZ64" s="424"/>
      <c r="CA64" s="422"/>
      <c r="CB64" s="423"/>
      <c r="CC64" s="423"/>
      <c r="CD64" s="423"/>
      <c r="CE64" s="423"/>
      <c r="CF64" s="423"/>
      <c r="CG64" s="423"/>
      <c r="CH64" s="423"/>
      <c r="CI64" s="423"/>
      <c r="CJ64" s="423"/>
      <c r="CK64" s="423"/>
      <c r="CL64" s="424"/>
      <c r="CM64" s="52">
        <v>0.906249999999998</v>
      </c>
    </row>
    <row r="65" spans="2:91" ht="10.5" customHeight="1">
      <c r="B65" s="51">
        <v>0.25</v>
      </c>
      <c r="C65" s="51">
        <v>0.25</v>
      </c>
      <c r="D65" s="51">
        <v>0.25</v>
      </c>
      <c r="E65" s="172">
        <v>0.91666666666666496</v>
      </c>
      <c r="F65" s="56" t="str">
        <f>IF(Tim!F67="","",Tim!F67)</f>
        <v>MS</v>
      </c>
      <c r="G65" s="53" t="str">
        <f>IF(Tim!G67="","",Tim!G67)</f>
        <v/>
      </c>
      <c r="H65" s="53" t="str">
        <f>IF(Tim!H67="","",Tim!H67)</f>
        <v/>
      </c>
      <c r="I65" s="53" t="str">
        <f>IF(Tim!I67="","",Tim!I67)</f>
        <v/>
      </c>
      <c r="J65" s="53" t="str">
        <f>IF(Tim!J67="","",Tim!J67)</f>
        <v/>
      </c>
      <c r="K65" s="53" t="str">
        <f>IF(Tim!K67="","",Tim!K67)</f>
        <v/>
      </c>
      <c r="L65" s="53" t="str">
        <f>IF(Tim!L67="","",Tim!L67)</f>
        <v/>
      </c>
      <c r="M65" s="53" t="str">
        <f>IF(Tim!P67="","",Tim!P67)</f>
        <v/>
      </c>
      <c r="N65" s="53" t="str">
        <f>IF(Tim!Q67="","",Tim!Q67)</f>
        <v/>
      </c>
      <c r="O65" s="53" t="str">
        <f>IF(Tim!R67="","",Tim!R67)</f>
        <v/>
      </c>
      <c r="P65" s="53" t="str">
        <f>IF(Tim!S67="","",Tim!S67)</f>
        <v/>
      </c>
      <c r="Q65" s="55" t="str">
        <f>IF(Tim!T67="","",Tim!T67)</f>
        <v/>
      </c>
      <c r="R65" s="56" t="str">
        <f>IF(Tim!AY67="","",Tim!AY67)</f>
        <v>MS</v>
      </c>
      <c r="S65" s="53" t="str">
        <f>IF(Tim!AZ67="","",Tim!AZ67)</f>
        <v/>
      </c>
      <c r="T65" s="53" t="str">
        <f>IF(Tim!BA67="","",Tim!BA67)</f>
        <v/>
      </c>
      <c r="U65" s="53" t="str">
        <f>IF(Tim!BB67="","",Tim!BB67)</f>
        <v/>
      </c>
      <c r="V65" s="53" t="str">
        <f>IF(Tim!BC67="","",Tim!BC67)</f>
        <v/>
      </c>
      <c r="W65" s="53" t="str">
        <f>IF(Tim!BD67="","",Tim!BD67)</f>
        <v/>
      </c>
      <c r="X65" s="53" t="str">
        <f>IF(Tim!BE67="","",Tim!BE67)</f>
        <v/>
      </c>
      <c r="Y65" s="53" t="str">
        <f>IF(Tim!BF67="","",Tim!BF67)</f>
        <v/>
      </c>
      <c r="Z65" s="53" t="str">
        <f>IF(Tim!BI67="","",Tim!BI67)</f>
        <v/>
      </c>
      <c r="AA65" s="53" t="str">
        <f>IF(Tim!BJ67="","",Tim!BJ67)</f>
        <v/>
      </c>
      <c r="AB65" s="53" t="str">
        <f>IF(Tim!BK67="","",Tim!BK67)</f>
        <v/>
      </c>
      <c r="AC65" s="53" t="str">
        <f>IF(Tim!BL67="","",Tim!BL67)</f>
        <v/>
      </c>
      <c r="AD65" s="55" t="str">
        <f>IF(Tim!BM67="","",Tim!BM67)</f>
        <v/>
      </c>
      <c r="AE65" s="56" t="str">
        <f>IF(Tim!CQ67="","",Tim!CQ67)</f>
        <v>MS</v>
      </c>
      <c r="AF65" s="53" t="str">
        <f>IF(Tim!CR67="","",Tim!CR67)</f>
        <v/>
      </c>
      <c r="AG65" s="53" t="str">
        <f>IF(Tim!CS67="","",Tim!CS67)</f>
        <v/>
      </c>
      <c r="AH65" s="53" t="str">
        <f>IF(Tim!CT67="","",Tim!CT67)</f>
        <v/>
      </c>
      <c r="AI65" s="53" t="str">
        <f>IF(Tim!CU67="","",Tim!CU67)</f>
        <v/>
      </c>
      <c r="AJ65" s="53" t="str">
        <f>IF(Tim!CV67="","",Tim!CV67)</f>
        <v/>
      </c>
      <c r="AK65" s="53" t="str">
        <f>IF(Tim!CW67="","",Tim!CW67)</f>
        <v/>
      </c>
      <c r="AL65" s="53" t="str">
        <f>IF(Tim!BU67="","",Tim!BU67)</f>
        <v/>
      </c>
      <c r="AM65" s="53" t="str">
        <f>IF(Tim!BV67="","",Tim!BV67)</f>
        <v/>
      </c>
      <c r="AN65" s="53" t="str">
        <f>IF(Tim!BW67="","",Tim!BW67)</f>
        <v/>
      </c>
      <c r="AO65" s="53" t="str">
        <f>IF(Tim!BX67="","",Tim!BX67)</f>
        <v/>
      </c>
      <c r="AP65" s="55" t="str">
        <f>IF(Tim!BY67="","",Tim!BY67)</f>
        <v/>
      </c>
      <c r="AQ65" s="56" t="str">
        <f>IF(Tim!EL67="","",Tim!EL67)</f>
        <v>HA</v>
      </c>
      <c r="AR65" s="53" t="str">
        <f>IF(Tim!EM67="","",Tim!EM67)</f>
        <v/>
      </c>
      <c r="AS65" s="53" t="str">
        <f>IF(Tim!EN67="","",Tim!EN67)</f>
        <v/>
      </c>
      <c r="AT65" s="53" t="str">
        <f>IF(Tim!EO67="","",Tim!EO67)</f>
        <v/>
      </c>
      <c r="AU65" s="53" t="str">
        <f>IF(Tim!EP67="","",Tim!EP67)</f>
        <v/>
      </c>
      <c r="AV65" s="53" t="str">
        <f>IF(Tim!EQ67="","",Tim!EQ67)</f>
        <v/>
      </c>
      <c r="AW65" s="53" t="str">
        <f>IF(Tim!ER67="","",Tim!ER67)</f>
        <v/>
      </c>
      <c r="AX65" s="53" t="str">
        <f>IF(Tim!CG67="","",Tim!CG67)</f>
        <v/>
      </c>
      <c r="AY65" s="53" t="str">
        <f>IF(Tim!CH67="","",Tim!CH67)</f>
        <v/>
      </c>
      <c r="AZ65" s="53" t="str">
        <f>IF(Tim!CI67="","",Tim!CI67)</f>
        <v/>
      </c>
      <c r="BA65" s="53" t="str">
        <f>IF(Tim!CJ67="","",Tim!CJ67)</f>
        <v/>
      </c>
      <c r="BB65" s="53" t="str">
        <f>IF(Tim!CK67="","",Tim!CK67)</f>
        <v/>
      </c>
      <c r="BC65" s="56" t="str">
        <f>IF(Tim!GD67="","",Tim!GD67)</f>
        <v>LA</v>
      </c>
      <c r="BD65" s="53" t="str">
        <f>IF(Tim!GE67="","",Tim!GE67)</f>
        <v/>
      </c>
      <c r="BE65" s="53" t="str">
        <f>IF(Tim!GF67="","",Tim!GF67)</f>
        <v/>
      </c>
      <c r="BF65" s="53" t="str">
        <f>IF(Tim!GG67="","",Tim!GG67)</f>
        <v/>
      </c>
      <c r="BG65" s="53" t="str">
        <f>IF(Tim!GH67="","",Tim!GH67)</f>
        <v/>
      </c>
      <c r="BH65" s="53" t="str">
        <f>IF(Tim!GI67="","",Tim!GI67)</f>
        <v/>
      </c>
      <c r="BI65" s="53" t="str">
        <f>IF(Tim!GJ67="","",Tim!GJ67)</f>
        <v/>
      </c>
      <c r="BJ65" s="53" t="str">
        <f>IF(Tim!GN67="","",Tim!GN67)</f>
        <v/>
      </c>
      <c r="BK65" s="53" t="str">
        <f>IF(Tim!GO67="","",Tim!GO67)</f>
        <v/>
      </c>
      <c r="BL65" s="53" t="str">
        <f>IF(Tim!GP67="","",Tim!GP67)</f>
        <v/>
      </c>
      <c r="BM65" s="53" t="str">
        <f>IF(Tim!GQ67="","",Tim!GQ67)</f>
        <v/>
      </c>
      <c r="BN65" s="53" t="str">
        <f>IF(Tim!GR67="","",Tim!GR67)</f>
        <v/>
      </c>
      <c r="BO65" s="422"/>
      <c r="BP65" s="423"/>
      <c r="BQ65" s="423"/>
      <c r="BR65" s="423"/>
      <c r="BS65" s="423"/>
      <c r="BT65" s="423"/>
      <c r="BU65" s="423"/>
      <c r="BV65" s="423"/>
      <c r="BW65" s="423"/>
      <c r="BX65" s="423"/>
      <c r="BY65" s="423"/>
      <c r="BZ65" s="424"/>
      <c r="CA65" s="422"/>
      <c r="CB65" s="423"/>
      <c r="CC65" s="423"/>
      <c r="CD65" s="423"/>
      <c r="CE65" s="423"/>
      <c r="CF65" s="423"/>
      <c r="CG65" s="423"/>
      <c r="CH65" s="423"/>
      <c r="CI65" s="423"/>
      <c r="CJ65" s="423"/>
      <c r="CK65" s="423"/>
      <c r="CL65" s="424"/>
      <c r="CM65" s="52">
        <v>0.91666666666666496</v>
      </c>
    </row>
    <row r="66" spans="2:91" ht="10.5" customHeight="1">
      <c r="B66" s="51">
        <v>0.25</v>
      </c>
      <c r="C66" s="51">
        <v>0.25</v>
      </c>
      <c r="D66" s="51">
        <v>0.25</v>
      </c>
      <c r="E66" s="172">
        <v>0.92708333333333104</v>
      </c>
      <c r="F66" s="56" t="str">
        <f>IF(Tim!F68="","",Tim!F68)</f>
        <v>MS</v>
      </c>
      <c r="G66" s="53" t="str">
        <f>IF(Tim!G68="","",Tim!G68)</f>
        <v/>
      </c>
      <c r="H66" s="53" t="str">
        <f>IF(Tim!H68="","",Tim!H68)</f>
        <v/>
      </c>
      <c r="I66" s="53" t="str">
        <f>IF(Tim!I68="","",Tim!I68)</f>
        <v/>
      </c>
      <c r="J66" s="53" t="str">
        <f>IF(Tim!J68="","",Tim!J68)</f>
        <v/>
      </c>
      <c r="K66" s="53" t="str">
        <f>IF(Tim!K68="","",Tim!K68)</f>
        <v/>
      </c>
      <c r="L66" s="53" t="str">
        <f>IF(Tim!L68="","",Tim!L68)</f>
        <v/>
      </c>
      <c r="M66" s="53" t="str">
        <f>IF(Tim!P68="","",Tim!P68)</f>
        <v/>
      </c>
      <c r="N66" s="53" t="str">
        <f>IF(Tim!Q68="","",Tim!Q68)</f>
        <v/>
      </c>
      <c r="O66" s="53" t="str">
        <f>IF(Tim!R68="","",Tim!R68)</f>
        <v/>
      </c>
      <c r="P66" s="53" t="str">
        <f>IF(Tim!S68="","",Tim!S68)</f>
        <v/>
      </c>
      <c r="Q66" s="55" t="str">
        <f>IF(Tim!T68="","",Tim!T68)</f>
        <v/>
      </c>
      <c r="R66" s="56" t="str">
        <f>IF(Tim!AY68="","",Tim!AY68)</f>
        <v>MS</v>
      </c>
      <c r="S66" s="53" t="str">
        <f>IF(Tim!AZ68="","",Tim!AZ68)</f>
        <v/>
      </c>
      <c r="T66" s="53" t="str">
        <f>IF(Tim!BA68="","",Tim!BA68)</f>
        <v/>
      </c>
      <c r="U66" s="53" t="str">
        <f>IF(Tim!BB68="","",Tim!BB68)</f>
        <v/>
      </c>
      <c r="V66" s="53" t="str">
        <f>IF(Tim!BC68="","",Tim!BC68)</f>
        <v/>
      </c>
      <c r="W66" s="53" t="str">
        <f>IF(Tim!BD68="","",Tim!BD68)</f>
        <v/>
      </c>
      <c r="X66" s="53" t="str">
        <f>IF(Tim!BE68="","",Tim!BE68)</f>
        <v/>
      </c>
      <c r="Y66" s="53" t="str">
        <f>IF(Tim!BF68="","",Tim!BF68)</f>
        <v/>
      </c>
      <c r="Z66" s="53" t="str">
        <f>IF(Tim!BI68="","",Tim!BI68)</f>
        <v/>
      </c>
      <c r="AA66" s="53" t="str">
        <f>IF(Tim!BJ68="","",Tim!BJ68)</f>
        <v/>
      </c>
      <c r="AB66" s="53" t="str">
        <f>IF(Tim!BK68="","",Tim!BK68)</f>
        <v/>
      </c>
      <c r="AC66" s="53" t="str">
        <f>IF(Tim!BL68="","",Tim!BL68)</f>
        <v/>
      </c>
      <c r="AD66" s="55" t="str">
        <f>IF(Tim!BM68="","",Tim!BM68)</f>
        <v/>
      </c>
      <c r="AE66" s="56" t="str">
        <f>IF(Tim!CQ68="","",Tim!CQ68)</f>
        <v>MS</v>
      </c>
      <c r="AF66" s="53" t="str">
        <f>IF(Tim!CR68="","",Tim!CR68)</f>
        <v/>
      </c>
      <c r="AG66" s="53" t="str">
        <f>IF(Tim!CS68="","",Tim!CS68)</f>
        <v/>
      </c>
      <c r="AH66" s="53" t="str">
        <f>IF(Tim!CT68="","",Tim!CT68)</f>
        <v/>
      </c>
      <c r="AI66" s="53" t="str">
        <f>IF(Tim!CU68="","",Tim!CU68)</f>
        <v/>
      </c>
      <c r="AJ66" s="53" t="str">
        <f>IF(Tim!CV68="","",Tim!CV68)</f>
        <v/>
      </c>
      <c r="AK66" s="53" t="str">
        <f>IF(Tim!CW68="","",Tim!CW68)</f>
        <v/>
      </c>
      <c r="AL66" s="53" t="str">
        <f>IF(Tim!BU68="","",Tim!BU68)</f>
        <v/>
      </c>
      <c r="AM66" s="53" t="str">
        <f>IF(Tim!BV68="","",Tim!BV68)</f>
        <v/>
      </c>
      <c r="AN66" s="53" t="str">
        <f>IF(Tim!BW68="","",Tim!BW68)</f>
        <v/>
      </c>
      <c r="AO66" s="53" t="str">
        <f>IF(Tim!BX68="","",Tim!BX68)</f>
        <v/>
      </c>
      <c r="AP66" s="55" t="str">
        <f>IF(Tim!BY68="","",Tim!BY68)</f>
        <v/>
      </c>
      <c r="AQ66" s="56" t="str">
        <f>IF(Tim!EL68="","",Tim!EL68)</f>
        <v>HA</v>
      </c>
      <c r="AR66" s="53" t="str">
        <f>IF(Tim!EM68="","",Tim!EM68)</f>
        <v/>
      </c>
      <c r="AS66" s="53" t="str">
        <f>IF(Tim!EN68="","",Tim!EN68)</f>
        <v/>
      </c>
      <c r="AT66" s="53" t="str">
        <f>IF(Tim!EO68="","",Tim!EO68)</f>
        <v/>
      </c>
      <c r="AU66" s="53" t="str">
        <f>IF(Tim!EP68="","",Tim!EP68)</f>
        <v/>
      </c>
      <c r="AV66" s="53" t="str">
        <f>IF(Tim!EQ68="","",Tim!EQ68)</f>
        <v/>
      </c>
      <c r="AW66" s="53" t="str">
        <f>IF(Tim!ER68="","",Tim!ER68)</f>
        <v/>
      </c>
      <c r="AX66" s="53" t="str">
        <f>IF(Tim!CG68="","",Tim!CG68)</f>
        <v/>
      </c>
      <c r="AY66" s="53" t="str">
        <f>IF(Tim!CH68="","",Tim!CH68)</f>
        <v/>
      </c>
      <c r="AZ66" s="53" t="str">
        <f>IF(Tim!CI68="","",Tim!CI68)</f>
        <v/>
      </c>
      <c r="BA66" s="53" t="str">
        <f>IF(Tim!CJ68="","",Tim!CJ68)</f>
        <v/>
      </c>
      <c r="BB66" s="53" t="str">
        <f>IF(Tim!CK68="","",Tim!CK68)</f>
        <v/>
      </c>
      <c r="BC66" s="56" t="str">
        <f>IF(Tim!GD68="","",Tim!GD68)</f>
        <v>LA</v>
      </c>
      <c r="BD66" s="53" t="str">
        <f>IF(Tim!GE68="","",Tim!GE68)</f>
        <v/>
      </c>
      <c r="BE66" s="53" t="str">
        <f>IF(Tim!GF68="","",Tim!GF68)</f>
        <v/>
      </c>
      <c r="BF66" s="53" t="str">
        <f>IF(Tim!GG68="","",Tim!GG68)</f>
        <v/>
      </c>
      <c r="BG66" s="53" t="str">
        <f>IF(Tim!GH68="","",Tim!GH68)</f>
        <v/>
      </c>
      <c r="BH66" s="53" t="str">
        <f>IF(Tim!GI68="","",Tim!GI68)</f>
        <v/>
      </c>
      <c r="BI66" s="53" t="str">
        <f>IF(Tim!GJ68="","",Tim!GJ68)</f>
        <v/>
      </c>
      <c r="BJ66" s="53" t="str">
        <f>IF(Tim!GN68="","",Tim!GN68)</f>
        <v/>
      </c>
      <c r="BK66" s="53" t="str">
        <f>IF(Tim!GO68="","",Tim!GO68)</f>
        <v/>
      </c>
      <c r="BL66" s="53" t="str">
        <f>IF(Tim!GP68="","",Tim!GP68)</f>
        <v/>
      </c>
      <c r="BM66" s="53" t="str">
        <f>IF(Tim!GQ68="","",Tim!GQ68)</f>
        <v/>
      </c>
      <c r="BN66" s="53" t="str">
        <f>IF(Tim!GR68="","",Tim!GR68)</f>
        <v/>
      </c>
      <c r="BO66" s="422"/>
      <c r="BP66" s="423"/>
      <c r="BQ66" s="423"/>
      <c r="BR66" s="423"/>
      <c r="BS66" s="423"/>
      <c r="BT66" s="423"/>
      <c r="BU66" s="423"/>
      <c r="BV66" s="423"/>
      <c r="BW66" s="423"/>
      <c r="BX66" s="423"/>
      <c r="BY66" s="423"/>
      <c r="BZ66" s="424"/>
      <c r="CA66" s="422"/>
      <c r="CB66" s="423"/>
      <c r="CC66" s="423"/>
      <c r="CD66" s="423"/>
      <c r="CE66" s="423"/>
      <c r="CF66" s="423"/>
      <c r="CG66" s="423"/>
      <c r="CH66" s="423"/>
      <c r="CI66" s="423"/>
      <c r="CJ66" s="423"/>
      <c r="CK66" s="423"/>
      <c r="CL66" s="424"/>
      <c r="CM66" s="52">
        <v>0.92708333333333104</v>
      </c>
    </row>
    <row r="67" spans="2:91" ht="10.5" customHeight="1">
      <c r="B67" s="51">
        <v>0.25</v>
      </c>
      <c r="C67" s="51">
        <v>0.25</v>
      </c>
      <c r="D67" s="51">
        <v>0.25</v>
      </c>
      <c r="E67" s="172">
        <v>0.937499999999998</v>
      </c>
      <c r="F67" s="56" t="str">
        <f>IF(Tim!F69="","",Tim!F69)</f>
        <v/>
      </c>
      <c r="G67" s="53" t="str">
        <f>IF(Tim!G69="","",Tim!G69)</f>
        <v/>
      </c>
      <c r="H67" s="53" t="str">
        <f>IF(Tim!H69="","",Tim!H69)</f>
        <v/>
      </c>
      <c r="I67" s="53" t="str">
        <f>IF(Tim!I69="","",Tim!I69)</f>
        <v/>
      </c>
      <c r="J67" s="53" t="str">
        <f>IF(Tim!J69="","",Tim!J69)</f>
        <v/>
      </c>
      <c r="K67" s="53" t="str">
        <f>IF(Tim!K69="","",Tim!K69)</f>
        <v/>
      </c>
      <c r="L67" s="53" t="str">
        <f>IF(Tim!L69="","",Tim!L69)</f>
        <v/>
      </c>
      <c r="M67" s="53" t="str">
        <f>IF(Tim!P69="","",Tim!P69)</f>
        <v/>
      </c>
      <c r="N67" s="53" t="str">
        <f>IF(Tim!Q69="","",Tim!Q69)</f>
        <v/>
      </c>
      <c r="O67" s="53" t="str">
        <f>IF(Tim!R69="","",Tim!R69)</f>
        <v/>
      </c>
      <c r="P67" s="53" t="str">
        <f>IF(Tim!S69="","",Tim!S69)</f>
        <v/>
      </c>
      <c r="Q67" s="55" t="str">
        <f>IF(Tim!T69="","",Tim!T69)</f>
        <v/>
      </c>
      <c r="R67" s="56" t="str">
        <f>IF(Tim!AY69="","",Tim!AY69)</f>
        <v/>
      </c>
      <c r="S67" s="53" t="str">
        <f>IF(Tim!AZ69="","",Tim!AZ69)</f>
        <v/>
      </c>
      <c r="T67" s="53" t="str">
        <f>IF(Tim!BA69="","",Tim!BA69)</f>
        <v/>
      </c>
      <c r="U67" s="53" t="str">
        <f>IF(Tim!BB69="","",Tim!BB69)</f>
        <v/>
      </c>
      <c r="V67" s="53" t="str">
        <f>IF(Tim!BC69="","",Tim!BC69)</f>
        <v/>
      </c>
      <c r="W67" s="53" t="str">
        <f>IF(Tim!BD69="","",Tim!BD69)</f>
        <v/>
      </c>
      <c r="X67" s="53" t="str">
        <f>IF(Tim!BE69="","",Tim!BE69)</f>
        <v/>
      </c>
      <c r="Y67" s="53" t="str">
        <f>IF(Tim!BF69="","",Tim!BF69)</f>
        <v/>
      </c>
      <c r="Z67" s="53" t="str">
        <f>IF(Tim!BI69="","",Tim!BI69)</f>
        <v/>
      </c>
      <c r="AA67" s="53" t="str">
        <f>IF(Tim!BJ69="","",Tim!BJ69)</f>
        <v/>
      </c>
      <c r="AB67" s="53" t="str">
        <f>IF(Tim!BK69="","",Tim!BK69)</f>
        <v/>
      </c>
      <c r="AC67" s="53" t="str">
        <f>IF(Tim!BL69="","",Tim!BL69)</f>
        <v/>
      </c>
      <c r="AD67" s="55" t="str">
        <f>IF(Tim!BM69="","",Tim!BM69)</f>
        <v/>
      </c>
      <c r="AE67" s="56" t="str">
        <f>IF(Tim!CQ69="","",Tim!CQ69)</f>
        <v/>
      </c>
      <c r="AF67" s="53" t="str">
        <f>IF(Tim!CR69="","",Tim!CR69)</f>
        <v/>
      </c>
      <c r="AG67" s="53" t="str">
        <f>IF(Tim!CS69="","",Tim!CS69)</f>
        <v/>
      </c>
      <c r="AH67" s="53" t="str">
        <f>IF(Tim!CT69="","",Tim!CT69)</f>
        <v/>
      </c>
      <c r="AI67" s="53" t="str">
        <f>IF(Tim!CU69="","",Tim!CU69)</f>
        <v/>
      </c>
      <c r="AJ67" s="53" t="str">
        <f>IF(Tim!CV69="","",Tim!CV69)</f>
        <v/>
      </c>
      <c r="AK67" s="53" t="str">
        <f>IF(Tim!CW69="","",Tim!CW69)</f>
        <v/>
      </c>
      <c r="AL67" s="53" t="str">
        <f>IF(Tim!BU69="","",Tim!BU69)</f>
        <v/>
      </c>
      <c r="AM67" s="53" t="str">
        <f>IF(Tim!BV69="","",Tim!BV69)</f>
        <v/>
      </c>
      <c r="AN67" s="53" t="str">
        <f>IF(Tim!BW69="","",Tim!BW69)</f>
        <v/>
      </c>
      <c r="AO67" s="53" t="str">
        <f>IF(Tim!BX69="","",Tim!BX69)</f>
        <v/>
      </c>
      <c r="AP67" s="55" t="str">
        <f>IF(Tim!BY69="","",Tim!BY69)</f>
        <v/>
      </c>
      <c r="AQ67" s="56" t="str">
        <f>IF(Tim!EL69="","",Tim!EL69)</f>
        <v/>
      </c>
      <c r="AR67" s="53" t="str">
        <f>IF(Tim!EM69="","",Tim!EM69)</f>
        <v/>
      </c>
      <c r="AS67" s="53" t="str">
        <f>IF(Tim!EN69="","",Tim!EN69)</f>
        <v/>
      </c>
      <c r="AT67" s="53" t="str">
        <f>IF(Tim!EO69="","",Tim!EO69)</f>
        <v/>
      </c>
      <c r="AU67" s="53" t="str">
        <f>IF(Tim!EP69="","",Tim!EP69)</f>
        <v/>
      </c>
      <c r="AV67" s="53" t="str">
        <f>IF(Tim!EQ69="","",Tim!EQ69)</f>
        <v/>
      </c>
      <c r="AW67" s="53" t="str">
        <f>IF(Tim!ER69="","",Tim!ER69)</f>
        <v/>
      </c>
      <c r="AX67" s="53" t="str">
        <f>IF(Tim!CG69="","",Tim!CG69)</f>
        <v/>
      </c>
      <c r="AY67" s="53" t="str">
        <f>IF(Tim!CH69="","",Tim!CH69)</f>
        <v/>
      </c>
      <c r="AZ67" s="53" t="str">
        <f>IF(Tim!CI69="","",Tim!CI69)</f>
        <v/>
      </c>
      <c r="BA67" s="53" t="str">
        <f>IF(Tim!CJ69="","",Tim!CJ69)</f>
        <v/>
      </c>
      <c r="BB67" s="53" t="str">
        <f>IF(Tim!CK69="","",Tim!CK69)</f>
        <v/>
      </c>
      <c r="BC67" s="56" t="str">
        <f>IF(Tim!GD69="","",Tim!GD69)</f>
        <v/>
      </c>
      <c r="BD67" s="53" t="str">
        <f>IF(Tim!GE69="","",Tim!GE69)</f>
        <v/>
      </c>
      <c r="BE67" s="53" t="str">
        <f>IF(Tim!GF69="","",Tim!GF69)</f>
        <v/>
      </c>
      <c r="BF67" s="53" t="str">
        <f>IF(Tim!GG69="","",Tim!GG69)</f>
        <v/>
      </c>
      <c r="BG67" s="53" t="str">
        <f>IF(Tim!GH69="","",Tim!GH69)</f>
        <v/>
      </c>
      <c r="BH67" s="53" t="str">
        <f>IF(Tim!GI69="","",Tim!GI69)</f>
        <v/>
      </c>
      <c r="BI67" s="53" t="str">
        <f>IF(Tim!GJ69="","",Tim!GJ69)</f>
        <v/>
      </c>
      <c r="BJ67" s="53" t="str">
        <f>IF(Tim!GN69="","",Tim!GN69)</f>
        <v/>
      </c>
      <c r="BK67" s="53" t="str">
        <f>IF(Tim!GO69="","",Tim!GO69)</f>
        <v/>
      </c>
      <c r="BL67" s="53" t="str">
        <f>IF(Tim!GP69="","",Tim!GP69)</f>
        <v/>
      </c>
      <c r="BM67" s="53" t="str">
        <f>IF(Tim!GQ69="","",Tim!GQ69)</f>
        <v/>
      </c>
      <c r="BN67" s="53" t="str">
        <f>IF(Tim!GR69="","",Tim!GR69)</f>
        <v/>
      </c>
      <c r="BO67" s="422"/>
      <c r="BP67" s="423"/>
      <c r="BQ67" s="423"/>
      <c r="BR67" s="423"/>
      <c r="BS67" s="423"/>
      <c r="BT67" s="423"/>
      <c r="BU67" s="423"/>
      <c r="BV67" s="423"/>
      <c r="BW67" s="423"/>
      <c r="BX67" s="423"/>
      <c r="BY67" s="423"/>
      <c r="BZ67" s="424"/>
      <c r="CA67" s="422"/>
      <c r="CB67" s="423"/>
      <c r="CC67" s="423"/>
      <c r="CD67" s="423"/>
      <c r="CE67" s="423"/>
      <c r="CF67" s="423"/>
      <c r="CG67" s="423"/>
      <c r="CH67" s="423"/>
      <c r="CI67" s="423"/>
      <c r="CJ67" s="423"/>
      <c r="CK67" s="423"/>
      <c r="CL67" s="424"/>
      <c r="CM67" s="52">
        <v>0.937499999999998</v>
      </c>
    </row>
    <row r="68" spans="2:91" ht="10.5" customHeight="1" thickBot="1">
      <c r="B68" s="51">
        <v>0.25</v>
      </c>
      <c r="C68" s="51">
        <v>0.25</v>
      </c>
      <c r="D68" s="51">
        <v>0.25</v>
      </c>
      <c r="E68" s="173">
        <v>0.94791666666666496</v>
      </c>
      <c r="F68" s="73" t="str">
        <f>IF(Tim!F70="","",Tim!F70)</f>
        <v/>
      </c>
      <c r="G68" s="70" t="str">
        <f>IF(Tim!G70="","",Tim!G70)</f>
        <v/>
      </c>
      <c r="H68" s="70" t="str">
        <f>IF(Tim!H70="","",Tim!H70)</f>
        <v/>
      </c>
      <c r="I68" s="70" t="str">
        <f>IF(Tim!I70="","",Tim!I70)</f>
        <v/>
      </c>
      <c r="J68" s="70" t="str">
        <f>IF(Tim!J70="","",Tim!J70)</f>
        <v/>
      </c>
      <c r="K68" s="70" t="str">
        <f>IF(Tim!K70="","",Tim!K70)</f>
        <v/>
      </c>
      <c r="L68" s="70" t="str">
        <f>IF(Tim!L70="","",Tim!L70)</f>
        <v/>
      </c>
      <c r="M68" s="70" t="str">
        <f>IF(Tim!P70="","",Tim!P70)</f>
        <v/>
      </c>
      <c r="N68" s="70" t="str">
        <f>IF(Tim!Q70="","",Tim!Q70)</f>
        <v/>
      </c>
      <c r="O68" s="70" t="str">
        <f>IF(Tim!R70="","",Tim!R70)</f>
        <v/>
      </c>
      <c r="P68" s="70" t="str">
        <f>IF(Tim!S70="","",Tim!S70)</f>
        <v/>
      </c>
      <c r="Q68" s="72" t="str">
        <f>IF(Tim!T70="","",Tim!T70)</f>
        <v/>
      </c>
      <c r="R68" s="73" t="str">
        <f>IF(Tim!AY70="","",Tim!AY70)</f>
        <v/>
      </c>
      <c r="S68" s="70" t="str">
        <f>IF(Tim!AZ70="","",Tim!AZ70)</f>
        <v/>
      </c>
      <c r="T68" s="70" t="str">
        <f>IF(Tim!BA70="","",Tim!BA70)</f>
        <v/>
      </c>
      <c r="U68" s="70" t="str">
        <f>IF(Tim!BB70="","",Tim!BB70)</f>
        <v/>
      </c>
      <c r="V68" s="70" t="str">
        <f>IF(Tim!BC70="","",Tim!BC70)</f>
        <v/>
      </c>
      <c r="W68" s="70" t="str">
        <f>IF(Tim!BD70="","",Tim!BD70)</f>
        <v/>
      </c>
      <c r="X68" s="70" t="str">
        <f>IF(Tim!BE70="","",Tim!BE70)</f>
        <v/>
      </c>
      <c r="Y68" s="70" t="str">
        <f>IF(Tim!BF70="","",Tim!BF70)</f>
        <v/>
      </c>
      <c r="Z68" s="70" t="str">
        <f>IF(Tim!BI70="","",Tim!BI70)</f>
        <v/>
      </c>
      <c r="AA68" s="70" t="str">
        <f>IF(Tim!BJ70="","",Tim!BJ70)</f>
        <v/>
      </c>
      <c r="AB68" s="70" t="str">
        <f>IF(Tim!BK70="","",Tim!BK70)</f>
        <v/>
      </c>
      <c r="AC68" s="70" t="str">
        <f>IF(Tim!BL70="","",Tim!BL70)</f>
        <v/>
      </c>
      <c r="AD68" s="72" t="str">
        <f>IF(Tim!BM70="","",Tim!BM70)</f>
        <v/>
      </c>
      <c r="AE68" s="56" t="str">
        <f>IF(Tim!CQ70="","",Tim!CQ70)</f>
        <v/>
      </c>
      <c r="AF68" s="53" t="str">
        <f>IF(Tim!CR70="","",Tim!CR70)</f>
        <v/>
      </c>
      <c r="AG68" s="53" t="str">
        <f>IF(Tim!CS70="","",Tim!CS70)</f>
        <v/>
      </c>
      <c r="AH68" s="53" t="str">
        <f>IF(Tim!CT70="","",Tim!CT70)</f>
        <v/>
      </c>
      <c r="AI68" s="53" t="str">
        <f>IF(Tim!CU70="","",Tim!CU70)</f>
        <v/>
      </c>
      <c r="AJ68" s="53" t="str">
        <f>IF(Tim!CV70="","",Tim!CV70)</f>
        <v/>
      </c>
      <c r="AK68" s="53" t="str">
        <f>IF(Tim!CW70="","",Tim!CW70)</f>
        <v/>
      </c>
      <c r="AL68" s="53" t="str">
        <f>IF(Tim!BU70="","",Tim!BU70)</f>
        <v/>
      </c>
      <c r="AM68" s="53" t="str">
        <f>IF(Tim!BV70="","",Tim!BV70)</f>
        <v/>
      </c>
      <c r="AN68" s="53" t="str">
        <f>IF(Tim!BW70="","",Tim!BW70)</f>
        <v/>
      </c>
      <c r="AO68" s="53" t="str">
        <f>IF(Tim!BX70="","",Tim!BX70)</f>
        <v/>
      </c>
      <c r="AP68" s="55" t="str">
        <f>IF(Tim!BY70="","",Tim!BY70)</f>
        <v/>
      </c>
      <c r="AQ68" s="56" t="str">
        <f>IF(Tim!EL70="","",Tim!EL70)</f>
        <v/>
      </c>
      <c r="AR68" s="53" t="str">
        <f>IF(Tim!EM70="","",Tim!EM70)</f>
        <v/>
      </c>
      <c r="AS68" s="53" t="str">
        <f>IF(Tim!EN70="","",Tim!EN70)</f>
        <v/>
      </c>
      <c r="AT68" s="53" t="str">
        <f>IF(Tim!EO70="","",Tim!EO70)</f>
        <v/>
      </c>
      <c r="AU68" s="53" t="str">
        <f>IF(Tim!EP70="","",Tim!EP70)</f>
        <v/>
      </c>
      <c r="AV68" s="53" t="str">
        <f>IF(Tim!EQ70="","",Tim!EQ70)</f>
        <v/>
      </c>
      <c r="AW68" s="53" t="str">
        <f>IF(Tim!ER70="","",Tim!ER70)</f>
        <v/>
      </c>
      <c r="AX68" s="53" t="str">
        <f>IF(Tim!CG70="","",Tim!CG70)</f>
        <v/>
      </c>
      <c r="AY68" s="53" t="str">
        <f>IF(Tim!CH70="","",Tim!CH70)</f>
        <v/>
      </c>
      <c r="AZ68" s="53" t="str">
        <f>IF(Tim!CI70="","",Tim!CI70)</f>
        <v/>
      </c>
      <c r="BA68" s="53" t="str">
        <f>IF(Tim!CJ70="","",Tim!CJ70)</f>
        <v/>
      </c>
      <c r="BB68" s="53" t="str">
        <f>IF(Tim!CK70="","",Tim!CK70)</f>
        <v/>
      </c>
      <c r="BC68" s="56" t="str">
        <f>IF(Tim!GD70="","",Tim!GD70)</f>
        <v/>
      </c>
      <c r="BD68" s="53" t="str">
        <f>IF(Tim!GE70="","",Tim!GE70)</f>
        <v/>
      </c>
      <c r="BE68" s="53" t="str">
        <f>IF(Tim!GF70="","",Tim!GF70)</f>
        <v/>
      </c>
      <c r="BF68" s="53" t="str">
        <f>IF(Tim!GG70="","",Tim!GG70)</f>
        <v/>
      </c>
      <c r="BG68" s="53" t="str">
        <f>IF(Tim!GH70="","",Tim!GH70)</f>
        <v/>
      </c>
      <c r="BH68" s="53" t="str">
        <f>IF(Tim!GI70="","",Tim!GI70)</f>
        <v/>
      </c>
      <c r="BI68" s="53" t="str">
        <f>IF(Tim!GJ70="","",Tim!GJ70)</f>
        <v/>
      </c>
      <c r="BJ68" s="53" t="str">
        <f>IF(Tim!GN70="","",Tim!GN70)</f>
        <v/>
      </c>
      <c r="BK68" s="53" t="str">
        <f>IF(Tim!GO70="","",Tim!GO70)</f>
        <v/>
      </c>
      <c r="BL68" s="53" t="str">
        <f>IF(Tim!GP70="","",Tim!GP70)</f>
        <v/>
      </c>
      <c r="BM68" s="53" t="str">
        <f>IF(Tim!GQ70="","",Tim!GQ70)</f>
        <v/>
      </c>
      <c r="BN68" s="53" t="str">
        <f>IF(Tim!GR70="","",Tim!GR70)</f>
        <v/>
      </c>
      <c r="BO68" s="425"/>
      <c r="BP68" s="426"/>
      <c r="BQ68" s="426"/>
      <c r="BR68" s="426"/>
      <c r="BS68" s="426"/>
      <c r="BT68" s="426"/>
      <c r="BU68" s="426"/>
      <c r="BV68" s="426"/>
      <c r="BW68" s="426"/>
      <c r="BX68" s="426"/>
      <c r="BY68" s="426"/>
      <c r="BZ68" s="427"/>
      <c r="CA68" s="425"/>
      <c r="CB68" s="426"/>
      <c r="CC68" s="426"/>
      <c r="CD68" s="426"/>
      <c r="CE68" s="426"/>
      <c r="CF68" s="426"/>
      <c r="CG68" s="426"/>
      <c r="CH68" s="426"/>
      <c r="CI68" s="426"/>
      <c r="CJ68" s="426"/>
      <c r="CK68" s="426"/>
      <c r="CL68" s="427"/>
      <c r="CM68" s="69">
        <v>0.94791666666666496</v>
      </c>
    </row>
  </sheetData>
  <mergeCells count="34">
    <mergeCell ref="BO5:BZ12"/>
    <mergeCell ref="CA5:CL12"/>
    <mergeCell ref="BO57:BZ68"/>
    <mergeCell ref="CA49:CL68"/>
    <mergeCell ref="CM1:CM4"/>
    <mergeCell ref="CB2:CG4"/>
    <mergeCell ref="CA1:CG1"/>
    <mergeCell ref="BV2:BZ4"/>
    <mergeCell ref="CH2:CL4"/>
    <mergeCell ref="CA2:CA4"/>
    <mergeCell ref="BC1:BI1"/>
    <mergeCell ref="AQ2:AQ4"/>
    <mergeCell ref="BD2:BI4"/>
    <mergeCell ref="BC2:BC4"/>
    <mergeCell ref="BP2:BU4"/>
    <mergeCell ref="BO1:BU1"/>
    <mergeCell ref="AX2:BB4"/>
    <mergeCell ref="BJ2:BN4"/>
    <mergeCell ref="BO2:BO4"/>
    <mergeCell ref="E1:E4"/>
    <mergeCell ref="F1:L1"/>
    <mergeCell ref="R1:Y1"/>
    <mergeCell ref="AE1:AK1"/>
    <mergeCell ref="AQ1:AW1"/>
    <mergeCell ref="S2:Y4"/>
    <mergeCell ref="F2:F4"/>
    <mergeCell ref="G2:L4"/>
    <mergeCell ref="R2:R4"/>
    <mergeCell ref="AE2:AE4"/>
    <mergeCell ref="AF2:AK4"/>
    <mergeCell ref="AR2:AW4"/>
    <mergeCell ref="M2:Q4"/>
    <mergeCell ref="Z2:AD4"/>
    <mergeCell ref="AL2:AP4"/>
  </mergeCells>
  <conditionalFormatting sqref="E5:E68 CM5:CM68">
    <cfRule type="cellIs" dxfId="377" priority="62" operator="equal">
      <formula>"JP"</formula>
    </cfRule>
  </conditionalFormatting>
  <conditionalFormatting sqref="E5:E68">
    <cfRule type="cellIs" dxfId="376" priority="63" operator="equal">
      <formula>"RM"</formula>
    </cfRule>
    <cfRule type="cellIs" dxfId="375" priority="50" operator="equal">
      <formula>"F3"</formula>
    </cfRule>
    <cfRule type="cellIs" dxfId="374" priority="49" operator="equal">
      <formula>"F4"</formula>
    </cfRule>
    <cfRule type="cellIs" dxfId="373" priority="48" operator="equal">
      <formula>"F5"</formula>
    </cfRule>
    <cfRule type="cellIs" dxfId="372" priority="47" operator="equal">
      <formula>"F6"</formula>
    </cfRule>
    <cfRule type="cellIs" dxfId="371" priority="46" operator="equal">
      <formula>"VG"</formula>
    </cfRule>
    <cfRule type="cellIs" dxfId="370" priority="45" operator="equal">
      <formula>"RC"</formula>
    </cfRule>
    <cfRule type="cellIs" dxfId="369" priority="44" operator="equal">
      <formula>"AF"</formula>
    </cfRule>
    <cfRule type="cellIs" dxfId="368" priority="43" operator="equal">
      <formula>"AA"</formula>
    </cfRule>
    <cfRule type="cellIs" dxfId="367" priority="42" operator="equal">
      <formula>"AS"</formula>
    </cfRule>
    <cfRule type="cellIs" dxfId="366" priority="41" operator="equal">
      <formula>"CF"</formula>
    </cfRule>
    <cfRule type="cellIs" dxfId="365" priority="40" operator="equal">
      <formula>"LC"</formula>
    </cfRule>
    <cfRule type="cellIs" dxfId="364" priority="39" operator="equal">
      <formula>"RP"</formula>
    </cfRule>
    <cfRule type="cellIs" dxfId="363" priority="38" operator="equal">
      <formula>"KK"</formula>
    </cfRule>
  </conditionalFormatting>
  <conditionalFormatting sqref="E1:Q1 CM1:CM70 E2:M2 BO2:BP2 CA2:CB2 E3:L4 BO3:BO4 CA3:CA4 E5:E68">
    <cfRule type="cellIs" dxfId="362" priority="64" operator="equal">
      <formula>"PM"</formula>
    </cfRule>
  </conditionalFormatting>
  <conditionalFormatting sqref="E1:Q1 CM1:CM1048576 E2:M2 BO2:BP2 CA2:CB2 E3:L4 BO3:BO4 CA3:CA4 E5:E68">
    <cfRule type="cellIs" dxfId="361" priority="37" operator="equal">
      <formula>"PP"</formula>
    </cfRule>
  </conditionalFormatting>
  <conditionalFormatting sqref="R1:Y4">
    <cfRule type="cellIs" dxfId="360" priority="20" operator="equal">
      <formula>"PM"</formula>
    </cfRule>
    <cfRule type="cellIs" dxfId="359" priority="19" operator="equal">
      <formula>"PP"</formula>
    </cfRule>
  </conditionalFormatting>
  <conditionalFormatting sqref="Z1:AD1 Z2">
    <cfRule type="cellIs" dxfId="358" priority="12" operator="equal">
      <formula>"PM"</formula>
    </cfRule>
    <cfRule type="cellIs" dxfId="357" priority="11" operator="equal">
      <formula>"PP"</formula>
    </cfRule>
  </conditionalFormatting>
  <conditionalFormatting sqref="AE1:AK4">
    <cfRule type="cellIs" dxfId="356" priority="18" operator="equal">
      <formula>"PM"</formula>
    </cfRule>
    <cfRule type="cellIs" dxfId="355" priority="17" operator="equal">
      <formula>"PP"</formula>
    </cfRule>
  </conditionalFormatting>
  <conditionalFormatting sqref="AL1:AP1 AL2">
    <cfRule type="cellIs" dxfId="354" priority="10" operator="equal">
      <formula>"PM"</formula>
    </cfRule>
    <cfRule type="cellIs" dxfId="353" priority="9" operator="equal">
      <formula>"PP"</formula>
    </cfRule>
  </conditionalFormatting>
  <conditionalFormatting sqref="AQ1:AW4">
    <cfRule type="cellIs" dxfId="352" priority="16" operator="equal">
      <formula>"PM"</formula>
    </cfRule>
    <cfRule type="cellIs" dxfId="351" priority="15" operator="equal">
      <formula>"PP"</formula>
    </cfRule>
  </conditionalFormatting>
  <conditionalFormatting sqref="AX1:BB1 AX2">
    <cfRule type="cellIs" dxfId="350" priority="8" operator="equal">
      <formula>"PM"</formula>
    </cfRule>
    <cfRule type="cellIs" dxfId="349" priority="7" operator="equal">
      <formula>"PP"</formula>
    </cfRule>
  </conditionalFormatting>
  <conditionalFormatting sqref="BC1:BI4">
    <cfRule type="cellIs" dxfId="348" priority="14" operator="equal">
      <formula>"PM"</formula>
    </cfRule>
    <cfRule type="cellIs" dxfId="347" priority="13" operator="equal">
      <formula>"PP"</formula>
    </cfRule>
  </conditionalFormatting>
  <conditionalFormatting sqref="BJ1:BO1 BJ2">
    <cfRule type="cellIs" dxfId="346" priority="6" operator="equal">
      <formula>"PM"</formula>
    </cfRule>
    <cfRule type="cellIs" dxfId="345" priority="5" operator="equal">
      <formula>"PP"</formula>
    </cfRule>
  </conditionalFormatting>
  <conditionalFormatting sqref="BV1:CA1 BV2">
    <cfRule type="cellIs" dxfId="344" priority="4" operator="equal">
      <formula>"PM"</formula>
    </cfRule>
    <cfRule type="cellIs" dxfId="343" priority="3" operator="equal">
      <formula>"PP"</formula>
    </cfRule>
  </conditionalFormatting>
  <conditionalFormatting sqref="CH1:CL1 CH2 E69:CL70">
    <cfRule type="cellIs" dxfId="342" priority="2" operator="equal">
      <formula>"PM"</formula>
    </cfRule>
  </conditionalFormatting>
  <conditionalFormatting sqref="CH1:CL1 CH2 E69:CL1048576">
    <cfRule type="cellIs" dxfId="341" priority="1" operator="equal">
      <formula>"PP"</formula>
    </cfRule>
  </conditionalFormatting>
  <printOptions horizontalCentered="1" verticalCentered="1"/>
  <pageMargins left="0.21" right="0.57999999999999996" top="0.15" bottom="0.15" header="0.12" footer="0.12"/>
  <pageSetup paperSize="9" scale="55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B2:AH22"/>
  <sheetViews>
    <sheetView zoomScaleNormal="100" zoomScaleSheetLayoutView="100" workbookViewId="0">
      <selection activeCell="C20" sqref="C20"/>
    </sheetView>
  </sheetViews>
  <sheetFormatPr defaultColWidth="9.33203125" defaultRowHeight="10.5" customHeight="1"/>
  <cols>
    <col min="1" max="1" width="1.33203125" style="86" customWidth="1"/>
    <col min="2" max="2" width="19.6640625" style="86" bestFit="1" customWidth="1"/>
    <col min="3" max="3" width="13.44140625" style="86" customWidth="1"/>
    <col min="4" max="5" width="4.44140625" style="86" bestFit="1" customWidth="1"/>
    <col min="6" max="34" width="4.33203125" style="86" customWidth="1"/>
    <col min="35" max="16384" width="9.33203125" style="86"/>
  </cols>
  <sheetData>
    <row r="2" spans="2:34" ht="10.5" customHeight="1">
      <c r="B2" s="83" t="s">
        <v>197</v>
      </c>
      <c r="C2" s="84" t="s">
        <v>198</v>
      </c>
      <c r="D2" s="84" t="s">
        <v>199</v>
      </c>
      <c r="E2" s="84" t="s">
        <v>200</v>
      </c>
      <c r="F2" s="85" t="s">
        <v>19</v>
      </c>
      <c r="G2" s="85" t="s">
        <v>201</v>
      </c>
      <c r="H2" s="85" t="s">
        <v>202</v>
      </c>
      <c r="I2" s="85" t="s">
        <v>203</v>
      </c>
      <c r="J2" s="85" t="s">
        <v>21</v>
      </c>
      <c r="K2" s="85" t="s">
        <v>204</v>
      </c>
      <c r="L2" s="85" t="s">
        <v>205</v>
      </c>
      <c r="M2" s="85" t="s">
        <v>206</v>
      </c>
      <c r="N2" s="85" t="s">
        <v>207</v>
      </c>
      <c r="O2" s="85" t="s">
        <v>208</v>
      </c>
      <c r="P2" s="85" t="s">
        <v>209</v>
      </c>
      <c r="Q2" s="85" t="s">
        <v>210</v>
      </c>
      <c r="R2" s="85" t="s">
        <v>211</v>
      </c>
      <c r="S2" s="85" t="s">
        <v>202</v>
      </c>
      <c r="T2" s="85" t="s">
        <v>212</v>
      </c>
      <c r="U2" s="85" t="s">
        <v>26</v>
      </c>
      <c r="V2" s="85" t="s">
        <v>213</v>
      </c>
      <c r="W2" s="85" t="s">
        <v>214</v>
      </c>
      <c r="X2" s="85" t="s">
        <v>215</v>
      </c>
      <c r="Y2" s="85" t="s">
        <v>216</v>
      </c>
      <c r="Z2" s="85" t="s">
        <v>217</v>
      </c>
      <c r="AA2" s="85" t="s">
        <v>218</v>
      </c>
      <c r="AB2" s="85" t="s">
        <v>20</v>
      </c>
      <c r="AC2" s="85" t="s">
        <v>219</v>
      </c>
      <c r="AD2" s="85" t="s">
        <v>220</v>
      </c>
      <c r="AE2" s="85" t="s">
        <v>221</v>
      </c>
      <c r="AF2" s="85" t="s">
        <v>222</v>
      </c>
      <c r="AG2" s="85" t="s">
        <v>223</v>
      </c>
      <c r="AH2" s="85" t="s">
        <v>224</v>
      </c>
    </row>
    <row r="3" spans="2:34" ht="10.5" customHeight="1">
      <c r="B3" s="87" t="s">
        <v>225</v>
      </c>
      <c r="C3" s="88">
        <v>240</v>
      </c>
      <c r="D3" s="88">
        <f t="shared" ref="D3:D9" si="0">C3/3</f>
        <v>80</v>
      </c>
      <c r="E3" s="88">
        <f>C3/4</f>
        <v>60</v>
      </c>
      <c r="F3" s="88">
        <v>60</v>
      </c>
      <c r="G3" s="88">
        <v>60</v>
      </c>
      <c r="H3" s="88"/>
      <c r="I3" s="88"/>
      <c r="J3" s="88"/>
      <c r="K3" s="88"/>
      <c r="L3" s="88">
        <v>30</v>
      </c>
      <c r="M3" s="88"/>
      <c r="N3" s="89"/>
      <c r="O3" s="90"/>
      <c r="P3" s="91"/>
      <c r="Q3" s="92"/>
      <c r="R3" s="174">
        <v>40</v>
      </c>
      <c r="S3" s="88"/>
      <c r="T3" s="88"/>
      <c r="U3" s="88"/>
      <c r="V3" s="88"/>
      <c r="W3" s="88"/>
      <c r="X3" s="88"/>
      <c r="Y3" s="88"/>
      <c r="Z3" s="88"/>
      <c r="AA3" s="93"/>
      <c r="AB3" s="175"/>
      <c r="AC3" s="94"/>
      <c r="AD3" s="88"/>
      <c r="AE3" s="88"/>
      <c r="AF3" s="88"/>
      <c r="AG3" s="88"/>
      <c r="AH3" s="88">
        <v>50</v>
      </c>
    </row>
    <row r="4" spans="2:34" ht="10.5" customHeight="1">
      <c r="B4" s="87" t="s">
        <v>226</v>
      </c>
      <c r="C4" s="88">
        <v>140</v>
      </c>
      <c r="D4" s="88">
        <f t="shared" si="0"/>
        <v>46.666666666666664</v>
      </c>
      <c r="E4" s="88">
        <f t="shared" ref="E4:E9" si="1">C4/4</f>
        <v>35</v>
      </c>
      <c r="F4" s="88"/>
      <c r="G4" s="88"/>
      <c r="H4" s="88"/>
      <c r="I4" s="88"/>
      <c r="J4" s="88"/>
      <c r="K4" s="88"/>
      <c r="L4" s="88"/>
      <c r="M4" s="88"/>
      <c r="N4" s="89"/>
      <c r="O4" s="90"/>
      <c r="P4" s="91"/>
      <c r="Q4" s="92"/>
      <c r="R4" s="174"/>
      <c r="S4" s="88"/>
      <c r="T4" s="88"/>
      <c r="U4" s="88"/>
      <c r="V4" s="88"/>
      <c r="W4" s="88"/>
      <c r="X4" s="88"/>
      <c r="Y4" s="88"/>
      <c r="Z4" s="88"/>
      <c r="AA4" s="93"/>
      <c r="AB4" s="175"/>
      <c r="AC4" s="94"/>
      <c r="AD4" s="88"/>
      <c r="AE4" s="88"/>
      <c r="AF4" s="88"/>
      <c r="AG4" s="88"/>
      <c r="AH4" s="88"/>
    </row>
    <row r="5" spans="2:34" ht="10.5" customHeight="1">
      <c r="B5" s="87" t="s">
        <v>227</v>
      </c>
      <c r="C5" s="88">
        <v>50</v>
      </c>
      <c r="D5" s="88">
        <f t="shared" si="0"/>
        <v>16.666666666666668</v>
      </c>
      <c r="E5" s="88">
        <f t="shared" si="1"/>
        <v>12.5</v>
      </c>
      <c r="F5" s="88"/>
      <c r="G5" s="88"/>
      <c r="H5" s="88"/>
      <c r="I5" s="88"/>
      <c r="J5" s="88"/>
      <c r="K5" s="88"/>
      <c r="L5" s="88"/>
      <c r="M5" s="88"/>
      <c r="N5" s="89"/>
      <c r="O5" s="90"/>
      <c r="P5" s="91"/>
      <c r="Q5" s="92"/>
      <c r="R5" s="174"/>
      <c r="S5" s="88"/>
      <c r="T5" s="88"/>
      <c r="U5" s="88"/>
      <c r="V5" s="88"/>
      <c r="W5" s="88"/>
      <c r="X5" s="88"/>
      <c r="Y5" s="88"/>
      <c r="Z5" s="88"/>
      <c r="AA5" s="93"/>
      <c r="AB5" s="175"/>
      <c r="AC5" s="94"/>
      <c r="AD5" s="88"/>
      <c r="AE5" s="88"/>
      <c r="AF5" s="88"/>
      <c r="AG5" s="88"/>
      <c r="AH5" s="88"/>
    </row>
    <row r="6" spans="2:34" ht="10.5" customHeight="1">
      <c r="B6" s="87" t="s">
        <v>228</v>
      </c>
      <c r="C6" s="88">
        <v>200</v>
      </c>
      <c r="D6" s="88">
        <f t="shared" si="0"/>
        <v>66.666666666666671</v>
      </c>
      <c r="E6" s="88">
        <f t="shared" si="1"/>
        <v>50</v>
      </c>
      <c r="F6" s="88"/>
      <c r="G6" s="88"/>
      <c r="H6" s="88"/>
      <c r="I6" s="88"/>
      <c r="J6" s="88"/>
      <c r="K6" s="88"/>
      <c r="L6" s="88"/>
      <c r="M6" s="88"/>
      <c r="N6" s="89"/>
      <c r="O6" s="90"/>
      <c r="P6" s="91"/>
      <c r="Q6" s="92"/>
      <c r="R6" s="174"/>
      <c r="S6" s="88"/>
      <c r="T6" s="88"/>
      <c r="U6" s="88"/>
      <c r="V6" s="88"/>
      <c r="W6" s="88"/>
      <c r="X6" s="88"/>
      <c r="Y6" s="88"/>
      <c r="Z6" s="88"/>
      <c r="AA6" s="93"/>
      <c r="AB6" s="175"/>
      <c r="AC6" s="94"/>
      <c r="AD6" s="88"/>
      <c r="AE6" s="88"/>
      <c r="AF6" s="88"/>
      <c r="AG6" s="88"/>
      <c r="AH6" s="88"/>
    </row>
    <row r="7" spans="2:34" ht="10.5" customHeight="1">
      <c r="B7" s="87" t="s">
        <v>229</v>
      </c>
      <c r="C7" s="88">
        <v>100</v>
      </c>
      <c r="D7" s="88">
        <f t="shared" si="0"/>
        <v>33.333333333333336</v>
      </c>
      <c r="E7" s="88">
        <f t="shared" si="1"/>
        <v>25</v>
      </c>
      <c r="F7" s="88"/>
      <c r="G7" s="88"/>
      <c r="H7" s="88"/>
      <c r="I7" s="88"/>
      <c r="J7" s="88"/>
      <c r="K7" s="88"/>
      <c r="L7" s="88"/>
      <c r="M7" s="88"/>
      <c r="N7" s="89"/>
      <c r="O7" s="90"/>
      <c r="P7" s="91"/>
      <c r="Q7" s="92"/>
      <c r="R7" s="174"/>
      <c r="S7" s="88"/>
      <c r="T7" s="88"/>
      <c r="U7" s="88"/>
      <c r="V7" s="88"/>
      <c r="W7" s="88"/>
      <c r="X7" s="88"/>
      <c r="Y7" s="88"/>
      <c r="Z7" s="88"/>
      <c r="AA7" s="93"/>
      <c r="AB7" s="175">
        <v>40</v>
      </c>
      <c r="AC7" s="94"/>
      <c r="AD7" s="88"/>
      <c r="AE7" s="88"/>
      <c r="AF7" s="88"/>
      <c r="AG7" s="88"/>
      <c r="AH7" s="88"/>
    </row>
    <row r="8" spans="2:34" ht="10.5" customHeight="1">
      <c r="B8" s="87" t="s">
        <v>230</v>
      </c>
      <c r="C8" s="88">
        <f>18*8</f>
        <v>144</v>
      </c>
      <c r="D8" s="88">
        <f t="shared" si="0"/>
        <v>48</v>
      </c>
      <c r="E8" s="88">
        <f t="shared" si="1"/>
        <v>36</v>
      </c>
      <c r="F8" s="88"/>
      <c r="G8" s="88"/>
      <c r="H8" s="88"/>
      <c r="I8" s="88"/>
      <c r="J8" s="88"/>
      <c r="K8" s="88">
        <v>50</v>
      </c>
      <c r="L8" s="88"/>
      <c r="M8" s="88"/>
      <c r="N8" s="89"/>
      <c r="O8" s="90"/>
      <c r="P8" s="91"/>
      <c r="Q8" s="92"/>
      <c r="R8" s="174"/>
      <c r="S8" s="88"/>
      <c r="T8" s="88"/>
      <c r="U8" s="88"/>
      <c r="V8" s="88"/>
      <c r="W8" s="88"/>
      <c r="X8" s="88"/>
      <c r="Y8" s="88"/>
      <c r="Z8" s="88"/>
      <c r="AA8" s="93"/>
      <c r="AB8" s="175"/>
      <c r="AC8" s="94"/>
      <c r="AD8" s="88"/>
      <c r="AE8" s="88"/>
      <c r="AF8" s="88"/>
      <c r="AG8" s="88"/>
      <c r="AH8" s="88"/>
    </row>
    <row r="9" spans="2:34" ht="10.5" customHeight="1">
      <c r="B9" s="87" t="s">
        <v>231</v>
      </c>
      <c r="C9" s="88">
        <v>20</v>
      </c>
      <c r="D9" s="88">
        <f t="shared" si="0"/>
        <v>6.666666666666667</v>
      </c>
      <c r="E9" s="88">
        <f t="shared" si="1"/>
        <v>5</v>
      </c>
      <c r="F9" s="88">
        <v>15</v>
      </c>
      <c r="G9" s="88">
        <v>15</v>
      </c>
      <c r="H9" s="88">
        <v>15</v>
      </c>
      <c r="I9" s="88">
        <v>10</v>
      </c>
      <c r="J9" s="88">
        <v>10</v>
      </c>
      <c r="K9" s="88"/>
      <c r="L9" s="88"/>
      <c r="M9" s="88"/>
      <c r="N9" s="89"/>
      <c r="O9" s="90"/>
      <c r="P9" s="91"/>
      <c r="Q9" s="92"/>
      <c r="R9" s="174"/>
      <c r="S9" s="88"/>
      <c r="T9" s="88"/>
      <c r="U9" s="88"/>
      <c r="V9" s="88"/>
      <c r="W9" s="88"/>
      <c r="X9" s="88"/>
      <c r="Y9" s="88"/>
      <c r="Z9" s="88"/>
      <c r="AA9" s="93"/>
      <c r="AB9" s="175"/>
      <c r="AC9" s="94"/>
      <c r="AD9" s="88"/>
      <c r="AE9" s="88"/>
      <c r="AF9" s="88"/>
      <c r="AG9" s="88"/>
      <c r="AH9" s="88"/>
    </row>
    <row r="10" spans="2:34" ht="10.5" customHeight="1">
      <c r="B10" s="87" t="s">
        <v>232</v>
      </c>
      <c r="C10" s="88" t="s">
        <v>233</v>
      </c>
      <c r="D10" s="88"/>
      <c r="E10" s="88">
        <f>SUM(E3:E9)</f>
        <v>223.5</v>
      </c>
      <c r="F10" s="88">
        <v>15</v>
      </c>
      <c r="G10" s="88">
        <v>15</v>
      </c>
      <c r="H10" s="88">
        <v>15</v>
      </c>
      <c r="I10" s="88">
        <v>10</v>
      </c>
      <c r="J10" s="88">
        <v>10</v>
      </c>
      <c r="K10" s="88"/>
      <c r="L10" s="88"/>
      <c r="M10" s="88">
        <v>30</v>
      </c>
      <c r="N10" s="89"/>
      <c r="O10" s="90"/>
      <c r="P10" s="91"/>
      <c r="Q10" s="92"/>
      <c r="R10" s="174"/>
      <c r="S10" s="88"/>
      <c r="T10" s="88"/>
      <c r="U10" s="88"/>
      <c r="V10" s="88"/>
      <c r="W10" s="88"/>
      <c r="X10" s="88"/>
      <c r="Y10" s="88"/>
      <c r="Z10" s="88"/>
      <c r="AA10" s="93"/>
      <c r="AB10" s="175"/>
      <c r="AC10" s="94"/>
      <c r="AD10" s="88"/>
      <c r="AE10" s="88"/>
      <c r="AF10" s="88"/>
      <c r="AG10" s="88"/>
      <c r="AH10" s="88"/>
    </row>
    <row r="15" spans="2:34" ht="10.5" customHeight="1">
      <c r="C15" s="95"/>
    </row>
    <row r="21" spans="3:3" ht="10.5" customHeight="1">
      <c r="C21" s="187"/>
    </row>
    <row r="22" spans="3:3" ht="10.5" customHeight="1">
      <c r="C22" s="187"/>
    </row>
  </sheetData>
  <printOptions horizontalCentered="1" verticalCentered="1"/>
  <pageMargins left="0.21" right="0.57999999999999996" top="0.15" bottom="0.15" header="0.12" footer="0.12"/>
  <pageSetup paperSize="9" scale="83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T98"/>
  <sheetViews>
    <sheetView showGridLines="0" zoomScale="110" zoomScaleNormal="110" zoomScaleSheetLayoutView="100" workbookViewId="0">
      <selection activeCell="E25" sqref="E25"/>
    </sheetView>
  </sheetViews>
  <sheetFormatPr defaultColWidth="8.6640625" defaultRowHeight="14.4"/>
  <cols>
    <col min="2" max="2" width="1.44140625" customWidth="1"/>
    <col min="3" max="3" width="17.33203125" customWidth="1"/>
    <col min="4" max="4" width="1.44140625" customWidth="1"/>
    <col min="5" max="5" width="17.33203125" customWidth="1"/>
    <col min="6" max="6" width="1.44140625" customWidth="1"/>
    <col min="7" max="7" width="17.33203125" customWidth="1"/>
    <col min="8" max="8" width="1.44140625" customWidth="1"/>
    <col min="9" max="9" width="17.33203125" customWidth="1"/>
    <col min="10" max="10" width="1.44140625" customWidth="1"/>
    <col min="11" max="11" width="17.33203125" customWidth="1"/>
    <col min="12" max="12" width="1.44140625" customWidth="1"/>
    <col min="13" max="13" width="17.33203125" customWidth="1"/>
    <col min="14" max="14" width="1.44140625" customWidth="1"/>
    <col min="15" max="15" width="17.33203125" customWidth="1"/>
    <col min="20" max="20" width="5.44140625" bestFit="1" customWidth="1"/>
  </cols>
  <sheetData>
    <row r="1" spans="1:15" ht="24.75" customHeight="1">
      <c r="A1" s="2" t="s">
        <v>193</v>
      </c>
      <c r="B1" s="2"/>
      <c r="C1" s="2"/>
    </row>
    <row r="2" spans="1:15" ht="24.75" customHeight="1">
      <c r="C2" s="1" t="s">
        <v>0</v>
      </c>
      <c r="E2" s="1" t="s">
        <v>1</v>
      </c>
      <c r="G2" s="1" t="s">
        <v>2</v>
      </c>
      <c r="I2" s="1" t="s">
        <v>3</v>
      </c>
      <c r="K2" s="1" t="s">
        <v>4</v>
      </c>
      <c r="M2" s="1" t="s">
        <v>5</v>
      </c>
      <c r="O2" s="1" t="s">
        <v>6</v>
      </c>
    </row>
    <row r="3" spans="1:15" ht="8.25" customHeight="1">
      <c r="A3" s="5"/>
      <c r="C3" s="6" t="s">
        <v>105</v>
      </c>
      <c r="E3" s="6"/>
      <c r="G3" s="6" t="s">
        <v>105</v>
      </c>
      <c r="I3" s="6" t="s">
        <v>105</v>
      </c>
      <c r="K3" s="6"/>
      <c r="M3" s="6"/>
      <c r="O3" s="6"/>
    </row>
    <row r="4" spans="1:15" ht="24.75" customHeight="1">
      <c r="A4" s="38" t="s">
        <v>113</v>
      </c>
      <c r="B4" s="38"/>
      <c r="C4" s="42" t="s">
        <v>92</v>
      </c>
      <c r="D4" s="43"/>
      <c r="F4" s="43"/>
      <c r="G4" s="42" t="s">
        <v>60</v>
      </c>
      <c r="H4" s="43"/>
      <c r="I4" s="42" t="s">
        <v>95</v>
      </c>
      <c r="J4" s="43"/>
      <c r="L4" s="44"/>
      <c r="M4" s="43"/>
      <c r="N4" s="44"/>
      <c r="O4" s="43"/>
    </row>
    <row r="5" spans="1:15" ht="8.25" customHeight="1">
      <c r="A5" s="5"/>
      <c r="C5" s="6"/>
      <c r="E5" s="6" t="s">
        <v>329</v>
      </c>
      <c r="G5" s="6"/>
      <c r="I5" s="6"/>
      <c r="K5" s="6" t="s">
        <v>234</v>
      </c>
      <c r="M5" s="6"/>
      <c r="O5" s="6"/>
    </row>
    <row r="6" spans="1:15" ht="24.75" customHeight="1">
      <c r="A6" s="38" t="s">
        <v>90</v>
      </c>
      <c r="B6" s="38"/>
      <c r="D6" s="43"/>
      <c r="E6" s="42" t="s">
        <v>20</v>
      </c>
      <c r="F6" s="43"/>
      <c r="H6" s="43"/>
      <c r="J6" s="43"/>
      <c r="K6" s="42" t="s">
        <v>20</v>
      </c>
      <c r="L6" s="44"/>
      <c r="M6" s="43"/>
      <c r="N6" s="44"/>
      <c r="O6" s="43"/>
    </row>
    <row r="7" spans="1:15" ht="8.25" customHeight="1">
      <c r="A7" s="5"/>
      <c r="C7" s="6"/>
      <c r="E7" s="6"/>
      <c r="G7" s="6"/>
      <c r="I7" s="6"/>
      <c r="K7" s="6" t="s">
        <v>107</v>
      </c>
      <c r="M7" s="6"/>
      <c r="O7" s="6"/>
    </row>
    <row r="8" spans="1:15" ht="26.25" customHeight="1">
      <c r="A8" s="38" t="s">
        <v>52</v>
      </c>
      <c r="B8" s="38"/>
      <c r="F8" s="43"/>
      <c r="J8" s="43"/>
      <c r="K8" s="42" t="s">
        <v>119</v>
      </c>
      <c r="L8" s="44"/>
      <c r="M8" s="43"/>
      <c r="N8" s="44"/>
      <c r="O8" s="43"/>
    </row>
    <row r="9" spans="1:15" ht="8.25" customHeight="1">
      <c r="A9" s="5"/>
      <c r="C9" s="6" t="s">
        <v>105</v>
      </c>
      <c r="E9" s="6" t="s">
        <v>105</v>
      </c>
      <c r="G9" s="6" t="s">
        <v>108</v>
      </c>
      <c r="I9" s="6" t="s">
        <v>105</v>
      </c>
      <c r="K9" s="6" t="s">
        <v>105</v>
      </c>
      <c r="M9" s="6"/>
      <c r="O9" s="6"/>
    </row>
    <row r="10" spans="1:15" ht="26.25" customHeight="1">
      <c r="A10" s="429" t="s">
        <v>69</v>
      </c>
      <c r="B10" s="38"/>
      <c r="C10" s="42" t="s">
        <v>93</v>
      </c>
      <c r="E10" s="42" t="s">
        <v>118</v>
      </c>
      <c r="F10" s="43"/>
      <c r="G10" s="42" t="s">
        <v>93</v>
      </c>
      <c r="H10" s="43"/>
      <c r="I10" s="42" t="s">
        <v>93</v>
      </c>
      <c r="J10" s="43"/>
      <c r="K10" s="42" t="s">
        <v>118</v>
      </c>
      <c r="L10" s="44"/>
      <c r="M10" s="43"/>
      <c r="N10" s="44"/>
      <c r="O10" s="43"/>
    </row>
    <row r="11" spans="1:15" ht="8.25" customHeight="1">
      <c r="A11" s="429"/>
      <c r="C11" s="6"/>
      <c r="E11" s="6"/>
      <c r="G11" s="6" t="s">
        <v>234</v>
      </c>
      <c r="I11" s="6"/>
      <c r="K11" s="6"/>
      <c r="M11" s="6"/>
      <c r="O11" s="6"/>
    </row>
    <row r="12" spans="1:15" ht="26.25" customHeight="1">
      <c r="A12" s="429"/>
      <c r="B12" s="38"/>
      <c r="F12" s="43"/>
      <c r="G12" s="42" t="s">
        <v>20</v>
      </c>
      <c r="H12" s="43"/>
      <c r="J12" s="43"/>
      <c r="L12" s="44"/>
      <c r="M12" s="43"/>
      <c r="N12" s="44"/>
      <c r="O12" s="43"/>
    </row>
    <row r="13" spans="1:15" ht="8.25" customHeight="1">
      <c r="A13" s="5"/>
      <c r="C13" s="6"/>
      <c r="E13" s="6"/>
      <c r="G13" s="6" t="s">
        <v>108</v>
      </c>
      <c r="I13" s="6"/>
      <c r="K13" s="6"/>
      <c r="M13" s="6" t="s">
        <v>105</v>
      </c>
      <c r="O13" s="6" t="s">
        <v>234</v>
      </c>
    </row>
    <row r="14" spans="1:15" ht="26.25" customHeight="1">
      <c r="A14" s="38" t="s">
        <v>7</v>
      </c>
      <c r="B14" s="38"/>
      <c r="F14" s="43"/>
      <c r="G14" s="42" t="s">
        <v>98</v>
      </c>
      <c r="H14" s="43"/>
      <c r="J14" s="43"/>
      <c r="L14" s="44"/>
      <c r="M14" s="42" t="s">
        <v>92</v>
      </c>
      <c r="N14" s="44"/>
      <c r="O14" s="42" t="s">
        <v>115</v>
      </c>
    </row>
    <row r="15" spans="1:15" ht="8.25" customHeight="1">
      <c r="A15" s="5"/>
      <c r="C15" s="6"/>
      <c r="E15" s="6"/>
      <c r="G15" s="6"/>
      <c r="I15" s="6"/>
      <c r="K15" s="6"/>
      <c r="M15" s="6" t="s">
        <v>106</v>
      </c>
      <c r="O15" s="6"/>
    </row>
    <row r="16" spans="1:15" ht="26.25" customHeight="1">
      <c r="A16" s="38" t="s">
        <v>116</v>
      </c>
      <c r="B16" s="38"/>
      <c r="F16" s="43"/>
      <c r="H16" s="43"/>
      <c r="J16" s="43"/>
      <c r="L16" s="44"/>
      <c r="M16" s="42" t="s">
        <v>114</v>
      </c>
      <c r="N16" s="44"/>
      <c r="O16" s="43"/>
    </row>
    <row r="17" spans="1:20" ht="8.25" customHeight="1">
      <c r="A17" s="5"/>
      <c r="C17" s="6" t="s">
        <v>330</v>
      </c>
      <c r="E17" s="6" t="s">
        <v>107</v>
      </c>
      <c r="G17" s="6" t="s">
        <v>330</v>
      </c>
      <c r="I17" s="6" t="s">
        <v>332</v>
      </c>
      <c r="K17" s="6" t="s">
        <v>331</v>
      </c>
      <c r="M17" s="6"/>
      <c r="O17" s="6"/>
    </row>
    <row r="18" spans="1:20" ht="26.25" customHeight="1">
      <c r="A18" s="38" t="s">
        <v>70</v>
      </c>
      <c r="B18" s="38"/>
      <c r="C18" s="42" t="s">
        <v>114</v>
      </c>
      <c r="E18" s="42" t="s">
        <v>114</v>
      </c>
      <c r="F18" s="43"/>
      <c r="G18" s="42" t="s">
        <v>114</v>
      </c>
      <c r="H18" s="43"/>
      <c r="I18" s="42" t="s">
        <v>114</v>
      </c>
      <c r="J18" s="43"/>
      <c r="K18" s="42" t="s">
        <v>114</v>
      </c>
      <c r="L18" s="44"/>
      <c r="M18" s="43"/>
      <c r="N18" s="44"/>
      <c r="O18" s="43"/>
    </row>
    <row r="19" spans="1:20" ht="8.25" customHeight="1">
      <c r="A19" s="5"/>
      <c r="C19" s="6" t="s">
        <v>101</v>
      </c>
      <c r="E19" s="6"/>
      <c r="G19" s="6" t="s">
        <v>101</v>
      </c>
      <c r="I19" s="6"/>
      <c r="K19" s="6" t="s">
        <v>101</v>
      </c>
      <c r="M19" s="6"/>
      <c r="O19" s="6"/>
    </row>
    <row r="20" spans="1:20" ht="26.25" customHeight="1">
      <c r="A20" s="38" t="s">
        <v>120</v>
      </c>
      <c r="B20" s="38"/>
      <c r="C20" s="42" t="s">
        <v>91</v>
      </c>
      <c r="F20" s="43"/>
      <c r="G20" s="42" t="s">
        <v>91</v>
      </c>
      <c r="H20" s="43"/>
      <c r="J20" s="43"/>
      <c r="K20" s="42" t="s">
        <v>91</v>
      </c>
      <c r="L20" s="44"/>
      <c r="M20" s="43"/>
      <c r="N20" s="44"/>
      <c r="O20" s="43"/>
      <c r="T20" s="7"/>
    </row>
    <row r="21" spans="1:20" ht="8.25" customHeight="1">
      <c r="A21" s="5"/>
      <c r="C21" s="6"/>
      <c r="E21" s="6"/>
      <c r="G21" s="6"/>
      <c r="I21" s="6"/>
      <c r="K21" s="6"/>
      <c r="M21" s="6" t="s">
        <v>235</v>
      </c>
      <c r="O21" s="6" t="s">
        <v>105</v>
      </c>
    </row>
    <row r="22" spans="1:20" ht="26.25" customHeight="1">
      <c r="A22" s="429" t="s">
        <v>8</v>
      </c>
      <c r="B22" s="38"/>
      <c r="F22" s="43"/>
      <c r="H22" s="43"/>
      <c r="J22" s="43"/>
      <c r="L22" s="44"/>
      <c r="M22" s="42" t="s">
        <v>349</v>
      </c>
      <c r="N22" s="44"/>
      <c r="O22" s="42" t="s">
        <v>114</v>
      </c>
    </row>
    <row r="23" spans="1:20" ht="8.25" customHeight="1">
      <c r="A23" s="429"/>
      <c r="C23" s="6"/>
      <c r="E23" s="6"/>
      <c r="G23" s="6"/>
      <c r="I23" s="6"/>
      <c r="K23" s="6"/>
      <c r="M23" s="6" t="s">
        <v>106</v>
      </c>
      <c r="O23" s="6"/>
    </row>
    <row r="24" spans="1:20" ht="26.25" customHeight="1">
      <c r="A24" s="429"/>
      <c r="B24" s="38"/>
      <c r="F24" s="43"/>
      <c r="H24" s="43"/>
      <c r="J24" s="43"/>
      <c r="L24" s="44"/>
      <c r="M24" s="42" t="s">
        <v>98</v>
      </c>
      <c r="N24" s="44"/>
      <c r="O24" s="43"/>
    </row>
    <row r="25" spans="1:20" ht="8.25" customHeight="1">
      <c r="A25" s="5"/>
      <c r="C25" s="6"/>
      <c r="E25" s="6"/>
      <c r="G25" s="6"/>
      <c r="I25" s="6"/>
      <c r="K25" s="6"/>
      <c r="M25" s="6" t="s">
        <v>329</v>
      </c>
      <c r="O25" s="6"/>
    </row>
    <row r="26" spans="1:20" ht="26.25" customHeight="1">
      <c r="A26" s="38" t="s">
        <v>54</v>
      </c>
      <c r="B26" s="38"/>
      <c r="F26" s="43"/>
      <c r="H26" s="43"/>
      <c r="J26" s="43"/>
      <c r="L26" s="44"/>
      <c r="M26" s="42" t="s">
        <v>20</v>
      </c>
      <c r="N26" s="44"/>
      <c r="O26" s="43"/>
    </row>
    <row r="27" spans="1:20" ht="8.25" customHeight="1">
      <c r="A27" s="5"/>
      <c r="C27" s="6"/>
      <c r="E27" s="6"/>
      <c r="G27" s="6"/>
      <c r="I27" s="6"/>
      <c r="K27" s="6"/>
      <c r="M27" s="6" t="s">
        <v>105</v>
      </c>
      <c r="O27" s="6"/>
    </row>
    <row r="28" spans="1:20" ht="26.25" customHeight="1">
      <c r="A28" s="38" t="s">
        <v>327</v>
      </c>
      <c r="B28" s="38"/>
      <c r="F28" s="43"/>
      <c r="H28" s="43"/>
      <c r="J28" s="43"/>
      <c r="L28" s="44"/>
      <c r="M28" s="42" t="s">
        <v>99</v>
      </c>
      <c r="N28" s="44"/>
      <c r="O28" s="43"/>
    </row>
    <row r="29" spans="1:20" ht="8.25" customHeight="1">
      <c r="A29" s="5"/>
      <c r="C29" s="6" t="s">
        <v>106</v>
      </c>
      <c r="E29" s="6"/>
      <c r="G29" s="6"/>
      <c r="I29" s="6" t="s">
        <v>107</v>
      </c>
      <c r="K29" s="6"/>
      <c r="M29" s="6"/>
      <c r="O29" s="6" t="s">
        <v>101</v>
      </c>
    </row>
    <row r="30" spans="1:20" ht="26.25" customHeight="1">
      <c r="A30" s="38" t="s">
        <v>14</v>
      </c>
      <c r="B30" s="38"/>
      <c r="C30" s="42" t="s">
        <v>98</v>
      </c>
      <c r="F30" s="43"/>
      <c r="H30" s="43"/>
      <c r="I30" s="42" t="s">
        <v>98</v>
      </c>
      <c r="J30" s="43"/>
      <c r="L30" s="44"/>
      <c r="M30" s="43"/>
      <c r="N30" s="44"/>
      <c r="O30" s="42" t="s">
        <v>91</v>
      </c>
    </row>
    <row r="31" spans="1:20" ht="8.25" customHeight="1">
      <c r="A31" s="5"/>
      <c r="C31" s="6"/>
      <c r="E31" s="6"/>
      <c r="G31" s="6"/>
      <c r="I31" s="6"/>
      <c r="K31" s="6"/>
      <c r="M31" s="6" t="s">
        <v>103</v>
      </c>
      <c r="O31" s="6" t="s">
        <v>105</v>
      </c>
    </row>
    <row r="32" spans="1:20" ht="26.25" customHeight="1">
      <c r="A32" s="38" t="s">
        <v>71</v>
      </c>
      <c r="B32" s="38"/>
      <c r="F32" s="43"/>
      <c r="H32" s="43"/>
      <c r="J32" s="43"/>
      <c r="L32" s="44"/>
      <c r="M32" s="42" t="s">
        <v>96</v>
      </c>
      <c r="N32" s="44"/>
      <c r="O32" s="42" t="s">
        <v>93</v>
      </c>
    </row>
    <row r="33" spans="1:15" ht="8.25" customHeight="1">
      <c r="A33" s="5"/>
      <c r="C33" s="6"/>
      <c r="E33" s="6"/>
      <c r="G33" s="6"/>
      <c r="I33" s="6"/>
      <c r="K33" s="6"/>
      <c r="M33" s="6" t="s">
        <v>107</v>
      </c>
      <c r="O33" s="6"/>
    </row>
    <row r="34" spans="1:15" ht="26.25" customHeight="1">
      <c r="A34" s="38" t="s">
        <v>55</v>
      </c>
      <c r="B34" s="38"/>
      <c r="F34" s="43"/>
      <c r="H34" s="43"/>
      <c r="J34" s="43"/>
      <c r="L34" s="44"/>
      <c r="M34" s="42" t="s">
        <v>100</v>
      </c>
      <c r="N34" s="44"/>
      <c r="O34" s="82"/>
    </row>
    <row r="35" spans="1:15" ht="8.25" customHeight="1">
      <c r="A35" s="5"/>
      <c r="C35" s="6" t="s">
        <v>106</v>
      </c>
      <c r="E35" s="6" t="s">
        <v>107</v>
      </c>
      <c r="G35" s="6" t="s">
        <v>106</v>
      </c>
      <c r="I35" s="6"/>
      <c r="K35" s="6" t="s">
        <v>107</v>
      </c>
      <c r="M35" s="6" t="s">
        <v>101</v>
      </c>
      <c r="O35" s="6"/>
    </row>
    <row r="36" spans="1:15" ht="26.25" customHeight="1">
      <c r="A36" s="38" t="s">
        <v>72</v>
      </c>
      <c r="B36" s="38"/>
      <c r="C36" s="42" t="s">
        <v>99</v>
      </c>
      <c r="E36" s="42" t="s">
        <v>128</v>
      </c>
      <c r="F36" s="43"/>
      <c r="G36" s="42" t="s">
        <v>114</v>
      </c>
      <c r="H36" s="43"/>
      <c r="J36" s="43"/>
      <c r="K36" s="42" t="s">
        <v>126</v>
      </c>
      <c r="L36" s="44"/>
      <c r="M36" s="42" t="s">
        <v>91</v>
      </c>
      <c r="N36" s="44"/>
      <c r="O36" s="43"/>
    </row>
    <row r="37" spans="1:15" ht="8.25" customHeight="1">
      <c r="A37" s="5"/>
      <c r="C37" s="6" t="s">
        <v>235</v>
      </c>
      <c r="E37" s="6"/>
      <c r="G37" s="6" t="s">
        <v>235</v>
      </c>
      <c r="I37" s="6" t="s">
        <v>104</v>
      </c>
      <c r="K37" s="6" t="s">
        <v>235</v>
      </c>
      <c r="M37" s="6"/>
      <c r="O37" s="6"/>
    </row>
    <row r="38" spans="1:15" ht="26.25" customHeight="1">
      <c r="A38" s="38" t="s">
        <v>13</v>
      </c>
      <c r="B38" s="38"/>
      <c r="C38" s="42" t="s">
        <v>349</v>
      </c>
      <c r="F38" s="43"/>
      <c r="G38" s="42" t="s">
        <v>349</v>
      </c>
      <c r="H38" s="43"/>
      <c r="I38" s="42" t="s">
        <v>24</v>
      </c>
      <c r="J38" s="43"/>
      <c r="K38" s="42" t="s">
        <v>349</v>
      </c>
      <c r="L38" s="44"/>
      <c r="M38" s="82"/>
      <c r="N38" s="44"/>
      <c r="O38" s="43"/>
    </row>
    <row r="39" spans="1:15" ht="8.25" customHeight="1">
      <c r="A39" s="5"/>
      <c r="B39" s="38"/>
      <c r="C39" s="6" t="s">
        <v>105</v>
      </c>
      <c r="E39" s="6" t="s">
        <v>103</v>
      </c>
      <c r="G39" s="6" t="s">
        <v>102</v>
      </c>
      <c r="I39" s="6" t="s">
        <v>234</v>
      </c>
      <c r="K39" s="6"/>
      <c r="M39" s="6"/>
      <c r="O39" s="6"/>
    </row>
    <row r="40" spans="1:15" ht="26.25" customHeight="1">
      <c r="A40" s="429" t="s">
        <v>56</v>
      </c>
      <c r="B40" s="38"/>
      <c r="C40" s="42" t="s">
        <v>121</v>
      </c>
      <c r="E40" s="42" t="s">
        <v>95</v>
      </c>
      <c r="F40" s="43"/>
      <c r="G40" s="82"/>
      <c r="H40" s="43"/>
      <c r="I40" s="42" t="s">
        <v>20</v>
      </c>
      <c r="J40" s="43"/>
      <c r="L40" s="44"/>
      <c r="M40" s="43"/>
      <c r="N40" s="44"/>
      <c r="O40" s="43"/>
    </row>
    <row r="41" spans="1:15" ht="8.25" customHeight="1">
      <c r="A41" s="429"/>
      <c r="C41" s="6" t="s">
        <v>329</v>
      </c>
      <c r="E41" s="6"/>
      <c r="G41" s="6"/>
      <c r="I41" s="6" t="s">
        <v>105</v>
      </c>
      <c r="K41" s="6"/>
      <c r="M41" s="6"/>
      <c r="O41" s="6"/>
    </row>
    <row r="42" spans="1:15" ht="26.25" customHeight="1">
      <c r="A42" s="429"/>
      <c r="B42" s="38"/>
      <c r="C42" s="42" t="s">
        <v>20</v>
      </c>
      <c r="F42" s="43"/>
      <c r="G42" s="42" t="s">
        <v>94</v>
      </c>
      <c r="H42" s="43"/>
      <c r="I42" s="42" t="s">
        <v>92</v>
      </c>
      <c r="J42" s="43"/>
      <c r="L42" s="44"/>
      <c r="M42" s="43"/>
      <c r="N42" s="44"/>
      <c r="O42" s="43"/>
    </row>
    <row r="43" spans="1:15" ht="8.25" customHeight="1">
      <c r="A43" s="5"/>
      <c r="C43" s="6" t="s">
        <v>106</v>
      </c>
      <c r="E43" s="6" t="s">
        <v>236</v>
      </c>
      <c r="G43" s="6" t="s">
        <v>106</v>
      </c>
      <c r="I43" s="6" t="s">
        <v>236</v>
      </c>
      <c r="K43" s="6" t="s">
        <v>105</v>
      </c>
      <c r="M43" s="6"/>
      <c r="O43" s="6"/>
    </row>
    <row r="44" spans="1:15" ht="26.25" customHeight="1">
      <c r="A44" s="429" t="s">
        <v>57</v>
      </c>
      <c r="B44" s="38"/>
      <c r="C44" s="42" t="s">
        <v>93</v>
      </c>
      <c r="E44" s="42" t="s">
        <v>127</v>
      </c>
      <c r="F44" s="43"/>
      <c r="G44" s="42" t="s">
        <v>99</v>
      </c>
      <c r="H44" s="43"/>
      <c r="I44" s="42" t="s">
        <v>127</v>
      </c>
      <c r="J44" s="43"/>
      <c r="K44" s="42" t="s">
        <v>351</v>
      </c>
      <c r="L44" s="44"/>
      <c r="M44" s="43"/>
      <c r="N44" s="44"/>
      <c r="O44" s="43"/>
    </row>
    <row r="45" spans="1:15" ht="8.25" customHeight="1">
      <c r="A45" s="429"/>
      <c r="C45" s="6"/>
      <c r="E45" s="6" t="s">
        <v>107</v>
      </c>
      <c r="G45" s="6" t="s">
        <v>105</v>
      </c>
      <c r="I45" s="6" t="s">
        <v>106</v>
      </c>
      <c r="K45" s="6"/>
      <c r="M45" s="6"/>
      <c r="O45" s="6"/>
    </row>
    <row r="46" spans="1:15" ht="26.25" customHeight="1">
      <c r="A46" s="429"/>
      <c r="B46" s="38"/>
      <c r="E46" s="42" t="s">
        <v>126</v>
      </c>
      <c r="F46" s="43"/>
      <c r="G46" s="42" t="s">
        <v>351</v>
      </c>
      <c r="H46" s="43"/>
      <c r="I46" s="42" t="s">
        <v>132</v>
      </c>
      <c r="J46" s="43"/>
      <c r="L46" s="44"/>
      <c r="M46" s="43"/>
      <c r="N46" s="44"/>
      <c r="O46" s="43"/>
    </row>
    <row r="47" spans="1:15" ht="8.25" customHeight="1">
      <c r="A47" s="5"/>
      <c r="C47" s="6"/>
      <c r="E47" s="6"/>
      <c r="G47" s="6"/>
      <c r="I47" s="6"/>
      <c r="J47" s="6"/>
      <c r="K47" s="6"/>
      <c r="M47" s="6" t="s">
        <v>105</v>
      </c>
      <c r="O47" s="6"/>
    </row>
    <row r="48" spans="1:15" ht="26.25" customHeight="1">
      <c r="A48" s="38" t="s">
        <v>78</v>
      </c>
      <c r="B48" s="38"/>
      <c r="F48" s="43"/>
      <c r="H48" s="43"/>
      <c r="I48" s="82"/>
      <c r="L48" s="44"/>
      <c r="M48" s="42" t="s">
        <v>114</v>
      </c>
      <c r="N48" s="44"/>
      <c r="O48" s="43"/>
    </row>
    <row r="49" spans="1:15" ht="8.25" customHeight="1">
      <c r="A49" s="5"/>
      <c r="C49" s="6"/>
      <c r="E49" s="6"/>
      <c r="G49" s="6"/>
      <c r="I49" s="6"/>
      <c r="K49" s="6"/>
      <c r="M49" s="6" t="s">
        <v>105</v>
      </c>
      <c r="O49" s="6"/>
    </row>
    <row r="50" spans="1:15" ht="26.25" customHeight="1">
      <c r="A50" s="38" t="s">
        <v>11</v>
      </c>
      <c r="B50" s="38"/>
      <c r="C50" s="82"/>
      <c r="E50" s="82"/>
      <c r="F50" s="43"/>
      <c r="H50" s="43"/>
      <c r="J50" s="43"/>
      <c r="K50" s="82"/>
      <c r="L50" s="44"/>
      <c r="M50" s="42" t="s">
        <v>93</v>
      </c>
      <c r="N50" s="44"/>
      <c r="O50" s="43"/>
    </row>
    <row r="51" spans="1:15" ht="8.25" customHeight="1">
      <c r="A51" s="5"/>
      <c r="C51" s="6"/>
      <c r="E51" s="6"/>
      <c r="G51" s="6"/>
      <c r="I51" s="6" t="s">
        <v>235</v>
      </c>
      <c r="J51" s="6"/>
      <c r="K51" s="6"/>
      <c r="M51" s="6"/>
      <c r="O51" s="6"/>
    </row>
    <row r="52" spans="1:15" ht="26.25" customHeight="1">
      <c r="A52" s="38" t="s">
        <v>15</v>
      </c>
      <c r="B52" s="38"/>
      <c r="F52" s="43"/>
      <c r="H52" s="43"/>
      <c r="I52" s="42" t="s">
        <v>237</v>
      </c>
      <c r="L52" s="44"/>
      <c r="M52" s="43"/>
      <c r="N52" s="44"/>
      <c r="O52" s="43"/>
    </row>
    <row r="53" spans="1:15" ht="8.25" customHeight="1">
      <c r="A53" s="5"/>
      <c r="C53" s="6" t="s">
        <v>105</v>
      </c>
      <c r="E53" s="6" t="s">
        <v>107</v>
      </c>
      <c r="G53" s="6"/>
      <c r="I53" s="6"/>
      <c r="K53" s="6" t="s">
        <v>106</v>
      </c>
      <c r="M53" s="6"/>
      <c r="O53" s="6"/>
    </row>
    <row r="54" spans="1:15" ht="26.25" customHeight="1">
      <c r="A54" s="38" t="s">
        <v>122</v>
      </c>
      <c r="B54" s="38"/>
      <c r="C54" s="42" t="s">
        <v>97</v>
      </c>
      <c r="E54" s="42" t="s">
        <v>121</v>
      </c>
      <c r="F54" s="43"/>
      <c r="H54" s="43"/>
      <c r="J54" s="43"/>
      <c r="K54" s="42" t="s">
        <v>60</v>
      </c>
      <c r="L54" s="44"/>
      <c r="M54" s="43"/>
      <c r="N54" s="44"/>
      <c r="O54" s="43"/>
    </row>
    <row r="55" spans="1:15" ht="8.25" customHeight="1">
      <c r="A55" s="5"/>
      <c r="C55" s="6"/>
      <c r="E55" s="6"/>
      <c r="G55" s="6" t="s">
        <v>107</v>
      </c>
      <c r="I55" s="6"/>
      <c r="K55" s="6"/>
      <c r="M55" s="6"/>
      <c r="O55" s="6"/>
    </row>
    <row r="56" spans="1:15" ht="26.25" customHeight="1">
      <c r="A56" s="429" t="s">
        <v>131</v>
      </c>
      <c r="B56" s="38"/>
      <c r="F56" s="43"/>
      <c r="G56" s="42" t="s">
        <v>114</v>
      </c>
      <c r="H56" s="43"/>
      <c r="J56" s="43"/>
      <c r="L56" s="44"/>
      <c r="M56" s="43"/>
      <c r="N56" s="44"/>
      <c r="O56" s="43"/>
    </row>
    <row r="57" spans="1:15" ht="8.25" customHeight="1">
      <c r="A57" s="429"/>
      <c r="C57" s="6"/>
      <c r="E57" s="6"/>
      <c r="G57" s="6" t="s">
        <v>106</v>
      </c>
      <c r="I57" s="6"/>
      <c r="K57" s="6"/>
      <c r="M57" s="6"/>
      <c r="O57" s="6"/>
    </row>
    <row r="58" spans="1:15" ht="26.25" customHeight="1">
      <c r="A58" s="429"/>
      <c r="B58" s="38"/>
      <c r="F58" s="43"/>
      <c r="G58" s="42" t="s">
        <v>325</v>
      </c>
      <c r="H58" s="43"/>
      <c r="J58" s="43"/>
      <c r="L58" s="44"/>
      <c r="M58" s="43"/>
      <c r="N58" s="44"/>
      <c r="O58" s="43"/>
    </row>
    <row r="59" spans="1:15" ht="8.25" customHeight="1">
      <c r="A59" s="5"/>
      <c r="C59" s="6" t="s">
        <v>236</v>
      </c>
      <c r="E59" s="6"/>
      <c r="G59" s="6"/>
      <c r="I59" s="6" t="s">
        <v>107</v>
      </c>
      <c r="K59" s="6" t="s">
        <v>107</v>
      </c>
      <c r="M59" s="6"/>
      <c r="O59" s="6"/>
    </row>
    <row r="60" spans="1:15" ht="26.25" customHeight="1">
      <c r="A60" s="429" t="s">
        <v>58</v>
      </c>
      <c r="B60" s="38"/>
      <c r="C60" s="42" t="s">
        <v>350</v>
      </c>
      <c r="E60" s="42" t="s">
        <v>349</v>
      </c>
      <c r="F60" s="43"/>
      <c r="H60" s="43"/>
      <c r="I60" s="42" t="s">
        <v>114</v>
      </c>
      <c r="J60" s="43"/>
      <c r="K60" s="42" t="s">
        <v>114</v>
      </c>
      <c r="L60" s="44"/>
      <c r="M60" s="43"/>
      <c r="N60" s="44"/>
      <c r="O60" s="43"/>
    </row>
    <row r="61" spans="1:15" ht="8.25" customHeight="1">
      <c r="A61" s="429"/>
      <c r="C61" s="6" t="s">
        <v>106</v>
      </c>
      <c r="E61" s="6"/>
      <c r="G61" s="6"/>
      <c r="I61" s="6"/>
      <c r="K61" s="6"/>
      <c r="M61" s="6"/>
      <c r="O61" s="6"/>
    </row>
    <row r="62" spans="1:15" ht="26.25" customHeight="1">
      <c r="A62" s="429"/>
      <c r="B62" s="38"/>
      <c r="C62" s="42" t="s">
        <v>93</v>
      </c>
      <c r="F62" s="43"/>
      <c r="H62" s="43"/>
      <c r="J62" s="43"/>
      <c r="L62" s="44"/>
      <c r="M62" s="43"/>
      <c r="N62" s="44"/>
      <c r="O62" s="43"/>
    </row>
    <row r="63" spans="1:15" ht="8.25" customHeight="1">
      <c r="A63" s="5"/>
      <c r="C63" s="6"/>
      <c r="E63" s="6" t="s">
        <v>234</v>
      </c>
      <c r="G63" s="6" t="s">
        <v>235</v>
      </c>
      <c r="I63" s="6" t="s">
        <v>329</v>
      </c>
      <c r="K63" s="6" t="s">
        <v>103</v>
      </c>
      <c r="M63" s="6"/>
      <c r="O63" s="6"/>
    </row>
    <row r="64" spans="1:15" ht="26.25" customHeight="1">
      <c r="A64" s="429" t="s">
        <v>16</v>
      </c>
      <c r="B64" s="38"/>
      <c r="E64" s="42" t="s">
        <v>115</v>
      </c>
      <c r="F64" s="43"/>
      <c r="G64" s="42" t="s">
        <v>349</v>
      </c>
      <c r="H64" s="43"/>
      <c r="I64" s="42" t="s">
        <v>20</v>
      </c>
      <c r="J64" s="43"/>
      <c r="K64" s="42" t="s">
        <v>132</v>
      </c>
      <c r="L64" s="44"/>
      <c r="M64" s="43"/>
      <c r="N64" s="44"/>
      <c r="O64" s="43"/>
    </row>
    <row r="65" spans="1:15" ht="8.25" customHeight="1">
      <c r="A65" s="429"/>
      <c r="C65" s="6"/>
      <c r="E65" s="6" t="s">
        <v>102</v>
      </c>
      <c r="G65" s="6"/>
      <c r="I65" s="6" t="s">
        <v>235</v>
      </c>
      <c r="K65" s="6" t="s">
        <v>235</v>
      </c>
      <c r="M65" s="6"/>
      <c r="O65" s="6"/>
    </row>
    <row r="66" spans="1:15" ht="26.25" customHeight="1">
      <c r="A66" s="429"/>
      <c r="B66" s="38"/>
      <c r="E66" s="42" t="s">
        <v>94</v>
      </c>
      <c r="F66" s="43"/>
      <c r="H66" s="43"/>
      <c r="I66" s="42" t="s">
        <v>349</v>
      </c>
      <c r="J66" s="43"/>
      <c r="K66" s="42" t="s">
        <v>349</v>
      </c>
      <c r="L66" s="44"/>
      <c r="M66" s="43"/>
      <c r="N66" s="44"/>
      <c r="O66" s="43"/>
    </row>
    <row r="67" spans="1:15" ht="8.25" customHeight="1">
      <c r="A67" s="429"/>
      <c r="C67" s="6"/>
      <c r="E67" s="6" t="s">
        <v>235</v>
      </c>
      <c r="G67" s="6"/>
      <c r="I67" s="6" t="s">
        <v>102</v>
      </c>
      <c r="K67" s="6"/>
      <c r="M67" s="6"/>
      <c r="O67" s="6"/>
    </row>
    <row r="68" spans="1:15" ht="26.25" customHeight="1">
      <c r="A68" s="429"/>
      <c r="B68" s="38"/>
      <c r="F68" s="43"/>
      <c r="H68" s="43"/>
      <c r="I68" s="42" t="s">
        <v>94</v>
      </c>
      <c r="J68" s="43"/>
      <c r="L68" s="44"/>
      <c r="M68" s="43"/>
      <c r="N68" s="44"/>
      <c r="O68" s="43"/>
    </row>
    <row r="69" spans="1:15" ht="8.25" customHeight="1">
      <c r="A69" s="429"/>
      <c r="C69" s="6"/>
      <c r="E69" s="6" t="s">
        <v>105</v>
      </c>
      <c r="G69" s="6"/>
      <c r="I69" s="6"/>
      <c r="K69" s="6"/>
      <c r="M69" s="6"/>
      <c r="O69" s="6"/>
    </row>
    <row r="70" spans="1:15" ht="26.25" customHeight="1">
      <c r="A70" s="429"/>
      <c r="B70" s="38"/>
      <c r="E70" s="42" t="s">
        <v>60</v>
      </c>
      <c r="F70" s="43"/>
      <c r="H70" s="43"/>
      <c r="J70" s="43"/>
      <c r="L70" s="44"/>
      <c r="M70" s="43"/>
      <c r="N70" s="44"/>
      <c r="O70" s="43"/>
    </row>
    <row r="71" spans="1:15" ht="8.25" customHeight="1">
      <c r="A71" s="5"/>
      <c r="C71" s="6" t="s">
        <v>105</v>
      </c>
      <c r="E71" s="6" t="s">
        <v>106</v>
      </c>
      <c r="G71" s="6" t="s">
        <v>105</v>
      </c>
      <c r="I71" s="6" t="s">
        <v>105</v>
      </c>
      <c r="K71" s="6" t="s">
        <v>107</v>
      </c>
      <c r="M71" s="6"/>
      <c r="O71" s="6"/>
    </row>
    <row r="72" spans="1:15" ht="26.25" customHeight="1">
      <c r="A72" s="429" t="s">
        <v>124</v>
      </c>
      <c r="B72" s="38"/>
      <c r="C72" s="42" t="s">
        <v>325</v>
      </c>
      <c r="E72" s="42" t="s">
        <v>26</v>
      </c>
      <c r="F72" s="43"/>
      <c r="G72" s="42" t="s">
        <v>99</v>
      </c>
      <c r="H72" s="43"/>
      <c r="I72" s="42" t="s">
        <v>92</v>
      </c>
      <c r="J72" s="43"/>
      <c r="K72" s="42" t="s">
        <v>99</v>
      </c>
      <c r="L72" s="44"/>
      <c r="M72" s="43"/>
      <c r="N72" s="44"/>
      <c r="O72" s="43"/>
    </row>
    <row r="73" spans="1:15" ht="8.25" customHeight="1">
      <c r="A73" s="429"/>
      <c r="C73" s="6" t="s">
        <v>104</v>
      </c>
      <c r="E73" s="6"/>
      <c r="G73" s="6" t="s">
        <v>106</v>
      </c>
      <c r="I73" s="6" t="s">
        <v>106</v>
      </c>
      <c r="K73" s="6" t="s">
        <v>234</v>
      </c>
      <c r="M73" s="6"/>
      <c r="O73" s="6"/>
    </row>
    <row r="74" spans="1:15" ht="26.25" customHeight="1">
      <c r="A74" s="429"/>
      <c r="B74" s="38"/>
      <c r="C74" s="42" t="s">
        <v>24</v>
      </c>
      <c r="F74" s="43"/>
      <c r="G74" s="42" t="s">
        <v>93</v>
      </c>
      <c r="H74" s="43"/>
      <c r="I74" s="42" t="s">
        <v>126</v>
      </c>
      <c r="J74" s="43"/>
      <c r="K74" s="42" t="s">
        <v>20</v>
      </c>
      <c r="L74" s="44"/>
      <c r="M74" s="43"/>
      <c r="N74" s="44"/>
      <c r="O74" s="43"/>
    </row>
    <row r="75" spans="1:15" ht="8.25" customHeight="1">
      <c r="A75" s="429"/>
      <c r="C75" s="6" t="s">
        <v>329</v>
      </c>
      <c r="E75" s="6"/>
      <c r="G75" s="6" t="s">
        <v>234</v>
      </c>
      <c r="I75" s="6"/>
      <c r="K75" s="6"/>
      <c r="M75" s="6"/>
      <c r="O75" s="6"/>
    </row>
    <row r="76" spans="1:15" ht="26.25" customHeight="1">
      <c r="A76" s="429"/>
      <c r="B76" s="38"/>
      <c r="C76" s="42" t="s">
        <v>20</v>
      </c>
      <c r="F76" s="43"/>
      <c r="G76" s="42" t="s">
        <v>20</v>
      </c>
      <c r="H76" s="43"/>
      <c r="J76" s="43"/>
      <c r="L76" s="44"/>
      <c r="M76" s="43"/>
      <c r="N76" s="44"/>
      <c r="O76" s="43"/>
    </row>
    <row r="77" spans="1:15" ht="8.25" customHeight="1">
      <c r="A77" s="429"/>
      <c r="C77" s="6" t="s">
        <v>235</v>
      </c>
      <c r="E77" s="6"/>
      <c r="G77" s="6"/>
      <c r="I77" s="6"/>
      <c r="K77" s="6"/>
      <c r="M77" s="6"/>
      <c r="O77" s="6"/>
    </row>
    <row r="78" spans="1:15" ht="26.25" customHeight="1">
      <c r="A78" s="429"/>
      <c r="B78" s="38"/>
      <c r="C78" s="42" t="s">
        <v>349</v>
      </c>
      <c r="F78" s="43"/>
      <c r="H78" s="43"/>
      <c r="J78" s="43"/>
      <c r="L78" s="44"/>
      <c r="M78" s="43"/>
      <c r="N78" s="44"/>
      <c r="O78" s="43"/>
    </row>
    <row r="79" spans="1:15" ht="8.25" customHeight="1">
      <c r="A79" s="5"/>
      <c r="C79" s="6"/>
      <c r="E79" s="6" t="s">
        <v>236</v>
      </c>
      <c r="G79" s="6"/>
      <c r="I79" s="6"/>
      <c r="K79" s="6"/>
      <c r="M79" s="6"/>
      <c r="O79" s="6"/>
    </row>
    <row r="80" spans="1:15" ht="26.25" customHeight="1">
      <c r="A80" s="38" t="s">
        <v>9</v>
      </c>
      <c r="B80" s="38"/>
      <c r="C80" s="82"/>
      <c r="E80" s="42" t="s">
        <v>349</v>
      </c>
      <c r="F80" s="43"/>
      <c r="G80" s="82"/>
      <c r="H80" s="43"/>
      <c r="J80" s="43"/>
      <c r="K80" s="82"/>
      <c r="L80" s="44"/>
      <c r="M80" s="43"/>
      <c r="N80" s="44"/>
      <c r="O80" s="43"/>
    </row>
    <row r="81" spans="1:15" ht="8.25" customHeight="1">
      <c r="A81" s="5"/>
      <c r="C81" s="6" t="s">
        <v>101</v>
      </c>
      <c r="E81" s="6"/>
      <c r="G81" s="6" t="s">
        <v>101</v>
      </c>
      <c r="I81" s="6"/>
      <c r="K81" s="6" t="s">
        <v>101</v>
      </c>
      <c r="M81" s="6"/>
      <c r="O81" s="6"/>
    </row>
    <row r="82" spans="1:15" ht="26.25" customHeight="1">
      <c r="A82" s="38" t="s">
        <v>125</v>
      </c>
      <c r="B82" s="38"/>
      <c r="C82" s="42" t="s">
        <v>91</v>
      </c>
      <c r="F82" s="43"/>
      <c r="G82" s="42" t="s">
        <v>91</v>
      </c>
      <c r="H82" s="43"/>
      <c r="J82" s="43"/>
      <c r="K82" s="42" t="s">
        <v>91</v>
      </c>
      <c r="L82" s="44"/>
      <c r="M82" s="43"/>
      <c r="N82" s="44"/>
      <c r="O82" s="43"/>
    </row>
    <row r="83" spans="1:15" ht="8.25" customHeight="1">
      <c r="A83" s="5"/>
      <c r="C83" s="6" t="s">
        <v>103</v>
      </c>
      <c r="E83" s="6" t="s">
        <v>105</v>
      </c>
      <c r="G83" s="6" t="s">
        <v>103</v>
      </c>
      <c r="I83" s="6" t="s">
        <v>106</v>
      </c>
      <c r="K83" s="6" t="s">
        <v>108</v>
      </c>
      <c r="M83" s="6"/>
      <c r="O83" s="6"/>
    </row>
    <row r="84" spans="1:15" ht="26.25" customHeight="1">
      <c r="A84" s="429" t="s">
        <v>12</v>
      </c>
      <c r="B84" s="38"/>
      <c r="C84" s="42" t="s">
        <v>95</v>
      </c>
      <c r="E84" s="42" t="s">
        <v>92</v>
      </c>
      <c r="F84" s="43"/>
      <c r="G84" s="42" t="s">
        <v>132</v>
      </c>
      <c r="H84" s="43"/>
      <c r="I84" s="42" t="s">
        <v>93</v>
      </c>
      <c r="J84" s="43"/>
      <c r="K84" s="42" t="s">
        <v>24</v>
      </c>
      <c r="L84" s="44"/>
      <c r="M84" s="43"/>
      <c r="N84" s="44"/>
      <c r="O84" s="43"/>
    </row>
    <row r="85" spans="1:15" ht="8.25" customHeight="1">
      <c r="A85" s="429"/>
      <c r="C85" s="6"/>
      <c r="E85" s="6" t="s">
        <v>103</v>
      </c>
      <c r="G85" s="6" t="s">
        <v>235</v>
      </c>
      <c r="I85" s="6"/>
      <c r="K85" s="6" t="s">
        <v>103</v>
      </c>
      <c r="M85" s="6"/>
      <c r="O85" s="6"/>
    </row>
    <row r="86" spans="1:15" ht="26.25" customHeight="1">
      <c r="A86" s="429"/>
      <c r="B86" s="38"/>
      <c r="E86" s="42" t="s">
        <v>129</v>
      </c>
      <c r="F86" s="43"/>
      <c r="G86" s="42" t="s">
        <v>349</v>
      </c>
      <c r="H86" s="43"/>
      <c r="J86" s="43"/>
      <c r="K86" s="42" t="s">
        <v>129</v>
      </c>
      <c r="L86" s="44"/>
      <c r="M86" s="43"/>
      <c r="N86" s="44"/>
      <c r="O86" s="43"/>
    </row>
    <row r="87" spans="1:15" ht="8.25" customHeight="1">
      <c r="A87" s="5"/>
      <c r="C87" s="6" t="s">
        <v>105</v>
      </c>
      <c r="E87" s="6"/>
      <c r="G87" s="6" t="s">
        <v>105</v>
      </c>
      <c r="I87" s="6" t="s">
        <v>105</v>
      </c>
      <c r="K87" s="6"/>
      <c r="M87" s="6"/>
      <c r="O87" s="6"/>
    </row>
    <row r="88" spans="1:15" ht="26.25" customHeight="1">
      <c r="A88" s="38" t="s">
        <v>17</v>
      </c>
      <c r="B88" s="38"/>
      <c r="C88" s="42" t="s">
        <v>96</v>
      </c>
      <c r="F88" s="43"/>
      <c r="G88" s="42" t="s">
        <v>133</v>
      </c>
      <c r="H88" s="43"/>
      <c r="I88" s="42" t="s">
        <v>97</v>
      </c>
      <c r="J88" s="43"/>
      <c r="K88" s="8"/>
      <c r="L88" s="44"/>
      <c r="M88" s="43"/>
      <c r="N88" s="44"/>
      <c r="O88" s="43"/>
    </row>
    <row r="89" spans="1:15" ht="7.5" customHeight="1">
      <c r="A89" s="5"/>
      <c r="C89" s="6"/>
      <c r="E89" s="6"/>
      <c r="G89" s="6"/>
      <c r="I89" s="6" t="s">
        <v>103</v>
      </c>
      <c r="K89" s="6"/>
      <c r="M89" s="6"/>
      <c r="O89" s="6"/>
    </row>
    <row r="90" spans="1:15" s="8" customFormat="1" ht="21.75" customHeight="1">
      <c r="A90" s="38" t="s">
        <v>80</v>
      </c>
      <c r="B90" s="38"/>
      <c r="C90"/>
      <c r="D90"/>
      <c r="E90"/>
      <c r="F90" s="43"/>
      <c r="G90" s="82"/>
      <c r="H90" s="43"/>
      <c r="I90" s="42" t="s">
        <v>134</v>
      </c>
      <c r="J90" s="43"/>
      <c r="K90"/>
      <c r="L90" s="44"/>
      <c r="M90" s="43"/>
      <c r="N90" s="44"/>
      <c r="O90" s="43"/>
    </row>
    <row r="91" spans="1:15" ht="7.5" customHeight="1">
      <c r="A91" s="5"/>
      <c r="C91" s="6"/>
      <c r="E91" s="6"/>
      <c r="G91" s="6"/>
      <c r="I91" s="6"/>
      <c r="K91" s="6"/>
      <c r="M91" s="6"/>
      <c r="O91" s="6"/>
    </row>
    <row r="92" spans="1:15">
      <c r="A92" s="38"/>
      <c r="B92" s="38"/>
      <c r="L92" s="38"/>
      <c r="N92" s="38"/>
    </row>
    <row r="93" spans="1:15">
      <c r="A93" s="38"/>
      <c r="B93" s="38"/>
      <c r="D93" s="38"/>
      <c r="F93" s="38"/>
      <c r="H93" s="38"/>
      <c r="J93" s="38"/>
      <c r="K93" s="430"/>
      <c r="L93" s="430"/>
      <c r="M93" s="430"/>
      <c r="N93" s="430"/>
      <c r="O93" s="430"/>
    </row>
    <row r="94" spans="1:15">
      <c r="A94" s="38"/>
      <c r="B94" s="38"/>
      <c r="C94" s="8"/>
      <c r="D94" s="38"/>
      <c r="E94" s="8"/>
      <c r="F94" s="38"/>
      <c r="G94" s="8"/>
      <c r="H94" s="38"/>
      <c r="I94" s="8"/>
      <c r="J94" s="38"/>
      <c r="K94" s="3"/>
      <c r="L94" s="3"/>
      <c r="M94" s="9"/>
      <c r="N94" s="3"/>
      <c r="O94" s="3"/>
    </row>
    <row r="95" spans="1:15">
      <c r="A95" s="38"/>
      <c r="B95" s="38"/>
      <c r="D95" s="38"/>
      <c r="F95" s="38"/>
      <c r="H95" s="38"/>
      <c r="J95" s="38"/>
      <c r="K95" s="4"/>
      <c r="L95" s="3"/>
      <c r="M95" s="4"/>
      <c r="N95" s="3"/>
      <c r="O95" s="4"/>
    </row>
    <row r="96" spans="1:15">
      <c r="A96" s="38"/>
      <c r="B96" s="38"/>
      <c r="D96" s="38"/>
      <c r="F96" s="38"/>
      <c r="H96" s="38"/>
      <c r="J96" s="38"/>
      <c r="L96" s="38"/>
      <c r="N96" s="38"/>
    </row>
    <row r="97" spans="1:1">
      <c r="A97" s="38"/>
    </row>
    <row r="98" spans="1:1">
      <c r="A98" s="38"/>
    </row>
  </sheetData>
  <dataConsolidate/>
  <mergeCells count="10">
    <mergeCell ref="A72:A78"/>
    <mergeCell ref="A84:A86"/>
    <mergeCell ref="K93:O93"/>
    <mergeCell ref="A10:A12"/>
    <mergeCell ref="A22:A24"/>
    <mergeCell ref="A40:A42"/>
    <mergeCell ref="A44:A46"/>
    <mergeCell ref="A60:A62"/>
    <mergeCell ref="A64:A70"/>
    <mergeCell ref="A56:A58"/>
  </mergeCells>
  <pageMargins left="0.7" right="0.7" top="0.75" bottom="0.75" header="0.3" footer="0.3"/>
  <pageSetup paperSize="9" scale="4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  <pageSetUpPr fitToPage="1"/>
  </sheetPr>
  <dimension ref="A1:T98"/>
  <sheetViews>
    <sheetView showGridLines="0" topLeftCell="A28" zoomScale="110" zoomScaleNormal="110" zoomScaleSheetLayoutView="100" workbookViewId="0">
      <selection activeCell="C41" sqref="C41:C42"/>
    </sheetView>
  </sheetViews>
  <sheetFormatPr defaultColWidth="8.6640625" defaultRowHeight="14.4"/>
  <cols>
    <col min="2" max="2" width="1.44140625" customWidth="1"/>
    <col min="3" max="3" width="17.33203125" customWidth="1"/>
    <col min="4" max="4" width="1.44140625" customWidth="1"/>
    <col min="5" max="5" width="17.33203125" customWidth="1"/>
    <col min="6" max="6" width="1.44140625" customWidth="1"/>
    <col min="7" max="7" width="17.33203125" customWidth="1"/>
    <col min="8" max="8" width="1.44140625" customWidth="1"/>
    <col min="9" max="9" width="17.33203125" customWidth="1"/>
    <col min="10" max="10" width="1.44140625" customWidth="1"/>
    <col min="11" max="11" width="17.33203125" customWidth="1"/>
    <col min="12" max="12" width="1.44140625" customWidth="1"/>
    <col min="13" max="13" width="17.33203125" customWidth="1"/>
    <col min="14" max="14" width="1.44140625" customWidth="1"/>
    <col min="15" max="15" width="17.33203125" customWidth="1"/>
    <col min="20" max="20" width="5.44140625" bestFit="1" customWidth="1"/>
  </cols>
  <sheetData>
    <row r="1" spans="1:15" ht="24.75" customHeight="1">
      <c r="A1" s="2" t="s">
        <v>193</v>
      </c>
      <c r="B1" s="2"/>
      <c r="C1" s="2"/>
    </row>
    <row r="2" spans="1:15" ht="24.75" customHeight="1">
      <c r="C2" s="1" t="s">
        <v>0</v>
      </c>
      <c r="E2" s="1" t="s">
        <v>1</v>
      </c>
      <c r="G2" s="1" t="s">
        <v>2</v>
      </c>
      <c r="I2" s="1" t="s">
        <v>3</v>
      </c>
      <c r="K2" s="1" t="s">
        <v>4</v>
      </c>
      <c r="M2" s="1" t="s">
        <v>5</v>
      </c>
      <c r="O2" s="1" t="s">
        <v>6</v>
      </c>
    </row>
    <row r="3" spans="1:15" s="76" customFormat="1" ht="8.25" customHeight="1">
      <c r="A3" s="75"/>
      <c r="C3" s="77" t="s">
        <v>159</v>
      </c>
      <c r="E3" s="77"/>
      <c r="G3" s="77" t="s">
        <v>159</v>
      </c>
      <c r="I3" s="77" t="s">
        <v>164</v>
      </c>
      <c r="K3" s="77"/>
      <c r="M3" s="77"/>
      <c r="O3" s="77"/>
    </row>
    <row r="4" spans="1:15" ht="24.75" customHeight="1">
      <c r="A4" s="38" t="s">
        <v>113</v>
      </c>
      <c r="B4" s="38"/>
      <c r="C4" s="42" t="s">
        <v>92</v>
      </c>
      <c r="D4" s="43"/>
      <c r="F4" s="43"/>
      <c r="G4" s="42" t="s">
        <v>60</v>
      </c>
      <c r="H4" s="43"/>
      <c r="I4" s="42" t="s">
        <v>95</v>
      </c>
      <c r="J4" s="43"/>
      <c r="L4" s="44"/>
      <c r="M4" s="43"/>
      <c r="N4" s="44"/>
      <c r="O4" s="43"/>
    </row>
    <row r="5" spans="1:15" s="76" customFormat="1" ht="8.25" customHeight="1">
      <c r="A5" s="75"/>
      <c r="C5" s="77"/>
      <c r="E5" s="77" t="s">
        <v>170</v>
      </c>
      <c r="G5" s="77"/>
      <c r="I5" s="77"/>
      <c r="K5" s="77" t="s">
        <v>170</v>
      </c>
      <c r="M5" s="77"/>
      <c r="O5" s="77"/>
    </row>
    <row r="6" spans="1:15" ht="24.75" customHeight="1">
      <c r="A6" s="38" t="s">
        <v>90</v>
      </c>
      <c r="B6" s="38"/>
      <c r="D6" s="43"/>
      <c r="E6" s="42" t="s">
        <v>20</v>
      </c>
      <c r="F6" s="43"/>
      <c r="H6" s="43"/>
      <c r="J6" s="43"/>
      <c r="K6" s="42" t="s">
        <v>20</v>
      </c>
      <c r="L6" s="44"/>
      <c r="M6" s="43"/>
      <c r="N6" s="44"/>
      <c r="O6" s="43"/>
    </row>
    <row r="7" spans="1:15" s="76" customFormat="1" ht="8.25" customHeight="1">
      <c r="A7" s="75"/>
      <c r="C7" s="77"/>
      <c r="E7" s="77"/>
      <c r="G7" s="77"/>
      <c r="I7" s="77"/>
      <c r="K7" s="77" t="s">
        <v>340</v>
      </c>
      <c r="M7" s="77"/>
      <c r="O7" s="77"/>
    </row>
    <row r="8" spans="1:15" ht="26.25" customHeight="1">
      <c r="A8" s="38" t="s">
        <v>52</v>
      </c>
      <c r="B8" s="38"/>
      <c r="F8" s="43"/>
      <c r="J8" s="43"/>
      <c r="K8" s="42" t="s">
        <v>119</v>
      </c>
      <c r="L8" s="44"/>
      <c r="M8" s="43"/>
      <c r="N8" s="44"/>
      <c r="O8" s="43"/>
    </row>
    <row r="9" spans="1:15" s="76" customFormat="1" ht="8.25" customHeight="1">
      <c r="A9" s="75"/>
      <c r="C9" s="77" t="s">
        <v>160</v>
      </c>
      <c r="E9" s="77" t="s">
        <v>162</v>
      </c>
      <c r="G9" s="77" t="s">
        <v>161</v>
      </c>
      <c r="I9" s="77" t="s">
        <v>161</v>
      </c>
      <c r="K9" s="77" t="s">
        <v>162</v>
      </c>
      <c r="M9" s="77"/>
      <c r="O9" s="77"/>
    </row>
    <row r="10" spans="1:15" ht="26.25" customHeight="1">
      <c r="A10" s="429" t="s">
        <v>69</v>
      </c>
      <c r="B10" s="38"/>
      <c r="C10" s="42" t="s">
        <v>93</v>
      </c>
      <c r="E10" s="42" t="s">
        <v>118</v>
      </c>
      <c r="F10" s="43"/>
      <c r="G10" s="42" t="s">
        <v>93</v>
      </c>
      <c r="H10" s="43"/>
      <c r="I10" s="42" t="s">
        <v>93</v>
      </c>
      <c r="J10" s="43"/>
      <c r="K10" s="42" t="s">
        <v>118</v>
      </c>
      <c r="L10" s="44"/>
      <c r="M10" s="43"/>
      <c r="N10" s="44"/>
      <c r="O10" s="43"/>
    </row>
    <row r="11" spans="1:15" ht="8.25" customHeight="1">
      <c r="A11" s="429"/>
      <c r="C11" s="77"/>
      <c r="D11" s="76"/>
      <c r="E11" s="77"/>
      <c r="F11" s="76"/>
      <c r="G11" s="77" t="s">
        <v>341</v>
      </c>
      <c r="H11" s="76"/>
      <c r="I11" s="77"/>
      <c r="J11" s="76"/>
      <c r="K11" s="77"/>
      <c r="L11" s="76"/>
      <c r="M11" s="77"/>
      <c r="N11" s="76"/>
      <c r="O11" s="77"/>
    </row>
    <row r="12" spans="1:15" ht="26.25" customHeight="1">
      <c r="A12" s="429"/>
      <c r="B12" s="38"/>
      <c r="F12" s="43"/>
      <c r="G12" s="42" t="s">
        <v>20</v>
      </c>
      <c r="H12" s="43"/>
      <c r="J12" s="43"/>
      <c r="L12" s="44"/>
      <c r="M12" s="43"/>
      <c r="N12" s="44"/>
      <c r="O12" s="43"/>
    </row>
    <row r="13" spans="1:15" ht="8.25" customHeight="1">
      <c r="A13" s="5"/>
      <c r="C13" s="77"/>
      <c r="D13" s="76"/>
      <c r="E13" s="77"/>
      <c r="F13" s="76"/>
      <c r="G13" s="77" t="s">
        <v>161</v>
      </c>
      <c r="H13" s="76"/>
      <c r="I13" s="77"/>
      <c r="J13" s="76"/>
      <c r="K13" s="77"/>
      <c r="L13" s="76"/>
      <c r="M13" s="77" t="s">
        <v>159</v>
      </c>
      <c r="N13" s="76"/>
      <c r="O13" s="77" t="s">
        <v>163</v>
      </c>
    </row>
    <row r="14" spans="1:15" ht="26.25" customHeight="1">
      <c r="A14" s="38" t="s">
        <v>7</v>
      </c>
      <c r="B14" s="38"/>
      <c r="F14" s="43"/>
      <c r="G14" s="42" t="s">
        <v>98</v>
      </c>
      <c r="H14" s="43"/>
      <c r="J14" s="43"/>
      <c r="L14" s="44"/>
      <c r="M14" s="42" t="s">
        <v>92</v>
      </c>
      <c r="N14" s="44"/>
      <c r="O14" s="42" t="s">
        <v>115</v>
      </c>
    </row>
    <row r="15" spans="1:15" ht="8.25" customHeight="1">
      <c r="A15" s="5"/>
      <c r="C15" s="77"/>
      <c r="D15" s="76"/>
      <c r="E15" s="77"/>
      <c r="F15" s="76"/>
      <c r="G15" s="77"/>
      <c r="H15" s="76"/>
      <c r="I15" s="77"/>
      <c r="J15" s="76"/>
      <c r="K15" s="77"/>
      <c r="L15" s="76"/>
      <c r="M15" s="77" t="s">
        <v>353</v>
      </c>
      <c r="N15" s="76"/>
      <c r="O15" s="77"/>
    </row>
    <row r="16" spans="1:15" ht="26.25" customHeight="1">
      <c r="A16" s="38" t="s">
        <v>116</v>
      </c>
      <c r="B16" s="38"/>
      <c r="F16" s="43"/>
      <c r="H16" s="43"/>
      <c r="J16" s="43"/>
      <c r="L16" s="44"/>
      <c r="M16" s="42" t="s">
        <v>114</v>
      </c>
      <c r="N16" s="44"/>
      <c r="O16" s="43"/>
    </row>
    <row r="17" spans="1:20" ht="8.25" customHeight="1">
      <c r="A17" s="5"/>
      <c r="C17" s="77" t="s">
        <v>163</v>
      </c>
      <c r="D17" s="76"/>
      <c r="E17" s="77" t="s">
        <v>340</v>
      </c>
      <c r="F17" s="76"/>
      <c r="G17" s="77" t="s">
        <v>162</v>
      </c>
      <c r="H17" s="76"/>
      <c r="I17" s="77" t="s">
        <v>162</v>
      </c>
      <c r="J17" s="76"/>
      <c r="K17" s="77" t="s">
        <v>162</v>
      </c>
      <c r="L17" s="76"/>
      <c r="M17" s="77"/>
      <c r="N17" s="76"/>
      <c r="O17" s="77"/>
    </row>
    <row r="18" spans="1:20" ht="26.25" customHeight="1">
      <c r="A18" s="38" t="s">
        <v>70</v>
      </c>
      <c r="B18" s="38"/>
      <c r="C18" s="42" t="s">
        <v>114</v>
      </c>
      <c r="E18" s="42" t="s">
        <v>114</v>
      </c>
      <c r="F18" s="43"/>
      <c r="G18" s="42" t="s">
        <v>114</v>
      </c>
      <c r="H18" s="43"/>
      <c r="I18" s="42" t="s">
        <v>114</v>
      </c>
      <c r="J18" s="43"/>
      <c r="K18" s="42" t="s">
        <v>114</v>
      </c>
      <c r="L18" s="44"/>
      <c r="M18" s="43"/>
      <c r="N18" s="44"/>
      <c r="O18" s="43"/>
    </row>
    <row r="19" spans="1:20" ht="8.25" customHeight="1">
      <c r="A19" s="5"/>
      <c r="C19" s="77" t="s">
        <v>340</v>
      </c>
      <c r="D19" s="76"/>
      <c r="E19" s="77"/>
      <c r="F19" s="76"/>
      <c r="G19" s="77" t="s">
        <v>340</v>
      </c>
      <c r="H19" s="76"/>
      <c r="I19" s="77"/>
      <c r="J19" s="76"/>
      <c r="K19" s="77" t="s">
        <v>340</v>
      </c>
      <c r="L19" s="76"/>
      <c r="M19" s="77"/>
      <c r="N19" s="76"/>
      <c r="O19" s="77"/>
    </row>
    <row r="20" spans="1:20" ht="26.25" customHeight="1">
      <c r="A20" s="38" t="s">
        <v>120</v>
      </c>
      <c r="B20" s="38"/>
      <c r="C20" s="42" t="s">
        <v>91</v>
      </c>
      <c r="F20" s="43"/>
      <c r="G20" s="42" t="s">
        <v>91</v>
      </c>
      <c r="H20" s="43"/>
      <c r="J20" s="43"/>
      <c r="K20" s="42" t="s">
        <v>91</v>
      </c>
      <c r="L20" s="44"/>
      <c r="M20" s="43"/>
      <c r="N20" s="44"/>
      <c r="O20" s="43"/>
      <c r="T20" s="7"/>
    </row>
    <row r="21" spans="1:20" ht="8.25" customHeight="1">
      <c r="A21" s="5"/>
      <c r="C21" s="77"/>
      <c r="D21" s="76"/>
      <c r="E21" s="77"/>
      <c r="F21" s="76"/>
      <c r="G21" s="77"/>
      <c r="H21" s="76"/>
      <c r="I21" s="77"/>
      <c r="J21" s="76"/>
      <c r="K21" s="77"/>
      <c r="L21" s="76"/>
      <c r="M21" s="77" t="s">
        <v>166</v>
      </c>
      <c r="N21" s="76"/>
      <c r="O21" s="77" t="s">
        <v>163</v>
      </c>
    </row>
    <row r="22" spans="1:20" ht="26.25" customHeight="1">
      <c r="A22" s="429" t="s">
        <v>8</v>
      </c>
      <c r="B22" s="38"/>
      <c r="F22" s="43"/>
      <c r="H22" s="43"/>
      <c r="J22" s="43"/>
      <c r="L22" s="44"/>
      <c r="M22" s="42" t="s">
        <v>117</v>
      </c>
      <c r="N22" s="44"/>
      <c r="O22" s="42" t="s">
        <v>114</v>
      </c>
    </row>
    <row r="23" spans="1:20" ht="8.25" customHeight="1">
      <c r="A23" s="429"/>
      <c r="C23" s="77"/>
      <c r="D23" s="76"/>
      <c r="E23" s="77"/>
      <c r="F23" s="76"/>
      <c r="G23" s="77"/>
      <c r="H23" s="76"/>
      <c r="I23" s="77"/>
      <c r="J23" s="76"/>
      <c r="K23" s="77"/>
      <c r="L23" s="76"/>
      <c r="M23" s="77" t="s">
        <v>353</v>
      </c>
      <c r="N23" s="76"/>
      <c r="O23" s="77"/>
    </row>
    <row r="24" spans="1:20" ht="26.25" customHeight="1">
      <c r="A24" s="429"/>
      <c r="B24" s="38"/>
      <c r="F24" s="43"/>
      <c r="H24" s="43"/>
      <c r="J24" s="43"/>
      <c r="L24" s="44"/>
      <c r="M24" s="42" t="s">
        <v>98</v>
      </c>
      <c r="N24" s="44"/>
      <c r="O24" s="43"/>
    </row>
    <row r="25" spans="1:20" ht="8.25" customHeight="1">
      <c r="A25" s="5"/>
      <c r="C25" s="77"/>
      <c r="D25" s="76"/>
      <c r="E25" s="77"/>
      <c r="F25" s="76"/>
      <c r="G25" s="77"/>
      <c r="H25" s="76"/>
      <c r="I25" s="77"/>
      <c r="J25" s="76"/>
      <c r="K25" s="77"/>
      <c r="L25" s="76"/>
      <c r="M25" s="77" t="s">
        <v>170</v>
      </c>
      <c r="N25" s="76"/>
      <c r="O25" s="77"/>
    </row>
    <row r="26" spans="1:20" ht="26.25" customHeight="1">
      <c r="A26" s="38" t="s">
        <v>54</v>
      </c>
      <c r="B26" s="38"/>
      <c r="F26" s="43"/>
      <c r="H26" s="43"/>
      <c r="J26" s="43"/>
      <c r="L26" s="44"/>
      <c r="M26" s="42" t="s">
        <v>20</v>
      </c>
      <c r="N26" s="44"/>
      <c r="O26" s="43"/>
    </row>
    <row r="27" spans="1:20" ht="8.25" customHeight="1">
      <c r="A27" s="5"/>
      <c r="C27" s="77"/>
      <c r="D27" s="76"/>
      <c r="E27" s="77"/>
      <c r="F27" s="76"/>
      <c r="G27" s="77"/>
      <c r="H27" s="76"/>
      <c r="I27" s="77"/>
      <c r="J27" s="76"/>
      <c r="K27" s="77"/>
      <c r="L27" s="76"/>
      <c r="M27" s="152"/>
      <c r="N27" s="76"/>
      <c r="O27" s="77"/>
    </row>
    <row r="28" spans="1:20" ht="26.25" customHeight="1">
      <c r="A28" s="38" t="s">
        <v>327</v>
      </c>
      <c r="B28" s="38"/>
      <c r="F28" s="43"/>
      <c r="H28" s="43"/>
      <c r="J28" s="43"/>
      <c r="L28" s="44"/>
      <c r="M28" s="42" t="s">
        <v>99</v>
      </c>
      <c r="N28" s="44"/>
      <c r="O28" s="43"/>
    </row>
    <row r="29" spans="1:20" ht="8.25" customHeight="1">
      <c r="A29" s="5"/>
      <c r="C29" s="77" t="s">
        <v>341</v>
      </c>
      <c r="D29" s="76"/>
      <c r="E29" s="77"/>
      <c r="F29" s="76"/>
      <c r="G29" s="77"/>
      <c r="H29" s="76"/>
      <c r="I29" s="77" t="s">
        <v>162</v>
      </c>
      <c r="J29" s="76"/>
      <c r="K29" s="77"/>
      <c r="L29" s="76"/>
      <c r="M29" s="77"/>
      <c r="N29" s="76"/>
      <c r="O29" s="77" t="s">
        <v>338</v>
      </c>
    </row>
    <row r="30" spans="1:20" ht="26.25" customHeight="1">
      <c r="A30" s="38" t="s">
        <v>14</v>
      </c>
      <c r="B30" s="38"/>
      <c r="C30" s="42" t="s">
        <v>98</v>
      </c>
      <c r="F30" s="43"/>
      <c r="H30" s="43"/>
      <c r="I30" s="42" t="s">
        <v>98</v>
      </c>
      <c r="J30" s="43"/>
      <c r="L30" s="44"/>
      <c r="M30" s="43"/>
      <c r="N30" s="44"/>
      <c r="O30" s="42" t="s">
        <v>91</v>
      </c>
    </row>
    <row r="31" spans="1:20" ht="8.25" customHeight="1">
      <c r="A31" s="5"/>
      <c r="C31" s="77"/>
      <c r="D31" s="76"/>
      <c r="E31" s="77"/>
      <c r="F31" s="76"/>
      <c r="G31" s="77"/>
      <c r="H31" s="76"/>
      <c r="I31" s="77"/>
      <c r="J31" s="76"/>
      <c r="K31" s="77"/>
      <c r="L31" s="76"/>
      <c r="M31" s="77" t="s">
        <v>159</v>
      </c>
      <c r="N31" s="76"/>
      <c r="O31" s="77" t="s">
        <v>167</v>
      </c>
    </row>
    <row r="32" spans="1:20" ht="26.25" customHeight="1">
      <c r="A32" s="38" t="s">
        <v>71</v>
      </c>
      <c r="B32" s="38"/>
      <c r="F32" s="43"/>
      <c r="H32" s="43"/>
      <c r="J32" s="43"/>
      <c r="L32" s="44"/>
      <c r="M32" s="42" t="s">
        <v>96</v>
      </c>
      <c r="N32" s="44"/>
      <c r="O32" s="42" t="s">
        <v>93</v>
      </c>
    </row>
    <row r="33" spans="1:15" ht="8.25" customHeight="1">
      <c r="A33" s="5"/>
      <c r="C33" s="77"/>
      <c r="D33" s="76"/>
      <c r="E33" s="77"/>
      <c r="F33" s="76"/>
      <c r="G33" s="77"/>
      <c r="H33" s="76"/>
      <c r="I33" s="77"/>
      <c r="J33" s="76"/>
      <c r="K33" s="77"/>
      <c r="L33" s="76"/>
      <c r="M33" s="195" t="s">
        <v>328</v>
      </c>
      <c r="N33" s="76"/>
      <c r="O33" s="77"/>
    </row>
    <row r="34" spans="1:15" ht="26.25" customHeight="1">
      <c r="A34" s="38" t="s">
        <v>55</v>
      </c>
      <c r="B34" s="38"/>
      <c r="F34" s="43"/>
      <c r="H34" s="43"/>
      <c r="J34" s="43"/>
      <c r="L34" s="44"/>
      <c r="M34" s="42" t="s">
        <v>100</v>
      </c>
      <c r="N34" s="44"/>
      <c r="O34" s="43"/>
    </row>
    <row r="35" spans="1:15" ht="8.25" customHeight="1">
      <c r="A35" s="5"/>
      <c r="C35" s="77" t="s">
        <v>324</v>
      </c>
      <c r="D35" s="76"/>
      <c r="E35" s="195" t="s">
        <v>354</v>
      </c>
      <c r="F35" s="76"/>
      <c r="G35" s="77" t="s">
        <v>168</v>
      </c>
      <c r="H35" s="76"/>
      <c r="I35" s="77"/>
      <c r="J35" s="76"/>
      <c r="K35" s="77" t="s">
        <v>168</v>
      </c>
      <c r="L35" s="76"/>
      <c r="M35" s="77" t="s">
        <v>164</v>
      </c>
      <c r="N35" s="76"/>
      <c r="O35" s="77"/>
    </row>
    <row r="36" spans="1:15" ht="26.25" customHeight="1">
      <c r="A36" s="38" t="s">
        <v>72</v>
      </c>
      <c r="B36" s="38"/>
      <c r="C36" s="42" t="s">
        <v>99</v>
      </c>
      <c r="E36" s="42" t="s">
        <v>128</v>
      </c>
      <c r="F36" s="43"/>
      <c r="G36" s="42" t="s">
        <v>114</v>
      </c>
      <c r="H36" s="43"/>
      <c r="J36" s="43"/>
      <c r="K36" s="42" t="s">
        <v>126</v>
      </c>
      <c r="L36" s="44"/>
      <c r="M36" s="42" t="s">
        <v>91</v>
      </c>
      <c r="N36" s="44"/>
      <c r="O36" s="43"/>
    </row>
    <row r="37" spans="1:15" ht="8.25" customHeight="1">
      <c r="A37" s="5"/>
      <c r="C37" s="77" t="s">
        <v>166</v>
      </c>
      <c r="D37" s="76"/>
      <c r="E37" s="77"/>
      <c r="F37" s="76"/>
      <c r="G37" s="77" t="s">
        <v>166</v>
      </c>
      <c r="H37" s="76"/>
      <c r="I37" s="77" t="s">
        <v>162</v>
      </c>
      <c r="J37" s="76"/>
      <c r="K37" s="77" t="s">
        <v>166</v>
      </c>
      <c r="L37" s="76"/>
      <c r="M37" s="77"/>
      <c r="N37" s="76"/>
      <c r="O37" s="77"/>
    </row>
    <row r="38" spans="1:15" ht="26.25" customHeight="1">
      <c r="A38" s="38" t="s">
        <v>13</v>
      </c>
      <c r="B38" s="38"/>
      <c r="C38" s="42" t="s">
        <v>117</v>
      </c>
      <c r="F38" s="43"/>
      <c r="G38" s="42" t="s">
        <v>117</v>
      </c>
      <c r="H38" s="43"/>
      <c r="I38" s="42" t="s">
        <v>24</v>
      </c>
      <c r="J38" s="43"/>
      <c r="K38" s="42" t="s">
        <v>117</v>
      </c>
      <c r="L38" s="44"/>
      <c r="M38" s="82"/>
      <c r="N38" s="44"/>
      <c r="O38" s="43"/>
    </row>
    <row r="39" spans="1:15" ht="8.25" customHeight="1">
      <c r="A39" s="5"/>
      <c r="B39" s="38"/>
      <c r="C39" s="77" t="s">
        <v>169</v>
      </c>
      <c r="D39" s="76"/>
      <c r="E39" s="77" t="s">
        <v>164</v>
      </c>
      <c r="F39" s="76"/>
      <c r="G39" s="77"/>
      <c r="H39" s="76"/>
      <c r="I39" s="77" t="s">
        <v>170</v>
      </c>
      <c r="J39" s="76"/>
      <c r="K39" s="77"/>
      <c r="L39" s="76"/>
      <c r="M39" s="77"/>
      <c r="N39" s="76"/>
      <c r="O39" s="77"/>
    </row>
    <row r="40" spans="1:15" ht="26.25" customHeight="1">
      <c r="A40" s="429" t="s">
        <v>56</v>
      </c>
      <c r="B40" s="38"/>
      <c r="C40" s="42" t="s">
        <v>121</v>
      </c>
      <c r="E40" s="42" t="s">
        <v>95</v>
      </c>
      <c r="F40" s="43"/>
      <c r="G40" s="82"/>
      <c r="H40" s="43"/>
      <c r="I40" s="42" t="s">
        <v>20</v>
      </c>
      <c r="J40" s="43"/>
      <c r="L40" s="44"/>
      <c r="M40" s="43"/>
      <c r="N40" s="44"/>
      <c r="O40" s="43"/>
    </row>
    <row r="41" spans="1:15" ht="8.25" customHeight="1">
      <c r="A41" s="429"/>
      <c r="C41" s="77"/>
      <c r="D41" s="76"/>
      <c r="E41" s="77"/>
      <c r="F41" s="76"/>
      <c r="G41" s="77" t="s">
        <v>174</v>
      </c>
      <c r="H41" s="76"/>
      <c r="I41" s="77" t="s">
        <v>341</v>
      </c>
      <c r="J41" s="76"/>
      <c r="K41" s="77"/>
      <c r="L41" s="76"/>
      <c r="M41" s="77"/>
      <c r="N41" s="76"/>
      <c r="O41" s="77"/>
    </row>
    <row r="42" spans="1:15" ht="26.25" customHeight="1">
      <c r="A42" s="429"/>
      <c r="B42" s="38"/>
      <c r="F42" s="43"/>
      <c r="G42" s="42" t="s">
        <v>94</v>
      </c>
      <c r="H42" s="43"/>
      <c r="I42" s="42" t="s">
        <v>92</v>
      </c>
      <c r="J42" s="43"/>
      <c r="L42" s="44"/>
      <c r="M42" s="43"/>
      <c r="N42" s="44"/>
      <c r="O42" s="43"/>
    </row>
    <row r="43" spans="1:15" ht="8.25" customHeight="1">
      <c r="A43" s="5"/>
      <c r="C43" s="77" t="s">
        <v>160</v>
      </c>
      <c r="D43" s="76"/>
      <c r="E43" s="77" t="s">
        <v>171</v>
      </c>
      <c r="F43" s="76"/>
      <c r="G43" s="77" t="s">
        <v>324</v>
      </c>
      <c r="H43" s="76"/>
      <c r="I43" s="77" t="s">
        <v>171</v>
      </c>
      <c r="J43" s="76"/>
      <c r="K43" s="77" t="s">
        <v>168</v>
      </c>
      <c r="L43" s="76"/>
      <c r="M43" s="77"/>
      <c r="N43" s="76"/>
      <c r="O43" s="77"/>
    </row>
    <row r="44" spans="1:15" ht="26.25" customHeight="1">
      <c r="A44" s="429" t="s">
        <v>57</v>
      </c>
      <c r="B44" s="38"/>
      <c r="C44" s="42" t="s">
        <v>93</v>
      </c>
      <c r="E44" s="42" t="s">
        <v>127</v>
      </c>
      <c r="F44" s="43"/>
      <c r="G44" s="42" t="s">
        <v>99</v>
      </c>
      <c r="H44" s="43"/>
      <c r="I44" s="42" t="s">
        <v>127</v>
      </c>
      <c r="J44" s="43"/>
      <c r="K44" s="42" t="s">
        <v>351</v>
      </c>
      <c r="L44" s="44"/>
      <c r="M44" s="43"/>
      <c r="N44" s="44"/>
      <c r="O44" s="43"/>
    </row>
    <row r="45" spans="1:15" ht="8.25" customHeight="1">
      <c r="A45" s="429"/>
      <c r="C45" s="77" t="s">
        <v>341</v>
      </c>
      <c r="D45" s="76"/>
      <c r="E45" s="195" t="s">
        <v>162</v>
      </c>
      <c r="F45" s="76"/>
      <c r="G45" s="77" t="s">
        <v>168</v>
      </c>
      <c r="H45" s="76"/>
      <c r="I45" s="77" t="s">
        <v>164</v>
      </c>
      <c r="J45" s="76"/>
      <c r="K45" s="77"/>
      <c r="L45" s="76"/>
      <c r="M45" s="77"/>
      <c r="N45" s="76"/>
      <c r="O45" s="77"/>
    </row>
    <row r="46" spans="1:15" ht="26.25" customHeight="1">
      <c r="A46" s="429"/>
      <c r="B46" s="38"/>
      <c r="C46" s="42" t="s">
        <v>20</v>
      </c>
      <c r="E46" s="42" t="s">
        <v>126</v>
      </c>
      <c r="F46" s="43"/>
      <c r="G46" s="42" t="s">
        <v>351</v>
      </c>
      <c r="H46" s="43"/>
      <c r="I46" s="42" t="s">
        <v>132</v>
      </c>
      <c r="J46" s="43"/>
      <c r="L46" s="44"/>
      <c r="M46" s="43"/>
      <c r="N46" s="44"/>
      <c r="O46" s="43"/>
    </row>
    <row r="47" spans="1:15" ht="8.25" customHeight="1">
      <c r="A47" s="5"/>
      <c r="C47" s="77"/>
      <c r="D47" s="76"/>
      <c r="E47" s="77"/>
      <c r="F47" s="76"/>
      <c r="G47" s="77"/>
      <c r="H47" s="76"/>
      <c r="I47" s="77"/>
      <c r="J47" s="76"/>
      <c r="K47" s="77"/>
      <c r="L47" s="76"/>
      <c r="M47" s="77" t="s">
        <v>353</v>
      </c>
      <c r="N47" s="76"/>
      <c r="O47" s="77"/>
    </row>
    <row r="48" spans="1:15" ht="26.25" customHeight="1">
      <c r="A48" s="38" t="s">
        <v>78</v>
      </c>
      <c r="B48" s="38"/>
      <c r="F48" s="43"/>
      <c r="H48" s="43"/>
      <c r="J48" s="43"/>
      <c r="L48" s="44"/>
      <c r="M48" s="42" t="s">
        <v>114</v>
      </c>
      <c r="N48" s="44"/>
      <c r="O48" s="43"/>
    </row>
    <row r="49" spans="1:15" ht="8.25" customHeight="1">
      <c r="A49" s="5"/>
      <c r="C49" s="77"/>
      <c r="D49" s="76"/>
      <c r="E49" s="77"/>
      <c r="F49" s="76"/>
      <c r="G49" s="77"/>
      <c r="H49" s="76"/>
      <c r="I49" s="77"/>
      <c r="J49" s="76"/>
      <c r="K49" s="77"/>
      <c r="L49" s="76"/>
      <c r="M49" s="77" t="s">
        <v>343</v>
      </c>
      <c r="N49" s="76"/>
      <c r="O49" s="77"/>
    </row>
    <row r="50" spans="1:15" ht="26.25" customHeight="1">
      <c r="A50" s="38" t="s">
        <v>11</v>
      </c>
      <c r="B50" s="38"/>
      <c r="F50" s="43"/>
      <c r="H50" s="43"/>
      <c r="J50" s="43"/>
      <c r="L50" s="44"/>
      <c r="M50" s="42" t="s">
        <v>93</v>
      </c>
      <c r="N50" s="44"/>
      <c r="O50" s="43"/>
    </row>
    <row r="51" spans="1:15" ht="8.25" customHeight="1">
      <c r="A51" s="5"/>
      <c r="C51" s="77"/>
      <c r="D51" s="76"/>
      <c r="E51" s="77"/>
      <c r="F51" s="76"/>
      <c r="G51" s="77"/>
      <c r="H51" s="76"/>
      <c r="I51" s="77" t="s">
        <v>174</v>
      </c>
      <c r="J51" s="76"/>
      <c r="K51" s="77"/>
      <c r="L51" s="76"/>
      <c r="M51" s="77"/>
      <c r="N51" s="76"/>
      <c r="O51" s="77"/>
    </row>
    <row r="52" spans="1:15" ht="26.25" customHeight="1">
      <c r="A52" s="38" t="s">
        <v>15</v>
      </c>
      <c r="B52" s="38"/>
      <c r="F52" s="43"/>
      <c r="H52" s="43"/>
      <c r="I52" s="42" t="s">
        <v>188</v>
      </c>
      <c r="J52" s="43"/>
      <c r="L52" s="44"/>
      <c r="M52" s="43"/>
      <c r="N52" s="44"/>
      <c r="O52" s="43"/>
    </row>
    <row r="53" spans="1:15" ht="8.25" customHeight="1">
      <c r="A53" s="5"/>
      <c r="C53" s="77" t="s">
        <v>172</v>
      </c>
      <c r="D53" s="76"/>
      <c r="E53" s="77" t="s">
        <v>169</v>
      </c>
      <c r="F53" s="76"/>
      <c r="G53" s="77"/>
      <c r="H53" s="76"/>
      <c r="I53" s="77"/>
      <c r="J53" s="76"/>
      <c r="K53" s="77" t="s">
        <v>173</v>
      </c>
      <c r="L53" s="76"/>
      <c r="M53" s="77"/>
      <c r="N53" s="76"/>
      <c r="O53" s="77"/>
    </row>
    <row r="54" spans="1:15" ht="26.25" customHeight="1">
      <c r="A54" s="38" t="s">
        <v>122</v>
      </c>
      <c r="B54" s="38"/>
      <c r="C54" s="42" t="s">
        <v>97</v>
      </c>
      <c r="E54" s="42" t="s">
        <v>121</v>
      </c>
      <c r="F54" s="43"/>
      <c r="H54" s="43"/>
      <c r="J54" s="43"/>
      <c r="K54" s="42" t="s">
        <v>60</v>
      </c>
      <c r="L54" s="44"/>
      <c r="M54" s="43"/>
      <c r="N54" s="44"/>
      <c r="O54" s="43"/>
    </row>
    <row r="55" spans="1:15" ht="8.25" customHeight="1">
      <c r="A55" s="5"/>
      <c r="C55" s="77"/>
      <c r="D55" s="76"/>
      <c r="E55" s="77"/>
      <c r="F55" s="76"/>
      <c r="G55" s="77" t="s">
        <v>162</v>
      </c>
      <c r="H55" s="76"/>
      <c r="I55" s="77"/>
      <c r="J55" s="76"/>
      <c r="K55" s="77"/>
      <c r="L55" s="76"/>
      <c r="M55" s="77"/>
      <c r="N55" s="76"/>
      <c r="O55" s="77"/>
    </row>
    <row r="56" spans="1:15" ht="26.25" customHeight="1">
      <c r="A56" s="429" t="s">
        <v>131</v>
      </c>
      <c r="B56" s="38"/>
      <c r="E56" s="8"/>
      <c r="F56" s="43"/>
      <c r="G56" s="42" t="s">
        <v>114</v>
      </c>
      <c r="H56" s="43"/>
      <c r="J56" s="43"/>
      <c r="L56" s="44"/>
      <c r="M56" s="43"/>
      <c r="N56" s="44"/>
      <c r="O56" s="43"/>
    </row>
    <row r="57" spans="1:15" ht="8.25" customHeight="1">
      <c r="A57" s="429"/>
      <c r="C57" s="77"/>
      <c r="D57" s="76"/>
      <c r="E57" s="77"/>
      <c r="F57" s="76"/>
      <c r="G57" s="196" t="s">
        <v>168</v>
      </c>
      <c r="H57" s="76"/>
      <c r="I57" s="77"/>
      <c r="J57" s="76"/>
      <c r="K57" s="77"/>
      <c r="L57" s="76"/>
      <c r="M57" s="77"/>
      <c r="N57" s="76"/>
      <c r="O57" s="77"/>
    </row>
    <row r="58" spans="1:15" ht="26.25" customHeight="1">
      <c r="A58" s="429"/>
      <c r="B58" s="38"/>
      <c r="E58" s="8"/>
      <c r="F58" s="43"/>
      <c r="G58" s="42" t="s">
        <v>325</v>
      </c>
      <c r="H58" s="43"/>
      <c r="J58" s="43"/>
      <c r="L58" s="44"/>
      <c r="M58" s="43"/>
      <c r="N58" s="44"/>
      <c r="O58" s="43"/>
    </row>
    <row r="59" spans="1:15" ht="8.25" customHeight="1">
      <c r="A59" s="5"/>
      <c r="C59" s="77" t="s">
        <v>171</v>
      </c>
      <c r="D59" s="76"/>
      <c r="E59" s="152" t="s">
        <v>171</v>
      </c>
      <c r="F59" s="76"/>
      <c r="G59" s="77"/>
      <c r="H59" s="76"/>
      <c r="I59" s="77" t="s">
        <v>169</v>
      </c>
      <c r="J59" s="76"/>
      <c r="K59" s="152" t="s">
        <v>326</v>
      </c>
      <c r="L59" s="76"/>
      <c r="M59" s="77"/>
      <c r="N59" s="76"/>
      <c r="O59" s="77"/>
    </row>
    <row r="60" spans="1:15" ht="26.25" customHeight="1">
      <c r="A60" s="429" t="s">
        <v>58</v>
      </c>
      <c r="B60" s="38"/>
      <c r="C60" s="42" t="s">
        <v>123</v>
      </c>
      <c r="E60" s="42" t="s">
        <v>117</v>
      </c>
      <c r="F60" s="43"/>
      <c r="H60" s="43"/>
      <c r="I60" s="42" t="s">
        <v>114</v>
      </c>
      <c r="J60" s="43"/>
      <c r="K60" s="42" t="s">
        <v>114</v>
      </c>
      <c r="L60" s="44"/>
      <c r="M60" s="43"/>
      <c r="N60" s="44"/>
      <c r="O60" s="43"/>
    </row>
    <row r="61" spans="1:15" ht="8.25" customHeight="1">
      <c r="A61" s="429"/>
      <c r="C61" s="77" t="s">
        <v>161</v>
      </c>
      <c r="D61" s="76"/>
      <c r="E61" s="77"/>
      <c r="F61" s="76"/>
      <c r="G61" s="77"/>
      <c r="H61" s="76"/>
      <c r="I61" s="77"/>
      <c r="J61" s="76"/>
      <c r="K61" s="77"/>
      <c r="L61" s="76"/>
      <c r="M61" s="77"/>
      <c r="N61" s="76"/>
      <c r="O61" s="77"/>
    </row>
    <row r="62" spans="1:15" ht="26.25" customHeight="1">
      <c r="A62" s="429"/>
      <c r="B62" s="38"/>
      <c r="C62" s="42" t="s">
        <v>93</v>
      </c>
      <c r="F62" s="43"/>
      <c r="H62" s="43"/>
      <c r="J62" s="43"/>
      <c r="L62" s="44"/>
      <c r="M62" s="43"/>
      <c r="N62" s="44"/>
      <c r="O62" s="43"/>
    </row>
    <row r="63" spans="1:15" ht="8.25" customHeight="1">
      <c r="A63" s="5"/>
      <c r="C63" s="77"/>
      <c r="D63" s="76"/>
      <c r="E63" s="77" t="s">
        <v>169</v>
      </c>
      <c r="F63" s="76"/>
      <c r="G63" s="77" t="s">
        <v>355</v>
      </c>
      <c r="H63" s="76"/>
      <c r="I63" s="77" t="s">
        <v>341</v>
      </c>
      <c r="J63" s="76"/>
      <c r="K63" s="77" t="s">
        <v>161</v>
      </c>
      <c r="L63" s="76"/>
      <c r="M63" s="77"/>
      <c r="N63" s="76"/>
      <c r="O63" s="77"/>
    </row>
    <row r="64" spans="1:15" ht="26.25" customHeight="1">
      <c r="A64" s="429" t="s">
        <v>16</v>
      </c>
      <c r="B64" s="38"/>
      <c r="E64" s="42" t="s">
        <v>115</v>
      </c>
      <c r="F64" s="43"/>
      <c r="G64" s="42" t="s">
        <v>117</v>
      </c>
      <c r="H64" s="43"/>
      <c r="I64" s="42" t="s">
        <v>20</v>
      </c>
      <c r="J64" s="43"/>
      <c r="K64" s="42" t="s">
        <v>132</v>
      </c>
      <c r="L64" s="44"/>
      <c r="M64" s="43"/>
      <c r="N64" s="44"/>
      <c r="O64" s="43"/>
    </row>
    <row r="65" spans="1:15" ht="8.25" customHeight="1">
      <c r="A65" s="429"/>
      <c r="C65" s="77"/>
      <c r="D65" s="76"/>
      <c r="E65" s="77" t="s">
        <v>174</v>
      </c>
      <c r="F65" s="76"/>
      <c r="G65" s="77"/>
      <c r="H65" s="76"/>
      <c r="I65" s="152" t="s">
        <v>171</v>
      </c>
      <c r="J65" s="76"/>
      <c r="K65" s="152" t="s">
        <v>171</v>
      </c>
      <c r="L65" s="76"/>
      <c r="M65" s="77"/>
      <c r="N65" s="76"/>
      <c r="O65" s="77"/>
    </row>
    <row r="66" spans="1:15" ht="26.25" customHeight="1">
      <c r="A66" s="429"/>
      <c r="B66" s="38"/>
      <c r="E66" s="42" t="s">
        <v>94</v>
      </c>
      <c r="F66" s="43"/>
      <c r="H66" s="43"/>
      <c r="I66" s="42" t="s">
        <v>117</v>
      </c>
      <c r="J66" s="43"/>
      <c r="K66" s="42" t="s">
        <v>117</v>
      </c>
      <c r="L66" s="44"/>
      <c r="M66" s="43"/>
      <c r="N66" s="44"/>
      <c r="O66" s="43"/>
    </row>
    <row r="67" spans="1:15" ht="8.25" customHeight="1">
      <c r="A67" s="429"/>
      <c r="C67" s="77"/>
      <c r="D67" s="76"/>
      <c r="E67" s="77"/>
      <c r="F67" s="76"/>
      <c r="G67" s="77"/>
      <c r="H67" s="76"/>
      <c r="I67" s="77" t="s">
        <v>174</v>
      </c>
      <c r="J67" s="76"/>
      <c r="K67" s="77"/>
      <c r="L67" s="76"/>
      <c r="M67" s="77"/>
      <c r="N67" s="76"/>
      <c r="O67" s="77"/>
    </row>
    <row r="68" spans="1:15" ht="26.25" customHeight="1">
      <c r="A68" s="429"/>
      <c r="B68" s="38"/>
      <c r="F68" s="43"/>
      <c r="H68" s="43"/>
      <c r="I68" s="42" t="s">
        <v>94</v>
      </c>
      <c r="J68" s="43"/>
      <c r="L68" s="44"/>
      <c r="M68" s="43"/>
      <c r="N68" s="44"/>
      <c r="O68" s="43"/>
    </row>
    <row r="69" spans="1:15" ht="8.25" customHeight="1">
      <c r="A69" s="429"/>
      <c r="C69" s="77"/>
      <c r="D69" s="76"/>
      <c r="E69" s="77" t="s">
        <v>173</v>
      </c>
      <c r="F69" s="76"/>
      <c r="G69" s="77"/>
      <c r="H69" s="76"/>
      <c r="I69" s="77"/>
      <c r="J69" s="76"/>
      <c r="K69" s="77"/>
      <c r="L69" s="76"/>
      <c r="M69" s="77"/>
      <c r="N69" s="76"/>
      <c r="O69" s="77"/>
    </row>
    <row r="70" spans="1:15" ht="26.25" customHeight="1">
      <c r="A70" s="429"/>
      <c r="B70" s="38"/>
      <c r="E70" s="42" t="s">
        <v>60</v>
      </c>
      <c r="F70" s="43"/>
      <c r="H70" s="43"/>
      <c r="J70" s="43"/>
      <c r="L70" s="44"/>
      <c r="M70" s="43"/>
      <c r="N70" s="44"/>
      <c r="O70" s="43"/>
    </row>
    <row r="71" spans="1:15" ht="8.25" customHeight="1">
      <c r="A71" s="5"/>
      <c r="C71" s="152" t="s">
        <v>342</v>
      </c>
      <c r="D71" s="76"/>
      <c r="E71" s="77" t="s">
        <v>162</v>
      </c>
      <c r="F71" s="76"/>
      <c r="G71" s="152" t="s">
        <v>345</v>
      </c>
      <c r="H71" s="76"/>
      <c r="I71" s="77" t="s">
        <v>159</v>
      </c>
      <c r="J71" s="76"/>
      <c r="K71" s="77" t="s">
        <v>352</v>
      </c>
      <c r="L71" s="76"/>
      <c r="M71" s="77"/>
      <c r="N71" s="76"/>
      <c r="O71" s="77"/>
    </row>
    <row r="72" spans="1:15" ht="26.25" customHeight="1">
      <c r="A72" s="429" t="s">
        <v>124</v>
      </c>
      <c r="B72" s="38"/>
      <c r="C72" s="42" t="s">
        <v>325</v>
      </c>
      <c r="E72" s="42" t="s">
        <v>26</v>
      </c>
      <c r="F72" s="43"/>
      <c r="G72" s="42" t="s">
        <v>99</v>
      </c>
      <c r="H72" s="43"/>
      <c r="I72" s="42" t="s">
        <v>92</v>
      </c>
      <c r="J72" s="43"/>
      <c r="K72" s="42" t="s">
        <v>99</v>
      </c>
      <c r="L72" s="44"/>
      <c r="M72" s="43"/>
      <c r="N72" s="44"/>
      <c r="O72" s="43"/>
    </row>
    <row r="73" spans="1:15" ht="8.25" customHeight="1">
      <c r="A73" s="429"/>
      <c r="C73" s="77" t="s">
        <v>161</v>
      </c>
      <c r="D73" s="76"/>
      <c r="E73" s="77"/>
      <c r="F73" s="76"/>
      <c r="G73" s="77" t="s">
        <v>164</v>
      </c>
      <c r="H73" s="76"/>
      <c r="I73" s="77" t="s">
        <v>169</v>
      </c>
      <c r="J73" s="76"/>
      <c r="K73" s="77" t="s">
        <v>341</v>
      </c>
      <c r="L73" s="76"/>
      <c r="M73" s="77"/>
      <c r="N73" s="76"/>
      <c r="O73" s="77"/>
    </row>
    <row r="74" spans="1:15" ht="26.25" customHeight="1">
      <c r="A74" s="429"/>
      <c r="B74" s="38"/>
      <c r="C74" s="42" t="s">
        <v>24</v>
      </c>
      <c r="F74" s="43"/>
      <c r="G74" s="42" t="s">
        <v>93</v>
      </c>
      <c r="H74" s="43"/>
      <c r="I74" s="42" t="s">
        <v>126</v>
      </c>
      <c r="J74" s="43"/>
      <c r="K74" s="42" t="s">
        <v>20</v>
      </c>
      <c r="L74" s="44"/>
      <c r="M74" s="43"/>
      <c r="N74" s="44"/>
      <c r="O74" s="43"/>
    </row>
    <row r="75" spans="1:15" ht="8.25" customHeight="1">
      <c r="A75" s="429"/>
      <c r="C75" s="77" t="s">
        <v>341</v>
      </c>
      <c r="D75" s="76"/>
      <c r="E75" s="77"/>
      <c r="F75" s="76"/>
      <c r="G75" s="77" t="s">
        <v>341</v>
      </c>
      <c r="H75" s="76"/>
      <c r="I75" s="77"/>
      <c r="J75" s="76"/>
      <c r="K75" s="77"/>
      <c r="L75" s="76"/>
      <c r="M75" s="77"/>
      <c r="N75" s="76"/>
      <c r="O75" s="77"/>
    </row>
    <row r="76" spans="1:15" ht="26.25" customHeight="1">
      <c r="A76" s="429"/>
      <c r="B76" s="38"/>
      <c r="C76" s="42" t="s">
        <v>20</v>
      </c>
      <c r="F76" s="43"/>
      <c r="G76" s="42" t="s">
        <v>20</v>
      </c>
      <c r="H76" s="43"/>
      <c r="J76" s="43"/>
      <c r="L76" s="44"/>
      <c r="M76" s="43"/>
      <c r="N76" s="44"/>
      <c r="O76" s="43"/>
    </row>
    <row r="77" spans="1:15" ht="8.25" customHeight="1">
      <c r="A77" s="429"/>
      <c r="C77" s="77" t="s">
        <v>171</v>
      </c>
      <c r="D77" s="76"/>
      <c r="E77" s="77"/>
      <c r="F77" s="76"/>
      <c r="G77" s="77"/>
      <c r="H77" s="76"/>
      <c r="I77" s="77"/>
      <c r="J77" s="76"/>
      <c r="K77" s="77"/>
      <c r="L77" s="76"/>
      <c r="M77" s="77"/>
      <c r="N77" s="76"/>
      <c r="O77" s="77"/>
    </row>
    <row r="78" spans="1:15" ht="26.25" customHeight="1">
      <c r="A78" s="429"/>
      <c r="B78" s="38"/>
      <c r="C78" s="42" t="s">
        <v>117</v>
      </c>
      <c r="F78" s="43"/>
      <c r="H78" s="43"/>
      <c r="J78" s="43"/>
      <c r="L78" s="44"/>
      <c r="M78" s="43"/>
      <c r="N78" s="44"/>
      <c r="O78" s="43"/>
    </row>
    <row r="79" spans="1:15" ht="8.25" customHeight="1">
      <c r="A79" s="5"/>
      <c r="C79" s="77"/>
      <c r="D79" s="76"/>
      <c r="E79" s="196" t="s">
        <v>171</v>
      </c>
      <c r="F79" s="76"/>
      <c r="G79" s="77"/>
      <c r="H79" s="76"/>
      <c r="I79" s="77"/>
      <c r="J79" s="76"/>
      <c r="K79" s="77"/>
      <c r="L79" s="76"/>
      <c r="M79" s="77"/>
      <c r="N79" s="76"/>
      <c r="O79" s="77"/>
    </row>
    <row r="80" spans="1:15" ht="26.25" customHeight="1">
      <c r="A80" s="38" t="s">
        <v>9</v>
      </c>
      <c r="B80" s="38"/>
      <c r="C80" s="82"/>
      <c r="E80" s="42" t="s">
        <v>117</v>
      </c>
      <c r="F80" s="43"/>
      <c r="G80" s="82"/>
      <c r="H80" s="43"/>
      <c r="J80" s="43"/>
      <c r="K80" s="82"/>
      <c r="L80" s="44"/>
      <c r="M80" s="43"/>
      <c r="N80" s="44"/>
      <c r="O80" s="43"/>
    </row>
    <row r="81" spans="1:15" ht="8.25" customHeight="1">
      <c r="A81" s="5"/>
      <c r="C81" s="77" t="s">
        <v>164</v>
      </c>
      <c r="D81" s="76"/>
      <c r="E81" s="77"/>
      <c r="F81" s="76"/>
      <c r="G81" s="77" t="s">
        <v>165</v>
      </c>
      <c r="H81" s="76"/>
      <c r="I81" s="77"/>
      <c r="J81" s="76"/>
      <c r="K81" s="77" t="s">
        <v>165</v>
      </c>
      <c r="L81" s="76"/>
      <c r="M81" s="77"/>
      <c r="N81" s="76"/>
      <c r="O81" s="77"/>
    </row>
    <row r="82" spans="1:15" ht="26.25" customHeight="1">
      <c r="A82" s="38" t="s">
        <v>125</v>
      </c>
      <c r="B82" s="38"/>
      <c r="C82" s="42" t="s">
        <v>91</v>
      </c>
      <c r="F82" s="43"/>
      <c r="G82" s="42" t="s">
        <v>91</v>
      </c>
      <c r="H82" s="43"/>
      <c r="J82" s="43"/>
      <c r="K82" s="42" t="s">
        <v>91</v>
      </c>
      <c r="L82" s="44"/>
      <c r="M82" s="43"/>
      <c r="N82" s="44"/>
      <c r="O82" s="43"/>
    </row>
    <row r="83" spans="1:15" ht="8.25" customHeight="1">
      <c r="A83" s="5"/>
      <c r="C83" s="77" t="s">
        <v>161</v>
      </c>
      <c r="D83" s="76"/>
      <c r="E83" s="77" t="s">
        <v>341</v>
      </c>
      <c r="F83" s="76"/>
      <c r="G83" s="77" t="s">
        <v>164</v>
      </c>
      <c r="H83" s="76"/>
      <c r="I83" s="77" t="s">
        <v>162</v>
      </c>
      <c r="J83" s="76"/>
      <c r="K83" s="77" t="s">
        <v>161</v>
      </c>
      <c r="L83" s="76"/>
      <c r="M83" s="77"/>
      <c r="N83" s="76"/>
      <c r="O83" s="77"/>
    </row>
    <row r="84" spans="1:15" ht="26.25" customHeight="1">
      <c r="A84" s="429" t="s">
        <v>12</v>
      </c>
      <c r="B84" s="38"/>
      <c r="C84" s="42" t="s">
        <v>95</v>
      </c>
      <c r="E84" s="42" t="s">
        <v>92</v>
      </c>
      <c r="F84" s="43"/>
      <c r="G84" s="42" t="s">
        <v>132</v>
      </c>
      <c r="H84" s="43"/>
      <c r="I84" s="42" t="s">
        <v>93</v>
      </c>
      <c r="J84" s="43"/>
      <c r="K84" s="42" t="s">
        <v>24</v>
      </c>
      <c r="L84" s="44"/>
      <c r="M84" s="43"/>
      <c r="N84" s="44"/>
      <c r="O84" s="43"/>
    </row>
    <row r="85" spans="1:15" ht="8.25" customHeight="1">
      <c r="A85" s="429"/>
      <c r="C85" s="77"/>
      <c r="D85" s="76"/>
      <c r="E85" s="77" t="s">
        <v>175</v>
      </c>
      <c r="F85" s="76"/>
      <c r="G85" s="77" t="s">
        <v>171</v>
      </c>
      <c r="H85" s="76"/>
      <c r="I85" s="77"/>
      <c r="J85" s="76"/>
      <c r="K85" s="77" t="s">
        <v>175</v>
      </c>
      <c r="L85" s="76"/>
      <c r="M85" s="77"/>
      <c r="N85" s="76"/>
      <c r="O85" s="77"/>
    </row>
    <row r="86" spans="1:15" ht="26.25" customHeight="1">
      <c r="A86" s="429"/>
      <c r="B86" s="38"/>
      <c r="E86" s="42" t="s">
        <v>129</v>
      </c>
      <c r="F86" s="43"/>
      <c r="G86" s="42" t="s">
        <v>117</v>
      </c>
      <c r="H86" s="43"/>
      <c r="J86" s="43"/>
      <c r="K86" s="42" t="s">
        <v>129</v>
      </c>
      <c r="L86" s="44"/>
      <c r="M86" s="43"/>
      <c r="N86" s="44"/>
      <c r="O86" s="43"/>
    </row>
    <row r="87" spans="1:15" ht="8.25" customHeight="1">
      <c r="A87" s="5"/>
      <c r="C87" s="77" t="s">
        <v>159</v>
      </c>
      <c r="D87" s="76"/>
      <c r="E87" s="77"/>
      <c r="F87" s="76"/>
      <c r="G87" s="77" t="s">
        <v>176</v>
      </c>
      <c r="H87" s="76"/>
      <c r="I87" s="77" t="s">
        <v>172</v>
      </c>
      <c r="J87" s="76"/>
      <c r="K87" s="77"/>
      <c r="L87" s="76"/>
      <c r="M87" s="77"/>
      <c r="N87" s="76"/>
      <c r="O87" s="77"/>
    </row>
    <row r="88" spans="1:15" ht="26.25" customHeight="1">
      <c r="A88" s="38" t="s">
        <v>17</v>
      </c>
      <c r="B88" s="38"/>
      <c r="C88" s="42" t="s">
        <v>96</v>
      </c>
      <c r="F88" s="43"/>
      <c r="G88" s="42" t="s">
        <v>133</v>
      </c>
      <c r="H88" s="43"/>
      <c r="I88" s="42" t="s">
        <v>97</v>
      </c>
      <c r="J88" s="43"/>
      <c r="K88" s="8"/>
      <c r="L88" s="44"/>
      <c r="M88" s="43"/>
      <c r="N88" s="44"/>
      <c r="O88" s="43"/>
    </row>
    <row r="89" spans="1:15" ht="11.25" customHeight="1">
      <c r="A89" s="5"/>
      <c r="C89" s="77"/>
      <c r="D89" s="76"/>
      <c r="E89" s="77"/>
      <c r="F89" s="76"/>
      <c r="G89" s="77"/>
      <c r="H89" s="76"/>
      <c r="I89" s="77" t="s">
        <v>177</v>
      </c>
      <c r="J89" s="76"/>
      <c r="K89" s="77"/>
      <c r="L89" s="76"/>
      <c r="M89" s="77"/>
      <c r="N89" s="76"/>
      <c r="O89" s="77"/>
    </row>
    <row r="90" spans="1:15" s="8" customFormat="1" ht="23.25" customHeight="1">
      <c r="A90" s="38" t="s">
        <v>80</v>
      </c>
      <c r="B90" s="38"/>
      <c r="C90"/>
      <c r="D90"/>
      <c r="E90"/>
      <c r="F90" s="43"/>
      <c r="G90" s="82"/>
      <c r="H90" s="43"/>
      <c r="I90" s="42" t="s">
        <v>134</v>
      </c>
      <c r="J90" s="43"/>
      <c r="L90" s="44"/>
      <c r="M90" s="43"/>
      <c r="N90" s="44"/>
      <c r="O90" s="43"/>
    </row>
    <row r="91" spans="1:15" ht="9" customHeight="1">
      <c r="A91" s="5"/>
      <c r="C91" s="77"/>
      <c r="D91" s="76"/>
      <c r="E91" s="77"/>
      <c r="F91" s="76"/>
      <c r="G91" s="77"/>
      <c r="H91" s="76"/>
      <c r="I91" s="77"/>
      <c r="J91" s="76"/>
      <c r="K91" s="77"/>
      <c r="L91" s="76"/>
      <c r="M91" s="77"/>
      <c r="N91" s="76"/>
      <c r="O91" s="77"/>
    </row>
    <row r="92" spans="1:15">
      <c r="A92" s="38"/>
      <c r="B92" s="38"/>
      <c r="L92" s="38"/>
      <c r="N92" s="38"/>
    </row>
    <row r="93" spans="1:15">
      <c r="A93" s="38"/>
      <c r="B93" s="38"/>
      <c r="D93" s="38"/>
      <c r="F93" s="38"/>
      <c r="H93" s="38"/>
      <c r="J93" s="38"/>
      <c r="K93" s="430"/>
      <c r="L93" s="430"/>
      <c r="M93" s="430"/>
      <c r="N93" s="430"/>
      <c r="O93" s="430"/>
    </row>
    <row r="94" spans="1:15">
      <c r="A94" s="38"/>
      <c r="B94" s="38"/>
      <c r="C94" s="8"/>
      <c r="D94" s="38"/>
      <c r="E94" s="8"/>
      <c r="F94" s="38"/>
      <c r="G94" s="8"/>
      <c r="H94" s="38"/>
      <c r="I94" s="8"/>
      <c r="J94" s="38"/>
      <c r="K94" s="3"/>
      <c r="L94" s="3"/>
      <c r="M94" s="9"/>
      <c r="N94" s="3"/>
      <c r="O94" s="3"/>
    </row>
    <row r="95" spans="1:15">
      <c r="A95" s="38"/>
      <c r="B95" s="38"/>
      <c r="D95" s="38"/>
      <c r="F95" s="38"/>
      <c r="H95" s="38"/>
      <c r="J95" s="38"/>
      <c r="K95" s="4"/>
      <c r="L95" s="3"/>
      <c r="M95" s="4"/>
      <c r="N95" s="3"/>
      <c r="O95" s="4"/>
    </row>
    <row r="96" spans="1:15">
      <c r="A96" s="38"/>
      <c r="B96" s="38"/>
      <c r="D96" s="38"/>
      <c r="F96" s="38"/>
      <c r="H96" s="38"/>
      <c r="J96" s="38"/>
      <c r="L96" s="38"/>
      <c r="N96" s="38"/>
    </row>
    <row r="97" spans="1:1">
      <c r="A97" s="38"/>
    </row>
    <row r="98" spans="1:1">
      <c r="A98" s="38"/>
    </row>
  </sheetData>
  <dataConsolidate/>
  <mergeCells count="10">
    <mergeCell ref="A72:A78"/>
    <mergeCell ref="A84:A86"/>
    <mergeCell ref="K93:O93"/>
    <mergeCell ref="A10:A12"/>
    <mergeCell ref="A22:A24"/>
    <mergeCell ref="A40:A42"/>
    <mergeCell ref="A44:A46"/>
    <mergeCell ref="A60:A62"/>
    <mergeCell ref="A64:A70"/>
    <mergeCell ref="A56:A58"/>
  </mergeCells>
  <pageMargins left="0.7" right="0.7" top="0.75" bottom="0.75" header="0.3" footer="0.3"/>
  <pageSetup paperSize="9" scale="4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  <pageSetUpPr fitToPage="1"/>
  </sheetPr>
  <dimension ref="B1:AW48"/>
  <sheetViews>
    <sheetView zoomScaleNormal="100" zoomScaleSheetLayoutView="100" workbookViewId="0">
      <pane ySplit="3" topLeftCell="A4" activePane="bottomLeft" state="frozen"/>
      <selection pane="bottomLeft" activeCell="B19" sqref="B19"/>
    </sheetView>
  </sheetViews>
  <sheetFormatPr defaultColWidth="9.33203125" defaultRowHeight="10.5" customHeight="1"/>
  <cols>
    <col min="1" max="1" width="0.6640625" style="97" customWidth="1"/>
    <col min="2" max="2" width="14.6640625" style="96" bestFit="1" customWidth="1"/>
    <col min="3" max="3" width="10" style="97" bestFit="1" customWidth="1"/>
    <col min="4" max="7" width="3.33203125" style="97" customWidth="1"/>
    <col min="8" max="8" width="1.6640625" style="97" customWidth="1"/>
    <col min="9" max="13" width="4.33203125" style="97" customWidth="1"/>
    <col min="14" max="14" width="1.6640625" style="97" customWidth="1"/>
    <col min="15" max="46" width="4.33203125" style="97" customWidth="1"/>
    <col min="47" max="47" width="30.44140625" style="99" bestFit="1" customWidth="1"/>
    <col min="48" max="48" width="20.33203125" style="99" bestFit="1" customWidth="1"/>
    <col min="49" max="49" width="14.6640625" style="97" customWidth="1"/>
    <col min="50" max="16384" width="9.33203125" style="97"/>
  </cols>
  <sheetData>
    <row r="1" spans="2:47" ht="10.5" customHeight="1">
      <c r="P1" s="98"/>
      <c r="Q1" s="98"/>
      <c r="R1" s="98"/>
      <c r="S1" s="98"/>
      <c r="T1" s="98"/>
      <c r="U1" s="98"/>
      <c r="V1" s="98"/>
      <c r="W1" s="98"/>
      <c r="X1" s="98"/>
    </row>
    <row r="2" spans="2:47" ht="10.5" customHeight="1">
      <c r="D2" s="431" t="s">
        <v>238</v>
      </c>
      <c r="E2" s="431"/>
      <c r="F2" s="431"/>
      <c r="G2" s="431"/>
      <c r="I2" s="431" t="s">
        <v>239</v>
      </c>
      <c r="J2" s="431"/>
      <c r="K2" s="431"/>
      <c r="L2" s="431"/>
      <c r="M2" s="431"/>
      <c r="O2" s="431" t="s">
        <v>240</v>
      </c>
      <c r="P2" s="431"/>
      <c r="Q2" s="431"/>
      <c r="R2" s="431"/>
      <c r="S2" s="431"/>
      <c r="T2" s="431"/>
      <c r="U2" s="431"/>
      <c r="V2" s="431"/>
      <c r="W2" s="431"/>
      <c r="X2" s="431"/>
      <c r="Y2" s="431"/>
      <c r="Z2" s="431"/>
      <c r="AA2" s="431"/>
      <c r="AB2" s="431"/>
      <c r="AC2" s="431"/>
      <c r="AD2" s="431"/>
      <c r="AE2" s="431"/>
      <c r="AF2" s="431"/>
      <c r="AG2" s="431"/>
      <c r="AH2" s="431"/>
      <c r="AI2" s="431"/>
      <c r="AJ2" s="431"/>
      <c r="AK2" s="431"/>
      <c r="AL2" s="431"/>
      <c r="AM2" s="431"/>
      <c r="AN2" s="431"/>
      <c r="AO2" s="431"/>
      <c r="AP2" s="431"/>
      <c r="AQ2" s="431"/>
      <c r="AR2" s="431"/>
      <c r="AS2" s="431"/>
    </row>
    <row r="3" spans="2:47" ht="10.5" customHeight="1">
      <c r="B3" s="100" t="s">
        <v>241</v>
      </c>
      <c r="C3" s="101"/>
      <c r="D3" s="102" t="s">
        <v>32</v>
      </c>
      <c r="E3" s="102" t="s">
        <v>33</v>
      </c>
      <c r="F3" s="102" t="s">
        <v>155</v>
      </c>
      <c r="G3" s="102" t="s">
        <v>242</v>
      </c>
      <c r="I3" s="102" t="s">
        <v>206</v>
      </c>
      <c r="J3" s="102" t="s">
        <v>205</v>
      </c>
      <c r="K3" s="102" t="s">
        <v>243</v>
      </c>
      <c r="L3" s="102" t="s">
        <v>244</v>
      </c>
      <c r="M3" s="103" t="s">
        <v>245</v>
      </c>
      <c r="O3" s="102" t="s">
        <v>246</v>
      </c>
      <c r="P3" s="102" t="s">
        <v>247</v>
      </c>
      <c r="Q3" s="102" t="s">
        <v>201</v>
      </c>
      <c r="R3" s="102" t="s">
        <v>207</v>
      </c>
      <c r="S3" s="102" t="s">
        <v>208</v>
      </c>
      <c r="T3" s="102" t="s">
        <v>209</v>
      </c>
      <c r="U3" s="102" t="s">
        <v>210</v>
      </c>
      <c r="V3" s="102" t="s">
        <v>211</v>
      </c>
      <c r="W3" s="102" t="s">
        <v>248</v>
      </c>
      <c r="X3" s="102" t="s">
        <v>249</v>
      </c>
      <c r="Y3" s="102" t="s">
        <v>250</v>
      </c>
      <c r="Z3" s="102" t="s">
        <v>251</v>
      </c>
      <c r="AA3" s="102" t="s">
        <v>252</v>
      </c>
      <c r="AB3" s="102" t="s">
        <v>26</v>
      </c>
      <c r="AC3" s="102" t="s">
        <v>253</v>
      </c>
      <c r="AD3" s="102" t="s">
        <v>254</v>
      </c>
      <c r="AE3" s="102" t="s">
        <v>214</v>
      </c>
      <c r="AF3" s="102" t="s">
        <v>215</v>
      </c>
      <c r="AG3" s="102" t="s">
        <v>255</v>
      </c>
      <c r="AH3" s="102" t="s">
        <v>217</v>
      </c>
      <c r="AI3" s="102" t="s">
        <v>218</v>
      </c>
      <c r="AJ3" s="102" t="s">
        <v>20</v>
      </c>
      <c r="AK3" s="102" t="s">
        <v>219</v>
      </c>
      <c r="AL3" s="102" t="s">
        <v>220</v>
      </c>
      <c r="AM3" s="102" t="s">
        <v>256</v>
      </c>
      <c r="AN3" s="102" t="s">
        <v>221</v>
      </c>
      <c r="AO3" s="102" t="s">
        <v>257</v>
      </c>
      <c r="AP3" s="102" t="s">
        <v>258</v>
      </c>
      <c r="AQ3" s="102" t="s">
        <v>223</v>
      </c>
      <c r="AR3" s="102" t="s">
        <v>224</v>
      </c>
      <c r="AS3" s="103" t="s">
        <v>245</v>
      </c>
      <c r="AT3" s="103" t="s">
        <v>259</v>
      </c>
    </row>
    <row r="4" spans="2:47" ht="10.5" customHeight="1">
      <c r="B4" s="104" t="s">
        <v>260</v>
      </c>
      <c r="C4" s="102"/>
      <c r="D4" s="105"/>
      <c r="E4" s="105"/>
      <c r="F4" s="105"/>
      <c r="G4" s="105"/>
      <c r="I4" s="106"/>
      <c r="J4" s="107"/>
      <c r="K4" s="107"/>
      <c r="L4" s="107">
        <v>3</v>
      </c>
      <c r="M4" s="108">
        <f>SUM(I4:L4)</f>
        <v>3</v>
      </c>
      <c r="O4" s="107"/>
      <c r="P4" s="107">
        <v>1</v>
      </c>
      <c r="Q4" s="107">
        <v>1</v>
      </c>
      <c r="R4" s="109"/>
      <c r="S4" s="110">
        <v>1</v>
      </c>
      <c r="T4" s="111">
        <v>1</v>
      </c>
      <c r="U4" s="112">
        <v>1</v>
      </c>
      <c r="V4" s="113">
        <v>1</v>
      </c>
      <c r="W4" s="114">
        <v>1</v>
      </c>
      <c r="X4" s="115"/>
      <c r="Y4" s="107"/>
      <c r="Z4" s="107"/>
      <c r="AA4" s="107"/>
      <c r="AB4" s="107"/>
      <c r="AC4" s="107"/>
      <c r="AD4" s="107"/>
      <c r="AE4" s="107">
        <v>2</v>
      </c>
      <c r="AF4" s="107">
        <v>1</v>
      </c>
      <c r="AG4" s="107"/>
      <c r="AH4" s="107">
        <v>3</v>
      </c>
      <c r="AI4" s="116">
        <v>1</v>
      </c>
      <c r="AJ4" s="117">
        <v>2</v>
      </c>
      <c r="AK4" s="118"/>
      <c r="AL4" s="107"/>
      <c r="AM4" s="107"/>
      <c r="AN4" s="107"/>
      <c r="AO4" s="107"/>
      <c r="AP4" s="107"/>
      <c r="AQ4" s="107"/>
      <c r="AR4" s="107">
        <v>1</v>
      </c>
      <c r="AS4" s="108">
        <f t="shared" ref="AS4:AS10" si="0">SUM(O4:AR4)</f>
        <v>17</v>
      </c>
      <c r="AT4" s="108">
        <f>AS4+M4</f>
        <v>20</v>
      </c>
    </row>
    <row r="5" spans="2:47" ht="10.5" customHeight="1">
      <c r="B5" s="104" t="s">
        <v>261</v>
      </c>
      <c r="C5" s="102"/>
      <c r="D5" s="105"/>
      <c r="E5" s="105"/>
      <c r="F5" s="105"/>
      <c r="G5" s="105"/>
      <c r="I5" s="106"/>
      <c r="J5" s="107"/>
      <c r="K5" s="107">
        <v>1</v>
      </c>
      <c r="L5" s="107">
        <v>2</v>
      </c>
      <c r="M5" s="108">
        <f t="shared" ref="M5:M10" si="1">SUM(I5:L5)</f>
        <v>3</v>
      </c>
      <c r="O5" s="107">
        <v>1</v>
      </c>
      <c r="P5" s="107">
        <v>1</v>
      </c>
      <c r="Q5" s="107"/>
      <c r="R5" s="109">
        <v>1</v>
      </c>
      <c r="S5" s="110"/>
      <c r="T5" s="111">
        <v>1</v>
      </c>
      <c r="U5" s="112"/>
      <c r="V5" s="113">
        <v>1</v>
      </c>
      <c r="W5" s="114"/>
      <c r="X5" s="115"/>
      <c r="Y5" s="107"/>
      <c r="Z5" s="107">
        <v>1</v>
      </c>
      <c r="AA5" s="107"/>
      <c r="AB5" s="107">
        <v>1</v>
      </c>
      <c r="AC5" s="107"/>
      <c r="AD5" s="107">
        <v>1</v>
      </c>
      <c r="AE5" s="107"/>
      <c r="AF5" s="107">
        <v>1</v>
      </c>
      <c r="AG5" s="107"/>
      <c r="AH5" s="107"/>
      <c r="AI5" s="116"/>
      <c r="AJ5" s="117">
        <v>1</v>
      </c>
      <c r="AK5" s="118"/>
      <c r="AL5" s="107"/>
      <c r="AM5" s="107">
        <v>1</v>
      </c>
      <c r="AN5" s="107">
        <v>1</v>
      </c>
      <c r="AO5" s="107"/>
      <c r="AP5" s="107"/>
      <c r="AQ5" s="107">
        <v>1</v>
      </c>
      <c r="AR5" s="107"/>
      <c r="AS5" s="108">
        <f t="shared" si="0"/>
        <v>13</v>
      </c>
      <c r="AT5" s="108">
        <f t="shared" ref="AT5:AT10" si="2">AS5+M5</f>
        <v>16</v>
      </c>
    </row>
    <row r="6" spans="2:47" ht="10.5" customHeight="1">
      <c r="B6" s="104" t="s">
        <v>262</v>
      </c>
      <c r="C6" s="102"/>
      <c r="D6" s="105"/>
      <c r="E6" s="105"/>
      <c r="F6" s="105"/>
      <c r="G6" s="105"/>
      <c r="I6" s="106"/>
      <c r="J6" s="107"/>
      <c r="K6" s="107"/>
      <c r="L6" s="107">
        <v>3</v>
      </c>
      <c r="M6" s="108">
        <f t="shared" si="1"/>
        <v>3</v>
      </c>
      <c r="O6" s="107"/>
      <c r="P6" s="107"/>
      <c r="Q6" s="107">
        <v>1</v>
      </c>
      <c r="R6" s="109">
        <v>1</v>
      </c>
      <c r="S6" s="110"/>
      <c r="T6" s="111"/>
      <c r="U6" s="112"/>
      <c r="V6" s="113"/>
      <c r="W6" s="114"/>
      <c r="X6" s="115"/>
      <c r="Y6" s="107">
        <v>1</v>
      </c>
      <c r="Z6" s="107"/>
      <c r="AA6" s="107"/>
      <c r="AB6" s="107"/>
      <c r="AC6" s="107"/>
      <c r="AD6" s="107"/>
      <c r="AE6" s="107">
        <v>2</v>
      </c>
      <c r="AF6" s="107">
        <v>3</v>
      </c>
      <c r="AG6" s="107">
        <v>1</v>
      </c>
      <c r="AH6" s="107">
        <v>2</v>
      </c>
      <c r="AI6" s="116"/>
      <c r="AJ6" s="117">
        <v>1</v>
      </c>
      <c r="AK6" s="118"/>
      <c r="AL6" s="107"/>
      <c r="AM6" s="107">
        <v>1</v>
      </c>
      <c r="AN6" s="107">
        <v>1</v>
      </c>
      <c r="AO6" s="107">
        <v>1</v>
      </c>
      <c r="AP6" s="107"/>
      <c r="AQ6" s="107">
        <v>1</v>
      </c>
      <c r="AR6" s="107">
        <v>2</v>
      </c>
      <c r="AS6" s="108">
        <f t="shared" si="0"/>
        <v>18</v>
      </c>
      <c r="AT6" s="108">
        <f t="shared" si="2"/>
        <v>21</v>
      </c>
    </row>
    <row r="7" spans="2:47" ht="10.5" customHeight="1">
      <c r="B7" s="104" t="s">
        <v>263</v>
      </c>
      <c r="C7" s="102"/>
      <c r="D7" s="105"/>
      <c r="E7" s="105"/>
      <c r="F7" s="105"/>
      <c r="G7" s="105"/>
      <c r="I7" s="106"/>
      <c r="J7" s="107"/>
      <c r="K7" s="107"/>
      <c r="L7" s="107">
        <v>2</v>
      </c>
      <c r="M7" s="108">
        <f t="shared" si="1"/>
        <v>2</v>
      </c>
      <c r="O7" s="107"/>
      <c r="P7" s="107"/>
      <c r="Q7" s="107">
        <v>1</v>
      </c>
      <c r="R7" s="109"/>
      <c r="S7" s="110">
        <v>1</v>
      </c>
      <c r="T7" s="111">
        <v>1</v>
      </c>
      <c r="U7" s="112"/>
      <c r="V7" s="113">
        <v>2</v>
      </c>
      <c r="W7" s="114"/>
      <c r="X7" s="115"/>
      <c r="Y7" s="107">
        <v>1</v>
      </c>
      <c r="Z7" s="107">
        <v>1</v>
      </c>
      <c r="AA7" s="107">
        <v>1</v>
      </c>
      <c r="AB7" s="107"/>
      <c r="AC7" s="107"/>
      <c r="AD7" s="107"/>
      <c r="AE7" s="107"/>
      <c r="AF7" s="107">
        <v>2</v>
      </c>
      <c r="AG7" s="107"/>
      <c r="AH7" s="107">
        <v>2</v>
      </c>
      <c r="AI7" s="116">
        <v>1</v>
      </c>
      <c r="AJ7" s="117">
        <v>1</v>
      </c>
      <c r="AK7" s="118"/>
      <c r="AL7" s="107"/>
      <c r="AM7" s="107">
        <v>1</v>
      </c>
      <c r="AN7" s="107">
        <v>1</v>
      </c>
      <c r="AO7" s="107"/>
      <c r="AP7" s="107"/>
      <c r="AQ7" s="107">
        <v>1</v>
      </c>
      <c r="AR7" s="107"/>
      <c r="AS7" s="108">
        <f t="shared" si="0"/>
        <v>17</v>
      </c>
      <c r="AT7" s="108">
        <f t="shared" si="2"/>
        <v>19</v>
      </c>
    </row>
    <row r="8" spans="2:47" ht="10.5" customHeight="1">
      <c r="B8" s="104" t="s">
        <v>264</v>
      </c>
      <c r="C8" s="102"/>
      <c r="D8" s="105"/>
      <c r="E8" s="105"/>
      <c r="F8" s="105"/>
      <c r="G8" s="105"/>
      <c r="I8" s="106"/>
      <c r="J8" s="107"/>
      <c r="K8" s="107">
        <v>1</v>
      </c>
      <c r="L8" s="107">
        <v>2</v>
      </c>
      <c r="M8" s="108">
        <f t="shared" si="1"/>
        <v>3</v>
      </c>
      <c r="O8" s="107"/>
      <c r="P8" s="107"/>
      <c r="Q8" s="107"/>
      <c r="R8" s="109">
        <v>1</v>
      </c>
      <c r="S8" s="110">
        <v>1</v>
      </c>
      <c r="T8" s="111"/>
      <c r="U8" s="112"/>
      <c r="V8" s="113"/>
      <c r="W8" s="114"/>
      <c r="X8" s="115"/>
      <c r="Y8" s="107">
        <v>1</v>
      </c>
      <c r="Z8" s="107"/>
      <c r="AA8" s="107"/>
      <c r="AB8" s="107"/>
      <c r="AC8" s="107">
        <v>1</v>
      </c>
      <c r="AD8" s="107">
        <v>1</v>
      </c>
      <c r="AE8" s="107">
        <v>2</v>
      </c>
      <c r="AF8" s="107">
        <v>2</v>
      </c>
      <c r="AG8" s="107"/>
      <c r="AH8" s="107"/>
      <c r="AI8" s="116"/>
      <c r="AJ8" s="117"/>
      <c r="AK8" s="118"/>
      <c r="AL8" s="107"/>
      <c r="AM8" s="107">
        <v>2</v>
      </c>
      <c r="AN8" s="107">
        <v>1</v>
      </c>
      <c r="AO8" s="107">
        <v>1</v>
      </c>
      <c r="AP8" s="107"/>
      <c r="AQ8" s="107"/>
      <c r="AR8" s="107">
        <v>1</v>
      </c>
      <c r="AS8" s="108">
        <f t="shared" si="0"/>
        <v>14</v>
      </c>
      <c r="AT8" s="108">
        <f t="shared" si="2"/>
        <v>17</v>
      </c>
    </row>
    <row r="9" spans="2:47" ht="10.5" customHeight="1">
      <c r="B9" s="104" t="s">
        <v>265</v>
      </c>
      <c r="C9" s="102"/>
      <c r="D9" s="105"/>
      <c r="E9" s="105"/>
      <c r="F9" s="105"/>
      <c r="G9" s="105"/>
      <c r="I9" s="106"/>
      <c r="J9" s="107"/>
      <c r="K9" s="107"/>
      <c r="L9" s="107">
        <v>1</v>
      </c>
      <c r="M9" s="108">
        <f t="shared" si="1"/>
        <v>1</v>
      </c>
      <c r="O9" s="107"/>
      <c r="P9" s="107"/>
      <c r="Q9" s="107">
        <v>1</v>
      </c>
      <c r="R9" s="109"/>
      <c r="S9" s="110"/>
      <c r="T9" s="111"/>
      <c r="U9" s="112">
        <v>1</v>
      </c>
      <c r="V9" s="113">
        <v>1</v>
      </c>
      <c r="W9" s="114">
        <v>1</v>
      </c>
      <c r="X9" s="115"/>
      <c r="Y9" s="107"/>
      <c r="Z9" s="107"/>
      <c r="AA9" s="107"/>
      <c r="AB9" s="107"/>
      <c r="AC9" s="107"/>
      <c r="AD9" s="107"/>
      <c r="AE9" s="107">
        <v>1</v>
      </c>
      <c r="AF9" s="107">
        <v>2</v>
      </c>
      <c r="AG9" s="107"/>
      <c r="AH9" s="107">
        <v>1</v>
      </c>
      <c r="AI9" s="116"/>
      <c r="AJ9" s="117"/>
      <c r="AK9" s="118"/>
      <c r="AL9" s="107"/>
      <c r="AM9" s="107">
        <v>1</v>
      </c>
      <c r="AN9" s="107"/>
      <c r="AO9" s="107"/>
      <c r="AP9" s="107"/>
      <c r="AQ9" s="107"/>
      <c r="AR9" s="107">
        <v>1</v>
      </c>
      <c r="AS9" s="108">
        <f t="shared" si="0"/>
        <v>10</v>
      </c>
      <c r="AT9" s="108">
        <f t="shared" si="2"/>
        <v>11</v>
      </c>
    </row>
    <row r="10" spans="2:47" ht="10.5" customHeight="1">
      <c r="B10" s="104" t="s">
        <v>22</v>
      </c>
      <c r="C10" s="102"/>
      <c r="D10" s="105"/>
      <c r="E10" s="105"/>
      <c r="F10" s="105"/>
      <c r="G10" s="105"/>
      <c r="I10" s="106"/>
      <c r="J10" s="107"/>
      <c r="K10" s="107"/>
      <c r="L10" s="107"/>
      <c r="M10" s="108">
        <f t="shared" si="1"/>
        <v>0</v>
      </c>
      <c r="O10" s="107"/>
      <c r="P10" s="107"/>
      <c r="Q10" s="107"/>
      <c r="R10" s="109"/>
      <c r="S10" s="110"/>
      <c r="T10" s="111"/>
      <c r="U10" s="112"/>
      <c r="V10" s="113"/>
      <c r="W10" s="114"/>
      <c r="X10" s="115"/>
      <c r="Y10" s="107"/>
      <c r="Z10" s="107"/>
      <c r="AA10" s="107"/>
      <c r="AB10" s="107"/>
      <c r="AC10" s="107"/>
      <c r="AD10" s="107"/>
      <c r="AE10" s="107">
        <v>1</v>
      </c>
      <c r="AF10" s="107">
        <v>1</v>
      </c>
      <c r="AG10" s="107"/>
      <c r="AH10" s="107">
        <v>1</v>
      </c>
      <c r="AI10" s="116"/>
      <c r="AJ10" s="117"/>
      <c r="AK10" s="118"/>
      <c r="AL10" s="107"/>
      <c r="AM10" s="107">
        <v>1</v>
      </c>
      <c r="AN10" s="107"/>
      <c r="AO10" s="107"/>
      <c r="AP10" s="107"/>
      <c r="AQ10" s="107"/>
      <c r="AR10" s="107"/>
      <c r="AS10" s="108">
        <f t="shared" si="0"/>
        <v>4</v>
      </c>
      <c r="AT10" s="108">
        <f t="shared" si="2"/>
        <v>4</v>
      </c>
    </row>
    <row r="11" spans="2:47" ht="10.5" customHeight="1">
      <c r="B11" s="119" t="s">
        <v>18</v>
      </c>
      <c r="D11" s="120">
        <f t="shared" ref="D11:M11" si="3">SUM(D4:D10)</f>
        <v>0</v>
      </c>
      <c r="E11" s="120">
        <f t="shared" si="3"/>
        <v>0</v>
      </c>
      <c r="F11" s="120">
        <f t="shared" si="3"/>
        <v>0</v>
      </c>
      <c r="G11" s="120"/>
      <c r="H11" s="120"/>
      <c r="I11" s="120">
        <f t="shared" si="3"/>
        <v>0</v>
      </c>
      <c r="J11" s="120">
        <f t="shared" si="3"/>
        <v>0</v>
      </c>
      <c r="K11" s="120">
        <f t="shared" si="3"/>
        <v>2</v>
      </c>
      <c r="L11" s="120">
        <f t="shared" si="3"/>
        <v>13</v>
      </c>
      <c r="M11" s="120">
        <f t="shared" si="3"/>
        <v>15</v>
      </c>
      <c r="N11" s="120"/>
      <c r="O11" s="120">
        <f t="shared" ref="O11:AT11" si="4">SUM(O4:O10)</f>
        <v>1</v>
      </c>
      <c r="P11" s="120">
        <f t="shared" si="4"/>
        <v>2</v>
      </c>
      <c r="Q11" s="120">
        <f t="shared" si="4"/>
        <v>4</v>
      </c>
      <c r="R11" s="120">
        <f t="shared" si="4"/>
        <v>3</v>
      </c>
      <c r="S11" s="120">
        <f t="shared" si="4"/>
        <v>3</v>
      </c>
      <c r="T11" s="120">
        <f t="shared" si="4"/>
        <v>3</v>
      </c>
      <c r="U11" s="120">
        <f t="shared" si="4"/>
        <v>2</v>
      </c>
      <c r="V11" s="120">
        <f t="shared" si="4"/>
        <v>5</v>
      </c>
      <c r="W11" s="120">
        <f t="shared" si="4"/>
        <v>2</v>
      </c>
      <c r="X11" s="120">
        <f t="shared" si="4"/>
        <v>0</v>
      </c>
      <c r="Y11" s="120">
        <f t="shared" si="4"/>
        <v>3</v>
      </c>
      <c r="Z11" s="120">
        <f t="shared" si="4"/>
        <v>2</v>
      </c>
      <c r="AA11" s="120">
        <f t="shared" si="4"/>
        <v>1</v>
      </c>
      <c r="AB11" s="120">
        <f t="shared" si="4"/>
        <v>1</v>
      </c>
      <c r="AC11" s="120">
        <f t="shared" si="4"/>
        <v>1</v>
      </c>
      <c r="AD11" s="120">
        <f t="shared" si="4"/>
        <v>2</v>
      </c>
      <c r="AE11" s="120">
        <f t="shared" si="4"/>
        <v>8</v>
      </c>
      <c r="AF11" s="120">
        <f t="shared" si="4"/>
        <v>12</v>
      </c>
      <c r="AG11" s="120">
        <f t="shared" si="4"/>
        <v>1</v>
      </c>
      <c r="AH11" s="120">
        <f t="shared" si="4"/>
        <v>9</v>
      </c>
      <c r="AI11" s="120">
        <f t="shared" si="4"/>
        <v>2</v>
      </c>
      <c r="AJ11" s="120">
        <f t="shared" si="4"/>
        <v>5</v>
      </c>
      <c r="AK11" s="120">
        <f t="shared" si="4"/>
        <v>0</v>
      </c>
      <c r="AL11" s="120">
        <f t="shared" si="4"/>
        <v>0</v>
      </c>
      <c r="AM11" s="120">
        <f t="shared" si="4"/>
        <v>7</v>
      </c>
      <c r="AN11" s="120">
        <f t="shared" si="4"/>
        <v>4</v>
      </c>
      <c r="AO11" s="120">
        <f t="shared" si="4"/>
        <v>2</v>
      </c>
      <c r="AP11" s="120">
        <f t="shared" si="4"/>
        <v>0</v>
      </c>
      <c r="AQ11" s="120">
        <f t="shared" si="4"/>
        <v>3</v>
      </c>
      <c r="AR11" s="120">
        <f t="shared" si="4"/>
        <v>5</v>
      </c>
      <c r="AS11" s="120">
        <f t="shared" si="4"/>
        <v>93</v>
      </c>
      <c r="AT11" s="120">
        <f t="shared" si="4"/>
        <v>108</v>
      </c>
    </row>
    <row r="13" spans="2:47" ht="10.5" customHeight="1">
      <c r="B13" s="119" t="s">
        <v>266</v>
      </c>
      <c r="C13" s="96" t="s">
        <v>158</v>
      </c>
    </row>
    <row r="14" spans="2:47" ht="10.5" customHeight="1">
      <c r="B14" s="104" t="s">
        <v>137</v>
      </c>
      <c r="C14" s="102"/>
      <c r="D14" s="105"/>
      <c r="E14" s="105"/>
      <c r="F14" s="105">
        <v>1</v>
      </c>
      <c r="G14" s="105"/>
      <c r="I14" s="106"/>
      <c r="J14" s="107"/>
      <c r="K14" s="107"/>
      <c r="L14" s="107"/>
      <c r="M14" s="108">
        <f>SUM(I14:L14)</f>
        <v>0</v>
      </c>
      <c r="O14" s="107"/>
      <c r="P14" s="107"/>
      <c r="Q14" s="107">
        <v>1</v>
      </c>
      <c r="R14" s="109"/>
      <c r="S14" s="110">
        <v>1</v>
      </c>
      <c r="T14" s="111">
        <v>1</v>
      </c>
      <c r="U14" s="112"/>
      <c r="V14" s="113"/>
      <c r="W14" s="114"/>
      <c r="X14" s="115"/>
      <c r="Y14" s="107">
        <v>1</v>
      </c>
      <c r="Z14" s="107"/>
      <c r="AA14" s="107"/>
      <c r="AB14" s="107"/>
      <c r="AC14" s="107"/>
      <c r="AD14" s="107"/>
      <c r="AE14" s="107"/>
      <c r="AF14" s="107">
        <v>1</v>
      </c>
      <c r="AG14" s="107"/>
      <c r="AH14" s="107">
        <v>1</v>
      </c>
      <c r="AI14" s="116"/>
      <c r="AJ14" s="117"/>
      <c r="AK14" s="118"/>
      <c r="AL14" s="107"/>
      <c r="AM14" s="107"/>
      <c r="AN14" s="107"/>
      <c r="AO14" s="107"/>
      <c r="AP14" s="107"/>
      <c r="AQ14" s="107">
        <v>1</v>
      </c>
      <c r="AR14" s="107"/>
      <c r="AS14" s="108">
        <f>SUM(O14:AR14)</f>
        <v>7</v>
      </c>
      <c r="AT14" s="108"/>
      <c r="AU14" s="99" t="s">
        <v>267</v>
      </c>
    </row>
    <row r="15" spans="2:47" ht="10.5" customHeight="1">
      <c r="B15" s="104" t="s">
        <v>136</v>
      </c>
      <c r="C15" s="102"/>
      <c r="D15" s="105"/>
      <c r="E15" s="105"/>
      <c r="F15" s="105"/>
      <c r="G15" s="105"/>
      <c r="I15" s="106"/>
      <c r="J15" s="107"/>
      <c r="K15" s="107"/>
      <c r="L15" s="107"/>
      <c r="M15" s="108">
        <f>SUM(I15:L15)</f>
        <v>0</v>
      </c>
      <c r="O15" s="107"/>
      <c r="P15" s="107"/>
      <c r="Q15" s="107"/>
      <c r="R15" s="109"/>
      <c r="S15" s="110"/>
      <c r="T15" s="111"/>
      <c r="U15" s="112"/>
      <c r="V15" s="113"/>
      <c r="W15" s="114"/>
      <c r="X15" s="115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16"/>
      <c r="AJ15" s="117"/>
      <c r="AK15" s="118"/>
      <c r="AL15" s="107"/>
      <c r="AM15" s="107"/>
      <c r="AN15" s="107"/>
      <c r="AO15" s="107"/>
      <c r="AP15" s="107"/>
      <c r="AQ15" s="107">
        <v>1</v>
      </c>
      <c r="AR15" s="107"/>
      <c r="AS15" s="108">
        <f>SUM(O15:AR15)</f>
        <v>1</v>
      </c>
      <c r="AT15" s="108"/>
      <c r="AU15" s="99" t="s">
        <v>268</v>
      </c>
    </row>
    <row r="16" spans="2:47" ht="10.5" customHeight="1">
      <c r="B16" s="104" t="s">
        <v>141</v>
      </c>
      <c r="C16" s="102"/>
      <c r="D16" s="105"/>
      <c r="E16" s="105"/>
      <c r="F16" s="105"/>
      <c r="G16" s="105"/>
      <c r="I16" s="106"/>
      <c r="J16" s="107"/>
      <c r="K16" s="107"/>
      <c r="L16" s="107">
        <v>1</v>
      </c>
      <c r="M16" s="108">
        <f>SUM(I16:L16)</f>
        <v>1</v>
      </c>
      <c r="O16" s="107"/>
      <c r="P16" s="107"/>
      <c r="Q16" s="107"/>
      <c r="R16" s="109"/>
      <c r="S16" s="110"/>
      <c r="T16" s="111"/>
      <c r="U16" s="112"/>
      <c r="V16" s="113">
        <v>1</v>
      </c>
      <c r="W16" s="114"/>
      <c r="X16" s="115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16"/>
      <c r="AJ16" s="117">
        <v>1</v>
      </c>
      <c r="AK16" s="118"/>
      <c r="AL16" s="107"/>
      <c r="AM16" s="107"/>
      <c r="AN16" s="107"/>
      <c r="AO16" s="107"/>
      <c r="AP16" s="107"/>
      <c r="AQ16" s="107">
        <v>1</v>
      </c>
      <c r="AR16" s="107"/>
      <c r="AS16" s="108">
        <f>SUM(O16:AR16)</f>
        <v>3</v>
      </c>
      <c r="AT16" s="108"/>
      <c r="AU16" s="99" t="s">
        <v>269</v>
      </c>
    </row>
    <row r="17" spans="2:49" ht="10.5" customHeight="1">
      <c r="B17" s="121" t="s">
        <v>179</v>
      </c>
      <c r="C17" s="122" t="s">
        <v>270</v>
      </c>
      <c r="D17" s="105"/>
      <c r="E17" s="105"/>
      <c r="F17" s="105"/>
      <c r="G17" s="105"/>
      <c r="I17" s="106"/>
      <c r="J17" s="107"/>
      <c r="K17" s="107"/>
      <c r="L17" s="107"/>
      <c r="M17" s="108">
        <f t="shared" ref="M17:M46" si="5">SUM(I17:L17)</f>
        <v>0</v>
      </c>
      <c r="O17" s="107"/>
      <c r="P17" s="107"/>
      <c r="Q17" s="107"/>
      <c r="R17" s="109"/>
      <c r="S17" s="110"/>
      <c r="T17" s="111"/>
      <c r="U17" s="112">
        <v>1</v>
      </c>
      <c r="V17" s="113"/>
      <c r="W17" s="114"/>
      <c r="X17" s="115"/>
      <c r="Y17" s="107"/>
      <c r="Z17" s="107"/>
      <c r="AA17" s="107"/>
      <c r="AB17" s="107">
        <v>1</v>
      </c>
      <c r="AC17" s="107"/>
      <c r="AD17" s="107"/>
      <c r="AE17" s="107"/>
      <c r="AF17" s="107">
        <v>1</v>
      </c>
      <c r="AG17" s="107"/>
      <c r="AH17" s="107">
        <v>1</v>
      </c>
      <c r="AI17" s="116">
        <v>1</v>
      </c>
      <c r="AJ17" s="117"/>
      <c r="AK17" s="118"/>
      <c r="AL17" s="107"/>
      <c r="AM17" s="107"/>
      <c r="AN17" s="107"/>
      <c r="AO17" s="107"/>
      <c r="AP17" s="107"/>
      <c r="AQ17" s="107"/>
      <c r="AR17" s="107"/>
      <c r="AS17" s="108">
        <f t="shared" ref="AS17:AS46" si="6">SUM(O17:AR17)</f>
        <v>5</v>
      </c>
      <c r="AT17" s="108"/>
    </row>
    <row r="18" spans="2:49" ht="10.5" customHeight="1">
      <c r="B18" s="104" t="s">
        <v>271</v>
      </c>
      <c r="C18" s="102" t="s">
        <v>272</v>
      </c>
      <c r="D18" s="105"/>
      <c r="E18" s="105"/>
      <c r="F18" s="105"/>
      <c r="G18" s="105"/>
      <c r="I18" s="106"/>
      <c r="J18" s="107"/>
      <c r="K18" s="107"/>
      <c r="L18" s="107"/>
      <c r="M18" s="108">
        <f t="shared" si="5"/>
        <v>0</v>
      </c>
      <c r="O18" s="107"/>
      <c r="P18" s="107"/>
      <c r="Q18" s="107"/>
      <c r="R18" s="109"/>
      <c r="S18" s="110"/>
      <c r="T18" s="111"/>
      <c r="U18" s="112"/>
      <c r="V18" s="113"/>
      <c r="W18" s="114"/>
      <c r="X18" s="115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16"/>
      <c r="AJ18" s="117"/>
      <c r="AK18" s="118"/>
      <c r="AL18" s="107"/>
      <c r="AM18" s="107"/>
      <c r="AN18" s="107"/>
      <c r="AO18" s="107"/>
      <c r="AP18" s="107"/>
      <c r="AQ18" s="107"/>
      <c r="AR18" s="107"/>
      <c r="AS18" s="108">
        <f t="shared" si="6"/>
        <v>0</v>
      </c>
      <c r="AT18" s="108"/>
    </row>
    <row r="19" spans="2:49" ht="10.5" customHeight="1">
      <c r="B19" s="104" t="s">
        <v>148</v>
      </c>
      <c r="C19" s="102" t="s">
        <v>273</v>
      </c>
      <c r="D19" s="105"/>
      <c r="E19" s="105"/>
      <c r="F19" s="105"/>
      <c r="G19" s="105"/>
      <c r="I19" s="106"/>
      <c r="J19" s="107"/>
      <c r="K19" s="107"/>
      <c r="L19" s="107"/>
      <c r="M19" s="108">
        <f t="shared" si="5"/>
        <v>0</v>
      </c>
      <c r="O19" s="107"/>
      <c r="P19" s="107"/>
      <c r="Q19" s="107"/>
      <c r="R19" s="109"/>
      <c r="S19" s="110"/>
      <c r="T19" s="111">
        <v>1</v>
      </c>
      <c r="U19" s="112"/>
      <c r="V19" s="113"/>
      <c r="W19" s="114"/>
      <c r="X19" s="115"/>
      <c r="Y19" s="107"/>
      <c r="Z19" s="107"/>
      <c r="AA19" s="107"/>
      <c r="AB19" s="107"/>
      <c r="AC19" s="107"/>
      <c r="AD19" s="107"/>
      <c r="AE19" s="107">
        <v>1</v>
      </c>
      <c r="AF19" s="107">
        <v>1</v>
      </c>
      <c r="AG19" s="107"/>
      <c r="AH19" s="107">
        <v>1</v>
      </c>
      <c r="AI19" s="116"/>
      <c r="AJ19" s="117">
        <v>1</v>
      </c>
      <c r="AK19" s="118"/>
      <c r="AL19" s="107"/>
      <c r="AM19" s="107"/>
      <c r="AN19" s="107"/>
      <c r="AO19" s="107"/>
      <c r="AP19" s="107"/>
      <c r="AQ19" s="107"/>
      <c r="AR19" s="107"/>
      <c r="AS19" s="108">
        <f t="shared" si="6"/>
        <v>5</v>
      </c>
      <c r="AT19" s="108"/>
    </row>
    <row r="20" spans="2:49" ht="10.5" customHeight="1">
      <c r="B20" s="104" t="s">
        <v>147</v>
      </c>
      <c r="C20" s="102"/>
      <c r="D20" s="105">
        <v>1</v>
      </c>
      <c r="E20" s="105"/>
      <c r="F20" s="105">
        <v>1</v>
      </c>
      <c r="G20" s="105"/>
      <c r="I20" s="106"/>
      <c r="J20" s="107"/>
      <c r="K20" s="107"/>
      <c r="L20" s="107"/>
      <c r="M20" s="108">
        <f t="shared" si="5"/>
        <v>0</v>
      </c>
      <c r="O20" s="107"/>
      <c r="P20" s="107"/>
      <c r="Q20" s="107"/>
      <c r="R20" s="109"/>
      <c r="S20" s="110"/>
      <c r="T20" s="111"/>
      <c r="U20" s="112"/>
      <c r="V20" s="113">
        <v>1</v>
      </c>
      <c r="W20" s="114"/>
      <c r="X20" s="115"/>
      <c r="Y20" s="107"/>
      <c r="Z20" s="107"/>
      <c r="AA20" s="107"/>
      <c r="AB20" s="107"/>
      <c r="AC20" s="107"/>
      <c r="AD20" s="107"/>
      <c r="AE20" s="107">
        <v>1</v>
      </c>
      <c r="AF20" s="107">
        <v>1</v>
      </c>
      <c r="AG20" s="107"/>
      <c r="AH20" s="107"/>
      <c r="AI20" s="116"/>
      <c r="AJ20" s="117"/>
      <c r="AK20" s="118"/>
      <c r="AL20" s="107"/>
      <c r="AM20" s="107"/>
      <c r="AN20" s="107"/>
      <c r="AO20" s="107"/>
      <c r="AP20" s="107"/>
      <c r="AQ20" s="107"/>
      <c r="AR20" s="107"/>
      <c r="AS20" s="108">
        <f t="shared" si="6"/>
        <v>3</v>
      </c>
      <c r="AT20" s="108"/>
      <c r="AU20" s="99" t="s">
        <v>274</v>
      </c>
    </row>
    <row r="21" spans="2:49" ht="10.5" customHeight="1">
      <c r="B21" s="104" t="s">
        <v>178</v>
      </c>
      <c r="C21" s="102" t="s">
        <v>272</v>
      </c>
      <c r="D21" s="105"/>
      <c r="E21" s="105"/>
      <c r="F21" s="105"/>
      <c r="G21" s="105"/>
      <c r="I21" s="106"/>
      <c r="J21" s="107"/>
      <c r="K21" s="107"/>
      <c r="L21" s="107"/>
      <c r="M21" s="108">
        <f t="shared" si="5"/>
        <v>0</v>
      </c>
      <c r="O21" s="107"/>
      <c r="P21" s="107"/>
      <c r="Q21" s="107"/>
      <c r="R21" s="109"/>
      <c r="S21" s="110"/>
      <c r="T21" s="111"/>
      <c r="U21" s="112"/>
      <c r="V21" s="113"/>
      <c r="W21" s="114"/>
      <c r="X21" s="115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16"/>
      <c r="AJ21" s="117"/>
      <c r="AK21" s="118"/>
      <c r="AL21" s="107"/>
      <c r="AM21" s="107"/>
      <c r="AN21" s="107"/>
      <c r="AO21" s="107"/>
      <c r="AP21" s="107"/>
      <c r="AQ21" s="107"/>
      <c r="AR21" s="107"/>
      <c r="AS21" s="108">
        <f t="shared" si="6"/>
        <v>0</v>
      </c>
      <c r="AT21" s="108"/>
    </row>
    <row r="22" spans="2:49" ht="10.5" customHeight="1">
      <c r="B22" s="121" t="s">
        <v>138</v>
      </c>
      <c r="C22" s="122" t="s">
        <v>275</v>
      </c>
      <c r="D22" s="105">
        <v>1</v>
      </c>
      <c r="E22" s="105"/>
      <c r="F22" s="105">
        <v>1</v>
      </c>
      <c r="G22" s="105">
        <v>50</v>
      </c>
      <c r="I22" s="106"/>
      <c r="J22" s="107"/>
      <c r="K22" s="107">
        <v>1</v>
      </c>
      <c r="L22" s="107"/>
      <c r="M22" s="108">
        <f t="shared" si="5"/>
        <v>1</v>
      </c>
      <c r="O22" s="107"/>
      <c r="P22" s="107"/>
      <c r="Q22" s="107"/>
      <c r="R22" s="109"/>
      <c r="S22" s="110"/>
      <c r="T22" s="111"/>
      <c r="U22" s="112"/>
      <c r="V22" s="113"/>
      <c r="W22" s="114"/>
      <c r="X22" s="115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16"/>
      <c r="AJ22" s="117"/>
      <c r="AK22" s="118"/>
      <c r="AL22" s="107"/>
      <c r="AM22" s="107"/>
      <c r="AN22" s="107"/>
      <c r="AO22" s="107"/>
      <c r="AP22" s="107"/>
      <c r="AQ22" s="107"/>
      <c r="AR22" s="107"/>
      <c r="AS22" s="108">
        <f t="shared" si="6"/>
        <v>0</v>
      </c>
      <c r="AT22" s="108"/>
    </row>
    <row r="23" spans="2:49" ht="10.5" customHeight="1">
      <c r="B23" s="121" t="s">
        <v>276</v>
      </c>
      <c r="C23" s="123" t="s">
        <v>277</v>
      </c>
      <c r="D23" s="105">
        <v>1</v>
      </c>
      <c r="E23" s="105"/>
      <c r="F23" s="105"/>
      <c r="G23" s="105"/>
      <c r="I23" s="106"/>
      <c r="J23" s="107"/>
      <c r="K23" s="107"/>
      <c r="L23" s="107"/>
      <c r="M23" s="108">
        <f t="shared" si="5"/>
        <v>0</v>
      </c>
      <c r="O23" s="107">
        <v>1</v>
      </c>
      <c r="P23" s="107"/>
      <c r="Q23" s="107">
        <v>1</v>
      </c>
      <c r="R23" s="109"/>
      <c r="S23" s="110"/>
      <c r="T23" s="111"/>
      <c r="U23" s="112"/>
      <c r="V23" s="113"/>
      <c r="W23" s="114"/>
      <c r="X23" s="115"/>
      <c r="Y23" s="107"/>
      <c r="Z23" s="107"/>
      <c r="AA23" s="107"/>
      <c r="AB23" s="107">
        <v>1</v>
      </c>
      <c r="AC23" s="107"/>
      <c r="AD23" s="107"/>
      <c r="AE23" s="107"/>
      <c r="AF23" s="107">
        <v>1</v>
      </c>
      <c r="AG23" s="107"/>
      <c r="AH23" s="107"/>
      <c r="AI23" s="116"/>
      <c r="AJ23" s="117">
        <v>1</v>
      </c>
      <c r="AK23" s="118"/>
      <c r="AL23" s="107"/>
      <c r="AM23" s="107"/>
      <c r="AN23" s="107">
        <v>1</v>
      </c>
      <c r="AO23" s="107"/>
      <c r="AP23" s="107"/>
      <c r="AQ23" s="107"/>
      <c r="AR23" s="107"/>
      <c r="AS23" s="108">
        <f t="shared" si="6"/>
        <v>6</v>
      </c>
      <c r="AT23" s="108"/>
      <c r="AU23" s="124" t="s">
        <v>278</v>
      </c>
      <c r="AV23" s="99" t="s">
        <v>279</v>
      </c>
    </row>
    <row r="24" spans="2:49" ht="10.5" customHeight="1">
      <c r="B24" s="104" t="s">
        <v>139</v>
      </c>
      <c r="C24" s="102" t="s">
        <v>280</v>
      </c>
      <c r="D24" s="105"/>
      <c r="E24" s="105"/>
      <c r="F24" s="105"/>
      <c r="G24" s="105"/>
      <c r="I24" s="106"/>
      <c r="J24" s="107"/>
      <c r="K24" s="107"/>
      <c r="L24" s="107"/>
      <c r="M24" s="108">
        <f t="shared" si="5"/>
        <v>0</v>
      </c>
      <c r="O24" s="107"/>
      <c r="P24" s="107"/>
      <c r="Q24" s="107"/>
      <c r="R24" s="109"/>
      <c r="S24" s="110"/>
      <c r="T24" s="111"/>
      <c r="U24" s="112"/>
      <c r="V24" s="113"/>
      <c r="W24" s="114"/>
      <c r="X24" s="115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16"/>
      <c r="AJ24" s="117"/>
      <c r="AK24" s="118"/>
      <c r="AL24" s="107"/>
      <c r="AM24" s="107"/>
      <c r="AN24" s="107"/>
      <c r="AO24" s="107"/>
      <c r="AP24" s="107"/>
      <c r="AQ24" s="107"/>
      <c r="AR24" s="107"/>
      <c r="AS24" s="108">
        <f t="shared" si="6"/>
        <v>0</v>
      </c>
      <c r="AT24" s="108"/>
    </row>
    <row r="25" spans="2:49" ht="10.5" customHeight="1">
      <c r="B25" s="121" t="s">
        <v>156</v>
      </c>
      <c r="C25" s="122" t="s">
        <v>281</v>
      </c>
      <c r="D25" s="105">
        <v>1</v>
      </c>
      <c r="E25" s="105"/>
      <c r="F25" s="105">
        <v>1</v>
      </c>
      <c r="G25" s="105">
        <v>50</v>
      </c>
      <c r="I25" s="106"/>
      <c r="J25" s="107"/>
      <c r="K25" s="107"/>
      <c r="L25" s="107"/>
      <c r="M25" s="108">
        <f t="shared" si="5"/>
        <v>0</v>
      </c>
      <c r="O25" s="107"/>
      <c r="P25" s="107"/>
      <c r="Q25" s="107"/>
      <c r="R25" s="109"/>
      <c r="S25" s="110"/>
      <c r="T25" s="111"/>
      <c r="U25" s="112"/>
      <c r="V25" s="113"/>
      <c r="W25" s="114"/>
      <c r="X25" s="115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16"/>
      <c r="AJ25" s="117"/>
      <c r="AK25" s="118"/>
      <c r="AL25" s="107"/>
      <c r="AM25" s="107"/>
      <c r="AN25" s="107"/>
      <c r="AO25" s="107"/>
      <c r="AP25" s="107"/>
      <c r="AQ25" s="107"/>
      <c r="AR25" s="107"/>
      <c r="AS25" s="108">
        <f t="shared" si="6"/>
        <v>0</v>
      </c>
      <c r="AT25" s="108"/>
    </row>
    <row r="26" spans="2:49" ht="10.5" customHeight="1">
      <c r="B26" s="104" t="s">
        <v>144</v>
      </c>
      <c r="C26" s="102"/>
      <c r="D26" s="105"/>
      <c r="E26" s="105"/>
      <c r="F26" s="105"/>
      <c r="G26" s="105"/>
      <c r="I26" s="106"/>
      <c r="J26" s="107"/>
      <c r="K26" s="107"/>
      <c r="L26" s="107"/>
      <c r="M26" s="108">
        <f t="shared" si="5"/>
        <v>0</v>
      </c>
      <c r="O26" s="107">
        <v>1</v>
      </c>
      <c r="P26" s="107"/>
      <c r="Q26" s="107"/>
      <c r="R26" s="109"/>
      <c r="S26" s="110"/>
      <c r="T26" s="111"/>
      <c r="U26" s="112"/>
      <c r="V26" s="113"/>
      <c r="W26" s="114"/>
      <c r="X26" s="115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16"/>
      <c r="AJ26" s="117"/>
      <c r="AK26" s="118"/>
      <c r="AL26" s="107"/>
      <c r="AM26" s="107">
        <v>1</v>
      </c>
      <c r="AN26" s="107">
        <v>1</v>
      </c>
      <c r="AO26" s="107"/>
      <c r="AP26" s="107"/>
      <c r="AQ26" s="107"/>
      <c r="AR26" s="107"/>
      <c r="AS26" s="108">
        <f t="shared" si="6"/>
        <v>3</v>
      </c>
      <c r="AT26" s="108"/>
      <c r="AU26" s="99" t="s">
        <v>282</v>
      </c>
    </row>
    <row r="27" spans="2:49" ht="10.5" customHeight="1">
      <c r="B27" s="104" t="s">
        <v>189</v>
      </c>
      <c r="C27" s="102"/>
      <c r="D27" s="105"/>
      <c r="E27" s="105"/>
      <c r="F27" s="105"/>
      <c r="G27" s="105"/>
      <c r="I27" s="106"/>
      <c r="J27" s="107"/>
      <c r="K27" s="107"/>
      <c r="L27" s="107"/>
      <c r="M27" s="108">
        <f t="shared" si="5"/>
        <v>0</v>
      </c>
      <c r="O27" s="107"/>
      <c r="P27" s="107"/>
      <c r="Q27" s="107"/>
      <c r="R27" s="109">
        <v>1</v>
      </c>
      <c r="S27" s="110"/>
      <c r="T27" s="111">
        <v>1</v>
      </c>
      <c r="U27" s="112"/>
      <c r="V27" s="113"/>
      <c r="W27" s="114">
        <v>1</v>
      </c>
      <c r="X27" s="115"/>
      <c r="Y27" s="107"/>
      <c r="Z27" s="107"/>
      <c r="AA27" s="107"/>
      <c r="AB27" s="107">
        <v>1</v>
      </c>
      <c r="AC27" s="107"/>
      <c r="AD27" s="107"/>
      <c r="AE27" s="107"/>
      <c r="AF27" s="107">
        <v>1</v>
      </c>
      <c r="AG27" s="107"/>
      <c r="AH27" s="107"/>
      <c r="AI27" s="116"/>
      <c r="AJ27" s="117"/>
      <c r="AK27" s="118">
        <v>1</v>
      </c>
      <c r="AL27" s="107"/>
      <c r="AM27" s="107"/>
      <c r="AN27" s="107"/>
      <c r="AO27" s="107"/>
      <c r="AP27" s="107"/>
      <c r="AQ27" s="107"/>
      <c r="AR27" s="107"/>
      <c r="AS27" s="108">
        <f t="shared" si="6"/>
        <v>6</v>
      </c>
      <c r="AT27" s="108"/>
      <c r="AU27" s="99" t="s">
        <v>283</v>
      </c>
    </row>
    <row r="28" spans="2:49" ht="10.5" customHeight="1">
      <c r="B28" s="104" t="s">
        <v>185</v>
      </c>
      <c r="C28" s="102"/>
      <c r="D28" s="105"/>
      <c r="E28" s="105"/>
      <c r="F28" s="105"/>
      <c r="G28" s="105"/>
      <c r="I28" s="106"/>
      <c r="J28" s="107"/>
      <c r="K28" s="107"/>
      <c r="L28" s="107">
        <v>1</v>
      </c>
      <c r="M28" s="108">
        <f t="shared" si="5"/>
        <v>1</v>
      </c>
      <c r="O28" s="107"/>
      <c r="P28" s="107"/>
      <c r="Q28" s="107"/>
      <c r="R28" s="109"/>
      <c r="S28" s="110"/>
      <c r="T28" s="111"/>
      <c r="U28" s="112"/>
      <c r="V28" s="113"/>
      <c r="W28" s="114"/>
      <c r="X28" s="115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16"/>
      <c r="AJ28" s="117"/>
      <c r="AK28" s="118"/>
      <c r="AL28" s="107"/>
      <c r="AM28" s="107">
        <v>1</v>
      </c>
      <c r="AN28" s="107"/>
      <c r="AO28" s="107"/>
      <c r="AP28" s="107"/>
      <c r="AQ28" s="107"/>
      <c r="AR28" s="107"/>
      <c r="AS28" s="108">
        <f t="shared" si="6"/>
        <v>1</v>
      </c>
      <c r="AT28" s="108"/>
      <c r="AU28" s="99" t="s">
        <v>284</v>
      </c>
    </row>
    <row r="29" spans="2:49" ht="10.5" customHeight="1">
      <c r="B29" s="104" t="s">
        <v>183</v>
      </c>
      <c r="C29" s="102"/>
      <c r="D29" s="105"/>
      <c r="E29" s="105"/>
      <c r="F29" s="105"/>
      <c r="G29" s="105">
        <v>10</v>
      </c>
      <c r="I29" s="106"/>
      <c r="J29" s="107"/>
      <c r="K29" s="107"/>
      <c r="L29" s="107"/>
      <c r="M29" s="108">
        <f t="shared" si="5"/>
        <v>0</v>
      </c>
      <c r="O29" s="107"/>
      <c r="P29" s="107"/>
      <c r="Q29" s="107"/>
      <c r="R29" s="109"/>
      <c r="S29" s="110"/>
      <c r="T29" s="111"/>
      <c r="U29" s="112"/>
      <c r="V29" s="113"/>
      <c r="W29" s="114"/>
      <c r="X29" s="115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16"/>
      <c r="AJ29" s="117"/>
      <c r="AK29" s="118"/>
      <c r="AL29" s="107"/>
      <c r="AM29" s="107"/>
      <c r="AN29" s="107"/>
      <c r="AO29" s="107"/>
      <c r="AP29" s="107"/>
      <c r="AQ29" s="107"/>
      <c r="AR29" s="107"/>
      <c r="AS29" s="108">
        <f t="shared" si="6"/>
        <v>0</v>
      </c>
      <c r="AT29" s="108"/>
      <c r="AU29" s="99" t="s">
        <v>285</v>
      </c>
    </row>
    <row r="30" spans="2:49" ht="10.5" customHeight="1">
      <c r="B30" s="121" t="s">
        <v>146</v>
      </c>
      <c r="C30" s="123" t="s">
        <v>286</v>
      </c>
      <c r="D30" s="105">
        <v>1</v>
      </c>
      <c r="E30" s="105"/>
      <c r="F30" s="105">
        <v>1</v>
      </c>
      <c r="G30" s="105">
        <v>60</v>
      </c>
      <c r="I30" s="106"/>
      <c r="J30" s="107"/>
      <c r="K30" s="107"/>
      <c r="L30" s="107">
        <v>1</v>
      </c>
      <c r="M30" s="108">
        <f t="shared" si="5"/>
        <v>1</v>
      </c>
      <c r="O30" s="107"/>
      <c r="P30" s="107"/>
      <c r="Q30" s="107"/>
      <c r="R30" s="109"/>
      <c r="S30" s="110"/>
      <c r="T30" s="111"/>
      <c r="U30" s="112"/>
      <c r="V30" s="113"/>
      <c r="W30" s="114"/>
      <c r="X30" s="115"/>
      <c r="Y30" s="107"/>
      <c r="Z30" s="107">
        <v>1</v>
      </c>
      <c r="AA30" s="107"/>
      <c r="AB30" s="107"/>
      <c r="AC30" s="107"/>
      <c r="AD30" s="107"/>
      <c r="AE30" s="107"/>
      <c r="AF30" s="107"/>
      <c r="AG30" s="107"/>
      <c r="AH30" s="107"/>
      <c r="AI30" s="116"/>
      <c r="AJ30" s="117"/>
      <c r="AK30" s="118"/>
      <c r="AL30" s="107"/>
      <c r="AM30" s="107"/>
      <c r="AN30" s="107"/>
      <c r="AO30" s="107"/>
      <c r="AP30" s="107"/>
      <c r="AQ30" s="107"/>
      <c r="AR30" s="107"/>
      <c r="AS30" s="108">
        <f t="shared" si="6"/>
        <v>1</v>
      </c>
      <c r="AT30" s="108"/>
    </row>
    <row r="31" spans="2:49" ht="10.5" customHeight="1">
      <c r="B31" s="121" t="s">
        <v>187</v>
      </c>
      <c r="C31" s="123" t="s">
        <v>287</v>
      </c>
      <c r="D31" s="105"/>
      <c r="E31" s="105"/>
      <c r="F31" s="105">
        <v>1</v>
      </c>
      <c r="G31" s="105">
        <v>5</v>
      </c>
      <c r="I31" s="106"/>
      <c r="J31" s="107"/>
      <c r="K31" s="107"/>
      <c r="L31" s="107"/>
      <c r="M31" s="108">
        <f t="shared" si="5"/>
        <v>0</v>
      </c>
      <c r="O31" s="107"/>
      <c r="P31" s="107"/>
      <c r="Q31" s="107"/>
      <c r="R31" s="109"/>
      <c r="S31" s="110"/>
      <c r="T31" s="111"/>
      <c r="U31" s="112"/>
      <c r="V31" s="113"/>
      <c r="W31" s="114"/>
      <c r="X31" s="115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16"/>
      <c r="AJ31" s="117"/>
      <c r="AK31" s="118"/>
      <c r="AL31" s="107"/>
      <c r="AM31" s="107"/>
      <c r="AN31" s="107"/>
      <c r="AO31" s="107"/>
      <c r="AP31" s="107"/>
      <c r="AQ31" s="107"/>
      <c r="AR31" s="107"/>
      <c r="AS31" s="108">
        <f t="shared" si="6"/>
        <v>0</v>
      </c>
      <c r="AT31" s="108"/>
      <c r="AU31" s="99" t="s">
        <v>288</v>
      </c>
      <c r="AV31" s="99" t="s">
        <v>289</v>
      </c>
      <c r="AW31" s="97" t="s">
        <v>290</v>
      </c>
    </row>
    <row r="32" spans="2:49" ht="10.5" customHeight="1">
      <c r="B32" s="121" t="s">
        <v>152</v>
      </c>
      <c r="C32" s="123"/>
      <c r="D32" s="105"/>
      <c r="E32" s="105"/>
      <c r="F32" s="105"/>
      <c r="G32" s="105"/>
      <c r="I32" s="106"/>
      <c r="J32" s="107"/>
      <c r="K32" s="107"/>
      <c r="L32" s="107"/>
      <c r="M32" s="108">
        <f t="shared" si="5"/>
        <v>0</v>
      </c>
      <c r="O32" s="107"/>
      <c r="P32" s="107"/>
      <c r="Q32" s="107"/>
      <c r="R32" s="109">
        <v>1</v>
      </c>
      <c r="S32" s="110"/>
      <c r="T32" s="111"/>
      <c r="U32" s="112">
        <v>1</v>
      </c>
      <c r="V32" s="113"/>
      <c r="W32" s="114"/>
      <c r="X32" s="115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16"/>
      <c r="AJ32" s="117">
        <v>1</v>
      </c>
      <c r="AK32" s="118"/>
      <c r="AL32" s="107"/>
      <c r="AM32" s="107"/>
      <c r="AN32" s="107"/>
      <c r="AO32" s="107"/>
      <c r="AP32" s="107"/>
      <c r="AQ32" s="107"/>
      <c r="AR32" s="107"/>
      <c r="AS32" s="108">
        <f t="shared" si="6"/>
        <v>3</v>
      </c>
      <c r="AT32" s="108"/>
      <c r="AU32" s="99" t="s">
        <v>291</v>
      </c>
      <c r="AV32" s="99" t="s">
        <v>292</v>
      </c>
    </row>
    <row r="33" spans="2:48" ht="10.5" customHeight="1">
      <c r="B33" s="121" t="s">
        <v>140</v>
      </c>
      <c r="C33" s="123"/>
      <c r="D33" s="105"/>
      <c r="E33" s="105"/>
      <c r="F33" s="105"/>
      <c r="G33" s="105"/>
      <c r="I33" s="106"/>
      <c r="J33" s="107"/>
      <c r="K33" s="107"/>
      <c r="L33" s="107"/>
      <c r="M33" s="108">
        <f t="shared" si="5"/>
        <v>0</v>
      </c>
      <c r="O33" s="107"/>
      <c r="P33" s="107"/>
      <c r="Q33" s="107">
        <v>1</v>
      </c>
      <c r="R33" s="109"/>
      <c r="S33" s="110"/>
      <c r="T33" s="111"/>
      <c r="U33" s="112"/>
      <c r="V33" s="113"/>
      <c r="W33" s="114"/>
      <c r="X33" s="115"/>
      <c r="Y33" s="107"/>
      <c r="Z33" s="107"/>
      <c r="AA33" s="107"/>
      <c r="AB33" s="107"/>
      <c r="AC33" s="107"/>
      <c r="AD33" s="107"/>
      <c r="AE33" s="107"/>
      <c r="AF33" s="107">
        <v>1</v>
      </c>
      <c r="AG33" s="107"/>
      <c r="AH33" s="107"/>
      <c r="AI33" s="116"/>
      <c r="AJ33" s="117"/>
      <c r="AK33" s="118"/>
      <c r="AL33" s="107"/>
      <c r="AM33" s="107">
        <v>1</v>
      </c>
      <c r="AN33" s="107"/>
      <c r="AO33" s="107"/>
      <c r="AP33" s="107"/>
      <c r="AQ33" s="107"/>
      <c r="AR33" s="107"/>
      <c r="AS33" s="108">
        <f t="shared" si="6"/>
        <v>3</v>
      </c>
      <c r="AT33" s="108"/>
    </row>
    <row r="34" spans="2:48" ht="10.5" customHeight="1">
      <c r="B34" s="121" t="s">
        <v>145</v>
      </c>
      <c r="C34" s="123"/>
      <c r="D34" s="105"/>
      <c r="E34" s="105"/>
      <c r="F34" s="105"/>
      <c r="G34" s="105"/>
      <c r="I34" s="106"/>
      <c r="J34" s="107"/>
      <c r="K34" s="107"/>
      <c r="L34" s="107"/>
      <c r="M34" s="108">
        <f t="shared" si="5"/>
        <v>0</v>
      </c>
      <c r="O34" s="107"/>
      <c r="P34" s="107"/>
      <c r="Q34" s="107"/>
      <c r="R34" s="109"/>
      <c r="S34" s="110"/>
      <c r="T34" s="111">
        <v>1</v>
      </c>
      <c r="U34" s="112"/>
      <c r="V34" s="113"/>
      <c r="W34" s="114"/>
      <c r="X34" s="115"/>
      <c r="Y34" s="107">
        <v>1</v>
      </c>
      <c r="Z34" s="107"/>
      <c r="AA34" s="107"/>
      <c r="AB34" s="107"/>
      <c r="AC34" s="107"/>
      <c r="AD34" s="107"/>
      <c r="AE34" s="107"/>
      <c r="AF34" s="107"/>
      <c r="AG34" s="107"/>
      <c r="AH34" s="107">
        <v>1</v>
      </c>
      <c r="AI34" s="116"/>
      <c r="AJ34" s="117"/>
      <c r="AK34" s="118"/>
      <c r="AL34" s="107"/>
      <c r="AM34" s="107"/>
      <c r="AN34" s="107"/>
      <c r="AO34" s="107"/>
      <c r="AP34" s="107"/>
      <c r="AQ34" s="107"/>
      <c r="AR34" s="107"/>
      <c r="AS34" s="108">
        <f t="shared" si="6"/>
        <v>3</v>
      </c>
      <c r="AT34" s="108"/>
      <c r="AU34" s="99" t="s">
        <v>293</v>
      </c>
    </row>
    <row r="35" spans="2:48" ht="10.5" customHeight="1">
      <c r="B35" s="104" t="s">
        <v>294</v>
      </c>
      <c r="C35" s="102"/>
      <c r="D35" s="105"/>
      <c r="E35" s="105"/>
      <c r="F35" s="105"/>
      <c r="G35" s="105">
        <v>4</v>
      </c>
      <c r="I35" s="106"/>
      <c r="J35" s="107"/>
      <c r="K35" s="107"/>
      <c r="L35" s="107"/>
      <c r="M35" s="108">
        <f t="shared" si="5"/>
        <v>0</v>
      </c>
      <c r="O35" s="107"/>
      <c r="P35" s="107"/>
      <c r="Q35" s="107"/>
      <c r="R35" s="109"/>
      <c r="S35" s="110">
        <v>1</v>
      </c>
      <c r="T35" s="111"/>
      <c r="U35" s="112"/>
      <c r="V35" s="113"/>
      <c r="W35" s="114"/>
      <c r="X35" s="115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16"/>
      <c r="AJ35" s="117"/>
      <c r="AK35" s="118"/>
      <c r="AL35" s="107"/>
      <c r="AM35" s="107"/>
      <c r="AN35" s="107"/>
      <c r="AO35" s="107"/>
      <c r="AP35" s="107"/>
      <c r="AQ35" s="107"/>
      <c r="AR35" s="107"/>
      <c r="AS35" s="108">
        <f t="shared" si="6"/>
        <v>1</v>
      </c>
      <c r="AT35" s="108"/>
      <c r="AU35" s="99" t="s">
        <v>295</v>
      </c>
    </row>
    <row r="36" spans="2:48" ht="10.5" customHeight="1">
      <c r="B36" s="121" t="s">
        <v>153</v>
      </c>
      <c r="C36" s="122"/>
      <c r="D36" s="105"/>
      <c r="E36" s="105"/>
      <c r="F36" s="105">
        <v>1</v>
      </c>
      <c r="G36" s="105">
        <v>15</v>
      </c>
      <c r="I36" s="106"/>
      <c r="J36" s="107"/>
      <c r="K36" s="107"/>
      <c r="L36" s="107"/>
      <c r="M36" s="108">
        <f t="shared" si="5"/>
        <v>0</v>
      </c>
      <c r="O36" s="107"/>
      <c r="P36" s="107"/>
      <c r="Q36" s="107"/>
      <c r="R36" s="109"/>
      <c r="S36" s="110"/>
      <c r="T36" s="111"/>
      <c r="U36" s="112"/>
      <c r="V36" s="113"/>
      <c r="W36" s="114"/>
      <c r="X36" s="115"/>
      <c r="Y36" s="107"/>
      <c r="Z36" s="107"/>
      <c r="AA36" s="107"/>
      <c r="AB36" s="107"/>
      <c r="AC36" s="107">
        <v>1</v>
      </c>
      <c r="AD36" s="107"/>
      <c r="AE36" s="107"/>
      <c r="AF36" s="107"/>
      <c r="AG36" s="107"/>
      <c r="AH36" s="107"/>
      <c r="AI36" s="116"/>
      <c r="AJ36" s="117"/>
      <c r="AK36" s="118"/>
      <c r="AL36" s="107"/>
      <c r="AM36" s="107">
        <v>1</v>
      </c>
      <c r="AN36" s="107"/>
      <c r="AO36" s="107"/>
      <c r="AP36" s="107"/>
      <c r="AQ36" s="107"/>
      <c r="AR36" s="107"/>
      <c r="AS36" s="108">
        <f t="shared" si="6"/>
        <v>2</v>
      </c>
      <c r="AT36" s="108"/>
    </row>
    <row r="37" spans="2:48" ht="10.5" customHeight="1">
      <c r="B37" s="121" t="s">
        <v>149</v>
      </c>
      <c r="C37" s="123" t="s">
        <v>296</v>
      </c>
      <c r="D37" s="105"/>
      <c r="E37" s="105"/>
      <c r="F37" s="105"/>
      <c r="G37" s="105">
        <v>20</v>
      </c>
      <c r="I37" s="106"/>
      <c r="J37" s="107"/>
      <c r="K37" s="107"/>
      <c r="L37" s="107"/>
      <c r="M37" s="108">
        <f t="shared" si="5"/>
        <v>0</v>
      </c>
      <c r="O37" s="107">
        <v>1</v>
      </c>
      <c r="P37" s="107">
        <v>1</v>
      </c>
      <c r="Q37" s="107"/>
      <c r="R37" s="109"/>
      <c r="S37" s="110"/>
      <c r="T37" s="111"/>
      <c r="U37" s="112"/>
      <c r="V37" s="113"/>
      <c r="W37" s="114"/>
      <c r="X37" s="115"/>
      <c r="Y37" s="107"/>
      <c r="Z37" s="107"/>
      <c r="AA37" s="107"/>
      <c r="AB37" s="107">
        <v>1</v>
      </c>
      <c r="AC37" s="107"/>
      <c r="AD37" s="107"/>
      <c r="AE37" s="107"/>
      <c r="AF37" s="107">
        <v>1</v>
      </c>
      <c r="AG37" s="107"/>
      <c r="AH37" s="107"/>
      <c r="AI37" s="116"/>
      <c r="AJ37" s="117"/>
      <c r="AK37" s="118"/>
      <c r="AL37" s="107"/>
      <c r="AM37" s="107">
        <v>1</v>
      </c>
      <c r="AN37" s="107"/>
      <c r="AO37" s="107"/>
      <c r="AP37" s="107"/>
      <c r="AQ37" s="107"/>
      <c r="AR37" s="107"/>
      <c r="AS37" s="108">
        <f t="shared" si="6"/>
        <v>5</v>
      </c>
      <c r="AT37" s="108"/>
    </row>
    <row r="38" spans="2:48" ht="10.5" customHeight="1">
      <c r="B38" s="104" t="s">
        <v>143</v>
      </c>
      <c r="C38" s="102"/>
      <c r="D38" s="105"/>
      <c r="E38" s="105"/>
      <c r="F38" s="105"/>
      <c r="G38" s="105"/>
      <c r="I38" s="106"/>
      <c r="J38" s="107"/>
      <c r="K38" s="107"/>
      <c r="L38" s="107"/>
      <c r="M38" s="108">
        <f t="shared" si="5"/>
        <v>0</v>
      </c>
      <c r="O38" s="107"/>
      <c r="P38" s="107"/>
      <c r="Q38" s="107"/>
      <c r="R38" s="109"/>
      <c r="S38" s="110"/>
      <c r="T38" s="111"/>
      <c r="U38" s="112"/>
      <c r="V38" s="113"/>
      <c r="W38" s="114"/>
      <c r="X38" s="115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16"/>
      <c r="AJ38" s="117"/>
      <c r="AK38" s="118"/>
      <c r="AL38" s="107"/>
      <c r="AM38" s="107">
        <v>1</v>
      </c>
      <c r="AN38" s="107">
        <v>1</v>
      </c>
      <c r="AO38" s="107"/>
      <c r="AP38" s="107"/>
      <c r="AQ38" s="107"/>
      <c r="AR38" s="107"/>
      <c r="AS38" s="108">
        <f t="shared" si="6"/>
        <v>2</v>
      </c>
      <c r="AT38" s="108"/>
      <c r="AU38" s="99" t="s">
        <v>297</v>
      </c>
    </row>
    <row r="39" spans="2:48" ht="10.5" customHeight="1">
      <c r="B39" s="104" t="s">
        <v>142</v>
      </c>
      <c r="C39" s="102"/>
      <c r="D39" s="105">
        <v>1</v>
      </c>
      <c r="E39" s="105"/>
      <c r="F39" s="105">
        <v>1</v>
      </c>
      <c r="G39" s="105">
        <v>30</v>
      </c>
      <c r="I39" s="106"/>
      <c r="J39" s="107"/>
      <c r="K39" s="107"/>
      <c r="L39" s="107"/>
      <c r="M39" s="108">
        <f t="shared" si="5"/>
        <v>0</v>
      </c>
      <c r="O39" s="107">
        <v>1</v>
      </c>
      <c r="P39" s="107"/>
      <c r="Q39" s="107"/>
      <c r="R39" s="109"/>
      <c r="S39" s="110">
        <v>1</v>
      </c>
      <c r="T39" s="111"/>
      <c r="U39" s="112"/>
      <c r="V39" s="113"/>
      <c r="W39" s="114"/>
      <c r="X39" s="115"/>
      <c r="Y39" s="107"/>
      <c r="Z39" s="107"/>
      <c r="AA39" s="107"/>
      <c r="AB39" s="107"/>
      <c r="AC39" s="107"/>
      <c r="AD39" s="107"/>
      <c r="AE39" s="107"/>
      <c r="AF39" s="107">
        <v>1</v>
      </c>
      <c r="AG39" s="107"/>
      <c r="AH39" s="107">
        <v>1</v>
      </c>
      <c r="AI39" s="116"/>
      <c r="AJ39" s="117"/>
      <c r="AK39" s="118"/>
      <c r="AL39" s="107"/>
      <c r="AM39" s="107"/>
      <c r="AN39" s="107">
        <v>1</v>
      </c>
      <c r="AO39" s="107">
        <v>1</v>
      </c>
      <c r="AP39" s="107"/>
      <c r="AQ39" s="107"/>
      <c r="AR39" s="107"/>
      <c r="AS39" s="108">
        <f t="shared" si="6"/>
        <v>6</v>
      </c>
      <c r="AT39" s="108"/>
    </row>
    <row r="40" spans="2:48" ht="10.5" customHeight="1">
      <c r="B40" s="104" t="s">
        <v>298</v>
      </c>
      <c r="C40" s="102"/>
      <c r="D40" s="105">
        <v>1</v>
      </c>
      <c r="E40" s="105"/>
      <c r="F40" s="105">
        <v>1</v>
      </c>
      <c r="G40" s="105">
        <v>20</v>
      </c>
      <c r="I40" s="106"/>
      <c r="J40" s="107"/>
      <c r="K40" s="107"/>
      <c r="L40" s="107"/>
      <c r="M40" s="108">
        <f t="shared" si="5"/>
        <v>0</v>
      </c>
      <c r="O40" s="107"/>
      <c r="P40" s="107"/>
      <c r="Q40" s="107"/>
      <c r="R40" s="109"/>
      <c r="S40" s="110"/>
      <c r="T40" s="111"/>
      <c r="U40" s="112"/>
      <c r="V40" s="113"/>
      <c r="W40" s="114"/>
      <c r="X40" s="115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16"/>
      <c r="AJ40" s="117"/>
      <c r="AK40" s="118"/>
      <c r="AL40" s="107"/>
      <c r="AM40" s="107"/>
      <c r="AN40" s="107"/>
      <c r="AO40" s="107"/>
      <c r="AP40" s="107"/>
      <c r="AQ40" s="107"/>
      <c r="AR40" s="107"/>
      <c r="AS40" s="108">
        <f t="shared" si="6"/>
        <v>0</v>
      </c>
      <c r="AT40" s="108"/>
    </row>
    <row r="41" spans="2:48" ht="10.5" customHeight="1">
      <c r="B41" s="121" t="s">
        <v>186</v>
      </c>
      <c r="C41" s="123" t="s">
        <v>299</v>
      </c>
      <c r="D41" s="105"/>
      <c r="E41" s="105"/>
      <c r="F41" s="105">
        <v>1</v>
      </c>
      <c r="G41" s="105">
        <v>5</v>
      </c>
      <c r="I41" s="106"/>
      <c r="J41" s="107"/>
      <c r="K41" s="107"/>
      <c r="L41" s="107"/>
      <c r="M41" s="108">
        <f t="shared" si="5"/>
        <v>0</v>
      </c>
      <c r="O41" s="107"/>
      <c r="P41" s="107"/>
      <c r="Q41" s="107"/>
      <c r="R41" s="109"/>
      <c r="S41" s="110"/>
      <c r="T41" s="111"/>
      <c r="U41" s="112"/>
      <c r="V41" s="113"/>
      <c r="W41" s="114"/>
      <c r="X41" s="115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16"/>
      <c r="AJ41" s="117"/>
      <c r="AK41" s="118"/>
      <c r="AL41" s="107"/>
      <c r="AM41" s="107"/>
      <c r="AN41" s="107"/>
      <c r="AO41" s="107"/>
      <c r="AP41" s="107"/>
      <c r="AQ41" s="107"/>
      <c r="AR41" s="107"/>
      <c r="AS41" s="108">
        <f t="shared" si="6"/>
        <v>0</v>
      </c>
      <c r="AT41" s="108"/>
    </row>
    <row r="42" spans="2:48" ht="10.5" customHeight="1">
      <c r="B42" s="121" t="s">
        <v>151</v>
      </c>
      <c r="C42" s="123" t="s">
        <v>300</v>
      </c>
      <c r="D42" s="105"/>
      <c r="E42" s="105"/>
      <c r="F42" s="105"/>
      <c r="G42" s="105"/>
      <c r="I42" s="106"/>
      <c r="J42" s="107"/>
      <c r="K42" s="107"/>
      <c r="L42" s="107"/>
      <c r="M42" s="108">
        <f t="shared" si="5"/>
        <v>0</v>
      </c>
      <c r="O42" s="107"/>
      <c r="P42" s="107"/>
      <c r="Q42" s="107"/>
      <c r="R42" s="109">
        <v>1</v>
      </c>
      <c r="S42" s="110"/>
      <c r="T42" s="111"/>
      <c r="U42" s="112"/>
      <c r="V42" s="113">
        <v>1</v>
      </c>
      <c r="W42" s="114"/>
      <c r="X42" s="115"/>
      <c r="Y42" s="107"/>
      <c r="Z42" s="107"/>
      <c r="AA42" s="107"/>
      <c r="AB42" s="107"/>
      <c r="AC42" s="107"/>
      <c r="AD42" s="107"/>
      <c r="AE42" s="107"/>
      <c r="AF42" s="107"/>
      <c r="AG42" s="107"/>
      <c r="AH42" s="107"/>
      <c r="AI42" s="116"/>
      <c r="AJ42" s="117"/>
      <c r="AK42" s="118"/>
      <c r="AL42" s="107"/>
      <c r="AM42" s="107"/>
      <c r="AN42" s="107"/>
      <c r="AO42" s="107"/>
      <c r="AP42" s="107"/>
      <c r="AQ42" s="107"/>
      <c r="AR42" s="107"/>
      <c r="AS42" s="108">
        <f t="shared" si="6"/>
        <v>2</v>
      </c>
      <c r="AT42" s="108"/>
      <c r="AU42" s="99" t="s">
        <v>301</v>
      </c>
    </row>
    <row r="43" spans="2:48" ht="10.5" customHeight="1">
      <c r="B43" s="121" t="s">
        <v>150</v>
      </c>
      <c r="C43" s="123" t="s">
        <v>302</v>
      </c>
      <c r="D43" s="105"/>
      <c r="E43" s="105"/>
      <c r="F43" s="105"/>
      <c r="G43" s="105"/>
      <c r="I43" s="106"/>
      <c r="J43" s="107"/>
      <c r="K43" s="107"/>
      <c r="L43" s="107"/>
      <c r="M43" s="108">
        <f t="shared" si="5"/>
        <v>0</v>
      </c>
      <c r="O43" s="107"/>
      <c r="P43" s="107"/>
      <c r="Q43" s="107"/>
      <c r="R43" s="109"/>
      <c r="S43" s="110"/>
      <c r="T43" s="111"/>
      <c r="U43" s="112"/>
      <c r="V43" s="113"/>
      <c r="W43" s="114"/>
      <c r="X43" s="115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116"/>
      <c r="AJ43" s="117"/>
      <c r="AK43" s="118"/>
      <c r="AL43" s="107"/>
      <c r="AM43" s="107"/>
      <c r="AN43" s="107">
        <v>1</v>
      </c>
      <c r="AO43" s="107">
        <v>1</v>
      </c>
      <c r="AP43" s="107"/>
      <c r="AQ43" s="107"/>
      <c r="AR43" s="107"/>
      <c r="AS43" s="108">
        <f t="shared" si="6"/>
        <v>2</v>
      </c>
      <c r="AT43" s="108"/>
      <c r="AU43" s="99" t="s">
        <v>303</v>
      </c>
      <c r="AV43" s="99" t="s">
        <v>304</v>
      </c>
    </row>
    <row r="44" spans="2:48" ht="10.5" customHeight="1">
      <c r="B44" s="121" t="s">
        <v>180</v>
      </c>
      <c r="C44" s="123" t="s">
        <v>305</v>
      </c>
      <c r="D44" s="105">
        <v>1</v>
      </c>
      <c r="E44" s="105"/>
      <c r="F44" s="105">
        <v>1</v>
      </c>
      <c r="G44" s="105">
        <v>10</v>
      </c>
      <c r="I44" s="106"/>
      <c r="J44" s="107"/>
      <c r="K44" s="107"/>
      <c r="L44" s="107"/>
      <c r="M44" s="108">
        <f t="shared" si="5"/>
        <v>0</v>
      </c>
      <c r="O44" s="107"/>
      <c r="P44" s="107"/>
      <c r="Q44" s="107"/>
      <c r="R44" s="109"/>
      <c r="S44" s="110"/>
      <c r="T44" s="111"/>
      <c r="U44" s="112"/>
      <c r="V44" s="113"/>
      <c r="W44" s="114"/>
      <c r="X44" s="115"/>
      <c r="Y44" s="107"/>
      <c r="Z44" s="107"/>
      <c r="AA44" s="107"/>
      <c r="AB44" s="107"/>
      <c r="AC44" s="107"/>
      <c r="AD44" s="107"/>
      <c r="AE44" s="107"/>
      <c r="AF44" s="107">
        <v>1</v>
      </c>
      <c r="AG44" s="107"/>
      <c r="AH44" s="107">
        <v>1</v>
      </c>
      <c r="AI44" s="116"/>
      <c r="AJ44" s="117"/>
      <c r="AK44" s="118"/>
      <c r="AL44" s="107"/>
      <c r="AM44" s="107"/>
      <c r="AN44" s="107"/>
      <c r="AO44" s="107"/>
      <c r="AP44" s="107"/>
      <c r="AQ44" s="107"/>
      <c r="AR44" s="107"/>
      <c r="AS44" s="108">
        <f t="shared" si="6"/>
        <v>2</v>
      </c>
      <c r="AT44" s="108"/>
      <c r="AU44" s="99" t="s">
        <v>306</v>
      </c>
      <c r="AV44" s="99" t="s">
        <v>307</v>
      </c>
    </row>
    <row r="45" spans="2:48" ht="10.5" customHeight="1">
      <c r="B45" s="121" t="s">
        <v>157</v>
      </c>
      <c r="C45" s="123" t="s">
        <v>308</v>
      </c>
      <c r="D45" s="105">
        <v>1</v>
      </c>
      <c r="E45" s="105"/>
      <c r="F45" s="105">
        <v>1</v>
      </c>
      <c r="G45" s="105">
        <v>50</v>
      </c>
      <c r="I45" s="106"/>
      <c r="J45" s="107"/>
      <c r="K45" s="107"/>
      <c r="L45" s="107"/>
      <c r="M45" s="108">
        <f t="shared" si="5"/>
        <v>0</v>
      </c>
      <c r="O45" s="107"/>
      <c r="P45" s="107"/>
      <c r="Q45" s="107"/>
      <c r="R45" s="109"/>
      <c r="S45" s="110"/>
      <c r="T45" s="111"/>
      <c r="U45" s="112"/>
      <c r="V45" s="113"/>
      <c r="W45" s="114"/>
      <c r="X45" s="115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16"/>
      <c r="AJ45" s="117"/>
      <c r="AK45" s="118"/>
      <c r="AL45" s="107"/>
      <c r="AM45" s="107"/>
      <c r="AN45" s="107"/>
      <c r="AO45" s="107"/>
      <c r="AP45" s="107"/>
      <c r="AQ45" s="107"/>
      <c r="AR45" s="107"/>
      <c r="AS45" s="108">
        <f t="shared" si="6"/>
        <v>0</v>
      </c>
      <c r="AT45" s="108"/>
    </row>
    <row r="46" spans="2:48" ht="10.5" customHeight="1">
      <c r="B46" s="121" t="s">
        <v>182</v>
      </c>
      <c r="C46" s="123" t="s">
        <v>309</v>
      </c>
      <c r="D46" s="105">
        <v>1</v>
      </c>
      <c r="E46" s="105"/>
      <c r="F46" s="105">
        <v>1</v>
      </c>
      <c r="G46" s="105">
        <v>20</v>
      </c>
      <c r="I46" s="106"/>
      <c r="J46" s="107"/>
      <c r="K46" s="107"/>
      <c r="L46" s="107"/>
      <c r="M46" s="108">
        <f t="shared" si="5"/>
        <v>0</v>
      </c>
      <c r="O46" s="107"/>
      <c r="P46" s="107"/>
      <c r="Q46" s="107"/>
      <c r="R46" s="109"/>
      <c r="S46" s="110"/>
      <c r="T46" s="111"/>
      <c r="U46" s="112"/>
      <c r="V46" s="113"/>
      <c r="W46" s="114"/>
      <c r="X46" s="115"/>
      <c r="Y46" s="107"/>
      <c r="Z46" s="107"/>
      <c r="AA46" s="107"/>
      <c r="AB46" s="107"/>
      <c r="AC46" s="107"/>
      <c r="AD46" s="107"/>
      <c r="AE46" s="107"/>
      <c r="AF46" s="107">
        <v>1</v>
      </c>
      <c r="AG46" s="107"/>
      <c r="AH46" s="107"/>
      <c r="AI46" s="116"/>
      <c r="AJ46" s="117"/>
      <c r="AK46" s="118"/>
      <c r="AL46" s="107"/>
      <c r="AM46" s="107"/>
      <c r="AN46" s="107"/>
      <c r="AO46" s="107"/>
      <c r="AP46" s="107"/>
      <c r="AQ46" s="107"/>
      <c r="AR46" s="107"/>
      <c r="AS46" s="108">
        <f t="shared" si="6"/>
        <v>1</v>
      </c>
      <c r="AT46" s="108"/>
      <c r="AU46" s="99" t="s">
        <v>310</v>
      </c>
      <c r="AV46" s="99" t="s">
        <v>311</v>
      </c>
    </row>
    <row r="47" spans="2:48" ht="10.5" customHeight="1">
      <c r="B47" s="104" t="s">
        <v>181</v>
      </c>
      <c r="C47" s="102"/>
      <c r="D47" s="105"/>
      <c r="E47" s="105">
        <v>1</v>
      </c>
      <c r="F47" s="105"/>
      <c r="G47" s="105">
        <v>20</v>
      </c>
      <c r="I47" s="106"/>
      <c r="J47" s="107"/>
      <c r="K47" s="107"/>
      <c r="L47" s="107"/>
      <c r="M47" s="108"/>
      <c r="O47" s="107"/>
      <c r="P47" s="107"/>
      <c r="Q47" s="107"/>
      <c r="R47" s="109"/>
      <c r="S47" s="110"/>
      <c r="T47" s="111"/>
      <c r="U47" s="112"/>
      <c r="V47" s="113"/>
      <c r="W47" s="114"/>
      <c r="X47" s="115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16"/>
      <c r="AJ47" s="117"/>
      <c r="AK47" s="118"/>
      <c r="AL47" s="107"/>
      <c r="AM47" s="107"/>
      <c r="AN47" s="107"/>
      <c r="AO47" s="107"/>
      <c r="AP47" s="107"/>
      <c r="AQ47" s="107"/>
      <c r="AR47" s="107"/>
      <c r="AS47" s="108"/>
      <c r="AT47" s="108"/>
    </row>
    <row r="48" spans="2:48" ht="10.5" customHeight="1">
      <c r="D48" s="120">
        <f>SUM(D15:D47)</f>
        <v>10</v>
      </c>
      <c r="E48" s="120">
        <f>SUM(E15:E47)</f>
        <v>1</v>
      </c>
      <c r="F48" s="120">
        <f>SUM(F15:F47)</f>
        <v>12</v>
      </c>
      <c r="G48" s="120"/>
      <c r="H48" s="120"/>
      <c r="I48" s="120">
        <f>SUM(I15:I47)</f>
        <v>0</v>
      </c>
      <c r="J48" s="120">
        <f>SUM(J15:J47)</f>
        <v>0</v>
      </c>
      <c r="K48" s="120">
        <f>SUM(K15:K47)</f>
        <v>1</v>
      </c>
      <c r="L48" s="120">
        <f>SUM(L15:L47)</f>
        <v>3</v>
      </c>
      <c r="M48" s="120">
        <f>SUM(M15:M47)</f>
        <v>4</v>
      </c>
      <c r="N48" s="120"/>
      <c r="O48" s="120">
        <f t="shared" ref="O48:AS48" si="7">SUM(O15:O47)</f>
        <v>4</v>
      </c>
      <c r="P48" s="120">
        <f t="shared" si="7"/>
        <v>1</v>
      </c>
      <c r="Q48" s="120">
        <f t="shared" si="7"/>
        <v>2</v>
      </c>
      <c r="R48" s="120">
        <f t="shared" si="7"/>
        <v>3</v>
      </c>
      <c r="S48" s="120">
        <f t="shared" si="7"/>
        <v>2</v>
      </c>
      <c r="T48" s="120">
        <f t="shared" si="7"/>
        <v>3</v>
      </c>
      <c r="U48" s="120">
        <f t="shared" si="7"/>
        <v>2</v>
      </c>
      <c r="V48" s="120">
        <f t="shared" si="7"/>
        <v>3</v>
      </c>
      <c r="W48" s="120">
        <f t="shared" si="7"/>
        <v>1</v>
      </c>
      <c r="X48" s="120">
        <f t="shared" si="7"/>
        <v>0</v>
      </c>
      <c r="Y48" s="120">
        <f t="shared" si="7"/>
        <v>1</v>
      </c>
      <c r="Z48" s="120">
        <f t="shared" si="7"/>
        <v>1</v>
      </c>
      <c r="AA48" s="120">
        <f t="shared" si="7"/>
        <v>0</v>
      </c>
      <c r="AB48" s="120">
        <f t="shared" si="7"/>
        <v>4</v>
      </c>
      <c r="AC48" s="120">
        <f t="shared" si="7"/>
        <v>1</v>
      </c>
      <c r="AD48" s="120">
        <f t="shared" si="7"/>
        <v>0</v>
      </c>
      <c r="AE48" s="120">
        <f t="shared" si="7"/>
        <v>2</v>
      </c>
      <c r="AF48" s="120">
        <f t="shared" si="7"/>
        <v>10</v>
      </c>
      <c r="AG48" s="120">
        <f t="shared" si="7"/>
        <v>0</v>
      </c>
      <c r="AH48" s="120">
        <f t="shared" si="7"/>
        <v>5</v>
      </c>
      <c r="AI48" s="120">
        <f t="shared" si="7"/>
        <v>1</v>
      </c>
      <c r="AJ48" s="120">
        <f t="shared" si="7"/>
        <v>4</v>
      </c>
      <c r="AK48" s="120">
        <f t="shared" si="7"/>
        <v>1</v>
      </c>
      <c r="AL48" s="120">
        <f t="shared" si="7"/>
        <v>0</v>
      </c>
      <c r="AM48" s="120">
        <f t="shared" si="7"/>
        <v>6</v>
      </c>
      <c r="AN48" s="120">
        <f t="shared" si="7"/>
        <v>5</v>
      </c>
      <c r="AO48" s="120">
        <f t="shared" si="7"/>
        <v>2</v>
      </c>
      <c r="AP48" s="120">
        <f t="shared" si="7"/>
        <v>0</v>
      </c>
      <c r="AQ48" s="120">
        <f t="shared" si="7"/>
        <v>2</v>
      </c>
      <c r="AR48" s="120">
        <f t="shared" si="7"/>
        <v>0</v>
      </c>
      <c r="AS48" s="120">
        <f t="shared" si="7"/>
        <v>66</v>
      </c>
      <c r="AT48" s="120"/>
    </row>
  </sheetData>
  <mergeCells count="3">
    <mergeCell ref="D2:G2"/>
    <mergeCell ref="I2:M2"/>
    <mergeCell ref="O2:AS2"/>
  </mergeCells>
  <printOptions horizontalCentered="1" verticalCentered="1"/>
  <pageMargins left="0.21" right="0.57999999999999996" top="0.15" bottom="0.15" header="0.12" footer="0.12"/>
  <pageSetup paperSize="9" scale="52"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  <pageSetUpPr fitToPage="1"/>
  </sheetPr>
  <dimension ref="A1:U91"/>
  <sheetViews>
    <sheetView showGridLines="0" topLeftCell="A73" zoomScaleNormal="100" zoomScaleSheetLayoutView="100" workbookViewId="0">
      <selection activeCell="T18" sqref="T18"/>
    </sheetView>
  </sheetViews>
  <sheetFormatPr defaultColWidth="8.6640625" defaultRowHeight="14.4"/>
  <cols>
    <col min="3" max="3" width="1.44140625" customWidth="1"/>
    <col min="4" max="4" width="17.33203125" customWidth="1"/>
    <col min="5" max="5" width="1.44140625" customWidth="1"/>
    <col min="6" max="6" width="17.33203125" customWidth="1"/>
    <col min="7" max="7" width="1.44140625" customWidth="1"/>
    <col min="8" max="8" width="17.33203125" customWidth="1"/>
    <col min="9" max="9" width="1.44140625" customWidth="1"/>
    <col min="10" max="10" width="17.33203125" customWidth="1"/>
    <col min="11" max="11" width="1.44140625" customWidth="1"/>
    <col min="12" max="12" width="17.33203125" customWidth="1"/>
    <col min="13" max="13" width="1.44140625" customWidth="1"/>
    <col min="14" max="14" width="17.33203125" customWidth="1"/>
    <col min="15" max="15" width="1.44140625" customWidth="1"/>
    <col min="16" max="16" width="17.33203125" customWidth="1"/>
    <col min="21" max="21" width="5.44140625" bestFit="1" customWidth="1"/>
  </cols>
  <sheetData>
    <row r="1" spans="1:16" ht="24.75" customHeight="1">
      <c r="B1" s="2" t="s">
        <v>312</v>
      </c>
      <c r="C1" s="2"/>
      <c r="D1" s="2"/>
    </row>
    <row r="2" spans="1:16" ht="24.75" customHeight="1" thickBot="1">
      <c r="D2" s="1" t="s">
        <v>0</v>
      </c>
      <c r="F2" s="1" t="s">
        <v>1</v>
      </c>
      <c r="H2" s="1" t="s">
        <v>2</v>
      </c>
      <c r="J2" s="1" t="s">
        <v>3</v>
      </c>
      <c r="L2" s="1" t="s">
        <v>4</v>
      </c>
      <c r="N2" s="1" t="s">
        <v>5</v>
      </c>
      <c r="P2" s="1" t="s">
        <v>6</v>
      </c>
    </row>
    <row r="3" spans="1:16" ht="8.25" customHeight="1">
      <c r="A3" s="432" t="s">
        <v>313</v>
      </c>
      <c r="B3" s="125"/>
      <c r="C3" s="126"/>
      <c r="D3" s="127"/>
      <c r="E3" s="126"/>
      <c r="F3" s="128"/>
      <c r="G3" s="126"/>
      <c r="H3" s="129"/>
      <c r="I3" s="126"/>
      <c r="J3" s="128"/>
      <c r="K3" s="130"/>
      <c r="L3" s="128"/>
      <c r="M3" s="130"/>
      <c r="N3" s="128"/>
      <c r="O3" s="130"/>
      <c r="P3" s="131"/>
    </row>
    <row r="4" spans="1:16" ht="24.75" customHeight="1">
      <c r="A4" s="433"/>
      <c r="B4" s="38" t="s">
        <v>113</v>
      </c>
      <c r="C4" s="38"/>
      <c r="D4" s="42" t="s">
        <v>92</v>
      </c>
      <c r="E4" s="43"/>
      <c r="G4" s="43"/>
      <c r="H4" s="42" t="s">
        <v>95</v>
      </c>
      <c r="I4" s="43"/>
      <c r="K4" s="43"/>
      <c r="M4" s="44"/>
      <c r="N4" s="43"/>
      <c r="O4" s="44"/>
      <c r="P4" s="132"/>
    </row>
    <row r="5" spans="1:16" ht="8.25" customHeight="1">
      <c r="A5" s="433"/>
      <c r="B5" s="5"/>
      <c r="D5" s="133"/>
      <c r="F5" s="134"/>
      <c r="H5" s="133"/>
      <c r="J5" s="133"/>
      <c r="L5" s="134"/>
      <c r="N5" s="133"/>
      <c r="P5" s="135"/>
    </row>
    <row r="6" spans="1:16" ht="24.75" customHeight="1">
      <c r="A6" s="433"/>
      <c r="B6" s="38" t="s">
        <v>90</v>
      </c>
      <c r="C6" s="38"/>
      <c r="E6" s="43"/>
      <c r="F6" s="42" t="s">
        <v>20</v>
      </c>
      <c r="G6" s="43"/>
      <c r="I6" s="43"/>
      <c r="K6" s="43"/>
      <c r="L6" s="42" t="s">
        <v>115</v>
      </c>
      <c r="M6" s="44"/>
      <c r="N6" s="133"/>
      <c r="P6" s="135"/>
    </row>
    <row r="7" spans="1:16" ht="8.25" customHeight="1">
      <c r="A7" s="433"/>
      <c r="B7" s="5"/>
      <c r="D7" s="133"/>
      <c r="F7" s="133"/>
      <c r="H7" s="133"/>
      <c r="J7" s="136"/>
      <c r="L7" s="133"/>
      <c r="N7" s="133"/>
      <c r="P7" s="135"/>
    </row>
    <row r="8" spans="1:16" ht="26.25" customHeight="1">
      <c r="A8" s="433"/>
      <c r="B8" s="38" t="s">
        <v>51</v>
      </c>
      <c r="C8" s="38"/>
      <c r="G8" s="43"/>
      <c r="I8" s="43"/>
      <c r="J8" s="42" t="s">
        <v>91</v>
      </c>
      <c r="K8" s="43"/>
      <c r="L8" s="133"/>
      <c r="M8" s="44"/>
      <c r="N8" s="133"/>
      <c r="P8" s="135"/>
    </row>
    <row r="9" spans="1:16" ht="8.25" customHeight="1">
      <c r="A9" s="433"/>
      <c r="B9" s="5"/>
      <c r="D9" s="133"/>
      <c r="F9" s="133"/>
      <c r="H9" s="133"/>
      <c r="J9" s="133"/>
      <c r="L9" s="137"/>
      <c r="N9" s="133"/>
      <c r="P9" s="135"/>
    </row>
    <row r="10" spans="1:16" ht="26.25" customHeight="1" thickBot="1">
      <c r="A10" s="434"/>
      <c r="B10" s="138" t="s">
        <v>52</v>
      </c>
      <c r="C10" s="138"/>
      <c r="D10" s="139"/>
      <c r="E10" s="139"/>
      <c r="F10" s="139"/>
      <c r="G10" s="140"/>
      <c r="H10" s="139"/>
      <c r="I10" s="139"/>
      <c r="J10" s="139"/>
      <c r="K10" s="140"/>
      <c r="L10" s="141" t="s">
        <v>119</v>
      </c>
      <c r="M10" s="142"/>
      <c r="N10" s="140"/>
      <c r="O10" s="142"/>
      <c r="P10" s="143"/>
    </row>
    <row r="11" spans="1:16" ht="8.25" customHeight="1">
      <c r="A11" s="435" t="s">
        <v>314</v>
      </c>
      <c r="B11" s="125"/>
      <c r="C11" s="126"/>
      <c r="D11" s="128"/>
      <c r="E11" s="130"/>
      <c r="F11" s="128"/>
      <c r="G11" s="130"/>
      <c r="H11" s="128"/>
      <c r="I11" s="126"/>
      <c r="J11" s="144"/>
      <c r="K11" s="126"/>
      <c r="L11" s="128"/>
      <c r="M11" s="130"/>
      <c r="N11" s="128"/>
      <c r="O11" s="130"/>
      <c r="P11" s="131"/>
    </row>
    <row r="12" spans="1:16" ht="26.25" customHeight="1">
      <c r="A12" s="436"/>
      <c r="B12" s="38" t="s">
        <v>53</v>
      </c>
      <c r="C12" s="38"/>
      <c r="G12" s="43"/>
      <c r="I12" s="43"/>
      <c r="J12" s="42" t="s">
        <v>99</v>
      </c>
      <c r="K12" s="43"/>
      <c r="L12" s="31"/>
      <c r="M12" s="145"/>
      <c r="N12" s="146"/>
      <c r="O12" s="145"/>
      <c r="P12" s="147"/>
    </row>
    <row r="13" spans="1:16" ht="8.25" customHeight="1">
      <c r="A13" s="436"/>
      <c r="B13" s="5"/>
      <c r="D13" s="148"/>
      <c r="F13" s="148"/>
      <c r="H13" s="148"/>
      <c r="J13" s="148"/>
      <c r="L13" s="148"/>
      <c r="N13" s="133"/>
      <c r="O13" s="31"/>
      <c r="P13" s="135"/>
    </row>
    <row r="14" spans="1:16" ht="26.25" customHeight="1">
      <c r="A14" s="436"/>
      <c r="B14" s="429" t="s">
        <v>69</v>
      </c>
      <c r="C14" s="38"/>
      <c r="D14" s="42" t="s">
        <v>93</v>
      </c>
      <c r="F14" s="42" t="s">
        <v>118</v>
      </c>
      <c r="G14" s="43"/>
      <c r="H14" s="42" t="s">
        <v>93</v>
      </c>
      <c r="I14" s="43"/>
      <c r="J14" s="42" t="s">
        <v>93</v>
      </c>
      <c r="K14" s="43"/>
      <c r="L14" s="42" t="s">
        <v>118</v>
      </c>
      <c r="M14" s="44"/>
      <c r="N14" s="146"/>
      <c r="O14" s="145"/>
      <c r="P14" s="147"/>
    </row>
    <row r="15" spans="1:16" ht="8.25" customHeight="1">
      <c r="A15" s="436"/>
      <c r="B15" s="429"/>
      <c r="D15" s="133"/>
      <c r="F15" s="133"/>
      <c r="H15" s="134"/>
      <c r="J15" s="133"/>
      <c r="L15" s="133"/>
      <c r="N15" s="133"/>
      <c r="O15" s="31"/>
      <c r="P15" s="135"/>
    </row>
    <row r="16" spans="1:16" ht="26.25" customHeight="1">
      <c r="A16" s="436"/>
      <c r="B16" s="429"/>
      <c r="C16" s="38"/>
      <c r="G16" s="43"/>
      <c r="H16" s="42" t="s">
        <v>20</v>
      </c>
      <c r="I16" s="43"/>
      <c r="K16" s="43"/>
      <c r="M16" s="44"/>
      <c r="N16" s="43"/>
      <c r="O16" s="44"/>
      <c r="P16" s="132"/>
    </row>
    <row r="17" spans="1:21" ht="8.25" customHeight="1">
      <c r="A17" s="436"/>
      <c r="B17" s="5"/>
      <c r="D17" s="133"/>
      <c r="F17" s="133"/>
      <c r="H17" s="148"/>
      <c r="J17" s="133"/>
      <c r="L17" s="133"/>
      <c r="N17" s="137"/>
      <c r="P17" s="149"/>
    </row>
    <row r="18" spans="1:21" ht="26.25" customHeight="1">
      <c r="A18" s="436"/>
      <c r="B18" s="38" t="s">
        <v>7</v>
      </c>
      <c r="C18" s="38"/>
      <c r="G18" s="43"/>
      <c r="H18" s="42" t="s">
        <v>98</v>
      </c>
      <c r="I18" s="43"/>
      <c r="K18" s="43"/>
      <c r="M18" s="44"/>
      <c r="N18" s="42" t="s">
        <v>92</v>
      </c>
      <c r="O18" s="44"/>
      <c r="P18" s="150" t="s">
        <v>115</v>
      </c>
    </row>
    <row r="19" spans="1:21" ht="8.25" customHeight="1">
      <c r="A19" s="436"/>
      <c r="B19" s="5"/>
      <c r="D19" s="133"/>
      <c r="H19" s="133"/>
      <c r="J19" s="133"/>
      <c r="L19" s="133"/>
      <c r="N19" s="137"/>
      <c r="P19" s="135"/>
    </row>
    <row r="20" spans="1:21" ht="26.25" customHeight="1">
      <c r="A20" s="436"/>
      <c r="B20" s="38" t="s">
        <v>116</v>
      </c>
      <c r="C20" s="38"/>
      <c r="G20" s="43"/>
      <c r="I20" s="43"/>
      <c r="K20" s="43"/>
      <c r="M20" s="44"/>
      <c r="N20" s="42" t="s">
        <v>114</v>
      </c>
      <c r="O20" s="44"/>
      <c r="P20" s="132"/>
    </row>
    <row r="21" spans="1:21" ht="8.25" customHeight="1">
      <c r="A21" s="436"/>
      <c r="B21" s="5"/>
      <c r="D21" s="137"/>
      <c r="H21" s="137"/>
      <c r="J21" s="137"/>
      <c r="L21" s="137"/>
      <c r="N21" s="133"/>
      <c r="P21" s="135"/>
    </row>
    <row r="22" spans="1:21" ht="26.25" customHeight="1">
      <c r="A22" s="436"/>
      <c r="B22" s="38" t="s">
        <v>70</v>
      </c>
      <c r="C22" s="38"/>
      <c r="D22" s="42" t="s">
        <v>114</v>
      </c>
      <c r="G22" s="43"/>
      <c r="H22" s="42" t="s">
        <v>114</v>
      </c>
      <c r="I22" s="43"/>
      <c r="J22" s="42" t="s">
        <v>114</v>
      </c>
      <c r="K22" s="43"/>
      <c r="L22" s="42" t="s">
        <v>114</v>
      </c>
      <c r="M22" s="44"/>
      <c r="N22" s="43"/>
      <c r="O22" s="44"/>
      <c r="P22" s="132"/>
    </row>
    <row r="23" spans="1:21" ht="8.25" customHeight="1">
      <c r="A23" s="436"/>
      <c r="B23" s="5"/>
      <c r="D23" s="136"/>
      <c r="H23" s="136"/>
      <c r="J23" s="133"/>
      <c r="L23" s="136"/>
      <c r="N23" s="133"/>
      <c r="P23" s="135"/>
    </row>
    <row r="24" spans="1:21" ht="26.25" customHeight="1">
      <c r="A24" s="436"/>
      <c r="B24" s="38" t="s">
        <v>120</v>
      </c>
      <c r="C24" s="38"/>
      <c r="D24" s="42" t="s">
        <v>91</v>
      </c>
      <c r="G24" s="43"/>
      <c r="H24" s="42" t="s">
        <v>91</v>
      </c>
      <c r="I24" s="43"/>
      <c r="K24" s="43"/>
      <c r="L24" s="42" t="s">
        <v>91</v>
      </c>
      <c r="M24" s="44"/>
      <c r="N24" s="43"/>
      <c r="O24" s="44"/>
      <c r="P24" s="132"/>
      <c r="U24" s="7"/>
    </row>
    <row r="25" spans="1:21" ht="8.25" customHeight="1">
      <c r="A25" s="436"/>
      <c r="B25" s="5"/>
      <c r="D25" s="151"/>
      <c r="H25" s="151"/>
      <c r="J25" s="133"/>
      <c r="K25" s="31"/>
      <c r="L25" s="133"/>
      <c r="N25" s="152"/>
      <c r="P25" s="153"/>
    </row>
    <row r="26" spans="1:21" ht="26.25" customHeight="1">
      <c r="A26" s="436"/>
      <c r="B26" s="429" t="s">
        <v>8</v>
      </c>
      <c r="C26" s="38"/>
      <c r="D26" s="154"/>
      <c r="G26" s="43"/>
      <c r="H26" s="154"/>
      <c r="I26" s="43"/>
      <c r="J26" s="31"/>
      <c r="K26" s="146"/>
      <c r="L26" s="31"/>
      <c r="M26" s="44"/>
      <c r="N26" s="42" t="s">
        <v>99</v>
      </c>
      <c r="O26" s="44"/>
      <c r="P26" s="150" t="s">
        <v>114</v>
      </c>
    </row>
    <row r="27" spans="1:21" ht="8.25" customHeight="1">
      <c r="A27" s="436"/>
      <c r="B27" s="429"/>
      <c r="D27" s="151"/>
      <c r="H27" s="151"/>
      <c r="J27" s="133"/>
      <c r="K27" s="31"/>
      <c r="L27" s="133"/>
      <c r="N27" s="137"/>
      <c r="P27" s="135"/>
    </row>
    <row r="28" spans="1:21" ht="26.25" customHeight="1">
      <c r="A28" s="436"/>
      <c r="B28" s="429"/>
      <c r="C28" s="38"/>
      <c r="D28" s="154"/>
      <c r="G28" s="43"/>
      <c r="H28" s="154"/>
      <c r="I28" s="43"/>
      <c r="J28" s="31"/>
      <c r="K28" s="146"/>
      <c r="L28" s="31"/>
      <c r="M28" s="44"/>
      <c r="N28" s="42" t="s">
        <v>117</v>
      </c>
      <c r="O28" s="44"/>
      <c r="P28" s="132"/>
    </row>
    <row r="29" spans="1:21" ht="8.25" customHeight="1">
      <c r="A29" s="436"/>
      <c r="B29" s="429"/>
      <c r="D29" s="151"/>
      <c r="H29" s="151"/>
      <c r="J29" s="133"/>
      <c r="K29" s="31"/>
      <c r="L29" s="133"/>
      <c r="N29" s="148"/>
      <c r="P29" s="135"/>
    </row>
    <row r="30" spans="1:21" ht="26.25" customHeight="1">
      <c r="A30" s="436"/>
      <c r="B30" s="429"/>
      <c r="C30" s="38"/>
      <c r="D30" s="154"/>
      <c r="G30" s="43"/>
      <c r="H30" s="154"/>
      <c r="I30" s="43"/>
      <c r="J30" s="31"/>
      <c r="K30" s="146"/>
      <c r="L30" s="31"/>
      <c r="M30" s="44"/>
      <c r="N30" s="42" t="s">
        <v>98</v>
      </c>
      <c r="O30" s="44"/>
      <c r="P30" s="132"/>
    </row>
    <row r="31" spans="1:21" ht="8.25" customHeight="1">
      <c r="A31" s="436"/>
      <c r="B31" s="5"/>
      <c r="D31" s="151"/>
      <c r="H31" s="151"/>
      <c r="J31" s="133"/>
      <c r="K31" s="31"/>
      <c r="L31" s="133"/>
      <c r="N31" s="134"/>
      <c r="P31" s="135"/>
    </row>
    <row r="32" spans="1:21" ht="26.25" customHeight="1">
      <c r="A32" s="436"/>
      <c r="B32" s="38" t="s">
        <v>54</v>
      </c>
      <c r="C32" s="38"/>
      <c r="D32" s="154"/>
      <c r="G32" s="43"/>
      <c r="H32" s="154"/>
      <c r="I32" s="43"/>
      <c r="K32" s="43"/>
      <c r="M32" s="44"/>
      <c r="N32" s="42" t="s">
        <v>20</v>
      </c>
      <c r="O32" s="44"/>
      <c r="P32" s="135"/>
    </row>
    <row r="33" spans="1:16" ht="8.25" customHeight="1">
      <c r="A33" s="436"/>
      <c r="B33" s="5"/>
      <c r="D33" s="151"/>
      <c r="H33" s="151"/>
      <c r="J33" s="148"/>
      <c r="L33" s="133"/>
      <c r="M33" s="31"/>
      <c r="N33" s="133"/>
      <c r="P33" s="155"/>
    </row>
    <row r="34" spans="1:16" ht="26.25" customHeight="1" thickBot="1">
      <c r="A34" s="437"/>
      <c r="B34" s="138" t="s">
        <v>14</v>
      </c>
      <c r="C34" s="138"/>
      <c r="D34" s="139"/>
      <c r="E34" s="139"/>
      <c r="F34" s="139"/>
      <c r="G34" s="140"/>
      <c r="H34" s="139"/>
      <c r="I34" s="140"/>
      <c r="J34" s="141" t="s">
        <v>98</v>
      </c>
      <c r="K34" s="140"/>
      <c r="L34" s="156"/>
      <c r="M34" s="157"/>
      <c r="N34" s="158"/>
      <c r="O34" s="142"/>
      <c r="P34" s="159" t="s">
        <v>91</v>
      </c>
    </row>
    <row r="35" spans="1:16" ht="8.25" customHeight="1">
      <c r="A35" s="438" t="s">
        <v>315</v>
      </c>
      <c r="B35" s="125"/>
      <c r="C35" s="126"/>
      <c r="D35" s="128"/>
      <c r="E35" s="130"/>
      <c r="F35" s="128"/>
      <c r="G35" s="130"/>
      <c r="H35" s="128"/>
      <c r="I35" s="130"/>
      <c r="J35" s="128"/>
      <c r="K35" s="130"/>
      <c r="L35" s="128"/>
      <c r="M35" s="126"/>
      <c r="N35" s="160"/>
      <c r="O35" s="126"/>
      <c r="P35" s="161"/>
    </row>
    <row r="36" spans="1:16" ht="26.25" customHeight="1">
      <c r="A36" s="439"/>
      <c r="B36" s="38" t="s">
        <v>71</v>
      </c>
      <c r="C36" s="38"/>
      <c r="D36" s="31"/>
      <c r="E36" s="31"/>
      <c r="F36" s="31"/>
      <c r="G36" s="146"/>
      <c r="H36" s="31"/>
      <c r="I36" s="146"/>
      <c r="J36" s="31"/>
      <c r="K36" s="146"/>
      <c r="L36" s="31"/>
      <c r="M36" s="44"/>
      <c r="N36" s="42" t="s">
        <v>96</v>
      </c>
      <c r="O36" s="44"/>
      <c r="P36" s="150" t="s">
        <v>93</v>
      </c>
    </row>
    <row r="37" spans="1:16" ht="8.25" customHeight="1">
      <c r="A37" s="439"/>
      <c r="B37" s="5"/>
      <c r="D37" s="152"/>
      <c r="F37" s="134"/>
      <c r="H37" s="137"/>
      <c r="J37" s="133"/>
      <c r="L37" s="134"/>
      <c r="N37" s="136"/>
      <c r="P37" s="135"/>
    </row>
    <row r="38" spans="1:16" ht="26.25" customHeight="1">
      <c r="A38" s="439"/>
      <c r="B38" s="38" t="s">
        <v>72</v>
      </c>
      <c r="C38" s="38"/>
      <c r="D38" s="42" t="s">
        <v>99</v>
      </c>
      <c r="F38" s="42" t="s">
        <v>128</v>
      </c>
      <c r="G38" s="43"/>
      <c r="H38" s="42" t="s">
        <v>114</v>
      </c>
      <c r="I38" s="43"/>
      <c r="K38" s="43"/>
      <c r="L38" s="42" t="s">
        <v>126</v>
      </c>
      <c r="M38" s="44"/>
      <c r="N38" s="42" t="s">
        <v>91</v>
      </c>
      <c r="O38" s="44"/>
      <c r="P38" s="147"/>
    </row>
    <row r="39" spans="1:16" ht="8.25" customHeight="1">
      <c r="A39" s="439"/>
      <c r="B39" s="5"/>
      <c r="D39" s="137"/>
      <c r="F39" s="133"/>
      <c r="H39" s="137"/>
      <c r="J39" s="152"/>
      <c r="L39" s="137"/>
      <c r="N39" s="133"/>
      <c r="P39" s="135"/>
    </row>
    <row r="40" spans="1:16" ht="26.25" customHeight="1">
      <c r="A40" s="439"/>
      <c r="B40" s="38" t="s">
        <v>13</v>
      </c>
      <c r="C40" s="38"/>
      <c r="D40" s="42" t="s">
        <v>117</v>
      </c>
      <c r="G40" s="43"/>
      <c r="H40" s="42" t="s">
        <v>117</v>
      </c>
      <c r="I40" s="43"/>
      <c r="J40" s="42" t="s">
        <v>24</v>
      </c>
      <c r="K40" s="43"/>
      <c r="L40" s="42" t="s">
        <v>117</v>
      </c>
      <c r="M40" s="44"/>
      <c r="N40" s="146"/>
      <c r="O40" s="44"/>
      <c r="P40" s="147"/>
    </row>
    <row r="41" spans="1:16" ht="8.25" customHeight="1">
      <c r="A41" s="439"/>
      <c r="B41" s="5"/>
      <c r="C41" s="38"/>
      <c r="D41" s="134"/>
      <c r="F41" s="148"/>
      <c r="H41" s="134"/>
      <c r="J41" s="134"/>
      <c r="L41" s="133"/>
      <c r="N41" s="133"/>
      <c r="P41" s="135"/>
    </row>
    <row r="42" spans="1:16" ht="26.25" customHeight="1">
      <c r="A42" s="439"/>
      <c r="B42" s="429" t="s">
        <v>56</v>
      </c>
      <c r="C42" s="38"/>
      <c r="D42" s="42" t="s">
        <v>121</v>
      </c>
      <c r="F42" s="42" t="s">
        <v>95</v>
      </c>
      <c r="G42" s="43"/>
      <c r="H42" s="42" t="s">
        <v>130</v>
      </c>
      <c r="I42" s="43"/>
      <c r="J42" s="42" t="s">
        <v>115</v>
      </c>
      <c r="K42" s="43"/>
      <c r="M42" s="44"/>
      <c r="N42" s="146"/>
      <c r="O42" s="44"/>
      <c r="P42" s="147"/>
    </row>
    <row r="43" spans="1:16" ht="8.25" customHeight="1">
      <c r="A43" s="439"/>
      <c r="B43" s="429"/>
      <c r="D43" s="134"/>
      <c r="F43" s="133"/>
      <c r="H43" s="133"/>
      <c r="J43" s="133"/>
      <c r="L43" s="133"/>
      <c r="N43" s="133"/>
      <c r="P43" s="135"/>
    </row>
    <row r="44" spans="1:16" ht="26.25" customHeight="1">
      <c r="A44" s="439"/>
      <c r="B44" s="429"/>
      <c r="C44" s="38"/>
      <c r="D44" s="42" t="s">
        <v>20</v>
      </c>
      <c r="G44" s="43"/>
      <c r="I44" s="43"/>
      <c r="K44" s="43"/>
      <c r="M44" s="44"/>
      <c r="N44" s="146"/>
      <c r="O44" s="44"/>
      <c r="P44" s="147"/>
    </row>
    <row r="45" spans="1:16" ht="8.25" customHeight="1">
      <c r="A45" s="439"/>
      <c r="B45" s="5"/>
      <c r="D45" s="148"/>
      <c r="F45" s="137"/>
      <c r="H45" s="152"/>
      <c r="J45" s="137"/>
      <c r="L45" s="134"/>
      <c r="N45" s="133"/>
      <c r="P45" s="135"/>
    </row>
    <row r="46" spans="1:16" ht="26.25" customHeight="1">
      <c r="A46" s="439"/>
      <c r="B46" s="429" t="s">
        <v>57</v>
      </c>
      <c r="C46" s="38"/>
      <c r="D46" s="42" t="s">
        <v>93</v>
      </c>
      <c r="F46" s="42" t="s">
        <v>127</v>
      </c>
      <c r="G46" s="43"/>
      <c r="H46" s="42" t="s">
        <v>99</v>
      </c>
      <c r="I46" s="43"/>
      <c r="J46" s="42" t="s">
        <v>127</v>
      </c>
      <c r="K46" s="43"/>
      <c r="L46" s="42" t="s">
        <v>130</v>
      </c>
      <c r="M46" s="44"/>
      <c r="N46" s="146"/>
      <c r="O46" s="44"/>
      <c r="P46" s="147"/>
    </row>
    <row r="47" spans="1:16" ht="8.25" customHeight="1">
      <c r="A47" s="439"/>
      <c r="B47" s="429"/>
      <c r="D47" s="133"/>
      <c r="F47" s="134"/>
      <c r="H47" s="133"/>
      <c r="J47" s="152"/>
      <c r="L47" s="133"/>
      <c r="N47" s="133"/>
      <c r="P47" s="135"/>
    </row>
    <row r="48" spans="1:16" ht="26.25" customHeight="1" thickBot="1">
      <c r="A48" s="440"/>
      <c r="B48" s="441"/>
      <c r="C48" s="138"/>
      <c r="D48" s="139"/>
      <c r="E48" s="139"/>
      <c r="F48" s="141" t="s">
        <v>126</v>
      </c>
      <c r="G48" s="140"/>
      <c r="H48" s="139"/>
      <c r="I48" s="140"/>
      <c r="J48" s="141" t="s">
        <v>132</v>
      </c>
      <c r="K48" s="140"/>
      <c r="L48" s="139"/>
      <c r="M48" s="142"/>
      <c r="N48" s="140"/>
      <c r="O48" s="142"/>
      <c r="P48" s="162"/>
    </row>
    <row r="49" spans="1:16" ht="8.25" customHeight="1">
      <c r="A49" s="442" t="s">
        <v>316</v>
      </c>
      <c r="B49" s="125"/>
      <c r="C49" s="126"/>
      <c r="D49" s="160"/>
      <c r="E49" s="126"/>
      <c r="F49" s="160"/>
      <c r="G49" s="126"/>
      <c r="H49" s="128"/>
      <c r="I49" s="130"/>
      <c r="J49" s="128"/>
      <c r="K49" s="126"/>
      <c r="L49" s="160"/>
      <c r="M49" s="126"/>
      <c r="N49" s="128"/>
      <c r="O49" s="130"/>
      <c r="P49" s="131"/>
    </row>
    <row r="50" spans="1:16" ht="26.25" customHeight="1">
      <c r="A50" s="443"/>
      <c r="B50" s="38" t="s">
        <v>122</v>
      </c>
      <c r="C50" s="38"/>
      <c r="D50" s="42" t="s">
        <v>97</v>
      </c>
      <c r="F50" s="42" t="s">
        <v>121</v>
      </c>
      <c r="G50" s="43"/>
      <c r="I50" s="43"/>
      <c r="K50" s="43"/>
      <c r="L50" s="42" t="s">
        <v>60</v>
      </c>
      <c r="M50" s="44"/>
      <c r="N50" s="146"/>
      <c r="O50" s="145"/>
      <c r="P50" s="147"/>
    </row>
    <row r="51" spans="1:16" ht="8.25" customHeight="1">
      <c r="A51" s="443"/>
      <c r="B51" s="5"/>
      <c r="D51" s="133"/>
      <c r="E51" s="31"/>
      <c r="F51" s="133"/>
      <c r="H51" s="137"/>
      <c r="J51" s="133"/>
      <c r="K51" s="31"/>
      <c r="L51" s="133"/>
      <c r="N51" s="133"/>
      <c r="O51" s="31"/>
      <c r="P51" s="135"/>
    </row>
    <row r="52" spans="1:16" ht="26.25" customHeight="1">
      <c r="A52" s="443"/>
      <c r="B52" s="38" t="s">
        <v>131</v>
      </c>
      <c r="C52" s="38"/>
      <c r="G52" s="43"/>
      <c r="H52" s="42" t="s">
        <v>114</v>
      </c>
      <c r="I52" s="43"/>
      <c r="K52" s="43"/>
      <c r="M52" s="44"/>
      <c r="N52" s="146"/>
      <c r="O52" s="145"/>
      <c r="P52" s="147"/>
    </row>
    <row r="53" spans="1:16" ht="8.25" customHeight="1">
      <c r="A53" s="443"/>
      <c r="B53" s="5"/>
      <c r="D53" s="137"/>
      <c r="F53" s="133"/>
      <c r="G53" s="31"/>
      <c r="H53" s="133"/>
      <c r="J53" s="137"/>
      <c r="L53" s="137"/>
      <c r="N53" s="133"/>
      <c r="O53" s="31"/>
      <c r="P53" s="135"/>
    </row>
    <row r="54" spans="1:16" ht="26.25" customHeight="1">
      <c r="A54" s="443"/>
      <c r="B54" s="429" t="s">
        <v>58</v>
      </c>
      <c r="C54" s="38"/>
      <c r="D54" s="42" t="s">
        <v>123</v>
      </c>
      <c r="F54" s="31"/>
      <c r="G54" s="146"/>
      <c r="H54" s="31"/>
      <c r="I54" s="43"/>
      <c r="J54" s="42" t="s">
        <v>114</v>
      </c>
      <c r="K54" s="43"/>
      <c r="L54" s="42" t="s">
        <v>114</v>
      </c>
      <c r="M54" s="44"/>
      <c r="N54" s="146"/>
      <c r="O54" s="145"/>
      <c r="P54" s="147"/>
    </row>
    <row r="55" spans="1:16" ht="8.25" customHeight="1">
      <c r="A55" s="443"/>
      <c r="B55" s="429"/>
      <c r="D55" s="148"/>
      <c r="F55" s="133"/>
      <c r="G55" s="31"/>
      <c r="H55" s="133"/>
      <c r="J55" s="133"/>
      <c r="K55" s="31"/>
      <c r="L55" s="133"/>
      <c r="N55" s="133"/>
      <c r="O55" s="31"/>
      <c r="P55" s="135"/>
    </row>
    <row r="56" spans="1:16" ht="26.25" customHeight="1">
      <c r="A56" s="443"/>
      <c r="B56" s="429"/>
      <c r="C56" s="38"/>
      <c r="D56" s="42" t="s">
        <v>93</v>
      </c>
      <c r="G56" s="43"/>
      <c r="I56" s="43"/>
      <c r="K56" s="43"/>
      <c r="M56" s="44"/>
      <c r="N56" s="146"/>
      <c r="O56" s="145"/>
      <c r="P56" s="147"/>
    </row>
    <row r="57" spans="1:16" ht="8.25" customHeight="1">
      <c r="A57" s="443"/>
      <c r="B57" s="5"/>
      <c r="D57" s="133"/>
      <c r="F57" s="134"/>
      <c r="H57" s="137"/>
      <c r="J57" s="134"/>
      <c r="L57" s="152"/>
      <c r="N57" s="133"/>
      <c r="O57" s="31"/>
      <c r="P57" s="135"/>
    </row>
    <row r="58" spans="1:16" ht="26.25" customHeight="1">
      <c r="A58" s="443"/>
      <c r="B58" s="429" t="s">
        <v>16</v>
      </c>
      <c r="C58" s="38"/>
      <c r="D58" s="31"/>
      <c r="F58" s="42" t="s">
        <v>115</v>
      </c>
      <c r="G58" s="43"/>
      <c r="H58" s="42" t="s">
        <v>117</v>
      </c>
      <c r="I58" s="43"/>
      <c r="J58" s="42" t="s">
        <v>115</v>
      </c>
      <c r="K58" s="43"/>
      <c r="L58" s="42" t="s">
        <v>132</v>
      </c>
      <c r="M58" s="44"/>
      <c r="N58" s="146"/>
      <c r="O58" s="145"/>
      <c r="P58" s="147"/>
    </row>
    <row r="59" spans="1:16" ht="8.25" customHeight="1">
      <c r="A59" s="443"/>
      <c r="B59" s="429"/>
      <c r="D59" s="133"/>
      <c r="F59" s="148"/>
      <c r="H59" s="133"/>
      <c r="J59" s="137"/>
      <c r="L59" s="137"/>
      <c r="N59" s="133"/>
      <c r="O59" s="31"/>
      <c r="P59" s="135"/>
    </row>
    <row r="60" spans="1:16" ht="26.25" customHeight="1">
      <c r="A60" s="443"/>
      <c r="B60" s="429"/>
      <c r="C60" s="38"/>
      <c r="D60" s="31"/>
      <c r="F60" s="42" t="s">
        <v>94</v>
      </c>
      <c r="G60" s="43"/>
      <c r="H60" s="31"/>
      <c r="I60" s="43"/>
      <c r="J60" s="42" t="s">
        <v>117</v>
      </c>
      <c r="K60" s="43"/>
      <c r="L60" s="42" t="s">
        <v>117</v>
      </c>
      <c r="M60" s="44"/>
      <c r="N60" s="146"/>
      <c r="O60" s="145"/>
      <c r="P60" s="147"/>
    </row>
    <row r="61" spans="1:16" ht="8.25" customHeight="1">
      <c r="A61" s="443"/>
      <c r="B61" s="429"/>
      <c r="D61" s="133"/>
      <c r="F61" s="137"/>
      <c r="H61" s="133"/>
      <c r="J61" s="148"/>
      <c r="L61" s="133"/>
      <c r="N61" s="133"/>
      <c r="O61" s="31"/>
      <c r="P61" s="135"/>
    </row>
    <row r="62" spans="1:16" ht="26.25" customHeight="1">
      <c r="A62" s="443"/>
      <c r="B62" s="429"/>
      <c r="C62" s="38"/>
      <c r="D62" s="31"/>
      <c r="F62" s="42" t="s">
        <v>117</v>
      </c>
      <c r="G62" s="43"/>
      <c r="H62" s="31"/>
      <c r="I62" s="43"/>
      <c r="J62" s="42" t="s">
        <v>94</v>
      </c>
      <c r="K62" s="43"/>
      <c r="M62" s="44"/>
      <c r="N62" s="146"/>
      <c r="O62" s="145"/>
      <c r="P62" s="147"/>
    </row>
    <row r="63" spans="1:16" ht="8.25" customHeight="1">
      <c r="A63" s="443"/>
      <c r="B63" s="429"/>
      <c r="D63" s="133"/>
      <c r="F63" s="134"/>
      <c r="H63" s="133"/>
      <c r="J63" s="133"/>
      <c r="K63" s="31"/>
      <c r="L63" s="133"/>
      <c r="N63" s="133"/>
      <c r="O63" s="31"/>
      <c r="P63" s="135"/>
    </row>
    <row r="64" spans="1:16" ht="26.25" customHeight="1">
      <c r="A64" s="443"/>
      <c r="B64" s="429"/>
      <c r="C64" s="38"/>
      <c r="D64" s="31"/>
      <c r="F64" s="42" t="s">
        <v>60</v>
      </c>
      <c r="G64" s="43"/>
      <c r="I64" s="43"/>
      <c r="K64" s="43"/>
      <c r="M64" s="44"/>
      <c r="N64" s="146"/>
      <c r="O64" s="145"/>
      <c r="P64" s="147"/>
    </row>
    <row r="65" spans="1:16" ht="8.25" customHeight="1">
      <c r="A65" s="443"/>
      <c r="B65" s="5"/>
      <c r="D65" s="134"/>
      <c r="F65" s="137"/>
      <c r="H65" s="152"/>
      <c r="J65" s="137"/>
      <c r="L65" s="152"/>
      <c r="N65" s="133"/>
      <c r="O65" s="31"/>
      <c r="P65" s="135"/>
    </row>
    <row r="66" spans="1:16" ht="26.25" customHeight="1">
      <c r="A66" s="443"/>
      <c r="B66" s="429" t="s">
        <v>124</v>
      </c>
      <c r="C66" s="38"/>
      <c r="D66" s="42" t="s">
        <v>100</v>
      </c>
      <c r="F66" s="42" t="s">
        <v>26</v>
      </c>
      <c r="G66" s="43"/>
      <c r="H66" s="42" t="s">
        <v>99</v>
      </c>
      <c r="I66" s="43"/>
      <c r="J66" s="42" t="s">
        <v>92</v>
      </c>
      <c r="K66" s="43"/>
      <c r="L66" s="42" t="s">
        <v>99</v>
      </c>
      <c r="M66" s="44"/>
      <c r="N66" s="146"/>
      <c r="O66" s="145"/>
      <c r="P66" s="147"/>
    </row>
    <row r="67" spans="1:16" ht="8.25" customHeight="1">
      <c r="A67" s="443"/>
      <c r="B67" s="429"/>
      <c r="D67" s="152"/>
      <c r="F67" s="133"/>
      <c r="H67" s="148"/>
      <c r="J67" s="134"/>
      <c r="L67" s="134"/>
      <c r="N67" s="133"/>
      <c r="O67" s="31"/>
      <c r="P67" s="135"/>
    </row>
    <row r="68" spans="1:16" ht="26.25" customHeight="1">
      <c r="A68" s="443"/>
      <c r="B68" s="429"/>
      <c r="C68" s="38"/>
      <c r="D68" s="42" t="s">
        <v>24</v>
      </c>
      <c r="F68" s="31"/>
      <c r="G68" s="43"/>
      <c r="H68" s="42" t="s">
        <v>93</v>
      </c>
      <c r="I68" s="43"/>
      <c r="J68" s="42" t="s">
        <v>126</v>
      </c>
      <c r="K68" s="43"/>
      <c r="L68" s="42" t="s">
        <v>20</v>
      </c>
      <c r="M68" s="44"/>
      <c r="N68" s="146"/>
      <c r="O68" s="145"/>
      <c r="P68" s="147"/>
    </row>
    <row r="69" spans="1:16" ht="8.25" customHeight="1">
      <c r="A69" s="443"/>
      <c r="B69" s="429"/>
      <c r="D69" s="134"/>
      <c r="F69" s="133"/>
      <c r="H69" s="134"/>
      <c r="J69" s="133"/>
      <c r="K69" s="31"/>
      <c r="L69" s="133"/>
      <c r="N69" s="133"/>
      <c r="O69" s="31"/>
      <c r="P69" s="135"/>
    </row>
    <row r="70" spans="1:16" ht="26.25" customHeight="1">
      <c r="A70" s="443"/>
      <c r="B70" s="429"/>
      <c r="C70" s="38"/>
      <c r="D70" s="42" t="s">
        <v>20</v>
      </c>
      <c r="F70" s="31"/>
      <c r="G70" s="43"/>
      <c r="H70" s="42" t="s">
        <v>115</v>
      </c>
      <c r="I70" s="43"/>
      <c r="J70" s="31"/>
      <c r="K70" s="146"/>
      <c r="L70" s="31"/>
      <c r="M70" s="44"/>
      <c r="N70" s="146"/>
      <c r="O70" s="145"/>
      <c r="P70" s="147"/>
    </row>
    <row r="71" spans="1:16" ht="8.25" customHeight="1">
      <c r="A71" s="443"/>
      <c r="B71" s="429"/>
      <c r="D71" s="137"/>
      <c r="F71" s="133"/>
      <c r="H71" s="134"/>
      <c r="J71" s="133"/>
      <c r="K71" s="31"/>
      <c r="L71" s="133"/>
      <c r="N71" s="133"/>
      <c r="O71" s="31"/>
      <c r="P71" s="135"/>
    </row>
    <row r="72" spans="1:16" ht="26.25" customHeight="1">
      <c r="A72" s="443"/>
      <c r="B72" s="429"/>
      <c r="C72" s="38"/>
      <c r="D72" s="42" t="s">
        <v>117</v>
      </c>
      <c r="F72" s="31"/>
      <c r="G72" s="43"/>
      <c r="H72" s="42" t="s">
        <v>317</v>
      </c>
      <c r="I72" s="43"/>
      <c r="K72" s="43"/>
      <c r="M72" s="44"/>
      <c r="N72" s="146"/>
      <c r="O72" s="145"/>
      <c r="P72" s="147"/>
    </row>
    <row r="73" spans="1:16" ht="8.25" customHeight="1">
      <c r="A73" s="443"/>
      <c r="B73" s="5"/>
      <c r="D73" s="136"/>
      <c r="F73" s="133"/>
      <c r="H73" s="136"/>
      <c r="J73" s="133"/>
      <c r="L73" s="136"/>
      <c r="N73" s="133"/>
      <c r="O73" s="31"/>
      <c r="P73" s="135"/>
    </row>
    <row r="74" spans="1:16" ht="26.25" customHeight="1" thickBot="1">
      <c r="A74" s="444"/>
      <c r="B74" s="138" t="s">
        <v>125</v>
      </c>
      <c r="C74" s="138"/>
      <c r="D74" s="141" t="s">
        <v>91</v>
      </c>
      <c r="E74" s="139"/>
      <c r="F74" s="139"/>
      <c r="G74" s="140"/>
      <c r="H74" s="141" t="s">
        <v>91</v>
      </c>
      <c r="I74" s="140"/>
      <c r="J74" s="139"/>
      <c r="K74" s="140"/>
      <c r="L74" s="141" t="s">
        <v>91</v>
      </c>
      <c r="M74" s="142"/>
      <c r="N74" s="158"/>
      <c r="O74" s="157"/>
      <c r="P74" s="162"/>
    </row>
    <row r="75" spans="1:16" ht="8.25" customHeight="1">
      <c r="A75" s="445" t="s">
        <v>318</v>
      </c>
      <c r="B75" s="125"/>
      <c r="C75" s="126"/>
      <c r="D75" s="129"/>
      <c r="E75" s="126"/>
      <c r="F75" s="127"/>
      <c r="G75" s="126"/>
      <c r="H75" s="144"/>
      <c r="I75" s="126"/>
      <c r="J75" s="129"/>
      <c r="K75" s="126"/>
      <c r="L75" s="144"/>
      <c r="M75" s="126"/>
      <c r="N75" s="128"/>
      <c r="O75" s="130"/>
      <c r="P75" s="131"/>
    </row>
    <row r="76" spans="1:16" ht="26.25" customHeight="1">
      <c r="A76" s="446"/>
      <c r="B76" s="429" t="s">
        <v>12</v>
      </c>
      <c r="C76" s="38"/>
      <c r="D76" s="42" t="s">
        <v>95</v>
      </c>
      <c r="F76" s="42" t="s">
        <v>92</v>
      </c>
      <c r="G76" s="43"/>
      <c r="H76" s="42" t="s">
        <v>132</v>
      </c>
      <c r="I76" s="43"/>
      <c r="J76" s="42" t="s">
        <v>93</v>
      </c>
      <c r="K76" s="43"/>
      <c r="L76" s="42" t="s">
        <v>24</v>
      </c>
      <c r="M76" s="44"/>
      <c r="N76" s="146"/>
      <c r="O76" s="145"/>
      <c r="P76" s="147"/>
    </row>
    <row r="77" spans="1:16" ht="8.25" customHeight="1">
      <c r="A77" s="446"/>
      <c r="B77" s="429"/>
      <c r="D77" s="133"/>
      <c r="F77" s="137"/>
      <c r="H77" s="133"/>
      <c r="J77" s="137"/>
      <c r="L77" s="137"/>
      <c r="N77" s="133"/>
      <c r="O77" s="31"/>
      <c r="P77" s="135"/>
    </row>
    <row r="78" spans="1:16" ht="26.25" customHeight="1">
      <c r="A78" s="446"/>
      <c r="B78" s="429"/>
      <c r="C78" s="38"/>
      <c r="D78" s="31"/>
      <c r="F78" s="42" t="s">
        <v>129</v>
      </c>
      <c r="G78" s="43"/>
      <c r="H78" s="31"/>
      <c r="I78" s="43"/>
      <c r="J78" s="42" t="s">
        <v>117</v>
      </c>
      <c r="K78" s="43"/>
      <c r="L78" s="42" t="s">
        <v>129</v>
      </c>
      <c r="M78" s="44"/>
      <c r="N78" s="146"/>
      <c r="O78" s="145"/>
      <c r="P78" s="147"/>
    </row>
    <row r="79" spans="1:16" ht="8.25" customHeight="1">
      <c r="A79" s="446"/>
      <c r="B79" s="429"/>
      <c r="D79" s="133"/>
      <c r="F79" s="137"/>
      <c r="H79" s="133"/>
      <c r="J79" s="133"/>
      <c r="K79" s="31"/>
      <c r="L79" s="133"/>
      <c r="N79" s="133"/>
      <c r="O79" s="31"/>
      <c r="P79" s="135"/>
    </row>
    <row r="80" spans="1:16" ht="26.25" customHeight="1">
      <c r="A80" s="446"/>
      <c r="B80" s="429"/>
      <c r="C80" s="38"/>
      <c r="F80" s="42" t="s">
        <v>117</v>
      </c>
      <c r="G80" s="43"/>
      <c r="I80" s="43"/>
      <c r="J80" s="31"/>
      <c r="K80" s="146"/>
      <c r="L80" s="31"/>
      <c r="M80" s="44"/>
      <c r="N80" s="146"/>
      <c r="O80" s="145"/>
      <c r="P80" s="147"/>
    </row>
    <row r="81" spans="1:16" ht="8.25" customHeight="1">
      <c r="A81" s="446"/>
      <c r="B81" s="5"/>
      <c r="D81" s="134"/>
      <c r="F81" s="133"/>
      <c r="H81" s="152"/>
      <c r="J81" s="133"/>
      <c r="K81" s="31"/>
      <c r="L81" s="133"/>
      <c r="N81" s="133"/>
      <c r="O81" s="31"/>
      <c r="P81" s="135"/>
    </row>
    <row r="82" spans="1:16" ht="26.25" customHeight="1">
      <c r="A82" s="446"/>
      <c r="B82" s="38" t="s">
        <v>17</v>
      </c>
      <c r="C82" s="38"/>
      <c r="D82" s="42" t="s">
        <v>96</v>
      </c>
      <c r="G82" s="43"/>
      <c r="H82" s="42" t="s">
        <v>133</v>
      </c>
      <c r="I82" s="43"/>
      <c r="J82" s="31"/>
      <c r="K82" s="146"/>
      <c r="L82" s="31"/>
      <c r="M82" s="44"/>
      <c r="N82" s="146"/>
      <c r="O82" s="145"/>
      <c r="P82" s="147"/>
    </row>
    <row r="83" spans="1:16" ht="8.25" customHeight="1">
      <c r="A83" s="446"/>
      <c r="B83" s="5"/>
      <c r="D83" s="133"/>
      <c r="E83" s="31"/>
      <c r="F83" s="133"/>
      <c r="H83" s="137"/>
      <c r="J83" s="133"/>
      <c r="K83" s="31"/>
      <c r="L83" s="133"/>
      <c r="N83" s="133"/>
      <c r="O83" s="31"/>
      <c r="P83" s="135"/>
    </row>
    <row r="84" spans="1:16" ht="26.25" customHeight="1">
      <c r="A84" s="446"/>
      <c r="B84" s="38" t="s">
        <v>80</v>
      </c>
      <c r="C84" s="38"/>
      <c r="D84" s="31"/>
      <c r="E84" s="31"/>
      <c r="F84" s="31"/>
      <c r="G84" s="43"/>
      <c r="H84" s="42" t="s">
        <v>134</v>
      </c>
      <c r="I84" s="43"/>
      <c r="J84" s="31"/>
      <c r="K84" s="146"/>
      <c r="L84" s="31"/>
      <c r="M84" s="44"/>
      <c r="N84" s="146"/>
      <c r="O84" s="145"/>
      <c r="P84" s="147"/>
    </row>
    <row r="85" spans="1:16" ht="8.25" customHeight="1" thickBot="1">
      <c r="A85" s="447"/>
      <c r="B85" s="163"/>
      <c r="C85" s="139"/>
      <c r="D85" s="164"/>
      <c r="E85" s="156"/>
      <c r="F85" s="164"/>
      <c r="G85" s="139"/>
      <c r="H85" s="164"/>
      <c r="I85" s="139"/>
      <c r="J85" s="164"/>
      <c r="K85" s="156"/>
      <c r="L85" s="164"/>
      <c r="M85" s="139"/>
      <c r="N85" s="164"/>
      <c r="O85" s="156"/>
      <c r="P85" s="165"/>
    </row>
    <row r="86" spans="1:16">
      <c r="B86" s="38"/>
      <c r="C86" s="38"/>
      <c r="E86" s="38"/>
      <c r="G86" s="38"/>
      <c r="I86" s="38"/>
      <c r="K86" s="38"/>
      <c r="L86" s="4"/>
      <c r="M86" s="3"/>
      <c r="N86" s="4"/>
      <c r="O86" s="3"/>
      <c r="P86" s="4"/>
    </row>
    <row r="87" spans="1:16">
      <c r="B87" s="38"/>
      <c r="C87" s="38"/>
      <c r="D87" s="166" t="s">
        <v>319</v>
      </c>
      <c r="F87" s="167"/>
      <c r="G87" s="38"/>
      <c r="I87" s="38"/>
      <c r="K87" s="38"/>
      <c r="M87" s="38"/>
      <c r="O87" s="38"/>
    </row>
    <row r="88" spans="1:16">
      <c r="B88" s="38"/>
      <c r="D88" s="166" t="s">
        <v>320</v>
      </c>
      <c r="E88" s="38"/>
      <c r="F88" s="168"/>
    </row>
    <row r="89" spans="1:16">
      <c r="B89" s="38"/>
      <c r="D89" s="166" t="s">
        <v>321</v>
      </c>
      <c r="E89" s="38"/>
      <c r="F89" s="169"/>
    </row>
    <row r="90" spans="1:16">
      <c r="D90" s="166" t="s">
        <v>322</v>
      </c>
      <c r="E90" s="38"/>
      <c r="F90" s="170"/>
    </row>
    <row r="91" spans="1:16">
      <c r="D91" s="166" t="s">
        <v>323</v>
      </c>
      <c r="F91" s="171"/>
    </row>
  </sheetData>
  <dataConsolidate link="1"/>
  <mergeCells count="13">
    <mergeCell ref="A49:A74"/>
    <mergeCell ref="B54:B56"/>
    <mergeCell ref="B58:B64"/>
    <mergeCell ref="B66:B72"/>
    <mergeCell ref="A75:A85"/>
    <mergeCell ref="B76:B80"/>
    <mergeCell ref="A3:A10"/>
    <mergeCell ref="A11:A34"/>
    <mergeCell ref="B14:B16"/>
    <mergeCell ref="B26:B30"/>
    <mergeCell ref="A35:A48"/>
    <mergeCell ref="B42:B44"/>
    <mergeCell ref="B46:B48"/>
  </mergeCells>
  <pageMargins left="0.7" right="0.7" top="0.75" bottom="0.75" header="0.3" footer="0.3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pageSetUpPr fitToPage="1"/>
  </sheetPr>
  <dimension ref="A1:Z98"/>
  <sheetViews>
    <sheetView showGridLines="0" topLeftCell="A73" zoomScaleNormal="100" zoomScaleSheetLayoutView="100" workbookViewId="0">
      <selection activeCell="L10" sqref="L10"/>
    </sheetView>
  </sheetViews>
  <sheetFormatPr defaultColWidth="8.6640625" defaultRowHeight="14.4"/>
  <cols>
    <col min="1" max="3" width="5.6640625" style="8" customWidth="1"/>
    <col min="5" max="5" width="1.44140625" customWidth="1"/>
    <col min="6" max="6" width="17.33203125" customWidth="1"/>
    <col min="7" max="7" width="1.44140625" customWidth="1"/>
    <col min="8" max="8" width="17.33203125" customWidth="1"/>
    <col min="9" max="9" width="1.44140625" customWidth="1"/>
    <col min="10" max="10" width="17.33203125" customWidth="1"/>
    <col min="11" max="11" width="1.44140625" customWidth="1"/>
    <col min="12" max="12" width="17.33203125" customWidth="1"/>
    <col min="13" max="13" width="1.44140625" customWidth="1"/>
    <col min="14" max="14" width="17.33203125" customWidth="1"/>
    <col min="15" max="15" width="1.44140625" customWidth="1"/>
    <col min="16" max="18" width="5.6640625" style="8" customWidth="1"/>
    <col min="19" max="19" width="17.33203125" customWidth="1"/>
    <col min="20" max="20" width="1.44140625" customWidth="1"/>
    <col min="21" max="21" width="17.33203125" customWidth="1"/>
    <col min="26" max="26" width="5.44140625" bestFit="1" customWidth="1"/>
  </cols>
  <sheetData>
    <row r="1" spans="1:21" ht="24.75" customHeight="1">
      <c r="A1" s="47" t="s">
        <v>110</v>
      </c>
      <c r="B1" s="48" t="s">
        <v>109</v>
      </c>
      <c r="C1" s="48" t="s">
        <v>111</v>
      </c>
      <c r="D1" s="2" t="s">
        <v>112</v>
      </c>
      <c r="E1" s="2"/>
      <c r="F1" s="2"/>
      <c r="P1" s="47" t="s">
        <v>110</v>
      </c>
      <c r="Q1" s="48" t="s">
        <v>109</v>
      </c>
      <c r="R1" s="48" t="s">
        <v>111</v>
      </c>
    </row>
    <row r="2" spans="1:21" ht="24.75" customHeight="1">
      <c r="A2" s="45">
        <v>11.59</v>
      </c>
      <c r="B2" s="46">
        <v>9.49</v>
      </c>
      <c r="C2" s="46">
        <v>4.99</v>
      </c>
      <c r="F2" s="1" t="s">
        <v>0</v>
      </c>
      <c r="H2" s="1" t="s">
        <v>1</v>
      </c>
      <c r="J2" s="1" t="s">
        <v>2</v>
      </c>
      <c r="L2" s="1" t="s">
        <v>3</v>
      </c>
      <c r="N2" s="1" t="s">
        <v>4</v>
      </c>
      <c r="P2" s="45">
        <v>11.59</v>
      </c>
      <c r="Q2" s="46">
        <v>9.49</v>
      </c>
      <c r="R2" s="46">
        <v>4.99</v>
      </c>
      <c r="S2" s="1" t="s">
        <v>5</v>
      </c>
      <c r="U2" s="1" t="s">
        <v>6</v>
      </c>
    </row>
    <row r="3" spans="1:21" ht="8.25" customHeight="1">
      <c r="A3" s="454"/>
      <c r="B3" s="451"/>
      <c r="C3" s="188"/>
      <c r="D3" s="5"/>
      <c r="F3" s="6" t="s">
        <v>105</v>
      </c>
      <c r="H3" s="6"/>
      <c r="J3" s="6" t="s">
        <v>105</v>
      </c>
      <c r="L3" s="6" t="s">
        <v>105</v>
      </c>
      <c r="N3" s="6"/>
      <c r="P3" s="456"/>
      <c r="Q3" s="451"/>
      <c r="R3" s="448"/>
      <c r="S3" s="6"/>
      <c r="U3" s="6"/>
    </row>
    <row r="4" spans="1:21" ht="24.75" customHeight="1">
      <c r="A4" s="455"/>
      <c r="B4" s="452"/>
      <c r="C4" s="189"/>
      <c r="D4" s="38" t="s">
        <v>113</v>
      </c>
      <c r="E4" s="38"/>
      <c r="F4" s="42" t="s">
        <v>92</v>
      </c>
      <c r="G4" s="43"/>
      <c r="I4" s="43"/>
      <c r="J4" s="42" t="s">
        <v>60</v>
      </c>
      <c r="K4" s="43"/>
      <c r="L4" s="42" t="s">
        <v>95</v>
      </c>
      <c r="M4" s="43"/>
      <c r="O4" s="44"/>
      <c r="P4" s="457"/>
      <c r="Q4" s="452"/>
      <c r="R4" s="449"/>
      <c r="S4" s="43"/>
      <c r="T4" s="44"/>
      <c r="U4" s="43"/>
    </row>
    <row r="5" spans="1:21" ht="8.25" customHeight="1">
      <c r="A5" s="455"/>
      <c r="B5" s="452"/>
      <c r="C5" s="189"/>
      <c r="D5" s="5"/>
      <c r="F5" s="6"/>
      <c r="H5" s="6" t="s">
        <v>329</v>
      </c>
      <c r="J5" s="6"/>
      <c r="L5" s="6"/>
      <c r="N5" s="6" t="s">
        <v>234</v>
      </c>
      <c r="P5" s="457"/>
      <c r="Q5" s="452"/>
      <c r="R5" s="449"/>
      <c r="S5" s="6"/>
      <c r="U5" s="6"/>
    </row>
    <row r="6" spans="1:21" ht="24.75" customHeight="1">
      <c r="A6" s="455"/>
      <c r="B6" s="452"/>
      <c r="C6" s="189"/>
      <c r="D6" s="38" t="s">
        <v>90</v>
      </c>
      <c r="E6" s="38"/>
      <c r="G6" s="43"/>
      <c r="H6" s="42" t="s">
        <v>20</v>
      </c>
      <c r="I6" s="43"/>
      <c r="K6" s="43"/>
      <c r="M6" s="43"/>
      <c r="N6" s="42" t="s">
        <v>20</v>
      </c>
      <c r="O6" s="44"/>
      <c r="P6" s="457"/>
      <c r="Q6" s="452"/>
      <c r="R6" s="449"/>
      <c r="S6" s="43"/>
      <c r="T6" s="44"/>
      <c r="U6" s="43"/>
    </row>
    <row r="7" spans="1:21" ht="8.25" customHeight="1">
      <c r="A7" s="455"/>
      <c r="B7" s="452"/>
      <c r="C7" s="189"/>
      <c r="D7" s="5"/>
      <c r="F7" s="6"/>
      <c r="H7" s="6"/>
      <c r="J7" s="6"/>
      <c r="L7" s="6"/>
      <c r="N7" s="6" t="s">
        <v>107</v>
      </c>
      <c r="P7" s="457"/>
      <c r="Q7" s="452"/>
      <c r="R7" s="449"/>
      <c r="S7" s="6"/>
      <c r="U7" s="6"/>
    </row>
    <row r="8" spans="1:21" ht="26.25" customHeight="1">
      <c r="A8" s="455"/>
      <c r="B8" s="452"/>
      <c r="C8" s="189"/>
      <c r="D8" s="38" t="s">
        <v>52</v>
      </c>
      <c r="E8" s="38"/>
      <c r="I8" s="43"/>
      <c r="M8" s="43"/>
      <c r="N8" s="42" t="s">
        <v>119</v>
      </c>
      <c r="O8" s="44"/>
      <c r="P8" s="457"/>
      <c r="Q8" s="452"/>
      <c r="R8" s="449"/>
      <c r="S8" s="43"/>
      <c r="T8" s="44"/>
      <c r="U8" s="43"/>
    </row>
    <row r="9" spans="1:21" ht="8.25" customHeight="1">
      <c r="A9" s="455"/>
      <c r="B9" s="452"/>
      <c r="C9" s="189"/>
      <c r="D9" s="5"/>
      <c r="F9" s="6" t="s">
        <v>105</v>
      </c>
      <c r="H9" s="6" t="s">
        <v>105</v>
      </c>
      <c r="J9" s="6" t="s">
        <v>108</v>
      </c>
      <c r="L9" s="6" t="s">
        <v>105</v>
      </c>
      <c r="N9" s="6" t="s">
        <v>105</v>
      </c>
      <c r="P9" s="457"/>
      <c r="Q9" s="452"/>
      <c r="R9" s="449"/>
      <c r="S9" s="6"/>
      <c r="U9" s="6"/>
    </row>
    <row r="10" spans="1:21" ht="26.25" customHeight="1">
      <c r="A10" s="455"/>
      <c r="B10" s="452"/>
      <c r="C10" s="189"/>
      <c r="D10" s="429" t="s">
        <v>69</v>
      </c>
      <c r="E10" s="38"/>
      <c r="F10" s="42" t="s">
        <v>93</v>
      </c>
      <c r="H10" s="42" t="s">
        <v>118</v>
      </c>
      <c r="I10" s="43"/>
      <c r="J10" s="42" t="s">
        <v>93</v>
      </c>
      <c r="K10" s="43"/>
      <c r="L10" s="42" t="s">
        <v>93</v>
      </c>
      <c r="M10" s="43"/>
      <c r="N10" s="42" t="s">
        <v>118</v>
      </c>
      <c r="O10" s="44"/>
      <c r="P10" s="457"/>
      <c r="Q10" s="452"/>
      <c r="R10" s="449"/>
      <c r="S10" s="43"/>
      <c r="T10" s="44"/>
      <c r="U10" s="43"/>
    </row>
    <row r="11" spans="1:21" ht="8.25" customHeight="1">
      <c r="A11" s="455"/>
      <c r="B11" s="452"/>
      <c r="C11" s="189"/>
      <c r="D11" s="429"/>
      <c r="F11" s="6"/>
      <c r="H11" s="6"/>
      <c r="J11" s="6" t="s">
        <v>234</v>
      </c>
      <c r="L11" s="6"/>
      <c r="N11" s="6"/>
      <c r="P11" s="457"/>
      <c r="Q11" s="452"/>
      <c r="R11" s="449"/>
      <c r="S11" s="6"/>
      <c r="U11" s="6"/>
    </row>
    <row r="12" spans="1:21" ht="26.25" customHeight="1">
      <c r="A12" s="455"/>
      <c r="B12" s="452"/>
      <c r="C12" s="189"/>
      <c r="D12" s="429"/>
      <c r="E12" s="38"/>
      <c r="I12" s="43"/>
      <c r="J12" s="42" t="s">
        <v>20</v>
      </c>
      <c r="K12" s="43"/>
      <c r="M12" s="43"/>
      <c r="O12" s="44"/>
      <c r="P12" s="457"/>
      <c r="Q12" s="452"/>
      <c r="R12" s="449"/>
      <c r="S12" s="43"/>
      <c r="T12" s="44"/>
      <c r="U12" s="43"/>
    </row>
    <row r="13" spans="1:21" ht="8.25" customHeight="1">
      <c r="A13" s="455"/>
      <c r="B13" s="452"/>
      <c r="C13" s="189"/>
      <c r="D13" s="5"/>
      <c r="F13" s="6"/>
      <c r="H13" s="6"/>
      <c r="J13" s="6" t="s">
        <v>108</v>
      </c>
      <c r="L13" s="6"/>
      <c r="N13" s="6"/>
      <c r="P13" s="457"/>
      <c r="Q13" s="452"/>
      <c r="R13" s="449"/>
      <c r="S13" s="6" t="s">
        <v>105</v>
      </c>
      <c r="U13" s="6" t="s">
        <v>234</v>
      </c>
    </row>
    <row r="14" spans="1:21" ht="26.25" customHeight="1">
      <c r="A14" s="455"/>
      <c r="B14" s="452"/>
      <c r="C14" s="189"/>
      <c r="D14" s="38" t="s">
        <v>7</v>
      </c>
      <c r="E14" s="38"/>
      <c r="I14" s="43"/>
      <c r="J14" s="42" t="s">
        <v>98</v>
      </c>
      <c r="K14" s="43"/>
      <c r="M14" s="43"/>
      <c r="O14" s="44"/>
      <c r="P14" s="457"/>
      <c r="Q14" s="452"/>
      <c r="R14" s="449"/>
      <c r="S14" s="42" t="s">
        <v>92</v>
      </c>
      <c r="T14" s="44"/>
      <c r="U14" s="42" t="s">
        <v>115</v>
      </c>
    </row>
    <row r="15" spans="1:21" ht="8.25" customHeight="1">
      <c r="A15" s="455"/>
      <c r="B15" s="452"/>
      <c r="C15" s="189"/>
      <c r="D15" s="5"/>
      <c r="F15" s="6"/>
      <c r="H15" s="6"/>
      <c r="J15" s="6"/>
      <c r="L15" s="6"/>
      <c r="N15" s="6"/>
      <c r="P15" s="457"/>
      <c r="Q15" s="452"/>
      <c r="R15" s="449"/>
      <c r="S15" s="6" t="s">
        <v>106</v>
      </c>
      <c r="U15" s="6"/>
    </row>
    <row r="16" spans="1:21" ht="26.25" customHeight="1">
      <c r="A16" s="455"/>
      <c r="B16" s="452"/>
      <c r="C16" s="189"/>
      <c r="D16" s="38" t="s">
        <v>116</v>
      </c>
      <c r="E16" s="38"/>
      <c r="I16" s="43"/>
      <c r="K16" s="43"/>
      <c r="M16" s="43"/>
      <c r="O16" s="44"/>
      <c r="P16" s="457"/>
      <c r="Q16" s="452"/>
      <c r="R16" s="449"/>
      <c r="S16" s="42" t="s">
        <v>114</v>
      </c>
      <c r="T16" s="44"/>
      <c r="U16" s="43"/>
    </row>
    <row r="17" spans="1:26" ht="8.25" customHeight="1">
      <c r="A17" s="455"/>
      <c r="B17" s="452"/>
      <c r="C17" s="189"/>
      <c r="D17" s="5"/>
      <c r="F17" s="6" t="s">
        <v>330</v>
      </c>
      <c r="H17" s="6" t="s">
        <v>107</v>
      </c>
      <c r="J17" s="6" t="s">
        <v>330</v>
      </c>
      <c r="L17" s="6" t="s">
        <v>332</v>
      </c>
      <c r="N17" s="6" t="s">
        <v>331</v>
      </c>
      <c r="P17" s="457"/>
      <c r="Q17" s="452"/>
      <c r="R17" s="449"/>
      <c r="S17" s="6"/>
      <c r="U17" s="6"/>
    </row>
    <row r="18" spans="1:26" ht="26.25" customHeight="1">
      <c r="A18" s="455"/>
      <c r="B18" s="452"/>
      <c r="C18" s="189"/>
      <c r="D18" s="38" t="s">
        <v>70</v>
      </c>
      <c r="E18" s="38"/>
      <c r="F18" s="42" t="s">
        <v>114</v>
      </c>
      <c r="H18" s="42" t="s">
        <v>114</v>
      </c>
      <c r="I18" s="43"/>
      <c r="J18" s="42" t="s">
        <v>114</v>
      </c>
      <c r="K18" s="43"/>
      <c r="L18" s="42" t="s">
        <v>114</v>
      </c>
      <c r="M18" s="43"/>
      <c r="N18" s="42" t="s">
        <v>114</v>
      </c>
      <c r="O18" s="44"/>
      <c r="P18" s="457"/>
      <c r="Q18" s="452"/>
      <c r="R18" s="449"/>
      <c r="S18" s="43"/>
      <c r="T18" s="44"/>
      <c r="U18" s="43"/>
    </row>
    <row r="19" spans="1:26" ht="8.25" customHeight="1">
      <c r="A19" s="455"/>
      <c r="B19" s="452"/>
      <c r="C19" s="189"/>
      <c r="D19" s="5"/>
      <c r="F19" s="6" t="s">
        <v>101</v>
      </c>
      <c r="H19" s="6"/>
      <c r="J19" s="6" t="s">
        <v>101</v>
      </c>
      <c r="L19" s="6"/>
      <c r="N19" s="6" t="s">
        <v>101</v>
      </c>
      <c r="P19" s="457"/>
      <c r="Q19" s="452"/>
      <c r="R19" s="449"/>
      <c r="S19" s="6"/>
      <c r="U19" s="6"/>
    </row>
    <row r="20" spans="1:26" ht="26.25" customHeight="1">
      <c r="A20" s="455"/>
      <c r="B20" s="452"/>
      <c r="C20" s="189"/>
      <c r="D20" s="38" t="s">
        <v>120</v>
      </c>
      <c r="E20" s="38"/>
      <c r="F20" s="42" t="s">
        <v>91</v>
      </c>
      <c r="I20" s="43"/>
      <c r="J20" s="42" t="s">
        <v>91</v>
      </c>
      <c r="K20" s="43"/>
      <c r="M20" s="43"/>
      <c r="N20" s="42" t="s">
        <v>91</v>
      </c>
      <c r="O20" s="44"/>
      <c r="P20" s="457"/>
      <c r="Q20" s="452"/>
      <c r="R20" s="449"/>
      <c r="S20" s="43"/>
      <c r="T20" s="44"/>
      <c r="U20" s="43"/>
      <c r="Z20" s="7"/>
    </row>
    <row r="21" spans="1:26" ht="8.25" customHeight="1">
      <c r="A21" s="455"/>
      <c r="B21" s="452"/>
      <c r="C21" s="189"/>
      <c r="D21" s="5"/>
      <c r="F21" s="6"/>
      <c r="H21" s="6"/>
      <c r="J21" s="6"/>
      <c r="L21" s="6"/>
      <c r="N21" s="6"/>
      <c r="P21" s="457"/>
      <c r="Q21" s="452"/>
      <c r="R21" s="449"/>
      <c r="S21" s="6" t="s">
        <v>235</v>
      </c>
      <c r="U21" s="6" t="s">
        <v>105</v>
      </c>
    </row>
    <row r="22" spans="1:26" ht="26.25" customHeight="1">
      <c r="A22" s="455"/>
      <c r="B22" s="452"/>
      <c r="C22" s="189"/>
      <c r="D22" s="429" t="s">
        <v>8</v>
      </c>
      <c r="E22" s="38"/>
      <c r="I22" s="43"/>
      <c r="K22" s="43"/>
      <c r="M22" s="43"/>
      <c r="O22" s="44"/>
      <c r="P22" s="457"/>
      <c r="Q22" s="452"/>
      <c r="R22" s="449"/>
      <c r="S22" s="42" t="s">
        <v>349</v>
      </c>
      <c r="T22" s="44"/>
      <c r="U22" s="42" t="s">
        <v>114</v>
      </c>
    </row>
    <row r="23" spans="1:26" ht="8.25" customHeight="1">
      <c r="A23" s="455"/>
      <c r="B23" s="452"/>
      <c r="C23" s="189"/>
      <c r="D23" s="429"/>
      <c r="F23" s="6"/>
      <c r="H23" s="6"/>
      <c r="J23" s="6"/>
      <c r="L23" s="6"/>
      <c r="N23" s="6"/>
      <c r="P23" s="457"/>
      <c r="Q23" s="452"/>
      <c r="R23" s="449"/>
      <c r="S23" s="6" t="s">
        <v>106</v>
      </c>
      <c r="U23" s="6"/>
    </row>
    <row r="24" spans="1:26" ht="26.25" customHeight="1">
      <c r="A24" s="455"/>
      <c r="B24" s="452"/>
      <c r="C24" s="189"/>
      <c r="D24" s="429"/>
      <c r="E24" s="38"/>
      <c r="I24" s="43"/>
      <c r="K24" s="43"/>
      <c r="M24" s="43"/>
      <c r="O24" s="44"/>
      <c r="P24" s="457"/>
      <c r="Q24" s="452"/>
      <c r="R24" s="449"/>
      <c r="S24" s="42" t="s">
        <v>98</v>
      </c>
      <c r="T24" s="44"/>
      <c r="U24" s="43"/>
    </row>
    <row r="25" spans="1:26" ht="8.25" customHeight="1">
      <c r="A25" s="455"/>
      <c r="B25" s="452"/>
      <c r="C25" s="189"/>
      <c r="D25" s="5"/>
      <c r="F25" s="6"/>
      <c r="H25" s="6"/>
      <c r="J25" s="6"/>
      <c r="L25" s="6"/>
      <c r="N25" s="6"/>
      <c r="P25" s="457"/>
      <c r="Q25" s="452"/>
      <c r="R25" s="449"/>
      <c r="S25" s="6" t="s">
        <v>329</v>
      </c>
      <c r="U25" s="6"/>
    </row>
    <row r="26" spans="1:26" ht="26.25" customHeight="1">
      <c r="A26" s="455"/>
      <c r="B26" s="452"/>
      <c r="C26" s="189"/>
      <c r="D26" s="38" t="s">
        <v>54</v>
      </c>
      <c r="E26" s="38"/>
      <c r="I26" s="43"/>
      <c r="K26" s="43"/>
      <c r="M26" s="43"/>
      <c r="O26" s="44"/>
      <c r="P26" s="457"/>
      <c r="Q26" s="452"/>
      <c r="R26" s="449"/>
      <c r="S26" s="42" t="s">
        <v>20</v>
      </c>
      <c r="T26" s="44"/>
      <c r="U26" s="43"/>
    </row>
    <row r="27" spans="1:26" ht="8.25" customHeight="1">
      <c r="A27" s="455"/>
      <c r="B27" s="452"/>
      <c r="C27" s="189"/>
      <c r="D27" s="5"/>
      <c r="F27" s="6"/>
      <c r="H27" s="6"/>
      <c r="J27" s="6"/>
      <c r="L27" s="6"/>
      <c r="N27" s="6"/>
      <c r="P27" s="457"/>
      <c r="Q27" s="452"/>
      <c r="R27" s="449"/>
      <c r="S27" s="6" t="s">
        <v>105</v>
      </c>
      <c r="U27" s="6"/>
    </row>
    <row r="28" spans="1:26" ht="26.25" customHeight="1">
      <c r="A28" s="455"/>
      <c r="B28" s="452"/>
      <c r="C28" s="189"/>
      <c r="D28" s="38" t="s">
        <v>327</v>
      </c>
      <c r="E28" s="38"/>
      <c r="I28" s="43"/>
      <c r="K28" s="43"/>
      <c r="M28" s="43"/>
      <c r="O28" s="44"/>
      <c r="P28" s="457"/>
      <c r="Q28" s="452"/>
      <c r="R28" s="449"/>
      <c r="S28" s="42" t="s">
        <v>99</v>
      </c>
      <c r="T28" s="44"/>
      <c r="U28" s="43"/>
    </row>
    <row r="29" spans="1:26" ht="8.25" customHeight="1">
      <c r="A29" s="455"/>
      <c r="B29" s="452"/>
      <c r="C29" s="189"/>
      <c r="D29" s="5"/>
      <c r="F29" s="6" t="s">
        <v>106</v>
      </c>
      <c r="H29" s="6"/>
      <c r="J29" s="6"/>
      <c r="L29" s="6" t="s">
        <v>107</v>
      </c>
      <c r="N29" s="6"/>
      <c r="P29" s="457"/>
      <c r="Q29" s="452"/>
      <c r="R29" s="449"/>
      <c r="S29" s="6"/>
      <c r="U29" s="6" t="s">
        <v>101</v>
      </c>
    </row>
    <row r="30" spans="1:26" ht="26.25" customHeight="1">
      <c r="A30" s="455"/>
      <c r="B30" s="453"/>
      <c r="C30" s="189"/>
      <c r="D30" s="38" t="s">
        <v>14</v>
      </c>
      <c r="E30" s="38"/>
      <c r="F30" s="42" t="s">
        <v>98</v>
      </c>
      <c r="I30" s="43"/>
      <c r="K30" s="43"/>
      <c r="L30" s="42" t="s">
        <v>98</v>
      </c>
      <c r="M30" s="43"/>
      <c r="O30" s="44"/>
      <c r="P30" s="457"/>
      <c r="Q30" s="452"/>
      <c r="R30" s="449"/>
      <c r="S30" s="43"/>
      <c r="T30" s="44"/>
      <c r="U30" s="42" t="s">
        <v>91</v>
      </c>
    </row>
    <row r="31" spans="1:26" ht="8.25" customHeight="1">
      <c r="A31" s="455"/>
      <c r="B31" s="194"/>
      <c r="C31" s="189"/>
      <c r="D31" s="5"/>
      <c r="F31" s="6"/>
      <c r="H31" s="6"/>
      <c r="J31" s="6"/>
      <c r="L31" s="6"/>
      <c r="N31" s="6"/>
      <c r="P31" s="457"/>
      <c r="Q31" s="452"/>
      <c r="R31" s="449"/>
      <c r="S31" s="6" t="s">
        <v>103</v>
      </c>
      <c r="U31" s="6" t="s">
        <v>105</v>
      </c>
    </row>
    <row r="32" spans="1:26" ht="26.25" customHeight="1">
      <c r="A32" s="455"/>
      <c r="B32" s="194"/>
      <c r="C32" s="189"/>
      <c r="D32" s="38" t="s">
        <v>71</v>
      </c>
      <c r="E32" s="38"/>
      <c r="I32" s="43"/>
      <c r="K32" s="43"/>
      <c r="M32" s="43"/>
      <c r="O32" s="44"/>
      <c r="P32" s="457"/>
      <c r="Q32" s="452"/>
      <c r="R32" s="449"/>
      <c r="S32" s="42" t="s">
        <v>96</v>
      </c>
      <c r="T32" s="44"/>
      <c r="U32" s="42" t="s">
        <v>93</v>
      </c>
    </row>
    <row r="33" spans="1:21" ht="8.25" customHeight="1">
      <c r="A33" s="455"/>
      <c r="B33" s="194"/>
      <c r="C33" s="189"/>
      <c r="D33" s="5"/>
      <c r="F33" s="6"/>
      <c r="H33" s="6"/>
      <c r="J33" s="6"/>
      <c r="L33" s="6"/>
      <c r="N33" s="6"/>
      <c r="P33" s="457"/>
      <c r="Q33" s="452"/>
      <c r="R33" s="449"/>
      <c r="S33" s="6" t="s">
        <v>107</v>
      </c>
      <c r="U33" s="6"/>
    </row>
    <row r="34" spans="1:21" ht="26.25" customHeight="1">
      <c r="A34" s="455"/>
      <c r="B34" s="194"/>
      <c r="C34" s="189"/>
      <c r="D34" s="38" t="s">
        <v>55</v>
      </c>
      <c r="E34" s="38"/>
      <c r="I34" s="43"/>
      <c r="K34" s="43"/>
      <c r="M34" s="43"/>
      <c r="O34" s="44"/>
      <c r="P34" s="457"/>
      <c r="Q34" s="452"/>
      <c r="R34" s="449"/>
      <c r="S34" s="42" t="s">
        <v>100</v>
      </c>
      <c r="T34" s="44"/>
      <c r="U34" s="82"/>
    </row>
    <row r="35" spans="1:21" ht="8.25" customHeight="1">
      <c r="A35" s="455"/>
      <c r="B35" s="194"/>
      <c r="C35" s="189"/>
      <c r="D35" s="5"/>
      <c r="F35" s="6" t="s">
        <v>106</v>
      </c>
      <c r="H35" s="6" t="s">
        <v>107</v>
      </c>
      <c r="J35" s="6" t="s">
        <v>106</v>
      </c>
      <c r="L35" s="6"/>
      <c r="N35" s="6" t="s">
        <v>107</v>
      </c>
      <c r="P35" s="457"/>
      <c r="Q35" s="452"/>
      <c r="R35" s="449"/>
      <c r="S35" s="6" t="s">
        <v>101</v>
      </c>
      <c r="U35" s="6"/>
    </row>
    <row r="36" spans="1:21" ht="26.25" customHeight="1">
      <c r="A36" s="455"/>
      <c r="B36" s="194"/>
      <c r="C36" s="189"/>
      <c r="D36" s="38" t="s">
        <v>72</v>
      </c>
      <c r="E36" s="38"/>
      <c r="F36" s="42" t="s">
        <v>99</v>
      </c>
      <c r="H36" s="42" t="s">
        <v>128</v>
      </c>
      <c r="I36" s="43"/>
      <c r="J36" s="42" t="s">
        <v>114</v>
      </c>
      <c r="K36" s="43"/>
      <c r="M36" s="43"/>
      <c r="N36" s="42" t="s">
        <v>126</v>
      </c>
      <c r="O36" s="44"/>
      <c r="P36" s="457"/>
      <c r="Q36" s="452"/>
      <c r="R36" s="449"/>
      <c r="S36" s="42" t="s">
        <v>91</v>
      </c>
      <c r="T36" s="44"/>
      <c r="U36" s="43"/>
    </row>
    <row r="37" spans="1:21" ht="8.25" customHeight="1">
      <c r="A37" s="455"/>
      <c r="B37" s="194"/>
      <c r="C37" s="189"/>
      <c r="D37" s="5"/>
      <c r="F37" s="6" t="s">
        <v>235</v>
      </c>
      <c r="H37" s="6"/>
      <c r="J37" s="6" t="s">
        <v>235</v>
      </c>
      <c r="L37" s="6" t="s">
        <v>104</v>
      </c>
      <c r="N37" s="6" t="s">
        <v>235</v>
      </c>
      <c r="P37" s="457"/>
      <c r="Q37" s="452"/>
      <c r="R37" s="449"/>
      <c r="S37" s="6"/>
      <c r="U37" s="6"/>
    </row>
    <row r="38" spans="1:21" ht="26.25" customHeight="1">
      <c r="A38" s="455"/>
      <c r="B38" s="194"/>
      <c r="C38" s="189"/>
      <c r="D38" s="38" t="s">
        <v>13</v>
      </c>
      <c r="E38" s="38"/>
      <c r="F38" s="42" t="s">
        <v>349</v>
      </c>
      <c r="I38" s="43"/>
      <c r="J38" s="42" t="s">
        <v>349</v>
      </c>
      <c r="K38" s="43"/>
      <c r="L38" s="42" t="s">
        <v>24</v>
      </c>
      <c r="M38" s="43"/>
      <c r="N38" s="42" t="s">
        <v>349</v>
      </c>
      <c r="O38" s="44"/>
      <c r="P38" s="457"/>
      <c r="Q38" s="452"/>
      <c r="R38" s="449"/>
      <c r="S38" s="82"/>
      <c r="T38" s="44"/>
      <c r="U38" s="43"/>
    </row>
    <row r="39" spans="1:21" ht="8.25" customHeight="1">
      <c r="A39" s="455"/>
      <c r="B39" s="194"/>
      <c r="C39" s="189"/>
      <c r="D39" s="5"/>
      <c r="E39" s="38"/>
      <c r="F39" s="6" t="s">
        <v>105</v>
      </c>
      <c r="H39" s="6" t="s">
        <v>103</v>
      </c>
      <c r="J39" s="6" t="s">
        <v>102</v>
      </c>
      <c r="L39" s="6" t="s">
        <v>234</v>
      </c>
      <c r="N39" s="6"/>
      <c r="P39" s="457"/>
      <c r="Q39" s="452"/>
      <c r="R39" s="449"/>
      <c r="S39" s="6"/>
      <c r="U39" s="6"/>
    </row>
    <row r="40" spans="1:21" ht="26.25" customHeight="1">
      <c r="A40" s="455"/>
      <c r="B40" s="194"/>
      <c r="C40" s="189"/>
      <c r="D40" s="429" t="s">
        <v>56</v>
      </c>
      <c r="E40" s="38"/>
      <c r="F40" s="42" t="s">
        <v>121</v>
      </c>
      <c r="H40" s="42" t="s">
        <v>95</v>
      </c>
      <c r="I40" s="43"/>
      <c r="J40" s="82"/>
      <c r="K40" s="43"/>
      <c r="L40" s="42" t="s">
        <v>20</v>
      </c>
      <c r="M40" s="43"/>
      <c r="O40" s="44"/>
      <c r="P40" s="457"/>
      <c r="Q40" s="452"/>
      <c r="R40" s="449"/>
      <c r="S40" s="43"/>
      <c r="T40" s="44"/>
      <c r="U40" s="43"/>
    </row>
    <row r="41" spans="1:21" ht="8.25" customHeight="1">
      <c r="A41" s="455"/>
      <c r="B41" s="194"/>
      <c r="C41" s="189"/>
      <c r="D41" s="429"/>
      <c r="F41" s="6" t="s">
        <v>329</v>
      </c>
      <c r="H41" s="6"/>
      <c r="J41" s="6"/>
      <c r="L41" s="6" t="s">
        <v>105</v>
      </c>
      <c r="N41" s="6"/>
      <c r="P41" s="457"/>
      <c r="Q41" s="452"/>
      <c r="R41" s="449"/>
      <c r="S41" s="6"/>
      <c r="U41" s="6"/>
    </row>
    <row r="42" spans="1:21" ht="26.25" customHeight="1">
      <c r="A42" s="455"/>
      <c r="B42" s="194"/>
      <c r="C42" s="189"/>
      <c r="D42" s="429"/>
      <c r="E42" s="38"/>
      <c r="F42" s="42" t="s">
        <v>20</v>
      </c>
      <c r="I42" s="43"/>
      <c r="J42" s="42" t="s">
        <v>94</v>
      </c>
      <c r="K42" s="43"/>
      <c r="L42" s="42" t="s">
        <v>92</v>
      </c>
      <c r="M42" s="43"/>
      <c r="O42" s="44"/>
      <c r="P42" s="457"/>
      <c r="Q42" s="452"/>
      <c r="R42" s="449"/>
      <c r="S42" s="43"/>
      <c r="T42" s="44"/>
      <c r="U42" s="43"/>
    </row>
    <row r="43" spans="1:21" ht="8.25" customHeight="1">
      <c r="A43" s="455"/>
      <c r="B43" s="194"/>
      <c r="C43" s="189"/>
      <c r="D43" s="5"/>
      <c r="F43" s="6" t="s">
        <v>106</v>
      </c>
      <c r="H43" s="6" t="s">
        <v>236</v>
      </c>
      <c r="J43" s="6" t="s">
        <v>106</v>
      </c>
      <c r="L43" s="6" t="s">
        <v>236</v>
      </c>
      <c r="N43" s="6" t="s">
        <v>105</v>
      </c>
      <c r="P43" s="457"/>
      <c r="Q43" s="452"/>
      <c r="R43" s="449"/>
      <c r="S43" s="6"/>
      <c r="U43" s="6"/>
    </row>
    <row r="44" spans="1:21" ht="26.25" customHeight="1">
      <c r="A44" s="455"/>
      <c r="B44" s="194"/>
      <c r="C44" s="189"/>
      <c r="D44" s="429" t="s">
        <v>57</v>
      </c>
      <c r="E44" s="38"/>
      <c r="F44" s="42" t="s">
        <v>93</v>
      </c>
      <c r="H44" s="42" t="s">
        <v>127</v>
      </c>
      <c r="I44" s="43"/>
      <c r="J44" s="42" t="s">
        <v>99</v>
      </c>
      <c r="K44" s="43"/>
      <c r="L44" s="42" t="s">
        <v>127</v>
      </c>
      <c r="M44" s="43"/>
      <c r="N44" s="42" t="s">
        <v>351</v>
      </c>
      <c r="O44" s="44"/>
      <c r="P44" s="457"/>
      <c r="Q44" s="452"/>
      <c r="R44" s="449"/>
      <c r="S44" s="43"/>
      <c r="T44" s="44"/>
      <c r="U44" s="43"/>
    </row>
    <row r="45" spans="1:21" ht="8.25" customHeight="1">
      <c r="A45" s="455"/>
      <c r="B45" s="194"/>
      <c r="C45" s="189"/>
      <c r="D45" s="429"/>
      <c r="F45" s="6"/>
      <c r="H45" s="6" t="s">
        <v>107</v>
      </c>
      <c r="J45" s="6" t="s">
        <v>105</v>
      </c>
      <c r="L45" s="6" t="s">
        <v>106</v>
      </c>
      <c r="N45" s="6"/>
      <c r="P45" s="457"/>
      <c r="Q45" s="452"/>
      <c r="R45" s="449"/>
      <c r="S45" s="6"/>
      <c r="U45" s="6"/>
    </row>
    <row r="46" spans="1:21" ht="26.25" customHeight="1">
      <c r="A46" s="455"/>
      <c r="B46" s="194"/>
      <c r="C46" s="189"/>
      <c r="D46" s="429"/>
      <c r="E46" s="38"/>
      <c r="H46" s="42" t="s">
        <v>126</v>
      </c>
      <c r="I46" s="43"/>
      <c r="J46" s="42" t="s">
        <v>351</v>
      </c>
      <c r="K46" s="43"/>
      <c r="L46" s="42" t="s">
        <v>132</v>
      </c>
      <c r="M46" s="43"/>
      <c r="O46" s="44"/>
      <c r="P46" s="457"/>
      <c r="Q46" s="452"/>
      <c r="R46" s="449"/>
      <c r="S46" s="43"/>
      <c r="T46" s="44"/>
      <c r="U46" s="43"/>
    </row>
    <row r="47" spans="1:21" ht="8.25" customHeight="1">
      <c r="A47" s="455"/>
      <c r="B47" s="194"/>
      <c r="C47" s="189"/>
      <c r="D47" s="5"/>
      <c r="F47" s="6"/>
      <c r="H47" s="6"/>
      <c r="J47" s="6"/>
      <c r="L47" s="6"/>
      <c r="M47" s="6"/>
      <c r="N47" s="6"/>
      <c r="P47" s="457"/>
      <c r="Q47" s="452"/>
      <c r="R47" s="449"/>
      <c r="S47" s="6" t="s">
        <v>105</v>
      </c>
      <c r="U47" s="6"/>
    </row>
    <row r="48" spans="1:21" ht="26.25" customHeight="1">
      <c r="A48" s="455"/>
      <c r="B48" s="194"/>
      <c r="C48" s="189"/>
      <c r="D48" s="38" t="s">
        <v>78</v>
      </c>
      <c r="E48" s="38"/>
      <c r="I48" s="43"/>
      <c r="K48" s="43"/>
      <c r="L48" s="82"/>
      <c r="O48" s="44"/>
      <c r="P48" s="457"/>
      <c r="Q48" s="452"/>
      <c r="R48" s="449"/>
      <c r="S48" s="42" t="s">
        <v>114</v>
      </c>
      <c r="T48" s="44"/>
      <c r="U48" s="43"/>
    </row>
    <row r="49" spans="1:21" ht="8.25" customHeight="1">
      <c r="A49" s="455"/>
      <c r="B49" s="194"/>
      <c r="C49" s="189"/>
      <c r="D49" s="5"/>
      <c r="F49" s="6"/>
      <c r="H49" s="6"/>
      <c r="J49" s="6"/>
      <c r="L49" s="6"/>
      <c r="N49" s="6"/>
      <c r="P49" s="457"/>
      <c r="Q49" s="452"/>
      <c r="R49" s="449"/>
      <c r="S49" s="6" t="s">
        <v>105</v>
      </c>
      <c r="U49" s="6"/>
    </row>
    <row r="50" spans="1:21" ht="26.25" customHeight="1">
      <c r="A50" s="455"/>
      <c r="B50" s="194"/>
      <c r="C50" s="189"/>
      <c r="D50" s="38" t="s">
        <v>11</v>
      </c>
      <c r="E50" s="38"/>
      <c r="F50" s="82"/>
      <c r="H50" s="82"/>
      <c r="I50" s="43"/>
      <c r="K50" s="43"/>
      <c r="M50" s="43"/>
      <c r="N50" s="82"/>
      <c r="O50" s="44"/>
      <c r="P50" s="457"/>
      <c r="Q50" s="452"/>
      <c r="R50" s="449"/>
      <c r="S50" s="42" t="s">
        <v>93</v>
      </c>
      <c r="T50" s="44"/>
      <c r="U50" s="43"/>
    </row>
    <row r="51" spans="1:21" ht="8.25" customHeight="1">
      <c r="A51" s="455"/>
      <c r="B51" s="194"/>
      <c r="C51" s="189"/>
      <c r="D51" s="5"/>
      <c r="F51" s="6"/>
      <c r="H51" s="6"/>
      <c r="J51" s="6"/>
      <c r="L51" s="6" t="s">
        <v>235</v>
      </c>
      <c r="M51" s="6"/>
      <c r="N51" s="6"/>
      <c r="P51" s="457"/>
      <c r="Q51" s="452"/>
      <c r="R51" s="449"/>
      <c r="S51" s="6"/>
      <c r="U51" s="6"/>
    </row>
    <row r="52" spans="1:21" ht="26.25" customHeight="1">
      <c r="A52" s="455"/>
      <c r="B52" s="194"/>
      <c r="C52" s="189"/>
      <c r="D52" s="38" t="s">
        <v>15</v>
      </c>
      <c r="E52" s="38"/>
      <c r="I52" s="43"/>
      <c r="K52" s="43"/>
      <c r="L52" s="42" t="s">
        <v>237</v>
      </c>
      <c r="O52" s="44"/>
      <c r="P52" s="457"/>
      <c r="Q52" s="452"/>
      <c r="R52" s="449"/>
      <c r="S52" s="43"/>
      <c r="T52" s="44"/>
      <c r="U52" s="43"/>
    </row>
    <row r="53" spans="1:21" ht="8.25" customHeight="1">
      <c r="A53" s="455"/>
      <c r="B53" s="194"/>
      <c r="C53" s="189"/>
      <c r="D53" s="5"/>
      <c r="F53" s="6" t="s">
        <v>105</v>
      </c>
      <c r="H53" s="6" t="s">
        <v>107</v>
      </c>
      <c r="J53" s="6"/>
      <c r="L53" s="6"/>
      <c r="N53" s="6" t="s">
        <v>106</v>
      </c>
      <c r="P53" s="457"/>
      <c r="Q53" s="452"/>
      <c r="R53" s="449"/>
      <c r="S53" s="6"/>
      <c r="U53" s="6"/>
    </row>
    <row r="54" spans="1:21" ht="26.25" customHeight="1">
      <c r="A54" s="455"/>
      <c r="B54" s="194"/>
      <c r="C54" s="189"/>
      <c r="D54" s="38" t="s">
        <v>122</v>
      </c>
      <c r="E54" s="38"/>
      <c r="F54" s="42" t="s">
        <v>97</v>
      </c>
      <c r="H54" s="42" t="s">
        <v>121</v>
      </c>
      <c r="I54" s="43"/>
      <c r="K54" s="43"/>
      <c r="M54" s="43"/>
      <c r="N54" s="42" t="s">
        <v>60</v>
      </c>
      <c r="O54" s="44"/>
      <c r="P54" s="457"/>
      <c r="Q54" s="452"/>
      <c r="R54" s="449"/>
      <c r="S54" s="43"/>
      <c r="T54" s="44"/>
      <c r="U54" s="43"/>
    </row>
    <row r="55" spans="1:21" ht="8.25" customHeight="1">
      <c r="A55" s="455"/>
      <c r="B55" s="194"/>
      <c r="C55" s="189"/>
      <c r="D55" s="5"/>
      <c r="F55" s="6"/>
      <c r="H55" s="6"/>
      <c r="J55" s="6" t="s">
        <v>107</v>
      </c>
      <c r="L55" s="6"/>
      <c r="N55" s="6"/>
      <c r="P55" s="457"/>
      <c r="Q55" s="452"/>
      <c r="R55" s="449"/>
      <c r="S55" s="6"/>
      <c r="U55" s="6"/>
    </row>
    <row r="56" spans="1:21" ht="26.25" customHeight="1">
      <c r="A56" s="455"/>
      <c r="B56" s="194"/>
      <c r="C56" s="189"/>
      <c r="D56" s="429" t="s">
        <v>131</v>
      </c>
      <c r="E56" s="38"/>
      <c r="I56" s="43"/>
      <c r="J56" s="42" t="s">
        <v>114</v>
      </c>
      <c r="K56" s="43"/>
      <c r="M56" s="43"/>
      <c r="O56" s="44"/>
      <c r="P56" s="457"/>
      <c r="Q56" s="452"/>
      <c r="R56" s="449"/>
      <c r="S56" s="43"/>
      <c r="T56" s="44"/>
      <c r="U56" s="43"/>
    </row>
    <row r="57" spans="1:21" ht="8.25" customHeight="1">
      <c r="A57" s="455"/>
      <c r="B57" s="194"/>
      <c r="C57" s="189"/>
      <c r="D57" s="429"/>
      <c r="F57" s="6"/>
      <c r="H57" s="6"/>
      <c r="J57" s="6" t="s">
        <v>106</v>
      </c>
      <c r="L57" s="6"/>
      <c r="N57" s="6"/>
      <c r="P57" s="457"/>
      <c r="Q57" s="452"/>
      <c r="R57" s="449"/>
      <c r="S57" s="6"/>
      <c r="U57" s="6"/>
    </row>
    <row r="58" spans="1:21" ht="26.25" customHeight="1">
      <c r="A58" s="455"/>
      <c r="B58" s="194"/>
      <c r="C58" s="189"/>
      <c r="D58" s="429"/>
      <c r="E58" s="38"/>
      <c r="I58" s="43"/>
      <c r="J58" s="42" t="s">
        <v>325</v>
      </c>
      <c r="K58" s="43"/>
      <c r="M58" s="43"/>
      <c r="O58" s="44"/>
      <c r="P58" s="457"/>
      <c r="Q58" s="452"/>
      <c r="R58" s="449"/>
      <c r="S58" s="43"/>
      <c r="T58" s="44"/>
      <c r="U58" s="43"/>
    </row>
    <row r="59" spans="1:21" ht="8.25" customHeight="1">
      <c r="A59" s="455"/>
      <c r="B59" s="194"/>
      <c r="C59" s="189"/>
      <c r="D59" s="5"/>
      <c r="F59" s="6" t="s">
        <v>236</v>
      </c>
      <c r="H59" s="6"/>
      <c r="J59" s="6"/>
      <c r="L59" s="6" t="s">
        <v>107</v>
      </c>
      <c r="N59" s="6" t="s">
        <v>107</v>
      </c>
      <c r="P59" s="457"/>
      <c r="Q59" s="452"/>
      <c r="R59" s="449"/>
      <c r="S59" s="6"/>
      <c r="U59" s="6"/>
    </row>
    <row r="60" spans="1:21" ht="26.25" customHeight="1">
      <c r="A60" s="455"/>
      <c r="B60" s="194"/>
      <c r="C60" s="189"/>
      <c r="D60" s="429" t="s">
        <v>58</v>
      </c>
      <c r="E60" s="38"/>
      <c r="F60" s="42" t="s">
        <v>350</v>
      </c>
      <c r="H60" s="42" t="s">
        <v>349</v>
      </c>
      <c r="I60" s="43"/>
      <c r="K60" s="43"/>
      <c r="L60" s="42" t="s">
        <v>114</v>
      </c>
      <c r="M60" s="43"/>
      <c r="N60" s="42" t="s">
        <v>114</v>
      </c>
      <c r="O60" s="44"/>
      <c r="P60" s="457"/>
      <c r="Q60" s="452"/>
      <c r="R60" s="449"/>
      <c r="S60" s="43"/>
      <c r="T60" s="44"/>
      <c r="U60" s="43"/>
    </row>
    <row r="61" spans="1:21" ht="8.25" customHeight="1">
      <c r="A61" s="455"/>
      <c r="B61" s="194"/>
      <c r="C61" s="189"/>
      <c r="D61" s="429"/>
      <c r="F61" s="6" t="s">
        <v>106</v>
      </c>
      <c r="H61" s="6"/>
      <c r="J61" s="6"/>
      <c r="L61" s="6"/>
      <c r="N61" s="6"/>
      <c r="P61" s="457"/>
      <c r="Q61" s="452"/>
      <c r="R61" s="449"/>
      <c r="S61" s="6"/>
      <c r="U61" s="6"/>
    </row>
    <row r="62" spans="1:21" ht="26.25" customHeight="1">
      <c r="A62" s="455"/>
      <c r="B62" s="194"/>
      <c r="C62" s="189"/>
      <c r="D62" s="429"/>
      <c r="E62" s="38"/>
      <c r="F62" s="42" t="s">
        <v>93</v>
      </c>
      <c r="I62" s="43"/>
      <c r="K62" s="43"/>
      <c r="M62" s="43"/>
      <c r="O62" s="44"/>
      <c r="P62" s="457"/>
      <c r="Q62" s="452"/>
      <c r="R62" s="449"/>
      <c r="S62" s="43"/>
      <c r="T62" s="44"/>
      <c r="U62" s="43"/>
    </row>
    <row r="63" spans="1:21" ht="8.25" customHeight="1">
      <c r="A63" s="455"/>
      <c r="B63" s="194"/>
      <c r="C63" s="189"/>
      <c r="D63" s="5"/>
      <c r="F63" s="6"/>
      <c r="H63" s="6" t="s">
        <v>234</v>
      </c>
      <c r="J63" s="6" t="s">
        <v>235</v>
      </c>
      <c r="L63" s="6" t="s">
        <v>329</v>
      </c>
      <c r="N63" s="6" t="s">
        <v>103</v>
      </c>
      <c r="P63" s="457"/>
      <c r="Q63" s="452"/>
      <c r="R63" s="449"/>
      <c r="S63" s="6"/>
      <c r="U63" s="6"/>
    </row>
    <row r="64" spans="1:21" ht="26.25" customHeight="1">
      <c r="A64" s="455"/>
      <c r="B64" s="194"/>
      <c r="C64" s="189"/>
      <c r="D64" s="429" t="s">
        <v>16</v>
      </c>
      <c r="E64" s="38"/>
      <c r="H64" s="42" t="s">
        <v>115</v>
      </c>
      <c r="I64" s="43"/>
      <c r="J64" s="42" t="s">
        <v>349</v>
      </c>
      <c r="K64" s="43"/>
      <c r="L64" s="42" t="s">
        <v>20</v>
      </c>
      <c r="M64" s="43"/>
      <c r="N64" s="42" t="s">
        <v>132</v>
      </c>
      <c r="O64" s="44"/>
      <c r="P64" s="457"/>
      <c r="Q64" s="452"/>
      <c r="R64" s="449"/>
      <c r="S64" s="43"/>
      <c r="T64" s="44"/>
      <c r="U64" s="43"/>
    </row>
    <row r="65" spans="1:21" ht="8.25" customHeight="1">
      <c r="A65" s="455"/>
      <c r="B65" s="194"/>
      <c r="C65" s="189"/>
      <c r="D65" s="429"/>
      <c r="F65" s="6"/>
      <c r="H65" s="6" t="s">
        <v>102</v>
      </c>
      <c r="J65" s="6"/>
      <c r="L65" s="6" t="s">
        <v>235</v>
      </c>
      <c r="N65" s="6" t="s">
        <v>235</v>
      </c>
      <c r="P65" s="457"/>
      <c r="Q65" s="452"/>
      <c r="R65" s="449"/>
      <c r="S65" s="6"/>
      <c r="U65" s="6"/>
    </row>
    <row r="66" spans="1:21" ht="26.25" customHeight="1">
      <c r="A66" s="455"/>
      <c r="B66" s="194"/>
      <c r="C66" s="189"/>
      <c r="D66" s="429"/>
      <c r="E66" s="38"/>
      <c r="H66" s="42" t="s">
        <v>94</v>
      </c>
      <c r="I66" s="43"/>
      <c r="K66" s="43"/>
      <c r="L66" s="42" t="s">
        <v>349</v>
      </c>
      <c r="M66" s="43"/>
      <c r="N66" s="42" t="s">
        <v>349</v>
      </c>
      <c r="O66" s="44"/>
      <c r="P66" s="457"/>
      <c r="Q66" s="452"/>
      <c r="R66" s="449"/>
      <c r="S66" s="43"/>
      <c r="T66" s="44"/>
      <c r="U66" s="43"/>
    </row>
    <row r="67" spans="1:21" ht="8.25" customHeight="1">
      <c r="A67" s="455"/>
      <c r="B67" s="194"/>
      <c r="C67" s="189"/>
      <c r="D67" s="429"/>
      <c r="F67" s="6"/>
      <c r="H67" s="6" t="s">
        <v>235</v>
      </c>
      <c r="J67" s="6"/>
      <c r="L67" s="6" t="s">
        <v>102</v>
      </c>
      <c r="N67" s="6"/>
      <c r="P67" s="457"/>
      <c r="Q67" s="452"/>
      <c r="R67" s="449"/>
      <c r="S67" s="6"/>
      <c r="U67" s="6"/>
    </row>
    <row r="68" spans="1:21" ht="26.25" customHeight="1">
      <c r="A68" s="455"/>
      <c r="B68" s="194"/>
      <c r="C68" s="189"/>
      <c r="D68" s="429"/>
      <c r="E68" s="38"/>
      <c r="I68" s="43"/>
      <c r="K68" s="43"/>
      <c r="L68" s="42" t="s">
        <v>94</v>
      </c>
      <c r="M68" s="43"/>
      <c r="O68" s="44"/>
      <c r="P68" s="457"/>
      <c r="Q68" s="452"/>
      <c r="R68" s="449"/>
      <c r="S68" s="43"/>
      <c r="T68" s="44"/>
      <c r="U68" s="43"/>
    </row>
    <row r="69" spans="1:21" ht="8.25" customHeight="1">
      <c r="A69" s="455"/>
      <c r="B69" s="194"/>
      <c r="C69" s="189"/>
      <c r="D69" s="429"/>
      <c r="F69" s="6"/>
      <c r="H69" s="6" t="s">
        <v>105</v>
      </c>
      <c r="J69" s="6"/>
      <c r="L69" s="6"/>
      <c r="N69" s="6"/>
      <c r="P69" s="457"/>
      <c r="Q69" s="452"/>
      <c r="R69" s="449"/>
      <c r="S69" s="6"/>
      <c r="U69" s="6"/>
    </row>
    <row r="70" spans="1:21" ht="26.25" customHeight="1">
      <c r="A70" s="455"/>
      <c r="B70" s="194"/>
      <c r="C70" s="189"/>
      <c r="D70" s="429"/>
      <c r="E70" s="38"/>
      <c r="H70" s="42" t="s">
        <v>60</v>
      </c>
      <c r="I70" s="43"/>
      <c r="K70" s="43"/>
      <c r="M70" s="43"/>
      <c r="O70" s="44"/>
      <c r="P70" s="457"/>
      <c r="Q70" s="452"/>
      <c r="R70" s="449"/>
      <c r="S70" s="43"/>
      <c r="T70" s="44"/>
      <c r="U70" s="43"/>
    </row>
    <row r="71" spans="1:21" ht="8.25" customHeight="1">
      <c r="A71" s="455"/>
      <c r="B71" s="194"/>
      <c r="C71" s="189"/>
      <c r="D71" s="5"/>
      <c r="F71" s="6" t="s">
        <v>105</v>
      </c>
      <c r="H71" s="6" t="s">
        <v>106</v>
      </c>
      <c r="J71" s="6" t="s">
        <v>105</v>
      </c>
      <c r="L71" s="6" t="s">
        <v>105</v>
      </c>
      <c r="N71" s="6" t="s">
        <v>107</v>
      </c>
      <c r="P71" s="457"/>
      <c r="Q71" s="452"/>
      <c r="R71" s="449"/>
      <c r="S71" s="6"/>
      <c r="U71" s="6"/>
    </row>
    <row r="72" spans="1:21" ht="26.25" customHeight="1">
      <c r="A72" s="455"/>
      <c r="B72" s="194"/>
      <c r="C72" s="189"/>
      <c r="D72" s="429" t="s">
        <v>124</v>
      </c>
      <c r="E72" s="38"/>
      <c r="F72" s="42" t="s">
        <v>325</v>
      </c>
      <c r="H72" s="42" t="s">
        <v>26</v>
      </c>
      <c r="I72" s="43"/>
      <c r="J72" s="42" t="s">
        <v>99</v>
      </c>
      <c r="K72" s="43"/>
      <c r="L72" s="42" t="s">
        <v>92</v>
      </c>
      <c r="M72" s="43"/>
      <c r="N72" s="42" t="s">
        <v>99</v>
      </c>
      <c r="O72" s="44"/>
      <c r="P72" s="457"/>
      <c r="Q72" s="452"/>
      <c r="R72" s="449"/>
      <c r="S72" s="43"/>
      <c r="T72" s="44"/>
      <c r="U72" s="43"/>
    </row>
    <row r="73" spans="1:21" ht="8.25" customHeight="1">
      <c r="A73" s="455"/>
      <c r="B73" s="194"/>
      <c r="C73" s="189"/>
      <c r="D73" s="429"/>
      <c r="F73" s="6" t="s">
        <v>104</v>
      </c>
      <c r="H73" s="6"/>
      <c r="J73" s="6" t="s">
        <v>106</v>
      </c>
      <c r="L73" s="6" t="s">
        <v>106</v>
      </c>
      <c r="N73" s="6" t="s">
        <v>234</v>
      </c>
      <c r="P73" s="457"/>
      <c r="Q73" s="452"/>
      <c r="R73" s="449"/>
      <c r="S73" s="6"/>
      <c r="U73" s="6"/>
    </row>
    <row r="74" spans="1:21" ht="26.25" customHeight="1">
      <c r="A74" s="455"/>
      <c r="B74" s="194"/>
      <c r="C74" s="189"/>
      <c r="D74" s="429"/>
      <c r="E74" s="38"/>
      <c r="F74" s="42" t="s">
        <v>24</v>
      </c>
      <c r="I74" s="43"/>
      <c r="J74" s="42" t="s">
        <v>93</v>
      </c>
      <c r="K74" s="43"/>
      <c r="L74" s="42" t="s">
        <v>126</v>
      </c>
      <c r="M74" s="43"/>
      <c r="N74" s="42" t="s">
        <v>20</v>
      </c>
      <c r="O74" s="44"/>
      <c r="P74" s="457"/>
      <c r="Q74" s="452"/>
      <c r="R74" s="449"/>
      <c r="S74" s="43"/>
      <c r="T74" s="44"/>
      <c r="U74" s="43"/>
    </row>
    <row r="75" spans="1:21" ht="8.25" customHeight="1">
      <c r="A75" s="455"/>
      <c r="B75" s="194"/>
      <c r="C75" s="189"/>
      <c r="D75" s="429"/>
      <c r="F75" s="6" t="s">
        <v>329</v>
      </c>
      <c r="H75" s="6"/>
      <c r="J75" s="6" t="s">
        <v>234</v>
      </c>
      <c r="L75" s="6"/>
      <c r="N75" s="6"/>
      <c r="P75" s="457"/>
      <c r="Q75" s="452"/>
      <c r="R75" s="449"/>
      <c r="S75" s="6"/>
      <c r="U75" s="6"/>
    </row>
    <row r="76" spans="1:21" ht="26.25" customHeight="1">
      <c r="A76" s="455"/>
      <c r="B76" s="194"/>
      <c r="C76" s="189"/>
      <c r="D76" s="429"/>
      <c r="E76" s="38"/>
      <c r="F76" s="42" t="s">
        <v>20</v>
      </c>
      <c r="I76" s="43"/>
      <c r="J76" s="42" t="s">
        <v>20</v>
      </c>
      <c r="K76" s="43"/>
      <c r="M76" s="43"/>
      <c r="O76" s="44"/>
      <c r="P76" s="457"/>
      <c r="Q76" s="452"/>
      <c r="R76" s="449"/>
      <c r="S76" s="43"/>
      <c r="T76" s="44"/>
      <c r="U76" s="43"/>
    </row>
    <row r="77" spans="1:21" ht="8.25" customHeight="1">
      <c r="A77" s="455"/>
      <c r="B77" s="194"/>
      <c r="C77" s="189"/>
      <c r="D77" s="429"/>
      <c r="F77" s="6" t="s">
        <v>235</v>
      </c>
      <c r="H77" s="6"/>
      <c r="J77" s="6"/>
      <c r="L77" s="6"/>
      <c r="N77" s="6"/>
      <c r="P77" s="457"/>
      <c r="Q77" s="452"/>
      <c r="R77" s="449"/>
      <c r="S77" s="6"/>
      <c r="U77" s="6"/>
    </row>
    <row r="78" spans="1:21" ht="26.25" customHeight="1">
      <c r="A78" s="455"/>
      <c r="B78" s="194"/>
      <c r="C78" s="189"/>
      <c r="D78" s="429"/>
      <c r="E78" s="38"/>
      <c r="F78" s="42" t="s">
        <v>349</v>
      </c>
      <c r="I78" s="43"/>
      <c r="K78" s="43"/>
      <c r="M78" s="43"/>
      <c r="O78" s="44"/>
      <c r="P78" s="457"/>
      <c r="Q78" s="452"/>
      <c r="R78" s="449"/>
      <c r="S78" s="43"/>
      <c r="T78" s="44"/>
      <c r="U78" s="43"/>
    </row>
    <row r="79" spans="1:21" ht="8.25" customHeight="1">
      <c r="A79" s="455"/>
      <c r="B79" s="194"/>
      <c r="C79" s="189"/>
      <c r="D79" s="5"/>
      <c r="F79" s="6"/>
      <c r="H79" s="6" t="s">
        <v>236</v>
      </c>
      <c r="J79" s="6"/>
      <c r="L79" s="6"/>
      <c r="N79" s="6"/>
      <c r="P79" s="457"/>
      <c r="Q79" s="452"/>
      <c r="R79" s="449"/>
      <c r="S79" s="6"/>
      <c r="U79" s="6"/>
    </row>
    <row r="80" spans="1:21" ht="26.25" customHeight="1">
      <c r="A80" s="455"/>
      <c r="B80" s="194"/>
      <c r="C80" s="189"/>
      <c r="D80" s="38" t="s">
        <v>9</v>
      </c>
      <c r="E80" s="38"/>
      <c r="F80" s="82"/>
      <c r="H80" s="42" t="s">
        <v>349</v>
      </c>
      <c r="I80" s="43"/>
      <c r="J80" s="82"/>
      <c r="K80" s="43"/>
      <c r="M80" s="43"/>
      <c r="N80" s="82"/>
      <c r="O80" s="44"/>
      <c r="P80" s="457"/>
      <c r="Q80" s="452"/>
      <c r="R80" s="449"/>
      <c r="S80" s="43"/>
      <c r="T80" s="44"/>
      <c r="U80" s="43"/>
    </row>
    <row r="81" spans="1:21" ht="8.25" customHeight="1">
      <c r="A81" s="455"/>
      <c r="B81" s="194"/>
      <c r="C81" s="189"/>
      <c r="D81" s="5"/>
      <c r="F81" s="6" t="s">
        <v>101</v>
      </c>
      <c r="H81" s="6"/>
      <c r="J81" s="6" t="s">
        <v>101</v>
      </c>
      <c r="L81" s="6"/>
      <c r="N81" s="6" t="s">
        <v>101</v>
      </c>
      <c r="P81" s="457"/>
      <c r="Q81" s="452"/>
      <c r="R81" s="449"/>
      <c r="S81" s="6"/>
      <c r="U81" s="6"/>
    </row>
    <row r="82" spans="1:21" ht="26.25" customHeight="1">
      <c r="A82" s="455"/>
      <c r="B82" s="194"/>
      <c r="C82" s="189"/>
      <c r="D82" s="38" t="s">
        <v>125</v>
      </c>
      <c r="E82" s="38"/>
      <c r="F82" s="42" t="s">
        <v>91</v>
      </c>
      <c r="I82" s="43"/>
      <c r="J82" s="42" t="s">
        <v>91</v>
      </c>
      <c r="K82" s="43"/>
      <c r="M82" s="43"/>
      <c r="N82" s="42" t="s">
        <v>91</v>
      </c>
      <c r="O82" s="44"/>
      <c r="P82" s="457"/>
      <c r="Q82" s="452"/>
      <c r="R82" s="449"/>
      <c r="S82" s="43"/>
      <c r="T82" s="44"/>
      <c r="U82" s="43"/>
    </row>
    <row r="83" spans="1:21" ht="8.25" customHeight="1">
      <c r="A83" s="455"/>
      <c r="B83" s="451"/>
      <c r="C83" s="189"/>
      <c r="D83" s="5"/>
      <c r="F83" s="6" t="s">
        <v>103</v>
      </c>
      <c r="H83" s="6" t="s">
        <v>105</v>
      </c>
      <c r="J83" s="6" t="s">
        <v>103</v>
      </c>
      <c r="L83" s="6" t="s">
        <v>106</v>
      </c>
      <c r="N83" s="6" t="s">
        <v>108</v>
      </c>
      <c r="P83" s="457"/>
      <c r="Q83" s="452"/>
      <c r="R83" s="449"/>
      <c r="S83" s="6"/>
      <c r="U83" s="6"/>
    </row>
    <row r="84" spans="1:21" ht="26.25" customHeight="1">
      <c r="A84" s="455"/>
      <c r="B84" s="452"/>
      <c r="C84" s="189"/>
      <c r="D84" s="429" t="s">
        <v>12</v>
      </c>
      <c r="E84" s="38"/>
      <c r="F84" s="42" t="s">
        <v>95</v>
      </c>
      <c r="H84" s="42" t="s">
        <v>92</v>
      </c>
      <c r="I84" s="43"/>
      <c r="J84" s="42" t="s">
        <v>132</v>
      </c>
      <c r="K84" s="43"/>
      <c r="L84" s="42" t="s">
        <v>93</v>
      </c>
      <c r="M84" s="43"/>
      <c r="N84" s="42" t="s">
        <v>24</v>
      </c>
      <c r="O84" s="44"/>
      <c r="P84" s="457"/>
      <c r="Q84" s="452"/>
      <c r="R84" s="449"/>
      <c r="S84" s="43"/>
      <c r="T84" s="44"/>
      <c r="U84" s="43"/>
    </row>
    <row r="85" spans="1:21" ht="8.25" customHeight="1">
      <c r="A85" s="455"/>
      <c r="B85" s="452"/>
      <c r="C85" s="189"/>
      <c r="D85" s="429"/>
      <c r="F85" s="6"/>
      <c r="H85" s="6" t="s">
        <v>103</v>
      </c>
      <c r="J85" s="6" t="s">
        <v>235</v>
      </c>
      <c r="L85" s="6"/>
      <c r="N85" s="6" t="s">
        <v>103</v>
      </c>
      <c r="P85" s="457"/>
      <c r="Q85" s="452"/>
      <c r="R85" s="449"/>
      <c r="S85" s="6"/>
      <c r="U85" s="6"/>
    </row>
    <row r="86" spans="1:21" ht="26.25" customHeight="1">
      <c r="A86" s="455"/>
      <c r="B86" s="452"/>
      <c r="C86" s="189"/>
      <c r="D86" s="429"/>
      <c r="E86" s="38"/>
      <c r="H86" s="42" t="s">
        <v>129</v>
      </c>
      <c r="I86" s="43"/>
      <c r="J86" s="42" t="s">
        <v>349</v>
      </c>
      <c r="K86" s="43"/>
      <c r="M86" s="43"/>
      <c r="N86" s="42" t="s">
        <v>129</v>
      </c>
      <c r="O86" s="44"/>
      <c r="P86" s="457"/>
      <c r="Q86" s="452"/>
      <c r="R86" s="449"/>
      <c r="S86" s="43"/>
      <c r="T86" s="44"/>
      <c r="U86" s="43"/>
    </row>
    <row r="87" spans="1:21" ht="8.25" customHeight="1">
      <c r="A87" s="455"/>
      <c r="B87" s="452"/>
      <c r="C87" s="189"/>
      <c r="D87" s="5"/>
      <c r="F87" s="6" t="s">
        <v>105</v>
      </c>
      <c r="H87" s="6"/>
      <c r="J87" s="6" t="s">
        <v>105</v>
      </c>
      <c r="L87" s="6" t="s">
        <v>105</v>
      </c>
      <c r="N87" s="6"/>
      <c r="P87" s="457"/>
      <c r="Q87" s="452"/>
      <c r="R87" s="449"/>
      <c r="S87" s="6"/>
      <c r="U87" s="6"/>
    </row>
    <row r="88" spans="1:21" ht="26.25" customHeight="1">
      <c r="A88" s="455"/>
      <c r="B88" s="452"/>
      <c r="C88" s="190"/>
      <c r="D88" s="38" t="s">
        <v>17</v>
      </c>
      <c r="E88" s="38"/>
      <c r="F88" s="42" t="s">
        <v>96</v>
      </c>
      <c r="I88" s="43"/>
      <c r="J88" s="42" t="s">
        <v>133</v>
      </c>
      <c r="K88" s="43"/>
      <c r="L88" s="42" t="s">
        <v>97</v>
      </c>
      <c r="M88" s="43"/>
      <c r="N88" s="8"/>
      <c r="O88" s="44"/>
      <c r="P88" s="457"/>
      <c r="Q88" s="452"/>
      <c r="R88" s="449"/>
      <c r="S88" s="43"/>
      <c r="T88" s="44"/>
      <c r="U88" s="43"/>
    </row>
    <row r="89" spans="1:21" ht="7.5" customHeight="1">
      <c r="A89" s="455"/>
      <c r="B89" s="452"/>
      <c r="C89" s="448"/>
      <c r="D89" s="5"/>
      <c r="F89" s="6"/>
      <c r="H89" s="6"/>
      <c r="J89" s="6"/>
      <c r="L89" s="6" t="s">
        <v>103</v>
      </c>
      <c r="N89" s="6"/>
      <c r="P89" s="457"/>
      <c r="Q89" s="452"/>
      <c r="R89" s="449"/>
      <c r="S89" s="6"/>
      <c r="U89" s="6"/>
    </row>
    <row r="90" spans="1:21" s="8" customFormat="1" ht="21.75" customHeight="1">
      <c r="A90" s="455"/>
      <c r="B90" s="452"/>
      <c r="C90" s="449"/>
      <c r="D90" s="38" t="s">
        <v>80</v>
      </c>
      <c r="E90" s="38"/>
      <c r="F90"/>
      <c r="G90"/>
      <c r="H90"/>
      <c r="I90" s="43"/>
      <c r="J90" s="82"/>
      <c r="K90" s="43"/>
      <c r="L90" s="42" t="s">
        <v>134</v>
      </c>
      <c r="M90" s="43"/>
      <c r="N90"/>
      <c r="O90" s="44"/>
      <c r="P90" s="457"/>
      <c r="Q90" s="452"/>
      <c r="R90" s="449"/>
      <c r="S90" s="43"/>
      <c r="T90" s="44"/>
      <c r="U90" s="43"/>
    </row>
    <row r="91" spans="1:21" ht="7.5" customHeight="1">
      <c r="A91" s="455"/>
      <c r="B91" s="453"/>
      <c r="C91" s="450"/>
      <c r="D91" s="5"/>
      <c r="F91" s="6"/>
      <c r="H91" s="6"/>
      <c r="J91" s="6"/>
      <c r="L91" s="6"/>
      <c r="N91" s="6"/>
      <c r="P91" s="458"/>
      <c r="Q91" s="453"/>
      <c r="R91" s="450"/>
      <c r="S91" s="6"/>
      <c r="U91" s="6"/>
    </row>
    <row r="92" spans="1:21">
      <c r="D92" s="38"/>
      <c r="E92" s="38"/>
      <c r="O92" s="38"/>
      <c r="T92" s="38"/>
    </row>
    <row r="93" spans="1:21">
      <c r="D93" s="38"/>
      <c r="E93" s="38"/>
      <c r="G93" s="38"/>
      <c r="I93" s="38"/>
      <c r="K93" s="38"/>
      <c r="M93" s="38"/>
      <c r="N93" s="430"/>
      <c r="O93" s="430"/>
      <c r="P93" s="430"/>
      <c r="Q93" s="430"/>
      <c r="R93" s="430"/>
      <c r="S93" s="430"/>
      <c r="T93" s="430"/>
      <c r="U93" s="430"/>
    </row>
    <row r="94" spans="1:21">
      <c r="D94" s="38"/>
      <c r="E94" s="38"/>
      <c r="F94" s="8"/>
      <c r="G94" s="38"/>
      <c r="H94" s="8"/>
      <c r="I94" s="38"/>
      <c r="J94" s="8"/>
      <c r="K94" s="38"/>
      <c r="L94" s="8"/>
      <c r="M94" s="38"/>
      <c r="N94" s="3"/>
      <c r="O94" s="3"/>
      <c r="S94" s="9"/>
      <c r="T94" s="3"/>
      <c r="U94" s="3"/>
    </row>
    <row r="95" spans="1:21">
      <c r="D95" s="38"/>
      <c r="E95" s="38"/>
      <c r="G95" s="38"/>
      <c r="I95" s="38"/>
      <c r="K95" s="38"/>
      <c r="M95" s="38"/>
      <c r="N95" s="4"/>
      <c r="O95" s="3"/>
      <c r="S95" s="4"/>
      <c r="T95" s="3"/>
      <c r="U95" s="4"/>
    </row>
    <row r="96" spans="1:21">
      <c r="D96" s="38"/>
      <c r="E96" s="38"/>
      <c r="G96" s="38"/>
      <c r="I96" s="38"/>
      <c r="K96" s="38"/>
      <c r="M96" s="38"/>
      <c r="O96" s="38"/>
      <c r="T96" s="38"/>
    </row>
    <row r="97" spans="4:4">
      <c r="D97" s="38"/>
    </row>
    <row r="98" spans="4:4">
      <c r="D98" s="38"/>
    </row>
  </sheetData>
  <dataConsolidate link="1"/>
  <mergeCells count="17">
    <mergeCell ref="N93:U93"/>
    <mergeCell ref="D10:D12"/>
    <mergeCell ref="D22:D24"/>
    <mergeCell ref="D40:D42"/>
    <mergeCell ref="D44:D46"/>
    <mergeCell ref="D56:D58"/>
    <mergeCell ref="D60:D62"/>
    <mergeCell ref="Q3:Q91"/>
    <mergeCell ref="P3:P91"/>
    <mergeCell ref="C89:C91"/>
    <mergeCell ref="B83:B91"/>
    <mergeCell ref="A3:A91"/>
    <mergeCell ref="B3:B30"/>
    <mergeCell ref="R3:R91"/>
    <mergeCell ref="D64:D70"/>
    <mergeCell ref="D72:D78"/>
    <mergeCell ref="D84:D86"/>
  </mergeCells>
  <pageMargins left="0.7" right="0.7" top="0.75" bottom="0.75" header="0.3" footer="0.3"/>
  <pageSetup paperSize="9" scale="4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FFFF"/>
    <pageSetUpPr fitToPage="1"/>
  </sheetPr>
  <dimension ref="A1:T74"/>
  <sheetViews>
    <sheetView showGridLines="0" view="pageBreakPreview" topLeftCell="A4" zoomScale="106" zoomScaleNormal="70" zoomScaleSheetLayoutView="106" workbookViewId="0">
      <selection activeCell="E30" sqref="E30"/>
    </sheetView>
  </sheetViews>
  <sheetFormatPr defaultColWidth="8.6640625" defaultRowHeight="14.4"/>
  <cols>
    <col min="2" max="2" width="1.44140625" customWidth="1"/>
    <col min="3" max="3" width="17.33203125" customWidth="1"/>
    <col min="4" max="4" width="1.44140625" customWidth="1"/>
    <col min="5" max="5" width="17.33203125" customWidth="1"/>
    <col min="6" max="6" width="1.44140625" customWidth="1"/>
    <col min="7" max="7" width="17.33203125" customWidth="1"/>
    <col min="8" max="8" width="1.44140625" customWidth="1"/>
    <col min="9" max="9" width="17.33203125" customWidth="1"/>
    <col min="10" max="10" width="1.44140625" customWidth="1"/>
    <col min="11" max="11" width="17.33203125" customWidth="1"/>
    <col min="12" max="12" width="1.44140625" customWidth="1"/>
    <col min="13" max="13" width="17.33203125" customWidth="1"/>
    <col min="14" max="14" width="1.44140625" customWidth="1"/>
    <col min="15" max="15" width="17.33203125" customWidth="1"/>
    <col min="20" max="20" width="5.44140625" bestFit="1" customWidth="1"/>
  </cols>
  <sheetData>
    <row r="1" spans="1:15" ht="24.75" customHeight="1">
      <c r="A1" s="2" t="s">
        <v>194</v>
      </c>
      <c r="B1" s="2"/>
      <c r="C1" s="2"/>
    </row>
    <row r="2" spans="1:15" ht="24.75" customHeight="1">
      <c r="C2" s="1" t="s">
        <v>0</v>
      </c>
      <c r="E2" s="1" t="s">
        <v>1</v>
      </c>
      <c r="G2" s="1" t="s">
        <v>2</v>
      </c>
      <c r="I2" s="1" t="s">
        <v>3</v>
      </c>
      <c r="K2" s="1" t="s">
        <v>4</v>
      </c>
      <c r="M2" s="1" t="s">
        <v>5</v>
      </c>
      <c r="O2" s="1" t="s">
        <v>6</v>
      </c>
    </row>
    <row r="3" spans="1:15" ht="8.25" customHeight="1">
      <c r="A3" s="5"/>
      <c r="C3" s="6"/>
      <c r="E3" s="6"/>
      <c r="G3" s="6"/>
      <c r="I3" s="6"/>
      <c r="K3" s="6"/>
      <c r="M3" s="459"/>
      <c r="O3" s="459"/>
    </row>
    <row r="4" spans="1:15" ht="24.75" customHeight="1">
      <c r="A4" s="38" t="s">
        <v>68</v>
      </c>
      <c r="B4" s="38"/>
      <c r="C4" s="40" t="s">
        <v>86</v>
      </c>
      <c r="E4" s="40" t="s">
        <v>86</v>
      </c>
      <c r="G4" s="40" t="s">
        <v>86</v>
      </c>
      <c r="I4" s="40" t="s">
        <v>86</v>
      </c>
      <c r="K4" s="40" t="s">
        <v>86</v>
      </c>
      <c r="L4" s="38"/>
      <c r="M4" s="459"/>
      <c r="N4" s="38"/>
      <c r="O4" s="459"/>
    </row>
    <row r="5" spans="1:15" ht="8.25" customHeight="1">
      <c r="A5" s="5"/>
      <c r="C5" s="6"/>
      <c r="E5" s="6"/>
      <c r="G5" s="6"/>
      <c r="I5" s="6"/>
      <c r="K5" s="6"/>
      <c r="M5" s="459"/>
      <c r="O5" s="459"/>
    </row>
    <row r="6" spans="1:15" ht="26.25" customHeight="1">
      <c r="A6" s="38" t="s">
        <v>50</v>
      </c>
      <c r="B6" s="38"/>
      <c r="C6" s="40" t="s">
        <v>86</v>
      </c>
      <c r="E6" s="40" t="s">
        <v>86</v>
      </c>
      <c r="G6" s="40" t="s">
        <v>86</v>
      </c>
      <c r="I6" s="40" t="s">
        <v>86</v>
      </c>
      <c r="K6" s="40" t="s">
        <v>86</v>
      </c>
      <c r="L6" s="38"/>
      <c r="M6" s="459"/>
      <c r="N6" s="38"/>
      <c r="O6" s="459"/>
    </row>
    <row r="7" spans="1:15" ht="8.25" customHeight="1">
      <c r="A7" s="5"/>
      <c r="C7" s="6"/>
      <c r="E7" s="6"/>
      <c r="G7" s="6"/>
      <c r="I7" s="6" t="s">
        <v>87</v>
      </c>
      <c r="K7" s="6"/>
      <c r="M7" s="459"/>
      <c r="O7" s="459"/>
    </row>
    <row r="8" spans="1:15" ht="26.25" customHeight="1">
      <c r="A8" s="38" t="s">
        <v>51</v>
      </c>
      <c r="B8" s="38"/>
      <c r="C8" s="40" t="s">
        <v>86</v>
      </c>
      <c r="E8" s="40" t="s">
        <v>86</v>
      </c>
      <c r="G8" s="40" t="s">
        <v>86</v>
      </c>
      <c r="K8" s="40" t="s">
        <v>86</v>
      </c>
      <c r="L8" s="38"/>
      <c r="M8" s="459"/>
      <c r="N8" s="38"/>
      <c r="O8" s="459"/>
    </row>
    <row r="9" spans="1:15" ht="8.25" customHeight="1">
      <c r="A9" s="5"/>
      <c r="C9" s="6"/>
      <c r="E9" s="6"/>
      <c r="G9" s="6"/>
      <c r="I9" s="6"/>
      <c r="K9" s="6"/>
      <c r="M9" s="459"/>
      <c r="O9" s="459"/>
    </row>
    <row r="10" spans="1:15" ht="26.25" customHeight="1">
      <c r="A10" s="38" t="s">
        <v>52</v>
      </c>
      <c r="B10" s="38"/>
      <c r="C10" s="40" t="s">
        <v>86</v>
      </c>
      <c r="E10" s="40" t="s">
        <v>86</v>
      </c>
      <c r="G10" s="40" t="s">
        <v>86</v>
      </c>
      <c r="I10" s="41"/>
      <c r="K10" s="40" t="s">
        <v>86</v>
      </c>
      <c r="L10" s="38"/>
      <c r="M10" s="459"/>
      <c r="N10" s="38"/>
      <c r="O10" s="459"/>
    </row>
    <row r="11" spans="1:15" ht="8.25" customHeight="1">
      <c r="A11" s="5"/>
      <c r="C11" s="6"/>
      <c r="E11" s="6"/>
      <c r="G11" s="6"/>
      <c r="I11" s="6"/>
      <c r="K11" s="6"/>
      <c r="M11" s="6"/>
      <c r="O11" s="6"/>
    </row>
    <row r="12" spans="1:15" ht="26.25" customHeight="1">
      <c r="A12" s="38" t="s">
        <v>53</v>
      </c>
      <c r="B12" s="38"/>
      <c r="C12" s="192" t="s">
        <v>347</v>
      </c>
      <c r="D12" s="38"/>
      <c r="E12" s="40" t="s">
        <v>86</v>
      </c>
      <c r="F12" s="38"/>
      <c r="G12" s="40" t="s">
        <v>86</v>
      </c>
      <c r="H12" s="38"/>
      <c r="I12" s="40" t="s">
        <v>86</v>
      </c>
      <c r="K12" s="192" t="s">
        <v>347</v>
      </c>
      <c r="L12" s="38"/>
      <c r="M12" s="193" t="s">
        <v>346</v>
      </c>
      <c r="N12" s="38"/>
      <c r="O12" s="40" t="s">
        <v>86</v>
      </c>
    </row>
    <row r="13" spans="1:15" ht="8.25" customHeight="1">
      <c r="A13" s="5"/>
      <c r="C13" s="6"/>
      <c r="E13" s="6"/>
      <c r="G13" s="6"/>
      <c r="I13" s="6"/>
      <c r="K13" s="6"/>
      <c r="M13" s="6"/>
      <c r="O13" s="6"/>
    </row>
    <row r="14" spans="1:15" ht="26.25" customHeight="1">
      <c r="A14" s="38" t="s">
        <v>69</v>
      </c>
      <c r="B14" s="38"/>
      <c r="C14" s="192" t="s">
        <v>347</v>
      </c>
      <c r="E14" s="192" t="s">
        <v>347</v>
      </c>
      <c r="G14" s="192" t="s">
        <v>347</v>
      </c>
      <c r="I14" s="192" t="s">
        <v>347</v>
      </c>
      <c r="K14" s="192" t="s">
        <v>347</v>
      </c>
      <c r="L14" s="38"/>
      <c r="M14" s="193" t="s">
        <v>346</v>
      </c>
      <c r="N14" s="38"/>
      <c r="O14" s="40" t="s">
        <v>86</v>
      </c>
    </row>
    <row r="15" spans="1:15" ht="8.25" customHeight="1">
      <c r="A15" s="5"/>
      <c r="C15" s="6"/>
      <c r="E15" s="6"/>
      <c r="G15" s="6"/>
      <c r="I15" s="6"/>
      <c r="K15" s="6"/>
      <c r="M15" s="6"/>
      <c r="O15" s="6"/>
    </row>
    <row r="16" spans="1:15" ht="26.25" customHeight="1">
      <c r="A16" s="38" t="s">
        <v>7</v>
      </c>
      <c r="B16" s="38"/>
      <c r="C16" s="192" t="s">
        <v>347</v>
      </c>
      <c r="D16" s="38"/>
      <c r="E16" s="192" t="s">
        <v>347</v>
      </c>
      <c r="F16" s="38"/>
      <c r="G16" s="192" t="s">
        <v>347</v>
      </c>
      <c r="H16" s="38"/>
      <c r="I16" s="192" t="s">
        <v>347</v>
      </c>
      <c r="K16" s="192" t="s">
        <v>347</v>
      </c>
      <c r="L16" s="38"/>
      <c r="M16" s="193" t="s">
        <v>346</v>
      </c>
      <c r="N16" s="38"/>
      <c r="O16" s="192" t="s">
        <v>347</v>
      </c>
    </row>
    <row r="17" spans="1:20" ht="8.25" customHeight="1">
      <c r="A17" s="5"/>
      <c r="C17" s="6"/>
      <c r="E17" s="6"/>
      <c r="G17" s="6" t="s">
        <v>87</v>
      </c>
      <c r="I17" s="6"/>
      <c r="K17" s="6" t="s">
        <v>87</v>
      </c>
      <c r="M17" s="6"/>
      <c r="O17" s="6"/>
    </row>
    <row r="18" spans="1:20" ht="26.25" customHeight="1">
      <c r="A18" s="38" t="s">
        <v>70</v>
      </c>
      <c r="B18" s="38"/>
      <c r="D18" s="38"/>
      <c r="E18" s="192" t="s">
        <v>347</v>
      </c>
      <c r="F18" s="38"/>
      <c r="H18" s="38"/>
      <c r="I18" s="192" t="s">
        <v>347</v>
      </c>
      <c r="L18" s="38"/>
      <c r="M18" s="193" t="s">
        <v>346</v>
      </c>
      <c r="N18" s="38"/>
      <c r="O18" s="192" t="s">
        <v>347</v>
      </c>
    </row>
    <row r="19" spans="1:20" ht="8.25" customHeight="1">
      <c r="A19" s="5"/>
      <c r="C19" s="6"/>
      <c r="E19" s="6"/>
      <c r="G19" s="6"/>
      <c r="I19" s="6"/>
      <c r="K19" s="6"/>
      <c r="M19" s="6"/>
      <c r="O19" s="6"/>
    </row>
    <row r="20" spans="1:20" ht="26.25" customHeight="1">
      <c r="A20" s="38" t="s">
        <v>8</v>
      </c>
      <c r="B20" s="38"/>
      <c r="E20" s="192" t="s">
        <v>347</v>
      </c>
      <c r="G20" s="41"/>
      <c r="I20" s="40" t="s">
        <v>86</v>
      </c>
      <c r="K20" s="41"/>
      <c r="L20" s="38"/>
      <c r="M20" s="193" t="s">
        <v>346</v>
      </c>
      <c r="N20" s="38"/>
      <c r="O20" s="192" t="s">
        <v>347</v>
      </c>
    </row>
    <row r="21" spans="1:20" ht="8.25" customHeight="1">
      <c r="A21" s="5"/>
      <c r="C21" s="6"/>
      <c r="E21" s="6"/>
      <c r="G21" s="6"/>
      <c r="I21" s="6"/>
      <c r="K21" s="6"/>
      <c r="M21" s="6"/>
      <c r="O21" s="6" t="s">
        <v>87</v>
      </c>
    </row>
    <row r="22" spans="1:20" ht="26.25" customHeight="1">
      <c r="A22" s="38" t="s">
        <v>14</v>
      </c>
      <c r="B22" s="38"/>
      <c r="C22" s="192" t="s">
        <v>347</v>
      </c>
      <c r="E22" s="192" t="s">
        <v>347</v>
      </c>
      <c r="G22" s="192" t="s">
        <v>347</v>
      </c>
      <c r="I22" s="192" t="s">
        <v>347</v>
      </c>
      <c r="K22" s="192" t="s">
        <v>347</v>
      </c>
      <c r="L22" s="38"/>
      <c r="M22" s="193" t="s">
        <v>346</v>
      </c>
      <c r="N22" s="38"/>
      <c r="T22" s="7"/>
    </row>
    <row r="23" spans="1:20" ht="8.25" customHeight="1">
      <c r="A23" s="5"/>
      <c r="C23" s="6"/>
      <c r="E23" s="6"/>
      <c r="F23" s="6"/>
      <c r="G23" s="6"/>
      <c r="I23" s="6"/>
      <c r="K23" s="6"/>
      <c r="M23" s="6"/>
      <c r="O23" s="6"/>
    </row>
    <row r="24" spans="1:20" ht="26.25" customHeight="1">
      <c r="A24" s="38" t="s">
        <v>71</v>
      </c>
      <c r="B24" s="38"/>
      <c r="C24" s="192" t="s">
        <v>347</v>
      </c>
      <c r="E24" s="192" t="s">
        <v>347</v>
      </c>
      <c r="G24" s="192" t="s">
        <v>347</v>
      </c>
      <c r="I24" s="192" t="s">
        <v>347</v>
      </c>
      <c r="K24" s="192" t="s">
        <v>347</v>
      </c>
      <c r="L24" s="38"/>
      <c r="M24" s="193" t="s">
        <v>346</v>
      </c>
      <c r="N24" s="38"/>
      <c r="O24" s="41"/>
      <c r="T24" s="7"/>
    </row>
    <row r="25" spans="1:20" ht="8.25" customHeight="1">
      <c r="A25" s="5"/>
      <c r="C25" s="6"/>
      <c r="E25" s="6"/>
      <c r="G25" s="6"/>
      <c r="I25" s="6"/>
      <c r="K25" s="6"/>
      <c r="M25" s="6"/>
      <c r="O25" s="6"/>
    </row>
    <row r="26" spans="1:20" ht="26.25" customHeight="1">
      <c r="A26" s="38" t="s">
        <v>72</v>
      </c>
      <c r="B26" s="38"/>
      <c r="C26" s="192" t="s">
        <v>347</v>
      </c>
      <c r="E26" s="192" t="s">
        <v>347</v>
      </c>
      <c r="G26" s="192" t="s">
        <v>347</v>
      </c>
      <c r="I26" s="192" t="s">
        <v>347</v>
      </c>
      <c r="K26" s="192" t="s">
        <v>347</v>
      </c>
      <c r="L26" s="38"/>
      <c r="N26" s="38"/>
      <c r="O26" s="40" t="s">
        <v>86</v>
      </c>
    </row>
    <row r="27" spans="1:20" ht="8.25" customHeight="1">
      <c r="A27" s="5"/>
      <c r="B27" s="38"/>
      <c r="C27" s="6"/>
      <c r="E27" s="6"/>
      <c r="G27" s="6"/>
      <c r="I27" s="6"/>
      <c r="K27" s="6"/>
      <c r="M27" s="6"/>
      <c r="O27" s="6"/>
    </row>
    <row r="28" spans="1:20" ht="26.25" customHeight="1">
      <c r="A28" s="38" t="s">
        <v>56</v>
      </c>
      <c r="B28" s="38"/>
      <c r="C28" s="192" t="s">
        <v>347</v>
      </c>
      <c r="D28" s="38"/>
      <c r="E28" s="192" t="s">
        <v>347</v>
      </c>
      <c r="F28" s="38"/>
      <c r="G28" s="192" t="s">
        <v>347</v>
      </c>
      <c r="H28" s="38"/>
      <c r="I28" s="192" t="s">
        <v>347</v>
      </c>
      <c r="J28" s="38"/>
      <c r="K28" s="192" t="s">
        <v>347</v>
      </c>
      <c r="L28" s="38"/>
      <c r="M28" s="41"/>
      <c r="N28" s="38"/>
      <c r="O28" s="40" t="s">
        <v>86</v>
      </c>
    </row>
    <row r="29" spans="1:20" ht="8.25" customHeight="1">
      <c r="A29" s="5"/>
      <c r="C29" s="6"/>
      <c r="E29" s="6"/>
      <c r="G29" s="6"/>
      <c r="I29" s="6"/>
      <c r="K29" s="6"/>
      <c r="M29" s="6"/>
      <c r="O29" s="6"/>
    </row>
    <row r="30" spans="1:20" ht="26.25" customHeight="1">
      <c r="A30" s="38" t="s">
        <v>73</v>
      </c>
      <c r="B30" s="38"/>
      <c r="C30" s="192" t="s">
        <v>347</v>
      </c>
      <c r="D30" s="38"/>
      <c r="E30" s="192" t="s">
        <v>347</v>
      </c>
      <c r="F30" s="38"/>
      <c r="G30" s="192" t="s">
        <v>347</v>
      </c>
      <c r="I30" s="192" t="s">
        <v>347</v>
      </c>
      <c r="K30" s="192" t="s">
        <v>347</v>
      </c>
      <c r="M30" s="40" t="s">
        <v>86</v>
      </c>
      <c r="N30" s="38"/>
      <c r="O30" s="40" t="s">
        <v>86</v>
      </c>
    </row>
    <row r="31" spans="1:20" ht="8.25" customHeight="1">
      <c r="A31" s="5"/>
      <c r="C31" s="6"/>
      <c r="E31" s="6"/>
      <c r="G31" s="6"/>
      <c r="I31" s="6"/>
      <c r="K31" s="6"/>
      <c r="M31" s="6"/>
      <c r="O31" s="6"/>
    </row>
    <row r="32" spans="1:20" ht="26.25" customHeight="1">
      <c r="A32" s="38" t="s">
        <v>74</v>
      </c>
      <c r="B32" s="38"/>
      <c r="C32" s="192" t="s">
        <v>347</v>
      </c>
      <c r="E32" s="192" t="s">
        <v>347</v>
      </c>
      <c r="G32" s="192" t="s">
        <v>347</v>
      </c>
      <c r="I32" s="192" t="s">
        <v>347</v>
      </c>
      <c r="K32" s="192" t="s">
        <v>347</v>
      </c>
      <c r="L32" s="38"/>
      <c r="M32" s="40" t="s">
        <v>86</v>
      </c>
      <c r="N32" s="38"/>
      <c r="O32" s="40" t="s">
        <v>86</v>
      </c>
    </row>
    <row r="33" spans="1:15" ht="8.25" customHeight="1">
      <c r="A33" s="5"/>
      <c r="C33" s="6"/>
      <c r="E33" s="6"/>
      <c r="G33" s="6"/>
      <c r="I33" s="6"/>
      <c r="K33" s="6"/>
      <c r="M33" s="6"/>
      <c r="O33" s="6"/>
    </row>
    <row r="34" spans="1:15" ht="26.25" customHeight="1">
      <c r="A34" s="38" t="s">
        <v>75</v>
      </c>
      <c r="B34" s="38"/>
      <c r="C34" s="192" t="s">
        <v>347</v>
      </c>
      <c r="E34" s="192" t="s">
        <v>347</v>
      </c>
      <c r="G34" s="192" t="s">
        <v>347</v>
      </c>
      <c r="I34" s="192" t="s">
        <v>347</v>
      </c>
      <c r="K34" s="192" t="s">
        <v>347</v>
      </c>
      <c r="L34" s="38"/>
      <c r="M34" s="40" t="s">
        <v>86</v>
      </c>
      <c r="N34" s="38"/>
      <c r="O34" s="40" t="s">
        <v>86</v>
      </c>
    </row>
    <row r="35" spans="1:15" ht="8.25" customHeight="1">
      <c r="A35" s="5"/>
      <c r="C35" s="6"/>
      <c r="E35" s="6"/>
      <c r="G35" s="6"/>
      <c r="I35" s="6"/>
      <c r="K35" s="6"/>
      <c r="M35" s="6"/>
      <c r="O35" s="6"/>
    </row>
    <row r="36" spans="1:15" ht="26.25" customHeight="1">
      <c r="A36" s="38" t="s">
        <v>76</v>
      </c>
      <c r="B36" s="38"/>
      <c r="C36" s="192" t="s">
        <v>347</v>
      </c>
      <c r="E36" s="192" t="s">
        <v>347</v>
      </c>
      <c r="G36" s="192" t="s">
        <v>347</v>
      </c>
      <c r="I36" s="192" t="s">
        <v>347</v>
      </c>
      <c r="K36" s="192" t="s">
        <v>347</v>
      </c>
      <c r="L36" s="38"/>
      <c r="M36" s="40" t="s">
        <v>86</v>
      </c>
      <c r="N36" s="38"/>
      <c r="O36" s="40" t="s">
        <v>86</v>
      </c>
    </row>
    <row r="37" spans="1:15" ht="8.25" customHeight="1">
      <c r="A37" s="5"/>
      <c r="C37" s="6"/>
      <c r="E37" s="6"/>
      <c r="G37" s="6"/>
      <c r="I37" s="6"/>
      <c r="K37" s="6"/>
      <c r="M37" s="6"/>
      <c r="O37" s="6"/>
    </row>
    <row r="38" spans="1:15" ht="26.25" customHeight="1">
      <c r="A38" s="38" t="s">
        <v>77</v>
      </c>
      <c r="B38" s="38"/>
      <c r="C38" s="192" t="s">
        <v>347</v>
      </c>
      <c r="E38" s="192" t="s">
        <v>347</v>
      </c>
      <c r="G38" s="192" t="s">
        <v>347</v>
      </c>
      <c r="I38" s="192" t="s">
        <v>347</v>
      </c>
      <c r="K38" s="192" t="s">
        <v>347</v>
      </c>
      <c r="L38" s="38"/>
      <c r="M38" s="40" t="s">
        <v>86</v>
      </c>
      <c r="N38" s="38"/>
      <c r="O38" s="40" t="s">
        <v>86</v>
      </c>
    </row>
    <row r="39" spans="1:15" ht="8.25" customHeight="1">
      <c r="A39" s="5"/>
      <c r="C39" s="6"/>
      <c r="E39" s="6"/>
      <c r="G39" s="6"/>
      <c r="I39" s="6"/>
      <c r="K39" s="6"/>
      <c r="M39" s="6"/>
      <c r="O39" s="6"/>
    </row>
    <row r="40" spans="1:15" ht="26.25" customHeight="1">
      <c r="A40" s="38" t="s">
        <v>78</v>
      </c>
      <c r="B40" s="38"/>
      <c r="C40" s="40" t="s">
        <v>86</v>
      </c>
      <c r="D40" s="38"/>
      <c r="E40" s="40" t="s">
        <v>86</v>
      </c>
      <c r="G40" s="40" t="s">
        <v>86</v>
      </c>
      <c r="H40" s="38"/>
      <c r="I40" s="40" t="s">
        <v>86</v>
      </c>
      <c r="K40" s="40" t="s">
        <v>86</v>
      </c>
      <c r="M40" s="40" t="s">
        <v>86</v>
      </c>
      <c r="N40" s="38"/>
      <c r="O40" s="40" t="s">
        <v>86</v>
      </c>
    </row>
    <row r="41" spans="1:15" ht="8.25" customHeight="1">
      <c r="A41" s="5"/>
      <c r="C41" s="6"/>
      <c r="E41" s="6"/>
      <c r="G41" s="6"/>
      <c r="I41" s="6"/>
      <c r="K41" s="6"/>
      <c r="M41" s="6"/>
      <c r="O41" s="6"/>
    </row>
    <row r="42" spans="1:15" ht="26.25" customHeight="1">
      <c r="A42" s="38" t="s">
        <v>79</v>
      </c>
      <c r="B42" s="38"/>
      <c r="C42" s="40" t="s">
        <v>86</v>
      </c>
      <c r="D42" s="38"/>
      <c r="E42" s="40" t="s">
        <v>86</v>
      </c>
      <c r="G42" s="40" t="s">
        <v>86</v>
      </c>
      <c r="H42" s="38"/>
      <c r="I42" s="40" t="s">
        <v>86</v>
      </c>
      <c r="K42" s="40" t="s">
        <v>86</v>
      </c>
      <c r="M42" s="40" t="s">
        <v>86</v>
      </c>
      <c r="N42" s="38"/>
      <c r="O42" s="40" t="s">
        <v>86</v>
      </c>
    </row>
    <row r="43" spans="1:15" ht="8.25" customHeight="1">
      <c r="A43" s="5"/>
      <c r="C43" s="6"/>
      <c r="E43" s="6"/>
      <c r="G43" s="6"/>
      <c r="I43" s="6"/>
      <c r="K43" s="6"/>
      <c r="M43" s="6"/>
      <c r="O43" s="6"/>
    </row>
    <row r="44" spans="1:15" ht="26.25" customHeight="1">
      <c r="A44" s="38" t="s">
        <v>11</v>
      </c>
      <c r="B44" s="38"/>
      <c r="C44" s="193" t="s">
        <v>346</v>
      </c>
      <c r="E44" s="40" t="s">
        <v>86</v>
      </c>
      <c r="G44" s="193" t="s">
        <v>346</v>
      </c>
      <c r="I44" s="193" t="s">
        <v>346</v>
      </c>
      <c r="K44" s="40" t="s">
        <v>86</v>
      </c>
      <c r="L44" s="38"/>
      <c r="M44" s="40" t="s">
        <v>86</v>
      </c>
      <c r="N44" s="38"/>
      <c r="O44" s="40" t="s">
        <v>86</v>
      </c>
    </row>
    <row r="45" spans="1:15" ht="8.25" customHeight="1">
      <c r="A45" s="5"/>
      <c r="C45" s="6"/>
      <c r="E45" s="6"/>
      <c r="G45" s="6"/>
      <c r="I45" s="6"/>
      <c r="K45" s="6"/>
      <c r="M45" s="6"/>
      <c r="O45" s="6"/>
    </row>
    <row r="46" spans="1:15" ht="26.25" customHeight="1">
      <c r="A46" s="38" t="s">
        <v>83</v>
      </c>
      <c r="B46" s="38"/>
      <c r="C46" s="193" t="s">
        <v>346</v>
      </c>
      <c r="D46" s="38"/>
      <c r="E46" s="193" t="s">
        <v>346</v>
      </c>
      <c r="G46" s="193" t="s">
        <v>346</v>
      </c>
      <c r="H46" s="38"/>
      <c r="I46" s="193" t="s">
        <v>346</v>
      </c>
      <c r="K46" s="193" t="s">
        <v>346</v>
      </c>
      <c r="L46" s="38"/>
      <c r="M46" s="40" t="s">
        <v>86</v>
      </c>
      <c r="N46" s="38"/>
      <c r="O46" s="40" t="s">
        <v>86</v>
      </c>
    </row>
    <row r="47" spans="1:15" ht="8.25" customHeight="1">
      <c r="A47" s="5"/>
      <c r="C47" s="6"/>
      <c r="E47" s="6"/>
      <c r="G47" s="6"/>
      <c r="I47" s="6"/>
      <c r="K47" s="6"/>
      <c r="M47" s="6"/>
      <c r="O47" s="6"/>
    </row>
    <row r="48" spans="1:15" ht="26.25" customHeight="1">
      <c r="A48" s="38" t="s">
        <v>15</v>
      </c>
      <c r="B48" s="38"/>
      <c r="C48" s="193" t="s">
        <v>346</v>
      </c>
      <c r="D48" s="38"/>
      <c r="E48" s="193" t="s">
        <v>346</v>
      </c>
      <c r="G48" s="193" t="s">
        <v>346</v>
      </c>
      <c r="H48" s="38"/>
      <c r="I48" s="193" t="s">
        <v>346</v>
      </c>
      <c r="K48" s="193" t="s">
        <v>346</v>
      </c>
      <c r="M48" s="40" t="s">
        <v>86</v>
      </c>
      <c r="N48" s="38"/>
      <c r="O48" s="459"/>
    </row>
    <row r="49" spans="1:15" ht="8.25" customHeight="1">
      <c r="A49" s="5"/>
      <c r="C49" s="6"/>
      <c r="E49" s="6"/>
      <c r="G49" s="6"/>
      <c r="I49" s="6"/>
      <c r="K49" s="6"/>
      <c r="M49" s="6"/>
      <c r="O49" s="459"/>
    </row>
    <row r="50" spans="1:15" ht="26.25" customHeight="1">
      <c r="A50" s="38" t="s">
        <v>58</v>
      </c>
      <c r="B50" s="38"/>
      <c r="C50" s="193" t="s">
        <v>346</v>
      </c>
      <c r="D50" s="38"/>
      <c r="E50" s="193" t="s">
        <v>346</v>
      </c>
      <c r="G50" s="193" t="s">
        <v>346</v>
      </c>
      <c r="H50" s="38"/>
      <c r="I50" s="193" t="s">
        <v>346</v>
      </c>
      <c r="K50" s="193" t="s">
        <v>346</v>
      </c>
      <c r="M50" s="40" t="s">
        <v>86</v>
      </c>
      <c r="N50" s="38"/>
      <c r="O50" s="459"/>
    </row>
    <row r="51" spans="1:15" ht="8.25" customHeight="1">
      <c r="A51" s="5"/>
      <c r="C51" s="6"/>
      <c r="E51" s="6"/>
      <c r="G51" s="6"/>
      <c r="I51" s="6"/>
      <c r="K51" s="6"/>
      <c r="M51" s="6"/>
      <c r="O51" s="459"/>
    </row>
    <row r="52" spans="1:15" ht="26.25" customHeight="1">
      <c r="A52" s="38" t="s">
        <v>16</v>
      </c>
      <c r="B52" s="38"/>
      <c r="C52" s="193" t="s">
        <v>346</v>
      </c>
      <c r="D52" s="38"/>
      <c r="E52" s="193" t="s">
        <v>346</v>
      </c>
      <c r="F52" s="38"/>
      <c r="G52" s="193" t="s">
        <v>346</v>
      </c>
      <c r="H52" s="38"/>
      <c r="I52" s="193" t="s">
        <v>346</v>
      </c>
      <c r="J52" s="38"/>
      <c r="K52" s="193" t="s">
        <v>346</v>
      </c>
      <c r="L52" s="38"/>
      <c r="M52" s="40" t="s">
        <v>86</v>
      </c>
      <c r="N52" s="38"/>
      <c r="O52" s="459"/>
    </row>
    <row r="53" spans="1:15" ht="8.25" customHeight="1">
      <c r="A53" s="5"/>
      <c r="C53" s="6"/>
      <c r="E53" s="6"/>
      <c r="G53" s="6" t="s">
        <v>87</v>
      </c>
      <c r="I53" s="6"/>
      <c r="K53" s="6" t="s">
        <v>87</v>
      </c>
      <c r="M53" s="6"/>
      <c r="O53" s="459"/>
    </row>
    <row r="54" spans="1:15" ht="26.25" customHeight="1">
      <c r="A54" s="38" t="s">
        <v>9</v>
      </c>
      <c r="B54" s="38"/>
      <c r="D54" s="38"/>
      <c r="E54" s="193" t="s">
        <v>346</v>
      </c>
      <c r="F54" s="38"/>
      <c r="I54" s="193" t="s">
        <v>346</v>
      </c>
      <c r="L54" s="38"/>
      <c r="M54" s="40" t="s">
        <v>86</v>
      </c>
      <c r="N54" s="38"/>
      <c r="O54" s="459"/>
    </row>
    <row r="55" spans="1:15" ht="8.25" customHeight="1">
      <c r="A55" s="5"/>
      <c r="C55" s="6"/>
      <c r="E55" s="6"/>
      <c r="G55" s="6"/>
      <c r="I55" s="6"/>
      <c r="K55" s="6"/>
      <c r="M55" s="6"/>
      <c r="O55" s="459"/>
    </row>
    <row r="56" spans="1:15" ht="26.25" customHeight="1">
      <c r="A56" s="38" t="s">
        <v>12</v>
      </c>
      <c r="B56" s="38"/>
      <c r="E56" s="193" t="s">
        <v>346</v>
      </c>
      <c r="G56" s="41"/>
      <c r="I56" s="193" t="s">
        <v>346</v>
      </c>
      <c r="K56" s="41"/>
      <c r="L56" s="38"/>
      <c r="M56" s="459"/>
      <c r="N56" s="38"/>
      <c r="O56" s="459"/>
    </row>
    <row r="57" spans="1:15" ht="8.25" customHeight="1">
      <c r="A57" s="5"/>
      <c r="C57" s="6"/>
      <c r="E57" s="6"/>
      <c r="G57" s="6"/>
      <c r="I57" s="6"/>
      <c r="K57" s="6"/>
      <c r="M57" s="459"/>
      <c r="O57" s="459"/>
    </row>
    <row r="58" spans="1:15" ht="26.25" customHeight="1">
      <c r="A58" s="38" t="s">
        <v>25</v>
      </c>
      <c r="B58" s="38"/>
      <c r="C58" s="40" t="s">
        <v>86</v>
      </c>
      <c r="E58" s="192" t="s">
        <v>347</v>
      </c>
      <c r="G58" s="40" t="s">
        <v>86</v>
      </c>
      <c r="I58" s="192" t="s">
        <v>347</v>
      </c>
      <c r="K58" s="40" t="s">
        <v>86</v>
      </c>
      <c r="L58" s="38"/>
      <c r="M58" s="459"/>
      <c r="N58" s="38"/>
      <c r="O58" s="459"/>
    </row>
    <row r="59" spans="1:15" ht="8.25" customHeight="1">
      <c r="A59" s="5"/>
      <c r="C59" s="6"/>
      <c r="E59" s="6"/>
      <c r="G59" s="6"/>
      <c r="I59" s="6"/>
      <c r="K59" s="6"/>
      <c r="M59" s="459"/>
      <c r="O59" s="459"/>
    </row>
    <row r="60" spans="1:15" ht="26.25" customHeight="1">
      <c r="A60" s="38" t="s">
        <v>80</v>
      </c>
      <c r="B60" s="38"/>
      <c r="C60" s="40" t="s">
        <v>86</v>
      </c>
      <c r="E60" s="192" t="s">
        <v>347</v>
      </c>
      <c r="G60" s="40" t="s">
        <v>86</v>
      </c>
      <c r="I60" s="192" t="s">
        <v>347</v>
      </c>
      <c r="K60" s="40" t="s">
        <v>86</v>
      </c>
      <c r="L60" s="38"/>
      <c r="M60" s="459"/>
      <c r="N60" s="38"/>
      <c r="O60" s="459"/>
    </row>
    <row r="61" spans="1:15" ht="8.25" customHeight="1">
      <c r="A61" s="5"/>
      <c r="C61" s="6"/>
      <c r="E61" s="6"/>
      <c r="G61" s="6"/>
      <c r="I61" s="6"/>
      <c r="K61" s="6"/>
      <c r="M61" s="459"/>
      <c r="O61" s="459"/>
    </row>
    <row r="62" spans="1:15" ht="26.25" customHeight="1">
      <c r="A62" s="38" t="s">
        <v>59</v>
      </c>
      <c r="B62" s="38"/>
      <c r="C62" s="40" t="s">
        <v>86</v>
      </c>
      <c r="E62" s="192" t="s">
        <v>347</v>
      </c>
      <c r="G62" s="40" t="s">
        <v>86</v>
      </c>
      <c r="I62" s="192" t="s">
        <v>347</v>
      </c>
      <c r="K62" s="40" t="s">
        <v>86</v>
      </c>
      <c r="L62" s="38"/>
      <c r="M62" s="459"/>
      <c r="N62" s="38"/>
      <c r="O62" s="459"/>
    </row>
    <row r="63" spans="1:15" ht="8.25" customHeight="1">
      <c r="A63" s="5"/>
      <c r="C63" s="6"/>
      <c r="E63" s="6"/>
      <c r="G63" s="6"/>
      <c r="I63" s="6"/>
      <c r="K63" s="6"/>
      <c r="M63" s="459"/>
      <c r="O63" s="459"/>
    </row>
    <row r="64" spans="1:15" ht="26.25" customHeight="1">
      <c r="A64" s="38" t="s">
        <v>81</v>
      </c>
      <c r="B64" s="38"/>
      <c r="C64" s="40" t="s">
        <v>86</v>
      </c>
      <c r="E64" s="192" t="s">
        <v>347</v>
      </c>
      <c r="G64" s="40" t="s">
        <v>86</v>
      </c>
      <c r="I64" s="192" t="s">
        <v>347</v>
      </c>
      <c r="K64" s="40" t="s">
        <v>86</v>
      </c>
      <c r="L64" s="38"/>
      <c r="M64" s="459"/>
      <c r="N64" s="38"/>
      <c r="O64" s="459"/>
    </row>
    <row r="65" spans="1:15" ht="8.25" customHeight="1">
      <c r="A65" s="5"/>
      <c r="C65" s="6"/>
      <c r="E65" s="6"/>
      <c r="G65" s="6"/>
      <c r="I65" s="6"/>
      <c r="K65" s="6"/>
      <c r="M65" s="459"/>
      <c r="O65" s="459"/>
    </row>
    <row r="66" spans="1:15" ht="26.25" customHeight="1">
      <c r="A66" s="38" t="s">
        <v>82</v>
      </c>
      <c r="B66" s="38"/>
      <c r="C66" s="40" t="s">
        <v>86</v>
      </c>
      <c r="E66" s="192" t="s">
        <v>347</v>
      </c>
      <c r="G66" s="40" t="s">
        <v>86</v>
      </c>
      <c r="I66" s="192" t="s">
        <v>347</v>
      </c>
      <c r="K66" s="40" t="s">
        <v>86</v>
      </c>
      <c r="L66" s="38"/>
      <c r="M66" s="459"/>
      <c r="N66" s="38"/>
      <c r="O66" s="459"/>
    </row>
    <row r="67" spans="1:15" ht="8.25" customHeight="1">
      <c r="A67" s="5"/>
      <c r="C67" s="6"/>
      <c r="E67" s="6"/>
      <c r="G67" s="6"/>
      <c r="I67" s="6"/>
      <c r="K67" s="6"/>
      <c r="M67" s="459"/>
      <c r="O67" s="459"/>
    </row>
    <row r="68" spans="1:15">
      <c r="A68" s="38"/>
      <c r="B68" s="38"/>
      <c r="D68" s="38"/>
      <c r="F68" s="38"/>
      <c r="H68" s="38"/>
      <c r="J68" s="38"/>
      <c r="L68" s="38"/>
      <c r="N68" s="38"/>
    </row>
    <row r="69" spans="1:15" ht="28.5" customHeight="1">
      <c r="A69" s="38"/>
      <c r="B69" s="38"/>
      <c r="D69" s="38"/>
      <c r="F69" s="38"/>
      <c r="H69" s="38"/>
      <c r="J69" s="38"/>
      <c r="K69" s="430"/>
      <c r="L69" s="430"/>
      <c r="M69" s="430"/>
      <c r="N69" s="430"/>
      <c r="O69" s="430"/>
    </row>
    <row r="70" spans="1:15" s="8" customFormat="1" ht="38.25" customHeight="1">
      <c r="A70" s="38"/>
      <c r="B70" s="38"/>
      <c r="D70" s="38"/>
      <c r="F70" s="38"/>
      <c r="H70" s="38"/>
      <c r="J70" s="38"/>
      <c r="K70" s="3"/>
      <c r="L70" s="3"/>
      <c r="M70" s="9"/>
      <c r="N70" s="3"/>
      <c r="O70" s="3"/>
    </row>
    <row r="71" spans="1:15">
      <c r="A71" s="38"/>
      <c r="B71" s="38"/>
      <c r="D71" s="38"/>
      <c r="F71" s="38"/>
      <c r="H71" s="38"/>
      <c r="J71" s="38"/>
      <c r="K71" s="4"/>
      <c r="L71" s="3"/>
      <c r="M71" s="4"/>
      <c r="N71" s="3"/>
      <c r="O71" s="4"/>
    </row>
    <row r="72" spans="1:15">
      <c r="A72" s="38"/>
      <c r="B72" s="38"/>
      <c r="D72" s="38"/>
      <c r="F72" s="38"/>
      <c r="H72" s="38"/>
      <c r="J72" s="38"/>
      <c r="L72" s="38"/>
      <c r="N72" s="38"/>
    </row>
    <row r="73" spans="1:15">
      <c r="A73" s="38"/>
    </row>
    <row r="74" spans="1:15">
      <c r="A74" s="38"/>
    </row>
  </sheetData>
  <dataConsolidate/>
  <mergeCells count="5">
    <mergeCell ref="M3:M10"/>
    <mergeCell ref="O3:O10"/>
    <mergeCell ref="K69:O69"/>
    <mergeCell ref="O48:O67"/>
    <mergeCell ref="M56:M67"/>
  </mergeCells>
  <pageMargins left="0.7" right="0.7" top="0.75" bottom="0.75" header="0.3" footer="0.3"/>
  <pageSetup paperSize="9" scale="62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FFFF"/>
    <pageSetUpPr fitToPage="1"/>
  </sheetPr>
  <dimension ref="A1:T82"/>
  <sheetViews>
    <sheetView showGridLines="0" view="pageBreakPreview" topLeftCell="A4" zoomScaleNormal="70" zoomScaleSheetLayoutView="100" workbookViewId="0">
      <selection activeCell="O3" sqref="O3:O10"/>
    </sheetView>
  </sheetViews>
  <sheetFormatPr defaultColWidth="8.6640625" defaultRowHeight="14.4"/>
  <cols>
    <col min="2" max="2" width="1.44140625" customWidth="1"/>
    <col min="3" max="3" width="17.33203125" customWidth="1"/>
    <col min="4" max="4" width="1.44140625" customWidth="1"/>
    <col min="5" max="5" width="17.33203125" customWidth="1"/>
    <col min="6" max="6" width="1.44140625" customWidth="1"/>
    <col min="7" max="7" width="17.33203125" customWidth="1"/>
    <col min="8" max="8" width="1.44140625" customWidth="1"/>
    <col min="9" max="9" width="17.33203125" customWidth="1"/>
    <col min="10" max="10" width="1.44140625" customWidth="1"/>
    <col min="11" max="11" width="17.33203125" customWidth="1"/>
    <col min="12" max="12" width="1.44140625" customWidth="1"/>
    <col min="13" max="13" width="17.33203125" customWidth="1"/>
    <col min="14" max="14" width="1.44140625" customWidth="1"/>
    <col min="15" max="15" width="17.33203125" customWidth="1"/>
    <col min="20" max="20" width="5.44140625" bestFit="1" customWidth="1"/>
  </cols>
  <sheetData>
    <row r="1" spans="1:15" ht="24.75" customHeight="1">
      <c r="A1" s="2" t="s">
        <v>195</v>
      </c>
      <c r="B1" s="2"/>
      <c r="C1" s="2"/>
    </row>
    <row r="2" spans="1:15" ht="24.75" customHeight="1">
      <c r="C2" s="1" t="s">
        <v>0</v>
      </c>
      <c r="E2" s="1" t="s">
        <v>1</v>
      </c>
      <c r="G2" s="1" t="s">
        <v>2</v>
      </c>
      <c r="I2" s="1" t="s">
        <v>3</v>
      </c>
      <c r="K2" s="1" t="s">
        <v>4</v>
      </c>
      <c r="M2" s="1" t="s">
        <v>5</v>
      </c>
      <c r="O2" s="1" t="s">
        <v>6</v>
      </c>
    </row>
    <row r="3" spans="1:15" ht="8.25" customHeight="1">
      <c r="A3" s="5"/>
      <c r="C3" s="6"/>
      <c r="E3" s="6"/>
      <c r="G3" s="6"/>
      <c r="I3" s="6"/>
      <c r="K3" s="6"/>
      <c r="M3" s="460" t="s">
        <v>135</v>
      </c>
      <c r="O3" s="459"/>
    </row>
    <row r="4" spans="1:15" ht="24.75" customHeight="1">
      <c r="A4" s="38" t="s">
        <v>68</v>
      </c>
      <c r="B4" s="38"/>
      <c r="C4" s="40" t="s">
        <v>86</v>
      </c>
      <c r="E4" s="40" t="s">
        <v>86</v>
      </c>
      <c r="G4" s="40" t="s">
        <v>86</v>
      </c>
      <c r="I4" s="40" t="s">
        <v>86</v>
      </c>
      <c r="K4" s="40" t="s">
        <v>86</v>
      </c>
      <c r="L4" s="38"/>
      <c r="M4" s="460"/>
      <c r="N4" s="38"/>
      <c r="O4" s="459"/>
    </row>
    <row r="5" spans="1:15" ht="8.25" customHeight="1">
      <c r="A5" s="5"/>
      <c r="C5" s="6"/>
      <c r="E5" s="6"/>
      <c r="G5" s="6"/>
      <c r="I5" s="6"/>
      <c r="K5" s="6"/>
      <c r="M5" s="460"/>
      <c r="O5" s="459"/>
    </row>
    <row r="6" spans="1:15" ht="26.25" customHeight="1">
      <c r="A6" s="38" t="s">
        <v>50</v>
      </c>
      <c r="B6" s="38"/>
      <c r="C6" s="40" t="s">
        <v>86</v>
      </c>
      <c r="E6" s="40" t="s">
        <v>86</v>
      </c>
      <c r="G6" s="40" t="s">
        <v>86</v>
      </c>
      <c r="I6" s="40" t="s">
        <v>86</v>
      </c>
      <c r="K6" s="40" t="s">
        <v>86</v>
      </c>
      <c r="L6" s="38"/>
      <c r="M6" s="460"/>
      <c r="N6" s="38"/>
      <c r="O6" s="459"/>
    </row>
    <row r="7" spans="1:15" ht="8.25" customHeight="1">
      <c r="A7" s="5"/>
      <c r="C7" s="6"/>
      <c r="E7" s="6"/>
      <c r="G7" s="6"/>
      <c r="I7" s="6"/>
      <c r="K7" s="6"/>
      <c r="M7" s="460"/>
      <c r="O7" s="459"/>
    </row>
    <row r="8" spans="1:15" ht="26.25" customHeight="1">
      <c r="A8" s="38" t="s">
        <v>51</v>
      </c>
      <c r="B8" s="38"/>
      <c r="C8" s="40" t="s">
        <v>86</v>
      </c>
      <c r="E8" s="40" t="s">
        <v>86</v>
      </c>
      <c r="G8" s="40" t="s">
        <v>86</v>
      </c>
      <c r="I8" s="40" t="s">
        <v>86</v>
      </c>
      <c r="K8" s="40" t="s">
        <v>86</v>
      </c>
      <c r="L8" s="38"/>
      <c r="M8" s="460"/>
      <c r="N8" s="38"/>
      <c r="O8" s="459"/>
    </row>
    <row r="9" spans="1:15" ht="8.25" customHeight="1">
      <c r="A9" s="5"/>
      <c r="C9" s="6"/>
      <c r="E9" s="6"/>
      <c r="G9" s="6"/>
      <c r="I9" s="6"/>
      <c r="K9" s="6"/>
      <c r="M9" s="460"/>
      <c r="O9" s="459"/>
    </row>
    <row r="10" spans="1:15" ht="26.25" customHeight="1">
      <c r="A10" s="38" t="s">
        <v>52</v>
      </c>
      <c r="B10" s="38"/>
      <c r="C10" s="40" t="s">
        <v>86</v>
      </c>
      <c r="E10" s="40" t="s">
        <v>86</v>
      </c>
      <c r="G10" s="40" t="s">
        <v>86</v>
      </c>
      <c r="I10" s="40" t="s">
        <v>86</v>
      </c>
      <c r="K10" s="40" t="s">
        <v>86</v>
      </c>
      <c r="L10" s="38"/>
      <c r="M10" s="460"/>
      <c r="N10" s="38"/>
      <c r="O10" s="459"/>
    </row>
    <row r="11" spans="1:15" ht="8.25" customHeight="1">
      <c r="A11" s="5"/>
      <c r="C11" s="6" t="s">
        <v>87</v>
      </c>
      <c r="E11" s="6"/>
      <c r="G11" s="6" t="s">
        <v>87</v>
      </c>
      <c r="I11" s="6"/>
      <c r="K11" s="6" t="s">
        <v>87</v>
      </c>
      <c r="M11" s="6"/>
      <c r="O11" s="6"/>
    </row>
    <row r="12" spans="1:15" ht="26.25" customHeight="1">
      <c r="A12" s="38" t="s">
        <v>53</v>
      </c>
      <c r="B12" s="38"/>
      <c r="D12" s="38"/>
      <c r="E12" s="40" t="s">
        <v>86</v>
      </c>
      <c r="F12" s="38"/>
      <c r="H12" s="38"/>
      <c r="I12" s="40" t="s">
        <v>86</v>
      </c>
      <c r="L12" s="38"/>
      <c r="M12" s="40" t="s">
        <v>86</v>
      </c>
      <c r="N12" s="38"/>
      <c r="O12" s="40" t="s">
        <v>86</v>
      </c>
    </row>
    <row r="13" spans="1:15" ht="8.25" customHeight="1">
      <c r="A13" s="5"/>
      <c r="C13" s="6"/>
      <c r="E13" s="6"/>
      <c r="G13" s="6"/>
      <c r="I13" s="6"/>
      <c r="K13" s="6"/>
      <c r="M13" s="6"/>
      <c r="O13" s="6" t="s">
        <v>87</v>
      </c>
    </row>
    <row r="14" spans="1:15" ht="26.25" customHeight="1">
      <c r="A14" s="429" t="s">
        <v>85</v>
      </c>
      <c r="B14" s="38"/>
      <c r="C14" s="41"/>
      <c r="E14" s="40" t="s">
        <v>86</v>
      </c>
      <c r="G14" s="41"/>
      <c r="I14" s="40" t="s">
        <v>86</v>
      </c>
      <c r="K14" s="41"/>
      <c r="L14" s="38"/>
      <c r="M14" s="40" t="s">
        <v>86</v>
      </c>
      <c r="N14" s="38"/>
    </row>
    <row r="15" spans="1:15" ht="8.25" customHeight="1">
      <c r="A15" s="429"/>
      <c r="C15" s="6"/>
      <c r="E15" s="6"/>
      <c r="G15" s="6"/>
      <c r="I15" s="6"/>
      <c r="K15" s="6"/>
      <c r="M15" s="6"/>
      <c r="O15" s="6" t="s">
        <v>87</v>
      </c>
    </row>
    <row r="16" spans="1:15" ht="26.25" customHeight="1">
      <c r="A16" s="429"/>
      <c r="B16" s="38"/>
      <c r="C16" s="41"/>
      <c r="E16" s="40" t="s">
        <v>86</v>
      </c>
      <c r="G16" s="41"/>
      <c r="I16" s="40" t="s">
        <v>86</v>
      </c>
      <c r="K16" s="41"/>
      <c r="L16" s="38"/>
      <c r="M16" s="40" t="s">
        <v>86</v>
      </c>
      <c r="N16" s="38"/>
    </row>
    <row r="17" spans="1:20" ht="8.25" customHeight="1">
      <c r="A17" s="5"/>
      <c r="C17" s="6"/>
      <c r="E17" s="6"/>
      <c r="G17" s="6"/>
      <c r="I17" s="6"/>
      <c r="K17" s="6"/>
      <c r="M17" s="6"/>
      <c r="O17" s="6"/>
    </row>
    <row r="18" spans="1:20" ht="26.25" customHeight="1">
      <c r="A18" s="38" t="s">
        <v>69</v>
      </c>
      <c r="B18" s="38"/>
      <c r="C18" s="41"/>
      <c r="E18" s="40" t="s">
        <v>86</v>
      </c>
      <c r="G18" s="41"/>
      <c r="I18" s="40" t="s">
        <v>86</v>
      </c>
      <c r="K18" s="41"/>
      <c r="L18" s="38"/>
      <c r="M18" s="40" t="s">
        <v>86</v>
      </c>
      <c r="N18" s="38"/>
      <c r="O18" s="41"/>
    </row>
    <row r="19" spans="1:20" ht="8.25" customHeight="1">
      <c r="A19" s="5"/>
      <c r="C19" s="6"/>
      <c r="E19" s="6" t="s">
        <v>87</v>
      </c>
      <c r="G19" s="6"/>
      <c r="I19" s="6" t="s">
        <v>87</v>
      </c>
      <c r="K19" s="6"/>
      <c r="M19" s="6" t="s">
        <v>87</v>
      </c>
      <c r="O19" s="6" t="s">
        <v>87</v>
      </c>
    </row>
    <row r="20" spans="1:20" ht="26.25" customHeight="1">
      <c r="A20" s="38" t="s">
        <v>7</v>
      </c>
      <c r="B20" s="38"/>
      <c r="C20" s="40" t="s">
        <v>86</v>
      </c>
      <c r="D20" s="38"/>
      <c r="F20" s="38"/>
      <c r="G20" s="40" t="s">
        <v>86</v>
      </c>
      <c r="H20" s="38"/>
      <c r="K20" s="40" t="s">
        <v>86</v>
      </c>
      <c r="L20" s="38"/>
      <c r="N20" s="38"/>
      <c r="O20" s="31"/>
    </row>
    <row r="21" spans="1:20" ht="8.25" customHeight="1">
      <c r="A21" s="5"/>
      <c r="C21" s="6"/>
      <c r="E21" s="6"/>
      <c r="G21" s="6"/>
      <c r="I21" s="6"/>
      <c r="K21" s="6"/>
      <c r="M21" s="6"/>
      <c r="O21" s="6"/>
    </row>
    <row r="22" spans="1:20" ht="26.25" customHeight="1">
      <c r="A22" s="38" t="s">
        <v>70</v>
      </c>
      <c r="B22" s="38"/>
      <c r="C22" s="40" t="s">
        <v>86</v>
      </c>
      <c r="D22" s="38"/>
      <c r="E22" s="41"/>
      <c r="F22" s="38"/>
      <c r="G22" s="40" t="s">
        <v>86</v>
      </c>
      <c r="H22" s="38"/>
      <c r="I22" s="41"/>
      <c r="K22" s="40" t="s">
        <v>86</v>
      </c>
      <c r="L22" s="38"/>
      <c r="M22" s="41"/>
      <c r="N22" s="38"/>
      <c r="O22" s="41"/>
    </row>
    <row r="23" spans="1:20" ht="8.25" customHeight="1">
      <c r="A23" s="5"/>
      <c r="C23" s="6"/>
      <c r="E23" s="6"/>
      <c r="G23" s="6"/>
      <c r="I23" s="6"/>
      <c r="K23" s="6"/>
      <c r="M23" s="6"/>
      <c r="O23" s="6"/>
    </row>
    <row r="24" spans="1:20" ht="26.25" customHeight="1">
      <c r="A24" s="38" t="s">
        <v>8</v>
      </c>
      <c r="B24" s="38"/>
      <c r="C24" s="40" t="s">
        <v>86</v>
      </c>
      <c r="E24" s="40" t="s">
        <v>86</v>
      </c>
      <c r="G24" s="40" t="s">
        <v>86</v>
      </c>
      <c r="I24" s="40" t="s">
        <v>86</v>
      </c>
      <c r="K24" s="40" t="s">
        <v>86</v>
      </c>
      <c r="L24" s="38"/>
      <c r="M24" s="40" t="s">
        <v>86</v>
      </c>
      <c r="N24" s="38"/>
      <c r="O24" s="40" t="s">
        <v>86</v>
      </c>
    </row>
    <row r="25" spans="1:20" ht="8.25" customHeight="1">
      <c r="A25" s="5"/>
      <c r="C25" s="6"/>
      <c r="E25" s="6"/>
      <c r="G25" s="6"/>
      <c r="I25" s="6"/>
      <c r="K25" s="6"/>
      <c r="M25" s="6"/>
      <c r="O25" s="6"/>
    </row>
    <row r="26" spans="1:20" ht="26.25" customHeight="1">
      <c r="A26" s="38" t="s">
        <v>14</v>
      </c>
      <c r="B26" s="38"/>
      <c r="C26" s="40" t="s">
        <v>86</v>
      </c>
      <c r="E26" s="40" t="s">
        <v>86</v>
      </c>
      <c r="G26" s="40" t="s">
        <v>86</v>
      </c>
      <c r="I26" s="40" t="s">
        <v>86</v>
      </c>
      <c r="K26" s="40" t="s">
        <v>86</v>
      </c>
      <c r="L26" s="38"/>
      <c r="M26" s="40" t="s">
        <v>86</v>
      </c>
      <c r="N26" s="38"/>
      <c r="O26" s="40" t="s">
        <v>86</v>
      </c>
      <c r="T26" s="7"/>
    </row>
    <row r="27" spans="1:20" ht="8.25" customHeight="1">
      <c r="A27" s="5"/>
      <c r="C27" s="6"/>
      <c r="E27" s="6" t="s">
        <v>87</v>
      </c>
      <c r="F27" s="6"/>
      <c r="G27" s="6"/>
      <c r="I27" s="6" t="s">
        <v>87</v>
      </c>
      <c r="K27" s="6"/>
      <c r="M27" s="6"/>
      <c r="O27" s="6"/>
    </row>
    <row r="28" spans="1:20" ht="26.25" customHeight="1">
      <c r="A28" s="38" t="s">
        <v>71</v>
      </c>
      <c r="B28" s="38"/>
      <c r="C28" s="40" t="s">
        <v>86</v>
      </c>
      <c r="E28" s="31"/>
      <c r="G28" s="40" t="s">
        <v>86</v>
      </c>
      <c r="I28" s="31"/>
      <c r="K28" s="40" t="s">
        <v>86</v>
      </c>
      <c r="L28" s="38"/>
      <c r="M28" s="40" t="s">
        <v>86</v>
      </c>
      <c r="N28" s="38"/>
      <c r="O28" s="40" t="s">
        <v>86</v>
      </c>
      <c r="T28" s="7"/>
    </row>
    <row r="29" spans="1:20" ht="8.25" customHeight="1">
      <c r="A29" s="5"/>
      <c r="C29" s="6"/>
      <c r="E29" s="6"/>
      <c r="G29" s="6"/>
      <c r="I29" s="6"/>
      <c r="K29" s="6"/>
      <c r="M29" s="6"/>
      <c r="O29" s="6" t="s">
        <v>87</v>
      </c>
    </row>
    <row r="30" spans="1:20" ht="26.25" customHeight="1">
      <c r="A30" s="38" t="s">
        <v>55</v>
      </c>
      <c r="B30" s="38"/>
      <c r="C30" s="40" t="s">
        <v>86</v>
      </c>
      <c r="E30" s="41"/>
      <c r="G30" s="40" t="s">
        <v>86</v>
      </c>
      <c r="I30" s="41"/>
      <c r="K30" s="40" t="s">
        <v>86</v>
      </c>
      <c r="L30" s="38"/>
      <c r="M30" s="40" t="s">
        <v>86</v>
      </c>
      <c r="N30" s="38"/>
      <c r="O30" s="31"/>
    </row>
    <row r="31" spans="1:20" ht="8.25" customHeight="1">
      <c r="A31" s="5"/>
      <c r="C31" s="6"/>
      <c r="E31" s="6"/>
      <c r="G31" s="6"/>
      <c r="I31" s="6"/>
      <c r="K31" s="6"/>
      <c r="M31" s="6"/>
      <c r="O31" s="6"/>
    </row>
    <row r="32" spans="1:20" ht="26.25" customHeight="1">
      <c r="A32" s="38" t="s">
        <v>72</v>
      </c>
      <c r="B32" s="38"/>
      <c r="C32" s="40" t="s">
        <v>86</v>
      </c>
      <c r="E32" s="41"/>
      <c r="G32" s="40" t="s">
        <v>86</v>
      </c>
      <c r="I32" s="41"/>
      <c r="K32" s="40" t="s">
        <v>86</v>
      </c>
      <c r="L32" s="38"/>
      <c r="M32" s="40" t="s">
        <v>86</v>
      </c>
      <c r="N32" s="38"/>
      <c r="O32" s="41"/>
    </row>
    <row r="33" spans="1:15" ht="8.25" customHeight="1">
      <c r="A33" s="5"/>
      <c r="B33" s="38"/>
      <c r="C33" s="6" t="s">
        <v>87</v>
      </c>
      <c r="E33" s="6" t="s">
        <v>87</v>
      </c>
      <c r="G33" s="6" t="s">
        <v>87</v>
      </c>
      <c r="I33" s="6" t="s">
        <v>87</v>
      </c>
      <c r="K33" s="6" t="s">
        <v>87</v>
      </c>
      <c r="M33" s="6"/>
      <c r="O33" s="6"/>
    </row>
    <row r="34" spans="1:15" ht="26.25" customHeight="1">
      <c r="A34" s="38" t="s">
        <v>56</v>
      </c>
      <c r="B34" s="38"/>
      <c r="D34" s="38"/>
      <c r="E34" s="30" t="s">
        <v>61</v>
      </c>
      <c r="F34" s="38"/>
      <c r="H34" s="38"/>
      <c r="I34" s="30" t="s">
        <v>61</v>
      </c>
      <c r="J34" s="38"/>
      <c r="L34" s="38"/>
      <c r="M34" s="40" t="s">
        <v>86</v>
      </c>
      <c r="N34" s="38"/>
      <c r="O34" s="40" t="s">
        <v>86</v>
      </c>
    </row>
    <row r="35" spans="1:15" ht="8.25" customHeight="1">
      <c r="A35" s="5"/>
      <c r="C35" s="6"/>
      <c r="E35" s="6"/>
      <c r="G35" s="6"/>
      <c r="I35" s="6"/>
      <c r="K35" s="6"/>
      <c r="M35" s="6"/>
      <c r="O35" s="6"/>
    </row>
    <row r="36" spans="1:15" ht="26.25" customHeight="1">
      <c r="A36" s="38" t="s">
        <v>73</v>
      </c>
      <c r="B36" s="38"/>
      <c r="C36" s="41"/>
      <c r="D36" s="38"/>
      <c r="E36" s="41"/>
      <c r="F36" s="38"/>
      <c r="G36" s="41"/>
      <c r="I36" s="41"/>
      <c r="K36" s="41"/>
      <c r="M36" s="40" t="s">
        <v>86</v>
      </c>
      <c r="N36" s="38"/>
      <c r="O36" s="40" t="s">
        <v>86</v>
      </c>
    </row>
    <row r="37" spans="1:15" ht="8.25" customHeight="1">
      <c r="A37" s="5"/>
      <c r="C37" s="6"/>
      <c r="E37" s="6"/>
      <c r="G37" s="6"/>
      <c r="I37" s="6"/>
      <c r="K37" s="6"/>
      <c r="M37" s="6"/>
      <c r="O37" s="6"/>
    </row>
    <row r="38" spans="1:15" ht="26.25" customHeight="1">
      <c r="A38" s="38" t="s">
        <v>74</v>
      </c>
      <c r="B38" s="38"/>
      <c r="C38" s="40" t="s">
        <v>86</v>
      </c>
      <c r="E38" s="40" t="s">
        <v>86</v>
      </c>
      <c r="G38" s="40" t="s">
        <v>86</v>
      </c>
      <c r="I38" s="40" t="s">
        <v>86</v>
      </c>
      <c r="K38" s="40" t="s">
        <v>86</v>
      </c>
      <c r="L38" s="38"/>
      <c r="M38" s="40" t="s">
        <v>86</v>
      </c>
      <c r="N38" s="38"/>
      <c r="O38" s="40" t="s">
        <v>86</v>
      </c>
    </row>
    <row r="39" spans="1:15" ht="8.25" customHeight="1">
      <c r="A39" s="5"/>
      <c r="C39" s="6"/>
      <c r="E39" s="6"/>
      <c r="G39" s="6"/>
      <c r="I39" s="6"/>
      <c r="K39" s="6"/>
      <c r="M39" s="6"/>
      <c r="O39" s="6"/>
    </row>
    <row r="40" spans="1:15" ht="26.25" customHeight="1">
      <c r="A40" s="38" t="s">
        <v>75</v>
      </c>
      <c r="B40" s="38"/>
      <c r="C40" s="40" t="s">
        <v>86</v>
      </c>
      <c r="E40" s="40" t="s">
        <v>86</v>
      </c>
      <c r="G40" s="40" t="s">
        <v>86</v>
      </c>
      <c r="I40" s="40" t="s">
        <v>86</v>
      </c>
      <c r="K40" s="40" t="s">
        <v>86</v>
      </c>
      <c r="L40" s="38"/>
      <c r="M40" s="40" t="s">
        <v>86</v>
      </c>
      <c r="N40" s="38"/>
      <c r="O40" s="40" t="s">
        <v>86</v>
      </c>
    </row>
    <row r="41" spans="1:15" ht="8.25" customHeight="1">
      <c r="A41" s="5"/>
      <c r="C41" s="6"/>
      <c r="E41" s="6"/>
      <c r="G41" s="6"/>
      <c r="I41" s="6"/>
      <c r="K41" s="6"/>
      <c r="M41" s="6"/>
      <c r="O41" s="6"/>
    </row>
    <row r="42" spans="1:15" ht="26.25" customHeight="1">
      <c r="A42" s="38" t="s">
        <v>76</v>
      </c>
      <c r="B42" s="38"/>
      <c r="C42" s="40" t="s">
        <v>86</v>
      </c>
      <c r="E42" s="40" t="s">
        <v>86</v>
      </c>
      <c r="G42" s="40" t="s">
        <v>86</v>
      </c>
      <c r="I42" s="40" t="s">
        <v>86</v>
      </c>
      <c r="K42" s="40" t="s">
        <v>86</v>
      </c>
      <c r="L42" s="38"/>
      <c r="M42" s="40" t="s">
        <v>86</v>
      </c>
      <c r="N42" s="38"/>
      <c r="O42" s="40" t="s">
        <v>86</v>
      </c>
    </row>
    <row r="43" spans="1:15" ht="8.25" customHeight="1">
      <c r="A43" s="5"/>
      <c r="C43" s="6"/>
      <c r="E43" s="6"/>
      <c r="G43" s="6"/>
      <c r="I43" s="6"/>
      <c r="K43" s="6"/>
      <c r="M43" s="6"/>
      <c r="O43" s="6"/>
    </row>
    <row r="44" spans="1:15" ht="26.25" customHeight="1">
      <c r="A44" s="38" t="s">
        <v>77</v>
      </c>
      <c r="B44" s="38"/>
      <c r="C44" s="40" t="s">
        <v>86</v>
      </c>
      <c r="E44" s="40" t="s">
        <v>86</v>
      </c>
      <c r="G44" s="40" t="s">
        <v>86</v>
      </c>
      <c r="I44" s="40" t="s">
        <v>86</v>
      </c>
      <c r="K44" s="40" t="s">
        <v>86</v>
      </c>
      <c r="L44" s="38"/>
      <c r="M44" s="40" t="s">
        <v>86</v>
      </c>
      <c r="N44" s="38"/>
      <c r="O44" s="40" t="s">
        <v>86</v>
      </c>
    </row>
    <row r="45" spans="1:15" ht="8.25" customHeight="1">
      <c r="A45" s="5"/>
      <c r="C45" s="6"/>
      <c r="E45" s="6"/>
      <c r="G45" s="6" t="s">
        <v>87</v>
      </c>
      <c r="I45" s="6"/>
      <c r="K45" s="6"/>
      <c r="M45" s="6"/>
      <c r="O45" s="6"/>
    </row>
    <row r="46" spans="1:15" ht="26.25" customHeight="1">
      <c r="A46" s="38" t="s">
        <v>78</v>
      </c>
      <c r="B46" s="38"/>
      <c r="C46" s="40" t="s">
        <v>86</v>
      </c>
      <c r="D46" s="38"/>
      <c r="E46" s="40" t="s">
        <v>86</v>
      </c>
      <c r="G46" s="39" t="s">
        <v>84</v>
      </c>
      <c r="H46" s="38"/>
      <c r="I46" s="40" t="s">
        <v>86</v>
      </c>
      <c r="K46" s="40" t="s">
        <v>86</v>
      </c>
      <c r="M46" s="40" t="s">
        <v>86</v>
      </c>
      <c r="N46" s="38"/>
      <c r="O46" s="40" t="s">
        <v>86</v>
      </c>
    </row>
    <row r="47" spans="1:15" ht="8.25" customHeight="1">
      <c r="A47" s="5"/>
      <c r="C47" s="6"/>
      <c r="E47" s="6"/>
      <c r="G47" s="6"/>
      <c r="I47" s="6"/>
      <c r="K47" s="6"/>
      <c r="M47" s="6"/>
      <c r="O47" s="6"/>
    </row>
    <row r="48" spans="1:15" ht="26.25" customHeight="1">
      <c r="A48" s="38" t="s">
        <v>79</v>
      </c>
      <c r="B48" s="38"/>
      <c r="C48" s="40" t="s">
        <v>86</v>
      </c>
      <c r="D48" s="38"/>
      <c r="E48" s="40" t="s">
        <v>86</v>
      </c>
      <c r="G48" s="41"/>
      <c r="H48" s="38"/>
      <c r="I48" s="40" t="s">
        <v>86</v>
      </c>
      <c r="K48" s="40" t="s">
        <v>86</v>
      </c>
      <c r="M48" s="40" t="s">
        <v>86</v>
      </c>
      <c r="N48" s="38"/>
      <c r="O48" s="40" t="s">
        <v>86</v>
      </c>
    </row>
    <row r="49" spans="1:15" ht="8.25" customHeight="1">
      <c r="A49" s="5"/>
      <c r="C49" s="6"/>
      <c r="E49" s="6"/>
      <c r="G49" s="6"/>
      <c r="I49" s="6"/>
      <c r="K49" s="6"/>
      <c r="M49" s="6"/>
      <c r="O49" s="6"/>
    </row>
    <row r="50" spans="1:15" ht="26.25" customHeight="1">
      <c r="A50" s="38" t="s">
        <v>11</v>
      </c>
      <c r="B50" s="38"/>
      <c r="C50" s="40" t="s">
        <v>86</v>
      </c>
      <c r="E50" s="40" t="s">
        <v>86</v>
      </c>
      <c r="G50" s="40" t="s">
        <v>86</v>
      </c>
      <c r="I50" s="40" t="s">
        <v>86</v>
      </c>
      <c r="K50" s="40" t="s">
        <v>86</v>
      </c>
      <c r="L50" s="38"/>
      <c r="M50" s="40" t="s">
        <v>86</v>
      </c>
      <c r="N50" s="38"/>
      <c r="O50" s="40" t="s">
        <v>86</v>
      </c>
    </row>
    <row r="51" spans="1:15" ht="8.25" customHeight="1">
      <c r="A51" s="5"/>
      <c r="C51" s="6"/>
      <c r="E51" s="6" t="s">
        <v>87</v>
      </c>
      <c r="G51" s="6"/>
      <c r="I51" s="6" t="s">
        <v>87</v>
      </c>
      <c r="K51" s="6"/>
      <c r="M51" s="6"/>
      <c r="O51" s="6"/>
    </row>
    <row r="52" spans="1:15" ht="26.25" customHeight="1">
      <c r="A52" s="429" t="s">
        <v>83</v>
      </c>
      <c r="B52" s="38"/>
      <c r="C52" s="40" t="s">
        <v>86</v>
      </c>
      <c r="D52" s="38"/>
      <c r="G52" s="40" t="s">
        <v>86</v>
      </c>
      <c r="H52" s="38"/>
      <c r="K52" s="40" t="s">
        <v>86</v>
      </c>
      <c r="L52" s="38"/>
      <c r="M52" s="40" t="s">
        <v>86</v>
      </c>
      <c r="N52" s="38"/>
      <c r="O52" s="40" t="s">
        <v>86</v>
      </c>
    </row>
    <row r="53" spans="1:15" ht="8.25" customHeight="1">
      <c r="A53" s="429"/>
      <c r="C53" s="6"/>
      <c r="E53" s="6" t="s">
        <v>87</v>
      </c>
      <c r="G53" s="6"/>
      <c r="I53" s="6" t="s">
        <v>87</v>
      </c>
      <c r="K53" s="6"/>
      <c r="M53" s="6"/>
      <c r="O53" s="6"/>
    </row>
    <row r="54" spans="1:15" ht="26.25" customHeight="1">
      <c r="A54" s="429"/>
      <c r="B54" s="38"/>
      <c r="C54" s="40" t="s">
        <v>86</v>
      </c>
      <c r="D54" s="38"/>
      <c r="G54" s="40" t="s">
        <v>86</v>
      </c>
      <c r="H54" s="38"/>
      <c r="K54" s="40" t="s">
        <v>86</v>
      </c>
      <c r="L54" s="38"/>
      <c r="M54" s="40" t="s">
        <v>86</v>
      </c>
      <c r="N54" s="38"/>
      <c r="O54" s="40" t="s">
        <v>86</v>
      </c>
    </row>
    <row r="55" spans="1:15" ht="8.25" customHeight="1">
      <c r="A55" s="5"/>
      <c r="C55" s="6"/>
      <c r="E55" s="6" t="s">
        <v>87</v>
      </c>
      <c r="G55" s="6"/>
      <c r="I55" s="6" t="s">
        <v>87</v>
      </c>
      <c r="K55" s="6"/>
      <c r="M55" s="6"/>
      <c r="O55" s="6"/>
    </row>
    <row r="56" spans="1:15" ht="26.25" customHeight="1">
      <c r="A56" s="38" t="s">
        <v>15</v>
      </c>
      <c r="B56" s="38"/>
      <c r="C56" s="40" t="s">
        <v>86</v>
      </c>
      <c r="D56" s="38"/>
      <c r="E56" s="31"/>
      <c r="G56" s="40" t="s">
        <v>86</v>
      </c>
      <c r="H56" s="38"/>
      <c r="I56" s="31"/>
      <c r="K56" s="40" t="s">
        <v>86</v>
      </c>
      <c r="M56" s="40" t="s">
        <v>86</v>
      </c>
      <c r="N56" s="38"/>
      <c r="O56" s="459"/>
    </row>
    <row r="57" spans="1:15" ht="8.25" customHeight="1">
      <c r="A57" s="5"/>
      <c r="C57" s="6"/>
      <c r="E57" s="6"/>
      <c r="G57" s="6"/>
      <c r="I57" s="6"/>
      <c r="K57" s="6"/>
      <c r="M57" s="6"/>
      <c r="O57" s="459"/>
    </row>
    <row r="58" spans="1:15" ht="26.25" customHeight="1">
      <c r="A58" s="38" t="s">
        <v>58</v>
      </c>
      <c r="B58" s="38"/>
      <c r="C58" s="40" t="s">
        <v>86</v>
      </c>
      <c r="D58" s="38"/>
      <c r="E58" s="41"/>
      <c r="G58" s="40" t="s">
        <v>86</v>
      </c>
      <c r="H58" s="38"/>
      <c r="I58" s="41"/>
      <c r="K58" s="40" t="s">
        <v>86</v>
      </c>
      <c r="M58" s="40" t="s">
        <v>86</v>
      </c>
      <c r="N58" s="38"/>
      <c r="O58" s="459"/>
    </row>
    <row r="59" spans="1:15" ht="8.25" customHeight="1">
      <c r="A59" s="5"/>
      <c r="C59" s="6" t="s">
        <v>87</v>
      </c>
      <c r="E59" s="6" t="s">
        <v>87</v>
      </c>
      <c r="G59" s="6" t="s">
        <v>87</v>
      </c>
      <c r="I59" s="6" t="s">
        <v>87</v>
      </c>
      <c r="K59" s="6"/>
      <c r="M59" s="6"/>
      <c r="O59" s="459"/>
    </row>
    <row r="60" spans="1:15" ht="26.25" customHeight="1">
      <c r="A60" s="38" t="s">
        <v>16</v>
      </c>
      <c r="B60" s="38"/>
      <c r="C60" s="30" t="s">
        <v>61</v>
      </c>
      <c r="D60" s="38"/>
      <c r="F60" s="38"/>
      <c r="H60" s="38"/>
      <c r="J60" s="38"/>
      <c r="K60" s="40" t="s">
        <v>86</v>
      </c>
      <c r="L60" s="38"/>
      <c r="M60" s="40" t="s">
        <v>86</v>
      </c>
      <c r="N60" s="38"/>
      <c r="O60" s="459"/>
    </row>
    <row r="61" spans="1:15" ht="8.25" customHeight="1">
      <c r="A61" s="5"/>
      <c r="C61" s="6"/>
      <c r="E61" s="6"/>
      <c r="G61" s="6"/>
      <c r="I61" s="6"/>
      <c r="K61" s="6"/>
      <c r="M61" s="6"/>
      <c r="O61" s="459"/>
    </row>
    <row r="62" spans="1:15" ht="26.25" customHeight="1">
      <c r="A62" s="38" t="s">
        <v>9</v>
      </c>
      <c r="B62" s="38"/>
      <c r="C62" s="41"/>
      <c r="D62" s="38"/>
      <c r="E62" s="41"/>
      <c r="F62" s="38"/>
      <c r="G62" s="41"/>
      <c r="I62" s="41"/>
      <c r="K62" s="40" t="s">
        <v>86</v>
      </c>
      <c r="L62" s="38"/>
      <c r="M62" s="40" t="s">
        <v>86</v>
      </c>
      <c r="N62" s="38"/>
      <c r="O62" s="459"/>
    </row>
    <row r="63" spans="1:15" ht="8.25" customHeight="1">
      <c r="A63" s="5"/>
      <c r="C63" s="6"/>
      <c r="E63" s="6"/>
      <c r="G63" s="6"/>
      <c r="I63" s="6"/>
      <c r="K63" s="6"/>
      <c r="M63" s="6"/>
      <c r="O63" s="459"/>
    </row>
    <row r="64" spans="1:15" ht="26.25" customHeight="1">
      <c r="A64" s="38" t="s">
        <v>12</v>
      </c>
      <c r="B64" s="38"/>
      <c r="C64" s="40" t="s">
        <v>86</v>
      </c>
      <c r="E64" s="40" t="s">
        <v>86</v>
      </c>
      <c r="G64" s="40" t="s">
        <v>86</v>
      </c>
      <c r="I64" s="40" t="s">
        <v>86</v>
      </c>
      <c r="K64" s="40" t="s">
        <v>86</v>
      </c>
      <c r="L64" s="38"/>
      <c r="M64" s="459"/>
      <c r="N64" s="38"/>
      <c r="O64" s="459"/>
    </row>
    <row r="65" spans="1:15" ht="8.25" customHeight="1">
      <c r="A65" s="5"/>
      <c r="C65" s="6"/>
      <c r="E65" s="6"/>
      <c r="G65" s="6"/>
      <c r="I65" s="6"/>
      <c r="K65" s="6"/>
      <c r="M65" s="459"/>
      <c r="O65" s="459"/>
    </row>
    <row r="66" spans="1:15" ht="26.25" customHeight="1">
      <c r="A66" s="38" t="s">
        <v>25</v>
      </c>
      <c r="B66" s="38"/>
      <c r="C66" s="40" t="s">
        <v>86</v>
      </c>
      <c r="E66" s="40" t="s">
        <v>86</v>
      </c>
      <c r="G66" s="40" t="s">
        <v>86</v>
      </c>
      <c r="I66" s="40" t="s">
        <v>86</v>
      </c>
      <c r="K66" s="40" t="s">
        <v>86</v>
      </c>
      <c r="L66" s="38"/>
      <c r="M66" s="459"/>
      <c r="N66" s="38"/>
      <c r="O66" s="459"/>
    </row>
    <row r="67" spans="1:15" ht="8.25" customHeight="1">
      <c r="A67" s="5"/>
      <c r="C67" s="6"/>
      <c r="E67" s="6"/>
      <c r="G67" s="6"/>
      <c r="I67" s="6"/>
      <c r="K67" s="6"/>
      <c r="M67" s="459"/>
      <c r="O67" s="459"/>
    </row>
    <row r="68" spans="1:15" ht="26.25" customHeight="1">
      <c r="A68" s="38" t="s">
        <v>80</v>
      </c>
      <c r="B68" s="38"/>
      <c r="C68" s="40" t="s">
        <v>86</v>
      </c>
      <c r="E68" s="40" t="s">
        <v>86</v>
      </c>
      <c r="G68" s="40" t="s">
        <v>86</v>
      </c>
      <c r="I68" s="40" t="s">
        <v>86</v>
      </c>
      <c r="K68" s="40" t="s">
        <v>86</v>
      </c>
      <c r="L68" s="38"/>
      <c r="M68" s="459"/>
      <c r="N68" s="38"/>
      <c r="O68" s="459"/>
    </row>
    <row r="69" spans="1:15" ht="8.25" customHeight="1">
      <c r="A69" s="5"/>
      <c r="C69" s="6"/>
      <c r="E69" s="6"/>
      <c r="G69" s="6"/>
      <c r="I69" s="6"/>
      <c r="K69" s="6"/>
      <c r="M69" s="459"/>
      <c r="O69" s="459"/>
    </row>
    <row r="70" spans="1:15" ht="26.25" customHeight="1">
      <c r="A70" s="38" t="s">
        <v>59</v>
      </c>
      <c r="B70" s="38"/>
      <c r="C70" s="40" t="s">
        <v>86</v>
      </c>
      <c r="E70" s="40" t="s">
        <v>86</v>
      </c>
      <c r="G70" s="40" t="s">
        <v>86</v>
      </c>
      <c r="I70" s="40" t="s">
        <v>86</v>
      </c>
      <c r="K70" s="40" t="s">
        <v>86</v>
      </c>
      <c r="L70" s="38"/>
      <c r="M70" s="459"/>
      <c r="N70" s="38"/>
      <c r="O70" s="459"/>
    </row>
    <row r="71" spans="1:15" ht="8.25" customHeight="1">
      <c r="A71" s="5"/>
      <c r="C71" s="6"/>
      <c r="E71" s="6"/>
      <c r="G71" s="6"/>
      <c r="I71" s="6"/>
      <c r="K71" s="6"/>
      <c r="M71" s="459"/>
      <c r="O71" s="459"/>
    </row>
    <row r="72" spans="1:15" ht="26.25" customHeight="1">
      <c r="A72" s="38" t="s">
        <v>81</v>
      </c>
      <c r="B72" s="38"/>
      <c r="C72" s="40" t="s">
        <v>86</v>
      </c>
      <c r="E72" s="40" t="s">
        <v>86</v>
      </c>
      <c r="G72" s="40" t="s">
        <v>86</v>
      </c>
      <c r="I72" s="40" t="s">
        <v>86</v>
      </c>
      <c r="K72" s="40" t="s">
        <v>86</v>
      </c>
      <c r="L72" s="38"/>
      <c r="M72" s="459"/>
      <c r="N72" s="38"/>
      <c r="O72" s="459"/>
    </row>
    <row r="73" spans="1:15" ht="8.25" customHeight="1">
      <c r="A73" s="5"/>
      <c r="C73" s="6"/>
      <c r="E73" s="6"/>
      <c r="G73" s="6"/>
      <c r="I73" s="6"/>
      <c r="K73" s="6"/>
      <c r="M73" s="459"/>
      <c r="O73" s="459"/>
    </row>
    <row r="74" spans="1:15" ht="26.25" customHeight="1">
      <c r="A74" s="38" t="s">
        <v>82</v>
      </c>
      <c r="B74" s="38"/>
      <c r="C74" s="40" t="s">
        <v>86</v>
      </c>
      <c r="E74" s="40" t="s">
        <v>86</v>
      </c>
      <c r="G74" s="40" t="s">
        <v>86</v>
      </c>
      <c r="I74" s="40" t="s">
        <v>86</v>
      </c>
      <c r="K74" s="40" t="s">
        <v>86</v>
      </c>
      <c r="L74" s="38"/>
      <c r="M74" s="459"/>
      <c r="N74" s="38"/>
      <c r="O74" s="459"/>
    </row>
    <row r="75" spans="1:15" ht="8.25" customHeight="1">
      <c r="A75" s="5"/>
      <c r="C75" s="6"/>
      <c r="E75" s="6"/>
      <c r="G75" s="6"/>
      <c r="I75" s="6"/>
      <c r="K75" s="6"/>
      <c r="M75" s="459"/>
      <c r="O75" s="459"/>
    </row>
    <row r="76" spans="1:15">
      <c r="A76" s="38"/>
      <c r="B76" s="38"/>
      <c r="D76" s="38"/>
      <c r="F76" s="38"/>
      <c r="H76" s="38"/>
      <c r="J76" s="38"/>
      <c r="L76" s="38"/>
      <c r="N76" s="38"/>
    </row>
    <row r="77" spans="1:15" ht="28.5" customHeight="1">
      <c r="A77" s="38"/>
      <c r="B77" s="38"/>
      <c r="D77" s="38"/>
      <c r="F77" s="38"/>
      <c r="H77" s="38"/>
      <c r="J77" s="38"/>
      <c r="K77" s="430" t="s">
        <v>10</v>
      </c>
      <c r="L77" s="430"/>
      <c r="M77" s="430"/>
      <c r="N77" s="430"/>
      <c r="O77" s="430"/>
    </row>
    <row r="78" spans="1:15" s="8" customFormat="1" ht="38.25" customHeight="1">
      <c r="A78" s="38"/>
      <c r="B78" s="38"/>
      <c r="D78" s="38"/>
      <c r="F78" s="38"/>
      <c r="H78" s="38"/>
      <c r="J78" s="38"/>
      <c r="K78" s="3"/>
      <c r="L78" s="3"/>
      <c r="M78" s="9"/>
      <c r="N78" s="3"/>
      <c r="O78" s="3"/>
    </row>
    <row r="79" spans="1:15">
      <c r="A79" s="38"/>
      <c r="B79" s="38"/>
      <c r="D79" s="38"/>
      <c r="F79" s="38"/>
      <c r="H79" s="38"/>
      <c r="J79" s="38"/>
      <c r="K79" s="4"/>
      <c r="L79" s="3"/>
      <c r="M79" s="4"/>
      <c r="N79" s="3"/>
      <c r="O79" s="4"/>
    </row>
    <row r="80" spans="1:15">
      <c r="A80" s="38"/>
      <c r="B80" s="38"/>
      <c r="D80" s="38"/>
      <c r="F80" s="38"/>
      <c r="H80" s="38"/>
      <c r="J80" s="38"/>
      <c r="L80" s="38"/>
      <c r="N80" s="38"/>
    </row>
    <row r="81" spans="1:1">
      <c r="A81" s="38"/>
    </row>
    <row r="82" spans="1:1">
      <c r="A82" s="38"/>
    </row>
  </sheetData>
  <dataConsolidate link="1"/>
  <mergeCells count="7">
    <mergeCell ref="K77:O77"/>
    <mergeCell ref="M3:M10"/>
    <mergeCell ref="O3:O10"/>
    <mergeCell ref="A14:A16"/>
    <mergeCell ref="A52:A54"/>
    <mergeCell ref="O56:O75"/>
    <mergeCell ref="M64:M75"/>
  </mergeCells>
  <pageMargins left="0.7" right="0.7" top="0.75" bottom="0.75" header="0.3" footer="0.3"/>
  <pageSetup paperSize="9" scale="54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FF99"/>
    <pageSetUpPr fitToPage="1"/>
  </sheetPr>
  <dimension ref="B1:DG71"/>
  <sheetViews>
    <sheetView zoomScaleNormal="100" zoomScaleSheetLayoutView="100" workbookViewId="0">
      <pane ySplit="4" topLeftCell="A5" activePane="bottomLeft" state="frozen"/>
      <selection activeCell="T27" sqref="T27"/>
      <selection pane="bottomLeft" activeCell="H25" sqref="H25"/>
    </sheetView>
  </sheetViews>
  <sheetFormatPr defaultColWidth="9.33203125" defaultRowHeight="10.5" customHeight="1"/>
  <cols>
    <col min="1" max="1" width="1.6640625" style="49" customWidth="1"/>
    <col min="2" max="3" width="3.6640625" style="49" hidden="1" customWidth="1"/>
    <col min="4" max="4" width="3.33203125" style="49" hidden="1" customWidth="1"/>
    <col min="5" max="5" width="5.6640625" style="49" customWidth="1"/>
    <col min="6" max="110" width="3.33203125" style="49" customWidth="1"/>
    <col min="111" max="111" width="5" style="49" bestFit="1" customWidth="1"/>
    <col min="112" max="16384" width="9.33203125" style="49"/>
  </cols>
  <sheetData>
    <row r="1" spans="2:111" ht="10.5" customHeight="1" thickBot="1">
      <c r="E1" s="378"/>
      <c r="F1" s="461" t="s">
        <v>27</v>
      </c>
      <c r="G1" s="462"/>
      <c r="H1" s="462"/>
      <c r="I1" s="462"/>
      <c r="J1" s="462"/>
      <c r="K1" s="462"/>
      <c r="L1" s="462"/>
      <c r="M1" s="462"/>
      <c r="N1" s="462"/>
      <c r="O1" s="462"/>
      <c r="P1" s="462"/>
      <c r="Q1" s="462"/>
      <c r="R1" s="462"/>
      <c r="S1" s="462"/>
      <c r="T1" s="478"/>
      <c r="U1" s="461" t="s">
        <v>28</v>
      </c>
      <c r="V1" s="462"/>
      <c r="W1" s="462"/>
      <c r="X1" s="462"/>
      <c r="Y1" s="462"/>
      <c r="Z1" s="462"/>
      <c r="AA1" s="462"/>
      <c r="AB1" s="462"/>
      <c r="AC1" s="462"/>
      <c r="AD1" s="462"/>
      <c r="AE1" s="462"/>
      <c r="AF1" s="462"/>
      <c r="AG1" s="462"/>
      <c r="AH1" s="462"/>
      <c r="AI1" s="478"/>
      <c r="AJ1" s="461" t="s">
        <v>29</v>
      </c>
      <c r="AK1" s="462"/>
      <c r="AL1" s="462"/>
      <c r="AM1" s="462"/>
      <c r="AN1" s="462"/>
      <c r="AO1" s="462"/>
      <c r="AP1" s="462"/>
      <c r="AQ1" s="462"/>
      <c r="AR1" s="462"/>
      <c r="AS1" s="462"/>
      <c r="AT1" s="462"/>
      <c r="AU1" s="462"/>
      <c r="AV1" s="462"/>
      <c r="AW1" s="462"/>
      <c r="AX1" s="478"/>
      <c r="AY1" s="461" t="s">
        <v>30</v>
      </c>
      <c r="AZ1" s="462"/>
      <c r="BA1" s="462"/>
      <c r="BB1" s="462"/>
      <c r="BC1" s="462"/>
      <c r="BD1" s="462"/>
      <c r="BE1" s="462"/>
      <c r="BF1" s="462"/>
      <c r="BG1" s="462"/>
      <c r="BH1" s="462"/>
      <c r="BI1" s="462"/>
      <c r="BJ1" s="462"/>
      <c r="BK1" s="462"/>
      <c r="BL1" s="462"/>
      <c r="BM1" s="478"/>
      <c r="BN1" s="461" t="s">
        <v>31</v>
      </c>
      <c r="BO1" s="462"/>
      <c r="BP1" s="462"/>
      <c r="BQ1" s="462"/>
      <c r="BR1" s="462"/>
      <c r="BS1" s="462"/>
      <c r="BT1" s="462"/>
      <c r="BU1" s="462"/>
      <c r="BV1" s="462"/>
      <c r="BW1" s="462"/>
      <c r="BX1" s="462"/>
      <c r="BY1" s="462"/>
      <c r="BZ1" s="462"/>
      <c r="CA1" s="462"/>
      <c r="CB1" s="478"/>
      <c r="CC1" s="461" t="s">
        <v>5</v>
      </c>
      <c r="CD1" s="462"/>
      <c r="CE1" s="462"/>
      <c r="CF1" s="462"/>
      <c r="CG1" s="462"/>
      <c r="CH1" s="462"/>
      <c r="CI1" s="462"/>
      <c r="CJ1" s="462"/>
      <c r="CK1" s="462"/>
      <c r="CL1" s="462"/>
      <c r="CM1" s="462"/>
      <c r="CN1" s="462"/>
      <c r="CO1" s="462"/>
      <c r="CP1" s="462"/>
      <c r="CQ1" s="462"/>
      <c r="CR1" s="462" t="s">
        <v>6</v>
      </c>
      <c r="CS1" s="462"/>
      <c r="CT1" s="462"/>
      <c r="CU1" s="462"/>
      <c r="CV1" s="462"/>
      <c r="CW1" s="462"/>
      <c r="CX1" s="462"/>
      <c r="CY1" s="462"/>
      <c r="CZ1" s="462"/>
      <c r="DA1" s="462"/>
      <c r="DB1" s="462"/>
      <c r="DC1" s="226"/>
      <c r="DD1" s="226"/>
      <c r="DE1" s="226"/>
      <c r="DF1" s="226"/>
      <c r="DG1" s="368"/>
    </row>
    <row r="2" spans="2:111" ht="10.5" customHeight="1">
      <c r="E2" s="386"/>
      <c r="F2" s="474" t="s">
        <v>32</v>
      </c>
      <c r="G2" s="463" t="s">
        <v>48</v>
      </c>
      <c r="H2" s="464"/>
      <c r="I2" s="464"/>
      <c r="J2" s="464"/>
      <c r="K2" s="464"/>
      <c r="L2" s="464"/>
      <c r="M2" s="463" t="s">
        <v>184</v>
      </c>
      <c r="N2" s="464"/>
      <c r="O2" s="465"/>
      <c r="P2" s="463" t="s">
        <v>155</v>
      </c>
      <c r="Q2" s="464"/>
      <c r="R2" s="464"/>
      <c r="S2" s="464"/>
      <c r="T2" s="466"/>
      <c r="U2" s="474" t="s">
        <v>32</v>
      </c>
      <c r="V2" s="463" t="s">
        <v>48</v>
      </c>
      <c r="W2" s="464"/>
      <c r="X2" s="464"/>
      <c r="Y2" s="464"/>
      <c r="Z2" s="464"/>
      <c r="AA2" s="464"/>
      <c r="AB2" s="463" t="s">
        <v>184</v>
      </c>
      <c r="AC2" s="464"/>
      <c r="AD2" s="465"/>
      <c r="AE2" s="463" t="s">
        <v>155</v>
      </c>
      <c r="AF2" s="464"/>
      <c r="AG2" s="464"/>
      <c r="AH2" s="464"/>
      <c r="AI2" s="466"/>
      <c r="AJ2" s="474" t="s">
        <v>32</v>
      </c>
      <c r="AK2" s="463" t="s">
        <v>48</v>
      </c>
      <c r="AL2" s="464"/>
      <c r="AM2" s="464"/>
      <c r="AN2" s="464"/>
      <c r="AO2" s="464"/>
      <c r="AP2" s="464"/>
      <c r="AQ2" s="463" t="s">
        <v>184</v>
      </c>
      <c r="AR2" s="464"/>
      <c r="AS2" s="465"/>
      <c r="AT2" s="463" t="s">
        <v>155</v>
      </c>
      <c r="AU2" s="464"/>
      <c r="AV2" s="464"/>
      <c r="AW2" s="464"/>
      <c r="AX2" s="466"/>
      <c r="AY2" s="474" t="s">
        <v>32</v>
      </c>
      <c r="AZ2" s="463" t="s">
        <v>48</v>
      </c>
      <c r="BA2" s="464"/>
      <c r="BB2" s="464"/>
      <c r="BC2" s="464"/>
      <c r="BD2" s="464"/>
      <c r="BE2" s="464"/>
      <c r="BF2" s="463" t="s">
        <v>184</v>
      </c>
      <c r="BG2" s="464"/>
      <c r="BH2" s="465"/>
      <c r="BI2" s="463" t="s">
        <v>155</v>
      </c>
      <c r="BJ2" s="464"/>
      <c r="BK2" s="464"/>
      <c r="BL2" s="464"/>
      <c r="BM2" s="466"/>
      <c r="BN2" s="474" t="s">
        <v>32</v>
      </c>
      <c r="BO2" s="463" t="s">
        <v>48</v>
      </c>
      <c r="BP2" s="464"/>
      <c r="BQ2" s="464"/>
      <c r="BR2" s="464"/>
      <c r="BS2" s="464"/>
      <c r="BT2" s="464"/>
      <c r="BU2" s="463" t="s">
        <v>184</v>
      </c>
      <c r="BV2" s="464"/>
      <c r="BW2" s="465"/>
      <c r="BX2" s="463" t="s">
        <v>155</v>
      </c>
      <c r="BY2" s="464"/>
      <c r="BZ2" s="464"/>
      <c r="CA2" s="464"/>
      <c r="CB2" s="466"/>
      <c r="CC2" s="474" t="s">
        <v>32</v>
      </c>
      <c r="CD2" s="463" t="s">
        <v>48</v>
      </c>
      <c r="CE2" s="464"/>
      <c r="CF2" s="464"/>
      <c r="CG2" s="464"/>
      <c r="CH2" s="464"/>
      <c r="CI2" s="465"/>
      <c r="CJ2" s="463" t="s">
        <v>184</v>
      </c>
      <c r="CK2" s="464"/>
      <c r="CL2" s="465"/>
      <c r="CM2" s="463" t="s">
        <v>155</v>
      </c>
      <c r="CN2" s="464"/>
      <c r="CO2" s="464"/>
      <c r="CP2" s="464"/>
      <c r="CQ2" s="466"/>
      <c r="CR2" s="476" t="s">
        <v>32</v>
      </c>
      <c r="CS2" s="463" t="s">
        <v>48</v>
      </c>
      <c r="CT2" s="464"/>
      <c r="CU2" s="464"/>
      <c r="CV2" s="464"/>
      <c r="CW2" s="464"/>
      <c r="CX2" s="465"/>
      <c r="CY2" s="463" t="s">
        <v>184</v>
      </c>
      <c r="CZ2" s="464"/>
      <c r="DA2" s="465"/>
      <c r="DB2" s="463" t="s">
        <v>155</v>
      </c>
      <c r="DC2" s="464"/>
      <c r="DD2" s="464"/>
      <c r="DE2" s="464"/>
      <c r="DF2" s="466"/>
      <c r="DG2" s="369"/>
    </row>
    <row r="3" spans="2:111" ht="10.5" customHeight="1">
      <c r="E3" s="386"/>
      <c r="F3" s="381"/>
      <c r="G3" s="365"/>
      <c r="H3" s="366"/>
      <c r="I3" s="366"/>
      <c r="J3" s="366"/>
      <c r="K3" s="366"/>
      <c r="L3" s="366"/>
      <c r="M3" s="365"/>
      <c r="N3" s="366"/>
      <c r="O3" s="367"/>
      <c r="P3" s="365"/>
      <c r="Q3" s="366"/>
      <c r="R3" s="366"/>
      <c r="S3" s="366"/>
      <c r="T3" s="428"/>
      <c r="U3" s="381"/>
      <c r="V3" s="365"/>
      <c r="W3" s="366"/>
      <c r="X3" s="366"/>
      <c r="Y3" s="366"/>
      <c r="Z3" s="366"/>
      <c r="AA3" s="366"/>
      <c r="AB3" s="365"/>
      <c r="AC3" s="366"/>
      <c r="AD3" s="367"/>
      <c r="AE3" s="365"/>
      <c r="AF3" s="366"/>
      <c r="AG3" s="366"/>
      <c r="AH3" s="366"/>
      <c r="AI3" s="428"/>
      <c r="AJ3" s="381"/>
      <c r="AK3" s="365"/>
      <c r="AL3" s="366"/>
      <c r="AM3" s="366"/>
      <c r="AN3" s="366"/>
      <c r="AO3" s="366"/>
      <c r="AP3" s="366"/>
      <c r="AQ3" s="365"/>
      <c r="AR3" s="366"/>
      <c r="AS3" s="367"/>
      <c r="AT3" s="365"/>
      <c r="AU3" s="366"/>
      <c r="AV3" s="366"/>
      <c r="AW3" s="366"/>
      <c r="AX3" s="428"/>
      <c r="AY3" s="381"/>
      <c r="AZ3" s="365"/>
      <c r="BA3" s="366"/>
      <c r="BB3" s="366"/>
      <c r="BC3" s="366"/>
      <c r="BD3" s="366"/>
      <c r="BE3" s="366"/>
      <c r="BF3" s="365"/>
      <c r="BG3" s="366"/>
      <c r="BH3" s="367"/>
      <c r="BI3" s="365"/>
      <c r="BJ3" s="366"/>
      <c r="BK3" s="366"/>
      <c r="BL3" s="366"/>
      <c r="BM3" s="428"/>
      <c r="BN3" s="381"/>
      <c r="BO3" s="365"/>
      <c r="BP3" s="366"/>
      <c r="BQ3" s="366"/>
      <c r="BR3" s="366"/>
      <c r="BS3" s="366"/>
      <c r="BT3" s="366"/>
      <c r="BU3" s="365"/>
      <c r="BV3" s="366"/>
      <c r="BW3" s="367"/>
      <c r="BX3" s="365"/>
      <c r="BY3" s="366"/>
      <c r="BZ3" s="366"/>
      <c r="CA3" s="366"/>
      <c r="CB3" s="428"/>
      <c r="CC3" s="381"/>
      <c r="CD3" s="365"/>
      <c r="CE3" s="366"/>
      <c r="CF3" s="366"/>
      <c r="CG3" s="366"/>
      <c r="CH3" s="366"/>
      <c r="CI3" s="367"/>
      <c r="CJ3" s="365"/>
      <c r="CK3" s="366"/>
      <c r="CL3" s="367"/>
      <c r="CM3" s="365"/>
      <c r="CN3" s="366"/>
      <c r="CO3" s="366"/>
      <c r="CP3" s="366"/>
      <c r="CQ3" s="428"/>
      <c r="CR3" s="360"/>
      <c r="CS3" s="365"/>
      <c r="CT3" s="366"/>
      <c r="CU3" s="366"/>
      <c r="CV3" s="366"/>
      <c r="CW3" s="366"/>
      <c r="CX3" s="367"/>
      <c r="CY3" s="365"/>
      <c r="CZ3" s="366"/>
      <c r="DA3" s="367"/>
      <c r="DB3" s="365"/>
      <c r="DC3" s="366"/>
      <c r="DD3" s="366"/>
      <c r="DE3" s="366"/>
      <c r="DF3" s="428"/>
      <c r="DG3" s="369"/>
    </row>
    <row r="4" spans="2:111" ht="10.5" customHeight="1" thickBot="1">
      <c r="E4" s="386"/>
      <c r="F4" s="475"/>
      <c r="G4" s="383"/>
      <c r="H4" s="384"/>
      <c r="I4" s="384"/>
      <c r="J4" s="384"/>
      <c r="K4" s="384"/>
      <c r="L4" s="384"/>
      <c r="M4" s="383"/>
      <c r="N4" s="384"/>
      <c r="O4" s="385"/>
      <c r="P4" s="383"/>
      <c r="Q4" s="384"/>
      <c r="R4" s="384"/>
      <c r="S4" s="384"/>
      <c r="T4" s="467"/>
      <c r="U4" s="475"/>
      <c r="V4" s="383"/>
      <c r="W4" s="384"/>
      <c r="X4" s="384"/>
      <c r="Y4" s="384"/>
      <c r="Z4" s="384"/>
      <c r="AA4" s="384"/>
      <c r="AB4" s="383"/>
      <c r="AC4" s="384"/>
      <c r="AD4" s="385"/>
      <c r="AE4" s="383"/>
      <c r="AF4" s="384"/>
      <c r="AG4" s="384"/>
      <c r="AH4" s="384"/>
      <c r="AI4" s="467"/>
      <c r="AJ4" s="475"/>
      <c r="AK4" s="383"/>
      <c r="AL4" s="384"/>
      <c r="AM4" s="384"/>
      <c r="AN4" s="384"/>
      <c r="AO4" s="384"/>
      <c r="AP4" s="384"/>
      <c r="AQ4" s="383"/>
      <c r="AR4" s="384"/>
      <c r="AS4" s="385"/>
      <c r="AT4" s="383"/>
      <c r="AU4" s="384"/>
      <c r="AV4" s="384"/>
      <c r="AW4" s="384"/>
      <c r="AX4" s="467"/>
      <c r="AY4" s="475"/>
      <c r="AZ4" s="383"/>
      <c r="BA4" s="384"/>
      <c r="BB4" s="384"/>
      <c r="BC4" s="384"/>
      <c r="BD4" s="384"/>
      <c r="BE4" s="384"/>
      <c r="BF4" s="383"/>
      <c r="BG4" s="384"/>
      <c r="BH4" s="385"/>
      <c r="BI4" s="383"/>
      <c r="BJ4" s="384"/>
      <c r="BK4" s="384"/>
      <c r="BL4" s="384"/>
      <c r="BM4" s="467"/>
      <c r="BN4" s="475"/>
      <c r="BO4" s="383"/>
      <c r="BP4" s="384"/>
      <c r="BQ4" s="384"/>
      <c r="BR4" s="384"/>
      <c r="BS4" s="384"/>
      <c r="BT4" s="384"/>
      <c r="BU4" s="383"/>
      <c r="BV4" s="384"/>
      <c r="BW4" s="385"/>
      <c r="BX4" s="383"/>
      <c r="BY4" s="384"/>
      <c r="BZ4" s="384"/>
      <c r="CA4" s="384"/>
      <c r="CB4" s="467"/>
      <c r="CC4" s="475"/>
      <c r="CD4" s="383"/>
      <c r="CE4" s="384"/>
      <c r="CF4" s="384"/>
      <c r="CG4" s="384"/>
      <c r="CH4" s="384"/>
      <c r="CI4" s="385"/>
      <c r="CJ4" s="383"/>
      <c r="CK4" s="384"/>
      <c r="CL4" s="385"/>
      <c r="CM4" s="383"/>
      <c r="CN4" s="384"/>
      <c r="CO4" s="384"/>
      <c r="CP4" s="384"/>
      <c r="CQ4" s="467"/>
      <c r="CR4" s="477"/>
      <c r="CS4" s="383"/>
      <c r="CT4" s="384"/>
      <c r="CU4" s="384"/>
      <c r="CV4" s="384"/>
      <c r="CW4" s="384"/>
      <c r="CX4" s="385"/>
      <c r="CY4" s="383"/>
      <c r="CZ4" s="384"/>
      <c r="DA4" s="385"/>
      <c r="DB4" s="383"/>
      <c r="DC4" s="384"/>
      <c r="DD4" s="384"/>
      <c r="DE4" s="384"/>
      <c r="DF4" s="467"/>
      <c r="DG4" s="369"/>
    </row>
    <row r="5" spans="2:111" ht="10.5" customHeight="1">
      <c r="B5" s="51">
        <v>0.25</v>
      </c>
      <c r="C5" s="51">
        <v>0.25</v>
      </c>
      <c r="D5" s="51">
        <v>0.25</v>
      </c>
      <c r="E5" s="172">
        <v>0.29166666666666669</v>
      </c>
      <c r="F5" s="58">
        <f>IF(Tim!F7="","",1)</f>
        <v>1</v>
      </c>
      <c r="G5" s="60" t="str">
        <f>IF(Tim!G7="","",1)</f>
        <v/>
      </c>
      <c r="H5" s="60" t="str">
        <f>IF(Tim!H7="","",1)</f>
        <v/>
      </c>
      <c r="I5" s="60" t="str">
        <f>IF(Tim!I7="","",1)</f>
        <v/>
      </c>
      <c r="J5" s="60" t="str">
        <f>IF(Tim!J7="","",1)</f>
        <v/>
      </c>
      <c r="K5" s="60" t="str">
        <f>IF(Tim!K7="","",1)</f>
        <v/>
      </c>
      <c r="L5" s="60" t="str">
        <f>IF(Tim!L7="","",1)</f>
        <v/>
      </c>
      <c r="M5" s="60" t="str">
        <f>IF(Tim!M7="","",1)</f>
        <v/>
      </c>
      <c r="N5" s="60" t="str">
        <f>IF(Tim!N7="","",1)</f>
        <v/>
      </c>
      <c r="O5" s="60" t="str">
        <f>IF(Tim!O7="","",1)</f>
        <v/>
      </c>
      <c r="P5" s="60" t="str">
        <f>IF(Tim!P7="","",1)</f>
        <v/>
      </c>
      <c r="Q5" s="60" t="str">
        <f>IF(Tim!Q7="","",1)</f>
        <v/>
      </c>
      <c r="R5" s="60" t="str">
        <f>IF(Tim!R7="","",1)</f>
        <v/>
      </c>
      <c r="S5" s="60" t="str">
        <f>IF(Tim!S7="","",1)</f>
        <v/>
      </c>
      <c r="T5" s="60" t="str">
        <f>IF(Tim!T7="","",1)</f>
        <v/>
      </c>
      <c r="U5" s="58">
        <f>IF(Tim!AY7="","",1)</f>
        <v>1</v>
      </c>
      <c r="V5" s="60" t="str">
        <f>IF(Tim!AZ7="","",1)</f>
        <v/>
      </c>
      <c r="W5" s="60" t="str">
        <f>IF(Tim!BA7="","",1)</f>
        <v/>
      </c>
      <c r="X5" s="60" t="str">
        <f>IF(Tim!BB7="","",1)</f>
        <v/>
      </c>
      <c r="Y5" s="60" t="str">
        <f>IF(Tim!BC7="","",1)</f>
        <v/>
      </c>
      <c r="Z5" s="60" t="str">
        <f>IF(Tim!BD7="","",1)</f>
        <v/>
      </c>
      <c r="AA5" s="60" t="str">
        <f>IF(Tim!BE7="","",1)</f>
        <v/>
      </c>
      <c r="AB5" s="60" t="str">
        <f>IF(Tim!BF7="","",1)</f>
        <v/>
      </c>
      <c r="AC5" s="60" t="str">
        <f>IF(Tim!BG7="","",1)</f>
        <v/>
      </c>
      <c r="AD5" s="60" t="str">
        <f>IF(Tim!BH7="","",1)</f>
        <v/>
      </c>
      <c r="AE5" s="60" t="str">
        <f>IF(Tim!BI7="","",1)</f>
        <v/>
      </c>
      <c r="AF5" s="60" t="str">
        <f>IF(Tim!BJ7="","",1)</f>
        <v/>
      </c>
      <c r="AG5" s="60" t="str">
        <f>IF(Tim!BK7="","",1)</f>
        <v/>
      </c>
      <c r="AH5" s="60" t="str">
        <f>IF(Tim!BL7="","",1)</f>
        <v/>
      </c>
      <c r="AI5" s="60" t="str">
        <f>IF(Tim!BM7="","",1)</f>
        <v/>
      </c>
      <c r="AJ5" s="58">
        <f>IF(Tim!CQ7="","",1)</f>
        <v>1</v>
      </c>
      <c r="AK5" s="60" t="str">
        <f>IF(Tim!CR7="","",1)</f>
        <v/>
      </c>
      <c r="AL5" s="60" t="str">
        <f>IF(Tim!CS7="","",1)</f>
        <v/>
      </c>
      <c r="AM5" s="60" t="str">
        <f>IF(Tim!CT7="","",1)</f>
        <v/>
      </c>
      <c r="AN5" s="60" t="str">
        <f>IF(Tim!CU7="","",1)</f>
        <v/>
      </c>
      <c r="AO5" s="60" t="str">
        <f>IF(Tim!CV7="","",1)</f>
        <v/>
      </c>
      <c r="AP5" s="60" t="str">
        <f>IF(Tim!CW7="","",1)</f>
        <v/>
      </c>
      <c r="AQ5" s="60" t="str">
        <f>IF(Tim!CX7="","",1)</f>
        <v/>
      </c>
      <c r="AR5" s="60" t="str">
        <f>IF(Tim!CY7="","",1)</f>
        <v/>
      </c>
      <c r="AS5" s="60" t="str">
        <f>IF(Tim!CZ7="","",1)</f>
        <v/>
      </c>
      <c r="AT5" s="60" t="str">
        <f>IF(Tim!DA7="","",1)</f>
        <v/>
      </c>
      <c r="AU5" s="60" t="str">
        <f>IF(Tim!DB7="","",1)</f>
        <v/>
      </c>
      <c r="AV5" s="60" t="str">
        <f>IF(Tim!DC7="","",1)</f>
        <v/>
      </c>
      <c r="AW5" s="60" t="str">
        <f>IF(Tim!DD7="","",1)</f>
        <v/>
      </c>
      <c r="AX5" s="60" t="str">
        <f>IF(Tim!DE7="","",1)</f>
        <v/>
      </c>
      <c r="AY5" s="58">
        <f>IF(Tim!EL7="","",1)</f>
        <v>1</v>
      </c>
      <c r="AZ5" s="60" t="str">
        <f>IF(Tim!EM7="","",1)</f>
        <v/>
      </c>
      <c r="BA5" s="60" t="str">
        <f>IF(Tim!EN7="","",1)</f>
        <v/>
      </c>
      <c r="BB5" s="60" t="str">
        <f>IF(Tim!EO7="","",1)</f>
        <v/>
      </c>
      <c r="BC5" s="60" t="str">
        <f>IF(Tim!EP7="","",1)</f>
        <v/>
      </c>
      <c r="BD5" s="60" t="str">
        <f>IF(Tim!EQ7="","",1)</f>
        <v/>
      </c>
      <c r="BE5" s="60" t="str">
        <f>IF(Tim!ER7="","",1)</f>
        <v/>
      </c>
      <c r="BF5" s="60" t="str">
        <f>IF(Tim!ES7="","",1)</f>
        <v/>
      </c>
      <c r="BG5" s="60" t="str">
        <f>IF(Tim!ET7="","",1)</f>
        <v/>
      </c>
      <c r="BH5" s="60" t="str">
        <f>IF(Tim!EU7="","",1)</f>
        <v/>
      </c>
      <c r="BI5" s="60" t="str">
        <f>IF(Tim!EV7="","",1)</f>
        <v/>
      </c>
      <c r="BJ5" s="60" t="str">
        <f>IF(Tim!EW7="","",1)</f>
        <v/>
      </c>
      <c r="BK5" s="60" t="str">
        <f>IF(Tim!EX7="","",1)</f>
        <v/>
      </c>
      <c r="BL5" s="60" t="str">
        <f>IF(Tim!EY7="","",1)</f>
        <v/>
      </c>
      <c r="BM5" s="60" t="str">
        <f>IF(Tim!EZ7="","",1)</f>
        <v/>
      </c>
      <c r="BN5" s="58">
        <f>IF(Tim!GD7="","",1)</f>
        <v>1</v>
      </c>
      <c r="BO5" s="60" t="str">
        <f>IF(Tim!GE7="","",1)</f>
        <v/>
      </c>
      <c r="BP5" s="60" t="str">
        <f>IF(Tim!GF7="","",1)</f>
        <v/>
      </c>
      <c r="BQ5" s="60" t="str">
        <f>IF(Tim!GG7="","",1)</f>
        <v/>
      </c>
      <c r="BR5" s="60" t="str">
        <f>IF(Tim!GH7="","",1)</f>
        <v/>
      </c>
      <c r="BS5" s="60" t="str">
        <f>IF(Tim!GI7="","",1)</f>
        <v/>
      </c>
      <c r="BT5" s="60" t="str">
        <f>IF(Tim!GJ7="","",1)</f>
        <v/>
      </c>
      <c r="BU5" s="60" t="str">
        <f>IF(Tim!GK7="","",1)</f>
        <v/>
      </c>
      <c r="BV5" s="60" t="str">
        <f>IF(Tim!GL7="","",1)</f>
        <v/>
      </c>
      <c r="BW5" s="60" t="str">
        <f>IF(Tim!GM7="","",1)</f>
        <v/>
      </c>
      <c r="BX5" s="60" t="str">
        <f>IF(Tim!GN7="","",1)</f>
        <v/>
      </c>
      <c r="BY5" s="60" t="str">
        <f>IF(Tim!GO7="","",1)</f>
        <v/>
      </c>
      <c r="BZ5" s="60" t="str">
        <f>IF(Tim!GP7="","",1)</f>
        <v/>
      </c>
      <c r="CA5" s="60" t="str">
        <f>IF(Tim!GQ7="","",1)</f>
        <v/>
      </c>
      <c r="CB5" s="60" t="str">
        <f>IF(Tim!GR7="","",1)</f>
        <v/>
      </c>
      <c r="CC5" s="223"/>
      <c r="CD5" s="221"/>
      <c r="CE5" s="221"/>
      <c r="CF5" s="221"/>
      <c r="CG5" s="221"/>
      <c r="CH5" s="221"/>
      <c r="CI5" s="221"/>
      <c r="CJ5" s="221"/>
      <c r="CK5" s="221"/>
      <c r="CL5" s="221"/>
      <c r="CM5" s="221"/>
      <c r="CQ5" s="215"/>
      <c r="CR5" s="366"/>
      <c r="CS5" s="366"/>
      <c r="CT5" s="366"/>
      <c r="CU5" s="366"/>
      <c r="CV5" s="366"/>
      <c r="CW5" s="366"/>
      <c r="CX5" s="366"/>
      <c r="CY5" s="366"/>
      <c r="CZ5" s="366"/>
      <c r="DA5" s="366"/>
      <c r="DB5" s="366"/>
      <c r="DG5" s="52">
        <v>0.29166666666666669</v>
      </c>
    </row>
    <row r="6" spans="2:111" ht="10.5" customHeight="1">
      <c r="B6" s="51">
        <v>0.25</v>
      </c>
      <c r="C6" s="51">
        <v>0.25</v>
      </c>
      <c r="D6" s="51">
        <v>0.25</v>
      </c>
      <c r="E6" s="172">
        <v>0.30208333333333331</v>
      </c>
      <c r="F6" s="56">
        <f>IF(Tim!F8="","",1)</f>
        <v>1</v>
      </c>
      <c r="G6" s="60" t="str">
        <f>IF(Tim!G8="","",1)</f>
        <v/>
      </c>
      <c r="H6" s="60" t="str">
        <f>IF(Tim!H8="","",1)</f>
        <v/>
      </c>
      <c r="I6" s="60" t="str">
        <f>IF(Tim!I8="","",1)</f>
        <v/>
      </c>
      <c r="J6" s="60" t="str">
        <f>IF(Tim!J8="","",1)</f>
        <v/>
      </c>
      <c r="K6" s="60" t="str">
        <f>IF(Tim!K8="","",1)</f>
        <v/>
      </c>
      <c r="L6" s="60" t="str">
        <f>IF(Tim!L8="","",1)</f>
        <v/>
      </c>
      <c r="M6" s="60" t="str">
        <f>IF(Tim!M8="","",1)</f>
        <v/>
      </c>
      <c r="N6" s="60" t="str">
        <f>IF(Tim!N8="","",1)</f>
        <v/>
      </c>
      <c r="O6" s="60" t="str">
        <f>IF(Tim!O8="","",1)</f>
        <v/>
      </c>
      <c r="P6" s="60" t="str">
        <f>IF(Tim!P8="","",1)</f>
        <v/>
      </c>
      <c r="Q6" s="60" t="str">
        <f>IF(Tim!Q8="","",1)</f>
        <v/>
      </c>
      <c r="R6" s="60" t="str">
        <f>IF(Tim!R8="","",1)</f>
        <v/>
      </c>
      <c r="S6" s="60" t="str">
        <f>IF(Tim!S8="","",1)</f>
        <v/>
      </c>
      <c r="T6" s="60" t="str">
        <f>IF(Tim!T8="","",1)</f>
        <v/>
      </c>
      <c r="U6" s="56">
        <f>IF(Tim!AY8="","",1)</f>
        <v>1</v>
      </c>
      <c r="V6" s="60" t="str">
        <f>IF(Tim!AZ8="","",1)</f>
        <v/>
      </c>
      <c r="W6" s="60" t="str">
        <f>IF(Tim!BA8="","",1)</f>
        <v/>
      </c>
      <c r="X6" s="60" t="str">
        <f>IF(Tim!BB8="","",1)</f>
        <v/>
      </c>
      <c r="Y6" s="60" t="str">
        <f>IF(Tim!BC8="","",1)</f>
        <v/>
      </c>
      <c r="Z6" s="60" t="str">
        <f>IF(Tim!BD8="","",1)</f>
        <v/>
      </c>
      <c r="AA6" s="60" t="str">
        <f>IF(Tim!BE8="","",1)</f>
        <v/>
      </c>
      <c r="AB6" s="60" t="str">
        <f>IF(Tim!BF8="","",1)</f>
        <v/>
      </c>
      <c r="AC6" s="60" t="str">
        <f>IF(Tim!BG8="","",1)</f>
        <v/>
      </c>
      <c r="AD6" s="60" t="str">
        <f>IF(Tim!BH8="","",1)</f>
        <v/>
      </c>
      <c r="AE6" s="60" t="str">
        <f>IF(Tim!BI8="","",1)</f>
        <v/>
      </c>
      <c r="AF6" s="60" t="str">
        <f>IF(Tim!BJ8="","",1)</f>
        <v/>
      </c>
      <c r="AG6" s="60" t="str">
        <f>IF(Tim!BK8="","",1)</f>
        <v/>
      </c>
      <c r="AH6" s="60" t="str">
        <f>IF(Tim!BL8="","",1)</f>
        <v/>
      </c>
      <c r="AI6" s="60" t="str">
        <f>IF(Tim!BM8="","",1)</f>
        <v/>
      </c>
      <c r="AJ6" s="56">
        <f>IF(Tim!CQ8="","",1)</f>
        <v>1</v>
      </c>
      <c r="AK6" s="60" t="str">
        <f>IF(Tim!CR8="","",1)</f>
        <v/>
      </c>
      <c r="AL6" s="60" t="str">
        <f>IF(Tim!CS8="","",1)</f>
        <v/>
      </c>
      <c r="AM6" s="60" t="str">
        <f>IF(Tim!CT8="","",1)</f>
        <v/>
      </c>
      <c r="AN6" s="60" t="str">
        <f>IF(Tim!CU8="","",1)</f>
        <v/>
      </c>
      <c r="AO6" s="60" t="str">
        <f>IF(Tim!CV8="","",1)</f>
        <v/>
      </c>
      <c r="AP6" s="60" t="str">
        <f>IF(Tim!CW8="","",1)</f>
        <v/>
      </c>
      <c r="AQ6" s="60" t="str">
        <f>IF(Tim!CX8="","",1)</f>
        <v/>
      </c>
      <c r="AR6" s="60" t="str">
        <f>IF(Tim!CY8="","",1)</f>
        <v/>
      </c>
      <c r="AS6" s="60" t="str">
        <f>IF(Tim!CZ8="","",1)</f>
        <v/>
      </c>
      <c r="AT6" s="60" t="str">
        <f>IF(Tim!DA8="","",1)</f>
        <v/>
      </c>
      <c r="AU6" s="60" t="str">
        <f>IF(Tim!DB8="","",1)</f>
        <v/>
      </c>
      <c r="AV6" s="60" t="str">
        <f>IF(Tim!DC8="","",1)</f>
        <v/>
      </c>
      <c r="AW6" s="60" t="str">
        <f>IF(Tim!DD8="","",1)</f>
        <v/>
      </c>
      <c r="AX6" s="60" t="str">
        <f>IF(Tim!DE8="","",1)</f>
        <v/>
      </c>
      <c r="AY6" s="56">
        <f>IF(Tim!EL8="","",1)</f>
        <v>1</v>
      </c>
      <c r="AZ6" s="60" t="str">
        <f>IF(Tim!EM8="","",1)</f>
        <v/>
      </c>
      <c r="BA6" s="60" t="str">
        <f>IF(Tim!EN8="","",1)</f>
        <v/>
      </c>
      <c r="BB6" s="60" t="str">
        <f>IF(Tim!EO8="","",1)</f>
        <v/>
      </c>
      <c r="BC6" s="60" t="str">
        <f>IF(Tim!EP8="","",1)</f>
        <v/>
      </c>
      <c r="BD6" s="60" t="str">
        <f>IF(Tim!EQ8="","",1)</f>
        <v/>
      </c>
      <c r="BE6" s="60" t="str">
        <f>IF(Tim!ER8="","",1)</f>
        <v/>
      </c>
      <c r="BF6" s="60" t="str">
        <f>IF(Tim!ES8="","",1)</f>
        <v/>
      </c>
      <c r="BG6" s="60" t="str">
        <f>IF(Tim!ET8="","",1)</f>
        <v/>
      </c>
      <c r="BH6" s="60" t="str">
        <f>IF(Tim!EU8="","",1)</f>
        <v/>
      </c>
      <c r="BI6" s="60" t="str">
        <f>IF(Tim!EV8="","",1)</f>
        <v/>
      </c>
      <c r="BJ6" s="60" t="str">
        <f>IF(Tim!EW8="","",1)</f>
        <v/>
      </c>
      <c r="BK6" s="60" t="str">
        <f>IF(Tim!EX8="","",1)</f>
        <v/>
      </c>
      <c r="BL6" s="60" t="str">
        <f>IF(Tim!EY8="","",1)</f>
        <v/>
      </c>
      <c r="BM6" s="60" t="str">
        <f>IF(Tim!EZ8="","",1)</f>
        <v/>
      </c>
      <c r="BN6" s="56">
        <f>IF(Tim!GD8="","",1)</f>
        <v>1</v>
      </c>
      <c r="BO6" s="60" t="str">
        <f>IF(Tim!GE8="","",1)</f>
        <v/>
      </c>
      <c r="BP6" s="60" t="str">
        <f>IF(Tim!GF8="","",1)</f>
        <v/>
      </c>
      <c r="BQ6" s="60" t="str">
        <f>IF(Tim!GG8="","",1)</f>
        <v/>
      </c>
      <c r="BR6" s="60" t="str">
        <f>IF(Tim!GH8="","",1)</f>
        <v/>
      </c>
      <c r="BS6" s="60" t="str">
        <f>IF(Tim!GI8="","",1)</f>
        <v/>
      </c>
      <c r="BT6" s="60" t="str">
        <f>IF(Tim!GJ8="","",1)</f>
        <v/>
      </c>
      <c r="BU6" s="60" t="str">
        <f>IF(Tim!GK8="","",1)</f>
        <v/>
      </c>
      <c r="BV6" s="60" t="str">
        <f>IF(Tim!GL8="","",1)</f>
        <v/>
      </c>
      <c r="BW6" s="60" t="str">
        <f>IF(Tim!GM8="","",1)</f>
        <v/>
      </c>
      <c r="BX6" s="60" t="str">
        <f>IF(Tim!GN8="","",1)</f>
        <v/>
      </c>
      <c r="BY6" s="60" t="str">
        <f>IF(Tim!GO8="","",1)</f>
        <v/>
      </c>
      <c r="BZ6" s="60" t="str">
        <f>IF(Tim!GP8="","",1)</f>
        <v/>
      </c>
      <c r="CA6" s="60" t="str">
        <f>IF(Tim!GQ8="","",1)</f>
        <v/>
      </c>
      <c r="CB6" s="60" t="str">
        <f>IF(Tim!GR8="","",1)</f>
        <v/>
      </c>
      <c r="CC6" s="223"/>
      <c r="CD6" s="221"/>
      <c r="CE6" s="221"/>
      <c r="CF6" s="221"/>
      <c r="CG6" s="221"/>
      <c r="CH6" s="221"/>
      <c r="CI6" s="221"/>
      <c r="CJ6" s="221"/>
      <c r="CK6" s="221"/>
      <c r="CL6" s="221"/>
      <c r="CM6" s="221"/>
      <c r="CQ6" s="215"/>
      <c r="CR6" s="366"/>
      <c r="CS6" s="366"/>
      <c r="CT6" s="366"/>
      <c r="CU6" s="366"/>
      <c r="CV6" s="366"/>
      <c r="CW6" s="366"/>
      <c r="CX6" s="366"/>
      <c r="CY6" s="366"/>
      <c r="CZ6" s="366"/>
      <c r="DA6" s="366"/>
      <c r="DB6" s="366"/>
      <c r="DG6" s="52">
        <v>0.30208333333333331</v>
      </c>
    </row>
    <row r="7" spans="2:111" ht="10.5" customHeight="1">
      <c r="B7" s="51">
        <v>0.25</v>
      </c>
      <c r="C7" s="51">
        <v>0.25</v>
      </c>
      <c r="D7" s="51">
        <v>0.25</v>
      </c>
      <c r="E7" s="172">
        <v>0.3125</v>
      </c>
      <c r="F7" s="56">
        <f>IF(Tim!F9="","",1)</f>
        <v>1</v>
      </c>
      <c r="G7" s="60" t="str">
        <f>IF(Tim!G9="","",1)</f>
        <v/>
      </c>
      <c r="H7" s="60" t="str">
        <f>IF(Tim!H9="","",1)</f>
        <v/>
      </c>
      <c r="I7" s="60" t="str">
        <f>IF(Tim!I9="","",1)</f>
        <v/>
      </c>
      <c r="J7" s="60" t="str">
        <f>IF(Tim!J9="","",1)</f>
        <v/>
      </c>
      <c r="K7" s="60" t="str">
        <f>IF(Tim!K9="","",1)</f>
        <v/>
      </c>
      <c r="L7" s="60" t="str">
        <f>IF(Tim!L9="","",1)</f>
        <v/>
      </c>
      <c r="M7" s="60" t="str">
        <f>IF(Tim!M9="","",1)</f>
        <v/>
      </c>
      <c r="N7" s="60" t="str">
        <f>IF(Tim!N9="","",1)</f>
        <v/>
      </c>
      <c r="O7" s="60" t="str">
        <f>IF(Tim!O9="","",1)</f>
        <v/>
      </c>
      <c r="P7" s="60" t="str">
        <f>IF(Tim!P9="","",1)</f>
        <v/>
      </c>
      <c r="Q7" s="60" t="str">
        <f>IF(Tim!Q9="","",1)</f>
        <v/>
      </c>
      <c r="R7" s="60" t="str">
        <f>IF(Tim!R9="","",1)</f>
        <v/>
      </c>
      <c r="S7" s="60" t="str">
        <f>IF(Tim!S9="","",1)</f>
        <v/>
      </c>
      <c r="T7" s="60" t="str">
        <f>IF(Tim!T9="","",1)</f>
        <v/>
      </c>
      <c r="U7" s="56">
        <f>IF(Tim!AY9="","",1)</f>
        <v>1</v>
      </c>
      <c r="V7" s="60" t="str">
        <f>IF(Tim!AZ9="","",1)</f>
        <v/>
      </c>
      <c r="W7" s="60" t="str">
        <f>IF(Tim!BA9="","",1)</f>
        <v/>
      </c>
      <c r="X7" s="60" t="str">
        <f>IF(Tim!BB9="","",1)</f>
        <v/>
      </c>
      <c r="Y7" s="60" t="str">
        <f>IF(Tim!BC9="","",1)</f>
        <v/>
      </c>
      <c r="Z7" s="60" t="str">
        <f>IF(Tim!BD9="","",1)</f>
        <v/>
      </c>
      <c r="AA7" s="60" t="str">
        <f>IF(Tim!BE9="","",1)</f>
        <v/>
      </c>
      <c r="AB7" s="60" t="str">
        <f>IF(Tim!BF9="","",1)</f>
        <v/>
      </c>
      <c r="AC7" s="60" t="str">
        <f>IF(Tim!BG9="","",1)</f>
        <v/>
      </c>
      <c r="AD7" s="60" t="str">
        <f>IF(Tim!BH9="","",1)</f>
        <v/>
      </c>
      <c r="AE7" s="60" t="str">
        <f>IF(Tim!BI9="","",1)</f>
        <v/>
      </c>
      <c r="AF7" s="60" t="str">
        <f>IF(Tim!BJ9="","",1)</f>
        <v/>
      </c>
      <c r="AG7" s="60" t="str">
        <f>IF(Tim!BK9="","",1)</f>
        <v/>
      </c>
      <c r="AH7" s="60" t="str">
        <f>IF(Tim!BL9="","",1)</f>
        <v/>
      </c>
      <c r="AI7" s="60" t="str">
        <f>IF(Tim!BM9="","",1)</f>
        <v/>
      </c>
      <c r="AJ7" s="56">
        <f>IF(Tim!CQ9="","",1)</f>
        <v>1</v>
      </c>
      <c r="AK7" s="60" t="str">
        <f>IF(Tim!CR9="","",1)</f>
        <v/>
      </c>
      <c r="AL7" s="60" t="str">
        <f>IF(Tim!CS9="","",1)</f>
        <v/>
      </c>
      <c r="AM7" s="60" t="str">
        <f>IF(Tim!CT9="","",1)</f>
        <v/>
      </c>
      <c r="AN7" s="60" t="str">
        <f>IF(Tim!CU9="","",1)</f>
        <v/>
      </c>
      <c r="AO7" s="60" t="str">
        <f>IF(Tim!CV9="","",1)</f>
        <v/>
      </c>
      <c r="AP7" s="60" t="str">
        <f>IF(Tim!CW9="","",1)</f>
        <v/>
      </c>
      <c r="AQ7" s="60" t="str">
        <f>IF(Tim!CX9="","",1)</f>
        <v/>
      </c>
      <c r="AR7" s="60" t="str">
        <f>IF(Tim!CY9="","",1)</f>
        <v/>
      </c>
      <c r="AS7" s="60" t="str">
        <f>IF(Tim!CZ9="","",1)</f>
        <v/>
      </c>
      <c r="AT7" s="60">
        <f>IF(Tim!DA9="","",1)</f>
        <v>1</v>
      </c>
      <c r="AU7" s="60" t="str">
        <f>IF(Tim!DB9="","",1)</f>
        <v/>
      </c>
      <c r="AV7" s="60" t="str">
        <f>IF(Tim!DC9="","",1)</f>
        <v/>
      </c>
      <c r="AW7" s="60" t="str">
        <f>IF(Tim!DD9="","",1)</f>
        <v/>
      </c>
      <c r="AX7" s="60" t="str">
        <f>IF(Tim!DE9="","",1)</f>
        <v/>
      </c>
      <c r="AY7" s="56">
        <f>IF(Tim!EL9="","",1)</f>
        <v>1</v>
      </c>
      <c r="AZ7" s="60" t="str">
        <f>IF(Tim!EM9="","",1)</f>
        <v/>
      </c>
      <c r="BA7" s="60" t="str">
        <f>IF(Tim!EN9="","",1)</f>
        <v/>
      </c>
      <c r="BB7" s="60" t="str">
        <f>IF(Tim!EO9="","",1)</f>
        <v/>
      </c>
      <c r="BC7" s="60" t="str">
        <f>IF(Tim!EP9="","",1)</f>
        <v/>
      </c>
      <c r="BD7" s="60" t="str">
        <f>IF(Tim!EQ9="","",1)</f>
        <v/>
      </c>
      <c r="BE7" s="60" t="str">
        <f>IF(Tim!ER9="","",1)</f>
        <v/>
      </c>
      <c r="BF7" s="60" t="str">
        <f>IF(Tim!ES9="","",1)</f>
        <v/>
      </c>
      <c r="BG7" s="60" t="str">
        <f>IF(Tim!ET9="","",1)</f>
        <v/>
      </c>
      <c r="BH7" s="60" t="str">
        <f>IF(Tim!EU9="","",1)</f>
        <v/>
      </c>
      <c r="BI7" s="60" t="str">
        <f>IF(Tim!EV9="","",1)</f>
        <v/>
      </c>
      <c r="BJ7" s="60" t="str">
        <f>IF(Tim!EW9="","",1)</f>
        <v/>
      </c>
      <c r="BK7" s="60" t="str">
        <f>IF(Tim!EX9="","",1)</f>
        <v/>
      </c>
      <c r="BL7" s="60" t="str">
        <f>IF(Tim!EY9="","",1)</f>
        <v/>
      </c>
      <c r="BM7" s="60" t="str">
        <f>IF(Tim!EZ9="","",1)</f>
        <v/>
      </c>
      <c r="BN7" s="56">
        <f>IF(Tim!GD9="","",1)</f>
        <v>1</v>
      </c>
      <c r="BO7" s="60" t="str">
        <f>IF(Tim!GE9="","",1)</f>
        <v/>
      </c>
      <c r="BP7" s="60" t="str">
        <f>IF(Tim!GF9="","",1)</f>
        <v/>
      </c>
      <c r="BQ7" s="60" t="str">
        <f>IF(Tim!GG9="","",1)</f>
        <v/>
      </c>
      <c r="BR7" s="60" t="str">
        <f>IF(Tim!GH9="","",1)</f>
        <v/>
      </c>
      <c r="BS7" s="60" t="str">
        <f>IF(Tim!GI9="","",1)</f>
        <v/>
      </c>
      <c r="BT7" s="60" t="str">
        <f>IF(Tim!GJ9="","",1)</f>
        <v/>
      </c>
      <c r="BU7" s="60" t="str">
        <f>IF(Tim!GK9="","",1)</f>
        <v/>
      </c>
      <c r="BV7" s="60" t="str">
        <f>IF(Tim!GL9="","",1)</f>
        <v/>
      </c>
      <c r="BW7" s="60" t="str">
        <f>IF(Tim!GM9="","",1)</f>
        <v/>
      </c>
      <c r="BX7" s="60" t="str">
        <f>IF(Tim!GN9="","",1)</f>
        <v/>
      </c>
      <c r="BY7" s="60" t="str">
        <f>IF(Tim!GO9="","",1)</f>
        <v/>
      </c>
      <c r="BZ7" s="60" t="str">
        <f>IF(Tim!GP9="","",1)</f>
        <v/>
      </c>
      <c r="CA7" s="60" t="str">
        <f>IF(Tim!GQ9="","",1)</f>
        <v/>
      </c>
      <c r="CB7" s="60" t="str">
        <f>IF(Tim!GR9="","",1)</f>
        <v/>
      </c>
      <c r="CC7" s="223"/>
      <c r="CD7" s="221"/>
      <c r="CE7" s="221"/>
      <c r="CF7" s="221"/>
      <c r="CG7" s="221"/>
      <c r="CH7" s="221"/>
      <c r="CI7" s="221"/>
      <c r="CJ7" s="221"/>
      <c r="CK7" s="221"/>
      <c r="CL7" s="221"/>
      <c r="CM7" s="221"/>
      <c r="CQ7" s="215"/>
      <c r="CR7" s="366"/>
      <c r="CS7" s="366"/>
      <c r="CT7" s="366"/>
      <c r="CU7" s="366"/>
      <c r="CV7" s="366"/>
      <c r="CW7" s="366"/>
      <c r="CX7" s="366"/>
      <c r="CY7" s="366"/>
      <c r="CZ7" s="366"/>
      <c r="DA7" s="366"/>
      <c r="DB7" s="366"/>
      <c r="DG7" s="52">
        <v>0.3125</v>
      </c>
    </row>
    <row r="8" spans="2:111" ht="10.5" customHeight="1">
      <c r="B8" s="51">
        <v>0.25</v>
      </c>
      <c r="C8" s="51">
        <v>0.25</v>
      </c>
      <c r="D8" s="51">
        <v>0.25</v>
      </c>
      <c r="E8" s="172">
        <v>0.32291666666666702</v>
      </c>
      <c r="F8" s="56">
        <f>IF(Tim!F10="","",1)</f>
        <v>1</v>
      </c>
      <c r="G8" s="60" t="str">
        <f>IF(Tim!G10="","",1)</f>
        <v/>
      </c>
      <c r="H8" s="60" t="str">
        <f>IF(Tim!H10="","",1)</f>
        <v/>
      </c>
      <c r="I8" s="60" t="str">
        <f>IF(Tim!I10="","",1)</f>
        <v/>
      </c>
      <c r="J8" s="60" t="str">
        <f>IF(Tim!J10="","",1)</f>
        <v/>
      </c>
      <c r="K8" s="60" t="str">
        <f>IF(Tim!K10="","",1)</f>
        <v/>
      </c>
      <c r="L8" s="60" t="str">
        <f>IF(Tim!L10="","",1)</f>
        <v/>
      </c>
      <c r="M8" s="60" t="str">
        <f>IF(Tim!M10="","",1)</f>
        <v/>
      </c>
      <c r="N8" s="60" t="str">
        <f>IF(Tim!N10="","",1)</f>
        <v/>
      </c>
      <c r="O8" s="60" t="str">
        <f>IF(Tim!O10="","",1)</f>
        <v/>
      </c>
      <c r="P8" s="60" t="str">
        <f>IF(Tim!P10="","",1)</f>
        <v/>
      </c>
      <c r="Q8" s="60" t="str">
        <f>IF(Tim!Q10="","",1)</f>
        <v/>
      </c>
      <c r="R8" s="60" t="str">
        <f>IF(Tim!R10="","",1)</f>
        <v/>
      </c>
      <c r="S8" s="60" t="str">
        <f>IF(Tim!S10="","",1)</f>
        <v/>
      </c>
      <c r="T8" s="60" t="str">
        <f>IF(Tim!T10="","",1)</f>
        <v/>
      </c>
      <c r="U8" s="56">
        <f>IF(Tim!AY10="","",1)</f>
        <v>1</v>
      </c>
      <c r="V8" s="60" t="str">
        <f>IF(Tim!AZ10="","",1)</f>
        <v/>
      </c>
      <c r="W8" s="60" t="str">
        <f>IF(Tim!BA10="","",1)</f>
        <v/>
      </c>
      <c r="X8" s="60" t="str">
        <f>IF(Tim!BB10="","",1)</f>
        <v/>
      </c>
      <c r="Y8" s="60" t="str">
        <f>IF(Tim!BC10="","",1)</f>
        <v/>
      </c>
      <c r="Z8" s="60" t="str">
        <f>IF(Tim!BD10="","",1)</f>
        <v/>
      </c>
      <c r="AA8" s="60" t="str">
        <f>IF(Tim!BE10="","",1)</f>
        <v/>
      </c>
      <c r="AB8" s="60" t="str">
        <f>IF(Tim!BF10="","",1)</f>
        <v/>
      </c>
      <c r="AC8" s="60" t="str">
        <f>IF(Tim!BG10="","",1)</f>
        <v/>
      </c>
      <c r="AD8" s="60" t="str">
        <f>IF(Tim!BH10="","",1)</f>
        <v/>
      </c>
      <c r="AE8" s="60" t="str">
        <f>IF(Tim!BI10="","",1)</f>
        <v/>
      </c>
      <c r="AF8" s="60" t="str">
        <f>IF(Tim!BJ10="","",1)</f>
        <v/>
      </c>
      <c r="AG8" s="60" t="str">
        <f>IF(Tim!BK10="","",1)</f>
        <v/>
      </c>
      <c r="AH8" s="60" t="str">
        <f>IF(Tim!BL10="","",1)</f>
        <v/>
      </c>
      <c r="AI8" s="60" t="str">
        <f>IF(Tim!BM10="","",1)</f>
        <v/>
      </c>
      <c r="AJ8" s="56">
        <f>IF(Tim!CQ10="","",1)</f>
        <v>1</v>
      </c>
      <c r="AK8" s="60" t="str">
        <f>IF(Tim!CR10="","",1)</f>
        <v/>
      </c>
      <c r="AL8" s="60" t="str">
        <f>IF(Tim!CS10="","",1)</f>
        <v/>
      </c>
      <c r="AM8" s="60" t="str">
        <f>IF(Tim!CT10="","",1)</f>
        <v/>
      </c>
      <c r="AN8" s="60" t="str">
        <f>IF(Tim!CU10="","",1)</f>
        <v/>
      </c>
      <c r="AO8" s="60" t="str">
        <f>IF(Tim!CV10="","",1)</f>
        <v/>
      </c>
      <c r="AP8" s="60" t="str">
        <f>IF(Tim!CW10="","",1)</f>
        <v/>
      </c>
      <c r="AQ8" s="60" t="str">
        <f>IF(Tim!CX10="","",1)</f>
        <v/>
      </c>
      <c r="AR8" s="60" t="str">
        <f>IF(Tim!CY10="","",1)</f>
        <v/>
      </c>
      <c r="AS8" s="60" t="str">
        <f>IF(Tim!CZ10="","",1)</f>
        <v/>
      </c>
      <c r="AT8" s="60">
        <f>IF(Tim!DA10="","",1)</f>
        <v>1</v>
      </c>
      <c r="AU8" s="60" t="str">
        <f>IF(Tim!DB10="","",1)</f>
        <v/>
      </c>
      <c r="AV8" s="60" t="str">
        <f>IF(Tim!DC10="","",1)</f>
        <v/>
      </c>
      <c r="AW8" s="60" t="str">
        <f>IF(Tim!DD10="","",1)</f>
        <v/>
      </c>
      <c r="AX8" s="60" t="str">
        <f>IF(Tim!DE10="","",1)</f>
        <v/>
      </c>
      <c r="AY8" s="56">
        <f>IF(Tim!EL10="","",1)</f>
        <v>1</v>
      </c>
      <c r="AZ8" s="60" t="str">
        <f>IF(Tim!EM10="","",1)</f>
        <v/>
      </c>
      <c r="BA8" s="60" t="str">
        <f>IF(Tim!EN10="","",1)</f>
        <v/>
      </c>
      <c r="BB8" s="60" t="str">
        <f>IF(Tim!EO10="","",1)</f>
        <v/>
      </c>
      <c r="BC8" s="60" t="str">
        <f>IF(Tim!EP10="","",1)</f>
        <v/>
      </c>
      <c r="BD8" s="60" t="str">
        <f>IF(Tim!EQ10="","",1)</f>
        <v/>
      </c>
      <c r="BE8" s="60" t="str">
        <f>IF(Tim!ER10="","",1)</f>
        <v/>
      </c>
      <c r="BF8" s="60" t="str">
        <f>IF(Tim!ES10="","",1)</f>
        <v/>
      </c>
      <c r="BG8" s="60" t="str">
        <f>IF(Tim!ET10="","",1)</f>
        <v/>
      </c>
      <c r="BH8" s="60" t="str">
        <f>IF(Tim!EU10="","",1)</f>
        <v/>
      </c>
      <c r="BI8" s="60" t="str">
        <f>IF(Tim!EV10="","",1)</f>
        <v/>
      </c>
      <c r="BJ8" s="60" t="str">
        <f>IF(Tim!EW10="","",1)</f>
        <v/>
      </c>
      <c r="BK8" s="60" t="str">
        <f>IF(Tim!EX10="","",1)</f>
        <v/>
      </c>
      <c r="BL8" s="60" t="str">
        <f>IF(Tim!EY10="","",1)</f>
        <v/>
      </c>
      <c r="BM8" s="60" t="str">
        <f>IF(Tim!EZ10="","",1)</f>
        <v/>
      </c>
      <c r="BN8" s="56">
        <f>IF(Tim!GD10="","",1)</f>
        <v>1</v>
      </c>
      <c r="BO8" s="60" t="str">
        <f>IF(Tim!GE10="","",1)</f>
        <v/>
      </c>
      <c r="BP8" s="60" t="str">
        <f>IF(Tim!GF10="","",1)</f>
        <v/>
      </c>
      <c r="BQ8" s="60" t="str">
        <f>IF(Tim!GG10="","",1)</f>
        <v/>
      </c>
      <c r="BR8" s="60" t="str">
        <f>IF(Tim!GH10="","",1)</f>
        <v/>
      </c>
      <c r="BS8" s="60" t="str">
        <f>IF(Tim!GI10="","",1)</f>
        <v/>
      </c>
      <c r="BT8" s="60" t="str">
        <f>IF(Tim!GJ10="","",1)</f>
        <v/>
      </c>
      <c r="BU8" s="60" t="str">
        <f>IF(Tim!GK10="","",1)</f>
        <v/>
      </c>
      <c r="BV8" s="60" t="str">
        <f>IF(Tim!GL10="","",1)</f>
        <v/>
      </c>
      <c r="BW8" s="60" t="str">
        <f>IF(Tim!GM10="","",1)</f>
        <v/>
      </c>
      <c r="BX8" s="60" t="str">
        <f>IF(Tim!GN10="","",1)</f>
        <v/>
      </c>
      <c r="BY8" s="60" t="str">
        <f>IF(Tim!GO10="","",1)</f>
        <v/>
      </c>
      <c r="BZ8" s="60" t="str">
        <f>IF(Tim!GP10="","",1)</f>
        <v/>
      </c>
      <c r="CA8" s="60" t="str">
        <f>IF(Tim!GQ10="","",1)</f>
        <v/>
      </c>
      <c r="CB8" s="60" t="str">
        <f>IF(Tim!GR10="","",1)</f>
        <v/>
      </c>
      <c r="CC8" s="223"/>
      <c r="CD8" s="221"/>
      <c r="CE8" s="221"/>
      <c r="CF8" s="221"/>
      <c r="CG8" s="221"/>
      <c r="CH8" s="221"/>
      <c r="CI8" s="221"/>
      <c r="CJ8" s="221"/>
      <c r="CK8" s="221"/>
      <c r="CL8" s="221"/>
      <c r="CM8" s="221"/>
      <c r="CQ8" s="215"/>
      <c r="CR8" s="366"/>
      <c r="CS8" s="366"/>
      <c r="CT8" s="366"/>
      <c r="CU8" s="366"/>
      <c r="CV8" s="366"/>
      <c r="CW8" s="366"/>
      <c r="CX8" s="366"/>
      <c r="CY8" s="366"/>
      <c r="CZ8" s="366"/>
      <c r="DA8" s="366"/>
      <c r="DB8" s="366"/>
      <c r="DG8" s="52">
        <v>0.32291666666666702</v>
      </c>
    </row>
    <row r="9" spans="2:111" ht="10.5" customHeight="1">
      <c r="B9" s="51">
        <v>0.25</v>
      </c>
      <c r="C9" s="51">
        <v>0.25</v>
      </c>
      <c r="D9" s="51">
        <v>0.25</v>
      </c>
      <c r="E9" s="172">
        <v>0.33333333333333298</v>
      </c>
      <c r="F9" s="56">
        <f>IF(Tim!F11="","",1)</f>
        <v>1</v>
      </c>
      <c r="G9" s="60" t="str">
        <f>IF(Tim!G11="","",1)</f>
        <v/>
      </c>
      <c r="H9" s="60" t="str">
        <f>IF(Tim!H11="","",1)</f>
        <v/>
      </c>
      <c r="I9" s="60" t="str">
        <f>IF(Tim!I11="","",1)</f>
        <v/>
      </c>
      <c r="J9" s="60" t="str">
        <f>IF(Tim!J11="","",1)</f>
        <v/>
      </c>
      <c r="K9" s="60" t="str">
        <f>IF(Tim!K11="","",1)</f>
        <v/>
      </c>
      <c r="L9" s="60" t="str">
        <f>IF(Tim!L11="","",1)</f>
        <v/>
      </c>
      <c r="M9" s="60" t="str">
        <f>IF(Tim!M11="","",1)</f>
        <v/>
      </c>
      <c r="N9" s="60" t="str">
        <f>IF(Tim!N11="","",1)</f>
        <v/>
      </c>
      <c r="O9" s="60" t="str">
        <f>IF(Tim!O11="","",1)</f>
        <v/>
      </c>
      <c r="P9" s="60" t="str">
        <f>IF(Tim!P11="","",1)</f>
        <v/>
      </c>
      <c r="Q9" s="60" t="str">
        <f>IF(Tim!Q11="","",1)</f>
        <v/>
      </c>
      <c r="R9" s="60" t="str">
        <f>IF(Tim!R11="","",1)</f>
        <v/>
      </c>
      <c r="S9" s="60" t="str">
        <f>IF(Tim!S11="","",1)</f>
        <v/>
      </c>
      <c r="T9" s="60" t="str">
        <f>IF(Tim!T11="","",1)</f>
        <v/>
      </c>
      <c r="U9" s="56">
        <f>IF(Tim!AY11="","",1)</f>
        <v>1</v>
      </c>
      <c r="V9" s="60" t="str">
        <f>IF(Tim!AZ11="","",1)</f>
        <v/>
      </c>
      <c r="W9" s="60" t="str">
        <f>IF(Tim!BA11="","",1)</f>
        <v/>
      </c>
      <c r="X9" s="60" t="str">
        <f>IF(Tim!BB11="","",1)</f>
        <v/>
      </c>
      <c r="Y9" s="60" t="str">
        <f>IF(Tim!BC11="","",1)</f>
        <v/>
      </c>
      <c r="Z9" s="60" t="str">
        <f>IF(Tim!BD11="","",1)</f>
        <v/>
      </c>
      <c r="AA9" s="60" t="str">
        <f>IF(Tim!BE11="","",1)</f>
        <v/>
      </c>
      <c r="AB9" s="60" t="str">
        <f>IF(Tim!BF11="","",1)</f>
        <v/>
      </c>
      <c r="AC9" s="60" t="str">
        <f>IF(Tim!BG11="","",1)</f>
        <v/>
      </c>
      <c r="AD9" s="60" t="str">
        <f>IF(Tim!BH11="","",1)</f>
        <v/>
      </c>
      <c r="AE9" s="60" t="str">
        <f>IF(Tim!BI11="","",1)</f>
        <v/>
      </c>
      <c r="AF9" s="60" t="str">
        <f>IF(Tim!BJ11="","",1)</f>
        <v/>
      </c>
      <c r="AG9" s="60" t="str">
        <f>IF(Tim!BK11="","",1)</f>
        <v/>
      </c>
      <c r="AH9" s="60" t="str">
        <f>IF(Tim!BL11="","",1)</f>
        <v/>
      </c>
      <c r="AI9" s="60" t="str">
        <f>IF(Tim!BM11="","",1)</f>
        <v/>
      </c>
      <c r="AJ9" s="56">
        <f>IF(Tim!CQ11="","",1)</f>
        <v>1</v>
      </c>
      <c r="AK9" s="60" t="str">
        <f>IF(Tim!CR11="","",1)</f>
        <v/>
      </c>
      <c r="AL9" s="60" t="str">
        <f>IF(Tim!CS11="","",1)</f>
        <v/>
      </c>
      <c r="AM9" s="60" t="str">
        <f>IF(Tim!CT11="","",1)</f>
        <v/>
      </c>
      <c r="AN9" s="60" t="str">
        <f>IF(Tim!CU11="","",1)</f>
        <v/>
      </c>
      <c r="AO9" s="60" t="str">
        <f>IF(Tim!CV11="","",1)</f>
        <v/>
      </c>
      <c r="AP9" s="60" t="str">
        <f>IF(Tim!CW11="","",1)</f>
        <v/>
      </c>
      <c r="AQ9" s="60" t="str">
        <f>IF(Tim!CX11="","",1)</f>
        <v/>
      </c>
      <c r="AR9" s="60" t="str">
        <f>IF(Tim!CY11="","",1)</f>
        <v/>
      </c>
      <c r="AS9" s="60" t="str">
        <f>IF(Tim!CZ11="","",1)</f>
        <v/>
      </c>
      <c r="AT9" s="60">
        <f>IF(Tim!DA11="","",1)</f>
        <v>1</v>
      </c>
      <c r="AU9" s="60" t="str">
        <f>IF(Tim!DB11="","",1)</f>
        <v/>
      </c>
      <c r="AV9" s="60" t="str">
        <f>IF(Tim!DC11="","",1)</f>
        <v/>
      </c>
      <c r="AW9" s="60" t="str">
        <f>IF(Tim!DD11="","",1)</f>
        <v/>
      </c>
      <c r="AX9" s="60" t="str">
        <f>IF(Tim!DE11="","",1)</f>
        <v/>
      </c>
      <c r="AY9" s="56">
        <f>IF(Tim!EL11="","",1)</f>
        <v>1</v>
      </c>
      <c r="AZ9" s="60" t="str">
        <f>IF(Tim!EM11="","",1)</f>
        <v/>
      </c>
      <c r="BA9" s="60" t="str">
        <f>IF(Tim!EN11="","",1)</f>
        <v/>
      </c>
      <c r="BB9" s="60" t="str">
        <f>IF(Tim!EO11="","",1)</f>
        <v/>
      </c>
      <c r="BC9" s="60" t="str">
        <f>IF(Tim!EP11="","",1)</f>
        <v/>
      </c>
      <c r="BD9" s="60" t="str">
        <f>IF(Tim!EQ11="","",1)</f>
        <v/>
      </c>
      <c r="BE9" s="60" t="str">
        <f>IF(Tim!ER11="","",1)</f>
        <v/>
      </c>
      <c r="BF9" s="60" t="str">
        <f>IF(Tim!ES11="","",1)</f>
        <v/>
      </c>
      <c r="BG9" s="60" t="str">
        <f>IF(Tim!ET11="","",1)</f>
        <v/>
      </c>
      <c r="BH9" s="60" t="str">
        <f>IF(Tim!EU11="","",1)</f>
        <v/>
      </c>
      <c r="BI9" s="60" t="str">
        <f>IF(Tim!EV11="","",1)</f>
        <v/>
      </c>
      <c r="BJ9" s="60" t="str">
        <f>IF(Tim!EW11="","",1)</f>
        <v/>
      </c>
      <c r="BK9" s="60" t="str">
        <f>IF(Tim!EX11="","",1)</f>
        <v/>
      </c>
      <c r="BL9" s="60" t="str">
        <f>IF(Tim!EY11="","",1)</f>
        <v/>
      </c>
      <c r="BM9" s="60" t="str">
        <f>IF(Tim!EZ11="","",1)</f>
        <v/>
      </c>
      <c r="BN9" s="56">
        <f>IF(Tim!GD11="","",1)</f>
        <v>1</v>
      </c>
      <c r="BO9" s="60" t="str">
        <f>IF(Tim!GE11="","",1)</f>
        <v/>
      </c>
      <c r="BP9" s="60" t="str">
        <f>IF(Tim!GF11="","",1)</f>
        <v/>
      </c>
      <c r="BQ9" s="60" t="str">
        <f>IF(Tim!GG11="","",1)</f>
        <v/>
      </c>
      <c r="BR9" s="60" t="str">
        <f>IF(Tim!GH11="","",1)</f>
        <v/>
      </c>
      <c r="BS9" s="60" t="str">
        <f>IF(Tim!GI11="","",1)</f>
        <v/>
      </c>
      <c r="BT9" s="60" t="str">
        <f>IF(Tim!GJ11="","",1)</f>
        <v/>
      </c>
      <c r="BU9" s="60" t="str">
        <f>IF(Tim!GK11="","",1)</f>
        <v/>
      </c>
      <c r="BV9" s="60" t="str">
        <f>IF(Tim!GL11="","",1)</f>
        <v/>
      </c>
      <c r="BW9" s="60" t="str">
        <f>IF(Tim!GM11="","",1)</f>
        <v/>
      </c>
      <c r="BX9" s="60">
        <f>IF(Tim!GN11="","",1)</f>
        <v>1</v>
      </c>
      <c r="BY9" s="60" t="str">
        <f>IF(Tim!GO11="","",1)</f>
        <v/>
      </c>
      <c r="BZ9" s="60" t="str">
        <f>IF(Tim!GP11="","",1)</f>
        <v/>
      </c>
      <c r="CA9" s="60" t="str">
        <f>IF(Tim!GQ11="","",1)</f>
        <v/>
      </c>
      <c r="CB9" s="60" t="str">
        <f>IF(Tim!GR11="","",1)</f>
        <v/>
      </c>
      <c r="CC9" s="223"/>
      <c r="CD9" s="221"/>
      <c r="CE9" s="221"/>
      <c r="CF9" s="221"/>
      <c r="CG9" s="221"/>
      <c r="CH9" s="221"/>
      <c r="CI9" s="221"/>
      <c r="CJ9" s="221"/>
      <c r="CK9" s="221"/>
      <c r="CL9" s="221"/>
      <c r="CM9" s="221"/>
      <c r="CQ9" s="215"/>
      <c r="CR9" s="366"/>
      <c r="CS9" s="366"/>
      <c r="CT9" s="366"/>
      <c r="CU9" s="366"/>
      <c r="CV9" s="366"/>
      <c r="CW9" s="366"/>
      <c r="CX9" s="366"/>
      <c r="CY9" s="366"/>
      <c r="CZ9" s="366"/>
      <c r="DA9" s="366"/>
      <c r="DB9" s="366"/>
      <c r="DG9" s="52">
        <v>0.33333333333333298</v>
      </c>
    </row>
    <row r="10" spans="2:111" ht="10.5" customHeight="1">
      <c r="B10" s="51">
        <v>0.25</v>
      </c>
      <c r="C10" s="51">
        <v>0.25</v>
      </c>
      <c r="D10" s="51">
        <v>0.25</v>
      </c>
      <c r="E10" s="172">
        <v>0.34375</v>
      </c>
      <c r="F10" s="56">
        <f>IF(Tim!F12="","",1)</f>
        <v>1</v>
      </c>
      <c r="G10" s="60" t="str">
        <f>IF(Tim!G12="","",1)</f>
        <v/>
      </c>
      <c r="H10" s="60" t="str">
        <f>IF(Tim!H12="","",1)</f>
        <v/>
      </c>
      <c r="I10" s="60" t="str">
        <f>IF(Tim!I12="","",1)</f>
        <v/>
      </c>
      <c r="J10" s="60" t="str">
        <f>IF(Tim!J12="","",1)</f>
        <v/>
      </c>
      <c r="K10" s="60" t="str">
        <f>IF(Tim!K12="","",1)</f>
        <v/>
      </c>
      <c r="L10" s="60" t="str">
        <f>IF(Tim!L12="","",1)</f>
        <v/>
      </c>
      <c r="M10" s="60" t="str">
        <f>IF(Tim!M12="","",1)</f>
        <v/>
      </c>
      <c r="N10" s="60" t="str">
        <f>IF(Tim!N12="","",1)</f>
        <v/>
      </c>
      <c r="O10" s="60" t="str">
        <f>IF(Tim!O12="","",1)</f>
        <v/>
      </c>
      <c r="P10" s="60" t="str">
        <f>IF(Tim!P12="","",1)</f>
        <v/>
      </c>
      <c r="Q10" s="60" t="str">
        <f>IF(Tim!Q12="","",1)</f>
        <v/>
      </c>
      <c r="R10" s="60" t="str">
        <f>IF(Tim!R12="","",1)</f>
        <v/>
      </c>
      <c r="S10" s="60" t="str">
        <f>IF(Tim!S12="","",1)</f>
        <v/>
      </c>
      <c r="T10" s="60" t="str">
        <f>IF(Tim!T12="","",1)</f>
        <v/>
      </c>
      <c r="U10" s="56">
        <f>IF(Tim!AY12="","",1)</f>
        <v>1</v>
      </c>
      <c r="V10" s="60" t="str">
        <f>IF(Tim!AZ12="","",1)</f>
        <v/>
      </c>
      <c r="W10" s="60" t="str">
        <f>IF(Tim!BA12="","",1)</f>
        <v/>
      </c>
      <c r="X10" s="60" t="str">
        <f>IF(Tim!BB12="","",1)</f>
        <v/>
      </c>
      <c r="Y10" s="60" t="str">
        <f>IF(Tim!BC12="","",1)</f>
        <v/>
      </c>
      <c r="Z10" s="60" t="str">
        <f>IF(Tim!BD12="","",1)</f>
        <v/>
      </c>
      <c r="AA10" s="60" t="str">
        <f>IF(Tim!BE12="","",1)</f>
        <v/>
      </c>
      <c r="AB10" s="60" t="str">
        <f>IF(Tim!BF12="","",1)</f>
        <v/>
      </c>
      <c r="AC10" s="60" t="str">
        <f>IF(Tim!BG12="","",1)</f>
        <v/>
      </c>
      <c r="AD10" s="60" t="str">
        <f>IF(Tim!BH12="","",1)</f>
        <v/>
      </c>
      <c r="AE10" s="60" t="str">
        <f>IF(Tim!BI12="","",1)</f>
        <v/>
      </c>
      <c r="AF10" s="60" t="str">
        <f>IF(Tim!BJ12="","",1)</f>
        <v/>
      </c>
      <c r="AG10" s="60" t="str">
        <f>IF(Tim!BK12="","",1)</f>
        <v/>
      </c>
      <c r="AH10" s="60" t="str">
        <f>IF(Tim!BL12="","",1)</f>
        <v/>
      </c>
      <c r="AI10" s="60" t="str">
        <f>IF(Tim!BM12="","",1)</f>
        <v/>
      </c>
      <c r="AJ10" s="56">
        <f>IF(Tim!CQ12="","",1)</f>
        <v>1</v>
      </c>
      <c r="AK10" s="60" t="str">
        <f>IF(Tim!CR12="","",1)</f>
        <v/>
      </c>
      <c r="AL10" s="60" t="str">
        <f>IF(Tim!CS12="","",1)</f>
        <v/>
      </c>
      <c r="AM10" s="60" t="str">
        <f>IF(Tim!CT12="","",1)</f>
        <v/>
      </c>
      <c r="AN10" s="60" t="str">
        <f>IF(Tim!CU12="","",1)</f>
        <v/>
      </c>
      <c r="AO10" s="60" t="str">
        <f>IF(Tim!CV12="","",1)</f>
        <v/>
      </c>
      <c r="AP10" s="60" t="str">
        <f>IF(Tim!CW12="","",1)</f>
        <v/>
      </c>
      <c r="AQ10" s="60" t="str">
        <f>IF(Tim!CX12="","",1)</f>
        <v/>
      </c>
      <c r="AR10" s="60" t="str">
        <f>IF(Tim!CY12="","",1)</f>
        <v/>
      </c>
      <c r="AS10" s="60" t="str">
        <f>IF(Tim!CZ12="","",1)</f>
        <v/>
      </c>
      <c r="AT10" s="60">
        <f>IF(Tim!DA12="","",1)</f>
        <v>1</v>
      </c>
      <c r="AU10" s="60" t="str">
        <f>IF(Tim!DB12="","",1)</f>
        <v/>
      </c>
      <c r="AV10" s="60" t="str">
        <f>IF(Tim!DC12="","",1)</f>
        <v/>
      </c>
      <c r="AW10" s="60" t="str">
        <f>IF(Tim!DD12="","",1)</f>
        <v/>
      </c>
      <c r="AX10" s="60" t="str">
        <f>IF(Tim!DE12="","",1)</f>
        <v/>
      </c>
      <c r="AY10" s="56">
        <f>IF(Tim!EL12="","",1)</f>
        <v>1</v>
      </c>
      <c r="AZ10" s="60" t="str">
        <f>IF(Tim!EM12="","",1)</f>
        <v/>
      </c>
      <c r="BA10" s="60" t="str">
        <f>IF(Tim!EN12="","",1)</f>
        <v/>
      </c>
      <c r="BB10" s="60" t="str">
        <f>IF(Tim!EO12="","",1)</f>
        <v/>
      </c>
      <c r="BC10" s="60" t="str">
        <f>IF(Tim!EP12="","",1)</f>
        <v/>
      </c>
      <c r="BD10" s="60" t="str">
        <f>IF(Tim!EQ12="","",1)</f>
        <v/>
      </c>
      <c r="BE10" s="60" t="str">
        <f>IF(Tim!ER12="","",1)</f>
        <v/>
      </c>
      <c r="BF10" s="60" t="str">
        <f>IF(Tim!ES12="","",1)</f>
        <v/>
      </c>
      <c r="BG10" s="60" t="str">
        <f>IF(Tim!ET12="","",1)</f>
        <v/>
      </c>
      <c r="BH10" s="60" t="str">
        <f>IF(Tim!EU12="","",1)</f>
        <v/>
      </c>
      <c r="BI10" s="60" t="str">
        <f>IF(Tim!EV12="","",1)</f>
        <v/>
      </c>
      <c r="BJ10" s="60" t="str">
        <f>IF(Tim!EW12="","",1)</f>
        <v/>
      </c>
      <c r="BK10" s="60" t="str">
        <f>IF(Tim!EX12="","",1)</f>
        <v/>
      </c>
      <c r="BL10" s="60" t="str">
        <f>IF(Tim!EY12="","",1)</f>
        <v/>
      </c>
      <c r="BM10" s="60" t="str">
        <f>IF(Tim!EZ12="","",1)</f>
        <v/>
      </c>
      <c r="BN10" s="56">
        <f>IF(Tim!GD12="","",1)</f>
        <v>1</v>
      </c>
      <c r="BO10" s="60" t="str">
        <f>IF(Tim!GE12="","",1)</f>
        <v/>
      </c>
      <c r="BP10" s="60" t="str">
        <f>IF(Tim!GF12="","",1)</f>
        <v/>
      </c>
      <c r="BQ10" s="60" t="str">
        <f>IF(Tim!GG12="","",1)</f>
        <v/>
      </c>
      <c r="BR10" s="60" t="str">
        <f>IF(Tim!GH12="","",1)</f>
        <v/>
      </c>
      <c r="BS10" s="60" t="str">
        <f>IF(Tim!GI12="","",1)</f>
        <v/>
      </c>
      <c r="BT10" s="60" t="str">
        <f>IF(Tim!GJ12="","",1)</f>
        <v/>
      </c>
      <c r="BU10" s="60" t="str">
        <f>IF(Tim!GK12="","",1)</f>
        <v/>
      </c>
      <c r="BV10" s="60" t="str">
        <f>IF(Tim!GL12="","",1)</f>
        <v/>
      </c>
      <c r="BW10" s="60" t="str">
        <f>IF(Tim!GM12="","",1)</f>
        <v/>
      </c>
      <c r="BX10" s="60">
        <f>IF(Tim!GN12="","",1)</f>
        <v>1</v>
      </c>
      <c r="BY10" s="60" t="str">
        <f>IF(Tim!GO12="","",1)</f>
        <v/>
      </c>
      <c r="BZ10" s="60" t="str">
        <f>IF(Tim!GP12="","",1)</f>
        <v/>
      </c>
      <c r="CA10" s="60" t="str">
        <f>IF(Tim!GQ12="","",1)</f>
        <v/>
      </c>
      <c r="CB10" s="60" t="str">
        <f>IF(Tim!GR12="","",1)</f>
        <v/>
      </c>
      <c r="CC10" s="223"/>
      <c r="CD10" s="221"/>
      <c r="CE10" s="221"/>
      <c r="CF10" s="221"/>
      <c r="CG10" s="221"/>
      <c r="CH10" s="221"/>
      <c r="CI10" s="221"/>
      <c r="CJ10" s="221"/>
      <c r="CK10" s="221"/>
      <c r="CL10" s="221"/>
      <c r="CM10" s="221"/>
      <c r="CQ10" s="215"/>
      <c r="CR10" s="366"/>
      <c r="CS10" s="366"/>
      <c r="CT10" s="366"/>
      <c r="CU10" s="366"/>
      <c r="CV10" s="366"/>
      <c r="CW10" s="366"/>
      <c r="CX10" s="366"/>
      <c r="CY10" s="366"/>
      <c r="CZ10" s="366"/>
      <c r="DA10" s="366"/>
      <c r="DB10" s="366"/>
      <c r="DG10" s="52">
        <v>0.34375</v>
      </c>
    </row>
    <row r="11" spans="2:111" ht="10.5" customHeight="1">
      <c r="B11" s="51">
        <v>0.25</v>
      </c>
      <c r="C11" s="51">
        <v>0.25</v>
      </c>
      <c r="D11" s="51">
        <v>0.25</v>
      </c>
      <c r="E11" s="172">
        <v>0.35416666666666602</v>
      </c>
      <c r="F11" s="56">
        <f>IF(Tim!F13="","",1)</f>
        <v>1</v>
      </c>
      <c r="G11" s="60" t="str">
        <f>IF(Tim!G13="","",1)</f>
        <v/>
      </c>
      <c r="H11" s="60" t="str">
        <f>IF(Tim!H13="","",1)</f>
        <v/>
      </c>
      <c r="I11" s="60" t="str">
        <f>IF(Tim!I13="","",1)</f>
        <v/>
      </c>
      <c r="J11" s="60" t="str">
        <f>IF(Tim!J13="","",1)</f>
        <v/>
      </c>
      <c r="K11" s="60" t="str">
        <f>IF(Tim!K13="","",1)</f>
        <v/>
      </c>
      <c r="L11" s="60" t="str">
        <f>IF(Tim!L13="","",1)</f>
        <v/>
      </c>
      <c r="M11" s="60" t="str">
        <f>IF(Tim!M13="","",1)</f>
        <v/>
      </c>
      <c r="N11" s="60" t="str">
        <f>IF(Tim!N13="","",1)</f>
        <v/>
      </c>
      <c r="O11" s="60" t="str">
        <f>IF(Tim!O13="","",1)</f>
        <v/>
      </c>
      <c r="P11" s="60" t="str">
        <f>IF(Tim!P13="","",1)</f>
        <v/>
      </c>
      <c r="Q11" s="60" t="str">
        <f>IF(Tim!Q13="","",1)</f>
        <v/>
      </c>
      <c r="R11" s="60" t="str">
        <f>IF(Tim!R13="","",1)</f>
        <v/>
      </c>
      <c r="S11" s="60" t="str">
        <f>IF(Tim!S13="","",1)</f>
        <v/>
      </c>
      <c r="T11" s="60" t="str">
        <f>IF(Tim!T13="","",1)</f>
        <v/>
      </c>
      <c r="U11" s="56">
        <f>IF(Tim!AY13="","",1)</f>
        <v>1</v>
      </c>
      <c r="V11" s="60" t="str">
        <f>IF(Tim!AZ13="","",1)</f>
        <v/>
      </c>
      <c r="W11" s="60" t="str">
        <f>IF(Tim!BA13="","",1)</f>
        <v/>
      </c>
      <c r="X11" s="60" t="str">
        <f>IF(Tim!BB13="","",1)</f>
        <v/>
      </c>
      <c r="Y11" s="60" t="str">
        <f>IF(Tim!BC13="","",1)</f>
        <v/>
      </c>
      <c r="Z11" s="60" t="str">
        <f>IF(Tim!BD13="","",1)</f>
        <v/>
      </c>
      <c r="AA11" s="60" t="str">
        <f>IF(Tim!BE13="","",1)</f>
        <v/>
      </c>
      <c r="AB11" s="60" t="str">
        <f>IF(Tim!BF13="","",1)</f>
        <v/>
      </c>
      <c r="AC11" s="60" t="str">
        <f>IF(Tim!BG13="","",1)</f>
        <v/>
      </c>
      <c r="AD11" s="60" t="str">
        <f>IF(Tim!BH13="","",1)</f>
        <v/>
      </c>
      <c r="AE11" s="60" t="str">
        <f>IF(Tim!BI13="","",1)</f>
        <v/>
      </c>
      <c r="AF11" s="60" t="str">
        <f>IF(Tim!BJ13="","",1)</f>
        <v/>
      </c>
      <c r="AG11" s="60" t="str">
        <f>IF(Tim!BK13="","",1)</f>
        <v/>
      </c>
      <c r="AH11" s="60" t="str">
        <f>IF(Tim!BL13="","",1)</f>
        <v/>
      </c>
      <c r="AI11" s="60" t="str">
        <f>IF(Tim!BM13="","",1)</f>
        <v/>
      </c>
      <c r="AJ11" s="56">
        <f>IF(Tim!CQ13="","",1)</f>
        <v>1</v>
      </c>
      <c r="AK11" s="60" t="str">
        <f>IF(Tim!CR13="","",1)</f>
        <v/>
      </c>
      <c r="AL11" s="60" t="str">
        <f>IF(Tim!CS13="","",1)</f>
        <v/>
      </c>
      <c r="AM11" s="60" t="str">
        <f>IF(Tim!CT13="","",1)</f>
        <v/>
      </c>
      <c r="AN11" s="60" t="str">
        <f>IF(Tim!CU13="","",1)</f>
        <v/>
      </c>
      <c r="AO11" s="60" t="str">
        <f>IF(Tim!CV13="","",1)</f>
        <v/>
      </c>
      <c r="AP11" s="60" t="str">
        <f>IF(Tim!CW13="","",1)</f>
        <v/>
      </c>
      <c r="AQ11" s="60" t="str">
        <f>IF(Tim!CX13="","",1)</f>
        <v/>
      </c>
      <c r="AR11" s="60" t="str">
        <f>IF(Tim!CY13="","",1)</f>
        <v/>
      </c>
      <c r="AS11" s="60" t="str">
        <f>IF(Tim!CZ13="","",1)</f>
        <v/>
      </c>
      <c r="AT11" s="60">
        <f>IF(Tim!DA13="","",1)</f>
        <v>1</v>
      </c>
      <c r="AU11" s="60" t="str">
        <f>IF(Tim!DB13="","",1)</f>
        <v/>
      </c>
      <c r="AV11" s="60" t="str">
        <f>IF(Tim!DC13="","",1)</f>
        <v/>
      </c>
      <c r="AW11" s="60" t="str">
        <f>IF(Tim!DD13="","",1)</f>
        <v/>
      </c>
      <c r="AX11" s="60" t="str">
        <f>IF(Tim!DE13="","",1)</f>
        <v/>
      </c>
      <c r="AY11" s="56">
        <f>IF(Tim!EL13="","",1)</f>
        <v>1</v>
      </c>
      <c r="AZ11" s="60" t="str">
        <f>IF(Tim!EM13="","",1)</f>
        <v/>
      </c>
      <c r="BA11" s="60" t="str">
        <f>IF(Tim!EN13="","",1)</f>
        <v/>
      </c>
      <c r="BB11" s="60" t="str">
        <f>IF(Tim!EO13="","",1)</f>
        <v/>
      </c>
      <c r="BC11" s="60" t="str">
        <f>IF(Tim!EP13="","",1)</f>
        <v/>
      </c>
      <c r="BD11" s="60" t="str">
        <f>IF(Tim!EQ13="","",1)</f>
        <v/>
      </c>
      <c r="BE11" s="60" t="str">
        <f>IF(Tim!ER13="","",1)</f>
        <v/>
      </c>
      <c r="BF11" s="60" t="str">
        <f>IF(Tim!ES13="","",1)</f>
        <v/>
      </c>
      <c r="BG11" s="60" t="str">
        <f>IF(Tim!ET13="","",1)</f>
        <v/>
      </c>
      <c r="BH11" s="60" t="str">
        <f>IF(Tim!EU13="","",1)</f>
        <v/>
      </c>
      <c r="BI11" s="60" t="str">
        <f>IF(Tim!EV13="","",1)</f>
        <v/>
      </c>
      <c r="BJ11" s="60" t="str">
        <f>IF(Tim!EW13="","",1)</f>
        <v/>
      </c>
      <c r="BK11" s="60" t="str">
        <f>IF(Tim!EX13="","",1)</f>
        <v/>
      </c>
      <c r="BL11" s="60" t="str">
        <f>IF(Tim!EY13="","",1)</f>
        <v/>
      </c>
      <c r="BM11" s="60" t="str">
        <f>IF(Tim!EZ13="","",1)</f>
        <v/>
      </c>
      <c r="BN11" s="56">
        <f>IF(Tim!GD13="","",1)</f>
        <v>1</v>
      </c>
      <c r="BO11" s="60" t="str">
        <f>IF(Tim!GE13="","",1)</f>
        <v/>
      </c>
      <c r="BP11" s="60" t="str">
        <f>IF(Tim!GF13="","",1)</f>
        <v/>
      </c>
      <c r="BQ11" s="60" t="str">
        <f>IF(Tim!GG13="","",1)</f>
        <v/>
      </c>
      <c r="BR11" s="60" t="str">
        <f>IF(Tim!GH13="","",1)</f>
        <v/>
      </c>
      <c r="BS11" s="60" t="str">
        <f>IF(Tim!GI13="","",1)</f>
        <v/>
      </c>
      <c r="BT11" s="60" t="str">
        <f>IF(Tim!GJ13="","",1)</f>
        <v/>
      </c>
      <c r="BU11" s="60" t="str">
        <f>IF(Tim!GK13="","",1)</f>
        <v/>
      </c>
      <c r="BV11" s="60" t="str">
        <f>IF(Tim!GL13="","",1)</f>
        <v/>
      </c>
      <c r="BW11" s="60">
        <f>IF(Tim!GM13="","",1)</f>
        <v>1</v>
      </c>
      <c r="BX11" s="60" t="str">
        <f>IF(Tim!GN13="","",1)</f>
        <v/>
      </c>
      <c r="BY11" s="60" t="str">
        <f>IF(Tim!GO13="","",1)</f>
        <v/>
      </c>
      <c r="BZ11" s="60" t="str">
        <f>IF(Tim!GP13="","",1)</f>
        <v/>
      </c>
      <c r="CA11" s="60" t="str">
        <f>IF(Tim!GQ13="","",1)</f>
        <v/>
      </c>
      <c r="CB11" s="60" t="str">
        <f>IF(Tim!GR13="","",1)</f>
        <v/>
      </c>
      <c r="CC11" s="223"/>
      <c r="CD11" s="221"/>
      <c r="CE11" s="221"/>
      <c r="CF11" s="221"/>
      <c r="CG11" s="221"/>
      <c r="CH11" s="221"/>
      <c r="CI11" s="221"/>
      <c r="CJ11" s="221"/>
      <c r="CK11" s="221"/>
      <c r="CL11" s="221"/>
      <c r="CM11" s="221"/>
      <c r="CQ11" s="215"/>
      <c r="CR11" s="366"/>
      <c r="CS11" s="366"/>
      <c r="CT11" s="366"/>
      <c r="CU11" s="366"/>
      <c r="CV11" s="366"/>
      <c r="CW11" s="366"/>
      <c r="CX11" s="366"/>
      <c r="CY11" s="366"/>
      <c r="CZ11" s="366"/>
      <c r="DA11" s="366"/>
      <c r="DB11" s="366"/>
      <c r="DG11" s="52">
        <v>0.35416666666666602</v>
      </c>
    </row>
    <row r="12" spans="2:111" ht="10.5" customHeight="1" thickBot="1">
      <c r="B12" s="51">
        <v>0.25</v>
      </c>
      <c r="C12" s="51">
        <v>0.25</v>
      </c>
      <c r="D12" s="51">
        <v>0.25</v>
      </c>
      <c r="E12" s="172">
        <v>0.36458333333333298</v>
      </c>
      <c r="F12" s="56">
        <f>IF(Tim!F14="","",1)</f>
        <v>1</v>
      </c>
      <c r="G12" s="60" t="str">
        <f>IF(Tim!G14="","",1)</f>
        <v/>
      </c>
      <c r="H12" s="60" t="str">
        <f>IF(Tim!H14="","",1)</f>
        <v/>
      </c>
      <c r="I12" s="60" t="str">
        <f>IF(Tim!I14="","",1)</f>
        <v/>
      </c>
      <c r="J12" s="60" t="str">
        <f>IF(Tim!J14="","",1)</f>
        <v/>
      </c>
      <c r="K12" s="60" t="str">
        <f>IF(Tim!K14="","",1)</f>
        <v/>
      </c>
      <c r="L12" s="60" t="str">
        <f>IF(Tim!L14="","",1)</f>
        <v/>
      </c>
      <c r="M12" s="60" t="str">
        <f>IF(Tim!M14="","",1)</f>
        <v/>
      </c>
      <c r="N12" s="60" t="str">
        <f>IF(Tim!N14="","",1)</f>
        <v/>
      </c>
      <c r="O12" s="60" t="str">
        <f>IF(Tim!O14="","",1)</f>
        <v/>
      </c>
      <c r="P12" s="60" t="str">
        <f>IF(Tim!P14="","",1)</f>
        <v/>
      </c>
      <c r="Q12" s="60" t="str">
        <f>IF(Tim!Q14="","",1)</f>
        <v/>
      </c>
      <c r="R12" s="60" t="str">
        <f>IF(Tim!R14="","",1)</f>
        <v/>
      </c>
      <c r="S12" s="60" t="str">
        <f>IF(Tim!S14="","",1)</f>
        <v/>
      </c>
      <c r="T12" s="60" t="str">
        <f>IF(Tim!T14="","",1)</f>
        <v/>
      </c>
      <c r="U12" s="56">
        <f>IF(Tim!AY14="","",1)</f>
        <v>1</v>
      </c>
      <c r="V12" s="60" t="str">
        <f>IF(Tim!AZ14="","",1)</f>
        <v/>
      </c>
      <c r="W12" s="60" t="str">
        <f>IF(Tim!BA14="","",1)</f>
        <v/>
      </c>
      <c r="X12" s="60" t="str">
        <f>IF(Tim!BB14="","",1)</f>
        <v/>
      </c>
      <c r="Y12" s="60" t="str">
        <f>IF(Tim!BC14="","",1)</f>
        <v/>
      </c>
      <c r="Z12" s="60" t="str">
        <f>IF(Tim!BD14="","",1)</f>
        <v/>
      </c>
      <c r="AA12" s="60" t="str">
        <f>IF(Tim!BE14="","",1)</f>
        <v/>
      </c>
      <c r="AB12" s="60" t="str">
        <f>IF(Tim!BF14="","",1)</f>
        <v/>
      </c>
      <c r="AC12" s="60" t="str">
        <f>IF(Tim!BG14="","",1)</f>
        <v/>
      </c>
      <c r="AD12" s="60" t="str">
        <f>IF(Tim!BI14="","",1)</f>
        <v/>
      </c>
      <c r="AE12" s="60" t="e">
        <f>IF(Tim!#REF!="","",1)</f>
        <v>#REF!</v>
      </c>
      <c r="AF12" s="60" t="str">
        <f>IF(Tim!BJ14="","",1)</f>
        <v/>
      </c>
      <c r="AG12" s="60" t="str">
        <f>IF(Tim!BK14="","",1)</f>
        <v/>
      </c>
      <c r="AH12" s="60" t="str">
        <f>IF(Tim!BL14="","",1)</f>
        <v/>
      </c>
      <c r="AI12" s="60" t="str">
        <f>IF(Tim!BM14="","",1)</f>
        <v/>
      </c>
      <c r="AJ12" s="56">
        <f>IF(Tim!CQ14="","",1)</f>
        <v>1</v>
      </c>
      <c r="AK12" s="60" t="str">
        <f>IF(Tim!CR14="","",1)</f>
        <v/>
      </c>
      <c r="AL12" s="60" t="str">
        <f>IF(Tim!CS14="","",1)</f>
        <v/>
      </c>
      <c r="AM12" s="60" t="str">
        <f>IF(Tim!CT14="","",1)</f>
        <v/>
      </c>
      <c r="AN12" s="60" t="str">
        <f>IF(Tim!CU14="","",1)</f>
        <v/>
      </c>
      <c r="AO12" s="60" t="str">
        <f>IF(Tim!CV14="","",1)</f>
        <v/>
      </c>
      <c r="AP12" s="60" t="str">
        <f>IF(Tim!CW14="","",1)</f>
        <v/>
      </c>
      <c r="AQ12" s="60" t="str">
        <f>IF(Tim!CX14="","",1)</f>
        <v/>
      </c>
      <c r="AR12" s="60" t="str">
        <f>IF(Tim!CY14="","",1)</f>
        <v/>
      </c>
      <c r="AS12" s="60" t="str">
        <f>IF(Tim!CZ14="","",1)</f>
        <v/>
      </c>
      <c r="AT12" s="60">
        <f>IF(Tim!DA14="","",1)</f>
        <v>1</v>
      </c>
      <c r="AU12" s="60" t="str">
        <f>IF(Tim!DB14="","",1)</f>
        <v/>
      </c>
      <c r="AV12" s="60" t="str">
        <f>IF(Tim!DC14="","",1)</f>
        <v/>
      </c>
      <c r="AW12" s="60" t="str">
        <f>IF(Tim!DD14="","",1)</f>
        <v/>
      </c>
      <c r="AX12" s="60" t="str">
        <f>IF(Tim!DE14="","",1)</f>
        <v/>
      </c>
      <c r="AY12" s="56">
        <f>IF(Tim!EL14="","",1)</f>
        <v>1</v>
      </c>
      <c r="AZ12" s="60" t="str">
        <f>IF(Tim!EM14="","",1)</f>
        <v/>
      </c>
      <c r="BA12" s="60" t="str">
        <f>IF(Tim!EN14="","",1)</f>
        <v/>
      </c>
      <c r="BB12" s="60" t="str">
        <f>IF(Tim!EO14="","",1)</f>
        <v/>
      </c>
      <c r="BC12" s="60" t="str">
        <f>IF(Tim!EP14="","",1)</f>
        <v/>
      </c>
      <c r="BD12" s="60" t="str">
        <f>IF(Tim!EQ14="","",1)</f>
        <v/>
      </c>
      <c r="BE12" s="60" t="str">
        <f>IF(Tim!ER14="","",1)</f>
        <v/>
      </c>
      <c r="BF12" s="60" t="str">
        <f>IF(Tim!ES14="","",1)</f>
        <v/>
      </c>
      <c r="BG12" s="60">
        <f>IF(Tim!ET14="","",1)</f>
        <v>1</v>
      </c>
      <c r="BH12" s="60" t="str">
        <f>IF(Tim!EU14="","",1)</f>
        <v/>
      </c>
      <c r="BI12" s="60" t="str">
        <f>IF(Tim!EV14="","",1)</f>
        <v/>
      </c>
      <c r="BJ12" s="60" t="str">
        <f>IF(Tim!EW14="","",1)</f>
        <v/>
      </c>
      <c r="BK12" s="60" t="str">
        <f>IF(Tim!EX14="","",1)</f>
        <v/>
      </c>
      <c r="BL12" s="60" t="str">
        <f>IF(Tim!EY14="","",1)</f>
        <v/>
      </c>
      <c r="BM12" s="60" t="str">
        <f>IF(Tim!EZ14="","",1)</f>
        <v/>
      </c>
      <c r="BN12" s="56">
        <f>IF(Tim!GD14="","",1)</f>
        <v>1</v>
      </c>
      <c r="BO12" s="60" t="str">
        <f>IF(Tim!GE14="","",1)</f>
        <v/>
      </c>
      <c r="BP12" s="60" t="str">
        <f>IF(Tim!GF14="","",1)</f>
        <v/>
      </c>
      <c r="BQ12" s="60" t="str">
        <f>IF(Tim!GG14="","",1)</f>
        <v/>
      </c>
      <c r="BR12" s="60" t="str">
        <f>IF(Tim!GH14="","",1)</f>
        <v/>
      </c>
      <c r="BS12" s="60" t="str">
        <f>IF(Tim!GI14="","",1)</f>
        <v/>
      </c>
      <c r="BT12" s="60" t="str">
        <f>IF(Tim!GJ14="","",1)</f>
        <v/>
      </c>
      <c r="BU12" s="60" t="str">
        <f>IF(Tim!GK14="","",1)</f>
        <v/>
      </c>
      <c r="BV12" s="60" t="str">
        <f>IF(Tim!GL14="","",1)</f>
        <v/>
      </c>
      <c r="BW12" s="60">
        <f>IF(Tim!GM14="","",1)</f>
        <v>1</v>
      </c>
      <c r="BX12" s="60" t="str">
        <f>IF(Tim!GN14="","",1)</f>
        <v/>
      </c>
      <c r="BY12" s="60" t="str">
        <f>IF(Tim!GO14="","",1)</f>
        <v/>
      </c>
      <c r="BZ12" s="60" t="str">
        <f>IF(Tim!GP14="","",1)</f>
        <v/>
      </c>
      <c r="CA12" s="60" t="str">
        <f>IF(Tim!GQ14="","",1)</f>
        <v/>
      </c>
      <c r="CB12" s="60" t="str">
        <f>IF(Tim!GR14="","",1)</f>
        <v/>
      </c>
      <c r="CC12" s="224"/>
      <c r="CD12" s="222"/>
      <c r="CE12" s="222"/>
      <c r="CF12" s="222"/>
      <c r="CG12" s="222"/>
      <c r="CH12" s="222"/>
      <c r="CI12" s="222"/>
      <c r="CJ12" s="222"/>
      <c r="CK12" s="222"/>
      <c r="CL12" s="222"/>
      <c r="CM12" s="222"/>
      <c r="CN12" s="216"/>
      <c r="CO12" s="216"/>
      <c r="CP12" s="216"/>
      <c r="CQ12" s="217"/>
      <c r="CR12" s="384"/>
      <c r="CS12" s="384"/>
      <c r="CT12" s="384"/>
      <c r="CU12" s="384"/>
      <c r="CV12" s="384"/>
      <c r="CW12" s="384"/>
      <c r="CX12" s="384"/>
      <c r="CY12" s="384"/>
      <c r="CZ12" s="384"/>
      <c r="DA12" s="384"/>
      <c r="DB12" s="384"/>
      <c r="DG12" s="52">
        <v>0.36458333333333298</v>
      </c>
    </row>
    <row r="13" spans="2:111" ht="10.5" customHeight="1">
      <c r="B13" s="51">
        <v>0.25</v>
      </c>
      <c r="C13" s="51">
        <v>0.25</v>
      </c>
      <c r="D13" s="51">
        <v>0.25</v>
      </c>
      <c r="E13" s="172">
        <v>0.375</v>
      </c>
      <c r="F13" s="56">
        <f>IF(Tim!F15="","",1)</f>
        <v>1</v>
      </c>
      <c r="G13" s="60" t="str">
        <f>IF(Tim!G15="","",1)</f>
        <v/>
      </c>
      <c r="H13" s="60" t="str">
        <f>IF(Tim!H15="","",1)</f>
        <v/>
      </c>
      <c r="I13" s="60" t="str">
        <f>IF(Tim!I15="","",1)</f>
        <v/>
      </c>
      <c r="J13" s="60" t="str">
        <f>IF(Tim!J15="","",1)</f>
        <v/>
      </c>
      <c r="K13" s="60" t="str">
        <f>IF(Tim!K15="","",1)</f>
        <v/>
      </c>
      <c r="L13" s="60" t="str">
        <f>IF(Tim!L15="","",1)</f>
        <v/>
      </c>
      <c r="M13" s="60" t="str">
        <f>IF(Tim!M15="","",1)</f>
        <v/>
      </c>
      <c r="N13" s="60" t="str">
        <f>IF(Tim!N15="","",1)</f>
        <v/>
      </c>
      <c r="O13" s="60" t="str">
        <f>IF(Tim!O15="","",1)</f>
        <v/>
      </c>
      <c r="P13" s="60" t="str">
        <f>IF(Tim!P15="","",1)</f>
        <v/>
      </c>
      <c r="Q13" s="60" t="str">
        <f>IF(Tim!Q15="","",1)</f>
        <v/>
      </c>
      <c r="R13" s="60" t="str">
        <f>IF(Tim!R15="","",1)</f>
        <v/>
      </c>
      <c r="S13" s="60" t="str">
        <f>IF(Tim!S15="","",1)</f>
        <v/>
      </c>
      <c r="T13" s="60" t="str">
        <f>IF(Tim!T15="","",1)</f>
        <v/>
      </c>
      <c r="U13" s="56">
        <f>IF(Tim!AY15="","",1)</f>
        <v>1</v>
      </c>
      <c r="V13" s="60" t="str">
        <f>IF(Tim!AZ15="","",1)</f>
        <v/>
      </c>
      <c r="W13" s="60" t="str">
        <f>IF(Tim!BA15="","",1)</f>
        <v/>
      </c>
      <c r="X13" s="60" t="str">
        <f>IF(Tim!BB15="","",1)</f>
        <v/>
      </c>
      <c r="Y13" s="60" t="str">
        <f>IF(Tim!BC15="","",1)</f>
        <v/>
      </c>
      <c r="Z13" s="60" t="str">
        <f>IF(Tim!BD15="","",1)</f>
        <v/>
      </c>
      <c r="AA13" s="60" t="str">
        <f>IF(Tim!BE15="","",1)</f>
        <v/>
      </c>
      <c r="AB13" s="60" t="str">
        <f>IF(Tim!BF15="","",1)</f>
        <v/>
      </c>
      <c r="AC13" s="60" t="str">
        <f>IF(Tim!BG15="","",1)</f>
        <v/>
      </c>
      <c r="AD13" s="60" t="str">
        <f>IF(Tim!BH15="","",1)</f>
        <v/>
      </c>
      <c r="AE13" s="60" t="str">
        <f>IF(Tim!BI15="","",1)</f>
        <v/>
      </c>
      <c r="AF13" s="60" t="str">
        <f>IF(Tim!BJ15="","",1)</f>
        <v/>
      </c>
      <c r="AG13" s="60" t="str">
        <f>IF(Tim!BK15="","",1)</f>
        <v/>
      </c>
      <c r="AH13" s="60" t="str">
        <f>IF(Tim!BL15="","",1)</f>
        <v/>
      </c>
      <c r="AI13" s="60" t="str">
        <f>IF(Tim!BM15="","",1)</f>
        <v/>
      </c>
      <c r="AJ13" s="56">
        <f>IF(Tim!CQ15="","",1)</f>
        <v>1</v>
      </c>
      <c r="AK13" s="60" t="str">
        <f>IF(Tim!CR15="","",1)</f>
        <v/>
      </c>
      <c r="AL13" s="60" t="str">
        <f>IF(Tim!CS15="","",1)</f>
        <v/>
      </c>
      <c r="AM13" s="60" t="str">
        <f>IF(Tim!CT15="","",1)</f>
        <v/>
      </c>
      <c r="AN13" s="60" t="str">
        <f>IF(Tim!CU15="","",1)</f>
        <v/>
      </c>
      <c r="AO13" s="60" t="str">
        <f>IF(Tim!CV15="","",1)</f>
        <v/>
      </c>
      <c r="AP13" s="60" t="str">
        <f>IF(Tim!CW15="","",1)</f>
        <v/>
      </c>
      <c r="AQ13" s="60" t="str">
        <f>IF(Tim!CX15="","",1)</f>
        <v/>
      </c>
      <c r="AR13" s="60" t="str">
        <f>IF(Tim!CY15="","",1)</f>
        <v/>
      </c>
      <c r="AS13" s="60" t="str">
        <f>IF(Tim!CZ15="","",1)</f>
        <v/>
      </c>
      <c r="AT13" s="60" t="str">
        <f>IF(Tim!DA15="","",1)</f>
        <v/>
      </c>
      <c r="AU13" s="60" t="str">
        <f>IF(Tim!DB15="","",1)</f>
        <v/>
      </c>
      <c r="AV13" s="60" t="str">
        <f>IF(Tim!DC15="","",1)</f>
        <v/>
      </c>
      <c r="AW13" s="60" t="str">
        <f>IF(Tim!DD15="","",1)</f>
        <v/>
      </c>
      <c r="AX13" s="60" t="str">
        <f>IF(Tim!DE15="","",1)</f>
        <v/>
      </c>
      <c r="AY13" s="56">
        <f>IF(Tim!EL15="","",1)</f>
        <v>1</v>
      </c>
      <c r="AZ13" s="60" t="str">
        <f>IF(Tim!EM15="","",1)</f>
        <v/>
      </c>
      <c r="BA13" s="60" t="str">
        <f>IF(Tim!EN15="","",1)</f>
        <v/>
      </c>
      <c r="BB13" s="60" t="str">
        <f>IF(Tim!EO15="","",1)</f>
        <v/>
      </c>
      <c r="BC13" s="60" t="str">
        <f>IF(Tim!EP15="","",1)</f>
        <v/>
      </c>
      <c r="BD13" s="60" t="str">
        <f>IF(Tim!EQ15="","",1)</f>
        <v/>
      </c>
      <c r="BE13" s="60" t="str">
        <f>IF(Tim!ER15="","",1)</f>
        <v/>
      </c>
      <c r="BF13" s="60" t="str">
        <f>IF(Tim!ES15="","",1)</f>
        <v/>
      </c>
      <c r="BG13" s="60">
        <f>IF(Tim!ET15="","",1)</f>
        <v>1</v>
      </c>
      <c r="BH13" s="60" t="str">
        <f>IF(Tim!EU15="","",1)</f>
        <v/>
      </c>
      <c r="BI13" s="60" t="str">
        <f>IF(Tim!EV15="","",1)</f>
        <v/>
      </c>
      <c r="BJ13" s="60" t="str">
        <f>IF(Tim!EW15="","",1)</f>
        <v/>
      </c>
      <c r="BK13" s="60" t="str">
        <f>IF(Tim!EX15="","",1)</f>
        <v/>
      </c>
      <c r="BL13" s="60" t="str">
        <f>IF(Tim!EY15="","",1)</f>
        <v/>
      </c>
      <c r="BM13" s="60" t="str">
        <f>IF(Tim!EZ15="","",1)</f>
        <v/>
      </c>
      <c r="BN13" s="56">
        <f>IF(Tim!GD15="","",1)</f>
        <v>1</v>
      </c>
      <c r="BO13" s="60" t="str">
        <f>IF(Tim!GE15="","",1)</f>
        <v/>
      </c>
      <c r="BP13" s="60" t="str">
        <f>IF(Tim!GF15="","",1)</f>
        <v/>
      </c>
      <c r="BQ13" s="60" t="str">
        <f>IF(Tim!GG15="","",1)</f>
        <v/>
      </c>
      <c r="BR13" s="60" t="str">
        <f>IF(Tim!GH15="","",1)</f>
        <v/>
      </c>
      <c r="BS13" s="60" t="str">
        <f>IF(Tim!GI15="","",1)</f>
        <v/>
      </c>
      <c r="BT13" s="60" t="str">
        <f>IF(Tim!GJ15="","",1)</f>
        <v/>
      </c>
      <c r="BU13" s="60" t="str">
        <f>IF(Tim!GK15="","",1)</f>
        <v/>
      </c>
      <c r="BV13" s="60" t="str">
        <f>IF(Tim!GL15="","",1)</f>
        <v/>
      </c>
      <c r="BW13" s="60" t="str">
        <f>IF(Tim!GM15="","",1)</f>
        <v/>
      </c>
      <c r="BX13" s="60">
        <f>IF(Tim!GN15="","",1)</f>
        <v>1</v>
      </c>
      <c r="BY13" s="60" t="str">
        <f>IF(Tim!GO15="","",1)</f>
        <v/>
      </c>
      <c r="BZ13" s="60" t="str">
        <f>IF(Tim!GP15="","",1)</f>
        <v/>
      </c>
      <c r="CA13" s="60" t="str">
        <f>IF(Tim!GQ15="","",1)</f>
        <v/>
      </c>
      <c r="CB13" s="60" t="str">
        <f>IF(Tim!GR15="","",1)</f>
        <v/>
      </c>
      <c r="CC13" s="191">
        <f>IF(Tim!HV15="","",1)</f>
        <v>1</v>
      </c>
      <c r="CD13" s="210" t="str">
        <f>IF(Tim!HW15="","",1)</f>
        <v/>
      </c>
      <c r="CE13" s="210" t="str">
        <f>IF(Tim!HX15="","",1)</f>
        <v/>
      </c>
      <c r="CF13" s="210" t="str">
        <f>IF(Tim!HY15="","",1)</f>
        <v/>
      </c>
      <c r="CG13" s="210" t="str">
        <f>IF(Tim!HZ15="","",1)</f>
        <v/>
      </c>
      <c r="CH13" s="210" t="str">
        <f>IF(Tim!IA15="","",1)</f>
        <v/>
      </c>
      <c r="CI13" s="210" t="str">
        <f>IF(Tim!IB15="","",1)</f>
        <v/>
      </c>
      <c r="CJ13" s="210" t="str">
        <f>IF(Tim!IC15="","",1)</f>
        <v/>
      </c>
      <c r="CK13" s="210" t="str">
        <f>IF(Tim!ID15="","",1)</f>
        <v/>
      </c>
      <c r="CL13" s="210" t="str">
        <f>IF(Tim!IE15="","",1)</f>
        <v/>
      </c>
      <c r="CM13" s="210" t="str">
        <f>IF(Tim!IF15="","",1)</f>
        <v/>
      </c>
      <c r="CN13" s="210" t="str">
        <f>IF(Tim!IG15="","",1)</f>
        <v/>
      </c>
      <c r="CO13" s="210" t="str">
        <f>IF(Tim!IH15="","",1)</f>
        <v/>
      </c>
      <c r="CP13" s="210" t="str">
        <f>IF(Tim!II15="","",1)</f>
        <v/>
      </c>
      <c r="CQ13" s="225" t="str">
        <f>IF(Tim!IJ15="","",1)</f>
        <v/>
      </c>
      <c r="CR13" s="191" t="str">
        <f>IF(Tim!JN15="","",1)</f>
        <v/>
      </c>
      <c r="CS13" s="210" t="str">
        <f>IF(Tim!JO15="","",1)</f>
        <v/>
      </c>
      <c r="CT13" s="210" t="str">
        <f>IF(Tim!JP15="","",1)</f>
        <v/>
      </c>
      <c r="CU13" s="210" t="str">
        <f>IF(Tim!JQ15="","",1)</f>
        <v/>
      </c>
      <c r="CV13" s="210" t="str">
        <f>IF(Tim!JR15="","",1)</f>
        <v/>
      </c>
      <c r="CW13" s="210" t="str">
        <f>IF(Tim!JS15="","",1)</f>
        <v/>
      </c>
      <c r="CX13" s="210" t="str">
        <f>IF(Tim!JT15="","",1)</f>
        <v/>
      </c>
      <c r="CY13" s="210" t="str">
        <f>IF(Tim!JU15="","",1)</f>
        <v/>
      </c>
      <c r="CZ13" s="210" t="str">
        <f>IF(Tim!JV15="","",1)</f>
        <v/>
      </c>
      <c r="DA13" s="210" t="str">
        <f>IF(Tim!JW15="","",1)</f>
        <v/>
      </c>
      <c r="DB13" s="210" t="str">
        <f>IF(Tim!JX15="","",1)</f>
        <v/>
      </c>
      <c r="DC13" s="210" t="str">
        <f>IF(Tim!JY15="","",1)</f>
        <v/>
      </c>
      <c r="DD13" s="210" t="str">
        <f>IF(Tim!JZ15="","",1)</f>
        <v/>
      </c>
      <c r="DE13" s="210" t="str">
        <f>IF(Tim!KA15="","",1)</f>
        <v/>
      </c>
      <c r="DF13" s="211" t="str">
        <f>IF(Tim!KB15="","",1)</f>
        <v/>
      </c>
      <c r="DG13" s="52">
        <v>0.375</v>
      </c>
    </row>
    <row r="14" spans="2:111" ht="10.5" customHeight="1">
      <c r="B14" s="51">
        <v>0.25</v>
      </c>
      <c r="C14" s="51">
        <v>0.25</v>
      </c>
      <c r="D14" s="51">
        <v>0.25</v>
      </c>
      <c r="E14" s="172">
        <v>0.38541666666666602</v>
      </c>
      <c r="F14" s="56">
        <f>IF(Tim!F16="","",1)</f>
        <v>1</v>
      </c>
      <c r="G14" s="60" t="str">
        <f>IF(Tim!G16="","",1)</f>
        <v/>
      </c>
      <c r="H14" s="60" t="str">
        <f>IF(Tim!H16="","",1)</f>
        <v/>
      </c>
      <c r="I14" s="60" t="str">
        <f>IF(Tim!I16="","",1)</f>
        <v/>
      </c>
      <c r="J14" s="60" t="str">
        <f>IF(Tim!J16="","",1)</f>
        <v/>
      </c>
      <c r="K14" s="60" t="str">
        <f>IF(Tim!K16="","",1)</f>
        <v/>
      </c>
      <c r="L14" s="60" t="str">
        <f>IF(Tim!L16="","",1)</f>
        <v/>
      </c>
      <c r="M14" s="60" t="str">
        <f>IF(Tim!M16="","",1)</f>
        <v/>
      </c>
      <c r="N14" s="60" t="str">
        <f>IF(Tim!N16="","",1)</f>
        <v/>
      </c>
      <c r="O14" s="60" t="str">
        <f>IF(Tim!O16="","",1)</f>
        <v/>
      </c>
      <c r="P14" s="60" t="str">
        <f>IF(Tim!P16="","",1)</f>
        <v/>
      </c>
      <c r="Q14" s="60" t="str">
        <f>IF(Tim!Q16="","",1)</f>
        <v/>
      </c>
      <c r="R14" s="60" t="str">
        <f>IF(Tim!R16="","",1)</f>
        <v/>
      </c>
      <c r="S14" s="60" t="str">
        <f>IF(Tim!S16="","",1)</f>
        <v/>
      </c>
      <c r="T14" s="60" t="str">
        <f>IF(Tim!T16="","",1)</f>
        <v/>
      </c>
      <c r="U14" s="56">
        <f>IF(Tim!AY16="","",1)</f>
        <v>1</v>
      </c>
      <c r="V14" s="60" t="str">
        <f>IF(Tim!AZ16="","",1)</f>
        <v/>
      </c>
      <c r="W14" s="60" t="str">
        <f>IF(Tim!BA16="","",1)</f>
        <v/>
      </c>
      <c r="X14" s="60" t="str">
        <f>IF(Tim!BB16="","",1)</f>
        <v/>
      </c>
      <c r="Y14" s="60" t="str">
        <f>IF(Tim!BC16="","",1)</f>
        <v/>
      </c>
      <c r="Z14" s="60" t="str">
        <f>IF(Tim!BD16="","",1)</f>
        <v/>
      </c>
      <c r="AA14" s="60" t="str">
        <f>IF(Tim!BE16="","",1)</f>
        <v/>
      </c>
      <c r="AB14" s="60" t="str">
        <f>IF(Tim!BF16="","",1)</f>
        <v/>
      </c>
      <c r="AC14" s="60" t="str">
        <f>IF(Tim!BG16="","",1)</f>
        <v/>
      </c>
      <c r="AD14" s="60" t="str">
        <f>IF(Tim!BH16="","",1)</f>
        <v/>
      </c>
      <c r="AE14" s="60" t="str">
        <f>IF(Tim!BI16="","",1)</f>
        <v/>
      </c>
      <c r="AF14" s="60" t="str">
        <f>IF(Tim!BJ16="","",1)</f>
        <v/>
      </c>
      <c r="AG14" s="60" t="str">
        <f>IF(Tim!BK16="","",1)</f>
        <v/>
      </c>
      <c r="AH14" s="60" t="str">
        <f>IF(Tim!BL16="","",1)</f>
        <v/>
      </c>
      <c r="AI14" s="60" t="str">
        <f>IF(Tim!BM16="","",1)</f>
        <v/>
      </c>
      <c r="AJ14" s="56">
        <f>IF(Tim!CQ16="","",1)</f>
        <v>1</v>
      </c>
      <c r="AK14" s="60" t="str">
        <f>IF(Tim!CR16="","",1)</f>
        <v/>
      </c>
      <c r="AL14" s="60" t="str">
        <f>IF(Tim!CS16="","",1)</f>
        <v/>
      </c>
      <c r="AM14" s="60" t="str">
        <f>IF(Tim!CT16="","",1)</f>
        <v/>
      </c>
      <c r="AN14" s="60" t="str">
        <f>IF(Tim!CU16="","",1)</f>
        <v/>
      </c>
      <c r="AO14" s="60" t="str">
        <f>IF(Tim!CV16="","",1)</f>
        <v/>
      </c>
      <c r="AP14" s="60" t="str">
        <f>IF(Tim!CW16="","",1)</f>
        <v/>
      </c>
      <c r="AQ14" s="60" t="str">
        <f>IF(Tim!CX16="","",1)</f>
        <v/>
      </c>
      <c r="AR14" s="60" t="str">
        <f>IF(Tim!CY16="","",1)</f>
        <v/>
      </c>
      <c r="AS14" s="60" t="str">
        <f>IF(Tim!CZ16="","",1)</f>
        <v/>
      </c>
      <c r="AT14" s="60" t="str">
        <f>IF(Tim!DA16="","",1)</f>
        <v/>
      </c>
      <c r="AU14" s="60" t="str">
        <f>IF(Tim!DB16="","",1)</f>
        <v/>
      </c>
      <c r="AV14" s="60" t="str">
        <f>IF(Tim!DC16="","",1)</f>
        <v/>
      </c>
      <c r="AW14" s="60" t="str">
        <f>IF(Tim!DD16="","",1)</f>
        <v/>
      </c>
      <c r="AX14" s="60" t="str">
        <f>IF(Tim!DE16="","",1)</f>
        <v/>
      </c>
      <c r="AY14" s="56" t="e">
        <f>IF(Tim!#REF!="","",1)</f>
        <v>#REF!</v>
      </c>
      <c r="AZ14" s="60" t="str">
        <f>IF(Tim!EM16="","",1)</f>
        <v/>
      </c>
      <c r="BA14" s="60" t="str">
        <f>IF(Tim!EN16="","",1)</f>
        <v/>
      </c>
      <c r="BB14" s="60" t="str">
        <f>IF(Tim!EO16="","",1)</f>
        <v/>
      </c>
      <c r="BC14" s="60" t="str">
        <f>IF(Tim!EP16="","",1)</f>
        <v/>
      </c>
      <c r="BD14" s="60" t="str">
        <f>IF(Tim!EQ16="","",1)</f>
        <v/>
      </c>
      <c r="BE14" s="60" t="str">
        <f>IF(Tim!ER16="","",1)</f>
        <v/>
      </c>
      <c r="BF14" s="60" t="str">
        <f>IF(Tim!ES16="","",1)</f>
        <v/>
      </c>
      <c r="BG14" s="60" t="str">
        <f>IF(Tim!ET16="","",1)</f>
        <v/>
      </c>
      <c r="BH14" s="60" t="str">
        <f>IF(Tim!EU16="","",1)</f>
        <v/>
      </c>
      <c r="BI14" s="60" t="str">
        <f>IF(Tim!EV16="","",1)</f>
        <v/>
      </c>
      <c r="BJ14" s="60" t="str">
        <f>IF(Tim!EW16="","",1)</f>
        <v/>
      </c>
      <c r="BK14" s="60" t="str">
        <f>IF(Tim!EX16="","",1)</f>
        <v/>
      </c>
      <c r="BL14" s="60" t="str">
        <f>IF(Tim!EY16="","",1)</f>
        <v/>
      </c>
      <c r="BM14" s="60" t="str">
        <f>IF(Tim!EZ16="","",1)</f>
        <v/>
      </c>
      <c r="BN14" s="56">
        <f>IF(Tim!GD16="","",1)</f>
        <v>1</v>
      </c>
      <c r="BO14" s="60" t="str">
        <f>IF(Tim!GE16="","",1)</f>
        <v/>
      </c>
      <c r="BP14" s="60" t="str">
        <f>IF(Tim!GF16="","",1)</f>
        <v/>
      </c>
      <c r="BQ14" s="60" t="str">
        <f>IF(Tim!GG16="","",1)</f>
        <v/>
      </c>
      <c r="BR14" s="60" t="str">
        <f>IF(Tim!GH16="","",1)</f>
        <v/>
      </c>
      <c r="BS14" s="60" t="str">
        <f>IF(Tim!GI16="","",1)</f>
        <v/>
      </c>
      <c r="BT14" s="60" t="str">
        <f>IF(Tim!GJ16="","",1)</f>
        <v/>
      </c>
      <c r="BU14" s="60" t="str">
        <f>IF(Tim!GK16="","",1)</f>
        <v/>
      </c>
      <c r="BV14" s="60" t="str">
        <f>IF(Tim!GL16="","",1)</f>
        <v/>
      </c>
      <c r="BW14" s="60" t="str">
        <f>IF(Tim!GM16="","",1)</f>
        <v/>
      </c>
      <c r="BX14" s="60">
        <f>IF(Tim!GN16="","",1)</f>
        <v>1</v>
      </c>
      <c r="BY14" s="60" t="str">
        <f>IF(Tim!GO16="","",1)</f>
        <v/>
      </c>
      <c r="BZ14" s="60" t="str">
        <f>IF(Tim!GP16="","",1)</f>
        <v/>
      </c>
      <c r="CA14" s="60" t="str">
        <f>IF(Tim!GQ16="","",1)</f>
        <v/>
      </c>
      <c r="CB14" s="60" t="str">
        <f>IF(Tim!GR16="","",1)</f>
        <v/>
      </c>
      <c r="CC14" s="56">
        <f>IF(Tim!HV16="","",1)</f>
        <v>1</v>
      </c>
      <c r="CD14" s="53" t="str">
        <f>IF(Tim!HW16="","",1)</f>
        <v/>
      </c>
      <c r="CE14" s="53" t="str">
        <f>IF(Tim!HX16="","",1)</f>
        <v/>
      </c>
      <c r="CF14" s="53" t="str">
        <f>IF(Tim!HY16="","",1)</f>
        <v/>
      </c>
      <c r="CG14" s="53" t="str">
        <f>IF(Tim!HZ16="","",1)</f>
        <v/>
      </c>
      <c r="CH14" s="53" t="str">
        <f>IF(Tim!IA16="","",1)</f>
        <v/>
      </c>
      <c r="CI14" s="53" t="str">
        <f>IF(Tim!IB16="","",1)</f>
        <v/>
      </c>
      <c r="CJ14" s="53" t="str">
        <f>IF(Tim!IC16="","",1)</f>
        <v/>
      </c>
      <c r="CK14" s="53" t="str">
        <f>IF(Tim!ID16="","",1)</f>
        <v/>
      </c>
      <c r="CL14" s="53" t="str">
        <f>IF(Tim!IE16="","",1)</f>
        <v/>
      </c>
      <c r="CM14" s="53" t="str">
        <f>IF(Tim!IF16="","",1)</f>
        <v/>
      </c>
      <c r="CN14" s="53" t="str">
        <f>IF(Tim!IG16="","",1)</f>
        <v/>
      </c>
      <c r="CO14" s="53" t="str">
        <f>IF(Tim!IH16="","",1)</f>
        <v/>
      </c>
      <c r="CP14" s="53" t="str">
        <f>IF(Tim!II16="","",1)</f>
        <v/>
      </c>
      <c r="CQ14" s="54" t="str">
        <f>IF(Tim!IJ16="","",1)</f>
        <v/>
      </c>
      <c r="CR14" s="56" t="str">
        <f>IF(Tim!JN16="","",1)</f>
        <v/>
      </c>
      <c r="CS14" s="53" t="str">
        <f>IF(Tim!JO16="","",1)</f>
        <v/>
      </c>
      <c r="CT14" s="53" t="str">
        <f>IF(Tim!JP16="","",1)</f>
        <v/>
      </c>
      <c r="CU14" s="53" t="str">
        <f>IF(Tim!JQ16="","",1)</f>
        <v/>
      </c>
      <c r="CV14" s="53" t="str">
        <f>IF(Tim!JR16="","",1)</f>
        <v/>
      </c>
      <c r="CW14" s="53" t="str">
        <f>IF(Tim!JS16="","",1)</f>
        <v/>
      </c>
      <c r="CX14" s="53" t="str">
        <f>IF(Tim!JT16="","",1)</f>
        <v/>
      </c>
      <c r="CY14" s="53" t="str">
        <f>IF(Tim!JU16="","",1)</f>
        <v/>
      </c>
      <c r="CZ14" s="53" t="str">
        <f>IF(Tim!JV16="","",1)</f>
        <v/>
      </c>
      <c r="DA14" s="53" t="str">
        <f>IF(Tim!JW16="","",1)</f>
        <v/>
      </c>
      <c r="DB14" s="53" t="str">
        <f>IF(Tim!JX16="","",1)</f>
        <v/>
      </c>
      <c r="DC14" s="53" t="str">
        <f>IF(Tim!JY16="","",1)</f>
        <v/>
      </c>
      <c r="DD14" s="53" t="str">
        <f>IF(Tim!JZ16="","",1)</f>
        <v/>
      </c>
      <c r="DE14" s="53" t="str">
        <f>IF(Tim!KA16="","",1)</f>
        <v/>
      </c>
      <c r="DF14" s="55" t="str">
        <f>IF(Tim!KB16="","",1)</f>
        <v/>
      </c>
      <c r="DG14" s="52">
        <v>0.38541666666666602</v>
      </c>
    </row>
    <row r="15" spans="2:111" ht="10.5" customHeight="1">
      <c r="B15" s="51">
        <v>0.25</v>
      </c>
      <c r="C15" s="51">
        <v>0.25</v>
      </c>
      <c r="D15" s="51">
        <v>0.25</v>
      </c>
      <c r="E15" s="172">
        <v>0.39583333333333298</v>
      </c>
      <c r="F15" s="56">
        <f>IF(Tim!F17="","",1)</f>
        <v>1</v>
      </c>
      <c r="G15" s="60" t="str">
        <f>IF(Tim!G17="","",1)</f>
        <v/>
      </c>
      <c r="H15" s="60" t="str">
        <f>IF(Tim!H17="","",1)</f>
        <v/>
      </c>
      <c r="I15" s="60" t="str">
        <f>IF(Tim!I17="","",1)</f>
        <v/>
      </c>
      <c r="J15" s="60" t="str">
        <f>IF(Tim!J17="","",1)</f>
        <v/>
      </c>
      <c r="K15" s="60" t="str">
        <f>IF(Tim!K17="","",1)</f>
        <v/>
      </c>
      <c r="L15" s="60" t="str">
        <f>IF(Tim!L17="","",1)</f>
        <v/>
      </c>
      <c r="M15" s="60" t="str">
        <f>IF(Tim!M17="","",1)</f>
        <v/>
      </c>
      <c r="N15" s="60" t="str">
        <f>IF(Tim!N17="","",1)</f>
        <v/>
      </c>
      <c r="O15" s="60" t="str">
        <f>IF(Tim!O17="","",1)</f>
        <v/>
      </c>
      <c r="P15" s="60" t="str">
        <f>IF(Tim!P17="","",1)</f>
        <v/>
      </c>
      <c r="Q15" s="60" t="str">
        <f>IF(Tim!Q17="","",1)</f>
        <v/>
      </c>
      <c r="R15" s="60" t="str">
        <f>IF(Tim!R17="","",1)</f>
        <v/>
      </c>
      <c r="S15" s="60" t="str">
        <f>IF(Tim!S17="","",1)</f>
        <v/>
      </c>
      <c r="T15" s="60" t="str">
        <f>IF(Tim!T17="","",1)</f>
        <v/>
      </c>
      <c r="U15" s="56">
        <f>IF(Tim!AY17="","",1)</f>
        <v>1</v>
      </c>
      <c r="V15" s="60" t="str">
        <f>IF(Tim!AZ17="","",1)</f>
        <v/>
      </c>
      <c r="W15" s="60" t="str">
        <f>IF(Tim!BA17="","",1)</f>
        <v/>
      </c>
      <c r="X15" s="60" t="str">
        <f>IF(Tim!BB17="","",1)</f>
        <v/>
      </c>
      <c r="Y15" s="60" t="str">
        <f>IF(Tim!BC17="","",1)</f>
        <v/>
      </c>
      <c r="Z15" s="60" t="str">
        <f>IF(Tim!BD17="","",1)</f>
        <v/>
      </c>
      <c r="AA15" s="60" t="str">
        <f>IF(Tim!BE17="","",1)</f>
        <v/>
      </c>
      <c r="AB15" s="60" t="str">
        <f>IF(Tim!BF17="","",1)</f>
        <v/>
      </c>
      <c r="AC15" s="60" t="str">
        <f>IF(Tim!BG17="","",1)</f>
        <v/>
      </c>
      <c r="AD15" s="60" t="str">
        <f>IF(Tim!BH17="","",1)</f>
        <v/>
      </c>
      <c r="AE15" s="60" t="str">
        <f>IF(Tim!BI17="","",1)</f>
        <v/>
      </c>
      <c r="AF15" s="60" t="str">
        <f>IF(Tim!BJ17="","",1)</f>
        <v/>
      </c>
      <c r="AG15" s="60" t="str">
        <f>IF(Tim!BK17="","",1)</f>
        <v/>
      </c>
      <c r="AH15" s="60" t="str">
        <f>IF(Tim!BL17="","",1)</f>
        <v/>
      </c>
      <c r="AI15" s="60" t="str">
        <f>IF(Tim!BM17="","",1)</f>
        <v/>
      </c>
      <c r="AJ15" s="56">
        <f>IF(Tim!CQ17="","",1)</f>
        <v>1</v>
      </c>
      <c r="AK15" s="60" t="str">
        <f>IF(Tim!CR17="","",1)</f>
        <v/>
      </c>
      <c r="AL15" s="60" t="str">
        <f>IF(Tim!CS17="","",1)</f>
        <v/>
      </c>
      <c r="AM15" s="60" t="str">
        <f>IF(Tim!CT17="","",1)</f>
        <v/>
      </c>
      <c r="AN15" s="60" t="str">
        <f>IF(Tim!CU17="","",1)</f>
        <v/>
      </c>
      <c r="AO15" s="60" t="str">
        <f>IF(Tim!CV17="","",1)</f>
        <v/>
      </c>
      <c r="AP15" s="60" t="str">
        <f>IF(Tim!CW17="","",1)</f>
        <v/>
      </c>
      <c r="AQ15" s="60" t="str">
        <f>IF(Tim!CX17="","",1)</f>
        <v/>
      </c>
      <c r="AR15" s="60" t="str">
        <f>IF(Tim!CY17="","",1)</f>
        <v/>
      </c>
      <c r="AS15" s="60" t="str">
        <f>IF(Tim!CZ17="","",1)</f>
        <v/>
      </c>
      <c r="AT15" s="60" t="str">
        <f>IF(Tim!DA17="","",1)</f>
        <v/>
      </c>
      <c r="AU15" s="60" t="str">
        <f>IF(Tim!DB17="","",1)</f>
        <v/>
      </c>
      <c r="AV15" s="60" t="str">
        <f>IF(Tim!DC17="","",1)</f>
        <v/>
      </c>
      <c r="AW15" s="60" t="str">
        <f>IF(Tim!DD17="","",1)</f>
        <v/>
      </c>
      <c r="AX15" s="60" t="str">
        <f>IF(Tim!DE17="","",1)</f>
        <v/>
      </c>
      <c r="AY15" s="56">
        <f>IF(Tim!EL16="","",1)</f>
        <v>1</v>
      </c>
      <c r="AZ15" s="60" t="str">
        <f>IF(Tim!EM17="","",1)</f>
        <v/>
      </c>
      <c r="BA15" s="60" t="str">
        <f>IF(Tim!EN17="","",1)</f>
        <v/>
      </c>
      <c r="BB15" s="60" t="str">
        <f>IF(Tim!EO17="","",1)</f>
        <v/>
      </c>
      <c r="BC15" s="60" t="str">
        <f>IF(Tim!EP17="","",1)</f>
        <v/>
      </c>
      <c r="BD15" s="60" t="str">
        <f>IF(Tim!EQ17="","",1)</f>
        <v/>
      </c>
      <c r="BE15" s="60" t="str">
        <f>IF(Tim!ER17="","",1)</f>
        <v/>
      </c>
      <c r="BF15" s="60" t="str">
        <f>IF(Tim!ES17="","",1)</f>
        <v/>
      </c>
      <c r="BG15" s="60" t="str">
        <f>IF(Tim!ET17="","",1)</f>
        <v/>
      </c>
      <c r="BH15" s="60" t="str">
        <f>IF(Tim!EU17="","",1)</f>
        <v/>
      </c>
      <c r="BI15" s="60" t="str">
        <f>IF(Tim!EV17="","",1)</f>
        <v/>
      </c>
      <c r="BJ15" s="60" t="str">
        <f>IF(Tim!EW17="","",1)</f>
        <v/>
      </c>
      <c r="BK15" s="60" t="str">
        <f>IF(Tim!EX17="","",1)</f>
        <v/>
      </c>
      <c r="BL15" s="60" t="str">
        <f>IF(Tim!EY17="","",1)</f>
        <v/>
      </c>
      <c r="BM15" s="60" t="str">
        <f>IF(Tim!EZ17="","",1)</f>
        <v/>
      </c>
      <c r="BN15" s="56">
        <f>IF(Tim!GD17="","",1)</f>
        <v>1</v>
      </c>
      <c r="BO15" s="60" t="str">
        <f>IF(Tim!GE17="","",1)</f>
        <v/>
      </c>
      <c r="BP15" s="60" t="str">
        <f>IF(Tim!GF17="","",1)</f>
        <v/>
      </c>
      <c r="BQ15" s="60" t="str">
        <f>IF(Tim!GG17="","",1)</f>
        <v/>
      </c>
      <c r="BR15" s="60" t="str">
        <f>IF(Tim!GH17="","",1)</f>
        <v/>
      </c>
      <c r="BS15" s="60" t="str">
        <f>IF(Tim!GI17="","",1)</f>
        <v/>
      </c>
      <c r="BT15" s="60" t="str">
        <f>IF(Tim!GJ17="","",1)</f>
        <v/>
      </c>
      <c r="BU15" s="60" t="str">
        <f>IF(Tim!GK17="","",1)</f>
        <v/>
      </c>
      <c r="BV15" s="60" t="str">
        <f>IF(Tim!GL17="","",1)</f>
        <v/>
      </c>
      <c r="BW15" s="60" t="str">
        <f>IF(Tim!GM17="","",1)</f>
        <v/>
      </c>
      <c r="BX15" s="60">
        <f>IF(Tim!GN17="","",1)</f>
        <v>1</v>
      </c>
      <c r="BY15" s="60" t="str">
        <f>IF(Tim!GO17="","",1)</f>
        <v/>
      </c>
      <c r="BZ15" s="60" t="str">
        <f>IF(Tim!GP17="","",1)</f>
        <v/>
      </c>
      <c r="CA15" s="60" t="str">
        <f>IF(Tim!GQ17="","",1)</f>
        <v/>
      </c>
      <c r="CB15" s="60" t="str">
        <f>IF(Tim!GR17="","",1)</f>
        <v/>
      </c>
      <c r="CC15" s="56">
        <f>IF(Tim!HV17="","",1)</f>
        <v>1</v>
      </c>
      <c r="CD15" s="53" t="str">
        <f>IF(Tim!HW17="","",1)</f>
        <v/>
      </c>
      <c r="CE15" s="53" t="str">
        <f>IF(Tim!HX17="","",1)</f>
        <v/>
      </c>
      <c r="CF15" s="53" t="str">
        <f>IF(Tim!HY17="","",1)</f>
        <v/>
      </c>
      <c r="CG15" s="53" t="str">
        <f>IF(Tim!HZ17="","",1)</f>
        <v/>
      </c>
      <c r="CH15" s="53" t="str">
        <f>IF(Tim!IA17="","",1)</f>
        <v/>
      </c>
      <c r="CI15" s="53" t="str">
        <f>IF(Tim!IB17="","",1)</f>
        <v/>
      </c>
      <c r="CJ15" s="53" t="str">
        <f>IF(Tim!IC17="","",1)</f>
        <v/>
      </c>
      <c r="CK15" s="53" t="str">
        <f>IF(Tim!ID17="","",1)</f>
        <v/>
      </c>
      <c r="CL15" s="53" t="str">
        <f>IF(Tim!IE17="","",1)</f>
        <v/>
      </c>
      <c r="CM15" s="53" t="str">
        <f>IF(Tim!IF17="","",1)</f>
        <v/>
      </c>
      <c r="CN15" s="53" t="str">
        <f>IF(Tim!IG17="","",1)</f>
        <v/>
      </c>
      <c r="CO15" s="53" t="str">
        <f>IF(Tim!IH17="","",1)</f>
        <v/>
      </c>
      <c r="CP15" s="53" t="str">
        <f>IF(Tim!II17="","",1)</f>
        <v/>
      </c>
      <c r="CQ15" s="54" t="str">
        <f>IF(Tim!IJ17="","",1)</f>
        <v/>
      </c>
      <c r="CR15" s="56">
        <f>IF(Tim!JN17="","",1)</f>
        <v>1</v>
      </c>
      <c r="CS15" s="53" t="str">
        <f>IF(Tim!JO17="","",1)</f>
        <v/>
      </c>
      <c r="CT15" s="53" t="str">
        <f>IF(Tim!JP17="","",1)</f>
        <v/>
      </c>
      <c r="CU15" s="53" t="str">
        <f>IF(Tim!JQ17="","",1)</f>
        <v/>
      </c>
      <c r="CV15" s="53" t="str">
        <f>IF(Tim!JR17="","",1)</f>
        <v/>
      </c>
      <c r="CW15" s="53" t="str">
        <f>IF(Tim!JS17="","",1)</f>
        <v/>
      </c>
      <c r="CX15" s="53" t="str">
        <f>IF(Tim!JT17="","",1)</f>
        <v/>
      </c>
      <c r="CY15" s="53" t="str">
        <f>IF(Tim!JU17="","",1)</f>
        <v/>
      </c>
      <c r="CZ15" s="53" t="str">
        <f>IF(Tim!JV17="","",1)</f>
        <v/>
      </c>
      <c r="DA15" s="53" t="str">
        <f>IF(Tim!JW17="","",1)</f>
        <v/>
      </c>
      <c r="DB15" s="53" t="str">
        <f>IF(Tim!JX17="","",1)</f>
        <v/>
      </c>
      <c r="DC15" s="53" t="str">
        <f>IF(Tim!JY17="","",1)</f>
        <v/>
      </c>
      <c r="DD15" s="53" t="str">
        <f>IF(Tim!JZ17="","",1)</f>
        <v/>
      </c>
      <c r="DE15" s="53" t="str">
        <f>IF(Tim!KA17="","",1)</f>
        <v/>
      </c>
      <c r="DF15" s="55" t="str">
        <f>IF(Tim!KB17="","",1)</f>
        <v/>
      </c>
      <c r="DG15" s="52">
        <v>0.39583333333333298</v>
      </c>
    </row>
    <row r="16" spans="2:111" ht="10.5" customHeight="1">
      <c r="B16" s="51">
        <v>0.25</v>
      </c>
      <c r="C16" s="51">
        <v>0.25</v>
      </c>
      <c r="D16" s="51">
        <v>0.25</v>
      </c>
      <c r="E16" s="172">
        <v>0.40625</v>
      </c>
      <c r="F16" s="56">
        <f>IF(Tim!F18="","",1)</f>
        <v>1</v>
      </c>
      <c r="G16" s="60" t="str">
        <f>IF(Tim!G18="","",1)</f>
        <v/>
      </c>
      <c r="H16" s="60" t="str">
        <f>IF(Tim!H18="","",1)</f>
        <v/>
      </c>
      <c r="I16" s="60" t="str">
        <f>IF(Tim!I18="","",1)</f>
        <v/>
      </c>
      <c r="J16" s="60" t="str">
        <f>IF(Tim!J18="","",1)</f>
        <v/>
      </c>
      <c r="K16" s="60" t="str">
        <f>IF(Tim!K18="","",1)</f>
        <v/>
      </c>
      <c r="L16" s="60" t="str">
        <f>IF(Tim!L18="","",1)</f>
        <v/>
      </c>
      <c r="M16" s="60" t="str">
        <f>IF(Tim!M18="","",1)</f>
        <v/>
      </c>
      <c r="N16" s="60" t="str">
        <f>IF(Tim!N18="","",1)</f>
        <v/>
      </c>
      <c r="O16" s="60" t="str">
        <f>IF(Tim!O18="","",1)</f>
        <v/>
      </c>
      <c r="P16" s="60" t="str">
        <f>IF(Tim!P18="","",1)</f>
        <v/>
      </c>
      <c r="Q16" s="60" t="str">
        <f>IF(Tim!Q18="","",1)</f>
        <v/>
      </c>
      <c r="R16" s="60" t="str">
        <f>IF(Tim!R18="","",1)</f>
        <v/>
      </c>
      <c r="S16" s="60" t="str">
        <f>IF(Tim!S18="","",1)</f>
        <v/>
      </c>
      <c r="T16" s="60" t="str">
        <f>IF(Tim!T18="","",1)</f>
        <v/>
      </c>
      <c r="U16" s="56">
        <f>IF(Tim!AY18="","",1)</f>
        <v>1</v>
      </c>
      <c r="V16" s="60" t="str">
        <f>IF(Tim!AZ18="","",1)</f>
        <v/>
      </c>
      <c r="W16" s="60" t="str">
        <f>IF(Tim!BA18="","",1)</f>
        <v/>
      </c>
      <c r="X16" s="60" t="str">
        <f>IF(Tim!BB18="","",1)</f>
        <v/>
      </c>
      <c r="Y16" s="60" t="str">
        <f>IF(Tim!BC18="","",1)</f>
        <v/>
      </c>
      <c r="Z16" s="60" t="str">
        <f>IF(Tim!BD18="","",1)</f>
        <v/>
      </c>
      <c r="AA16" s="60" t="str">
        <f>IF(Tim!BE18="","",1)</f>
        <v/>
      </c>
      <c r="AB16" s="60" t="str">
        <f>IF(Tim!BF18="","",1)</f>
        <v/>
      </c>
      <c r="AC16" s="60" t="str">
        <f>IF(Tim!BG18="","",1)</f>
        <v/>
      </c>
      <c r="AD16" s="60" t="str">
        <f>IF(Tim!BH18="","",1)</f>
        <v/>
      </c>
      <c r="AE16" s="60" t="str">
        <f>IF(Tim!BI18="","",1)</f>
        <v/>
      </c>
      <c r="AF16" s="60" t="str">
        <f>IF(Tim!BJ18="","",1)</f>
        <v/>
      </c>
      <c r="AG16" s="60" t="str">
        <f>IF(Tim!BK18="","",1)</f>
        <v/>
      </c>
      <c r="AH16" s="60" t="str">
        <f>IF(Tim!BL18="","",1)</f>
        <v/>
      </c>
      <c r="AI16" s="60" t="str">
        <f>IF(Tim!BM18="","",1)</f>
        <v/>
      </c>
      <c r="AJ16" s="56">
        <f>IF(Tim!CQ18="","",1)</f>
        <v>1</v>
      </c>
      <c r="AK16" s="60">
        <f>IF(Tim!CR18="","",1)</f>
        <v>1</v>
      </c>
      <c r="AL16" s="60" t="str">
        <f>IF(Tim!CS18="","",1)</f>
        <v/>
      </c>
      <c r="AM16" s="60" t="str">
        <f>IF(Tim!CT18="","",1)</f>
        <v/>
      </c>
      <c r="AN16" s="60" t="str">
        <f>IF(Tim!CU18="","",1)</f>
        <v/>
      </c>
      <c r="AO16" s="60" t="str">
        <f>IF(Tim!CV18="","",1)</f>
        <v/>
      </c>
      <c r="AP16" s="60" t="str">
        <f>IF(Tim!CW18="","",1)</f>
        <v/>
      </c>
      <c r="AQ16" s="60" t="str">
        <f>IF(Tim!CX18="","",1)</f>
        <v/>
      </c>
      <c r="AR16" s="60" t="str">
        <f>IF(Tim!CY18="","",1)</f>
        <v/>
      </c>
      <c r="AS16" s="60" t="str">
        <f>IF(Tim!CZ18="","",1)</f>
        <v/>
      </c>
      <c r="AT16" s="60" t="str">
        <f>IF(Tim!DA18="","",1)</f>
        <v/>
      </c>
      <c r="AU16" s="60" t="str">
        <f>IF(Tim!DB18="","",1)</f>
        <v/>
      </c>
      <c r="AV16" s="60" t="str">
        <f>IF(Tim!DC18="","",1)</f>
        <v/>
      </c>
      <c r="AW16" s="60" t="str">
        <f>IF(Tim!DD18="","",1)</f>
        <v/>
      </c>
      <c r="AX16" s="60" t="str">
        <f>IF(Tim!DE18="","",1)</f>
        <v/>
      </c>
      <c r="AY16" s="56">
        <f>IF(Tim!EL18="","",1)</f>
        <v>1</v>
      </c>
      <c r="AZ16" s="60" t="str">
        <f>IF(Tim!EM18="","",1)</f>
        <v/>
      </c>
      <c r="BA16" s="60" t="str">
        <f>IF(Tim!EN18="","",1)</f>
        <v/>
      </c>
      <c r="BB16" s="60" t="str">
        <f>IF(Tim!EO18="","",1)</f>
        <v/>
      </c>
      <c r="BC16" s="60" t="str">
        <f>IF(Tim!EP18="","",1)</f>
        <v/>
      </c>
      <c r="BD16" s="60" t="str">
        <f>IF(Tim!EQ18="","",1)</f>
        <v/>
      </c>
      <c r="BE16" s="60" t="str">
        <f>IF(Tim!ER18="","",1)</f>
        <v/>
      </c>
      <c r="BF16" s="60" t="str">
        <f>IF(Tim!ES18="","",1)</f>
        <v/>
      </c>
      <c r="BG16" s="60" t="str">
        <f>IF(Tim!ET18="","",1)</f>
        <v/>
      </c>
      <c r="BH16" s="60" t="str">
        <f>IF(Tim!EU18="","",1)</f>
        <v/>
      </c>
      <c r="BI16" s="60" t="str">
        <f>IF(Tim!EV18="","",1)</f>
        <v/>
      </c>
      <c r="BJ16" s="60" t="str">
        <f>IF(Tim!EW18="","",1)</f>
        <v/>
      </c>
      <c r="BK16" s="60" t="str">
        <f>IF(Tim!EX18="","",1)</f>
        <v/>
      </c>
      <c r="BL16" s="60" t="str">
        <f>IF(Tim!EY18="","",1)</f>
        <v/>
      </c>
      <c r="BM16" s="60" t="str">
        <f>IF(Tim!EZ18="","",1)</f>
        <v/>
      </c>
      <c r="BN16" s="56">
        <f>IF(Tim!GD18="","",1)</f>
        <v>1</v>
      </c>
      <c r="BO16" s="60" t="str">
        <f>IF(Tim!GE18="","",1)</f>
        <v/>
      </c>
      <c r="BP16" s="60" t="str">
        <f>IF(Tim!GF18="","",1)</f>
        <v/>
      </c>
      <c r="BQ16" s="60" t="str">
        <f>IF(Tim!GG18="","",1)</f>
        <v/>
      </c>
      <c r="BR16" s="60" t="str">
        <f>IF(Tim!GH18="","",1)</f>
        <v/>
      </c>
      <c r="BS16" s="60" t="str">
        <f>IF(Tim!GI18="","",1)</f>
        <v/>
      </c>
      <c r="BT16" s="60" t="str">
        <f>IF(Tim!GJ18="","",1)</f>
        <v/>
      </c>
      <c r="BU16" s="60" t="str">
        <f>IF(Tim!GK18="","",1)</f>
        <v/>
      </c>
      <c r="BV16" s="60" t="str">
        <f>IF(Tim!GL18="","",1)</f>
        <v/>
      </c>
      <c r="BW16" s="60" t="str">
        <f>IF(Tim!GM18="","",1)</f>
        <v/>
      </c>
      <c r="BX16" s="60">
        <f>IF(Tim!GN18="","",1)</f>
        <v>1</v>
      </c>
      <c r="BY16" s="60" t="str">
        <f>IF(Tim!GO18="","",1)</f>
        <v/>
      </c>
      <c r="BZ16" s="60" t="str">
        <f>IF(Tim!GP18="","",1)</f>
        <v/>
      </c>
      <c r="CA16" s="60" t="str">
        <f>IF(Tim!GQ18="","",1)</f>
        <v/>
      </c>
      <c r="CB16" s="60" t="str">
        <f>IF(Tim!GR18="","",1)</f>
        <v/>
      </c>
      <c r="CC16" s="56">
        <f>IF(Tim!HV18="","",1)</f>
        <v>1</v>
      </c>
      <c r="CD16" s="53" t="str">
        <f>IF(Tim!HW18="","",1)</f>
        <v/>
      </c>
      <c r="CE16" s="53" t="str">
        <f>IF(Tim!HX18="","",1)</f>
        <v/>
      </c>
      <c r="CF16" s="53" t="str">
        <f>IF(Tim!HY18="","",1)</f>
        <v/>
      </c>
      <c r="CG16" s="53" t="str">
        <f>IF(Tim!HZ18="","",1)</f>
        <v/>
      </c>
      <c r="CH16" s="53" t="str">
        <f>IF(Tim!IA18="","",1)</f>
        <v/>
      </c>
      <c r="CI16" s="53" t="str">
        <f>IF(Tim!IB18="","",1)</f>
        <v/>
      </c>
      <c r="CJ16" s="53" t="str">
        <f>IF(Tim!IC18="","",1)</f>
        <v/>
      </c>
      <c r="CK16" s="53" t="str">
        <f>IF(Tim!ID18="","",1)</f>
        <v/>
      </c>
      <c r="CL16" s="53" t="str">
        <f>IF(Tim!IE18="","",1)</f>
        <v/>
      </c>
      <c r="CM16" s="53" t="str">
        <f>IF(Tim!IF18="","",1)</f>
        <v/>
      </c>
      <c r="CN16" s="53" t="str">
        <f>IF(Tim!IG18="","",1)</f>
        <v/>
      </c>
      <c r="CO16" s="53" t="str">
        <f>IF(Tim!IH18="","",1)</f>
        <v/>
      </c>
      <c r="CP16" s="53" t="str">
        <f>IF(Tim!II18="","",1)</f>
        <v/>
      </c>
      <c r="CQ16" s="54" t="str">
        <f>IF(Tim!IJ18="","",1)</f>
        <v/>
      </c>
      <c r="CR16" s="56">
        <f>IF(Tim!JN18="","",1)</f>
        <v>1</v>
      </c>
      <c r="CS16" s="53" t="str">
        <f>IF(Tim!JO18="","",1)</f>
        <v/>
      </c>
      <c r="CT16" s="53" t="str">
        <f>IF(Tim!JP18="","",1)</f>
        <v/>
      </c>
      <c r="CU16" s="53" t="str">
        <f>IF(Tim!JQ18="","",1)</f>
        <v/>
      </c>
      <c r="CV16" s="53" t="str">
        <f>IF(Tim!JR18="","",1)</f>
        <v/>
      </c>
      <c r="CW16" s="53" t="str">
        <f>IF(Tim!JS18="","",1)</f>
        <v/>
      </c>
      <c r="CX16" s="53" t="str">
        <f>IF(Tim!JT18="","",1)</f>
        <v/>
      </c>
      <c r="CY16" s="53" t="str">
        <f>IF(Tim!JU18="","",1)</f>
        <v/>
      </c>
      <c r="CZ16" s="53" t="str">
        <f>IF(Tim!JV18="","",1)</f>
        <v/>
      </c>
      <c r="DA16" s="53" t="str">
        <f>IF(Tim!JW18="","",1)</f>
        <v/>
      </c>
      <c r="DB16" s="53" t="str">
        <f>IF(Tim!JX18="","",1)</f>
        <v/>
      </c>
      <c r="DC16" s="53" t="str">
        <f>IF(Tim!JY18="","",1)</f>
        <v/>
      </c>
      <c r="DD16" s="53" t="str">
        <f>IF(Tim!JZ18="","",1)</f>
        <v/>
      </c>
      <c r="DE16" s="53" t="str">
        <f>IF(Tim!KA18="","",1)</f>
        <v/>
      </c>
      <c r="DF16" s="55" t="str">
        <f>IF(Tim!KB18="","",1)</f>
        <v/>
      </c>
      <c r="DG16" s="52">
        <v>0.40625</v>
      </c>
    </row>
    <row r="17" spans="2:111" ht="10.5" customHeight="1">
      <c r="B17" s="51">
        <v>0.25</v>
      </c>
      <c r="C17" s="51">
        <v>0.25</v>
      </c>
      <c r="D17" s="51">
        <v>0.25</v>
      </c>
      <c r="E17" s="172">
        <v>0.41666666666666702</v>
      </c>
      <c r="F17" s="56">
        <f>IF(Tim!F19="","",1)</f>
        <v>1</v>
      </c>
      <c r="G17" s="60" t="str">
        <f>IF(Tim!G19="","",1)</f>
        <v/>
      </c>
      <c r="H17" s="60" t="str">
        <f>IF(Tim!H19="","",1)</f>
        <v/>
      </c>
      <c r="I17" s="60" t="str">
        <f>IF(Tim!I19="","",1)</f>
        <v/>
      </c>
      <c r="J17" s="60" t="str">
        <f>IF(Tim!J19="","",1)</f>
        <v/>
      </c>
      <c r="K17" s="60" t="str">
        <f>IF(Tim!K19="","",1)</f>
        <v/>
      </c>
      <c r="L17" s="60" t="str">
        <f>IF(Tim!L19="","",1)</f>
        <v/>
      </c>
      <c r="M17" s="60" t="str">
        <f>IF(Tim!M19="","",1)</f>
        <v/>
      </c>
      <c r="N17" s="60" t="str">
        <f>IF(Tim!N19="","",1)</f>
        <v/>
      </c>
      <c r="O17" s="60" t="str">
        <f>IF(Tim!O19="","",1)</f>
        <v/>
      </c>
      <c r="P17" s="60" t="str">
        <f>IF(Tim!P19="","",1)</f>
        <v/>
      </c>
      <c r="Q17" s="60" t="str">
        <f>IF(Tim!Q19="","",1)</f>
        <v/>
      </c>
      <c r="R17" s="60" t="str">
        <f>IF(Tim!R19="","",1)</f>
        <v/>
      </c>
      <c r="S17" s="60" t="str">
        <f>IF(Tim!S19="","",1)</f>
        <v/>
      </c>
      <c r="T17" s="60" t="str">
        <f>IF(Tim!T19="","",1)</f>
        <v/>
      </c>
      <c r="U17" s="56">
        <f>IF(Tim!AY19="","",1)</f>
        <v>1</v>
      </c>
      <c r="V17" s="60" t="str">
        <f>IF(Tim!AZ19="","",1)</f>
        <v/>
      </c>
      <c r="W17" s="60" t="str">
        <f>IF(Tim!BA19="","",1)</f>
        <v/>
      </c>
      <c r="X17" s="60" t="str">
        <f>IF(Tim!BB19="","",1)</f>
        <v/>
      </c>
      <c r="Y17" s="60" t="str">
        <f>IF(Tim!BC19="","",1)</f>
        <v/>
      </c>
      <c r="Z17" s="60" t="str">
        <f>IF(Tim!BD19="","",1)</f>
        <v/>
      </c>
      <c r="AA17" s="60" t="str">
        <f>IF(Tim!BE19="","",1)</f>
        <v/>
      </c>
      <c r="AB17" s="60" t="str">
        <f>IF(Tim!BF19="","",1)</f>
        <v/>
      </c>
      <c r="AC17" s="60" t="str">
        <f>IF(Tim!BG19="","",1)</f>
        <v/>
      </c>
      <c r="AD17" s="60" t="str">
        <f>IF(Tim!BH19="","",1)</f>
        <v/>
      </c>
      <c r="AE17" s="60" t="str">
        <f>IF(Tim!BI19="","",1)</f>
        <v/>
      </c>
      <c r="AF17" s="60" t="str">
        <f>IF(Tim!BJ19="","",1)</f>
        <v/>
      </c>
      <c r="AG17" s="60" t="str">
        <f>IF(Tim!BK19="","",1)</f>
        <v/>
      </c>
      <c r="AH17" s="60" t="str">
        <f>IF(Tim!BL19="","",1)</f>
        <v/>
      </c>
      <c r="AI17" s="60" t="str">
        <f>IF(Tim!BM19="","",1)</f>
        <v/>
      </c>
      <c r="AJ17" s="56">
        <f>IF(Tim!CQ19="","",1)</f>
        <v>1</v>
      </c>
      <c r="AK17" s="60">
        <f>IF(Tim!CR19="","",1)</f>
        <v>1</v>
      </c>
      <c r="AL17" s="60" t="str">
        <f>IF(Tim!CS19="","",1)</f>
        <v/>
      </c>
      <c r="AM17" s="60" t="str">
        <f>IF(Tim!CT19="","",1)</f>
        <v/>
      </c>
      <c r="AN17" s="60" t="str">
        <f>IF(Tim!CU19="","",1)</f>
        <v/>
      </c>
      <c r="AO17" s="60" t="str">
        <f>IF(Tim!CV19="","",1)</f>
        <v/>
      </c>
      <c r="AP17" s="60" t="str">
        <f>IF(Tim!CW19="","",1)</f>
        <v/>
      </c>
      <c r="AQ17" s="60" t="str">
        <f>IF(Tim!CX19="","",1)</f>
        <v/>
      </c>
      <c r="AR17" s="60" t="str">
        <f>IF(Tim!CY19="","",1)</f>
        <v/>
      </c>
      <c r="AS17" s="60" t="str">
        <f>IF(Tim!CZ19="","",1)</f>
        <v/>
      </c>
      <c r="AT17" s="60" t="str">
        <f>IF(Tim!DA19="","",1)</f>
        <v/>
      </c>
      <c r="AU17" s="60" t="str">
        <f>IF(Tim!DB19="","",1)</f>
        <v/>
      </c>
      <c r="AV17" s="60" t="str">
        <f>IF(Tim!DC19="","",1)</f>
        <v/>
      </c>
      <c r="AW17" s="60" t="str">
        <f>IF(Tim!DD19="","",1)</f>
        <v/>
      </c>
      <c r="AX17" s="60" t="str">
        <f>IF(Tim!DE19="","",1)</f>
        <v/>
      </c>
      <c r="AY17" s="56">
        <f>IF(Tim!EL19="","",1)</f>
        <v>1</v>
      </c>
      <c r="AZ17" s="60" t="str">
        <f>IF(Tim!EM19="","",1)</f>
        <v/>
      </c>
      <c r="BA17" s="60" t="str">
        <f>IF(Tim!EN19="","",1)</f>
        <v/>
      </c>
      <c r="BB17" s="60" t="str">
        <f>IF(Tim!EO19="","",1)</f>
        <v/>
      </c>
      <c r="BC17" s="60" t="str">
        <f>IF(Tim!EP19="","",1)</f>
        <v/>
      </c>
      <c r="BD17" s="60" t="str">
        <f>IF(Tim!EQ19="","",1)</f>
        <v/>
      </c>
      <c r="BE17" s="60" t="str">
        <f>IF(Tim!ER19="","",1)</f>
        <v/>
      </c>
      <c r="BF17" s="60" t="str">
        <f>IF(Tim!ES19="","",1)</f>
        <v/>
      </c>
      <c r="BG17" s="60" t="str">
        <f>IF(Tim!ET19="","",1)</f>
        <v/>
      </c>
      <c r="BH17" s="60" t="str">
        <f>IF(Tim!EU19="","",1)</f>
        <v/>
      </c>
      <c r="BI17" s="60" t="str">
        <f>IF(Tim!EV19="","",1)</f>
        <v/>
      </c>
      <c r="BJ17" s="60" t="str">
        <f>IF(Tim!EW19="","",1)</f>
        <v/>
      </c>
      <c r="BK17" s="60" t="str">
        <f>IF(Tim!EX19="","",1)</f>
        <v/>
      </c>
      <c r="BL17" s="60" t="str">
        <f>IF(Tim!EY19="","",1)</f>
        <v/>
      </c>
      <c r="BM17" s="60" t="str">
        <f>IF(Tim!EZ19="","",1)</f>
        <v/>
      </c>
      <c r="BN17" s="56">
        <f>IF(Tim!GD19="","",1)</f>
        <v>1</v>
      </c>
      <c r="BO17" s="60" t="str">
        <f>IF(Tim!GE19="","",1)</f>
        <v/>
      </c>
      <c r="BP17" s="60" t="str">
        <f>IF(Tim!GF19="","",1)</f>
        <v/>
      </c>
      <c r="BQ17" s="60" t="str">
        <f>IF(Tim!GG19="","",1)</f>
        <v/>
      </c>
      <c r="BR17" s="60" t="str">
        <f>IF(Tim!GH19="","",1)</f>
        <v/>
      </c>
      <c r="BS17" s="60" t="str">
        <f>IF(Tim!GI19="","",1)</f>
        <v/>
      </c>
      <c r="BT17" s="60" t="str">
        <f>IF(Tim!GJ19="","",1)</f>
        <v/>
      </c>
      <c r="BU17" s="60" t="str">
        <f>IF(Tim!GK19="","",1)</f>
        <v/>
      </c>
      <c r="BV17" s="60" t="str">
        <f>IF(Tim!GL19="","",1)</f>
        <v/>
      </c>
      <c r="BW17" s="60" t="str">
        <f>IF(Tim!GM19="","",1)</f>
        <v/>
      </c>
      <c r="BX17" s="60">
        <f>IF(Tim!GN19="","",1)</f>
        <v>1</v>
      </c>
      <c r="BY17" s="60" t="str">
        <f>IF(Tim!GO19="","",1)</f>
        <v/>
      </c>
      <c r="BZ17" s="60" t="str">
        <f>IF(Tim!GP19="","",1)</f>
        <v/>
      </c>
      <c r="CA17" s="60" t="str">
        <f>IF(Tim!GQ19="","",1)</f>
        <v/>
      </c>
      <c r="CB17" s="60" t="str">
        <f>IF(Tim!GR19="","",1)</f>
        <v/>
      </c>
      <c r="CC17" s="56">
        <f>IF(Tim!HV19="","",1)</f>
        <v>1</v>
      </c>
      <c r="CD17" s="53" t="str">
        <f>IF(Tim!HW19="","",1)</f>
        <v/>
      </c>
      <c r="CE17" s="53" t="str">
        <f>IF(Tim!HX19="","",1)</f>
        <v/>
      </c>
      <c r="CF17" s="53" t="str">
        <f>IF(Tim!HY19="","",1)</f>
        <v/>
      </c>
      <c r="CG17" s="53" t="str">
        <f>IF(Tim!HZ19="","",1)</f>
        <v/>
      </c>
      <c r="CH17" s="53" t="str">
        <f>IF(Tim!IA19="","",1)</f>
        <v/>
      </c>
      <c r="CI17" s="53" t="str">
        <f>IF(Tim!IB19="","",1)</f>
        <v/>
      </c>
      <c r="CJ17" s="53" t="str">
        <f>IF(Tim!IC19="","",1)</f>
        <v/>
      </c>
      <c r="CK17" s="53" t="str">
        <f>IF(Tim!ID19="","",1)</f>
        <v/>
      </c>
      <c r="CL17" s="53" t="str">
        <f>IF(Tim!IE19="","",1)</f>
        <v/>
      </c>
      <c r="CM17" s="53" t="str">
        <f>IF(Tim!IF19="","",1)</f>
        <v/>
      </c>
      <c r="CN17" s="53" t="str">
        <f>IF(Tim!IG19="","",1)</f>
        <v/>
      </c>
      <c r="CO17" s="53" t="str">
        <f>IF(Tim!IH19="","",1)</f>
        <v/>
      </c>
      <c r="CP17" s="53" t="str">
        <f>IF(Tim!II19="","",1)</f>
        <v/>
      </c>
      <c r="CQ17" s="54" t="str">
        <f>IF(Tim!IJ19="","",1)</f>
        <v/>
      </c>
      <c r="CR17" s="56">
        <f>IF(Tim!JN19="","",1)</f>
        <v>1</v>
      </c>
      <c r="CS17" s="53" t="str">
        <f>IF(Tim!JO19="","",1)</f>
        <v/>
      </c>
      <c r="CT17" s="53" t="str">
        <f>IF(Tim!JP19="","",1)</f>
        <v/>
      </c>
      <c r="CU17" s="53" t="str">
        <f>IF(Tim!JQ19="","",1)</f>
        <v/>
      </c>
      <c r="CV17" s="53" t="str">
        <f>IF(Tim!JR19="","",1)</f>
        <v/>
      </c>
      <c r="CW17" s="53" t="str">
        <f>IF(Tim!JS19="","",1)</f>
        <v/>
      </c>
      <c r="CX17" s="53" t="str">
        <f>IF(Tim!JT19="","",1)</f>
        <v/>
      </c>
      <c r="CY17" s="53" t="str">
        <f>IF(Tim!JU19="","",1)</f>
        <v/>
      </c>
      <c r="CZ17" s="53" t="str">
        <f>IF(Tim!JV19="","",1)</f>
        <v/>
      </c>
      <c r="DA17" s="53" t="str">
        <f>IF(Tim!JW19="","",1)</f>
        <v/>
      </c>
      <c r="DB17" s="53" t="str">
        <f>IF(Tim!JX19="","",1)</f>
        <v/>
      </c>
      <c r="DC17" s="53" t="str">
        <f>IF(Tim!JY19="","",1)</f>
        <v/>
      </c>
      <c r="DD17" s="53" t="str">
        <f>IF(Tim!JZ19="","",1)</f>
        <v/>
      </c>
      <c r="DE17" s="53" t="str">
        <f>IF(Tim!KA19="","",1)</f>
        <v/>
      </c>
      <c r="DF17" s="55" t="str">
        <f>IF(Tim!KB19="","",1)</f>
        <v/>
      </c>
      <c r="DG17" s="52">
        <v>0.41666666666666702</v>
      </c>
    </row>
    <row r="18" spans="2:111" ht="10.5" customHeight="1">
      <c r="B18" s="51">
        <v>0.25</v>
      </c>
      <c r="C18" s="51">
        <v>0.25</v>
      </c>
      <c r="D18" s="51">
        <v>0.25</v>
      </c>
      <c r="E18" s="172">
        <v>0.42708333333333298</v>
      </c>
      <c r="F18" s="56">
        <f>IF(Tim!F20="","",1)</f>
        <v>1</v>
      </c>
      <c r="G18" s="60" t="str">
        <f>IF(Tim!G20="","",1)</f>
        <v/>
      </c>
      <c r="H18" s="60" t="str">
        <f>IF(Tim!H20="","",1)</f>
        <v/>
      </c>
      <c r="I18" s="60" t="str">
        <f>IF(Tim!I20="","",1)</f>
        <v/>
      </c>
      <c r="J18" s="60" t="str">
        <f>IF(Tim!J20="","",1)</f>
        <v/>
      </c>
      <c r="K18" s="60" t="str">
        <f>IF(Tim!K20="","",1)</f>
        <v/>
      </c>
      <c r="L18" s="60" t="str">
        <f>IF(Tim!L20="","",1)</f>
        <v/>
      </c>
      <c r="M18" s="60" t="str">
        <f>IF(Tim!M20="","",1)</f>
        <v/>
      </c>
      <c r="N18" s="60" t="str">
        <f>IF(Tim!N20="","",1)</f>
        <v/>
      </c>
      <c r="O18" s="60" t="str">
        <f>IF(Tim!O20="","",1)</f>
        <v/>
      </c>
      <c r="P18" s="60" t="str">
        <f>IF(Tim!P20="","",1)</f>
        <v/>
      </c>
      <c r="Q18" s="60" t="str">
        <f>IF(Tim!Q20="","",1)</f>
        <v/>
      </c>
      <c r="R18" s="60" t="str">
        <f>IF(Tim!R20="","",1)</f>
        <v/>
      </c>
      <c r="S18" s="60" t="str">
        <f>IF(Tim!S20="","",1)</f>
        <v/>
      </c>
      <c r="T18" s="60" t="str">
        <f>IF(Tim!T20="","",1)</f>
        <v/>
      </c>
      <c r="U18" s="56">
        <f>IF(Tim!AY20="","",1)</f>
        <v>1</v>
      </c>
      <c r="V18" s="60" t="str">
        <f>IF(Tim!AZ20="","",1)</f>
        <v/>
      </c>
      <c r="W18" s="60" t="str">
        <f>IF(Tim!BA20="","",1)</f>
        <v/>
      </c>
      <c r="X18" s="60" t="str">
        <f>IF(Tim!BB20="","",1)</f>
        <v/>
      </c>
      <c r="Y18" s="60" t="str">
        <f>IF(Tim!BC20="","",1)</f>
        <v/>
      </c>
      <c r="Z18" s="60" t="str">
        <f>IF(Tim!BD20="","",1)</f>
        <v/>
      </c>
      <c r="AA18" s="60" t="str">
        <f>IF(Tim!BE20="","",1)</f>
        <v/>
      </c>
      <c r="AB18" s="60" t="str">
        <f>IF(Tim!BF20="","",1)</f>
        <v/>
      </c>
      <c r="AC18" s="60" t="str">
        <f>IF(Tim!BG20="","",1)</f>
        <v/>
      </c>
      <c r="AD18" s="60" t="str">
        <f>IF(Tim!BH20="","",1)</f>
        <v/>
      </c>
      <c r="AE18" s="60" t="str">
        <f>IF(Tim!BI20="","",1)</f>
        <v/>
      </c>
      <c r="AF18" s="60" t="str">
        <f>IF(Tim!BJ20="","",1)</f>
        <v/>
      </c>
      <c r="AG18" s="60" t="str">
        <f>IF(Tim!BK20="","",1)</f>
        <v/>
      </c>
      <c r="AH18" s="60" t="str">
        <f>IF(Tim!BL20="","",1)</f>
        <v/>
      </c>
      <c r="AI18" s="60" t="str">
        <f>IF(Tim!BM20="","",1)</f>
        <v/>
      </c>
      <c r="AJ18" s="56">
        <f>IF(Tim!CQ20="","",1)</f>
        <v>1</v>
      </c>
      <c r="AK18" s="60" t="str">
        <f>IF(Tim!CR20="","",1)</f>
        <v/>
      </c>
      <c r="AL18" s="60" t="str">
        <f>IF(Tim!CS20="","",1)</f>
        <v/>
      </c>
      <c r="AM18" s="60" t="str">
        <f>IF(Tim!CT20="","",1)</f>
        <v/>
      </c>
      <c r="AN18" s="60" t="str">
        <f>IF(Tim!CU20="","",1)</f>
        <v/>
      </c>
      <c r="AO18" s="60" t="str">
        <f>IF(Tim!CV20="","",1)</f>
        <v/>
      </c>
      <c r="AP18" s="60" t="str">
        <f>IF(Tim!CW20="","",1)</f>
        <v/>
      </c>
      <c r="AQ18" s="60" t="str">
        <f>IF(Tim!CX20="","",1)</f>
        <v/>
      </c>
      <c r="AR18" s="60" t="str">
        <f>IF(Tim!CY20="","",1)</f>
        <v/>
      </c>
      <c r="AS18" s="60" t="str">
        <f>IF(Tim!CZ20="","",1)</f>
        <v/>
      </c>
      <c r="AT18" s="60" t="str">
        <f>IF(Tim!DA20="","",1)</f>
        <v/>
      </c>
      <c r="AU18" s="60" t="str">
        <f>IF(Tim!DB20="","",1)</f>
        <v/>
      </c>
      <c r="AV18" s="60" t="str">
        <f>IF(Tim!DC20="","",1)</f>
        <v/>
      </c>
      <c r="AW18" s="60" t="str">
        <f>IF(Tim!DD20="","",1)</f>
        <v/>
      </c>
      <c r="AX18" s="60" t="str">
        <f>IF(Tim!DE20="","",1)</f>
        <v/>
      </c>
      <c r="AY18" s="56">
        <f>IF(Tim!EL20="","",1)</f>
        <v>1</v>
      </c>
      <c r="AZ18" s="60" t="str">
        <f>IF(Tim!EM20="","",1)</f>
        <v/>
      </c>
      <c r="BA18" s="60" t="str">
        <f>IF(Tim!EN20="","",1)</f>
        <v/>
      </c>
      <c r="BB18" s="60" t="str">
        <f>IF(Tim!EO20="","",1)</f>
        <v/>
      </c>
      <c r="BC18" s="60" t="str">
        <f>IF(Tim!EP20="","",1)</f>
        <v/>
      </c>
      <c r="BD18" s="60" t="str">
        <f>IF(Tim!EQ20="","",1)</f>
        <v/>
      </c>
      <c r="BE18" s="60" t="str">
        <f>IF(Tim!ER20="","",1)</f>
        <v/>
      </c>
      <c r="BF18" s="60" t="str">
        <f>IF(Tim!ES20="","",1)</f>
        <v/>
      </c>
      <c r="BG18" s="60" t="str">
        <f>IF(Tim!ET20="","",1)</f>
        <v/>
      </c>
      <c r="BH18" s="60" t="str">
        <f>IF(Tim!EU20="","",1)</f>
        <v/>
      </c>
      <c r="BI18" s="60" t="str">
        <f>IF(Tim!EV20="","",1)</f>
        <v/>
      </c>
      <c r="BJ18" s="60" t="str">
        <f>IF(Tim!EW20="","",1)</f>
        <v/>
      </c>
      <c r="BK18" s="60" t="str">
        <f>IF(Tim!EX20="","",1)</f>
        <v/>
      </c>
      <c r="BL18" s="60" t="str">
        <f>IF(Tim!EY20="","",1)</f>
        <v/>
      </c>
      <c r="BM18" s="60" t="str">
        <f>IF(Tim!EZ20="","",1)</f>
        <v/>
      </c>
      <c r="BN18" s="56">
        <f>IF(Tim!GD20="","",1)</f>
        <v>1</v>
      </c>
      <c r="BO18" s="60" t="str">
        <f>IF(Tim!GE20="","",1)</f>
        <v/>
      </c>
      <c r="BP18" s="60" t="str">
        <f>IF(Tim!GF20="","",1)</f>
        <v/>
      </c>
      <c r="BQ18" s="60" t="str">
        <f>IF(Tim!GG20="","",1)</f>
        <v/>
      </c>
      <c r="BR18" s="60" t="str">
        <f>IF(Tim!GH20="","",1)</f>
        <v/>
      </c>
      <c r="BS18" s="60" t="str">
        <f>IF(Tim!GI20="","",1)</f>
        <v/>
      </c>
      <c r="BT18" s="60" t="str">
        <f>IF(Tim!GJ20="","",1)</f>
        <v/>
      </c>
      <c r="BU18" s="60" t="str">
        <f>IF(Tim!GK20="","",1)</f>
        <v/>
      </c>
      <c r="BV18" s="60" t="str">
        <f>IF(Tim!GL20="","",1)</f>
        <v/>
      </c>
      <c r="BW18" s="60" t="str">
        <f>IF(Tim!GM20="","",1)</f>
        <v/>
      </c>
      <c r="BX18" s="60">
        <f>IF(Tim!GN20="","",1)</f>
        <v>1</v>
      </c>
      <c r="BY18" s="60" t="str">
        <f>IF(Tim!GO20="","",1)</f>
        <v/>
      </c>
      <c r="BZ18" s="60" t="str">
        <f>IF(Tim!GP20="","",1)</f>
        <v/>
      </c>
      <c r="CA18" s="60" t="str">
        <f>IF(Tim!GQ20="","",1)</f>
        <v/>
      </c>
      <c r="CB18" s="60" t="str">
        <f>IF(Tim!GR20="","",1)</f>
        <v/>
      </c>
      <c r="CC18" s="56">
        <f>IF(Tim!HV20="","",1)</f>
        <v>1</v>
      </c>
      <c r="CD18" s="53" t="str">
        <f>IF(Tim!HW20="","",1)</f>
        <v/>
      </c>
      <c r="CE18" s="53" t="str">
        <f>IF(Tim!HX20="","",1)</f>
        <v/>
      </c>
      <c r="CF18" s="53" t="str">
        <f>IF(Tim!HY20="","",1)</f>
        <v/>
      </c>
      <c r="CG18" s="53" t="str">
        <f>IF(Tim!HZ20="","",1)</f>
        <v/>
      </c>
      <c r="CH18" s="53" t="str">
        <f>IF(Tim!IA20="","",1)</f>
        <v/>
      </c>
      <c r="CI18" s="53" t="str">
        <f>IF(Tim!IB20="","",1)</f>
        <v/>
      </c>
      <c r="CJ18" s="53" t="str">
        <f>IF(Tim!IC20="","",1)</f>
        <v/>
      </c>
      <c r="CK18" s="53" t="str">
        <f>IF(Tim!ID20="","",1)</f>
        <v/>
      </c>
      <c r="CL18" s="53" t="str">
        <f>IF(Tim!IE20="","",1)</f>
        <v/>
      </c>
      <c r="CM18" s="53" t="str">
        <f>IF(Tim!IF20="","",1)</f>
        <v/>
      </c>
      <c r="CN18" s="53" t="str">
        <f>IF(Tim!IG20="","",1)</f>
        <v/>
      </c>
      <c r="CO18" s="53" t="str">
        <f>IF(Tim!IH20="","",1)</f>
        <v/>
      </c>
      <c r="CP18" s="53" t="str">
        <f>IF(Tim!II20="","",1)</f>
        <v/>
      </c>
      <c r="CQ18" s="54" t="str">
        <f>IF(Tim!IJ20="","",1)</f>
        <v/>
      </c>
      <c r="CR18" s="56">
        <f>IF(Tim!JN20="","",1)</f>
        <v>1</v>
      </c>
      <c r="CS18" s="53" t="str">
        <f>IF(Tim!JO20="","",1)</f>
        <v/>
      </c>
      <c r="CT18" s="53" t="str">
        <f>IF(Tim!JP20="","",1)</f>
        <v/>
      </c>
      <c r="CU18" s="53" t="str">
        <f>IF(Tim!JQ20="","",1)</f>
        <v/>
      </c>
      <c r="CV18" s="53" t="str">
        <f>IF(Tim!JR20="","",1)</f>
        <v/>
      </c>
      <c r="CW18" s="53" t="str">
        <f>IF(Tim!JS20="","",1)</f>
        <v/>
      </c>
      <c r="CX18" s="53" t="str">
        <f>IF(Tim!JT20="","",1)</f>
        <v/>
      </c>
      <c r="CY18" s="53" t="str">
        <f>IF(Tim!JU20="","",1)</f>
        <v/>
      </c>
      <c r="CZ18" s="53" t="str">
        <f>IF(Tim!JV20="","",1)</f>
        <v/>
      </c>
      <c r="DA18" s="53" t="str">
        <f>IF(Tim!JW20="","",1)</f>
        <v/>
      </c>
      <c r="DB18" s="53" t="str">
        <f>IF(Tim!JX20="","",1)</f>
        <v/>
      </c>
      <c r="DC18" s="53" t="str">
        <f>IF(Tim!JY20="","",1)</f>
        <v/>
      </c>
      <c r="DD18" s="53" t="str">
        <f>IF(Tim!JZ20="","",1)</f>
        <v/>
      </c>
      <c r="DE18" s="53" t="str">
        <f>IF(Tim!KA20="","",1)</f>
        <v/>
      </c>
      <c r="DF18" s="55" t="str">
        <f>IF(Tim!KB20="","",1)</f>
        <v/>
      </c>
      <c r="DG18" s="52">
        <v>0.42708333333333298</v>
      </c>
    </row>
    <row r="19" spans="2:111" ht="10.5" customHeight="1">
      <c r="B19" s="51">
        <v>0.25</v>
      </c>
      <c r="C19" s="51">
        <v>0.25</v>
      </c>
      <c r="D19" s="51">
        <v>0.25</v>
      </c>
      <c r="E19" s="172">
        <v>0.4375</v>
      </c>
      <c r="F19" s="56">
        <f>IF(Tim!F21="","",1)</f>
        <v>1</v>
      </c>
      <c r="G19" s="60" t="str">
        <f>IF(Tim!G21="","",1)</f>
        <v/>
      </c>
      <c r="H19" s="60" t="str">
        <f>IF(Tim!H21="","",1)</f>
        <v/>
      </c>
      <c r="I19" s="60" t="str">
        <f>IF(Tim!I21="","",1)</f>
        <v/>
      </c>
      <c r="J19" s="60" t="str">
        <f>IF(Tim!J21="","",1)</f>
        <v/>
      </c>
      <c r="K19" s="60" t="str">
        <f>IF(Tim!K21="","",1)</f>
        <v/>
      </c>
      <c r="L19" s="60" t="str">
        <f>IF(Tim!L21="","",1)</f>
        <v/>
      </c>
      <c r="M19" s="60" t="str">
        <f>IF(Tim!M21="","",1)</f>
        <v/>
      </c>
      <c r="N19" s="60" t="str">
        <f>IF(Tim!N21="","",1)</f>
        <v/>
      </c>
      <c r="O19" s="60" t="str">
        <f>IF(Tim!O21="","",1)</f>
        <v/>
      </c>
      <c r="P19" s="60" t="str">
        <f>IF(Tim!P21="","",1)</f>
        <v/>
      </c>
      <c r="Q19" s="60" t="str">
        <f>IF(Tim!Q21="","",1)</f>
        <v/>
      </c>
      <c r="R19" s="60" t="str">
        <f>IF(Tim!R21="","",1)</f>
        <v/>
      </c>
      <c r="S19" s="60" t="str">
        <f>IF(Tim!S21="","",1)</f>
        <v/>
      </c>
      <c r="T19" s="60" t="str">
        <f>IF(Tim!T21="","",1)</f>
        <v/>
      </c>
      <c r="U19" s="56">
        <f>IF(Tim!AY21="","",1)</f>
        <v>1</v>
      </c>
      <c r="V19" s="60" t="str">
        <f>IF(Tim!AZ21="","",1)</f>
        <v/>
      </c>
      <c r="W19" s="60" t="str">
        <f>IF(Tim!BA21="","",1)</f>
        <v/>
      </c>
      <c r="X19" s="60" t="str">
        <f>IF(Tim!BB21="","",1)</f>
        <v/>
      </c>
      <c r="Y19" s="60" t="str">
        <f>IF(Tim!BC21="","",1)</f>
        <v/>
      </c>
      <c r="Z19" s="60" t="str">
        <f>IF(Tim!BD21="","",1)</f>
        <v/>
      </c>
      <c r="AA19" s="60" t="str">
        <f>IF(Tim!BE21="","",1)</f>
        <v/>
      </c>
      <c r="AB19" s="60" t="str">
        <f>IF(Tim!BF21="","",1)</f>
        <v/>
      </c>
      <c r="AC19" s="60" t="str">
        <f>IF(Tim!BG21="","",1)</f>
        <v/>
      </c>
      <c r="AD19" s="60" t="str">
        <f>IF(Tim!BH21="","",1)</f>
        <v/>
      </c>
      <c r="AE19" s="60" t="str">
        <f>IF(Tim!BI21="","",1)</f>
        <v/>
      </c>
      <c r="AF19" s="60" t="str">
        <f>IF(Tim!BJ21="","",1)</f>
        <v/>
      </c>
      <c r="AG19" s="60" t="str">
        <f>IF(Tim!BK21="","",1)</f>
        <v/>
      </c>
      <c r="AH19" s="60" t="str">
        <f>IF(Tim!BL21="","",1)</f>
        <v/>
      </c>
      <c r="AI19" s="60" t="str">
        <f>IF(Tim!BM21="","",1)</f>
        <v/>
      </c>
      <c r="AJ19" s="56">
        <f>IF(Tim!CQ21="","",1)</f>
        <v>1</v>
      </c>
      <c r="AK19" s="60" t="str">
        <f>IF(Tim!CR21="","",1)</f>
        <v/>
      </c>
      <c r="AL19" s="60" t="str">
        <f>IF(Tim!CS21="","",1)</f>
        <v/>
      </c>
      <c r="AM19" s="60" t="str">
        <f>IF(Tim!CT21="","",1)</f>
        <v/>
      </c>
      <c r="AN19" s="60" t="str">
        <f>IF(Tim!CU21="","",1)</f>
        <v/>
      </c>
      <c r="AO19" s="60" t="str">
        <f>IF(Tim!CV21="","",1)</f>
        <v/>
      </c>
      <c r="AP19" s="60" t="str">
        <f>IF(Tim!CW21="","",1)</f>
        <v/>
      </c>
      <c r="AQ19" s="60" t="str">
        <f>IF(Tim!CX21="","",1)</f>
        <v/>
      </c>
      <c r="AR19" s="60" t="str">
        <f>IF(Tim!CY21="","",1)</f>
        <v/>
      </c>
      <c r="AS19" s="60" t="str">
        <f>IF(Tim!CZ21="","",1)</f>
        <v/>
      </c>
      <c r="AT19" s="60" t="str">
        <f>IF(Tim!DA21="","",1)</f>
        <v/>
      </c>
      <c r="AU19" s="60" t="str">
        <f>IF(Tim!DB21="","",1)</f>
        <v/>
      </c>
      <c r="AV19" s="60" t="str">
        <f>IF(Tim!DC21="","",1)</f>
        <v/>
      </c>
      <c r="AW19" s="60" t="str">
        <f>IF(Tim!DD21="","",1)</f>
        <v/>
      </c>
      <c r="AX19" s="60" t="str">
        <f>IF(Tim!DE21="","",1)</f>
        <v/>
      </c>
      <c r="AY19" s="56">
        <f>IF(Tim!EL21="","",1)</f>
        <v>1</v>
      </c>
      <c r="AZ19" s="60" t="str">
        <f>IF(Tim!EM21="","",1)</f>
        <v/>
      </c>
      <c r="BA19" s="60" t="str">
        <f>IF(Tim!EN21="","",1)</f>
        <v/>
      </c>
      <c r="BB19" s="60" t="str">
        <f>IF(Tim!EO21="","",1)</f>
        <v/>
      </c>
      <c r="BC19" s="60" t="str">
        <f>IF(Tim!EP21="","",1)</f>
        <v/>
      </c>
      <c r="BD19" s="60" t="str">
        <f>IF(Tim!EQ21="","",1)</f>
        <v/>
      </c>
      <c r="BE19" s="60" t="str">
        <f>IF(Tim!ER21="","",1)</f>
        <v/>
      </c>
      <c r="BF19" s="60" t="str">
        <f>IF(Tim!ES21="","",1)</f>
        <v/>
      </c>
      <c r="BG19" s="60" t="str">
        <f>IF(Tim!ET21="","",1)</f>
        <v/>
      </c>
      <c r="BH19" s="60" t="str">
        <f>IF(Tim!EU21="","",1)</f>
        <v/>
      </c>
      <c r="BI19" s="60" t="str">
        <f>IF(Tim!EV21="","",1)</f>
        <v/>
      </c>
      <c r="BJ19" s="60" t="str">
        <f>IF(Tim!EW21="","",1)</f>
        <v/>
      </c>
      <c r="BK19" s="60" t="str">
        <f>IF(Tim!EX21="","",1)</f>
        <v/>
      </c>
      <c r="BL19" s="60" t="str">
        <f>IF(Tim!EY21="","",1)</f>
        <v/>
      </c>
      <c r="BM19" s="60" t="str">
        <f>IF(Tim!EZ21="","",1)</f>
        <v/>
      </c>
      <c r="BN19" s="56">
        <f>IF(Tim!GD21="","",1)</f>
        <v>1</v>
      </c>
      <c r="BO19" s="60">
        <f>IF(Tim!GE21="","",1)</f>
        <v>1</v>
      </c>
      <c r="BP19" s="60" t="str">
        <f>IF(Tim!GF21="","",1)</f>
        <v/>
      </c>
      <c r="BQ19" s="60" t="str">
        <f>IF(Tim!GG21="","",1)</f>
        <v/>
      </c>
      <c r="BR19" s="60" t="str">
        <f>IF(Tim!GH21="","",1)</f>
        <v/>
      </c>
      <c r="BS19" s="60" t="str">
        <f>IF(Tim!GI21="","",1)</f>
        <v/>
      </c>
      <c r="BT19" s="60" t="str">
        <f>IF(Tim!GJ21="","",1)</f>
        <v/>
      </c>
      <c r="BU19" s="60" t="str">
        <f>IF(Tim!GK21="","",1)</f>
        <v/>
      </c>
      <c r="BV19" s="60" t="str">
        <f>IF(Tim!GL21="","",1)</f>
        <v/>
      </c>
      <c r="BW19" s="60" t="str">
        <f>IF(Tim!GM21="","",1)</f>
        <v/>
      </c>
      <c r="BX19" s="60" t="str">
        <f>IF(Tim!GN21="","",1)</f>
        <v/>
      </c>
      <c r="BY19" s="60" t="str">
        <f>IF(Tim!GO21="","",1)</f>
        <v/>
      </c>
      <c r="BZ19" s="60" t="str">
        <f>IF(Tim!GP21="","",1)</f>
        <v/>
      </c>
      <c r="CA19" s="60" t="str">
        <f>IF(Tim!GQ21="","",1)</f>
        <v/>
      </c>
      <c r="CB19" s="60" t="str">
        <f>IF(Tim!GR21="","",1)</f>
        <v/>
      </c>
      <c r="CC19" s="56">
        <f>IF(Tim!HV21="","",1)</f>
        <v>1</v>
      </c>
      <c r="CD19" s="53" t="str">
        <f>IF(Tim!HW21="","",1)</f>
        <v/>
      </c>
      <c r="CE19" s="53" t="str">
        <f>IF(Tim!HX21="","",1)</f>
        <v/>
      </c>
      <c r="CF19" s="53" t="str">
        <f>IF(Tim!HY21="","",1)</f>
        <v/>
      </c>
      <c r="CG19" s="53" t="str">
        <f>IF(Tim!HZ21="","",1)</f>
        <v/>
      </c>
      <c r="CH19" s="53" t="str">
        <f>IF(Tim!IA21="","",1)</f>
        <v/>
      </c>
      <c r="CI19" s="53" t="str">
        <f>IF(Tim!IB21="","",1)</f>
        <v/>
      </c>
      <c r="CJ19" s="53" t="str">
        <f>IF(Tim!IC21="","",1)</f>
        <v/>
      </c>
      <c r="CK19" s="53" t="str">
        <f>IF(Tim!ID21="","",1)</f>
        <v/>
      </c>
      <c r="CL19" s="53" t="str">
        <f>IF(Tim!IE21="","",1)</f>
        <v/>
      </c>
      <c r="CM19" s="53" t="str">
        <f>IF(Tim!IF21="","",1)</f>
        <v/>
      </c>
      <c r="CN19" s="53" t="str">
        <f>IF(Tim!IG21="","",1)</f>
        <v/>
      </c>
      <c r="CO19" s="53" t="str">
        <f>IF(Tim!IH21="","",1)</f>
        <v/>
      </c>
      <c r="CP19" s="53" t="str">
        <f>IF(Tim!II21="","",1)</f>
        <v/>
      </c>
      <c r="CQ19" s="54" t="str">
        <f>IF(Tim!IJ21="","",1)</f>
        <v/>
      </c>
      <c r="CR19" s="56">
        <f>IF(Tim!JN21="","",1)</f>
        <v>1</v>
      </c>
      <c r="CS19" s="53" t="str">
        <f>IF(Tim!JO21="","",1)</f>
        <v/>
      </c>
      <c r="CT19" s="53" t="str">
        <f>IF(Tim!JP21="","",1)</f>
        <v/>
      </c>
      <c r="CU19" s="53" t="str">
        <f>IF(Tim!JQ21="","",1)</f>
        <v/>
      </c>
      <c r="CV19" s="53" t="str">
        <f>IF(Tim!JR21="","",1)</f>
        <v/>
      </c>
      <c r="CW19" s="53" t="str">
        <f>IF(Tim!JS21="","",1)</f>
        <v/>
      </c>
      <c r="CX19" s="53" t="str">
        <f>IF(Tim!JT21="","",1)</f>
        <v/>
      </c>
      <c r="CY19" s="53" t="str">
        <f>IF(Tim!JU21="","",1)</f>
        <v/>
      </c>
      <c r="CZ19" s="53" t="str">
        <f>IF(Tim!JV21="","",1)</f>
        <v/>
      </c>
      <c r="DA19" s="53" t="str">
        <f>IF(Tim!JW21="","",1)</f>
        <v/>
      </c>
      <c r="DB19" s="53" t="str">
        <f>IF(Tim!JX21="","",1)</f>
        <v/>
      </c>
      <c r="DC19" s="53" t="str">
        <f>IF(Tim!JY21="","",1)</f>
        <v/>
      </c>
      <c r="DD19" s="53" t="str">
        <f>IF(Tim!JZ21="","",1)</f>
        <v/>
      </c>
      <c r="DE19" s="53" t="str">
        <f>IF(Tim!KA21="","",1)</f>
        <v/>
      </c>
      <c r="DF19" s="55" t="str">
        <f>IF(Tim!KB21="","",1)</f>
        <v/>
      </c>
      <c r="DG19" s="52">
        <v>0.4375</v>
      </c>
    </row>
    <row r="20" spans="2:111" ht="10.5" customHeight="1">
      <c r="B20" s="51">
        <v>0.25</v>
      </c>
      <c r="C20" s="51">
        <v>0.25</v>
      </c>
      <c r="D20" s="51">
        <v>0.25</v>
      </c>
      <c r="E20" s="172">
        <v>0.44791666666666602</v>
      </c>
      <c r="F20" s="56">
        <f>IF(Tim!F22="","",1)</f>
        <v>1</v>
      </c>
      <c r="G20" s="60" t="str">
        <f>IF(Tim!G22="","",1)</f>
        <v/>
      </c>
      <c r="H20" s="60" t="str">
        <f>IF(Tim!H22="","",1)</f>
        <v/>
      </c>
      <c r="I20" s="60" t="str">
        <f>IF(Tim!I22="","",1)</f>
        <v/>
      </c>
      <c r="J20" s="60" t="str">
        <f>IF(Tim!J22="","",1)</f>
        <v/>
      </c>
      <c r="K20" s="60" t="str">
        <f>IF(Tim!K22="","",1)</f>
        <v/>
      </c>
      <c r="L20" s="60" t="str">
        <f>IF(Tim!L22="","",1)</f>
        <v/>
      </c>
      <c r="M20" s="60" t="str">
        <f>IF(Tim!M22="","",1)</f>
        <v/>
      </c>
      <c r="N20" s="60" t="str">
        <f>IF(Tim!N22="","",1)</f>
        <v/>
      </c>
      <c r="O20" s="60" t="str">
        <f>IF(Tim!O22="","",1)</f>
        <v/>
      </c>
      <c r="P20" s="60" t="str">
        <f>IF(Tim!P22="","",1)</f>
        <v/>
      </c>
      <c r="Q20" s="60" t="str">
        <f>IF(Tim!Q22="","",1)</f>
        <v/>
      </c>
      <c r="R20" s="60" t="str">
        <f>IF(Tim!R22="","",1)</f>
        <v/>
      </c>
      <c r="S20" s="60" t="str">
        <f>IF(Tim!S22="","",1)</f>
        <v/>
      </c>
      <c r="T20" s="60" t="str">
        <f>IF(Tim!T22="","",1)</f>
        <v/>
      </c>
      <c r="U20" s="56">
        <f>IF(Tim!AY22="","",1)</f>
        <v>1</v>
      </c>
      <c r="V20" s="60" t="str">
        <f>IF(Tim!AZ22="","",1)</f>
        <v/>
      </c>
      <c r="W20" s="60" t="str">
        <f>IF(Tim!BA22="","",1)</f>
        <v/>
      </c>
      <c r="X20" s="60" t="str">
        <f>IF(Tim!BB22="","",1)</f>
        <v/>
      </c>
      <c r="Y20" s="60" t="str">
        <f>IF(Tim!BC22="","",1)</f>
        <v/>
      </c>
      <c r="Z20" s="60" t="str">
        <f>IF(Tim!BD22="","",1)</f>
        <v/>
      </c>
      <c r="AA20" s="60" t="str">
        <f>IF(Tim!BE22="","",1)</f>
        <v/>
      </c>
      <c r="AB20" s="60" t="str">
        <f>IF(Tim!BF22="","",1)</f>
        <v/>
      </c>
      <c r="AC20" s="60" t="str">
        <f>IF(Tim!BG22="","",1)</f>
        <v/>
      </c>
      <c r="AD20" s="60" t="str">
        <f>IF(Tim!BH22="","",1)</f>
        <v/>
      </c>
      <c r="AE20" s="60" t="str">
        <f>IF(Tim!BI22="","",1)</f>
        <v/>
      </c>
      <c r="AF20" s="60" t="str">
        <f>IF(Tim!BJ22="","",1)</f>
        <v/>
      </c>
      <c r="AG20" s="60" t="str">
        <f>IF(Tim!BK22="","",1)</f>
        <v/>
      </c>
      <c r="AH20" s="60" t="str">
        <f>IF(Tim!BL22="","",1)</f>
        <v/>
      </c>
      <c r="AI20" s="60" t="str">
        <f>IF(Tim!BM22="","",1)</f>
        <v/>
      </c>
      <c r="AJ20" s="56">
        <f>IF(Tim!CQ22="","",1)</f>
        <v>1</v>
      </c>
      <c r="AK20" s="60" t="str">
        <f>IF(Tim!CR22="","",1)</f>
        <v/>
      </c>
      <c r="AL20" s="60" t="str">
        <f>IF(Tim!CS22="","",1)</f>
        <v/>
      </c>
      <c r="AM20" s="60" t="str">
        <f>IF(Tim!CT22="","",1)</f>
        <v/>
      </c>
      <c r="AN20" s="60" t="str">
        <f>IF(Tim!CU22="","",1)</f>
        <v/>
      </c>
      <c r="AO20" s="60" t="str">
        <f>IF(Tim!CV22="","",1)</f>
        <v/>
      </c>
      <c r="AP20" s="60" t="str">
        <f>IF(Tim!CW22="","",1)</f>
        <v/>
      </c>
      <c r="AQ20" s="60" t="str">
        <f>IF(Tim!CX22="","",1)</f>
        <v/>
      </c>
      <c r="AR20" s="60" t="str">
        <f>IF(Tim!CY22="","",1)</f>
        <v/>
      </c>
      <c r="AS20" s="60" t="str">
        <f>IF(Tim!CZ22="","",1)</f>
        <v/>
      </c>
      <c r="AT20" s="60" t="str">
        <f>IF(Tim!DA22="","",1)</f>
        <v/>
      </c>
      <c r="AU20" s="60">
        <f>IF(Tim!DB22="","",1)</f>
        <v>1</v>
      </c>
      <c r="AV20" s="60" t="str">
        <f>IF(Tim!DC22="","",1)</f>
        <v/>
      </c>
      <c r="AW20" s="60" t="str">
        <f>IF(Tim!DD22="","",1)</f>
        <v/>
      </c>
      <c r="AX20" s="60" t="str">
        <f>IF(Tim!DE22="","",1)</f>
        <v/>
      </c>
      <c r="AY20" s="56">
        <f>IF(Tim!EL22="","",1)</f>
        <v>1</v>
      </c>
      <c r="AZ20" s="60" t="str">
        <f>IF(Tim!EM22="","",1)</f>
        <v/>
      </c>
      <c r="BA20" s="60" t="str">
        <f>IF(Tim!EN22="","",1)</f>
        <v/>
      </c>
      <c r="BB20" s="60" t="str">
        <f>IF(Tim!EO22="","",1)</f>
        <v/>
      </c>
      <c r="BC20" s="60" t="str">
        <f>IF(Tim!EP22="","",1)</f>
        <v/>
      </c>
      <c r="BD20" s="60" t="str">
        <f>IF(Tim!EQ22="","",1)</f>
        <v/>
      </c>
      <c r="BE20" s="60" t="str">
        <f>IF(Tim!ER22="","",1)</f>
        <v/>
      </c>
      <c r="BF20" s="60" t="str">
        <f>IF(Tim!ES22="","",1)</f>
        <v/>
      </c>
      <c r="BG20" s="60" t="str">
        <f>IF(Tim!ET22="","",1)</f>
        <v/>
      </c>
      <c r="BH20" s="60" t="str">
        <f>IF(Tim!EU22="","",1)</f>
        <v/>
      </c>
      <c r="BI20" s="60" t="str">
        <f>IF(Tim!EV22="","",1)</f>
        <v/>
      </c>
      <c r="BJ20" s="60" t="str">
        <f>IF(Tim!EW22="","",1)</f>
        <v/>
      </c>
      <c r="BK20" s="60" t="str">
        <f>IF(Tim!EX22="","",1)</f>
        <v/>
      </c>
      <c r="BL20" s="60" t="str">
        <f>IF(Tim!EY22="","",1)</f>
        <v/>
      </c>
      <c r="BM20" s="60" t="str">
        <f>IF(Tim!EZ22="","",1)</f>
        <v/>
      </c>
      <c r="BN20" s="56">
        <f>IF(Tim!GD22="","",1)</f>
        <v>1</v>
      </c>
      <c r="BO20" s="60" t="str">
        <f>IF(Tim!GE22="","",1)</f>
        <v/>
      </c>
      <c r="BP20" s="60" t="str">
        <f>IF(Tim!GF22="","",1)</f>
        <v/>
      </c>
      <c r="BQ20" s="60" t="str">
        <f>IF(Tim!GG22="","",1)</f>
        <v/>
      </c>
      <c r="BR20" s="60" t="str">
        <f>IF(Tim!GH22="","",1)</f>
        <v/>
      </c>
      <c r="BS20" s="60" t="str">
        <f>IF(Tim!GI22="","",1)</f>
        <v/>
      </c>
      <c r="BT20" s="60" t="str">
        <f>IF(Tim!GJ22="","",1)</f>
        <v/>
      </c>
      <c r="BU20" s="60" t="e">
        <f>IF(Tim!#REF!="","",1)</f>
        <v>#REF!</v>
      </c>
      <c r="BV20" s="60" t="str">
        <f>IF(Tim!GL22="","",1)</f>
        <v/>
      </c>
      <c r="BW20" s="60" t="str">
        <f>IF(Tim!GM22="","",1)</f>
        <v/>
      </c>
      <c r="BX20" s="60" t="str">
        <f>IF(Tim!GN22="","",1)</f>
        <v/>
      </c>
      <c r="BY20" s="60" t="str">
        <f>IF(Tim!GO22="","",1)</f>
        <v/>
      </c>
      <c r="BZ20" s="60" t="str">
        <f>IF(Tim!GP22="","",1)</f>
        <v/>
      </c>
      <c r="CA20" s="60" t="str">
        <f>IF(Tim!GQ22="","",1)</f>
        <v/>
      </c>
      <c r="CB20" s="60" t="str">
        <f>IF(Tim!GR22="","",1)</f>
        <v/>
      </c>
      <c r="CC20" s="56">
        <f>IF(Tim!HV22="","",1)</f>
        <v>1</v>
      </c>
      <c r="CD20" s="53" t="str">
        <f>IF(Tim!HW22="","",1)</f>
        <v/>
      </c>
      <c r="CE20" s="53" t="str">
        <f>IF(Tim!HX22="","",1)</f>
        <v/>
      </c>
      <c r="CF20" s="53" t="str">
        <f>IF(Tim!HY22="","",1)</f>
        <v/>
      </c>
      <c r="CG20" s="53" t="str">
        <f>IF(Tim!HZ22="","",1)</f>
        <v/>
      </c>
      <c r="CH20" s="53" t="str">
        <f>IF(Tim!IA22="","",1)</f>
        <v/>
      </c>
      <c r="CI20" s="53" t="str">
        <f>IF(Tim!IB22="","",1)</f>
        <v/>
      </c>
      <c r="CJ20" s="53" t="str">
        <f>IF(Tim!IC22="","",1)</f>
        <v/>
      </c>
      <c r="CK20" s="53" t="str">
        <f>IF(Tim!ID22="","",1)</f>
        <v/>
      </c>
      <c r="CL20" s="53" t="str">
        <f>IF(Tim!IE22="","",1)</f>
        <v/>
      </c>
      <c r="CM20" s="53" t="str">
        <f>IF(Tim!IF22="","",1)</f>
        <v/>
      </c>
      <c r="CN20" s="53" t="str">
        <f>IF(Tim!IG22="","",1)</f>
        <v/>
      </c>
      <c r="CO20" s="53" t="str">
        <f>IF(Tim!IH22="","",1)</f>
        <v/>
      </c>
      <c r="CP20" s="53" t="str">
        <f>IF(Tim!II22="","",1)</f>
        <v/>
      </c>
      <c r="CQ20" s="54" t="str">
        <f>IF(Tim!IJ22="","",1)</f>
        <v/>
      </c>
      <c r="CR20" s="56">
        <f>IF(Tim!JN22="","",1)</f>
        <v>1</v>
      </c>
      <c r="CS20" s="53" t="str">
        <f>IF(Tim!JO22="","",1)</f>
        <v/>
      </c>
      <c r="CT20" s="53" t="str">
        <f>IF(Tim!JP22="","",1)</f>
        <v/>
      </c>
      <c r="CU20" s="53" t="str">
        <f>IF(Tim!JQ22="","",1)</f>
        <v/>
      </c>
      <c r="CV20" s="53" t="str">
        <f>IF(Tim!JR22="","",1)</f>
        <v/>
      </c>
      <c r="CW20" s="53" t="str">
        <f>IF(Tim!JS22="","",1)</f>
        <v/>
      </c>
      <c r="CX20" s="53" t="str">
        <f>IF(Tim!JT22="","",1)</f>
        <v/>
      </c>
      <c r="CY20" s="53" t="str">
        <f>IF(Tim!JU22="","",1)</f>
        <v/>
      </c>
      <c r="CZ20" s="53" t="str">
        <f>IF(Tim!JV22="","",1)</f>
        <v/>
      </c>
      <c r="DA20" s="53" t="str">
        <f>IF(Tim!JW22="","",1)</f>
        <v/>
      </c>
      <c r="DB20" s="53" t="str">
        <f>IF(Tim!JX22="","",1)</f>
        <v/>
      </c>
      <c r="DC20" s="53" t="str">
        <f>IF(Tim!JY22="","",1)</f>
        <v/>
      </c>
      <c r="DD20" s="53" t="str">
        <f>IF(Tim!JZ22="","",1)</f>
        <v/>
      </c>
      <c r="DE20" s="53" t="str">
        <f>IF(Tim!KA22="","",1)</f>
        <v/>
      </c>
      <c r="DF20" s="55" t="str">
        <f>IF(Tim!KB22="","",1)</f>
        <v/>
      </c>
      <c r="DG20" s="52">
        <v>0.44791666666666602</v>
      </c>
    </row>
    <row r="21" spans="2:111" ht="10.5" customHeight="1">
      <c r="B21" s="51">
        <v>0.25</v>
      </c>
      <c r="C21" s="51">
        <v>0.25</v>
      </c>
      <c r="D21" s="51">
        <v>0.25</v>
      </c>
      <c r="E21" s="172">
        <v>0.45833333333333298</v>
      </c>
      <c r="F21" s="56">
        <f>IF(Tim!F23="","",1)</f>
        <v>1</v>
      </c>
      <c r="G21" s="60" t="str">
        <f>IF(Tim!G23="","",1)</f>
        <v/>
      </c>
      <c r="H21" s="60" t="str">
        <f>IF(Tim!H23="","",1)</f>
        <v/>
      </c>
      <c r="I21" s="60" t="str">
        <f>IF(Tim!I23="","",1)</f>
        <v/>
      </c>
      <c r="J21" s="60" t="str">
        <f>IF(Tim!J23="","",1)</f>
        <v/>
      </c>
      <c r="K21" s="60" t="str">
        <f>IF(Tim!K23="","",1)</f>
        <v/>
      </c>
      <c r="L21" s="60" t="str">
        <f>IF(Tim!L23="","",1)</f>
        <v/>
      </c>
      <c r="M21" s="60" t="str">
        <f>IF(Tim!M23="","",1)</f>
        <v/>
      </c>
      <c r="N21" s="60" t="str">
        <f>IF(Tim!N23="","",1)</f>
        <v/>
      </c>
      <c r="O21" s="60" t="str">
        <f>IF(Tim!O23="","",1)</f>
        <v/>
      </c>
      <c r="P21" s="60" t="str">
        <f>IF(Tim!P23="","",1)</f>
        <v/>
      </c>
      <c r="Q21" s="60" t="str">
        <f>IF(Tim!Q23="","",1)</f>
        <v/>
      </c>
      <c r="R21" s="60" t="str">
        <f>IF(Tim!R23="","",1)</f>
        <v/>
      </c>
      <c r="S21" s="60" t="str">
        <f>IF(Tim!S23="","",1)</f>
        <v/>
      </c>
      <c r="T21" s="60" t="str">
        <f>IF(Tim!T23="","",1)</f>
        <v/>
      </c>
      <c r="U21" s="56">
        <f>IF(Tim!AY23="","",1)</f>
        <v>1</v>
      </c>
      <c r="V21" s="60" t="str">
        <f>IF(Tim!AZ23="","",1)</f>
        <v/>
      </c>
      <c r="W21" s="60" t="str">
        <f>IF(Tim!BA23="","",1)</f>
        <v/>
      </c>
      <c r="X21" s="60" t="str">
        <f>IF(Tim!BB23="","",1)</f>
        <v/>
      </c>
      <c r="Y21" s="60" t="str">
        <f>IF(Tim!BC23="","",1)</f>
        <v/>
      </c>
      <c r="Z21" s="60" t="str">
        <f>IF(Tim!BD23="","",1)</f>
        <v/>
      </c>
      <c r="AA21" s="60" t="str">
        <f>IF(Tim!BE23="","",1)</f>
        <v/>
      </c>
      <c r="AB21" s="60" t="str">
        <f>IF(Tim!BF23="","",1)</f>
        <v/>
      </c>
      <c r="AC21" s="60" t="str">
        <f>IF(Tim!BG23="","",1)</f>
        <v/>
      </c>
      <c r="AD21" s="60" t="str">
        <f>IF(Tim!BH23="","",1)</f>
        <v/>
      </c>
      <c r="AE21" s="60" t="str">
        <f>IF(Tim!BI23="","",1)</f>
        <v/>
      </c>
      <c r="AF21" s="60" t="str">
        <f>IF(Tim!BJ23="","",1)</f>
        <v/>
      </c>
      <c r="AG21" s="60" t="str">
        <f>IF(Tim!BK23="","",1)</f>
        <v/>
      </c>
      <c r="AH21" s="60" t="str">
        <f>IF(Tim!BL23="","",1)</f>
        <v/>
      </c>
      <c r="AI21" s="60" t="str">
        <f>IF(Tim!BM23="","",1)</f>
        <v/>
      </c>
      <c r="AJ21" s="56">
        <f>IF(Tim!CQ23="","",1)</f>
        <v>1</v>
      </c>
      <c r="AK21" s="60" t="str">
        <f>IF(Tim!CR23="","",1)</f>
        <v/>
      </c>
      <c r="AL21" s="60" t="str">
        <f>IF(Tim!CS23="","",1)</f>
        <v/>
      </c>
      <c r="AM21" s="60" t="str">
        <f>IF(Tim!CT23="","",1)</f>
        <v/>
      </c>
      <c r="AN21" s="60" t="str">
        <f>IF(Tim!CU23="","",1)</f>
        <v/>
      </c>
      <c r="AO21" s="60" t="str">
        <f>IF(Tim!CV23="","",1)</f>
        <v/>
      </c>
      <c r="AP21" s="60" t="str">
        <f>IF(Tim!CW23="","",1)</f>
        <v/>
      </c>
      <c r="AQ21" s="60" t="str">
        <f>IF(Tim!CX23="","",1)</f>
        <v/>
      </c>
      <c r="AR21" s="60" t="str">
        <f>IF(Tim!CY23="","",1)</f>
        <v/>
      </c>
      <c r="AS21" s="60" t="str">
        <f>IF(Tim!CZ23="","",1)</f>
        <v/>
      </c>
      <c r="AT21" s="60" t="str">
        <f>IF(Tim!DA23="","",1)</f>
        <v/>
      </c>
      <c r="AU21" s="60">
        <f>IF(Tim!DB23="","",1)</f>
        <v>1</v>
      </c>
      <c r="AV21" s="60" t="str">
        <f>IF(Tim!DC23="","",1)</f>
        <v/>
      </c>
      <c r="AW21" s="60" t="str">
        <f>IF(Tim!DD23="","",1)</f>
        <v/>
      </c>
      <c r="AX21" s="60" t="str">
        <f>IF(Tim!DE23="","",1)</f>
        <v/>
      </c>
      <c r="AY21" s="56">
        <f>IF(Tim!EL23="","",1)</f>
        <v>1</v>
      </c>
      <c r="AZ21" s="60" t="str">
        <f>IF(Tim!EM23="","",1)</f>
        <v/>
      </c>
      <c r="BA21" s="60" t="str">
        <f>IF(Tim!EN23="","",1)</f>
        <v/>
      </c>
      <c r="BB21" s="60" t="str">
        <f>IF(Tim!EO23="","",1)</f>
        <v/>
      </c>
      <c r="BC21" s="60" t="str">
        <f>IF(Tim!EP23="","",1)</f>
        <v/>
      </c>
      <c r="BD21" s="60" t="str">
        <f>IF(Tim!EQ23="","",1)</f>
        <v/>
      </c>
      <c r="BE21" s="60" t="str">
        <f>IF(Tim!ER23="","",1)</f>
        <v/>
      </c>
      <c r="BF21" s="60" t="str">
        <f>IF(Tim!ES23="","",1)</f>
        <v/>
      </c>
      <c r="BG21" s="60" t="str">
        <f>IF(Tim!ET23="","",1)</f>
        <v/>
      </c>
      <c r="BH21" s="60" t="str">
        <f>IF(Tim!EU23="","",1)</f>
        <v/>
      </c>
      <c r="BI21" s="60" t="str">
        <f>IF(Tim!EV23="","",1)</f>
        <v/>
      </c>
      <c r="BJ21" s="60" t="str">
        <f>IF(Tim!EW23="","",1)</f>
        <v/>
      </c>
      <c r="BK21" s="60" t="str">
        <f>IF(Tim!EX23="","",1)</f>
        <v/>
      </c>
      <c r="BL21" s="60" t="str">
        <f>IF(Tim!EY23="","",1)</f>
        <v/>
      </c>
      <c r="BM21" s="60" t="str">
        <f>IF(Tim!EZ23="","",1)</f>
        <v/>
      </c>
      <c r="BN21" s="56">
        <f>IF(Tim!GD23="","",1)</f>
        <v>1</v>
      </c>
      <c r="BO21" s="60" t="str">
        <f>IF(Tim!GE23="","",1)</f>
        <v/>
      </c>
      <c r="BP21" s="60" t="str">
        <f>IF(Tim!GF23="","",1)</f>
        <v/>
      </c>
      <c r="BQ21" s="60" t="str">
        <f>IF(Tim!GG23="","",1)</f>
        <v/>
      </c>
      <c r="BR21" s="60" t="str">
        <f>IF(Tim!GH23="","",1)</f>
        <v/>
      </c>
      <c r="BS21" s="60" t="str">
        <f>IF(Tim!GI23="","",1)</f>
        <v/>
      </c>
      <c r="BT21" s="60" t="str">
        <f>IF(Tim!GJ23="","",1)</f>
        <v/>
      </c>
      <c r="BU21" s="60" t="str">
        <f>IF(Tim!GK23="","",1)</f>
        <v/>
      </c>
      <c r="BV21" s="60" t="str">
        <f>IF(Tim!GL23="","",1)</f>
        <v/>
      </c>
      <c r="BW21" s="60">
        <f>IF(Tim!GM23="","",1)</f>
        <v>1</v>
      </c>
      <c r="BX21" s="60">
        <f>IF(Tim!GN23="","",1)</f>
        <v>1</v>
      </c>
      <c r="BY21" s="60" t="str">
        <f>IF(Tim!GO23="","",1)</f>
        <v/>
      </c>
      <c r="BZ21" s="60" t="str">
        <f>IF(Tim!GP23="","",1)</f>
        <v/>
      </c>
      <c r="CA21" s="60" t="str">
        <f>IF(Tim!GQ23="","",1)</f>
        <v/>
      </c>
      <c r="CB21" s="60" t="str">
        <f>IF(Tim!GR23="","",1)</f>
        <v/>
      </c>
      <c r="CC21" s="56">
        <f>IF(Tim!HV23="","",1)</f>
        <v>1</v>
      </c>
      <c r="CD21" s="53" t="str">
        <f>IF(Tim!HW23="","",1)</f>
        <v/>
      </c>
      <c r="CE21" s="53" t="str">
        <f>IF(Tim!HX23="","",1)</f>
        <v/>
      </c>
      <c r="CF21" s="53" t="str">
        <f>IF(Tim!HY23="","",1)</f>
        <v/>
      </c>
      <c r="CG21" s="53" t="str">
        <f>IF(Tim!HZ23="","",1)</f>
        <v/>
      </c>
      <c r="CH21" s="53" t="str">
        <f>IF(Tim!IA23="","",1)</f>
        <v/>
      </c>
      <c r="CI21" s="53" t="str">
        <f>IF(Tim!IB23="","",1)</f>
        <v/>
      </c>
      <c r="CJ21" s="53" t="str">
        <f>IF(Tim!IC23="","",1)</f>
        <v/>
      </c>
      <c r="CK21" s="53" t="str">
        <f>IF(Tim!ID23="","",1)</f>
        <v/>
      </c>
      <c r="CL21" s="53" t="str">
        <f>IF(Tim!IE23="","",1)</f>
        <v/>
      </c>
      <c r="CM21" s="53" t="str">
        <f>IF(Tim!IF23="","",1)</f>
        <v/>
      </c>
      <c r="CN21" s="53" t="str">
        <f>IF(Tim!IG23="","",1)</f>
        <v/>
      </c>
      <c r="CO21" s="53" t="str">
        <f>IF(Tim!IH23="","",1)</f>
        <v/>
      </c>
      <c r="CP21" s="53" t="str">
        <f>IF(Tim!II23="","",1)</f>
        <v/>
      </c>
      <c r="CQ21" s="54" t="str">
        <f>IF(Tim!IJ23="","",1)</f>
        <v/>
      </c>
      <c r="CR21" s="56">
        <f>IF(Tim!JN23="","",1)</f>
        <v>1</v>
      </c>
      <c r="CS21" s="53" t="str">
        <f>IF(Tim!JO23="","",1)</f>
        <v/>
      </c>
      <c r="CT21" s="53" t="str">
        <f>IF(Tim!JP23="","",1)</f>
        <v/>
      </c>
      <c r="CU21" s="53" t="str">
        <f>IF(Tim!JQ23="","",1)</f>
        <v/>
      </c>
      <c r="CV21" s="53" t="str">
        <f>IF(Tim!JR23="","",1)</f>
        <v/>
      </c>
      <c r="CW21" s="53" t="str">
        <f>IF(Tim!JS23="","",1)</f>
        <v/>
      </c>
      <c r="CX21" s="53" t="str">
        <f>IF(Tim!JT23="","",1)</f>
        <v/>
      </c>
      <c r="CY21" s="53" t="str">
        <f>IF(Tim!JU23="","",1)</f>
        <v/>
      </c>
      <c r="CZ21" s="53" t="str">
        <f>IF(Tim!JV23="","",1)</f>
        <v/>
      </c>
      <c r="DA21" s="53" t="str">
        <f>IF(Tim!JW23="","",1)</f>
        <v/>
      </c>
      <c r="DB21" s="53" t="str">
        <f>IF(Tim!JX23="","",1)</f>
        <v/>
      </c>
      <c r="DC21" s="53" t="str">
        <f>IF(Tim!JY23="","",1)</f>
        <v/>
      </c>
      <c r="DD21" s="53" t="str">
        <f>IF(Tim!JZ23="","",1)</f>
        <v/>
      </c>
      <c r="DE21" s="53" t="str">
        <f>IF(Tim!KA23="","",1)</f>
        <v/>
      </c>
      <c r="DF21" s="55" t="str">
        <f>IF(Tim!KB23="","",1)</f>
        <v/>
      </c>
      <c r="DG21" s="52">
        <v>0.45833333333333298</v>
      </c>
    </row>
    <row r="22" spans="2:111" ht="10.5" customHeight="1">
      <c r="B22" s="51">
        <v>0.25</v>
      </c>
      <c r="C22" s="51">
        <v>0.25</v>
      </c>
      <c r="D22" s="51">
        <v>0.25</v>
      </c>
      <c r="E22" s="172">
        <v>0.46875</v>
      </c>
      <c r="F22" s="56">
        <f>IF(Tim!F24="","",1)</f>
        <v>1</v>
      </c>
      <c r="G22" s="60" t="str">
        <f>IF(Tim!G24="","",1)</f>
        <v/>
      </c>
      <c r="H22" s="60" t="str">
        <f>IF(Tim!H24="","",1)</f>
        <v/>
      </c>
      <c r="I22" s="60" t="str">
        <f>IF(Tim!I24="","",1)</f>
        <v/>
      </c>
      <c r="J22" s="60" t="str">
        <f>IF(Tim!J24="","",1)</f>
        <v/>
      </c>
      <c r="K22" s="60" t="str">
        <f>IF(Tim!K24="","",1)</f>
        <v/>
      </c>
      <c r="L22" s="60" t="str">
        <f>IF(Tim!L24="","",1)</f>
        <v/>
      </c>
      <c r="M22" s="60" t="str">
        <f>IF(Tim!M24="","",1)</f>
        <v/>
      </c>
      <c r="N22" s="60" t="str">
        <f>IF(Tim!N24="","",1)</f>
        <v/>
      </c>
      <c r="O22" s="60" t="str">
        <f>IF(Tim!O24="","",1)</f>
        <v/>
      </c>
      <c r="P22" s="60" t="str">
        <f>IF(Tim!P24="","",1)</f>
        <v/>
      </c>
      <c r="Q22" s="60" t="str">
        <f>IF(Tim!Q24="","",1)</f>
        <v/>
      </c>
      <c r="R22" s="60" t="str">
        <f>IF(Tim!R24="","",1)</f>
        <v/>
      </c>
      <c r="S22" s="60" t="str">
        <f>IF(Tim!S24="","",1)</f>
        <v/>
      </c>
      <c r="T22" s="60" t="str">
        <f>IF(Tim!T24="","",1)</f>
        <v/>
      </c>
      <c r="U22" s="56">
        <f>IF(Tim!AY24="","",1)</f>
        <v>1</v>
      </c>
      <c r="V22" s="60">
        <f>IF(Tim!AZ24="","",1)</f>
        <v>1</v>
      </c>
      <c r="W22" s="60" t="str">
        <f>IF(Tim!BA24="","",1)</f>
        <v/>
      </c>
      <c r="X22" s="60" t="str">
        <f>IF(Tim!BB24="","",1)</f>
        <v/>
      </c>
      <c r="Y22" s="60" t="str">
        <f>IF(Tim!BC24="","",1)</f>
        <v/>
      </c>
      <c r="Z22" s="60" t="str">
        <f>IF(Tim!BD24="","",1)</f>
        <v/>
      </c>
      <c r="AA22" s="60" t="str">
        <f>IF(Tim!BE24="","",1)</f>
        <v/>
      </c>
      <c r="AB22" s="60" t="str">
        <f>IF(Tim!BF24="","",1)</f>
        <v/>
      </c>
      <c r="AC22" s="60" t="str">
        <f>IF(Tim!BG24="","",1)</f>
        <v/>
      </c>
      <c r="AD22" s="60" t="str">
        <f>IF(Tim!BH24="","",1)</f>
        <v/>
      </c>
      <c r="AE22" s="60" t="str">
        <f>IF(Tim!BI24="","",1)</f>
        <v/>
      </c>
      <c r="AF22" s="60" t="str">
        <f>IF(Tim!BJ24="","",1)</f>
        <v/>
      </c>
      <c r="AG22" s="60" t="str">
        <f>IF(Tim!BK24="","",1)</f>
        <v/>
      </c>
      <c r="AH22" s="60" t="str">
        <f>IF(Tim!BL24="","",1)</f>
        <v/>
      </c>
      <c r="AI22" s="60" t="str">
        <f>IF(Tim!BM24="","",1)</f>
        <v/>
      </c>
      <c r="AJ22" s="56">
        <f>IF(Tim!CQ24="","",1)</f>
        <v>1</v>
      </c>
      <c r="AK22" s="60">
        <f>IF(Tim!CR24="","",1)</f>
        <v>1</v>
      </c>
      <c r="AL22" s="60" t="str">
        <f>IF(Tim!CS24="","",1)</f>
        <v/>
      </c>
      <c r="AM22" s="60" t="str">
        <f>IF(Tim!CT24="","",1)</f>
        <v/>
      </c>
      <c r="AN22" s="60" t="str">
        <f>IF(Tim!CU24="","",1)</f>
        <v/>
      </c>
      <c r="AO22" s="60" t="str">
        <f>IF(Tim!CV24="","",1)</f>
        <v/>
      </c>
      <c r="AP22" s="60" t="str">
        <f>IF(Tim!CW24="","",1)</f>
        <v/>
      </c>
      <c r="AQ22" s="60" t="str">
        <f>IF(Tim!CX24="","",1)</f>
        <v/>
      </c>
      <c r="AR22" s="60" t="str">
        <f>IF(Tim!CY24="","",1)</f>
        <v/>
      </c>
      <c r="AS22" s="60" t="str">
        <f>IF(Tim!CZ24="","",1)</f>
        <v/>
      </c>
      <c r="AT22" s="60" t="str">
        <f>IF(Tim!DA24="","",1)</f>
        <v/>
      </c>
      <c r="AU22" s="60" t="str">
        <f>IF(Tim!DB24="","",1)</f>
        <v/>
      </c>
      <c r="AV22" s="60" t="str">
        <f>IF(Tim!DC24="","",1)</f>
        <v/>
      </c>
      <c r="AW22" s="60" t="str">
        <f>IF(Tim!DD24="","",1)</f>
        <v/>
      </c>
      <c r="AX22" s="60" t="str">
        <f>IF(Tim!DE24="","",1)</f>
        <v/>
      </c>
      <c r="AY22" s="56">
        <f>IF(Tim!EL24="","",1)</f>
        <v>1</v>
      </c>
      <c r="AZ22" s="60" t="str">
        <f>IF(Tim!EM24="","",1)</f>
        <v/>
      </c>
      <c r="BA22" s="60" t="str">
        <f>IF(Tim!EN24="","",1)</f>
        <v/>
      </c>
      <c r="BB22" s="60" t="str">
        <f>IF(Tim!EO24="","",1)</f>
        <v/>
      </c>
      <c r="BC22" s="60" t="str">
        <f>IF(Tim!EP24="","",1)</f>
        <v/>
      </c>
      <c r="BD22" s="60" t="str">
        <f>IF(Tim!EQ24="","",1)</f>
        <v/>
      </c>
      <c r="BE22" s="60" t="str">
        <f>IF(Tim!ER24="","",1)</f>
        <v/>
      </c>
      <c r="BF22" s="60" t="str">
        <f>IF(Tim!ES24="","",1)</f>
        <v/>
      </c>
      <c r="BG22" s="60">
        <f>IF(Tim!ET24="","",1)</f>
        <v>1</v>
      </c>
      <c r="BH22" s="60" t="str">
        <f>IF(Tim!EU24="","",1)</f>
        <v/>
      </c>
      <c r="BI22" s="60" t="str">
        <f>IF(Tim!EV24="","",1)</f>
        <v/>
      </c>
      <c r="BJ22" s="60" t="str">
        <f>IF(Tim!EW24="","",1)</f>
        <v/>
      </c>
      <c r="BK22" s="60" t="str">
        <f>IF(Tim!EX24="","",1)</f>
        <v/>
      </c>
      <c r="BL22" s="60" t="str">
        <f>IF(Tim!EY24="","",1)</f>
        <v/>
      </c>
      <c r="BM22" s="60" t="str">
        <f>IF(Tim!EZ24="","",1)</f>
        <v/>
      </c>
      <c r="BN22" s="56">
        <f>IF(Tim!GD24="","",1)</f>
        <v>1</v>
      </c>
      <c r="BO22" s="60" t="str">
        <f>IF(Tim!GE24="","",1)</f>
        <v/>
      </c>
      <c r="BP22" s="60" t="str">
        <f>IF(Tim!GF24="","",1)</f>
        <v/>
      </c>
      <c r="BQ22" s="60" t="str">
        <f>IF(Tim!GG24="","",1)</f>
        <v/>
      </c>
      <c r="BR22" s="60" t="str">
        <f>IF(Tim!GH24="","",1)</f>
        <v/>
      </c>
      <c r="BS22" s="60" t="str">
        <f>IF(Tim!GI24="","",1)</f>
        <v/>
      </c>
      <c r="BT22" s="60" t="str">
        <f>IF(Tim!GJ24="","",1)</f>
        <v/>
      </c>
      <c r="BU22" s="60" t="str">
        <f>IF(Tim!GK24="","",1)</f>
        <v/>
      </c>
      <c r="BV22" s="60" t="str">
        <f>IF(Tim!GL24="","",1)</f>
        <v/>
      </c>
      <c r="BW22" s="60">
        <f>IF(Tim!GM24="","",1)</f>
        <v>1</v>
      </c>
      <c r="BX22" s="60">
        <f>IF(Tim!GN24="","",1)</f>
        <v>1</v>
      </c>
      <c r="BY22" s="60" t="str">
        <f>IF(Tim!GO24="","",1)</f>
        <v/>
      </c>
      <c r="BZ22" s="60" t="str">
        <f>IF(Tim!GP24="","",1)</f>
        <v/>
      </c>
      <c r="CA22" s="60" t="str">
        <f>IF(Tim!GQ24="","",1)</f>
        <v/>
      </c>
      <c r="CB22" s="60" t="str">
        <f>IF(Tim!GR24="","",1)</f>
        <v/>
      </c>
      <c r="CC22" s="56">
        <f>IF(Tim!HV24="","",1)</f>
        <v>1</v>
      </c>
      <c r="CD22" s="53" t="str">
        <f>IF(Tim!HW24="","",1)</f>
        <v/>
      </c>
      <c r="CE22" s="53" t="str">
        <f>IF(Tim!HX24="","",1)</f>
        <v/>
      </c>
      <c r="CF22" s="53" t="str">
        <f>IF(Tim!HY24="","",1)</f>
        <v/>
      </c>
      <c r="CG22" s="53" t="str">
        <f>IF(Tim!HZ24="","",1)</f>
        <v/>
      </c>
      <c r="CH22" s="53" t="str">
        <f>IF(Tim!IA24="","",1)</f>
        <v/>
      </c>
      <c r="CI22" s="53" t="str">
        <f>IF(Tim!IB24="","",1)</f>
        <v/>
      </c>
      <c r="CJ22" s="53" t="str">
        <f>IF(Tim!IC24="","",1)</f>
        <v/>
      </c>
      <c r="CK22" s="53" t="str">
        <f>IF(Tim!ID24="","",1)</f>
        <v/>
      </c>
      <c r="CL22" s="53" t="str">
        <f>IF(Tim!IE24="","",1)</f>
        <v/>
      </c>
      <c r="CM22" s="53" t="str">
        <f>IF(Tim!IF24="","",1)</f>
        <v/>
      </c>
      <c r="CN22" s="53" t="str">
        <f>IF(Tim!IG24="","",1)</f>
        <v/>
      </c>
      <c r="CO22" s="53" t="str">
        <f>IF(Tim!IH24="","",1)</f>
        <v/>
      </c>
      <c r="CP22" s="53" t="str">
        <f>IF(Tim!II24="","",1)</f>
        <v/>
      </c>
      <c r="CQ22" s="54" t="str">
        <f>IF(Tim!IJ24="","",1)</f>
        <v/>
      </c>
      <c r="CR22" s="56">
        <f>IF(Tim!JN24="","",1)</f>
        <v>1</v>
      </c>
      <c r="CS22" s="53" t="str">
        <f>IF(Tim!JO24="","",1)</f>
        <v/>
      </c>
      <c r="CT22" s="53" t="str">
        <f>IF(Tim!JP24="","",1)</f>
        <v/>
      </c>
      <c r="CU22" s="53" t="str">
        <f>IF(Tim!JQ24="","",1)</f>
        <v/>
      </c>
      <c r="CV22" s="53" t="str">
        <f>IF(Tim!JR24="","",1)</f>
        <v/>
      </c>
      <c r="CW22" s="53" t="str">
        <f>IF(Tim!JS24="","",1)</f>
        <v/>
      </c>
      <c r="CX22" s="53" t="str">
        <f>IF(Tim!JT24="","",1)</f>
        <v/>
      </c>
      <c r="CY22" s="53" t="str">
        <f>IF(Tim!JU24="","",1)</f>
        <v/>
      </c>
      <c r="CZ22" s="53" t="str">
        <f>IF(Tim!JV24="","",1)</f>
        <v/>
      </c>
      <c r="DA22" s="53" t="str">
        <f>IF(Tim!JW24="","",1)</f>
        <v/>
      </c>
      <c r="DB22" s="53" t="str">
        <f>IF(Tim!JX24="","",1)</f>
        <v/>
      </c>
      <c r="DC22" s="53" t="str">
        <f>IF(Tim!JY24="","",1)</f>
        <v/>
      </c>
      <c r="DD22" s="53" t="str">
        <f>IF(Tim!JZ24="","",1)</f>
        <v/>
      </c>
      <c r="DE22" s="53" t="str">
        <f>IF(Tim!KA24="","",1)</f>
        <v/>
      </c>
      <c r="DF22" s="55" t="str">
        <f>IF(Tim!KB24="","",1)</f>
        <v/>
      </c>
      <c r="DG22" s="52">
        <v>0.46875</v>
      </c>
    </row>
    <row r="23" spans="2:111" ht="10.5" customHeight="1">
      <c r="B23" s="51">
        <v>0.25</v>
      </c>
      <c r="C23" s="51">
        <v>0.25</v>
      </c>
      <c r="D23" s="51">
        <v>0.25</v>
      </c>
      <c r="E23" s="172">
        <v>0.47916666666666602</v>
      </c>
      <c r="F23" s="56">
        <f>IF(Tim!F25="","",1)</f>
        <v>1</v>
      </c>
      <c r="G23" s="60" t="str">
        <f>IF(Tim!G25="","",1)</f>
        <v/>
      </c>
      <c r="H23" s="60" t="str">
        <f>IF(Tim!H25="","",1)</f>
        <v/>
      </c>
      <c r="I23" s="60" t="str">
        <f>IF(Tim!I25="","",1)</f>
        <v/>
      </c>
      <c r="J23" s="60" t="str">
        <f>IF(Tim!J25="","",1)</f>
        <v/>
      </c>
      <c r="K23" s="60" t="str">
        <f>IF(Tim!K25="","",1)</f>
        <v/>
      </c>
      <c r="L23" s="60" t="str">
        <f>IF(Tim!L25="","",1)</f>
        <v/>
      </c>
      <c r="M23" s="60" t="str">
        <f>IF(Tim!M25="","",1)</f>
        <v/>
      </c>
      <c r="N23" s="60" t="str">
        <f>IF(Tim!N25="","",1)</f>
        <v/>
      </c>
      <c r="O23" s="60" t="str">
        <f>IF(Tim!O25="","",1)</f>
        <v/>
      </c>
      <c r="P23" s="60">
        <f>IF(Tim!P25="","",1)</f>
        <v>1</v>
      </c>
      <c r="Q23" s="60" t="str">
        <f>IF(Tim!Q25="","",1)</f>
        <v/>
      </c>
      <c r="R23" s="60" t="str">
        <f>IF(Tim!R25="","",1)</f>
        <v/>
      </c>
      <c r="S23" s="60" t="str">
        <f>IF(Tim!S25="","",1)</f>
        <v/>
      </c>
      <c r="T23" s="60" t="str">
        <f>IF(Tim!T25="","",1)</f>
        <v/>
      </c>
      <c r="U23" s="56">
        <f>IF(Tim!AY25="","",1)</f>
        <v>1</v>
      </c>
      <c r="V23" s="60">
        <f>IF(Tim!AZ25="","",1)</f>
        <v>1</v>
      </c>
      <c r="W23" s="60" t="str">
        <f>IF(Tim!BA25="","",1)</f>
        <v/>
      </c>
      <c r="X23" s="60" t="str">
        <f>IF(Tim!BB25="","",1)</f>
        <v/>
      </c>
      <c r="Y23" s="60" t="str">
        <f>IF(Tim!BC25="","",1)</f>
        <v/>
      </c>
      <c r="Z23" s="60" t="str">
        <f>IF(Tim!BD25="","",1)</f>
        <v/>
      </c>
      <c r="AA23" s="60" t="str">
        <f>IF(Tim!BE25="","",1)</f>
        <v/>
      </c>
      <c r="AB23" s="60" t="str">
        <f>IF(Tim!BF25="","",1)</f>
        <v/>
      </c>
      <c r="AC23" s="60" t="str">
        <f>IF(Tim!BG25="","",1)</f>
        <v/>
      </c>
      <c r="AD23" s="60" t="str">
        <f>IF(Tim!BH25="","",1)</f>
        <v/>
      </c>
      <c r="AE23" s="60" t="str">
        <f>IF(Tim!BI25="","",1)</f>
        <v/>
      </c>
      <c r="AF23" s="60" t="str">
        <f>IF(Tim!BJ25="","",1)</f>
        <v/>
      </c>
      <c r="AG23" s="60" t="str">
        <f>IF(Tim!BK25="","",1)</f>
        <v/>
      </c>
      <c r="AH23" s="60" t="str">
        <f>IF(Tim!BL25="","",1)</f>
        <v/>
      </c>
      <c r="AI23" s="60" t="str">
        <f>IF(Tim!BM25="","",1)</f>
        <v/>
      </c>
      <c r="AJ23" s="56">
        <f>IF(Tim!CQ25="","",1)</f>
        <v>1</v>
      </c>
      <c r="AK23" s="60" t="str">
        <f>IF(Tim!CR25="","",1)</f>
        <v/>
      </c>
      <c r="AL23" s="60" t="str">
        <f>IF(Tim!CS25="","",1)</f>
        <v/>
      </c>
      <c r="AM23" s="60" t="str">
        <f>IF(Tim!CT25="","",1)</f>
        <v/>
      </c>
      <c r="AN23" s="60" t="str">
        <f>IF(Tim!CU25="","",1)</f>
        <v/>
      </c>
      <c r="AO23" s="60" t="str">
        <f>IF(Tim!CV25="","",1)</f>
        <v/>
      </c>
      <c r="AP23" s="60" t="str">
        <f>IF(Tim!CW25="","",1)</f>
        <v/>
      </c>
      <c r="AQ23" s="60" t="str">
        <f>IF(Tim!CX25="","",1)</f>
        <v/>
      </c>
      <c r="AR23" s="60" t="str">
        <f>IF(Tim!CY25="","",1)</f>
        <v/>
      </c>
      <c r="AS23" s="60" t="str">
        <f>IF(Tim!CZ25="","",1)</f>
        <v/>
      </c>
      <c r="AT23" s="60" t="str">
        <f>IF(Tim!DA25="","",1)</f>
        <v/>
      </c>
      <c r="AU23" s="60">
        <f>IF(Tim!DB25="","",1)</f>
        <v>1</v>
      </c>
      <c r="AV23" s="60" t="str">
        <f>IF(Tim!DC25="","",1)</f>
        <v/>
      </c>
      <c r="AW23" s="60" t="str">
        <f>IF(Tim!DD25="","",1)</f>
        <v/>
      </c>
      <c r="AX23" s="60" t="str">
        <f>IF(Tim!DE25="","",1)</f>
        <v/>
      </c>
      <c r="AY23" s="56">
        <f>IF(Tim!EL25="","",1)</f>
        <v>1</v>
      </c>
      <c r="AZ23" s="60" t="str">
        <f>IF(Tim!EM25="","",1)</f>
        <v/>
      </c>
      <c r="BA23" s="60" t="str">
        <f>IF(Tim!EN25="","",1)</f>
        <v/>
      </c>
      <c r="BB23" s="60" t="str">
        <f>IF(Tim!EO25="","",1)</f>
        <v/>
      </c>
      <c r="BC23" s="60" t="str">
        <f>IF(Tim!EP25="","",1)</f>
        <v/>
      </c>
      <c r="BD23" s="60" t="str">
        <f>IF(Tim!EQ25="","",1)</f>
        <v/>
      </c>
      <c r="BE23" s="60" t="str">
        <f>IF(Tim!ER25="","",1)</f>
        <v/>
      </c>
      <c r="BF23" s="60" t="str">
        <f>IF(Tim!ES25="","",1)</f>
        <v/>
      </c>
      <c r="BG23" s="60">
        <f>IF(Tim!ET25="","",1)</f>
        <v>1</v>
      </c>
      <c r="BH23" s="60" t="str">
        <f>IF(Tim!EU25="","",1)</f>
        <v/>
      </c>
      <c r="BI23" s="60" t="str">
        <f>IF(Tim!EV25="","",1)</f>
        <v/>
      </c>
      <c r="BJ23" s="60" t="str">
        <f>IF(Tim!EW25="","",1)</f>
        <v/>
      </c>
      <c r="BK23" s="60" t="str">
        <f>IF(Tim!EX25="","",1)</f>
        <v/>
      </c>
      <c r="BL23" s="60" t="str">
        <f>IF(Tim!EY25="","",1)</f>
        <v/>
      </c>
      <c r="BM23" s="60" t="str">
        <f>IF(Tim!EZ25="","",1)</f>
        <v/>
      </c>
      <c r="BN23" s="56">
        <f>IF(Tim!GD25="","",1)</f>
        <v>1</v>
      </c>
      <c r="BO23" s="60" t="str">
        <f>IF(Tim!GE25="","",1)</f>
        <v/>
      </c>
      <c r="BP23" s="60" t="str">
        <f>IF(Tim!GF25="","",1)</f>
        <v/>
      </c>
      <c r="BQ23" s="60" t="str">
        <f>IF(Tim!GG25="","",1)</f>
        <v/>
      </c>
      <c r="BR23" s="60" t="str">
        <f>IF(Tim!GH25="","",1)</f>
        <v/>
      </c>
      <c r="BS23" s="60" t="str">
        <f>IF(Tim!GI25="","",1)</f>
        <v/>
      </c>
      <c r="BT23" s="60" t="str">
        <f>IF(Tim!GJ25="","",1)</f>
        <v/>
      </c>
      <c r="BU23" s="60" t="str">
        <f>IF(Tim!GK25="","",1)</f>
        <v/>
      </c>
      <c r="BV23" s="60">
        <f>IF(Tim!GL25="","",1)</f>
        <v>1</v>
      </c>
      <c r="BW23" s="60">
        <f>IF(Tim!GM25="","",1)</f>
        <v>1</v>
      </c>
      <c r="BX23" s="60">
        <f>IF(Tim!GN25="","",1)</f>
        <v>1</v>
      </c>
      <c r="BY23" s="60" t="str">
        <f>IF(Tim!GO25="","",1)</f>
        <v/>
      </c>
      <c r="BZ23" s="60" t="str">
        <f>IF(Tim!GP25="","",1)</f>
        <v/>
      </c>
      <c r="CA23" s="60" t="str">
        <f>IF(Tim!GQ25="","",1)</f>
        <v/>
      </c>
      <c r="CB23" s="60" t="str">
        <f>IF(Tim!GR25="","",1)</f>
        <v/>
      </c>
      <c r="CC23" s="56">
        <f>IF(Tim!HV25="","",1)</f>
        <v>1</v>
      </c>
      <c r="CD23" s="53" t="str">
        <f>IF(Tim!HW25="","",1)</f>
        <v/>
      </c>
      <c r="CE23" s="53" t="str">
        <f>IF(Tim!HX25="","",1)</f>
        <v/>
      </c>
      <c r="CF23" s="53" t="str">
        <f>IF(Tim!HY25="","",1)</f>
        <v/>
      </c>
      <c r="CG23" s="53" t="str">
        <f>IF(Tim!HZ25="","",1)</f>
        <v/>
      </c>
      <c r="CH23" s="53" t="str">
        <f>IF(Tim!IA25="","",1)</f>
        <v/>
      </c>
      <c r="CI23" s="53" t="str">
        <f>IF(Tim!IB25="","",1)</f>
        <v/>
      </c>
      <c r="CJ23" s="53" t="str">
        <f>IF(Tim!IC25="","",1)</f>
        <v/>
      </c>
      <c r="CK23" s="53" t="str">
        <f>IF(Tim!ID25="","",1)</f>
        <v/>
      </c>
      <c r="CL23" s="53" t="str">
        <f>IF(Tim!IE25="","",1)</f>
        <v/>
      </c>
      <c r="CM23" s="53">
        <f>IF(Tim!IF25="","",1)</f>
        <v>1</v>
      </c>
      <c r="CN23" s="53" t="str">
        <f>IF(Tim!IG25="","",1)</f>
        <v/>
      </c>
      <c r="CO23" s="53" t="str">
        <f>IF(Tim!IH25="","",1)</f>
        <v/>
      </c>
      <c r="CP23" s="53" t="str">
        <f>IF(Tim!II25="","",1)</f>
        <v/>
      </c>
      <c r="CQ23" s="54" t="str">
        <f>IF(Tim!IJ25="","",1)</f>
        <v/>
      </c>
      <c r="CR23" s="56">
        <f>IF(Tim!JN25="","",1)</f>
        <v>1</v>
      </c>
      <c r="CS23" s="53" t="str">
        <f>IF(Tim!JO25="","",1)</f>
        <v/>
      </c>
      <c r="CT23" s="53" t="str">
        <f>IF(Tim!JP25="","",1)</f>
        <v/>
      </c>
      <c r="CU23" s="53" t="str">
        <f>IF(Tim!JQ25="","",1)</f>
        <v/>
      </c>
      <c r="CV23" s="53" t="str">
        <f>IF(Tim!JR25="","",1)</f>
        <v/>
      </c>
      <c r="CW23" s="53" t="str">
        <f>IF(Tim!JS25="","",1)</f>
        <v/>
      </c>
      <c r="CX23" s="53" t="str">
        <f>IF(Tim!JT25="","",1)</f>
        <v/>
      </c>
      <c r="CY23" s="53" t="str">
        <f>IF(Tim!JU25="","",1)</f>
        <v/>
      </c>
      <c r="CZ23" s="53" t="str">
        <f>IF(Tim!JV25="","",1)</f>
        <v/>
      </c>
      <c r="DA23" s="53" t="str">
        <f>IF(Tim!JW25="","",1)</f>
        <v/>
      </c>
      <c r="DB23" s="53" t="str">
        <f>IF(Tim!JX25="","",1)</f>
        <v/>
      </c>
      <c r="DC23" s="53" t="str">
        <f>IF(Tim!JY25="","",1)</f>
        <v/>
      </c>
      <c r="DD23" s="53" t="str">
        <f>IF(Tim!JZ25="","",1)</f>
        <v/>
      </c>
      <c r="DE23" s="53" t="str">
        <f>IF(Tim!KA25="","",1)</f>
        <v/>
      </c>
      <c r="DF23" s="55" t="str">
        <f>IF(Tim!KB25="","",1)</f>
        <v/>
      </c>
      <c r="DG23" s="52">
        <v>0.47916666666666602</v>
      </c>
    </row>
    <row r="24" spans="2:111" ht="10.5" customHeight="1">
      <c r="B24" s="51">
        <v>0.25</v>
      </c>
      <c r="C24" s="51">
        <v>0.25</v>
      </c>
      <c r="D24" s="51">
        <v>0.25</v>
      </c>
      <c r="E24" s="172">
        <v>0.48958333333333298</v>
      </c>
      <c r="F24" s="56">
        <f>IF(Tim!F26="","",1)</f>
        <v>1</v>
      </c>
      <c r="G24" s="60" t="str">
        <f>IF(Tim!G26="","",1)</f>
        <v/>
      </c>
      <c r="H24" s="60" t="str">
        <f>IF(Tim!H26="","",1)</f>
        <v/>
      </c>
      <c r="I24" s="60" t="str">
        <f>IF(Tim!I26="","",1)</f>
        <v/>
      </c>
      <c r="J24" s="60" t="str">
        <f>IF(Tim!J26="","",1)</f>
        <v/>
      </c>
      <c r="K24" s="60" t="str">
        <f>IF(Tim!K26="","",1)</f>
        <v/>
      </c>
      <c r="L24" s="60" t="str">
        <f>IF(Tim!L26="","",1)</f>
        <v/>
      </c>
      <c r="M24" s="60" t="str">
        <f>IF(Tim!M26="","",1)</f>
        <v/>
      </c>
      <c r="N24" s="60" t="str">
        <f>IF(Tim!N26="","",1)</f>
        <v/>
      </c>
      <c r="O24" s="60" t="str">
        <f>IF(Tim!O26="","",1)</f>
        <v/>
      </c>
      <c r="P24" s="60">
        <f>IF(Tim!P26="","",1)</f>
        <v>1</v>
      </c>
      <c r="Q24" s="60" t="str">
        <f>IF(Tim!Q26="","",1)</f>
        <v/>
      </c>
      <c r="R24" s="60" t="str">
        <f>IF(Tim!R26="","",1)</f>
        <v/>
      </c>
      <c r="S24" s="60" t="str">
        <f>IF(Tim!S26="","",1)</f>
        <v/>
      </c>
      <c r="T24" s="60" t="str">
        <f>IF(Tim!T26="","",1)</f>
        <v/>
      </c>
      <c r="U24" s="56">
        <f>IF(Tim!AY26="","",1)</f>
        <v>1</v>
      </c>
      <c r="V24" s="60" t="str">
        <f>IF(Tim!AZ26="","",1)</f>
        <v/>
      </c>
      <c r="W24" s="60" t="str">
        <f>IF(Tim!BA26="","",1)</f>
        <v/>
      </c>
      <c r="X24" s="60" t="str">
        <f>IF(Tim!BB26="","",1)</f>
        <v/>
      </c>
      <c r="Y24" s="60" t="str">
        <f>IF(Tim!BC26="","",1)</f>
        <v/>
      </c>
      <c r="Z24" s="60" t="str">
        <f>IF(Tim!BD26="","",1)</f>
        <v/>
      </c>
      <c r="AA24" s="60" t="str">
        <f>IF(Tim!BE26="","",1)</f>
        <v/>
      </c>
      <c r="AB24" s="60" t="str">
        <f>IF(Tim!BF26="","",1)</f>
        <v/>
      </c>
      <c r="AC24" s="60" t="str">
        <f>IF(Tim!BG26="","",1)</f>
        <v/>
      </c>
      <c r="AD24" s="60" t="str">
        <f>IF(Tim!BH26="","",1)</f>
        <v/>
      </c>
      <c r="AE24" s="60" t="str">
        <f>IF(Tim!BI26="","",1)</f>
        <v/>
      </c>
      <c r="AF24" s="60" t="str">
        <f>IF(Tim!BJ26="","",1)</f>
        <v/>
      </c>
      <c r="AG24" s="60" t="str">
        <f>IF(Tim!BK26="","",1)</f>
        <v/>
      </c>
      <c r="AH24" s="60" t="str">
        <f>IF(Tim!BL26="","",1)</f>
        <v/>
      </c>
      <c r="AI24" s="60" t="str">
        <f>IF(Tim!BM26="","",1)</f>
        <v/>
      </c>
      <c r="AJ24" s="56">
        <f>IF(Tim!CQ26="","",1)</f>
        <v>1</v>
      </c>
      <c r="AK24" s="60" t="str">
        <f>IF(Tim!CR26="","",1)</f>
        <v/>
      </c>
      <c r="AL24" s="60" t="str">
        <f>IF(Tim!CS26="","",1)</f>
        <v/>
      </c>
      <c r="AM24" s="60" t="str">
        <f>IF(Tim!CT26="","",1)</f>
        <v/>
      </c>
      <c r="AN24" s="60" t="str">
        <f>IF(Tim!CU26="","",1)</f>
        <v/>
      </c>
      <c r="AO24" s="60" t="str">
        <f>IF(Tim!CV26="","",1)</f>
        <v/>
      </c>
      <c r="AP24" s="60" t="str">
        <f>IF(Tim!CW26="","",1)</f>
        <v/>
      </c>
      <c r="AQ24" s="60" t="str">
        <f>IF(Tim!CX26="","",1)</f>
        <v/>
      </c>
      <c r="AR24" s="60" t="str">
        <f>IF(Tim!CY26="","",1)</f>
        <v/>
      </c>
      <c r="AS24" s="60" t="str">
        <f>IF(Tim!CZ26="","",1)</f>
        <v/>
      </c>
      <c r="AT24" s="60" t="str">
        <f>IF(Tim!DA26="","",1)</f>
        <v/>
      </c>
      <c r="AU24" s="60">
        <f>IF(Tim!DB26="","",1)</f>
        <v>1</v>
      </c>
      <c r="AV24" s="60" t="str">
        <f>IF(Tim!DC26="","",1)</f>
        <v/>
      </c>
      <c r="AW24" s="60" t="str">
        <f>IF(Tim!DD26="","",1)</f>
        <v/>
      </c>
      <c r="AX24" s="60" t="str">
        <f>IF(Tim!DE26="","",1)</f>
        <v/>
      </c>
      <c r="AY24" s="56">
        <f>IF(Tim!EL26="","",1)</f>
        <v>1</v>
      </c>
      <c r="AZ24" s="60" t="str">
        <f>IF(Tim!EM26="","",1)</f>
        <v/>
      </c>
      <c r="BA24" s="60" t="str">
        <f>IF(Tim!EN26="","",1)</f>
        <v/>
      </c>
      <c r="BB24" s="60" t="str">
        <f>IF(Tim!EO26="","",1)</f>
        <v/>
      </c>
      <c r="BC24" s="60" t="str">
        <f>IF(Tim!EP26="","",1)</f>
        <v/>
      </c>
      <c r="BD24" s="60" t="str">
        <f>IF(Tim!EQ26="","",1)</f>
        <v/>
      </c>
      <c r="BE24" s="60" t="str">
        <f>IF(Tim!ER26="","",1)</f>
        <v/>
      </c>
      <c r="BF24" s="60" t="str">
        <f>IF(Tim!ES26="","",1)</f>
        <v/>
      </c>
      <c r="BG24" s="60" t="str">
        <f>IF(Tim!ET26="","",1)</f>
        <v/>
      </c>
      <c r="BH24" s="60" t="str">
        <f>IF(Tim!EU26="","",1)</f>
        <v/>
      </c>
      <c r="BI24" s="60" t="str">
        <f>IF(Tim!EV26="","",1)</f>
        <v/>
      </c>
      <c r="BJ24" s="60" t="str">
        <f>IF(Tim!EW26="","",1)</f>
        <v/>
      </c>
      <c r="BK24" s="60" t="str">
        <f>IF(Tim!EX26="","",1)</f>
        <v/>
      </c>
      <c r="BL24" s="60" t="str">
        <f>IF(Tim!EY26="","",1)</f>
        <v/>
      </c>
      <c r="BM24" s="60" t="str">
        <f>IF(Tim!EZ26="","",1)</f>
        <v/>
      </c>
      <c r="BN24" s="56">
        <f>IF(Tim!GD26="","",1)</f>
        <v>1</v>
      </c>
      <c r="BO24" s="60" t="str">
        <f>IF(Tim!GE26="","",1)</f>
        <v/>
      </c>
      <c r="BP24" s="60" t="str">
        <f>IF(Tim!GF26="","",1)</f>
        <v/>
      </c>
      <c r="BQ24" s="60" t="str">
        <f>IF(Tim!GG26="","",1)</f>
        <v/>
      </c>
      <c r="BR24" s="60" t="str">
        <f>IF(Tim!GH26="","",1)</f>
        <v/>
      </c>
      <c r="BS24" s="60" t="str">
        <f>IF(Tim!GI26="","",1)</f>
        <v/>
      </c>
      <c r="BT24" s="60" t="str">
        <f>IF(Tim!GJ26="","",1)</f>
        <v/>
      </c>
      <c r="BU24" s="60" t="str">
        <f>IF(Tim!GK26="","",1)</f>
        <v/>
      </c>
      <c r="BV24" s="60">
        <f>IF(Tim!GL26="","",1)</f>
        <v>1</v>
      </c>
      <c r="BW24" s="60">
        <f>IF(Tim!GM26="","",1)</f>
        <v>1</v>
      </c>
      <c r="BX24" s="60">
        <f>IF(Tim!GN26="","",1)</f>
        <v>1</v>
      </c>
      <c r="BY24" s="60" t="str">
        <f>IF(Tim!GO26="","",1)</f>
        <v/>
      </c>
      <c r="BZ24" s="60" t="str">
        <f>IF(Tim!GP26="","",1)</f>
        <v/>
      </c>
      <c r="CA24" s="60" t="str">
        <f>IF(Tim!GQ26="","",1)</f>
        <v/>
      </c>
      <c r="CB24" s="60" t="str">
        <f>IF(Tim!GR26="","",1)</f>
        <v/>
      </c>
      <c r="CC24" s="56">
        <f>IF(Tim!HV26="","",1)</f>
        <v>1</v>
      </c>
      <c r="CD24" s="53" t="str">
        <f>IF(Tim!HW26="","",1)</f>
        <v/>
      </c>
      <c r="CE24" s="53" t="str">
        <f>IF(Tim!HX26="","",1)</f>
        <v/>
      </c>
      <c r="CF24" s="53" t="str">
        <f>IF(Tim!HY26="","",1)</f>
        <v/>
      </c>
      <c r="CG24" s="53" t="str">
        <f>IF(Tim!HZ26="","",1)</f>
        <v/>
      </c>
      <c r="CH24" s="53" t="str">
        <f>IF(Tim!IA26="","",1)</f>
        <v/>
      </c>
      <c r="CI24" s="53" t="str">
        <f>IF(Tim!IB26="","",1)</f>
        <v/>
      </c>
      <c r="CJ24" s="53" t="str">
        <f>IF(Tim!IC26="","",1)</f>
        <v/>
      </c>
      <c r="CK24" s="53" t="str">
        <f>IF(Tim!ID26="","",1)</f>
        <v/>
      </c>
      <c r="CL24" s="53" t="str">
        <f>IF(Tim!IE26="","",1)</f>
        <v/>
      </c>
      <c r="CM24" s="53">
        <f>IF(Tim!IF26="","",1)</f>
        <v>1</v>
      </c>
      <c r="CN24" s="53" t="str">
        <f>IF(Tim!IG26="","",1)</f>
        <v/>
      </c>
      <c r="CO24" s="53" t="str">
        <f>IF(Tim!IH26="","",1)</f>
        <v/>
      </c>
      <c r="CP24" s="53" t="str">
        <f>IF(Tim!II26="","",1)</f>
        <v/>
      </c>
      <c r="CQ24" s="54" t="str">
        <f>IF(Tim!IJ26="","",1)</f>
        <v/>
      </c>
      <c r="CR24" s="56">
        <f>IF(Tim!JN26="","",1)</f>
        <v>1</v>
      </c>
      <c r="CS24" s="53" t="str">
        <f>IF(Tim!JO26="","",1)</f>
        <v/>
      </c>
      <c r="CT24" s="53" t="str">
        <f>IF(Tim!JP26="","",1)</f>
        <v/>
      </c>
      <c r="CU24" s="53" t="str">
        <f>IF(Tim!JQ26="","",1)</f>
        <v/>
      </c>
      <c r="CV24" s="53" t="str">
        <f>IF(Tim!JR26="","",1)</f>
        <v/>
      </c>
      <c r="CW24" s="53" t="str">
        <f>IF(Tim!JS26="","",1)</f>
        <v/>
      </c>
      <c r="CX24" s="53" t="str">
        <f>IF(Tim!JT26="","",1)</f>
        <v/>
      </c>
      <c r="CY24" s="53" t="str">
        <f>IF(Tim!JU26="","",1)</f>
        <v/>
      </c>
      <c r="CZ24" s="53" t="str">
        <f>IF(Tim!JV26="","",1)</f>
        <v/>
      </c>
      <c r="DA24" s="53" t="str">
        <f>IF(Tim!JW26="","",1)</f>
        <v/>
      </c>
      <c r="DB24" s="53" t="str">
        <f>IF(Tim!JX26="","",1)</f>
        <v/>
      </c>
      <c r="DC24" s="53" t="str">
        <f>IF(Tim!JY26="","",1)</f>
        <v/>
      </c>
      <c r="DD24" s="53" t="str">
        <f>IF(Tim!JZ26="","",1)</f>
        <v/>
      </c>
      <c r="DE24" s="53" t="str">
        <f>IF(Tim!KA26="","",1)</f>
        <v/>
      </c>
      <c r="DF24" s="55" t="str">
        <f>IF(Tim!KB26="","",1)</f>
        <v/>
      </c>
      <c r="DG24" s="52">
        <v>0.48958333333333298</v>
      </c>
    </row>
    <row r="25" spans="2:111" ht="10.5" customHeight="1">
      <c r="B25" s="51">
        <v>0.25</v>
      </c>
      <c r="C25" s="51">
        <v>0.25</v>
      </c>
      <c r="D25" s="51">
        <v>0.25</v>
      </c>
      <c r="E25" s="172">
        <v>0.5</v>
      </c>
      <c r="F25" s="56">
        <f>IF(Tim!F27="","",1)</f>
        <v>1</v>
      </c>
      <c r="G25" s="60" t="str">
        <f>IF(Tim!G27="","",1)</f>
        <v/>
      </c>
      <c r="H25" s="60" t="str">
        <f>IF(Tim!H27="","",1)</f>
        <v/>
      </c>
      <c r="I25" s="60" t="str">
        <f>IF(Tim!I27="","",1)</f>
        <v/>
      </c>
      <c r="J25" s="60" t="str">
        <f>IF(Tim!J27="","",1)</f>
        <v/>
      </c>
      <c r="K25" s="60" t="str">
        <f>IF(Tim!K27="","",1)</f>
        <v/>
      </c>
      <c r="L25" s="60" t="str">
        <f>IF(Tim!L27="","",1)</f>
        <v/>
      </c>
      <c r="M25" s="60" t="str">
        <f>IF(Tim!G27="","",1)</f>
        <v/>
      </c>
      <c r="N25" s="60" t="str">
        <f>IF(Tim!N27="","",1)</f>
        <v/>
      </c>
      <c r="O25" s="60" t="str">
        <f>IF(Tim!O27="","",1)</f>
        <v/>
      </c>
      <c r="P25" s="60">
        <f>IF(Tim!P27="","",1)</f>
        <v>1</v>
      </c>
      <c r="Q25" s="60" t="str">
        <f>IF(Tim!Q27="","",1)</f>
        <v/>
      </c>
      <c r="R25" s="60" t="str">
        <f>IF(Tim!R27="","",1)</f>
        <v/>
      </c>
      <c r="S25" s="60" t="str">
        <f>IF(Tim!S27="","",1)</f>
        <v/>
      </c>
      <c r="T25" s="60" t="str">
        <f>IF(Tim!T27="","",1)</f>
        <v/>
      </c>
      <c r="U25" s="56">
        <f>IF(Tim!AY27="","",1)</f>
        <v>1</v>
      </c>
      <c r="V25" s="60" t="str">
        <f>IF(Tim!AZ27="","",1)</f>
        <v/>
      </c>
      <c r="W25" s="60" t="str">
        <f>IF(Tim!BA27="","",1)</f>
        <v/>
      </c>
      <c r="X25" s="60" t="str">
        <f>IF(Tim!BB27="","",1)</f>
        <v/>
      </c>
      <c r="Y25" s="60" t="str">
        <f>IF(Tim!BC27="","",1)</f>
        <v/>
      </c>
      <c r="Z25" s="60" t="str">
        <f>IF(Tim!BD27="","",1)</f>
        <v/>
      </c>
      <c r="AA25" s="60" t="str">
        <f>IF(Tim!BE27="","",1)</f>
        <v/>
      </c>
      <c r="AB25" s="60">
        <f>IF(Tim!BF27="","",1)</f>
        <v>1</v>
      </c>
      <c r="AC25" s="60" t="str">
        <f>IF(Tim!BG27="","",1)</f>
        <v/>
      </c>
      <c r="AD25" s="60" t="str">
        <f>IF(Tim!BH27="","",1)</f>
        <v/>
      </c>
      <c r="AE25" s="60" t="str">
        <f>IF(Tim!BI27="","",1)</f>
        <v/>
      </c>
      <c r="AF25" s="60" t="str">
        <f>IF(Tim!BJ27="","",1)</f>
        <v/>
      </c>
      <c r="AG25" s="60" t="str">
        <f>IF(Tim!BK27="","",1)</f>
        <v/>
      </c>
      <c r="AH25" s="60" t="str">
        <f>IF(Tim!BL27="","",1)</f>
        <v/>
      </c>
      <c r="AI25" s="60" t="str">
        <f>IF(Tim!BM27="","",1)</f>
        <v/>
      </c>
      <c r="AJ25" s="56">
        <f>IF(Tim!CQ27="","",1)</f>
        <v>1</v>
      </c>
      <c r="AK25" s="60" t="str">
        <f>IF(Tim!CR27="","",1)</f>
        <v/>
      </c>
      <c r="AL25" s="60" t="str">
        <f>IF(Tim!CS27="","",1)</f>
        <v/>
      </c>
      <c r="AM25" s="60" t="str">
        <f>IF(Tim!CT27="","",1)</f>
        <v/>
      </c>
      <c r="AN25" s="60" t="str">
        <f>IF(Tim!CU27="","",1)</f>
        <v/>
      </c>
      <c r="AO25" s="60" t="str">
        <f>IF(Tim!CV27="","",1)</f>
        <v/>
      </c>
      <c r="AP25" s="60" t="str">
        <f>IF(Tim!CW27="","",1)</f>
        <v/>
      </c>
      <c r="AQ25" s="60" t="str">
        <f>IF(Tim!CX27="","",1)</f>
        <v/>
      </c>
      <c r="AR25" s="60" t="str">
        <f>IF(Tim!CY27="","",1)</f>
        <v/>
      </c>
      <c r="AS25" s="60" t="str">
        <f>IF(Tim!CZ27="","",1)</f>
        <v/>
      </c>
      <c r="AT25" s="60" t="str">
        <f>IF(Tim!DA27="","",1)</f>
        <v/>
      </c>
      <c r="AU25" s="60">
        <f>IF(Tim!DB27="","",1)</f>
        <v>1</v>
      </c>
      <c r="AV25" s="60" t="str">
        <f>IF(Tim!DC27="","",1)</f>
        <v/>
      </c>
      <c r="AW25" s="60" t="str">
        <f>IF(Tim!DD27="","",1)</f>
        <v/>
      </c>
      <c r="AX25" s="60" t="str">
        <f>IF(Tim!DE27="","",1)</f>
        <v/>
      </c>
      <c r="AY25" s="56">
        <f>IF(Tim!EL27="","",1)</f>
        <v>1</v>
      </c>
      <c r="AZ25" s="60">
        <f>IF(Tim!EM27="","",1)</f>
        <v>1</v>
      </c>
      <c r="BA25" s="60" t="str">
        <f>IF(Tim!EN27="","",1)</f>
        <v/>
      </c>
      <c r="BB25" s="60" t="str">
        <f>IF(Tim!EO27="","",1)</f>
        <v/>
      </c>
      <c r="BC25" s="60" t="str">
        <f>IF(Tim!EP27="","",1)</f>
        <v/>
      </c>
      <c r="BD25" s="60" t="str">
        <f>IF(Tim!EQ27="","",1)</f>
        <v/>
      </c>
      <c r="BE25" s="60" t="str">
        <f>IF(Tim!ER27="","",1)</f>
        <v/>
      </c>
      <c r="BF25" s="60" t="str">
        <f>IF(Tim!ES27="","",1)</f>
        <v/>
      </c>
      <c r="BG25" s="60" t="str">
        <f>IF(Tim!ET27="","",1)</f>
        <v/>
      </c>
      <c r="BH25" s="60" t="str">
        <f>IF(Tim!EU27="","",1)</f>
        <v/>
      </c>
      <c r="BI25" s="60" t="str">
        <f>IF(Tim!EV27="","",1)</f>
        <v/>
      </c>
      <c r="BJ25" s="60">
        <f>IF(Tim!EW27="","",1)</f>
        <v>1</v>
      </c>
      <c r="BK25" s="60" t="str">
        <f>IF(Tim!EX27="","",1)</f>
        <v/>
      </c>
      <c r="BL25" s="60" t="str">
        <f>IF(Tim!EY27="","",1)</f>
        <v/>
      </c>
      <c r="BM25" s="60" t="str">
        <f>IF(Tim!EZ27="","",1)</f>
        <v/>
      </c>
      <c r="BN25" s="56">
        <f>IF(Tim!GD27="","",1)</f>
        <v>1</v>
      </c>
      <c r="BO25" s="60" t="str">
        <f>IF(Tim!GE27="","",1)</f>
        <v/>
      </c>
      <c r="BP25" s="60" t="str">
        <f>IF(Tim!GF27="","",1)</f>
        <v/>
      </c>
      <c r="BQ25" s="60" t="str">
        <f>IF(Tim!GG27="","",1)</f>
        <v/>
      </c>
      <c r="BR25" s="60" t="str">
        <f>IF(Tim!GH27="","",1)</f>
        <v/>
      </c>
      <c r="BS25" s="60" t="str">
        <f>IF(Tim!GI27="","",1)</f>
        <v/>
      </c>
      <c r="BT25" s="60" t="str">
        <f>IF(Tim!GJ27="","",1)</f>
        <v/>
      </c>
      <c r="BU25" s="60" t="str">
        <f>IF(Tim!GK27="","",1)</f>
        <v/>
      </c>
      <c r="BV25" s="60" t="str">
        <f>IF(Tim!GL27="","",1)</f>
        <v/>
      </c>
      <c r="BW25" s="60" t="str">
        <f>IF(Tim!GM27="","",1)</f>
        <v/>
      </c>
      <c r="BX25" s="60">
        <f>IF(Tim!GN27="","",1)</f>
        <v>1</v>
      </c>
      <c r="BY25" s="60" t="str">
        <f>IF(Tim!GO27="","",1)</f>
        <v/>
      </c>
      <c r="BZ25" s="60">
        <f>IF(Tim!GP27="","",1)</f>
        <v>1</v>
      </c>
      <c r="CA25" s="60" t="str">
        <f>IF(Tim!GQ27="","",1)</f>
        <v/>
      </c>
      <c r="CB25" s="60" t="str">
        <f>IF(Tim!GR27="","",1)</f>
        <v/>
      </c>
      <c r="CC25" s="56">
        <f>IF(Tim!HV27="","",1)</f>
        <v>1</v>
      </c>
      <c r="CD25" s="53" t="str">
        <f>IF(Tim!HW27="","",1)</f>
        <v/>
      </c>
      <c r="CE25" s="53" t="str">
        <f>IF(Tim!HX27="","",1)</f>
        <v/>
      </c>
      <c r="CF25" s="53" t="str">
        <f>IF(Tim!HY27="","",1)</f>
        <v/>
      </c>
      <c r="CG25" s="53" t="str">
        <f>IF(Tim!HZ27="","",1)</f>
        <v/>
      </c>
      <c r="CH25" s="53" t="str">
        <f>IF(Tim!IA27="","",1)</f>
        <v/>
      </c>
      <c r="CI25" s="53" t="str">
        <f>IF(Tim!IB27="","",1)</f>
        <v/>
      </c>
      <c r="CJ25" s="53" t="str">
        <f>IF(Tim!IC27="","",1)</f>
        <v/>
      </c>
      <c r="CK25" s="53" t="str">
        <f>IF(Tim!ID27="","",1)</f>
        <v/>
      </c>
      <c r="CL25" s="53" t="str">
        <f>IF(Tim!IE27="","",1)</f>
        <v/>
      </c>
      <c r="CM25" s="53">
        <f>IF(Tim!IF27="","",1)</f>
        <v>1</v>
      </c>
      <c r="CN25" s="53" t="str">
        <f>IF(Tim!IG27="","",1)</f>
        <v/>
      </c>
      <c r="CO25" s="53" t="str">
        <f>IF(Tim!IH27="","",1)</f>
        <v/>
      </c>
      <c r="CP25" s="53" t="str">
        <f>IF(Tim!II27="","",1)</f>
        <v/>
      </c>
      <c r="CQ25" s="54" t="str">
        <f>IF(Tim!IJ27="","",1)</f>
        <v/>
      </c>
      <c r="CR25" s="56">
        <f>IF(Tim!JN27="","",1)</f>
        <v>1</v>
      </c>
      <c r="CS25" s="53" t="str">
        <f>IF(Tim!JO27="","",1)</f>
        <v/>
      </c>
      <c r="CT25" s="53" t="str">
        <f>IF(Tim!JP27="","",1)</f>
        <v/>
      </c>
      <c r="CU25" s="53" t="str">
        <f>IF(Tim!JQ27="","",1)</f>
        <v/>
      </c>
      <c r="CV25" s="53" t="str">
        <f>IF(Tim!JR27="","",1)</f>
        <v/>
      </c>
      <c r="CW25" s="53" t="str">
        <f>IF(Tim!JS27="","",1)</f>
        <v/>
      </c>
      <c r="CX25" s="53" t="str">
        <f>IF(Tim!JT27="","",1)</f>
        <v/>
      </c>
      <c r="CY25" s="53" t="str">
        <f>IF(Tim!JU27="","",1)</f>
        <v/>
      </c>
      <c r="CZ25" s="53" t="str">
        <f>IF(Tim!JV27="","",1)</f>
        <v/>
      </c>
      <c r="DA25" s="53" t="str">
        <f>IF(Tim!JW27="","",1)</f>
        <v/>
      </c>
      <c r="DB25" s="53" t="str">
        <f>IF(Tim!JX27="","",1)</f>
        <v/>
      </c>
      <c r="DC25" s="53" t="str">
        <f>IF(Tim!JY27="","",1)</f>
        <v/>
      </c>
      <c r="DD25" s="53" t="str">
        <f>IF(Tim!JZ27="","",1)</f>
        <v/>
      </c>
      <c r="DE25" s="53" t="str">
        <f>IF(Tim!KA27="","",1)</f>
        <v/>
      </c>
      <c r="DF25" s="55" t="str">
        <f>IF(Tim!KB27="","",1)</f>
        <v/>
      </c>
      <c r="DG25" s="52">
        <v>0.5</v>
      </c>
    </row>
    <row r="26" spans="2:111" ht="10.5" customHeight="1">
      <c r="B26" s="51">
        <v>0.25</v>
      </c>
      <c r="C26" s="51">
        <v>0.25</v>
      </c>
      <c r="D26" s="51">
        <v>0.25</v>
      </c>
      <c r="E26" s="172">
        <v>0.51041666666666596</v>
      </c>
      <c r="F26" s="56">
        <f>IF(Tim!F28="","",1)</f>
        <v>1</v>
      </c>
      <c r="G26" s="60" t="str">
        <f>IF(Tim!G28="","",1)</f>
        <v/>
      </c>
      <c r="H26" s="60" t="str">
        <f>IF(Tim!H28="","",1)</f>
        <v/>
      </c>
      <c r="I26" s="60" t="str">
        <f>IF(Tim!I28="","",1)</f>
        <v/>
      </c>
      <c r="J26" s="60" t="str">
        <f>IF(Tim!J28="","",1)</f>
        <v/>
      </c>
      <c r="K26" s="60" t="str">
        <f>IF(Tim!K28="","",1)</f>
        <v/>
      </c>
      <c r="L26" s="60" t="str">
        <f>IF(Tim!L28="","",1)</f>
        <v/>
      </c>
      <c r="M26" s="60" t="str">
        <f>IF(Tim!M28="","",1)</f>
        <v/>
      </c>
      <c r="N26" s="60" t="str">
        <f>IF(Tim!N28="","",1)</f>
        <v/>
      </c>
      <c r="O26" s="60" t="str">
        <f>IF(Tim!O28="","",1)</f>
        <v/>
      </c>
      <c r="P26" s="60">
        <f>IF(Tim!P28="","",1)</f>
        <v>1</v>
      </c>
      <c r="Q26" s="60" t="str">
        <f>IF(Tim!Q28="","",1)</f>
        <v/>
      </c>
      <c r="R26" s="60" t="str">
        <f>IF(Tim!R28="","",1)</f>
        <v/>
      </c>
      <c r="S26" s="60" t="str">
        <f>IF(Tim!S28="","",1)</f>
        <v/>
      </c>
      <c r="T26" s="60" t="str">
        <f>IF(Tim!T28="","",1)</f>
        <v/>
      </c>
      <c r="U26" s="56">
        <f>IF(Tim!AY28="","",1)</f>
        <v>1</v>
      </c>
      <c r="V26" s="60">
        <f>IF(Tim!AZ28="","",1)</f>
        <v>1</v>
      </c>
      <c r="W26" s="60" t="str">
        <f>IF(Tim!BA28="","",1)</f>
        <v/>
      </c>
      <c r="X26" s="60" t="str">
        <f>IF(Tim!BB28="","",1)</f>
        <v/>
      </c>
      <c r="Y26" s="60" t="str">
        <f>IF(Tim!BC28="","",1)</f>
        <v/>
      </c>
      <c r="Z26" s="60" t="str">
        <f>IF(Tim!BD28="","",1)</f>
        <v/>
      </c>
      <c r="AA26" s="60" t="str">
        <f>IF(Tim!BE28="","",1)</f>
        <v/>
      </c>
      <c r="AB26" s="60">
        <f>IF(Tim!BF28="","",1)</f>
        <v>1</v>
      </c>
      <c r="AC26" s="60" t="str">
        <f>IF(Tim!BG28="","",1)</f>
        <v/>
      </c>
      <c r="AD26" s="60" t="str">
        <f>IF(Tim!BH28="","",1)</f>
        <v/>
      </c>
      <c r="AE26" s="60">
        <f>IF(Tim!BI28="","",1)</f>
        <v>1</v>
      </c>
      <c r="AF26" s="60" t="str">
        <f>IF(Tim!BJ28="","",1)</f>
        <v/>
      </c>
      <c r="AG26" s="60" t="str">
        <f>IF(Tim!BK28="","",1)</f>
        <v/>
      </c>
      <c r="AH26" s="60" t="str">
        <f>IF(Tim!BL28="","",1)</f>
        <v/>
      </c>
      <c r="AI26" s="60" t="str">
        <f>IF(Tim!BM28="","",1)</f>
        <v/>
      </c>
      <c r="AJ26" s="56">
        <f>IF(Tim!CQ28="","",1)</f>
        <v>1</v>
      </c>
      <c r="AK26" s="60" t="str">
        <f>IF(Tim!CR28="","",1)</f>
        <v/>
      </c>
      <c r="AL26" s="60" t="str">
        <f>IF(Tim!CS28="","",1)</f>
        <v/>
      </c>
      <c r="AM26" s="60" t="str">
        <f>IF(Tim!CT28="","",1)</f>
        <v/>
      </c>
      <c r="AN26" s="60" t="str">
        <f>IF(Tim!CU28="","",1)</f>
        <v/>
      </c>
      <c r="AO26" s="60" t="str">
        <f>IF(Tim!CV28="","",1)</f>
        <v/>
      </c>
      <c r="AP26" s="60" t="str">
        <f>IF(Tim!CW28="","",1)</f>
        <v/>
      </c>
      <c r="AQ26" s="60" t="str">
        <f>IF(Tim!CX28="","",1)</f>
        <v/>
      </c>
      <c r="AR26" s="60" t="str">
        <f>IF(Tim!CY28="","",1)</f>
        <v/>
      </c>
      <c r="AS26" s="60" t="str">
        <f>IF(Tim!CZ28="","",1)</f>
        <v/>
      </c>
      <c r="AT26" s="60" t="str">
        <f>IF(Tim!DA28="","",1)</f>
        <v/>
      </c>
      <c r="AU26" s="60">
        <f>IF(Tim!DB28="","",1)</f>
        <v>1</v>
      </c>
      <c r="AV26" s="60" t="str">
        <f>IF(Tim!DC28="","",1)</f>
        <v/>
      </c>
      <c r="AW26" s="60" t="str">
        <f>IF(Tim!DD28="","",1)</f>
        <v/>
      </c>
      <c r="AX26" s="60" t="str">
        <f>IF(Tim!DE28="","",1)</f>
        <v/>
      </c>
      <c r="AY26" s="56">
        <f>IF(Tim!EL28="","",1)</f>
        <v>1</v>
      </c>
      <c r="AZ26" s="60">
        <f>IF(Tim!EM28="","",1)</f>
        <v>1</v>
      </c>
      <c r="BA26" s="60" t="str">
        <f>IF(Tim!EN28="","",1)</f>
        <v/>
      </c>
      <c r="BB26" s="60" t="str">
        <f>IF(Tim!EO28="","",1)</f>
        <v/>
      </c>
      <c r="BC26" s="60" t="str">
        <f>IF(Tim!EP28="","",1)</f>
        <v/>
      </c>
      <c r="BD26" s="60" t="str">
        <f>IF(Tim!EQ28="","",1)</f>
        <v/>
      </c>
      <c r="BE26" s="60" t="str">
        <f>IF(Tim!ER28="","",1)</f>
        <v/>
      </c>
      <c r="BF26" s="60" t="str">
        <f>IF(Tim!ES28="","",1)</f>
        <v/>
      </c>
      <c r="BG26" s="60" t="str">
        <f>IF(Tim!ET28="","",1)</f>
        <v/>
      </c>
      <c r="BH26" s="60" t="str">
        <f>IF(Tim!EU28="","",1)</f>
        <v/>
      </c>
      <c r="BI26" s="60" t="str">
        <f>IF(Tim!EV28="","",1)</f>
        <v/>
      </c>
      <c r="BJ26" s="60">
        <f>IF(Tim!EW28="","",1)</f>
        <v>1</v>
      </c>
      <c r="BK26" s="60" t="str">
        <f>IF(Tim!EX28="","",1)</f>
        <v/>
      </c>
      <c r="BL26" s="60" t="str">
        <f>IF(Tim!EY28="","",1)</f>
        <v/>
      </c>
      <c r="BM26" s="60" t="str">
        <f>IF(Tim!EZ28="","",1)</f>
        <v/>
      </c>
      <c r="BN26" s="56">
        <f>IF(Tim!GD28="","",1)</f>
        <v>1</v>
      </c>
      <c r="BO26" s="60" t="str">
        <f>IF(Tim!GE28="","",1)</f>
        <v/>
      </c>
      <c r="BP26" s="60" t="str">
        <f>IF(Tim!GF28="","",1)</f>
        <v/>
      </c>
      <c r="BQ26" s="60" t="str">
        <f>IF(Tim!GG28="","",1)</f>
        <v/>
      </c>
      <c r="BR26" s="60" t="str">
        <f>IF(Tim!GH28="","",1)</f>
        <v/>
      </c>
      <c r="BS26" s="60" t="str">
        <f>IF(Tim!GI28="","",1)</f>
        <v/>
      </c>
      <c r="BT26" s="60" t="str">
        <f>IF(Tim!GJ28="","",1)</f>
        <v/>
      </c>
      <c r="BU26" s="60" t="str">
        <f>IF(Tim!GK28="","",1)</f>
        <v/>
      </c>
      <c r="BV26" s="60" t="str">
        <f>IF(Tim!GL28="","",1)</f>
        <v/>
      </c>
      <c r="BW26" s="60" t="str">
        <f>IF(Tim!GM28="","",1)</f>
        <v/>
      </c>
      <c r="BX26" s="60">
        <f>IF(Tim!GN28="","",1)</f>
        <v>1</v>
      </c>
      <c r="BY26" s="60" t="str">
        <f>IF(Tim!GO28="","",1)</f>
        <v/>
      </c>
      <c r="BZ26" s="60">
        <f>IF(Tim!GP28="","",1)</f>
        <v>1</v>
      </c>
      <c r="CA26" s="60" t="str">
        <f>IF(Tim!GQ28="","",1)</f>
        <v/>
      </c>
      <c r="CB26" s="60" t="str">
        <f>IF(Tim!GR28="","",1)</f>
        <v/>
      </c>
      <c r="CC26" s="56">
        <f>IF(Tim!HV28="","",1)</f>
        <v>1</v>
      </c>
      <c r="CD26" s="53" t="str">
        <f>IF(Tim!HW28="","",1)</f>
        <v/>
      </c>
      <c r="CE26" s="53" t="str">
        <f>IF(Tim!HX28="","",1)</f>
        <v/>
      </c>
      <c r="CF26" s="53" t="str">
        <f>IF(Tim!HY28="","",1)</f>
        <v/>
      </c>
      <c r="CG26" s="53" t="str">
        <f>IF(Tim!HZ28="","",1)</f>
        <v/>
      </c>
      <c r="CH26" s="53" t="str">
        <f>IF(Tim!IA28="","",1)</f>
        <v/>
      </c>
      <c r="CI26" s="53" t="str">
        <f>IF(Tim!IB28="","",1)</f>
        <v/>
      </c>
      <c r="CJ26" s="53" t="str">
        <f>IF(Tim!IC28="","",1)</f>
        <v/>
      </c>
      <c r="CK26" s="53" t="str">
        <f>IF(Tim!ID28="","",1)</f>
        <v/>
      </c>
      <c r="CL26" s="53" t="str">
        <f>IF(Tim!IE28="","",1)</f>
        <v/>
      </c>
      <c r="CM26" s="53">
        <f>IF(Tim!IF28="","",1)</f>
        <v>1</v>
      </c>
      <c r="CN26" s="53" t="str">
        <f>IF(Tim!IG28="","",1)</f>
        <v/>
      </c>
      <c r="CO26" s="53" t="str">
        <f>IF(Tim!IH28="","",1)</f>
        <v/>
      </c>
      <c r="CP26" s="53" t="str">
        <f>IF(Tim!II28="","",1)</f>
        <v/>
      </c>
      <c r="CQ26" s="54" t="str">
        <f>IF(Tim!IJ28="","",1)</f>
        <v/>
      </c>
      <c r="CR26" s="56">
        <f>IF(Tim!JN28="","",1)</f>
        <v>1</v>
      </c>
      <c r="CS26" s="53" t="str">
        <f>IF(Tim!JO28="","",1)</f>
        <v/>
      </c>
      <c r="CT26" s="53" t="str">
        <f>IF(Tim!JP28="","",1)</f>
        <v/>
      </c>
      <c r="CU26" s="53" t="str">
        <f>IF(Tim!JQ28="","",1)</f>
        <v/>
      </c>
      <c r="CV26" s="53" t="str">
        <f>IF(Tim!JR28="","",1)</f>
        <v/>
      </c>
      <c r="CW26" s="53" t="str">
        <f>IF(Tim!JS28="","",1)</f>
        <v/>
      </c>
      <c r="CX26" s="53" t="str">
        <f>IF(Tim!JT28="","",1)</f>
        <v/>
      </c>
      <c r="CY26" s="53" t="str">
        <f>IF(Tim!JU28="","",1)</f>
        <v/>
      </c>
      <c r="CZ26" s="53" t="str">
        <f>IF(Tim!JV28="","",1)</f>
        <v/>
      </c>
      <c r="DA26" s="53" t="str">
        <f>IF(Tim!JW28="","",1)</f>
        <v/>
      </c>
      <c r="DB26" s="53" t="str">
        <f>IF(Tim!JX28="","",1)</f>
        <v/>
      </c>
      <c r="DC26" s="53" t="str">
        <f>IF(Tim!JY28="","",1)</f>
        <v/>
      </c>
      <c r="DD26" s="53" t="str">
        <f>IF(Tim!JZ28="","",1)</f>
        <v/>
      </c>
      <c r="DE26" s="53" t="str">
        <f>IF(Tim!KA28="","",1)</f>
        <v/>
      </c>
      <c r="DF26" s="55" t="str">
        <f>IF(Tim!KB28="","",1)</f>
        <v/>
      </c>
      <c r="DG26" s="52">
        <v>0.51041666666666596</v>
      </c>
    </row>
    <row r="27" spans="2:111" ht="10.5" customHeight="1">
      <c r="B27" s="51">
        <v>0.25</v>
      </c>
      <c r="C27" s="51">
        <v>0.25</v>
      </c>
      <c r="D27" s="51">
        <v>0.25</v>
      </c>
      <c r="E27" s="172">
        <v>0.52083333333333304</v>
      </c>
      <c r="F27" s="56">
        <f>IF(Tim!F29="","",1)</f>
        <v>1</v>
      </c>
      <c r="G27" s="60" t="str">
        <f>IF(Tim!G29="","",1)</f>
        <v/>
      </c>
      <c r="H27" s="60" t="str">
        <f>IF(Tim!H29="","",1)</f>
        <v/>
      </c>
      <c r="I27" s="60" t="str">
        <f>IF(Tim!I29="","",1)</f>
        <v/>
      </c>
      <c r="J27" s="60" t="str">
        <f>IF(Tim!J29="","",1)</f>
        <v/>
      </c>
      <c r="K27" s="60" t="str">
        <f>IF(Tim!K29="","",1)</f>
        <v/>
      </c>
      <c r="L27" s="60" t="str">
        <f>IF(Tim!L29="","",1)</f>
        <v/>
      </c>
      <c r="M27" s="60" t="str">
        <f>IF(Tim!M29="","",1)</f>
        <v/>
      </c>
      <c r="N27" s="60" t="str">
        <f>IF(Tim!N29="","",1)</f>
        <v/>
      </c>
      <c r="O27" s="60" t="str">
        <f>IF(Tim!O29="","",1)</f>
        <v/>
      </c>
      <c r="P27" s="60">
        <f>IF(Tim!P29="","",1)</f>
        <v>1</v>
      </c>
      <c r="Q27" s="60" t="str">
        <f>IF(Tim!Q29="","",1)</f>
        <v/>
      </c>
      <c r="R27" s="60" t="str">
        <f>IF(Tim!R29="","",1)</f>
        <v/>
      </c>
      <c r="S27" s="60" t="str">
        <f>IF(Tim!S29="","",1)</f>
        <v/>
      </c>
      <c r="T27" s="60" t="str">
        <f>IF(Tim!T29="","",1)</f>
        <v/>
      </c>
      <c r="U27" s="56">
        <f>IF(Tim!AY29="","",1)</f>
        <v>1</v>
      </c>
      <c r="V27" s="60" t="str">
        <f>IF(Tim!AZ29="","",1)</f>
        <v/>
      </c>
      <c r="W27" s="60" t="str">
        <f>IF(Tim!BA29="","",1)</f>
        <v/>
      </c>
      <c r="X27" s="60" t="str">
        <f>IF(Tim!BB29="","",1)</f>
        <v/>
      </c>
      <c r="Y27" s="60" t="str">
        <f>IF(Tim!BC29="","",1)</f>
        <v/>
      </c>
      <c r="Z27" s="60" t="str">
        <f>IF(Tim!BD29="","",1)</f>
        <v/>
      </c>
      <c r="AA27" s="60" t="str">
        <f>IF(Tim!BE29="","",1)</f>
        <v/>
      </c>
      <c r="AB27" s="60" t="str">
        <f>IF(Tim!BF29="","",1)</f>
        <v/>
      </c>
      <c r="AC27" s="60">
        <f>IF(Tim!BG29="","",1)</f>
        <v>1</v>
      </c>
      <c r="AD27" s="60">
        <f>IF(Tim!BH29="","",1)</f>
        <v>1</v>
      </c>
      <c r="AE27" s="60">
        <f>IF(Tim!BI29="","",1)</f>
        <v>1</v>
      </c>
      <c r="AF27" s="60" t="str">
        <f>IF(Tim!BJ29="","",1)</f>
        <v/>
      </c>
      <c r="AG27" s="60" t="str">
        <f>IF(Tim!BK29="","",1)</f>
        <v/>
      </c>
      <c r="AH27" s="60" t="str">
        <f>IF(Tim!BL29="","",1)</f>
        <v/>
      </c>
      <c r="AI27" s="60" t="str">
        <f>IF(Tim!BM29="","",1)</f>
        <v/>
      </c>
      <c r="AJ27" s="56">
        <f>IF(Tim!CQ29="","",1)</f>
        <v>1</v>
      </c>
      <c r="AK27" s="60" t="str">
        <f>IF(Tim!CR29="","",1)</f>
        <v/>
      </c>
      <c r="AL27" s="60" t="str">
        <f>IF(Tim!CS29="","",1)</f>
        <v/>
      </c>
      <c r="AM27" s="60" t="str">
        <f>IF(Tim!CT29="","",1)</f>
        <v/>
      </c>
      <c r="AN27" s="60" t="str">
        <f>IF(Tim!CU29="","",1)</f>
        <v/>
      </c>
      <c r="AO27" s="60" t="str">
        <f>IF(Tim!CV29="","",1)</f>
        <v/>
      </c>
      <c r="AP27" s="60" t="str">
        <f>IF(Tim!CW29="","",1)</f>
        <v/>
      </c>
      <c r="AQ27" s="60">
        <f>IF(Tim!CX29="","",1)</f>
        <v>1</v>
      </c>
      <c r="AR27" s="60" t="str">
        <f>IF(Tim!CY29="","",1)</f>
        <v/>
      </c>
      <c r="AS27" s="60" t="str">
        <f>IF(Tim!CZ29="","",1)</f>
        <v/>
      </c>
      <c r="AT27" s="60" t="str">
        <f>IF(Tim!DA29="","",1)</f>
        <v/>
      </c>
      <c r="AU27" s="60" t="str">
        <f>IF(Tim!DB29="","",1)</f>
        <v/>
      </c>
      <c r="AV27" s="60" t="str">
        <f>IF(Tim!DC29="","",1)</f>
        <v/>
      </c>
      <c r="AW27" s="60" t="str">
        <f>IF(Tim!DD29="","",1)</f>
        <v/>
      </c>
      <c r="AX27" s="60" t="str">
        <f>IF(Tim!DE29="","",1)</f>
        <v/>
      </c>
      <c r="AY27" s="56">
        <f>IF(Tim!EL29="","",1)</f>
        <v>1</v>
      </c>
      <c r="AZ27" s="60" t="str">
        <f>IF(Tim!EM29="","",1)</f>
        <v/>
      </c>
      <c r="BA27" s="60" t="str">
        <f>IF(Tim!EN29="","",1)</f>
        <v/>
      </c>
      <c r="BB27" s="60" t="str">
        <f>IF(Tim!EO29="","",1)</f>
        <v/>
      </c>
      <c r="BC27" s="60" t="str">
        <f>IF(Tim!EP29="","",1)</f>
        <v/>
      </c>
      <c r="BD27" s="60" t="str">
        <f>IF(Tim!EQ29="","",1)</f>
        <v/>
      </c>
      <c r="BE27" s="60" t="str">
        <f>IF(Tim!ER29="","",1)</f>
        <v/>
      </c>
      <c r="BF27" s="60" t="str">
        <f>IF(Tim!ES29="","",1)</f>
        <v/>
      </c>
      <c r="BG27" s="60" t="str">
        <f>IF(Tim!ET29="","",1)</f>
        <v/>
      </c>
      <c r="BH27" s="60" t="str">
        <f>IF(Tim!EU29="","",1)</f>
        <v/>
      </c>
      <c r="BI27" s="60" t="str">
        <f>IF(Tim!EV29="","",1)</f>
        <v/>
      </c>
      <c r="BJ27" s="60">
        <f>IF(Tim!EW29="","",1)</f>
        <v>1</v>
      </c>
      <c r="BK27" s="60" t="str">
        <f>IF(Tim!EX29="","",1)</f>
        <v/>
      </c>
      <c r="BL27" s="60" t="str">
        <f>IF(Tim!EY29="","",1)</f>
        <v/>
      </c>
      <c r="BM27" s="60" t="str">
        <f>IF(Tim!EZ29="","",1)</f>
        <v/>
      </c>
      <c r="BN27" s="56">
        <f>IF(Tim!GD29="","",1)</f>
        <v>1</v>
      </c>
      <c r="BO27" s="60" t="str">
        <f>IF(Tim!GE29="","",1)</f>
        <v/>
      </c>
      <c r="BP27" s="60" t="str">
        <f>IF(Tim!GF29="","",1)</f>
        <v/>
      </c>
      <c r="BQ27" s="60" t="str">
        <f>IF(Tim!GG29="","",1)</f>
        <v/>
      </c>
      <c r="BR27" s="60" t="str">
        <f>IF(Tim!GH29="","",1)</f>
        <v/>
      </c>
      <c r="BS27" s="60" t="str">
        <f>IF(Tim!GI29="","",1)</f>
        <v/>
      </c>
      <c r="BT27" s="60" t="str">
        <f>IF(Tim!GJ29="","",1)</f>
        <v/>
      </c>
      <c r="BU27" s="60" t="str">
        <f>IF(Tim!GK29="","",1)</f>
        <v/>
      </c>
      <c r="BV27" s="60" t="str">
        <f>IF(Tim!GL29="","",1)</f>
        <v/>
      </c>
      <c r="BW27" s="60" t="str">
        <f>IF(Tim!GM29="","",1)</f>
        <v/>
      </c>
      <c r="BX27" s="60">
        <f>IF(Tim!GN29="","",1)</f>
        <v>1</v>
      </c>
      <c r="BY27" s="60" t="str">
        <f>IF(Tim!GO29="","",1)</f>
        <v/>
      </c>
      <c r="BZ27" s="60">
        <f>IF(Tim!GP29="","",1)</f>
        <v>1</v>
      </c>
      <c r="CA27" s="60" t="str">
        <f>IF(Tim!GQ29="","",1)</f>
        <v/>
      </c>
      <c r="CB27" s="60" t="str">
        <f>IF(Tim!GR29="","",1)</f>
        <v/>
      </c>
      <c r="CC27" s="56">
        <f>IF(Tim!HV29="","",1)</f>
        <v>1</v>
      </c>
      <c r="CD27" s="53" t="str">
        <f>IF(Tim!HW29="","",1)</f>
        <v/>
      </c>
      <c r="CE27" s="53" t="str">
        <f>IF(Tim!HX29="","",1)</f>
        <v/>
      </c>
      <c r="CF27" s="53" t="str">
        <f>IF(Tim!HY29="","",1)</f>
        <v/>
      </c>
      <c r="CG27" s="53" t="str">
        <f>IF(Tim!HZ29="","",1)</f>
        <v/>
      </c>
      <c r="CH27" s="53" t="str">
        <f>IF(Tim!IA29="","",1)</f>
        <v/>
      </c>
      <c r="CI27" s="53" t="str">
        <f>IF(Tim!IB29="","",1)</f>
        <v/>
      </c>
      <c r="CJ27" s="53" t="str">
        <f>IF(Tim!IC29="","",1)</f>
        <v/>
      </c>
      <c r="CK27" s="53" t="str">
        <f>IF(Tim!ID29="","",1)</f>
        <v/>
      </c>
      <c r="CL27" s="53" t="str">
        <f>IF(Tim!IE29="","",1)</f>
        <v/>
      </c>
      <c r="CM27" s="53">
        <f>IF(Tim!IF29="","",1)</f>
        <v>1</v>
      </c>
      <c r="CN27" s="53" t="str">
        <f>IF(Tim!IG29="","",1)</f>
        <v/>
      </c>
      <c r="CO27" s="53" t="str">
        <f>IF(Tim!IH29="","",1)</f>
        <v/>
      </c>
      <c r="CP27" s="53" t="str">
        <f>IF(Tim!II29="","",1)</f>
        <v/>
      </c>
      <c r="CQ27" s="54" t="str">
        <f>IF(Tim!IJ29="","",1)</f>
        <v/>
      </c>
      <c r="CR27" s="56">
        <f>IF(Tim!JN29="","",1)</f>
        <v>1</v>
      </c>
      <c r="CS27" s="53" t="str">
        <f>IF(Tim!JO29="","",1)</f>
        <v/>
      </c>
      <c r="CT27" s="53" t="str">
        <f>IF(Tim!JP29="","",1)</f>
        <v/>
      </c>
      <c r="CU27" s="53" t="str">
        <f>IF(Tim!JQ29="","",1)</f>
        <v/>
      </c>
      <c r="CV27" s="53" t="str">
        <f>IF(Tim!JR29="","",1)</f>
        <v/>
      </c>
      <c r="CW27" s="53" t="str">
        <f>IF(Tim!JS29="","",1)</f>
        <v/>
      </c>
      <c r="CX27" s="53" t="str">
        <f>IF(Tim!JT29="","",1)</f>
        <v/>
      </c>
      <c r="CY27" s="53" t="str">
        <f>IF(Tim!JU29="","",1)</f>
        <v/>
      </c>
      <c r="CZ27" s="53" t="str">
        <f>IF(Tim!JV29="","",1)</f>
        <v/>
      </c>
      <c r="DA27" s="53" t="str">
        <f>IF(Tim!JW29="","",1)</f>
        <v/>
      </c>
      <c r="DB27" s="53" t="str">
        <f>IF(Tim!JX29="","",1)</f>
        <v/>
      </c>
      <c r="DC27" s="53" t="str">
        <f>IF(Tim!JY29="","",1)</f>
        <v/>
      </c>
      <c r="DD27" s="53" t="str">
        <f>IF(Tim!JZ29="","",1)</f>
        <v/>
      </c>
      <c r="DE27" s="53" t="str">
        <f>IF(Tim!KA29="","",1)</f>
        <v/>
      </c>
      <c r="DF27" s="55" t="str">
        <f>IF(Tim!KB29="","",1)</f>
        <v/>
      </c>
      <c r="DG27" s="52">
        <v>0.52083333333333304</v>
      </c>
    </row>
    <row r="28" spans="2:111" ht="10.5" customHeight="1">
      <c r="B28" s="51">
        <v>0.25</v>
      </c>
      <c r="C28" s="51">
        <v>0.25</v>
      </c>
      <c r="D28" s="51">
        <v>0.25</v>
      </c>
      <c r="E28" s="172">
        <v>0.531249999999999</v>
      </c>
      <c r="F28" s="56">
        <f>IF(Tim!F30="","",1)</f>
        <v>1</v>
      </c>
      <c r="G28" s="60" t="str">
        <f>IF(Tim!G30="","",1)</f>
        <v/>
      </c>
      <c r="H28" s="60" t="str">
        <f>IF(Tim!H30="","",1)</f>
        <v/>
      </c>
      <c r="I28" s="60" t="str">
        <f>IF(Tim!I30="","",1)</f>
        <v/>
      </c>
      <c r="J28" s="60" t="str">
        <f>IF(Tim!J30="","",1)</f>
        <v/>
      </c>
      <c r="K28" s="60" t="str">
        <f>IF(Tim!K30="","",1)</f>
        <v/>
      </c>
      <c r="L28" s="60" t="str">
        <f>IF(Tim!L30="","",1)</f>
        <v/>
      </c>
      <c r="M28" s="60" t="str">
        <f>IF(Tim!M30="","",1)</f>
        <v/>
      </c>
      <c r="N28" s="60" t="str">
        <f>IF(Tim!N30="","",1)</f>
        <v/>
      </c>
      <c r="O28" s="60" t="str">
        <f>IF(Tim!O30="","",1)</f>
        <v/>
      </c>
      <c r="P28" s="60">
        <f>IF(Tim!P30="","",1)</f>
        <v>1</v>
      </c>
      <c r="Q28" s="60" t="str">
        <f>IF(Tim!Q30="","",1)</f>
        <v/>
      </c>
      <c r="R28" s="60" t="str">
        <f>IF(Tim!R30="","",1)</f>
        <v/>
      </c>
      <c r="S28" s="60" t="str">
        <f>IF(Tim!S30="","",1)</f>
        <v/>
      </c>
      <c r="T28" s="60" t="str">
        <f>IF(Tim!T30="","",1)</f>
        <v/>
      </c>
      <c r="U28" s="56">
        <f>IF(Tim!AY30="","",1)</f>
        <v>1</v>
      </c>
      <c r="V28" s="60" t="str">
        <f>IF(Tim!AZ30="","",1)</f>
        <v/>
      </c>
      <c r="W28" s="60" t="str">
        <f>IF(Tim!BA30="","",1)</f>
        <v/>
      </c>
      <c r="X28" s="60" t="str">
        <f>IF(Tim!BB30="","",1)</f>
        <v/>
      </c>
      <c r="Y28" s="60" t="str">
        <f>IF(Tim!BC30="","",1)</f>
        <v/>
      </c>
      <c r="Z28" s="60" t="str">
        <f>IF(Tim!BD30="","",1)</f>
        <v/>
      </c>
      <c r="AA28" s="60" t="str">
        <f>IF(Tim!BE30="","",1)</f>
        <v/>
      </c>
      <c r="AB28" s="60" t="str">
        <f>IF(Tim!BF30="","",1)</f>
        <v/>
      </c>
      <c r="AC28" s="60">
        <f>IF(Tim!BG30="","",1)</f>
        <v>1</v>
      </c>
      <c r="AD28" s="60">
        <f>IF(Tim!BH30="","",1)</f>
        <v>1</v>
      </c>
      <c r="AE28" s="60">
        <f>IF(Tim!BI30="","",1)</f>
        <v>1</v>
      </c>
      <c r="AF28" s="60" t="str">
        <f>IF(Tim!BJ30="","",1)</f>
        <v/>
      </c>
      <c r="AG28" s="60" t="str">
        <f>IF(Tim!BK30="","",1)</f>
        <v/>
      </c>
      <c r="AH28" s="60" t="str">
        <f>IF(Tim!BL30="","",1)</f>
        <v/>
      </c>
      <c r="AI28" s="60" t="str">
        <f>IF(Tim!BM30="","",1)</f>
        <v/>
      </c>
      <c r="AJ28" s="56">
        <f>IF(Tim!CQ30="","",1)</f>
        <v>1</v>
      </c>
      <c r="AK28" s="60">
        <f>IF(Tim!CR30="","",1)</f>
        <v>1</v>
      </c>
      <c r="AL28" s="60" t="str">
        <f>IF(Tim!CS30="","",1)</f>
        <v/>
      </c>
      <c r="AM28" s="60" t="str">
        <f>IF(Tim!CT30="","",1)</f>
        <v/>
      </c>
      <c r="AN28" s="60" t="str">
        <f>IF(Tim!CU30="","",1)</f>
        <v/>
      </c>
      <c r="AO28" s="60" t="str">
        <f>IF(Tim!CV30="","",1)</f>
        <v/>
      </c>
      <c r="AP28" s="60" t="str">
        <f>IF(Tim!CW30="","",1)</f>
        <v/>
      </c>
      <c r="AQ28" s="60">
        <f>IF(Tim!CX30="","",1)</f>
        <v>1</v>
      </c>
      <c r="AR28" s="60" t="str">
        <f>IF(Tim!CY30="","",1)</f>
        <v/>
      </c>
      <c r="AS28" s="60" t="str">
        <f>IF(Tim!CZ30="","",1)</f>
        <v/>
      </c>
      <c r="AT28" s="60" t="str">
        <f>IF(Tim!DA30="","",1)</f>
        <v/>
      </c>
      <c r="AU28" s="60" t="str">
        <f>IF(Tim!DB30="","",1)</f>
        <v/>
      </c>
      <c r="AV28" s="60" t="str">
        <f>IF(Tim!DC30="","",1)</f>
        <v/>
      </c>
      <c r="AW28" s="60" t="str">
        <f>IF(Tim!DD30="","",1)</f>
        <v/>
      </c>
      <c r="AX28" s="60" t="str">
        <f>IF(Tim!DE30="","",1)</f>
        <v/>
      </c>
      <c r="AY28" s="56">
        <f>IF(Tim!EL30="","",1)</f>
        <v>1</v>
      </c>
      <c r="AZ28" s="60" t="str">
        <f>IF(Tim!EM30="","",1)</f>
        <v/>
      </c>
      <c r="BA28" s="60" t="str">
        <f>IF(Tim!EN30="","",1)</f>
        <v/>
      </c>
      <c r="BB28" s="60" t="str">
        <f>IF(Tim!EO30="","",1)</f>
        <v/>
      </c>
      <c r="BC28" s="60" t="str">
        <f>IF(Tim!EP30="","",1)</f>
        <v/>
      </c>
      <c r="BD28" s="60" t="str">
        <f>IF(Tim!EQ30="","",1)</f>
        <v/>
      </c>
      <c r="BE28" s="60" t="str">
        <f>IF(Tim!ER30="","",1)</f>
        <v/>
      </c>
      <c r="BF28" s="60" t="str">
        <f>IF(Tim!ES30="","",1)</f>
        <v/>
      </c>
      <c r="BG28" s="60" t="str">
        <f>IF(Tim!ET30="","",1)</f>
        <v/>
      </c>
      <c r="BH28" s="60" t="str">
        <f>IF(Tim!EU30="","",1)</f>
        <v/>
      </c>
      <c r="BI28" s="60" t="str">
        <f>IF(Tim!EV30="","",1)</f>
        <v/>
      </c>
      <c r="BJ28" s="60" t="e">
        <f>IF(Tim!#REF!="","",1)</f>
        <v>#REF!</v>
      </c>
      <c r="BK28" s="60" t="str">
        <f>IF(Tim!EX30="","",1)</f>
        <v/>
      </c>
      <c r="BL28" s="60" t="str">
        <f>IF(Tim!EY30="","",1)</f>
        <v/>
      </c>
      <c r="BM28" s="60" t="str">
        <f>IF(Tim!EZ30="","",1)</f>
        <v/>
      </c>
      <c r="BN28" s="56">
        <f>IF(Tim!GD30="","",1)</f>
        <v>1</v>
      </c>
      <c r="BO28" s="60" t="str">
        <f>IF(Tim!GE30="","",1)</f>
        <v/>
      </c>
      <c r="BP28" s="60" t="str">
        <f>IF(Tim!GF30="","",1)</f>
        <v/>
      </c>
      <c r="BQ28" s="60" t="str">
        <f>IF(Tim!GG30="","",1)</f>
        <v/>
      </c>
      <c r="BR28" s="60" t="str">
        <f>IF(Tim!GH30="","",1)</f>
        <v/>
      </c>
      <c r="BS28" s="60" t="str">
        <f>IF(Tim!GI30="","",1)</f>
        <v/>
      </c>
      <c r="BT28" s="60" t="str">
        <f>IF(Tim!GJ30="","",1)</f>
        <v/>
      </c>
      <c r="BU28" s="60" t="str">
        <f>IF(Tim!GK30="","",1)</f>
        <v/>
      </c>
      <c r="BV28" s="60" t="str">
        <f>IF(Tim!GL30="","",1)</f>
        <v/>
      </c>
      <c r="BW28" s="60" t="str">
        <f>IF(Tim!GM30="","",1)</f>
        <v/>
      </c>
      <c r="BX28" s="60">
        <f>IF(Tim!GN30="","",1)</f>
        <v>1</v>
      </c>
      <c r="BY28" s="60" t="str">
        <f>IF(Tim!GO30="","",1)</f>
        <v/>
      </c>
      <c r="BZ28" s="60">
        <f>IF(Tim!GP30="","",1)</f>
        <v>1</v>
      </c>
      <c r="CA28" s="60" t="str">
        <f>IF(Tim!GQ30="","",1)</f>
        <v/>
      </c>
      <c r="CB28" s="60" t="str">
        <f>IF(Tim!GR30="","",1)</f>
        <v/>
      </c>
      <c r="CC28" s="56">
        <f>IF(Tim!HV30="","",1)</f>
        <v>1</v>
      </c>
      <c r="CD28" s="53" t="str">
        <f>IF(Tim!HW30="","",1)</f>
        <v/>
      </c>
      <c r="CE28" s="53" t="str">
        <f>IF(Tim!HX30="","",1)</f>
        <v/>
      </c>
      <c r="CF28" s="53" t="str">
        <f>IF(Tim!HY30="","",1)</f>
        <v/>
      </c>
      <c r="CG28" s="53" t="str">
        <f>IF(Tim!HZ30="","",1)</f>
        <v/>
      </c>
      <c r="CH28" s="53" t="str">
        <f>IF(Tim!IA30="","",1)</f>
        <v/>
      </c>
      <c r="CI28" s="53" t="str">
        <f>IF(Tim!IB30="","",1)</f>
        <v/>
      </c>
      <c r="CJ28" s="53" t="str">
        <f>IF(Tim!IC30="","",1)</f>
        <v/>
      </c>
      <c r="CK28" s="53" t="str">
        <f>IF(Tim!ID30="","",1)</f>
        <v/>
      </c>
      <c r="CL28" s="53" t="str">
        <f>IF(Tim!IE30="","",1)</f>
        <v/>
      </c>
      <c r="CM28" s="53">
        <f>IF(Tim!IF30="","",1)</f>
        <v>1</v>
      </c>
      <c r="CN28" s="53" t="str">
        <f>IF(Tim!IG30="","",1)</f>
        <v/>
      </c>
      <c r="CO28" s="53" t="str">
        <f>IF(Tim!IH30="","",1)</f>
        <v/>
      </c>
      <c r="CP28" s="53" t="str">
        <f>IF(Tim!II30="","",1)</f>
        <v/>
      </c>
      <c r="CQ28" s="54" t="str">
        <f>IF(Tim!IJ30="","",1)</f>
        <v/>
      </c>
      <c r="CR28" s="56">
        <f>IF(Tim!JN30="","",1)</f>
        <v>1</v>
      </c>
      <c r="CS28" s="53" t="str">
        <f>IF(Tim!JO30="","",1)</f>
        <v/>
      </c>
      <c r="CT28" s="53" t="str">
        <f>IF(Tim!JP30="","",1)</f>
        <v/>
      </c>
      <c r="CU28" s="53" t="str">
        <f>IF(Tim!JQ30="","",1)</f>
        <v/>
      </c>
      <c r="CV28" s="53" t="str">
        <f>IF(Tim!JR30="","",1)</f>
        <v/>
      </c>
      <c r="CW28" s="53" t="str">
        <f>IF(Tim!JS30="","",1)</f>
        <v/>
      </c>
      <c r="CX28" s="53" t="str">
        <f>IF(Tim!JT30="","",1)</f>
        <v/>
      </c>
      <c r="CY28" s="53" t="str">
        <f>IF(Tim!JU30="","",1)</f>
        <v/>
      </c>
      <c r="CZ28" s="53" t="str">
        <f>IF(Tim!JV30="","",1)</f>
        <v/>
      </c>
      <c r="DA28" s="53" t="str">
        <f>IF(Tim!JW30="","",1)</f>
        <v/>
      </c>
      <c r="DB28" s="53" t="str">
        <f>IF(Tim!JX30="","",1)</f>
        <v/>
      </c>
      <c r="DC28" s="53" t="str">
        <f>IF(Tim!JY30="","",1)</f>
        <v/>
      </c>
      <c r="DD28" s="53" t="str">
        <f>IF(Tim!JZ30="","",1)</f>
        <v/>
      </c>
      <c r="DE28" s="53" t="str">
        <f>IF(Tim!KA30="","",1)</f>
        <v/>
      </c>
      <c r="DF28" s="55" t="str">
        <f>IF(Tim!KB30="","",1)</f>
        <v/>
      </c>
      <c r="DG28" s="52">
        <v>0.531249999999999</v>
      </c>
    </row>
    <row r="29" spans="2:111" ht="10.5" customHeight="1">
      <c r="B29" s="51">
        <v>0.25</v>
      </c>
      <c r="C29" s="51">
        <v>0.25</v>
      </c>
      <c r="D29" s="51">
        <v>0.25</v>
      </c>
      <c r="E29" s="172">
        <v>0.54166666666666596</v>
      </c>
      <c r="F29" s="56">
        <f>IF(Tim!F31="","",1)</f>
        <v>1</v>
      </c>
      <c r="G29" s="60" t="str">
        <f>IF(Tim!G31="","",1)</f>
        <v/>
      </c>
      <c r="H29" s="60" t="str">
        <f>IF(Tim!H31="","",1)</f>
        <v/>
      </c>
      <c r="I29" s="60" t="str">
        <f>IF(Tim!I31="","",1)</f>
        <v/>
      </c>
      <c r="J29" s="60" t="str">
        <f>IF(Tim!J31="","",1)</f>
        <v/>
      </c>
      <c r="K29" s="60" t="str">
        <f>IF(Tim!K31="","",1)</f>
        <v/>
      </c>
      <c r="L29" s="60" t="str">
        <f>IF(Tim!L31="","",1)</f>
        <v/>
      </c>
      <c r="M29" s="60" t="str">
        <f>IF(Tim!M31="","",1)</f>
        <v/>
      </c>
      <c r="N29" s="60" t="str">
        <f>IF(Tim!N31="","",1)</f>
        <v/>
      </c>
      <c r="O29" s="60" t="str">
        <f>IF(Tim!O31="","",1)</f>
        <v/>
      </c>
      <c r="P29" s="60" t="str">
        <f>IF(Tim!P31="","",1)</f>
        <v/>
      </c>
      <c r="Q29" s="60" t="str">
        <f>IF(Tim!Q31="","",1)</f>
        <v/>
      </c>
      <c r="R29" s="60" t="str">
        <f>IF(Tim!R31="","",1)</f>
        <v/>
      </c>
      <c r="S29" s="60" t="str">
        <f>IF(Tim!S31="","",1)</f>
        <v/>
      </c>
      <c r="T29" s="60" t="str">
        <f>IF(Tim!T31="","",1)</f>
        <v/>
      </c>
      <c r="U29" s="56">
        <f>IF(Tim!AY31="","",1)</f>
        <v>1</v>
      </c>
      <c r="V29" s="60" t="str">
        <f>IF(Tim!AZ31="","",1)</f>
        <v/>
      </c>
      <c r="W29" s="60" t="str">
        <f>IF(Tim!BA31="","",1)</f>
        <v/>
      </c>
      <c r="X29" s="60" t="str">
        <f>IF(Tim!BB31="","",1)</f>
        <v/>
      </c>
      <c r="Y29" s="60" t="str">
        <f>IF(Tim!BC31="","",1)</f>
        <v/>
      </c>
      <c r="Z29" s="60" t="str">
        <f>IF(Tim!BD31="","",1)</f>
        <v/>
      </c>
      <c r="AA29" s="60" t="str">
        <f>IF(Tim!BE31="","",1)</f>
        <v/>
      </c>
      <c r="AB29" s="60" t="str">
        <f>IF(Tim!BF31="","",1)</f>
        <v/>
      </c>
      <c r="AC29" s="60" t="str">
        <f>IF(Tim!BG31="","",1)</f>
        <v/>
      </c>
      <c r="AD29" s="60" t="str">
        <f>IF(Tim!BH31="","",1)</f>
        <v/>
      </c>
      <c r="AE29" s="60">
        <f>IF(Tim!BI31="","",1)</f>
        <v>1</v>
      </c>
      <c r="AF29" s="60" t="str">
        <f>IF(Tim!BJ31="","",1)</f>
        <v/>
      </c>
      <c r="AG29" s="60" t="str">
        <f>IF(Tim!BK31="","",1)</f>
        <v/>
      </c>
      <c r="AH29" s="60" t="str">
        <f>IF(Tim!BL31="","",1)</f>
        <v/>
      </c>
      <c r="AI29" s="60" t="str">
        <f>IF(Tim!BM31="","",1)</f>
        <v/>
      </c>
      <c r="AJ29" s="56">
        <f>IF(Tim!CQ31="","",1)</f>
        <v>1</v>
      </c>
      <c r="AK29" s="60" t="str">
        <f>IF(Tim!CR31="","",1)</f>
        <v/>
      </c>
      <c r="AL29" s="60" t="str">
        <f>IF(Tim!CS31="","",1)</f>
        <v/>
      </c>
      <c r="AM29" s="60" t="str">
        <f>IF(Tim!CT31="","",1)</f>
        <v/>
      </c>
      <c r="AN29" s="60" t="str">
        <f>IF(Tim!CU31="","",1)</f>
        <v/>
      </c>
      <c r="AO29" s="60" t="str">
        <f>IF(Tim!CV31="","",1)</f>
        <v/>
      </c>
      <c r="AP29" s="60" t="str">
        <f>IF(Tim!CW31="","",1)</f>
        <v/>
      </c>
      <c r="AQ29" s="60" t="str">
        <f>IF(Tim!CX31="","",1)</f>
        <v/>
      </c>
      <c r="AR29" s="60" t="str">
        <f>IF(Tim!CY31="","",1)</f>
        <v/>
      </c>
      <c r="AS29" s="60" t="str">
        <f>IF(Tim!CZ31="","",1)</f>
        <v/>
      </c>
      <c r="AT29" s="60" t="str">
        <f>IF(Tim!DA31="","",1)</f>
        <v/>
      </c>
      <c r="AU29" s="60">
        <f>IF(Tim!DB31="","",1)</f>
        <v>1</v>
      </c>
      <c r="AV29" s="60" t="str">
        <f>IF(Tim!DC31="","",1)</f>
        <v/>
      </c>
      <c r="AW29" s="60" t="str">
        <f>IF(Tim!DD31="","",1)</f>
        <v/>
      </c>
      <c r="AX29" s="60" t="str">
        <f>IF(Tim!DE31="","",1)</f>
        <v/>
      </c>
      <c r="AY29" s="56">
        <f>IF(Tim!EL31="","",1)</f>
        <v>1</v>
      </c>
      <c r="AZ29" s="60">
        <f>IF(Tim!EM31="","",1)</f>
        <v>1</v>
      </c>
      <c r="BA29" s="60" t="str">
        <f>IF(Tim!EN31="","",1)</f>
        <v/>
      </c>
      <c r="BB29" s="60" t="str">
        <f>IF(Tim!EO31="","",1)</f>
        <v/>
      </c>
      <c r="BC29" s="60" t="str">
        <f>IF(Tim!EP31="","",1)</f>
        <v/>
      </c>
      <c r="BD29" s="60" t="str">
        <f>IF(Tim!EQ31="","",1)</f>
        <v/>
      </c>
      <c r="BE29" s="60" t="str">
        <f>IF(Tim!ER31="","",1)</f>
        <v/>
      </c>
      <c r="BF29" s="60" t="str">
        <f>IF(Tim!ES31="","",1)</f>
        <v/>
      </c>
      <c r="BG29" s="60" t="str">
        <f>IF(Tim!ET31="","",1)</f>
        <v/>
      </c>
      <c r="BH29" s="60" t="str">
        <f>IF(Tim!EU31="","",1)</f>
        <v/>
      </c>
      <c r="BI29" s="60" t="str">
        <f>IF(Tim!EV31="","",1)</f>
        <v/>
      </c>
      <c r="BJ29" s="60">
        <f>IF(Tim!EW30="","",1)</f>
        <v>1</v>
      </c>
      <c r="BK29" s="60" t="str">
        <f>IF(Tim!EX31="","",1)</f>
        <v/>
      </c>
      <c r="BL29" s="60" t="str">
        <f>IF(Tim!EY31="","",1)</f>
        <v/>
      </c>
      <c r="BM29" s="60" t="str">
        <f>IF(Tim!EZ31="","",1)</f>
        <v/>
      </c>
      <c r="BN29" s="56">
        <f>IF(Tim!GD31="","",1)</f>
        <v>1</v>
      </c>
      <c r="BO29" s="60" t="str">
        <f>IF(Tim!GE31="","",1)</f>
        <v/>
      </c>
      <c r="BP29" s="60" t="str">
        <f>IF(Tim!GF31="","",1)</f>
        <v/>
      </c>
      <c r="BQ29" s="60" t="str">
        <f>IF(Tim!GG31="","",1)</f>
        <v/>
      </c>
      <c r="BR29" s="60" t="str">
        <f>IF(Tim!GH31="","",1)</f>
        <v/>
      </c>
      <c r="BS29" s="60" t="str">
        <f>IF(Tim!GI31="","",1)</f>
        <v/>
      </c>
      <c r="BT29" s="60" t="str">
        <f>IF(Tim!GJ31="","",1)</f>
        <v/>
      </c>
      <c r="BU29" s="60">
        <f>IF(Tim!GD31="","",1)</f>
        <v>1</v>
      </c>
      <c r="BV29" s="60" t="str">
        <f>IF(Tim!GL31="","",1)</f>
        <v/>
      </c>
      <c r="BW29" s="60" t="str">
        <f>IF(Tim!GM31="","",1)</f>
        <v/>
      </c>
      <c r="BX29" s="60">
        <f>IF(Tim!GN31="","",1)</f>
        <v>1</v>
      </c>
      <c r="BY29" s="60" t="str">
        <f>IF(Tim!GO31="","",1)</f>
        <v/>
      </c>
      <c r="BZ29" s="60" t="str">
        <f>IF(Tim!GP31="","",1)</f>
        <v/>
      </c>
      <c r="CA29" s="60" t="str">
        <f>IF(Tim!GQ31="","",1)</f>
        <v/>
      </c>
      <c r="CB29" s="60" t="str">
        <f>IF(Tim!GR31="","",1)</f>
        <v/>
      </c>
      <c r="CC29" s="56">
        <f>IF(Tim!HV31="","",1)</f>
        <v>1</v>
      </c>
      <c r="CD29" s="53" t="str">
        <f>IF(Tim!HW31="","",1)</f>
        <v/>
      </c>
      <c r="CE29" s="53" t="str">
        <f>IF(Tim!HX31="","",1)</f>
        <v/>
      </c>
      <c r="CF29" s="53" t="str">
        <f>IF(Tim!HY31="","",1)</f>
        <v/>
      </c>
      <c r="CG29" s="53" t="str">
        <f>IF(Tim!HZ31="","",1)</f>
        <v/>
      </c>
      <c r="CH29" s="53" t="str">
        <f>IF(Tim!IA31="","",1)</f>
        <v/>
      </c>
      <c r="CI29" s="53" t="str">
        <f>IF(Tim!IB31="","",1)</f>
        <v/>
      </c>
      <c r="CJ29" s="53" t="str">
        <f>IF(Tim!IC31="","",1)</f>
        <v/>
      </c>
      <c r="CK29" s="53" t="str">
        <f>IF(Tim!ID31="","",1)</f>
        <v/>
      </c>
      <c r="CL29" s="53" t="str">
        <f>IF(Tim!IE31="","",1)</f>
        <v/>
      </c>
      <c r="CM29" s="53">
        <f>IF(Tim!IF31="","",1)</f>
        <v>1</v>
      </c>
      <c r="CN29" s="53" t="str">
        <f>IF(Tim!IG31="","",1)</f>
        <v/>
      </c>
      <c r="CO29" s="53" t="str">
        <f>IF(Tim!IH31="","",1)</f>
        <v/>
      </c>
      <c r="CP29" s="53" t="str">
        <f>IF(Tim!II31="","",1)</f>
        <v/>
      </c>
      <c r="CQ29" s="54" t="str">
        <f>IF(Tim!IJ31="","",1)</f>
        <v/>
      </c>
      <c r="CR29" s="56">
        <f>IF(Tim!JN31="","",1)</f>
        <v>1</v>
      </c>
      <c r="CS29" s="53" t="str">
        <f>IF(Tim!JO31="","",1)</f>
        <v/>
      </c>
      <c r="CT29" s="53" t="str">
        <f>IF(Tim!JP31="","",1)</f>
        <v/>
      </c>
      <c r="CU29" s="53" t="str">
        <f>IF(Tim!JQ31="","",1)</f>
        <v/>
      </c>
      <c r="CV29" s="53" t="str">
        <f>IF(Tim!JR31="","",1)</f>
        <v/>
      </c>
      <c r="CW29" s="53" t="str">
        <f>IF(Tim!JS31="","",1)</f>
        <v/>
      </c>
      <c r="CX29" s="53" t="str">
        <f>IF(Tim!JT31="","",1)</f>
        <v/>
      </c>
      <c r="CY29" s="53" t="str">
        <f>IF(Tim!JU31="","",1)</f>
        <v/>
      </c>
      <c r="CZ29" s="53" t="str">
        <f>IF(Tim!JV31="","",1)</f>
        <v/>
      </c>
      <c r="DA29" s="53" t="str">
        <f>IF(Tim!JW31="","",1)</f>
        <v/>
      </c>
      <c r="DB29" s="53" t="str">
        <f>IF(Tim!JX31="","",1)</f>
        <v/>
      </c>
      <c r="DC29" s="53" t="str">
        <f>IF(Tim!JY31="","",1)</f>
        <v/>
      </c>
      <c r="DD29" s="53" t="str">
        <f>IF(Tim!JZ31="","",1)</f>
        <v/>
      </c>
      <c r="DE29" s="53" t="str">
        <f>IF(Tim!KA31="","",1)</f>
        <v/>
      </c>
      <c r="DF29" s="55" t="str">
        <f>IF(Tim!KB31="","",1)</f>
        <v/>
      </c>
      <c r="DG29" s="52">
        <v>0.54166666666666596</v>
      </c>
    </row>
    <row r="30" spans="2:111" ht="10.5" customHeight="1">
      <c r="B30" s="51">
        <v>0.25</v>
      </c>
      <c r="C30" s="51">
        <v>0.25</v>
      </c>
      <c r="D30" s="51">
        <v>0.25</v>
      </c>
      <c r="E30" s="172">
        <v>0.55208333333333304</v>
      </c>
      <c r="F30" s="56">
        <f>IF(Tim!F32="","",1)</f>
        <v>1</v>
      </c>
      <c r="G30" s="60" t="str">
        <f>IF(Tim!G32="","",1)</f>
        <v/>
      </c>
      <c r="H30" s="60" t="str">
        <f>IF(Tim!H32="","",1)</f>
        <v/>
      </c>
      <c r="I30" s="60" t="str">
        <f>IF(Tim!I32="","",1)</f>
        <v/>
      </c>
      <c r="J30" s="60" t="str">
        <f>IF(Tim!J32="","",1)</f>
        <v/>
      </c>
      <c r="K30" s="60" t="str">
        <f>IF(Tim!K32="","",1)</f>
        <v/>
      </c>
      <c r="L30" s="60" t="str">
        <f>IF(Tim!L32="","",1)</f>
        <v/>
      </c>
      <c r="M30" s="60" t="str">
        <f>IF(Tim!M32="","",1)</f>
        <v/>
      </c>
      <c r="N30" s="60" t="str">
        <f>IF(Tim!N32="","",1)</f>
        <v/>
      </c>
      <c r="O30" s="60" t="str">
        <f>IF(Tim!O32="","",1)</f>
        <v/>
      </c>
      <c r="P30" s="60" t="str">
        <f>IF(Tim!P32="","",1)</f>
        <v/>
      </c>
      <c r="Q30" s="60" t="str">
        <f>IF(Tim!Q32="","",1)</f>
        <v/>
      </c>
      <c r="R30" s="60" t="str">
        <f>IF(Tim!R32="","",1)</f>
        <v/>
      </c>
      <c r="S30" s="60" t="str">
        <f>IF(Tim!S32="","",1)</f>
        <v/>
      </c>
      <c r="T30" s="60" t="str">
        <f>IF(Tim!T32="","",1)</f>
        <v/>
      </c>
      <c r="U30" s="56">
        <f>IF(Tim!AY32="","",1)</f>
        <v>1</v>
      </c>
      <c r="V30" s="60" t="str">
        <f>IF(Tim!AZ32="","",1)</f>
        <v/>
      </c>
      <c r="W30" s="60" t="str">
        <f>IF(Tim!BA32="","",1)</f>
        <v/>
      </c>
      <c r="X30" s="60" t="str">
        <f>IF(Tim!BB32="","",1)</f>
        <v/>
      </c>
      <c r="Y30" s="60" t="str">
        <f>IF(Tim!BC32="","",1)</f>
        <v/>
      </c>
      <c r="Z30" s="60" t="str">
        <f>IF(Tim!BD32="","",1)</f>
        <v/>
      </c>
      <c r="AA30" s="60" t="str">
        <f>IF(Tim!BE32="","",1)</f>
        <v/>
      </c>
      <c r="AB30" s="60" t="str">
        <f>IF(Tim!BF32="","",1)</f>
        <v/>
      </c>
      <c r="AC30" s="60" t="str">
        <f>IF(Tim!BG32="","",1)</f>
        <v/>
      </c>
      <c r="AD30" s="60" t="str">
        <f>IF(Tim!BH32="","",1)</f>
        <v/>
      </c>
      <c r="AE30" s="60">
        <f>IF(Tim!BI32="","",1)</f>
        <v>1</v>
      </c>
      <c r="AF30" s="60" t="str">
        <f>IF(Tim!BJ32="","",1)</f>
        <v/>
      </c>
      <c r="AG30" s="60" t="str">
        <f>IF(Tim!BK32="","",1)</f>
        <v/>
      </c>
      <c r="AH30" s="60" t="str">
        <f>IF(Tim!BL32="","",1)</f>
        <v/>
      </c>
      <c r="AI30" s="60" t="str">
        <f>IF(Tim!BM32="","",1)</f>
        <v/>
      </c>
      <c r="AJ30" s="56">
        <f>IF(Tim!CQ32="","",1)</f>
        <v>1</v>
      </c>
      <c r="AK30" s="60" t="str">
        <f>IF(Tim!CR32="","",1)</f>
        <v/>
      </c>
      <c r="AL30" s="60" t="str">
        <f>IF(Tim!CS32="","",1)</f>
        <v/>
      </c>
      <c r="AM30" s="60" t="str">
        <f>IF(Tim!CT32="","",1)</f>
        <v/>
      </c>
      <c r="AN30" s="60" t="str">
        <f>IF(Tim!CU32="","",1)</f>
        <v/>
      </c>
      <c r="AO30" s="60" t="str">
        <f>IF(Tim!CV32="","",1)</f>
        <v/>
      </c>
      <c r="AP30" s="60" t="str">
        <f>IF(Tim!CW32="","",1)</f>
        <v/>
      </c>
      <c r="AQ30" s="60" t="str">
        <f>IF(Tim!CX32="","",1)</f>
        <v/>
      </c>
      <c r="AR30" s="60" t="str">
        <f>IF(Tim!CY32="","",1)</f>
        <v/>
      </c>
      <c r="AS30" s="60" t="str">
        <f>IF(Tim!CZ32="","",1)</f>
        <v/>
      </c>
      <c r="AT30" s="60" t="str">
        <f>IF(Tim!DA32="","",1)</f>
        <v/>
      </c>
      <c r="AU30" s="60">
        <f>IF(Tim!DB32="","",1)</f>
        <v>1</v>
      </c>
      <c r="AV30" s="60" t="str">
        <f>IF(Tim!DC32="","",1)</f>
        <v/>
      </c>
      <c r="AW30" s="60" t="str">
        <f>IF(Tim!DD32="","",1)</f>
        <v/>
      </c>
      <c r="AX30" s="60" t="str">
        <f>IF(Tim!DE32="","",1)</f>
        <v/>
      </c>
      <c r="AY30" s="56">
        <f>IF(Tim!EL32="","",1)</f>
        <v>1</v>
      </c>
      <c r="AZ30" s="60" t="str">
        <f>IF(Tim!EM32="","",1)</f>
        <v/>
      </c>
      <c r="BA30" s="60" t="str">
        <f>IF(Tim!EN32="","",1)</f>
        <v/>
      </c>
      <c r="BB30" s="60" t="str">
        <f>IF(Tim!EO32="","",1)</f>
        <v/>
      </c>
      <c r="BC30" s="60" t="str">
        <f>IF(Tim!EP32="","",1)</f>
        <v/>
      </c>
      <c r="BD30" s="60" t="str">
        <f>IF(Tim!EQ32="","",1)</f>
        <v/>
      </c>
      <c r="BE30" s="60" t="str">
        <f>IF(Tim!ER32="","",1)</f>
        <v/>
      </c>
      <c r="BF30" s="60" t="str">
        <f>IF(Tim!ES32="","",1)</f>
        <v/>
      </c>
      <c r="BG30" s="60" t="str">
        <f>IF(Tim!ET32="","",1)</f>
        <v/>
      </c>
      <c r="BH30" s="60" t="str">
        <f>IF(Tim!EU32="","",1)</f>
        <v/>
      </c>
      <c r="BI30" s="60" t="str">
        <f>IF(Tim!EV32="","",1)</f>
        <v/>
      </c>
      <c r="BJ30" s="60" t="str">
        <f>IF(Tim!EW32="","",1)</f>
        <v/>
      </c>
      <c r="BK30" s="60" t="str">
        <f>IF(Tim!EX32="","",1)</f>
        <v/>
      </c>
      <c r="BL30" s="60" t="str">
        <f>IF(Tim!EY32="","",1)</f>
        <v/>
      </c>
      <c r="BM30" s="60" t="str">
        <f>IF(Tim!EZ32="","",1)</f>
        <v/>
      </c>
      <c r="BN30" s="56">
        <f>IF(Tim!GD32="","",1)</f>
        <v>1</v>
      </c>
      <c r="BO30" s="60" t="str">
        <f>IF(Tim!GE32="","",1)</f>
        <v/>
      </c>
      <c r="BP30" s="60" t="str">
        <f>IF(Tim!GF32="","",1)</f>
        <v/>
      </c>
      <c r="BQ30" s="60" t="str">
        <f>IF(Tim!GG32="","",1)</f>
        <v/>
      </c>
      <c r="BR30" s="60" t="str">
        <f>IF(Tim!GH32="","",1)</f>
        <v/>
      </c>
      <c r="BS30" s="60" t="str">
        <f>IF(Tim!GI32="","",1)</f>
        <v/>
      </c>
      <c r="BT30" s="60" t="str">
        <f>IF(Tim!GJ32="","",1)</f>
        <v/>
      </c>
      <c r="BU30" s="60" t="str">
        <f>IF(Tim!GK32="","",1)</f>
        <v/>
      </c>
      <c r="BV30" s="60" t="str">
        <f>IF(Tim!GL32="","",1)</f>
        <v/>
      </c>
      <c r="BW30" s="60" t="str">
        <f>IF(Tim!GM32="","",1)</f>
        <v/>
      </c>
      <c r="BX30" s="60">
        <f>IF(Tim!GN32="","",1)</f>
        <v>1</v>
      </c>
      <c r="BY30" s="60" t="str">
        <f>IF(Tim!GO32="","",1)</f>
        <v/>
      </c>
      <c r="BZ30" s="60" t="str">
        <f>IF(Tim!GP32="","",1)</f>
        <v/>
      </c>
      <c r="CA30" s="60" t="str">
        <f>IF(Tim!GQ32="","",1)</f>
        <v/>
      </c>
      <c r="CB30" s="60" t="str">
        <f>IF(Tim!GR32="","",1)</f>
        <v/>
      </c>
      <c r="CC30" s="56">
        <f>IF(Tim!HV32="","",1)</f>
        <v>1</v>
      </c>
      <c r="CD30" s="53" t="str">
        <f>IF(Tim!HW32="","",1)</f>
        <v/>
      </c>
      <c r="CE30" s="53" t="str">
        <f>IF(Tim!HX32="","",1)</f>
        <v/>
      </c>
      <c r="CF30" s="53" t="str">
        <f>IF(Tim!HY32="","",1)</f>
        <v/>
      </c>
      <c r="CG30" s="53" t="str">
        <f>IF(Tim!HZ32="","",1)</f>
        <v/>
      </c>
      <c r="CH30" s="53" t="str">
        <f>IF(Tim!IA32="","",1)</f>
        <v/>
      </c>
      <c r="CI30" s="53" t="str">
        <f>IF(Tim!IB32="","",1)</f>
        <v/>
      </c>
      <c r="CJ30" s="53" t="str">
        <f>IF(Tim!IC32="","",1)</f>
        <v/>
      </c>
      <c r="CK30" s="53" t="str">
        <f>IF(Tim!ID32="","",1)</f>
        <v/>
      </c>
      <c r="CL30" s="53" t="str">
        <f>IF(Tim!IE32="","",1)</f>
        <v/>
      </c>
      <c r="CM30" s="53">
        <f>IF(Tim!IF32="","",1)</f>
        <v>1</v>
      </c>
      <c r="CN30" s="53" t="str">
        <f>IF(Tim!IG32="","",1)</f>
        <v/>
      </c>
      <c r="CO30" s="53" t="str">
        <f>IF(Tim!IH32="","",1)</f>
        <v/>
      </c>
      <c r="CP30" s="53" t="str">
        <f>IF(Tim!II32="","",1)</f>
        <v/>
      </c>
      <c r="CQ30" s="54" t="str">
        <f>IF(Tim!IJ32="","",1)</f>
        <v/>
      </c>
      <c r="CR30" s="56">
        <f>IF(Tim!JN32="","",1)</f>
        <v>1</v>
      </c>
      <c r="CS30" s="53" t="str">
        <f>IF(Tim!JO32="","",1)</f>
        <v/>
      </c>
      <c r="CT30" s="53" t="str">
        <f>IF(Tim!JP32="","",1)</f>
        <v/>
      </c>
      <c r="CU30" s="53" t="str">
        <f>IF(Tim!JQ32="","",1)</f>
        <v/>
      </c>
      <c r="CV30" s="53" t="str">
        <f>IF(Tim!JR32="","",1)</f>
        <v/>
      </c>
      <c r="CW30" s="53" t="str">
        <f>IF(Tim!JS32="","",1)</f>
        <v/>
      </c>
      <c r="CX30" s="53" t="str">
        <f>IF(Tim!JT32="","",1)</f>
        <v/>
      </c>
      <c r="CY30" s="53" t="str">
        <f>IF(Tim!JU32="","",1)</f>
        <v/>
      </c>
      <c r="CZ30" s="53" t="str">
        <f>IF(Tim!JV32="","",1)</f>
        <v/>
      </c>
      <c r="DA30" s="53" t="str">
        <f>IF(Tim!JW32="","",1)</f>
        <v/>
      </c>
      <c r="DB30" s="53" t="str">
        <f>IF(Tim!JX32="","",1)</f>
        <v/>
      </c>
      <c r="DC30" s="53" t="str">
        <f>IF(Tim!JY32="","",1)</f>
        <v/>
      </c>
      <c r="DD30" s="53" t="str">
        <f>IF(Tim!JZ32="","",1)</f>
        <v/>
      </c>
      <c r="DE30" s="53" t="str">
        <f>IF(Tim!KA32="","",1)</f>
        <v/>
      </c>
      <c r="DF30" s="55" t="str">
        <f>IF(Tim!KB32="","",1)</f>
        <v/>
      </c>
      <c r="DG30" s="52">
        <v>0.55208333333333304</v>
      </c>
    </row>
    <row r="31" spans="2:111" ht="10.5" customHeight="1">
      <c r="B31" s="51">
        <v>0.25</v>
      </c>
      <c r="C31" s="51">
        <v>0.25</v>
      </c>
      <c r="D31" s="51">
        <v>0.25</v>
      </c>
      <c r="E31" s="172">
        <v>0.562499999999999</v>
      </c>
      <c r="F31" s="56">
        <f>IF(Tim!F33="","",1)</f>
        <v>1</v>
      </c>
      <c r="G31" s="60" t="str">
        <f>IF(Tim!G33="","",1)</f>
        <v/>
      </c>
      <c r="H31" s="60" t="str">
        <f>IF(Tim!H33="","",1)</f>
        <v/>
      </c>
      <c r="I31" s="60" t="str">
        <f>IF(Tim!I33="","",1)</f>
        <v/>
      </c>
      <c r="J31" s="60" t="str">
        <f>IF(Tim!J33="","",1)</f>
        <v/>
      </c>
      <c r="K31" s="60" t="str">
        <f>IF(Tim!K33="","",1)</f>
        <v/>
      </c>
      <c r="L31" s="60" t="str">
        <f>IF(Tim!L33="","",1)</f>
        <v/>
      </c>
      <c r="M31" s="60" t="str">
        <f>IF(Tim!M33="","",1)</f>
        <v/>
      </c>
      <c r="N31" s="60" t="str">
        <f>IF(Tim!N33="","",1)</f>
        <v/>
      </c>
      <c r="O31" s="60" t="str">
        <f>IF(Tim!O33="","",1)</f>
        <v/>
      </c>
      <c r="P31" s="60" t="str">
        <f>IF(Tim!P33="","",1)</f>
        <v/>
      </c>
      <c r="Q31" s="60" t="str">
        <f>IF(Tim!Q33="","",1)</f>
        <v/>
      </c>
      <c r="R31" s="60" t="str">
        <f>IF(Tim!R33="","",1)</f>
        <v/>
      </c>
      <c r="S31" s="60" t="str">
        <f>IF(Tim!S33="","",1)</f>
        <v/>
      </c>
      <c r="T31" s="60" t="str">
        <f>IF(Tim!T33="","",1)</f>
        <v/>
      </c>
      <c r="U31" s="56">
        <f>IF(Tim!AY33="","",1)</f>
        <v>1</v>
      </c>
      <c r="V31" s="60" t="str">
        <f>IF(Tim!AZ33="","",1)</f>
        <v/>
      </c>
      <c r="W31" s="60" t="str">
        <f>IF(Tim!BA33="","",1)</f>
        <v/>
      </c>
      <c r="X31" s="60" t="str">
        <f>IF(Tim!BB33="","",1)</f>
        <v/>
      </c>
      <c r="Y31" s="60" t="str">
        <f>IF(Tim!BC33="","",1)</f>
        <v/>
      </c>
      <c r="Z31" s="60" t="str">
        <f>IF(Tim!BD33="","",1)</f>
        <v/>
      </c>
      <c r="AA31" s="60" t="str">
        <f>IF(Tim!BE33="","",1)</f>
        <v/>
      </c>
      <c r="AB31" s="60" t="str">
        <f>IF(Tim!BF33="","",1)</f>
        <v/>
      </c>
      <c r="AC31" s="60" t="str">
        <f>IF(Tim!BG33="","",1)</f>
        <v/>
      </c>
      <c r="AD31" s="60" t="str">
        <f>IF(Tim!BH33="","",1)</f>
        <v/>
      </c>
      <c r="AE31" s="60">
        <f>IF(Tim!BI33="","",1)</f>
        <v>1</v>
      </c>
      <c r="AF31" s="60" t="str">
        <f>IF(Tim!BJ33="","",1)</f>
        <v/>
      </c>
      <c r="AG31" s="60" t="str">
        <f>IF(Tim!BK33="","",1)</f>
        <v/>
      </c>
      <c r="AH31" s="60" t="str">
        <f>IF(Tim!BL33="","",1)</f>
        <v/>
      </c>
      <c r="AI31" s="60" t="str">
        <f>IF(Tim!BM33="","",1)</f>
        <v/>
      </c>
      <c r="AJ31" s="56">
        <f>IF(Tim!CQ33="","",1)</f>
        <v>1</v>
      </c>
      <c r="AK31" s="60" t="str">
        <f>IF(Tim!CR33="","",1)</f>
        <v/>
      </c>
      <c r="AL31" s="60" t="str">
        <f>IF(Tim!CS33="","",1)</f>
        <v/>
      </c>
      <c r="AM31" s="60" t="str">
        <f>IF(Tim!CT33="","",1)</f>
        <v/>
      </c>
      <c r="AN31" s="60" t="str">
        <f>IF(Tim!CU33="","",1)</f>
        <v/>
      </c>
      <c r="AO31" s="60" t="str">
        <f>IF(Tim!CV33="","",1)</f>
        <v/>
      </c>
      <c r="AP31" s="60" t="str">
        <f>IF(Tim!CW33="","",1)</f>
        <v/>
      </c>
      <c r="AQ31" s="60" t="str">
        <f>IF(Tim!CX33="","",1)</f>
        <v/>
      </c>
      <c r="AR31" s="60" t="str">
        <f>IF(Tim!CY33="","",1)</f>
        <v/>
      </c>
      <c r="AS31" s="60" t="str">
        <f>IF(Tim!CZ33="","",1)</f>
        <v/>
      </c>
      <c r="AT31" s="60" t="str">
        <f>IF(Tim!DA33="","",1)</f>
        <v/>
      </c>
      <c r="AU31" s="60">
        <f>IF(Tim!DB33="","",1)</f>
        <v>1</v>
      </c>
      <c r="AV31" s="60" t="str">
        <f>IF(Tim!DC33="","",1)</f>
        <v/>
      </c>
      <c r="AW31" s="60" t="str">
        <f>IF(Tim!DD33="","",1)</f>
        <v/>
      </c>
      <c r="AX31" s="60" t="str">
        <f>IF(Tim!DE33="","",1)</f>
        <v/>
      </c>
      <c r="AY31" s="56">
        <f>IF(Tim!EL33="","",1)</f>
        <v>1</v>
      </c>
      <c r="AZ31" s="60" t="str">
        <f>IF(Tim!EM33="","",1)</f>
        <v/>
      </c>
      <c r="BA31" s="60" t="str">
        <f>IF(Tim!EN33="","",1)</f>
        <v/>
      </c>
      <c r="BB31" s="60" t="str">
        <f>IF(Tim!EO33="","",1)</f>
        <v/>
      </c>
      <c r="BC31" s="60" t="str">
        <f>IF(Tim!EP33="","",1)</f>
        <v/>
      </c>
      <c r="BD31" s="60" t="str">
        <f>IF(Tim!EQ33="","",1)</f>
        <v/>
      </c>
      <c r="BE31" s="60" t="str">
        <f>IF(Tim!ER33="","",1)</f>
        <v/>
      </c>
      <c r="BF31" s="60" t="str">
        <f>IF(Tim!ES33="","",1)</f>
        <v/>
      </c>
      <c r="BG31" s="60" t="str">
        <f>IF(Tim!ET33="","",1)</f>
        <v/>
      </c>
      <c r="BH31" s="60" t="str">
        <f>IF(Tim!EU33="","",1)</f>
        <v/>
      </c>
      <c r="BI31" s="60" t="str">
        <f>IF(Tim!EV33="","",1)</f>
        <v/>
      </c>
      <c r="BJ31" s="60" t="str">
        <f>IF(Tim!EW33="","",1)</f>
        <v/>
      </c>
      <c r="BK31" s="60" t="str">
        <f>IF(Tim!EX33="","",1)</f>
        <v/>
      </c>
      <c r="BL31" s="60" t="str">
        <f>IF(Tim!EY33="","",1)</f>
        <v/>
      </c>
      <c r="BM31" s="60" t="str">
        <f>IF(Tim!EZ33="","",1)</f>
        <v/>
      </c>
      <c r="BN31" s="56">
        <f>IF(Tim!GD33="","",1)</f>
        <v>1</v>
      </c>
      <c r="BO31" s="60" t="str">
        <f>IF(Tim!GE33="","",1)</f>
        <v/>
      </c>
      <c r="BP31" s="60" t="str">
        <f>IF(Tim!GF33="","",1)</f>
        <v/>
      </c>
      <c r="BQ31" s="60" t="str">
        <f>IF(Tim!GG33="","",1)</f>
        <v/>
      </c>
      <c r="BR31" s="60" t="str">
        <f>IF(Tim!GH33="","",1)</f>
        <v/>
      </c>
      <c r="BS31" s="60" t="str">
        <f>IF(Tim!GI33="","",1)</f>
        <v/>
      </c>
      <c r="BT31" s="60" t="str">
        <f>IF(Tim!GJ33="","",1)</f>
        <v/>
      </c>
      <c r="BU31" s="60">
        <f>IF(Tim!GK33="","",1)</f>
        <v>1</v>
      </c>
      <c r="BV31" s="60" t="str">
        <f>IF(Tim!GL33="","",1)</f>
        <v/>
      </c>
      <c r="BW31" s="60" t="str">
        <f>IF(Tim!GM33="","",1)</f>
        <v/>
      </c>
      <c r="BX31" s="60">
        <f>IF(Tim!GN33="","",1)</f>
        <v>1</v>
      </c>
      <c r="BY31" s="60" t="str">
        <f>IF(Tim!GO33="","",1)</f>
        <v/>
      </c>
      <c r="BZ31" s="60" t="str">
        <f>IF(Tim!GP33="","",1)</f>
        <v/>
      </c>
      <c r="CA31" s="60" t="str">
        <f>IF(Tim!GQ33="","",1)</f>
        <v/>
      </c>
      <c r="CB31" s="60" t="str">
        <f>IF(Tim!GR33="","",1)</f>
        <v/>
      </c>
      <c r="CC31" s="56">
        <f>IF(Tim!HV33="","",1)</f>
        <v>1</v>
      </c>
      <c r="CD31" s="53" t="str">
        <f>IF(Tim!HW33="","",1)</f>
        <v/>
      </c>
      <c r="CE31" s="53" t="str">
        <f>IF(Tim!HX33="","",1)</f>
        <v/>
      </c>
      <c r="CF31" s="53" t="str">
        <f>IF(Tim!HY33="","",1)</f>
        <v/>
      </c>
      <c r="CG31" s="53" t="str">
        <f>IF(Tim!HZ33="","",1)</f>
        <v/>
      </c>
      <c r="CH31" s="53" t="str">
        <f>IF(Tim!IA33="","",1)</f>
        <v/>
      </c>
      <c r="CI31" s="53" t="str">
        <f>IF(Tim!IB33="","",1)</f>
        <v/>
      </c>
      <c r="CJ31" s="53" t="str">
        <f>IF(Tim!IC33="","",1)</f>
        <v/>
      </c>
      <c r="CK31" s="53" t="str">
        <f>IF(Tim!ID33="","",1)</f>
        <v/>
      </c>
      <c r="CL31" s="53" t="str">
        <f>IF(Tim!IE33="","",1)</f>
        <v/>
      </c>
      <c r="CM31" s="53" t="str">
        <f>IF(Tim!IF33="","",1)</f>
        <v/>
      </c>
      <c r="CN31" s="53" t="str">
        <f>IF(Tim!IG33="","",1)</f>
        <v/>
      </c>
      <c r="CO31" s="53" t="str">
        <f>IF(Tim!IH33="","",1)</f>
        <v/>
      </c>
      <c r="CP31" s="53" t="str">
        <f>IF(Tim!II33="","",1)</f>
        <v/>
      </c>
      <c r="CQ31" s="54" t="str">
        <f>IF(Tim!IJ33="","",1)</f>
        <v/>
      </c>
      <c r="CR31" s="56" t="str">
        <f>IF(Tim!JN33="","",1)</f>
        <v/>
      </c>
      <c r="CS31" s="53" t="str">
        <f>IF(Tim!JO33="","",1)</f>
        <v/>
      </c>
      <c r="CT31" s="53" t="str">
        <f>IF(Tim!JP33="","",1)</f>
        <v/>
      </c>
      <c r="CU31" s="53" t="str">
        <f>IF(Tim!JQ33="","",1)</f>
        <v/>
      </c>
      <c r="CV31" s="53" t="str">
        <f>IF(Tim!JR33="","",1)</f>
        <v/>
      </c>
      <c r="CW31" s="53" t="str">
        <f>IF(Tim!JS33="","",1)</f>
        <v/>
      </c>
      <c r="CX31" s="53" t="str">
        <f>IF(Tim!JT33="","",1)</f>
        <v/>
      </c>
      <c r="CY31" s="53" t="str">
        <f>IF(Tim!JU33="","",1)</f>
        <v/>
      </c>
      <c r="CZ31" s="53" t="str">
        <f>IF(Tim!JV33="","",1)</f>
        <v/>
      </c>
      <c r="DA31" s="53" t="str">
        <f>IF(Tim!JW33="","",1)</f>
        <v/>
      </c>
      <c r="DB31" s="53" t="str">
        <f>IF(Tim!JX33="","",1)</f>
        <v/>
      </c>
      <c r="DC31" s="53" t="str">
        <f>IF(Tim!JY33="","",1)</f>
        <v/>
      </c>
      <c r="DD31" s="53" t="str">
        <f>IF(Tim!JZ33="","",1)</f>
        <v/>
      </c>
      <c r="DE31" s="53" t="str">
        <f>IF(Tim!KA33="","",1)</f>
        <v/>
      </c>
      <c r="DF31" s="55" t="str">
        <f>IF(Tim!KB33="","",1)</f>
        <v/>
      </c>
      <c r="DG31" s="52">
        <v>0.562499999999999</v>
      </c>
    </row>
    <row r="32" spans="2:111" ht="10.5" customHeight="1">
      <c r="B32" s="51">
        <v>0.25</v>
      </c>
      <c r="C32" s="51">
        <v>0.25</v>
      </c>
      <c r="D32" s="51">
        <v>0.25</v>
      </c>
      <c r="E32" s="172">
        <v>0.57291666666666596</v>
      </c>
      <c r="F32" s="56">
        <f>IF(Tim!F34="","",1)</f>
        <v>1</v>
      </c>
      <c r="G32" s="60" t="str">
        <f>IF(Tim!G34="","",1)</f>
        <v/>
      </c>
      <c r="H32" s="60" t="str">
        <f>IF(Tim!H34="","",1)</f>
        <v/>
      </c>
      <c r="I32" s="60" t="str">
        <f>IF(Tim!I34="","",1)</f>
        <v/>
      </c>
      <c r="J32" s="60" t="str">
        <f>IF(Tim!J34="","",1)</f>
        <v/>
      </c>
      <c r="K32" s="60" t="str">
        <f>IF(Tim!K34="","",1)</f>
        <v/>
      </c>
      <c r="L32" s="60" t="str">
        <f>IF(Tim!L34="","",1)</f>
        <v/>
      </c>
      <c r="M32" s="60" t="str">
        <f>IF(Tim!M34="","",1)</f>
        <v/>
      </c>
      <c r="N32" s="60" t="str">
        <f>IF(Tim!N34="","",1)</f>
        <v/>
      </c>
      <c r="O32" s="60" t="str">
        <f>IF(Tim!O34="","",1)</f>
        <v/>
      </c>
      <c r="P32" s="60" t="str">
        <f>IF(Tim!P34="","",1)</f>
        <v/>
      </c>
      <c r="Q32" s="60" t="str">
        <f>IF(Tim!Q34="","",1)</f>
        <v/>
      </c>
      <c r="R32" s="60" t="str">
        <f>IF(Tim!R34="","",1)</f>
        <v/>
      </c>
      <c r="S32" s="60" t="str">
        <f>IF(Tim!S34="","",1)</f>
        <v/>
      </c>
      <c r="T32" s="60" t="str">
        <f>IF(Tim!T34="","",1)</f>
        <v/>
      </c>
      <c r="U32" s="56">
        <f>IF(Tim!AY34="","",1)</f>
        <v>1</v>
      </c>
      <c r="V32" s="60" t="str">
        <f>IF(Tim!AZ34="","",1)</f>
        <v/>
      </c>
      <c r="W32" s="60">
        <f>IF(Tim!BA34="","",1)</f>
        <v>1</v>
      </c>
      <c r="X32" s="60" t="str">
        <f>IF(Tim!BB34="","",1)</f>
        <v/>
      </c>
      <c r="Y32" s="60" t="str">
        <f>IF(Tim!BC34="","",1)</f>
        <v/>
      </c>
      <c r="Z32" s="60" t="str">
        <f>IF(Tim!BD34="","",1)</f>
        <v/>
      </c>
      <c r="AA32" s="60" t="str">
        <f>IF(Tim!BE34="","",1)</f>
        <v/>
      </c>
      <c r="AB32" s="60" t="str">
        <f>IF(Tim!BF34="","",1)</f>
        <v/>
      </c>
      <c r="AC32" s="60" t="str">
        <f>IF(Tim!BG34="","",1)</f>
        <v/>
      </c>
      <c r="AD32" s="60" t="str">
        <f>IF(Tim!BH34="","",1)</f>
        <v/>
      </c>
      <c r="AE32" s="60" t="str">
        <f>IF(Tim!BI34="","",1)</f>
        <v/>
      </c>
      <c r="AF32" s="60" t="str">
        <f>IF(Tim!BJ34="","",1)</f>
        <v/>
      </c>
      <c r="AG32" s="60" t="str">
        <f>IF(Tim!BK34="","",1)</f>
        <v/>
      </c>
      <c r="AH32" s="60" t="str">
        <f>IF(Tim!BL34="","",1)</f>
        <v/>
      </c>
      <c r="AI32" s="60" t="str">
        <f>IF(Tim!BM34="","",1)</f>
        <v/>
      </c>
      <c r="AJ32" s="56">
        <f>IF(Tim!CQ34="","",1)</f>
        <v>1</v>
      </c>
      <c r="AK32" s="60" t="str">
        <f>IF(Tim!CR34="","",1)</f>
        <v/>
      </c>
      <c r="AL32" s="60" t="str">
        <f>IF(Tim!CS34="","",1)</f>
        <v/>
      </c>
      <c r="AM32" s="60" t="str">
        <f>IF(Tim!CT34="","",1)</f>
        <v/>
      </c>
      <c r="AN32" s="60" t="str">
        <f>IF(Tim!CU34="","",1)</f>
        <v/>
      </c>
      <c r="AO32" s="60" t="str">
        <f>IF(Tim!CV34="","",1)</f>
        <v/>
      </c>
      <c r="AP32" s="60" t="str">
        <f>IF(Tim!CW34="","",1)</f>
        <v/>
      </c>
      <c r="AQ32" s="60" t="str">
        <f>IF(Tim!CX34="","",1)</f>
        <v/>
      </c>
      <c r="AR32" s="60" t="str">
        <f>IF(Tim!CY34="","",1)</f>
        <v/>
      </c>
      <c r="AS32" s="60" t="str">
        <f>IF(Tim!CZ34="","",1)</f>
        <v/>
      </c>
      <c r="AT32" s="60" t="str">
        <f>IF(Tim!DA34="","",1)</f>
        <v/>
      </c>
      <c r="AU32" s="60">
        <f>IF(Tim!DB34="","",1)</f>
        <v>1</v>
      </c>
      <c r="AV32" s="60" t="str">
        <f>IF(Tim!DC34="","",1)</f>
        <v/>
      </c>
      <c r="AW32" s="60" t="str">
        <f>IF(Tim!DD34="","",1)</f>
        <v/>
      </c>
      <c r="AX32" s="60" t="str">
        <f>IF(Tim!DE34="","",1)</f>
        <v/>
      </c>
      <c r="AY32" s="56">
        <f>IF(Tim!EL34="","",1)</f>
        <v>1</v>
      </c>
      <c r="AZ32" s="60" t="str">
        <f>IF(Tim!EM34="","",1)</f>
        <v/>
      </c>
      <c r="BA32" s="60" t="str">
        <f>IF(Tim!EN34="","",1)</f>
        <v/>
      </c>
      <c r="BB32" s="60" t="str">
        <f>IF(Tim!EO34="","",1)</f>
        <v/>
      </c>
      <c r="BC32" s="60" t="str">
        <f>IF(Tim!EP34="","",1)</f>
        <v/>
      </c>
      <c r="BD32" s="60" t="str">
        <f>IF(Tim!EQ34="","",1)</f>
        <v/>
      </c>
      <c r="BE32" s="60" t="str">
        <f>IF(Tim!ER34="","",1)</f>
        <v/>
      </c>
      <c r="BF32" s="60" t="str">
        <f>IF(Tim!ES34="","",1)</f>
        <v/>
      </c>
      <c r="BG32" s="60" t="str">
        <f>IF(Tim!ET34="","",1)</f>
        <v/>
      </c>
      <c r="BH32" s="60" t="str">
        <f>IF(Tim!EU34="","",1)</f>
        <v/>
      </c>
      <c r="BI32" s="60" t="str">
        <f>IF(Tim!EV34="","",1)</f>
        <v/>
      </c>
      <c r="BJ32" s="60" t="str">
        <f>IF(Tim!EW34="","",1)</f>
        <v/>
      </c>
      <c r="BK32" s="60" t="str">
        <f>IF(Tim!EX34="","",1)</f>
        <v/>
      </c>
      <c r="BL32" s="60" t="str">
        <f>IF(Tim!EY34="","",1)</f>
        <v/>
      </c>
      <c r="BM32" s="60" t="str">
        <f>IF(Tim!EZ34="","",1)</f>
        <v/>
      </c>
      <c r="BN32" s="56">
        <f>IF(Tim!GD34="","",1)</f>
        <v>1</v>
      </c>
      <c r="BO32" s="60" t="str">
        <f>IF(Tim!GE34="","",1)</f>
        <v/>
      </c>
      <c r="BP32" s="60" t="str">
        <f>IF(Tim!GF34="","",1)</f>
        <v/>
      </c>
      <c r="BQ32" s="60" t="str">
        <f>IF(Tim!GG34="","",1)</f>
        <v/>
      </c>
      <c r="BR32" s="60" t="str">
        <f>IF(Tim!GH34="","",1)</f>
        <v/>
      </c>
      <c r="BS32" s="60" t="str">
        <f>IF(Tim!GI34="","",1)</f>
        <v/>
      </c>
      <c r="BT32" s="60" t="str">
        <f>IF(Tim!GJ34="","",1)</f>
        <v/>
      </c>
      <c r="BU32" s="60">
        <f>IF(Tim!GK34="","",1)</f>
        <v>1</v>
      </c>
      <c r="BV32" s="60" t="str">
        <f>IF(Tim!GL34="","",1)</f>
        <v/>
      </c>
      <c r="BW32" s="60" t="str">
        <f>IF(Tim!GM34="","",1)</f>
        <v/>
      </c>
      <c r="BX32" s="60">
        <f>IF(Tim!GN34="","",1)</f>
        <v>1</v>
      </c>
      <c r="BY32" s="60" t="str">
        <f>IF(Tim!GO34="","",1)</f>
        <v/>
      </c>
      <c r="BZ32" s="60" t="str">
        <f>IF(Tim!GP34="","",1)</f>
        <v/>
      </c>
      <c r="CA32" s="60" t="str">
        <f>IF(Tim!GQ34="","",1)</f>
        <v/>
      </c>
      <c r="CB32" s="60" t="str">
        <f>IF(Tim!GR34="","",1)</f>
        <v/>
      </c>
      <c r="CC32" s="56">
        <f>IF(Tim!HV34="","",1)</f>
        <v>1</v>
      </c>
      <c r="CD32" s="53" t="str">
        <f>IF(Tim!HW34="","",1)</f>
        <v/>
      </c>
      <c r="CE32" s="53" t="str">
        <f>IF(Tim!HX34="","",1)</f>
        <v/>
      </c>
      <c r="CF32" s="53" t="str">
        <f>IF(Tim!HY34="","",1)</f>
        <v/>
      </c>
      <c r="CG32" s="53" t="str">
        <f>IF(Tim!HZ34="","",1)</f>
        <v/>
      </c>
      <c r="CH32" s="53" t="str">
        <f>IF(Tim!IA34="","",1)</f>
        <v/>
      </c>
      <c r="CI32" s="53" t="str">
        <f>IF(Tim!IB34="","",1)</f>
        <v/>
      </c>
      <c r="CJ32" s="53" t="str">
        <f>IF(Tim!IC34="","",1)</f>
        <v/>
      </c>
      <c r="CK32" s="53" t="str">
        <f>IF(Tim!ID34="","",1)</f>
        <v/>
      </c>
      <c r="CL32" s="53" t="str">
        <f>IF(Tim!IE34="","",1)</f>
        <v/>
      </c>
      <c r="CM32" s="53" t="str">
        <f>IF(Tim!IF34="","",1)</f>
        <v/>
      </c>
      <c r="CN32" s="53" t="str">
        <f>IF(Tim!IG34="","",1)</f>
        <v/>
      </c>
      <c r="CO32" s="53" t="str">
        <f>IF(Tim!IH34="","",1)</f>
        <v/>
      </c>
      <c r="CP32" s="53" t="str">
        <f>IF(Tim!II34="","",1)</f>
        <v/>
      </c>
      <c r="CQ32" s="54" t="str">
        <f>IF(Tim!IJ34="","",1)</f>
        <v/>
      </c>
      <c r="CR32" s="56" t="str">
        <f>IF(Tim!JN34="","",1)</f>
        <v/>
      </c>
      <c r="CS32" s="53" t="str">
        <f>IF(Tim!JO34="","",1)</f>
        <v/>
      </c>
      <c r="CT32" s="53" t="str">
        <f>IF(Tim!JP34="","",1)</f>
        <v/>
      </c>
      <c r="CU32" s="53" t="str">
        <f>IF(Tim!JQ34="","",1)</f>
        <v/>
      </c>
      <c r="CV32" s="53" t="str">
        <f>IF(Tim!JR34="","",1)</f>
        <v/>
      </c>
      <c r="CW32" s="53" t="str">
        <f>IF(Tim!JS34="","",1)</f>
        <v/>
      </c>
      <c r="CX32" s="53" t="str">
        <f>IF(Tim!JT34="","",1)</f>
        <v/>
      </c>
      <c r="CY32" s="53" t="str">
        <f>IF(Tim!JU34="","",1)</f>
        <v/>
      </c>
      <c r="CZ32" s="53" t="str">
        <f>IF(Tim!JV34="","",1)</f>
        <v/>
      </c>
      <c r="DA32" s="53" t="str">
        <f>IF(Tim!JW34="","",1)</f>
        <v/>
      </c>
      <c r="DB32" s="53" t="str">
        <f>IF(Tim!JX34="","",1)</f>
        <v/>
      </c>
      <c r="DC32" s="53" t="str">
        <f>IF(Tim!JY34="","",1)</f>
        <v/>
      </c>
      <c r="DD32" s="53" t="str">
        <f>IF(Tim!JZ34="","",1)</f>
        <v/>
      </c>
      <c r="DE32" s="53" t="str">
        <f>IF(Tim!KA34="","",1)</f>
        <v/>
      </c>
      <c r="DF32" s="55" t="str">
        <f>IF(Tim!KB34="","",1)</f>
        <v/>
      </c>
      <c r="DG32" s="52">
        <v>0.57291666666666596</v>
      </c>
    </row>
    <row r="33" spans="2:111" ht="10.5" customHeight="1">
      <c r="B33" s="51">
        <v>0.25</v>
      </c>
      <c r="C33" s="51">
        <v>0.25</v>
      </c>
      <c r="D33" s="51">
        <v>0.25</v>
      </c>
      <c r="E33" s="172">
        <v>0.58333333333333304</v>
      </c>
      <c r="F33" s="56">
        <f>IF(Tim!F35="","",1)</f>
        <v>1</v>
      </c>
      <c r="G33" s="60" t="str">
        <f>IF(Tim!G35="","",1)</f>
        <v/>
      </c>
      <c r="H33" s="60" t="str">
        <f>IF(Tim!H35="","",1)</f>
        <v/>
      </c>
      <c r="I33" s="60" t="str">
        <f>IF(Tim!I35="","",1)</f>
        <v/>
      </c>
      <c r="J33" s="60" t="str">
        <f>IF(Tim!J35="","",1)</f>
        <v/>
      </c>
      <c r="K33" s="60" t="str">
        <f>IF(Tim!K35="","",1)</f>
        <v/>
      </c>
      <c r="L33" s="60" t="str">
        <f>IF(Tim!L35="","",1)</f>
        <v/>
      </c>
      <c r="M33" s="60" t="str">
        <f>IF(Tim!M35="","",1)</f>
        <v/>
      </c>
      <c r="N33" s="60" t="str">
        <f>IF(Tim!N35="","",1)</f>
        <v/>
      </c>
      <c r="O33" s="60" t="str">
        <f>IF(Tim!O35="","",1)</f>
        <v/>
      </c>
      <c r="P33" s="60" t="str">
        <f>IF(Tim!P35="","",1)</f>
        <v/>
      </c>
      <c r="Q33" s="60" t="str">
        <f>IF(Tim!Q35="","",1)</f>
        <v/>
      </c>
      <c r="R33" s="60" t="str">
        <f>IF(Tim!R35="","",1)</f>
        <v/>
      </c>
      <c r="S33" s="60" t="str">
        <f>IF(Tim!S35="","",1)</f>
        <v/>
      </c>
      <c r="T33" s="60" t="str">
        <f>IF(Tim!T35="","",1)</f>
        <v/>
      </c>
      <c r="U33" s="56">
        <f>IF(Tim!AY35="","",1)</f>
        <v>1</v>
      </c>
      <c r="V33" s="60" t="str">
        <f>IF(Tim!AZ35="","",1)</f>
        <v/>
      </c>
      <c r="W33" s="60" t="str">
        <f>IF(Tim!BA35="","",1)</f>
        <v/>
      </c>
      <c r="X33" s="60" t="str">
        <f>IF(Tim!BB35="","",1)</f>
        <v/>
      </c>
      <c r="Y33" s="60" t="str">
        <f>IF(Tim!BC35="","",1)</f>
        <v/>
      </c>
      <c r="Z33" s="60" t="str">
        <f>IF(Tim!BD35="","",1)</f>
        <v/>
      </c>
      <c r="AA33" s="60" t="str">
        <f>IF(Tim!BE35="","",1)</f>
        <v/>
      </c>
      <c r="AB33" s="60" t="str">
        <f>IF(Tim!BF35="","",1)</f>
        <v/>
      </c>
      <c r="AC33" s="60" t="str">
        <f>IF(Tim!BG35="","",1)</f>
        <v/>
      </c>
      <c r="AD33" s="60" t="str">
        <f>IF(Tim!BH35="","",1)</f>
        <v/>
      </c>
      <c r="AE33" s="60" t="str">
        <f>IF(Tim!BI35="","",1)</f>
        <v/>
      </c>
      <c r="AF33" s="60" t="str">
        <f>IF(Tim!BJ35="","",1)</f>
        <v/>
      </c>
      <c r="AG33" s="60" t="str">
        <f>IF(Tim!BK35="","",1)</f>
        <v/>
      </c>
      <c r="AH33" s="60" t="str">
        <f>IF(Tim!BL35="","",1)</f>
        <v/>
      </c>
      <c r="AI33" s="60" t="str">
        <f>IF(Tim!BM35="","",1)</f>
        <v/>
      </c>
      <c r="AJ33" s="56">
        <f>IF(Tim!CQ35="","",1)</f>
        <v>1</v>
      </c>
      <c r="AK33" s="60" t="str">
        <f>IF(Tim!CR35="","",1)</f>
        <v/>
      </c>
      <c r="AL33" s="60" t="str">
        <f>IF(Tim!CS35="","",1)</f>
        <v/>
      </c>
      <c r="AM33" s="60" t="str">
        <f>IF(Tim!CT35="","",1)</f>
        <v/>
      </c>
      <c r="AN33" s="60" t="str">
        <f>IF(Tim!CU35="","",1)</f>
        <v/>
      </c>
      <c r="AO33" s="60" t="str">
        <f>IF(Tim!CV35="","",1)</f>
        <v/>
      </c>
      <c r="AP33" s="60" t="str">
        <f>IF(Tim!CW35="","",1)</f>
        <v/>
      </c>
      <c r="AQ33" s="60" t="str">
        <f>IF(Tim!CX35="","",1)</f>
        <v/>
      </c>
      <c r="AR33" s="60" t="str">
        <f>IF(Tim!CY35="","",1)</f>
        <v/>
      </c>
      <c r="AS33" s="60" t="str">
        <f>IF(Tim!CZ35="","",1)</f>
        <v/>
      </c>
      <c r="AT33" s="60" t="str">
        <f>IF(Tim!DA35="","",1)</f>
        <v/>
      </c>
      <c r="AU33" s="60" t="str">
        <f>IF(Tim!DB35="","",1)</f>
        <v/>
      </c>
      <c r="AV33" s="60" t="str">
        <f>IF(Tim!DC35="","",1)</f>
        <v/>
      </c>
      <c r="AW33" s="60" t="str">
        <f>IF(Tim!DD35="","",1)</f>
        <v/>
      </c>
      <c r="AX33" s="60" t="str">
        <f>IF(Tim!DE35="","",1)</f>
        <v/>
      </c>
      <c r="AY33" s="56">
        <f>IF(Tim!EL35="","",1)</f>
        <v>1</v>
      </c>
      <c r="AZ33" s="60" t="str">
        <f>IF(Tim!EM35="","",1)</f>
        <v/>
      </c>
      <c r="BA33" s="60" t="str">
        <f>IF(Tim!EN35="","",1)</f>
        <v/>
      </c>
      <c r="BB33" s="60" t="str">
        <f>IF(Tim!EO35="","",1)</f>
        <v/>
      </c>
      <c r="BC33" s="60" t="str">
        <f>IF(Tim!EP35="","",1)</f>
        <v/>
      </c>
      <c r="BD33" s="60" t="str">
        <f>IF(Tim!EQ35="","",1)</f>
        <v/>
      </c>
      <c r="BE33" s="60" t="str">
        <f>IF(Tim!ER35="","",1)</f>
        <v/>
      </c>
      <c r="BF33" s="60" t="str">
        <f>IF(Tim!ES35="","",1)</f>
        <v/>
      </c>
      <c r="BG33" s="60" t="str">
        <f>IF(Tim!ET35="","",1)</f>
        <v/>
      </c>
      <c r="BH33" s="60" t="str">
        <f>IF(Tim!EU35="","",1)</f>
        <v/>
      </c>
      <c r="BI33" s="60" t="str">
        <f>IF(Tim!EV35="","",1)</f>
        <v/>
      </c>
      <c r="BJ33" s="60" t="str">
        <f>IF(Tim!EW35="","",1)</f>
        <v/>
      </c>
      <c r="BK33" s="60" t="str">
        <f>IF(Tim!EX35="","",1)</f>
        <v/>
      </c>
      <c r="BL33" s="60" t="str">
        <f>IF(Tim!EY35="","",1)</f>
        <v/>
      </c>
      <c r="BM33" s="60" t="str">
        <f>IF(Tim!EZ35="","",1)</f>
        <v/>
      </c>
      <c r="BN33" s="56">
        <f>IF(Tim!GD35="","",1)</f>
        <v>1</v>
      </c>
      <c r="BO33" s="60" t="str">
        <f>IF(Tim!GE35="","",1)</f>
        <v/>
      </c>
      <c r="BP33" s="60" t="str">
        <f>IF(Tim!GF35="","",1)</f>
        <v/>
      </c>
      <c r="BQ33" s="60" t="str">
        <f>IF(Tim!GG35="","",1)</f>
        <v/>
      </c>
      <c r="BR33" s="60" t="str">
        <f>IF(Tim!GH35="","",1)</f>
        <v/>
      </c>
      <c r="BS33" s="60" t="str">
        <f>IF(Tim!GI35="","",1)</f>
        <v/>
      </c>
      <c r="BT33" s="60" t="str">
        <f>IF(Tim!GJ35="","",1)</f>
        <v/>
      </c>
      <c r="BU33" s="60">
        <f>IF(Tim!GK35="","",1)</f>
        <v>1</v>
      </c>
      <c r="BV33" s="60" t="str">
        <f>IF(Tim!GL35="","",1)</f>
        <v/>
      </c>
      <c r="BW33" s="60">
        <f>IF(Tim!GM35="","",1)</f>
        <v>1</v>
      </c>
      <c r="BX33" s="60">
        <f>IF(Tim!GN35="","",1)</f>
        <v>1</v>
      </c>
      <c r="BY33" s="60" t="str">
        <f>IF(Tim!GO35="","",1)</f>
        <v/>
      </c>
      <c r="BZ33" s="60" t="str">
        <f>IF(Tim!GP35="","",1)</f>
        <v/>
      </c>
      <c r="CA33" s="60" t="str">
        <f>IF(Tim!GQ35="","",1)</f>
        <v/>
      </c>
      <c r="CB33" s="60" t="str">
        <f>IF(Tim!GR35="","",1)</f>
        <v/>
      </c>
      <c r="CC33" s="56">
        <f>IF(Tim!HV35="","",1)</f>
        <v>1</v>
      </c>
      <c r="CD33" s="53" t="str">
        <f>IF(Tim!HW35="","",1)</f>
        <v/>
      </c>
      <c r="CE33" s="53" t="str">
        <f>IF(Tim!HX35="","",1)</f>
        <v/>
      </c>
      <c r="CF33" s="53" t="str">
        <f>IF(Tim!HY35="","",1)</f>
        <v/>
      </c>
      <c r="CG33" s="53" t="str">
        <f>IF(Tim!HZ35="","",1)</f>
        <v/>
      </c>
      <c r="CH33" s="53" t="str">
        <f>IF(Tim!IA35="","",1)</f>
        <v/>
      </c>
      <c r="CI33" s="53" t="str">
        <f>IF(Tim!IB35="","",1)</f>
        <v/>
      </c>
      <c r="CJ33" s="53" t="str">
        <f>IF(Tim!IC35="","",1)</f>
        <v/>
      </c>
      <c r="CK33" s="53" t="str">
        <f>IF(Tim!ID35="","",1)</f>
        <v/>
      </c>
      <c r="CL33" s="53" t="str">
        <f>IF(Tim!IE35="","",1)</f>
        <v/>
      </c>
      <c r="CM33" s="53" t="str">
        <f>IF(Tim!IF35="","",1)</f>
        <v/>
      </c>
      <c r="CN33" s="53" t="str">
        <f>IF(Tim!IG35="","",1)</f>
        <v/>
      </c>
      <c r="CO33" s="53" t="str">
        <f>IF(Tim!IH35="","",1)</f>
        <v/>
      </c>
      <c r="CP33" s="53" t="str">
        <f>IF(Tim!II35="","",1)</f>
        <v/>
      </c>
      <c r="CQ33" s="54" t="str">
        <f>IF(Tim!IJ35="","",1)</f>
        <v/>
      </c>
      <c r="CR33" s="56" t="str">
        <f>IF(Tim!JN35="","",1)</f>
        <v/>
      </c>
      <c r="CS33" s="53" t="str">
        <f>IF(Tim!JO35="","",1)</f>
        <v/>
      </c>
      <c r="CT33" s="53" t="str">
        <f>IF(Tim!JP35="","",1)</f>
        <v/>
      </c>
      <c r="CU33" s="53" t="str">
        <f>IF(Tim!JQ35="","",1)</f>
        <v/>
      </c>
      <c r="CV33" s="53" t="str">
        <f>IF(Tim!JR35="","",1)</f>
        <v/>
      </c>
      <c r="CW33" s="53" t="str">
        <f>IF(Tim!JS35="","",1)</f>
        <v/>
      </c>
      <c r="CX33" s="53" t="str">
        <f>IF(Tim!JT35="","",1)</f>
        <v/>
      </c>
      <c r="CY33" s="53" t="str">
        <f>IF(Tim!JU35="","",1)</f>
        <v/>
      </c>
      <c r="CZ33" s="53" t="str">
        <f>IF(Tim!JV35="","",1)</f>
        <v/>
      </c>
      <c r="DA33" s="53" t="str">
        <f>IF(Tim!JW35="","",1)</f>
        <v/>
      </c>
      <c r="DB33" s="53" t="str">
        <f>IF(Tim!JX35="","",1)</f>
        <v/>
      </c>
      <c r="DC33" s="53" t="str">
        <f>IF(Tim!JY35="","",1)</f>
        <v/>
      </c>
      <c r="DD33" s="53" t="str">
        <f>IF(Tim!JZ35="","",1)</f>
        <v/>
      </c>
      <c r="DE33" s="53" t="str">
        <f>IF(Tim!KA35="","",1)</f>
        <v/>
      </c>
      <c r="DF33" s="55" t="str">
        <f>IF(Tim!KB35="","",1)</f>
        <v/>
      </c>
      <c r="DG33" s="52">
        <v>0.58333333333333304</v>
      </c>
    </row>
    <row r="34" spans="2:111" ht="10.5" customHeight="1">
      <c r="B34" s="51">
        <v>0.25</v>
      </c>
      <c r="C34" s="51">
        <v>0.25</v>
      </c>
      <c r="D34" s="51">
        <v>0.25</v>
      </c>
      <c r="E34" s="172">
        <v>0.593749999999999</v>
      </c>
      <c r="F34" s="56">
        <f>IF(Tim!F36="","",1)</f>
        <v>1</v>
      </c>
      <c r="G34" s="60" t="str">
        <f>IF(Tim!G36="","",1)</f>
        <v/>
      </c>
      <c r="H34" s="60" t="str">
        <f>IF(Tim!H36="","",1)</f>
        <v/>
      </c>
      <c r="I34" s="60" t="str">
        <f>IF(Tim!I36="","",1)</f>
        <v/>
      </c>
      <c r="J34" s="60" t="str">
        <f>IF(Tim!J36="","",1)</f>
        <v/>
      </c>
      <c r="K34" s="60" t="str">
        <f>IF(Tim!K36="","",1)</f>
        <v/>
      </c>
      <c r="L34" s="60" t="str">
        <f>IF(Tim!L36="","",1)</f>
        <v/>
      </c>
      <c r="M34" s="60" t="str">
        <f>IF(Tim!M36="","",1)</f>
        <v/>
      </c>
      <c r="N34" s="60" t="str">
        <f>IF(Tim!N36="","",1)</f>
        <v/>
      </c>
      <c r="O34" s="60" t="str">
        <f>IF(Tim!O36="","",1)</f>
        <v/>
      </c>
      <c r="P34" s="60" t="str">
        <f>IF(Tim!P36="","",1)</f>
        <v/>
      </c>
      <c r="Q34" s="60" t="str">
        <f>IF(Tim!Q36="","",1)</f>
        <v/>
      </c>
      <c r="R34" s="60" t="str">
        <f>IF(Tim!R36="","",1)</f>
        <v/>
      </c>
      <c r="S34" s="60" t="str">
        <f>IF(Tim!S36="","",1)</f>
        <v/>
      </c>
      <c r="T34" s="60" t="str">
        <f>IF(Tim!T36="","",1)</f>
        <v/>
      </c>
      <c r="U34" s="56">
        <f>IF(Tim!AY36="","",1)</f>
        <v>1</v>
      </c>
      <c r="V34" s="60">
        <f>IF(Tim!AZ36="","",1)</f>
        <v>1</v>
      </c>
      <c r="W34" s="60" t="str">
        <f>IF(Tim!BA36="","",1)</f>
        <v/>
      </c>
      <c r="X34" s="60" t="str">
        <f>IF(Tim!BB36="","",1)</f>
        <v/>
      </c>
      <c r="Y34" s="60" t="str">
        <f>IF(Tim!BC36="","",1)</f>
        <v/>
      </c>
      <c r="Z34" s="60" t="str">
        <f>IF(Tim!BD36="","",1)</f>
        <v/>
      </c>
      <c r="AA34" s="60" t="str">
        <f>IF(Tim!BE36="","",1)</f>
        <v/>
      </c>
      <c r="AB34" s="60" t="str">
        <f>IF(Tim!BF36="","",1)</f>
        <v/>
      </c>
      <c r="AC34" s="60" t="str">
        <f>IF(Tim!BG36="","",1)</f>
        <v/>
      </c>
      <c r="AD34" s="60" t="str">
        <f>IF(Tim!BH36="","",1)</f>
        <v/>
      </c>
      <c r="AE34" s="60" t="str">
        <f>IF(Tim!BI36="","",1)</f>
        <v/>
      </c>
      <c r="AF34" s="60" t="str">
        <f>IF(Tim!BJ36="","",1)</f>
        <v/>
      </c>
      <c r="AG34" s="60" t="str">
        <f>IF(Tim!BK36="","",1)</f>
        <v/>
      </c>
      <c r="AH34" s="60" t="str">
        <f>IF(Tim!BL36="","",1)</f>
        <v/>
      </c>
      <c r="AI34" s="60" t="str">
        <f>IF(Tim!BM36="","",1)</f>
        <v/>
      </c>
      <c r="AJ34" s="56">
        <f>IF(Tim!CQ36="","",1)</f>
        <v>1</v>
      </c>
      <c r="AK34" s="60" t="str">
        <f>IF(Tim!CR36="","",1)</f>
        <v/>
      </c>
      <c r="AL34" s="60" t="str">
        <f>IF(Tim!CS36="","",1)</f>
        <v/>
      </c>
      <c r="AM34" s="60" t="str">
        <f>IF(Tim!CT36="","",1)</f>
        <v/>
      </c>
      <c r="AN34" s="60" t="str">
        <f>IF(Tim!CU36="","",1)</f>
        <v/>
      </c>
      <c r="AO34" s="60" t="str">
        <f>IF(Tim!CV36="","",1)</f>
        <v/>
      </c>
      <c r="AP34" s="60" t="str">
        <f>IF(Tim!CW36="","",1)</f>
        <v/>
      </c>
      <c r="AQ34" s="60" t="str">
        <f>IF(Tim!CX36="","",1)</f>
        <v/>
      </c>
      <c r="AR34" s="60" t="str">
        <f>IF(Tim!CY36="","",1)</f>
        <v/>
      </c>
      <c r="AS34" s="60" t="str">
        <f>IF(Tim!CZ36="","",1)</f>
        <v/>
      </c>
      <c r="AT34" s="60" t="str">
        <f>IF(Tim!DA36="","",1)</f>
        <v/>
      </c>
      <c r="AU34" s="60" t="str">
        <f>IF(Tim!DB36="","",1)</f>
        <v/>
      </c>
      <c r="AV34" s="60" t="str">
        <f>IF(Tim!DC36="","",1)</f>
        <v/>
      </c>
      <c r="AW34" s="60" t="str">
        <f>IF(Tim!DD36="","",1)</f>
        <v/>
      </c>
      <c r="AX34" s="60" t="str">
        <f>IF(Tim!DE36="","",1)</f>
        <v/>
      </c>
      <c r="AY34" s="56">
        <f>IF(Tim!EL36="","",1)</f>
        <v>1</v>
      </c>
      <c r="AZ34" s="60" t="str">
        <f>IF(Tim!EM36="","",1)</f>
        <v/>
      </c>
      <c r="BA34" s="60" t="str">
        <f>IF(Tim!EN36="","",1)</f>
        <v/>
      </c>
      <c r="BB34" s="60" t="str">
        <f>IF(Tim!EO36="","",1)</f>
        <v/>
      </c>
      <c r="BC34" s="60" t="str">
        <f>IF(Tim!EP36="","",1)</f>
        <v/>
      </c>
      <c r="BD34" s="60" t="str">
        <f>IF(Tim!EQ36="","",1)</f>
        <v/>
      </c>
      <c r="BE34" s="60" t="str">
        <f>IF(Tim!ER36="","",1)</f>
        <v/>
      </c>
      <c r="BF34" s="60" t="str">
        <f>IF(Tim!ES36="","",1)</f>
        <v/>
      </c>
      <c r="BG34" s="60" t="str">
        <f>IF(Tim!ET36="","",1)</f>
        <v/>
      </c>
      <c r="BH34" s="60" t="str">
        <f>IF(Tim!EU36="","",1)</f>
        <v/>
      </c>
      <c r="BI34" s="60" t="str">
        <f>IF(Tim!EV36="","",1)</f>
        <v/>
      </c>
      <c r="BJ34" s="60" t="str">
        <f>IF(Tim!EW36="","",1)</f>
        <v/>
      </c>
      <c r="BK34" s="60" t="str">
        <f>IF(Tim!EX36="","",1)</f>
        <v/>
      </c>
      <c r="BL34" s="60" t="str">
        <f>IF(Tim!EY36="","",1)</f>
        <v/>
      </c>
      <c r="BM34" s="60" t="str">
        <f>IF(Tim!EZ36="","",1)</f>
        <v/>
      </c>
      <c r="BN34" s="56">
        <f>IF(Tim!GD36="","",1)</f>
        <v>1</v>
      </c>
      <c r="BO34" s="60" t="str">
        <f>IF(Tim!GE36="","",1)</f>
        <v/>
      </c>
      <c r="BP34" s="60" t="str">
        <f>IF(Tim!GF36="","",1)</f>
        <v/>
      </c>
      <c r="BQ34" s="60" t="str">
        <f>IF(Tim!GG36="","",1)</f>
        <v/>
      </c>
      <c r="BR34" s="60" t="str">
        <f>IF(Tim!GH36="","",1)</f>
        <v/>
      </c>
      <c r="BS34" s="60" t="str">
        <f>IF(Tim!GI36="","",1)</f>
        <v/>
      </c>
      <c r="BT34" s="60" t="str">
        <f>IF(Tim!GJ36="","",1)</f>
        <v/>
      </c>
      <c r="BU34" s="60">
        <f>IF(Tim!GK36="","",1)</f>
        <v>1</v>
      </c>
      <c r="BV34" s="60" t="str">
        <f>IF(Tim!GL36="","",1)</f>
        <v/>
      </c>
      <c r="BW34" s="60">
        <f>IF(Tim!GM36="","",1)</f>
        <v>1</v>
      </c>
      <c r="BX34" s="60">
        <f>IF(Tim!GN36="","",1)</f>
        <v>1</v>
      </c>
      <c r="BY34" s="60" t="str">
        <f>IF(Tim!GO36="","",1)</f>
        <v/>
      </c>
      <c r="BZ34" s="60" t="str">
        <f>IF(Tim!GP36="","",1)</f>
        <v/>
      </c>
      <c r="CA34" s="60" t="str">
        <f>IF(Tim!GQ36="","",1)</f>
        <v/>
      </c>
      <c r="CB34" s="60" t="str">
        <f>IF(Tim!GR36="","",1)</f>
        <v/>
      </c>
      <c r="CC34" s="56">
        <f>IF(Tim!HV36="","",1)</f>
        <v>1</v>
      </c>
      <c r="CD34" s="53" t="str">
        <f>IF(Tim!HW36="","",1)</f>
        <v/>
      </c>
      <c r="CE34" s="53" t="str">
        <f>IF(Tim!HX36="","",1)</f>
        <v/>
      </c>
      <c r="CF34" s="53" t="str">
        <f>IF(Tim!HY36="","",1)</f>
        <v/>
      </c>
      <c r="CG34" s="53" t="str">
        <f>IF(Tim!HZ36="","",1)</f>
        <v/>
      </c>
      <c r="CH34" s="53" t="str">
        <f>IF(Tim!IA36="","",1)</f>
        <v/>
      </c>
      <c r="CI34" s="53" t="str">
        <f>IF(Tim!IB36="","",1)</f>
        <v/>
      </c>
      <c r="CJ34" s="53" t="str">
        <f>IF(Tim!IC36="","",1)</f>
        <v/>
      </c>
      <c r="CK34" s="53" t="str">
        <f>IF(Tim!ID36="","",1)</f>
        <v/>
      </c>
      <c r="CL34" s="53" t="str">
        <f>IF(Tim!IE36="","",1)</f>
        <v/>
      </c>
      <c r="CM34" s="53" t="str">
        <f>IF(Tim!IF36="","",1)</f>
        <v/>
      </c>
      <c r="CN34" s="53" t="str">
        <f>IF(Tim!IG36="","",1)</f>
        <v/>
      </c>
      <c r="CO34" s="53" t="str">
        <f>IF(Tim!IH36="","",1)</f>
        <v/>
      </c>
      <c r="CP34" s="53" t="str">
        <f>IF(Tim!II36="","",1)</f>
        <v/>
      </c>
      <c r="CQ34" s="54" t="str">
        <f>IF(Tim!IJ36="","",1)</f>
        <v/>
      </c>
      <c r="CR34" s="56" t="str">
        <f>IF(Tim!JN36="","",1)</f>
        <v/>
      </c>
      <c r="CS34" s="53" t="str">
        <f>IF(Tim!JO36="","",1)</f>
        <v/>
      </c>
      <c r="CT34" s="53" t="str">
        <f>IF(Tim!JP36="","",1)</f>
        <v/>
      </c>
      <c r="CU34" s="53" t="str">
        <f>IF(Tim!JQ36="","",1)</f>
        <v/>
      </c>
      <c r="CV34" s="53" t="str">
        <f>IF(Tim!JR36="","",1)</f>
        <v/>
      </c>
      <c r="CW34" s="53" t="str">
        <f>IF(Tim!JS36="","",1)</f>
        <v/>
      </c>
      <c r="CX34" s="53" t="str">
        <f>IF(Tim!JT36="","",1)</f>
        <v/>
      </c>
      <c r="CY34" s="53" t="str">
        <f>IF(Tim!JU36="","",1)</f>
        <v/>
      </c>
      <c r="CZ34" s="53" t="str">
        <f>IF(Tim!JV36="","",1)</f>
        <v/>
      </c>
      <c r="DA34" s="53" t="str">
        <f>IF(Tim!JW36="","",1)</f>
        <v/>
      </c>
      <c r="DB34" s="53" t="str">
        <f>IF(Tim!JX36="","",1)</f>
        <v/>
      </c>
      <c r="DC34" s="53" t="str">
        <f>IF(Tim!JY36="","",1)</f>
        <v/>
      </c>
      <c r="DD34" s="53" t="str">
        <f>IF(Tim!JZ36="","",1)</f>
        <v/>
      </c>
      <c r="DE34" s="53" t="str">
        <f>IF(Tim!KA36="","",1)</f>
        <v/>
      </c>
      <c r="DF34" s="55" t="str">
        <f>IF(Tim!KB36="","",1)</f>
        <v/>
      </c>
      <c r="DG34" s="52">
        <v>0.593749999999999</v>
      </c>
    </row>
    <row r="35" spans="2:111" ht="10.5" customHeight="1">
      <c r="B35" s="51">
        <v>0.25</v>
      </c>
      <c r="C35" s="51">
        <v>0.25</v>
      </c>
      <c r="D35" s="51">
        <v>0.25</v>
      </c>
      <c r="E35" s="172">
        <v>0.60416666666666596</v>
      </c>
      <c r="F35" s="56">
        <f>IF(Tim!F37="","",1)</f>
        <v>1</v>
      </c>
      <c r="G35" s="60">
        <f>IF(Tim!G37="","",1)</f>
        <v>1</v>
      </c>
      <c r="H35" s="60" t="str">
        <f>IF(Tim!H37="","",1)</f>
        <v/>
      </c>
      <c r="I35" s="60" t="str">
        <f>IF(Tim!I37="","",1)</f>
        <v/>
      </c>
      <c r="J35" s="60" t="str">
        <f>IF(Tim!J37="","",1)</f>
        <v/>
      </c>
      <c r="K35" s="60" t="str">
        <f>IF(Tim!K37="","",1)</f>
        <v/>
      </c>
      <c r="L35" s="60" t="str">
        <f>IF(Tim!L37="","",1)</f>
        <v/>
      </c>
      <c r="M35" s="60" t="str">
        <f>IF(Tim!M37="","",1)</f>
        <v/>
      </c>
      <c r="N35" s="60" t="str">
        <f>IF(Tim!N37="","",1)</f>
        <v/>
      </c>
      <c r="O35" s="60" t="str">
        <f>IF(Tim!O37="","",1)</f>
        <v/>
      </c>
      <c r="P35" s="60" t="str">
        <f>IF(Tim!P37="","",1)</f>
        <v/>
      </c>
      <c r="Q35" s="60" t="str">
        <f>IF(Tim!Q37="","",1)</f>
        <v/>
      </c>
      <c r="R35" s="60" t="str">
        <f>IF(Tim!R37="","",1)</f>
        <v/>
      </c>
      <c r="S35" s="60" t="str">
        <f>IF(Tim!S37="","",1)</f>
        <v/>
      </c>
      <c r="T35" s="60" t="str">
        <f>IF(Tim!T37="","",1)</f>
        <v/>
      </c>
      <c r="U35" s="56">
        <f>IF(Tim!AY37="","",1)</f>
        <v>1</v>
      </c>
      <c r="V35" s="60" t="str">
        <f>IF(Tim!AZ37="","",1)</f>
        <v/>
      </c>
      <c r="W35" s="60" t="str">
        <f>IF(Tim!BA37="","",1)</f>
        <v/>
      </c>
      <c r="X35" s="60" t="str">
        <f>IF(Tim!BB37="","",1)</f>
        <v/>
      </c>
      <c r="Y35" s="60" t="str">
        <f>IF(Tim!BC37="","",1)</f>
        <v/>
      </c>
      <c r="Z35" s="60" t="str">
        <f>IF(Tim!BD37="","",1)</f>
        <v/>
      </c>
      <c r="AA35" s="60" t="str">
        <f>IF(Tim!BE37="","",1)</f>
        <v/>
      </c>
      <c r="AB35" s="60">
        <f>IF(Tim!BF37="","",1)</f>
        <v>1</v>
      </c>
      <c r="AC35" s="60" t="str">
        <f>IF(Tim!BG37="","",1)</f>
        <v/>
      </c>
      <c r="AD35" s="60" t="str">
        <f>IF(Tim!BH37="","",1)</f>
        <v/>
      </c>
      <c r="AE35" s="60" t="str">
        <f>IF(Tim!BI37="","",1)</f>
        <v/>
      </c>
      <c r="AF35" s="60" t="str">
        <f>IF(Tim!BJ37="","",1)</f>
        <v/>
      </c>
      <c r="AG35" s="60" t="str">
        <f>IF(Tim!BK37="","",1)</f>
        <v/>
      </c>
      <c r="AH35" s="60" t="str">
        <f>IF(Tim!BL37="","",1)</f>
        <v/>
      </c>
      <c r="AI35" s="60" t="str">
        <f>IF(Tim!BM37="","",1)</f>
        <v/>
      </c>
      <c r="AJ35" s="56">
        <f>IF(Tim!CQ37="","",1)</f>
        <v>1</v>
      </c>
      <c r="AK35" s="60" t="str">
        <f>IF(Tim!CR37="","",1)</f>
        <v/>
      </c>
      <c r="AL35" s="60" t="str">
        <f>IF(Tim!CS37="","",1)</f>
        <v/>
      </c>
      <c r="AM35" s="60" t="str">
        <f>IF(Tim!CT37="","",1)</f>
        <v/>
      </c>
      <c r="AN35" s="60" t="str">
        <f>IF(Tim!CU37="","",1)</f>
        <v/>
      </c>
      <c r="AO35" s="60" t="str">
        <f>IF(Tim!CV37="","",1)</f>
        <v/>
      </c>
      <c r="AP35" s="60" t="str">
        <f>IF(Tim!CW37="","",1)</f>
        <v/>
      </c>
      <c r="AQ35" s="60" t="str">
        <f>IF(Tim!CX37="","",1)</f>
        <v/>
      </c>
      <c r="AR35" s="60" t="str">
        <f>IF(Tim!CY37="","",1)</f>
        <v/>
      </c>
      <c r="AS35" s="60" t="str">
        <f>IF(Tim!CZ37="","",1)</f>
        <v/>
      </c>
      <c r="AT35" s="60" t="str">
        <f>IF(Tim!DA37="","",1)</f>
        <v/>
      </c>
      <c r="AU35" s="60" t="str">
        <f>IF(Tim!DB37="","",1)</f>
        <v/>
      </c>
      <c r="AV35" s="60" t="str">
        <f>IF(Tim!DC37="","",1)</f>
        <v/>
      </c>
      <c r="AW35" s="60">
        <f>IF(Tim!DD37="","",1)</f>
        <v>1</v>
      </c>
      <c r="AX35" s="60">
        <f>IF(Tim!DE37="","",1)</f>
        <v>1</v>
      </c>
      <c r="AY35" s="56">
        <f>IF(Tim!EL37="","",1)</f>
        <v>1</v>
      </c>
      <c r="AZ35" s="60">
        <f>IF(Tim!EM37="","",1)</f>
        <v>1</v>
      </c>
      <c r="BA35" s="60" t="str">
        <f>IF(Tim!EN37="","",1)</f>
        <v/>
      </c>
      <c r="BB35" s="60" t="str">
        <f>IF(Tim!EO37="","",1)</f>
        <v/>
      </c>
      <c r="BC35" s="60" t="str">
        <f>IF(Tim!EP37="","",1)</f>
        <v/>
      </c>
      <c r="BD35" s="60" t="str">
        <f>IF(Tim!EQ37="","",1)</f>
        <v/>
      </c>
      <c r="BE35" s="60" t="str">
        <f>IF(Tim!ER37="","",1)</f>
        <v/>
      </c>
      <c r="BF35" s="60" t="str">
        <f>IF(Tim!ES37="","",1)</f>
        <v/>
      </c>
      <c r="BG35" s="60" t="str">
        <f>IF(Tim!ET37="","",1)</f>
        <v/>
      </c>
      <c r="BH35" s="60" t="str">
        <f>IF(Tim!EU37="","",1)</f>
        <v/>
      </c>
      <c r="BI35" s="60" t="str">
        <f>IF(Tim!EV37="","",1)</f>
        <v/>
      </c>
      <c r="BJ35" s="60" t="str">
        <f>IF(Tim!EW37="","",1)</f>
        <v/>
      </c>
      <c r="BK35" s="60" t="str">
        <f>IF(Tim!EX37="","",1)</f>
        <v/>
      </c>
      <c r="BL35" s="60" t="str">
        <f>IF(Tim!EY37="","",1)</f>
        <v/>
      </c>
      <c r="BM35" s="60" t="str">
        <f>IF(Tim!EZ37="","",1)</f>
        <v/>
      </c>
      <c r="BN35" s="56">
        <f>IF(Tim!GD37="","",1)</f>
        <v>1</v>
      </c>
      <c r="BO35" s="60">
        <f>IF(Tim!GE37="","",1)</f>
        <v>1</v>
      </c>
      <c r="BP35" s="60" t="str">
        <f>IF(Tim!GF37="","",1)</f>
        <v/>
      </c>
      <c r="BQ35" s="60" t="str">
        <f>IF(Tim!GG37="","",1)</f>
        <v/>
      </c>
      <c r="BR35" s="60" t="str">
        <f>IF(Tim!GH37="","",1)</f>
        <v/>
      </c>
      <c r="BS35" s="60" t="str">
        <f>IF(Tim!GI37="","",1)</f>
        <v/>
      </c>
      <c r="BT35" s="60" t="str">
        <f>IF(Tim!GJ37="","",1)</f>
        <v/>
      </c>
      <c r="BU35" s="60" t="str">
        <f>IF(Tim!GK37="","",1)</f>
        <v/>
      </c>
      <c r="BV35" s="60" t="str">
        <f>IF(Tim!GL37="","",1)</f>
        <v/>
      </c>
      <c r="BW35" s="60" t="str">
        <f>IF(Tim!GM37="","",1)</f>
        <v/>
      </c>
      <c r="BX35" s="60">
        <f>IF(Tim!GN37="","",1)</f>
        <v>1</v>
      </c>
      <c r="BY35" s="60" t="str">
        <f>IF(Tim!GO37="","",1)</f>
        <v/>
      </c>
      <c r="BZ35" s="60">
        <f>IF(Tim!GP37="","",1)</f>
        <v>1</v>
      </c>
      <c r="CA35" s="60" t="str">
        <f>IF(Tim!GQ37="","",1)</f>
        <v/>
      </c>
      <c r="CB35" s="60" t="str">
        <f>IF(Tim!GR37="","",1)</f>
        <v/>
      </c>
      <c r="CC35" s="56">
        <f>IF(Tim!HV37="","",1)</f>
        <v>1</v>
      </c>
      <c r="CD35" s="53" t="str">
        <f>IF(Tim!HW37="","",1)</f>
        <v/>
      </c>
      <c r="CE35" s="53" t="str">
        <f>IF(Tim!HX37="","",1)</f>
        <v/>
      </c>
      <c r="CF35" s="53" t="str">
        <f>IF(Tim!HY37="","",1)</f>
        <v/>
      </c>
      <c r="CG35" s="53" t="str">
        <f>IF(Tim!HZ37="","",1)</f>
        <v/>
      </c>
      <c r="CH35" s="53" t="str">
        <f>IF(Tim!IA37="","",1)</f>
        <v/>
      </c>
      <c r="CI35" s="53" t="str">
        <f>IF(Tim!IB37="","",1)</f>
        <v/>
      </c>
      <c r="CJ35" s="53" t="str">
        <f>IF(Tim!IC37="","",1)</f>
        <v/>
      </c>
      <c r="CK35" s="53" t="str">
        <f>IF(Tim!ID37="","",1)</f>
        <v/>
      </c>
      <c r="CL35" s="53" t="str">
        <f>IF(Tim!IE37="","",1)</f>
        <v/>
      </c>
      <c r="CM35" s="53" t="str">
        <f>IF(Tim!IF37="","",1)</f>
        <v/>
      </c>
      <c r="CN35" s="53" t="str">
        <f>IF(Tim!IG37="","",1)</f>
        <v/>
      </c>
      <c r="CO35" s="53" t="str">
        <f>IF(Tim!IH37="","",1)</f>
        <v/>
      </c>
      <c r="CP35" s="53" t="str">
        <f>IF(Tim!II37="","",1)</f>
        <v/>
      </c>
      <c r="CQ35" s="54" t="str">
        <f>IF(Tim!IJ37="","",1)</f>
        <v/>
      </c>
      <c r="CR35" s="56">
        <f>IF(Tim!JN37="","",1)</f>
        <v>1</v>
      </c>
      <c r="CS35" s="53" t="str">
        <f>IF(Tim!JO37="","",1)</f>
        <v/>
      </c>
      <c r="CT35" s="53" t="str">
        <f>IF(Tim!JP37="","",1)</f>
        <v/>
      </c>
      <c r="CU35" s="53" t="str">
        <f>IF(Tim!JQ37="","",1)</f>
        <v/>
      </c>
      <c r="CV35" s="53" t="str">
        <f>IF(Tim!JR37="","",1)</f>
        <v/>
      </c>
      <c r="CW35" s="53" t="str">
        <f>IF(Tim!JS37="","",1)</f>
        <v/>
      </c>
      <c r="CX35" s="53" t="str">
        <f>IF(Tim!JT37="","",1)</f>
        <v/>
      </c>
      <c r="CY35" s="53" t="str">
        <f>IF(Tim!JU37="","",1)</f>
        <v/>
      </c>
      <c r="CZ35" s="53" t="str">
        <f>IF(Tim!JV37="","",1)</f>
        <v/>
      </c>
      <c r="DA35" s="53" t="str">
        <f>IF(Tim!JW37="","",1)</f>
        <v/>
      </c>
      <c r="DB35" s="53" t="str">
        <f>IF(Tim!JX37="","",1)</f>
        <v/>
      </c>
      <c r="DC35" s="53" t="str">
        <f>IF(Tim!JY37="","",1)</f>
        <v/>
      </c>
      <c r="DD35" s="53" t="str">
        <f>IF(Tim!JZ37="","",1)</f>
        <v/>
      </c>
      <c r="DE35" s="53" t="str">
        <f>IF(Tim!KA37="","",1)</f>
        <v/>
      </c>
      <c r="DF35" s="55" t="str">
        <f>IF(Tim!KB37="","",1)</f>
        <v/>
      </c>
      <c r="DG35" s="52">
        <v>0.60416666666666596</v>
      </c>
    </row>
    <row r="36" spans="2:111" ht="10.5" customHeight="1">
      <c r="B36" s="51">
        <v>0.25</v>
      </c>
      <c r="C36" s="51">
        <v>0.25</v>
      </c>
      <c r="D36" s="51">
        <v>0.25</v>
      </c>
      <c r="E36" s="172">
        <v>0.61458333333333304</v>
      </c>
      <c r="F36" s="56">
        <f>IF(Tim!F38="","",1)</f>
        <v>1</v>
      </c>
      <c r="G36" s="60" t="str">
        <f>IF(Tim!G38="","",1)</f>
        <v/>
      </c>
      <c r="H36" s="60" t="str">
        <f>IF(Tim!H38="","",1)</f>
        <v/>
      </c>
      <c r="I36" s="60" t="str">
        <f>IF(Tim!I38="","",1)</f>
        <v/>
      </c>
      <c r="J36" s="60" t="str">
        <f>IF(Tim!J38="","",1)</f>
        <v/>
      </c>
      <c r="K36" s="60" t="str">
        <f>IF(Tim!K38="","",1)</f>
        <v/>
      </c>
      <c r="L36" s="60" t="str">
        <f>IF(Tim!L38="","",1)</f>
        <v/>
      </c>
      <c r="M36" s="60" t="str">
        <f>IF(Tim!M38="","",1)</f>
        <v/>
      </c>
      <c r="N36" s="60" t="str">
        <f>IF(Tim!N38="","",1)</f>
        <v/>
      </c>
      <c r="O36" s="60" t="str">
        <f>IF(Tim!O38="","",1)</f>
        <v/>
      </c>
      <c r="P36" s="60" t="str">
        <f>IF(Tim!P38="","",1)</f>
        <v/>
      </c>
      <c r="Q36" s="60" t="str">
        <f>IF(Tim!Q38="","",1)</f>
        <v/>
      </c>
      <c r="R36" s="60" t="str">
        <f>IF(Tim!R38="","",1)</f>
        <v/>
      </c>
      <c r="S36" s="60" t="str">
        <f>IF(Tim!S38="","",1)</f>
        <v/>
      </c>
      <c r="T36" s="60" t="str">
        <f>IF(Tim!T38="","",1)</f>
        <v/>
      </c>
      <c r="U36" s="56">
        <f>IF(Tim!AY38="","",1)</f>
        <v>1</v>
      </c>
      <c r="V36" s="60" t="str">
        <f>IF(Tim!AZ38="","",1)</f>
        <v/>
      </c>
      <c r="W36" s="60" t="str">
        <f>IF(Tim!BA38="","",1)</f>
        <v/>
      </c>
      <c r="X36" s="60" t="str">
        <f>IF(Tim!BB38="","",1)</f>
        <v/>
      </c>
      <c r="Y36" s="60" t="str">
        <f>IF(Tim!BC38="","",1)</f>
        <v/>
      </c>
      <c r="Z36" s="60" t="str">
        <f>IF(Tim!BD38="","",1)</f>
        <v/>
      </c>
      <c r="AA36" s="60" t="str">
        <f>IF(Tim!BE38="","",1)</f>
        <v/>
      </c>
      <c r="AB36" s="60">
        <f>IF(Tim!BF38="","",1)</f>
        <v>1</v>
      </c>
      <c r="AC36" s="60" t="str">
        <f>IF(Tim!BG38="","",1)</f>
        <v/>
      </c>
      <c r="AD36" s="60" t="str">
        <f>IF(Tim!BH38="","",1)</f>
        <v/>
      </c>
      <c r="AE36" s="60" t="str">
        <f>IF(Tim!BI38="","",1)</f>
        <v/>
      </c>
      <c r="AF36" s="60" t="str">
        <f>IF(Tim!BJ38="","",1)</f>
        <v/>
      </c>
      <c r="AG36" s="60" t="str">
        <f>IF(Tim!BK38="","",1)</f>
        <v/>
      </c>
      <c r="AH36" s="60" t="str">
        <f>IF(Tim!BL38="","",1)</f>
        <v/>
      </c>
      <c r="AI36" s="60" t="str">
        <f>IF(Tim!BM38="","",1)</f>
        <v/>
      </c>
      <c r="AJ36" s="56">
        <f>IF(Tim!CQ38="","",1)</f>
        <v>1</v>
      </c>
      <c r="AK36" s="60" t="str">
        <f>IF(Tim!CR38="","",1)</f>
        <v/>
      </c>
      <c r="AL36" s="60" t="str">
        <f>IF(Tim!CS38="","",1)</f>
        <v/>
      </c>
      <c r="AM36" s="60" t="str">
        <f>IF(Tim!CT38="","",1)</f>
        <v/>
      </c>
      <c r="AN36" s="60" t="str">
        <f>IF(Tim!CU38="","",1)</f>
        <v/>
      </c>
      <c r="AO36" s="60" t="str">
        <f>IF(Tim!CV38="","",1)</f>
        <v/>
      </c>
      <c r="AP36" s="60" t="str">
        <f>IF(Tim!CW38="","",1)</f>
        <v/>
      </c>
      <c r="AQ36" s="60" t="str">
        <f>IF(Tim!CX38="","",1)</f>
        <v/>
      </c>
      <c r="AR36" s="60" t="str">
        <f>IF(Tim!CY38="","",1)</f>
        <v/>
      </c>
      <c r="AS36" s="60" t="str">
        <f>IF(Tim!CZ38="","",1)</f>
        <v/>
      </c>
      <c r="AT36" s="60" t="str">
        <f>IF(Tim!DA38="","",1)</f>
        <v/>
      </c>
      <c r="AU36" s="60" t="str">
        <f>IF(Tim!DB38="","",1)</f>
        <v/>
      </c>
      <c r="AV36" s="60" t="str">
        <f>IF(Tim!DC38="","",1)</f>
        <v/>
      </c>
      <c r="AW36" s="60" t="str">
        <f>IF(Tim!DD38="","",1)</f>
        <v/>
      </c>
      <c r="AX36" s="60" t="str">
        <f>IF(Tim!DE38="","",1)</f>
        <v/>
      </c>
      <c r="AY36" s="56">
        <f>IF(Tim!EL38="","",1)</f>
        <v>1</v>
      </c>
      <c r="AZ36" s="60" t="str">
        <f>IF(Tim!EM38="","",1)</f>
        <v/>
      </c>
      <c r="BA36" s="60" t="str">
        <f>IF(Tim!EN38="","",1)</f>
        <v/>
      </c>
      <c r="BB36" s="60" t="str">
        <f>IF(Tim!EO38="","",1)</f>
        <v/>
      </c>
      <c r="BC36" s="60" t="str">
        <f>IF(Tim!EP38="","",1)</f>
        <v/>
      </c>
      <c r="BD36" s="60" t="str">
        <f>IF(Tim!EQ38="","",1)</f>
        <v/>
      </c>
      <c r="BE36" s="60" t="str">
        <f>IF(Tim!ER38="","",1)</f>
        <v/>
      </c>
      <c r="BF36" s="60" t="str">
        <f>IF(Tim!ES38="","",1)</f>
        <v/>
      </c>
      <c r="BG36" s="60" t="str">
        <f>IF(Tim!ET38="","",1)</f>
        <v/>
      </c>
      <c r="BH36" s="60" t="str">
        <f>IF(Tim!EU38="","",1)</f>
        <v/>
      </c>
      <c r="BI36" s="60" t="str">
        <f>IF(Tim!EV38="","",1)</f>
        <v/>
      </c>
      <c r="BJ36" s="60" t="str">
        <f>IF(Tim!EW38="","",1)</f>
        <v/>
      </c>
      <c r="BK36" s="60" t="str">
        <f>IF(Tim!EX38="","",1)</f>
        <v/>
      </c>
      <c r="BL36" s="60" t="str">
        <f>IF(Tim!EY38="","",1)</f>
        <v/>
      </c>
      <c r="BM36" s="60" t="str">
        <f>IF(Tim!EZ38="","",1)</f>
        <v/>
      </c>
      <c r="BN36" s="56">
        <f>IF(Tim!GD38="","",1)</f>
        <v>1</v>
      </c>
      <c r="BO36" s="60" t="str">
        <f>IF(Tim!GE38="","",1)</f>
        <v/>
      </c>
      <c r="BP36" s="60" t="str">
        <f>IF(Tim!GF38="","",1)</f>
        <v/>
      </c>
      <c r="BQ36" s="60" t="str">
        <f>IF(Tim!GG38="","",1)</f>
        <v/>
      </c>
      <c r="BR36" s="60" t="str">
        <f>IF(Tim!GH38="","",1)</f>
        <v/>
      </c>
      <c r="BS36" s="60" t="str">
        <f>IF(Tim!GI38="","",1)</f>
        <v/>
      </c>
      <c r="BT36" s="60" t="str">
        <f>IF(Tim!GJ38="","",1)</f>
        <v/>
      </c>
      <c r="BU36" s="60" t="str">
        <f>IF(Tim!GK38="","",1)</f>
        <v/>
      </c>
      <c r="BV36" s="60" t="str">
        <f>IF(Tim!GL38="","",1)</f>
        <v/>
      </c>
      <c r="BW36" s="60" t="str">
        <f>IF(Tim!GM38="","",1)</f>
        <v/>
      </c>
      <c r="BX36" s="60">
        <f>IF(Tim!GN38="","",1)</f>
        <v>1</v>
      </c>
      <c r="BY36" s="60" t="str">
        <f>IF(Tim!GO38="","",1)</f>
        <v/>
      </c>
      <c r="BZ36" s="60">
        <f>IF(Tim!GP38="","",1)</f>
        <v>1</v>
      </c>
      <c r="CA36" s="60" t="str">
        <f>IF(Tim!GQ38="","",1)</f>
        <v/>
      </c>
      <c r="CB36" s="60" t="str">
        <f>IF(Tim!GR38="","",1)</f>
        <v/>
      </c>
      <c r="CC36" s="56">
        <f>IF(Tim!HV38="","",1)</f>
        <v>1</v>
      </c>
      <c r="CD36" s="53" t="str">
        <f>IF(Tim!HW38="","",1)</f>
        <v/>
      </c>
      <c r="CE36" s="53" t="str">
        <f>IF(Tim!HX38="","",1)</f>
        <v/>
      </c>
      <c r="CF36" s="53" t="str">
        <f>IF(Tim!HY38="","",1)</f>
        <v/>
      </c>
      <c r="CG36" s="53" t="str">
        <f>IF(Tim!HZ38="","",1)</f>
        <v/>
      </c>
      <c r="CH36" s="53" t="str">
        <f>IF(Tim!IA38="","",1)</f>
        <v/>
      </c>
      <c r="CI36" s="53" t="str">
        <f>IF(Tim!IB38="","",1)</f>
        <v/>
      </c>
      <c r="CJ36" s="53" t="str">
        <f>IF(Tim!IC38="","",1)</f>
        <v/>
      </c>
      <c r="CK36" s="53" t="str">
        <f>IF(Tim!ID38="","",1)</f>
        <v/>
      </c>
      <c r="CL36" s="53" t="str">
        <f>IF(Tim!IE38="","",1)</f>
        <v/>
      </c>
      <c r="CM36" s="53" t="str">
        <f>IF(Tim!IF38="","",1)</f>
        <v/>
      </c>
      <c r="CN36" s="53" t="str">
        <f>IF(Tim!IG38="","",1)</f>
        <v/>
      </c>
      <c r="CO36" s="53" t="str">
        <f>IF(Tim!IH38="","",1)</f>
        <v/>
      </c>
      <c r="CP36" s="53" t="str">
        <f>IF(Tim!II38="","",1)</f>
        <v/>
      </c>
      <c r="CQ36" s="54" t="str">
        <f>IF(Tim!IJ38="","",1)</f>
        <v/>
      </c>
      <c r="CR36" s="56">
        <f>IF(Tim!JN38="","",1)</f>
        <v>1</v>
      </c>
      <c r="CS36" s="53" t="str">
        <f>IF(Tim!JO38="","",1)</f>
        <v/>
      </c>
      <c r="CT36" s="53" t="str">
        <f>IF(Tim!JP38="","",1)</f>
        <v/>
      </c>
      <c r="CU36" s="53" t="str">
        <f>IF(Tim!JQ38="","",1)</f>
        <v/>
      </c>
      <c r="CV36" s="53" t="str">
        <f>IF(Tim!JR38="","",1)</f>
        <v/>
      </c>
      <c r="CW36" s="53" t="str">
        <f>IF(Tim!JS38="","",1)</f>
        <v/>
      </c>
      <c r="CX36" s="53" t="str">
        <f>IF(Tim!JT38="","",1)</f>
        <v/>
      </c>
      <c r="CY36" s="53" t="str">
        <f>IF(Tim!JU38="","",1)</f>
        <v/>
      </c>
      <c r="CZ36" s="53" t="str">
        <f>IF(Tim!JV38="","",1)</f>
        <v/>
      </c>
      <c r="DA36" s="53" t="str">
        <f>IF(Tim!JW38="","",1)</f>
        <v/>
      </c>
      <c r="DB36" s="53" t="str">
        <f>IF(Tim!JX38="","",1)</f>
        <v/>
      </c>
      <c r="DC36" s="53" t="str">
        <f>IF(Tim!JY38="","",1)</f>
        <v/>
      </c>
      <c r="DD36" s="53" t="str">
        <f>IF(Tim!JZ38="","",1)</f>
        <v/>
      </c>
      <c r="DE36" s="53" t="str">
        <f>IF(Tim!KA38="","",1)</f>
        <v/>
      </c>
      <c r="DF36" s="55" t="str">
        <f>IF(Tim!KB38="","",1)</f>
        <v/>
      </c>
      <c r="DG36" s="52">
        <v>0.61458333333333304</v>
      </c>
    </row>
    <row r="37" spans="2:111" ht="10.5" customHeight="1">
      <c r="B37" s="51">
        <v>0.25</v>
      </c>
      <c r="C37" s="51">
        <v>0.25</v>
      </c>
      <c r="D37" s="51">
        <v>0.25</v>
      </c>
      <c r="E37" s="172">
        <v>0.624999999999999</v>
      </c>
      <c r="F37" s="56">
        <f>IF(Tim!F39="","",1)</f>
        <v>1</v>
      </c>
      <c r="G37" s="60" t="str">
        <f>IF(Tim!G39="","",1)</f>
        <v/>
      </c>
      <c r="H37" s="60" t="str">
        <f>IF(Tim!H39="","",1)</f>
        <v/>
      </c>
      <c r="I37" s="60" t="str">
        <f>IF(Tim!I39="","",1)</f>
        <v/>
      </c>
      <c r="J37" s="60" t="str">
        <f>IF(Tim!J39="","",1)</f>
        <v/>
      </c>
      <c r="K37" s="60" t="str">
        <f>IF(Tim!K39="","",1)</f>
        <v/>
      </c>
      <c r="L37" s="60" t="str">
        <f>IF(Tim!L39="","",1)</f>
        <v/>
      </c>
      <c r="M37" s="60" t="str">
        <f>IF(Tim!M39="","",1)</f>
        <v/>
      </c>
      <c r="N37" s="60" t="str">
        <f>IF(Tim!N39="","",1)</f>
        <v/>
      </c>
      <c r="O37" s="60" t="str">
        <f>IF(Tim!O39="","",1)</f>
        <v/>
      </c>
      <c r="P37" s="60" t="str">
        <f>IF(Tim!P39="","",1)</f>
        <v/>
      </c>
      <c r="Q37" s="60" t="str">
        <f>IF(Tim!Q39="","",1)</f>
        <v/>
      </c>
      <c r="R37" s="60" t="str">
        <f>IF(Tim!R39="","",1)</f>
        <v/>
      </c>
      <c r="S37" s="60" t="str">
        <f>IF(Tim!S39="","",1)</f>
        <v/>
      </c>
      <c r="T37" s="60" t="str">
        <f>IF(Tim!T39="","",1)</f>
        <v/>
      </c>
      <c r="U37" s="56">
        <f>IF(Tim!AY39="","",1)</f>
        <v>1</v>
      </c>
      <c r="V37" s="60" t="str">
        <f>IF(Tim!AZ39="","",1)</f>
        <v/>
      </c>
      <c r="W37" s="60" t="str">
        <f>IF(Tim!BA39="","",1)</f>
        <v/>
      </c>
      <c r="X37" s="60" t="str">
        <f>IF(Tim!BB39="","",1)</f>
        <v/>
      </c>
      <c r="Y37" s="60" t="str">
        <f>IF(Tim!BC39="","",1)</f>
        <v/>
      </c>
      <c r="Z37" s="60" t="str">
        <f>IF(Tim!BD39="","",1)</f>
        <v/>
      </c>
      <c r="AA37" s="60" t="str">
        <f>IF(Tim!BE39="","",1)</f>
        <v/>
      </c>
      <c r="AB37" s="60" t="str">
        <f>IF(Tim!BF39="","",1)</f>
        <v/>
      </c>
      <c r="AC37" s="60" t="str">
        <f>IF(Tim!BG39="","",1)</f>
        <v/>
      </c>
      <c r="AD37" s="60" t="str">
        <f>IF(Tim!BH39="","",1)</f>
        <v/>
      </c>
      <c r="AE37" s="60" t="str">
        <f>IF(Tim!BI39="","",1)</f>
        <v/>
      </c>
      <c r="AF37" s="60" t="str">
        <f>IF(Tim!BJ39="","",1)</f>
        <v/>
      </c>
      <c r="AG37" s="60" t="str">
        <f>IF(Tim!BK39="","",1)</f>
        <v/>
      </c>
      <c r="AH37" s="60" t="str">
        <f>IF(Tim!BL39="","",1)</f>
        <v/>
      </c>
      <c r="AI37" s="60" t="str">
        <f>IF(Tim!BM39="","",1)</f>
        <v/>
      </c>
      <c r="AJ37" s="56">
        <f>IF(Tim!CQ39="","",1)</f>
        <v>1</v>
      </c>
      <c r="AK37" s="60" t="str">
        <f>IF(Tim!CR39="","",1)</f>
        <v/>
      </c>
      <c r="AL37" s="60" t="str">
        <f>IF(Tim!CS39="","",1)</f>
        <v/>
      </c>
      <c r="AM37" s="60" t="str">
        <f>IF(Tim!CT39="","",1)</f>
        <v/>
      </c>
      <c r="AN37" s="60" t="str">
        <f>IF(Tim!CU39="","",1)</f>
        <v/>
      </c>
      <c r="AO37" s="60" t="str">
        <f>IF(Tim!CV39="","",1)</f>
        <v/>
      </c>
      <c r="AP37" s="60" t="str">
        <f>IF(Tim!CW39="","",1)</f>
        <v/>
      </c>
      <c r="AQ37" s="60" t="str">
        <f>IF(Tim!CX39="","",1)</f>
        <v/>
      </c>
      <c r="AR37" s="60" t="str">
        <f>IF(Tim!CY39="","",1)</f>
        <v/>
      </c>
      <c r="AS37" s="60" t="str">
        <f>IF(Tim!CZ39="","",1)</f>
        <v/>
      </c>
      <c r="AT37" s="60" t="str">
        <f>IF(Tim!DA39="","",1)</f>
        <v/>
      </c>
      <c r="AU37" s="60" t="str">
        <f>IF(Tim!DB39="","",1)</f>
        <v/>
      </c>
      <c r="AV37" s="60" t="str">
        <f>IF(Tim!DC39="","",1)</f>
        <v/>
      </c>
      <c r="AW37" s="60" t="str">
        <f>IF(Tim!DD39="","",1)</f>
        <v/>
      </c>
      <c r="AX37" s="60" t="str">
        <f>IF(Tim!DE39="","",1)</f>
        <v/>
      </c>
      <c r="AY37" s="56">
        <f>IF(Tim!EL39="","",1)</f>
        <v>1</v>
      </c>
      <c r="AZ37" s="60" t="str">
        <f>IF(Tim!EM39="","",1)</f>
        <v/>
      </c>
      <c r="BA37" s="60" t="str">
        <f>IF(Tim!EN39="","",1)</f>
        <v/>
      </c>
      <c r="BB37" s="60" t="str">
        <f>IF(Tim!EO39="","",1)</f>
        <v/>
      </c>
      <c r="BC37" s="60" t="str">
        <f>IF(Tim!EP39="","",1)</f>
        <v/>
      </c>
      <c r="BD37" s="60" t="str">
        <f>IF(Tim!EQ39="","",1)</f>
        <v/>
      </c>
      <c r="BE37" s="60" t="str">
        <f>IF(Tim!ER39="","",1)</f>
        <v/>
      </c>
      <c r="BF37" s="60" t="str">
        <f>IF(Tim!ES39="","",1)</f>
        <v/>
      </c>
      <c r="BG37" s="60" t="str">
        <f>IF(Tim!ET39="","",1)</f>
        <v/>
      </c>
      <c r="BH37" s="60" t="str">
        <f>IF(Tim!EU39="","",1)</f>
        <v/>
      </c>
      <c r="BI37" s="60" t="str">
        <f>IF(Tim!EV39="","",1)</f>
        <v/>
      </c>
      <c r="BJ37" s="60" t="str">
        <f>IF(Tim!EW39="","",1)</f>
        <v/>
      </c>
      <c r="BK37" s="60" t="str">
        <f>IF(Tim!EX39="","",1)</f>
        <v/>
      </c>
      <c r="BL37" s="60" t="str">
        <f>IF(Tim!EY39="","",1)</f>
        <v/>
      </c>
      <c r="BM37" s="60" t="str">
        <f>IF(Tim!EZ39="","",1)</f>
        <v/>
      </c>
      <c r="BN37" s="56">
        <f>IF(Tim!GD39="","",1)</f>
        <v>1</v>
      </c>
      <c r="BO37" s="60" t="str">
        <f>IF(Tim!GE39="","",1)</f>
        <v/>
      </c>
      <c r="BP37" s="60" t="str">
        <f>IF(Tim!GF39="","",1)</f>
        <v/>
      </c>
      <c r="BQ37" s="60" t="str">
        <f>IF(Tim!GG39="","",1)</f>
        <v/>
      </c>
      <c r="BR37" s="60" t="str">
        <f>IF(Tim!GH39="","",1)</f>
        <v/>
      </c>
      <c r="BS37" s="60" t="str">
        <f>IF(Tim!GI39="","",1)</f>
        <v/>
      </c>
      <c r="BT37" s="60" t="str">
        <f>IF(Tim!GJ39="","",1)</f>
        <v/>
      </c>
      <c r="BU37" s="60" t="str">
        <f>IF(Tim!GK39="","",1)</f>
        <v/>
      </c>
      <c r="BV37" s="60" t="str">
        <f>IF(Tim!GL39="","",1)</f>
        <v/>
      </c>
      <c r="BW37" s="60" t="str">
        <f>IF(Tim!GM39="","",1)</f>
        <v/>
      </c>
      <c r="BX37" s="60">
        <f>IF(Tim!GN39="","",1)</f>
        <v>1</v>
      </c>
      <c r="BY37" s="60" t="str">
        <f>IF(Tim!GO39="","",1)</f>
        <v/>
      </c>
      <c r="BZ37" s="60" t="str">
        <f>IF(Tim!GP39="","",1)</f>
        <v/>
      </c>
      <c r="CA37" s="60" t="str">
        <f>IF(Tim!GQ39="","",1)</f>
        <v/>
      </c>
      <c r="CB37" s="60" t="str">
        <f>IF(Tim!GR39="","",1)</f>
        <v/>
      </c>
      <c r="CC37" s="56">
        <f>IF(Tim!HV39="","",1)</f>
        <v>1</v>
      </c>
      <c r="CD37" s="53" t="str">
        <f>IF(Tim!HW39="","",1)</f>
        <v/>
      </c>
      <c r="CE37" s="53" t="str">
        <f>IF(Tim!HX39="","",1)</f>
        <v/>
      </c>
      <c r="CF37" s="53" t="str">
        <f>IF(Tim!HY39="","",1)</f>
        <v/>
      </c>
      <c r="CG37" s="53" t="str">
        <f>IF(Tim!HZ39="","",1)</f>
        <v/>
      </c>
      <c r="CH37" s="53" t="str">
        <f>IF(Tim!IA39="","",1)</f>
        <v/>
      </c>
      <c r="CI37" s="53" t="str">
        <f>IF(Tim!IB39="","",1)</f>
        <v/>
      </c>
      <c r="CJ37" s="53" t="str">
        <f>IF(Tim!IC39="","",1)</f>
        <v/>
      </c>
      <c r="CK37" s="53" t="str">
        <f>IF(Tim!ID39="","",1)</f>
        <v/>
      </c>
      <c r="CL37" s="53" t="str">
        <f>IF(Tim!IE39="","",1)</f>
        <v/>
      </c>
      <c r="CM37" s="53" t="str">
        <f>IF(Tim!IF39="","",1)</f>
        <v/>
      </c>
      <c r="CN37" s="53" t="str">
        <f>IF(Tim!IG39="","",1)</f>
        <v/>
      </c>
      <c r="CO37" s="53" t="str">
        <f>IF(Tim!IH39="","",1)</f>
        <v/>
      </c>
      <c r="CP37" s="53" t="str">
        <f>IF(Tim!II39="","",1)</f>
        <v/>
      </c>
      <c r="CQ37" s="54" t="str">
        <f>IF(Tim!IJ39="","",1)</f>
        <v/>
      </c>
      <c r="CR37" s="56">
        <f>IF(Tim!JN39="","",1)</f>
        <v>1</v>
      </c>
      <c r="CS37" s="53" t="str">
        <f>IF(Tim!JO39="","",1)</f>
        <v/>
      </c>
      <c r="CT37" s="53" t="str">
        <f>IF(Tim!JP39="","",1)</f>
        <v/>
      </c>
      <c r="CU37" s="53" t="str">
        <f>IF(Tim!JQ39="","",1)</f>
        <v/>
      </c>
      <c r="CV37" s="53" t="str">
        <f>IF(Tim!JR39="","",1)</f>
        <v/>
      </c>
      <c r="CW37" s="53" t="str">
        <f>IF(Tim!JS39="","",1)</f>
        <v/>
      </c>
      <c r="CX37" s="53" t="str">
        <f>IF(Tim!JT39="","",1)</f>
        <v/>
      </c>
      <c r="CY37" s="53" t="str">
        <f>IF(Tim!JU39="","",1)</f>
        <v/>
      </c>
      <c r="CZ37" s="53" t="str">
        <f>IF(Tim!JV39="","",1)</f>
        <v/>
      </c>
      <c r="DA37" s="53" t="str">
        <f>IF(Tim!JW39="","",1)</f>
        <v/>
      </c>
      <c r="DB37" s="53" t="str">
        <f>IF(Tim!JX39="","",1)</f>
        <v/>
      </c>
      <c r="DC37" s="53" t="str">
        <f>IF(Tim!JY39="","",1)</f>
        <v/>
      </c>
      <c r="DD37" s="53" t="str">
        <f>IF(Tim!JZ39="","",1)</f>
        <v/>
      </c>
      <c r="DE37" s="53" t="str">
        <f>IF(Tim!KA39="","",1)</f>
        <v/>
      </c>
      <c r="DF37" s="55" t="str">
        <f>IF(Tim!KB39="","",1)</f>
        <v/>
      </c>
      <c r="DG37" s="52">
        <v>0.624999999999999</v>
      </c>
    </row>
    <row r="38" spans="2:111" ht="10.5" customHeight="1">
      <c r="B38" s="51">
        <v>0.25</v>
      </c>
      <c r="C38" s="51">
        <v>0.25</v>
      </c>
      <c r="D38" s="51">
        <v>0.25</v>
      </c>
      <c r="E38" s="172">
        <v>0.63541666666666596</v>
      </c>
      <c r="F38" s="56">
        <f>IF(Tim!F40="","",1)</f>
        <v>1</v>
      </c>
      <c r="G38" s="60" t="str">
        <f>IF(Tim!G40="","",1)</f>
        <v/>
      </c>
      <c r="H38" s="60" t="str">
        <f>IF(Tim!H40="","",1)</f>
        <v/>
      </c>
      <c r="I38" s="60" t="str">
        <f>IF(Tim!I40="","",1)</f>
        <v/>
      </c>
      <c r="J38" s="60" t="str">
        <f>IF(Tim!J40="","",1)</f>
        <v/>
      </c>
      <c r="K38" s="60" t="str">
        <f>IF(Tim!K40="","",1)</f>
        <v/>
      </c>
      <c r="L38" s="60" t="str">
        <f>IF(Tim!L40="","",1)</f>
        <v/>
      </c>
      <c r="M38" s="60" t="str">
        <f>IF(Tim!M40="","",1)</f>
        <v/>
      </c>
      <c r="N38" s="60" t="str">
        <f>IF(Tim!N40="","",1)</f>
        <v/>
      </c>
      <c r="O38" s="60" t="str">
        <f>IF(Tim!O40="","",1)</f>
        <v/>
      </c>
      <c r="P38" s="60" t="str">
        <f>IF(Tim!P40="","",1)</f>
        <v/>
      </c>
      <c r="Q38" s="60" t="str">
        <f>IF(Tim!Q40="","",1)</f>
        <v/>
      </c>
      <c r="R38" s="60" t="str">
        <f>IF(Tim!R40="","",1)</f>
        <v/>
      </c>
      <c r="S38" s="60" t="str">
        <f>IF(Tim!S40="","",1)</f>
        <v/>
      </c>
      <c r="T38" s="60" t="str">
        <f>IF(Tim!T40="","",1)</f>
        <v/>
      </c>
      <c r="U38" s="56">
        <f>IF(Tim!AY40="","",1)</f>
        <v>1</v>
      </c>
      <c r="V38" s="60">
        <f>IF(Tim!AZ40="","",1)</f>
        <v>1</v>
      </c>
      <c r="W38" s="60" t="str">
        <f>IF(Tim!BA40="","",1)</f>
        <v/>
      </c>
      <c r="X38" s="60" t="str">
        <f>IF(Tim!BB40="","",1)</f>
        <v/>
      </c>
      <c r="Y38" s="60" t="str">
        <f>IF(Tim!BC40="","",1)</f>
        <v/>
      </c>
      <c r="Z38" s="60" t="str">
        <f>IF(Tim!BD40="","",1)</f>
        <v/>
      </c>
      <c r="AA38" s="60" t="str">
        <f>IF(Tim!BE40="","",1)</f>
        <v/>
      </c>
      <c r="AB38" s="60" t="str">
        <f>IF(Tim!BF40="","",1)</f>
        <v/>
      </c>
      <c r="AC38" s="60" t="str">
        <f>IF(Tim!BG40="","",1)</f>
        <v/>
      </c>
      <c r="AD38" s="60" t="str">
        <f>IF(Tim!BH40="","",1)</f>
        <v/>
      </c>
      <c r="AE38" s="60" t="str">
        <f>IF(Tim!BI40="","",1)</f>
        <v/>
      </c>
      <c r="AF38" s="60" t="str">
        <f>IF(Tim!BJ40="","",1)</f>
        <v/>
      </c>
      <c r="AG38" s="60" t="str">
        <f>IF(Tim!BK40="","",1)</f>
        <v/>
      </c>
      <c r="AH38" s="60" t="str">
        <f>IF(Tim!BL40="","",1)</f>
        <v/>
      </c>
      <c r="AI38" s="60" t="str">
        <f>IF(Tim!BM40="","",1)</f>
        <v/>
      </c>
      <c r="AJ38" s="56">
        <f>IF(Tim!CQ40="","",1)</f>
        <v>1</v>
      </c>
      <c r="AK38" s="60" t="str">
        <f>IF(Tim!CR40="","",1)</f>
        <v/>
      </c>
      <c r="AL38" s="60" t="str">
        <f>IF(Tim!CS40="","",1)</f>
        <v/>
      </c>
      <c r="AM38" s="60" t="str">
        <f>IF(Tim!CT40="","",1)</f>
        <v/>
      </c>
      <c r="AN38" s="60" t="str">
        <f>IF(Tim!CU40="","",1)</f>
        <v/>
      </c>
      <c r="AO38" s="60" t="str">
        <f>IF(Tim!CV40="","",1)</f>
        <v/>
      </c>
      <c r="AP38" s="60" t="str">
        <f>IF(Tim!CW40="","",1)</f>
        <v/>
      </c>
      <c r="AQ38" s="60" t="str">
        <f>IF(Tim!CX40="","",1)</f>
        <v/>
      </c>
      <c r="AR38" s="60" t="str">
        <f>IF(Tim!CY40="","",1)</f>
        <v/>
      </c>
      <c r="AS38" s="60" t="str">
        <f>IF(Tim!CZ40="","",1)</f>
        <v/>
      </c>
      <c r="AT38" s="60" t="str">
        <f>IF(Tim!DA40="","",1)</f>
        <v/>
      </c>
      <c r="AU38" s="60" t="str">
        <f>IF(Tim!DB40="","",1)</f>
        <v/>
      </c>
      <c r="AV38" s="60" t="str">
        <f>IF(Tim!DC40="","",1)</f>
        <v/>
      </c>
      <c r="AW38" s="60" t="str">
        <f>IF(Tim!DD40="","",1)</f>
        <v/>
      </c>
      <c r="AX38" s="60" t="str">
        <f>IF(Tim!DE40="","",1)</f>
        <v/>
      </c>
      <c r="AY38" s="56">
        <f>IF(Tim!EL40="","",1)</f>
        <v>1</v>
      </c>
      <c r="AZ38" s="60" t="str">
        <f>IF(Tim!EM40="","",1)</f>
        <v/>
      </c>
      <c r="BA38" s="60" t="str">
        <f>IF(Tim!EN40="","",1)</f>
        <v/>
      </c>
      <c r="BB38" s="60" t="str">
        <f>IF(Tim!EO40="","",1)</f>
        <v/>
      </c>
      <c r="BC38" s="60" t="str">
        <f>IF(Tim!EP40="","",1)</f>
        <v/>
      </c>
      <c r="BD38" s="60" t="str">
        <f>IF(Tim!EQ40="","",1)</f>
        <v/>
      </c>
      <c r="BE38" s="60" t="str">
        <f>IF(Tim!ER40="","",1)</f>
        <v/>
      </c>
      <c r="BF38" s="60" t="str">
        <f>IF(Tim!ES40="","",1)</f>
        <v/>
      </c>
      <c r="BG38" s="60" t="str">
        <f>IF(Tim!ET40="","",1)</f>
        <v/>
      </c>
      <c r="BH38" s="60" t="str">
        <f>IF(Tim!EU40="","",1)</f>
        <v/>
      </c>
      <c r="BI38" s="60" t="str">
        <f>IF(Tim!EV40="","",1)</f>
        <v/>
      </c>
      <c r="BJ38" s="60" t="str">
        <f>IF(Tim!EW40="","",1)</f>
        <v/>
      </c>
      <c r="BK38" s="60" t="str">
        <f>IF(Tim!EX40="","",1)</f>
        <v/>
      </c>
      <c r="BL38" s="60" t="str">
        <f>IF(Tim!EY40="","",1)</f>
        <v/>
      </c>
      <c r="BM38" s="60" t="str">
        <f>IF(Tim!EZ40="","",1)</f>
        <v/>
      </c>
      <c r="BN38" s="56">
        <f>IF(Tim!GD40="","",1)</f>
        <v>1</v>
      </c>
      <c r="BO38" s="60" t="str">
        <f>IF(Tim!GE40="","",1)</f>
        <v/>
      </c>
      <c r="BP38" s="60" t="str">
        <f>IF(Tim!GF40="","",1)</f>
        <v/>
      </c>
      <c r="BQ38" s="60" t="str">
        <f>IF(Tim!GG40="","",1)</f>
        <v/>
      </c>
      <c r="BR38" s="60" t="str">
        <f>IF(Tim!GH40="","",1)</f>
        <v/>
      </c>
      <c r="BS38" s="60" t="str">
        <f>IF(Tim!GI40="","",1)</f>
        <v/>
      </c>
      <c r="BT38" s="60" t="str">
        <f>IF(Tim!GJ40="","",1)</f>
        <v/>
      </c>
      <c r="BU38" s="60" t="str">
        <f>IF(Tim!GK40="","",1)</f>
        <v/>
      </c>
      <c r="BV38" s="60" t="str">
        <f>IF(Tim!GL40="","",1)</f>
        <v/>
      </c>
      <c r="BW38" s="60" t="str">
        <f>IF(Tim!GM40="","",1)</f>
        <v/>
      </c>
      <c r="BX38" s="60">
        <f>IF(Tim!GN40="","",1)</f>
        <v>1</v>
      </c>
      <c r="BY38" s="60" t="str">
        <f>IF(Tim!GO40="","",1)</f>
        <v/>
      </c>
      <c r="BZ38" s="60" t="str">
        <f>IF(Tim!GP40="","",1)</f>
        <v/>
      </c>
      <c r="CA38" s="60" t="str">
        <f>IF(Tim!GQ40="","",1)</f>
        <v/>
      </c>
      <c r="CB38" s="60" t="str">
        <f>IF(Tim!GR40="","",1)</f>
        <v/>
      </c>
      <c r="CC38" s="56">
        <f>IF(Tim!HV40="","",1)</f>
        <v>1</v>
      </c>
      <c r="CD38" s="53" t="str">
        <f>IF(Tim!HW40="","",1)</f>
        <v/>
      </c>
      <c r="CE38" s="53" t="str">
        <f>IF(Tim!HX40="","",1)</f>
        <v/>
      </c>
      <c r="CF38" s="53" t="str">
        <f>IF(Tim!HY40="","",1)</f>
        <v/>
      </c>
      <c r="CG38" s="53" t="str">
        <f>IF(Tim!HZ40="","",1)</f>
        <v/>
      </c>
      <c r="CH38" s="53" t="str">
        <f>IF(Tim!IA40="","",1)</f>
        <v/>
      </c>
      <c r="CI38" s="53" t="str">
        <f>IF(Tim!IB40="","",1)</f>
        <v/>
      </c>
      <c r="CJ38" s="53" t="str">
        <f>IF(Tim!IC40="","",1)</f>
        <v/>
      </c>
      <c r="CK38" s="53" t="str">
        <f>IF(Tim!ID40="","",1)</f>
        <v/>
      </c>
      <c r="CL38" s="53" t="str">
        <f>IF(Tim!IE40="","",1)</f>
        <v/>
      </c>
      <c r="CM38" s="53" t="str">
        <f>IF(Tim!IF40="","",1)</f>
        <v/>
      </c>
      <c r="CN38" s="53" t="str">
        <f>IF(Tim!IG40="","",1)</f>
        <v/>
      </c>
      <c r="CO38" s="53" t="str">
        <f>IF(Tim!IH40="","",1)</f>
        <v/>
      </c>
      <c r="CP38" s="53" t="str">
        <f>IF(Tim!II40="","",1)</f>
        <v/>
      </c>
      <c r="CQ38" s="54" t="str">
        <f>IF(Tim!IJ40="","",1)</f>
        <v/>
      </c>
      <c r="CR38" s="56">
        <f>IF(Tim!JN40="","",1)</f>
        <v>1</v>
      </c>
      <c r="CS38" s="53" t="str">
        <f>IF(Tim!JO40="","",1)</f>
        <v/>
      </c>
      <c r="CT38" s="53" t="str">
        <f>IF(Tim!JP40="","",1)</f>
        <v/>
      </c>
      <c r="CU38" s="53" t="str">
        <f>IF(Tim!JQ40="","",1)</f>
        <v/>
      </c>
      <c r="CV38" s="53" t="str">
        <f>IF(Tim!JR40="","",1)</f>
        <v/>
      </c>
      <c r="CW38" s="53" t="str">
        <f>IF(Tim!JS40="","",1)</f>
        <v/>
      </c>
      <c r="CX38" s="53" t="str">
        <f>IF(Tim!JT40="","",1)</f>
        <v/>
      </c>
      <c r="CY38" s="53" t="str">
        <f>IF(Tim!JU40="","",1)</f>
        <v/>
      </c>
      <c r="CZ38" s="53" t="str">
        <f>IF(Tim!JV40="","",1)</f>
        <v/>
      </c>
      <c r="DA38" s="53" t="str">
        <f>IF(Tim!JW40="","",1)</f>
        <v/>
      </c>
      <c r="DB38" s="53" t="str">
        <f>IF(Tim!JX40="","",1)</f>
        <v/>
      </c>
      <c r="DC38" s="53" t="str">
        <f>IF(Tim!JY40="","",1)</f>
        <v/>
      </c>
      <c r="DD38" s="53" t="str">
        <f>IF(Tim!JZ40="","",1)</f>
        <v/>
      </c>
      <c r="DE38" s="53" t="str">
        <f>IF(Tim!KA40="","",1)</f>
        <v/>
      </c>
      <c r="DF38" s="55" t="str">
        <f>IF(Tim!KB40="","",1)</f>
        <v/>
      </c>
      <c r="DG38" s="52">
        <v>0.63541666666666596</v>
      </c>
    </row>
    <row r="39" spans="2:111" ht="10.5" customHeight="1">
      <c r="B39" s="51">
        <v>0.25</v>
      </c>
      <c r="C39" s="51">
        <v>0.25</v>
      </c>
      <c r="D39" s="51">
        <v>0.25</v>
      </c>
      <c r="E39" s="172">
        <v>0.64583333333333204</v>
      </c>
      <c r="F39" s="56">
        <f>IF(Tim!F41="","",1)</f>
        <v>1</v>
      </c>
      <c r="G39" s="60" t="str">
        <f>IF(Tim!G41="","",1)</f>
        <v/>
      </c>
      <c r="H39" s="60" t="str">
        <f>IF(Tim!H41="","",1)</f>
        <v/>
      </c>
      <c r="I39" s="60" t="str">
        <f>IF(Tim!I41="","",1)</f>
        <v/>
      </c>
      <c r="J39" s="60" t="str">
        <f>IF(Tim!J41="","",1)</f>
        <v/>
      </c>
      <c r="K39" s="60" t="str">
        <f>IF(Tim!K41="","",1)</f>
        <v/>
      </c>
      <c r="L39" s="60" t="str">
        <f>IF(Tim!L41="","",1)</f>
        <v/>
      </c>
      <c r="M39" s="60" t="str">
        <f>IF(Tim!M41="","",1)</f>
        <v/>
      </c>
      <c r="N39" s="60" t="str">
        <f>IF(Tim!N41="","",1)</f>
        <v/>
      </c>
      <c r="O39" s="60" t="str">
        <f>IF(Tim!O41="","",1)</f>
        <v/>
      </c>
      <c r="P39" s="60" t="str">
        <f>IF(Tim!P41="","",1)</f>
        <v/>
      </c>
      <c r="Q39" s="60" t="str">
        <f>IF(Tim!Q41="","",1)</f>
        <v/>
      </c>
      <c r="R39" s="60" t="str">
        <f>IF(Tim!R41="","",1)</f>
        <v/>
      </c>
      <c r="S39" s="60" t="str">
        <f>IF(Tim!S41="","",1)</f>
        <v/>
      </c>
      <c r="T39" s="60" t="str">
        <f>IF(Tim!T41="","",1)</f>
        <v/>
      </c>
      <c r="U39" s="56">
        <f>IF(Tim!AY41="","",1)</f>
        <v>1</v>
      </c>
      <c r="V39" s="60" t="str">
        <f>IF(Tim!AZ41="","",1)</f>
        <v/>
      </c>
      <c r="W39" s="60" t="str">
        <f>IF(Tim!BA41="","",1)</f>
        <v/>
      </c>
      <c r="X39" s="60" t="str">
        <f>IF(Tim!BB41="","",1)</f>
        <v/>
      </c>
      <c r="Y39" s="60" t="str">
        <f>IF(Tim!BC41="","",1)</f>
        <v/>
      </c>
      <c r="Z39" s="60" t="str">
        <f>IF(Tim!BD41="","",1)</f>
        <v/>
      </c>
      <c r="AA39" s="60" t="str">
        <f>IF(Tim!BE41="","",1)</f>
        <v/>
      </c>
      <c r="AB39" s="60">
        <f>IF(Tim!BF41="","",1)</f>
        <v>1</v>
      </c>
      <c r="AC39" s="60" t="str">
        <f>IF(Tim!BG41="","",1)</f>
        <v/>
      </c>
      <c r="AD39" s="60" t="str">
        <f>IF(Tim!BH41="","",1)</f>
        <v/>
      </c>
      <c r="AE39" s="60" t="str">
        <f>IF(Tim!BI41="","",1)</f>
        <v/>
      </c>
      <c r="AF39" s="60" t="str">
        <f>IF(Tim!BJ41="","",1)</f>
        <v/>
      </c>
      <c r="AG39" s="60" t="str">
        <f>IF(Tim!BK41="","",1)</f>
        <v/>
      </c>
      <c r="AH39" s="60" t="str">
        <f>IF(Tim!BL41="","",1)</f>
        <v/>
      </c>
      <c r="AI39" s="60" t="str">
        <f>IF(Tim!BM41="","",1)</f>
        <v/>
      </c>
      <c r="AJ39" s="56">
        <f>IF(Tim!CQ41="","",1)</f>
        <v>1</v>
      </c>
      <c r="AK39" s="60" t="str">
        <f>IF(Tim!CR41="","",1)</f>
        <v/>
      </c>
      <c r="AL39" s="60">
        <f>IF(Tim!CS41="","",1)</f>
        <v>1</v>
      </c>
      <c r="AM39" s="60" t="str">
        <f>IF(Tim!CT41="","",1)</f>
        <v/>
      </c>
      <c r="AN39" s="60" t="str">
        <f>IF(Tim!CU41="","",1)</f>
        <v/>
      </c>
      <c r="AO39" s="60" t="str">
        <f>IF(Tim!CV41="","",1)</f>
        <v/>
      </c>
      <c r="AP39" s="60" t="str">
        <f>IF(Tim!CW41="","",1)</f>
        <v/>
      </c>
      <c r="AQ39" s="60">
        <f>IF(Tim!CX41="","",1)</f>
        <v>1</v>
      </c>
      <c r="AR39" s="60" t="str">
        <f>IF(Tim!CY41="","",1)</f>
        <v/>
      </c>
      <c r="AS39" s="60" t="str">
        <f>IF(Tim!CZ41="","",1)</f>
        <v/>
      </c>
      <c r="AT39" s="60" t="str">
        <f>IF(Tim!DA41="","",1)</f>
        <v/>
      </c>
      <c r="AU39" s="60" t="str">
        <f>IF(Tim!DB41="","",1)</f>
        <v/>
      </c>
      <c r="AV39" s="60" t="str">
        <f>IF(Tim!DC41="","",1)</f>
        <v/>
      </c>
      <c r="AW39" s="60" t="str">
        <f>IF(Tim!DD41="","",1)</f>
        <v/>
      </c>
      <c r="AX39" s="60" t="str">
        <f>IF(Tim!DE41="","",1)</f>
        <v/>
      </c>
      <c r="AY39" s="56">
        <f>IF(Tim!EL41="","",1)</f>
        <v>1</v>
      </c>
      <c r="AZ39" s="60" t="str">
        <f>IF(Tim!EM41="","",1)</f>
        <v/>
      </c>
      <c r="BA39" s="60" t="str">
        <f>IF(Tim!EN41="","",1)</f>
        <v/>
      </c>
      <c r="BB39" s="60" t="str">
        <f>IF(Tim!EO41="","",1)</f>
        <v/>
      </c>
      <c r="BC39" s="60" t="str">
        <f>IF(Tim!EP41="","",1)</f>
        <v/>
      </c>
      <c r="BD39" s="60" t="str">
        <f>IF(Tim!EQ41="","",1)</f>
        <v/>
      </c>
      <c r="BE39" s="60" t="str">
        <f>IF(Tim!ER41="","",1)</f>
        <v/>
      </c>
      <c r="BF39" s="60" t="str">
        <f>IF(Tim!ES41="","",1)</f>
        <v/>
      </c>
      <c r="BG39" s="60">
        <f>IF(Tim!ET41="","",1)</f>
        <v>1</v>
      </c>
      <c r="BH39" s="60" t="str">
        <f>IF(Tim!EU41="","",1)</f>
        <v/>
      </c>
      <c r="BI39" s="60" t="str">
        <f>IF(Tim!EV41="","",1)</f>
        <v/>
      </c>
      <c r="BJ39" s="60" t="str">
        <f>IF(Tim!EW41="","",1)</f>
        <v/>
      </c>
      <c r="BK39" s="60" t="str">
        <f>IF(Tim!EX41="","",1)</f>
        <v/>
      </c>
      <c r="BL39" s="60" t="str">
        <f>IF(Tim!EY41="","",1)</f>
        <v/>
      </c>
      <c r="BM39" s="60" t="str">
        <f>IF(Tim!EZ41="","",1)</f>
        <v/>
      </c>
      <c r="BN39" s="56">
        <f>IF(Tim!GD41="","",1)</f>
        <v>1</v>
      </c>
      <c r="BO39" s="60" t="str">
        <f>IF(Tim!GE41="","",1)</f>
        <v/>
      </c>
      <c r="BP39" s="60" t="str">
        <f>IF(Tim!GF41="","",1)</f>
        <v/>
      </c>
      <c r="BQ39" s="60" t="str">
        <f>IF(Tim!GG41="","",1)</f>
        <v/>
      </c>
      <c r="BR39" s="60" t="str">
        <f>IF(Tim!GH41="","",1)</f>
        <v/>
      </c>
      <c r="BS39" s="60" t="str">
        <f>IF(Tim!GI41="","",1)</f>
        <v/>
      </c>
      <c r="BT39" s="60" t="str">
        <f>IF(Tim!GJ41="","",1)</f>
        <v/>
      </c>
      <c r="BU39" s="60" t="str">
        <f>IF(Tim!GK41="","",1)</f>
        <v/>
      </c>
      <c r="BV39" s="60">
        <f>IF(Tim!GL41="","",1)</f>
        <v>1</v>
      </c>
      <c r="BW39" s="60" t="str">
        <f>IF(Tim!GM41="","",1)</f>
        <v/>
      </c>
      <c r="BX39" s="60">
        <f>IF(Tim!GN41="","",1)</f>
        <v>1</v>
      </c>
      <c r="BY39" s="60">
        <f>IF(Tim!GO41="","",1)</f>
        <v>1</v>
      </c>
      <c r="BZ39" s="60">
        <f>IF(Tim!GP41="","",1)</f>
        <v>1</v>
      </c>
      <c r="CA39" s="60" t="str">
        <f>IF(Tim!GQ41="","",1)</f>
        <v/>
      </c>
      <c r="CB39" s="60" t="str">
        <f>IF(Tim!GR41="","",1)</f>
        <v/>
      </c>
      <c r="CC39" s="56">
        <f>IF(Tim!HV41="","",1)</f>
        <v>1</v>
      </c>
      <c r="CD39" s="53" t="str">
        <f>IF(Tim!HW41="","",1)</f>
        <v/>
      </c>
      <c r="CE39" s="53" t="str">
        <f>IF(Tim!HX41="","",1)</f>
        <v/>
      </c>
      <c r="CF39" s="53" t="str">
        <f>IF(Tim!HY41="","",1)</f>
        <v/>
      </c>
      <c r="CG39" s="53" t="str">
        <f>IF(Tim!HZ41="","",1)</f>
        <v/>
      </c>
      <c r="CH39" s="53" t="str">
        <f>IF(Tim!IA41="","",1)</f>
        <v/>
      </c>
      <c r="CI39" s="53" t="str">
        <f>IF(Tim!IB41="","",1)</f>
        <v/>
      </c>
      <c r="CJ39" s="53">
        <f>IF(Tim!IC41="","",1)</f>
        <v>1</v>
      </c>
      <c r="CK39" s="53" t="str">
        <f>IF(Tim!ID41="","",1)</f>
        <v/>
      </c>
      <c r="CL39" s="53" t="str">
        <f>IF(Tim!IE41="","",1)</f>
        <v/>
      </c>
      <c r="CM39" s="53" t="str">
        <f>IF(Tim!IF41="","",1)</f>
        <v/>
      </c>
      <c r="CN39" s="53" t="str">
        <f>IF(Tim!IG41="","",1)</f>
        <v/>
      </c>
      <c r="CO39" s="53" t="str">
        <f>IF(Tim!IH41="","",1)</f>
        <v/>
      </c>
      <c r="CP39" s="53" t="str">
        <f>IF(Tim!II41="","",1)</f>
        <v/>
      </c>
      <c r="CQ39" s="54" t="str">
        <f>IF(Tim!IJ41="","",1)</f>
        <v/>
      </c>
      <c r="CR39" s="56">
        <f>IF(Tim!JN41="","",1)</f>
        <v>1</v>
      </c>
      <c r="CS39" s="53" t="str">
        <f>IF(Tim!JO41="","",1)</f>
        <v/>
      </c>
      <c r="CT39" s="53" t="str">
        <f>IF(Tim!JP41="","",1)</f>
        <v/>
      </c>
      <c r="CU39" s="53" t="str">
        <f>IF(Tim!JQ41="","",1)</f>
        <v/>
      </c>
      <c r="CV39" s="53" t="str">
        <f>IF(Tim!JR41="","",1)</f>
        <v/>
      </c>
      <c r="CW39" s="53" t="str">
        <f>IF(Tim!JS41="","",1)</f>
        <v/>
      </c>
      <c r="CX39" s="53" t="str">
        <f>IF(Tim!JT41="","",1)</f>
        <v/>
      </c>
      <c r="CY39" s="53" t="str">
        <f>IF(Tim!JU41="","",1)</f>
        <v/>
      </c>
      <c r="CZ39" s="53" t="str">
        <f>IF(Tim!JV41="","",1)</f>
        <v/>
      </c>
      <c r="DA39" s="53" t="str">
        <f>IF(Tim!JW41="","",1)</f>
        <v/>
      </c>
      <c r="DB39" s="53" t="str">
        <f>IF(Tim!JX41="","",1)</f>
        <v/>
      </c>
      <c r="DC39" s="53" t="str">
        <f>IF(Tim!JY41="","",1)</f>
        <v/>
      </c>
      <c r="DD39" s="53" t="str">
        <f>IF(Tim!JZ41="","",1)</f>
        <v/>
      </c>
      <c r="DE39" s="53" t="str">
        <f>IF(Tim!KA41="","",1)</f>
        <v/>
      </c>
      <c r="DF39" s="55" t="str">
        <f>IF(Tim!KB41="","",1)</f>
        <v/>
      </c>
      <c r="DG39" s="52">
        <v>0.64583333333333204</v>
      </c>
    </row>
    <row r="40" spans="2:111" ht="10.5" customHeight="1">
      <c r="B40" s="51">
        <v>0.25</v>
      </c>
      <c r="C40" s="51">
        <v>0.25</v>
      </c>
      <c r="D40" s="51">
        <v>0.25</v>
      </c>
      <c r="E40" s="172">
        <v>0.656249999999999</v>
      </c>
      <c r="F40" s="56">
        <f>IF(Tim!F42="","",1)</f>
        <v>1</v>
      </c>
      <c r="G40" s="60" t="str">
        <f>IF(Tim!G42="","",1)</f>
        <v/>
      </c>
      <c r="H40" s="60" t="str">
        <f>IF(Tim!H42="","",1)</f>
        <v/>
      </c>
      <c r="I40" s="60" t="str">
        <f>IF(Tim!I42="","",1)</f>
        <v/>
      </c>
      <c r="J40" s="60" t="str">
        <f>IF(Tim!J42="","",1)</f>
        <v/>
      </c>
      <c r="K40" s="60" t="str">
        <f>IF(Tim!K42="","",1)</f>
        <v/>
      </c>
      <c r="L40" s="60" t="str">
        <f>IF(Tim!L42="","",1)</f>
        <v/>
      </c>
      <c r="M40" s="60" t="str">
        <f>IF(Tim!M42="","",1)</f>
        <v/>
      </c>
      <c r="N40" s="60" t="str">
        <f>IF(Tim!N42="","",1)</f>
        <v/>
      </c>
      <c r="O40" s="60" t="str">
        <f>IF(Tim!O42="","",1)</f>
        <v/>
      </c>
      <c r="P40" s="60" t="str">
        <f>IF(Tim!P42="","",1)</f>
        <v/>
      </c>
      <c r="Q40" s="60" t="str">
        <f>IF(Tim!Q42="","",1)</f>
        <v/>
      </c>
      <c r="R40" s="60" t="str">
        <f>IF(Tim!R42="","",1)</f>
        <v/>
      </c>
      <c r="S40" s="60" t="str">
        <f>IF(Tim!S42="","",1)</f>
        <v/>
      </c>
      <c r="T40" s="60" t="str">
        <f>IF(Tim!T42="","",1)</f>
        <v/>
      </c>
      <c r="U40" s="56">
        <f>IF(Tim!AY42="","",1)</f>
        <v>1</v>
      </c>
      <c r="V40" s="60" t="str">
        <f>IF(Tim!AZ42="","",1)</f>
        <v/>
      </c>
      <c r="W40" s="60" t="str">
        <f>IF(Tim!BA42="","",1)</f>
        <v/>
      </c>
      <c r="X40" s="60" t="str">
        <f>IF(Tim!BB42="","",1)</f>
        <v/>
      </c>
      <c r="Y40" s="60" t="str">
        <f>IF(Tim!BC42="","",1)</f>
        <v/>
      </c>
      <c r="Z40" s="60" t="str">
        <f>IF(Tim!BD42="","",1)</f>
        <v/>
      </c>
      <c r="AA40" s="60" t="str">
        <f>IF(Tim!BE42="","",1)</f>
        <v/>
      </c>
      <c r="AB40" s="60">
        <f>IF(Tim!BF42="","",1)</f>
        <v>1</v>
      </c>
      <c r="AC40" s="60" t="str">
        <f>IF(Tim!BG42="","",1)</f>
        <v/>
      </c>
      <c r="AD40" s="60" t="str">
        <f>IF(Tim!BH42="","",1)</f>
        <v/>
      </c>
      <c r="AE40" s="60" t="str">
        <f>IF(Tim!BI42="","",1)</f>
        <v/>
      </c>
      <c r="AF40" s="60" t="str">
        <f>IF(Tim!BJ42="","",1)</f>
        <v/>
      </c>
      <c r="AG40" s="60" t="str">
        <f>IF(Tim!BK42="","",1)</f>
        <v/>
      </c>
      <c r="AH40" s="60" t="str">
        <f>IF(Tim!BL42="","",1)</f>
        <v/>
      </c>
      <c r="AI40" s="60" t="str">
        <f>IF(Tim!BM42="","",1)</f>
        <v/>
      </c>
      <c r="AJ40" s="56">
        <f>IF(Tim!CQ42="","",1)</f>
        <v>1</v>
      </c>
      <c r="AK40" s="60" t="str">
        <f>IF(Tim!CR42="","",1)</f>
        <v/>
      </c>
      <c r="AL40" s="60" t="str">
        <f>IF(Tim!CS42="","",1)</f>
        <v/>
      </c>
      <c r="AM40" s="60" t="str">
        <f>IF(Tim!CT42="","",1)</f>
        <v/>
      </c>
      <c r="AN40" s="60" t="str">
        <f>IF(Tim!CU42="","",1)</f>
        <v/>
      </c>
      <c r="AO40" s="60" t="str">
        <f>IF(Tim!CV42="","",1)</f>
        <v/>
      </c>
      <c r="AP40" s="60" t="str">
        <f>IF(Tim!CW42="","",1)</f>
        <v/>
      </c>
      <c r="AQ40" s="60">
        <f>IF(Tim!CX42="","",1)</f>
        <v>1</v>
      </c>
      <c r="AR40" s="60" t="str">
        <f>IF(Tim!CY42="","",1)</f>
        <v/>
      </c>
      <c r="AS40" s="60" t="str">
        <f>IF(Tim!CZ42="","",1)</f>
        <v/>
      </c>
      <c r="AT40" s="60" t="str">
        <f>IF(Tim!DA42="","",1)</f>
        <v/>
      </c>
      <c r="AU40" s="60" t="str">
        <f>IF(Tim!DB42="","",1)</f>
        <v/>
      </c>
      <c r="AV40" s="60" t="str">
        <f>IF(Tim!DC42="","",1)</f>
        <v/>
      </c>
      <c r="AW40" s="60" t="str">
        <f>IF(Tim!DD42="","",1)</f>
        <v/>
      </c>
      <c r="AX40" s="60" t="str">
        <f>IF(Tim!DE42="","",1)</f>
        <v/>
      </c>
      <c r="AY40" s="56">
        <f>IF(Tim!EL42="","",1)</f>
        <v>1</v>
      </c>
      <c r="AZ40" s="60" t="str">
        <f>IF(Tim!EM42="","",1)</f>
        <v/>
      </c>
      <c r="BA40" s="60" t="str">
        <f>IF(Tim!EN42="","",1)</f>
        <v/>
      </c>
      <c r="BB40" s="60" t="str">
        <f>IF(Tim!EO42="","",1)</f>
        <v/>
      </c>
      <c r="BC40" s="60" t="str">
        <f>IF(Tim!EP42="","",1)</f>
        <v/>
      </c>
      <c r="BD40" s="60" t="str">
        <f>IF(Tim!EQ42="","",1)</f>
        <v/>
      </c>
      <c r="BE40" s="60" t="str">
        <f>IF(Tim!ER42="","",1)</f>
        <v/>
      </c>
      <c r="BF40" s="60" t="str">
        <f>IF(Tim!ES42="","",1)</f>
        <v/>
      </c>
      <c r="BG40" s="60">
        <f>IF(Tim!ET42="","",1)</f>
        <v>1</v>
      </c>
      <c r="BH40" s="60" t="str">
        <f>IF(Tim!EU42="","",1)</f>
        <v/>
      </c>
      <c r="BI40" s="60" t="str">
        <f>IF(Tim!EV42="","",1)</f>
        <v/>
      </c>
      <c r="BJ40" s="60" t="str">
        <f>IF(Tim!EW42="","",1)</f>
        <v/>
      </c>
      <c r="BK40" s="60" t="str">
        <f>IF(Tim!EX42="","",1)</f>
        <v/>
      </c>
      <c r="BL40" s="60" t="str">
        <f>IF(Tim!EY42="","",1)</f>
        <v/>
      </c>
      <c r="BM40" s="60" t="str">
        <f>IF(Tim!EZ42="","",1)</f>
        <v/>
      </c>
      <c r="BN40" s="56">
        <f>IF(Tim!GD42="","",1)</f>
        <v>1</v>
      </c>
      <c r="BO40" s="60">
        <f>IF(Tim!GE42="","",1)</f>
        <v>1</v>
      </c>
      <c r="BP40" s="60" t="str">
        <f>IF(Tim!GF42="","",1)</f>
        <v/>
      </c>
      <c r="BQ40" s="60" t="str">
        <f>IF(Tim!GG42="","",1)</f>
        <v/>
      </c>
      <c r="BR40" s="60" t="str">
        <f>IF(Tim!GH42="","",1)</f>
        <v/>
      </c>
      <c r="BS40" s="60" t="str">
        <f>IF(Tim!GI42="","",1)</f>
        <v/>
      </c>
      <c r="BT40" s="60" t="str">
        <f>IF(Tim!GJ42="","",1)</f>
        <v/>
      </c>
      <c r="BU40" s="60" t="str">
        <f>IF(Tim!GK42="","",1)</f>
        <v/>
      </c>
      <c r="BV40" s="60">
        <f>IF(Tim!GL42="","",1)</f>
        <v>1</v>
      </c>
      <c r="BW40" s="60" t="str">
        <f>IF(Tim!GM42="","",1)</f>
        <v/>
      </c>
      <c r="BX40" s="60">
        <f>IF(Tim!GN42="","",1)</f>
        <v>1</v>
      </c>
      <c r="BY40" s="60">
        <f>IF(Tim!GO42="","",1)</f>
        <v>1</v>
      </c>
      <c r="BZ40" s="60" t="str">
        <f>IF(Tim!GP42="","",1)</f>
        <v/>
      </c>
      <c r="CA40" s="60" t="str">
        <f>IF(Tim!GQ42="","",1)</f>
        <v/>
      </c>
      <c r="CB40" s="60" t="str">
        <f>IF(Tim!GR42="","",1)</f>
        <v/>
      </c>
      <c r="CC40" s="56">
        <f>IF(Tim!HV42="","",1)</f>
        <v>1</v>
      </c>
      <c r="CD40" s="53" t="str">
        <f>IF(Tim!HW42="","",1)</f>
        <v/>
      </c>
      <c r="CE40" s="53" t="str">
        <f>IF(Tim!HX42="","",1)</f>
        <v/>
      </c>
      <c r="CF40" s="53" t="str">
        <f>IF(Tim!HY42="","",1)</f>
        <v/>
      </c>
      <c r="CG40" s="53" t="str">
        <f>IF(Tim!HZ42="","",1)</f>
        <v/>
      </c>
      <c r="CH40" s="53" t="str">
        <f>IF(Tim!IA42="","",1)</f>
        <v/>
      </c>
      <c r="CI40" s="53" t="str">
        <f>IF(Tim!IB42="","",1)</f>
        <v/>
      </c>
      <c r="CJ40" s="53">
        <f>IF(Tim!IC42="","",1)</f>
        <v>1</v>
      </c>
      <c r="CK40" s="53" t="str">
        <f>IF(Tim!ID42="","",1)</f>
        <v/>
      </c>
      <c r="CL40" s="53" t="str">
        <f>IF(Tim!IE42="","",1)</f>
        <v/>
      </c>
      <c r="CM40" s="53" t="str">
        <f>IF(Tim!IF42="","",1)</f>
        <v/>
      </c>
      <c r="CN40" s="53" t="str">
        <f>IF(Tim!IG42="","",1)</f>
        <v/>
      </c>
      <c r="CO40" s="53" t="str">
        <f>IF(Tim!IH42="","",1)</f>
        <v/>
      </c>
      <c r="CP40" s="53" t="str">
        <f>IF(Tim!II42="","",1)</f>
        <v/>
      </c>
      <c r="CQ40" s="54" t="str">
        <f>IF(Tim!IJ42="","",1)</f>
        <v/>
      </c>
      <c r="CR40" s="56">
        <f>IF(Tim!JN42="","",1)</f>
        <v>1</v>
      </c>
      <c r="CS40" s="53" t="str">
        <f>IF(Tim!JO42="","",1)</f>
        <v/>
      </c>
      <c r="CT40" s="53" t="str">
        <f>IF(Tim!JP42="","",1)</f>
        <v/>
      </c>
      <c r="CU40" s="53" t="str">
        <f>IF(Tim!JQ42="","",1)</f>
        <v/>
      </c>
      <c r="CV40" s="53" t="str">
        <f>IF(Tim!JR42="","",1)</f>
        <v/>
      </c>
      <c r="CW40" s="53" t="str">
        <f>IF(Tim!JS42="","",1)</f>
        <v/>
      </c>
      <c r="CX40" s="53" t="str">
        <f>IF(Tim!JT42="","",1)</f>
        <v/>
      </c>
      <c r="CY40" s="53" t="str">
        <f>IF(Tim!JU42="","",1)</f>
        <v/>
      </c>
      <c r="CZ40" s="53" t="str">
        <f>IF(Tim!JV42="","",1)</f>
        <v/>
      </c>
      <c r="DA40" s="53" t="str">
        <f>IF(Tim!JW42="","",1)</f>
        <v/>
      </c>
      <c r="DB40" s="53" t="str">
        <f>IF(Tim!JX42="","",1)</f>
        <v/>
      </c>
      <c r="DC40" s="53" t="str">
        <f>IF(Tim!JY42="","",1)</f>
        <v/>
      </c>
      <c r="DD40" s="53" t="str">
        <f>IF(Tim!JZ42="","",1)</f>
        <v/>
      </c>
      <c r="DE40" s="53" t="str">
        <f>IF(Tim!KA42="","",1)</f>
        <v/>
      </c>
      <c r="DF40" s="55" t="str">
        <f>IF(Tim!KB42="","",1)</f>
        <v/>
      </c>
      <c r="DG40" s="52">
        <v>0.656249999999999</v>
      </c>
    </row>
    <row r="41" spans="2:111" ht="10.5" customHeight="1">
      <c r="B41" s="51">
        <v>0.25</v>
      </c>
      <c r="C41" s="51">
        <v>0.25</v>
      </c>
      <c r="D41" s="51">
        <v>0.25</v>
      </c>
      <c r="E41" s="172">
        <v>0.66666666666666596</v>
      </c>
      <c r="F41" s="56">
        <f>IF(Tim!F43="","",1)</f>
        <v>1</v>
      </c>
      <c r="G41" s="60" t="str">
        <f>IF(Tim!G43="","",1)</f>
        <v/>
      </c>
      <c r="H41" s="60" t="str">
        <f>IF(Tim!H43="","",1)</f>
        <v/>
      </c>
      <c r="I41" s="60" t="str">
        <f>IF(Tim!I43="","",1)</f>
        <v/>
      </c>
      <c r="J41" s="60" t="str">
        <f>IF(Tim!J43="","",1)</f>
        <v/>
      </c>
      <c r="K41" s="60" t="str">
        <f>IF(Tim!K43="","",1)</f>
        <v/>
      </c>
      <c r="L41" s="60" t="str">
        <f>IF(Tim!L43="","",1)</f>
        <v/>
      </c>
      <c r="M41" s="60" t="str">
        <f>IF(Tim!M43="","",1)</f>
        <v/>
      </c>
      <c r="N41" s="60" t="str">
        <f>IF(Tim!N43="","",1)</f>
        <v/>
      </c>
      <c r="O41" s="60" t="str">
        <f>IF(Tim!O43="","",1)</f>
        <v/>
      </c>
      <c r="P41" s="60" t="str">
        <f>IF(Tim!P43="","",1)</f>
        <v/>
      </c>
      <c r="Q41" s="60" t="str">
        <f>IF(Tim!Q43="","",1)</f>
        <v/>
      </c>
      <c r="R41" s="60" t="str">
        <f>IF(Tim!R43="","",1)</f>
        <v/>
      </c>
      <c r="S41" s="60" t="str">
        <f>IF(Tim!S43="","",1)</f>
        <v/>
      </c>
      <c r="T41" s="60" t="str">
        <f>IF(Tim!T43="","",1)</f>
        <v/>
      </c>
      <c r="U41" s="56">
        <f>IF(Tim!AY43="","",1)</f>
        <v>1</v>
      </c>
      <c r="V41" s="60">
        <f>IF(Tim!AZ43="","",1)</f>
        <v>1</v>
      </c>
      <c r="W41" s="60" t="str">
        <f>IF(Tim!BA43="","",1)</f>
        <v/>
      </c>
      <c r="X41" s="60" t="str">
        <f>IF(Tim!BB43="","",1)</f>
        <v/>
      </c>
      <c r="Y41" s="60" t="str">
        <f>IF(Tim!BC43="","",1)</f>
        <v/>
      </c>
      <c r="Z41" s="60" t="str">
        <f>IF(Tim!BD43="","",1)</f>
        <v/>
      </c>
      <c r="AA41" s="60" t="str">
        <f>IF(Tim!BE43="","",1)</f>
        <v/>
      </c>
      <c r="AB41" s="60" t="str">
        <f>IF(Tim!BF43="","",1)</f>
        <v/>
      </c>
      <c r="AC41" s="60" t="str">
        <f>IF(Tim!BG43="","",1)</f>
        <v/>
      </c>
      <c r="AD41" s="60" t="str">
        <f>IF(Tim!BH43="","",1)</f>
        <v/>
      </c>
      <c r="AE41" s="60" t="str">
        <f>IF(Tim!BI43="","",1)</f>
        <v/>
      </c>
      <c r="AF41" s="60" t="str">
        <f>IF(Tim!BJ43="","",1)</f>
        <v/>
      </c>
      <c r="AG41" s="60" t="str">
        <f>IF(Tim!BK43="","",1)</f>
        <v/>
      </c>
      <c r="AH41" s="60" t="str">
        <f>IF(Tim!BL43="","",1)</f>
        <v/>
      </c>
      <c r="AI41" s="60" t="str">
        <f>IF(Tim!BM43="","",1)</f>
        <v/>
      </c>
      <c r="AJ41" s="56">
        <f>IF(Tim!CQ43="","",1)</f>
        <v>1</v>
      </c>
      <c r="AK41" s="60" t="str">
        <f>IF(Tim!CR43="","",1)</f>
        <v/>
      </c>
      <c r="AL41" s="60" t="str">
        <f>IF(Tim!CS43="","",1)</f>
        <v/>
      </c>
      <c r="AM41" s="60" t="str">
        <f>IF(Tim!CT43="","",1)</f>
        <v/>
      </c>
      <c r="AN41" s="60" t="str">
        <f>IF(Tim!CU43="","",1)</f>
        <v/>
      </c>
      <c r="AO41" s="60" t="str">
        <f>IF(Tim!CV43="","",1)</f>
        <v/>
      </c>
      <c r="AP41" s="60" t="str">
        <f>IF(Tim!CW43="","",1)</f>
        <v/>
      </c>
      <c r="AQ41" s="60" t="str">
        <f>IF(Tim!CX43="","",1)</f>
        <v/>
      </c>
      <c r="AR41" s="60" t="str">
        <f>IF(Tim!CY43="","",1)</f>
        <v/>
      </c>
      <c r="AS41" s="60" t="str">
        <f>IF(Tim!CZ43="","",1)</f>
        <v/>
      </c>
      <c r="AT41" s="60" t="str">
        <f>IF(Tim!DA43="","",1)</f>
        <v/>
      </c>
      <c r="AU41" s="60" t="str">
        <f>IF(Tim!DB43="","",1)</f>
        <v/>
      </c>
      <c r="AV41" s="60" t="str">
        <f>IF(Tim!DC43="","",1)</f>
        <v/>
      </c>
      <c r="AW41" s="60" t="str">
        <f>IF(Tim!DD43="","",1)</f>
        <v/>
      </c>
      <c r="AX41" s="60" t="str">
        <f>IF(Tim!DE43="","",1)</f>
        <v/>
      </c>
      <c r="AY41" s="56">
        <f>IF(Tim!EL43="","",1)</f>
        <v>1</v>
      </c>
      <c r="AZ41" s="60" t="str">
        <f>IF(Tim!EM43="","",1)</f>
        <v/>
      </c>
      <c r="BA41" s="60" t="str">
        <f>IF(Tim!EN43="","",1)</f>
        <v/>
      </c>
      <c r="BB41" s="60" t="str">
        <f>IF(Tim!EO43="","",1)</f>
        <v/>
      </c>
      <c r="BC41" s="60" t="str">
        <f>IF(Tim!EP43="","",1)</f>
        <v/>
      </c>
      <c r="BD41" s="60" t="str">
        <f>IF(Tim!EQ43="","",1)</f>
        <v/>
      </c>
      <c r="BE41" s="60" t="str">
        <f>IF(Tim!ER43="","",1)</f>
        <v/>
      </c>
      <c r="BF41" s="60" t="str">
        <f>IF(Tim!ES43="","",1)</f>
        <v/>
      </c>
      <c r="BG41" s="60" t="str">
        <f>IF(Tim!ET43="","",1)</f>
        <v/>
      </c>
      <c r="BH41" s="60" t="str">
        <f>IF(Tim!EU43="","",1)</f>
        <v/>
      </c>
      <c r="BI41" s="60" t="str">
        <f>IF(Tim!EV43="","",1)</f>
        <v/>
      </c>
      <c r="BJ41" s="60" t="str">
        <f>IF(Tim!EW43="","",1)</f>
        <v/>
      </c>
      <c r="BK41" s="60" t="str">
        <f>IF(Tim!EX43="","",1)</f>
        <v/>
      </c>
      <c r="BL41" s="60" t="str">
        <f>IF(Tim!EY43="","",1)</f>
        <v/>
      </c>
      <c r="BM41" s="60" t="str">
        <f>IF(Tim!EZ43="","",1)</f>
        <v/>
      </c>
      <c r="BN41" s="56">
        <f>IF(Tim!GD43="","",1)</f>
        <v>1</v>
      </c>
      <c r="BO41" s="60" t="str">
        <f>IF(Tim!GE43="","",1)</f>
        <v/>
      </c>
      <c r="BP41" s="60" t="str">
        <f>IF(Tim!GF43="","",1)</f>
        <v/>
      </c>
      <c r="BQ41" s="60" t="str">
        <f>IF(Tim!GG43="","",1)</f>
        <v/>
      </c>
      <c r="BR41" s="60" t="str">
        <f>IF(Tim!GH43="","",1)</f>
        <v/>
      </c>
      <c r="BS41" s="60" t="str">
        <f>IF(Tim!GI43="","",1)</f>
        <v/>
      </c>
      <c r="BT41" s="60" t="str">
        <f>IF(Tim!GJ43="","",1)</f>
        <v/>
      </c>
      <c r="BU41" s="60">
        <f>IF(Tim!GK43="","",1)</f>
        <v>1</v>
      </c>
      <c r="BV41" s="60" t="str">
        <f>IF(Tim!GL43="","",1)</f>
        <v/>
      </c>
      <c r="BW41" s="60" t="str">
        <f>IF(Tim!GM43="","",1)</f>
        <v/>
      </c>
      <c r="BX41" s="60">
        <f>IF(Tim!GO43="","",1)</f>
        <v>1</v>
      </c>
      <c r="BY41" s="60" t="e">
        <f>IF(Tim!#REF!="","",1)</f>
        <v>#REF!</v>
      </c>
      <c r="BZ41" s="60" t="str">
        <f>IF(Tim!GP43="","",1)</f>
        <v/>
      </c>
      <c r="CA41" s="60" t="str">
        <f>IF(Tim!GQ43="","",1)</f>
        <v/>
      </c>
      <c r="CB41" s="60" t="str">
        <f>IF(Tim!GR43="","",1)</f>
        <v/>
      </c>
      <c r="CC41" s="56">
        <f>IF(Tim!HV43="","",1)</f>
        <v>1</v>
      </c>
      <c r="CD41" s="53" t="str">
        <f>IF(Tim!HW43="","",1)</f>
        <v/>
      </c>
      <c r="CE41" s="53" t="str">
        <f>IF(Tim!HX43="","",1)</f>
        <v/>
      </c>
      <c r="CF41" s="53" t="str">
        <f>IF(Tim!HY43="","",1)</f>
        <v/>
      </c>
      <c r="CG41" s="53" t="str">
        <f>IF(Tim!HZ43="","",1)</f>
        <v/>
      </c>
      <c r="CH41" s="53" t="str">
        <f>IF(Tim!IA43="","",1)</f>
        <v/>
      </c>
      <c r="CI41" s="53" t="str">
        <f>IF(Tim!IB43="","",1)</f>
        <v/>
      </c>
      <c r="CJ41" s="53">
        <f>IF(Tim!IC43="","",1)</f>
        <v>1</v>
      </c>
      <c r="CK41" s="53" t="str">
        <f>IF(Tim!ID43="","",1)</f>
        <v/>
      </c>
      <c r="CL41" s="53" t="str">
        <f>IF(Tim!IE43="","",1)</f>
        <v/>
      </c>
      <c r="CM41" s="53" t="str">
        <f>IF(Tim!IF43="","",1)</f>
        <v/>
      </c>
      <c r="CN41" s="53" t="str">
        <f>IF(Tim!IG43="","",1)</f>
        <v/>
      </c>
      <c r="CO41" s="53" t="str">
        <f>IF(Tim!IH43="","",1)</f>
        <v/>
      </c>
      <c r="CP41" s="53" t="str">
        <f>IF(Tim!II43="","",1)</f>
        <v/>
      </c>
      <c r="CQ41" s="54" t="str">
        <f>IF(Tim!IJ43="","",1)</f>
        <v/>
      </c>
      <c r="CR41" s="56">
        <f>IF(Tim!JN43="","",1)</f>
        <v>1</v>
      </c>
      <c r="CS41" s="53" t="str">
        <f>IF(Tim!JO43="","",1)</f>
        <v/>
      </c>
      <c r="CT41" s="53" t="str">
        <f>IF(Tim!JP43="","",1)</f>
        <v/>
      </c>
      <c r="CU41" s="53" t="str">
        <f>IF(Tim!JQ43="","",1)</f>
        <v/>
      </c>
      <c r="CV41" s="53" t="str">
        <f>IF(Tim!JR43="","",1)</f>
        <v/>
      </c>
      <c r="CW41" s="53" t="str">
        <f>IF(Tim!JS43="","",1)</f>
        <v/>
      </c>
      <c r="CX41" s="53" t="str">
        <f>IF(Tim!JT43="","",1)</f>
        <v/>
      </c>
      <c r="CY41" s="53" t="str">
        <f>IF(Tim!JU43="","",1)</f>
        <v/>
      </c>
      <c r="CZ41" s="53" t="str">
        <f>IF(Tim!JV43="","",1)</f>
        <v/>
      </c>
      <c r="DA41" s="53" t="str">
        <f>IF(Tim!JW43="","",1)</f>
        <v/>
      </c>
      <c r="DB41" s="53" t="str">
        <f>IF(Tim!JX43="","",1)</f>
        <v/>
      </c>
      <c r="DC41" s="53" t="str">
        <f>IF(Tim!JY43="","",1)</f>
        <v/>
      </c>
      <c r="DD41" s="53" t="str">
        <f>IF(Tim!JZ43="","",1)</f>
        <v/>
      </c>
      <c r="DE41" s="53" t="str">
        <f>IF(Tim!KA43="","",1)</f>
        <v/>
      </c>
      <c r="DF41" s="55" t="str">
        <f>IF(Tim!KB43="","",1)</f>
        <v/>
      </c>
      <c r="DG41" s="52">
        <v>0.66666666666666596</v>
      </c>
    </row>
    <row r="42" spans="2:111" ht="10.5" customHeight="1">
      <c r="B42" s="51">
        <v>0.25</v>
      </c>
      <c r="C42" s="51">
        <v>0.25</v>
      </c>
      <c r="D42" s="51">
        <v>0.25</v>
      </c>
      <c r="E42" s="172">
        <v>0.67708333333333204</v>
      </c>
      <c r="F42" s="56">
        <f>IF(Tim!F44="","",1)</f>
        <v>1</v>
      </c>
      <c r="G42" s="60" t="str">
        <f>IF(Tim!G44="","",1)</f>
        <v/>
      </c>
      <c r="H42" s="60" t="str">
        <f>IF(Tim!H44="","",1)</f>
        <v/>
      </c>
      <c r="I42" s="60" t="str">
        <f>IF(Tim!I44="","",1)</f>
        <v/>
      </c>
      <c r="J42" s="60" t="str">
        <f>IF(Tim!J44="","",1)</f>
        <v/>
      </c>
      <c r="K42" s="60" t="str">
        <f>IF(Tim!K44="","",1)</f>
        <v/>
      </c>
      <c r="L42" s="60" t="str">
        <f>IF(Tim!L44="","",1)</f>
        <v/>
      </c>
      <c r="M42" s="60" t="str">
        <f>IF(Tim!M44="","",1)</f>
        <v/>
      </c>
      <c r="N42" s="60" t="str">
        <f>IF(Tim!N44="","",1)</f>
        <v/>
      </c>
      <c r="O42" s="60" t="str">
        <f>IF(Tim!O44="","",1)</f>
        <v/>
      </c>
      <c r="P42" s="60" t="str">
        <f>IF(Tim!P44="","",1)</f>
        <v/>
      </c>
      <c r="Q42" s="60" t="str">
        <f>IF(Tim!Q44="","",1)</f>
        <v/>
      </c>
      <c r="R42" s="60" t="str">
        <f>IF(Tim!R44="","",1)</f>
        <v/>
      </c>
      <c r="S42" s="60" t="str">
        <f>IF(Tim!S44="","",1)</f>
        <v/>
      </c>
      <c r="T42" s="60" t="str">
        <f>IF(Tim!T44="","",1)</f>
        <v/>
      </c>
      <c r="U42" s="56">
        <f>IF(Tim!AY44="","",1)</f>
        <v>1</v>
      </c>
      <c r="V42" s="60" t="str">
        <f>IF(Tim!AZ44="","",1)</f>
        <v/>
      </c>
      <c r="W42" s="60" t="str">
        <f>IF(Tim!BA44="","",1)</f>
        <v/>
      </c>
      <c r="X42" s="60" t="str">
        <f>IF(Tim!BB44="","",1)</f>
        <v/>
      </c>
      <c r="Y42" s="60" t="str">
        <f>IF(Tim!BC44="","",1)</f>
        <v/>
      </c>
      <c r="Z42" s="60" t="str">
        <f>IF(Tim!BD44="","",1)</f>
        <v/>
      </c>
      <c r="AA42" s="60" t="str">
        <f>IF(Tim!BE44="","",1)</f>
        <v/>
      </c>
      <c r="AB42" s="60" t="str">
        <f>IF(Tim!BF44="","",1)</f>
        <v/>
      </c>
      <c r="AC42" s="60" t="str">
        <f>IF(Tim!BG44="","",1)</f>
        <v/>
      </c>
      <c r="AD42" s="60" t="str">
        <f>IF(Tim!BH44="","",1)</f>
        <v/>
      </c>
      <c r="AE42" s="60" t="str">
        <f>IF(Tim!BI44="","",1)</f>
        <v/>
      </c>
      <c r="AF42" s="60" t="str">
        <f>IF(Tim!BJ44="","",1)</f>
        <v/>
      </c>
      <c r="AG42" s="60" t="str">
        <f>IF(Tim!BK44="","",1)</f>
        <v/>
      </c>
      <c r="AH42" s="60" t="str">
        <f>IF(Tim!BL44="","",1)</f>
        <v/>
      </c>
      <c r="AI42" s="60" t="str">
        <f>IF(Tim!BM44="","",1)</f>
        <v/>
      </c>
      <c r="AJ42" s="56">
        <f>IF(Tim!CQ44="","",1)</f>
        <v>1</v>
      </c>
      <c r="AK42" s="60" t="str">
        <f>IF(Tim!CR44="","",1)</f>
        <v/>
      </c>
      <c r="AL42" s="60" t="str">
        <f>IF(Tim!CS44="","",1)</f>
        <v/>
      </c>
      <c r="AM42" s="60" t="str">
        <f>IF(Tim!CT44="","",1)</f>
        <v/>
      </c>
      <c r="AN42" s="60" t="str">
        <f>IF(Tim!CU44="","",1)</f>
        <v/>
      </c>
      <c r="AO42" s="60" t="str">
        <f>IF(Tim!CV44="","",1)</f>
        <v/>
      </c>
      <c r="AP42" s="60" t="str">
        <f>IF(Tim!CW44="","",1)</f>
        <v/>
      </c>
      <c r="AQ42" s="60" t="str">
        <f>IF(Tim!CX44="","",1)</f>
        <v/>
      </c>
      <c r="AR42" s="60" t="str">
        <f>IF(Tim!CY44="","",1)</f>
        <v/>
      </c>
      <c r="AS42" s="60" t="str">
        <f>IF(Tim!CZ44="","",1)</f>
        <v/>
      </c>
      <c r="AT42" s="60" t="str">
        <f>IF(Tim!DA44="","",1)</f>
        <v/>
      </c>
      <c r="AU42" s="60" t="str">
        <f>IF(Tim!DB44="","",1)</f>
        <v/>
      </c>
      <c r="AV42" s="60" t="str">
        <f>IF(Tim!DC44="","",1)</f>
        <v/>
      </c>
      <c r="AW42" s="60" t="str">
        <f>IF(Tim!DD44="","",1)</f>
        <v/>
      </c>
      <c r="AX42" s="60" t="str">
        <f>IF(Tim!DE44="","",1)</f>
        <v/>
      </c>
      <c r="AY42" s="56">
        <f>IF(Tim!EL44="","",1)</f>
        <v>1</v>
      </c>
      <c r="AZ42" s="60">
        <f>IF(Tim!EM44="","",1)</f>
        <v>1</v>
      </c>
      <c r="BA42" s="60" t="str">
        <f>IF(Tim!EN44="","",1)</f>
        <v/>
      </c>
      <c r="BB42" s="60" t="str">
        <f>IF(Tim!EO44="","",1)</f>
        <v/>
      </c>
      <c r="BC42" s="60" t="str">
        <f>IF(Tim!EP44="","",1)</f>
        <v/>
      </c>
      <c r="BD42" s="60" t="str">
        <f>IF(Tim!EQ44="","",1)</f>
        <v/>
      </c>
      <c r="BE42" s="60" t="str">
        <f>IF(Tim!ER44="","",1)</f>
        <v/>
      </c>
      <c r="BF42" s="60" t="str">
        <f>IF(Tim!ES44="","",1)</f>
        <v/>
      </c>
      <c r="BG42" s="60" t="str">
        <f>IF(Tim!ET44="","",1)</f>
        <v/>
      </c>
      <c r="BH42" s="60" t="str">
        <f>IF(Tim!EU44="","",1)</f>
        <v/>
      </c>
      <c r="BI42" s="60" t="e">
        <f>IF(Tim!#REF!="","",1)</f>
        <v>#REF!</v>
      </c>
      <c r="BJ42" s="60" t="str">
        <f>IF(Tim!EW44="","",1)</f>
        <v/>
      </c>
      <c r="BK42" s="60" t="str">
        <f>IF(Tim!EX44="","",1)</f>
        <v/>
      </c>
      <c r="BL42" s="60" t="str">
        <f>IF(Tim!EY44="","",1)</f>
        <v/>
      </c>
      <c r="BM42" s="60" t="str">
        <f>IF(Tim!EZ44="","",1)</f>
        <v/>
      </c>
      <c r="BN42" s="56">
        <f>IF(Tim!GD44="","",1)</f>
        <v>1</v>
      </c>
      <c r="BO42" s="60" t="str">
        <f>IF(Tim!GE44="","",1)</f>
        <v/>
      </c>
      <c r="BP42" s="60" t="str">
        <f>IF(Tim!GF44="","",1)</f>
        <v/>
      </c>
      <c r="BQ42" s="60" t="str">
        <f>IF(Tim!GG44="","",1)</f>
        <v/>
      </c>
      <c r="BR42" s="60" t="str">
        <f>IF(Tim!GH44="","",1)</f>
        <v/>
      </c>
      <c r="BS42" s="60" t="str">
        <f>IF(Tim!GI44="","",1)</f>
        <v/>
      </c>
      <c r="BT42" s="60" t="str">
        <f>IF(Tim!GJ44="","",1)</f>
        <v/>
      </c>
      <c r="BU42" s="60">
        <f>IF(Tim!GK44="","",1)</f>
        <v>1</v>
      </c>
      <c r="BV42" s="60" t="str">
        <f>IF(Tim!GL44="","",1)</f>
        <v/>
      </c>
      <c r="BW42" s="60" t="str">
        <f>IF(Tim!GM44="","",1)</f>
        <v/>
      </c>
      <c r="BX42" s="60">
        <f>IF(Tim!GO44="","",1)</f>
        <v>1</v>
      </c>
      <c r="BY42" s="60" t="e">
        <f>IF(Tim!#REF!="","",1)</f>
        <v>#REF!</v>
      </c>
      <c r="BZ42" s="60" t="str">
        <f>IF(Tim!GP44="","",1)</f>
        <v/>
      </c>
      <c r="CA42" s="60" t="str">
        <f>IF(Tim!GQ44="","",1)</f>
        <v/>
      </c>
      <c r="CB42" s="60" t="str">
        <f>IF(Tim!GR44="","",1)</f>
        <v/>
      </c>
      <c r="CC42" s="56">
        <f>IF(Tim!HV44="","",1)</f>
        <v>1</v>
      </c>
      <c r="CD42" s="53" t="str">
        <f>IF(Tim!HW44="","",1)</f>
        <v/>
      </c>
      <c r="CE42" s="53" t="str">
        <f>IF(Tim!HX44="","",1)</f>
        <v/>
      </c>
      <c r="CF42" s="53" t="str">
        <f>IF(Tim!HY44="","",1)</f>
        <v/>
      </c>
      <c r="CG42" s="53" t="str">
        <f>IF(Tim!HZ44="","",1)</f>
        <v/>
      </c>
      <c r="CH42" s="53" t="str">
        <f>IF(Tim!IA44="","",1)</f>
        <v/>
      </c>
      <c r="CI42" s="53" t="str">
        <f>IF(Tim!IB44="","",1)</f>
        <v/>
      </c>
      <c r="CJ42" s="53">
        <f>IF(Tim!IC44="","",1)</f>
        <v>1</v>
      </c>
      <c r="CK42" s="53" t="str">
        <f>IF(Tim!ID44="","",1)</f>
        <v/>
      </c>
      <c r="CL42" s="53" t="str">
        <f>IF(Tim!IE44="","",1)</f>
        <v/>
      </c>
      <c r="CM42" s="53" t="str">
        <f>IF(Tim!IF44="","",1)</f>
        <v/>
      </c>
      <c r="CN42" s="53" t="str">
        <f>IF(Tim!IG44="","",1)</f>
        <v/>
      </c>
      <c r="CO42" s="53" t="str">
        <f>IF(Tim!IH44="","",1)</f>
        <v/>
      </c>
      <c r="CP42" s="53" t="str">
        <f>IF(Tim!II44="","",1)</f>
        <v/>
      </c>
      <c r="CQ42" s="54" t="str">
        <f>IF(Tim!IJ44="","",1)</f>
        <v/>
      </c>
      <c r="CR42" s="56">
        <f>IF(Tim!JN44="","",1)</f>
        <v>1</v>
      </c>
      <c r="CS42" s="53" t="str">
        <f>IF(Tim!JO44="","",1)</f>
        <v/>
      </c>
      <c r="CT42" s="53" t="str">
        <f>IF(Tim!JP44="","",1)</f>
        <v/>
      </c>
      <c r="CU42" s="53" t="str">
        <f>IF(Tim!JQ44="","",1)</f>
        <v/>
      </c>
      <c r="CV42" s="53" t="str">
        <f>IF(Tim!JR44="","",1)</f>
        <v/>
      </c>
      <c r="CW42" s="53" t="str">
        <f>IF(Tim!JS44="","",1)</f>
        <v/>
      </c>
      <c r="CX42" s="53" t="str">
        <f>IF(Tim!JT44="","",1)</f>
        <v/>
      </c>
      <c r="CY42" s="53" t="str">
        <f>IF(Tim!JU44="","",1)</f>
        <v/>
      </c>
      <c r="CZ42" s="53" t="str">
        <f>IF(Tim!JV44="","",1)</f>
        <v/>
      </c>
      <c r="DA42" s="53" t="str">
        <f>IF(Tim!JW44="","",1)</f>
        <v/>
      </c>
      <c r="DB42" s="53" t="str">
        <f>IF(Tim!JX44="","",1)</f>
        <v/>
      </c>
      <c r="DC42" s="53" t="str">
        <f>IF(Tim!JY44="","",1)</f>
        <v/>
      </c>
      <c r="DD42" s="53" t="str">
        <f>IF(Tim!JZ44="","",1)</f>
        <v/>
      </c>
      <c r="DE42" s="53" t="str">
        <f>IF(Tim!KA44="","",1)</f>
        <v/>
      </c>
      <c r="DF42" s="55" t="str">
        <f>IF(Tim!KB44="","",1)</f>
        <v/>
      </c>
      <c r="DG42" s="52">
        <v>0.67708333333333204</v>
      </c>
    </row>
    <row r="43" spans="2:111" ht="10.5" customHeight="1">
      <c r="B43" s="51">
        <v>0.25</v>
      </c>
      <c r="C43" s="51">
        <v>0.25</v>
      </c>
      <c r="D43" s="51">
        <v>0.25</v>
      </c>
      <c r="E43" s="172">
        <v>0.687499999999999</v>
      </c>
      <c r="F43" s="56">
        <f>IF(Tim!F45="","",1)</f>
        <v>1</v>
      </c>
      <c r="G43" s="60" t="str">
        <f>IF(Tim!G45="","",1)</f>
        <v/>
      </c>
      <c r="H43" s="60" t="str">
        <f>IF(Tim!H45="","",1)</f>
        <v/>
      </c>
      <c r="I43" s="60" t="str">
        <f>IF(Tim!I45="","",1)</f>
        <v/>
      </c>
      <c r="J43" s="60" t="str">
        <f>IF(Tim!J45="","",1)</f>
        <v/>
      </c>
      <c r="K43" s="60" t="str">
        <f>IF(Tim!K45="","",1)</f>
        <v/>
      </c>
      <c r="L43" s="60" t="str">
        <f>IF(Tim!L45="","",1)</f>
        <v/>
      </c>
      <c r="M43" s="60" t="str">
        <f>IF(Tim!M45="","",1)</f>
        <v/>
      </c>
      <c r="N43" s="60" t="str">
        <f>IF(Tim!N45="","",1)</f>
        <v/>
      </c>
      <c r="O43" s="60" t="str">
        <f>IF(Tim!O45="","",1)</f>
        <v/>
      </c>
      <c r="P43" s="60" t="str">
        <f>IF(Tim!P45="","",1)</f>
        <v/>
      </c>
      <c r="Q43" s="60" t="str">
        <f>IF(Tim!Q45="","",1)</f>
        <v/>
      </c>
      <c r="R43" s="60" t="str">
        <f>IF(Tim!R45="","",1)</f>
        <v/>
      </c>
      <c r="S43" s="60" t="str">
        <f>IF(Tim!S45="","",1)</f>
        <v/>
      </c>
      <c r="T43" s="60" t="str">
        <f>IF(Tim!T45="","",1)</f>
        <v/>
      </c>
      <c r="U43" s="56">
        <f>IF(Tim!AY45="","",1)</f>
        <v>1</v>
      </c>
      <c r="V43" s="60" t="str">
        <f>IF(Tim!AZ45="","",1)</f>
        <v/>
      </c>
      <c r="W43" s="60" t="str">
        <f>IF(Tim!BA45="","",1)</f>
        <v/>
      </c>
      <c r="X43" s="60" t="str">
        <f>IF(Tim!BB45="","",1)</f>
        <v/>
      </c>
      <c r="Y43" s="60" t="str">
        <f>IF(Tim!BC45="","",1)</f>
        <v/>
      </c>
      <c r="Z43" s="60" t="str">
        <f>IF(Tim!BD45="","",1)</f>
        <v/>
      </c>
      <c r="AA43" s="60" t="str">
        <f>IF(Tim!BE45="","",1)</f>
        <v/>
      </c>
      <c r="AB43" s="60" t="str">
        <f>IF(Tim!BF45="","",1)</f>
        <v/>
      </c>
      <c r="AC43" s="60" t="str">
        <f>IF(Tim!BG45="","",1)</f>
        <v/>
      </c>
      <c r="AD43" s="60" t="str">
        <f>IF(Tim!BH45="","",1)</f>
        <v/>
      </c>
      <c r="AE43" s="60" t="str">
        <f>IF(Tim!BI45="","",1)</f>
        <v/>
      </c>
      <c r="AF43" s="60">
        <f>IF(Tim!BJ45="","",1)</f>
        <v>1</v>
      </c>
      <c r="AG43" s="60" t="str">
        <f>IF(Tim!BK45="","",1)</f>
        <v/>
      </c>
      <c r="AH43" s="60" t="str">
        <f>IF(Tim!BL45="","",1)</f>
        <v/>
      </c>
      <c r="AI43" s="60" t="str">
        <f>IF(Tim!BM45="","",1)</f>
        <v/>
      </c>
      <c r="AJ43" s="56">
        <f>IF(Tim!CQ45="","",1)</f>
        <v>1</v>
      </c>
      <c r="AK43" s="60" t="str">
        <f>IF(Tim!CR45="","",1)</f>
        <v/>
      </c>
      <c r="AL43" s="60" t="str">
        <f>IF(Tim!CS45="","",1)</f>
        <v/>
      </c>
      <c r="AM43" s="60" t="str">
        <f>IF(Tim!CT45="","",1)</f>
        <v/>
      </c>
      <c r="AN43" s="60" t="str">
        <f>IF(Tim!CU45="","",1)</f>
        <v/>
      </c>
      <c r="AO43" s="60" t="str">
        <f>IF(Tim!CV45="","",1)</f>
        <v/>
      </c>
      <c r="AP43" s="60" t="str">
        <f>IF(Tim!CW45="","",1)</f>
        <v/>
      </c>
      <c r="AQ43" s="60" t="str">
        <f>IF(Tim!CX45="","",1)</f>
        <v/>
      </c>
      <c r="AR43" s="60" t="str">
        <f>IF(Tim!CY45="","",1)</f>
        <v/>
      </c>
      <c r="AS43" s="60" t="str">
        <f>IF(Tim!CZ45="","",1)</f>
        <v/>
      </c>
      <c r="AT43" s="60" t="str">
        <f>IF(Tim!DA45="","",1)</f>
        <v/>
      </c>
      <c r="AU43" s="60" t="str">
        <f>IF(Tim!DB45="","",1)</f>
        <v/>
      </c>
      <c r="AV43" s="60" t="str">
        <f>IF(Tim!DC45="","",1)</f>
        <v/>
      </c>
      <c r="AW43" s="60" t="str">
        <f>IF(Tim!DD45="","",1)</f>
        <v/>
      </c>
      <c r="AX43" s="60" t="str">
        <f>IF(Tim!DE45="","",1)</f>
        <v/>
      </c>
      <c r="AY43" s="56">
        <f>IF(Tim!EL45="","",1)</f>
        <v>1</v>
      </c>
      <c r="AZ43" s="60" t="str">
        <f>IF(Tim!EM45="","",1)</f>
        <v/>
      </c>
      <c r="BA43" s="60" t="str">
        <f>IF(Tim!EN45="","",1)</f>
        <v/>
      </c>
      <c r="BB43" s="60" t="str">
        <f>IF(Tim!EO45="","",1)</f>
        <v/>
      </c>
      <c r="BC43" s="60" t="str">
        <f>IF(Tim!EP45="","",1)</f>
        <v/>
      </c>
      <c r="BD43" s="60" t="str">
        <f>IF(Tim!EQ45="","",1)</f>
        <v/>
      </c>
      <c r="BE43" s="60" t="str">
        <f>IF(Tim!ER45="","",1)</f>
        <v/>
      </c>
      <c r="BF43" s="60" t="str">
        <f>IF(Tim!ES45="","",1)</f>
        <v/>
      </c>
      <c r="BG43" s="60">
        <f>IF(Tim!ET45="","",1)</f>
        <v>1</v>
      </c>
      <c r="BH43" s="60" t="str">
        <f>IF(Tim!EU45="","",1)</f>
        <v/>
      </c>
      <c r="BI43" s="60" t="str">
        <f>IF(Tim!EV45="","",1)</f>
        <v/>
      </c>
      <c r="BJ43" s="60" t="str">
        <f>IF(Tim!EW45="","",1)</f>
        <v/>
      </c>
      <c r="BK43" s="60" t="str">
        <f>IF(Tim!EX45="","",1)</f>
        <v/>
      </c>
      <c r="BL43" s="60" t="str">
        <f>IF(Tim!EY45="","",1)</f>
        <v/>
      </c>
      <c r="BM43" s="60" t="str">
        <f>IF(Tim!EZ45="","",1)</f>
        <v/>
      </c>
      <c r="BN43" s="56">
        <f>IF(Tim!GD45="","",1)</f>
        <v>1</v>
      </c>
      <c r="BO43" s="60" t="str">
        <f>IF(Tim!GE45="","",1)</f>
        <v/>
      </c>
      <c r="BP43" s="60" t="str">
        <f>IF(Tim!GF45="","",1)</f>
        <v/>
      </c>
      <c r="BQ43" s="60" t="str">
        <f>IF(Tim!GG45="","",1)</f>
        <v/>
      </c>
      <c r="BR43" s="60" t="str">
        <f>IF(Tim!GH45="","",1)</f>
        <v/>
      </c>
      <c r="BS43" s="60" t="str">
        <f>IF(Tim!GI45="","",1)</f>
        <v/>
      </c>
      <c r="BT43" s="60" t="str">
        <f>IF(Tim!GJ45="","",1)</f>
        <v/>
      </c>
      <c r="BU43" s="60">
        <f>IF(Tim!GK45="","",1)</f>
        <v>1</v>
      </c>
      <c r="BV43" s="60" t="str">
        <f>IF(Tim!GL45="","",1)</f>
        <v/>
      </c>
      <c r="BW43" s="60" t="str">
        <f>IF(Tim!GM45="","",1)</f>
        <v/>
      </c>
      <c r="BX43" s="60" t="str">
        <f>IF(Tim!GO45="","",1)</f>
        <v/>
      </c>
      <c r="BY43" s="60" t="e">
        <f>IF(Tim!#REF!="","",1)</f>
        <v>#REF!</v>
      </c>
      <c r="BZ43" s="60" t="str">
        <f>IF(Tim!GP45="","",1)</f>
        <v/>
      </c>
      <c r="CA43" s="60" t="str">
        <f>IF(Tim!GQ45="","",1)</f>
        <v/>
      </c>
      <c r="CB43" s="60" t="str">
        <f>IF(Tim!GR45="","",1)</f>
        <v/>
      </c>
      <c r="CC43" s="56">
        <f>IF(Tim!HV45="","",1)</f>
        <v>1</v>
      </c>
      <c r="CD43" s="53" t="str">
        <f>IF(Tim!HW45="","",1)</f>
        <v/>
      </c>
      <c r="CE43" s="53" t="str">
        <f>IF(Tim!HX45="","",1)</f>
        <v/>
      </c>
      <c r="CF43" s="53" t="str">
        <f>IF(Tim!HY45="","",1)</f>
        <v/>
      </c>
      <c r="CG43" s="53" t="str">
        <f>IF(Tim!HZ45="","",1)</f>
        <v/>
      </c>
      <c r="CH43" s="53" t="str">
        <f>IF(Tim!IA45="","",1)</f>
        <v/>
      </c>
      <c r="CI43" s="53" t="str">
        <f>IF(Tim!IB45="","",1)</f>
        <v/>
      </c>
      <c r="CJ43" s="53">
        <f>IF(Tim!IC45="","",1)</f>
        <v>1</v>
      </c>
      <c r="CK43" s="53" t="str">
        <f>IF(Tim!ID45="","",1)</f>
        <v/>
      </c>
      <c r="CL43" s="53" t="str">
        <f>IF(Tim!IE45="","",1)</f>
        <v/>
      </c>
      <c r="CM43" s="53" t="str">
        <f>IF(Tim!IF45="","",1)</f>
        <v/>
      </c>
      <c r="CN43" s="53" t="str">
        <f>IF(Tim!IG45="","",1)</f>
        <v/>
      </c>
      <c r="CO43" s="53" t="str">
        <f>IF(Tim!IH45="","",1)</f>
        <v/>
      </c>
      <c r="CP43" s="53" t="str">
        <f>IF(Tim!II45="","",1)</f>
        <v/>
      </c>
      <c r="CQ43" s="54" t="str">
        <f>IF(Tim!IJ45="","",1)</f>
        <v/>
      </c>
      <c r="CR43" s="56">
        <f>IF(Tim!JN45="","",1)</f>
        <v>1</v>
      </c>
      <c r="CS43" s="53" t="str">
        <f>IF(Tim!JO45="","",1)</f>
        <v/>
      </c>
      <c r="CT43" s="53" t="str">
        <f>IF(Tim!JP45="","",1)</f>
        <v/>
      </c>
      <c r="CU43" s="53" t="str">
        <f>IF(Tim!JQ45="","",1)</f>
        <v/>
      </c>
      <c r="CV43" s="53" t="str">
        <f>IF(Tim!JR45="","",1)</f>
        <v/>
      </c>
      <c r="CW43" s="53" t="str">
        <f>IF(Tim!JS45="","",1)</f>
        <v/>
      </c>
      <c r="CX43" s="53" t="str">
        <f>IF(Tim!JT45="","",1)</f>
        <v/>
      </c>
      <c r="CY43" s="53" t="str">
        <f>IF(Tim!JU45="","",1)</f>
        <v/>
      </c>
      <c r="CZ43" s="53" t="str">
        <f>IF(Tim!JV45="","",1)</f>
        <v/>
      </c>
      <c r="DA43" s="53" t="str">
        <f>IF(Tim!JW45="","",1)</f>
        <v/>
      </c>
      <c r="DB43" s="53" t="str">
        <f>IF(Tim!JX45="","",1)</f>
        <v/>
      </c>
      <c r="DC43" s="53" t="str">
        <f>IF(Tim!JY45="","",1)</f>
        <v/>
      </c>
      <c r="DD43" s="53" t="str">
        <f>IF(Tim!JZ45="","",1)</f>
        <v/>
      </c>
      <c r="DE43" s="53" t="str">
        <f>IF(Tim!KA45="","",1)</f>
        <v/>
      </c>
      <c r="DF43" s="55" t="str">
        <f>IF(Tim!KB45="","",1)</f>
        <v/>
      </c>
      <c r="DG43" s="52">
        <v>0.687499999999999</v>
      </c>
    </row>
    <row r="44" spans="2:111" ht="10.5" customHeight="1">
      <c r="B44" s="51">
        <v>0.25</v>
      </c>
      <c r="C44" s="51">
        <v>0.25</v>
      </c>
      <c r="D44" s="51">
        <v>0.25</v>
      </c>
      <c r="E44" s="172">
        <v>0.69791666666666596</v>
      </c>
      <c r="F44" s="56">
        <f>IF(Tim!F46="","",1)</f>
        <v>1</v>
      </c>
      <c r="G44" s="60" t="str">
        <f>IF(Tim!G46="","",1)</f>
        <v/>
      </c>
      <c r="H44" s="60" t="str">
        <f>IF(Tim!H46="","",1)</f>
        <v/>
      </c>
      <c r="I44" s="60" t="str">
        <f>IF(Tim!I46="","",1)</f>
        <v/>
      </c>
      <c r="J44" s="60" t="str">
        <f>IF(Tim!J46="","",1)</f>
        <v/>
      </c>
      <c r="K44" s="60" t="str">
        <f>IF(Tim!K46="","",1)</f>
        <v/>
      </c>
      <c r="L44" s="60" t="str">
        <f>IF(Tim!L46="","",1)</f>
        <v/>
      </c>
      <c r="M44" s="60" t="str">
        <f>IF(Tim!M46="","",1)</f>
        <v/>
      </c>
      <c r="N44" s="60" t="str">
        <f>IF(Tim!N46="","",1)</f>
        <v/>
      </c>
      <c r="O44" s="60" t="str">
        <f>IF(Tim!O46="","",1)</f>
        <v/>
      </c>
      <c r="P44" s="60" t="str">
        <f>IF(Tim!P46="","",1)</f>
        <v/>
      </c>
      <c r="Q44" s="60" t="str">
        <f>IF(Tim!Q46="","",1)</f>
        <v/>
      </c>
      <c r="R44" s="60" t="str">
        <f>IF(Tim!R46="","",1)</f>
        <v/>
      </c>
      <c r="S44" s="60" t="str">
        <f>IF(Tim!S46="","",1)</f>
        <v/>
      </c>
      <c r="T44" s="60" t="str">
        <f>IF(Tim!T46="","",1)</f>
        <v/>
      </c>
      <c r="U44" s="56">
        <f>IF(Tim!AY46="","",1)</f>
        <v>1</v>
      </c>
      <c r="V44" s="60" t="str">
        <f>IF(Tim!AZ46="","",1)</f>
        <v/>
      </c>
      <c r="W44" s="60" t="str">
        <f>IF(Tim!BA46="","",1)</f>
        <v/>
      </c>
      <c r="X44" s="60" t="str">
        <f>IF(Tim!BB46="","",1)</f>
        <v/>
      </c>
      <c r="Y44" s="60" t="str">
        <f>IF(Tim!BC46="","",1)</f>
        <v/>
      </c>
      <c r="Z44" s="60" t="str">
        <f>IF(Tim!BD46="","",1)</f>
        <v/>
      </c>
      <c r="AA44" s="60" t="str">
        <f>IF(Tim!BE46="","",1)</f>
        <v/>
      </c>
      <c r="AB44" s="60" t="str">
        <f>IF(Tim!BF46="","",1)</f>
        <v/>
      </c>
      <c r="AC44" s="60" t="str">
        <f>IF(Tim!BG46="","",1)</f>
        <v/>
      </c>
      <c r="AD44" s="60" t="str">
        <f>IF(Tim!BH46="","",1)</f>
        <v/>
      </c>
      <c r="AE44" s="60" t="str">
        <f>IF(Tim!BI46="","",1)</f>
        <v/>
      </c>
      <c r="AF44" s="60">
        <f>IF(Tim!BJ46="","",1)</f>
        <v>1</v>
      </c>
      <c r="AG44" s="60" t="str">
        <f>IF(Tim!BK46="","",1)</f>
        <v/>
      </c>
      <c r="AH44" s="60" t="str">
        <f>IF(Tim!BL46="","",1)</f>
        <v/>
      </c>
      <c r="AI44" s="60" t="str">
        <f>IF(Tim!BM46="","",1)</f>
        <v/>
      </c>
      <c r="AJ44" s="56">
        <f>IF(Tim!CQ46="","",1)</f>
        <v>1</v>
      </c>
      <c r="AK44" s="60" t="str">
        <f>IF(Tim!CR46="","",1)</f>
        <v/>
      </c>
      <c r="AL44" s="60" t="str">
        <f>IF(Tim!CS46="","",1)</f>
        <v/>
      </c>
      <c r="AM44" s="60" t="str">
        <f>IF(Tim!CT46="","",1)</f>
        <v/>
      </c>
      <c r="AN44" s="60" t="str">
        <f>IF(Tim!CU46="","",1)</f>
        <v/>
      </c>
      <c r="AO44" s="60" t="str">
        <f>IF(Tim!CV46="","",1)</f>
        <v/>
      </c>
      <c r="AP44" s="60" t="str">
        <f>IF(Tim!CW46="","",1)</f>
        <v/>
      </c>
      <c r="AQ44" s="60" t="str">
        <f>IF(Tim!CX46="","",1)</f>
        <v/>
      </c>
      <c r="AR44" s="60" t="str">
        <f>IF(Tim!CY46="","",1)</f>
        <v/>
      </c>
      <c r="AS44" s="60" t="str">
        <f>IF(Tim!CZ46="","",1)</f>
        <v/>
      </c>
      <c r="AT44" s="60" t="str">
        <f>IF(Tim!DA46="","",1)</f>
        <v/>
      </c>
      <c r="AU44" s="60" t="str">
        <f>IF(Tim!DB46="","",1)</f>
        <v/>
      </c>
      <c r="AV44" s="60" t="str">
        <f>IF(Tim!DC46="","",1)</f>
        <v/>
      </c>
      <c r="AW44" s="60" t="str">
        <f>IF(Tim!DD46="","",1)</f>
        <v/>
      </c>
      <c r="AX44" s="60" t="str">
        <f>IF(Tim!DE46="","",1)</f>
        <v/>
      </c>
      <c r="AY44" s="56">
        <f>IF(Tim!EL46="","",1)</f>
        <v>1</v>
      </c>
      <c r="AZ44" s="60" t="str">
        <f>IF(Tim!EM46="","",1)</f>
        <v/>
      </c>
      <c r="BA44" s="60" t="str">
        <f>IF(Tim!EN46="","",1)</f>
        <v/>
      </c>
      <c r="BB44" s="60" t="str">
        <f>IF(Tim!EO46="","",1)</f>
        <v/>
      </c>
      <c r="BC44" s="60" t="str">
        <f>IF(Tim!EP46="","",1)</f>
        <v/>
      </c>
      <c r="BD44" s="60" t="str">
        <f>IF(Tim!EQ46="","",1)</f>
        <v/>
      </c>
      <c r="BE44" s="60" t="str">
        <f>IF(Tim!ER46="","",1)</f>
        <v/>
      </c>
      <c r="BF44" s="60" t="str">
        <f>IF(Tim!ES46="","",1)</f>
        <v/>
      </c>
      <c r="BG44" s="60">
        <f>IF(Tim!ET46="","",1)</f>
        <v>1</v>
      </c>
      <c r="BH44" s="60" t="str">
        <f>IF(Tim!EU46="","",1)</f>
        <v/>
      </c>
      <c r="BI44" s="60" t="str">
        <f>IF(Tim!EV46="","",1)</f>
        <v/>
      </c>
      <c r="BJ44" s="60" t="str">
        <f>IF(Tim!EW46="","",1)</f>
        <v/>
      </c>
      <c r="BK44" s="60" t="str">
        <f>IF(Tim!EX46="","",1)</f>
        <v/>
      </c>
      <c r="BL44" s="60" t="str">
        <f>IF(Tim!EY46="","",1)</f>
        <v/>
      </c>
      <c r="BM44" s="60" t="str">
        <f>IF(Tim!EZ46="","",1)</f>
        <v/>
      </c>
      <c r="BN44" s="56">
        <f>IF(Tim!GD46="","",1)</f>
        <v>1</v>
      </c>
      <c r="BO44" s="60" t="str">
        <f>IF(Tim!GE46="","",1)</f>
        <v/>
      </c>
      <c r="BP44" s="60" t="str">
        <f>IF(Tim!GF46="","",1)</f>
        <v/>
      </c>
      <c r="BQ44" s="60" t="str">
        <f>IF(Tim!GG46="","",1)</f>
        <v/>
      </c>
      <c r="BR44" s="60" t="str">
        <f>IF(Tim!GH46="","",1)</f>
        <v/>
      </c>
      <c r="BS44" s="60" t="str">
        <f>IF(Tim!GI46="","",1)</f>
        <v/>
      </c>
      <c r="BT44" s="60" t="str">
        <f>IF(Tim!GJ46="","",1)</f>
        <v/>
      </c>
      <c r="BU44" s="60">
        <f>IF(Tim!GK46="","",1)</f>
        <v>1</v>
      </c>
      <c r="BV44" s="60" t="str">
        <f>IF(Tim!GL46="","",1)</f>
        <v/>
      </c>
      <c r="BW44" s="60" t="str">
        <f>IF(Tim!GM46="","",1)</f>
        <v/>
      </c>
      <c r="BX44" s="60" t="str">
        <f>IF(Tim!GO46="","",1)</f>
        <v/>
      </c>
      <c r="BY44" s="60" t="e">
        <f>IF(Tim!#REF!="","",1)</f>
        <v>#REF!</v>
      </c>
      <c r="BZ44" s="60" t="str">
        <f>IF(Tim!GP46="","",1)</f>
        <v/>
      </c>
      <c r="CA44" s="60" t="str">
        <f>IF(Tim!GQ46="","",1)</f>
        <v/>
      </c>
      <c r="CB44" s="60" t="str">
        <f>IF(Tim!GR46="","",1)</f>
        <v/>
      </c>
      <c r="CC44" s="56">
        <f>IF(Tim!HV46="","",1)</f>
        <v>1</v>
      </c>
      <c r="CD44" s="53" t="str">
        <f>IF(Tim!HW46="","",1)</f>
        <v/>
      </c>
      <c r="CE44" s="53" t="str">
        <f>IF(Tim!HX46="","",1)</f>
        <v/>
      </c>
      <c r="CF44" s="53" t="str">
        <f>IF(Tim!HY46="","",1)</f>
        <v/>
      </c>
      <c r="CG44" s="53" t="str">
        <f>IF(Tim!HZ46="","",1)</f>
        <v/>
      </c>
      <c r="CH44" s="53" t="str">
        <f>IF(Tim!IA46="","",1)</f>
        <v/>
      </c>
      <c r="CI44" s="53" t="str">
        <f>IF(Tim!IB46="","",1)</f>
        <v/>
      </c>
      <c r="CJ44" s="53">
        <f>IF(Tim!IC46="","",1)</f>
        <v>1</v>
      </c>
      <c r="CK44" s="53" t="str">
        <f>IF(Tim!ID46="","",1)</f>
        <v/>
      </c>
      <c r="CL44" s="53" t="str">
        <f>IF(Tim!IE46="","",1)</f>
        <v/>
      </c>
      <c r="CM44" s="53" t="str">
        <f>IF(Tim!IF46="","",1)</f>
        <v/>
      </c>
      <c r="CN44" s="53" t="str">
        <f>IF(Tim!IG46="","",1)</f>
        <v/>
      </c>
      <c r="CO44" s="53" t="str">
        <f>IF(Tim!IH46="","",1)</f>
        <v/>
      </c>
      <c r="CP44" s="53" t="str">
        <f>IF(Tim!II46="","",1)</f>
        <v/>
      </c>
      <c r="CQ44" s="54" t="str">
        <f>IF(Tim!IJ46="","",1)</f>
        <v/>
      </c>
      <c r="CR44" s="56">
        <f>IF(Tim!JN46="","",1)</f>
        <v>1</v>
      </c>
      <c r="CS44" s="53" t="str">
        <f>IF(Tim!JO46="","",1)</f>
        <v/>
      </c>
      <c r="CT44" s="53" t="str">
        <f>IF(Tim!JP46="","",1)</f>
        <v/>
      </c>
      <c r="CU44" s="53" t="str">
        <f>IF(Tim!JQ46="","",1)</f>
        <v/>
      </c>
      <c r="CV44" s="53" t="str">
        <f>IF(Tim!JR46="","",1)</f>
        <v/>
      </c>
      <c r="CW44" s="53" t="str">
        <f>IF(Tim!JS46="","",1)</f>
        <v/>
      </c>
      <c r="CX44" s="53" t="str">
        <f>IF(Tim!JT46="","",1)</f>
        <v/>
      </c>
      <c r="CY44" s="53" t="str">
        <f>IF(Tim!JU46="","",1)</f>
        <v/>
      </c>
      <c r="CZ44" s="53" t="str">
        <f>IF(Tim!JV46="","",1)</f>
        <v/>
      </c>
      <c r="DA44" s="53" t="str">
        <f>IF(Tim!JW46="","",1)</f>
        <v/>
      </c>
      <c r="DB44" s="53" t="str">
        <f>IF(Tim!JX46="","",1)</f>
        <v/>
      </c>
      <c r="DC44" s="53" t="str">
        <f>IF(Tim!JY46="","",1)</f>
        <v/>
      </c>
      <c r="DD44" s="53" t="str">
        <f>IF(Tim!JZ46="","",1)</f>
        <v/>
      </c>
      <c r="DE44" s="53" t="str">
        <f>IF(Tim!KA46="","",1)</f>
        <v/>
      </c>
      <c r="DF44" s="55" t="str">
        <f>IF(Tim!KB46="","",1)</f>
        <v/>
      </c>
      <c r="DG44" s="52">
        <v>0.69791666666666596</v>
      </c>
    </row>
    <row r="45" spans="2:111" ht="10.5" customHeight="1">
      <c r="B45" s="51">
        <v>0.25</v>
      </c>
      <c r="C45" s="51">
        <v>0.25</v>
      </c>
      <c r="D45" s="51">
        <v>0.25</v>
      </c>
      <c r="E45" s="172">
        <v>0.70833333333333204</v>
      </c>
      <c r="F45" s="56">
        <f>IF(Tim!F47="","",1)</f>
        <v>1</v>
      </c>
      <c r="G45" s="60" t="str">
        <f>IF(Tim!G47="","",1)</f>
        <v/>
      </c>
      <c r="H45" s="60" t="str">
        <f>IF(Tim!H47="","",1)</f>
        <v/>
      </c>
      <c r="I45" s="60" t="str">
        <f>IF(Tim!I47="","",1)</f>
        <v/>
      </c>
      <c r="J45" s="60" t="str">
        <f>IF(Tim!J47="","",1)</f>
        <v/>
      </c>
      <c r="K45" s="60" t="str">
        <f>IF(Tim!K47="","",1)</f>
        <v/>
      </c>
      <c r="L45" s="60" t="str">
        <f>IF(Tim!L47="","",1)</f>
        <v/>
      </c>
      <c r="M45" s="60" t="str">
        <f>IF(Tim!M47="","",1)</f>
        <v/>
      </c>
      <c r="N45" s="60" t="str">
        <f>IF(Tim!N47="","",1)</f>
        <v/>
      </c>
      <c r="O45" s="60" t="str">
        <f>IF(Tim!O47="","",1)</f>
        <v/>
      </c>
      <c r="P45" s="60" t="str">
        <f>IF(Tim!P47="","",1)</f>
        <v/>
      </c>
      <c r="Q45" s="60" t="str">
        <f>IF(Tim!Q47="","",1)</f>
        <v/>
      </c>
      <c r="R45" s="60" t="str">
        <f>IF(Tim!R47="","",1)</f>
        <v/>
      </c>
      <c r="S45" s="60" t="str">
        <f>IF(Tim!S47="","",1)</f>
        <v/>
      </c>
      <c r="T45" s="60" t="str">
        <f>IF(Tim!T47="","",1)</f>
        <v/>
      </c>
      <c r="U45" s="56">
        <f>IF(Tim!AY47="","",1)</f>
        <v>1</v>
      </c>
      <c r="V45" s="60" t="str">
        <f>IF(Tim!AZ47="","",1)</f>
        <v/>
      </c>
      <c r="W45" s="60" t="str">
        <f>IF(Tim!BA47="","",1)</f>
        <v/>
      </c>
      <c r="X45" s="60" t="str">
        <f>IF(Tim!BB47="","",1)</f>
        <v/>
      </c>
      <c r="Y45" s="60" t="str">
        <f>IF(Tim!BC47="","",1)</f>
        <v/>
      </c>
      <c r="Z45" s="60" t="str">
        <f>IF(Tim!BD47="","",1)</f>
        <v/>
      </c>
      <c r="AA45" s="60" t="str">
        <f>IF(Tim!BE47="","",1)</f>
        <v/>
      </c>
      <c r="AB45" s="60" t="str">
        <f>IF(Tim!BF47="","",1)</f>
        <v/>
      </c>
      <c r="AC45" s="60" t="str">
        <f>IF(Tim!BG47="","",1)</f>
        <v/>
      </c>
      <c r="AD45" s="60" t="str">
        <f>IF(Tim!BH47="","",1)</f>
        <v/>
      </c>
      <c r="AE45" s="60" t="str">
        <f>IF(Tim!BI47="","",1)</f>
        <v/>
      </c>
      <c r="AF45" s="60">
        <f>IF(Tim!BJ47="","",1)</f>
        <v>1</v>
      </c>
      <c r="AG45" s="60" t="str">
        <f>IF(Tim!BK47="","",1)</f>
        <v/>
      </c>
      <c r="AH45" s="60" t="str">
        <f>IF(Tim!BL47="","",1)</f>
        <v/>
      </c>
      <c r="AI45" s="60" t="str">
        <f>IF(Tim!BM47="","",1)</f>
        <v/>
      </c>
      <c r="AJ45" s="56">
        <f>IF(Tim!CQ47="","",1)</f>
        <v>1</v>
      </c>
      <c r="AK45" s="60" t="str">
        <f>IF(Tim!CR47="","",1)</f>
        <v/>
      </c>
      <c r="AL45" s="60" t="str">
        <f>IF(Tim!CS47="","",1)</f>
        <v/>
      </c>
      <c r="AM45" s="60" t="str">
        <f>IF(Tim!CT47="","",1)</f>
        <v/>
      </c>
      <c r="AN45" s="60" t="str">
        <f>IF(Tim!CU47="","",1)</f>
        <v/>
      </c>
      <c r="AO45" s="60" t="str">
        <f>IF(Tim!CV47="","",1)</f>
        <v/>
      </c>
      <c r="AP45" s="60" t="str">
        <f>IF(Tim!CW47="","",1)</f>
        <v/>
      </c>
      <c r="AQ45" s="60" t="str">
        <f>IF(Tim!CX47="","",1)</f>
        <v/>
      </c>
      <c r="AR45" s="60" t="str">
        <f>IF(Tim!CY47="","",1)</f>
        <v/>
      </c>
      <c r="AS45" s="60" t="str">
        <f>IF(Tim!CZ47="","",1)</f>
        <v/>
      </c>
      <c r="AT45" s="60" t="str">
        <f>IF(Tim!DA47="","",1)</f>
        <v/>
      </c>
      <c r="AU45" s="60" t="str">
        <f>IF(Tim!DB47="","",1)</f>
        <v/>
      </c>
      <c r="AV45" s="60" t="str">
        <f>IF(Tim!DC47="","",1)</f>
        <v/>
      </c>
      <c r="AW45" s="60" t="str">
        <f>IF(Tim!DD47="","",1)</f>
        <v/>
      </c>
      <c r="AX45" s="60" t="str">
        <f>IF(Tim!DE47="","",1)</f>
        <v/>
      </c>
      <c r="AY45" s="56">
        <f>IF(Tim!EL47="","",1)</f>
        <v>1</v>
      </c>
      <c r="AZ45" s="60" t="str">
        <f>IF(Tim!EM47="","",1)</f>
        <v/>
      </c>
      <c r="BA45" s="60" t="str">
        <f>IF(Tim!EN47="","",1)</f>
        <v/>
      </c>
      <c r="BB45" s="60" t="str">
        <f>IF(Tim!EO47="","",1)</f>
        <v/>
      </c>
      <c r="BC45" s="60" t="str">
        <f>IF(Tim!EP47="","",1)</f>
        <v/>
      </c>
      <c r="BD45" s="60" t="str">
        <f>IF(Tim!EQ47="","",1)</f>
        <v/>
      </c>
      <c r="BE45" s="60" t="str">
        <f>IF(Tim!ER47="","",1)</f>
        <v/>
      </c>
      <c r="BF45" s="60" t="str">
        <f>IF(Tim!ES47="","",1)</f>
        <v/>
      </c>
      <c r="BG45" s="60" t="str">
        <f>IF(Tim!ET47="","",1)</f>
        <v/>
      </c>
      <c r="BH45" s="60" t="str">
        <f>IF(Tim!EU47="","",1)</f>
        <v/>
      </c>
      <c r="BI45" s="60" t="str">
        <f>IF(Tim!EV47="","",1)</f>
        <v/>
      </c>
      <c r="BJ45" s="60" t="str">
        <f>IF(Tim!EW47="","",1)</f>
        <v/>
      </c>
      <c r="BK45" s="60" t="str">
        <f>IF(Tim!EX47="","",1)</f>
        <v/>
      </c>
      <c r="BL45" s="60" t="str">
        <f>IF(Tim!EY47="","",1)</f>
        <v/>
      </c>
      <c r="BM45" s="60" t="str">
        <f>IF(Tim!EZ47="","",1)</f>
        <v/>
      </c>
      <c r="BN45" s="56">
        <f>IF(Tim!GD47="","",1)</f>
        <v>1</v>
      </c>
      <c r="BO45" s="60" t="str">
        <f>IF(Tim!GE47="","",1)</f>
        <v/>
      </c>
      <c r="BP45" s="60" t="str">
        <f>IF(Tim!GF47="","",1)</f>
        <v/>
      </c>
      <c r="BQ45" s="60" t="str">
        <f>IF(Tim!GG47="","",1)</f>
        <v/>
      </c>
      <c r="BR45" s="60" t="str">
        <f>IF(Tim!GH47="","",1)</f>
        <v/>
      </c>
      <c r="BS45" s="60" t="str">
        <f>IF(Tim!GI47="","",1)</f>
        <v/>
      </c>
      <c r="BT45" s="60" t="str">
        <f>IF(Tim!GJ47="","",1)</f>
        <v/>
      </c>
      <c r="BU45" s="60">
        <f>IF(Tim!GK47="","",1)</f>
        <v>1</v>
      </c>
      <c r="BV45" s="60" t="str">
        <f>IF(Tim!GL47="","",1)</f>
        <v/>
      </c>
      <c r="BW45" s="60" t="str">
        <f>IF(Tim!GM47="","",1)</f>
        <v/>
      </c>
      <c r="BX45" s="60" t="str">
        <f>IF(Tim!GN47="","",1)</f>
        <v/>
      </c>
      <c r="BY45" s="60" t="str">
        <f>IF(Tim!GO47="","",1)</f>
        <v/>
      </c>
      <c r="BZ45" s="60" t="str">
        <f>IF(Tim!GP47="","",1)</f>
        <v/>
      </c>
      <c r="CA45" s="60" t="str">
        <f>IF(Tim!GQ47="","",1)</f>
        <v/>
      </c>
      <c r="CB45" s="60" t="str">
        <f>IF(Tim!GR47="","",1)</f>
        <v/>
      </c>
      <c r="CC45" s="56">
        <f>IF(Tim!HV47="","",1)</f>
        <v>1</v>
      </c>
      <c r="CD45" s="53" t="str">
        <f>IF(Tim!HW47="","",1)</f>
        <v/>
      </c>
      <c r="CE45" s="53" t="str">
        <f>IF(Tim!HX47="","",1)</f>
        <v/>
      </c>
      <c r="CF45" s="53" t="str">
        <f>IF(Tim!HY47="","",1)</f>
        <v/>
      </c>
      <c r="CG45" s="53" t="str">
        <f>IF(Tim!HZ47="","",1)</f>
        <v/>
      </c>
      <c r="CH45" s="53" t="str">
        <f>IF(Tim!IA47="","",1)</f>
        <v/>
      </c>
      <c r="CI45" s="53" t="str">
        <f>IF(Tim!IB47="","",1)</f>
        <v/>
      </c>
      <c r="CJ45" s="53">
        <f>IF(Tim!IC47="","",1)</f>
        <v>1</v>
      </c>
      <c r="CK45" s="53" t="str">
        <f>IF(Tim!ID47="","",1)</f>
        <v/>
      </c>
      <c r="CL45" s="53" t="str">
        <f>IF(Tim!IE47="","",1)</f>
        <v/>
      </c>
      <c r="CM45" s="53" t="str">
        <f>IF(Tim!IF47="","",1)</f>
        <v/>
      </c>
      <c r="CN45" s="53" t="str">
        <f>IF(Tim!IG47="","",1)</f>
        <v/>
      </c>
      <c r="CO45" s="53" t="str">
        <f>IF(Tim!IH47="","",1)</f>
        <v/>
      </c>
      <c r="CP45" s="53" t="str">
        <f>IF(Tim!II47="","",1)</f>
        <v/>
      </c>
      <c r="CQ45" s="54" t="str">
        <f>IF(Tim!IJ47="","",1)</f>
        <v/>
      </c>
      <c r="CR45" s="56">
        <f>IF(Tim!JN47="","",1)</f>
        <v>1</v>
      </c>
      <c r="CS45" s="53" t="str">
        <f>IF(Tim!JO47="","",1)</f>
        <v/>
      </c>
      <c r="CT45" s="53" t="str">
        <f>IF(Tim!JP47="","",1)</f>
        <v/>
      </c>
      <c r="CU45" s="53" t="str">
        <f>IF(Tim!JQ47="","",1)</f>
        <v/>
      </c>
      <c r="CV45" s="53" t="str">
        <f>IF(Tim!JR47="","",1)</f>
        <v/>
      </c>
      <c r="CW45" s="53" t="str">
        <f>IF(Tim!JS47="","",1)</f>
        <v/>
      </c>
      <c r="CX45" s="53" t="str">
        <f>IF(Tim!JT47="","",1)</f>
        <v/>
      </c>
      <c r="CY45" s="53" t="str">
        <f>IF(Tim!JU47="","",1)</f>
        <v/>
      </c>
      <c r="CZ45" s="53" t="str">
        <f>IF(Tim!JV47="","",1)</f>
        <v/>
      </c>
      <c r="DA45" s="53" t="str">
        <f>IF(Tim!JW47="","",1)</f>
        <v/>
      </c>
      <c r="DB45" s="53" t="str">
        <f>IF(Tim!JX47="","",1)</f>
        <v/>
      </c>
      <c r="DC45" s="53" t="str">
        <f>IF(Tim!JY47="","",1)</f>
        <v/>
      </c>
      <c r="DD45" s="53" t="str">
        <f>IF(Tim!JZ47="","",1)</f>
        <v/>
      </c>
      <c r="DE45" s="53" t="str">
        <f>IF(Tim!KA47="","",1)</f>
        <v/>
      </c>
      <c r="DF45" s="55" t="str">
        <f>IF(Tim!KB47="","",1)</f>
        <v/>
      </c>
      <c r="DG45" s="52">
        <v>0.70833333333333204</v>
      </c>
    </row>
    <row r="46" spans="2:111" ht="10.5" customHeight="1">
      <c r="B46" s="51">
        <v>0.25</v>
      </c>
      <c r="C46" s="51">
        <v>0.25</v>
      </c>
      <c r="D46" s="51">
        <v>0.25</v>
      </c>
      <c r="E46" s="172">
        <v>0.718749999999999</v>
      </c>
      <c r="F46" s="56">
        <f>IF(Tim!F48="","",1)</f>
        <v>1</v>
      </c>
      <c r="G46" s="60" t="str">
        <f>IF(Tim!G48="","",1)</f>
        <v/>
      </c>
      <c r="H46" s="60" t="str">
        <f>IF(Tim!H48="","",1)</f>
        <v/>
      </c>
      <c r="I46" s="60" t="str">
        <f>IF(Tim!I48="","",1)</f>
        <v/>
      </c>
      <c r="J46" s="60" t="str">
        <f>IF(Tim!J48="","",1)</f>
        <v/>
      </c>
      <c r="K46" s="60" t="str">
        <f>IF(Tim!K48="","",1)</f>
        <v/>
      </c>
      <c r="L46" s="60" t="str">
        <f>IF(Tim!L48="","",1)</f>
        <v/>
      </c>
      <c r="M46" s="60" t="str">
        <f>IF(Tim!M48="","",1)</f>
        <v/>
      </c>
      <c r="N46" s="60" t="str">
        <f>IF(Tim!N48="","",1)</f>
        <v/>
      </c>
      <c r="O46" s="60" t="str">
        <f>IF(Tim!O48="","",1)</f>
        <v/>
      </c>
      <c r="P46" s="60" t="str">
        <f>IF(Tim!P48="","",1)</f>
        <v/>
      </c>
      <c r="Q46" s="60" t="str">
        <f>IF(Tim!Q48="","",1)</f>
        <v/>
      </c>
      <c r="R46" s="60" t="str">
        <f>IF(Tim!R48="","",1)</f>
        <v/>
      </c>
      <c r="S46" s="60" t="str">
        <f>IF(Tim!S48="","",1)</f>
        <v/>
      </c>
      <c r="T46" s="60" t="str">
        <f>IF(Tim!T48="","",1)</f>
        <v/>
      </c>
      <c r="U46" s="56">
        <f>IF(Tim!AY48="","",1)</f>
        <v>1</v>
      </c>
      <c r="V46" s="60" t="str">
        <f>IF(Tim!AZ48="","",1)</f>
        <v/>
      </c>
      <c r="W46" s="60" t="str">
        <f>IF(Tim!BA48="","",1)</f>
        <v/>
      </c>
      <c r="X46" s="60" t="str">
        <f>IF(Tim!BB48="","",1)</f>
        <v/>
      </c>
      <c r="Y46" s="60" t="str">
        <f>IF(Tim!BC48="","",1)</f>
        <v/>
      </c>
      <c r="Z46" s="60" t="str">
        <f>IF(Tim!BD48="","",1)</f>
        <v/>
      </c>
      <c r="AA46" s="60" t="str">
        <f>IF(Tim!BE48="","",1)</f>
        <v/>
      </c>
      <c r="AB46" s="60" t="str">
        <f>IF(Tim!BF48="","",1)</f>
        <v/>
      </c>
      <c r="AC46" s="60" t="str">
        <f>IF(Tim!BG48="","",1)</f>
        <v/>
      </c>
      <c r="AD46" s="60" t="str">
        <f>IF(Tim!BH48="","",1)</f>
        <v/>
      </c>
      <c r="AE46" s="60" t="str">
        <f>IF(Tim!BI48="","",1)</f>
        <v/>
      </c>
      <c r="AF46" s="60">
        <f>IF(Tim!BJ48="","",1)</f>
        <v>1</v>
      </c>
      <c r="AG46" s="60" t="str">
        <f>IF(Tim!BK48="","",1)</f>
        <v/>
      </c>
      <c r="AH46" s="60" t="str">
        <f>IF(Tim!BL48="","",1)</f>
        <v/>
      </c>
      <c r="AI46" s="60" t="str">
        <f>IF(Tim!BM48="","",1)</f>
        <v/>
      </c>
      <c r="AJ46" s="56">
        <f>IF(Tim!CQ48="","",1)</f>
        <v>1</v>
      </c>
      <c r="AK46" s="60" t="str">
        <f>IF(Tim!CR48="","",1)</f>
        <v/>
      </c>
      <c r="AL46" s="60" t="str">
        <f>IF(Tim!CS48="","",1)</f>
        <v/>
      </c>
      <c r="AM46" s="60" t="str">
        <f>IF(Tim!CT48="","",1)</f>
        <v/>
      </c>
      <c r="AN46" s="60" t="str">
        <f>IF(Tim!CU48="","",1)</f>
        <v/>
      </c>
      <c r="AO46" s="60" t="str">
        <f>IF(Tim!CV48="","",1)</f>
        <v/>
      </c>
      <c r="AP46" s="60" t="str">
        <f>IF(Tim!CW48="","",1)</f>
        <v/>
      </c>
      <c r="AQ46" s="60" t="str">
        <f>IF(Tim!CX48="","",1)</f>
        <v/>
      </c>
      <c r="AR46" s="60" t="str">
        <f>IF(Tim!CY48="","",1)</f>
        <v/>
      </c>
      <c r="AS46" s="60" t="str">
        <f>IF(Tim!CZ48="","",1)</f>
        <v/>
      </c>
      <c r="AT46" s="60" t="str">
        <f>IF(Tim!DA48="","",1)</f>
        <v/>
      </c>
      <c r="AU46" s="60" t="str">
        <f>IF(Tim!DB48="","",1)</f>
        <v/>
      </c>
      <c r="AV46" s="60" t="str">
        <f>IF(Tim!DC48="","",1)</f>
        <v/>
      </c>
      <c r="AW46" s="60" t="str">
        <f>IF(Tim!DD48="","",1)</f>
        <v/>
      </c>
      <c r="AX46" s="60" t="str">
        <f>IF(Tim!DE48="","",1)</f>
        <v/>
      </c>
      <c r="AY46" s="56">
        <f>IF(Tim!EL48="","",1)</f>
        <v>1</v>
      </c>
      <c r="AZ46" s="60" t="str">
        <f>IF(Tim!EM48="","",1)</f>
        <v/>
      </c>
      <c r="BA46" s="60" t="str">
        <f>IF(Tim!EN48="","",1)</f>
        <v/>
      </c>
      <c r="BB46" s="60" t="str">
        <f>IF(Tim!EO48="","",1)</f>
        <v/>
      </c>
      <c r="BC46" s="60" t="str">
        <f>IF(Tim!EP48="","",1)</f>
        <v/>
      </c>
      <c r="BD46" s="60" t="str">
        <f>IF(Tim!EQ48="","",1)</f>
        <v/>
      </c>
      <c r="BE46" s="60" t="str">
        <f>IF(Tim!ER48="","",1)</f>
        <v/>
      </c>
      <c r="BF46" s="60" t="str">
        <f>IF(Tim!ES48="","",1)</f>
        <v/>
      </c>
      <c r="BG46" s="60" t="str">
        <f>IF(Tim!ET48="","",1)</f>
        <v/>
      </c>
      <c r="BH46" s="60" t="str">
        <f>IF(Tim!EU48="","",1)</f>
        <v/>
      </c>
      <c r="BI46" s="60" t="str">
        <f>IF(Tim!EV44="","",1)</f>
        <v/>
      </c>
      <c r="BJ46" s="60" t="str">
        <f>IF(Tim!EW48="","",1)</f>
        <v/>
      </c>
      <c r="BK46" s="60" t="str">
        <f>IF(Tim!EX48="","",1)</f>
        <v/>
      </c>
      <c r="BL46" s="60" t="str">
        <f>IF(Tim!EY48="","",1)</f>
        <v/>
      </c>
      <c r="BM46" s="60" t="str">
        <f>IF(Tim!EZ48="","",1)</f>
        <v/>
      </c>
      <c r="BN46" s="56">
        <f>IF(Tim!GD48="","",1)</f>
        <v>1</v>
      </c>
      <c r="BO46" s="60">
        <f>IF(Tim!GE48="","",1)</f>
        <v>1</v>
      </c>
      <c r="BP46" s="60" t="str">
        <f>IF(Tim!GF48="","",1)</f>
        <v/>
      </c>
      <c r="BQ46" s="60" t="str">
        <f>IF(Tim!GG48="","",1)</f>
        <v/>
      </c>
      <c r="BR46" s="60" t="str">
        <f>IF(Tim!GH48="","",1)</f>
        <v/>
      </c>
      <c r="BS46" s="60" t="str">
        <f>IF(Tim!GI48="","",1)</f>
        <v/>
      </c>
      <c r="BT46" s="60" t="str">
        <f>IF(Tim!GJ48="","",1)</f>
        <v/>
      </c>
      <c r="BU46" s="60">
        <f>IF(Tim!GK48="","",1)</f>
        <v>1</v>
      </c>
      <c r="BV46" s="60" t="str">
        <f>IF(Tim!GL48="","",1)</f>
        <v/>
      </c>
      <c r="BW46" s="60" t="str">
        <f>IF(Tim!GM48="","",1)</f>
        <v/>
      </c>
      <c r="BX46" s="60" t="str">
        <f>IF(Tim!GN48="","",1)</f>
        <v/>
      </c>
      <c r="BY46" s="60" t="str">
        <f>IF(Tim!GO48="","",1)</f>
        <v/>
      </c>
      <c r="BZ46" s="60" t="str">
        <f>IF(Tim!GP48="","",1)</f>
        <v/>
      </c>
      <c r="CA46" s="60" t="str">
        <f>IF(Tim!GQ48="","",1)</f>
        <v/>
      </c>
      <c r="CB46" s="60" t="str">
        <f>IF(Tim!GR48="","",1)</f>
        <v/>
      </c>
      <c r="CC46" s="56">
        <f>IF(Tim!HV48="","",1)</f>
        <v>1</v>
      </c>
      <c r="CD46" s="53" t="str">
        <f>IF(Tim!HW48="","",1)</f>
        <v/>
      </c>
      <c r="CE46" s="53" t="str">
        <f>IF(Tim!HX48="","",1)</f>
        <v/>
      </c>
      <c r="CF46" s="53" t="str">
        <f>IF(Tim!HY48="","",1)</f>
        <v/>
      </c>
      <c r="CG46" s="53" t="str">
        <f>IF(Tim!HZ48="","",1)</f>
        <v/>
      </c>
      <c r="CH46" s="53" t="str">
        <f>IF(Tim!IA48="","",1)</f>
        <v/>
      </c>
      <c r="CI46" s="53" t="str">
        <f>IF(Tim!IB48="","",1)</f>
        <v/>
      </c>
      <c r="CJ46" s="53">
        <f>IF(Tim!IC48="","",1)</f>
        <v>1</v>
      </c>
      <c r="CK46" s="53" t="str">
        <f>IF(Tim!ID48="","",1)</f>
        <v/>
      </c>
      <c r="CL46" s="53" t="str">
        <f>IF(Tim!IE48="","",1)</f>
        <v/>
      </c>
      <c r="CM46" s="53" t="str">
        <f>IF(Tim!IF48="","",1)</f>
        <v/>
      </c>
      <c r="CN46" s="53" t="str">
        <f>IF(Tim!IG48="","",1)</f>
        <v/>
      </c>
      <c r="CO46" s="53" t="str">
        <f>IF(Tim!IH48="","",1)</f>
        <v/>
      </c>
      <c r="CP46" s="53" t="str">
        <f>IF(Tim!II48="","",1)</f>
        <v/>
      </c>
      <c r="CQ46" s="54" t="str">
        <f>IF(Tim!IJ48="","",1)</f>
        <v/>
      </c>
      <c r="CR46" s="56">
        <f>IF(Tim!JN48="","",1)</f>
        <v>1</v>
      </c>
      <c r="CS46" s="53" t="str">
        <f>IF(Tim!JO48="","",1)</f>
        <v/>
      </c>
      <c r="CT46" s="53" t="str">
        <f>IF(Tim!JP48="","",1)</f>
        <v/>
      </c>
      <c r="CU46" s="53" t="str">
        <f>IF(Tim!JQ48="","",1)</f>
        <v/>
      </c>
      <c r="CV46" s="53" t="str">
        <f>IF(Tim!JR48="","",1)</f>
        <v/>
      </c>
      <c r="CW46" s="53" t="str">
        <f>IF(Tim!JS48="","",1)</f>
        <v/>
      </c>
      <c r="CX46" s="53" t="str">
        <f>IF(Tim!JT48="","",1)</f>
        <v/>
      </c>
      <c r="CY46" s="53" t="str">
        <f>IF(Tim!JU48="","",1)</f>
        <v/>
      </c>
      <c r="CZ46" s="53" t="str">
        <f>IF(Tim!JV48="","",1)</f>
        <v/>
      </c>
      <c r="DA46" s="53" t="str">
        <f>IF(Tim!JW48="","",1)</f>
        <v/>
      </c>
      <c r="DB46" s="53" t="str">
        <f>IF(Tim!JX48="","",1)</f>
        <v/>
      </c>
      <c r="DC46" s="53" t="str">
        <f>IF(Tim!JY48="","",1)</f>
        <v/>
      </c>
      <c r="DD46" s="53" t="str">
        <f>IF(Tim!JZ48="","",1)</f>
        <v/>
      </c>
      <c r="DE46" s="53" t="str">
        <f>IF(Tim!KA48="","",1)</f>
        <v/>
      </c>
      <c r="DF46" s="55" t="str">
        <f>IF(Tim!KB48="","",1)</f>
        <v/>
      </c>
      <c r="DG46" s="52">
        <v>0.718749999999999</v>
      </c>
    </row>
    <row r="47" spans="2:111" ht="10.5" customHeight="1">
      <c r="B47" s="51">
        <v>0.25</v>
      </c>
      <c r="C47" s="51">
        <v>0.25</v>
      </c>
      <c r="D47" s="51">
        <v>0.25</v>
      </c>
      <c r="E47" s="172">
        <v>0.72916666666666496</v>
      </c>
      <c r="F47" s="56">
        <f>IF(Tim!F49="","",1)</f>
        <v>1</v>
      </c>
      <c r="G47" s="60" t="str">
        <f>IF(Tim!G49="","",1)</f>
        <v/>
      </c>
      <c r="H47" s="60" t="str">
        <f>IF(Tim!H49="","",1)</f>
        <v/>
      </c>
      <c r="I47" s="60" t="str">
        <f>IF(Tim!I49="","",1)</f>
        <v/>
      </c>
      <c r="J47" s="60" t="str">
        <f>IF(Tim!J49="","",1)</f>
        <v/>
      </c>
      <c r="K47" s="60" t="str">
        <f>IF(Tim!K49="","",1)</f>
        <v/>
      </c>
      <c r="L47" s="60" t="str">
        <f>IF(Tim!L49="","",1)</f>
        <v/>
      </c>
      <c r="M47" s="60" t="str">
        <f>IF(Tim!M49="","",1)</f>
        <v/>
      </c>
      <c r="N47" s="60" t="str">
        <f>IF(Tim!N49="","",1)</f>
        <v/>
      </c>
      <c r="O47" s="60" t="str">
        <f>IF(Tim!O49="","",1)</f>
        <v/>
      </c>
      <c r="P47" s="60" t="str">
        <f>IF(Tim!P49="","",1)</f>
        <v/>
      </c>
      <c r="Q47" s="60">
        <f>IF(Tim!Q49="","",1)</f>
        <v>1</v>
      </c>
      <c r="R47" s="60" t="str">
        <f>IF(Tim!R49="","",1)</f>
        <v/>
      </c>
      <c r="S47" s="60" t="str">
        <f>IF(Tim!S49="","",1)</f>
        <v/>
      </c>
      <c r="T47" s="60" t="str">
        <f>IF(Tim!T49="","",1)</f>
        <v/>
      </c>
      <c r="U47" s="56">
        <f>IF(Tim!AY49="","",1)</f>
        <v>1</v>
      </c>
      <c r="V47" s="60" t="str">
        <f>IF(Tim!AZ49="","",1)</f>
        <v/>
      </c>
      <c r="W47" s="60" t="str">
        <f>IF(Tim!BA49="","",1)</f>
        <v/>
      </c>
      <c r="X47" s="60" t="str">
        <f>IF(Tim!BB49="","",1)</f>
        <v/>
      </c>
      <c r="Y47" s="60" t="str">
        <f>IF(Tim!BC49="","",1)</f>
        <v/>
      </c>
      <c r="Z47" s="60" t="str">
        <f>IF(Tim!BD49="","",1)</f>
        <v/>
      </c>
      <c r="AA47" s="60" t="str">
        <f>IF(Tim!BE49="","",1)</f>
        <v/>
      </c>
      <c r="AB47" s="60">
        <f>IF(Tim!BF49="","",1)</f>
        <v>1</v>
      </c>
      <c r="AC47" s="60" t="str">
        <f>IF(Tim!BG49="","",1)</f>
        <v/>
      </c>
      <c r="AD47" s="60" t="str">
        <f>IF(Tim!BH49="","",1)</f>
        <v/>
      </c>
      <c r="AE47" s="60" t="str">
        <f>IF(Tim!BI49="","",1)</f>
        <v/>
      </c>
      <c r="AF47" s="60" t="str">
        <f>IF(Tim!BJ49="","",1)</f>
        <v/>
      </c>
      <c r="AG47" s="60" t="str">
        <f>IF(Tim!BK49="","",1)</f>
        <v/>
      </c>
      <c r="AH47" s="60" t="str">
        <f>IF(Tim!BL49="","",1)</f>
        <v/>
      </c>
      <c r="AI47" s="60" t="str">
        <f>IF(Tim!BM49="","",1)</f>
        <v/>
      </c>
      <c r="AJ47" s="56">
        <f>IF(Tim!CQ49="","",1)</f>
        <v>1</v>
      </c>
      <c r="AK47" s="60" t="str">
        <f>IF(Tim!CR49="","",1)</f>
        <v/>
      </c>
      <c r="AL47" s="60" t="str">
        <f>IF(Tim!CS49="","",1)</f>
        <v/>
      </c>
      <c r="AM47" s="60" t="str">
        <f>IF(Tim!CT49="","",1)</f>
        <v/>
      </c>
      <c r="AN47" s="60" t="str">
        <f>IF(Tim!CU49="","",1)</f>
        <v/>
      </c>
      <c r="AO47" s="60" t="str">
        <f>IF(Tim!CV49="","",1)</f>
        <v/>
      </c>
      <c r="AP47" s="60" t="str">
        <f>IF(Tim!CW49="","",1)</f>
        <v/>
      </c>
      <c r="AQ47" s="60" t="str">
        <f>IF(Tim!CX49="","",1)</f>
        <v/>
      </c>
      <c r="AR47" s="60" t="str">
        <f>IF(Tim!CY49="","",1)</f>
        <v/>
      </c>
      <c r="AS47" s="60" t="str">
        <f>IF(Tim!CZ49="","",1)</f>
        <v/>
      </c>
      <c r="AT47" s="60" t="str">
        <f>IF(Tim!DA49="","",1)</f>
        <v/>
      </c>
      <c r="AU47" s="60" t="str">
        <f>IF(Tim!DB49="","",1)</f>
        <v/>
      </c>
      <c r="AV47" s="60">
        <f>IF(Tim!DC49="","",1)</f>
        <v>1</v>
      </c>
      <c r="AW47" s="60" t="str">
        <f>IF(Tim!DD49="","",1)</f>
        <v/>
      </c>
      <c r="AX47" s="60" t="str">
        <f>IF(Tim!DE49="","",1)</f>
        <v/>
      </c>
      <c r="AY47" s="56">
        <f>IF(Tim!EL49="","",1)</f>
        <v>1</v>
      </c>
      <c r="AZ47" s="60" t="str">
        <f>IF(Tim!EM49="","",1)</f>
        <v/>
      </c>
      <c r="BA47" s="60" t="str">
        <f>IF(Tim!EN49="","",1)</f>
        <v/>
      </c>
      <c r="BB47" s="60" t="str">
        <f>IF(Tim!EO49="","",1)</f>
        <v/>
      </c>
      <c r="BC47" s="60" t="str">
        <f>IF(Tim!EP49="","",1)</f>
        <v/>
      </c>
      <c r="BD47" s="60" t="str">
        <f>IF(Tim!EQ49="","",1)</f>
        <v/>
      </c>
      <c r="BE47" s="60" t="str">
        <f>IF(Tim!ER49="","",1)</f>
        <v/>
      </c>
      <c r="BF47" s="60" t="str">
        <f>IF(Tim!ES49="","",1)</f>
        <v/>
      </c>
      <c r="BG47" s="60" t="str">
        <f>IF(Tim!ET49="","",1)</f>
        <v/>
      </c>
      <c r="BH47" s="60" t="str">
        <f>IF(Tim!EU49="","",1)</f>
        <v/>
      </c>
      <c r="BI47" s="60" t="str">
        <f>IF(Tim!EV49="","",1)</f>
        <v/>
      </c>
      <c r="BJ47" s="60" t="str">
        <f>IF(Tim!EW49="","",1)</f>
        <v/>
      </c>
      <c r="BK47" s="60" t="str">
        <f>IF(Tim!EX49="","",1)</f>
        <v/>
      </c>
      <c r="BL47" s="60" t="str">
        <f>IF(Tim!EY49="","",1)</f>
        <v/>
      </c>
      <c r="BM47" s="60" t="str">
        <f>IF(Tim!EZ49="","",1)</f>
        <v/>
      </c>
      <c r="BN47" s="56">
        <f>IF(Tim!GD49="","",1)</f>
        <v>1</v>
      </c>
      <c r="BO47" s="60" t="str">
        <f>IF(Tim!GE49="","",1)</f>
        <v/>
      </c>
      <c r="BP47" s="60" t="str">
        <f>IF(Tim!GF49="","",1)</f>
        <v/>
      </c>
      <c r="BQ47" s="60" t="str">
        <f>IF(Tim!GG49="","",1)</f>
        <v/>
      </c>
      <c r="BR47" s="60" t="str">
        <f>IF(Tim!GH49="","",1)</f>
        <v/>
      </c>
      <c r="BS47" s="60" t="str">
        <f>IF(Tim!GI49="","",1)</f>
        <v/>
      </c>
      <c r="BT47" s="60" t="str">
        <f>IF(Tim!GJ49="","",1)</f>
        <v/>
      </c>
      <c r="BU47" s="60">
        <f>IF(Tim!GK49="","",1)</f>
        <v>1</v>
      </c>
      <c r="BV47" s="60">
        <f>IF(Tim!GL49="","",1)</f>
        <v>1</v>
      </c>
      <c r="BW47" s="60" t="str">
        <f>IF(Tim!GM49="","",1)</f>
        <v/>
      </c>
      <c r="BX47" s="60" t="str">
        <f>IF(Tim!GN49="","",1)</f>
        <v/>
      </c>
      <c r="BY47" s="60" t="str">
        <f>IF(Tim!GO49="","",1)</f>
        <v/>
      </c>
      <c r="BZ47" s="60" t="str">
        <f>IF(Tim!GP49="","",1)</f>
        <v/>
      </c>
      <c r="CA47" s="60" t="str">
        <f>IF(Tim!GQ49="","",1)</f>
        <v/>
      </c>
      <c r="CB47" s="60" t="str">
        <f>IF(Tim!GR49="","",1)</f>
        <v/>
      </c>
      <c r="CC47" s="56">
        <f>IF(Tim!HV49="","",1)</f>
        <v>1</v>
      </c>
      <c r="CD47" s="53" t="str">
        <f>IF(Tim!HW49="","",1)</f>
        <v/>
      </c>
      <c r="CE47" s="53" t="str">
        <f>IF(Tim!HX49="","",1)</f>
        <v/>
      </c>
      <c r="CF47" s="53" t="str">
        <f>IF(Tim!HY49="","",1)</f>
        <v/>
      </c>
      <c r="CG47" s="53" t="str">
        <f>IF(Tim!HZ49="","",1)</f>
        <v/>
      </c>
      <c r="CH47" s="53" t="str">
        <f>IF(Tim!IA49="","",1)</f>
        <v/>
      </c>
      <c r="CI47" s="53" t="str">
        <f>IF(Tim!IB49="","",1)</f>
        <v/>
      </c>
      <c r="CJ47" s="53" t="str">
        <f>IF(Tim!IC49="","",1)</f>
        <v/>
      </c>
      <c r="CK47" s="53" t="str">
        <f>IF(Tim!ID49="","",1)</f>
        <v/>
      </c>
      <c r="CL47" s="53" t="str">
        <f>IF(Tim!IE49="","",1)</f>
        <v/>
      </c>
      <c r="CM47" s="53" t="str">
        <f>IF(Tim!IF49="","",1)</f>
        <v/>
      </c>
      <c r="CN47" s="53" t="str">
        <f>IF(Tim!IG49="","",1)</f>
        <v/>
      </c>
      <c r="CO47" s="53" t="str">
        <f>IF(Tim!IH49="","",1)</f>
        <v/>
      </c>
      <c r="CP47" s="53" t="str">
        <f>IF(Tim!II49="","",1)</f>
        <v/>
      </c>
      <c r="CQ47" s="54" t="str">
        <f>IF(Tim!IJ49="","",1)</f>
        <v/>
      </c>
      <c r="CR47" s="56">
        <f>IF(Tim!JN49="","",1)</f>
        <v>1</v>
      </c>
      <c r="CS47" s="53" t="str">
        <f>IF(Tim!JO49="","",1)</f>
        <v/>
      </c>
      <c r="CT47" s="53" t="str">
        <f>IF(Tim!JP49="","",1)</f>
        <v/>
      </c>
      <c r="CU47" s="53" t="str">
        <f>IF(Tim!JQ49="","",1)</f>
        <v/>
      </c>
      <c r="CV47" s="53" t="str">
        <f>IF(Tim!JR49="","",1)</f>
        <v/>
      </c>
      <c r="CW47" s="53" t="str">
        <f>IF(Tim!JS49="","",1)</f>
        <v/>
      </c>
      <c r="CX47" s="53" t="str">
        <f>IF(Tim!JT49="","",1)</f>
        <v/>
      </c>
      <c r="CY47" s="53" t="str">
        <f>IF(Tim!JU49="","",1)</f>
        <v/>
      </c>
      <c r="CZ47" s="53" t="str">
        <f>IF(Tim!JV49="","",1)</f>
        <v/>
      </c>
      <c r="DA47" s="53" t="str">
        <f>IF(Tim!JW49="","",1)</f>
        <v/>
      </c>
      <c r="DB47" s="53" t="str">
        <f>IF(Tim!JX49="","",1)</f>
        <v/>
      </c>
      <c r="DC47" s="53" t="str">
        <f>IF(Tim!JY49="","",1)</f>
        <v/>
      </c>
      <c r="DD47" s="53" t="str">
        <f>IF(Tim!JZ49="","",1)</f>
        <v/>
      </c>
      <c r="DE47" s="53" t="str">
        <f>IF(Tim!KA49="","",1)</f>
        <v/>
      </c>
      <c r="DF47" s="55" t="str">
        <f>IF(Tim!KB49="","",1)</f>
        <v/>
      </c>
      <c r="DG47" s="52">
        <v>0.72916666666666496</v>
      </c>
    </row>
    <row r="48" spans="2:111" ht="10.5" customHeight="1" thickBot="1">
      <c r="B48" s="51">
        <v>0.25</v>
      </c>
      <c r="C48" s="51">
        <v>0.25</v>
      </c>
      <c r="D48" s="51">
        <v>0.25</v>
      </c>
      <c r="E48" s="172">
        <v>0.73958333333333204</v>
      </c>
      <c r="F48" s="56">
        <f>IF(Tim!F50="","",1)</f>
        <v>1</v>
      </c>
      <c r="G48" s="60" t="str">
        <f>IF(Tim!G50="","",1)</f>
        <v/>
      </c>
      <c r="H48" s="60" t="str">
        <f>IF(Tim!H50="","",1)</f>
        <v/>
      </c>
      <c r="I48" s="60" t="str">
        <f>IF(Tim!I50="","",1)</f>
        <v/>
      </c>
      <c r="J48" s="60" t="str">
        <f>IF(Tim!J50="","",1)</f>
        <v/>
      </c>
      <c r="K48" s="60" t="str">
        <f>IF(Tim!K50="","",1)</f>
        <v/>
      </c>
      <c r="L48" s="60" t="str">
        <f>IF(Tim!L50="","",1)</f>
        <v/>
      </c>
      <c r="M48" s="60" t="str">
        <f>IF(Tim!M50="","",1)</f>
        <v/>
      </c>
      <c r="N48" s="60" t="str">
        <f>IF(Tim!N50="","",1)</f>
        <v/>
      </c>
      <c r="O48" s="60" t="str">
        <f>IF(Tim!O50="","",1)</f>
        <v/>
      </c>
      <c r="P48" s="60" t="str">
        <f>IF(Tim!P50="","",1)</f>
        <v/>
      </c>
      <c r="Q48" s="60">
        <f>IF(Tim!Q50="","",1)</f>
        <v>1</v>
      </c>
      <c r="R48" s="60" t="str">
        <f>IF(Tim!R50="","",1)</f>
        <v/>
      </c>
      <c r="S48" s="60" t="str">
        <f>IF(Tim!S50="","",1)</f>
        <v/>
      </c>
      <c r="T48" s="60" t="str">
        <f>IF(Tim!T50="","",1)</f>
        <v/>
      </c>
      <c r="U48" s="56">
        <f>IF(Tim!AY50="","",1)</f>
        <v>1</v>
      </c>
      <c r="V48" s="60">
        <f>IF(Tim!AZ50="","",1)</f>
        <v>1</v>
      </c>
      <c r="W48" s="60" t="str">
        <f>IF(Tim!BA50="","",1)</f>
        <v/>
      </c>
      <c r="X48" s="60" t="str">
        <f>IF(Tim!BB50="","",1)</f>
        <v/>
      </c>
      <c r="Y48" s="60" t="str">
        <f>IF(Tim!BC50="","",1)</f>
        <v/>
      </c>
      <c r="Z48" s="60" t="str">
        <f>IF(Tim!BD50="","",1)</f>
        <v/>
      </c>
      <c r="AA48" s="60" t="str">
        <f>IF(Tim!BE50="","",1)</f>
        <v/>
      </c>
      <c r="AB48" s="60">
        <f>IF(Tim!BF50="","",1)</f>
        <v>1</v>
      </c>
      <c r="AC48" s="60" t="str">
        <f>IF(Tim!BG50="","",1)</f>
        <v/>
      </c>
      <c r="AD48" s="60" t="str">
        <f>IF(Tim!BH50="","",1)</f>
        <v/>
      </c>
      <c r="AE48" s="60" t="str">
        <f>IF(Tim!BI50="","",1)</f>
        <v/>
      </c>
      <c r="AF48" s="60" t="str">
        <f>IF(Tim!BJ50="","",1)</f>
        <v/>
      </c>
      <c r="AG48" s="60" t="str">
        <f>IF(Tim!BK50="","",1)</f>
        <v/>
      </c>
      <c r="AH48" s="60" t="str">
        <f>IF(Tim!BL50="","",1)</f>
        <v/>
      </c>
      <c r="AI48" s="60" t="str">
        <f>IF(Tim!BM50="","",1)</f>
        <v/>
      </c>
      <c r="AJ48" s="56">
        <f>IF(Tim!CQ50="","",1)</f>
        <v>1</v>
      </c>
      <c r="AK48" s="60" t="str">
        <f>IF(Tim!CR50="","",1)</f>
        <v/>
      </c>
      <c r="AL48" s="60" t="str">
        <f>IF(Tim!CS50="","",1)</f>
        <v/>
      </c>
      <c r="AM48" s="60" t="str">
        <f>IF(Tim!CT50="","",1)</f>
        <v/>
      </c>
      <c r="AN48" s="60" t="str">
        <f>IF(Tim!CU50="","",1)</f>
        <v/>
      </c>
      <c r="AO48" s="60" t="str">
        <f>IF(Tim!CV50="","",1)</f>
        <v/>
      </c>
      <c r="AP48" s="60" t="str">
        <f>IF(Tim!CW50="","",1)</f>
        <v/>
      </c>
      <c r="AQ48" s="60" t="str">
        <f>IF(Tim!CX50="","",1)</f>
        <v/>
      </c>
      <c r="AR48" s="60" t="str">
        <f>IF(Tim!CY50="","",1)</f>
        <v/>
      </c>
      <c r="AS48" s="60" t="str">
        <f>IF(Tim!CZ50="","",1)</f>
        <v/>
      </c>
      <c r="AT48" s="60" t="str">
        <f>IF(Tim!DA50="","",1)</f>
        <v/>
      </c>
      <c r="AU48" s="60" t="str">
        <f>IF(Tim!DB50="","",1)</f>
        <v/>
      </c>
      <c r="AV48" s="60">
        <f>IF(Tim!DC50="","",1)</f>
        <v>1</v>
      </c>
      <c r="AW48" s="60" t="str">
        <f>IF(Tim!DD50="","",1)</f>
        <v/>
      </c>
      <c r="AX48" s="60" t="str">
        <f>IF(Tim!DE50="","",1)</f>
        <v/>
      </c>
      <c r="AY48" s="56">
        <f>IF(Tim!EL50="","",1)</f>
        <v>1</v>
      </c>
      <c r="AZ48" s="60" t="str">
        <f>IF(Tim!EM50="","",1)</f>
        <v/>
      </c>
      <c r="BA48" s="60" t="str">
        <f>IF(Tim!EN50="","",1)</f>
        <v/>
      </c>
      <c r="BB48" s="60" t="str">
        <f>IF(Tim!EO50="","",1)</f>
        <v/>
      </c>
      <c r="BC48" s="60" t="str">
        <f>IF(Tim!EP50="","",1)</f>
        <v/>
      </c>
      <c r="BD48" s="60" t="str">
        <f>IF(Tim!EQ50="","",1)</f>
        <v/>
      </c>
      <c r="BE48" s="60" t="str">
        <f>IF(Tim!ER50="","",1)</f>
        <v/>
      </c>
      <c r="BF48" s="60" t="str">
        <f>IF(Tim!ES50="","",1)</f>
        <v/>
      </c>
      <c r="BG48" s="60" t="str">
        <f>IF(Tim!ET50="","",1)</f>
        <v/>
      </c>
      <c r="BH48" s="60" t="str">
        <f>IF(Tim!EU50="","",1)</f>
        <v/>
      </c>
      <c r="BI48" s="60" t="str">
        <f>IF(Tim!EV50="","",1)</f>
        <v/>
      </c>
      <c r="BJ48" s="60" t="str">
        <f>IF(Tim!EW50="","",1)</f>
        <v/>
      </c>
      <c r="BK48" s="60" t="str">
        <f>IF(Tim!EX50="","",1)</f>
        <v/>
      </c>
      <c r="BL48" s="60" t="str">
        <f>IF(Tim!EY50="","",1)</f>
        <v/>
      </c>
      <c r="BM48" s="60" t="str">
        <f>IF(Tim!EZ50="","",1)</f>
        <v/>
      </c>
      <c r="BN48" s="56">
        <f>IF(Tim!GD50="","",1)</f>
        <v>1</v>
      </c>
      <c r="BO48" s="60" t="str">
        <f>IF(Tim!GE50="","",1)</f>
        <v/>
      </c>
      <c r="BP48" s="60" t="str">
        <f>IF(Tim!GF50="","",1)</f>
        <v/>
      </c>
      <c r="BQ48" s="60" t="str">
        <f>IF(Tim!GG50="","",1)</f>
        <v/>
      </c>
      <c r="BR48" s="60" t="str">
        <f>IF(Tim!GH50="","",1)</f>
        <v/>
      </c>
      <c r="BS48" s="60" t="str">
        <f>IF(Tim!GI50="","",1)</f>
        <v/>
      </c>
      <c r="BT48" s="60" t="str">
        <f>IF(Tim!GJ50="","",1)</f>
        <v/>
      </c>
      <c r="BU48" s="60">
        <f>IF(Tim!GK50="","",1)</f>
        <v>1</v>
      </c>
      <c r="BV48" s="60">
        <f>IF(Tim!GL50="","",1)</f>
        <v>1</v>
      </c>
      <c r="BW48" s="60" t="str">
        <f>IF(Tim!GM50="","",1)</f>
        <v/>
      </c>
      <c r="BX48" s="60" t="str">
        <f>IF(Tim!GN50="","",1)</f>
        <v/>
      </c>
      <c r="BY48" s="60" t="str">
        <f>IF(Tim!GO50="","",1)</f>
        <v/>
      </c>
      <c r="BZ48" s="60" t="str">
        <f>IF(Tim!GP50="","",1)</f>
        <v/>
      </c>
      <c r="CA48" s="60" t="str">
        <f>IF(Tim!GQ50="","",1)</f>
        <v/>
      </c>
      <c r="CB48" s="60" t="str">
        <f>IF(Tim!GR50="","",1)</f>
        <v/>
      </c>
      <c r="CC48" s="56">
        <f>IF(Tim!HV50="","",1)</f>
        <v>1</v>
      </c>
      <c r="CD48" s="53" t="str">
        <f>IF(Tim!HW50="","",1)</f>
        <v/>
      </c>
      <c r="CE48" s="53" t="str">
        <f>IF(Tim!HX50="","",1)</f>
        <v/>
      </c>
      <c r="CF48" s="53" t="str">
        <f>IF(Tim!HY50="","",1)</f>
        <v/>
      </c>
      <c r="CG48" s="53" t="str">
        <f>IF(Tim!HZ50="","",1)</f>
        <v/>
      </c>
      <c r="CH48" s="53" t="str">
        <f>IF(Tim!IA50="","",1)</f>
        <v/>
      </c>
      <c r="CI48" s="53" t="str">
        <f>IF(Tim!IB50="","",1)</f>
        <v/>
      </c>
      <c r="CJ48" s="53" t="str">
        <f>IF(Tim!IC50="","",1)</f>
        <v/>
      </c>
      <c r="CK48" s="53" t="str">
        <f>IF(Tim!ID50="","",1)</f>
        <v/>
      </c>
      <c r="CL48" s="53" t="str">
        <f>IF(Tim!IE50="","",1)</f>
        <v/>
      </c>
      <c r="CM48" s="53" t="str">
        <f>IF(Tim!IF50="","",1)</f>
        <v/>
      </c>
      <c r="CN48" s="53" t="str">
        <f>IF(Tim!IG50="","",1)</f>
        <v/>
      </c>
      <c r="CO48" s="53" t="str">
        <f>IF(Tim!IH50="","",1)</f>
        <v/>
      </c>
      <c r="CP48" s="53" t="str">
        <f>IF(Tim!II50="","",1)</f>
        <v/>
      </c>
      <c r="CQ48" s="54" t="str">
        <f>IF(Tim!IJ50="","",1)</f>
        <v/>
      </c>
      <c r="CR48" s="73">
        <f>IF(Tim!JN50="","",1)</f>
        <v>1</v>
      </c>
      <c r="CS48" s="70" t="str">
        <f>IF(Tim!JO50="","",1)</f>
        <v/>
      </c>
      <c r="CT48" s="70" t="str">
        <f>IF(Tim!JP50="","",1)</f>
        <v/>
      </c>
      <c r="CU48" s="70" t="str">
        <f>IF(Tim!JQ50="","",1)</f>
        <v/>
      </c>
      <c r="CV48" s="70" t="str">
        <f>IF(Tim!JR50="","",1)</f>
        <v/>
      </c>
      <c r="CW48" s="70" t="str">
        <f>IF(Tim!JS50="","",1)</f>
        <v/>
      </c>
      <c r="CX48" s="70" t="str">
        <f>IF(Tim!JT50="","",1)</f>
        <v/>
      </c>
      <c r="CY48" s="70" t="str">
        <f>IF(Tim!JU50="","",1)</f>
        <v/>
      </c>
      <c r="CZ48" s="70" t="str">
        <f>IF(Tim!JV50="","",1)</f>
        <v/>
      </c>
      <c r="DA48" s="70" t="str">
        <f>IF(Tim!JW50="","",1)</f>
        <v/>
      </c>
      <c r="DB48" s="70" t="str">
        <f>IF(Tim!JX50="","",1)</f>
        <v/>
      </c>
      <c r="DC48" s="70" t="str">
        <f>IF(Tim!JY50="","",1)</f>
        <v/>
      </c>
      <c r="DD48" s="70" t="str">
        <f>IF(Tim!JZ50="","",1)</f>
        <v/>
      </c>
      <c r="DE48" s="70" t="str">
        <f>IF(Tim!KA50="","",1)</f>
        <v/>
      </c>
      <c r="DF48" s="72" t="str">
        <f>IF(Tim!KB50="","",1)</f>
        <v/>
      </c>
      <c r="DG48" s="52">
        <v>0.73958333333333204</v>
      </c>
    </row>
    <row r="49" spans="2:111" ht="10.5" customHeight="1">
      <c r="B49" s="51">
        <v>0.25</v>
      </c>
      <c r="C49" s="51">
        <v>0.25</v>
      </c>
      <c r="D49" s="51">
        <v>0.25</v>
      </c>
      <c r="E49" s="172">
        <v>0.749999999999999</v>
      </c>
      <c r="F49" s="56">
        <f>IF(Tim!F51="","",1)</f>
        <v>1</v>
      </c>
      <c r="G49" s="60" t="str">
        <f>IF(Tim!G51="","",1)</f>
        <v/>
      </c>
      <c r="H49" s="60" t="str">
        <f>IF(Tim!H51="","",1)</f>
        <v/>
      </c>
      <c r="I49" s="60" t="str">
        <f>IF(Tim!I51="","",1)</f>
        <v/>
      </c>
      <c r="J49" s="60" t="str">
        <f>IF(Tim!J51="","",1)</f>
        <v/>
      </c>
      <c r="K49" s="60" t="str">
        <f>IF(Tim!K51="","",1)</f>
        <v/>
      </c>
      <c r="L49" s="60" t="str">
        <f>IF(Tim!L51="","",1)</f>
        <v/>
      </c>
      <c r="M49" s="60" t="str">
        <f>IF(Tim!M51="","",1)</f>
        <v/>
      </c>
      <c r="N49" s="60" t="str">
        <f>IF(Tim!N51="","",1)</f>
        <v/>
      </c>
      <c r="O49" s="60" t="str">
        <f>IF(Tim!O51="","",1)</f>
        <v/>
      </c>
      <c r="P49" s="60" t="str">
        <f>IF(Tim!P51="","",1)</f>
        <v/>
      </c>
      <c r="Q49" s="60">
        <f>IF(Tim!Q51="","",1)</f>
        <v>1</v>
      </c>
      <c r="R49" s="60" t="str">
        <f>IF(Tim!R51="","",1)</f>
        <v/>
      </c>
      <c r="S49" s="60" t="str">
        <f>IF(Tim!S51="","",1)</f>
        <v/>
      </c>
      <c r="T49" s="60" t="str">
        <f>IF(Tim!T51="","",1)</f>
        <v/>
      </c>
      <c r="U49" s="56">
        <f>IF(Tim!AY51="","",1)</f>
        <v>1</v>
      </c>
      <c r="V49" s="60">
        <f>IF(Tim!AZ51="","",1)</f>
        <v>1</v>
      </c>
      <c r="W49" s="60">
        <f>IF(Tim!BA51="","",1)</f>
        <v>1</v>
      </c>
      <c r="X49" s="60" t="str">
        <f>IF(Tim!BB51="","",1)</f>
        <v/>
      </c>
      <c r="Y49" s="60" t="str">
        <f>IF(Tim!BC51="","",1)</f>
        <v/>
      </c>
      <c r="Z49" s="60" t="str">
        <f>IF(Tim!BD51="","",1)</f>
        <v/>
      </c>
      <c r="AA49" s="60" t="str">
        <f>IF(Tim!BE51="","",1)</f>
        <v/>
      </c>
      <c r="AB49" s="60" t="str">
        <f>IF(Tim!BF51="","",1)</f>
        <v/>
      </c>
      <c r="AC49" s="60" t="str">
        <f>IF(Tim!BG51="","",1)</f>
        <v/>
      </c>
      <c r="AD49" s="60" t="str">
        <f>IF(Tim!BH51="","",1)</f>
        <v/>
      </c>
      <c r="AE49" s="60" t="str">
        <f>IF(Tim!BI51="","",1)</f>
        <v/>
      </c>
      <c r="AF49" s="60" t="str">
        <f>IF(Tim!BJ51="","",1)</f>
        <v/>
      </c>
      <c r="AG49" s="60" t="str">
        <f>IF(Tim!BK51="","",1)</f>
        <v/>
      </c>
      <c r="AH49" s="60" t="str">
        <f>IF(Tim!BL51="","",1)</f>
        <v/>
      </c>
      <c r="AI49" s="60" t="str">
        <f>IF(Tim!BM51="","",1)</f>
        <v/>
      </c>
      <c r="AJ49" s="56">
        <f>IF(Tim!CQ51="","",1)</f>
        <v>1</v>
      </c>
      <c r="AK49" s="60" t="str">
        <f>IF(Tim!CR51="","",1)</f>
        <v/>
      </c>
      <c r="AL49" s="60" t="str">
        <f>IF(Tim!CS51="","",1)</f>
        <v/>
      </c>
      <c r="AM49" s="60" t="str">
        <f>IF(Tim!CT51="","",1)</f>
        <v/>
      </c>
      <c r="AN49" s="60" t="str">
        <f>IF(Tim!CU51="","",1)</f>
        <v/>
      </c>
      <c r="AO49" s="60" t="str">
        <f>IF(Tim!CV51="","",1)</f>
        <v/>
      </c>
      <c r="AP49" s="60" t="str">
        <f>IF(Tim!CW51="","",1)</f>
        <v/>
      </c>
      <c r="AQ49" s="60" t="str">
        <f>IF(Tim!CX51="","",1)</f>
        <v/>
      </c>
      <c r="AR49" s="60" t="str">
        <f>IF(Tim!CY51="","",1)</f>
        <v/>
      </c>
      <c r="AS49" s="60" t="str">
        <f>IF(Tim!CZ51="","",1)</f>
        <v/>
      </c>
      <c r="AT49" s="60" t="str">
        <f>IF(Tim!DA51="","",1)</f>
        <v/>
      </c>
      <c r="AU49" s="60" t="str">
        <f>IF(Tim!DB51="","",1)</f>
        <v/>
      </c>
      <c r="AV49" s="60">
        <f>IF(Tim!DC51="","",1)</f>
        <v>1</v>
      </c>
      <c r="AW49" s="60" t="str">
        <f>IF(Tim!DD51="","",1)</f>
        <v/>
      </c>
      <c r="AX49" s="60" t="str">
        <f>IF(Tim!DE51="","",1)</f>
        <v/>
      </c>
      <c r="AY49" s="56">
        <f>IF(Tim!EL51="","",1)</f>
        <v>1</v>
      </c>
      <c r="AZ49" s="60" t="str">
        <f>IF(Tim!EM51="","",1)</f>
        <v/>
      </c>
      <c r="BA49" s="60" t="str">
        <f>IF(Tim!EN51="","",1)</f>
        <v/>
      </c>
      <c r="BB49" s="60" t="str">
        <f>IF(Tim!EO51="","",1)</f>
        <v/>
      </c>
      <c r="BC49" s="60" t="str">
        <f>IF(Tim!EP51="","",1)</f>
        <v/>
      </c>
      <c r="BD49" s="60" t="str">
        <f>IF(Tim!EQ51="","",1)</f>
        <v/>
      </c>
      <c r="BE49" s="60" t="str">
        <f>IF(Tim!ER51="","",1)</f>
        <v/>
      </c>
      <c r="BF49" s="60" t="str">
        <f>IF(Tim!ES51="","",1)</f>
        <v/>
      </c>
      <c r="BG49" s="60" t="str">
        <f>IF(Tim!ET51="","",1)</f>
        <v/>
      </c>
      <c r="BH49" s="60" t="str">
        <f>IF(Tim!EU51="","",1)</f>
        <v/>
      </c>
      <c r="BI49" s="60" t="str">
        <f>IF(Tim!EV51="","",1)</f>
        <v/>
      </c>
      <c r="BJ49" s="60" t="str">
        <f>IF(Tim!EW51="","",1)</f>
        <v/>
      </c>
      <c r="BK49" s="60" t="str">
        <f>IF(Tim!EX51="","",1)</f>
        <v/>
      </c>
      <c r="BL49" s="60" t="str">
        <f>IF(Tim!EY51="","",1)</f>
        <v/>
      </c>
      <c r="BM49" s="60" t="str">
        <f>IF(Tim!EZ51="","",1)</f>
        <v/>
      </c>
      <c r="BN49" s="56">
        <f>IF(Tim!GD51="","",1)</f>
        <v>1</v>
      </c>
      <c r="BO49" s="60" t="str">
        <f>IF(Tim!GE51="","",1)</f>
        <v/>
      </c>
      <c r="BP49" s="60" t="str">
        <f>IF(Tim!GF51="","",1)</f>
        <v/>
      </c>
      <c r="BQ49" s="60" t="str">
        <f>IF(Tim!GG51="","",1)</f>
        <v/>
      </c>
      <c r="BR49" s="60" t="str">
        <f>IF(Tim!GH51="","",1)</f>
        <v/>
      </c>
      <c r="BS49" s="60" t="str">
        <f>IF(Tim!GI51="","",1)</f>
        <v/>
      </c>
      <c r="BT49" s="60" t="str">
        <f>IF(Tim!GJ51="","",1)</f>
        <v/>
      </c>
      <c r="BU49" s="60">
        <f>IF(Tim!GK51="","",1)</f>
        <v>1</v>
      </c>
      <c r="BV49" s="60" t="str">
        <f>IF(Tim!GL51="","",1)</f>
        <v/>
      </c>
      <c r="BW49" s="60" t="str">
        <f>IF(Tim!GM51="","",1)</f>
        <v/>
      </c>
      <c r="BX49" s="60" t="str">
        <f>IF(Tim!GN51="","",1)</f>
        <v/>
      </c>
      <c r="BY49" s="60" t="str">
        <f>IF(Tim!GO51="","",1)</f>
        <v/>
      </c>
      <c r="BZ49" s="60" t="str">
        <f>IF(Tim!GP51="","",1)</f>
        <v/>
      </c>
      <c r="CA49" s="60" t="str">
        <f>IF(Tim!GQ51="","",1)</f>
        <v/>
      </c>
      <c r="CB49" s="60" t="str">
        <f>IF(Tim!GR51="","",1)</f>
        <v/>
      </c>
      <c r="CC49" s="56">
        <f>IF(Tim!HV51="","",1)</f>
        <v>1</v>
      </c>
      <c r="CD49" s="53" t="str">
        <f>IF(Tim!HW51="","",1)</f>
        <v/>
      </c>
      <c r="CE49" s="53" t="str">
        <f>IF(Tim!HX51="","",1)</f>
        <v/>
      </c>
      <c r="CF49" s="53" t="str">
        <f>IF(Tim!HY51="","",1)</f>
        <v/>
      </c>
      <c r="CG49" s="53" t="str">
        <f>IF(Tim!HZ51="","",1)</f>
        <v/>
      </c>
      <c r="CH49" s="53" t="str">
        <f>IF(Tim!IA51="","",1)</f>
        <v/>
      </c>
      <c r="CI49" s="53" t="str">
        <f>IF(Tim!IB51="","",1)</f>
        <v/>
      </c>
      <c r="CJ49" s="53" t="str">
        <f>IF(Tim!IC51="","",1)</f>
        <v/>
      </c>
      <c r="CK49" s="53" t="str">
        <f>IF(Tim!ID51="","",1)</f>
        <v/>
      </c>
      <c r="CL49" s="53" t="str">
        <f>IF(Tim!IE51="","",1)</f>
        <v/>
      </c>
      <c r="CM49" s="53" t="str">
        <f>IF(Tim!IF51="","",1)</f>
        <v/>
      </c>
      <c r="CN49" s="53" t="str">
        <f>IF(Tim!IG51="","",1)</f>
        <v/>
      </c>
      <c r="CO49" s="53" t="str">
        <f>IF(Tim!IH51="","",1)</f>
        <v/>
      </c>
      <c r="CP49" s="53" t="str">
        <f>IF(Tim!II51="","",1)</f>
        <v/>
      </c>
      <c r="CQ49" s="53" t="str">
        <f>IF(Tim!IJ51="","",1)</f>
        <v/>
      </c>
      <c r="CR49" s="471"/>
      <c r="CS49" s="472"/>
      <c r="CT49" s="472"/>
      <c r="CU49" s="472"/>
      <c r="CV49" s="472"/>
      <c r="CW49" s="472"/>
      <c r="CX49" s="472"/>
      <c r="CY49" s="472"/>
      <c r="CZ49" s="472"/>
      <c r="DA49" s="472"/>
      <c r="DB49" s="472"/>
      <c r="DC49" s="472"/>
      <c r="DD49" s="472"/>
      <c r="DE49" s="472"/>
      <c r="DF49" s="473"/>
      <c r="DG49" s="52">
        <v>0.749999999999999</v>
      </c>
    </row>
    <row r="50" spans="2:111" ht="10.5" customHeight="1">
      <c r="B50" s="51">
        <v>0.25</v>
      </c>
      <c r="C50" s="51">
        <v>0.25</v>
      </c>
      <c r="D50" s="51">
        <v>0.25</v>
      </c>
      <c r="E50" s="172">
        <v>0.76041666666666496</v>
      </c>
      <c r="F50" s="56">
        <f>IF(Tim!F52="","",1)</f>
        <v>1</v>
      </c>
      <c r="G50" s="60" t="str">
        <f>IF(Tim!G52="","",1)</f>
        <v/>
      </c>
      <c r="H50" s="60" t="str">
        <f>IF(Tim!H52="","",1)</f>
        <v/>
      </c>
      <c r="I50" s="60" t="str">
        <f>IF(Tim!I52="","",1)</f>
        <v/>
      </c>
      <c r="J50" s="60" t="str">
        <f>IF(Tim!J52="","",1)</f>
        <v/>
      </c>
      <c r="K50" s="60" t="str">
        <f>IF(Tim!K52="","",1)</f>
        <v/>
      </c>
      <c r="L50" s="60" t="str">
        <f>IF(Tim!L52="","",1)</f>
        <v/>
      </c>
      <c r="M50" s="60" t="str">
        <f>IF(Tim!M52="","",1)</f>
        <v/>
      </c>
      <c r="N50" s="60" t="str">
        <f>IF(Tim!N52="","",1)</f>
        <v/>
      </c>
      <c r="O50" s="60" t="str">
        <f>IF(Tim!O52="","",1)</f>
        <v/>
      </c>
      <c r="P50" s="60" t="str">
        <f>IF(Tim!P52="","",1)</f>
        <v/>
      </c>
      <c r="Q50" s="60">
        <f>IF(Tim!Q52="","",1)</f>
        <v>1</v>
      </c>
      <c r="R50" s="60" t="str">
        <f>IF(Tim!R52="","",1)</f>
        <v/>
      </c>
      <c r="S50" s="60" t="str">
        <f>IF(Tim!S52="","",1)</f>
        <v/>
      </c>
      <c r="T50" s="60" t="str">
        <f>IF(Tim!T52="","",1)</f>
        <v/>
      </c>
      <c r="U50" s="56">
        <f>IF(Tim!AY52="","",1)</f>
        <v>1</v>
      </c>
      <c r="V50" s="60" t="str">
        <f>IF(Tim!AZ52="","",1)</f>
        <v/>
      </c>
      <c r="W50" s="60" t="str">
        <f>IF(Tim!BA52="","",1)</f>
        <v/>
      </c>
      <c r="X50" s="60" t="str">
        <f>IF(Tim!BB52="","",1)</f>
        <v/>
      </c>
      <c r="Y50" s="60" t="str">
        <f>IF(Tim!BC52="","",1)</f>
        <v/>
      </c>
      <c r="Z50" s="60" t="str">
        <f>IF(Tim!BD52="","",1)</f>
        <v/>
      </c>
      <c r="AA50" s="60" t="str">
        <f>IF(Tim!BE52="","",1)</f>
        <v/>
      </c>
      <c r="AB50" s="60" t="str">
        <f>IF(Tim!BF52="","",1)</f>
        <v/>
      </c>
      <c r="AC50" s="60" t="str">
        <f>IF(Tim!BG52="","",1)</f>
        <v/>
      </c>
      <c r="AD50" s="60" t="str">
        <f>IF(Tim!BH52="","",1)</f>
        <v/>
      </c>
      <c r="AE50" s="60" t="str">
        <f>IF(Tim!BI52="","",1)</f>
        <v/>
      </c>
      <c r="AF50" s="60" t="str">
        <f>IF(Tim!BJ52="","",1)</f>
        <v/>
      </c>
      <c r="AG50" s="60" t="str">
        <f>IF(Tim!BK52="","",1)</f>
        <v/>
      </c>
      <c r="AH50" s="60" t="str">
        <f>IF(Tim!BL52="","",1)</f>
        <v/>
      </c>
      <c r="AI50" s="60" t="str">
        <f>IF(Tim!BM52="","",1)</f>
        <v/>
      </c>
      <c r="AJ50" s="56">
        <f>IF(Tim!CQ52="","",1)</f>
        <v>1</v>
      </c>
      <c r="AK50" s="60" t="str">
        <f>IF(Tim!CR52="","",1)</f>
        <v/>
      </c>
      <c r="AL50" s="60" t="str">
        <f>IF(Tim!CS52="","",1)</f>
        <v/>
      </c>
      <c r="AM50" s="60" t="str">
        <f>IF(Tim!CT52="","",1)</f>
        <v/>
      </c>
      <c r="AN50" s="60" t="str">
        <f>IF(Tim!CU52="","",1)</f>
        <v/>
      </c>
      <c r="AO50" s="60" t="str">
        <f>IF(Tim!CV52="","",1)</f>
        <v/>
      </c>
      <c r="AP50" s="60" t="str">
        <f>IF(Tim!CW52="","",1)</f>
        <v/>
      </c>
      <c r="AQ50" s="60" t="str">
        <f>IF(Tim!CX52="","",1)</f>
        <v/>
      </c>
      <c r="AR50" s="60" t="str">
        <f>IF(Tim!CY52="","",1)</f>
        <v/>
      </c>
      <c r="AS50" s="60" t="str">
        <f>IF(Tim!CZ52="","",1)</f>
        <v/>
      </c>
      <c r="AT50" s="60" t="str">
        <f>IF(Tim!DA52="","",1)</f>
        <v/>
      </c>
      <c r="AU50" s="60" t="str">
        <f>IF(Tim!DB52="","",1)</f>
        <v/>
      </c>
      <c r="AV50" s="60">
        <f>IF(Tim!DC52="","",1)</f>
        <v>1</v>
      </c>
      <c r="AW50" s="60" t="str">
        <f>IF(Tim!DD52="","",1)</f>
        <v/>
      </c>
      <c r="AX50" s="60" t="str">
        <f>IF(Tim!DE52="","",1)</f>
        <v/>
      </c>
      <c r="AY50" s="56">
        <f>IF(Tim!EL52="","",1)</f>
        <v>1</v>
      </c>
      <c r="AZ50" s="60" t="str">
        <f>IF(Tim!EM52="","",1)</f>
        <v/>
      </c>
      <c r="BA50" s="60" t="str">
        <f>IF(Tim!EN52="","",1)</f>
        <v/>
      </c>
      <c r="BB50" s="60" t="str">
        <f>IF(Tim!EO52="","",1)</f>
        <v/>
      </c>
      <c r="BC50" s="60" t="str">
        <f>IF(Tim!EP52="","",1)</f>
        <v/>
      </c>
      <c r="BD50" s="60" t="str">
        <f>IF(Tim!EQ52="","",1)</f>
        <v/>
      </c>
      <c r="BE50" s="60" t="str">
        <f>IF(Tim!ER52="","",1)</f>
        <v/>
      </c>
      <c r="BF50" s="60" t="str">
        <f>IF(Tim!ES52="","",1)</f>
        <v/>
      </c>
      <c r="BG50" s="60" t="str">
        <f>IF(Tim!ET52="","",1)</f>
        <v/>
      </c>
      <c r="BH50" s="60" t="str">
        <f>IF(Tim!EU52="","",1)</f>
        <v/>
      </c>
      <c r="BI50" s="60" t="str">
        <f>IF(Tim!EV52="","",1)</f>
        <v/>
      </c>
      <c r="BJ50" s="60" t="str">
        <f>IF(Tim!EW52="","",1)</f>
        <v/>
      </c>
      <c r="BK50" s="60" t="str">
        <f>IF(Tim!EX52="","",1)</f>
        <v/>
      </c>
      <c r="BL50" s="60" t="str">
        <f>IF(Tim!EY52="","",1)</f>
        <v/>
      </c>
      <c r="BM50" s="60" t="str">
        <f>IF(Tim!EZ52="","",1)</f>
        <v/>
      </c>
      <c r="BN50" s="56">
        <f>IF(Tim!GD52="","",1)</f>
        <v>1</v>
      </c>
      <c r="BO50" s="60" t="str">
        <f>IF(Tim!GE52="","",1)</f>
        <v/>
      </c>
      <c r="BP50" s="60" t="str">
        <f>IF(Tim!GF52="","",1)</f>
        <v/>
      </c>
      <c r="BQ50" s="60" t="str">
        <f>IF(Tim!GG52="","",1)</f>
        <v/>
      </c>
      <c r="BR50" s="60" t="str">
        <f>IF(Tim!GH52="","",1)</f>
        <v/>
      </c>
      <c r="BS50" s="60" t="str">
        <f>IF(Tim!GI52="","",1)</f>
        <v/>
      </c>
      <c r="BT50" s="60" t="str">
        <f>IF(Tim!GJ52="","",1)</f>
        <v/>
      </c>
      <c r="BU50" s="60">
        <f>IF(Tim!GK52="","",1)</f>
        <v>1</v>
      </c>
      <c r="BV50" s="60" t="str">
        <f>IF(Tim!GL52="","",1)</f>
        <v/>
      </c>
      <c r="BW50" s="60" t="str">
        <f>IF(Tim!GM52="","",1)</f>
        <v/>
      </c>
      <c r="BX50" s="60" t="str">
        <f>IF(Tim!GN52="","",1)</f>
        <v/>
      </c>
      <c r="BY50" s="60" t="str">
        <f>IF(Tim!GO52="","",1)</f>
        <v/>
      </c>
      <c r="BZ50" s="60" t="str">
        <f>IF(Tim!GP52="","",1)</f>
        <v/>
      </c>
      <c r="CA50" s="60" t="str">
        <f>IF(Tim!GQ52="","",1)</f>
        <v/>
      </c>
      <c r="CB50" s="60" t="str">
        <f>IF(Tim!GR52="","",1)</f>
        <v/>
      </c>
      <c r="CC50" s="56">
        <f>IF(Tim!HV52="","",1)</f>
        <v>1</v>
      </c>
      <c r="CD50" s="53" t="str">
        <f>IF(Tim!HW52="","",1)</f>
        <v/>
      </c>
      <c r="CE50" s="53" t="str">
        <f>IF(Tim!HX52="","",1)</f>
        <v/>
      </c>
      <c r="CF50" s="53" t="str">
        <f>IF(Tim!HY52="","",1)</f>
        <v/>
      </c>
      <c r="CG50" s="53" t="str">
        <f>IF(Tim!HZ52="","",1)</f>
        <v/>
      </c>
      <c r="CH50" s="53" t="str">
        <f>IF(Tim!IA52="","",1)</f>
        <v/>
      </c>
      <c r="CI50" s="53" t="str">
        <f>IF(Tim!IB52="","",1)</f>
        <v/>
      </c>
      <c r="CJ50" s="53" t="str">
        <f>IF(Tim!IC52="","",1)</f>
        <v/>
      </c>
      <c r="CK50" s="53" t="str">
        <f>IF(Tim!ID52="","",1)</f>
        <v/>
      </c>
      <c r="CL50" s="53" t="str">
        <f>IF(Tim!IE52="","",1)</f>
        <v/>
      </c>
      <c r="CM50" s="53" t="str">
        <f>IF(Tim!IF52="","",1)</f>
        <v/>
      </c>
      <c r="CN50" s="53" t="str">
        <f>IF(Tim!IG52="","",1)</f>
        <v/>
      </c>
      <c r="CO50" s="53" t="str">
        <f>IF(Tim!IH52="","",1)</f>
        <v/>
      </c>
      <c r="CP50" s="53" t="str">
        <f>IF(Tim!II52="","",1)</f>
        <v/>
      </c>
      <c r="CQ50" s="53" t="str">
        <f>IF(Tim!IJ52="","",1)</f>
        <v/>
      </c>
      <c r="CR50" s="422"/>
      <c r="CS50" s="423"/>
      <c r="CT50" s="423"/>
      <c r="CU50" s="423"/>
      <c r="CV50" s="423"/>
      <c r="CW50" s="423"/>
      <c r="CX50" s="423"/>
      <c r="CY50" s="423"/>
      <c r="CZ50" s="423"/>
      <c r="DA50" s="423"/>
      <c r="DB50" s="423"/>
      <c r="DC50" s="423"/>
      <c r="DD50" s="423"/>
      <c r="DE50" s="423"/>
      <c r="DF50" s="424"/>
      <c r="DG50" s="52">
        <v>0.76041666666666496</v>
      </c>
    </row>
    <row r="51" spans="2:111" ht="10.5" customHeight="1">
      <c r="B51" s="51">
        <v>0.25</v>
      </c>
      <c r="C51" s="51">
        <v>0.25</v>
      </c>
      <c r="D51" s="51">
        <v>0.25</v>
      </c>
      <c r="E51" s="172">
        <v>0.77083333333333204</v>
      </c>
      <c r="F51" s="56">
        <f>IF(Tim!F53="","",1)</f>
        <v>1</v>
      </c>
      <c r="G51" s="60">
        <f>IF(Tim!G53="","",1)</f>
        <v>1</v>
      </c>
      <c r="H51" s="60" t="str">
        <f>IF(Tim!H53="","",1)</f>
        <v/>
      </c>
      <c r="I51" s="60" t="str">
        <f>IF(Tim!I53="","",1)</f>
        <v/>
      </c>
      <c r="J51" s="60" t="str">
        <f>IF(Tim!J53="","",1)</f>
        <v/>
      </c>
      <c r="K51" s="60" t="str">
        <f>IF(Tim!K53="","",1)</f>
        <v/>
      </c>
      <c r="L51" s="60" t="str">
        <f>IF(Tim!L53="","",1)</f>
        <v/>
      </c>
      <c r="M51" s="60" t="str">
        <f>IF(Tim!M53="","",1)</f>
        <v/>
      </c>
      <c r="N51" s="60" t="str">
        <f>IF(Tim!N53="","",1)</f>
        <v/>
      </c>
      <c r="O51" s="60" t="str">
        <f>IF(Tim!O53="","",1)</f>
        <v/>
      </c>
      <c r="P51" s="60" t="str">
        <f>IF(Tim!P53="","",1)</f>
        <v/>
      </c>
      <c r="Q51" s="60" t="str">
        <f>IF(Tim!Q53="","",1)</f>
        <v/>
      </c>
      <c r="R51" s="60" t="str">
        <f>IF(Tim!R53="","",1)</f>
        <v/>
      </c>
      <c r="S51" s="60" t="str">
        <f>IF(Tim!S53="","",1)</f>
        <v/>
      </c>
      <c r="T51" s="60" t="str">
        <f>IF(Tim!T53="","",1)</f>
        <v/>
      </c>
      <c r="U51" s="56">
        <f>IF(Tim!AY53="","",1)</f>
        <v>1</v>
      </c>
      <c r="V51" s="60" t="str">
        <f>IF(Tim!AZ53="","",1)</f>
        <v/>
      </c>
      <c r="W51" s="60" t="str">
        <f>IF(Tim!BA53="","",1)</f>
        <v/>
      </c>
      <c r="X51" s="60" t="str">
        <f>IF(Tim!BB53="","",1)</f>
        <v/>
      </c>
      <c r="Y51" s="60" t="str">
        <f>IF(Tim!BC53="","",1)</f>
        <v/>
      </c>
      <c r="Z51" s="60" t="str">
        <f>IF(Tim!BD53="","",1)</f>
        <v/>
      </c>
      <c r="AA51" s="60" t="str">
        <f>IF(Tim!BE53="","",1)</f>
        <v/>
      </c>
      <c r="AB51" s="60" t="str">
        <f>IF(Tim!BF53="","",1)</f>
        <v/>
      </c>
      <c r="AC51" s="60" t="str">
        <f>IF(Tim!BG53="","",1)</f>
        <v/>
      </c>
      <c r="AD51" s="60" t="str">
        <f>IF(Tim!BH53="","",1)</f>
        <v/>
      </c>
      <c r="AE51" s="60" t="str">
        <f>IF(Tim!BI53="","",1)</f>
        <v/>
      </c>
      <c r="AF51" s="60" t="str">
        <f>IF(Tim!BJ53="","",1)</f>
        <v/>
      </c>
      <c r="AG51" s="60" t="str">
        <f>IF(Tim!BK53="","",1)</f>
        <v/>
      </c>
      <c r="AH51" s="60" t="str">
        <f>IF(Tim!BL53="","",1)</f>
        <v/>
      </c>
      <c r="AI51" s="60" t="str">
        <f>IF(Tim!BM53="","",1)</f>
        <v/>
      </c>
      <c r="AJ51" s="56">
        <f>IF(Tim!CQ53="","",1)</f>
        <v>1</v>
      </c>
      <c r="AK51" s="60" t="str">
        <f>IF(Tim!CR53="","",1)</f>
        <v/>
      </c>
      <c r="AL51" s="60" t="str">
        <f>IF(Tim!CS53="","",1)</f>
        <v/>
      </c>
      <c r="AM51" s="60" t="str">
        <f>IF(Tim!CT53="","",1)</f>
        <v/>
      </c>
      <c r="AN51" s="60" t="str">
        <f>IF(Tim!CU53="","",1)</f>
        <v/>
      </c>
      <c r="AO51" s="60" t="str">
        <f>IF(Tim!CV53="","",1)</f>
        <v/>
      </c>
      <c r="AP51" s="60" t="str">
        <f>IF(Tim!CW53="","",1)</f>
        <v/>
      </c>
      <c r="AQ51" s="60" t="str">
        <f>IF(Tim!CX53="","",1)</f>
        <v/>
      </c>
      <c r="AR51" s="60" t="str">
        <f>IF(Tim!CY53="","",1)</f>
        <v/>
      </c>
      <c r="AS51" s="60" t="str">
        <f>IF(Tim!CZ53="","",1)</f>
        <v/>
      </c>
      <c r="AT51" s="60" t="str">
        <f>IF(Tim!DA53="","",1)</f>
        <v/>
      </c>
      <c r="AU51" s="60" t="str">
        <f>IF(Tim!DB53="","",1)</f>
        <v/>
      </c>
      <c r="AV51" s="60" t="str">
        <f>IF(Tim!DC53="","",1)</f>
        <v/>
      </c>
      <c r="AW51" s="60" t="str">
        <f>IF(Tim!DD53="","",1)</f>
        <v/>
      </c>
      <c r="AX51" s="60" t="str">
        <f>IF(Tim!DE53="","",1)</f>
        <v/>
      </c>
      <c r="AY51" s="56">
        <f>IF(Tim!EL53="","",1)</f>
        <v>1</v>
      </c>
      <c r="AZ51" s="60" t="str">
        <f>IF(Tim!EM53="","",1)</f>
        <v/>
      </c>
      <c r="BA51" s="60" t="str">
        <f>IF(Tim!EN53="","",1)</f>
        <v/>
      </c>
      <c r="BB51" s="60" t="str">
        <f>IF(Tim!EO53="","",1)</f>
        <v/>
      </c>
      <c r="BC51" s="60" t="str">
        <f>IF(Tim!EP53="","",1)</f>
        <v/>
      </c>
      <c r="BD51" s="60" t="str">
        <f>IF(Tim!EQ53="","",1)</f>
        <v/>
      </c>
      <c r="BE51" s="60" t="str">
        <f>IF(Tim!ER53="","",1)</f>
        <v/>
      </c>
      <c r="BF51" s="60" t="str">
        <f>IF(Tim!ES53="","",1)</f>
        <v/>
      </c>
      <c r="BG51" s="60" t="str">
        <f>IF(Tim!ET53="","",1)</f>
        <v/>
      </c>
      <c r="BH51" s="60" t="str">
        <f>IF(Tim!EU53="","",1)</f>
        <v/>
      </c>
      <c r="BI51" s="60" t="str">
        <f>IF(Tim!EV53="","",1)</f>
        <v/>
      </c>
      <c r="BJ51" s="60" t="str">
        <f>IF(Tim!EW53="","",1)</f>
        <v/>
      </c>
      <c r="BK51" s="60" t="str">
        <f>IF(Tim!EX53="","",1)</f>
        <v/>
      </c>
      <c r="BL51" s="60" t="str">
        <f>IF(Tim!EY53="","",1)</f>
        <v/>
      </c>
      <c r="BM51" s="60" t="str">
        <f>IF(Tim!EZ53="","",1)</f>
        <v/>
      </c>
      <c r="BN51" s="56">
        <f>IF(Tim!GD53="","",1)</f>
        <v>1</v>
      </c>
      <c r="BO51" s="60" t="str">
        <f>IF(Tim!GE53="","",1)</f>
        <v/>
      </c>
      <c r="BP51" s="60" t="str">
        <f>IF(Tim!GF53="","",1)</f>
        <v/>
      </c>
      <c r="BQ51" s="60" t="str">
        <f>IF(Tim!GG53="","",1)</f>
        <v/>
      </c>
      <c r="BR51" s="60" t="str">
        <f>IF(Tim!GH53="","",1)</f>
        <v/>
      </c>
      <c r="BS51" s="60" t="str">
        <f>IF(Tim!GI53="","",1)</f>
        <v/>
      </c>
      <c r="BT51" s="60" t="str">
        <f>IF(Tim!GJ53="","",1)</f>
        <v/>
      </c>
      <c r="BU51" s="60" t="str">
        <f>IF(Tim!GK53="","",1)</f>
        <v/>
      </c>
      <c r="BV51" s="60" t="str">
        <f>IF(Tim!GL53="","",1)</f>
        <v/>
      </c>
      <c r="BW51" s="60" t="str">
        <f>IF(Tim!GM53="","",1)</f>
        <v/>
      </c>
      <c r="BX51" s="60">
        <f>IF(Tim!GN53="","",1)</f>
        <v>1</v>
      </c>
      <c r="BY51" s="60" t="str">
        <f>IF(Tim!GO53="","",1)</f>
        <v/>
      </c>
      <c r="BZ51" s="60" t="str">
        <f>IF(Tim!GP53="","",1)</f>
        <v/>
      </c>
      <c r="CA51" s="60" t="str">
        <f>IF(Tim!GQ53="","",1)</f>
        <v/>
      </c>
      <c r="CB51" s="60" t="str">
        <f>IF(Tim!GR53="","",1)</f>
        <v/>
      </c>
      <c r="CC51" s="56">
        <f>IF(Tim!HV53="","",1)</f>
        <v>1</v>
      </c>
      <c r="CD51" s="53" t="str">
        <f>IF(Tim!HW53="","",1)</f>
        <v/>
      </c>
      <c r="CE51" s="53" t="str">
        <f>IF(Tim!HX53="","",1)</f>
        <v/>
      </c>
      <c r="CF51" s="53" t="str">
        <f>IF(Tim!HY53="","",1)</f>
        <v/>
      </c>
      <c r="CG51" s="53" t="str">
        <f>IF(Tim!HZ53="","",1)</f>
        <v/>
      </c>
      <c r="CH51" s="53" t="str">
        <f>IF(Tim!IA53="","",1)</f>
        <v/>
      </c>
      <c r="CI51" s="53" t="str">
        <f>IF(Tim!IB53="","",1)</f>
        <v/>
      </c>
      <c r="CJ51" s="53" t="str">
        <f>IF(Tim!IC53="","",1)</f>
        <v/>
      </c>
      <c r="CK51" s="53" t="str">
        <f>IF(Tim!ID53="","",1)</f>
        <v/>
      </c>
      <c r="CL51" s="53" t="str">
        <f>IF(Tim!IE53="","",1)</f>
        <v/>
      </c>
      <c r="CM51" s="53" t="str">
        <f>IF(Tim!IF53="","",1)</f>
        <v/>
      </c>
      <c r="CN51" s="53" t="str">
        <f>IF(Tim!IG53="","",1)</f>
        <v/>
      </c>
      <c r="CO51" s="53" t="str">
        <f>IF(Tim!IH53="","",1)</f>
        <v/>
      </c>
      <c r="CP51" s="53" t="str">
        <f>IF(Tim!II53="","",1)</f>
        <v/>
      </c>
      <c r="CQ51" s="53" t="str">
        <f>IF(Tim!IJ53="","",1)</f>
        <v/>
      </c>
      <c r="CR51" s="422"/>
      <c r="CS51" s="423"/>
      <c r="CT51" s="423"/>
      <c r="CU51" s="423"/>
      <c r="CV51" s="423"/>
      <c r="CW51" s="423"/>
      <c r="CX51" s="423"/>
      <c r="CY51" s="423"/>
      <c r="CZ51" s="423"/>
      <c r="DA51" s="423"/>
      <c r="DB51" s="423"/>
      <c r="DC51" s="423"/>
      <c r="DD51" s="423"/>
      <c r="DE51" s="423"/>
      <c r="DF51" s="424"/>
      <c r="DG51" s="52">
        <v>0.77083333333333204</v>
      </c>
    </row>
    <row r="52" spans="2:111" ht="10.5" customHeight="1">
      <c r="B52" s="51">
        <v>0.25</v>
      </c>
      <c r="C52" s="51">
        <v>0.25</v>
      </c>
      <c r="D52" s="51">
        <v>0.25</v>
      </c>
      <c r="E52" s="172">
        <v>0.781249999999999</v>
      </c>
      <c r="F52" s="56">
        <f>IF(Tim!F54="","",1)</f>
        <v>1</v>
      </c>
      <c r="G52" s="60" t="str">
        <f>IF(Tim!G54="","",1)</f>
        <v/>
      </c>
      <c r="H52" s="60" t="str">
        <f>IF(Tim!H54="","",1)</f>
        <v/>
      </c>
      <c r="I52" s="60" t="str">
        <f>IF(Tim!I54="","",1)</f>
        <v/>
      </c>
      <c r="J52" s="60" t="str">
        <f>IF(Tim!J54="","",1)</f>
        <v/>
      </c>
      <c r="K52" s="60" t="str">
        <f>IF(Tim!K54="","",1)</f>
        <v/>
      </c>
      <c r="L52" s="60" t="str">
        <f>IF(Tim!L54="","",1)</f>
        <v/>
      </c>
      <c r="M52" s="60" t="str">
        <f>IF(Tim!M54="","",1)</f>
        <v/>
      </c>
      <c r="N52" s="60" t="str">
        <f>IF(Tim!N55="","",1)</f>
        <v/>
      </c>
      <c r="O52" s="60" t="str">
        <f>IF(Tim!O54="","",1)</f>
        <v/>
      </c>
      <c r="P52" s="60" t="str">
        <f>IF(Tim!P54="","",1)</f>
        <v/>
      </c>
      <c r="Q52" s="60" t="str">
        <f>IF(Tim!Q54="","",1)</f>
        <v/>
      </c>
      <c r="R52" s="60" t="str">
        <f>IF(Tim!R54="","",1)</f>
        <v/>
      </c>
      <c r="S52" s="60" t="str">
        <f>IF(Tim!S54="","",1)</f>
        <v/>
      </c>
      <c r="T52" s="60" t="str">
        <f>IF(Tim!T54="","",1)</f>
        <v/>
      </c>
      <c r="U52" s="56">
        <f>IF(Tim!AY54="","",1)</f>
        <v>1</v>
      </c>
      <c r="V52" s="60" t="str">
        <f>IF(Tim!AZ54="","",1)</f>
        <v/>
      </c>
      <c r="W52" s="60" t="str">
        <f>IF(Tim!BA54="","",1)</f>
        <v/>
      </c>
      <c r="X52" s="60" t="str">
        <f>IF(Tim!BB54="","",1)</f>
        <v/>
      </c>
      <c r="Y52" s="60" t="str">
        <f>IF(Tim!BC54="","",1)</f>
        <v/>
      </c>
      <c r="Z52" s="60" t="str">
        <f>IF(Tim!BD54="","",1)</f>
        <v/>
      </c>
      <c r="AA52" s="60" t="str">
        <f>IF(Tim!BE54="","",1)</f>
        <v/>
      </c>
      <c r="AB52" s="60" t="str">
        <f>IF(Tim!BF54="","",1)</f>
        <v/>
      </c>
      <c r="AC52" s="60" t="str">
        <f>IF(Tim!BG54="","",1)</f>
        <v/>
      </c>
      <c r="AD52" s="60" t="str">
        <f>IF(Tim!BH54="","",1)</f>
        <v/>
      </c>
      <c r="AE52" s="60" t="str">
        <f>IF(Tim!BI54="","",1)</f>
        <v/>
      </c>
      <c r="AF52" s="60" t="str">
        <f>IF(Tim!BJ54="","",1)</f>
        <v/>
      </c>
      <c r="AG52" s="60" t="str">
        <f>IF(Tim!BK54="","",1)</f>
        <v/>
      </c>
      <c r="AH52" s="60" t="str">
        <f>IF(Tim!BL54="","",1)</f>
        <v/>
      </c>
      <c r="AI52" s="60" t="str">
        <f>IF(Tim!BM54="","",1)</f>
        <v/>
      </c>
      <c r="AJ52" s="56">
        <f>IF(Tim!CQ54="","",1)</f>
        <v>1</v>
      </c>
      <c r="AK52" s="60" t="str">
        <f>IF(Tim!CR54="","",1)</f>
        <v/>
      </c>
      <c r="AL52" s="60" t="str">
        <f>IF(Tim!CS54="","",1)</f>
        <v/>
      </c>
      <c r="AM52" s="60" t="str">
        <f>IF(Tim!CT54="","",1)</f>
        <v/>
      </c>
      <c r="AN52" s="60" t="str">
        <f>IF(Tim!CU54="","",1)</f>
        <v/>
      </c>
      <c r="AO52" s="60" t="str">
        <f>IF(Tim!CV54="","",1)</f>
        <v/>
      </c>
      <c r="AP52" s="60" t="str">
        <f>IF(Tim!CW54="","",1)</f>
        <v/>
      </c>
      <c r="AQ52" s="60" t="str">
        <f>IF(Tim!CX54="","",1)</f>
        <v/>
      </c>
      <c r="AR52" s="60" t="str">
        <f>IF(Tim!CY54="","",1)</f>
        <v/>
      </c>
      <c r="AS52" s="60" t="str">
        <f>IF(Tim!CZ54="","",1)</f>
        <v/>
      </c>
      <c r="AT52" s="60" t="str">
        <f>IF(Tim!DA54="","",1)</f>
        <v/>
      </c>
      <c r="AU52" s="60" t="str">
        <f>IF(Tim!DB54="","",1)</f>
        <v/>
      </c>
      <c r="AV52" s="60" t="str">
        <f>IF(Tim!DC54="","",1)</f>
        <v/>
      </c>
      <c r="AW52" s="60" t="str">
        <f>IF(Tim!DD54="","",1)</f>
        <v/>
      </c>
      <c r="AX52" s="60" t="str">
        <f>IF(Tim!DE54="","",1)</f>
        <v/>
      </c>
      <c r="AY52" s="56">
        <f>IF(Tim!EL54="","",1)</f>
        <v>1</v>
      </c>
      <c r="AZ52" s="60" t="str">
        <f>IF(Tim!EM54="","",1)</f>
        <v/>
      </c>
      <c r="BA52" s="60" t="str">
        <f>IF(Tim!EN54="","",1)</f>
        <v/>
      </c>
      <c r="BB52" s="60" t="str">
        <f>IF(Tim!EO54="","",1)</f>
        <v/>
      </c>
      <c r="BC52" s="60" t="str">
        <f>IF(Tim!EP54="","",1)</f>
        <v/>
      </c>
      <c r="BD52" s="60" t="str">
        <f>IF(Tim!EQ54="","",1)</f>
        <v/>
      </c>
      <c r="BE52" s="60" t="str">
        <f>IF(Tim!ER54="","",1)</f>
        <v/>
      </c>
      <c r="BF52" s="60" t="str">
        <f>IF(Tim!ES54="","",1)</f>
        <v/>
      </c>
      <c r="BG52" s="60" t="str">
        <f>IF(Tim!ET54="","",1)</f>
        <v/>
      </c>
      <c r="BH52" s="60" t="str">
        <f>IF(Tim!EU54="","",1)</f>
        <v/>
      </c>
      <c r="BI52" s="60" t="str">
        <f>IF(Tim!EV54="","",1)</f>
        <v/>
      </c>
      <c r="BJ52" s="60" t="str">
        <f>IF(Tim!EW54="","",1)</f>
        <v/>
      </c>
      <c r="BK52" s="60" t="str">
        <f>IF(Tim!EX54="","",1)</f>
        <v/>
      </c>
      <c r="BL52" s="60" t="str">
        <f>IF(Tim!EY54="","",1)</f>
        <v/>
      </c>
      <c r="BM52" s="60" t="str">
        <f>IF(Tim!EZ54="","",1)</f>
        <v/>
      </c>
      <c r="BN52" s="56">
        <f>IF(Tim!GD54="","",1)</f>
        <v>1</v>
      </c>
      <c r="BO52" s="60" t="str">
        <f>IF(Tim!GE54="","",1)</f>
        <v/>
      </c>
      <c r="BP52" s="60" t="str">
        <f>IF(Tim!GF54="","",1)</f>
        <v/>
      </c>
      <c r="BQ52" s="60" t="str">
        <f>IF(Tim!GG54="","",1)</f>
        <v/>
      </c>
      <c r="BR52" s="60" t="str">
        <f>IF(Tim!GH54="","",1)</f>
        <v/>
      </c>
      <c r="BS52" s="60" t="str">
        <f>IF(Tim!GI54="","",1)</f>
        <v/>
      </c>
      <c r="BT52" s="60" t="str">
        <f>IF(Tim!GJ54="","",1)</f>
        <v/>
      </c>
      <c r="BU52" s="60" t="str">
        <f>IF(Tim!GK54="","",1)</f>
        <v/>
      </c>
      <c r="BV52" s="60" t="str">
        <f>IF(Tim!GL54="","",1)</f>
        <v/>
      </c>
      <c r="BW52" s="60" t="str">
        <f>IF(Tim!GM54="","",1)</f>
        <v/>
      </c>
      <c r="BX52" s="60">
        <f>IF(Tim!GN54="","",1)</f>
        <v>1</v>
      </c>
      <c r="BY52" s="60" t="str">
        <f>IF(Tim!GO54="","",1)</f>
        <v/>
      </c>
      <c r="BZ52" s="60" t="str">
        <f>IF(Tim!GP54="","",1)</f>
        <v/>
      </c>
      <c r="CA52" s="60" t="str">
        <f>IF(Tim!GQ54="","",1)</f>
        <v/>
      </c>
      <c r="CB52" s="60" t="str">
        <f>IF(Tim!GR54="","",1)</f>
        <v/>
      </c>
      <c r="CC52" s="56">
        <f>IF(Tim!HV54="","",1)</f>
        <v>1</v>
      </c>
      <c r="CD52" s="53" t="str">
        <f>IF(Tim!HW54="","",1)</f>
        <v/>
      </c>
      <c r="CE52" s="53" t="str">
        <f>IF(Tim!HX54="","",1)</f>
        <v/>
      </c>
      <c r="CF52" s="53" t="str">
        <f>IF(Tim!HY54="","",1)</f>
        <v/>
      </c>
      <c r="CG52" s="53" t="str">
        <f>IF(Tim!HZ54="","",1)</f>
        <v/>
      </c>
      <c r="CH52" s="53" t="str">
        <f>IF(Tim!IA54="","",1)</f>
        <v/>
      </c>
      <c r="CI52" s="53" t="str">
        <f>IF(Tim!IB54="","",1)</f>
        <v/>
      </c>
      <c r="CJ52" s="53" t="str">
        <f>IF(Tim!IC54="","",1)</f>
        <v/>
      </c>
      <c r="CK52" s="53" t="str">
        <f>IF(Tim!ID54="","",1)</f>
        <v/>
      </c>
      <c r="CL52" s="53" t="str">
        <f>IF(Tim!IE54="","",1)</f>
        <v/>
      </c>
      <c r="CM52" s="53" t="str">
        <f>IF(Tim!IF54="","",1)</f>
        <v/>
      </c>
      <c r="CN52" s="53" t="str">
        <f>IF(Tim!IG54="","",1)</f>
        <v/>
      </c>
      <c r="CO52" s="53" t="str">
        <f>IF(Tim!IH54="","",1)</f>
        <v/>
      </c>
      <c r="CP52" s="53" t="str">
        <f>IF(Tim!II54="","",1)</f>
        <v/>
      </c>
      <c r="CQ52" s="53" t="str">
        <f>IF(Tim!IJ54="","",1)</f>
        <v/>
      </c>
      <c r="CR52" s="422"/>
      <c r="CS52" s="423"/>
      <c r="CT52" s="423"/>
      <c r="CU52" s="423"/>
      <c r="CV52" s="423"/>
      <c r="CW52" s="423"/>
      <c r="CX52" s="423"/>
      <c r="CY52" s="423"/>
      <c r="CZ52" s="423"/>
      <c r="DA52" s="423"/>
      <c r="DB52" s="423"/>
      <c r="DC52" s="423"/>
      <c r="DD52" s="423"/>
      <c r="DE52" s="423"/>
      <c r="DF52" s="424"/>
      <c r="DG52" s="52">
        <v>0.781249999999999</v>
      </c>
    </row>
    <row r="53" spans="2:111" ht="10.5" customHeight="1">
      <c r="B53" s="51">
        <v>0.25</v>
      </c>
      <c r="C53" s="51">
        <v>0.25</v>
      </c>
      <c r="D53" s="51">
        <v>0.25</v>
      </c>
      <c r="E53" s="172">
        <v>0.79166666666666496</v>
      </c>
      <c r="F53" s="56">
        <f>IF(Tim!F55="","",1)</f>
        <v>1</v>
      </c>
      <c r="G53" s="60" t="str">
        <f>IF(Tim!G55="","",1)</f>
        <v/>
      </c>
      <c r="H53" s="60" t="str">
        <f>IF(Tim!H55="","",1)</f>
        <v/>
      </c>
      <c r="I53" s="60" t="str">
        <f>IF(Tim!I55="","",1)</f>
        <v/>
      </c>
      <c r="J53" s="60" t="str">
        <f>IF(Tim!J55="","",1)</f>
        <v/>
      </c>
      <c r="K53" s="60" t="str">
        <f>IF(Tim!K55="","",1)</f>
        <v/>
      </c>
      <c r="L53" s="60" t="str">
        <f>IF(Tim!L55="","",1)</f>
        <v/>
      </c>
      <c r="M53" s="60" t="str">
        <f>IF(Tim!M55="","",1)</f>
        <v/>
      </c>
      <c r="N53" s="60" t="e">
        <f>IF(Tim!#REF!="","",1)</f>
        <v>#REF!</v>
      </c>
      <c r="O53" s="60" t="str">
        <f>IF(Tim!O55="","",1)</f>
        <v/>
      </c>
      <c r="P53" s="60" t="str">
        <f>IF(Tim!P55="","",1)</f>
        <v/>
      </c>
      <c r="Q53" s="60">
        <f>IF(Tim!Q55="","",1)</f>
        <v>1</v>
      </c>
      <c r="R53" s="60" t="str">
        <f>IF(Tim!R55="","",1)</f>
        <v/>
      </c>
      <c r="S53" s="60" t="str">
        <f>IF(Tim!S55="","",1)</f>
        <v/>
      </c>
      <c r="T53" s="60" t="str">
        <f>IF(Tim!T55="","",1)</f>
        <v/>
      </c>
      <c r="U53" s="56">
        <f>IF(Tim!AY55="","",1)</f>
        <v>1</v>
      </c>
      <c r="V53" s="60" t="str">
        <f>IF(Tim!AZ55="","",1)</f>
        <v/>
      </c>
      <c r="W53" s="60" t="str">
        <f>IF(Tim!BA55="","",1)</f>
        <v/>
      </c>
      <c r="X53" s="60" t="str">
        <f>IF(Tim!BB55="","",1)</f>
        <v/>
      </c>
      <c r="Y53" s="60" t="str">
        <f>IF(Tim!BC55="","",1)</f>
        <v/>
      </c>
      <c r="Z53" s="60" t="str">
        <f>IF(Tim!BD55="","",1)</f>
        <v/>
      </c>
      <c r="AA53" s="60" t="str">
        <f>IF(Tim!BE55="","",1)</f>
        <v/>
      </c>
      <c r="AB53" s="60" t="str">
        <f>IF(Tim!BF55="","",1)</f>
        <v/>
      </c>
      <c r="AC53" s="60" t="str">
        <f>IF(Tim!BG55="","",1)</f>
        <v/>
      </c>
      <c r="AD53" s="60" t="str">
        <f>IF(Tim!BH55="","",1)</f>
        <v/>
      </c>
      <c r="AE53" s="60" t="str">
        <f>IF(Tim!BI55="","",1)</f>
        <v/>
      </c>
      <c r="AF53" s="60" t="str">
        <f>IF(Tim!BJ55="","",1)</f>
        <v/>
      </c>
      <c r="AG53" s="60" t="str">
        <f>IF(Tim!BK55="","",1)</f>
        <v/>
      </c>
      <c r="AH53" s="60" t="str">
        <f>IF(Tim!BL55="","",1)</f>
        <v/>
      </c>
      <c r="AI53" s="60" t="str">
        <f>IF(Tim!BM55="","",1)</f>
        <v/>
      </c>
      <c r="AJ53" s="56">
        <f>IF(Tim!CQ55="","",1)</f>
        <v>1</v>
      </c>
      <c r="AK53" s="60" t="str">
        <f>IF(Tim!CR55="","",1)</f>
        <v/>
      </c>
      <c r="AL53" s="60" t="str">
        <f>IF(Tim!CS55="","",1)</f>
        <v/>
      </c>
      <c r="AM53" s="60" t="str">
        <f>IF(Tim!CT55="","",1)</f>
        <v/>
      </c>
      <c r="AN53" s="60" t="str">
        <f>IF(Tim!CU55="","",1)</f>
        <v/>
      </c>
      <c r="AO53" s="60" t="str">
        <f>IF(Tim!CV55="","",1)</f>
        <v/>
      </c>
      <c r="AP53" s="60" t="str">
        <f>IF(Tim!CW55="","",1)</f>
        <v/>
      </c>
      <c r="AQ53" s="60" t="str">
        <f>IF(Tim!CX55="","",1)</f>
        <v/>
      </c>
      <c r="AR53" s="60" t="str">
        <f>IF(Tim!CY55="","",1)</f>
        <v/>
      </c>
      <c r="AS53" s="60" t="str">
        <f>IF(Tim!CZ55="","",1)</f>
        <v/>
      </c>
      <c r="AT53" s="60" t="str">
        <f>IF(Tim!DA55="","",1)</f>
        <v/>
      </c>
      <c r="AU53" s="60" t="str">
        <f>IF(Tim!DB55="","",1)</f>
        <v/>
      </c>
      <c r="AV53" s="60" t="str">
        <f>IF(Tim!DC55="","",1)</f>
        <v/>
      </c>
      <c r="AW53" s="60" t="str">
        <f>IF(Tim!DD55="","",1)</f>
        <v/>
      </c>
      <c r="AX53" s="60" t="str">
        <f>IF(Tim!DE55="","",1)</f>
        <v/>
      </c>
      <c r="AY53" s="56">
        <f>IF(Tim!EL55="","",1)</f>
        <v>1</v>
      </c>
      <c r="AZ53" s="60" t="str">
        <f>IF(Tim!EM55="","",1)</f>
        <v/>
      </c>
      <c r="BA53" s="60" t="str">
        <f>IF(Tim!EN55="","",1)</f>
        <v/>
      </c>
      <c r="BB53" s="60" t="str">
        <f>IF(Tim!EO55="","",1)</f>
        <v/>
      </c>
      <c r="BC53" s="60" t="str">
        <f>IF(Tim!EP55="","",1)</f>
        <v/>
      </c>
      <c r="BD53" s="60" t="str">
        <f>IF(Tim!EQ55="","",1)</f>
        <v/>
      </c>
      <c r="BE53" s="60" t="str">
        <f>IF(Tim!ER55="","",1)</f>
        <v/>
      </c>
      <c r="BF53" s="60" t="str">
        <f>IF(Tim!ES55="","",1)</f>
        <v/>
      </c>
      <c r="BG53" s="60" t="str">
        <f>IF(Tim!ET55="","",1)</f>
        <v/>
      </c>
      <c r="BH53" s="60" t="str">
        <f>IF(Tim!EU55="","",1)</f>
        <v/>
      </c>
      <c r="BI53" s="60" t="str">
        <f>IF(Tim!EV55="","",1)</f>
        <v/>
      </c>
      <c r="BJ53" s="60" t="str">
        <f>IF(Tim!EW55="","",1)</f>
        <v/>
      </c>
      <c r="BK53" s="60" t="str">
        <f>IF(Tim!EX55="","",1)</f>
        <v/>
      </c>
      <c r="BL53" s="60" t="str">
        <f>IF(Tim!EY55="","",1)</f>
        <v/>
      </c>
      <c r="BM53" s="60" t="str">
        <f>IF(Tim!EZ55="","",1)</f>
        <v/>
      </c>
      <c r="BN53" s="56">
        <f>IF(Tim!GD55="","",1)</f>
        <v>1</v>
      </c>
      <c r="BO53" s="60" t="str">
        <f>IF(Tim!GE55="","",1)</f>
        <v/>
      </c>
      <c r="BP53" s="60" t="str">
        <f>IF(Tim!GF55="","",1)</f>
        <v/>
      </c>
      <c r="BQ53" s="60" t="str">
        <f>IF(Tim!GG55="","",1)</f>
        <v/>
      </c>
      <c r="BR53" s="60" t="str">
        <f>IF(Tim!GH55="","",1)</f>
        <v/>
      </c>
      <c r="BS53" s="60" t="str">
        <f>IF(Tim!GI55="","",1)</f>
        <v/>
      </c>
      <c r="BT53" s="60" t="str">
        <f>IF(Tim!GJ55="","",1)</f>
        <v/>
      </c>
      <c r="BU53" s="60" t="str">
        <f>IF(Tim!GK55="","",1)</f>
        <v/>
      </c>
      <c r="BV53" s="60" t="str">
        <f>IF(Tim!GL55="","",1)</f>
        <v/>
      </c>
      <c r="BW53" s="60" t="str">
        <f>IF(Tim!GM55="","",1)</f>
        <v/>
      </c>
      <c r="BX53" s="60">
        <f>IF(Tim!GN55="","",1)</f>
        <v>1</v>
      </c>
      <c r="BY53" s="60" t="str">
        <f>IF(Tim!GO55="","",1)</f>
        <v/>
      </c>
      <c r="BZ53" s="60" t="str">
        <f>IF(Tim!GP55="","",1)</f>
        <v/>
      </c>
      <c r="CA53" s="60" t="str">
        <f>IF(Tim!GQ55="","",1)</f>
        <v/>
      </c>
      <c r="CB53" s="60" t="str">
        <f>IF(Tim!GR55="","",1)</f>
        <v/>
      </c>
      <c r="CC53" s="56">
        <f>IF(Tim!HV55="","",1)</f>
        <v>1</v>
      </c>
      <c r="CD53" s="53" t="str">
        <f>IF(Tim!HW55="","",1)</f>
        <v/>
      </c>
      <c r="CE53" s="53" t="str">
        <f>IF(Tim!HX55="","",1)</f>
        <v/>
      </c>
      <c r="CF53" s="53" t="str">
        <f>IF(Tim!HY55="","",1)</f>
        <v/>
      </c>
      <c r="CG53" s="53" t="str">
        <f>IF(Tim!HZ55="","",1)</f>
        <v/>
      </c>
      <c r="CH53" s="53" t="str">
        <f>IF(Tim!IA55="","",1)</f>
        <v/>
      </c>
      <c r="CI53" s="53" t="str">
        <f>IF(Tim!IB55="","",1)</f>
        <v/>
      </c>
      <c r="CJ53" s="53" t="str">
        <f>IF(Tim!IC55="","",1)</f>
        <v/>
      </c>
      <c r="CK53" s="53" t="str">
        <f>IF(Tim!ID55="","",1)</f>
        <v/>
      </c>
      <c r="CL53" s="53" t="str">
        <f>IF(Tim!IE55="","",1)</f>
        <v/>
      </c>
      <c r="CM53" s="53" t="str">
        <f>IF(Tim!IF55="","",1)</f>
        <v/>
      </c>
      <c r="CN53" s="53" t="str">
        <f>IF(Tim!IG55="","",1)</f>
        <v/>
      </c>
      <c r="CO53" s="53" t="str">
        <f>IF(Tim!IH55="","",1)</f>
        <v/>
      </c>
      <c r="CP53" s="53" t="str">
        <f>IF(Tim!II55="","",1)</f>
        <v/>
      </c>
      <c r="CQ53" s="53" t="str">
        <f>IF(Tim!IJ55="","",1)</f>
        <v/>
      </c>
      <c r="CR53" s="422"/>
      <c r="CS53" s="423"/>
      <c r="CT53" s="423"/>
      <c r="CU53" s="423"/>
      <c r="CV53" s="423"/>
      <c r="CW53" s="423"/>
      <c r="CX53" s="423"/>
      <c r="CY53" s="423"/>
      <c r="CZ53" s="423"/>
      <c r="DA53" s="423"/>
      <c r="DB53" s="423"/>
      <c r="DC53" s="423"/>
      <c r="DD53" s="423"/>
      <c r="DE53" s="423"/>
      <c r="DF53" s="424"/>
      <c r="DG53" s="52">
        <v>0.79166666666666496</v>
      </c>
    </row>
    <row r="54" spans="2:111" ht="10.5" customHeight="1">
      <c r="B54" s="51">
        <v>0.25</v>
      </c>
      <c r="C54" s="51">
        <v>0.25</v>
      </c>
      <c r="D54" s="51">
        <v>0.25</v>
      </c>
      <c r="E54" s="172">
        <v>0.80208333333333204</v>
      </c>
      <c r="F54" s="56">
        <f>IF(Tim!F56="","",1)</f>
        <v>1</v>
      </c>
      <c r="G54" s="60" t="str">
        <f>IF(Tim!G56="","",1)</f>
        <v/>
      </c>
      <c r="H54" s="60" t="str">
        <f>IF(Tim!H56="","",1)</f>
        <v/>
      </c>
      <c r="I54" s="60" t="str">
        <f>IF(Tim!I56="","",1)</f>
        <v/>
      </c>
      <c r="J54" s="60" t="str">
        <f>IF(Tim!J56="","",1)</f>
        <v/>
      </c>
      <c r="K54" s="60" t="str">
        <f>IF(Tim!K56="","",1)</f>
        <v/>
      </c>
      <c r="L54" s="60" t="str">
        <f>IF(Tim!L56="","",1)</f>
        <v/>
      </c>
      <c r="M54" s="60" t="str">
        <f>IF(Tim!M56="","",1)</f>
        <v/>
      </c>
      <c r="N54" s="60" t="str">
        <f>IF(Tim!N56="","",1)</f>
        <v/>
      </c>
      <c r="O54" s="60" t="str">
        <f>IF(Tim!O56="","",1)</f>
        <v/>
      </c>
      <c r="P54" s="60" t="str">
        <f>IF(Tim!P56="","",1)</f>
        <v/>
      </c>
      <c r="Q54" s="60">
        <f>IF(Tim!Q56="","",1)</f>
        <v>1</v>
      </c>
      <c r="R54" s="60" t="str">
        <f>IF(Tim!R56="","",1)</f>
        <v/>
      </c>
      <c r="S54" s="60" t="str">
        <f>IF(Tim!S56="","",1)</f>
        <v/>
      </c>
      <c r="T54" s="60" t="str">
        <f>IF(Tim!T56="","",1)</f>
        <v/>
      </c>
      <c r="U54" s="56">
        <f>IF(Tim!AY56="","",1)</f>
        <v>1</v>
      </c>
      <c r="V54" s="60" t="str">
        <f>IF(Tim!AZ56="","",1)</f>
        <v/>
      </c>
      <c r="W54" s="60" t="str">
        <f>IF(Tim!BA56="","",1)</f>
        <v/>
      </c>
      <c r="X54" s="60" t="str">
        <f>IF(Tim!BB56="","",1)</f>
        <v/>
      </c>
      <c r="Y54" s="60" t="str">
        <f>IF(Tim!BC56="","",1)</f>
        <v/>
      </c>
      <c r="Z54" s="60" t="str">
        <f>IF(Tim!BD56="","",1)</f>
        <v/>
      </c>
      <c r="AA54" s="60" t="str">
        <f>IF(Tim!BE56="","",1)</f>
        <v/>
      </c>
      <c r="AB54" s="60" t="str">
        <f>IF(Tim!BF56="","",1)</f>
        <v/>
      </c>
      <c r="AC54" s="60" t="str">
        <f>IF(Tim!BG56="","",1)</f>
        <v/>
      </c>
      <c r="AD54" s="60" t="str">
        <f>IF(Tim!BH56="","",1)</f>
        <v/>
      </c>
      <c r="AE54" s="60" t="str">
        <f>IF(Tim!BI56="","",1)</f>
        <v/>
      </c>
      <c r="AF54" s="60" t="str">
        <f>IF(Tim!BJ56="","",1)</f>
        <v/>
      </c>
      <c r="AG54" s="60" t="str">
        <f>IF(Tim!BK56="","",1)</f>
        <v/>
      </c>
      <c r="AH54" s="60" t="str">
        <f>IF(Tim!BL56="","",1)</f>
        <v/>
      </c>
      <c r="AI54" s="60" t="str">
        <f>IF(Tim!BM56="","",1)</f>
        <v/>
      </c>
      <c r="AJ54" s="56">
        <f>IF(Tim!CQ56="","",1)</f>
        <v>1</v>
      </c>
      <c r="AK54" s="60" t="str">
        <f>IF(Tim!CR56="","",1)</f>
        <v/>
      </c>
      <c r="AL54" s="60" t="str">
        <f>IF(Tim!CS56="","",1)</f>
        <v/>
      </c>
      <c r="AM54" s="60" t="str">
        <f>IF(Tim!CT56="","",1)</f>
        <v/>
      </c>
      <c r="AN54" s="60" t="str">
        <f>IF(Tim!CU56="","",1)</f>
        <v/>
      </c>
      <c r="AO54" s="60" t="str">
        <f>IF(Tim!CV56="","",1)</f>
        <v/>
      </c>
      <c r="AP54" s="60" t="str">
        <f>IF(Tim!CW56="","",1)</f>
        <v/>
      </c>
      <c r="AQ54" s="60" t="str">
        <f>IF(Tim!CX56="","",1)</f>
        <v/>
      </c>
      <c r="AR54" s="60" t="str">
        <f>IF(Tim!CY56="","",1)</f>
        <v/>
      </c>
      <c r="AS54" s="60" t="str">
        <f>IF(Tim!CZ56="","",1)</f>
        <v/>
      </c>
      <c r="AT54" s="60" t="str">
        <f>IF(Tim!DA56="","",1)</f>
        <v/>
      </c>
      <c r="AU54" s="60" t="str">
        <f>IF(Tim!DB56="","",1)</f>
        <v/>
      </c>
      <c r="AV54" s="60" t="str">
        <f>IF(Tim!DC56="","",1)</f>
        <v/>
      </c>
      <c r="AW54" s="60" t="str">
        <f>IF(Tim!DD56="","",1)</f>
        <v/>
      </c>
      <c r="AX54" s="60" t="str">
        <f>IF(Tim!DE56="","",1)</f>
        <v/>
      </c>
      <c r="AY54" s="56">
        <f>IF(Tim!EL56="","",1)</f>
        <v>1</v>
      </c>
      <c r="AZ54" s="60" t="str">
        <f>IF(Tim!EM56="","",1)</f>
        <v/>
      </c>
      <c r="BA54" s="60" t="str">
        <f>IF(Tim!EN56="","",1)</f>
        <v/>
      </c>
      <c r="BB54" s="60" t="str">
        <f>IF(Tim!EO56="","",1)</f>
        <v/>
      </c>
      <c r="BC54" s="60" t="str">
        <f>IF(Tim!EP56="","",1)</f>
        <v/>
      </c>
      <c r="BD54" s="60" t="str">
        <f>IF(Tim!EQ56="","",1)</f>
        <v/>
      </c>
      <c r="BE54" s="60" t="str">
        <f>IF(Tim!ER56="","",1)</f>
        <v/>
      </c>
      <c r="BF54" s="60" t="str">
        <f>IF(Tim!ES56="","",1)</f>
        <v/>
      </c>
      <c r="BG54" s="60" t="str">
        <f>IF(Tim!ET56="","",1)</f>
        <v/>
      </c>
      <c r="BH54" s="60" t="str">
        <f>IF(Tim!EU56="","",1)</f>
        <v/>
      </c>
      <c r="BI54" s="60" t="str">
        <f>IF(Tim!EV56="","",1)</f>
        <v/>
      </c>
      <c r="BJ54" s="60" t="str">
        <f>IF(Tim!EW56="","",1)</f>
        <v/>
      </c>
      <c r="BK54" s="60" t="str">
        <f>IF(Tim!EX56="","",1)</f>
        <v/>
      </c>
      <c r="BL54" s="60" t="str">
        <f>IF(Tim!EY56="","",1)</f>
        <v/>
      </c>
      <c r="BM54" s="60" t="str">
        <f>IF(Tim!EZ56="","",1)</f>
        <v/>
      </c>
      <c r="BN54" s="56">
        <f>IF(Tim!GD56="","",1)</f>
        <v>1</v>
      </c>
      <c r="BO54" s="60" t="str">
        <f>IF(Tim!GE56="","",1)</f>
        <v/>
      </c>
      <c r="BP54" s="60" t="str">
        <f>IF(Tim!GF56="","",1)</f>
        <v/>
      </c>
      <c r="BQ54" s="60" t="str">
        <f>IF(Tim!GG56="","",1)</f>
        <v/>
      </c>
      <c r="BR54" s="60" t="str">
        <f>IF(Tim!GH56="","",1)</f>
        <v/>
      </c>
      <c r="BS54" s="60" t="str">
        <f>IF(Tim!GI56="","",1)</f>
        <v/>
      </c>
      <c r="BT54" s="60" t="str">
        <f>IF(Tim!GJ56="","",1)</f>
        <v/>
      </c>
      <c r="BU54" s="60" t="str">
        <f>IF(Tim!GK56="","",1)</f>
        <v/>
      </c>
      <c r="BV54" s="60" t="str">
        <f>IF(Tim!GL56="","",1)</f>
        <v/>
      </c>
      <c r="BW54" s="60" t="str">
        <f>IF(Tim!GM56="","",1)</f>
        <v/>
      </c>
      <c r="BX54" s="60">
        <f>IF(Tim!GN56="","",1)</f>
        <v>1</v>
      </c>
      <c r="BY54" s="60" t="str">
        <f>IF(Tim!GO56="","",1)</f>
        <v/>
      </c>
      <c r="BZ54" s="60" t="str">
        <f>IF(Tim!GP56="","",1)</f>
        <v/>
      </c>
      <c r="CA54" s="60" t="str">
        <f>IF(Tim!GQ56="","",1)</f>
        <v/>
      </c>
      <c r="CB54" s="60" t="str">
        <f>IF(Tim!GR56="","",1)</f>
        <v/>
      </c>
      <c r="CC54" s="56">
        <f>IF(Tim!HV56="","",1)</f>
        <v>1</v>
      </c>
      <c r="CD54" s="53" t="str">
        <f>IF(Tim!HW56="","",1)</f>
        <v/>
      </c>
      <c r="CE54" s="53" t="str">
        <f>IF(Tim!HX56="","",1)</f>
        <v/>
      </c>
      <c r="CF54" s="53" t="str">
        <f>IF(Tim!HY56="","",1)</f>
        <v/>
      </c>
      <c r="CG54" s="53" t="str">
        <f>IF(Tim!HZ56="","",1)</f>
        <v/>
      </c>
      <c r="CH54" s="53" t="str">
        <f>IF(Tim!IA56="","",1)</f>
        <v/>
      </c>
      <c r="CI54" s="53" t="str">
        <f>IF(Tim!IB56="","",1)</f>
        <v/>
      </c>
      <c r="CJ54" s="53" t="str">
        <f>IF(Tim!IC56="","",1)</f>
        <v/>
      </c>
      <c r="CK54" s="53" t="str">
        <f>IF(Tim!ID56="","",1)</f>
        <v/>
      </c>
      <c r="CL54" s="53" t="str">
        <f>IF(Tim!IE56="","",1)</f>
        <v/>
      </c>
      <c r="CM54" s="53" t="str">
        <f>IF(Tim!IF56="","",1)</f>
        <v/>
      </c>
      <c r="CN54" s="53" t="str">
        <f>IF(Tim!IG56="","",1)</f>
        <v/>
      </c>
      <c r="CO54" s="53" t="str">
        <f>IF(Tim!IH56="","",1)</f>
        <v/>
      </c>
      <c r="CP54" s="53" t="str">
        <f>IF(Tim!II56="","",1)</f>
        <v/>
      </c>
      <c r="CQ54" s="53" t="str">
        <f>IF(Tim!IJ56="","",1)</f>
        <v/>
      </c>
      <c r="CR54" s="422"/>
      <c r="CS54" s="423"/>
      <c r="CT54" s="423"/>
      <c r="CU54" s="423"/>
      <c r="CV54" s="423"/>
      <c r="CW54" s="423"/>
      <c r="CX54" s="423"/>
      <c r="CY54" s="423"/>
      <c r="CZ54" s="423"/>
      <c r="DA54" s="423"/>
      <c r="DB54" s="423"/>
      <c r="DC54" s="423"/>
      <c r="DD54" s="423"/>
      <c r="DE54" s="423"/>
      <c r="DF54" s="424"/>
      <c r="DG54" s="52">
        <v>0.80208333333333204</v>
      </c>
    </row>
    <row r="55" spans="2:111" ht="10.5" customHeight="1">
      <c r="B55" s="51">
        <v>0.25</v>
      </c>
      <c r="C55" s="51">
        <v>0.25</v>
      </c>
      <c r="D55" s="51">
        <v>0.25</v>
      </c>
      <c r="E55" s="172">
        <v>0.812499999999998</v>
      </c>
      <c r="F55" s="56">
        <f>IF(Tim!F57="","",1)</f>
        <v>1</v>
      </c>
      <c r="G55" s="60" t="str">
        <f>IF(Tim!G57="","",1)</f>
        <v/>
      </c>
      <c r="H55" s="60" t="str">
        <f>IF(Tim!H57="","",1)</f>
        <v/>
      </c>
      <c r="I55" s="60" t="str">
        <f>IF(Tim!I57="","",1)</f>
        <v/>
      </c>
      <c r="J55" s="60" t="str">
        <f>IF(Tim!J57="","",1)</f>
        <v/>
      </c>
      <c r="K55" s="60" t="str">
        <f>IF(Tim!K57="","",1)</f>
        <v/>
      </c>
      <c r="L55" s="60" t="str">
        <f>IF(Tim!L57="","",1)</f>
        <v/>
      </c>
      <c r="M55" s="60" t="str">
        <f>IF(Tim!M57="","",1)</f>
        <v/>
      </c>
      <c r="N55" s="60" t="str">
        <f>IF(Tim!N57="","",1)</f>
        <v/>
      </c>
      <c r="O55" s="60" t="str">
        <f>IF(Tim!O57="","",1)</f>
        <v/>
      </c>
      <c r="P55" s="60" t="str">
        <f>IF(Tim!P57="","",1)</f>
        <v/>
      </c>
      <c r="Q55" s="60">
        <f>IF(Tim!Q57="","",1)</f>
        <v>1</v>
      </c>
      <c r="R55" s="60" t="str">
        <f>IF(Tim!R57="","",1)</f>
        <v/>
      </c>
      <c r="S55" s="60" t="str">
        <f>IF(Tim!S57="","",1)</f>
        <v/>
      </c>
      <c r="T55" s="60" t="str">
        <f>IF(Tim!T57="","",1)</f>
        <v/>
      </c>
      <c r="U55" s="56">
        <f>IF(Tim!AY57="","",1)</f>
        <v>1</v>
      </c>
      <c r="V55" s="60" t="str">
        <f>IF(Tim!AZ57="","",1)</f>
        <v/>
      </c>
      <c r="W55" s="60" t="str">
        <f>IF(Tim!BA57="","",1)</f>
        <v/>
      </c>
      <c r="X55" s="60" t="str">
        <f>IF(Tim!BB57="","",1)</f>
        <v/>
      </c>
      <c r="Y55" s="60" t="str">
        <f>IF(Tim!BC57="","",1)</f>
        <v/>
      </c>
      <c r="Z55" s="60" t="str">
        <f>IF(Tim!BD57="","",1)</f>
        <v/>
      </c>
      <c r="AA55" s="60" t="str">
        <f>IF(Tim!BE57="","",1)</f>
        <v/>
      </c>
      <c r="AB55" s="60" t="str">
        <f>IF(Tim!BF57="","",1)</f>
        <v/>
      </c>
      <c r="AC55" s="60" t="str">
        <f>IF(Tim!BG57="","",1)</f>
        <v/>
      </c>
      <c r="AD55" s="60" t="str">
        <f>IF(Tim!BH57="","",1)</f>
        <v/>
      </c>
      <c r="AE55" s="60" t="str">
        <f>IF(Tim!BI57="","",1)</f>
        <v/>
      </c>
      <c r="AF55" s="60" t="str">
        <f>IF(Tim!BJ57="","",1)</f>
        <v/>
      </c>
      <c r="AG55" s="60" t="str">
        <f>IF(Tim!BK57="","",1)</f>
        <v/>
      </c>
      <c r="AH55" s="60" t="str">
        <f>IF(Tim!BL57="","",1)</f>
        <v/>
      </c>
      <c r="AI55" s="60" t="str">
        <f>IF(Tim!BM57="","",1)</f>
        <v/>
      </c>
      <c r="AJ55" s="56">
        <f>IF(Tim!CQ57="","",1)</f>
        <v>1</v>
      </c>
      <c r="AK55" s="60" t="str">
        <f>IF(Tim!CR57="","",1)</f>
        <v/>
      </c>
      <c r="AL55" s="60" t="str">
        <f>IF(Tim!CS57="","",1)</f>
        <v/>
      </c>
      <c r="AM55" s="60" t="str">
        <f>IF(Tim!CT57="","",1)</f>
        <v/>
      </c>
      <c r="AN55" s="60" t="str">
        <f>IF(Tim!CU57="","",1)</f>
        <v/>
      </c>
      <c r="AO55" s="60" t="str">
        <f>IF(Tim!CV57="","",1)</f>
        <v/>
      </c>
      <c r="AP55" s="60" t="str">
        <f>IF(Tim!CW57="","",1)</f>
        <v/>
      </c>
      <c r="AQ55" s="60" t="str">
        <f>IF(Tim!CX57="","",1)</f>
        <v/>
      </c>
      <c r="AR55" s="60" t="str">
        <f>IF(Tim!CY57="","",1)</f>
        <v/>
      </c>
      <c r="AS55" s="60" t="str">
        <f>IF(Tim!CZ57="","",1)</f>
        <v/>
      </c>
      <c r="AT55" s="60" t="str">
        <f>IF(Tim!DA57="","",1)</f>
        <v/>
      </c>
      <c r="AU55" s="60" t="str">
        <f>IF(Tim!DB57="","",1)</f>
        <v/>
      </c>
      <c r="AV55" s="60" t="str">
        <f>IF(Tim!DC57="","",1)</f>
        <v/>
      </c>
      <c r="AW55" s="60" t="str">
        <f>IF(Tim!DD57="","",1)</f>
        <v/>
      </c>
      <c r="AX55" s="60" t="str">
        <f>IF(Tim!DE57="","",1)</f>
        <v/>
      </c>
      <c r="AY55" s="56">
        <f>IF(Tim!EL57="","",1)</f>
        <v>1</v>
      </c>
      <c r="AZ55" s="60" t="str">
        <f>IF(Tim!EM57="","",1)</f>
        <v/>
      </c>
      <c r="BA55" s="60" t="str">
        <f>IF(Tim!EN57="","",1)</f>
        <v/>
      </c>
      <c r="BB55" s="60" t="str">
        <f>IF(Tim!EO57="","",1)</f>
        <v/>
      </c>
      <c r="BC55" s="60" t="str">
        <f>IF(Tim!EP57="","",1)</f>
        <v/>
      </c>
      <c r="BD55" s="60" t="str">
        <f>IF(Tim!EQ57="","",1)</f>
        <v/>
      </c>
      <c r="BE55" s="60" t="str">
        <f>IF(Tim!ER57="","",1)</f>
        <v/>
      </c>
      <c r="BF55" s="60" t="str">
        <f>IF(Tim!ES57="","",1)</f>
        <v/>
      </c>
      <c r="BG55" s="60" t="str">
        <f>IF(Tim!ET57="","",1)</f>
        <v/>
      </c>
      <c r="BH55" s="60" t="str">
        <f>IF(Tim!EU57="","",1)</f>
        <v/>
      </c>
      <c r="BI55" s="60" t="str">
        <f>IF(Tim!EV57="","",1)</f>
        <v/>
      </c>
      <c r="BJ55" s="60" t="str">
        <f>IF(Tim!EW57="","",1)</f>
        <v/>
      </c>
      <c r="BK55" s="60" t="str">
        <f>IF(Tim!EX57="","",1)</f>
        <v/>
      </c>
      <c r="BL55" s="60" t="str">
        <f>IF(Tim!EY57="","",1)</f>
        <v/>
      </c>
      <c r="BM55" s="60" t="str">
        <f>IF(Tim!EZ57="","",1)</f>
        <v/>
      </c>
      <c r="BN55" s="56">
        <f>IF(Tim!GD57="","",1)</f>
        <v>1</v>
      </c>
      <c r="BO55" s="60" t="str">
        <f>IF(Tim!GE57="","",1)</f>
        <v/>
      </c>
      <c r="BP55" s="60" t="str">
        <f>IF(Tim!GF57="","",1)</f>
        <v/>
      </c>
      <c r="BQ55" s="60" t="str">
        <f>IF(Tim!GG57="","",1)</f>
        <v/>
      </c>
      <c r="BR55" s="60" t="str">
        <f>IF(Tim!GH57="","",1)</f>
        <v/>
      </c>
      <c r="BS55" s="60" t="str">
        <f>IF(Tim!GI57="","",1)</f>
        <v/>
      </c>
      <c r="BT55" s="60" t="str">
        <f>IF(Tim!GJ57="","",1)</f>
        <v/>
      </c>
      <c r="BU55" s="60" t="str">
        <f>IF(Tim!GK57="","",1)</f>
        <v/>
      </c>
      <c r="BV55" s="60" t="str">
        <f>IF(Tim!GL57="","",1)</f>
        <v/>
      </c>
      <c r="BW55" s="60" t="str">
        <f>IF(Tim!GM57="","",1)</f>
        <v/>
      </c>
      <c r="BX55" s="60">
        <f>IF(Tim!GN57="","",1)</f>
        <v>1</v>
      </c>
      <c r="BY55" s="60" t="str">
        <f>IF(Tim!GO57="","",1)</f>
        <v/>
      </c>
      <c r="BZ55" s="60" t="str">
        <f>IF(Tim!GP57="","",1)</f>
        <v/>
      </c>
      <c r="CA55" s="60" t="str">
        <f>IF(Tim!GQ57="","",1)</f>
        <v/>
      </c>
      <c r="CB55" s="60" t="str">
        <f>IF(Tim!GR57="","",1)</f>
        <v/>
      </c>
      <c r="CC55" s="56">
        <f>IF(Tim!HV57="","",1)</f>
        <v>1</v>
      </c>
      <c r="CD55" s="53" t="str">
        <f>IF(Tim!HW57="","",1)</f>
        <v/>
      </c>
      <c r="CE55" s="53" t="str">
        <f>IF(Tim!HX57="","",1)</f>
        <v/>
      </c>
      <c r="CF55" s="53" t="str">
        <f>IF(Tim!HY57="","",1)</f>
        <v/>
      </c>
      <c r="CG55" s="53" t="str">
        <f>IF(Tim!HZ57="","",1)</f>
        <v/>
      </c>
      <c r="CH55" s="53" t="str">
        <f>IF(Tim!IA57="","",1)</f>
        <v/>
      </c>
      <c r="CI55" s="53" t="str">
        <f>IF(Tim!IB57="","",1)</f>
        <v/>
      </c>
      <c r="CJ55" s="53" t="str">
        <f>IF(Tim!IC57="","",1)</f>
        <v/>
      </c>
      <c r="CK55" s="53" t="str">
        <f>IF(Tim!ID57="","",1)</f>
        <v/>
      </c>
      <c r="CL55" s="53" t="str">
        <f>IF(Tim!IE57="","",1)</f>
        <v/>
      </c>
      <c r="CM55" s="53" t="str">
        <f>IF(Tim!IF57="","",1)</f>
        <v/>
      </c>
      <c r="CN55" s="53" t="str">
        <f>IF(Tim!IG57="","",1)</f>
        <v/>
      </c>
      <c r="CO55" s="53" t="str">
        <f>IF(Tim!IH57="","",1)</f>
        <v/>
      </c>
      <c r="CP55" s="53" t="str">
        <f>IF(Tim!II57="","",1)</f>
        <v/>
      </c>
      <c r="CQ55" s="53" t="str">
        <f>IF(Tim!IJ57="","",1)</f>
        <v/>
      </c>
      <c r="CR55" s="422"/>
      <c r="CS55" s="423"/>
      <c r="CT55" s="423"/>
      <c r="CU55" s="423"/>
      <c r="CV55" s="423"/>
      <c r="CW55" s="423"/>
      <c r="CX55" s="423"/>
      <c r="CY55" s="423"/>
      <c r="CZ55" s="423"/>
      <c r="DA55" s="423"/>
      <c r="DB55" s="423"/>
      <c r="DC55" s="423"/>
      <c r="DD55" s="423"/>
      <c r="DE55" s="423"/>
      <c r="DF55" s="424"/>
      <c r="DG55" s="52">
        <v>0.812499999999998</v>
      </c>
    </row>
    <row r="56" spans="2:111" ht="10.5" customHeight="1" thickBot="1">
      <c r="B56" s="51">
        <v>0.25</v>
      </c>
      <c r="C56" s="51">
        <v>0.25</v>
      </c>
      <c r="D56" s="51">
        <v>0.25</v>
      </c>
      <c r="E56" s="172">
        <v>0.82291666666666496</v>
      </c>
      <c r="F56" s="56">
        <f>IF(Tim!F58="","",1)</f>
        <v>1</v>
      </c>
      <c r="G56" s="60" t="str">
        <f>IF(Tim!G58="","",1)</f>
        <v/>
      </c>
      <c r="H56" s="60" t="str">
        <f>IF(Tim!H58="","",1)</f>
        <v/>
      </c>
      <c r="I56" s="60" t="str">
        <f>IF(Tim!I58="","",1)</f>
        <v/>
      </c>
      <c r="J56" s="60" t="str">
        <f>IF(Tim!J58="","",1)</f>
        <v/>
      </c>
      <c r="K56" s="60" t="str">
        <f>IF(Tim!K58="","",1)</f>
        <v/>
      </c>
      <c r="L56" s="60" t="str">
        <f>IF(Tim!L58="","",1)</f>
        <v/>
      </c>
      <c r="M56" s="60" t="str">
        <f>IF(Tim!M58="","",1)</f>
        <v/>
      </c>
      <c r="N56" s="60" t="str">
        <f>IF(Tim!N58="","",1)</f>
        <v/>
      </c>
      <c r="O56" s="60" t="str">
        <f>IF(Tim!O58="","",1)</f>
        <v/>
      </c>
      <c r="P56" s="60" t="str">
        <f>IF(Tim!P58="","",1)</f>
        <v/>
      </c>
      <c r="Q56" s="60">
        <f>IF(Tim!Q58="","",1)</f>
        <v>1</v>
      </c>
      <c r="R56" s="60" t="str">
        <f>IF(Tim!R58="","",1)</f>
        <v/>
      </c>
      <c r="S56" s="60" t="str">
        <f>IF(Tim!S58="","",1)</f>
        <v/>
      </c>
      <c r="T56" s="60" t="str">
        <f>IF(Tim!T58="","",1)</f>
        <v/>
      </c>
      <c r="U56" s="56">
        <f>IF(Tim!AY58="","",1)</f>
        <v>1</v>
      </c>
      <c r="V56" s="60" t="str">
        <f>IF(Tim!AZ58="","",1)</f>
        <v/>
      </c>
      <c r="W56" s="60" t="str">
        <f>IF(Tim!BA58="","",1)</f>
        <v/>
      </c>
      <c r="X56" s="60" t="str">
        <f>IF(Tim!BB58="","",1)</f>
        <v/>
      </c>
      <c r="Y56" s="60" t="str">
        <f>IF(Tim!BC58="","",1)</f>
        <v/>
      </c>
      <c r="Z56" s="60" t="str">
        <f>IF(Tim!BD58="","",1)</f>
        <v/>
      </c>
      <c r="AA56" s="60" t="str">
        <f>IF(Tim!BE58="","",1)</f>
        <v/>
      </c>
      <c r="AB56" s="60" t="str">
        <f>IF(Tim!BF58="","",1)</f>
        <v/>
      </c>
      <c r="AC56" s="60" t="str">
        <f>IF(Tim!BG58="","",1)</f>
        <v/>
      </c>
      <c r="AD56" s="60" t="str">
        <f>IF(Tim!BH58="","",1)</f>
        <v/>
      </c>
      <c r="AE56" s="60" t="str">
        <f>IF(Tim!BI58="","",1)</f>
        <v/>
      </c>
      <c r="AF56" s="60" t="str">
        <f>IF(Tim!BJ58="","",1)</f>
        <v/>
      </c>
      <c r="AG56" s="60" t="str">
        <f>IF(Tim!BK58="","",1)</f>
        <v/>
      </c>
      <c r="AH56" s="60" t="str">
        <f>IF(Tim!BL58="","",1)</f>
        <v/>
      </c>
      <c r="AI56" s="60" t="str">
        <f>IF(Tim!BM58="","",1)</f>
        <v/>
      </c>
      <c r="AJ56" s="56">
        <f>IF(Tim!CQ58="","",1)</f>
        <v>1</v>
      </c>
      <c r="AK56" s="60" t="str">
        <f>IF(Tim!CR58="","",1)</f>
        <v/>
      </c>
      <c r="AL56" s="60" t="str">
        <f>IF(Tim!CS58="","",1)</f>
        <v/>
      </c>
      <c r="AM56" s="60" t="str">
        <f>IF(Tim!CT58="","",1)</f>
        <v/>
      </c>
      <c r="AN56" s="60" t="str">
        <f>IF(Tim!CU58="","",1)</f>
        <v/>
      </c>
      <c r="AO56" s="60" t="str">
        <f>IF(Tim!CV58="","",1)</f>
        <v/>
      </c>
      <c r="AP56" s="60" t="str">
        <f>IF(Tim!CW58="","",1)</f>
        <v/>
      </c>
      <c r="AQ56" s="60" t="str">
        <f>IF(Tim!CX58="","",1)</f>
        <v/>
      </c>
      <c r="AR56" s="60" t="str">
        <f>IF(Tim!CY58="","",1)</f>
        <v/>
      </c>
      <c r="AS56" s="60" t="str">
        <f>IF(Tim!CZ58="","",1)</f>
        <v/>
      </c>
      <c r="AT56" s="60" t="str">
        <f>IF(Tim!DA58="","",1)</f>
        <v/>
      </c>
      <c r="AU56" s="60" t="str">
        <f>IF(Tim!DB58="","",1)</f>
        <v/>
      </c>
      <c r="AV56" s="60" t="str">
        <f>IF(Tim!DC58="","",1)</f>
        <v/>
      </c>
      <c r="AW56" s="60" t="str">
        <f>IF(Tim!DD58="","",1)</f>
        <v/>
      </c>
      <c r="AX56" s="60" t="str">
        <f>IF(Tim!DE58="","",1)</f>
        <v/>
      </c>
      <c r="AY56" s="56">
        <f>IF(Tim!EL58="","",1)</f>
        <v>1</v>
      </c>
      <c r="AZ56" s="60" t="str">
        <f>IF(Tim!EM58="","",1)</f>
        <v/>
      </c>
      <c r="BA56" s="60" t="str">
        <f>IF(Tim!EN58="","",1)</f>
        <v/>
      </c>
      <c r="BB56" s="60" t="str">
        <f>IF(Tim!EO58="","",1)</f>
        <v/>
      </c>
      <c r="BC56" s="60" t="str">
        <f>IF(Tim!EP58="","",1)</f>
        <v/>
      </c>
      <c r="BD56" s="60" t="str">
        <f>IF(Tim!EQ58="","",1)</f>
        <v/>
      </c>
      <c r="BE56" s="60" t="str">
        <f>IF(Tim!ER58="","",1)</f>
        <v/>
      </c>
      <c r="BF56" s="60" t="str">
        <f>IF(Tim!ES58="","",1)</f>
        <v/>
      </c>
      <c r="BG56" s="60" t="str">
        <f>IF(Tim!ET58="","",1)</f>
        <v/>
      </c>
      <c r="BH56" s="60" t="str">
        <f>IF(Tim!EU58="","",1)</f>
        <v/>
      </c>
      <c r="BI56" s="60" t="str">
        <f>IF(Tim!EV58="","",1)</f>
        <v/>
      </c>
      <c r="BJ56" s="60" t="str">
        <f>IF(Tim!EW58="","",1)</f>
        <v/>
      </c>
      <c r="BK56" s="60" t="str">
        <f>IF(Tim!EX58="","",1)</f>
        <v/>
      </c>
      <c r="BL56" s="60" t="str">
        <f>IF(Tim!EY58="","",1)</f>
        <v/>
      </c>
      <c r="BM56" s="60" t="str">
        <f>IF(Tim!EZ58="","",1)</f>
        <v/>
      </c>
      <c r="BN56" s="56">
        <f>IF(Tim!GD58="","",1)</f>
        <v>1</v>
      </c>
      <c r="BO56" s="60" t="str">
        <f>IF(Tim!GE58="","",1)</f>
        <v/>
      </c>
      <c r="BP56" s="60" t="str">
        <f>IF(Tim!GF58="","",1)</f>
        <v/>
      </c>
      <c r="BQ56" s="60" t="str">
        <f>IF(Tim!GG58="","",1)</f>
        <v/>
      </c>
      <c r="BR56" s="60" t="str">
        <f>IF(Tim!GH58="","",1)</f>
        <v/>
      </c>
      <c r="BS56" s="60" t="str">
        <f>IF(Tim!GI58="","",1)</f>
        <v/>
      </c>
      <c r="BT56" s="60" t="str">
        <f>IF(Tim!GJ58="","",1)</f>
        <v/>
      </c>
      <c r="BU56" s="60" t="str">
        <f>IF(Tim!GK58="","",1)</f>
        <v/>
      </c>
      <c r="BV56" s="60" t="str">
        <f>IF(Tim!GL58="","",1)</f>
        <v/>
      </c>
      <c r="BW56" s="60" t="str">
        <f>IF(Tim!GM58="","",1)</f>
        <v/>
      </c>
      <c r="BX56" s="60">
        <f>IF(Tim!GN58="","",1)</f>
        <v>1</v>
      </c>
      <c r="BY56" s="60" t="str">
        <f>IF(Tim!GO58="","",1)</f>
        <v/>
      </c>
      <c r="BZ56" s="60" t="str">
        <f>IF(Tim!GP58="","",1)</f>
        <v/>
      </c>
      <c r="CA56" s="60" t="str">
        <f>IF(Tim!GQ58="","",1)</f>
        <v/>
      </c>
      <c r="CB56" s="60" t="str">
        <f>IF(Tim!GR58="","",1)</f>
        <v/>
      </c>
      <c r="CC56" s="73">
        <f>IF(Tim!HV58="","",1)</f>
        <v>1</v>
      </c>
      <c r="CD56" s="70" t="str">
        <f>IF(Tim!HW58="","",1)</f>
        <v/>
      </c>
      <c r="CE56" s="70" t="str">
        <f>IF(Tim!HX58="","",1)</f>
        <v/>
      </c>
      <c r="CF56" s="70" t="str">
        <f>IF(Tim!HY58="","",1)</f>
        <v/>
      </c>
      <c r="CG56" s="70" t="str">
        <f>IF(Tim!HZ58="","",1)</f>
        <v/>
      </c>
      <c r="CH56" s="70" t="str">
        <f>IF(Tim!IA58="","",1)</f>
        <v/>
      </c>
      <c r="CI56" s="70" t="str">
        <f>IF(Tim!IB58="","",1)</f>
        <v/>
      </c>
      <c r="CJ56" s="70" t="str">
        <f>IF(Tim!IC58="","",1)</f>
        <v/>
      </c>
      <c r="CK56" s="70" t="str">
        <f>IF(Tim!ID58="","",1)</f>
        <v/>
      </c>
      <c r="CL56" s="70" t="str">
        <f>IF(Tim!IE58="","",1)</f>
        <v/>
      </c>
      <c r="CM56" s="70" t="str">
        <f>IF(Tim!IF58="","",1)</f>
        <v/>
      </c>
      <c r="CN56" s="70" t="str">
        <f>IF(Tim!IG58="","",1)</f>
        <v/>
      </c>
      <c r="CO56" s="70" t="str">
        <f>IF(Tim!IH58="","",1)</f>
        <v/>
      </c>
      <c r="CP56" s="70" t="str">
        <f>IF(Tim!II58="","",1)</f>
        <v/>
      </c>
      <c r="CQ56" s="70" t="str">
        <f>IF(Tim!IJ58="","",1)</f>
        <v/>
      </c>
      <c r="CR56" s="422"/>
      <c r="CS56" s="423"/>
      <c r="CT56" s="423"/>
      <c r="CU56" s="423"/>
      <c r="CV56" s="423"/>
      <c r="CW56" s="423"/>
      <c r="CX56" s="423"/>
      <c r="CY56" s="423"/>
      <c r="CZ56" s="423"/>
      <c r="DA56" s="423"/>
      <c r="DB56" s="423"/>
      <c r="DC56" s="423"/>
      <c r="DD56" s="423"/>
      <c r="DE56" s="423"/>
      <c r="DF56" s="424"/>
      <c r="DG56" s="52">
        <v>0.82291666666666496</v>
      </c>
    </row>
    <row r="57" spans="2:111" ht="10.5" customHeight="1">
      <c r="B57" s="51">
        <v>0.25</v>
      </c>
      <c r="C57" s="51">
        <v>0.25</v>
      </c>
      <c r="D57" s="51">
        <v>0.25</v>
      </c>
      <c r="E57" s="172">
        <v>0.83333333333333204</v>
      </c>
      <c r="F57" s="56">
        <f>IF(Tim!F59="","",1)</f>
        <v>1</v>
      </c>
      <c r="G57" s="60" t="str">
        <f>IF(Tim!G59="","",1)</f>
        <v/>
      </c>
      <c r="H57" s="60" t="str">
        <f>IF(Tim!H59="","",1)</f>
        <v/>
      </c>
      <c r="I57" s="60" t="str">
        <f>IF(Tim!I59="","",1)</f>
        <v/>
      </c>
      <c r="J57" s="60" t="str">
        <f>IF(Tim!J59="","",1)</f>
        <v/>
      </c>
      <c r="K57" s="60" t="str">
        <f>IF(Tim!K59="","",1)</f>
        <v/>
      </c>
      <c r="L57" s="60" t="str">
        <f>IF(Tim!L59="","",1)</f>
        <v/>
      </c>
      <c r="M57" s="60" t="str">
        <f>IF(Tim!M59="","",1)</f>
        <v/>
      </c>
      <c r="N57" s="60" t="str">
        <f>IF(Tim!N59="","",1)</f>
        <v/>
      </c>
      <c r="O57" s="60" t="str">
        <f>IF(Tim!O59="","",1)</f>
        <v/>
      </c>
      <c r="P57" s="60" t="str">
        <f>IF(Tim!P59="","",1)</f>
        <v/>
      </c>
      <c r="Q57" s="60">
        <f>IF(Tim!Q59="","",1)</f>
        <v>1</v>
      </c>
      <c r="R57" s="60" t="str">
        <f>IF(Tim!R59="","",1)</f>
        <v/>
      </c>
      <c r="S57" s="60" t="str">
        <f>IF(Tim!S59="","",1)</f>
        <v/>
      </c>
      <c r="T57" s="60" t="str">
        <f>IF(Tim!T59="","",1)</f>
        <v/>
      </c>
      <c r="U57" s="56">
        <f>IF(Tim!AY59="","",1)</f>
        <v>1</v>
      </c>
      <c r="V57" s="60" t="str">
        <f>IF(Tim!AZ59="","",1)</f>
        <v/>
      </c>
      <c r="W57" s="60" t="str">
        <f>IF(Tim!BA59="","",1)</f>
        <v/>
      </c>
      <c r="X57" s="60" t="str">
        <f>IF(Tim!BB59="","",1)</f>
        <v/>
      </c>
      <c r="Y57" s="60" t="str">
        <f>IF(Tim!BC59="","",1)</f>
        <v/>
      </c>
      <c r="Z57" s="60" t="str">
        <f>IF(Tim!BD59="","",1)</f>
        <v/>
      </c>
      <c r="AA57" s="60" t="str">
        <f>IF(Tim!BE59="","",1)</f>
        <v/>
      </c>
      <c r="AB57" s="60" t="str">
        <f>IF(Tim!BF59="","",1)</f>
        <v/>
      </c>
      <c r="AC57" s="60" t="str">
        <f>IF(Tim!BG59="","",1)</f>
        <v/>
      </c>
      <c r="AD57" s="60" t="str">
        <f>IF(Tim!BH59="","",1)</f>
        <v/>
      </c>
      <c r="AE57" s="60" t="str">
        <f>IF(Tim!BI59="","",1)</f>
        <v/>
      </c>
      <c r="AF57" s="60" t="str">
        <f>IF(Tim!BJ59="","",1)</f>
        <v/>
      </c>
      <c r="AG57" s="60" t="str">
        <f>IF(Tim!BK59="","",1)</f>
        <v/>
      </c>
      <c r="AH57" s="60" t="str">
        <f>IF(Tim!BL59="","",1)</f>
        <v/>
      </c>
      <c r="AI57" s="60" t="str">
        <f>IF(Tim!BM59="","",1)</f>
        <v/>
      </c>
      <c r="AJ57" s="56">
        <f>IF(Tim!CQ59="","",1)</f>
        <v>1</v>
      </c>
      <c r="AK57" s="60" t="str">
        <f>IF(Tim!CR59="","",1)</f>
        <v/>
      </c>
      <c r="AL57" s="60" t="str">
        <f>IF(Tim!CS59="","",1)</f>
        <v/>
      </c>
      <c r="AM57" s="60" t="str">
        <f>IF(Tim!CT59="","",1)</f>
        <v/>
      </c>
      <c r="AN57" s="60" t="str">
        <f>IF(Tim!CU59="","",1)</f>
        <v/>
      </c>
      <c r="AO57" s="60" t="str">
        <f>IF(Tim!CV59="","",1)</f>
        <v/>
      </c>
      <c r="AP57" s="60" t="str">
        <f>IF(Tim!CW59="","",1)</f>
        <v/>
      </c>
      <c r="AQ57" s="60" t="str">
        <f>IF(Tim!CX59="","",1)</f>
        <v/>
      </c>
      <c r="AR57" s="60" t="str">
        <f>IF(Tim!CY59="","",1)</f>
        <v/>
      </c>
      <c r="AS57" s="60" t="str">
        <f>IF(Tim!CZ59="","",1)</f>
        <v/>
      </c>
      <c r="AT57" s="60" t="str">
        <f>IF(Tim!DA59="","",1)</f>
        <v/>
      </c>
      <c r="AU57" s="60" t="str">
        <f>IF(Tim!DB59="","",1)</f>
        <v/>
      </c>
      <c r="AV57" s="60" t="str">
        <f>IF(Tim!DC59="","",1)</f>
        <v/>
      </c>
      <c r="AW57" s="60" t="str">
        <f>IF(Tim!DD59="","",1)</f>
        <v/>
      </c>
      <c r="AX57" s="60" t="str">
        <f>IF(Tim!DE59="","",1)</f>
        <v/>
      </c>
      <c r="AY57" s="56">
        <f>IF(Tim!EL59="","",1)</f>
        <v>1</v>
      </c>
      <c r="AZ57" s="60" t="str">
        <f>IF(Tim!EM59="","",1)</f>
        <v/>
      </c>
      <c r="BA57" s="60" t="str">
        <f>IF(Tim!EN59="","",1)</f>
        <v/>
      </c>
      <c r="BB57" s="60" t="str">
        <f>IF(Tim!EO59="","",1)</f>
        <v/>
      </c>
      <c r="BC57" s="60" t="str">
        <f>IF(Tim!EP59="","",1)</f>
        <v/>
      </c>
      <c r="BD57" s="60" t="str">
        <f>IF(Tim!EQ59="","",1)</f>
        <v/>
      </c>
      <c r="BE57" s="60" t="str">
        <f>IF(Tim!ER59="","",1)</f>
        <v/>
      </c>
      <c r="BF57" s="60" t="str">
        <f>IF(Tim!ES59="","",1)</f>
        <v/>
      </c>
      <c r="BG57" s="60" t="str">
        <f>IF(Tim!ET59="","",1)</f>
        <v/>
      </c>
      <c r="BH57" s="60" t="str">
        <f>IF(Tim!EU59="","",1)</f>
        <v/>
      </c>
      <c r="BI57" s="60" t="str">
        <f>IF(Tim!EV59="","",1)</f>
        <v/>
      </c>
      <c r="BJ57" s="60" t="str">
        <f>IF(Tim!EW59="","",1)</f>
        <v/>
      </c>
      <c r="BK57" s="60" t="str">
        <f>IF(Tim!EX59="","",1)</f>
        <v/>
      </c>
      <c r="BL57" s="60" t="str">
        <f>IF(Tim!EY59="","",1)</f>
        <v/>
      </c>
      <c r="BM57" s="60" t="str">
        <f>IF(Tim!EZ59="","",1)</f>
        <v/>
      </c>
      <c r="BN57" s="56">
        <f>IF(Tim!GD59="","",1)</f>
        <v>1</v>
      </c>
      <c r="BO57" s="60" t="str">
        <f>IF(Tim!GE59="","",1)</f>
        <v/>
      </c>
      <c r="BP57" s="60" t="str">
        <f>IF(Tim!GF59="","",1)</f>
        <v/>
      </c>
      <c r="BQ57" s="60" t="str">
        <f>IF(Tim!GG59="","",1)</f>
        <v/>
      </c>
      <c r="BR57" s="60" t="str">
        <f>IF(Tim!GH59="","",1)</f>
        <v/>
      </c>
      <c r="BS57" s="60" t="str">
        <f>IF(Tim!GI59="","",1)</f>
        <v/>
      </c>
      <c r="BT57" s="60" t="str">
        <f>IF(Tim!GJ59="","",1)</f>
        <v/>
      </c>
      <c r="BU57" s="60" t="str">
        <f>IF(Tim!GK59="","",1)</f>
        <v/>
      </c>
      <c r="BV57" s="60" t="str">
        <f>IF(Tim!GL59="","",1)</f>
        <v/>
      </c>
      <c r="BW57" s="60" t="str">
        <f>IF(Tim!GM59="","",1)</f>
        <v/>
      </c>
      <c r="BX57" s="60">
        <f>IF(Tim!GN59="","",1)</f>
        <v>1</v>
      </c>
      <c r="BY57" s="60" t="str">
        <f>IF(Tim!GO59="","",1)</f>
        <v/>
      </c>
      <c r="BZ57" s="60" t="str">
        <f>IF(Tim!GP59="","",1)</f>
        <v/>
      </c>
      <c r="CA57" s="60" t="str">
        <f>IF(Tim!GQ59="","",1)</f>
        <v/>
      </c>
      <c r="CB57" s="60" t="str">
        <f>IF(Tim!GR59="","",1)</f>
        <v/>
      </c>
      <c r="CC57" s="468"/>
      <c r="CD57" s="464"/>
      <c r="CE57" s="464"/>
      <c r="CF57" s="464"/>
      <c r="CG57" s="464"/>
      <c r="CH57" s="464"/>
      <c r="CI57" s="464"/>
      <c r="CJ57" s="464"/>
      <c r="CK57" s="464"/>
      <c r="CL57" s="464"/>
      <c r="CM57" s="464"/>
      <c r="CN57" s="464"/>
      <c r="CO57" s="464"/>
      <c r="CP57" s="464"/>
      <c r="CQ57" s="464"/>
      <c r="CR57" s="422"/>
      <c r="CS57" s="423"/>
      <c r="CT57" s="423"/>
      <c r="CU57" s="423"/>
      <c r="CV57" s="423"/>
      <c r="CW57" s="423"/>
      <c r="CX57" s="423"/>
      <c r="CY57" s="423"/>
      <c r="CZ57" s="423"/>
      <c r="DA57" s="423"/>
      <c r="DB57" s="423"/>
      <c r="DC57" s="423"/>
      <c r="DD57" s="423"/>
      <c r="DE57" s="423"/>
      <c r="DF57" s="424"/>
      <c r="DG57" s="52">
        <v>0.83333333333333204</v>
      </c>
    </row>
    <row r="58" spans="2:111" ht="10.5" customHeight="1">
      <c r="B58" s="51">
        <v>0.25</v>
      </c>
      <c r="C58" s="51">
        <v>0.25</v>
      </c>
      <c r="D58" s="51">
        <v>0.25</v>
      </c>
      <c r="E58" s="172">
        <v>0.843749999999998</v>
      </c>
      <c r="F58" s="56">
        <f>IF(Tim!F60="","",1)</f>
        <v>1</v>
      </c>
      <c r="G58" s="60" t="str">
        <f>IF(Tim!G60="","",1)</f>
        <v/>
      </c>
      <c r="H58" s="60" t="str">
        <f>IF(Tim!H60="","",1)</f>
        <v/>
      </c>
      <c r="I58" s="60" t="str">
        <f>IF(Tim!I60="","",1)</f>
        <v/>
      </c>
      <c r="J58" s="60" t="str">
        <f>IF(Tim!J60="","",1)</f>
        <v/>
      </c>
      <c r="K58" s="60" t="str">
        <f>IF(Tim!K60="","",1)</f>
        <v/>
      </c>
      <c r="L58" s="60" t="str">
        <f>IF(Tim!L60="","",1)</f>
        <v/>
      </c>
      <c r="M58" s="60" t="str">
        <f>IF(Tim!M60="","",1)</f>
        <v/>
      </c>
      <c r="N58" s="60" t="str">
        <f>IF(Tim!N60="","",1)</f>
        <v/>
      </c>
      <c r="O58" s="60" t="str">
        <f>IF(Tim!O60="","",1)</f>
        <v/>
      </c>
      <c r="P58" s="60" t="str">
        <f>IF(Tim!P60="","",1)</f>
        <v/>
      </c>
      <c r="Q58" s="60">
        <f>IF(Tim!Q60="","",1)</f>
        <v>1</v>
      </c>
      <c r="R58" s="60" t="str">
        <f>IF(Tim!R60="","",1)</f>
        <v/>
      </c>
      <c r="S58" s="60" t="str">
        <f>IF(Tim!S60="","",1)</f>
        <v/>
      </c>
      <c r="T58" s="60" t="str">
        <f>IF(Tim!T60="","",1)</f>
        <v/>
      </c>
      <c r="U58" s="56">
        <f>IF(Tim!AY60="","",1)</f>
        <v>1</v>
      </c>
      <c r="V58" s="60" t="str">
        <f>IF(Tim!AZ60="","",1)</f>
        <v/>
      </c>
      <c r="W58" s="60" t="str">
        <f>IF(Tim!BA60="","",1)</f>
        <v/>
      </c>
      <c r="X58" s="60" t="str">
        <f>IF(Tim!BB60="","",1)</f>
        <v/>
      </c>
      <c r="Y58" s="60" t="str">
        <f>IF(Tim!BC60="","",1)</f>
        <v/>
      </c>
      <c r="Z58" s="60" t="str">
        <f>IF(Tim!BD60="","",1)</f>
        <v/>
      </c>
      <c r="AA58" s="60" t="str">
        <f>IF(Tim!BE60="","",1)</f>
        <v/>
      </c>
      <c r="AB58" s="60" t="str">
        <f>IF(Tim!BF60="","",1)</f>
        <v/>
      </c>
      <c r="AC58" s="60" t="str">
        <f>IF(Tim!BG60="","",1)</f>
        <v/>
      </c>
      <c r="AD58" s="60" t="str">
        <f>IF(Tim!BH60="","",1)</f>
        <v/>
      </c>
      <c r="AE58" s="60" t="str">
        <f>IF(Tim!BI60="","",1)</f>
        <v/>
      </c>
      <c r="AF58" s="60" t="str">
        <f>IF(Tim!BJ60="","",1)</f>
        <v/>
      </c>
      <c r="AG58" s="60" t="str">
        <f>IF(Tim!BK60="","",1)</f>
        <v/>
      </c>
      <c r="AH58" s="60" t="str">
        <f>IF(Tim!BL60="","",1)</f>
        <v/>
      </c>
      <c r="AI58" s="60" t="str">
        <f>IF(Tim!BM60="","",1)</f>
        <v/>
      </c>
      <c r="AJ58" s="56">
        <f>IF(Tim!CQ60="","",1)</f>
        <v>1</v>
      </c>
      <c r="AK58" s="60" t="str">
        <f>IF(Tim!CR60="","",1)</f>
        <v/>
      </c>
      <c r="AL58" s="60" t="str">
        <f>IF(Tim!CS60="","",1)</f>
        <v/>
      </c>
      <c r="AM58" s="60" t="str">
        <f>IF(Tim!CT60="","",1)</f>
        <v/>
      </c>
      <c r="AN58" s="60" t="str">
        <f>IF(Tim!CU60="","",1)</f>
        <v/>
      </c>
      <c r="AO58" s="60" t="str">
        <f>IF(Tim!CV60="","",1)</f>
        <v/>
      </c>
      <c r="AP58" s="60" t="str">
        <f>IF(Tim!CW60="","",1)</f>
        <v/>
      </c>
      <c r="AQ58" s="60" t="str">
        <f>IF(Tim!CX60="","",1)</f>
        <v/>
      </c>
      <c r="AR58" s="60" t="str">
        <f>IF(Tim!CY60="","",1)</f>
        <v/>
      </c>
      <c r="AS58" s="60" t="str">
        <f>IF(Tim!CZ60="","",1)</f>
        <v/>
      </c>
      <c r="AT58" s="60" t="str">
        <f>IF(Tim!DA60="","",1)</f>
        <v/>
      </c>
      <c r="AU58" s="60" t="str">
        <f>IF(Tim!DB60="","",1)</f>
        <v/>
      </c>
      <c r="AV58" s="60" t="str">
        <f>IF(Tim!DC60="","",1)</f>
        <v/>
      </c>
      <c r="AW58" s="60" t="str">
        <f>IF(Tim!DD60="","",1)</f>
        <v/>
      </c>
      <c r="AX58" s="60" t="str">
        <f>IF(Tim!DE60="","",1)</f>
        <v/>
      </c>
      <c r="AY58" s="56">
        <f>IF(Tim!EL60="","",1)</f>
        <v>1</v>
      </c>
      <c r="AZ58" s="60" t="str">
        <f>IF(Tim!EM60="","",1)</f>
        <v/>
      </c>
      <c r="BA58" s="60" t="str">
        <f>IF(Tim!EN60="","",1)</f>
        <v/>
      </c>
      <c r="BB58" s="60" t="str">
        <f>IF(Tim!EO60="","",1)</f>
        <v/>
      </c>
      <c r="BC58" s="60" t="str">
        <f>IF(Tim!EP60="","",1)</f>
        <v/>
      </c>
      <c r="BD58" s="60" t="str">
        <f>IF(Tim!EQ60="","",1)</f>
        <v/>
      </c>
      <c r="BE58" s="60" t="str">
        <f>IF(Tim!ER60="","",1)</f>
        <v/>
      </c>
      <c r="BF58" s="60" t="str">
        <f>IF(Tim!ES60="","",1)</f>
        <v/>
      </c>
      <c r="BG58" s="60" t="str">
        <f>IF(Tim!ET60="","",1)</f>
        <v/>
      </c>
      <c r="BH58" s="60" t="str">
        <f>IF(Tim!EU60="","",1)</f>
        <v/>
      </c>
      <c r="BI58" s="60" t="str">
        <f>IF(Tim!EV60="","",1)</f>
        <v/>
      </c>
      <c r="BJ58" s="60" t="str">
        <f>IF(Tim!EW60="","",1)</f>
        <v/>
      </c>
      <c r="BK58" s="60" t="str">
        <f>IF(Tim!EX60="","",1)</f>
        <v/>
      </c>
      <c r="BL58" s="60" t="str">
        <f>IF(Tim!EY60="","",1)</f>
        <v/>
      </c>
      <c r="BM58" s="60" t="str">
        <f>IF(Tim!EZ60="","",1)</f>
        <v/>
      </c>
      <c r="BN58" s="56">
        <f>IF(Tim!GD60="","",1)</f>
        <v>1</v>
      </c>
      <c r="BO58" s="60" t="str">
        <f>IF(Tim!GE60="","",1)</f>
        <v/>
      </c>
      <c r="BP58" s="60" t="str">
        <f>IF(Tim!GF60="","",1)</f>
        <v/>
      </c>
      <c r="BQ58" s="60" t="str">
        <f>IF(Tim!GG60="","",1)</f>
        <v/>
      </c>
      <c r="BR58" s="60" t="str">
        <f>IF(Tim!GH60="","",1)</f>
        <v/>
      </c>
      <c r="BS58" s="60" t="str">
        <f>IF(Tim!GI60="","",1)</f>
        <v/>
      </c>
      <c r="BT58" s="60" t="str">
        <f>IF(Tim!GJ60="","",1)</f>
        <v/>
      </c>
      <c r="BU58" s="60" t="str">
        <f>IF(Tim!GK60="","",1)</f>
        <v/>
      </c>
      <c r="BV58" s="60" t="str">
        <f>IF(Tim!GL60="","",1)</f>
        <v/>
      </c>
      <c r="BW58" s="60" t="str">
        <f>IF(Tim!GM60="","",1)</f>
        <v/>
      </c>
      <c r="BX58" s="60">
        <f>IF(Tim!GN60="","",1)</f>
        <v>1</v>
      </c>
      <c r="BY58" s="60" t="str">
        <f>IF(Tim!GO60="","",1)</f>
        <v/>
      </c>
      <c r="BZ58" s="60" t="str">
        <f>IF(Tim!GP60="","",1)</f>
        <v/>
      </c>
      <c r="CA58" s="60" t="str">
        <f>IF(Tim!GQ60="","",1)</f>
        <v/>
      </c>
      <c r="CB58" s="60" t="str">
        <f>IF(Tim!GR60="","",1)</f>
        <v/>
      </c>
      <c r="CC58" s="469"/>
      <c r="CD58" s="366"/>
      <c r="CE58" s="366"/>
      <c r="CF58" s="366"/>
      <c r="CG58" s="366"/>
      <c r="CH58" s="366"/>
      <c r="CI58" s="366"/>
      <c r="CJ58" s="366"/>
      <c r="CK58" s="366"/>
      <c r="CL58" s="366"/>
      <c r="CM58" s="366"/>
      <c r="CN58" s="366"/>
      <c r="CO58" s="366"/>
      <c r="CP58" s="366"/>
      <c r="CQ58" s="366"/>
      <c r="CR58" s="422"/>
      <c r="CS58" s="423"/>
      <c r="CT58" s="423"/>
      <c r="CU58" s="423"/>
      <c r="CV58" s="423"/>
      <c r="CW58" s="423"/>
      <c r="CX58" s="423"/>
      <c r="CY58" s="423"/>
      <c r="CZ58" s="423"/>
      <c r="DA58" s="423"/>
      <c r="DB58" s="423"/>
      <c r="DC58" s="423"/>
      <c r="DD58" s="423"/>
      <c r="DE58" s="423"/>
      <c r="DF58" s="424"/>
      <c r="DG58" s="52">
        <v>0.843749999999998</v>
      </c>
    </row>
    <row r="59" spans="2:111" ht="10.5" customHeight="1">
      <c r="B59" s="51">
        <v>0.25</v>
      </c>
      <c r="C59" s="51">
        <v>0.25</v>
      </c>
      <c r="D59" s="51">
        <v>0.25</v>
      </c>
      <c r="E59" s="172">
        <v>0.85416666666666496</v>
      </c>
      <c r="F59" s="56">
        <f>IF(Tim!F61="","",1)</f>
        <v>1</v>
      </c>
      <c r="G59" s="60">
        <f>IF(Tim!G61="","",1)</f>
        <v>1</v>
      </c>
      <c r="H59" s="60" t="str">
        <f>IF(Tim!H61="","",1)</f>
        <v/>
      </c>
      <c r="I59" s="60" t="str">
        <f>IF(Tim!I61="","",1)</f>
        <v/>
      </c>
      <c r="J59" s="60" t="str">
        <f>IF(Tim!J61="","",1)</f>
        <v/>
      </c>
      <c r="K59" s="60" t="str">
        <f>IF(Tim!K61="","",1)</f>
        <v/>
      </c>
      <c r="L59" s="60" t="str">
        <f>IF(Tim!L61="","",1)</f>
        <v/>
      </c>
      <c r="M59" s="60" t="str">
        <f>IF(Tim!M61="","",1)</f>
        <v/>
      </c>
      <c r="N59" s="60" t="str">
        <f>IF(Tim!N61="","",1)</f>
        <v/>
      </c>
      <c r="O59" s="60" t="str">
        <f>IF(Tim!O61="","",1)</f>
        <v/>
      </c>
      <c r="P59" s="60" t="str">
        <f>IF(Tim!P61="","",1)</f>
        <v/>
      </c>
      <c r="Q59" s="60" t="str">
        <f>IF(Tim!Q61="","",1)</f>
        <v/>
      </c>
      <c r="R59" s="60" t="str">
        <f>IF(Tim!R61="","",1)</f>
        <v/>
      </c>
      <c r="S59" s="60" t="str">
        <f>IF(Tim!S61="","",1)</f>
        <v/>
      </c>
      <c r="T59" s="60" t="str">
        <f>IF(Tim!T61="","",1)</f>
        <v/>
      </c>
      <c r="U59" s="56">
        <f>IF(Tim!AY61="","",1)</f>
        <v>1</v>
      </c>
      <c r="V59" s="60" t="str">
        <f>IF(Tim!AZ61="","",1)</f>
        <v/>
      </c>
      <c r="W59" s="60" t="str">
        <f>IF(Tim!BA61="","",1)</f>
        <v/>
      </c>
      <c r="X59" s="60" t="str">
        <f>IF(Tim!BB61="","",1)</f>
        <v/>
      </c>
      <c r="Y59" s="60" t="str">
        <f>IF(Tim!BC61="","",1)</f>
        <v/>
      </c>
      <c r="Z59" s="60" t="str">
        <f>IF(Tim!BD61="","",1)</f>
        <v/>
      </c>
      <c r="AA59" s="60" t="str">
        <f>IF(Tim!BE61="","",1)</f>
        <v/>
      </c>
      <c r="AB59" s="60" t="str">
        <f>IF(Tim!BF61="","",1)</f>
        <v/>
      </c>
      <c r="AC59" s="60" t="str">
        <f>IF(Tim!BG61="","",1)</f>
        <v/>
      </c>
      <c r="AD59" s="60" t="str">
        <f>IF(Tim!BH61="","",1)</f>
        <v/>
      </c>
      <c r="AE59" s="60" t="str">
        <f>IF(Tim!BI61="","",1)</f>
        <v/>
      </c>
      <c r="AF59" s="60" t="str">
        <f>IF(Tim!BJ61="","",1)</f>
        <v/>
      </c>
      <c r="AG59" s="60" t="str">
        <f>IF(Tim!BK61="","",1)</f>
        <v/>
      </c>
      <c r="AH59" s="60" t="str">
        <f>IF(Tim!BL61="","",1)</f>
        <v/>
      </c>
      <c r="AI59" s="60" t="str">
        <f>IF(Tim!BM61="","",1)</f>
        <v/>
      </c>
      <c r="AJ59" s="56">
        <f>IF(Tim!CQ61="","",1)</f>
        <v>1</v>
      </c>
      <c r="AK59" s="60" t="str">
        <f>IF(Tim!CR61="","",1)</f>
        <v/>
      </c>
      <c r="AL59" s="60" t="str">
        <f>IF(Tim!CS61="","",1)</f>
        <v/>
      </c>
      <c r="AM59" s="60" t="str">
        <f>IF(Tim!CT61="","",1)</f>
        <v/>
      </c>
      <c r="AN59" s="60" t="str">
        <f>IF(Tim!CU61="","",1)</f>
        <v/>
      </c>
      <c r="AO59" s="60" t="str">
        <f>IF(Tim!CV61="","",1)</f>
        <v/>
      </c>
      <c r="AP59" s="60" t="str">
        <f>IF(Tim!CW61="","",1)</f>
        <v/>
      </c>
      <c r="AQ59" s="60" t="str">
        <f>IF(Tim!CX61="","",1)</f>
        <v/>
      </c>
      <c r="AR59" s="60" t="str">
        <f>IF(Tim!CY61="","",1)</f>
        <v/>
      </c>
      <c r="AS59" s="60" t="str">
        <f>IF(Tim!CZ61="","",1)</f>
        <v/>
      </c>
      <c r="AT59" s="60" t="str">
        <f>IF(Tim!DA61="","",1)</f>
        <v/>
      </c>
      <c r="AU59" s="60" t="str">
        <f>IF(Tim!DB61="","",1)</f>
        <v/>
      </c>
      <c r="AV59" s="60" t="str">
        <f>IF(Tim!DC61="","",1)</f>
        <v/>
      </c>
      <c r="AW59" s="60" t="str">
        <f>IF(Tim!DD61="","",1)</f>
        <v/>
      </c>
      <c r="AX59" s="60" t="str">
        <f>IF(Tim!DE61="","",1)</f>
        <v/>
      </c>
      <c r="AY59" s="56">
        <f>IF(Tim!EL61="","",1)</f>
        <v>1</v>
      </c>
      <c r="AZ59" s="60" t="str">
        <f>IF(Tim!EM61="","",1)</f>
        <v/>
      </c>
      <c r="BA59" s="60" t="str">
        <f>IF(Tim!EN61="","",1)</f>
        <v/>
      </c>
      <c r="BB59" s="60" t="str">
        <f>IF(Tim!EO61="","",1)</f>
        <v/>
      </c>
      <c r="BC59" s="60" t="str">
        <f>IF(Tim!EP61="","",1)</f>
        <v/>
      </c>
      <c r="BD59" s="60" t="str">
        <f>IF(Tim!EQ61="","",1)</f>
        <v/>
      </c>
      <c r="BE59" s="60" t="str">
        <f>IF(Tim!ER61="","",1)</f>
        <v/>
      </c>
      <c r="BF59" s="60" t="str">
        <f>IF(Tim!ES61="","",1)</f>
        <v/>
      </c>
      <c r="BG59" s="60" t="str">
        <f>IF(Tim!ET61="","",1)</f>
        <v/>
      </c>
      <c r="BH59" s="60" t="str">
        <f>IF(Tim!EU61="","",1)</f>
        <v/>
      </c>
      <c r="BI59" s="60" t="str">
        <f>IF(Tim!EV61="","",1)</f>
        <v/>
      </c>
      <c r="BJ59" s="60" t="str">
        <f>IF(Tim!EW61="","",1)</f>
        <v/>
      </c>
      <c r="BK59" s="60" t="str">
        <f>IF(Tim!EX61="","",1)</f>
        <v/>
      </c>
      <c r="BL59" s="60" t="str">
        <f>IF(Tim!EY61="","",1)</f>
        <v/>
      </c>
      <c r="BM59" s="60" t="str">
        <f>IF(Tim!EZ61="","",1)</f>
        <v/>
      </c>
      <c r="BN59" s="56">
        <f>IF(Tim!GD61="","",1)</f>
        <v>1</v>
      </c>
      <c r="BO59" s="60" t="str">
        <f>IF(Tim!GE61="","",1)</f>
        <v/>
      </c>
      <c r="BP59" s="60" t="str">
        <f>IF(Tim!GF61="","",1)</f>
        <v/>
      </c>
      <c r="BQ59" s="60" t="str">
        <f>IF(Tim!GG61="","",1)</f>
        <v/>
      </c>
      <c r="BR59" s="60" t="str">
        <f>IF(Tim!GH61="","",1)</f>
        <v/>
      </c>
      <c r="BS59" s="60" t="str">
        <f>IF(Tim!GI61="","",1)</f>
        <v/>
      </c>
      <c r="BT59" s="60" t="str">
        <f>IF(Tim!GJ61="","",1)</f>
        <v/>
      </c>
      <c r="BU59" s="60" t="str">
        <f>IF(Tim!GK61="","",1)</f>
        <v/>
      </c>
      <c r="BV59" s="60" t="str">
        <f>IF(Tim!GL61="","",1)</f>
        <v/>
      </c>
      <c r="BW59" s="60" t="str">
        <f>IF(Tim!GM61="","",1)</f>
        <v/>
      </c>
      <c r="BX59" s="60" t="str">
        <f>IF(Tim!GN61="","",1)</f>
        <v/>
      </c>
      <c r="BY59" s="60" t="str">
        <f>IF(Tim!GO61="","",1)</f>
        <v/>
      </c>
      <c r="BZ59" s="60" t="str">
        <f>IF(Tim!GP61="","",1)</f>
        <v/>
      </c>
      <c r="CA59" s="60" t="str">
        <f>IF(Tim!GQ61="","",1)</f>
        <v/>
      </c>
      <c r="CB59" s="60" t="str">
        <f>IF(Tim!GR61="","",1)</f>
        <v/>
      </c>
      <c r="CC59" s="469"/>
      <c r="CD59" s="366"/>
      <c r="CE59" s="366"/>
      <c r="CF59" s="366"/>
      <c r="CG59" s="366"/>
      <c r="CH59" s="366"/>
      <c r="CI59" s="366"/>
      <c r="CJ59" s="366"/>
      <c r="CK59" s="366"/>
      <c r="CL59" s="366"/>
      <c r="CM59" s="366"/>
      <c r="CN59" s="366"/>
      <c r="CO59" s="366"/>
      <c r="CP59" s="366"/>
      <c r="CQ59" s="366"/>
      <c r="CR59" s="422"/>
      <c r="CS59" s="423"/>
      <c r="CT59" s="423"/>
      <c r="CU59" s="423"/>
      <c r="CV59" s="423"/>
      <c r="CW59" s="423"/>
      <c r="CX59" s="423"/>
      <c r="CY59" s="423"/>
      <c r="CZ59" s="423"/>
      <c r="DA59" s="423"/>
      <c r="DB59" s="423"/>
      <c r="DC59" s="423"/>
      <c r="DD59" s="423"/>
      <c r="DE59" s="423"/>
      <c r="DF59" s="424"/>
      <c r="DG59" s="52">
        <v>0.85416666666666496</v>
      </c>
    </row>
    <row r="60" spans="2:111" ht="10.5" customHeight="1">
      <c r="B60" s="51">
        <v>0.25</v>
      </c>
      <c r="C60" s="51">
        <v>0.25</v>
      </c>
      <c r="D60" s="51">
        <v>0.25</v>
      </c>
      <c r="E60" s="172">
        <v>0.86458333333333204</v>
      </c>
      <c r="F60" s="56">
        <f>IF(Tim!F62="","",1)</f>
        <v>1</v>
      </c>
      <c r="G60" s="60" t="str">
        <f>IF(Tim!G62="","",1)</f>
        <v/>
      </c>
      <c r="H60" s="60" t="str">
        <f>IF(Tim!H62="","",1)</f>
        <v/>
      </c>
      <c r="I60" s="60" t="str">
        <f>IF(Tim!I62="","",1)</f>
        <v/>
      </c>
      <c r="J60" s="60" t="str">
        <f>IF(Tim!J62="","",1)</f>
        <v/>
      </c>
      <c r="K60" s="60" t="str">
        <f>IF(Tim!K62="","",1)</f>
        <v/>
      </c>
      <c r="L60" s="60" t="str">
        <f>IF(Tim!L62="","",1)</f>
        <v/>
      </c>
      <c r="M60" s="60" t="str">
        <f>IF(Tim!M62="","",1)</f>
        <v/>
      </c>
      <c r="N60" s="60" t="str">
        <f>IF(Tim!N62="","",1)</f>
        <v/>
      </c>
      <c r="O60" s="60" t="str">
        <f>IF(Tim!O62="","",1)</f>
        <v/>
      </c>
      <c r="P60" s="60" t="str">
        <f>IF(Tim!P62="","",1)</f>
        <v/>
      </c>
      <c r="Q60" s="60" t="str">
        <f>IF(Tim!Q62="","",1)</f>
        <v/>
      </c>
      <c r="R60" s="60" t="str">
        <f>IF(Tim!R62="","",1)</f>
        <v/>
      </c>
      <c r="S60" s="60" t="str">
        <f>IF(Tim!S62="","",1)</f>
        <v/>
      </c>
      <c r="T60" s="60" t="str">
        <f>IF(Tim!T62="","",1)</f>
        <v/>
      </c>
      <c r="U60" s="56">
        <f>IF(Tim!AY62="","",1)</f>
        <v>1</v>
      </c>
      <c r="V60" s="60" t="str">
        <f>IF(Tim!AZ62="","",1)</f>
        <v/>
      </c>
      <c r="W60" s="60" t="str">
        <f>IF(Tim!BA62="","",1)</f>
        <v/>
      </c>
      <c r="X60" s="60" t="str">
        <f>IF(Tim!BB62="","",1)</f>
        <v/>
      </c>
      <c r="Y60" s="60" t="str">
        <f>IF(Tim!BC62="","",1)</f>
        <v/>
      </c>
      <c r="Z60" s="60" t="str">
        <f>IF(Tim!BD62="","",1)</f>
        <v/>
      </c>
      <c r="AA60" s="60" t="str">
        <f>IF(Tim!BE62="","",1)</f>
        <v/>
      </c>
      <c r="AB60" s="60" t="str">
        <f>IF(Tim!BF62="","",1)</f>
        <v/>
      </c>
      <c r="AC60" s="60" t="str">
        <f>IF(Tim!BG62="","",1)</f>
        <v/>
      </c>
      <c r="AD60" s="60" t="str">
        <f>IF(Tim!BH62="","",1)</f>
        <v/>
      </c>
      <c r="AE60" s="60" t="str">
        <f>IF(Tim!BI62="","",1)</f>
        <v/>
      </c>
      <c r="AF60" s="60" t="str">
        <f>IF(Tim!BJ62="","",1)</f>
        <v/>
      </c>
      <c r="AG60" s="60" t="str">
        <f>IF(Tim!BK62="","",1)</f>
        <v/>
      </c>
      <c r="AH60" s="60" t="str">
        <f>IF(Tim!BL62="","",1)</f>
        <v/>
      </c>
      <c r="AI60" s="60" t="str">
        <f>IF(Tim!BM62="","",1)</f>
        <v/>
      </c>
      <c r="AJ60" s="56">
        <f>IF(Tim!CQ62="","",1)</f>
        <v>1</v>
      </c>
      <c r="AK60" s="60" t="str">
        <f>IF(Tim!CR62="","",1)</f>
        <v/>
      </c>
      <c r="AL60" s="60" t="str">
        <f>IF(Tim!CS62="","",1)</f>
        <v/>
      </c>
      <c r="AM60" s="60" t="str">
        <f>IF(Tim!CT62="","",1)</f>
        <v/>
      </c>
      <c r="AN60" s="60" t="str">
        <f>IF(Tim!CU62="","",1)</f>
        <v/>
      </c>
      <c r="AO60" s="60" t="str">
        <f>IF(Tim!CV62="","",1)</f>
        <v/>
      </c>
      <c r="AP60" s="60" t="str">
        <f>IF(Tim!CW62="","",1)</f>
        <v/>
      </c>
      <c r="AQ60" s="60" t="str">
        <f>IF(Tim!CX62="","",1)</f>
        <v/>
      </c>
      <c r="AR60" s="60" t="str">
        <f>IF(Tim!CY62="","",1)</f>
        <v/>
      </c>
      <c r="AS60" s="60" t="str">
        <f>IF(Tim!CZ62="","",1)</f>
        <v/>
      </c>
      <c r="AT60" s="60" t="str">
        <f>IF(Tim!DA62="","",1)</f>
        <v/>
      </c>
      <c r="AU60" s="60" t="str">
        <f>IF(Tim!DB62="","",1)</f>
        <v/>
      </c>
      <c r="AV60" s="60" t="str">
        <f>IF(Tim!DC62="","",1)</f>
        <v/>
      </c>
      <c r="AW60" s="60" t="str">
        <f>IF(Tim!DD62="","",1)</f>
        <v/>
      </c>
      <c r="AX60" s="60" t="str">
        <f>IF(Tim!DE62="","",1)</f>
        <v/>
      </c>
      <c r="AY60" s="56">
        <f>IF(Tim!EL62="","",1)</f>
        <v>1</v>
      </c>
      <c r="AZ60" s="60" t="str">
        <f>IF(Tim!EM62="","",1)</f>
        <v/>
      </c>
      <c r="BA60" s="60" t="str">
        <f>IF(Tim!EN62="","",1)</f>
        <v/>
      </c>
      <c r="BB60" s="60" t="str">
        <f>IF(Tim!EO62="","",1)</f>
        <v/>
      </c>
      <c r="BC60" s="60" t="str">
        <f>IF(Tim!EP62="","",1)</f>
        <v/>
      </c>
      <c r="BD60" s="60" t="str">
        <f>IF(Tim!EQ62="","",1)</f>
        <v/>
      </c>
      <c r="BE60" s="60" t="str">
        <f>IF(Tim!ER62="","",1)</f>
        <v/>
      </c>
      <c r="BF60" s="60" t="str">
        <f>IF(Tim!ES62="","",1)</f>
        <v/>
      </c>
      <c r="BG60" s="60" t="str">
        <f>IF(Tim!ET62="","",1)</f>
        <v/>
      </c>
      <c r="BH60" s="60" t="str">
        <f>IF(Tim!EU62="","",1)</f>
        <v/>
      </c>
      <c r="BI60" s="60" t="str">
        <f>IF(Tim!EV62="","",1)</f>
        <v/>
      </c>
      <c r="BJ60" s="60" t="str">
        <f>IF(Tim!EW62="","",1)</f>
        <v/>
      </c>
      <c r="BK60" s="60" t="str">
        <f>IF(Tim!EX62="","",1)</f>
        <v/>
      </c>
      <c r="BL60" s="60" t="str">
        <f>IF(Tim!EY62="","",1)</f>
        <v/>
      </c>
      <c r="BM60" s="60" t="str">
        <f>IF(Tim!EZ62="","",1)</f>
        <v/>
      </c>
      <c r="BN60" s="56">
        <f>IF(Tim!GD62="","",1)</f>
        <v>1</v>
      </c>
      <c r="BO60" s="60" t="str">
        <f>IF(Tim!GE62="","",1)</f>
        <v/>
      </c>
      <c r="BP60" s="60" t="str">
        <f>IF(Tim!GF62="","",1)</f>
        <v/>
      </c>
      <c r="BQ60" s="60" t="str">
        <f>IF(Tim!GG62="","",1)</f>
        <v/>
      </c>
      <c r="BR60" s="60" t="str">
        <f>IF(Tim!GH62="","",1)</f>
        <v/>
      </c>
      <c r="BS60" s="60" t="str">
        <f>IF(Tim!GI62="","",1)</f>
        <v/>
      </c>
      <c r="BT60" s="60" t="str">
        <f>IF(Tim!GJ62="","",1)</f>
        <v/>
      </c>
      <c r="BU60" s="60" t="str">
        <f>IF(Tim!GK62="","",1)</f>
        <v/>
      </c>
      <c r="BV60" s="60" t="str">
        <f>IF(Tim!GL62="","",1)</f>
        <v/>
      </c>
      <c r="BW60" s="60" t="str">
        <f>IF(Tim!GM62="","",1)</f>
        <v/>
      </c>
      <c r="BX60" s="60" t="str">
        <f>IF(Tim!GN62="","",1)</f>
        <v/>
      </c>
      <c r="BY60" s="60" t="str">
        <f>IF(Tim!GO62="","",1)</f>
        <v/>
      </c>
      <c r="BZ60" s="60" t="str">
        <f>IF(Tim!GP62="","",1)</f>
        <v/>
      </c>
      <c r="CA60" s="60" t="str">
        <f>IF(Tim!GQ62="","",1)</f>
        <v/>
      </c>
      <c r="CB60" s="60" t="str">
        <f>IF(Tim!GR62="","",1)</f>
        <v/>
      </c>
      <c r="CC60" s="469"/>
      <c r="CD60" s="366"/>
      <c r="CE60" s="366"/>
      <c r="CF60" s="366"/>
      <c r="CG60" s="366"/>
      <c r="CH60" s="366"/>
      <c r="CI60" s="366"/>
      <c r="CJ60" s="366"/>
      <c r="CK60" s="366"/>
      <c r="CL60" s="366"/>
      <c r="CM60" s="366"/>
      <c r="CN60" s="366"/>
      <c r="CO60" s="366"/>
      <c r="CP60" s="366"/>
      <c r="CQ60" s="366"/>
      <c r="CR60" s="422"/>
      <c r="CS60" s="423"/>
      <c r="CT60" s="423"/>
      <c r="CU60" s="423"/>
      <c r="CV60" s="423"/>
      <c r="CW60" s="423"/>
      <c r="CX60" s="423"/>
      <c r="CY60" s="423"/>
      <c r="CZ60" s="423"/>
      <c r="DA60" s="423"/>
      <c r="DB60" s="423"/>
      <c r="DC60" s="423"/>
      <c r="DD60" s="423"/>
      <c r="DE60" s="423"/>
      <c r="DF60" s="424"/>
      <c r="DG60" s="52">
        <v>0.86458333333333204</v>
      </c>
    </row>
    <row r="61" spans="2:111" ht="10.5" customHeight="1">
      <c r="B61" s="51">
        <v>0.25</v>
      </c>
      <c r="C61" s="51">
        <v>0.25</v>
      </c>
      <c r="D61" s="51">
        <v>0.25</v>
      </c>
      <c r="E61" s="172">
        <v>0.874999999999998</v>
      </c>
      <c r="F61" s="56">
        <f>IF(Tim!F63="","",1)</f>
        <v>1</v>
      </c>
      <c r="G61" s="60" t="str">
        <f>IF(Tim!G63="","",1)</f>
        <v/>
      </c>
      <c r="H61" s="60" t="str">
        <f>IF(Tim!H63="","",1)</f>
        <v/>
      </c>
      <c r="I61" s="60" t="str">
        <f>IF(Tim!I63="","",1)</f>
        <v/>
      </c>
      <c r="J61" s="60" t="str">
        <f>IF(Tim!J63="","",1)</f>
        <v/>
      </c>
      <c r="K61" s="60" t="str">
        <f>IF(Tim!K63="","",1)</f>
        <v/>
      </c>
      <c r="L61" s="60" t="str">
        <f>IF(Tim!L63="","",1)</f>
        <v/>
      </c>
      <c r="M61" s="60" t="str">
        <f>IF(Tim!M63="","",1)</f>
        <v/>
      </c>
      <c r="N61" s="60" t="str">
        <f>IF(Tim!N63="","",1)</f>
        <v/>
      </c>
      <c r="O61" s="60" t="str">
        <f>IF(Tim!O63="","",1)</f>
        <v/>
      </c>
      <c r="P61" s="60" t="str">
        <f>IF(Tim!P63="","",1)</f>
        <v/>
      </c>
      <c r="Q61" s="60" t="str">
        <f>IF(Tim!Q63="","",1)</f>
        <v/>
      </c>
      <c r="R61" s="60" t="str">
        <f>IF(Tim!R63="","",1)</f>
        <v/>
      </c>
      <c r="S61" s="60" t="str">
        <f>IF(Tim!S63="","",1)</f>
        <v/>
      </c>
      <c r="T61" s="60" t="str">
        <f>IF(Tim!T63="","",1)</f>
        <v/>
      </c>
      <c r="U61" s="56">
        <f>IF(Tim!AY63="","",1)</f>
        <v>1</v>
      </c>
      <c r="V61" s="60" t="str">
        <f>IF(Tim!AZ63="","",1)</f>
        <v/>
      </c>
      <c r="W61" s="60" t="str">
        <f>IF(Tim!BA63="","",1)</f>
        <v/>
      </c>
      <c r="X61" s="60" t="str">
        <f>IF(Tim!BB63="","",1)</f>
        <v/>
      </c>
      <c r="Y61" s="60" t="str">
        <f>IF(Tim!BC63="","",1)</f>
        <v/>
      </c>
      <c r="Z61" s="60" t="str">
        <f>IF(Tim!BD63="","",1)</f>
        <v/>
      </c>
      <c r="AA61" s="60" t="str">
        <f>IF(Tim!BE63="","",1)</f>
        <v/>
      </c>
      <c r="AB61" s="60" t="str">
        <f>IF(Tim!BF63="","",1)</f>
        <v/>
      </c>
      <c r="AC61" s="60" t="str">
        <f>IF(Tim!BG63="","",1)</f>
        <v/>
      </c>
      <c r="AD61" s="60" t="str">
        <f>IF(Tim!BH63="","",1)</f>
        <v/>
      </c>
      <c r="AE61" s="60" t="str">
        <f>IF(Tim!BI63="","",1)</f>
        <v/>
      </c>
      <c r="AF61" s="60" t="str">
        <f>IF(Tim!BJ63="","",1)</f>
        <v/>
      </c>
      <c r="AG61" s="60" t="str">
        <f>IF(Tim!BK63="","",1)</f>
        <v/>
      </c>
      <c r="AH61" s="60" t="str">
        <f>IF(Tim!BL63="","",1)</f>
        <v/>
      </c>
      <c r="AI61" s="60" t="str">
        <f>IF(Tim!BM63="","",1)</f>
        <v/>
      </c>
      <c r="AJ61" s="56">
        <f>IF(Tim!CQ63="","",1)</f>
        <v>1</v>
      </c>
      <c r="AK61" s="60" t="str">
        <f>IF(Tim!CR63="","",1)</f>
        <v/>
      </c>
      <c r="AL61" s="60" t="str">
        <f>IF(Tim!CS63="","",1)</f>
        <v/>
      </c>
      <c r="AM61" s="60" t="str">
        <f>IF(Tim!CT63="","",1)</f>
        <v/>
      </c>
      <c r="AN61" s="60" t="str">
        <f>IF(Tim!CU63="","",1)</f>
        <v/>
      </c>
      <c r="AO61" s="60" t="str">
        <f>IF(Tim!CV63="","",1)</f>
        <v/>
      </c>
      <c r="AP61" s="60" t="str">
        <f>IF(Tim!CW63="","",1)</f>
        <v/>
      </c>
      <c r="AQ61" s="60" t="str">
        <f>IF(Tim!CX63="","",1)</f>
        <v/>
      </c>
      <c r="AR61" s="60" t="str">
        <f>IF(Tim!CY63="","",1)</f>
        <v/>
      </c>
      <c r="AS61" s="60" t="str">
        <f>IF(Tim!CZ63="","",1)</f>
        <v/>
      </c>
      <c r="AT61" s="60" t="str">
        <f>IF(Tim!DA63="","",1)</f>
        <v/>
      </c>
      <c r="AU61" s="60" t="str">
        <f>IF(Tim!DB63="","",1)</f>
        <v/>
      </c>
      <c r="AV61" s="60" t="str">
        <f>IF(Tim!DC63="","",1)</f>
        <v/>
      </c>
      <c r="AW61" s="60" t="str">
        <f>IF(Tim!DD63="","",1)</f>
        <v/>
      </c>
      <c r="AX61" s="60" t="str">
        <f>IF(Tim!DE63="","",1)</f>
        <v/>
      </c>
      <c r="AY61" s="56">
        <f>IF(Tim!EL63="","",1)</f>
        <v>1</v>
      </c>
      <c r="AZ61" s="60" t="str">
        <f>IF(Tim!EM63="","",1)</f>
        <v/>
      </c>
      <c r="BA61" s="60" t="str">
        <f>IF(Tim!EN63="","",1)</f>
        <v/>
      </c>
      <c r="BB61" s="60" t="str">
        <f>IF(Tim!EO63="","",1)</f>
        <v/>
      </c>
      <c r="BC61" s="60" t="str">
        <f>IF(Tim!EP63="","",1)</f>
        <v/>
      </c>
      <c r="BD61" s="60" t="str">
        <f>IF(Tim!EQ63="","",1)</f>
        <v/>
      </c>
      <c r="BE61" s="60" t="str">
        <f>IF(Tim!ER63="","",1)</f>
        <v/>
      </c>
      <c r="BF61" s="60" t="str">
        <f>IF(Tim!ES63="","",1)</f>
        <v/>
      </c>
      <c r="BG61" s="60" t="str">
        <f>IF(Tim!ET63="","",1)</f>
        <v/>
      </c>
      <c r="BH61" s="60" t="str">
        <f>IF(Tim!EU63="","",1)</f>
        <v/>
      </c>
      <c r="BI61" s="60" t="str">
        <f>IF(Tim!EV63="","",1)</f>
        <v/>
      </c>
      <c r="BJ61" s="60" t="str">
        <f>IF(Tim!EW63="","",1)</f>
        <v/>
      </c>
      <c r="BK61" s="60" t="str">
        <f>IF(Tim!EX63="","",1)</f>
        <v/>
      </c>
      <c r="BL61" s="60" t="str">
        <f>IF(Tim!EY63="","",1)</f>
        <v/>
      </c>
      <c r="BM61" s="60" t="str">
        <f>IF(Tim!EZ63="","",1)</f>
        <v/>
      </c>
      <c r="BN61" s="56">
        <f>IF(Tim!GD63="","",1)</f>
        <v>1</v>
      </c>
      <c r="BO61" s="60" t="str">
        <f>IF(Tim!GE63="","",1)</f>
        <v/>
      </c>
      <c r="BP61" s="60" t="str">
        <f>IF(Tim!GF63="","",1)</f>
        <v/>
      </c>
      <c r="BQ61" s="60" t="str">
        <f>IF(Tim!GG63="","",1)</f>
        <v/>
      </c>
      <c r="BR61" s="60" t="str">
        <f>IF(Tim!GH63="","",1)</f>
        <v/>
      </c>
      <c r="BS61" s="60" t="str">
        <f>IF(Tim!GI63="","",1)</f>
        <v/>
      </c>
      <c r="BT61" s="60" t="str">
        <f>IF(Tim!GJ63="","",1)</f>
        <v/>
      </c>
      <c r="BU61" s="60" t="str">
        <f>IF(Tim!GK63="","",1)</f>
        <v/>
      </c>
      <c r="BV61" s="60" t="str">
        <f>IF(Tim!GL63="","",1)</f>
        <v/>
      </c>
      <c r="BW61" s="60" t="str">
        <f>IF(Tim!GM63="","",1)</f>
        <v/>
      </c>
      <c r="BX61" s="60" t="str">
        <f>IF(Tim!GN63="","",1)</f>
        <v/>
      </c>
      <c r="BY61" s="60" t="str">
        <f>IF(Tim!GO63="","",1)</f>
        <v/>
      </c>
      <c r="BZ61" s="60" t="str">
        <f>IF(Tim!GP63="","",1)</f>
        <v/>
      </c>
      <c r="CA61" s="60" t="str">
        <f>IF(Tim!GQ63="","",1)</f>
        <v/>
      </c>
      <c r="CB61" s="60" t="str">
        <f>IF(Tim!GR63="","",1)</f>
        <v/>
      </c>
      <c r="CC61" s="469"/>
      <c r="CD61" s="366"/>
      <c r="CE61" s="366"/>
      <c r="CF61" s="366"/>
      <c r="CG61" s="366"/>
      <c r="CH61" s="366"/>
      <c r="CI61" s="366"/>
      <c r="CJ61" s="366"/>
      <c r="CK61" s="366"/>
      <c r="CL61" s="366"/>
      <c r="CM61" s="366"/>
      <c r="CN61" s="366"/>
      <c r="CO61" s="366"/>
      <c r="CP61" s="366"/>
      <c r="CQ61" s="366"/>
      <c r="CR61" s="422"/>
      <c r="CS61" s="423"/>
      <c r="CT61" s="423"/>
      <c r="CU61" s="423"/>
      <c r="CV61" s="423"/>
      <c r="CW61" s="423"/>
      <c r="CX61" s="423"/>
      <c r="CY61" s="423"/>
      <c r="CZ61" s="423"/>
      <c r="DA61" s="423"/>
      <c r="DB61" s="423"/>
      <c r="DC61" s="423"/>
      <c r="DD61" s="423"/>
      <c r="DE61" s="423"/>
      <c r="DF61" s="424"/>
      <c r="DG61" s="52">
        <v>0.874999999999998</v>
      </c>
    </row>
    <row r="62" spans="2:111" ht="10.5" customHeight="1">
      <c r="B62" s="51">
        <v>0.25</v>
      </c>
      <c r="C62" s="51">
        <v>0.25</v>
      </c>
      <c r="D62" s="51">
        <v>0.25</v>
      </c>
      <c r="E62" s="172">
        <v>0.88541666666666496</v>
      </c>
      <c r="F62" s="56">
        <f>IF(Tim!F64="","",1)</f>
        <v>1</v>
      </c>
      <c r="G62" s="60" t="str">
        <f>IF(Tim!G64="","",1)</f>
        <v/>
      </c>
      <c r="H62" s="60" t="str">
        <f>IF(Tim!H64="","",1)</f>
        <v/>
      </c>
      <c r="I62" s="60" t="str">
        <f>IF(Tim!I64="","",1)</f>
        <v/>
      </c>
      <c r="J62" s="60" t="str">
        <f>IF(Tim!J64="","",1)</f>
        <v/>
      </c>
      <c r="K62" s="60" t="str">
        <f>IF(Tim!K64="","",1)</f>
        <v/>
      </c>
      <c r="L62" s="60" t="str">
        <f>IF(Tim!L64="","",1)</f>
        <v/>
      </c>
      <c r="M62" s="60" t="str">
        <f>IF(Tim!M64="","",1)</f>
        <v/>
      </c>
      <c r="N62" s="60" t="str">
        <f>IF(Tim!N64="","",1)</f>
        <v/>
      </c>
      <c r="O62" s="60" t="str">
        <f>IF(Tim!O64="","",1)</f>
        <v/>
      </c>
      <c r="P62" s="60" t="str">
        <f>IF(Tim!P64="","",1)</f>
        <v/>
      </c>
      <c r="Q62" s="60" t="str">
        <f>IF(Tim!Q64="","",1)</f>
        <v/>
      </c>
      <c r="R62" s="60" t="str">
        <f>IF(Tim!R64="","",1)</f>
        <v/>
      </c>
      <c r="S62" s="60" t="str">
        <f>IF(Tim!S64="","",1)</f>
        <v/>
      </c>
      <c r="T62" s="60" t="str">
        <f>IF(Tim!T64="","",1)</f>
        <v/>
      </c>
      <c r="U62" s="56">
        <f>IF(Tim!AY64="","",1)</f>
        <v>1</v>
      </c>
      <c r="V62" s="60" t="str">
        <f>IF(Tim!AZ64="","",1)</f>
        <v/>
      </c>
      <c r="W62" s="60" t="str">
        <f>IF(Tim!BA64="","",1)</f>
        <v/>
      </c>
      <c r="X62" s="60" t="str">
        <f>IF(Tim!BB64="","",1)</f>
        <v/>
      </c>
      <c r="Y62" s="60" t="str">
        <f>IF(Tim!BC64="","",1)</f>
        <v/>
      </c>
      <c r="Z62" s="60" t="str">
        <f>IF(Tim!BD64="","",1)</f>
        <v/>
      </c>
      <c r="AA62" s="60" t="str">
        <f>IF(Tim!BE64="","",1)</f>
        <v/>
      </c>
      <c r="AB62" s="60" t="str">
        <f>IF(Tim!BF64="","",1)</f>
        <v/>
      </c>
      <c r="AC62" s="60" t="str">
        <f>IF(Tim!BG64="","",1)</f>
        <v/>
      </c>
      <c r="AD62" s="60" t="str">
        <f>IF(Tim!BH64="","",1)</f>
        <v/>
      </c>
      <c r="AE62" s="60" t="str">
        <f>IF(Tim!BI64="","",1)</f>
        <v/>
      </c>
      <c r="AF62" s="60" t="str">
        <f>IF(Tim!BJ64="","",1)</f>
        <v/>
      </c>
      <c r="AG62" s="60" t="str">
        <f>IF(Tim!BK64="","",1)</f>
        <v/>
      </c>
      <c r="AH62" s="60" t="str">
        <f>IF(Tim!BL64="","",1)</f>
        <v/>
      </c>
      <c r="AI62" s="60" t="str">
        <f>IF(Tim!BM64="","",1)</f>
        <v/>
      </c>
      <c r="AJ62" s="56">
        <f>IF(Tim!CQ64="","",1)</f>
        <v>1</v>
      </c>
      <c r="AK62" s="60" t="str">
        <f>IF(Tim!CR64="","",1)</f>
        <v/>
      </c>
      <c r="AL62" s="60" t="str">
        <f>IF(Tim!CS64="","",1)</f>
        <v/>
      </c>
      <c r="AM62" s="60" t="str">
        <f>IF(Tim!CT64="","",1)</f>
        <v/>
      </c>
      <c r="AN62" s="60" t="str">
        <f>IF(Tim!CU64="","",1)</f>
        <v/>
      </c>
      <c r="AO62" s="60" t="str">
        <f>IF(Tim!CV64="","",1)</f>
        <v/>
      </c>
      <c r="AP62" s="60" t="str">
        <f>IF(Tim!CW64="","",1)</f>
        <v/>
      </c>
      <c r="AQ62" s="60" t="str">
        <f>IF(Tim!CX64="","",1)</f>
        <v/>
      </c>
      <c r="AR62" s="60" t="str">
        <f>IF(Tim!CY64="","",1)</f>
        <v/>
      </c>
      <c r="AS62" s="60" t="str">
        <f>IF(Tim!CZ64="","",1)</f>
        <v/>
      </c>
      <c r="AT62" s="60" t="str">
        <f>IF(Tim!DA64="","",1)</f>
        <v/>
      </c>
      <c r="AU62" s="60" t="str">
        <f>IF(Tim!DB64="","",1)</f>
        <v/>
      </c>
      <c r="AV62" s="60" t="str">
        <f>IF(Tim!DC64="","",1)</f>
        <v/>
      </c>
      <c r="AW62" s="60" t="str">
        <f>IF(Tim!DD64="","",1)</f>
        <v/>
      </c>
      <c r="AX62" s="60" t="str">
        <f>IF(Tim!DE64="","",1)</f>
        <v/>
      </c>
      <c r="AY62" s="56">
        <f>IF(Tim!EL64="","",1)</f>
        <v>1</v>
      </c>
      <c r="AZ62" s="60" t="str">
        <f>IF(Tim!EM64="","",1)</f>
        <v/>
      </c>
      <c r="BA62" s="60" t="str">
        <f>IF(Tim!EN64="","",1)</f>
        <v/>
      </c>
      <c r="BB62" s="60" t="str">
        <f>IF(Tim!EO64="","",1)</f>
        <v/>
      </c>
      <c r="BC62" s="60" t="str">
        <f>IF(Tim!EP64="","",1)</f>
        <v/>
      </c>
      <c r="BD62" s="60" t="str">
        <f>IF(Tim!EQ64="","",1)</f>
        <v/>
      </c>
      <c r="BE62" s="60" t="str">
        <f>IF(Tim!ER64="","",1)</f>
        <v/>
      </c>
      <c r="BF62" s="60" t="str">
        <f>IF(Tim!ES64="","",1)</f>
        <v/>
      </c>
      <c r="BG62" s="60" t="str">
        <f>IF(Tim!ET64="","",1)</f>
        <v/>
      </c>
      <c r="BH62" s="60" t="str">
        <f>IF(Tim!EU64="","",1)</f>
        <v/>
      </c>
      <c r="BI62" s="60" t="str">
        <f>IF(Tim!EV64="","",1)</f>
        <v/>
      </c>
      <c r="BJ62" s="60" t="str">
        <f>IF(Tim!EW64="","",1)</f>
        <v/>
      </c>
      <c r="BK62" s="60" t="str">
        <f>IF(Tim!EX64="","",1)</f>
        <v/>
      </c>
      <c r="BL62" s="60" t="str">
        <f>IF(Tim!EY64="","",1)</f>
        <v/>
      </c>
      <c r="BM62" s="60" t="str">
        <f>IF(Tim!EZ64="","",1)</f>
        <v/>
      </c>
      <c r="BN62" s="56">
        <f>IF(Tim!GD64="","",1)</f>
        <v>1</v>
      </c>
      <c r="BO62" s="60" t="str">
        <f>IF(Tim!GE64="","",1)</f>
        <v/>
      </c>
      <c r="BP62" s="60" t="str">
        <f>IF(Tim!GF64="","",1)</f>
        <v/>
      </c>
      <c r="BQ62" s="60" t="str">
        <f>IF(Tim!GG64="","",1)</f>
        <v/>
      </c>
      <c r="BR62" s="60" t="str">
        <f>IF(Tim!GH64="","",1)</f>
        <v/>
      </c>
      <c r="BS62" s="60" t="str">
        <f>IF(Tim!GI64="","",1)</f>
        <v/>
      </c>
      <c r="BT62" s="60" t="str">
        <f>IF(Tim!GJ64="","",1)</f>
        <v/>
      </c>
      <c r="BU62" s="60" t="str">
        <f>IF(Tim!GK64="","",1)</f>
        <v/>
      </c>
      <c r="BV62" s="60" t="str">
        <f>IF(Tim!GL64="","",1)</f>
        <v/>
      </c>
      <c r="BW62" s="60" t="str">
        <f>IF(Tim!GM64="","",1)</f>
        <v/>
      </c>
      <c r="BX62" s="60" t="str">
        <f>IF(Tim!GN64="","",1)</f>
        <v/>
      </c>
      <c r="BY62" s="60" t="str">
        <f>IF(Tim!GO64="","",1)</f>
        <v/>
      </c>
      <c r="BZ62" s="60" t="str">
        <f>IF(Tim!GP64="","",1)</f>
        <v/>
      </c>
      <c r="CA62" s="60" t="str">
        <f>IF(Tim!GQ64="","",1)</f>
        <v/>
      </c>
      <c r="CB62" s="60" t="str">
        <f>IF(Tim!GR64="","",1)</f>
        <v/>
      </c>
      <c r="CC62" s="469"/>
      <c r="CD62" s="366"/>
      <c r="CE62" s="366"/>
      <c r="CF62" s="366"/>
      <c r="CG62" s="366"/>
      <c r="CH62" s="366"/>
      <c r="CI62" s="366"/>
      <c r="CJ62" s="366"/>
      <c r="CK62" s="366"/>
      <c r="CL62" s="366"/>
      <c r="CM62" s="366"/>
      <c r="CN62" s="366"/>
      <c r="CO62" s="366"/>
      <c r="CP62" s="366"/>
      <c r="CQ62" s="366"/>
      <c r="CR62" s="422"/>
      <c r="CS62" s="423"/>
      <c r="CT62" s="423"/>
      <c r="CU62" s="423"/>
      <c r="CV62" s="423"/>
      <c r="CW62" s="423"/>
      <c r="CX62" s="423"/>
      <c r="CY62" s="423"/>
      <c r="CZ62" s="423"/>
      <c r="DA62" s="423"/>
      <c r="DB62" s="423"/>
      <c r="DC62" s="423"/>
      <c r="DD62" s="423"/>
      <c r="DE62" s="423"/>
      <c r="DF62" s="424"/>
      <c r="DG62" s="52">
        <v>0.88541666666666496</v>
      </c>
    </row>
    <row r="63" spans="2:111" ht="10.5" customHeight="1">
      <c r="B63" s="51">
        <v>0.25</v>
      </c>
      <c r="C63" s="51">
        <v>0.25</v>
      </c>
      <c r="D63" s="51">
        <v>0.25</v>
      </c>
      <c r="E63" s="172">
        <v>0.89583333333333204</v>
      </c>
      <c r="F63" s="56">
        <f>IF(Tim!F65="","",1)</f>
        <v>1</v>
      </c>
      <c r="G63" s="60" t="str">
        <f>IF(Tim!G65="","",1)</f>
        <v/>
      </c>
      <c r="H63" s="60" t="str">
        <f>IF(Tim!H65="","",1)</f>
        <v/>
      </c>
      <c r="I63" s="60" t="str">
        <f>IF(Tim!I65="","",1)</f>
        <v/>
      </c>
      <c r="J63" s="60" t="str">
        <f>IF(Tim!J65="","",1)</f>
        <v/>
      </c>
      <c r="K63" s="60" t="str">
        <f>IF(Tim!K65="","",1)</f>
        <v/>
      </c>
      <c r="L63" s="60" t="str">
        <f>IF(Tim!L65="","",1)</f>
        <v/>
      </c>
      <c r="M63" s="60" t="str">
        <f>IF(Tim!M65="","",1)</f>
        <v/>
      </c>
      <c r="N63" s="60" t="str">
        <f>IF(Tim!N65="","",1)</f>
        <v/>
      </c>
      <c r="O63" s="60" t="str">
        <f>IF(Tim!O65="","",1)</f>
        <v/>
      </c>
      <c r="P63" s="60" t="str">
        <f>IF(Tim!P65="","",1)</f>
        <v/>
      </c>
      <c r="Q63" s="60" t="str">
        <f>IF(Tim!Q65="","",1)</f>
        <v/>
      </c>
      <c r="R63" s="60" t="str">
        <f>IF(Tim!R65="","",1)</f>
        <v/>
      </c>
      <c r="S63" s="60" t="str">
        <f>IF(Tim!S65="","",1)</f>
        <v/>
      </c>
      <c r="T63" s="60" t="str">
        <f>IF(Tim!T65="","",1)</f>
        <v/>
      </c>
      <c r="U63" s="56">
        <f>IF(Tim!AY65="","",1)</f>
        <v>1</v>
      </c>
      <c r="V63" s="60" t="str">
        <f>IF(Tim!AZ65="","",1)</f>
        <v/>
      </c>
      <c r="W63" s="60" t="str">
        <f>IF(Tim!BA65="","",1)</f>
        <v/>
      </c>
      <c r="X63" s="60" t="str">
        <f>IF(Tim!BB65="","",1)</f>
        <v/>
      </c>
      <c r="Y63" s="60" t="str">
        <f>IF(Tim!BC65="","",1)</f>
        <v/>
      </c>
      <c r="Z63" s="60" t="str">
        <f>IF(Tim!BD65="","",1)</f>
        <v/>
      </c>
      <c r="AA63" s="60" t="str">
        <f>IF(Tim!BE65="","",1)</f>
        <v/>
      </c>
      <c r="AB63" s="60" t="str">
        <f>IF(Tim!BF65="","",1)</f>
        <v/>
      </c>
      <c r="AC63" s="60" t="str">
        <f>IF(Tim!BG65="","",1)</f>
        <v/>
      </c>
      <c r="AD63" s="60" t="str">
        <f>IF(Tim!BH65="","",1)</f>
        <v/>
      </c>
      <c r="AE63" s="60" t="str">
        <f>IF(Tim!BI65="","",1)</f>
        <v/>
      </c>
      <c r="AF63" s="60" t="str">
        <f>IF(Tim!BJ65="","",1)</f>
        <v/>
      </c>
      <c r="AG63" s="60" t="str">
        <f>IF(Tim!BK65="","",1)</f>
        <v/>
      </c>
      <c r="AH63" s="60" t="str">
        <f>IF(Tim!BL65="","",1)</f>
        <v/>
      </c>
      <c r="AI63" s="60" t="str">
        <f>IF(Tim!BM65="","",1)</f>
        <v/>
      </c>
      <c r="AJ63" s="56">
        <f>IF(Tim!CQ65="","",1)</f>
        <v>1</v>
      </c>
      <c r="AK63" s="60" t="str">
        <f>IF(Tim!CR65="","",1)</f>
        <v/>
      </c>
      <c r="AL63" s="60" t="str">
        <f>IF(Tim!CS65="","",1)</f>
        <v/>
      </c>
      <c r="AM63" s="60" t="str">
        <f>IF(Tim!CT65="","",1)</f>
        <v/>
      </c>
      <c r="AN63" s="60" t="str">
        <f>IF(Tim!CU65="","",1)</f>
        <v/>
      </c>
      <c r="AO63" s="60" t="str">
        <f>IF(Tim!CV65="","",1)</f>
        <v/>
      </c>
      <c r="AP63" s="60" t="str">
        <f>IF(Tim!CW65="","",1)</f>
        <v/>
      </c>
      <c r="AQ63" s="60" t="str">
        <f>IF(Tim!CX65="","",1)</f>
        <v/>
      </c>
      <c r="AR63" s="60" t="str">
        <f>IF(Tim!CY65="","",1)</f>
        <v/>
      </c>
      <c r="AS63" s="60" t="str">
        <f>IF(Tim!CZ65="","",1)</f>
        <v/>
      </c>
      <c r="AT63" s="60" t="str">
        <f>IF(Tim!DA65="","",1)</f>
        <v/>
      </c>
      <c r="AU63" s="60" t="str">
        <f>IF(Tim!DB65="","",1)</f>
        <v/>
      </c>
      <c r="AV63" s="60" t="str">
        <f>IF(Tim!DC65="","",1)</f>
        <v/>
      </c>
      <c r="AW63" s="60" t="str">
        <f>IF(Tim!DD65="","",1)</f>
        <v/>
      </c>
      <c r="AX63" s="60" t="str">
        <f>IF(Tim!DE65="","",1)</f>
        <v/>
      </c>
      <c r="AY63" s="56">
        <f>IF(Tim!EL65="","",1)</f>
        <v>1</v>
      </c>
      <c r="AZ63" s="60" t="str">
        <f>IF(Tim!EM65="","",1)</f>
        <v/>
      </c>
      <c r="BA63" s="60" t="str">
        <f>IF(Tim!EN65="","",1)</f>
        <v/>
      </c>
      <c r="BB63" s="60" t="str">
        <f>IF(Tim!EO65="","",1)</f>
        <v/>
      </c>
      <c r="BC63" s="60" t="str">
        <f>IF(Tim!EP65="","",1)</f>
        <v/>
      </c>
      <c r="BD63" s="60" t="str">
        <f>IF(Tim!EQ65="","",1)</f>
        <v/>
      </c>
      <c r="BE63" s="60" t="str">
        <f>IF(Tim!ER65="","",1)</f>
        <v/>
      </c>
      <c r="BF63" s="60" t="str">
        <f>IF(Tim!ES65="","",1)</f>
        <v/>
      </c>
      <c r="BG63" s="60" t="str">
        <f>IF(Tim!ET65="","",1)</f>
        <v/>
      </c>
      <c r="BH63" s="60" t="str">
        <f>IF(Tim!EU65="","",1)</f>
        <v/>
      </c>
      <c r="BI63" s="60" t="str">
        <f>IF(Tim!EV65="","",1)</f>
        <v/>
      </c>
      <c r="BJ63" s="60" t="str">
        <f>IF(Tim!EW65="","",1)</f>
        <v/>
      </c>
      <c r="BK63" s="60" t="str">
        <f>IF(Tim!EX65="","",1)</f>
        <v/>
      </c>
      <c r="BL63" s="60" t="str">
        <f>IF(Tim!EY65="","",1)</f>
        <v/>
      </c>
      <c r="BM63" s="60" t="str">
        <f>IF(Tim!EZ65="","",1)</f>
        <v/>
      </c>
      <c r="BN63" s="56">
        <f>IF(Tim!GD65="","",1)</f>
        <v>1</v>
      </c>
      <c r="BO63" s="60" t="str">
        <f>IF(Tim!GE65="","",1)</f>
        <v/>
      </c>
      <c r="BP63" s="60" t="str">
        <f>IF(Tim!GF65="","",1)</f>
        <v/>
      </c>
      <c r="BQ63" s="60" t="str">
        <f>IF(Tim!GG65="","",1)</f>
        <v/>
      </c>
      <c r="BR63" s="60" t="str">
        <f>IF(Tim!GH65="","",1)</f>
        <v/>
      </c>
      <c r="BS63" s="60" t="str">
        <f>IF(Tim!GI65="","",1)</f>
        <v/>
      </c>
      <c r="BT63" s="60" t="str">
        <f>IF(Tim!GJ65="","",1)</f>
        <v/>
      </c>
      <c r="BU63" s="60" t="str">
        <f>IF(Tim!GK65="","",1)</f>
        <v/>
      </c>
      <c r="BV63" s="60" t="str">
        <f>IF(Tim!GL65="","",1)</f>
        <v/>
      </c>
      <c r="BW63" s="60" t="str">
        <f>IF(Tim!GM65="","",1)</f>
        <v/>
      </c>
      <c r="BX63" s="60" t="str">
        <f>IF(Tim!GN65="","",1)</f>
        <v/>
      </c>
      <c r="BY63" s="60" t="str">
        <f>IF(Tim!GO65="","",1)</f>
        <v/>
      </c>
      <c r="BZ63" s="60" t="str">
        <f>IF(Tim!GP65="","",1)</f>
        <v/>
      </c>
      <c r="CA63" s="60" t="str">
        <f>IF(Tim!GQ65="","",1)</f>
        <v/>
      </c>
      <c r="CB63" s="60" t="str">
        <f>IF(Tim!GR65="","",1)</f>
        <v/>
      </c>
      <c r="CC63" s="469"/>
      <c r="CD63" s="366"/>
      <c r="CE63" s="366"/>
      <c r="CF63" s="366"/>
      <c r="CG63" s="366"/>
      <c r="CH63" s="366"/>
      <c r="CI63" s="366"/>
      <c r="CJ63" s="366"/>
      <c r="CK63" s="366"/>
      <c r="CL63" s="366"/>
      <c r="CM63" s="366"/>
      <c r="CN63" s="366"/>
      <c r="CO63" s="366"/>
      <c r="CP63" s="366"/>
      <c r="CQ63" s="366"/>
      <c r="CR63" s="422"/>
      <c r="CS63" s="423"/>
      <c r="CT63" s="423"/>
      <c r="CU63" s="423"/>
      <c r="CV63" s="423"/>
      <c r="CW63" s="423"/>
      <c r="CX63" s="423"/>
      <c r="CY63" s="423"/>
      <c r="CZ63" s="423"/>
      <c r="DA63" s="423"/>
      <c r="DB63" s="423"/>
      <c r="DC63" s="423"/>
      <c r="DD63" s="423"/>
      <c r="DE63" s="423"/>
      <c r="DF63" s="424"/>
      <c r="DG63" s="52">
        <v>0.89583333333333204</v>
      </c>
    </row>
    <row r="64" spans="2:111" ht="10.5" customHeight="1">
      <c r="B64" s="51">
        <v>0.25</v>
      </c>
      <c r="C64" s="51">
        <v>0.25</v>
      </c>
      <c r="D64" s="51">
        <v>0.25</v>
      </c>
      <c r="E64" s="172">
        <v>0.906249999999998</v>
      </c>
      <c r="F64" s="56">
        <f>IF(Tim!F66="","",1)</f>
        <v>1</v>
      </c>
      <c r="G64" s="60" t="str">
        <f>IF(Tim!G66="","",1)</f>
        <v/>
      </c>
      <c r="H64" s="60" t="str">
        <f>IF(Tim!H66="","",1)</f>
        <v/>
      </c>
      <c r="I64" s="60" t="str">
        <f>IF(Tim!I66="","",1)</f>
        <v/>
      </c>
      <c r="J64" s="60" t="str">
        <f>IF(Tim!J66="","",1)</f>
        <v/>
      </c>
      <c r="K64" s="60" t="str">
        <f>IF(Tim!K66="","",1)</f>
        <v/>
      </c>
      <c r="L64" s="60" t="str">
        <f>IF(Tim!L66="","",1)</f>
        <v/>
      </c>
      <c r="M64" s="60" t="str">
        <f>IF(Tim!M66="","",1)</f>
        <v/>
      </c>
      <c r="N64" s="60" t="str">
        <f>IF(Tim!N66="","",1)</f>
        <v/>
      </c>
      <c r="O64" s="60" t="str">
        <f>IF(Tim!O66="","",1)</f>
        <v/>
      </c>
      <c r="P64" s="60" t="str">
        <f>IF(Tim!P66="","",1)</f>
        <v/>
      </c>
      <c r="Q64" s="60" t="str">
        <f>IF(Tim!Q66="","",1)</f>
        <v/>
      </c>
      <c r="R64" s="60" t="str">
        <f>IF(Tim!R66="","",1)</f>
        <v/>
      </c>
      <c r="S64" s="60" t="str">
        <f>IF(Tim!S66="","",1)</f>
        <v/>
      </c>
      <c r="T64" s="60" t="str">
        <f>IF(Tim!T66="","",1)</f>
        <v/>
      </c>
      <c r="U64" s="56">
        <f>IF(Tim!AY66="","",1)</f>
        <v>1</v>
      </c>
      <c r="V64" s="60" t="str">
        <f>IF(Tim!AZ66="","",1)</f>
        <v/>
      </c>
      <c r="W64" s="60" t="str">
        <f>IF(Tim!BA66="","",1)</f>
        <v/>
      </c>
      <c r="X64" s="60" t="str">
        <f>IF(Tim!BB66="","",1)</f>
        <v/>
      </c>
      <c r="Y64" s="60" t="str">
        <f>IF(Tim!BC66="","",1)</f>
        <v/>
      </c>
      <c r="Z64" s="60" t="str">
        <f>IF(Tim!BD66="","",1)</f>
        <v/>
      </c>
      <c r="AA64" s="60" t="str">
        <f>IF(Tim!BE66="","",1)</f>
        <v/>
      </c>
      <c r="AB64" s="60" t="str">
        <f>IF(Tim!BF66="","",1)</f>
        <v/>
      </c>
      <c r="AC64" s="60" t="str">
        <f>IF(Tim!BG66="","",1)</f>
        <v/>
      </c>
      <c r="AD64" s="60" t="str">
        <f>IF(Tim!BH66="","",1)</f>
        <v/>
      </c>
      <c r="AE64" s="60" t="str">
        <f>IF(Tim!BI66="","",1)</f>
        <v/>
      </c>
      <c r="AF64" s="60" t="str">
        <f>IF(Tim!BJ66="","",1)</f>
        <v/>
      </c>
      <c r="AG64" s="60" t="str">
        <f>IF(Tim!BK66="","",1)</f>
        <v/>
      </c>
      <c r="AH64" s="60" t="str">
        <f>IF(Tim!BL66="","",1)</f>
        <v/>
      </c>
      <c r="AI64" s="60" t="str">
        <f>IF(Tim!BM66="","",1)</f>
        <v/>
      </c>
      <c r="AJ64" s="56">
        <f>IF(Tim!CQ66="","",1)</f>
        <v>1</v>
      </c>
      <c r="AK64" s="60" t="str">
        <f>IF(Tim!CR66="","",1)</f>
        <v/>
      </c>
      <c r="AL64" s="60" t="str">
        <f>IF(Tim!CS66="","",1)</f>
        <v/>
      </c>
      <c r="AM64" s="60" t="str">
        <f>IF(Tim!CT66="","",1)</f>
        <v/>
      </c>
      <c r="AN64" s="60" t="str">
        <f>IF(Tim!CU66="","",1)</f>
        <v/>
      </c>
      <c r="AO64" s="60" t="str">
        <f>IF(Tim!CV66="","",1)</f>
        <v/>
      </c>
      <c r="AP64" s="60" t="str">
        <f>IF(Tim!CW66="","",1)</f>
        <v/>
      </c>
      <c r="AQ64" s="60" t="str">
        <f>IF(Tim!CX66="","",1)</f>
        <v/>
      </c>
      <c r="AR64" s="60" t="str">
        <f>IF(Tim!CY66="","",1)</f>
        <v/>
      </c>
      <c r="AS64" s="60" t="str">
        <f>IF(Tim!CZ66="","",1)</f>
        <v/>
      </c>
      <c r="AT64" s="60" t="str">
        <f>IF(Tim!DA66="","",1)</f>
        <v/>
      </c>
      <c r="AU64" s="60" t="str">
        <f>IF(Tim!DB66="","",1)</f>
        <v/>
      </c>
      <c r="AV64" s="60" t="str">
        <f>IF(Tim!DC66="","",1)</f>
        <v/>
      </c>
      <c r="AW64" s="60" t="str">
        <f>IF(Tim!DD66="","",1)</f>
        <v/>
      </c>
      <c r="AX64" s="60" t="str">
        <f>IF(Tim!DE66="","",1)</f>
        <v/>
      </c>
      <c r="AY64" s="56">
        <f>IF(Tim!EL66="","",1)</f>
        <v>1</v>
      </c>
      <c r="AZ64" s="60" t="str">
        <f>IF(Tim!EM66="","",1)</f>
        <v/>
      </c>
      <c r="BA64" s="60" t="str">
        <f>IF(Tim!EN66="","",1)</f>
        <v/>
      </c>
      <c r="BB64" s="60" t="str">
        <f>IF(Tim!EO66="","",1)</f>
        <v/>
      </c>
      <c r="BC64" s="60" t="str">
        <f>IF(Tim!EP66="","",1)</f>
        <v/>
      </c>
      <c r="BD64" s="60" t="str">
        <f>IF(Tim!EQ66="","",1)</f>
        <v/>
      </c>
      <c r="BE64" s="60" t="str">
        <f>IF(Tim!ER66="","",1)</f>
        <v/>
      </c>
      <c r="BF64" s="60" t="str">
        <f>IF(Tim!ES66="","",1)</f>
        <v/>
      </c>
      <c r="BG64" s="60" t="str">
        <f>IF(Tim!ET66="","",1)</f>
        <v/>
      </c>
      <c r="BH64" s="60" t="str">
        <f>IF(Tim!EU66="","",1)</f>
        <v/>
      </c>
      <c r="BI64" s="60" t="str">
        <f>IF(Tim!EV66="","",1)</f>
        <v/>
      </c>
      <c r="BJ64" s="60" t="str">
        <f>IF(Tim!EW66="","",1)</f>
        <v/>
      </c>
      <c r="BK64" s="60" t="str">
        <f>IF(Tim!EX66="","",1)</f>
        <v/>
      </c>
      <c r="BL64" s="60" t="str">
        <f>IF(Tim!EY66="","",1)</f>
        <v/>
      </c>
      <c r="BM64" s="60" t="str">
        <f>IF(Tim!EZ66="","",1)</f>
        <v/>
      </c>
      <c r="BN64" s="56">
        <f>IF(Tim!GD66="","",1)</f>
        <v>1</v>
      </c>
      <c r="BO64" s="60" t="str">
        <f>IF(Tim!GE66="","",1)</f>
        <v/>
      </c>
      <c r="BP64" s="60" t="str">
        <f>IF(Tim!GF66="","",1)</f>
        <v/>
      </c>
      <c r="BQ64" s="60" t="str">
        <f>IF(Tim!GG66="","",1)</f>
        <v/>
      </c>
      <c r="BR64" s="60" t="str">
        <f>IF(Tim!GH66="","",1)</f>
        <v/>
      </c>
      <c r="BS64" s="60" t="str">
        <f>IF(Tim!GI66="","",1)</f>
        <v/>
      </c>
      <c r="BT64" s="60" t="str">
        <f>IF(Tim!GJ66="","",1)</f>
        <v/>
      </c>
      <c r="BU64" s="60" t="str">
        <f>IF(Tim!GK66="","",1)</f>
        <v/>
      </c>
      <c r="BV64" s="60" t="str">
        <f>IF(Tim!GL66="","",1)</f>
        <v/>
      </c>
      <c r="BW64" s="60" t="str">
        <f>IF(Tim!GM66="","",1)</f>
        <v/>
      </c>
      <c r="BX64" s="60" t="str">
        <f>IF(Tim!GN66="","",1)</f>
        <v/>
      </c>
      <c r="BY64" s="60" t="str">
        <f>IF(Tim!GO66="","",1)</f>
        <v/>
      </c>
      <c r="BZ64" s="60" t="str">
        <f>IF(Tim!GP66="","",1)</f>
        <v/>
      </c>
      <c r="CA64" s="60" t="str">
        <f>IF(Tim!GQ66="","",1)</f>
        <v/>
      </c>
      <c r="CB64" s="60" t="str">
        <f>IF(Tim!GR66="","",1)</f>
        <v/>
      </c>
      <c r="CC64" s="469"/>
      <c r="CD64" s="366"/>
      <c r="CE64" s="366"/>
      <c r="CF64" s="366"/>
      <c r="CG64" s="366"/>
      <c r="CH64" s="366"/>
      <c r="CI64" s="366"/>
      <c r="CJ64" s="366"/>
      <c r="CK64" s="366"/>
      <c r="CL64" s="366"/>
      <c r="CM64" s="366"/>
      <c r="CN64" s="366"/>
      <c r="CO64" s="366"/>
      <c r="CP64" s="366"/>
      <c r="CQ64" s="366"/>
      <c r="CR64" s="422"/>
      <c r="CS64" s="423"/>
      <c r="CT64" s="423"/>
      <c r="CU64" s="423"/>
      <c r="CV64" s="423"/>
      <c r="CW64" s="423"/>
      <c r="CX64" s="423"/>
      <c r="CY64" s="423"/>
      <c r="CZ64" s="423"/>
      <c r="DA64" s="423"/>
      <c r="DB64" s="423"/>
      <c r="DC64" s="423"/>
      <c r="DD64" s="423"/>
      <c r="DE64" s="423"/>
      <c r="DF64" s="424"/>
      <c r="DG64" s="52">
        <v>0.906249999999998</v>
      </c>
    </row>
    <row r="65" spans="2:111" ht="10.5" customHeight="1">
      <c r="B65" s="51">
        <v>0.25</v>
      </c>
      <c r="C65" s="51">
        <v>0.25</v>
      </c>
      <c r="D65" s="51">
        <v>0.25</v>
      </c>
      <c r="E65" s="172">
        <v>0.91666666666666496</v>
      </c>
      <c r="F65" s="56">
        <f>IF(Tim!F67="","",1)</f>
        <v>1</v>
      </c>
      <c r="G65" s="60" t="str">
        <f>IF(Tim!G67="","",1)</f>
        <v/>
      </c>
      <c r="H65" s="60" t="str">
        <f>IF(Tim!H67="","",1)</f>
        <v/>
      </c>
      <c r="I65" s="60" t="str">
        <f>IF(Tim!I67="","",1)</f>
        <v/>
      </c>
      <c r="J65" s="60" t="str">
        <f>IF(Tim!J67="","",1)</f>
        <v/>
      </c>
      <c r="K65" s="60" t="str">
        <f>IF(Tim!K67="","",1)</f>
        <v/>
      </c>
      <c r="L65" s="60" t="str">
        <f>IF(Tim!L67="","",1)</f>
        <v/>
      </c>
      <c r="M65" s="60" t="str">
        <f>IF(Tim!M67="","",1)</f>
        <v/>
      </c>
      <c r="N65" s="60" t="str">
        <f>IF(Tim!N67="","",1)</f>
        <v/>
      </c>
      <c r="O65" s="60" t="str">
        <f>IF(Tim!O67="","",1)</f>
        <v/>
      </c>
      <c r="P65" s="60" t="str">
        <f>IF(Tim!P67="","",1)</f>
        <v/>
      </c>
      <c r="Q65" s="60" t="str">
        <f>IF(Tim!Q67="","",1)</f>
        <v/>
      </c>
      <c r="R65" s="60" t="str">
        <f>IF(Tim!R67="","",1)</f>
        <v/>
      </c>
      <c r="S65" s="60" t="str">
        <f>IF(Tim!S67="","",1)</f>
        <v/>
      </c>
      <c r="T65" s="60" t="str">
        <f>IF(Tim!T67="","",1)</f>
        <v/>
      </c>
      <c r="U65" s="56">
        <f>IF(Tim!AY67="","",1)</f>
        <v>1</v>
      </c>
      <c r="V65" s="60" t="str">
        <f>IF(Tim!AZ67="","",1)</f>
        <v/>
      </c>
      <c r="W65" s="60" t="str">
        <f>IF(Tim!BA67="","",1)</f>
        <v/>
      </c>
      <c r="X65" s="60" t="str">
        <f>IF(Tim!BB67="","",1)</f>
        <v/>
      </c>
      <c r="Y65" s="60" t="str">
        <f>IF(Tim!BC67="","",1)</f>
        <v/>
      </c>
      <c r="Z65" s="60" t="str">
        <f>IF(Tim!BD67="","",1)</f>
        <v/>
      </c>
      <c r="AA65" s="60" t="str">
        <f>IF(Tim!BE67="","",1)</f>
        <v/>
      </c>
      <c r="AB65" s="60" t="str">
        <f>IF(Tim!BF67="","",1)</f>
        <v/>
      </c>
      <c r="AC65" s="60" t="str">
        <f>IF(Tim!BG67="","",1)</f>
        <v/>
      </c>
      <c r="AD65" s="60" t="str">
        <f>IF(Tim!BH67="","",1)</f>
        <v/>
      </c>
      <c r="AE65" s="60" t="str">
        <f>IF(Tim!BI67="","",1)</f>
        <v/>
      </c>
      <c r="AF65" s="60" t="str">
        <f>IF(Tim!BJ67="","",1)</f>
        <v/>
      </c>
      <c r="AG65" s="60" t="str">
        <f>IF(Tim!BK67="","",1)</f>
        <v/>
      </c>
      <c r="AH65" s="60" t="str">
        <f>IF(Tim!BL67="","",1)</f>
        <v/>
      </c>
      <c r="AI65" s="60" t="str">
        <f>IF(Tim!BM67="","",1)</f>
        <v/>
      </c>
      <c r="AJ65" s="56">
        <f>IF(Tim!CQ67="","",1)</f>
        <v>1</v>
      </c>
      <c r="AK65" s="60" t="str">
        <f>IF(Tim!CR67="","",1)</f>
        <v/>
      </c>
      <c r="AL65" s="60" t="str">
        <f>IF(Tim!CS67="","",1)</f>
        <v/>
      </c>
      <c r="AM65" s="60" t="str">
        <f>IF(Tim!CT67="","",1)</f>
        <v/>
      </c>
      <c r="AN65" s="60" t="str">
        <f>IF(Tim!CU67="","",1)</f>
        <v/>
      </c>
      <c r="AO65" s="60" t="str">
        <f>IF(Tim!CV67="","",1)</f>
        <v/>
      </c>
      <c r="AP65" s="60" t="str">
        <f>IF(Tim!CW67="","",1)</f>
        <v/>
      </c>
      <c r="AQ65" s="60" t="str">
        <f>IF(Tim!CX67="","",1)</f>
        <v/>
      </c>
      <c r="AR65" s="60" t="str">
        <f>IF(Tim!CY67="","",1)</f>
        <v/>
      </c>
      <c r="AS65" s="60" t="str">
        <f>IF(Tim!CZ67="","",1)</f>
        <v/>
      </c>
      <c r="AT65" s="60" t="str">
        <f>IF(Tim!DA67="","",1)</f>
        <v/>
      </c>
      <c r="AU65" s="60" t="str">
        <f>IF(Tim!DB67="","",1)</f>
        <v/>
      </c>
      <c r="AV65" s="60" t="str">
        <f>IF(Tim!DC67="","",1)</f>
        <v/>
      </c>
      <c r="AW65" s="60" t="str">
        <f>IF(Tim!DD67="","",1)</f>
        <v/>
      </c>
      <c r="AX65" s="60" t="str">
        <f>IF(Tim!DE67="","",1)</f>
        <v/>
      </c>
      <c r="AY65" s="56">
        <f>IF(Tim!EL67="","",1)</f>
        <v>1</v>
      </c>
      <c r="AZ65" s="60" t="str">
        <f>IF(Tim!EM67="","",1)</f>
        <v/>
      </c>
      <c r="BA65" s="60" t="str">
        <f>IF(Tim!EN67="","",1)</f>
        <v/>
      </c>
      <c r="BB65" s="60" t="str">
        <f>IF(Tim!EO67="","",1)</f>
        <v/>
      </c>
      <c r="BC65" s="60" t="str">
        <f>IF(Tim!EP67="","",1)</f>
        <v/>
      </c>
      <c r="BD65" s="60" t="str">
        <f>IF(Tim!EQ67="","",1)</f>
        <v/>
      </c>
      <c r="BE65" s="60" t="str">
        <f>IF(Tim!ER67="","",1)</f>
        <v/>
      </c>
      <c r="BF65" s="60" t="str">
        <f>IF(Tim!ES67="","",1)</f>
        <v/>
      </c>
      <c r="BG65" s="60" t="str">
        <f>IF(Tim!ET67="","",1)</f>
        <v/>
      </c>
      <c r="BH65" s="60" t="str">
        <f>IF(Tim!EU67="","",1)</f>
        <v/>
      </c>
      <c r="BI65" s="60" t="str">
        <f>IF(Tim!EV67="","",1)</f>
        <v/>
      </c>
      <c r="BJ65" s="60" t="str">
        <f>IF(Tim!EW67="","",1)</f>
        <v/>
      </c>
      <c r="BK65" s="60" t="str">
        <f>IF(Tim!EX67="","",1)</f>
        <v/>
      </c>
      <c r="BL65" s="60" t="str">
        <f>IF(Tim!EY67="","",1)</f>
        <v/>
      </c>
      <c r="BM65" s="60" t="str">
        <f>IF(Tim!EZ67="","",1)</f>
        <v/>
      </c>
      <c r="BN65" s="56">
        <f>IF(Tim!GD67="","",1)</f>
        <v>1</v>
      </c>
      <c r="BO65" s="60" t="str">
        <f>IF(Tim!GE67="","",1)</f>
        <v/>
      </c>
      <c r="BP65" s="60" t="str">
        <f>IF(Tim!GF67="","",1)</f>
        <v/>
      </c>
      <c r="BQ65" s="60" t="str">
        <f>IF(Tim!GG67="","",1)</f>
        <v/>
      </c>
      <c r="BR65" s="60" t="str">
        <f>IF(Tim!GH67="","",1)</f>
        <v/>
      </c>
      <c r="BS65" s="60" t="str">
        <f>IF(Tim!GI67="","",1)</f>
        <v/>
      </c>
      <c r="BT65" s="60" t="str">
        <f>IF(Tim!GJ67="","",1)</f>
        <v/>
      </c>
      <c r="BU65" s="60" t="str">
        <f>IF(Tim!GK67="","",1)</f>
        <v/>
      </c>
      <c r="BV65" s="60" t="str">
        <f>IF(Tim!GL67="","",1)</f>
        <v/>
      </c>
      <c r="BW65" s="60" t="str">
        <f>IF(Tim!GM67="","",1)</f>
        <v/>
      </c>
      <c r="BX65" s="60" t="str">
        <f>IF(Tim!GN67="","",1)</f>
        <v/>
      </c>
      <c r="BY65" s="60" t="str">
        <f>IF(Tim!GO67="","",1)</f>
        <v/>
      </c>
      <c r="BZ65" s="60" t="str">
        <f>IF(Tim!GP67="","",1)</f>
        <v/>
      </c>
      <c r="CA65" s="60" t="str">
        <f>IF(Tim!GQ67="","",1)</f>
        <v/>
      </c>
      <c r="CB65" s="60" t="str">
        <f>IF(Tim!GR67="","",1)</f>
        <v/>
      </c>
      <c r="CC65" s="469"/>
      <c r="CD65" s="366"/>
      <c r="CE65" s="366"/>
      <c r="CF65" s="366"/>
      <c r="CG65" s="366"/>
      <c r="CH65" s="366"/>
      <c r="CI65" s="366"/>
      <c r="CJ65" s="366"/>
      <c r="CK65" s="366"/>
      <c r="CL65" s="366"/>
      <c r="CM65" s="366"/>
      <c r="CN65" s="366"/>
      <c r="CO65" s="366"/>
      <c r="CP65" s="366"/>
      <c r="CQ65" s="366"/>
      <c r="CR65" s="422"/>
      <c r="CS65" s="423"/>
      <c r="CT65" s="423"/>
      <c r="CU65" s="423"/>
      <c r="CV65" s="423"/>
      <c r="CW65" s="423"/>
      <c r="CX65" s="423"/>
      <c r="CY65" s="423"/>
      <c r="CZ65" s="423"/>
      <c r="DA65" s="423"/>
      <c r="DB65" s="423"/>
      <c r="DC65" s="423"/>
      <c r="DD65" s="423"/>
      <c r="DE65" s="423"/>
      <c r="DF65" s="424"/>
      <c r="DG65" s="52">
        <v>0.91666666666666496</v>
      </c>
    </row>
    <row r="66" spans="2:111" ht="10.5" customHeight="1">
      <c r="B66" s="51">
        <v>0.25</v>
      </c>
      <c r="C66" s="51">
        <v>0.25</v>
      </c>
      <c r="D66" s="51">
        <v>0.25</v>
      </c>
      <c r="E66" s="172">
        <v>0.92708333333333104</v>
      </c>
      <c r="F66" s="56">
        <f>IF(Tim!F68="","",1)</f>
        <v>1</v>
      </c>
      <c r="G66" s="60" t="str">
        <f>IF(Tim!G68="","",1)</f>
        <v/>
      </c>
      <c r="H66" s="60" t="str">
        <f>IF(Tim!H68="","",1)</f>
        <v/>
      </c>
      <c r="I66" s="60" t="str">
        <f>IF(Tim!I68="","",1)</f>
        <v/>
      </c>
      <c r="J66" s="60" t="str">
        <f>IF(Tim!J68="","",1)</f>
        <v/>
      </c>
      <c r="K66" s="60" t="str">
        <f>IF(Tim!K68="","",1)</f>
        <v/>
      </c>
      <c r="L66" s="60" t="str">
        <f>IF(Tim!L68="","",1)</f>
        <v/>
      </c>
      <c r="M66" s="60" t="str">
        <f>IF(Tim!M68="","",1)</f>
        <v/>
      </c>
      <c r="N66" s="60" t="str">
        <f>IF(Tim!N68="","",1)</f>
        <v/>
      </c>
      <c r="O66" s="60" t="str">
        <f>IF(Tim!O68="","",1)</f>
        <v/>
      </c>
      <c r="P66" s="60" t="str">
        <f>IF(Tim!P68="","",1)</f>
        <v/>
      </c>
      <c r="Q66" s="60" t="str">
        <f>IF(Tim!Q68="","",1)</f>
        <v/>
      </c>
      <c r="R66" s="60" t="str">
        <f>IF(Tim!R68="","",1)</f>
        <v/>
      </c>
      <c r="S66" s="60" t="str">
        <f>IF(Tim!S68="","",1)</f>
        <v/>
      </c>
      <c r="T66" s="60" t="str">
        <f>IF(Tim!T68="","",1)</f>
        <v/>
      </c>
      <c r="U66" s="56">
        <f>IF(Tim!AY68="","",1)</f>
        <v>1</v>
      </c>
      <c r="V66" s="60" t="str">
        <f>IF(Tim!AZ68="","",1)</f>
        <v/>
      </c>
      <c r="W66" s="60" t="str">
        <f>IF(Tim!BA68="","",1)</f>
        <v/>
      </c>
      <c r="X66" s="60" t="str">
        <f>IF(Tim!BB68="","",1)</f>
        <v/>
      </c>
      <c r="Y66" s="60" t="str">
        <f>IF(Tim!BC68="","",1)</f>
        <v/>
      </c>
      <c r="Z66" s="60" t="str">
        <f>IF(Tim!BD68="","",1)</f>
        <v/>
      </c>
      <c r="AA66" s="60" t="str">
        <f>IF(Tim!BE68="","",1)</f>
        <v/>
      </c>
      <c r="AB66" s="60" t="str">
        <f>IF(Tim!BF68="","",1)</f>
        <v/>
      </c>
      <c r="AC66" s="60" t="str">
        <f>IF(Tim!BG68="","",1)</f>
        <v/>
      </c>
      <c r="AD66" s="60" t="str">
        <f>IF(Tim!BH68="","",1)</f>
        <v/>
      </c>
      <c r="AE66" s="60" t="str">
        <f>IF(Tim!BI68="","",1)</f>
        <v/>
      </c>
      <c r="AF66" s="60" t="str">
        <f>IF(Tim!BJ68="","",1)</f>
        <v/>
      </c>
      <c r="AG66" s="60" t="str">
        <f>IF(Tim!BK68="","",1)</f>
        <v/>
      </c>
      <c r="AH66" s="60" t="str">
        <f>IF(Tim!BL68="","",1)</f>
        <v/>
      </c>
      <c r="AI66" s="60" t="str">
        <f>IF(Tim!BM68="","",1)</f>
        <v/>
      </c>
      <c r="AJ66" s="56">
        <f>IF(Tim!CQ68="","",1)</f>
        <v>1</v>
      </c>
      <c r="AK66" s="60" t="str">
        <f>IF(Tim!CR68="","",1)</f>
        <v/>
      </c>
      <c r="AL66" s="60" t="str">
        <f>IF(Tim!CS68="","",1)</f>
        <v/>
      </c>
      <c r="AM66" s="60" t="str">
        <f>IF(Tim!CT68="","",1)</f>
        <v/>
      </c>
      <c r="AN66" s="60" t="str">
        <f>IF(Tim!CU68="","",1)</f>
        <v/>
      </c>
      <c r="AO66" s="60" t="str">
        <f>IF(Tim!CV68="","",1)</f>
        <v/>
      </c>
      <c r="AP66" s="60" t="str">
        <f>IF(Tim!CW68="","",1)</f>
        <v/>
      </c>
      <c r="AQ66" s="60" t="str">
        <f>IF(Tim!CX68="","",1)</f>
        <v/>
      </c>
      <c r="AR66" s="60" t="str">
        <f>IF(Tim!CY68="","",1)</f>
        <v/>
      </c>
      <c r="AS66" s="60" t="str">
        <f>IF(Tim!CZ68="","",1)</f>
        <v/>
      </c>
      <c r="AT66" s="60" t="str">
        <f>IF(Tim!DA68="","",1)</f>
        <v/>
      </c>
      <c r="AU66" s="60" t="str">
        <f>IF(Tim!DB68="","",1)</f>
        <v/>
      </c>
      <c r="AV66" s="60" t="str">
        <f>IF(Tim!DC68="","",1)</f>
        <v/>
      </c>
      <c r="AW66" s="60" t="str">
        <f>IF(Tim!DD68="","",1)</f>
        <v/>
      </c>
      <c r="AX66" s="60" t="str">
        <f>IF(Tim!DE68="","",1)</f>
        <v/>
      </c>
      <c r="AY66" s="56">
        <f>IF(Tim!EL68="","",1)</f>
        <v>1</v>
      </c>
      <c r="AZ66" s="60" t="str">
        <f>IF(Tim!EM68="","",1)</f>
        <v/>
      </c>
      <c r="BA66" s="60" t="str">
        <f>IF(Tim!EN68="","",1)</f>
        <v/>
      </c>
      <c r="BB66" s="60" t="str">
        <f>IF(Tim!EO68="","",1)</f>
        <v/>
      </c>
      <c r="BC66" s="60" t="str">
        <f>IF(Tim!EP68="","",1)</f>
        <v/>
      </c>
      <c r="BD66" s="60" t="str">
        <f>IF(Tim!EQ68="","",1)</f>
        <v/>
      </c>
      <c r="BE66" s="60" t="str">
        <f>IF(Tim!ER68="","",1)</f>
        <v/>
      </c>
      <c r="BF66" s="60" t="str">
        <f>IF(Tim!ES68="","",1)</f>
        <v/>
      </c>
      <c r="BG66" s="60" t="str">
        <f>IF(Tim!ET68="","",1)</f>
        <v/>
      </c>
      <c r="BH66" s="60" t="str">
        <f>IF(Tim!EU68="","",1)</f>
        <v/>
      </c>
      <c r="BI66" s="60" t="str">
        <f>IF(Tim!EV68="","",1)</f>
        <v/>
      </c>
      <c r="BJ66" s="60" t="str">
        <f>IF(Tim!EW68="","",1)</f>
        <v/>
      </c>
      <c r="BK66" s="60" t="str">
        <f>IF(Tim!EX68="","",1)</f>
        <v/>
      </c>
      <c r="BL66" s="60" t="str">
        <f>IF(Tim!EY68="","",1)</f>
        <v/>
      </c>
      <c r="BM66" s="60" t="str">
        <f>IF(Tim!EZ68="","",1)</f>
        <v/>
      </c>
      <c r="BN66" s="56">
        <f>IF(Tim!GD68="","",1)</f>
        <v>1</v>
      </c>
      <c r="BO66" s="60" t="str">
        <f>IF(Tim!GE68="","",1)</f>
        <v/>
      </c>
      <c r="BP66" s="60" t="str">
        <f>IF(Tim!GF68="","",1)</f>
        <v/>
      </c>
      <c r="BQ66" s="60" t="str">
        <f>IF(Tim!GG68="","",1)</f>
        <v/>
      </c>
      <c r="BR66" s="60" t="str">
        <f>IF(Tim!GH68="","",1)</f>
        <v/>
      </c>
      <c r="BS66" s="60" t="str">
        <f>IF(Tim!GI68="","",1)</f>
        <v/>
      </c>
      <c r="BT66" s="60" t="str">
        <f>IF(Tim!GJ68="","",1)</f>
        <v/>
      </c>
      <c r="BU66" s="60" t="str">
        <f>IF(Tim!GK68="","",1)</f>
        <v/>
      </c>
      <c r="BV66" s="60" t="str">
        <f>IF(Tim!GL68="","",1)</f>
        <v/>
      </c>
      <c r="BW66" s="60" t="str">
        <f>IF(Tim!GM68="","",1)</f>
        <v/>
      </c>
      <c r="BX66" s="60" t="str">
        <f>IF(Tim!GN68="","",1)</f>
        <v/>
      </c>
      <c r="BY66" s="60" t="str">
        <f>IF(Tim!GO68="","",1)</f>
        <v/>
      </c>
      <c r="BZ66" s="60" t="str">
        <f>IF(Tim!GP68="","",1)</f>
        <v/>
      </c>
      <c r="CA66" s="60" t="str">
        <f>IF(Tim!GQ68="","",1)</f>
        <v/>
      </c>
      <c r="CB66" s="60" t="str">
        <f>IF(Tim!GR68="","",1)</f>
        <v/>
      </c>
      <c r="CC66" s="469"/>
      <c r="CD66" s="366"/>
      <c r="CE66" s="366"/>
      <c r="CF66" s="366"/>
      <c r="CG66" s="366"/>
      <c r="CH66" s="366"/>
      <c r="CI66" s="366"/>
      <c r="CJ66" s="366"/>
      <c r="CK66" s="366"/>
      <c r="CL66" s="366"/>
      <c r="CM66" s="366"/>
      <c r="CN66" s="366"/>
      <c r="CO66" s="366"/>
      <c r="CP66" s="366"/>
      <c r="CQ66" s="366"/>
      <c r="CR66" s="422"/>
      <c r="CS66" s="423"/>
      <c r="CT66" s="423"/>
      <c r="CU66" s="423"/>
      <c r="CV66" s="423"/>
      <c r="CW66" s="423"/>
      <c r="CX66" s="423"/>
      <c r="CY66" s="423"/>
      <c r="CZ66" s="423"/>
      <c r="DA66" s="423"/>
      <c r="DB66" s="423"/>
      <c r="DC66" s="423"/>
      <c r="DD66" s="423"/>
      <c r="DE66" s="423"/>
      <c r="DF66" s="424"/>
      <c r="DG66" s="52">
        <v>0.92708333333333104</v>
      </c>
    </row>
    <row r="67" spans="2:111" ht="10.5" customHeight="1">
      <c r="B67" s="51">
        <v>0.25</v>
      </c>
      <c r="C67" s="51">
        <v>0.25</v>
      </c>
      <c r="D67" s="51">
        <v>0.25</v>
      </c>
      <c r="E67" s="172">
        <v>0.937499999999998</v>
      </c>
      <c r="F67" s="56" t="str">
        <f>IF(Tim!F69="","",1)</f>
        <v/>
      </c>
      <c r="G67" s="60" t="str">
        <f>IF(Tim!G69="","",1)</f>
        <v/>
      </c>
      <c r="H67" s="60" t="str">
        <f>IF(Tim!H69="","",1)</f>
        <v/>
      </c>
      <c r="I67" s="60" t="str">
        <f>IF(Tim!I69="","",1)</f>
        <v/>
      </c>
      <c r="J67" s="60" t="str">
        <f>IF(Tim!J69="","",1)</f>
        <v/>
      </c>
      <c r="K67" s="60" t="str">
        <f>IF(Tim!K69="","",1)</f>
        <v/>
      </c>
      <c r="L67" s="60" t="str">
        <f>IF(Tim!L69="","",1)</f>
        <v/>
      </c>
      <c r="M67" s="60" t="str">
        <f>IF(Tim!M69="","",1)</f>
        <v/>
      </c>
      <c r="N67" s="60" t="str">
        <f>IF(Tim!N69="","",1)</f>
        <v/>
      </c>
      <c r="O67" s="60" t="str">
        <f>IF(Tim!O69="","",1)</f>
        <v/>
      </c>
      <c r="P67" s="60" t="str">
        <f>IF(Tim!P69="","",1)</f>
        <v/>
      </c>
      <c r="Q67" s="60" t="str">
        <f>IF(Tim!Q69="","",1)</f>
        <v/>
      </c>
      <c r="R67" s="60" t="str">
        <f>IF(Tim!R69="","",1)</f>
        <v/>
      </c>
      <c r="S67" s="60" t="str">
        <f>IF(Tim!S69="","",1)</f>
        <v/>
      </c>
      <c r="T67" s="60" t="str">
        <f>IF(Tim!T69="","",1)</f>
        <v/>
      </c>
      <c r="U67" s="56" t="str">
        <f>IF(Tim!AY69="","",1)</f>
        <v/>
      </c>
      <c r="V67" s="60" t="str">
        <f>IF(Tim!AZ69="","",1)</f>
        <v/>
      </c>
      <c r="W67" s="60" t="str">
        <f>IF(Tim!BA69="","",1)</f>
        <v/>
      </c>
      <c r="X67" s="60" t="str">
        <f>IF(Tim!BB69="","",1)</f>
        <v/>
      </c>
      <c r="Y67" s="60" t="str">
        <f>IF(Tim!BC69="","",1)</f>
        <v/>
      </c>
      <c r="Z67" s="60" t="str">
        <f>IF(Tim!BD69="","",1)</f>
        <v/>
      </c>
      <c r="AA67" s="60" t="str">
        <f>IF(Tim!BE69="","",1)</f>
        <v/>
      </c>
      <c r="AB67" s="60" t="str">
        <f>IF(Tim!BF69="","",1)</f>
        <v/>
      </c>
      <c r="AC67" s="60" t="str">
        <f>IF(Tim!BG69="","",1)</f>
        <v/>
      </c>
      <c r="AD67" s="60" t="str">
        <f>IF(Tim!BH69="","",1)</f>
        <v/>
      </c>
      <c r="AE67" s="60" t="str">
        <f>IF(Tim!BI69="","",1)</f>
        <v/>
      </c>
      <c r="AF67" s="60" t="str">
        <f>IF(Tim!BJ69="","",1)</f>
        <v/>
      </c>
      <c r="AG67" s="60" t="str">
        <f>IF(Tim!BK69="","",1)</f>
        <v/>
      </c>
      <c r="AH67" s="60" t="str">
        <f>IF(Tim!BL69="","",1)</f>
        <v/>
      </c>
      <c r="AI67" s="60" t="str">
        <f>IF(Tim!BM69="","",1)</f>
        <v/>
      </c>
      <c r="AJ67" s="56" t="str">
        <f>IF(Tim!CQ69="","",1)</f>
        <v/>
      </c>
      <c r="AK67" s="60" t="str">
        <f>IF(Tim!CR69="","",1)</f>
        <v/>
      </c>
      <c r="AL67" s="60" t="str">
        <f>IF(Tim!CS69="","",1)</f>
        <v/>
      </c>
      <c r="AM67" s="60" t="str">
        <f>IF(Tim!CT69="","",1)</f>
        <v/>
      </c>
      <c r="AN67" s="60" t="str">
        <f>IF(Tim!CU69="","",1)</f>
        <v/>
      </c>
      <c r="AO67" s="60" t="str">
        <f>IF(Tim!CV69="","",1)</f>
        <v/>
      </c>
      <c r="AP67" s="60" t="str">
        <f>IF(Tim!CW69="","",1)</f>
        <v/>
      </c>
      <c r="AQ67" s="60" t="str">
        <f>IF(Tim!CX69="","",1)</f>
        <v/>
      </c>
      <c r="AR67" s="60" t="str">
        <f>IF(Tim!CY69="","",1)</f>
        <v/>
      </c>
      <c r="AS67" s="60" t="str">
        <f>IF(Tim!CZ69="","",1)</f>
        <v/>
      </c>
      <c r="AT67" s="60" t="str">
        <f>IF(Tim!DA69="","",1)</f>
        <v/>
      </c>
      <c r="AU67" s="60" t="str">
        <f>IF(Tim!DB69="","",1)</f>
        <v/>
      </c>
      <c r="AV67" s="60" t="str">
        <f>IF(Tim!DC69="","",1)</f>
        <v/>
      </c>
      <c r="AW67" s="60" t="str">
        <f>IF(Tim!DD69="","",1)</f>
        <v/>
      </c>
      <c r="AX67" s="60" t="str">
        <f>IF(Tim!DE69="","",1)</f>
        <v/>
      </c>
      <c r="AY67" s="56" t="str">
        <f>IF(Tim!EL69="","",1)</f>
        <v/>
      </c>
      <c r="AZ67" s="60" t="str">
        <f>IF(Tim!EM69="","",1)</f>
        <v/>
      </c>
      <c r="BA67" s="60" t="str">
        <f>IF(Tim!EN69="","",1)</f>
        <v/>
      </c>
      <c r="BB67" s="60" t="str">
        <f>IF(Tim!EO69="","",1)</f>
        <v/>
      </c>
      <c r="BC67" s="60" t="str">
        <f>IF(Tim!EP69="","",1)</f>
        <v/>
      </c>
      <c r="BD67" s="60" t="str">
        <f>IF(Tim!EQ69="","",1)</f>
        <v/>
      </c>
      <c r="BE67" s="60" t="str">
        <f>IF(Tim!ER69="","",1)</f>
        <v/>
      </c>
      <c r="BF67" s="60" t="str">
        <f>IF(Tim!ES69="","",1)</f>
        <v/>
      </c>
      <c r="BG67" s="60" t="str">
        <f>IF(Tim!ET69="","",1)</f>
        <v/>
      </c>
      <c r="BH67" s="60" t="str">
        <f>IF(Tim!EU69="","",1)</f>
        <v/>
      </c>
      <c r="BI67" s="60" t="str">
        <f>IF(Tim!EV69="","",1)</f>
        <v/>
      </c>
      <c r="BJ67" s="60" t="str">
        <f>IF(Tim!EW69="","",1)</f>
        <v/>
      </c>
      <c r="BK67" s="60" t="str">
        <f>IF(Tim!EX69="","",1)</f>
        <v/>
      </c>
      <c r="BL67" s="60" t="str">
        <f>IF(Tim!EY69="","",1)</f>
        <v/>
      </c>
      <c r="BM67" s="60" t="str">
        <f>IF(Tim!EZ69="","",1)</f>
        <v/>
      </c>
      <c r="BN67" s="56" t="str">
        <f>IF(Tim!GD69="","",1)</f>
        <v/>
      </c>
      <c r="BO67" s="60" t="str">
        <f>IF(Tim!GE69="","",1)</f>
        <v/>
      </c>
      <c r="BP67" s="60" t="str">
        <f>IF(Tim!GF69="","",1)</f>
        <v/>
      </c>
      <c r="BQ67" s="60" t="str">
        <f>IF(Tim!GG69="","",1)</f>
        <v/>
      </c>
      <c r="BR67" s="60" t="str">
        <f>IF(Tim!GH69="","",1)</f>
        <v/>
      </c>
      <c r="BS67" s="60" t="str">
        <f>IF(Tim!GI69="","",1)</f>
        <v/>
      </c>
      <c r="BT67" s="60" t="str">
        <f>IF(Tim!GJ69="","",1)</f>
        <v/>
      </c>
      <c r="BU67" s="60" t="str">
        <f>IF(Tim!GK69="","",1)</f>
        <v/>
      </c>
      <c r="BV67" s="60" t="str">
        <f>IF(Tim!GL69="","",1)</f>
        <v/>
      </c>
      <c r="BW67" s="60" t="str">
        <f>IF(Tim!GM69="","",1)</f>
        <v/>
      </c>
      <c r="BX67" s="60" t="str">
        <f>IF(Tim!GN69="","",1)</f>
        <v/>
      </c>
      <c r="BY67" s="60" t="str">
        <f>IF(Tim!GO69="","",1)</f>
        <v/>
      </c>
      <c r="BZ67" s="60" t="str">
        <f>IF(Tim!GP69="","",1)</f>
        <v/>
      </c>
      <c r="CA67" s="60" t="str">
        <f>IF(Tim!GQ69="","",1)</f>
        <v/>
      </c>
      <c r="CB67" s="60" t="str">
        <f>IF(Tim!GR69="","",1)</f>
        <v/>
      </c>
      <c r="CC67" s="469"/>
      <c r="CD67" s="366"/>
      <c r="CE67" s="366"/>
      <c r="CF67" s="366"/>
      <c r="CG67" s="366"/>
      <c r="CH67" s="366"/>
      <c r="CI67" s="366"/>
      <c r="CJ67" s="366"/>
      <c r="CK67" s="366"/>
      <c r="CL67" s="366"/>
      <c r="CM67" s="366"/>
      <c r="CN67" s="366"/>
      <c r="CO67" s="366"/>
      <c r="CP67" s="366"/>
      <c r="CQ67" s="366"/>
      <c r="CR67" s="422"/>
      <c r="CS67" s="423"/>
      <c r="CT67" s="423"/>
      <c r="CU67" s="423"/>
      <c r="CV67" s="423"/>
      <c r="CW67" s="423"/>
      <c r="CX67" s="423"/>
      <c r="CY67" s="423"/>
      <c r="CZ67" s="423"/>
      <c r="DA67" s="423"/>
      <c r="DB67" s="423"/>
      <c r="DC67" s="423"/>
      <c r="DD67" s="423"/>
      <c r="DE67" s="423"/>
      <c r="DF67" s="424"/>
      <c r="DG67" s="52">
        <v>0.937499999999998</v>
      </c>
    </row>
    <row r="68" spans="2:111" ht="10.5" customHeight="1" thickBot="1">
      <c r="B68" s="51">
        <v>0.25</v>
      </c>
      <c r="C68" s="51">
        <v>0.25</v>
      </c>
      <c r="D68" s="51">
        <v>0.25</v>
      </c>
      <c r="E68" s="173">
        <v>0.94791666666666496</v>
      </c>
      <c r="F68" s="56" t="str">
        <f>IF(Tim!F70="","",1)</f>
        <v/>
      </c>
      <c r="G68" s="60" t="str">
        <f>IF(Tim!G70="","",1)</f>
        <v/>
      </c>
      <c r="H68" s="60" t="str">
        <f>IF(Tim!H70="","",1)</f>
        <v/>
      </c>
      <c r="I68" s="60" t="str">
        <f>IF(Tim!I70="","",1)</f>
        <v/>
      </c>
      <c r="J68" s="60" t="str">
        <f>IF(Tim!J70="","",1)</f>
        <v/>
      </c>
      <c r="K68" s="60" t="str">
        <f>IF(Tim!K70="","",1)</f>
        <v/>
      </c>
      <c r="L68" s="60" t="str">
        <f>IF(Tim!L70="","",1)</f>
        <v/>
      </c>
      <c r="M68" s="60" t="str">
        <f>IF(Tim!M70="","",1)</f>
        <v/>
      </c>
      <c r="N68" s="60" t="str">
        <f>IF(Tim!N70="","",1)</f>
        <v/>
      </c>
      <c r="O68" s="60" t="str">
        <f>IF(Tim!O70="","",1)</f>
        <v/>
      </c>
      <c r="P68" s="60" t="str">
        <f>IF(Tim!P70="","",1)</f>
        <v/>
      </c>
      <c r="Q68" s="60" t="str">
        <f>IF(Tim!Q70="","",1)</f>
        <v/>
      </c>
      <c r="R68" s="60" t="str">
        <f>IF(Tim!R70="","",1)</f>
        <v/>
      </c>
      <c r="S68" s="60" t="str">
        <f>IF(Tim!S70="","",1)</f>
        <v/>
      </c>
      <c r="T68" s="60" t="str">
        <f>IF(Tim!T70="","",1)</f>
        <v/>
      </c>
      <c r="U68" s="73" t="str">
        <f>IF(Tim!AY70="","",1)</f>
        <v/>
      </c>
      <c r="V68" s="60" t="str">
        <f>IF(Tim!AZ70="","",1)</f>
        <v/>
      </c>
      <c r="W68" s="60" t="str">
        <f>IF(Tim!BA70="","",1)</f>
        <v/>
      </c>
      <c r="X68" s="60" t="str">
        <f>IF(Tim!BB70="","",1)</f>
        <v/>
      </c>
      <c r="Y68" s="60" t="str">
        <f>IF(Tim!BC70="","",1)</f>
        <v/>
      </c>
      <c r="Z68" s="60" t="str">
        <f>IF(Tim!BD70="","",1)</f>
        <v/>
      </c>
      <c r="AA68" s="60" t="str">
        <f>IF(Tim!BE70="","",1)</f>
        <v/>
      </c>
      <c r="AB68" s="60" t="str">
        <f>IF(Tim!BF70="","",1)</f>
        <v/>
      </c>
      <c r="AC68" s="60" t="str">
        <f>IF(Tim!BG70="","",1)</f>
        <v/>
      </c>
      <c r="AD68" s="60" t="str">
        <f>IF(Tim!BH70="","",1)</f>
        <v/>
      </c>
      <c r="AE68" s="60" t="str">
        <f>IF(Tim!BI70="","",1)</f>
        <v/>
      </c>
      <c r="AF68" s="60" t="str">
        <f>IF(Tim!BJ70="","",1)</f>
        <v/>
      </c>
      <c r="AG68" s="60" t="str">
        <f>IF(Tim!BK70="","",1)</f>
        <v/>
      </c>
      <c r="AH68" s="60" t="str">
        <f>IF(Tim!BL70="","",1)</f>
        <v/>
      </c>
      <c r="AI68" s="60" t="str">
        <f>IF(Tim!BM70="","",1)</f>
        <v/>
      </c>
      <c r="AJ68" s="73" t="str">
        <f>IF(Tim!CQ70="","",1)</f>
        <v/>
      </c>
      <c r="AK68" s="60" t="str">
        <f>IF(Tim!CR70="","",1)</f>
        <v/>
      </c>
      <c r="AL68" s="60" t="str">
        <f>IF(Tim!CS70="","",1)</f>
        <v/>
      </c>
      <c r="AM68" s="60" t="str">
        <f>IF(Tim!CT70="","",1)</f>
        <v/>
      </c>
      <c r="AN68" s="60" t="str">
        <f>IF(Tim!CU70="","",1)</f>
        <v/>
      </c>
      <c r="AO68" s="60" t="str">
        <f>IF(Tim!CV70="","",1)</f>
        <v/>
      </c>
      <c r="AP68" s="60" t="str">
        <f>IF(Tim!CW70="","",1)</f>
        <v/>
      </c>
      <c r="AQ68" s="60" t="str">
        <f>IF(Tim!CX70="","",1)</f>
        <v/>
      </c>
      <c r="AR68" s="60" t="str">
        <f>IF(Tim!CY70="","",1)</f>
        <v/>
      </c>
      <c r="AS68" s="60" t="str">
        <f>IF(Tim!CZ70="","",1)</f>
        <v/>
      </c>
      <c r="AT68" s="60" t="str">
        <f>IF(Tim!DA70="","",1)</f>
        <v/>
      </c>
      <c r="AU68" s="60" t="str">
        <f>IF(Tim!DB70="","",1)</f>
        <v/>
      </c>
      <c r="AV68" s="60" t="str">
        <f>IF(Tim!DC70="","",1)</f>
        <v/>
      </c>
      <c r="AW68" s="60" t="str">
        <f>IF(Tim!DD70="","",1)</f>
        <v/>
      </c>
      <c r="AX68" s="60" t="str">
        <f>IF(Tim!DE70="","",1)</f>
        <v/>
      </c>
      <c r="AY68" s="73" t="str">
        <f>IF(Tim!EL70="","",1)</f>
        <v/>
      </c>
      <c r="AZ68" s="60" t="str">
        <f>IF(Tim!EM70="","",1)</f>
        <v/>
      </c>
      <c r="BA68" s="60" t="str">
        <f>IF(Tim!EN70="","",1)</f>
        <v/>
      </c>
      <c r="BB68" s="60" t="str">
        <f>IF(Tim!EO70="","",1)</f>
        <v/>
      </c>
      <c r="BC68" s="60" t="str">
        <f>IF(Tim!EP70="","",1)</f>
        <v/>
      </c>
      <c r="BD68" s="60" t="str">
        <f>IF(Tim!EQ70="","",1)</f>
        <v/>
      </c>
      <c r="BE68" s="60" t="str">
        <f>IF(Tim!ER70="","",1)</f>
        <v/>
      </c>
      <c r="BF68" s="60" t="str">
        <f>IF(Tim!ES70="","",1)</f>
        <v/>
      </c>
      <c r="BG68" s="60" t="str">
        <f>IF(Tim!ET70="","",1)</f>
        <v/>
      </c>
      <c r="BH68" s="60" t="str">
        <f>IF(Tim!EU70="","",1)</f>
        <v/>
      </c>
      <c r="BI68" s="60" t="str">
        <f>IF(Tim!EV70="","",1)</f>
        <v/>
      </c>
      <c r="BJ68" s="60" t="str">
        <f>IF(Tim!EW70="","",1)</f>
        <v/>
      </c>
      <c r="BK68" s="60" t="str">
        <f>IF(Tim!EX70="","",1)</f>
        <v/>
      </c>
      <c r="BL68" s="60" t="str">
        <f>IF(Tim!EY70="","",1)</f>
        <v/>
      </c>
      <c r="BM68" s="60" t="str">
        <f>IF(Tim!EZ70="","",1)</f>
        <v/>
      </c>
      <c r="BN68" s="73" t="str">
        <f>IF(Tim!GD70="","",1)</f>
        <v/>
      </c>
      <c r="BO68" s="60" t="str">
        <f>IF(Tim!GE70="","",1)</f>
        <v/>
      </c>
      <c r="BP68" s="60" t="str">
        <f>IF(Tim!GF70="","",1)</f>
        <v/>
      </c>
      <c r="BQ68" s="60" t="str">
        <f>IF(Tim!GG70="","",1)</f>
        <v/>
      </c>
      <c r="BR68" s="60" t="str">
        <f>IF(Tim!GH70="","",1)</f>
        <v/>
      </c>
      <c r="BS68" s="60" t="str">
        <f>IF(Tim!GI70="","",1)</f>
        <v/>
      </c>
      <c r="BT68" s="60" t="str">
        <f>IF(Tim!GJ70="","",1)</f>
        <v/>
      </c>
      <c r="BU68" s="60" t="str">
        <f>IF(Tim!GK70="","",1)</f>
        <v/>
      </c>
      <c r="BV68" s="60" t="str">
        <f>IF(Tim!GL70="","",1)</f>
        <v/>
      </c>
      <c r="BW68" s="60" t="str">
        <f>IF(Tim!GM70="","",1)</f>
        <v/>
      </c>
      <c r="BX68" s="60" t="str">
        <f>IF(Tim!GN70="","",1)</f>
        <v/>
      </c>
      <c r="BY68" s="60" t="str">
        <f>IF(Tim!GO70="","",1)</f>
        <v/>
      </c>
      <c r="BZ68" s="60" t="str">
        <f>IF(Tim!GP70="","",1)</f>
        <v/>
      </c>
      <c r="CA68" s="60" t="str">
        <f>IF(Tim!GQ70="","",1)</f>
        <v/>
      </c>
      <c r="CB68" s="60" t="str">
        <f>IF(Tim!GR70="","",1)</f>
        <v/>
      </c>
      <c r="CC68" s="470"/>
      <c r="CD68" s="384"/>
      <c r="CE68" s="384"/>
      <c r="CF68" s="384"/>
      <c r="CG68" s="384"/>
      <c r="CH68" s="384"/>
      <c r="CI68" s="384"/>
      <c r="CJ68" s="384"/>
      <c r="CK68" s="384"/>
      <c r="CL68" s="384"/>
      <c r="CM68" s="384"/>
      <c r="CN68" s="384"/>
      <c r="CO68" s="384"/>
      <c r="CP68" s="384"/>
      <c r="CQ68" s="384"/>
      <c r="CR68" s="425"/>
      <c r="CS68" s="426"/>
      <c r="CT68" s="426"/>
      <c r="CU68" s="426"/>
      <c r="CV68" s="426"/>
      <c r="CW68" s="426"/>
      <c r="CX68" s="426"/>
      <c r="CY68" s="426"/>
      <c r="CZ68" s="426"/>
      <c r="DA68" s="426"/>
      <c r="DB68" s="426"/>
      <c r="DC68" s="426"/>
      <c r="DD68" s="426"/>
      <c r="DE68" s="426"/>
      <c r="DF68" s="427"/>
      <c r="DG68" s="69">
        <v>0.94791666666666496</v>
      </c>
    </row>
    <row r="69" spans="2:111" ht="10.5" customHeight="1">
      <c r="M69" s="49">
        <f>SUM(M5:M68)</f>
        <v>0</v>
      </c>
      <c r="N69" s="49" t="e">
        <f t="shared" ref="N69:O69" si="0">SUM(N5:N68)</f>
        <v>#REF!</v>
      </c>
      <c r="O69" s="49">
        <f t="shared" si="0"/>
        <v>0</v>
      </c>
      <c r="AB69" s="49">
        <f>SUM(AB5:AB68)</f>
        <v>8</v>
      </c>
      <c r="AC69" s="49">
        <f t="shared" ref="AC69:AD69" si="1">SUM(AC5:AC68)</f>
        <v>2</v>
      </c>
      <c r="AD69" s="49">
        <f t="shared" si="1"/>
        <v>2</v>
      </c>
      <c r="AQ69" s="49">
        <f>SUM(AQ5:AQ68)</f>
        <v>4</v>
      </c>
      <c r="AR69" s="49">
        <f>SUM(AR5:AR68)</f>
        <v>0</v>
      </c>
      <c r="AS69" s="49">
        <f>SUM(AS5:AS68)</f>
        <v>0</v>
      </c>
      <c r="BF69" s="49">
        <f>SUM(BF5:BF68)</f>
        <v>0</v>
      </c>
      <c r="BG69" s="49">
        <f t="shared" ref="BG69:BH69" si="2">SUM(BG5:BG68)</f>
        <v>8</v>
      </c>
      <c r="BH69" s="49">
        <f t="shared" si="2"/>
        <v>0</v>
      </c>
      <c r="BU69" s="49" t="e">
        <f>SUM(BU5:BU68)</f>
        <v>#REF!</v>
      </c>
      <c r="BV69" s="49">
        <f t="shared" ref="BV69:BW69" si="3">SUM(BV5:BV68)</f>
        <v>6</v>
      </c>
      <c r="BW69" s="49">
        <f t="shared" si="3"/>
        <v>8</v>
      </c>
      <c r="CJ69" s="49">
        <f>SUM(CJ5:CJ68)</f>
        <v>8</v>
      </c>
      <c r="CK69" s="49">
        <f t="shared" ref="CK69:CL69" si="4">SUM(CK5:CK68)</f>
        <v>0</v>
      </c>
      <c r="CL69" s="49">
        <f t="shared" si="4"/>
        <v>0</v>
      </c>
      <c r="CY69" s="49">
        <f>SUM(CY5:CY68)</f>
        <v>0</v>
      </c>
      <c r="CZ69" s="49">
        <f t="shared" ref="CZ69:DA69" si="5">SUM(CZ5:CZ68)</f>
        <v>0</v>
      </c>
      <c r="DA69" s="49">
        <f t="shared" si="5"/>
        <v>0</v>
      </c>
      <c r="DG69" s="49" t="e">
        <f>SUM(F69:DB69)</f>
        <v>#REF!</v>
      </c>
    </row>
    <row r="70" spans="2:111" ht="10.5" customHeight="1">
      <c r="M70" s="49">
        <f>M69/2</f>
        <v>0</v>
      </c>
      <c r="N70" s="49" t="e">
        <f t="shared" ref="N70:O70" si="6">N69/2</f>
        <v>#REF!</v>
      </c>
      <c r="O70" s="49">
        <f t="shared" si="6"/>
        <v>0</v>
      </c>
      <c r="AB70" s="49">
        <f>AB69/2</f>
        <v>4</v>
      </c>
      <c r="AC70" s="49">
        <f t="shared" ref="AC70:AD70" si="7">AC69/2</f>
        <v>1</v>
      </c>
      <c r="AD70" s="49">
        <f t="shared" si="7"/>
        <v>1</v>
      </c>
      <c r="AQ70" s="49">
        <f>AQ69/2</f>
        <v>2</v>
      </c>
      <c r="AR70" s="49">
        <f>AR69/2</f>
        <v>0</v>
      </c>
      <c r="AS70" s="49">
        <f>AS69/2</f>
        <v>0</v>
      </c>
      <c r="BF70" s="49">
        <f>BF69/2</f>
        <v>0</v>
      </c>
      <c r="BG70" s="49">
        <f t="shared" ref="BG70:BH70" si="8">BG69/2</f>
        <v>4</v>
      </c>
      <c r="BH70" s="49">
        <f t="shared" si="8"/>
        <v>0</v>
      </c>
      <c r="BU70" s="49" t="e">
        <f>BU69/2</f>
        <v>#REF!</v>
      </c>
      <c r="BV70" s="49">
        <f t="shared" ref="BV70:BW70" si="9">BV69/2</f>
        <v>3</v>
      </c>
      <c r="BW70" s="49">
        <f t="shared" si="9"/>
        <v>4</v>
      </c>
      <c r="CJ70" s="49">
        <f>CJ69/2</f>
        <v>4</v>
      </c>
      <c r="CK70" s="49">
        <f t="shared" ref="CK70:CL70" si="10">CK69/2</f>
        <v>0</v>
      </c>
      <c r="CL70" s="49">
        <f t="shared" si="10"/>
        <v>0</v>
      </c>
      <c r="CY70" s="49">
        <f>CY69/2</f>
        <v>0</v>
      </c>
      <c r="CZ70" s="49">
        <f t="shared" ref="CZ70:DA70" si="11">CZ69/2</f>
        <v>0</v>
      </c>
      <c r="DA70" s="49">
        <f t="shared" si="11"/>
        <v>0</v>
      </c>
      <c r="DG70" s="49" t="e">
        <f>SUM(F70:DB70)</f>
        <v>#REF!</v>
      </c>
    </row>
    <row r="71" spans="2:111" ht="10.5" customHeight="1">
      <c r="DG71" s="49" t="e">
        <f>DG70*4.33</f>
        <v>#REF!</v>
      </c>
    </row>
  </sheetData>
  <mergeCells count="40">
    <mergeCell ref="E1:E4"/>
    <mergeCell ref="F1:T1"/>
    <mergeCell ref="U1:AI1"/>
    <mergeCell ref="AJ1:AX1"/>
    <mergeCell ref="AY1:BM1"/>
    <mergeCell ref="AE2:AI4"/>
    <mergeCell ref="AJ2:AJ4"/>
    <mergeCell ref="AK2:AP4"/>
    <mergeCell ref="M2:O4"/>
    <mergeCell ref="AB2:AD4"/>
    <mergeCell ref="AQ2:AS4"/>
    <mergeCell ref="BF2:BH4"/>
    <mergeCell ref="BI2:BM4"/>
    <mergeCell ref="BN2:BN4"/>
    <mergeCell ref="CR1:DB1"/>
    <mergeCell ref="DG1:DG4"/>
    <mergeCell ref="F2:F4"/>
    <mergeCell ref="G2:L4"/>
    <mergeCell ref="P2:T4"/>
    <mergeCell ref="U2:U4"/>
    <mergeCell ref="V2:AA4"/>
    <mergeCell ref="BN1:CB1"/>
    <mergeCell ref="BU2:BW4"/>
    <mergeCell ref="CD2:CI4"/>
    <mergeCell ref="CS2:CX4"/>
    <mergeCell ref="AT2:AX4"/>
    <mergeCell ref="AY2:AY4"/>
    <mergeCell ref="AZ2:BE4"/>
    <mergeCell ref="BO2:BT4"/>
    <mergeCell ref="BX2:CB4"/>
    <mergeCell ref="CC2:CC4"/>
    <mergeCell ref="CR2:CR4"/>
    <mergeCell ref="CR5:DB12"/>
    <mergeCell ref="CJ2:CL4"/>
    <mergeCell ref="CM2:CQ4"/>
    <mergeCell ref="CC1:CQ1"/>
    <mergeCell ref="CY2:DA4"/>
    <mergeCell ref="DB2:DF4"/>
    <mergeCell ref="CC57:CQ68"/>
    <mergeCell ref="CR49:DF68"/>
  </mergeCells>
  <conditionalFormatting sqref="E5:CB68">
    <cfRule type="cellIs" dxfId="340" priority="49" operator="equal">
      <formula>"RM"</formula>
    </cfRule>
    <cfRule type="cellIs" dxfId="339" priority="17" operator="equal">
      <formula>"LC"</formula>
    </cfRule>
    <cfRule type="cellIs" dxfId="338" priority="15" operator="equal">
      <formula>"KK"</formula>
    </cfRule>
    <cfRule type="cellIs" dxfId="337" priority="16" operator="equal">
      <formula>"RP"</formula>
    </cfRule>
    <cfRule type="cellIs" dxfId="336" priority="32" operator="equal">
      <formula>"CF"</formula>
    </cfRule>
    <cfRule type="cellIs" dxfId="335" priority="33" operator="equal">
      <formula>"AS"</formula>
    </cfRule>
    <cfRule type="cellIs" dxfId="334" priority="34" operator="equal">
      <formula>"AA"</formula>
    </cfRule>
    <cfRule type="cellIs" dxfId="333" priority="35" operator="equal">
      <formula>"AF"</formula>
    </cfRule>
    <cfRule type="cellIs" dxfId="332" priority="36" operator="equal">
      <formula>"RC"</formula>
    </cfRule>
    <cfRule type="cellIs" dxfId="331" priority="42" operator="equal">
      <formula>"VG"</formula>
    </cfRule>
    <cfRule type="cellIs" dxfId="330" priority="43" operator="equal">
      <formula>"F6"</formula>
    </cfRule>
    <cfRule type="cellIs" dxfId="329" priority="44" operator="equal">
      <formula>"F5"</formula>
    </cfRule>
    <cfRule type="cellIs" dxfId="328" priority="45" operator="equal">
      <formula>"F4"</formula>
    </cfRule>
    <cfRule type="cellIs" dxfId="327" priority="46" operator="equal">
      <formula>"F3"</formula>
    </cfRule>
    <cfRule type="cellIs" dxfId="326" priority="47" operator="equal">
      <formula>"JP"</formula>
    </cfRule>
  </conditionalFormatting>
  <conditionalFormatting sqref="E1:CC1 BN2:BV2 BX2:BZ2 BN3:BT4">
    <cfRule type="cellIs" dxfId="325" priority="52" operator="equal">
      <formula>"PP"</formula>
    </cfRule>
    <cfRule type="cellIs" dxfId="324" priority="53" operator="equal">
      <formula>"PM"</formula>
    </cfRule>
  </conditionalFormatting>
  <conditionalFormatting sqref="E69:DG70">
    <cfRule type="cellIs" dxfId="323" priority="2" operator="equal">
      <formula>"PM"</formula>
    </cfRule>
  </conditionalFormatting>
  <conditionalFormatting sqref="E69:DG1048576">
    <cfRule type="cellIs" dxfId="322" priority="1" operator="equal">
      <formula>"PP"</formula>
    </cfRule>
  </conditionalFormatting>
  <conditionalFormatting sqref="F5:CB68">
    <cfRule type="cellIs" dxfId="321" priority="26" operator="equal">
      <formula>"TM"</formula>
    </cfRule>
    <cfRule type="cellIs" dxfId="320" priority="27" operator="equal">
      <formula>"RO"</formula>
    </cfRule>
    <cfRule type="cellIs" dxfId="319" priority="28" operator="equal">
      <formula>"PC"</formula>
    </cfRule>
    <cfRule type="cellIs" dxfId="318" priority="29" operator="equal">
      <formula>"LZ"</formula>
    </cfRule>
    <cfRule type="cellIs" dxfId="317" priority="30" operator="equal">
      <formula>"LB"</formula>
    </cfRule>
    <cfRule type="cellIs" dxfId="316" priority="13" operator="equal">
      <formula>1</formula>
    </cfRule>
    <cfRule type="cellIs" dxfId="315" priority="9" operator="equal">
      <formula>5</formula>
    </cfRule>
    <cfRule type="cellIs" dxfId="314" priority="10" operator="equal">
      <formula>4</formula>
    </cfRule>
    <cfRule type="cellIs" dxfId="313" priority="11" operator="equal">
      <formula>3</formula>
    </cfRule>
    <cfRule type="cellIs" dxfId="312" priority="12" operator="equal">
      <formula>2</formula>
    </cfRule>
    <cfRule type="cellIs" dxfId="311" priority="14" operator="equal">
      <formula>""""""</formula>
    </cfRule>
    <cfRule type="cellIs" dxfId="310" priority="37" operator="equal">
      <formula>"WH"</formula>
    </cfRule>
    <cfRule type="cellIs" dxfId="309" priority="38" operator="equal">
      <formula>"JL"</formula>
    </cfRule>
    <cfRule type="cellIs" dxfId="308" priority="39" operator="equal">
      <formula>"MV"</formula>
    </cfRule>
    <cfRule type="cellIs" dxfId="307" priority="40" operator="equal">
      <formula>"AC"</formula>
    </cfRule>
    <cfRule type="cellIs" dxfId="306" priority="41" operator="equal">
      <formula>"GR"</formula>
    </cfRule>
    <cfRule type="cellIs" dxfId="305" priority="18" operator="equal">
      <formula>"AO"</formula>
    </cfRule>
    <cfRule type="cellIs" dxfId="304" priority="19" operator="equal">
      <formula>"MM"</formula>
    </cfRule>
    <cfRule type="cellIs" dxfId="303" priority="20" operator="equal">
      <formula>"DA"</formula>
    </cfRule>
    <cfRule type="cellIs" dxfId="302" priority="21" operator="equal">
      <formula>"MP"</formula>
    </cfRule>
    <cfRule type="cellIs" dxfId="301" priority="22" operator="equal">
      <formula>"LA"</formula>
    </cfRule>
    <cfRule type="cellIs" dxfId="300" priority="23" operator="equal">
      <formula>"PD"</formula>
    </cfRule>
    <cfRule type="cellIs" dxfId="299" priority="48" operator="equal">
      <formula>"?"</formula>
    </cfRule>
    <cfRule type="cellIs" dxfId="298" priority="31" operator="equal">
      <formula>"JO"</formula>
    </cfRule>
    <cfRule type="cellIs" dxfId="297" priority="24" operator="equal">
      <formula>"SF"</formula>
    </cfRule>
    <cfRule type="cellIs" dxfId="296" priority="25" operator="equal">
      <formula>"TF"</formula>
    </cfRule>
  </conditionalFormatting>
  <conditionalFormatting sqref="U2:AC2 AE2:AG2 U3:AA4">
    <cfRule type="cellIs" dxfId="295" priority="529" operator="equal">
      <formula>"PP"</formula>
    </cfRule>
    <cfRule type="cellIs" dxfId="294" priority="530" operator="equal">
      <formula>"PM"</formula>
    </cfRule>
  </conditionalFormatting>
  <conditionalFormatting sqref="AJ2:AR2 AT2:AV2 AJ3:AP4">
    <cfRule type="cellIs" dxfId="293" priority="146" operator="equal">
      <formula>"PP"</formula>
    </cfRule>
    <cfRule type="cellIs" dxfId="292" priority="147" operator="equal">
      <formula>"PM"</formula>
    </cfRule>
  </conditionalFormatting>
  <conditionalFormatting sqref="AY2:BG2 BI2:BK2 AY3:BE4">
    <cfRule type="cellIs" dxfId="291" priority="99" operator="equal">
      <formula>"PP"</formula>
    </cfRule>
    <cfRule type="cellIs" dxfId="290" priority="100" operator="equal">
      <formula>"PM"</formula>
    </cfRule>
  </conditionalFormatting>
  <conditionalFormatting sqref="CC13:CQ56">
    <cfRule type="cellIs" dxfId="289" priority="541" operator="equal">
      <formula>5</formula>
    </cfRule>
    <cfRule type="cellIs" dxfId="288" priority="542" operator="equal">
      <formula>4</formula>
    </cfRule>
    <cfRule type="cellIs" dxfId="287" priority="543" operator="equal">
      <formula>3</formula>
    </cfRule>
    <cfRule type="cellIs" dxfId="286" priority="544" operator="equal">
      <formula>2</formula>
    </cfRule>
    <cfRule type="cellIs" dxfId="285" priority="545" operator="equal">
      <formula>1</formula>
    </cfRule>
    <cfRule type="cellIs" dxfId="284" priority="546" operator="equal">
      <formula>""""""</formula>
    </cfRule>
    <cfRule type="cellIs" dxfId="283" priority="550" operator="equal">
      <formula>"AO"</formula>
    </cfRule>
    <cfRule type="cellIs" dxfId="282" priority="551" operator="equal">
      <formula>"MM"</formula>
    </cfRule>
    <cfRule type="cellIs" dxfId="281" priority="552" operator="equal">
      <formula>"DA"</formula>
    </cfRule>
    <cfRule type="cellIs" dxfId="280" priority="553" operator="equal">
      <formula>"MP"</formula>
    </cfRule>
    <cfRule type="cellIs" dxfId="279" priority="554" operator="equal">
      <formula>"LA"</formula>
    </cfRule>
    <cfRule type="cellIs" dxfId="278" priority="555" operator="equal">
      <formula>"PD"</formula>
    </cfRule>
    <cfRule type="cellIs" dxfId="277" priority="556" operator="equal">
      <formula>"SF"</formula>
    </cfRule>
    <cfRule type="cellIs" dxfId="276" priority="557" operator="equal">
      <formula>"TF"</formula>
    </cfRule>
    <cfRule type="cellIs" dxfId="275" priority="558" operator="equal">
      <formula>"TM"</formula>
    </cfRule>
    <cfRule type="cellIs" dxfId="274" priority="559" operator="equal">
      <formula>"RO"</formula>
    </cfRule>
    <cfRule type="cellIs" dxfId="273" priority="560" operator="equal">
      <formula>"PC"</formula>
    </cfRule>
    <cfRule type="cellIs" dxfId="272" priority="561" operator="equal">
      <formula>"LZ"</formula>
    </cfRule>
    <cfRule type="cellIs" dxfId="271" priority="562" operator="equal">
      <formula>"LB"</formula>
    </cfRule>
    <cfRule type="cellIs" dxfId="270" priority="563" operator="equal">
      <formula>"JO"</formula>
    </cfRule>
    <cfRule type="cellIs" dxfId="269" priority="569" operator="equal">
      <formula>"WH"</formula>
    </cfRule>
    <cfRule type="cellIs" dxfId="268" priority="570" operator="equal">
      <formula>"JL"</formula>
    </cfRule>
    <cfRule type="cellIs" dxfId="267" priority="571" operator="equal">
      <formula>"MV"</formula>
    </cfRule>
    <cfRule type="cellIs" dxfId="266" priority="572" operator="equal">
      <formula>"AC"</formula>
    </cfRule>
    <cfRule type="cellIs" dxfId="265" priority="573" operator="equal">
      <formula>"GR"</formula>
    </cfRule>
    <cfRule type="cellIs" dxfId="264" priority="580" operator="equal">
      <formula>"?"</formula>
    </cfRule>
    <cfRule type="cellIs" dxfId="263" priority="599" operator="equal">
      <formula>"KK"</formula>
    </cfRule>
    <cfRule type="cellIs" dxfId="262" priority="600" operator="equal">
      <formula>"RP"</formula>
    </cfRule>
    <cfRule type="cellIs" dxfId="261" priority="601" operator="equal">
      <formula>"LC"</formula>
    </cfRule>
    <cfRule type="cellIs" dxfId="260" priority="602" operator="equal">
      <formula>"CF"</formula>
    </cfRule>
    <cfRule type="cellIs" dxfId="259" priority="603" operator="equal">
      <formula>"AS"</formula>
    </cfRule>
    <cfRule type="cellIs" dxfId="258" priority="604" operator="equal">
      <formula>"AA"</formula>
    </cfRule>
    <cfRule type="cellIs" dxfId="257" priority="605" operator="equal">
      <formula>"AF"</formula>
    </cfRule>
    <cfRule type="cellIs" dxfId="256" priority="606" operator="equal">
      <formula>"RC"</formula>
    </cfRule>
    <cfRule type="cellIs" dxfId="255" priority="607" operator="equal">
      <formula>"VG"</formula>
    </cfRule>
    <cfRule type="cellIs" dxfId="254" priority="608" operator="equal">
      <formula>"F6"</formula>
    </cfRule>
    <cfRule type="cellIs" dxfId="253" priority="609" operator="equal">
      <formula>"F5"</formula>
    </cfRule>
    <cfRule type="cellIs" dxfId="252" priority="610" operator="equal">
      <formula>"F4"</formula>
    </cfRule>
    <cfRule type="cellIs" dxfId="251" priority="611" operator="equal">
      <formula>"F3"</formula>
    </cfRule>
    <cfRule type="cellIs" dxfId="250" priority="613" operator="equal">
      <formula>"RM"</formula>
    </cfRule>
  </conditionalFormatting>
  <conditionalFormatting sqref="CR13:DF48">
    <cfRule type="cellIs" dxfId="249" priority="235" operator="equal">
      <formula>4</formula>
    </cfRule>
    <cfRule type="cellIs" dxfId="248" priority="236" operator="equal">
      <formula>3</formula>
    </cfRule>
    <cfRule type="cellIs" dxfId="247" priority="237" operator="equal">
      <formula>2</formula>
    </cfRule>
    <cfRule type="cellIs" dxfId="246" priority="238" operator="equal">
      <formula>1</formula>
    </cfRule>
    <cfRule type="cellIs" dxfId="245" priority="239" operator="equal">
      <formula>""""""</formula>
    </cfRule>
    <cfRule type="cellIs" dxfId="244" priority="240" operator="equal">
      <formula>"KK"</formula>
    </cfRule>
    <cfRule type="cellIs" dxfId="243" priority="241" operator="equal">
      <formula>"RP"</formula>
    </cfRule>
    <cfRule type="cellIs" dxfId="242" priority="242" operator="equal">
      <formula>"LC"</formula>
    </cfRule>
    <cfRule type="cellIs" dxfId="241" priority="243" operator="equal">
      <formula>"AO"</formula>
    </cfRule>
    <cfRule type="cellIs" dxfId="240" priority="244" operator="equal">
      <formula>"MM"</formula>
    </cfRule>
    <cfRule type="cellIs" dxfId="239" priority="245" operator="equal">
      <formula>"DA"</formula>
    </cfRule>
    <cfRule type="cellIs" dxfId="238" priority="246" operator="equal">
      <formula>"MP"</formula>
    </cfRule>
    <cfRule type="cellIs" dxfId="237" priority="247" operator="equal">
      <formula>"LA"</formula>
    </cfRule>
    <cfRule type="cellIs" dxfId="236" priority="248" operator="equal">
      <formula>"PD"</formula>
    </cfRule>
    <cfRule type="cellIs" dxfId="235" priority="249" operator="equal">
      <formula>"SF"</formula>
    </cfRule>
    <cfRule type="cellIs" dxfId="234" priority="250" operator="equal">
      <formula>"TF"</formula>
    </cfRule>
    <cfRule type="cellIs" dxfId="233" priority="251" operator="equal">
      <formula>"TM"</formula>
    </cfRule>
    <cfRule type="cellIs" dxfId="232" priority="252" operator="equal">
      <formula>"RO"</formula>
    </cfRule>
    <cfRule type="cellIs" dxfId="231" priority="253" operator="equal">
      <formula>"PC"</formula>
    </cfRule>
    <cfRule type="cellIs" dxfId="230" priority="254" operator="equal">
      <formula>"LZ"</formula>
    </cfRule>
    <cfRule type="cellIs" dxfId="229" priority="255" operator="equal">
      <formula>"LB"</formula>
    </cfRule>
    <cfRule type="cellIs" dxfId="228" priority="256" operator="equal">
      <formula>"JO"</formula>
    </cfRule>
    <cfRule type="cellIs" dxfId="227" priority="257" operator="equal">
      <formula>"CF"</formula>
    </cfRule>
    <cfRule type="cellIs" dxfId="226" priority="258" operator="equal">
      <formula>"AS"</formula>
    </cfRule>
    <cfRule type="cellIs" dxfId="225" priority="259" operator="equal">
      <formula>"AA"</formula>
    </cfRule>
    <cfRule type="cellIs" dxfId="224" priority="260" operator="equal">
      <formula>"AF"</formula>
    </cfRule>
    <cfRule type="cellIs" dxfId="223" priority="261" operator="equal">
      <formula>"RC"</formula>
    </cfRule>
    <cfRule type="cellIs" dxfId="222" priority="262" operator="equal">
      <formula>"WH"</formula>
    </cfRule>
    <cfRule type="cellIs" dxfId="221" priority="263" operator="equal">
      <formula>"JL"</formula>
    </cfRule>
    <cfRule type="cellIs" dxfId="220" priority="264" operator="equal">
      <formula>"MV"</formula>
    </cfRule>
    <cfRule type="cellIs" dxfId="219" priority="265" operator="equal">
      <formula>"AC"</formula>
    </cfRule>
    <cfRule type="cellIs" dxfId="218" priority="266" operator="equal">
      <formula>"GR"</formula>
    </cfRule>
    <cfRule type="cellIs" dxfId="217" priority="267" operator="equal">
      <formula>"VG"</formula>
    </cfRule>
    <cfRule type="cellIs" dxfId="216" priority="268" operator="equal">
      <formula>"F6"</formula>
    </cfRule>
    <cfRule type="cellIs" dxfId="215" priority="269" operator="equal">
      <formula>"F5"</formula>
    </cfRule>
    <cfRule type="cellIs" dxfId="214" priority="270" operator="equal">
      <formula>"F4"</formula>
    </cfRule>
    <cfRule type="cellIs" dxfId="213" priority="271" operator="equal">
      <formula>"F3"</formula>
    </cfRule>
    <cfRule type="cellIs" dxfId="212" priority="272" operator="equal">
      <formula>"JP"</formula>
    </cfRule>
    <cfRule type="cellIs" dxfId="211" priority="273" operator="equal">
      <formula>"?"</formula>
    </cfRule>
    <cfRule type="cellIs" dxfId="210" priority="274" operator="equal">
      <formula>"RM"</formula>
    </cfRule>
    <cfRule type="cellIs" dxfId="209" priority="234" operator="equal">
      <formula>5</formula>
    </cfRule>
  </conditionalFormatting>
  <conditionalFormatting sqref="CR1:DG1 E2:N2 P2:R2 CC2:CG2 CJ2 CM2 CR2:CW2 CY2 DB2 DG2:DG68 E3:L4 CC3:CC4 CR3:CR4 E5:E68">
    <cfRule type="cellIs" dxfId="208" priority="598" operator="equal">
      <formula>"PP"</formula>
    </cfRule>
    <cfRule type="cellIs" dxfId="207" priority="614" operator="equal">
      <formula>"PM"</formula>
    </cfRule>
  </conditionalFormatting>
  <conditionalFormatting sqref="DG5:DG68 CC13:CQ56">
    <cfRule type="cellIs" dxfId="206" priority="612" operator="equal">
      <formula>"JP"</formula>
    </cfRule>
  </conditionalFormatting>
  <printOptions horizontalCentered="1" verticalCentered="1"/>
  <pageMargins left="0.21" right="0.57999999999999996" top="0.15" bottom="0.15" header="0.12" footer="0.12"/>
  <pageSetup paperSize="9" scale="41" orientation="landscape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FF99"/>
  </sheetPr>
  <dimension ref="A1:AC27"/>
  <sheetViews>
    <sheetView topLeftCell="B1" zoomScale="115" zoomScaleNormal="115" workbookViewId="0">
      <selection activeCell="B13" sqref="B13"/>
    </sheetView>
  </sheetViews>
  <sheetFormatPr defaultColWidth="9.33203125" defaultRowHeight="25.2" customHeight="1"/>
  <cols>
    <col min="1" max="1" width="1.6640625" style="250" bestFit="1" customWidth="1"/>
    <col min="2" max="2" width="15.44140625" style="250" bestFit="1" customWidth="1"/>
    <col min="3" max="3" width="5.6640625" style="251" customWidth="1"/>
    <col min="4" max="15" width="5.6640625" style="250" customWidth="1"/>
    <col min="16" max="16" width="2.6640625" style="250" customWidth="1"/>
    <col min="17" max="27" width="5.6640625" style="251" customWidth="1"/>
    <col min="28" max="28" width="5.6640625" style="252" customWidth="1"/>
    <col min="29" max="29" width="2.6640625" style="250" customWidth="1"/>
    <col min="30" max="16384" width="9.33203125" style="250"/>
  </cols>
  <sheetData>
    <row r="1" spans="1:29" ht="6" customHeight="1"/>
    <row r="2" spans="1:29" ht="40.200000000000003" customHeight="1">
      <c r="B2" s="270" t="s">
        <v>42</v>
      </c>
      <c r="C2" s="271" t="str">
        <f>Ins!CO2</f>
        <v>IT</v>
      </c>
      <c r="D2" s="271" t="str">
        <f>Ins!CP2</f>
        <v>SP</v>
      </c>
      <c r="E2" s="271" t="str">
        <f>Ins!CQ2</f>
        <v>AF</v>
      </c>
      <c r="F2" s="271" t="str">
        <f>Ins!CR2</f>
        <v>PT</v>
      </c>
      <c r="G2" s="271" t="str">
        <f>Ins!CS2</f>
        <v>TR</v>
      </c>
      <c r="H2" s="271" t="str">
        <f>Ins!CT2</f>
        <v>AD</v>
      </c>
      <c r="I2" s="271" t="str">
        <f>Ins!CU2</f>
        <v>VG</v>
      </c>
      <c r="J2" s="271" t="str">
        <f>Ins!CV2</f>
        <v>NT</v>
      </c>
      <c r="K2" s="271" t="str">
        <f>Ins!CW2</f>
        <v>AI</v>
      </c>
      <c r="L2" s="271" t="str">
        <f>Ins!CX2</f>
        <v>CF</v>
      </c>
      <c r="M2" s="271" t="str">
        <f>Ins!CY2</f>
        <v>TRB</v>
      </c>
      <c r="N2" s="271" t="str">
        <f>Ins!CZ2</f>
        <v>AG</v>
      </c>
      <c r="O2" s="271" t="s">
        <v>259</v>
      </c>
      <c r="P2" s="272"/>
      <c r="Q2" s="271" t="str">
        <f>C2</f>
        <v>IT</v>
      </c>
      <c r="R2" s="271" t="str">
        <f t="shared" ref="R2:AB2" si="0">D2</f>
        <v>SP</v>
      </c>
      <c r="S2" s="271" t="str">
        <f t="shared" si="0"/>
        <v>AF</v>
      </c>
      <c r="T2" s="271" t="str">
        <f t="shared" si="0"/>
        <v>PT</v>
      </c>
      <c r="U2" s="271" t="str">
        <f t="shared" si="0"/>
        <v>TR</v>
      </c>
      <c r="V2" s="271" t="str">
        <f t="shared" si="0"/>
        <v>AD</v>
      </c>
      <c r="W2" s="271" t="str">
        <f t="shared" si="0"/>
        <v>VG</v>
      </c>
      <c r="X2" s="271" t="str">
        <f t="shared" si="0"/>
        <v>NT</v>
      </c>
      <c r="Y2" s="271" t="str">
        <f t="shared" si="0"/>
        <v>AI</v>
      </c>
      <c r="Z2" s="271" t="str">
        <f t="shared" si="0"/>
        <v>CF</v>
      </c>
      <c r="AA2" s="271" t="str">
        <f t="shared" si="0"/>
        <v>TRB</v>
      </c>
      <c r="AB2" s="271" t="str">
        <f t="shared" si="0"/>
        <v>AG</v>
      </c>
    </row>
    <row r="3" spans="1:29" ht="40.200000000000003" customHeight="1">
      <c r="A3" s="252">
        <v>1</v>
      </c>
      <c r="B3" s="253" t="str">
        <f>Ins!B3</f>
        <v>Ricardo Gonçalves</v>
      </c>
      <c r="C3" s="254">
        <f>Ins!CO3</f>
        <v>1</v>
      </c>
      <c r="D3" s="254">
        <f>Ins!CP3</f>
        <v>0.25</v>
      </c>
      <c r="E3" s="254">
        <f>Ins!CQ3</f>
        <v>0</v>
      </c>
      <c r="F3" s="254">
        <f>Ins!CR3</f>
        <v>0</v>
      </c>
      <c r="G3" s="254">
        <f>Ins!CS3</f>
        <v>1</v>
      </c>
      <c r="H3" s="254">
        <f>Ins!CT3</f>
        <v>4.25</v>
      </c>
      <c r="I3" s="254">
        <f>Ins!CU3</f>
        <v>10.75</v>
      </c>
      <c r="J3" s="254">
        <f>Ins!CV3</f>
        <v>13.5</v>
      </c>
      <c r="K3" s="254">
        <f>Ins!CW3</f>
        <v>0</v>
      </c>
      <c r="L3" s="254">
        <f>Ins!CX3</f>
        <v>0</v>
      </c>
      <c r="M3" s="254">
        <f>Ins!CY3</f>
        <v>0</v>
      </c>
      <c r="N3" s="254">
        <f>Ins!CZ3</f>
        <v>9.25</v>
      </c>
      <c r="O3" s="254">
        <f>SUM(C3:N3)</f>
        <v>40</v>
      </c>
      <c r="Q3" s="255">
        <f>C3/O3</f>
        <v>2.5000000000000001E-2</v>
      </c>
      <c r="R3" s="255">
        <f t="shared" ref="R3:AB3" si="1">D3/$O$3</f>
        <v>6.2500000000000003E-3</v>
      </c>
      <c r="S3" s="255">
        <f t="shared" si="1"/>
        <v>0</v>
      </c>
      <c r="T3" s="255">
        <f t="shared" si="1"/>
        <v>0</v>
      </c>
      <c r="U3" s="255">
        <f t="shared" si="1"/>
        <v>2.5000000000000001E-2</v>
      </c>
      <c r="V3" s="255">
        <f t="shared" si="1"/>
        <v>0.10625</v>
      </c>
      <c r="W3" s="255">
        <f t="shared" si="1"/>
        <v>0.26874999999999999</v>
      </c>
      <c r="X3" s="255">
        <f t="shared" si="1"/>
        <v>0.33750000000000002</v>
      </c>
      <c r="Y3" s="255">
        <f t="shared" si="1"/>
        <v>0</v>
      </c>
      <c r="Z3" s="255">
        <f t="shared" si="1"/>
        <v>0</v>
      </c>
      <c r="AA3" s="255">
        <f t="shared" si="1"/>
        <v>0</v>
      </c>
      <c r="AB3" s="255">
        <f t="shared" si="1"/>
        <v>0.23125000000000001</v>
      </c>
      <c r="AC3" s="256"/>
    </row>
    <row r="4" spans="1:29" ht="40.200000000000003" customHeight="1">
      <c r="A4" s="252">
        <v>2</v>
      </c>
      <c r="B4" s="253" t="str">
        <f>Ins!B4</f>
        <v>Cláudia Ribeiro</v>
      </c>
      <c r="C4" s="254">
        <f>Ins!CO4</f>
        <v>9.25</v>
      </c>
      <c r="D4" s="254">
        <f>Ins!CP4</f>
        <v>0.5</v>
      </c>
      <c r="E4" s="254">
        <f>Ins!CQ4</f>
        <v>0.5</v>
      </c>
      <c r="F4" s="254">
        <f>Ins!CR4</f>
        <v>12</v>
      </c>
      <c r="G4" s="254">
        <f>Ins!CS4</f>
        <v>4</v>
      </c>
      <c r="H4" s="254">
        <f>Ins!CT4</f>
        <v>4.25</v>
      </c>
      <c r="I4" s="254">
        <f>Ins!CU4</f>
        <v>0</v>
      </c>
      <c r="J4" s="254">
        <f>Ins!CV4</f>
        <v>1.5</v>
      </c>
      <c r="K4" s="254">
        <f>Ins!CW4</f>
        <v>0</v>
      </c>
      <c r="L4" s="254">
        <f>Ins!CX4</f>
        <v>0</v>
      </c>
      <c r="M4" s="254">
        <f>Ins!CY4</f>
        <v>0</v>
      </c>
      <c r="N4" s="254">
        <f>Ins!CZ4</f>
        <v>8</v>
      </c>
      <c r="O4" s="254">
        <f t="shared" ref="O4:O11" si="2">SUM(C4:N4)</f>
        <v>40</v>
      </c>
      <c r="Q4" s="255">
        <f>C4/$O$4</f>
        <v>0.23125000000000001</v>
      </c>
      <c r="R4" s="255">
        <f t="shared" ref="R4:AB4" si="3">D4/$O$4</f>
        <v>1.2500000000000001E-2</v>
      </c>
      <c r="S4" s="255">
        <f t="shared" si="3"/>
        <v>1.2500000000000001E-2</v>
      </c>
      <c r="T4" s="255">
        <f t="shared" si="3"/>
        <v>0.3</v>
      </c>
      <c r="U4" s="255">
        <f t="shared" si="3"/>
        <v>0.1</v>
      </c>
      <c r="V4" s="255">
        <f t="shared" si="3"/>
        <v>0.10625</v>
      </c>
      <c r="W4" s="255">
        <f t="shared" si="3"/>
        <v>0</v>
      </c>
      <c r="X4" s="255">
        <f t="shared" si="3"/>
        <v>3.7499999999999999E-2</v>
      </c>
      <c r="Y4" s="255">
        <f t="shared" si="3"/>
        <v>0</v>
      </c>
      <c r="Z4" s="255">
        <f t="shared" si="3"/>
        <v>0</v>
      </c>
      <c r="AA4" s="255">
        <f t="shared" si="3"/>
        <v>0</v>
      </c>
      <c r="AB4" s="255">
        <f t="shared" si="3"/>
        <v>0.2</v>
      </c>
      <c r="AC4" s="256"/>
    </row>
    <row r="5" spans="1:29" ht="40.200000000000003" customHeight="1">
      <c r="A5" s="252">
        <v>3</v>
      </c>
      <c r="B5" s="253" t="str">
        <f>Ins!B5</f>
        <v>Henrique Azevedo</v>
      </c>
      <c r="C5" s="254">
        <f>Ins!CO5</f>
        <v>13.5</v>
      </c>
      <c r="D5" s="254">
        <f>Ins!CP5</f>
        <v>2</v>
      </c>
      <c r="E5" s="254">
        <f>Ins!CQ5</f>
        <v>2.5</v>
      </c>
      <c r="F5" s="254">
        <f>Ins!CR5</f>
        <v>1</v>
      </c>
      <c r="G5" s="254">
        <f>Ins!CS5</f>
        <v>4.75</v>
      </c>
      <c r="H5" s="254">
        <f>Ins!CT5</f>
        <v>1</v>
      </c>
      <c r="I5" s="254">
        <f>Ins!CU5</f>
        <v>0</v>
      </c>
      <c r="J5" s="254">
        <f>Ins!CV5</f>
        <v>0</v>
      </c>
      <c r="K5" s="254">
        <f>Ins!CW5</f>
        <v>0</v>
      </c>
      <c r="L5" s="254">
        <f>Ins!CX5</f>
        <v>0</v>
      </c>
      <c r="M5" s="254">
        <f>Ins!CY5</f>
        <v>0</v>
      </c>
      <c r="N5" s="254">
        <f>Ins!CZ5</f>
        <v>15.25</v>
      </c>
      <c r="O5" s="254">
        <f t="shared" si="2"/>
        <v>40</v>
      </c>
      <c r="Q5" s="255">
        <f>C5/$O$5</f>
        <v>0.33750000000000002</v>
      </c>
      <c r="R5" s="255">
        <f t="shared" ref="R5:AB5" si="4">D5/$O$5</f>
        <v>0.05</v>
      </c>
      <c r="S5" s="255">
        <f t="shared" si="4"/>
        <v>6.25E-2</v>
      </c>
      <c r="T5" s="255">
        <f t="shared" si="4"/>
        <v>2.5000000000000001E-2</v>
      </c>
      <c r="U5" s="255">
        <f t="shared" si="4"/>
        <v>0.11874999999999999</v>
      </c>
      <c r="V5" s="255">
        <f t="shared" si="4"/>
        <v>2.5000000000000001E-2</v>
      </c>
      <c r="W5" s="255">
        <f t="shared" si="4"/>
        <v>0</v>
      </c>
      <c r="X5" s="255">
        <f t="shared" si="4"/>
        <v>0</v>
      </c>
      <c r="Y5" s="255">
        <f t="shared" si="4"/>
        <v>0</v>
      </c>
      <c r="Z5" s="255">
        <f t="shared" si="4"/>
        <v>0</v>
      </c>
      <c r="AA5" s="255">
        <f t="shared" si="4"/>
        <v>0</v>
      </c>
      <c r="AB5" s="255">
        <f t="shared" si="4"/>
        <v>0.38124999999999998</v>
      </c>
      <c r="AC5" s="256"/>
    </row>
    <row r="6" spans="1:29" ht="40.200000000000003" customHeight="1">
      <c r="A6" s="252">
        <v>4</v>
      </c>
      <c r="B6" s="253" t="str">
        <f>Ins!B6</f>
        <v>Sofia Ramos</v>
      </c>
      <c r="C6" s="254">
        <f>Ins!CO6</f>
        <v>0</v>
      </c>
      <c r="D6" s="254">
        <f>Ins!CP6</f>
        <v>0</v>
      </c>
      <c r="E6" s="254">
        <f>Ins!CQ6</f>
        <v>0</v>
      </c>
      <c r="F6" s="254">
        <f>Ins!CR6</f>
        <v>0</v>
      </c>
      <c r="G6" s="254">
        <f>Ins!CS6</f>
        <v>0</v>
      </c>
      <c r="H6" s="254">
        <f>Ins!CT6</f>
        <v>0</v>
      </c>
      <c r="I6" s="254">
        <f>Ins!CU6</f>
        <v>0</v>
      </c>
      <c r="J6" s="254">
        <f>Ins!CV6</f>
        <v>0</v>
      </c>
      <c r="K6" s="254">
        <f>Ins!CW6</f>
        <v>0</v>
      </c>
      <c r="L6" s="254">
        <f>Ins!CX6</f>
        <v>0</v>
      </c>
      <c r="M6" s="254">
        <f>Ins!CY6</f>
        <v>0</v>
      </c>
      <c r="N6" s="254">
        <f>Ins!CZ6</f>
        <v>0</v>
      </c>
      <c r="O6" s="254">
        <f t="shared" si="2"/>
        <v>0</v>
      </c>
      <c r="Q6" s="255" t="e">
        <f>C6/$O$6</f>
        <v>#DIV/0!</v>
      </c>
      <c r="R6" s="255" t="e">
        <f t="shared" ref="R6:AB6" si="5">D6/$O$6</f>
        <v>#DIV/0!</v>
      </c>
      <c r="S6" s="255" t="e">
        <f t="shared" si="5"/>
        <v>#DIV/0!</v>
      </c>
      <c r="T6" s="255" t="e">
        <f t="shared" si="5"/>
        <v>#DIV/0!</v>
      </c>
      <c r="U6" s="255" t="e">
        <f t="shared" si="5"/>
        <v>#DIV/0!</v>
      </c>
      <c r="V6" s="255" t="e">
        <f t="shared" si="5"/>
        <v>#DIV/0!</v>
      </c>
      <c r="W6" s="255" t="e">
        <f t="shared" si="5"/>
        <v>#DIV/0!</v>
      </c>
      <c r="X6" s="255" t="e">
        <f t="shared" si="5"/>
        <v>#DIV/0!</v>
      </c>
      <c r="Y6" s="255" t="e">
        <f t="shared" si="5"/>
        <v>#DIV/0!</v>
      </c>
      <c r="Z6" s="255" t="e">
        <f t="shared" si="5"/>
        <v>#DIV/0!</v>
      </c>
      <c r="AA6" s="255" t="e">
        <f t="shared" si="5"/>
        <v>#DIV/0!</v>
      </c>
      <c r="AB6" s="255" t="e">
        <f t="shared" si="5"/>
        <v>#DIV/0!</v>
      </c>
      <c r="AC6" s="256"/>
    </row>
    <row r="7" spans="1:29" ht="40.200000000000003" customHeight="1">
      <c r="A7" s="252">
        <v>5</v>
      </c>
      <c r="B7" s="253" t="e">
        <f>Ins!#REF!</f>
        <v>#REF!</v>
      </c>
      <c r="C7" s="254" t="e">
        <f>Ins!#REF!</f>
        <v>#REF!</v>
      </c>
      <c r="D7" s="254" t="e">
        <f>Ins!#REF!</f>
        <v>#REF!</v>
      </c>
      <c r="E7" s="254" t="e">
        <f>Ins!#REF!</f>
        <v>#REF!</v>
      </c>
      <c r="F7" s="254" t="e">
        <f>Ins!#REF!</f>
        <v>#REF!</v>
      </c>
      <c r="G7" s="254" t="e">
        <f>Ins!#REF!</f>
        <v>#REF!</v>
      </c>
      <c r="H7" s="254" t="e">
        <f>Ins!#REF!</f>
        <v>#REF!</v>
      </c>
      <c r="I7" s="254" t="e">
        <f>Ins!#REF!</f>
        <v>#REF!</v>
      </c>
      <c r="J7" s="254" t="e">
        <f>Ins!#REF!</f>
        <v>#REF!</v>
      </c>
      <c r="K7" s="254" t="e">
        <f>Ins!#REF!</f>
        <v>#REF!</v>
      </c>
      <c r="L7" s="254" t="e">
        <f>Ins!#REF!</f>
        <v>#REF!</v>
      </c>
      <c r="M7" s="254" t="e">
        <f>Ins!#REF!</f>
        <v>#REF!</v>
      </c>
      <c r="N7" s="254" t="e">
        <f>Ins!#REF!</f>
        <v>#REF!</v>
      </c>
      <c r="O7" s="254" t="e">
        <f t="shared" si="2"/>
        <v>#REF!</v>
      </c>
      <c r="Q7" s="255" t="e">
        <f>C7/$O$7</f>
        <v>#REF!</v>
      </c>
      <c r="R7" s="255" t="e">
        <f t="shared" ref="R7:AB7" si="6">D7/$O$7</f>
        <v>#REF!</v>
      </c>
      <c r="S7" s="255" t="e">
        <f t="shared" si="6"/>
        <v>#REF!</v>
      </c>
      <c r="T7" s="255" t="e">
        <f t="shared" si="6"/>
        <v>#REF!</v>
      </c>
      <c r="U7" s="255" t="e">
        <f t="shared" si="6"/>
        <v>#REF!</v>
      </c>
      <c r="V7" s="255" t="e">
        <f t="shared" si="6"/>
        <v>#REF!</v>
      </c>
      <c r="W7" s="255" t="e">
        <f t="shared" si="6"/>
        <v>#REF!</v>
      </c>
      <c r="X7" s="255" t="e">
        <f t="shared" si="6"/>
        <v>#REF!</v>
      </c>
      <c r="Y7" s="255" t="e">
        <f t="shared" si="6"/>
        <v>#REF!</v>
      </c>
      <c r="Z7" s="255" t="e">
        <f t="shared" si="6"/>
        <v>#REF!</v>
      </c>
      <c r="AA7" s="255" t="e">
        <f t="shared" si="6"/>
        <v>#REF!</v>
      </c>
      <c r="AB7" s="255" t="e">
        <f t="shared" si="6"/>
        <v>#REF!</v>
      </c>
      <c r="AC7" s="256"/>
    </row>
    <row r="8" spans="1:29" ht="40.200000000000003" customHeight="1">
      <c r="A8" s="252">
        <v>6</v>
      </c>
      <c r="B8" s="253" t="str">
        <f>Ins!B7</f>
        <v>Tiago Almeida</v>
      </c>
      <c r="C8" s="254">
        <f>Ins!CO7</f>
        <v>0</v>
      </c>
      <c r="D8" s="254">
        <f>Ins!CP7</f>
        <v>0</v>
      </c>
      <c r="E8" s="254">
        <f>Ins!CQ7</f>
        <v>0</v>
      </c>
      <c r="F8" s="254">
        <f>Ins!CR7</f>
        <v>0</v>
      </c>
      <c r="G8" s="254">
        <f>Ins!CS7</f>
        <v>0</v>
      </c>
      <c r="H8" s="254">
        <f>Ins!CT7</f>
        <v>0</v>
      </c>
      <c r="I8" s="254">
        <f>Ins!CU7</f>
        <v>0</v>
      </c>
      <c r="J8" s="254">
        <f>Ins!CV7</f>
        <v>0</v>
      </c>
      <c r="K8" s="254">
        <f>Ins!CW7</f>
        <v>0</v>
      </c>
      <c r="L8" s="254">
        <f>Ins!CX7</f>
        <v>0</v>
      </c>
      <c r="M8" s="254">
        <f>Ins!CY7</f>
        <v>0</v>
      </c>
      <c r="N8" s="254">
        <f>Ins!CZ7</f>
        <v>0</v>
      </c>
      <c r="O8" s="254">
        <f t="shared" si="2"/>
        <v>0</v>
      </c>
      <c r="Q8" s="255" t="e">
        <f>C8/$O$8</f>
        <v>#DIV/0!</v>
      </c>
      <c r="R8" s="255" t="e">
        <f t="shared" ref="R8:AB8" si="7">D8/$O$8</f>
        <v>#DIV/0!</v>
      </c>
      <c r="S8" s="255" t="e">
        <f t="shared" si="7"/>
        <v>#DIV/0!</v>
      </c>
      <c r="T8" s="255" t="e">
        <f t="shared" si="7"/>
        <v>#DIV/0!</v>
      </c>
      <c r="U8" s="255" t="e">
        <f t="shared" si="7"/>
        <v>#DIV/0!</v>
      </c>
      <c r="V8" s="255" t="e">
        <f t="shared" si="7"/>
        <v>#DIV/0!</v>
      </c>
      <c r="W8" s="255" t="e">
        <f t="shared" si="7"/>
        <v>#DIV/0!</v>
      </c>
      <c r="X8" s="255" t="e">
        <f t="shared" si="7"/>
        <v>#DIV/0!</v>
      </c>
      <c r="Y8" s="255" t="e">
        <f t="shared" si="7"/>
        <v>#DIV/0!</v>
      </c>
      <c r="Z8" s="255" t="e">
        <f t="shared" si="7"/>
        <v>#DIV/0!</v>
      </c>
      <c r="AA8" s="255" t="e">
        <f t="shared" si="7"/>
        <v>#DIV/0!</v>
      </c>
      <c r="AB8" s="255" t="e">
        <f t="shared" si="7"/>
        <v>#DIV/0!</v>
      </c>
      <c r="AC8" s="256"/>
    </row>
    <row r="9" spans="1:29" ht="40.200000000000003" customHeight="1">
      <c r="A9" s="252">
        <v>7</v>
      </c>
      <c r="B9" s="253" t="str">
        <f>Ins!B9</f>
        <v>Renata Pinho</v>
      </c>
      <c r="C9" s="254">
        <f>Ins!CO9</f>
        <v>0</v>
      </c>
      <c r="D9" s="254">
        <f>Ins!CP9</f>
        <v>0</v>
      </c>
      <c r="E9" s="254">
        <f>Ins!CQ9</f>
        <v>0</v>
      </c>
      <c r="F9" s="254">
        <f>Ins!CR9</f>
        <v>0.5</v>
      </c>
      <c r="G9" s="254">
        <f>Ins!CS9</f>
        <v>0</v>
      </c>
      <c r="H9" s="254">
        <f>Ins!CT9</f>
        <v>0</v>
      </c>
      <c r="I9" s="254">
        <f>Ins!CU9</f>
        <v>0</v>
      </c>
      <c r="J9" s="254">
        <f>Ins!CV9</f>
        <v>4.5</v>
      </c>
      <c r="K9" s="254">
        <f>Ins!CW9</f>
        <v>0</v>
      </c>
      <c r="L9" s="254">
        <f>Ins!CX9</f>
        <v>0</v>
      </c>
      <c r="M9" s="254">
        <f>Ins!CY9</f>
        <v>0</v>
      </c>
      <c r="N9" s="254">
        <f>Ins!CZ9</f>
        <v>0</v>
      </c>
      <c r="O9" s="254">
        <f t="shared" si="2"/>
        <v>5</v>
      </c>
      <c r="Q9" s="255">
        <f>C9/$O$9</f>
        <v>0</v>
      </c>
      <c r="R9" s="255">
        <f t="shared" ref="R9:AB9" si="8">D9/$O$9</f>
        <v>0</v>
      </c>
      <c r="S9" s="255">
        <f t="shared" si="8"/>
        <v>0</v>
      </c>
      <c r="T9" s="255">
        <f t="shared" si="8"/>
        <v>0.1</v>
      </c>
      <c r="U9" s="255">
        <f t="shared" si="8"/>
        <v>0</v>
      </c>
      <c r="V9" s="255">
        <f t="shared" si="8"/>
        <v>0</v>
      </c>
      <c r="W9" s="255">
        <f t="shared" si="8"/>
        <v>0</v>
      </c>
      <c r="X9" s="255">
        <f t="shared" si="8"/>
        <v>0.9</v>
      </c>
      <c r="Y9" s="255">
        <f t="shared" si="8"/>
        <v>0</v>
      </c>
      <c r="Z9" s="255">
        <f t="shared" si="8"/>
        <v>0</v>
      </c>
      <c r="AA9" s="255">
        <f t="shared" si="8"/>
        <v>0</v>
      </c>
      <c r="AB9" s="255">
        <f t="shared" si="8"/>
        <v>0</v>
      </c>
      <c r="AC9" s="256"/>
    </row>
    <row r="10" spans="1:29" ht="40.200000000000003" customHeight="1">
      <c r="A10" s="252">
        <v>8</v>
      </c>
      <c r="B10" s="253" t="str">
        <f>Ins!B12</f>
        <v>Joberth Diniz</v>
      </c>
      <c r="C10" s="254">
        <f>Ins!CO12</f>
        <v>0</v>
      </c>
      <c r="D10" s="254">
        <f>Ins!CP12</f>
        <v>0</v>
      </c>
      <c r="E10" s="254">
        <f>Ins!CQ12</f>
        <v>0</v>
      </c>
      <c r="F10" s="254">
        <f>Ins!CR12</f>
        <v>0</v>
      </c>
      <c r="G10" s="254">
        <f>Ins!CS12</f>
        <v>0</v>
      </c>
      <c r="H10" s="254">
        <f>Ins!CT12</f>
        <v>0</v>
      </c>
      <c r="I10" s="254">
        <f>Ins!CU12</f>
        <v>0</v>
      </c>
      <c r="J10" s="254">
        <f>Ins!CV12</f>
        <v>0</v>
      </c>
      <c r="K10" s="254">
        <f>Ins!CW12</f>
        <v>0</v>
      </c>
      <c r="L10" s="254">
        <f>Ins!CX12</f>
        <v>0</v>
      </c>
      <c r="M10" s="254">
        <f>Ins!CY12</f>
        <v>0</v>
      </c>
      <c r="N10" s="254">
        <f>Ins!CZ12</f>
        <v>0</v>
      </c>
      <c r="O10" s="254">
        <f t="shared" si="2"/>
        <v>0</v>
      </c>
      <c r="Q10" s="255" t="e">
        <f>C10/$O$10</f>
        <v>#DIV/0!</v>
      </c>
      <c r="R10" s="255" t="e">
        <f t="shared" ref="R10:AB10" si="9">D10/$O$10</f>
        <v>#DIV/0!</v>
      </c>
      <c r="S10" s="255" t="e">
        <f t="shared" si="9"/>
        <v>#DIV/0!</v>
      </c>
      <c r="T10" s="255" t="e">
        <f t="shared" si="9"/>
        <v>#DIV/0!</v>
      </c>
      <c r="U10" s="255" t="e">
        <f t="shared" si="9"/>
        <v>#DIV/0!</v>
      </c>
      <c r="V10" s="255" t="e">
        <f t="shared" si="9"/>
        <v>#DIV/0!</v>
      </c>
      <c r="W10" s="255" t="e">
        <f t="shared" si="9"/>
        <v>#DIV/0!</v>
      </c>
      <c r="X10" s="255" t="e">
        <f t="shared" si="9"/>
        <v>#DIV/0!</v>
      </c>
      <c r="Y10" s="255" t="e">
        <f t="shared" si="9"/>
        <v>#DIV/0!</v>
      </c>
      <c r="Z10" s="255" t="e">
        <f t="shared" si="9"/>
        <v>#DIV/0!</v>
      </c>
      <c r="AA10" s="255" t="e">
        <f t="shared" si="9"/>
        <v>#DIV/0!</v>
      </c>
      <c r="AB10" s="255" t="e">
        <f t="shared" si="9"/>
        <v>#DIV/0!</v>
      </c>
      <c r="AC10" s="256"/>
    </row>
    <row r="11" spans="1:29" ht="40.200000000000003" customHeight="1">
      <c r="A11" s="252">
        <v>9</v>
      </c>
      <c r="B11" s="253" t="str">
        <f>Ins!B18</f>
        <v>André Gobetti</v>
      </c>
      <c r="C11" s="254">
        <f>Ins!CO18</f>
        <v>0</v>
      </c>
      <c r="D11" s="254">
        <f>Ins!CP18</f>
        <v>0</v>
      </c>
      <c r="E11" s="254">
        <f>Ins!CQ18</f>
        <v>0</v>
      </c>
      <c r="F11" s="254">
        <f>Ins!CR18</f>
        <v>0</v>
      </c>
      <c r="G11" s="254">
        <f>Ins!CS18</f>
        <v>0</v>
      </c>
      <c r="H11" s="254">
        <f>Ins!CT18</f>
        <v>0</v>
      </c>
      <c r="I11" s="254">
        <f>Ins!CU18</f>
        <v>0</v>
      </c>
      <c r="J11" s="254">
        <f>Ins!CV18</f>
        <v>0</v>
      </c>
      <c r="K11" s="254">
        <f>Ins!CW18</f>
        <v>0</v>
      </c>
      <c r="L11" s="254">
        <f>Ins!CX18</f>
        <v>0</v>
      </c>
      <c r="M11" s="254">
        <f>Ins!CY18</f>
        <v>0</v>
      </c>
      <c r="N11" s="254">
        <f>Ins!CZ18</f>
        <v>0</v>
      </c>
      <c r="O11" s="254">
        <f t="shared" si="2"/>
        <v>0</v>
      </c>
      <c r="Q11" s="255" t="e">
        <f>C11/$O$11</f>
        <v>#DIV/0!</v>
      </c>
      <c r="R11" s="255" t="e">
        <f t="shared" ref="R11:AB11" si="10">D11/$O$11</f>
        <v>#DIV/0!</v>
      </c>
      <c r="S11" s="255" t="e">
        <f t="shared" si="10"/>
        <v>#DIV/0!</v>
      </c>
      <c r="T11" s="255" t="e">
        <f t="shared" si="10"/>
        <v>#DIV/0!</v>
      </c>
      <c r="U11" s="255" t="e">
        <f t="shared" si="10"/>
        <v>#DIV/0!</v>
      </c>
      <c r="V11" s="255" t="e">
        <f t="shared" si="10"/>
        <v>#DIV/0!</v>
      </c>
      <c r="W11" s="255" t="e">
        <f t="shared" si="10"/>
        <v>#DIV/0!</v>
      </c>
      <c r="X11" s="255" t="e">
        <f t="shared" si="10"/>
        <v>#DIV/0!</v>
      </c>
      <c r="Y11" s="255" t="e">
        <f t="shared" si="10"/>
        <v>#DIV/0!</v>
      </c>
      <c r="Z11" s="255" t="e">
        <f t="shared" si="10"/>
        <v>#DIV/0!</v>
      </c>
      <c r="AA11" s="255" t="e">
        <f t="shared" si="10"/>
        <v>#DIV/0!</v>
      </c>
      <c r="AB11" s="255" t="e">
        <f t="shared" si="10"/>
        <v>#DIV/0!</v>
      </c>
      <c r="AC11" s="256"/>
    </row>
    <row r="12" spans="1:29" ht="40.200000000000003" customHeight="1">
      <c r="A12" s="252"/>
      <c r="B12" s="253" t="s">
        <v>18</v>
      </c>
      <c r="C12" s="265" t="e">
        <f>SUM(C3:C11)</f>
        <v>#REF!</v>
      </c>
      <c r="D12" s="265" t="e">
        <f t="shared" ref="D12:N12" si="11">SUM(D3:D11)</f>
        <v>#REF!</v>
      </c>
      <c r="E12" s="265" t="e">
        <f t="shared" si="11"/>
        <v>#REF!</v>
      </c>
      <c r="F12" s="265" t="e">
        <f t="shared" si="11"/>
        <v>#REF!</v>
      </c>
      <c r="G12" s="265" t="e">
        <f t="shared" si="11"/>
        <v>#REF!</v>
      </c>
      <c r="H12" s="265" t="e">
        <f t="shared" si="11"/>
        <v>#REF!</v>
      </c>
      <c r="I12" s="265" t="e">
        <f t="shared" si="11"/>
        <v>#REF!</v>
      </c>
      <c r="J12" s="265" t="e">
        <f t="shared" si="11"/>
        <v>#REF!</v>
      </c>
      <c r="K12" s="265" t="e">
        <f t="shared" si="11"/>
        <v>#REF!</v>
      </c>
      <c r="L12" s="265" t="e">
        <f t="shared" si="11"/>
        <v>#REF!</v>
      </c>
      <c r="M12" s="265" t="e">
        <f t="shared" si="11"/>
        <v>#REF!</v>
      </c>
      <c r="N12" s="265" t="e">
        <f t="shared" si="11"/>
        <v>#REF!</v>
      </c>
      <c r="O12" s="265" t="e">
        <f>SUM(C12:N12)</f>
        <v>#REF!</v>
      </c>
      <c r="Q12" s="255" t="e">
        <f>C12/$O$12</f>
        <v>#REF!</v>
      </c>
      <c r="R12" s="255" t="e">
        <f t="shared" ref="R12:AB12" si="12">D12/$O$12</f>
        <v>#REF!</v>
      </c>
      <c r="S12" s="255" t="e">
        <f t="shared" si="12"/>
        <v>#REF!</v>
      </c>
      <c r="T12" s="255" t="e">
        <f t="shared" si="12"/>
        <v>#REF!</v>
      </c>
      <c r="U12" s="255" t="e">
        <f t="shared" si="12"/>
        <v>#REF!</v>
      </c>
      <c r="V12" s="255" t="e">
        <f t="shared" si="12"/>
        <v>#REF!</v>
      </c>
      <c r="W12" s="255" t="e">
        <f t="shared" si="12"/>
        <v>#REF!</v>
      </c>
      <c r="X12" s="255" t="e">
        <f t="shared" si="12"/>
        <v>#REF!</v>
      </c>
      <c r="Y12" s="255" t="e">
        <f t="shared" si="12"/>
        <v>#REF!</v>
      </c>
      <c r="Z12" s="255" t="e">
        <f t="shared" si="12"/>
        <v>#REF!</v>
      </c>
      <c r="AA12" s="255" t="e">
        <f t="shared" si="12"/>
        <v>#REF!</v>
      </c>
      <c r="AB12" s="255" t="e">
        <f t="shared" si="12"/>
        <v>#REF!</v>
      </c>
      <c r="AC12" s="256"/>
    </row>
    <row r="13" spans="1:29" s="253" customFormat="1" ht="40.200000000000003" customHeight="1">
      <c r="B13" s="253" t="s">
        <v>359</v>
      </c>
      <c r="C13" s="265">
        <f>Ins!CO58</f>
        <v>97.5</v>
      </c>
      <c r="D13" s="265">
        <f>Ins!CP58</f>
        <v>6.75</v>
      </c>
      <c r="E13" s="265">
        <f>Ins!CQ58</f>
        <v>15</v>
      </c>
      <c r="F13" s="265">
        <f>Ins!CR58</f>
        <v>26.75</v>
      </c>
      <c r="G13" s="265">
        <f>Ins!CS58</f>
        <v>21</v>
      </c>
      <c r="H13" s="265">
        <f>Ins!CT58</f>
        <v>16.25</v>
      </c>
      <c r="I13" s="265">
        <f>Ins!CU58</f>
        <v>10.75</v>
      </c>
      <c r="J13" s="265">
        <f>Ins!CV58</f>
        <v>66.75</v>
      </c>
      <c r="K13" s="265">
        <f>Ins!CW58</f>
        <v>1.75</v>
      </c>
      <c r="L13" s="265">
        <f>Ins!CX58</f>
        <v>0</v>
      </c>
      <c r="M13" s="265">
        <f>Ins!CY58</f>
        <v>0</v>
      </c>
      <c r="N13" s="265">
        <f>Ins!CZ58</f>
        <v>111</v>
      </c>
      <c r="O13" s="265">
        <f>SUM(C13:N13)</f>
        <v>373.5</v>
      </c>
      <c r="P13" s="250"/>
      <c r="Q13" s="255"/>
      <c r="R13" s="252"/>
      <c r="S13" s="252"/>
      <c r="T13" s="252"/>
      <c r="U13" s="252"/>
      <c r="V13" s="252"/>
      <c r="W13" s="252"/>
      <c r="X13" s="252"/>
      <c r="Y13" s="252"/>
      <c r="Z13" s="252"/>
      <c r="AA13" s="252"/>
      <c r="AB13" s="252"/>
    </row>
    <row r="14" spans="1:29" s="253" customFormat="1" ht="40.200000000000003" customHeight="1">
      <c r="B14" s="253" t="s">
        <v>360</v>
      </c>
      <c r="C14" s="255" t="e">
        <f>IF(C12=0,"",C12/C13)</f>
        <v>#REF!</v>
      </c>
      <c r="D14" s="255" t="e">
        <f t="shared" ref="D14:O14" si="13">IF(D12=0,"",D12/D13)</f>
        <v>#REF!</v>
      </c>
      <c r="E14" s="255" t="e">
        <f t="shared" si="13"/>
        <v>#REF!</v>
      </c>
      <c r="F14" s="255" t="e">
        <f t="shared" si="13"/>
        <v>#REF!</v>
      </c>
      <c r="G14" s="255" t="e">
        <f t="shared" si="13"/>
        <v>#REF!</v>
      </c>
      <c r="H14" s="255" t="e">
        <f t="shared" si="13"/>
        <v>#REF!</v>
      </c>
      <c r="I14" s="255" t="e">
        <f t="shared" si="13"/>
        <v>#REF!</v>
      </c>
      <c r="J14" s="255" t="e">
        <f t="shared" si="13"/>
        <v>#REF!</v>
      </c>
      <c r="K14" s="255" t="e">
        <f t="shared" si="13"/>
        <v>#REF!</v>
      </c>
      <c r="L14" s="255" t="e">
        <f>IF(L12=0,"",L12/L13)</f>
        <v>#REF!</v>
      </c>
      <c r="M14" s="255" t="e">
        <f t="shared" si="13"/>
        <v>#REF!</v>
      </c>
      <c r="N14" s="255" t="e">
        <f t="shared" si="13"/>
        <v>#REF!</v>
      </c>
      <c r="O14" s="255" t="e">
        <f t="shared" si="13"/>
        <v>#REF!</v>
      </c>
      <c r="P14" s="250"/>
      <c r="Q14" s="255"/>
      <c r="R14" s="252"/>
      <c r="S14" s="252"/>
      <c r="T14" s="252"/>
      <c r="U14" s="252"/>
      <c r="V14" s="252"/>
      <c r="W14" s="252"/>
      <c r="X14" s="252"/>
      <c r="Y14" s="252"/>
      <c r="Z14" s="252"/>
      <c r="AA14" s="252"/>
      <c r="AB14" s="252"/>
    </row>
    <row r="15" spans="1:29" s="253" customFormat="1" ht="15" customHeight="1">
      <c r="B15" s="257" t="s">
        <v>238</v>
      </c>
      <c r="C15" s="252"/>
      <c r="D15" s="252"/>
      <c r="E15" s="252"/>
      <c r="F15" s="252"/>
      <c r="G15" s="252"/>
      <c r="H15" s="252"/>
      <c r="I15" s="252"/>
      <c r="J15" s="252"/>
      <c r="K15" s="252"/>
      <c r="L15" s="252"/>
      <c r="M15" s="252"/>
      <c r="N15" s="252"/>
      <c r="O15" s="252"/>
      <c r="P15" s="252"/>
      <c r="Q15" s="252"/>
      <c r="R15" s="252"/>
      <c r="S15" s="252"/>
      <c r="T15" s="252"/>
      <c r="U15" s="252"/>
      <c r="V15" s="252"/>
      <c r="W15" s="252"/>
      <c r="X15" s="252"/>
      <c r="Y15" s="252"/>
      <c r="Z15" s="252"/>
      <c r="AA15" s="252"/>
      <c r="AB15" s="252"/>
    </row>
    <row r="16" spans="1:29" s="253" customFormat="1" ht="15" customHeight="1">
      <c r="B16" s="258" t="s">
        <v>361</v>
      </c>
      <c r="C16" s="252"/>
      <c r="D16" s="252"/>
      <c r="E16" s="252"/>
      <c r="F16" s="252"/>
      <c r="G16" s="252"/>
      <c r="H16" s="252"/>
      <c r="I16" s="252"/>
      <c r="J16" s="252"/>
      <c r="K16" s="252"/>
      <c r="L16" s="252"/>
      <c r="M16" s="252"/>
      <c r="N16" s="252"/>
      <c r="O16" s="252"/>
      <c r="P16" s="252"/>
      <c r="Q16" s="252"/>
      <c r="R16" s="252"/>
      <c r="S16" s="252"/>
      <c r="T16" s="252"/>
      <c r="U16" s="252"/>
      <c r="V16" s="252"/>
      <c r="W16" s="252"/>
      <c r="X16" s="252"/>
      <c r="Y16" s="252"/>
      <c r="Z16" s="252"/>
      <c r="AA16" s="252"/>
      <c r="AB16" s="252"/>
    </row>
    <row r="17" spans="2:28" s="253" customFormat="1" ht="15" customHeight="1">
      <c r="B17" s="259" t="s">
        <v>362</v>
      </c>
      <c r="C17" s="252"/>
      <c r="D17" s="252"/>
      <c r="E17" s="252"/>
      <c r="F17" s="252"/>
      <c r="G17" s="252"/>
      <c r="H17" s="252"/>
      <c r="I17" s="252"/>
      <c r="J17" s="252"/>
      <c r="K17" s="252"/>
      <c r="L17" s="252"/>
      <c r="M17" s="252"/>
      <c r="N17" s="252"/>
      <c r="O17" s="252"/>
      <c r="P17" s="252"/>
      <c r="Q17" s="252"/>
      <c r="R17" s="252"/>
      <c r="S17" s="252"/>
      <c r="T17" s="252"/>
      <c r="U17" s="252"/>
      <c r="V17" s="252"/>
      <c r="W17" s="252"/>
      <c r="X17" s="252"/>
      <c r="Y17" s="252"/>
      <c r="Z17" s="252"/>
      <c r="AA17" s="252"/>
      <c r="AB17" s="252"/>
    </row>
    <row r="18" spans="2:28" s="253" customFormat="1" ht="15" customHeight="1">
      <c r="B18" s="260" t="s">
        <v>363</v>
      </c>
      <c r="C18" s="252"/>
      <c r="D18" s="252"/>
      <c r="E18" s="252"/>
      <c r="F18" s="252"/>
      <c r="G18" s="252"/>
      <c r="H18" s="252"/>
      <c r="I18" s="252"/>
      <c r="J18" s="252"/>
      <c r="K18" s="252"/>
      <c r="L18" s="252"/>
      <c r="M18" s="252"/>
      <c r="N18" s="252"/>
      <c r="O18" s="252"/>
      <c r="P18" s="252"/>
      <c r="Q18" s="252"/>
      <c r="R18" s="252"/>
      <c r="S18" s="252"/>
      <c r="T18" s="252"/>
      <c r="U18" s="252"/>
      <c r="V18" s="252"/>
      <c r="W18" s="252"/>
      <c r="X18" s="252"/>
      <c r="Y18" s="252"/>
      <c r="Z18" s="252"/>
      <c r="AA18" s="252"/>
      <c r="AB18" s="252"/>
    </row>
    <row r="19" spans="2:28" s="253" customFormat="1" ht="15" customHeight="1">
      <c r="B19" s="261" t="s">
        <v>364</v>
      </c>
      <c r="C19" s="252"/>
      <c r="D19" s="252"/>
      <c r="E19" s="252"/>
      <c r="F19" s="252"/>
      <c r="G19" s="252"/>
      <c r="H19" s="252"/>
      <c r="I19" s="252"/>
      <c r="J19" s="252"/>
      <c r="K19" s="252"/>
      <c r="L19" s="252"/>
      <c r="M19" s="252"/>
      <c r="N19" s="252"/>
      <c r="O19" s="252"/>
      <c r="P19" s="252"/>
      <c r="Q19" s="252"/>
      <c r="R19" s="252"/>
      <c r="S19" s="252"/>
      <c r="T19" s="252"/>
      <c r="U19" s="252"/>
      <c r="V19" s="252"/>
      <c r="W19" s="252"/>
      <c r="X19" s="252"/>
      <c r="Y19" s="252"/>
      <c r="Z19" s="252"/>
      <c r="AA19" s="252"/>
      <c r="AB19" s="252"/>
    </row>
    <row r="20" spans="2:28" s="253" customFormat="1" ht="15" customHeight="1">
      <c r="B20" s="262" t="s">
        <v>365</v>
      </c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  <c r="P20" s="252"/>
      <c r="Q20" s="252"/>
      <c r="R20" s="252"/>
      <c r="S20" s="252"/>
      <c r="T20" s="252"/>
      <c r="U20" s="252"/>
      <c r="V20" s="252"/>
      <c r="W20" s="252"/>
      <c r="X20" s="252"/>
      <c r="Y20" s="252"/>
      <c r="Z20" s="252"/>
      <c r="AA20" s="252"/>
      <c r="AB20" s="252"/>
    </row>
    <row r="21" spans="2:28" s="253" customFormat="1" ht="15" customHeight="1">
      <c r="B21" s="263" t="s">
        <v>368</v>
      </c>
      <c r="C21" s="252"/>
      <c r="D21" s="252"/>
      <c r="E21" s="252"/>
      <c r="F21" s="252"/>
      <c r="G21" s="252"/>
      <c r="H21" s="252"/>
      <c r="I21" s="252"/>
      <c r="J21" s="252"/>
      <c r="K21" s="252"/>
      <c r="L21" s="252"/>
      <c r="M21" s="252"/>
      <c r="N21" s="252"/>
      <c r="O21" s="252"/>
      <c r="P21" s="252"/>
      <c r="Q21" s="252"/>
      <c r="R21" s="252"/>
      <c r="S21" s="252"/>
      <c r="T21" s="252"/>
      <c r="U21" s="252"/>
      <c r="V21" s="252"/>
      <c r="W21" s="252"/>
      <c r="X21" s="252"/>
      <c r="Y21" s="252"/>
      <c r="Z21" s="252"/>
      <c r="AA21" s="252"/>
      <c r="AB21" s="252"/>
    </row>
    <row r="22" spans="2:28" s="253" customFormat="1" ht="15" customHeight="1">
      <c r="B22" s="264" t="s">
        <v>369</v>
      </c>
      <c r="C22" s="252"/>
      <c r="D22" s="252"/>
      <c r="E22" s="252"/>
      <c r="F22" s="252"/>
      <c r="G22" s="252"/>
      <c r="H22" s="252"/>
      <c r="I22" s="252"/>
      <c r="J22" s="252"/>
      <c r="K22" s="252"/>
      <c r="L22" s="252"/>
      <c r="M22" s="252"/>
      <c r="N22" s="252"/>
      <c r="O22" s="252"/>
      <c r="P22" s="252"/>
      <c r="Q22" s="252"/>
      <c r="R22" s="252"/>
      <c r="S22" s="252"/>
      <c r="T22" s="252"/>
      <c r="U22" s="252"/>
      <c r="V22" s="252"/>
      <c r="W22" s="252"/>
      <c r="X22" s="252"/>
      <c r="Y22" s="252"/>
      <c r="Z22" s="252"/>
      <c r="AA22" s="252"/>
      <c r="AB22" s="252"/>
    </row>
    <row r="23" spans="2:28" s="253" customFormat="1" ht="15" customHeight="1">
      <c r="B23" s="264" t="s">
        <v>367</v>
      </c>
      <c r="C23" s="252"/>
      <c r="P23" s="250"/>
    </row>
    <row r="24" spans="2:28" s="253" customFormat="1" ht="15" customHeight="1">
      <c r="B24" s="267" t="s">
        <v>366</v>
      </c>
      <c r="C24" s="252"/>
      <c r="P24" s="250"/>
    </row>
    <row r="25" spans="2:28" s="253" customFormat="1" ht="15" customHeight="1">
      <c r="B25" s="269" t="s">
        <v>284</v>
      </c>
      <c r="C25" s="252"/>
      <c r="P25" s="250"/>
    </row>
    <row r="26" spans="2:28" s="253" customFormat="1" ht="15" customHeight="1">
      <c r="B26" s="268" t="s">
        <v>370</v>
      </c>
      <c r="C26" s="252"/>
      <c r="P26" s="250"/>
    </row>
    <row r="27" spans="2:28" s="253" customFormat="1" ht="15" customHeight="1">
      <c r="B27" s="266" t="s">
        <v>367</v>
      </c>
      <c r="C27" s="252"/>
      <c r="P27" s="250"/>
    </row>
  </sheetData>
  <conditionalFormatting sqref="Q3:AB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:AB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:AB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:AB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7:AB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8:AB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9:AB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0:AB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1:AB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2:AB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FF99"/>
    <pageSetUpPr fitToPage="1"/>
  </sheetPr>
  <dimension ref="B1:LB72"/>
  <sheetViews>
    <sheetView zoomScale="70" zoomScaleNormal="70" zoomScaleSheetLayoutView="100" workbookViewId="0">
      <pane ySplit="4" topLeftCell="A5" activePane="bottomLeft" state="frozen"/>
      <selection activeCell="T27" sqref="T27"/>
      <selection pane="bottomLeft" activeCell="AK30" sqref="AK30"/>
    </sheetView>
  </sheetViews>
  <sheetFormatPr defaultColWidth="9.33203125" defaultRowHeight="10.5" customHeight="1"/>
  <cols>
    <col min="1" max="1" width="1.6640625" style="49" customWidth="1"/>
    <col min="2" max="4" width="4.44140625" style="49" hidden="1" customWidth="1"/>
    <col min="5" max="5" width="5.6640625" style="49" customWidth="1"/>
    <col min="6" max="56" width="3.33203125" style="49" customWidth="1"/>
    <col min="57" max="57" width="3.33203125" style="214" customWidth="1"/>
    <col min="58" max="313" width="3.33203125" style="49" customWidth="1"/>
    <col min="314" max="314" width="5.6640625" style="49" bestFit="1" customWidth="1"/>
    <col min="315" max="16384" width="9.33203125" style="49"/>
  </cols>
  <sheetData>
    <row r="1" spans="2:314" ht="10.5" customHeight="1">
      <c r="E1" s="358" t="s">
        <v>184</v>
      </c>
      <c r="F1" s="368" t="s">
        <v>27</v>
      </c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  <c r="X1" s="371"/>
      <c r="Y1" s="371"/>
      <c r="Z1" s="371"/>
      <c r="AA1" s="371"/>
      <c r="AB1" s="371"/>
      <c r="AC1" s="371"/>
      <c r="AD1" s="371"/>
      <c r="AE1" s="371"/>
      <c r="AF1" s="371"/>
      <c r="AG1" s="371"/>
      <c r="AH1" s="371"/>
      <c r="AI1" s="371"/>
      <c r="AJ1" s="371"/>
      <c r="AK1" s="371"/>
      <c r="AL1" s="371"/>
      <c r="AM1" s="371"/>
      <c r="AN1" s="371"/>
      <c r="AO1" s="371"/>
      <c r="AP1" s="371"/>
      <c r="AQ1" s="371"/>
      <c r="AR1" s="371"/>
      <c r="AS1" s="371"/>
      <c r="AT1" s="372"/>
      <c r="AU1" s="372"/>
      <c r="AV1" s="372"/>
      <c r="AW1" s="373"/>
      <c r="AX1" s="370" t="s">
        <v>28</v>
      </c>
      <c r="AY1" s="371"/>
      <c r="AZ1" s="371"/>
      <c r="BA1" s="371"/>
      <c r="BB1" s="371"/>
      <c r="BC1" s="371"/>
      <c r="BD1" s="371"/>
      <c r="BE1" s="371"/>
      <c r="BF1" s="371"/>
      <c r="BG1" s="371"/>
      <c r="BH1" s="371"/>
      <c r="BI1" s="371"/>
      <c r="BJ1" s="371"/>
      <c r="BK1" s="371"/>
      <c r="BL1" s="371"/>
      <c r="BM1" s="371"/>
      <c r="BN1" s="371"/>
      <c r="BO1" s="371"/>
      <c r="BP1" s="371"/>
      <c r="BQ1" s="371"/>
      <c r="BR1" s="371"/>
      <c r="BS1" s="371"/>
      <c r="BT1" s="371"/>
      <c r="BU1" s="371"/>
      <c r="BV1" s="371"/>
      <c r="BW1" s="371"/>
      <c r="BX1" s="371"/>
      <c r="BY1" s="371"/>
      <c r="BZ1" s="371"/>
      <c r="CA1" s="371"/>
      <c r="CB1" s="371"/>
      <c r="CC1" s="371"/>
      <c r="CD1" s="371"/>
      <c r="CE1" s="371"/>
      <c r="CF1" s="371"/>
      <c r="CG1" s="371"/>
      <c r="CH1" s="371"/>
      <c r="CI1" s="371"/>
      <c r="CJ1" s="371"/>
      <c r="CK1" s="371"/>
      <c r="CL1" s="372"/>
      <c r="CM1" s="372"/>
      <c r="CN1" s="372"/>
      <c r="CO1" s="373"/>
      <c r="CP1" s="368" t="s">
        <v>29</v>
      </c>
      <c r="CQ1" s="371"/>
      <c r="CR1" s="371"/>
      <c r="CS1" s="371"/>
      <c r="CT1" s="371"/>
      <c r="CU1" s="371"/>
      <c r="CV1" s="371"/>
      <c r="CW1" s="371"/>
      <c r="CX1" s="371"/>
      <c r="CY1" s="371"/>
      <c r="CZ1" s="371"/>
      <c r="DA1" s="371"/>
      <c r="DB1" s="371"/>
      <c r="DC1" s="371"/>
      <c r="DD1" s="371"/>
      <c r="DE1" s="371"/>
      <c r="DF1" s="371"/>
      <c r="DG1" s="371"/>
      <c r="DH1" s="371"/>
      <c r="DI1" s="371"/>
      <c r="DJ1" s="371"/>
      <c r="DK1" s="371"/>
      <c r="DL1" s="371"/>
      <c r="DM1" s="371"/>
      <c r="DN1" s="371"/>
      <c r="DO1" s="371"/>
      <c r="DP1" s="371"/>
      <c r="DQ1" s="371"/>
      <c r="DR1" s="371"/>
      <c r="DS1" s="371"/>
      <c r="DT1" s="371"/>
      <c r="DU1" s="371"/>
      <c r="DV1" s="371"/>
      <c r="DW1" s="371"/>
      <c r="DX1" s="371"/>
      <c r="DY1" s="371"/>
      <c r="DZ1" s="371"/>
      <c r="EA1" s="371"/>
      <c r="EB1" s="371"/>
      <c r="EC1" s="371"/>
      <c r="ED1" s="372"/>
      <c r="EE1" s="372"/>
      <c r="EF1" s="372"/>
      <c r="EG1" s="373"/>
      <c r="EH1" s="368" t="s">
        <v>30</v>
      </c>
      <c r="EI1" s="371"/>
      <c r="EJ1" s="371"/>
      <c r="EK1" s="371"/>
      <c r="EL1" s="371"/>
      <c r="EM1" s="371"/>
      <c r="EN1" s="371"/>
      <c r="EO1" s="371"/>
      <c r="EP1" s="371"/>
      <c r="EQ1" s="371"/>
      <c r="ER1" s="371"/>
      <c r="ES1" s="371"/>
      <c r="ET1" s="371"/>
      <c r="EU1" s="371"/>
      <c r="EV1" s="371"/>
      <c r="EW1" s="371"/>
      <c r="EX1" s="371"/>
      <c r="EY1" s="371"/>
      <c r="EZ1" s="371"/>
      <c r="FA1" s="371"/>
      <c r="FB1" s="371"/>
      <c r="FC1" s="371"/>
      <c r="FD1" s="371"/>
      <c r="FE1" s="371"/>
      <c r="FF1" s="371"/>
      <c r="FG1" s="371"/>
      <c r="FH1" s="371"/>
      <c r="FI1" s="371"/>
      <c r="FJ1" s="371"/>
      <c r="FK1" s="371"/>
      <c r="FL1" s="371"/>
      <c r="FM1" s="371"/>
      <c r="FN1" s="371"/>
      <c r="FO1" s="371"/>
      <c r="FP1" s="371"/>
      <c r="FQ1" s="371"/>
      <c r="FR1" s="371"/>
      <c r="FS1" s="371"/>
      <c r="FT1" s="371"/>
      <c r="FU1" s="371"/>
      <c r="FV1" s="372"/>
      <c r="FW1" s="372"/>
      <c r="FX1" s="372"/>
      <c r="FY1" s="373"/>
      <c r="FZ1" s="368" t="s">
        <v>31</v>
      </c>
      <c r="GA1" s="371"/>
      <c r="GB1" s="371"/>
      <c r="GC1" s="371"/>
      <c r="GD1" s="371"/>
      <c r="GE1" s="371"/>
      <c r="GF1" s="371"/>
      <c r="GG1" s="371"/>
      <c r="GH1" s="371"/>
      <c r="GI1" s="371"/>
      <c r="GJ1" s="371"/>
      <c r="GK1" s="371"/>
      <c r="GL1" s="371"/>
      <c r="GM1" s="371"/>
      <c r="GN1" s="371"/>
      <c r="GO1" s="371"/>
      <c r="GP1" s="371"/>
      <c r="GQ1" s="371"/>
      <c r="GR1" s="371"/>
      <c r="GS1" s="371"/>
      <c r="GT1" s="371"/>
      <c r="GU1" s="371"/>
      <c r="GV1" s="371"/>
      <c r="GW1" s="371"/>
      <c r="GX1" s="371"/>
      <c r="GY1" s="371"/>
      <c r="GZ1" s="371"/>
      <c r="HA1" s="371"/>
      <c r="HB1" s="371"/>
      <c r="HC1" s="371"/>
      <c r="HD1" s="371"/>
      <c r="HE1" s="371"/>
      <c r="HF1" s="371"/>
      <c r="HG1" s="371"/>
      <c r="HH1" s="371"/>
      <c r="HI1" s="371"/>
      <c r="HJ1" s="371"/>
      <c r="HK1" s="371"/>
      <c r="HL1" s="371"/>
      <c r="HM1" s="371"/>
      <c r="HN1" s="372"/>
      <c r="HO1" s="372"/>
      <c r="HP1" s="372"/>
      <c r="HQ1" s="373"/>
      <c r="HR1" s="368" t="s">
        <v>5</v>
      </c>
      <c r="HS1" s="370"/>
      <c r="HT1" s="370"/>
      <c r="HU1" s="370"/>
      <c r="HV1" s="370"/>
      <c r="HW1" s="370"/>
      <c r="HX1" s="370"/>
      <c r="HY1" s="370"/>
      <c r="HZ1" s="370"/>
      <c r="IA1" s="370"/>
      <c r="IB1" s="370"/>
      <c r="IC1" s="370"/>
      <c r="ID1" s="370"/>
      <c r="IE1" s="370"/>
      <c r="IF1" s="370"/>
      <c r="IG1" s="370"/>
      <c r="IH1" s="370"/>
      <c r="II1" s="370"/>
      <c r="IJ1" s="370"/>
      <c r="IK1" s="370"/>
      <c r="IL1" s="370"/>
      <c r="IM1" s="371"/>
      <c r="IN1" s="371"/>
      <c r="IO1" s="371"/>
      <c r="IP1" s="371"/>
      <c r="IQ1" s="371"/>
      <c r="IR1" s="371"/>
      <c r="IS1" s="371"/>
      <c r="IT1" s="371"/>
      <c r="IU1" s="371"/>
      <c r="IV1" s="371"/>
      <c r="IW1" s="371"/>
      <c r="IX1" s="371"/>
      <c r="IY1" s="371"/>
      <c r="IZ1" s="371"/>
      <c r="JA1" s="371"/>
      <c r="JB1" s="371"/>
      <c r="JC1" s="371"/>
      <c r="JD1" s="371"/>
      <c r="JE1" s="371"/>
      <c r="JF1" s="372"/>
      <c r="JG1" s="372"/>
      <c r="JH1" s="372"/>
      <c r="JI1" s="373"/>
      <c r="JJ1" s="378" t="s">
        <v>6</v>
      </c>
      <c r="JK1" s="379"/>
      <c r="JL1" s="379"/>
      <c r="JM1" s="379"/>
      <c r="JN1" s="379"/>
      <c r="JO1" s="379"/>
      <c r="JP1" s="379"/>
      <c r="JQ1" s="379"/>
      <c r="JR1" s="379"/>
      <c r="JS1" s="379"/>
      <c r="JT1" s="379"/>
      <c r="JU1" s="379"/>
      <c r="JV1" s="379"/>
      <c r="JW1" s="379"/>
      <c r="JX1" s="379"/>
      <c r="JY1" s="379"/>
      <c r="JZ1" s="379"/>
      <c r="KA1" s="379"/>
      <c r="KB1" s="379"/>
      <c r="KC1" s="379"/>
      <c r="KD1" s="379"/>
      <c r="KE1" s="379"/>
      <c r="KF1" s="379"/>
      <c r="KG1" s="379"/>
      <c r="KH1" s="379"/>
      <c r="KI1" s="379"/>
      <c r="KJ1" s="379"/>
      <c r="KK1" s="379"/>
      <c r="KL1" s="379"/>
      <c r="KM1" s="379"/>
      <c r="KN1" s="379"/>
      <c r="KO1" s="379"/>
      <c r="KP1" s="379"/>
      <c r="KQ1" s="379"/>
      <c r="KR1" s="379"/>
      <c r="KS1" s="379"/>
      <c r="KT1" s="379"/>
      <c r="KU1" s="379"/>
      <c r="KV1" s="379"/>
      <c r="KW1" s="379"/>
      <c r="KX1" s="379"/>
      <c r="KY1" s="379"/>
      <c r="KZ1" s="379"/>
      <c r="LA1" s="380"/>
      <c r="LB1" s="368"/>
    </row>
    <row r="2" spans="2:314" ht="10.5" customHeight="1">
      <c r="E2" s="365"/>
      <c r="F2" s="381" t="s">
        <v>32</v>
      </c>
      <c r="G2" s="358" t="s">
        <v>48</v>
      </c>
      <c r="H2" s="359"/>
      <c r="I2" s="359"/>
      <c r="J2" s="359"/>
      <c r="K2" s="359"/>
      <c r="L2" s="359"/>
      <c r="M2" s="364" t="s">
        <v>184</v>
      </c>
      <c r="N2" s="364"/>
      <c r="O2" s="364"/>
      <c r="P2" s="359" t="s">
        <v>155</v>
      </c>
      <c r="Q2" s="359"/>
      <c r="R2" s="359"/>
      <c r="S2" s="359"/>
      <c r="T2" s="360"/>
      <c r="U2" s="358" t="s">
        <v>356</v>
      </c>
      <c r="V2" s="359"/>
      <c r="W2" s="360"/>
      <c r="X2" s="358" t="s">
        <v>357</v>
      </c>
      <c r="Y2" s="359"/>
      <c r="Z2" s="360"/>
      <c r="AA2" s="364" t="s">
        <v>33</v>
      </c>
      <c r="AB2" s="358" t="s">
        <v>34</v>
      </c>
      <c r="AC2" s="359"/>
      <c r="AD2" s="359"/>
      <c r="AE2" s="359"/>
      <c r="AF2" s="359"/>
      <c r="AG2" s="359"/>
      <c r="AH2" s="359"/>
      <c r="AI2" s="359"/>
      <c r="AJ2" s="359"/>
      <c r="AK2" s="359"/>
      <c r="AL2" s="359"/>
      <c r="AM2" s="360"/>
      <c r="AN2" s="356" t="s">
        <v>66</v>
      </c>
      <c r="AO2" s="356" t="s">
        <v>49</v>
      </c>
      <c r="AP2" s="358" t="s">
        <v>358</v>
      </c>
      <c r="AQ2" s="359"/>
      <c r="AR2" s="360"/>
      <c r="AS2" s="358" t="s">
        <v>35</v>
      </c>
      <c r="AT2" s="359"/>
      <c r="AU2" s="359"/>
      <c r="AV2" s="359"/>
      <c r="AW2" s="375"/>
      <c r="AX2" s="377" t="s">
        <v>32</v>
      </c>
      <c r="AY2" s="358" t="s">
        <v>48</v>
      </c>
      <c r="AZ2" s="359"/>
      <c r="BA2" s="359"/>
      <c r="BB2" s="359"/>
      <c r="BC2" s="359"/>
      <c r="BD2" s="359"/>
      <c r="BE2" s="364" t="s">
        <v>184</v>
      </c>
      <c r="BF2" s="364"/>
      <c r="BG2" s="364"/>
      <c r="BH2" s="359" t="s">
        <v>155</v>
      </c>
      <c r="BI2" s="359"/>
      <c r="BJ2" s="359"/>
      <c r="BK2" s="359"/>
      <c r="BL2" s="360"/>
      <c r="BM2" s="358" t="s">
        <v>356</v>
      </c>
      <c r="BN2" s="359"/>
      <c r="BO2" s="360"/>
      <c r="BP2" s="358" t="s">
        <v>357</v>
      </c>
      <c r="BQ2" s="359"/>
      <c r="BR2" s="360"/>
      <c r="BS2" s="364" t="s">
        <v>33</v>
      </c>
      <c r="BT2" s="358" t="s">
        <v>34</v>
      </c>
      <c r="BU2" s="359"/>
      <c r="BV2" s="359"/>
      <c r="BW2" s="359"/>
      <c r="BX2" s="359"/>
      <c r="BY2" s="359"/>
      <c r="BZ2" s="359"/>
      <c r="CA2" s="359"/>
      <c r="CB2" s="359"/>
      <c r="CC2" s="359"/>
      <c r="CD2" s="359"/>
      <c r="CE2" s="360"/>
      <c r="CF2" s="356" t="s">
        <v>66</v>
      </c>
      <c r="CG2" s="356" t="s">
        <v>49</v>
      </c>
      <c r="CH2" s="358" t="s">
        <v>358</v>
      </c>
      <c r="CI2" s="359"/>
      <c r="CJ2" s="360"/>
      <c r="CK2" s="358" t="s">
        <v>35</v>
      </c>
      <c r="CL2" s="359"/>
      <c r="CM2" s="359"/>
      <c r="CN2" s="359"/>
      <c r="CO2" s="375"/>
      <c r="CP2" s="381" t="s">
        <v>32</v>
      </c>
      <c r="CQ2" s="358" t="s">
        <v>48</v>
      </c>
      <c r="CR2" s="359"/>
      <c r="CS2" s="359"/>
      <c r="CT2" s="359"/>
      <c r="CU2" s="359"/>
      <c r="CV2" s="359"/>
      <c r="CW2" s="364" t="s">
        <v>184</v>
      </c>
      <c r="CX2" s="364"/>
      <c r="CY2" s="364"/>
      <c r="CZ2" s="359" t="s">
        <v>155</v>
      </c>
      <c r="DA2" s="359"/>
      <c r="DB2" s="359"/>
      <c r="DC2" s="359"/>
      <c r="DD2" s="360"/>
      <c r="DE2" s="358" t="s">
        <v>356</v>
      </c>
      <c r="DF2" s="359"/>
      <c r="DG2" s="360"/>
      <c r="DH2" s="358" t="s">
        <v>357</v>
      </c>
      <c r="DI2" s="359"/>
      <c r="DJ2" s="360"/>
      <c r="DK2" s="364" t="s">
        <v>33</v>
      </c>
      <c r="DL2" s="358" t="s">
        <v>34</v>
      </c>
      <c r="DM2" s="359"/>
      <c r="DN2" s="359"/>
      <c r="DO2" s="359"/>
      <c r="DP2" s="359"/>
      <c r="DQ2" s="359"/>
      <c r="DR2" s="359"/>
      <c r="DS2" s="359"/>
      <c r="DT2" s="359"/>
      <c r="DU2" s="359"/>
      <c r="DV2" s="359"/>
      <c r="DW2" s="360"/>
      <c r="DX2" s="356" t="s">
        <v>66</v>
      </c>
      <c r="DY2" s="356" t="s">
        <v>49</v>
      </c>
      <c r="DZ2" s="358" t="s">
        <v>358</v>
      </c>
      <c r="EA2" s="359"/>
      <c r="EB2" s="360"/>
      <c r="EC2" s="358" t="s">
        <v>35</v>
      </c>
      <c r="ED2" s="359"/>
      <c r="EE2" s="359"/>
      <c r="EF2" s="359"/>
      <c r="EG2" s="375"/>
      <c r="EH2" s="381" t="s">
        <v>32</v>
      </c>
      <c r="EI2" s="364" t="s">
        <v>48</v>
      </c>
      <c r="EJ2" s="364"/>
      <c r="EK2" s="364"/>
      <c r="EL2" s="364"/>
      <c r="EM2" s="364"/>
      <c r="EN2" s="364"/>
      <c r="EO2" s="364" t="s">
        <v>184</v>
      </c>
      <c r="EP2" s="364"/>
      <c r="EQ2" s="364"/>
      <c r="ER2" s="364" t="s">
        <v>155</v>
      </c>
      <c r="ES2" s="364"/>
      <c r="ET2" s="364"/>
      <c r="EU2" s="364"/>
      <c r="EV2" s="364"/>
      <c r="EW2" s="358" t="s">
        <v>356</v>
      </c>
      <c r="EX2" s="359"/>
      <c r="EY2" s="360"/>
      <c r="EZ2" s="358" t="s">
        <v>357</v>
      </c>
      <c r="FA2" s="359"/>
      <c r="FB2" s="360"/>
      <c r="FC2" s="364" t="s">
        <v>33</v>
      </c>
      <c r="FD2" s="364" t="s">
        <v>34</v>
      </c>
      <c r="FE2" s="364"/>
      <c r="FF2" s="364"/>
      <c r="FG2" s="364"/>
      <c r="FH2" s="364"/>
      <c r="FI2" s="364"/>
      <c r="FJ2" s="364"/>
      <c r="FK2" s="364"/>
      <c r="FL2" s="364"/>
      <c r="FM2" s="364"/>
      <c r="FN2" s="364"/>
      <c r="FO2" s="364"/>
      <c r="FP2" s="364" t="s">
        <v>66</v>
      </c>
      <c r="FQ2" s="356" t="s">
        <v>49</v>
      </c>
      <c r="FR2" s="358" t="s">
        <v>358</v>
      </c>
      <c r="FS2" s="359"/>
      <c r="FT2" s="360"/>
      <c r="FU2" s="364" t="s">
        <v>35</v>
      </c>
      <c r="FV2" s="364"/>
      <c r="FW2" s="364"/>
      <c r="FX2" s="364"/>
      <c r="FY2" s="421"/>
      <c r="FZ2" s="381" t="s">
        <v>32</v>
      </c>
      <c r="GA2" s="358" t="s">
        <v>48</v>
      </c>
      <c r="GB2" s="359"/>
      <c r="GC2" s="359"/>
      <c r="GD2" s="359"/>
      <c r="GE2" s="359"/>
      <c r="GF2" s="359"/>
      <c r="GG2" s="364" t="s">
        <v>184</v>
      </c>
      <c r="GH2" s="364"/>
      <c r="GI2" s="364"/>
      <c r="GJ2" s="359" t="s">
        <v>155</v>
      </c>
      <c r="GK2" s="359"/>
      <c r="GL2" s="359"/>
      <c r="GM2" s="359"/>
      <c r="GN2" s="360"/>
      <c r="GO2" s="364" t="s">
        <v>356</v>
      </c>
      <c r="GP2" s="218"/>
      <c r="GQ2" s="218"/>
      <c r="GR2" s="356" t="s">
        <v>357</v>
      </c>
      <c r="GS2" s="218"/>
      <c r="GT2" s="218"/>
      <c r="GU2" s="364" t="s">
        <v>33</v>
      </c>
      <c r="GV2" s="358" t="s">
        <v>34</v>
      </c>
      <c r="GW2" s="359"/>
      <c r="GX2" s="359"/>
      <c r="GY2" s="359"/>
      <c r="GZ2" s="359"/>
      <c r="HA2" s="359"/>
      <c r="HB2" s="359"/>
      <c r="HC2" s="359"/>
      <c r="HD2" s="359"/>
      <c r="HE2" s="359"/>
      <c r="HF2" s="359"/>
      <c r="HG2" s="360"/>
      <c r="HH2" s="356" t="s">
        <v>66</v>
      </c>
      <c r="HI2" s="356" t="s">
        <v>49</v>
      </c>
      <c r="HJ2" s="358" t="s">
        <v>358</v>
      </c>
      <c r="HK2" s="359"/>
      <c r="HL2" s="360"/>
      <c r="HM2" s="358" t="s">
        <v>35</v>
      </c>
      <c r="HN2" s="359"/>
      <c r="HO2" s="359"/>
      <c r="HP2" s="359"/>
      <c r="HQ2" s="375"/>
      <c r="HR2" s="381" t="s">
        <v>32</v>
      </c>
      <c r="HS2" s="358" t="s">
        <v>48</v>
      </c>
      <c r="HT2" s="359"/>
      <c r="HU2" s="359"/>
      <c r="HV2" s="359"/>
      <c r="HW2" s="359"/>
      <c r="HX2" s="360"/>
      <c r="HY2" s="358" t="s">
        <v>184</v>
      </c>
      <c r="HZ2" s="359"/>
      <c r="IA2" s="360"/>
      <c r="IB2" s="358" t="s">
        <v>155</v>
      </c>
      <c r="IC2" s="359"/>
      <c r="ID2" s="359"/>
      <c r="IE2" s="359"/>
      <c r="IF2" s="360"/>
      <c r="IG2" s="358" t="s">
        <v>356</v>
      </c>
      <c r="IH2" s="359"/>
      <c r="II2" s="360"/>
      <c r="IJ2" s="358" t="s">
        <v>357</v>
      </c>
      <c r="IK2" s="359"/>
      <c r="IL2" s="360"/>
      <c r="IM2" s="364" t="s">
        <v>33</v>
      </c>
      <c r="IN2" s="358" t="s">
        <v>34</v>
      </c>
      <c r="IO2" s="359"/>
      <c r="IP2" s="359"/>
      <c r="IQ2" s="359"/>
      <c r="IR2" s="359"/>
      <c r="IS2" s="359"/>
      <c r="IT2" s="359"/>
      <c r="IU2" s="359"/>
      <c r="IV2" s="359"/>
      <c r="IW2" s="359"/>
      <c r="IX2" s="359"/>
      <c r="IY2" s="360"/>
      <c r="IZ2" s="356" t="s">
        <v>66</v>
      </c>
      <c r="JA2" s="356" t="s">
        <v>49</v>
      </c>
      <c r="JB2" s="358" t="s">
        <v>358</v>
      </c>
      <c r="JC2" s="359"/>
      <c r="JD2" s="360"/>
      <c r="JE2" s="358" t="s">
        <v>35</v>
      </c>
      <c r="JF2" s="359"/>
      <c r="JG2" s="359"/>
      <c r="JH2" s="359"/>
      <c r="JI2" s="375"/>
      <c r="JJ2" s="381" t="s">
        <v>32</v>
      </c>
      <c r="JK2" s="358" t="s">
        <v>48</v>
      </c>
      <c r="JL2" s="359"/>
      <c r="JM2" s="359"/>
      <c r="JN2" s="359"/>
      <c r="JO2" s="359"/>
      <c r="JP2" s="360"/>
      <c r="JQ2" s="358" t="s">
        <v>184</v>
      </c>
      <c r="JR2" s="359"/>
      <c r="JS2" s="360"/>
      <c r="JT2" s="358" t="s">
        <v>155</v>
      </c>
      <c r="JU2" s="359"/>
      <c r="JV2" s="359"/>
      <c r="JW2" s="359"/>
      <c r="JX2" s="360"/>
      <c r="JY2" s="358" t="s">
        <v>356</v>
      </c>
      <c r="JZ2" s="359"/>
      <c r="KA2" s="360"/>
      <c r="KB2" s="358" t="s">
        <v>357</v>
      </c>
      <c r="KC2" s="359"/>
      <c r="KD2" s="360"/>
      <c r="KE2" s="364" t="s">
        <v>33</v>
      </c>
      <c r="KF2" s="358" t="s">
        <v>34</v>
      </c>
      <c r="KG2" s="359"/>
      <c r="KH2" s="359"/>
      <c r="KI2" s="359"/>
      <c r="KJ2" s="359"/>
      <c r="KK2" s="359"/>
      <c r="KL2" s="359"/>
      <c r="KM2" s="359"/>
      <c r="KN2" s="359"/>
      <c r="KO2" s="359"/>
      <c r="KP2" s="359"/>
      <c r="KQ2" s="360"/>
      <c r="KR2" s="356" t="s">
        <v>66</v>
      </c>
      <c r="KS2" s="356" t="s">
        <v>49</v>
      </c>
      <c r="KT2" s="358" t="s">
        <v>358</v>
      </c>
      <c r="KU2" s="359"/>
      <c r="KV2" s="360"/>
      <c r="KW2" s="358" t="s">
        <v>35</v>
      </c>
      <c r="KX2" s="359"/>
      <c r="KY2" s="359"/>
      <c r="KZ2" s="359"/>
      <c r="LA2" s="375"/>
      <c r="LB2" s="369"/>
    </row>
    <row r="3" spans="2:314" ht="10.5" customHeight="1">
      <c r="E3" s="365"/>
      <c r="F3" s="381"/>
      <c r="G3" s="365"/>
      <c r="H3" s="366"/>
      <c r="I3" s="366"/>
      <c r="J3" s="366"/>
      <c r="K3" s="366"/>
      <c r="L3" s="366"/>
      <c r="M3" s="364"/>
      <c r="N3" s="364"/>
      <c r="O3" s="364"/>
      <c r="P3" s="366"/>
      <c r="Q3" s="366"/>
      <c r="R3" s="366"/>
      <c r="S3" s="366"/>
      <c r="T3" s="367"/>
      <c r="U3" s="365"/>
      <c r="V3" s="366"/>
      <c r="W3" s="367"/>
      <c r="X3" s="365"/>
      <c r="Y3" s="366"/>
      <c r="Z3" s="367"/>
      <c r="AA3" s="364"/>
      <c r="AB3" s="365"/>
      <c r="AC3" s="366"/>
      <c r="AD3" s="366"/>
      <c r="AE3" s="366"/>
      <c r="AF3" s="366"/>
      <c r="AG3" s="366"/>
      <c r="AH3" s="366"/>
      <c r="AI3" s="366"/>
      <c r="AJ3" s="366"/>
      <c r="AK3" s="366"/>
      <c r="AL3" s="366"/>
      <c r="AM3" s="367"/>
      <c r="AN3" s="357"/>
      <c r="AO3" s="357"/>
      <c r="AP3" s="361"/>
      <c r="AQ3" s="362"/>
      <c r="AR3" s="363"/>
      <c r="AS3" s="361"/>
      <c r="AT3" s="362"/>
      <c r="AU3" s="362"/>
      <c r="AV3" s="362"/>
      <c r="AW3" s="376"/>
      <c r="AX3" s="377"/>
      <c r="AY3" s="365"/>
      <c r="AZ3" s="366"/>
      <c r="BA3" s="366"/>
      <c r="BB3" s="366"/>
      <c r="BC3" s="366"/>
      <c r="BD3" s="366"/>
      <c r="BE3" s="364"/>
      <c r="BF3" s="364"/>
      <c r="BG3" s="364"/>
      <c r="BH3" s="366"/>
      <c r="BI3" s="366"/>
      <c r="BJ3" s="366"/>
      <c r="BK3" s="366"/>
      <c r="BL3" s="367"/>
      <c r="BM3" s="365"/>
      <c r="BN3" s="366"/>
      <c r="BO3" s="367"/>
      <c r="BP3" s="365"/>
      <c r="BQ3" s="366"/>
      <c r="BR3" s="367"/>
      <c r="BS3" s="364"/>
      <c r="BT3" s="365"/>
      <c r="BU3" s="366"/>
      <c r="BV3" s="366"/>
      <c r="BW3" s="366"/>
      <c r="BX3" s="366"/>
      <c r="BY3" s="366"/>
      <c r="BZ3" s="366"/>
      <c r="CA3" s="366"/>
      <c r="CB3" s="366"/>
      <c r="CC3" s="366"/>
      <c r="CD3" s="366"/>
      <c r="CE3" s="367"/>
      <c r="CF3" s="357"/>
      <c r="CG3" s="357"/>
      <c r="CH3" s="361"/>
      <c r="CI3" s="362"/>
      <c r="CJ3" s="363"/>
      <c r="CK3" s="361"/>
      <c r="CL3" s="362"/>
      <c r="CM3" s="362"/>
      <c r="CN3" s="362"/>
      <c r="CO3" s="376"/>
      <c r="CP3" s="381"/>
      <c r="CQ3" s="365"/>
      <c r="CR3" s="366"/>
      <c r="CS3" s="366"/>
      <c r="CT3" s="366"/>
      <c r="CU3" s="366"/>
      <c r="CV3" s="366"/>
      <c r="CW3" s="364"/>
      <c r="CX3" s="364"/>
      <c r="CY3" s="364"/>
      <c r="CZ3" s="366"/>
      <c r="DA3" s="366"/>
      <c r="DB3" s="366"/>
      <c r="DC3" s="366"/>
      <c r="DD3" s="367"/>
      <c r="DE3" s="365"/>
      <c r="DF3" s="366"/>
      <c r="DG3" s="367"/>
      <c r="DH3" s="365"/>
      <c r="DI3" s="366"/>
      <c r="DJ3" s="367"/>
      <c r="DK3" s="364"/>
      <c r="DL3" s="365"/>
      <c r="DM3" s="366"/>
      <c r="DN3" s="366"/>
      <c r="DO3" s="366"/>
      <c r="DP3" s="366"/>
      <c r="DQ3" s="366"/>
      <c r="DR3" s="366"/>
      <c r="DS3" s="366"/>
      <c r="DT3" s="366"/>
      <c r="DU3" s="366"/>
      <c r="DV3" s="366"/>
      <c r="DW3" s="367"/>
      <c r="DX3" s="357"/>
      <c r="DY3" s="357"/>
      <c r="DZ3" s="361"/>
      <c r="EA3" s="362"/>
      <c r="EB3" s="363"/>
      <c r="EC3" s="361"/>
      <c r="ED3" s="362"/>
      <c r="EE3" s="362"/>
      <c r="EF3" s="362"/>
      <c r="EG3" s="376"/>
      <c r="EH3" s="381"/>
      <c r="EI3" s="364"/>
      <c r="EJ3" s="364"/>
      <c r="EK3" s="364"/>
      <c r="EL3" s="364"/>
      <c r="EM3" s="364"/>
      <c r="EN3" s="364"/>
      <c r="EO3" s="364"/>
      <c r="EP3" s="364"/>
      <c r="EQ3" s="364"/>
      <c r="ER3" s="364"/>
      <c r="ES3" s="364"/>
      <c r="ET3" s="364"/>
      <c r="EU3" s="364"/>
      <c r="EV3" s="364"/>
      <c r="EW3" s="365"/>
      <c r="EX3" s="366"/>
      <c r="EY3" s="367"/>
      <c r="EZ3" s="365"/>
      <c r="FA3" s="366"/>
      <c r="FB3" s="367"/>
      <c r="FC3" s="364"/>
      <c r="FD3" s="364"/>
      <c r="FE3" s="364"/>
      <c r="FF3" s="364"/>
      <c r="FG3" s="364"/>
      <c r="FH3" s="364"/>
      <c r="FI3" s="364"/>
      <c r="FJ3" s="364"/>
      <c r="FK3" s="364"/>
      <c r="FL3" s="364"/>
      <c r="FM3" s="364"/>
      <c r="FN3" s="364"/>
      <c r="FO3" s="364"/>
      <c r="FP3" s="364"/>
      <c r="FQ3" s="357"/>
      <c r="FR3" s="361"/>
      <c r="FS3" s="362"/>
      <c r="FT3" s="363"/>
      <c r="FU3" s="364"/>
      <c r="FV3" s="364"/>
      <c r="FW3" s="364"/>
      <c r="FX3" s="364"/>
      <c r="FY3" s="421"/>
      <c r="FZ3" s="381"/>
      <c r="GA3" s="365"/>
      <c r="GB3" s="366"/>
      <c r="GC3" s="366"/>
      <c r="GD3" s="366"/>
      <c r="GE3" s="366"/>
      <c r="GF3" s="366"/>
      <c r="GG3" s="364"/>
      <c r="GH3" s="364"/>
      <c r="GI3" s="364"/>
      <c r="GJ3" s="366"/>
      <c r="GK3" s="366"/>
      <c r="GL3" s="366"/>
      <c r="GM3" s="366"/>
      <c r="GN3" s="367"/>
      <c r="GO3" s="364"/>
      <c r="GP3" s="219"/>
      <c r="GQ3" s="219"/>
      <c r="GR3" s="357"/>
      <c r="GS3" s="219"/>
      <c r="GT3" s="219"/>
      <c r="GU3" s="364"/>
      <c r="GV3" s="365"/>
      <c r="GW3" s="366"/>
      <c r="GX3" s="366"/>
      <c r="GY3" s="366"/>
      <c r="GZ3" s="366"/>
      <c r="HA3" s="366"/>
      <c r="HB3" s="366"/>
      <c r="HC3" s="366"/>
      <c r="HD3" s="366"/>
      <c r="HE3" s="366"/>
      <c r="HF3" s="366"/>
      <c r="HG3" s="367"/>
      <c r="HH3" s="357"/>
      <c r="HI3" s="357"/>
      <c r="HJ3" s="361"/>
      <c r="HK3" s="362"/>
      <c r="HL3" s="363"/>
      <c r="HM3" s="361"/>
      <c r="HN3" s="362"/>
      <c r="HO3" s="362"/>
      <c r="HP3" s="362"/>
      <c r="HQ3" s="376"/>
      <c r="HR3" s="381"/>
      <c r="HS3" s="365"/>
      <c r="HT3" s="366"/>
      <c r="HU3" s="366"/>
      <c r="HV3" s="366"/>
      <c r="HW3" s="366"/>
      <c r="HX3" s="367"/>
      <c r="HY3" s="365"/>
      <c r="HZ3" s="366"/>
      <c r="IA3" s="367"/>
      <c r="IB3" s="365"/>
      <c r="IC3" s="366"/>
      <c r="ID3" s="366"/>
      <c r="IE3" s="366"/>
      <c r="IF3" s="367"/>
      <c r="IG3" s="365"/>
      <c r="IH3" s="366"/>
      <c r="II3" s="367"/>
      <c r="IJ3" s="365"/>
      <c r="IK3" s="366"/>
      <c r="IL3" s="367"/>
      <c r="IM3" s="364"/>
      <c r="IN3" s="365"/>
      <c r="IO3" s="366"/>
      <c r="IP3" s="366"/>
      <c r="IQ3" s="366"/>
      <c r="IR3" s="366"/>
      <c r="IS3" s="366"/>
      <c r="IT3" s="366"/>
      <c r="IU3" s="366"/>
      <c r="IV3" s="366"/>
      <c r="IW3" s="366"/>
      <c r="IX3" s="366"/>
      <c r="IY3" s="367"/>
      <c r="IZ3" s="357"/>
      <c r="JA3" s="357"/>
      <c r="JB3" s="361"/>
      <c r="JC3" s="362"/>
      <c r="JD3" s="363"/>
      <c r="JE3" s="361"/>
      <c r="JF3" s="362"/>
      <c r="JG3" s="362"/>
      <c r="JH3" s="362"/>
      <c r="JI3" s="376"/>
      <c r="JJ3" s="382"/>
      <c r="JK3" s="365"/>
      <c r="JL3" s="366"/>
      <c r="JM3" s="366"/>
      <c r="JN3" s="366"/>
      <c r="JO3" s="366"/>
      <c r="JP3" s="367"/>
      <c r="JQ3" s="365"/>
      <c r="JR3" s="366"/>
      <c r="JS3" s="367"/>
      <c r="JT3" s="365"/>
      <c r="JU3" s="366"/>
      <c r="JV3" s="366"/>
      <c r="JW3" s="366"/>
      <c r="JX3" s="367"/>
      <c r="JY3" s="365"/>
      <c r="JZ3" s="366"/>
      <c r="KA3" s="367"/>
      <c r="KB3" s="365"/>
      <c r="KC3" s="366"/>
      <c r="KD3" s="367"/>
      <c r="KE3" s="356"/>
      <c r="KF3" s="365"/>
      <c r="KG3" s="366"/>
      <c r="KH3" s="366"/>
      <c r="KI3" s="366"/>
      <c r="KJ3" s="366"/>
      <c r="KK3" s="366"/>
      <c r="KL3" s="366"/>
      <c r="KM3" s="366"/>
      <c r="KN3" s="366"/>
      <c r="KO3" s="366"/>
      <c r="KP3" s="366"/>
      <c r="KQ3" s="367"/>
      <c r="KR3" s="357"/>
      <c r="KS3" s="357"/>
      <c r="KT3" s="361"/>
      <c r="KU3" s="362"/>
      <c r="KV3" s="363"/>
      <c r="KW3" s="361"/>
      <c r="KX3" s="362"/>
      <c r="KY3" s="362"/>
      <c r="KZ3" s="362"/>
      <c r="LA3" s="376"/>
      <c r="LB3" s="369"/>
    </row>
    <row r="4" spans="2:314" ht="10.5" customHeight="1" thickBot="1">
      <c r="E4" s="361"/>
      <c r="F4" s="382"/>
      <c r="G4" s="365"/>
      <c r="H4" s="366"/>
      <c r="I4" s="366"/>
      <c r="J4" s="366"/>
      <c r="K4" s="366"/>
      <c r="L4" s="366"/>
      <c r="M4" s="356"/>
      <c r="N4" s="356"/>
      <c r="O4" s="356"/>
      <c r="P4" s="366"/>
      <c r="Q4" s="366"/>
      <c r="R4" s="366"/>
      <c r="S4" s="366"/>
      <c r="T4" s="367"/>
      <c r="U4" s="365"/>
      <c r="V4" s="366"/>
      <c r="W4" s="367"/>
      <c r="X4" s="365"/>
      <c r="Y4" s="366"/>
      <c r="Z4" s="367"/>
      <c r="AA4" s="356"/>
      <c r="AB4" s="218">
        <v>1</v>
      </c>
      <c r="AC4" s="220">
        <v>2</v>
      </c>
      <c r="AD4" s="220">
        <v>3</v>
      </c>
      <c r="AE4" s="220">
        <v>4</v>
      </c>
      <c r="AF4" s="220">
        <v>5</v>
      </c>
      <c r="AG4" s="220">
        <v>6</v>
      </c>
      <c r="AH4" s="220">
        <v>7</v>
      </c>
      <c r="AI4" s="220">
        <v>8</v>
      </c>
      <c r="AJ4" s="220">
        <v>9</v>
      </c>
      <c r="AK4" s="220">
        <v>10</v>
      </c>
      <c r="AL4" s="220">
        <v>11</v>
      </c>
      <c r="AM4" s="218">
        <v>12</v>
      </c>
      <c r="AN4" s="367"/>
      <c r="AO4" s="389"/>
      <c r="AP4" s="219"/>
      <c r="AQ4" s="219"/>
      <c r="AR4" s="219"/>
      <c r="AS4" s="218" t="s">
        <v>64</v>
      </c>
      <c r="AT4" s="220" t="s">
        <v>65</v>
      </c>
      <c r="AU4" s="220" t="s">
        <v>88</v>
      </c>
      <c r="AV4" s="220" t="s">
        <v>89</v>
      </c>
      <c r="AW4" s="227" t="s">
        <v>67</v>
      </c>
      <c r="AX4" s="360"/>
      <c r="AY4" s="365"/>
      <c r="AZ4" s="366"/>
      <c r="BA4" s="366"/>
      <c r="BB4" s="366"/>
      <c r="BC4" s="366"/>
      <c r="BD4" s="366"/>
      <c r="BE4" s="356"/>
      <c r="BF4" s="356"/>
      <c r="BG4" s="356"/>
      <c r="BH4" s="366"/>
      <c r="BI4" s="366"/>
      <c r="BJ4" s="366"/>
      <c r="BK4" s="366"/>
      <c r="BL4" s="367"/>
      <c r="BM4" s="365"/>
      <c r="BN4" s="366"/>
      <c r="BO4" s="367"/>
      <c r="BP4" s="365"/>
      <c r="BQ4" s="366"/>
      <c r="BR4" s="367"/>
      <c r="BS4" s="356"/>
      <c r="BT4" s="218">
        <v>1</v>
      </c>
      <c r="BU4" s="220">
        <v>2</v>
      </c>
      <c r="BV4" s="220">
        <v>3</v>
      </c>
      <c r="BW4" s="220">
        <v>4</v>
      </c>
      <c r="BX4" s="220">
        <v>5</v>
      </c>
      <c r="BY4" s="220">
        <v>6</v>
      </c>
      <c r="BZ4" s="220">
        <v>7</v>
      </c>
      <c r="CA4" s="220">
        <v>8</v>
      </c>
      <c r="CB4" s="220">
        <v>9</v>
      </c>
      <c r="CC4" s="220">
        <v>10</v>
      </c>
      <c r="CD4" s="220">
        <v>11</v>
      </c>
      <c r="CE4" s="218">
        <v>12</v>
      </c>
      <c r="CF4" s="367"/>
      <c r="CG4" s="389"/>
      <c r="CH4" s="219"/>
      <c r="CI4" s="219"/>
      <c r="CJ4" s="219"/>
      <c r="CK4" s="218" t="s">
        <v>64</v>
      </c>
      <c r="CL4" s="220" t="s">
        <v>65</v>
      </c>
      <c r="CM4" s="220" t="s">
        <v>88</v>
      </c>
      <c r="CN4" s="220" t="s">
        <v>89</v>
      </c>
      <c r="CO4" s="227" t="s">
        <v>67</v>
      </c>
      <c r="CP4" s="382"/>
      <c r="CQ4" s="365"/>
      <c r="CR4" s="366"/>
      <c r="CS4" s="366"/>
      <c r="CT4" s="366"/>
      <c r="CU4" s="366"/>
      <c r="CV4" s="366"/>
      <c r="CW4" s="356"/>
      <c r="CX4" s="356"/>
      <c r="CY4" s="356"/>
      <c r="CZ4" s="366"/>
      <c r="DA4" s="366"/>
      <c r="DB4" s="366"/>
      <c r="DC4" s="366"/>
      <c r="DD4" s="367"/>
      <c r="DE4" s="365"/>
      <c r="DF4" s="366"/>
      <c r="DG4" s="367"/>
      <c r="DH4" s="365"/>
      <c r="DI4" s="366"/>
      <c r="DJ4" s="367"/>
      <c r="DK4" s="356"/>
      <c r="DL4" s="218">
        <v>1</v>
      </c>
      <c r="DM4" s="220">
        <v>2</v>
      </c>
      <c r="DN4" s="220">
        <v>3</v>
      </c>
      <c r="DO4" s="220">
        <v>4</v>
      </c>
      <c r="DP4" s="220">
        <v>5</v>
      </c>
      <c r="DQ4" s="220">
        <v>6</v>
      </c>
      <c r="DR4" s="220">
        <v>7</v>
      </c>
      <c r="DS4" s="220">
        <v>8</v>
      </c>
      <c r="DT4" s="220">
        <v>9</v>
      </c>
      <c r="DU4" s="220">
        <v>10</v>
      </c>
      <c r="DV4" s="220">
        <v>11</v>
      </c>
      <c r="DW4" s="218">
        <v>12</v>
      </c>
      <c r="DX4" s="367"/>
      <c r="DY4" s="389"/>
      <c r="DZ4" s="219"/>
      <c r="EA4" s="219"/>
      <c r="EB4" s="219"/>
      <c r="EC4" s="218" t="s">
        <v>64</v>
      </c>
      <c r="ED4" s="220" t="s">
        <v>65</v>
      </c>
      <c r="EE4" s="220" t="s">
        <v>88</v>
      </c>
      <c r="EF4" s="220" t="s">
        <v>89</v>
      </c>
      <c r="EG4" s="227" t="s">
        <v>67</v>
      </c>
      <c r="EH4" s="382"/>
      <c r="EI4" s="356"/>
      <c r="EJ4" s="356"/>
      <c r="EK4" s="356"/>
      <c r="EL4" s="356"/>
      <c r="EM4" s="356"/>
      <c r="EN4" s="356"/>
      <c r="EO4" s="356"/>
      <c r="EP4" s="356"/>
      <c r="EQ4" s="356"/>
      <c r="ER4" s="356"/>
      <c r="ES4" s="356"/>
      <c r="ET4" s="356"/>
      <c r="EU4" s="356"/>
      <c r="EV4" s="356"/>
      <c r="EW4" s="365"/>
      <c r="EX4" s="366"/>
      <c r="EY4" s="367"/>
      <c r="EZ4" s="365"/>
      <c r="FA4" s="366"/>
      <c r="FB4" s="367"/>
      <c r="FC4" s="356"/>
      <c r="FD4" s="218">
        <v>1</v>
      </c>
      <c r="FE4" s="220">
        <v>2</v>
      </c>
      <c r="FF4" s="220">
        <v>3</v>
      </c>
      <c r="FG4" s="220">
        <v>4</v>
      </c>
      <c r="FH4" s="220">
        <v>5</v>
      </c>
      <c r="FI4" s="220">
        <v>6</v>
      </c>
      <c r="FJ4" s="220">
        <v>7</v>
      </c>
      <c r="FK4" s="220">
        <v>8</v>
      </c>
      <c r="FL4" s="220">
        <v>9</v>
      </c>
      <c r="FM4" s="220">
        <v>10</v>
      </c>
      <c r="FN4" s="220">
        <v>11</v>
      </c>
      <c r="FO4" s="218">
        <v>12</v>
      </c>
      <c r="FP4" s="356"/>
      <c r="FQ4" s="389"/>
      <c r="FR4" s="219"/>
      <c r="FS4" s="219"/>
      <c r="FT4" s="219"/>
      <c r="FU4" s="218" t="s">
        <v>64</v>
      </c>
      <c r="FV4" s="218" t="s">
        <v>65</v>
      </c>
      <c r="FW4" s="218" t="s">
        <v>88</v>
      </c>
      <c r="FX4" s="218" t="s">
        <v>89</v>
      </c>
      <c r="FY4" s="227" t="s">
        <v>67</v>
      </c>
      <c r="FZ4" s="382"/>
      <c r="GA4" s="365"/>
      <c r="GB4" s="366"/>
      <c r="GC4" s="366"/>
      <c r="GD4" s="366"/>
      <c r="GE4" s="366"/>
      <c r="GF4" s="366"/>
      <c r="GG4" s="356"/>
      <c r="GH4" s="356"/>
      <c r="GI4" s="356"/>
      <c r="GJ4" s="366"/>
      <c r="GK4" s="366"/>
      <c r="GL4" s="366"/>
      <c r="GM4" s="366"/>
      <c r="GN4" s="367"/>
      <c r="GO4" s="356"/>
      <c r="GP4" s="219"/>
      <c r="GQ4" s="219"/>
      <c r="GR4" s="357"/>
      <c r="GS4" s="219"/>
      <c r="GT4" s="219"/>
      <c r="GU4" s="356"/>
      <c r="GV4" s="218">
        <v>1</v>
      </c>
      <c r="GW4" s="220">
        <v>2</v>
      </c>
      <c r="GX4" s="220">
        <v>3</v>
      </c>
      <c r="GY4" s="220">
        <v>4</v>
      </c>
      <c r="GZ4" s="220">
        <v>5</v>
      </c>
      <c r="HA4" s="220">
        <v>6</v>
      </c>
      <c r="HB4" s="220">
        <v>7</v>
      </c>
      <c r="HC4" s="220">
        <v>8</v>
      </c>
      <c r="HD4" s="220">
        <v>9</v>
      </c>
      <c r="HE4" s="220">
        <v>10</v>
      </c>
      <c r="HF4" s="220">
        <v>11</v>
      </c>
      <c r="HG4" s="218">
        <v>12</v>
      </c>
      <c r="HH4" s="367"/>
      <c r="HI4" s="389"/>
      <c r="HJ4" s="219"/>
      <c r="HK4" s="219"/>
      <c r="HL4" s="219"/>
      <c r="HM4" s="218" t="s">
        <v>64</v>
      </c>
      <c r="HN4" s="220" t="s">
        <v>65</v>
      </c>
      <c r="HO4" s="220" t="s">
        <v>88</v>
      </c>
      <c r="HP4" s="220" t="s">
        <v>89</v>
      </c>
      <c r="HQ4" s="227" t="s">
        <v>67</v>
      </c>
      <c r="HR4" s="381"/>
      <c r="HS4" s="383"/>
      <c r="HT4" s="384"/>
      <c r="HU4" s="384"/>
      <c r="HV4" s="384"/>
      <c r="HW4" s="384"/>
      <c r="HX4" s="385"/>
      <c r="HY4" s="383"/>
      <c r="HZ4" s="384"/>
      <c r="IA4" s="385"/>
      <c r="IB4" s="383"/>
      <c r="IC4" s="384"/>
      <c r="ID4" s="384"/>
      <c r="IE4" s="384"/>
      <c r="IF4" s="385"/>
      <c r="IG4" s="383"/>
      <c r="IH4" s="384"/>
      <c r="II4" s="385"/>
      <c r="IJ4" s="383"/>
      <c r="IK4" s="384"/>
      <c r="IL4" s="385"/>
      <c r="IM4" s="364"/>
      <c r="IN4" s="218">
        <v>1</v>
      </c>
      <c r="IO4" s="220">
        <v>2</v>
      </c>
      <c r="IP4" s="220">
        <v>3</v>
      </c>
      <c r="IQ4" s="220">
        <v>4</v>
      </c>
      <c r="IR4" s="220">
        <v>5</v>
      </c>
      <c r="IS4" s="220">
        <v>6</v>
      </c>
      <c r="IT4" s="220">
        <v>7</v>
      </c>
      <c r="IU4" s="220">
        <v>8</v>
      </c>
      <c r="IV4" s="220">
        <v>9</v>
      </c>
      <c r="IW4" s="220">
        <v>10</v>
      </c>
      <c r="IX4" s="220">
        <v>11</v>
      </c>
      <c r="IY4" s="218">
        <v>12</v>
      </c>
      <c r="IZ4" s="374"/>
      <c r="JA4" s="389"/>
      <c r="JB4" s="219"/>
      <c r="JC4" s="219"/>
      <c r="JD4" s="219"/>
      <c r="JE4" s="185" t="s">
        <v>64</v>
      </c>
      <c r="JF4" s="50" t="s">
        <v>65</v>
      </c>
      <c r="JG4" s="50" t="s">
        <v>88</v>
      </c>
      <c r="JH4" s="50" t="s">
        <v>89</v>
      </c>
      <c r="JI4" s="186" t="s">
        <v>67</v>
      </c>
      <c r="JJ4" s="382"/>
      <c r="JK4" s="383"/>
      <c r="JL4" s="384"/>
      <c r="JM4" s="384"/>
      <c r="JN4" s="384"/>
      <c r="JO4" s="384"/>
      <c r="JP4" s="385"/>
      <c r="JQ4" s="383"/>
      <c r="JR4" s="384"/>
      <c r="JS4" s="385"/>
      <c r="JT4" s="383"/>
      <c r="JU4" s="384"/>
      <c r="JV4" s="384"/>
      <c r="JW4" s="384"/>
      <c r="JX4" s="385"/>
      <c r="JY4" s="383"/>
      <c r="JZ4" s="384"/>
      <c r="KA4" s="385"/>
      <c r="KB4" s="383"/>
      <c r="KC4" s="384"/>
      <c r="KD4" s="385"/>
      <c r="KE4" s="356"/>
      <c r="KF4" s="218">
        <v>1</v>
      </c>
      <c r="KG4" s="220">
        <v>2</v>
      </c>
      <c r="KH4" s="220">
        <v>3</v>
      </c>
      <c r="KI4" s="220">
        <v>4</v>
      </c>
      <c r="KJ4" s="220">
        <v>5</v>
      </c>
      <c r="KK4" s="220">
        <v>6</v>
      </c>
      <c r="KL4" s="220">
        <v>7</v>
      </c>
      <c r="KM4" s="220">
        <v>8</v>
      </c>
      <c r="KN4" s="220">
        <v>9</v>
      </c>
      <c r="KO4" s="220">
        <v>10</v>
      </c>
      <c r="KP4" s="220">
        <v>11</v>
      </c>
      <c r="KQ4" s="218">
        <v>12</v>
      </c>
      <c r="KR4" s="374"/>
      <c r="KS4" s="389"/>
      <c r="KT4" s="219"/>
      <c r="KU4" s="219"/>
      <c r="KV4" s="219"/>
      <c r="KW4" s="185" t="s">
        <v>64</v>
      </c>
      <c r="KX4" s="50" t="s">
        <v>65</v>
      </c>
      <c r="KY4" s="50" t="s">
        <v>88</v>
      </c>
      <c r="KZ4" s="50" t="s">
        <v>89</v>
      </c>
      <c r="LA4" s="186" t="s">
        <v>67</v>
      </c>
      <c r="LB4" s="369"/>
    </row>
    <row r="5" spans="2:314" ht="10.5" customHeight="1">
      <c r="B5" s="49">
        <v>0.25</v>
      </c>
      <c r="C5" s="49">
        <v>0.25</v>
      </c>
      <c r="D5" s="49">
        <v>0.25</v>
      </c>
      <c r="E5" s="172">
        <v>0.29166666666666669</v>
      </c>
      <c r="F5" s="238" t="str">
        <f>IF(Tim!F7=FIT!$E$1,Tim!F7,"")</f>
        <v/>
      </c>
      <c r="G5" s="185" t="str">
        <f>IF(Tim!G7=FIT!$E$1,Tim!G7,"")</f>
        <v/>
      </c>
      <c r="H5" s="185" t="str">
        <f>IF(Tim!H7=FIT!$E$1,Tim!H7,"")</f>
        <v/>
      </c>
      <c r="I5" s="185" t="str">
        <f>IF(Tim!I7=FIT!$E$1,Tim!I7,"")</f>
        <v/>
      </c>
      <c r="J5" s="185" t="str">
        <f>IF(Tim!J7=FIT!$E$1,Tim!J7,"")</f>
        <v/>
      </c>
      <c r="K5" s="185" t="str">
        <f>IF(Tim!K7=FIT!$E$1,Tim!K7,"")</f>
        <v/>
      </c>
      <c r="L5" s="185" t="str">
        <f>IF(Tim!L7=FIT!$E$1,Tim!L7,"")</f>
        <v/>
      </c>
      <c r="M5" s="185" t="str">
        <f>IF(Tim!M7=FIT!$E$1,Tim!M7,"")</f>
        <v/>
      </c>
      <c r="N5" s="185" t="str">
        <f>IF(Tim!N7=FIT!$E$1,Tim!N7,"")</f>
        <v/>
      </c>
      <c r="O5" s="185" t="str">
        <f>IF(Tim!O7=FIT!$E$1,Tim!O7,"")</f>
        <v/>
      </c>
      <c r="P5" s="185" t="str">
        <f>IF(Tim!P7=FIT!$E$1,Tim!P7,"")</f>
        <v/>
      </c>
      <c r="Q5" s="185" t="str">
        <f>IF(Tim!Q7=FIT!$E$1,Tim!Q7,"")</f>
        <v/>
      </c>
      <c r="R5" s="185" t="str">
        <f>IF(Tim!R7=FIT!$E$1,Tim!R7,"")</f>
        <v/>
      </c>
      <c r="S5" s="185" t="str">
        <f>IF(Tim!S7=FIT!$E$1,Tim!S7,"")</f>
        <v/>
      </c>
      <c r="T5" s="185" t="str">
        <f>IF(Tim!T7=FIT!$E$1,Tim!T7,"")</f>
        <v/>
      </c>
      <c r="U5" s="185" t="str">
        <f>IF(Tim!U7=FIT!$E$1,Tim!U7,"")</f>
        <v/>
      </c>
      <c r="V5" s="185" t="str">
        <f>IF(Tim!W7=FIT!$E$1,Tim!W7,"")</f>
        <v/>
      </c>
      <c r="W5" s="185" t="str">
        <f>IF(Tim!X7=FIT!$E$1,Tim!X7,"")</f>
        <v/>
      </c>
      <c r="X5" s="185" t="str">
        <f>IF(Tim!Y7=FIT!$E$1,Tim!Y7,"")</f>
        <v/>
      </c>
      <c r="Y5" s="185" t="str">
        <f>IF(Tim!Z7=FIT!$E$1,Tim!Z7,"")</f>
        <v/>
      </c>
      <c r="Z5" s="185" t="str">
        <f>IF(Tim!AA7=FIT!$E$1,Tim!AA7,"")</f>
        <v/>
      </c>
      <c r="AA5" s="185" t="str">
        <f>IF(Tim!AB7=FIT!$E$1,Tim!AB7,"")</f>
        <v/>
      </c>
      <c r="AB5" s="185" t="str">
        <f>IF(Tim!AC7=FIT!$E$1,Tim!AC7,"")</f>
        <v/>
      </c>
      <c r="AC5" s="185" t="str">
        <f>IF(Tim!AD7=FIT!$E$1,Tim!AD7,"")</f>
        <v/>
      </c>
      <c r="AD5" s="185" t="str">
        <f>IF(Tim!AE7=FIT!$E$1,Tim!AE7,"")</f>
        <v/>
      </c>
      <c r="AE5" s="185" t="str">
        <f>IF(Tim!AF7=FIT!$E$1,Tim!AF7,"")</f>
        <v/>
      </c>
      <c r="AF5" s="185" t="str">
        <f>IF(Tim!AG7=FIT!$E$1,Tim!AG7,"")</f>
        <v/>
      </c>
      <c r="AG5" s="185" t="str">
        <f>IF(Tim!AH7=FIT!$E$1,Tim!AH7,"")</f>
        <v/>
      </c>
      <c r="AH5" s="185" t="str">
        <f>IF(Tim!AI7=FIT!$E$1,Tim!AI7,"")</f>
        <v/>
      </c>
      <c r="AI5" s="185" t="str">
        <f>IF(Tim!AJ7=FIT!$E$1,Tim!AJ7,"")</f>
        <v/>
      </c>
      <c r="AJ5" s="185" t="str">
        <f>IF(Tim!AK7=FIT!$E$1,Tim!AK7,"")</f>
        <v/>
      </c>
      <c r="AK5" s="185" t="str">
        <f>IF(Tim!AL7=FIT!$E$1,Tim!AL7,"")</f>
        <v/>
      </c>
      <c r="AL5" s="185" t="str">
        <f>IF(Tim!AM7=FIT!$E$1,Tim!AM7,"")</f>
        <v/>
      </c>
      <c r="AM5" s="185" t="str">
        <f>IF(Tim!AN7=FIT!$E$1,Tim!AN7,"")</f>
        <v/>
      </c>
      <c r="AN5" s="185" t="str">
        <f>IF(Tim!AO7=FIT!$E$1,Tim!AO7,"")</f>
        <v/>
      </c>
      <c r="AO5" s="185" t="str">
        <f>IF(Tim!AP7=FIT!$E$1,Tim!AP7,"")</f>
        <v/>
      </c>
      <c r="AP5" s="185" t="str">
        <f>IF(Tim!AQ7=FIT!$E$1,Tim!AQ7,"")</f>
        <v/>
      </c>
      <c r="AQ5" s="185" t="str">
        <f>IF(Tim!AR7=FIT!$E$1,Tim!AR7,"")</f>
        <v/>
      </c>
      <c r="AR5" s="185" t="str">
        <f>IF(Tim!AS7=FIT!$E$1,Tim!AS7,"")</f>
        <v/>
      </c>
      <c r="AS5" s="185" t="str">
        <f>IF(Tim!AT7=FIT!$E$1,Tim!AT7,"")</f>
        <v/>
      </c>
      <c r="AT5" s="185" t="str">
        <f>IF(Tim!AU7=FIT!$E$1,Tim!AU7,"")</f>
        <v/>
      </c>
      <c r="AU5" s="185" t="str">
        <f>IF(Tim!AV7=FIT!$E$1,Tim!AV7,"")</f>
        <v/>
      </c>
      <c r="AV5" s="185" t="str">
        <f>IF(Tim!AW7=FIT!$E$1,Tim!AW7,"")</f>
        <v/>
      </c>
      <c r="AW5" s="186" t="str">
        <f>IF(Tim!AX7=FIT!$E$1,Tim!AX7,"")</f>
        <v/>
      </c>
      <c r="AX5" s="243" t="str">
        <f>IF(Tim!AY7=FIT!$E$1,Tim!AY7,"")</f>
        <v/>
      </c>
      <c r="AY5" s="185" t="str">
        <f>IF(Tim!AZ7=FIT!$E$1,Tim!AZ7,"")</f>
        <v/>
      </c>
      <c r="AZ5" s="185" t="str">
        <f>IF(Tim!BA7=FIT!$E$1,Tim!BA7,"")</f>
        <v/>
      </c>
      <c r="BA5" s="185" t="str">
        <f>IF(Tim!BB7=FIT!$E$1,Tim!BB7,"")</f>
        <v/>
      </c>
      <c r="BB5" s="185" t="str">
        <f>IF(Tim!BC7=FIT!$E$1,Tim!BC7,"")</f>
        <v/>
      </c>
      <c r="BC5" s="185" t="str">
        <f>IF(Tim!BD7=FIT!$E$1,Tim!BD7,"")</f>
        <v/>
      </c>
      <c r="BD5" s="185" t="str">
        <f>IF(Tim!BE7=FIT!$E$1,Tim!BE7,"")</f>
        <v/>
      </c>
      <c r="BE5" s="185" t="str">
        <f>IF(Tim!BF7=FIT!$E$1,Tim!BF7,"")</f>
        <v/>
      </c>
      <c r="BF5" s="185" t="str">
        <f>IF(Tim!BG7=FIT!$E$1,Tim!BG7,"")</f>
        <v/>
      </c>
      <c r="BG5" s="185" t="str">
        <f>IF(Tim!BH7=FIT!$E$1,Tim!BH7,"")</f>
        <v/>
      </c>
      <c r="BH5" s="185" t="str">
        <f>IF(Tim!BI7=FIT!$E$1,Tim!BI7,"")</f>
        <v/>
      </c>
      <c r="BI5" s="185" t="str">
        <f>IF(Tim!BJ7=FIT!$E$1,Tim!BJ7,"")</f>
        <v/>
      </c>
      <c r="BJ5" s="185" t="str">
        <f>IF(Tim!BK7=FIT!$E$1,Tim!BK7,"")</f>
        <v/>
      </c>
      <c r="BK5" s="185" t="str">
        <f>IF(Tim!BL7=FIT!$E$1,Tim!BL7,"")</f>
        <v/>
      </c>
      <c r="BL5" s="185" t="str">
        <f>IF(Tim!BM7=FIT!$E$1,Tim!BM7,"")</f>
        <v/>
      </c>
      <c r="BM5" s="185" t="str">
        <f>IF(Tim!BN7=FIT!$E$1,Tim!BN7,"")</f>
        <v/>
      </c>
      <c r="BN5" s="185" t="str">
        <f>IF(Tim!BO7=FIT!$E$1,Tim!BO7,"")</f>
        <v/>
      </c>
      <c r="BO5" s="185" t="str">
        <f>IF(Tim!BP7=FIT!$E$1,Tim!BP7,"")</f>
        <v/>
      </c>
      <c r="BP5" s="185" t="str">
        <f>IF(Tim!BQ7=FIT!$E$1,Tim!BQ7,"")</f>
        <v/>
      </c>
      <c r="BQ5" s="185" t="str">
        <f>IF(Tim!BR7=FIT!$E$1,Tim!BR7,"")</f>
        <v/>
      </c>
      <c r="BR5" s="185" t="str">
        <f>IF(Tim!BS7=FIT!$E$1,Tim!BS7,"")</f>
        <v/>
      </c>
      <c r="BS5" s="185" t="str">
        <f>IF(Tim!BT7=FIT!$E$1,Tim!BT7,"")</f>
        <v/>
      </c>
      <c r="BT5" s="185" t="str">
        <f>IF(Tim!BU7=FIT!$E$1,Tim!BU7,"")</f>
        <v/>
      </c>
      <c r="BU5" s="185" t="str">
        <f>IF(Tim!BV7=FIT!$E$1,Tim!BV7,"")</f>
        <v/>
      </c>
      <c r="BV5" s="185" t="str">
        <f>IF(Tim!BW7=FIT!$E$1,Tim!BW7,"")</f>
        <v/>
      </c>
      <c r="BW5" s="185" t="str">
        <f>IF(Tim!BX7=FIT!$E$1,Tim!BX7,"")</f>
        <v/>
      </c>
      <c r="BX5" s="185" t="str">
        <f>IF(Tim!BY7=FIT!$E$1,Tim!BY7,"")</f>
        <v/>
      </c>
      <c r="BY5" s="185" t="str">
        <f>IF(Tim!BZ7=FIT!$E$1,Tim!BZ7,"")</f>
        <v/>
      </c>
      <c r="BZ5" s="185" t="str">
        <f>IF(Tim!CA7=FIT!$E$1,Tim!CA7,"")</f>
        <v/>
      </c>
      <c r="CA5" s="185" t="str">
        <f>IF(Tim!CB7=FIT!$E$1,Tim!CB7,"")</f>
        <v/>
      </c>
      <c r="CB5" s="185" t="str">
        <f>IF(Tim!CC7=FIT!$E$1,Tim!CC7,"")</f>
        <v/>
      </c>
      <c r="CC5" s="185" t="str">
        <f>IF(Tim!CD7=FIT!$E$1,Tim!CD7,"")</f>
        <v/>
      </c>
      <c r="CD5" s="185" t="str">
        <f>IF(Tim!CE7=FIT!$E$1,Tim!CE7,"")</f>
        <v/>
      </c>
      <c r="CE5" s="185" t="str">
        <f>IF(Tim!CF7=FIT!$E$1,Tim!CF7,"")</f>
        <v/>
      </c>
      <c r="CF5" s="185" t="str">
        <f>IF(Tim!CG7=FIT!$E$1,Tim!CG7,"")</f>
        <v/>
      </c>
      <c r="CG5" s="185" t="str">
        <f>IF(Tim!CH7=FIT!$E$1,Tim!CH7,"")</f>
        <v/>
      </c>
      <c r="CH5" s="185" t="str">
        <f>IF(Tim!CI7=FIT!$E$1,Tim!CI7,"")</f>
        <v/>
      </c>
      <c r="CI5" s="185" t="str">
        <f>IF(Tim!CJ7=FIT!$E$1,Tim!CJ7,"")</f>
        <v/>
      </c>
      <c r="CJ5" s="185" t="str">
        <f>IF(Tim!CK7=FIT!$E$1,Tim!CK7,"")</f>
        <v/>
      </c>
      <c r="CK5" s="185" t="str">
        <f>IF(Tim!CL7=FIT!$E$1,Tim!CL7,"")</f>
        <v/>
      </c>
      <c r="CL5" s="185" t="str">
        <f>IF(Tim!CM7=FIT!$E$1,Tim!CM7,"")</f>
        <v/>
      </c>
      <c r="CM5" s="185" t="str">
        <f>IF(Tim!CN7=FIT!$E$1,Tim!CN7,"")</f>
        <v/>
      </c>
      <c r="CN5" s="185" t="str">
        <f>IF(Tim!CO7=FIT!$E$1,Tim!CO7,"")</f>
        <v/>
      </c>
      <c r="CO5" s="185" t="str">
        <f>IF(Tim!CP7=FIT!$E$1,Tim!CP7,"")</f>
        <v/>
      </c>
      <c r="CP5" s="185" t="str">
        <f>IF(Tim!CQ7=FIT!$E$1,Tim!CQ7,"")</f>
        <v/>
      </c>
      <c r="CQ5" s="185" t="str">
        <f>IF(Tim!CR7=FIT!$E$1,Tim!CR7,"")</f>
        <v/>
      </c>
      <c r="CR5" s="185" t="str">
        <f>IF(Tim!CS7=FIT!$E$1,Tim!CS7,"")</f>
        <v/>
      </c>
      <c r="CS5" s="185" t="str">
        <f>IF(Tim!CT7=FIT!$E$1,Tim!CT7,"")</f>
        <v/>
      </c>
      <c r="CT5" s="185" t="str">
        <f>IF(Tim!CU7=FIT!$E$1,Tim!CU7,"")</f>
        <v/>
      </c>
      <c r="CU5" s="185" t="str">
        <f>IF(Tim!CV7=FIT!$E$1,Tim!CV7,"")</f>
        <v/>
      </c>
      <c r="CV5" s="185" t="str">
        <f>IF(Tim!CW7=FIT!$E$1,Tim!CW7,"")</f>
        <v/>
      </c>
      <c r="CW5" s="185" t="str">
        <f>IF(Tim!CX7=FIT!$E$1,Tim!CX7,"")</f>
        <v/>
      </c>
      <c r="CX5" s="185" t="str">
        <f>IF(Tim!CY7=FIT!$E$1,Tim!CY7,"")</f>
        <v/>
      </c>
      <c r="CY5" s="185" t="str">
        <f>IF(Tim!CZ7=FIT!$E$1,Tim!CZ7,"")</f>
        <v/>
      </c>
      <c r="CZ5" s="185" t="str">
        <f>IF(Tim!DA7=FIT!$E$1,Tim!DA7,"")</f>
        <v/>
      </c>
      <c r="DA5" s="185" t="str">
        <f>IF(Tim!DB7=FIT!$E$1,Tim!DB7,"")</f>
        <v/>
      </c>
      <c r="DB5" s="185" t="str">
        <f>IF(Tim!DC7=FIT!$E$1,Tim!DC7,"")</f>
        <v/>
      </c>
      <c r="DC5" s="185" t="str">
        <f>IF(Tim!DD7=FIT!$E$1,Tim!DD7,"")</f>
        <v/>
      </c>
      <c r="DD5" s="185" t="str">
        <f>IF(Tim!DE7=FIT!$E$1,Tim!DE7,"")</f>
        <v/>
      </c>
      <c r="DE5" s="185" t="str">
        <f>IF(Tim!DF7=FIT!$E$1,Tim!DF7,"")</f>
        <v/>
      </c>
      <c r="DF5" s="185" t="str">
        <f>IF(Tim!DG7=FIT!$E$1,Tim!DG7,"")</f>
        <v/>
      </c>
      <c r="DG5" s="185" t="str">
        <f>IF(Tim!DH7=FIT!$E$1,Tim!DH7,"")</f>
        <v/>
      </c>
      <c r="DH5" s="185" t="str">
        <f>IF(Tim!DI7=FIT!$E$1,Tim!DI7,"")</f>
        <v/>
      </c>
      <c r="DI5" s="185" t="str">
        <f>IF(Tim!DM7=FIT!$E$1,Tim!DM7,"")</f>
        <v/>
      </c>
      <c r="DJ5" s="185" t="str">
        <f>IF(Tim!DN7=FIT!$E$1,Tim!DN7,"")</f>
        <v/>
      </c>
      <c r="DK5" s="185" t="str">
        <f>IF(Tim!DO7=FIT!$E$1,Tim!DO7,"")</f>
        <v/>
      </c>
      <c r="DL5" s="185" t="str">
        <f>IF(Tim!DP7=FIT!$E$1,Tim!DP7,"")</f>
        <v/>
      </c>
      <c r="DM5" s="185" t="str">
        <f>IF(Tim!DQ7=FIT!$E$1,Tim!DQ7,"")</f>
        <v/>
      </c>
      <c r="DN5" s="185" t="str">
        <f>IF(Tim!DR7=FIT!$E$1,Tim!DR7,"")</f>
        <v/>
      </c>
      <c r="DO5" s="185" t="str">
        <f>IF(Tim!DS7=FIT!$E$1,Tim!DS7,"")</f>
        <v/>
      </c>
      <c r="DP5" s="185" t="str">
        <f>IF(Tim!DT7=FIT!$E$1,Tim!DT7,"")</f>
        <v/>
      </c>
      <c r="DQ5" s="185" t="str">
        <f>IF(Tim!DU7=FIT!$E$1,Tim!DU7,"")</f>
        <v/>
      </c>
      <c r="DR5" s="185" t="str">
        <f>IF(Tim!DV7=FIT!$E$1,Tim!DV7,"")</f>
        <v/>
      </c>
      <c r="DS5" s="185" t="str">
        <f>IF(Tim!DW7=FIT!$E$1,Tim!DW7,"")</f>
        <v/>
      </c>
      <c r="DT5" s="185" t="str">
        <f>IF(Tim!DX7=FIT!$E$1,Tim!DX7,"")</f>
        <v/>
      </c>
      <c r="DU5" s="185" t="str">
        <f>IF(Tim!DY7=FIT!$E$1,Tim!DY7,"")</f>
        <v/>
      </c>
      <c r="DV5" s="185" t="str">
        <f>IF(Tim!DZ7=FIT!$E$1,Tim!DZ7,"")</f>
        <v/>
      </c>
      <c r="DW5" s="185" t="str">
        <f>IF(Tim!EA7=FIT!$E$1,Tim!EA7,"")</f>
        <v/>
      </c>
      <c r="DX5" s="185" t="str">
        <f>IF(Tim!EB7=FIT!$E$1,Tim!EB7,"")</f>
        <v/>
      </c>
      <c r="DY5" s="185" t="str">
        <f>IF(Tim!EC7=FIT!$E$1,Tim!EC7,"")</f>
        <v/>
      </c>
      <c r="DZ5" s="185" t="str">
        <f>IF(Tim!ED7=FIT!$E$1,Tim!ED7,"")</f>
        <v/>
      </c>
      <c r="EA5" s="185" t="str">
        <f>IF(Tim!EE7=FIT!$E$1,Tim!EE7,"")</f>
        <v/>
      </c>
      <c r="EB5" s="185" t="str">
        <f>IF(Tim!EF7=FIT!$E$1,Tim!EF7,"")</f>
        <v/>
      </c>
      <c r="EC5" s="185" t="str">
        <f>IF(Tim!EG7=FIT!$E$1,Tim!EG7,"")</f>
        <v/>
      </c>
      <c r="ED5" s="185" t="str">
        <f>IF(Tim!EH7=FIT!$E$1,Tim!EH7,"")</f>
        <v/>
      </c>
      <c r="EE5" s="185" t="str">
        <f>IF(Tim!EI7=FIT!$E$1,Tim!EI7,"")</f>
        <v/>
      </c>
      <c r="EF5" s="185" t="str">
        <f>IF(Tim!EJ7=FIT!$E$1,Tim!EJ7,"")</f>
        <v/>
      </c>
      <c r="EG5" s="185" t="str">
        <f>IF(Tim!EK7=FIT!$E$1,Tim!EK7,"")</f>
        <v/>
      </c>
      <c r="EH5" s="185" t="str">
        <f>IF(Tim!EL7=FIT!$E$1,Tim!EL7,"")</f>
        <v/>
      </c>
      <c r="EI5" s="185" t="str">
        <f>IF(Tim!EM7=FIT!$E$1,Tim!EM7,"")</f>
        <v/>
      </c>
      <c r="EJ5" s="185" t="str">
        <f>IF(Tim!EN7=FIT!$E$1,Tim!EN7,"")</f>
        <v/>
      </c>
      <c r="EK5" s="185" t="str">
        <f>IF(Tim!EO7=FIT!$E$1,Tim!EO7,"")</f>
        <v/>
      </c>
      <c r="EL5" s="185" t="str">
        <f>IF(Tim!EP7=FIT!$E$1,Tim!EP7,"")</f>
        <v/>
      </c>
      <c r="EM5" s="185" t="str">
        <f>IF(Tim!EQ7=FIT!$E$1,Tim!EQ7,"")</f>
        <v/>
      </c>
      <c r="EN5" s="185" t="str">
        <f>IF(Tim!ER7=FIT!$E$1,Tim!ER7,"")</f>
        <v/>
      </c>
      <c r="EO5" s="185" t="str">
        <f>IF(Tim!ES7=FIT!$E$1,Tim!ES7,"")</f>
        <v/>
      </c>
      <c r="EP5" s="185" t="str">
        <f>IF(Tim!ET7=FIT!$E$1,Tim!ET7,"")</f>
        <v/>
      </c>
      <c r="EQ5" s="185" t="str">
        <f>IF(Tim!EU7=FIT!$E$1,Tim!EU7,"")</f>
        <v/>
      </c>
      <c r="ER5" s="185" t="str">
        <f>IF(Tim!EV7=FIT!$E$1,Tim!EV7,"")</f>
        <v/>
      </c>
      <c r="ES5" s="185" t="str">
        <f>IF(Tim!EW7=FIT!$E$1,Tim!EW7,"")</f>
        <v/>
      </c>
      <c r="ET5" s="185" t="str">
        <f>IF(Tim!EX7=FIT!$E$1,Tim!EX7,"")</f>
        <v/>
      </c>
      <c r="EU5" s="185" t="str">
        <f>IF(Tim!EY7=FIT!$E$1,Tim!EY7,"")</f>
        <v/>
      </c>
      <c r="EV5" s="185" t="str">
        <f>IF(Tim!EZ7=FIT!$E$1,Tim!EZ7,"")</f>
        <v/>
      </c>
      <c r="EW5" s="185" t="str">
        <f>IF(Tim!FA7=FIT!$E$1,Tim!FA7,"")</f>
        <v/>
      </c>
      <c r="EX5" s="185" t="str">
        <f>IF(Tim!FB7=FIT!$E$1,Tim!FB7,"")</f>
        <v/>
      </c>
      <c r="EY5" s="185" t="str">
        <f>IF(Tim!FC7=FIT!$E$1,Tim!FC7,"")</f>
        <v/>
      </c>
      <c r="EZ5" s="185" t="str">
        <f>IF(Tim!FD7=FIT!$E$1,Tim!FD7,"")</f>
        <v/>
      </c>
      <c r="FA5" s="185" t="str">
        <f>IF(Tim!FE7=FIT!$E$1,Tim!FE7,"")</f>
        <v/>
      </c>
      <c r="FB5" s="185" t="str">
        <f>IF(Tim!FF7=FIT!$E$1,Tim!FF7,"")</f>
        <v/>
      </c>
      <c r="FC5" s="185" t="str">
        <f>IF(Tim!FG7=FIT!$E$1,Tim!FG7,"")</f>
        <v/>
      </c>
      <c r="FD5" s="185" t="str">
        <f>IF(Tim!FH7=FIT!$E$1,Tim!FH7,"")</f>
        <v/>
      </c>
      <c r="FE5" s="185" t="str">
        <f>IF(Tim!FI7=FIT!$E$1,Tim!FI7,"")</f>
        <v/>
      </c>
      <c r="FF5" s="185" t="str">
        <f>IF(Tim!FJ7=FIT!$E$1,Tim!FJ7,"")</f>
        <v/>
      </c>
      <c r="FG5" s="185" t="str">
        <f>IF(Tim!FK7=FIT!$E$1,Tim!FK7,"")</f>
        <v/>
      </c>
      <c r="FH5" s="185" t="str">
        <f>IF(Tim!FL7=FIT!$E$1,Tim!FL7,"")</f>
        <v/>
      </c>
      <c r="FI5" s="185" t="str">
        <f>IF(Tim!FM7=FIT!$E$1,Tim!FM7,"")</f>
        <v/>
      </c>
      <c r="FJ5" s="185" t="str">
        <f>IF(Tim!FN7=FIT!$E$1,Tim!FN7,"")</f>
        <v/>
      </c>
      <c r="FK5" s="185" t="str">
        <f>IF(Tim!FO7=FIT!$E$1,Tim!FO7,"")</f>
        <v/>
      </c>
      <c r="FL5" s="185" t="str">
        <f>IF(Tim!FP7=FIT!$E$1,Tim!FP7,"")</f>
        <v/>
      </c>
      <c r="FM5" s="185" t="str">
        <f>IF(Tim!FQ7=FIT!$E$1,Tim!FQ7,"")</f>
        <v/>
      </c>
      <c r="FN5" s="185" t="str">
        <f>IF(Tim!FR7=FIT!$E$1,Tim!FR7,"")</f>
        <v/>
      </c>
      <c r="FO5" s="185" t="str">
        <f>IF(Tim!FS7=FIT!$E$1,Tim!FS7,"")</f>
        <v/>
      </c>
      <c r="FP5" s="185" t="str">
        <f>IF(Tim!FT7=FIT!$E$1,Tim!FT7,"")</f>
        <v/>
      </c>
      <c r="FQ5" s="185" t="str">
        <f>IF(Tim!FU7=FIT!$E$1,Tim!FU7,"")</f>
        <v/>
      </c>
      <c r="FR5" s="185" t="str">
        <f>IF(Tim!FV7=FIT!$E$1,Tim!FV7,"")</f>
        <v/>
      </c>
      <c r="FS5" s="185" t="str">
        <f>IF(Tim!FW7=FIT!$E$1,Tim!FW7,"")</f>
        <v/>
      </c>
      <c r="FT5" s="185" t="str">
        <f>IF(Tim!FX7=FIT!$E$1,Tim!FX7,"")</f>
        <v/>
      </c>
      <c r="FU5" s="185" t="str">
        <f>IF(Tim!FY7=FIT!$E$1,Tim!FY7,"")</f>
        <v/>
      </c>
      <c r="FV5" s="185" t="str">
        <f>IF(Tim!FZ7=FIT!$E$1,Tim!FZ7,"")</f>
        <v/>
      </c>
      <c r="FW5" s="185" t="str">
        <f>IF(Tim!GA7=FIT!$E$1,Tim!GA7,"")</f>
        <v/>
      </c>
      <c r="FX5" s="185" t="str">
        <f>IF(Tim!GB7=FIT!$E$1,Tim!GB7,"")</f>
        <v/>
      </c>
      <c r="FY5" s="185" t="str">
        <f>IF(Tim!GC7=FIT!$E$1,Tim!GC7,"")</f>
        <v/>
      </c>
      <c r="FZ5" s="185" t="str">
        <f>IF(Tim!GD7=FIT!$E$1,Tim!GD7,"")</f>
        <v/>
      </c>
      <c r="GA5" s="185" t="str">
        <f>IF(Tim!GE7=FIT!$E$1,Tim!GE7,"")</f>
        <v/>
      </c>
      <c r="GB5" s="185" t="str">
        <f>IF(Tim!GF7=FIT!$E$1,Tim!GF7,"")</f>
        <v/>
      </c>
      <c r="GC5" s="185" t="str">
        <f>IF(Tim!GG7=FIT!$E$1,Tim!GG7,"")</f>
        <v/>
      </c>
      <c r="GD5" s="185" t="str">
        <f>IF(Tim!GH7=FIT!$E$1,Tim!GH7,"")</f>
        <v/>
      </c>
      <c r="GE5" s="185" t="str">
        <f>IF(Tim!GI7=FIT!$E$1,Tim!GI7,"")</f>
        <v/>
      </c>
      <c r="GF5" s="185" t="str">
        <f>IF(Tim!GJ7=FIT!$E$1,Tim!GJ7,"")</f>
        <v/>
      </c>
      <c r="GG5" s="185" t="str">
        <f>IF(Tim!GK7=FIT!$E$1,Tim!GK7,"")</f>
        <v/>
      </c>
      <c r="GH5" s="185" t="str">
        <f>IF(Tim!GL7=FIT!$E$1,Tim!GL7,"")</f>
        <v/>
      </c>
      <c r="GI5" s="185" t="str">
        <f>IF(Tim!GM7=FIT!$E$1,Tim!GM7,"")</f>
        <v/>
      </c>
      <c r="GJ5" s="185" t="str">
        <f>IF(Tim!GN7=FIT!$E$1,Tim!GN7,"")</f>
        <v/>
      </c>
      <c r="GK5" s="185" t="str">
        <f>IF(Tim!GO7=FIT!$E$1,Tim!GO7,"")</f>
        <v/>
      </c>
      <c r="GL5" s="185" t="str">
        <f>IF(Tim!GP7=FIT!$E$1,Tim!GP7,"")</f>
        <v/>
      </c>
      <c r="GM5" s="185" t="str">
        <f>IF(Tim!GQ7=FIT!$E$1,Tim!GQ7,"")</f>
        <v/>
      </c>
      <c r="GN5" s="185" t="str">
        <f>IF(Tim!GR7=FIT!$E$1,Tim!GR7,"")</f>
        <v/>
      </c>
      <c r="GO5" s="185" t="str">
        <f>IF(Tim!GS7=FIT!$E$1,Tim!GS7,"")</f>
        <v/>
      </c>
      <c r="GP5" s="185" t="str">
        <f>IF(Tim!GT7=FIT!$E$1,Tim!GT7,"")</f>
        <v/>
      </c>
      <c r="GQ5" s="185" t="str">
        <f>IF(Tim!GU7=FIT!$E$1,Tim!GU7,"")</f>
        <v/>
      </c>
      <c r="GR5" s="185" t="str">
        <f>IF(Tim!GV7=FIT!$E$1,Tim!GV7,"")</f>
        <v/>
      </c>
      <c r="GS5" s="185" t="str">
        <f>IF(Tim!GW7=FIT!$E$1,Tim!GW7,"")</f>
        <v/>
      </c>
      <c r="GT5" s="185" t="str">
        <f>IF(Tim!GX7=FIT!$E$1,Tim!GX7,"")</f>
        <v/>
      </c>
      <c r="GU5" s="185" t="str">
        <f>IF(Tim!GY7=FIT!$E$1,Tim!GY7,"")</f>
        <v/>
      </c>
      <c r="GV5" s="185" t="str">
        <f>IF(Tim!GZ7=FIT!$E$1,Tim!GZ7,"")</f>
        <v/>
      </c>
      <c r="GW5" s="185" t="str">
        <f>IF(Tim!HA7=FIT!$E$1,Tim!HA7,"")</f>
        <v/>
      </c>
      <c r="GX5" s="185" t="str">
        <f>IF(Tim!HB7=FIT!$E$1,Tim!HB7,"")</f>
        <v/>
      </c>
      <c r="GY5" s="185" t="str">
        <f>IF(Tim!HC7=FIT!$E$1,Tim!HC7,"")</f>
        <v/>
      </c>
      <c r="GZ5" s="185" t="str">
        <f>IF(Tim!HD7=FIT!$E$1,Tim!HD7,"")</f>
        <v/>
      </c>
      <c r="HA5" s="185" t="str">
        <f>IF(Tim!HE7=FIT!$E$1,Tim!HE7,"")</f>
        <v/>
      </c>
      <c r="HB5" s="185" t="str">
        <f>IF(Tim!HF7=FIT!$E$1,Tim!HF7,"")</f>
        <v/>
      </c>
      <c r="HC5" s="185" t="str">
        <f>IF(Tim!HG7=FIT!$E$1,Tim!HG7,"")</f>
        <v/>
      </c>
      <c r="HD5" s="185" t="str">
        <f>IF(Tim!HH7=FIT!$E$1,Tim!HH7,"")</f>
        <v/>
      </c>
      <c r="HE5" s="185" t="str">
        <f>IF(Tim!HI7=FIT!$E$1,Tim!HI7,"")</f>
        <v/>
      </c>
      <c r="HF5" s="185" t="str">
        <f>IF(Tim!HJ7=FIT!$E$1,Tim!HJ7,"")</f>
        <v/>
      </c>
      <c r="HG5" s="185" t="str">
        <f>IF(Tim!HK7=FIT!$E$1,Tim!HK7,"")</f>
        <v/>
      </c>
      <c r="HH5" s="185" t="str">
        <f>IF(Tim!HL7=FIT!$E$1,Tim!HL7,"")</f>
        <v/>
      </c>
      <c r="HI5" s="185" t="str">
        <f>IF(Tim!HM7=FIT!$E$1,Tim!HM7,"")</f>
        <v/>
      </c>
      <c r="HJ5" s="185" t="str">
        <f>IF(Tim!HN7=FIT!$E$1,Tim!HN7,"")</f>
        <v/>
      </c>
      <c r="HK5" s="185" t="str">
        <f>IF(Tim!HO7=FIT!$E$1,Tim!HO7,"")</f>
        <v/>
      </c>
      <c r="HL5" s="185" t="str">
        <f>IF(Tim!HP7=FIT!$E$1,Tim!HP7,"")</f>
        <v/>
      </c>
      <c r="HM5" s="185" t="str">
        <f>IF(Tim!HQ7=FIT!$E$1,Tim!HQ7,"")</f>
        <v/>
      </c>
      <c r="HN5" s="185" t="str">
        <f>IF(Tim!HR7=FIT!$E$1,Tim!HR7,"")</f>
        <v/>
      </c>
      <c r="HO5" s="185" t="str">
        <f>IF(Tim!HS7=FIT!$E$1,Tim!HS7,"")</f>
        <v/>
      </c>
      <c r="HP5" s="185" t="str">
        <f>IF(Tim!HT7=FIT!$E$1,Tim!HT7,"")</f>
        <v/>
      </c>
      <c r="HQ5" s="185" t="str">
        <f>IF(Tim!HU7=FIT!$E$1,Tim!HU7,"")</f>
        <v/>
      </c>
      <c r="HR5" s="468"/>
      <c r="HS5" s="464"/>
      <c r="HT5" s="464"/>
      <c r="HU5" s="464"/>
      <c r="HV5" s="464"/>
      <c r="HW5" s="464"/>
      <c r="HX5" s="464"/>
      <c r="HY5" s="464"/>
      <c r="HZ5" s="464"/>
      <c r="IA5" s="464"/>
      <c r="IB5" s="464"/>
      <c r="IC5" s="464"/>
      <c r="ID5" s="464"/>
      <c r="IE5" s="464"/>
      <c r="IF5" s="464"/>
      <c r="IG5" s="464"/>
      <c r="IH5" s="464"/>
      <c r="II5" s="464"/>
      <c r="IJ5" s="464"/>
      <c r="IK5" s="464"/>
      <c r="IL5" s="464"/>
      <c r="IM5" s="464"/>
      <c r="IN5" s="464"/>
      <c r="IO5" s="464"/>
      <c r="IP5" s="464"/>
      <c r="IQ5" s="464"/>
      <c r="IR5" s="464"/>
      <c r="IS5" s="464"/>
      <c r="IT5" s="464"/>
      <c r="IU5" s="464"/>
      <c r="IV5" s="464"/>
      <c r="IW5" s="464"/>
      <c r="IX5" s="464"/>
      <c r="IY5" s="464"/>
      <c r="IZ5" s="464"/>
      <c r="JA5" s="464"/>
      <c r="JB5" s="464"/>
      <c r="JC5" s="464"/>
      <c r="JD5" s="464"/>
      <c r="JE5" s="464"/>
      <c r="JF5" s="464"/>
      <c r="JG5" s="464"/>
      <c r="JH5" s="464"/>
      <c r="JI5" s="466"/>
      <c r="JJ5" s="468"/>
      <c r="JK5" s="464"/>
      <c r="JL5" s="464"/>
      <c r="JM5" s="464"/>
      <c r="JN5" s="464"/>
      <c r="JO5" s="464"/>
      <c r="JP5" s="464"/>
      <c r="JQ5" s="464"/>
      <c r="JR5" s="464"/>
      <c r="JS5" s="464"/>
      <c r="JT5" s="464"/>
      <c r="JU5" s="464"/>
      <c r="JV5" s="464"/>
      <c r="JW5" s="464"/>
      <c r="JX5" s="464"/>
      <c r="JY5" s="464"/>
      <c r="JZ5" s="464"/>
      <c r="KA5" s="464"/>
      <c r="KB5" s="464"/>
      <c r="KC5" s="464"/>
      <c r="KD5" s="464"/>
      <c r="KE5" s="464"/>
      <c r="KF5" s="464"/>
      <c r="KG5" s="464"/>
      <c r="KH5" s="464"/>
      <c r="KI5" s="464"/>
      <c r="KJ5" s="464"/>
      <c r="KK5" s="464"/>
      <c r="KL5" s="464"/>
      <c r="KM5" s="464"/>
      <c r="KN5" s="464"/>
      <c r="KO5" s="464"/>
      <c r="KP5" s="464"/>
      <c r="KQ5" s="464"/>
      <c r="KR5" s="464"/>
      <c r="KS5" s="464"/>
      <c r="KT5" s="464"/>
      <c r="KU5" s="464"/>
      <c r="KV5" s="464"/>
      <c r="KW5" s="464"/>
      <c r="KX5" s="464"/>
      <c r="KY5" s="464"/>
      <c r="KZ5" s="464"/>
      <c r="LA5" s="466"/>
      <c r="LB5" s="52">
        <v>0.29166666666666669</v>
      </c>
    </row>
    <row r="6" spans="2:314" ht="10.5" customHeight="1">
      <c r="B6" s="49">
        <v>0.25</v>
      </c>
      <c r="C6" s="49">
        <v>0.25</v>
      </c>
      <c r="D6" s="49">
        <v>0.25</v>
      </c>
      <c r="E6" s="172">
        <v>0.30208333333333331</v>
      </c>
      <c r="F6" s="238" t="str">
        <f>IF(Tim!F8=FIT!$E$1,Tim!F8,"")</f>
        <v/>
      </c>
      <c r="G6" s="185" t="str">
        <f>IF(Tim!G8=FIT!$E$1,Tim!G8,"")</f>
        <v/>
      </c>
      <c r="H6" s="185" t="str">
        <f>IF(Tim!H8=FIT!$E$1,Tim!H8,"")</f>
        <v/>
      </c>
      <c r="I6" s="185" t="str">
        <f>IF(Tim!I8=FIT!$E$1,Tim!I8,"")</f>
        <v/>
      </c>
      <c r="J6" s="185" t="str">
        <f>IF(Tim!J8=FIT!$E$1,Tim!J8,"")</f>
        <v/>
      </c>
      <c r="K6" s="185" t="str">
        <f>IF(Tim!K8=FIT!$E$1,Tim!K8,"")</f>
        <v/>
      </c>
      <c r="L6" s="185" t="str">
        <f>IF(Tim!L8=FIT!$E$1,Tim!L8,"")</f>
        <v/>
      </c>
      <c r="M6" s="185" t="str">
        <f>IF(Tim!M8=FIT!$E$1,Tim!M8,"")</f>
        <v/>
      </c>
      <c r="N6" s="185" t="str">
        <f>IF(Tim!N8=FIT!$E$1,Tim!N8,"")</f>
        <v/>
      </c>
      <c r="O6" s="185" t="str">
        <f>IF(Tim!O8=FIT!$E$1,Tim!O8,"")</f>
        <v/>
      </c>
      <c r="P6" s="185" t="str">
        <f>IF(Tim!P8=FIT!$E$1,Tim!P8,"")</f>
        <v/>
      </c>
      <c r="Q6" s="185" t="str">
        <f>IF(Tim!Q8=FIT!$E$1,Tim!Q8,"")</f>
        <v/>
      </c>
      <c r="R6" s="185" t="str">
        <f>IF(Tim!R8=FIT!$E$1,Tim!R8,"")</f>
        <v/>
      </c>
      <c r="S6" s="185" t="str">
        <f>IF(Tim!S8=FIT!$E$1,Tim!S8,"")</f>
        <v/>
      </c>
      <c r="T6" s="185" t="str">
        <f>IF(Tim!T8=FIT!$E$1,Tim!T8,"")</f>
        <v/>
      </c>
      <c r="U6" s="185" t="str">
        <f>IF(Tim!U8=FIT!$E$1,Tim!U8,"")</f>
        <v/>
      </c>
      <c r="V6" s="185" t="str">
        <f>IF(Tim!W8=FIT!$E$1,Tim!W8,"")</f>
        <v/>
      </c>
      <c r="W6" s="185" t="str">
        <f>IF(Tim!X8=FIT!$E$1,Tim!X8,"")</f>
        <v/>
      </c>
      <c r="X6" s="185" t="str">
        <f>IF(Tim!Y8=FIT!$E$1,Tim!Y8,"")</f>
        <v/>
      </c>
      <c r="Y6" s="185" t="str">
        <f>IF(Tim!Z8=FIT!$E$1,Tim!Z8,"")</f>
        <v/>
      </c>
      <c r="Z6" s="185" t="str">
        <f>IF(Tim!AA8=FIT!$E$1,Tim!AA8,"")</f>
        <v/>
      </c>
      <c r="AA6" s="185" t="str">
        <f>IF(Tim!AB8=FIT!$E$1,Tim!AB8,"")</f>
        <v/>
      </c>
      <c r="AB6" s="185" t="str">
        <f>IF(Tim!AC8=FIT!$E$1,Tim!AC8,"")</f>
        <v/>
      </c>
      <c r="AC6" s="185" t="str">
        <f>IF(Tim!AD8=FIT!$E$1,Tim!AD8,"")</f>
        <v/>
      </c>
      <c r="AD6" s="185" t="str">
        <f>IF(Tim!AE8=FIT!$E$1,Tim!AE8,"")</f>
        <v/>
      </c>
      <c r="AE6" s="185" t="str">
        <f>IF(Tim!AF8=FIT!$E$1,Tim!AF8,"")</f>
        <v/>
      </c>
      <c r="AF6" s="185" t="str">
        <f>IF(Tim!AG8=FIT!$E$1,Tim!AG8,"")</f>
        <v/>
      </c>
      <c r="AG6" s="185" t="str">
        <f>IF(Tim!AH8=FIT!$E$1,Tim!AH8,"")</f>
        <v/>
      </c>
      <c r="AH6" s="185" t="str">
        <f>IF(Tim!AI8=FIT!$E$1,Tim!AI8,"")</f>
        <v/>
      </c>
      <c r="AI6" s="185" t="str">
        <f>IF(Tim!AJ8=FIT!$E$1,Tim!AJ8,"")</f>
        <v/>
      </c>
      <c r="AJ6" s="185" t="str">
        <f>IF(Tim!AK8=FIT!$E$1,Tim!AK8,"")</f>
        <v/>
      </c>
      <c r="AK6" s="185" t="str">
        <f>IF(Tim!AL8=FIT!$E$1,Tim!AL8,"")</f>
        <v/>
      </c>
      <c r="AL6" s="185" t="str">
        <f>IF(Tim!AM8=FIT!$E$1,Tim!AM8,"")</f>
        <v/>
      </c>
      <c r="AM6" s="185" t="str">
        <f>IF(Tim!AN8=FIT!$E$1,Tim!AN8,"")</f>
        <v/>
      </c>
      <c r="AN6" s="185" t="str">
        <f>IF(Tim!AO8=FIT!$E$1,Tim!AO8,"")</f>
        <v/>
      </c>
      <c r="AO6" s="185" t="str">
        <f>IF(Tim!AP8=FIT!$E$1,Tim!AP8,"")</f>
        <v/>
      </c>
      <c r="AP6" s="185" t="str">
        <f>IF(Tim!AQ8=FIT!$E$1,Tim!AQ8,"")</f>
        <v/>
      </c>
      <c r="AQ6" s="185" t="str">
        <f>IF(Tim!AR8=FIT!$E$1,Tim!AR8,"")</f>
        <v/>
      </c>
      <c r="AR6" s="185" t="str">
        <f>IF(Tim!AS8=FIT!$E$1,Tim!AS8,"")</f>
        <v/>
      </c>
      <c r="AS6" s="185" t="str">
        <f>IF(Tim!AT8=FIT!$E$1,Tim!AT8,"")</f>
        <v/>
      </c>
      <c r="AT6" s="185" t="str">
        <f>IF(Tim!AU8=FIT!$E$1,Tim!AU8,"")</f>
        <v/>
      </c>
      <c r="AU6" s="185" t="str">
        <f>IF(Tim!AV8=FIT!$E$1,Tim!AV8,"")</f>
        <v/>
      </c>
      <c r="AV6" s="185" t="str">
        <f>IF(Tim!AW8=FIT!$E$1,Tim!AW8,"")</f>
        <v/>
      </c>
      <c r="AW6" s="186" t="str">
        <f>IF(Tim!AX8=FIT!$E$1,Tim!AX8,"")</f>
        <v/>
      </c>
      <c r="AX6" s="243" t="str">
        <f>IF(Tim!AY8=FIT!$E$1,Tim!AY8,"")</f>
        <v/>
      </c>
      <c r="AY6" s="185" t="str">
        <f>IF(Tim!AZ8=FIT!$E$1,Tim!AZ8,"")</f>
        <v/>
      </c>
      <c r="AZ6" s="185" t="str">
        <f>IF(Tim!BA8=FIT!$E$1,Tim!BA8,"")</f>
        <v/>
      </c>
      <c r="BA6" s="185" t="str">
        <f>IF(Tim!BB8=FIT!$E$1,Tim!BB8,"")</f>
        <v/>
      </c>
      <c r="BB6" s="185" t="str">
        <f>IF(Tim!BC8=FIT!$E$1,Tim!BC8,"")</f>
        <v/>
      </c>
      <c r="BC6" s="185" t="str">
        <f>IF(Tim!BD8=FIT!$E$1,Tim!BD8,"")</f>
        <v/>
      </c>
      <c r="BD6" s="185" t="str">
        <f>IF(Tim!BE8=FIT!$E$1,Tim!BE8,"")</f>
        <v/>
      </c>
      <c r="BE6" s="185" t="str">
        <f>IF(Tim!BF8=FIT!$E$1,Tim!BF8,"")</f>
        <v/>
      </c>
      <c r="BF6" s="185" t="str">
        <f>IF(Tim!BG8=FIT!$E$1,Tim!BG8,"")</f>
        <v/>
      </c>
      <c r="BG6" s="185" t="str">
        <f>IF(Tim!BH8=FIT!$E$1,Tim!BH8,"")</f>
        <v/>
      </c>
      <c r="BH6" s="185" t="str">
        <f>IF(Tim!BI8=FIT!$E$1,Tim!BI8,"")</f>
        <v/>
      </c>
      <c r="BI6" s="185" t="str">
        <f>IF(Tim!BJ8=FIT!$E$1,Tim!BJ8,"")</f>
        <v/>
      </c>
      <c r="BJ6" s="185" t="str">
        <f>IF(Tim!BK8=FIT!$E$1,Tim!BK8,"")</f>
        <v/>
      </c>
      <c r="BK6" s="185" t="str">
        <f>IF(Tim!BL8=FIT!$E$1,Tim!BL8,"")</f>
        <v/>
      </c>
      <c r="BL6" s="185" t="str">
        <f>IF(Tim!BM8=FIT!$E$1,Tim!BM8,"")</f>
        <v/>
      </c>
      <c r="BM6" s="185" t="str">
        <f>IF(Tim!BN8=FIT!$E$1,Tim!BN8,"")</f>
        <v/>
      </c>
      <c r="BN6" s="185" t="str">
        <f>IF(Tim!BO8=FIT!$E$1,Tim!BO8,"")</f>
        <v/>
      </c>
      <c r="BO6" s="185" t="str">
        <f>IF(Tim!BP8=FIT!$E$1,Tim!BP8,"")</f>
        <v/>
      </c>
      <c r="BP6" s="185" t="str">
        <f>IF(Tim!BQ8=FIT!$E$1,Tim!BQ8,"")</f>
        <v/>
      </c>
      <c r="BQ6" s="185" t="str">
        <f>IF(Tim!BR8=FIT!$E$1,Tim!BR8,"")</f>
        <v/>
      </c>
      <c r="BR6" s="185" t="str">
        <f>IF(Tim!BS8=FIT!$E$1,Tim!BS8,"")</f>
        <v/>
      </c>
      <c r="BS6" s="185" t="str">
        <f>IF(Tim!BT8=FIT!$E$1,Tim!BT8,"")</f>
        <v/>
      </c>
      <c r="BT6" s="185" t="str">
        <f>IF(Tim!BU8=FIT!$E$1,Tim!BU8,"")</f>
        <v/>
      </c>
      <c r="BU6" s="185" t="str">
        <f>IF(Tim!BV8=FIT!$E$1,Tim!BV8,"")</f>
        <v/>
      </c>
      <c r="BV6" s="185" t="str">
        <f>IF(Tim!BW8=FIT!$E$1,Tim!BW8,"")</f>
        <v/>
      </c>
      <c r="BW6" s="185" t="str">
        <f>IF(Tim!BX8=FIT!$E$1,Tim!BX8,"")</f>
        <v/>
      </c>
      <c r="BX6" s="185" t="str">
        <f>IF(Tim!BY8=FIT!$E$1,Tim!BY8,"")</f>
        <v/>
      </c>
      <c r="BY6" s="185" t="str">
        <f>IF(Tim!BZ8=FIT!$E$1,Tim!BZ8,"")</f>
        <v/>
      </c>
      <c r="BZ6" s="185" t="str">
        <f>IF(Tim!CA8=FIT!$E$1,Tim!CA8,"")</f>
        <v/>
      </c>
      <c r="CA6" s="185" t="str">
        <f>IF(Tim!CB8=FIT!$E$1,Tim!CB8,"")</f>
        <v/>
      </c>
      <c r="CB6" s="185" t="str">
        <f>IF(Tim!CC8=FIT!$E$1,Tim!CC8,"")</f>
        <v/>
      </c>
      <c r="CC6" s="185" t="str">
        <f>IF(Tim!CD8=FIT!$E$1,Tim!CD8,"")</f>
        <v/>
      </c>
      <c r="CD6" s="185" t="str">
        <f>IF(Tim!CE8=FIT!$E$1,Tim!CE8,"")</f>
        <v/>
      </c>
      <c r="CE6" s="185" t="str">
        <f>IF(Tim!CF8=FIT!$E$1,Tim!CF8,"")</f>
        <v/>
      </c>
      <c r="CF6" s="185" t="str">
        <f>IF(Tim!CG8=FIT!$E$1,Tim!CG8,"")</f>
        <v/>
      </c>
      <c r="CG6" s="185" t="str">
        <f>IF(Tim!CH8=FIT!$E$1,Tim!CH8,"")</f>
        <v/>
      </c>
      <c r="CH6" s="185" t="str">
        <f>IF(Tim!CI8=FIT!$E$1,Tim!CI8,"")</f>
        <v/>
      </c>
      <c r="CI6" s="185" t="str">
        <f>IF(Tim!CJ8=FIT!$E$1,Tim!CJ8,"")</f>
        <v/>
      </c>
      <c r="CJ6" s="185" t="str">
        <f>IF(Tim!CK8=FIT!$E$1,Tim!CK8,"")</f>
        <v/>
      </c>
      <c r="CK6" s="185" t="str">
        <f>IF(Tim!CL8=FIT!$E$1,Tim!CL8,"")</f>
        <v/>
      </c>
      <c r="CL6" s="185" t="str">
        <f>IF(Tim!CM8=FIT!$E$1,Tim!CM8,"")</f>
        <v/>
      </c>
      <c r="CM6" s="185" t="str">
        <f>IF(Tim!CN8=FIT!$E$1,Tim!CN8,"")</f>
        <v/>
      </c>
      <c r="CN6" s="185" t="str">
        <f>IF(Tim!CO8=FIT!$E$1,Tim!CO8,"")</f>
        <v/>
      </c>
      <c r="CO6" s="185" t="str">
        <f>IF(Tim!CP8=FIT!$E$1,Tim!CP8,"")</f>
        <v/>
      </c>
      <c r="CP6" s="185" t="str">
        <f>IF(Tim!CQ8=FIT!$E$1,Tim!CQ8,"")</f>
        <v/>
      </c>
      <c r="CQ6" s="185" t="str">
        <f>IF(Tim!CR8=FIT!$E$1,Tim!CR8,"")</f>
        <v/>
      </c>
      <c r="CR6" s="185" t="str">
        <f>IF(Tim!CS8=FIT!$E$1,Tim!CS8,"")</f>
        <v/>
      </c>
      <c r="CS6" s="185" t="str">
        <f>IF(Tim!CT8=FIT!$E$1,Tim!CT8,"")</f>
        <v/>
      </c>
      <c r="CT6" s="185" t="str">
        <f>IF(Tim!CU8=FIT!$E$1,Tim!CU8,"")</f>
        <v/>
      </c>
      <c r="CU6" s="185" t="str">
        <f>IF(Tim!CV8=FIT!$E$1,Tim!CV8,"")</f>
        <v/>
      </c>
      <c r="CV6" s="185" t="str">
        <f>IF(Tim!CW8=FIT!$E$1,Tim!CW8,"")</f>
        <v/>
      </c>
      <c r="CW6" s="185" t="str">
        <f>IF(Tim!CX8=FIT!$E$1,Tim!CX8,"")</f>
        <v/>
      </c>
      <c r="CX6" s="185" t="str">
        <f>IF(Tim!CY8=FIT!$E$1,Tim!CY8,"")</f>
        <v/>
      </c>
      <c r="CY6" s="185" t="str">
        <f>IF(Tim!CZ8=FIT!$E$1,Tim!CZ8,"")</f>
        <v/>
      </c>
      <c r="CZ6" s="185" t="str">
        <f>IF(Tim!DA8=FIT!$E$1,Tim!DA8,"")</f>
        <v/>
      </c>
      <c r="DA6" s="185" t="str">
        <f>IF(Tim!DB8=FIT!$E$1,Tim!DB8,"")</f>
        <v/>
      </c>
      <c r="DB6" s="185" t="str">
        <f>IF(Tim!DC8=FIT!$E$1,Tim!DC8,"")</f>
        <v/>
      </c>
      <c r="DC6" s="185" t="str">
        <f>IF(Tim!DD8=FIT!$E$1,Tim!DD8,"")</f>
        <v/>
      </c>
      <c r="DD6" s="185" t="str">
        <f>IF(Tim!DE8=FIT!$E$1,Tim!DE8,"")</f>
        <v/>
      </c>
      <c r="DE6" s="185" t="str">
        <f>IF(Tim!DF8=FIT!$E$1,Tim!DF8,"")</f>
        <v/>
      </c>
      <c r="DF6" s="185" t="str">
        <f>IF(Tim!DG8=FIT!$E$1,Tim!DG8,"")</f>
        <v/>
      </c>
      <c r="DG6" s="185" t="str">
        <f>IF(Tim!DH8=FIT!$E$1,Tim!DH8,"")</f>
        <v/>
      </c>
      <c r="DH6" s="185" t="str">
        <f>IF(Tim!DI8=FIT!$E$1,Tim!DI8,"")</f>
        <v/>
      </c>
      <c r="DI6" s="185" t="str">
        <f>IF(Tim!DM8=FIT!$E$1,Tim!DM8,"")</f>
        <v/>
      </c>
      <c r="DJ6" s="185" t="str">
        <f>IF(Tim!DN8=FIT!$E$1,Tim!DN8,"")</f>
        <v/>
      </c>
      <c r="DK6" s="185" t="str">
        <f>IF(Tim!DO8=FIT!$E$1,Tim!DO8,"")</f>
        <v/>
      </c>
      <c r="DL6" s="185" t="str">
        <f>IF(Tim!DP8=FIT!$E$1,Tim!DP8,"")</f>
        <v/>
      </c>
      <c r="DM6" s="185" t="str">
        <f>IF(Tim!DQ8=FIT!$E$1,Tim!DQ8,"")</f>
        <v/>
      </c>
      <c r="DN6" s="185" t="str">
        <f>IF(Tim!DR8=FIT!$E$1,Tim!DR8,"")</f>
        <v/>
      </c>
      <c r="DO6" s="185" t="str">
        <f>IF(Tim!DS8=FIT!$E$1,Tim!DS8,"")</f>
        <v/>
      </c>
      <c r="DP6" s="185" t="str">
        <f>IF(Tim!DT8=FIT!$E$1,Tim!DT8,"")</f>
        <v/>
      </c>
      <c r="DQ6" s="185" t="str">
        <f>IF(Tim!DU8=FIT!$E$1,Tim!DU8,"")</f>
        <v/>
      </c>
      <c r="DR6" s="185" t="str">
        <f>IF(Tim!DV8=FIT!$E$1,Tim!DV8,"")</f>
        <v/>
      </c>
      <c r="DS6" s="185" t="str">
        <f>IF(Tim!DW8=FIT!$E$1,Tim!DW8,"")</f>
        <v/>
      </c>
      <c r="DT6" s="185" t="str">
        <f>IF(Tim!DX8=FIT!$E$1,Tim!DX8,"")</f>
        <v/>
      </c>
      <c r="DU6" s="185" t="str">
        <f>IF(Tim!DY8=FIT!$E$1,Tim!DY8,"")</f>
        <v/>
      </c>
      <c r="DV6" s="185" t="str">
        <f>IF(Tim!DZ8=FIT!$E$1,Tim!DZ8,"")</f>
        <v/>
      </c>
      <c r="DW6" s="185" t="str">
        <f>IF(Tim!EA8=FIT!$E$1,Tim!EA8,"")</f>
        <v/>
      </c>
      <c r="DX6" s="185" t="str">
        <f>IF(Tim!EB8=FIT!$E$1,Tim!EB8,"")</f>
        <v/>
      </c>
      <c r="DY6" s="185" t="str">
        <f>IF(Tim!EC8=FIT!$E$1,Tim!EC8,"")</f>
        <v/>
      </c>
      <c r="DZ6" s="185" t="str">
        <f>IF(Tim!ED8=FIT!$E$1,Tim!ED8,"")</f>
        <v/>
      </c>
      <c r="EA6" s="185" t="str">
        <f>IF(Tim!EE8=FIT!$E$1,Tim!EE8,"")</f>
        <v/>
      </c>
      <c r="EB6" s="185" t="str">
        <f>IF(Tim!EF8=FIT!$E$1,Tim!EF8,"")</f>
        <v/>
      </c>
      <c r="EC6" s="185" t="str">
        <f>IF(Tim!EG8=FIT!$E$1,Tim!EG8,"")</f>
        <v/>
      </c>
      <c r="ED6" s="185" t="str">
        <f>IF(Tim!EH8=FIT!$E$1,Tim!EH8,"")</f>
        <v/>
      </c>
      <c r="EE6" s="185" t="str">
        <f>IF(Tim!EI8=FIT!$E$1,Tim!EI8,"")</f>
        <v/>
      </c>
      <c r="EF6" s="185" t="str">
        <f>IF(Tim!EJ8=FIT!$E$1,Tim!EJ8,"")</f>
        <v/>
      </c>
      <c r="EG6" s="185" t="str">
        <f>IF(Tim!EK8=FIT!$E$1,Tim!EK8,"")</f>
        <v/>
      </c>
      <c r="EH6" s="185" t="str">
        <f>IF(Tim!EL8=FIT!$E$1,Tim!EL8,"")</f>
        <v/>
      </c>
      <c r="EI6" s="185" t="str">
        <f>IF(Tim!EM8=FIT!$E$1,Tim!EM8,"")</f>
        <v/>
      </c>
      <c r="EJ6" s="185" t="str">
        <f>IF(Tim!EN8=FIT!$E$1,Tim!EN8,"")</f>
        <v/>
      </c>
      <c r="EK6" s="185" t="str">
        <f>IF(Tim!EO8=FIT!$E$1,Tim!EO8,"")</f>
        <v/>
      </c>
      <c r="EL6" s="185" t="str">
        <f>IF(Tim!EP8=FIT!$E$1,Tim!EP8,"")</f>
        <v/>
      </c>
      <c r="EM6" s="185" t="str">
        <f>IF(Tim!EQ8=FIT!$E$1,Tim!EQ8,"")</f>
        <v/>
      </c>
      <c r="EN6" s="185" t="str">
        <f>IF(Tim!ER8=FIT!$E$1,Tim!ER8,"")</f>
        <v/>
      </c>
      <c r="EO6" s="185" t="str">
        <f>IF(Tim!ES8=FIT!$E$1,Tim!ES8,"")</f>
        <v/>
      </c>
      <c r="EP6" s="185" t="str">
        <f>IF(Tim!ET8=FIT!$E$1,Tim!ET8,"")</f>
        <v/>
      </c>
      <c r="EQ6" s="185" t="str">
        <f>IF(Tim!EU8=FIT!$E$1,Tim!EU8,"")</f>
        <v/>
      </c>
      <c r="ER6" s="185" t="str">
        <f>IF(Tim!EV8=FIT!$E$1,Tim!EV8,"")</f>
        <v/>
      </c>
      <c r="ES6" s="185" t="str">
        <f>IF(Tim!EW8=FIT!$E$1,Tim!EW8,"")</f>
        <v/>
      </c>
      <c r="ET6" s="185" t="str">
        <f>IF(Tim!EX8=FIT!$E$1,Tim!EX8,"")</f>
        <v/>
      </c>
      <c r="EU6" s="185" t="str">
        <f>IF(Tim!EY8=FIT!$E$1,Tim!EY8,"")</f>
        <v/>
      </c>
      <c r="EV6" s="185" t="str">
        <f>IF(Tim!EZ8=FIT!$E$1,Tim!EZ8,"")</f>
        <v/>
      </c>
      <c r="EW6" s="185" t="str">
        <f>IF(Tim!FA8=FIT!$E$1,Tim!FA8,"")</f>
        <v/>
      </c>
      <c r="EX6" s="185" t="str">
        <f>IF(Tim!FB8=FIT!$E$1,Tim!FB8,"")</f>
        <v/>
      </c>
      <c r="EY6" s="185" t="str">
        <f>IF(Tim!FC8=FIT!$E$1,Tim!FC8,"")</f>
        <v/>
      </c>
      <c r="EZ6" s="185" t="str">
        <f>IF(Tim!FD8=FIT!$E$1,Tim!FD8,"")</f>
        <v/>
      </c>
      <c r="FA6" s="185" t="str">
        <f>IF(Tim!FE8=FIT!$E$1,Tim!FE8,"")</f>
        <v/>
      </c>
      <c r="FB6" s="185" t="str">
        <f>IF(Tim!FF8=FIT!$E$1,Tim!FF8,"")</f>
        <v/>
      </c>
      <c r="FC6" s="185" t="str">
        <f>IF(Tim!FG8=FIT!$E$1,Tim!FG8,"")</f>
        <v/>
      </c>
      <c r="FD6" s="185" t="str">
        <f>IF(Tim!FH8=FIT!$E$1,Tim!FH8,"")</f>
        <v/>
      </c>
      <c r="FE6" s="185" t="str">
        <f>IF(Tim!FI8=FIT!$E$1,Tim!FI8,"")</f>
        <v/>
      </c>
      <c r="FF6" s="185" t="str">
        <f>IF(Tim!FJ8=FIT!$E$1,Tim!FJ8,"")</f>
        <v/>
      </c>
      <c r="FG6" s="185" t="str">
        <f>IF(Tim!FK8=FIT!$E$1,Tim!FK8,"")</f>
        <v/>
      </c>
      <c r="FH6" s="185" t="str">
        <f>IF(Tim!FL8=FIT!$E$1,Tim!FL8,"")</f>
        <v/>
      </c>
      <c r="FI6" s="185" t="str">
        <f>IF(Tim!FM8=FIT!$E$1,Tim!FM8,"")</f>
        <v/>
      </c>
      <c r="FJ6" s="185" t="str">
        <f>IF(Tim!FN8=FIT!$E$1,Tim!FN8,"")</f>
        <v/>
      </c>
      <c r="FK6" s="185" t="str">
        <f>IF(Tim!FO8=FIT!$E$1,Tim!FO8,"")</f>
        <v/>
      </c>
      <c r="FL6" s="185" t="str">
        <f>IF(Tim!FP8=FIT!$E$1,Tim!FP8,"")</f>
        <v/>
      </c>
      <c r="FM6" s="185" t="str">
        <f>IF(Tim!FQ8=FIT!$E$1,Tim!FQ8,"")</f>
        <v/>
      </c>
      <c r="FN6" s="185" t="str">
        <f>IF(Tim!FR8=FIT!$E$1,Tim!FR8,"")</f>
        <v/>
      </c>
      <c r="FO6" s="185" t="str">
        <f>IF(Tim!FS8=FIT!$E$1,Tim!FS8,"")</f>
        <v/>
      </c>
      <c r="FP6" s="185" t="str">
        <f>IF(Tim!FT8=FIT!$E$1,Tim!FT8,"")</f>
        <v/>
      </c>
      <c r="FQ6" s="185" t="str">
        <f>IF(Tim!FU8=FIT!$E$1,Tim!FU8,"")</f>
        <v/>
      </c>
      <c r="FR6" s="185" t="str">
        <f>IF(Tim!FV8=FIT!$E$1,Tim!FV8,"")</f>
        <v/>
      </c>
      <c r="FS6" s="185" t="str">
        <f>IF(Tim!FW8=FIT!$E$1,Tim!FW8,"")</f>
        <v/>
      </c>
      <c r="FT6" s="185" t="str">
        <f>IF(Tim!FX8=FIT!$E$1,Tim!FX8,"")</f>
        <v/>
      </c>
      <c r="FU6" s="185" t="str">
        <f>IF(Tim!FY8=FIT!$E$1,Tim!FY8,"")</f>
        <v/>
      </c>
      <c r="FV6" s="185" t="str">
        <f>IF(Tim!FZ8=FIT!$E$1,Tim!FZ8,"")</f>
        <v/>
      </c>
      <c r="FW6" s="185" t="str">
        <f>IF(Tim!GA8=FIT!$E$1,Tim!GA8,"")</f>
        <v/>
      </c>
      <c r="FX6" s="185" t="str">
        <f>IF(Tim!GB8=FIT!$E$1,Tim!GB8,"")</f>
        <v/>
      </c>
      <c r="FY6" s="185" t="str">
        <f>IF(Tim!GC8=FIT!$E$1,Tim!GC8,"")</f>
        <v/>
      </c>
      <c r="FZ6" s="185" t="str">
        <f>IF(Tim!GD8=FIT!$E$1,Tim!GD8,"")</f>
        <v/>
      </c>
      <c r="GA6" s="185" t="str">
        <f>IF(Tim!GE8=FIT!$E$1,Tim!GE8,"")</f>
        <v/>
      </c>
      <c r="GB6" s="185" t="str">
        <f>IF(Tim!GF8=FIT!$E$1,Tim!GF8,"")</f>
        <v/>
      </c>
      <c r="GC6" s="185" t="str">
        <f>IF(Tim!GG8=FIT!$E$1,Tim!GG8,"")</f>
        <v/>
      </c>
      <c r="GD6" s="185" t="str">
        <f>IF(Tim!GH8=FIT!$E$1,Tim!GH8,"")</f>
        <v/>
      </c>
      <c r="GE6" s="185" t="str">
        <f>IF(Tim!GI8=FIT!$E$1,Tim!GI8,"")</f>
        <v/>
      </c>
      <c r="GF6" s="185" t="str">
        <f>IF(Tim!GJ8=FIT!$E$1,Tim!GJ8,"")</f>
        <v/>
      </c>
      <c r="GG6" s="185" t="str">
        <f>IF(Tim!GK8=FIT!$E$1,Tim!GK8,"")</f>
        <v/>
      </c>
      <c r="GH6" s="185" t="str">
        <f>IF(Tim!GL8=FIT!$E$1,Tim!GL8,"")</f>
        <v/>
      </c>
      <c r="GI6" s="185" t="str">
        <f>IF(Tim!GM8=FIT!$E$1,Tim!GM8,"")</f>
        <v/>
      </c>
      <c r="GJ6" s="185" t="str">
        <f>IF(Tim!GN8=FIT!$E$1,Tim!GN8,"")</f>
        <v/>
      </c>
      <c r="GK6" s="185" t="str">
        <f>IF(Tim!GO8=FIT!$E$1,Tim!GO8,"")</f>
        <v/>
      </c>
      <c r="GL6" s="185" t="str">
        <f>IF(Tim!GP8=FIT!$E$1,Tim!GP8,"")</f>
        <v/>
      </c>
      <c r="GM6" s="185" t="str">
        <f>IF(Tim!GQ8=FIT!$E$1,Tim!GQ8,"")</f>
        <v/>
      </c>
      <c r="GN6" s="185" t="str">
        <f>IF(Tim!GR8=FIT!$E$1,Tim!GR8,"")</f>
        <v/>
      </c>
      <c r="GO6" s="185" t="str">
        <f>IF(Tim!GS8=FIT!$E$1,Tim!GS8,"")</f>
        <v/>
      </c>
      <c r="GP6" s="185" t="str">
        <f>IF(Tim!GT8=FIT!$E$1,Tim!GT8,"")</f>
        <v/>
      </c>
      <c r="GQ6" s="185" t="str">
        <f>IF(Tim!GU8=FIT!$E$1,Tim!GU8,"")</f>
        <v/>
      </c>
      <c r="GR6" s="185" t="str">
        <f>IF(Tim!GV8=FIT!$E$1,Tim!GV8,"")</f>
        <v/>
      </c>
      <c r="GS6" s="185" t="str">
        <f>IF(Tim!GW8=FIT!$E$1,Tim!GW8,"")</f>
        <v/>
      </c>
      <c r="GT6" s="185" t="str">
        <f>IF(Tim!GX8=FIT!$E$1,Tim!GX8,"")</f>
        <v/>
      </c>
      <c r="GU6" s="185" t="str">
        <f>IF(Tim!GY8=FIT!$E$1,Tim!GY8,"")</f>
        <v/>
      </c>
      <c r="GV6" s="185" t="str">
        <f>IF(Tim!GZ8=FIT!$E$1,Tim!GZ8,"")</f>
        <v/>
      </c>
      <c r="GW6" s="185" t="str">
        <f>IF(Tim!HA8=FIT!$E$1,Tim!HA8,"")</f>
        <v/>
      </c>
      <c r="GX6" s="185" t="str">
        <f>IF(Tim!HB8=FIT!$E$1,Tim!HB8,"")</f>
        <v/>
      </c>
      <c r="GY6" s="185" t="str">
        <f>IF(Tim!HC8=FIT!$E$1,Tim!HC8,"")</f>
        <v/>
      </c>
      <c r="GZ6" s="185" t="str">
        <f>IF(Tim!HD8=FIT!$E$1,Tim!HD8,"")</f>
        <v/>
      </c>
      <c r="HA6" s="185" t="str">
        <f>IF(Tim!HE8=FIT!$E$1,Tim!HE8,"")</f>
        <v/>
      </c>
      <c r="HB6" s="185" t="str">
        <f>IF(Tim!HF8=FIT!$E$1,Tim!HF8,"")</f>
        <v/>
      </c>
      <c r="HC6" s="185" t="str">
        <f>IF(Tim!HG8=FIT!$E$1,Tim!HG8,"")</f>
        <v/>
      </c>
      <c r="HD6" s="185" t="str">
        <f>IF(Tim!HH8=FIT!$E$1,Tim!HH8,"")</f>
        <v/>
      </c>
      <c r="HE6" s="185" t="str">
        <f>IF(Tim!HI8=FIT!$E$1,Tim!HI8,"")</f>
        <v/>
      </c>
      <c r="HF6" s="185" t="str">
        <f>IF(Tim!HJ8=FIT!$E$1,Tim!HJ8,"")</f>
        <v/>
      </c>
      <c r="HG6" s="185" t="str">
        <f>IF(Tim!HK8=FIT!$E$1,Tim!HK8,"")</f>
        <v/>
      </c>
      <c r="HH6" s="185" t="str">
        <f>IF(Tim!HL8=FIT!$E$1,Tim!HL8,"")</f>
        <v/>
      </c>
      <c r="HI6" s="185" t="str">
        <f>IF(Tim!HM8=FIT!$E$1,Tim!HM8,"")</f>
        <v/>
      </c>
      <c r="HJ6" s="185" t="str">
        <f>IF(Tim!HN8=FIT!$E$1,Tim!HN8,"")</f>
        <v/>
      </c>
      <c r="HK6" s="185" t="str">
        <f>IF(Tim!HO8=FIT!$E$1,Tim!HO8,"")</f>
        <v/>
      </c>
      <c r="HL6" s="185" t="str">
        <f>IF(Tim!HP8=FIT!$E$1,Tim!HP8,"")</f>
        <v/>
      </c>
      <c r="HM6" s="185" t="str">
        <f>IF(Tim!HQ8=FIT!$E$1,Tim!HQ8,"")</f>
        <v/>
      </c>
      <c r="HN6" s="185" t="str">
        <f>IF(Tim!HR8=FIT!$E$1,Tim!HR8,"")</f>
        <v/>
      </c>
      <c r="HO6" s="185" t="str">
        <f>IF(Tim!HS8=FIT!$E$1,Tim!HS8,"")</f>
        <v/>
      </c>
      <c r="HP6" s="185" t="str">
        <f>IF(Tim!HT8=FIT!$E$1,Tim!HT8,"")</f>
        <v/>
      </c>
      <c r="HQ6" s="185" t="str">
        <f>IF(Tim!HU8=FIT!$E$1,Tim!HU8,"")</f>
        <v/>
      </c>
      <c r="HR6" s="469"/>
      <c r="HS6" s="366"/>
      <c r="HT6" s="366"/>
      <c r="HU6" s="366"/>
      <c r="HV6" s="366"/>
      <c r="HW6" s="366"/>
      <c r="HX6" s="366"/>
      <c r="HY6" s="366"/>
      <c r="HZ6" s="366"/>
      <c r="IA6" s="366"/>
      <c r="IB6" s="366"/>
      <c r="IC6" s="366"/>
      <c r="ID6" s="366"/>
      <c r="IE6" s="366"/>
      <c r="IF6" s="366"/>
      <c r="IG6" s="366"/>
      <c r="IH6" s="366"/>
      <c r="II6" s="366"/>
      <c r="IJ6" s="366"/>
      <c r="IK6" s="366"/>
      <c r="IL6" s="366"/>
      <c r="IM6" s="366"/>
      <c r="IN6" s="366"/>
      <c r="IO6" s="366"/>
      <c r="IP6" s="366"/>
      <c r="IQ6" s="366"/>
      <c r="IR6" s="366"/>
      <c r="IS6" s="366"/>
      <c r="IT6" s="366"/>
      <c r="IU6" s="366"/>
      <c r="IV6" s="366"/>
      <c r="IW6" s="366"/>
      <c r="IX6" s="366"/>
      <c r="IY6" s="366"/>
      <c r="IZ6" s="366"/>
      <c r="JA6" s="366"/>
      <c r="JB6" s="366"/>
      <c r="JC6" s="366"/>
      <c r="JD6" s="366"/>
      <c r="JE6" s="366"/>
      <c r="JF6" s="366"/>
      <c r="JG6" s="366"/>
      <c r="JH6" s="366"/>
      <c r="JI6" s="428"/>
      <c r="JJ6" s="469"/>
      <c r="JK6" s="366"/>
      <c r="JL6" s="366"/>
      <c r="JM6" s="366"/>
      <c r="JN6" s="366"/>
      <c r="JO6" s="366"/>
      <c r="JP6" s="366"/>
      <c r="JQ6" s="366"/>
      <c r="JR6" s="366"/>
      <c r="JS6" s="366"/>
      <c r="JT6" s="366"/>
      <c r="JU6" s="366"/>
      <c r="JV6" s="366"/>
      <c r="JW6" s="366"/>
      <c r="JX6" s="366"/>
      <c r="JY6" s="366"/>
      <c r="JZ6" s="366"/>
      <c r="KA6" s="366"/>
      <c r="KB6" s="366"/>
      <c r="KC6" s="366"/>
      <c r="KD6" s="366"/>
      <c r="KE6" s="366"/>
      <c r="KF6" s="366"/>
      <c r="KG6" s="366"/>
      <c r="KH6" s="366"/>
      <c r="KI6" s="366"/>
      <c r="KJ6" s="366"/>
      <c r="KK6" s="366"/>
      <c r="KL6" s="366"/>
      <c r="KM6" s="366"/>
      <c r="KN6" s="366"/>
      <c r="KO6" s="366"/>
      <c r="KP6" s="366"/>
      <c r="KQ6" s="366"/>
      <c r="KR6" s="366"/>
      <c r="KS6" s="366"/>
      <c r="KT6" s="366"/>
      <c r="KU6" s="366"/>
      <c r="KV6" s="366"/>
      <c r="KW6" s="366"/>
      <c r="KX6" s="366"/>
      <c r="KY6" s="366"/>
      <c r="KZ6" s="366"/>
      <c r="LA6" s="428"/>
      <c r="LB6" s="52">
        <v>0.30208333333333331</v>
      </c>
    </row>
    <row r="7" spans="2:314" ht="10.5" customHeight="1">
      <c r="B7" s="49">
        <v>0.25</v>
      </c>
      <c r="C7" s="49">
        <v>0.25</v>
      </c>
      <c r="D7" s="49">
        <v>0.25</v>
      </c>
      <c r="E7" s="172">
        <v>0.3125</v>
      </c>
      <c r="F7" s="238" t="str">
        <f>IF(Tim!F9=FIT!$E$1,Tim!F9,"")</f>
        <v/>
      </c>
      <c r="G7" s="185" t="str">
        <f>IF(Tim!G9=FIT!$E$1,Tim!G9,"")</f>
        <v/>
      </c>
      <c r="H7" s="185" t="str">
        <f>IF(Tim!H9=FIT!$E$1,Tim!H9,"")</f>
        <v/>
      </c>
      <c r="I7" s="185" t="str">
        <f>IF(Tim!I9=FIT!$E$1,Tim!I9,"")</f>
        <v/>
      </c>
      <c r="J7" s="185" t="str">
        <f>IF(Tim!J9=FIT!$E$1,Tim!J9,"")</f>
        <v/>
      </c>
      <c r="K7" s="185" t="str">
        <f>IF(Tim!K9=FIT!$E$1,Tim!K9,"")</f>
        <v/>
      </c>
      <c r="L7" s="185" t="str">
        <f>IF(Tim!L9=FIT!$E$1,Tim!L9,"")</f>
        <v/>
      </c>
      <c r="M7" s="185" t="str">
        <f>IF(Tim!M9=FIT!$E$1,Tim!M9,"")</f>
        <v/>
      </c>
      <c r="N7" s="185" t="str">
        <f>IF(Tim!N9=FIT!$E$1,Tim!N9,"")</f>
        <v/>
      </c>
      <c r="O7" s="185" t="str">
        <f>IF(Tim!O9=FIT!$E$1,Tim!O9,"")</f>
        <v/>
      </c>
      <c r="P7" s="185" t="str">
        <f>IF(Tim!P9=FIT!$E$1,Tim!P9,"")</f>
        <v/>
      </c>
      <c r="Q7" s="185" t="str">
        <f>IF(Tim!Q9=FIT!$E$1,Tim!Q9,"")</f>
        <v/>
      </c>
      <c r="R7" s="185" t="str">
        <f>IF(Tim!R9=FIT!$E$1,Tim!R9,"")</f>
        <v/>
      </c>
      <c r="S7" s="185" t="str">
        <f>IF(Tim!S9=FIT!$E$1,Tim!S9,"")</f>
        <v/>
      </c>
      <c r="T7" s="185" t="str">
        <f>IF(Tim!T9=FIT!$E$1,Tim!T9,"")</f>
        <v/>
      </c>
      <c r="U7" s="185" t="str">
        <f>IF(Tim!U9=FIT!$E$1,Tim!U9,"")</f>
        <v/>
      </c>
      <c r="V7" s="185" t="str">
        <f>IF(Tim!W9=FIT!$E$1,Tim!W9,"")</f>
        <v/>
      </c>
      <c r="W7" s="185" t="str">
        <f>IF(Tim!X9=FIT!$E$1,Tim!X9,"")</f>
        <v/>
      </c>
      <c r="X7" s="185" t="str">
        <f>IF(Tim!Y9=FIT!$E$1,Tim!Y9,"")</f>
        <v/>
      </c>
      <c r="Y7" s="185" t="str">
        <f>IF(Tim!Z9=FIT!$E$1,Tim!Z9,"")</f>
        <v/>
      </c>
      <c r="Z7" s="185" t="str">
        <f>IF(Tim!AA9=FIT!$E$1,Tim!AA9,"")</f>
        <v/>
      </c>
      <c r="AA7" s="185" t="str">
        <f>IF(Tim!AB9=FIT!$E$1,Tim!AB9,"")</f>
        <v/>
      </c>
      <c r="AB7" s="185" t="str">
        <f>IF(Tim!AC9=FIT!$E$1,Tim!AC9,"")</f>
        <v/>
      </c>
      <c r="AC7" s="185" t="str">
        <f>IF(Tim!AD9=FIT!$E$1,Tim!AD9,"")</f>
        <v/>
      </c>
      <c r="AD7" s="185" t="str">
        <f>IF(Tim!AE9=FIT!$E$1,Tim!AE9,"")</f>
        <v/>
      </c>
      <c r="AE7" s="185" t="str">
        <f>IF(Tim!AF9=FIT!$E$1,Tim!AF9,"")</f>
        <v/>
      </c>
      <c r="AF7" s="185" t="str">
        <f>IF(Tim!AG9=FIT!$E$1,Tim!AG9,"")</f>
        <v/>
      </c>
      <c r="AG7" s="185" t="str">
        <f>IF(Tim!AH9=FIT!$E$1,Tim!AH9,"")</f>
        <v/>
      </c>
      <c r="AH7" s="185" t="str">
        <f>IF(Tim!AI9=FIT!$E$1,Tim!AI9,"")</f>
        <v/>
      </c>
      <c r="AI7" s="185" t="str">
        <f>IF(Tim!AJ9=FIT!$E$1,Tim!AJ9,"")</f>
        <v/>
      </c>
      <c r="AJ7" s="185" t="str">
        <f>IF(Tim!AK9=FIT!$E$1,Tim!AK9,"")</f>
        <v/>
      </c>
      <c r="AK7" s="185" t="str">
        <f>IF(Tim!AL9=FIT!$E$1,Tim!AL9,"")</f>
        <v/>
      </c>
      <c r="AL7" s="185" t="str">
        <f>IF(Tim!AM9=FIT!$E$1,Tim!AM9,"")</f>
        <v/>
      </c>
      <c r="AM7" s="185" t="str">
        <f>IF(Tim!AN9=FIT!$E$1,Tim!AN9,"")</f>
        <v/>
      </c>
      <c r="AN7" s="185" t="str">
        <f>IF(Tim!AO9=FIT!$E$1,Tim!AO9,"")</f>
        <v/>
      </c>
      <c r="AO7" s="185" t="str">
        <f>IF(Tim!AP9=FIT!$E$1,Tim!AP9,"")</f>
        <v/>
      </c>
      <c r="AP7" s="185" t="str">
        <f>IF(Tim!AQ9=FIT!$E$1,Tim!AQ9,"")</f>
        <v/>
      </c>
      <c r="AQ7" s="185" t="str">
        <f>IF(Tim!AR9=FIT!$E$1,Tim!AR9,"")</f>
        <v/>
      </c>
      <c r="AR7" s="185" t="str">
        <f>IF(Tim!AS9=FIT!$E$1,Tim!AS9,"")</f>
        <v/>
      </c>
      <c r="AS7" s="185" t="str">
        <f>IF(Tim!AT9=FIT!$E$1,Tim!AT9,"")</f>
        <v/>
      </c>
      <c r="AT7" s="185" t="str">
        <f>IF(Tim!AU9=FIT!$E$1,Tim!AU9,"")</f>
        <v/>
      </c>
      <c r="AU7" s="185" t="str">
        <f>IF(Tim!AV9=FIT!$E$1,Tim!AV9,"")</f>
        <v/>
      </c>
      <c r="AV7" s="185" t="str">
        <f>IF(Tim!AW9=FIT!$E$1,Tim!AW9,"")</f>
        <v/>
      </c>
      <c r="AW7" s="186" t="str">
        <f>IF(Tim!AX9=FIT!$E$1,Tim!AX9,"")</f>
        <v/>
      </c>
      <c r="AX7" s="243" t="str">
        <f>IF(Tim!AY9=FIT!$E$1,Tim!AY9,"")</f>
        <v/>
      </c>
      <c r="AY7" s="185" t="str">
        <f>IF(Tim!AZ9=FIT!$E$1,Tim!AZ9,"")</f>
        <v/>
      </c>
      <c r="AZ7" s="185" t="str">
        <f>IF(Tim!BA9=FIT!$E$1,Tim!BA9,"")</f>
        <v/>
      </c>
      <c r="BA7" s="185" t="str">
        <f>IF(Tim!BB9=FIT!$E$1,Tim!BB9,"")</f>
        <v/>
      </c>
      <c r="BB7" s="185" t="str">
        <f>IF(Tim!BC9=FIT!$E$1,Tim!BC9,"")</f>
        <v/>
      </c>
      <c r="BC7" s="185" t="str">
        <f>IF(Tim!BD9=FIT!$E$1,Tim!BD9,"")</f>
        <v/>
      </c>
      <c r="BD7" s="185" t="str">
        <f>IF(Tim!BE9=FIT!$E$1,Tim!BE9,"")</f>
        <v/>
      </c>
      <c r="BE7" s="185" t="str">
        <f>IF(Tim!BF9=FIT!$E$1,Tim!BF9,"")</f>
        <v/>
      </c>
      <c r="BF7" s="185" t="str">
        <f>IF(Tim!BG9=FIT!$E$1,Tim!BG9,"")</f>
        <v/>
      </c>
      <c r="BG7" s="185" t="str">
        <f>IF(Tim!BH9=FIT!$E$1,Tim!BH9,"")</f>
        <v/>
      </c>
      <c r="BH7" s="185" t="str">
        <f>IF(Tim!BI9=FIT!$E$1,Tim!BI9,"")</f>
        <v/>
      </c>
      <c r="BI7" s="185" t="str">
        <f>IF(Tim!BJ9=FIT!$E$1,Tim!BJ9,"")</f>
        <v/>
      </c>
      <c r="BJ7" s="185" t="str">
        <f>IF(Tim!BK9=FIT!$E$1,Tim!BK9,"")</f>
        <v/>
      </c>
      <c r="BK7" s="185" t="str">
        <f>IF(Tim!BL9=FIT!$E$1,Tim!BL9,"")</f>
        <v/>
      </c>
      <c r="BL7" s="185" t="str">
        <f>IF(Tim!BM9=FIT!$E$1,Tim!BM9,"")</f>
        <v/>
      </c>
      <c r="BM7" s="185" t="str">
        <f>IF(Tim!BN9=FIT!$E$1,Tim!BN9,"")</f>
        <v/>
      </c>
      <c r="BN7" s="185" t="str">
        <f>IF(Tim!BO9=FIT!$E$1,Tim!BO9,"")</f>
        <v/>
      </c>
      <c r="BO7" s="185" t="str">
        <f>IF(Tim!BP9=FIT!$E$1,Tim!BP9,"")</f>
        <v/>
      </c>
      <c r="BP7" s="185" t="str">
        <f>IF(Tim!BQ9=FIT!$E$1,Tim!BQ9,"")</f>
        <v/>
      </c>
      <c r="BQ7" s="185" t="str">
        <f>IF(Tim!BR9=FIT!$E$1,Tim!BR9,"")</f>
        <v/>
      </c>
      <c r="BR7" s="185" t="str">
        <f>IF(Tim!BS9=FIT!$E$1,Tim!BS9,"")</f>
        <v/>
      </c>
      <c r="BS7" s="185" t="str">
        <f>IF(Tim!BT9=FIT!$E$1,Tim!BT9,"")</f>
        <v/>
      </c>
      <c r="BT7" s="185" t="str">
        <f>IF(Tim!BU9=FIT!$E$1,Tim!BU9,"")</f>
        <v/>
      </c>
      <c r="BU7" s="185" t="str">
        <f>IF(Tim!BV9=FIT!$E$1,Tim!BV9,"")</f>
        <v/>
      </c>
      <c r="BV7" s="185" t="str">
        <f>IF(Tim!BW9=FIT!$E$1,Tim!BW9,"")</f>
        <v/>
      </c>
      <c r="BW7" s="185" t="str">
        <f>IF(Tim!BX9=FIT!$E$1,Tim!BX9,"")</f>
        <v/>
      </c>
      <c r="BX7" s="185" t="str">
        <f>IF(Tim!BY9=FIT!$E$1,Tim!BY9,"")</f>
        <v/>
      </c>
      <c r="BY7" s="185" t="str">
        <f>IF(Tim!BZ9=FIT!$E$1,Tim!BZ9,"")</f>
        <v/>
      </c>
      <c r="BZ7" s="185" t="str">
        <f>IF(Tim!CA9=FIT!$E$1,Tim!CA9,"")</f>
        <v/>
      </c>
      <c r="CA7" s="185" t="str">
        <f>IF(Tim!CB9=FIT!$E$1,Tim!CB9,"")</f>
        <v/>
      </c>
      <c r="CB7" s="185" t="str">
        <f>IF(Tim!CC9=FIT!$E$1,Tim!CC9,"")</f>
        <v/>
      </c>
      <c r="CC7" s="185" t="str">
        <f>IF(Tim!CD9=FIT!$E$1,Tim!CD9,"")</f>
        <v/>
      </c>
      <c r="CD7" s="185" t="str">
        <f>IF(Tim!CE9=FIT!$E$1,Tim!CE9,"")</f>
        <v/>
      </c>
      <c r="CE7" s="185" t="str">
        <f>IF(Tim!CF9=FIT!$E$1,Tim!CF9,"")</f>
        <v/>
      </c>
      <c r="CF7" s="185" t="str">
        <f>IF(Tim!CG9=FIT!$E$1,Tim!CG9,"")</f>
        <v/>
      </c>
      <c r="CG7" s="185" t="str">
        <f>IF(Tim!CH9=FIT!$E$1,Tim!CH9,"")</f>
        <v/>
      </c>
      <c r="CH7" s="185" t="str">
        <f>IF(Tim!CI9=FIT!$E$1,Tim!CI9,"")</f>
        <v/>
      </c>
      <c r="CI7" s="185" t="str">
        <f>IF(Tim!CJ9=FIT!$E$1,Tim!CJ9,"")</f>
        <v/>
      </c>
      <c r="CJ7" s="185" t="str">
        <f>IF(Tim!CK9=FIT!$E$1,Tim!CK9,"")</f>
        <v/>
      </c>
      <c r="CK7" s="185" t="str">
        <f>IF(Tim!CL9=FIT!$E$1,Tim!CL9,"")</f>
        <v/>
      </c>
      <c r="CL7" s="185" t="str">
        <f>IF(Tim!CM9=FIT!$E$1,Tim!CM9,"")</f>
        <v/>
      </c>
      <c r="CM7" s="185" t="str">
        <f>IF(Tim!CN9=FIT!$E$1,Tim!CN9,"")</f>
        <v/>
      </c>
      <c r="CN7" s="185" t="str">
        <f>IF(Tim!CO9=FIT!$E$1,Tim!CO9,"")</f>
        <v/>
      </c>
      <c r="CO7" s="185" t="str">
        <f>IF(Tim!CP9=FIT!$E$1,Tim!CP9,"")</f>
        <v/>
      </c>
      <c r="CP7" s="185" t="str">
        <f>IF(Tim!CQ9=FIT!$E$1,Tim!CQ9,"")</f>
        <v/>
      </c>
      <c r="CQ7" s="185" t="str">
        <f>IF(Tim!CR9=FIT!$E$1,Tim!CR9,"")</f>
        <v/>
      </c>
      <c r="CR7" s="185" t="str">
        <f>IF(Tim!CS9=FIT!$E$1,Tim!CS9,"")</f>
        <v/>
      </c>
      <c r="CS7" s="185" t="str">
        <f>IF(Tim!CT9=FIT!$E$1,Tim!CT9,"")</f>
        <v/>
      </c>
      <c r="CT7" s="185" t="str">
        <f>IF(Tim!CU9=FIT!$E$1,Tim!CU9,"")</f>
        <v/>
      </c>
      <c r="CU7" s="185" t="str">
        <f>IF(Tim!CV9=FIT!$E$1,Tim!CV9,"")</f>
        <v/>
      </c>
      <c r="CV7" s="185" t="str">
        <f>IF(Tim!CW9=FIT!$E$1,Tim!CW9,"")</f>
        <v/>
      </c>
      <c r="CW7" s="185" t="str">
        <f>IF(Tim!CX9=FIT!$E$1,Tim!CX9,"")</f>
        <v/>
      </c>
      <c r="CX7" s="185" t="str">
        <f>IF(Tim!CY9=FIT!$E$1,Tim!CY9,"")</f>
        <v/>
      </c>
      <c r="CY7" s="185" t="str">
        <f>IF(Tim!CZ9=FIT!$E$1,Tim!CZ9,"")</f>
        <v/>
      </c>
      <c r="CZ7" s="185" t="str">
        <f>IF(Tim!DA9=FIT!$E$1,Tim!DA9,"")</f>
        <v/>
      </c>
      <c r="DA7" s="185" t="str">
        <f>IF(Tim!DB9=FIT!$E$1,Tim!DB9,"")</f>
        <v/>
      </c>
      <c r="DB7" s="185" t="str">
        <f>IF(Tim!DC9=FIT!$E$1,Tim!DC9,"")</f>
        <v/>
      </c>
      <c r="DC7" s="185" t="str">
        <f>IF(Tim!DD9=FIT!$E$1,Tim!DD9,"")</f>
        <v/>
      </c>
      <c r="DD7" s="185" t="str">
        <f>IF(Tim!DE9=FIT!$E$1,Tim!DE9,"")</f>
        <v/>
      </c>
      <c r="DE7" s="185" t="str">
        <f>IF(Tim!DF9=FIT!$E$1,Tim!DF9,"")</f>
        <v/>
      </c>
      <c r="DF7" s="185" t="str">
        <f>IF(Tim!DG9=FIT!$E$1,Tim!DG9,"")</f>
        <v/>
      </c>
      <c r="DG7" s="185" t="str">
        <f>IF(Tim!DH9=FIT!$E$1,Tim!DH9,"")</f>
        <v/>
      </c>
      <c r="DH7" s="185" t="str">
        <f>IF(Tim!DI9=FIT!$E$1,Tim!DI9,"")</f>
        <v/>
      </c>
      <c r="DI7" s="185" t="str">
        <f>IF(Tim!DM9=FIT!$E$1,Tim!DM9,"")</f>
        <v/>
      </c>
      <c r="DJ7" s="185" t="str">
        <f>IF(Tim!DN9=FIT!$E$1,Tim!DN9,"")</f>
        <v/>
      </c>
      <c r="DK7" s="185" t="str">
        <f>IF(Tim!DO9=FIT!$E$1,Tim!DO9,"")</f>
        <v/>
      </c>
      <c r="DL7" s="185" t="str">
        <f>IF(Tim!DP9=FIT!$E$1,Tim!DP9,"")</f>
        <v/>
      </c>
      <c r="DM7" s="185" t="str">
        <f>IF(Tim!DQ9=FIT!$E$1,Tim!DQ9,"")</f>
        <v/>
      </c>
      <c r="DN7" s="185" t="str">
        <f>IF(Tim!DR9=FIT!$E$1,Tim!DR9,"")</f>
        <v/>
      </c>
      <c r="DO7" s="185" t="str">
        <f>IF(Tim!DS9=FIT!$E$1,Tim!DS9,"")</f>
        <v/>
      </c>
      <c r="DP7" s="185" t="str">
        <f>IF(Tim!DT9=FIT!$E$1,Tim!DT9,"")</f>
        <v/>
      </c>
      <c r="DQ7" s="185" t="str">
        <f>IF(Tim!DU9=FIT!$E$1,Tim!DU9,"")</f>
        <v/>
      </c>
      <c r="DR7" s="185" t="str">
        <f>IF(Tim!DV9=FIT!$E$1,Tim!DV9,"")</f>
        <v/>
      </c>
      <c r="DS7" s="185" t="str">
        <f>IF(Tim!DW9=FIT!$E$1,Tim!DW9,"")</f>
        <v/>
      </c>
      <c r="DT7" s="185" t="str">
        <f>IF(Tim!DX9=FIT!$E$1,Tim!DX9,"")</f>
        <v/>
      </c>
      <c r="DU7" s="185" t="str">
        <f>IF(Tim!DY9=FIT!$E$1,Tim!DY9,"")</f>
        <v/>
      </c>
      <c r="DV7" s="185" t="str">
        <f>IF(Tim!DZ9=FIT!$E$1,Tim!DZ9,"")</f>
        <v/>
      </c>
      <c r="DW7" s="185" t="str">
        <f>IF(Tim!EA9=FIT!$E$1,Tim!EA9,"")</f>
        <v/>
      </c>
      <c r="DX7" s="185" t="str">
        <f>IF(Tim!EB9=FIT!$E$1,Tim!EB9,"")</f>
        <v/>
      </c>
      <c r="DY7" s="185" t="str">
        <f>IF(Tim!EC9=FIT!$E$1,Tim!EC9,"")</f>
        <v/>
      </c>
      <c r="DZ7" s="185" t="str">
        <f>IF(Tim!ED9=FIT!$E$1,Tim!ED9,"")</f>
        <v/>
      </c>
      <c r="EA7" s="185" t="str">
        <f>IF(Tim!EE9=FIT!$E$1,Tim!EE9,"")</f>
        <v/>
      </c>
      <c r="EB7" s="185" t="str">
        <f>IF(Tim!EF9=FIT!$E$1,Tim!EF9,"")</f>
        <v/>
      </c>
      <c r="EC7" s="185" t="str">
        <f>IF(Tim!EG9=FIT!$E$1,Tim!EG9,"")</f>
        <v/>
      </c>
      <c r="ED7" s="185" t="str">
        <f>IF(Tim!EH9=FIT!$E$1,Tim!EH9,"")</f>
        <v/>
      </c>
      <c r="EE7" s="185" t="str">
        <f>IF(Tim!EI9=FIT!$E$1,Tim!EI9,"")</f>
        <v/>
      </c>
      <c r="EF7" s="185" t="str">
        <f>IF(Tim!EJ9=FIT!$E$1,Tim!EJ9,"")</f>
        <v/>
      </c>
      <c r="EG7" s="185" t="str">
        <f>IF(Tim!EK9=FIT!$E$1,Tim!EK9,"")</f>
        <v/>
      </c>
      <c r="EH7" s="185" t="str">
        <f>IF(Tim!EL9=FIT!$E$1,Tim!EL9,"")</f>
        <v/>
      </c>
      <c r="EI7" s="185" t="str">
        <f>IF(Tim!EM9=FIT!$E$1,Tim!EM9,"")</f>
        <v/>
      </c>
      <c r="EJ7" s="185" t="str">
        <f>IF(Tim!EN9=FIT!$E$1,Tim!EN9,"")</f>
        <v/>
      </c>
      <c r="EK7" s="185" t="str">
        <f>IF(Tim!EO9=FIT!$E$1,Tim!EO9,"")</f>
        <v/>
      </c>
      <c r="EL7" s="185" t="str">
        <f>IF(Tim!EP9=FIT!$E$1,Tim!EP9,"")</f>
        <v/>
      </c>
      <c r="EM7" s="185" t="str">
        <f>IF(Tim!EQ9=FIT!$E$1,Tim!EQ9,"")</f>
        <v/>
      </c>
      <c r="EN7" s="185" t="str">
        <f>IF(Tim!ER9=FIT!$E$1,Tim!ER9,"")</f>
        <v/>
      </c>
      <c r="EO7" s="185" t="str">
        <f>IF(Tim!ES9=FIT!$E$1,Tim!ES9,"")</f>
        <v/>
      </c>
      <c r="EP7" s="185" t="str">
        <f>IF(Tim!ET9=FIT!$E$1,Tim!ET9,"")</f>
        <v/>
      </c>
      <c r="EQ7" s="185" t="str">
        <f>IF(Tim!EU9=FIT!$E$1,Tim!EU9,"")</f>
        <v/>
      </c>
      <c r="ER7" s="185" t="str">
        <f>IF(Tim!EV9=FIT!$E$1,Tim!EV9,"")</f>
        <v/>
      </c>
      <c r="ES7" s="185" t="str">
        <f>IF(Tim!EW9=FIT!$E$1,Tim!EW9,"")</f>
        <v/>
      </c>
      <c r="ET7" s="185" t="str">
        <f>IF(Tim!EX9=FIT!$E$1,Tim!EX9,"")</f>
        <v/>
      </c>
      <c r="EU7" s="185" t="str">
        <f>IF(Tim!EY9=FIT!$E$1,Tim!EY9,"")</f>
        <v/>
      </c>
      <c r="EV7" s="185" t="str">
        <f>IF(Tim!EZ9=FIT!$E$1,Tim!EZ9,"")</f>
        <v/>
      </c>
      <c r="EW7" s="185" t="str">
        <f>IF(Tim!FA9=FIT!$E$1,Tim!FA9,"")</f>
        <v/>
      </c>
      <c r="EX7" s="185" t="str">
        <f>IF(Tim!FB9=FIT!$E$1,Tim!FB9,"")</f>
        <v/>
      </c>
      <c r="EY7" s="185" t="str">
        <f>IF(Tim!FC9=FIT!$E$1,Tim!FC9,"")</f>
        <v/>
      </c>
      <c r="EZ7" s="185" t="str">
        <f>IF(Tim!FD9=FIT!$E$1,Tim!FD9,"")</f>
        <v/>
      </c>
      <c r="FA7" s="185" t="str">
        <f>IF(Tim!FE9=FIT!$E$1,Tim!FE9,"")</f>
        <v/>
      </c>
      <c r="FB7" s="185" t="str">
        <f>IF(Tim!FF9=FIT!$E$1,Tim!FF9,"")</f>
        <v/>
      </c>
      <c r="FC7" s="185" t="str">
        <f>IF(Tim!FG9=FIT!$E$1,Tim!FG9,"")</f>
        <v/>
      </c>
      <c r="FD7" s="185" t="str">
        <f>IF(Tim!FH9=FIT!$E$1,Tim!FH9,"")</f>
        <v/>
      </c>
      <c r="FE7" s="185" t="str">
        <f>IF(Tim!FI9=FIT!$E$1,Tim!FI9,"")</f>
        <v/>
      </c>
      <c r="FF7" s="185" t="str">
        <f>IF(Tim!FJ9=FIT!$E$1,Tim!FJ9,"")</f>
        <v/>
      </c>
      <c r="FG7" s="185" t="str">
        <f>IF(Tim!FK9=FIT!$E$1,Tim!FK9,"")</f>
        <v/>
      </c>
      <c r="FH7" s="185" t="str">
        <f>IF(Tim!FL9=FIT!$E$1,Tim!FL9,"")</f>
        <v/>
      </c>
      <c r="FI7" s="185" t="str">
        <f>IF(Tim!FM9=FIT!$E$1,Tim!FM9,"")</f>
        <v/>
      </c>
      <c r="FJ7" s="185" t="str">
        <f>IF(Tim!FN9=FIT!$E$1,Tim!FN9,"")</f>
        <v/>
      </c>
      <c r="FK7" s="185" t="str">
        <f>IF(Tim!FO9=FIT!$E$1,Tim!FO9,"")</f>
        <v/>
      </c>
      <c r="FL7" s="185" t="str">
        <f>IF(Tim!FP9=FIT!$E$1,Tim!FP9,"")</f>
        <v/>
      </c>
      <c r="FM7" s="185" t="str">
        <f>IF(Tim!FQ9=FIT!$E$1,Tim!FQ9,"")</f>
        <v/>
      </c>
      <c r="FN7" s="185" t="str">
        <f>IF(Tim!FR9=FIT!$E$1,Tim!FR9,"")</f>
        <v/>
      </c>
      <c r="FO7" s="185" t="str">
        <f>IF(Tim!FS9=FIT!$E$1,Tim!FS9,"")</f>
        <v/>
      </c>
      <c r="FP7" s="185" t="str">
        <f>IF(Tim!FT9=FIT!$E$1,Tim!FT9,"")</f>
        <v/>
      </c>
      <c r="FQ7" s="185" t="str">
        <f>IF(Tim!FU9=FIT!$E$1,Tim!FU9,"")</f>
        <v/>
      </c>
      <c r="FR7" s="185" t="str">
        <f>IF(Tim!FV9=FIT!$E$1,Tim!FV9,"")</f>
        <v/>
      </c>
      <c r="FS7" s="185" t="str">
        <f>IF(Tim!FW9=FIT!$E$1,Tim!FW9,"")</f>
        <v/>
      </c>
      <c r="FT7" s="185" t="str">
        <f>IF(Tim!FX9=FIT!$E$1,Tim!FX9,"")</f>
        <v/>
      </c>
      <c r="FU7" s="185" t="str">
        <f>IF(Tim!FY9=FIT!$E$1,Tim!FY9,"")</f>
        <v/>
      </c>
      <c r="FV7" s="185" t="str">
        <f>IF(Tim!FZ9=FIT!$E$1,Tim!FZ9,"")</f>
        <v/>
      </c>
      <c r="FW7" s="185" t="str">
        <f>IF(Tim!GA9=FIT!$E$1,Tim!GA9,"")</f>
        <v/>
      </c>
      <c r="FX7" s="185" t="str">
        <f>IF(Tim!GB9=FIT!$E$1,Tim!GB9,"")</f>
        <v/>
      </c>
      <c r="FY7" s="185" t="str">
        <f>IF(Tim!GC9=FIT!$E$1,Tim!GC9,"")</f>
        <v/>
      </c>
      <c r="FZ7" s="185" t="str">
        <f>IF(Tim!GD9=FIT!$E$1,Tim!GD9,"")</f>
        <v/>
      </c>
      <c r="GA7" s="185" t="str">
        <f>IF(Tim!GE9=FIT!$E$1,Tim!GE9,"")</f>
        <v/>
      </c>
      <c r="GB7" s="185" t="str">
        <f>IF(Tim!GF9=FIT!$E$1,Tim!GF9,"")</f>
        <v/>
      </c>
      <c r="GC7" s="185" t="str">
        <f>IF(Tim!GG9=FIT!$E$1,Tim!GG9,"")</f>
        <v/>
      </c>
      <c r="GD7" s="185" t="str">
        <f>IF(Tim!GH9=FIT!$E$1,Tim!GH9,"")</f>
        <v/>
      </c>
      <c r="GE7" s="185" t="str">
        <f>IF(Tim!GI9=FIT!$E$1,Tim!GI9,"")</f>
        <v/>
      </c>
      <c r="GF7" s="185" t="str">
        <f>IF(Tim!GJ9=FIT!$E$1,Tim!GJ9,"")</f>
        <v/>
      </c>
      <c r="GG7" s="185" t="str">
        <f>IF(Tim!GK9=FIT!$E$1,Tim!GK9,"")</f>
        <v/>
      </c>
      <c r="GH7" s="185" t="str">
        <f>IF(Tim!GL9=FIT!$E$1,Tim!GL9,"")</f>
        <v/>
      </c>
      <c r="GI7" s="185" t="str">
        <f>IF(Tim!GM9=FIT!$E$1,Tim!GM9,"")</f>
        <v/>
      </c>
      <c r="GJ7" s="185" t="str">
        <f>IF(Tim!GN9=FIT!$E$1,Tim!GN9,"")</f>
        <v/>
      </c>
      <c r="GK7" s="185" t="str">
        <f>IF(Tim!GO9=FIT!$E$1,Tim!GO9,"")</f>
        <v/>
      </c>
      <c r="GL7" s="185" t="str">
        <f>IF(Tim!GP9=FIT!$E$1,Tim!GP9,"")</f>
        <v/>
      </c>
      <c r="GM7" s="185" t="str">
        <f>IF(Tim!GQ9=FIT!$E$1,Tim!GQ9,"")</f>
        <v/>
      </c>
      <c r="GN7" s="185" t="str">
        <f>IF(Tim!GR9=FIT!$E$1,Tim!GR9,"")</f>
        <v/>
      </c>
      <c r="GO7" s="185" t="str">
        <f>IF(Tim!GS9=FIT!$E$1,Tim!GS9,"")</f>
        <v/>
      </c>
      <c r="GP7" s="185" t="str">
        <f>IF(Tim!GT9=FIT!$E$1,Tim!GT9,"")</f>
        <v/>
      </c>
      <c r="GQ7" s="185" t="str">
        <f>IF(Tim!GU9=FIT!$E$1,Tim!GU9,"")</f>
        <v/>
      </c>
      <c r="GR7" s="185" t="str">
        <f>IF(Tim!GV9=FIT!$E$1,Tim!GV9,"")</f>
        <v/>
      </c>
      <c r="GS7" s="185" t="str">
        <f>IF(Tim!GW9=FIT!$E$1,Tim!GW9,"")</f>
        <v/>
      </c>
      <c r="GT7" s="185" t="str">
        <f>IF(Tim!GX9=FIT!$E$1,Tim!GX9,"")</f>
        <v/>
      </c>
      <c r="GU7" s="185" t="str">
        <f>IF(Tim!GY9=FIT!$E$1,Tim!GY9,"")</f>
        <v/>
      </c>
      <c r="GV7" s="185" t="str">
        <f>IF(Tim!GZ9=FIT!$E$1,Tim!GZ9,"")</f>
        <v/>
      </c>
      <c r="GW7" s="185" t="str">
        <f>IF(Tim!HA9=FIT!$E$1,Tim!HA9,"")</f>
        <v/>
      </c>
      <c r="GX7" s="185" t="str">
        <f>IF(Tim!HB9=FIT!$E$1,Tim!HB9,"")</f>
        <v/>
      </c>
      <c r="GY7" s="185" t="str">
        <f>IF(Tim!HC9=FIT!$E$1,Tim!HC9,"")</f>
        <v/>
      </c>
      <c r="GZ7" s="185" t="str">
        <f>IF(Tim!HD9=FIT!$E$1,Tim!HD9,"")</f>
        <v/>
      </c>
      <c r="HA7" s="185" t="str">
        <f>IF(Tim!HE9=FIT!$E$1,Tim!HE9,"")</f>
        <v/>
      </c>
      <c r="HB7" s="185" t="str">
        <f>IF(Tim!HF9=FIT!$E$1,Tim!HF9,"")</f>
        <v/>
      </c>
      <c r="HC7" s="185" t="str">
        <f>IF(Tim!HG9=FIT!$E$1,Tim!HG9,"")</f>
        <v/>
      </c>
      <c r="HD7" s="185" t="str">
        <f>IF(Tim!HH9=FIT!$E$1,Tim!HH9,"")</f>
        <v/>
      </c>
      <c r="HE7" s="185" t="str">
        <f>IF(Tim!HI9=FIT!$E$1,Tim!HI9,"")</f>
        <v/>
      </c>
      <c r="HF7" s="185" t="str">
        <f>IF(Tim!HJ9=FIT!$E$1,Tim!HJ9,"")</f>
        <v/>
      </c>
      <c r="HG7" s="185" t="str">
        <f>IF(Tim!HK9=FIT!$E$1,Tim!HK9,"")</f>
        <v/>
      </c>
      <c r="HH7" s="185" t="str">
        <f>IF(Tim!HL9=FIT!$E$1,Tim!HL9,"")</f>
        <v/>
      </c>
      <c r="HI7" s="185" t="str">
        <f>IF(Tim!HM9=FIT!$E$1,Tim!HM9,"")</f>
        <v/>
      </c>
      <c r="HJ7" s="185" t="str">
        <f>IF(Tim!HN9=FIT!$E$1,Tim!HN9,"")</f>
        <v/>
      </c>
      <c r="HK7" s="185" t="str">
        <f>IF(Tim!HO9=FIT!$E$1,Tim!HO9,"")</f>
        <v/>
      </c>
      <c r="HL7" s="185" t="str">
        <f>IF(Tim!HP9=FIT!$E$1,Tim!HP9,"")</f>
        <v/>
      </c>
      <c r="HM7" s="185" t="str">
        <f>IF(Tim!HQ9=FIT!$E$1,Tim!HQ9,"")</f>
        <v/>
      </c>
      <c r="HN7" s="185" t="str">
        <f>IF(Tim!HR9=FIT!$E$1,Tim!HR9,"")</f>
        <v/>
      </c>
      <c r="HO7" s="185" t="str">
        <f>IF(Tim!HS9=FIT!$E$1,Tim!HS9,"")</f>
        <v/>
      </c>
      <c r="HP7" s="185" t="str">
        <f>IF(Tim!HT9=FIT!$E$1,Tim!HT9,"")</f>
        <v/>
      </c>
      <c r="HQ7" s="185" t="str">
        <f>IF(Tim!HU9=FIT!$E$1,Tim!HU9,"")</f>
        <v/>
      </c>
      <c r="HR7" s="469"/>
      <c r="HS7" s="366"/>
      <c r="HT7" s="366"/>
      <c r="HU7" s="366"/>
      <c r="HV7" s="366"/>
      <c r="HW7" s="366"/>
      <c r="HX7" s="366"/>
      <c r="HY7" s="366"/>
      <c r="HZ7" s="366"/>
      <c r="IA7" s="366"/>
      <c r="IB7" s="366"/>
      <c r="IC7" s="366"/>
      <c r="ID7" s="366"/>
      <c r="IE7" s="366"/>
      <c r="IF7" s="366"/>
      <c r="IG7" s="366"/>
      <c r="IH7" s="366"/>
      <c r="II7" s="366"/>
      <c r="IJ7" s="366"/>
      <c r="IK7" s="366"/>
      <c r="IL7" s="366"/>
      <c r="IM7" s="366"/>
      <c r="IN7" s="366"/>
      <c r="IO7" s="366"/>
      <c r="IP7" s="366"/>
      <c r="IQ7" s="366"/>
      <c r="IR7" s="366"/>
      <c r="IS7" s="366"/>
      <c r="IT7" s="366"/>
      <c r="IU7" s="366"/>
      <c r="IV7" s="366"/>
      <c r="IW7" s="366"/>
      <c r="IX7" s="366"/>
      <c r="IY7" s="366"/>
      <c r="IZ7" s="366"/>
      <c r="JA7" s="366"/>
      <c r="JB7" s="366"/>
      <c r="JC7" s="366"/>
      <c r="JD7" s="366"/>
      <c r="JE7" s="366"/>
      <c r="JF7" s="366"/>
      <c r="JG7" s="366"/>
      <c r="JH7" s="366"/>
      <c r="JI7" s="428"/>
      <c r="JJ7" s="469"/>
      <c r="JK7" s="366"/>
      <c r="JL7" s="366"/>
      <c r="JM7" s="366"/>
      <c r="JN7" s="366"/>
      <c r="JO7" s="366"/>
      <c r="JP7" s="366"/>
      <c r="JQ7" s="366"/>
      <c r="JR7" s="366"/>
      <c r="JS7" s="366"/>
      <c r="JT7" s="366"/>
      <c r="JU7" s="366"/>
      <c r="JV7" s="366"/>
      <c r="JW7" s="366"/>
      <c r="JX7" s="366"/>
      <c r="JY7" s="366"/>
      <c r="JZ7" s="366"/>
      <c r="KA7" s="366"/>
      <c r="KB7" s="366"/>
      <c r="KC7" s="366"/>
      <c r="KD7" s="366"/>
      <c r="KE7" s="366"/>
      <c r="KF7" s="366"/>
      <c r="KG7" s="366"/>
      <c r="KH7" s="366"/>
      <c r="KI7" s="366"/>
      <c r="KJ7" s="366"/>
      <c r="KK7" s="366"/>
      <c r="KL7" s="366"/>
      <c r="KM7" s="366"/>
      <c r="KN7" s="366"/>
      <c r="KO7" s="366"/>
      <c r="KP7" s="366"/>
      <c r="KQ7" s="366"/>
      <c r="KR7" s="366"/>
      <c r="KS7" s="366"/>
      <c r="KT7" s="366"/>
      <c r="KU7" s="366"/>
      <c r="KV7" s="366"/>
      <c r="KW7" s="366"/>
      <c r="KX7" s="366"/>
      <c r="KY7" s="366"/>
      <c r="KZ7" s="366"/>
      <c r="LA7" s="428"/>
      <c r="LB7" s="52">
        <v>0.3125</v>
      </c>
    </row>
    <row r="8" spans="2:314" ht="10.5" customHeight="1">
      <c r="B8" s="49">
        <v>0.25</v>
      </c>
      <c r="C8" s="49">
        <v>0.25</v>
      </c>
      <c r="D8" s="49">
        <v>0.25</v>
      </c>
      <c r="E8" s="172">
        <v>0.32291666666666702</v>
      </c>
      <c r="F8" s="238" t="str">
        <f>IF(Tim!F10=FIT!$E$1,Tim!F10,"")</f>
        <v/>
      </c>
      <c r="G8" s="185" t="str">
        <f>IF(Tim!G10=FIT!$E$1,Tim!G10,"")</f>
        <v/>
      </c>
      <c r="H8" s="185" t="str">
        <f>IF(Tim!H10=FIT!$E$1,Tim!H10,"")</f>
        <v/>
      </c>
      <c r="I8" s="185" t="str">
        <f>IF(Tim!I10=FIT!$E$1,Tim!I10,"")</f>
        <v/>
      </c>
      <c r="J8" s="185" t="str">
        <f>IF(Tim!J10=FIT!$E$1,Tim!J10,"")</f>
        <v/>
      </c>
      <c r="K8" s="185" t="str">
        <f>IF(Tim!K10=FIT!$E$1,Tim!K10,"")</f>
        <v/>
      </c>
      <c r="L8" s="185" t="str">
        <f>IF(Tim!L10=FIT!$E$1,Tim!L10,"")</f>
        <v/>
      </c>
      <c r="M8" s="185" t="str">
        <f>IF(Tim!M10=FIT!$E$1,Tim!M10,"")</f>
        <v/>
      </c>
      <c r="N8" s="185" t="str">
        <f>IF(Tim!N10=FIT!$E$1,Tim!N10,"")</f>
        <v/>
      </c>
      <c r="O8" s="185" t="str">
        <f>IF(Tim!O10=FIT!$E$1,Tim!O10,"")</f>
        <v/>
      </c>
      <c r="P8" s="185" t="str">
        <f>IF(Tim!P10=FIT!$E$1,Tim!P10,"")</f>
        <v/>
      </c>
      <c r="Q8" s="185" t="str">
        <f>IF(Tim!Q10=FIT!$E$1,Tim!Q10,"")</f>
        <v/>
      </c>
      <c r="R8" s="185" t="str">
        <f>IF(Tim!R10=FIT!$E$1,Tim!R10,"")</f>
        <v/>
      </c>
      <c r="S8" s="185" t="str">
        <f>IF(Tim!S10=FIT!$E$1,Tim!S10,"")</f>
        <v/>
      </c>
      <c r="T8" s="185" t="str">
        <f>IF(Tim!T10=FIT!$E$1,Tim!T10,"")</f>
        <v/>
      </c>
      <c r="U8" s="185" t="str">
        <f>IF(Tim!U10=FIT!$E$1,Tim!U10,"")</f>
        <v/>
      </c>
      <c r="V8" s="185" t="str">
        <f>IF(Tim!W10=FIT!$E$1,Tim!W10,"")</f>
        <v/>
      </c>
      <c r="W8" s="185" t="str">
        <f>IF(Tim!X10=FIT!$E$1,Tim!X10,"")</f>
        <v/>
      </c>
      <c r="X8" s="185" t="str">
        <f>IF(Tim!Y10=FIT!$E$1,Tim!Y10,"")</f>
        <v/>
      </c>
      <c r="Y8" s="185" t="str">
        <f>IF(Tim!Z10=FIT!$E$1,Tim!Z10,"")</f>
        <v/>
      </c>
      <c r="Z8" s="185" t="str">
        <f>IF(Tim!AA10=FIT!$E$1,Tim!AA10,"")</f>
        <v/>
      </c>
      <c r="AA8" s="185" t="str">
        <f>IF(Tim!AB10=FIT!$E$1,Tim!AB10,"")</f>
        <v/>
      </c>
      <c r="AB8" s="185" t="str">
        <f>IF(Tim!AC10=FIT!$E$1,Tim!AC10,"")</f>
        <v/>
      </c>
      <c r="AC8" s="185" t="str">
        <f>IF(Tim!AD10=FIT!$E$1,Tim!AD10,"")</f>
        <v/>
      </c>
      <c r="AD8" s="185" t="str">
        <f>IF(Tim!AE10=FIT!$E$1,Tim!AE10,"")</f>
        <v/>
      </c>
      <c r="AE8" s="185" t="str">
        <f>IF(Tim!AF10=FIT!$E$1,Tim!AF10,"")</f>
        <v/>
      </c>
      <c r="AF8" s="185" t="str">
        <f>IF(Tim!AG10=FIT!$E$1,Tim!AG10,"")</f>
        <v/>
      </c>
      <c r="AG8" s="185" t="str">
        <f>IF(Tim!AH10=FIT!$E$1,Tim!AH10,"")</f>
        <v/>
      </c>
      <c r="AH8" s="185" t="str">
        <f>IF(Tim!AI10=FIT!$E$1,Tim!AI10,"")</f>
        <v/>
      </c>
      <c r="AI8" s="185" t="str">
        <f>IF(Tim!AJ10=FIT!$E$1,Tim!AJ10,"")</f>
        <v/>
      </c>
      <c r="AJ8" s="185" t="str">
        <f>IF(Tim!AK10=FIT!$E$1,Tim!AK10,"")</f>
        <v/>
      </c>
      <c r="AK8" s="185" t="str">
        <f>IF(Tim!AL10=FIT!$E$1,Tim!AL10,"")</f>
        <v/>
      </c>
      <c r="AL8" s="185" t="str">
        <f>IF(Tim!AM10=FIT!$E$1,Tim!AM10,"")</f>
        <v/>
      </c>
      <c r="AM8" s="185" t="str">
        <f>IF(Tim!AN10=FIT!$E$1,Tim!AN10,"")</f>
        <v/>
      </c>
      <c r="AN8" s="185" t="str">
        <f>IF(Tim!AO10=FIT!$E$1,Tim!AO10,"")</f>
        <v/>
      </c>
      <c r="AO8" s="185" t="str">
        <f>IF(Tim!AP10=FIT!$E$1,Tim!AP10,"")</f>
        <v/>
      </c>
      <c r="AP8" s="185" t="str">
        <f>IF(Tim!AQ10=FIT!$E$1,Tim!AQ10,"")</f>
        <v/>
      </c>
      <c r="AQ8" s="185" t="str">
        <f>IF(Tim!AR10=FIT!$E$1,Tim!AR10,"")</f>
        <v/>
      </c>
      <c r="AR8" s="185" t="str">
        <f>IF(Tim!AS10=FIT!$E$1,Tim!AS10,"")</f>
        <v/>
      </c>
      <c r="AS8" s="185" t="str">
        <f>IF(Tim!AT10=FIT!$E$1,Tim!AT10,"")</f>
        <v/>
      </c>
      <c r="AT8" s="185" t="str">
        <f>IF(Tim!AU10=FIT!$E$1,Tim!AU10,"")</f>
        <v/>
      </c>
      <c r="AU8" s="185" t="str">
        <f>IF(Tim!AV10=FIT!$E$1,Tim!AV10,"")</f>
        <v/>
      </c>
      <c r="AV8" s="185" t="str">
        <f>IF(Tim!AW10=FIT!$E$1,Tim!AW10,"")</f>
        <v/>
      </c>
      <c r="AW8" s="186" t="str">
        <f>IF(Tim!AX10=FIT!$E$1,Tim!AX10,"")</f>
        <v/>
      </c>
      <c r="AX8" s="243" t="str">
        <f>IF(Tim!AY10=FIT!$E$1,Tim!AY10,"")</f>
        <v/>
      </c>
      <c r="AY8" s="185" t="str">
        <f>IF(Tim!AZ10=FIT!$E$1,Tim!AZ10,"")</f>
        <v/>
      </c>
      <c r="AZ8" s="185" t="str">
        <f>IF(Tim!BA10=FIT!$E$1,Tim!BA10,"")</f>
        <v/>
      </c>
      <c r="BA8" s="185" t="str">
        <f>IF(Tim!BB10=FIT!$E$1,Tim!BB10,"")</f>
        <v/>
      </c>
      <c r="BB8" s="185" t="str">
        <f>IF(Tim!BC10=FIT!$E$1,Tim!BC10,"")</f>
        <v/>
      </c>
      <c r="BC8" s="185" t="str">
        <f>IF(Tim!BD10=FIT!$E$1,Tim!BD10,"")</f>
        <v/>
      </c>
      <c r="BD8" s="185" t="str">
        <f>IF(Tim!BE10=FIT!$E$1,Tim!BE10,"")</f>
        <v/>
      </c>
      <c r="BE8" s="185" t="str">
        <f>IF(Tim!BF10=FIT!$E$1,Tim!BF10,"")</f>
        <v/>
      </c>
      <c r="BF8" s="185" t="str">
        <f>IF(Tim!BG10=FIT!$E$1,Tim!BG10,"")</f>
        <v/>
      </c>
      <c r="BG8" s="185" t="str">
        <f>IF(Tim!BH10=FIT!$E$1,Tim!BH10,"")</f>
        <v/>
      </c>
      <c r="BH8" s="185" t="str">
        <f>IF(Tim!BI10=FIT!$E$1,Tim!BI10,"")</f>
        <v/>
      </c>
      <c r="BI8" s="185" t="str">
        <f>IF(Tim!BJ10=FIT!$E$1,Tim!BJ10,"")</f>
        <v/>
      </c>
      <c r="BJ8" s="185" t="str">
        <f>IF(Tim!BK10=FIT!$E$1,Tim!BK10,"")</f>
        <v/>
      </c>
      <c r="BK8" s="185" t="str">
        <f>IF(Tim!BL10=FIT!$E$1,Tim!BL10,"")</f>
        <v/>
      </c>
      <c r="BL8" s="185" t="str">
        <f>IF(Tim!BM10=FIT!$E$1,Tim!BM10,"")</f>
        <v/>
      </c>
      <c r="BM8" s="185" t="str">
        <f>IF(Tim!BN10=FIT!$E$1,Tim!BN10,"")</f>
        <v/>
      </c>
      <c r="BN8" s="185" t="str">
        <f>IF(Tim!BO10=FIT!$E$1,Tim!BO10,"")</f>
        <v/>
      </c>
      <c r="BO8" s="185" t="str">
        <f>IF(Tim!BP10=FIT!$E$1,Tim!BP10,"")</f>
        <v/>
      </c>
      <c r="BP8" s="185" t="str">
        <f>IF(Tim!BQ10=FIT!$E$1,Tim!BQ10,"")</f>
        <v/>
      </c>
      <c r="BQ8" s="185" t="str">
        <f>IF(Tim!BR10=FIT!$E$1,Tim!BR10,"")</f>
        <v/>
      </c>
      <c r="BR8" s="185" t="str">
        <f>IF(Tim!BS10=FIT!$E$1,Tim!BS10,"")</f>
        <v/>
      </c>
      <c r="BS8" s="185" t="str">
        <f>IF(Tim!BT10=FIT!$E$1,Tim!BT10,"")</f>
        <v/>
      </c>
      <c r="BT8" s="185" t="str">
        <f>IF(Tim!BU10=FIT!$E$1,Tim!BU10,"")</f>
        <v/>
      </c>
      <c r="BU8" s="185" t="str">
        <f>IF(Tim!BV10=FIT!$E$1,Tim!BV10,"")</f>
        <v/>
      </c>
      <c r="BV8" s="185" t="str">
        <f>IF(Tim!BW10=FIT!$E$1,Tim!BW10,"")</f>
        <v/>
      </c>
      <c r="BW8" s="185" t="str">
        <f>IF(Tim!BX10=FIT!$E$1,Tim!BX10,"")</f>
        <v/>
      </c>
      <c r="BX8" s="185" t="str">
        <f>IF(Tim!BY10=FIT!$E$1,Tim!BY10,"")</f>
        <v/>
      </c>
      <c r="BY8" s="185" t="str">
        <f>IF(Tim!BZ10=FIT!$E$1,Tim!BZ10,"")</f>
        <v/>
      </c>
      <c r="BZ8" s="185" t="str">
        <f>IF(Tim!CA10=FIT!$E$1,Tim!CA10,"")</f>
        <v/>
      </c>
      <c r="CA8" s="185" t="str">
        <f>IF(Tim!CB10=FIT!$E$1,Tim!CB10,"")</f>
        <v/>
      </c>
      <c r="CB8" s="185" t="str">
        <f>IF(Tim!CC10=FIT!$E$1,Tim!CC10,"")</f>
        <v/>
      </c>
      <c r="CC8" s="185" t="str">
        <f>IF(Tim!CD10=FIT!$E$1,Tim!CD10,"")</f>
        <v/>
      </c>
      <c r="CD8" s="185" t="str">
        <f>IF(Tim!CE10=FIT!$E$1,Tim!CE10,"")</f>
        <v/>
      </c>
      <c r="CE8" s="185" t="str">
        <f>IF(Tim!CF10=FIT!$E$1,Tim!CF10,"")</f>
        <v/>
      </c>
      <c r="CF8" s="185" t="str">
        <f>IF(Tim!CG10=FIT!$E$1,Tim!CG10,"")</f>
        <v/>
      </c>
      <c r="CG8" s="185" t="str">
        <f>IF(Tim!CH10=FIT!$E$1,Tim!CH10,"")</f>
        <v/>
      </c>
      <c r="CH8" s="185" t="str">
        <f>IF(Tim!CI10=FIT!$E$1,Tim!CI10,"")</f>
        <v/>
      </c>
      <c r="CI8" s="185" t="str">
        <f>IF(Tim!CJ10=FIT!$E$1,Tim!CJ10,"")</f>
        <v/>
      </c>
      <c r="CJ8" s="185" t="str">
        <f>IF(Tim!CK10=FIT!$E$1,Tim!CK10,"")</f>
        <v/>
      </c>
      <c r="CK8" s="185" t="str">
        <f>IF(Tim!CL10=FIT!$E$1,Tim!CL10,"")</f>
        <v/>
      </c>
      <c r="CL8" s="185" t="str">
        <f>IF(Tim!CM10=FIT!$E$1,Tim!CM10,"")</f>
        <v/>
      </c>
      <c r="CM8" s="185" t="str">
        <f>IF(Tim!CN10=FIT!$E$1,Tim!CN10,"")</f>
        <v/>
      </c>
      <c r="CN8" s="185" t="str">
        <f>IF(Tim!CO10=FIT!$E$1,Tim!CO10,"")</f>
        <v/>
      </c>
      <c r="CO8" s="185" t="str">
        <f>IF(Tim!CP10=FIT!$E$1,Tim!CP10,"")</f>
        <v/>
      </c>
      <c r="CP8" s="185" t="str">
        <f>IF(Tim!CQ10=FIT!$E$1,Tim!CQ10,"")</f>
        <v/>
      </c>
      <c r="CQ8" s="185" t="str">
        <f>IF(Tim!CR10=FIT!$E$1,Tim!CR10,"")</f>
        <v/>
      </c>
      <c r="CR8" s="185" t="str">
        <f>IF(Tim!CS10=FIT!$E$1,Tim!CS10,"")</f>
        <v/>
      </c>
      <c r="CS8" s="185" t="str">
        <f>IF(Tim!CT10=FIT!$E$1,Tim!CT10,"")</f>
        <v/>
      </c>
      <c r="CT8" s="185" t="str">
        <f>IF(Tim!CU10=FIT!$E$1,Tim!CU10,"")</f>
        <v/>
      </c>
      <c r="CU8" s="185" t="str">
        <f>IF(Tim!CV10=FIT!$E$1,Tim!CV10,"")</f>
        <v/>
      </c>
      <c r="CV8" s="185" t="str">
        <f>IF(Tim!CW10=FIT!$E$1,Tim!CW10,"")</f>
        <v/>
      </c>
      <c r="CW8" s="185" t="str">
        <f>IF(Tim!CX10=FIT!$E$1,Tim!CX10,"")</f>
        <v/>
      </c>
      <c r="CX8" s="185" t="str">
        <f>IF(Tim!CY10=FIT!$E$1,Tim!CY10,"")</f>
        <v/>
      </c>
      <c r="CY8" s="185" t="str">
        <f>IF(Tim!CZ10=FIT!$E$1,Tim!CZ10,"")</f>
        <v/>
      </c>
      <c r="CZ8" s="185" t="str">
        <f>IF(Tim!DA10=FIT!$E$1,Tim!DA10,"")</f>
        <v/>
      </c>
      <c r="DA8" s="185" t="str">
        <f>IF(Tim!DB10=FIT!$E$1,Tim!DB10,"")</f>
        <v/>
      </c>
      <c r="DB8" s="185" t="str">
        <f>IF(Tim!DC10=FIT!$E$1,Tim!DC10,"")</f>
        <v/>
      </c>
      <c r="DC8" s="185" t="str">
        <f>IF(Tim!DD10=FIT!$E$1,Tim!DD10,"")</f>
        <v/>
      </c>
      <c r="DD8" s="185" t="str">
        <f>IF(Tim!DE10=FIT!$E$1,Tim!DE10,"")</f>
        <v/>
      </c>
      <c r="DE8" s="185" t="str">
        <f>IF(Tim!DF10=FIT!$E$1,Tim!DF10,"")</f>
        <v/>
      </c>
      <c r="DF8" s="185" t="str">
        <f>IF(Tim!DG10=FIT!$E$1,Tim!DG10,"")</f>
        <v/>
      </c>
      <c r="DG8" s="185" t="str">
        <f>IF(Tim!DH10=FIT!$E$1,Tim!DH10,"")</f>
        <v/>
      </c>
      <c r="DH8" s="185" t="str">
        <f>IF(Tim!DI10=FIT!$E$1,Tim!DI10,"")</f>
        <v/>
      </c>
      <c r="DI8" s="185" t="str">
        <f>IF(Tim!DM10=FIT!$E$1,Tim!DM10,"")</f>
        <v/>
      </c>
      <c r="DJ8" s="185" t="str">
        <f>IF(Tim!DN10=FIT!$E$1,Tim!DN10,"")</f>
        <v/>
      </c>
      <c r="DK8" s="185" t="str">
        <f>IF(Tim!DO10=FIT!$E$1,Tim!DO10,"")</f>
        <v/>
      </c>
      <c r="DL8" s="185" t="str">
        <f>IF(Tim!DP10=FIT!$E$1,Tim!DP10,"")</f>
        <v/>
      </c>
      <c r="DM8" s="185" t="str">
        <f>IF(Tim!DQ10=FIT!$E$1,Tim!DQ10,"")</f>
        <v/>
      </c>
      <c r="DN8" s="185" t="str">
        <f>IF(Tim!DR10=FIT!$E$1,Tim!DR10,"")</f>
        <v/>
      </c>
      <c r="DO8" s="185" t="str">
        <f>IF(Tim!DS10=FIT!$E$1,Tim!DS10,"")</f>
        <v/>
      </c>
      <c r="DP8" s="185" t="str">
        <f>IF(Tim!DT10=FIT!$E$1,Tim!DT10,"")</f>
        <v/>
      </c>
      <c r="DQ8" s="185" t="str">
        <f>IF(Tim!DU10=FIT!$E$1,Tim!DU10,"")</f>
        <v/>
      </c>
      <c r="DR8" s="185" t="str">
        <f>IF(Tim!DV10=FIT!$E$1,Tim!DV10,"")</f>
        <v/>
      </c>
      <c r="DS8" s="185" t="str">
        <f>IF(Tim!DW10=FIT!$E$1,Tim!DW10,"")</f>
        <v/>
      </c>
      <c r="DT8" s="185" t="str">
        <f>IF(Tim!DX10=FIT!$E$1,Tim!DX10,"")</f>
        <v/>
      </c>
      <c r="DU8" s="185" t="str">
        <f>IF(Tim!DY10=FIT!$E$1,Tim!DY10,"")</f>
        <v/>
      </c>
      <c r="DV8" s="185" t="str">
        <f>IF(Tim!DZ10=FIT!$E$1,Tim!DZ10,"")</f>
        <v/>
      </c>
      <c r="DW8" s="185" t="str">
        <f>IF(Tim!EA10=FIT!$E$1,Tim!EA10,"")</f>
        <v/>
      </c>
      <c r="DX8" s="185" t="str">
        <f>IF(Tim!EB10=FIT!$E$1,Tim!EB10,"")</f>
        <v/>
      </c>
      <c r="DY8" s="185" t="str">
        <f>IF(Tim!EC10=FIT!$E$1,Tim!EC10,"")</f>
        <v/>
      </c>
      <c r="DZ8" s="185" t="str">
        <f>IF(Tim!ED10=FIT!$E$1,Tim!ED10,"")</f>
        <v/>
      </c>
      <c r="EA8" s="185" t="str">
        <f>IF(Tim!EE10=FIT!$E$1,Tim!EE10,"")</f>
        <v/>
      </c>
      <c r="EB8" s="185" t="str">
        <f>IF(Tim!EF10=FIT!$E$1,Tim!EF10,"")</f>
        <v/>
      </c>
      <c r="EC8" s="185" t="str">
        <f>IF(Tim!EG10=FIT!$E$1,Tim!EG10,"")</f>
        <v/>
      </c>
      <c r="ED8" s="185" t="str">
        <f>IF(Tim!EH10=FIT!$E$1,Tim!EH10,"")</f>
        <v/>
      </c>
      <c r="EE8" s="185" t="str">
        <f>IF(Tim!EI10=FIT!$E$1,Tim!EI10,"")</f>
        <v/>
      </c>
      <c r="EF8" s="185" t="str">
        <f>IF(Tim!EJ10=FIT!$E$1,Tim!EJ10,"")</f>
        <v/>
      </c>
      <c r="EG8" s="185" t="str">
        <f>IF(Tim!EK10=FIT!$E$1,Tim!EK10,"")</f>
        <v/>
      </c>
      <c r="EH8" s="185" t="str">
        <f>IF(Tim!EL10=FIT!$E$1,Tim!EL10,"")</f>
        <v/>
      </c>
      <c r="EI8" s="185" t="str">
        <f>IF(Tim!EM10=FIT!$E$1,Tim!EM10,"")</f>
        <v/>
      </c>
      <c r="EJ8" s="185" t="str">
        <f>IF(Tim!EN10=FIT!$E$1,Tim!EN10,"")</f>
        <v/>
      </c>
      <c r="EK8" s="185" t="str">
        <f>IF(Tim!EO10=FIT!$E$1,Tim!EO10,"")</f>
        <v/>
      </c>
      <c r="EL8" s="185" t="str">
        <f>IF(Tim!EP10=FIT!$E$1,Tim!EP10,"")</f>
        <v/>
      </c>
      <c r="EM8" s="185" t="str">
        <f>IF(Tim!EQ10=FIT!$E$1,Tim!EQ10,"")</f>
        <v/>
      </c>
      <c r="EN8" s="185" t="str">
        <f>IF(Tim!ER10=FIT!$E$1,Tim!ER10,"")</f>
        <v/>
      </c>
      <c r="EO8" s="185" t="str">
        <f>IF(Tim!ES10=FIT!$E$1,Tim!ES10,"")</f>
        <v/>
      </c>
      <c r="EP8" s="185" t="str">
        <f>IF(Tim!ET10=FIT!$E$1,Tim!ET10,"")</f>
        <v/>
      </c>
      <c r="EQ8" s="185" t="str">
        <f>IF(Tim!EU10=FIT!$E$1,Tim!EU10,"")</f>
        <v/>
      </c>
      <c r="ER8" s="185" t="str">
        <f>IF(Tim!EV10=FIT!$E$1,Tim!EV10,"")</f>
        <v/>
      </c>
      <c r="ES8" s="185" t="str">
        <f>IF(Tim!EW10=FIT!$E$1,Tim!EW10,"")</f>
        <v/>
      </c>
      <c r="ET8" s="185" t="str">
        <f>IF(Tim!EX10=FIT!$E$1,Tim!EX10,"")</f>
        <v/>
      </c>
      <c r="EU8" s="185" t="str">
        <f>IF(Tim!EY10=FIT!$E$1,Tim!EY10,"")</f>
        <v/>
      </c>
      <c r="EV8" s="185" t="str">
        <f>IF(Tim!EZ10=FIT!$E$1,Tim!EZ10,"")</f>
        <v/>
      </c>
      <c r="EW8" s="185" t="str">
        <f>IF(Tim!FA10=FIT!$E$1,Tim!FA10,"")</f>
        <v/>
      </c>
      <c r="EX8" s="185" t="str">
        <f>IF(Tim!FB10=FIT!$E$1,Tim!FB10,"")</f>
        <v/>
      </c>
      <c r="EY8" s="185" t="str">
        <f>IF(Tim!FC10=FIT!$E$1,Tim!FC10,"")</f>
        <v/>
      </c>
      <c r="EZ8" s="185" t="str">
        <f>IF(Tim!FD10=FIT!$E$1,Tim!FD10,"")</f>
        <v/>
      </c>
      <c r="FA8" s="185" t="str">
        <f>IF(Tim!FE10=FIT!$E$1,Tim!FE10,"")</f>
        <v/>
      </c>
      <c r="FB8" s="185" t="str">
        <f>IF(Tim!FF10=FIT!$E$1,Tim!FF10,"")</f>
        <v/>
      </c>
      <c r="FC8" s="185" t="str">
        <f>IF(Tim!FG10=FIT!$E$1,Tim!FG10,"")</f>
        <v/>
      </c>
      <c r="FD8" s="185" t="str">
        <f>IF(Tim!FH10=FIT!$E$1,Tim!FH10,"")</f>
        <v/>
      </c>
      <c r="FE8" s="185" t="str">
        <f>IF(Tim!FI10=FIT!$E$1,Tim!FI10,"")</f>
        <v/>
      </c>
      <c r="FF8" s="185" t="str">
        <f>IF(Tim!FJ10=FIT!$E$1,Tim!FJ10,"")</f>
        <v/>
      </c>
      <c r="FG8" s="185" t="str">
        <f>IF(Tim!FK10=FIT!$E$1,Tim!FK10,"")</f>
        <v/>
      </c>
      <c r="FH8" s="185" t="str">
        <f>IF(Tim!FL10=FIT!$E$1,Tim!FL10,"")</f>
        <v/>
      </c>
      <c r="FI8" s="185" t="str">
        <f>IF(Tim!FM10=FIT!$E$1,Tim!FM10,"")</f>
        <v/>
      </c>
      <c r="FJ8" s="185" t="str">
        <f>IF(Tim!FN10=FIT!$E$1,Tim!FN10,"")</f>
        <v/>
      </c>
      <c r="FK8" s="185" t="str">
        <f>IF(Tim!FO10=FIT!$E$1,Tim!FO10,"")</f>
        <v/>
      </c>
      <c r="FL8" s="185" t="str">
        <f>IF(Tim!FP10=FIT!$E$1,Tim!FP10,"")</f>
        <v/>
      </c>
      <c r="FM8" s="185" t="str">
        <f>IF(Tim!FQ10=FIT!$E$1,Tim!FQ10,"")</f>
        <v/>
      </c>
      <c r="FN8" s="185" t="str">
        <f>IF(Tim!FR10=FIT!$E$1,Tim!FR10,"")</f>
        <v/>
      </c>
      <c r="FO8" s="185" t="str">
        <f>IF(Tim!FS10=FIT!$E$1,Tim!FS10,"")</f>
        <v/>
      </c>
      <c r="FP8" s="185" t="str">
        <f>IF(Tim!FT10=FIT!$E$1,Tim!FT10,"")</f>
        <v/>
      </c>
      <c r="FQ8" s="185" t="str">
        <f>IF(Tim!FU10=FIT!$E$1,Tim!FU10,"")</f>
        <v/>
      </c>
      <c r="FR8" s="185" t="str">
        <f>IF(Tim!FV10=FIT!$E$1,Tim!FV10,"")</f>
        <v/>
      </c>
      <c r="FS8" s="185" t="str">
        <f>IF(Tim!FW10=FIT!$E$1,Tim!FW10,"")</f>
        <v/>
      </c>
      <c r="FT8" s="185" t="str">
        <f>IF(Tim!FX10=FIT!$E$1,Tim!FX10,"")</f>
        <v/>
      </c>
      <c r="FU8" s="185" t="str">
        <f>IF(Tim!FY10=FIT!$E$1,Tim!FY10,"")</f>
        <v/>
      </c>
      <c r="FV8" s="185" t="str">
        <f>IF(Tim!FZ10=FIT!$E$1,Tim!FZ10,"")</f>
        <v/>
      </c>
      <c r="FW8" s="185" t="str">
        <f>IF(Tim!GA10=FIT!$E$1,Tim!GA10,"")</f>
        <v/>
      </c>
      <c r="FX8" s="185" t="str">
        <f>IF(Tim!GB10=FIT!$E$1,Tim!GB10,"")</f>
        <v/>
      </c>
      <c r="FY8" s="185" t="str">
        <f>IF(Tim!GC10=FIT!$E$1,Tim!GC10,"")</f>
        <v/>
      </c>
      <c r="FZ8" s="185" t="str">
        <f>IF(Tim!GD10=FIT!$E$1,Tim!GD10,"")</f>
        <v/>
      </c>
      <c r="GA8" s="185" t="str">
        <f>IF(Tim!GE10=FIT!$E$1,Tim!GE10,"")</f>
        <v/>
      </c>
      <c r="GB8" s="185" t="str">
        <f>IF(Tim!GF10=FIT!$E$1,Tim!GF10,"")</f>
        <v/>
      </c>
      <c r="GC8" s="185" t="str">
        <f>IF(Tim!GG10=FIT!$E$1,Tim!GG10,"")</f>
        <v/>
      </c>
      <c r="GD8" s="185" t="str">
        <f>IF(Tim!GH10=FIT!$E$1,Tim!GH10,"")</f>
        <v/>
      </c>
      <c r="GE8" s="185" t="str">
        <f>IF(Tim!GI10=FIT!$E$1,Tim!GI10,"")</f>
        <v/>
      </c>
      <c r="GF8" s="185" t="str">
        <f>IF(Tim!GJ10=FIT!$E$1,Tim!GJ10,"")</f>
        <v/>
      </c>
      <c r="GG8" s="185" t="str">
        <f>IF(Tim!GK10=FIT!$E$1,Tim!GK10,"")</f>
        <v/>
      </c>
      <c r="GH8" s="185" t="str">
        <f>IF(Tim!GL10=FIT!$E$1,Tim!GL10,"")</f>
        <v/>
      </c>
      <c r="GI8" s="185" t="str">
        <f>IF(Tim!GM10=FIT!$E$1,Tim!GM10,"")</f>
        <v/>
      </c>
      <c r="GJ8" s="185" t="str">
        <f>IF(Tim!GN10=FIT!$E$1,Tim!GN10,"")</f>
        <v/>
      </c>
      <c r="GK8" s="185" t="str">
        <f>IF(Tim!GO10=FIT!$E$1,Tim!GO10,"")</f>
        <v/>
      </c>
      <c r="GL8" s="185" t="str">
        <f>IF(Tim!GP10=FIT!$E$1,Tim!GP10,"")</f>
        <v/>
      </c>
      <c r="GM8" s="185" t="str">
        <f>IF(Tim!GQ10=FIT!$E$1,Tim!GQ10,"")</f>
        <v/>
      </c>
      <c r="GN8" s="185" t="str">
        <f>IF(Tim!GR10=FIT!$E$1,Tim!GR10,"")</f>
        <v/>
      </c>
      <c r="GO8" s="185" t="str">
        <f>IF(Tim!GS10=FIT!$E$1,Tim!GS10,"")</f>
        <v/>
      </c>
      <c r="GP8" s="185" t="str">
        <f>IF(Tim!GT10=FIT!$E$1,Tim!GT10,"")</f>
        <v/>
      </c>
      <c r="GQ8" s="185" t="str">
        <f>IF(Tim!GU10=FIT!$E$1,Tim!GU10,"")</f>
        <v/>
      </c>
      <c r="GR8" s="185" t="str">
        <f>IF(Tim!GV10=FIT!$E$1,Tim!GV10,"")</f>
        <v/>
      </c>
      <c r="GS8" s="185" t="str">
        <f>IF(Tim!GW10=FIT!$E$1,Tim!GW10,"")</f>
        <v/>
      </c>
      <c r="GT8" s="185" t="str">
        <f>IF(Tim!GX10=FIT!$E$1,Tim!GX10,"")</f>
        <v/>
      </c>
      <c r="GU8" s="185" t="str">
        <f>IF(Tim!GY10=FIT!$E$1,Tim!GY10,"")</f>
        <v/>
      </c>
      <c r="GV8" s="185" t="str">
        <f>IF(Tim!GZ10=FIT!$E$1,Tim!GZ10,"")</f>
        <v/>
      </c>
      <c r="GW8" s="185" t="str">
        <f>IF(Tim!HA10=FIT!$E$1,Tim!HA10,"")</f>
        <v/>
      </c>
      <c r="GX8" s="185" t="str">
        <f>IF(Tim!HB10=FIT!$E$1,Tim!HB10,"")</f>
        <v/>
      </c>
      <c r="GY8" s="185" t="str">
        <f>IF(Tim!HC10=FIT!$E$1,Tim!HC10,"")</f>
        <v/>
      </c>
      <c r="GZ8" s="185" t="str">
        <f>IF(Tim!HD10=FIT!$E$1,Tim!HD10,"")</f>
        <v/>
      </c>
      <c r="HA8" s="185" t="str">
        <f>IF(Tim!HE10=FIT!$E$1,Tim!HE10,"")</f>
        <v/>
      </c>
      <c r="HB8" s="185" t="str">
        <f>IF(Tim!HF10=FIT!$E$1,Tim!HF10,"")</f>
        <v/>
      </c>
      <c r="HC8" s="185" t="str">
        <f>IF(Tim!HG10=FIT!$E$1,Tim!HG10,"")</f>
        <v/>
      </c>
      <c r="HD8" s="185" t="str">
        <f>IF(Tim!HH10=FIT!$E$1,Tim!HH10,"")</f>
        <v/>
      </c>
      <c r="HE8" s="185" t="str">
        <f>IF(Tim!HI10=FIT!$E$1,Tim!HI10,"")</f>
        <v/>
      </c>
      <c r="HF8" s="185" t="str">
        <f>IF(Tim!HJ10=FIT!$E$1,Tim!HJ10,"")</f>
        <v/>
      </c>
      <c r="HG8" s="185" t="str">
        <f>IF(Tim!HK10=FIT!$E$1,Tim!HK10,"")</f>
        <v/>
      </c>
      <c r="HH8" s="185" t="str">
        <f>IF(Tim!HL10=FIT!$E$1,Tim!HL10,"")</f>
        <v/>
      </c>
      <c r="HI8" s="185" t="str">
        <f>IF(Tim!HM10=FIT!$E$1,Tim!HM10,"")</f>
        <v/>
      </c>
      <c r="HJ8" s="185" t="str">
        <f>IF(Tim!HN10=FIT!$E$1,Tim!HN10,"")</f>
        <v/>
      </c>
      <c r="HK8" s="185" t="str">
        <f>IF(Tim!HO10=FIT!$E$1,Tim!HO10,"")</f>
        <v/>
      </c>
      <c r="HL8" s="185" t="str">
        <f>IF(Tim!HP10=FIT!$E$1,Tim!HP10,"")</f>
        <v/>
      </c>
      <c r="HM8" s="185" t="str">
        <f>IF(Tim!HQ10=FIT!$E$1,Tim!HQ10,"")</f>
        <v/>
      </c>
      <c r="HN8" s="185" t="str">
        <f>IF(Tim!HR10=FIT!$E$1,Tim!HR10,"")</f>
        <v/>
      </c>
      <c r="HO8" s="185" t="str">
        <f>IF(Tim!HS10=FIT!$E$1,Tim!HS10,"")</f>
        <v/>
      </c>
      <c r="HP8" s="185" t="str">
        <f>IF(Tim!HT10=FIT!$E$1,Tim!HT10,"")</f>
        <v/>
      </c>
      <c r="HQ8" s="185" t="str">
        <f>IF(Tim!HU10=FIT!$E$1,Tim!HU10,"")</f>
        <v/>
      </c>
      <c r="HR8" s="469"/>
      <c r="HS8" s="366"/>
      <c r="HT8" s="366"/>
      <c r="HU8" s="366"/>
      <c r="HV8" s="366"/>
      <c r="HW8" s="366"/>
      <c r="HX8" s="366"/>
      <c r="HY8" s="366"/>
      <c r="HZ8" s="366"/>
      <c r="IA8" s="366"/>
      <c r="IB8" s="366"/>
      <c r="IC8" s="366"/>
      <c r="ID8" s="366"/>
      <c r="IE8" s="366"/>
      <c r="IF8" s="366"/>
      <c r="IG8" s="366"/>
      <c r="IH8" s="366"/>
      <c r="II8" s="366"/>
      <c r="IJ8" s="366"/>
      <c r="IK8" s="366"/>
      <c r="IL8" s="366"/>
      <c r="IM8" s="366"/>
      <c r="IN8" s="366"/>
      <c r="IO8" s="366"/>
      <c r="IP8" s="366"/>
      <c r="IQ8" s="366"/>
      <c r="IR8" s="366"/>
      <c r="IS8" s="366"/>
      <c r="IT8" s="366"/>
      <c r="IU8" s="366"/>
      <c r="IV8" s="366"/>
      <c r="IW8" s="366"/>
      <c r="IX8" s="366"/>
      <c r="IY8" s="366"/>
      <c r="IZ8" s="366"/>
      <c r="JA8" s="366"/>
      <c r="JB8" s="366"/>
      <c r="JC8" s="366"/>
      <c r="JD8" s="366"/>
      <c r="JE8" s="366"/>
      <c r="JF8" s="366"/>
      <c r="JG8" s="366"/>
      <c r="JH8" s="366"/>
      <c r="JI8" s="428"/>
      <c r="JJ8" s="469"/>
      <c r="JK8" s="366"/>
      <c r="JL8" s="366"/>
      <c r="JM8" s="366"/>
      <c r="JN8" s="366"/>
      <c r="JO8" s="366"/>
      <c r="JP8" s="366"/>
      <c r="JQ8" s="366"/>
      <c r="JR8" s="366"/>
      <c r="JS8" s="366"/>
      <c r="JT8" s="366"/>
      <c r="JU8" s="366"/>
      <c r="JV8" s="366"/>
      <c r="JW8" s="366"/>
      <c r="JX8" s="366"/>
      <c r="JY8" s="366"/>
      <c r="JZ8" s="366"/>
      <c r="KA8" s="366"/>
      <c r="KB8" s="366"/>
      <c r="KC8" s="366"/>
      <c r="KD8" s="366"/>
      <c r="KE8" s="366"/>
      <c r="KF8" s="366"/>
      <c r="KG8" s="366"/>
      <c r="KH8" s="366"/>
      <c r="KI8" s="366"/>
      <c r="KJ8" s="366"/>
      <c r="KK8" s="366"/>
      <c r="KL8" s="366"/>
      <c r="KM8" s="366"/>
      <c r="KN8" s="366"/>
      <c r="KO8" s="366"/>
      <c r="KP8" s="366"/>
      <c r="KQ8" s="366"/>
      <c r="KR8" s="366"/>
      <c r="KS8" s="366"/>
      <c r="KT8" s="366"/>
      <c r="KU8" s="366"/>
      <c r="KV8" s="366"/>
      <c r="KW8" s="366"/>
      <c r="KX8" s="366"/>
      <c r="KY8" s="366"/>
      <c r="KZ8" s="366"/>
      <c r="LA8" s="428"/>
      <c r="LB8" s="52">
        <v>0.32291666666666702</v>
      </c>
    </row>
    <row r="9" spans="2:314" ht="10.5" customHeight="1">
      <c r="B9" s="49">
        <v>0.25</v>
      </c>
      <c r="C9" s="49">
        <v>0.25</v>
      </c>
      <c r="D9" s="49">
        <v>0.25</v>
      </c>
      <c r="E9" s="172">
        <v>0.33333333333333298</v>
      </c>
      <c r="F9" s="238" t="str">
        <f>IF(Tim!F11=FIT!$E$1,Tim!F11,"")</f>
        <v/>
      </c>
      <c r="G9" s="185" t="str">
        <f>IF(Tim!G11=FIT!$E$1,Tim!G11,"")</f>
        <v/>
      </c>
      <c r="H9" s="185" t="str">
        <f>IF(Tim!H11=FIT!$E$1,Tim!H11,"")</f>
        <v/>
      </c>
      <c r="I9" s="185" t="str">
        <f>IF(Tim!I11=FIT!$E$1,Tim!I11,"")</f>
        <v/>
      </c>
      <c r="J9" s="185" t="str">
        <f>IF(Tim!J11=FIT!$E$1,Tim!J11,"")</f>
        <v/>
      </c>
      <c r="K9" s="185" t="str">
        <f>IF(Tim!K11=FIT!$E$1,Tim!K11,"")</f>
        <v/>
      </c>
      <c r="L9" s="185" t="str">
        <f>IF(Tim!L11=FIT!$E$1,Tim!L11,"")</f>
        <v/>
      </c>
      <c r="M9" s="185" t="str">
        <f>IF(Tim!M11=FIT!$E$1,Tim!M11,"")</f>
        <v/>
      </c>
      <c r="N9" s="185" t="str">
        <f>IF(Tim!N11=FIT!$E$1,Tim!N11,"")</f>
        <v/>
      </c>
      <c r="O9" s="185" t="str">
        <f>IF(Tim!O11=FIT!$E$1,Tim!O11,"")</f>
        <v/>
      </c>
      <c r="P9" s="185" t="str">
        <f>IF(Tim!P11=FIT!$E$1,Tim!P11,"")</f>
        <v/>
      </c>
      <c r="Q9" s="185" t="str">
        <f>IF(Tim!Q11=FIT!$E$1,Tim!Q11,"")</f>
        <v/>
      </c>
      <c r="R9" s="185" t="str">
        <f>IF(Tim!R11=FIT!$E$1,Tim!R11,"")</f>
        <v/>
      </c>
      <c r="S9" s="185" t="str">
        <f>IF(Tim!S11=FIT!$E$1,Tim!S11,"")</f>
        <v/>
      </c>
      <c r="T9" s="185" t="str">
        <f>IF(Tim!T11=FIT!$E$1,Tim!T11,"")</f>
        <v/>
      </c>
      <c r="U9" s="185" t="str">
        <f>IF(Tim!U11=FIT!$E$1,Tim!U11,"")</f>
        <v/>
      </c>
      <c r="V9" s="185" t="str">
        <f>IF(Tim!W11=FIT!$E$1,Tim!W11,"")</f>
        <v/>
      </c>
      <c r="W9" s="185" t="str">
        <f>IF(Tim!X11=FIT!$E$1,Tim!X11,"")</f>
        <v/>
      </c>
      <c r="X9" s="185" t="str">
        <f>IF(Tim!Y11=FIT!$E$1,Tim!Y11,"")</f>
        <v/>
      </c>
      <c r="Y9" s="185" t="str">
        <f>IF(Tim!Z11=FIT!$E$1,Tim!Z11,"")</f>
        <v/>
      </c>
      <c r="Z9" s="185" t="str">
        <f>IF(Tim!AA11=FIT!$E$1,Tim!AA11,"")</f>
        <v/>
      </c>
      <c r="AA9" s="185" t="str">
        <f>IF(Tim!AB11=FIT!$E$1,Tim!AB11,"")</f>
        <v/>
      </c>
      <c r="AB9" s="185" t="str">
        <f>IF(Tim!AC11=FIT!$E$1,Tim!AC11,"")</f>
        <v/>
      </c>
      <c r="AC9" s="185" t="str">
        <f>IF(Tim!AD11=FIT!$E$1,Tim!AD11,"")</f>
        <v/>
      </c>
      <c r="AD9" s="185" t="str">
        <f>IF(Tim!AE11=FIT!$E$1,Tim!AE11,"")</f>
        <v/>
      </c>
      <c r="AE9" s="185" t="str">
        <f>IF(Tim!AF11=FIT!$E$1,Tim!AF11,"")</f>
        <v/>
      </c>
      <c r="AF9" s="185" t="str">
        <f>IF(Tim!AG11=FIT!$E$1,Tim!AG11,"")</f>
        <v/>
      </c>
      <c r="AG9" s="185" t="str">
        <f>IF(Tim!AH11=FIT!$E$1,Tim!AH11,"")</f>
        <v/>
      </c>
      <c r="AH9" s="185" t="str">
        <f>IF(Tim!AI11=FIT!$E$1,Tim!AI11,"")</f>
        <v/>
      </c>
      <c r="AI9" s="185" t="str">
        <f>IF(Tim!AJ11=FIT!$E$1,Tim!AJ11,"")</f>
        <v/>
      </c>
      <c r="AJ9" s="185" t="str">
        <f>IF(Tim!AK11=FIT!$E$1,Tim!AK11,"")</f>
        <v/>
      </c>
      <c r="AK9" s="185" t="str">
        <f>IF(Tim!AL11=FIT!$E$1,Tim!AL11,"")</f>
        <v/>
      </c>
      <c r="AL9" s="185" t="str">
        <f>IF(Tim!AM11=FIT!$E$1,Tim!AM11,"")</f>
        <v/>
      </c>
      <c r="AM9" s="185" t="str">
        <f>IF(Tim!AN11=FIT!$E$1,Tim!AN11,"")</f>
        <v/>
      </c>
      <c r="AN9" s="185" t="str">
        <f>IF(Tim!AO11=FIT!$E$1,Tim!AO11,"")</f>
        <v/>
      </c>
      <c r="AO9" s="185" t="str">
        <f>IF(Tim!AP11=FIT!$E$1,Tim!AP11,"")</f>
        <v/>
      </c>
      <c r="AP9" s="185" t="str">
        <f>IF(Tim!AQ11=FIT!$E$1,Tim!AQ11,"")</f>
        <v/>
      </c>
      <c r="AQ9" s="185" t="str">
        <f>IF(Tim!AR11=FIT!$E$1,Tim!AR11,"")</f>
        <v/>
      </c>
      <c r="AR9" s="185" t="str">
        <f>IF(Tim!AS11=FIT!$E$1,Tim!AS11,"")</f>
        <v/>
      </c>
      <c r="AS9" s="185" t="str">
        <f>IF(Tim!AT11=FIT!$E$1,Tim!AT11,"")</f>
        <v/>
      </c>
      <c r="AT9" s="185" t="str">
        <f>IF(Tim!AU11=FIT!$E$1,Tim!AU11,"")</f>
        <v/>
      </c>
      <c r="AU9" s="185" t="str">
        <f>IF(Tim!AV11=FIT!$E$1,Tim!AV11,"")</f>
        <v/>
      </c>
      <c r="AV9" s="185" t="str">
        <f>IF(Tim!AW11=FIT!$E$1,Tim!AW11,"")</f>
        <v/>
      </c>
      <c r="AW9" s="186" t="str">
        <f>IF(Tim!AX11=FIT!$E$1,Tim!AX11,"")</f>
        <v/>
      </c>
      <c r="AX9" s="243" t="str">
        <f>IF(Tim!AY11=FIT!$E$1,Tim!AY11,"")</f>
        <v/>
      </c>
      <c r="AY9" s="185" t="str">
        <f>IF(Tim!AZ11=FIT!$E$1,Tim!AZ11,"")</f>
        <v/>
      </c>
      <c r="AZ9" s="185" t="str">
        <f>IF(Tim!BA11=FIT!$E$1,Tim!BA11,"")</f>
        <v/>
      </c>
      <c r="BA9" s="185" t="str">
        <f>IF(Tim!BB11=FIT!$E$1,Tim!BB11,"")</f>
        <v/>
      </c>
      <c r="BB9" s="185" t="str">
        <f>IF(Tim!BC11=FIT!$E$1,Tim!BC11,"")</f>
        <v/>
      </c>
      <c r="BC9" s="185" t="str">
        <f>IF(Tim!BD11=FIT!$E$1,Tim!BD11,"")</f>
        <v/>
      </c>
      <c r="BD9" s="185" t="str">
        <f>IF(Tim!BE11=FIT!$E$1,Tim!BE11,"")</f>
        <v/>
      </c>
      <c r="BE9" s="185" t="str">
        <f>IF(Tim!BF11=FIT!$E$1,Tim!BF11,"")</f>
        <v/>
      </c>
      <c r="BF9" s="185" t="str">
        <f>IF(Tim!BG11=FIT!$E$1,Tim!BG11,"")</f>
        <v/>
      </c>
      <c r="BG9" s="185" t="str">
        <f>IF(Tim!BH11=FIT!$E$1,Tim!BH11,"")</f>
        <v/>
      </c>
      <c r="BH9" s="185" t="str">
        <f>IF(Tim!BI11=FIT!$E$1,Tim!BI11,"")</f>
        <v/>
      </c>
      <c r="BI9" s="185" t="str">
        <f>IF(Tim!BJ11=FIT!$E$1,Tim!BJ11,"")</f>
        <v/>
      </c>
      <c r="BJ9" s="185" t="str">
        <f>IF(Tim!BK11=FIT!$E$1,Tim!BK11,"")</f>
        <v/>
      </c>
      <c r="BK9" s="185" t="str">
        <f>IF(Tim!BL11=FIT!$E$1,Tim!BL11,"")</f>
        <v/>
      </c>
      <c r="BL9" s="185" t="str">
        <f>IF(Tim!BM11=FIT!$E$1,Tim!BM11,"")</f>
        <v/>
      </c>
      <c r="BM9" s="185" t="str">
        <f>IF(Tim!BN11=FIT!$E$1,Tim!BN11,"")</f>
        <v/>
      </c>
      <c r="BN9" s="185" t="str">
        <f>IF(Tim!BO11=FIT!$E$1,Tim!BO11,"")</f>
        <v/>
      </c>
      <c r="BO9" s="185" t="str">
        <f>IF(Tim!BP11=FIT!$E$1,Tim!BP11,"")</f>
        <v/>
      </c>
      <c r="BP9" s="185" t="str">
        <f>IF(Tim!BQ11=FIT!$E$1,Tim!BQ11,"")</f>
        <v/>
      </c>
      <c r="BQ9" s="185" t="str">
        <f>IF(Tim!BR11=FIT!$E$1,Tim!BR11,"")</f>
        <v/>
      </c>
      <c r="BR9" s="185" t="str">
        <f>IF(Tim!BS11=FIT!$E$1,Tim!BS11,"")</f>
        <v/>
      </c>
      <c r="BS9" s="185" t="str">
        <f>IF(Tim!BT11=FIT!$E$1,Tim!BT11,"")</f>
        <v/>
      </c>
      <c r="BT9" s="185" t="str">
        <f>IF(Tim!BU11=FIT!$E$1,Tim!BU11,"")</f>
        <v/>
      </c>
      <c r="BU9" s="185" t="str">
        <f>IF(Tim!BV11=FIT!$E$1,Tim!BV11,"")</f>
        <v/>
      </c>
      <c r="BV9" s="185" t="str">
        <f>IF(Tim!BW11=FIT!$E$1,Tim!BW11,"")</f>
        <v/>
      </c>
      <c r="BW9" s="185" t="str">
        <f>IF(Tim!BX11=FIT!$E$1,Tim!BX11,"")</f>
        <v/>
      </c>
      <c r="BX9" s="185" t="str">
        <f>IF(Tim!BY11=FIT!$E$1,Tim!BY11,"")</f>
        <v/>
      </c>
      <c r="BY9" s="185" t="str">
        <f>IF(Tim!BZ11=FIT!$E$1,Tim!BZ11,"")</f>
        <v/>
      </c>
      <c r="BZ9" s="185" t="str">
        <f>IF(Tim!CA11=FIT!$E$1,Tim!CA11,"")</f>
        <v/>
      </c>
      <c r="CA9" s="185" t="str">
        <f>IF(Tim!CB11=FIT!$E$1,Tim!CB11,"")</f>
        <v/>
      </c>
      <c r="CB9" s="185" t="str">
        <f>IF(Tim!CC11=FIT!$E$1,Tim!CC11,"")</f>
        <v/>
      </c>
      <c r="CC9" s="185" t="str">
        <f>IF(Tim!CD11=FIT!$E$1,Tim!CD11,"")</f>
        <v/>
      </c>
      <c r="CD9" s="185" t="str">
        <f>IF(Tim!CE11=FIT!$E$1,Tim!CE11,"")</f>
        <v/>
      </c>
      <c r="CE9" s="185" t="str">
        <f>IF(Tim!CF11=FIT!$E$1,Tim!CF11,"")</f>
        <v/>
      </c>
      <c r="CF9" s="185" t="str">
        <f>IF(Tim!CG11=FIT!$E$1,Tim!CG11,"")</f>
        <v/>
      </c>
      <c r="CG9" s="185" t="str">
        <f>IF(Tim!CH11=FIT!$E$1,Tim!CH11,"")</f>
        <v/>
      </c>
      <c r="CH9" s="185" t="str">
        <f>IF(Tim!CI11=FIT!$E$1,Tim!CI11,"")</f>
        <v/>
      </c>
      <c r="CI9" s="185" t="str">
        <f>IF(Tim!CJ11=FIT!$E$1,Tim!CJ11,"")</f>
        <v/>
      </c>
      <c r="CJ9" s="185" t="str">
        <f>IF(Tim!CK11=FIT!$E$1,Tim!CK11,"")</f>
        <v/>
      </c>
      <c r="CK9" s="185" t="str">
        <f>IF(Tim!CL11=FIT!$E$1,Tim!CL11,"")</f>
        <v/>
      </c>
      <c r="CL9" s="185" t="str">
        <f>IF(Tim!CM11=FIT!$E$1,Tim!CM11,"")</f>
        <v/>
      </c>
      <c r="CM9" s="185" t="str">
        <f>IF(Tim!CN11=FIT!$E$1,Tim!CN11,"")</f>
        <v/>
      </c>
      <c r="CN9" s="185" t="str">
        <f>IF(Tim!CO11=FIT!$E$1,Tim!CO11,"")</f>
        <v/>
      </c>
      <c r="CO9" s="185" t="str">
        <f>IF(Tim!CP11=FIT!$E$1,Tim!CP11,"")</f>
        <v/>
      </c>
      <c r="CP9" s="185" t="str">
        <f>IF(Tim!CQ11=FIT!$E$1,Tim!CQ11,"")</f>
        <v/>
      </c>
      <c r="CQ9" s="185" t="str">
        <f>IF(Tim!CR11=FIT!$E$1,Tim!CR11,"")</f>
        <v/>
      </c>
      <c r="CR9" s="185" t="str">
        <f>IF(Tim!CS11=FIT!$E$1,Tim!CS11,"")</f>
        <v/>
      </c>
      <c r="CS9" s="185" t="str">
        <f>IF(Tim!CT11=FIT!$E$1,Tim!CT11,"")</f>
        <v/>
      </c>
      <c r="CT9" s="185" t="str">
        <f>IF(Tim!CU11=FIT!$E$1,Tim!CU11,"")</f>
        <v/>
      </c>
      <c r="CU9" s="185" t="str">
        <f>IF(Tim!CV11=FIT!$E$1,Tim!CV11,"")</f>
        <v/>
      </c>
      <c r="CV9" s="185" t="str">
        <f>IF(Tim!CW11=FIT!$E$1,Tim!CW11,"")</f>
        <v/>
      </c>
      <c r="CW9" s="185" t="str">
        <f>IF(Tim!CX11=FIT!$E$1,Tim!CX11,"")</f>
        <v/>
      </c>
      <c r="CX9" s="185" t="str">
        <f>IF(Tim!CY11=FIT!$E$1,Tim!CY11,"")</f>
        <v/>
      </c>
      <c r="CY9" s="185" t="str">
        <f>IF(Tim!CZ11=FIT!$E$1,Tim!CZ11,"")</f>
        <v/>
      </c>
      <c r="CZ9" s="185" t="str">
        <f>IF(Tim!DA11=FIT!$E$1,Tim!DA11,"")</f>
        <v/>
      </c>
      <c r="DA9" s="185" t="str">
        <f>IF(Tim!DB11=FIT!$E$1,Tim!DB11,"")</f>
        <v/>
      </c>
      <c r="DB9" s="185" t="str">
        <f>IF(Tim!DC11=FIT!$E$1,Tim!DC11,"")</f>
        <v/>
      </c>
      <c r="DC9" s="185" t="str">
        <f>IF(Tim!DD11=FIT!$E$1,Tim!DD11,"")</f>
        <v/>
      </c>
      <c r="DD9" s="185" t="str">
        <f>IF(Tim!DE11=FIT!$E$1,Tim!DE11,"")</f>
        <v/>
      </c>
      <c r="DE9" s="185" t="str">
        <f>IF(Tim!DF11=FIT!$E$1,Tim!DF11,"")</f>
        <v/>
      </c>
      <c r="DF9" s="185" t="str">
        <f>IF(Tim!DG11=FIT!$E$1,Tim!DG11,"")</f>
        <v/>
      </c>
      <c r="DG9" s="185" t="str">
        <f>IF(Tim!DH11=FIT!$E$1,Tim!DH11,"")</f>
        <v/>
      </c>
      <c r="DH9" s="185" t="str">
        <f>IF(Tim!DI11=FIT!$E$1,Tim!DI11,"")</f>
        <v/>
      </c>
      <c r="DI9" s="185" t="str">
        <f>IF(Tim!DM11=FIT!$E$1,Tim!DM11,"")</f>
        <v/>
      </c>
      <c r="DJ9" s="185" t="str">
        <f>IF(Tim!DN11=FIT!$E$1,Tim!DN11,"")</f>
        <v/>
      </c>
      <c r="DK9" s="185" t="str">
        <f>IF(Tim!DO11=FIT!$E$1,Tim!DO11,"")</f>
        <v/>
      </c>
      <c r="DL9" s="185" t="str">
        <f>IF(Tim!DP11=FIT!$E$1,Tim!DP11,"")</f>
        <v/>
      </c>
      <c r="DM9" s="185" t="str">
        <f>IF(Tim!DQ11=FIT!$E$1,Tim!DQ11,"")</f>
        <v/>
      </c>
      <c r="DN9" s="185" t="str">
        <f>IF(Tim!DR11=FIT!$E$1,Tim!DR11,"")</f>
        <v/>
      </c>
      <c r="DO9" s="185" t="str">
        <f>IF(Tim!DS11=FIT!$E$1,Tim!DS11,"")</f>
        <v/>
      </c>
      <c r="DP9" s="185" t="str">
        <f>IF(Tim!DT11=FIT!$E$1,Tim!DT11,"")</f>
        <v/>
      </c>
      <c r="DQ9" s="185" t="str">
        <f>IF(Tim!DU11=FIT!$E$1,Tim!DU11,"")</f>
        <v/>
      </c>
      <c r="DR9" s="185" t="str">
        <f>IF(Tim!DV11=FIT!$E$1,Tim!DV11,"")</f>
        <v/>
      </c>
      <c r="DS9" s="185" t="str">
        <f>IF(Tim!DW11=FIT!$E$1,Tim!DW11,"")</f>
        <v/>
      </c>
      <c r="DT9" s="185" t="str">
        <f>IF(Tim!DX11=FIT!$E$1,Tim!DX11,"")</f>
        <v/>
      </c>
      <c r="DU9" s="185" t="str">
        <f>IF(Tim!DY11=FIT!$E$1,Tim!DY11,"")</f>
        <v/>
      </c>
      <c r="DV9" s="185" t="str">
        <f>IF(Tim!DZ11=FIT!$E$1,Tim!DZ11,"")</f>
        <v/>
      </c>
      <c r="DW9" s="185" t="str">
        <f>IF(Tim!EA11=FIT!$E$1,Tim!EA11,"")</f>
        <v/>
      </c>
      <c r="DX9" s="185" t="str">
        <f>IF(Tim!EB11=FIT!$E$1,Tim!EB11,"")</f>
        <v/>
      </c>
      <c r="DY9" s="185" t="str">
        <f>IF(Tim!EC11=FIT!$E$1,Tim!EC11,"")</f>
        <v/>
      </c>
      <c r="DZ9" s="185" t="str">
        <f>IF(Tim!ED11=FIT!$E$1,Tim!ED11,"")</f>
        <v/>
      </c>
      <c r="EA9" s="185" t="str">
        <f>IF(Tim!EE11=FIT!$E$1,Tim!EE11,"")</f>
        <v/>
      </c>
      <c r="EB9" s="185" t="str">
        <f>IF(Tim!EF11=FIT!$E$1,Tim!EF11,"")</f>
        <v/>
      </c>
      <c r="EC9" s="185" t="str">
        <f>IF(Tim!EG11=FIT!$E$1,Tim!EG11,"")</f>
        <v/>
      </c>
      <c r="ED9" s="185" t="str">
        <f>IF(Tim!EH11=FIT!$E$1,Tim!EH11,"")</f>
        <v/>
      </c>
      <c r="EE9" s="185" t="str">
        <f>IF(Tim!EI11=FIT!$E$1,Tim!EI11,"")</f>
        <v/>
      </c>
      <c r="EF9" s="185" t="str">
        <f>IF(Tim!EJ11=FIT!$E$1,Tim!EJ11,"")</f>
        <v/>
      </c>
      <c r="EG9" s="185" t="str">
        <f>IF(Tim!EK11=FIT!$E$1,Tim!EK11,"")</f>
        <v/>
      </c>
      <c r="EH9" s="185" t="str">
        <f>IF(Tim!EL11=FIT!$E$1,Tim!EL11,"")</f>
        <v/>
      </c>
      <c r="EI9" s="185" t="str">
        <f>IF(Tim!EM11=FIT!$E$1,Tim!EM11,"")</f>
        <v/>
      </c>
      <c r="EJ9" s="185" t="str">
        <f>IF(Tim!EN11=FIT!$E$1,Tim!EN11,"")</f>
        <v/>
      </c>
      <c r="EK9" s="185" t="str">
        <f>IF(Tim!EO11=FIT!$E$1,Tim!EO11,"")</f>
        <v/>
      </c>
      <c r="EL9" s="185" t="str">
        <f>IF(Tim!EP11=FIT!$E$1,Tim!EP11,"")</f>
        <v/>
      </c>
      <c r="EM9" s="185" t="str">
        <f>IF(Tim!EQ11=FIT!$E$1,Tim!EQ11,"")</f>
        <v/>
      </c>
      <c r="EN9" s="185" t="str">
        <f>IF(Tim!ER11=FIT!$E$1,Tim!ER11,"")</f>
        <v/>
      </c>
      <c r="EO9" s="185" t="str">
        <f>IF(Tim!ES11=FIT!$E$1,Tim!ES11,"")</f>
        <v/>
      </c>
      <c r="EP9" s="185" t="str">
        <f>IF(Tim!ET11=FIT!$E$1,Tim!ET11,"")</f>
        <v/>
      </c>
      <c r="EQ9" s="185" t="str">
        <f>IF(Tim!EU11=FIT!$E$1,Tim!EU11,"")</f>
        <v/>
      </c>
      <c r="ER9" s="185" t="str">
        <f>IF(Tim!EV11=FIT!$E$1,Tim!EV11,"")</f>
        <v/>
      </c>
      <c r="ES9" s="185" t="str">
        <f>IF(Tim!EW11=FIT!$E$1,Tim!EW11,"")</f>
        <v/>
      </c>
      <c r="ET9" s="185" t="str">
        <f>IF(Tim!EX11=FIT!$E$1,Tim!EX11,"")</f>
        <v/>
      </c>
      <c r="EU9" s="185" t="str">
        <f>IF(Tim!EY11=FIT!$E$1,Tim!EY11,"")</f>
        <v/>
      </c>
      <c r="EV9" s="185" t="str">
        <f>IF(Tim!EZ11=FIT!$E$1,Tim!EZ11,"")</f>
        <v/>
      </c>
      <c r="EW9" s="185" t="str">
        <f>IF(Tim!FA11=FIT!$E$1,Tim!FA11,"")</f>
        <v/>
      </c>
      <c r="EX9" s="185" t="str">
        <f>IF(Tim!FB11=FIT!$E$1,Tim!FB11,"")</f>
        <v/>
      </c>
      <c r="EY9" s="185" t="str">
        <f>IF(Tim!FC11=FIT!$E$1,Tim!FC11,"")</f>
        <v/>
      </c>
      <c r="EZ9" s="185" t="str">
        <f>IF(Tim!FD11=FIT!$E$1,Tim!FD11,"")</f>
        <v/>
      </c>
      <c r="FA9" s="185" t="str">
        <f>IF(Tim!FE11=FIT!$E$1,Tim!FE11,"")</f>
        <v/>
      </c>
      <c r="FB9" s="185" t="str">
        <f>IF(Tim!FF11=FIT!$E$1,Tim!FF11,"")</f>
        <v/>
      </c>
      <c r="FC9" s="185" t="str">
        <f>IF(Tim!FG11=FIT!$E$1,Tim!FG11,"")</f>
        <v/>
      </c>
      <c r="FD9" s="185" t="str">
        <f>IF(Tim!FH11=FIT!$E$1,Tim!FH11,"")</f>
        <v/>
      </c>
      <c r="FE9" s="185" t="str">
        <f>IF(Tim!FI11=FIT!$E$1,Tim!FI11,"")</f>
        <v/>
      </c>
      <c r="FF9" s="185" t="str">
        <f>IF(Tim!FJ11=FIT!$E$1,Tim!FJ11,"")</f>
        <v/>
      </c>
      <c r="FG9" s="185" t="str">
        <f>IF(Tim!FK11=FIT!$E$1,Tim!FK11,"")</f>
        <v/>
      </c>
      <c r="FH9" s="185" t="str">
        <f>IF(Tim!FL11=FIT!$E$1,Tim!FL11,"")</f>
        <v/>
      </c>
      <c r="FI9" s="185" t="str">
        <f>IF(Tim!FM11=FIT!$E$1,Tim!FM11,"")</f>
        <v/>
      </c>
      <c r="FJ9" s="185" t="str">
        <f>IF(Tim!FN11=FIT!$E$1,Tim!FN11,"")</f>
        <v/>
      </c>
      <c r="FK9" s="185" t="str">
        <f>IF(Tim!FO11=FIT!$E$1,Tim!FO11,"")</f>
        <v/>
      </c>
      <c r="FL9" s="185" t="str">
        <f>IF(Tim!FP11=FIT!$E$1,Tim!FP11,"")</f>
        <v/>
      </c>
      <c r="FM9" s="185" t="str">
        <f>IF(Tim!FQ11=FIT!$E$1,Tim!FQ11,"")</f>
        <v/>
      </c>
      <c r="FN9" s="185" t="str">
        <f>IF(Tim!FR11=FIT!$E$1,Tim!FR11,"")</f>
        <v/>
      </c>
      <c r="FO9" s="185" t="str">
        <f>IF(Tim!FS11=FIT!$E$1,Tim!FS11,"")</f>
        <v/>
      </c>
      <c r="FP9" s="185" t="str">
        <f>IF(Tim!FT11=FIT!$E$1,Tim!FT11,"")</f>
        <v/>
      </c>
      <c r="FQ9" s="185" t="str">
        <f>IF(Tim!FU11=FIT!$E$1,Tim!FU11,"")</f>
        <v/>
      </c>
      <c r="FR9" s="185" t="str">
        <f>IF(Tim!FV11=FIT!$E$1,Tim!FV11,"")</f>
        <v/>
      </c>
      <c r="FS9" s="185" t="str">
        <f>IF(Tim!FW11=FIT!$E$1,Tim!FW11,"")</f>
        <v/>
      </c>
      <c r="FT9" s="185" t="str">
        <f>IF(Tim!FX11=FIT!$E$1,Tim!FX11,"")</f>
        <v/>
      </c>
      <c r="FU9" s="185" t="str">
        <f>IF(Tim!FY11=FIT!$E$1,Tim!FY11,"")</f>
        <v/>
      </c>
      <c r="FV9" s="185" t="str">
        <f>IF(Tim!FZ11=FIT!$E$1,Tim!FZ11,"")</f>
        <v/>
      </c>
      <c r="FW9" s="185" t="str">
        <f>IF(Tim!GA11=FIT!$E$1,Tim!GA11,"")</f>
        <v/>
      </c>
      <c r="FX9" s="185" t="str">
        <f>IF(Tim!GB11=FIT!$E$1,Tim!GB11,"")</f>
        <v/>
      </c>
      <c r="FY9" s="185" t="str">
        <f>IF(Tim!GC11=FIT!$E$1,Tim!GC11,"")</f>
        <v/>
      </c>
      <c r="FZ9" s="185" t="str">
        <f>IF(Tim!GD11=FIT!$E$1,Tim!GD11,"")</f>
        <v/>
      </c>
      <c r="GA9" s="185" t="str">
        <f>IF(Tim!GE11=FIT!$E$1,Tim!GE11,"")</f>
        <v/>
      </c>
      <c r="GB9" s="185" t="str">
        <f>IF(Tim!GF11=FIT!$E$1,Tim!GF11,"")</f>
        <v/>
      </c>
      <c r="GC9" s="185" t="str">
        <f>IF(Tim!GG11=FIT!$E$1,Tim!GG11,"")</f>
        <v/>
      </c>
      <c r="GD9" s="185" t="str">
        <f>IF(Tim!GH11=FIT!$E$1,Tim!GH11,"")</f>
        <v/>
      </c>
      <c r="GE9" s="185" t="str">
        <f>IF(Tim!GI11=FIT!$E$1,Tim!GI11,"")</f>
        <v/>
      </c>
      <c r="GF9" s="185" t="str">
        <f>IF(Tim!GJ11=FIT!$E$1,Tim!GJ11,"")</f>
        <v/>
      </c>
      <c r="GG9" s="185" t="str">
        <f>IF(Tim!GK11=FIT!$E$1,Tim!GK11,"")</f>
        <v/>
      </c>
      <c r="GH9" s="185" t="str">
        <f>IF(Tim!GL11=FIT!$E$1,Tim!GL11,"")</f>
        <v/>
      </c>
      <c r="GI9" s="185" t="str">
        <f>IF(Tim!GM11=FIT!$E$1,Tim!GM11,"")</f>
        <v/>
      </c>
      <c r="GJ9" s="185" t="str">
        <f>IF(Tim!GN11=FIT!$E$1,Tim!GN11,"")</f>
        <v/>
      </c>
      <c r="GK9" s="185" t="str">
        <f>IF(Tim!GO11=FIT!$E$1,Tim!GO11,"")</f>
        <v/>
      </c>
      <c r="GL9" s="185" t="str">
        <f>IF(Tim!GP11=FIT!$E$1,Tim!GP11,"")</f>
        <v/>
      </c>
      <c r="GM9" s="185" t="str">
        <f>IF(Tim!GQ11=FIT!$E$1,Tim!GQ11,"")</f>
        <v/>
      </c>
      <c r="GN9" s="185" t="str">
        <f>IF(Tim!GR11=FIT!$E$1,Tim!GR11,"")</f>
        <v/>
      </c>
      <c r="GO9" s="185" t="str">
        <f>IF(Tim!GS11=FIT!$E$1,Tim!GS11,"")</f>
        <v/>
      </c>
      <c r="GP9" s="185" t="str">
        <f>IF(Tim!GT11=FIT!$E$1,Tim!GT11,"")</f>
        <v/>
      </c>
      <c r="GQ9" s="185" t="str">
        <f>IF(Tim!GU11=FIT!$E$1,Tim!GU11,"")</f>
        <v/>
      </c>
      <c r="GR9" s="185" t="str">
        <f>IF(Tim!GV11=FIT!$E$1,Tim!GV11,"")</f>
        <v/>
      </c>
      <c r="GS9" s="185" t="str">
        <f>IF(Tim!GW11=FIT!$E$1,Tim!GW11,"")</f>
        <v/>
      </c>
      <c r="GT9" s="185" t="str">
        <f>IF(Tim!GX11=FIT!$E$1,Tim!GX11,"")</f>
        <v/>
      </c>
      <c r="GU9" s="185" t="str">
        <f>IF(Tim!GY11=FIT!$E$1,Tim!GY11,"")</f>
        <v/>
      </c>
      <c r="GV9" s="185" t="str">
        <f>IF(Tim!GZ11=FIT!$E$1,Tim!GZ11,"")</f>
        <v/>
      </c>
      <c r="GW9" s="185" t="str">
        <f>IF(Tim!HA11=FIT!$E$1,Tim!HA11,"")</f>
        <v/>
      </c>
      <c r="GX9" s="185" t="str">
        <f>IF(Tim!HB11=FIT!$E$1,Tim!HB11,"")</f>
        <v/>
      </c>
      <c r="GY9" s="185" t="str">
        <f>IF(Tim!HC11=FIT!$E$1,Tim!HC11,"")</f>
        <v/>
      </c>
      <c r="GZ9" s="185" t="str">
        <f>IF(Tim!HD11=FIT!$E$1,Tim!HD11,"")</f>
        <v/>
      </c>
      <c r="HA9" s="185" t="str">
        <f>IF(Tim!HE11=FIT!$E$1,Tim!HE11,"")</f>
        <v/>
      </c>
      <c r="HB9" s="185" t="str">
        <f>IF(Tim!HF11=FIT!$E$1,Tim!HF11,"")</f>
        <v/>
      </c>
      <c r="HC9" s="185" t="str">
        <f>IF(Tim!HG11=FIT!$E$1,Tim!HG11,"")</f>
        <v/>
      </c>
      <c r="HD9" s="185" t="str">
        <f>IF(Tim!HH11=FIT!$E$1,Tim!HH11,"")</f>
        <v/>
      </c>
      <c r="HE9" s="185" t="str">
        <f>IF(Tim!HI11=FIT!$E$1,Tim!HI11,"")</f>
        <v/>
      </c>
      <c r="HF9" s="185" t="str">
        <f>IF(Tim!HJ11=FIT!$E$1,Tim!HJ11,"")</f>
        <v/>
      </c>
      <c r="HG9" s="185" t="str">
        <f>IF(Tim!HK11=FIT!$E$1,Tim!HK11,"")</f>
        <v/>
      </c>
      <c r="HH9" s="185" t="str">
        <f>IF(Tim!HL11=FIT!$E$1,Tim!HL11,"")</f>
        <v/>
      </c>
      <c r="HI9" s="185" t="str">
        <f>IF(Tim!HM11=FIT!$E$1,Tim!HM11,"")</f>
        <v/>
      </c>
      <c r="HJ9" s="185" t="str">
        <f>IF(Tim!HN11=FIT!$E$1,Tim!HN11,"")</f>
        <v/>
      </c>
      <c r="HK9" s="185" t="str">
        <f>IF(Tim!HO11=FIT!$E$1,Tim!HO11,"")</f>
        <v/>
      </c>
      <c r="HL9" s="185" t="str">
        <f>IF(Tim!HP11=FIT!$E$1,Tim!HP11,"")</f>
        <v/>
      </c>
      <c r="HM9" s="185" t="str">
        <f>IF(Tim!HQ11=FIT!$E$1,Tim!HQ11,"")</f>
        <v/>
      </c>
      <c r="HN9" s="185" t="str">
        <f>IF(Tim!HR11=FIT!$E$1,Tim!HR11,"")</f>
        <v/>
      </c>
      <c r="HO9" s="185" t="str">
        <f>IF(Tim!HS11=FIT!$E$1,Tim!HS11,"")</f>
        <v/>
      </c>
      <c r="HP9" s="185" t="str">
        <f>IF(Tim!HT11=FIT!$E$1,Tim!HT11,"")</f>
        <v/>
      </c>
      <c r="HQ9" s="185" t="str">
        <f>IF(Tim!HU11=FIT!$E$1,Tim!HU11,"")</f>
        <v/>
      </c>
      <c r="HR9" s="469"/>
      <c r="HS9" s="366"/>
      <c r="HT9" s="366"/>
      <c r="HU9" s="366"/>
      <c r="HV9" s="366"/>
      <c r="HW9" s="366"/>
      <c r="HX9" s="366"/>
      <c r="HY9" s="366"/>
      <c r="HZ9" s="366"/>
      <c r="IA9" s="366"/>
      <c r="IB9" s="366"/>
      <c r="IC9" s="366"/>
      <c r="ID9" s="366"/>
      <c r="IE9" s="366"/>
      <c r="IF9" s="366"/>
      <c r="IG9" s="366"/>
      <c r="IH9" s="366"/>
      <c r="II9" s="366"/>
      <c r="IJ9" s="366"/>
      <c r="IK9" s="366"/>
      <c r="IL9" s="366"/>
      <c r="IM9" s="366"/>
      <c r="IN9" s="366"/>
      <c r="IO9" s="366"/>
      <c r="IP9" s="366"/>
      <c r="IQ9" s="366"/>
      <c r="IR9" s="366"/>
      <c r="IS9" s="366"/>
      <c r="IT9" s="366"/>
      <c r="IU9" s="366"/>
      <c r="IV9" s="366"/>
      <c r="IW9" s="366"/>
      <c r="IX9" s="366"/>
      <c r="IY9" s="366"/>
      <c r="IZ9" s="366"/>
      <c r="JA9" s="366"/>
      <c r="JB9" s="366"/>
      <c r="JC9" s="366"/>
      <c r="JD9" s="366"/>
      <c r="JE9" s="366"/>
      <c r="JF9" s="366"/>
      <c r="JG9" s="366"/>
      <c r="JH9" s="366"/>
      <c r="JI9" s="428"/>
      <c r="JJ9" s="469"/>
      <c r="JK9" s="366"/>
      <c r="JL9" s="366"/>
      <c r="JM9" s="366"/>
      <c r="JN9" s="366"/>
      <c r="JO9" s="366"/>
      <c r="JP9" s="366"/>
      <c r="JQ9" s="366"/>
      <c r="JR9" s="366"/>
      <c r="JS9" s="366"/>
      <c r="JT9" s="366"/>
      <c r="JU9" s="366"/>
      <c r="JV9" s="366"/>
      <c r="JW9" s="366"/>
      <c r="JX9" s="366"/>
      <c r="JY9" s="366"/>
      <c r="JZ9" s="366"/>
      <c r="KA9" s="366"/>
      <c r="KB9" s="366"/>
      <c r="KC9" s="366"/>
      <c r="KD9" s="366"/>
      <c r="KE9" s="366"/>
      <c r="KF9" s="366"/>
      <c r="KG9" s="366"/>
      <c r="KH9" s="366"/>
      <c r="KI9" s="366"/>
      <c r="KJ9" s="366"/>
      <c r="KK9" s="366"/>
      <c r="KL9" s="366"/>
      <c r="KM9" s="366"/>
      <c r="KN9" s="366"/>
      <c r="KO9" s="366"/>
      <c r="KP9" s="366"/>
      <c r="KQ9" s="366"/>
      <c r="KR9" s="366"/>
      <c r="KS9" s="366"/>
      <c r="KT9" s="366"/>
      <c r="KU9" s="366"/>
      <c r="KV9" s="366"/>
      <c r="KW9" s="366"/>
      <c r="KX9" s="366"/>
      <c r="KY9" s="366"/>
      <c r="KZ9" s="366"/>
      <c r="LA9" s="428"/>
      <c r="LB9" s="52">
        <v>0.33333333333333298</v>
      </c>
    </row>
    <row r="10" spans="2:314" ht="10.5" customHeight="1">
      <c r="B10" s="49">
        <v>0.25</v>
      </c>
      <c r="C10" s="49">
        <v>0.25</v>
      </c>
      <c r="D10" s="49">
        <v>0.25</v>
      </c>
      <c r="E10" s="172">
        <v>0.34375</v>
      </c>
      <c r="F10" s="238" t="str">
        <f>IF(Tim!F12=FIT!$E$1,Tim!F12,"")</f>
        <v/>
      </c>
      <c r="G10" s="185" t="str">
        <f>IF(Tim!G12=FIT!$E$1,Tim!G12,"")</f>
        <v/>
      </c>
      <c r="H10" s="185" t="str">
        <f>IF(Tim!H12=FIT!$E$1,Tim!H12,"")</f>
        <v/>
      </c>
      <c r="I10" s="185" t="str">
        <f>IF(Tim!I12=FIT!$E$1,Tim!I12,"")</f>
        <v/>
      </c>
      <c r="J10" s="185" t="str">
        <f>IF(Tim!J12=FIT!$E$1,Tim!J12,"")</f>
        <v/>
      </c>
      <c r="K10" s="185" t="str">
        <f>IF(Tim!K12=FIT!$E$1,Tim!K12,"")</f>
        <v/>
      </c>
      <c r="L10" s="185" t="str">
        <f>IF(Tim!L12=FIT!$E$1,Tim!L12,"")</f>
        <v/>
      </c>
      <c r="M10" s="185" t="str">
        <f>IF(Tim!M12=FIT!$E$1,Tim!M12,"")</f>
        <v/>
      </c>
      <c r="N10" s="185" t="str">
        <f>IF(Tim!N12=FIT!$E$1,Tim!N12,"")</f>
        <v/>
      </c>
      <c r="O10" s="185" t="str">
        <f>IF(Tim!O12=FIT!$E$1,Tim!O12,"")</f>
        <v/>
      </c>
      <c r="P10" s="185" t="str">
        <f>IF(Tim!P12=FIT!$E$1,Tim!P12,"")</f>
        <v/>
      </c>
      <c r="Q10" s="185" t="str">
        <f>IF(Tim!Q12=FIT!$E$1,Tim!Q12,"")</f>
        <v/>
      </c>
      <c r="R10" s="185" t="str">
        <f>IF(Tim!R12=FIT!$E$1,Tim!R12,"")</f>
        <v/>
      </c>
      <c r="S10" s="185" t="str">
        <f>IF(Tim!S12=FIT!$E$1,Tim!S12,"")</f>
        <v/>
      </c>
      <c r="T10" s="185" t="str">
        <f>IF(Tim!T12=FIT!$E$1,Tim!T12,"")</f>
        <v/>
      </c>
      <c r="U10" s="185" t="str">
        <f>IF(Tim!U12=FIT!$E$1,Tim!U12,"")</f>
        <v/>
      </c>
      <c r="V10" s="185" t="str">
        <f>IF(Tim!W12=FIT!$E$1,Tim!W12,"")</f>
        <v/>
      </c>
      <c r="W10" s="185" t="str">
        <f>IF(Tim!X12=FIT!$E$1,Tim!X12,"")</f>
        <v/>
      </c>
      <c r="X10" s="185" t="str">
        <f>IF(Tim!Y12=FIT!$E$1,Tim!Y12,"")</f>
        <v/>
      </c>
      <c r="Y10" s="185" t="str">
        <f>IF(Tim!Z12=FIT!$E$1,Tim!Z12,"")</f>
        <v/>
      </c>
      <c r="Z10" s="185" t="str">
        <f>IF(Tim!AA12=FIT!$E$1,Tim!AA12,"")</f>
        <v/>
      </c>
      <c r="AA10" s="185" t="str">
        <f>IF(Tim!AB12=FIT!$E$1,Tim!AB12,"")</f>
        <v/>
      </c>
      <c r="AB10" s="185" t="str">
        <f>IF(Tim!AC12=FIT!$E$1,Tim!AC12,"")</f>
        <v/>
      </c>
      <c r="AC10" s="185" t="str">
        <f>IF(Tim!AD12=FIT!$E$1,Tim!AD12,"")</f>
        <v/>
      </c>
      <c r="AD10" s="185" t="str">
        <f>IF(Tim!AE12=FIT!$E$1,Tim!AE12,"")</f>
        <v/>
      </c>
      <c r="AE10" s="185" t="str">
        <f>IF(Tim!AF12=FIT!$E$1,Tim!AF12,"")</f>
        <v/>
      </c>
      <c r="AF10" s="185" t="str">
        <f>IF(Tim!AG12=FIT!$E$1,Tim!AG12,"")</f>
        <v/>
      </c>
      <c r="AG10" s="185" t="str">
        <f>IF(Tim!AH12=FIT!$E$1,Tim!AH12,"")</f>
        <v/>
      </c>
      <c r="AH10" s="185" t="str">
        <f>IF(Tim!AI12=FIT!$E$1,Tim!AI12,"")</f>
        <v/>
      </c>
      <c r="AI10" s="185" t="str">
        <f>IF(Tim!AJ12=FIT!$E$1,Tim!AJ12,"")</f>
        <v/>
      </c>
      <c r="AJ10" s="185" t="str">
        <f>IF(Tim!AK12=FIT!$E$1,Tim!AK12,"")</f>
        <v/>
      </c>
      <c r="AK10" s="185" t="str">
        <f>IF(Tim!AL12=FIT!$E$1,Tim!AL12,"")</f>
        <v/>
      </c>
      <c r="AL10" s="185" t="str">
        <f>IF(Tim!AM12=FIT!$E$1,Tim!AM12,"")</f>
        <v/>
      </c>
      <c r="AM10" s="185" t="str">
        <f>IF(Tim!AN12=FIT!$E$1,Tim!AN12,"")</f>
        <v/>
      </c>
      <c r="AN10" s="185" t="str">
        <f>IF(Tim!AO12=FIT!$E$1,Tim!AO12,"")</f>
        <v/>
      </c>
      <c r="AO10" s="185" t="str">
        <f>IF(Tim!AP12=FIT!$E$1,Tim!AP12,"")</f>
        <v/>
      </c>
      <c r="AP10" s="185" t="str">
        <f>IF(Tim!AQ12=FIT!$E$1,Tim!AQ12,"")</f>
        <v/>
      </c>
      <c r="AQ10" s="185" t="str">
        <f>IF(Tim!AR12=FIT!$E$1,Tim!AR12,"")</f>
        <v/>
      </c>
      <c r="AR10" s="185" t="str">
        <f>IF(Tim!AS12=FIT!$E$1,Tim!AS12,"")</f>
        <v/>
      </c>
      <c r="AS10" s="185" t="str">
        <f>IF(Tim!AT12=FIT!$E$1,Tim!AT12,"")</f>
        <v/>
      </c>
      <c r="AT10" s="185" t="str">
        <f>IF(Tim!AU12=FIT!$E$1,Tim!AU12,"")</f>
        <v/>
      </c>
      <c r="AU10" s="185" t="str">
        <f>IF(Tim!AV12=FIT!$E$1,Tim!AV12,"")</f>
        <v/>
      </c>
      <c r="AV10" s="185" t="str">
        <f>IF(Tim!AW12=FIT!$E$1,Tim!AW12,"")</f>
        <v/>
      </c>
      <c r="AW10" s="186" t="str">
        <f>IF(Tim!AX12=FIT!$E$1,Tim!AX12,"")</f>
        <v/>
      </c>
      <c r="AX10" s="243" t="str">
        <f>IF(Tim!AY12=FIT!$E$1,Tim!AY12,"")</f>
        <v/>
      </c>
      <c r="AY10" s="185" t="str">
        <f>IF(Tim!AZ12=FIT!$E$1,Tim!AZ12,"")</f>
        <v/>
      </c>
      <c r="AZ10" s="185" t="str">
        <f>IF(Tim!BA12=FIT!$E$1,Tim!BA12,"")</f>
        <v/>
      </c>
      <c r="BA10" s="185" t="str">
        <f>IF(Tim!BB12=FIT!$E$1,Tim!BB12,"")</f>
        <v/>
      </c>
      <c r="BB10" s="185" t="str">
        <f>IF(Tim!BC12=FIT!$E$1,Tim!BC12,"")</f>
        <v/>
      </c>
      <c r="BC10" s="185" t="str">
        <f>IF(Tim!BD12=FIT!$E$1,Tim!BD12,"")</f>
        <v/>
      </c>
      <c r="BD10" s="185" t="str">
        <f>IF(Tim!BE12=FIT!$E$1,Tim!BE12,"")</f>
        <v/>
      </c>
      <c r="BE10" s="185" t="str">
        <f>IF(Tim!BF12=FIT!$E$1,Tim!BF12,"")</f>
        <v/>
      </c>
      <c r="BF10" s="185" t="str">
        <f>IF(Tim!BG12=FIT!$E$1,Tim!BG12,"")</f>
        <v/>
      </c>
      <c r="BG10" s="185" t="str">
        <f>IF(Tim!BH12=FIT!$E$1,Tim!BH12,"")</f>
        <v/>
      </c>
      <c r="BH10" s="185" t="str">
        <f>IF(Tim!BI12=FIT!$E$1,Tim!BI12,"")</f>
        <v/>
      </c>
      <c r="BI10" s="185" t="str">
        <f>IF(Tim!BJ12=FIT!$E$1,Tim!BJ12,"")</f>
        <v/>
      </c>
      <c r="BJ10" s="185" t="str">
        <f>IF(Tim!BK12=FIT!$E$1,Tim!BK12,"")</f>
        <v/>
      </c>
      <c r="BK10" s="185" t="str">
        <f>IF(Tim!BL12=FIT!$E$1,Tim!BL12,"")</f>
        <v/>
      </c>
      <c r="BL10" s="185" t="str">
        <f>IF(Tim!BM12=FIT!$E$1,Tim!BM12,"")</f>
        <v/>
      </c>
      <c r="BM10" s="185" t="str">
        <f>IF(Tim!BN12=FIT!$E$1,Tim!BN12,"")</f>
        <v/>
      </c>
      <c r="BN10" s="185" t="str">
        <f>IF(Tim!BO12=FIT!$E$1,Tim!BO12,"")</f>
        <v/>
      </c>
      <c r="BO10" s="185" t="str">
        <f>IF(Tim!BP12=FIT!$E$1,Tim!BP12,"")</f>
        <v/>
      </c>
      <c r="BP10" s="185" t="str">
        <f>IF(Tim!BQ12=FIT!$E$1,Tim!BQ12,"")</f>
        <v/>
      </c>
      <c r="BQ10" s="185" t="str">
        <f>IF(Tim!BR12=FIT!$E$1,Tim!BR12,"")</f>
        <v/>
      </c>
      <c r="BR10" s="185" t="str">
        <f>IF(Tim!BS12=FIT!$E$1,Tim!BS12,"")</f>
        <v/>
      </c>
      <c r="BS10" s="185" t="str">
        <f>IF(Tim!BT12=FIT!$E$1,Tim!BT12,"")</f>
        <v/>
      </c>
      <c r="BT10" s="185" t="str">
        <f>IF(Tim!BU12=FIT!$E$1,Tim!BU12,"")</f>
        <v/>
      </c>
      <c r="BU10" s="185" t="str">
        <f>IF(Tim!BV12=FIT!$E$1,Tim!BV12,"")</f>
        <v/>
      </c>
      <c r="BV10" s="185" t="str">
        <f>IF(Tim!BW12=FIT!$E$1,Tim!BW12,"")</f>
        <v/>
      </c>
      <c r="BW10" s="185" t="str">
        <f>IF(Tim!BX12=FIT!$E$1,Tim!BX12,"")</f>
        <v/>
      </c>
      <c r="BX10" s="185" t="str">
        <f>IF(Tim!BY12=FIT!$E$1,Tim!BY12,"")</f>
        <v/>
      </c>
      <c r="BY10" s="185" t="str">
        <f>IF(Tim!BZ12=FIT!$E$1,Tim!BZ12,"")</f>
        <v/>
      </c>
      <c r="BZ10" s="185" t="str">
        <f>IF(Tim!CA12=FIT!$E$1,Tim!CA12,"")</f>
        <v/>
      </c>
      <c r="CA10" s="185" t="str">
        <f>IF(Tim!CB12=FIT!$E$1,Tim!CB12,"")</f>
        <v/>
      </c>
      <c r="CB10" s="185" t="str">
        <f>IF(Tim!CC12=FIT!$E$1,Tim!CC12,"")</f>
        <v/>
      </c>
      <c r="CC10" s="185" t="str">
        <f>IF(Tim!CD12=FIT!$E$1,Tim!CD12,"")</f>
        <v/>
      </c>
      <c r="CD10" s="185" t="str">
        <f>IF(Tim!CE12=FIT!$E$1,Tim!CE12,"")</f>
        <v/>
      </c>
      <c r="CE10" s="185" t="str">
        <f>IF(Tim!CF12=FIT!$E$1,Tim!CF12,"")</f>
        <v/>
      </c>
      <c r="CF10" s="185" t="str">
        <f>IF(Tim!CG12=FIT!$E$1,Tim!CG12,"")</f>
        <v/>
      </c>
      <c r="CG10" s="185" t="str">
        <f>IF(Tim!CH12=FIT!$E$1,Tim!CH12,"")</f>
        <v/>
      </c>
      <c r="CH10" s="185" t="str">
        <f>IF(Tim!CI12=FIT!$E$1,Tim!CI12,"")</f>
        <v/>
      </c>
      <c r="CI10" s="185" t="str">
        <f>IF(Tim!CJ12=FIT!$E$1,Tim!CJ12,"")</f>
        <v/>
      </c>
      <c r="CJ10" s="185" t="str">
        <f>IF(Tim!CK12=FIT!$E$1,Tim!CK12,"")</f>
        <v/>
      </c>
      <c r="CK10" s="185" t="str">
        <f>IF(Tim!CL12=FIT!$E$1,Tim!CL12,"")</f>
        <v/>
      </c>
      <c r="CL10" s="185" t="str">
        <f>IF(Tim!CM12=FIT!$E$1,Tim!CM12,"")</f>
        <v/>
      </c>
      <c r="CM10" s="185" t="str">
        <f>IF(Tim!CN12=FIT!$E$1,Tim!CN12,"")</f>
        <v/>
      </c>
      <c r="CN10" s="185" t="str">
        <f>IF(Tim!CO12=FIT!$E$1,Tim!CO12,"")</f>
        <v/>
      </c>
      <c r="CO10" s="185" t="str">
        <f>IF(Tim!CP12=FIT!$E$1,Tim!CP12,"")</f>
        <v/>
      </c>
      <c r="CP10" s="185" t="str">
        <f>IF(Tim!CQ12=FIT!$E$1,Tim!CQ12,"")</f>
        <v/>
      </c>
      <c r="CQ10" s="185" t="str">
        <f>IF(Tim!CR12=FIT!$E$1,Tim!CR12,"")</f>
        <v/>
      </c>
      <c r="CR10" s="185" t="str">
        <f>IF(Tim!CS12=FIT!$E$1,Tim!CS12,"")</f>
        <v/>
      </c>
      <c r="CS10" s="185" t="str">
        <f>IF(Tim!CT12=FIT!$E$1,Tim!CT12,"")</f>
        <v/>
      </c>
      <c r="CT10" s="185" t="str">
        <f>IF(Tim!CU12=FIT!$E$1,Tim!CU12,"")</f>
        <v/>
      </c>
      <c r="CU10" s="185" t="str">
        <f>IF(Tim!CV12=FIT!$E$1,Tim!CV12,"")</f>
        <v/>
      </c>
      <c r="CV10" s="185" t="str">
        <f>IF(Tim!CW12=FIT!$E$1,Tim!CW12,"")</f>
        <v/>
      </c>
      <c r="CW10" s="185" t="str">
        <f>IF(Tim!CX12=FIT!$E$1,Tim!CX12,"")</f>
        <v/>
      </c>
      <c r="CX10" s="185" t="str">
        <f>IF(Tim!CY12=FIT!$E$1,Tim!CY12,"")</f>
        <v/>
      </c>
      <c r="CY10" s="185" t="str">
        <f>IF(Tim!CZ12=FIT!$E$1,Tim!CZ12,"")</f>
        <v/>
      </c>
      <c r="CZ10" s="185" t="str">
        <f>IF(Tim!DA12=FIT!$E$1,Tim!DA12,"")</f>
        <v/>
      </c>
      <c r="DA10" s="185" t="str">
        <f>IF(Tim!DB12=FIT!$E$1,Tim!DB12,"")</f>
        <v/>
      </c>
      <c r="DB10" s="185" t="str">
        <f>IF(Tim!DC12=FIT!$E$1,Tim!DC12,"")</f>
        <v/>
      </c>
      <c r="DC10" s="185" t="str">
        <f>IF(Tim!DD12=FIT!$E$1,Tim!DD12,"")</f>
        <v/>
      </c>
      <c r="DD10" s="185" t="str">
        <f>IF(Tim!DE12=FIT!$E$1,Tim!DE12,"")</f>
        <v/>
      </c>
      <c r="DE10" s="185" t="str">
        <f>IF(Tim!DF12=FIT!$E$1,Tim!DF12,"")</f>
        <v/>
      </c>
      <c r="DF10" s="185" t="str">
        <f>IF(Tim!DG12=FIT!$E$1,Tim!DG12,"")</f>
        <v/>
      </c>
      <c r="DG10" s="185" t="str">
        <f>IF(Tim!DH12=FIT!$E$1,Tim!DH12,"")</f>
        <v/>
      </c>
      <c r="DH10" s="185" t="str">
        <f>IF(Tim!DI12=FIT!$E$1,Tim!DI12,"")</f>
        <v/>
      </c>
      <c r="DI10" s="185" t="str">
        <f>IF(Tim!DM12=FIT!$E$1,Tim!DM12,"")</f>
        <v/>
      </c>
      <c r="DJ10" s="185" t="str">
        <f>IF(Tim!DN12=FIT!$E$1,Tim!DN12,"")</f>
        <v/>
      </c>
      <c r="DK10" s="185" t="str">
        <f>IF(Tim!DO12=FIT!$E$1,Tim!DO12,"")</f>
        <v/>
      </c>
      <c r="DL10" s="185" t="str">
        <f>IF(Tim!DP12=FIT!$E$1,Tim!DP12,"")</f>
        <v/>
      </c>
      <c r="DM10" s="185" t="str">
        <f>IF(Tim!DQ12=FIT!$E$1,Tim!DQ12,"")</f>
        <v/>
      </c>
      <c r="DN10" s="185" t="str">
        <f>IF(Tim!DR12=FIT!$E$1,Tim!DR12,"")</f>
        <v/>
      </c>
      <c r="DO10" s="185" t="str">
        <f>IF(Tim!DS12=FIT!$E$1,Tim!DS12,"")</f>
        <v/>
      </c>
      <c r="DP10" s="185" t="str">
        <f>IF(Tim!DT12=FIT!$E$1,Tim!DT12,"")</f>
        <v/>
      </c>
      <c r="DQ10" s="185" t="str">
        <f>IF(Tim!DU12=FIT!$E$1,Tim!DU12,"")</f>
        <v/>
      </c>
      <c r="DR10" s="185" t="str">
        <f>IF(Tim!DV12=FIT!$E$1,Tim!DV12,"")</f>
        <v/>
      </c>
      <c r="DS10" s="185" t="str">
        <f>IF(Tim!DW12=FIT!$E$1,Tim!DW12,"")</f>
        <v/>
      </c>
      <c r="DT10" s="185" t="str">
        <f>IF(Tim!DX12=FIT!$E$1,Tim!DX12,"")</f>
        <v/>
      </c>
      <c r="DU10" s="185" t="str">
        <f>IF(Tim!DY12=FIT!$E$1,Tim!DY12,"")</f>
        <v/>
      </c>
      <c r="DV10" s="185" t="str">
        <f>IF(Tim!DZ12=FIT!$E$1,Tim!DZ12,"")</f>
        <v/>
      </c>
      <c r="DW10" s="185" t="str">
        <f>IF(Tim!EA12=FIT!$E$1,Tim!EA12,"")</f>
        <v/>
      </c>
      <c r="DX10" s="185" t="str">
        <f>IF(Tim!EB12=FIT!$E$1,Tim!EB12,"")</f>
        <v/>
      </c>
      <c r="DY10" s="185" t="str">
        <f>IF(Tim!EC12=FIT!$E$1,Tim!EC12,"")</f>
        <v/>
      </c>
      <c r="DZ10" s="185" t="str">
        <f>IF(Tim!ED12=FIT!$E$1,Tim!ED12,"")</f>
        <v/>
      </c>
      <c r="EA10" s="185" t="str">
        <f>IF(Tim!EE12=FIT!$E$1,Tim!EE12,"")</f>
        <v/>
      </c>
      <c r="EB10" s="185" t="str">
        <f>IF(Tim!EF12=FIT!$E$1,Tim!EF12,"")</f>
        <v/>
      </c>
      <c r="EC10" s="185" t="str">
        <f>IF(Tim!EG12=FIT!$E$1,Tim!EG12,"")</f>
        <v/>
      </c>
      <c r="ED10" s="185" t="str">
        <f>IF(Tim!EH12=FIT!$E$1,Tim!EH12,"")</f>
        <v/>
      </c>
      <c r="EE10" s="185" t="str">
        <f>IF(Tim!EI12=FIT!$E$1,Tim!EI12,"")</f>
        <v/>
      </c>
      <c r="EF10" s="185" t="str">
        <f>IF(Tim!EJ12=FIT!$E$1,Tim!EJ12,"")</f>
        <v/>
      </c>
      <c r="EG10" s="185" t="str">
        <f>IF(Tim!EK12=FIT!$E$1,Tim!EK12,"")</f>
        <v/>
      </c>
      <c r="EH10" s="185" t="str">
        <f>IF(Tim!EL12=FIT!$E$1,Tim!EL12,"")</f>
        <v/>
      </c>
      <c r="EI10" s="185" t="str">
        <f>IF(Tim!EM12=FIT!$E$1,Tim!EM12,"")</f>
        <v/>
      </c>
      <c r="EJ10" s="185" t="str">
        <f>IF(Tim!EN12=FIT!$E$1,Tim!EN12,"")</f>
        <v/>
      </c>
      <c r="EK10" s="185" t="str">
        <f>IF(Tim!EO12=FIT!$E$1,Tim!EO12,"")</f>
        <v/>
      </c>
      <c r="EL10" s="185" t="str">
        <f>IF(Tim!EP12=FIT!$E$1,Tim!EP12,"")</f>
        <v/>
      </c>
      <c r="EM10" s="185" t="str">
        <f>IF(Tim!EQ12=FIT!$E$1,Tim!EQ12,"")</f>
        <v/>
      </c>
      <c r="EN10" s="185" t="str">
        <f>IF(Tim!ER12=FIT!$E$1,Tim!ER12,"")</f>
        <v/>
      </c>
      <c r="EO10" s="185" t="str">
        <f>IF(Tim!ES12=FIT!$E$1,Tim!ES12,"")</f>
        <v/>
      </c>
      <c r="EP10" s="185" t="str">
        <f>IF(Tim!ET12=FIT!$E$1,Tim!ET12,"")</f>
        <v/>
      </c>
      <c r="EQ10" s="185" t="str">
        <f>IF(Tim!EU12=FIT!$E$1,Tim!EU12,"")</f>
        <v/>
      </c>
      <c r="ER10" s="185" t="str">
        <f>IF(Tim!EV12=FIT!$E$1,Tim!EV12,"")</f>
        <v/>
      </c>
      <c r="ES10" s="185" t="str">
        <f>IF(Tim!EW12=FIT!$E$1,Tim!EW12,"")</f>
        <v/>
      </c>
      <c r="ET10" s="185" t="str">
        <f>IF(Tim!EX12=FIT!$E$1,Tim!EX12,"")</f>
        <v/>
      </c>
      <c r="EU10" s="185" t="str">
        <f>IF(Tim!EY12=FIT!$E$1,Tim!EY12,"")</f>
        <v/>
      </c>
      <c r="EV10" s="185" t="str">
        <f>IF(Tim!EZ12=FIT!$E$1,Tim!EZ12,"")</f>
        <v/>
      </c>
      <c r="EW10" s="185" t="str">
        <f>IF(Tim!FA12=FIT!$E$1,Tim!FA12,"")</f>
        <v/>
      </c>
      <c r="EX10" s="185" t="str">
        <f>IF(Tim!FB12=FIT!$E$1,Tim!FB12,"")</f>
        <v/>
      </c>
      <c r="EY10" s="185" t="str">
        <f>IF(Tim!FC12=FIT!$E$1,Tim!FC12,"")</f>
        <v/>
      </c>
      <c r="EZ10" s="185" t="str">
        <f>IF(Tim!FD12=FIT!$E$1,Tim!FD12,"")</f>
        <v/>
      </c>
      <c r="FA10" s="185" t="str">
        <f>IF(Tim!FE12=FIT!$E$1,Tim!FE12,"")</f>
        <v/>
      </c>
      <c r="FB10" s="185" t="str">
        <f>IF(Tim!FF12=FIT!$E$1,Tim!FF12,"")</f>
        <v/>
      </c>
      <c r="FC10" s="185" t="str">
        <f>IF(Tim!FG12=FIT!$E$1,Tim!FG12,"")</f>
        <v/>
      </c>
      <c r="FD10" s="185" t="str">
        <f>IF(Tim!FH12=FIT!$E$1,Tim!FH12,"")</f>
        <v/>
      </c>
      <c r="FE10" s="185" t="str">
        <f>IF(Tim!FI12=FIT!$E$1,Tim!FI12,"")</f>
        <v/>
      </c>
      <c r="FF10" s="185" t="str">
        <f>IF(Tim!FJ12=FIT!$E$1,Tim!FJ12,"")</f>
        <v/>
      </c>
      <c r="FG10" s="185" t="str">
        <f>IF(Tim!FK12=FIT!$E$1,Tim!FK12,"")</f>
        <v/>
      </c>
      <c r="FH10" s="185" t="str">
        <f>IF(Tim!FL12=FIT!$E$1,Tim!FL12,"")</f>
        <v/>
      </c>
      <c r="FI10" s="185" t="str">
        <f>IF(Tim!FM12=FIT!$E$1,Tim!FM12,"")</f>
        <v/>
      </c>
      <c r="FJ10" s="185" t="str">
        <f>IF(Tim!FN12=FIT!$E$1,Tim!FN12,"")</f>
        <v/>
      </c>
      <c r="FK10" s="185" t="str">
        <f>IF(Tim!FO12=FIT!$E$1,Tim!FO12,"")</f>
        <v/>
      </c>
      <c r="FL10" s="185" t="str">
        <f>IF(Tim!FP12=FIT!$E$1,Tim!FP12,"")</f>
        <v/>
      </c>
      <c r="FM10" s="185" t="str">
        <f>IF(Tim!FQ12=FIT!$E$1,Tim!FQ12,"")</f>
        <v/>
      </c>
      <c r="FN10" s="185" t="str">
        <f>IF(Tim!FR12=FIT!$E$1,Tim!FR12,"")</f>
        <v/>
      </c>
      <c r="FO10" s="185" t="str">
        <f>IF(Tim!FS12=FIT!$E$1,Tim!FS12,"")</f>
        <v/>
      </c>
      <c r="FP10" s="185" t="str">
        <f>IF(Tim!FT12=FIT!$E$1,Tim!FT12,"")</f>
        <v/>
      </c>
      <c r="FQ10" s="185" t="str">
        <f>IF(Tim!FU12=FIT!$E$1,Tim!FU12,"")</f>
        <v/>
      </c>
      <c r="FR10" s="185" t="str">
        <f>IF(Tim!FV12=FIT!$E$1,Tim!FV12,"")</f>
        <v/>
      </c>
      <c r="FS10" s="185" t="str">
        <f>IF(Tim!FW12=FIT!$E$1,Tim!FW12,"")</f>
        <v/>
      </c>
      <c r="FT10" s="185" t="str">
        <f>IF(Tim!FX12=FIT!$E$1,Tim!FX12,"")</f>
        <v/>
      </c>
      <c r="FU10" s="185" t="str">
        <f>IF(Tim!FY12=FIT!$E$1,Tim!FY12,"")</f>
        <v/>
      </c>
      <c r="FV10" s="185" t="str">
        <f>IF(Tim!FZ12=FIT!$E$1,Tim!FZ12,"")</f>
        <v/>
      </c>
      <c r="FW10" s="185" t="str">
        <f>IF(Tim!GA12=FIT!$E$1,Tim!GA12,"")</f>
        <v/>
      </c>
      <c r="FX10" s="185" t="str">
        <f>IF(Tim!GB12=FIT!$E$1,Tim!GB12,"")</f>
        <v/>
      </c>
      <c r="FY10" s="185" t="str">
        <f>IF(Tim!GC12=FIT!$E$1,Tim!GC12,"")</f>
        <v/>
      </c>
      <c r="FZ10" s="185" t="str">
        <f>IF(Tim!GD12=FIT!$E$1,Tim!GD12,"")</f>
        <v/>
      </c>
      <c r="GA10" s="185" t="str">
        <f>IF(Tim!GE12=FIT!$E$1,Tim!GE12,"")</f>
        <v/>
      </c>
      <c r="GB10" s="185" t="str">
        <f>IF(Tim!GF12=FIT!$E$1,Tim!GF12,"")</f>
        <v/>
      </c>
      <c r="GC10" s="185" t="str">
        <f>IF(Tim!GG12=FIT!$E$1,Tim!GG12,"")</f>
        <v/>
      </c>
      <c r="GD10" s="185" t="str">
        <f>IF(Tim!GH12=FIT!$E$1,Tim!GH12,"")</f>
        <v/>
      </c>
      <c r="GE10" s="185" t="str">
        <f>IF(Tim!GI12=FIT!$E$1,Tim!GI12,"")</f>
        <v/>
      </c>
      <c r="GF10" s="185" t="str">
        <f>IF(Tim!GJ12=FIT!$E$1,Tim!GJ12,"")</f>
        <v/>
      </c>
      <c r="GG10" s="185" t="str">
        <f>IF(Tim!GK12=FIT!$E$1,Tim!GK12,"")</f>
        <v/>
      </c>
      <c r="GH10" s="185" t="str">
        <f>IF(Tim!GL12=FIT!$E$1,Tim!GL12,"")</f>
        <v/>
      </c>
      <c r="GI10" s="185" t="str">
        <f>IF(Tim!GM12=FIT!$E$1,Tim!GM12,"")</f>
        <v/>
      </c>
      <c r="GJ10" s="185" t="str">
        <f>IF(Tim!GN12=FIT!$E$1,Tim!GN12,"")</f>
        <v/>
      </c>
      <c r="GK10" s="185" t="str">
        <f>IF(Tim!GO12=FIT!$E$1,Tim!GO12,"")</f>
        <v/>
      </c>
      <c r="GL10" s="185" t="str">
        <f>IF(Tim!GP12=FIT!$E$1,Tim!GP12,"")</f>
        <v/>
      </c>
      <c r="GM10" s="185" t="str">
        <f>IF(Tim!GQ12=FIT!$E$1,Tim!GQ12,"")</f>
        <v/>
      </c>
      <c r="GN10" s="185" t="str">
        <f>IF(Tim!GR12=FIT!$E$1,Tim!GR12,"")</f>
        <v/>
      </c>
      <c r="GO10" s="185" t="str">
        <f>IF(Tim!GS12=FIT!$E$1,Tim!GS12,"")</f>
        <v/>
      </c>
      <c r="GP10" s="185" t="str">
        <f>IF(Tim!GT12=FIT!$E$1,Tim!GT12,"")</f>
        <v/>
      </c>
      <c r="GQ10" s="185" t="str">
        <f>IF(Tim!GU12=FIT!$E$1,Tim!GU12,"")</f>
        <v/>
      </c>
      <c r="GR10" s="185" t="str">
        <f>IF(Tim!GV12=FIT!$E$1,Tim!GV12,"")</f>
        <v/>
      </c>
      <c r="GS10" s="185" t="str">
        <f>IF(Tim!GW12=FIT!$E$1,Tim!GW12,"")</f>
        <v/>
      </c>
      <c r="GT10" s="185" t="str">
        <f>IF(Tim!GX12=FIT!$E$1,Tim!GX12,"")</f>
        <v/>
      </c>
      <c r="GU10" s="185" t="str">
        <f>IF(Tim!GY12=FIT!$E$1,Tim!GY12,"")</f>
        <v/>
      </c>
      <c r="GV10" s="185" t="str">
        <f>IF(Tim!GZ12=FIT!$E$1,Tim!GZ12,"")</f>
        <v/>
      </c>
      <c r="GW10" s="185" t="str">
        <f>IF(Tim!HA12=FIT!$E$1,Tim!HA12,"")</f>
        <v/>
      </c>
      <c r="GX10" s="185" t="str">
        <f>IF(Tim!HB12=FIT!$E$1,Tim!HB12,"")</f>
        <v/>
      </c>
      <c r="GY10" s="185" t="str">
        <f>IF(Tim!HC12=FIT!$E$1,Tim!HC12,"")</f>
        <v/>
      </c>
      <c r="GZ10" s="185" t="str">
        <f>IF(Tim!HD12=FIT!$E$1,Tim!HD12,"")</f>
        <v/>
      </c>
      <c r="HA10" s="185" t="str">
        <f>IF(Tim!HE12=FIT!$E$1,Tim!HE12,"")</f>
        <v/>
      </c>
      <c r="HB10" s="185" t="str">
        <f>IF(Tim!HF12=FIT!$E$1,Tim!HF12,"")</f>
        <v/>
      </c>
      <c r="HC10" s="185" t="str">
        <f>IF(Tim!HG12=FIT!$E$1,Tim!HG12,"")</f>
        <v/>
      </c>
      <c r="HD10" s="185" t="str">
        <f>IF(Tim!HH12=FIT!$E$1,Tim!HH12,"")</f>
        <v/>
      </c>
      <c r="HE10" s="185" t="str">
        <f>IF(Tim!HI12=FIT!$E$1,Tim!HI12,"")</f>
        <v/>
      </c>
      <c r="HF10" s="185" t="str">
        <f>IF(Tim!HJ12=FIT!$E$1,Tim!HJ12,"")</f>
        <v/>
      </c>
      <c r="HG10" s="185" t="str">
        <f>IF(Tim!HK12=FIT!$E$1,Tim!HK12,"")</f>
        <v/>
      </c>
      <c r="HH10" s="185" t="str">
        <f>IF(Tim!HL12=FIT!$E$1,Tim!HL12,"")</f>
        <v/>
      </c>
      <c r="HI10" s="185" t="str">
        <f>IF(Tim!HM12=FIT!$E$1,Tim!HM12,"")</f>
        <v/>
      </c>
      <c r="HJ10" s="185" t="str">
        <f>IF(Tim!HN12=FIT!$E$1,Tim!HN12,"")</f>
        <v/>
      </c>
      <c r="HK10" s="185" t="str">
        <f>IF(Tim!HO12=FIT!$E$1,Tim!HO12,"")</f>
        <v/>
      </c>
      <c r="HL10" s="185" t="str">
        <f>IF(Tim!HP12=FIT!$E$1,Tim!HP12,"")</f>
        <v/>
      </c>
      <c r="HM10" s="185" t="str">
        <f>IF(Tim!HQ12=FIT!$E$1,Tim!HQ12,"")</f>
        <v/>
      </c>
      <c r="HN10" s="185" t="str">
        <f>IF(Tim!HR12=FIT!$E$1,Tim!HR12,"")</f>
        <v/>
      </c>
      <c r="HO10" s="185" t="str">
        <f>IF(Tim!HS12=FIT!$E$1,Tim!HS12,"")</f>
        <v/>
      </c>
      <c r="HP10" s="185" t="str">
        <f>IF(Tim!HT12=FIT!$E$1,Tim!HT12,"")</f>
        <v/>
      </c>
      <c r="HQ10" s="185" t="str">
        <f>IF(Tim!HU12=FIT!$E$1,Tim!HU12,"")</f>
        <v/>
      </c>
      <c r="HR10" s="469"/>
      <c r="HS10" s="366"/>
      <c r="HT10" s="366"/>
      <c r="HU10" s="366"/>
      <c r="HV10" s="366"/>
      <c r="HW10" s="366"/>
      <c r="HX10" s="366"/>
      <c r="HY10" s="366"/>
      <c r="HZ10" s="366"/>
      <c r="IA10" s="366"/>
      <c r="IB10" s="366"/>
      <c r="IC10" s="366"/>
      <c r="ID10" s="366"/>
      <c r="IE10" s="366"/>
      <c r="IF10" s="366"/>
      <c r="IG10" s="366"/>
      <c r="IH10" s="366"/>
      <c r="II10" s="366"/>
      <c r="IJ10" s="366"/>
      <c r="IK10" s="366"/>
      <c r="IL10" s="366"/>
      <c r="IM10" s="366"/>
      <c r="IN10" s="366"/>
      <c r="IO10" s="366"/>
      <c r="IP10" s="366"/>
      <c r="IQ10" s="366"/>
      <c r="IR10" s="366"/>
      <c r="IS10" s="366"/>
      <c r="IT10" s="366"/>
      <c r="IU10" s="366"/>
      <c r="IV10" s="366"/>
      <c r="IW10" s="366"/>
      <c r="IX10" s="366"/>
      <c r="IY10" s="366"/>
      <c r="IZ10" s="366"/>
      <c r="JA10" s="366"/>
      <c r="JB10" s="366"/>
      <c r="JC10" s="366"/>
      <c r="JD10" s="366"/>
      <c r="JE10" s="366"/>
      <c r="JF10" s="366"/>
      <c r="JG10" s="366"/>
      <c r="JH10" s="366"/>
      <c r="JI10" s="428"/>
      <c r="JJ10" s="469"/>
      <c r="JK10" s="366"/>
      <c r="JL10" s="366"/>
      <c r="JM10" s="366"/>
      <c r="JN10" s="366"/>
      <c r="JO10" s="366"/>
      <c r="JP10" s="366"/>
      <c r="JQ10" s="366"/>
      <c r="JR10" s="366"/>
      <c r="JS10" s="366"/>
      <c r="JT10" s="366"/>
      <c r="JU10" s="366"/>
      <c r="JV10" s="366"/>
      <c r="JW10" s="366"/>
      <c r="JX10" s="366"/>
      <c r="JY10" s="366"/>
      <c r="JZ10" s="366"/>
      <c r="KA10" s="366"/>
      <c r="KB10" s="366"/>
      <c r="KC10" s="366"/>
      <c r="KD10" s="366"/>
      <c r="KE10" s="366"/>
      <c r="KF10" s="366"/>
      <c r="KG10" s="366"/>
      <c r="KH10" s="366"/>
      <c r="KI10" s="366"/>
      <c r="KJ10" s="366"/>
      <c r="KK10" s="366"/>
      <c r="KL10" s="366"/>
      <c r="KM10" s="366"/>
      <c r="KN10" s="366"/>
      <c r="KO10" s="366"/>
      <c r="KP10" s="366"/>
      <c r="KQ10" s="366"/>
      <c r="KR10" s="366"/>
      <c r="KS10" s="366"/>
      <c r="KT10" s="366"/>
      <c r="KU10" s="366"/>
      <c r="KV10" s="366"/>
      <c r="KW10" s="366"/>
      <c r="KX10" s="366"/>
      <c r="KY10" s="366"/>
      <c r="KZ10" s="366"/>
      <c r="LA10" s="428"/>
      <c r="LB10" s="52">
        <v>0.34375</v>
      </c>
    </row>
    <row r="11" spans="2:314" ht="10.5" customHeight="1">
      <c r="B11" s="49">
        <v>0.25</v>
      </c>
      <c r="C11" s="49">
        <v>0.25</v>
      </c>
      <c r="D11" s="49">
        <v>0.25</v>
      </c>
      <c r="E11" s="172">
        <v>0.35416666666666602</v>
      </c>
      <c r="F11" s="238" t="str">
        <f>IF(Tim!F13=FIT!$E$1,Tim!F13,"")</f>
        <v/>
      </c>
      <c r="G11" s="185" t="str">
        <f>IF(Tim!G13=FIT!$E$1,Tim!G13,"")</f>
        <v/>
      </c>
      <c r="H11" s="185" t="str">
        <f>IF(Tim!H13=FIT!$E$1,Tim!H13,"")</f>
        <v/>
      </c>
      <c r="I11" s="185" t="str">
        <f>IF(Tim!I13=FIT!$E$1,Tim!I13,"")</f>
        <v/>
      </c>
      <c r="J11" s="185" t="str">
        <f>IF(Tim!J13=FIT!$E$1,Tim!J13,"")</f>
        <v/>
      </c>
      <c r="K11" s="185" t="str">
        <f>IF(Tim!K13=FIT!$E$1,Tim!K13,"")</f>
        <v/>
      </c>
      <c r="L11" s="185" t="str">
        <f>IF(Tim!L13=FIT!$E$1,Tim!L13,"")</f>
        <v/>
      </c>
      <c r="M11" s="185" t="str">
        <f>IF(Tim!M13=FIT!$E$1,Tim!M13,"")</f>
        <v/>
      </c>
      <c r="N11" s="185" t="str">
        <f>IF(Tim!N13=FIT!$E$1,Tim!N13,"")</f>
        <v/>
      </c>
      <c r="O11" s="185" t="str">
        <f>IF(Tim!O13=FIT!$E$1,Tim!O13,"")</f>
        <v/>
      </c>
      <c r="P11" s="185" t="str">
        <f>IF(Tim!P13=FIT!$E$1,Tim!P13,"")</f>
        <v/>
      </c>
      <c r="Q11" s="185" t="str">
        <f>IF(Tim!Q13=FIT!$E$1,Tim!Q13,"")</f>
        <v/>
      </c>
      <c r="R11" s="185" t="str">
        <f>IF(Tim!R13=FIT!$E$1,Tim!R13,"")</f>
        <v/>
      </c>
      <c r="S11" s="185" t="str">
        <f>IF(Tim!S13=FIT!$E$1,Tim!S13,"")</f>
        <v/>
      </c>
      <c r="T11" s="185" t="str">
        <f>IF(Tim!T13=FIT!$E$1,Tim!T13,"")</f>
        <v/>
      </c>
      <c r="U11" s="185" t="str">
        <f>IF(Tim!U13=FIT!$E$1,Tim!U13,"")</f>
        <v/>
      </c>
      <c r="V11" s="185" t="str">
        <f>IF(Tim!W13=FIT!$E$1,Tim!W13,"")</f>
        <v/>
      </c>
      <c r="W11" s="185" t="str">
        <f>IF(Tim!X13=FIT!$E$1,Tim!X13,"")</f>
        <v/>
      </c>
      <c r="X11" s="185" t="str">
        <f>IF(Tim!Y13=FIT!$E$1,Tim!Y13,"")</f>
        <v/>
      </c>
      <c r="Y11" s="185" t="str">
        <f>IF(Tim!Z13=FIT!$E$1,Tim!Z13,"")</f>
        <v/>
      </c>
      <c r="Z11" s="185" t="str">
        <f>IF(Tim!AA13=FIT!$E$1,Tim!AA13,"")</f>
        <v/>
      </c>
      <c r="AA11" s="185" t="str">
        <f>IF(Tim!AB13=FIT!$E$1,Tim!AB13,"")</f>
        <v/>
      </c>
      <c r="AB11" s="185" t="str">
        <f>IF(Tim!AC13=FIT!$E$1,Tim!AC13,"")</f>
        <v/>
      </c>
      <c r="AC11" s="185" t="str">
        <f>IF(Tim!AD13=FIT!$E$1,Tim!AD13,"")</f>
        <v/>
      </c>
      <c r="AD11" s="185" t="str">
        <f>IF(Tim!AE13=FIT!$E$1,Tim!AE13,"")</f>
        <v/>
      </c>
      <c r="AE11" s="185" t="str">
        <f>IF(Tim!AF13=FIT!$E$1,Tim!AF13,"")</f>
        <v/>
      </c>
      <c r="AF11" s="185" t="str">
        <f>IF(Tim!AG13=FIT!$E$1,Tim!AG13,"")</f>
        <v/>
      </c>
      <c r="AG11" s="185" t="str">
        <f>IF(Tim!AH13=FIT!$E$1,Tim!AH13,"")</f>
        <v/>
      </c>
      <c r="AH11" s="185" t="str">
        <f>IF(Tim!AI13=FIT!$E$1,Tim!AI13,"")</f>
        <v/>
      </c>
      <c r="AI11" s="185" t="str">
        <f>IF(Tim!AJ13=FIT!$E$1,Tim!AJ13,"")</f>
        <v/>
      </c>
      <c r="AJ11" s="185" t="str">
        <f>IF(Tim!AK13=FIT!$E$1,Tim!AK13,"")</f>
        <v/>
      </c>
      <c r="AK11" s="185" t="str">
        <f>IF(Tim!AL13=FIT!$E$1,Tim!AL13,"")</f>
        <v/>
      </c>
      <c r="AL11" s="185" t="str">
        <f>IF(Tim!AM13=FIT!$E$1,Tim!AM13,"")</f>
        <v/>
      </c>
      <c r="AM11" s="185" t="str">
        <f>IF(Tim!AN13=FIT!$E$1,Tim!AN13,"")</f>
        <v/>
      </c>
      <c r="AN11" s="185" t="str">
        <f>IF(Tim!AO13=FIT!$E$1,Tim!AO13,"")</f>
        <v/>
      </c>
      <c r="AO11" s="185" t="str">
        <f>IF(Tim!AP13=FIT!$E$1,Tim!AP13,"")</f>
        <v/>
      </c>
      <c r="AP11" s="185" t="str">
        <f>IF(Tim!AQ13=FIT!$E$1,Tim!AQ13,"")</f>
        <v/>
      </c>
      <c r="AQ11" s="185" t="str">
        <f>IF(Tim!AR13=FIT!$E$1,Tim!AR13,"")</f>
        <v/>
      </c>
      <c r="AR11" s="185" t="str">
        <f>IF(Tim!AS13=FIT!$E$1,Tim!AS13,"")</f>
        <v/>
      </c>
      <c r="AS11" s="185" t="str">
        <f>IF(Tim!AT13=FIT!$E$1,Tim!AT13,"")</f>
        <v/>
      </c>
      <c r="AT11" s="185" t="str">
        <f>IF(Tim!AU13=FIT!$E$1,Tim!AU13,"")</f>
        <v/>
      </c>
      <c r="AU11" s="185" t="str">
        <f>IF(Tim!AV13=FIT!$E$1,Tim!AV13,"")</f>
        <v/>
      </c>
      <c r="AV11" s="185" t="str">
        <f>IF(Tim!AW13=FIT!$E$1,Tim!AW13,"")</f>
        <v/>
      </c>
      <c r="AW11" s="186" t="str">
        <f>IF(Tim!AX13=FIT!$E$1,Tim!AX13,"")</f>
        <v/>
      </c>
      <c r="AX11" s="243" t="str">
        <f>IF(Tim!AY13=FIT!$E$1,Tim!AY13,"")</f>
        <v/>
      </c>
      <c r="AY11" s="185" t="str">
        <f>IF(Tim!AZ13=FIT!$E$1,Tim!AZ13,"")</f>
        <v/>
      </c>
      <c r="AZ11" s="185" t="str">
        <f>IF(Tim!BA13=FIT!$E$1,Tim!BA13,"")</f>
        <v/>
      </c>
      <c r="BA11" s="185" t="str">
        <f>IF(Tim!BB13=FIT!$E$1,Tim!BB13,"")</f>
        <v/>
      </c>
      <c r="BB11" s="185" t="str">
        <f>IF(Tim!BC13=FIT!$E$1,Tim!BC13,"")</f>
        <v/>
      </c>
      <c r="BC11" s="185" t="str">
        <f>IF(Tim!BD13=FIT!$E$1,Tim!BD13,"")</f>
        <v/>
      </c>
      <c r="BD11" s="185" t="str">
        <f>IF(Tim!BE13=FIT!$E$1,Tim!BE13,"")</f>
        <v/>
      </c>
      <c r="BE11" s="185" t="str">
        <f>IF(Tim!BF13=FIT!$E$1,Tim!BF13,"")</f>
        <v/>
      </c>
      <c r="BF11" s="185" t="str">
        <f>IF(Tim!BG13=FIT!$E$1,Tim!BG13,"")</f>
        <v/>
      </c>
      <c r="BG11" s="185" t="str">
        <f>IF(Tim!BH13=FIT!$E$1,Tim!BH13,"")</f>
        <v/>
      </c>
      <c r="BH11" s="185" t="str">
        <f>IF(Tim!BI13=FIT!$E$1,Tim!BI13,"")</f>
        <v/>
      </c>
      <c r="BI11" s="185" t="str">
        <f>IF(Tim!BJ13=FIT!$E$1,Tim!BJ13,"")</f>
        <v/>
      </c>
      <c r="BJ11" s="185" t="str">
        <f>IF(Tim!BK13=FIT!$E$1,Tim!BK13,"")</f>
        <v/>
      </c>
      <c r="BK11" s="185" t="str">
        <f>IF(Tim!BL13=FIT!$E$1,Tim!BL13,"")</f>
        <v/>
      </c>
      <c r="BL11" s="185" t="str">
        <f>IF(Tim!BM13=FIT!$E$1,Tim!BM13,"")</f>
        <v/>
      </c>
      <c r="BM11" s="185" t="str">
        <f>IF(Tim!BN13=FIT!$E$1,Tim!BN13,"")</f>
        <v/>
      </c>
      <c r="BN11" s="185" t="str">
        <f>IF(Tim!BO13=FIT!$E$1,Tim!BO13,"")</f>
        <v/>
      </c>
      <c r="BO11" s="185" t="str">
        <f>IF(Tim!BP13=FIT!$E$1,Tim!BP13,"")</f>
        <v/>
      </c>
      <c r="BP11" s="185" t="str">
        <f>IF(Tim!BQ13=FIT!$E$1,Tim!BQ13,"")</f>
        <v/>
      </c>
      <c r="BQ11" s="185" t="str">
        <f>IF(Tim!BR13=FIT!$E$1,Tim!BR13,"")</f>
        <v/>
      </c>
      <c r="BR11" s="185" t="str">
        <f>IF(Tim!BS13=FIT!$E$1,Tim!BS13,"")</f>
        <v/>
      </c>
      <c r="BS11" s="185" t="str">
        <f>IF(Tim!BT13=FIT!$E$1,Tim!BT13,"")</f>
        <v/>
      </c>
      <c r="BT11" s="185" t="str">
        <f>IF(Tim!BU13=FIT!$E$1,Tim!BU13,"")</f>
        <v/>
      </c>
      <c r="BU11" s="185" t="str">
        <f>IF(Tim!BV13=FIT!$E$1,Tim!BV13,"")</f>
        <v/>
      </c>
      <c r="BV11" s="185" t="str">
        <f>IF(Tim!BW13=FIT!$E$1,Tim!BW13,"")</f>
        <v/>
      </c>
      <c r="BW11" s="185" t="str">
        <f>IF(Tim!BX13=FIT!$E$1,Tim!BX13,"")</f>
        <v/>
      </c>
      <c r="BX11" s="185" t="str">
        <f>IF(Tim!BY13=FIT!$E$1,Tim!BY13,"")</f>
        <v/>
      </c>
      <c r="BY11" s="185" t="str">
        <f>IF(Tim!BZ13=FIT!$E$1,Tim!BZ13,"")</f>
        <v/>
      </c>
      <c r="BZ11" s="185" t="str">
        <f>IF(Tim!CA13=FIT!$E$1,Tim!CA13,"")</f>
        <v/>
      </c>
      <c r="CA11" s="185" t="str">
        <f>IF(Tim!CB13=FIT!$E$1,Tim!CB13,"")</f>
        <v/>
      </c>
      <c r="CB11" s="185" t="str">
        <f>IF(Tim!CC13=FIT!$E$1,Tim!CC13,"")</f>
        <v/>
      </c>
      <c r="CC11" s="185" t="str">
        <f>IF(Tim!CD13=FIT!$E$1,Tim!CD13,"")</f>
        <v/>
      </c>
      <c r="CD11" s="185" t="str">
        <f>IF(Tim!CE13=FIT!$E$1,Tim!CE13,"")</f>
        <v/>
      </c>
      <c r="CE11" s="185" t="str">
        <f>IF(Tim!CF13=FIT!$E$1,Tim!CF13,"")</f>
        <v/>
      </c>
      <c r="CF11" s="185" t="str">
        <f>IF(Tim!CG13=FIT!$E$1,Tim!CG13,"")</f>
        <v/>
      </c>
      <c r="CG11" s="185" t="str">
        <f>IF(Tim!CH13=FIT!$E$1,Tim!CH13,"")</f>
        <v/>
      </c>
      <c r="CH11" s="185" t="str">
        <f>IF(Tim!CI13=FIT!$E$1,Tim!CI13,"")</f>
        <v/>
      </c>
      <c r="CI11" s="185" t="str">
        <f>IF(Tim!CJ13=FIT!$E$1,Tim!CJ13,"")</f>
        <v/>
      </c>
      <c r="CJ11" s="185" t="str">
        <f>IF(Tim!CK13=FIT!$E$1,Tim!CK13,"")</f>
        <v/>
      </c>
      <c r="CK11" s="185" t="str">
        <f>IF(Tim!CL13=FIT!$E$1,Tim!CL13,"")</f>
        <v/>
      </c>
      <c r="CL11" s="185" t="str">
        <f>IF(Tim!CM13=FIT!$E$1,Tim!CM13,"")</f>
        <v/>
      </c>
      <c r="CM11" s="185" t="str">
        <f>IF(Tim!CN13=FIT!$E$1,Tim!CN13,"")</f>
        <v/>
      </c>
      <c r="CN11" s="185" t="str">
        <f>IF(Tim!CO13=FIT!$E$1,Tim!CO13,"")</f>
        <v/>
      </c>
      <c r="CO11" s="185" t="str">
        <f>IF(Tim!CP13=FIT!$E$1,Tim!CP13,"")</f>
        <v/>
      </c>
      <c r="CP11" s="185" t="str">
        <f>IF(Tim!CQ13=FIT!$E$1,Tim!CQ13,"")</f>
        <v/>
      </c>
      <c r="CQ11" s="185" t="str">
        <f>IF(Tim!CR13=FIT!$E$1,Tim!CR13,"")</f>
        <v/>
      </c>
      <c r="CR11" s="185" t="str">
        <f>IF(Tim!CS13=FIT!$E$1,Tim!CS13,"")</f>
        <v/>
      </c>
      <c r="CS11" s="185" t="str">
        <f>IF(Tim!CT13=FIT!$E$1,Tim!CT13,"")</f>
        <v/>
      </c>
      <c r="CT11" s="185" t="str">
        <f>IF(Tim!CU13=FIT!$E$1,Tim!CU13,"")</f>
        <v/>
      </c>
      <c r="CU11" s="185" t="str">
        <f>IF(Tim!CV13=FIT!$E$1,Tim!CV13,"")</f>
        <v/>
      </c>
      <c r="CV11" s="185" t="str">
        <f>IF(Tim!CW13=FIT!$E$1,Tim!CW13,"")</f>
        <v/>
      </c>
      <c r="CW11" s="185" t="str">
        <f>IF(Tim!CX13=FIT!$E$1,Tim!CX13,"")</f>
        <v/>
      </c>
      <c r="CX11" s="185" t="str">
        <f>IF(Tim!CY13=FIT!$E$1,Tim!CY13,"")</f>
        <v/>
      </c>
      <c r="CY11" s="185" t="str">
        <f>IF(Tim!CZ13=FIT!$E$1,Tim!CZ13,"")</f>
        <v/>
      </c>
      <c r="CZ11" s="185" t="str">
        <f>IF(Tim!DA13=FIT!$E$1,Tim!DA13,"")</f>
        <v/>
      </c>
      <c r="DA11" s="185" t="str">
        <f>IF(Tim!DB13=FIT!$E$1,Tim!DB13,"")</f>
        <v/>
      </c>
      <c r="DB11" s="185" t="str">
        <f>IF(Tim!DC13=FIT!$E$1,Tim!DC13,"")</f>
        <v/>
      </c>
      <c r="DC11" s="185" t="str">
        <f>IF(Tim!DD13=FIT!$E$1,Tim!DD13,"")</f>
        <v/>
      </c>
      <c r="DD11" s="185" t="str">
        <f>IF(Tim!DE13=FIT!$E$1,Tim!DE13,"")</f>
        <v/>
      </c>
      <c r="DE11" s="185" t="str">
        <f>IF(Tim!DF13=FIT!$E$1,Tim!DF13,"")</f>
        <v/>
      </c>
      <c r="DF11" s="185" t="str">
        <f>IF(Tim!DG13=FIT!$E$1,Tim!DG13,"")</f>
        <v/>
      </c>
      <c r="DG11" s="185" t="str">
        <f>IF(Tim!DH13=FIT!$E$1,Tim!DH13,"")</f>
        <v/>
      </c>
      <c r="DH11" s="185" t="str">
        <f>IF(Tim!DI13=FIT!$E$1,Tim!DI13,"")</f>
        <v/>
      </c>
      <c r="DI11" s="185" t="str">
        <f>IF(Tim!DM13=FIT!$E$1,Tim!DM13,"")</f>
        <v/>
      </c>
      <c r="DJ11" s="185" t="str">
        <f>IF(Tim!DN13=FIT!$E$1,Tim!DN13,"")</f>
        <v/>
      </c>
      <c r="DK11" s="185" t="str">
        <f>IF(Tim!DO13=FIT!$E$1,Tim!DO13,"")</f>
        <v/>
      </c>
      <c r="DL11" s="185" t="str">
        <f>IF(Tim!DP13=FIT!$E$1,Tim!DP13,"")</f>
        <v/>
      </c>
      <c r="DM11" s="185" t="str">
        <f>IF(Tim!DQ13=FIT!$E$1,Tim!DQ13,"")</f>
        <v/>
      </c>
      <c r="DN11" s="185" t="str">
        <f>IF(Tim!DR13=FIT!$E$1,Tim!DR13,"")</f>
        <v/>
      </c>
      <c r="DO11" s="185" t="str">
        <f>IF(Tim!DS13=FIT!$E$1,Tim!DS13,"")</f>
        <v/>
      </c>
      <c r="DP11" s="185" t="str">
        <f>IF(Tim!DT13=FIT!$E$1,Tim!DT13,"")</f>
        <v/>
      </c>
      <c r="DQ11" s="185" t="str">
        <f>IF(Tim!DU13=FIT!$E$1,Tim!DU13,"")</f>
        <v/>
      </c>
      <c r="DR11" s="185" t="str">
        <f>IF(Tim!DV13=FIT!$E$1,Tim!DV13,"")</f>
        <v/>
      </c>
      <c r="DS11" s="185" t="str">
        <f>IF(Tim!DW13=FIT!$E$1,Tim!DW13,"")</f>
        <v/>
      </c>
      <c r="DT11" s="185" t="str">
        <f>IF(Tim!DX13=FIT!$E$1,Tim!DX13,"")</f>
        <v/>
      </c>
      <c r="DU11" s="185" t="str">
        <f>IF(Tim!DY13=FIT!$E$1,Tim!DY13,"")</f>
        <v/>
      </c>
      <c r="DV11" s="185" t="str">
        <f>IF(Tim!DZ13=FIT!$E$1,Tim!DZ13,"")</f>
        <v/>
      </c>
      <c r="DW11" s="185" t="str">
        <f>IF(Tim!EA13=FIT!$E$1,Tim!EA13,"")</f>
        <v/>
      </c>
      <c r="DX11" s="185" t="str">
        <f>IF(Tim!EB13=FIT!$E$1,Tim!EB13,"")</f>
        <v/>
      </c>
      <c r="DY11" s="185" t="str">
        <f>IF(Tim!EC13=FIT!$E$1,Tim!EC13,"")</f>
        <v/>
      </c>
      <c r="DZ11" s="185" t="str">
        <f>IF(Tim!ED13=FIT!$E$1,Tim!ED13,"")</f>
        <v/>
      </c>
      <c r="EA11" s="185" t="str">
        <f>IF(Tim!EE13=FIT!$E$1,Tim!EE13,"")</f>
        <v/>
      </c>
      <c r="EB11" s="185" t="str">
        <f>IF(Tim!EF13=FIT!$E$1,Tim!EF13,"")</f>
        <v/>
      </c>
      <c r="EC11" s="185" t="str">
        <f>IF(Tim!EG13=FIT!$E$1,Tim!EG13,"")</f>
        <v/>
      </c>
      <c r="ED11" s="185" t="str">
        <f>IF(Tim!EH13=FIT!$E$1,Tim!EH13,"")</f>
        <v/>
      </c>
      <c r="EE11" s="185" t="str">
        <f>IF(Tim!EI13=FIT!$E$1,Tim!EI13,"")</f>
        <v/>
      </c>
      <c r="EF11" s="185" t="str">
        <f>IF(Tim!EJ13=FIT!$E$1,Tim!EJ13,"")</f>
        <v/>
      </c>
      <c r="EG11" s="185" t="str">
        <f>IF(Tim!EK13=FIT!$E$1,Tim!EK13,"")</f>
        <v/>
      </c>
      <c r="EH11" s="185" t="str">
        <f>IF(Tim!EL13=FIT!$E$1,Tim!EL13,"")</f>
        <v/>
      </c>
      <c r="EI11" s="185" t="str">
        <f>IF(Tim!EM13=FIT!$E$1,Tim!EM13,"")</f>
        <v/>
      </c>
      <c r="EJ11" s="185" t="str">
        <f>IF(Tim!EN13=FIT!$E$1,Tim!EN13,"")</f>
        <v/>
      </c>
      <c r="EK11" s="185" t="str">
        <f>IF(Tim!EO13=FIT!$E$1,Tim!EO13,"")</f>
        <v/>
      </c>
      <c r="EL11" s="185" t="str">
        <f>IF(Tim!EP13=FIT!$E$1,Tim!EP13,"")</f>
        <v/>
      </c>
      <c r="EM11" s="185" t="str">
        <f>IF(Tim!EQ13=FIT!$E$1,Tim!EQ13,"")</f>
        <v/>
      </c>
      <c r="EN11" s="185" t="str">
        <f>IF(Tim!ER13=FIT!$E$1,Tim!ER13,"")</f>
        <v/>
      </c>
      <c r="EO11" s="185" t="str">
        <f>IF(Tim!ES13=FIT!$E$1,Tim!ES13,"")</f>
        <v/>
      </c>
      <c r="EP11" s="185" t="str">
        <f>IF(Tim!ET13=FIT!$E$1,Tim!ET13,"")</f>
        <v/>
      </c>
      <c r="EQ11" s="185" t="str">
        <f>IF(Tim!EU13=FIT!$E$1,Tim!EU13,"")</f>
        <v/>
      </c>
      <c r="ER11" s="185" t="str">
        <f>IF(Tim!EV13=FIT!$E$1,Tim!EV13,"")</f>
        <v/>
      </c>
      <c r="ES11" s="185" t="str">
        <f>IF(Tim!EW13=FIT!$E$1,Tim!EW13,"")</f>
        <v/>
      </c>
      <c r="ET11" s="185" t="str">
        <f>IF(Tim!EX13=FIT!$E$1,Tim!EX13,"")</f>
        <v/>
      </c>
      <c r="EU11" s="185" t="str">
        <f>IF(Tim!EY13=FIT!$E$1,Tim!EY13,"")</f>
        <v/>
      </c>
      <c r="EV11" s="185" t="str">
        <f>IF(Tim!EZ13=FIT!$E$1,Tim!EZ13,"")</f>
        <v/>
      </c>
      <c r="EW11" s="185" t="str">
        <f>IF(Tim!FA13=FIT!$E$1,Tim!FA13,"")</f>
        <v/>
      </c>
      <c r="EX11" s="185" t="str">
        <f>IF(Tim!FB13=FIT!$E$1,Tim!FB13,"")</f>
        <v/>
      </c>
      <c r="EY11" s="185" t="str">
        <f>IF(Tim!FC13=FIT!$E$1,Tim!FC13,"")</f>
        <v/>
      </c>
      <c r="EZ11" s="185" t="str">
        <f>IF(Tim!FD13=FIT!$E$1,Tim!FD13,"")</f>
        <v/>
      </c>
      <c r="FA11" s="185" t="str">
        <f>IF(Tim!FE13=FIT!$E$1,Tim!FE13,"")</f>
        <v/>
      </c>
      <c r="FB11" s="185" t="str">
        <f>IF(Tim!FF13=FIT!$E$1,Tim!FF13,"")</f>
        <v/>
      </c>
      <c r="FC11" s="185" t="str">
        <f>IF(Tim!FG13=FIT!$E$1,Tim!FG13,"")</f>
        <v/>
      </c>
      <c r="FD11" s="185" t="str">
        <f>IF(Tim!FH13=FIT!$E$1,Tim!FH13,"")</f>
        <v/>
      </c>
      <c r="FE11" s="185" t="str">
        <f>IF(Tim!FI13=FIT!$E$1,Tim!FI13,"")</f>
        <v/>
      </c>
      <c r="FF11" s="185" t="str">
        <f>IF(Tim!FJ13=FIT!$E$1,Tim!FJ13,"")</f>
        <v/>
      </c>
      <c r="FG11" s="185" t="str">
        <f>IF(Tim!FK13=FIT!$E$1,Tim!FK13,"")</f>
        <v/>
      </c>
      <c r="FH11" s="185" t="str">
        <f>IF(Tim!FL13=FIT!$E$1,Tim!FL13,"")</f>
        <v/>
      </c>
      <c r="FI11" s="185" t="str">
        <f>IF(Tim!FM13=FIT!$E$1,Tim!FM13,"")</f>
        <v/>
      </c>
      <c r="FJ11" s="185" t="str">
        <f>IF(Tim!FN13=FIT!$E$1,Tim!FN13,"")</f>
        <v/>
      </c>
      <c r="FK11" s="185" t="str">
        <f>IF(Tim!FO13=FIT!$E$1,Tim!FO13,"")</f>
        <v/>
      </c>
      <c r="FL11" s="185" t="str">
        <f>IF(Tim!FP13=FIT!$E$1,Tim!FP13,"")</f>
        <v/>
      </c>
      <c r="FM11" s="185" t="str">
        <f>IF(Tim!FQ13=FIT!$E$1,Tim!FQ13,"")</f>
        <v/>
      </c>
      <c r="FN11" s="185" t="str">
        <f>IF(Tim!FR13=FIT!$E$1,Tim!FR13,"")</f>
        <v/>
      </c>
      <c r="FO11" s="185" t="str">
        <f>IF(Tim!FS13=FIT!$E$1,Tim!FS13,"")</f>
        <v/>
      </c>
      <c r="FP11" s="185" t="str">
        <f>IF(Tim!FT13=FIT!$E$1,Tim!FT13,"")</f>
        <v/>
      </c>
      <c r="FQ11" s="185" t="str">
        <f>IF(Tim!FU13=FIT!$E$1,Tim!FU13,"")</f>
        <v/>
      </c>
      <c r="FR11" s="185" t="str">
        <f>IF(Tim!FV13=FIT!$E$1,Tim!FV13,"")</f>
        <v/>
      </c>
      <c r="FS11" s="185" t="str">
        <f>IF(Tim!FW13=FIT!$E$1,Tim!FW13,"")</f>
        <v/>
      </c>
      <c r="FT11" s="185" t="str">
        <f>IF(Tim!FX13=FIT!$E$1,Tim!FX13,"")</f>
        <v/>
      </c>
      <c r="FU11" s="185" t="str">
        <f>IF(Tim!FY13=FIT!$E$1,Tim!FY13,"")</f>
        <v/>
      </c>
      <c r="FV11" s="185" t="str">
        <f>IF(Tim!FZ13=FIT!$E$1,Tim!FZ13,"")</f>
        <v/>
      </c>
      <c r="FW11" s="185" t="str">
        <f>IF(Tim!GA13=FIT!$E$1,Tim!GA13,"")</f>
        <v/>
      </c>
      <c r="FX11" s="185" t="str">
        <f>IF(Tim!GB13=FIT!$E$1,Tim!GB13,"")</f>
        <v/>
      </c>
      <c r="FY11" s="185" t="str">
        <f>IF(Tim!GC13=FIT!$E$1,Tim!GC13,"")</f>
        <v/>
      </c>
      <c r="FZ11" s="185" t="str">
        <f>IF(Tim!GD13=FIT!$E$1,Tim!GD13,"")</f>
        <v/>
      </c>
      <c r="GA11" s="185" t="str">
        <f>IF(Tim!GE13=FIT!$E$1,Tim!GE13,"")</f>
        <v/>
      </c>
      <c r="GB11" s="185" t="str">
        <f>IF(Tim!GF13=FIT!$E$1,Tim!GF13,"")</f>
        <v/>
      </c>
      <c r="GC11" s="185" t="str">
        <f>IF(Tim!GG13=FIT!$E$1,Tim!GG13,"")</f>
        <v/>
      </c>
      <c r="GD11" s="185" t="str">
        <f>IF(Tim!GH13=FIT!$E$1,Tim!GH13,"")</f>
        <v/>
      </c>
      <c r="GE11" s="185" t="str">
        <f>IF(Tim!GI13=FIT!$E$1,Tim!GI13,"")</f>
        <v/>
      </c>
      <c r="GF11" s="185" t="str">
        <f>IF(Tim!GJ13=FIT!$E$1,Tim!GJ13,"")</f>
        <v/>
      </c>
      <c r="GG11" s="185" t="str">
        <f>IF(Tim!GK13=FIT!$E$1,Tim!GK13,"")</f>
        <v/>
      </c>
      <c r="GH11" s="185" t="str">
        <f>IF(Tim!GL13=FIT!$E$1,Tim!GL13,"")</f>
        <v/>
      </c>
      <c r="GI11" s="185" t="str">
        <f>IF(Tim!GM13=FIT!$E$1,Tim!GM13,"")</f>
        <v/>
      </c>
      <c r="GJ11" s="185" t="str">
        <f>IF(Tim!GN13=FIT!$E$1,Tim!GN13,"")</f>
        <v/>
      </c>
      <c r="GK11" s="185" t="str">
        <f>IF(Tim!GO13=FIT!$E$1,Tim!GO13,"")</f>
        <v/>
      </c>
      <c r="GL11" s="185" t="str">
        <f>IF(Tim!GP13=FIT!$E$1,Tim!GP13,"")</f>
        <v/>
      </c>
      <c r="GM11" s="185" t="str">
        <f>IF(Tim!GQ13=FIT!$E$1,Tim!GQ13,"")</f>
        <v/>
      </c>
      <c r="GN11" s="185" t="str">
        <f>IF(Tim!GR13=FIT!$E$1,Tim!GR13,"")</f>
        <v/>
      </c>
      <c r="GO11" s="185" t="str">
        <f>IF(Tim!GS13=FIT!$E$1,Tim!GS13,"")</f>
        <v/>
      </c>
      <c r="GP11" s="185" t="str">
        <f>IF(Tim!GT13=FIT!$E$1,Tim!GT13,"")</f>
        <v/>
      </c>
      <c r="GQ11" s="185" t="str">
        <f>IF(Tim!GU13=FIT!$E$1,Tim!GU13,"")</f>
        <v/>
      </c>
      <c r="GR11" s="185" t="str">
        <f>IF(Tim!GV13=FIT!$E$1,Tim!GV13,"")</f>
        <v/>
      </c>
      <c r="GS11" s="185" t="str">
        <f>IF(Tim!GW13=FIT!$E$1,Tim!GW13,"")</f>
        <v/>
      </c>
      <c r="GT11" s="185" t="str">
        <f>IF(Tim!GX13=FIT!$E$1,Tim!GX13,"")</f>
        <v/>
      </c>
      <c r="GU11" s="185" t="str">
        <f>IF(Tim!GY13=FIT!$E$1,Tim!GY13,"")</f>
        <v/>
      </c>
      <c r="GV11" s="185" t="str">
        <f>IF(Tim!GZ13=FIT!$E$1,Tim!GZ13,"")</f>
        <v/>
      </c>
      <c r="GW11" s="185" t="str">
        <f>IF(Tim!HA13=FIT!$E$1,Tim!HA13,"")</f>
        <v/>
      </c>
      <c r="GX11" s="185" t="str">
        <f>IF(Tim!HB13=FIT!$E$1,Tim!HB13,"")</f>
        <v/>
      </c>
      <c r="GY11" s="185" t="str">
        <f>IF(Tim!HC13=FIT!$E$1,Tim!HC13,"")</f>
        <v/>
      </c>
      <c r="GZ11" s="185" t="str">
        <f>IF(Tim!HD13=FIT!$E$1,Tim!HD13,"")</f>
        <v/>
      </c>
      <c r="HA11" s="185" t="str">
        <f>IF(Tim!HE13=FIT!$E$1,Tim!HE13,"")</f>
        <v/>
      </c>
      <c r="HB11" s="185" t="str">
        <f>IF(Tim!HF13=FIT!$E$1,Tim!HF13,"")</f>
        <v/>
      </c>
      <c r="HC11" s="185" t="str">
        <f>IF(Tim!HG13=FIT!$E$1,Tim!HG13,"")</f>
        <v/>
      </c>
      <c r="HD11" s="185" t="str">
        <f>IF(Tim!HH13=FIT!$E$1,Tim!HH13,"")</f>
        <v/>
      </c>
      <c r="HE11" s="185" t="str">
        <f>IF(Tim!HI13=FIT!$E$1,Tim!HI13,"")</f>
        <v/>
      </c>
      <c r="HF11" s="185" t="str">
        <f>IF(Tim!HJ13=FIT!$E$1,Tim!HJ13,"")</f>
        <v/>
      </c>
      <c r="HG11" s="185" t="str">
        <f>IF(Tim!HK13=FIT!$E$1,Tim!HK13,"")</f>
        <v/>
      </c>
      <c r="HH11" s="185" t="str">
        <f>IF(Tim!HL13=FIT!$E$1,Tim!HL13,"")</f>
        <v/>
      </c>
      <c r="HI11" s="185" t="str">
        <f>IF(Tim!HM13=FIT!$E$1,Tim!HM13,"")</f>
        <v/>
      </c>
      <c r="HJ11" s="185" t="str">
        <f>IF(Tim!HN13=FIT!$E$1,Tim!HN13,"")</f>
        <v/>
      </c>
      <c r="HK11" s="185" t="str">
        <f>IF(Tim!HO13=FIT!$E$1,Tim!HO13,"")</f>
        <v/>
      </c>
      <c r="HL11" s="185" t="str">
        <f>IF(Tim!HP13=FIT!$E$1,Tim!HP13,"")</f>
        <v/>
      </c>
      <c r="HM11" s="185" t="str">
        <f>IF(Tim!HQ13=FIT!$E$1,Tim!HQ13,"")</f>
        <v/>
      </c>
      <c r="HN11" s="185" t="str">
        <f>IF(Tim!HR13=FIT!$E$1,Tim!HR13,"")</f>
        <v/>
      </c>
      <c r="HO11" s="185" t="str">
        <f>IF(Tim!HS13=FIT!$E$1,Tim!HS13,"")</f>
        <v/>
      </c>
      <c r="HP11" s="185" t="str">
        <f>IF(Tim!HT13=FIT!$E$1,Tim!HT13,"")</f>
        <v/>
      </c>
      <c r="HQ11" s="185" t="str">
        <f>IF(Tim!HU13=FIT!$E$1,Tim!HU13,"")</f>
        <v/>
      </c>
      <c r="HR11" s="469"/>
      <c r="HS11" s="366"/>
      <c r="HT11" s="366"/>
      <c r="HU11" s="366"/>
      <c r="HV11" s="366"/>
      <c r="HW11" s="366"/>
      <c r="HX11" s="366"/>
      <c r="HY11" s="366"/>
      <c r="HZ11" s="366"/>
      <c r="IA11" s="366"/>
      <c r="IB11" s="366"/>
      <c r="IC11" s="366"/>
      <c r="ID11" s="366"/>
      <c r="IE11" s="366"/>
      <c r="IF11" s="366"/>
      <c r="IG11" s="366"/>
      <c r="IH11" s="366"/>
      <c r="II11" s="366"/>
      <c r="IJ11" s="366"/>
      <c r="IK11" s="366"/>
      <c r="IL11" s="366"/>
      <c r="IM11" s="366"/>
      <c r="IN11" s="366"/>
      <c r="IO11" s="366"/>
      <c r="IP11" s="366"/>
      <c r="IQ11" s="366"/>
      <c r="IR11" s="366"/>
      <c r="IS11" s="366"/>
      <c r="IT11" s="366"/>
      <c r="IU11" s="366"/>
      <c r="IV11" s="366"/>
      <c r="IW11" s="366"/>
      <c r="IX11" s="366"/>
      <c r="IY11" s="366"/>
      <c r="IZ11" s="366"/>
      <c r="JA11" s="366"/>
      <c r="JB11" s="366"/>
      <c r="JC11" s="366"/>
      <c r="JD11" s="366"/>
      <c r="JE11" s="366"/>
      <c r="JF11" s="366"/>
      <c r="JG11" s="366"/>
      <c r="JH11" s="366"/>
      <c r="JI11" s="428"/>
      <c r="JJ11" s="469"/>
      <c r="JK11" s="366"/>
      <c r="JL11" s="366"/>
      <c r="JM11" s="366"/>
      <c r="JN11" s="366"/>
      <c r="JO11" s="366"/>
      <c r="JP11" s="366"/>
      <c r="JQ11" s="366"/>
      <c r="JR11" s="366"/>
      <c r="JS11" s="366"/>
      <c r="JT11" s="366"/>
      <c r="JU11" s="366"/>
      <c r="JV11" s="366"/>
      <c r="JW11" s="366"/>
      <c r="JX11" s="366"/>
      <c r="JY11" s="366"/>
      <c r="JZ11" s="366"/>
      <c r="KA11" s="366"/>
      <c r="KB11" s="366"/>
      <c r="KC11" s="366"/>
      <c r="KD11" s="366"/>
      <c r="KE11" s="366"/>
      <c r="KF11" s="366"/>
      <c r="KG11" s="366"/>
      <c r="KH11" s="366"/>
      <c r="KI11" s="366"/>
      <c r="KJ11" s="366"/>
      <c r="KK11" s="366"/>
      <c r="KL11" s="366"/>
      <c r="KM11" s="366"/>
      <c r="KN11" s="366"/>
      <c r="KO11" s="366"/>
      <c r="KP11" s="366"/>
      <c r="KQ11" s="366"/>
      <c r="KR11" s="366"/>
      <c r="KS11" s="366"/>
      <c r="KT11" s="366"/>
      <c r="KU11" s="366"/>
      <c r="KV11" s="366"/>
      <c r="KW11" s="366"/>
      <c r="KX11" s="366"/>
      <c r="KY11" s="366"/>
      <c r="KZ11" s="366"/>
      <c r="LA11" s="428"/>
      <c r="LB11" s="52">
        <v>0.35416666666666602</v>
      </c>
    </row>
    <row r="12" spans="2:314" ht="10.5" customHeight="1" thickBot="1">
      <c r="B12" s="49">
        <v>0.25</v>
      </c>
      <c r="C12" s="49">
        <v>0.25</v>
      </c>
      <c r="D12" s="49">
        <v>0.25</v>
      </c>
      <c r="E12" s="172">
        <v>0.36458333333333298</v>
      </c>
      <c r="F12" s="238" t="str">
        <f>IF(Tim!F14=FIT!$E$1,Tim!F14,"")</f>
        <v/>
      </c>
      <c r="G12" s="185" t="str">
        <f>IF(Tim!G14=FIT!$E$1,Tim!G14,"")</f>
        <v/>
      </c>
      <c r="H12" s="185" t="str">
        <f>IF(Tim!H14=FIT!$E$1,Tim!H14,"")</f>
        <v/>
      </c>
      <c r="I12" s="185" t="str">
        <f>IF(Tim!I14=FIT!$E$1,Tim!I14,"")</f>
        <v/>
      </c>
      <c r="J12" s="185" t="str">
        <f>IF(Tim!J14=FIT!$E$1,Tim!J14,"")</f>
        <v/>
      </c>
      <c r="K12" s="185" t="str">
        <f>IF(Tim!K14=FIT!$E$1,Tim!K14,"")</f>
        <v/>
      </c>
      <c r="L12" s="185" t="str">
        <f>IF(Tim!L14=FIT!$E$1,Tim!L14,"")</f>
        <v/>
      </c>
      <c r="M12" s="185" t="str">
        <f>IF(Tim!M14=FIT!$E$1,Tim!M14,"")</f>
        <v/>
      </c>
      <c r="N12" s="185" t="str">
        <f>IF(Tim!N14=FIT!$E$1,Tim!N14,"")</f>
        <v/>
      </c>
      <c r="O12" s="185" t="str">
        <f>IF(Tim!O14=FIT!$E$1,Tim!O14,"")</f>
        <v/>
      </c>
      <c r="P12" s="185" t="str">
        <f>IF(Tim!P14=FIT!$E$1,Tim!P14,"")</f>
        <v/>
      </c>
      <c r="Q12" s="185" t="str">
        <f>IF(Tim!Q14=FIT!$E$1,Tim!Q14,"")</f>
        <v/>
      </c>
      <c r="R12" s="185" t="str">
        <f>IF(Tim!R14=FIT!$E$1,Tim!R14,"")</f>
        <v/>
      </c>
      <c r="S12" s="185" t="str">
        <f>IF(Tim!S14=FIT!$E$1,Tim!S14,"")</f>
        <v/>
      </c>
      <c r="T12" s="185" t="str">
        <f>IF(Tim!T14=FIT!$E$1,Tim!T14,"")</f>
        <v/>
      </c>
      <c r="U12" s="185" t="str">
        <f>IF(Tim!U14=FIT!$E$1,Tim!U14,"")</f>
        <v/>
      </c>
      <c r="V12" s="185" t="str">
        <f>IF(Tim!W14=FIT!$E$1,Tim!W14,"")</f>
        <v/>
      </c>
      <c r="W12" s="185" t="str">
        <f>IF(Tim!X14=FIT!$E$1,Tim!X14,"")</f>
        <v/>
      </c>
      <c r="X12" s="185" t="str">
        <f>IF(Tim!Y14=FIT!$E$1,Tim!Y14,"")</f>
        <v/>
      </c>
      <c r="Y12" s="185" t="str">
        <f>IF(Tim!Z14=FIT!$E$1,Tim!Z14,"")</f>
        <v/>
      </c>
      <c r="Z12" s="185" t="str">
        <f>IF(Tim!AA14=FIT!$E$1,Tim!AA14,"")</f>
        <v/>
      </c>
      <c r="AA12" s="185" t="str">
        <f>IF(Tim!AB14=FIT!$E$1,Tim!AB14,"")</f>
        <v/>
      </c>
      <c r="AB12" s="185" t="str">
        <f>IF(Tim!AC14=FIT!$E$1,Tim!AC14,"")</f>
        <v/>
      </c>
      <c r="AC12" s="185" t="str">
        <f>IF(Tim!AD14=FIT!$E$1,Tim!AD14,"")</f>
        <v/>
      </c>
      <c r="AD12" s="185" t="str">
        <f>IF(Tim!AE14=FIT!$E$1,Tim!AE14,"")</f>
        <v/>
      </c>
      <c r="AE12" s="185" t="str">
        <f>IF(Tim!AF14=FIT!$E$1,Tim!AF14,"")</f>
        <v/>
      </c>
      <c r="AF12" s="185" t="str">
        <f>IF(Tim!AG14=FIT!$E$1,Tim!AG14,"")</f>
        <v/>
      </c>
      <c r="AG12" s="185" t="str">
        <f>IF(Tim!AH14=FIT!$E$1,Tim!AH14,"")</f>
        <v/>
      </c>
      <c r="AH12" s="185" t="str">
        <f>IF(Tim!AI14=FIT!$E$1,Tim!AI14,"")</f>
        <v/>
      </c>
      <c r="AI12" s="185" t="str">
        <f>IF(Tim!AJ14=FIT!$E$1,Tim!AJ14,"")</f>
        <v/>
      </c>
      <c r="AJ12" s="185" t="str">
        <f>IF(Tim!AK14=FIT!$E$1,Tim!AK14,"")</f>
        <v/>
      </c>
      <c r="AK12" s="185" t="str">
        <f>IF(Tim!AL14=FIT!$E$1,Tim!AL14,"")</f>
        <v/>
      </c>
      <c r="AL12" s="185" t="str">
        <f>IF(Tim!AM14=FIT!$E$1,Tim!AM14,"")</f>
        <v/>
      </c>
      <c r="AM12" s="185" t="str">
        <f>IF(Tim!AN14=FIT!$E$1,Tim!AN14,"")</f>
        <v/>
      </c>
      <c r="AN12" s="185" t="str">
        <f>IF(Tim!AO14=FIT!$E$1,Tim!AO14,"")</f>
        <v/>
      </c>
      <c r="AO12" s="185" t="str">
        <f>IF(Tim!AP14=FIT!$E$1,Tim!AP14,"")</f>
        <v/>
      </c>
      <c r="AP12" s="185" t="str">
        <f>IF(Tim!AQ14=FIT!$E$1,Tim!AQ14,"")</f>
        <v/>
      </c>
      <c r="AQ12" s="185" t="str">
        <f>IF(Tim!AR14=FIT!$E$1,Tim!AR14,"")</f>
        <v/>
      </c>
      <c r="AR12" s="185" t="str">
        <f>IF(Tim!AS14=FIT!$E$1,Tim!AS14,"")</f>
        <v/>
      </c>
      <c r="AS12" s="185" t="str">
        <f>IF(Tim!AT14=FIT!$E$1,Tim!AT14,"")</f>
        <v/>
      </c>
      <c r="AT12" s="185" t="str">
        <f>IF(Tim!AU14=FIT!$E$1,Tim!AU14,"")</f>
        <v/>
      </c>
      <c r="AU12" s="185" t="str">
        <f>IF(Tim!AV14=FIT!$E$1,Tim!AV14,"")</f>
        <v/>
      </c>
      <c r="AV12" s="185" t="str">
        <f>IF(Tim!AW14=FIT!$E$1,Tim!AW14,"")</f>
        <v/>
      </c>
      <c r="AW12" s="186" t="str">
        <f>IF(Tim!AX14=FIT!$E$1,Tim!AX14,"")</f>
        <v/>
      </c>
      <c r="AX12" s="243" t="str">
        <f>IF(Tim!AY14=FIT!$E$1,Tim!AY14,"")</f>
        <v/>
      </c>
      <c r="AY12" s="185" t="str">
        <f>IF(Tim!AZ14=FIT!$E$1,Tim!AZ14,"")</f>
        <v/>
      </c>
      <c r="AZ12" s="185" t="str">
        <f>IF(Tim!BA14=FIT!$E$1,Tim!BA14,"")</f>
        <v/>
      </c>
      <c r="BA12" s="185" t="str">
        <f>IF(Tim!BB14=FIT!$E$1,Tim!BB14,"")</f>
        <v/>
      </c>
      <c r="BB12" s="185" t="str">
        <f>IF(Tim!BC14=FIT!$E$1,Tim!BC14,"")</f>
        <v/>
      </c>
      <c r="BC12" s="185" t="str">
        <f>IF(Tim!BD14=FIT!$E$1,Tim!BD14,"")</f>
        <v/>
      </c>
      <c r="BD12" s="185" t="str">
        <f>IF(Tim!BE14=FIT!$E$1,Tim!BE14,"")</f>
        <v/>
      </c>
      <c r="BE12" s="185" t="str">
        <f>IF(Tim!BF14=FIT!$E$1,Tim!BF14,"")</f>
        <v/>
      </c>
      <c r="BF12" s="185" t="str">
        <f>IF(Tim!BG14=FIT!$E$1,Tim!BG14,"")</f>
        <v/>
      </c>
      <c r="BG12" s="185" t="str">
        <f>IF(Tim!BI14=FIT!$E$1,Tim!BI14,"")</f>
        <v/>
      </c>
      <c r="BH12" s="185" t="e">
        <f>IF(Tim!#REF!=FIT!$E$1,Tim!#REF!,"")</f>
        <v>#REF!</v>
      </c>
      <c r="BI12" s="185" t="str">
        <f>IF(Tim!BJ14=FIT!$E$1,Tim!BJ14,"")</f>
        <v/>
      </c>
      <c r="BJ12" s="185" t="str">
        <f>IF(Tim!BK14=FIT!$E$1,Tim!BK14,"")</f>
        <v/>
      </c>
      <c r="BK12" s="185" t="str">
        <f>IF(Tim!BL14=FIT!$E$1,Tim!BL14,"")</f>
        <v/>
      </c>
      <c r="BL12" s="185" t="str">
        <f>IF(Tim!BM14=FIT!$E$1,Tim!BM14,"")</f>
        <v/>
      </c>
      <c r="BM12" s="185" t="str">
        <f>IF(Tim!BN14=FIT!$E$1,Tim!BN14,"")</f>
        <v/>
      </c>
      <c r="BN12" s="185" t="str">
        <f>IF(Tim!BO14=FIT!$E$1,Tim!BO14,"")</f>
        <v/>
      </c>
      <c r="BO12" s="185" t="str">
        <f>IF(Tim!BP14=FIT!$E$1,Tim!BP14,"")</f>
        <v/>
      </c>
      <c r="BP12" s="185" t="str">
        <f>IF(Tim!BQ14=FIT!$E$1,Tim!BQ14,"")</f>
        <v/>
      </c>
      <c r="BQ12" s="185" t="str">
        <f>IF(Tim!BR14=FIT!$E$1,Tim!BR14,"")</f>
        <v/>
      </c>
      <c r="BR12" s="185" t="str">
        <f>IF(Tim!BS14=FIT!$E$1,Tim!BS14,"")</f>
        <v/>
      </c>
      <c r="BS12" s="185" t="str">
        <f>IF(Tim!BT14=FIT!$E$1,Tim!BT14,"")</f>
        <v/>
      </c>
      <c r="BT12" s="185" t="str">
        <f>IF(Tim!BU14=FIT!$E$1,Tim!BU14,"")</f>
        <v/>
      </c>
      <c r="BU12" s="185" t="str">
        <f>IF(Tim!BV14=FIT!$E$1,Tim!BV14,"")</f>
        <v/>
      </c>
      <c r="BV12" s="185" t="str">
        <f>IF(Tim!BW14=FIT!$E$1,Tim!BW14,"")</f>
        <v/>
      </c>
      <c r="BW12" s="185" t="str">
        <f>IF(Tim!BX14=FIT!$E$1,Tim!BX14,"")</f>
        <v/>
      </c>
      <c r="BX12" s="185" t="str">
        <f>IF(Tim!BY14=FIT!$E$1,Tim!BY14,"")</f>
        <v/>
      </c>
      <c r="BY12" s="185" t="str">
        <f>IF(Tim!BZ14=FIT!$E$1,Tim!BZ14,"")</f>
        <v/>
      </c>
      <c r="BZ12" s="185" t="str">
        <f>IF(Tim!CA14=FIT!$E$1,Tim!CA14,"")</f>
        <v/>
      </c>
      <c r="CA12" s="185" t="str">
        <f>IF(Tim!CB14=FIT!$E$1,Tim!CB14,"")</f>
        <v/>
      </c>
      <c r="CB12" s="185" t="str">
        <f>IF(Tim!CC14=FIT!$E$1,Tim!CC14,"")</f>
        <v/>
      </c>
      <c r="CC12" s="185" t="str">
        <f>IF(Tim!CD14=FIT!$E$1,Tim!CD14,"")</f>
        <v/>
      </c>
      <c r="CD12" s="185" t="str">
        <f>IF(Tim!CE14=FIT!$E$1,Tim!CE14,"")</f>
        <v/>
      </c>
      <c r="CE12" s="185" t="str">
        <f>IF(Tim!CF14=FIT!$E$1,Tim!CF14,"")</f>
        <v/>
      </c>
      <c r="CF12" s="185" t="str">
        <f>IF(Tim!CG14=FIT!$E$1,Tim!CG14,"")</f>
        <v/>
      </c>
      <c r="CG12" s="185" t="str">
        <f>IF(Tim!CH14=FIT!$E$1,Tim!CH14,"")</f>
        <v/>
      </c>
      <c r="CH12" s="185" t="str">
        <f>IF(Tim!CI14=FIT!$E$1,Tim!CI14,"")</f>
        <v/>
      </c>
      <c r="CI12" s="185" t="str">
        <f>IF(Tim!CJ14=FIT!$E$1,Tim!CJ14,"")</f>
        <v/>
      </c>
      <c r="CJ12" s="185" t="str">
        <f>IF(Tim!CK14=FIT!$E$1,Tim!CK14,"")</f>
        <v/>
      </c>
      <c r="CK12" s="185" t="str">
        <f>IF(Tim!CL14=FIT!$E$1,Tim!CL14,"")</f>
        <v/>
      </c>
      <c r="CL12" s="185" t="str">
        <f>IF(Tim!CM14=FIT!$E$1,Tim!CM14,"")</f>
        <v/>
      </c>
      <c r="CM12" s="185" t="str">
        <f>IF(Tim!CN14=FIT!$E$1,Tim!CN14,"")</f>
        <v/>
      </c>
      <c r="CN12" s="185" t="str">
        <f>IF(Tim!CO14=FIT!$E$1,Tim!CO14,"")</f>
        <v/>
      </c>
      <c r="CO12" s="185" t="str">
        <f>IF(Tim!CP14=FIT!$E$1,Tim!CP14,"")</f>
        <v/>
      </c>
      <c r="CP12" s="185" t="str">
        <f>IF(Tim!CQ14=FIT!$E$1,Tim!CQ14,"")</f>
        <v/>
      </c>
      <c r="CQ12" s="185" t="str">
        <f>IF(Tim!CR14=FIT!$E$1,Tim!CR14,"")</f>
        <v/>
      </c>
      <c r="CR12" s="185" t="str">
        <f>IF(Tim!CS14=FIT!$E$1,Tim!CS14,"")</f>
        <v/>
      </c>
      <c r="CS12" s="185" t="str">
        <f>IF(Tim!CT14=FIT!$E$1,Tim!CT14,"")</f>
        <v/>
      </c>
      <c r="CT12" s="185" t="str">
        <f>IF(Tim!CU14=FIT!$E$1,Tim!CU14,"")</f>
        <v/>
      </c>
      <c r="CU12" s="185" t="str">
        <f>IF(Tim!CV14=FIT!$E$1,Tim!CV14,"")</f>
        <v/>
      </c>
      <c r="CV12" s="185" t="str">
        <f>IF(Tim!CW14=FIT!$E$1,Tim!CW14,"")</f>
        <v/>
      </c>
      <c r="CW12" s="185" t="str">
        <f>IF(Tim!CX14=FIT!$E$1,Tim!CX14,"")</f>
        <v/>
      </c>
      <c r="CX12" s="185" t="str">
        <f>IF(Tim!CY14=FIT!$E$1,Tim!CY14,"")</f>
        <v/>
      </c>
      <c r="CY12" s="185" t="str">
        <f>IF(Tim!CZ14=FIT!$E$1,Tim!CZ14,"")</f>
        <v/>
      </c>
      <c r="CZ12" s="185" t="str">
        <f>IF(Tim!DA14=FIT!$E$1,Tim!DA14,"")</f>
        <v/>
      </c>
      <c r="DA12" s="185" t="str">
        <f>IF(Tim!DB14=FIT!$E$1,Tim!DB14,"")</f>
        <v/>
      </c>
      <c r="DB12" s="185" t="str">
        <f>IF(Tim!DC14=FIT!$E$1,Tim!DC14,"")</f>
        <v/>
      </c>
      <c r="DC12" s="185" t="str">
        <f>IF(Tim!DD14=FIT!$E$1,Tim!DD14,"")</f>
        <v/>
      </c>
      <c r="DD12" s="185" t="str">
        <f>IF(Tim!DE14=FIT!$E$1,Tim!DE14,"")</f>
        <v/>
      </c>
      <c r="DE12" s="185" t="str">
        <f>IF(Tim!DF14=FIT!$E$1,Tim!DF14,"")</f>
        <v/>
      </c>
      <c r="DF12" s="185" t="str">
        <f>IF(Tim!DG14=FIT!$E$1,Tim!DG14,"")</f>
        <v/>
      </c>
      <c r="DG12" s="185" t="str">
        <f>IF(Tim!DH14=FIT!$E$1,Tim!DH14,"")</f>
        <v/>
      </c>
      <c r="DH12" s="185" t="str">
        <f>IF(Tim!DI14=FIT!$E$1,Tim!DI14,"")</f>
        <v/>
      </c>
      <c r="DI12" s="185" t="str">
        <f>IF(Tim!DM14=FIT!$E$1,Tim!DM14,"")</f>
        <v/>
      </c>
      <c r="DJ12" s="185" t="str">
        <f>IF(Tim!DN14=FIT!$E$1,Tim!DN14,"")</f>
        <v/>
      </c>
      <c r="DK12" s="185" t="str">
        <f>IF(Tim!DO14=FIT!$E$1,Tim!DO14,"")</f>
        <v/>
      </c>
      <c r="DL12" s="185" t="str">
        <f>IF(Tim!DP14=FIT!$E$1,Tim!DP14,"")</f>
        <v/>
      </c>
      <c r="DM12" s="185" t="str">
        <f>IF(Tim!DQ14=FIT!$E$1,Tim!DQ14,"")</f>
        <v/>
      </c>
      <c r="DN12" s="185" t="str">
        <f>IF(Tim!DR14=FIT!$E$1,Tim!DR14,"")</f>
        <v/>
      </c>
      <c r="DO12" s="185" t="str">
        <f>IF(Tim!DS14=FIT!$E$1,Tim!DS14,"")</f>
        <v/>
      </c>
      <c r="DP12" s="185" t="str">
        <f>IF(Tim!DT14=FIT!$E$1,Tim!DT14,"")</f>
        <v/>
      </c>
      <c r="DQ12" s="185" t="str">
        <f>IF(Tim!DU14=FIT!$E$1,Tim!DU14,"")</f>
        <v/>
      </c>
      <c r="DR12" s="185" t="str">
        <f>IF(Tim!DV14=FIT!$E$1,Tim!DV14,"")</f>
        <v/>
      </c>
      <c r="DS12" s="185" t="str">
        <f>IF(Tim!DW14=FIT!$E$1,Tim!DW14,"")</f>
        <v/>
      </c>
      <c r="DT12" s="185" t="str">
        <f>IF(Tim!DX14=FIT!$E$1,Tim!DX14,"")</f>
        <v/>
      </c>
      <c r="DU12" s="185" t="str">
        <f>IF(Tim!DY14=FIT!$E$1,Tim!DY14,"")</f>
        <v/>
      </c>
      <c r="DV12" s="185" t="str">
        <f>IF(Tim!DZ14=FIT!$E$1,Tim!DZ14,"")</f>
        <v/>
      </c>
      <c r="DW12" s="185" t="str">
        <f>IF(Tim!EA14=FIT!$E$1,Tim!EA14,"")</f>
        <v/>
      </c>
      <c r="DX12" s="185" t="str">
        <f>IF(Tim!EB14=FIT!$E$1,Tim!EB14,"")</f>
        <v/>
      </c>
      <c r="DY12" s="185" t="str">
        <f>IF(Tim!EC14=FIT!$E$1,Tim!EC14,"")</f>
        <v/>
      </c>
      <c r="DZ12" s="185" t="str">
        <f>IF(Tim!ED14=FIT!$E$1,Tim!ED14,"")</f>
        <v/>
      </c>
      <c r="EA12" s="185" t="str">
        <f>IF(Tim!EE14=FIT!$E$1,Tim!EE14,"")</f>
        <v/>
      </c>
      <c r="EB12" s="185" t="str">
        <f>IF(Tim!EF14=FIT!$E$1,Tim!EF14,"")</f>
        <v/>
      </c>
      <c r="EC12" s="185" t="str">
        <f>IF(Tim!EG14=FIT!$E$1,Tim!EG14,"")</f>
        <v/>
      </c>
      <c r="ED12" s="185" t="str">
        <f>IF(Tim!EH14=FIT!$E$1,Tim!EH14,"")</f>
        <v/>
      </c>
      <c r="EE12" s="185" t="str">
        <f>IF(Tim!EI14=FIT!$E$1,Tim!EI14,"")</f>
        <v/>
      </c>
      <c r="EF12" s="185" t="str">
        <f>IF(Tim!EJ14=FIT!$E$1,Tim!EJ14,"")</f>
        <v/>
      </c>
      <c r="EG12" s="185" t="str">
        <f>IF(Tim!EK14=FIT!$E$1,Tim!EK14,"")</f>
        <v/>
      </c>
      <c r="EH12" s="185" t="str">
        <f>IF(Tim!EL14=FIT!$E$1,Tim!EL14,"")</f>
        <v/>
      </c>
      <c r="EI12" s="185" t="str">
        <f>IF(Tim!EM14=FIT!$E$1,Tim!EM14,"")</f>
        <v/>
      </c>
      <c r="EJ12" s="185" t="str">
        <f>IF(Tim!EN14=FIT!$E$1,Tim!EN14,"")</f>
        <v/>
      </c>
      <c r="EK12" s="185" t="str">
        <f>IF(Tim!EO14=FIT!$E$1,Tim!EO14,"")</f>
        <v/>
      </c>
      <c r="EL12" s="185" t="str">
        <f>IF(Tim!EP14=FIT!$E$1,Tim!EP14,"")</f>
        <v/>
      </c>
      <c r="EM12" s="185" t="str">
        <f>IF(Tim!EQ14=FIT!$E$1,Tim!EQ14,"")</f>
        <v/>
      </c>
      <c r="EN12" s="185" t="str">
        <f>IF(Tim!ER14=FIT!$E$1,Tim!ER14,"")</f>
        <v/>
      </c>
      <c r="EO12" s="185" t="str">
        <f>IF(Tim!ES14=FIT!$E$1,Tim!ES14,"")</f>
        <v/>
      </c>
      <c r="EP12" s="185" t="str">
        <f>IF(Tim!ET14=FIT!$E$1,Tim!ET14,"")</f>
        <v/>
      </c>
      <c r="EQ12" s="185" t="str">
        <f>IF(Tim!EU14=FIT!$E$1,Tim!EU14,"")</f>
        <v/>
      </c>
      <c r="ER12" s="185" t="str">
        <f>IF(Tim!EV14=FIT!$E$1,Tim!EV14,"")</f>
        <v/>
      </c>
      <c r="ES12" s="185" t="str">
        <f>IF(Tim!EW14=FIT!$E$1,Tim!EW14,"")</f>
        <v/>
      </c>
      <c r="ET12" s="185" t="str">
        <f>IF(Tim!EX14=FIT!$E$1,Tim!EX14,"")</f>
        <v/>
      </c>
      <c r="EU12" s="185" t="str">
        <f>IF(Tim!EY14=FIT!$E$1,Tim!EY14,"")</f>
        <v/>
      </c>
      <c r="EV12" s="185" t="str">
        <f>IF(Tim!EZ14=FIT!$E$1,Tim!EZ14,"")</f>
        <v/>
      </c>
      <c r="EW12" s="185" t="str">
        <f>IF(Tim!FA14=FIT!$E$1,Tim!FA14,"")</f>
        <v/>
      </c>
      <c r="EX12" s="185" t="str">
        <f>IF(Tim!FB14=FIT!$E$1,Tim!FB14,"")</f>
        <v/>
      </c>
      <c r="EY12" s="185" t="str">
        <f>IF(Tim!FC14=FIT!$E$1,Tim!FC14,"")</f>
        <v/>
      </c>
      <c r="EZ12" s="185" t="str">
        <f>IF(Tim!FD14=FIT!$E$1,Tim!FD14,"")</f>
        <v/>
      </c>
      <c r="FA12" s="185" t="str">
        <f>IF(Tim!FE14=FIT!$E$1,Tim!FE14,"")</f>
        <v/>
      </c>
      <c r="FB12" s="185" t="str">
        <f>IF(Tim!FF14=FIT!$E$1,Tim!FF14,"")</f>
        <v/>
      </c>
      <c r="FC12" s="185" t="str">
        <f>IF(Tim!FG14=FIT!$E$1,Tim!FG14,"")</f>
        <v/>
      </c>
      <c r="FD12" s="185" t="str">
        <f>IF(Tim!FH14=FIT!$E$1,Tim!FH14,"")</f>
        <v/>
      </c>
      <c r="FE12" s="185" t="str">
        <f>IF(Tim!FI14=FIT!$E$1,Tim!FI14,"")</f>
        <v/>
      </c>
      <c r="FF12" s="185" t="str">
        <f>IF(Tim!FJ14=FIT!$E$1,Tim!FJ14,"")</f>
        <v/>
      </c>
      <c r="FG12" s="185" t="str">
        <f>IF(Tim!FK14=FIT!$E$1,Tim!FK14,"")</f>
        <v/>
      </c>
      <c r="FH12" s="185" t="str">
        <f>IF(Tim!FL14=FIT!$E$1,Tim!FL14,"")</f>
        <v/>
      </c>
      <c r="FI12" s="185" t="str">
        <f>IF(Tim!FM14=FIT!$E$1,Tim!FM14,"")</f>
        <v/>
      </c>
      <c r="FJ12" s="185" t="str">
        <f>IF(Tim!FN14=FIT!$E$1,Tim!FN14,"")</f>
        <v/>
      </c>
      <c r="FK12" s="185" t="str">
        <f>IF(Tim!FO14=FIT!$E$1,Tim!FO14,"")</f>
        <v/>
      </c>
      <c r="FL12" s="185" t="str">
        <f>IF(Tim!FP14=FIT!$E$1,Tim!FP14,"")</f>
        <v/>
      </c>
      <c r="FM12" s="185" t="str">
        <f>IF(Tim!FQ14=FIT!$E$1,Tim!FQ14,"")</f>
        <v/>
      </c>
      <c r="FN12" s="185" t="str">
        <f>IF(Tim!FR14=FIT!$E$1,Tim!FR14,"")</f>
        <v/>
      </c>
      <c r="FO12" s="185" t="str">
        <f>IF(Tim!FS14=FIT!$E$1,Tim!FS14,"")</f>
        <v/>
      </c>
      <c r="FP12" s="185" t="str">
        <f>IF(Tim!FT14=FIT!$E$1,Tim!FT14,"")</f>
        <v/>
      </c>
      <c r="FQ12" s="185" t="str">
        <f>IF(Tim!FU14=FIT!$E$1,Tim!FU14,"")</f>
        <v/>
      </c>
      <c r="FR12" s="185" t="str">
        <f>IF(Tim!FV14=FIT!$E$1,Tim!FV14,"")</f>
        <v/>
      </c>
      <c r="FS12" s="185" t="str">
        <f>IF(Tim!FW14=FIT!$E$1,Tim!FW14,"")</f>
        <v/>
      </c>
      <c r="FT12" s="185" t="str">
        <f>IF(Tim!FX14=FIT!$E$1,Tim!FX14,"")</f>
        <v/>
      </c>
      <c r="FU12" s="185" t="str">
        <f>IF(Tim!FY14=FIT!$E$1,Tim!FY14,"")</f>
        <v/>
      </c>
      <c r="FV12" s="185" t="str">
        <f>IF(Tim!FZ14=FIT!$E$1,Tim!FZ14,"")</f>
        <v/>
      </c>
      <c r="FW12" s="185" t="str">
        <f>IF(Tim!GA14=FIT!$E$1,Tim!GA14,"")</f>
        <v/>
      </c>
      <c r="FX12" s="185" t="str">
        <f>IF(Tim!GB14=FIT!$E$1,Tim!GB14,"")</f>
        <v/>
      </c>
      <c r="FY12" s="185" t="str">
        <f>IF(Tim!GC14=FIT!$E$1,Tim!GC14,"")</f>
        <v/>
      </c>
      <c r="FZ12" s="185" t="str">
        <f>IF(Tim!GD14=FIT!$E$1,Tim!GD14,"")</f>
        <v/>
      </c>
      <c r="GA12" s="185" t="str">
        <f>IF(Tim!GE14=FIT!$E$1,Tim!GE14,"")</f>
        <v/>
      </c>
      <c r="GB12" s="185" t="str">
        <f>IF(Tim!GF14=FIT!$E$1,Tim!GF14,"")</f>
        <v/>
      </c>
      <c r="GC12" s="185" t="str">
        <f>IF(Tim!GG14=FIT!$E$1,Tim!GG14,"")</f>
        <v/>
      </c>
      <c r="GD12" s="185" t="str">
        <f>IF(Tim!GH14=FIT!$E$1,Tim!GH14,"")</f>
        <v/>
      </c>
      <c r="GE12" s="185" t="str">
        <f>IF(Tim!GI14=FIT!$E$1,Tim!GI14,"")</f>
        <v/>
      </c>
      <c r="GF12" s="185" t="str">
        <f>IF(Tim!GJ14=FIT!$E$1,Tim!GJ14,"")</f>
        <v/>
      </c>
      <c r="GG12" s="185" t="str">
        <f>IF(Tim!GK14=FIT!$E$1,Tim!GK14,"")</f>
        <v/>
      </c>
      <c r="GH12" s="185" t="str">
        <f>IF(Tim!GL14=FIT!$E$1,Tim!GL14,"")</f>
        <v/>
      </c>
      <c r="GI12" s="185" t="str">
        <f>IF(Tim!GM14=FIT!$E$1,Tim!GM14,"")</f>
        <v/>
      </c>
      <c r="GJ12" s="185" t="str">
        <f>IF(Tim!GN14=FIT!$E$1,Tim!GN14,"")</f>
        <v/>
      </c>
      <c r="GK12" s="185" t="str">
        <f>IF(Tim!GO14=FIT!$E$1,Tim!GO14,"")</f>
        <v/>
      </c>
      <c r="GL12" s="185" t="str">
        <f>IF(Tim!GP14=FIT!$E$1,Tim!GP14,"")</f>
        <v/>
      </c>
      <c r="GM12" s="185" t="str">
        <f>IF(Tim!GQ14=FIT!$E$1,Tim!GQ14,"")</f>
        <v/>
      </c>
      <c r="GN12" s="185" t="str">
        <f>IF(Tim!GR14=FIT!$E$1,Tim!GR14,"")</f>
        <v/>
      </c>
      <c r="GO12" s="185" t="str">
        <f>IF(Tim!GS14=FIT!$E$1,Tim!GS14,"")</f>
        <v/>
      </c>
      <c r="GP12" s="185" t="str">
        <f>IF(Tim!GT14=FIT!$E$1,Tim!GT14,"")</f>
        <v/>
      </c>
      <c r="GQ12" s="185" t="str">
        <f>IF(Tim!GU14=FIT!$E$1,Tim!GU14,"")</f>
        <v/>
      </c>
      <c r="GR12" s="185" t="str">
        <f>IF(Tim!GV14=FIT!$E$1,Tim!GV14,"")</f>
        <v/>
      </c>
      <c r="GS12" s="185" t="str">
        <f>IF(Tim!GW14=FIT!$E$1,Tim!GW14,"")</f>
        <v/>
      </c>
      <c r="GT12" s="185" t="str">
        <f>IF(Tim!GX14=FIT!$E$1,Tim!GX14,"")</f>
        <v/>
      </c>
      <c r="GU12" s="185" t="str">
        <f>IF(Tim!GY14=FIT!$E$1,Tim!GY14,"")</f>
        <v/>
      </c>
      <c r="GV12" s="185" t="str">
        <f>IF(Tim!GZ14=FIT!$E$1,Tim!GZ14,"")</f>
        <v/>
      </c>
      <c r="GW12" s="185" t="str">
        <f>IF(Tim!HA14=FIT!$E$1,Tim!HA14,"")</f>
        <v/>
      </c>
      <c r="GX12" s="185" t="str">
        <f>IF(Tim!HB14=FIT!$E$1,Tim!HB14,"")</f>
        <v/>
      </c>
      <c r="GY12" s="185" t="str">
        <f>IF(Tim!HC14=FIT!$E$1,Tim!HC14,"")</f>
        <v/>
      </c>
      <c r="GZ12" s="185" t="str">
        <f>IF(Tim!HD14=FIT!$E$1,Tim!HD14,"")</f>
        <v/>
      </c>
      <c r="HA12" s="185" t="str">
        <f>IF(Tim!HE14=FIT!$E$1,Tim!HE14,"")</f>
        <v/>
      </c>
      <c r="HB12" s="185" t="str">
        <f>IF(Tim!HF14=FIT!$E$1,Tim!HF14,"")</f>
        <v/>
      </c>
      <c r="HC12" s="185" t="str">
        <f>IF(Tim!HG14=FIT!$E$1,Tim!HG14,"")</f>
        <v/>
      </c>
      <c r="HD12" s="185" t="str">
        <f>IF(Tim!HH14=FIT!$E$1,Tim!HH14,"")</f>
        <v/>
      </c>
      <c r="HE12" s="185" t="str">
        <f>IF(Tim!HI14=FIT!$E$1,Tim!HI14,"")</f>
        <v/>
      </c>
      <c r="HF12" s="185" t="str">
        <f>IF(Tim!HJ14=FIT!$E$1,Tim!HJ14,"")</f>
        <v/>
      </c>
      <c r="HG12" s="185" t="str">
        <f>IF(Tim!HK14=FIT!$E$1,Tim!HK14,"")</f>
        <v/>
      </c>
      <c r="HH12" s="185" t="str">
        <f>IF(Tim!HL14=FIT!$E$1,Tim!HL14,"")</f>
        <v/>
      </c>
      <c r="HI12" s="185" t="str">
        <f>IF(Tim!HM14=FIT!$E$1,Tim!HM14,"")</f>
        <v/>
      </c>
      <c r="HJ12" s="185" t="str">
        <f>IF(Tim!HN14=FIT!$E$1,Tim!HN14,"")</f>
        <v/>
      </c>
      <c r="HK12" s="185" t="str">
        <f>IF(Tim!HO14=FIT!$E$1,Tim!HO14,"")</f>
        <v/>
      </c>
      <c r="HL12" s="185" t="str">
        <f>IF(Tim!HP14=FIT!$E$1,Tim!HP14,"")</f>
        <v/>
      </c>
      <c r="HM12" s="185" t="str">
        <f>IF(Tim!HQ14=FIT!$E$1,Tim!HQ14,"")</f>
        <v/>
      </c>
      <c r="HN12" s="185" t="str">
        <f>IF(Tim!HR14=FIT!$E$1,Tim!HR14,"")</f>
        <v/>
      </c>
      <c r="HO12" s="185" t="str">
        <f>IF(Tim!HS14=FIT!$E$1,Tim!HS14,"")</f>
        <v/>
      </c>
      <c r="HP12" s="185" t="str">
        <f>IF(Tim!HT14=FIT!$E$1,Tim!HT14,"")</f>
        <v/>
      </c>
      <c r="HQ12" s="185" t="str">
        <f>IF(Tim!HU14=FIT!$E$1,Tim!HU14,"")</f>
        <v/>
      </c>
      <c r="HR12" s="470"/>
      <c r="HS12" s="384"/>
      <c r="HT12" s="384"/>
      <c r="HU12" s="384"/>
      <c r="HV12" s="384"/>
      <c r="HW12" s="384"/>
      <c r="HX12" s="384"/>
      <c r="HY12" s="384"/>
      <c r="HZ12" s="384"/>
      <c r="IA12" s="384"/>
      <c r="IB12" s="384"/>
      <c r="IC12" s="384"/>
      <c r="ID12" s="384"/>
      <c r="IE12" s="384"/>
      <c r="IF12" s="384"/>
      <c r="IG12" s="384"/>
      <c r="IH12" s="384"/>
      <c r="II12" s="384"/>
      <c r="IJ12" s="384"/>
      <c r="IK12" s="384"/>
      <c r="IL12" s="384"/>
      <c r="IM12" s="384"/>
      <c r="IN12" s="384"/>
      <c r="IO12" s="384"/>
      <c r="IP12" s="384"/>
      <c r="IQ12" s="384"/>
      <c r="IR12" s="384"/>
      <c r="IS12" s="384"/>
      <c r="IT12" s="384"/>
      <c r="IU12" s="384"/>
      <c r="IV12" s="384"/>
      <c r="IW12" s="384"/>
      <c r="IX12" s="384"/>
      <c r="IY12" s="384"/>
      <c r="IZ12" s="384"/>
      <c r="JA12" s="384"/>
      <c r="JB12" s="384"/>
      <c r="JC12" s="384"/>
      <c r="JD12" s="384"/>
      <c r="JE12" s="384"/>
      <c r="JF12" s="384"/>
      <c r="JG12" s="384"/>
      <c r="JH12" s="384"/>
      <c r="JI12" s="467"/>
      <c r="JJ12" s="470"/>
      <c r="JK12" s="384"/>
      <c r="JL12" s="384"/>
      <c r="JM12" s="384"/>
      <c r="JN12" s="384"/>
      <c r="JO12" s="384"/>
      <c r="JP12" s="384"/>
      <c r="JQ12" s="384"/>
      <c r="JR12" s="384"/>
      <c r="JS12" s="384"/>
      <c r="JT12" s="384"/>
      <c r="JU12" s="384"/>
      <c r="JV12" s="384"/>
      <c r="JW12" s="384"/>
      <c r="JX12" s="384"/>
      <c r="JY12" s="384"/>
      <c r="JZ12" s="384"/>
      <c r="KA12" s="384"/>
      <c r="KB12" s="384"/>
      <c r="KC12" s="384"/>
      <c r="KD12" s="384"/>
      <c r="KE12" s="384"/>
      <c r="KF12" s="384"/>
      <c r="KG12" s="384"/>
      <c r="KH12" s="384"/>
      <c r="KI12" s="384"/>
      <c r="KJ12" s="384"/>
      <c r="KK12" s="384"/>
      <c r="KL12" s="384"/>
      <c r="KM12" s="384"/>
      <c r="KN12" s="384"/>
      <c r="KO12" s="384"/>
      <c r="KP12" s="384"/>
      <c r="KQ12" s="384"/>
      <c r="KR12" s="384"/>
      <c r="KS12" s="384"/>
      <c r="KT12" s="384"/>
      <c r="KU12" s="384"/>
      <c r="KV12" s="384"/>
      <c r="KW12" s="384"/>
      <c r="KX12" s="384"/>
      <c r="KY12" s="384"/>
      <c r="KZ12" s="384"/>
      <c r="LA12" s="467"/>
      <c r="LB12" s="52">
        <v>0.36458333333333298</v>
      </c>
    </row>
    <row r="13" spans="2:314" ht="10.5" customHeight="1">
      <c r="B13" s="49">
        <v>0.25</v>
      </c>
      <c r="C13" s="49">
        <v>0.25</v>
      </c>
      <c r="D13" s="49">
        <v>0.25</v>
      </c>
      <c r="E13" s="172">
        <v>0.375</v>
      </c>
      <c r="F13" s="238" t="str">
        <f>IF(Tim!F15=FIT!$E$1,Tim!F15,"")</f>
        <v/>
      </c>
      <c r="G13" s="185" t="str">
        <f>IF(Tim!G15=FIT!$E$1,Tim!G15,"")</f>
        <v/>
      </c>
      <c r="H13" s="185" t="str">
        <f>IF(Tim!H15=FIT!$E$1,Tim!H15,"")</f>
        <v/>
      </c>
      <c r="I13" s="185" t="str">
        <f>IF(Tim!I15=FIT!$E$1,Tim!I15,"")</f>
        <v/>
      </c>
      <c r="J13" s="185" t="str">
        <f>IF(Tim!J15=FIT!$E$1,Tim!J15,"")</f>
        <v/>
      </c>
      <c r="K13" s="185" t="str">
        <f>IF(Tim!K15=FIT!$E$1,Tim!K15,"")</f>
        <v/>
      </c>
      <c r="L13" s="185" t="str">
        <f>IF(Tim!L15=FIT!$E$1,Tim!L15,"")</f>
        <v/>
      </c>
      <c r="M13" s="185" t="str">
        <f>IF(Tim!M15=FIT!$E$1,Tim!M15,"")</f>
        <v/>
      </c>
      <c r="N13" s="185" t="str">
        <f>IF(Tim!N15=FIT!$E$1,Tim!N15,"")</f>
        <v/>
      </c>
      <c r="O13" s="185" t="str">
        <f>IF(Tim!O15=FIT!$E$1,Tim!O15,"")</f>
        <v/>
      </c>
      <c r="P13" s="185" t="str">
        <f>IF(Tim!P15=FIT!$E$1,Tim!P15,"")</f>
        <v/>
      </c>
      <c r="Q13" s="185" t="str">
        <f>IF(Tim!Q15=FIT!$E$1,Tim!Q15,"")</f>
        <v/>
      </c>
      <c r="R13" s="185" t="str">
        <f>IF(Tim!R15=FIT!$E$1,Tim!R15,"")</f>
        <v/>
      </c>
      <c r="S13" s="185" t="str">
        <f>IF(Tim!S15=FIT!$E$1,Tim!S15,"")</f>
        <v/>
      </c>
      <c r="T13" s="185" t="str">
        <f>IF(Tim!T15=FIT!$E$1,Tim!T15,"")</f>
        <v/>
      </c>
      <c r="U13" s="185" t="str">
        <f>IF(Tim!U15=FIT!$E$1,Tim!U15,"")</f>
        <v/>
      </c>
      <c r="V13" s="185" t="str">
        <f>IF(Tim!W15=FIT!$E$1,Tim!W15,"")</f>
        <v/>
      </c>
      <c r="W13" s="185" t="str">
        <f>IF(Tim!X15=FIT!$E$1,Tim!X15,"")</f>
        <v/>
      </c>
      <c r="X13" s="185" t="str">
        <f>IF(Tim!Y15=FIT!$E$1,Tim!Y15,"")</f>
        <v/>
      </c>
      <c r="Y13" s="185" t="str">
        <f>IF(Tim!Z15=FIT!$E$1,Tim!Z15,"")</f>
        <v/>
      </c>
      <c r="Z13" s="185" t="str">
        <f>IF(Tim!AA15=FIT!$E$1,Tim!AA15,"")</f>
        <v/>
      </c>
      <c r="AA13" s="185" t="str">
        <f>IF(Tim!AB15=FIT!$E$1,Tim!AB15,"")</f>
        <v/>
      </c>
      <c r="AB13" s="185" t="str">
        <f>IF(Tim!AC15=FIT!$E$1,Tim!AC15,"")</f>
        <v/>
      </c>
      <c r="AC13" s="185" t="str">
        <f>IF(Tim!AD15=FIT!$E$1,Tim!AD15,"")</f>
        <v/>
      </c>
      <c r="AD13" s="185" t="str">
        <f>IF(Tim!AE15=FIT!$E$1,Tim!AE15,"")</f>
        <v/>
      </c>
      <c r="AE13" s="185" t="str">
        <f>IF(Tim!AF15=FIT!$E$1,Tim!AF15,"")</f>
        <v/>
      </c>
      <c r="AF13" s="185" t="str">
        <f>IF(Tim!AG15=FIT!$E$1,Tim!AG15,"")</f>
        <v/>
      </c>
      <c r="AG13" s="185" t="str">
        <f>IF(Tim!AH15=FIT!$E$1,Tim!AH15,"")</f>
        <v/>
      </c>
      <c r="AH13" s="185" t="str">
        <f>IF(Tim!AI15=FIT!$E$1,Tim!AI15,"")</f>
        <v/>
      </c>
      <c r="AI13" s="185" t="str">
        <f>IF(Tim!AJ15=FIT!$E$1,Tim!AJ15,"")</f>
        <v/>
      </c>
      <c r="AJ13" s="185" t="str">
        <f>IF(Tim!AK15=FIT!$E$1,Tim!AK15,"")</f>
        <v/>
      </c>
      <c r="AK13" s="185" t="str">
        <f>IF(Tim!AL15=FIT!$E$1,Tim!AL15,"")</f>
        <v/>
      </c>
      <c r="AL13" s="185" t="str">
        <f>IF(Tim!AM15=FIT!$E$1,Tim!AM15,"")</f>
        <v/>
      </c>
      <c r="AM13" s="185" t="str">
        <f>IF(Tim!AN15=FIT!$E$1,Tim!AN15,"")</f>
        <v/>
      </c>
      <c r="AN13" s="185" t="str">
        <f>IF(Tim!AO15=FIT!$E$1,Tim!AO15,"")</f>
        <v/>
      </c>
      <c r="AO13" s="185" t="str">
        <f>IF(Tim!AP15=FIT!$E$1,Tim!AP15,"")</f>
        <v/>
      </c>
      <c r="AP13" s="185" t="str">
        <f>IF(Tim!AQ15=FIT!$E$1,Tim!AQ15,"")</f>
        <v/>
      </c>
      <c r="AQ13" s="185" t="str">
        <f>IF(Tim!AR15=FIT!$E$1,Tim!AR15,"")</f>
        <v/>
      </c>
      <c r="AR13" s="185" t="str">
        <f>IF(Tim!AS15=FIT!$E$1,Tim!AS15,"")</f>
        <v/>
      </c>
      <c r="AS13" s="185" t="str">
        <f>IF(Tim!AT15=FIT!$E$1,Tim!AT15,"")</f>
        <v/>
      </c>
      <c r="AT13" s="185" t="str">
        <f>IF(Tim!AU15=FIT!$E$1,Tim!AU15,"")</f>
        <v/>
      </c>
      <c r="AU13" s="185" t="str">
        <f>IF(Tim!AV15=FIT!$E$1,Tim!AV15,"")</f>
        <v/>
      </c>
      <c r="AV13" s="185" t="str">
        <f>IF(Tim!AW15=FIT!$E$1,Tim!AW15,"")</f>
        <v/>
      </c>
      <c r="AW13" s="186" t="str">
        <f>IF(Tim!AX15=FIT!$E$1,Tim!AX15,"")</f>
        <v/>
      </c>
      <c r="AX13" s="243" t="str">
        <f>IF(Tim!AY15=FIT!$E$1,Tim!AY15,"")</f>
        <v/>
      </c>
      <c r="AY13" s="185" t="str">
        <f>IF(Tim!AZ15=FIT!$E$1,Tim!AZ15,"")</f>
        <v/>
      </c>
      <c r="AZ13" s="185" t="str">
        <f>IF(Tim!BA15=FIT!$E$1,Tim!BA15,"")</f>
        <v/>
      </c>
      <c r="BA13" s="185" t="str">
        <f>IF(Tim!BB15=FIT!$E$1,Tim!BB15,"")</f>
        <v/>
      </c>
      <c r="BB13" s="185" t="str">
        <f>IF(Tim!BC15=FIT!$E$1,Tim!BC15,"")</f>
        <v/>
      </c>
      <c r="BC13" s="185" t="str">
        <f>IF(Tim!BD15=FIT!$E$1,Tim!BD15,"")</f>
        <v/>
      </c>
      <c r="BD13" s="185" t="str">
        <f>IF(Tim!BE15=FIT!$E$1,Tim!BE15,"")</f>
        <v/>
      </c>
      <c r="BE13" s="185" t="str">
        <f>IF(Tim!BF15=FIT!$E$1,Tim!BF15,"")</f>
        <v/>
      </c>
      <c r="BF13" s="185" t="str">
        <f>IF(Tim!BG15=FIT!$E$1,Tim!BG15,"")</f>
        <v/>
      </c>
      <c r="BG13" s="185" t="str">
        <f>IF(Tim!BH15=FIT!$E$1,Tim!BH15,"")</f>
        <v/>
      </c>
      <c r="BH13" s="185" t="str">
        <f>IF(Tim!BI15=FIT!$E$1,Tim!BI15,"")</f>
        <v/>
      </c>
      <c r="BI13" s="185" t="str">
        <f>IF(Tim!BJ15=FIT!$E$1,Tim!BJ15,"")</f>
        <v/>
      </c>
      <c r="BJ13" s="185" t="str">
        <f>IF(Tim!BK15=FIT!$E$1,Tim!BK15,"")</f>
        <v/>
      </c>
      <c r="BK13" s="185" t="str">
        <f>IF(Tim!BL15=FIT!$E$1,Tim!BL15,"")</f>
        <v/>
      </c>
      <c r="BL13" s="185" t="str">
        <f>IF(Tim!BM15=FIT!$E$1,Tim!BM15,"")</f>
        <v/>
      </c>
      <c r="BM13" s="185" t="str">
        <f>IF(Tim!BN15=FIT!$E$1,Tim!BN15,"")</f>
        <v/>
      </c>
      <c r="BN13" s="185" t="str">
        <f>IF(Tim!BO15=FIT!$E$1,Tim!BO15,"")</f>
        <v/>
      </c>
      <c r="BO13" s="185" t="str">
        <f>IF(Tim!BP15=FIT!$E$1,Tim!BP15,"")</f>
        <v/>
      </c>
      <c r="BP13" s="185" t="str">
        <f>IF(Tim!BQ15=FIT!$E$1,Tim!BQ15,"")</f>
        <v/>
      </c>
      <c r="BQ13" s="185" t="str">
        <f>IF(Tim!BR15=FIT!$E$1,Tim!BR15,"")</f>
        <v/>
      </c>
      <c r="BR13" s="185" t="str">
        <f>IF(Tim!BS15=FIT!$E$1,Tim!BS15,"")</f>
        <v/>
      </c>
      <c r="BS13" s="185" t="str">
        <f>IF(Tim!BT15=FIT!$E$1,Tim!BT15,"")</f>
        <v/>
      </c>
      <c r="BT13" s="185" t="str">
        <f>IF(Tim!BU15=FIT!$E$1,Tim!BU15,"")</f>
        <v/>
      </c>
      <c r="BU13" s="185" t="str">
        <f>IF(Tim!BV15=FIT!$E$1,Tim!BV15,"")</f>
        <v/>
      </c>
      <c r="BV13" s="185" t="str">
        <f>IF(Tim!BW15=FIT!$E$1,Tim!BW15,"")</f>
        <v/>
      </c>
      <c r="BW13" s="185" t="str">
        <f>IF(Tim!BX15=FIT!$E$1,Tim!BX15,"")</f>
        <v/>
      </c>
      <c r="BX13" s="185" t="str">
        <f>IF(Tim!BY15=FIT!$E$1,Tim!BY15,"")</f>
        <v/>
      </c>
      <c r="BY13" s="185" t="str">
        <f>IF(Tim!BZ15=FIT!$E$1,Tim!BZ15,"")</f>
        <v/>
      </c>
      <c r="BZ13" s="185" t="str">
        <f>IF(Tim!CA15=FIT!$E$1,Tim!CA15,"")</f>
        <v/>
      </c>
      <c r="CA13" s="185" t="str">
        <f>IF(Tim!CB15=FIT!$E$1,Tim!CB15,"")</f>
        <v/>
      </c>
      <c r="CB13" s="185" t="str">
        <f>IF(Tim!CC15=FIT!$E$1,Tim!CC15,"")</f>
        <v/>
      </c>
      <c r="CC13" s="185" t="str">
        <f>IF(Tim!CD15=FIT!$E$1,Tim!CD15,"")</f>
        <v/>
      </c>
      <c r="CD13" s="185" t="str">
        <f>IF(Tim!CE15=FIT!$E$1,Tim!CE15,"")</f>
        <v/>
      </c>
      <c r="CE13" s="185" t="str">
        <f>IF(Tim!CF15=FIT!$E$1,Tim!CF15,"")</f>
        <v/>
      </c>
      <c r="CF13" s="185" t="str">
        <f>IF(Tim!CG15=FIT!$E$1,Tim!CG15,"")</f>
        <v/>
      </c>
      <c r="CG13" s="185" t="str">
        <f>IF(Tim!CH15=FIT!$E$1,Tim!CH15,"")</f>
        <v/>
      </c>
      <c r="CH13" s="185" t="str">
        <f>IF(Tim!CI15=FIT!$E$1,Tim!CI15,"")</f>
        <v/>
      </c>
      <c r="CI13" s="185" t="str">
        <f>IF(Tim!CJ15=FIT!$E$1,Tim!CJ15,"")</f>
        <v/>
      </c>
      <c r="CJ13" s="185" t="str">
        <f>IF(Tim!CK15=FIT!$E$1,Tim!CK15,"")</f>
        <v/>
      </c>
      <c r="CK13" s="185" t="str">
        <f>IF(Tim!CL15=FIT!$E$1,Tim!CL15,"")</f>
        <v/>
      </c>
      <c r="CL13" s="185" t="str">
        <f>IF(Tim!CM15=FIT!$E$1,Tim!CM15,"")</f>
        <v/>
      </c>
      <c r="CM13" s="185" t="str">
        <f>IF(Tim!CN15=FIT!$E$1,Tim!CN15,"")</f>
        <v/>
      </c>
      <c r="CN13" s="185" t="str">
        <f>IF(Tim!CO15=FIT!$E$1,Tim!CO15,"")</f>
        <v/>
      </c>
      <c r="CO13" s="185" t="str">
        <f>IF(Tim!CP15=FIT!$E$1,Tim!CP15,"")</f>
        <v/>
      </c>
      <c r="CP13" s="185" t="str">
        <f>IF(Tim!CQ15=FIT!$E$1,Tim!CQ15,"")</f>
        <v/>
      </c>
      <c r="CQ13" s="185" t="str">
        <f>IF(Tim!CR15=FIT!$E$1,Tim!CR15,"")</f>
        <v/>
      </c>
      <c r="CR13" s="185" t="str">
        <f>IF(Tim!CS15=FIT!$E$1,Tim!CS15,"")</f>
        <v/>
      </c>
      <c r="CS13" s="185" t="str">
        <f>IF(Tim!CT15=FIT!$E$1,Tim!CT15,"")</f>
        <v/>
      </c>
      <c r="CT13" s="185" t="str">
        <f>IF(Tim!CU15=FIT!$E$1,Tim!CU15,"")</f>
        <v/>
      </c>
      <c r="CU13" s="185" t="str">
        <f>IF(Tim!CV15=FIT!$E$1,Tim!CV15,"")</f>
        <v/>
      </c>
      <c r="CV13" s="185" t="str">
        <f>IF(Tim!CW15=FIT!$E$1,Tim!CW15,"")</f>
        <v/>
      </c>
      <c r="CW13" s="185" t="str">
        <f>IF(Tim!CX15=FIT!$E$1,Tim!CX15,"")</f>
        <v/>
      </c>
      <c r="CX13" s="185" t="str">
        <f>IF(Tim!CY15=FIT!$E$1,Tim!CY15,"")</f>
        <v/>
      </c>
      <c r="CY13" s="185" t="str">
        <f>IF(Tim!CZ15=FIT!$E$1,Tim!CZ15,"")</f>
        <v/>
      </c>
      <c r="CZ13" s="185" t="str">
        <f>IF(Tim!DA15=FIT!$E$1,Tim!DA15,"")</f>
        <v/>
      </c>
      <c r="DA13" s="185" t="str">
        <f>IF(Tim!DB15=FIT!$E$1,Tim!DB15,"")</f>
        <v/>
      </c>
      <c r="DB13" s="185" t="str">
        <f>IF(Tim!DC15=FIT!$E$1,Tim!DC15,"")</f>
        <v/>
      </c>
      <c r="DC13" s="185" t="str">
        <f>IF(Tim!DD15=FIT!$E$1,Tim!DD15,"")</f>
        <v/>
      </c>
      <c r="DD13" s="185" t="str">
        <f>IF(Tim!DE15=FIT!$E$1,Tim!DE15,"")</f>
        <v/>
      </c>
      <c r="DE13" s="185" t="str">
        <f>IF(Tim!DF15=FIT!$E$1,Tim!DF15,"")</f>
        <v/>
      </c>
      <c r="DF13" s="185" t="str">
        <f>IF(Tim!DG15=FIT!$E$1,Tim!DG15,"")</f>
        <v/>
      </c>
      <c r="DG13" s="185" t="str">
        <f>IF(Tim!DH15=FIT!$E$1,Tim!DH15,"")</f>
        <v/>
      </c>
      <c r="DH13" s="185" t="str">
        <f>IF(Tim!DI15=FIT!$E$1,Tim!DI15,"")</f>
        <v/>
      </c>
      <c r="DI13" s="185" t="str">
        <f>IF(Tim!DM15=FIT!$E$1,Tim!DM15,"")</f>
        <v/>
      </c>
      <c r="DJ13" s="185" t="str">
        <f>IF(Tim!DN15=FIT!$E$1,Tim!DN15,"")</f>
        <v/>
      </c>
      <c r="DK13" s="185" t="str">
        <f>IF(Tim!DO15=FIT!$E$1,Tim!DO15,"")</f>
        <v/>
      </c>
      <c r="DL13" s="185" t="str">
        <f>IF(Tim!DP15=FIT!$E$1,Tim!DP15,"")</f>
        <v/>
      </c>
      <c r="DM13" s="185" t="str">
        <f>IF(Tim!DQ15=FIT!$E$1,Tim!DQ15,"")</f>
        <v/>
      </c>
      <c r="DN13" s="185" t="str">
        <f>IF(Tim!DR15=FIT!$E$1,Tim!DR15,"")</f>
        <v/>
      </c>
      <c r="DO13" s="185" t="str">
        <f>IF(Tim!DS15=FIT!$E$1,Tim!DS15,"")</f>
        <v/>
      </c>
      <c r="DP13" s="185" t="str">
        <f>IF(Tim!DT15=FIT!$E$1,Tim!DT15,"")</f>
        <v/>
      </c>
      <c r="DQ13" s="185" t="str">
        <f>IF(Tim!DU15=FIT!$E$1,Tim!DU15,"")</f>
        <v/>
      </c>
      <c r="DR13" s="185" t="str">
        <f>IF(Tim!DV15=FIT!$E$1,Tim!DV15,"")</f>
        <v/>
      </c>
      <c r="DS13" s="185" t="str">
        <f>IF(Tim!DW15=FIT!$E$1,Tim!DW15,"")</f>
        <v/>
      </c>
      <c r="DT13" s="185" t="str">
        <f>IF(Tim!DX15=FIT!$E$1,Tim!DX15,"")</f>
        <v/>
      </c>
      <c r="DU13" s="185" t="str">
        <f>IF(Tim!DY15=FIT!$E$1,Tim!DY15,"")</f>
        <v/>
      </c>
      <c r="DV13" s="185" t="str">
        <f>IF(Tim!DZ15=FIT!$E$1,Tim!DZ15,"")</f>
        <v/>
      </c>
      <c r="DW13" s="185" t="str">
        <f>IF(Tim!EA15=FIT!$E$1,Tim!EA15,"")</f>
        <v/>
      </c>
      <c r="DX13" s="185" t="str">
        <f>IF(Tim!EB15=FIT!$E$1,Tim!EB15,"")</f>
        <v/>
      </c>
      <c r="DY13" s="185" t="str">
        <f>IF(Tim!EC15=FIT!$E$1,Tim!EC15,"")</f>
        <v/>
      </c>
      <c r="DZ13" s="185" t="str">
        <f>IF(Tim!ED15=FIT!$E$1,Tim!ED15,"")</f>
        <v/>
      </c>
      <c r="EA13" s="185" t="str">
        <f>IF(Tim!EE15=FIT!$E$1,Tim!EE15,"")</f>
        <v/>
      </c>
      <c r="EB13" s="185" t="str">
        <f>IF(Tim!EF15=FIT!$E$1,Tim!EF15,"")</f>
        <v/>
      </c>
      <c r="EC13" s="185" t="str">
        <f>IF(Tim!EG15=FIT!$E$1,Tim!EG15,"")</f>
        <v/>
      </c>
      <c r="ED13" s="185" t="str">
        <f>IF(Tim!EH15=FIT!$E$1,Tim!EH15,"")</f>
        <v/>
      </c>
      <c r="EE13" s="185" t="str">
        <f>IF(Tim!EI15=FIT!$E$1,Tim!EI15,"")</f>
        <v/>
      </c>
      <c r="EF13" s="185" t="str">
        <f>IF(Tim!EJ15=FIT!$E$1,Tim!EJ15,"")</f>
        <v/>
      </c>
      <c r="EG13" s="185" t="str">
        <f>IF(Tim!EK15=FIT!$E$1,Tim!EK15,"")</f>
        <v/>
      </c>
      <c r="EH13" s="185" t="str">
        <f>IF(Tim!EL15=FIT!$E$1,Tim!EL15,"")</f>
        <v/>
      </c>
      <c r="EI13" s="185" t="str">
        <f>IF(Tim!EM15=FIT!$E$1,Tim!EM15,"")</f>
        <v/>
      </c>
      <c r="EJ13" s="185" t="str">
        <f>IF(Tim!EN15=FIT!$E$1,Tim!EN15,"")</f>
        <v/>
      </c>
      <c r="EK13" s="185" t="str">
        <f>IF(Tim!EO15=FIT!$E$1,Tim!EO15,"")</f>
        <v/>
      </c>
      <c r="EL13" s="185" t="str">
        <f>IF(Tim!EP15=FIT!$E$1,Tim!EP15,"")</f>
        <v/>
      </c>
      <c r="EM13" s="185" t="str">
        <f>IF(Tim!EQ15=FIT!$E$1,Tim!EQ15,"")</f>
        <v/>
      </c>
      <c r="EN13" s="185" t="str">
        <f>IF(Tim!ER15=FIT!$E$1,Tim!ER15,"")</f>
        <v/>
      </c>
      <c r="EO13" s="185" t="str">
        <f>IF(Tim!ES15=FIT!$E$1,Tim!ES15,"")</f>
        <v/>
      </c>
      <c r="EP13" s="185" t="str">
        <f>IF(Tim!ET15=FIT!$E$1,Tim!ET15,"")</f>
        <v/>
      </c>
      <c r="EQ13" s="185" t="str">
        <f>IF(Tim!EU15=FIT!$E$1,Tim!EU15,"")</f>
        <v/>
      </c>
      <c r="ER13" s="185" t="str">
        <f>IF(Tim!EV15=FIT!$E$1,Tim!EV15,"")</f>
        <v/>
      </c>
      <c r="ES13" s="185" t="str">
        <f>IF(Tim!EW15=FIT!$E$1,Tim!EW15,"")</f>
        <v/>
      </c>
      <c r="ET13" s="185" t="str">
        <f>IF(Tim!EX15=FIT!$E$1,Tim!EX15,"")</f>
        <v/>
      </c>
      <c r="EU13" s="185" t="str">
        <f>IF(Tim!EY15=FIT!$E$1,Tim!EY15,"")</f>
        <v/>
      </c>
      <c r="EV13" s="185" t="str">
        <f>IF(Tim!EZ15=FIT!$E$1,Tim!EZ15,"")</f>
        <v/>
      </c>
      <c r="EW13" s="185" t="str">
        <f>IF(Tim!FA15=FIT!$E$1,Tim!FA15,"")</f>
        <v/>
      </c>
      <c r="EX13" s="185" t="str">
        <f>IF(Tim!FB15=FIT!$E$1,Tim!FB15,"")</f>
        <v/>
      </c>
      <c r="EY13" s="185" t="str">
        <f>IF(Tim!FC15=FIT!$E$1,Tim!FC15,"")</f>
        <v/>
      </c>
      <c r="EZ13" s="185" t="str">
        <f>IF(Tim!FD15=FIT!$E$1,Tim!FD15,"")</f>
        <v/>
      </c>
      <c r="FA13" s="185" t="str">
        <f>IF(Tim!FE15=FIT!$E$1,Tim!FE15,"")</f>
        <v/>
      </c>
      <c r="FB13" s="185" t="str">
        <f>IF(Tim!FF15=FIT!$E$1,Tim!FF15,"")</f>
        <v/>
      </c>
      <c r="FC13" s="185" t="str">
        <f>IF(Tim!FG15=FIT!$E$1,Tim!FG15,"")</f>
        <v/>
      </c>
      <c r="FD13" s="185" t="str">
        <f>IF(Tim!FH15=FIT!$E$1,Tim!FH15,"")</f>
        <v/>
      </c>
      <c r="FE13" s="185" t="str">
        <f>IF(Tim!FI15=FIT!$E$1,Tim!FI15,"")</f>
        <v/>
      </c>
      <c r="FF13" s="185" t="str">
        <f>IF(Tim!FJ15=FIT!$E$1,Tim!FJ15,"")</f>
        <v/>
      </c>
      <c r="FG13" s="185" t="e">
        <f>IF(Tim!#REF!=FIT!$E$1,Tim!#REF!,"")</f>
        <v>#REF!</v>
      </c>
      <c r="FH13" s="185" t="str">
        <f>IF(Tim!FL15=FIT!$E$1,Tim!FL15,"")</f>
        <v/>
      </c>
      <c r="FI13" s="185" t="str">
        <f>IF(Tim!FM15=FIT!$E$1,Tim!FM15,"")</f>
        <v/>
      </c>
      <c r="FJ13" s="185" t="str">
        <f>IF(Tim!FN15=FIT!$E$1,Tim!FN15,"")</f>
        <v/>
      </c>
      <c r="FK13" s="185" t="str">
        <f>IF(Tim!FO15=FIT!$E$1,Tim!FO15,"")</f>
        <v/>
      </c>
      <c r="FL13" s="185" t="str">
        <f>IF(Tim!FP15=FIT!$E$1,Tim!FP15,"")</f>
        <v/>
      </c>
      <c r="FM13" s="185" t="str">
        <f>IF(Tim!FQ15=FIT!$E$1,Tim!FQ15,"")</f>
        <v/>
      </c>
      <c r="FN13" s="185" t="str">
        <f>IF(Tim!FR15=FIT!$E$1,Tim!FR15,"")</f>
        <v/>
      </c>
      <c r="FO13" s="185" t="str">
        <f>IF(Tim!FS15=FIT!$E$1,Tim!FS15,"")</f>
        <v/>
      </c>
      <c r="FP13" s="185" t="str">
        <f>IF(Tim!FT15=FIT!$E$1,Tim!FT15,"")</f>
        <v/>
      </c>
      <c r="FQ13" s="185" t="str">
        <f>IF(Tim!FU15=FIT!$E$1,Tim!FU15,"")</f>
        <v/>
      </c>
      <c r="FR13" s="185" t="str">
        <f>IF(Tim!FV15=FIT!$E$1,Tim!FV15,"")</f>
        <v/>
      </c>
      <c r="FS13" s="185" t="str">
        <f>IF(Tim!FW15=FIT!$E$1,Tim!FW15,"")</f>
        <v/>
      </c>
      <c r="FT13" s="185" t="str">
        <f>IF(Tim!FX15=FIT!$E$1,Tim!FX15,"")</f>
        <v/>
      </c>
      <c r="FU13" s="185" t="str">
        <f>IF(Tim!FY15=FIT!$E$1,Tim!FY15,"")</f>
        <v/>
      </c>
      <c r="FV13" s="185" t="str">
        <f>IF(Tim!FZ15=FIT!$E$1,Tim!FZ15,"")</f>
        <v/>
      </c>
      <c r="FW13" s="185" t="str">
        <f>IF(Tim!GA15=FIT!$E$1,Tim!GA15,"")</f>
        <v/>
      </c>
      <c r="FX13" s="185" t="str">
        <f>IF(Tim!GB15=FIT!$E$1,Tim!GB15,"")</f>
        <v/>
      </c>
      <c r="FY13" s="185" t="str">
        <f>IF(Tim!GC15=FIT!$E$1,Tim!GC15,"")</f>
        <v/>
      </c>
      <c r="FZ13" s="185" t="str">
        <f>IF(Tim!GD15=FIT!$E$1,Tim!GD15,"")</f>
        <v/>
      </c>
      <c r="GA13" s="185" t="str">
        <f>IF(Tim!GE15=FIT!$E$1,Tim!GE15,"")</f>
        <v/>
      </c>
      <c r="GB13" s="185" t="str">
        <f>IF(Tim!GF15=FIT!$E$1,Tim!GF15,"")</f>
        <v/>
      </c>
      <c r="GC13" s="185" t="str">
        <f>IF(Tim!GG15=FIT!$E$1,Tim!GG15,"")</f>
        <v/>
      </c>
      <c r="GD13" s="185" t="str">
        <f>IF(Tim!GH15=FIT!$E$1,Tim!GH15,"")</f>
        <v/>
      </c>
      <c r="GE13" s="185" t="str">
        <f>IF(Tim!GI15=FIT!$E$1,Tim!GI15,"")</f>
        <v/>
      </c>
      <c r="GF13" s="185" t="str">
        <f>IF(Tim!GJ15=FIT!$E$1,Tim!GJ15,"")</f>
        <v/>
      </c>
      <c r="GG13" s="185" t="str">
        <f>IF(Tim!GK15=FIT!$E$1,Tim!GK15,"")</f>
        <v/>
      </c>
      <c r="GH13" s="185" t="str">
        <f>IF(Tim!GL15=FIT!$E$1,Tim!GL15,"")</f>
        <v/>
      </c>
      <c r="GI13" s="185" t="str">
        <f>IF(Tim!GM15=FIT!$E$1,Tim!GM15,"")</f>
        <v/>
      </c>
      <c r="GJ13" s="185" t="str">
        <f>IF(Tim!GN15=FIT!$E$1,Tim!GN15,"")</f>
        <v/>
      </c>
      <c r="GK13" s="185" t="str">
        <f>IF(Tim!GO15=FIT!$E$1,Tim!GO15,"")</f>
        <v/>
      </c>
      <c r="GL13" s="185" t="str">
        <f>IF(Tim!GP15=FIT!$E$1,Tim!GP15,"")</f>
        <v/>
      </c>
      <c r="GM13" s="185" t="str">
        <f>IF(Tim!GQ15=FIT!$E$1,Tim!GQ15,"")</f>
        <v/>
      </c>
      <c r="GN13" s="185" t="str">
        <f>IF(Tim!GR15=FIT!$E$1,Tim!GR15,"")</f>
        <v/>
      </c>
      <c r="GO13" s="185" t="str">
        <f>IF(Tim!GS15=FIT!$E$1,Tim!GS15,"")</f>
        <v/>
      </c>
      <c r="GP13" s="185" t="str">
        <f>IF(Tim!GT15=FIT!$E$1,Tim!GT15,"")</f>
        <v/>
      </c>
      <c r="GQ13" s="185" t="str">
        <f>IF(Tim!GU15=FIT!$E$1,Tim!GU15,"")</f>
        <v/>
      </c>
      <c r="GR13" s="185" t="str">
        <f>IF(Tim!GV15=FIT!$E$1,Tim!GV15,"")</f>
        <v/>
      </c>
      <c r="GS13" s="185" t="str">
        <f>IF(Tim!GW15=FIT!$E$1,Tim!GW15,"")</f>
        <v/>
      </c>
      <c r="GT13" s="185" t="str">
        <f>IF(Tim!GX15=FIT!$E$1,Tim!GX15,"")</f>
        <v/>
      </c>
      <c r="GU13" s="185" t="str">
        <f>IF(Tim!GY15=FIT!$E$1,Tim!GY15,"")</f>
        <v/>
      </c>
      <c r="GV13" s="185" t="str">
        <f>IF(Tim!GZ15=FIT!$E$1,Tim!GZ15,"")</f>
        <v/>
      </c>
      <c r="GW13" s="185" t="str">
        <f>IF(Tim!HA15=FIT!$E$1,Tim!HA15,"")</f>
        <v/>
      </c>
      <c r="GX13" s="185" t="str">
        <f>IF(Tim!HB15=FIT!$E$1,Tim!HB15,"")</f>
        <v/>
      </c>
      <c r="GY13" s="185" t="str">
        <f>IF(Tim!HC15=FIT!$E$1,Tim!HC15,"")</f>
        <v/>
      </c>
      <c r="GZ13" s="185" t="str">
        <f>IF(Tim!HD15=FIT!$E$1,Tim!HD15,"")</f>
        <v/>
      </c>
      <c r="HA13" s="185" t="str">
        <f>IF(Tim!HE15=FIT!$E$1,Tim!HE15,"")</f>
        <v/>
      </c>
      <c r="HB13" s="185" t="str">
        <f>IF(Tim!HF15=FIT!$E$1,Tim!HF15,"")</f>
        <v/>
      </c>
      <c r="HC13" s="185" t="str">
        <f>IF(Tim!HG15=FIT!$E$1,Tim!HG15,"")</f>
        <v/>
      </c>
      <c r="HD13" s="185" t="str">
        <f>IF(Tim!HH15=FIT!$E$1,Tim!HH15,"")</f>
        <v/>
      </c>
      <c r="HE13" s="185" t="str">
        <f>IF(Tim!HI15=FIT!$E$1,Tim!HI15,"")</f>
        <v/>
      </c>
      <c r="HF13" s="185" t="str">
        <f>IF(Tim!HJ15=FIT!$E$1,Tim!HJ15,"")</f>
        <v/>
      </c>
      <c r="HG13" s="185" t="str">
        <f>IF(Tim!HK15=FIT!$E$1,Tim!HK15,"")</f>
        <v/>
      </c>
      <c r="HH13" s="185" t="str">
        <f>IF(Tim!HL15=FIT!$E$1,Tim!HL15,"")</f>
        <v/>
      </c>
      <c r="HI13" s="185" t="str">
        <f>IF(Tim!HM15=FIT!$E$1,Tim!HM15,"")</f>
        <v/>
      </c>
      <c r="HJ13" s="185" t="str">
        <f>IF(Tim!HN15=FIT!$E$1,Tim!HN15,"")</f>
        <v/>
      </c>
      <c r="HK13" s="185" t="str">
        <f>IF(Tim!HO15=FIT!$E$1,Tim!HO15,"")</f>
        <v/>
      </c>
      <c r="HL13" s="185" t="str">
        <f>IF(Tim!HP15=FIT!$E$1,Tim!HP15,"")</f>
        <v/>
      </c>
      <c r="HM13" s="185" t="str">
        <f>IF(Tim!HQ15=FIT!$E$1,Tim!HQ15,"")</f>
        <v/>
      </c>
      <c r="HN13" s="185" t="str">
        <f>IF(Tim!HR15=FIT!$E$1,Tim!HR15,"")</f>
        <v/>
      </c>
      <c r="HO13" s="185" t="str">
        <f>IF(Tim!HS15=FIT!$E$1,Tim!HS15,"")</f>
        <v/>
      </c>
      <c r="HP13" s="185" t="str">
        <f>IF(Tim!HT15=FIT!$E$1,Tim!HT15,"")</f>
        <v/>
      </c>
      <c r="HQ13" s="185" t="str">
        <f>IF(Tim!HU15=FIT!$E$1,Tim!HU15,"")</f>
        <v/>
      </c>
      <c r="HR13" s="185" t="str">
        <f>IF(Tim!HV15=FIT!$E$1,Tim!HV15,"")</f>
        <v/>
      </c>
      <c r="HS13" s="185" t="str">
        <f>IF(Tim!HW15=FIT!$E$1,Tim!HW15,"")</f>
        <v/>
      </c>
      <c r="HT13" s="185" t="str">
        <f>IF(Tim!HX15=FIT!$E$1,Tim!HX15,"")</f>
        <v/>
      </c>
      <c r="HU13" s="185" t="str">
        <f>IF(Tim!HY15=FIT!$E$1,Tim!HY15,"")</f>
        <v/>
      </c>
      <c r="HV13" s="185" t="str">
        <f>IF(Tim!HZ15=FIT!$E$1,Tim!HZ15,"")</f>
        <v/>
      </c>
      <c r="HW13" s="185" t="str">
        <f>IF(Tim!IA15=FIT!$E$1,Tim!IA15,"")</f>
        <v/>
      </c>
      <c r="HX13" s="185" t="str">
        <f>IF(Tim!IB15=FIT!$E$1,Tim!IB15,"")</f>
        <v/>
      </c>
      <c r="HY13" s="185" t="str">
        <f>IF(Tim!IC15=FIT!$E$1,Tim!IC15,"")</f>
        <v/>
      </c>
      <c r="HZ13" s="185" t="str">
        <f>IF(Tim!ID15=FIT!$E$1,Tim!ID15,"")</f>
        <v/>
      </c>
      <c r="IA13" s="185" t="str">
        <f>IF(Tim!IE15=FIT!$E$1,Tim!IE15,"")</f>
        <v/>
      </c>
      <c r="IB13" s="185" t="str">
        <f>IF(Tim!IF15=FIT!$E$1,Tim!IF15,"")</f>
        <v/>
      </c>
      <c r="IC13" s="185" t="str">
        <f>IF(Tim!IG15=FIT!$E$1,Tim!IG15,"")</f>
        <v/>
      </c>
      <c r="ID13" s="185" t="str">
        <f>IF(Tim!IH15=FIT!$E$1,Tim!IH15,"")</f>
        <v/>
      </c>
      <c r="IE13" s="185" t="str">
        <f>IF(Tim!II15=FIT!$E$1,Tim!II15,"")</f>
        <v/>
      </c>
      <c r="IF13" s="185" t="str">
        <f>IF(Tim!IJ15=FIT!$E$1,Tim!IJ15,"")</f>
        <v/>
      </c>
      <c r="IG13" s="185" t="str">
        <f>IF(Tim!IK15=FIT!$E$1,Tim!IK15,"")</f>
        <v/>
      </c>
      <c r="IH13" s="185" t="str">
        <f>IF(Tim!IL15=FIT!$E$1,Tim!IL15,"")</f>
        <v/>
      </c>
      <c r="II13" s="185" t="str">
        <f>IF(Tim!IM15=FIT!$E$1,Tim!IM15,"")</f>
        <v/>
      </c>
      <c r="IJ13" s="185" t="str">
        <f>IF(Tim!IN15=FIT!$E$1,Tim!IN15,"")</f>
        <v/>
      </c>
      <c r="IK13" s="185" t="str">
        <f>IF(Tim!IO15=FIT!$E$1,Tim!IO15,"")</f>
        <v/>
      </c>
      <c r="IL13" s="185" t="str">
        <f>IF(Tim!IP15=FIT!$E$1,Tim!IP15,"")</f>
        <v/>
      </c>
      <c r="IM13" s="185" t="str">
        <f>IF(Tim!IQ15=FIT!$E$1,Tim!IQ15,"")</f>
        <v/>
      </c>
      <c r="IN13" s="185" t="str">
        <f>IF(Tim!IR15=FIT!$E$1,Tim!IR15,"")</f>
        <v/>
      </c>
      <c r="IO13" s="185" t="str">
        <f>IF(Tim!IS15=FIT!$E$1,Tim!IS15,"")</f>
        <v/>
      </c>
      <c r="IP13" s="185" t="str">
        <f>IF(Tim!IT15=FIT!$E$1,Tim!IT15,"")</f>
        <v/>
      </c>
      <c r="IQ13" s="185" t="str">
        <f>IF(Tim!IU15=FIT!$E$1,Tim!IU15,"")</f>
        <v/>
      </c>
      <c r="IR13" s="185" t="str">
        <f>IF(Tim!IV15=FIT!$E$1,Tim!IV15,"")</f>
        <v/>
      </c>
      <c r="IS13" s="185" t="str">
        <f>IF(Tim!IW15=FIT!$E$1,Tim!IW15,"")</f>
        <v/>
      </c>
      <c r="IT13" s="185" t="str">
        <f>IF(Tim!IX15=FIT!$E$1,Tim!IX15,"")</f>
        <v/>
      </c>
      <c r="IU13" s="185" t="str">
        <f>IF(Tim!IY15=FIT!$E$1,Tim!IY15,"")</f>
        <v/>
      </c>
      <c r="IV13" s="185" t="str">
        <f>IF(Tim!IZ15=FIT!$E$1,Tim!IZ15,"")</f>
        <v/>
      </c>
      <c r="IW13" s="185" t="str">
        <f>IF(Tim!JA15=FIT!$E$1,Tim!JA15,"")</f>
        <v/>
      </c>
      <c r="IX13" s="185" t="str">
        <f>IF(Tim!JB15=FIT!$E$1,Tim!JB15,"")</f>
        <v/>
      </c>
      <c r="IY13" s="185" t="str">
        <f>IF(Tim!JC15=FIT!$E$1,Tim!JC15,"")</f>
        <v/>
      </c>
      <c r="IZ13" s="185" t="str">
        <f>IF(Tim!JD15=FIT!$E$1,Tim!JD15,"")</f>
        <v/>
      </c>
      <c r="JA13" s="185" t="str">
        <f>IF(Tim!JE15=FIT!$E$1,Tim!JE15,"")</f>
        <v/>
      </c>
      <c r="JB13" s="185" t="str">
        <f>IF(Tim!JF15=FIT!$E$1,Tim!JF15,"")</f>
        <v/>
      </c>
      <c r="JC13" s="185" t="str">
        <f>IF(Tim!JG15=FIT!$E$1,Tim!JG15,"")</f>
        <v/>
      </c>
      <c r="JD13" s="185" t="str">
        <f>IF(Tim!JH15=FIT!$E$1,Tim!JH15,"")</f>
        <v/>
      </c>
      <c r="JE13" s="185" t="str">
        <f>IF(Tim!JI15=FIT!$E$1,Tim!JI15,"")</f>
        <v/>
      </c>
      <c r="JF13" s="185" t="str">
        <f>IF(Tim!JJ15=FIT!$E$1,Tim!JJ15,"")</f>
        <v/>
      </c>
      <c r="JG13" s="185" t="str">
        <f>IF(Tim!JK15=FIT!$E$1,Tim!JK15,"")</f>
        <v/>
      </c>
      <c r="JH13" s="185" t="str">
        <f>IF(Tim!JL15=FIT!$E$1,Tim!JL15,"")</f>
        <v/>
      </c>
      <c r="JI13" s="185" t="str">
        <f>IF(Tim!JM15=FIT!$E$1,Tim!JM15,"")</f>
        <v/>
      </c>
      <c r="JJ13" s="185" t="str">
        <f>IF(Tim!JN15=FIT!$E$1,Tim!JN15,"")</f>
        <v/>
      </c>
      <c r="JK13" s="185" t="str">
        <f>IF(Tim!JO15=FIT!$E$1,Tim!JO15,"")</f>
        <v/>
      </c>
      <c r="JL13" s="185" t="str">
        <f>IF(Tim!JP15=FIT!$E$1,Tim!JP15,"")</f>
        <v/>
      </c>
      <c r="JM13" s="185" t="str">
        <f>IF(Tim!JQ15=FIT!$E$1,Tim!JQ15,"")</f>
        <v/>
      </c>
      <c r="JN13" s="185" t="str">
        <f>IF(Tim!JR15=FIT!$E$1,Tim!JR15,"")</f>
        <v/>
      </c>
      <c r="JO13" s="185" t="str">
        <f>IF(Tim!JS15=FIT!$E$1,Tim!JS15,"")</f>
        <v/>
      </c>
      <c r="JP13" s="185" t="str">
        <f>IF(Tim!JT15=FIT!$E$1,Tim!JT15,"")</f>
        <v/>
      </c>
      <c r="JQ13" s="185" t="str">
        <f>IF(Tim!JU15=FIT!$E$1,Tim!JU15,"")</f>
        <v/>
      </c>
      <c r="JR13" s="185" t="str">
        <f>IF(Tim!JV15=FIT!$E$1,Tim!JV15,"")</f>
        <v/>
      </c>
      <c r="JS13" s="185" t="str">
        <f>IF(Tim!JW15=FIT!$E$1,Tim!JW15,"")</f>
        <v/>
      </c>
      <c r="JT13" s="185" t="str">
        <f>IF(Tim!JX15=FIT!$E$1,Tim!JX15,"")</f>
        <v/>
      </c>
      <c r="JU13" s="185" t="str">
        <f>IF(Tim!JY15=FIT!$E$1,Tim!JY15,"")</f>
        <v/>
      </c>
      <c r="JV13" s="185" t="str">
        <f>IF(Tim!JZ15=FIT!$E$1,Tim!JZ15,"")</f>
        <v/>
      </c>
      <c r="JW13" s="185" t="str">
        <f>IF(Tim!KA15=FIT!$E$1,Tim!KA15,"")</f>
        <v/>
      </c>
      <c r="JX13" s="185" t="str">
        <f>IF(Tim!KB15=FIT!$E$1,Tim!KB15,"")</f>
        <v/>
      </c>
      <c r="JY13" s="185" t="str">
        <f>IF(Tim!KC15=FIT!$E$1,Tim!KC15,"")</f>
        <v/>
      </c>
      <c r="JZ13" s="185" t="str">
        <f>IF(Tim!KD15=FIT!$E$1,Tim!KD15,"")</f>
        <v/>
      </c>
      <c r="KA13" s="185" t="str">
        <f>IF(Tim!KE15=FIT!$E$1,Tim!KE15,"")</f>
        <v/>
      </c>
      <c r="KB13" s="185" t="str">
        <f>IF(Tim!KF15=FIT!$E$1,Tim!KF15,"")</f>
        <v/>
      </c>
      <c r="KC13" s="185" t="str">
        <f>IF(Tim!KG15=FIT!$E$1,Tim!KG15,"")</f>
        <v/>
      </c>
      <c r="KD13" s="185" t="str">
        <f>IF(Tim!KH15=FIT!$E$1,Tim!KH15,"")</f>
        <v/>
      </c>
      <c r="KE13" s="185" t="str">
        <f>IF(Tim!KI15=FIT!$E$1,Tim!KI15,"")</f>
        <v/>
      </c>
      <c r="KF13" s="185" t="str">
        <f>IF(Tim!KJ15=FIT!$E$1,Tim!KJ15,"")</f>
        <v/>
      </c>
      <c r="KG13" s="185" t="str">
        <f>IF(Tim!KK15=FIT!$E$1,Tim!KK15,"")</f>
        <v/>
      </c>
      <c r="KH13" s="185" t="str">
        <f>IF(Tim!KL15=FIT!$E$1,Tim!KL15,"")</f>
        <v/>
      </c>
      <c r="KI13" s="185" t="str">
        <f>IF(Tim!KM15=FIT!$E$1,Tim!KM15,"")</f>
        <v/>
      </c>
      <c r="KJ13" s="185" t="str">
        <f>IF(Tim!KN15=FIT!$E$1,Tim!KN15,"")</f>
        <v/>
      </c>
      <c r="KK13" s="185" t="str">
        <f>IF(Tim!KO15=FIT!$E$1,Tim!KO15,"")</f>
        <v/>
      </c>
      <c r="KL13" s="185" t="str">
        <f>IF(Tim!KP15=FIT!$E$1,Tim!KP15,"")</f>
        <v/>
      </c>
      <c r="KM13" s="185" t="str">
        <f>IF(Tim!KQ15=FIT!$E$1,Tim!KQ15,"")</f>
        <v/>
      </c>
      <c r="KN13" s="185" t="str">
        <f>IF(Tim!KR15=FIT!$E$1,Tim!KR15,"")</f>
        <v/>
      </c>
      <c r="KO13" s="185" t="str">
        <f>IF(Tim!KS15=FIT!$E$1,Tim!KS15,"")</f>
        <v/>
      </c>
      <c r="KP13" s="185" t="str">
        <f>IF(Tim!KT15=FIT!$E$1,Tim!KT15,"")</f>
        <v/>
      </c>
      <c r="KQ13" s="185" t="str">
        <f>IF(Tim!KU15=FIT!$E$1,Tim!KU15,"")</f>
        <v/>
      </c>
      <c r="KR13" s="185" t="str">
        <f>IF(Tim!KV15=FIT!$E$1,Tim!KV15,"")</f>
        <v/>
      </c>
      <c r="KS13" s="185" t="str">
        <f>IF(Tim!KW15=FIT!$E$1,Tim!KW15,"")</f>
        <v/>
      </c>
      <c r="KT13" s="185" t="str">
        <f>IF(Tim!KX15=FIT!$E$1,Tim!KX15,"")</f>
        <v/>
      </c>
      <c r="KU13" s="185" t="str">
        <f>IF(Tim!KY15=FIT!$E$1,Tim!KY15,"")</f>
        <v/>
      </c>
      <c r="KV13" s="185" t="str">
        <f>IF(Tim!KZ15=FIT!$E$1,Tim!KZ15,"")</f>
        <v/>
      </c>
      <c r="KW13" s="185" t="str">
        <f>IF(Tim!LA15=FIT!$E$1,Tim!LA15,"")</f>
        <v/>
      </c>
      <c r="KX13" s="185" t="str">
        <f>IF(Tim!LB15=FIT!$E$1,Tim!LB15,"")</f>
        <v/>
      </c>
      <c r="KY13" s="185" t="str">
        <f>IF(Tim!LC15=FIT!$E$1,Tim!LC15,"")</f>
        <v/>
      </c>
      <c r="KZ13" s="185" t="str">
        <f>IF(Tim!LD15=FIT!$E$1,Tim!LD15,"")</f>
        <v/>
      </c>
      <c r="LA13" s="185" t="str">
        <f>IF(Tim!LE15=FIT!$E$1,Tim!LE15,"")</f>
        <v/>
      </c>
      <c r="LB13" s="52">
        <v>0.375</v>
      </c>
    </row>
    <row r="14" spans="2:314" ht="10.5" customHeight="1">
      <c r="B14" s="49">
        <v>0.25</v>
      </c>
      <c r="C14" s="49">
        <v>0.25</v>
      </c>
      <c r="D14" s="49">
        <v>0.25</v>
      </c>
      <c r="E14" s="172">
        <v>0.38541666666666602</v>
      </c>
      <c r="F14" s="238" t="str">
        <f>IF(Tim!F16=FIT!$E$1,Tim!F16,"")</f>
        <v/>
      </c>
      <c r="G14" s="185" t="str">
        <f>IF(Tim!G16=FIT!$E$1,Tim!G16,"")</f>
        <v/>
      </c>
      <c r="H14" s="185" t="str">
        <f>IF(Tim!H16=FIT!$E$1,Tim!H16,"")</f>
        <v/>
      </c>
      <c r="I14" s="185" t="str">
        <f>IF(Tim!I16=FIT!$E$1,Tim!I16,"")</f>
        <v/>
      </c>
      <c r="J14" s="185" t="str">
        <f>IF(Tim!J16=FIT!$E$1,Tim!J16,"")</f>
        <v/>
      </c>
      <c r="K14" s="185" t="str">
        <f>IF(Tim!K16=FIT!$E$1,Tim!K16,"")</f>
        <v/>
      </c>
      <c r="L14" s="185" t="str">
        <f>IF(Tim!L16=FIT!$E$1,Tim!L16,"")</f>
        <v/>
      </c>
      <c r="M14" s="185" t="str">
        <f>IF(Tim!M16=FIT!$E$1,Tim!M16,"")</f>
        <v/>
      </c>
      <c r="N14" s="185" t="str">
        <f>IF(Tim!N16=FIT!$E$1,Tim!N16,"")</f>
        <v/>
      </c>
      <c r="O14" s="185" t="str">
        <f>IF(Tim!O16=FIT!$E$1,Tim!O16,"")</f>
        <v/>
      </c>
      <c r="P14" s="185" t="str">
        <f>IF(Tim!P16=FIT!$E$1,Tim!P16,"")</f>
        <v/>
      </c>
      <c r="Q14" s="185" t="str">
        <f>IF(Tim!Q16=FIT!$E$1,Tim!Q16,"")</f>
        <v/>
      </c>
      <c r="R14" s="185" t="str">
        <f>IF(Tim!R16=FIT!$E$1,Tim!R16,"")</f>
        <v/>
      </c>
      <c r="S14" s="185" t="str">
        <f>IF(Tim!S16=FIT!$E$1,Tim!S16,"")</f>
        <v/>
      </c>
      <c r="T14" s="185" t="str">
        <f>IF(Tim!T16=FIT!$E$1,Tim!T16,"")</f>
        <v/>
      </c>
      <c r="U14" s="185" t="str">
        <f>IF(Tim!U16=FIT!$E$1,Tim!U16,"")</f>
        <v/>
      </c>
      <c r="V14" s="185" t="str">
        <f>IF(Tim!W16=FIT!$E$1,Tim!W16,"")</f>
        <v/>
      </c>
      <c r="W14" s="185" t="str">
        <f>IF(Tim!X16=FIT!$E$1,Tim!X16,"")</f>
        <v/>
      </c>
      <c r="X14" s="185" t="str">
        <f>IF(Tim!Y16=FIT!$E$1,Tim!Y16,"")</f>
        <v/>
      </c>
      <c r="Y14" s="185" t="str">
        <f>IF(Tim!Z16=FIT!$E$1,Tim!Z16,"")</f>
        <v/>
      </c>
      <c r="Z14" s="185" t="str">
        <f>IF(Tim!AA16=FIT!$E$1,Tim!AA16,"")</f>
        <v/>
      </c>
      <c r="AA14" s="185" t="str">
        <f>IF(Tim!AB16=FIT!$E$1,Tim!AB16,"")</f>
        <v/>
      </c>
      <c r="AB14" s="185" t="str">
        <f>IF(Tim!AC16=FIT!$E$1,Tim!AC16,"")</f>
        <v/>
      </c>
      <c r="AC14" s="185" t="str">
        <f>IF(Tim!AD16=FIT!$E$1,Tim!AD16,"")</f>
        <v/>
      </c>
      <c r="AD14" s="185" t="str">
        <f>IF(Tim!AE16=FIT!$E$1,Tim!AE16,"")</f>
        <v/>
      </c>
      <c r="AE14" s="185" t="str">
        <f>IF(Tim!AF16=FIT!$E$1,Tim!AF16,"")</f>
        <v/>
      </c>
      <c r="AF14" s="185" t="str">
        <f>IF(Tim!AG16=FIT!$E$1,Tim!AG16,"")</f>
        <v/>
      </c>
      <c r="AG14" s="185" t="str">
        <f>IF(Tim!AH16=FIT!$E$1,Tim!AH16,"")</f>
        <v/>
      </c>
      <c r="AH14" s="185" t="str">
        <f>IF(Tim!AI16=FIT!$E$1,Tim!AI16,"")</f>
        <v/>
      </c>
      <c r="AI14" s="185" t="str">
        <f>IF(Tim!AJ16=FIT!$E$1,Tim!AJ16,"")</f>
        <v/>
      </c>
      <c r="AJ14" s="185" t="str">
        <f>IF(Tim!AK16=FIT!$E$1,Tim!AK16,"")</f>
        <v/>
      </c>
      <c r="AK14" s="185" t="str">
        <f>IF(Tim!AL16=FIT!$E$1,Tim!AL16,"")</f>
        <v/>
      </c>
      <c r="AL14" s="185" t="str">
        <f>IF(Tim!AM16=FIT!$E$1,Tim!AM16,"")</f>
        <v/>
      </c>
      <c r="AM14" s="185" t="str">
        <f>IF(Tim!AN16=FIT!$E$1,Tim!AN16,"")</f>
        <v/>
      </c>
      <c r="AN14" s="185" t="str">
        <f>IF(Tim!AO16=FIT!$E$1,Tim!AO16,"")</f>
        <v/>
      </c>
      <c r="AO14" s="185" t="str">
        <f>IF(Tim!AP16=FIT!$E$1,Tim!AP16,"")</f>
        <v/>
      </c>
      <c r="AP14" s="185" t="str">
        <f>IF(Tim!AQ16=FIT!$E$1,Tim!AQ16,"")</f>
        <v/>
      </c>
      <c r="AQ14" s="185" t="str">
        <f>IF(Tim!AR16=FIT!$E$1,Tim!AR16,"")</f>
        <v/>
      </c>
      <c r="AR14" s="185" t="str">
        <f>IF(Tim!AS16=FIT!$E$1,Tim!AS16,"")</f>
        <v/>
      </c>
      <c r="AS14" s="185" t="str">
        <f>IF(Tim!AT16=FIT!$E$1,Tim!AT16,"")</f>
        <v/>
      </c>
      <c r="AT14" s="185" t="str">
        <f>IF(Tim!AU16=FIT!$E$1,Tim!AU16,"")</f>
        <v/>
      </c>
      <c r="AU14" s="185" t="str">
        <f>IF(Tim!AV16=FIT!$E$1,Tim!AV16,"")</f>
        <v/>
      </c>
      <c r="AV14" s="185" t="str">
        <f>IF(Tim!AW16=FIT!$E$1,Tim!AW16,"")</f>
        <v/>
      </c>
      <c r="AW14" s="186" t="str">
        <f>IF(Tim!AX16=FIT!$E$1,Tim!AX16,"")</f>
        <v/>
      </c>
      <c r="AX14" s="243" t="str">
        <f>IF(Tim!AY16=FIT!$E$1,Tim!AY16,"")</f>
        <v/>
      </c>
      <c r="AY14" s="185" t="str">
        <f>IF(Tim!AZ16=FIT!$E$1,Tim!AZ16,"")</f>
        <v/>
      </c>
      <c r="AZ14" s="185" t="str">
        <f>IF(Tim!BA16=FIT!$E$1,Tim!BA16,"")</f>
        <v/>
      </c>
      <c r="BA14" s="185" t="str">
        <f>IF(Tim!BB16=FIT!$E$1,Tim!BB16,"")</f>
        <v/>
      </c>
      <c r="BB14" s="185" t="str">
        <f>IF(Tim!BC16=FIT!$E$1,Tim!BC16,"")</f>
        <v/>
      </c>
      <c r="BC14" s="185" t="str">
        <f>IF(Tim!BD16=FIT!$E$1,Tim!BD16,"")</f>
        <v/>
      </c>
      <c r="BD14" s="185" t="str">
        <f>IF(Tim!BE16=FIT!$E$1,Tim!BE16,"")</f>
        <v/>
      </c>
      <c r="BE14" s="185" t="str">
        <f>IF(Tim!BF16=FIT!$E$1,Tim!BF16,"")</f>
        <v/>
      </c>
      <c r="BF14" s="185" t="str">
        <f>IF(Tim!BG16=FIT!$E$1,Tim!BG16,"")</f>
        <v/>
      </c>
      <c r="BG14" s="185" t="str">
        <f>IF(Tim!BH16=FIT!$E$1,Tim!BH16,"")</f>
        <v/>
      </c>
      <c r="BH14" s="185" t="str">
        <f>IF(Tim!BI16=FIT!$E$1,Tim!BI16,"")</f>
        <v/>
      </c>
      <c r="BI14" s="185" t="str">
        <f>IF(Tim!BJ16=FIT!$E$1,Tim!BJ16,"")</f>
        <v/>
      </c>
      <c r="BJ14" s="185" t="str">
        <f>IF(Tim!BK16=FIT!$E$1,Tim!BK16,"")</f>
        <v/>
      </c>
      <c r="BK14" s="185" t="str">
        <f>IF(Tim!BL16=FIT!$E$1,Tim!BL16,"")</f>
        <v/>
      </c>
      <c r="BL14" s="185" t="str">
        <f>IF(Tim!BM16=FIT!$E$1,Tim!BM16,"")</f>
        <v/>
      </c>
      <c r="BM14" s="185" t="str">
        <f>IF(Tim!BN16=FIT!$E$1,Tim!BN16,"")</f>
        <v/>
      </c>
      <c r="BN14" s="185" t="str">
        <f>IF(Tim!BO16=FIT!$E$1,Tim!BO16,"")</f>
        <v/>
      </c>
      <c r="BO14" s="185" t="str">
        <f>IF(Tim!BP16=FIT!$E$1,Tim!BP16,"")</f>
        <v/>
      </c>
      <c r="BP14" s="185" t="str">
        <f>IF(Tim!BQ16=FIT!$E$1,Tim!BQ16,"")</f>
        <v/>
      </c>
      <c r="BQ14" s="185" t="str">
        <f>IF(Tim!BR16=FIT!$E$1,Tim!BR16,"")</f>
        <v/>
      </c>
      <c r="BR14" s="185" t="str">
        <f>IF(Tim!BS16=FIT!$E$1,Tim!BS16,"")</f>
        <v/>
      </c>
      <c r="BS14" s="185" t="str">
        <f>IF(Tim!BT16=FIT!$E$1,Tim!BT16,"")</f>
        <v/>
      </c>
      <c r="BT14" s="185" t="str">
        <f>IF(Tim!BU16=FIT!$E$1,Tim!BU16,"")</f>
        <v/>
      </c>
      <c r="BU14" s="185" t="str">
        <f>IF(Tim!BV16=FIT!$E$1,Tim!BV16,"")</f>
        <v/>
      </c>
      <c r="BV14" s="185" t="str">
        <f>IF(Tim!BW16=FIT!$E$1,Tim!BW16,"")</f>
        <v/>
      </c>
      <c r="BW14" s="185" t="str">
        <f>IF(Tim!BX16=FIT!$E$1,Tim!BX16,"")</f>
        <v/>
      </c>
      <c r="BX14" s="185" t="str">
        <f>IF(Tim!BY16=FIT!$E$1,Tim!BY16,"")</f>
        <v/>
      </c>
      <c r="BY14" s="185" t="str">
        <f>IF(Tim!BZ16=FIT!$E$1,Tim!BZ16,"")</f>
        <v/>
      </c>
      <c r="BZ14" s="185" t="str">
        <f>IF(Tim!CA16=FIT!$E$1,Tim!CA16,"")</f>
        <v/>
      </c>
      <c r="CA14" s="185" t="str">
        <f>IF(Tim!CB16=FIT!$E$1,Tim!CB16,"")</f>
        <v/>
      </c>
      <c r="CB14" s="185" t="str">
        <f>IF(Tim!CC16=FIT!$E$1,Tim!CC16,"")</f>
        <v/>
      </c>
      <c r="CC14" s="185" t="str">
        <f>IF(Tim!CD16=FIT!$E$1,Tim!CD16,"")</f>
        <v/>
      </c>
      <c r="CD14" s="185" t="str">
        <f>IF(Tim!CE16=FIT!$E$1,Tim!CE16,"")</f>
        <v/>
      </c>
      <c r="CE14" s="185" t="str">
        <f>IF(Tim!CF16=FIT!$E$1,Tim!CF16,"")</f>
        <v/>
      </c>
      <c r="CF14" s="185" t="str">
        <f>IF(Tim!CG16=FIT!$E$1,Tim!CG16,"")</f>
        <v/>
      </c>
      <c r="CG14" s="185" t="str">
        <f>IF(Tim!CH16=FIT!$E$1,Tim!CH16,"")</f>
        <v/>
      </c>
      <c r="CH14" s="185" t="str">
        <f>IF(Tim!CI16=FIT!$E$1,Tim!CI16,"")</f>
        <v/>
      </c>
      <c r="CI14" s="185" t="str">
        <f>IF(Tim!CJ16=FIT!$E$1,Tim!CJ16,"")</f>
        <v/>
      </c>
      <c r="CJ14" s="185" t="str">
        <f>IF(Tim!CK16=FIT!$E$1,Tim!CK16,"")</f>
        <v/>
      </c>
      <c r="CK14" s="185" t="str">
        <f>IF(Tim!CL16=FIT!$E$1,Tim!CL16,"")</f>
        <v/>
      </c>
      <c r="CL14" s="185" t="str">
        <f>IF(Tim!CM16=FIT!$E$1,Tim!CM16,"")</f>
        <v/>
      </c>
      <c r="CM14" s="185" t="str">
        <f>IF(Tim!CN16=FIT!$E$1,Tim!CN16,"")</f>
        <v/>
      </c>
      <c r="CN14" s="185" t="str">
        <f>IF(Tim!CO16=FIT!$E$1,Tim!CO16,"")</f>
        <v/>
      </c>
      <c r="CO14" s="185" t="str">
        <f>IF(Tim!CP16=FIT!$E$1,Tim!CP16,"")</f>
        <v/>
      </c>
      <c r="CP14" s="185" t="str">
        <f>IF(Tim!CQ16=FIT!$E$1,Tim!CQ16,"")</f>
        <v/>
      </c>
      <c r="CQ14" s="185" t="str">
        <f>IF(Tim!CR16=FIT!$E$1,Tim!CR16,"")</f>
        <v/>
      </c>
      <c r="CR14" s="185" t="str">
        <f>IF(Tim!CS16=FIT!$E$1,Tim!CS16,"")</f>
        <v/>
      </c>
      <c r="CS14" s="185" t="str">
        <f>IF(Tim!CT16=FIT!$E$1,Tim!CT16,"")</f>
        <v/>
      </c>
      <c r="CT14" s="185" t="str">
        <f>IF(Tim!CU16=FIT!$E$1,Tim!CU16,"")</f>
        <v/>
      </c>
      <c r="CU14" s="185" t="str">
        <f>IF(Tim!CV16=FIT!$E$1,Tim!CV16,"")</f>
        <v/>
      </c>
      <c r="CV14" s="185" t="str">
        <f>IF(Tim!CW16=FIT!$E$1,Tim!CW16,"")</f>
        <v/>
      </c>
      <c r="CW14" s="185" t="str">
        <f>IF(Tim!CX16=FIT!$E$1,Tim!CX16,"")</f>
        <v/>
      </c>
      <c r="CX14" s="185" t="str">
        <f>IF(Tim!CY16=FIT!$E$1,Tim!CY16,"")</f>
        <v/>
      </c>
      <c r="CY14" s="185" t="str">
        <f>IF(Tim!CZ16=FIT!$E$1,Tim!CZ16,"")</f>
        <v/>
      </c>
      <c r="CZ14" s="185" t="str">
        <f>IF(Tim!DA16=FIT!$E$1,Tim!DA16,"")</f>
        <v/>
      </c>
      <c r="DA14" s="185" t="str">
        <f>IF(Tim!DB16=FIT!$E$1,Tim!DB16,"")</f>
        <v/>
      </c>
      <c r="DB14" s="185" t="str">
        <f>IF(Tim!DC16=FIT!$E$1,Tim!DC16,"")</f>
        <v/>
      </c>
      <c r="DC14" s="185" t="str">
        <f>IF(Tim!DD16=FIT!$E$1,Tim!DD16,"")</f>
        <v/>
      </c>
      <c r="DD14" s="185" t="str">
        <f>IF(Tim!DE16=FIT!$E$1,Tim!DE16,"")</f>
        <v/>
      </c>
      <c r="DE14" s="185" t="str">
        <f>IF(Tim!DF16=FIT!$E$1,Tim!DF16,"")</f>
        <v/>
      </c>
      <c r="DF14" s="185" t="str">
        <f>IF(Tim!DG16=FIT!$E$1,Tim!DG16,"")</f>
        <v/>
      </c>
      <c r="DG14" s="185" t="str">
        <f>IF(Tim!DH16=FIT!$E$1,Tim!DH16,"")</f>
        <v/>
      </c>
      <c r="DH14" s="185" t="str">
        <f>IF(Tim!DI16=FIT!$E$1,Tim!DI16,"")</f>
        <v/>
      </c>
      <c r="DI14" s="185" t="str">
        <f>IF(Tim!DM16=FIT!$E$1,Tim!DM16,"")</f>
        <v/>
      </c>
      <c r="DJ14" s="185" t="str">
        <f>IF(Tim!DN16=FIT!$E$1,Tim!DN16,"")</f>
        <v/>
      </c>
      <c r="DK14" s="185" t="str">
        <f>IF(Tim!DO16=FIT!$E$1,Tim!DO16,"")</f>
        <v/>
      </c>
      <c r="DL14" s="185" t="str">
        <f>IF(Tim!DP16=FIT!$E$1,Tim!DP16,"")</f>
        <v/>
      </c>
      <c r="DM14" s="185" t="str">
        <f>IF(Tim!DQ16=FIT!$E$1,Tim!DQ16,"")</f>
        <v/>
      </c>
      <c r="DN14" s="185" t="str">
        <f>IF(Tim!DR16=FIT!$E$1,Tim!DR16,"")</f>
        <v/>
      </c>
      <c r="DO14" s="185" t="str">
        <f>IF(Tim!DS16=FIT!$E$1,Tim!DS16,"")</f>
        <v/>
      </c>
      <c r="DP14" s="185" t="str">
        <f>IF(Tim!DT16=FIT!$E$1,Tim!DT16,"")</f>
        <v/>
      </c>
      <c r="DQ14" s="185" t="str">
        <f>IF(Tim!DU16=FIT!$E$1,Tim!DU16,"")</f>
        <v/>
      </c>
      <c r="DR14" s="185" t="str">
        <f>IF(Tim!DV16=FIT!$E$1,Tim!DV16,"")</f>
        <v/>
      </c>
      <c r="DS14" s="185" t="str">
        <f>IF(Tim!DW16=FIT!$E$1,Tim!DW16,"")</f>
        <v/>
      </c>
      <c r="DT14" s="185" t="str">
        <f>IF(Tim!DX16=FIT!$E$1,Tim!DX16,"")</f>
        <v/>
      </c>
      <c r="DU14" s="185" t="str">
        <f>IF(Tim!DY16=FIT!$E$1,Tim!DY16,"")</f>
        <v/>
      </c>
      <c r="DV14" s="185" t="str">
        <f>IF(Tim!DZ16=FIT!$E$1,Tim!DZ16,"")</f>
        <v/>
      </c>
      <c r="DW14" s="185" t="str">
        <f>IF(Tim!EA16=FIT!$E$1,Tim!EA16,"")</f>
        <v/>
      </c>
      <c r="DX14" s="185" t="str">
        <f>IF(Tim!EB16=FIT!$E$1,Tim!EB16,"")</f>
        <v/>
      </c>
      <c r="DY14" s="185" t="str">
        <f>IF(Tim!EC16=FIT!$E$1,Tim!EC16,"")</f>
        <v/>
      </c>
      <c r="DZ14" s="185" t="str">
        <f>IF(Tim!ED16=FIT!$E$1,Tim!ED16,"")</f>
        <v/>
      </c>
      <c r="EA14" s="185" t="str">
        <f>IF(Tim!EE16=FIT!$E$1,Tim!EE16,"")</f>
        <v/>
      </c>
      <c r="EB14" s="185" t="str">
        <f>IF(Tim!EF16=FIT!$E$1,Tim!EF16,"")</f>
        <v/>
      </c>
      <c r="EC14" s="185" t="str">
        <f>IF(Tim!EG16=FIT!$E$1,Tim!EG16,"")</f>
        <v/>
      </c>
      <c r="ED14" s="185" t="str">
        <f>IF(Tim!EH16=FIT!$E$1,Tim!EH16,"")</f>
        <v/>
      </c>
      <c r="EE14" s="185" t="str">
        <f>IF(Tim!EI16=FIT!$E$1,Tim!EI16,"")</f>
        <v/>
      </c>
      <c r="EF14" s="185" t="str">
        <f>IF(Tim!EJ16=FIT!$E$1,Tim!EJ16,"")</f>
        <v/>
      </c>
      <c r="EG14" s="185" t="str">
        <f>IF(Tim!EK16=FIT!$E$1,Tim!EK16,"")</f>
        <v/>
      </c>
      <c r="EH14" s="185" t="e">
        <f>IF(Tim!#REF!=FIT!$E$1,Tim!#REF!,"")</f>
        <v>#REF!</v>
      </c>
      <c r="EI14" s="185" t="str">
        <f>IF(Tim!EM16=FIT!$E$1,Tim!EM16,"")</f>
        <v/>
      </c>
      <c r="EJ14" s="185" t="str">
        <f>IF(Tim!EN16=FIT!$E$1,Tim!EN16,"")</f>
        <v/>
      </c>
      <c r="EK14" s="185" t="str">
        <f>IF(Tim!EO16=FIT!$E$1,Tim!EO16,"")</f>
        <v/>
      </c>
      <c r="EL14" s="185" t="str">
        <f>IF(Tim!EP16=FIT!$E$1,Tim!EP16,"")</f>
        <v/>
      </c>
      <c r="EM14" s="185" t="str">
        <f>IF(Tim!EQ16=FIT!$E$1,Tim!EQ16,"")</f>
        <v/>
      </c>
      <c r="EN14" s="185" t="str">
        <f>IF(Tim!ER16=FIT!$E$1,Tim!ER16,"")</f>
        <v/>
      </c>
      <c r="EO14" s="185" t="str">
        <f>IF(Tim!ES16=FIT!$E$1,Tim!ES16,"")</f>
        <v/>
      </c>
      <c r="EP14" s="185" t="str">
        <f>IF(Tim!ET16=FIT!$E$1,Tim!ET16,"")</f>
        <v/>
      </c>
      <c r="EQ14" s="185" t="str">
        <f>IF(Tim!EU16=FIT!$E$1,Tim!EU16,"")</f>
        <v/>
      </c>
      <c r="ER14" s="185" t="str">
        <f>IF(Tim!EV16=FIT!$E$1,Tim!EV16,"")</f>
        <v/>
      </c>
      <c r="ES14" s="185" t="str">
        <f>IF(Tim!EW16=FIT!$E$1,Tim!EW16,"")</f>
        <v/>
      </c>
      <c r="ET14" s="185" t="str">
        <f>IF(Tim!EX16=FIT!$E$1,Tim!EX16,"")</f>
        <v/>
      </c>
      <c r="EU14" s="185" t="str">
        <f>IF(Tim!EY16=FIT!$E$1,Tim!EY16,"")</f>
        <v/>
      </c>
      <c r="EV14" s="185" t="str">
        <f>IF(Tim!EZ16=FIT!$E$1,Tim!EZ16,"")</f>
        <v/>
      </c>
      <c r="EW14" s="185" t="str">
        <f>IF(Tim!FA16=FIT!$E$1,Tim!FA16,"")</f>
        <v/>
      </c>
      <c r="EX14" s="185" t="str">
        <f>IF(Tim!FB16=FIT!$E$1,Tim!FB16,"")</f>
        <v/>
      </c>
      <c r="EY14" s="185" t="str">
        <f>IF(Tim!FC16=FIT!$E$1,Tim!FC16,"")</f>
        <v/>
      </c>
      <c r="EZ14" s="185" t="str">
        <f>IF(Tim!FD16=FIT!$E$1,Tim!FD16,"")</f>
        <v/>
      </c>
      <c r="FA14" s="185" t="str">
        <f>IF(Tim!FE16=FIT!$E$1,Tim!FE16,"")</f>
        <v/>
      </c>
      <c r="FB14" s="185" t="str">
        <f>IF(Tim!FF16=FIT!$E$1,Tim!FF16,"")</f>
        <v/>
      </c>
      <c r="FC14" s="185" t="str">
        <f>IF(Tim!FG16=FIT!$E$1,Tim!FG16,"")</f>
        <v/>
      </c>
      <c r="FD14" s="185" t="str">
        <f>IF(Tim!FH16=FIT!$E$1,Tim!FH16,"")</f>
        <v/>
      </c>
      <c r="FE14" s="185" t="str">
        <f>IF(Tim!FI16=FIT!$E$1,Tim!FI16,"")</f>
        <v/>
      </c>
      <c r="FF14" s="185" t="str">
        <f>IF(Tim!FJ16=FIT!$E$1,Tim!FJ16,"")</f>
        <v/>
      </c>
      <c r="FG14" s="185" t="str">
        <f>IF(Tim!FK15=FIT!$E$1,Tim!FK15,"")</f>
        <v/>
      </c>
      <c r="FH14" s="185" t="str">
        <f>IF(Tim!FL16=FIT!$E$1,Tim!FL16,"")</f>
        <v/>
      </c>
      <c r="FI14" s="185" t="str">
        <f>IF(Tim!FM16=FIT!$E$1,Tim!FM16,"")</f>
        <v/>
      </c>
      <c r="FJ14" s="185" t="str">
        <f>IF(Tim!FN16=FIT!$E$1,Tim!FN16,"")</f>
        <v/>
      </c>
      <c r="FK14" s="185" t="str">
        <f>IF(Tim!FO16=FIT!$E$1,Tim!FO16,"")</f>
        <v/>
      </c>
      <c r="FL14" s="185" t="str">
        <f>IF(Tim!FP16=FIT!$E$1,Tim!FP16,"")</f>
        <v/>
      </c>
      <c r="FM14" s="185" t="str">
        <f>IF(Tim!FQ16=FIT!$E$1,Tim!FQ16,"")</f>
        <v/>
      </c>
      <c r="FN14" s="185" t="str">
        <f>IF(Tim!FR16=FIT!$E$1,Tim!FR16,"")</f>
        <v/>
      </c>
      <c r="FO14" s="185" t="str">
        <f>IF(Tim!FS16=FIT!$E$1,Tim!FS16,"")</f>
        <v/>
      </c>
      <c r="FP14" s="185" t="str">
        <f>IF(Tim!FT16=FIT!$E$1,Tim!FT16,"")</f>
        <v/>
      </c>
      <c r="FQ14" s="185" t="str">
        <f>IF(Tim!FU16=FIT!$E$1,Tim!FU16,"")</f>
        <v/>
      </c>
      <c r="FR14" s="185" t="str">
        <f>IF(Tim!FV16=FIT!$E$1,Tim!FV16,"")</f>
        <v/>
      </c>
      <c r="FS14" s="185" t="str">
        <f>IF(Tim!FW16=FIT!$E$1,Tim!FW16,"")</f>
        <v/>
      </c>
      <c r="FT14" s="185" t="str">
        <f>IF(Tim!FX16=FIT!$E$1,Tim!FX16,"")</f>
        <v/>
      </c>
      <c r="FU14" s="185" t="str">
        <f>IF(Tim!FY16=FIT!$E$1,Tim!FY16,"")</f>
        <v/>
      </c>
      <c r="FV14" s="185" t="str">
        <f>IF(Tim!FZ16=FIT!$E$1,Tim!FZ16,"")</f>
        <v/>
      </c>
      <c r="FW14" s="185" t="str">
        <f>IF(Tim!GA16=FIT!$E$1,Tim!GA16,"")</f>
        <v/>
      </c>
      <c r="FX14" s="185" t="str">
        <f>IF(Tim!GB16=FIT!$E$1,Tim!GB16,"")</f>
        <v/>
      </c>
      <c r="FY14" s="185" t="str">
        <f>IF(Tim!GC16=FIT!$E$1,Tim!GC16,"")</f>
        <v/>
      </c>
      <c r="FZ14" s="185" t="str">
        <f>IF(Tim!GD16=FIT!$E$1,Tim!GD16,"")</f>
        <v/>
      </c>
      <c r="GA14" s="185" t="str">
        <f>IF(Tim!GE16=FIT!$E$1,Tim!GE16,"")</f>
        <v/>
      </c>
      <c r="GB14" s="185" t="str">
        <f>IF(Tim!GF16=FIT!$E$1,Tim!GF16,"")</f>
        <v/>
      </c>
      <c r="GC14" s="185" t="str">
        <f>IF(Tim!GG16=FIT!$E$1,Tim!GG16,"")</f>
        <v/>
      </c>
      <c r="GD14" s="185" t="str">
        <f>IF(Tim!GH16=FIT!$E$1,Tim!GH16,"")</f>
        <v/>
      </c>
      <c r="GE14" s="185" t="str">
        <f>IF(Tim!GI16=FIT!$E$1,Tim!GI16,"")</f>
        <v/>
      </c>
      <c r="GF14" s="185" t="str">
        <f>IF(Tim!GJ16=FIT!$E$1,Tim!GJ16,"")</f>
        <v/>
      </c>
      <c r="GG14" s="185" t="str">
        <f>IF(Tim!GK16=FIT!$E$1,Tim!GK16,"")</f>
        <v/>
      </c>
      <c r="GH14" s="185" t="str">
        <f>IF(Tim!GL16=FIT!$E$1,Tim!GL16,"")</f>
        <v/>
      </c>
      <c r="GI14" s="185" t="str">
        <f>IF(Tim!GM16=FIT!$E$1,Tim!GM16,"")</f>
        <v/>
      </c>
      <c r="GJ14" s="185" t="str">
        <f>IF(Tim!GN16=FIT!$E$1,Tim!GN16,"")</f>
        <v/>
      </c>
      <c r="GK14" s="185" t="str">
        <f>IF(Tim!GO16=FIT!$E$1,Tim!GO16,"")</f>
        <v/>
      </c>
      <c r="GL14" s="185" t="str">
        <f>IF(Tim!GP16=FIT!$E$1,Tim!GP16,"")</f>
        <v/>
      </c>
      <c r="GM14" s="185" t="str">
        <f>IF(Tim!GQ16=FIT!$E$1,Tim!GQ16,"")</f>
        <v/>
      </c>
      <c r="GN14" s="185" t="str">
        <f>IF(Tim!GR16=FIT!$E$1,Tim!GR16,"")</f>
        <v/>
      </c>
      <c r="GO14" s="185" t="str">
        <f>IF(Tim!GS16=FIT!$E$1,Tim!GS16,"")</f>
        <v/>
      </c>
      <c r="GP14" s="185" t="str">
        <f>IF(Tim!GT16=FIT!$E$1,Tim!GT16,"")</f>
        <v/>
      </c>
      <c r="GQ14" s="185" t="str">
        <f>IF(Tim!GU16=FIT!$E$1,Tim!GU16,"")</f>
        <v/>
      </c>
      <c r="GR14" s="185" t="str">
        <f>IF(Tim!GV16=FIT!$E$1,Tim!GV16,"")</f>
        <v/>
      </c>
      <c r="GS14" s="185" t="str">
        <f>IF(Tim!GW16=FIT!$E$1,Tim!GW16,"")</f>
        <v/>
      </c>
      <c r="GT14" s="185" t="str">
        <f>IF(Tim!GX16=FIT!$E$1,Tim!GX16,"")</f>
        <v/>
      </c>
      <c r="GU14" s="185" t="str">
        <f>IF(Tim!GY16=FIT!$E$1,Tim!GY16,"")</f>
        <v/>
      </c>
      <c r="GV14" s="185" t="str">
        <f>IF(Tim!GZ16=FIT!$E$1,Tim!GZ16,"")</f>
        <v/>
      </c>
      <c r="GW14" s="185" t="str">
        <f>IF(Tim!HA16=FIT!$E$1,Tim!HA16,"")</f>
        <v/>
      </c>
      <c r="GX14" s="185" t="str">
        <f>IF(Tim!HB16=FIT!$E$1,Tim!HB16,"")</f>
        <v/>
      </c>
      <c r="GY14" s="185" t="str">
        <f>IF(Tim!HC16=FIT!$E$1,Tim!HC16,"")</f>
        <v/>
      </c>
      <c r="GZ14" s="185" t="str">
        <f>IF(Tim!HD16=FIT!$E$1,Tim!HD16,"")</f>
        <v/>
      </c>
      <c r="HA14" s="185" t="str">
        <f>IF(Tim!HE16=FIT!$E$1,Tim!HE16,"")</f>
        <v/>
      </c>
      <c r="HB14" s="185" t="str">
        <f>IF(Tim!HF16=FIT!$E$1,Tim!HF16,"")</f>
        <v/>
      </c>
      <c r="HC14" s="185" t="str">
        <f>IF(Tim!HG16=FIT!$E$1,Tim!HG16,"")</f>
        <v/>
      </c>
      <c r="HD14" s="185" t="str">
        <f>IF(Tim!HH16=FIT!$E$1,Tim!HH16,"")</f>
        <v/>
      </c>
      <c r="HE14" s="185" t="str">
        <f>IF(Tim!HI16=FIT!$E$1,Tim!HI16,"")</f>
        <v/>
      </c>
      <c r="HF14" s="185" t="str">
        <f>IF(Tim!HJ16=FIT!$E$1,Tim!HJ16,"")</f>
        <v/>
      </c>
      <c r="HG14" s="185" t="str">
        <f>IF(Tim!HK16=FIT!$E$1,Tim!HK16,"")</f>
        <v/>
      </c>
      <c r="HH14" s="185" t="str">
        <f>IF(Tim!HL16=FIT!$E$1,Tim!HL16,"")</f>
        <v/>
      </c>
      <c r="HI14" s="185" t="str">
        <f>IF(Tim!HM16=FIT!$E$1,Tim!HM16,"")</f>
        <v/>
      </c>
      <c r="HJ14" s="185" t="str">
        <f>IF(Tim!HN16=FIT!$E$1,Tim!HN16,"")</f>
        <v/>
      </c>
      <c r="HK14" s="185" t="str">
        <f>IF(Tim!HO16=FIT!$E$1,Tim!HO16,"")</f>
        <v/>
      </c>
      <c r="HL14" s="185" t="str">
        <f>IF(Tim!HP16=FIT!$E$1,Tim!HP16,"")</f>
        <v/>
      </c>
      <c r="HM14" s="185" t="str">
        <f>IF(Tim!HQ16=FIT!$E$1,Tim!HQ16,"")</f>
        <v/>
      </c>
      <c r="HN14" s="185" t="str">
        <f>IF(Tim!HR16=FIT!$E$1,Tim!HR16,"")</f>
        <v/>
      </c>
      <c r="HO14" s="185" t="str">
        <f>IF(Tim!HS16=FIT!$E$1,Tim!HS16,"")</f>
        <v/>
      </c>
      <c r="HP14" s="185" t="str">
        <f>IF(Tim!HT16=FIT!$E$1,Tim!HT16,"")</f>
        <v/>
      </c>
      <c r="HQ14" s="185" t="str">
        <f>IF(Tim!HU16=FIT!$E$1,Tim!HU16,"")</f>
        <v/>
      </c>
      <c r="HR14" s="185" t="str">
        <f>IF(Tim!HV16=FIT!$E$1,Tim!HV16,"")</f>
        <v/>
      </c>
      <c r="HS14" s="185" t="str">
        <f>IF(Tim!HW16=FIT!$E$1,Tim!HW16,"")</f>
        <v/>
      </c>
      <c r="HT14" s="185" t="str">
        <f>IF(Tim!HX16=FIT!$E$1,Tim!HX16,"")</f>
        <v/>
      </c>
      <c r="HU14" s="185" t="str">
        <f>IF(Tim!HY16=FIT!$E$1,Tim!HY16,"")</f>
        <v/>
      </c>
      <c r="HV14" s="185" t="str">
        <f>IF(Tim!HZ16=FIT!$E$1,Tim!HZ16,"")</f>
        <v/>
      </c>
      <c r="HW14" s="185" t="str">
        <f>IF(Tim!IA16=FIT!$E$1,Tim!IA16,"")</f>
        <v/>
      </c>
      <c r="HX14" s="185" t="str">
        <f>IF(Tim!IB16=FIT!$E$1,Tim!IB16,"")</f>
        <v/>
      </c>
      <c r="HY14" s="185" t="str">
        <f>IF(Tim!IC16=FIT!$E$1,Tim!IC16,"")</f>
        <v/>
      </c>
      <c r="HZ14" s="185" t="str">
        <f>IF(Tim!ID16=FIT!$E$1,Tim!ID16,"")</f>
        <v/>
      </c>
      <c r="IA14" s="185" t="str">
        <f>IF(Tim!IE16=FIT!$E$1,Tim!IE16,"")</f>
        <v/>
      </c>
      <c r="IB14" s="185" t="str">
        <f>IF(Tim!IF16=FIT!$E$1,Tim!IF16,"")</f>
        <v/>
      </c>
      <c r="IC14" s="185" t="str">
        <f>IF(Tim!IG16=FIT!$E$1,Tim!IG16,"")</f>
        <v/>
      </c>
      <c r="ID14" s="185" t="str">
        <f>IF(Tim!IH16=FIT!$E$1,Tim!IH16,"")</f>
        <v/>
      </c>
      <c r="IE14" s="185" t="str">
        <f>IF(Tim!II16=FIT!$E$1,Tim!II16,"")</f>
        <v/>
      </c>
      <c r="IF14" s="185" t="str">
        <f>IF(Tim!IJ16=FIT!$E$1,Tim!IJ16,"")</f>
        <v/>
      </c>
      <c r="IG14" s="185" t="str">
        <f>IF(Tim!IK16=FIT!$E$1,Tim!IK16,"")</f>
        <v/>
      </c>
      <c r="IH14" s="185" t="str">
        <f>IF(Tim!IL16=FIT!$E$1,Tim!IL16,"")</f>
        <v/>
      </c>
      <c r="II14" s="185" t="str">
        <f>IF(Tim!IM16=FIT!$E$1,Tim!IM16,"")</f>
        <v/>
      </c>
      <c r="IJ14" s="185" t="str">
        <f>IF(Tim!IN16=FIT!$E$1,Tim!IN16,"")</f>
        <v/>
      </c>
      <c r="IK14" s="185" t="str">
        <f>IF(Tim!IO16=FIT!$E$1,Tim!IO16,"")</f>
        <v/>
      </c>
      <c r="IL14" s="185" t="str">
        <f>IF(Tim!IP16=FIT!$E$1,Tim!IP16,"")</f>
        <v/>
      </c>
      <c r="IM14" s="185" t="str">
        <f>IF(Tim!IQ16=FIT!$E$1,Tim!IQ16,"")</f>
        <v/>
      </c>
      <c r="IN14" s="185" t="str">
        <f>IF(Tim!IR16=FIT!$E$1,Tim!IR16,"")</f>
        <v/>
      </c>
      <c r="IO14" s="185" t="str">
        <f>IF(Tim!IS16=FIT!$E$1,Tim!IS16,"")</f>
        <v/>
      </c>
      <c r="IP14" s="185" t="str">
        <f>IF(Tim!IT16=FIT!$E$1,Tim!IT16,"")</f>
        <v/>
      </c>
      <c r="IQ14" s="185" t="str">
        <f>IF(Tim!IU16=FIT!$E$1,Tim!IU16,"")</f>
        <v/>
      </c>
      <c r="IR14" s="185" t="str">
        <f>IF(Tim!IV16=FIT!$E$1,Tim!IV16,"")</f>
        <v/>
      </c>
      <c r="IS14" s="185" t="str">
        <f>IF(Tim!IW16=FIT!$E$1,Tim!IW16,"")</f>
        <v/>
      </c>
      <c r="IT14" s="185" t="str">
        <f>IF(Tim!IX16=FIT!$E$1,Tim!IX16,"")</f>
        <v/>
      </c>
      <c r="IU14" s="185" t="str">
        <f>IF(Tim!IY16=FIT!$E$1,Tim!IY16,"")</f>
        <v/>
      </c>
      <c r="IV14" s="185" t="str">
        <f>IF(Tim!IZ16=FIT!$E$1,Tim!IZ16,"")</f>
        <v/>
      </c>
      <c r="IW14" s="185" t="str">
        <f>IF(Tim!JA16=FIT!$E$1,Tim!JA16,"")</f>
        <v/>
      </c>
      <c r="IX14" s="185" t="str">
        <f>IF(Tim!JB16=FIT!$E$1,Tim!JB16,"")</f>
        <v/>
      </c>
      <c r="IY14" s="185" t="str">
        <f>IF(Tim!JC16=FIT!$E$1,Tim!JC16,"")</f>
        <v/>
      </c>
      <c r="IZ14" s="185" t="str">
        <f>IF(Tim!JD16=FIT!$E$1,Tim!JD16,"")</f>
        <v/>
      </c>
      <c r="JA14" s="185" t="str">
        <f>IF(Tim!JE16=FIT!$E$1,Tim!JE16,"")</f>
        <v/>
      </c>
      <c r="JB14" s="185" t="str">
        <f>IF(Tim!JF16=FIT!$E$1,Tim!JF16,"")</f>
        <v/>
      </c>
      <c r="JC14" s="185" t="str">
        <f>IF(Tim!JG16=FIT!$E$1,Tim!JG16,"")</f>
        <v/>
      </c>
      <c r="JD14" s="185" t="str">
        <f>IF(Tim!JH16=FIT!$E$1,Tim!JH16,"")</f>
        <v/>
      </c>
      <c r="JE14" s="185" t="str">
        <f>IF(Tim!JI16=FIT!$E$1,Tim!JI16,"")</f>
        <v/>
      </c>
      <c r="JF14" s="185" t="str">
        <f>IF(Tim!JJ16=FIT!$E$1,Tim!JJ16,"")</f>
        <v/>
      </c>
      <c r="JG14" s="185" t="str">
        <f>IF(Tim!JK16=FIT!$E$1,Tim!JK16,"")</f>
        <v/>
      </c>
      <c r="JH14" s="185" t="str">
        <f>IF(Tim!JL16=FIT!$E$1,Tim!JL16,"")</f>
        <v/>
      </c>
      <c r="JI14" s="185" t="str">
        <f>IF(Tim!JM16=FIT!$E$1,Tim!JM16,"")</f>
        <v/>
      </c>
      <c r="JJ14" s="185" t="str">
        <f>IF(Tim!JN16=FIT!$E$1,Tim!JN16,"")</f>
        <v/>
      </c>
      <c r="JK14" s="185" t="str">
        <f>IF(Tim!JO16=FIT!$E$1,Tim!JO16,"")</f>
        <v/>
      </c>
      <c r="JL14" s="185" t="str">
        <f>IF(Tim!JP16=FIT!$E$1,Tim!JP16,"")</f>
        <v/>
      </c>
      <c r="JM14" s="185" t="str">
        <f>IF(Tim!JQ16=FIT!$E$1,Tim!JQ16,"")</f>
        <v/>
      </c>
      <c r="JN14" s="185" t="str">
        <f>IF(Tim!JR16=FIT!$E$1,Tim!JR16,"")</f>
        <v/>
      </c>
      <c r="JO14" s="185" t="str">
        <f>IF(Tim!JS16=FIT!$E$1,Tim!JS16,"")</f>
        <v/>
      </c>
      <c r="JP14" s="185" t="str">
        <f>IF(Tim!JT16=FIT!$E$1,Tim!JT16,"")</f>
        <v/>
      </c>
      <c r="JQ14" s="185" t="str">
        <f>IF(Tim!JU16=FIT!$E$1,Tim!JU16,"")</f>
        <v/>
      </c>
      <c r="JR14" s="185" t="str">
        <f>IF(Tim!JV16=FIT!$E$1,Tim!JV16,"")</f>
        <v/>
      </c>
      <c r="JS14" s="185" t="str">
        <f>IF(Tim!JW16=FIT!$E$1,Tim!JW16,"")</f>
        <v/>
      </c>
      <c r="JT14" s="185" t="str">
        <f>IF(Tim!JX16=FIT!$E$1,Tim!JX16,"")</f>
        <v/>
      </c>
      <c r="JU14" s="185" t="str">
        <f>IF(Tim!JY16=FIT!$E$1,Tim!JY16,"")</f>
        <v/>
      </c>
      <c r="JV14" s="185" t="str">
        <f>IF(Tim!JZ16=FIT!$E$1,Tim!JZ16,"")</f>
        <v/>
      </c>
      <c r="JW14" s="185" t="str">
        <f>IF(Tim!KA16=FIT!$E$1,Tim!KA16,"")</f>
        <v/>
      </c>
      <c r="JX14" s="185" t="str">
        <f>IF(Tim!KB16=FIT!$E$1,Tim!KB16,"")</f>
        <v/>
      </c>
      <c r="JY14" s="185" t="str">
        <f>IF(Tim!KC16=FIT!$E$1,Tim!KC16,"")</f>
        <v/>
      </c>
      <c r="JZ14" s="185" t="str">
        <f>IF(Tim!KD16=FIT!$E$1,Tim!KD16,"")</f>
        <v/>
      </c>
      <c r="KA14" s="185" t="str">
        <f>IF(Tim!KE16=FIT!$E$1,Tim!KE16,"")</f>
        <v/>
      </c>
      <c r="KB14" s="185" t="str">
        <f>IF(Tim!KF16=FIT!$E$1,Tim!KF16,"")</f>
        <v/>
      </c>
      <c r="KC14" s="185" t="str">
        <f>IF(Tim!KG16=FIT!$E$1,Tim!KG16,"")</f>
        <v/>
      </c>
      <c r="KD14" s="185" t="str">
        <f>IF(Tim!KH16=FIT!$E$1,Tim!KH16,"")</f>
        <v/>
      </c>
      <c r="KE14" s="185" t="str">
        <f>IF(Tim!KI16=FIT!$E$1,Tim!KI16,"")</f>
        <v/>
      </c>
      <c r="KF14" s="185" t="str">
        <f>IF(Tim!KJ16=FIT!$E$1,Tim!KJ16,"")</f>
        <v/>
      </c>
      <c r="KG14" s="185" t="str">
        <f>IF(Tim!KK16=FIT!$E$1,Tim!KK16,"")</f>
        <v/>
      </c>
      <c r="KH14" s="185" t="str">
        <f>IF(Tim!KL16=FIT!$E$1,Tim!KL16,"")</f>
        <v/>
      </c>
      <c r="KI14" s="185" t="str">
        <f>IF(Tim!KM16=FIT!$E$1,Tim!KM16,"")</f>
        <v/>
      </c>
      <c r="KJ14" s="185" t="str">
        <f>IF(Tim!KN16=FIT!$E$1,Tim!KN16,"")</f>
        <v/>
      </c>
      <c r="KK14" s="185" t="str">
        <f>IF(Tim!KO16=FIT!$E$1,Tim!KO16,"")</f>
        <v/>
      </c>
      <c r="KL14" s="185" t="str">
        <f>IF(Tim!KP16=FIT!$E$1,Tim!KP16,"")</f>
        <v/>
      </c>
      <c r="KM14" s="185" t="str">
        <f>IF(Tim!KQ16=FIT!$E$1,Tim!KQ16,"")</f>
        <v/>
      </c>
      <c r="KN14" s="185" t="str">
        <f>IF(Tim!KR16=FIT!$E$1,Tim!KR16,"")</f>
        <v/>
      </c>
      <c r="KO14" s="185" t="str">
        <f>IF(Tim!KS16=FIT!$E$1,Tim!KS16,"")</f>
        <v/>
      </c>
      <c r="KP14" s="185" t="str">
        <f>IF(Tim!KT16=FIT!$E$1,Tim!KT16,"")</f>
        <v/>
      </c>
      <c r="KQ14" s="185" t="str">
        <f>IF(Tim!KU16=FIT!$E$1,Tim!KU16,"")</f>
        <v/>
      </c>
      <c r="KR14" s="185" t="str">
        <f>IF(Tim!KV16=FIT!$E$1,Tim!KV16,"")</f>
        <v/>
      </c>
      <c r="KS14" s="185" t="str">
        <f>IF(Tim!KW16=FIT!$E$1,Tim!KW16,"")</f>
        <v/>
      </c>
      <c r="KT14" s="185" t="str">
        <f>IF(Tim!KX16=FIT!$E$1,Tim!KX16,"")</f>
        <v/>
      </c>
      <c r="KU14" s="185" t="str">
        <f>IF(Tim!KY16=FIT!$E$1,Tim!KY16,"")</f>
        <v/>
      </c>
      <c r="KV14" s="185" t="str">
        <f>IF(Tim!KZ16=FIT!$E$1,Tim!KZ16,"")</f>
        <v/>
      </c>
      <c r="KW14" s="185" t="str">
        <f>IF(Tim!LA16=FIT!$E$1,Tim!LA16,"")</f>
        <v/>
      </c>
      <c r="KX14" s="185" t="str">
        <f>IF(Tim!LB16=FIT!$E$1,Tim!LB16,"")</f>
        <v/>
      </c>
      <c r="KY14" s="185" t="str">
        <f>IF(Tim!LC16=FIT!$E$1,Tim!LC16,"")</f>
        <v/>
      </c>
      <c r="KZ14" s="185" t="str">
        <f>IF(Tim!LD16=FIT!$E$1,Tim!LD16,"")</f>
        <v/>
      </c>
      <c r="LA14" s="185" t="str">
        <f>IF(Tim!LE16=FIT!$E$1,Tim!LE16,"")</f>
        <v/>
      </c>
      <c r="LB14" s="52">
        <v>0.38541666666666602</v>
      </c>
    </row>
    <row r="15" spans="2:314" ht="10.5" customHeight="1">
      <c r="B15" s="49">
        <v>0.25</v>
      </c>
      <c r="C15" s="49">
        <v>0.25</v>
      </c>
      <c r="D15" s="49">
        <v>0.25</v>
      </c>
      <c r="E15" s="172">
        <v>0.39583333333333298</v>
      </c>
      <c r="F15" s="238" t="str">
        <f>IF(Tim!F17=FIT!$E$1,Tim!F17,"")</f>
        <v/>
      </c>
      <c r="G15" s="185" t="str">
        <f>IF(Tim!G17=FIT!$E$1,Tim!G17,"")</f>
        <v/>
      </c>
      <c r="H15" s="185" t="str">
        <f>IF(Tim!H17=FIT!$E$1,Tim!H17,"")</f>
        <v/>
      </c>
      <c r="I15" s="185" t="str">
        <f>IF(Tim!I17=FIT!$E$1,Tim!I17,"")</f>
        <v/>
      </c>
      <c r="J15" s="185" t="str">
        <f>IF(Tim!J17=FIT!$E$1,Tim!J17,"")</f>
        <v/>
      </c>
      <c r="K15" s="185" t="str">
        <f>IF(Tim!K17=FIT!$E$1,Tim!K17,"")</f>
        <v/>
      </c>
      <c r="L15" s="185" t="str">
        <f>IF(Tim!L17=FIT!$E$1,Tim!L17,"")</f>
        <v/>
      </c>
      <c r="M15" s="185" t="str">
        <f>IF(Tim!M17=FIT!$E$1,Tim!M17,"")</f>
        <v/>
      </c>
      <c r="N15" s="185" t="str">
        <f>IF(Tim!N17=FIT!$E$1,Tim!N17,"")</f>
        <v/>
      </c>
      <c r="O15" s="185" t="str">
        <f>IF(Tim!O17=FIT!$E$1,Tim!O17,"")</f>
        <v/>
      </c>
      <c r="P15" s="185" t="str">
        <f>IF(Tim!P17=FIT!$E$1,Tim!P17,"")</f>
        <v/>
      </c>
      <c r="Q15" s="185" t="str">
        <f>IF(Tim!Q17=FIT!$E$1,Tim!Q17,"")</f>
        <v/>
      </c>
      <c r="R15" s="185" t="str">
        <f>IF(Tim!R17=FIT!$E$1,Tim!R17,"")</f>
        <v/>
      </c>
      <c r="S15" s="185" t="str">
        <f>IF(Tim!S17=FIT!$E$1,Tim!S17,"")</f>
        <v/>
      </c>
      <c r="T15" s="185" t="str">
        <f>IF(Tim!T17=FIT!$E$1,Tim!T17,"")</f>
        <v/>
      </c>
      <c r="U15" s="185" t="str">
        <f>IF(Tim!U17=FIT!$E$1,Tim!U17,"")</f>
        <v/>
      </c>
      <c r="V15" s="185" t="str">
        <f>IF(Tim!W17=FIT!$E$1,Tim!W17,"")</f>
        <v/>
      </c>
      <c r="W15" s="185" t="str">
        <f>IF(Tim!X17=FIT!$E$1,Tim!X17,"")</f>
        <v/>
      </c>
      <c r="X15" s="185" t="str">
        <f>IF(Tim!Y17=FIT!$E$1,Tim!Y17,"")</f>
        <v/>
      </c>
      <c r="Y15" s="185" t="str">
        <f>IF(Tim!Z17=FIT!$E$1,Tim!Z17,"")</f>
        <v/>
      </c>
      <c r="Z15" s="185" t="str">
        <f>IF(Tim!AA17=FIT!$E$1,Tim!AA17,"")</f>
        <v/>
      </c>
      <c r="AA15" s="185" t="str">
        <f>IF(Tim!AB17=FIT!$E$1,Tim!AB17,"")</f>
        <v/>
      </c>
      <c r="AB15" s="185" t="str">
        <f>IF(Tim!AC17=FIT!$E$1,Tim!AC17,"")</f>
        <v/>
      </c>
      <c r="AC15" s="185" t="str">
        <f>IF(Tim!AD17=FIT!$E$1,Tim!AD17,"")</f>
        <v/>
      </c>
      <c r="AD15" s="185" t="str">
        <f>IF(Tim!AE17=FIT!$E$1,Tim!AE17,"")</f>
        <v/>
      </c>
      <c r="AE15" s="185" t="str">
        <f>IF(Tim!AF17=FIT!$E$1,Tim!AF17,"")</f>
        <v/>
      </c>
      <c r="AF15" s="185" t="str">
        <f>IF(Tim!AG17=FIT!$E$1,Tim!AG17,"")</f>
        <v/>
      </c>
      <c r="AG15" s="185" t="str">
        <f>IF(Tim!AH17=FIT!$E$1,Tim!AH17,"")</f>
        <v/>
      </c>
      <c r="AH15" s="185" t="str">
        <f>IF(Tim!AI17=FIT!$E$1,Tim!AI17,"")</f>
        <v/>
      </c>
      <c r="AI15" s="185" t="str">
        <f>IF(Tim!AJ17=FIT!$E$1,Tim!AJ17,"")</f>
        <v/>
      </c>
      <c r="AJ15" s="185" t="str">
        <f>IF(Tim!AK17=FIT!$E$1,Tim!AK17,"")</f>
        <v/>
      </c>
      <c r="AK15" s="185" t="str">
        <f>IF(Tim!AL17=FIT!$E$1,Tim!AL17,"")</f>
        <v/>
      </c>
      <c r="AL15" s="185" t="str">
        <f>IF(Tim!AM17=FIT!$E$1,Tim!AM17,"")</f>
        <v/>
      </c>
      <c r="AM15" s="185" t="str">
        <f>IF(Tim!AN17=FIT!$E$1,Tim!AN17,"")</f>
        <v/>
      </c>
      <c r="AN15" s="185" t="str">
        <f>IF(Tim!AO17=FIT!$E$1,Tim!AO17,"")</f>
        <v/>
      </c>
      <c r="AO15" s="185" t="str">
        <f>IF(Tim!AP17=FIT!$E$1,Tim!AP17,"")</f>
        <v/>
      </c>
      <c r="AP15" s="185" t="str">
        <f>IF(Tim!AQ17=FIT!$E$1,Tim!AQ17,"")</f>
        <v/>
      </c>
      <c r="AQ15" s="185" t="str">
        <f>IF(Tim!AR17=FIT!$E$1,Tim!AR17,"")</f>
        <v/>
      </c>
      <c r="AR15" s="185" t="str">
        <f>IF(Tim!AS17=FIT!$E$1,Tim!AS17,"")</f>
        <v/>
      </c>
      <c r="AS15" s="185" t="str">
        <f>IF(Tim!AT17=FIT!$E$1,Tim!AT17,"")</f>
        <v/>
      </c>
      <c r="AT15" s="185" t="str">
        <f>IF(Tim!AU17=FIT!$E$1,Tim!AU17,"")</f>
        <v/>
      </c>
      <c r="AU15" s="185" t="str">
        <f>IF(Tim!AV17=FIT!$E$1,Tim!AV17,"")</f>
        <v/>
      </c>
      <c r="AV15" s="185" t="str">
        <f>IF(Tim!AW17=FIT!$E$1,Tim!AW17,"")</f>
        <v/>
      </c>
      <c r="AW15" s="186" t="str">
        <f>IF(Tim!AX17=FIT!$E$1,Tim!AX17,"")</f>
        <v/>
      </c>
      <c r="AX15" s="243" t="str">
        <f>IF(Tim!AY17=FIT!$E$1,Tim!AY17,"")</f>
        <v/>
      </c>
      <c r="AY15" s="185" t="str">
        <f>IF(Tim!AZ17=FIT!$E$1,Tim!AZ17,"")</f>
        <v/>
      </c>
      <c r="AZ15" s="185" t="str">
        <f>IF(Tim!BA17=FIT!$E$1,Tim!BA17,"")</f>
        <v/>
      </c>
      <c r="BA15" s="185" t="str">
        <f>IF(Tim!BB17=FIT!$E$1,Tim!BB17,"")</f>
        <v/>
      </c>
      <c r="BB15" s="185" t="str">
        <f>IF(Tim!BC17=FIT!$E$1,Tim!BC17,"")</f>
        <v/>
      </c>
      <c r="BC15" s="185" t="str">
        <f>IF(Tim!BD17=FIT!$E$1,Tim!BD17,"")</f>
        <v/>
      </c>
      <c r="BD15" s="185" t="str">
        <f>IF(Tim!BE17=FIT!$E$1,Tim!BE17,"")</f>
        <v/>
      </c>
      <c r="BE15" s="185" t="str">
        <f>IF(Tim!BF17=FIT!$E$1,Tim!BF17,"")</f>
        <v/>
      </c>
      <c r="BF15" s="185" t="str">
        <f>IF(Tim!BG17=FIT!$E$1,Tim!BG17,"")</f>
        <v/>
      </c>
      <c r="BG15" s="185" t="str">
        <f>IF(Tim!BH17=FIT!$E$1,Tim!BH17,"")</f>
        <v/>
      </c>
      <c r="BH15" s="185" t="str">
        <f>IF(Tim!BI17=FIT!$E$1,Tim!BI17,"")</f>
        <v/>
      </c>
      <c r="BI15" s="185" t="str">
        <f>IF(Tim!BJ17=FIT!$E$1,Tim!BJ17,"")</f>
        <v/>
      </c>
      <c r="BJ15" s="185" t="str">
        <f>IF(Tim!BK17=FIT!$E$1,Tim!BK17,"")</f>
        <v/>
      </c>
      <c r="BK15" s="185" t="str">
        <f>IF(Tim!BL17=FIT!$E$1,Tim!BL17,"")</f>
        <v/>
      </c>
      <c r="BL15" s="185" t="str">
        <f>IF(Tim!BM17=FIT!$E$1,Tim!BM17,"")</f>
        <v/>
      </c>
      <c r="BM15" s="185" t="str">
        <f>IF(Tim!BN17=FIT!$E$1,Tim!BN17,"")</f>
        <v/>
      </c>
      <c r="BN15" s="185" t="str">
        <f>IF(Tim!BO17=FIT!$E$1,Tim!BO17,"")</f>
        <v/>
      </c>
      <c r="BO15" s="185" t="str">
        <f>IF(Tim!BP17=FIT!$E$1,Tim!BP17,"")</f>
        <v/>
      </c>
      <c r="BP15" s="185" t="str">
        <f>IF(Tim!BQ17=FIT!$E$1,Tim!BQ17,"")</f>
        <v/>
      </c>
      <c r="BQ15" s="185" t="str">
        <f>IF(Tim!BR17=FIT!$E$1,Tim!BR17,"")</f>
        <v/>
      </c>
      <c r="BR15" s="185" t="str">
        <f>IF(Tim!BS17=FIT!$E$1,Tim!BS17,"")</f>
        <v/>
      </c>
      <c r="BS15" s="185" t="str">
        <f>IF(Tim!BT17=FIT!$E$1,Tim!BT17,"")</f>
        <v/>
      </c>
      <c r="BT15" s="185" t="str">
        <f>IF(Tim!BU17=FIT!$E$1,Tim!BU17,"")</f>
        <v/>
      </c>
      <c r="BU15" s="185" t="str">
        <f>IF(Tim!BV17=FIT!$E$1,Tim!BV17,"")</f>
        <v/>
      </c>
      <c r="BV15" s="185" t="str">
        <f>IF(Tim!BW17=FIT!$E$1,Tim!BW17,"")</f>
        <v/>
      </c>
      <c r="BW15" s="185" t="str">
        <f>IF(Tim!BX17=FIT!$E$1,Tim!BX17,"")</f>
        <v/>
      </c>
      <c r="BX15" s="185" t="str">
        <f>IF(Tim!BY17=FIT!$E$1,Tim!BY17,"")</f>
        <v/>
      </c>
      <c r="BY15" s="185" t="str">
        <f>IF(Tim!BZ17=FIT!$E$1,Tim!BZ17,"")</f>
        <v/>
      </c>
      <c r="BZ15" s="185" t="str">
        <f>IF(Tim!CA17=FIT!$E$1,Tim!CA17,"")</f>
        <v/>
      </c>
      <c r="CA15" s="185" t="str">
        <f>IF(Tim!CB17=FIT!$E$1,Tim!CB17,"")</f>
        <v/>
      </c>
      <c r="CB15" s="185" t="str">
        <f>IF(Tim!CC17=FIT!$E$1,Tim!CC17,"")</f>
        <v/>
      </c>
      <c r="CC15" s="185" t="str">
        <f>IF(Tim!CD17=FIT!$E$1,Tim!CD17,"")</f>
        <v/>
      </c>
      <c r="CD15" s="185" t="str">
        <f>IF(Tim!CE17=FIT!$E$1,Tim!CE17,"")</f>
        <v/>
      </c>
      <c r="CE15" s="185" t="str">
        <f>IF(Tim!CF17=FIT!$E$1,Tim!CF17,"")</f>
        <v/>
      </c>
      <c r="CF15" s="185" t="str">
        <f>IF(Tim!CG17=FIT!$E$1,Tim!CG17,"")</f>
        <v/>
      </c>
      <c r="CG15" s="185" t="str">
        <f>IF(Tim!CH17=FIT!$E$1,Tim!CH17,"")</f>
        <v/>
      </c>
      <c r="CH15" s="185" t="str">
        <f>IF(Tim!CI17=FIT!$E$1,Tim!CI17,"")</f>
        <v/>
      </c>
      <c r="CI15" s="185" t="str">
        <f>IF(Tim!CJ17=FIT!$E$1,Tim!CJ17,"")</f>
        <v/>
      </c>
      <c r="CJ15" s="185" t="str">
        <f>IF(Tim!CK17=FIT!$E$1,Tim!CK17,"")</f>
        <v/>
      </c>
      <c r="CK15" s="185" t="str">
        <f>IF(Tim!CL17=FIT!$E$1,Tim!CL17,"")</f>
        <v/>
      </c>
      <c r="CL15" s="185" t="str">
        <f>IF(Tim!CM17=FIT!$E$1,Tim!CM17,"")</f>
        <v/>
      </c>
      <c r="CM15" s="185" t="str">
        <f>IF(Tim!CN17=FIT!$E$1,Tim!CN17,"")</f>
        <v/>
      </c>
      <c r="CN15" s="185" t="str">
        <f>IF(Tim!CO17=FIT!$E$1,Tim!CO17,"")</f>
        <v/>
      </c>
      <c r="CO15" s="185" t="str">
        <f>IF(Tim!CP17=FIT!$E$1,Tim!CP17,"")</f>
        <v/>
      </c>
      <c r="CP15" s="185" t="str">
        <f>IF(Tim!CQ17=FIT!$E$1,Tim!CQ17,"")</f>
        <v/>
      </c>
      <c r="CQ15" s="185" t="str">
        <f>IF(Tim!CR17=FIT!$E$1,Tim!CR17,"")</f>
        <v/>
      </c>
      <c r="CR15" s="185" t="str">
        <f>IF(Tim!CS17=FIT!$E$1,Tim!CS17,"")</f>
        <v/>
      </c>
      <c r="CS15" s="185" t="str">
        <f>IF(Tim!CT17=FIT!$E$1,Tim!CT17,"")</f>
        <v/>
      </c>
      <c r="CT15" s="185" t="str">
        <f>IF(Tim!CU17=FIT!$E$1,Tim!CU17,"")</f>
        <v/>
      </c>
      <c r="CU15" s="185" t="str">
        <f>IF(Tim!CV17=FIT!$E$1,Tim!CV17,"")</f>
        <v/>
      </c>
      <c r="CV15" s="185" t="str">
        <f>IF(Tim!CW17=FIT!$E$1,Tim!CW17,"")</f>
        <v/>
      </c>
      <c r="CW15" s="185" t="str">
        <f>IF(Tim!CX17=FIT!$E$1,Tim!CX17,"")</f>
        <v/>
      </c>
      <c r="CX15" s="185" t="str">
        <f>IF(Tim!CY17=FIT!$E$1,Tim!CY17,"")</f>
        <v/>
      </c>
      <c r="CY15" s="185" t="str">
        <f>IF(Tim!CZ17=FIT!$E$1,Tim!CZ17,"")</f>
        <v/>
      </c>
      <c r="CZ15" s="185" t="str">
        <f>IF(Tim!DA17=FIT!$E$1,Tim!DA17,"")</f>
        <v/>
      </c>
      <c r="DA15" s="185" t="str">
        <f>IF(Tim!DB17=FIT!$E$1,Tim!DB17,"")</f>
        <v/>
      </c>
      <c r="DB15" s="185" t="str">
        <f>IF(Tim!DC17=FIT!$E$1,Tim!DC17,"")</f>
        <v/>
      </c>
      <c r="DC15" s="185" t="str">
        <f>IF(Tim!DD17=FIT!$E$1,Tim!DD17,"")</f>
        <v/>
      </c>
      <c r="DD15" s="185" t="str">
        <f>IF(Tim!DE17=FIT!$E$1,Tim!DE17,"")</f>
        <v/>
      </c>
      <c r="DE15" s="185" t="str">
        <f>IF(Tim!DF17=FIT!$E$1,Tim!DF17,"")</f>
        <v/>
      </c>
      <c r="DF15" s="185" t="str">
        <f>IF(Tim!DG17=FIT!$E$1,Tim!DG17,"")</f>
        <v/>
      </c>
      <c r="DG15" s="185" t="str">
        <f>IF(Tim!DH17=FIT!$E$1,Tim!DH17,"")</f>
        <v/>
      </c>
      <c r="DH15" s="185" t="str">
        <f>IF(Tim!DI17=FIT!$E$1,Tim!DI17,"")</f>
        <v/>
      </c>
      <c r="DI15" s="185" t="str">
        <f>IF(Tim!DM17=FIT!$E$1,Tim!DM17,"")</f>
        <v/>
      </c>
      <c r="DJ15" s="185" t="str">
        <f>IF(Tim!DN17=FIT!$E$1,Tim!DN17,"")</f>
        <v/>
      </c>
      <c r="DK15" s="185" t="str">
        <f>IF(Tim!DO17=FIT!$E$1,Tim!DO17,"")</f>
        <v/>
      </c>
      <c r="DL15" s="185" t="str">
        <f>IF(Tim!DP17=FIT!$E$1,Tim!DP17,"")</f>
        <v/>
      </c>
      <c r="DM15" s="185" t="str">
        <f>IF(Tim!DQ17=FIT!$E$1,Tim!DQ17,"")</f>
        <v/>
      </c>
      <c r="DN15" s="185" t="str">
        <f>IF(Tim!DR17=FIT!$E$1,Tim!DR17,"")</f>
        <v/>
      </c>
      <c r="DO15" s="185" t="str">
        <f>IF(Tim!DS17=FIT!$E$1,Tim!DS17,"")</f>
        <v/>
      </c>
      <c r="DP15" s="185" t="str">
        <f>IF(Tim!DT17=FIT!$E$1,Tim!DT17,"")</f>
        <v/>
      </c>
      <c r="DQ15" s="185" t="str">
        <f>IF(Tim!DU17=FIT!$E$1,Tim!DU17,"")</f>
        <v/>
      </c>
      <c r="DR15" s="185" t="str">
        <f>IF(Tim!DV17=FIT!$E$1,Tim!DV17,"")</f>
        <v/>
      </c>
      <c r="DS15" s="185" t="str">
        <f>IF(Tim!DW17=FIT!$E$1,Tim!DW17,"")</f>
        <v/>
      </c>
      <c r="DT15" s="185" t="str">
        <f>IF(Tim!DX17=FIT!$E$1,Tim!DX17,"")</f>
        <v/>
      </c>
      <c r="DU15" s="185" t="str">
        <f>IF(Tim!DY17=FIT!$E$1,Tim!DY17,"")</f>
        <v/>
      </c>
      <c r="DV15" s="185" t="str">
        <f>IF(Tim!DZ17=FIT!$E$1,Tim!DZ17,"")</f>
        <v/>
      </c>
      <c r="DW15" s="185" t="str">
        <f>IF(Tim!EA17=FIT!$E$1,Tim!EA17,"")</f>
        <v/>
      </c>
      <c r="DX15" s="185" t="str">
        <f>IF(Tim!EB17=FIT!$E$1,Tim!EB17,"")</f>
        <v/>
      </c>
      <c r="DY15" s="185" t="str">
        <f>IF(Tim!EC17=FIT!$E$1,Tim!EC17,"")</f>
        <v/>
      </c>
      <c r="DZ15" s="185" t="str">
        <f>IF(Tim!ED17=FIT!$E$1,Tim!ED17,"")</f>
        <v/>
      </c>
      <c r="EA15" s="185" t="str">
        <f>IF(Tim!EE17=FIT!$E$1,Tim!EE17,"")</f>
        <v/>
      </c>
      <c r="EB15" s="185" t="str">
        <f>IF(Tim!EF17=FIT!$E$1,Tim!EF17,"")</f>
        <v/>
      </c>
      <c r="EC15" s="185" t="str">
        <f>IF(Tim!EG17=FIT!$E$1,Tim!EG17,"")</f>
        <v/>
      </c>
      <c r="ED15" s="185" t="str">
        <f>IF(Tim!EH17=FIT!$E$1,Tim!EH17,"")</f>
        <v/>
      </c>
      <c r="EE15" s="185" t="str">
        <f>IF(Tim!EI17=FIT!$E$1,Tim!EI17,"")</f>
        <v/>
      </c>
      <c r="EF15" s="185" t="str">
        <f>IF(Tim!EJ17=FIT!$E$1,Tim!EJ17,"")</f>
        <v/>
      </c>
      <c r="EG15" s="185" t="str">
        <f>IF(Tim!EK17=FIT!$E$1,Tim!EK17,"")</f>
        <v/>
      </c>
      <c r="EH15" s="185" t="str">
        <f>IF(Tim!EL16=FIT!$E$1,Tim!EL16,"")</f>
        <v/>
      </c>
      <c r="EI15" s="185" t="str">
        <f>IF(Tim!EM17=FIT!$E$1,Tim!EM17,"")</f>
        <v/>
      </c>
      <c r="EJ15" s="185" t="str">
        <f>IF(Tim!EN17=FIT!$E$1,Tim!EN17,"")</f>
        <v/>
      </c>
      <c r="EK15" s="185" t="str">
        <f>IF(Tim!EO17=FIT!$E$1,Tim!EO17,"")</f>
        <v/>
      </c>
      <c r="EL15" s="185" t="str">
        <f>IF(Tim!EP17=FIT!$E$1,Tim!EP17,"")</f>
        <v/>
      </c>
      <c r="EM15" s="185" t="str">
        <f>IF(Tim!EQ17=FIT!$E$1,Tim!EQ17,"")</f>
        <v/>
      </c>
      <c r="EN15" s="185" t="str">
        <f>IF(Tim!ER17=FIT!$E$1,Tim!ER17,"")</f>
        <v/>
      </c>
      <c r="EO15" s="185" t="str">
        <f>IF(Tim!ES17=FIT!$E$1,Tim!ES17,"")</f>
        <v/>
      </c>
      <c r="EP15" s="185" t="str">
        <f>IF(Tim!ET17=FIT!$E$1,Tim!ET17,"")</f>
        <v/>
      </c>
      <c r="EQ15" s="185" t="str">
        <f>IF(Tim!EU17=FIT!$E$1,Tim!EU17,"")</f>
        <v/>
      </c>
      <c r="ER15" s="185" t="str">
        <f>IF(Tim!EV17=FIT!$E$1,Tim!EV17,"")</f>
        <v/>
      </c>
      <c r="ES15" s="185" t="str">
        <f>IF(Tim!EW17=FIT!$E$1,Tim!EW17,"")</f>
        <v/>
      </c>
      <c r="ET15" s="185" t="str">
        <f>IF(Tim!EX17=FIT!$E$1,Tim!EX17,"")</f>
        <v/>
      </c>
      <c r="EU15" s="185" t="str">
        <f>IF(Tim!EY17=FIT!$E$1,Tim!EY17,"")</f>
        <v/>
      </c>
      <c r="EV15" s="185" t="str">
        <f>IF(Tim!EZ17=FIT!$E$1,Tim!EZ17,"")</f>
        <v/>
      </c>
      <c r="EW15" s="185" t="str">
        <f>IF(Tim!FA17=FIT!$E$1,Tim!FA17,"")</f>
        <v/>
      </c>
      <c r="EX15" s="185" t="str">
        <f>IF(Tim!FB17=FIT!$E$1,Tim!FB17,"")</f>
        <v/>
      </c>
      <c r="EY15" s="185" t="str">
        <f>IF(Tim!FC17=FIT!$E$1,Tim!FC17,"")</f>
        <v/>
      </c>
      <c r="EZ15" s="185" t="str">
        <f>IF(Tim!FD17=FIT!$E$1,Tim!FD17,"")</f>
        <v/>
      </c>
      <c r="FA15" s="185" t="str">
        <f>IF(Tim!FE17=FIT!$E$1,Tim!FE17,"")</f>
        <v/>
      </c>
      <c r="FB15" s="185" t="str">
        <f>IF(Tim!FF17=FIT!$E$1,Tim!FF17,"")</f>
        <v/>
      </c>
      <c r="FC15" s="185" t="str">
        <f>IF(Tim!FG17=FIT!$E$1,Tim!FG17,"")</f>
        <v/>
      </c>
      <c r="FD15" s="185" t="str">
        <f>IF(Tim!FH17=FIT!$E$1,Tim!FH17,"")</f>
        <v/>
      </c>
      <c r="FE15" s="185" t="str">
        <f>IF(Tim!FI17=FIT!$E$1,Tim!FI17,"")</f>
        <v/>
      </c>
      <c r="FF15" s="185" t="str">
        <f>IF(Tim!FJ17=FIT!$E$1,Tim!FJ17,"")</f>
        <v/>
      </c>
      <c r="FG15" s="185" t="str">
        <f>IF(Tim!FK17=FIT!$E$1,Tim!FK17,"")</f>
        <v/>
      </c>
      <c r="FH15" s="185" t="str">
        <f>IF(Tim!FL17=FIT!$E$1,Tim!FL17,"")</f>
        <v/>
      </c>
      <c r="FI15" s="185" t="str">
        <f>IF(Tim!FM17=FIT!$E$1,Tim!FM17,"")</f>
        <v/>
      </c>
      <c r="FJ15" s="185" t="str">
        <f>IF(Tim!FN17=FIT!$E$1,Tim!FN17,"")</f>
        <v/>
      </c>
      <c r="FK15" s="185" t="str">
        <f>IF(Tim!FO17=FIT!$E$1,Tim!FO17,"")</f>
        <v/>
      </c>
      <c r="FL15" s="185" t="str">
        <f>IF(Tim!FP17=FIT!$E$1,Tim!FP17,"")</f>
        <v/>
      </c>
      <c r="FM15" s="185" t="str">
        <f>IF(Tim!FQ17=FIT!$E$1,Tim!FQ17,"")</f>
        <v/>
      </c>
      <c r="FN15" s="185" t="str">
        <f>IF(Tim!FR17=FIT!$E$1,Tim!FR17,"")</f>
        <v/>
      </c>
      <c r="FO15" s="185" t="str">
        <f>IF(Tim!FS17=FIT!$E$1,Tim!FS17,"")</f>
        <v/>
      </c>
      <c r="FP15" s="185" t="str">
        <f>IF(Tim!FT17=FIT!$E$1,Tim!FT17,"")</f>
        <v/>
      </c>
      <c r="FQ15" s="185" t="str">
        <f>IF(Tim!FU17=FIT!$E$1,Tim!FU17,"")</f>
        <v/>
      </c>
      <c r="FR15" s="185" t="str">
        <f>IF(Tim!FV17=FIT!$E$1,Tim!FV17,"")</f>
        <v/>
      </c>
      <c r="FS15" s="185" t="str">
        <f>IF(Tim!FW17=FIT!$E$1,Tim!FW17,"")</f>
        <v/>
      </c>
      <c r="FT15" s="185" t="str">
        <f>IF(Tim!FX17=FIT!$E$1,Tim!FX17,"")</f>
        <v/>
      </c>
      <c r="FU15" s="185" t="str">
        <f>IF(Tim!FY17=FIT!$E$1,Tim!FY17,"")</f>
        <v/>
      </c>
      <c r="FV15" s="185" t="str">
        <f>IF(Tim!FZ17=FIT!$E$1,Tim!FZ17,"")</f>
        <v/>
      </c>
      <c r="FW15" s="185" t="str">
        <f>IF(Tim!GA17=FIT!$E$1,Tim!GA17,"")</f>
        <v/>
      </c>
      <c r="FX15" s="185" t="str">
        <f>IF(Tim!GB17=FIT!$E$1,Tim!GB17,"")</f>
        <v/>
      </c>
      <c r="FY15" s="185" t="str">
        <f>IF(Tim!GC17=FIT!$E$1,Tim!GC17,"")</f>
        <v/>
      </c>
      <c r="FZ15" s="185" t="str">
        <f>IF(Tim!GD17=FIT!$E$1,Tim!GD17,"")</f>
        <v/>
      </c>
      <c r="GA15" s="185" t="str">
        <f>IF(Tim!GE17=FIT!$E$1,Tim!GE17,"")</f>
        <v/>
      </c>
      <c r="GB15" s="185" t="str">
        <f>IF(Tim!GF17=FIT!$E$1,Tim!GF17,"")</f>
        <v/>
      </c>
      <c r="GC15" s="185" t="str">
        <f>IF(Tim!GG17=FIT!$E$1,Tim!GG17,"")</f>
        <v/>
      </c>
      <c r="GD15" s="185" t="str">
        <f>IF(Tim!GH17=FIT!$E$1,Tim!GH17,"")</f>
        <v/>
      </c>
      <c r="GE15" s="185" t="str">
        <f>IF(Tim!GI17=FIT!$E$1,Tim!GI17,"")</f>
        <v/>
      </c>
      <c r="GF15" s="185" t="str">
        <f>IF(Tim!GJ17=FIT!$E$1,Tim!GJ17,"")</f>
        <v/>
      </c>
      <c r="GG15" s="185" t="str">
        <f>IF(Tim!GK17=FIT!$E$1,Tim!GK17,"")</f>
        <v/>
      </c>
      <c r="GH15" s="185" t="str">
        <f>IF(Tim!GL17=FIT!$E$1,Tim!GL17,"")</f>
        <v/>
      </c>
      <c r="GI15" s="185" t="str">
        <f>IF(Tim!GM17=FIT!$E$1,Tim!GM17,"")</f>
        <v/>
      </c>
      <c r="GJ15" s="185" t="str">
        <f>IF(Tim!GN17=FIT!$E$1,Tim!GN17,"")</f>
        <v/>
      </c>
      <c r="GK15" s="185" t="str">
        <f>IF(Tim!GO17=FIT!$E$1,Tim!GO17,"")</f>
        <v/>
      </c>
      <c r="GL15" s="185" t="str">
        <f>IF(Tim!GP17=FIT!$E$1,Tim!GP17,"")</f>
        <v/>
      </c>
      <c r="GM15" s="185" t="str">
        <f>IF(Tim!GQ17=FIT!$E$1,Tim!GQ17,"")</f>
        <v/>
      </c>
      <c r="GN15" s="185" t="str">
        <f>IF(Tim!GR17=FIT!$E$1,Tim!GR17,"")</f>
        <v/>
      </c>
      <c r="GO15" s="185" t="str">
        <f>IF(Tim!GS17=FIT!$E$1,Tim!GS17,"")</f>
        <v/>
      </c>
      <c r="GP15" s="185" t="str">
        <f>IF(Tim!GT17=FIT!$E$1,Tim!GT17,"")</f>
        <v/>
      </c>
      <c r="GQ15" s="185" t="str">
        <f>IF(Tim!GU17=FIT!$E$1,Tim!GU17,"")</f>
        <v/>
      </c>
      <c r="GR15" s="185" t="str">
        <f>IF(Tim!GV17=FIT!$E$1,Tim!GV17,"")</f>
        <v/>
      </c>
      <c r="GS15" s="185" t="str">
        <f>IF(Tim!GW17=FIT!$E$1,Tim!GW17,"")</f>
        <v/>
      </c>
      <c r="GT15" s="185" t="str">
        <f>IF(Tim!GX17=FIT!$E$1,Tim!GX17,"")</f>
        <v/>
      </c>
      <c r="GU15" s="185" t="str">
        <f>IF(Tim!GY17=FIT!$E$1,Tim!GY17,"")</f>
        <v/>
      </c>
      <c r="GV15" s="185" t="str">
        <f>IF(Tim!GZ17=FIT!$E$1,Tim!GZ17,"")</f>
        <v/>
      </c>
      <c r="GW15" s="185" t="str">
        <f>IF(Tim!HA17=FIT!$E$1,Tim!HA17,"")</f>
        <v/>
      </c>
      <c r="GX15" s="185" t="str">
        <f>IF(Tim!HB17=FIT!$E$1,Tim!HB17,"")</f>
        <v/>
      </c>
      <c r="GY15" s="185" t="str">
        <f>IF(Tim!HC17=FIT!$E$1,Tim!HC17,"")</f>
        <v/>
      </c>
      <c r="GZ15" s="185" t="str">
        <f>IF(Tim!HD17=FIT!$E$1,Tim!HD17,"")</f>
        <v/>
      </c>
      <c r="HA15" s="185" t="str">
        <f>IF(Tim!HE17=FIT!$E$1,Tim!HE17,"")</f>
        <v/>
      </c>
      <c r="HB15" s="185" t="str">
        <f>IF(Tim!HF17=FIT!$E$1,Tim!HF17,"")</f>
        <v/>
      </c>
      <c r="HC15" s="185" t="str">
        <f>IF(Tim!HG17=FIT!$E$1,Tim!HG17,"")</f>
        <v/>
      </c>
      <c r="HD15" s="185" t="str">
        <f>IF(Tim!HH17=FIT!$E$1,Tim!HH17,"")</f>
        <v/>
      </c>
      <c r="HE15" s="185" t="str">
        <f>IF(Tim!HI17=FIT!$E$1,Tim!HI17,"")</f>
        <v/>
      </c>
      <c r="HF15" s="185" t="str">
        <f>IF(Tim!HJ17=FIT!$E$1,Tim!HJ17,"")</f>
        <v/>
      </c>
      <c r="HG15" s="185" t="str">
        <f>IF(Tim!HK17=FIT!$E$1,Tim!HK17,"")</f>
        <v/>
      </c>
      <c r="HH15" s="185" t="str">
        <f>IF(Tim!HL17=FIT!$E$1,Tim!HL17,"")</f>
        <v/>
      </c>
      <c r="HI15" s="185" t="str">
        <f>IF(Tim!HM17=FIT!$E$1,Tim!HM17,"")</f>
        <v/>
      </c>
      <c r="HJ15" s="185" t="str">
        <f>IF(Tim!HN17=FIT!$E$1,Tim!HN17,"")</f>
        <v/>
      </c>
      <c r="HK15" s="185" t="str">
        <f>IF(Tim!HO17=FIT!$E$1,Tim!HO17,"")</f>
        <v/>
      </c>
      <c r="HL15" s="185" t="str">
        <f>IF(Tim!HP17=FIT!$E$1,Tim!HP17,"")</f>
        <v/>
      </c>
      <c r="HM15" s="185" t="str">
        <f>IF(Tim!HQ17=FIT!$E$1,Tim!HQ17,"")</f>
        <v/>
      </c>
      <c r="HN15" s="185" t="str">
        <f>IF(Tim!HR17=FIT!$E$1,Tim!HR17,"")</f>
        <v/>
      </c>
      <c r="HO15" s="185" t="str">
        <f>IF(Tim!HS17=FIT!$E$1,Tim!HS17,"")</f>
        <v/>
      </c>
      <c r="HP15" s="185" t="str">
        <f>IF(Tim!HT17=FIT!$E$1,Tim!HT17,"")</f>
        <v/>
      </c>
      <c r="HQ15" s="185" t="str">
        <f>IF(Tim!HU17=FIT!$E$1,Tim!HU17,"")</f>
        <v/>
      </c>
      <c r="HR15" s="185" t="str">
        <f>IF(Tim!HV17=FIT!$E$1,Tim!HV17,"")</f>
        <v/>
      </c>
      <c r="HS15" s="185" t="str">
        <f>IF(Tim!HW17=FIT!$E$1,Tim!HW17,"")</f>
        <v/>
      </c>
      <c r="HT15" s="185" t="str">
        <f>IF(Tim!HX17=FIT!$E$1,Tim!HX17,"")</f>
        <v/>
      </c>
      <c r="HU15" s="185" t="str">
        <f>IF(Tim!HY17=FIT!$E$1,Tim!HY17,"")</f>
        <v/>
      </c>
      <c r="HV15" s="185" t="str">
        <f>IF(Tim!HZ17=FIT!$E$1,Tim!HZ17,"")</f>
        <v/>
      </c>
      <c r="HW15" s="185" t="str">
        <f>IF(Tim!IA17=FIT!$E$1,Tim!IA17,"")</f>
        <v/>
      </c>
      <c r="HX15" s="185" t="str">
        <f>IF(Tim!IB17=FIT!$E$1,Tim!IB17,"")</f>
        <v/>
      </c>
      <c r="HY15" s="185" t="str">
        <f>IF(Tim!IC17=FIT!$E$1,Tim!IC17,"")</f>
        <v/>
      </c>
      <c r="HZ15" s="185" t="str">
        <f>IF(Tim!ID17=FIT!$E$1,Tim!ID17,"")</f>
        <v/>
      </c>
      <c r="IA15" s="185" t="str">
        <f>IF(Tim!IE17=FIT!$E$1,Tim!IE17,"")</f>
        <v/>
      </c>
      <c r="IB15" s="185" t="str">
        <f>IF(Tim!IF17=FIT!$E$1,Tim!IF17,"")</f>
        <v/>
      </c>
      <c r="IC15" s="185" t="str">
        <f>IF(Tim!IG17=FIT!$E$1,Tim!IG17,"")</f>
        <v/>
      </c>
      <c r="ID15" s="185" t="str">
        <f>IF(Tim!IH17=FIT!$E$1,Tim!IH17,"")</f>
        <v/>
      </c>
      <c r="IE15" s="185" t="str">
        <f>IF(Tim!II17=FIT!$E$1,Tim!II17,"")</f>
        <v/>
      </c>
      <c r="IF15" s="185" t="str">
        <f>IF(Tim!IJ17=FIT!$E$1,Tim!IJ17,"")</f>
        <v/>
      </c>
      <c r="IG15" s="185" t="str">
        <f>IF(Tim!IK17=FIT!$E$1,Tim!IK17,"")</f>
        <v/>
      </c>
      <c r="IH15" s="185" t="str">
        <f>IF(Tim!IL17=FIT!$E$1,Tim!IL17,"")</f>
        <v/>
      </c>
      <c r="II15" s="185" t="str">
        <f>IF(Tim!IM17=FIT!$E$1,Tim!IM17,"")</f>
        <v/>
      </c>
      <c r="IJ15" s="185" t="str">
        <f>IF(Tim!IN17=FIT!$E$1,Tim!IN17,"")</f>
        <v/>
      </c>
      <c r="IK15" s="185" t="str">
        <f>IF(Tim!IO17=FIT!$E$1,Tim!IO17,"")</f>
        <v/>
      </c>
      <c r="IL15" s="185" t="str">
        <f>IF(Tim!IP17=FIT!$E$1,Tim!IP17,"")</f>
        <v/>
      </c>
      <c r="IM15" s="185" t="str">
        <f>IF(Tim!IQ17=FIT!$E$1,Tim!IQ17,"")</f>
        <v/>
      </c>
      <c r="IN15" s="185" t="str">
        <f>IF(Tim!IR17=FIT!$E$1,Tim!IR17,"")</f>
        <v/>
      </c>
      <c r="IO15" s="185" t="str">
        <f>IF(Tim!IS17=FIT!$E$1,Tim!IS17,"")</f>
        <v/>
      </c>
      <c r="IP15" s="185" t="str">
        <f>IF(Tim!IT17=FIT!$E$1,Tim!IT17,"")</f>
        <v/>
      </c>
      <c r="IQ15" s="185" t="str">
        <f>IF(Tim!IU17=FIT!$E$1,Tim!IU17,"")</f>
        <v/>
      </c>
      <c r="IR15" s="185" t="str">
        <f>IF(Tim!IV17=FIT!$E$1,Tim!IV17,"")</f>
        <v/>
      </c>
      <c r="IS15" s="185" t="str">
        <f>IF(Tim!IW17=FIT!$E$1,Tim!IW17,"")</f>
        <v/>
      </c>
      <c r="IT15" s="185" t="str">
        <f>IF(Tim!IX17=FIT!$E$1,Tim!IX17,"")</f>
        <v/>
      </c>
      <c r="IU15" s="185" t="str">
        <f>IF(Tim!IY17=FIT!$E$1,Tim!IY17,"")</f>
        <v/>
      </c>
      <c r="IV15" s="185" t="str">
        <f>IF(Tim!IZ17=FIT!$E$1,Tim!IZ17,"")</f>
        <v/>
      </c>
      <c r="IW15" s="185" t="str">
        <f>IF(Tim!JA17=FIT!$E$1,Tim!JA17,"")</f>
        <v/>
      </c>
      <c r="IX15" s="185" t="str">
        <f>IF(Tim!JB17=FIT!$E$1,Tim!JB17,"")</f>
        <v/>
      </c>
      <c r="IY15" s="185" t="str">
        <f>IF(Tim!JC17=FIT!$E$1,Tim!JC17,"")</f>
        <v/>
      </c>
      <c r="IZ15" s="185" t="str">
        <f>IF(Tim!JD17=FIT!$E$1,Tim!JD17,"")</f>
        <v/>
      </c>
      <c r="JA15" s="185" t="str">
        <f>IF(Tim!JE17=FIT!$E$1,Tim!JE17,"")</f>
        <v/>
      </c>
      <c r="JB15" s="185" t="str">
        <f>IF(Tim!JF17=FIT!$E$1,Tim!JF17,"")</f>
        <v/>
      </c>
      <c r="JC15" s="185" t="str">
        <f>IF(Tim!JG17=FIT!$E$1,Tim!JG17,"")</f>
        <v/>
      </c>
      <c r="JD15" s="185" t="str">
        <f>IF(Tim!JH17=FIT!$E$1,Tim!JH17,"")</f>
        <v/>
      </c>
      <c r="JE15" s="185" t="str">
        <f>IF(Tim!JI17=FIT!$E$1,Tim!JI17,"")</f>
        <v/>
      </c>
      <c r="JF15" s="185" t="str">
        <f>IF(Tim!JJ17=FIT!$E$1,Tim!JJ17,"")</f>
        <v/>
      </c>
      <c r="JG15" s="185" t="str">
        <f>IF(Tim!JK17=FIT!$E$1,Tim!JK17,"")</f>
        <v/>
      </c>
      <c r="JH15" s="185" t="str">
        <f>IF(Tim!JL17=FIT!$E$1,Tim!JL17,"")</f>
        <v/>
      </c>
      <c r="JI15" s="185" t="str">
        <f>IF(Tim!JM17=FIT!$E$1,Tim!JM17,"")</f>
        <v/>
      </c>
      <c r="JJ15" s="185" t="str">
        <f>IF(Tim!JN17=FIT!$E$1,Tim!JN17,"")</f>
        <v/>
      </c>
      <c r="JK15" s="185" t="str">
        <f>IF(Tim!JO17=FIT!$E$1,Tim!JO17,"")</f>
        <v/>
      </c>
      <c r="JL15" s="185" t="str">
        <f>IF(Tim!JP17=FIT!$E$1,Tim!JP17,"")</f>
        <v/>
      </c>
      <c r="JM15" s="185" t="str">
        <f>IF(Tim!JQ17=FIT!$E$1,Tim!JQ17,"")</f>
        <v/>
      </c>
      <c r="JN15" s="185" t="str">
        <f>IF(Tim!JR17=FIT!$E$1,Tim!JR17,"")</f>
        <v/>
      </c>
      <c r="JO15" s="185" t="str">
        <f>IF(Tim!JS17=FIT!$E$1,Tim!JS17,"")</f>
        <v/>
      </c>
      <c r="JP15" s="185" t="str">
        <f>IF(Tim!JT17=FIT!$E$1,Tim!JT17,"")</f>
        <v/>
      </c>
      <c r="JQ15" s="185" t="str">
        <f>IF(Tim!JU17=FIT!$E$1,Tim!JU17,"")</f>
        <v/>
      </c>
      <c r="JR15" s="185" t="str">
        <f>IF(Tim!JV17=FIT!$E$1,Tim!JV17,"")</f>
        <v/>
      </c>
      <c r="JS15" s="185" t="str">
        <f>IF(Tim!JW17=FIT!$E$1,Tim!JW17,"")</f>
        <v/>
      </c>
      <c r="JT15" s="185" t="str">
        <f>IF(Tim!JX17=FIT!$E$1,Tim!JX17,"")</f>
        <v/>
      </c>
      <c r="JU15" s="185" t="str">
        <f>IF(Tim!JY17=FIT!$E$1,Tim!JY17,"")</f>
        <v/>
      </c>
      <c r="JV15" s="185" t="str">
        <f>IF(Tim!JZ17=FIT!$E$1,Tim!JZ17,"")</f>
        <v/>
      </c>
      <c r="JW15" s="185" t="str">
        <f>IF(Tim!KA17=FIT!$E$1,Tim!KA17,"")</f>
        <v/>
      </c>
      <c r="JX15" s="185" t="str">
        <f>IF(Tim!KB17=FIT!$E$1,Tim!KB17,"")</f>
        <v/>
      </c>
      <c r="JY15" s="185" t="str">
        <f>IF(Tim!KC17=FIT!$E$1,Tim!KC17,"")</f>
        <v/>
      </c>
      <c r="JZ15" s="185" t="str">
        <f>IF(Tim!KD17=FIT!$E$1,Tim!KD17,"")</f>
        <v/>
      </c>
      <c r="KA15" s="185" t="str">
        <f>IF(Tim!KE17=FIT!$E$1,Tim!KE17,"")</f>
        <v/>
      </c>
      <c r="KB15" s="185" t="str">
        <f>IF(Tim!KF17=FIT!$E$1,Tim!KF17,"")</f>
        <v/>
      </c>
      <c r="KC15" s="185" t="str">
        <f>IF(Tim!KG17=FIT!$E$1,Tim!KG17,"")</f>
        <v/>
      </c>
      <c r="KD15" s="185" t="str">
        <f>IF(Tim!KH17=FIT!$E$1,Tim!KH17,"")</f>
        <v/>
      </c>
      <c r="KE15" s="185" t="str">
        <f>IF(Tim!KI17=FIT!$E$1,Tim!KI17,"")</f>
        <v/>
      </c>
      <c r="KF15" s="185" t="str">
        <f>IF(Tim!KJ17=FIT!$E$1,Tim!KJ17,"")</f>
        <v/>
      </c>
      <c r="KG15" s="185" t="str">
        <f>IF(Tim!KK17=FIT!$E$1,Tim!KK17,"")</f>
        <v/>
      </c>
      <c r="KH15" s="185" t="str">
        <f>IF(Tim!KL17=FIT!$E$1,Tim!KL17,"")</f>
        <v/>
      </c>
      <c r="KI15" s="185" t="str">
        <f>IF(Tim!KM17=FIT!$E$1,Tim!KM17,"")</f>
        <v/>
      </c>
      <c r="KJ15" s="185" t="str">
        <f>IF(Tim!KN17=FIT!$E$1,Tim!KN17,"")</f>
        <v/>
      </c>
      <c r="KK15" s="185" t="str">
        <f>IF(Tim!KO17=FIT!$E$1,Tim!KO17,"")</f>
        <v/>
      </c>
      <c r="KL15" s="185" t="str">
        <f>IF(Tim!KP17=FIT!$E$1,Tim!KP17,"")</f>
        <v/>
      </c>
      <c r="KM15" s="185" t="str">
        <f>IF(Tim!KQ17=FIT!$E$1,Tim!KQ17,"")</f>
        <v/>
      </c>
      <c r="KN15" s="185" t="str">
        <f>IF(Tim!KR17=FIT!$E$1,Tim!KR17,"")</f>
        <v/>
      </c>
      <c r="KO15" s="185" t="str">
        <f>IF(Tim!KS17=FIT!$E$1,Tim!KS17,"")</f>
        <v/>
      </c>
      <c r="KP15" s="185" t="str">
        <f>IF(Tim!KT17=FIT!$E$1,Tim!KT17,"")</f>
        <v/>
      </c>
      <c r="KQ15" s="185" t="str">
        <f>IF(Tim!KU17=FIT!$E$1,Tim!KU17,"")</f>
        <v/>
      </c>
      <c r="KR15" s="185" t="str">
        <f>IF(Tim!KV17=FIT!$E$1,Tim!KV17,"")</f>
        <v/>
      </c>
      <c r="KS15" s="185" t="str">
        <f>IF(Tim!KW17=FIT!$E$1,Tim!KW17,"")</f>
        <v/>
      </c>
      <c r="KT15" s="185" t="str">
        <f>IF(Tim!KX17=FIT!$E$1,Tim!KX17,"")</f>
        <v/>
      </c>
      <c r="KU15" s="185" t="str">
        <f>IF(Tim!KY17=FIT!$E$1,Tim!KY17,"")</f>
        <v/>
      </c>
      <c r="KV15" s="185" t="str">
        <f>IF(Tim!KZ17=FIT!$E$1,Tim!KZ17,"")</f>
        <v/>
      </c>
      <c r="KW15" s="185" t="str">
        <f>IF(Tim!LA17=FIT!$E$1,Tim!LA17,"")</f>
        <v/>
      </c>
      <c r="KX15" s="185" t="str">
        <f>IF(Tim!LB17=FIT!$E$1,Tim!LB17,"")</f>
        <v/>
      </c>
      <c r="KY15" s="185" t="str">
        <f>IF(Tim!LC17=FIT!$E$1,Tim!LC17,"")</f>
        <v/>
      </c>
      <c r="KZ15" s="185" t="str">
        <f>IF(Tim!LD17=FIT!$E$1,Tim!LD17,"")</f>
        <v/>
      </c>
      <c r="LA15" s="185" t="str">
        <f>IF(Tim!LE17=FIT!$E$1,Tim!LE17,"")</f>
        <v/>
      </c>
      <c r="LB15" s="52">
        <v>0.39583333333333298</v>
      </c>
    </row>
    <row r="16" spans="2:314" ht="10.5" customHeight="1">
      <c r="B16" s="49">
        <v>0.25</v>
      </c>
      <c r="C16" s="49">
        <v>0.25</v>
      </c>
      <c r="D16" s="49">
        <v>0.25</v>
      </c>
      <c r="E16" s="172">
        <v>0.40625</v>
      </c>
      <c r="F16" s="238" t="str">
        <f>IF(Tim!F18=FIT!$E$1,Tim!F18,"")</f>
        <v/>
      </c>
      <c r="G16" s="185" t="str">
        <f>IF(Tim!G18=FIT!$E$1,Tim!G18,"")</f>
        <v/>
      </c>
      <c r="H16" s="185" t="str">
        <f>IF(Tim!H18=FIT!$E$1,Tim!H18,"")</f>
        <v/>
      </c>
      <c r="I16" s="185" t="str">
        <f>IF(Tim!I18=FIT!$E$1,Tim!I18,"")</f>
        <v/>
      </c>
      <c r="J16" s="185" t="str">
        <f>IF(Tim!J18=FIT!$E$1,Tim!J18,"")</f>
        <v/>
      </c>
      <c r="K16" s="185" t="str">
        <f>IF(Tim!K18=FIT!$E$1,Tim!K18,"")</f>
        <v/>
      </c>
      <c r="L16" s="185" t="str">
        <f>IF(Tim!L18=FIT!$E$1,Tim!L18,"")</f>
        <v/>
      </c>
      <c r="M16" s="185" t="str">
        <f>IF(Tim!M18=FIT!$E$1,Tim!M18,"")</f>
        <v/>
      </c>
      <c r="N16" s="185" t="str">
        <f>IF(Tim!N18=FIT!$E$1,Tim!N18,"")</f>
        <v/>
      </c>
      <c r="O16" s="185" t="str">
        <f>IF(Tim!O18=FIT!$E$1,Tim!O18,"")</f>
        <v/>
      </c>
      <c r="P16" s="185" t="str">
        <f>IF(Tim!P18=FIT!$E$1,Tim!P18,"")</f>
        <v/>
      </c>
      <c r="Q16" s="185" t="str">
        <f>IF(Tim!Q18=FIT!$E$1,Tim!Q18,"")</f>
        <v/>
      </c>
      <c r="R16" s="185" t="str">
        <f>IF(Tim!R18=FIT!$E$1,Tim!R18,"")</f>
        <v/>
      </c>
      <c r="S16" s="185" t="str">
        <f>IF(Tim!S18=FIT!$E$1,Tim!S18,"")</f>
        <v/>
      </c>
      <c r="T16" s="185" t="str">
        <f>IF(Tim!T18=FIT!$E$1,Tim!T18,"")</f>
        <v/>
      </c>
      <c r="U16" s="185" t="str">
        <f>IF(Tim!U18=FIT!$E$1,Tim!U18,"")</f>
        <v/>
      </c>
      <c r="V16" s="185" t="str">
        <f>IF(Tim!W18=FIT!$E$1,Tim!W18,"")</f>
        <v/>
      </c>
      <c r="W16" s="185" t="str">
        <f>IF(Tim!X18=FIT!$E$1,Tim!X18,"")</f>
        <v/>
      </c>
      <c r="X16" s="185" t="str">
        <f>IF(Tim!Y18=FIT!$E$1,Tim!Y18,"")</f>
        <v/>
      </c>
      <c r="Y16" s="185" t="str">
        <f>IF(Tim!Z18=FIT!$E$1,Tim!Z18,"")</f>
        <v/>
      </c>
      <c r="Z16" s="185" t="str">
        <f>IF(Tim!AA18=FIT!$E$1,Tim!AA18,"")</f>
        <v/>
      </c>
      <c r="AA16" s="185" t="str">
        <f>IF(Tim!AB18=FIT!$E$1,Tim!AB18,"")</f>
        <v/>
      </c>
      <c r="AB16" s="185" t="str">
        <f>IF(Tim!AC18=FIT!$E$1,Tim!AC18,"")</f>
        <v/>
      </c>
      <c r="AC16" s="185" t="str">
        <f>IF(Tim!AD18=FIT!$E$1,Tim!AD18,"")</f>
        <v/>
      </c>
      <c r="AD16" s="185" t="str">
        <f>IF(Tim!AE18=FIT!$E$1,Tim!AE18,"")</f>
        <v/>
      </c>
      <c r="AE16" s="185" t="str">
        <f>IF(Tim!AF18=FIT!$E$1,Tim!AF18,"")</f>
        <v/>
      </c>
      <c r="AF16" s="185" t="str">
        <f>IF(Tim!AG18=FIT!$E$1,Tim!AG18,"")</f>
        <v/>
      </c>
      <c r="AG16" s="185" t="str">
        <f>IF(Tim!AH18=FIT!$E$1,Tim!AH18,"")</f>
        <v/>
      </c>
      <c r="AH16" s="185" t="str">
        <f>IF(Tim!AI18=FIT!$E$1,Tim!AI18,"")</f>
        <v/>
      </c>
      <c r="AI16" s="185" t="str">
        <f>IF(Tim!AJ18=FIT!$E$1,Tim!AJ18,"")</f>
        <v/>
      </c>
      <c r="AJ16" s="185" t="str">
        <f>IF(Tim!AK18=FIT!$E$1,Tim!AK18,"")</f>
        <v/>
      </c>
      <c r="AK16" s="185" t="str">
        <f>IF(Tim!AL18=FIT!$E$1,Tim!AL18,"")</f>
        <v/>
      </c>
      <c r="AL16" s="185" t="str">
        <f>IF(Tim!AM18=FIT!$E$1,Tim!AM18,"")</f>
        <v/>
      </c>
      <c r="AM16" s="185" t="str">
        <f>IF(Tim!AN18=FIT!$E$1,Tim!AN18,"")</f>
        <v/>
      </c>
      <c r="AN16" s="185" t="str">
        <f>IF(Tim!AO18=FIT!$E$1,Tim!AO18,"")</f>
        <v/>
      </c>
      <c r="AO16" s="185" t="str">
        <f>IF(Tim!AP18=FIT!$E$1,Tim!AP18,"")</f>
        <v/>
      </c>
      <c r="AP16" s="185" t="str">
        <f>IF(Tim!AQ18=FIT!$E$1,Tim!AQ18,"")</f>
        <v/>
      </c>
      <c r="AQ16" s="185" t="str">
        <f>IF(Tim!AR18=FIT!$E$1,Tim!AR18,"")</f>
        <v/>
      </c>
      <c r="AR16" s="185" t="str">
        <f>IF(Tim!AS18=FIT!$E$1,Tim!AS18,"")</f>
        <v/>
      </c>
      <c r="AS16" s="185" t="str">
        <f>IF(Tim!AT18=FIT!$E$1,Tim!AT18,"")</f>
        <v/>
      </c>
      <c r="AT16" s="185" t="str">
        <f>IF(Tim!AU18=FIT!$E$1,Tim!AU18,"")</f>
        <v/>
      </c>
      <c r="AU16" s="185" t="str">
        <f>IF(Tim!AV18=FIT!$E$1,Tim!AV18,"")</f>
        <v/>
      </c>
      <c r="AV16" s="185" t="str">
        <f>IF(Tim!AW18=FIT!$E$1,Tim!AW18,"")</f>
        <v/>
      </c>
      <c r="AW16" s="186" t="str">
        <f>IF(Tim!AX18=FIT!$E$1,Tim!AX18,"")</f>
        <v/>
      </c>
      <c r="AX16" s="243" t="str">
        <f>IF(Tim!AY18=FIT!$E$1,Tim!AY18,"")</f>
        <v/>
      </c>
      <c r="AY16" s="185" t="str">
        <f>IF(Tim!AZ18=FIT!$E$1,Tim!AZ18,"")</f>
        <v/>
      </c>
      <c r="AZ16" s="185" t="str">
        <f>IF(Tim!BA18=FIT!$E$1,Tim!BA18,"")</f>
        <v/>
      </c>
      <c r="BA16" s="185" t="str">
        <f>IF(Tim!BB18=FIT!$E$1,Tim!BB18,"")</f>
        <v/>
      </c>
      <c r="BB16" s="185" t="str">
        <f>IF(Tim!BC18=FIT!$E$1,Tim!BC18,"")</f>
        <v/>
      </c>
      <c r="BC16" s="185" t="str">
        <f>IF(Tim!BD18=FIT!$E$1,Tim!BD18,"")</f>
        <v/>
      </c>
      <c r="BD16" s="185" t="str">
        <f>IF(Tim!BE18=FIT!$E$1,Tim!BE18,"")</f>
        <v/>
      </c>
      <c r="BE16" s="185" t="str">
        <f>IF(Tim!BF18=FIT!$E$1,Tim!BF18,"")</f>
        <v/>
      </c>
      <c r="BF16" s="185" t="str">
        <f>IF(Tim!BG18=FIT!$E$1,Tim!BG18,"")</f>
        <v/>
      </c>
      <c r="BG16" s="185" t="str">
        <f>IF(Tim!BH18=FIT!$E$1,Tim!BH18,"")</f>
        <v/>
      </c>
      <c r="BH16" s="185" t="str">
        <f>IF(Tim!BI18=FIT!$E$1,Tim!BI18,"")</f>
        <v/>
      </c>
      <c r="BI16" s="185" t="str">
        <f>IF(Tim!BJ18=FIT!$E$1,Tim!BJ18,"")</f>
        <v/>
      </c>
      <c r="BJ16" s="185" t="str">
        <f>IF(Tim!BK18=FIT!$E$1,Tim!BK18,"")</f>
        <v/>
      </c>
      <c r="BK16" s="185" t="str">
        <f>IF(Tim!BL18=FIT!$E$1,Tim!BL18,"")</f>
        <v/>
      </c>
      <c r="BL16" s="185" t="str">
        <f>IF(Tim!BM18=FIT!$E$1,Tim!BM18,"")</f>
        <v/>
      </c>
      <c r="BM16" s="185" t="str">
        <f>IF(Tim!BN18=FIT!$E$1,Tim!BN18,"")</f>
        <v/>
      </c>
      <c r="BN16" s="185" t="str">
        <f>IF(Tim!BO18=FIT!$E$1,Tim!BO18,"")</f>
        <v/>
      </c>
      <c r="BO16" s="185" t="str">
        <f>IF(Tim!BP18=FIT!$E$1,Tim!BP18,"")</f>
        <v/>
      </c>
      <c r="BP16" s="185" t="str">
        <f>IF(Tim!BQ18=FIT!$E$1,Tim!BQ18,"")</f>
        <v/>
      </c>
      <c r="BQ16" s="185" t="str">
        <f>IF(Tim!BR18=FIT!$E$1,Tim!BR18,"")</f>
        <v/>
      </c>
      <c r="BR16" s="185" t="str">
        <f>IF(Tim!BS18=FIT!$E$1,Tim!BS18,"")</f>
        <v/>
      </c>
      <c r="BS16" s="185" t="str">
        <f>IF(Tim!BT18=FIT!$E$1,Tim!BT18,"")</f>
        <v/>
      </c>
      <c r="BT16" s="185" t="str">
        <f>IF(Tim!BU18=FIT!$E$1,Tim!BU18,"")</f>
        <v/>
      </c>
      <c r="BU16" s="185" t="str">
        <f>IF(Tim!BV18=FIT!$E$1,Tim!BV18,"")</f>
        <v/>
      </c>
      <c r="BV16" s="185" t="str">
        <f>IF(Tim!BW18=FIT!$E$1,Tim!BW18,"")</f>
        <v/>
      </c>
      <c r="BW16" s="185" t="str">
        <f>IF(Tim!BX18=FIT!$E$1,Tim!BX18,"")</f>
        <v/>
      </c>
      <c r="BX16" s="185" t="str">
        <f>IF(Tim!BY18=FIT!$E$1,Tim!BY18,"")</f>
        <v/>
      </c>
      <c r="BY16" s="185" t="str">
        <f>IF(Tim!BZ18=FIT!$E$1,Tim!BZ18,"")</f>
        <v/>
      </c>
      <c r="BZ16" s="185" t="str">
        <f>IF(Tim!CA18=FIT!$E$1,Tim!CA18,"")</f>
        <v/>
      </c>
      <c r="CA16" s="185" t="str">
        <f>IF(Tim!CB18=FIT!$E$1,Tim!CB18,"")</f>
        <v/>
      </c>
      <c r="CB16" s="185" t="str">
        <f>IF(Tim!CC18=FIT!$E$1,Tim!CC18,"")</f>
        <v/>
      </c>
      <c r="CC16" s="185" t="str">
        <f>IF(Tim!CD18=FIT!$E$1,Tim!CD18,"")</f>
        <v/>
      </c>
      <c r="CD16" s="185" t="str">
        <f>IF(Tim!CE18=FIT!$E$1,Tim!CE18,"")</f>
        <v/>
      </c>
      <c r="CE16" s="185" t="str">
        <f>IF(Tim!CF18=FIT!$E$1,Tim!CF18,"")</f>
        <v/>
      </c>
      <c r="CF16" s="185" t="str">
        <f>IF(Tim!CG18=FIT!$E$1,Tim!CG18,"")</f>
        <v/>
      </c>
      <c r="CG16" s="185" t="str">
        <f>IF(Tim!CH18=FIT!$E$1,Tim!CH18,"")</f>
        <v/>
      </c>
      <c r="CH16" s="185" t="str">
        <f>IF(Tim!CI18=FIT!$E$1,Tim!CI18,"")</f>
        <v/>
      </c>
      <c r="CI16" s="185" t="str">
        <f>IF(Tim!CJ18=FIT!$E$1,Tim!CJ18,"")</f>
        <v/>
      </c>
      <c r="CJ16" s="185" t="str">
        <f>IF(Tim!CK18=FIT!$E$1,Tim!CK18,"")</f>
        <v/>
      </c>
      <c r="CK16" s="185" t="str">
        <f>IF(Tim!CL18=FIT!$E$1,Tim!CL18,"")</f>
        <v/>
      </c>
      <c r="CL16" s="185" t="str">
        <f>IF(Tim!CM18=FIT!$E$1,Tim!CM18,"")</f>
        <v/>
      </c>
      <c r="CM16" s="185" t="str">
        <f>IF(Tim!CN18=FIT!$E$1,Tim!CN18,"")</f>
        <v/>
      </c>
      <c r="CN16" s="185" t="str">
        <f>IF(Tim!CO18=FIT!$E$1,Tim!CO18,"")</f>
        <v/>
      </c>
      <c r="CO16" s="185" t="str">
        <f>IF(Tim!CP18=FIT!$E$1,Tim!CP18,"")</f>
        <v/>
      </c>
      <c r="CP16" s="185" t="str">
        <f>IF(Tim!CQ18=FIT!$E$1,Tim!CQ18,"")</f>
        <v/>
      </c>
      <c r="CQ16" s="185" t="str">
        <f>IF(Tim!CR18=FIT!$E$1,Tim!CR18,"")</f>
        <v/>
      </c>
      <c r="CR16" s="185" t="str">
        <f>IF(Tim!CS18=FIT!$E$1,Tim!CS18,"")</f>
        <v/>
      </c>
      <c r="CS16" s="185" t="str">
        <f>IF(Tim!CT18=FIT!$E$1,Tim!CT18,"")</f>
        <v/>
      </c>
      <c r="CT16" s="185" t="str">
        <f>IF(Tim!CU18=FIT!$E$1,Tim!CU18,"")</f>
        <v/>
      </c>
      <c r="CU16" s="185" t="str">
        <f>IF(Tim!CV18=FIT!$E$1,Tim!CV18,"")</f>
        <v/>
      </c>
      <c r="CV16" s="185" t="str">
        <f>IF(Tim!CW18=FIT!$E$1,Tim!CW18,"")</f>
        <v/>
      </c>
      <c r="CW16" s="185" t="str">
        <f>IF(Tim!CX18=FIT!$E$1,Tim!CX18,"")</f>
        <v/>
      </c>
      <c r="CX16" s="185" t="str">
        <f>IF(Tim!CY18=FIT!$E$1,Tim!CY18,"")</f>
        <v/>
      </c>
      <c r="CY16" s="185" t="str">
        <f>IF(Tim!CZ18=FIT!$E$1,Tim!CZ18,"")</f>
        <v/>
      </c>
      <c r="CZ16" s="185" t="str">
        <f>IF(Tim!DA18=FIT!$E$1,Tim!DA18,"")</f>
        <v/>
      </c>
      <c r="DA16" s="185" t="str">
        <f>IF(Tim!DB18=FIT!$E$1,Tim!DB18,"")</f>
        <v/>
      </c>
      <c r="DB16" s="185" t="str">
        <f>IF(Tim!DC18=FIT!$E$1,Tim!DC18,"")</f>
        <v/>
      </c>
      <c r="DC16" s="185" t="str">
        <f>IF(Tim!DD18=FIT!$E$1,Tim!DD18,"")</f>
        <v/>
      </c>
      <c r="DD16" s="185" t="str">
        <f>IF(Tim!DE18=FIT!$E$1,Tim!DE18,"")</f>
        <v/>
      </c>
      <c r="DE16" s="185" t="str">
        <f>IF(Tim!DF18=FIT!$E$1,Tim!DF18,"")</f>
        <v/>
      </c>
      <c r="DF16" s="185" t="str">
        <f>IF(Tim!DG18=FIT!$E$1,Tim!DG18,"")</f>
        <v/>
      </c>
      <c r="DG16" s="185" t="str">
        <f>IF(Tim!DH18=FIT!$E$1,Tim!DH18,"")</f>
        <v/>
      </c>
      <c r="DH16" s="185" t="str">
        <f>IF(Tim!DI18=FIT!$E$1,Tim!DI18,"")</f>
        <v/>
      </c>
      <c r="DI16" s="185" t="str">
        <f>IF(Tim!DM18=FIT!$E$1,Tim!DM18,"")</f>
        <v/>
      </c>
      <c r="DJ16" s="185" t="str">
        <f>IF(Tim!DN18=FIT!$E$1,Tim!DN18,"")</f>
        <v/>
      </c>
      <c r="DK16" s="185" t="str">
        <f>IF(Tim!DO18=FIT!$E$1,Tim!DO18,"")</f>
        <v/>
      </c>
      <c r="DL16" s="185" t="str">
        <f>IF(Tim!DP18=FIT!$E$1,Tim!DP18,"")</f>
        <v/>
      </c>
      <c r="DM16" s="185" t="str">
        <f>IF(Tim!DQ18=FIT!$E$1,Tim!DQ18,"")</f>
        <v/>
      </c>
      <c r="DN16" s="185" t="str">
        <f>IF(Tim!DR18=FIT!$E$1,Tim!DR18,"")</f>
        <v/>
      </c>
      <c r="DO16" s="185" t="str">
        <f>IF(Tim!DS18=FIT!$E$1,Tim!DS18,"")</f>
        <v/>
      </c>
      <c r="DP16" s="185" t="str">
        <f>IF(Tim!DT18=FIT!$E$1,Tim!DT18,"")</f>
        <v/>
      </c>
      <c r="DQ16" s="185" t="str">
        <f>IF(Tim!DU18=FIT!$E$1,Tim!DU18,"")</f>
        <v/>
      </c>
      <c r="DR16" s="185" t="str">
        <f>IF(Tim!DV18=FIT!$E$1,Tim!DV18,"")</f>
        <v/>
      </c>
      <c r="DS16" s="185" t="str">
        <f>IF(Tim!DW18=FIT!$E$1,Tim!DW18,"")</f>
        <v/>
      </c>
      <c r="DT16" s="185" t="str">
        <f>IF(Tim!DX18=FIT!$E$1,Tim!DX18,"")</f>
        <v/>
      </c>
      <c r="DU16" s="185" t="str">
        <f>IF(Tim!DY18=FIT!$E$1,Tim!DY18,"")</f>
        <v/>
      </c>
      <c r="DV16" s="185" t="str">
        <f>IF(Tim!DZ18=FIT!$E$1,Tim!DZ18,"")</f>
        <v/>
      </c>
      <c r="DW16" s="185" t="str">
        <f>IF(Tim!EA18=FIT!$E$1,Tim!EA18,"")</f>
        <v/>
      </c>
      <c r="DX16" s="185" t="str">
        <f>IF(Tim!EB18=FIT!$E$1,Tim!EB18,"")</f>
        <v/>
      </c>
      <c r="DY16" s="185" t="str">
        <f>IF(Tim!EC18=FIT!$E$1,Tim!EC18,"")</f>
        <v/>
      </c>
      <c r="DZ16" s="185" t="str">
        <f>IF(Tim!ED18=FIT!$E$1,Tim!ED18,"")</f>
        <v/>
      </c>
      <c r="EA16" s="185" t="str">
        <f>IF(Tim!EE18=FIT!$E$1,Tim!EE18,"")</f>
        <v/>
      </c>
      <c r="EB16" s="185" t="str">
        <f>IF(Tim!EF18=FIT!$E$1,Tim!EF18,"")</f>
        <v/>
      </c>
      <c r="EC16" s="185" t="str">
        <f>IF(Tim!EG18=FIT!$E$1,Tim!EG18,"")</f>
        <v/>
      </c>
      <c r="ED16" s="185" t="str">
        <f>IF(Tim!EH18=FIT!$E$1,Tim!EH18,"")</f>
        <v/>
      </c>
      <c r="EE16" s="185" t="str">
        <f>IF(Tim!EI18=FIT!$E$1,Tim!EI18,"")</f>
        <v/>
      </c>
      <c r="EF16" s="185" t="str">
        <f>IF(Tim!EJ18=FIT!$E$1,Tim!EJ18,"")</f>
        <v/>
      </c>
      <c r="EG16" s="185" t="str">
        <f>IF(Tim!EK18=FIT!$E$1,Tim!EK18,"")</f>
        <v/>
      </c>
      <c r="EH16" s="185" t="str">
        <f>IF(Tim!EL18=FIT!$E$1,Tim!EL18,"")</f>
        <v/>
      </c>
      <c r="EI16" s="185" t="str">
        <f>IF(Tim!EM18=FIT!$E$1,Tim!EM18,"")</f>
        <v/>
      </c>
      <c r="EJ16" s="185" t="str">
        <f>IF(Tim!EN18=FIT!$E$1,Tim!EN18,"")</f>
        <v/>
      </c>
      <c r="EK16" s="185" t="str">
        <f>IF(Tim!EO18=FIT!$E$1,Tim!EO18,"")</f>
        <v/>
      </c>
      <c r="EL16" s="185" t="str">
        <f>IF(Tim!EP18=FIT!$E$1,Tim!EP18,"")</f>
        <v/>
      </c>
      <c r="EM16" s="185" t="str">
        <f>IF(Tim!EQ18=FIT!$E$1,Tim!EQ18,"")</f>
        <v/>
      </c>
      <c r="EN16" s="185" t="str">
        <f>IF(Tim!ER18=FIT!$E$1,Tim!ER18,"")</f>
        <v/>
      </c>
      <c r="EO16" s="185" t="str">
        <f>IF(Tim!ES18=FIT!$E$1,Tim!ES18,"")</f>
        <v/>
      </c>
      <c r="EP16" s="185" t="str">
        <f>IF(Tim!ET18=FIT!$E$1,Tim!ET18,"")</f>
        <v/>
      </c>
      <c r="EQ16" s="185" t="str">
        <f>IF(Tim!EU18=FIT!$E$1,Tim!EU18,"")</f>
        <v/>
      </c>
      <c r="ER16" s="185" t="str">
        <f>IF(Tim!EV18=FIT!$E$1,Tim!EV18,"")</f>
        <v/>
      </c>
      <c r="ES16" s="185" t="str">
        <f>IF(Tim!EW18=FIT!$E$1,Tim!EW18,"")</f>
        <v/>
      </c>
      <c r="ET16" s="185" t="str">
        <f>IF(Tim!EX18=FIT!$E$1,Tim!EX18,"")</f>
        <v/>
      </c>
      <c r="EU16" s="185" t="str">
        <f>IF(Tim!EY18=FIT!$E$1,Tim!EY18,"")</f>
        <v/>
      </c>
      <c r="EV16" s="185" t="str">
        <f>IF(Tim!EZ18=FIT!$E$1,Tim!EZ18,"")</f>
        <v/>
      </c>
      <c r="EW16" s="185" t="str">
        <f>IF(Tim!FA18=FIT!$E$1,Tim!FA18,"")</f>
        <v/>
      </c>
      <c r="EX16" s="185" t="str">
        <f>IF(Tim!FB18=FIT!$E$1,Tim!FB18,"")</f>
        <v/>
      </c>
      <c r="EY16" s="185" t="str">
        <f>IF(Tim!FC18=FIT!$E$1,Tim!FC18,"")</f>
        <v/>
      </c>
      <c r="EZ16" s="185" t="str">
        <f>IF(Tim!FD18=FIT!$E$1,Tim!FD18,"")</f>
        <v/>
      </c>
      <c r="FA16" s="185" t="str">
        <f>IF(Tim!FE18=FIT!$E$1,Tim!FE18,"")</f>
        <v/>
      </c>
      <c r="FB16" s="185" t="str">
        <f>IF(Tim!FF18=FIT!$E$1,Tim!FF18,"")</f>
        <v/>
      </c>
      <c r="FC16" s="185" t="str">
        <f>IF(Tim!FG18=FIT!$E$1,Tim!FG18,"")</f>
        <v/>
      </c>
      <c r="FD16" s="185" t="str">
        <f>IF(Tim!FH18=FIT!$E$1,Tim!FH18,"")</f>
        <v/>
      </c>
      <c r="FE16" s="185" t="str">
        <f>IF(Tim!FI18=FIT!$E$1,Tim!FI18,"")</f>
        <v/>
      </c>
      <c r="FF16" s="185" t="str">
        <f>IF(Tim!FJ18=FIT!$E$1,Tim!FJ18,"")</f>
        <v/>
      </c>
      <c r="FG16" s="185" t="str">
        <f>IF(Tim!FK18=FIT!$E$1,Tim!FK18,"")</f>
        <v/>
      </c>
      <c r="FH16" s="185" t="str">
        <f>IF(Tim!FL18=FIT!$E$1,Tim!FL18,"")</f>
        <v/>
      </c>
      <c r="FI16" s="185" t="str">
        <f>IF(Tim!FM18=FIT!$E$1,Tim!FM18,"")</f>
        <v/>
      </c>
      <c r="FJ16" s="185" t="str">
        <f>IF(Tim!FN18=FIT!$E$1,Tim!FN18,"")</f>
        <v/>
      </c>
      <c r="FK16" s="185" t="str">
        <f>IF(Tim!FO18=FIT!$E$1,Tim!FO18,"")</f>
        <v/>
      </c>
      <c r="FL16" s="185" t="str">
        <f>IF(Tim!FP18=FIT!$E$1,Tim!FP18,"")</f>
        <v/>
      </c>
      <c r="FM16" s="185" t="str">
        <f>IF(Tim!FQ18=FIT!$E$1,Tim!FQ18,"")</f>
        <v/>
      </c>
      <c r="FN16" s="185" t="str">
        <f>IF(Tim!FR18=FIT!$E$1,Tim!FR18,"")</f>
        <v/>
      </c>
      <c r="FO16" s="185" t="str">
        <f>IF(Tim!FS18=FIT!$E$1,Tim!FS18,"")</f>
        <v/>
      </c>
      <c r="FP16" s="185" t="str">
        <f>IF(Tim!FT18=FIT!$E$1,Tim!FT18,"")</f>
        <v/>
      </c>
      <c r="FQ16" s="185" t="str">
        <f>IF(Tim!FU18=FIT!$E$1,Tim!FU18,"")</f>
        <v/>
      </c>
      <c r="FR16" s="185" t="str">
        <f>IF(Tim!FV18=FIT!$E$1,Tim!FV18,"")</f>
        <v/>
      </c>
      <c r="FS16" s="185" t="str">
        <f>IF(Tim!FW18=FIT!$E$1,Tim!FW18,"")</f>
        <v/>
      </c>
      <c r="FT16" s="185" t="str">
        <f>IF(Tim!FX18=FIT!$E$1,Tim!FX18,"")</f>
        <v/>
      </c>
      <c r="FU16" s="185" t="str">
        <f>IF(Tim!FY18=FIT!$E$1,Tim!FY18,"")</f>
        <v/>
      </c>
      <c r="FV16" s="185" t="str">
        <f>IF(Tim!FZ18=FIT!$E$1,Tim!FZ18,"")</f>
        <v/>
      </c>
      <c r="FW16" s="185" t="str">
        <f>IF(Tim!GA18=FIT!$E$1,Tim!GA18,"")</f>
        <v/>
      </c>
      <c r="FX16" s="185" t="str">
        <f>IF(Tim!GB18=FIT!$E$1,Tim!GB18,"")</f>
        <v/>
      </c>
      <c r="FY16" s="185" t="str">
        <f>IF(Tim!GC18=FIT!$E$1,Tim!GC18,"")</f>
        <v/>
      </c>
      <c r="FZ16" s="185" t="str">
        <f>IF(Tim!GD18=FIT!$E$1,Tim!GD18,"")</f>
        <v/>
      </c>
      <c r="GA16" s="185" t="str">
        <f>IF(Tim!GE18=FIT!$E$1,Tim!GE18,"")</f>
        <v/>
      </c>
      <c r="GB16" s="185" t="str">
        <f>IF(Tim!GF18=FIT!$E$1,Tim!GF18,"")</f>
        <v/>
      </c>
      <c r="GC16" s="185" t="str">
        <f>IF(Tim!GG18=FIT!$E$1,Tim!GG18,"")</f>
        <v/>
      </c>
      <c r="GD16" s="185" t="str">
        <f>IF(Tim!GH18=FIT!$E$1,Tim!GH18,"")</f>
        <v/>
      </c>
      <c r="GE16" s="185" t="str">
        <f>IF(Tim!GI18=FIT!$E$1,Tim!GI18,"")</f>
        <v/>
      </c>
      <c r="GF16" s="185" t="str">
        <f>IF(Tim!GJ18=FIT!$E$1,Tim!GJ18,"")</f>
        <v/>
      </c>
      <c r="GG16" s="185" t="str">
        <f>IF(Tim!GK18=FIT!$E$1,Tim!GK18,"")</f>
        <v/>
      </c>
      <c r="GH16" s="185" t="str">
        <f>IF(Tim!GL18=FIT!$E$1,Tim!GL18,"")</f>
        <v/>
      </c>
      <c r="GI16" s="185" t="str">
        <f>IF(Tim!GM18=FIT!$E$1,Tim!GM18,"")</f>
        <v/>
      </c>
      <c r="GJ16" s="185" t="str">
        <f>IF(Tim!GN18=FIT!$E$1,Tim!GN18,"")</f>
        <v/>
      </c>
      <c r="GK16" s="185" t="str">
        <f>IF(Tim!GO18=FIT!$E$1,Tim!GO18,"")</f>
        <v/>
      </c>
      <c r="GL16" s="185" t="str">
        <f>IF(Tim!GP18=FIT!$E$1,Tim!GP18,"")</f>
        <v/>
      </c>
      <c r="GM16" s="185" t="str">
        <f>IF(Tim!GQ18=FIT!$E$1,Tim!GQ18,"")</f>
        <v/>
      </c>
      <c r="GN16" s="185" t="str">
        <f>IF(Tim!GR18=FIT!$E$1,Tim!GR18,"")</f>
        <v/>
      </c>
      <c r="GO16" s="185" t="str">
        <f>IF(Tim!GS18=FIT!$E$1,Tim!GS18,"")</f>
        <v/>
      </c>
      <c r="GP16" s="185" t="str">
        <f>IF(Tim!GT18=FIT!$E$1,Tim!GT18,"")</f>
        <v/>
      </c>
      <c r="GQ16" s="185" t="str">
        <f>IF(Tim!GU18=FIT!$E$1,Tim!GU18,"")</f>
        <v/>
      </c>
      <c r="GR16" s="185" t="str">
        <f>IF(Tim!GV18=FIT!$E$1,Tim!GV18,"")</f>
        <v/>
      </c>
      <c r="GS16" s="185" t="str">
        <f>IF(Tim!GW18=FIT!$E$1,Tim!GW18,"")</f>
        <v/>
      </c>
      <c r="GT16" s="185" t="str">
        <f>IF(Tim!GX18=FIT!$E$1,Tim!GX18,"")</f>
        <v/>
      </c>
      <c r="GU16" s="185" t="str">
        <f>IF(Tim!GY18=FIT!$E$1,Tim!GY18,"")</f>
        <v/>
      </c>
      <c r="GV16" s="185" t="str">
        <f>IF(Tim!GZ18=FIT!$E$1,Tim!GZ18,"")</f>
        <v/>
      </c>
      <c r="GW16" s="185" t="str">
        <f>IF(Tim!HA18=FIT!$E$1,Tim!HA18,"")</f>
        <v/>
      </c>
      <c r="GX16" s="185" t="str">
        <f>IF(Tim!HB18=FIT!$E$1,Tim!HB18,"")</f>
        <v/>
      </c>
      <c r="GY16" s="185" t="str">
        <f>IF(Tim!HC18=FIT!$E$1,Tim!HC18,"")</f>
        <v/>
      </c>
      <c r="GZ16" s="185" t="str">
        <f>IF(Tim!HD18=FIT!$E$1,Tim!HD18,"")</f>
        <v/>
      </c>
      <c r="HA16" s="185" t="str">
        <f>IF(Tim!HE18=FIT!$E$1,Tim!HE18,"")</f>
        <v/>
      </c>
      <c r="HB16" s="185" t="str">
        <f>IF(Tim!HF18=FIT!$E$1,Tim!HF18,"")</f>
        <v/>
      </c>
      <c r="HC16" s="185" t="str">
        <f>IF(Tim!HG18=FIT!$E$1,Tim!HG18,"")</f>
        <v/>
      </c>
      <c r="HD16" s="185" t="str">
        <f>IF(Tim!HH18=FIT!$E$1,Tim!HH18,"")</f>
        <v/>
      </c>
      <c r="HE16" s="185" t="str">
        <f>IF(Tim!HI18=FIT!$E$1,Tim!HI18,"")</f>
        <v/>
      </c>
      <c r="HF16" s="185" t="str">
        <f>IF(Tim!HJ18=FIT!$E$1,Tim!HJ18,"")</f>
        <v/>
      </c>
      <c r="HG16" s="185" t="str">
        <f>IF(Tim!HK18=FIT!$E$1,Tim!HK18,"")</f>
        <v/>
      </c>
      <c r="HH16" s="185" t="str">
        <f>IF(Tim!HL18=FIT!$E$1,Tim!HL18,"")</f>
        <v/>
      </c>
      <c r="HI16" s="185" t="str">
        <f>IF(Tim!HM18=FIT!$E$1,Tim!HM18,"")</f>
        <v/>
      </c>
      <c r="HJ16" s="185" t="str">
        <f>IF(Tim!HN18=FIT!$E$1,Tim!HN18,"")</f>
        <v/>
      </c>
      <c r="HK16" s="185" t="str">
        <f>IF(Tim!HO18=FIT!$E$1,Tim!HO18,"")</f>
        <v/>
      </c>
      <c r="HL16" s="185" t="str">
        <f>IF(Tim!HP18=FIT!$E$1,Tim!HP18,"")</f>
        <v/>
      </c>
      <c r="HM16" s="185" t="str">
        <f>IF(Tim!HQ18=FIT!$E$1,Tim!HQ18,"")</f>
        <v/>
      </c>
      <c r="HN16" s="185" t="str">
        <f>IF(Tim!HR18=FIT!$E$1,Tim!HR18,"")</f>
        <v/>
      </c>
      <c r="HO16" s="185" t="str">
        <f>IF(Tim!HS18=FIT!$E$1,Tim!HS18,"")</f>
        <v/>
      </c>
      <c r="HP16" s="185" t="str">
        <f>IF(Tim!HT18=FIT!$E$1,Tim!HT18,"")</f>
        <v/>
      </c>
      <c r="HQ16" s="185" t="str">
        <f>IF(Tim!HU18=FIT!$E$1,Tim!HU18,"")</f>
        <v/>
      </c>
      <c r="HR16" s="185" t="str">
        <f>IF(Tim!HV18=FIT!$E$1,Tim!HV18,"")</f>
        <v/>
      </c>
      <c r="HS16" s="185" t="str">
        <f>IF(Tim!HW18=FIT!$E$1,Tim!HW18,"")</f>
        <v/>
      </c>
      <c r="HT16" s="185" t="str">
        <f>IF(Tim!HX18=FIT!$E$1,Tim!HX18,"")</f>
        <v/>
      </c>
      <c r="HU16" s="185" t="str">
        <f>IF(Tim!HY18=FIT!$E$1,Tim!HY18,"")</f>
        <v/>
      </c>
      <c r="HV16" s="185" t="str">
        <f>IF(Tim!HZ18=FIT!$E$1,Tim!HZ18,"")</f>
        <v/>
      </c>
      <c r="HW16" s="185" t="str">
        <f>IF(Tim!IA18=FIT!$E$1,Tim!IA18,"")</f>
        <v/>
      </c>
      <c r="HX16" s="185" t="str">
        <f>IF(Tim!IB18=FIT!$E$1,Tim!IB18,"")</f>
        <v/>
      </c>
      <c r="HY16" s="185" t="str">
        <f>IF(Tim!IC18=FIT!$E$1,Tim!IC18,"")</f>
        <v/>
      </c>
      <c r="HZ16" s="185" t="str">
        <f>IF(Tim!ID18=FIT!$E$1,Tim!ID18,"")</f>
        <v/>
      </c>
      <c r="IA16" s="185" t="str">
        <f>IF(Tim!IE18=FIT!$E$1,Tim!IE18,"")</f>
        <v/>
      </c>
      <c r="IB16" s="185" t="str">
        <f>IF(Tim!IF18=FIT!$E$1,Tim!IF18,"")</f>
        <v/>
      </c>
      <c r="IC16" s="185" t="str">
        <f>IF(Tim!IG18=FIT!$E$1,Tim!IG18,"")</f>
        <v/>
      </c>
      <c r="ID16" s="185" t="str">
        <f>IF(Tim!IH18=FIT!$E$1,Tim!IH18,"")</f>
        <v/>
      </c>
      <c r="IE16" s="185" t="str">
        <f>IF(Tim!II18=FIT!$E$1,Tim!II18,"")</f>
        <v/>
      </c>
      <c r="IF16" s="185" t="str">
        <f>IF(Tim!IJ18=FIT!$E$1,Tim!IJ18,"")</f>
        <v/>
      </c>
      <c r="IG16" s="185" t="str">
        <f>IF(Tim!IK18=FIT!$E$1,Tim!IK18,"")</f>
        <v/>
      </c>
      <c r="IH16" s="185" t="str">
        <f>IF(Tim!IL18=FIT!$E$1,Tim!IL18,"")</f>
        <v/>
      </c>
      <c r="II16" s="185" t="str">
        <f>IF(Tim!IM18=FIT!$E$1,Tim!IM18,"")</f>
        <v/>
      </c>
      <c r="IJ16" s="185" t="str">
        <f>IF(Tim!IN18=FIT!$E$1,Tim!IN18,"")</f>
        <v/>
      </c>
      <c r="IK16" s="185" t="str">
        <f>IF(Tim!IO18=FIT!$E$1,Tim!IO18,"")</f>
        <v/>
      </c>
      <c r="IL16" s="185" t="str">
        <f>IF(Tim!IP18=FIT!$E$1,Tim!IP18,"")</f>
        <v/>
      </c>
      <c r="IM16" s="185" t="str">
        <f>IF(Tim!IQ18=FIT!$E$1,Tim!IQ18,"")</f>
        <v/>
      </c>
      <c r="IN16" s="185" t="str">
        <f>IF(Tim!IR18=FIT!$E$1,Tim!IR18,"")</f>
        <v/>
      </c>
      <c r="IO16" s="185" t="str">
        <f>IF(Tim!IS18=FIT!$E$1,Tim!IS18,"")</f>
        <v/>
      </c>
      <c r="IP16" s="185" t="str">
        <f>IF(Tim!IT18=FIT!$E$1,Tim!IT18,"")</f>
        <v/>
      </c>
      <c r="IQ16" s="185" t="str">
        <f>IF(Tim!IU18=FIT!$E$1,Tim!IU18,"")</f>
        <v/>
      </c>
      <c r="IR16" s="185" t="str">
        <f>IF(Tim!IV18=FIT!$E$1,Tim!IV18,"")</f>
        <v/>
      </c>
      <c r="IS16" s="185" t="str">
        <f>IF(Tim!IW18=FIT!$E$1,Tim!IW18,"")</f>
        <v/>
      </c>
      <c r="IT16" s="185" t="str">
        <f>IF(Tim!IX18=FIT!$E$1,Tim!IX18,"")</f>
        <v/>
      </c>
      <c r="IU16" s="185" t="str">
        <f>IF(Tim!IY18=FIT!$E$1,Tim!IY18,"")</f>
        <v/>
      </c>
      <c r="IV16" s="185" t="str">
        <f>IF(Tim!IZ18=FIT!$E$1,Tim!IZ18,"")</f>
        <v/>
      </c>
      <c r="IW16" s="185" t="str">
        <f>IF(Tim!JA18=FIT!$E$1,Tim!JA18,"")</f>
        <v/>
      </c>
      <c r="IX16" s="185" t="str">
        <f>IF(Tim!JB18=FIT!$E$1,Tim!JB18,"")</f>
        <v/>
      </c>
      <c r="IY16" s="185" t="str">
        <f>IF(Tim!JC18=FIT!$E$1,Tim!JC18,"")</f>
        <v/>
      </c>
      <c r="IZ16" s="185" t="str">
        <f>IF(Tim!JD18=FIT!$E$1,Tim!JD18,"")</f>
        <v/>
      </c>
      <c r="JA16" s="185" t="str">
        <f>IF(Tim!JE18=FIT!$E$1,Tim!JE18,"")</f>
        <v/>
      </c>
      <c r="JB16" s="185" t="str">
        <f>IF(Tim!JF18=FIT!$E$1,Tim!JF18,"")</f>
        <v/>
      </c>
      <c r="JC16" s="185" t="str">
        <f>IF(Tim!JG18=FIT!$E$1,Tim!JG18,"")</f>
        <v/>
      </c>
      <c r="JD16" s="185" t="str">
        <f>IF(Tim!JH18=FIT!$E$1,Tim!JH18,"")</f>
        <v/>
      </c>
      <c r="JE16" s="185" t="str">
        <f>IF(Tim!JI18=FIT!$E$1,Tim!JI18,"")</f>
        <v/>
      </c>
      <c r="JF16" s="185" t="str">
        <f>IF(Tim!JJ18=FIT!$E$1,Tim!JJ18,"")</f>
        <v/>
      </c>
      <c r="JG16" s="185" t="str">
        <f>IF(Tim!JK18=FIT!$E$1,Tim!JK18,"")</f>
        <v/>
      </c>
      <c r="JH16" s="185" t="str">
        <f>IF(Tim!JL18=FIT!$E$1,Tim!JL18,"")</f>
        <v/>
      </c>
      <c r="JI16" s="185" t="str">
        <f>IF(Tim!JM18=FIT!$E$1,Tim!JM18,"")</f>
        <v/>
      </c>
      <c r="JJ16" s="185" t="str">
        <f>IF(Tim!JN18=FIT!$E$1,Tim!JN18,"")</f>
        <v/>
      </c>
      <c r="JK16" s="185" t="str">
        <f>IF(Tim!JO18=FIT!$E$1,Tim!JO18,"")</f>
        <v/>
      </c>
      <c r="JL16" s="185" t="str">
        <f>IF(Tim!JP18=FIT!$E$1,Tim!JP18,"")</f>
        <v/>
      </c>
      <c r="JM16" s="185" t="str">
        <f>IF(Tim!JQ18=FIT!$E$1,Tim!JQ18,"")</f>
        <v/>
      </c>
      <c r="JN16" s="185" t="str">
        <f>IF(Tim!JR18=FIT!$E$1,Tim!JR18,"")</f>
        <v/>
      </c>
      <c r="JO16" s="185" t="str">
        <f>IF(Tim!JS18=FIT!$E$1,Tim!JS18,"")</f>
        <v/>
      </c>
      <c r="JP16" s="185" t="str">
        <f>IF(Tim!JT18=FIT!$E$1,Tim!JT18,"")</f>
        <v/>
      </c>
      <c r="JQ16" s="185" t="str">
        <f>IF(Tim!JU18=FIT!$E$1,Tim!JU18,"")</f>
        <v/>
      </c>
      <c r="JR16" s="185" t="str">
        <f>IF(Tim!JV18=FIT!$E$1,Tim!JV18,"")</f>
        <v/>
      </c>
      <c r="JS16" s="185" t="str">
        <f>IF(Tim!JW18=FIT!$E$1,Tim!JW18,"")</f>
        <v/>
      </c>
      <c r="JT16" s="185" t="str">
        <f>IF(Tim!JX18=FIT!$E$1,Tim!JX18,"")</f>
        <v/>
      </c>
      <c r="JU16" s="185" t="str">
        <f>IF(Tim!JY18=FIT!$E$1,Tim!JY18,"")</f>
        <v/>
      </c>
      <c r="JV16" s="185" t="str">
        <f>IF(Tim!JZ18=FIT!$E$1,Tim!JZ18,"")</f>
        <v/>
      </c>
      <c r="JW16" s="185" t="str">
        <f>IF(Tim!KA18=FIT!$E$1,Tim!KA18,"")</f>
        <v/>
      </c>
      <c r="JX16" s="185" t="str">
        <f>IF(Tim!KB18=FIT!$E$1,Tim!KB18,"")</f>
        <v/>
      </c>
      <c r="JY16" s="185" t="str">
        <f>IF(Tim!KC18=FIT!$E$1,Tim!KC18,"")</f>
        <v/>
      </c>
      <c r="JZ16" s="185" t="str">
        <f>IF(Tim!KD18=FIT!$E$1,Tim!KD18,"")</f>
        <v/>
      </c>
      <c r="KA16" s="185" t="str">
        <f>IF(Tim!KE18=FIT!$E$1,Tim!KE18,"")</f>
        <v/>
      </c>
      <c r="KB16" s="185" t="str">
        <f>IF(Tim!KF18=FIT!$E$1,Tim!KF18,"")</f>
        <v/>
      </c>
      <c r="KC16" s="185" t="str">
        <f>IF(Tim!KG18=FIT!$E$1,Tim!KG18,"")</f>
        <v/>
      </c>
      <c r="KD16" s="185" t="str">
        <f>IF(Tim!KH18=FIT!$E$1,Tim!KH18,"")</f>
        <v/>
      </c>
      <c r="KE16" s="185" t="str">
        <f>IF(Tim!KI18=FIT!$E$1,Tim!KI18,"")</f>
        <v/>
      </c>
      <c r="KF16" s="185" t="str">
        <f>IF(Tim!KJ18=FIT!$E$1,Tim!KJ18,"")</f>
        <v/>
      </c>
      <c r="KG16" s="185" t="str">
        <f>IF(Tim!KK18=FIT!$E$1,Tim!KK18,"")</f>
        <v/>
      </c>
      <c r="KH16" s="185" t="str">
        <f>IF(Tim!KL18=FIT!$E$1,Tim!KL18,"")</f>
        <v/>
      </c>
      <c r="KI16" s="185" t="str">
        <f>IF(Tim!KM18=FIT!$E$1,Tim!KM18,"")</f>
        <v/>
      </c>
      <c r="KJ16" s="185" t="str">
        <f>IF(Tim!KN18=FIT!$E$1,Tim!KN18,"")</f>
        <v/>
      </c>
      <c r="KK16" s="185" t="str">
        <f>IF(Tim!KO18=FIT!$E$1,Tim!KO18,"")</f>
        <v/>
      </c>
      <c r="KL16" s="185" t="str">
        <f>IF(Tim!KP18=FIT!$E$1,Tim!KP18,"")</f>
        <v/>
      </c>
      <c r="KM16" s="185" t="str">
        <f>IF(Tim!KQ18=FIT!$E$1,Tim!KQ18,"")</f>
        <v/>
      </c>
      <c r="KN16" s="185" t="str">
        <f>IF(Tim!KR18=FIT!$E$1,Tim!KR18,"")</f>
        <v/>
      </c>
      <c r="KO16" s="185" t="str">
        <f>IF(Tim!KS18=FIT!$E$1,Tim!KS18,"")</f>
        <v/>
      </c>
      <c r="KP16" s="185" t="str">
        <f>IF(Tim!KT18=FIT!$E$1,Tim!KT18,"")</f>
        <v/>
      </c>
      <c r="KQ16" s="185" t="str">
        <f>IF(Tim!KU18=FIT!$E$1,Tim!KU18,"")</f>
        <v/>
      </c>
      <c r="KR16" s="185" t="str">
        <f>IF(Tim!KV18=FIT!$E$1,Tim!KV18,"")</f>
        <v/>
      </c>
      <c r="KS16" s="185" t="str">
        <f>IF(Tim!KW18=FIT!$E$1,Tim!KW18,"")</f>
        <v/>
      </c>
      <c r="KT16" s="185" t="str">
        <f>IF(Tim!KX18=FIT!$E$1,Tim!KX18,"")</f>
        <v/>
      </c>
      <c r="KU16" s="185" t="str">
        <f>IF(Tim!KY18=FIT!$E$1,Tim!KY18,"")</f>
        <v/>
      </c>
      <c r="KV16" s="185" t="str">
        <f>IF(Tim!KZ18=FIT!$E$1,Tim!KZ18,"")</f>
        <v/>
      </c>
      <c r="KW16" s="185" t="str">
        <f>IF(Tim!LA18=FIT!$E$1,Tim!LA18,"")</f>
        <v/>
      </c>
      <c r="KX16" s="185" t="str">
        <f>IF(Tim!LB18=FIT!$E$1,Tim!LB18,"")</f>
        <v/>
      </c>
      <c r="KY16" s="185" t="str">
        <f>IF(Tim!LC18=FIT!$E$1,Tim!LC18,"")</f>
        <v/>
      </c>
      <c r="KZ16" s="185" t="str">
        <f>IF(Tim!LD18=FIT!$E$1,Tim!LD18,"")</f>
        <v/>
      </c>
      <c r="LA16" s="185" t="str">
        <f>IF(Tim!LE18=FIT!$E$1,Tim!LE18,"")</f>
        <v/>
      </c>
      <c r="LB16" s="52">
        <v>0.40625</v>
      </c>
    </row>
    <row r="17" spans="2:314" ht="10.5" customHeight="1">
      <c r="B17" s="49">
        <v>0.25</v>
      </c>
      <c r="C17" s="49">
        <v>0.25</v>
      </c>
      <c r="D17" s="49">
        <v>0.25</v>
      </c>
      <c r="E17" s="172">
        <v>0.41666666666666702</v>
      </c>
      <c r="F17" s="238" t="str">
        <f>IF(Tim!F19=FIT!$E$1,Tim!F19,"")</f>
        <v/>
      </c>
      <c r="G17" s="185" t="str">
        <f>IF(Tim!G19=FIT!$E$1,Tim!G19,"")</f>
        <v/>
      </c>
      <c r="H17" s="185" t="str">
        <f>IF(Tim!H19=FIT!$E$1,Tim!H19,"")</f>
        <v/>
      </c>
      <c r="I17" s="185" t="str">
        <f>IF(Tim!I19=FIT!$E$1,Tim!I19,"")</f>
        <v/>
      </c>
      <c r="J17" s="185" t="str">
        <f>IF(Tim!J19=FIT!$E$1,Tim!J19,"")</f>
        <v/>
      </c>
      <c r="K17" s="185" t="str">
        <f>IF(Tim!K19=FIT!$E$1,Tim!K19,"")</f>
        <v/>
      </c>
      <c r="L17" s="185" t="str">
        <f>IF(Tim!L19=FIT!$E$1,Tim!L19,"")</f>
        <v/>
      </c>
      <c r="M17" s="185" t="str">
        <f>IF(Tim!M19=FIT!$E$1,Tim!M19,"")</f>
        <v/>
      </c>
      <c r="N17" s="185" t="str">
        <f>IF(Tim!N19=FIT!$E$1,Tim!N19,"")</f>
        <v/>
      </c>
      <c r="O17" s="185" t="str">
        <f>IF(Tim!O19=FIT!$E$1,Tim!O19,"")</f>
        <v/>
      </c>
      <c r="P17" s="185" t="str">
        <f>IF(Tim!P19=FIT!$E$1,Tim!P19,"")</f>
        <v/>
      </c>
      <c r="Q17" s="185" t="str">
        <f>IF(Tim!Q19=FIT!$E$1,Tim!Q19,"")</f>
        <v/>
      </c>
      <c r="R17" s="185" t="str">
        <f>IF(Tim!R19=FIT!$E$1,Tim!R19,"")</f>
        <v/>
      </c>
      <c r="S17" s="185" t="str">
        <f>IF(Tim!S19=FIT!$E$1,Tim!S19,"")</f>
        <v/>
      </c>
      <c r="T17" s="185" t="str">
        <f>IF(Tim!T19=FIT!$E$1,Tim!T19,"")</f>
        <v/>
      </c>
      <c r="U17" s="185" t="str">
        <f>IF(Tim!U19=FIT!$E$1,Tim!U19,"")</f>
        <v/>
      </c>
      <c r="V17" s="185" t="str">
        <f>IF(Tim!W19=FIT!$E$1,Tim!W19,"")</f>
        <v/>
      </c>
      <c r="W17" s="185" t="str">
        <f>IF(Tim!X19=FIT!$E$1,Tim!X19,"")</f>
        <v/>
      </c>
      <c r="X17" s="185" t="str">
        <f>IF(Tim!Y19=FIT!$E$1,Tim!Y19,"")</f>
        <v/>
      </c>
      <c r="Y17" s="185" t="str">
        <f>IF(Tim!Z19=FIT!$E$1,Tim!Z19,"")</f>
        <v/>
      </c>
      <c r="Z17" s="185" t="str">
        <f>IF(Tim!AA19=FIT!$E$1,Tim!AA19,"")</f>
        <v/>
      </c>
      <c r="AA17" s="185" t="str">
        <f>IF(Tim!AB19=FIT!$E$1,Tim!AB19,"")</f>
        <v/>
      </c>
      <c r="AB17" s="185" t="str">
        <f>IF(Tim!AC19=FIT!$E$1,Tim!AC19,"")</f>
        <v/>
      </c>
      <c r="AC17" s="185" t="str">
        <f>IF(Tim!AD19=FIT!$E$1,Tim!AD19,"")</f>
        <v/>
      </c>
      <c r="AD17" s="185" t="str">
        <f>IF(Tim!AE19=FIT!$E$1,Tim!AE19,"")</f>
        <v/>
      </c>
      <c r="AE17" s="185" t="str">
        <f>IF(Tim!AF19=FIT!$E$1,Tim!AF19,"")</f>
        <v/>
      </c>
      <c r="AF17" s="185" t="str">
        <f>IF(Tim!AG19=FIT!$E$1,Tim!AG19,"")</f>
        <v/>
      </c>
      <c r="AG17" s="185" t="str">
        <f>IF(Tim!AH19=FIT!$E$1,Tim!AH19,"")</f>
        <v/>
      </c>
      <c r="AH17" s="185" t="str">
        <f>IF(Tim!AI19=FIT!$E$1,Tim!AI19,"")</f>
        <v/>
      </c>
      <c r="AI17" s="185" t="str">
        <f>IF(Tim!AJ19=FIT!$E$1,Tim!AJ19,"")</f>
        <v/>
      </c>
      <c r="AJ17" s="185" t="str">
        <f>IF(Tim!AK19=FIT!$E$1,Tim!AK19,"")</f>
        <v/>
      </c>
      <c r="AK17" s="185" t="str">
        <f>IF(Tim!AL19=FIT!$E$1,Tim!AL19,"")</f>
        <v/>
      </c>
      <c r="AL17" s="185" t="str">
        <f>IF(Tim!AM19=FIT!$E$1,Tim!AM19,"")</f>
        <v/>
      </c>
      <c r="AM17" s="185" t="str">
        <f>IF(Tim!AN19=FIT!$E$1,Tim!AN19,"")</f>
        <v/>
      </c>
      <c r="AN17" s="185" t="str">
        <f>IF(Tim!AO19=FIT!$E$1,Tim!AO19,"")</f>
        <v/>
      </c>
      <c r="AO17" s="185" t="str">
        <f>IF(Tim!AP19=FIT!$E$1,Tim!AP19,"")</f>
        <v/>
      </c>
      <c r="AP17" s="185" t="str">
        <f>IF(Tim!AQ19=FIT!$E$1,Tim!AQ19,"")</f>
        <v/>
      </c>
      <c r="AQ17" s="185" t="str">
        <f>IF(Tim!AR19=FIT!$E$1,Tim!AR19,"")</f>
        <v/>
      </c>
      <c r="AR17" s="185" t="str">
        <f>IF(Tim!AS19=FIT!$E$1,Tim!AS19,"")</f>
        <v/>
      </c>
      <c r="AS17" s="185" t="str">
        <f>IF(Tim!AT19=FIT!$E$1,Tim!AT19,"")</f>
        <v/>
      </c>
      <c r="AT17" s="185" t="str">
        <f>IF(Tim!AU19=FIT!$E$1,Tim!AU19,"")</f>
        <v/>
      </c>
      <c r="AU17" s="185" t="str">
        <f>IF(Tim!AV19=FIT!$E$1,Tim!AV19,"")</f>
        <v/>
      </c>
      <c r="AV17" s="185" t="str">
        <f>IF(Tim!AW19=FIT!$E$1,Tim!AW19,"")</f>
        <v/>
      </c>
      <c r="AW17" s="186" t="str">
        <f>IF(Tim!AX19=FIT!$E$1,Tim!AX19,"")</f>
        <v/>
      </c>
      <c r="AX17" s="243" t="str">
        <f>IF(Tim!AY19=FIT!$E$1,Tim!AY19,"")</f>
        <v/>
      </c>
      <c r="AY17" s="185" t="str">
        <f>IF(Tim!AZ19=FIT!$E$1,Tim!AZ19,"")</f>
        <v/>
      </c>
      <c r="AZ17" s="185" t="str">
        <f>IF(Tim!BA19=FIT!$E$1,Tim!BA19,"")</f>
        <v/>
      </c>
      <c r="BA17" s="185" t="str">
        <f>IF(Tim!BB19=FIT!$E$1,Tim!BB19,"")</f>
        <v/>
      </c>
      <c r="BB17" s="185" t="str">
        <f>IF(Tim!BC19=FIT!$E$1,Tim!BC19,"")</f>
        <v/>
      </c>
      <c r="BC17" s="185" t="str">
        <f>IF(Tim!BD19=FIT!$E$1,Tim!BD19,"")</f>
        <v/>
      </c>
      <c r="BD17" s="185" t="str">
        <f>IF(Tim!BE19=FIT!$E$1,Tim!BE19,"")</f>
        <v/>
      </c>
      <c r="BE17" s="185" t="str">
        <f>IF(Tim!BF19=FIT!$E$1,Tim!BF19,"")</f>
        <v/>
      </c>
      <c r="BF17" s="185" t="str">
        <f>IF(Tim!BG19=FIT!$E$1,Tim!BG19,"")</f>
        <v/>
      </c>
      <c r="BG17" s="185" t="str">
        <f>IF(Tim!BH19=FIT!$E$1,Tim!BH19,"")</f>
        <v/>
      </c>
      <c r="BH17" s="185" t="str">
        <f>IF(Tim!BI19=FIT!$E$1,Tim!BI19,"")</f>
        <v/>
      </c>
      <c r="BI17" s="185" t="str">
        <f>IF(Tim!BJ19=FIT!$E$1,Tim!BJ19,"")</f>
        <v/>
      </c>
      <c r="BJ17" s="185" t="str">
        <f>IF(Tim!BK19=FIT!$E$1,Tim!BK19,"")</f>
        <v/>
      </c>
      <c r="BK17" s="185" t="str">
        <f>IF(Tim!BL19=FIT!$E$1,Tim!BL19,"")</f>
        <v/>
      </c>
      <c r="BL17" s="185" t="str">
        <f>IF(Tim!BM19=FIT!$E$1,Tim!BM19,"")</f>
        <v/>
      </c>
      <c r="BM17" s="185" t="str">
        <f>IF(Tim!BN19=FIT!$E$1,Tim!BN19,"")</f>
        <v/>
      </c>
      <c r="BN17" s="185" t="str">
        <f>IF(Tim!BO19=FIT!$E$1,Tim!BO19,"")</f>
        <v/>
      </c>
      <c r="BO17" s="185" t="str">
        <f>IF(Tim!BP19=FIT!$E$1,Tim!BP19,"")</f>
        <v/>
      </c>
      <c r="BP17" s="185" t="str">
        <f>IF(Tim!BQ19=FIT!$E$1,Tim!BQ19,"")</f>
        <v/>
      </c>
      <c r="BQ17" s="185" t="str">
        <f>IF(Tim!BR19=FIT!$E$1,Tim!BR19,"")</f>
        <v/>
      </c>
      <c r="BR17" s="185" t="str">
        <f>IF(Tim!BS19=FIT!$E$1,Tim!BS19,"")</f>
        <v/>
      </c>
      <c r="BS17" s="185" t="str">
        <f>IF(Tim!BT19=FIT!$E$1,Tim!BT19,"")</f>
        <v/>
      </c>
      <c r="BT17" s="185" t="str">
        <f>IF(Tim!BU19=FIT!$E$1,Tim!BU19,"")</f>
        <v/>
      </c>
      <c r="BU17" s="185" t="str">
        <f>IF(Tim!BV19=FIT!$E$1,Tim!BV19,"")</f>
        <v/>
      </c>
      <c r="BV17" s="185" t="str">
        <f>IF(Tim!BW19=FIT!$E$1,Tim!BW19,"")</f>
        <v/>
      </c>
      <c r="BW17" s="185" t="str">
        <f>IF(Tim!BX19=FIT!$E$1,Tim!BX19,"")</f>
        <v/>
      </c>
      <c r="BX17" s="185" t="str">
        <f>IF(Tim!BY19=FIT!$E$1,Tim!BY19,"")</f>
        <v/>
      </c>
      <c r="BY17" s="185" t="str">
        <f>IF(Tim!BZ19=FIT!$E$1,Tim!BZ19,"")</f>
        <v/>
      </c>
      <c r="BZ17" s="185" t="str">
        <f>IF(Tim!CA19=FIT!$E$1,Tim!CA19,"")</f>
        <v/>
      </c>
      <c r="CA17" s="185" t="str">
        <f>IF(Tim!CB19=FIT!$E$1,Tim!CB19,"")</f>
        <v/>
      </c>
      <c r="CB17" s="185" t="str">
        <f>IF(Tim!CC19=FIT!$E$1,Tim!CC19,"")</f>
        <v/>
      </c>
      <c r="CC17" s="185" t="str">
        <f>IF(Tim!CD19=FIT!$E$1,Tim!CD19,"")</f>
        <v/>
      </c>
      <c r="CD17" s="185" t="str">
        <f>IF(Tim!CE19=FIT!$E$1,Tim!CE19,"")</f>
        <v/>
      </c>
      <c r="CE17" s="185" t="str">
        <f>IF(Tim!CF19=FIT!$E$1,Tim!CF19,"")</f>
        <v/>
      </c>
      <c r="CF17" s="185" t="str">
        <f>IF(Tim!CG19=FIT!$E$1,Tim!CG19,"")</f>
        <v/>
      </c>
      <c r="CG17" s="185" t="str">
        <f>IF(Tim!CH19=FIT!$E$1,Tim!CH19,"")</f>
        <v/>
      </c>
      <c r="CH17" s="185" t="str">
        <f>IF(Tim!CI19=FIT!$E$1,Tim!CI19,"")</f>
        <v/>
      </c>
      <c r="CI17" s="185" t="str">
        <f>IF(Tim!CJ19=FIT!$E$1,Tim!CJ19,"")</f>
        <v/>
      </c>
      <c r="CJ17" s="185" t="str">
        <f>IF(Tim!CK19=FIT!$E$1,Tim!CK19,"")</f>
        <v/>
      </c>
      <c r="CK17" s="185" t="str">
        <f>IF(Tim!CL19=FIT!$E$1,Tim!CL19,"")</f>
        <v/>
      </c>
      <c r="CL17" s="185" t="str">
        <f>IF(Tim!CM19=FIT!$E$1,Tim!CM19,"")</f>
        <v/>
      </c>
      <c r="CM17" s="185" t="str">
        <f>IF(Tim!CN19=FIT!$E$1,Tim!CN19,"")</f>
        <v/>
      </c>
      <c r="CN17" s="185" t="str">
        <f>IF(Tim!CO19=FIT!$E$1,Tim!CO19,"")</f>
        <v/>
      </c>
      <c r="CO17" s="185" t="str">
        <f>IF(Tim!CP19=FIT!$E$1,Tim!CP19,"")</f>
        <v/>
      </c>
      <c r="CP17" s="185" t="str">
        <f>IF(Tim!CQ19=FIT!$E$1,Tim!CQ19,"")</f>
        <v/>
      </c>
      <c r="CQ17" s="185" t="str">
        <f>IF(Tim!CR19=FIT!$E$1,Tim!CR19,"")</f>
        <v/>
      </c>
      <c r="CR17" s="185" t="str">
        <f>IF(Tim!CS19=FIT!$E$1,Tim!CS19,"")</f>
        <v/>
      </c>
      <c r="CS17" s="185" t="str">
        <f>IF(Tim!CT19=FIT!$E$1,Tim!CT19,"")</f>
        <v/>
      </c>
      <c r="CT17" s="185" t="str">
        <f>IF(Tim!CU19=FIT!$E$1,Tim!CU19,"")</f>
        <v/>
      </c>
      <c r="CU17" s="185" t="str">
        <f>IF(Tim!CV19=FIT!$E$1,Tim!CV19,"")</f>
        <v/>
      </c>
      <c r="CV17" s="185" t="str">
        <f>IF(Tim!CW19=FIT!$E$1,Tim!CW19,"")</f>
        <v/>
      </c>
      <c r="CW17" s="185" t="str">
        <f>IF(Tim!CX19=FIT!$E$1,Tim!CX19,"")</f>
        <v/>
      </c>
      <c r="CX17" s="185" t="str">
        <f>IF(Tim!CY19=FIT!$E$1,Tim!CY19,"")</f>
        <v/>
      </c>
      <c r="CY17" s="185" t="str">
        <f>IF(Tim!CZ19=FIT!$E$1,Tim!CZ19,"")</f>
        <v/>
      </c>
      <c r="CZ17" s="185" t="str">
        <f>IF(Tim!DA19=FIT!$E$1,Tim!DA19,"")</f>
        <v/>
      </c>
      <c r="DA17" s="185" t="str">
        <f>IF(Tim!DB19=FIT!$E$1,Tim!DB19,"")</f>
        <v/>
      </c>
      <c r="DB17" s="185" t="str">
        <f>IF(Tim!DC19=FIT!$E$1,Tim!DC19,"")</f>
        <v/>
      </c>
      <c r="DC17" s="185" t="str">
        <f>IF(Tim!DD19=FIT!$E$1,Tim!DD19,"")</f>
        <v/>
      </c>
      <c r="DD17" s="185" t="str">
        <f>IF(Tim!DE19=FIT!$E$1,Tim!DE19,"")</f>
        <v/>
      </c>
      <c r="DE17" s="185" t="str">
        <f>IF(Tim!DF19=FIT!$E$1,Tim!DF19,"")</f>
        <v/>
      </c>
      <c r="DF17" s="185" t="str">
        <f>IF(Tim!DG19=FIT!$E$1,Tim!DG19,"")</f>
        <v/>
      </c>
      <c r="DG17" s="185" t="str">
        <f>IF(Tim!DH19=FIT!$E$1,Tim!DH19,"")</f>
        <v/>
      </c>
      <c r="DH17" s="185" t="str">
        <f>IF(Tim!DI19=FIT!$E$1,Tim!DI19,"")</f>
        <v/>
      </c>
      <c r="DI17" s="185" t="str">
        <f>IF(Tim!DM19=FIT!$E$1,Tim!DM19,"")</f>
        <v/>
      </c>
      <c r="DJ17" s="185" t="str">
        <f>IF(Tim!DN19=FIT!$E$1,Tim!DN19,"")</f>
        <v/>
      </c>
      <c r="DK17" s="185" t="str">
        <f>IF(Tim!DO19=FIT!$E$1,Tim!DO19,"")</f>
        <v/>
      </c>
      <c r="DL17" s="185" t="str">
        <f>IF(Tim!DP19=FIT!$E$1,Tim!DP19,"")</f>
        <v/>
      </c>
      <c r="DM17" s="185" t="str">
        <f>IF(Tim!DQ19=FIT!$E$1,Tim!DQ19,"")</f>
        <v/>
      </c>
      <c r="DN17" s="185" t="str">
        <f>IF(Tim!DR19=FIT!$E$1,Tim!DR19,"")</f>
        <v/>
      </c>
      <c r="DO17" s="185" t="str">
        <f>IF(Tim!DS19=FIT!$E$1,Tim!DS19,"")</f>
        <v/>
      </c>
      <c r="DP17" s="185" t="str">
        <f>IF(Tim!DT19=FIT!$E$1,Tim!DT19,"")</f>
        <v/>
      </c>
      <c r="DQ17" s="185" t="str">
        <f>IF(Tim!DU19=FIT!$E$1,Tim!DU19,"")</f>
        <v/>
      </c>
      <c r="DR17" s="185" t="str">
        <f>IF(Tim!DV19=FIT!$E$1,Tim!DV19,"")</f>
        <v/>
      </c>
      <c r="DS17" s="185" t="str">
        <f>IF(Tim!DW19=FIT!$E$1,Tim!DW19,"")</f>
        <v/>
      </c>
      <c r="DT17" s="185" t="str">
        <f>IF(Tim!DX19=FIT!$E$1,Tim!DX19,"")</f>
        <v/>
      </c>
      <c r="DU17" s="185" t="str">
        <f>IF(Tim!DY19=FIT!$E$1,Tim!DY19,"")</f>
        <v/>
      </c>
      <c r="DV17" s="185" t="str">
        <f>IF(Tim!DZ19=FIT!$E$1,Tim!DZ19,"")</f>
        <v/>
      </c>
      <c r="DW17" s="185" t="str">
        <f>IF(Tim!EA19=FIT!$E$1,Tim!EA19,"")</f>
        <v/>
      </c>
      <c r="DX17" s="185" t="str">
        <f>IF(Tim!EB19=FIT!$E$1,Tim!EB19,"")</f>
        <v/>
      </c>
      <c r="DY17" s="185" t="str">
        <f>IF(Tim!EC19=FIT!$E$1,Tim!EC19,"")</f>
        <v/>
      </c>
      <c r="DZ17" s="185" t="str">
        <f>IF(Tim!ED19=FIT!$E$1,Tim!ED19,"")</f>
        <v/>
      </c>
      <c r="EA17" s="185" t="str">
        <f>IF(Tim!EE19=FIT!$E$1,Tim!EE19,"")</f>
        <v/>
      </c>
      <c r="EB17" s="185" t="str">
        <f>IF(Tim!EF19=FIT!$E$1,Tim!EF19,"")</f>
        <v/>
      </c>
      <c r="EC17" s="185" t="str">
        <f>IF(Tim!EG19=FIT!$E$1,Tim!EG19,"")</f>
        <v/>
      </c>
      <c r="ED17" s="185" t="str">
        <f>IF(Tim!EH19=FIT!$E$1,Tim!EH19,"")</f>
        <v/>
      </c>
      <c r="EE17" s="185" t="str">
        <f>IF(Tim!EI19=FIT!$E$1,Tim!EI19,"")</f>
        <v/>
      </c>
      <c r="EF17" s="185" t="str">
        <f>IF(Tim!EJ19=FIT!$E$1,Tim!EJ19,"")</f>
        <v/>
      </c>
      <c r="EG17" s="185" t="str">
        <f>IF(Tim!EK19=FIT!$E$1,Tim!EK19,"")</f>
        <v/>
      </c>
      <c r="EH17" s="185" t="str">
        <f>IF(Tim!EL19=FIT!$E$1,Tim!EL19,"")</f>
        <v/>
      </c>
      <c r="EI17" s="185" t="str">
        <f>IF(Tim!EM19=FIT!$E$1,Tim!EM19,"")</f>
        <v/>
      </c>
      <c r="EJ17" s="185" t="str">
        <f>IF(Tim!EN19=FIT!$E$1,Tim!EN19,"")</f>
        <v/>
      </c>
      <c r="EK17" s="185" t="str">
        <f>IF(Tim!EO19=FIT!$E$1,Tim!EO19,"")</f>
        <v/>
      </c>
      <c r="EL17" s="185" t="str">
        <f>IF(Tim!EP19=FIT!$E$1,Tim!EP19,"")</f>
        <v/>
      </c>
      <c r="EM17" s="185" t="str">
        <f>IF(Tim!EQ19=FIT!$E$1,Tim!EQ19,"")</f>
        <v/>
      </c>
      <c r="EN17" s="185" t="str">
        <f>IF(Tim!ER19=FIT!$E$1,Tim!ER19,"")</f>
        <v/>
      </c>
      <c r="EO17" s="185" t="str">
        <f>IF(Tim!ES19=FIT!$E$1,Tim!ES19,"")</f>
        <v/>
      </c>
      <c r="EP17" s="185" t="str">
        <f>IF(Tim!ET19=FIT!$E$1,Tim!ET19,"")</f>
        <v/>
      </c>
      <c r="EQ17" s="185" t="str">
        <f>IF(Tim!EU19=FIT!$E$1,Tim!EU19,"")</f>
        <v/>
      </c>
      <c r="ER17" s="185" t="str">
        <f>IF(Tim!EV19=FIT!$E$1,Tim!EV19,"")</f>
        <v/>
      </c>
      <c r="ES17" s="185" t="str">
        <f>IF(Tim!EW19=FIT!$E$1,Tim!EW19,"")</f>
        <v/>
      </c>
      <c r="ET17" s="185" t="str">
        <f>IF(Tim!EX19=FIT!$E$1,Tim!EX19,"")</f>
        <v/>
      </c>
      <c r="EU17" s="185" t="str">
        <f>IF(Tim!EY19=FIT!$E$1,Tim!EY19,"")</f>
        <v/>
      </c>
      <c r="EV17" s="185" t="str">
        <f>IF(Tim!EZ19=FIT!$E$1,Tim!EZ19,"")</f>
        <v/>
      </c>
      <c r="EW17" s="185" t="str">
        <f>IF(Tim!FA19=FIT!$E$1,Tim!FA19,"")</f>
        <v/>
      </c>
      <c r="EX17" s="185" t="str">
        <f>IF(Tim!FB19=FIT!$E$1,Tim!FB19,"")</f>
        <v/>
      </c>
      <c r="EY17" s="185" t="str">
        <f>IF(Tim!FC19=FIT!$E$1,Tim!FC19,"")</f>
        <v/>
      </c>
      <c r="EZ17" s="185" t="str">
        <f>IF(Tim!FD19=FIT!$E$1,Tim!FD19,"")</f>
        <v/>
      </c>
      <c r="FA17" s="185" t="str">
        <f>IF(Tim!FE19=FIT!$E$1,Tim!FE19,"")</f>
        <v/>
      </c>
      <c r="FB17" s="185" t="str">
        <f>IF(Tim!FF19=FIT!$E$1,Tim!FF19,"")</f>
        <v/>
      </c>
      <c r="FC17" s="185" t="str">
        <f>IF(Tim!FG19=FIT!$E$1,Tim!FG19,"")</f>
        <v/>
      </c>
      <c r="FD17" s="185" t="str">
        <f>IF(Tim!FH19=FIT!$E$1,Tim!FH19,"")</f>
        <v/>
      </c>
      <c r="FE17" s="185" t="str">
        <f>IF(Tim!FI19=FIT!$E$1,Tim!FI19,"")</f>
        <v/>
      </c>
      <c r="FF17" s="185" t="str">
        <f>IF(Tim!FJ19=FIT!$E$1,Tim!FJ19,"")</f>
        <v/>
      </c>
      <c r="FG17" s="185" t="str">
        <f>IF(Tim!FK19=FIT!$E$1,Tim!FK19,"")</f>
        <v/>
      </c>
      <c r="FH17" s="185" t="str">
        <f>IF(Tim!FL19=FIT!$E$1,Tim!FL19,"")</f>
        <v/>
      </c>
      <c r="FI17" s="185" t="str">
        <f>IF(Tim!FM19=FIT!$E$1,Tim!FM19,"")</f>
        <v/>
      </c>
      <c r="FJ17" s="185" t="str">
        <f>IF(Tim!FN19=FIT!$E$1,Tim!FN19,"")</f>
        <v/>
      </c>
      <c r="FK17" s="185" t="str">
        <f>IF(Tim!FO19=FIT!$E$1,Tim!FO19,"")</f>
        <v/>
      </c>
      <c r="FL17" s="185" t="str">
        <f>IF(Tim!FP19=FIT!$E$1,Tim!FP19,"")</f>
        <v/>
      </c>
      <c r="FM17" s="185" t="str">
        <f>IF(Tim!FQ19=FIT!$E$1,Tim!FQ19,"")</f>
        <v/>
      </c>
      <c r="FN17" s="185" t="str">
        <f>IF(Tim!FR19=FIT!$E$1,Tim!FR19,"")</f>
        <v/>
      </c>
      <c r="FO17" s="185" t="str">
        <f>IF(Tim!FS19=FIT!$E$1,Tim!FS19,"")</f>
        <v/>
      </c>
      <c r="FP17" s="185" t="str">
        <f>IF(Tim!FT19=FIT!$E$1,Tim!FT19,"")</f>
        <v/>
      </c>
      <c r="FQ17" s="185" t="str">
        <f>IF(Tim!FU19=FIT!$E$1,Tim!FU19,"")</f>
        <v/>
      </c>
      <c r="FR17" s="185" t="str">
        <f>IF(Tim!FV19=FIT!$E$1,Tim!FV19,"")</f>
        <v/>
      </c>
      <c r="FS17" s="185" t="str">
        <f>IF(Tim!FW19=FIT!$E$1,Tim!FW19,"")</f>
        <v/>
      </c>
      <c r="FT17" s="185" t="str">
        <f>IF(Tim!FX19=FIT!$E$1,Tim!FX19,"")</f>
        <v/>
      </c>
      <c r="FU17" s="185" t="str">
        <f>IF(Tim!FY19=FIT!$E$1,Tim!FY19,"")</f>
        <v/>
      </c>
      <c r="FV17" s="185" t="str">
        <f>IF(Tim!FZ19=FIT!$E$1,Tim!FZ19,"")</f>
        <v/>
      </c>
      <c r="FW17" s="185" t="str">
        <f>IF(Tim!GA19=FIT!$E$1,Tim!GA19,"")</f>
        <v/>
      </c>
      <c r="FX17" s="185" t="str">
        <f>IF(Tim!GB19=FIT!$E$1,Tim!GB19,"")</f>
        <v/>
      </c>
      <c r="FY17" s="185" t="str">
        <f>IF(Tim!GC19=FIT!$E$1,Tim!GC19,"")</f>
        <v/>
      </c>
      <c r="FZ17" s="185" t="str">
        <f>IF(Tim!GD19=FIT!$E$1,Tim!GD19,"")</f>
        <v/>
      </c>
      <c r="GA17" s="185" t="str">
        <f>IF(Tim!GE19=FIT!$E$1,Tim!GE19,"")</f>
        <v/>
      </c>
      <c r="GB17" s="185" t="str">
        <f>IF(Tim!GF19=FIT!$E$1,Tim!GF19,"")</f>
        <v/>
      </c>
      <c r="GC17" s="185" t="str">
        <f>IF(Tim!GG19=FIT!$E$1,Tim!GG19,"")</f>
        <v/>
      </c>
      <c r="GD17" s="185" t="str">
        <f>IF(Tim!GH19=FIT!$E$1,Tim!GH19,"")</f>
        <v/>
      </c>
      <c r="GE17" s="185" t="str">
        <f>IF(Tim!GI19=FIT!$E$1,Tim!GI19,"")</f>
        <v/>
      </c>
      <c r="GF17" s="185" t="str">
        <f>IF(Tim!GJ19=FIT!$E$1,Tim!GJ19,"")</f>
        <v/>
      </c>
      <c r="GG17" s="185" t="str">
        <f>IF(Tim!GK19=FIT!$E$1,Tim!GK19,"")</f>
        <v/>
      </c>
      <c r="GH17" s="185" t="str">
        <f>IF(Tim!GL19=FIT!$E$1,Tim!GL19,"")</f>
        <v/>
      </c>
      <c r="GI17" s="185" t="str">
        <f>IF(Tim!GM19=FIT!$E$1,Tim!GM19,"")</f>
        <v/>
      </c>
      <c r="GJ17" s="185" t="str">
        <f>IF(Tim!GN19=FIT!$E$1,Tim!GN19,"")</f>
        <v/>
      </c>
      <c r="GK17" s="185" t="str">
        <f>IF(Tim!GO19=FIT!$E$1,Tim!GO19,"")</f>
        <v/>
      </c>
      <c r="GL17" s="185" t="str">
        <f>IF(Tim!GP19=FIT!$E$1,Tim!GP19,"")</f>
        <v/>
      </c>
      <c r="GM17" s="185" t="str">
        <f>IF(Tim!GQ19=FIT!$E$1,Tim!GQ19,"")</f>
        <v/>
      </c>
      <c r="GN17" s="185" t="str">
        <f>IF(Tim!GR19=FIT!$E$1,Tim!GR19,"")</f>
        <v/>
      </c>
      <c r="GO17" s="185" t="str">
        <f>IF(Tim!GS19=FIT!$E$1,Tim!GS19,"")</f>
        <v/>
      </c>
      <c r="GP17" s="185" t="str">
        <f>IF(Tim!GT19=FIT!$E$1,Tim!GT19,"")</f>
        <v/>
      </c>
      <c r="GQ17" s="185" t="str">
        <f>IF(Tim!GU19=FIT!$E$1,Tim!GU19,"")</f>
        <v/>
      </c>
      <c r="GR17" s="185" t="str">
        <f>IF(Tim!GV19=FIT!$E$1,Tim!GV19,"")</f>
        <v/>
      </c>
      <c r="GS17" s="185" t="str">
        <f>IF(Tim!GW19=FIT!$E$1,Tim!GW19,"")</f>
        <v/>
      </c>
      <c r="GT17" s="185" t="str">
        <f>IF(Tim!GX19=FIT!$E$1,Tim!GX19,"")</f>
        <v/>
      </c>
      <c r="GU17" s="185" t="str">
        <f>IF(Tim!GY19=FIT!$E$1,Tim!GY19,"")</f>
        <v/>
      </c>
      <c r="GV17" s="185" t="str">
        <f>IF(Tim!GZ19=FIT!$E$1,Tim!GZ19,"")</f>
        <v/>
      </c>
      <c r="GW17" s="185" t="str">
        <f>IF(Tim!HA19=FIT!$E$1,Tim!HA19,"")</f>
        <v/>
      </c>
      <c r="GX17" s="185" t="str">
        <f>IF(Tim!HB19=FIT!$E$1,Tim!HB19,"")</f>
        <v/>
      </c>
      <c r="GY17" s="185" t="str">
        <f>IF(Tim!HC19=FIT!$E$1,Tim!HC19,"")</f>
        <v/>
      </c>
      <c r="GZ17" s="185" t="str">
        <f>IF(Tim!HD19=FIT!$E$1,Tim!HD19,"")</f>
        <v/>
      </c>
      <c r="HA17" s="185" t="str">
        <f>IF(Tim!HE19=FIT!$E$1,Tim!HE19,"")</f>
        <v/>
      </c>
      <c r="HB17" s="185" t="str">
        <f>IF(Tim!HF19=FIT!$E$1,Tim!HF19,"")</f>
        <v/>
      </c>
      <c r="HC17" s="185" t="str">
        <f>IF(Tim!HG19=FIT!$E$1,Tim!HG19,"")</f>
        <v/>
      </c>
      <c r="HD17" s="185" t="str">
        <f>IF(Tim!HH19=FIT!$E$1,Tim!HH19,"")</f>
        <v/>
      </c>
      <c r="HE17" s="185" t="str">
        <f>IF(Tim!HI19=FIT!$E$1,Tim!HI19,"")</f>
        <v/>
      </c>
      <c r="HF17" s="185" t="str">
        <f>IF(Tim!HJ19=FIT!$E$1,Tim!HJ19,"")</f>
        <v/>
      </c>
      <c r="HG17" s="185" t="str">
        <f>IF(Tim!HK19=FIT!$E$1,Tim!HK19,"")</f>
        <v/>
      </c>
      <c r="HH17" s="185" t="str">
        <f>IF(Tim!HL19=FIT!$E$1,Tim!HL19,"")</f>
        <v/>
      </c>
      <c r="HI17" s="185" t="str">
        <f>IF(Tim!HM19=FIT!$E$1,Tim!HM19,"")</f>
        <v/>
      </c>
      <c r="HJ17" s="185" t="str">
        <f>IF(Tim!HN19=FIT!$E$1,Tim!HN19,"")</f>
        <v/>
      </c>
      <c r="HK17" s="185" t="str">
        <f>IF(Tim!HO19=FIT!$E$1,Tim!HO19,"")</f>
        <v/>
      </c>
      <c r="HL17" s="185" t="str">
        <f>IF(Tim!HP19=FIT!$E$1,Tim!HP19,"")</f>
        <v/>
      </c>
      <c r="HM17" s="185" t="str">
        <f>IF(Tim!HQ19=FIT!$E$1,Tim!HQ19,"")</f>
        <v/>
      </c>
      <c r="HN17" s="185" t="str">
        <f>IF(Tim!HR19=FIT!$E$1,Tim!HR19,"")</f>
        <v/>
      </c>
      <c r="HO17" s="185" t="str">
        <f>IF(Tim!HS19=FIT!$E$1,Tim!HS19,"")</f>
        <v/>
      </c>
      <c r="HP17" s="185" t="str">
        <f>IF(Tim!HT19=FIT!$E$1,Tim!HT19,"")</f>
        <v/>
      </c>
      <c r="HQ17" s="185" t="str">
        <f>IF(Tim!HU19=FIT!$E$1,Tim!HU19,"")</f>
        <v/>
      </c>
      <c r="HR17" s="185" t="str">
        <f>IF(Tim!HV19=FIT!$E$1,Tim!HV19,"")</f>
        <v/>
      </c>
      <c r="HS17" s="185" t="str">
        <f>IF(Tim!HW19=FIT!$E$1,Tim!HW19,"")</f>
        <v/>
      </c>
      <c r="HT17" s="185" t="str">
        <f>IF(Tim!HX19=FIT!$E$1,Tim!HX19,"")</f>
        <v/>
      </c>
      <c r="HU17" s="185" t="str">
        <f>IF(Tim!HY19=FIT!$E$1,Tim!HY19,"")</f>
        <v/>
      </c>
      <c r="HV17" s="185" t="str">
        <f>IF(Tim!HZ19=FIT!$E$1,Tim!HZ19,"")</f>
        <v/>
      </c>
      <c r="HW17" s="185" t="str">
        <f>IF(Tim!IA19=FIT!$E$1,Tim!IA19,"")</f>
        <v/>
      </c>
      <c r="HX17" s="185" t="str">
        <f>IF(Tim!IB19=FIT!$E$1,Tim!IB19,"")</f>
        <v/>
      </c>
      <c r="HY17" s="185" t="str">
        <f>IF(Tim!IC19=FIT!$E$1,Tim!IC19,"")</f>
        <v/>
      </c>
      <c r="HZ17" s="185" t="str">
        <f>IF(Tim!ID19=FIT!$E$1,Tim!ID19,"")</f>
        <v/>
      </c>
      <c r="IA17" s="185" t="str">
        <f>IF(Tim!IE19=FIT!$E$1,Tim!IE19,"")</f>
        <v/>
      </c>
      <c r="IB17" s="185" t="str">
        <f>IF(Tim!IF19=FIT!$E$1,Tim!IF19,"")</f>
        <v/>
      </c>
      <c r="IC17" s="185" t="str">
        <f>IF(Tim!IG19=FIT!$E$1,Tim!IG19,"")</f>
        <v/>
      </c>
      <c r="ID17" s="185" t="str">
        <f>IF(Tim!IH19=FIT!$E$1,Tim!IH19,"")</f>
        <v/>
      </c>
      <c r="IE17" s="185" t="str">
        <f>IF(Tim!II19=FIT!$E$1,Tim!II19,"")</f>
        <v/>
      </c>
      <c r="IF17" s="185" t="str">
        <f>IF(Tim!IJ19=FIT!$E$1,Tim!IJ19,"")</f>
        <v/>
      </c>
      <c r="IG17" s="185" t="str">
        <f>IF(Tim!IK19=FIT!$E$1,Tim!IK19,"")</f>
        <v/>
      </c>
      <c r="IH17" s="185" t="str">
        <f>IF(Tim!IL19=FIT!$E$1,Tim!IL19,"")</f>
        <v/>
      </c>
      <c r="II17" s="185" t="str">
        <f>IF(Tim!IM19=FIT!$E$1,Tim!IM19,"")</f>
        <v/>
      </c>
      <c r="IJ17" s="185" t="str">
        <f>IF(Tim!IN19=FIT!$E$1,Tim!IN19,"")</f>
        <v/>
      </c>
      <c r="IK17" s="185" t="str">
        <f>IF(Tim!IO19=FIT!$E$1,Tim!IO19,"")</f>
        <v/>
      </c>
      <c r="IL17" s="185" t="str">
        <f>IF(Tim!IP19=FIT!$E$1,Tim!IP19,"")</f>
        <v/>
      </c>
      <c r="IM17" s="185" t="str">
        <f>IF(Tim!IQ19=FIT!$E$1,Tim!IQ19,"")</f>
        <v/>
      </c>
      <c r="IN17" s="185" t="str">
        <f>IF(Tim!IR19=FIT!$E$1,Tim!IR19,"")</f>
        <v/>
      </c>
      <c r="IO17" s="185" t="str">
        <f>IF(Tim!IS19=FIT!$E$1,Tim!IS19,"")</f>
        <v/>
      </c>
      <c r="IP17" s="185" t="str">
        <f>IF(Tim!IT19=FIT!$E$1,Tim!IT19,"")</f>
        <v/>
      </c>
      <c r="IQ17" s="185" t="str">
        <f>IF(Tim!IU19=FIT!$E$1,Tim!IU19,"")</f>
        <v/>
      </c>
      <c r="IR17" s="185" t="str">
        <f>IF(Tim!IV19=FIT!$E$1,Tim!IV19,"")</f>
        <v/>
      </c>
      <c r="IS17" s="185" t="str">
        <f>IF(Tim!IW19=FIT!$E$1,Tim!IW19,"")</f>
        <v/>
      </c>
      <c r="IT17" s="185" t="str">
        <f>IF(Tim!IX19=FIT!$E$1,Tim!IX19,"")</f>
        <v/>
      </c>
      <c r="IU17" s="185" t="str">
        <f>IF(Tim!IY19=FIT!$E$1,Tim!IY19,"")</f>
        <v/>
      </c>
      <c r="IV17" s="185" t="str">
        <f>IF(Tim!IZ19=FIT!$E$1,Tim!IZ19,"")</f>
        <v/>
      </c>
      <c r="IW17" s="185" t="str">
        <f>IF(Tim!JA19=FIT!$E$1,Tim!JA19,"")</f>
        <v/>
      </c>
      <c r="IX17" s="185" t="str">
        <f>IF(Tim!JB19=FIT!$E$1,Tim!JB19,"")</f>
        <v/>
      </c>
      <c r="IY17" s="185" t="str">
        <f>IF(Tim!JC19=FIT!$E$1,Tim!JC19,"")</f>
        <v/>
      </c>
      <c r="IZ17" s="185" t="str">
        <f>IF(Tim!JD19=FIT!$E$1,Tim!JD19,"")</f>
        <v/>
      </c>
      <c r="JA17" s="185" t="str">
        <f>IF(Tim!JE19=FIT!$E$1,Tim!JE19,"")</f>
        <v/>
      </c>
      <c r="JB17" s="185" t="str">
        <f>IF(Tim!JF19=FIT!$E$1,Tim!JF19,"")</f>
        <v/>
      </c>
      <c r="JC17" s="185" t="str">
        <f>IF(Tim!JG19=FIT!$E$1,Tim!JG19,"")</f>
        <v/>
      </c>
      <c r="JD17" s="185" t="str">
        <f>IF(Tim!JH19=FIT!$E$1,Tim!JH19,"")</f>
        <v/>
      </c>
      <c r="JE17" s="185" t="str">
        <f>IF(Tim!JI19=FIT!$E$1,Tim!JI19,"")</f>
        <v/>
      </c>
      <c r="JF17" s="185" t="str">
        <f>IF(Tim!JJ19=FIT!$E$1,Tim!JJ19,"")</f>
        <v/>
      </c>
      <c r="JG17" s="185" t="str">
        <f>IF(Tim!JK19=FIT!$E$1,Tim!JK19,"")</f>
        <v/>
      </c>
      <c r="JH17" s="185" t="str">
        <f>IF(Tim!JL19=FIT!$E$1,Tim!JL19,"")</f>
        <v/>
      </c>
      <c r="JI17" s="185" t="str">
        <f>IF(Tim!JM19=FIT!$E$1,Tim!JM19,"")</f>
        <v/>
      </c>
      <c r="JJ17" s="185" t="str">
        <f>IF(Tim!JN19=FIT!$E$1,Tim!JN19,"")</f>
        <v/>
      </c>
      <c r="JK17" s="185" t="str">
        <f>IF(Tim!JO19=FIT!$E$1,Tim!JO19,"")</f>
        <v/>
      </c>
      <c r="JL17" s="185" t="str">
        <f>IF(Tim!JP19=FIT!$E$1,Tim!JP19,"")</f>
        <v/>
      </c>
      <c r="JM17" s="185" t="str">
        <f>IF(Tim!JQ19=FIT!$E$1,Tim!JQ19,"")</f>
        <v/>
      </c>
      <c r="JN17" s="185" t="str">
        <f>IF(Tim!JR19=FIT!$E$1,Tim!JR19,"")</f>
        <v/>
      </c>
      <c r="JO17" s="185" t="str">
        <f>IF(Tim!JS19=FIT!$E$1,Tim!JS19,"")</f>
        <v/>
      </c>
      <c r="JP17" s="185" t="str">
        <f>IF(Tim!JT19=FIT!$E$1,Tim!JT19,"")</f>
        <v/>
      </c>
      <c r="JQ17" s="185" t="str">
        <f>IF(Tim!JU19=FIT!$E$1,Tim!JU19,"")</f>
        <v/>
      </c>
      <c r="JR17" s="185" t="str">
        <f>IF(Tim!JV19=FIT!$E$1,Tim!JV19,"")</f>
        <v/>
      </c>
      <c r="JS17" s="185" t="str">
        <f>IF(Tim!JW19=FIT!$E$1,Tim!JW19,"")</f>
        <v/>
      </c>
      <c r="JT17" s="185" t="str">
        <f>IF(Tim!JX19=FIT!$E$1,Tim!JX19,"")</f>
        <v/>
      </c>
      <c r="JU17" s="185" t="str">
        <f>IF(Tim!JY19=FIT!$E$1,Tim!JY19,"")</f>
        <v/>
      </c>
      <c r="JV17" s="185" t="str">
        <f>IF(Tim!JZ19=FIT!$E$1,Tim!JZ19,"")</f>
        <v/>
      </c>
      <c r="JW17" s="185" t="str">
        <f>IF(Tim!KA19=FIT!$E$1,Tim!KA19,"")</f>
        <v/>
      </c>
      <c r="JX17" s="185" t="str">
        <f>IF(Tim!KB19=FIT!$E$1,Tim!KB19,"")</f>
        <v/>
      </c>
      <c r="JY17" s="185" t="str">
        <f>IF(Tim!KC19=FIT!$E$1,Tim!KC19,"")</f>
        <v/>
      </c>
      <c r="JZ17" s="185" t="str">
        <f>IF(Tim!KD19=FIT!$E$1,Tim!KD19,"")</f>
        <v/>
      </c>
      <c r="KA17" s="185" t="str">
        <f>IF(Tim!KE19=FIT!$E$1,Tim!KE19,"")</f>
        <v/>
      </c>
      <c r="KB17" s="185" t="str">
        <f>IF(Tim!KF19=FIT!$E$1,Tim!KF19,"")</f>
        <v/>
      </c>
      <c r="KC17" s="185" t="str">
        <f>IF(Tim!KG19=FIT!$E$1,Tim!KG19,"")</f>
        <v/>
      </c>
      <c r="KD17" s="185" t="str">
        <f>IF(Tim!KH19=FIT!$E$1,Tim!KH19,"")</f>
        <v/>
      </c>
      <c r="KE17" s="185" t="str">
        <f>IF(Tim!KI19=FIT!$E$1,Tim!KI19,"")</f>
        <v/>
      </c>
      <c r="KF17" s="185" t="str">
        <f>IF(Tim!KJ19=FIT!$E$1,Tim!KJ19,"")</f>
        <v/>
      </c>
      <c r="KG17" s="185" t="str">
        <f>IF(Tim!KK19=FIT!$E$1,Tim!KK19,"")</f>
        <v/>
      </c>
      <c r="KH17" s="185" t="str">
        <f>IF(Tim!KL19=FIT!$E$1,Tim!KL19,"")</f>
        <v/>
      </c>
      <c r="KI17" s="185" t="str">
        <f>IF(Tim!KM19=FIT!$E$1,Tim!KM19,"")</f>
        <v/>
      </c>
      <c r="KJ17" s="185" t="str">
        <f>IF(Tim!KN19=FIT!$E$1,Tim!KN19,"")</f>
        <v/>
      </c>
      <c r="KK17" s="185" t="str">
        <f>IF(Tim!KO19=FIT!$E$1,Tim!KO19,"")</f>
        <v/>
      </c>
      <c r="KL17" s="185" t="str">
        <f>IF(Tim!KP19=FIT!$E$1,Tim!KP19,"")</f>
        <v/>
      </c>
      <c r="KM17" s="185" t="str">
        <f>IF(Tim!KQ19=FIT!$E$1,Tim!KQ19,"")</f>
        <v/>
      </c>
      <c r="KN17" s="185" t="str">
        <f>IF(Tim!KR19=FIT!$E$1,Tim!KR19,"")</f>
        <v/>
      </c>
      <c r="KO17" s="185" t="str">
        <f>IF(Tim!KS19=FIT!$E$1,Tim!KS19,"")</f>
        <v/>
      </c>
      <c r="KP17" s="185" t="str">
        <f>IF(Tim!KT19=FIT!$E$1,Tim!KT19,"")</f>
        <v/>
      </c>
      <c r="KQ17" s="185" t="str">
        <f>IF(Tim!KU19=FIT!$E$1,Tim!KU19,"")</f>
        <v/>
      </c>
      <c r="KR17" s="185" t="str">
        <f>IF(Tim!KV19=FIT!$E$1,Tim!KV19,"")</f>
        <v/>
      </c>
      <c r="KS17" s="185" t="str">
        <f>IF(Tim!KW19=FIT!$E$1,Tim!KW19,"")</f>
        <v/>
      </c>
      <c r="KT17" s="185" t="str">
        <f>IF(Tim!KX19=FIT!$E$1,Tim!KX19,"")</f>
        <v/>
      </c>
      <c r="KU17" s="185" t="str">
        <f>IF(Tim!KY19=FIT!$E$1,Tim!KY19,"")</f>
        <v/>
      </c>
      <c r="KV17" s="185" t="str">
        <f>IF(Tim!KZ19=FIT!$E$1,Tim!KZ19,"")</f>
        <v/>
      </c>
      <c r="KW17" s="185" t="str">
        <f>IF(Tim!LA19=FIT!$E$1,Tim!LA19,"")</f>
        <v/>
      </c>
      <c r="KX17" s="185" t="str">
        <f>IF(Tim!LB19=FIT!$E$1,Tim!LB19,"")</f>
        <v/>
      </c>
      <c r="KY17" s="185" t="str">
        <f>IF(Tim!LC19=FIT!$E$1,Tim!LC19,"")</f>
        <v/>
      </c>
      <c r="KZ17" s="185" t="str">
        <f>IF(Tim!LD19=FIT!$E$1,Tim!LD19,"")</f>
        <v/>
      </c>
      <c r="LA17" s="185" t="str">
        <f>IF(Tim!LE19=FIT!$E$1,Tim!LE19,"")</f>
        <v/>
      </c>
      <c r="LB17" s="52">
        <v>0.41666666666666702</v>
      </c>
    </row>
    <row r="18" spans="2:314" ht="10.5" customHeight="1">
      <c r="B18" s="49">
        <v>0.25</v>
      </c>
      <c r="C18" s="49">
        <v>0.25</v>
      </c>
      <c r="D18" s="49">
        <v>0.25</v>
      </c>
      <c r="E18" s="172">
        <v>0.42708333333333298</v>
      </c>
      <c r="F18" s="238" t="str">
        <f>IF(Tim!F20=FIT!$E$1,Tim!F20,"")</f>
        <v/>
      </c>
      <c r="G18" s="185" t="str">
        <f>IF(Tim!G20=FIT!$E$1,Tim!G20,"")</f>
        <v/>
      </c>
      <c r="H18" s="185" t="str">
        <f>IF(Tim!H20=FIT!$E$1,Tim!H20,"")</f>
        <v/>
      </c>
      <c r="I18" s="185" t="str">
        <f>IF(Tim!I20=FIT!$E$1,Tim!I20,"")</f>
        <v/>
      </c>
      <c r="J18" s="185" t="str">
        <f>IF(Tim!J20=FIT!$E$1,Tim!J20,"")</f>
        <v/>
      </c>
      <c r="K18" s="185" t="str">
        <f>IF(Tim!K20=FIT!$E$1,Tim!K20,"")</f>
        <v/>
      </c>
      <c r="L18" s="185" t="str">
        <f>IF(Tim!L20=FIT!$E$1,Tim!L20,"")</f>
        <v/>
      </c>
      <c r="M18" s="185" t="str">
        <f>IF(Tim!M20=FIT!$E$1,Tim!M20,"")</f>
        <v/>
      </c>
      <c r="N18" s="185" t="str">
        <f>IF(Tim!N20=FIT!$E$1,Tim!N20,"")</f>
        <v/>
      </c>
      <c r="O18" s="185" t="str">
        <f>IF(Tim!O20=FIT!$E$1,Tim!O20,"")</f>
        <v/>
      </c>
      <c r="P18" s="185" t="str">
        <f>IF(Tim!P20=FIT!$E$1,Tim!P20,"")</f>
        <v/>
      </c>
      <c r="Q18" s="185" t="str">
        <f>IF(Tim!Q20=FIT!$E$1,Tim!Q20,"")</f>
        <v/>
      </c>
      <c r="R18" s="185" t="str">
        <f>IF(Tim!R20=FIT!$E$1,Tim!R20,"")</f>
        <v/>
      </c>
      <c r="S18" s="185" t="str">
        <f>IF(Tim!S20=FIT!$E$1,Tim!S20,"")</f>
        <v/>
      </c>
      <c r="T18" s="185" t="str">
        <f>IF(Tim!T20=FIT!$E$1,Tim!T20,"")</f>
        <v/>
      </c>
      <c r="U18" s="185" t="str">
        <f>IF(Tim!U20=FIT!$E$1,Tim!U20,"")</f>
        <v/>
      </c>
      <c r="V18" s="185" t="str">
        <f>IF(Tim!W20=FIT!$E$1,Tim!W20,"")</f>
        <v/>
      </c>
      <c r="W18" s="185" t="str">
        <f>IF(Tim!X20=FIT!$E$1,Tim!X20,"")</f>
        <v/>
      </c>
      <c r="X18" s="185" t="str">
        <f>IF(Tim!Y20=FIT!$E$1,Tim!Y20,"")</f>
        <v/>
      </c>
      <c r="Y18" s="185" t="str">
        <f>IF(Tim!Z20=FIT!$E$1,Tim!Z20,"")</f>
        <v/>
      </c>
      <c r="Z18" s="185" t="str">
        <f>IF(Tim!AA20=FIT!$E$1,Tim!AA20,"")</f>
        <v/>
      </c>
      <c r="AA18" s="185" t="str">
        <f>IF(Tim!AB20=FIT!$E$1,Tim!AB20,"")</f>
        <v/>
      </c>
      <c r="AB18" s="185" t="str">
        <f>IF(Tim!AC20=FIT!$E$1,Tim!AC20,"")</f>
        <v/>
      </c>
      <c r="AC18" s="185" t="str">
        <f>IF(Tim!AD20=FIT!$E$1,Tim!AD20,"")</f>
        <v/>
      </c>
      <c r="AD18" s="185" t="str">
        <f>IF(Tim!AE20=FIT!$E$1,Tim!AE20,"")</f>
        <v/>
      </c>
      <c r="AE18" s="185" t="str">
        <f>IF(Tim!AF20=FIT!$E$1,Tim!AF20,"")</f>
        <v/>
      </c>
      <c r="AF18" s="185" t="str">
        <f>IF(Tim!AG20=FIT!$E$1,Tim!AG20,"")</f>
        <v/>
      </c>
      <c r="AG18" s="185" t="str">
        <f>IF(Tim!AH20=FIT!$E$1,Tim!AH20,"")</f>
        <v/>
      </c>
      <c r="AH18" s="185" t="str">
        <f>IF(Tim!AI20=FIT!$E$1,Tim!AI20,"")</f>
        <v/>
      </c>
      <c r="AI18" s="185" t="str">
        <f>IF(Tim!AJ20=FIT!$E$1,Tim!AJ20,"")</f>
        <v/>
      </c>
      <c r="AJ18" s="185" t="str">
        <f>IF(Tim!AK20=FIT!$E$1,Tim!AK20,"")</f>
        <v/>
      </c>
      <c r="AK18" s="185" t="str">
        <f>IF(Tim!AL20=FIT!$E$1,Tim!AL20,"")</f>
        <v/>
      </c>
      <c r="AL18" s="185" t="str">
        <f>IF(Tim!AM20=FIT!$E$1,Tim!AM20,"")</f>
        <v/>
      </c>
      <c r="AM18" s="185" t="str">
        <f>IF(Tim!AN20=FIT!$E$1,Tim!AN20,"")</f>
        <v/>
      </c>
      <c r="AN18" s="185" t="str">
        <f>IF(Tim!AO20=FIT!$E$1,Tim!AO20,"")</f>
        <v/>
      </c>
      <c r="AO18" s="185" t="str">
        <f>IF(Tim!AP20=FIT!$E$1,Tim!AP20,"")</f>
        <v/>
      </c>
      <c r="AP18" s="185" t="str">
        <f>IF(Tim!AQ20=FIT!$E$1,Tim!AQ20,"")</f>
        <v/>
      </c>
      <c r="AQ18" s="185" t="str">
        <f>IF(Tim!AR20=FIT!$E$1,Tim!AR20,"")</f>
        <v/>
      </c>
      <c r="AR18" s="185" t="str">
        <f>IF(Tim!AS20=FIT!$E$1,Tim!AS20,"")</f>
        <v/>
      </c>
      <c r="AS18" s="185" t="str">
        <f>IF(Tim!AT20=FIT!$E$1,Tim!AT20,"")</f>
        <v/>
      </c>
      <c r="AT18" s="185" t="str">
        <f>IF(Tim!AU20=FIT!$E$1,Tim!AU20,"")</f>
        <v/>
      </c>
      <c r="AU18" s="185" t="str">
        <f>IF(Tim!AV20=FIT!$E$1,Tim!AV20,"")</f>
        <v/>
      </c>
      <c r="AV18" s="185" t="str">
        <f>IF(Tim!AW20=FIT!$E$1,Tim!AW20,"")</f>
        <v/>
      </c>
      <c r="AW18" s="186" t="str">
        <f>IF(Tim!AX20=FIT!$E$1,Tim!AX20,"")</f>
        <v/>
      </c>
      <c r="AX18" s="243" t="str">
        <f>IF(Tim!AY20=FIT!$E$1,Tim!AY20,"")</f>
        <v/>
      </c>
      <c r="AY18" s="185" t="str">
        <f>IF(Tim!AZ20=FIT!$E$1,Tim!AZ20,"")</f>
        <v/>
      </c>
      <c r="AZ18" s="185" t="str">
        <f>IF(Tim!BA20=FIT!$E$1,Tim!BA20,"")</f>
        <v/>
      </c>
      <c r="BA18" s="185" t="str">
        <f>IF(Tim!BB20=FIT!$E$1,Tim!BB20,"")</f>
        <v/>
      </c>
      <c r="BB18" s="185" t="str">
        <f>IF(Tim!BC20=FIT!$E$1,Tim!BC20,"")</f>
        <v/>
      </c>
      <c r="BC18" s="185" t="str">
        <f>IF(Tim!BD20=FIT!$E$1,Tim!BD20,"")</f>
        <v/>
      </c>
      <c r="BD18" s="185" t="str">
        <f>IF(Tim!BE20=FIT!$E$1,Tim!BE20,"")</f>
        <v/>
      </c>
      <c r="BE18" s="185" t="str">
        <f>IF(Tim!BF20=FIT!$E$1,Tim!BF20,"")</f>
        <v/>
      </c>
      <c r="BF18" s="185" t="str">
        <f>IF(Tim!BG20=FIT!$E$1,Tim!BG20,"")</f>
        <v/>
      </c>
      <c r="BG18" s="185" t="str">
        <f>IF(Tim!BH20=FIT!$E$1,Tim!BH20,"")</f>
        <v/>
      </c>
      <c r="BH18" s="185" t="str">
        <f>IF(Tim!BI20=FIT!$E$1,Tim!BI20,"")</f>
        <v/>
      </c>
      <c r="BI18" s="185" t="str">
        <f>IF(Tim!BJ20=FIT!$E$1,Tim!BJ20,"")</f>
        <v/>
      </c>
      <c r="BJ18" s="185" t="str">
        <f>IF(Tim!BK20=FIT!$E$1,Tim!BK20,"")</f>
        <v/>
      </c>
      <c r="BK18" s="185" t="str">
        <f>IF(Tim!BL20=FIT!$E$1,Tim!BL20,"")</f>
        <v/>
      </c>
      <c r="BL18" s="185" t="str">
        <f>IF(Tim!BM20=FIT!$E$1,Tim!BM20,"")</f>
        <v/>
      </c>
      <c r="BM18" s="185" t="str">
        <f>IF(Tim!BN20=FIT!$E$1,Tim!BN20,"")</f>
        <v/>
      </c>
      <c r="BN18" s="185" t="str">
        <f>IF(Tim!BO20=FIT!$E$1,Tim!BO20,"")</f>
        <v/>
      </c>
      <c r="BO18" s="185" t="str">
        <f>IF(Tim!BP20=FIT!$E$1,Tim!BP20,"")</f>
        <v/>
      </c>
      <c r="BP18" s="185" t="str">
        <f>IF(Tim!BQ20=FIT!$E$1,Tim!BQ20,"")</f>
        <v/>
      </c>
      <c r="BQ18" s="185" t="str">
        <f>IF(Tim!BR20=FIT!$E$1,Tim!BR20,"")</f>
        <v/>
      </c>
      <c r="BR18" s="185" t="str">
        <f>IF(Tim!BS20=FIT!$E$1,Tim!BS20,"")</f>
        <v/>
      </c>
      <c r="BS18" s="185" t="str">
        <f>IF(Tim!BT20=FIT!$E$1,Tim!BT20,"")</f>
        <v/>
      </c>
      <c r="BT18" s="185" t="str">
        <f>IF(Tim!BU20=FIT!$E$1,Tim!BU20,"")</f>
        <v/>
      </c>
      <c r="BU18" s="185" t="str">
        <f>IF(Tim!BV20=FIT!$E$1,Tim!BV20,"")</f>
        <v/>
      </c>
      <c r="BV18" s="185" t="str">
        <f>IF(Tim!BW20=FIT!$E$1,Tim!BW20,"")</f>
        <v/>
      </c>
      <c r="BW18" s="185" t="str">
        <f>IF(Tim!BX20=FIT!$E$1,Tim!BX20,"")</f>
        <v/>
      </c>
      <c r="BX18" s="185" t="str">
        <f>IF(Tim!BY20=FIT!$E$1,Tim!BY20,"")</f>
        <v/>
      </c>
      <c r="BY18" s="185" t="str">
        <f>IF(Tim!BZ20=FIT!$E$1,Tim!BZ20,"")</f>
        <v/>
      </c>
      <c r="BZ18" s="185" t="str">
        <f>IF(Tim!CA20=FIT!$E$1,Tim!CA20,"")</f>
        <v/>
      </c>
      <c r="CA18" s="185" t="str">
        <f>IF(Tim!CB20=FIT!$E$1,Tim!CB20,"")</f>
        <v/>
      </c>
      <c r="CB18" s="185" t="str">
        <f>IF(Tim!CC20=FIT!$E$1,Tim!CC20,"")</f>
        <v/>
      </c>
      <c r="CC18" s="185" t="str">
        <f>IF(Tim!CD20=FIT!$E$1,Tim!CD20,"")</f>
        <v/>
      </c>
      <c r="CD18" s="185" t="str">
        <f>IF(Tim!CE20=FIT!$E$1,Tim!CE20,"")</f>
        <v/>
      </c>
      <c r="CE18" s="185" t="str">
        <f>IF(Tim!CF20=FIT!$E$1,Tim!CF20,"")</f>
        <v/>
      </c>
      <c r="CF18" s="185" t="str">
        <f>IF(Tim!CG20=FIT!$E$1,Tim!CG20,"")</f>
        <v/>
      </c>
      <c r="CG18" s="185" t="str">
        <f>IF(Tim!CH20=FIT!$E$1,Tim!CH20,"")</f>
        <v/>
      </c>
      <c r="CH18" s="185" t="str">
        <f>IF(Tim!CI20=FIT!$E$1,Tim!CI20,"")</f>
        <v/>
      </c>
      <c r="CI18" s="185" t="str">
        <f>IF(Tim!CJ20=FIT!$E$1,Tim!CJ20,"")</f>
        <v/>
      </c>
      <c r="CJ18" s="185" t="str">
        <f>IF(Tim!CK20=FIT!$E$1,Tim!CK20,"")</f>
        <v/>
      </c>
      <c r="CK18" s="185" t="str">
        <f>IF(Tim!CL20=FIT!$E$1,Tim!CL20,"")</f>
        <v/>
      </c>
      <c r="CL18" s="185" t="str">
        <f>IF(Tim!CM20=FIT!$E$1,Tim!CM20,"")</f>
        <v/>
      </c>
      <c r="CM18" s="185" t="str">
        <f>IF(Tim!CN20=FIT!$E$1,Tim!CN20,"")</f>
        <v/>
      </c>
      <c r="CN18" s="185" t="str">
        <f>IF(Tim!CO20=FIT!$E$1,Tim!CO20,"")</f>
        <v/>
      </c>
      <c r="CO18" s="185" t="str">
        <f>IF(Tim!CP20=FIT!$E$1,Tim!CP20,"")</f>
        <v/>
      </c>
      <c r="CP18" s="185" t="str">
        <f>IF(Tim!CQ20=FIT!$E$1,Tim!CQ20,"")</f>
        <v/>
      </c>
      <c r="CQ18" s="185" t="str">
        <f>IF(Tim!CR20=FIT!$E$1,Tim!CR20,"")</f>
        <v/>
      </c>
      <c r="CR18" s="185" t="str">
        <f>IF(Tim!CS20=FIT!$E$1,Tim!CS20,"")</f>
        <v/>
      </c>
      <c r="CS18" s="185" t="str">
        <f>IF(Tim!CT20=FIT!$E$1,Tim!CT20,"")</f>
        <v/>
      </c>
      <c r="CT18" s="185" t="str">
        <f>IF(Tim!CU20=FIT!$E$1,Tim!CU20,"")</f>
        <v/>
      </c>
      <c r="CU18" s="185" t="str">
        <f>IF(Tim!CV20=FIT!$E$1,Tim!CV20,"")</f>
        <v/>
      </c>
      <c r="CV18" s="185" t="str">
        <f>IF(Tim!CW20=FIT!$E$1,Tim!CW20,"")</f>
        <v/>
      </c>
      <c r="CW18" s="185" t="str">
        <f>IF(Tim!CX20=FIT!$E$1,Tim!CX20,"")</f>
        <v/>
      </c>
      <c r="CX18" s="185" t="str">
        <f>IF(Tim!CY20=FIT!$E$1,Tim!CY20,"")</f>
        <v/>
      </c>
      <c r="CY18" s="185" t="str">
        <f>IF(Tim!CZ20=FIT!$E$1,Tim!CZ20,"")</f>
        <v/>
      </c>
      <c r="CZ18" s="185" t="str">
        <f>IF(Tim!DA20=FIT!$E$1,Tim!DA20,"")</f>
        <v/>
      </c>
      <c r="DA18" s="185" t="str">
        <f>IF(Tim!DB20=FIT!$E$1,Tim!DB20,"")</f>
        <v/>
      </c>
      <c r="DB18" s="185" t="str">
        <f>IF(Tim!DC20=FIT!$E$1,Tim!DC20,"")</f>
        <v/>
      </c>
      <c r="DC18" s="185" t="str">
        <f>IF(Tim!DD20=FIT!$E$1,Tim!DD20,"")</f>
        <v/>
      </c>
      <c r="DD18" s="185" t="str">
        <f>IF(Tim!DE20=FIT!$E$1,Tim!DE20,"")</f>
        <v/>
      </c>
      <c r="DE18" s="185" t="str">
        <f>IF(Tim!DF20=FIT!$E$1,Tim!DF20,"")</f>
        <v/>
      </c>
      <c r="DF18" s="185" t="str">
        <f>IF(Tim!DG20=FIT!$E$1,Tim!DG20,"")</f>
        <v/>
      </c>
      <c r="DG18" s="185" t="str">
        <f>IF(Tim!DH20=FIT!$E$1,Tim!DH20,"")</f>
        <v/>
      </c>
      <c r="DH18" s="185" t="str">
        <f>IF(Tim!DI20=FIT!$E$1,Tim!DI20,"")</f>
        <v/>
      </c>
      <c r="DI18" s="185" t="str">
        <f>IF(Tim!DM20=FIT!$E$1,Tim!DM20,"")</f>
        <v/>
      </c>
      <c r="DJ18" s="185" t="str">
        <f>IF(Tim!DN20=FIT!$E$1,Tim!DN20,"")</f>
        <v/>
      </c>
      <c r="DK18" s="185" t="str">
        <f>IF(Tim!DO20=FIT!$E$1,Tim!DO20,"")</f>
        <v/>
      </c>
      <c r="DL18" s="185" t="str">
        <f>IF(Tim!DP20=FIT!$E$1,Tim!DP20,"")</f>
        <v/>
      </c>
      <c r="DM18" s="185" t="str">
        <f>IF(Tim!DQ20=FIT!$E$1,Tim!DQ20,"")</f>
        <v/>
      </c>
      <c r="DN18" s="185" t="str">
        <f>IF(Tim!DR20=FIT!$E$1,Tim!DR20,"")</f>
        <v/>
      </c>
      <c r="DO18" s="185" t="str">
        <f>IF(Tim!DS20=FIT!$E$1,Tim!DS20,"")</f>
        <v/>
      </c>
      <c r="DP18" s="185" t="str">
        <f>IF(Tim!DT20=FIT!$E$1,Tim!DT20,"")</f>
        <v/>
      </c>
      <c r="DQ18" s="185" t="str">
        <f>IF(Tim!DU20=FIT!$E$1,Tim!DU20,"")</f>
        <v/>
      </c>
      <c r="DR18" s="185" t="str">
        <f>IF(Tim!DV20=FIT!$E$1,Tim!DV20,"")</f>
        <v/>
      </c>
      <c r="DS18" s="185" t="str">
        <f>IF(Tim!DW20=FIT!$E$1,Tim!DW20,"")</f>
        <v/>
      </c>
      <c r="DT18" s="185" t="str">
        <f>IF(Tim!DX20=FIT!$E$1,Tim!DX20,"")</f>
        <v/>
      </c>
      <c r="DU18" s="185" t="str">
        <f>IF(Tim!DY20=FIT!$E$1,Tim!DY20,"")</f>
        <v/>
      </c>
      <c r="DV18" s="185" t="str">
        <f>IF(Tim!DZ20=FIT!$E$1,Tim!DZ20,"")</f>
        <v/>
      </c>
      <c r="DW18" s="185" t="str">
        <f>IF(Tim!EA20=FIT!$E$1,Tim!EA20,"")</f>
        <v/>
      </c>
      <c r="DX18" s="185" t="str">
        <f>IF(Tim!EB20=FIT!$E$1,Tim!EB20,"")</f>
        <v/>
      </c>
      <c r="DY18" s="185" t="str">
        <f>IF(Tim!EC20=FIT!$E$1,Tim!EC20,"")</f>
        <v/>
      </c>
      <c r="DZ18" s="185" t="str">
        <f>IF(Tim!ED20=FIT!$E$1,Tim!ED20,"")</f>
        <v/>
      </c>
      <c r="EA18" s="185" t="str">
        <f>IF(Tim!EE20=FIT!$E$1,Tim!EE20,"")</f>
        <v/>
      </c>
      <c r="EB18" s="185" t="str">
        <f>IF(Tim!EF20=FIT!$E$1,Tim!EF20,"")</f>
        <v/>
      </c>
      <c r="EC18" s="185" t="str">
        <f>IF(Tim!EG20=FIT!$E$1,Tim!EG20,"")</f>
        <v/>
      </c>
      <c r="ED18" s="185" t="str">
        <f>IF(Tim!EH20=FIT!$E$1,Tim!EH20,"")</f>
        <v/>
      </c>
      <c r="EE18" s="185" t="str">
        <f>IF(Tim!EI20=FIT!$E$1,Tim!EI20,"")</f>
        <v/>
      </c>
      <c r="EF18" s="185" t="str">
        <f>IF(Tim!EJ20=FIT!$E$1,Tim!EJ20,"")</f>
        <v/>
      </c>
      <c r="EG18" s="185" t="str">
        <f>IF(Tim!EK20=FIT!$E$1,Tim!EK20,"")</f>
        <v/>
      </c>
      <c r="EH18" s="185" t="str">
        <f>IF(Tim!EL20=FIT!$E$1,Tim!EL20,"")</f>
        <v/>
      </c>
      <c r="EI18" s="185" t="str">
        <f>IF(Tim!EM20=FIT!$E$1,Tim!EM20,"")</f>
        <v/>
      </c>
      <c r="EJ18" s="185" t="str">
        <f>IF(Tim!EN20=FIT!$E$1,Tim!EN20,"")</f>
        <v/>
      </c>
      <c r="EK18" s="185" t="str">
        <f>IF(Tim!EO20=FIT!$E$1,Tim!EO20,"")</f>
        <v/>
      </c>
      <c r="EL18" s="185" t="str">
        <f>IF(Tim!EP20=FIT!$E$1,Tim!EP20,"")</f>
        <v/>
      </c>
      <c r="EM18" s="185" t="str">
        <f>IF(Tim!EQ20=FIT!$E$1,Tim!EQ20,"")</f>
        <v/>
      </c>
      <c r="EN18" s="185" t="str">
        <f>IF(Tim!ER20=FIT!$E$1,Tim!ER20,"")</f>
        <v/>
      </c>
      <c r="EO18" s="185" t="str">
        <f>IF(Tim!ES20=FIT!$E$1,Tim!ES20,"")</f>
        <v/>
      </c>
      <c r="EP18" s="185" t="str">
        <f>IF(Tim!ET20=FIT!$E$1,Tim!ET20,"")</f>
        <v/>
      </c>
      <c r="EQ18" s="185" t="str">
        <f>IF(Tim!EU20=FIT!$E$1,Tim!EU20,"")</f>
        <v/>
      </c>
      <c r="ER18" s="185" t="str">
        <f>IF(Tim!EV20=FIT!$E$1,Tim!EV20,"")</f>
        <v/>
      </c>
      <c r="ES18" s="185" t="str">
        <f>IF(Tim!EW20=FIT!$E$1,Tim!EW20,"")</f>
        <v/>
      </c>
      <c r="ET18" s="185" t="str">
        <f>IF(Tim!EX20=FIT!$E$1,Tim!EX20,"")</f>
        <v/>
      </c>
      <c r="EU18" s="185" t="str">
        <f>IF(Tim!EY20=FIT!$E$1,Tim!EY20,"")</f>
        <v/>
      </c>
      <c r="EV18" s="185" t="str">
        <f>IF(Tim!EZ20=FIT!$E$1,Tim!EZ20,"")</f>
        <v/>
      </c>
      <c r="EW18" s="185" t="str">
        <f>IF(Tim!FA20=FIT!$E$1,Tim!FA20,"")</f>
        <v/>
      </c>
      <c r="EX18" s="185" t="str">
        <f>IF(Tim!FB20=FIT!$E$1,Tim!FB20,"")</f>
        <v/>
      </c>
      <c r="EY18" s="185" t="str">
        <f>IF(Tim!FC20=FIT!$E$1,Tim!FC20,"")</f>
        <v/>
      </c>
      <c r="EZ18" s="185" t="str">
        <f>IF(Tim!FD20=FIT!$E$1,Tim!FD20,"")</f>
        <v/>
      </c>
      <c r="FA18" s="185" t="str">
        <f>IF(Tim!FE20=FIT!$E$1,Tim!FE20,"")</f>
        <v/>
      </c>
      <c r="FB18" s="185" t="str">
        <f>IF(Tim!FF20=FIT!$E$1,Tim!FF20,"")</f>
        <v/>
      </c>
      <c r="FC18" s="185" t="str">
        <f>IF(Tim!FG20=FIT!$E$1,Tim!FG20,"")</f>
        <v/>
      </c>
      <c r="FD18" s="185" t="str">
        <f>IF(Tim!FH20=FIT!$E$1,Tim!FH20,"")</f>
        <v/>
      </c>
      <c r="FE18" s="185" t="str">
        <f>IF(Tim!FI20=FIT!$E$1,Tim!FI20,"")</f>
        <v/>
      </c>
      <c r="FF18" s="185" t="str">
        <f>IF(Tim!FJ20=FIT!$E$1,Tim!FJ20,"")</f>
        <v/>
      </c>
      <c r="FG18" s="185" t="str">
        <f>IF(Tim!FK20=FIT!$E$1,Tim!FK20,"")</f>
        <v/>
      </c>
      <c r="FH18" s="185" t="str">
        <f>IF(Tim!FL20=FIT!$E$1,Tim!FL20,"")</f>
        <v/>
      </c>
      <c r="FI18" s="185" t="str">
        <f>IF(Tim!FM20=FIT!$E$1,Tim!FM20,"")</f>
        <v/>
      </c>
      <c r="FJ18" s="185" t="str">
        <f>IF(Tim!FN20=FIT!$E$1,Tim!FN20,"")</f>
        <v/>
      </c>
      <c r="FK18" s="185" t="str">
        <f>IF(Tim!FO20=FIT!$E$1,Tim!FO20,"")</f>
        <v/>
      </c>
      <c r="FL18" s="185" t="str">
        <f>IF(Tim!FP20=FIT!$E$1,Tim!FP20,"")</f>
        <v/>
      </c>
      <c r="FM18" s="185" t="str">
        <f>IF(Tim!FQ20=FIT!$E$1,Tim!FQ20,"")</f>
        <v/>
      </c>
      <c r="FN18" s="185" t="str">
        <f>IF(Tim!FR20=FIT!$E$1,Tim!FR20,"")</f>
        <v/>
      </c>
      <c r="FO18" s="185" t="str">
        <f>IF(Tim!FS20=FIT!$E$1,Tim!FS20,"")</f>
        <v/>
      </c>
      <c r="FP18" s="185" t="str">
        <f>IF(Tim!FT20=FIT!$E$1,Tim!FT20,"")</f>
        <v/>
      </c>
      <c r="FQ18" s="185" t="str">
        <f>IF(Tim!FU20=FIT!$E$1,Tim!FU20,"")</f>
        <v/>
      </c>
      <c r="FR18" s="185" t="str">
        <f>IF(Tim!FV20=FIT!$E$1,Tim!FV20,"")</f>
        <v/>
      </c>
      <c r="FS18" s="185" t="str">
        <f>IF(Tim!FW20=FIT!$E$1,Tim!FW20,"")</f>
        <v/>
      </c>
      <c r="FT18" s="185" t="str">
        <f>IF(Tim!FX20=FIT!$E$1,Tim!FX20,"")</f>
        <v/>
      </c>
      <c r="FU18" s="185" t="str">
        <f>IF(Tim!FY20=FIT!$E$1,Tim!FY20,"")</f>
        <v/>
      </c>
      <c r="FV18" s="185" t="str">
        <f>IF(Tim!FZ20=FIT!$E$1,Tim!FZ20,"")</f>
        <v/>
      </c>
      <c r="FW18" s="185" t="str">
        <f>IF(Tim!GA20=FIT!$E$1,Tim!GA20,"")</f>
        <v/>
      </c>
      <c r="FX18" s="185" t="str">
        <f>IF(Tim!GB20=FIT!$E$1,Tim!GB20,"")</f>
        <v/>
      </c>
      <c r="FY18" s="185" t="str">
        <f>IF(Tim!GC20=FIT!$E$1,Tim!GC20,"")</f>
        <v/>
      </c>
      <c r="FZ18" s="185" t="str">
        <f>IF(Tim!GD20=FIT!$E$1,Tim!GD20,"")</f>
        <v/>
      </c>
      <c r="GA18" s="185" t="str">
        <f>IF(Tim!GE20=FIT!$E$1,Tim!GE20,"")</f>
        <v/>
      </c>
      <c r="GB18" s="185" t="str">
        <f>IF(Tim!GF20=FIT!$E$1,Tim!GF20,"")</f>
        <v/>
      </c>
      <c r="GC18" s="185" t="str">
        <f>IF(Tim!GG20=FIT!$E$1,Tim!GG20,"")</f>
        <v/>
      </c>
      <c r="GD18" s="185" t="str">
        <f>IF(Tim!GH20=FIT!$E$1,Tim!GH20,"")</f>
        <v/>
      </c>
      <c r="GE18" s="185" t="str">
        <f>IF(Tim!GI20=FIT!$E$1,Tim!GI20,"")</f>
        <v/>
      </c>
      <c r="GF18" s="185" t="str">
        <f>IF(Tim!GJ20=FIT!$E$1,Tim!GJ20,"")</f>
        <v/>
      </c>
      <c r="GG18" s="185" t="str">
        <f>IF(Tim!GK20=FIT!$E$1,Tim!GK20,"")</f>
        <v/>
      </c>
      <c r="GH18" s="185" t="str">
        <f>IF(Tim!GL20=FIT!$E$1,Tim!GL20,"")</f>
        <v/>
      </c>
      <c r="GI18" s="185" t="str">
        <f>IF(Tim!GM20=FIT!$E$1,Tim!GM20,"")</f>
        <v/>
      </c>
      <c r="GJ18" s="185" t="str">
        <f>IF(Tim!GN20=FIT!$E$1,Tim!GN20,"")</f>
        <v/>
      </c>
      <c r="GK18" s="185" t="str">
        <f>IF(Tim!GO20=FIT!$E$1,Tim!GO20,"")</f>
        <v/>
      </c>
      <c r="GL18" s="185" t="str">
        <f>IF(Tim!GP20=FIT!$E$1,Tim!GP20,"")</f>
        <v/>
      </c>
      <c r="GM18" s="185" t="str">
        <f>IF(Tim!GQ20=FIT!$E$1,Tim!GQ20,"")</f>
        <v/>
      </c>
      <c r="GN18" s="185" t="str">
        <f>IF(Tim!GR20=FIT!$E$1,Tim!GR20,"")</f>
        <v/>
      </c>
      <c r="GO18" s="185" t="str">
        <f>IF(Tim!GS20=FIT!$E$1,Tim!GS20,"")</f>
        <v/>
      </c>
      <c r="GP18" s="185" t="str">
        <f>IF(Tim!GT20=FIT!$E$1,Tim!GT20,"")</f>
        <v/>
      </c>
      <c r="GQ18" s="185" t="str">
        <f>IF(Tim!GU20=FIT!$E$1,Tim!GU20,"")</f>
        <v/>
      </c>
      <c r="GR18" s="185" t="str">
        <f>IF(Tim!GV20=FIT!$E$1,Tim!GV20,"")</f>
        <v/>
      </c>
      <c r="GS18" s="185" t="str">
        <f>IF(Tim!GW20=FIT!$E$1,Tim!GW20,"")</f>
        <v/>
      </c>
      <c r="GT18" s="185" t="str">
        <f>IF(Tim!GX20=FIT!$E$1,Tim!GX20,"")</f>
        <v/>
      </c>
      <c r="GU18" s="185" t="str">
        <f>IF(Tim!GY20=FIT!$E$1,Tim!GY20,"")</f>
        <v/>
      </c>
      <c r="GV18" s="185" t="str">
        <f>IF(Tim!GZ20=FIT!$E$1,Tim!GZ20,"")</f>
        <v/>
      </c>
      <c r="GW18" s="185" t="str">
        <f>IF(Tim!HA20=FIT!$E$1,Tim!HA20,"")</f>
        <v/>
      </c>
      <c r="GX18" s="185" t="str">
        <f>IF(Tim!HB20=FIT!$E$1,Tim!HB20,"")</f>
        <v/>
      </c>
      <c r="GY18" s="185" t="str">
        <f>IF(Tim!HC20=FIT!$E$1,Tim!HC20,"")</f>
        <v/>
      </c>
      <c r="GZ18" s="185" t="str">
        <f>IF(Tim!HD20=FIT!$E$1,Tim!HD20,"")</f>
        <v/>
      </c>
      <c r="HA18" s="185" t="str">
        <f>IF(Tim!HE20=FIT!$E$1,Tim!HE20,"")</f>
        <v/>
      </c>
      <c r="HB18" s="185" t="str">
        <f>IF(Tim!HF20=FIT!$E$1,Tim!HF20,"")</f>
        <v/>
      </c>
      <c r="HC18" s="185" t="str">
        <f>IF(Tim!HG20=FIT!$E$1,Tim!HG20,"")</f>
        <v/>
      </c>
      <c r="HD18" s="185" t="str">
        <f>IF(Tim!HH20=FIT!$E$1,Tim!HH20,"")</f>
        <v/>
      </c>
      <c r="HE18" s="185" t="str">
        <f>IF(Tim!HI20=FIT!$E$1,Tim!HI20,"")</f>
        <v/>
      </c>
      <c r="HF18" s="185" t="str">
        <f>IF(Tim!HJ20=FIT!$E$1,Tim!HJ20,"")</f>
        <v/>
      </c>
      <c r="HG18" s="185" t="str">
        <f>IF(Tim!HK20=FIT!$E$1,Tim!HK20,"")</f>
        <v/>
      </c>
      <c r="HH18" s="185" t="str">
        <f>IF(Tim!HL20=FIT!$E$1,Tim!HL20,"")</f>
        <v/>
      </c>
      <c r="HI18" s="185" t="str">
        <f>IF(Tim!HM20=FIT!$E$1,Tim!HM20,"")</f>
        <v/>
      </c>
      <c r="HJ18" s="185" t="str">
        <f>IF(Tim!HN20=FIT!$E$1,Tim!HN20,"")</f>
        <v/>
      </c>
      <c r="HK18" s="185" t="str">
        <f>IF(Tim!HO20=FIT!$E$1,Tim!HO20,"")</f>
        <v/>
      </c>
      <c r="HL18" s="185" t="str">
        <f>IF(Tim!HP20=FIT!$E$1,Tim!HP20,"")</f>
        <v/>
      </c>
      <c r="HM18" s="185" t="str">
        <f>IF(Tim!HQ20=FIT!$E$1,Tim!HQ20,"")</f>
        <v/>
      </c>
      <c r="HN18" s="185" t="str">
        <f>IF(Tim!HR20=FIT!$E$1,Tim!HR20,"")</f>
        <v/>
      </c>
      <c r="HO18" s="185" t="str">
        <f>IF(Tim!HS20=FIT!$E$1,Tim!HS20,"")</f>
        <v/>
      </c>
      <c r="HP18" s="185" t="str">
        <f>IF(Tim!HT20=FIT!$E$1,Tim!HT20,"")</f>
        <v/>
      </c>
      <c r="HQ18" s="185" t="str">
        <f>IF(Tim!HU20=FIT!$E$1,Tim!HU20,"")</f>
        <v/>
      </c>
      <c r="HR18" s="185" t="str">
        <f>IF(Tim!HV20=FIT!$E$1,Tim!HV20,"")</f>
        <v/>
      </c>
      <c r="HS18" s="185" t="str">
        <f>IF(Tim!HW20=FIT!$E$1,Tim!HW20,"")</f>
        <v/>
      </c>
      <c r="HT18" s="185" t="str">
        <f>IF(Tim!HX20=FIT!$E$1,Tim!HX20,"")</f>
        <v/>
      </c>
      <c r="HU18" s="185" t="str">
        <f>IF(Tim!HY20=FIT!$E$1,Tim!HY20,"")</f>
        <v/>
      </c>
      <c r="HV18" s="185" t="str">
        <f>IF(Tim!HZ20=FIT!$E$1,Tim!HZ20,"")</f>
        <v/>
      </c>
      <c r="HW18" s="185" t="str">
        <f>IF(Tim!IA20=FIT!$E$1,Tim!IA20,"")</f>
        <v/>
      </c>
      <c r="HX18" s="185" t="str">
        <f>IF(Tim!IB20=FIT!$E$1,Tim!IB20,"")</f>
        <v/>
      </c>
      <c r="HY18" s="185" t="str">
        <f>IF(Tim!IC20=FIT!$E$1,Tim!IC20,"")</f>
        <v/>
      </c>
      <c r="HZ18" s="185" t="str">
        <f>IF(Tim!ID20=FIT!$E$1,Tim!ID20,"")</f>
        <v/>
      </c>
      <c r="IA18" s="185" t="str">
        <f>IF(Tim!IE20=FIT!$E$1,Tim!IE20,"")</f>
        <v/>
      </c>
      <c r="IB18" s="185" t="str">
        <f>IF(Tim!IF20=FIT!$E$1,Tim!IF20,"")</f>
        <v/>
      </c>
      <c r="IC18" s="185" t="str">
        <f>IF(Tim!IG20=FIT!$E$1,Tim!IG20,"")</f>
        <v/>
      </c>
      <c r="ID18" s="185" t="str">
        <f>IF(Tim!IH20=FIT!$E$1,Tim!IH20,"")</f>
        <v/>
      </c>
      <c r="IE18" s="185" t="str">
        <f>IF(Tim!II20=FIT!$E$1,Tim!II20,"")</f>
        <v/>
      </c>
      <c r="IF18" s="185" t="str">
        <f>IF(Tim!IJ20=FIT!$E$1,Tim!IJ20,"")</f>
        <v/>
      </c>
      <c r="IG18" s="185" t="str">
        <f>IF(Tim!IK20=FIT!$E$1,Tim!IK20,"")</f>
        <v/>
      </c>
      <c r="IH18" s="185" t="str">
        <f>IF(Tim!IL20=FIT!$E$1,Tim!IL20,"")</f>
        <v/>
      </c>
      <c r="II18" s="185" t="str">
        <f>IF(Tim!IM20=FIT!$E$1,Tim!IM20,"")</f>
        <v/>
      </c>
      <c r="IJ18" s="185" t="str">
        <f>IF(Tim!IN20=FIT!$E$1,Tim!IN20,"")</f>
        <v/>
      </c>
      <c r="IK18" s="185" t="str">
        <f>IF(Tim!IO20=FIT!$E$1,Tim!IO20,"")</f>
        <v/>
      </c>
      <c r="IL18" s="185" t="str">
        <f>IF(Tim!IP20=FIT!$E$1,Tim!IP20,"")</f>
        <v/>
      </c>
      <c r="IM18" s="185" t="str">
        <f>IF(Tim!IQ20=FIT!$E$1,Tim!IQ20,"")</f>
        <v/>
      </c>
      <c r="IN18" s="185" t="str">
        <f>IF(Tim!IR20=FIT!$E$1,Tim!IR20,"")</f>
        <v/>
      </c>
      <c r="IO18" s="185" t="str">
        <f>IF(Tim!IS20=FIT!$E$1,Tim!IS20,"")</f>
        <v/>
      </c>
      <c r="IP18" s="185" t="str">
        <f>IF(Tim!IT20=FIT!$E$1,Tim!IT20,"")</f>
        <v/>
      </c>
      <c r="IQ18" s="185" t="str">
        <f>IF(Tim!IU20=FIT!$E$1,Tim!IU20,"")</f>
        <v/>
      </c>
      <c r="IR18" s="185" t="str">
        <f>IF(Tim!IV20=FIT!$E$1,Tim!IV20,"")</f>
        <v/>
      </c>
      <c r="IS18" s="185" t="str">
        <f>IF(Tim!IW20=FIT!$E$1,Tim!IW20,"")</f>
        <v/>
      </c>
      <c r="IT18" s="185" t="str">
        <f>IF(Tim!IX20=FIT!$E$1,Tim!IX20,"")</f>
        <v/>
      </c>
      <c r="IU18" s="185" t="str">
        <f>IF(Tim!IY20=FIT!$E$1,Tim!IY20,"")</f>
        <v/>
      </c>
      <c r="IV18" s="185" t="str">
        <f>IF(Tim!IZ20=FIT!$E$1,Tim!IZ20,"")</f>
        <v/>
      </c>
      <c r="IW18" s="185" t="str">
        <f>IF(Tim!JA20=FIT!$E$1,Tim!JA20,"")</f>
        <v/>
      </c>
      <c r="IX18" s="185" t="str">
        <f>IF(Tim!JB20=FIT!$E$1,Tim!JB20,"")</f>
        <v/>
      </c>
      <c r="IY18" s="185" t="str">
        <f>IF(Tim!JC20=FIT!$E$1,Tim!JC20,"")</f>
        <v/>
      </c>
      <c r="IZ18" s="185" t="str">
        <f>IF(Tim!JD20=FIT!$E$1,Tim!JD20,"")</f>
        <v/>
      </c>
      <c r="JA18" s="185" t="str">
        <f>IF(Tim!JE20=FIT!$E$1,Tim!JE20,"")</f>
        <v/>
      </c>
      <c r="JB18" s="185" t="str">
        <f>IF(Tim!JF20=FIT!$E$1,Tim!JF20,"")</f>
        <v/>
      </c>
      <c r="JC18" s="185" t="str">
        <f>IF(Tim!JG20=FIT!$E$1,Tim!JG20,"")</f>
        <v/>
      </c>
      <c r="JD18" s="185" t="str">
        <f>IF(Tim!JH20=FIT!$E$1,Tim!JH20,"")</f>
        <v/>
      </c>
      <c r="JE18" s="185" t="str">
        <f>IF(Tim!JI20=FIT!$E$1,Tim!JI20,"")</f>
        <v/>
      </c>
      <c r="JF18" s="185" t="str">
        <f>IF(Tim!JJ20=FIT!$E$1,Tim!JJ20,"")</f>
        <v/>
      </c>
      <c r="JG18" s="185" t="str">
        <f>IF(Tim!JK20=FIT!$E$1,Tim!JK20,"")</f>
        <v/>
      </c>
      <c r="JH18" s="185" t="str">
        <f>IF(Tim!JL20=FIT!$E$1,Tim!JL20,"")</f>
        <v/>
      </c>
      <c r="JI18" s="185" t="str">
        <f>IF(Tim!JM20=FIT!$E$1,Tim!JM20,"")</f>
        <v/>
      </c>
      <c r="JJ18" s="185" t="str">
        <f>IF(Tim!JN20=FIT!$E$1,Tim!JN20,"")</f>
        <v/>
      </c>
      <c r="JK18" s="185" t="str">
        <f>IF(Tim!JO20=FIT!$E$1,Tim!JO20,"")</f>
        <v/>
      </c>
      <c r="JL18" s="185" t="str">
        <f>IF(Tim!JP20=FIT!$E$1,Tim!JP20,"")</f>
        <v/>
      </c>
      <c r="JM18" s="185" t="str">
        <f>IF(Tim!JQ20=FIT!$E$1,Tim!JQ20,"")</f>
        <v/>
      </c>
      <c r="JN18" s="185" t="str">
        <f>IF(Tim!JR20=FIT!$E$1,Tim!JR20,"")</f>
        <v/>
      </c>
      <c r="JO18" s="185" t="str">
        <f>IF(Tim!JS20=FIT!$E$1,Tim!JS20,"")</f>
        <v/>
      </c>
      <c r="JP18" s="185" t="str">
        <f>IF(Tim!JT20=FIT!$E$1,Tim!JT20,"")</f>
        <v/>
      </c>
      <c r="JQ18" s="185" t="str">
        <f>IF(Tim!JU20=FIT!$E$1,Tim!JU20,"")</f>
        <v/>
      </c>
      <c r="JR18" s="185" t="str">
        <f>IF(Tim!JV20=FIT!$E$1,Tim!JV20,"")</f>
        <v/>
      </c>
      <c r="JS18" s="185" t="str">
        <f>IF(Tim!JW20=FIT!$E$1,Tim!JW20,"")</f>
        <v/>
      </c>
      <c r="JT18" s="185" t="str">
        <f>IF(Tim!JX20=FIT!$E$1,Tim!JX20,"")</f>
        <v/>
      </c>
      <c r="JU18" s="185" t="str">
        <f>IF(Tim!JY20=FIT!$E$1,Tim!JY20,"")</f>
        <v/>
      </c>
      <c r="JV18" s="185" t="str">
        <f>IF(Tim!JZ20=FIT!$E$1,Tim!JZ20,"")</f>
        <v/>
      </c>
      <c r="JW18" s="185" t="str">
        <f>IF(Tim!KA20=FIT!$E$1,Tim!KA20,"")</f>
        <v/>
      </c>
      <c r="JX18" s="185" t="str">
        <f>IF(Tim!KB20=FIT!$E$1,Tim!KB20,"")</f>
        <v/>
      </c>
      <c r="JY18" s="185" t="str">
        <f>IF(Tim!KC20=FIT!$E$1,Tim!KC20,"")</f>
        <v/>
      </c>
      <c r="JZ18" s="185" t="str">
        <f>IF(Tim!KD20=FIT!$E$1,Tim!KD20,"")</f>
        <v/>
      </c>
      <c r="KA18" s="185" t="str">
        <f>IF(Tim!KE20=FIT!$E$1,Tim!KE20,"")</f>
        <v/>
      </c>
      <c r="KB18" s="185" t="str">
        <f>IF(Tim!KF20=FIT!$E$1,Tim!KF20,"")</f>
        <v/>
      </c>
      <c r="KC18" s="185" t="str">
        <f>IF(Tim!KG20=FIT!$E$1,Tim!KG20,"")</f>
        <v/>
      </c>
      <c r="KD18" s="185" t="str">
        <f>IF(Tim!KH20=FIT!$E$1,Tim!KH20,"")</f>
        <v/>
      </c>
      <c r="KE18" s="185" t="str">
        <f>IF(Tim!KI20=FIT!$E$1,Tim!KI20,"")</f>
        <v/>
      </c>
      <c r="KF18" s="185" t="str">
        <f>IF(Tim!KJ20=FIT!$E$1,Tim!KJ20,"")</f>
        <v/>
      </c>
      <c r="KG18" s="185" t="str">
        <f>IF(Tim!KK20=FIT!$E$1,Tim!KK20,"")</f>
        <v/>
      </c>
      <c r="KH18" s="185" t="str">
        <f>IF(Tim!KL20=FIT!$E$1,Tim!KL20,"")</f>
        <v/>
      </c>
      <c r="KI18" s="185" t="str">
        <f>IF(Tim!KM20=FIT!$E$1,Tim!KM20,"")</f>
        <v/>
      </c>
      <c r="KJ18" s="185" t="str">
        <f>IF(Tim!KN20=FIT!$E$1,Tim!KN20,"")</f>
        <v/>
      </c>
      <c r="KK18" s="185" t="str">
        <f>IF(Tim!KO20=FIT!$E$1,Tim!KO20,"")</f>
        <v/>
      </c>
      <c r="KL18" s="185" t="str">
        <f>IF(Tim!KP20=FIT!$E$1,Tim!KP20,"")</f>
        <v/>
      </c>
      <c r="KM18" s="185" t="str">
        <f>IF(Tim!KQ20=FIT!$E$1,Tim!KQ20,"")</f>
        <v/>
      </c>
      <c r="KN18" s="185" t="str">
        <f>IF(Tim!KR20=FIT!$E$1,Tim!KR20,"")</f>
        <v/>
      </c>
      <c r="KO18" s="185" t="str">
        <f>IF(Tim!KS20=FIT!$E$1,Tim!KS20,"")</f>
        <v/>
      </c>
      <c r="KP18" s="185" t="str">
        <f>IF(Tim!KT20=FIT!$E$1,Tim!KT20,"")</f>
        <v/>
      </c>
      <c r="KQ18" s="185" t="str">
        <f>IF(Tim!KU20=FIT!$E$1,Tim!KU20,"")</f>
        <v/>
      </c>
      <c r="KR18" s="185" t="str">
        <f>IF(Tim!KV20=FIT!$E$1,Tim!KV20,"")</f>
        <v/>
      </c>
      <c r="KS18" s="185" t="str">
        <f>IF(Tim!KW20=FIT!$E$1,Tim!KW20,"")</f>
        <v/>
      </c>
      <c r="KT18" s="185" t="str">
        <f>IF(Tim!KX20=FIT!$E$1,Tim!KX20,"")</f>
        <v/>
      </c>
      <c r="KU18" s="185" t="str">
        <f>IF(Tim!KY20=FIT!$E$1,Tim!KY20,"")</f>
        <v/>
      </c>
      <c r="KV18" s="185" t="str">
        <f>IF(Tim!KZ20=FIT!$E$1,Tim!KZ20,"")</f>
        <v/>
      </c>
      <c r="KW18" s="185" t="str">
        <f>IF(Tim!LA20=FIT!$E$1,Tim!LA20,"")</f>
        <v/>
      </c>
      <c r="KX18" s="185" t="str">
        <f>IF(Tim!LB20=FIT!$E$1,Tim!LB20,"")</f>
        <v/>
      </c>
      <c r="KY18" s="185" t="str">
        <f>IF(Tim!LC20=FIT!$E$1,Tim!LC20,"")</f>
        <v/>
      </c>
      <c r="KZ18" s="185" t="str">
        <f>IF(Tim!LD20=FIT!$E$1,Tim!LD20,"")</f>
        <v/>
      </c>
      <c r="LA18" s="185" t="str">
        <f>IF(Tim!LE20=FIT!$E$1,Tim!LE20,"")</f>
        <v/>
      </c>
      <c r="LB18" s="52">
        <v>0.42708333333333298</v>
      </c>
    </row>
    <row r="19" spans="2:314" ht="10.5" customHeight="1">
      <c r="B19" s="49">
        <v>0.25</v>
      </c>
      <c r="C19" s="49">
        <v>0.25</v>
      </c>
      <c r="D19" s="49">
        <v>0.25</v>
      </c>
      <c r="E19" s="172">
        <v>0.4375</v>
      </c>
      <c r="F19" s="238" t="str">
        <f>IF(Tim!F21=FIT!$E$1,Tim!F21,"")</f>
        <v/>
      </c>
      <c r="G19" s="185" t="str">
        <f>IF(Tim!G21=FIT!$E$1,Tim!G21,"")</f>
        <v/>
      </c>
      <c r="H19" s="185" t="str">
        <f>IF(Tim!H21=FIT!$E$1,Tim!H21,"")</f>
        <v/>
      </c>
      <c r="I19" s="185" t="str">
        <f>IF(Tim!I21=FIT!$E$1,Tim!I21,"")</f>
        <v/>
      </c>
      <c r="J19" s="185" t="str">
        <f>IF(Tim!J21=FIT!$E$1,Tim!J21,"")</f>
        <v/>
      </c>
      <c r="K19" s="185" t="str">
        <f>IF(Tim!K21=FIT!$E$1,Tim!K21,"")</f>
        <v/>
      </c>
      <c r="L19" s="185" t="str">
        <f>IF(Tim!L21=FIT!$E$1,Tim!L21,"")</f>
        <v/>
      </c>
      <c r="M19" s="185" t="str">
        <f>IF(Tim!M21=FIT!$E$1,Tim!M21,"")</f>
        <v/>
      </c>
      <c r="N19" s="185" t="str">
        <f>IF(Tim!N21=FIT!$E$1,Tim!N21,"")</f>
        <v/>
      </c>
      <c r="O19" s="185" t="str">
        <f>IF(Tim!O21=FIT!$E$1,Tim!O21,"")</f>
        <v/>
      </c>
      <c r="P19" s="185" t="str">
        <f>IF(Tim!P21=FIT!$E$1,Tim!P21,"")</f>
        <v/>
      </c>
      <c r="Q19" s="185" t="str">
        <f>IF(Tim!Q21=FIT!$E$1,Tim!Q21,"")</f>
        <v/>
      </c>
      <c r="R19" s="185" t="str">
        <f>IF(Tim!R21=FIT!$E$1,Tim!R21,"")</f>
        <v/>
      </c>
      <c r="S19" s="185" t="str">
        <f>IF(Tim!S21=FIT!$E$1,Tim!S21,"")</f>
        <v/>
      </c>
      <c r="T19" s="185" t="str">
        <f>IF(Tim!T21=FIT!$E$1,Tim!T21,"")</f>
        <v/>
      </c>
      <c r="U19" s="185" t="str">
        <f>IF(Tim!U21=FIT!$E$1,Tim!U21,"")</f>
        <v/>
      </c>
      <c r="V19" s="185" t="str">
        <f>IF(Tim!W21=FIT!$E$1,Tim!W21,"")</f>
        <v/>
      </c>
      <c r="W19" s="185" t="str">
        <f>IF(Tim!X21=FIT!$E$1,Tim!X21,"")</f>
        <v/>
      </c>
      <c r="X19" s="185" t="str">
        <f>IF(Tim!Y21=FIT!$E$1,Tim!Y21,"")</f>
        <v/>
      </c>
      <c r="Y19" s="185" t="str">
        <f>IF(Tim!Z21=FIT!$E$1,Tim!Z21,"")</f>
        <v/>
      </c>
      <c r="Z19" s="185" t="str">
        <f>IF(Tim!AA21=FIT!$E$1,Tim!AA21,"")</f>
        <v/>
      </c>
      <c r="AA19" s="185" t="str">
        <f>IF(Tim!AB21=FIT!$E$1,Tim!AB21,"")</f>
        <v/>
      </c>
      <c r="AB19" s="185" t="str">
        <f>IF(Tim!AC21=FIT!$E$1,Tim!AC21,"")</f>
        <v/>
      </c>
      <c r="AC19" s="185" t="str">
        <f>IF(Tim!AD21=FIT!$E$1,Tim!AD21,"")</f>
        <v/>
      </c>
      <c r="AD19" s="185" t="str">
        <f>IF(Tim!AE21=FIT!$E$1,Tim!AE21,"")</f>
        <v/>
      </c>
      <c r="AE19" s="185" t="str">
        <f>IF(Tim!AF21=FIT!$E$1,Tim!AF21,"")</f>
        <v/>
      </c>
      <c r="AF19" s="185" t="str">
        <f>IF(Tim!AG21=FIT!$E$1,Tim!AG21,"")</f>
        <v/>
      </c>
      <c r="AG19" s="185" t="str">
        <f>IF(Tim!AH21=FIT!$E$1,Tim!AH21,"")</f>
        <v/>
      </c>
      <c r="AH19" s="185" t="str">
        <f>IF(Tim!AI21=FIT!$E$1,Tim!AI21,"")</f>
        <v/>
      </c>
      <c r="AI19" s="185" t="str">
        <f>IF(Tim!AJ21=FIT!$E$1,Tim!AJ21,"")</f>
        <v/>
      </c>
      <c r="AJ19" s="185" t="str">
        <f>IF(Tim!AK21=FIT!$E$1,Tim!AK21,"")</f>
        <v/>
      </c>
      <c r="AK19" s="185" t="str">
        <f>IF(Tim!AL21=FIT!$E$1,Tim!AL21,"")</f>
        <v/>
      </c>
      <c r="AL19" s="185" t="str">
        <f>IF(Tim!AM21=FIT!$E$1,Tim!AM21,"")</f>
        <v/>
      </c>
      <c r="AM19" s="185" t="str">
        <f>IF(Tim!AN21=FIT!$E$1,Tim!AN21,"")</f>
        <v/>
      </c>
      <c r="AN19" s="185" t="str">
        <f>IF(Tim!AO21=FIT!$E$1,Tim!AO21,"")</f>
        <v/>
      </c>
      <c r="AO19" s="185" t="str">
        <f>IF(Tim!AP21=FIT!$E$1,Tim!AP21,"")</f>
        <v/>
      </c>
      <c r="AP19" s="185" t="str">
        <f>IF(Tim!AQ21=FIT!$E$1,Tim!AQ21,"")</f>
        <v/>
      </c>
      <c r="AQ19" s="185" t="str">
        <f>IF(Tim!AR21=FIT!$E$1,Tim!AR21,"")</f>
        <v/>
      </c>
      <c r="AR19" s="185" t="str">
        <f>IF(Tim!AS21=FIT!$E$1,Tim!AS21,"")</f>
        <v/>
      </c>
      <c r="AS19" s="185" t="str">
        <f>IF(Tim!AT21=FIT!$E$1,Tim!AT21,"")</f>
        <v/>
      </c>
      <c r="AT19" s="185" t="str">
        <f>IF(Tim!AU21=FIT!$E$1,Tim!AU21,"")</f>
        <v/>
      </c>
      <c r="AU19" s="185" t="str">
        <f>IF(Tim!AV21=FIT!$E$1,Tim!AV21,"")</f>
        <v/>
      </c>
      <c r="AV19" s="185" t="str">
        <f>IF(Tim!AW21=FIT!$E$1,Tim!AW21,"")</f>
        <v/>
      </c>
      <c r="AW19" s="186" t="str">
        <f>IF(Tim!AX21=FIT!$E$1,Tim!AX21,"")</f>
        <v/>
      </c>
      <c r="AX19" s="243" t="str">
        <f>IF(Tim!AY21=FIT!$E$1,Tim!AY21,"")</f>
        <v/>
      </c>
      <c r="AY19" s="185" t="str">
        <f>IF(Tim!AZ21=FIT!$E$1,Tim!AZ21,"")</f>
        <v/>
      </c>
      <c r="AZ19" s="185" t="str">
        <f>IF(Tim!BA21=FIT!$E$1,Tim!BA21,"")</f>
        <v/>
      </c>
      <c r="BA19" s="185" t="str">
        <f>IF(Tim!BB21=FIT!$E$1,Tim!BB21,"")</f>
        <v/>
      </c>
      <c r="BB19" s="185" t="str">
        <f>IF(Tim!BC21=FIT!$E$1,Tim!BC21,"")</f>
        <v/>
      </c>
      <c r="BC19" s="185" t="str">
        <f>IF(Tim!BD21=FIT!$E$1,Tim!BD21,"")</f>
        <v/>
      </c>
      <c r="BD19" s="185" t="str">
        <f>IF(Tim!BE21=FIT!$E$1,Tim!BE21,"")</f>
        <v/>
      </c>
      <c r="BE19" s="185" t="str">
        <f>IF(Tim!BF21=FIT!$E$1,Tim!BF21,"")</f>
        <v/>
      </c>
      <c r="BF19" s="185" t="str">
        <f>IF(Tim!BG21=FIT!$E$1,Tim!BG21,"")</f>
        <v/>
      </c>
      <c r="BG19" s="185" t="str">
        <f>IF(Tim!BH21=FIT!$E$1,Tim!BH21,"")</f>
        <v/>
      </c>
      <c r="BH19" s="185" t="str">
        <f>IF(Tim!BI21=FIT!$E$1,Tim!BI21,"")</f>
        <v/>
      </c>
      <c r="BI19" s="185" t="str">
        <f>IF(Tim!BJ21=FIT!$E$1,Tim!BJ21,"")</f>
        <v/>
      </c>
      <c r="BJ19" s="185" t="str">
        <f>IF(Tim!BK21=FIT!$E$1,Tim!BK21,"")</f>
        <v/>
      </c>
      <c r="BK19" s="185" t="str">
        <f>IF(Tim!BL21=FIT!$E$1,Tim!BL21,"")</f>
        <v/>
      </c>
      <c r="BL19" s="185" t="str">
        <f>IF(Tim!BM21=FIT!$E$1,Tim!BM21,"")</f>
        <v/>
      </c>
      <c r="BM19" s="185" t="str">
        <f>IF(Tim!BN21=FIT!$E$1,Tim!BN21,"")</f>
        <v/>
      </c>
      <c r="BN19" s="185" t="str">
        <f>IF(Tim!BO21=FIT!$E$1,Tim!BO21,"")</f>
        <v/>
      </c>
      <c r="BO19" s="185" t="str">
        <f>IF(Tim!BP21=FIT!$E$1,Tim!BP21,"")</f>
        <v/>
      </c>
      <c r="BP19" s="185" t="str">
        <f>IF(Tim!BQ21=FIT!$E$1,Tim!BQ21,"")</f>
        <v/>
      </c>
      <c r="BQ19" s="185" t="str">
        <f>IF(Tim!BR21=FIT!$E$1,Tim!BR21,"")</f>
        <v/>
      </c>
      <c r="BR19" s="185" t="str">
        <f>IF(Tim!BS21=FIT!$E$1,Tim!BS21,"")</f>
        <v/>
      </c>
      <c r="BS19" s="185" t="e">
        <f>IF(Tim!#REF!=FIT!$E$1,Tim!#REF!,"")</f>
        <v>#REF!</v>
      </c>
      <c r="BT19" s="185" t="str">
        <f>IF(Tim!BU21=FIT!$E$1,Tim!BU21,"")</f>
        <v/>
      </c>
      <c r="BU19" s="185" t="str">
        <f>IF(Tim!BV21=FIT!$E$1,Tim!BV21,"")</f>
        <v/>
      </c>
      <c r="BV19" s="185" t="str">
        <f>IF(Tim!BW21=FIT!$E$1,Tim!BW21,"")</f>
        <v/>
      </c>
      <c r="BW19" s="185" t="str">
        <f>IF(Tim!BX21=FIT!$E$1,Tim!BX21,"")</f>
        <v/>
      </c>
      <c r="BX19" s="185" t="str">
        <f>IF(Tim!BY21=FIT!$E$1,Tim!BY21,"")</f>
        <v/>
      </c>
      <c r="BY19" s="185" t="str">
        <f>IF(Tim!BZ21=FIT!$E$1,Tim!BZ21,"")</f>
        <v/>
      </c>
      <c r="BZ19" s="185" t="str">
        <f>IF(Tim!CA21=FIT!$E$1,Tim!CA21,"")</f>
        <v/>
      </c>
      <c r="CA19" s="185" t="str">
        <f>IF(Tim!CB21=FIT!$E$1,Tim!CB21,"")</f>
        <v/>
      </c>
      <c r="CB19" s="185" t="str">
        <f>IF(Tim!CC21=FIT!$E$1,Tim!CC21,"")</f>
        <v/>
      </c>
      <c r="CC19" s="185" t="str">
        <f>IF(Tim!CD21=FIT!$E$1,Tim!CD21,"")</f>
        <v/>
      </c>
      <c r="CD19" s="185" t="str">
        <f>IF(Tim!CE21=FIT!$E$1,Tim!CE21,"")</f>
        <v/>
      </c>
      <c r="CE19" s="185" t="str">
        <f>IF(Tim!CF21=FIT!$E$1,Tim!CF21,"")</f>
        <v/>
      </c>
      <c r="CF19" s="185" t="str">
        <f>IF(Tim!CG21=FIT!$E$1,Tim!CG21,"")</f>
        <v/>
      </c>
      <c r="CG19" s="185" t="str">
        <f>IF(Tim!CH21=FIT!$E$1,Tim!CH21,"")</f>
        <v/>
      </c>
      <c r="CH19" s="185" t="str">
        <f>IF(Tim!CI21=FIT!$E$1,Tim!CI21,"")</f>
        <v/>
      </c>
      <c r="CI19" s="185" t="str">
        <f>IF(Tim!CJ21=FIT!$E$1,Tim!CJ21,"")</f>
        <v/>
      </c>
      <c r="CJ19" s="185" t="str">
        <f>IF(Tim!CK21=FIT!$E$1,Tim!CK21,"")</f>
        <v/>
      </c>
      <c r="CK19" s="185" t="str">
        <f>IF(Tim!CL21=FIT!$E$1,Tim!CL21,"")</f>
        <v/>
      </c>
      <c r="CL19" s="185" t="str">
        <f>IF(Tim!CM21=FIT!$E$1,Tim!CM21,"")</f>
        <v/>
      </c>
      <c r="CM19" s="185" t="str">
        <f>IF(Tim!CN21=FIT!$E$1,Tim!CN21,"")</f>
        <v/>
      </c>
      <c r="CN19" s="185" t="str">
        <f>IF(Tim!CO21=FIT!$E$1,Tim!CO21,"")</f>
        <v/>
      </c>
      <c r="CO19" s="185" t="str">
        <f>IF(Tim!CP21=FIT!$E$1,Tim!CP21,"")</f>
        <v/>
      </c>
      <c r="CP19" s="185" t="str">
        <f>IF(Tim!CQ21=FIT!$E$1,Tim!CQ21,"")</f>
        <v/>
      </c>
      <c r="CQ19" s="185" t="str">
        <f>IF(Tim!CR21=FIT!$E$1,Tim!CR21,"")</f>
        <v/>
      </c>
      <c r="CR19" s="185" t="str">
        <f>IF(Tim!CS21=FIT!$E$1,Tim!CS21,"")</f>
        <v/>
      </c>
      <c r="CS19" s="185" t="str">
        <f>IF(Tim!CT21=FIT!$E$1,Tim!CT21,"")</f>
        <v/>
      </c>
      <c r="CT19" s="185" t="str">
        <f>IF(Tim!CU21=FIT!$E$1,Tim!CU21,"")</f>
        <v/>
      </c>
      <c r="CU19" s="185" t="str">
        <f>IF(Tim!CV21=FIT!$E$1,Tim!CV21,"")</f>
        <v/>
      </c>
      <c r="CV19" s="185" t="str">
        <f>IF(Tim!CW21=FIT!$E$1,Tim!CW21,"")</f>
        <v/>
      </c>
      <c r="CW19" s="185" t="str">
        <f>IF(Tim!CX21=FIT!$E$1,Tim!CX21,"")</f>
        <v/>
      </c>
      <c r="CX19" s="185" t="str">
        <f>IF(Tim!CY21=FIT!$E$1,Tim!CY21,"")</f>
        <v/>
      </c>
      <c r="CY19" s="185" t="str">
        <f>IF(Tim!CZ21=FIT!$E$1,Tim!CZ21,"")</f>
        <v/>
      </c>
      <c r="CZ19" s="185" t="str">
        <f>IF(Tim!DA21=FIT!$E$1,Tim!DA21,"")</f>
        <v/>
      </c>
      <c r="DA19" s="185" t="str">
        <f>IF(Tim!DB21=FIT!$E$1,Tim!DB21,"")</f>
        <v/>
      </c>
      <c r="DB19" s="185" t="str">
        <f>IF(Tim!DC21=FIT!$E$1,Tim!DC21,"")</f>
        <v/>
      </c>
      <c r="DC19" s="185" t="str">
        <f>IF(Tim!DD21=FIT!$E$1,Tim!DD21,"")</f>
        <v/>
      </c>
      <c r="DD19" s="185" t="str">
        <f>IF(Tim!DE21=FIT!$E$1,Tim!DE21,"")</f>
        <v/>
      </c>
      <c r="DE19" s="185" t="str">
        <f>IF(Tim!DF21=FIT!$E$1,Tim!DF21,"")</f>
        <v/>
      </c>
      <c r="DF19" s="185" t="str">
        <f>IF(Tim!DG21=FIT!$E$1,Tim!DG21,"")</f>
        <v/>
      </c>
      <c r="DG19" s="185" t="str">
        <f>IF(Tim!DH21=FIT!$E$1,Tim!DH21,"")</f>
        <v/>
      </c>
      <c r="DH19" s="185" t="e">
        <f>IF(Tim!#REF!=FIT!$E$1,Tim!#REF!,"")</f>
        <v>#REF!</v>
      </c>
      <c r="DI19" s="185" t="str">
        <f>IF(Tim!DM21=FIT!$E$1,Tim!DM21,"")</f>
        <v/>
      </c>
      <c r="DJ19" s="185" t="str">
        <f>IF(Tim!DN21=FIT!$E$1,Tim!DN21,"")</f>
        <v/>
      </c>
      <c r="DK19" s="185" t="str">
        <f>IF(Tim!DO21=FIT!$E$1,Tim!DO21,"")</f>
        <v/>
      </c>
      <c r="DL19" s="185" t="str">
        <f>IF(Tim!DP21=FIT!$E$1,Tim!DP21,"")</f>
        <v/>
      </c>
      <c r="DM19" s="185" t="str">
        <f>IF(Tim!DQ21=FIT!$E$1,Tim!DQ21,"")</f>
        <v/>
      </c>
      <c r="DN19" s="185" t="str">
        <f>IF(Tim!DR21=FIT!$E$1,Tim!DR21,"")</f>
        <v/>
      </c>
      <c r="DO19" s="185" t="str">
        <f>IF(Tim!DS21=FIT!$E$1,Tim!DS21,"")</f>
        <v/>
      </c>
      <c r="DP19" s="185" t="str">
        <f>IF(Tim!DT21=FIT!$E$1,Tim!DT21,"")</f>
        <v/>
      </c>
      <c r="DQ19" s="185" t="str">
        <f>IF(Tim!DU21=FIT!$E$1,Tim!DU21,"")</f>
        <v/>
      </c>
      <c r="DR19" s="185" t="str">
        <f>IF(Tim!DV21=FIT!$E$1,Tim!DV21,"")</f>
        <v/>
      </c>
      <c r="DS19" s="185" t="str">
        <f>IF(Tim!DW21=FIT!$E$1,Tim!DW21,"")</f>
        <v/>
      </c>
      <c r="DT19" s="185" t="str">
        <f>IF(Tim!DX21=FIT!$E$1,Tim!DX21,"")</f>
        <v/>
      </c>
      <c r="DU19" s="185" t="str">
        <f>IF(Tim!DY21=FIT!$E$1,Tim!DY21,"")</f>
        <v/>
      </c>
      <c r="DV19" s="185" t="str">
        <f>IF(Tim!DZ21=FIT!$E$1,Tim!DZ21,"")</f>
        <v/>
      </c>
      <c r="DW19" s="185" t="str">
        <f>IF(Tim!EA21=FIT!$E$1,Tim!EA21,"")</f>
        <v/>
      </c>
      <c r="DX19" s="185" t="str">
        <f>IF(Tim!EB21=FIT!$E$1,Tim!EB21,"")</f>
        <v/>
      </c>
      <c r="DY19" s="185" t="str">
        <f>IF(Tim!EC21=FIT!$E$1,Tim!EC21,"")</f>
        <v/>
      </c>
      <c r="DZ19" s="185" t="str">
        <f>IF(Tim!ED21=FIT!$E$1,Tim!ED21,"")</f>
        <v/>
      </c>
      <c r="EA19" s="185" t="str">
        <f>IF(Tim!EE21=FIT!$E$1,Tim!EE21,"")</f>
        <v/>
      </c>
      <c r="EB19" s="185" t="str">
        <f>IF(Tim!EF21=FIT!$E$1,Tim!EF21,"")</f>
        <v/>
      </c>
      <c r="EC19" s="185" t="str">
        <f>IF(Tim!EG21=FIT!$E$1,Tim!EG21,"")</f>
        <v/>
      </c>
      <c r="ED19" s="185" t="str">
        <f>IF(Tim!EH21=FIT!$E$1,Tim!EH21,"")</f>
        <v/>
      </c>
      <c r="EE19" s="185" t="str">
        <f>IF(Tim!EI21=FIT!$E$1,Tim!EI21,"")</f>
        <v/>
      </c>
      <c r="EF19" s="185" t="str">
        <f>IF(Tim!EJ21=FIT!$E$1,Tim!EJ21,"")</f>
        <v/>
      </c>
      <c r="EG19" s="185" t="str">
        <f>IF(Tim!EK21=FIT!$E$1,Tim!EK21,"")</f>
        <v/>
      </c>
      <c r="EH19" s="185" t="str">
        <f>IF(Tim!EL21=FIT!$E$1,Tim!EL21,"")</f>
        <v/>
      </c>
      <c r="EI19" s="185" t="str">
        <f>IF(Tim!EM21=FIT!$E$1,Tim!EM21,"")</f>
        <v/>
      </c>
      <c r="EJ19" s="185" t="str">
        <f>IF(Tim!EN21=FIT!$E$1,Tim!EN21,"")</f>
        <v/>
      </c>
      <c r="EK19" s="185" t="str">
        <f>IF(Tim!EO21=FIT!$E$1,Tim!EO21,"")</f>
        <v/>
      </c>
      <c r="EL19" s="185" t="str">
        <f>IF(Tim!EP21=FIT!$E$1,Tim!EP21,"")</f>
        <v/>
      </c>
      <c r="EM19" s="185" t="str">
        <f>IF(Tim!EQ21=FIT!$E$1,Tim!EQ21,"")</f>
        <v/>
      </c>
      <c r="EN19" s="185" t="str">
        <f>IF(Tim!ER21=FIT!$E$1,Tim!ER21,"")</f>
        <v/>
      </c>
      <c r="EO19" s="185" t="str">
        <f>IF(Tim!ES21=FIT!$E$1,Tim!ES21,"")</f>
        <v/>
      </c>
      <c r="EP19" s="185" t="str">
        <f>IF(Tim!ET21=FIT!$E$1,Tim!ET21,"")</f>
        <v/>
      </c>
      <c r="EQ19" s="185" t="str">
        <f>IF(Tim!EU21=FIT!$E$1,Tim!EU21,"")</f>
        <v/>
      </c>
      <c r="ER19" s="185" t="str">
        <f>IF(Tim!EV21=FIT!$E$1,Tim!EV21,"")</f>
        <v/>
      </c>
      <c r="ES19" s="185" t="str">
        <f>IF(Tim!EW21=FIT!$E$1,Tim!EW21,"")</f>
        <v/>
      </c>
      <c r="ET19" s="185" t="str">
        <f>IF(Tim!EX21=FIT!$E$1,Tim!EX21,"")</f>
        <v/>
      </c>
      <c r="EU19" s="185" t="str">
        <f>IF(Tim!EY21=FIT!$E$1,Tim!EY21,"")</f>
        <v/>
      </c>
      <c r="EV19" s="185" t="str">
        <f>IF(Tim!EZ21=FIT!$E$1,Tim!EZ21,"")</f>
        <v/>
      </c>
      <c r="EW19" s="185" t="str">
        <f>IF(Tim!FA21=FIT!$E$1,Tim!FA21,"")</f>
        <v/>
      </c>
      <c r="EX19" s="185" t="str">
        <f>IF(Tim!FB21=FIT!$E$1,Tim!FB21,"")</f>
        <v/>
      </c>
      <c r="EY19" s="185" t="str">
        <f>IF(Tim!FC21=FIT!$E$1,Tim!FC21,"")</f>
        <v/>
      </c>
      <c r="EZ19" s="185" t="str">
        <f>IF(Tim!FD21=FIT!$E$1,Tim!FD21,"")</f>
        <v/>
      </c>
      <c r="FA19" s="185" t="str">
        <f>IF(Tim!FE21=FIT!$E$1,Tim!FE21,"")</f>
        <v/>
      </c>
      <c r="FB19" s="185" t="str">
        <f>IF(Tim!FF21=FIT!$E$1,Tim!FF21,"")</f>
        <v/>
      </c>
      <c r="FC19" s="185" t="str">
        <f>IF(Tim!FG21=FIT!$E$1,Tim!FG21,"")</f>
        <v/>
      </c>
      <c r="FD19" s="185" t="str">
        <f>IF(Tim!FH21=FIT!$E$1,Tim!FH21,"")</f>
        <v/>
      </c>
      <c r="FE19" s="185" t="str">
        <f>IF(Tim!FI21=FIT!$E$1,Tim!FI21,"")</f>
        <v/>
      </c>
      <c r="FF19" s="185" t="str">
        <f>IF(Tim!FJ21=FIT!$E$1,Tim!FJ21,"")</f>
        <v/>
      </c>
      <c r="FG19" s="185" t="str">
        <f>IF(Tim!FK21=FIT!$E$1,Tim!FK21,"")</f>
        <v/>
      </c>
      <c r="FH19" s="185" t="str">
        <f>IF(Tim!FL21=FIT!$E$1,Tim!FL21,"")</f>
        <v/>
      </c>
      <c r="FI19" s="185" t="str">
        <f>IF(Tim!FM21=FIT!$E$1,Tim!FM21,"")</f>
        <v/>
      </c>
      <c r="FJ19" s="185" t="str">
        <f>IF(Tim!FN21=FIT!$E$1,Tim!FN21,"")</f>
        <v/>
      </c>
      <c r="FK19" s="185" t="str">
        <f>IF(Tim!FO21=FIT!$E$1,Tim!FO21,"")</f>
        <v/>
      </c>
      <c r="FL19" s="185" t="str">
        <f>IF(Tim!FP21=FIT!$E$1,Tim!FP21,"")</f>
        <v/>
      </c>
      <c r="FM19" s="185" t="str">
        <f>IF(Tim!FQ21=FIT!$E$1,Tim!FQ21,"")</f>
        <v/>
      </c>
      <c r="FN19" s="185" t="str">
        <f>IF(Tim!FR21=FIT!$E$1,Tim!FR21,"")</f>
        <v/>
      </c>
      <c r="FO19" s="185" t="str">
        <f>IF(Tim!FS21=FIT!$E$1,Tim!FS21,"")</f>
        <v/>
      </c>
      <c r="FP19" s="185" t="str">
        <f>IF(Tim!FT21=FIT!$E$1,Tim!FT21,"")</f>
        <v/>
      </c>
      <c r="FQ19" s="185" t="str">
        <f>IF(Tim!FU21=FIT!$E$1,Tim!FU21,"")</f>
        <v/>
      </c>
      <c r="FR19" s="185" t="str">
        <f>IF(Tim!FV21=FIT!$E$1,Tim!FV21,"")</f>
        <v/>
      </c>
      <c r="FS19" s="185" t="str">
        <f>IF(Tim!FW21=FIT!$E$1,Tim!FW21,"")</f>
        <v/>
      </c>
      <c r="FT19" s="185" t="str">
        <f>IF(Tim!FX21=FIT!$E$1,Tim!FX21,"")</f>
        <v/>
      </c>
      <c r="FU19" s="185" t="str">
        <f>IF(Tim!FY21=FIT!$E$1,Tim!FY21,"")</f>
        <v/>
      </c>
      <c r="FV19" s="185" t="str">
        <f>IF(Tim!FZ21=FIT!$E$1,Tim!FZ21,"")</f>
        <v/>
      </c>
      <c r="FW19" s="185" t="str">
        <f>IF(Tim!GA21=FIT!$E$1,Tim!GA21,"")</f>
        <v/>
      </c>
      <c r="FX19" s="185" t="str">
        <f>IF(Tim!GB21=FIT!$E$1,Tim!GB21,"")</f>
        <v/>
      </c>
      <c r="FY19" s="185" t="str">
        <f>IF(Tim!GC21=FIT!$E$1,Tim!GC21,"")</f>
        <v/>
      </c>
      <c r="FZ19" s="185" t="str">
        <f>IF(Tim!GD21=FIT!$E$1,Tim!GD21,"")</f>
        <v/>
      </c>
      <c r="GA19" s="185" t="str">
        <f>IF(Tim!GE21=FIT!$E$1,Tim!GE21,"")</f>
        <v/>
      </c>
      <c r="GB19" s="185" t="str">
        <f>IF(Tim!GF21=FIT!$E$1,Tim!GF21,"")</f>
        <v/>
      </c>
      <c r="GC19" s="185" t="str">
        <f>IF(Tim!GG21=FIT!$E$1,Tim!GG21,"")</f>
        <v/>
      </c>
      <c r="GD19" s="185" t="str">
        <f>IF(Tim!GH21=FIT!$E$1,Tim!GH21,"")</f>
        <v/>
      </c>
      <c r="GE19" s="185" t="str">
        <f>IF(Tim!GI21=FIT!$E$1,Tim!GI21,"")</f>
        <v/>
      </c>
      <c r="GF19" s="185" t="str">
        <f>IF(Tim!GJ21=FIT!$E$1,Tim!GJ21,"")</f>
        <v/>
      </c>
      <c r="GG19" s="185" t="str">
        <f>IF(Tim!GK21=FIT!$E$1,Tim!GK21,"")</f>
        <v/>
      </c>
      <c r="GH19" s="185" t="str">
        <f>IF(Tim!GL21=FIT!$E$1,Tim!GL21,"")</f>
        <v/>
      </c>
      <c r="GI19" s="185" t="str">
        <f>IF(Tim!GM21=FIT!$E$1,Tim!GM21,"")</f>
        <v/>
      </c>
      <c r="GJ19" s="185" t="str">
        <f>IF(Tim!GN21=FIT!$E$1,Tim!GN21,"")</f>
        <v/>
      </c>
      <c r="GK19" s="185" t="str">
        <f>IF(Tim!GO21=FIT!$E$1,Tim!GO21,"")</f>
        <v/>
      </c>
      <c r="GL19" s="185" t="str">
        <f>IF(Tim!GP21=FIT!$E$1,Tim!GP21,"")</f>
        <v/>
      </c>
      <c r="GM19" s="185" t="str">
        <f>IF(Tim!GQ21=FIT!$E$1,Tim!GQ21,"")</f>
        <v/>
      </c>
      <c r="GN19" s="185" t="str">
        <f>IF(Tim!GR21=FIT!$E$1,Tim!GR21,"")</f>
        <v/>
      </c>
      <c r="GO19" s="185" t="str">
        <f>IF(Tim!GS21=FIT!$E$1,Tim!GS21,"")</f>
        <v/>
      </c>
      <c r="GP19" s="185" t="str">
        <f>IF(Tim!GT21=FIT!$E$1,Tim!GT21,"")</f>
        <v/>
      </c>
      <c r="GQ19" s="185" t="str">
        <f>IF(Tim!GU21=FIT!$E$1,Tim!GU21,"")</f>
        <v/>
      </c>
      <c r="GR19" s="185" t="str">
        <f>IF(Tim!GV21=FIT!$E$1,Tim!GV21,"")</f>
        <v/>
      </c>
      <c r="GS19" s="185" t="str">
        <f>IF(Tim!GW21=FIT!$E$1,Tim!GW21,"")</f>
        <v/>
      </c>
      <c r="GT19" s="185" t="str">
        <f>IF(Tim!GX21=FIT!$E$1,Tim!GX21,"")</f>
        <v/>
      </c>
      <c r="GU19" s="185" t="str">
        <f>IF(Tim!GY21=FIT!$E$1,Tim!GY21,"")</f>
        <v/>
      </c>
      <c r="GV19" s="185" t="str">
        <f>IF(Tim!GZ21=FIT!$E$1,Tim!GZ21,"")</f>
        <v/>
      </c>
      <c r="GW19" s="185" t="str">
        <f>IF(Tim!HA21=FIT!$E$1,Tim!HA21,"")</f>
        <v/>
      </c>
      <c r="GX19" s="185" t="str">
        <f>IF(Tim!HB21=FIT!$E$1,Tim!HB21,"")</f>
        <v/>
      </c>
      <c r="GY19" s="185" t="str">
        <f>IF(Tim!HC21=FIT!$E$1,Tim!HC21,"")</f>
        <v/>
      </c>
      <c r="GZ19" s="185" t="str">
        <f>IF(Tim!HD21=FIT!$E$1,Tim!HD21,"")</f>
        <v/>
      </c>
      <c r="HA19" s="185" t="str">
        <f>IF(Tim!HE21=FIT!$E$1,Tim!HE21,"")</f>
        <v/>
      </c>
      <c r="HB19" s="185" t="str">
        <f>IF(Tim!HF21=FIT!$E$1,Tim!HF21,"")</f>
        <v/>
      </c>
      <c r="HC19" s="185" t="str">
        <f>IF(Tim!HG21=FIT!$E$1,Tim!HG21,"")</f>
        <v/>
      </c>
      <c r="HD19" s="185" t="str">
        <f>IF(Tim!HH21=FIT!$E$1,Tim!HH21,"")</f>
        <v/>
      </c>
      <c r="HE19" s="185" t="str">
        <f>IF(Tim!HI21=FIT!$E$1,Tim!HI21,"")</f>
        <v/>
      </c>
      <c r="HF19" s="185" t="str">
        <f>IF(Tim!HJ21=FIT!$E$1,Tim!HJ21,"")</f>
        <v/>
      </c>
      <c r="HG19" s="185" t="str">
        <f>IF(Tim!HK21=FIT!$E$1,Tim!HK21,"")</f>
        <v/>
      </c>
      <c r="HH19" s="185" t="str">
        <f>IF(Tim!HL21=FIT!$E$1,Tim!HL21,"")</f>
        <v/>
      </c>
      <c r="HI19" s="185" t="str">
        <f>IF(Tim!HM21=FIT!$E$1,Tim!HM21,"")</f>
        <v/>
      </c>
      <c r="HJ19" s="185" t="str">
        <f>IF(Tim!HN21=FIT!$E$1,Tim!HN21,"")</f>
        <v/>
      </c>
      <c r="HK19" s="185" t="str">
        <f>IF(Tim!HO21=FIT!$E$1,Tim!HO21,"")</f>
        <v/>
      </c>
      <c r="HL19" s="185" t="str">
        <f>IF(Tim!HP21=FIT!$E$1,Tim!HP21,"")</f>
        <v/>
      </c>
      <c r="HM19" s="185" t="str">
        <f>IF(Tim!HQ21=FIT!$E$1,Tim!HQ21,"")</f>
        <v/>
      </c>
      <c r="HN19" s="185" t="str">
        <f>IF(Tim!HR21=FIT!$E$1,Tim!HR21,"")</f>
        <v/>
      </c>
      <c r="HO19" s="185" t="str">
        <f>IF(Tim!HS21=FIT!$E$1,Tim!HS21,"")</f>
        <v/>
      </c>
      <c r="HP19" s="185" t="str">
        <f>IF(Tim!HT21=FIT!$E$1,Tim!HT21,"")</f>
        <v/>
      </c>
      <c r="HQ19" s="185" t="str">
        <f>IF(Tim!HU21=FIT!$E$1,Tim!HU21,"")</f>
        <v/>
      </c>
      <c r="HR19" s="185" t="str">
        <f>IF(Tim!HV21=FIT!$E$1,Tim!HV21,"")</f>
        <v/>
      </c>
      <c r="HS19" s="185" t="str">
        <f>IF(Tim!HW21=FIT!$E$1,Tim!HW21,"")</f>
        <v/>
      </c>
      <c r="HT19" s="185" t="str">
        <f>IF(Tim!HX21=FIT!$E$1,Tim!HX21,"")</f>
        <v/>
      </c>
      <c r="HU19" s="185" t="str">
        <f>IF(Tim!HY21=FIT!$E$1,Tim!HY21,"")</f>
        <v/>
      </c>
      <c r="HV19" s="185" t="str">
        <f>IF(Tim!HZ21=FIT!$E$1,Tim!HZ21,"")</f>
        <v/>
      </c>
      <c r="HW19" s="185" t="str">
        <f>IF(Tim!IA21=FIT!$E$1,Tim!IA21,"")</f>
        <v/>
      </c>
      <c r="HX19" s="185" t="str">
        <f>IF(Tim!IB21=FIT!$E$1,Tim!IB21,"")</f>
        <v/>
      </c>
      <c r="HY19" s="185" t="str">
        <f>IF(Tim!IC21=FIT!$E$1,Tim!IC21,"")</f>
        <v/>
      </c>
      <c r="HZ19" s="185" t="str">
        <f>IF(Tim!ID21=FIT!$E$1,Tim!ID21,"")</f>
        <v/>
      </c>
      <c r="IA19" s="185" t="str">
        <f>IF(Tim!IE21=FIT!$E$1,Tim!IE21,"")</f>
        <v/>
      </c>
      <c r="IB19" s="185" t="str">
        <f>IF(Tim!IF21=FIT!$E$1,Tim!IF21,"")</f>
        <v/>
      </c>
      <c r="IC19" s="185" t="str">
        <f>IF(Tim!IG21=FIT!$E$1,Tim!IG21,"")</f>
        <v/>
      </c>
      <c r="ID19" s="185" t="str">
        <f>IF(Tim!IH21=FIT!$E$1,Tim!IH21,"")</f>
        <v/>
      </c>
      <c r="IE19" s="185" t="str">
        <f>IF(Tim!II21=FIT!$E$1,Tim!II21,"")</f>
        <v/>
      </c>
      <c r="IF19" s="185" t="str">
        <f>IF(Tim!IJ21=FIT!$E$1,Tim!IJ21,"")</f>
        <v/>
      </c>
      <c r="IG19" s="185" t="str">
        <f>IF(Tim!IK21=FIT!$E$1,Tim!IK21,"")</f>
        <v/>
      </c>
      <c r="IH19" s="185" t="str">
        <f>IF(Tim!IL21=FIT!$E$1,Tim!IL21,"")</f>
        <v/>
      </c>
      <c r="II19" s="185" t="str">
        <f>IF(Tim!IM21=FIT!$E$1,Tim!IM21,"")</f>
        <v/>
      </c>
      <c r="IJ19" s="185" t="str">
        <f>IF(Tim!IN21=FIT!$E$1,Tim!IN21,"")</f>
        <v/>
      </c>
      <c r="IK19" s="185" t="str">
        <f>IF(Tim!IO21=FIT!$E$1,Tim!IO21,"")</f>
        <v/>
      </c>
      <c r="IL19" s="185" t="str">
        <f>IF(Tim!IP21=FIT!$E$1,Tim!IP21,"")</f>
        <v/>
      </c>
      <c r="IM19" s="185" t="str">
        <f>IF(Tim!IQ21=FIT!$E$1,Tim!IQ21,"")</f>
        <v/>
      </c>
      <c r="IN19" s="185" t="str">
        <f>IF(Tim!IR21=FIT!$E$1,Tim!IR21,"")</f>
        <v/>
      </c>
      <c r="IO19" s="185" t="str">
        <f>IF(Tim!IS21=FIT!$E$1,Tim!IS21,"")</f>
        <v/>
      </c>
      <c r="IP19" s="185" t="str">
        <f>IF(Tim!IT21=FIT!$E$1,Tim!IT21,"")</f>
        <v/>
      </c>
      <c r="IQ19" s="185" t="str">
        <f>IF(Tim!IU21=FIT!$E$1,Tim!IU21,"")</f>
        <v/>
      </c>
      <c r="IR19" s="185" t="str">
        <f>IF(Tim!IV21=FIT!$E$1,Tim!IV21,"")</f>
        <v/>
      </c>
      <c r="IS19" s="185" t="str">
        <f>IF(Tim!IW21=FIT!$E$1,Tim!IW21,"")</f>
        <v/>
      </c>
      <c r="IT19" s="185" t="str">
        <f>IF(Tim!IX21=FIT!$E$1,Tim!IX21,"")</f>
        <v/>
      </c>
      <c r="IU19" s="185" t="str">
        <f>IF(Tim!IY21=FIT!$E$1,Tim!IY21,"")</f>
        <v/>
      </c>
      <c r="IV19" s="185" t="str">
        <f>IF(Tim!IZ21=FIT!$E$1,Tim!IZ21,"")</f>
        <v/>
      </c>
      <c r="IW19" s="185" t="str">
        <f>IF(Tim!JA21=FIT!$E$1,Tim!JA21,"")</f>
        <v/>
      </c>
      <c r="IX19" s="185" t="str">
        <f>IF(Tim!JB21=FIT!$E$1,Tim!JB21,"")</f>
        <v/>
      </c>
      <c r="IY19" s="185" t="str">
        <f>IF(Tim!JC21=FIT!$E$1,Tim!JC21,"")</f>
        <v/>
      </c>
      <c r="IZ19" s="185" t="str">
        <f>IF(Tim!JD21=FIT!$E$1,Tim!JD21,"")</f>
        <v/>
      </c>
      <c r="JA19" s="185" t="str">
        <f>IF(Tim!JE21=FIT!$E$1,Tim!JE21,"")</f>
        <v/>
      </c>
      <c r="JB19" s="185" t="str">
        <f>IF(Tim!JF21=FIT!$E$1,Tim!JF21,"")</f>
        <v/>
      </c>
      <c r="JC19" s="185" t="str">
        <f>IF(Tim!JG21=FIT!$E$1,Tim!JG21,"")</f>
        <v/>
      </c>
      <c r="JD19" s="185" t="str">
        <f>IF(Tim!JH21=FIT!$E$1,Tim!JH21,"")</f>
        <v/>
      </c>
      <c r="JE19" s="185" t="str">
        <f>IF(Tim!JI21=FIT!$E$1,Tim!JI21,"")</f>
        <v/>
      </c>
      <c r="JF19" s="185" t="str">
        <f>IF(Tim!JJ21=FIT!$E$1,Tim!JJ21,"")</f>
        <v/>
      </c>
      <c r="JG19" s="185" t="str">
        <f>IF(Tim!JK21=FIT!$E$1,Tim!JK21,"")</f>
        <v/>
      </c>
      <c r="JH19" s="185" t="str">
        <f>IF(Tim!JL21=FIT!$E$1,Tim!JL21,"")</f>
        <v/>
      </c>
      <c r="JI19" s="185" t="str">
        <f>IF(Tim!JM21=FIT!$E$1,Tim!JM21,"")</f>
        <v/>
      </c>
      <c r="JJ19" s="185" t="str">
        <f>IF(Tim!JN21=FIT!$E$1,Tim!JN21,"")</f>
        <v/>
      </c>
      <c r="JK19" s="185" t="str">
        <f>IF(Tim!JO21=FIT!$E$1,Tim!JO21,"")</f>
        <v/>
      </c>
      <c r="JL19" s="185" t="str">
        <f>IF(Tim!JP21=FIT!$E$1,Tim!JP21,"")</f>
        <v/>
      </c>
      <c r="JM19" s="185" t="str">
        <f>IF(Tim!JQ21=FIT!$E$1,Tim!JQ21,"")</f>
        <v/>
      </c>
      <c r="JN19" s="185" t="str">
        <f>IF(Tim!JR21=FIT!$E$1,Tim!JR21,"")</f>
        <v/>
      </c>
      <c r="JO19" s="185" t="str">
        <f>IF(Tim!JS21=FIT!$E$1,Tim!JS21,"")</f>
        <v/>
      </c>
      <c r="JP19" s="185" t="str">
        <f>IF(Tim!JT21=FIT!$E$1,Tim!JT21,"")</f>
        <v/>
      </c>
      <c r="JQ19" s="185" t="str">
        <f>IF(Tim!JU21=FIT!$E$1,Tim!JU21,"")</f>
        <v/>
      </c>
      <c r="JR19" s="185" t="str">
        <f>IF(Tim!JV21=FIT!$E$1,Tim!JV21,"")</f>
        <v/>
      </c>
      <c r="JS19" s="185" t="str">
        <f>IF(Tim!JW21=FIT!$E$1,Tim!JW21,"")</f>
        <v/>
      </c>
      <c r="JT19" s="185" t="str">
        <f>IF(Tim!JX21=FIT!$E$1,Tim!JX21,"")</f>
        <v/>
      </c>
      <c r="JU19" s="185" t="str">
        <f>IF(Tim!JY21=FIT!$E$1,Tim!JY21,"")</f>
        <v/>
      </c>
      <c r="JV19" s="185" t="str">
        <f>IF(Tim!JZ21=FIT!$E$1,Tim!JZ21,"")</f>
        <v/>
      </c>
      <c r="JW19" s="185" t="str">
        <f>IF(Tim!KA21=FIT!$E$1,Tim!KA21,"")</f>
        <v/>
      </c>
      <c r="JX19" s="185" t="str">
        <f>IF(Tim!KB21=FIT!$E$1,Tim!KB21,"")</f>
        <v/>
      </c>
      <c r="JY19" s="185" t="str">
        <f>IF(Tim!KC21=FIT!$E$1,Tim!KC21,"")</f>
        <v/>
      </c>
      <c r="JZ19" s="185" t="str">
        <f>IF(Tim!KD21=FIT!$E$1,Tim!KD21,"")</f>
        <v/>
      </c>
      <c r="KA19" s="185" t="str">
        <f>IF(Tim!KE21=FIT!$E$1,Tim!KE21,"")</f>
        <v/>
      </c>
      <c r="KB19" s="185" t="str">
        <f>IF(Tim!KF21=FIT!$E$1,Tim!KF21,"")</f>
        <v/>
      </c>
      <c r="KC19" s="185" t="str">
        <f>IF(Tim!KG21=FIT!$E$1,Tim!KG21,"")</f>
        <v/>
      </c>
      <c r="KD19" s="185" t="str">
        <f>IF(Tim!KH21=FIT!$E$1,Tim!KH21,"")</f>
        <v/>
      </c>
      <c r="KE19" s="185" t="str">
        <f>IF(Tim!KI21=FIT!$E$1,Tim!KI21,"")</f>
        <v/>
      </c>
      <c r="KF19" s="185" t="str">
        <f>IF(Tim!KJ21=FIT!$E$1,Tim!KJ21,"")</f>
        <v/>
      </c>
      <c r="KG19" s="185" t="str">
        <f>IF(Tim!KK21=FIT!$E$1,Tim!KK21,"")</f>
        <v/>
      </c>
      <c r="KH19" s="185" t="str">
        <f>IF(Tim!KL21=FIT!$E$1,Tim!KL21,"")</f>
        <v/>
      </c>
      <c r="KI19" s="185" t="str">
        <f>IF(Tim!KM21=FIT!$E$1,Tim!KM21,"")</f>
        <v/>
      </c>
      <c r="KJ19" s="185" t="str">
        <f>IF(Tim!KN21=FIT!$E$1,Tim!KN21,"")</f>
        <v/>
      </c>
      <c r="KK19" s="185" t="str">
        <f>IF(Tim!KO21=FIT!$E$1,Tim!KO21,"")</f>
        <v/>
      </c>
      <c r="KL19" s="185" t="str">
        <f>IF(Tim!KP21=FIT!$E$1,Tim!KP21,"")</f>
        <v/>
      </c>
      <c r="KM19" s="185" t="str">
        <f>IF(Tim!KQ21=FIT!$E$1,Tim!KQ21,"")</f>
        <v/>
      </c>
      <c r="KN19" s="185" t="str">
        <f>IF(Tim!KR21=FIT!$E$1,Tim!KR21,"")</f>
        <v/>
      </c>
      <c r="KO19" s="185" t="str">
        <f>IF(Tim!KS21=FIT!$E$1,Tim!KS21,"")</f>
        <v/>
      </c>
      <c r="KP19" s="185" t="str">
        <f>IF(Tim!KT21=FIT!$E$1,Tim!KT21,"")</f>
        <v/>
      </c>
      <c r="KQ19" s="185" t="str">
        <f>IF(Tim!KU21=FIT!$E$1,Tim!KU21,"")</f>
        <v/>
      </c>
      <c r="KR19" s="185" t="str">
        <f>IF(Tim!KV21=FIT!$E$1,Tim!KV21,"")</f>
        <v/>
      </c>
      <c r="KS19" s="185" t="str">
        <f>IF(Tim!KW21=FIT!$E$1,Tim!KW21,"")</f>
        <v/>
      </c>
      <c r="KT19" s="185" t="str">
        <f>IF(Tim!KX21=FIT!$E$1,Tim!KX21,"")</f>
        <v/>
      </c>
      <c r="KU19" s="185" t="str">
        <f>IF(Tim!KY21=FIT!$E$1,Tim!KY21,"")</f>
        <v/>
      </c>
      <c r="KV19" s="185" t="str">
        <f>IF(Tim!KZ21=FIT!$E$1,Tim!KZ21,"")</f>
        <v/>
      </c>
      <c r="KW19" s="185" t="str">
        <f>IF(Tim!LA21=FIT!$E$1,Tim!LA21,"")</f>
        <v/>
      </c>
      <c r="KX19" s="185" t="str">
        <f>IF(Tim!LB21=FIT!$E$1,Tim!LB21,"")</f>
        <v/>
      </c>
      <c r="KY19" s="185" t="str">
        <f>IF(Tim!LC21=FIT!$E$1,Tim!LC21,"")</f>
        <v/>
      </c>
      <c r="KZ19" s="185" t="str">
        <f>IF(Tim!LD21=FIT!$E$1,Tim!LD21,"")</f>
        <v/>
      </c>
      <c r="LA19" s="185" t="str">
        <f>IF(Tim!LE21=FIT!$E$1,Tim!LE21,"")</f>
        <v/>
      </c>
      <c r="LB19" s="52">
        <v>0.4375</v>
      </c>
    </row>
    <row r="20" spans="2:314" ht="10.5" customHeight="1">
      <c r="B20" s="49">
        <v>0.25</v>
      </c>
      <c r="C20" s="49">
        <v>0.25</v>
      </c>
      <c r="D20" s="49">
        <v>0.25</v>
      </c>
      <c r="E20" s="172">
        <v>0.44791666666666602</v>
      </c>
      <c r="F20" s="238" t="str">
        <f>IF(Tim!F22=FIT!$E$1,Tim!F22,"")</f>
        <v/>
      </c>
      <c r="G20" s="185" t="str">
        <f>IF(Tim!G22=FIT!$E$1,Tim!G22,"")</f>
        <v/>
      </c>
      <c r="H20" s="185" t="str">
        <f>IF(Tim!H22=FIT!$E$1,Tim!H22,"")</f>
        <v/>
      </c>
      <c r="I20" s="185" t="str">
        <f>IF(Tim!I22=FIT!$E$1,Tim!I22,"")</f>
        <v/>
      </c>
      <c r="J20" s="185" t="str">
        <f>IF(Tim!J22=FIT!$E$1,Tim!J22,"")</f>
        <v/>
      </c>
      <c r="K20" s="185" t="str">
        <f>IF(Tim!K22=FIT!$E$1,Tim!K22,"")</f>
        <v/>
      </c>
      <c r="L20" s="185" t="str">
        <f>IF(Tim!L22=FIT!$E$1,Tim!L22,"")</f>
        <v/>
      </c>
      <c r="M20" s="185" t="str">
        <f>IF(Tim!M22=FIT!$E$1,Tim!M22,"")</f>
        <v/>
      </c>
      <c r="N20" s="185" t="str">
        <f>IF(Tim!N22=FIT!$E$1,Tim!N22,"")</f>
        <v/>
      </c>
      <c r="O20" s="185" t="str">
        <f>IF(Tim!O22=FIT!$E$1,Tim!O22,"")</f>
        <v/>
      </c>
      <c r="P20" s="185" t="str">
        <f>IF(Tim!P22=FIT!$E$1,Tim!P22,"")</f>
        <v/>
      </c>
      <c r="Q20" s="185" t="str">
        <f>IF(Tim!Q22=FIT!$E$1,Tim!Q22,"")</f>
        <v/>
      </c>
      <c r="R20" s="185" t="str">
        <f>IF(Tim!R22=FIT!$E$1,Tim!R22,"")</f>
        <v/>
      </c>
      <c r="S20" s="185" t="str">
        <f>IF(Tim!S22=FIT!$E$1,Tim!S22,"")</f>
        <v/>
      </c>
      <c r="T20" s="185" t="str">
        <f>IF(Tim!T22=FIT!$E$1,Tim!T22,"")</f>
        <v/>
      </c>
      <c r="U20" s="185" t="str">
        <f>IF(Tim!U22=FIT!$E$1,Tim!U22,"")</f>
        <v/>
      </c>
      <c r="V20" s="185" t="str">
        <f>IF(Tim!W22=FIT!$E$1,Tim!W22,"")</f>
        <v/>
      </c>
      <c r="W20" s="185" t="str">
        <f>IF(Tim!X22=FIT!$E$1,Tim!X22,"")</f>
        <v/>
      </c>
      <c r="X20" s="185" t="str">
        <f>IF(Tim!Y22=FIT!$E$1,Tim!Y22,"")</f>
        <v/>
      </c>
      <c r="Y20" s="185" t="str">
        <f>IF(Tim!Z22=FIT!$E$1,Tim!Z22,"")</f>
        <v/>
      </c>
      <c r="Z20" s="185" t="str">
        <f>IF(Tim!AA22=FIT!$E$1,Tim!AA22,"")</f>
        <v/>
      </c>
      <c r="AA20" s="185" t="str">
        <f>IF(Tim!AB22=FIT!$E$1,Tim!AB22,"")</f>
        <v/>
      </c>
      <c r="AB20" s="185" t="str">
        <f>IF(Tim!AC22=FIT!$E$1,Tim!AC22,"")</f>
        <v/>
      </c>
      <c r="AC20" s="185" t="str">
        <f>IF(Tim!AD22=FIT!$E$1,Tim!AD22,"")</f>
        <v/>
      </c>
      <c r="AD20" s="185" t="str">
        <f>IF(Tim!AE22=FIT!$E$1,Tim!AE22,"")</f>
        <v/>
      </c>
      <c r="AE20" s="185" t="str">
        <f>IF(Tim!AF22=FIT!$E$1,Tim!AF22,"")</f>
        <v/>
      </c>
      <c r="AF20" s="185" t="str">
        <f>IF(Tim!AG22=FIT!$E$1,Tim!AG22,"")</f>
        <v/>
      </c>
      <c r="AG20" s="185" t="str">
        <f>IF(Tim!AH22=FIT!$E$1,Tim!AH22,"")</f>
        <v/>
      </c>
      <c r="AH20" s="185" t="str">
        <f>IF(Tim!AI22=FIT!$E$1,Tim!AI22,"")</f>
        <v/>
      </c>
      <c r="AI20" s="185" t="str">
        <f>IF(Tim!AJ22=FIT!$E$1,Tim!AJ22,"")</f>
        <v/>
      </c>
      <c r="AJ20" s="185" t="str">
        <f>IF(Tim!AK22=FIT!$E$1,Tim!AK22,"")</f>
        <v/>
      </c>
      <c r="AK20" s="185" t="str">
        <f>IF(Tim!AL22=FIT!$E$1,Tim!AL22,"")</f>
        <v/>
      </c>
      <c r="AL20" s="185" t="str">
        <f>IF(Tim!AM22=FIT!$E$1,Tim!AM22,"")</f>
        <v/>
      </c>
      <c r="AM20" s="185" t="str">
        <f>IF(Tim!AN22=FIT!$E$1,Tim!AN22,"")</f>
        <v/>
      </c>
      <c r="AN20" s="185" t="str">
        <f>IF(Tim!AO22=FIT!$E$1,Tim!AO22,"")</f>
        <v/>
      </c>
      <c r="AO20" s="185" t="str">
        <f>IF(Tim!AP22=FIT!$E$1,Tim!AP22,"")</f>
        <v/>
      </c>
      <c r="AP20" s="185" t="str">
        <f>IF(Tim!AQ22=FIT!$E$1,Tim!AQ22,"")</f>
        <v/>
      </c>
      <c r="AQ20" s="185" t="str">
        <f>IF(Tim!AR22=FIT!$E$1,Tim!AR22,"")</f>
        <v/>
      </c>
      <c r="AR20" s="185" t="str">
        <f>IF(Tim!AS22=FIT!$E$1,Tim!AS22,"")</f>
        <v/>
      </c>
      <c r="AS20" s="185" t="str">
        <f>IF(Tim!AT22=FIT!$E$1,Tim!AT22,"")</f>
        <v/>
      </c>
      <c r="AT20" s="185" t="str">
        <f>IF(Tim!AU22=FIT!$E$1,Tim!AU22,"")</f>
        <v/>
      </c>
      <c r="AU20" s="185" t="str">
        <f>IF(Tim!AV22=FIT!$E$1,Tim!AV22,"")</f>
        <v/>
      </c>
      <c r="AV20" s="185" t="str">
        <f>IF(Tim!AW22=FIT!$E$1,Tim!AW22,"")</f>
        <v/>
      </c>
      <c r="AW20" s="186" t="str">
        <f>IF(Tim!AX22=FIT!$E$1,Tim!AX22,"")</f>
        <v/>
      </c>
      <c r="AX20" s="243" t="str">
        <f>IF(Tim!AY22=FIT!$E$1,Tim!AY22,"")</f>
        <v/>
      </c>
      <c r="AY20" s="185" t="str">
        <f>IF(Tim!AZ22=FIT!$E$1,Tim!AZ22,"")</f>
        <v/>
      </c>
      <c r="AZ20" s="185" t="str">
        <f>IF(Tim!BA22=FIT!$E$1,Tim!BA22,"")</f>
        <v/>
      </c>
      <c r="BA20" s="185" t="str">
        <f>IF(Tim!BB22=FIT!$E$1,Tim!BB22,"")</f>
        <v/>
      </c>
      <c r="BB20" s="185" t="str">
        <f>IF(Tim!BC22=FIT!$E$1,Tim!BC22,"")</f>
        <v/>
      </c>
      <c r="BC20" s="185" t="str">
        <f>IF(Tim!BD22=FIT!$E$1,Tim!BD22,"")</f>
        <v/>
      </c>
      <c r="BD20" s="185" t="str">
        <f>IF(Tim!BE22=FIT!$E$1,Tim!BE22,"")</f>
        <v/>
      </c>
      <c r="BE20" s="185" t="str">
        <f>IF(Tim!BF22=FIT!$E$1,Tim!BF22,"")</f>
        <v/>
      </c>
      <c r="BF20" s="185" t="str">
        <f>IF(Tim!BG22=FIT!$E$1,Tim!BG22,"")</f>
        <v/>
      </c>
      <c r="BG20" s="185" t="str">
        <f>IF(Tim!BH22=FIT!$E$1,Tim!BH22,"")</f>
        <v/>
      </c>
      <c r="BH20" s="185" t="str">
        <f>IF(Tim!BI22=FIT!$E$1,Tim!BI22,"")</f>
        <v/>
      </c>
      <c r="BI20" s="185" t="str">
        <f>IF(Tim!BJ22=FIT!$E$1,Tim!BJ22,"")</f>
        <v/>
      </c>
      <c r="BJ20" s="185" t="str">
        <f>IF(Tim!BK22=FIT!$E$1,Tim!BK22,"")</f>
        <v/>
      </c>
      <c r="BK20" s="185" t="str">
        <f>IF(Tim!BL22=FIT!$E$1,Tim!BL22,"")</f>
        <v/>
      </c>
      <c r="BL20" s="185" t="str">
        <f>IF(Tim!BM22=FIT!$E$1,Tim!BM22,"")</f>
        <v/>
      </c>
      <c r="BM20" s="185" t="str">
        <f>IF(Tim!BN22=FIT!$E$1,Tim!BN22,"")</f>
        <v/>
      </c>
      <c r="BN20" s="185" t="str">
        <f>IF(Tim!BO22=FIT!$E$1,Tim!BO22,"")</f>
        <v/>
      </c>
      <c r="BO20" s="185" t="str">
        <f>IF(Tim!BP22=FIT!$E$1,Tim!BP22,"")</f>
        <v/>
      </c>
      <c r="BP20" s="185" t="str">
        <f>IF(Tim!BQ22=FIT!$E$1,Tim!BQ22,"")</f>
        <v/>
      </c>
      <c r="BQ20" s="185" t="str">
        <f>IF(Tim!BR22=FIT!$E$1,Tim!BR22,"")</f>
        <v/>
      </c>
      <c r="BR20" s="185" t="str">
        <f>IF(Tim!BS22=FIT!$E$1,Tim!BS22,"")</f>
        <v/>
      </c>
      <c r="BS20" s="185" t="str">
        <f>IF(Tim!BT21=FIT!$E$1,Tim!BT21,"")</f>
        <v/>
      </c>
      <c r="BT20" s="185" t="str">
        <f>IF(Tim!BU22=FIT!$E$1,Tim!BU22,"")</f>
        <v/>
      </c>
      <c r="BU20" s="185" t="str">
        <f>IF(Tim!BV22=FIT!$E$1,Tim!BV22,"")</f>
        <v/>
      </c>
      <c r="BV20" s="185" t="str">
        <f>IF(Tim!BW22=FIT!$E$1,Tim!BW22,"")</f>
        <v/>
      </c>
      <c r="BW20" s="185" t="str">
        <f>IF(Tim!BX22=FIT!$E$1,Tim!BX22,"")</f>
        <v/>
      </c>
      <c r="BX20" s="185" t="str">
        <f>IF(Tim!BY22=FIT!$E$1,Tim!BY22,"")</f>
        <v/>
      </c>
      <c r="BY20" s="185" t="str">
        <f>IF(Tim!BZ22=FIT!$E$1,Tim!BZ22,"")</f>
        <v/>
      </c>
      <c r="BZ20" s="185" t="str">
        <f>IF(Tim!CA22=FIT!$E$1,Tim!CA22,"")</f>
        <v/>
      </c>
      <c r="CA20" s="185" t="str">
        <f>IF(Tim!CB22=FIT!$E$1,Tim!CB22,"")</f>
        <v/>
      </c>
      <c r="CB20" s="185" t="str">
        <f>IF(Tim!CC22=FIT!$E$1,Tim!CC22,"")</f>
        <v/>
      </c>
      <c r="CC20" s="185" t="str">
        <f>IF(Tim!CD22=FIT!$E$1,Tim!CD22,"")</f>
        <v/>
      </c>
      <c r="CD20" s="185" t="str">
        <f>IF(Tim!CE22=FIT!$E$1,Tim!CE22,"")</f>
        <v/>
      </c>
      <c r="CE20" s="185" t="str">
        <f>IF(Tim!CF22=FIT!$E$1,Tim!CF22,"")</f>
        <v/>
      </c>
      <c r="CF20" s="185" t="str">
        <f>IF(Tim!CG22=FIT!$E$1,Tim!CG22,"")</f>
        <v/>
      </c>
      <c r="CG20" s="185" t="str">
        <f>IF(Tim!CH22=FIT!$E$1,Tim!CH22,"")</f>
        <v/>
      </c>
      <c r="CH20" s="185" t="str">
        <f>IF(Tim!CI22=FIT!$E$1,Tim!CI22,"")</f>
        <v/>
      </c>
      <c r="CI20" s="185" t="str">
        <f>IF(Tim!CJ22=FIT!$E$1,Tim!CJ22,"")</f>
        <v/>
      </c>
      <c r="CJ20" s="185" t="str">
        <f>IF(Tim!CK22=FIT!$E$1,Tim!CK22,"")</f>
        <v/>
      </c>
      <c r="CK20" s="185" t="str">
        <f>IF(Tim!CL22=FIT!$E$1,Tim!CL22,"")</f>
        <v/>
      </c>
      <c r="CL20" s="185" t="str">
        <f>IF(Tim!CM22=FIT!$E$1,Tim!CM22,"")</f>
        <v/>
      </c>
      <c r="CM20" s="185" t="str">
        <f>IF(Tim!CN22=FIT!$E$1,Tim!CN22,"")</f>
        <v/>
      </c>
      <c r="CN20" s="185" t="str">
        <f>IF(Tim!CO22=FIT!$E$1,Tim!CO22,"")</f>
        <v/>
      </c>
      <c r="CO20" s="185" t="str">
        <f>IF(Tim!CP22=FIT!$E$1,Tim!CP22,"")</f>
        <v/>
      </c>
      <c r="CP20" s="185" t="str">
        <f>IF(Tim!CQ22=FIT!$E$1,Tim!CQ22,"")</f>
        <v/>
      </c>
      <c r="CQ20" s="185" t="str">
        <f>IF(Tim!CR22=FIT!$E$1,Tim!CR22,"")</f>
        <v/>
      </c>
      <c r="CR20" s="185" t="str">
        <f>IF(Tim!CS22=FIT!$E$1,Tim!CS22,"")</f>
        <v/>
      </c>
      <c r="CS20" s="185" t="str">
        <f>IF(Tim!CT22=FIT!$E$1,Tim!CT22,"")</f>
        <v/>
      </c>
      <c r="CT20" s="185" t="str">
        <f>IF(Tim!CU22=FIT!$E$1,Tim!CU22,"")</f>
        <v/>
      </c>
      <c r="CU20" s="185" t="str">
        <f>IF(Tim!CV22=FIT!$E$1,Tim!CV22,"")</f>
        <v/>
      </c>
      <c r="CV20" s="185" t="str">
        <f>IF(Tim!CW22=FIT!$E$1,Tim!CW22,"")</f>
        <v/>
      </c>
      <c r="CW20" s="185" t="str">
        <f>IF(Tim!CX22=FIT!$E$1,Tim!CX22,"")</f>
        <v/>
      </c>
      <c r="CX20" s="185" t="str">
        <f>IF(Tim!CY22=FIT!$E$1,Tim!CY22,"")</f>
        <v/>
      </c>
      <c r="CY20" s="185" t="str">
        <f>IF(Tim!CZ22=FIT!$E$1,Tim!CZ22,"")</f>
        <v/>
      </c>
      <c r="CZ20" s="185" t="str">
        <f>IF(Tim!DA22=FIT!$E$1,Tim!DA22,"")</f>
        <v/>
      </c>
      <c r="DA20" s="185" t="str">
        <f>IF(Tim!DB22=FIT!$E$1,Tim!DB22,"")</f>
        <v/>
      </c>
      <c r="DB20" s="185" t="str">
        <f>IF(Tim!DC22=FIT!$E$1,Tim!DC22,"")</f>
        <v/>
      </c>
      <c r="DC20" s="185" t="str">
        <f>IF(Tim!DD22=FIT!$E$1,Tim!DD22,"")</f>
        <v/>
      </c>
      <c r="DD20" s="185" t="str">
        <f>IF(Tim!DE22=FIT!$E$1,Tim!DE22,"")</f>
        <v/>
      </c>
      <c r="DE20" s="185" t="str">
        <f>IF(Tim!DF22=FIT!$E$1,Tim!DF22,"")</f>
        <v/>
      </c>
      <c r="DF20" s="185" t="str">
        <f>IF(Tim!DG22=FIT!$E$1,Tim!DG22,"")</f>
        <v/>
      </c>
      <c r="DG20" s="185" t="str">
        <f>IF(Tim!DH22=FIT!$E$1,Tim!DH22,"")</f>
        <v/>
      </c>
      <c r="DH20" s="185" t="str">
        <f>IF(Tim!DI21=FIT!$E$1,Tim!DI21,"")</f>
        <v/>
      </c>
      <c r="DI20" s="185" t="str">
        <f>IF(Tim!DM22=FIT!$E$1,Tim!DM22,"")</f>
        <v/>
      </c>
      <c r="DJ20" s="185" t="str">
        <f>IF(Tim!DN22=FIT!$E$1,Tim!DN22,"")</f>
        <v/>
      </c>
      <c r="DK20" s="185" t="str">
        <f>IF(Tim!DO22=FIT!$E$1,Tim!DO22,"")</f>
        <v/>
      </c>
      <c r="DL20" s="185" t="str">
        <f>IF(Tim!DP22=FIT!$E$1,Tim!DP22,"")</f>
        <v/>
      </c>
      <c r="DM20" s="185" t="str">
        <f>IF(Tim!DQ22=FIT!$E$1,Tim!DQ22,"")</f>
        <v/>
      </c>
      <c r="DN20" s="185" t="str">
        <f>IF(Tim!DR22=FIT!$E$1,Tim!DR22,"")</f>
        <v/>
      </c>
      <c r="DO20" s="185" t="str">
        <f>IF(Tim!DS22=FIT!$E$1,Tim!DS22,"")</f>
        <v/>
      </c>
      <c r="DP20" s="185" t="str">
        <f>IF(Tim!DT22=FIT!$E$1,Tim!DT22,"")</f>
        <v/>
      </c>
      <c r="DQ20" s="185" t="str">
        <f>IF(Tim!DU22=FIT!$E$1,Tim!DU22,"")</f>
        <v/>
      </c>
      <c r="DR20" s="185" t="str">
        <f>IF(Tim!DV22=FIT!$E$1,Tim!DV22,"")</f>
        <v/>
      </c>
      <c r="DS20" s="185" t="str">
        <f>IF(Tim!DW22=FIT!$E$1,Tim!DW22,"")</f>
        <v/>
      </c>
      <c r="DT20" s="185" t="str">
        <f>IF(Tim!DX22=FIT!$E$1,Tim!DX22,"")</f>
        <v/>
      </c>
      <c r="DU20" s="185" t="str">
        <f>IF(Tim!DY22=FIT!$E$1,Tim!DY22,"")</f>
        <v/>
      </c>
      <c r="DV20" s="185" t="str">
        <f>IF(Tim!DZ22=FIT!$E$1,Tim!DZ22,"")</f>
        <v/>
      </c>
      <c r="DW20" s="185" t="str">
        <f>IF(Tim!EA22=FIT!$E$1,Tim!EA22,"")</f>
        <v/>
      </c>
      <c r="DX20" s="185" t="str">
        <f>IF(Tim!EB22=FIT!$E$1,Tim!EB22,"")</f>
        <v/>
      </c>
      <c r="DY20" s="185" t="str">
        <f>IF(Tim!EC22=FIT!$E$1,Tim!EC22,"")</f>
        <v/>
      </c>
      <c r="DZ20" s="185" t="str">
        <f>IF(Tim!ED22=FIT!$E$1,Tim!ED22,"")</f>
        <v/>
      </c>
      <c r="EA20" s="185" t="str">
        <f>IF(Tim!EE22=FIT!$E$1,Tim!EE22,"")</f>
        <v/>
      </c>
      <c r="EB20" s="185" t="str">
        <f>IF(Tim!EF22=FIT!$E$1,Tim!EF22,"")</f>
        <v/>
      </c>
      <c r="EC20" s="185" t="str">
        <f>IF(Tim!EG22=FIT!$E$1,Tim!EG22,"")</f>
        <v/>
      </c>
      <c r="ED20" s="185" t="str">
        <f>IF(Tim!EH22=FIT!$E$1,Tim!EH22,"")</f>
        <v/>
      </c>
      <c r="EE20" s="185" t="str">
        <f>IF(Tim!EI22=FIT!$E$1,Tim!EI22,"")</f>
        <v/>
      </c>
      <c r="EF20" s="185" t="str">
        <f>IF(Tim!EJ22=FIT!$E$1,Tim!EJ22,"")</f>
        <v/>
      </c>
      <c r="EG20" s="185" t="str">
        <f>IF(Tim!EK22=FIT!$E$1,Tim!EK22,"")</f>
        <v/>
      </c>
      <c r="EH20" s="185" t="str">
        <f>IF(Tim!EL22=FIT!$E$1,Tim!EL22,"")</f>
        <v/>
      </c>
      <c r="EI20" s="185" t="str">
        <f>IF(Tim!EM22=FIT!$E$1,Tim!EM22,"")</f>
        <v/>
      </c>
      <c r="EJ20" s="185" t="str">
        <f>IF(Tim!EN22=FIT!$E$1,Tim!EN22,"")</f>
        <v/>
      </c>
      <c r="EK20" s="185" t="str">
        <f>IF(Tim!EO22=FIT!$E$1,Tim!EO22,"")</f>
        <v/>
      </c>
      <c r="EL20" s="185" t="str">
        <f>IF(Tim!EP22=FIT!$E$1,Tim!EP22,"")</f>
        <v/>
      </c>
      <c r="EM20" s="185" t="str">
        <f>IF(Tim!EQ22=FIT!$E$1,Tim!EQ22,"")</f>
        <v/>
      </c>
      <c r="EN20" s="185" t="str">
        <f>IF(Tim!ER22=FIT!$E$1,Tim!ER22,"")</f>
        <v/>
      </c>
      <c r="EO20" s="185" t="str">
        <f>IF(Tim!ES22=FIT!$E$1,Tim!ES22,"")</f>
        <v/>
      </c>
      <c r="EP20" s="185" t="str">
        <f>IF(Tim!ET22=FIT!$E$1,Tim!ET22,"")</f>
        <v/>
      </c>
      <c r="EQ20" s="185" t="str">
        <f>IF(Tim!EU22=FIT!$E$1,Tim!EU22,"")</f>
        <v/>
      </c>
      <c r="ER20" s="185" t="str">
        <f>IF(Tim!EV22=FIT!$E$1,Tim!EV22,"")</f>
        <v/>
      </c>
      <c r="ES20" s="185" t="str">
        <f>IF(Tim!EW22=FIT!$E$1,Tim!EW22,"")</f>
        <v/>
      </c>
      <c r="ET20" s="185" t="str">
        <f>IF(Tim!EX22=FIT!$E$1,Tim!EX22,"")</f>
        <v/>
      </c>
      <c r="EU20" s="185" t="str">
        <f>IF(Tim!EY22=FIT!$E$1,Tim!EY22,"")</f>
        <v/>
      </c>
      <c r="EV20" s="185" t="str">
        <f>IF(Tim!EZ22=FIT!$E$1,Tim!EZ22,"")</f>
        <v/>
      </c>
      <c r="EW20" s="185" t="str">
        <f>IF(Tim!FA22=FIT!$E$1,Tim!FA22,"")</f>
        <v/>
      </c>
      <c r="EX20" s="185" t="str">
        <f>IF(Tim!FB22=FIT!$E$1,Tim!FB22,"")</f>
        <v/>
      </c>
      <c r="EY20" s="185" t="str">
        <f>IF(Tim!FC22=FIT!$E$1,Tim!FC22,"")</f>
        <v/>
      </c>
      <c r="EZ20" s="185" t="str">
        <f>IF(Tim!FD22=FIT!$E$1,Tim!FD22,"")</f>
        <v/>
      </c>
      <c r="FA20" s="185" t="str">
        <f>IF(Tim!FE22=FIT!$E$1,Tim!FE22,"")</f>
        <v/>
      </c>
      <c r="FB20" s="185" t="str">
        <f>IF(Tim!FF22=FIT!$E$1,Tim!FF22,"")</f>
        <v/>
      </c>
      <c r="FC20" s="185" t="str">
        <f>IF(Tim!FG22=FIT!$E$1,Tim!FG22,"")</f>
        <v/>
      </c>
      <c r="FD20" s="185" t="str">
        <f>IF(Tim!FH22=FIT!$E$1,Tim!FH22,"")</f>
        <v/>
      </c>
      <c r="FE20" s="185" t="str">
        <f>IF(Tim!FI22=FIT!$E$1,Tim!FI22,"")</f>
        <v/>
      </c>
      <c r="FF20" s="185" t="str">
        <f>IF(Tim!FJ22=FIT!$E$1,Tim!FJ22,"")</f>
        <v/>
      </c>
      <c r="FG20" s="185" t="str">
        <f>IF(Tim!FK22=FIT!$E$1,Tim!FK22,"")</f>
        <v/>
      </c>
      <c r="FH20" s="185" t="str">
        <f>IF(Tim!FL22=FIT!$E$1,Tim!FL22,"")</f>
        <v/>
      </c>
      <c r="FI20" s="185" t="str">
        <f>IF(Tim!FM22=FIT!$E$1,Tim!FM22,"")</f>
        <v/>
      </c>
      <c r="FJ20" s="185" t="str">
        <f>IF(Tim!FN22=FIT!$E$1,Tim!FN22,"")</f>
        <v/>
      </c>
      <c r="FK20" s="185" t="str">
        <f>IF(Tim!FO22=FIT!$E$1,Tim!FO22,"")</f>
        <v/>
      </c>
      <c r="FL20" s="185" t="str">
        <f>IF(Tim!FP22=FIT!$E$1,Tim!FP22,"")</f>
        <v/>
      </c>
      <c r="FM20" s="185" t="str">
        <f>IF(Tim!FQ22=FIT!$E$1,Tim!FQ22,"")</f>
        <v/>
      </c>
      <c r="FN20" s="185" t="str">
        <f>IF(Tim!FR22=FIT!$E$1,Tim!FR22,"")</f>
        <v/>
      </c>
      <c r="FO20" s="185" t="str">
        <f>IF(Tim!FS22=FIT!$E$1,Tim!FS22,"")</f>
        <v/>
      </c>
      <c r="FP20" s="185" t="str">
        <f>IF(Tim!FT22=FIT!$E$1,Tim!FT22,"")</f>
        <v/>
      </c>
      <c r="FQ20" s="185" t="str">
        <f>IF(Tim!FU22=FIT!$E$1,Tim!FU22,"")</f>
        <v/>
      </c>
      <c r="FR20" s="185" t="str">
        <f>IF(Tim!FV22=FIT!$E$1,Tim!FV22,"")</f>
        <v/>
      </c>
      <c r="FS20" s="185" t="str">
        <f>IF(Tim!FW22=FIT!$E$1,Tim!FW22,"")</f>
        <v/>
      </c>
      <c r="FT20" s="185" t="str">
        <f>IF(Tim!FX22=FIT!$E$1,Tim!FX22,"")</f>
        <v/>
      </c>
      <c r="FU20" s="185" t="str">
        <f>IF(Tim!FY22=FIT!$E$1,Tim!FY22,"")</f>
        <v/>
      </c>
      <c r="FV20" s="185" t="str">
        <f>IF(Tim!FZ22=FIT!$E$1,Tim!FZ22,"")</f>
        <v/>
      </c>
      <c r="FW20" s="185" t="str">
        <f>IF(Tim!GA22=FIT!$E$1,Tim!GA22,"")</f>
        <v/>
      </c>
      <c r="FX20" s="185" t="str">
        <f>IF(Tim!GB22=FIT!$E$1,Tim!GB22,"")</f>
        <v/>
      </c>
      <c r="FY20" s="185" t="str">
        <f>IF(Tim!GC22=FIT!$E$1,Tim!GC22,"")</f>
        <v/>
      </c>
      <c r="FZ20" s="185" t="str">
        <f>IF(Tim!GD22=FIT!$E$1,Tim!GD22,"")</f>
        <v/>
      </c>
      <c r="GA20" s="185" t="str">
        <f>IF(Tim!GE22=FIT!$E$1,Tim!GE22,"")</f>
        <v/>
      </c>
      <c r="GB20" s="185" t="str">
        <f>IF(Tim!GF22=FIT!$E$1,Tim!GF22,"")</f>
        <v/>
      </c>
      <c r="GC20" s="185" t="str">
        <f>IF(Tim!GG22=FIT!$E$1,Tim!GG22,"")</f>
        <v/>
      </c>
      <c r="GD20" s="185" t="str">
        <f>IF(Tim!GH22=FIT!$E$1,Tim!GH22,"")</f>
        <v/>
      </c>
      <c r="GE20" s="185" t="str">
        <f>IF(Tim!GI22=FIT!$E$1,Tim!GI22,"")</f>
        <v/>
      </c>
      <c r="GF20" s="185" t="str">
        <f>IF(Tim!GJ22=FIT!$E$1,Tim!GJ22,"")</f>
        <v/>
      </c>
      <c r="GG20" s="185" t="e">
        <f>IF(Tim!#REF!=FIT!$E$1,Tim!#REF!,"")</f>
        <v>#REF!</v>
      </c>
      <c r="GH20" s="185" t="str">
        <f>IF(Tim!GL22=FIT!$E$1,Tim!GL22,"")</f>
        <v/>
      </c>
      <c r="GI20" s="185" t="str">
        <f>IF(Tim!GM22=FIT!$E$1,Tim!GM22,"")</f>
        <v/>
      </c>
      <c r="GJ20" s="185" t="str">
        <f>IF(Tim!GN22=FIT!$E$1,Tim!GN22,"")</f>
        <v/>
      </c>
      <c r="GK20" s="185" t="str">
        <f>IF(Tim!GO22=FIT!$E$1,Tim!GO22,"")</f>
        <v/>
      </c>
      <c r="GL20" s="185" t="str">
        <f>IF(Tim!GP22=FIT!$E$1,Tim!GP22,"")</f>
        <v/>
      </c>
      <c r="GM20" s="185" t="str">
        <f>IF(Tim!GQ22=FIT!$E$1,Tim!GQ22,"")</f>
        <v/>
      </c>
      <c r="GN20" s="185" t="str">
        <f>IF(Tim!GR22=FIT!$E$1,Tim!GR22,"")</f>
        <v/>
      </c>
      <c r="GO20" s="185" t="str">
        <f>IF(Tim!GS22=FIT!$E$1,Tim!GS22,"")</f>
        <v/>
      </c>
      <c r="GP20" s="185" t="str">
        <f>IF(Tim!GT22=FIT!$E$1,Tim!GT22,"")</f>
        <v/>
      </c>
      <c r="GQ20" s="185" t="str">
        <f>IF(Tim!GU22=FIT!$E$1,Tim!GU22,"")</f>
        <v/>
      </c>
      <c r="GR20" s="185" t="str">
        <f>IF(Tim!GV22=FIT!$E$1,Tim!GV22,"")</f>
        <v/>
      </c>
      <c r="GS20" s="185" t="str">
        <f>IF(Tim!GW22=FIT!$E$1,Tim!GW22,"")</f>
        <v/>
      </c>
      <c r="GT20" s="185" t="str">
        <f>IF(Tim!GX22=FIT!$E$1,Tim!GX22,"")</f>
        <v/>
      </c>
      <c r="GU20" s="185" t="str">
        <f>IF(Tim!GY22=FIT!$E$1,Tim!GY22,"")</f>
        <v/>
      </c>
      <c r="GV20" s="185" t="str">
        <f>IF(Tim!GZ22=FIT!$E$1,Tim!GZ22,"")</f>
        <v/>
      </c>
      <c r="GW20" s="185" t="str">
        <f>IF(Tim!HA22=FIT!$E$1,Tim!HA22,"")</f>
        <v/>
      </c>
      <c r="GX20" s="185" t="str">
        <f>IF(Tim!HB22=FIT!$E$1,Tim!HB22,"")</f>
        <v/>
      </c>
      <c r="GY20" s="185" t="str">
        <f>IF(Tim!HC22=FIT!$E$1,Tim!HC22,"")</f>
        <v/>
      </c>
      <c r="GZ20" s="185" t="str">
        <f>IF(Tim!HD22=FIT!$E$1,Tim!HD22,"")</f>
        <v/>
      </c>
      <c r="HA20" s="185" t="str">
        <f>IF(Tim!HE22=FIT!$E$1,Tim!HE22,"")</f>
        <v/>
      </c>
      <c r="HB20" s="185" t="str">
        <f>IF(Tim!HF22=FIT!$E$1,Tim!HF22,"")</f>
        <v/>
      </c>
      <c r="HC20" s="185" t="str">
        <f>IF(Tim!HG22=FIT!$E$1,Tim!HG22,"")</f>
        <v/>
      </c>
      <c r="HD20" s="185" t="str">
        <f>IF(Tim!HH22=FIT!$E$1,Tim!HH22,"")</f>
        <v/>
      </c>
      <c r="HE20" s="185" t="str">
        <f>IF(Tim!HI22=FIT!$E$1,Tim!HI22,"")</f>
        <v/>
      </c>
      <c r="HF20" s="185" t="str">
        <f>IF(Tim!HJ22=FIT!$E$1,Tim!HJ22,"")</f>
        <v/>
      </c>
      <c r="HG20" s="185" t="str">
        <f>IF(Tim!HK22=FIT!$E$1,Tim!HK22,"")</f>
        <v/>
      </c>
      <c r="HH20" s="185" t="str">
        <f>IF(Tim!HL22=FIT!$E$1,Tim!HL22,"")</f>
        <v/>
      </c>
      <c r="HI20" s="185" t="str">
        <f>IF(Tim!HM22=FIT!$E$1,Tim!HM22,"")</f>
        <v/>
      </c>
      <c r="HJ20" s="185" t="str">
        <f>IF(Tim!HN22=FIT!$E$1,Tim!HN22,"")</f>
        <v/>
      </c>
      <c r="HK20" s="185" t="str">
        <f>IF(Tim!HO22=FIT!$E$1,Tim!HO22,"")</f>
        <v/>
      </c>
      <c r="HL20" s="185" t="str">
        <f>IF(Tim!HP22=FIT!$E$1,Tim!HP22,"")</f>
        <v/>
      </c>
      <c r="HM20" s="185" t="str">
        <f>IF(Tim!HQ22=FIT!$E$1,Tim!HQ22,"")</f>
        <v/>
      </c>
      <c r="HN20" s="185" t="str">
        <f>IF(Tim!HR22=FIT!$E$1,Tim!HR22,"")</f>
        <v/>
      </c>
      <c r="HO20" s="185" t="str">
        <f>IF(Tim!HS22=FIT!$E$1,Tim!HS22,"")</f>
        <v/>
      </c>
      <c r="HP20" s="185" t="str">
        <f>IF(Tim!HT22=FIT!$E$1,Tim!HT22,"")</f>
        <v/>
      </c>
      <c r="HQ20" s="185" t="str">
        <f>IF(Tim!HU22=FIT!$E$1,Tim!HU22,"")</f>
        <v/>
      </c>
      <c r="HR20" s="185" t="str">
        <f>IF(Tim!HV22=FIT!$E$1,Tim!HV22,"")</f>
        <v/>
      </c>
      <c r="HS20" s="185" t="str">
        <f>IF(Tim!HW22=FIT!$E$1,Tim!HW22,"")</f>
        <v/>
      </c>
      <c r="HT20" s="185" t="str">
        <f>IF(Tim!HX22=FIT!$E$1,Tim!HX22,"")</f>
        <v/>
      </c>
      <c r="HU20" s="185" t="str">
        <f>IF(Tim!HY22=FIT!$E$1,Tim!HY22,"")</f>
        <v/>
      </c>
      <c r="HV20" s="185" t="str">
        <f>IF(Tim!HZ22=FIT!$E$1,Tim!HZ22,"")</f>
        <v/>
      </c>
      <c r="HW20" s="185" t="str">
        <f>IF(Tim!IA22=FIT!$E$1,Tim!IA22,"")</f>
        <v/>
      </c>
      <c r="HX20" s="185" t="str">
        <f>IF(Tim!IB22=FIT!$E$1,Tim!IB22,"")</f>
        <v/>
      </c>
      <c r="HY20" s="185" t="str">
        <f>IF(Tim!IC22=FIT!$E$1,Tim!IC22,"")</f>
        <v/>
      </c>
      <c r="HZ20" s="185" t="str">
        <f>IF(Tim!ID22=FIT!$E$1,Tim!ID22,"")</f>
        <v/>
      </c>
      <c r="IA20" s="185" t="str">
        <f>IF(Tim!IE22=FIT!$E$1,Tim!IE22,"")</f>
        <v/>
      </c>
      <c r="IB20" s="185" t="str">
        <f>IF(Tim!IF22=FIT!$E$1,Tim!IF22,"")</f>
        <v/>
      </c>
      <c r="IC20" s="185" t="str">
        <f>IF(Tim!IG22=FIT!$E$1,Tim!IG22,"")</f>
        <v/>
      </c>
      <c r="ID20" s="185" t="str">
        <f>IF(Tim!IH22=FIT!$E$1,Tim!IH22,"")</f>
        <v/>
      </c>
      <c r="IE20" s="185" t="str">
        <f>IF(Tim!II22=FIT!$E$1,Tim!II22,"")</f>
        <v/>
      </c>
      <c r="IF20" s="185" t="str">
        <f>IF(Tim!IJ22=FIT!$E$1,Tim!IJ22,"")</f>
        <v/>
      </c>
      <c r="IG20" s="185" t="str">
        <f>IF(Tim!IK22=FIT!$E$1,Tim!IK22,"")</f>
        <v/>
      </c>
      <c r="IH20" s="185" t="str">
        <f>IF(Tim!IL22=FIT!$E$1,Tim!IL22,"")</f>
        <v/>
      </c>
      <c r="II20" s="185" t="str">
        <f>IF(Tim!IM22=FIT!$E$1,Tim!IM22,"")</f>
        <v/>
      </c>
      <c r="IJ20" s="185" t="str">
        <f>IF(Tim!IN22=FIT!$E$1,Tim!IN22,"")</f>
        <v/>
      </c>
      <c r="IK20" s="185" t="str">
        <f>IF(Tim!IO22=FIT!$E$1,Tim!IO22,"")</f>
        <v/>
      </c>
      <c r="IL20" s="185" t="str">
        <f>IF(Tim!IP22=FIT!$E$1,Tim!IP22,"")</f>
        <v/>
      </c>
      <c r="IM20" s="185" t="str">
        <f>IF(Tim!IQ22=FIT!$E$1,Tim!IQ22,"")</f>
        <v/>
      </c>
      <c r="IN20" s="185" t="str">
        <f>IF(Tim!IR22=FIT!$E$1,Tim!IR22,"")</f>
        <v/>
      </c>
      <c r="IO20" s="185" t="str">
        <f>IF(Tim!IS22=FIT!$E$1,Tim!IS22,"")</f>
        <v/>
      </c>
      <c r="IP20" s="185" t="str">
        <f>IF(Tim!IT22=FIT!$E$1,Tim!IT22,"")</f>
        <v/>
      </c>
      <c r="IQ20" s="185" t="str">
        <f>IF(Tim!IU22=FIT!$E$1,Tim!IU22,"")</f>
        <v/>
      </c>
      <c r="IR20" s="185" t="str">
        <f>IF(Tim!IV22=FIT!$E$1,Tim!IV22,"")</f>
        <v/>
      </c>
      <c r="IS20" s="185" t="str">
        <f>IF(Tim!IW22=FIT!$E$1,Tim!IW22,"")</f>
        <v/>
      </c>
      <c r="IT20" s="185" t="str">
        <f>IF(Tim!IX22=FIT!$E$1,Tim!IX22,"")</f>
        <v/>
      </c>
      <c r="IU20" s="185" t="str">
        <f>IF(Tim!IY22=FIT!$E$1,Tim!IY22,"")</f>
        <v/>
      </c>
      <c r="IV20" s="185" t="str">
        <f>IF(Tim!IZ22=FIT!$E$1,Tim!IZ22,"")</f>
        <v/>
      </c>
      <c r="IW20" s="185" t="str">
        <f>IF(Tim!JA22=FIT!$E$1,Tim!JA22,"")</f>
        <v/>
      </c>
      <c r="IX20" s="185" t="str">
        <f>IF(Tim!JB22=FIT!$E$1,Tim!JB22,"")</f>
        <v/>
      </c>
      <c r="IY20" s="185" t="str">
        <f>IF(Tim!JC22=FIT!$E$1,Tim!JC22,"")</f>
        <v/>
      </c>
      <c r="IZ20" s="185" t="str">
        <f>IF(Tim!JD22=FIT!$E$1,Tim!JD22,"")</f>
        <v/>
      </c>
      <c r="JA20" s="185" t="str">
        <f>IF(Tim!JE22=FIT!$E$1,Tim!JE22,"")</f>
        <v/>
      </c>
      <c r="JB20" s="185" t="str">
        <f>IF(Tim!JF22=FIT!$E$1,Tim!JF22,"")</f>
        <v/>
      </c>
      <c r="JC20" s="185" t="str">
        <f>IF(Tim!JG22=FIT!$E$1,Tim!JG22,"")</f>
        <v/>
      </c>
      <c r="JD20" s="185" t="str">
        <f>IF(Tim!JH22=FIT!$E$1,Tim!JH22,"")</f>
        <v/>
      </c>
      <c r="JE20" s="185" t="str">
        <f>IF(Tim!JI22=FIT!$E$1,Tim!JI22,"")</f>
        <v/>
      </c>
      <c r="JF20" s="185" t="str">
        <f>IF(Tim!JJ22=FIT!$E$1,Tim!JJ22,"")</f>
        <v/>
      </c>
      <c r="JG20" s="185" t="str">
        <f>IF(Tim!JK22=FIT!$E$1,Tim!JK22,"")</f>
        <v/>
      </c>
      <c r="JH20" s="185" t="str">
        <f>IF(Tim!JL22=FIT!$E$1,Tim!JL22,"")</f>
        <v/>
      </c>
      <c r="JI20" s="185" t="str">
        <f>IF(Tim!JM22=FIT!$E$1,Tim!JM22,"")</f>
        <v/>
      </c>
      <c r="JJ20" s="185" t="str">
        <f>IF(Tim!JN22=FIT!$E$1,Tim!JN22,"")</f>
        <v/>
      </c>
      <c r="JK20" s="185" t="str">
        <f>IF(Tim!JO22=FIT!$E$1,Tim!JO22,"")</f>
        <v/>
      </c>
      <c r="JL20" s="185" t="str">
        <f>IF(Tim!JP22=FIT!$E$1,Tim!JP22,"")</f>
        <v/>
      </c>
      <c r="JM20" s="185" t="str">
        <f>IF(Tim!JQ22=FIT!$E$1,Tim!JQ22,"")</f>
        <v/>
      </c>
      <c r="JN20" s="185" t="str">
        <f>IF(Tim!JR22=FIT!$E$1,Tim!JR22,"")</f>
        <v/>
      </c>
      <c r="JO20" s="185" t="str">
        <f>IF(Tim!JS22=FIT!$E$1,Tim!JS22,"")</f>
        <v/>
      </c>
      <c r="JP20" s="185" t="str">
        <f>IF(Tim!JT22=FIT!$E$1,Tim!JT22,"")</f>
        <v/>
      </c>
      <c r="JQ20" s="185" t="str">
        <f>IF(Tim!JU22=FIT!$E$1,Tim!JU22,"")</f>
        <v/>
      </c>
      <c r="JR20" s="185" t="str">
        <f>IF(Tim!JV22=FIT!$E$1,Tim!JV22,"")</f>
        <v/>
      </c>
      <c r="JS20" s="185" t="str">
        <f>IF(Tim!JW22=FIT!$E$1,Tim!JW22,"")</f>
        <v/>
      </c>
      <c r="JT20" s="185" t="str">
        <f>IF(Tim!JX22=FIT!$E$1,Tim!JX22,"")</f>
        <v/>
      </c>
      <c r="JU20" s="185" t="str">
        <f>IF(Tim!JY22=FIT!$E$1,Tim!JY22,"")</f>
        <v/>
      </c>
      <c r="JV20" s="185" t="str">
        <f>IF(Tim!JZ22=FIT!$E$1,Tim!JZ22,"")</f>
        <v/>
      </c>
      <c r="JW20" s="185" t="str">
        <f>IF(Tim!KA22=FIT!$E$1,Tim!KA22,"")</f>
        <v/>
      </c>
      <c r="JX20" s="185" t="str">
        <f>IF(Tim!KB22=FIT!$E$1,Tim!KB22,"")</f>
        <v/>
      </c>
      <c r="JY20" s="185" t="str">
        <f>IF(Tim!KC22=FIT!$E$1,Tim!KC22,"")</f>
        <v/>
      </c>
      <c r="JZ20" s="185" t="str">
        <f>IF(Tim!KD22=FIT!$E$1,Tim!KD22,"")</f>
        <v/>
      </c>
      <c r="KA20" s="185" t="str">
        <f>IF(Tim!KE22=FIT!$E$1,Tim!KE22,"")</f>
        <v/>
      </c>
      <c r="KB20" s="185" t="str">
        <f>IF(Tim!KF22=FIT!$E$1,Tim!KF22,"")</f>
        <v/>
      </c>
      <c r="KC20" s="185" t="str">
        <f>IF(Tim!KG22=FIT!$E$1,Tim!KG22,"")</f>
        <v/>
      </c>
      <c r="KD20" s="185" t="str">
        <f>IF(Tim!KH22=FIT!$E$1,Tim!KH22,"")</f>
        <v/>
      </c>
      <c r="KE20" s="185" t="str">
        <f>IF(Tim!KI22=FIT!$E$1,Tim!KI22,"")</f>
        <v/>
      </c>
      <c r="KF20" s="185" t="str">
        <f>IF(Tim!KJ22=FIT!$E$1,Tim!KJ22,"")</f>
        <v/>
      </c>
      <c r="KG20" s="185" t="str">
        <f>IF(Tim!KK22=FIT!$E$1,Tim!KK22,"")</f>
        <v/>
      </c>
      <c r="KH20" s="185" t="str">
        <f>IF(Tim!KL22=FIT!$E$1,Tim!KL22,"")</f>
        <v/>
      </c>
      <c r="KI20" s="185" t="str">
        <f>IF(Tim!KM22=FIT!$E$1,Tim!KM22,"")</f>
        <v/>
      </c>
      <c r="KJ20" s="185" t="str">
        <f>IF(Tim!KN22=FIT!$E$1,Tim!KN22,"")</f>
        <v/>
      </c>
      <c r="KK20" s="185" t="str">
        <f>IF(Tim!KO22=FIT!$E$1,Tim!KO22,"")</f>
        <v/>
      </c>
      <c r="KL20" s="185" t="str">
        <f>IF(Tim!KP22=FIT!$E$1,Tim!KP22,"")</f>
        <v/>
      </c>
      <c r="KM20" s="185" t="str">
        <f>IF(Tim!KQ22=FIT!$E$1,Tim!KQ22,"")</f>
        <v/>
      </c>
      <c r="KN20" s="185" t="str">
        <f>IF(Tim!KR22=FIT!$E$1,Tim!KR22,"")</f>
        <v/>
      </c>
      <c r="KO20" s="185" t="str">
        <f>IF(Tim!KS22=FIT!$E$1,Tim!KS22,"")</f>
        <v/>
      </c>
      <c r="KP20" s="185" t="str">
        <f>IF(Tim!KT22=FIT!$E$1,Tim!KT22,"")</f>
        <v/>
      </c>
      <c r="KQ20" s="185" t="str">
        <f>IF(Tim!KU22=FIT!$E$1,Tim!KU22,"")</f>
        <v/>
      </c>
      <c r="KR20" s="185" t="str">
        <f>IF(Tim!KV22=FIT!$E$1,Tim!KV22,"")</f>
        <v/>
      </c>
      <c r="KS20" s="185" t="str">
        <f>IF(Tim!KW22=FIT!$E$1,Tim!KW22,"")</f>
        <v/>
      </c>
      <c r="KT20" s="185" t="str">
        <f>IF(Tim!KX22=FIT!$E$1,Tim!KX22,"")</f>
        <v/>
      </c>
      <c r="KU20" s="185" t="str">
        <f>IF(Tim!KY22=FIT!$E$1,Tim!KY22,"")</f>
        <v/>
      </c>
      <c r="KV20" s="185" t="str">
        <f>IF(Tim!KZ22=FIT!$E$1,Tim!KZ22,"")</f>
        <v/>
      </c>
      <c r="KW20" s="185" t="str">
        <f>IF(Tim!LA22=FIT!$E$1,Tim!LA22,"")</f>
        <v/>
      </c>
      <c r="KX20" s="185" t="str">
        <f>IF(Tim!LB22=FIT!$E$1,Tim!LB22,"")</f>
        <v/>
      </c>
      <c r="KY20" s="185" t="str">
        <f>IF(Tim!LC22=FIT!$E$1,Tim!LC22,"")</f>
        <v/>
      </c>
      <c r="KZ20" s="185" t="str">
        <f>IF(Tim!LD22=FIT!$E$1,Tim!LD22,"")</f>
        <v/>
      </c>
      <c r="LA20" s="185" t="str">
        <f>IF(Tim!LE22=FIT!$E$1,Tim!LE22,"")</f>
        <v/>
      </c>
      <c r="LB20" s="52">
        <v>0.44791666666666602</v>
      </c>
    </row>
    <row r="21" spans="2:314" ht="10.5" customHeight="1">
      <c r="B21" s="49">
        <v>0.25</v>
      </c>
      <c r="C21" s="49">
        <v>0.25</v>
      </c>
      <c r="D21" s="49">
        <v>0.25</v>
      </c>
      <c r="E21" s="172">
        <v>0.45833333333333298</v>
      </c>
      <c r="F21" s="238" t="str">
        <f>IF(Tim!F23=FIT!$E$1,Tim!F23,"")</f>
        <v/>
      </c>
      <c r="G21" s="185" t="str">
        <f>IF(Tim!G23=FIT!$E$1,Tim!G23,"")</f>
        <v/>
      </c>
      <c r="H21" s="185" t="str">
        <f>IF(Tim!H23=FIT!$E$1,Tim!H23,"")</f>
        <v/>
      </c>
      <c r="I21" s="185" t="str">
        <f>IF(Tim!I23=FIT!$E$1,Tim!I23,"")</f>
        <v/>
      </c>
      <c r="J21" s="185" t="str">
        <f>IF(Tim!J23=FIT!$E$1,Tim!J23,"")</f>
        <v/>
      </c>
      <c r="K21" s="185" t="str">
        <f>IF(Tim!K23=FIT!$E$1,Tim!K23,"")</f>
        <v/>
      </c>
      <c r="L21" s="185" t="str">
        <f>IF(Tim!L23=FIT!$E$1,Tim!L23,"")</f>
        <v/>
      </c>
      <c r="M21" s="185" t="str">
        <f>IF(Tim!M23=FIT!$E$1,Tim!M23,"")</f>
        <v/>
      </c>
      <c r="N21" s="185" t="str">
        <f>IF(Tim!N23=FIT!$E$1,Tim!N23,"")</f>
        <v/>
      </c>
      <c r="O21" s="185" t="str">
        <f>IF(Tim!O23=FIT!$E$1,Tim!O23,"")</f>
        <v/>
      </c>
      <c r="P21" s="185" t="str">
        <f>IF(Tim!P23=FIT!$E$1,Tim!P23,"")</f>
        <v/>
      </c>
      <c r="Q21" s="185" t="str">
        <f>IF(Tim!Q23=FIT!$E$1,Tim!Q23,"")</f>
        <v/>
      </c>
      <c r="R21" s="185" t="str">
        <f>IF(Tim!R23=FIT!$E$1,Tim!R23,"")</f>
        <v/>
      </c>
      <c r="S21" s="185" t="str">
        <f>IF(Tim!S23=FIT!$E$1,Tim!S23,"")</f>
        <v/>
      </c>
      <c r="T21" s="185" t="str">
        <f>IF(Tim!T23=FIT!$E$1,Tim!T23,"")</f>
        <v/>
      </c>
      <c r="U21" s="185" t="str">
        <f>IF(Tim!U23=FIT!$E$1,Tim!U23,"")</f>
        <v/>
      </c>
      <c r="V21" s="185" t="str">
        <f>IF(Tim!W23=FIT!$E$1,Tim!W23,"")</f>
        <v/>
      </c>
      <c r="W21" s="185" t="str">
        <f>IF(Tim!X23=FIT!$E$1,Tim!X23,"")</f>
        <v/>
      </c>
      <c r="X21" s="185" t="str">
        <f>IF(Tim!Y23=FIT!$E$1,Tim!Y23,"")</f>
        <v/>
      </c>
      <c r="Y21" s="185" t="str">
        <f>IF(Tim!Z23=FIT!$E$1,Tim!Z23,"")</f>
        <v/>
      </c>
      <c r="Z21" s="185" t="str">
        <f>IF(Tim!AA23=FIT!$E$1,Tim!AA23,"")</f>
        <v/>
      </c>
      <c r="AA21" s="185" t="str">
        <f>IF(Tim!AB23=FIT!$E$1,Tim!AB23,"")</f>
        <v/>
      </c>
      <c r="AB21" s="185" t="str">
        <f>IF(Tim!AC23=FIT!$E$1,Tim!AC23,"")</f>
        <v/>
      </c>
      <c r="AC21" s="185" t="str">
        <f>IF(Tim!AD23=FIT!$E$1,Tim!AD23,"")</f>
        <v/>
      </c>
      <c r="AD21" s="185" t="str">
        <f>IF(Tim!AE23=FIT!$E$1,Tim!AE23,"")</f>
        <v/>
      </c>
      <c r="AE21" s="185" t="str">
        <f>IF(Tim!AF23=FIT!$E$1,Tim!AF23,"")</f>
        <v/>
      </c>
      <c r="AF21" s="185" t="str">
        <f>IF(Tim!AG23=FIT!$E$1,Tim!AG23,"")</f>
        <v/>
      </c>
      <c r="AG21" s="185" t="str">
        <f>IF(Tim!AH23=FIT!$E$1,Tim!AH23,"")</f>
        <v/>
      </c>
      <c r="AH21" s="185" t="str">
        <f>IF(Tim!AI23=FIT!$E$1,Tim!AI23,"")</f>
        <v/>
      </c>
      <c r="AI21" s="185" t="str">
        <f>IF(Tim!AJ23=FIT!$E$1,Tim!AJ23,"")</f>
        <v/>
      </c>
      <c r="AJ21" s="185" t="str">
        <f>IF(Tim!AK23=FIT!$E$1,Tim!AK23,"")</f>
        <v/>
      </c>
      <c r="AK21" s="185" t="str">
        <f>IF(Tim!AL23=FIT!$E$1,Tim!AL23,"")</f>
        <v/>
      </c>
      <c r="AL21" s="185" t="str">
        <f>IF(Tim!AM23=FIT!$E$1,Tim!AM23,"")</f>
        <v/>
      </c>
      <c r="AM21" s="185" t="str">
        <f>IF(Tim!AN23=FIT!$E$1,Tim!AN23,"")</f>
        <v/>
      </c>
      <c r="AN21" s="185" t="str">
        <f>IF(Tim!AO23=FIT!$E$1,Tim!AO23,"")</f>
        <v/>
      </c>
      <c r="AO21" s="185" t="str">
        <f>IF(Tim!AP23=FIT!$E$1,Tim!AP23,"")</f>
        <v/>
      </c>
      <c r="AP21" s="185" t="str">
        <f>IF(Tim!AQ23=FIT!$E$1,Tim!AQ23,"")</f>
        <v/>
      </c>
      <c r="AQ21" s="185" t="str">
        <f>IF(Tim!AR23=FIT!$E$1,Tim!AR23,"")</f>
        <v/>
      </c>
      <c r="AR21" s="185" t="str">
        <f>IF(Tim!AS23=FIT!$E$1,Tim!AS23,"")</f>
        <v/>
      </c>
      <c r="AS21" s="185" t="str">
        <f>IF(Tim!AT23=FIT!$E$1,Tim!AT23,"")</f>
        <v/>
      </c>
      <c r="AT21" s="185" t="str">
        <f>IF(Tim!AU23=FIT!$E$1,Tim!AU23,"")</f>
        <v/>
      </c>
      <c r="AU21" s="185" t="str">
        <f>IF(Tim!AV23=FIT!$E$1,Tim!AV23,"")</f>
        <v/>
      </c>
      <c r="AV21" s="185" t="str">
        <f>IF(Tim!AW23=FIT!$E$1,Tim!AW23,"")</f>
        <v/>
      </c>
      <c r="AW21" s="186" t="str">
        <f>IF(Tim!AX23=FIT!$E$1,Tim!AX23,"")</f>
        <v/>
      </c>
      <c r="AX21" s="243" t="str">
        <f>IF(Tim!AY23=FIT!$E$1,Tim!AY23,"")</f>
        <v/>
      </c>
      <c r="AY21" s="185" t="str">
        <f>IF(Tim!AZ23=FIT!$E$1,Tim!AZ23,"")</f>
        <v/>
      </c>
      <c r="AZ21" s="185" t="str">
        <f>IF(Tim!BA23=FIT!$E$1,Tim!BA23,"")</f>
        <v/>
      </c>
      <c r="BA21" s="185" t="str">
        <f>IF(Tim!BB23=FIT!$E$1,Tim!BB23,"")</f>
        <v/>
      </c>
      <c r="BB21" s="185" t="str">
        <f>IF(Tim!BC23=FIT!$E$1,Tim!BC23,"")</f>
        <v/>
      </c>
      <c r="BC21" s="185" t="str">
        <f>IF(Tim!BD23=FIT!$E$1,Tim!BD23,"")</f>
        <v/>
      </c>
      <c r="BD21" s="185" t="str">
        <f>IF(Tim!BE23=FIT!$E$1,Tim!BE23,"")</f>
        <v/>
      </c>
      <c r="BE21" s="185" t="str">
        <f>IF(Tim!BF23=FIT!$E$1,Tim!BF23,"")</f>
        <v/>
      </c>
      <c r="BF21" s="185" t="str">
        <f>IF(Tim!BG23=FIT!$E$1,Tim!BG23,"")</f>
        <v/>
      </c>
      <c r="BG21" s="185" t="str">
        <f>IF(Tim!BH23=FIT!$E$1,Tim!BH23,"")</f>
        <v/>
      </c>
      <c r="BH21" s="185" t="str">
        <f>IF(Tim!BI23=FIT!$E$1,Tim!BI23,"")</f>
        <v/>
      </c>
      <c r="BI21" s="185" t="str">
        <f>IF(Tim!BJ23=FIT!$E$1,Tim!BJ23,"")</f>
        <v/>
      </c>
      <c r="BJ21" s="185" t="str">
        <f>IF(Tim!BK23=FIT!$E$1,Tim!BK23,"")</f>
        <v/>
      </c>
      <c r="BK21" s="185" t="str">
        <f>IF(Tim!BL23=FIT!$E$1,Tim!BL23,"")</f>
        <v/>
      </c>
      <c r="BL21" s="185" t="str">
        <f>IF(Tim!BM23=FIT!$E$1,Tim!BM23,"")</f>
        <v/>
      </c>
      <c r="BM21" s="185" t="str">
        <f>IF(Tim!BN23=FIT!$E$1,Tim!BN23,"")</f>
        <v/>
      </c>
      <c r="BN21" s="185" t="str">
        <f>IF(Tim!BO23=FIT!$E$1,Tim!BO23,"")</f>
        <v/>
      </c>
      <c r="BO21" s="185" t="str">
        <f>IF(Tim!BP23=FIT!$E$1,Tim!BP23,"")</f>
        <v/>
      </c>
      <c r="BP21" s="185" t="str">
        <f>IF(Tim!BQ23=FIT!$E$1,Tim!BQ23,"")</f>
        <v/>
      </c>
      <c r="BQ21" s="185" t="str">
        <f>IF(Tim!BR23=FIT!$E$1,Tim!BR23,"")</f>
        <v/>
      </c>
      <c r="BR21" s="185" t="str">
        <f>IF(Tim!BS23=FIT!$E$1,Tim!BS23,"")</f>
        <v/>
      </c>
      <c r="BS21" s="185" t="str">
        <f>IF(Tim!BT23=FIT!$E$1,Tim!BT23,"")</f>
        <v/>
      </c>
      <c r="BT21" s="185" t="str">
        <f>IF(Tim!BU23=FIT!$E$1,Tim!BU23,"")</f>
        <v/>
      </c>
      <c r="BU21" s="185" t="str">
        <f>IF(Tim!BV23=FIT!$E$1,Tim!BV23,"")</f>
        <v/>
      </c>
      <c r="BV21" s="185" t="str">
        <f>IF(Tim!BW23=FIT!$E$1,Tim!BW23,"")</f>
        <v/>
      </c>
      <c r="BW21" s="185" t="str">
        <f>IF(Tim!BX23=FIT!$E$1,Tim!BX23,"")</f>
        <v/>
      </c>
      <c r="BX21" s="185" t="str">
        <f>IF(Tim!BY23=FIT!$E$1,Tim!BY23,"")</f>
        <v/>
      </c>
      <c r="BY21" s="185" t="str">
        <f>IF(Tim!BZ23=FIT!$E$1,Tim!BZ23,"")</f>
        <v/>
      </c>
      <c r="BZ21" s="185" t="str">
        <f>IF(Tim!CA23=FIT!$E$1,Tim!CA23,"")</f>
        <v/>
      </c>
      <c r="CA21" s="185" t="str">
        <f>IF(Tim!CB23=FIT!$E$1,Tim!CB23,"")</f>
        <v/>
      </c>
      <c r="CB21" s="185" t="str">
        <f>IF(Tim!CC23=FIT!$E$1,Tim!CC23,"")</f>
        <v/>
      </c>
      <c r="CC21" s="185" t="str">
        <f>IF(Tim!CD23=FIT!$E$1,Tim!CD23,"")</f>
        <v/>
      </c>
      <c r="CD21" s="185" t="str">
        <f>IF(Tim!CE23=FIT!$E$1,Tim!CE23,"")</f>
        <v/>
      </c>
      <c r="CE21" s="185" t="str">
        <f>IF(Tim!CF23=FIT!$E$1,Tim!CF23,"")</f>
        <v/>
      </c>
      <c r="CF21" s="185" t="str">
        <f>IF(Tim!CG23=FIT!$E$1,Tim!CG23,"")</f>
        <v/>
      </c>
      <c r="CG21" s="185" t="str">
        <f>IF(Tim!CH23=FIT!$E$1,Tim!CH23,"")</f>
        <v/>
      </c>
      <c r="CH21" s="185" t="str">
        <f>IF(Tim!CI23=FIT!$E$1,Tim!CI23,"")</f>
        <v/>
      </c>
      <c r="CI21" s="185" t="str">
        <f>IF(Tim!CJ23=FIT!$E$1,Tim!CJ23,"")</f>
        <v/>
      </c>
      <c r="CJ21" s="185" t="str">
        <f>IF(Tim!CK23=FIT!$E$1,Tim!CK23,"")</f>
        <v/>
      </c>
      <c r="CK21" s="185" t="str">
        <f>IF(Tim!CL23=FIT!$E$1,Tim!CL23,"")</f>
        <v/>
      </c>
      <c r="CL21" s="185" t="str">
        <f>IF(Tim!CM23=FIT!$E$1,Tim!CM23,"")</f>
        <v/>
      </c>
      <c r="CM21" s="185" t="str">
        <f>IF(Tim!CN23=FIT!$E$1,Tim!CN23,"")</f>
        <v/>
      </c>
      <c r="CN21" s="185" t="str">
        <f>IF(Tim!CO23=FIT!$E$1,Tim!CO23,"")</f>
        <v/>
      </c>
      <c r="CO21" s="185" t="str">
        <f>IF(Tim!CP23=FIT!$E$1,Tim!CP23,"")</f>
        <v/>
      </c>
      <c r="CP21" s="185" t="str">
        <f>IF(Tim!CQ23=FIT!$E$1,Tim!CQ23,"")</f>
        <v/>
      </c>
      <c r="CQ21" s="185" t="str">
        <f>IF(Tim!CR23=FIT!$E$1,Tim!CR23,"")</f>
        <v/>
      </c>
      <c r="CR21" s="185" t="str">
        <f>IF(Tim!CS23=FIT!$E$1,Tim!CS23,"")</f>
        <v/>
      </c>
      <c r="CS21" s="185" t="str">
        <f>IF(Tim!CT23=FIT!$E$1,Tim!CT23,"")</f>
        <v/>
      </c>
      <c r="CT21" s="185" t="str">
        <f>IF(Tim!CU23=FIT!$E$1,Tim!CU23,"")</f>
        <v/>
      </c>
      <c r="CU21" s="185" t="str">
        <f>IF(Tim!CV23=FIT!$E$1,Tim!CV23,"")</f>
        <v/>
      </c>
      <c r="CV21" s="185" t="str">
        <f>IF(Tim!CW23=FIT!$E$1,Tim!CW23,"")</f>
        <v/>
      </c>
      <c r="CW21" s="185" t="str">
        <f>IF(Tim!CX23=FIT!$E$1,Tim!CX23,"")</f>
        <v/>
      </c>
      <c r="CX21" s="185" t="str">
        <f>IF(Tim!CY23=FIT!$E$1,Tim!CY23,"")</f>
        <v/>
      </c>
      <c r="CY21" s="185" t="str">
        <f>IF(Tim!CZ23=FIT!$E$1,Tim!CZ23,"")</f>
        <v/>
      </c>
      <c r="CZ21" s="185" t="str">
        <f>IF(Tim!DA23=FIT!$E$1,Tim!DA23,"")</f>
        <v/>
      </c>
      <c r="DA21" s="185" t="str">
        <f>IF(Tim!DB23=FIT!$E$1,Tim!DB23,"")</f>
        <v/>
      </c>
      <c r="DB21" s="185" t="str">
        <f>IF(Tim!DC23=FIT!$E$1,Tim!DC23,"")</f>
        <v/>
      </c>
      <c r="DC21" s="185" t="str">
        <f>IF(Tim!DD23=FIT!$E$1,Tim!DD23,"")</f>
        <v/>
      </c>
      <c r="DD21" s="185" t="str">
        <f>IF(Tim!DE23=FIT!$E$1,Tim!DE23,"")</f>
        <v/>
      </c>
      <c r="DE21" s="185" t="str">
        <f>IF(Tim!DF23=FIT!$E$1,Tim!DF23,"")</f>
        <v/>
      </c>
      <c r="DF21" s="185" t="str">
        <f>IF(Tim!DG23=FIT!$E$1,Tim!DG23,"")</f>
        <v/>
      </c>
      <c r="DG21" s="185" t="str">
        <f>IF(Tim!DH23=FIT!$E$1,Tim!DH23,"")</f>
        <v/>
      </c>
      <c r="DH21" s="185" t="str">
        <f>IF(Tim!DI22=FIT!$E$1,Tim!DI22,"")</f>
        <v/>
      </c>
      <c r="DI21" s="185" t="str">
        <f>IF(Tim!DM23=FIT!$E$1,Tim!DM23,"")</f>
        <v/>
      </c>
      <c r="DJ21" s="185" t="str">
        <f>IF(Tim!DN23=FIT!$E$1,Tim!DN23,"")</f>
        <v/>
      </c>
      <c r="DK21" s="185" t="str">
        <f>IF(Tim!DO23=FIT!$E$1,Tim!DO23,"")</f>
        <v/>
      </c>
      <c r="DL21" s="185" t="str">
        <f>IF(Tim!DP23=FIT!$E$1,Tim!DP23,"")</f>
        <v/>
      </c>
      <c r="DM21" s="185" t="str">
        <f>IF(Tim!DQ23=FIT!$E$1,Tim!DQ23,"")</f>
        <v/>
      </c>
      <c r="DN21" s="185" t="str">
        <f>IF(Tim!DR23=FIT!$E$1,Tim!DR23,"")</f>
        <v/>
      </c>
      <c r="DO21" s="185" t="str">
        <f>IF(Tim!DS23=FIT!$E$1,Tim!DS23,"")</f>
        <v/>
      </c>
      <c r="DP21" s="185" t="str">
        <f>IF(Tim!DT23=FIT!$E$1,Tim!DT23,"")</f>
        <v/>
      </c>
      <c r="DQ21" s="185" t="str">
        <f>IF(Tim!DU23=FIT!$E$1,Tim!DU23,"")</f>
        <v/>
      </c>
      <c r="DR21" s="185" t="str">
        <f>IF(Tim!DV23=FIT!$E$1,Tim!DV23,"")</f>
        <v/>
      </c>
      <c r="DS21" s="185" t="str">
        <f>IF(Tim!DW23=FIT!$E$1,Tim!DW23,"")</f>
        <v/>
      </c>
      <c r="DT21" s="185" t="str">
        <f>IF(Tim!DX23=FIT!$E$1,Tim!DX23,"")</f>
        <v/>
      </c>
      <c r="DU21" s="185" t="str">
        <f>IF(Tim!DY23=FIT!$E$1,Tim!DY23,"")</f>
        <v/>
      </c>
      <c r="DV21" s="185" t="str">
        <f>IF(Tim!DZ23=FIT!$E$1,Tim!DZ23,"")</f>
        <v/>
      </c>
      <c r="DW21" s="185" t="str">
        <f>IF(Tim!EA23=FIT!$E$1,Tim!EA23,"")</f>
        <v/>
      </c>
      <c r="DX21" s="185" t="str">
        <f>IF(Tim!EB23=FIT!$E$1,Tim!EB23,"")</f>
        <v/>
      </c>
      <c r="DY21" s="185" t="str">
        <f>IF(Tim!EC23=FIT!$E$1,Tim!EC23,"")</f>
        <v/>
      </c>
      <c r="DZ21" s="185" t="str">
        <f>IF(Tim!ED23=FIT!$E$1,Tim!ED23,"")</f>
        <v/>
      </c>
      <c r="EA21" s="185" t="str">
        <f>IF(Tim!EE23=FIT!$E$1,Tim!EE23,"")</f>
        <v/>
      </c>
      <c r="EB21" s="185" t="str">
        <f>IF(Tim!EF23=FIT!$E$1,Tim!EF23,"")</f>
        <v/>
      </c>
      <c r="EC21" s="185" t="str">
        <f>IF(Tim!EG23=FIT!$E$1,Tim!EG23,"")</f>
        <v/>
      </c>
      <c r="ED21" s="185" t="str">
        <f>IF(Tim!EH23=FIT!$E$1,Tim!EH23,"")</f>
        <v/>
      </c>
      <c r="EE21" s="185" t="str">
        <f>IF(Tim!EI23=FIT!$E$1,Tim!EI23,"")</f>
        <v/>
      </c>
      <c r="EF21" s="185" t="str">
        <f>IF(Tim!EJ23=FIT!$E$1,Tim!EJ23,"")</f>
        <v/>
      </c>
      <c r="EG21" s="185" t="str">
        <f>IF(Tim!EK23=FIT!$E$1,Tim!EK23,"")</f>
        <v/>
      </c>
      <c r="EH21" s="185" t="str">
        <f>IF(Tim!EL23=FIT!$E$1,Tim!EL23,"")</f>
        <v/>
      </c>
      <c r="EI21" s="185" t="str">
        <f>IF(Tim!EM23=FIT!$E$1,Tim!EM23,"")</f>
        <v/>
      </c>
      <c r="EJ21" s="185" t="str">
        <f>IF(Tim!EN23=FIT!$E$1,Tim!EN23,"")</f>
        <v/>
      </c>
      <c r="EK21" s="185" t="str">
        <f>IF(Tim!EO23=FIT!$E$1,Tim!EO23,"")</f>
        <v/>
      </c>
      <c r="EL21" s="185" t="str">
        <f>IF(Tim!EP23=FIT!$E$1,Tim!EP23,"")</f>
        <v/>
      </c>
      <c r="EM21" s="185" t="str">
        <f>IF(Tim!EQ23=FIT!$E$1,Tim!EQ23,"")</f>
        <v/>
      </c>
      <c r="EN21" s="185" t="str">
        <f>IF(Tim!ER23=FIT!$E$1,Tim!ER23,"")</f>
        <v/>
      </c>
      <c r="EO21" s="185" t="str">
        <f>IF(Tim!ES23=FIT!$E$1,Tim!ES23,"")</f>
        <v/>
      </c>
      <c r="EP21" s="185" t="str">
        <f>IF(Tim!ET23=FIT!$E$1,Tim!ET23,"")</f>
        <v/>
      </c>
      <c r="EQ21" s="185" t="str">
        <f>IF(Tim!EU23=FIT!$E$1,Tim!EU23,"")</f>
        <v/>
      </c>
      <c r="ER21" s="185" t="str">
        <f>IF(Tim!EV23=FIT!$E$1,Tim!EV23,"")</f>
        <v/>
      </c>
      <c r="ES21" s="185" t="str">
        <f>IF(Tim!EW23=FIT!$E$1,Tim!EW23,"")</f>
        <v/>
      </c>
      <c r="ET21" s="185" t="str">
        <f>IF(Tim!EX23=FIT!$E$1,Tim!EX23,"")</f>
        <v/>
      </c>
      <c r="EU21" s="185" t="str">
        <f>IF(Tim!EY23=FIT!$E$1,Tim!EY23,"")</f>
        <v/>
      </c>
      <c r="EV21" s="185" t="str">
        <f>IF(Tim!EZ23=FIT!$E$1,Tim!EZ23,"")</f>
        <v/>
      </c>
      <c r="EW21" s="185" t="str">
        <f>IF(Tim!FA23=FIT!$E$1,Tim!FA23,"")</f>
        <v/>
      </c>
      <c r="EX21" s="185" t="str">
        <f>IF(Tim!FB23=FIT!$E$1,Tim!FB23,"")</f>
        <v/>
      </c>
      <c r="EY21" s="185" t="str">
        <f>IF(Tim!FC23=FIT!$E$1,Tim!FC23,"")</f>
        <v/>
      </c>
      <c r="EZ21" s="185" t="str">
        <f>IF(Tim!FD23=FIT!$E$1,Tim!FD23,"")</f>
        <v/>
      </c>
      <c r="FA21" s="185" t="str">
        <f>IF(Tim!FE23=FIT!$E$1,Tim!FE23,"")</f>
        <v/>
      </c>
      <c r="FB21" s="185" t="str">
        <f>IF(Tim!FF23=FIT!$E$1,Tim!FF23,"")</f>
        <v/>
      </c>
      <c r="FC21" s="185" t="str">
        <f>IF(Tim!FG23=FIT!$E$1,Tim!FG23,"")</f>
        <v/>
      </c>
      <c r="FD21" s="185" t="str">
        <f>IF(Tim!FH23=FIT!$E$1,Tim!FH23,"")</f>
        <v/>
      </c>
      <c r="FE21" s="185" t="str">
        <f>IF(Tim!FI23=FIT!$E$1,Tim!FI23,"")</f>
        <v/>
      </c>
      <c r="FF21" s="185" t="str">
        <f>IF(Tim!FJ23=FIT!$E$1,Tim!FJ23,"")</f>
        <v/>
      </c>
      <c r="FG21" s="185" t="str">
        <f>IF(Tim!FK23=FIT!$E$1,Tim!FK23,"")</f>
        <v/>
      </c>
      <c r="FH21" s="185" t="str">
        <f>IF(Tim!FL23=FIT!$E$1,Tim!FL23,"")</f>
        <v/>
      </c>
      <c r="FI21" s="185" t="str">
        <f>IF(Tim!FM23=FIT!$E$1,Tim!FM23,"")</f>
        <v/>
      </c>
      <c r="FJ21" s="185" t="str">
        <f>IF(Tim!FN23=FIT!$E$1,Tim!FN23,"")</f>
        <v/>
      </c>
      <c r="FK21" s="185" t="str">
        <f>IF(Tim!FO23=FIT!$E$1,Tim!FO23,"")</f>
        <v/>
      </c>
      <c r="FL21" s="185" t="str">
        <f>IF(Tim!FP23=FIT!$E$1,Tim!FP23,"")</f>
        <v/>
      </c>
      <c r="FM21" s="185" t="str">
        <f>IF(Tim!FQ23=FIT!$E$1,Tim!FQ23,"")</f>
        <v/>
      </c>
      <c r="FN21" s="185" t="str">
        <f>IF(Tim!FR23=FIT!$E$1,Tim!FR23,"")</f>
        <v/>
      </c>
      <c r="FO21" s="185" t="str">
        <f>IF(Tim!FS23=FIT!$E$1,Tim!FS23,"")</f>
        <v/>
      </c>
      <c r="FP21" s="185" t="str">
        <f>IF(Tim!FT23=FIT!$E$1,Tim!FT23,"")</f>
        <v/>
      </c>
      <c r="FQ21" s="185" t="str">
        <f>IF(Tim!FU23=FIT!$E$1,Tim!FU23,"")</f>
        <v/>
      </c>
      <c r="FR21" s="185" t="str">
        <f>IF(Tim!FV23=FIT!$E$1,Tim!FV23,"")</f>
        <v/>
      </c>
      <c r="FS21" s="185" t="str">
        <f>IF(Tim!FW23=FIT!$E$1,Tim!FW23,"")</f>
        <v/>
      </c>
      <c r="FT21" s="185" t="str">
        <f>IF(Tim!FX23=FIT!$E$1,Tim!FX23,"")</f>
        <v/>
      </c>
      <c r="FU21" s="185" t="str">
        <f>IF(Tim!FY23=FIT!$E$1,Tim!FY23,"")</f>
        <v/>
      </c>
      <c r="FV21" s="185" t="str">
        <f>IF(Tim!FZ23=FIT!$E$1,Tim!FZ23,"")</f>
        <v/>
      </c>
      <c r="FW21" s="185" t="str">
        <f>IF(Tim!GA23=FIT!$E$1,Tim!GA23,"")</f>
        <v/>
      </c>
      <c r="FX21" s="185" t="str">
        <f>IF(Tim!GB23=FIT!$E$1,Tim!GB23,"")</f>
        <v/>
      </c>
      <c r="FY21" s="185" t="str">
        <f>IF(Tim!GC23=FIT!$E$1,Tim!GC23,"")</f>
        <v/>
      </c>
      <c r="FZ21" s="185" t="str">
        <f>IF(Tim!GD23=FIT!$E$1,Tim!GD23,"")</f>
        <v/>
      </c>
      <c r="GA21" s="185" t="str">
        <f>IF(Tim!GE23=FIT!$E$1,Tim!GE23,"")</f>
        <v/>
      </c>
      <c r="GB21" s="185" t="str">
        <f>IF(Tim!GF23=FIT!$E$1,Tim!GF23,"")</f>
        <v/>
      </c>
      <c r="GC21" s="185" t="str">
        <f>IF(Tim!GG23=FIT!$E$1,Tim!GG23,"")</f>
        <v/>
      </c>
      <c r="GD21" s="185" t="str">
        <f>IF(Tim!GH23=FIT!$E$1,Tim!GH23,"")</f>
        <v/>
      </c>
      <c r="GE21" s="185" t="str">
        <f>IF(Tim!GI23=FIT!$E$1,Tim!GI23,"")</f>
        <v/>
      </c>
      <c r="GF21" s="185" t="str">
        <f>IF(Tim!GJ23=FIT!$E$1,Tim!GJ23,"")</f>
        <v/>
      </c>
      <c r="GG21" s="185" t="str">
        <f>IF(Tim!GK23=FIT!$E$1,Tim!GK23,"")</f>
        <v/>
      </c>
      <c r="GH21" s="185" t="str">
        <f>IF(Tim!GL23=FIT!$E$1,Tim!GL23,"")</f>
        <v/>
      </c>
      <c r="GI21" s="185" t="str">
        <f>IF(Tim!GM23=FIT!$E$1,Tim!GM23,"")</f>
        <v/>
      </c>
      <c r="GJ21" s="185" t="str">
        <f>IF(Tim!GN23=FIT!$E$1,Tim!GN23,"")</f>
        <v/>
      </c>
      <c r="GK21" s="185" t="str">
        <f>IF(Tim!GO23=FIT!$E$1,Tim!GO23,"")</f>
        <v/>
      </c>
      <c r="GL21" s="185" t="str">
        <f>IF(Tim!GP23=FIT!$E$1,Tim!GP23,"")</f>
        <v/>
      </c>
      <c r="GM21" s="185" t="str">
        <f>IF(Tim!GQ23=FIT!$E$1,Tim!GQ23,"")</f>
        <v/>
      </c>
      <c r="GN21" s="185" t="str">
        <f>IF(Tim!GR23=FIT!$E$1,Tim!GR23,"")</f>
        <v/>
      </c>
      <c r="GO21" s="185" t="str">
        <f>IF(Tim!GS23=FIT!$E$1,Tim!GS23,"")</f>
        <v/>
      </c>
      <c r="GP21" s="185" t="str">
        <f>IF(Tim!GT23=FIT!$E$1,Tim!GT23,"")</f>
        <v/>
      </c>
      <c r="GQ21" s="185" t="str">
        <f>IF(Tim!GU23=FIT!$E$1,Tim!GU23,"")</f>
        <v/>
      </c>
      <c r="GR21" s="185" t="str">
        <f>IF(Tim!GV23=FIT!$E$1,Tim!GV23,"")</f>
        <v/>
      </c>
      <c r="GS21" s="185" t="str">
        <f>IF(Tim!GW23=FIT!$E$1,Tim!GW23,"")</f>
        <v/>
      </c>
      <c r="GT21" s="185" t="str">
        <f>IF(Tim!GX23=FIT!$E$1,Tim!GX23,"")</f>
        <v/>
      </c>
      <c r="GU21" s="185" t="str">
        <f>IF(Tim!GY23=FIT!$E$1,Tim!GY23,"")</f>
        <v/>
      </c>
      <c r="GV21" s="185" t="str">
        <f>IF(Tim!GZ23=FIT!$E$1,Tim!GZ23,"")</f>
        <v/>
      </c>
      <c r="GW21" s="185" t="str">
        <f>IF(Tim!HA23=FIT!$E$1,Tim!HA23,"")</f>
        <v/>
      </c>
      <c r="GX21" s="185" t="str">
        <f>IF(Tim!HB23=FIT!$E$1,Tim!HB23,"")</f>
        <v/>
      </c>
      <c r="GY21" s="185" t="str">
        <f>IF(Tim!HC23=FIT!$E$1,Tim!HC23,"")</f>
        <v/>
      </c>
      <c r="GZ21" s="185" t="str">
        <f>IF(Tim!HD23=FIT!$E$1,Tim!HD23,"")</f>
        <v/>
      </c>
      <c r="HA21" s="185" t="str">
        <f>IF(Tim!HE23=FIT!$E$1,Tim!HE23,"")</f>
        <v/>
      </c>
      <c r="HB21" s="185" t="str">
        <f>IF(Tim!HF23=FIT!$E$1,Tim!HF23,"")</f>
        <v/>
      </c>
      <c r="HC21" s="185" t="str">
        <f>IF(Tim!HG23=FIT!$E$1,Tim!HG23,"")</f>
        <v/>
      </c>
      <c r="HD21" s="185" t="str">
        <f>IF(Tim!HH23=FIT!$E$1,Tim!HH23,"")</f>
        <v/>
      </c>
      <c r="HE21" s="185" t="str">
        <f>IF(Tim!HI23=FIT!$E$1,Tim!HI23,"")</f>
        <v/>
      </c>
      <c r="HF21" s="185" t="str">
        <f>IF(Tim!HJ23=FIT!$E$1,Tim!HJ23,"")</f>
        <v/>
      </c>
      <c r="HG21" s="185" t="str">
        <f>IF(Tim!HK23=FIT!$E$1,Tim!HK23,"")</f>
        <v/>
      </c>
      <c r="HH21" s="185" t="str">
        <f>IF(Tim!HL23=FIT!$E$1,Tim!HL23,"")</f>
        <v/>
      </c>
      <c r="HI21" s="185" t="str">
        <f>IF(Tim!HM23=FIT!$E$1,Tim!HM23,"")</f>
        <v/>
      </c>
      <c r="HJ21" s="185" t="str">
        <f>IF(Tim!HN23=FIT!$E$1,Tim!HN23,"")</f>
        <v/>
      </c>
      <c r="HK21" s="185" t="str">
        <f>IF(Tim!HO23=FIT!$E$1,Tim!HO23,"")</f>
        <v/>
      </c>
      <c r="HL21" s="185" t="str">
        <f>IF(Tim!HP23=FIT!$E$1,Tim!HP23,"")</f>
        <v/>
      </c>
      <c r="HM21" s="185" t="str">
        <f>IF(Tim!HQ23=FIT!$E$1,Tim!HQ23,"")</f>
        <v/>
      </c>
      <c r="HN21" s="185" t="str">
        <f>IF(Tim!HR23=FIT!$E$1,Tim!HR23,"")</f>
        <v/>
      </c>
      <c r="HO21" s="185" t="str">
        <f>IF(Tim!HS23=FIT!$E$1,Tim!HS23,"")</f>
        <v/>
      </c>
      <c r="HP21" s="185" t="str">
        <f>IF(Tim!HT23=FIT!$E$1,Tim!HT23,"")</f>
        <v/>
      </c>
      <c r="HQ21" s="185" t="str">
        <f>IF(Tim!HU23=FIT!$E$1,Tim!HU23,"")</f>
        <v/>
      </c>
      <c r="HR21" s="185" t="str">
        <f>IF(Tim!HV23=FIT!$E$1,Tim!HV23,"")</f>
        <v/>
      </c>
      <c r="HS21" s="185" t="str">
        <f>IF(Tim!HW23=FIT!$E$1,Tim!HW23,"")</f>
        <v/>
      </c>
      <c r="HT21" s="185" t="str">
        <f>IF(Tim!HX23=FIT!$E$1,Tim!HX23,"")</f>
        <v/>
      </c>
      <c r="HU21" s="185" t="str">
        <f>IF(Tim!HY23=FIT!$E$1,Tim!HY23,"")</f>
        <v/>
      </c>
      <c r="HV21" s="185" t="str">
        <f>IF(Tim!HZ23=FIT!$E$1,Tim!HZ23,"")</f>
        <v/>
      </c>
      <c r="HW21" s="185" t="str">
        <f>IF(Tim!IA23=FIT!$E$1,Tim!IA23,"")</f>
        <v/>
      </c>
      <c r="HX21" s="185" t="str">
        <f>IF(Tim!IB23=FIT!$E$1,Tim!IB23,"")</f>
        <v/>
      </c>
      <c r="HY21" s="185" t="str">
        <f>IF(Tim!IC23=FIT!$E$1,Tim!IC23,"")</f>
        <v/>
      </c>
      <c r="HZ21" s="185" t="str">
        <f>IF(Tim!ID23=FIT!$E$1,Tim!ID23,"")</f>
        <v/>
      </c>
      <c r="IA21" s="185" t="str">
        <f>IF(Tim!IE23=FIT!$E$1,Tim!IE23,"")</f>
        <v/>
      </c>
      <c r="IB21" s="185" t="str">
        <f>IF(Tim!IF23=FIT!$E$1,Tim!IF23,"")</f>
        <v/>
      </c>
      <c r="IC21" s="185" t="str">
        <f>IF(Tim!IG23=FIT!$E$1,Tim!IG23,"")</f>
        <v/>
      </c>
      <c r="ID21" s="185" t="str">
        <f>IF(Tim!IH23=FIT!$E$1,Tim!IH23,"")</f>
        <v/>
      </c>
      <c r="IE21" s="185" t="str">
        <f>IF(Tim!II23=FIT!$E$1,Tim!II23,"")</f>
        <v/>
      </c>
      <c r="IF21" s="185" t="str">
        <f>IF(Tim!IJ23=FIT!$E$1,Tim!IJ23,"")</f>
        <v/>
      </c>
      <c r="IG21" s="185" t="str">
        <f>IF(Tim!IK23=FIT!$E$1,Tim!IK23,"")</f>
        <v/>
      </c>
      <c r="IH21" s="185" t="str">
        <f>IF(Tim!IL23=FIT!$E$1,Tim!IL23,"")</f>
        <v/>
      </c>
      <c r="II21" s="185" t="str">
        <f>IF(Tim!IM23=FIT!$E$1,Tim!IM23,"")</f>
        <v/>
      </c>
      <c r="IJ21" s="185" t="str">
        <f>IF(Tim!IN23=FIT!$E$1,Tim!IN23,"")</f>
        <v/>
      </c>
      <c r="IK21" s="185" t="str">
        <f>IF(Tim!IO23=FIT!$E$1,Tim!IO23,"")</f>
        <v/>
      </c>
      <c r="IL21" s="185" t="str">
        <f>IF(Tim!IP23=FIT!$E$1,Tim!IP23,"")</f>
        <v/>
      </c>
      <c r="IM21" s="185" t="str">
        <f>IF(Tim!IQ23=FIT!$E$1,Tim!IQ23,"")</f>
        <v/>
      </c>
      <c r="IN21" s="185" t="str">
        <f>IF(Tim!IR23=FIT!$E$1,Tim!IR23,"")</f>
        <v/>
      </c>
      <c r="IO21" s="185" t="str">
        <f>IF(Tim!IS23=FIT!$E$1,Tim!IS23,"")</f>
        <v/>
      </c>
      <c r="IP21" s="185" t="str">
        <f>IF(Tim!IT23=FIT!$E$1,Tim!IT23,"")</f>
        <v/>
      </c>
      <c r="IQ21" s="185" t="str">
        <f>IF(Tim!IU23=FIT!$E$1,Tim!IU23,"")</f>
        <v/>
      </c>
      <c r="IR21" s="185" t="str">
        <f>IF(Tim!IV23=FIT!$E$1,Tim!IV23,"")</f>
        <v/>
      </c>
      <c r="IS21" s="185" t="str">
        <f>IF(Tim!IW23=FIT!$E$1,Tim!IW23,"")</f>
        <v/>
      </c>
      <c r="IT21" s="185" t="str">
        <f>IF(Tim!IX23=FIT!$E$1,Tim!IX23,"")</f>
        <v/>
      </c>
      <c r="IU21" s="185" t="str">
        <f>IF(Tim!IY23=FIT!$E$1,Tim!IY23,"")</f>
        <v/>
      </c>
      <c r="IV21" s="185" t="str">
        <f>IF(Tim!IZ23=FIT!$E$1,Tim!IZ23,"")</f>
        <v/>
      </c>
      <c r="IW21" s="185" t="str">
        <f>IF(Tim!JA23=FIT!$E$1,Tim!JA23,"")</f>
        <v/>
      </c>
      <c r="IX21" s="185" t="str">
        <f>IF(Tim!JB23=FIT!$E$1,Tim!JB23,"")</f>
        <v/>
      </c>
      <c r="IY21" s="185" t="str">
        <f>IF(Tim!JC23=FIT!$E$1,Tim!JC23,"")</f>
        <v/>
      </c>
      <c r="IZ21" s="185" t="str">
        <f>IF(Tim!JD23=FIT!$E$1,Tim!JD23,"")</f>
        <v/>
      </c>
      <c r="JA21" s="185" t="str">
        <f>IF(Tim!JE23=FIT!$E$1,Tim!JE23,"")</f>
        <v/>
      </c>
      <c r="JB21" s="185" t="str">
        <f>IF(Tim!JF23=FIT!$E$1,Tim!JF23,"")</f>
        <v/>
      </c>
      <c r="JC21" s="185" t="str">
        <f>IF(Tim!JG23=FIT!$E$1,Tim!JG23,"")</f>
        <v/>
      </c>
      <c r="JD21" s="185" t="str">
        <f>IF(Tim!JH23=FIT!$E$1,Tim!JH23,"")</f>
        <v/>
      </c>
      <c r="JE21" s="185" t="str">
        <f>IF(Tim!JI23=FIT!$E$1,Tim!JI23,"")</f>
        <v/>
      </c>
      <c r="JF21" s="185" t="str">
        <f>IF(Tim!JJ23=FIT!$E$1,Tim!JJ23,"")</f>
        <v/>
      </c>
      <c r="JG21" s="185" t="str">
        <f>IF(Tim!JK23=FIT!$E$1,Tim!JK23,"")</f>
        <v/>
      </c>
      <c r="JH21" s="185" t="str">
        <f>IF(Tim!JL23=FIT!$E$1,Tim!JL23,"")</f>
        <v/>
      </c>
      <c r="JI21" s="185" t="str">
        <f>IF(Tim!JM23=FIT!$E$1,Tim!JM23,"")</f>
        <v/>
      </c>
      <c r="JJ21" s="185" t="str">
        <f>IF(Tim!JN23=FIT!$E$1,Tim!JN23,"")</f>
        <v/>
      </c>
      <c r="JK21" s="185" t="str">
        <f>IF(Tim!JO23=FIT!$E$1,Tim!JO23,"")</f>
        <v/>
      </c>
      <c r="JL21" s="185" t="str">
        <f>IF(Tim!JP23=FIT!$E$1,Tim!JP23,"")</f>
        <v/>
      </c>
      <c r="JM21" s="185" t="str">
        <f>IF(Tim!JQ23=FIT!$E$1,Tim!JQ23,"")</f>
        <v/>
      </c>
      <c r="JN21" s="185" t="str">
        <f>IF(Tim!JR23=FIT!$E$1,Tim!JR23,"")</f>
        <v/>
      </c>
      <c r="JO21" s="185" t="str">
        <f>IF(Tim!JS23=FIT!$E$1,Tim!JS23,"")</f>
        <v/>
      </c>
      <c r="JP21" s="185" t="str">
        <f>IF(Tim!JT23=FIT!$E$1,Tim!JT23,"")</f>
        <v/>
      </c>
      <c r="JQ21" s="185" t="str">
        <f>IF(Tim!JU23=FIT!$E$1,Tim!JU23,"")</f>
        <v/>
      </c>
      <c r="JR21" s="185" t="str">
        <f>IF(Tim!JV23=FIT!$E$1,Tim!JV23,"")</f>
        <v/>
      </c>
      <c r="JS21" s="185" t="str">
        <f>IF(Tim!JW23=FIT!$E$1,Tim!JW23,"")</f>
        <v/>
      </c>
      <c r="JT21" s="185" t="str">
        <f>IF(Tim!JX23=FIT!$E$1,Tim!JX23,"")</f>
        <v/>
      </c>
      <c r="JU21" s="185" t="str">
        <f>IF(Tim!JY23=FIT!$E$1,Tim!JY23,"")</f>
        <v/>
      </c>
      <c r="JV21" s="185" t="str">
        <f>IF(Tim!JZ23=FIT!$E$1,Tim!JZ23,"")</f>
        <v/>
      </c>
      <c r="JW21" s="185" t="str">
        <f>IF(Tim!KA23=FIT!$E$1,Tim!KA23,"")</f>
        <v/>
      </c>
      <c r="JX21" s="185" t="str">
        <f>IF(Tim!KB23=FIT!$E$1,Tim!KB23,"")</f>
        <v/>
      </c>
      <c r="JY21" s="185" t="str">
        <f>IF(Tim!KC23=FIT!$E$1,Tim!KC23,"")</f>
        <v/>
      </c>
      <c r="JZ21" s="185" t="str">
        <f>IF(Tim!KD23=FIT!$E$1,Tim!KD23,"")</f>
        <v/>
      </c>
      <c r="KA21" s="185" t="str">
        <f>IF(Tim!KE23=FIT!$E$1,Tim!KE23,"")</f>
        <v/>
      </c>
      <c r="KB21" s="185" t="str">
        <f>IF(Tim!KF23=FIT!$E$1,Tim!KF23,"")</f>
        <v/>
      </c>
      <c r="KC21" s="185" t="str">
        <f>IF(Tim!KG23=FIT!$E$1,Tim!KG23,"")</f>
        <v/>
      </c>
      <c r="KD21" s="185" t="str">
        <f>IF(Tim!KH23=FIT!$E$1,Tim!KH23,"")</f>
        <v/>
      </c>
      <c r="KE21" s="185" t="str">
        <f>IF(Tim!KI23=FIT!$E$1,Tim!KI23,"")</f>
        <v/>
      </c>
      <c r="KF21" s="185" t="str">
        <f>IF(Tim!KJ23=FIT!$E$1,Tim!KJ23,"")</f>
        <v/>
      </c>
      <c r="KG21" s="185" t="str">
        <f>IF(Tim!KK23=FIT!$E$1,Tim!KK23,"")</f>
        <v/>
      </c>
      <c r="KH21" s="185" t="str">
        <f>IF(Tim!KL23=FIT!$E$1,Tim!KL23,"")</f>
        <v/>
      </c>
      <c r="KI21" s="185" t="str">
        <f>IF(Tim!KM23=FIT!$E$1,Tim!KM23,"")</f>
        <v/>
      </c>
      <c r="KJ21" s="185" t="str">
        <f>IF(Tim!KN23=FIT!$E$1,Tim!KN23,"")</f>
        <v/>
      </c>
      <c r="KK21" s="185" t="str">
        <f>IF(Tim!KO23=FIT!$E$1,Tim!KO23,"")</f>
        <v/>
      </c>
      <c r="KL21" s="185" t="str">
        <f>IF(Tim!KP23=FIT!$E$1,Tim!KP23,"")</f>
        <v/>
      </c>
      <c r="KM21" s="185" t="str">
        <f>IF(Tim!KQ23=FIT!$E$1,Tim!KQ23,"")</f>
        <v/>
      </c>
      <c r="KN21" s="185" t="str">
        <f>IF(Tim!KR23=FIT!$E$1,Tim!KR23,"")</f>
        <v/>
      </c>
      <c r="KO21" s="185" t="str">
        <f>IF(Tim!KS23=FIT!$E$1,Tim!KS23,"")</f>
        <v/>
      </c>
      <c r="KP21" s="185" t="str">
        <f>IF(Tim!KT23=FIT!$E$1,Tim!KT23,"")</f>
        <v/>
      </c>
      <c r="KQ21" s="185" t="str">
        <f>IF(Tim!KU23=FIT!$E$1,Tim!KU23,"")</f>
        <v/>
      </c>
      <c r="KR21" s="185" t="str">
        <f>IF(Tim!KV23=FIT!$E$1,Tim!KV23,"")</f>
        <v/>
      </c>
      <c r="KS21" s="185" t="str">
        <f>IF(Tim!KW23=FIT!$E$1,Tim!KW23,"")</f>
        <v/>
      </c>
      <c r="KT21" s="185" t="str">
        <f>IF(Tim!KX23=FIT!$E$1,Tim!KX23,"")</f>
        <v/>
      </c>
      <c r="KU21" s="185" t="str">
        <f>IF(Tim!KY23=FIT!$E$1,Tim!KY23,"")</f>
        <v/>
      </c>
      <c r="KV21" s="185" t="str">
        <f>IF(Tim!KZ23=FIT!$E$1,Tim!KZ23,"")</f>
        <v/>
      </c>
      <c r="KW21" s="185" t="str">
        <f>IF(Tim!LA23=FIT!$E$1,Tim!LA23,"")</f>
        <v/>
      </c>
      <c r="KX21" s="185" t="str">
        <f>IF(Tim!LB23=FIT!$E$1,Tim!LB23,"")</f>
        <v/>
      </c>
      <c r="KY21" s="185" t="str">
        <f>IF(Tim!LC23=FIT!$E$1,Tim!LC23,"")</f>
        <v/>
      </c>
      <c r="KZ21" s="185" t="str">
        <f>IF(Tim!LD23=FIT!$E$1,Tim!LD23,"")</f>
        <v/>
      </c>
      <c r="LA21" s="185" t="str">
        <f>IF(Tim!LE23=FIT!$E$1,Tim!LE23,"")</f>
        <v/>
      </c>
      <c r="LB21" s="52">
        <v>0.45833333333333298</v>
      </c>
    </row>
    <row r="22" spans="2:314" ht="10.5" customHeight="1">
      <c r="B22" s="49">
        <v>0.25</v>
      </c>
      <c r="C22" s="49">
        <v>0.25</v>
      </c>
      <c r="D22" s="49">
        <v>0.25</v>
      </c>
      <c r="E22" s="172">
        <v>0.46875</v>
      </c>
      <c r="F22" s="238" t="str">
        <f>IF(Tim!F24=FIT!$E$1,Tim!F24,"")</f>
        <v/>
      </c>
      <c r="G22" s="185" t="str">
        <f>IF(Tim!G24=FIT!$E$1,Tim!G24,"")</f>
        <v/>
      </c>
      <c r="H22" s="185" t="str">
        <f>IF(Tim!H24=FIT!$E$1,Tim!H24,"")</f>
        <v/>
      </c>
      <c r="I22" s="185" t="str">
        <f>IF(Tim!I24=FIT!$E$1,Tim!I24,"")</f>
        <v/>
      </c>
      <c r="J22" s="185" t="str">
        <f>IF(Tim!J24=FIT!$E$1,Tim!J24,"")</f>
        <v/>
      </c>
      <c r="K22" s="185" t="str">
        <f>IF(Tim!K24=FIT!$E$1,Tim!K24,"")</f>
        <v/>
      </c>
      <c r="L22" s="185" t="str">
        <f>IF(Tim!L24=FIT!$E$1,Tim!L24,"")</f>
        <v/>
      </c>
      <c r="M22" s="185" t="str">
        <f>IF(Tim!M24=FIT!$E$1,Tim!M24,"")</f>
        <v/>
      </c>
      <c r="N22" s="185" t="str">
        <f>IF(Tim!N24=FIT!$E$1,Tim!N24,"")</f>
        <v/>
      </c>
      <c r="O22" s="185" t="str">
        <f>IF(Tim!O24=FIT!$E$1,Tim!O24,"")</f>
        <v/>
      </c>
      <c r="P22" s="185" t="str">
        <f>IF(Tim!P24=FIT!$E$1,Tim!P24,"")</f>
        <v/>
      </c>
      <c r="Q22" s="185" t="str">
        <f>IF(Tim!Q24=FIT!$E$1,Tim!Q24,"")</f>
        <v/>
      </c>
      <c r="R22" s="185" t="str">
        <f>IF(Tim!R24=FIT!$E$1,Tim!R24,"")</f>
        <v/>
      </c>
      <c r="S22" s="185" t="str">
        <f>IF(Tim!S24=FIT!$E$1,Tim!S24,"")</f>
        <v/>
      </c>
      <c r="T22" s="185" t="str">
        <f>IF(Tim!T24=FIT!$E$1,Tim!T24,"")</f>
        <v/>
      </c>
      <c r="U22" s="185" t="str">
        <f>IF(Tim!U24=FIT!$E$1,Tim!U24,"")</f>
        <v/>
      </c>
      <c r="V22" s="185" t="str">
        <f>IF(Tim!W24=FIT!$E$1,Tim!W24,"")</f>
        <v/>
      </c>
      <c r="W22" s="185" t="str">
        <f>IF(Tim!X24=FIT!$E$1,Tim!X24,"")</f>
        <v/>
      </c>
      <c r="X22" s="185" t="str">
        <f>IF(Tim!Y24=FIT!$E$1,Tim!Y24,"")</f>
        <v/>
      </c>
      <c r="Y22" s="185" t="str">
        <f>IF(Tim!Z24=FIT!$E$1,Tim!Z24,"")</f>
        <v/>
      </c>
      <c r="Z22" s="185" t="str">
        <f>IF(Tim!AA24=FIT!$E$1,Tim!AA24,"")</f>
        <v/>
      </c>
      <c r="AA22" s="185" t="str">
        <f>IF(Tim!AB24=FIT!$E$1,Tim!AB24,"")</f>
        <v/>
      </c>
      <c r="AB22" s="185" t="str">
        <f>IF(Tim!AC24=FIT!$E$1,Tim!AC24,"")</f>
        <v/>
      </c>
      <c r="AC22" s="185" t="str">
        <f>IF(Tim!AD24=FIT!$E$1,Tim!AD24,"")</f>
        <v/>
      </c>
      <c r="AD22" s="185" t="str">
        <f>IF(Tim!AE24=FIT!$E$1,Tim!AE24,"")</f>
        <v/>
      </c>
      <c r="AE22" s="185" t="str">
        <f>IF(Tim!AF24=FIT!$E$1,Tim!AF24,"")</f>
        <v/>
      </c>
      <c r="AF22" s="185" t="str">
        <f>IF(Tim!AG24=FIT!$E$1,Tim!AG24,"")</f>
        <v/>
      </c>
      <c r="AG22" s="185" t="str">
        <f>IF(Tim!AH24=FIT!$E$1,Tim!AH24,"")</f>
        <v/>
      </c>
      <c r="AH22" s="185" t="str">
        <f>IF(Tim!AI24=FIT!$E$1,Tim!AI24,"")</f>
        <v/>
      </c>
      <c r="AI22" s="185" t="str">
        <f>IF(Tim!AJ24=FIT!$E$1,Tim!AJ24,"")</f>
        <v/>
      </c>
      <c r="AJ22" s="185" t="str">
        <f>IF(Tim!AK24=FIT!$E$1,Tim!AK24,"")</f>
        <v/>
      </c>
      <c r="AK22" s="185" t="str">
        <f>IF(Tim!AL24=FIT!$E$1,Tim!AL24,"")</f>
        <v/>
      </c>
      <c r="AL22" s="185" t="str">
        <f>IF(Tim!AM24=FIT!$E$1,Tim!AM24,"")</f>
        <v/>
      </c>
      <c r="AM22" s="185" t="str">
        <f>IF(Tim!AN24=FIT!$E$1,Tim!AN24,"")</f>
        <v/>
      </c>
      <c r="AN22" s="185" t="str">
        <f>IF(Tim!AO24=FIT!$E$1,Tim!AO24,"")</f>
        <v/>
      </c>
      <c r="AO22" s="185" t="str">
        <f>IF(Tim!AP24=FIT!$E$1,Tim!AP24,"")</f>
        <v/>
      </c>
      <c r="AP22" s="185" t="str">
        <f>IF(Tim!AQ24=FIT!$E$1,Tim!AQ24,"")</f>
        <v/>
      </c>
      <c r="AQ22" s="185" t="str">
        <f>IF(Tim!AR24=FIT!$E$1,Tim!AR24,"")</f>
        <v/>
      </c>
      <c r="AR22" s="185" t="str">
        <f>IF(Tim!AS24=FIT!$E$1,Tim!AS24,"")</f>
        <v/>
      </c>
      <c r="AS22" s="185" t="str">
        <f>IF(Tim!AT24=FIT!$E$1,Tim!AT24,"")</f>
        <v/>
      </c>
      <c r="AT22" s="185" t="str">
        <f>IF(Tim!AU24=FIT!$E$1,Tim!AU24,"")</f>
        <v/>
      </c>
      <c r="AU22" s="185" t="str">
        <f>IF(Tim!AV24=FIT!$E$1,Tim!AV24,"")</f>
        <v/>
      </c>
      <c r="AV22" s="185" t="str">
        <f>IF(Tim!AW24=FIT!$E$1,Tim!AW24,"")</f>
        <v/>
      </c>
      <c r="AW22" s="186" t="str">
        <f>IF(Tim!AX24=FIT!$E$1,Tim!AX24,"")</f>
        <v/>
      </c>
      <c r="AX22" s="243" t="str">
        <f>IF(Tim!AY24=FIT!$E$1,Tim!AY24,"")</f>
        <v/>
      </c>
      <c r="AY22" s="185" t="str">
        <f>IF(Tim!AZ24=FIT!$E$1,Tim!AZ24,"")</f>
        <v/>
      </c>
      <c r="AZ22" s="185" t="str">
        <f>IF(Tim!BA24=FIT!$E$1,Tim!BA24,"")</f>
        <v/>
      </c>
      <c r="BA22" s="185" t="str">
        <f>IF(Tim!BB24=FIT!$E$1,Tim!BB24,"")</f>
        <v/>
      </c>
      <c r="BB22" s="185" t="str">
        <f>IF(Tim!BC24=FIT!$E$1,Tim!BC24,"")</f>
        <v/>
      </c>
      <c r="BC22" s="185" t="str">
        <f>IF(Tim!BD24=FIT!$E$1,Tim!BD24,"")</f>
        <v/>
      </c>
      <c r="BD22" s="185" t="str">
        <f>IF(Tim!BE24=FIT!$E$1,Tim!BE24,"")</f>
        <v/>
      </c>
      <c r="BE22" s="185" t="str">
        <f>IF(Tim!BF24=FIT!$E$1,Tim!BF24,"")</f>
        <v/>
      </c>
      <c r="BF22" s="185" t="str">
        <f>IF(Tim!BG24=FIT!$E$1,Tim!BG24,"")</f>
        <v/>
      </c>
      <c r="BG22" s="185" t="str">
        <f>IF(Tim!BH24=FIT!$E$1,Tim!BH24,"")</f>
        <v/>
      </c>
      <c r="BH22" s="185" t="str">
        <f>IF(Tim!BI24=FIT!$E$1,Tim!BI24,"")</f>
        <v/>
      </c>
      <c r="BI22" s="185" t="str">
        <f>IF(Tim!BJ24=FIT!$E$1,Tim!BJ24,"")</f>
        <v/>
      </c>
      <c r="BJ22" s="185" t="str">
        <f>IF(Tim!BK24=FIT!$E$1,Tim!BK24,"")</f>
        <v/>
      </c>
      <c r="BK22" s="185" t="str">
        <f>IF(Tim!BL24=FIT!$E$1,Tim!BL24,"")</f>
        <v/>
      </c>
      <c r="BL22" s="185" t="str">
        <f>IF(Tim!BM24=FIT!$E$1,Tim!BM24,"")</f>
        <v/>
      </c>
      <c r="BM22" s="185" t="str">
        <f>IF(Tim!BN24=FIT!$E$1,Tim!BN24,"")</f>
        <v/>
      </c>
      <c r="BN22" s="185" t="str">
        <f>IF(Tim!BO24=FIT!$E$1,Tim!BO24,"")</f>
        <v/>
      </c>
      <c r="BO22" s="185" t="str">
        <f>IF(Tim!BP24=FIT!$E$1,Tim!BP24,"")</f>
        <v/>
      </c>
      <c r="BP22" s="185" t="str">
        <f>IF(Tim!BQ24=FIT!$E$1,Tim!BQ24,"")</f>
        <v/>
      </c>
      <c r="BQ22" s="185" t="str">
        <f>IF(Tim!BR24=FIT!$E$1,Tim!BR24,"")</f>
        <v/>
      </c>
      <c r="BR22" s="185" t="str">
        <f>IF(Tim!BS24=FIT!$E$1,Tim!BS24,"")</f>
        <v/>
      </c>
      <c r="BS22" s="185" t="str">
        <f>IF(Tim!BT24=FIT!$E$1,Tim!BT24,"")</f>
        <v/>
      </c>
      <c r="BT22" s="185" t="str">
        <f>IF(Tim!BU24=FIT!$E$1,Tim!BU24,"")</f>
        <v/>
      </c>
      <c r="BU22" s="185" t="str">
        <f>IF(Tim!BV24=FIT!$E$1,Tim!BV24,"")</f>
        <v/>
      </c>
      <c r="BV22" s="185" t="str">
        <f>IF(Tim!BW24=FIT!$E$1,Tim!BW24,"")</f>
        <v/>
      </c>
      <c r="BW22" s="185" t="str">
        <f>IF(Tim!BX24=FIT!$E$1,Tim!BX24,"")</f>
        <v/>
      </c>
      <c r="BX22" s="185" t="str">
        <f>IF(Tim!BY24=FIT!$E$1,Tim!BY24,"")</f>
        <v/>
      </c>
      <c r="BY22" s="185" t="str">
        <f>IF(Tim!BZ24=FIT!$E$1,Tim!BZ24,"")</f>
        <v/>
      </c>
      <c r="BZ22" s="185" t="str">
        <f>IF(Tim!CA24=FIT!$E$1,Tim!CA24,"")</f>
        <v/>
      </c>
      <c r="CA22" s="185" t="str">
        <f>IF(Tim!CB24=FIT!$E$1,Tim!CB24,"")</f>
        <v/>
      </c>
      <c r="CB22" s="185" t="str">
        <f>IF(Tim!CC24=FIT!$E$1,Tim!CC24,"")</f>
        <v/>
      </c>
      <c r="CC22" s="185" t="str">
        <f>IF(Tim!CD24=FIT!$E$1,Tim!CD24,"")</f>
        <v/>
      </c>
      <c r="CD22" s="185" t="str">
        <f>IF(Tim!CE24=FIT!$E$1,Tim!CE24,"")</f>
        <v/>
      </c>
      <c r="CE22" s="185" t="str">
        <f>IF(Tim!CF24=FIT!$E$1,Tim!CF24,"")</f>
        <v/>
      </c>
      <c r="CF22" s="185" t="str">
        <f>IF(Tim!CG24=FIT!$E$1,Tim!CG24,"")</f>
        <v/>
      </c>
      <c r="CG22" s="185" t="str">
        <f>IF(Tim!CH24=FIT!$E$1,Tim!CH24,"")</f>
        <v/>
      </c>
      <c r="CH22" s="185" t="str">
        <f>IF(Tim!CI24=FIT!$E$1,Tim!CI24,"")</f>
        <v/>
      </c>
      <c r="CI22" s="185" t="str">
        <f>IF(Tim!CJ24=FIT!$E$1,Tim!CJ24,"")</f>
        <v/>
      </c>
      <c r="CJ22" s="185" t="str">
        <f>IF(Tim!CK24=FIT!$E$1,Tim!CK24,"")</f>
        <v/>
      </c>
      <c r="CK22" s="185" t="str">
        <f>IF(Tim!CL24=FIT!$E$1,Tim!CL24,"")</f>
        <v/>
      </c>
      <c r="CL22" s="185" t="str">
        <f>IF(Tim!CM24=FIT!$E$1,Tim!CM24,"")</f>
        <v/>
      </c>
      <c r="CM22" s="185" t="str">
        <f>IF(Tim!CN24=FIT!$E$1,Tim!CN24,"")</f>
        <v/>
      </c>
      <c r="CN22" s="185" t="str">
        <f>IF(Tim!CO24=FIT!$E$1,Tim!CO24,"")</f>
        <v/>
      </c>
      <c r="CO22" s="185" t="str">
        <f>IF(Tim!CP24=FIT!$E$1,Tim!CP24,"")</f>
        <v/>
      </c>
      <c r="CP22" s="185" t="str">
        <f>IF(Tim!CQ24=FIT!$E$1,Tim!CQ24,"")</f>
        <v/>
      </c>
      <c r="CQ22" s="185" t="str">
        <f>IF(Tim!CR24=FIT!$E$1,Tim!CR24,"")</f>
        <v/>
      </c>
      <c r="CR22" s="185" t="str">
        <f>IF(Tim!CS24=FIT!$E$1,Tim!CS24,"")</f>
        <v/>
      </c>
      <c r="CS22" s="185" t="str">
        <f>IF(Tim!CT24=FIT!$E$1,Tim!CT24,"")</f>
        <v/>
      </c>
      <c r="CT22" s="185" t="str">
        <f>IF(Tim!CU24=FIT!$E$1,Tim!CU24,"")</f>
        <v/>
      </c>
      <c r="CU22" s="185" t="str">
        <f>IF(Tim!CV24=FIT!$E$1,Tim!CV24,"")</f>
        <v/>
      </c>
      <c r="CV22" s="185" t="str">
        <f>IF(Tim!CW24=FIT!$E$1,Tim!CW24,"")</f>
        <v/>
      </c>
      <c r="CW22" s="185" t="str">
        <f>IF(Tim!CX24=FIT!$E$1,Tim!CX24,"")</f>
        <v/>
      </c>
      <c r="CX22" s="185" t="str">
        <f>IF(Tim!CY24=FIT!$E$1,Tim!CY24,"")</f>
        <v/>
      </c>
      <c r="CY22" s="185" t="str">
        <f>IF(Tim!CZ24=FIT!$E$1,Tim!CZ24,"")</f>
        <v/>
      </c>
      <c r="CZ22" s="185" t="str">
        <f>IF(Tim!DA24=FIT!$E$1,Tim!DA24,"")</f>
        <v/>
      </c>
      <c r="DA22" s="185" t="str">
        <f>IF(Tim!DB24=FIT!$E$1,Tim!DB24,"")</f>
        <v/>
      </c>
      <c r="DB22" s="185" t="str">
        <f>IF(Tim!DC24=FIT!$E$1,Tim!DC24,"")</f>
        <v/>
      </c>
      <c r="DC22" s="185" t="str">
        <f>IF(Tim!DD24=FIT!$E$1,Tim!DD24,"")</f>
        <v/>
      </c>
      <c r="DD22" s="185" t="str">
        <f>IF(Tim!DE24=FIT!$E$1,Tim!DE24,"")</f>
        <v/>
      </c>
      <c r="DE22" s="185" t="str">
        <f>IF(Tim!DF24=FIT!$E$1,Tim!DF24,"")</f>
        <v/>
      </c>
      <c r="DF22" s="185" t="str">
        <f>IF(Tim!DG24=FIT!$E$1,Tim!DG24,"")</f>
        <v/>
      </c>
      <c r="DG22" s="185" t="str">
        <f>IF(Tim!DH24=FIT!$E$1,Tim!DH24,"")</f>
        <v/>
      </c>
      <c r="DH22" s="185" t="str">
        <f>IF(Tim!DI23=FIT!$E$1,Tim!DI23,"")</f>
        <v/>
      </c>
      <c r="DI22" s="185" t="str">
        <f>IF(Tim!DM24=FIT!$E$1,Tim!DM24,"")</f>
        <v/>
      </c>
      <c r="DJ22" s="185" t="str">
        <f>IF(Tim!DN24=FIT!$E$1,Tim!DN24,"")</f>
        <v/>
      </c>
      <c r="DK22" s="185" t="str">
        <f>IF(Tim!DO24=FIT!$E$1,Tim!DO24,"")</f>
        <v/>
      </c>
      <c r="DL22" s="185" t="str">
        <f>IF(Tim!DP24=FIT!$E$1,Tim!DP24,"")</f>
        <v/>
      </c>
      <c r="DM22" s="185" t="str">
        <f>IF(Tim!DQ24=FIT!$E$1,Tim!DQ24,"")</f>
        <v/>
      </c>
      <c r="DN22" s="185" t="str">
        <f>IF(Tim!DR24=FIT!$E$1,Tim!DR24,"")</f>
        <v/>
      </c>
      <c r="DO22" s="185" t="str">
        <f>IF(Tim!DS24=FIT!$E$1,Tim!DS24,"")</f>
        <v/>
      </c>
      <c r="DP22" s="185" t="str">
        <f>IF(Tim!DT24=FIT!$E$1,Tim!DT24,"")</f>
        <v/>
      </c>
      <c r="DQ22" s="185" t="str">
        <f>IF(Tim!DU24=FIT!$E$1,Tim!DU24,"")</f>
        <v/>
      </c>
      <c r="DR22" s="185" t="str">
        <f>IF(Tim!DV24=FIT!$E$1,Tim!DV24,"")</f>
        <v/>
      </c>
      <c r="DS22" s="185" t="str">
        <f>IF(Tim!DW24=FIT!$E$1,Tim!DW24,"")</f>
        <v/>
      </c>
      <c r="DT22" s="185" t="str">
        <f>IF(Tim!DX24=FIT!$E$1,Tim!DX24,"")</f>
        <v/>
      </c>
      <c r="DU22" s="185" t="str">
        <f>IF(Tim!DY24=FIT!$E$1,Tim!DY24,"")</f>
        <v/>
      </c>
      <c r="DV22" s="185" t="str">
        <f>IF(Tim!DZ24=FIT!$E$1,Tim!DZ24,"")</f>
        <v/>
      </c>
      <c r="DW22" s="185" t="str">
        <f>IF(Tim!EA24=FIT!$E$1,Tim!EA24,"")</f>
        <v/>
      </c>
      <c r="DX22" s="185" t="str">
        <f>IF(Tim!EB24=FIT!$E$1,Tim!EB24,"")</f>
        <v/>
      </c>
      <c r="DY22" s="185" t="str">
        <f>IF(Tim!EC24=FIT!$E$1,Tim!EC24,"")</f>
        <v/>
      </c>
      <c r="DZ22" s="185" t="str">
        <f>IF(Tim!ED24=FIT!$E$1,Tim!ED24,"")</f>
        <v/>
      </c>
      <c r="EA22" s="185" t="str">
        <f>IF(Tim!EE24=FIT!$E$1,Tim!EE24,"")</f>
        <v/>
      </c>
      <c r="EB22" s="185" t="str">
        <f>IF(Tim!EF24=FIT!$E$1,Tim!EF24,"")</f>
        <v/>
      </c>
      <c r="EC22" s="185" t="str">
        <f>IF(Tim!EG24=FIT!$E$1,Tim!EG24,"")</f>
        <v/>
      </c>
      <c r="ED22" s="185" t="str">
        <f>IF(Tim!EH24=FIT!$E$1,Tim!EH24,"")</f>
        <v/>
      </c>
      <c r="EE22" s="185" t="str">
        <f>IF(Tim!EI24=FIT!$E$1,Tim!EI24,"")</f>
        <v/>
      </c>
      <c r="EF22" s="185" t="str">
        <f>IF(Tim!EJ24=FIT!$E$1,Tim!EJ24,"")</f>
        <v/>
      </c>
      <c r="EG22" s="185" t="str">
        <f>IF(Tim!EK24=FIT!$E$1,Tim!EK24,"")</f>
        <v/>
      </c>
      <c r="EH22" s="185" t="str">
        <f>IF(Tim!EL24=FIT!$E$1,Tim!EL24,"")</f>
        <v/>
      </c>
      <c r="EI22" s="185" t="str">
        <f>IF(Tim!EM24=FIT!$E$1,Tim!EM24,"")</f>
        <v/>
      </c>
      <c r="EJ22" s="185" t="str">
        <f>IF(Tim!EN24=FIT!$E$1,Tim!EN24,"")</f>
        <v/>
      </c>
      <c r="EK22" s="185" t="str">
        <f>IF(Tim!EO24=FIT!$E$1,Tim!EO24,"")</f>
        <v/>
      </c>
      <c r="EL22" s="185" t="str">
        <f>IF(Tim!EP24=FIT!$E$1,Tim!EP24,"")</f>
        <v/>
      </c>
      <c r="EM22" s="185" t="str">
        <f>IF(Tim!EQ24=FIT!$E$1,Tim!EQ24,"")</f>
        <v/>
      </c>
      <c r="EN22" s="185" t="str">
        <f>IF(Tim!ER24=FIT!$E$1,Tim!ER24,"")</f>
        <v/>
      </c>
      <c r="EO22" s="185" t="str">
        <f>IF(Tim!ES24=FIT!$E$1,Tim!ES24,"")</f>
        <v/>
      </c>
      <c r="EP22" s="185" t="str">
        <f>IF(Tim!ET24=FIT!$E$1,Tim!ET24,"")</f>
        <v/>
      </c>
      <c r="EQ22" s="185" t="str">
        <f>IF(Tim!EU24=FIT!$E$1,Tim!EU24,"")</f>
        <v/>
      </c>
      <c r="ER22" s="185" t="str">
        <f>IF(Tim!EV24=FIT!$E$1,Tim!EV24,"")</f>
        <v/>
      </c>
      <c r="ES22" s="185" t="str">
        <f>IF(Tim!EW24=FIT!$E$1,Tim!EW24,"")</f>
        <v/>
      </c>
      <c r="ET22" s="185" t="str">
        <f>IF(Tim!EX24=FIT!$E$1,Tim!EX24,"")</f>
        <v/>
      </c>
      <c r="EU22" s="185" t="str">
        <f>IF(Tim!EY24=FIT!$E$1,Tim!EY24,"")</f>
        <v/>
      </c>
      <c r="EV22" s="185" t="str">
        <f>IF(Tim!EZ24=FIT!$E$1,Tim!EZ24,"")</f>
        <v/>
      </c>
      <c r="EW22" s="185" t="str">
        <f>IF(Tim!FA24=FIT!$E$1,Tim!FA24,"")</f>
        <v/>
      </c>
      <c r="EX22" s="185" t="str">
        <f>IF(Tim!FB24=FIT!$E$1,Tim!FB24,"")</f>
        <v/>
      </c>
      <c r="EY22" s="185" t="str">
        <f>IF(Tim!FC24=FIT!$E$1,Tim!FC24,"")</f>
        <v/>
      </c>
      <c r="EZ22" s="185" t="str">
        <f>IF(Tim!FD24=FIT!$E$1,Tim!FD24,"")</f>
        <v/>
      </c>
      <c r="FA22" s="185" t="str">
        <f>IF(Tim!FE24=FIT!$E$1,Tim!FE24,"")</f>
        <v/>
      </c>
      <c r="FB22" s="185" t="str">
        <f>IF(Tim!FF24=FIT!$E$1,Tim!FF24,"")</f>
        <v/>
      </c>
      <c r="FC22" s="185" t="str">
        <f>IF(Tim!FG24=FIT!$E$1,Tim!FG24,"")</f>
        <v/>
      </c>
      <c r="FD22" s="185" t="str">
        <f>IF(Tim!FH24=FIT!$E$1,Tim!FH24,"")</f>
        <v/>
      </c>
      <c r="FE22" s="185" t="str">
        <f>IF(Tim!FI24=FIT!$E$1,Tim!FI24,"")</f>
        <v/>
      </c>
      <c r="FF22" s="185" t="str">
        <f>IF(Tim!FJ24=FIT!$E$1,Tim!FJ24,"")</f>
        <v/>
      </c>
      <c r="FG22" s="185" t="str">
        <f>IF(Tim!FK24=FIT!$E$1,Tim!FK24,"")</f>
        <v/>
      </c>
      <c r="FH22" s="185" t="str">
        <f>IF(Tim!FL24=FIT!$E$1,Tim!FL24,"")</f>
        <v/>
      </c>
      <c r="FI22" s="185" t="str">
        <f>IF(Tim!FM24=FIT!$E$1,Tim!FM24,"")</f>
        <v/>
      </c>
      <c r="FJ22" s="185" t="str">
        <f>IF(Tim!FN24=FIT!$E$1,Tim!FN24,"")</f>
        <v/>
      </c>
      <c r="FK22" s="185" t="str">
        <f>IF(Tim!FO24=FIT!$E$1,Tim!FO24,"")</f>
        <v/>
      </c>
      <c r="FL22" s="185" t="str">
        <f>IF(Tim!FP24=FIT!$E$1,Tim!FP24,"")</f>
        <v/>
      </c>
      <c r="FM22" s="185" t="str">
        <f>IF(Tim!FQ24=FIT!$E$1,Tim!FQ24,"")</f>
        <v/>
      </c>
      <c r="FN22" s="185" t="str">
        <f>IF(Tim!FR24=FIT!$E$1,Tim!FR24,"")</f>
        <v/>
      </c>
      <c r="FO22" s="185" t="str">
        <f>IF(Tim!FS24=FIT!$E$1,Tim!FS24,"")</f>
        <v/>
      </c>
      <c r="FP22" s="185" t="str">
        <f>IF(Tim!FT24=FIT!$E$1,Tim!FT24,"")</f>
        <v/>
      </c>
      <c r="FQ22" s="185" t="str">
        <f>IF(Tim!FU24=FIT!$E$1,Tim!FU24,"")</f>
        <v/>
      </c>
      <c r="FR22" s="185" t="str">
        <f>IF(Tim!FV24=FIT!$E$1,Tim!FV24,"")</f>
        <v/>
      </c>
      <c r="FS22" s="185" t="str">
        <f>IF(Tim!FW24=FIT!$E$1,Tim!FW24,"")</f>
        <v/>
      </c>
      <c r="FT22" s="185" t="str">
        <f>IF(Tim!FX24=FIT!$E$1,Tim!FX24,"")</f>
        <v/>
      </c>
      <c r="FU22" s="185" t="str">
        <f>IF(Tim!FY24=FIT!$E$1,Tim!FY24,"")</f>
        <v/>
      </c>
      <c r="FV22" s="185" t="str">
        <f>IF(Tim!FZ24=FIT!$E$1,Tim!FZ24,"")</f>
        <v/>
      </c>
      <c r="FW22" s="185" t="str">
        <f>IF(Tim!GA24=FIT!$E$1,Tim!GA24,"")</f>
        <v/>
      </c>
      <c r="FX22" s="185" t="str">
        <f>IF(Tim!GB24=FIT!$E$1,Tim!GB24,"")</f>
        <v/>
      </c>
      <c r="FY22" s="185" t="str">
        <f>IF(Tim!GC24=FIT!$E$1,Tim!GC24,"")</f>
        <v/>
      </c>
      <c r="FZ22" s="185" t="str">
        <f>IF(Tim!GD24=FIT!$E$1,Tim!GD24,"")</f>
        <v/>
      </c>
      <c r="GA22" s="185" t="str">
        <f>IF(Tim!GE24=FIT!$E$1,Tim!GE24,"")</f>
        <v/>
      </c>
      <c r="GB22" s="185" t="str">
        <f>IF(Tim!GF24=FIT!$E$1,Tim!GF24,"")</f>
        <v/>
      </c>
      <c r="GC22" s="185" t="str">
        <f>IF(Tim!GG24=FIT!$E$1,Tim!GG24,"")</f>
        <v/>
      </c>
      <c r="GD22" s="185" t="str">
        <f>IF(Tim!GH24=FIT!$E$1,Tim!GH24,"")</f>
        <v/>
      </c>
      <c r="GE22" s="185" t="str">
        <f>IF(Tim!GI24=FIT!$E$1,Tim!GI24,"")</f>
        <v/>
      </c>
      <c r="GF22" s="185" t="str">
        <f>IF(Tim!GJ24=FIT!$E$1,Tim!GJ24,"")</f>
        <v/>
      </c>
      <c r="GG22" s="185" t="str">
        <f>IF(Tim!GK24=FIT!$E$1,Tim!GK24,"")</f>
        <v/>
      </c>
      <c r="GH22" s="185" t="str">
        <f>IF(Tim!GL24=FIT!$E$1,Tim!GL24,"")</f>
        <v/>
      </c>
      <c r="GI22" s="185" t="str">
        <f>IF(Tim!GM24=FIT!$E$1,Tim!GM24,"")</f>
        <v/>
      </c>
      <c r="GJ22" s="185" t="str">
        <f>IF(Tim!GN24=FIT!$E$1,Tim!GN24,"")</f>
        <v/>
      </c>
      <c r="GK22" s="185" t="str">
        <f>IF(Tim!GO24=FIT!$E$1,Tim!GO24,"")</f>
        <v/>
      </c>
      <c r="GL22" s="185" t="str">
        <f>IF(Tim!GP24=FIT!$E$1,Tim!GP24,"")</f>
        <v/>
      </c>
      <c r="GM22" s="185" t="str">
        <f>IF(Tim!GQ24=FIT!$E$1,Tim!GQ24,"")</f>
        <v/>
      </c>
      <c r="GN22" s="185" t="str">
        <f>IF(Tim!GR24=FIT!$E$1,Tim!GR24,"")</f>
        <v/>
      </c>
      <c r="GO22" s="185" t="str">
        <f>IF(Tim!GS24=FIT!$E$1,Tim!GS24,"")</f>
        <v/>
      </c>
      <c r="GP22" s="185" t="str">
        <f>IF(Tim!GT24=FIT!$E$1,Tim!GT24,"")</f>
        <v/>
      </c>
      <c r="GQ22" s="185" t="str">
        <f>IF(Tim!GU24=FIT!$E$1,Tim!GU24,"")</f>
        <v/>
      </c>
      <c r="GR22" s="185" t="str">
        <f>IF(Tim!GV24=FIT!$E$1,Tim!GV24,"")</f>
        <v/>
      </c>
      <c r="GS22" s="185" t="str">
        <f>IF(Tim!GW24=FIT!$E$1,Tim!GW24,"")</f>
        <v/>
      </c>
      <c r="GT22" s="185" t="str">
        <f>IF(Tim!GX24=FIT!$E$1,Tim!GX24,"")</f>
        <v/>
      </c>
      <c r="GU22" s="185" t="str">
        <f>IF(Tim!GY24=FIT!$E$1,Tim!GY24,"")</f>
        <v/>
      </c>
      <c r="GV22" s="185" t="str">
        <f>IF(Tim!GZ24=FIT!$E$1,Tim!GZ24,"")</f>
        <v/>
      </c>
      <c r="GW22" s="185" t="str">
        <f>IF(Tim!HA24=FIT!$E$1,Tim!HA24,"")</f>
        <v/>
      </c>
      <c r="GX22" s="185" t="str">
        <f>IF(Tim!HB24=FIT!$E$1,Tim!HB24,"")</f>
        <v/>
      </c>
      <c r="GY22" s="185" t="str">
        <f>IF(Tim!HC24=FIT!$E$1,Tim!HC24,"")</f>
        <v/>
      </c>
      <c r="GZ22" s="185" t="str">
        <f>IF(Tim!HD24=FIT!$E$1,Tim!HD24,"")</f>
        <v/>
      </c>
      <c r="HA22" s="185" t="str">
        <f>IF(Tim!HE24=FIT!$E$1,Tim!HE24,"")</f>
        <v/>
      </c>
      <c r="HB22" s="185" t="str">
        <f>IF(Tim!HF24=FIT!$E$1,Tim!HF24,"")</f>
        <v/>
      </c>
      <c r="HC22" s="185" t="str">
        <f>IF(Tim!HG24=FIT!$E$1,Tim!HG24,"")</f>
        <v/>
      </c>
      <c r="HD22" s="185" t="str">
        <f>IF(Tim!HH24=FIT!$E$1,Tim!HH24,"")</f>
        <v/>
      </c>
      <c r="HE22" s="185" t="str">
        <f>IF(Tim!HI24=FIT!$E$1,Tim!HI24,"")</f>
        <v/>
      </c>
      <c r="HF22" s="185" t="str">
        <f>IF(Tim!HJ24=FIT!$E$1,Tim!HJ24,"")</f>
        <v/>
      </c>
      <c r="HG22" s="185" t="str">
        <f>IF(Tim!HK24=FIT!$E$1,Tim!HK24,"")</f>
        <v/>
      </c>
      <c r="HH22" s="185" t="str">
        <f>IF(Tim!HL24=FIT!$E$1,Tim!HL24,"")</f>
        <v/>
      </c>
      <c r="HI22" s="185" t="str">
        <f>IF(Tim!HM24=FIT!$E$1,Tim!HM24,"")</f>
        <v/>
      </c>
      <c r="HJ22" s="185" t="str">
        <f>IF(Tim!HN24=FIT!$E$1,Tim!HN24,"")</f>
        <v/>
      </c>
      <c r="HK22" s="185" t="str">
        <f>IF(Tim!HO24=FIT!$E$1,Tim!HO24,"")</f>
        <v/>
      </c>
      <c r="HL22" s="185" t="str">
        <f>IF(Tim!HP24=FIT!$E$1,Tim!HP24,"")</f>
        <v/>
      </c>
      <c r="HM22" s="185" t="str">
        <f>IF(Tim!HQ24=FIT!$E$1,Tim!HQ24,"")</f>
        <v/>
      </c>
      <c r="HN22" s="185" t="str">
        <f>IF(Tim!HR24=FIT!$E$1,Tim!HR24,"")</f>
        <v/>
      </c>
      <c r="HO22" s="185" t="str">
        <f>IF(Tim!HS24=FIT!$E$1,Tim!HS24,"")</f>
        <v/>
      </c>
      <c r="HP22" s="185" t="str">
        <f>IF(Tim!HT24=FIT!$E$1,Tim!HT24,"")</f>
        <v/>
      </c>
      <c r="HQ22" s="185" t="str">
        <f>IF(Tim!HU24=FIT!$E$1,Tim!HU24,"")</f>
        <v/>
      </c>
      <c r="HR22" s="185" t="str">
        <f>IF(Tim!HV24=FIT!$E$1,Tim!HV24,"")</f>
        <v/>
      </c>
      <c r="HS22" s="185" t="str">
        <f>IF(Tim!HW24=FIT!$E$1,Tim!HW24,"")</f>
        <v/>
      </c>
      <c r="HT22" s="185" t="str">
        <f>IF(Tim!HX24=FIT!$E$1,Tim!HX24,"")</f>
        <v/>
      </c>
      <c r="HU22" s="185" t="str">
        <f>IF(Tim!HY24=FIT!$E$1,Tim!HY24,"")</f>
        <v/>
      </c>
      <c r="HV22" s="185" t="str">
        <f>IF(Tim!HZ24=FIT!$E$1,Tim!HZ24,"")</f>
        <v/>
      </c>
      <c r="HW22" s="185" t="str">
        <f>IF(Tim!IA24=FIT!$E$1,Tim!IA24,"")</f>
        <v/>
      </c>
      <c r="HX22" s="185" t="str">
        <f>IF(Tim!IB24=FIT!$E$1,Tim!IB24,"")</f>
        <v/>
      </c>
      <c r="HY22" s="185" t="str">
        <f>IF(Tim!IC24=FIT!$E$1,Tim!IC24,"")</f>
        <v/>
      </c>
      <c r="HZ22" s="185" t="str">
        <f>IF(Tim!ID24=FIT!$E$1,Tim!ID24,"")</f>
        <v/>
      </c>
      <c r="IA22" s="185" t="str">
        <f>IF(Tim!IE24=FIT!$E$1,Tim!IE24,"")</f>
        <v/>
      </c>
      <c r="IB22" s="185" t="str">
        <f>IF(Tim!IF24=FIT!$E$1,Tim!IF24,"")</f>
        <v/>
      </c>
      <c r="IC22" s="185" t="str">
        <f>IF(Tim!IG24=FIT!$E$1,Tim!IG24,"")</f>
        <v/>
      </c>
      <c r="ID22" s="185" t="str">
        <f>IF(Tim!IH24=FIT!$E$1,Tim!IH24,"")</f>
        <v/>
      </c>
      <c r="IE22" s="185" t="str">
        <f>IF(Tim!II24=FIT!$E$1,Tim!II24,"")</f>
        <v/>
      </c>
      <c r="IF22" s="185" t="str">
        <f>IF(Tim!IJ24=FIT!$E$1,Tim!IJ24,"")</f>
        <v/>
      </c>
      <c r="IG22" s="185" t="str">
        <f>IF(Tim!IK24=FIT!$E$1,Tim!IK24,"")</f>
        <v/>
      </c>
      <c r="IH22" s="185" t="str">
        <f>IF(Tim!IL24=FIT!$E$1,Tim!IL24,"")</f>
        <v/>
      </c>
      <c r="II22" s="185" t="str">
        <f>IF(Tim!IM24=FIT!$E$1,Tim!IM24,"")</f>
        <v/>
      </c>
      <c r="IJ22" s="185" t="str">
        <f>IF(Tim!IN24=FIT!$E$1,Tim!IN24,"")</f>
        <v/>
      </c>
      <c r="IK22" s="185" t="str">
        <f>IF(Tim!IO24=FIT!$E$1,Tim!IO24,"")</f>
        <v/>
      </c>
      <c r="IL22" s="185" t="str">
        <f>IF(Tim!IP24=FIT!$E$1,Tim!IP24,"")</f>
        <v/>
      </c>
      <c r="IM22" s="185" t="str">
        <f>IF(Tim!IQ24=FIT!$E$1,Tim!IQ24,"")</f>
        <v/>
      </c>
      <c r="IN22" s="185" t="str">
        <f>IF(Tim!IR24=FIT!$E$1,Tim!IR24,"")</f>
        <v/>
      </c>
      <c r="IO22" s="185" t="str">
        <f>IF(Tim!IS24=FIT!$E$1,Tim!IS24,"")</f>
        <v/>
      </c>
      <c r="IP22" s="185" t="str">
        <f>IF(Tim!IT24=FIT!$E$1,Tim!IT24,"")</f>
        <v/>
      </c>
      <c r="IQ22" s="185" t="str">
        <f>IF(Tim!IU24=FIT!$E$1,Tim!IU24,"")</f>
        <v/>
      </c>
      <c r="IR22" s="185" t="str">
        <f>IF(Tim!IV24=FIT!$E$1,Tim!IV24,"")</f>
        <v/>
      </c>
      <c r="IS22" s="185" t="str">
        <f>IF(Tim!IW24=FIT!$E$1,Tim!IW24,"")</f>
        <v/>
      </c>
      <c r="IT22" s="185" t="str">
        <f>IF(Tim!IX24=FIT!$E$1,Tim!IX24,"")</f>
        <v/>
      </c>
      <c r="IU22" s="185" t="str">
        <f>IF(Tim!IY24=FIT!$E$1,Tim!IY24,"")</f>
        <v/>
      </c>
      <c r="IV22" s="185" t="str">
        <f>IF(Tim!IZ24=FIT!$E$1,Tim!IZ24,"")</f>
        <v/>
      </c>
      <c r="IW22" s="185" t="str">
        <f>IF(Tim!JA24=FIT!$E$1,Tim!JA24,"")</f>
        <v/>
      </c>
      <c r="IX22" s="185" t="str">
        <f>IF(Tim!JB24=FIT!$E$1,Tim!JB24,"")</f>
        <v/>
      </c>
      <c r="IY22" s="185" t="str">
        <f>IF(Tim!JC24=FIT!$E$1,Tim!JC24,"")</f>
        <v/>
      </c>
      <c r="IZ22" s="185" t="str">
        <f>IF(Tim!JD24=FIT!$E$1,Tim!JD24,"")</f>
        <v/>
      </c>
      <c r="JA22" s="185" t="str">
        <f>IF(Tim!JE24=FIT!$E$1,Tim!JE24,"")</f>
        <v/>
      </c>
      <c r="JB22" s="185" t="str">
        <f>IF(Tim!JF24=FIT!$E$1,Tim!JF24,"")</f>
        <v/>
      </c>
      <c r="JC22" s="185" t="str">
        <f>IF(Tim!JG24=FIT!$E$1,Tim!JG24,"")</f>
        <v/>
      </c>
      <c r="JD22" s="185" t="str">
        <f>IF(Tim!JH24=FIT!$E$1,Tim!JH24,"")</f>
        <v/>
      </c>
      <c r="JE22" s="185" t="str">
        <f>IF(Tim!JI24=FIT!$E$1,Tim!JI24,"")</f>
        <v/>
      </c>
      <c r="JF22" s="185" t="str">
        <f>IF(Tim!JJ24=FIT!$E$1,Tim!JJ24,"")</f>
        <v/>
      </c>
      <c r="JG22" s="185" t="str">
        <f>IF(Tim!JK24=FIT!$E$1,Tim!JK24,"")</f>
        <v/>
      </c>
      <c r="JH22" s="185" t="str">
        <f>IF(Tim!JL24=FIT!$E$1,Tim!JL24,"")</f>
        <v/>
      </c>
      <c r="JI22" s="185" t="str">
        <f>IF(Tim!JM24=FIT!$E$1,Tim!JM24,"")</f>
        <v/>
      </c>
      <c r="JJ22" s="185" t="str">
        <f>IF(Tim!JN24=FIT!$E$1,Tim!JN24,"")</f>
        <v/>
      </c>
      <c r="JK22" s="185" t="str">
        <f>IF(Tim!JO24=FIT!$E$1,Tim!JO24,"")</f>
        <v/>
      </c>
      <c r="JL22" s="185" t="str">
        <f>IF(Tim!JP24=FIT!$E$1,Tim!JP24,"")</f>
        <v/>
      </c>
      <c r="JM22" s="185" t="str">
        <f>IF(Tim!JQ24=FIT!$E$1,Tim!JQ24,"")</f>
        <v/>
      </c>
      <c r="JN22" s="185" t="str">
        <f>IF(Tim!JR24=FIT!$E$1,Tim!JR24,"")</f>
        <v/>
      </c>
      <c r="JO22" s="185" t="str">
        <f>IF(Tim!JS24=FIT!$E$1,Tim!JS24,"")</f>
        <v/>
      </c>
      <c r="JP22" s="185" t="str">
        <f>IF(Tim!JT24=FIT!$E$1,Tim!JT24,"")</f>
        <v/>
      </c>
      <c r="JQ22" s="185" t="str">
        <f>IF(Tim!JU24=FIT!$E$1,Tim!JU24,"")</f>
        <v/>
      </c>
      <c r="JR22" s="185" t="str">
        <f>IF(Tim!JV24=FIT!$E$1,Tim!JV24,"")</f>
        <v/>
      </c>
      <c r="JS22" s="185" t="str">
        <f>IF(Tim!JW24=FIT!$E$1,Tim!JW24,"")</f>
        <v/>
      </c>
      <c r="JT22" s="185" t="str">
        <f>IF(Tim!JX24=FIT!$E$1,Tim!JX24,"")</f>
        <v/>
      </c>
      <c r="JU22" s="185" t="str">
        <f>IF(Tim!JY24=FIT!$E$1,Tim!JY24,"")</f>
        <v/>
      </c>
      <c r="JV22" s="185" t="str">
        <f>IF(Tim!JZ24=FIT!$E$1,Tim!JZ24,"")</f>
        <v/>
      </c>
      <c r="JW22" s="185" t="str">
        <f>IF(Tim!KA24=FIT!$E$1,Tim!KA24,"")</f>
        <v/>
      </c>
      <c r="JX22" s="185" t="str">
        <f>IF(Tim!KB24=FIT!$E$1,Tim!KB24,"")</f>
        <v/>
      </c>
      <c r="JY22" s="185" t="str">
        <f>IF(Tim!KC24=FIT!$E$1,Tim!KC24,"")</f>
        <v/>
      </c>
      <c r="JZ22" s="185" t="str">
        <f>IF(Tim!KD24=FIT!$E$1,Tim!KD24,"")</f>
        <v/>
      </c>
      <c r="KA22" s="185" t="str">
        <f>IF(Tim!KE24=FIT!$E$1,Tim!KE24,"")</f>
        <v/>
      </c>
      <c r="KB22" s="185" t="str">
        <f>IF(Tim!KF24=FIT!$E$1,Tim!KF24,"")</f>
        <v/>
      </c>
      <c r="KC22" s="185" t="str">
        <f>IF(Tim!KG24=FIT!$E$1,Tim!KG24,"")</f>
        <v/>
      </c>
      <c r="KD22" s="185" t="str">
        <f>IF(Tim!KH24=FIT!$E$1,Tim!KH24,"")</f>
        <v/>
      </c>
      <c r="KE22" s="185" t="str">
        <f>IF(Tim!KI24=FIT!$E$1,Tim!KI24,"")</f>
        <v/>
      </c>
      <c r="KF22" s="185" t="str">
        <f>IF(Tim!KJ24=FIT!$E$1,Tim!KJ24,"")</f>
        <v/>
      </c>
      <c r="KG22" s="185" t="str">
        <f>IF(Tim!KK24=FIT!$E$1,Tim!KK24,"")</f>
        <v/>
      </c>
      <c r="KH22" s="185" t="str">
        <f>IF(Tim!KL24=FIT!$E$1,Tim!KL24,"")</f>
        <v/>
      </c>
      <c r="KI22" s="185" t="str">
        <f>IF(Tim!KM24=FIT!$E$1,Tim!KM24,"")</f>
        <v/>
      </c>
      <c r="KJ22" s="185" t="str">
        <f>IF(Tim!KN24=FIT!$E$1,Tim!KN24,"")</f>
        <v/>
      </c>
      <c r="KK22" s="185" t="str">
        <f>IF(Tim!KO24=FIT!$E$1,Tim!KO24,"")</f>
        <v/>
      </c>
      <c r="KL22" s="185" t="str">
        <f>IF(Tim!KP24=FIT!$E$1,Tim!KP24,"")</f>
        <v/>
      </c>
      <c r="KM22" s="185" t="str">
        <f>IF(Tim!KQ24=FIT!$E$1,Tim!KQ24,"")</f>
        <v/>
      </c>
      <c r="KN22" s="185" t="str">
        <f>IF(Tim!KR24=FIT!$E$1,Tim!KR24,"")</f>
        <v/>
      </c>
      <c r="KO22" s="185" t="str">
        <f>IF(Tim!KS24=FIT!$E$1,Tim!KS24,"")</f>
        <v/>
      </c>
      <c r="KP22" s="185" t="str">
        <f>IF(Tim!KT24=FIT!$E$1,Tim!KT24,"")</f>
        <v/>
      </c>
      <c r="KQ22" s="185" t="str">
        <f>IF(Tim!KU24=FIT!$E$1,Tim!KU24,"")</f>
        <v/>
      </c>
      <c r="KR22" s="185" t="str">
        <f>IF(Tim!KV24=FIT!$E$1,Tim!KV24,"")</f>
        <v/>
      </c>
      <c r="KS22" s="185" t="str">
        <f>IF(Tim!KW24=FIT!$E$1,Tim!KW24,"")</f>
        <v/>
      </c>
      <c r="KT22" s="185" t="str">
        <f>IF(Tim!KX24=FIT!$E$1,Tim!KX24,"")</f>
        <v/>
      </c>
      <c r="KU22" s="185" t="str">
        <f>IF(Tim!KY24=FIT!$E$1,Tim!KY24,"")</f>
        <v/>
      </c>
      <c r="KV22" s="185" t="str">
        <f>IF(Tim!KZ24=FIT!$E$1,Tim!KZ24,"")</f>
        <v/>
      </c>
      <c r="KW22" s="185" t="str">
        <f>IF(Tim!LA24=FIT!$E$1,Tim!LA24,"")</f>
        <v/>
      </c>
      <c r="KX22" s="185" t="str">
        <f>IF(Tim!LB24=FIT!$E$1,Tim!LB24,"")</f>
        <v/>
      </c>
      <c r="KY22" s="185" t="str">
        <f>IF(Tim!LC24=FIT!$E$1,Tim!LC24,"")</f>
        <v/>
      </c>
      <c r="KZ22" s="185" t="str">
        <f>IF(Tim!LD24=FIT!$E$1,Tim!LD24,"")</f>
        <v/>
      </c>
      <c r="LA22" s="185" t="str">
        <f>IF(Tim!LE24=FIT!$E$1,Tim!LE24,"")</f>
        <v/>
      </c>
      <c r="LB22" s="52">
        <v>0.46875</v>
      </c>
    </row>
    <row r="23" spans="2:314" ht="10.5" customHeight="1">
      <c r="B23" s="49">
        <v>0.25</v>
      </c>
      <c r="C23" s="49">
        <v>0.25</v>
      </c>
      <c r="D23" s="49">
        <v>0.25</v>
      </c>
      <c r="E23" s="172">
        <v>0.47916666666666602</v>
      </c>
      <c r="F23" s="238" t="str">
        <f>IF(Tim!F25=FIT!$E$1,Tim!F25,"")</f>
        <v/>
      </c>
      <c r="G23" s="185" t="str">
        <f>IF(Tim!G25=FIT!$E$1,Tim!G25,"")</f>
        <v/>
      </c>
      <c r="H23" s="185" t="str">
        <f>IF(Tim!H25=FIT!$E$1,Tim!H25,"")</f>
        <v/>
      </c>
      <c r="I23" s="185" t="str">
        <f>IF(Tim!I25=FIT!$E$1,Tim!I25,"")</f>
        <v/>
      </c>
      <c r="J23" s="185" t="str">
        <f>IF(Tim!J25=FIT!$E$1,Tim!J25,"")</f>
        <v/>
      </c>
      <c r="K23" s="185" t="str">
        <f>IF(Tim!K25=FIT!$E$1,Tim!K25,"")</f>
        <v/>
      </c>
      <c r="L23" s="185" t="str">
        <f>IF(Tim!L25=FIT!$E$1,Tim!L25,"")</f>
        <v/>
      </c>
      <c r="M23" s="185" t="str">
        <f>IF(Tim!M25=FIT!$E$1,Tim!M25,"")</f>
        <v/>
      </c>
      <c r="N23" s="185" t="str">
        <f>IF(Tim!N25=FIT!$E$1,Tim!N25,"")</f>
        <v/>
      </c>
      <c r="O23" s="185" t="str">
        <f>IF(Tim!O25=FIT!$E$1,Tim!O25,"")</f>
        <v/>
      </c>
      <c r="P23" s="185" t="str">
        <f>IF(Tim!P25=FIT!$E$1,Tim!P25,"")</f>
        <v/>
      </c>
      <c r="Q23" s="185" t="str">
        <f>IF(Tim!Q25=FIT!$E$1,Tim!Q25,"")</f>
        <v/>
      </c>
      <c r="R23" s="185" t="str">
        <f>IF(Tim!R25=FIT!$E$1,Tim!R25,"")</f>
        <v/>
      </c>
      <c r="S23" s="185" t="str">
        <f>IF(Tim!S25=FIT!$E$1,Tim!S25,"")</f>
        <v/>
      </c>
      <c r="T23" s="185" t="str">
        <f>IF(Tim!T25=FIT!$E$1,Tim!T25,"")</f>
        <v/>
      </c>
      <c r="U23" s="185" t="str">
        <f>IF(Tim!U25=FIT!$E$1,Tim!U25,"")</f>
        <v/>
      </c>
      <c r="V23" s="185" t="str">
        <f>IF(Tim!W25=FIT!$E$1,Tim!W25,"")</f>
        <v/>
      </c>
      <c r="W23" s="185" t="str">
        <f>IF(Tim!X25=FIT!$E$1,Tim!X25,"")</f>
        <v/>
      </c>
      <c r="X23" s="185" t="str">
        <f>IF(Tim!Y25=FIT!$E$1,Tim!Y25,"")</f>
        <v/>
      </c>
      <c r="Y23" s="185" t="str">
        <f>IF(Tim!Z25=FIT!$E$1,Tim!Z25,"")</f>
        <v/>
      </c>
      <c r="Z23" s="185" t="str">
        <f>IF(Tim!AA25=FIT!$E$1,Tim!AA25,"")</f>
        <v/>
      </c>
      <c r="AA23" s="185" t="str">
        <f>IF(Tim!AB25=FIT!$E$1,Tim!AB25,"")</f>
        <v/>
      </c>
      <c r="AB23" s="185" t="str">
        <f>IF(Tim!AC25=FIT!$E$1,Tim!AC25,"")</f>
        <v/>
      </c>
      <c r="AC23" s="185" t="str">
        <f>IF(Tim!AD25=FIT!$E$1,Tim!AD25,"")</f>
        <v/>
      </c>
      <c r="AD23" s="185" t="str">
        <f>IF(Tim!AE25=FIT!$E$1,Tim!AE25,"")</f>
        <v/>
      </c>
      <c r="AE23" s="185" t="str">
        <f>IF(Tim!AF25=FIT!$E$1,Tim!AF25,"")</f>
        <v/>
      </c>
      <c r="AF23" s="185" t="str">
        <f>IF(Tim!AG25=FIT!$E$1,Tim!AG25,"")</f>
        <v/>
      </c>
      <c r="AG23" s="185" t="str">
        <f>IF(Tim!AH25=FIT!$E$1,Tim!AH25,"")</f>
        <v/>
      </c>
      <c r="AH23" s="185" t="str">
        <f>IF(Tim!AI25=FIT!$E$1,Tim!AI25,"")</f>
        <v/>
      </c>
      <c r="AI23" s="185" t="str">
        <f>IF(Tim!AJ25=FIT!$E$1,Tim!AJ25,"")</f>
        <v/>
      </c>
      <c r="AJ23" s="185" t="str">
        <f>IF(Tim!AK25=FIT!$E$1,Tim!AK25,"")</f>
        <v/>
      </c>
      <c r="AK23" s="185" t="str">
        <f>IF(Tim!AL25=FIT!$E$1,Tim!AL25,"")</f>
        <v/>
      </c>
      <c r="AL23" s="185" t="str">
        <f>IF(Tim!AM25=FIT!$E$1,Tim!AM25,"")</f>
        <v/>
      </c>
      <c r="AM23" s="185" t="str">
        <f>IF(Tim!AN25=FIT!$E$1,Tim!AN25,"")</f>
        <v/>
      </c>
      <c r="AN23" s="185" t="str">
        <f>IF(Tim!AO25=FIT!$E$1,Tim!AO25,"")</f>
        <v/>
      </c>
      <c r="AO23" s="185" t="str">
        <f>IF(Tim!AP25=FIT!$E$1,Tim!AP25,"")</f>
        <v/>
      </c>
      <c r="AP23" s="185" t="str">
        <f>IF(Tim!AQ25=FIT!$E$1,Tim!AQ25,"")</f>
        <v/>
      </c>
      <c r="AQ23" s="185" t="str">
        <f>IF(Tim!AR25=FIT!$E$1,Tim!AR25,"")</f>
        <v/>
      </c>
      <c r="AR23" s="185" t="str">
        <f>IF(Tim!AS25=FIT!$E$1,Tim!AS25,"")</f>
        <v/>
      </c>
      <c r="AS23" s="185" t="str">
        <f>IF(Tim!AT25=FIT!$E$1,Tim!AT25,"")</f>
        <v/>
      </c>
      <c r="AT23" s="185" t="str">
        <f>IF(Tim!AU25=FIT!$E$1,Tim!AU25,"")</f>
        <v/>
      </c>
      <c r="AU23" s="185" t="str">
        <f>IF(Tim!AV25=FIT!$E$1,Tim!AV25,"")</f>
        <v/>
      </c>
      <c r="AV23" s="185" t="str">
        <f>IF(Tim!AW25=FIT!$E$1,Tim!AW25,"")</f>
        <v/>
      </c>
      <c r="AW23" s="186" t="str">
        <f>IF(Tim!AX25=FIT!$E$1,Tim!AX25,"")</f>
        <v/>
      </c>
      <c r="AX23" s="243" t="str">
        <f>IF(Tim!AY25=FIT!$E$1,Tim!AY25,"")</f>
        <v/>
      </c>
      <c r="AY23" s="185" t="str">
        <f>IF(Tim!AZ25=FIT!$E$1,Tim!AZ25,"")</f>
        <v/>
      </c>
      <c r="AZ23" s="185" t="str">
        <f>IF(Tim!BA25=FIT!$E$1,Tim!BA25,"")</f>
        <v/>
      </c>
      <c r="BA23" s="185" t="str">
        <f>IF(Tim!BB25=FIT!$E$1,Tim!BB25,"")</f>
        <v/>
      </c>
      <c r="BB23" s="185" t="str">
        <f>IF(Tim!BC25=FIT!$E$1,Tim!BC25,"")</f>
        <v/>
      </c>
      <c r="BC23" s="185" t="str">
        <f>IF(Tim!BD25=FIT!$E$1,Tim!BD25,"")</f>
        <v/>
      </c>
      <c r="BD23" s="185" t="str">
        <f>IF(Tim!BE25=FIT!$E$1,Tim!BE25,"")</f>
        <v/>
      </c>
      <c r="BE23" s="185" t="str">
        <f>IF(Tim!BF25=FIT!$E$1,Tim!BF25,"")</f>
        <v/>
      </c>
      <c r="BF23" s="185" t="str">
        <f>IF(Tim!BG25=FIT!$E$1,Tim!BG25,"")</f>
        <v/>
      </c>
      <c r="BG23" s="185" t="str">
        <f>IF(Tim!BH25=FIT!$E$1,Tim!BH25,"")</f>
        <v/>
      </c>
      <c r="BH23" s="185" t="str">
        <f>IF(Tim!BI25=FIT!$E$1,Tim!BI25,"")</f>
        <v/>
      </c>
      <c r="BI23" s="185" t="str">
        <f>IF(Tim!BJ25=FIT!$E$1,Tim!BJ25,"")</f>
        <v/>
      </c>
      <c r="BJ23" s="185" t="str">
        <f>IF(Tim!BK25=FIT!$E$1,Tim!BK25,"")</f>
        <v/>
      </c>
      <c r="BK23" s="185" t="str">
        <f>IF(Tim!BL25=FIT!$E$1,Tim!BL25,"")</f>
        <v/>
      </c>
      <c r="BL23" s="185" t="str">
        <f>IF(Tim!BM25=FIT!$E$1,Tim!BM25,"")</f>
        <v/>
      </c>
      <c r="BM23" s="185" t="str">
        <f>IF(Tim!BN25=FIT!$E$1,Tim!BN25,"")</f>
        <v/>
      </c>
      <c r="BN23" s="185" t="str">
        <f>IF(Tim!BO25=FIT!$E$1,Tim!BO25,"")</f>
        <v/>
      </c>
      <c r="BO23" s="185" t="str">
        <f>IF(Tim!BP25=FIT!$E$1,Tim!BP25,"")</f>
        <v/>
      </c>
      <c r="BP23" s="185" t="str">
        <f>IF(Tim!BQ25=FIT!$E$1,Tim!BQ25,"")</f>
        <v/>
      </c>
      <c r="BQ23" s="185" t="str">
        <f>IF(Tim!BR25=FIT!$E$1,Tim!BR25,"")</f>
        <v/>
      </c>
      <c r="BR23" s="185" t="str">
        <f>IF(Tim!BS25=FIT!$E$1,Tim!BS25,"")</f>
        <v/>
      </c>
      <c r="BS23" s="185" t="str">
        <f>IF(Tim!BT25=FIT!$E$1,Tim!BT25,"")</f>
        <v/>
      </c>
      <c r="BT23" s="185" t="str">
        <f>IF(Tim!BU25=FIT!$E$1,Tim!BU25,"")</f>
        <v/>
      </c>
      <c r="BU23" s="185" t="str">
        <f>IF(Tim!BV25=FIT!$E$1,Tim!BV25,"")</f>
        <v/>
      </c>
      <c r="BV23" s="185" t="str">
        <f>IF(Tim!BW25=FIT!$E$1,Tim!BW25,"")</f>
        <v/>
      </c>
      <c r="BW23" s="185" t="str">
        <f>IF(Tim!BX25=FIT!$E$1,Tim!BX25,"")</f>
        <v/>
      </c>
      <c r="BX23" s="185" t="str">
        <f>IF(Tim!BY25=FIT!$E$1,Tim!BY25,"")</f>
        <v/>
      </c>
      <c r="BY23" s="185" t="str">
        <f>IF(Tim!BZ25=FIT!$E$1,Tim!BZ25,"")</f>
        <v/>
      </c>
      <c r="BZ23" s="185" t="str">
        <f>IF(Tim!CA25=FIT!$E$1,Tim!CA25,"")</f>
        <v/>
      </c>
      <c r="CA23" s="185" t="str">
        <f>IF(Tim!CB25=FIT!$E$1,Tim!CB25,"")</f>
        <v/>
      </c>
      <c r="CB23" s="185" t="str">
        <f>IF(Tim!CC25=FIT!$E$1,Tim!CC25,"")</f>
        <v/>
      </c>
      <c r="CC23" s="185" t="str">
        <f>IF(Tim!CD25=FIT!$E$1,Tim!CD25,"")</f>
        <v/>
      </c>
      <c r="CD23" s="185" t="str">
        <f>IF(Tim!CE25=FIT!$E$1,Tim!CE25,"")</f>
        <v/>
      </c>
      <c r="CE23" s="185" t="str">
        <f>IF(Tim!CF25=FIT!$E$1,Tim!CF25,"")</f>
        <v/>
      </c>
      <c r="CF23" s="185" t="str">
        <f>IF(Tim!CG25=FIT!$E$1,Tim!CG25,"")</f>
        <v/>
      </c>
      <c r="CG23" s="185" t="str">
        <f>IF(Tim!CH25=FIT!$E$1,Tim!CH25,"")</f>
        <v/>
      </c>
      <c r="CH23" s="185" t="str">
        <f>IF(Tim!CI25=FIT!$E$1,Tim!CI25,"")</f>
        <v/>
      </c>
      <c r="CI23" s="185" t="str">
        <f>IF(Tim!CJ25=FIT!$E$1,Tim!CJ25,"")</f>
        <v/>
      </c>
      <c r="CJ23" s="185" t="str">
        <f>IF(Tim!CK25=FIT!$E$1,Tim!CK25,"")</f>
        <v/>
      </c>
      <c r="CK23" s="185" t="str">
        <f>IF(Tim!CL25=FIT!$E$1,Tim!CL25,"")</f>
        <v/>
      </c>
      <c r="CL23" s="185" t="str">
        <f>IF(Tim!CM25=FIT!$E$1,Tim!CM25,"")</f>
        <v/>
      </c>
      <c r="CM23" s="185" t="str">
        <f>IF(Tim!CN25=FIT!$E$1,Tim!CN25,"")</f>
        <v/>
      </c>
      <c r="CN23" s="185" t="str">
        <f>IF(Tim!CO25=FIT!$E$1,Tim!CO25,"")</f>
        <v/>
      </c>
      <c r="CO23" s="185" t="str">
        <f>IF(Tim!CP25=FIT!$E$1,Tim!CP25,"")</f>
        <v/>
      </c>
      <c r="CP23" s="185" t="str">
        <f>IF(Tim!CQ25=FIT!$E$1,Tim!CQ25,"")</f>
        <v/>
      </c>
      <c r="CQ23" s="185" t="str">
        <f>IF(Tim!CR25=FIT!$E$1,Tim!CR25,"")</f>
        <v/>
      </c>
      <c r="CR23" s="185" t="str">
        <f>IF(Tim!CS25=FIT!$E$1,Tim!CS25,"")</f>
        <v/>
      </c>
      <c r="CS23" s="185" t="str">
        <f>IF(Tim!CT25=FIT!$E$1,Tim!CT25,"")</f>
        <v/>
      </c>
      <c r="CT23" s="185" t="str">
        <f>IF(Tim!CU25=FIT!$E$1,Tim!CU25,"")</f>
        <v/>
      </c>
      <c r="CU23" s="185" t="str">
        <f>IF(Tim!CV25=FIT!$E$1,Tim!CV25,"")</f>
        <v/>
      </c>
      <c r="CV23" s="185" t="str">
        <f>IF(Tim!CW25=FIT!$E$1,Tim!CW25,"")</f>
        <v/>
      </c>
      <c r="CW23" s="185" t="str">
        <f>IF(Tim!CX25=FIT!$E$1,Tim!CX25,"")</f>
        <v/>
      </c>
      <c r="CX23" s="185" t="str">
        <f>IF(Tim!CY25=FIT!$E$1,Tim!CY25,"")</f>
        <v/>
      </c>
      <c r="CY23" s="185" t="str">
        <f>IF(Tim!CZ25=FIT!$E$1,Tim!CZ25,"")</f>
        <v/>
      </c>
      <c r="CZ23" s="185" t="str">
        <f>IF(Tim!DA25=FIT!$E$1,Tim!DA25,"")</f>
        <v/>
      </c>
      <c r="DA23" s="185" t="str">
        <f>IF(Tim!DB25=FIT!$E$1,Tim!DB25,"")</f>
        <v/>
      </c>
      <c r="DB23" s="185" t="str">
        <f>IF(Tim!DC25=FIT!$E$1,Tim!DC25,"")</f>
        <v/>
      </c>
      <c r="DC23" s="185" t="str">
        <f>IF(Tim!DD25=FIT!$E$1,Tim!DD25,"")</f>
        <v/>
      </c>
      <c r="DD23" s="185" t="str">
        <f>IF(Tim!DE25=FIT!$E$1,Tim!DE25,"")</f>
        <v/>
      </c>
      <c r="DE23" s="185" t="str">
        <f>IF(Tim!DF25=FIT!$E$1,Tim!DF25,"")</f>
        <v/>
      </c>
      <c r="DF23" s="185" t="str">
        <f>IF(Tim!DG25=FIT!$E$1,Tim!DG25,"")</f>
        <v/>
      </c>
      <c r="DG23" s="185" t="str">
        <f>IF(Tim!DH25=FIT!$E$1,Tim!DH25,"")</f>
        <v/>
      </c>
      <c r="DH23" s="185" t="str">
        <f>IF(Tim!DI24=FIT!$E$1,Tim!DI24,"")</f>
        <v/>
      </c>
      <c r="DI23" s="185" t="str">
        <f>IF(Tim!DM25=FIT!$E$1,Tim!DM25,"")</f>
        <v/>
      </c>
      <c r="DJ23" s="185" t="str">
        <f>IF(Tim!DN25=FIT!$E$1,Tim!DN25,"")</f>
        <v/>
      </c>
      <c r="DK23" s="185" t="str">
        <f>IF(Tim!DO25=FIT!$E$1,Tim!DO25,"")</f>
        <v/>
      </c>
      <c r="DL23" s="185" t="str">
        <f>IF(Tim!DP25=FIT!$E$1,Tim!DP25,"")</f>
        <v/>
      </c>
      <c r="DM23" s="185" t="str">
        <f>IF(Tim!DQ25=FIT!$E$1,Tim!DQ25,"")</f>
        <v/>
      </c>
      <c r="DN23" s="185" t="str">
        <f>IF(Tim!DR25=FIT!$E$1,Tim!DR25,"")</f>
        <v/>
      </c>
      <c r="DO23" s="185" t="str">
        <f>IF(Tim!DS25=FIT!$E$1,Tim!DS25,"")</f>
        <v/>
      </c>
      <c r="DP23" s="185" t="str">
        <f>IF(Tim!DT25=FIT!$E$1,Tim!DT25,"")</f>
        <v/>
      </c>
      <c r="DQ23" s="185" t="str">
        <f>IF(Tim!DU25=FIT!$E$1,Tim!DU25,"")</f>
        <v/>
      </c>
      <c r="DR23" s="185" t="str">
        <f>IF(Tim!DV25=FIT!$E$1,Tim!DV25,"")</f>
        <v/>
      </c>
      <c r="DS23" s="185" t="str">
        <f>IF(Tim!DW25=FIT!$E$1,Tim!DW25,"")</f>
        <v/>
      </c>
      <c r="DT23" s="185" t="str">
        <f>IF(Tim!DX25=FIT!$E$1,Tim!DX25,"")</f>
        <v/>
      </c>
      <c r="DU23" s="185" t="str">
        <f>IF(Tim!DY25=FIT!$E$1,Tim!DY25,"")</f>
        <v/>
      </c>
      <c r="DV23" s="185" t="str">
        <f>IF(Tim!DZ25=FIT!$E$1,Tim!DZ25,"")</f>
        <v/>
      </c>
      <c r="DW23" s="185" t="str">
        <f>IF(Tim!EA25=FIT!$E$1,Tim!EA25,"")</f>
        <v/>
      </c>
      <c r="DX23" s="185" t="str">
        <f>IF(Tim!EB25=FIT!$E$1,Tim!EB25,"")</f>
        <v/>
      </c>
      <c r="DY23" s="185" t="str">
        <f>IF(Tim!EC25=FIT!$E$1,Tim!EC25,"")</f>
        <v/>
      </c>
      <c r="DZ23" s="185" t="str">
        <f>IF(Tim!ED25=FIT!$E$1,Tim!ED25,"")</f>
        <v/>
      </c>
      <c r="EA23" s="185" t="str">
        <f>IF(Tim!EE25=FIT!$E$1,Tim!EE25,"")</f>
        <v/>
      </c>
      <c r="EB23" s="185" t="str">
        <f>IF(Tim!EF25=FIT!$E$1,Tim!EF25,"")</f>
        <v/>
      </c>
      <c r="EC23" s="185" t="str">
        <f>IF(Tim!EG25=FIT!$E$1,Tim!EG25,"")</f>
        <v/>
      </c>
      <c r="ED23" s="185" t="str">
        <f>IF(Tim!EH25=FIT!$E$1,Tim!EH25,"")</f>
        <v/>
      </c>
      <c r="EE23" s="185" t="str">
        <f>IF(Tim!EI25=FIT!$E$1,Tim!EI25,"")</f>
        <v/>
      </c>
      <c r="EF23" s="185" t="str">
        <f>IF(Tim!EJ25=FIT!$E$1,Tim!EJ25,"")</f>
        <v/>
      </c>
      <c r="EG23" s="185" t="str">
        <f>IF(Tim!EK25=FIT!$E$1,Tim!EK25,"")</f>
        <v/>
      </c>
      <c r="EH23" s="185" t="str">
        <f>IF(Tim!EL25=FIT!$E$1,Tim!EL25,"")</f>
        <v/>
      </c>
      <c r="EI23" s="185" t="str">
        <f>IF(Tim!EM25=FIT!$E$1,Tim!EM25,"")</f>
        <v/>
      </c>
      <c r="EJ23" s="185" t="str">
        <f>IF(Tim!EN25=FIT!$E$1,Tim!EN25,"")</f>
        <v/>
      </c>
      <c r="EK23" s="185" t="str">
        <f>IF(Tim!EO25=FIT!$E$1,Tim!EO25,"")</f>
        <v/>
      </c>
      <c r="EL23" s="185" t="str">
        <f>IF(Tim!EP25=FIT!$E$1,Tim!EP25,"")</f>
        <v/>
      </c>
      <c r="EM23" s="185" t="str">
        <f>IF(Tim!EQ25=FIT!$E$1,Tim!EQ25,"")</f>
        <v/>
      </c>
      <c r="EN23" s="185" t="str">
        <f>IF(Tim!ER25=FIT!$E$1,Tim!ER25,"")</f>
        <v/>
      </c>
      <c r="EO23" s="185" t="str">
        <f>IF(Tim!ES25=FIT!$E$1,Tim!ES25,"")</f>
        <v/>
      </c>
      <c r="EP23" s="185" t="str">
        <f>IF(Tim!ET25=FIT!$E$1,Tim!ET25,"")</f>
        <v/>
      </c>
      <c r="EQ23" s="185" t="str">
        <f>IF(Tim!EU25=FIT!$E$1,Tim!EU25,"")</f>
        <v/>
      </c>
      <c r="ER23" s="185" t="str">
        <f>IF(Tim!EV25=FIT!$E$1,Tim!EV25,"")</f>
        <v/>
      </c>
      <c r="ES23" s="185" t="str">
        <f>IF(Tim!EW25=FIT!$E$1,Tim!EW25,"")</f>
        <v/>
      </c>
      <c r="ET23" s="185" t="str">
        <f>IF(Tim!EX25=FIT!$E$1,Tim!EX25,"")</f>
        <v/>
      </c>
      <c r="EU23" s="185" t="str">
        <f>IF(Tim!EY25=FIT!$E$1,Tim!EY25,"")</f>
        <v/>
      </c>
      <c r="EV23" s="185" t="str">
        <f>IF(Tim!EZ25=FIT!$E$1,Tim!EZ25,"")</f>
        <v/>
      </c>
      <c r="EW23" s="185" t="str">
        <f>IF(Tim!FA25=FIT!$E$1,Tim!FA25,"")</f>
        <v/>
      </c>
      <c r="EX23" s="185" t="str">
        <f>IF(Tim!FB25=FIT!$E$1,Tim!FB25,"")</f>
        <v/>
      </c>
      <c r="EY23" s="185" t="str">
        <f>IF(Tim!FC25=FIT!$E$1,Tim!FC25,"")</f>
        <v/>
      </c>
      <c r="EZ23" s="185" t="str">
        <f>IF(Tim!FD25=FIT!$E$1,Tim!FD25,"")</f>
        <v/>
      </c>
      <c r="FA23" s="185" t="str">
        <f>IF(Tim!FE25=FIT!$E$1,Tim!FE25,"")</f>
        <v/>
      </c>
      <c r="FB23" s="185" t="str">
        <f>IF(Tim!FF25=FIT!$E$1,Tim!FF25,"")</f>
        <v/>
      </c>
      <c r="FC23" s="185" t="str">
        <f>IF(Tim!FG25=FIT!$E$1,Tim!FG25,"")</f>
        <v/>
      </c>
      <c r="FD23" s="185" t="str">
        <f>IF(Tim!FH25=FIT!$E$1,Tim!FH25,"")</f>
        <v/>
      </c>
      <c r="FE23" s="185" t="str">
        <f>IF(Tim!FI25=FIT!$E$1,Tim!FI25,"")</f>
        <v/>
      </c>
      <c r="FF23" s="185" t="str">
        <f>IF(Tim!FJ25=FIT!$E$1,Tim!FJ25,"")</f>
        <v/>
      </c>
      <c r="FG23" s="185" t="str">
        <f>IF(Tim!FK25=FIT!$E$1,Tim!FK25,"")</f>
        <v/>
      </c>
      <c r="FH23" s="185" t="str">
        <f>IF(Tim!FL25=FIT!$E$1,Tim!FL25,"")</f>
        <v/>
      </c>
      <c r="FI23" s="185" t="str">
        <f>IF(Tim!FM25=FIT!$E$1,Tim!FM25,"")</f>
        <v/>
      </c>
      <c r="FJ23" s="185" t="str">
        <f>IF(Tim!FN25=FIT!$E$1,Tim!FN25,"")</f>
        <v/>
      </c>
      <c r="FK23" s="185" t="str">
        <f>IF(Tim!FO25=FIT!$E$1,Tim!FO25,"")</f>
        <v/>
      </c>
      <c r="FL23" s="185" t="str">
        <f>IF(Tim!FP25=FIT!$E$1,Tim!FP25,"")</f>
        <v/>
      </c>
      <c r="FM23" s="185" t="str">
        <f>IF(Tim!FQ25=FIT!$E$1,Tim!FQ25,"")</f>
        <v/>
      </c>
      <c r="FN23" s="185" t="str">
        <f>IF(Tim!FR25=FIT!$E$1,Tim!FR25,"")</f>
        <v/>
      </c>
      <c r="FO23" s="185" t="str">
        <f>IF(Tim!FS25=FIT!$E$1,Tim!FS25,"")</f>
        <v/>
      </c>
      <c r="FP23" s="185" t="str">
        <f>IF(Tim!FT25=FIT!$E$1,Tim!FT25,"")</f>
        <v/>
      </c>
      <c r="FQ23" s="185" t="str">
        <f>IF(Tim!FU25=FIT!$E$1,Tim!FU25,"")</f>
        <v/>
      </c>
      <c r="FR23" s="185" t="str">
        <f>IF(Tim!FV25=FIT!$E$1,Tim!FV25,"")</f>
        <v/>
      </c>
      <c r="FS23" s="185" t="str">
        <f>IF(Tim!FW25=FIT!$E$1,Tim!FW25,"")</f>
        <v/>
      </c>
      <c r="FT23" s="185" t="str">
        <f>IF(Tim!FX25=FIT!$E$1,Tim!FX25,"")</f>
        <v/>
      </c>
      <c r="FU23" s="185" t="str">
        <f>IF(Tim!FY25=FIT!$E$1,Tim!FY25,"")</f>
        <v/>
      </c>
      <c r="FV23" s="185" t="str">
        <f>IF(Tim!FZ25=FIT!$E$1,Tim!FZ25,"")</f>
        <v/>
      </c>
      <c r="FW23" s="185" t="str">
        <f>IF(Tim!GA25=FIT!$E$1,Tim!GA25,"")</f>
        <v/>
      </c>
      <c r="FX23" s="185" t="str">
        <f>IF(Tim!GB25=FIT!$E$1,Tim!GB25,"")</f>
        <v/>
      </c>
      <c r="FY23" s="185" t="str">
        <f>IF(Tim!GC25=FIT!$E$1,Tim!GC25,"")</f>
        <v/>
      </c>
      <c r="FZ23" s="185" t="str">
        <f>IF(Tim!GD25=FIT!$E$1,Tim!GD25,"")</f>
        <v/>
      </c>
      <c r="GA23" s="185" t="str">
        <f>IF(Tim!GE25=FIT!$E$1,Tim!GE25,"")</f>
        <v/>
      </c>
      <c r="GB23" s="185" t="str">
        <f>IF(Tim!GF25=FIT!$E$1,Tim!GF25,"")</f>
        <v/>
      </c>
      <c r="GC23" s="185" t="str">
        <f>IF(Tim!GG25=FIT!$E$1,Tim!GG25,"")</f>
        <v/>
      </c>
      <c r="GD23" s="185" t="str">
        <f>IF(Tim!GH25=FIT!$E$1,Tim!GH25,"")</f>
        <v/>
      </c>
      <c r="GE23" s="185" t="str">
        <f>IF(Tim!GI25=FIT!$E$1,Tim!GI25,"")</f>
        <v/>
      </c>
      <c r="GF23" s="185" t="str">
        <f>IF(Tim!GJ25=FIT!$E$1,Tim!GJ25,"")</f>
        <v/>
      </c>
      <c r="GG23" s="185" t="str">
        <f>IF(Tim!GK25=FIT!$E$1,Tim!GK25,"")</f>
        <v/>
      </c>
      <c r="GH23" s="185" t="str">
        <f>IF(Tim!GL25=FIT!$E$1,Tim!GL25,"")</f>
        <v/>
      </c>
      <c r="GI23" s="185" t="str">
        <f>IF(Tim!GM25=FIT!$E$1,Tim!GM25,"")</f>
        <v/>
      </c>
      <c r="GJ23" s="185" t="str">
        <f>IF(Tim!GN25=FIT!$E$1,Tim!GN25,"")</f>
        <v/>
      </c>
      <c r="GK23" s="185" t="str">
        <f>IF(Tim!GO25=FIT!$E$1,Tim!GO25,"")</f>
        <v/>
      </c>
      <c r="GL23" s="185" t="str">
        <f>IF(Tim!GP25=FIT!$E$1,Tim!GP25,"")</f>
        <v/>
      </c>
      <c r="GM23" s="185" t="str">
        <f>IF(Tim!GQ25=FIT!$E$1,Tim!GQ25,"")</f>
        <v/>
      </c>
      <c r="GN23" s="185" t="str">
        <f>IF(Tim!GR25=FIT!$E$1,Tim!GR25,"")</f>
        <v/>
      </c>
      <c r="GO23" s="185" t="str">
        <f>IF(Tim!GS25=FIT!$E$1,Tim!GS25,"")</f>
        <v/>
      </c>
      <c r="GP23" s="185" t="str">
        <f>IF(Tim!GT25=FIT!$E$1,Tim!GT25,"")</f>
        <v/>
      </c>
      <c r="GQ23" s="185" t="str">
        <f>IF(Tim!GU25=FIT!$E$1,Tim!GU25,"")</f>
        <v/>
      </c>
      <c r="GR23" s="185" t="str">
        <f>IF(Tim!GV25=FIT!$E$1,Tim!GV25,"")</f>
        <v/>
      </c>
      <c r="GS23" s="185" t="str">
        <f>IF(Tim!GW25=FIT!$E$1,Tim!GW25,"")</f>
        <v/>
      </c>
      <c r="GT23" s="185" t="str">
        <f>IF(Tim!GX25=FIT!$E$1,Tim!GX25,"")</f>
        <v/>
      </c>
      <c r="GU23" s="185" t="str">
        <f>IF(Tim!GY25=FIT!$E$1,Tim!GY25,"")</f>
        <v/>
      </c>
      <c r="GV23" s="185" t="str">
        <f>IF(Tim!GZ25=FIT!$E$1,Tim!GZ25,"")</f>
        <v/>
      </c>
      <c r="GW23" s="185" t="str">
        <f>IF(Tim!HA25=FIT!$E$1,Tim!HA25,"")</f>
        <v/>
      </c>
      <c r="GX23" s="185" t="str">
        <f>IF(Tim!HB25=FIT!$E$1,Tim!HB25,"")</f>
        <v/>
      </c>
      <c r="GY23" s="185" t="str">
        <f>IF(Tim!HC25=FIT!$E$1,Tim!HC25,"")</f>
        <v/>
      </c>
      <c r="GZ23" s="185" t="str">
        <f>IF(Tim!HD25=FIT!$E$1,Tim!HD25,"")</f>
        <v/>
      </c>
      <c r="HA23" s="185" t="str">
        <f>IF(Tim!HE25=FIT!$E$1,Tim!HE25,"")</f>
        <v/>
      </c>
      <c r="HB23" s="185" t="str">
        <f>IF(Tim!HF25=FIT!$E$1,Tim!HF25,"")</f>
        <v/>
      </c>
      <c r="HC23" s="185" t="str">
        <f>IF(Tim!HG25=FIT!$E$1,Tim!HG25,"")</f>
        <v/>
      </c>
      <c r="HD23" s="185" t="str">
        <f>IF(Tim!HH25=FIT!$E$1,Tim!HH25,"")</f>
        <v/>
      </c>
      <c r="HE23" s="185" t="str">
        <f>IF(Tim!HI25=FIT!$E$1,Tim!HI25,"")</f>
        <v/>
      </c>
      <c r="HF23" s="185" t="str">
        <f>IF(Tim!HJ25=FIT!$E$1,Tim!HJ25,"")</f>
        <v/>
      </c>
      <c r="HG23" s="185" t="str">
        <f>IF(Tim!HK25=FIT!$E$1,Tim!HK25,"")</f>
        <v/>
      </c>
      <c r="HH23" s="185" t="str">
        <f>IF(Tim!HL25=FIT!$E$1,Tim!HL25,"")</f>
        <v/>
      </c>
      <c r="HI23" s="185" t="str">
        <f>IF(Tim!HM25=FIT!$E$1,Tim!HM25,"")</f>
        <v/>
      </c>
      <c r="HJ23" s="185" t="str">
        <f>IF(Tim!HN25=FIT!$E$1,Tim!HN25,"")</f>
        <v/>
      </c>
      <c r="HK23" s="185" t="str">
        <f>IF(Tim!HO25=FIT!$E$1,Tim!HO25,"")</f>
        <v/>
      </c>
      <c r="HL23" s="185" t="str">
        <f>IF(Tim!HP25=FIT!$E$1,Tim!HP25,"")</f>
        <v/>
      </c>
      <c r="HM23" s="185" t="str">
        <f>IF(Tim!HQ25=FIT!$E$1,Tim!HQ25,"")</f>
        <v/>
      </c>
      <c r="HN23" s="185" t="str">
        <f>IF(Tim!HR25=FIT!$E$1,Tim!HR25,"")</f>
        <v/>
      </c>
      <c r="HO23" s="185" t="str">
        <f>IF(Tim!HS25=FIT!$E$1,Tim!HS25,"")</f>
        <v/>
      </c>
      <c r="HP23" s="185" t="str">
        <f>IF(Tim!HT25=FIT!$E$1,Tim!HT25,"")</f>
        <v/>
      </c>
      <c r="HQ23" s="185" t="str">
        <f>IF(Tim!HU25=FIT!$E$1,Tim!HU25,"")</f>
        <v/>
      </c>
      <c r="HR23" s="185" t="str">
        <f>IF(Tim!HV25=FIT!$E$1,Tim!HV25,"")</f>
        <v/>
      </c>
      <c r="HS23" s="185" t="str">
        <f>IF(Tim!HW25=FIT!$E$1,Tim!HW25,"")</f>
        <v/>
      </c>
      <c r="HT23" s="185" t="str">
        <f>IF(Tim!HX25=FIT!$E$1,Tim!HX25,"")</f>
        <v/>
      </c>
      <c r="HU23" s="185" t="str">
        <f>IF(Tim!HY25=FIT!$E$1,Tim!HY25,"")</f>
        <v/>
      </c>
      <c r="HV23" s="185" t="str">
        <f>IF(Tim!HZ25=FIT!$E$1,Tim!HZ25,"")</f>
        <v/>
      </c>
      <c r="HW23" s="185" t="str">
        <f>IF(Tim!IA25=FIT!$E$1,Tim!IA25,"")</f>
        <v/>
      </c>
      <c r="HX23" s="185" t="str">
        <f>IF(Tim!IB25=FIT!$E$1,Tim!IB25,"")</f>
        <v/>
      </c>
      <c r="HY23" s="185" t="str">
        <f>IF(Tim!IC25=FIT!$E$1,Tim!IC25,"")</f>
        <v/>
      </c>
      <c r="HZ23" s="185" t="str">
        <f>IF(Tim!ID25=FIT!$E$1,Tim!ID25,"")</f>
        <v/>
      </c>
      <c r="IA23" s="185" t="str">
        <f>IF(Tim!IE25=FIT!$E$1,Tim!IE25,"")</f>
        <v/>
      </c>
      <c r="IB23" s="185" t="str">
        <f>IF(Tim!IF25=FIT!$E$1,Tim!IF25,"")</f>
        <v/>
      </c>
      <c r="IC23" s="185" t="str">
        <f>IF(Tim!IG25=FIT!$E$1,Tim!IG25,"")</f>
        <v/>
      </c>
      <c r="ID23" s="185" t="str">
        <f>IF(Tim!IH25=FIT!$E$1,Tim!IH25,"")</f>
        <v/>
      </c>
      <c r="IE23" s="185" t="str">
        <f>IF(Tim!II25=FIT!$E$1,Tim!II25,"")</f>
        <v/>
      </c>
      <c r="IF23" s="185" t="str">
        <f>IF(Tim!IJ25=FIT!$E$1,Tim!IJ25,"")</f>
        <v/>
      </c>
      <c r="IG23" s="185" t="str">
        <f>IF(Tim!IK25=FIT!$E$1,Tim!IK25,"")</f>
        <v/>
      </c>
      <c r="IH23" s="185" t="str">
        <f>IF(Tim!IL25=FIT!$E$1,Tim!IL25,"")</f>
        <v/>
      </c>
      <c r="II23" s="185" t="str">
        <f>IF(Tim!IM25=FIT!$E$1,Tim!IM25,"")</f>
        <v/>
      </c>
      <c r="IJ23" s="185" t="str">
        <f>IF(Tim!IN25=FIT!$E$1,Tim!IN25,"")</f>
        <v/>
      </c>
      <c r="IK23" s="185" t="str">
        <f>IF(Tim!IO25=FIT!$E$1,Tim!IO25,"")</f>
        <v/>
      </c>
      <c r="IL23" s="185" t="str">
        <f>IF(Tim!IP25=FIT!$E$1,Tim!IP25,"")</f>
        <v/>
      </c>
      <c r="IM23" s="185" t="str">
        <f>IF(Tim!IQ25=FIT!$E$1,Tim!IQ25,"")</f>
        <v/>
      </c>
      <c r="IN23" s="185" t="str">
        <f>IF(Tim!IR25=FIT!$E$1,Tim!IR25,"")</f>
        <v/>
      </c>
      <c r="IO23" s="185" t="str">
        <f>IF(Tim!IS25=FIT!$E$1,Tim!IS25,"")</f>
        <v/>
      </c>
      <c r="IP23" s="185" t="str">
        <f>IF(Tim!IT25=FIT!$E$1,Tim!IT25,"")</f>
        <v/>
      </c>
      <c r="IQ23" s="185" t="str">
        <f>IF(Tim!IU25=FIT!$E$1,Tim!IU25,"")</f>
        <v/>
      </c>
      <c r="IR23" s="185" t="str">
        <f>IF(Tim!IV25=FIT!$E$1,Tim!IV25,"")</f>
        <v/>
      </c>
      <c r="IS23" s="185" t="str">
        <f>IF(Tim!IW25=FIT!$E$1,Tim!IW25,"")</f>
        <v/>
      </c>
      <c r="IT23" s="185" t="str">
        <f>IF(Tim!IX25=FIT!$E$1,Tim!IX25,"")</f>
        <v/>
      </c>
      <c r="IU23" s="185" t="str">
        <f>IF(Tim!IY25=FIT!$E$1,Tim!IY25,"")</f>
        <v/>
      </c>
      <c r="IV23" s="185" t="str">
        <f>IF(Tim!IZ25=FIT!$E$1,Tim!IZ25,"")</f>
        <v/>
      </c>
      <c r="IW23" s="185" t="str">
        <f>IF(Tim!JA25=FIT!$E$1,Tim!JA25,"")</f>
        <v/>
      </c>
      <c r="IX23" s="185" t="str">
        <f>IF(Tim!JB25=FIT!$E$1,Tim!JB25,"")</f>
        <v/>
      </c>
      <c r="IY23" s="185" t="str">
        <f>IF(Tim!JC25=FIT!$E$1,Tim!JC25,"")</f>
        <v/>
      </c>
      <c r="IZ23" s="185" t="str">
        <f>IF(Tim!JD25=FIT!$E$1,Tim!JD25,"")</f>
        <v/>
      </c>
      <c r="JA23" s="185" t="str">
        <f>IF(Tim!JE25=FIT!$E$1,Tim!JE25,"")</f>
        <v/>
      </c>
      <c r="JB23" s="185" t="str">
        <f>IF(Tim!JF25=FIT!$E$1,Tim!JF25,"")</f>
        <v/>
      </c>
      <c r="JC23" s="185" t="str">
        <f>IF(Tim!JG25=FIT!$E$1,Tim!JG25,"")</f>
        <v/>
      </c>
      <c r="JD23" s="185" t="str">
        <f>IF(Tim!JH25=FIT!$E$1,Tim!JH25,"")</f>
        <v/>
      </c>
      <c r="JE23" s="185" t="str">
        <f>IF(Tim!JI25=FIT!$E$1,Tim!JI25,"")</f>
        <v/>
      </c>
      <c r="JF23" s="185" t="str">
        <f>IF(Tim!JJ25=FIT!$E$1,Tim!JJ25,"")</f>
        <v/>
      </c>
      <c r="JG23" s="185" t="str">
        <f>IF(Tim!JK25=FIT!$E$1,Tim!JK25,"")</f>
        <v/>
      </c>
      <c r="JH23" s="185" t="str">
        <f>IF(Tim!JL25=FIT!$E$1,Tim!JL25,"")</f>
        <v/>
      </c>
      <c r="JI23" s="185" t="str">
        <f>IF(Tim!JM25=FIT!$E$1,Tim!JM25,"")</f>
        <v/>
      </c>
      <c r="JJ23" s="185" t="str">
        <f>IF(Tim!JN25=FIT!$E$1,Tim!JN25,"")</f>
        <v/>
      </c>
      <c r="JK23" s="185" t="str">
        <f>IF(Tim!JO25=FIT!$E$1,Tim!JO25,"")</f>
        <v/>
      </c>
      <c r="JL23" s="185" t="str">
        <f>IF(Tim!JP25=FIT!$E$1,Tim!JP25,"")</f>
        <v/>
      </c>
      <c r="JM23" s="185" t="str">
        <f>IF(Tim!JQ25=FIT!$E$1,Tim!JQ25,"")</f>
        <v/>
      </c>
      <c r="JN23" s="185" t="str">
        <f>IF(Tim!JR25=FIT!$E$1,Tim!JR25,"")</f>
        <v/>
      </c>
      <c r="JO23" s="185" t="str">
        <f>IF(Tim!JS25=FIT!$E$1,Tim!JS25,"")</f>
        <v/>
      </c>
      <c r="JP23" s="185" t="str">
        <f>IF(Tim!JT25=FIT!$E$1,Tim!JT25,"")</f>
        <v/>
      </c>
      <c r="JQ23" s="185" t="str">
        <f>IF(Tim!JU25=FIT!$E$1,Tim!JU25,"")</f>
        <v/>
      </c>
      <c r="JR23" s="185" t="str">
        <f>IF(Tim!JV25=FIT!$E$1,Tim!JV25,"")</f>
        <v/>
      </c>
      <c r="JS23" s="185" t="str">
        <f>IF(Tim!JW25=FIT!$E$1,Tim!JW25,"")</f>
        <v/>
      </c>
      <c r="JT23" s="185" t="str">
        <f>IF(Tim!JX25=FIT!$E$1,Tim!JX25,"")</f>
        <v/>
      </c>
      <c r="JU23" s="185" t="str">
        <f>IF(Tim!JY25=FIT!$E$1,Tim!JY25,"")</f>
        <v/>
      </c>
      <c r="JV23" s="185" t="str">
        <f>IF(Tim!JZ25=FIT!$E$1,Tim!JZ25,"")</f>
        <v/>
      </c>
      <c r="JW23" s="185" t="str">
        <f>IF(Tim!KA25=FIT!$E$1,Tim!KA25,"")</f>
        <v/>
      </c>
      <c r="JX23" s="185" t="str">
        <f>IF(Tim!KB25=FIT!$E$1,Tim!KB25,"")</f>
        <v/>
      </c>
      <c r="JY23" s="185" t="str">
        <f>IF(Tim!KC25=FIT!$E$1,Tim!KC25,"")</f>
        <v/>
      </c>
      <c r="JZ23" s="185" t="str">
        <f>IF(Tim!KD25=FIT!$E$1,Tim!KD25,"")</f>
        <v/>
      </c>
      <c r="KA23" s="185" t="str">
        <f>IF(Tim!KE25=FIT!$E$1,Tim!KE25,"")</f>
        <v/>
      </c>
      <c r="KB23" s="185" t="str">
        <f>IF(Tim!KF25=FIT!$E$1,Tim!KF25,"")</f>
        <v/>
      </c>
      <c r="KC23" s="185" t="str">
        <f>IF(Tim!KG25=FIT!$E$1,Tim!KG25,"")</f>
        <v/>
      </c>
      <c r="KD23" s="185" t="str">
        <f>IF(Tim!KH25=FIT!$E$1,Tim!KH25,"")</f>
        <v/>
      </c>
      <c r="KE23" s="185" t="str">
        <f>IF(Tim!KI25=FIT!$E$1,Tim!KI25,"")</f>
        <v/>
      </c>
      <c r="KF23" s="185" t="str">
        <f>IF(Tim!KJ25=FIT!$E$1,Tim!KJ25,"")</f>
        <v/>
      </c>
      <c r="KG23" s="185" t="str">
        <f>IF(Tim!KK25=FIT!$E$1,Tim!KK25,"")</f>
        <v/>
      </c>
      <c r="KH23" s="185" t="str">
        <f>IF(Tim!KL25=FIT!$E$1,Tim!KL25,"")</f>
        <v/>
      </c>
      <c r="KI23" s="185" t="str">
        <f>IF(Tim!KM25=FIT!$E$1,Tim!KM25,"")</f>
        <v/>
      </c>
      <c r="KJ23" s="185" t="str">
        <f>IF(Tim!KN25=FIT!$E$1,Tim!KN25,"")</f>
        <v/>
      </c>
      <c r="KK23" s="185" t="str">
        <f>IF(Tim!KO25=FIT!$E$1,Tim!KO25,"")</f>
        <v/>
      </c>
      <c r="KL23" s="185" t="str">
        <f>IF(Tim!KP25=FIT!$E$1,Tim!KP25,"")</f>
        <v/>
      </c>
      <c r="KM23" s="185" t="str">
        <f>IF(Tim!KQ25=FIT!$E$1,Tim!KQ25,"")</f>
        <v/>
      </c>
      <c r="KN23" s="185" t="str">
        <f>IF(Tim!KR25=FIT!$E$1,Tim!KR25,"")</f>
        <v/>
      </c>
      <c r="KO23" s="185" t="str">
        <f>IF(Tim!KS25=FIT!$E$1,Tim!KS25,"")</f>
        <v/>
      </c>
      <c r="KP23" s="185" t="str">
        <f>IF(Tim!KT25=FIT!$E$1,Tim!KT25,"")</f>
        <v/>
      </c>
      <c r="KQ23" s="185" t="str">
        <f>IF(Tim!KU25=FIT!$E$1,Tim!KU25,"")</f>
        <v/>
      </c>
      <c r="KR23" s="185" t="str">
        <f>IF(Tim!KV25=FIT!$E$1,Tim!KV25,"")</f>
        <v/>
      </c>
      <c r="KS23" s="185" t="str">
        <f>IF(Tim!KW25=FIT!$E$1,Tim!KW25,"")</f>
        <v/>
      </c>
      <c r="KT23" s="185" t="str">
        <f>IF(Tim!KX25=FIT!$E$1,Tim!KX25,"")</f>
        <v/>
      </c>
      <c r="KU23" s="185" t="str">
        <f>IF(Tim!KY25=FIT!$E$1,Tim!KY25,"")</f>
        <v/>
      </c>
      <c r="KV23" s="185" t="str">
        <f>IF(Tim!KZ25=FIT!$E$1,Tim!KZ25,"")</f>
        <v/>
      </c>
      <c r="KW23" s="185" t="str">
        <f>IF(Tim!LA25=FIT!$E$1,Tim!LA25,"")</f>
        <v/>
      </c>
      <c r="KX23" s="185" t="str">
        <f>IF(Tim!LB25=FIT!$E$1,Tim!LB25,"")</f>
        <v/>
      </c>
      <c r="KY23" s="185" t="str">
        <f>IF(Tim!LC25=FIT!$E$1,Tim!LC25,"")</f>
        <v/>
      </c>
      <c r="KZ23" s="185" t="str">
        <f>IF(Tim!LD25=FIT!$E$1,Tim!LD25,"")</f>
        <v/>
      </c>
      <c r="LA23" s="185" t="str">
        <f>IF(Tim!LE25=FIT!$E$1,Tim!LE25,"")</f>
        <v/>
      </c>
      <c r="LB23" s="52">
        <v>0.47916666666666602</v>
      </c>
    </row>
    <row r="24" spans="2:314" ht="10.5" customHeight="1">
      <c r="B24" s="49">
        <v>0.25</v>
      </c>
      <c r="C24" s="49">
        <v>0.25</v>
      </c>
      <c r="D24" s="49">
        <v>0.25</v>
      </c>
      <c r="E24" s="172">
        <v>0.48958333333333298</v>
      </c>
      <c r="F24" s="238" t="str">
        <f>IF(Tim!F26=FIT!$E$1,Tim!F26,"")</f>
        <v/>
      </c>
      <c r="G24" s="185" t="str">
        <f>IF(Tim!G26=FIT!$E$1,Tim!G26,"")</f>
        <v/>
      </c>
      <c r="H24" s="185" t="str">
        <f>IF(Tim!H26=FIT!$E$1,Tim!H26,"")</f>
        <v/>
      </c>
      <c r="I24" s="185" t="str">
        <f>IF(Tim!I26=FIT!$E$1,Tim!I26,"")</f>
        <v/>
      </c>
      <c r="J24" s="185" t="str">
        <f>IF(Tim!J26=FIT!$E$1,Tim!J26,"")</f>
        <v/>
      </c>
      <c r="K24" s="185" t="str">
        <f>IF(Tim!K26=FIT!$E$1,Tim!K26,"")</f>
        <v/>
      </c>
      <c r="L24" s="185" t="str">
        <f>IF(Tim!L26=FIT!$E$1,Tim!L26,"")</f>
        <v/>
      </c>
      <c r="M24" s="185" t="str">
        <f>IF(Tim!M26=FIT!$E$1,Tim!M26,"")</f>
        <v/>
      </c>
      <c r="N24" s="185" t="str">
        <f>IF(Tim!N26=FIT!$E$1,Tim!N26,"")</f>
        <v/>
      </c>
      <c r="O24" s="185" t="str">
        <f>IF(Tim!O26=FIT!$E$1,Tim!O26,"")</f>
        <v/>
      </c>
      <c r="P24" s="185" t="str">
        <f>IF(Tim!P26=FIT!$E$1,Tim!P26,"")</f>
        <v/>
      </c>
      <c r="Q24" s="185" t="str">
        <f>IF(Tim!Q26=FIT!$E$1,Tim!Q26,"")</f>
        <v/>
      </c>
      <c r="R24" s="185" t="str">
        <f>IF(Tim!R26=FIT!$E$1,Tim!R26,"")</f>
        <v/>
      </c>
      <c r="S24" s="185" t="str">
        <f>IF(Tim!S26=FIT!$E$1,Tim!S26,"")</f>
        <v/>
      </c>
      <c r="T24" s="185" t="str">
        <f>IF(Tim!T26=FIT!$E$1,Tim!T26,"")</f>
        <v/>
      </c>
      <c r="U24" s="185" t="str">
        <f>IF(Tim!U26=FIT!$E$1,Tim!U26,"")</f>
        <v/>
      </c>
      <c r="V24" s="185" t="str">
        <f>IF(Tim!W26=FIT!$E$1,Tim!W26,"")</f>
        <v/>
      </c>
      <c r="W24" s="185" t="str">
        <f>IF(Tim!X26=FIT!$E$1,Tim!X26,"")</f>
        <v/>
      </c>
      <c r="X24" s="185" t="str">
        <f>IF(Tim!Y26=FIT!$E$1,Tim!Y26,"")</f>
        <v/>
      </c>
      <c r="Y24" s="185" t="str">
        <f>IF(Tim!Z26=FIT!$E$1,Tim!Z26,"")</f>
        <v/>
      </c>
      <c r="Z24" s="185" t="str">
        <f>IF(Tim!AA26=FIT!$E$1,Tim!AA26,"")</f>
        <v/>
      </c>
      <c r="AA24" s="185" t="str">
        <f>IF(Tim!AB26=FIT!$E$1,Tim!AB26,"")</f>
        <v/>
      </c>
      <c r="AB24" s="185" t="str">
        <f>IF(Tim!AC26=FIT!$E$1,Tim!AC26,"")</f>
        <v/>
      </c>
      <c r="AC24" s="185" t="str">
        <f>IF(Tim!AD26=FIT!$E$1,Tim!AD26,"")</f>
        <v/>
      </c>
      <c r="AD24" s="185" t="str">
        <f>IF(Tim!AE26=FIT!$E$1,Tim!AE26,"")</f>
        <v/>
      </c>
      <c r="AE24" s="185" t="str">
        <f>IF(Tim!AF26=FIT!$E$1,Tim!AF26,"")</f>
        <v/>
      </c>
      <c r="AF24" s="185" t="str">
        <f>IF(Tim!AG26=FIT!$E$1,Tim!AG26,"")</f>
        <v/>
      </c>
      <c r="AG24" s="185" t="str">
        <f>IF(Tim!AH26=FIT!$E$1,Tim!AH26,"")</f>
        <v/>
      </c>
      <c r="AH24" s="185" t="str">
        <f>IF(Tim!AI26=FIT!$E$1,Tim!AI26,"")</f>
        <v/>
      </c>
      <c r="AI24" s="185" t="str">
        <f>IF(Tim!AJ26=FIT!$E$1,Tim!AJ26,"")</f>
        <v/>
      </c>
      <c r="AJ24" s="185" t="str">
        <f>IF(Tim!AK26=FIT!$E$1,Tim!AK26,"")</f>
        <v/>
      </c>
      <c r="AK24" s="185" t="str">
        <f>IF(Tim!AL26=FIT!$E$1,Tim!AL26,"")</f>
        <v/>
      </c>
      <c r="AL24" s="185" t="str">
        <f>IF(Tim!AM26=FIT!$E$1,Tim!AM26,"")</f>
        <v/>
      </c>
      <c r="AM24" s="185" t="str">
        <f>IF(Tim!AN26=FIT!$E$1,Tim!AN26,"")</f>
        <v/>
      </c>
      <c r="AN24" s="185" t="str">
        <f>IF(Tim!AO26=FIT!$E$1,Tim!AO26,"")</f>
        <v/>
      </c>
      <c r="AO24" s="185" t="str">
        <f>IF(Tim!AP26=FIT!$E$1,Tim!AP26,"")</f>
        <v/>
      </c>
      <c r="AP24" s="185" t="str">
        <f>IF(Tim!AQ26=FIT!$E$1,Tim!AQ26,"")</f>
        <v/>
      </c>
      <c r="AQ24" s="185" t="str">
        <f>IF(Tim!AR26=FIT!$E$1,Tim!AR26,"")</f>
        <v/>
      </c>
      <c r="AR24" s="185" t="str">
        <f>IF(Tim!AS26=FIT!$E$1,Tim!AS26,"")</f>
        <v/>
      </c>
      <c r="AS24" s="185" t="str">
        <f>IF(Tim!AT26=FIT!$E$1,Tim!AT26,"")</f>
        <v/>
      </c>
      <c r="AT24" s="185" t="str">
        <f>IF(Tim!AU26=FIT!$E$1,Tim!AU26,"")</f>
        <v/>
      </c>
      <c r="AU24" s="185" t="str">
        <f>IF(Tim!AV26=FIT!$E$1,Tim!AV26,"")</f>
        <v/>
      </c>
      <c r="AV24" s="185" t="str">
        <f>IF(Tim!AW26=FIT!$E$1,Tim!AW26,"")</f>
        <v/>
      </c>
      <c r="AW24" s="186" t="str">
        <f>IF(Tim!AX26=FIT!$E$1,Tim!AX26,"")</f>
        <v/>
      </c>
      <c r="AX24" s="243" t="str">
        <f>IF(Tim!AY26=FIT!$E$1,Tim!AY26,"")</f>
        <v/>
      </c>
      <c r="AY24" s="185" t="str">
        <f>IF(Tim!AZ26=FIT!$E$1,Tim!AZ26,"")</f>
        <v/>
      </c>
      <c r="AZ24" s="185" t="str">
        <f>IF(Tim!BA26=FIT!$E$1,Tim!BA26,"")</f>
        <v/>
      </c>
      <c r="BA24" s="185" t="str">
        <f>IF(Tim!BB26=FIT!$E$1,Tim!BB26,"")</f>
        <v/>
      </c>
      <c r="BB24" s="185" t="str">
        <f>IF(Tim!BC26=FIT!$E$1,Tim!BC26,"")</f>
        <v/>
      </c>
      <c r="BC24" s="185" t="str">
        <f>IF(Tim!BD26=FIT!$E$1,Tim!BD26,"")</f>
        <v/>
      </c>
      <c r="BD24" s="185" t="str">
        <f>IF(Tim!BE26=FIT!$E$1,Tim!BE26,"")</f>
        <v/>
      </c>
      <c r="BE24" s="185" t="str">
        <f>IF(Tim!BF26=FIT!$E$1,Tim!BF26,"")</f>
        <v/>
      </c>
      <c r="BF24" s="185" t="str">
        <f>IF(Tim!BG26=FIT!$E$1,Tim!BG26,"")</f>
        <v/>
      </c>
      <c r="BG24" s="185" t="str">
        <f>IF(Tim!BH26=FIT!$E$1,Tim!BH26,"")</f>
        <v/>
      </c>
      <c r="BH24" s="185" t="str">
        <f>IF(Tim!BI26=FIT!$E$1,Tim!BI26,"")</f>
        <v/>
      </c>
      <c r="BI24" s="185" t="str">
        <f>IF(Tim!BJ26=FIT!$E$1,Tim!BJ26,"")</f>
        <v/>
      </c>
      <c r="BJ24" s="185" t="str">
        <f>IF(Tim!BK26=FIT!$E$1,Tim!BK26,"")</f>
        <v/>
      </c>
      <c r="BK24" s="185" t="str">
        <f>IF(Tim!BL26=FIT!$E$1,Tim!BL26,"")</f>
        <v/>
      </c>
      <c r="BL24" s="185" t="str">
        <f>IF(Tim!BM26=FIT!$E$1,Tim!BM26,"")</f>
        <v/>
      </c>
      <c r="BM24" s="185" t="str">
        <f>IF(Tim!BN26=FIT!$E$1,Tim!BN26,"")</f>
        <v/>
      </c>
      <c r="BN24" s="185" t="str">
        <f>IF(Tim!BO26=FIT!$E$1,Tim!BO26,"")</f>
        <v/>
      </c>
      <c r="BO24" s="185" t="str">
        <f>IF(Tim!BP26=FIT!$E$1,Tim!BP26,"")</f>
        <v/>
      </c>
      <c r="BP24" s="185" t="str">
        <f>IF(Tim!BQ26=FIT!$E$1,Tim!BQ26,"")</f>
        <v/>
      </c>
      <c r="BQ24" s="185" t="str">
        <f>IF(Tim!BR26=FIT!$E$1,Tim!BR26,"")</f>
        <v/>
      </c>
      <c r="BR24" s="185" t="str">
        <f>IF(Tim!BS26=FIT!$E$1,Tim!BS26,"")</f>
        <v/>
      </c>
      <c r="BS24" s="185" t="str">
        <f>IF(Tim!BT26=FIT!$E$1,Tim!BT26,"")</f>
        <v/>
      </c>
      <c r="BT24" s="185" t="str">
        <f>IF(Tim!BU26=FIT!$E$1,Tim!BU26,"")</f>
        <v/>
      </c>
      <c r="BU24" s="185" t="str">
        <f>IF(Tim!BV26=FIT!$E$1,Tim!BV26,"")</f>
        <v/>
      </c>
      <c r="BV24" s="185" t="str">
        <f>IF(Tim!BW26=FIT!$E$1,Tim!BW26,"")</f>
        <v/>
      </c>
      <c r="BW24" s="185" t="str">
        <f>IF(Tim!BX26=FIT!$E$1,Tim!BX26,"")</f>
        <v/>
      </c>
      <c r="BX24" s="185" t="str">
        <f>IF(Tim!BY26=FIT!$E$1,Tim!BY26,"")</f>
        <v/>
      </c>
      <c r="BY24" s="185" t="str">
        <f>IF(Tim!BZ26=FIT!$E$1,Tim!BZ26,"")</f>
        <v/>
      </c>
      <c r="BZ24" s="185" t="str">
        <f>IF(Tim!CA26=FIT!$E$1,Tim!CA26,"")</f>
        <v/>
      </c>
      <c r="CA24" s="185" t="str">
        <f>IF(Tim!CB26=FIT!$E$1,Tim!CB26,"")</f>
        <v/>
      </c>
      <c r="CB24" s="185" t="str">
        <f>IF(Tim!CC26=FIT!$E$1,Tim!CC26,"")</f>
        <v/>
      </c>
      <c r="CC24" s="185" t="str">
        <f>IF(Tim!CD26=FIT!$E$1,Tim!CD26,"")</f>
        <v/>
      </c>
      <c r="CD24" s="185" t="str">
        <f>IF(Tim!CE26=FIT!$E$1,Tim!CE26,"")</f>
        <v/>
      </c>
      <c r="CE24" s="185" t="str">
        <f>IF(Tim!CF26=FIT!$E$1,Tim!CF26,"")</f>
        <v/>
      </c>
      <c r="CF24" s="185" t="str">
        <f>IF(Tim!CG26=FIT!$E$1,Tim!CG26,"")</f>
        <v/>
      </c>
      <c r="CG24" s="185" t="str">
        <f>IF(Tim!CH26=FIT!$E$1,Tim!CH26,"")</f>
        <v/>
      </c>
      <c r="CH24" s="185" t="str">
        <f>IF(Tim!CI26=FIT!$E$1,Tim!CI26,"")</f>
        <v/>
      </c>
      <c r="CI24" s="185" t="str">
        <f>IF(Tim!CJ26=FIT!$E$1,Tim!CJ26,"")</f>
        <v/>
      </c>
      <c r="CJ24" s="185" t="str">
        <f>IF(Tim!CK26=FIT!$E$1,Tim!CK26,"")</f>
        <v/>
      </c>
      <c r="CK24" s="185" t="str">
        <f>IF(Tim!CL26=FIT!$E$1,Tim!CL26,"")</f>
        <v/>
      </c>
      <c r="CL24" s="185" t="str">
        <f>IF(Tim!CM26=FIT!$E$1,Tim!CM26,"")</f>
        <v/>
      </c>
      <c r="CM24" s="185" t="str">
        <f>IF(Tim!CN26=FIT!$E$1,Tim!CN26,"")</f>
        <v/>
      </c>
      <c r="CN24" s="185" t="str">
        <f>IF(Tim!CO26=FIT!$E$1,Tim!CO26,"")</f>
        <v/>
      </c>
      <c r="CO24" s="185" t="str">
        <f>IF(Tim!CP26=FIT!$E$1,Tim!CP26,"")</f>
        <v/>
      </c>
      <c r="CP24" s="185" t="str">
        <f>IF(Tim!CQ26=FIT!$E$1,Tim!CQ26,"")</f>
        <v/>
      </c>
      <c r="CQ24" s="185" t="str">
        <f>IF(Tim!CR26=FIT!$E$1,Tim!CR26,"")</f>
        <v/>
      </c>
      <c r="CR24" s="185" t="str">
        <f>IF(Tim!CS26=FIT!$E$1,Tim!CS26,"")</f>
        <v/>
      </c>
      <c r="CS24" s="185" t="str">
        <f>IF(Tim!CT26=FIT!$E$1,Tim!CT26,"")</f>
        <v/>
      </c>
      <c r="CT24" s="185" t="str">
        <f>IF(Tim!CU26=FIT!$E$1,Tim!CU26,"")</f>
        <v/>
      </c>
      <c r="CU24" s="185" t="str">
        <f>IF(Tim!CV26=FIT!$E$1,Tim!CV26,"")</f>
        <v/>
      </c>
      <c r="CV24" s="185" t="str">
        <f>IF(Tim!CW26=FIT!$E$1,Tim!CW26,"")</f>
        <v/>
      </c>
      <c r="CW24" s="185" t="str">
        <f>IF(Tim!CX26=FIT!$E$1,Tim!CX26,"")</f>
        <v/>
      </c>
      <c r="CX24" s="185" t="str">
        <f>IF(Tim!CY26=FIT!$E$1,Tim!CY26,"")</f>
        <v/>
      </c>
      <c r="CY24" s="185" t="str">
        <f>IF(Tim!CZ26=FIT!$E$1,Tim!CZ26,"")</f>
        <v/>
      </c>
      <c r="CZ24" s="185" t="str">
        <f>IF(Tim!DA26=FIT!$E$1,Tim!DA26,"")</f>
        <v/>
      </c>
      <c r="DA24" s="185" t="str">
        <f>IF(Tim!DB26=FIT!$E$1,Tim!DB26,"")</f>
        <v/>
      </c>
      <c r="DB24" s="185" t="str">
        <f>IF(Tim!DC26=FIT!$E$1,Tim!DC26,"")</f>
        <v/>
      </c>
      <c r="DC24" s="185" t="str">
        <f>IF(Tim!DD26=FIT!$E$1,Tim!DD26,"")</f>
        <v/>
      </c>
      <c r="DD24" s="185" t="str">
        <f>IF(Tim!DE26=FIT!$E$1,Tim!DE26,"")</f>
        <v/>
      </c>
      <c r="DE24" s="185" t="str">
        <f>IF(Tim!DF26=FIT!$E$1,Tim!DF26,"")</f>
        <v/>
      </c>
      <c r="DF24" s="185" t="str">
        <f>IF(Tim!DG26=FIT!$E$1,Tim!DG26,"")</f>
        <v/>
      </c>
      <c r="DG24" s="185" t="str">
        <f>IF(Tim!DH26=FIT!$E$1,Tim!DH26,"")</f>
        <v/>
      </c>
      <c r="DH24" s="185" t="str">
        <f>IF(Tim!DI25=FIT!$E$1,Tim!DI25,"")</f>
        <v/>
      </c>
      <c r="DI24" s="185" t="str">
        <f>IF(Tim!DM26=FIT!$E$1,Tim!DM26,"")</f>
        <v/>
      </c>
      <c r="DJ24" s="185" t="str">
        <f>IF(Tim!DN26=FIT!$E$1,Tim!DN26,"")</f>
        <v/>
      </c>
      <c r="DK24" s="185" t="str">
        <f>IF(Tim!DO26=FIT!$E$1,Tim!DO26,"")</f>
        <v/>
      </c>
      <c r="DL24" s="185" t="str">
        <f>IF(Tim!DP26=FIT!$E$1,Tim!DP26,"")</f>
        <v/>
      </c>
      <c r="DM24" s="185" t="str">
        <f>IF(Tim!DQ26=FIT!$E$1,Tim!DQ26,"")</f>
        <v/>
      </c>
      <c r="DN24" s="185" t="str">
        <f>IF(Tim!DR26=FIT!$E$1,Tim!DR26,"")</f>
        <v/>
      </c>
      <c r="DO24" s="185" t="str">
        <f>IF(Tim!DS26=FIT!$E$1,Tim!DS26,"")</f>
        <v/>
      </c>
      <c r="DP24" s="185" t="str">
        <f>IF(Tim!DT26=FIT!$E$1,Tim!DT26,"")</f>
        <v/>
      </c>
      <c r="DQ24" s="185" t="str">
        <f>IF(Tim!DU26=FIT!$E$1,Tim!DU26,"")</f>
        <v/>
      </c>
      <c r="DR24" s="185" t="str">
        <f>IF(Tim!DV26=FIT!$E$1,Tim!DV26,"")</f>
        <v/>
      </c>
      <c r="DS24" s="185" t="str">
        <f>IF(Tim!DW26=FIT!$E$1,Tim!DW26,"")</f>
        <v/>
      </c>
      <c r="DT24" s="185" t="str">
        <f>IF(Tim!DX26=FIT!$E$1,Tim!DX26,"")</f>
        <v/>
      </c>
      <c r="DU24" s="185" t="str">
        <f>IF(Tim!DY26=FIT!$E$1,Tim!DY26,"")</f>
        <v/>
      </c>
      <c r="DV24" s="185" t="str">
        <f>IF(Tim!DZ26=FIT!$E$1,Tim!DZ26,"")</f>
        <v/>
      </c>
      <c r="DW24" s="185" t="str">
        <f>IF(Tim!EA26=FIT!$E$1,Tim!EA26,"")</f>
        <v/>
      </c>
      <c r="DX24" s="185" t="str">
        <f>IF(Tim!EB26=FIT!$E$1,Tim!EB26,"")</f>
        <v/>
      </c>
      <c r="DY24" s="185" t="str">
        <f>IF(Tim!EC26=FIT!$E$1,Tim!EC26,"")</f>
        <v/>
      </c>
      <c r="DZ24" s="185" t="str">
        <f>IF(Tim!ED26=FIT!$E$1,Tim!ED26,"")</f>
        <v/>
      </c>
      <c r="EA24" s="185" t="str">
        <f>IF(Tim!EE26=FIT!$E$1,Tim!EE26,"")</f>
        <v/>
      </c>
      <c r="EB24" s="185" t="str">
        <f>IF(Tim!EF26=FIT!$E$1,Tim!EF26,"")</f>
        <v/>
      </c>
      <c r="EC24" s="185" t="str">
        <f>IF(Tim!EG26=FIT!$E$1,Tim!EG26,"")</f>
        <v/>
      </c>
      <c r="ED24" s="185" t="str">
        <f>IF(Tim!EH26=FIT!$E$1,Tim!EH26,"")</f>
        <v/>
      </c>
      <c r="EE24" s="185" t="str">
        <f>IF(Tim!EI26=FIT!$E$1,Tim!EI26,"")</f>
        <v/>
      </c>
      <c r="EF24" s="185" t="str">
        <f>IF(Tim!EJ26=FIT!$E$1,Tim!EJ26,"")</f>
        <v/>
      </c>
      <c r="EG24" s="185" t="str">
        <f>IF(Tim!EK26=FIT!$E$1,Tim!EK26,"")</f>
        <v/>
      </c>
      <c r="EH24" s="185" t="str">
        <f>IF(Tim!EL26=FIT!$E$1,Tim!EL26,"")</f>
        <v/>
      </c>
      <c r="EI24" s="185" t="str">
        <f>IF(Tim!EM26=FIT!$E$1,Tim!EM26,"")</f>
        <v/>
      </c>
      <c r="EJ24" s="185" t="str">
        <f>IF(Tim!EN26=FIT!$E$1,Tim!EN26,"")</f>
        <v/>
      </c>
      <c r="EK24" s="185" t="str">
        <f>IF(Tim!EO26=FIT!$E$1,Tim!EO26,"")</f>
        <v/>
      </c>
      <c r="EL24" s="185" t="str">
        <f>IF(Tim!EP26=FIT!$E$1,Tim!EP26,"")</f>
        <v/>
      </c>
      <c r="EM24" s="185" t="str">
        <f>IF(Tim!EQ26=FIT!$E$1,Tim!EQ26,"")</f>
        <v/>
      </c>
      <c r="EN24" s="185" t="str">
        <f>IF(Tim!ER26=FIT!$E$1,Tim!ER26,"")</f>
        <v/>
      </c>
      <c r="EO24" s="185" t="str">
        <f>IF(Tim!ES26=FIT!$E$1,Tim!ES26,"")</f>
        <v/>
      </c>
      <c r="EP24" s="185" t="str">
        <f>IF(Tim!ET26=FIT!$E$1,Tim!ET26,"")</f>
        <v/>
      </c>
      <c r="EQ24" s="185" t="str">
        <f>IF(Tim!EU26=FIT!$E$1,Tim!EU26,"")</f>
        <v/>
      </c>
      <c r="ER24" s="185" t="str">
        <f>IF(Tim!EV26=FIT!$E$1,Tim!EV26,"")</f>
        <v/>
      </c>
      <c r="ES24" s="185" t="str">
        <f>IF(Tim!EW26=FIT!$E$1,Tim!EW26,"")</f>
        <v/>
      </c>
      <c r="ET24" s="185" t="str">
        <f>IF(Tim!EX26=FIT!$E$1,Tim!EX26,"")</f>
        <v/>
      </c>
      <c r="EU24" s="185" t="str">
        <f>IF(Tim!EY26=FIT!$E$1,Tim!EY26,"")</f>
        <v/>
      </c>
      <c r="EV24" s="185" t="str">
        <f>IF(Tim!EZ26=FIT!$E$1,Tim!EZ26,"")</f>
        <v/>
      </c>
      <c r="EW24" s="185" t="str">
        <f>IF(Tim!FA26=FIT!$E$1,Tim!FA26,"")</f>
        <v/>
      </c>
      <c r="EX24" s="185" t="str">
        <f>IF(Tim!FB26=FIT!$E$1,Tim!FB26,"")</f>
        <v/>
      </c>
      <c r="EY24" s="185" t="str">
        <f>IF(Tim!FC26=FIT!$E$1,Tim!FC26,"")</f>
        <v/>
      </c>
      <c r="EZ24" s="185" t="str">
        <f>IF(Tim!FD26=FIT!$E$1,Tim!FD26,"")</f>
        <v/>
      </c>
      <c r="FA24" s="185" t="str">
        <f>IF(Tim!FE26=FIT!$E$1,Tim!FE26,"")</f>
        <v/>
      </c>
      <c r="FB24" s="185" t="str">
        <f>IF(Tim!FF26=FIT!$E$1,Tim!FF26,"")</f>
        <v/>
      </c>
      <c r="FC24" s="185" t="str">
        <f>IF(Tim!FG26=FIT!$E$1,Tim!FG26,"")</f>
        <v/>
      </c>
      <c r="FD24" s="185" t="str">
        <f>IF(Tim!FH26=FIT!$E$1,Tim!FH26,"")</f>
        <v/>
      </c>
      <c r="FE24" s="185" t="str">
        <f>IF(Tim!FI26=FIT!$E$1,Tim!FI26,"")</f>
        <v/>
      </c>
      <c r="FF24" s="185" t="str">
        <f>IF(Tim!FJ26=FIT!$E$1,Tim!FJ26,"")</f>
        <v/>
      </c>
      <c r="FG24" s="185" t="str">
        <f>IF(Tim!FK26=FIT!$E$1,Tim!FK26,"")</f>
        <v/>
      </c>
      <c r="FH24" s="185" t="str">
        <f>IF(Tim!FL26=FIT!$E$1,Tim!FL26,"")</f>
        <v/>
      </c>
      <c r="FI24" s="185" t="str">
        <f>IF(Tim!FM26=FIT!$E$1,Tim!FM26,"")</f>
        <v/>
      </c>
      <c r="FJ24" s="185" t="str">
        <f>IF(Tim!FN26=FIT!$E$1,Tim!FN26,"")</f>
        <v/>
      </c>
      <c r="FK24" s="185" t="str">
        <f>IF(Tim!FO26=FIT!$E$1,Tim!FO26,"")</f>
        <v/>
      </c>
      <c r="FL24" s="185" t="str">
        <f>IF(Tim!FP26=FIT!$E$1,Tim!FP26,"")</f>
        <v/>
      </c>
      <c r="FM24" s="185" t="str">
        <f>IF(Tim!FQ26=FIT!$E$1,Tim!FQ26,"")</f>
        <v/>
      </c>
      <c r="FN24" s="185" t="str">
        <f>IF(Tim!FR26=FIT!$E$1,Tim!FR26,"")</f>
        <v/>
      </c>
      <c r="FO24" s="185" t="str">
        <f>IF(Tim!FS26=FIT!$E$1,Tim!FS26,"")</f>
        <v/>
      </c>
      <c r="FP24" s="185" t="str">
        <f>IF(Tim!FT26=FIT!$E$1,Tim!FT26,"")</f>
        <v/>
      </c>
      <c r="FQ24" s="185" t="str">
        <f>IF(Tim!FU26=FIT!$E$1,Tim!FU26,"")</f>
        <v/>
      </c>
      <c r="FR24" s="185" t="str">
        <f>IF(Tim!FV26=FIT!$E$1,Tim!FV26,"")</f>
        <v/>
      </c>
      <c r="FS24" s="185" t="str">
        <f>IF(Tim!FW26=FIT!$E$1,Tim!FW26,"")</f>
        <v/>
      </c>
      <c r="FT24" s="185" t="str">
        <f>IF(Tim!FX26=FIT!$E$1,Tim!FX26,"")</f>
        <v/>
      </c>
      <c r="FU24" s="185" t="str">
        <f>IF(Tim!FY26=FIT!$E$1,Tim!FY26,"")</f>
        <v/>
      </c>
      <c r="FV24" s="185" t="str">
        <f>IF(Tim!FZ26=FIT!$E$1,Tim!FZ26,"")</f>
        <v/>
      </c>
      <c r="FW24" s="185" t="str">
        <f>IF(Tim!GA26=FIT!$E$1,Tim!GA26,"")</f>
        <v/>
      </c>
      <c r="FX24" s="185" t="str">
        <f>IF(Tim!GB26=FIT!$E$1,Tim!GB26,"")</f>
        <v/>
      </c>
      <c r="FY24" s="185" t="str">
        <f>IF(Tim!GC26=FIT!$E$1,Tim!GC26,"")</f>
        <v/>
      </c>
      <c r="FZ24" s="185" t="str">
        <f>IF(Tim!GD26=FIT!$E$1,Tim!GD26,"")</f>
        <v/>
      </c>
      <c r="GA24" s="185" t="str">
        <f>IF(Tim!GE26=FIT!$E$1,Tim!GE26,"")</f>
        <v/>
      </c>
      <c r="GB24" s="185" t="str">
        <f>IF(Tim!GF26=FIT!$E$1,Tim!GF26,"")</f>
        <v/>
      </c>
      <c r="GC24" s="185" t="str">
        <f>IF(Tim!GG26=FIT!$E$1,Tim!GG26,"")</f>
        <v/>
      </c>
      <c r="GD24" s="185" t="str">
        <f>IF(Tim!GH26=FIT!$E$1,Tim!GH26,"")</f>
        <v/>
      </c>
      <c r="GE24" s="185" t="str">
        <f>IF(Tim!GI26=FIT!$E$1,Tim!GI26,"")</f>
        <v/>
      </c>
      <c r="GF24" s="185" t="str">
        <f>IF(Tim!GJ26=FIT!$E$1,Tim!GJ26,"")</f>
        <v/>
      </c>
      <c r="GG24" s="185" t="str">
        <f>IF(Tim!GK26=FIT!$E$1,Tim!GK26,"")</f>
        <v/>
      </c>
      <c r="GH24" s="185" t="str">
        <f>IF(Tim!GL26=FIT!$E$1,Tim!GL26,"")</f>
        <v/>
      </c>
      <c r="GI24" s="185" t="str">
        <f>IF(Tim!GM26=FIT!$E$1,Tim!GM26,"")</f>
        <v/>
      </c>
      <c r="GJ24" s="185" t="str">
        <f>IF(Tim!GN26=FIT!$E$1,Tim!GN26,"")</f>
        <v/>
      </c>
      <c r="GK24" s="185" t="str">
        <f>IF(Tim!GO26=FIT!$E$1,Tim!GO26,"")</f>
        <v/>
      </c>
      <c r="GL24" s="185" t="str">
        <f>IF(Tim!GP26=FIT!$E$1,Tim!GP26,"")</f>
        <v/>
      </c>
      <c r="GM24" s="185" t="str">
        <f>IF(Tim!GQ26=FIT!$E$1,Tim!GQ26,"")</f>
        <v/>
      </c>
      <c r="GN24" s="185" t="str">
        <f>IF(Tim!GR26=FIT!$E$1,Tim!GR26,"")</f>
        <v/>
      </c>
      <c r="GO24" s="185" t="str">
        <f>IF(Tim!GS26=FIT!$E$1,Tim!GS26,"")</f>
        <v/>
      </c>
      <c r="GP24" s="185" t="str">
        <f>IF(Tim!GT26=FIT!$E$1,Tim!GT26,"")</f>
        <v/>
      </c>
      <c r="GQ24" s="185" t="str">
        <f>IF(Tim!GU26=FIT!$E$1,Tim!GU26,"")</f>
        <v/>
      </c>
      <c r="GR24" s="185" t="str">
        <f>IF(Tim!GV26=FIT!$E$1,Tim!GV26,"")</f>
        <v/>
      </c>
      <c r="GS24" s="185" t="str">
        <f>IF(Tim!GW26=FIT!$E$1,Tim!GW26,"")</f>
        <v/>
      </c>
      <c r="GT24" s="185" t="str">
        <f>IF(Tim!GX26=FIT!$E$1,Tim!GX26,"")</f>
        <v/>
      </c>
      <c r="GU24" s="185" t="str">
        <f>IF(Tim!GY26=FIT!$E$1,Tim!GY26,"")</f>
        <v/>
      </c>
      <c r="GV24" s="185" t="str">
        <f>IF(Tim!GZ26=FIT!$E$1,Tim!GZ26,"")</f>
        <v/>
      </c>
      <c r="GW24" s="185" t="str">
        <f>IF(Tim!HA26=FIT!$E$1,Tim!HA26,"")</f>
        <v/>
      </c>
      <c r="GX24" s="185" t="str">
        <f>IF(Tim!HB26=FIT!$E$1,Tim!HB26,"")</f>
        <v/>
      </c>
      <c r="GY24" s="185" t="str">
        <f>IF(Tim!HC26=FIT!$E$1,Tim!HC26,"")</f>
        <v/>
      </c>
      <c r="GZ24" s="185" t="str">
        <f>IF(Tim!HD26=FIT!$E$1,Tim!HD26,"")</f>
        <v/>
      </c>
      <c r="HA24" s="185" t="str">
        <f>IF(Tim!HE26=FIT!$E$1,Tim!HE26,"")</f>
        <v/>
      </c>
      <c r="HB24" s="185" t="str">
        <f>IF(Tim!HF26=FIT!$E$1,Tim!HF26,"")</f>
        <v/>
      </c>
      <c r="HC24" s="185" t="str">
        <f>IF(Tim!HG26=FIT!$E$1,Tim!HG26,"")</f>
        <v/>
      </c>
      <c r="HD24" s="185" t="str">
        <f>IF(Tim!HH26=FIT!$E$1,Tim!HH26,"")</f>
        <v/>
      </c>
      <c r="HE24" s="185" t="str">
        <f>IF(Tim!HI26=FIT!$E$1,Tim!HI26,"")</f>
        <v/>
      </c>
      <c r="HF24" s="185" t="str">
        <f>IF(Tim!HJ26=FIT!$E$1,Tim!HJ26,"")</f>
        <v/>
      </c>
      <c r="HG24" s="185" t="str">
        <f>IF(Tim!HK26=FIT!$E$1,Tim!HK26,"")</f>
        <v/>
      </c>
      <c r="HH24" s="185" t="str">
        <f>IF(Tim!HL26=FIT!$E$1,Tim!HL26,"")</f>
        <v/>
      </c>
      <c r="HI24" s="185" t="str">
        <f>IF(Tim!HM26=FIT!$E$1,Tim!HM26,"")</f>
        <v/>
      </c>
      <c r="HJ24" s="185" t="str">
        <f>IF(Tim!HN26=FIT!$E$1,Tim!HN26,"")</f>
        <v/>
      </c>
      <c r="HK24" s="185" t="str">
        <f>IF(Tim!HO26=FIT!$E$1,Tim!HO26,"")</f>
        <v/>
      </c>
      <c r="HL24" s="185" t="str">
        <f>IF(Tim!HP26=FIT!$E$1,Tim!HP26,"")</f>
        <v/>
      </c>
      <c r="HM24" s="185" t="str">
        <f>IF(Tim!HQ26=FIT!$E$1,Tim!HQ26,"")</f>
        <v/>
      </c>
      <c r="HN24" s="185" t="str">
        <f>IF(Tim!HR26=FIT!$E$1,Tim!HR26,"")</f>
        <v/>
      </c>
      <c r="HO24" s="185" t="str">
        <f>IF(Tim!HS26=FIT!$E$1,Tim!HS26,"")</f>
        <v/>
      </c>
      <c r="HP24" s="185" t="str">
        <f>IF(Tim!HT26=FIT!$E$1,Tim!HT26,"")</f>
        <v/>
      </c>
      <c r="HQ24" s="185" t="str">
        <f>IF(Tim!HU26=FIT!$E$1,Tim!HU26,"")</f>
        <v/>
      </c>
      <c r="HR24" s="185" t="str">
        <f>IF(Tim!HV26=FIT!$E$1,Tim!HV26,"")</f>
        <v/>
      </c>
      <c r="HS24" s="185" t="str">
        <f>IF(Tim!HW26=FIT!$E$1,Tim!HW26,"")</f>
        <v/>
      </c>
      <c r="HT24" s="185" t="str">
        <f>IF(Tim!HX26=FIT!$E$1,Tim!HX26,"")</f>
        <v/>
      </c>
      <c r="HU24" s="185" t="str">
        <f>IF(Tim!HY26=FIT!$E$1,Tim!HY26,"")</f>
        <v/>
      </c>
      <c r="HV24" s="185" t="str">
        <f>IF(Tim!HZ26=FIT!$E$1,Tim!HZ26,"")</f>
        <v/>
      </c>
      <c r="HW24" s="185" t="str">
        <f>IF(Tim!IA26=FIT!$E$1,Tim!IA26,"")</f>
        <v/>
      </c>
      <c r="HX24" s="185" t="str">
        <f>IF(Tim!IB26=FIT!$E$1,Tim!IB26,"")</f>
        <v/>
      </c>
      <c r="HY24" s="185" t="str">
        <f>IF(Tim!IC26=FIT!$E$1,Tim!IC26,"")</f>
        <v/>
      </c>
      <c r="HZ24" s="185" t="str">
        <f>IF(Tim!ID26=FIT!$E$1,Tim!ID26,"")</f>
        <v/>
      </c>
      <c r="IA24" s="185" t="str">
        <f>IF(Tim!IE26=FIT!$E$1,Tim!IE26,"")</f>
        <v/>
      </c>
      <c r="IB24" s="185" t="str">
        <f>IF(Tim!IF26=FIT!$E$1,Tim!IF26,"")</f>
        <v/>
      </c>
      <c r="IC24" s="185" t="str">
        <f>IF(Tim!IG26=FIT!$E$1,Tim!IG26,"")</f>
        <v/>
      </c>
      <c r="ID24" s="185" t="str">
        <f>IF(Tim!IH26=FIT!$E$1,Tim!IH26,"")</f>
        <v/>
      </c>
      <c r="IE24" s="185" t="str">
        <f>IF(Tim!II26=FIT!$E$1,Tim!II26,"")</f>
        <v/>
      </c>
      <c r="IF24" s="185" t="str">
        <f>IF(Tim!IJ26=FIT!$E$1,Tim!IJ26,"")</f>
        <v/>
      </c>
      <c r="IG24" s="185" t="str">
        <f>IF(Tim!IK26=FIT!$E$1,Tim!IK26,"")</f>
        <v/>
      </c>
      <c r="IH24" s="185" t="str">
        <f>IF(Tim!IL26=FIT!$E$1,Tim!IL26,"")</f>
        <v/>
      </c>
      <c r="II24" s="185" t="str">
        <f>IF(Tim!IM26=FIT!$E$1,Tim!IM26,"")</f>
        <v/>
      </c>
      <c r="IJ24" s="185" t="str">
        <f>IF(Tim!IN26=FIT!$E$1,Tim!IN26,"")</f>
        <v/>
      </c>
      <c r="IK24" s="185" t="str">
        <f>IF(Tim!IO26=FIT!$E$1,Tim!IO26,"")</f>
        <v/>
      </c>
      <c r="IL24" s="185" t="str">
        <f>IF(Tim!IP26=FIT!$E$1,Tim!IP26,"")</f>
        <v/>
      </c>
      <c r="IM24" s="185" t="str">
        <f>IF(Tim!IQ26=FIT!$E$1,Tim!IQ26,"")</f>
        <v/>
      </c>
      <c r="IN24" s="185" t="str">
        <f>IF(Tim!IR26=FIT!$E$1,Tim!IR26,"")</f>
        <v/>
      </c>
      <c r="IO24" s="185" t="str">
        <f>IF(Tim!IS26=FIT!$E$1,Tim!IS26,"")</f>
        <v/>
      </c>
      <c r="IP24" s="185" t="str">
        <f>IF(Tim!IT26=FIT!$E$1,Tim!IT26,"")</f>
        <v/>
      </c>
      <c r="IQ24" s="185" t="str">
        <f>IF(Tim!IU26=FIT!$E$1,Tim!IU26,"")</f>
        <v/>
      </c>
      <c r="IR24" s="185" t="str">
        <f>IF(Tim!IV26=FIT!$E$1,Tim!IV26,"")</f>
        <v/>
      </c>
      <c r="IS24" s="185" t="str">
        <f>IF(Tim!IW26=FIT!$E$1,Tim!IW26,"")</f>
        <v/>
      </c>
      <c r="IT24" s="185" t="str">
        <f>IF(Tim!IX26=FIT!$E$1,Tim!IX26,"")</f>
        <v/>
      </c>
      <c r="IU24" s="185" t="str">
        <f>IF(Tim!IY26=FIT!$E$1,Tim!IY26,"")</f>
        <v/>
      </c>
      <c r="IV24" s="185" t="str">
        <f>IF(Tim!IZ26=FIT!$E$1,Tim!IZ26,"")</f>
        <v/>
      </c>
      <c r="IW24" s="185" t="str">
        <f>IF(Tim!JA26=FIT!$E$1,Tim!JA26,"")</f>
        <v/>
      </c>
      <c r="IX24" s="185" t="str">
        <f>IF(Tim!JB26=FIT!$E$1,Tim!JB26,"")</f>
        <v/>
      </c>
      <c r="IY24" s="185" t="str">
        <f>IF(Tim!JC26=FIT!$E$1,Tim!JC26,"")</f>
        <v/>
      </c>
      <c r="IZ24" s="185" t="str">
        <f>IF(Tim!JD26=FIT!$E$1,Tim!JD26,"")</f>
        <v/>
      </c>
      <c r="JA24" s="185" t="str">
        <f>IF(Tim!JE26=FIT!$E$1,Tim!JE26,"")</f>
        <v/>
      </c>
      <c r="JB24" s="185" t="str">
        <f>IF(Tim!JF26=FIT!$E$1,Tim!JF26,"")</f>
        <v/>
      </c>
      <c r="JC24" s="185" t="str">
        <f>IF(Tim!JG26=FIT!$E$1,Tim!JG26,"")</f>
        <v/>
      </c>
      <c r="JD24" s="185" t="str">
        <f>IF(Tim!JH26=FIT!$E$1,Tim!JH26,"")</f>
        <v/>
      </c>
      <c r="JE24" s="185" t="str">
        <f>IF(Tim!JI26=FIT!$E$1,Tim!JI26,"")</f>
        <v/>
      </c>
      <c r="JF24" s="185" t="str">
        <f>IF(Tim!JJ26=FIT!$E$1,Tim!JJ26,"")</f>
        <v/>
      </c>
      <c r="JG24" s="185" t="str">
        <f>IF(Tim!JK26=FIT!$E$1,Tim!JK26,"")</f>
        <v/>
      </c>
      <c r="JH24" s="185" t="str">
        <f>IF(Tim!JL26=FIT!$E$1,Tim!JL26,"")</f>
        <v/>
      </c>
      <c r="JI24" s="185" t="str">
        <f>IF(Tim!JM26=FIT!$E$1,Tim!JM26,"")</f>
        <v/>
      </c>
      <c r="JJ24" s="185" t="str">
        <f>IF(Tim!JN26=FIT!$E$1,Tim!JN26,"")</f>
        <v/>
      </c>
      <c r="JK24" s="185" t="str">
        <f>IF(Tim!JO26=FIT!$E$1,Tim!JO26,"")</f>
        <v/>
      </c>
      <c r="JL24" s="185" t="str">
        <f>IF(Tim!JP26=FIT!$E$1,Tim!JP26,"")</f>
        <v/>
      </c>
      <c r="JM24" s="185" t="str">
        <f>IF(Tim!JQ26=FIT!$E$1,Tim!JQ26,"")</f>
        <v/>
      </c>
      <c r="JN24" s="185" t="str">
        <f>IF(Tim!JR26=FIT!$E$1,Tim!JR26,"")</f>
        <v/>
      </c>
      <c r="JO24" s="185" t="str">
        <f>IF(Tim!JS26=FIT!$E$1,Tim!JS26,"")</f>
        <v/>
      </c>
      <c r="JP24" s="185" t="str">
        <f>IF(Tim!JT26=FIT!$E$1,Tim!JT26,"")</f>
        <v/>
      </c>
      <c r="JQ24" s="185" t="str">
        <f>IF(Tim!JU26=FIT!$E$1,Tim!JU26,"")</f>
        <v/>
      </c>
      <c r="JR24" s="185" t="str">
        <f>IF(Tim!JV26=FIT!$E$1,Tim!JV26,"")</f>
        <v/>
      </c>
      <c r="JS24" s="185" t="str">
        <f>IF(Tim!JW26=FIT!$E$1,Tim!JW26,"")</f>
        <v/>
      </c>
      <c r="JT24" s="185" t="str">
        <f>IF(Tim!JX26=FIT!$E$1,Tim!JX26,"")</f>
        <v/>
      </c>
      <c r="JU24" s="185" t="str">
        <f>IF(Tim!JY26=FIT!$E$1,Tim!JY26,"")</f>
        <v/>
      </c>
      <c r="JV24" s="185" t="str">
        <f>IF(Tim!JZ26=FIT!$E$1,Tim!JZ26,"")</f>
        <v/>
      </c>
      <c r="JW24" s="185" t="str">
        <f>IF(Tim!KA26=FIT!$E$1,Tim!KA26,"")</f>
        <v/>
      </c>
      <c r="JX24" s="185" t="str">
        <f>IF(Tim!KB26=FIT!$E$1,Tim!KB26,"")</f>
        <v/>
      </c>
      <c r="JY24" s="185" t="str">
        <f>IF(Tim!KC26=FIT!$E$1,Tim!KC26,"")</f>
        <v/>
      </c>
      <c r="JZ24" s="185" t="str">
        <f>IF(Tim!KD26=FIT!$E$1,Tim!KD26,"")</f>
        <v/>
      </c>
      <c r="KA24" s="185" t="str">
        <f>IF(Tim!KE26=FIT!$E$1,Tim!KE26,"")</f>
        <v/>
      </c>
      <c r="KB24" s="185" t="str">
        <f>IF(Tim!KF26=FIT!$E$1,Tim!KF26,"")</f>
        <v/>
      </c>
      <c r="KC24" s="185" t="str">
        <f>IF(Tim!KG26=FIT!$E$1,Tim!KG26,"")</f>
        <v/>
      </c>
      <c r="KD24" s="185" t="str">
        <f>IF(Tim!KH26=FIT!$E$1,Tim!KH26,"")</f>
        <v/>
      </c>
      <c r="KE24" s="185" t="str">
        <f>IF(Tim!KI26=FIT!$E$1,Tim!KI26,"")</f>
        <v/>
      </c>
      <c r="KF24" s="185" t="str">
        <f>IF(Tim!KJ26=FIT!$E$1,Tim!KJ26,"")</f>
        <v/>
      </c>
      <c r="KG24" s="185" t="str">
        <f>IF(Tim!KK26=FIT!$E$1,Tim!KK26,"")</f>
        <v/>
      </c>
      <c r="KH24" s="185" t="str">
        <f>IF(Tim!KL26=FIT!$E$1,Tim!KL26,"")</f>
        <v/>
      </c>
      <c r="KI24" s="185" t="str">
        <f>IF(Tim!KM26=FIT!$E$1,Tim!KM26,"")</f>
        <v/>
      </c>
      <c r="KJ24" s="185" t="str">
        <f>IF(Tim!KN26=FIT!$E$1,Tim!KN26,"")</f>
        <v/>
      </c>
      <c r="KK24" s="185" t="str">
        <f>IF(Tim!KO26=FIT!$E$1,Tim!KO26,"")</f>
        <v/>
      </c>
      <c r="KL24" s="185" t="str">
        <f>IF(Tim!KP26=FIT!$E$1,Tim!KP26,"")</f>
        <v/>
      </c>
      <c r="KM24" s="185" t="str">
        <f>IF(Tim!KQ26=FIT!$E$1,Tim!KQ26,"")</f>
        <v/>
      </c>
      <c r="KN24" s="185" t="str">
        <f>IF(Tim!KR26=FIT!$E$1,Tim!KR26,"")</f>
        <v/>
      </c>
      <c r="KO24" s="185" t="str">
        <f>IF(Tim!KS26=FIT!$E$1,Tim!KS26,"")</f>
        <v/>
      </c>
      <c r="KP24" s="185" t="str">
        <f>IF(Tim!KT26=FIT!$E$1,Tim!KT26,"")</f>
        <v/>
      </c>
      <c r="KQ24" s="185" t="str">
        <f>IF(Tim!KU26=FIT!$E$1,Tim!KU26,"")</f>
        <v/>
      </c>
      <c r="KR24" s="185" t="str">
        <f>IF(Tim!KV26=FIT!$E$1,Tim!KV26,"")</f>
        <v/>
      </c>
      <c r="KS24" s="185" t="str">
        <f>IF(Tim!KW26=FIT!$E$1,Tim!KW26,"")</f>
        <v/>
      </c>
      <c r="KT24" s="185" t="str">
        <f>IF(Tim!KX26=FIT!$E$1,Tim!KX26,"")</f>
        <v/>
      </c>
      <c r="KU24" s="185" t="str">
        <f>IF(Tim!KY26=FIT!$E$1,Tim!KY26,"")</f>
        <v/>
      </c>
      <c r="KV24" s="185" t="str">
        <f>IF(Tim!KZ26=FIT!$E$1,Tim!KZ26,"")</f>
        <v/>
      </c>
      <c r="KW24" s="185" t="str">
        <f>IF(Tim!LA26=FIT!$E$1,Tim!LA26,"")</f>
        <v/>
      </c>
      <c r="KX24" s="185" t="str">
        <f>IF(Tim!LB26=FIT!$E$1,Tim!LB26,"")</f>
        <v/>
      </c>
      <c r="KY24" s="185" t="str">
        <f>IF(Tim!LC26=FIT!$E$1,Tim!LC26,"")</f>
        <v/>
      </c>
      <c r="KZ24" s="185" t="str">
        <f>IF(Tim!LD26=FIT!$E$1,Tim!LD26,"")</f>
        <v/>
      </c>
      <c r="LA24" s="185" t="str">
        <f>IF(Tim!LE26=FIT!$E$1,Tim!LE26,"")</f>
        <v/>
      </c>
      <c r="LB24" s="52">
        <v>0.48958333333333298</v>
      </c>
    </row>
    <row r="25" spans="2:314" ht="10.5" customHeight="1">
      <c r="B25" s="49">
        <v>0.25</v>
      </c>
      <c r="C25" s="49">
        <v>0.25</v>
      </c>
      <c r="D25" s="49">
        <v>0.25</v>
      </c>
      <c r="E25" s="172">
        <v>0.5</v>
      </c>
      <c r="F25" s="238" t="str">
        <f>IF(Tim!F27=FIT!$E$1,Tim!F27,"")</f>
        <v/>
      </c>
      <c r="G25" s="185" t="str">
        <f>IF(Tim!G27=FIT!$E$1,Tim!G27,"")</f>
        <v/>
      </c>
      <c r="H25" s="185" t="str">
        <f>IF(Tim!H27=FIT!$E$1,Tim!H27,"")</f>
        <v/>
      </c>
      <c r="I25" s="185" t="str">
        <f>IF(Tim!I27=FIT!$E$1,Tim!I27,"")</f>
        <v/>
      </c>
      <c r="J25" s="185" t="str">
        <f>IF(Tim!J27=FIT!$E$1,Tim!J27,"")</f>
        <v/>
      </c>
      <c r="K25" s="185" t="str">
        <f>IF(Tim!K27=FIT!$E$1,Tim!K27,"")</f>
        <v/>
      </c>
      <c r="L25" s="185" t="str">
        <f>IF(Tim!L27=FIT!$E$1,Tim!L27,"")</f>
        <v/>
      </c>
      <c r="M25" s="185" t="str">
        <f>IF(Tim!M27=FIT!$E$1,Tim!M27,"")</f>
        <v/>
      </c>
      <c r="N25" s="185" t="str">
        <f>IF(Tim!N27=FIT!$E$1,Tim!N27,"")</f>
        <v/>
      </c>
      <c r="O25" s="185" t="str">
        <f>IF(Tim!O27=FIT!$E$1,Tim!O27,"")</f>
        <v/>
      </c>
      <c r="P25" s="185" t="str">
        <f>IF(Tim!P27=FIT!$E$1,Tim!P27,"")</f>
        <v/>
      </c>
      <c r="Q25" s="185" t="str">
        <f>IF(Tim!Q27=FIT!$E$1,Tim!Q27,"")</f>
        <v/>
      </c>
      <c r="R25" s="185" t="str">
        <f>IF(Tim!R27=FIT!$E$1,Tim!R27,"")</f>
        <v/>
      </c>
      <c r="S25" s="185" t="str">
        <f>IF(Tim!S27=FIT!$E$1,Tim!S27,"")</f>
        <v/>
      </c>
      <c r="T25" s="185" t="str">
        <f>IF(Tim!T27=FIT!$E$1,Tim!T27,"")</f>
        <v/>
      </c>
      <c r="U25" s="185" t="str">
        <f>IF(Tim!U27=FIT!$E$1,Tim!U27,"")</f>
        <v/>
      </c>
      <c r="V25" s="185" t="str">
        <f>IF(Tim!W27=FIT!$E$1,Tim!W27,"")</f>
        <v/>
      </c>
      <c r="W25" s="185" t="str">
        <f>IF(Tim!X27=FIT!$E$1,Tim!X27,"")</f>
        <v/>
      </c>
      <c r="X25" s="185" t="str">
        <f>IF(Tim!Y27=FIT!$E$1,Tim!Y27,"")</f>
        <v/>
      </c>
      <c r="Y25" s="185" t="str">
        <f>IF(Tim!Z27=FIT!$E$1,Tim!Z27,"")</f>
        <v/>
      </c>
      <c r="Z25" s="185" t="str">
        <f>IF(Tim!AA27=FIT!$E$1,Tim!AA27,"")</f>
        <v/>
      </c>
      <c r="AA25" s="185" t="str">
        <f>IF(Tim!AB27=FIT!$E$1,Tim!AB27,"")</f>
        <v/>
      </c>
      <c r="AB25" s="185" t="str">
        <f>IF(Tim!AC27=FIT!$E$1,Tim!AC27,"")</f>
        <v/>
      </c>
      <c r="AC25" s="185" t="str">
        <f>IF(Tim!AD27=FIT!$E$1,Tim!AD27,"")</f>
        <v/>
      </c>
      <c r="AD25" s="185" t="str">
        <f>IF(Tim!AE27=FIT!$E$1,Tim!AE27,"")</f>
        <v/>
      </c>
      <c r="AE25" s="185" t="str">
        <f>IF(Tim!AF27=FIT!$E$1,Tim!AF27,"")</f>
        <v/>
      </c>
      <c r="AF25" s="185" t="str">
        <f>IF(Tim!AG27=FIT!$E$1,Tim!AG27,"")</f>
        <v/>
      </c>
      <c r="AG25" s="185" t="str">
        <f>IF(Tim!AH27=FIT!$E$1,Tim!AH27,"")</f>
        <v/>
      </c>
      <c r="AH25" s="185" t="str">
        <f>IF(Tim!AI27=FIT!$E$1,Tim!AI27,"")</f>
        <v/>
      </c>
      <c r="AI25" s="185" t="str">
        <f>IF(Tim!AJ27=FIT!$E$1,Tim!AJ27,"")</f>
        <v/>
      </c>
      <c r="AJ25" s="185" t="str">
        <f>IF(Tim!AK27=FIT!$E$1,Tim!AK27,"")</f>
        <v/>
      </c>
      <c r="AK25" s="185" t="str">
        <f>IF(Tim!AL27=FIT!$E$1,Tim!AL27,"")</f>
        <v/>
      </c>
      <c r="AL25" s="185" t="str">
        <f>IF(Tim!AM27=FIT!$E$1,Tim!AM27,"")</f>
        <v/>
      </c>
      <c r="AM25" s="185" t="str">
        <f>IF(Tim!AN27=FIT!$E$1,Tim!AN27,"")</f>
        <v/>
      </c>
      <c r="AN25" s="185" t="str">
        <f>IF(Tim!AO27=FIT!$E$1,Tim!AO27,"")</f>
        <v/>
      </c>
      <c r="AO25" s="185" t="str">
        <f>IF(Tim!AP27=FIT!$E$1,Tim!AP27,"")</f>
        <v/>
      </c>
      <c r="AP25" s="185" t="str">
        <f>IF(Tim!AQ27=FIT!$E$1,Tim!AQ27,"")</f>
        <v/>
      </c>
      <c r="AQ25" s="185" t="str">
        <f>IF(Tim!AR27=FIT!$E$1,Tim!AR27,"")</f>
        <v/>
      </c>
      <c r="AR25" s="185" t="str">
        <f>IF(Tim!AS27=FIT!$E$1,Tim!AS27,"")</f>
        <v/>
      </c>
      <c r="AS25" s="185" t="str">
        <f>IF(Tim!AT27=FIT!$E$1,Tim!AT27,"")</f>
        <v/>
      </c>
      <c r="AT25" s="185" t="str">
        <f>IF(Tim!AU27=FIT!$E$1,Tim!AU27,"")</f>
        <v/>
      </c>
      <c r="AU25" s="185" t="str">
        <f>IF(Tim!AV27=FIT!$E$1,Tim!AV27,"")</f>
        <v/>
      </c>
      <c r="AV25" s="185" t="str">
        <f>IF(Tim!AW27=FIT!$E$1,Tim!AW27,"")</f>
        <v/>
      </c>
      <c r="AW25" s="186" t="str">
        <f>IF(Tim!AX27=FIT!$E$1,Tim!AX27,"")</f>
        <v/>
      </c>
      <c r="AX25" s="243" t="str">
        <f>IF(Tim!AY27=FIT!$E$1,Tim!AY27,"")</f>
        <v/>
      </c>
      <c r="AY25" s="185" t="str">
        <f>IF(Tim!AZ27=FIT!$E$1,Tim!AZ27,"")</f>
        <v/>
      </c>
      <c r="AZ25" s="185" t="str">
        <f>IF(Tim!BA27=FIT!$E$1,Tim!BA27,"")</f>
        <v/>
      </c>
      <c r="BA25" s="185" t="str">
        <f>IF(Tim!BB27=FIT!$E$1,Tim!BB27,"")</f>
        <v/>
      </c>
      <c r="BB25" s="185" t="str">
        <f>IF(Tim!BC27=FIT!$E$1,Tim!BC27,"")</f>
        <v/>
      </c>
      <c r="BC25" s="185" t="str">
        <f>IF(Tim!BD27=FIT!$E$1,Tim!BD27,"")</f>
        <v/>
      </c>
      <c r="BD25" s="185" t="str">
        <f>IF(Tim!BE27=FIT!$E$1,Tim!BE27,"")</f>
        <v/>
      </c>
      <c r="BE25" s="185" t="str">
        <f>IF(Tim!BF27=FIT!$E$1,Tim!BF27,"")</f>
        <v/>
      </c>
      <c r="BF25" s="185" t="str">
        <f>IF(Tim!BG27=FIT!$E$1,Tim!BG27,"")</f>
        <v/>
      </c>
      <c r="BG25" s="185" t="str">
        <f>IF(Tim!BH27=FIT!$E$1,Tim!BH27,"")</f>
        <v/>
      </c>
      <c r="BH25" s="185" t="str">
        <f>IF(Tim!BI27=FIT!$E$1,Tim!BI27,"")</f>
        <v/>
      </c>
      <c r="BI25" s="185" t="str">
        <f>IF(Tim!BJ27=FIT!$E$1,Tim!BJ27,"")</f>
        <v/>
      </c>
      <c r="BJ25" s="185" t="str">
        <f>IF(Tim!BK27=FIT!$E$1,Tim!BK27,"")</f>
        <v/>
      </c>
      <c r="BK25" s="185" t="str">
        <f>IF(Tim!BL27=FIT!$E$1,Tim!BL27,"")</f>
        <v/>
      </c>
      <c r="BL25" s="185" t="str">
        <f>IF(Tim!BM27=FIT!$E$1,Tim!BM27,"")</f>
        <v/>
      </c>
      <c r="BM25" s="185" t="str">
        <f>IF(Tim!BN27=FIT!$E$1,Tim!BN27,"")</f>
        <v/>
      </c>
      <c r="BN25" s="185" t="str">
        <f>IF(Tim!BO27=FIT!$E$1,Tim!BO27,"")</f>
        <v/>
      </c>
      <c r="BO25" s="185" t="str">
        <f>IF(Tim!BP27=FIT!$E$1,Tim!BP27,"")</f>
        <v/>
      </c>
      <c r="BP25" s="185" t="str">
        <f>IF(Tim!BQ27=FIT!$E$1,Tim!BQ27,"")</f>
        <v/>
      </c>
      <c r="BQ25" s="185" t="str">
        <f>IF(Tim!BR27=FIT!$E$1,Tim!BR27,"")</f>
        <v/>
      </c>
      <c r="BR25" s="185" t="str">
        <f>IF(Tim!BS27=FIT!$E$1,Tim!BS27,"")</f>
        <v/>
      </c>
      <c r="BS25" s="185" t="str">
        <f>IF(Tim!BT27=FIT!$E$1,Tim!BT27,"")</f>
        <v/>
      </c>
      <c r="BT25" s="185" t="str">
        <f>IF(Tim!BU27=FIT!$E$1,Tim!BU27,"")</f>
        <v/>
      </c>
      <c r="BU25" s="185" t="str">
        <f>IF(Tim!BV27=FIT!$E$1,Tim!BV27,"")</f>
        <v/>
      </c>
      <c r="BV25" s="185" t="str">
        <f>IF(Tim!BW27=FIT!$E$1,Tim!BW27,"")</f>
        <v/>
      </c>
      <c r="BW25" s="185" t="str">
        <f>IF(Tim!BX27=FIT!$E$1,Tim!BX27,"")</f>
        <v/>
      </c>
      <c r="BX25" s="185" t="str">
        <f>IF(Tim!BY27=FIT!$E$1,Tim!BY27,"")</f>
        <v/>
      </c>
      <c r="BY25" s="185" t="str">
        <f>IF(Tim!BZ27=FIT!$E$1,Tim!BZ27,"")</f>
        <v/>
      </c>
      <c r="BZ25" s="185" t="str">
        <f>IF(Tim!CA27=FIT!$E$1,Tim!CA27,"")</f>
        <v/>
      </c>
      <c r="CA25" s="185" t="str">
        <f>IF(Tim!CB27=FIT!$E$1,Tim!CB27,"")</f>
        <v/>
      </c>
      <c r="CB25" s="185" t="str">
        <f>IF(Tim!CC27=FIT!$E$1,Tim!CC27,"")</f>
        <v/>
      </c>
      <c r="CC25" s="185" t="str">
        <f>IF(Tim!CD27=FIT!$E$1,Tim!CD27,"")</f>
        <v/>
      </c>
      <c r="CD25" s="185" t="str">
        <f>IF(Tim!CE27=FIT!$E$1,Tim!CE27,"")</f>
        <v/>
      </c>
      <c r="CE25" s="185" t="str">
        <f>IF(Tim!CF27=FIT!$E$1,Tim!CF27,"")</f>
        <v/>
      </c>
      <c r="CF25" s="185" t="str">
        <f>IF(Tim!CG27=FIT!$E$1,Tim!CG27,"")</f>
        <v/>
      </c>
      <c r="CG25" s="185" t="str">
        <f>IF(Tim!CH27=FIT!$E$1,Tim!CH27,"")</f>
        <v/>
      </c>
      <c r="CH25" s="185" t="str">
        <f>IF(Tim!CI27=FIT!$E$1,Tim!CI27,"")</f>
        <v/>
      </c>
      <c r="CI25" s="185" t="str">
        <f>IF(Tim!CJ27=FIT!$E$1,Tim!CJ27,"")</f>
        <v/>
      </c>
      <c r="CJ25" s="185" t="str">
        <f>IF(Tim!CK27=FIT!$E$1,Tim!CK27,"")</f>
        <v/>
      </c>
      <c r="CK25" s="185" t="str">
        <f>IF(Tim!CL27=FIT!$E$1,Tim!CL27,"")</f>
        <v/>
      </c>
      <c r="CL25" s="185" t="str">
        <f>IF(Tim!CM27=FIT!$E$1,Tim!CM27,"")</f>
        <v/>
      </c>
      <c r="CM25" s="185" t="str">
        <f>IF(Tim!CN27=FIT!$E$1,Tim!CN27,"")</f>
        <v/>
      </c>
      <c r="CN25" s="185" t="str">
        <f>IF(Tim!CO27=FIT!$E$1,Tim!CO27,"")</f>
        <v/>
      </c>
      <c r="CO25" s="185" t="str">
        <f>IF(Tim!CP27=FIT!$E$1,Tim!CP27,"")</f>
        <v/>
      </c>
      <c r="CP25" s="185" t="str">
        <f>IF(Tim!CQ27=FIT!$E$1,Tim!CQ27,"")</f>
        <v/>
      </c>
      <c r="CQ25" s="185" t="str">
        <f>IF(Tim!CR27=FIT!$E$1,Tim!CR27,"")</f>
        <v/>
      </c>
      <c r="CR25" s="185" t="str">
        <f>IF(Tim!CS27=FIT!$E$1,Tim!CS27,"")</f>
        <v/>
      </c>
      <c r="CS25" s="185" t="str">
        <f>IF(Tim!CT27=FIT!$E$1,Tim!CT27,"")</f>
        <v/>
      </c>
      <c r="CT25" s="185" t="str">
        <f>IF(Tim!CU27=FIT!$E$1,Tim!CU27,"")</f>
        <v/>
      </c>
      <c r="CU25" s="185" t="str">
        <f>IF(Tim!CV27=FIT!$E$1,Tim!CV27,"")</f>
        <v/>
      </c>
      <c r="CV25" s="185" t="str">
        <f>IF(Tim!CW27=FIT!$E$1,Tim!CW27,"")</f>
        <v/>
      </c>
      <c r="CW25" s="185" t="str">
        <f>IF(Tim!CX27=FIT!$E$1,Tim!CX27,"")</f>
        <v/>
      </c>
      <c r="CX25" s="185" t="str">
        <f>IF(Tim!CY27=FIT!$E$1,Tim!CY27,"")</f>
        <v/>
      </c>
      <c r="CY25" s="185" t="str">
        <f>IF(Tim!CZ27=FIT!$E$1,Tim!CZ27,"")</f>
        <v/>
      </c>
      <c r="CZ25" s="185" t="str">
        <f>IF(Tim!DA27=FIT!$E$1,Tim!DA27,"")</f>
        <v/>
      </c>
      <c r="DA25" s="185" t="str">
        <f>IF(Tim!DB27=FIT!$E$1,Tim!DB27,"")</f>
        <v/>
      </c>
      <c r="DB25" s="185" t="str">
        <f>IF(Tim!DC27=FIT!$E$1,Tim!DC27,"")</f>
        <v/>
      </c>
      <c r="DC25" s="185" t="str">
        <f>IF(Tim!DD27=FIT!$E$1,Tim!DD27,"")</f>
        <v/>
      </c>
      <c r="DD25" s="185" t="str">
        <f>IF(Tim!DE27=FIT!$E$1,Tim!DE27,"")</f>
        <v/>
      </c>
      <c r="DE25" s="185" t="str">
        <f>IF(Tim!DF27=FIT!$E$1,Tim!DF27,"")</f>
        <v/>
      </c>
      <c r="DF25" s="185" t="str">
        <f>IF(Tim!DG27=FIT!$E$1,Tim!DG27,"")</f>
        <v/>
      </c>
      <c r="DG25" s="185" t="str">
        <f>IF(Tim!DH27=FIT!$E$1,Tim!DH27,"")</f>
        <v/>
      </c>
      <c r="DH25" s="185" t="str">
        <f>IF(Tim!DI27=FIT!$E$1,Tim!DI27,"")</f>
        <v/>
      </c>
      <c r="DI25" s="185" t="str">
        <f>IF(Tim!DM27=FIT!$E$1,Tim!DM27,"")</f>
        <v/>
      </c>
      <c r="DJ25" s="185" t="str">
        <f>IF(Tim!DN27=FIT!$E$1,Tim!DN27,"")</f>
        <v/>
      </c>
      <c r="DK25" s="185" t="str">
        <f>IF(Tim!DO27=FIT!$E$1,Tim!DO27,"")</f>
        <v/>
      </c>
      <c r="DL25" s="185" t="str">
        <f>IF(Tim!DP27=FIT!$E$1,Tim!DP27,"")</f>
        <v/>
      </c>
      <c r="DM25" s="185" t="str">
        <f>IF(Tim!DQ27=FIT!$E$1,Tim!DQ27,"")</f>
        <v/>
      </c>
      <c r="DN25" s="185" t="str">
        <f>IF(Tim!DR27=FIT!$E$1,Tim!DR27,"")</f>
        <v/>
      </c>
      <c r="DO25" s="185" t="str">
        <f>IF(Tim!DS27=FIT!$E$1,Tim!DS27,"")</f>
        <v/>
      </c>
      <c r="DP25" s="185" t="str">
        <f>IF(Tim!DT27=FIT!$E$1,Tim!DT27,"")</f>
        <v/>
      </c>
      <c r="DQ25" s="185" t="str">
        <f>IF(Tim!DU27=FIT!$E$1,Tim!DU27,"")</f>
        <v/>
      </c>
      <c r="DR25" s="185" t="str">
        <f>IF(Tim!DV27=FIT!$E$1,Tim!DV27,"")</f>
        <v/>
      </c>
      <c r="DS25" s="185" t="str">
        <f>IF(Tim!DW27=FIT!$E$1,Tim!DW27,"")</f>
        <v/>
      </c>
      <c r="DT25" s="185" t="str">
        <f>IF(Tim!DX27=FIT!$E$1,Tim!DX27,"")</f>
        <v/>
      </c>
      <c r="DU25" s="185" t="str">
        <f>IF(Tim!DY27=FIT!$E$1,Tim!DY27,"")</f>
        <v/>
      </c>
      <c r="DV25" s="185" t="str">
        <f>IF(Tim!DZ27=FIT!$E$1,Tim!DZ27,"")</f>
        <v/>
      </c>
      <c r="DW25" s="185" t="str">
        <f>IF(Tim!EA27=FIT!$E$1,Tim!EA27,"")</f>
        <v/>
      </c>
      <c r="DX25" s="185" t="str">
        <f>IF(Tim!EB27=FIT!$E$1,Tim!EB27,"")</f>
        <v/>
      </c>
      <c r="DY25" s="185" t="str">
        <f>IF(Tim!EC27=FIT!$E$1,Tim!EC27,"")</f>
        <v/>
      </c>
      <c r="DZ25" s="185" t="str">
        <f>IF(Tim!ED27=FIT!$E$1,Tim!ED27,"")</f>
        <v/>
      </c>
      <c r="EA25" s="185" t="str">
        <f>IF(Tim!EE27=FIT!$E$1,Tim!EE27,"")</f>
        <v/>
      </c>
      <c r="EB25" s="185" t="str">
        <f>IF(Tim!EF27=FIT!$E$1,Tim!EF27,"")</f>
        <v/>
      </c>
      <c r="EC25" s="185" t="str">
        <f>IF(Tim!EG27=FIT!$E$1,Tim!EG27,"")</f>
        <v/>
      </c>
      <c r="ED25" s="185" t="str">
        <f>IF(Tim!EH27=FIT!$E$1,Tim!EH27,"")</f>
        <v/>
      </c>
      <c r="EE25" s="185" t="str">
        <f>IF(Tim!EI27=FIT!$E$1,Tim!EI27,"")</f>
        <v/>
      </c>
      <c r="EF25" s="185" t="str">
        <f>IF(Tim!EJ27=FIT!$E$1,Tim!EJ27,"")</f>
        <v/>
      </c>
      <c r="EG25" s="185" t="str">
        <f>IF(Tim!EK27=FIT!$E$1,Tim!EK27,"")</f>
        <v/>
      </c>
      <c r="EH25" s="185" t="str">
        <f>IF(Tim!EL27=FIT!$E$1,Tim!EL27,"")</f>
        <v/>
      </c>
      <c r="EI25" s="185" t="str">
        <f>IF(Tim!EM27=FIT!$E$1,Tim!EM27,"")</f>
        <v/>
      </c>
      <c r="EJ25" s="185" t="str">
        <f>IF(Tim!EN27=FIT!$E$1,Tim!EN27,"")</f>
        <v/>
      </c>
      <c r="EK25" s="185" t="str">
        <f>IF(Tim!EO27=FIT!$E$1,Tim!EO27,"")</f>
        <v/>
      </c>
      <c r="EL25" s="185" t="str">
        <f>IF(Tim!EP27=FIT!$E$1,Tim!EP27,"")</f>
        <v/>
      </c>
      <c r="EM25" s="185" t="str">
        <f>IF(Tim!EQ27=FIT!$E$1,Tim!EQ27,"")</f>
        <v/>
      </c>
      <c r="EN25" s="185" t="str">
        <f>IF(Tim!ER27=FIT!$E$1,Tim!ER27,"")</f>
        <v/>
      </c>
      <c r="EO25" s="185" t="str">
        <f>IF(Tim!ES27=FIT!$E$1,Tim!ES27,"")</f>
        <v/>
      </c>
      <c r="EP25" s="185" t="str">
        <f>IF(Tim!ET27=FIT!$E$1,Tim!ET27,"")</f>
        <v/>
      </c>
      <c r="EQ25" s="185" t="str">
        <f>IF(Tim!EU27=FIT!$E$1,Tim!EU27,"")</f>
        <v/>
      </c>
      <c r="ER25" s="185" t="str">
        <f>IF(Tim!EV27=FIT!$E$1,Tim!EV27,"")</f>
        <v/>
      </c>
      <c r="ES25" s="185" t="str">
        <f>IF(Tim!EW27=FIT!$E$1,Tim!EW27,"")</f>
        <v/>
      </c>
      <c r="ET25" s="185" t="str">
        <f>IF(Tim!EX27=FIT!$E$1,Tim!EX27,"")</f>
        <v/>
      </c>
      <c r="EU25" s="185" t="str">
        <f>IF(Tim!EY27=FIT!$E$1,Tim!EY27,"")</f>
        <v/>
      </c>
      <c r="EV25" s="185" t="str">
        <f>IF(Tim!EZ27=FIT!$E$1,Tim!EZ27,"")</f>
        <v/>
      </c>
      <c r="EW25" s="185" t="str">
        <f>IF(Tim!FA27=FIT!$E$1,Tim!FA27,"")</f>
        <v/>
      </c>
      <c r="EX25" s="185" t="str">
        <f>IF(Tim!FB27=FIT!$E$1,Tim!FB27,"")</f>
        <v/>
      </c>
      <c r="EY25" s="185" t="str">
        <f>IF(Tim!FC27=FIT!$E$1,Tim!FC27,"")</f>
        <v/>
      </c>
      <c r="EZ25" s="185" t="str">
        <f>IF(Tim!FD27=FIT!$E$1,Tim!FD27,"")</f>
        <v/>
      </c>
      <c r="FA25" s="185" t="str">
        <f>IF(Tim!FE27=FIT!$E$1,Tim!FE27,"")</f>
        <v/>
      </c>
      <c r="FB25" s="185" t="str">
        <f>IF(Tim!FF27=FIT!$E$1,Tim!FF27,"")</f>
        <v/>
      </c>
      <c r="FC25" s="185" t="str">
        <f>IF(Tim!FG27=FIT!$E$1,Tim!FG27,"")</f>
        <v/>
      </c>
      <c r="FD25" s="185" t="str">
        <f>IF(Tim!FH27=FIT!$E$1,Tim!FH27,"")</f>
        <v/>
      </c>
      <c r="FE25" s="185" t="str">
        <f>IF(Tim!FI27=FIT!$E$1,Tim!FI27,"")</f>
        <v/>
      </c>
      <c r="FF25" s="185" t="str">
        <f>IF(Tim!FJ27=FIT!$E$1,Tim!FJ27,"")</f>
        <v/>
      </c>
      <c r="FG25" s="185" t="str">
        <f>IF(Tim!FK27=FIT!$E$1,Tim!FK27,"")</f>
        <v/>
      </c>
      <c r="FH25" s="185" t="str">
        <f>IF(Tim!FL27=FIT!$E$1,Tim!FL27,"")</f>
        <v/>
      </c>
      <c r="FI25" s="185" t="str">
        <f>IF(Tim!FM27=FIT!$E$1,Tim!FM27,"")</f>
        <v/>
      </c>
      <c r="FJ25" s="185" t="str">
        <f>IF(Tim!FN27=FIT!$E$1,Tim!FN27,"")</f>
        <v/>
      </c>
      <c r="FK25" s="185" t="str">
        <f>IF(Tim!FO27=FIT!$E$1,Tim!FO27,"")</f>
        <v/>
      </c>
      <c r="FL25" s="185" t="str">
        <f>IF(Tim!FP27=FIT!$E$1,Tim!FP27,"")</f>
        <v/>
      </c>
      <c r="FM25" s="185" t="str">
        <f>IF(Tim!FQ27=FIT!$E$1,Tim!FQ27,"")</f>
        <v/>
      </c>
      <c r="FN25" s="185" t="str">
        <f>IF(Tim!FR27=FIT!$E$1,Tim!FR27,"")</f>
        <v/>
      </c>
      <c r="FO25" s="185" t="str">
        <f>IF(Tim!FS27=FIT!$E$1,Tim!FS27,"")</f>
        <v/>
      </c>
      <c r="FP25" s="185" t="str">
        <f>IF(Tim!FT27=FIT!$E$1,Tim!FT27,"")</f>
        <v/>
      </c>
      <c r="FQ25" s="185" t="str">
        <f>IF(Tim!FU27=FIT!$E$1,Tim!FU27,"")</f>
        <v/>
      </c>
      <c r="FR25" s="185" t="str">
        <f>IF(Tim!FV27=FIT!$E$1,Tim!FV27,"")</f>
        <v/>
      </c>
      <c r="FS25" s="185" t="str">
        <f>IF(Tim!FW27=FIT!$E$1,Tim!FW27,"")</f>
        <v/>
      </c>
      <c r="FT25" s="185" t="str">
        <f>IF(Tim!FX27=FIT!$E$1,Tim!FX27,"")</f>
        <v/>
      </c>
      <c r="FU25" s="185" t="str">
        <f>IF(Tim!FY27=FIT!$E$1,Tim!FY27,"")</f>
        <v/>
      </c>
      <c r="FV25" s="185" t="str">
        <f>IF(Tim!FZ27=FIT!$E$1,Tim!FZ27,"")</f>
        <v/>
      </c>
      <c r="FW25" s="185" t="str">
        <f>IF(Tim!GA27=FIT!$E$1,Tim!GA27,"")</f>
        <v/>
      </c>
      <c r="FX25" s="185" t="str">
        <f>IF(Tim!GB27=FIT!$E$1,Tim!GB27,"")</f>
        <v/>
      </c>
      <c r="FY25" s="185" t="str">
        <f>IF(Tim!GC27=FIT!$E$1,Tim!GC27,"")</f>
        <v/>
      </c>
      <c r="FZ25" s="185" t="str">
        <f>IF(Tim!GD27=FIT!$E$1,Tim!GD27,"")</f>
        <v/>
      </c>
      <c r="GA25" s="185" t="str">
        <f>IF(Tim!GE27=FIT!$E$1,Tim!GE27,"")</f>
        <v/>
      </c>
      <c r="GB25" s="185" t="str">
        <f>IF(Tim!GF27=FIT!$E$1,Tim!GF27,"")</f>
        <v/>
      </c>
      <c r="GC25" s="185" t="str">
        <f>IF(Tim!GG27=FIT!$E$1,Tim!GG27,"")</f>
        <v/>
      </c>
      <c r="GD25" s="185" t="str">
        <f>IF(Tim!GH27=FIT!$E$1,Tim!GH27,"")</f>
        <v/>
      </c>
      <c r="GE25" s="185" t="str">
        <f>IF(Tim!GI27=FIT!$E$1,Tim!GI27,"")</f>
        <v/>
      </c>
      <c r="GF25" s="185" t="str">
        <f>IF(Tim!GJ27=FIT!$E$1,Tim!GJ27,"")</f>
        <v/>
      </c>
      <c r="GG25" s="185" t="str">
        <f>IF(Tim!GK27=FIT!$E$1,Tim!GK27,"")</f>
        <v/>
      </c>
      <c r="GH25" s="185" t="str">
        <f>IF(Tim!GL27=FIT!$E$1,Tim!GL27,"")</f>
        <v/>
      </c>
      <c r="GI25" s="185" t="str">
        <f>IF(Tim!GM27=FIT!$E$1,Tim!GM27,"")</f>
        <v/>
      </c>
      <c r="GJ25" s="185" t="str">
        <f>IF(Tim!GN27=FIT!$E$1,Tim!GN27,"")</f>
        <v/>
      </c>
      <c r="GK25" s="185" t="str">
        <f>IF(Tim!GO27=FIT!$E$1,Tim!GO27,"")</f>
        <v/>
      </c>
      <c r="GL25" s="185" t="str">
        <f>IF(Tim!GP27=FIT!$E$1,Tim!GP27,"")</f>
        <v/>
      </c>
      <c r="GM25" s="185" t="str">
        <f>IF(Tim!GQ27=FIT!$E$1,Tim!GQ27,"")</f>
        <v/>
      </c>
      <c r="GN25" s="185" t="str">
        <f>IF(Tim!GR27=FIT!$E$1,Tim!GR27,"")</f>
        <v/>
      </c>
      <c r="GO25" s="185" t="str">
        <f>IF(Tim!GS27=FIT!$E$1,Tim!GS27,"")</f>
        <v/>
      </c>
      <c r="GP25" s="185" t="str">
        <f>IF(Tim!GT27=FIT!$E$1,Tim!GT27,"")</f>
        <v/>
      </c>
      <c r="GQ25" s="185" t="str">
        <f>IF(Tim!GU27=FIT!$E$1,Tim!GU27,"")</f>
        <v/>
      </c>
      <c r="GR25" s="185" t="str">
        <f>IF(Tim!GV27=FIT!$E$1,Tim!GV27,"")</f>
        <v/>
      </c>
      <c r="GS25" s="185" t="str">
        <f>IF(Tim!GW27=FIT!$E$1,Tim!GW27,"")</f>
        <v/>
      </c>
      <c r="GT25" s="185" t="str">
        <f>IF(Tim!GX27=FIT!$E$1,Tim!GX27,"")</f>
        <v/>
      </c>
      <c r="GU25" s="185" t="str">
        <f>IF(Tim!GY27=FIT!$E$1,Tim!GY27,"")</f>
        <v/>
      </c>
      <c r="GV25" s="185" t="str">
        <f>IF(Tim!GZ27=FIT!$E$1,Tim!GZ27,"")</f>
        <v/>
      </c>
      <c r="GW25" s="185" t="str">
        <f>IF(Tim!HA27=FIT!$E$1,Tim!HA27,"")</f>
        <v/>
      </c>
      <c r="GX25" s="185" t="str">
        <f>IF(Tim!HB27=FIT!$E$1,Tim!HB27,"")</f>
        <v/>
      </c>
      <c r="GY25" s="185" t="str">
        <f>IF(Tim!HC27=FIT!$E$1,Tim!HC27,"")</f>
        <v/>
      </c>
      <c r="GZ25" s="185" t="str">
        <f>IF(Tim!HD27=FIT!$E$1,Tim!HD27,"")</f>
        <v/>
      </c>
      <c r="HA25" s="185" t="str">
        <f>IF(Tim!HE27=FIT!$E$1,Tim!HE27,"")</f>
        <v/>
      </c>
      <c r="HB25" s="185" t="str">
        <f>IF(Tim!HF27=FIT!$E$1,Tim!HF27,"")</f>
        <v/>
      </c>
      <c r="HC25" s="185" t="str">
        <f>IF(Tim!HG27=FIT!$E$1,Tim!HG27,"")</f>
        <v/>
      </c>
      <c r="HD25" s="185" t="str">
        <f>IF(Tim!HH27=FIT!$E$1,Tim!HH27,"")</f>
        <v/>
      </c>
      <c r="HE25" s="185" t="str">
        <f>IF(Tim!HI27=FIT!$E$1,Tim!HI27,"")</f>
        <v/>
      </c>
      <c r="HF25" s="185" t="str">
        <f>IF(Tim!HJ27=FIT!$E$1,Tim!HJ27,"")</f>
        <v/>
      </c>
      <c r="HG25" s="185" t="str">
        <f>IF(Tim!HK27=FIT!$E$1,Tim!HK27,"")</f>
        <v/>
      </c>
      <c r="HH25" s="185" t="str">
        <f>IF(Tim!HL27=FIT!$E$1,Tim!HL27,"")</f>
        <v/>
      </c>
      <c r="HI25" s="185" t="str">
        <f>IF(Tim!HM27=FIT!$E$1,Tim!HM27,"")</f>
        <v/>
      </c>
      <c r="HJ25" s="185" t="str">
        <f>IF(Tim!HN27=FIT!$E$1,Tim!HN27,"")</f>
        <v/>
      </c>
      <c r="HK25" s="185" t="str">
        <f>IF(Tim!HO27=FIT!$E$1,Tim!HO27,"")</f>
        <v/>
      </c>
      <c r="HL25" s="185" t="str">
        <f>IF(Tim!HP27=FIT!$E$1,Tim!HP27,"")</f>
        <v/>
      </c>
      <c r="HM25" s="185" t="str">
        <f>IF(Tim!HQ27=FIT!$E$1,Tim!HQ27,"")</f>
        <v/>
      </c>
      <c r="HN25" s="185" t="str">
        <f>IF(Tim!HR27=FIT!$E$1,Tim!HR27,"")</f>
        <v/>
      </c>
      <c r="HO25" s="185" t="str">
        <f>IF(Tim!HS27=FIT!$E$1,Tim!HS27,"")</f>
        <v/>
      </c>
      <c r="HP25" s="185" t="str">
        <f>IF(Tim!HT27=FIT!$E$1,Tim!HT27,"")</f>
        <v/>
      </c>
      <c r="HQ25" s="185" t="str">
        <f>IF(Tim!HU27=FIT!$E$1,Tim!HU27,"")</f>
        <v/>
      </c>
      <c r="HR25" s="185" t="str">
        <f>IF(Tim!HV27=FIT!$E$1,Tim!HV27,"")</f>
        <v/>
      </c>
      <c r="HS25" s="185" t="str">
        <f>IF(Tim!HW27=FIT!$E$1,Tim!HW27,"")</f>
        <v/>
      </c>
      <c r="HT25" s="185" t="str">
        <f>IF(Tim!HX27=FIT!$E$1,Tim!HX27,"")</f>
        <v/>
      </c>
      <c r="HU25" s="185" t="str">
        <f>IF(Tim!HY27=FIT!$E$1,Tim!HY27,"")</f>
        <v/>
      </c>
      <c r="HV25" s="185" t="str">
        <f>IF(Tim!HZ27=FIT!$E$1,Tim!HZ27,"")</f>
        <v/>
      </c>
      <c r="HW25" s="185" t="str">
        <f>IF(Tim!IA27=FIT!$E$1,Tim!IA27,"")</f>
        <v/>
      </c>
      <c r="HX25" s="185" t="str">
        <f>IF(Tim!IB27=FIT!$E$1,Tim!IB27,"")</f>
        <v/>
      </c>
      <c r="HY25" s="185" t="str">
        <f>IF(Tim!IC27=FIT!$E$1,Tim!IC27,"")</f>
        <v/>
      </c>
      <c r="HZ25" s="185" t="str">
        <f>IF(Tim!ID27=FIT!$E$1,Tim!ID27,"")</f>
        <v/>
      </c>
      <c r="IA25" s="185" t="str">
        <f>IF(Tim!IE27=FIT!$E$1,Tim!IE27,"")</f>
        <v/>
      </c>
      <c r="IB25" s="185" t="str">
        <f>IF(Tim!IF27=FIT!$E$1,Tim!IF27,"")</f>
        <v/>
      </c>
      <c r="IC25" s="185" t="str">
        <f>IF(Tim!IG27=FIT!$E$1,Tim!IG27,"")</f>
        <v/>
      </c>
      <c r="ID25" s="185" t="str">
        <f>IF(Tim!IH27=FIT!$E$1,Tim!IH27,"")</f>
        <v/>
      </c>
      <c r="IE25" s="185" t="str">
        <f>IF(Tim!II27=FIT!$E$1,Tim!II27,"")</f>
        <v/>
      </c>
      <c r="IF25" s="185" t="str">
        <f>IF(Tim!IJ27=FIT!$E$1,Tim!IJ27,"")</f>
        <v/>
      </c>
      <c r="IG25" s="185" t="str">
        <f>IF(Tim!IK27=FIT!$E$1,Tim!IK27,"")</f>
        <v/>
      </c>
      <c r="IH25" s="185" t="str">
        <f>IF(Tim!IL27=FIT!$E$1,Tim!IL27,"")</f>
        <v/>
      </c>
      <c r="II25" s="185" t="str">
        <f>IF(Tim!IM27=FIT!$E$1,Tim!IM27,"")</f>
        <v/>
      </c>
      <c r="IJ25" s="185" t="str">
        <f>IF(Tim!IN27=FIT!$E$1,Tim!IN27,"")</f>
        <v/>
      </c>
      <c r="IK25" s="185" t="str">
        <f>IF(Tim!IO27=FIT!$E$1,Tim!IO27,"")</f>
        <v/>
      </c>
      <c r="IL25" s="185" t="str">
        <f>IF(Tim!IP27=FIT!$E$1,Tim!IP27,"")</f>
        <v/>
      </c>
      <c r="IM25" s="185" t="str">
        <f>IF(Tim!IQ27=FIT!$E$1,Tim!IQ27,"")</f>
        <v/>
      </c>
      <c r="IN25" s="185" t="str">
        <f>IF(Tim!IR27=FIT!$E$1,Tim!IR27,"")</f>
        <v/>
      </c>
      <c r="IO25" s="185" t="str">
        <f>IF(Tim!IS27=FIT!$E$1,Tim!IS27,"")</f>
        <v/>
      </c>
      <c r="IP25" s="185" t="str">
        <f>IF(Tim!IT27=FIT!$E$1,Tim!IT27,"")</f>
        <v/>
      </c>
      <c r="IQ25" s="185" t="str">
        <f>IF(Tim!IU27=FIT!$E$1,Tim!IU27,"")</f>
        <v/>
      </c>
      <c r="IR25" s="185" t="str">
        <f>IF(Tim!IV27=FIT!$E$1,Tim!IV27,"")</f>
        <v/>
      </c>
      <c r="IS25" s="185" t="str">
        <f>IF(Tim!IW27=FIT!$E$1,Tim!IW27,"")</f>
        <v/>
      </c>
      <c r="IT25" s="185" t="str">
        <f>IF(Tim!IX27=FIT!$E$1,Tim!IX27,"")</f>
        <v/>
      </c>
      <c r="IU25" s="185" t="str">
        <f>IF(Tim!IY27=FIT!$E$1,Tim!IY27,"")</f>
        <v/>
      </c>
      <c r="IV25" s="185" t="str">
        <f>IF(Tim!IZ27=FIT!$E$1,Tim!IZ27,"")</f>
        <v/>
      </c>
      <c r="IW25" s="185" t="str">
        <f>IF(Tim!JA27=FIT!$E$1,Tim!JA27,"")</f>
        <v/>
      </c>
      <c r="IX25" s="185" t="str">
        <f>IF(Tim!JB27=FIT!$E$1,Tim!JB27,"")</f>
        <v/>
      </c>
      <c r="IY25" s="185" t="str">
        <f>IF(Tim!JC27=FIT!$E$1,Tim!JC27,"")</f>
        <v/>
      </c>
      <c r="IZ25" s="185" t="str">
        <f>IF(Tim!JD27=FIT!$E$1,Tim!JD27,"")</f>
        <v/>
      </c>
      <c r="JA25" s="185" t="str">
        <f>IF(Tim!JE27=FIT!$E$1,Tim!JE27,"")</f>
        <v/>
      </c>
      <c r="JB25" s="185" t="str">
        <f>IF(Tim!JF27=FIT!$E$1,Tim!JF27,"")</f>
        <v/>
      </c>
      <c r="JC25" s="185" t="str">
        <f>IF(Tim!JG27=FIT!$E$1,Tim!JG27,"")</f>
        <v/>
      </c>
      <c r="JD25" s="185" t="str">
        <f>IF(Tim!JH27=FIT!$E$1,Tim!JH27,"")</f>
        <v/>
      </c>
      <c r="JE25" s="185" t="str">
        <f>IF(Tim!JI27=FIT!$E$1,Tim!JI27,"")</f>
        <v/>
      </c>
      <c r="JF25" s="185" t="str">
        <f>IF(Tim!JJ27=FIT!$E$1,Tim!JJ27,"")</f>
        <v/>
      </c>
      <c r="JG25" s="185" t="str">
        <f>IF(Tim!JK27=FIT!$E$1,Tim!JK27,"")</f>
        <v/>
      </c>
      <c r="JH25" s="185" t="str">
        <f>IF(Tim!JL27=FIT!$E$1,Tim!JL27,"")</f>
        <v/>
      </c>
      <c r="JI25" s="185" t="str">
        <f>IF(Tim!JM27=FIT!$E$1,Tim!JM27,"")</f>
        <v/>
      </c>
      <c r="JJ25" s="185" t="str">
        <f>IF(Tim!JN27=FIT!$E$1,Tim!JN27,"")</f>
        <v/>
      </c>
      <c r="JK25" s="185" t="str">
        <f>IF(Tim!JO27=FIT!$E$1,Tim!JO27,"")</f>
        <v/>
      </c>
      <c r="JL25" s="185" t="str">
        <f>IF(Tim!JP27=FIT!$E$1,Tim!JP27,"")</f>
        <v/>
      </c>
      <c r="JM25" s="185" t="str">
        <f>IF(Tim!JQ27=FIT!$E$1,Tim!JQ27,"")</f>
        <v/>
      </c>
      <c r="JN25" s="185" t="str">
        <f>IF(Tim!JR27=FIT!$E$1,Tim!JR27,"")</f>
        <v/>
      </c>
      <c r="JO25" s="185" t="str">
        <f>IF(Tim!JS27=FIT!$E$1,Tim!JS27,"")</f>
        <v/>
      </c>
      <c r="JP25" s="185" t="str">
        <f>IF(Tim!JT27=FIT!$E$1,Tim!JT27,"")</f>
        <v/>
      </c>
      <c r="JQ25" s="185" t="str">
        <f>IF(Tim!JU27=FIT!$E$1,Tim!JU27,"")</f>
        <v/>
      </c>
      <c r="JR25" s="185" t="str">
        <f>IF(Tim!JV27=FIT!$E$1,Tim!JV27,"")</f>
        <v/>
      </c>
      <c r="JS25" s="185" t="str">
        <f>IF(Tim!JW27=FIT!$E$1,Tim!JW27,"")</f>
        <v/>
      </c>
      <c r="JT25" s="185" t="str">
        <f>IF(Tim!JX27=FIT!$E$1,Tim!JX27,"")</f>
        <v/>
      </c>
      <c r="JU25" s="185" t="str">
        <f>IF(Tim!JY27=FIT!$E$1,Tim!JY27,"")</f>
        <v/>
      </c>
      <c r="JV25" s="185" t="str">
        <f>IF(Tim!JZ27=FIT!$E$1,Tim!JZ27,"")</f>
        <v/>
      </c>
      <c r="JW25" s="185" t="str">
        <f>IF(Tim!KA27=FIT!$E$1,Tim!KA27,"")</f>
        <v/>
      </c>
      <c r="JX25" s="185" t="str">
        <f>IF(Tim!KB27=FIT!$E$1,Tim!KB27,"")</f>
        <v/>
      </c>
      <c r="JY25" s="185" t="str">
        <f>IF(Tim!KC27=FIT!$E$1,Tim!KC27,"")</f>
        <v/>
      </c>
      <c r="JZ25" s="185" t="str">
        <f>IF(Tim!KD27=FIT!$E$1,Tim!KD27,"")</f>
        <v/>
      </c>
      <c r="KA25" s="185" t="str">
        <f>IF(Tim!KE27=FIT!$E$1,Tim!KE27,"")</f>
        <v/>
      </c>
      <c r="KB25" s="185" t="str">
        <f>IF(Tim!KF27=FIT!$E$1,Tim!KF27,"")</f>
        <v/>
      </c>
      <c r="KC25" s="185" t="str">
        <f>IF(Tim!KG27=FIT!$E$1,Tim!KG27,"")</f>
        <v/>
      </c>
      <c r="KD25" s="185" t="str">
        <f>IF(Tim!KH27=FIT!$E$1,Tim!KH27,"")</f>
        <v/>
      </c>
      <c r="KE25" s="185" t="str">
        <f>IF(Tim!KI27=FIT!$E$1,Tim!KI27,"")</f>
        <v/>
      </c>
      <c r="KF25" s="185" t="str">
        <f>IF(Tim!KJ27=FIT!$E$1,Tim!KJ27,"")</f>
        <v/>
      </c>
      <c r="KG25" s="185" t="str">
        <f>IF(Tim!KK27=FIT!$E$1,Tim!KK27,"")</f>
        <v/>
      </c>
      <c r="KH25" s="185" t="str">
        <f>IF(Tim!KL27=FIT!$E$1,Tim!KL27,"")</f>
        <v/>
      </c>
      <c r="KI25" s="185" t="str">
        <f>IF(Tim!KM27=FIT!$E$1,Tim!KM27,"")</f>
        <v/>
      </c>
      <c r="KJ25" s="185" t="str">
        <f>IF(Tim!KN27=FIT!$E$1,Tim!KN27,"")</f>
        <v/>
      </c>
      <c r="KK25" s="185" t="str">
        <f>IF(Tim!KO27=FIT!$E$1,Tim!KO27,"")</f>
        <v/>
      </c>
      <c r="KL25" s="185" t="str">
        <f>IF(Tim!KP27=FIT!$E$1,Tim!KP27,"")</f>
        <v/>
      </c>
      <c r="KM25" s="185" t="str">
        <f>IF(Tim!KQ27=FIT!$E$1,Tim!KQ27,"")</f>
        <v/>
      </c>
      <c r="KN25" s="185" t="str">
        <f>IF(Tim!KR27=FIT!$E$1,Tim!KR27,"")</f>
        <v/>
      </c>
      <c r="KO25" s="185" t="str">
        <f>IF(Tim!KS27=FIT!$E$1,Tim!KS27,"")</f>
        <v/>
      </c>
      <c r="KP25" s="185" t="str">
        <f>IF(Tim!KT27=FIT!$E$1,Tim!KT27,"")</f>
        <v/>
      </c>
      <c r="KQ25" s="185" t="str">
        <f>IF(Tim!KU27=FIT!$E$1,Tim!KU27,"")</f>
        <v/>
      </c>
      <c r="KR25" s="185" t="str">
        <f>IF(Tim!KV27=FIT!$E$1,Tim!KV27,"")</f>
        <v/>
      </c>
      <c r="KS25" s="185" t="str">
        <f>IF(Tim!KW27=FIT!$E$1,Tim!KW27,"")</f>
        <v/>
      </c>
      <c r="KT25" s="185" t="str">
        <f>IF(Tim!KX27=FIT!$E$1,Tim!KX27,"")</f>
        <v/>
      </c>
      <c r="KU25" s="185" t="str">
        <f>IF(Tim!KY27=FIT!$E$1,Tim!KY27,"")</f>
        <v/>
      </c>
      <c r="KV25" s="185" t="str">
        <f>IF(Tim!KZ27=FIT!$E$1,Tim!KZ27,"")</f>
        <v/>
      </c>
      <c r="KW25" s="185" t="str">
        <f>IF(Tim!LA27=FIT!$E$1,Tim!LA27,"")</f>
        <v/>
      </c>
      <c r="KX25" s="185" t="str">
        <f>IF(Tim!LB27=FIT!$E$1,Tim!LB27,"")</f>
        <v/>
      </c>
      <c r="KY25" s="185" t="str">
        <f>IF(Tim!LC27=FIT!$E$1,Tim!LC27,"")</f>
        <v/>
      </c>
      <c r="KZ25" s="185" t="str">
        <f>IF(Tim!LD27=FIT!$E$1,Tim!LD27,"")</f>
        <v/>
      </c>
      <c r="LA25" s="185" t="str">
        <f>IF(Tim!LE27=FIT!$E$1,Tim!LE27,"")</f>
        <v/>
      </c>
      <c r="LB25" s="52">
        <v>0.5</v>
      </c>
    </row>
    <row r="26" spans="2:314" ht="10.5" customHeight="1">
      <c r="B26" s="49">
        <v>0.25</v>
      </c>
      <c r="C26" s="49">
        <v>0.25</v>
      </c>
      <c r="D26" s="49">
        <v>0.25</v>
      </c>
      <c r="E26" s="172">
        <v>0.51041666666666596</v>
      </c>
      <c r="F26" s="238" t="str">
        <f>IF(Tim!F28=FIT!$E$1,Tim!F28,"")</f>
        <v/>
      </c>
      <c r="G26" s="185" t="str">
        <f>IF(Tim!G28=FIT!$E$1,Tim!G28,"")</f>
        <v/>
      </c>
      <c r="H26" s="185" t="str">
        <f>IF(Tim!H28=FIT!$E$1,Tim!H28,"")</f>
        <v/>
      </c>
      <c r="I26" s="185" t="str">
        <f>IF(Tim!I28=FIT!$E$1,Tim!I28,"")</f>
        <v/>
      </c>
      <c r="J26" s="185" t="str">
        <f>IF(Tim!J28=FIT!$E$1,Tim!J28,"")</f>
        <v/>
      </c>
      <c r="K26" s="185" t="str">
        <f>IF(Tim!K28=FIT!$E$1,Tim!K28,"")</f>
        <v/>
      </c>
      <c r="L26" s="185" t="str">
        <f>IF(Tim!L28=FIT!$E$1,Tim!L28,"")</f>
        <v/>
      </c>
      <c r="M26" s="185" t="str">
        <f>IF(Tim!M28=FIT!$E$1,Tim!M28,"")</f>
        <v/>
      </c>
      <c r="N26" s="185" t="str">
        <f>IF(Tim!N28=FIT!$E$1,Tim!N28,"")</f>
        <v/>
      </c>
      <c r="O26" s="185" t="str">
        <f>IF(Tim!O28=FIT!$E$1,Tim!O28,"")</f>
        <v/>
      </c>
      <c r="P26" s="185" t="str">
        <f>IF(Tim!P28=FIT!$E$1,Tim!P28,"")</f>
        <v/>
      </c>
      <c r="Q26" s="185" t="str">
        <f>IF(Tim!Q28=FIT!$E$1,Tim!Q28,"")</f>
        <v/>
      </c>
      <c r="R26" s="185" t="str">
        <f>IF(Tim!R28=FIT!$E$1,Tim!R28,"")</f>
        <v/>
      </c>
      <c r="S26" s="185" t="str">
        <f>IF(Tim!S28=FIT!$E$1,Tim!S28,"")</f>
        <v/>
      </c>
      <c r="T26" s="185" t="str">
        <f>IF(Tim!T28=FIT!$E$1,Tim!T28,"")</f>
        <v/>
      </c>
      <c r="U26" s="185" t="str">
        <f>IF(Tim!U28=FIT!$E$1,Tim!U28,"")</f>
        <v/>
      </c>
      <c r="V26" s="185" t="str">
        <f>IF(Tim!W28=FIT!$E$1,Tim!W28,"")</f>
        <v/>
      </c>
      <c r="W26" s="185" t="str">
        <f>IF(Tim!X28=FIT!$E$1,Tim!X28,"")</f>
        <v/>
      </c>
      <c r="X26" s="185" t="str">
        <f>IF(Tim!Y28=FIT!$E$1,Tim!Y28,"")</f>
        <v/>
      </c>
      <c r="Y26" s="185" t="str">
        <f>IF(Tim!Z28=FIT!$E$1,Tim!Z28,"")</f>
        <v/>
      </c>
      <c r="Z26" s="185" t="str">
        <f>IF(Tim!AA28=FIT!$E$1,Tim!AA28,"")</f>
        <v/>
      </c>
      <c r="AA26" s="185" t="str">
        <f>IF(Tim!AB28=FIT!$E$1,Tim!AB28,"")</f>
        <v/>
      </c>
      <c r="AB26" s="185" t="str">
        <f>IF(Tim!AC28=FIT!$E$1,Tim!AC28,"")</f>
        <v/>
      </c>
      <c r="AC26" s="185" t="str">
        <f>IF(Tim!AD28=FIT!$E$1,Tim!AD28,"")</f>
        <v/>
      </c>
      <c r="AD26" s="185" t="str">
        <f>IF(Tim!AE28=FIT!$E$1,Tim!AE28,"")</f>
        <v/>
      </c>
      <c r="AE26" s="185" t="str">
        <f>IF(Tim!AF28=FIT!$E$1,Tim!AF28,"")</f>
        <v/>
      </c>
      <c r="AF26" s="185" t="str">
        <f>IF(Tim!AG28=FIT!$E$1,Tim!AG28,"")</f>
        <v/>
      </c>
      <c r="AG26" s="185" t="str">
        <f>IF(Tim!AH28=FIT!$E$1,Tim!AH28,"")</f>
        <v/>
      </c>
      <c r="AH26" s="185" t="str">
        <f>IF(Tim!AI28=FIT!$E$1,Tim!AI28,"")</f>
        <v/>
      </c>
      <c r="AI26" s="185" t="str">
        <f>IF(Tim!AJ28=FIT!$E$1,Tim!AJ28,"")</f>
        <v/>
      </c>
      <c r="AJ26" s="185" t="str">
        <f>IF(Tim!AK28=FIT!$E$1,Tim!AK28,"")</f>
        <v/>
      </c>
      <c r="AK26" s="185" t="str">
        <f>IF(Tim!AL28=FIT!$E$1,Tim!AL28,"")</f>
        <v/>
      </c>
      <c r="AL26" s="185" t="str">
        <f>IF(Tim!AM28=FIT!$E$1,Tim!AM28,"")</f>
        <v/>
      </c>
      <c r="AM26" s="185" t="str">
        <f>IF(Tim!AN28=FIT!$E$1,Tim!AN28,"")</f>
        <v/>
      </c>
      <c r="AN26" s="185" t="str">
        <f>IF(Tim!AO28=FIT!$E$1,Tim!AO28,"")</f>
        <v/>
      </c>
      <c r="AO26" s="185" t="str">
        <f>IF(Tim!AP28=FIT!$E$1,Tim!AP28,"")</f>
        <v/>
      </c>
      <c r="AP26" s="185" t="str">
        <f>IF(Tim!AQ28=FIT!$E$1,Tim!AQ28,"")</f>
        <v/>
      </c>
      <c r="AQ26" s="185" t="str">
        <f>IF(Tim!AR28=FIT!$E$1,Tim!AR28,"")</f>
        <v/>
      </c>
      <c r="AR26" s="185" t="str">
        <f>IF(Tim!AS28=FIT!$E$1,Tim!AS28,"")</f>
        <v/>
      </c>
      <c r="AS26" s="185" t="str">
        <f>IF(Tim!AT28=FIT!$E$1,Tim!AT28,"")</f>
        <v/>
      </c>
      <c r="AT26" s="185" t="str">
        <f>IF(Tim!AU28=FIT!$E$1,Tim!AU28,"")</f>
        <v/>
      </c>
      <c r="AU26" s="185" t="str">
        <f>IF(Tim!AV28=FIT!$E$1,Tim!AV28,"")</f>
        <v/>
      </c>
      <c r="AV26" s="185" t="str">
        <f>IF(Tim!AW28=FIT!$E$1,Tim!AW28,"")</f>
        <v/>
      </c>
      <c r="AW26" s="186" t="str">
        <f>IF(Tim!AX28=FIT!$E$1,Tim!AX28,"")</f>
        <v/>
      </c>
      <c r="AX26" s="243" t="str">
        <f>IF(Tim!AY28=FIT!$E$1,Tim!AY28,"")</f>
        <v/>
      </c>
      <c r="AY26" s="185" t="str">
        <f>IF(Tim!AZ28=FIT!$E$1,Tim!AZ28,"")</f>
        <v/>
      </c>
      <c r="AZ26" s="185" t="str">
        <f>IF(Tim!BA28=FIT!$E$1,Tim!BA28,"")</f>
        <v/>
      </c>
      <c r="BA26" s="185" t="str">
        <f>IF(Tim!BB28=FIT!$E$1,Tim!BB28,"")</f>
        <v/>
      </c>
      <c r="BB26" s="185" t="str">
        <f>IF(Tim!BC28=FIT!$E$1,Tim!BC28,"")</f>
        <v/>
      </c>
      <c r="BC26" s="185" t="str">
        <f>IF(Tim!BD28=FIT!$E$1,Tim!BD28,"")</f>
        <v/>
      </c>
      <c r="BD26" s="185" t="str">
        <f>IF(Tim!BE28=FIT!$E$1,Tim!BE28,"")</f>
        <v/>
      </c>
      <c r="BE26" s="185" t="str">
        <f>IF(Tim!BF28=FIT!$E$1,Tim!BF28,"")</f>
        <v/>
      </c>
      <c r="BF26" s="185" t="str">
        <f>IF(Tim!BG28=FIT!$E$1,Tim!BG28,"")</f>
        <v/>
      </c>
      <c r="BG26" s="185" t="str">
        <f>IF(Tim!BH28=FIT!$E$1,Tim!BH28,"")</f>
        <v/>
      </c>
      <c r="BH26" s="185" t="str">
        <f>IF(Tim!BI28=FIT!$E$1,Tim!BI28,"")</f>
        <v/>
      </c>
      <c r="BI26" s="185" t="str">
        <f>IF(Tim!BJ28=FIT!$E$1,Tim!BJ28,"")</f>
        <v/>
      </c>
      <c r="BJ26" s="185" t="str">
        <f>IF(Tim!BK28=FIT!$E$1,Tim!BK28,"")</f>
        <v/>
      </c>
      <c r="BK26" s="185" t="str">
        <f>IF(Tim!BL28=FIT!$E$1,Tim!BL28,"")</f>
        <v/>
      </c>
      <c r="BL26" s="185" t="str">
        <f>IF(Tim!BM28=FIT!$E$1,Tim!BM28,"")</f>
        <v/>
      </c>
      <c r="BM26" s="185" t="str">
        <f>IF(Tim!BN28=FIT!$E$1,Tim!BN28,"")</f>
        <v/>
      </c>
      <c r="BN26" s="185" t="str">
        <f>IF(Tim!BO28=FIT!$E$1,Tim!BO28,"")</f>
        <v/>
      </c>
      <c r="BO26" s="185" t="str">
        <f>IF(Tim!BP28=FIT!$E$1,Tim!BP28,"")</f>
        <v/>
      </c>
      <c r="BP26" s="185" t="str">
        <f>IF(Tim!BQ28=FIT!$E$1,Tim!BQ28,"")</f>
        <v/>
      </c>
      <c r="BQ26" s="185" t="str">
        <f>IF(Tim!BR28=FIT!$E$1,Tim!BR28,"")</f>
        <v/>
      </c>
      <c r="BR26" s="185" t="str">
        <f>IF(Tim!BS28=FIT!$E$1,Tim!BS28,"")</f>
        <v/>
      </c>
      <c r="BS26" s="185" t="str">
        <f>IF(Tim!BT28=FIT!$E$1,Tim!BT28,"")</f>
        <v/>
      </c>
      <c r="BT26" s="185" t="str">
        <f>IF(Tim!BU28=FIT!$E$1,Tim!BU28,"")</f>
        <v/>
      </c>
      <c r="BU26" s="185" t="str">
        <f>IF(Tim!BV28=FIT!$E$1,Tim!BV28,"")</f>
        <v/>
      </c>
      <c r="BV26" s="185" t="str">
        <f>IF(Tim!BW28=FIT!$E$1,Tim!BW28,"")</f>
        <v/>
      </c>
      <c r="BW26" s="185" t="str">
        <f>IF(Tim!BX28=FIT!$E$1,Tim!BX28,"")</f>
        <v/>
      </c>
      <c r="BX26" s="185" t="str">
        <f>IF(Tim!BY28=FIT!$E$1,Tim!BY28,"")</f>
        <v/>
      </c>
      <c r="BY26" s="185" t="str">
        <f>IF(Tim!BZ28=FIT!$E$1,Tim!BZ28,"")</f>
        <v/>
      </c>
      <c r="BZ26" s="185" t="str">
        <f>IF(Tim!CA28=FIT!$E$1,Tim!CA28,"")</f>
        <v/>
      </c>
      <c r="CA26" s="185" t="str">
        <f>IF(Tim!CB28=FIT!$E$1,Tim!CB28,"")</f>
        <v/>
      </c>
      <c r="CB26" s="185" t="str">
        <f>IF(Tim!CC28=FIT!$E$1,Tim!CC28,"")</f>
        <v/>
      </c>
      <c r="CC26" s="185" t="str">
        <f>IF(Tim!CD28=FIT!$E$1,Tim!CD28,"")</f>
        <v/>
      </c>
      <c r="CD26" s="185" t="str">
        <f>IF(Tim!CE28=FIT!$E$1,Tim!CE28,"")</f>
        <v/>
      </c>
      <c r="CE26" s="185" t="str">
        <f>IF(Tim!CF28=FIT!$E$1,Tim!CF28,"")</f>
        <v/>
      </c>
      <c r="CF26" s="185" t="str">
        <f>IF(Tim!CG28=FIT!$E$1,Tim!CG28,"")</f>
        <v/>
      </c>
      <c r="CG26" s="185" t="str">
        <f>IF(Tim!CH28=FIT!$E$1,Tim!CH28,"")</f>
        <v/>
      </c>
      <c r="CH26" s="185" t="str">
        <f>IF(Tim!CI28=FIT!$E$1,Tim!CI28,"")</f>
        <v/>
      </c>
      <c r="CI26" s="185" t="str">
        <f>IF(Tim!CJ28=FIT!$E$1,Tim!CJ28,"")</f>
        <v/>
      </c>
      <c r="CJ26" s="185" t="str">
        <f>IF(Tim!CK28=FIT!$E$1,Tim!CK28,"")</f>
        <v/>
      </c>
      <c r="CK26" s="185" t="str">
        <f>IF(Tim!CL28=FIT!$E$1,Tim!CL28,"")</f>
        <v/>
      </c>
      <c r="CL26" s="185" t="str">
        <f>IF(Tim!CM28=FIT!$E$1,Tim!CM28,"")</f>
        <v/>
      </c>
      <c r="CM26" s="185" t="str">
        <f>IF(Tim!CN28=FIT!$E$1,Tim!CN28,"")</f>
        <v/>
      </c>
      <c r="CN26" s="185" t="str">
        <f>IF(Tim!CO28=FIT!$E$1,Tim!CO28,"")</f>
        <v/>
      </c>
      <c r="CO26" s="185" t="str">
        <f>IF(Tim!CP28=FIT!$E$1,Tim!CP28,"")</f>
        <v/>
      </c>
      <c r="CP26" s="185" t="str">
        <f>IF(Tim!CQ28=FIT!$E$1,Tim!CQ28,"")</f>
        <v/>
      </c>
      <c r="CQ26" s="185" t="str">
        <f>IF(Tim!CR28=FIT!$E$1,Tim!CR28,"")</f>
        <v/>
      </c>
      <c r="CR26" s="185" t="str">
        <f>IF(Tim!CS28=FIT!$E$1,Tim!CS28,"")</f>
        <v/>
      </c>
      <c r="CS26" s="185" t="str">
        <f>IF(Tim!CT28=FIT!$E$1,Tim!CT28,"")</f>
        <v/>
      </c>
      <c r="CT26" s="185" t="str">
        <f>IF(Tim!CU28=FIT!$E$1,Tim!CU28,"")</f>
        <v/>
      </c>
      <c r="CU26" s="185" t="str">
        <f>IF(Tim!CV28=FIT!$E$1,Tim!CV28,"")</f>
        <v/>
      </c>
      <c r="CV26" s="185" t="str">
        <f>IF(Tim!CW28=FIT!$E$1,Tim!CW28,"")</f>
        <v/>
      </c>
      <c r="CW26" s="185" t="str">
        <f>IF(Tim!CX28=FIT!$E$1,Tim!CX28,"")</f>
        <v/>
      </c>
      <c r="CX26" s="185" t="str">
        <f>IF(Tim!CY28=FIT!$E$1,Tim!CY28,"")</f>
        <v/>
      </c>
      <c r="CY26" s="185" t="str">
        <f>IF(Tim!CZ28=FIT!$E$1,Tim!CZ28,"")</f>
        <v/>
      </c>
      <c r="CZ26" s="185" t="str">
        <f>IF(Tim!DA28=FIT!$E$1,Tim!DA28,"")</f>
        <v/>
      </c>
      <c r="DA26" s="185" t="str">
        <f>IF(Tim!DB28=FIT!$E$1,Tim!DB28,"")</f>
        <v/>
      </c>
      <c r="DB26" s="185" t="str">
        <f>IF(Tim!DC28=FIT!$E$1,Tim!DC28,"")</f>
        <v/>
      </c>
      <c r="DC26" s="185" t="str">
        <f>IF(Tim!DD28=FIT!$E$1,Tim!DD28,"")</f>
        <v/>
      </c>
      <c r="DD26" s="185" t="str">
        <f>IF(Tim!DE28=FIT!$E$1,Tim!DE28,"")</f>
        <v/>
      </c>
      <c r="DE26" s="185" t="str">
        <f>IF(Tim!DF28=FIT!$E$1,Tim!DF28,"")</f>
        <v/>
      </c>
      <c r="DF26" s="185" t="str">
        <f>IF(Tim!DG28=FIT!$E$1,Tim!DG28,"")</f>
        <v/>
      </c>
      <c r="DG26" s="185" t="str">
        <f>IF(Tim!DH28=FIT!$E$1,Tim!DH28,"")</f>
        <v/>
      </c>
      <c r="DH26" s="185" t="str">
        <f>IF(Tim!DI28=FIT!$E$1,Tim!DI28,"")</f>
        <v/>
      </c>
      <c r="DI26" s="185" t="str">
        <f>IF(Tim!DM28=FIT!$E$1,Tim!DM28,"")</f>
        <v/>
      </c>
      <c r="DJ26" s="185" t="str">
        <f>IF(Tim!DN28=FIT!$E$1,Tim!DN28,"")</f>
        <v/>
      </c>
      <c r="DK26" s="185" t="str">
        <f>IF(Tim!DO28=FIT!$E$1,Tim!DO28,"")</f>
        <v/>
      </c>
      <c r="DL26" s="185" t="str">
        <f>IF(Tim!DP28=FIT!$E$1,Tim!DP28,"")</f>
        <v/>
      </c>
      <c r="DM26" s="185" t="str">
        <f>IF(Tim!DQ28=FIT!$E$1,Tim!DQ28,"")</f>
        <v/>
      </c>
      <c r="DN26" s="185" t="str">
        <f>IF(Tim!DR28=FIT!$E$1,Tim!DR28,"")</f>
        <v/>
      </c>
      <c r="DO26" s="185" t="str">
        <f>IF(Tim!DS28=FIT!$E$1,Tim!DS28,"")</f>
        <v/>
      </c>
      <c r="DP26" s="185" t="str">
        <f>IF(Tim!DT28=FIT!$E$1,Tim!DT28,"")</f>
        <v/>
      </c>
      <c r="DQ26" s="185" t="str">
        <f>IF(Tim!DU28=FIT!$E$1,Tim!DU28,"")</f>
        <v/>
      </c>
      <c r="DR26" s="185" t="str">
        <f>IF(Tim!DV28=FIT!$E$1,Tim!DV28,"")</f>
        <v/>
      </c>
      <c r="DS26" s="185" t="str">
        <f>IF(Tim!DW28=FIT!$E$1,Tim!DW28,"")</f>
        <v/>
      </c>
      <c r="DT26" s="185" t="str">
        <f>IF(Tim!DX28=FIT!$E$1,Tim!DX28,"")</f>
        <v/>
      </c>
      <c r="DU26" s="185" t="str">
        <f>IF(Tim!DY28=FIT!$E$1,Tim!DY28,"")</f>
        <v/>
      </c>
      <c r="DV26" s="185" t="str">
        <f>IF(Tim!DZ28=FIT!$E$1,Tim!DZ28,"")</f>
        <v/>
      </c>
      <c r="DW26" s="185" t="str">
        <f>IF(Tim!EA28=FIT!$E$1,Tim!EA28,"")</f>
        <v/>
      </c>
      <c r="DX26" s="185" t="str">
        <f>IF(Tim!EB28=FIT!$E$1,Tim!EB28,"")</f>
        <v/>
      </c>
      <c r="DY26" s="185" t="str">
        <f>IF(Tim!EC28=FIT!$E$1,Tim!EC28,"")</f>
        <v/>
      </c>
      <c r="DZ26" s="185" t="str">
        <f>IF(Tim!ED28=FIT!$E$1,Tim!ED28,"")</f>
        <v/>
      </c>
      <c r="EA26" s="185" t="str">
        <f>IF(Tim!EE28=FIT!$E$1,Tim!EE28,"")</f>
        <v/>
      </c>
      <c r="EB26" s="185" t="str">
        <f>IF(Tim!EF28=FIT!$E$1,Tim!EF28,"")</f>
        <v/>
      </c>
      <c r="EC26" s="185" t="str">
        <f>IF(Tim!EG28=FIT!$E$1,Tim!EG28,"")</f>
        <v/>
      </c>
      <c r="ED26" s="185" t="str">
        <f>IF(Tim!EH28=FIT!$E$1,Tim!EH28,"")</f>
        <v/>
      </c>
      <c r="EE26" s="185" t="str">
        <f>IF(Tim!EI28=FIT!$E$1,Tim!EI28,"")</f>
        <v/>
      </c>
      <c r="EF26" s="185" t="str">
        <f>IF(Tim!EJ28=FIT!$E$1,Tim!EJ28,"")</f>
        <v/>
      </c>
      <c r="EG26" s="185" t="str">
        <f>IF(Tim!EK28=FIT!$E$1,Tim!EK28,"")</f>
        <v/>
      </c>
      <c r="EH26" s="185" t="str">
        <f>IF(Tim!EL28=FIT!$E$1,Tim!EL28,"")</f>
        <v/>
      </c>
      <c r="EI26" s="185" t="str">
        <f>IF(Tim!EM28=FIT!$E$1,Tim!EM28,"")</f>
        <v/>
      </c>
      <c r="EJ26" s="185" t="str">
        <f>IF(Tim!EN28=FIT!$E$1,Tim!EN28,"")</f>
        <v/>
      </c>
      <c r="EK26" s="185" t="str">
        <f>IF(Tim!EO28=FIT!$E$1,Tim!EO28,"")</f>
        <v/>
      </c>
      <c r="EL26" s="185" t="str">
        <f>IF(Tim!EP28=FIT!$E$1,Tim!EP28,"")</f>
        <v/>
      </c>
      <c r="EM26" s="185" t="str">
        <f>IF(Tim!EQ28=FIT!$E$1,Tim!EQ28,"")</f>
        <v/>
      </c>
      <c r="EN26" s="185" t="str">
        <f>IF(Tim!ER28=FIT!$E$1,Tim!ER28,"")</f>
        <v/>
      </c>
      <c r="EO26" s="185" t="str">
        <f>IF(Tim!ES28=FIT!$E$1,Tim!ES28,"")</f>
        <v/>
      </c>
      <c r="EP26" s="185" t="str">
        <f>IF(Tim!ET28=FIT!$E$1,Tim!ET28,"")</f>
        <v/>
      </c>
      <c r="EQ26" s="185" t="str">
        <f>IF(Tim!EU28=FIT!$E$1,Tim!EU28,"")</f>
        <v/>
      </c>
      <c r="ER26" s="185" t="str">
        <f>IF(Tim!EV28=FIT!$E$1,Tim!EV28,"")</f>
        <v/>
      </c>
      <c r="ES26" s="185" t="str">
        <f>IF(Tim!EW28=FIT!$E$1,Tim!EW28,"")</f>
        <v/>
      </c>
      <c r="ET26" s="185" t="str">
        <f>IF(Tim!EX28=FIT!$E$1,Tim!EX28,"")</f>
        <v/>
      </c>
      <c r="EU26" s="185" t="str">
        <f>IF(Tim!EY28=FIT!$E$1,Tim!EY28,"")</f>
        <v/>
      </c>
      <c r="EV26" s="185" t="str">
        <f>IF(Tim!EZ28=FIT!$E$1,Tim!EZ28,"")</f>
        <v/>
      </c>
      <c r="EW26" s="185" t="str">
        <f>IF(Tim!FA28=FIT!$E$1,Tim!FA28,"")</f>
        <v/>
      </c>
      <c r="EX26" s="185" t="str">
        <f>IF(Tim!FB28=FIT!$E$1,Tim!FB28,"")</f>
        <v/>
      </c>
      <c r="EY26" s="185" t="str">
        <f>IF(Tim!FC28=FIT!$E$1,Tim!FC28,"")</f>
        <v/>
      </c>
      <c r="EZ26" s="185" t="str">
        <f>IF(Tim!FD28=FIT!$E$1,Tim!FD28,"")</f>
        <v/>
      </c>
      <c r="FA26" s="185" t="str">
        <f>IF(Tim!FE28=FIT!$E$1,Tim!FE28,"")</f>
        <v/>
      </c>
      <c r="FB26" s="185" t="str">
        <f>IF(Tim!FF28=FIT!$E$1,Tim!FF28,"")</f>
        <v/>
      </c>
      <c r="FC26" s="185" t="str">
        <f>IF(Tim!FG28=FIT!$E$1,Tim!FG28,"")</f>
        <v/>
      </c>
      <c r="FD26" s="185" t="str">
        <f>IF(Tim!FH28=FIT!$E$1,Tim!FH28,"")</f>
        <v/>
      </c>
      <c r="FE26" s="185" t="str">
        <f>IF(Tim!FI28=FIT!$E$1,Tim!FI28,"")</f>
        <v/>
      </c>
      <c r="FF26" s="185" t="str">
        <f>IF(Tim!FJ28=FIT!$E$1,Tim!FJ28,"")</f>
        <v/>
      </c>
      <c r="FG26" s="185" t="str">
        <f>IF(Tim!FK28=FIT!$E$1,Tim!FK28,"")</f>
        <v/>
      </c>
      <c r="FH26" s="185" t="str">
        <f>IF(Tim!FL28=FIT!$E$1,Tim!FL28,"")</f>
        <v/>
      </c>
      <c r="FI26" s="185" t="str">
        <f>IF(Tim!FM28=FIT!$E$1,Tim!FM28,"")</f>
        <v/>
      </c>
      <c r="FJ26" s="185" t="str">
        <f>IF(Tim!FN28=FIT!$E$1,Tim!FN28,"")</f>
        <v/>
      </c>
      <c r="FK26" s="185" t="str">
        <f>IF(Tim!FO28=FIT!$E$1,Tim!FO28,"")</f>
        <v/>
      </c>
      <c r="FL26" s="185" t="str">
        <f>IF(Tim!FP28=FIT!$E$1,Tim!FP28,"")</f>
        <v/>
      </c>
      <c r="FM26" s="185" t="str">
        <f>IF(Tim!FQ28=FIT!$E$1,Tim!FQ28,"")</f>
        <v/>
      </c>
      <c r="FN26" s="185" t="str">
        <f>IF(Tim!FR28=FIT!$E$1,Tim!FR28,"")</f>
        <v/>
      </c>
      <c r="FO26" s="185" t="str">
        <f>IF(Tim!FS28=FIT!$E$1,Tim!FS28,"")</f>
        <v/>
      </c>
      <c r="FP26" s="185" t="str">
        <f>IF(Tim!FT28=FIT!$E$1,Tim!FT28,"")</f>
        <v/>
      </c>
      <c r="FQ26" s="185" t="str">
        <f>IF(Tim!FU28=FIT!$E$1,Tim!FU28,"")</f>
        <v/>
      </c>
      <c r="FR26" s="185" t="str">
        <f>IF(Tim!FV28=FIT!$E$1,Tim!FV28,"")</f>
        <v/>
      </c>
      <c r="FS26" s="185" t="str">
        <f>IF(Tim!FW28=FIT!$E$1,Tim!FW28,"")</f>
        <v/>
      </c>
      <c r="FT26" s="185" t="str">
        <f>IF(Tim!FX28=FIT!$E$1,Tim!FX28,"")</f>
        <v/>
      </c>
      <c r="FU26" s="185" t="str">
        <f>IF(Tim!FY28=FIT!$E$1,Tim!FY28,"")</f>
        <v/>
      </c>
      <c r="FV26" s="185" t="str">
        <f>IF(Tim!FZ28=FIT!$E$1,Tim!FZ28,"")</f>
        <v/>
      </c>
      <c r="FW26" s="185" t="str">
        <f>IF(Tim!GA28=FIT!$E$1,Tim!GA28,"")</f>
        <v/>
      </c>
      <c r="FX26" s="185" t="str">
        <f>IF(Tim!GB28=FIT!$E$1,Tim!GB28,"")</f>
        <v/>
      </c>
      <c r="FY26" s="185" t="str">
        <f>IF(Tim!GC28=FIT!$E$1,Tim!GC28,"")</f>
        <v/>
      </c>
      <c r="FZ26" s="185" t="str">
        <f>IF(Tim!GD28=FIT!$E$1,Tim!GD28,"")</f>
        <v/>
      </c>
      <c r="GA26" s="185" t="str">
        <f>IF(Tim!GE28=FIT!$E$1,Tim!GE28,"")</f>
        <v/>
      </c>
      <c r="GB26" s="185" t="str">
        <f>IF(Tim!GF28=FIT!$E$1,Tim!GF28,"")</f>
        <v/>
      </c>
      <c r="GC26" s="185" t="str">
        <f>IF(Tim!GG28=FIT!$E$1,Tim!GG28,"")</f>
        <v/>
      </c>
      <c r="GD26" s="185" t="str">
        <f>IF(Tim!GH28=FIT!$E$1,Tim!GH28,"")</f>
        <v/>
      </c>
      <c r="GE26" s="185" t="str">
        <f>IF(Tim!GI28=FIT!$E$1,Tim!GI28,"")</f>
        <v/>
      </c>
      <c r="GF26" s="185" t="str">
        <f>IF(Tim!GJ28=FIT!$E$1,Tim!GJ28,"")</f>
        <v/>
      </c>
      <c r="GG26" s="185" t="str">
        <f>IF(Tim!GK28=FIT!$E$1,Tim!GK28,"")</f>
        <v/>
      </c>
      <c r="GH26" s="185" t="str">
        <f>IF(Tim!GL28=FIT!$E$1,Tim!GL28,"")</f>
        <v/>
      </c>
      <c r="GI26" s="185" t="str">
        <f>IF(Tim!GM28=FIT!$E$1,Tim!GM28,"")</f>
        <v/>
      </c>
      <c r="GJ26" s="185" t="str">
        <f>IF(Tim!GN28=FIT!$E$1,Tim!GN28,"")</f>
        <v/>
      </c>
      <c r="GK26" s="185" t="str">
        <f>IF(Tim!GO28=FIT!$E$1,Tim!GO28,"")</f>
        <v/>
      </c>
      <c r="GL26" s="185" t="str">
        <f>IF(Tim!GP28=FIT!$E$1,Tim!GP28,"")</f>
        <v/>
      </c>
      <c r="GM26" s="185" t="str">
        <f>IF(Tim!GQ28=FIT!$E$1,Tim!GQ28,"")</f>
        <v/>
      </c>
      <c r="GN26" s="185" t="str">
        <f>IF(Tim!GR28=FIT!$E$1,Tim!GR28,"")</f>
        <v/>
      </c>
      <c r="GO26" s="185" t="str">
        <f>IF(Tim!GS28=FIT!$E$1,Tim!GS28,"")</f>
        <v/>
      </c>
      <c r="GP26" s="185" t="str">
        <f>IF(Tim!GT28=FIT!$E$1,Tim!GT28,"")</f>
        <v/>
      </c>
      <c r="GQ26" s="185" t="str">
        <f>IF(Tim!GU28=FIT!$E$1,Tim!GU28,"")</f>
        <v/>
      </c>
      <c r="GR26" s="185" t="str">
        <f>IF(Tim!GV28=FIT!$E$1,Tim!GV28,"")</f>
        <v/>
      </c>
      <c r="GS26" s="185" t="str">
        <f>IF(Tim!GW28=FIT!$E$1,Tim!GW28,"")</f>
        <v/>
      </c>
      <c r="GT26" s="185" t="str">
        <f>IF(Tim!GX28=FIT!$E$1,Tim!GX28,"")</f>
        <v/>
      </c>
      <c r="GU26" s="185" t="str">
        <f>IF(Tim!GY28=FIT!$E$1,Tim!GY28,"")</f>
        <v/>
      </c>
      <c r="GV26" s="185" t="str">
        <f>IF(Tim!GZ28=FIT!$E$1,Tim!GZ28,"")</f>
        <v/>
      </c>
      <c r="GW26" s="185" t="str">
        <f>IF(Tim!HA28=FIT!$E$1,Tim!HA28,"")</f>
        <v/>
      </c>
      <c r="GX26" s="185" t="str">
        <f>IF(Tim!HB28=FIT!$E$1,Tim!HB28,"")</f>
        <v/>
      </c>
      <c r="GY26" s="185" t="str">
        <f>IF(Tim!HC28=FIT!$E$1,Tim!HC28,"")</f>
        <v/>
      </c>
      <c r="GZ26" s="185" t="str">
        <f>IF(Tim!HD28=FIT!$E$1,Tim!HD28,"")</f>
        <v/>
      </c>
      <c r="HA26" s="185" t="str">
        <f>IF(Tim!HE28=FIT!$E$1,Tim!HE28,"")</f>
        <v/>
      </c>
      <c r="HB26" s="185" t="str">
        <f>IF(Tim!HF28=FIT!$E$1,Tim!HF28,"")</f>
        <v/>
      </c>
      <c r="HC26" s="185" t="str">
        <f>IF(Tim!HG28=FIT!$E$1,Tim!HG28,"")</f>
        <v/>
      </c>
      <c r="HD26" s="185" t="str">
        <f>IF(Tim!HH28=FIT!$E$1,Tim!HH28,"")</f>
        <v/>
      </c>
      <c r="HE26" s="185" t="str">
        <f>IF(Tim!HI28=FIT!$E$1,Tim!HI28,"")</f>
        <v/>
      </c>
      <c r="HF26" s="185" t="str">
        <f>IF(Tim!HJ28=FIT!$E$1,Tim!HJ28,"")</f>
        <v/>
      </c>
      <c r="HG26" s="185" t="str">
        <f>IF(Tim!HK28=FIT!$E$1,Tim!HK28,"")</f>
        <v/>
      </c>
      <c r="HH26" s="185" t="str">
        <f>IF(Tim!HL28=FIT!$E$1,Tim!HL28,"")</f>
        <v/>
      </c>
      <c r="HI26" s="185" t="str">
        <f>IF(Tim!HM28=FIT!$E$1,Tim!HM28,"")</f>
        <v/>
      </c>
      <c r="HJ26" s="185" t="str">
        <f>IF(Tim!HN28=FIT!$E$1,Tim!HN28,"")</f>
        <v/>
      </c>
      <c r="HK26" s="185" t="str">
        <f>IF(Tim!HO28=FIT!$E$1,Tim!HO28,"")</f>
        <v/>
      </c>
      <c r="HL26" s="185" t="str">
        <f>IF(Tim!HP28=FIT!$E$1,Tim!HP28,"")</f>
        <v/>
      </c>
      <c r="HM26" s="185" t="str">
        <f>IF(Tim!HQ28=FIT!$E$1,Tim!HQ28,"")</f>
        <v/>
      </c>
      <c r="HN26" s="185" t="str">
        <f>IF(Tim!HR28=FIT!$E$1,Tim!HR28,"")</f>
        <v/>
      </c>
      <c r="HO26" s="185" t="str">
        <f>IF(Tim!HS28=FIT!$E$1,Tim!HS28,"")</f>
        <v/>
      </c>
      <c r="HP26" s="185" t="str">
        <f>IF(Tim!HT28=FIT!$E$1,Tim!HT28,"")</f>
        <v/>
      </c>
      <c r="HQ26" s="185" t="str">
        <f>IF(Tim!HU28=FIT!$E$1,Tim!HU28,"")</f>
        <v/>
      </c>
      <c r="HR26" s="185" t="str">
        <f>IF(Tim!HV28=FIT!$E$1,Tim!HV28,"")</f>
        <v/>
      </c>
      <c r="HS26" s="185" t="str">
        <f>IF(Tim!HW28=FIT!$E$1,Tim!HW28,"")</f>
        <v/>
      </c>
      <c r="HT26" s="185" t="str">
        <f>IF(Tim!HX28=FIT!$E$1,Tim!HX28,"")</f>
        <v/>
      </c>
      <c r="HU26" s="185" t="str">
        <f>IF(Tim!HY28=FIT!$E$1,Tim!HY28,"")</f>
        <v/>
      </c>
      <c r="HV26" s="185" t="str">
        <f>IF(Tim!HZ28=FIT!$E$1,Tim!HZ28,"")</f>
        <v/>
      </c>
      <c r="HW26" s="185" t="str">
        <f>IF(Tim!IA28=FIT!$E$1,Tim!IA28,"")</f>
        <v/>
      </c>
      <c r="HX26" s="185" t="str">
        <f>IF(Tim!IB28=FIT!$E$1,Tim!IB28,"")</f>
        <v/>
      </c>
      <c r="HY26" s="185" t="str">
        <f>IF(Tim!IC28=FIT!$E$1,Tim!IC28,"")</f>
        <v/>
      </c>
      <c r="HZ26" s="185" t="str">
        <f>IF(Tim!ID28=FIT!$E$1,Tim!ID28,"")</f>
        <v/>
      </c>
      <c r="IA26" s="185" t="str">
        <f>IF(Tim!IE28=FIT!$E$1,Tim!IE28,"")</f>
        <v/>
      </c>
      <c r="IB26" s="185" t="str">
        <f>IF(Tim!IF28=FIT!$E$1,Tim!IF28,"")</f>
        <v/>
      </c>
      <c r="IC26" s="185" t="str">
        <f>IF(Tim!IG28=FIT!$E$1,Tim!IG28,"")</f>
        <v/>
      </c>
      <c r="ID26" s="185" t="str">
        <f>IF(Tim!IH28=FIT!$E$1,Tim!IH28,"")</f>
        <v/>
      </c>
      <c r="IE26" s="185" t="str">
        <f>IF(Tim!II28=FIT!$E$1,Tim!II28,"")</f>
        <v/>
      </c>
      <c r="IF26" s="185" t="str">
        <f>IF(Tim!IJ28=FIT!$E$1,Tim!IJ28,"")</f>
        <v/>
      </c>
      <c r="IG26" s="185" t="str">
        <f>IF(Tim!IK28=FIT!$E$1,Tim!IK28,"")</f>
        <v/>
      </c>
      <c r="IH26" s="185" t="str">
        <f>IF(Tim!IL28=FIT!$E$1,Tim!IL28,"")</f>
        <v/>
      </c>
      <c r="II26" s="185" t="str">
        <f>IF(Tim!IM28=FIT!$E$1,Tim!IM28,"")</f>
        <v/>
      </c>
      <c r="IJ26" s="185" t="str">
        <f>IF(Tim!IN28=FIT!$E$1,Tim!IN28,"")</f>
        <v/>
      </c>
      <c r="IK26" s="185" t="str">
        <f>IF(Tim!IO28=FIT!$E$1,Tim!IO28,"")</f>
        <v/>
      </c>
      <c r="IL26" s="185" t="str">
        <f>IF(Tim!IP28=FIT!$E$1,Tim!IP28,"")</f>
        <v/>
      </c>
      <c r="IM26" s="185" t="str">
        <f>IF(Tim!IQ28=FIT!$E$1,Tim!IQ28,"")</f>
        <v/>
      </c>
      <c r="IN26" s="185" t="str">
        <f>IF(Tim!IR28=FIT!$E$1,Tim!IR28,"")</f>
        <v/>
      </c>
      <c r="IO26" s="185" t="str">
        <f>IF(Tim!IS28=FIT!$E$1,Tim!IS28,"")</f>
        <v/>
      </c>
      <c r="IP26" s="185" t="str">
        <f>IF(Tim!IT28=FIT!$E$1,Tim!IT28,"")</f>
        <v/>
      </c>
      <c r="IQ26" s="185" t="str">
        <f>IF(Tim!IU28=FIT!$E$1,Tim!IU28,"")</f>
        <v/>
      </c>
      <c r="IR26" s="185" t="str">
        <f>IF(Tim!IV28=FIT!$E$1,Tim!IV28,"")</f>
        <v/>
      </c>
      <c r="IS26" s="185" t="str">
        <f>IF(Tim!IW28=FIT!$E$1,Tim!IW28,"")</f>
        <v/>
      </c>
      <c r="IT26" s="185" t="str">
        <f>IF(Tim!IX28=FIT!$E$1,Tim!IX28,"")</f>
        <v/>
      </c>
      <c r="IU26" s="185" t="str">
        <f>IF(Tim!IY28=FIT!$E$1,Tim!IY28,"")</f>
        <v/>
      </c>
      <c r="IV26" s="185" t="str">
        <f>IF(Tim!IZ28=FIT!$E$1,Tim!IZ28,"")</f>
        <v/>
      </c>
      <c r="IW26" s="185" t="str">
        <f>IF(Tim!JA28=FIT!$E$1,Tim!JA28,"")</f>
        <v/>
      </c>
      <c r="IX26" s="185" t="str">
        <f>IF(Tim!JB28=FIT!$E$1,Tim!JB28,"")</f>
        <v/>
      </c>
      <c r="IY26" s="185" t="str">
        <f>IF(Tim!JC28=FIT!$E$1,Tim!JC28,"")</f>
        <v/>
      </c>
      <c r="IZ26" s="185" t="str">
        <f>IF(Tim!JD28=FIT!$E$1,Tim!JD28,"")</f>
        <v/>
      </c>
      <c r="JA26" s="185" t="str">
        <f>IF(Tim!JE28=FIT!$E$1,Tim!JE28,"")</f>
        <v/>
      </c>
      <c r="JB26" s="185" t="str">
        <f>IF(Tim!JF28=FIT!$E$1,Tim!JF28,"")</f>
        <v/>
      </c>
      <c r="JC26" s="185" t="str">
        <f>IF(Tim!JG28=FIT!$E$1,Tim!JG28,"")</f>
        <v/>
      </c>
      <c r="JD26" s="185" t="str">
        <f>IF(Tim!JH28=FIT!$E$1,Tim!JH28,"")</f>
        <v/>
      </c>
      <c r="JE26" s="185" t="str">
        <f>IF(Tim!JI28=FIT!$E$1,Tim!JI28,"")</f>
        <v/>
      </c>
      <c r="JF26" s="185" t="str">
        <f>IF(Tim!JJ28=FIT!$E$1,Tim!JJ28,"")</f>
        <v/>
      </c>
      <c r="JG26" s="185" t="str">
        <f>IF(Tim!JK28=FIT!$E$1,Tim!JK28,"")</f>
        <v/>
      </c>
      <c r="JH26" s="185" t="str">
        <f>IF(Tim!JL28=FIT!$E$1,Tim!JL28,"")</f>
        <v/>
      </c>
      <c r="JI26" s="185" t="str">
        <f>IF(Tim!JM28=FIT!$E$1,Tim!JM28,"")</f>
        <v/>
      </c>
      <c r="JJ26" s="185" t="str">
        <f>IF(Tim!JN28=FIT!$E$1,Tim!JN28,"")</f>
        <v/>
      </c>
      <c r="JK26" s="185" t="str">
        <f>IF(Tim!JO28=FIT!$E$1,Tim!JO28,"")</f>
        <v/>
      </c>
      <c r="JL26" s="185" t="str">
        <f>IF(Tim!JP28=FIT!$E$1,Tim!JP28,"")</f>
        <v/>
      </c>
      <c r="JM26" s="185" t="str">
        <f>IF(Tim!JQ28=FIT!$E$1,Tim!JQ28,"")</f>
        <v/>
      </c>
      <c r="JN26" s="185" t="str">
        <f>IF(Tim!JR28=FIT!$E$1,Tim!JR28,"")</f>
        <v/>
      </c>
      <c r="JO26" s="185" t="str">
        <f>IF(Tim!JS28=FIT!$E$1,Tim!JS28,"")</f>
        <v/>
      </c>
      <c r="JP26" s="185" t="str">
        <f>IF(Tim!JT28=FIT!$E$1,Tim!JT28,"")</f>
        <v/>
      </c>
      <c r="JQ26" s="185" t="str">
        <f>IF(Tim!JU28=FIT!$E$1,Tim!JU28,"")</f>
        <v/>
      </c>
      <c r="JR26" s="185" t="str">
        <f>IF(Tim!JV28=FIT!$E$1,Tim!JV28,"")</f>
        <v/>
      </c>
      <c r="JS26" s="185" t="str">
        <f>IF(Tim!JW28=FIT!$E$1,Tim!JW28,"")</f>
        <v/>
      </c>
      <c r="JT26" s="185" t="str">
        <f>IF(Tim!JX28=FIT!$E$1,Tim!JX28,"")</f>
        <v/>
      </c>
      <c r="JU26" s="185" t="str">
        <f>IF(Tim!JY28=FIT!$E$1,Tim!JY28,"")</f>
        <v/>
      </c>
      <c r="JV26" s="185" t="str">
        <f>IF(Tim!JZ28=FIT!$E$1,Tim!JZ28,"")</f>
        <v/>
      </c>
      <c r="JW26" s="185" t="str">
        <f>IF(Tim!KA28=FIT!$E$1,Tim!KA28,"")</f>
        <v/>
      </c>
      <c r="JX26" s="185" t="str">
        <f>IF(Tim!KB28=FIT!$E$1,Tim!KB28,"")</f>
        <v/>
      </c>
      <c r="JY26" s="185" t="str">
        <f>IF(Tim!KC28=FIT!$E$1,Tim!KC28,"")</f>
        <v/>
      </c>
      <c r="JZ26" s="185" t="str">
        <f>IF(Tim!KD28=FIT!$E$1,Tim!KD28,"")</f>
        <v/>
      </c>
      <c r="KA26" s="185" t="str">
        <f>IF(Tim!KE28=FIT!$E$1,Tim!KE28,"")</f>
        <v/>
      </c>
      <c r="KB26" s="185" t="str">
        <f>IF(Tim!KF28=FIT!$E$1,Tim!KF28,"")</f>
        <v/>
      </c>
      <c r="KC26" s="185" t="str">
        <f>IF(Tim!KG28=FIT!$E$1,Tim!KG28,"")</f>
        <v/>
      </c>
      <c r="KD26" s="185" t="str">
        <f>IF(Tim!KH28=FIT!$E$1,Tim!KH28,"")</f>
        <v/>
      </c>
      <c r="KE26" s="185" t="str">
        <f>IF(Tim!KI28=FIT!$E$1,Tim!KI28,"")</f>
        <v/>
      </c>
      <c r="KF26" s="185" t="str">
        <f>IF(Tim!KJ28=FIT!$E$1,Tim!KJ28,"")</f>
        <v/>
      </c>
      <c r="KG26" s="185" t="str">
        <f>IF(Tim!KK28=FIT!$E$1,Tim!KK28,"")</f>
        <v/>
      </c>
      <c r="KH26" s="185" t="str">
        <f>IF(Tim!KL28=FIT!$E$1,Tim!KL28,"")</f>
        <v/>
      </c>
      <c r="KI26" s="185" t="str">
        <f>IF(Tim!KM28=FIT!$E$1,Tim!KM28,"")</f>
        <v/>
      </c>
      <c r="KJ26" s="185" t="str">
        <f>IF(Tim!KN28=FIT!$E$1,Tim!KN28,"")</f>
        <v/>
      </c>
      <c r="KK26" s="185" t="str">
        <f>IF(Tim!KO28=FIT!$E$1,Tim!KO28,"")</f>
        <v/>
      </c>
      <c r="KL26" s="185" t="str">
        <f>IF(Tim!KP28=FIT!$E$1,Tim!KP28,"")</f>
        <v/>
      </c>
      <c r="KM26" s="185" t="str">
        <f>IF(Tim!KQ28=FIT!$E$1,Tim!KQ28,"")</f>
        <v/>
      </c>
      <c r="KN26" s="185" t="str">
        <f>IF(Tim!KR28=FIT!$E$1,Tim!KR28,"")</f>
        <v/>
      </c>
      <c r="KO26" s="185" t="str">
        <f>IF(Tim!KS28=FIT!$E$1,Tim!KS28,"")</f>
        <v/>
      </c>
      <c r="KP26" s="185" t="str">
        <f>IF(Tim!KT28=FIT!$E$1,Tim!KT28,"")</f>
        <v/>
      </c>
      <c r="KQ26" s="185" t="str">
        <f>IF(Tim!KU28=FIT!$E$1,Tim!KU28,"")</f>
        <v/>
      </c>
      <c r="KR26" s="185" t="str">
        <f>IF(Tim!KV28=FIT!$E$1,Tim!KV28,"")</f>
        <v/>
      </c>
      <c r="KS26" s="185" t="str">
        <f>IF(Tim!KW28=FIT!$E$1,Tim!KW28,"")</f>
        <v/>
      </c>
      <c r="KT26" s="185" t="str">
        <f>IF(Tim!KX28=FIT!$E$1,Tim!KX28,"")</f>
        <v/>
      </c>
      <c r="KU26" s="185" t="str">
        <f>IF(Tim!KY28=FIT!$E$1,Tim!KY28,"")</f>
        <v/>
      </c>
      <c r="KV26" s="185" t="str">
        <f>IF(Tim!KZ28=FIT!$E$1,Tim!KZ28,"")</f>
        <v/>
      </c>
      <c r="KW26" s="185" t="str">
        <f>IF(Tim!LA28=FIT!$E$1,Tim!LA28,"")</f>
        <v/>
      </c>
      <c r="KX26" s="185" t="str">
        <f>IF(Tim!LB28=FIT!$E$1,Tim!LB28,"")</f>
        <v/>
      </c>
      <c r="KY26" s="185" t="str">
        <f>IF(Tim!LC28=FIT!$E$1,Tim!LC28,"")</f>
        <v/>
      </c>
      <c r="KZ26" s="185" t="str">
        <f>IF(Tim!LD28=FIT!$E$1,Tim!LD28,"")</f>
        <v/>
      </c>
      <c r="LA26" s="185" t="str">
        <f>IF(Tim!LE28=FIT!$E$1,Tim!LE28,"")</f>
        <v/>
      </c>
      <c r="LB26" s="52">
        <v>0.51041666666666596</v>
      </c>
    </row>
    <row r="27" spans="2:314" ht="10.5" customHeight="1">
      <c r="B27" s="49">
        <v>0.25</v>
      </c>
      <c r="C27" s="49">
        <v>0.25</v>
      </c>
      <c r="D27" s="49">
        <v>0.25</v>
      </c>
      <c r="E27" s="172">
        <v>0.52083333333333304</v>
      </c>
      <c r="F27" s="238" t="str">
        <f>IF(Tim!F29=FIT!$E$1,Tim!F29,"")</f>
        <v/>
      </c>
      <c r="G27" s="185" t="str">
        <f>IF(Tim!G29=FIT!$E$1,Tim!G29,"")</f>
        <v/>
      </c>
      <c r="H27" s="185" t="str">
        <f>IF(Tim!H29=FIT!$E$1,Tim!H29,"")</f>
        <v/>
      </c>
      <c r="I27" s="185" t="str">
        <f>IF(Tim!I29=FIT!$E$1,Tim!I29,"")</f>
        <v/>
      </c>
      <c r="J27" s="185" t="str">
        <f>IF(Tim!J29=FIT!$E$1,Tim!J29,"")</f>
        <v/>
      </c>
      <c r="K27" s="185" t="str">
        <f>IF(Tim!K29=FIT!$E$1,Tim!K29,"")</f>
        <v/>
      </c>
      <c r="L27" s="185" t="str">
        <f>IF(Tim!L29=FIT!$E$1,Tim!L29,"")</f>
        <v/>
      </c>
      <c r="M27" s="185" t="str">
        <f>IF(Tim!M29=FIT!$E$1,Tim!M29,"")</f>
        <v/>
      </c>
      <c r="N27" s="185" t="str">
        <f>IF(Tim!N29=FIT!$E$1,Tim!N29,"")</f>
        <v/>
      </c>
      <c r="O27" s="185" t="str">
        <f>IF(Tim!O29=FIT!$E$1,Tim!O29,"")</f>
        <v/>
      </c>
      <c r="P27" s="185" t="str">
        <f>IF(Tim!P29=FIT!$E$1,Tim!P29,"")</f>
        <v/>
      </c>
      <c r="Q27" s="185" t="str">
        <f>IF(Tim!Q29=FIT!$E$1,Tim!Q29,"")</f>
        <v/>
      </c>
      <c r="R27" s="185" t="str">
        <f>IF(Tim!R29=FIT!$E$1,Tim!R29,"")</f>
        <v/>
      </c>
      <c r="S27" s="185" t="str">
        <f>IF(Tim!S29=FIT!$E$1,Tim!S29,"")</f>
        <v/>
      </c>
      <c r="T27" s="185" t="str">
        <f>IF(Tim!T29=FIT!$E$1,Tim!T29,"")</f>
        <v/>
      </c>
      <c r="U27" s="185" t="str">
        <f>IF(Tim!U29=FIT!$E$1,Tim!U29,"")</f>
        <v/>
      </c>
      <c r="V27" s="185" t="str">
        <f>IF(Tim!W29=FIT!$E$1,Tim!W29,"")</f>
        <v/>
      </c>
      <c r="W27" s="185" t="str">
        <f>IF(Tim!X29=FIT!$E$1,Tim!X29,"")</f>
        <v/>
      </c>
      <c r="X27" s="185" t="str">
        <f>IF(Tim!Y29=FIT!$E$1,Tim!Y29,"")</f>
        <v/>
      </c>
      <c r="Y27" s="185" t="str">
        <f>IF(Tim!Z29=FIT!$E$1,Tim!Z29,"")</f>
        <v/>
      </c>
      <c r="Z27" s="185" t="str">
        <f>IF(Tim!AA29=FIT!$E$1,Tim!AA29,"")</f>
        <v/>
      </c>
      <c r="AA27" s="185" t="str">
        <f>IF(Tim!AB29=FIT!$E$1,Tim!AB29,"")</f>
        <v/>
      </c>
      <c r="AB27" s="185" t="str">
        <f>IF(Tim!AC29=FIT!$E$1,Tim!AC29,"")</f>
        <v/>
      </c>
      <c r="AC27" s="185" t="str">
        <f>IF(Tim!AD29=FIT!$E$1,Tim!AD29,"")</f>
        <v/>
      </c>
      <c r="AD27" s="185" t="str">
        <f>IF(Tim!AE29=FIT!$E$1,Tim!AE29,"")</f>
        <v/>
      </c>
      <c r="AE27" s="185" t="str">
        <f>IF(Tim!AF29=FIT!$E$1,Tim!AF29,"")</f>
        <v/>
      </c>
      <c r="AF27" s="185" t="str">
        <f>IF(Tim!AG29=FIT!$E$1,Tim!AG29,"")</f>
        <v/>
      </c>
      <c r="AG27" s="185" t="str">
        <f>IF(Tim!AH29=FIT!$E$1,Tim!AH29,"")</f>
        <v/>
      </c>
      <c r="AH27" s="185" t="str">
        <f>IF(Tim!AI29=FIT!$E$1,Tim!AI29,"")</f>
        <v/>
      </c>
      <c r="AI27" s="185" t="str">
        <f>IF(Tim!AJ29=FIT!$E$1,Tim!AJ29,"")</f>
        <v/>
      </c>
      <c r="AJ27" s="185" t="str">
        <f>IF(Tim!AK29=FIT!$E$1,Tim!AK29,"")</f>
        <v/>
      </c>
      <c r="AK27" s="185" t="str">
        <f>IF(Tim!AL29=FIT!$E$1,Tim!AL29,"")</f>
        <v/>
      </c>
      <c r="AL27" s="185" t="str">
        <f>IF(Tim!AM29=FIT!$E$1,Tim!AM29,"")</f>
        <v/>
      </c>
      <c r="AM27" s="185" t="str">
        <f>IF(Tim!AN29=FIT!$E$1,Tim!AN29,"")</f>
        <v/>
      </c>
      <c r="AN27" s="185" t="str">
        <f>IF(Tim!AO29=FIT!$E$1,Tim!AO29,"")</f>
        <v/>
      </c>
      <c r="AO27" s="185" t="str">
        <f>IF(Tim!AP29=FIT!$E$1,Tim!AP29,"")</f>
        <v/>
      </c>
      <c r="AP27" s="185" t="str">
        <f>IF(Tim!AQ29=FIT!$E$1,Tim!AQ29,"")</f>
        <v/>
      </c>
      <c r="AQ27" s="185" t="str">
        <f>IF(Tim!AR29=FIT!$E$1,Tim!AR29,"")</f>
        <v/>
      </c>
      <c r="AR27" s="185" t="str">
        <f>IF(Tim!AS29=FIT!$E$1,Tim!AS29,"")</f>
        <v/>
      </c>
      <c r="AS27" s="185" t="str">
        <f>IF(Tim!AT29=FIT!$E$1,Tim!AT29,"")</f>
        <v/>
      </c>
      <c r="AT27" s="185" t="str">
        <f>IF(Tim!AU29=FIT!$E$1,Tim!AU29,"")</f>
        <v/>
      </c>
      <c r="AU27" s="185" t="str">
        <f>IF(Tim!AV29=FIT!$E$1,Tim!AV29,"")</f>
        <v/>
      </c>
      <c r="AV27" s="185" t="str">
        <f>IF(Tim!AW29=FIT!$E$1,Tim!AW29,"")</f>
        <v/>
      </c>
      <c r="AW27" s="186" t="str">
        <f>IF(Tim!AX29=FIT!$E$1,Tim!AX29,"")</f>
        <v/>
      </c>
      <c r="AX27" s="243" t="str">
        <f>IF(Tim!AY29=FIT!$E$1,Tim!AY29,"")</f>
        <v/>
      </c>
      <c r="AY27" s="185" t="str">
        <f>IF(Tim!AZ29=FIT!$E$1,Tim!AZ29,"")</f>
        <v/>
      </c>
      <c r="AZ27" s="185" t="str">
        <f>IF(Tim!BA29=FIT!$E$1,Tim!BA29,"")</f>
        <v/>
      </c>
      <c r="BA27" s="185" t="str">
        <f>IF(Tim!BB29=FIT!$E$1,Tim!BB29,"")</f>
        <v/>
      </c>
      <c r="BB27" s="185" t="str">
        <f>IF(Tim!BC29=FIT!$E$1,Tim!BC29,"")</f>
        <v/>
      </c>
      <c r="BC27" s="185" t="str">
        <f>IF(Tim!BD29=FIT!$E$1,Tim!BD29,"")</f>
        <v/>
      </c>
      <c r="BD27" s="185" t="str">
        <f>IF(Tim!BE29=FIT!$E$1,Tim!BE29,"")</f>
        <v/>
      </c>
      <c r="BE27" s="185" t="str">
        <f>IF(Tim!BF29=FIT!$E$1,Tim!BF29,"")</f>
        <v/>
      </c>
      <c r="BF27" s="185" t="str">
        <f>IF(Tim!BG29=FIT!$E$1,Tim!BG29,"")</f>
        <v/>
      </c>
      <c r="BG27" s="185" t="str">
        <f>IF(Tim!BH29=FIT!$E$1,Tim!BH29,"")</f>
        <v/>
      </c>
      <c r="BH27" s="185" t="str">
        <f>IF(Tim!BI29=FIT!$E$1,Tim!BI29,"")</f>
        <v/>
      </c>
      <c r="BI27" s="185" t="str">
        <f>IF(Tim!BJ29=FIT!$E$1,Tim!BJ29,"")</f>
        <v/>
      </c>
      <c r="BJ27" s="185" t="str">
        <f>IF(Tim!BK29=FIT!$E$1,Tim!BK29,"")</f>
        <v/>
      </c>
      <c r="BK27" s="185" t="str">
        <f>IF(Tim!BL29=FIT!$E$1,Tim!BL29,"")</f>
        <v/>
      </c>
      <c r="BL27" s="185" t="str">
        <f>IF(Tim!BM29=FIT!$E$1,Tim!BM29,"")</f>
        <v/>
      </c>
      <c r="BM27" s="185" t="str">
        <f>IF(Tim!BN29=FIT!$E$1,Tim!BN29,"")</f>
        <v/>
      </c>
      <c r="BN27" s="185" t="str">
        <f>IF(Tim!BO29=FIT!$E$1,Tim!BO29,"")</f>
        <v/>
      </c>
      <c r="BO27" s="185" t="str">
        <f>IF(Tim!BP29=FIT!$E$1,Tim!BP29,"")</f>
        <v/>
      </c>
      <c r="BP27" s="185" t="str">
        <f>IF(Tim!BQ29=FIT!$E$1,Tim!BQ29,"")</f>
        <v/>
      </c>
      <c r="BQ27" s="185" t="str">
        <f>IF(Tim!BR29=FIT!$E$1,Tim!BR29,"")</f>
        <v/>
      </c>
      <c r="BR27" s="185" t="str">
        <f>IF(Tim!BS29=FIT!$E$1,Tim!BS29,"")</f>
        <v/>
      </c>
      <c r="BS27" s="185" t="str">
        <f>IF(Tim!BT29=FIT!$E$1,Tim!BT29,"")</f>
        <v/>
      </c>
      <c r="BT27" s="185" t="str">
        <f>IF(Tim!BU29=FIT!$E$1,Tim!BU29,"")</f>
        <v/>
      </c>
      <c r="BU27" s="185" t="str">
        <f>IF(Tim!BV29=FIT!$E$1,Tim!BV29,"")</f>
        <v/>
      </c>
      <c r="BV27" s="185" t="str">
        <f>IF(Tim!BW29=FIT!$E$1,Tim!BW29,"")</f>
        <v/>
      </c>
      <c r="BW27" s="185" t="str">
        <f>IF(Tim!BX29=FIT!$E$1,Tim!BX29,"")</f>
        <v/>
      </c>
      <c r="BX27" s="185" t="str">
        <f>IF(Tim!BY29=FIT!$E$1,Tim!BY29,"")</f>
        <v/>
      </c>
      <c r="BY27" s="185" t="str">
        <f>IF(Tim!BZ29=FIT!$E$1,Tim!BZ29,"")</f>
        <v/>
      </c>
      <c r="BZ27" s="185" t="str">
        <f>IF(Tim!CA29=FIT!$E$1,Tim!CA29,"")</f>
        <v/>
      </c>
      <c r="CA27" s="185" t="str">
        <f>IF(Tim!CB29=FIT!$E$1,Tim!CB29,"")</f>
        <v/>
      </c>
      <c r="CB27" s="185" t="str">
        <f>IF(Tim!CC29=FIT!$E$1,Tim!CC29,"")</f>
        <v/>
      </c>
      <c r="CC27" s="185" t="str">
        <f>IF(Tim!CD29=FIT!$E$1,Tim!CD29,"")</f>
        <v/>
      </c>
      <c r="CD27" s="185" t="str">
        <f>IF(Tim!CE29=FIT!$E$1,Tim!CE29,"")</f>
        <v/>
      </c>
      <c r="CE27" s="185" t="str">
        <f>IF(Tim!CF29=FIT!$E$1,Tim!CF29,"")</f>
        <v/>
      </c>
      <c r="CF27" s="185" t="str">
        <f>IF(Tim!CG29=FIT!$E$1,Tim!CG29,"")</f>
        <v/>
      </c>
      <c r="CG27" s="185" t="str">
        <f>IF(Tim!CH29=FIT!$E$1,Tim!CH29,"")</f>
        <v/>
      </c>
      <c r="CH27" s="185" t="str">
        <f>IF(Tim!CI29=FIT!$E$1,Tim!CI29,"")</f>
        <v/>
      </c>
      <c r="CI27" s="185" t="str">
        <f>IF(Tim!CJ29=FIT!$E$1,Tim!CJ29,"")</f>
        <v/>
      </c>
      <c r="CJ27" s="185" t="str">
        <f>IF(Tim!CK29=FIT!$E$1,Tim!CK29,"")</f>
        <v/>
      </c>
      <c r="CK27" s="185" t="str">
        <f>IF(Tim!CL29=FIT!$E$1,Tim!CL29,"")</f>
        <v/>
      </c>
      <c r="CL27" s="185" t="str">
        <f>IF(Tim!CM29=FIT!$E$1,Tim!CM29,"")</f>
        <v/>
      </c>
      <c r="CM27" s="185" t="str">
        <f>IF(Tim!CN29=FIT!$E$1,Tim!CN29,"")</f>
        <v/>
      </c>
      <c r="CN27" s="185" t="str">
        <f>IF(Tim!CO29=FIT!$E$1,Tim!CO29,"")</f>
        <v/>
      </c>
      <c r="CO27" s="185" t="str">
        <f>IF(Tim!CP29=FIT!$E$1,Tim!CP29,"")</f>
        <v/>
      </c>
      <c r="CP27" s="185" t="str">
        <f>IF(Tim!CQ29=FIT!$E$1,Tim!CQ29,"")</f>
        <v/>
      </c>
      <c r="CQ27" s="185" t="str">
        <f>IF(Tim!CR29=FIT!$E$1,Tim!CR29,"")</f>
        <v/>
      </c>
      <c r="CR27" s="185" t="str">
        <f>IF(Tim!CS29=FIT!$E$1,Tim!CS29,"")</f>
        <v/>
      </c>
      <c r="CS27" s="185" t="str">
        <f>IF(Tim!CT29=FIT!$E$1,Tim!CT29,"")</f>
        <v/>
      </c>
      <c r="CT27" s="185" t="str">
        <f>IF(Tim!CU29=FIT!$E$1,Tim!CU29,"")</f>
        <v/>
      </c>
      <c r="CU27" s="185" t="str">
        <f>IF(Tim!CV29=FIT!$E$1,Tim!CV29,"")</f>
        <v/>
      </c>
      <c r="CV27" s="185" t="str">
        <f>IF(Tim!CW29=FIT!$E$1,Tim!CW29,"")</f>
        <v/>
      </c>
      <c r="CW27" s="185" t="str">
        <f>IF(Tim!CX29=FIT!$E$1,Tim!CX29,"")</f>
        <v/>
      </c>
      <c r="CX27" s="185" t="str">
        <f>IF(Tim!CY29=FIT!$E$1,Tim!CY29,"")</f>
        <v/>
      </c>
      <c r="CY27" s="185" t="str">
        <f>IF(Tim!CZ29=FIT!$E$1,Tim!CZ29,"")</f>
        <v/>
      </c>
      <c r="CZ27" s="185" t="str">
        <f>IF(Tim!DA29=FIT!$E$1,Tim!DA29,"")</f>
        <v/>
      </c>
      <c r="DA27" s="185" t="str">
        <f>IF(Tim!DB29=FIT!$E$1,Tim!DB29,"")</f>
        <v/>
      </c>
      <c r="DB27" s="185" t="str">
        <f>IF(Tim!DC29=FIT!$E$1,Tim!DC29,"")</f>
        <v/>
      </c>
      <c r="DC27" s="185" t="str">
        <f>IF(Tim!DD29=FIT!$E$1,Tim!DD29,"")</f>
        <v/>
      </c>
      <c r="DD27" s="185" t="str">
        <f>IF(Tim!DE29=FIT!$E$1,Tim!DE29,"")</f>
        <v/>
      </c>
      <c r="DE27" s="185" t="str">
        <f>IF(Tim!DF29=FIT!$E$1,Tim!DF29,"")</f>
        <v/>
      </c>
      <c r="DF27" s="185" t="str">
        <f>IF(Tim!DG29=FIT!$E$1,Tim!DG29,"")</f>
        <v/>
      </c>
      <c r="DG27" s="185" t="str">
        <f>IF(Tim!DH29=FIT!$E$1,Tim!DH29,"")</f>
        <v/>
      </c>
      <c r="DH27" s="185" t="str">
        <f>IF(Tim!DI29=FIT!$E$1,Tim!DI29,"")</f>
        <v/>
      </c>
      <c r="DI27" s="185" t="str">
        <f>IF(Tim!DM29=FIT!$E$1,Tim!DM29,"")</f>
        <v/>
      </c>
      <c r="DJ27" s="185" t="str">
        <f>IF(Tim!DN29=FIT!$E$1,Tim!DN29,"")</f>
        <v/>
      </c>
      <c r="DK27" s="185" t="str">
        <f>IF(Tim!DO29=FIT!$E$1,Tim!DO29,"")</f>
        <v/>
      </c>
      <c r="DL27" s="185" t="str">
        <f>IF(Tim!DP29=FIT!$E$1,Tim!DP29,"")</f>
        <v/>
      </c>
      <c r="DM27" s="185" t="str">
        <f>IF(Tim!DQ29=FIT!$E$1,Tim!DQ29,"")</f>
        <v/>
      </c>
      <c r="DN27" s="185" t="str">
        <f>IF(Tim!DR29=FIT!$E$1,Tim!DR29,"")</f>
        <v/>
      </c>
      <c r="DO27" s="185" t="str">
        <f>IF(Tim!DS29=FIT!$E$1,Tim!DS29,"")</f>
        <v/>
      </c>
      <c r="DP27" s="185" t="str">
        <f>IF(Tim!DT29=FIT!$E$1,Tim!DT29,"")</f>
        <v/>
      </c>
      <c r="DQ27" s="185" t="str">
        <f>IF(Tim!DU29=FIT!$E$1,Tim!DU29,"")</f>
        <v/>
      </c>
      <c r="DR27" s="185" t="str">
        <f>IF(Tim!DV29=FIT!$E$1,Tim!DV29,"")</f>
        <v/>
      </c>
      <c r="DS27" s="185" t="str">
        <f>IF(Tim!DW29=FIT!$E$1,Tim!DW29,"")</f>
        <v/>
      </c>
      <c r="DT27" s="185" t="str">
        <f>IF(Tim!DX29=FIT!$E$1,Tim!DX29,"")</f>
        <v/>
      </c>
      <c r="DU27" s="185" t="str">
        <f>IF(Tim!DY29=FIT!$E$1,Tim!DY29,"")</f>
        <v/>
      </c>
      <c r="DV27" s="185" t="str">
        <f>IF(Tim!DZ29=FIT!$E$1,Tim!DZ29,"")</f>
        <v/>
      </c>
      <c r="DW27" s="185" t="str">
        <f>IF(Tim!EA29=FIT!$E$1,Tim!EA29,"")</f>
        <v/>
      </c>
      <c r="DX27" s="185" t="str">
        <f>IF(Tim!EB29=FIT!$E$1,Tim!EB29,"")</f>
        <v/>
      </c>
      <c r="DY27" s="185" t="str">
        <f>IF(Tim!EC29=FIT!$E$1,Tim!EC29,"")</f>
        <v/>
      </c>
      <c r="DZ27" s="185" t="str">
        <f>IF(Tim!ED29=FIT!$E$1,Tim!ED29,"")</f>
        <v/>
      </c>
      <c r="EA27" s="185" t="str">
        <f>IF(Tim!EE29=FIT!$E$1,Tim!EE29,"")</f>
        <v/>
      </c>
      <c r="EB27" s="185" t="str">
        <f>IF(Tim!EF29=FIT!$E$1,Tim!EF29,"")</f>
        <v/>
      </c>
      <c r="EC27" s="185" t="str">
        <f>IF(Tim!EG29=FIT!$E$1,Tim!EG29,"")</f>
        <v/>
      </c>
      <c r="ED27" s="185" t="str">
        <f>IF(Tim!EH29=FIT!$E$1,Tim!EH29,"")</f>
        <v/>
      </c>
      <c r="EE27" s="185" t="str">
        <f>IF(Tim!EI29=FIT!$E$1,Tim!EI29,"")</f>
        <v/>
      </c>
      <c r="EF27" s="185" t="str">
        <f>IF(Tim!EJ29=FIT!$E$1,Tim!EJ29,"")</f>
        <v/>
      </c>
      <c r="EG27" s="185" t="str">
        <f>IF(Tim!EK29=FIT!$E$1,Tim!EK29,"")</f>
        <v/>
      </c>
      <c r="EH27" s="185" t="str">
        <f>IF(Tim!EL29=FIT!$E$1,Tim!EL29,"")</f>
        <v/>
      </c>
      <c r="EI27" s="185" t="str">
        <f>IF(Tim!EM29=FIT!$E$1,Tim!EM29,"")</f>
        <v/>
      </c>
      <c r="EJ27" s="185" t="str">
        <f>IF(Tim!EN29=FIT!$E$1,Tim!EN29,"")</f>
        <v/>
      </c>
      <c r="EK27" s="185" t="str">
        <f>IF(Tim!EO29=FIT!$E$1,Tim!EO29,"")</f>
        <v/>
      </c>
      <c r="EL27" s="185" t="str">
        <f>IF(Tim!EP29=FIT!$E$1,Tim!EP29,"")</f>
        <v/>
      </c>
      <c r="EM27" s="185" t="str">
        <f>IF(Tim!EQ29=FIT!$E$1,Tim!EQ29,"")</f>
        <v/>
      </c>
      <c r="EN27" s="185" t="str">
        <f>IF(Tim!ER29=FIT!$E$1,Tim!ER29,"")</f>
        <v/>
      </c>
      <c r="EO27" s="185" t="str">
        <f>IF(Tim!ES29=FIT!$E$1,Tim!ES29,"")</f>
        <v/>
      </c>
      <c r="EP27" s="185" t="str">
        <f>IF(Tim!ET29=FIT!$E$1,Tim!ET29,"")</f>
        <v/>
      </c>
      <c r="EQ27" s="185" t="str">
        <f>IF(Tim!EU29=FIT!$E$1,Tim!EU29,"")</f>
        <v/>
      </c>
      <c r="ER27" s="185" t="str">
        <f>IF(Tim!EV29=FIT!$E$1,Tim!EV29,"")</f>
        <v/>
      </c>
      <c r="ES27" s="185" t="str">
        <f>IF(Tim!EW29=FIT!$E$1,Tim!EW29,"")</f>
        <v/>
      </c>
      <c r="ET27" s="185" t="str">
        <f>IF(Tim!EX29=FIT!$E$1,Tim!EX29,"")</f>
        <v/>
      </c>
      <c r="EU27" s="185" t="str">
        <f>IF(Tim!EY29=FIT!$E$1,Tim!EY29,"")</f>
        <v/>
      </c>
      <c r="EV27" s="185" t="str">
        <f>IF(Tim!EZ29=FIT!$E$1,Tim!EZ29,"")</f>
        <v/>
      </c>
      <c r="EW27" s="185" t="str">
        <f>IF(Tim!FA29=FIT!$E$1,Tim!FA29,"")</f>
        <v/>
      </c>
      <c r="EX27" s="185" t="str">
        <f>IF(Tim!FB29=FIT!$E$1,Tim!FB29,"")</f>
        <v/>
      </c>
      <c r="EY27" s="185" t="str">
        <f>IF(Tim!FC29=FIT!$E$1,Tim!FC29,"")</f>
        <v/>
      </c>
      <c r="EZ27" s="185" t="str">
        <f>IF(Tim!FD29=FIT!$E$1,Tim!FD29,"")</f>
        <v/>
      </c>
      <c r="FA27" s="185" t="str">
        <f>IF(Tim!FE29=FIT!$E$1,Tim!FE29,"")</f>
        <v/>
      </c>
      <c r="FB27" s="185" t="str">
        <f>IF(Tim!FF29=FIT!$E$1,Tim!FF29,"")</f>
        <v/>
      </c>
      <c r="FC27" s="185" t="str">
        <f>IF(Tim!FG29=FIT!$E$1,Tim!FG29,"")</f>
        <v/>
      </c>
      <c r="FD27" s="185" t="str">
        <f>IF(Tim!FH29=FIT!$E$1,Tim!FH29,"")</f>
        <v/>
      </c>
      <c r="FE27" s="185" t="str">
        <f>IF(Tim!FI29=FIT!$E$1,Tim!FI29,"")</f>
        <v/>
      </c>
      <c r="FF27" s="185" t="str">
        <f>IF(Tim!FJ29=FIT!$E$1,Tim!FJ29,"")</f>
        <v/>
      </c>
      <c r="FG27" s="185" t="str">
        <f>IF(Tim!FK29=FIT!$E$1,Tim!FK29,"")</f>
        <v/>
      </c>
      <c r="FH27" s="185" t="str">
        <f>IF(Tim!FL29=FIT!$E$1,Tim!FL29,"")</f>
        <v/>
      </c>
      <c r="FI27" s="185" t="str">
        <f>IF(Tim!FM29=FIT!$E$1,Tim!FM29,"")</f>
        <v/>
      </c>
      <c r="FJ27" s="185" t="str">
        <f>IF(Tim!FN29=FIT!$E$1,Tim!FN29,"")</f>
        <v/>
      </c>
      <c r="FK27" s="185" t="str">
        <f>IF(Tim!FO29=FIT!$E$1,Tim!FO29,"")</f>
        <v/>
      </c>
      <c r="FL27" s="185" t="str">
        <f>IF(Tim!FP29=FIT!$E$1,Tim!FP29,"")</f>
        <v/>
      </c>
      <c r="FM27" s="185" t="str">
        <f>IF(Tim!FQ29=FIT!$E$1,Tim!FQ29,"")</f>
        <v/>
      </c>
      <c r="FN27" s="185" t="str">
        <f>IF(Tim!FR29=FIT!$E$1,Tim!FR29,"")</f>
        <v/>
      </c>
      <c r="FO27" s="185" t="str">
        <f>IF(Tim!FS29=FIT!$E$1,Tim!FS29,"")</f>
        <v/>
      </c>
      <c r="FP27" s="185" t="str">
        <f>IF(Tim!FT29=FIT!$E$1,Tim!FT29,"")</f>
        <v/>
      </c>
      <c r="FQ27" s="185" t="str">
        <f>IF(Tim!FU29=FIT!$E$1,Tim!FU29,"")</f>
        <v/>
      </c>
      <c r="FR27" s="185" t="str">
        <f>IF(Tim!FV29=FIT!$E$1,Tim!FV29,"")</f>
        <v/>
      </c>
      <c r="FS27" s="185" t="str">
        <f>IF(Tim!FW29=FIT!$E$1,Tim!FW29,"")</f>
        <v/>
      </c>
      <c r="FT27" s="185" t="str">
        <f>IF(Tim!FX29=FIT!$E$1,Tim!FX29,"")</f>
        <v/>
      </c>
      <c r="FU27" s="185" t="str">
        <f>IF(Tim!FY29=FIT!$E$1,Tim!FY29,"")</f>
        <v/>
      </c>
      <c r="FV27" s="185" t="str">
        <f>IF(Tim!FZ29=FIT!$E$1,Tim!FZ29,"")</f>
        <v/>
      </c>
      <c r="FW27" s="185" t="str">
        <f>IF(Tim!GA29=FIT!$E$1,Tim!GA29,"")</f>
        <v/>
      </c>
      <c r="FX27" s="185" t="str">
        <f>IF(Tim!GB29=FIT!$E$1,Tim!GB29,"")</f>
        <v/>
      </c>
      <c r="FY27" s="185" t="str">
        <f>IF(Tim!GC29=FIT!$E$1,Tim!GC29,"")</f>
        <v/>
      </c>
      <c r="FZ27" s="185" t="str">
        <f>IF(Tim!GD29=FIT!$E$1,Tim!GD29,"")</f>
        <v/>
      </c>
      <c r="GA27" s="185" t="str">
        <f>IF(Tim!GE29=FIT!$E$1,Tim!GE29,"")</f>
        <v/>
      </c>
      <c r="GB27" s="185" t="str">
        <f>IF(Tim!GF29=FIT!$E$1,Tim!GF29,"")</f>
        <v/>
      </c>
      <c r="GC27" s="185" t="str">
        <f>IF(Tim!GG29=FIT!$E$1,Tim!GG29,"")</f>
        <v/>
      </c>
      <c r="GD27" s="185" t="str">
        <f>IF(Tim!GH29=FIT!$E$1,Tim!GH29,"")</f>
        <v/>
      </c>
      <c r="GE27" s="185" t="str">
        <f>IF(Tim!GI29=FIT!$E$1,Tim!GI29,"")</f>
        <v/>
      </c>
      <c r="GF27" s="185" t="str">
        <f>IF(Tim!GJ29=FIT!$E$1,Tim!GJ29,"")</f>
        <v/>
      </c>
      <c r="GG27" s="185" t="str">
        <f>IF(Tim!GK29=FIT!$E$1,Tim!GK29,"")</f>
        <v/>
      </c>
      <c r="GH27" s="185" t="str">
        <f>IF(Tim!GL29=FIT!$E$1,Tim!GL29,"")</f>
        <v/>
      </c>
      <c r="GI27" s="185" t="str">
        <f>IF(Tim!GM29=FIT!$E$1,Tim!GM29,"")</f>
        <v/>
      </c>
      <c r="GJ27" s="185" t="str">
        <f>IF(Tim!GN29=FIT!$E$1,Tim!GN29,"")</f>
        <v/>
      </c>
      <c r="GK27" s="185" t="str">
        <f>IF(Tim!GO29=FIT!$E$1,Tim!GO29,"")</f>
        <v/>
      </c>
      <c r="GL27" s="185" t="str">
        <f>IF(Tim!GP29=FIT!$E$1,Tim!GP29,"")</f>
        <v/>
      </c>
      <c r="GM27" s="185" t="str">
        <f>IF(Tim!GQ29=FIT!$E$1,Tim!GQ29,"")</f>
        <v/>
      </c>
      <c r="GN27" s="185" t="str">
        <f>IF(Tim!GR29=FIT!$E$1,Tim!GR29,"")</f>
        <v/>
      </c>
      <c r="GO27" s="185" t="str">
        <f>IF(Tim!GS29=FIT!$E$1,Tim!GS29,"")</f>
        <v/>
      </c>
      <c r="GP27" s="185" t="str">
        <f>IF(Tim!GT29=FIT!$E$1,Tim!GT29,"")</f>
        <v/>
      </c>
      <c r="GQ27" s="185" t="str">
        <f>IF(Tim!GU29=FIT!$E$1,Tim!GU29,"")</f>
        <v/>
      </c>
      <c r="GR27" s="185" t="str">
        <f>IF(Tim!GV29=FIT!$E$1,Tim!GV29,"")</f>
        <v/>
      </c>
      <c r="GS27" s="185" t="str">
        <f>IF(Tim!GW29=FIT!$E$1,Tim!GW29,"")</f>
        <v/>
      </c>
      <c r="GT27" s="185" t="str">
        <f>IF(Tim!GX29=FIT!$E$1,Tim!GX29,"")</f>
        <v/>
      </c>
      <c r="GU27" s="185" t="str">
        <f>IF(Tim!GY29=FIT!$E$1,Tim!GY29,"")</f>
        <v/>
      </c>
      <c r="GV27" s="185" t="str">
        <f>IF(Tim!GZ29=FIT!$E$1,Tim!GZ29,"")</f>
        <v/>
      </c>
      <c r="GW27" s="185" t="str">
        <f>IF(Tim!HA29=FIT!$E$1,Tim!HA29,"")</f>
        <v/>
      </c>
      <c r="GX27" s="185" t="str">
        <f>IF(Tim!HB29=FIT!$E$1,Tim!HB29,"")</f>
        <v/>
      </c>
      <c r="GY27" s="185" t="str">
        <f>IF(Tim!HC29=FIT!$E$1,Tim!HC29,"")</f>
        <v/>
      </c>
      <c r="GZ27" s="185" t="str">
        <f>IF(Tim!HD29=FIT!$E$1,Tim!HD29,"")</f>
        <v/>
      </c>
      <c r="HA27" s="185" t="str">
        <f>IF(Tim!HE29=FIT!$E$1,Tim!HE29,"")</f>
        <v/>
      </c>
      <c r="HB27" s="185" t="str">
        <f>IF(Tim!HF29=FIT!$E$1,Tim!HF29,"")</f>
        <v/>
      </c>
      <c r="HC27" s="185" t="str">
        <f>IF(Tim!HG29=FIT!$E$1,Tim!HG29,"")</f>
        <v/>
      </c>
      <c r="HD27" s="185" t="str">
        <f>IF(Tim!HH29=FIT!$E$1,Tim!HH29,"")</f>
        <v/>
      </c>
      <c r="HE27" s="185" t="str">
        <f>IF(Tim!HI29=FIT!$E$1,Tim!HI29,"")</f>
        <v/>
      </c>
      <c r="HF27" s="185" t="str">
        <f>IF(Tim!HJ29=FIT!$E$1,Tim!HJ29,"")</f>
        <v/>
      </c>
      <c r="HG27" s="185" t="str">
        <f>IF(Tim!HK29=FIT!$E$1,Tim!HK29,"")</f>
        <v/>
      </c>
      <c r="HH27" s="185" t="str">
        <f>IF(Tim!HL29=FIT!$E$1,Tim!HL29,"")</f>
        <v/>
      </c>
      <c r="HI27" s="185" t="str">
        <f>IF(Tim!HM29=FIT!$E$1,Tim!HM29,"")</f>
        <v/>
      </c>
      <c r="HJ27" s="185" t="str">
        <f>IF(Tim!HN29=FIT!$E$1,Tim!HN29,"")</f>
        <v/>
      </c>
      <c r="HK27" s="185" t="str">
        <f>IF(Tim!HO29=FIT!$E$1,Tim!HO29,"")</f>
        <v/>
      </c>
      <c r="HL27" s="185" t="str">
        <f>IF(Tim!HP29=FIT!$E$1,Tim!HP29,"")</f>
        <v/>
      </c>
      <c r="HM27" s="185" t="str">
        <f>IF(Tim!HQ29=FIT!$E$1,Tim!HQ29,"")</f>
        <v/>
      </c>
      <c r="HN27" s="185" t="str">
        <f>IF(Tim!HR29=FIT!$E$1,Tim!HR29,"")</f>
        <v/>
      </c>
      <c r="HO27" s="185" t="str">
        <f>IF(Tim!HS29=FIT!$E$1,Tim!HS29,"")</f>
        <v/>
      </c>
      <c r="HP27" s="185" t="str">
        <f>IF(Tim!HT29=FIT!$E$1,Tim!HT29,"")</f>
        <v/>
      </c>
      <c r="HQ27" s="185" t="str">
        <f>IF(Tim!HU29=FIT!$E$1,Tim!HU29,"")</f>
        <v/>
      </c>
      <c r="HR27" s="185" t="str">
        <f>IF(Tim!HV29=FIT!$E$1,Tim!HV29,"")</f>
        <v/>
      </c>
      <c r="HS27" s="185" t="str">
        <f>IF(Tim!HW29=FIT!$E$1,Tim!HW29,"")</f>
        <v/>
      </c>
      <c r="HT27" s="185" t="str">
        <f>IF(Tim!HX29=FIT!$E$1,Tim!HX29,"")</f>
        <v/>
      </c>
      <c r="HU27" s="185" t="str">
        <f>IF(Tim!HY29=FIT!$E$1,Tim!HY29,"")</f>
        <v/>
      </c>
      <c r="HV27" s="185" t="str">
        <f>IF(Tim!HZ29=FIT!$E$1,Tim!HZ29,"")</f>
        <v/>
      </c>
      <c r="HW27" s="185" t="str">
        <f>IF(Tim!IA29=FIT!$E$1,Tim!IA29,"")</f>
        <v/>
      </c>
      <c r="HX27" s="185" t="str">
        <f>IF(Tim!IB29=FIT!$E$1,Tim!IB29,"")</f>
        <v/>
      </c>
      <c r="HY27" s="185" t="str">
        <f>IF(Tim!IC29=FIT!$E$1,Tim!IC29,"")</f>
        <v/>
      </c>
      <c r="HZ27" s="185" t="str">
        <f>IF(Tim!ID29=FIT!$E$1,Tim!ID29,"")</f>
        <v/>
      </c>
      <c r="IA27" s="185" t="str">
        <f>IF(Tim!IE29=FIT!$E$1,Tim!IE29,"")</f>
        <v/>
      </c>
      <c r="IB27" s="185" t="str">
        <f>IF(Tim!IF29=FIT!$E$1,Tim!IF29,"")</f>
        <v/>
      </c>
      <c r="IC27" s="185" t="str">
        <f>IF(Tim!IG29=FIT!$E$1,Tim!IG29,"")</f>
        <v/>
      </c>
      <c r="ID27" s="185" t="str">
        <f>IF(Tim!IH29=FIT!$E$1,Tim!IH29,"")</f>
        <v/>
      </c>
      <c r="IE27" s="185" t="str">
        <f>IF(Tim!II29=FIT!$E$1,Tim!II29,"")</f>
        <v/>
      </c>
      <c r="IF27" s="185" t="str">
        <f>IF(Tim!IJ29=FIT!$E$1,Tim!IJ29,"")</f>
        <v/>
      </c>
      <c r="IG27" s="185" t="str">
        <f>IF(Tim!IK29=FIT!$E$1,Tim!IK29,"")</f>
        <v/>
      </c>
      <c r="IH27" s="185" t="str">
        <f>IF(Tim!IL29=FIT!$E$1,Tim!IL29,"")</f>
        <v/>
      </c>
      <c r="II27" s="185" t="str">
        <f>IF(Tim!IM29=FIT!$E$1,Tim!IM29,"")</f>
        <v/>
      </c>
      <c r="IJ27" s="185" t="str">
        <f>IF(Tim!IN29=FIT!$E$1,Tim!IN29,"")</f>
        <v/>
      </c>
      <c r="IK27" s="185" t="str">
        <f>IF(Tim!IO29=FIT!$E$1,Tim!IO29,"")</f>
        <v/>
      </c>
      <c r="IL27" s="185" t="str">
        <f>IF(Tim!IP29=FIT!$E$1,Tim!IP29,"")</f>
        <v/>
      </c>
      <c r="IM27" s="185" t="str">
        <f>IF(Tim!IQ29=FIT!$E$1,Tim!IQ29,"")</f>
        <v/>
      </c>
      <c r="IN27" s="185" t="str">
        <f>IF(Tim!IR29=FIT!$E$1,Tim!IR29,"")</f>
        <v/>
      </c>
      <c r="IO27" s="185" t="str">
        <f>IF(Tim!IS29=FIT!$E$1,Tim!IS29,"")</f>
        <v/>
      </c>
      <c r="IP27" s="185" t="str">
        <f>IF(Tim!IT29=FIT!$E$1,Tim!IT29,"")</f>
        <v/>
      </c>
      <c r="IQ27" s="185" t="str">
        <f>IF(Tim!IU29=FIT!$E$1,Tim!IU29,"")</f>
        <v/>
      </c>
      <c r="IR27" s="185" t="str">
        <f>IF(Tim!IV29=FIT!$E$1,Tim!IV29,"")</f>
        <v/>
      </c>
      <c r="IS27" s="185" t="str">
        <f>IF(Tim!IW29=FIT!$E$1,Tim!IW29,"")</f>
        <v/>
      </c>
      <c r="IT27" s="185" t="str">
        <f>IF(Tim!IX29=FIT!$E$1,Tim!IX29,"")</f>
        <v/>
      </c>
      <c r="IU27" s="185" t="str">
        <f>IF(Tim!IY29=FIT!$E$1,Tim!IY29,"")</f>
        <v/>
      </c>
      <c r="IV27" s="185" t="str">
        <f>IF(Tim!IZ29=FIT!$E$1,Tim!IZ29,"")</f>
        <v/>
      </c>
      <c r="IW27" s="185" t="str">
        <f>IF(Tim!JA29=FIT!$E$1,Tim!JA29,"")</f>
        <v/>
      </c>
      <c r="IX27" s="185" t="str">
        <f>IF(Tim!JB29=FIT!$E$1,Tim!JB29,"")</f>
        <v/>
      </c>
      <c r="IY27" s="185" t="str">
        <f>IF(Tim!JC29=FIT!$E$1,Tim!JC29,"")</f>
        <v/>
      </c>
      <c r="IZ27" s="185" t="str">
        <f>IF(Tim!JD29=FIT!$E$1,Tim!JD29,"")</f>
        <v/>
      </c>
      <c r="JA27" s="185" t="str">
        <f>IF(Tim!JE29=FIT!$E$1,Tim!JE29,"")</f>
        <v/>
      </c>
      <c r="JB27" s="185" t="str">
        <f>IF(Tim!JF29=FIT!$E$1,Tim!JF29,"")</f>
        <v/>
      </c>
      <c r="JC27" s="185" t="str">
        <f>IF(Tim!JG29=FIT!$E$1,Tim!JG29,"")</f>
        <v/>
      </c>
      <c r="JD27" s="185" t="str">
        <f>IF(Tim!JH29=FIT!$E$1,Tim!JH29,"")</f>
        <v/>
      </c>
      <c r="JE27" s="185" t="str">
        <f>IF(Tim!JI29=FIT!$E$1,Tim!JI29,"")</f>
        <v/>
      </c>
      <c r="JF27" s="185" t="str">
        <f>IF(Tim!JJ29=FIT!$E$1,Tim!JJ29,"")</f>
        <v/>
      </c>
      <c r="JG27" s="185" t="str">
        <f>IF(Tim!JK29=FIT!$E$1,Tim!JK29,"")</f>
        <v/>
      </c>
      <c r="JH27" s="185" t="str">
        <f>IF(Tim!JL29=FIT!$E$1,Tim!JL29,"")</f>
        <v/>
      </c>
      <c r="JI27" s="185" t="str">
        <f>IF(Tim!JM29=FIT!$E$1,Tim!JM29,"")</f>
        <v/>
      </c>
      <c r="JJ27" s="185" t="str">
        <f>IF(Tim!JN29=FIT!$E$1,Tim!JN29,"")</f>
        <v/>
      </c>
      <c r="JK27" s="185" t="str">
        <f>IF(Tim!JO29=FIT!$E$1,Tim!JO29,"")</f>
        <v/>
      </c>
      <c r="JL27" s="185" t="str">
        <f>IF(Tim!JP29=FIT!$E$1,Tim!JP29,"")</f>
        <v/>
      </c>
      <c r="JM27" s="185" t="str">
        <f>IF(Tim!JQ29=FIT!$E$1,Tim!JQ29,"")</f>
        <v/>
      </c>
      <c r="JN27" s="185" t="str">
        <f>IF(Tim!JR29=FIT!$E$1,Tim!JR29,"")</f>
        <v/>
      </c>
      <c r="JO27" s="185" t="str">
        <f>IF(Tim!JS29=FIT!$E$1,Tim!JS29,"")</f>
        <v/>
      </c>
      <c r="JP27" s="185" t="str">
        <f>IF(Tim!JT29=FIT!$E$1,Tim!JT29,"")</f>
        <v/>
      </c>
      <c r="JQ27" s="185" t="str">
        <f>IF(Tim!JU29=FIT!$E$1,Tim!JU29,"")</f>
        <v/>
      </c>
      <c r="JR27" s="185" t="str">
        <f>IF(Tim!JV29=FIT!$E$1,Tim!JV29,"")</f>
        <v/>
      </c>
      <c r="JS27" s="185" t="str">
        <f>IF(Tim!JW29=FIT!$E$1,Tim!JW29,"")</f>
        <v/>
      </c>
      <c r="JT27" s="185" t="str">
        <f>IF(Tim!JX29=FIT!$E$1,Tim!JX29,"")</f>
        <v/>
      </c>
      <c r="JU27" s="185" t="str">
        <f>IF(Tim!JY29=FIT!$E$1,Tim!JY29,"")</f>
        <v/>
      </c>
      <c r="JV27" s="185" t="str">
        <f>IF(Tim!JZ29=FIT!$E$1,Tim!JZ29,"")</f>
        <v/>
      </c>
      <c r="JW27" s="185" t="str">
        <f>IF(Tim!KA29=FIT!$E$1,Tim!KA29,"")</f>
        <v/>
      </c>
      <c r="JX27" s="185" t="str">
        <f>IF(Tim!KB29=FIT!$E$1,Tim!KB29,"")</f>
        <v/>
      </c>
      <c r="JY27" s="185" t="str">
        <f>IF(Tim!KC29=FIT!$E$1,Tim!KC29,"")</f>
        <v/>
      </c>
      <c r="JZ27" s="185" t="str">
        <f>IF(Tim!KD29=FIT!$E$1,Tim!KD29,"")</f>
        <v/>
      </c>
      <c r="KA27" s="185" t="str">
        <f>IF(Tim!KE29=FIT!$E$1,Tim!KE29,"")</f>
        <v/>
      </c>
      <c r="KB27" s="185" t="str">
        <f>IF(Tim!KF29=FIT!$E$1,Tim!KF29,"")</f>
        <v/>
      </c>
      <c r="KC27" s="185" t="str">
        <f>IF(Tim!KG29=FIT!$E$1,Tim!KG29,"")</f>
        <v/>
      </c>
      <c r="KD27" s="185" t="str">
        <f>IF(Tim!KH29=FIT!$E$1,Tim!KH29,"")</f>
        <v/>
      </c>
      <c r="KE27" s="185" t="str">
        <f>IF(Tim!KI29=FIT!$E$1,Tim!KI29,"")</f>
        <v/>
      </c>
      <c r="KF27" s="185" t="str">
        <f>IF(Tim!KJ29=FIT!$E$1,Tim!KJ29,"")</f>
        <v/>
      </c>
      <c r="KG27" s="185" t="str">
        <f>IF(Tim!KK29=FIT!$E$1,Tim!KK29,"")</f>
        <v/>
      </c>
      <c r="KH27" s="185" t="str">
        <f>IF(Tim!KL29=FIT!$E$1,Tim!KL29,"")</f>
        <v/>
      </c>
      <c r="KI27" s="185" t="str">
        <f>IF(Tim!KM29=FIT!$E$1,Tim!KM29,"")</f>
        <v/>
      </c>
      <c r="KJ27" s="185" t="str">
        <f>IF(Tim!KN29=FIT!$E$1,Tim!KN29,"")</f>
        <v/>
      </c>
      <c r="KK27" s="185" t="str">
        <f>IF(Tim!KO29=FIT!$E$1,Tim!KO29,"")</f>
        <v/>
      </c>
      <c r="KL27" s="185" t="str">
        <f>IF(Tim!KP29=FIT!$E$1,Tim!KP29,"")</f>
        <v/>
      </c>
      <c r="KM27" s="185" t="str">
        <f>IF(Tim!KQ29=FIT!$E$1,Tim!KQ29,"")</f>
        <v/>
      </c>
      <c r="KN27" s="185" t="str">
        <f>IF(Tim!KR29=FIT!$E$1,Tim!KR29,"")</f>
        <v/>
      </c>
      <c r="KO27" s="185" t="str">
        <f>IF(Tim!KS29=FIT!$E$1,Tim!KS29,"")</f>
        <v/>
      </c>
      <c r="KP27" s="185" t="str">
        <f>IF(Tim!KT29=FIT!$E$1,Tim!KT29,"")</f>
        <v/>
      </c>
      <c r="KQ27" s="185" t="str">
        <f>IF(Tim!KU29=FIT!$E$1,Tim!KU29,"")</f>
        <v/>
      </c>
      <c r="KR27" s="185" t="str">
        <f>IF(Tim!KV29=FIT!$E$1,Tim!KV29,"")</f>
        <v/>
      </c>
      <c r="KS27" s="185" t="str">
        <f>IF(Tim!KW29=FIT!$E$1,Tim!KW29,"")</f>
        <v/>
      </c>
      <c r="KT27" s="185" t="str">
        <f>IF(Tim!KX29=FIT!$E$1,Tim!KX29,"")</f>
        <v/>
      </c>
      <c r="KU27" s="185" t="str">
        <f>IF(Tim!KY29=FIT!$E$1,Tim!KY29,"")</f>
        <v/>
      </c>
      <c r="KV27" s="185" t="str">
        <f>IF(Tim!KZ29=FIT!$E$1,Tim!KZ29,"")</f>
        <v/>
      </c>
      <c r="KW27" s="185" t="str">
        <f>IF(Tim!LA29=FIT!$E$1,Tim!LA29,"")</f>
        <v/>
      </c>
      <c r="KX27" s="185" t="str">
        <f>IF(Tim!LB29=FIT!$E$1,Tim!LB29,"")</f>
        <v/>
      </c>
      <c r="KY27" s="185" t="str">
        <f>IF(Tim!LC29=FIT!$E$1,Tim!LC29,"")</f>
        <v/>
      </c>
      <c r="KZ27" s="185" t="str">
        <f>IF(Tim!LD29=FIT!$E$1,Tim!LD29,"")</f>
        <v/>
      </c>
      <c r="LA27" s="185" t="str">
        <f>IF(Tim!LE29=FIT!$E$1,Tim!LE29,"")</f>
        <v/>
      </c>
      <c r="LB27" s="52">
        <v>0.52083333333333304</v>
      </c>
    </row>
    <row r="28" spans="2:314" ht="10.5" customHeight="1">
      <c r="B28" s="49">
        <v>0.25</v>
      </c>
      <c r="C28" s="49">
        <v>0.25</v>
      </c>
      <c r="D28" s="49">
        <v>0.25</v>
      </c>
      <c r="E28" s="172">
        <v>0.531249999999999</v>
      </c>
      <c r="F28" s="238" t="str">
        <f>IF(Tim!F30=FIT!$E$1,Tim!F30,"")</f>
        <v/>
      </c>
      <c r="G28" s="185" t="str">
        <f>IF(Tim!G30=FIT!$E$1,Tim!G30,"")</f>
        <v/>
      </c>
      <c r="H28" s="185" t="str">
        <f>IF(Tim!H30=FIT!$E$1,Tim!H30,"")</f>
        <v/>
      </c>
      <c r="I28" s="185" t="str">
        <f>IF(Tim!I30=FIT!$E$1,Tim!I30,"")</f>
        <v/>
      </c>
      <c r="J28" s="185" t="str">
        <f>IF(Tim!J30=FIT!$E$1,Tim!J30,"")</f>
        <v/>
      </c>
      <c r="K28" s="185" t="str">
        <f>IF(Tim!K30=FIT!$E$1,Tim!K30,"")</f>
        <v/>
      </c>
      <c r="L28" s="185" t="str">
        <f>IF(Tim!L30=FIT!$E$1,Tim!L30,"")</f>
        <v/>
      </c>
      <c r="M28" s="185" t="str">
        <f>IF(Tim!M30=FIT!$E$1,Tim!M30,"")</f>
        <v/>
      </c>
      <c r="N28" s="185" t="str">
        <f>IF(Tim!N30=FIT!$E$1,Tim!N30,"")</f>
        <v/>
      </c>
      <c r="O28" s="185" t="str">
        <f>IF(Tim!O30=FIT!$E$1,Tim!O30,"")</f>
        <v/>
      </c>
      <c r="P28" s="185" t="str">
        <f>IF(Tim!P30=FIT!$E$1,Tim!P30,"")</f>
        <v/>
      </c>
      <c r="Q28" s="185" t="str">
        <f>IF(Tim!Q30=FIT!$E$1,Tim!Q30,"")</f>
        <v/>
      </c>
      <c r="R28" s="185" t="str">
        <f>IF(Tim!R30=FIT!$E$1,Tim!R30,"")</f>
        <v/>
      </c>
      <c r="S28" s="185" t="str">
        <f>IF(Tim!S30=FIT!$E$1,Tim!S30,"")</f>
        <v/>
      </c>
      <c r="T28" s="185" t="str">
        <f>IF(Tim!T30=FIT!$E$1,Tim!T30,"")</f>
        <v/>
      </c>
      <c r="U28" s="185" t="str">
        <f>IF(Tim!U30=FIT!$E$1,Tim!U30,"")</f>
        <v/>
      </c>
      <c r="V28" s="185" t="str">
        <f>IF(Tim!W30=FIT!$E$1,Tim!W30,"")</f>
        <v/>
      </c>
      <c r="W28" s="185" t="str">
        <f>IF(Tim!X30=FIT!$E$1,Tim!X30,"")</f>
        <v/>
      </c>
      <c r="X28" s="185" t="str">
        <f>IF(Tim!Y30=FIT!$E$1,Tim!Y30,"")</f>
        <v/>
      </c>
      <c r="Y28" s="185" t="str">
        <f>IF(Tim!Z30=FIT!$E$1,Tim!Z30,"")</f>
        <v/>
      </c>
      <c r="Z28" s="185" t="str">
        <f>IF(Tim!AA30=FIT!$E$1,Tim!AA30,"")</f>
        <v/>
      </c>
      <c r="AA28" s="185" t="str">
        <f>IF(Tim!AB30=FIT!$E$1,Tim!AB30,"")</f>
        <v/>
      </c>
      <c r="AB28" s="185" t="str">
        <f>IF(Tim!AC30=FIT!$E$1,Tim!AC30,"")</f>
        <v/>
      </c>
      <c r="AC28" s="185" t="str">
        <f>IF(Tim!AD30=FIT!$E$1,Tim!AD30,"")</f>
        <v/>
      </c>
      <c r="AD28" s="185" t="str">
        <f>IF(Tim!AE30=FIT!$E$1,Tim!AE30,"")</f>
        <v/>
      </c>
      <c r="AE28" s="185" t="str">
        <f>IF(Tim!AF30=FIT!$E$1,Tim!AF30,"")</f>
        <v/>
      </c>
      <c r="AF28" s="185" t="str">
        <f>IF(Tim!AG30=FIT!$E$1,Tim!AG30,"")</f>
        <v/>
      </c>
      <c r="AG28" s="185" t="str">
        <f>IF(Tim!AH30=FIT!$E$1,Tim!AH30,"")</f>
        <v/>
      </c>
      <c r="AH28" s="185" t="str">
        <f>IF(Tim!AI30=FIT!$E$1,Tim!AI30,"")</f>
        <v/>
      </c>
      <c r="AI28" s="185" t="str">
        <f>IF(Tim!AJ30=FIT!$E$1,Tim!AJ30,"")</f>
        <v/>
      </c>
      <c r="AJ28" s="185" t="str">
        <f>IF(Tim!AK30=FIT!$E$1,Tim!AK30,"")</f>
        <v/>
      </c>
      <c r="AK28" s="185" t="str">
        <f>IF(Tim!AL30=FIT!$E$1,Tim!AL30,"")</f>
        <v/>
      </c>
      <c r="AL28" s="185" t="str">
        <f>IF(Tim!AM30=FIT!$E$1,Tim!AM30,"")</f>
        <v/>
      </c>
      <c r="AM28" s="185" t="str">
        <f>IF(Tim!AN30=FIT!$E$1,Tim!AN30,"")</f>
        <v/>
      </c>
      <c r="AN28" s="185" t="str">
        <f>IF(Tim!AO30=FIT!$E$1,Tim!AO30,"")</f>
        <v/>
      </c>
      <c r="AO28" s="185" t="str">
        <f>IF(Tim!AP30=FIT!$E$1,Tim!AP30,"")</f>
        <v/>
      </c>
      <c r="AP28" s="185" t="str">
        <f>IF(Tim!AQ30=FIT!$E$1,Tim!AQ30,"")</f>
        <v/>
      </c>
      <c r="AQ28" s="185" t="str">
        <f>IF(Tim!AR30=FIT!$E$1,Tim!AR30,"")</f>
        <v/>
      </c>
      <c r="AR28" s="185" t="str">
        <f>IF(Tim!AS30=FIT!$E$1,Tim!AS30,"")</f>
        <v/>
      </c>
      <c r="AS28" s="185" t="str">
        <f>IF(Tim!AT30=FIT!$E$1,Tim!AT30,"")</f>
        <v/>
      </c>
      <c r="AT28" s="185" t="str">
        <f>IF(Tim!AU30=FIT!$E$1,Tim!AU30,"")</f>
        <v/>
      </c>
      <c r="AU28" s="185" t="str">
        <f>IF(Tim!AV30=FIT!$E$1,Tim!AV30,"")</f>
        <v/>
      </c>
      <c r="AV28" s="185" t="str">
        <f>IF(Tim!AW30=FIT!$E$1,Tim!AW30,"")</f>
        <v/>
      </c>
      <c r="AW28" s="186" t="str">
        <f>IF(Tim!AX30=FIT!$E$1,Tim!AX30,"")</f>
        <v/>
      </c>
      <c r="AX28" s="243" t="str">
        <f>IF(Tim!AY30=FIT!$E$1,Tim!AY30,"")</f>
        <v/>
      </c>
      <c r="AY28" s="185" t="str">
        <f>IF(Tim!AZ30=FIT!$E$1,Tim!AZ30,"")</f>
        <v/>
      </c>
      <c r="AZ28" s="185" t="str">
        <f>IF(Tim!BA30=FIT!$E$1,Tim!BA30,"")</f>
        <v/>
      </c>
      <c r="BA28" s="185" t="str">
        <f>IF(Tim!BB30=FIT!$E$1,Tim!BB30,"")</f>
        <v/>
      </c>
      <c r="BB28" s="185" t="str">
        <f>IF(Tim!BC30=FIT!$E$1,Tim!BC30,"")</f>
        <v/>
      </c>
      <c r="BC28" s="185" t="str">
        <f>IF(Tim!BD30=FIT!$E$1,Tim!BD30,"")</f>
        <v/>
      </c>
      <c r="BD28" s="185" t="str">
        <f>IF(Tim!BE30=FIT!$E$1,Tim!BE30,"")</f>
        <v/>
      </c>
      <c r="BE28" s="185" t="str">
        <f>IF(Tim!BF30=FIT!$E$1,Tim!BF30,"")</f>
        <v/>
      </c>
      <c r="BF28" s="185" t="str">
        <f>IF(Tim!BG30=FIT!$E$1,Tim!BG30,"")</f>
        <v/>
      </c>
      <c r="BG28" s="185" t="str">
        <f>IF(Tim!BH30=FIT!$E$1,Tim!BH30,"")</f>
        <v/>
      </c>
      <c r="BH28" s="185" t="str">
        <f>IF(Tim!BI30=FIT!$E$1,Tim!BI30,"")</f>
        <v/>
      </c>
      <c r="BI28" s="185" t="str">
        <f>IF(Tim!BJ30=FIT!$E$1,Tim!BJ30,"")</f>
        <v/>
      </c>
      <c r="BJ28" s="185" t="str">
        <f>IF(Tim!BK30=FIT!$E$1,Tim!BK30,"")</f>
        <v/>
      </c>
      <c r="BK28" s="185" t="str">
        <f>IF(Tim!BL30=FIT!$E$1,Tim!BL30,"")</f>
        <v/>
      </c>
      <c r="BL28" s="185" t="str">
        <f>IF(Tim!BM30=FIT!$E$1,Tim!BM30,"")</f>
        <v/>
      </c>
      <c r="BM28" s="185" t="str">
        <f>IF(Tim!BN30=FIT!$E$1,Tim!BN30,"")</f>
        <v/>
      </c>
      <c r="BN28" s="185" t="str">
        <f>IF(Tim!BO30=FIT!$E$1,Tim!BO30,"")</f>
        <v/>
      </c>
      <c r="BO28" s="185" t="str">
        <f>IF(Tim!BP30=FIT!$E$1,Tim!BP30,"")</f>
        <v/>
      </c>
      <c r="BP28" s="185" t="str">
        <f>IF(Tim!BQ30=FIT!$E$1,Tim!BQ30,"")</f>
        <v/>
      </c>
      <c r="BQ28" s="185" t="str">
        <f>IF(Tim!BR30=FIT!$E$1,Tim!BR30,"")</f>
        <v/>
      </c>
      <c r="BR28" s="185" t="str">
        <f>IF(Tim!BS30=FIT!$E$1,Tim!BS30,"")</f>
        <v/>
      </c>
      <c r="BS28" s="185" t="str">
        <f>IF(Tim!BT30=FIT!$E$1,Tim!BT30,"")</f>
        <v/>
      </c>
      <c r="BT28" s="185" t="str">
        <f>IF(Tim!BU30=FIT!$E$1,Tim!BU30,"")</f>
        <v/>
      </c>
      <c r="BU28" s="185" t="str">
        <f>IF(Tim!BV30=FIT!$E$1,Tim!BV30,"")</f>
        <v/>
      </c>
      <c r="BV28" s="185" t="str">
        <f>IF(Tim!BW30=FIT!$E$1,Tim!BW30,"")</f>
        <v/>
      </c>
      <c r="BW28" s="185" t="str">
        <f>IF(Tim!BX30=FIT!$E$1,Tim!BX30,"")</f>
        <v/>
      </c>
      <c r="BX28" s="185" t="str">
        <f>IF(Tim!BY30=FIT!$E$1,Tim!BY30,"")</f>
        <v/>
      </c>
      <c r="BY28" s="185" t="str">
        <f>IF(Tim!BZ30=FIT!$E$1,Tim!BZ30,"")</f>
        <v/>
      </c>
      <c r="BZ28" s="185" t="str">
        <f>IF(Tim!CA30=FIT!$E$1,Tim!CA30,"")</f>
        <v/>
      </c>
      <c r="CA28" s="185" t="str">
        <f>IF(Tim!CB30=FIT!$E$1,Tim!CB30,"")</f>
        <v/>
      </c>
      <c r="CB28" s="185" t="str">
        <f>IF(Tim!CC30=FIT!$E$1,Tim!CC30,"")</f>
        <v/>
      </c>
      <c r="CC28" s="185" t="str">
        <f>IF(Tim!CD30=FIT!$E$1,Tim!CD30,"")</f>
        <v/>
      </c>
      <c r="CD28" s="185" t="str">
        <f>IF(Tim!CE30=FIT!$E$1,Tim!CE30,"")</f>
        <v/>
      </c>
      <c r="CE28" s="185" t="str">
        <f>IF(Tim!CF30=FIT!$E$1,Tim!CF30,"")</f>
        <v/>
      </c>
      <c r="CF28" s="185" t="str">
        <f>IF(Tim!CG30=FIT!$E$1,Tim!CG30,"")</f>
        <v/>
      </c>
      <c r="CG28" s="185" t="str">
        <f>IF(Tim!CH30=FIT!$E$1,Tim!CH30,"")</f>
        <v/>
      </c>
      <c r="CH28" s="185" t="str">
        <f>IF(Tim!CI30=FIT!$E$1,Tim!CI30,"")</f>
        <v/>
      </c>
      <c r="CI28" s="185" t="str">
        <f>IF(Tim!CJ30=FIT!$E$1,Tim!CJ30,"")</f>
        <v/>
      </c>
      <c r="CJ28" s="185" t="str">
        <f>IF(Tim!CK30=FIT!$E$1,Tim!CK30,"")</f>
        <v/>
      </c>
      <c r="CK28" s="185" t="str">
        <f>IF(Tim!CL30=FIT!$E$1,Tim!CL30,"")</f>
        <v/>
      </c>
      <c r="CL28" s="185" t="str">
        <f>IF(Tim!CM30=FIT!$E$1,Tim!CM30,"")</f>
        <v/>
      </c>
      <c r="CM28" s="185" t="str">
        <f>IF(Tim!CN30=FIT!$E$1,Tim!CN30,"")</f>
        <v/>
      </c>
      <c r="CN28" s="185" t="str">
        <f>IF(Tim!CO30=FIT!$E$1,Tim!CO30,"")</f>
        <v/>
      </c>
      <c r="CO28" s="185" t="str">
        <f>IF(Tim!CP30=FIT!$E$1,Tim!CP30,"")</f>
        <v/>
      </c>
      <c r="CP28" s="185" t="str">
        <f>IF(Tim!CQ30=FIT!$E$1,Tim!CQ30,"")</f>
        <v/>
      </c>
      <c r="CQ28" s="185" t="str">
        <f>IF(Tim!CR30=FIT!$E$1,Tim!CR30,"")</f>
        <v/>
      </c>
      <c r="CR28" s="185" t="str">
        <f>IF(Tim!CS30=FIT!$E$1,Tim!CS30,"")</f>
        <v/>
      </c>
      <c r="CS28" s="185" t="str">
        <f>IF(Tim!CT30=FIT!$E$1,Tim!CT30,"")</f>
        <v/>
      </c>
      <c r="CT28" s="185" t="str">
        <f>IF(Tim!CU30=FIT!$E$1,Tim!CU30,"")</f>
        <v/>
      </c>
      <c r="CU28" s="185" t="str">
        <f>IF(Tim!CV30=FIT!$E$1,Tim!CV30,"")</f>
        <v/>
      </c>
      <c r="CV28" s="185" t="str">
        <f>IF(Tim!CW30=FIT!$E$1,Tim!CW30,"")</f>
        <v/>
      </c>
      <c r="CW28" s="185" t="str">
        <f>IF(Tim!CX30=FIT!$E$1,Tim!CX30,"")</f>
        <v/>
      </c>
      <c r="CX28" s="185" t="str">
        <f>IF(Tim!CY30=FIT!$E$1,Tim!CY30,"")</f>
        <v/>
      </c>
      <c r="CY28" s="185" t="str">
        <f>IF(Tim!CZ30=FIT!$E$1,Tim!CZ30,"")</f>
        <v/>
      </c>
      <c r="CZ28" s="185" t="str">
        <f>IF(Tim!DA30=FIT!$E$1,Tim!DA30,"")</f>
        <v/>
      </c>
      <c r="DA28" s="185" t="str">
        <f>IF(Tim!DB30=FIT!$E$1,Tim!DB30,"")</f>
        <v/>
      </c>
      <c r="DB28" s="185" t="str">
        <f>IF(Tim!DC30=FIT!$E$1,Tim!DC30,"")</f>
        <v/>
      </c>
      <c r="DC28" s="185" t="str">
        <f>IF(Tim!DD30=FIT!$E$1,Tim!DD30,"")</f>
        <v/>
      </c>
      <c r="DD28" s="185" t="str">
        <f>IF(Tim!DE30=FIT!$E$1,Tim!DE30,"")</f>
        <v/>
      </c>
      <c r="DE28" s="185" t="str">
        <f>IF(Tim!DF30=FIT!$E$1,Tim!DF30,"")</f>
        <v/>
      </c>
      <c r="DF28" s="185" t="str">
        <f>IF(Tim!DG30=FIT!$E$1,Tim!DG30,"")</f>
        <v/>
      </c>
      <c r="DG28" s="185" t="str">
        <f>IF(Tim!DH30=FIT!$E$1,Tim!DH30,"")</f>
        <v/>
      </c>
      <c r="DH28" s="185" t="str">
        <f>IF(Tim!DI30=FIT!$E$1,Tim!DI30,"")</f>
        <v/>
      </c>
      <c r="DI28" s="185" t="str">
        <f>IF(Tim!DM30=FIT!$E$1,Tim!DM30,"")</f>
        <v/>
      </c>
      <c r="DJ28" s="185" t="str">
        <f>IF(Tim!DN30=FIT!$E$1,Tim!DN30,"")</f>
        <v/>
      </c>
      <c r="DK28" s="185" t="str">
        <f>IF(Tim!DO30=FIT!$E$1,Tim!DO30,"")</f>
        <v/>
      </c>
      <c r="DL28" s="185" t="str">
        <f>IF(Tim!DP30=FIT!$E$1,Tim!DP30,"")</f>
        <v/>
      </c>
      <c r="DM28" s="185" t="str">
        <f>IF(Tim!DQ30=FIT!$E$1,Tim!DQ30,"")</f>
        <v/>
      </c>
      <c r="DN28" s="185" t="str">
        <f>IF(Tim!DR30=FIT!$E$1,Tim!DR30,"")</f>
        <v/>
      </c>
      <c r="DO28" s="185" t="str">
        <f>IF(Tim!DS30=FIT!$E$1,Tim!DS30,"")</f>
        <v/>
      </c>
      <c r="DP28" s="185" t="str">
        <f>IF(Tim!DT30=FIT!$E$1,Tim!DT30,"")</f>
        <v/>
      </c>
      <c r="DQ28" s="185" t="str">
        <f>IF(Tim!DU30=FIT!$E$1,Tim!DU30,"")</f>
        <v/>
      </c>
      <c r="DR28" s="185" t="str">
        <f>IF(Tim!DV30=FIT!$E$1,Tim!DV30,"")</f>
        <v/>
      </c>
      <c r="DS28" s="185" t="str">
        <f>IF(Tim!DW30=FIT!$E$1,Tim!DW30,"")</f>
        <v/>
      </c>
      <c r="DT28" s="185" t="str">
        <f>IF(Tim!DX30=FIT!$E$1,Tim!DX30,"")</f>
        <v/>
      </c>
      <c r="DU28" s="185" t="str">
        <f>IF(Tim!DY30=FIT!$E$1,Tim!DY30,"")</f>
        <v/>
      </c>
      <c r="DV28" s="185" t="str">
        <f>IF(Tim!DZ30=FIT!$E$1,Tim!DZ30,"")</f>
        <v/>
      </c>
      <c r="DW28" s="185" t="str">
        <f>IF(Tim!EA30=FIT!$E$1,Tim!EA30,"")</f>
        <v/>
      </c>
      <c r="DX28" s="185" t="str">
        <f>IF(Tim!EB30=FIT!$E$1,Tim!EB30,"")</f>
        <v/>
      </c>
      <c r="DY28" s="185" t="str">
        <f>IF(Tim!EC30=FIT!$E$1,Tim!EC30,"")</f>
        <v/>
      </c>
      <c r="DZ28" s="185" t="str">
        <f>IF(Tim!ED30=FIT!$E$1,Tim!ED30,"")</f>
        <v/>
      </c>
      <c r="EA28" s="185" t="str">
        <f>IF(Tim!EE30=FIT!$E$1,Tim!EE30,"")</f>
        <v/>
      </c>
      <c r="EB28" s="185" t="str">
        <f>IF(Tim!EF30=FIT!$E$1,Tim!EF30,"")</f>
        <v/>
      </c>
      <c r="EC28" s="185" t="str">
        <f>IF(Tim!EG30=FIT!$E$1,Tim!EG30,"")</f>
        <v/>
      </c>
      <c r="ED28" s="185" t="str">
        <f>IF(Tim!EH30=FIT!$E$1,Tim!EH30,"")</f>
        <v/>
      </c>
      <c r="EE28" s="185" t="str">
        <f>IF(Tim!EI30=FIT!$E$1,Tim!EI30,"")</f>
        <v/>
      </c>
      <c r="EF28" s="185" t="str">
        <f>IF(Tim!EJ30=FIT!$E$1,Tim!EJ30,"")</f>
        <v/>
      </c>
      <c r="EG28" s="185" t="str">
        <f>IF(Tim!EK30=FIT!$E$1,Tim!EK30,"")</f>
        <v/>
      </c>
      <c r="EH28" s="185" t="str">
        <f>IF(Tim!EL30=FIT!$E$1,Tim!EL30,"")</f>
        <v/>
      </c>
      <c r="EI28" s="185" t="str">
        <f>IF(Tim!EM30=FIT!$E$1,Tim!EM30,"")</f>
        <v/>
      </c>
      <c r="EJ28" s="185" t="str">
        <f>IF(Tim!EN30=FIT!$E$1,Tim!EN30,"")</f>
        <v/>
      </c>
      <c r="EK28" s="185" t="str">
        <f>IF(Tim!EO30=FIT!$E$1,Tim!EO30,"")</f>
        <v/>
      </c>
      <c r="EL28" s="185" t="str">
        <f>IF(Tim!EP30=FIT!$E$1,Tim!EP30,"")</f>
        <v/>
      </c>
      <c r="EM28" s="185" t="str">
        <f>IF(Tim!EQ30=FIT!$E$1,Tim!EQ30,"")</f>
        <v/>
      </c>
      <c r="EN28" s="185" t="str">
        <f>IF(Tim!ER30=FIT!$E$1,Tim!ER30,"")</f>
        <v/>
      </c>
      <c r="EO28" s="185" t="str">
        <f>IF(Tim!ES30=FIT!$E$1,Tim!ES30,"")</f>
        <v/>
      </c>
      <c r="EP28" s="185" t="str">
        <f>IF(Tim!ET30=FIT!$E$1,Tim!ET30,"")</f>
        <v/>
      </c>
      <c r="EQ28" s="185" t="str">
        <f>IF(Tim!EU30=FIT!$E$1,Tim!EU30,"")</f>
        <v/>
      </c>
      <c r="ER28" s="185" t="str">
        <f>IF(Tim!EV30=FIT!$E$1,Tim!EV30,"")</f>
        <v/>
      </c>
      <c r="ES28" s="185" t="e">
        <f>IF(Tim!#REF!=FIT!$E$1,Tim!#REF!,"")</f>
        <v>#REF!</v>
      </c>
      <c r="ET28" s="185" t="str">
        <f>IF(Tim!EX30=FIT!$E$1,Tim!EX30,"")</f>
        <v/>
      </c>
      <c r="EU28" s="185" t="str">
        <f>IF(Tim!EY30=FIT!$E$1,Tim!EY30,"")</f>
        <v/>
      </c>
      <c r="EV28" s="185" t="str">
        <f>IF(Tim!EZ30=FIT!$E$1,Tim!EZ30,"")</f>
        <v/>
      </c>
      <c r="EW28" s="185" t="str">
        <f>IF(Tim!FA30=FIT!$E$1,Tim!FA30,"")</f>
        <v/>
      </c>
      <c r="EX28" s="185" t="str">
        <f>IF(Tim!FB30=FIT!$E$1,Tim!FB30,"")</f>
        <v/>
      </c>
      <c r="EY28" s="185" t="str">
        <f>IF(Tim!FC30=FIT!$E$1,Tim!FC30,"")</f>
        <v/>
      </c>
      <c r="EZ28" s="185" t="str">
        <f>IF(Tim!FD30=FIT!$E$1,Tim!FD30,"")</f>
        <v/>
      </c>
      <c r="FA28" s="185" t="str">
        <f>IF(Tim!FE30=FIT!$E$1,Tim!FE30,"")</f>
        <v/>
      </c>
      <c r="FB28" s="185" t="str">
        <f>IF(Tim!FF30=FIT!$E$1,Tim!FF30,"")</f>
        <v/>
      </c>
      <c r="FC28" s="185" t="str">
        <f>IF(Tim!FG30=FIT!$E$1,Tim!FG30,"")</f>
        <v/>
      </c>
      <c r="FD28" s="185" t="str">
        <f>IF(Tim!FH30=FIT!$E$1,Tim!FH30,"")</f>
        <v/>
      </c>
      <c r="FE28" s="185" t="str">
        <f>IF(Tim!FI30=FIT!$E$1,Tim!FI30,"")</f>
        <v/>
      </c>
      <c r="FF28" s="185" t="str">
        <f>IF(Tim!FJ30=FIT!$E$1,Tim!FJ30,"")</f>
        <v/>
      </c>
      <c r="FG28" s="185" t="str">
        <f>IF(Tim!FK30=FIT!$E$1,Tim!FK30,"")</f>
        <v/>
      </c>
      <c r="FH28" s="185" t="str">
        <f>IF(Tim!FL30=FIT!$E$1,Tim!FL30,"")</f>
        <v/>
      </c>
      <c r="FI28" s="185" t="str">
        <f>IF(Tim!FM30=FIT!$E$1,Tim!FM30,"")</f>
        <v/>
      </c>
      <c r="FJ28" s="185" t="str">
        <f>IF(Tim!FN30=FIT!$E$1,Tim!FN30,"")</f>
        <v/>
      </c>
      <c r="FK28" s="185" t="str">
        <f>IF(Tim!FO30=FIT!$E$1,Tim!FO30,"")</f>
        <v/>
      </c>
      <c r="FL28" s="185" t="str">
        <f>IF(Tim!FP30=FIT!$E$1,Tim!FP30,"")</f>
        <v/>
      </c>
      <c r="FM28" s="185" t="str">
        <f>IF(Tim!FQ30=FIT!$E$1,Tim!FQ30,"")</f>
        <v/>
      </c>
      <c r="FN28" s="185" t="str">
        <f>IF(Tim!FR30=FIT!$E$1,Tim!FR30,"")</f>
        <v/>
      </c>
      <c r="FO28" s="185" t="str">
        <f>IF(Tim!FS30=FIT!$E$1,Tim!FS30,"")</f>
        <v/>
      </c>
      <c r="FP28" s="185" t="str">
        <f>IF(Tim!FT30=FIT!$E$1,Tim!FT30,"")</f>
        <v/>
      </c>
      <c r="FQ28" s="185" t="str">
        <f>IF(Tim!FU30=FIT!$E$1,Tim!FU30,"")</f>
        <v/>
      </c>
      <c r="FR28" s="185" t="str">
        <f>IF(Tim!FV30=FIT!$E$1,Tim!FV30,"")</f>
        <v/>
      </c>
      <c r="FS28" s="185" t="str">
        <f>IF(Tim!FW30=FIT!$E$1,Tim!FW30,"")</f>
        <v/>
      </c>
      <c r="FT28" s="185" t="str">
        <f>IF(Tim!FX30=FIT!$E$1,Tim!FX30,"")</f>
        <v/>
      </c>
      <c r="FU28" s="185" t="str">
        <f>IF(Tim!FY30=FIT!$E$1,Tim!FY30,"")</f>
        <v/>
      </c>
      <c r="FV28" s="185" t="str">
        <f>IF(Tim!FZ30=FIT!$E$1,Tim!FZ30,"")</f>
        <v/>
      </c>
      <c r="FW28" s="185" t="str">
        <f>IF(Tim!GA30=FIT!$E$1,Tim!GA30,"")</f>
        <v/>
      </c>
      <c r="FX28" s="185" t="str">
        <f>IF(Tim!GB30=FIT!$E$1,Tim!GB30,"")</f>
        <v/>
      </c>
      <c r="FY28" s="185" t="str">
        <f>IF(Tim!GC30=FIT!$E$1,Tim!GC30,"")</f>
        <v/>
      </c>
      <c r="FZ28" s="185" t="str">
        <f>IF(Tim!GD30=FIT!$E$1,Tim!GD30,"")</f>
        <v/>
      </c>
      <c r="GA28" s="185" t="str">
        <f>IF(Tim!GE30=FIT!$E$1,Tim!GE30,"")</f>
        <v/>
      </c>
      <c r="GB28" s="185" t="str">
        <f>IF(Tim!GF30=FIT!$E$1,Tim!GF30,"")</f>
        <v/>
      </c>
      <c r="GC28" s="185" t="str">
        <f>IF(Tim!GG30=FIT!$E$1,Tim!GG30,"")</f>
        <v/>
      </c>
      <c r="GD28" s="185" t="str">
        <f>IF(Tim!GH30=FIT!$E$1,Tim!GH30,"")</f>
        <v/>
      </c>
      <c r="GE28" s="185" t="str">
        <f>IF(Tim!GI30=FIT!$E$1,Tim!GI30,"")</f>
        <v/>
      </c>
      <c r="GF28" s="185" t="str">
        <f>IF(Tim!GJ30=FIT!$E$1,Tim!GJ30,"")</f>
        <v/>
      </c>
      <c r="GG28" s="185" t="str">
        <f>IF(Tim!GK30=FIT!$E$1,Tim!GK30,"")</f>
        <v/>
      </c>
      <c r="GH28" s="185" t="str">
        <f>IF(Tim!GL30=FIT!$E$1,Tim!GL30,"")</f>
        <v/>
      </c>
      <c r="GI28" s="185" t="str">
        <f>IF(Tim!GM30=FIT!$E$1,Tim!GM30,"")</f>
        <v/>
      </c>
      <c r="GJ28" s="185" t="str">
        <f>IF(Tim!GN30=FIT!$E$1,Tim!GN30,"")</f>
        <v/>
      </c>
      <c r="GK28" s="185" t="str">
        <f>IF(Tim!GO30=FIT!$E$1,Tim!GO30,"")</f>
        <v/>
      </c>
      <c r="GL28" s="185" t="str">
        <f>IF(Tim!GP30=FIT!$E$1,Tim!GP30,"")</f>
        <v/>
      </c>
      <c r="GM28" s="185" t="str">
        <f>IF(Tim!GQ30=FIT!$E$1,Tim!GQ30,"")</f>
        <v/>
      </c>
      <c r="GN28" s="185" t="str">
        <f>IF(Tim!GR30=FIT!$E$1,Tim!GR30,"")</f>
        <v/>
      </c>
      <c r="GO28" s="185" t="str">
        <f>IF(Tim!GS30=FIT!$E$1,Tim!GS30,"")</f>
        <v/>
      </c>
      <c r="GP28" s="185" t="str">
        <f>IF(Tim!GT30=FIT!$E$1,Tim!GT30,"")</f>
        <v/>
      </c>
      <c r="GQ28" s="185" t="str">
        <f>IF(Tim!GU30=FIT!$E$1,Tim!GU30,"")</f>
        <v/>
      </c>
      <c r="GR28" s="185" t="str">
        <f>IF(Tim!GV30=FIT!$E$1,Tim!GV30,"")</f>
        <v/>
      </c>
      <c r="GS28" s="185" t="str">
        <f>IF(Tim!GW30=FIT!$E$1,Tim!GW30,"")</f>
        <v/>
      </c>
      <c r="GT28" s="185" t="str">
        <f>IF(Tim!GX30=FIT!$E$1,Tim!GX30,"")</f>
        <v/>
      </c>
      <c r="GU28" s="185" t="str">
        <f>IF(Tim!GY30=FIT!$E$1,Tim!GY30,"")</f>
        <v/>
      </c>
      <c r="GV28" s="185" t="str">
        <f>IF(Tim!GZ30=FIT!$E$1,Tim!GZ30,"")</f>
        <v/>
      </c>
      <c r="GW28" s="185" t="str">
        <f>IF(Tim!HA30=FIT!$E$1,Tim!HA30,"")</f>
        <v/>
      </c>
      <c r="GX28" s="185" t="str">
        <f>IF(Tim!HB30=FIT!$E$1,Tim!HB30,"")</f>
        <v/>
      </c>
      <c r="GY28" s="185" t="str">
        <f>IF(Tim!HC30=FIT!$E$1,Tim!HC30,"")</f>
        <v/>
      </c>
      <c r="GZ28" s="185" t="str">
        <f>IF(Tim!HD30=FIT!$E$1,Tim!HD30,"")</f>
        <v/>
      </c>
      <c r="HA28" s="185" t="str">
        <f>IF(Tim!HE30=FIT!$E$1,Tim!HE30,"")</f>
        <v/>
      </c>
      <c r="HB28" s="185" t="str">
        <f>IF(Tim!HF30=FIT!$E$1,Tim!HF30,"")</f>
        <v/>
      </c>
      <c r="HC28" s="185" t="str">
        <f>IF(Tim!HG30=FIT!$E$1,Tim!HG30,"")</f>
        <v/>
      </c>
      <c r="HD28" s="185" t="str">
        <f>IF(Tim!HH30=FIT!$E$1,Tim!HH30,"")</f>
        <v/>
      </c>
      <c r="HE28" s="185" t="str">
        <f>IF(Tim!HI30=FIT!$E$1,Tim!HI30,"")</f>
        <v/>
      </c>
      <c r="HF28" s="185" t="str">
        <f>IF(Tim!HJ30=FIT!$E$1,Tim!HJ30,"")</f>
        <v/>
      </c>
      <c r="HG28" s="185" t="str">
        <f>IF(Tim!HK30=FIT!$E$1,Tim!HK30,"")</f>
        <v/>
      </c>
      <c r="HH28" s="185" t="str">
        <f>IF(Tim!HL30=FIT!$E$1,Tim!HL30,"")</f>
        <v/>
      </c>
      <c r="HI28" s="185" t="str">
        <f>IF(Tim!HM30=FIT!$E$1,Tim!HM30,"")</f>
        <v/>
      </c>
      <c r="HJ28" s="185" t="str">
        <f>IF(Tim!HN30=FIT!$E$1,Tim!HN30,"")</f>
        <v/>
      </c>
      <c r="HK28" s="185" t="str">
        <f>IF(Tim!HO30=FIT!$E$1,Tim!HO30,"")</f>
        <v/>
      </c>
      <c r="HL28" s="185" t="str">
        <f>IF(Tim!HP30=FIT!$E$1,Tim!HP30,"")</f>
        <v/>
      </c>
      <c r="HM28" s="185" t="str">
        <f>IF(Tim!HQ30=FIT!$E$1,Tim!HQ30,"")</f>
        <v/>
      </c>
      <c r="HN28" s="185" t="str">
        <f>IF(Tim!HR30=FIT!$E$1,Tim!HR30,"")</f>
        <v/>
      </c>
      <c r="HO28" s="185" t="str">
        <f>IF(Tim!HS30=FIT!$E$1,Tim!HS30,"")</f>
        <v/>
      </c>
      <c r="HP28" s="185" t="str">
        <f>IF(Tim!HT30=FIT!$E$1,Tim!HT30,"")</f>
        <v/>
      </c>
      <c r="HQ28" s="185" t="str">
        <f>IF(Tim!HU30=FIT!$E$1,Tim!HU30,"")</f>
        <v/>
      </c>
      <c r="HR28" s="185" t="str">
        <f>IF(Tim!HV30=FIT!$E$1,Tim!HV30,"")</f>
        <v/>
      </c>
      <c r="HS28" s="185" t="str">
        <f>IF(Tim!HW30=FIT!$E$1,Tim!HW30,"")</f>
        <v/>
      </c>
      <c r="HT28" s="185" t="str">
        <f>IF(Tim!HX30=FIT!$E$1,Tim!HX30,"")</f>
        <v/>
      </c>
      <c r="HU28" s="185" t="str">
        <f>IF(Tim!HY30=FIT!$E$1,Tim!HY30,"")</f>
        <v/>
      </c>
      <c r="HV28" s="185" t="str">
        <f>IF(Tim!HZ30=FIT!$E$1,Tim!HZ30,"")</f>
        <v/>
      </c>
      <c r="HW28" s="185" t="str">
        <f>IF(Tim!IA30=FIT!$E$1,Tim!IA30,"")</f>
        <v/>
      </c>
      <c r="HX28" s="185" t="str">
        <f>IF(Tim!IB30=FIT!$E$1,Tim!IB30,"")</f>
        <v/>
      </c>
      <c r="HY28" s="185" t="str">
        <f>IF(Tim!IC30=FIT!$E$1,Tim!IC30,"")</f>
        <v/>
      </c>
      <c r="HZ28" s="185" t="str">
        <f>IF(Tim!ID30=FIT!$E$1,Tim!ID30,"")</f>
        <v/>
      </c>
      <c r="IA28" s="185" t="str">
        <f>IF(Tim!IE30=FIT!$E$1,Tim!IE30,"")</f>
        <v/>
      </c>
      <c r="IB28" s="185" t="str">
        <f>IF(Tim!IF30=FIT!$E$1,Tim!IF30,"")</f>
        <v/>
      </c>
      <c r="IC28" s="185" t="str">
        <f>IF(Tim!IG30=FIT!$E$1,Tim!IG30,"")</f>
        <v/>
      </c>
      <c r="ID28" s="185" t="str">
        <f>IF(Tim!IH30=FIT!$E$1,Tim!IH30,"")</f>
        <v/>
      </c>
      <c r="IE28" s="185" t="str">
        <f>IF(Tim!II30=FIT!$E$1,Tim!II30,"")</f>
        <v/>
      </c>
      <c r="IF28" s="185" t="str">
        <f>IF(Tim!IJ30=FIT!$E$1,Tim!IJ30,"")</f>
        <v/>
      </c>
      <c r="IG28" s="185" t="str">
        <f>IF(Tim!IK30=FIT!$E$1,Tim!IK30,"")</f>
        <v/>
      </c>
      <c r="IH28" s="185" t="str">
        <f>IF(Tim!IL30=FIT!$E$1,Tim!IL30,"")</f>
        <v/>
      </c>
      <c r="II28" s="185" t="str">
        <f>IF(Tim!IM30=FIT!$E$1,Tim!IM30,"")</f>
        <v/>
      </c>
      <c r="IJ28" s="185" t="str">
        <f>IF(Tim!IN30=FIT!$E$1,Tim!IN30,"")</f>
        <v/>
      </c>
      <c r="IK28" s="185" t="str">
        <f>IF(Tim!IO30=FIT!$E$1,Tim!IO30,"")</f>
        <v/>
      </c>
      <c r="IL28" s="185" t="str">
        <f>IF(Tim!IP30=FIT!$E$1,Tim!IP30,"")</f>
        <v/>
      </c>
      <c r="IM28" s="185" t="str">
        <f>IF(Tim!IQ30=FIT!$E$1,Tim!IQ30,"")</f>
        <v/>
      </c>
      <c r="IN28" s="185" t="str">
        <f>IF(Tim!IR30=FIT!$E$1,Tim!IR30,"")</f>
        <v/>
      </c>
      <c r="IO28" s="185" t="str">
        <f>IF(Tim!IS30=FIT!$E$1,Tim!IS30,"")</f>
        <v/>
      </c>
      <c r="IP28" s="185" t="str">
        <f>IF(Tim!IT30=FIT!$E$1,Tim!IT30,"")</f>
        <v/>
      </c>
      <c r="IQ28" s="185" t="str">
        <f>IF(Tim!IU30=FIT!$E$1,Tim!IU30,"")</f>
        <v/>
      </c>
      <c r="IR28" s="185" t="str">
        <f>IF(Tim!IV30=FIT!$E$1,Tim!IV30,"")</f>
        <v/>
      </c>
      <c r="IS28" s="185" t="str">
        <f>IF(Tim!IW30=FIT!$E$1,Tim!IW30,"")</f>
        <v/>
      </c>
      <c r="IT28" s="185" t="str">
        <f>IF(Tim!IX30=FIT!$E$1,Tim!IX30,"")</f>
        <v/>
      </c>
      <c r="IU28" s="185" t="str">
        <f>IF(Tim!IY30=FIT!$E$1,Tim!IY30,"")</f>
        <v/>
      </c>
      <c r="IV28" s="185" t="str">
        <f>IF(Tim!IZ30=FIT!$E$1,Tim!IZ30,"")</f>
        <v/>
      </c>
      <c r="IW28" s="185" t="str">
        <f>IF(Tim!JA30=FIT!$E$1,Tim!JA30,"")</f>
        <v/>
      </c>
      <c r="IX28" s="185" t="str">
        <f>IF(Tim!JB30=FIT!$E$1,Tim!JB30,"")</f>
        <v/>
      </c>
      <c r="IY28" s="185" t="str">
        <f>IF(Tim!JC30=FIT!$E$1,Tim!JC30,"")</f>
        <v/>
      </c>
      <c r="IZ28" s="185" t="str">
        <f>IF(Tim!JD30=FIT!$E$1,Tim!JD30,"")</f>
        <v/>
      </c>
      <c r="JA28" s="185" t="str">
        <f>IF(Tim!JE30=FIT!$E$1,Tim!JE30,"")</f>
        <v/>
      </c>
      <c r="JB28" s="185" t="str">
        <f>IF(Tim!JF30=FIT!$E$1,Tim!JF30,"")</f>
        <v/>
      </c>
      <c r="JC28" s="185" t="str">
        <f>IF(Tim!JG30=FIT!$E$1,Tim!JG30,"")</f>
        <v/>
      </c>
      <c r="JD28" s="185" t="str">
        <f>IF(Tim!JH30=FIT!$E$1,Tim!JH30,"")</f>
        <v/>
      </c>
      <c r="JE28" s="185" t="str">
        <f>IF(Tim!JI30=FIT!$E$1,Tim!JI30,"")</f>
        <v/>
      </c>
      <c r="JF28" s="185" t="str">
        <f>IF(Tim!JJ30=FIT!$E$1,Tim!JJ30,"")</f>
        <v/>
      </c>
      <c r="JG28" s="185" t="str">
        <f>IF(Tim!JK30=FIT!$E$1,Tim!JK30,"")</f>
        <v/>
      </c>
      <c r="JH28" s="185" t="str">
        <f>IF(Tim!JL30=FIT!$E$1,Tim!JL30,"")</f>
        <v/>
      </c>
      <c r="JI28" s="185" t="str">
        <f>IF(Tim!JM30=FIT!$E$1,Tim!JM30,"")</f>
        <v/>
      </c>
      <c r="JJ28" s="185" t="str">
        <f>IF(Tim!JN30=FIT!$E$1,Tim!JN30,"")</f>
        <v/>
      </c>
      <c r="JK28" s="185" t="str">
        <f>IF(Tim!JO30=FIT!$E$1,Tim!JO30,"")</f>
        <v/>
      </c>
      <c r="JL28" s="185" t="str">
        <f>IF(Tim!JP30=FIT!$E$1,Tim!JP30,"")</f>
        <v/>
      </c>
      <c r="JM28" s="185" t="str">
        <f>IF(Tim!JQ30=FIT!$E$1,Tim!JQ30,"")</f>
        <v/>
      </c>
      <c r="JN28" s="185" t="str">
        <f>IF(Tim!JR30=FIT!$E$1,Tim!JR30,"")</f>
        <v/>
      </c>
      <c r="JO28" s="185" t="str">
        <f>IF(Tim!JS30=FIT!$E$1,Tim!JS30,"")</f>
        <v/>
      </c>
      <c r="JP28" s="185" t="str">
        <f>IF(Tim!JT30=FIT!$E$1,Tim!JT30,"")</f>
        <v/>
      </c>
      <c r="JQ28" s="185" t="str">
        <f>IF(Tim!JU30=FIT!$E$1,Tim!JU30,"")</f>
        <v/>
      </c>
      <c r="JR28" s="185" t="str">
        <f>IF(Tim!JV30=FIT!$E$1,Tim!JV30,"")</f>
        <v/>
      </c>
      <c r="JS28" s="185" t="str">
        <f>IF(Tim!JW30=FIT!$E$1,Tim!JW30,"")</f>
        <v/>
      </c>
      <c r="JT28" s="185" t="str">
        <f>IF(Tim!JX30=FIT!$E$1,Tim!JX30,"")</f>
        <v/>
      </c>
      <c r="JU28" s="185" t="str">
        <f>IF(Tim!JY30=FIT!$E$1,Tim!JY30,"")</f>
        <v/>
      </c>
      <c r="JV28" s="185" t="str">
        <f>IF(Tim!JZ30=FIT!$E$1,Tim!JZ30,"")</f>
        <v/>
      </c>
      <c r="JW28" s="185" t="str">
        <f>IF(Tim!KA30=FIT!$E$1,Tim!KA30,"")</f>
        <v/>
      </c>
      <c r="JX28" s="185" t="str">
        <f>IF(Tim!KB30=FIT!$E$1,Tim!KB30,"")</f>
        <v/>
      </c>
      <c r="JY28" s="185" t="str">
        <f>IF(Tim!KC30=FIT!$E$1,Tim!KC30,"")</f>
        <v/>
      </c>
      <c r="JZ28" s="185" t="str">
        <f>IF(Tim!KD30=FIT!$E$1,Tim!KD30,"")</f>
        <v/>
      </c>
      <c r="KA28" s="185" t="str">
        <f>IF(Tim!KE30=FIT!$E$1,Tim!KE30,"")</f>
        <v/>
      </c>
      <c r="KB28" s="185" t="str">
        <f>IF(Tim!KF30=FIT!$E$1,Tim!KF30,"")</f>
        <v/>
      </c>
      <c r="KC28" s="185" t="str">
        <f>IF(Tim!KG30=FIT!$E$1,Tim!KG30,"")</f>
        <v/>
      </c>
      <c r="KD28" s="185" t="str">
        <f>IF(Tim!KH30=FIT!$E$1,Tim!KH30,"")</f>
        <v/>
      </c>
      <c r="KE28" s="185" t="str">
        <f>IF(Tim!KI30=FIT!$E$1,Tim!KI30,"")</f>
        <v/>
      </c>
      <c r="KF28" s="185" t="str">
        <f>IF(Tim!KJ30=FIT!$E$1,Tim!KJ30,"")</f>
        <v/>
      </c>
      <c r="KG28" s="185" t="str">
        <f>IF(Tim!KK30=FIT!$E$1,Tim!KK30,"")</f>
        <v/>
      </c>
      <c r="KH28" s="185" t="str">
        <f>IF(Tim!KL30=FIT!$E$1,Tim!KL30,"")</f>
        <v/>
      </c>
      <c r="KI28" s="185" t="str">
        <f>IF(Tim!KM30=FIT!$E$1,Tim!KM30,"")</f>
        <v/>
      </c>
      <c r="KJ28" s="185" t="str">
        <f>IF(Tim!KN30=FIT!$E$1,Tim!KN30,"")</f>
        <v/>
      </c>
      <c r="KK28" s="185" t="str">
        <f>IF(Tim!KO30=FIT!$E$1,Tim!KO30,"")</f>
        <v/>
      </c>
      <c r="KL28" s="185" t="str">
        <f>IF(Tim!KP30=FIT!$E$1,Tim!KP30,"")</f>
        <v/>
      </c>
      <c r="KM28" s="185" t="str">
        <f>IF(Tim!KQ30=FIT!$E$1,Tim!KQ30,"")</f>
        <v/>
      </c>
      <c r="KN28" s="185" t="str">
        <f>IF(Tim!KR30=FIT!$E$1,Tim!KR30,"")</f>
        <v/>
      </c>
      <c r="KO28" s="185" t="str">
        <f>IF(Tim!KS30=FIT!$E$1,Tim!KS30,"")</f>
        <v/>
      </c>
      <c r="KP28" s="185" t="str">
        <f>IF(Tim!KT30=FIT!$E$1,Tim!KT30,"")</f>
        <v/>
      </c>
      <c r="KQ28" s="185" t="str">
        <f>IF(Tim!KU30=FIT!$E$1,Tim!KU30,"")</f>
        <v/>
      </c>
      <c r="KR28" s="185" t="str">
        <f>IF(Tim!KV30=FIT!$E$1,Tim!KV30,"")</f>
        <v/>
      </c>
      <c r="KS28" s="185" t="str">
        <f>IF(Tim!KW30=FIT!$E$1,Tim!KW30,"")</f>
        <v/>
      </c>
      <c r="KT28" s="185" t="str">
        <f>IF(Tim!KX30=FIT!$E$1,Tim!KX30,"")</f>
        <v/>
      </c>
      <c r="KU28" s="185" t="str">
        <f>IF(Tim!KY30=FIT!$E$1,Tim!KY30,"")</f>
        <v/>
      </c>
      <c r="KV28" s="185" t="str">
        <f>IF(Tim!KZ30=FIT!$E$1,Tim!KZ30,"")</f>
        <v/>
      </c>
      <c r="KW28" s="185" t="str">
        <f>IF(Tim!LA30=FIT!$E$1,Tim!LA30,"")</f>
        <v/>
      </c>
      <c r="KX28" s="185" t="str">
        <f>IF(Tim!LB30=FIT!$E$1,Tim!LB30,"")</f>
        <v/>
      </c>
      <c r="KY28" s="185" t="str">
        <f>IF(Tim!LC30=FIT!$E$1,Tim!LC30,"")</f>
        <v/>
      </c>
      <c r="KZ28" s="185" t="str">
        <f>IF(Tim!LD30=FIT!$E$1,Tim!LD30,"")</f>
        <v/>
      </c>
      <c r="LA28" s="185" t="str">
        <f>IF(Tim!LE30=FIT!$E$1,Tim!LE30,"")</f>
        <v/>
      </c>
      <c r="LB28" s="52">
        <v>0.531249999999999</v>
      </c>
    </row>
    <row r="29" spans="2:314" ht="10.5" customHeight="1">
      <c r="B29" s="49">
        <v>0.25</v>
      </c>
      <c r="C29" s="49">
        <v>0.25</v>
      </c>
      <c r="D29" s="49">
        <v>0.25</v>
      </c>
      <c r="E29" s="172">
        <v>0.54166666666666596</v>
      </c>
      <c r="F29" s="238" t="str">
        <f>IF(Tim!F31=FIT!$E$1,Tim!F31,"")</f>
        <v/>
      </c>
      <c r="G29" s="185" t="str">
        <f>IF(Tim!G31=FIT!$E$1,Tim!G31,"")</f>
        <v/>
      </c>
      <c r="H29" s="185" t="str">
        <f>IF(Tim!H31=FIT!$E$1,Tim!H31,"")</f>
        <v/>
      </c>
      <c r="I29" s="185" t="str">
        <f>IF(Tim!I31=FIT!$E$1,Tim!I31,"")</f>
        <v/>
      </c>
      <c r="J29" s="185" t="str">
        <f>IF(Tim!J31=FIT!$E$1,Tim!J31,"")</f>
        <v/>
      </c>
      <c r="K29" s="185" t="str">
        <f>IF(Tim!K31=FIT!$E$1,Tim!K31,"")</f>
        <v/>
      </c>
      <c r="L29" s="185" t="str">
        <f>IF(Tim!L31=FIT!$E$1,Tim!L31,"")</f>
        <v/>
      </c>
      <c r="M29" s="185" t="str">
        <f>IF(Tim!M31=FIT!$E$1,Tim!M31,"")</f>
        <v/>
      </c>
      <c r="N29" s="185" t="str">
        <f>IF(Tim!N31=FIT!$E$1,Tim!N31,"")</f>
        <v/>
      </c>
      <c r="O29" s="185" t="str">
        <f>IF(Tim!O31=FIT!$E$1,Tim!O31,"")</f>
        <v/>
      </c>
      <c r="P29" s="185" t="str">
        <f>IF(Tim!P31=FIT!$E$1,Tim!P31,"")</f>
        <v/>
      </c>
      <c r="Q29" s="185" t="str">
        <f>IF(Tim!Q31=FIT!$E$1,Tim!Q31,"")</f>
        <v/>
      </c>
      <c r="R29" s="185" t="str">
        <f>IF(Tim!R31=FIT!$E$1,Tim!R31,"")</f>
        <v/>
      </c>
      <c r="S29" s="185" t="str">
        <f>IF(Tim!S31=FIT!$E$1,Tim!S31,"")</f>
        <v/>
      </c>
      <c r="T29" s="185" t="str">
        <f>IF(Tim!T31=FIT!$E$1,Tim!T31,"")</f>
        <v/>
      </c>
      <c r="U29" s="185" t="str">
        <f>IF(Tim!U31=FIT!$E$1,Tim!U31,"")</f>
        <v/>
      </c>
      <c r="V29" s="185" t="str">
        <f>IF(Tim!W31=FIT!$E$1,Tim!W31,"")</f>
        <v/>
      </c>
      <c r="W29" s="185" t="str">
        <f>IF(Tim!X31=FIT!$E$1,Tim!X31,"")</f>
        <v/>
      </c>
      <c r="X29" s="185" t="str">
        <f>IF(Tim!Y31=FIT!$E$1,Tim!Y31,"")</f>
        <v/>
      </c>
      <c r="Y29" s="185" t="str">
        <f>IF(Tim!Z31=FIT!$E$1,Tim!Z31,"")</f>
        <v/>
      </c>
      <c r="Z29" s="185" t="str">
        <f>IF(Tim!AA31=FIT!$E$1,Tim!AA31,"")</f>
        <v/>
      </c>
      <c r="AA29" s="185" t="str">
        <f>IF(Tim!AB31=FIT!$E$1,Tim!AB31,"")</f>
        <v/>
      </c>
      <c r="AB29" s="185" t="str">
        <f>IF(Tim!AC31=FIT!$E$1,Tim!AC31,"")</f>
        <v/>
      </c>
      <c r="AC29" s="185" t="str">
        <f>IF(Tim!AD31=FIT!$E$1,Tim!AD31,"")</f>
        <v/>
      </c>
      <c r="AD29" s="185" t="str">
        <f>IF(Tim!AE31=FIT!$E$1,Tim!AE31,"")</f>
        <v/>
      </c>
      <c r="AE29" s="185" t="str">
        <f>IF(Tim!AF31=FIT!$E$1,Tim!AF31,"")</f>
        <v/>
      </c>
      <c r="AF29" s="185" t="str">
        <f>IF(Tim!AG31=FIT!$E$1,Tim!AG31,"")</f>
        <v/>
      </c>
      <c r="AG29" s="185" t="str">
        <f>IF(Tim!AH31=FIT!$E$1,Tim!AH31,"")</f>
        <v/>
      </c>
      <c r="AH29" s="185" t="str">
        <f>IF(Tim!AI31=FIT!$E$1,Tim!AI31,"")</f>
        <v/>
      </c>
      <c r="AI29" s="185" t="str">
        <f>IF(Tim!AJ31=FIT!$E$1,Tim!AJ31,"")</f>
        <v/>
      </c>
      <c r="AJ29" s="185" t="str">
        <f>IF(Tim!AK31=FIT!$E$1,Tim!AK31,"")</f>
        <v/>
      </c>
      <c r="AK29" s="185" t="str">
        <f>IF(Tim!AL31=FIT!$E$1,Tim!AL31,"")</f>
        <v/>
      </c>
      <c r="AL29" s="185" t="str">
        <f>IF(Tim!AM31=FIT!$E$1,Tim!AM31,"")</f>
        <v/>
      </c>
      <c r="AM29" s="185" t="str">
        <f>IF(Tim!AN31=FIT!$E$1,Tim!AN31,"")</f>
        <v/>
      </c>
      <c r="AN29" s="185" t="str">
        <f>IF(Tim!AO31=FIT!$E$1,Tim!AO31,"")</f>
        <v/>
      </c>
      <c r="AO29" s="185" t="str">
        <f>IF(Tim!AP31=FIT!$E$1,Tim!AP31,"")</f>
        <v/>
      </c>
      <c r="AP29" s="185" t="str">
        <f>IF(Tim!AQ31=FIT!$E$1,Tim!AQ31,"")</f>
        <v/>
      </c>
      <c r="AQ29" s="185" t="str">
        <f>IF(Tim!AR31=FIT!$E$1,Tim!AR31,"")</f>
        <v/>
      </c>
      <c r="AR29" s="185" t="str">
        <f>IF(Tim!AS31=FIT!$E$1,Tim!AS31,"")</f>
        <v/>
      </c>
      <c r="AS29" s="185" t="str">
        <f>IF(Tim!AT31=FIT!$E$1,Tim!AT31,"")</f>
        <v/>
      </c>
      <c r="AT29" s="185" t="str">
        <f>IF(Tim!AU31=FIT!$E$1,Tim!AU31,"")</f>
        <v/>
      </c>
      <c r="AU29" s="185" t="str">
        <f>IF(Tim!AV31=FIT!$E$1,Tim!AV31,"")</f>
        <v/>
      </c>
      <c r="AV29" s="185" t="str">
        <f>IF(Tim!AW31=FIT!$E$1,Tim!AW31,"")</f>
        <v/>
      </c>
      <c r="AW29" s="186" t="str">
        <f>IF(Tim!AX31=FIT!$E$1,Tim!AX31,"")</f>
        <v/>
      </c>
      <c r="AX29" s="243" t="str">
        <f>IF(Tim!AY31=FIT!$E$1,Tim!AY31,"")</f>
        <v/>
      </c>
      <c r="AY29" s="185" t="str">
        <f>IF(Tim!AZ31=FIT!$E$1,Tim!AZ31,"")</f>
        <v/>
      </c>
      <c r="AZ29" s="185" t="str">
        <f>IF(Tim!BA31=FIT!$E$1,Tim!BA31,"")</f>
        <v/>
      </c>
      <c r="BA29" s="185" t="str">
        <f>IF(Tim!BB31=FIT!$E$1,Tim!BB31,"")</f>
        <v/>
      </c>
      <c r="BB29" s="185" t="str">
        <f>IF(Tim!BC31=FIT!$E$1,Tim!BC31,"")</f>
        <v/>
      </c>
      <c r="BC29" s="185" t="str">
        <f>IF(Tim!BD31=FIT!$E$1,Tim!BD31,"")</f>
        <v/>
      </c>
      <c r="BD29" s="185" t="str">
        <f>IF(Tim!BE31=FIT!$E$1,Tim!BE31,"")</f>
        <v/>
      </c>
      <c r="BE29" s="185" t="str">
        <f>IF(Tim!BF31=FIT!$E$1,Tim!BF31,"")</f>
        <v/>
      </c>
      <c r="BF29" s="185" t="str">
        <f>IF(Tim!BG31=FIT!$E$1,Tim!BG31,"")</f>
        <v/>
      </c>
      <c r="BG29" s="185" t="str">
        <f>IF(Tim!BH31=FIT!$E$1,Tim!BH31,"")</f>
        <v/>
      </c>
      <c r="BH29" s="185" t="str">
        <f>IF(Tim!BI31=FIT!$E$1,Tim!BI31,"")</f>
        <v/>
      </c>
      <c r="BI29" s="185" t="str">
        <f>IF(Tim!BJ31=FIT!$E$1,Tim!BJ31,"")</f>
        <v/>
      </c>
      <c r="BJ29" s="185" t="str">
        <f>IF(Tim!BK31=FIT!$E$1,Tim!BK31,"")</f>
        <v/>
      </c>
      <c r="BK29" s="185" t="str">
        <f>IF(Tim!BL31=FIT!$E$1,Tim!BL31,"")</f>
        <v/>
      </c>
      <c r="BL29" s="185" t="str">
        <f>IF(Tim!BM31=FIT!$E$1,Tim!BM31,"")</f>
        <v/>
      </c>
      <c r="BM29" s="185" t="str">
        <f>IF(Tim!BN31=FIT!$E$1,Tim!BN31,"")</f>
        <v/>
      </c>
      <c r="BN29" s="185" t="str">
        <f>IF(Tim!BO31=FIT!$E$1,Tim!BO31,"")</f>
        <v/>
      </c>
      <c r="BO29" s="185" t="str">
        <f>IF(Tim!BP31=FIT!$E$1,Tim!BP31,"")</f>
        <v/>
      </c>
      <c r="BP29" s="185" t="str">
        <f>IF(Tim!BQ31=FIT!$E$1,Tim!BQ31,"")</f>
        <v/>
      </c>
      <c r="BQ29" s="185" t="str">
        <f>IF(Tim!BR31=FIT!$E$1,Tim!BR31,"")</f>
        <v/>
      </c>
      <c r="BR29" s="185" t="str">
        <f>IF(Tim!BS31=FIT!$E$1,Tim!BS31,"")</f>
        <v/>
      </c>
      <c r="BS29" s="185" t="str">
        <f>IF(Tim!BT31=FIT!$E$1,Tim!BT31,"")</f>
        <v/>
      </c>
      <c r="BT29" s="185" t="str">
        <f>IF(Tim!BU31=FIT!$E$1,Tim!BU31,"")</f>
        <v/>
      </c>
      <c r="BU29" s="185" t="str">
        <f>IF(Tim!BV31=FIT!$E$1,Tim!BV31,"")</f>
        <v/>
      </c>
      <c r="BV29" s="185" t="str">
        <f>IF(Tim!BW31=FIT!$E$1,Tim!BW31,"")</f>
        <v/>
      </c>
      <c r="BW29" s="185" t="str">
        <f>IF(Tim!BX31=FIT!$E$1,Tim!BX31,"")</f>
        <v/>
      </c>
      <c r="BX29" s="185" t="str">
        <f>IF(Tim!BY31=FIT!$E$1,Tim!BY31,"")</f>
        <v/>
      </c>
      <c r="BY29" s="185" t="str">
        <f>IF(Tim!BZ31=FIT!$E$1,Tim!BZ31,"")</f>
        <v/>
      </c>
      <c r="BZ29" s="185" t="str">
        <f>IF(Tim!CA31=FIT!$E$1,Tim!CA31,"")</f>
        <v/>
      </c>
      <c r="CA29" s="185" t="str">
        <f>IF(Tim!CB31=FIT!$E$1,Tim!CB31,"")</f>
        <v/>
      </c>
      <c r="CB29" s="185" t="str">
        <f>IF(Tim!CC31=FIT!$E$1,Tim!CC31,"")</f>
        <v/>
      </c>
      <c r="CC29" s="185" t="str">
        <f>IF(Tim!CD31=FIT!$E$1,Tim!CD31,"")</f>
        <v/>
      </c>
      <c r="CD29" s="185" t="str">
        <f>IF(Tim!CE31=FIT!$E$1,Tim!CE31,"")</f>
        <v/>
      </c>
      <c r="CE29" s="185" t="str">
        <f>IF(Tim!CF31=FIT!$E$1,Tim!CF31,"")</f>
        <v/>
      </c>
      <c r="CF29" s="185" t="str">
        <f>IF(Tim!CG31=FIT!$E$1,Tim!CG31,"")</f>
        <v/>
      </c>
      <c r="CG29" s="185" t="str">
        <f>IF(Tim!CH31=FIT!$E$1,Tim!CH31,"")</f>
        <v/>
      </c>
      <c r="CH29" s="185" t="str">
        <f>IF(Tim!CI31=FIT!$E$1,Tim!CI31,"")</f>
        <v/>
      </c>
      <c r="CI29" s="185" t="str">
        <f>IF(Tim!CJ31=FIT!$E$1,Tim!CJ31,"")</f>
        <v/>
      </c>
      <c r="CJ29" s="185" t="str">
        <f>IF(Tim!CK31=FIT!$E$1,Tim!CK31,"")</f>
        <v/>
      </c>
      <c r="CK29" s="185" t="str">
        <f>IF(Tim!CL31=FIT!$E$1,Tim!CL31,"")</f>
        <v/>
      </c>
      <c r="CL29" s="185" t="str">
        <f>IF(Tim!CM31=FIT!$E$1,Tim!CM31,"")</f>
        <v/>
      </c>
      <c r="CM29" s="185" t="str">
        <f>IF(Tim!CN31=FIT!$E$1,Tim!CN31,"")</f>
        <v/>
      </c>
      <c r="CN29" s="185" t="str">
        <f>IF(Tim!CO31=FIT!$E$1,Tim!CO31,"")</f>
        <v/>
      </c>
      <c r="CO29" s="185" t="str">
        <f>IF(Tim!CP31=FIT!$E$1,Tim!CP31,"")</f>
        <v/>
      </c>
      <c r="CP29" s="185" t="str">
        <f>IF(Tim!CQ31=FIT!$E$1,Tim!CQ31,"")</f>
        <v/>
      </c>
      <c r="CQ29" s="185" t="str">
        <f>IF(Tim!CR31=FIT!$E$1,Tim!CR31,"")</f>
        <v/>
      </c>
      <c r="CR29" s="185" t="str">
        <f>IF(Tim!CS31=FIT!$E$1,Tim!CS31,"")</f>
        <v/>
      </c>
      <c r="CS29" s="185" t="str">
        <f>IF(Tim!CT31=FIT!$E$1,Tim!CT31,"")</f>
        <v/>
      </c>
      <c r="CT29" s="185" t="str">
        <f>IF(Tim!CU31=FIT!$E$1,Tim!CU31,"")</f>
        <v/>
      </c>
      <c r="CU29" s="185" t="str">
        <f>IF(Tim!CV31=FIT!$E$1,Tim!CV31,"")</f>
        <v/>
      </c>
      <c r="CV29" s="185" t="str">
        <f>IF(Tim!CW31=FIT!$E$1,Tim!CW31,"")</f>
        <v/>
      </c>
      <c r="CW29" s="185" t="str">
        <f>IF(Tim!CX31=FIT!$E$1,Tim!CX31,"")</f>
        <v/>
      </c>
      <c r="CX29" s="185" t="str">
        <f>IF(Tim!CY31=FIT!$E$1,Tim!CY31,"")</f>
        <v/>
      </c>
      <c r="CY29" s="185" t="str">
        <f>IF(Tim!CZ31=FIT!$E$1,Tim!CZ31,"")</f>
        <v/>
      </c>
      <c r="CZ29" s="185" t="str">
        <f>IF(Tim!DA31=FIT!$E$1,Tim!DA31,"")</f>
        <v/>
      </c>
      <c r="DA29" s="185" t="str">
        <f>IF(Tim!DB31=FIT!$E$1,Tim!DB31,"")</f>
        <v/>
      </c>
      <c r="DB29" s="185" t="str">
        <f>IF(Tim!DC31=FIT!$E$1,Tim!DC31,"")</f>
        <v/>
      </c>
      <c r="DC29" s="185" t="str">
        <f>IF(Tim!DD31=FIT!$E$1,Tim!DD31,"")</f>
        <v/>
      </c>
      <c r="DD29" s="185" t="str">
        <f>IF(Tim!DE31=FIT!$E$1,Tim!DE31,"")</f>
        <v/>
      </c>
      <c r="DE29" s="185" t="str">
        <f>IF(Tim!DF31=FIT!$E$1,Tim!DF31,"")</f>
        <v/>
      </c>
      <c r="DF29" s="185" t="str">
        <f>IF(Tim!DG31=FIT!$E$1,Tim!DG31,"")</f>
        <v/>
      </c>
      <c r="DG29" s="185" t="str">
        <f>IF(Tim!DH31=FIT!$E$1,Tim!DH31,"")</f>
        <v/>
      </c>
      <c r="DH29" s="185" t="str">
        <f>IF(Tim!DI31=FIT!$E$1,Tim!DI31,"")</f>
        <v/>
      </c>
      <c r="DI29" s="185" t="str">
        <f>IF(Tim!DM31=FIT!$E$1,Tim!DM31,"")</f>
        <v/>
      </c>
      <c r="DJ29" s="185" t="str">
        <f>IF(Tim!DN31=FIT!$E$1,Tim!DN31,"")</f>
        <v/>
      </c>
      <c r="DK29" s="185" t="str">
        <f>IF(Tim!DO31=FIT!$E$1,Tim!DO31,"")</f>
        <v/>
      </c>
      <c r="DL29" s="185" t="str">
        <f>IF(Tim!DP31=FIT!$E$1,Tim!DP31,"")</f>
        <v/>
      </c>
      <c r="DM29" s="185" t="str">
        <f>IF(Tim!DQ31=FIT!$E$1,Tim!DQ31,"")</f>
        <v/>
      </c>
      <c r="DN29" s="185" t="str">
        <f>IF(Tim!DR31=FIT!$E$1,Tim!DR31,"")</f>
        <v/>
      </c>
      <c r="DO29" s="185" t="str">
        <f>IF(Tim!DS31=FIT!$E$1,Tim!DS31,"")</f>
        <v/>
      </c>
      <c r="DP29" s="185" t="str">
        <f>IF(Tim!DT31=FIT!$E$1,Tim!DT31,"")</f>
        <v/>
      </c>
      <c r="DQ29" s="185" t="str">
        <f>IF(Tim!DU31=FIT!$E$1,Tim!DU31,"")</f>
        <v/>
      </c>
      <c r="DR29" s="185" t="str">
        <f>IF(Tim!DV31=FIT!$E$1,Tim!DV31,"")</f>
        <v/>
      </c>
      <c r="DS29" s="185" t="str">
        <f>IF(Tim!DW31=FIT!$E$1,Tim!DW31,"")</f>
        <v/>
      </c>
      <c r="DT29" s="185" t="str">
        <f>IF(Tim!DX31=FIT!$E$1,Tim!DX31,"")</f>
        <v/>
      </c>
      <c r="DU29" s="185" t="str">
        <f>IF(Tim!DY31=FIT!$E$1,Tim!DY31,"")</f>
        <v/>
      </c>
      <c r="DV29" s="185" t="str">
        <f>IF(Tim!DZ31=FIT!$E$1,Tim!DZ31,"")</f>
        <v/>
      </c>
      <c r="DW29" s="185" t="str">
        <f>IF(Tim!EA31=FIT!$E$1,Tim!EA31,"")</f>
        <v/>
      </c>
      <c r="DX29" s="185" t="str">
        <f>IF(Tim!EB31=FIT!$E$1,Tim!EB31,"")</f>
        <v/>
      </c>
      <c r="DY29" s="185" t="str">
        <f>IF(Tim!EC31=FIT!$E$1,Tim!EC31,"")</f>
        <v/>
      </c>
      <c r="DZ29" s="185" t="str">
        <f>IF(Tim!ED31=FIT!$E$1,Tim!ED31,"")</f>
        <v/>
      </c>
      <c r="EA29" s="185" t="str">
        <f>IF(Tim!EE31=FIT!$E$1,Tim!EE31,"")</f>
        <v/>
      </c>
      <c r="EB29" s="185" t="str">
        <f>IF(Tim!EF31=FIT!$E$1,Tim!EF31,"")</f>
        <v/>
      </c>
      <c r="EC29" s="185" t="str">
        <f>IF(Tim!EG31=FIT!$E$1,Tim!EG31,"")</f>
        <v/>
      </c>
      <c r="ED29" s="185" t="str">
        <f>IF(Tim!EH31=FIT!$E$1,Tim!EH31,"")</f>
        <v/>
      </c>
      <c r="EE29" s="185" t="str">
        <f>IF(Tim!EI31=FIT!$E$1,Tim!EI31,"")</f>
        <v/>
      </c>
      <c r="EF29" s="185" t="str">
        <f>IF(Tim!EJ31=FIT!$E$1,Tim!EJ31,"")</f>
        <v/>
      </c>
      <c r="EG29" s="185" t="str">
        <f>IF(Tim!EK31=FIT!$E$1,Tim!EK31,"")</f>
        <v/>
      </c>
      <c r="EH29" s="185" t="str">
        <f>IF(Tim!EL31=FIT!$E$1,Tim!EL31,"")</f>
        <v/>
      </c>
      <c r="EI29" s="185" t="str">
        <f>IF(Tim!EM31=FIT!$E$1,Tim!EM31,"")</f>
        <v/>
      </c>
      <c r="EJ29" s="185" t="str">
        <f>IF(Tim!EN31=FIT!$E$1,Tim!EN31,"")</f>
        <v/>
      </c>
      <c r="EK29" s="185" t="str">
        <f>IF(Tim!EO31=FIT!$E$1,Tim!EO31,"")</f>
        <v/>
      </c>
      <c r="EL29" s="185" t="str">
        <f>IF(Tim!EP31=FIT!$E$1,Tim!EP31,"")</f>
        <v/>
      </c>
      <c r="EM29" s="185" t="str">
        <f>IF(Tim!EQ31=FIT!$E$1,Tim!EQ31,"")</f>
        <v/>
      </c>
      <c r="EN29" s="185" t="str">
        <f>IF(Tim!ER31=FIT!$E$1,Tim!ER31,"")</f>
        <v/>
      </c>
      <c r="EO29" s="185" t="str">
        <f>IF(Tim!ES31=FIT!$E$1,Tim!ES31,"")</f>
        <v/>
      </c>
      <c r="EP29" s="185" t="str">
        <f>IF(Tim!ET31=FIT!$E$1,Tim!ET31,"")</f>
        <v/>
      </c>
      <c r="EQ29" s="185" t="str">
        <f>IF(Tim!EU31=FIT!$E$1,Tim!EU31,"")</f>
        <v/>
      </c>
      <c r="ER29" s="185" t="str">
        <f>IF(Tim!EV31=FIT!$E$1,Tim!EV31,"")</f>
        <v/>
      </c>
      <c r="ES29" s="185" t="str">
        <f>IF(Tim!EW30=FIT!$E$1,Tim!EW30,"")</f>
        <v/>
      </c>
      <c r="ET29" s="185" t="str">
        <f>IF(Tim!EX31=FIT!$E$1,Tim!EX31,"")</f>
        <v/>
      </c>
      <c r="EU29" s="185" t="str">
        <f>IF(Tim!EY31=FIT!$E$1,Tim!EY31,"")</f>
        <v/>
      </c>
      <c r="EV29" s="185" t="str">
        <f>IF(Tim!EZ31=FIT!$E$1,Tim!EZ31,"")</f>
        <v/>
      </c>
      <c r="EW29" s="185" t="str">
        <f>IF(Tim!FA31=FIT!$E$1,Tim!FA31,"")</f>
        <v/>
      </c>
      <c r="EX29" s="185" t="str">
        <f>IF(Tim!FB31=FIT!$E$1,Tim!FB31,"")</f>
        <v/>
      </c>
      <c r="EY29" s="185" t="str">
        <f>IF(Tim!FC31=FIT!$E$1,Tim!FC31,"")</f>
        <v/>
      </c>
      <c r="EZ29" s="185" t="str">
        <f>IF(Tim!FD31=FIT!$E$1,Tim!FD31,"")</f>
        <v/>
      </c>
      <c r="FA29" s="185" t="str">
        <f>IF(Tim!FE31=FIT!$E$1,Tim!FE31,"")</f>
        <v/>
      </c>
      <c r="FB29" s="185" t="str">
        <f>IF(Tim!FF31=FIT!$E$1,Tim!FF31,"")</f>
        <v/>
      </c>
      <c r="FC29" s="185" t="str">
        <f>IF(Tim!FG31=FIT!$E$1,Tim!FG31,"")</f>
        <v/>
      </c>
      <c r="FD29" s="185" t="str">
        <f>IF(Tim!FH31=FIT!$E$1,Tim!FH31,"")</f>
        <v/>
      </c>
      <c r="FE29" s="185" t="str">
        <f>IF(Tim!FI31=FIT!$E$1,Tim!FI31,"")</f>
        <v/>
      </c>
      <c r="FF29" s="185" t="str">
        <f>IF(Tim!FJ31=FIT!$E$1,Tim!FJ31,"")</f>
        <v/>
      </c>
      <c r="FG29" s="185" t="str">
        <f>IF(Tim!FK31=FIT!$E$1,Tim!FK31,"")</f>
        <v/>
      </c>
      <c r="FH29" s="185" t="str">
        <f>IF(Tim!FL31=FIT!$E$1,Tim!FL31,"")</f>
        <v/>
      </c>
      <c r="FI29" s="185" t="str">
        <f>IF(Tim!FM31=FIT!$E$1,Tim!FM31,"")</f>
        <v/>
      </c>
      <c r="FJ29" s="185" t="str">
        <f>IF(Tim!FN31=FIT!$E$1,Tim!FN31,"")</f>
        <v/>
      </c>
      <c r="FK29" s="185" t="str">
        <f>IF(Tim!FO31=FIT!$E$1,Tim!FO31,"")</f>
        <v/>
      </c>
      <c r="FL29" s="185" t="str">
        <f>IF(Tim!FP31=FIT!$E$1,Tim!FP31,"")</f>
        <v/>
      </c>
      <c r="FM29" s="185" t="str">
        <f>IF(Tim!FQ31=FIT!$E$1,Tim!FQ31,"")</f>
        <v/>
      </c>
      <c r="FN29" s="185" t="str">
        <f>IF(Tim!FR31=FIT!$E$1,Tim!FR31,"")</f>
        <v/>
      </c>
      <c r="FO29" s="185" t="str">
        <f>IF(Tim!FS31=FIT!$E$1,Tim!FS31,"")</f>
        <v/>
      </c>
      <c r="FP29" s="185" t="str">
        <f>IF(Tim!FT31=FIT!$E$1,Tim!FT31,"")</f>
        <v/>
      </c>
      <c r="FQ29" s="185" t="str">
        <f>IF(Tim!FU31=FIT!$E$1,Tim!FU31,"")</f>
        <v/>
      </c>
      <c r="FR29" s="185" t="str">
        <f>IF(Tim!FV31=FIT!$E$1,Tim!FV31,"")</f>
        <v/>
      </c>
      <c r="FS29" s="185" t="str">
        <f>IF(Tim!FW31=FIT!$E$1,Tim!FW31,"")</f>
        <v/>
      </c>
      <c r="FT29" s="185" t="str">
        <f>IF(Tim!FX31=FIT!$E$1,Tim!FX31,"")</f>
        <v/>
      </c>
      <c r="FU29" s="185" t="str">
        <f>IF(Tim!FY31=FIT!$E$1,Tim!FY31,"")</f>
        <v/>
      </c>
      <c r="FV29" s="185" t="str">
        <f>IF(Tim!FZ31=FIT!$E$1,Tim!FZ31,"")</f>
        <v/>
      </c>
      <c r="FW29" s="185" t="str">
        <f>IF(Tim!GA31=FIT!$E$1,Tim!GA31,"")</f>
        <v/>
      </c>
      <c r="FX29" s="185" t="str">
        <f>IF(Tim!GB31=FIT!$E$1,Tim!GB31,"")</f>
        <v/>
      </c>
      <c r="FY29" s="185" t="str">
        <f>IF(Tim!GC31=FIT!$E$1,Tim!GC31,"")</f>
        <v/>
      </c>
      <c r="FZ29" s="185" t="str">
        <f>IF(Tim!GD31=FIT!$E$1,Tim!GD31,"")</f>
        <v/>
      </c>
      <c r="GA29" s="185" t="str">
        <f>IF(Tim!GE31=FIT!$E$1,Tim!GE31,"")</f>
        <v/>
      </c>
      <c r="GB29" s="185" t="str">
        <f>IF(Tim!GF31=FIT!$E$1,Tim!GF31,"")</f>
        <v/>
      </c>
      <c r="GC29" s="185" t="str">
        <f>IF(Tim!GG31=FIT!$E$1,Tim!GG31,"")</f>
        <v/>
      </c>
      <c r="GD29" s="185" t="str">
        <f>IF(Tim!GH31=FIT!$E$1,Tim!GH31,"")</f>
        <v/>
      </c>
      <c r="GE29" s="185" t="str">
        <f>IF(Tim!GI31=FIT!$E$1,Tim!GI31,"")</f>
        <v/>
      </c>
      <c r="GF29" s="185" t="str">
        <f>IF(Tim!GJ31=FIT!$E$1,Tim!GJ31,"")</f>
        <v/>
      </c>
      <c r="GG29" s="185" t="str">
        <f>IF(Tim!GK31=FIT!$E$1,Tim!GK31,"")</f>
        <v/>
      </c>
      <c r="GH29" s="185" t="str">
        <f>IF(Tim!GL31=FIT!$E$1,Tim!GL31,"")</f>
        <v/>
      </c>
      <c r="GI29" s="185" t="str">
        <f>IF(Tim!GM31=FIT!$E$1,Tim!GM31,"")</f>
        <v/>
      </c>
      <c r="GJ29" s="185" t="str">
        <f>IF(Tim!GN31=FIT!$E$1,Tim!GN31,"")</f>
        <v/>
      </c>
      <c r="GK29" s="185" t="str">
        <f>IF(Tim!GO31=FIT!$E$1,Tim!GO31,"")</f>
        <v/>
      </c>
      <c r="GL29" s="185" t="str">
        <f>IF(Tim!GP31=FIT!$E$1,Tim!GP31,"")</f>
        <v/>
      </c>
      <c r="GM29" s="185" t="str">
        <f>IF(Tim!GQ31=FIT!$E$1,Tim!GQ31,"")</f>
        <v/>
      </c>
      <c r="GN29" s="185" t="str">
        <f>IF(Tim!GR31=FIT!$E$1,Tim!GR31,"")</f>
        <v/>
      </c>
      <c r="GO29" s="185" t="str">
        <f>IF(Tim!GS31=FIT!$E$1,Tim!GS31,"")</f>
        <v/>
      </c>
      <c r="GP29" s="185" t="str">
        <f>IF(Tim!GT31=FIT!$E$1,Tim!GT31,"")</f>
        <v/>
      </c>
      <c r="GQ29" s="185" t="str">
        <f>IF(Tim!GU31=FIT!$E$1,Tim!GU31,"")</f>
        <v/>
      </c>
      <c r="GR29" s="185" t="str">
        <f>IF(Tim!GV31=FIT!$E$1,Tim!GV31,"")</f>
        <v/>
      </c>
      <c r="GS29" s="185" t="str">
        <f>IF(Tim!GW31=FIT!$E$1,Tim!GW31,"")</f>
        <v/>
      </c>
      <c r="GT29" s="185" t="str">
        <f>IF(Tim!GX31=FIT!$E$1,Tim!GX31,"")</f>
        <v/>
      </c>
      <c r="GU29" s="185" t="str">
        <f>IF(Tim!GY31=FIT!$E$1,Tim!GY31,"")</f>
        <v/>
      </c>
      <c r="GV29" s="185" t="str">
        <f>IF(Tim!GZ31=FIT!$E$1,Tim!GZ31,"")</f>
        <v/>
      </c>
      <c r="GW29" s="185" t="str">
        <f>IF(Tim!HA31=FIT!$E$1,Tim!HA31,"")</f>
        <v/>
      </c>
      <c r="GX29" s="185" t="str">
        <f>IF(Tim!HB31=FIT!$E$1,Tim!HB31,"")</f>
        <v/>
      </c>
      <c r="GY29" s="185" t="str">
        <f>IF(Tim!HC31=FIT!$E$1,Tim!HC31,"")</f>
        <v/>
      </c>
      <c r="GZ29" s="185" t="str">
        <f>IF(Tim!HD31=FIT!$E$1,Tim!HD31,"")</f>
        <v/>
      </c>
      <c r="HA29" s="185" t="str">
        <f>IF(Tim!HE31=FIT!$E$1,Tim!HE31,"")</f>
        <v/>
      </c>
      <c r="HB29" s="185" t="str">
        <f>IF(Tim!HF31=FIT!$E$1,Tim!HF31,"")</f>
        <v/>
      </c>
      <c r="HC29" s="185" t="str">
        <f>IF(Tim!HG31=FIT!$E$1,Tim!HG31,"")</f>
        <v/>
      </c>
      <c r="HD29" s="185" t="str">
        <f>IF(Tim!HH31=FIT!$E$1,Tim!HH31,"")</f>
        <v/>
      </c>
      <c r="HE29" s="185" t="str">
        <f>IF(Tim!HI31=FIT!$E$1,Tim!HI31,"")</f>
        <v/>
      </c>
      <c r="HF29" s="185" t="str">
        <f>IF(Tim!HJ31=FIT!$E$1,Tim!HJ31,"")</f>
        <v/>
      </c>
      <c r="HG29" s="185" t="str">
        <f>IF(Tim!HK31=FIT!$E$1,Tim!HK31,"")</f>
        <v/>
      </c>
      <c r="HH29" s="185" t="str">
        <f>IF(Tim!HL31=FIT!$E$1,Tim!HL31,"")</f>
        <v/>
      </c>
      <c r="HI29" s="185" t="str">
        <f>IF(Tim!HM31=FIT!$E$1,Tim!HM31,"")</f>
        <v/>
      </c>
      <c r="HJ29" s="185" t="str">
        <f>IF(Tim!HN31=FIT!$E$1,Tim!HN31,"")</f>
        <v/>
      </c>
      <c r="HK29" s="185" t="str">
        <f>IF(Tim!HO31=FIT!$E$1,Tim!HO31,"")</f>
        <v/>
      </c>
      <c r="HL29" s="185" t="str">
        <f>IF(Tim!HP31=FIT!$E$1,Tim!HP31,"")</f>
        <v/>
      </c>
      <c r="HM29" s="185" t="str">
        <f>IF(Tim!HQ31=FIT!$E$1,Tim!HQ31,"")</f>
        <v/>
      </c>
      <c r="HN29" s="185" t="str">
        <f>IF(Tim!HR31=FIT!$E$1,Tim!HR31,"")</f>
        <v/>
      </c>
      <c r="HO29" s="185" t="str">
        <f>IF(Tim!HS31=FIT!$E$1,Tim!HS31,"")</f>
        <v/>
      </c>
      <c r="HP29" s="185" t="str">
        <f>IF(Tim!HT31=FIT!$E$1,Tim!HT31,"")</f>
        <v/>
      </c>
      <c r="HQ29" s="185" t="str">
        <f>IF(Tim!HU31=FIT!$E$1,Tim!HU31,"")</f>
        <v/>
      </c>
      <c r="HR29" s="185" t="str">
        <f>IF(Tim!HV31=FIT!$E$1,Tim!HV31,"")</f>
        <v/>
      </c>
      <c r="HS29" s="185" t="str">
        <f>IF(Tim!HW31=FIT!$E$1,Tim!HW31,"")</f>
        <v/>
      </c>
      <c r="HT29" s="185" t="str">
        <f>IF(Tim!HX31=FIT!$E$1,Tim!HX31,"")</f>
        <v/>
      </c>
      <c r="HU29" s="185" t="str">
        <f>IF(Tim!HY31=FIT!$E$1,Tim!HY31,"")</f>
        <v/>
      </c>
      <c r="HV29" s="185" t="str">
        <f>IF(Tim!HZ31=FIT!$E$1,Tim!HZ31,"")</f>
        <v/>
      </c>
      <c r="HW29" s="185" t="str">
        <f>IF(Tim!IA31=FIT!$E$1,Tim!IA31,"")</f>
        <v/>
      </c>
      <c r="HX29" s="185" t="str">
        <f>IF(Tim!IB31=FIT!$E$1,Tim!IB31,"")</f>
        <v/>
      </c>
      <c r="HY29" s="185" t="str">
        <f>IF(Tim!IC31=FIT!$E$1,Tim!IC31,"")</f>
        <v/>
      </c>
      <c r="HZ29" s="185" t="str">
        <f>IF(Tim!ID31=FIT!$E$1,Tim!ID31,"")</f>
        <v/>
      </c>
      <c r="IA29" s="185" t="str">
        <f>IF(Tim!IE31=FIT!$E$1,Tim!IE31,"")</f>
        <v/>
      </c>
      <c r="IB29" s="185" t="str">
        <f>IF(Tim!IF31=FIT!$E$1,Tim!IF31,"")</f>
        <v/>
      </c>
      <c r="IC29" s="185" t="str">
        <f>IF(Tim!IG31=FIT!$E$1,Tim!IG31,"")</f>
        <v/>
      </c>
      <c r="ID29" s="185" t="str">
        <f>IF(Tim!IH31=FIT!$E$1,Tim!IH31,"")</f>
        <v/>
      </c>
      <c r="IE29" s="185" t="str">
        <f>IF(Tim!II31=FIT!$E$1,Tim!II31,"")</f>
        <v/>
      </c>
      <c r="IF29" s="185" t="str">
        <f>IF(Tim!IJ31=FIT!$E$1,Tim!IJ31,"")</f>
        <v/>
      </c>
      <c r="IG29" s="185" t="str">
        <f>IF(Tim!IK31=FIT!$E$1,Tim!IK31,"")</f>
        <v/>
      </c>
      <c r="IH29" s="185" t="str">
        <f>IF(Tim!IL31=FIT!$E$1,Tim!IL31,"")</f>
        <v/>
      </c>
      <c r="II29" s="185" t="str">
        <f>IF(Tim!IM31=FIT!$E$1,Tim!IM31,"")</f>
        <v/>
      </c>
      <c r="IJ29" s="185" t="str">
        <f>IF(Tim!IN31=FIT!$E$1,Tim!IN31,"")</f>
        <v/>
      </c>
      <c r="IK29" s="185" t="str">
        <f>IF(Tim!IO31=FIT!$E$1,Tim!IO31,"")</f>
        <v/>
      </c>
      <c r="IL29" s="185" t="str">
        <f>IF(Tim!IP31=FIT!$E$1,Tim!IP31,"")</f>
        <v/>
      </c>
      <c r="IM29" s="185" t="str">
        <f>IF(Tim!IQ31=FIT!$E$1,Tim!IQ31,"")</f>
        <v/>
      </c>
      <c r="IN29" s="185" t="str">
        <f>IF(Tim!IR31=FIT!$E$1,Tim!IR31,"")</f>
        <v/>
      </c>
      <c r="IO29" s="185" t="str">
        <f>IF(Tim!IS31=FIT!$E$1,Tim!IS31,"")</f>
        <v/>
      </c>
      <c r="IP29" s="185" t="str">
        <f>IF(Tim!IT31=FIT!$E$1,Tim!IT31,"")</f>
        <v/>
      </c>
      <c r="IQ29" s="185" t="str">
        <f>IF(Tim!IU31=FIT!$E$1,Tim!IU31,"")</f>
        <v/>
      </c>
      <c r="IR29" s="185" t="str">
        <f>IF(Tim!IV31=FIT!$E$1,Tim!IV31,"")</f>
        <v/>
      </c>
      <c r="IS29" s="185" t="str">
        <f>IF(Tim!IW31=FIT!$E$1,Tim!IW31,"")</f>
        <v/>
      </c>
      <c r="IT29" s="185" t="str">
        <f>IF(Tim!IX31=FIT!$E$1,Tim!IX31,"")</f>
        <v/>
      </c>
      <c r="IU29" s="185" t="str">
        <f>IF(Tim!IY31=FIT!$E$1,Tim!IY31,"")</f>
        <v/>
      </c>
      <c r="IV29" s="185" t="str">
        <f>IF(Tim!IZ31=FIT!$E$1,Tim!IZ31,"")</f>
        <v/>
      </c>
      <c r="IW29" s="185" t="str">
        <f>IF(Tim!JA31=FIT!$E$1,Tim!JA31,"")</f>
        <v/>
      </c>
      <c r="IX29" s="185" t="str">
        <f>IF(Tim!JB31=FIT!$E$1,Tim!JB31,"")</f>
        <v/>
      </c>
      <c r="IY29" s="185" t="str">
        <f>IF(Tim!JC31=FIT!$E$1,Tim!JC31,"")</f>
        <v/>
      </c>
      <c r="IZ29" s="185" t="str">
        <f>IF(Tim!JD31=FIT!$E$1,Tim!JD31,"")</f>
        <v/>
      </c>
      <c r="JA29" s="185" t="str">
        <f>IF(Tim!JE31=FIT!$E$1,Tim!JE31,"")</f>
        <v/>
      </c>
      <c r="JB29" s="185" t="str">
        <f>IF(Tim!JF31=FIT!$E$1,Tim!JF31,"")</f>
        <v/>
      </c>
      <c r="JC29" s="185" t="str">
        <f>IF(Tim!JG31=FIT!$E$1,Tim!JG31,"")</f>
        <v/>
      </c>
      <c r="JD29" s="185" t="str">
        <f>IF(Tim!JH31=FIT!$E$1,Tim!JH31,"")</f>
        <v/>
      </c>
      <c r="JE29" s="185" t="str">
        <f>IF(Tim!JI31=FIT!$E$1,Tim!JI31,"")</f>
        <v/>
      </c>
      <c r="JF29" s="185" t="str">
        <f>IF(Tim!JJ31=FIT!$E$1,Tim!JJ31,"")</f>
        <v/>
      </c>
      <c r="JG29" s="185" t="str">
        <f>IF(Tim!JK31=FIT!$E$1,Tim!JK31,"")</f>
        <v/>
      </c>
      <c r="JH29" s="185" t="str">
        <f>IF(Tim!JL31=FIT!$E$1,Tim!JL31,"")</f>
        <v/>
      </c>
      <c r="JI29" s="185" t="str">
        <f>IF(Tim!JM31=FIT!$E$1,Tim!JM31,"")</f>
        <v/>
      </c>
      <c r="JJ29" s="185" t="str">
        <f>IF(Tim!JN31=FIT!$E$1,Tim!JN31,"")</f>
        <v/>
      </c>
      <c r="JK29" s="185" t="str">
        <f>IF(Tim!JO31=FIT!$E$1,Tim!JO31,"")</f>
        <v/>
      </c>
      <c r="JL29" s="185" t="str">
        <f>IF(Tim!JP31=FIT!$E$1,Tim!JP31,"")</f>
        <v/>
      </c>
      <c r="JM29" s="185" t="str">
        <f>IF(Tim!JQ31=FIT!$E$1,Tim!JQ31,"")</f>
        <v/>
      </c>
      <c r="JN29" s="185" t="str">
        <f>IF(Tim!JR31=FIT!$E$1,Tim!JR31,"")</f>
        <v/>
      </c>
      <c r="JO29" s="185" t="str">
        <f>IF(Tim!JS31=FIT!$E$1,Tim!JS31,"")</f>
        <v/>
      </c>
      <c r="JP29" s="185" t="str">
        <f>IF(Tim!JT31=FIT!$E$1,Tim!JT31,"")</f>
        <v/>
      </c>
      <c r="JQ29" s="185" t="str">
        <f>IF(Tim!JU31=FIT!$E$1,Tim!JU31,"")</f>
        <v/>
      </c>
      <c r="JR29" s="185" t="str">
        <f>IF(Tim!JV31=FIT!$E$1,Tim!JV31,"")</f>
        <v/>
      </c>
      <c r="JS29" s="185" t="str">
        <f>IF(Tim!JW31=FIT!$E$1,Tim!JW31,"")</f>
        <v/>
      </c>
      <c r="JT29" s="185" t="str">
        <f>IF(Tim!JX31=FIT!$E$1,Tim!JX31,"")</f>
        <v/>
      </c>
      <c r="JU29" s="185" t="str">
        <f>IF(Tim!JY31=FIT!$E$1,Tim!JY31,"")</f>
        <v/>
      </c>
      <c r="JV29" s="185" t="str">
        <f>IF(Tim!JZ31=FIT!$E$1,Tim!JZ31,"")</f>
        <v/>
      </c>
      <c r="JW29" s="185" t="str">
        <f>IF(Tim!KA31=FIT!$E$1,Tim!KA31,"")</f>
        <v/>
      </c>
      <c r="JX29" s="185" t="str">
        <f>IF(Tim!KB31=FIT!$E$1,Tim!KB31,"")</f>
        <v/>
      </c>
      <c r="JY29" s="185" t="str">
        <f>IF(Tim!KC31=FIT!$E$1,Tim!KC31,"")</f>
        <v/>
      </c>
      <c r="JZ29" s="185" t="str">
        <f>IF(Tim!KD31=FIT!$E$1,Tim!KD31,"")</f>
        <v/>
      </c>
      <c r="KA29" s="185" t="str">
        <f>IF(Tim!KE31=FIT!$E$1,Tim!KE31,"")</f>
        <v/>
      </c>
      <c r="KB29" s="185" t="str">
        <f>IF(Tim!KF31=FIT!$E$1,Tim!KF31,"")</f>
        <v/>
      </c>
      <c r="KC29" s="185" t="str">
        <f>IF(Tim!KG31=FIT!$E$1,Tim!KG31,"")</f>
        <v/>
      </c>
      <c r="KD29" s="185" t="str">
        <f>IF(Tim!KH31=FIT!$E$1,Tim!KH31,"")</f>
        <v/>
      </c>
      <c r="KE29" s="185" t="str">
        <f>IF(Tim!KI31=FIT!$E$1,Tim!KI31,"")</f>
        <v/>
      </c>
      <c r="KF29" s="185" t="str">
        <f>IF(Tim!KJ31=FIT!$E$1,Tim!KJ31,"")</f>
        <v/>
      </c>
      <c r="KG29" s="185" t="str">
        <f>IF(Tim!KK31=FIT!$E$1,Tim!KK31,"")</f>
        <v/>
      </c>
      <c r="KH29" s="185" t="str">
        <f>IF(Tim!KL31=FIT!$E$1,Tim!KL31,"")</f>
        <v/>
      </c>
      <c r="KI29" s="185" t="str">
        <f>IF(Tim!KM31=FIT!$E$1,Tim!KM31,"")</f>
        <v/>
      </c>
      <c r="KJ29" s="185" t="str">
        <f>IF(Tim!KN31=FIT!$E$1,Tim!KN31,"")</f>
        <v/>
      </c>
      <c r="KK29" s="185" t="str">
        <f>IF(Tim!KO31=FIT!$E$1,Tim!KO31,"")</f>
        <v/>
      </c>
      <c r="KL29" s="185" t="str">
        <f>IF(Tim!KP31=FIT!$E$1,Tim!KP31,"")</f>
        <v/>
      </c>
      <c r="KM29" s="185" t="str">
        <f>IF(Tim!KQ31=FIT!$E$1,Tim!KQ31,"")</f>
        <v/>
      </c>
      <c r="KN29" s="185" t="str">
        <f>IF(Tim!KR31=FIT!$E$1,Tim!KR31,"")</f>
        <v/>
      </c>
      <c r="KO29" s="185" t="str">
        <f>IF(Tim!KS31=FIT!$E$1,Tim!KS31,"")</f>
        <v/>
      </c>
      <c r="KP29" s="185" t="str">
        <f>IF(Tim!KT31=FIT!$E$1,Tim!KT31,"")</f>
        <v/>
      </c>
      <c r="KQ29" s="185" t="str">
        <f>IF(Tim!KU31=FIT!$E$1,Tim!KU31,"")</f>
        <v/>
      </c>
      <c r="KR29" s="185" t="str">
        <f>IF(Tim!KV31=FIT!$E$1,Tim!KV31,"")</f>
        <v/>
      </c>
      <c r="KS29" s="185" t="str">
        <f>IF(Tim!KW31=FIT!$E$1,Tim!KW31,"")</f>
        <v/>
      </c>
      <c r="KT29" s="185" t="str">
        <f>IF(Tim!KX31=FIT!$E$1,Tim!KX31,"")</f>
        <v/>
      </c>
      <c r="KU29" s="185" t="str">
        <f>IF(Tim!KY31=FIT!$E$1,Tim!KY31,"")</f>
        <v/>
      </c>
      <c r="KV29" s="185" t="str">
        <f>IF(Tim!KZ31=FIT!$E$1,Tim!KZ31,"")</f>
        <v/>
      </c>
      <c r="KW29" s="185" t="str">
        <f>IF(Tim!LA31=FIT!$E$1,Tim!LA31,"")</f>
        <v/>
      </c>
      <c r="KX29" s="185" t="str">
        <f>IF(Tim!LB31=FIT!$E$1,Tim!LB31,"")</f>
        <v/>
      </c>
      <c r="KY29" s="185" t="str">
        <f>IF(Tim!LC31=FIT!$E$1,Tim!LC31,"")</f>
        <v/>
      </c>
      <c r="KZ29" s="185" t="str">
        <f>IF(Tim!LD31=FIT!$E$1,Tim!LD31,"")</f>
        <v/>
      </c>
      <c r="LA29" s="185" t="str">
        <f>IF(Tim!LE31=FIT!$E$1,Tim!LE31,"")</f>
        <v/>
      </c>
      <c r="LB29" s="52">
        <v>0.54166666666666596</v>
      </c>
    </row>
    <row r="30" spans="2:314" ht="10.5" customHeight="1">
      <c r="B30" s="49">
        <v>0.25</v>
      </c>
      <c r="C30" s="49">
        <v>0.25</v>
      </c>
      <c r="D30" s="49">
        <v>0.25</v>
      </c>
      <c r="E30" s="172">
        <v>0.55208333333333304</v>
      </c>
      <c r="F30" s="238" t="str">
        <f>IF(Tim!F32=FIT!$E$1,Tim!F32,"")</f>
        <v/>
      </c>
      <c r="G30" s="185" t="str">
        <f>IF(Tim!G32=FIT!$E$1,Tim!G32,"")</f>
        <v/>
      </c>
      <c r="H30" s="185" t="str">
        <f>IF(Tim!H32=FIT!$E$1,Tim!H32,"")</f>
        <v/>
      </c>
      <c r="I30" s="185" t="str">
        <f>IF(Tim!I32=FIT!$E$1,Tim!I32,"")</f>
        <v/>
      </c>
      <c r="J30" s="185" t="str">
        <f>IF(Tim!J32=FIT!$E$1,Tim!J32,"")</f>
        <v/>
      </c>
      <c r="K30" s="185" t="str">
        <f>IF(Tim!K32=FIT!$E$1,Tim!K32,"")</f>
        <v/>
      </c>
      <c r="L30" s="185" t="str">
        <f>IF(Tim!L32=FIT!$E$1,Tim!L32,"")</f>
        <v/>
      </c>
      <c r="M30" s="185" t="str">
        <f>IF(Tim!M32=FIT!$E$1,Tim!M32,"")</f>
        <v/>
      </c>
      <c r="N30" s="185" t="str">
        <f>IF(Tim!N32=FIT!$E$1,Tim!N32,"")</f>
        <v/>
      </c>
      <c r="O30" s="185" t="str">
        <f>IF(Tim!O32=FIT!$E$1,Tim!O32,"")</f>
        <v/>
      </c>
      <c r="P30" s="185" t="str">
        <f>IF(Tim!P32=FIT!$E$1,Tim!P32,"")</f>
        <v/>
      </c>
      <c r="Q30" s="185" t="str">
        <f>IF(Tim!Q32=FIT!$E$1,Tim!Q32,"")</f>
        <v/>
      </c>
      <c r="R30" s="185" t="str">
        <f>IF(Tim!R32=FIT!$E$1,Tim!R32,"")</f>
        <v/>
      </c>
      <c r="S30" s="185" t="str">
        <f>IF(Tim!S32=FIT!$E$1,Tim!S32,"")</f>
        <v/>
      </c>
      <c r="T30" s="185" t="str">
        <f>IF(Tim!T32=FIT!$E$1,Tim!T32,"")</f>
        <v/>
      </c>
      <c r="U30" s="185" t="str">
        <f>IF(Tim!U32=FIT!$E$1,Tim!U32,"")</f>
        <v/>
      </c>
      <c r="V30" s="185" t="str">
        <f>IF(Tim!W32=FIT!$E$1,Tim!W32,"")</f>
        <v/>
      </c>
      <c r="W30" s="185" t="str">
        <f>IF(Tim!X32=FIT!$E$1,Tim!X32,"")</f>
        <v/>
      </c>
      <c r="X30" s="185" t="str">
        <f>IF(Tim!Y32=FIT!$E$1,Tim!Y32,"")</f>
        <v/>
      </c>
      <c r="Y30" s="185" t="str">
        <f>IF(Tim!Z32=FIT!$E$1,Tim!Z32,"")</f>
        <v/>
      </c>
      <c r="Z30" s="185" t="str">
        <f>IF(Tim!AA32=FIT!$E$1,Tim!AA32,"")</f>
        <v/>
      </c>
      <c r="AA30" s="185" t="str">
        <f>IF(Tim!AB32=FIT!$E$1,Tim!AB32,"")</f>
        <v/>
      </c>
      <c r="AB30" s="185" t="str">
        <f>IF(Tim!AC32=FIT!$E$1,Tim!AC32,"")</f>
        <v/>
      </c>
      <c r="AC30" s="185" t="str">
        <f>IF(Tim!AD32=FIT!$E$1,Tim!AD32,"")</f>
        <v/>
      </c>
      <c r="AD30" s="185" t="str">
        <f>IF(Tim!AE32=FIT!$E$1,Tim!AE32,"")</f>
        <v/>
      </c>
      <c r="AE30" s="185" t="str">
        <f>IF(Tim!AF32=FIT!$E$1,Tim!AF32,"")</f>
        <v/>
      </c>
      <c r="AF30" s="185" t="str">
        <f>IF(Tim!AG32=FIT!$E$1,Tim!AG32,"")</f>
        <v/>
      </c>
      <c r="AG30" s="185" t="str">
        <f>IF(Tim!AH32=FIT!$E$1,Tim!AH32,"")</f>
        <v/>
      </c>
      <c r="AH30" s="185" t="str">
        <f>IF(Tim!AI32=FIT!$E$1,Tim!AI32,"")</f>
        <v/>
      </c>
      <c r="AI30" s="185" t="str">
        <f>IF(Tim!AJ32=FIT!$E$1,Tim!AJ32,"")</f>
        <v/>
      </c>
      <c r="AJ30" s="185" t="str">
        <f>IF(Tim!AK32=FIT!$E$1,Tim!AK32,"")</f>
        <v/>
      </c>
      <c r="AK30" s="185" t="str">
        <f>IF(Tim!AL32=FIT!$E$1,Tim!AL32,"")</f>
        <v/>
      </c>
      <c r="AL30" s="185" t="str">
        <f>IF(Tim!AM32=FIT!$E$1,Tim!AM32,"")</f>
        <v/>
      </c>
      <c r="AM30" s="185" t="str">
        <f>IF(Tim!AN32=FIT!$E$1,Tim!AN32,"")</f>
        <v/>
      </c>
      <c r="AN30" s="185" t="str">
        <f>IF(Tim!AO32=FIT!$E$1,Tim!AO32,"")</f>
        <v/>
      </c>
      <c r="AO30" s="185" t="str">
        <f>IF(Tim!AP32=FIT!$E$1,Tim!AP32,"")</f>
        <v/>
      </c>
      <c r="AP30" s="185" t="str">
        <f>IF(Tim!AQ32=FIT!$E$1,Tim!AQ32,"")</f>
        <v/>
      </c>
      <c r="AQ30" s="185" t="str">
        <f>IF(Tim!AR32=FIT!$E$1,Tim!AR32,"")</f>
        <v/>
      </c>
      <c r="AR30" s="185" t="str">
        <f>IF(Tim!AS32=FIT!$E$1,Tim!AS32,"")</f>
        <v/>
      </c>
      <c r="AS30" s="185" t="str">
        <f>IF(Tim!AT32=FIT!$E$1,Tim!AT32,"")</f>
        <v/>
      </c>
      <c r="AT30" s="185" t="str">
        <f>IF(Tim!AU32=FIT!$E$1,Tim!AU32,"")</f>
        <v/>
      </c>
      <c r="AU30" s="185" t="str">
        <f>IF(Tim!AV32=FIT!$E$1,Tim!AV32,"")</f>
        <v/>
      </c>
      <c r="AV30" s="185" t="str">
        <f>IF(Tim!AW32=FIT!$E$1,Tim!AW32,"")</f>
        <v/>
      </c>
      <c r="AW30" s="186" t="str">
        <f>IF(Tim!AX32=FIT!$E$1,Tim!AX32,"")</f>
        <v/>
      </c>
      <c r="AX30" s="243" t="str">
        <f>IF(Tim!AY32=FIT!$E$1,Tim!AY32,"")</f>
        <v/>
      </c>
      <c r="AY30" s="185" t="str">
        <f>IF(Tim!AZ32=FIT!$E$1,Tim!AZ32,"")</f>
        <v/>
      </c>
      <c r="AZ30" s="185" t="str">
        <f>IF(Tim!BA32=FIT!$E$1,Tim!BA32,"")</f>
        <v/>
      </c>
      <c r="BA30" s="185" t="str">
        <f>IF(Tim!BB32=FIT!$E$1,Tim!BB32,"")</f>
        <v/>
      </c>
      <c r="BB30" s="185" t="str">
        <f>IF(Tim!BC32=FIT!$E$1,Tim!BC32,"")</f>
        <v/>
      </c>
      <c r="BC30" s="185" t="str">
        <f>IF(Tim!BD32=FIT!$E$1,Tim!BD32,"")</f>
        <v/>
      </c>
      <c r="BD30" s="185" t="str">
        <f>IF(Tim!BE32=FIT!$E$1,Tim!BE32,"")</f>
        <v/>
      </c>
      <c r="BE30" s="185" t="str">
        <f>IF(Tim!BF32=FIT!$E$1,Tim!BF32,"")</f>
        <v/>
      </c>
      <c r="BF30" s="185" t="str">
        <f>IF(Tim!BG32=FIT!$E$1,Tim!BG32,"")</f>
        <v/>
      </c>
      <c r="BG30" s="185" t="str">
        <f>IF(Tim!BH32=FIT!$E$1,Tim!BH32,"")</f>
        <v/>
      </c>
      <c r="BH30" s="185" t="str">
        <f>IF(Tim!BI32=FIT!$E$1,Tim!BI32,"")</f>
        <v/>
      </c>
      <c r="BI30" s="185" t="str">
        <f>IF(Tim!BJ32=FIT!$E$1,Tim!BJ32,"")</f>
        <v/>
      </c>
      <c r="BJ30" s="185" t="str">
        <f>IF(Tim!BK32=FIT!$E$1,Tim!BK32,"")</f>
        <v/>
      </c>
      <c r="BK30" s="185" t="str">
        <f>IF(Tim!BL32=FIT!$E$1,Tim!BL32,"")</f>
        <v/>
      </c>
      <c r="BL30" s="185" t="str">
        <f>IF(Tim!BM32=FIT!$E$1,Tim!BM32,"")</f>
        <v/>
      </c>
      <c r="BM30" s="185" t="str">
        <f>IF(Tim!BN32=FIT!$E$1,Tim!BN32,"")</f>
        <v/>
      </c>
      <c r="BN30" s="185" t="str">
        <f>IF(Tim!BO32=FIT!$E$1,Tim!BO32,"")</f>
        <v/>
      </c>
      <c r="BO30" s="185" t="str">
        <f>IF(Tim!BP32=FIT!$E$1,Tim!BP32,"")</f>
        <v/>
      </c>
      <c r="BP30" s="185" t="str">
        <f>IF(Tim!BQ32=FIT!$E$1,Tim!BQ32,"")</f>
        <v/>
      </c>
      <c r="BQ30" s="185" t="str">
        <f>IF(Tim!BR32=FIT!$E$1,Tim!BR32,"")</f>
        <v/>
      </c>
      <c r="BR30" s="185" t="str">
        <f>IF(Tim!BS32=FIT!$E$1,Tim!BS32,"")</f>
        <v/>
      </c>
      <c r="BS30" s="185" t="str">
        <f>IF(Tim!BT32=FIT!$E$1,Tim!BT32,"")</f>
        <v/>
      </c>
      <c r="BT30" s="185" t="str">
        <f>IF(Tim!BU32=FIT!$E$1,Tim!BU32,"")</f>
        <v/>
      </c>
      <c r="BU30" s="185" t="str">
        <f>IF(Tim!BV32=FIT!$E$1,Tim!BV32,"")</f>
        <v/>
      </c>
      <c r="BV30" s="185" t="str">
        <f>IF(Tim!BW32=FIT!$E$1,Tim!BW32,"")</f>
        <v/>
      </c>
      <c r="BW30" s="185" t="str">
        <f>IF(Tim!BX32=FIT!$E$1,Tim!BX32,"")</f>
        <v/>
      </c>
      <c r="BX30" s="185" t="str">
        <f>IF(Tim!BY32=FIT!$E$1,Tim!BY32,"")</f>
        <v/>
      </c>
      <c r="BY30" s="185" t="str">
        <f>IF(Tim!BZ32=FIT!$E$1,Tim!BZ32,"")</f>
        <v/>
      </c>
      <c r="BZ30" s="185" t="str">
        <f>IF(Tim!CA32=FIT!$E$1,Tim!CA32,"")</f>
        <v/>
      </c>
      <c r="CA30" s="185" t="str">
        <f>IF(Tim!CB32=FIT!$E$1,Tim!CB32,"")</f>
        <v/>
      </c>
      <c r="CB30" s="185" t="str">
        <f>IF(Tim!CC32=FIT!$E$1,Tim!CC32,"")</f>
        <v/>
      </c>
      <c r="CC30" s="185" t="str">
        <f>IF(Tim!CD32=FIT!$E$1,Tim!CD32,"")</f>
        <v/>
      </c>
      <c r="CD30" s="185" t="str">
        <f>IF(Tim!CE32=FIT!$E$1,Tim!CE32,"")</f>
        <v/>
      </c>
      <c r="CE30" s="185" t="str">
        <f>IF(Tim!CF32=FIT!$E$1,Tim!CF32,"")</f>
        <v/>
      </c>
      <c r="CF30" s="185" t="str">
        <f>IF(Tim!CG32=FIT!$E$1,Tim!CG32,"")</f>
        <v/>
      </c>
      <c r="CG30" s="185" t="str">
        <f>IF(Tim!CH32=FIT!$E$1,Tim!CH32,"")</f>
        <v/>
      </c>
      <c r="CH30" s="185" t="str">
        <f>IF(Tim!CI32=FIT!$E$1,Tim!CI32,"")</f>
        <v/>
      </c>
      <c r="CI30" s="185" t="str">
        <f>IF(Tim!CJ32=FIT!$E$1,Tim!CJ32,"")</f>
        <v/>
      </c>
      <c r="CJ30" s="185" t="str">
        <f>IF(Tim!CK32=FIT!$E$1,Tim!CK32,"")</f>
        <v/>
      </c>
      <c r="CK30" s="185" t="str">
        <f>IF(Tim!CL32=FIT!$E$1,Tim!CL32,"")</f>
        <v/>
      </c>
      <c r="CL30" s="185" t="str">
        <f>IF(Tim!CM32=FIT!$E$1,Tim!CM32,"")</f>
        <v/>
      </c>
      <c r="CM30" s="185" t="str">
        <f>IF(Tim!CN32=FIT!$E$1,Tim!CN32,"")</f>
        <v/>
      </c>
      <c r="CN30" s="185" t="str">
        <f>IF(Tim!CO32=FIT!$E$1,Tim!CO32,"")</f>
        <v/>
      </c>
      <c r="CO30" s="185" t="str">
        <f>IF(Tim!CP32=FIT!$E$1,Tim!CP32,"")</f>
        <v/>
      </c>
      <c r="CP30" s="185" t="str">
        <f>IF(Tim!CQ32=FIT!$E$1,Tim!CQ32,"")</f>
        <v/>
      </c>
      <c r="CQ30" s="185" t="str">
        <f>IF(Tim!CR32=FIT!$E$1,Tim!CR32,"")</f>
        <v/>
      </c>
      <c r="CR30" s="185" t="str">
        <f>IF(Tim!CS32=FIT!$E$1,Tim!CS32,"")</f>
        <v/>
      </c>
      <c r="CS30" s="185" t="str">
        <f>IF(Tim!CT32=FIT!$E$1,Tim!CT32,"")</f>
        <v/>
      </c>
      <c r="CT30" s="185" t="str">
        <f>IF(Tim!CU32=FIT!$E$1,Tim!CU32,"")</f>
        <v/>
      </c>
      <c r="CU30" s="185" t="str">
        <f>IF(Tim!CV32=FIT!$E$1,Tim!CV32,"")</f>
        <v/>
      </c>
      <c r="CV30" s="185" t="str">
        <f>IF(Tim!CW32=FIT!$E$1,Tim!CW32,"")</f>
        <v/>
      </c>
      <c r="CW30" s="185" t="str">
        <f>IF(Tim!CX32=FIT!$E$1,Tim!CX32,"")</f>
        <v/>
      </c>
      <c r="CX30" s="185" t="str">
        <f>IF(Tim!CY32=FIT!$E$1,Tim!CY32,"")</f>
        <v/>
      </c>
      <c r="CY30" s="185" t="str">
        <f>IF(Tim!CZ32=FIT!$E$1,Tim!CZ32,"")</f>
        <v/>
      </c>
      <c r="CZ30" s="185" t="str">
        <f>IF(Tim!DA32=FIT!$E$1,Tim!DA32,"")</f>
        <v/>
      </c>
      <c r="DA30" s="185" t="str">
        <f>IF(Tim!DB32=FIT!$E$1,Tim!DB32,"")</f>
        <v/>
      </c>
      <c r="DB30" s="185" t="str">
        <f>IF(Tim!DC32=FIT!$E$1,Tim!DC32,"")</f>
        <v/>
      </c>
      <c r="DC30" s="185" t="str">
        <f>IF(Tim!DD32=FIT!$E$1,Tim!DD32,"")</f>
        <v/>
      </c>
      <c r="DD30" s="185" t="str">
        <f>IF(Tim!DE32=FIT!$E$1,Tim!DE32,"")</f>
        <v/>
      </c>
      <c r="DE30" s="185" t="str">
        <f>IF(Tim!DF32=FIT!$E$1,Tim!DF32,"")</f>
        <v/>
      </c>
      <c r="DF30" s="185" t="str">
        <f>IF(Tim!DG32=FIT!$E$1,Tim!DG32,"")</f>
        <v/>
      </c>
      <c r="DG30" s="185" t="str">
        <f>IF(Tim!DH32=FIT!$E$1,Tim!DH32,"")</f>
        <v/>
      </c>
      <c r="DH30" s="185" t="str">
        <f>IF(Tim!DI32=FIT!$E$1,Tim!DI32,"")</f>
        <v/>
      </c>
      <c r="DI30" s="185" t="str">
        <f>IF(Tim!DM32=FIT!$E$1,Tim!DM32,"")</f>
        <v/>
      </c>
      <c r="DJ30" s="185" t="str">
        <f>IF(Tim!DN32=FIT!$E$1,Tim!DN32,"")</f>
        <v/>
      </c>
      <c r="DK30" s="185" t="str">
        <f>IF(Tim!DO32=FIT!$E$1,Tim!DO32,"")</f>
        <v/>
      </c>
      <c r="DL30" s="185" t="str">
        <f>IF(Tim!DP32=FIT!$E$1,Tim!DP32,"")</f>
        <v/>
      </c>
      <c r="DM30" s="185" t="str">
        <f>IF(Tim!DQ32=FIT!$E$1,Tim!DQ32,"")</f>
        <v/>
      </c>
      <c r="DN30" s="185" t="str">
        <f>IF(Tim!DR32=FIT!$E$1,Tim!DR32,"")</f>
        <v/>
      </c>
      <c r="DO30" s="185" t="str">
        <f>IF(Tim!DS32=FIT!$E$1,Tim!DS32,"")</f>
        <v/>
      </c>
      <c r="DP30" s="185" t="str">
        <f>IF(Tim!DT32=FIT!$E$1,Tim!DT32,"")</f>
        <v/>
      </c>
      <c r="DQ30" s="185" t="str">
        <f>IF(Tim!DU32=FIT!$E$1,Tim!DU32,"")</f>
        <v/>
      </c>
      <c r="DR30" s="185" t="str">
        <f>IF(Tim!DV32=FIT!$E$1,Tim!DV32,"")</f>
        <v/>
      </c>
      <c r="DS30" s="185" t="str">
        <f>IF(Tim!DW32=FIT!$E$1,Tim!DW32,"")</f>
        <v/>
      </c>
      <c r="DT30" s="185" t="str">
        <f>IF(Tim!DX32=FIT!$E$1,Tim!DX32,"")</f>
        <v/>
      </c>
      <c r="DU30" s="185" t="str">
        <f>IF(Tim!DY32=FIT!$E$1,Tim!DY32,"")</f>
        <v/>
      </c>
      <c r="DV30" s="185" t="str">
        <f>IF(Tim!DZ32=FIT!$E$1,Tim!DZ32,"")</f>
        <v/>
      </c>
      <c r="DW30" s="185" t="str">
        <f>IF(Tim!EA32=FIT!$E$1,Tim!EA32,"")</f>
        <v/>
      </c>
      <c r="DX30" s="185" t="str">
        <f>IF(Tim!EB32=FIT!$E$1,Tim!EB32,"")</f>
        <v/>
      </c>
      <c r="DY30" s="185" t="str">
        <f>IF(Tim!EC32=FIT!$E$1,Tim!EC32,"")</f>
        <v/>
      </c>
      <c r="DZ30" s="185" t="str">
        <f>IF(Tim!ED32=FIT!$E$1,Tim!ED32,"")</f>
        <v/>
      </c>
      <c r="EA30" s="185" t="str">
        <f>IF(Tim!EE32=FIT!$E$1,Tim!EE32,"")</f>
        <v/>
      </c>
      <c r="EB30" s="185" t="str">
        <f>IF(Tim!EF32=FIT!$E$1,Tim!EF32,"")</f>
        <v/>
      </c>
      <c r="EC30" s="185" t="str">
        <f>IF(Tim!EG32=FIT!$E$1,Tim!EG32,"")</f>
        <v/>
      </c>
      <c r="ED30" s="185" t="str">
        <f>IF(Tim!EH32=FIT!$E$1,Tim!EH32,"")</f>
        <v/>
      </c>
      <c r="EE30" s="185" t="str">
        <f>IF(Tim!EI32=FIT!$E$1,Tim!EI32,"")</f>
        <v/>
      </c>
      <c r="EF30" s="185" t="str">
        <f>IF(Tim!EJ32=FIT!$E$1,Tim!EJ32,"")</f>
        <v/>
      </c>
      <c r="EG30" s="185" t="str">
        <f>IF(Tim!EK32=FIT!$E$1,Tim!EK32,"")</f>
        <v/>
      </c>
      <c r="EH30" s="185" t="str">
        <f>IF(Tim!EL32=FIT!$E$1,Tim!EL32,"")</f>
        <v/>
      </c>
      <c r="EI30" s="185" t="str">
        <f>IF(Tim!EM32=FIT!$E$1,Tim!EM32,"")</f>
        <v/>
      </c>
      <c r="EJ30" s="185" t="str">
        <f>IF(Tim!EN32=FIT!$E$1,Tim!EN32,"")</f>
        <v/>
      </c>
      <c r="EK30" s="185" t="str">
        <f>IF(Tim!EO32=FIT!$E$1,Tim!EO32,"")</f>
        <v/>
      </c>
      <c r="EL30" s="185" t="str">
        <f>IF(Tim!EP32=FIT!$E$1,Tim!EP32,"")</f>
        <v/>
      </c>
      <c r="EM30" s="185" t="str">
        <f>IF(Tim!EQ32=FIT!$E$1,Tim!EQ32,"")</f>
        <v/>
      </c>
      <c r="EN30" s="185" t="str">
        <f>IF(Tim!ER32=FIT!$E$1,Tim!ER32,"")</f>
        <v/>
      </c>
      <c r="EO30" s="185" t="str">
        <f>IF(Tim!ES32=FIT!$E$1,Tim!ES32,"")</f>
        <v/>
      </c>
      <c r="EP30" s="185" t="str">
        <f>IF(Tim!ET32=FIT!$E$1,Tim!ET32,"")</f>
        <v/>
      </c>
      <c r="EQ30" s="185" t="str">
        <f>IF(Tim!EU32=FIT!$E$1,Tim!EU32,"")</f>
        <v/>
      </c>
      <c r="ER30" s="185" t="str">
        <f>IF(Tim!EV32=FIT!$E$1,Tim!EV32,"")</f>
        <v/>
      </c>
      <c r="ES30" s="185" t="str">
        <f>IF(Tim!EW32=FIT!$E$1,Tim!EW32,"")</f>
        <v/>
      </c>
      <c r="ET30" s="185" t="str">
        <f>IF(Tim!EX32=FIT!$E$1,Tim!EX32,"")</f>
        <v/>
      </c>
      <c r="EU30" s="185" t="str">
        <f>IF(Tim!EY32=FIT!$E$1,Tim!EY32,"")</f>
        <v/>
      </c>
      <c r="EV30" s="185" t="str">
        <f>IF(Tim!EZ32=FIT!$E$1,Tim!EZ32,"")</f>
        <v/>
      </c>
      <c r="EW30" s="185" t="str">
        <f>IF(Tim!FA32=FIT!$E$1,Tim!FA32,"")</f>
        <v/>
      </c>
      <c r="EX30" s="185" t="str">
        <f>IF(Tim!FB32=FIT!$E$1,Tim!FB32,"")</f>
        <v/>
      </c>
      <c r="EY30" s="185" t="str">
        <f>IF(Tim!FC32=FIT!$E$1,Tim!FC32,"")</f>
        <v/>
      </c>
      <c r="EZ30" s="185" t="str">
        <f>IF(Tim!FD32=FIT!$E$1,Tim!FD32,"")</f>
        <v/>
      </c>
      <c r="FA30" s="185" t="str">
        <f>IF(Tim!FE32=FIT!$E$1,Tim!FE32,"")</f>
        <v/>
      </c>
      <c r="FB30" s="185" t="str">
        <f>IF(Tim!FF32=FIT!$E$1,Tim!FF32,"")</f>
        <v/>
      </c>
      <c r="FC30" s="185" t="str">
        <f>IF(Tim!FG32=FIT!$E$1,Tim!FG32,"")</f>
        <v/>
      </c>
      <c r="FD30" s="185" t="str">
        <f>IF(Tim!FH32=FIT!$E$1,Tim!FH32,"")</f>
        <v/>
      </c>
      <c r="FE30" s="185" t="str">
        <f>IF(Tim!FI32=FIT!$E$1,Tim!FI32,"")</f>
        <v/>
      </c>
      <c r="FF30" s="185" t="str">
        <f>IF(Tim!FJ32=FIT!$E$1,Tim!FJ32,"")</f>
        <v/>
      </c>
      <c r="FG30" s="185" t="str">
        <f>IF(Tim!FK32=FIT!$E$1,Tim!FK32,"")</f>
        <v/>
      </c>
      <c r="FH30" s="185" t="str">
        <f>IF(Tim!FL32=FIT!$E$1,Tim!FL32,"")</f>
        <v/>
      </c>
      <c r="FI30" s="185" t="str">
        <f>IF(Tim!FM32=FIT!$E$1,Tim!FM32,"")</f>
        <v/>
      </c>
      <c r="FJ30" s="185" t="str">
        <f>IF(Tim!FN32=FIT!$E$1,Tim!FN32,"")</f>
        <v/>
      </c>
      <c r="FK30" s="185" t="str">
        <f>IF(Tim!FO32=FIT!$E$1,Tim!FO32,"")</f>
        <v/>
      </c>
      <c r="FL30" s="185" t="str">
        <f>IF(Tim!FP32=FIT!$E$1,Tim!FP32,"")</f>
        <v/>
      </c>
      <c r="FM30" s="185" t="str">
        <f>IF(Tim!FQ32=FIT!$E$1,Tim!FQ32,"")</f>
        <v/>
      </c>
      <c r="FN30" s="185" t="str">
        <f>IF(Tim!FR32=FIT!$E$1,Tim!FR32,"")</f>
        <v/>
      </c>
      <c r="FO30" s="185" t="str">
        <f>IF(Tim!FS32=FIT!$E$1,Tim!FS32,"")</f>
        <v/>
      </c>
      <c r="FP30" s="185" t="str">
        <f>IF(Tim!FT32=FIT!$E$1,Tim!FT32,"")</f>
        <v/>
      </c>
      <c r="FQ30" s="185" t="str">
        <f>IF(Tim!FU32=FIT!$E$1,Tim!FU32,"")</f>
        <v/>
      </c>
      <c r="FR30" s="185" t="str">
        <f>IF(Tim!FV32=FIT!$E$1,Tim!FV32,"")</f>
        <v/>
      </c>
      <c r="FS30" s="185" t="str">
        <f>IF(Tim!FW32=FIT!$E$1,Tim!FW32,"")</f>
        <v/>
      </c>
      <c r="FT30" s="185" t="str">
        <f>IF(Tim!FX32=FIT!$E$1,Tim!FX32,"")</f>
        <v/>
      </c>
      <c r="FU30" s="185" t="str">
        <f>IF(Tim!FY32=FIT!$E$1,Tim!FY32,"")</f>
        <v/>
      </c>
      <c r="FV30" s="185" t="str">
        <f>IF(Tim!FZ32=FIT!$E$1,Tim!FZ32,"")</f>
        <v/>
      </c>
      <c r="FW30" s="185" t="str">
        <f>IF(Tim!GA32=FIT!$E$1,Tim!GA32,"")</f>
        <v/>
      </c>
      <c r="FX30" s="185" t="str">
        <f>IF(Tim!GB32=FIT!$E$1,Tim!GB32,"")</f>
        <v/>
      </c>
      <c r="FY30" s="185" t="str">
        <f>IF(Tim!GC32=FIT!$E$1,Tim!GC32,"")</f>
        <v/>
      </c>
      <c r="FZ30" s="185" t="str">
        <f>IF(Tim!GD32=FIT!$E$1,Tim!GD32,"")</f>
        <v/>
      </c>
      <c r="GA30" s="185" t="str">
        <f>IF(Tim!GE32=FIT!$E$1,Tim!GE32,"")</f>
        <v/>
      </c>
      <c r="GB30" s="185" t="str">
        <f>IF(Tim!GF32=FIT!$E$1,Tim!GF32,"")</f>
        <v/>
      </c>
      <c r="GC30" s="185" t="str">
        <f>IF(Tim!GG32=FIT!$E$1,Tim!GG32,"")</f>
        <v/>
      </c>
      <c r="GD30" s="185" t="str">
        <f>IF(Tim!GH32=FIT!$E$1,Tim!GH32,"")</f>
        <v/>
      </c>
      <c r="GE30" s="185" t="str">
        <f>IF(Tim!GI32=FIT!$E$1,Tim!GI32,"")</f>
        <v/>
      </c>
      <c r="GF30" s="185" t="str">
        <f>IF(Tim!GJ32=FIT!$E$1,Tim!GJ32,"")</f>
        <v/>
      </c>
      <c r="GG30" s="185" t="str">
        <f>IF(Tim!GK32=FIT!$E$1,Tim!GK32,"")</f>
        <v/>
      </c>
      <c r="GH30" s="185" t="str">
        <f>IF(Tim!GL32=FIT!$E$1,Tim!GL32,"")</f>
        <v/>
      </c>
      <c r="GI30" s="185" t="str">
        <f>IF(Tim!GM32=FIT!$E$1,Tim!GM32,"")</f>
        <v/>
      </c>
      <c r="GJ30" s="185" t="str">
        <f>IF(Tim!GN32=FIT!$E$1,Tim!GN32,"")</f>
        <v/>
      </c>
      <c r="GK30" s="185" t="str">
        <f>IF(Tim!GO32=FIT!$E$1,Tim!GO32,"")</f>
        <v/>
      </c>
      <c r="GL30" s="185" t="str">
        <f>IF(Tim!GP32=FIT!$E$1,Tim!GP32,"")</f>
        <v/>
      </c>
      <c r="GM30" s="185" t="str">
        <f>IF(Tim!GQ32=FIT!$E$1,Tim!GQ32,"")</f>
        <v/>
      </c>
      <c r="GN30" s="185" t="str">
        <f>IF(Tim!GR32=FIT!$E$1,Tim!GR32,"")</f>
        <v/>
      </c>
      <c r="GO30" s="185" t="str">
        <f>IF(Tim!GS32=FIT!$E$1,Tim!GS32,"")</f>
        <v/>
      </c>
      <c r="GP30" s="185" t="str">
        <f>IF(Tim!GT32=FIT!$E$1,Tim!GT32,"")</f>
        <v/>
      </c>
      <c r="GQ30" s="185" t="str">
        <f>IF(Tim!GU32=FIT!$E$1,Tim!GU32,"")</f>
        <v/>
      </c>
      <c r="GR30" s="185" t="str">
        <f>IF(Tim!GV32=FIT!$E$1,Tim!GV32,"")</f>
        <v/>
      </c>
      <c r="GS30" s="185" t="str">
        <f>IF(Tim!GW32=FIT!$E$1,Tim!GW32,"")</f>
        <v/>
      </c>
      <c r="GT30" s="185" t="str">
        <f>IF(Tim!GX32=FIT!$E$1,Tim!GX32,"")</f>
        <v/>
      </c>
      <c r="GU30" s="185" t="str">
        <f>IF(Tim!GY32=FIT!$E$1,Tim!GY32,"")</f>
        <v/>
      </c>
      <c r="GV30" s="185" t="str">
        <f>IF(Tim!GZ32=FIT!$E$1,Tim!GZ32,"")</f>
        <v/>
      </c>
      <c r="GW30" s="185" t="str">
        <f>IF(Tim!HA32=FIT!$E$1,Tim!HA32,"")</f>
        <v/>
      </c>
      <c r="GX30" s="185" t="str">
        <f>IF(Tim!HB32=FIT!$E$1,Tim!HB32,"")</f>
        <v/>
      </c>
      <c r="GY30" s="185" t="str">
        <f>IF(Tim!HC32=FIT!$E$1,Tim!HC32,"")</f>
        <v/>
      </c>
      <c r="GZ30" s="185" t="str">
        <f>IF(Tim!HD32=FIT!$E$1,Tim!HD32,"")</f>
        <v/>
      </c>
      <c r="HA30" s="185" t="str">
        <f>IF(Tim!HE32=FIT!$E$1,Tim!HE32,"")</f>
        <v/>
      </c>
      <c r="HB30" s="185" t="str">
        <f>IF(Tim!HF32=FIT!$E$1,Tim!HF32,"")</f>
        <v/>
      </c>
      <c r="HC30" s="185" t="str">
        <f>IF(Tim!HG32=FIT!$E$1,Tim!HG32,"")</f>
        <v/>
      </c>
      <c r="HD30" s="185" t="str">
        <f>IF(Tim!HH32=FIT!$E$1,Tim!HH32,"")</f>
        <v/>
      </c>
      <c r="HE30" s="185" t="str">
        <f>IF(Tim!HI32=FIT!$E$1,Tim!HI32,"")</f>
        <v/>
      </c>
      <c r="HF30" s="185" t="str">
        <f>IF(Tim!HJ32=FIT!$E$1,Tim!HJ32,"")</f>
        <v/>
      </c>
      <c r="HG30" s="185" t="str">
        <f>IF(Tim!HK32=FIT!$E$1,Tim!HK32,"")</f>
        <v/>
      </c>
      <c r="HH30" s="185" t="str">
        <f>IF(Tim!HL32=FIT!$E$1,Tim!HL32,"")</f>
        <v/>
      </c>
      <c r="HI30" s="185" t="str">
        <f>IF(Tim!HM32=FIT!$E$1,Tim!HM32,"")</f>
        <v/>
      </c>
      <c r="HJ30" s="185" t="str">
        <f>IF(Tim!HN32=FIT!$E$1,Tim!HN32,"")</f>
        <v/>
      </c>
      <c r="HK30" s="185" t="str">
        <f>IF(Tim!HO32=FIT!$E$1,Tim!HO32,"")</f>
        <v/>
      </c>
      <c r="HL30" s="185" t="str">
        <f>IF(Tim!HP32=FIT!$E$1,Tim!HP32,"")</f>
        <v/>
      </c>
      <c r="HM30" s="185" t="str">
        <f>IF(Tim!HQ32=FIT!$E$1,Tim!HQ32,"")</f>
        <v/>
      </c>
      <c r="HN30" s="185" t="str">
        <f>IF(Tim!HR32=FIT!$E$1,Tim!HR32,"")</f>
        <v/>
      </c>
      <c r="HO30" s="185" t="str">
        <f>IF(Tim!HS32=FIT!$E$1,Tim!HS32,"")</f>
        <v/>
      </c>
      <c r="HP30" s="185" t="str">
        <f>IF(Tim!HT32=FIT!$E$1,Tim!HT32,"")</f>
        <v/>
      </c>
      <c r="HQ30" s="185" t="str">
        <f>IF(Tim!HU32=FIT!$E$1,Tim!HU32,"")</f>
        <v/>
      </c>
      <c r="HR30" s="185" t="str">
        <f>IF(Tim!HV32=FIT!$E$1,Tim!HV32,"")</f>
        <v/>
      </c>
      <c r="HS30" s="185" t="str">
        <f>IF(Tim!HW32=FIT!$E$1,Tim!HW32,"")</f>
        <v/>
      </c>
      <c r="HT30" s="185" t="str">
        <f>IF(Tim!HX32=FIT!$E$1,Tim!HX32,"")</f>
        <v/>
      </c>
      <c r="HU30" s="185" t="str">
        <f>IF(Tim!HY32=FIT!$E$1,Tim!HY32,"")</f>
        <v/>
      </c>
      <c r="HV30" s="185" t="str">
        <f>IF(Tim!HZ32=FIT!$E$1,Tim!HZ32,"")</f>
        <v/>
      </c>
      <c r="HW30" s="185" t="str">
        <f>IF(Tim!IA32=FIT!$E$1,Tim!IA32,"")</f>
        <v/>
      </c>
      <c r="HX30" s="185" t="str">
        <f>IF(Tim!IB32=FIT!$E$1,Tim!IB32,"")</f>
        <v/>
      </c>
      <c r="HY30" s="185" t="str">
        <f>IF(Tim!IC32=FIT!$E$1,Tim!IC32,"")</f>
        <v/>
      </c>
      <c r="HZ30" s="185" t="str">
        <f>IF(Tim!ID32=FIT!$E$1,Tim!ID32,"")</f>
        <v/>
      </c>
      <c r="IA30" s="185" t="str">
        <f>IF(Tim!IE32=FIT!$E$1,Tim!IE32,"")</f>
        <v/>
      </c>
      <c r="IB30" s="185" t="str">
        <f>IF(Tim!IF32=FIT!$E$1,Tim!IF32,"")</f>
        <v/>
      </c>
      <c r="IC30" s="185" t="str">
        <f>IF(Tim!IG32=FIT!$E$1,Tim!IG32,"")</f>
        <v/>
      </c>
      <c r="ID30" s="185" t="str">
        <f>IF(Tim!IH32=FIT!$E$1,Tim!IH32,"")</f>
        <v/>
      </c>
      <c r="IE30" s="185" t="str">
        <f>IF(Tim!II32=FIT!$E$1,Tim!II32,"")</f>
        <v/>
      </c>
      <c r="IF30" s="185" t="str">
        <f>IF(Tim!IJ32=FIT!$E$1,Tim!IJ32,"")</f>
        <v/>
      </c>
      <c r="IG30" s="185" t="str">
        <f>IF(Tim!IK32=FIT!$E$1,Tim!IK32,"")</f>
        <v/>
      </c>
      <c r="IH30" s="185" t="str">
        <f>IF(Tim!IL32=FIT!$E$1,Tim!IL32,"")</f>
        <v/>
      </c>
      <c r="II30" s="185" t="str">
        <f>IF(Tim!IM32=FIT!$E$1,Tim!IM32,"")</f>
        <v/>
      </c>
      <c r="IJ30" s="185" t="str">
        <f>IF(Tim!IN32=FIT!$E$1,Tim!IN32,"")</f>
        <v/>
      </c>
      <c r="IK30" s="185" t="str">
        <f>IF(Tim!IO32=FIT!$E$1,Tim!IO32,"")</f>
        <v/>
      </c>
      <c r="IL30" s="185" t="str">
        <f>IF(Tim!IP32=FIT!$E$1,Tim!IP32,"")</f>
        <v/>
      </c>
      <c r="IM30" s="185" t="str">
        <f>IF(Tim!IQ32=FIT!$E$1,Tim!IQ32,"")</f>
        <v/>
      </c>
      <c r="IN30" s="185" t="str">
        <f>IF(Tim!IR32=FIT!$E$1,Tim!IR32,"")</f>
        <v/>
      </c>
      <c r="IO30" s="185" t="str">
        <f>IF(Tim!IS32=FIT!$E$1,Tim!IS32,"")</f>
        <v/>
      </c>
      <c r="IP30" s="185" t="str">
        <f>IF(Tim!IT32=FIT!$E$1,Tim!IT32,"")</f>
        <v/>
      </c>
      <c r="IQ30" s="185" t="str">
        <f>IF(Tim!IU32=FIT!$E$1,Tim!IU32,"")</f>
        <v/>
      </c>
      <c r="IR30" s="185" t="str">
        <f>IF(Tim!IV32=FIT!$E$1,Tim!IV32,"")</f>
        <v/>
      </c>
      <c r="IS30" s="185" t="str">
        <f>IF(Tim!IW32=FIT!$E$1,Tim!IW32,"")</f>
        <v/>
      </c>
      <c r="IT30" s="185" t="str">
        <f>IF(Tim!IX32=FIT!$E$1,Tim!IX32,"")</f>
        <v/>
      </c>
      <c r="IU30" s="185" t="str">
        <f>IF(Tim!IY32=FIT!$E$1,Tim!IY32,"")</f>
        <v/>
      </c>
      <c r="IV30" s="185" t="str">
        <f>IF(Tim!IZ32=FIT!$E$1,Tim!IZ32,"")</f>
        <v/>
      </c>
      <c r="IW30" s="185" t="str">
        <f>IF(Tim!JA32=FIT!$E$1,Tim!JA32,"")</f>
        <v/>
      </c>
      <c r="IX30" s="185" t="str">
        <f>IF(Tim!JB32=FIT!$E$1,Tim!JB32,"")</f>
        <v/>
      </c>
      <c r="IY30" s="185" t="str">
        <f>IF(Tim!JC32=FIT!$E$1,Tim!JC32,"")</f>
        <v/>
      </c>
      <c r="IZ30" s="185" t="str">
        <f>IF(Tim!JD32=FIT!$E$1,Tim!JD32,"")</f>
        <v/>
      </c>
      <c r="JA30" s="185" t="str">
        <f>IF(Tim!JE32=FIT!$E$1,Tim!JE32,"")</f>
        <v/>
      </c>
      <c r="JB30" s="185" t="str">
        <f>IF(Tim!JF32=FIT!$E$1,Tim!JF32,"")</f>
        <v/>
      </c>
      <c r="JC30" s="185" t="str">
        <f>IF(Tim!JG32=FIT!$E$1,Tim!JG32,"")</f>
        <v/>
      </c>
      <c r="JD30" s="185" t="str">
        <f>IF(Tim!JH32=FIT!$E$1,Tim!JH32,"")</f>
        <v/>
      </c>
      <c r="JE30" s="185" t="str">
        <f>IF(Tim!JI32=FIT!$E$1,Tim!JI32,"")</f>
        <v/>
      </c>
      <c r="JF30" s="185" t="str">
        <f>IF(Tim!JJ32=FIT!$E$1,Tim!JJ32,"")</f>
        <v/>
      </c>
      <c r="JG30" s="185" t="str">
        <f>IF(Tim!JK32=FIT!$E$1,Tim!JK32,"")</f>
        <v/>
      </c>
      <c r="JH30" s="185" t="str">
        <f>IF(Tim!JL32=FIT!$E$1,Tim!JL32,"")</f>
        <v/>
      </c>
      <c r="JI30" s="185" t="str">
        <f>IF(Tim!JM32=FIT!$E$1,Tim!JM32,"")</f>
        <v/>
      </c>
      <c r="JJ30" s="185" t="str">
        <f>IF(Tim!JN32=FIT!$E$1,Tim!JN32,"")</f>
        <v/>
      </c>
      <c r="JK30" s="185" t="str">
        <f>IF(Tim!JO32=FIT!$E$1,Tim!JO32,"")</f>
        <v/>
      </c>
      <c r="JL30" s="185" t="str">
        <f>IF(Tim!JP32=FIT!$E$1,Tim!JP32,"")</f>
        <v/>
      </c>
      <c r="JM30" s="185" t="str">
        <f>IF(Tim!JQ32=FIT!$E$1,Tim!JQ32,"")</f>
        <v/>
      </c>
      <c r="JN30" s="185" t="str">
        <f>IF(Tim!JR32=FIT!$E$1,Tim!JR32,"")</f>
        <v/>
      </c>
      <c r="JO30" s="185" t="str">
        <f>IF(Tim!JS32=FIT!$E$1,Tim!JS32,"")</f>
        <v/>
      </c>
      <c r="JP30" s="185" t="str">
        <f>IF(Tim!JT32=FIT!$E$1,Tim!JT32,"")</f>
        <v/>
      </c>
      <c r="JQ30" s="185" t="str">
        <f>IF(Tim!JU32=FIT!$E$1,Tim!JU32,"")</f>
        <v/>
      </c>
      <c r="JR30" s="185" t="str">
        <f>IF(Tim!JV32=FIT!$E$1,Tim!JV32,"")</f>
        <v/>
      </c>
      <c r="JS30" s="185" t="str">
        <f>IF(Tim!JW32=FIT!$E$1,Tim!JW32,"")</f>
        <v/>
      </c>
      <c r="JT30" s="185" t="str">
        <f>IF(Tim!JX32=FIT!$E$1,Tim!JX32,"")</f>
        <v/>
      </c>
      <c r="JU30" s="185" t="str">
        <f>IF(Tim!JY32=FIT!$E$1,Tim!JY32,"")</f>
        <v/>
      </c>
      <c r="JV30" s="185" t="str">
        <f>IF(Tim!JZ32=FIT!$E$1,Tim!JZ32,"")</f>
        <v/>
      </c>
      <c r="JW30" s="185" t="str">
        <f>IF(Tim!KA32=FIT!$E$1,Tim!KA32,"")</f>
        <v/>
      </c>
      <c r="JX30" s="185" t="str">
        <f>IF(Tim!KB32=FIT!$E$1,Tim!KB32,"")</f>
        <v/>
      </c>
      <c r="JY30" s="185" t="str">
        <f>IF(Tim!KC32=FIT!$E$1,Tim!KC32,"")</f>
        <v/>
      </c>
      <c r="JZ30" s="185" t="str">
        <f>IF(Tim!KD32=FIT!$E$1,Tim!KD32,"")</f>
        <v/>
      </c>
      <c r="KA30" s="185" t="str">
        <f>IF(Tim!KE32=FIT!$E$1,Tim!KE32,"")</f>
        <v/>
      </c>
      <c r="KB30" s="185" t="str">
        <f>IF(Tim!KF32=FIT!$E$1,Tim!KF32,"")</f>
        <v/>
      </c>
      <c r="KC30" s="185" t="str">
        <f>IF(Tim!KG32=FIT!$E$1,Tim!KG32,"")</f>
        <v/>
      </c>
      <c r="KD30" s="185" t="str">
        <f>IF(Tim!KH32=FIT!$E$1,Tim!KH32,"")</f>
        <v/>
      </c>
      <c r="KE30" s="185" t="str">
        <f>IF(Tim!KI32=FIT!$E$1,Tim!KI32,"")</f>
        <v/>
      </c>
      <c r="KF30" s="185" t="str">
        <f>IF(Tim!KJ32=FIT!$E$1,Tim!KJ32,"")</f>
        <v/>
      </c>
      <c r="KG30" s="185" t="str">
        <f>IF(Tim!KK32=FIT!$E$1,Tim!KK32,"")</f>
        <v/>
      </c>
      <c r="KH30" s="185" t="str">
        <f>IF(Tim!KL32=FIT!$E$1,Tim!KL32,"")</f>
        <v/>
      </c>
      <c r="KI30" s="185" t="str">
        <f>IF(Tim!KM32=FIT!$E$1,Tim!KM32,"")</f>
        <v/>
      </c>
      <c r="KJ30" s="185" t="str">
        <f>IF(Tim!KN32=FIT!$E$1,Tim!KN32,"")</f>
        <v/>
      </c>
      <c r="KK30" s="185" t="str">
        <f>IF(Tim!KO32=FIT!$E$1,Tim!KO32,"")</f>
        <v/>
      </c>
      <c r="KL30" s="185" t="str">
        <f>IF(Tim!KP32=FIT!$E$1,Tim!KP32,"")</f>
        <v/>
      </c>
      <c r="KM30" s="185" t="str">
        <f>IF(Tim!KQ32=FIT!$E$1,Tim!KQ32,"")</f>
        <v/>
      </c>
      <c r="KN30" s="185" t="str">
        <f>IF(Tim!KR32=FIT!$E$1,Tim!KR32,"")</f>
        <v/>
      </c>
      <c r="KO30" s="185" t="str">
        <f>IF(Tim!KS32=FIT!$E$1,Tim!KS32,"")</f>
        <v/>
      </c>
      <c r="KP30" s="185" t="str">
        <f>IF(Tim!KT32=FIT!$E$1,Tim!KT32,"")</f>
        <v/>
      </c>
      <c r="KQ30" s="185" t="str">
        <f>IF(Tim!KU32=FIT!$E$1,Tim!KU32,"")</f>
        <v/>
      </c>
      <c r="KR30" s="185" t="str">
        <f>IF(Tim!KV32=FIT!$E$1,Tim!KV32,"")</f>
        <v/>
      </c>
      <c r="KS30" s="185" t="str">
        <f>IF(Tim!KW32=FIT!$E$1,Tim!KW32,"")</f>
        <v/>
      </c>
      <c r="KT30" s="185" t="str">
        <f>IF(Tim!KX32=FIT!$E$1,Tim!KX32,"")</f>
        <v/>
      </c>
      <c r="KU30" s="185" t="str">
        <f>IF(Tim!KY32=FIT!$E$1,Tim!KY32,"")</f>
        <v/>
      </c>
      <c r="KV30" s="185" t="str">
        <f>IF(Tim!KZ32=FIT!$E$1,Tim!KZ32,"")</f>
        <v/>
      </c>
      <c r="KW30" s="185" t="str">
        <f>IF(Tim!LA32=FIT!$E$1,Tim!LA32,"")</f>
        <v/>
      </c>
      <c r="KX30" s="185" t="str">
        <f>IF(Tim!LB32=FIT!$E$1,Tim!LB32,"")</f>
        <v/>
      </c>
      <c r="KY30" s="185" t="str">
        <f>IF(Tim!LC32=FIT!$E$1,Tim!LC32,"")</f>
        <v/>
      </c>
      <c r="KZ30" s="185" t="str">
        <f>IF(Tim!LD32=FIT!$E$1,Tim!LD32,"")</f>
        <v/>
      </c>
      <c r="LA30" s="185" t="str">
        <f>IF(Tim!LE32=FIT!$E$1,Tim!LE32,"")</f>
        <v/>
      </c>
      <c r="LB30" s="52">
        <v>0.55208333333333304</v>
      </c>
    </row>
    <row r="31" spans="2:314" ht="10.5" customHeight="1">
      <c r="B31" s="49">
        <v>0.25</v>
      </c>
      <c r="C31" s="49">
        <v>0.25</v>
      </c>
      <c r="D31" s="49">
        <v>0.25</v>
      </c>
      <c r="E31" s="172">
        <v>0.562499999999999</v>
      </c>
      <c r="F31" s="238" t="str">
        <f>IF(Tim!F33=FIT!$E$1,Tim!F33,"")</f>
        <v/>
      </c>
      <c r="G31" s="185" t="str">
        <f>IF(Tim!G33=FIT!$E$1,Tim!G33,"")</f>
        <v/>
      </c>
      <c r="H31" s="185" t="str">
        <f>IF(Tim!H33=FIT!$E$1,Tim!H33,"")</f>
        <v/>
      </c>
      <c r="I31" s="185" t="str">
        <f>IF(Tim!I33=FIT!$E$1,Tim!I33,"")</f>
        <v/>
      </c>
      <c r="J31" s="185" t="str">
        <f>IF(Tim!J33=FIT!$E$1,Tim!J33,"")</f>
        <v/>
      </c>
      <c r="K31" s="185" t="str">
        <f>IF(Tim!K33=FIT!$E$1,Tim!K33,"")</f>
        <v/>
      </c>
      <c r="L31" s="185" t="str">
        <f>IF(Tim!L33=FIT!$E$1,Tim!L33,"")</f>
        <v/>
      </c>
      <c r="M31" s="185" t="str">
        <f>IF(Tim!M33=FIT!$E$1,Tim!M33,"")</f>
        <v/>
      </c>
      <c r="N31" s="185" t="str">
        <f>IF(Tim!N33=FIT!$E$1,Tim!N33,"")</f>
        <v/>
      </c>
      <c r="O31" s="185" t="str">
        <f>IF(Tim!O33=FIT!$E$1,Tim!O33,"")</f>
        <v/>
      </c>
      <c r="P31" s="185" t="str">
        <f>IF(Tim!P33=FIT!$E$1,Tim!P33,"")</f>
        <v/>
      </c>
      <c r="Q31" s="185" t="str">
        <f>IF(Tim!Q33=FIT!$E$1,Tim!Q33,"")</f>
        <v/>
      </c>
      <c r="R31" s="185" t="str">
        <f>IF(Tim!R33=FIT!$E$1,Tim!R33,"")</f>
        <v/>
      </c>
      <c r="S31" s="185" t="str">
        <f>IF(Tim!S33=FIT!$E$1,Tim!S33,"")</f>
        <v/>
      </c>
      <c r="T31" s="185" t="str">
        <f>IF(Tim!T33=FIT!$E$1,Tim!T33,"")</f>
        <v/>
      </c>
      <c r="U31" s="185" t="str">
        <f>IF(Tim!U33=FIT!$E$1,Tim!U33,"")</f>
        <v/>
      </c>
      <c r="V31" s="185" t="str">
        <f>IF(Tim!W33=FIT!$E$1,Tim!W33,"")</f>
        <v/>
      </c>
      <c r="W31" s="185" t="str">
        <f>IF(Tim!X33=FIT!$E$1,Tim!X33,"")</f>
        <v/>
      </c>
      <c r="X31" s="185" t="str">
        <f>IF(Tim!Y33=FIT!$E$1,Tim!Y33,"")</f>
        <v/>
      </c>
      <c r="Y31" s="185" t="str">
        <f>IF(Tim!Z33=FIT!$E$1,Tim!Z33,"")</f>
        <v/>
      </c>
      <c r="Z31" s="185" t="str">
        <f>IF(Tim!AA33=FIT!$E$1,Tim!AA33,"")</f>
        <v/>
      </c>
      <c r="AA31" s="185" t="str">
        <f>IF(Tim!AB33=FIT!$E$1,Tim!AB33,"")</f>
        <v/>
      </c>
      <c r="AB31" s="185" t="str">
        <f>IF(Tim!AC33=FIT!$E$1,Tim!AC33,"")</f>
        <v/>
      </c>
      <c r="AC31" s="185" t="str">
        <f>IF(Tim!AD33=FIT!$E$1,Tim!AD33,"")</f>
        <v/>
      </c>
      <c r="AD31" s="185" t="str">
        <f>IF(Tim!AE33=FIT!$E$1,Tim!AE33,"")</f>
        <v/>
      </c>
      <c r="AE31" s="185" t="str">
        <f>IF(Tim!AF33=FIT!$E$1,Tim!AF33,"")</f>
        <v/>
      </c>
      <c r="AF31" s="185" t="str">
        <f>IF(Tim!AG33=FIT!$E$1,Tim!AG33,"")</f>
        <v/>
      </c>
      <c r="AG31" s="185" t="str">
        <f>IF(Tim!AH33=FIT!$E$1,Tim!AH33,"")</f>
        <v/>
      </c>
      <c r="AH31" s="185" t="str">
        <f>IF(Tim!AI33=FIT!$E$1,Tim!AI33,"")</f>
        <v/>
      </c>
      <c r="AI31" s="185" t="str">
        <f>IF(Tim!AJ33=FIT!$E$1,Tim!AJ33,"")</f>
        <v/>
      </c>
      <c r="AJ31" s="185" t="str">
        <f>IF(Tim!AK33=FIT!$E$1,Tim!AK33,"")</f>
        <v/>
      </c>
      <c r="AK31" s="185" t="str">
        <f>IF(Tim!AL33=FIT!$E$1,Tim!AL33,"")</f>
        <v/>
      </c>
      <c r="AL31" s="185" t="str">
        <f>IF(Tim!AM33=FIT!$E$1,Tim!AM33,"")</f>
        <v/>
      </c>
      <c r="AM31" s="185" t="str">
        <f>IF(Tim!AN33=FIT!$E$1,Tim!AN33,"")</f>
        <v/>
      </c>
      <c r="AN31" s="185" t="str">
        <f>IF(Tim!AO33=FIT!$E$1,Tim!AO33,"")</f>
        <v/>
      </c>
      <c r="AO31" s="185" t="str">
        <f>IF(Tim!AP33=FIT!$E$1,Tim!AP33,"")</f>
        <v/>
      </c>
      <c r="AP31" s="185" t="str">
        <f>IF(Tim!AQ33=FIT!$E$1,Tim!AQ33,"")</f>
        <v/>
      </c>
      <c r="AQ31" s="185" t="str">
        <f>IF(Tim!AR33=FIT!$E$1,Tim!AR33,"")</f>
        <v/>
      </c>
      <c r="AR31" s="185" t="str">
        <f>IF(Tim!AS33=FIT!$E$1,Tim!AS33,"")</f>
        <v/>
      </c>
      <c r="AS31" s="185" t="str">
        <f>IF(Tim!AT33=FIT!$E$1,Tim!AT33,"")</f>
        <v/>
      </c>
      <c r="AT31" s="185" t="str">
        <f>IF(Tim!AU33=FIT!$E$1,Tim!AU33,"")</f>
        <v/>
      </c>
      <c r="AU31" s="185" t="str">
        <f>IF(Tim!AV33=FIT!$E$1,Tim!AV33,"")</f>
        <v/>
      </c>
      <c r="AV31" s="185" t="str">
        <f>IF(Tim!AW33=FIT!$E$1,Tim!AW33,"")</f>
        <v/>
      </c>
      <c r="AW31" s="186" t="str">
        <f>IF(Tim!AX33=FIT!$E$1,Tim!AX33,"")</f>
        <v/>
      </c>
      <c r="AX31" s="243" t="str">
        <f>IF(Tim!AY33=FIT!$E$1,Tim!AY33,"")</f>
        <v/>
      </c>
      <c r="AY31" s="185" t="str">
        <f>IF(Tim!AZ33=FIT!$E$1,Tim!AZ33,"")</f>
        <v/>
      </c>
      <c r="AZ31" s="185" t="str">
        <f>IF(Tim!BA33=FIT!$E$1,Tim!BA33,"")</f>
        <v/>
      </c>
      <c r="BA31" s="185" t="str">
        <f>IF(Tim!BB33=FIT!$E$1,Tim!BB33,"")</f>
        <v/>
      </c>
      <c r="BB31" s="185" t="str">
        <f>IF(Tim!BC33=FIT!$E$1,Tim!BC33,"")</f>
        <v/>
      </c>
      <c r="BC31" s="185" t="str">
        <f>IF(Tim!BD33=FIT!$E$1,Tim!BD33,"")</f>
        <v/>
      </c>
      <c r="BD31" s="185" t="str">
        <f>IF(Tim!BE33=FIT!$E$1,Tim!BE33,"")</f>
        <v/>
      </c>
      <c r="BE31" s="185" t="str">
        <f>IF(Tim!BF33=FIT!$E$1,Tim!BF33,"")</f>
        <v/>
      </c>
      <c r="BF31" s="185" t="str">
        <f>IF(Tim!BG33=FIT!$E$1,Tim!BG33,"")</f>
        <v/>
      </c>
      <c r="BG31" s="185" t="str">
        <f>IF(Tim!BH33=FIT!$E$1,Tim!BH33,"")</f>
        <v/>
      </c>
      <c r="BH31" s="185" t="str">
        <f>IF(Tim!BI33=FIT!$E$1,Tim!BI33,"")</f>
        <v/>
      </c>
      <c r="BI31" s="185" t="str">
        <f>IF(Tim!BJ33=FIT!$E$1,Tim!BJ33,"")</f>
        <v/>
      </c>
      <c r="BJ31" s="185" t="str">
        <f>IF(Tim!BK33=FIT!$E$1,Tim!BK33,"")</f>
        <v/>
      </c>
      <c r="BK31" s="185" t="str">
        <f>IF(Tim!BL33=FIT!$E$1,Tim!BL33,"")</f>
        <v/>
      </c>
      <c r="BL31" s="185" t="str">
        <f>IF(Tim!BM33=FIT!$E$1,Tim!BM33,"")</f>
        <v/>
      </c>
      <c r="BM31" s="185" t="str">
        <f>IF(Tim!BN33=FIT!$E$1,Tim!BN33,"")</f>
        <v/>
      </c>
      <c r="BN31" s="185" t="str">
        <f>IF(Tim!BO33=FIT!$E$1,Tim!BO33,"")</f>
        <v/>
      </c>
      <c r="BO31" s="185" t="str">
        <f>IF(Tim!BP33=FIT!$E$1,Tim!BP33,"")</f>
        <v/>
      </c>
      <c r="BP31" s="185" t="str">
        <f>IF(Tim!BQ33=FIT!$E$1,Tim!BQ33,"")</f>
        <v/>
      </c>
      <c r="BQ31" s="185" t="str">
        <f>IF(Tim!BR33=FIT!$E$1,Tim!BR33,"")</f>
        <v/>
      </c>
      <c r="BR31" s="185" t="str">
        <f>IF(Tim!BS33=FIT!$E$1,Tim!BS33,"")</f>
        <v/>
      </c>
      <c r="BS31" s="185" t="str">
        <f>IF(Tim!BT33=FIT!$E$1,Tim!BT33,"")</f>
        <v/>
      </c>
      <c r="BT31" s="185" t="str">
        <f>IF(Tim!BU33=FIT!$E$1,Tim!BU33,"")</f>
        <v/>
      </c>
      <c r="BU31" s="185" t="str">
        <f>IF(Tim!BV33=FIT!$E$1,Tim!BV33,"")</f>
        <v/>
      </c>
      <c r="BV31" s="185" t="str">
        <f>IF(Tim!BW33=FIT!$E$1,Tim!BW33,"")</f>
        <v/>
      </c>
      <c r="BW31" s="185" t="str">
        <f>IF(Tim!BX33=FIT!$E$1,Tim!BX33,"")</f>
        <v/>
      </c>
      <c r="BX31" s="185" t="str">
        <f>IF(Tim!BY33=FIT!$E$1,Tim!BY33,"")</f>
        <v/>
      </c>
      <c r="BY31" s="185" t="str">
        <f>IF(Tim!BZ33=FIT!$E$1,Tim!BZ33,"")</f>
        <v/>
      </c>
      <c r="BZ31" s="185" t="str">
        <f>IF(Tim!CA33=FIT!$E$1,Tim!CA33,"")</f>
        <v/>
      </c>
      <c r="CA31" s="185" t="str">
        <f>IF(Tim!CB33=FIT!$E$1,Tim!CB33,"")</f>
        <v/>
      </c>
      <c r="CB31" s="185" t="str">
        <f>IF(Tim!CC33=FIT!$E$1,Tim!CC33,"")</f>
        <v/>
      </c>
      <c r="CC31" s="185" t="str">
        <f>IF(Tim!CD33=FIT!$E$1,Tim!CD33,"")</f>
        <v/>
      </c>
      <c r="CD31" s="185" t="str">
        <f>IF(Tim!CE33=FIT!$E$1,Tim!CE33,"")</f>
        <v/>
      </c>
      <c r="CE31" s="185" t="str">
        <f>IF(Tim!CF33=FIT!$E$1,Tim!CF33,"")</f>
        <v/>
      </c>
      <c r="CF31" s="185" t="str">
        <f>IF(Tim!CG33=FIT!$E$1,Tim!CG33,"")</f>
        <v/>
      </c>
      <c r="CG31" s="185" t="str">
        <f>IF(Tim!CH33=FIT!$E$1,Tim!CH33,"")</f>
        <v/>
      </c>
      <c r="CH31" s="185" t="str">
        <f>IF(Tim!CI33=FIT!$E$1,Tim!CI33,"")</f>
        <v/>
      </c>
      <c r="CI31" s="185" t="str">
        <f>IF(Tim!CJ33=FIT!$E$1,Tim!CJ33,"")</f>
        <v/>
      </c>
      <c r="CJ31" s="185" t="str">
        <f>IF(Tim!CK33=FIT!$E$1,Tim!CK33,"")</f>
        <v/>
      </c>
      <c r="CK31" s="185" t="str">
        <f>IF(Tim!CL33=FIT!$E$1,Tim!CL33,"")</f>
        <v/>
      </c>
      <c r="CL31" s="185" t="str">
        <f>IF(Tim!CM33=FIT!$E$1,Tim!CM33,"")</f>
        <v/>
      </c>
      <c r="CM31" s="185" t="str">
        <f>IF(Tim!CN33=FIT!$E$1,Tim!CN33,"")</f>
        <v/>
      </c>
      <c r="CN31" s="185" t="str">
        <f>IF(Tim!CO33=FIT!$E$1,Tim!CO33,"")</f>
        <v/>
      </c>
      <c r="CO31" s="185" t="str">
        <f>IF(Tim!CP33=FIT!$E$1,Tim!CP33,"")</f>
        <v/>
      </c>
      <c r="CP31" s="185" t="str">
        <f>IF(Tim!CQ33=FIT!$E$1,Tim!CQ33,"")</f>
        <v/>
      </c>
      <c r="CQ31" s="185" t="str">
        <f>IF(Tim!CR33=FIT!$E$1,Tim!CR33,"")</f>
        <v/>
      </c>
      <c r="CR31" s="185" t="str">
        <f>IF(Tim!CS33=FIT!$E$1,Tim!CS33,"")</f>
        <v/>
      </c>
      <c r="CS31" s="185" t="str">
        <f>IF(Tim!CT33=FIT!$E$1,Tim!CT33,"")</f>
        <v/>
      </c>
      <c r="CT31" s="185" t="str">
        <f>IF(Tim!CU33=FIT!$E$1,Tim!CU33,"")</f>
        <v/>
      </c>
      <c r="CU31" s="185" t="str">
        <f>IF(Tim!CV33=FIT!$E$1,Tim!CV33,"")</f>
        <v/>
      </c>
      <c r="CV31" s="185" t="str">
        <f>IF(Tim!CW33=FIT!$E$1,Tim!CW33,"")</f>
        <v/>
      </c>
      <c r="CW31" s="185" t="str">
        <f>IF(Tim!CX33=FIT!$E$1,Tim!CX33,"")</f>
        <v/>
      </c>
      <c r="CX31" s="185" t="str">
        <f>IF(Tim!CY33=FIT!$E$1,Tim!CY33,"")</f>
        <v/>
      </c>
      <c r="CY31" s="185" t="str">
        <f>IF(Tim!CZ33=FIT!$E$1,Tim!CZ33,"")</f>
        <v/>
      </c>
      <c r="CZ31" s="185" t="str">
        <f>IF(Tim!DA33=FIT!$E$1,Tim!DA33,"")</f>
        <v/>
      </c>
      <c r="DA31" s="185" t="str">
        <f>IF(Tim!DB33=FIT!$E$1,Tim!DB33,"")</f>
        <v/>
      </c>
      <c r="DB31" s="185" t="str">
        <f>IF(Tim!DC33=FIT!$E$1,Tim!DC33,"")</f>
        <v/>
      </c>
      <c r="DC31" s="185" t="str">
        <f>IF(Tim!DD33=FIT!$E$1,Tim!DD33,"")</f>
        <v/>
      </c>
      <c r="DD31" s="185" t="str">
        <f>IF(Tim!DE33=FIT!$E$1,Tim!DE33,"")</f>
        <v/>
      </c>
      <c r="DE31" s="185" t="str">
        <f>IF(Tim!DF33=FIT!$E$1,Tim!DF33,"")</f>
        <v/>
      </c>
      <c r="DF31" s="185" t="str">
        <f>IF(Tim!DG33=FIT!$E$1,Tim!DG33,"")</f>
        <v/>
      </c>
      <c r="DG31" s="185" t="str">
        <f>IF(Tim!DH33=FIT!$E$1,Tim!DH33,"")</f>
        <v/>
      </c>
      <c r="DH31" s="185" t="str">
        <f>IF(Tim!DI33=FIT!$E$1,Tim!DI33,"")</f>
        <v/>
      </c>
      <c r="DI31" s="185" t="str">
        <f>IF(Tim!DM33=FIT!$E$1,Tim!DM33,"")</f>
        <v/>
      </c>
      <c r="DJ31" s="185" t="str">
        <f>IF(Tim!DN33=FIT!$E$1,Tim!DN33,"")</f>
        <v/>
      </c>
      <c r="DK31" s="185" t="e">
        <f>IF(Tim!#REF!=FIT!$E$1,Tim!#REF!,"")</f>
        <v>#REF!</v>
      </c>
      <c r="DL31" s="185" t="str">
        <f>IF(Tim!DP33=FIT!$E$1,Tim!DP33,"")</f>
        <v/>
      </c>
      <c r="DM31" s="185" t="str">
        <f>IF(Tim!DQ33=FIT!$E$1,Tim!DQ33,"")</f>
        <v/>
      </c>
      <c r="DN31" s="185" t="str">
        <f>IF(Tim!DR33=FIT!$E$1,Tim!DR33,"")</f>
        <v/>
      </c>
      <c r="DO31" s="185" t="str">
        <f>IF(Tim!DS33=FIT!$E$1,Tim!DS33,"")</f>
        <v/>
      </c>
      <c r="DP31" s="185" t="str">
        <f>IF(Tim!DT33=FIT!$E$1,Tim!DT33,"")</f>
        <v/>
      </c>
      <c r="DQ31" s="185" t="str">
        <f>IF(Tim!DU33=FIT!$E$1,Tim!DU33,"")</f>
        <v/>
      </c>
      <c r="DR31" s="185" t="str">
        <f>IF(Tim!DV33=FIT!$E$1,Tim!DV33,"")</f>
        <v/>
      </c>
      <c r="DS31" s="185" t="str">
        <f>IF(Tim!DW33=FIT!$E$1,Tim!DW33,"")</f>
        <v/>
      </c>
      <c r="DT31" s="185" t="str">
        <f>IF(Tim!DX33=FIT!$E$1,Tim!DX33,"")</f>
        <v/>
      </c>
      <c r="DU31" s="185" t="str">
        <f>IF(Tim!DY33=FIT!$E$1,Tim!DY33,"")</f>
        <v/>
      </c>
      <c r="DV31" s="185" t="str">
        <f>IF(Tim!DZ33=FIT!$E$1,Tim!DZ33,"")</f>
        <v/>
      </c>
      <c r="DW31" s="185" t="str">
        <f>IF(Tim!EA33=FIT!$E$1,Tim!EA33,"")</f>
        <v/>
      </c>
      <c r="DX31" s="185" t="str">
        <f>IF(Tim!EB33=FIT!$E$1,Tim!EB33,"")</f>
        <v/>
      </c>
      <c r="DY31" s="185" t="str">
        <f>IF(Tim!EC33=FIT!$E$1,Tim!EC33,"")</f>
        <v/>
      </c>
      <c r="DZ31" s="185" t="str">
        <f>IF(Tim!ED33=FIT!$E$1,Tim!ED33,"")</f>
        <v/>
      </c>
      <c r="EA31" s="185" t="str">
        <f>IF(Tim!EE33=FIT!$E$1,Tim!EE33,"")</f>
        <v/>
      </c>
      <c r="EB31" s="185" t="str">
        <f>IF(Tim!EF33=FIT!$E$1,Tim!EF33,"")</f>
        <v/>
      </c>
      <c r="EC31" s="185" t="str">
        <f>IF(Tim!EG33=FIT!$E$1,Tim!EG33,"")</f>
        <v/>
      </c>
      <c r="ED31" s="185" t="str">
        <f>IF(Tim!EH33=FIT!$E$1,Tim!EH33,"")</f>
        <v/>
      </c>
      <c r="EE31" s="185" t="str">
        <f>IF(Tim!EI33=FIT!$E$1,Tim!EI33,"")</f>
        <v/>
      </c>
      <c r="EF31" s="185" t="str">
        <f>IF(Tim!EJ33=FIT!$E$1,Tim!EJ33,"")</f>
        <v/>
      </c>
      <c r="EG31" s="185" t="str">
        <f>IF(Tim!EK33=FIT!$E$1,Tim!EK33,"")</f>
        <v/>
      </c>
      <c r="EH31" s="185" t="str">
        <f>IF(Tim!EL33=FIT!$E$1,Tim!EL33,"")</f>
        <v/>
      </c>
      <c r="EI31" s="185" t="str">
        <f>IF(Tim!EM33=FIT!$E$1,Tim!EM33,"")</f>
        <v/>
      </c>
      <c r="EJ31" s="185" t="str">
        <f>IF(Tim!EN33=FIT!$E$1,Tim!EN33,"")</f>
        <v/>
      </c>
      <c r="EK31" s="185" t="str">
        <f>IF(Tim!EO33=FIT!$E$1,Tim!EO33,"")</f>
        <v/>
      </c>
      <c r="EL31" s="185" t="str">
        <f>IF(Tim!EP33=FIT!$E$1,Tim!EP33,"")</f>
        <v/>
      </c>
      <c r="EM31" s="185" t="str">
        <f>IF(Tim!EQ33=FIT!$E$1,Tim!EQ33,"")</f>
        <v/>
      </c>
      <c r="EN31" s="185" t="str">
        <f>IF(Tim!ER33=FIT!$E$1,Tim!ER33,"")</f>
        <v/>
      </c>
      <c r="EO31" s="185" t="str">
        <f>IF(Tim!ES33=FIT!$E$1,Tim!ES33,"")</f>
        <v/>
      </c>
      <c r="EP31" s="185" t="str">
        <f>IF(Tim!ET33=FIT!$E$1,Tim!ET33,"")</f>
        <v/>
      </c>
      <c r="EQ31" s="185" t="str">
        <f>IF(Tim!EU33=FIT!$E$1,Tim!EU33,"")</f>
        <v/>
      </c>
      <c r="ER31" s="185" t="str">
        <f>IF(Tim!EV33=FIT!$E$1,Tim!EV33,"")</f>
        <v/>
      </c>
      <c r="ES31" s="185" t="str">
        <f>IF(Tim!EW33=FIT!$E$1,Tim!EW33,"")</f>
        <v/>
      </c>
      <c r="ET31" s="185" t="str">
        <f>IF(Tim!EX33=FIT!$E$1,Tim!EX33,"")</f>
        <v/>
      </c>
      <c r="EU31" s="185" t="str">
        <f>IF(Tim!EY33=FIT!$E$1,Tim!EY33,"")</f>
        <v/>
      </c>
      <c r="EV31" s="185" t="str">
        <f>IF(Tim!EZ33=FIT!$E$1,Tim!EZ33,"")</f>
        <v/>
      </c>
      <c r="EW31" s="185" t="str">
        <f>IF(Tim!FA33=FIT!$E$1,Tim!FA33,"")</f>
        <v/>
      </c>
      <c r="EX31" s="185" t="str">
        <f>IF(Tim!FB33=FIT!$E$1,Tim!FB33,"")</f>
        <v/>
      </c>
      <c r="EY31" s="185" t="str">
        <f>IF(Tim!FC33=FIT!$E$1,Tim!FC33,"")</f>
        <v/>
      </c>
      <c r="EZ31" s="185" t="str">
        <f>IF(Tim!FD33=FIT!$E$1,Tim!FD33,"")</f>
        <v/>
      </c>
      <c r="FA31" s="185" t="str">
        <f>IF(Tim!FE33=FIT!$E$1,Tim!FE33,"")</f>
        <v/>
      </c>
      <c r="FB31" s="185" t="str">
        <f>IF(Tim!FF33=FIT!$E$1,Tim!FF33,"")</f>
        <v/>
      </c>
      <c r="FC31" s="185" t="str">
        <f>IF(Tim!FG33=FIT!$E$1,Tim!FG33,"")</f>
        <v/>
      </c>
      <c r="FD31" s="185" t="str">
        <f>IF(Tim!FH33=FIT!$E$1,Tim!FH33,"")</f>
        <v/>
      </c>
      <c r="FE31" s="185" t="str">
        <f>IF(Tim!FI33=FIT!$E$1,Tim!FI33,"")</f>
        <v/>
      </c>
      <c r="FF31" s="185" t="str">
        <f>IF(Tim!FJ33=FIT!$E$1,Tim!FJ33,"")</f>
        <v/>
      </c>
      <c r="FG31" s="185" t="str">
        <f>IF(Tim!FK33=FIT!$E$1,Tim!FK33,"")</f>
        <v/>
      </c>
      <c r="FH31" s="185" t="str">
        <f>IF(Tim!FL33=FIT!$E$1,Tim!FL33,"")</f>
        <v/>
      </c>
      <c r="FI31" s="185" t="str">
        <f>IF(Tim!FM33=FIT!$E$1,Tim!FM33,"")</f>
        <v/>
      </c>
      <c r="FJ31" s="185" t="str">
        <f>IF(Tim!FN33=FIT!$E$1,Tim!FN33,"")</f>
        <v/>
      </c>
      <c r="FK31" s="185" t="str">
        <f>IF(Tim!FO33=FIT!$E$1,Tim!FO33,"")</f>
        <v/>
      </c>
      <c r="FL31" s="185" t="str">
        <f>IF(Tim!FP33=FIT!$E$1,Tim!FP33,"")</f>
        <v/>
      </c>
      <c r="FM31" s="185" t="str">
        <f>IF(Tim!FQ33=FIT!$E$1,Tim!FQ33,"")</f>
        <v/>
      </c>
      <c r="FN31" s="185" t="str">
        <f>IF(Tim!FR33=FIT!$E$1,Tim!FR33,"")</f>
        <v/>
      </c>
      <c r="FO31" s="185" t="str">
        <f>IF(Tim!FS33=FIT!$E$1,Tim!FS33,"")</f>
        <v/>
      </c>
      <c r="FP31" s="185" t="str">
        <f>IF(Tim!FT33=FIT!$E$1,Tim!FT33,"")</f>
        <v/>
      </c>
      <c r="FQ31" s="185" t="str">
        <f>IF(Tim!FU33=FIT!$E$1,Tim!FU33,"")</f>
        <v/>
      </c>
      <c r="FR31" s="185" t="str">
        <f>IF(Tim!FV33=FIT!$E$1,Tim!FV33,"")</f>
        <v/>
      </c>
      <c r="FS31" s="185" t="str">
        <f>IF(Tim!FW33=FIT!$E$1,Tim!FW33,"")</f>
        <v/>
      </c>
      <c r="FT31" s="185" t="str">
        <f>IF(Tim!FX33=FIT!$E$1,Tim!FX33,"")</f>
        <v/>
      </c>
      <c r="FU31" s="185" t="str">
        <f>IF(Tim!FY33=FIT!$E$1,Tim!FY33,"")</f>
        <v/>
      </c>
      <c r="FV31" s="185" t="str">
        <f>IF(Tim!FZ33=FIT!$E$1,Tim!FZ33,"")</f>
        <v/>
      </c>
      <c r="FW31" s="185" t="str">
        <f>IF(Tim!GA33=FIT!$E$1,Tim!GA33,"")</f>
        <v/>
      </c>
      <c r="FX31" s="185" t="str">
        <f>IF(Tim!GB33=FIT!$E$1,Tim!GB33,"")</f>
        <v/>
      </c>
      <c r="FY31" s="185" t="str">
        <f>IF(Tim!GC33=FIT!$E$1,Tim!GC33,"")</f>
        <v/>
      </c>
      <c r="FZ31" s="185" t="str">
        <f>IF(Tim!GD33=FIT!$E$1,Tim!GD33,"")</f>
        <v/>
      </c>
      <c r="GA31" s="185" t="str">
        <f>IF(Tim!GE33=FIT!$E$1,Tim!GE33,"")</f>
        <v/>
      </c>
      <c r="GB31" s="185" t="str">
        <f>IF(Tim!GF33=FIT!$E$1,Tim!GF33,"")</f>
        <v/>
      </c>
      <c r="GC31" s="185" t="str">
        <f>IF(Tim!GG33=FIT!$E$1,Tim!GG33,"")</f>
        <v/>
      </c>
      <c r="GD31" s="185" t="str">
        <f>IF(Tim!GH33=FIT!$E$1,Tim!GH33,"")</f>
        <v/>
      </c>
      <c r="GE31" s="185" t="str">
        <f>IF(Tim!GI33=FIT!$E$1,Tim!GI33,"")</f>
        <v/>
      </c>
      <c r="GF31" s="185" t="str">
        <f>IF(Tim!GJ33=FIT!$E$1,Tim!GJ33,"")</f>
        <v/>
      </c>
      <c r="GG31" s="185" t="str">
        <f>IF(Tim!GK33=FIT!$E$1,Tim!GK33,"")</f>
        <v/>
      </c>
      <c r="GH31" s="185" t="str">
        <f>IF(Tim!GL33=FIT!$E$1,Tim!GL33,"")</f>
        <v/>
      </c>
      <c r="GI31" s="185" t="str">
        <f>IF(Tim!GM33=FIT!$E$1,Tim!GM33,"")</f>
        <v/>
      </c>
      <c r="GJ31" s="185" t="str">
        <f>IF(Tim!GN33=FIT!$E$1,Tim!GN33,"")</f>
        <v/>
      </c>
      <c r="GK31" s="185" t="str">
        <f>IF(Tim!GO33=FIT!$E$1,Tim!GO33,"")</f>
        <v/>
      </c>
      <c r="GL31" s="185" t="str">
        <f>IF(Tim!GP33=FIT!$E$1,Tim!GP33,"")</f>
        <v/>
      </c>
      <c r="GM31" s="185" t="str">
        <f>IF(Tim!GQ33=FIT!$E$1,Tim!GQ33,"")</f>
        <v/>
      </c>
      <c r="GN31" s="185" t="str">
        <f>IF(Tim!GR33=FIT!$E$1,Tim!GR33,"")</f>
        <v/>
      </c>
      <c r="GO31" s="185" t="str">
        <f>IF(Tim!GS33=FIT!$E$1,Tim!GS33,"")</f>
        <v/>
      </c>
      <c r="GP31" s="185" t="str">
        <f>IF(Tim!GT33=FIT!$E$1,Tim!GT33,"")</f>
        <v/>
      </c>
      <c r="GQ31" s="185" t="str">
        <f>IF(Tim!GU33=FIT!$E$1,Tim!GU33,"")</f>
        <v/>
      </c>
      <c r="GR31" s="185" t="str">
        <f>IF(Tim!GV33=FIT!$E$1,Tim!GV33,"")</f>
        <v/>
      </c>
      <c r="GS31" s="185" t="str">
        <f>IF(Tim!GW33=FIT!$E$1,Tim!GW33,"")</f>
        <v/>
      </c>
      <c r="GT31" s="185" t="str">
        <f>IF(Tim!GX33=FIT!$E$1,Tim!GX33,"")</f>
        <v/>
      </c>
      <c r="GU31" s="185" t="str">
        <f>IF(Tim!GY33=FIT!$E$1,Tim!GY33,"")</f>
        <v/>
      </c>
      <c r="GV31" s="185" t="str">
        <f>IF(Tim!GZ33=FIT!$E$1,Tim!GZ33,"")</f>
        <v/>
      </c>
      <c r="GW31" s="185" t="str">
        <f>IF(Tim!HA33=FIT!$E$1,Tim!HA33,"")</f>
        <v/>
      </c>
      <c r="GX31" s="185" t="str">
        <f>IF(Tim!HB33=FIT!$E$1,Tim!HB33,"")</f>
        <v/>
      </c>
      <c r="GY31" s="185" t="str">
        <f>IF(Tim!HC33=FIT!$E$1,Tim!HC33,"")</f>
        <v/>
      </c>
      <c r="GZ31" s="185" t="str">
        <f>IF(Tim!HD33=FIT!$E$1,Tim!HD33,"")</f>
        <v/>
      </c>
      <c r="HA31" s="185" t="str">
        <f>IF(Tim!HE33=FIT!$E$1,Tim!HE33,"")</f>
        <v/>
      </c>
      <c r="HB31" s="185" t="str">
        <f>IF(Tim!HF33=FIT!$E$1,Tim!HF33,"")</f>
        <v/>
      </c>
      <c r="HC31" s="185" t="str">
        <f>IF(Tim!HG33=FIT!$E$1,Tim!HG33,"")</f>
        <v/>
      </c>
      <c r="HD31" s="185" t="str">
        <f>IF(Tim!HH33=FIT!$E$1,Tim!HH33,"")</f>
        <v/>
      </c>
      <c r="HE31" s="185" t="str">
        <f>IF(Tim!HI33=FIT!$E$1,Tim!HI33,"")</f>
        <v/>
      </c>
      <c r="HF31" s="185" t="str">
        <f>IF(Tim!HJ33=FIT!$E$1,Tim!HJ33,"")</f>
        <v/>
      </c>
      <c r="HG31" s="185" t="str">
        <f>IF(Tim!HK33=FIT!$E$1,Tim!HK33,"")</f>
        <v/>
      </c>
      <c r="HH31" s="185" t="str">
        <f>IF(Tim!HL33=FIT!$E$1,Tim!HL33,"")</f>
        <v/>
      </c>
      <c r="HI31" s="185" t="str">
        <f>IF(Tim!HM33=FIT!$E$1,Tim!HM33,"")</f>
        <v/>
      </c>
      <c r="HJ31" s="185" t="str">
        <f>IF(Tim!HN33=FIT!$E$1,Tim!HN33,"")</f>
        <v/>
      </c>
      <c r="HK31" s="185" t="str">
        <f>IF(Tim!HO33=FIT!$E$1,Tim!HO33,"")</f>
        <v/>
      </c>
      <c r="HL31" s="185" t="str">
        <f>IF(Tim!HP33=FIT!$E$1,Tim!HP33,"")</f>
        <v/>
      </c>
      <c r="HM31" s="185" t="str">
        <f>IF(Tim!HQ33=FIT!$E$1,Tim!HQ33,"")</f>
        <v/>
      </c>
      <c r="HN31" s="185" t="str">
        <f>IF(Tim!HR33=FIT!$E$1,Tim!HR33,"")</f>
        <v/>
      </c>
      <c r="HO31" s="185" t="str">
        <f>IF(Tim!HS33=FIT!$E$1,Tim!HS33,"")</f>
        <v/>
      </c>
      <c r="HP31" s="185" t="str">
        <f>IF(Tim!HT33=FIT!$E$1,Tim!HT33,"")</f>
        <v/>
      </c>
      <c r="HQ31" s="185" t="str">
        <f>IF(Tim!HU33=FIT!$E$1,Tim!HU33,"")</f>
        <v/>
      </c>
      <c r="HR31" s="185" t="str">
        <f>IF(Tim!HV33=FIT!$E$1,Tim!HV33,"")</f>
        <v/>
      </c>
      <c r="HS31" s="185" t="str">
        <f>IF(Tim!HW33=FIT!$E$1,Tim!HW33,"")</f>
        <v/>
      </c>
      <c r="HT31" s="185" t="str">
        <f>IF(Tim!HX33=FIT!$E$1,Tim!HX33,"")</f>
        <v/>
      </c>
      <c r="HU31" s="185" t="str">
        <f>IF(Tim!HY33=FIT!$E$1,Tim!HY33,"")</f>
        <v/>
      </c>
      <c r="HV31" s="185" t="str">
        <f>IF(Tim!HZ33=FIT!$E$1,Tim!HZ33,"")</f>
        <v/>
      </c>
      <c r="HW31" s="185" t="str">
        <f>IF(Tim!IA33=FIT!$E$1,Tim!IA33,"")</f>
        <v/>
      </c>
      <c r="HX31" s="185" t="str">
        <f>IF(Tim!IB33=FIT!$E$1,Tim!IB33,"")</f>
        <v/>
      </c>
      <c r="HY31" s="185" t="str">
        <f>IF(Tim!IC33=FIT!$E$1,Tim!IC33,"")</f>
        <v/>
      </c>
      <c r="HZ31" s="185" t="str">
        <f>IF(Tim!ID33=FIT!$E$1,Tim!ID33,"")</f>
        <v/>
      </c>
      <c r="IA31" s="185" t="str">
        <f>IF(Tim!IE33=FIT!$E$1,Tim!IE33,"")</f>
        <v/>
      </c>
      <c r="IB31" s="185" t="str">
        <f>IF(Tim!IF33=FIT!$E$1,Tim!IF33,"")</f>
        <v/>
      </c>
      <c r="IC31" s="185" t="str">
        <f>IF(Tim!IG33=FIT!$E$1,Tim!IG33,"")</f>
        <v/>
      </c>
      <c r="ID31" s="185" t="str">
        <f>IF(Tim!IH33=FIT!$E$1,Tim!IH33,"")</f>
        <v/>
      </c>
      <c r="IE31" s="185" t="str">
        <f>IF(Tim!II33=FIT!$E$1,Tim!II33,"")</f>
        <v/>
      </c>
      <c r="IF31" s="185" t="str">
        <f>IF(Tim!IJ33=FIT!$E$1,Tim!IJ33,"")</f>
        <v/>
      </c>
      <c r="IG31" s="185" t="str">
        <f>IF(Tim!IK33=FIT!$E$1,Tim!IK33,"")</f>
        <v/>
      </c>
      <c r="IH31" s="185" t="str">
        <f>IF(Tim!IL33=FIT!$E$1,Tim!IL33,"")</f>
        <v/>
      </c>
      <c r="II31" s="185" t="str">
        <f>IF(Tim!IM33=FIT!$E$1,Tim!IM33,"")</f>
        <v/>
      </c>
      <c r="IJ31" s="185" t="str">
        <f>IF(Tim!IN33=FIT!$E$1,Tim!IN33,"")</f>
        <v/>
      </c>
      <c r="IK31" s="185" t="str">
        <f>IF(Tim!IO33=FIT!$E$1,Tim!IO33,"")</f>
        <v/>
      </c>
      <c r="IL31" s="185" t="str">
        <f>IF(Tim!IP33=FIT!$E$1,Tim!IP33,"")</f>
        <v/>
      </c>
      <c r="IM31" s="185" t="str">
        <f>IF(Tim!IQ33=FIT!$E$1,Tim!IQ33,"")</f>
        <v/>
      </c>
      <c r="IN31" s="185" t="str">
        <f>IF(Tim!IR33=FIT!$E$1,Tim!IR33,"")</f>
        <v/>
      </c>
      <c r="IO31" s="185" t="str">
        <f>IF(Tim!IS33=FIT!$E$1,Tim!IS33,"")</f>
        <v/>
      </c>
      <c r="IP31" s="185" t="str">
        <f>IF(Tim!IT33=FIT!$E$1,Tim!IT33,"")</f>
        <v/>
      </c>
      <c r="IQ31" s="185" t="str">
        <f>IF(Tim!IU33=FIT!$E$1,Tim!IU33,"")</f>
        <v/>
      </c>
      <c r="IR31" s="185" t="str">
        <f>IF(Tim!IV33=FIT!$E$1,Tim!IV33,"")</f>
        <v/>
      </c>
      <c r="IS31" s="185" t="str">
        <f>IF(Tim!IW33=FIT!$E$1,Tim!IW33,"")</f>
        <v/>
      </c>
      <c r="IT31" s="185" t="str">
        <f>IF(Tim!IX33=FIT!$E$1,Tim!IX33,"")</f>
        <v/>
      </c>
      <c r="IU31" s="185" t="str">
        <f>IF(Tim!IY33=FIT!$E$1,Tim!IY33,"")</f>
        <v/>
      </c>
      <c r="IV31" s="185" t="str">
        <f>IF(Tim!IZ33=FIT!$E$1,Tim!IZ33,"")</f>
        <v/>
      </c>
      <c r="IW31" s="185" t="str">
        <f>IF(Tim!JA33=FIT!$E$1,Tim!JA33,"")</f>
        <v/>
      </c>
      <c r="IX31" s="185" t="str">
        <f>IF(Tim!JB33=FIT!$E$1,Tim!JB33,"")</f>
        <v/>
      </c>
      <c r="IY31" s="185" t="str">
        <f>IF(Tim!JC33=FIT!$E$1,Tim!JC33,"")</f>
        <v/>
      </c>
      <c r="IZ31" s="185" t="str">
        <f>IF(Tim!JD33=FIT!$E$1,Tim!JD33,"")</f>
        <v/>
      </c>
      <c r="JA31" s="185" t="str">
        <f>IF(Tim!JE33=FIT!$E$1,Tim!JE33,"")</f>
        <v/>
      </c>
      <c r="JB31" s="185" t="str">
        <f>IF(Tim!JF33=FIT!$E$1,Tim!JF33,"")</f>
        <v/>
      </c>
      <c r="JC31" s="185" t="str">
        <f>IF(Tim!JG33=FIT!$E$1,Tim!JG33,"")</f>
        <v/>
      </c>
      <c r="JD31" s="185" t="str">
        <f>IF(Tim!JH33=FIT!$E$1,Tim!JH33,"")</f>
        <v/>
      </c>
      <c r="JE31" s="185" t="str">
        <f>IF(Tim!JI33=FIT!$E$1,Tim!JI33,"")</f>
        <v/>
      </c>
      <c r="JF31" s="185" t="str">
        <f>IF(Tim!JJ33=FIT!$E$1,Tim!JJ33,"")</f>
        <v/>
      </c>
      <c r="JG31" s="185" t="str">
        <f>IF(Tim!JK33=FIT!$E$1,Tim!JK33,"")</f>
        <v/>
      </c>
      <c r="JH31" s="185" t="str">
        <f>IF(Tim!JL33=FIT!$E$1,Tim!JL33,"")</f>
        <v/>
      </c>
      <c r="JI31" s="185" t="str">
        <f>IF(Tim!JM33=FIT!$E$1,Tim!JM33,"")</f>
        <v/>
      </c>
      <c r="JJ31" s="185" t="str">
        <f>IF(Tim!JN33=FIT!$E$1,Tim!JN33,"")</f>
        <v/>
      </c>
      <c r="JK31" s="185" t="str">
        <f>IF(Tim!JO33=FIT!$E$1,Tim!JO33,"")</f>
        <v/>
      </c>
      <c r="JL31" s="185" t="str">
        <f>IF(Tim!JP33=FIT!$E$1,Tim!JP33,"")</f>
        <v/>
      </c>
      <c r="JM31" s="185" t="str">
        <f>IF(Tim!JQ33=FIT!$E$1,Tim!JQ33,"")</f>
        <v/>
      </c>
      <c r="JN31" s="185" t="str">
        <f>IF(Tim!JR33=FIT!$E$1,Tim!JR33,"")</f>
        <v/>
      </c>
      <c r="JO31" s="185" t="str">
        <f>IF(Tim!JS33=FIT!$E$1,Tim!JS33,"")</f>
        <v/>
      </c>
      <c r="JP31" s="185" t="str">
        <f>IF(Tim!JT33=FIT!$E$1,Tim!JT33,"")</f>
        <v/>
      </c>
      <c r="JQ31" s="185" t="str">
        <f>IF(Tim!JU33=FIT!$E$1,Tim!JU33,"")</f>
        <v/>
      </c>
      <c r="JR31" s="185" t="str">
        <f>IF(Tim!JV33=FIT!$E$1,Tim!JV33,"")</f>
        <v/>
      </c>
      <c r="JS31" s="185" t="str">
        <f>IF(Tim!JW33=FIT!$E$1,Tim!JW33,"")</f>
        <v/>
      </c>
      <c r="JT31" s="185" t="str">
        <f>IF(Tim!JX33=FIT!$E$1,Tim!JX33,"")</f>
        <v/>
      </c>
      <c r="JU31" s="185" t="str">
        <f>IF(Tim!JY33=FIT!$E$1,Tim!JY33,"")</f>
        <v/>
      </c>
      <c r="JV31" s="185" t="str">
        <f>IF(Tim!JZ33=FIT!$E$1,Tim!JZ33,"")</f>
        <v/>
      </c>
      <c r="JW31" s="185" t="str">
        <f>IF(Tim!KA33=FIT!$E$1,Tim!KA33,"")</f>
        <v/>
      </c>
      <c r="JX31" s="185" t="str">
        <f>IF(Tim!KB33=FIT!$E$1,Tim!KB33,"")</f>
        <v/>
      </c>
      <c r="JY31" s="185" t="str">
        <f>IF(Tim!KC33=FIT!$E$1,Tim!KC33,"")</f>
        <v/>
      </c>
      <c r="JZ31" s="185" t="str">
        <f>IF(Tim!KD33=FIT!$E$1,Tim!KD33,"")</f>
        <v/>
      </c>
      <c r="KA31" s="185" t="str">
        <f>IF(Tim!KE33=FIT!$E$1,Tim!KE33,"")</f>
        <v/>
      </c>
      <c r="KB31" s="185" t="str">
        <f>IF(Tim!KF33=FIT!$E$1,Tim!KF33,"")</f>
        <v/>
      </c>
      <c r="KC31" s="185" t="str">
        <f>IF(Tim!KG33=FIT!$E$1,Tim!KG33,"")</f>
        <v/>
      </c>
      <c r="KD31" s="185" t="str">
        <f>IF(Tim!KH33=FIT!$E$1,Tim!KH33,"")</f>
        <v/>
      </c>
      <c r="KE31" s="185" t="str">
        <f>IF(Tim!KI33=FIT!$E$1,Tim!KI33,"")</f>
        <v/>
      </c>
      <c r="KF31" s="185" t="str">
        <f>IF(Tim!KJ33=FIT!$E$1,Tim!KJ33,"")</f>
        <v/>
      </c>
      <c r="KG31" s="185" t="str">
        <f>IF(Tim!KK33=FIT!$E$1,Tim!KK33,"")</f>
        <v/>
      </c>
      <c r="KH31" s="185" t="str">
        <f>IF(Tim!KL33=FIT!$E$1,Tim!KL33,"")</f>
        <v/>
      </c>
      <c r="KI31" s="185" t="str">
        <f>IF(Tim!KM33=FIT!$E$1,Tim!KM33,"")</f>
        <v/>
      </c>
      <c r="KJ31" s="185" t="str">
        <f>IF(Tim!KN33=FIT!$E$1,Tim!KN33,"")</f>
        <v/>
      </c>
      <c r="KK31" s="185" t="str">
        <f>IF(Tim!KO33=FIT!$E$1,Tim!KO33,"")</f>
        <v/>
      </c>
      <c r="KL31" s="185" t="str">
        <f>IF(Tim!KP33=FIT!$E$1,Tim!KP33,"")</f>
        <v/>
      </c>
      <c r="KM31" s="185" t="str">
        <f>IF(Tim!KQ33=FIT!$E$1,Tim!KQ33,"")</f>
        <v/>
      </c>
      <c r="KN31" s="185" t="str">
        <f>IF(Tim!KR33=FIT!$E$1,Tim!KR33,"")</f>
        <v/>
      </c>
      <c r="KO31" s="185" t="str">
        <f>IF(Tim!KS33=FIT!$E$1,Tim!KS33,"")</f>
        <v/>
      </c>
      <c r="KP31" s="185" t="str">
        <f>IF(Tim!KT33=FIT!$E$1,Tim!KT33,"")</f>
        <v/>
      </c>
      <c r="KQ31" s="185" t="str">
        <f>IF(Tim!KU33=FIT!$E$1,Tim!KU33,"")</f>
        <v/>
      </c>
      <c r="KR31" s="185" t="str">
        <f>IF(Tim!KV33=FIT!$E$1,Tim!KV33,"")</f>
        <v/>
      </c>
      <c r="KS31" s="185" t="str">
        <f>IF(Tim!KW33=FIT!$E$1,Tim!KW33,"")</f>
        <v/>
      </c>
      <c r="KT31" s="185" t="str">
        <f>IF(Tim!KX33=FIT!$E$1,Tim!KX33,"")</f>
        <v/>
      </c>
      <c r="KU31" s="185" t="str">
        <f>IF(Tim!KY33=FIT!$E$1,Tim!KY33,"")</f>
        <v/>
      </c>
      <c r="KV31" s="185" t="str">
        <f>IF(Tim!KZ33=FIT!$E$1,Tim!KZ33,"")</f>
        <v/>
      </c>
      <c r="KW31" s="185" t="str">
        <f>IF(Tim!LA33=FIT!$E$1,Tim!LA33,"")</f>
        <v/>
      </c>
      <c r="KX31" s="185" t="str">
        <f>IF(Tim!LB33=FIT!$E$1,Tim!LB33,"")</f>
        <v/>
      </c>
      <c r="KY31" s="185" t="str">
        <f>IF(Tim!LC33=FIT!$E$1,Tim!LC33,"")</f>
        <v/>
      </c>
      <c r="KZ31" s="185" t="str">
        <f>IF(Tim!LD33=FIT!$E$1,Tim!LD33,"")</f>
        <v/>
      </c>
      <c r="LA31" s="185" t="str">
        <f>IF(Tim!LE33=FIT!$E$1,Tim!LE33,"")</f>
        <v/>
      </c>
      <c r="LB31" s="52">
        <v>0.562499999999999</v>
      </c>
    </row>
    <row r="32" spans="2:314" ht="10.5" customHeight="1">
      <c r="B32" s="49">
        <v>0.25</v>
      </c>
      <c r="C32" s="49">
        <v>0.25</v>
      </c>
      <c r="D32" s="49">
        <v>0.25</v>
      </c>
      <c r="E32" s="172">
        <v>0.57291666666666596</v>
      </c>
      <c r="F32" s="238" t="str">
        <f>IF(Tim!F34=FIT!$E$1,Tim!F34,"")</f>
        <v/>
      </c>
      <c r="G32" s="185" t="str">
        <f>IF(Tim!G34=FIT!$E$1,Tim!G34,"")</f>
        <v/>
      </c>
      <c r="H32" s="185" t="str">
        <f>IF(Tim!H34=FIT!$E$1,Tim!H34,"")</f>
        <v/>
      </c>
      <c r="I32" s="185" t="str">
        <f>IF(Tim!I34=FIT!$E$1,Tim!I34,"")</f>
        <v/>
      </c>
      <c r="J32" s="185" t="str">
        <f>IF(Tim!J34=FIT!$E$1,Tim!J34,"")</f>
        <v/>
      </c>
      <c r="K32" s="185" t="str">
        <f>IF(Tim!K34=FIT!$E$1,Tim!K34,"")</f>
        <v/>
      </c>
      <c r="L32" s="185" t="str">
        <f>IF(Tim!L34=FIT!$E$1,Tim!L34,"")</f>
        <v/>
      </c>
      <c r="M32" s="185" t="str">
        <f>IF(Tim!M34=FIT!$E$1,Tim!M34,"")</f>
        <v/>
      </c>
      <c r="N32" s="185" t="str">
        <f>IF(Tim!N34=FIT!$E$1,Tim!N34,"")</f>
        <v/>
      </c>
      <c r="O32" s="185" t="str">
        <f>IF(Tim!O34=FIT!$E$1,Tim!O34,"")</f>
        <v/>
      </c>
      <c r="P32" s="185" t="str">
        <f>IF(Tim!P34=FIT!$E$1,Tim!P34,"")</f>
        <v/>
      </c>
      <c r="Q32" s="185" t="str">
        <f>IF(Tim!Q34=FIT!$E$1,Tim!Q34,"")</f>
        <v/>
      </c>
      <c r="R32" s="185" t="str">
        <f>IF(Tim!R34=FIT!$E$1,Tim!R34,"")</f>
        <v/>
      </c>
      <c r="S32" s="185" t="str">
        <f>IF(Tim!S34=FIT!$E$1,Tim!S34,"")</f>
        <v/>
      </c>
      <c r="T32" s="185" t="str">
        <f>IF(Tim!T34=FIT!$E$1,Tim!T34,"")</f>
        <v/>
      </c>
      <c r="U32" s="185" t="str">
        <f>IF(Tim!U34=FIT!$E$1,Tim!U34,"")</f>
        <v/>
      </c>
      <c r="V32" s="185" t="str">
        <f>IF(Tim!W34=FIT!$E$1,Tim!W34,"")</f>
        <v/>
      </c>
      <c r="W32" s="185" t="str">
        <f>IF(Tim!X34=FIT!$E$1,Tim!X34,"")</f>
        <v/>
      </c>
      <c r="X32" s="185" t="str">
        <f>IF(Tim!Y34=FIT!$E$1,Tim!Y34,"")</f>
        <v/>
      </c>
      <c r="Y32" s="185" t="str">
        <f>IF(Tim!Z34=FIT!$E$1,Tim!Z34,"")</f>
        <v/>
      </c>
      <c r="Z32" s="185" t="str">
        <f>IF(Tim!AA34=FIT!$E$1,Tim!AA34,"")</f>
        <v/>
      </c>
      <c r="AA32" s="185" t="str">
        <f>IF(Tim!AB34=FIT!$E$1,Tim!AB34,"")</f>
        <v/>
      </c>
      <c r="AB32" s="185" t="str">
        <f>IF(Tim!AC34=FIT!$E$1,Tim!AC34,"")</f>
        <v/>
      </c>
      <c r="AC32" s="185" t="str">
        <f>IF(Tim!AD34=FIT!$E$1,Tim!AD34,"")</f>
        <v/>
      </c>
      <c r="AD32" s="185" t="str">
        <f>IF(Tim!AE34=FIT!$E$1,Tim!AE34,"")</f>
        <v/>
      </c>
      <c r="AE32" s="185" t="str">
        <f>IF(Tim!AF34=FIT!$E$1,Tim!AF34,"")</f>
        <v/>
      </c>
      <c r="AF32" s="185" t="str">
        <f>IF(Tim!AG34=FIT!$E$1,Tim!AG34,"")</f>
        <v/>
      </c>
      <c r="AG32" s="185" t="str">
        <f>IF(Tim!AH34=FIT!$E$1,Tim!AH34,"")</f>
        <v/>
      </c>
      <c r="AH32" s="185" t="str">
        <f>IF(Tim!AI34=FIT!$E$1,Tim!AI34,"")</f>
        <v/>
      </c>
      <c r="AI32" s="185" t="str">
        <f>IF(Tim!AJ34=FIT!$E$1,Tim!AJ34,"")</f>
        <v/>
      </c>
      <c r="AJ32" s="185" t="str">
        <f>IF(Tim!AK34=FIT!$E$1,Tim!AK34,"")</f>
        <v/>
      </c>
      <c r="AK32" s="185" t="str">
        <f>IF(Tim!AL34=FIT!$E$1,Tim!AL34,"")</f>
        <v/>
      </c>
      <c r="AL32" s="185" t="str">
        <f>IF(Tim!AM34=FIT!$E$1,Tim!AM34,"")</f>
        <v/>
      </c>
      <c r="AM32" s="185" t="str">
        <f>IF(Tim!AN34=FIT!$E$1,Tim!AN34,"")</f>
        <v/>
      </c>
      <c r="AN32" s="185" t="str">
        <f>IF(Tim!AO34=FIT!$E$1,Tim!AO34,"")</f>
        <v/>
      </c>
      <c r="AO32" s="185" t="str">
        <f>IF(Tim!AP34=FIT!$E$1,Tim!AP34,"")</f>
        <v/>
      </c>
      <c r="AP32" s="185" t="str">
        <f>IF(Tim!AQ34=FIT!$E$1,Tim!AQ34,"")</f>
        <v/>
      </c>
      <c r="AQ32" s="185" t="str">
        <f>IF(Tim!AR34=FIT!$E$1,Tim!AR34,"")</f>
        <v/>
      </c>
      <c r="AR32" s="185" t="str">
        <f>IF(Tim!AS34=FIT!$E$1,Tim!AS34,"")</f>
        <v/>
      </c>
      <c r="AS32" s="185" t="str">
        <f>IF(Tim!AT34=FIT!$E$1,Tim!AT34,"")</f>
        <v/>
      </c>
      <c r="AT32" s="185" t="str">
        <f>IF(Tim!AU34=FIT!$E$1,Tim!AU34,"")</f>
        <v/>
      </c>
      <c r="AU32" s="185" t="str">
        <f>IF(Tim!AV34=FIT!$E$1,Tim!AV34,"")</f>
        <v/>
      </c>
      <c r="AV32" s="185" t="str">
        <f>IF(Tim!AW34=FIT!$E$1,Tim!AW34,"")</f>
        <v/>
      </c>
      <c r="AW32" s="186" t="str">
        <f>IF(Tim!AX34=FIT!$E$1,Tim!AX34,"")</f>
        <v/>
      </c>
      <c r="AX32" s="243" t="str">
        <f>IF(Tim!AY34=FIT!$E$1,Tim!AY34,"")</f>
        <v/>
      </c>
      <c r="AY32" s="185" t="str">
        <f>IF(Tim!AZ34=FIT!$E$1,Tim!AZ34,"")</f>
        <v/>
      </c>
      <c r="AZ32" s="185" t="str">
        <f>IF(Tim!BA34=FIT!$E$1,Tim!BA34,"")</f>
        <v/>
      </c>
      <c r="BA32" s="185" t="str">
        <f>IF(Tim!BB34=FIT!$E$1,Tim!BB34,"")</f>
        <v/>
      </c>
      <c r="BB32" s="185" t="str">
        <f>IF(Tim!BC34=FIT!$E$1,Tim!BC34,"")</f>
        <v/>
      </c>
      <c r="BC32" s="185" t="str">
        <f>IF(Tim!BD34=FIT!$E$1,Tim!BD34,"")</f>
        <v/>
      </c>
      <c r="BD32" s="185" t="str">
        <f>IF(Tim!BE34=FIT!$E$1,Tim!BE34,"")</f>
        <v/>
      </c>
      <c r="BE32" s="185" t="str">
        <f>IF(Tim!BF34=FIT!$E$1,Tim!BF34,"")</f>
        <v/>
      </c>
      <c r="BF32" s="185" t="str">
        <f>IF(Tim!BG34=FIT!$E$1,Tim!BG34,"")</f>
        <v/>
      </c>
      <c r="BG32" s="185" t="str">
        <f>IF(Tim!BH34=FIT!$E$1,Tim!BH34,"")</f>
        <v/>
      </c>
      <c r="BH32" s="185" t="str">
        <f>IF(Tim!BI34=FIT!$E$1,Tim!BI34,"")</f>
        <v/>
      </c>
      <c r="BI32" s="185" t="str">
        <f>IF(Tim!BJ34=FIT!$E$1,Tim!BJ34,"")</f>
        <v/>
      </c>
      <c r="BJ32" s="185" t="str">
        <f>IF(Tim!BK34=FIT!$E$1,Tim!BK34,"")</f>
        <v/>
      </c>
      <c r="BK32" s="185" t="str">
        <f>IF(Tim!BL34=FIT!$E$1,Tim!BL34,"")</f>
        <v/>
      </c>
      <c r="BL32" s="185" t="str">
        <f>IF(Tim!BM34=FIT!$E$1,Tim!BM34,"")</f>
        <v/>
      </c>
      <c r="BM32" s="185" t="str">
        <f>IF(Tim!BN34=FIT!$E$1,Tim!BN34,"")</f>
        <v/>
      </c>
      <c r="BN32" s="185" t="str">
        <f>IF(Tim!BO34=FIT!$E$1,Tim!BO34,"")</f>
        <v/>
      </c>
      <c r="BO32" s="185" t="str">
        <f>IF(Tim!BP34=FIT!$E$1,Tim!BP34,"")</f>
        <v/>
      </c>
      <c r="BP32" s="185" t="str">
        <f>IF(Tim!BQ34=FIT!$E$1,Tim!BQ34,"")</f>
        <v/>
      </c>
      <c r="BQ32" s="185" t="str">
        <f>IF(Tim!BR34=FIT!$E$1,Tim!BR34,"")</f>
        <v/>
      </c>
      <c r="BR32" s="185" t="str">
        <f>IF(Tim!BS34=FIT!$E$1,Tim!BS34,"")</f>
        <v/>
      </c>
      <c r="BS32" s="185" t="str">
        <f>IF(Tim!BT34=FIT!$E$1,Tim!BT34,"")</f>
        <v/>
      </c>
      <c r="BT32" s="185" t="str">
        <f>IF(Tim!BU34=FIT!$E$1,Tim!BU34,"")</f>
        <v/>
      </c>
      <c r="BU32" s="185" t="str">
        <f>IF(Tim!BV34=FIT!$E$1,Tim!BV34,"")</f>
        <v/>
      </c>
      <c r="BV32" s="185" t="str">
        <f>IF(Tim!BW34=FIT!$E$1,Tim!BW34,"")</f>
        <v/>
      </c>
      <c r="BW32" s="185" t="str">
        <f>IF(Tim!BX34=FIT!$E$1,Tim!BX34,"")</f>
        <v/>
      </c>
      <c r="BX32" s="185" t="str">
        <f>IF(Tim!BY34=FIT!$E$1,Tim!BY34,"")</f>
        <v/>
      </c>
      <c r="BY32" s="185" t="str">
        <f>IF(Tim!BZ34=FIT!$E$1,Tim!BZ34,"")</f>
        <v/>
      </c>
      <c r="BZ32" s="185" t="str">
        <f>IF(Tim!CA34=FIT!$E$1,Tim!CA34,"")</f>
        <v/>
      </c>
      <c r="CA32" s="185" t="str">
        <f>IF(Tim!CB34=FIT!$E$1,Tim!CB34,"")</f>
        <v/>
      </c>
      <c r="CB32" s="185" t="str">
        <f>IF(Tim!CC34=FIT!$E$1,Tim!CC34,"")</f>
        <v/>
      </c>
      <c r="CC32" s="185" t="str">
        <f>IF(Tim!CD34=FIT!$E$1,Tim!CD34,"")</f>
        <v/>
      </c>
      <c r="CD32" s="185" t="str">
        <f>IF(Tim!CE34=FIT!$E$1,Tim!CE34,"")</f>
        <v/>
      </c>
      <c r="CE32" s="185" t="str">
        <f>IF(Tim!CF34=FIT!$E$1,Tim!CF34,"")</f>
        <v/>
      </c>
      <c r="CF32" s="185" t="str">
        <f>IF(Tim!CG34=FIT!$E$1,Tim!CG34,"")</f>
        <v/>
      </c>
      <c r="CG32" s="185" t="str">
        <f>IF(Tim!CH34=FIT!$E$1,Tim!CH34,"")</f>
        <v/>
      </c>
      <c r="CH32" s="185" t="str">
        <f>IF(Tim!CI34=FIT!$E$1,Tim!CI34,"")</f>
        <v/>
      </c>
      <c r="CI32" s="185" t="str">
        <f>IF(Tim!CJ34=FIT!$E$1,Tim!CJ34,"")</f>
        <v/>
      </c>
      <c r="CJ32" s="185" t="str">
        <f>IF(Tim!CK34=FIT!$E$1,Tim!CK34,"")</f>
        <v/>
      </c>
      <c r="CK32" s="185" t="str">
        <f>IF(Tim!CL34=FIT!$E$1,Tim!CL34,"")</f>
        <v/>
      </c>
      <c r="CL32" s="185" t="str">
        <f>IF(Tim!CM34=FIT!$E$1,Tim!CM34,"")</f>
        <v/>
      </c>
      <c r="CM32" s="185" t="str">
        <f>IF(Tim!CN34=FIT!$E$1,Tim!CN34,"")</f>
        <v/>
      </c>
      <c r="CN32" s="185" t="str">
        <f>IF(Tim!CO34=FIT!$E$1,Tim!CO34,"")</f>
        <v/>
      </c>
      <c r="CO32" s="185" t="str">
        <f>IF(Tim!CP34=FIT!$E$1,Tim!CP34,"")</f>
        <v/>
      </c>
      <c r="CP32" s="185" t="str">
        <f>IF(Tim!CQ34=FIT!$E$1,Tim!CQ34,"")</f>
        <v/>
      </c>
      <c r="CQ32" s="185" t="str">
        <f>IF(Tim!CR34=FIT!$E$1,Tim!CR34,"")</f>
        <v/>
      </c>
      <c r="CR32" s="185" t="str">
        <f>IF(Tim!CS34=FIT!$E$1,Tim!CS34,"")</f>
        <v/>
      </c>
      <c r="CS32" s="185" t="str">
        <f>IF(Tim!CT34=FIT!$E$1,Tim!CT34,"")</f>
        <v/>
      </c>
      <c r="CT32" s="185" t="str">
        <f>IF(Tim!CU34=FIT!$E$1,Tim!CU34,"")</f>
        <v/>
      </c>
      <c r="CU32" s="185" t="str">
        <f>IF(Tim!CV34=FIT!$E$1,Tim!CV34,"")</f>
        <v/>
      </c>
      <c r="CV32" s="185" t="str">
        <f>IF(Tim!CW34=FIT!$E$1,Tim!CW34,"")</f>
        <v/>
      </c>
      <c r="CW32" s="185" t="str">
        <f>IF(Tim!CX34=FIT!$E$1,Tim!CX34,"")</f>
        <v/>
      </c>
      <c r="CX32" s="185" t="str">
        <f>IF(Tim!CY34=FIT!$E$1,Tim!CY34,"")</f>
        <v/>
      </c>
      <c r="CY32" s="185" t="str">
        <f>IF(Tim!CZ34=FIT!$E$1,Tim!CZ34,"")</f>
        <v/>
      </c>
      <c r="CZ32" s="185" t="str">
        <f>IF(Tim!DA34=FIT!$E$1,Tim!DA34,"")</f>
        <v/>
      </c>
      <c r="DA32" s="185" t="str">
        <f>IF(Tim!DB34=FIT!$E$1,Tim!DB34,"")</f>
        <v/>
      </c>
      <c r="DB32" s="185" t="str">
        <f>IF(Tim!DC34=FIT!$E$1,Tim!DC34,"")</f>
        <v/>
      </c>
      <c r="DC32" s="185" t="str">
        <f>IF(Tim!DD34=FIT!$E$1,Tim!DD34,"")</f>
        <v/>
      </c>
      <c r="DD32" s="185" t="str">
        <f>IF(Tim!DE34=FIT!$E$1,Tim!DE34,"")</f>
        <v/>
      </c>
      <c r="DE32" s="185" t="str">
        <f>IF(Tim!DF34=FIT!$E$1,Tim!DF34,"")</f>
        <v/>
      </c>
      <c r="DF32" s="185" t="str">
        <f>IF(Tim!DG34=FIT!$E$1,Tim!DG34,"")</f>
        <v/>
      </c>
      <c r="DG32" s="185" t="str">
        <f>IF(Tim!DH34=FIT!$E$1,Tim!DH34,"")</f>
        <v/>
      </c>
      <c r="DH32" s="185" t="str">
        <f>IF(Tim!DI34=FIT!$E$1,Tim!DI34,"")</f>
        <v/>
      </c>
      <c r="DI32" s="185" t="str">
        <f>IF(Tim!DM34=FIT!$E$1,Tim!DM34,"")</f>
        <v/>
      </c>
      <c r="DJ32" s="185" t="str">
        <f>IF(Tim!DN34=FIT!$E$1,Tim!DN34,"")</f>
        <v/>
      </c>
      <c r="DK32" s="185" t="str">
        <f>IF(Tim!DO33=FIT!$E$1,Tim!DO33,"")</f>
        <v/>
      </c>
      <c r="DL32" s="185" t="str">
        <f>IF(Tim!DP34=FIT!$E$1,Tim!DP34,"")</f>
        <v/>
      </c>
      <c r="DM32" s="185" t="str">
        <f>IF(Tim!DQ34=FIT!$E$1,Tim!DQ34,"")</f>
        <v/>
      </c>
      <c r="DN32" s="185" t="str">
        <f>IF(Tim!DR34=FIT!$E$1,Tim!DR34,"")</f>
        <v/>
      </c>
      <c r="DO32" s="185" t="str">
        <f>IF(Tim!DS34=FIT!$E$1,Tim!DS34,"")</f>
        <v/>
      </c>
      <c r="DP32" s="185" t="str">
        <f>IF(Tim!DT34=FIT!$E$1,Tim!DT34,"")</f>
        <v/>
      </c>
      <c r="DQ32" s="185" t="str">
        <f>IF(Tim!DU34=FIT!$E$1,Tim!DU34,"")</f>
        <v/>
      </c>
      <c r="DR32" s="185" t="str">
        <f>IF(Tim!DV34=FIT!$E$1,Tim!DV34,"")</f>
        <v/>
      </c>
      <c r="DS32" s="185" t="str">
        <f>IF(Tim!DW34=FIT!$E$1,Tim!DW34,"")</f>
        <v/>
      </c>
      <c r="DT32" s="185" t="str">
        <f>IF(Tim!DX34=FIT!$E$1,Tim!DX34,"")</f>
        <v/>
      </c>
      <c r="DU32" s="185" t="str">
        <f>IF(Tim!DY34=FIT!$E$1,Tim!DY34,"")</f>
        <v/>
      </c>
      <c r="DV32" s="185" t="str">
        <f>IF(Tim!DZ34=FIT!$E$1,Tim!DZ34,"")</f>
        <v/>
      </c>
      <c r="DW32" s="185" t="str">
        <f>IF(Tim!EA34=FIT!$E$1,Tim!EA34,"")</f>
        <v/>
      </c>
      <c r="DX32" s="185" t="str">
        <f>IF(Tim!EB34=FIT!$E$1,Tim!EB34,"")</f>
        <v/>
      </c>
      <c r="DY32" s="185" t="str">
        <f>IF(Tim!EC34=FIT!$E$1,Tim!EC34,"")</f>
        <v/>
      </c>
      <c r="DZ32" s="185" t="str">
        <f>IF(Tim!ED34=FIT!$E$1,Tim!ED34,"")</f>
        <v/>
      </c>
      <c r="EA32" s="185" t="str">
        <f>IF(Tim!EE34=FIT!$E$1,Tim!EE34,"")</f>
        <v/>
      </c>
      <c r="EB32" s="185" t="str">
        <f>IF(Tim!EF34=FIT!$E$1,Tim!EF34,"")</f>
        <v/>
      </c>
      <c r="EC32" s="185" t="str">
        <f>IF(Tim!EG34=FIT!$E$1,Tim!EG34,"")</f>
        <v/>
      </c>
      <c r="ED32" s="185" t="str">
        <f>IF(Tim!EH34=FIT!$E$1,Tim!EH34,"")</f>
        <v/>
      </c>
      <c r="EE32" s="185" t="str">
        <f>IF(Tim!EI34=FIT!$E$1,Tim!EI34,"")</f>
        <v/>
      </c>
      <c r="EF32" s="185" t="str">
        <f>IF(Tim!EJ34=FIT!$E$1,Tim!EJ34,"")</f>
        <v/>
      </c>
      <c r="EG32" s="185" t="str">
        <f>IF(Tim!EK34=FIT!$E$1,Tim!EK34,"")</f>
        <v/>
      </c>
      <c r="EH32" s="185" t="str">
        <f>IF(Tim!EL34=FIT!$E$1,Tim!EL34,"")</f>
        <v/>
      </c>
      <c r="EI32" s="185" t="str">
        <f>IF(Tim!EM34=FIT!$E$1,Tim!EM34,"")</f>
        <v/>
      </c>
      <c r="EJ32" s="185" t="str">
        <f>IF(Tim!EN34=FIT!$E$1,Tim!EN34,"")</f>
        <v/>
      </c>
      <c r="EK32" s="185" t="str">
        <f>IF(Tim!EO34=FIT!$E$1,Tim!EO34,"")</f>
        <v/>
      </c>
      <c r="EL32" s="185" t="str">
        <f>IF(Tim!EP34=FIT!$E$1,Tim!EP34,"")</f>
        <v/>
      </c>
      <c r="EM32" s="185" t="str">
        <f>IF(Tim!EQ34=FIT!$E$1,Tim!EQ34,"")</f>
        <v/>
      </c>
      <c r="EN32" s="185" t="str">
        <f>IF(Tim!ER34=FIT!$E$1,Tim!ER34,"")</f>
        <v/>
      </c>
      <c r="EO32" s="185" t="str">
        <f>IF(Tim!ES34=FIT!$E$1,Tim!ES34,"")</f>
        <v/>
      </c>
      <c r="EP32" s="185" t="str">
        <f>IF(Tim!ET34=FIT!$E$1,Tim!ET34,"")</f>
        <v/>
      </c>
      <c r="EQ32" s="185" t="str">
        <f>IF(Tim!EU34=FIT!$E$1,Tim!EU34,"")</f>
        <v/>
      </c>
      <c r="ER32" s="185" t="str">
        <f>IF(Tim!EV34=FIT!$E$1,Tim!EV34,"")</f>
        <v/>
      </c>
      <c r="ES32" s="185" t="str">
        <f>IF(Tim!EW34=FIT!$E$1,Tim!EW34,"")</f>
        <v/>
      </c>
      <c r="ET32" s="185" t="str">
        <f>IF(Tim!EX34=FIT!$E$1,Tim!EX34,"")</f>
        <v/>
      </c>
      <c r="EU32" s="185" t="str">
        <f>IF(Tim!EY34=FIT!$E$1,Tim!EY34,"")</f>
        <v/>
      </c>
      <c r="EV32" s="185" t="str">
        <f>IF(Tim!EZ34=FIT!$E$1,Tim!EZ34,"")</f>
        <v/>
      </c>
      <c r="EW32" s="185" t="str">
        <f>IF(Tim!FA34=FIT!$E$1,Tim!FA34,"")</f>
        <v/>
      </c>
      <c r="EX32" s="185" t="str">
        <f>IF(Tim!FB34=FIT!$E$1,Tim!FB34,"")</f>
        <v/>
      </c>
      <c r="EY32" s="185" t="str">
        <f>IF(Tim!FC34=FIT!$E$1,Tim!FC34,"")</f>
        <v/>
      </c>
      <c r="EZ32" s="185" t="str">
        <f>IF(Tim!FD34=FIT!$E$1,Tim!FD34,"")</f>
        <v/>
      </c>
      <c r="FA32" s="185" t="str">
        <f>IF(Tim!FE34=FIT!$E$1,Tim!FE34,"")</f>
        <v/>
      </c>
      <c r="FB32" s="185" t="str">
        <f>IF(Tim!FF34=FIT!$E$1,Tim!FF34,"")</f>
        <v/>
      </c>
      <c r="FC32" s="185" t="str">
        <f>IF(Tim!FG34=FIT!$E$1,Tim!FG34,"")</f>
        <v/>
      </c>
      <c r="FD32" s="185" t="str">
        <f>IF(Tim!FH34=FIT!$E$1,Tim!FH34,"")</f>
        <v/>
      </c>
      <c r="FE32" s="185" t="str">
        <f>IF(Tim!FI34=FIT!$E$1,Tim!FI34,"")</f>
        <v/>
      </c>
      <c r="FF32" s="185" t="str">
        <f>IF(Tim!FJ34=FIT!$E$1,Tim!FJ34,"")</f>
        <v/>
      </c>
      <c r="FG32" s="185" t="str">
        <f>IF(Tim!FK34=FIT!$E$1,Tim!FK34,"")</f>
        <v/>
      </c>
      <c r="FH32" s="185" t="str">
        <f>IF(Tim!FL34=FIT!$E$1,Tim!FL34,"")</f>
        <v/>
      </c>
      <c r="FI32" s="185" t="str">
        <f>IF(Tim!FM34=FIT!$E$1,Tim!FM34,"")</f>
        <v/>
      </c>
      <c r="FJ32" s="185" t="str">
        <f>IF(Tim!FN34=FIT!$E$1,Tim!FN34,"")</f>
        <v/>
      </c>
      <c r="FK32" s="185" t="str">
        <f>IF(Tim!FO34=FIT!$E$1,Tim!FO34,"")</f>
        <v/>
      </c>
      <c r="FL32" s="185" t="str">
        <f>IF(Tim!FP34=FIT!$E$1,Tim!FP34,"")</f>
        <v/>
      </c>
      <c r="FM32" s="185" t="str">
        <f>IF(Tim!FQ34=FIT!$E$1,Tim!FQ34,"")</f>
        <v/>
      </c>
      <c r="FN32" s="185" t="str">
        <f>IF(Tim!FR34=FIT!$E$1,Tim!FR34,"")</f>
        <v/>
      </c>
      <c r="FO32" s="185" t="str">
        <f>IF(Tim!FS34=FIT!$E$1,Tim!FS34,"")</f>
        <v/>
      </c>
      <c r="FP32" s="185" t="str">
        <f>IF(Tim!FT34=FIT!$E$1,Tim!FT34,"")</f>
        <v/>
      </c>
      <c r="FQ32" s="185" t="str">
        <f>IF(Tim!FU34=FIT!$E$1,Tim!FU34,"")</f>
        <v/>
      </c>
      <c r="FR32" s="185" t="str">
        <f>IF(Tim!FV34=FIT!$E$1,Tim!FV34,"")</f>
        <v/>
      </c>
      <c r="FS32" s="185" t="str">
        <f>IF(Tim!FW34=FIT!$E$1,Tim!FW34,"")</f>
        <v/>
      </c>
      <c r="FT32" s="185" t="str">
        <f>IF(Tim!FX34=FIT!$E$1,Tim!FX34,"")</f>
        <v/>
      </c>
      <c r="FU32" s="185" t="str">
        <f>IF(Tim!FY34=FIT!$E$1,Tim!FY34,"")</f>
        <v/>
      </c>
      <c r="FV32" s="185" t="str">
        <f>IF(Tim!FZ34=FIT!$E$1,Tim!FZ34,"")</f>
        <v/>
      </c>
      <c r="FW32" s="185" t="str">
        <f>IF(Tim!GA34=FIT!$E$1,Tim!GA34,"")</f>
        <v/>
      </c>
      <c r="FX32" s="185" t="str">
        <f>IF(Tim!GB34=FIT!$E$1,Tim!GB34,"")</f>
        <v/>
      </c>
      <c r="FY32" s="185" t="str">
        <f>IF(Tim!GC34=FIT!$E$1,Tim!GC34,"")</f>
        <v/>
      </c>
      <c r="FZ32" s="185" t="str">
        <f>IF(Tim!GD34=FIT!$E$1,Tim!GD34,"")</f>
        <v/>
      </c>
      <c r="GA32" s="185" t="str">
        <f>IF(Tim!GE34=FIT!$E$1,Tim!GE34,"")</f>
        <v/>
      </c>
      <c r="GB32" s="185" t="str">
        <f>IF(Tim!GF34=FIT!$E$1,Tim!GF34,"")</f>
        <v/>
      </c>
      <c r="GC32" s="185" t="str">
        <f>IF(Tim!GG34=FIT!$E$1,Tim!GG34,"")</f>
        <v/>
      </c>
      <c r="GD32" s="185" t="str">
        <f>IF(Tim!GH34=FIT!$E$1,Tim!GH34,"")</f>
        <v/>
      </c>
      <c r="GE32" s="185" t="str">
        <f>IF(Tim!GI34=FIT!$E$1,Tim!GI34,"")</f>
        <v/>
      </c>
      <c r="GF32" s="185" t="str">
        <f>IF(Tim!GJ34=FIT!$E$1,Tim!GJ34,"")</f>
        <v/>
      </c>
      <c r="GG32" s="185" t="str">
        <f>IF(Tim!GK34=FIT!$E$1,Tim!GK34,"")</f>
        <v/>
      </c>
      <c r="GH32" s="185" t="str">
        <f>IF(Tim!GL34=FIT!$E$1,Tim!GL34,"")</f>
        <v/>
      </c>
      <c r="GI32" s="185" t="str">
        <f>IF(Tim!GM34=FIT!$E$1,Tim!GM34,"")</f>
        <v/>
      </c>
      <c r="GJ32" s="185" t="str">
        <f>IF(Tim!GN34=FIT!$E$1,Tim!GN34,"")</f>
        <v/>
      </c>
      <c r="GK32" s="185" t="str">
        <f>IF(Tim!GO34=FIT!$E$1,Tim!GO34,"")</f>
        <v/>
      </c>
      <c r="GL32" s="185" t="str">
        <f>IF(Tim!GP34=FIT!$E$1,Tim!GP34,"")</f>
        <v/>
      </c>
      <c r="GM32" s="185" t="str">
        <f>IF(Tim!GQ34=FIT!$E$1,Tim!GQ34,"")</f>
        <v/>
      </c>
      <c r="GN32" s="185" t="str">
        <f>IF(Tim!GR34=FIT!$E$1,Tim!GR34,"")</f>
        <v/>
      </c>
      <c r="GO32" s="185" t="str">
        <f>IF(Tim!GS34=FIT!$E$1,Tim!GS34,"")</f>
        <v/>
      </c>
      <c r="GP32" s="185" t="str">
        <f>IF(Tim!GT34=FIT!$E$1,Tim!GT34,"")</f>
        <v/>
      </c>
      <c r="GQ32" s="185" t="str">
        <f>IF(Tim!GU34=FIT!$E$1,Tim!GU34,"")</f>
        <v/>
      </c>
      <c r="GR32" s="185" t="str">
        <f>IF(Tim!GV34=FIT!$E$1,Tim!GV34,"")</f>
        <v/>
      </c>
      <c r="GS32" s="185" t="str">
        <f>IF(Tim!GW34=FIT!$E$1,Tim!GW34,"")</f>
        <v/>
      </c>
      <c r="GT32" s="185" t="str">
        <f>IF(Tim!GX34=FIT!$E$1,Tim!GX34,"")</f>
        <v/>
      </c>
      <c r="GU32" s="185" t="str">
        <f>IF(Tim!GY34=FIT!$E$1,Tim!GY34,"")</f>
        <v/>
      </c>
      <c r="GV32" s="185" t="str">
        <f>IF(Tim!GZ34=FIT!$E$1,Tim!GZ34,"")</f>
        <v/>
      </c>
      <c r="GW32" s="185" t="str">
        <f>IF(Tim!HA34=FIT!$E$1,Tim!HA34,"")</f>
        <v/>
      </c>
      <c r="GX32" s="185" t="str">
        <f>IF(Tim!HB34=FIT!$E$1,Tim!HB34,"")</f>
        <v/>
      </c>
      <c r="GY32" s="185" t="str">
        <f>IF(Tim!HC34=FIT!$E$1,Tim!HC34,"")</f>
        <v/>
      </c>
      <c r="GZ32" s="185" t="str">
        <f>IF(Tim!HD34=FIT!$E$1,Tim!HD34,"")</f>
        <v/>
      </c>
      <c r="HA32" s="185" t="str">
        <f>IF(Tim!HE34=FIT!$E$1,Tim!HE34,"")</f>
        <v/>
      </c>
      <c r="HB32" s="185" t="str">
        <f>IF(Tim!HF34=FIT!$E$1,Tim!HF34,"")</f>
        <v/>
      </c>
      <c r="HC32" s="185" t="str">
        <f>IF(Tim!HG34=FIT!$E$1,Tim!HG34,"")</f>
        <v/>
      </c>
      <c r="HD32" s="185" t="str">
        <f>IF(Tim!HH34=FIT!$E$1,Tim!HH34,"")</f>
        <v/>
      </c>
      <c r="HE32" s="185" t="str">
        <f>IF(Tim!HI34=FIT!$E$1,Tim!HI34,"")</f>
        <v/>
      </c>
      <c r="HF32" s="185" t="str">
        <f>IF(Tim!HJ34=FIT!$E$1,Tim!HJ34,"")</f>
        <v/>
      </c>
      <c r="HG32" s="185" t="str">
        <f>IF(Tim!HK34=FIT!$E$1,Tim!HK34,"")</f>
        <v/>
      </c>
      <c r="HH32" s="185" t="str">
        <f>IF(Tim!HL34=FIT!$E$1,Tim!HL34,"")</f>
        <v/>
      </c>
      <c r="HI32" s="185" t="str">
        <f>IF(Tim!HM34=FIT!$E$1,Tim!HM34,"")</f>
        <v/>
      </c>
      <c r="HJ32" s="185" t="str">
        <f>IF(Tim!HN34=FIT!$E$1,Tim!HN34,"")</f>
        <v/>
      </c>
      <c r="HK32" s="185" t="str">
        <f>IF(Tim!HO34=FIT!$E$1,Tim!HO34,"")</f>
        <v/>
      </c>
      <c r="HL32" s="185" t="str">
        <f>IF(Tim!HP34=FIT!$E$1,Tim!HP34,"")</f>
        <v/>
      </c>
      <c r="HM32" s="185" t="str">
        <f>IF(Tim!HQ34=FIT!$E$1,Tim!HQ34,"")</f>
        <v/>
      </c>
      <c r="HN32" s="185" t="str">
        <f>IF(Tim!HR34=FIT!$E$1,Tim!HR34,"")</f>
        <v/>
      </c>
      <c r="HO32" s="185" t="str">
        <f>IF(Tim!HS34=FIT!$E$1,Tim!HS34,"")</f>
        <v/>
      </c>
      <c r="HP32" s="185" t="str">
        <f>IF(Tim!HT34=FIT!$E$1,Tim!HT34,"")</f>
        <v/>
      </c>
      <c r="HQ32" s="185" t="str">
        <f>IF(Tim!HU34=FIT!$E$1,Tim!HU34,"")</f>
        <v/>
      </c>
      <c r="HR32" s="185" t="str">
        <f>IF(Tim!HV34=FIT!$E$1,Tim!HV34,"")</f>
        <v/>
      </c>
      <c r="HS32" s="185" t="str">
        <f>IF(Tim!HW34=FIT!$E$1,Tim!HW34,"")</f>
        <v/>
      </c>
      <c r="HT32" s="185" t="str">
        <f>IF(Tim!HX34=FIT!$E$1,Tim!HX34,"")</f>
        <v/>
      </c>
      <c r="HU32" s="185" t="str">
        <f>IF(Tim!HY34=FIT!$E$1,Tim!HY34,"")</f>
        <v/>
      </c>
      <c r="HV32" s="185" t="str">
        <f>IF(Tim!HZ34=FIT!$E$1,Tim!HZ34,"")</f>
        <v/>
      </c>
      <c r="HW32" s="185" t="str">
        <f>IF(Tim!IA34=FIT!$E$1,Tim!IA34,"")</f>
        <v/>
      </c>
      <c r="HX32" s="185" t="str">
        <f>IF(Tim!IB34=FIT!$E$1,Tim!IB34,"")</f>
        <v/>
      </c>
      <c r="HY32" s="185" t="str">
        <f>IF(Tim!IC34=FIT!$E$1,Tim!IC34,"")</f>
        <v/>
      </c>
      <c r="HZ32" s="185" t="str">
        <f>IF(Tim!ID34=FIT!$E$1,Tim!ID34,"")</f>
        <v/>
      </c>
      <c r="IA32" s="185" t="str">
        <f>IF(Tim!IE34=FIT!$E$1,Tim!IE34,"")</f>
        <v/>
      </c>
      <c r="IB32" s="185" t="str">
        <f>IF(Tim!IF34=FIT!$E$1,Tim!IF34,"")</f>
        <v/>
      </c>
      <c r="IC32" s="185" t="str">
        <f>IF(Tim!IG34=FIT!$E$1,Tim!IG34,"")</f>
        <v/>
      </c>
      <c r="ID32" s="185" t="str">
        <f>IF(Tim!IH34=FIT!$E$1,Tim!IH34,"")</f>
        <v/>
      </c>
      <c r="IE32" s="185" t="str">
        <f>IF(Tim!II34=FIT!$E$1,Tim!II34,"")</f>
        <v/>
      </c>
      <c r="IF32" s="185" t="str">
        <f>IF(Tim!IJ34=FIT!$E$1,Tim!IJ34,"")</f>
        <v/>
      </c>
      <c r="IG32" s="185" t="str">
        <f>IF(Tim!IK34=FIT!$E$1,Tim!IK34,"")</f>
        <v/>
      </c>
      <c r="IH32" s="185" t="str">
        <f>IF(Tim!IL34=FIT!$E$1,Tim!IL34,"")</f>
        <v/>
      </c>
      <c r="II32" s="185" t="str">
        <f>IF(Tim!IM34=FIT!$E$1,Tim!IM34,"")</f>
        <v/>
      </c>
      <c r="IJ32" s="185" t="str">
        <f>IF(Tim!IN34=FIT!$E$1,Tim!IN34,"")</f>
        <v/>
      </c>
      <c r="IK32" s="185" t="str">
        <f>IF(Tim!IO34=FIT!$E$1,Tim!IO34,"")</f>
        <v/>
      </c>
      <c r="IL32" s="185" t="str">
        <f>IF(Tim!IP34=FIT!$E$1,Tim!IP34,"")</f>
        <v/>
      </c>
      <c r="IM32" s="185" t="str">
        <f>IF(Tim!IQ34=FIT!$E$1,Tim!IQ34,"")</f>
        <v/>
      </c>
      <c r="IN32" s="185" t="str">
        <f>IF(Tim!IR34=FIT!$E$1,Tim!IR34,"")</f>
        <v/>
      </c>
      <c r="IO32" s="185" t="str">
        <f>IF(Tim!IS34=FIT!$E$1,Tim!IS34,"")</f>
        <v/>
      </c>
      <c r="IP32" s="185" t="str">
        <f>IF(Tim!IT34=FIT!$E$1,Tim!IT34,"")</f>
        <v/>
      </c>
      <c r="IQ32" s="185" t="str">
        <f>IF(Tim!IU34=FIT!$E$1,Tim!IU34,"")</f>
        <v/>
      </c>
      <c r="IR32" s="185" t="str">
        <f>IF(Tim!IV34=FIT!$E$1,Tim!IV34,"")</f>
        <v/>
      </c>
      <c r="IS32" s="185" t="str">
        <f>IF(Tim!IW34=FIT!$E$1,Tim!IW34,"")</f>
        <v/>
      </c>
      <c r="IT32" s="185" t="str">
        <f>IF(Tim!IX34=FIT!$E$1,Tim!IX34,"")</f>
        <v/>
      </c>
      <c r="IU32" s="185" t="str">
        <f>IF(Tim!IY34=FIT!$E$1,Tim!IY34,"")</f>
        <v/>
      </c>
      <c r="IV32" s="185" t="str">
        <f>IF(Tim!IZ34=FIT!$E$1,Tim!IZ34,"")</f>
        <v/>
      </c>
      <c r="IW32" s="185" t="str">
        <f>IF(Tim!JA34=FIT!$E$1,Tim!JA34,"")</f>
        <v/>
      </c>
      <c r="IX32" s="185" t="str">
        <f>IF(Tim!JB34=FIT!$E$1,Tim!JB34,"")</f>
        <v/>
      </c>
      <c r="IY32" s="185" t="str">
        <f>IF(Tim!JC34=FIT!$E$1,Tim!JC34,"")</f>
        <v/>
      </c>
      <c r="IZ32" s="185" t="str">
        <f>IF(Tim!JD34=FIT!$E$1,Tim!JD34,"")</f>
        <v/>
      </c>
      <c r="JA32" s="185" t="str">
        <f>IF(Tim!JE34=FIT!$E$1,Tim!JE34,"")</f>
        <v/>
      </c>
      <c r="JB32" s="185" t="str">
        <f>IF(Tim!JF34=FIT!$E$1,Tim!JF34,"")</f>
        <v/>
      </c>
      <c r="JC32" s="185" t="str">
        <f>IF(Tim!JG34=FIT!$E$1,Tim!JG34,"")</f>
        <v/>
      </c>
      <c r="JD32" s="185" t="str">
        <f>IF(Tim!JH34=FIT!$E$1,Tim!JH34,"")</f>
        <v/>
      </c>
      <c r="JE32" s="185" t="str">
        <f>IF(Tim!JI34=FIT!$E$1,Tim!JI34,"")</f>
        <v/>
      </c>
      <c r="JF32" s="185" t="str">
        <f>IF(Tim!JJ34=FIT!$E$1,Tim!JJ34,"")</f>
        <v/>
      </c>
      <c r="JG32" s="185" t="str">
        <f>IF(Tim!JK34=FIT!$E$1,Tim!JK34,"")</f>
        <v/>
      </c>
      <c r="JH32" s="185" t="str">
        <f>IF(Tim!JL34=FIT!$E$1,Tim!JL34,"")</f>
        <v/>
      </c>
      <c r="JI32" s="185" t="str">
        <f>IF(Tim!JM34=FIT!$E$1,Tim!JM34,"")</f>
        <v/>
      </c>
      <c r="JJ32" s="185" t="str">
        <f>IF(Tim!JN34=FIT!$E$1,Tim!JN34,"")</f>
        <v/>
      </c>
      <c r="JK32" s="185" t="str">
        <f>IF(Tim!JO34=FIT!$E$1,Tim!JO34,"")</f>
        <v/>
      </c>
      <c r="JL32" s="185" t="str">
        <f>IF(Tim!JP34=FIT!$E$1,Tim!JP34,"")</f>
        <v/>
      </c>
      <c r="JM32" s="185" t="str">
        <f>IF(Tim!JQ34=FIT!$E$1,Tim!JQ34,"")</f>
        <v/>
      </c>
      <c r="JN32" s="185" t="str">
        <f>IF(Tim!JR34=FIT!$E$1,Tim!JR34,"")</f>
        <v/>
      </c>
      <c r="JO32" s="185" t="str">
        <f>IF(Tim!JS34=FIT!$E$1,Tim!JS34,"")</f>
        <v/>
      </c>
      <c r="JP32" s="185" t="str">
        <f>IF(Tim!JT34=FIT!$E$1,Tim!JT34,"")</f>
        <v/>
      </c>
      <c r="JQ32" s="185" t="str">
        <f>IF(Tim!JU34=FIT!$E$1,Tim!JU34,"")</f>
        <v/>
      </c>
      <c r="JR32" s="185" t="str">
        <f>IF(Tim!JV34=FIT!$E$1,Tim!JV34,"")</f>
        <v/>
      </c>
      <c r="JS32" s="185" t="str">
        <f>IF(Tim!JW34=FIT!$E$1,Tim!JW34,"")</f>
        <v/>
      </c>
      <c r="JT32" s="185" t="str">
        <f>IF(Tim!JX34=FIT!$E$1,Tim!JX34,"")</f>
        <v/>
      </c>
      <c r="JU32" s="185" t="str">
        <f>IF(Tim!JY34=FIT!$E$1,Tim!JY34,"")</f>
        <v/>
      </c>
      <c r="JV32" s="185" t="str">
        <f>IF(Tim!JZ34=FIT!$E$1,Tim!JZ34,"")</f>
        <v/>
      </c>
      <c r="JW32" s="185" t="str">
        <f>IF(Tim!KA34=FIT!$E$1,Tim!KA34,"")</f>
        <v/>
      </c>
      <c r="JX32" s="185" t="str">
        <f>IF(Tim!KB34=FIT!$E$1,Tim!KB34,"")</f>
        <v/>
      </c>
      <c r="JY32" s="185" t="str">
        <f>IF(Tim!KC34=FIT!$E$1,Tim!KC34,"")</f>
        <v/>
      </c>
      <c r="JZ32" s="185" t="str">
        <f>IF(Tim!KD34=FIT!$E$1,Tim!KD34,"")</f>
        <v/>
      </c>
      <c r="KA32" s="185" t="str">
        <f>IF(Tim!KE34=FIT!$E$1,Tim!KE34,"")</f>
        <v/>
      </c>
      <c r="KB32" s="185" t="str">
        <f>IF(Tim!KF34=FIT!$E$1,Tim!KF34,"")</f>
        <v/>
      </c>
      <c r="KC32" s="185" t="str">
        <f>IF(Tim!KG34=FIT!$E$1,Tim!KG34,"")</f>
        <v/>
      </c>
      <c r="KD32" s="185" t="str">
        <f>IF(Tim!KH34=FIT!$E$1,Tim!KH34,"")</f>
        <v/>
      </c>
      <c r="KE32" s="185" t="str">
        <f>IF(Tim!KI34=FIT!$E$1,Tim!KI34,"")</f>
        <v/>
      </c>
      <c r="KF32" s="185" t="str">
        <f>IF(Tim!KJ34=FIT!$E$1,Tim!KJ34,"")</f>
        <v/>
      </c>
      <c r="KG32" s="185" t="str">
        <f>IF(Tim!KK34=FIT!$E$1,Tim!KK34,"")</f>
        <v/>
      </c>
      <c r="KH32" s="185" t="str">
        <f>IF(Tim!KL34=FIT!$E$1,Tim!KL34,"")</f>
        <v/>
      </c>
      <c r="KI32" s="185" t="str">
        <f>IF(Tim!KM34=FIT!$E$1,Tim!KM34,"")</f>
        <v/>
      </c>
      <c r="KJ32" s="185" t="str">
        <f>IF(Tim!KN34=FIT!$E$1,Tim!KN34,"")</f>
        <v/>
      </c>
      <c r="KK32" s="185" t="str">
        <f>IF(Tim!KO34=FIT!$E$1,Tim!KO34,"")</f>
        <v/>
      </c>
      <c r="KL32" s="185" t="str">
        <f>IF(Tim!KP34=FIT!$E$1,Tim!KP34,"")</f>
        <v/>
      </c>
      <c r="KM32" s="185" t="str">
        <f>IF(Tim!KQ34=FIT!$E$1,Tim!KQ34,"")</f>
        <v/>
      </c>
      <c r="KN32" s="185" t="str">
        <f>IF(Tim!KR34=FIT!$E$1,Tim!KR34,"")</f>
        <v/>
      </c>
      <c r="KO32" s="185" t="str">
        <f>IF(Tim!KS34=FIT!$E$1,Tim!KS34,"")</f>
        <v/>
      </c>
      <c r="KP32" s="185" t="str">
        <f>IF(Tim!KT34=FIT!$E$1,Tim!KT34,"")</f>
        <v/>
      </c>
      <c r="KQ32" s="185" t="str">
        <f>IF(Tim!KU34=FIT!$E$1,Tim!KU34,"")</f>
        <v/>
      </c>
      <c r="KR32" s="185" t="str">
        <f>IF(Tim!KV34=FIT!$E$1,Tim!KV34,"")</f>
        <v/>
      </c>
      <c r="KS32" s="185" t="str">
        <f>IF(Tim!KW34=FIT!$E$1,Tim!KW34,"")</f>
        <v/>
      </c>
      <c r="KT32" s="185" t="str">
        <f>IF(Tim!KX34=FIT!$E$1,Tim!KX34,"")</f>
        <v/>
      </c>
      <c r="KU32" s="185" t="str">
        <f>IF(Tim!KY34=FIT!$E$1,Tim!KY34,"")</f>
        <v/>
      </c>
      <c r="KV32" s="185" t="str">
        <f>IF(Tim!KZ34=FIT!$E$1,Tim!KZ34,"")</f>
        <v/>
      </c>
      <c r="KW32" s="185" t="str">
        <f>IF(Tim!LA34=FIT!$E$1,Tim!LA34,"")</f>
        <v/>
      </c>
      <c r="KX32" s="185" t="str">
        <f>IF(Tim!LB34=FIT!$E$1,Tim!LB34,"")</f>
        <v/>
      </c>
      <c r="KY32" s="185" t="str">
        <f>IF(Tim!LC34=FIT!$E$1,Tim!LC34,"")</f>
        <v/>
      </c>
      <c r="KZ32" s="185" t="str">
        <f>IF(Tim!LD34=FIT!$E$1,Tim!LD34,"")</f>
        <v/>
      </c>
      <c r="LA32" s="185" t="str">
        <f>IF(Tim!LE34=FIT!$E$1,Tim!LE34,"")</f>
        <v/>
      </c>
      <c r="LB32" s="52">
        <v>0.57291666666666596</v>
      </c>
    </row>
    <row r="33" spans="2:314" ht="10.5" customHeight="1">
      <c r="B33" s="49">
        <v>0.25</v>
      </c>
      <c r="C33" s="49">
        <v>0.25</v>
      </c>
      <c r="D33" s="49">
        <v>0.25</v>
      </c>
      <c r="E33" s="172">
        <v>0.58333333333333304</v>
      </c>
      <c r="F33" s="238" t="str">
        <f>IF(Tim!F35=FIT!$E$1,Tim!F35,"")</f>
        <v/>
      </c>
      <c r="G33" s="185" t="str">
        <f>IF(Tim!G35=FIT!$E$1,Tim!G35,"")</f>
        <v/>
      </c>
      <c r="H33" s="185" t="str">
        <f>IF(Tim!H35=FIT!$E$1,Tim!H35,"")</f>
        <v/>
      </c>
      <c r="I33" s="185" t="str">
        <f>IF(Tim!I35=FIT!$E$1,Tim!I35,"")</f>
        <v/>
      </c>
      <c r="J33" s="185" t="str">
        <f>IF(Tim!J35=FIT!$E$1,Tim!J35,"")</f>
        <v/>
      </c>
      <c r="K33" s="185" t="str">
        <f>IF(Tim!K35=FIT!$E$1,Tim!K35,"")</f>
        <v/>
      </c>
      <c r="L33" s="185" t="str">
        <f>IF(Tim!L35=FIT!$E$1,Tim!L35,"")</f>
        <v/>
      </c>
      <c r="M33" s="185" t="str">
        <f>IF(Tim!M35=FIT!$E$1,Tim!M35,"")</f>
        <v/>
      </c>
      <c r="N33" s="185" t="str">
        <f>IF(Tim!N35=FIT!$E$1,Tim!N35,"")</f>
        <v/>
      </c>
      <c r="O33" s="185" t="str">
        <f>IF(Tim!O35=FIT!$E$1,Tim!O35,"")</f>
        <v/>
      </c>
      <c r="P33" s="185" t="str">
        <f>IF(Tim!P35=FIT!$E$1,Tim!P35,"")</f>
        <v/>
      </c>
      <c r="Q33" s="185" t="str">
        <f>IF(Tim!Q35=FIT!$E$1,Tim!Q35,"")</f>
        <v/>
      </c>
      <c r="R33" s="185" t="str">
        <f>IF(Tim!R35=FIT!$E$1,Tim!R35,"")</f>
        <v/>
      </c>
      <c r="S33" s="185" t="str">
        <f>IF(Tim!S35=FIT!$E$1,Tim!S35,"")</f>
        <v/>
      </c>
      <c r="T33" s="185" t="str">
        <f>IF(Tim!T35=FIT!$E$1,Tim!T35,"")</f>
        <v/>
      </c>
      <c r="U33" s="185" t="str">
        <f>IF(Tim!U35=FIT!$E$1,Tim!U35,"")</f>
        <v/>
      </c>
      <c r="V33" s="185" t="str">
        <f>IF(Tim!W35=FIT!$E$1,Tim!W35,"")</f>
        <v/>
      </c>
      <c r="W33" s="185" t="str">
        <f>IF(Tim!X35=FIT!$E$1,Tim!X35,"")</f>
        <v/>
      </c>
      <c r="X33" s="185" t="str">
        <f>IF(Tim!Y35=FIT!$E$1,Tim!Y35,"")</f>
        <v/>
      </c>
      <c r="Y33" s="185" t="str">
        <f>IF(Tim!Z35=FIT!$E$1,Tim!Z35,"")</f>
        <v/>
      </c>
      <c r="Z33" s="185" t="str">
        <f>IF(Tim!AA35=FIT!$E$1,Tim!AA35,"")</f>
        <v/>
      </c>
      <c r="AA33" s="185" t="str">
        <f>IF(Tim!AB35=FIT!$E$1,Tim!AB35,"")</f>
        <v/>
      </c>
      <c r="AB33" s="185" t="str">
        <f>IF(Tim!AC35=FIT!$E$1,Tim!AC35,"")</f>
        <v/>
      </c>
      <c r="AC33" s="185" t="str">
        <f>IF(Tim!AD35=FIT!$E$1,Tim!AD35,"")</f>
        <v/>
      </c>
      <c r="AD33" s="185" t="str">
        <f>IF(Tim!AE35=FIT!$E$1,Tim!AE35,"")</f>
        <v/>
      </c>
      <c r="AE33" s="185" t="str">
        <f>IF(Tim!AF35=FIT!$E$1,Tim!AF35,"")</f>
        <v/>
      </c>
      <c r="AF33" s="185" t="str">
        <f>IF(Tim!AG35=FIT!$E$1,Tim!AG35,"")</f>
        <v/>
      </c>
      <c r="AG33" s="185" t="str">
        <f>IF(Tim!AH35=FIT!$E$1,Tim!AH35,"")</f>
        <v/>
      </c>
      <c r="AH33" s="185" t="str">
        <f>IF(Tim!AI35=FIT!$E$1,Tim!AI35,"")</f>
        <v/>
      </c>
      <c r="AI33" s="185" t="str">
        <f>IF(Tim!AJ35=FIT!$E$1,Tim!AJ35,"")</f>
        <v/>
      </c>
      <c r="AJ33" s="185" t="str">
        <f>IF(Tim!AK35=FIT!$E$1,Tim!AK35,"")</f>
        <v/>
      </c>
      <c r="AK33" s="185" t="str">
        <f>IF(Tim!AL35=FIT!$E$1,Tim!AL35,"")</f>
        <v/>
      </c>
      <c r="AL33" s="185" t="str">
        <f>IF(Tim!AM35=FIT!$E$1,Tim!AM35,"")</f>
        <v/>
      </c>
      <c r="AM33" s="185" t="str">
        <f>IF(Tim!AN35=FIT!$E$1,Tim!AN35,"")</f>
        <v/>
      </c>
      <c r="AN33" s="185" t="str">
        <f>IF(Tim!AO35=FIT!$E$1,Tim!AO35,"")</f>
        <v/>
      </c>
      <c r="AO33" s="185" t="str">
        <f>IF(Tim!AP35=FIT!$E$1,Tim!AP35,"")</f>
        <v/>
      </c>
      <c r="AP33" s="185" t="str">
        <f>IF(Tim!AQ35=FIT!$E$1,Tim!AQ35,"")</f>
        <v/>
      </c>
      <c r="AQ33" s="185" t="str">
        <f>IF(Tim!AR35=FIT!$E$1,Tim!AR35,"")</f>
        <v/>
      </c>
      <c r="AR33" s="185" t="str">
        <f>IF(Tim!AS35=FIT!$E$1,Tim!AS35,"")</f>
        <v/>
      </c>
      <c r="AS33" s="185" t="str">
        <f>IF(Tim!AT35=FIT!$E$1,Tim!AT35,"")</f>
        <v/>
      </c>
      <c r="AT33" s="185" t="str">
        <f>IF(Tim!AU35=FIT!$E$1,Tim!AU35,"")</f>
        <v/>
      </c>
      <c r="AU33" s="185" t="str">
        <f>IF(Tim!AV35=FIT!$E$1,Tim!AV35,"")</f>
        <v/>
      </c>
      <c r="AV33" s="185" t="str">
        <f>IF(Tim!AW35=FIT!$E$1,Tim!AW35,"")</f>
        <v/>
      </c>
      <c r="AW33" s="186" t="str">
        <f>IF(Tim!AX35=FIT!$E$1,Tim!AX35,"")</f>
        <v/>
      </c>
      <c r="AX33" s="243" t="str">
        <f>IF(Tim!AY35=FIT!$E$1,Tim!AY35,"")</f>
        <v/>
      </c>
      <c r="AY33" s="185" t="str">
        <f>IF(Tim!AZ35=FIT!$E$1,Tim!AZ35,"")</f>
        <v/>
      </c>
      <c r="AZ33" s="185" t="str">
        <f>IF(Tim!BA35=FIT!$E$1,Tim!BA35,"")</f>
        <v/>
      </c>
      <c r="BA33" s="185" t="str">
        <f>IF(Tim!BB35=FIT!$E$1,Tim!BB35,"")</f>
        <v/>
      </c>
      <c r="BB33" s="185" t="str">
        <f>IF(Tim!BC35=FIT!$E$1,Tim!BC35,"")</f>
        <v/>
      </c>
      <c r="BC33" s="185" t="str">
        <f>IF(Tim!BD35=FIT!$E$1,Tim!BD35,"")</f>
        <v/>
      </c>
      <c r="BD33" s="185" t="str">
        <f>IF(Tim!BE35=FIT!$E$1,Tim!BE35,"")</f>
        <v/>
      </c>
      <c r="BE33" s="185" t="str">
        <f>IF(Tim!BF35=FIT!$E$1,Tim!BF35,"")</f>
        <v/>
      </c>
      <c r="BF33" s="185" t="str">
        <f>IF(Tim!BG35=FIT!$E$1,Tim!BG35,"")</f>
        <v/>
      </c>
      <c r="BG33" s="185" t="str">
        <f>IF(Tim!BH35=FIT!$E$1,Tim!BH35,"")</f>
        <v/>
      </c>
      <c r="BH33" s="185" t="str">
        <f>IF(Tim!BI35=FIT!$E$1,Tim!BI35,"")</f>
        <v/>
      </c>
      <c r="BI33" s="185" t="str">
        <f>IF(Tim!BJ35=FIT!$E$1,Tim!BJ35,"")</f>
        <v/>
      </c>
      <c r="BJ33" s="185" t="str">
        <f>IF(Tim!BK35=FIT!$E$1,Tim!BK35,"")</f>
        <v/>
      </c>
      <c r="BK33" s="185" t="str">
        <f>IF(Tim!BL35=FIT!$E$1,Tim!BL35,"")</f>
        <v/>
      </c>
      <c r="BL33" s="185" t="str">
        <f>IF(Tim!BM35=FIT!$E$1,Tim!BM35,"")</f>
        <v/>
      </c>
      <c r="BM33" s="185" t="str">
        <f>IF(Tim!BN35=FIT!$E$1,Tim!BN35,"")</f>
        <v/>
      </c>
      <c r="BN33" s="185" t="str">
        <f>IF(Tim!BO35=FIT!$E$1,Tim!BO35,"")</f>
        <v/>
      </c>
      <c r="BO33" s="185" t="str">
        <f>IF(Tim!BP35=FIT!$E$1,Tim!BP35,"")</f>
        <v/>
      </c>
      <c r="BP33" s="185" t="str">
        <f>IF(Tim!BQ35=FIT!$E$1,Tim!BQ35,"")</f>
        <v/>
      </c>
      <c r="BQ33" s="185" t="str">
        <f>IF(Tim!BR35=FIT!$E$1,Tim!BR35,"")</f>
        <v/>
      </c>
      <c r="BR33" s="185" t="str">
        <f>IF(Tim!BS35=FIT!$E$1,Tim!BS35,"")</f>
        <v/>
      </c>
      <c r="BS33" s="185" t="str">
        <f>IF(Tim!BT35=FIT!$E$1,Tim!BT35,"")</f>
        <v/>
      </c>
      <c r="BT33" s="185" t="str">
        <f>IF(Tim!BU35=FIT!$E$1,Tim!BU35,"")</f>
        <v/>
      </c>
      <c r="BU33" s="185" t="str">
        <f>IF(Tim!BV35=FIT!$E$1,Tim!BV35,"")</f>
        <v/>
      </c>
      <c r="BV33" s="185" t="str">
        <f>IF(Tim!BW35=FIT!$E$1,Tim!BW35,"")</f>
        <v/>
      </c>
      <c r="BW33" s="185" t="str">
        <f>IF(Tim!BX35=FIT!$E$1,Tim!BX35,"")</f>
        <v/>
      </c>
      <c r="BX33" s="185" t="str">
        <f>IF(Tim!BY35=FIT!$E$1,Tim!BY35,"")</f>
        <v/>
      </c>
      <c r="BY33" s="185" t="str">
        <f>IF(Tim!BZ35=FIT!$E$1,Tim!BZ35,"")</f>
        <v/>
      </c>
      <c r="BZ33" s="185" t="str">
        <f>IF(Tim!CA35=FIT!$E$1,Tim!CA35,"")</f>
        <v/>
      </c>
      <c r="CA33" s="185" t="str">
        <f>IF(Tim!CB35=FIT!$E$1,Tim!CB35,"")</f>
        <v/>
      </c>
      <c r="CB33" s="185" t="str">
        <f>IF(Tim!CC35=FIT!$E$1,Tim!CC35,"")</f>
        <v/>
      </c>
      <c r="CC33" s="185" t="str">
        <f>IF(Tim!CD35=FIT!$E$1,Tim!CD35,"")</f>
        <v/>
      </c>
      <c r="CD33" s="185" t="str">
        <f>IF(Tim!CE35=FIT!$E$1,Tim!CE35,"")</f>
        <v/>
      </c>
      <c r="CE33" s="185" t="str">
        <f>IF(Tim!CF35=FIT!$E$1,Tim!CF35,"")</f>
        <v/>
      </c>
      <c r="CF33" s="185" t="str">
        <f>IF(Tim!CG35=FIT!$E$1,Tim!CG35,"")</f>
        <v/>
      </c>
      <c r="CG33" s="185" t="str">
        <f>IF(Tim!CH35=FIT!$E$1,Tim!CH35,"")</f>
        <v/>
      </c>
      <c r="CH33" s="185" t="str">
        <f>IF(Tim!CI35=FIT!$E$1,Tim!CI35,"")</f>
        <v/>
      </c>
      <c r="CI33" s="185" t="str">
        <f>IF(Tim!CJ35=FIT!$E$1,Tim!CJ35,"")</f>
        <v/>
      </c>
      <c r="CJ33" s="185" t="str">
        <f>IF(Tim!CK35=FIT!$E$1,Tim!CK35,"")</f>
        <v/>
      </c>
      <c r="CK33" s="185" t="str">
        <f>IF(Tim!CL35=FIT!$E$1,Tim!CL35,"")</f>
        <v/>
      </c>
      <c r="CL33" s="185" t="str">
        <f>IF(Tim!CM35=FIT!$E$1,Tim!CM35,"")</f>
        <v/>
      </c>
      <c r="CM33" s="185" t="str">
        <f>IF(Tim!CN35=FIT!$E$1,Tim!CN35,"")</f>
        <v/>
      </c>
      <c r="CN33" s="185" t="str">
        <f>IF(Tim!CO35=FIT!$E$1,Tim!CO35,"")</f>
        <v/>
      </c>
      <c r="CO33" s="185" t="str">
        <f>IF(Tim!CP35=FIT!$E$1,Tim!CP35,"")</f>
        <v/>
      </c>
      <c r="CP33" s="185" t="str">
        <f>IF(Tim!CQ35=FIT!$E$1,Tim!CQ35,"")</f>
        <v/>
      </c>
      <c r="CQ33" s="185" t="str">
        <f>IF(Tim!CR35=FIT!$E$1,Tim!CR35,"")</f>
        <v/>
      </c>
      <c r="CR33" s="185" t="str">
        <f>IF(Tim!CS35=FIT!$E$1,Tim!CS35,"")</f>
        <v/>
      </c>
      <c r="CS33" s="185" t="str">
        <f>IF(Tim!CT35=FIT!$E$1,Tim!CT35,"")</f>
        <v/>
      </c>
      <c r="CT33" s="185" t="str">
        <f>IF(Tim!CU35=FIT!$E$1,Tim!CU35,"")</f>
        <v/>
      </c>
      <c r="CU33" s="185" t="str">
        <f>IF(Tim!CV35=FIT!$E$1,Tim!CV35,"")</f>
        <v/>
      </c>
      <c r="CV33" s="185" t="str">
        <f>IF(Tim!CW35=FIT!$E$1,Tim!CW35,"")</f>
        <v/>
      </c>
      <c r="CW33" s="185" t="str">
        <f>IF(Tim!CX35=FIT!$E$1,Tim!CX35,"")</f>
        <v/>
      </c>
      <c r="CX33" s="185" t="str">
        <f>IF(Tim!CY35=FIT!$E$1,Tim!CY35,"")</f>
        <v/>
      </c>
      <c r="CY33" s="185" t="str">
        <f>IF(Tim!CZ35=FIT!$E$1,Tim!CZ35,"")</f>
        <v/>
      </c>
      <c r="CZ33" s="185" t="str">
        <f>IF(Tim!DA35=FIT!$E$1,Tim!DA35,"")</f>
        <v/>
      </c>
      <c r="DA33" s="185" t="str">
        <f>IF(Tim!DB35=FIT!$E$1,Tim!DB35,"")</f>
        <v/>
      </c>
      <c r="DB33" s="185" t="str">
        <f>IF(Tim!DC35=FIT!$E$1,Tim!DC35,"")</f>
        <v/>
      </c>
      <c r="DC33" s="185" t="str">
        <f>IF(Tim!DD35=FIT!$E$1,Tim!DD35,"")</f>
        <v/>
      </c>
      <c r="DD33" s="185" t="str">
        <f>IF(Tim!DE35=FIT!$E$1,Tim!DE35,"")</f>
        <v/>
      </c>
      <c r="DE33" s="185" t="str">
        <f>IF(Tim!DF35=FIT!$E$1,Tim!DF35,"")</f>
        <v/>
      </c>
      <c r="DF33" s="185" t="str">
        <f>IF(Tim!DG35=FIT!$E$1,Tim!DG35,"")</f>
        <v/>
      </c>
      <c r="DG33" s="185" t="str">
        <f>IF(Tim!DH35=FIT!$E$1,Tim!DH35,"")</f>
        <v/>
      </c>
      <c r="DH33" s="185" t="str">
        <f>IF(Tim!DI35=FIT!$E$1,Tim!DI35,"")</f>
        <v/>
      </c>
      <c r="DI33" s="185" t="str">
        <f>IF(Tim!DM35=FIT!$E$1,Tim!DM35,"")</f>
        <v/>
      </c>
      <c r="DJ33" s="185" t="str">
        <f>IF(Tim!DN35=FIT!$E$1,Tim!DN35,"")</f>
        <v/>
      </c>
      <c r="DK33" s="185" t="str">
        <f>IF(Tim!DO35=FIT!$E$1,Tim!DO35,"")</f>
        <v/>
      </c>
      <c r="DL33" s="185" t="str">
        <f>IF(Tim!DP35=FIT!$E$1,Tim!DP35,"")</f>
        <v/>
      </c>
      <c r="DM33" s="185" t="str">
        <f>IF(Tim!DQ35=FIT!$E$1,Tim!DQ35,"")</f>
        <v/>
      </c>
      <c r="DN33" s="185" t="str">
        <f>IF(Tim!DR35=FIT!$E$1,Tim!DR35,"")</f>
        <v/>
      </c>
      <c r="DO33" s="185" t="str">
        <f>IF(Tim!DS35=FIT!$E$1,Tim!DS35,"")</f>
        <v/>
      </c>
      <c r="DP33" s="185" t="str">
        <f>IF(Tim!DT35=FIT!$E$1,Tim!DT35,"")</f>
        <v/>
      </c>
      <c r="DQ33" s="185" t="str">
        <f>IF(Tim!DU35=FIT!$E$1,Tim!DU35,"")</f>
        <v/>
      </c>
      <c r="DR33" s="185" t="str">
        <f>IF(Tim!DV35=FIT!$E$1,Tim!DV35,"")</f>
        <v/>
      </c>
      <c r="DS33" s="185" t="str">
        <f>IF(Tim!DW35=FIT!$E$1,Tim!DW35,"")</f>
        <v/>
      </c>
      <c r="DT33" s="185" t="str">
        <f>IF(Tim!DX35=FIT!$E$1,Tim!DX35,"")</f>
        <v/>
      </c>
      <c r="DU33" s="185" t="str">
        <f>IF(Tim!DY35=FIT!$E$1,Tim!DY35,"")</f>
        <v/>
      </c>
      <c r="DV33" s="185" t="str">
        <f>IF(Tim!DZ35=FIT!$E$1,Tim!DZ35,"")</f>
        <v/>
      </c>
      <c r="DW33" s="185" t="str">
        <f>IF(Tim!EA35=FIT!$E$1,Tim!EA35,"")</f>
        <v/>
      </c>
      <c r="DX33" s="185" t="str">
        <f>IF(Tim!EB35=FIT!$E$1,Tim!EB35,"")</f>
        <v/>
      </c>
      <c r="DY33" s="185" t="str">
        <f>IF(Tim!EC35=FIT!$E$1,Tim!EC35,"")</f>
        <v/>
      </c>
      <c r="DZ33" s="185" t="str">
        <f>IF(Tim!ED35=FIT!$E$1,Tim!ED35,"")</f>
        <v/>
      </c>
      <c r="EA33" s="185" t="str">
        <f>IF(Tim!EE35=FIT!$E$1,Tim!EE35,"")</f>
        <v/>
      </c>
      <c r="EB33" s="185" t="str">
        <f>IF(Tim!EF35=FIT!$E$1,Tim!EF35,"")</f>
        <v/>
      </c>
      <c r="EC33" s="185" t="str">
        <f>IF(Tim!EG35=FIT!$E$1,Tim!EG35,"")</f>
        <v/>
      </c>
      <c r="ED33" s="185" t="str">
        <f>IF(Tim!EH35=FIT!$E$1,Tim!EH35,"")</f>
        <v/>
      </c>
      <c r="EE33" s="185" t="str">
        <f>IF(Tim!EI35=FIT!$E$1,Tim!EI35,"")</f>
        <v/>
      </c>
      <c r="EF33" s="185" t="str">
        <f>IF(Tim!EJ35=FIT!$E$1,Tim!EJ35,"")</f>
        <v/>
      </c>
      <c r="EG33" s="185" t="str">
        <f>IF(Tim!EK35=FIT!$E$1,Tim!EK35,"")</f>
        <v/>
      </c>
      <c r="EH33" s="185" t="str">
        <f>IF(Tim!EL35=FIT!$E$1,Tim!EL35,"")</f>
        <v/>
      </c>
      <c r="EI33" s="185" t="str">
        <f>IF(Tim!EM35=FIT!$E$1,Tim!EM35,"")</f>
        <v/>
      </c>
      <c r="EJ33" s="185" t="str">
        <f>IF(Tim!EN35=FIT!$E$1,Tim!EN35,"")</f>
        <v/>
      </c>
      <c r="EK33" s="185" t="str">
        <f>IF(Tim!EO35=FIT!$E$1,Tim!EO35,"")</f>
        <v/>
      </c>
      <c r="EL33" s="185" t="str">
        <f>IF(Tim!EP35=FIT!$E$1,Tim!EP35,"")</f>
        <v/>
      </c>
      <c r="EM33" s="185" t="str">
        <f>IF(Tim!EQ35=FIT!$E$1,Tim!EQ35,"")</f>
        <v/>
      </c>
      <c r="EN33" s="185" t="str">
        <f>IF(Tim!ER35=FIT!$E$1,Tim!ER35,"")</f>
        <v/>
      </c>
      <c r="EO33" s="185" t="str">
        <f>IF(Tim!ES35=FIT!$E$1,Tim!ES35,"")</f>
        <v/>
      </c>
      <c r="EP33" s="185" t="str">
        <f>IF(Tim!ET35=FIT!$E$1,Tim!ET35,"")</f>
        <v/>
      </c>
      <c r="EQ33" s="185" t="str">
        <f>IF(Tim!EU35=FIT!$E$1,Tim!EU35,"")</f>
        <v/>
      </c>
      <c r="ER33" s="185" t="str">
        <f>IF(Tim!EV35=FIT!$E$1,Tim!EV35,"")</f>
        <v/>
      </c>
      <c r="ES33" s="185" t="str">
        <f>IF(Tim!EW35=FIT!$E$1,Tim!EW35,"")</f>
        <v/>
      </c>
      <c r="ET33" s="185" t="str">
        <f>IF(Tim!EX35=FIT!$E$1,Tim!EX35,"")</f>
        <v/>
      </c>
      <c r="EU33" s="185" t="str">
        <f>IF(Tim!EY35=FIT!$E$1,Tim!EY35,"")</f>
        <v/>
      </c>
      <c r="EV33" s="185" t="str">
        <f>IF(Tim!EZ35=FIT!$E$1,Tim!EZ35,"")</f>
        <v/>
      </c>
      <c r="EW33" s="185" t="str">
        <f>IF(Tim!FA35=FIT!$E$1,Tim!FA35,"")</f>
        <v/>
      </c>
      <c r="EX33" s="185" t="str">
        <f>IF(Tim!FB35=FIT!$E$1,Tim!FB35,"")</f>
        <v/>
      </c>
      <c r="EY33" s="185" t="str">
        <f>IF(Tim!FC35=FIT!$E$1,Tim!FC35,"")</f>
        <v/>
      </c>
      <c r="EZ33" s="185" t="str">
        <f>IF(Tim!FD35=FIT!$E$1,Tim!FD35,"")</f>
        <v/>
      </c>
      <c r="FA33" s="185" t="str">
        <f>IF(Tim!FE35=FIT!$E$1,Tim!FE35,"")</f>
        <v/>
      </c>
      <c r="FB33" s="185" t="str">
        <f>IF(Tim!FF35=FIT!$E$1,Tim!FF35,"")</f>
        <v/>
      </c>
      <c r="FC33" s="185" t="str">
        <f>IF(Tim!FG35=FIT!$E$1,Tim!FG35,"")</f>
        <v/>
      </c>
      <c r="FD33" s="185" t="str">
        <f>IF(Tim!FH35=FIT!$E$1,Tim!FH35,"")</f>
        <v/>
      </c>
      <c r="FE33" s="185" t="str">
        <f>IF(Tim!FI35=FIT!$E$1,Tim!FI35,"")</f>
        <v/>
      </c>
      <c r="FF33" s="185" t="str">
        <f>IF(Tim!FJ35=FIT!$E$1,Tim!FJ35,"")</f>
        <v/>
      </c>
      <c r="FG33" s="185" t="str">
        <f>IF(Tim!FK35=FIT!$E$1,Tim!FK35,"")</f>
        <v/>
      </c>
      <c r="FH33" s="185" t="str">
        <f>IF(Tim!FL35=FIT!$E$1,Tim!FL35,"")</f>
        <v/>
      </c>
      <c r="FI33" s="185" t="str">
        <f>IF(Tim!FM35=FIT!$E$1,Tim!FM35,"")</f>
        <v/>
      </c>
      <c r="FJ33" s="185" t="str">
        <f>IF(Tim!FN35=FIT!$E$1,Tim!FN35,"")</f>
        <v/>
      </c>
      <c r="FK33" s="185" t="str">
        <f>IF(Tim!FO35=FIT!$E$1,Tim!FO35,"")</f>
        <v/>
      </c>
      <c r="FL33" s="185" t="str">
        <f>IF(Tim!FP35=FIT!$E$1,Tim!FP35,"")</f>
        <v/>
      </c>
      <c r="FM33" s="185" t="str">
        <f>IF(Tim!FQ35=FIT!$E$1,Tim!FQ35,"")</f>
        <v/>
      </c>
      <c r="FN33" s="185" t="str">
        <f>IF(Tim!FR35=FIT!$E$1,Tim!FR35,"")</f>
        <v/>
      </c>
      <c r="FO33" s="185" t="str">
        <f>IF(Tim!FS35=FIT!$E$1,Tim!FS35,"")</f>
        <v/>
      </c>
      <c r="FP33" s="185" t="str">
        <f>IF(Tim!FT35=FIT!$E$1,Tim!FT35,"")</f>
        <v/>
      </c>
      <c r="FQ33" s="185" t="str">
        <f>IF(Tim!FU35=FIT!$E$1,Tim!FU35,"")</f>
        <v/>
      </c>
      <c r="FR33" s="185" t="str">
        <f>IF(Tim!FV35=FIT!$E$1,Tim!FV35,"")</f>
        <v/>
      </c>
      <c r="FS33" s="185" t="str">
        <f>IF(Tim!FW35=FIT!$E$1,Tim!FW35,"")</f>
        <v/>
      </c>
      <c r="FT33" s="185" t="str">
        <f>IF(Tim!FX35=FIT!$E$1,Tim!FX35,"")</f>
        <v/>
      </c>
      <c r="FU33" s="185" t="str">
        <f>IF(Tim!FY35=FIT!$E$1,Tim!FY35,"")</f>
        <v/>
      </c>
      <c r="FV33" s="185" t="str">
        <f>IF(Tim!FZ35=FIT!$E$1,Tim!FZ35,"")</f>
        <v/>
      </c>
      <c r="FW33" s="185" t="str">
        <f>IF(Tim!GA35=FIT!$E$1,Tim!GA35,"")</f>
        <v/>
      </c>
      <c r="FX33" s="185" t="str">
        <f>IF(Tim!GB35=FIT!$E$1,Tim!GB35,"")</f>
        <v/>
      </c>
      <c r="FY33" s="185" t="str">
        <f>IF(Tim!GC35=FIT!$E$1,Tim!GC35,"")</f>
        <v/>
      </c>
      <c r="FZ33" s="185" t="str">
        <f>IF(Tim!GD35=FIT!$E$1,Tim!GD35,"")</f>
        <v/>
      </c>
      <c r="GA33" s="185" t="str">
        <f>IF(Tim!GE35=FIT!$E$1,Tim!GE35,"")</f>
        <v/>
      </c>
      <c r="GB33" s="185" t="str">
        <f>IF(Tim!GF35=FIT!$E$1,Tim!GF35,"")</f>
        <v/>
      </c>
      <c r="GC33" s="185" t="str">
        <f>IF(Tim!GG35=FIT!$E$1,Tim!GG35,"")</f>
        <v/>
      </c>
      <c r="GD33" s="185" t="str">
        <f>IF(Tim!GH35=FIT!$E$1,Tim!GH35,"")</f>
        <v/>
      </c>
      <c r="GE33" s="185" t="str">
        <f>IF(Tim!GI35=FIT!$E$1,Tim!GI35,"")</f>
        <v/>
      </c>
      <c r="GF33" s="185" t="str">
        <f>IF(Tim!GJ35=FIT!$E$1,Tim!GJ35,"")</f>
        <v/>
      </c>
      <c r="GG33" s="185" t="str">
        <f>IF(Tim!GK35=FIT!$E$1,Tim!GK35,"")</f>
        <v/>
      </c>
      <c r="GH33" s="185" t="str">
        <f>IF(Tim!GL35=FIT!$E$1,Tim!GL35,"")</f>
        <v/>
      </c>
      <c r="GI33" s="185" t="str">
        <f>IF(Tim!GM35=FIT!$E$1,Tim!GM35,"")</f>
        <v/>
      </c>
      <c r="GJ33" s="185" t="str">
        <f>IF(Tim!GN35=FIT!$E$1,Tim!GN35,"")</f>
        <v/>
      </c>
      <c r="GK33" s="185" t="str">
        <f>IF(Tim!GO35=FIT!$E$1,Tim!GO35,"")</f>
        <v/>
      </c>
      <c r="GL33" s="185" t="str">
        <f>IF(Tim!GP35=FIT!$E$1,Tim!GP35,"")</f>
        <v/>
      </c>
      <c r="GM33" s="185" t="str">
        <f>IF(Tim!GQ35=FIT!$E$1,Tim!GQ35,"")</f>
        <v/>
      </c>
      <c r="GN33" s="185" t="str">
        <f>IF(Tim!GR35=FIT!$E$1,Tim!GR35,"")</f>
        <v/>
      </c>
      <c r="GO33" s="185" t="str">
        <f>IF(Tim!GS35=FIT!$E$1,Tim!GS35,"")</f>
        <v/>
      </c>
      <c r="GP33" s="185" t="str">
        <f>IF(Tim!GT35=FIT!$E$1,Tim!GT35,"")</f>
        <v/>
      </c>
      <c r="GQ33" s="185" t="str">
        <f>IF(Tim!GU35=FIT!$E$1,Tim!GU35,"")</f>
        <v/>
      </c>
      <c r="GR33" s="185" t="str">
        <f>IF(Tim!GV35=FIT!$E$1,Tim!GV35,"")</f>
        <v/>
      </c>
      <c r="GS33" s="185" t="str">
        <f>IF(Tim!GW35=FIT!$E$1,Tim!GW35,"")</f>
        <v/>
      </c>
      <c r="GT33" s="185" t="str">
        <f>IF(Tim!GX35=FIT!$E$1,Tim!GX35,"")</f>
        <v/>
      </c>
      <c r="GU33" s="185" t="str">
        <f>IF(Tim!GY35=FIT!$E$1,Tim!GY35,"")</f>
        <v/>
      </c>
      <c r="GV33" s="185" t="str">
        <f>IF(Tim!GZ35=FIT!$E$1,Tim!GZ35,"")</f>
        <v/>
      </c>
      <c r="GW33" s="185" t="str">
        <f>IF(Tim!HA35=FIT!$E$1,Tim!HA35,"")</f>
        <v/>
      </c>
      <c r="GX33" s="185" t="str">
        <f>IF(Tim!HB35=FIT!$E$1,Tim!HB35,"")</f>
        <v/>
      </c>
      <c r="GY33" s="185" t="str">
        <f>IF(Tim!HC35=FIT!$E$1,Tim!HC35,"")</f>
        <v/>
      </c>
      <c r="GZ33" s="185" t="str">
        <f>IF(Tim!HD35=FIT!$E$1,Tim!HD35,"")</f>
        <v/>
      </c>
      <c r="HA33" s="185" t="str">
        <f>IF(Tim!HE35=FIT!$E$1,Tim!HE35,"")</f>
        <v/>
      </c>
      <c r="HB33" s="185" t="str">
        <f>IF(Tim!HF35=FIT!$E$1,Tim!HF35,"")</f>
        <v/>
      </c>
      <c r="HC33" s="185" t="str">
        <f>IF(Tim!HG35=FIT!$E$1,Tim!HG35,"")</f>
        <v/>
      </c>
      <c r="HD33" s="185" t="str">
        <f>IF(Tim!HH35=FIT!$E$1,Tim!HH35,"")</f>
        <v/>
      </c>
      <c r="HE33" s="185" t="str">
        <f>IF(Tim!HI35=FIT!$E$1,Tim!HI35,"")</f>
        <v/>
      </c>
      <c r="HF33" s="185" t="str">
        <f>IF(Tim!HJ35=FIT!$E$1,Tim!HJ35,"")</f>
        <v/>
      </c>
      <c r="HG33" s="185" t="str">
        <f>IF(Tim!HK35=FIT!$E$1,Tim!HK35,"")</f>
        <v/>
      </c>
      <c r="HH33" s="185" t="str">
        <f>IF(Tim!HL35=FIT!$E$1,Tim!HL35,"")</f>
        <v/>
      </c>
      <c r="HI33" s="185" t="str">
        <f>IF(Tim!HM35=FIT!$E$1,Tim!HM35,"")</f>
        <v/>
      </c>
      <c r="HJ33" s="185" t="str">
        <f>IF(Tim!HN35=FIT!$E$1,Tim!HN35,"")</f>
        <v/>
      </c>
      <c r="HK33" s="185" t="str">
        <f>IF(Tim!HO35=FIT!$E$1,Tim!HO35,"")</f>
        <v/>
      </c>
      <c r="HL33" s="185" t="str">
        <f>IF(Tim!HP35=FIT!$E$1,Tim!HP35,"")</f>
        <v/>
      </c>
      <c r="HM33" s="185" t="str">
        <f>IF(Tim!HQ35=FIT!$E$1,Tim!HQ35,"")</f>
        <v/>
      </c>
      <c r="HN33" s="185" t="str">
        <f>IF(Tim!HR35=FIT!$E$1,Tim!HR35,"")</f>
        <v/>
      </c>
      <c r="HO33" s="185" t="str">
        <f>IF(Tim!HS35=FIT!$E$1,Tim!HS35,"")</f>
        <v/>
      </c>
      <c r="HP33" s="185" t="str">
        <f>IF(Tim!HT35=FIT!$E$1,Tim!HT35,"")</f>
        <v/>
      </c>
      <c r="HQ33" s="185" t="str">
        <f>IF(Tim!HU35=FIT!$E$1,Tim!HU35,"")</f>
        <v/>
      </c>
      <c r="HR33" s="185" t="str">
        <f>IF(Tim!HV35=FIT!$E$1,Tim!HV35,"")</f>
        <v/>
      </c>
      <c r="HS33" s="185" t="str">
        <f>IF(Tim!HW35=FIT!$E$1,Tim!HW35,"")</f>
        <v/>
      </c>
      <c r="HT33" s="185" t="str">
        <f>IF(Tim!HX35=FIT!$E$1,Tim!HX35,"")</f>
        <v/>
      </c>
      <c r="HU33" s="185" t="str">
        <f>IF(Tim!HY35=FIT!$E$1,Tim!HY35,"")</f>
        <v/>
      </c>
      <c r="HV33" s="185" t="str">
        <f>IF(Tim!HZ35=FIT!$E$1,Tim!HZ35,"")</f>
        <v/>
      </c>
      <c r="HW33" s="185" t="str">
        <f>IF(Tim!IA35=FIT!$E$1,Tim!IA35,"")</f>
        <v/>
      </c>
      <c r="HX33" s="185" t="str">
        <f>IF(Tim!IB35=FIT!$E$1,Tim!IB35,"")</f>
        <v/>
      </c>
      <c r="HY33" s="185" t="str">
        <f>IF(Tim!IC35=FIT!$E$1,Tim!IC35,"")</f>
        <v/>
      </c>
      <c r="HZ33" s="185" t="str">
        <f>IF(Tim!ID35=FIT!$E$1,Tim!ID35,"")</f>
        <v/>
      </c>
      <c r="IA33" s="185" t="str">
        <f>IF(Tim!IE35=FIT!$E$1,Tim!IE35,"")</f>
        <v/>
      </c>
      <c r="IB33" s="185" t="str">
        <f>IF(Tim!IF35=FIT!$E$1,Tim!IF35,"")</f>
        <v/>
      </c>
      <c r="IC33" s="185" t="str">
        <f>IF(Tim!IG35=FIT!$E$1,Tim!IG35,"")</f>
        <v/>
      </c>
      <c r="ID33" s="185" t="str">
        <f>IF(Tim!IH35=FIT!$E$1,Tim!IH35,"")</f>
        <v/>
      </c>
      <c r="IE33" s="185" t="str">
        <f>IF(Tim!II35=FIT!$E$1,Tim!II35,"")</f>
        <v/>
      </c>
      <c r="IF33" s="185" t="str">
        <f>IF(Tim!IJ35=FIT!$E$1,Tim!IJ35,"")</f>
        <v/>
      </c>
      <c r="IG33" s="185" t="str">
        <f>IF(Tim!IK35=FIT!$E$1,Tim!IK35,"")</f>
        <v/>
      </c>
      <c r="IH33" s="185" t="str">
        <f>IF(Tim!IL35=FIT!$E$1,Tim!IL35,"")</f>
        <v/>
      </c>
      <c r="II33" s="185" t="str">
        <f>IF(Tim!IM35=FIT!$E$1,Tim!IM35,"")</f>
        <v/>
      </c>
      <c r="IJ33" s="185" t="str">
        <f>IF(Tim!IN35=FIT!$E$1,Tim!IN35,"")</f>
        <v/>
      </c>
      <c r="IK33" s="185" t="str">
        <f>IF(Tim!IO35=FIT!$E$1,Tim!IO35,"")</f>
        <v/>
      </c>
      <c r="IL33" s="185" t="str">
        <f>IF(Tim!IP35=FIT!$E$1,Tim!IP35,"")</f>
        <v/>
      </c>
      <c r="IM33" s="185" t="str">
        <f>IF(Tim!IQ35=FIT!$E$1,Tim!IQ35,"")</f>
        <v/>
      </c>
      <c r="IN33" s="185" t="str">
        <f>IF(Tim!IR35=FIT!$E$1,Tim!IR35,"")</f>
        <v/>
      </c>
      <c r="IO33" s="185" t="str">
        <f>IF(Tim!IS35=FIT!$E$1,Tim!IS35,"")</f>
        <v/>
      </c>
      <c r="IP33" s="185" t="str">
        <f>IF(Tim!IT35=FIT!$E$1,Tim!IT35,"")</f>
        <v/>
      </c>
      <c r="IQ33" s="185" t="str">
        <f>IF(Tim!IU35=FIT!$E$1,Tim!IU35,"")</f>
        <v/>
      </c>
      <c r="IR33" s="185" t="str">
        <f>IF(Tim!IV35=FIT!$E$1,Tim!IV35,"")</f>
        <v/>
      </c>
      <c r="IS33" s="185" t="str">
        <f>IF(Tim!IW35=FIT!$E$1,Tim!IW35,"")</f>
        <v/>
      </c>
      <c r="IT33" s="185" t="str">
        <f>IF(Tim!IX35=FIT!$E$1,Tim!IX35,"")</f>
        <v/>
      </c>
      <c r="IU33" s="185" t="str">
        <f>IF(Tim!IY35=FIT!$E$1,Tim!IY35,"")</f>
        <v/>
      </c>
      <c r="IV33" s="185" t="str">
        <f>IF(Tim!IZ35=FIT!$E$1,Tim!IZ35,"")</f>
        <v/>
      </c>
      <c r="IW33" s="185" t="str">
        <f>IF(Tim!JA35=FIT!$E$1,Tim!JA35,"")</f>
        <v/>
      </c>
      <c r="IX33" s="185" t="str">
        <f>IF(Tim!JB35=FIT!$E$1,Tim!JB35,"")</f>
        <v/>
      </c>
      <c r="IY33" s="185" t="str">
        <f>IF(Tim!JC35=FIT!$E$1,Tim!JC35,"")</f>
        <v/>
      </c>
      <c r="IZ33" s="185" t="str">
        <f>IF(Tim!JD35=FIT!$E$1,Tim!JD35,"")</f>
        <v/>
      </c>
      <c r="JA33" s="185" t="str">
        <f>IF(Tim!JE35=FIT!$E$1,Tim!JE35,"")</f>
        <v/>
      </c>
      <c r="JB33" s="185" t="str">
        <f>IF(Tim!JF35=FIT!$E$1,Tim!JF35,"")</f>
        <v/>
      </c>
      <c r="JC33" s="185" t="str">
        <f>IF(Tim!JG35=FIT!$E$1,Tim!JG35,"")</f>
        <v/>
      </c>
      <c r="JD33" s="185" t="str">
        <f>IF(Tim!JH35=FIT!$E$1,Tim!JH35,"")</f>
        <v/>
      </c>
      <c r="JE33" s="185" t="str">
        <f>IF(Tim!JI35=FIT!$E$1,Tim!JI35,"")</f>
        <v/>
      </c>
      <c r="JF33" s="185" t="str">
        <f>IF(Tim!JJ35=FIT!$E$1,Tim!JJ35,"")</f>
        <v/>
      </c>
      <c r="JG33" s="185" t="str">
        <f>IF(Tim!JK35=FIT!$E$1,Tim!JK35,"")</f>
        <v/>
      </c>
      <c r="JH33" s="185" t="str">
        <f>IF(Tim!JL35=FIT!$E$1,Tim!JL35,"")</f>
        <v/>
      </c>
      <c r="JI33" s="185" t="str">
        <f>IF(Tim!JM35=FIT!$E$1,Tim!JM35,"")</f>
        <v/>
      </c>
      <c r="JJ33" s="185" t="str">
        <f>IF(Tim!JN35=FIT!$E$1,Tim!JN35,"")</f>
        <v/>
      </c>
      <c r="JK33" s="185" t="str">
        <f>IF(Tim!JO35=FIT!$E$1,Tim!JO35,"")</f>
        <v/>
      </c>
      <c r="JL33" s="185" t="str">
        <f>IF(Tim!JP35=FIT!$E$1,Tim!JP35,"")</f>
        <v/>
      </c>
      <c r="JM33" s="185" t="str">
        <f>IF(Tim!JQ35=FIT!$E$1,Tim!JQ35,"")</f>
        <v/>
      </c>
      <c r="JN33" s="185" t="str">
        <f>IF(Tim!JR35=FIT!$E$1,Tim!JR35,"")</f>
        <v/>
      </c>
      <c r="JO33" s="185" t="str">
        <f>IF(Tim!JS35=FIT!$E$1,Tim!JS35,"")</f>
        <v/>
      </c>
      <c r="JP33" s="185" t="str">
        <f>IF(Tim!JT35=FIT!$E$1,Tim!JT35,"")</f>
        <v/>
      </c>
      <c r="JQ33" s="185" t="str">
        <f>IF(Tim!JU35=FIT!$E$1,Tim!JU35,"")</f>
        <v/>
      </c>
      <c r="JR33" s="185" t="str">
        <f>IF(Tim!JV35=FIT!$E$1,Tim!JV35,"")</f>
        <v/>
      </c>
      <c r="JS33" s="185" t="str">
        <f>IF(Tim!JW35=FIT!$E$1,Tim!JW35,"")</f>
        <v/>
      </c>
      <c r="JT33" s="185" t="str">
        <f>IF(Tim!JX35=FIT!$E$1,Tim!JX35,"")</f>
        <v/>
      </c>
      <c r="JU33" s="185" t="str">
        <f>IF(Tim!JY35=FIT!$E$1,Tim!JY35,"")</f>
        <v/>
      </c>
      <c r="JV33" s="185" t="str">
        <f>IF(Tim!JZ35=FIT!$E$1,Tim!JZ35,"")</f>
        <v/>
      </c>
      <c r="JW33" s="185" t="str">
        <f>IF(Tim!KA35=FIT!$E$1,Tim!KA35,"")</f>
        <v/>
      </c>
      <c r="JX33" s="185" t="str">
        <f>IF(Tim!KB35=FIT!$E$1,Tim!KB35,"")</f>
        <v/>
      </c>
      <c r="JY33" s="185" t="str">
        <f>IF(Tim!KC35=FIT!$E$1,Tim!KC35,"")</f>
        <v/>
      </c>
      <c r="JZ33" s="185" t="str">
        <f>IF(Tim!KD35=FIT!$E$1,Tim!KD35,"")</f>
        <v/>
      </c>
      <c r="KA33" s="185" t="str">
        <f>IF(Tim!KE35=FIT!$E$1,Tim!KE35,"")</f>
        <v/>
      </c>
      <c r="KB33" s="185" t="str">
        <f>IF(Tim!KF35=FIT!$E$1,Tim!KF35,"")</f>
        <v/>
      </c>
      <c r="KC33" s="185" t="str">
        <f>IF(Tim!KG35=FIT!$E$1,Tim!KG35,"")</f>
        <v/>
      </c>
      <c r="KD33" s="185" t="str">
        <f>IF(Tim!KH35=FIT!$E$1,Tim!KH35,"")</f>
        <v/>
      </c>
      <c r="KE33" s="185" t="str">
        <f>IF(Tim!KI35=FIT!$E$1,Tim!KI35,"")</f>
        <v/>
      </c>
      <c r="KF33" s="185" t="str">
        <f>IF(Tim!KJ35=FIT!$E$1,Tim!KJ35,"")</f>
        <v/>
      </c>
      <c r="KG33" s="185" t="str">
        <f>IF(Tim!KK35=FIT!$E$1,Tim!KK35,"")</f>
        <v/>
      </c>
      <c r="KH33" s="185" t="str">
        <f>IF(Tim!KL35=FIT!$E$1,Tim!KL35,"")</f>
        <v/>
      </c>
      <c r="KI33" s="185" t="str">
        <f>IF(Tim!KM35=FIT!$E$1,Tim!KM35,"")</f>
        <v/>
      </c>
      <c r="KJ33" s="185" t="str">
        <f>IF(Tim!KN35=FIT!$E$1,Tim!KN35,"")</f>
        <v/>
      </c>
      <c r="KK33" s="185" t="str">
        <f>IF(Tim!KO35=FIT!$E$1,Tim!KO35,"")</f>
        <v/>
      </c>
      <c r="KL33" s="185" t="str">
        <f>IF(Tim!KP35=FIT!$E$1,Tim!KP35,"")</f>
        <v/>
      </c>
      <c r="KM33" s="185" t="str">
        <f>IF(Tim!KQ35=FIT!$E$1,Tim!KQ35,"")</f>
        <v/>
      </c>
      <c r="KN33" s="185" t="str">
        <f>IF(Tim!KR35=FIT!$E$1,Tim!KR35,"")</f>
        <v/>
      </c>
      <c r="KO33" s="185" t="str">
        <f>IF(Tim!KS35=FIT!$E$1,Tim!KS35,"")</f>
        <v/>
      </c>
      <c r="KP33" s="185" t="str">
        <f>IF(Tim!KT35=FIT!$E$1,Tim!KT35,"")</f>
        <v/>
      </c>
      <c r="KQ33" s="185" t="str">
        <f>IF(Tim!KU35=FIT!$E$1,Tim!KU35,"")</f>
        <v/>
      </c>
      <c r="KR33" s="185" t="str">
        <f>IF(Tim!KV35=FIT!$E$1,Tim!KV35,"")</f>
        <v/>
      </c>
      <c r="KS33" s="185" t="str">
        <f>IF(Tim!KW35=FIT!$E$1,Tim!KW35,"")</f>
        <v/>
      </c>
      <c r="KT33" s="185" t="str">
        <f>IF(Tim!KX35=FIT!$E$1,Tim!KX35,"")</f>
        <v/>
      </c>
      <c r="KU33" s="185" t="str">
        <f>IF(Tim!KY35=FIT!$E$1,Tim!KY35,"")</f>
        <v/>
      </c>
      <c r="KV33" s="185" t="str">
        <f>IF(Tim!KZ35=FIT!$E$1,Tim!KZ35,"")</f>
        <v/>
      </c>
      <c r="KW33" s="185" t="str">
        <f>IF(Tim!LA35=FIT!$E$1,Tim!LA35,"")</f>
        <v/>
      </c>
      <c r="KX33" s="185" t="str">
        <f>IF(Tim!LB35=FIT!$E$1,Tim!LB35,"")</f>
        <v/>
      </c>
      <c r="KY33" s="185" t="str">
        <f>IF(Tim!LC35=FIT!$E$1,Tim!LC35,"")</f>
        <v/>
      </c>
      <c r="KZ33" s="185" t="str">
        <f>IF(Tim!LD35=FIT!$E$1,Tim!LD35,"")</f>
        <v/>
      </c>
      <c r="LA33" s="185" t="str">
        <f>IF(Tim!LE35=FIT!$E$1,Tim!LE35,"")</f>
        <v/>
      </c>
      <c r="LB33" s="52">
        <v>0.58333333333333304</v>
      </c>
    </row>
    <row r="34" spans="2:314" ht="10.5" customHeight="1">
      <c r="B34" s="49">
        <v>0.25</v>
      </c>
      <c r="C34" s="49">
        <v>0.25</v>
      </c>
      <c r="D34" s="49">
        <v>0.25</v>
      </c>
      <c r="E34" s="172">
        <v>0.593749999999999</v>
      </c>
      <c r="F34" s="238" t="str">
        <f>IF(Tim!F36=FIT!$E$1,Tim!F36,"")</f>
        <v/>
      </c>
      <c r="G34" s="185" t="str">
        <f>IF(Tim!G36=FIT!$E$1,Tim!G36,"")</f>
        <v/>
      </c>
      <c r="H34" s="185" t="str">
        <f>IF(Tim!H36=FIT!$E$1,Tim!H36,"")</f>
        <v/>
      </c>
      <c r="I34" s="185" t="str">
        <f>IF(Tim!I36=FIT!$E$1,Tim!I36,"")</f>
        <v/>
      </c>
      <c r="J34" s="185" t="str">
        <f>IF(Tim!J36=FIT!$E$1,Tim!J36,"")</f>
        <v/>
      </c>
      <c r="K34" s="185" t="str">
        <f>IF(Tim!K36=FIT!$E$1,Tim!K36,"")</f>
        <v/>
      </c>
      <c r="L34" s="185" t="str">
        <f>IF(Tim!L36=FIT!$E$1,Tim!L36,"")</f>
        <v/>
      </c>
      <c r="M34" s="185" t="str">
        <f>IF(Tim!M36=FIT!$E$1,Tim!M36,"")</f>
        <v/>
      </c>
      <c r="N34" s="185" t="str">
        <f>IF(Tim!N36=FIT!$E$1,Tim!N36,"")</f>
        <v/>
      </c>
      <c r="O34" s="185" t="str">
        <f>IF(Tim!O36=FIT!$E$1,Tim!O36,"")</f>
        <v/>
      </c>
      <c r="P34" s="185" t="str">
        <f>IF(Tim!P36=FIT!$E$1,Tim!P36,"")</f>
        <v/>
      </c>
      <c r="Q34" s="185" t="str">
        <f>IF(Tim!Q36=FIT!$E$1,Tim!Q36,"")</f>
        <v/>
      </c>
      <c r="R34" s="185" t="str">
        <f>IF(Tim!R36=FIT!$E$1,Tim!R36,"")</f>
        <v/>
      </c>
      <c r="S34" s="185" t="str">
        <f>IF(Tim!S36=FIT!$E$1,Tim!S36,"")</f>
        <v/>
      </c>
      <c r="T34" s="185" t="str">
        <f>IF(Tim!T36=FIT!$E$1,Tim!T36,"")</f>
        <v/>
      </c>
      <c r="U34" s="185" t="str">
        <f>IF(Tim!U36=FIT!$E$1,Tim!U36,"")</f>
        <v/>
      </c>
      <c r="V34" s="185" t="str">
        <f>IF(Tim!W36=FIT!$E$1,Tim!W36,"")</f>
        <v/>
      </c>
      <c r="W34" s="185" t="str">
        <f>IF(Tim!X36=FIT!$E$1,Tim!X36,"")</f>
        <v/>
      </c>
      <c r="X34" s="185" t="str">
        <f>IF(Tim!Y36=FIT!$E$1,Tim!Y36,"")</f>
        <v/>
      </c>
      <c r="Y34" s="185" t="str">
        <f>IF(Tim!Z36=FIT!$E$1,Tim!Z36,"")</f>
        <v/>
      </c>
      <c r="Z34" s="185" t="str">
        <f>IF(Tim!AA36=FIT!$E$1,Tim!AA36,"")</f>
        <v/>
      </c>
      <c r="AA34" s="185" t="str">
        <f>IF(Tim!AB36=FIT!$E$1,Tim!AB36,"")</f>
        <v/>
      </c>
      <c r="AB34" s="185" t="str">
        <f>IF(Tim!AC36=FIT!$E$1,Tim!AC36,"")</f>
        <v/>
      </c>
      <c r="AC34" s="185" t="str">
        <f>IF(Tim!AD36=FIT!$E$1,Tim!AD36,"")</f>
        <v/>
      </c>
      <c r="AD34" s="185" t="str">
        <f>IF(Tim!AE36=FIT!$E$1,Tim!AE36,"")</f>
        <v/>
      </c>
      <c r="AE34" s="185" t="str">
        <f>IF(Tim!AF36=FIT!$E$1,Tim!AF36,"")</f>
        <v/>
      </c>
      <c r="AF34" s="185" t="str">
        <f>IF(Tim!AG36=FIT!$E$1,Tim!AG36,"")</f>
        <v/>
      </c>
      <c r="AG34" s="185" t="str">
        <f>IF(Tim!AH36=FIT!$E$1,Tim!AH36,"")</f>
        <v/>
      </c>
      <c r="AH34" s="185" t="str">
        <f>IF(Tim!AI36=FIT!$E$1,Tim!AI36,"")</f>
        <v/>
      </c>
      <c r="AI34" s="185" t="str">
        <f>IF(Tim!AJ36=FIT!$E$1,Tim!AJ36,"")</f>
        <v/>
      </c>
      <c r="AJ34" s="185" t="str">
        <f>IF(Tim!AK36=FIT!$E$1,Tim!AK36,"")</f>
        <v/>
      </c>
      <c r="AK34" s="185" t="str">
        <f>IF(Tim!AL36=FIT!$E$1,Tim!AL36,"")</f>
        <v/>
      </c>
      <c r="AL34" s="185" t="str">
        <f>IF(Tim!AM36=FIT!$E$1,Tim!AM36,"")</f>
        <v/>
      </c>
      <c r="AM34" s="185" t="str">
        <f>IF(Tim!AN36=FIT!$E$1,Tim!AN36,"")</f>
        <v/>
      </c>
      <c r="AN34" s="185" t="str">
        <f>IF(Tim!AO36=FIT!$E$1,Tim!AO36,"")</f>
        <v/>
      </c>
      <c r="AO34" s="185" t="str">
        <f>IF(Tim!AP36=FIT!$E$1,Tim!AP36,"")</f>
        <v/>
      </c>
      <c r="AP34" s="185" t="str">
        <f>IF(Tim!AQ36=FIT!$E$1,Tim!AQ36,"")</f>
        <v/>
      </c>
      <c r="AQ34" s="185" t="str">
        <f>IF(Tim!AR36=FIT!$E$1,Tim!AR36,"")</f>
        <v/>
      </c>
      <c r="AR34" s="185" t="str">
        <f>IF(Tim!AS36=FIT!$E$1,Tim!AS36,"")</f>
        <v/>
      </c>
      <c r="AS34" s="185" t="str">
        <f>IF(Tim!AT36=FIT!$E$1,Tim!AT36,"")</f>
        <v/>
      </c>
      <c r="AT34" s="185" t="str">
        <f>IF(Tim!AU36=FIT!$E$1,Tim!AU36,"")</f>
        <v/>
      </c>
      <c r="AU34" s="185" t="str">
        <f>IF(Tim!AV36=FIT!$E$1,Tim!AV36,"")</f>
        <v/>
      </c>
      <c r="AV34" s="185" t="str">
        <f>IF(Tim!AW36=FIT!$E$1,Tim!AW36,"")</f>
        <v/>
      </c>
      <c r="AW34" s="186" t="str">
        <f>IF(Tim!AX36=FIT!$E$1,Tim!AX36,"")</f>
        <v/>
      </c>
      <c r="AX34" s="243" t="str">
        <f>IF(Tim!AY36=FIT!$E$1,Tim!AY36,"")</f>
        <v/>
      </c>
      <c r="AY34" s="185" t="str">
        <f>IF(Tim!AZ36=FIT!$E$1,Tim!AZ36,"")</f>
        <v/>
      </c>
      <c r="AZ34" s="185" t="str">
        <f>IF(Tim!BA36=FIT!$E$1,Tim!BA36,"")</f>
        <v/>
      </c>
      <c r="BA34" s="185" t="str">
        <f>IF(Tim!BB36=FIT!$E$1,Tim!BB36,"")</f>
        <v/>
      </c>
      <c r="BB34" s="185" t="str">
        <f>IF(Tim!BC36=FIT!$E$1,Tim!BC36,"")</f>
        <v/>
      </c>
      <c r="BC34" s="185" t="str">
        <f>IF(Tim!BD36=FIT!$E$1,Tim!BD36,"")</f>
        <v/>
      </c>
      <c r="BD34" s="185" t="str">
        <f>IF(Tim!BE36=FIT!$E$1,Tim!BE36,"")</f>
        <v/>
      </c>
      <c r="BE34" s="185" t="str">
        <f>IF(Tim!BF36=FIT!$E$1,Tim!BF36,"")</f>
        <v/>
      </c>
      <c r="BF34" s="185" t="str">
        <f>IF(Tim!BG36=FIT!$E$1,Tim!BG36,"")</f>
        <v/>
      </c>
      <c r="BG34" s="185" t="str">
        <f>IF(Tim!BH36=FIT!$E$1,Tim!BH36,"")</f>
        <v/>
      </c>
      <c r="BH34" s="185" t="str">
        <f>IF(Tim!BI36=FIT!$E$1,Tim!BI36,"")</f>
        <v/>
      </c>
      <c r="BI34" s="185" t="str">
        <f>IF(Tim!BJ36=FIT!$E$1,Tim!BJ36,"")</f>
        <v/>
      </c>
      <c r="BJ34" s="185" t="str">
        <f>IF(Tim!BK36=FIT!$E$1,Tim!BK36,"")</f>
        <v/>
      </c>
      <c r="BK34" s="185" t="str">
        <f>IF(Tim!BL36=FIT!$E$1,Tim!BL36,"")</f>
        <v/>
      </c>
      <c r="BL34" s="185" t="str">
        <f>IF(Tim!BM36=FIT!$E$1,Tim!BM36,"")</f>
        <v/>
      </c>
      <c r="BM34" s="185" t="str">
        <f>IF(Tim!BN36=FIT!$E$1,Tim!BN36,"")</f>
        <v/>
      </c>
      <c r="BN34" s="185" t="str">
        <f>IF(Tim!BO36=FIT!$E$1,Tim!BO36,"")</f>
        <v/>
      </c>
      <c r="BO34" s="185" t="str">
        <f>IF(Tim!BP36=FIT!$E$1,Tim!BP36,"")</f>
        <v/>
      </c>
      <c r="BP34" s="185" t="str">
        <f>IF(Tim!BQ36=FIT!$E$1,Tim!BQ36,"")</f>
        <v/>
      </c>
      <c r="BQ34" s="185" t="str">
        <f>IF(Tim!BR36=FIT!$E$1,Tim!BR36,"")</f>
        <v/>
      </c>
      <c r="BR34" s="185" t="str">
        <f>IF(Tim!BS36=FIT!$E$1,Tim!BS36,"")</f>
        <v/>
      </c>
      <c r="BS34" s="185" t="str">
        <f>IF(Tim!BT36=FIT!$E$1,Tim!BT36,"")</f>
        <v/>
      </c>
      <c r="BT34" s="185" t="str">
        <f>IF(Tim!BU36=FIT!$E$1,Tim!BU36,"")</f>
        <v/>
      </c>
      <c r="BU34" s="185" t="str">
        <f>IF(Tim!BV36=FIT!$E$1,Tim!BV36,"")</f>
        <v/>
      </c>
      <c r="BV34" s="185" t="str">
        <f>IF(Tim!BW36=FIT!$E$1,Tim!BW36,"")</f>
        <v/>
      </c>
      <c r="BW34" s="185" t="str">
        <f>IF(Tim!BX36=FIT!$E$1,Tim!BX36,"")</f>
        <v/>
      </c>
      <c r="BX34" s="185" t="str">
        <f>IF(Tim!BY36=FIT!$E$1,Tim!BY36,"")</f>
        <v/>
      </c>
      <c r="BY34" s="185" t="str">
        <f>IF(Tim!BZ36=FIT!$E$1,Tim!BZ36,"")</f>
        <v/>
      </c>
      <c r="BZ34" s="185" t="str">
        <f>IF(Tim!CA36=FIT!$E$1,Tim!CA36,"")</f>
        <v/>
      </c>
      <c r="CA34" s="185" t="str">
        <f>IF(Tim!CB36=FIT!$E$1,Tim!CB36,"")</f>
        <v/>
      </c>
      <c r="CB34" s="185" t="str">
        <f>IF(Tim!CC36=FIT!$E$1,Tim!CC36,"")</f>
        <v/>
      </c>
      <c r="CC34" s="185" t="str">
        <f>IF(Tim!CD36=FIT!$E$1,Tim!CD36,"")</f>
        <v/>
      </c>
      <c r="CD34" s="185" t="str">
        <f>IF(Tim!CE36=FIT!$E$1,Tim!CE36,"")</f>
        <v/>
      </c>
      <c r="CE34" s="185" t="str">
        <f>IF(Tim!CF36=FIT!$E$1,Tim!CF36,"")</f>
        <v/>
      </c>
      <c r="CF34" s="185" t="str">
        <f>IF(Tim!CG36=FIT!$E$1,Tim!CG36,"")</f>
        <v/>
      </c>
      <c r="CG34" s="185" t="str">
        <f>IF(Tim!CH36=FIT!$E$1,Tim!CH36,"")</f>
        <v/>
      </c>
      <c r="CH34" s="185" t="str">
        <f>IF(Tim!CI36=FIT!$E$1,Tim!CI36,"")</f>
        <v/>
      </c>
      <c r="CI34" s="185" t="str">
        <f>IF(Tim!CJ36=FIT!$E$1,Tim!CJ36,"")</f>
        <v/>
      </c>
      <c r="CJ34" s="185" t="str">
        <f>IF(Tim!CK36=FIT!$E$1,Tim!CK36,"")</f>
        <v/>
      </c>
      <c r="CK34" s="185" t="str">
        <f>IF(Tim!CL36=FIT!$E$1,Tim!CL36,"")</f>
        <v/>
      </c>
      <c r="CL34" s="185" t="str">
        <f>IF(Tim!CM36=FIT!$E$1,Tim!CM36,"")</f>
        <v/>
      </c>
      <c r="CM34" s="185" t="str">
        <f>IF(Tim!CN36=FIT!$E$1,Tim!CN36,"")</f>
        <v/>
      </c>
      <c r="CN34" s="185" t="str">
        <f>IF(Tim!CO36=FIT!$E$1,Tim!CO36,"")</f>
        <v/>
      </c>
      <c r="CO34" s="185" t="str">
        <f>IF(Tim!CP36=FIT!$E$1,Tim!CP36,"")</f>
        <v/>
      </c>
      <c r="CP34" s="185" t="str">
        <f>IF(Tim!CQ36=FIT!$E$1,Tim!CQ36,"")</f>
        <v/>
      </c>
      <c r="CQ34" s="185" t="str">
        <f>IF(Tim!CR36=FIT!$E$1,Tim!CR36,"")</f>
        <v/>
      </c>
      <c r="CR34" s="185" t="str">
        <f>IF(Tim!CS36=FIT!$E$1,Tim!CS36,"")</f>
        <v/>
      </c>
      <c r="CS34" s="185" t="str">
        <f>IF(Tim!CT36=FIT!$E$1,Tim!CT36,"")</f>
        <v/>
      </c>
      <c r="CT34" s="185" t="str">
        <f>IF(Tim!CU36=FIT!$E$1,Tim!CU36,"")</f>
        <v/>
      </c>
      <c r="CU34" s="185" t="str">
        <f>IF(Tim!CV36=FIT!$E$1,Tim!CV36,"")</f>
        <v/>
      </c>
      <c r="CV34" s="185" t="str">
        <f>IF(Tim!CW36=FIT!$E$1,Tim!CW36,"")</f>
        <v/>
      </c>
      <c r="CW34" s="185" t="str">
        <f>IF(Tim!CX36=FIT!$E$1,Tim!CX36,"")</f>
        <v/>
      </c>
      <c r="CX34" s="185" t="str">
        <f>IF(Tim!CY36=FIT!$E$1,Tim!CY36,"")</f>
        <v/>
      </c>
      <c r="CY34" s="185" t="str">
        <f>IF(Tim!CZ36=FIT!$E$1,Tim!CZ36,"")</f>
        <v/>
      </c>
      <c r="CZ34" s="185" t="str">
        <f>IF(Tim!DA36=FIT!$E$1,Tim!DA36,"")</f>
        <v/>
      </c>
      <c r="DA34" s="185" t="str">
        <f>IF(Tim!DB36=FIT!$E$1,Tim!DB36,"")</f>
        <v/>
      </c>
      <c r="DB34" s="185" t="str">
        <f>IF(Tim!DC36=FIT!$E$1,Tim!DC36,"")</f>
        <v/>
      </c>
      <c r="DC34" s="185" t="str">
        <f>IF(Tim!DD36=FIT!$E$1,Tim!DD36,"")</f>
        <v/>
      </c>
      <c r="DD34" s="185" t="str">
        <f>IF(Tim!DE36=FIT!$E$1,Tim!DE36,"")</f>
        <v/>
      </c>
      <c r="DE34" s="185" t="str">
        <f>IF(Tim!DF36=FIT!$E$1,Tim!DF36,"")</f>
        <v/>
      </c>
      <c r="DF34" s="185" t="str">
        <f>IF(Tim!DG36=FIT!$E$1,Tim!DG36,"")</f>
        <v/>
      </c>
      <c r="DG34" s="185" t="str">
        <f>IF(Tim!DH36=FIT!$E$1,Tim!DH36,"")</f>
        <v/>
      </c>
      <c r="DH34" s="185" t="str">
        <f>IF(Tim!DI36=FIT!$E$1,Tim!DI36,"")</f>
        <v/>
      </c>
      <c r="DI34" s="185" t="str">
        <f>IF(Tim!DM36=FIT!$E$1,Tim!DM36,"")</f>
        <v/>
      </c>
      <c r="DJ34" s="185" t="str">
        <f>IF(Tim!DN36=FIT!$E$1,Tim!DN36,"")</f>
        <v/>
      </c>
      <c r="DK34" s="185" t="str">
        <f>IF(Tim!DO36=FIT!$E$1,Tim!DO36,"")</f>
        <v/>
      </c>
      <c r="DL34" s="185" t="str">
        <f>IF(Tim!DP36=FIT!$E$1,Tim!DP36,"")</f>
        <v/>
      </c>
      <c r="DM34" s="185" t="str">
        <f>IF(Tim!DQ36=FIT!$E$1,Tim!DQ36,"")</f>
        <v/>
      </c>
      <c r="DN34" s="185" t="str">
        <f>IF(Tim!DR36=FIT!$E$1,Tim!DR36,"")</f>
        <v/>
      </c>
      <c r="DO34" s="185" t="str">
        <f>IF(Tim!DS36=FIT!$E$1,Tim!DS36,"")</f>
        <v/>
      </c>
      <c r="DP34" s="185" t="str">
        <f>IF(Tim!DT36=FIT!$E$1,Tim!DT36,"")</f>
        <v/>
      </c>
      <c r="DQ34" s="185" t="str">
        <f>IF(Tim!DU36=FIT!$E$1,Tim!DU36,"")</f>
        <v/>
      </c>
      <c r="DR34" s="185" t="str">
        <f>IF(Tim!DV36=FIT!$E$1,Tim!DV36,"")</f>
        <v/>
      </c>
      <c r="DS34" s="185" t="str">
        <f>IF(Tim!DW36=FIT!$E$1,Tim!DW36,"")</f>
        <v/>
      </c>
      <c r="DT34" s="185" t="str">
        <f>IF(Tim!DX36=FIT!$E$1,Tim!DX36,"")</f>
        <v/>
      </c>
      <c r="DU34" s="185" t="str">
        <f>IF(Tim!DY36=FIT!$E$1,Tim!DY36,"")</f>
        <v/>
      </c>
      <c r="DV34" s="185" t="str">
        <f>IF(Tim!DZ36=FIT!$E$1,Tim!DZ36,"")</f>
        <v/>
      </c>
      <c r="DW34" s="185" t="str">
        <f>IF(Tim!EA36=FIT!$E$1,Tim!EA36,"")</f>
        <v/>
      </c>
      <c r="DX34" s="185" t="str">
        <f>IF(Tim!EB36=FIT!$E$1,Tim!EB36,"")</f>
        <v/>
      </c>
      <c r="DY34" s="185" t="str">
        <f>IF(Tim!EC36=FIT!$E$1,Tim!EC36,"")</f>
        <v/>
      </c>
      <c r="DZ34" s="185" t="str">
        <f>IF(Tim!ED36=FIT!$E$1,Tim!ED36,"")</f>
        <v/>
      </c>
      <c r="EA34" s="185" t="str">
        <f>IF(Tim!EE36=FIT!$E$1,Tim!EE36,"")</f>
        <v/>
      </c>
      <c r="EB34" s="185" t="str">
        <f>IF(Tim!EF36=FIT!$E$1,Tim!EF36,"")</f>
        <v/>
      </c>
      <c r="EC34" s="185" t="str">
        <f>IF(Tim!EG36=FIT!$E$1,Tim!EG36,"")</f>
        <v/>
      </c>
      <c r="ED34" s="185" t="str">
        <f>IF(Tim!EH36=FIT!$E$1,Tim!EH36,"")</f>
        <v/>
      </c>
      <c r="EE34" s="185" t="str">
        <f>IF(Tim!EI36=FIT!$E$1,Tim!EI36,"")</f>
        <v/>
      </c>
      <c r="EF34" s="185" t="str">
        <f>IF(Tim!EJ36=FIT!$E$1,Tim!EJ36,"")</f>
        <v/>
      </c>
      <c r="EG34" s="185" t="str">
        <f>IF(Tim!EK36=FIT!$E$1,Tim!EK36,"")</f>
        <v/>
      </c>
      <c r="EH34" s="185" t="str">
        <f>IF(Tim!EL36=FIT!$E$1,Tim!EL36,"")</f>
        <v/>
      </c>
      <c r="EI34" s="185" t="str">
        <f>IF(Tim!EM36=FIT!$E$1,Tim!EM36,"")</f>
        <v/>
      </c>
      <c r="EJ34" s="185" t="str">
        <f>IF(Tim!EN36=FIT!$E$1,Tim!EN36,"")</f>
        <v/>
      </c>
      <c r="EK34" s="185" t="str">
        <f>IF(Tim!EO36=FIT!$E$1,Tim!EO36,"")</f>
        <v/>
      </c>
      <c r="EL34" s="185" t="str">
        <f>IF(Tim!EP36=FIT!$E$1,Tim!EP36,"")</f>
        <v/>
      </c>
      <c r="EM34" s="185" t="str">
        <f>IF(Tim!EQ36=FIT!$E$1,Tim!EQ36,"")</f>
        <v/>
      </c>
      <c r="EN34" s="185" t="str">
        <f>IF(Tim!ER36=FIT!$E$1,Tim!ER36,"")</f>
        <v/>
      </c>
      <c r="EO34" s="185" t="str">
        <f>IF(Tim!ES36=FIT!$E$1,Tim!ES36,"")</f>
        <v/>
      </c>
      <c r="EP34" s="185" t="str">
        <f>IF(Tim!ET36=FIT!$E$1,Tim!ET36,"")</f>
        <v/>
      </c>
      <c r="EQ34" s="185" t="str">
        <f>IF(Tim!EU36=FIT!$E$1,Tim!EU36,"")</f>
        <v/>
      </c>
      <c r="ER34" s="185" t="str">
        <f>IF(Tim!EV36=FIT!$E$1,Tim!EV36,"")</f>
        <v/>
      </c>
      <c r="ES34" s="185" t="str">
        <f>IF(Tim!EW36=FIT!$E$1,Tim!EW36,"")</f>
        <v/>
      </c>
      <c r="ET34" s="185" t="str">
        <f>IF(Tim!EX36=FIT!$E$1,Tim!EX36,"")</f>
        <v/>
      </c>
      <c r="EU34" s="185" t="str">
        <f>IF(Tim!EY36=FIT!$E$1,Tim!EY36,"")</f>
        <v/>
      </c>
      <c r="EV34" s="185" t="str">
        <f>IF(Tim!EZ36=FIT!$E$1,Tim!EZ36,"")</f>
        <v/>
      </c>
      <c r="EW34" s="185" t="str">
        <f>IF(Tim!FA36=FIT!$E$1,Tim!FA36,"")</f>
        <v/>
      </c>
      <c r="EX34" s="185" t="str">
        <f>IF(Tim!FB36=FIT!$E$1,Tim!FB36,"")</f>
        <v/>
      </c>
      <c r="EY34" s="185" t="str">
        <f>IF(Tim!FC36=FIT!$E$1,Tim!FC36,"")</f>
        <v/>
      </c>
      <c r="EZ34" s="185" t="str">
        <f>IF(Tim!FD36=FIT!$E$1,Tim!FD36,"")</f>
        <v/>
      </c>
      <c r="FA34" s="185" t="str">
        <f>IF(Tim!FE36=FIT!$E$1,Tim!FE36,"")</f>
        <v/>
      </c>
      <c r="FB34" s="185" t="str">
        <f>IF(Tim!FF36=FIT!$E$1,Tim!FF36,"")</f>
        <v/>
      </c>
      <c r="FC34" s="185" t="str">
        <f>IF(Tim!FG36=FIT!$E$1,Tim!FG36,"")</f>
        <v/>
      </c>
      <c r="FD34" s="185" t="str">
        <f>IF(Tim!FH36=FIT!$E$1,Tim!FH36,"")</f>
        <v/>
      </c>
      <c r="FE34" s="185" t="str">
        <f>IF(Tim!FI36=FIT!$E$1,Tim!FI36,"")</f>
        <v/>
      </c>
      <c r="FF34" s="185" t="str">
        <f>IF(Tim!FJ36=FIT!$E$1,Tim!FJ36,"")</f>
        <v/>
      </c>
      <c r="FG34" s="185" t="str">
        <f>IF(Tim!FK36=FIT!$E$1,Tim!FK36,"")</f>
        <v/>
      </c>
      <c r="FH34" s="185" t="str">
        <f>IF(Tim!FL36=FIT!$E$1,Tim!FL36,"")</f>
        <v/>
      </c>
      <c r="FI34" s="185" t="str">
        <f>IF(Tim!FM36=FIT!$E$1,Tim!FM36,"")</f>
        <v/>
      </c>
      <c r="FJ34" s="185" t="str">
        <f>IF(Tim!FN36=FIT!$E$1,Tim!FN36,"")</f>
        <v/>
      </c>
      <c r="FK34" s="185" t="str">
        <f>IF(Tim!FO36=FIT!$E$1,Tim!FO36,"")</f>
        <v/>
      </c>
      <c r="FL34" s="185" t="str">
        <f>IF(Tim!FP36=FIT!$E$1,Tim!FP36,"")</f>
        <v/>
      </c>
      <c r="FM34" s="185" t="str">
        <f>IF(Tim!FQ36=FIT!$E$1,Tim!FQ36,"")</f>
        <v/>
      </c>
      <c r="FN34" s="185" t="str">
        <f>IF(Tim!FR36=FIT!$E$1,Tim!FR36,"")</f>
        <v/>
      </c>
      <c r="FO34" s="185" t="str">
        <f>IF(Tim!FS36=FIT!$E$1,Tim!FS36,"")</f>
        <v/>
      </c>
      <c r="FP34" s="185" t="str">
        <f>IF(Tim!FT36=FIT!$E$1,Tim!FT36,"")</f>
        <v/>
      </c>
      <c r="FQ34" s="185" t="str">
        <f>IF(Tim!FU36=FIT!$E$1,Tim!FU36,"")</f>
        <v/>
      </c>
      <c r="FR34" s="185" t="str">
        <f>IF(Tim!FV36=FIT!$E$1,Tim!FV36,"")</f>
        <v/>
      </c>
      <c r="FS34" s="185" t="str">
        <f>IF(Tim!FW36=FIT!$E$1,Tim!FW36,"")</f>
        <v/>
      </c>
      <c r="FT34" s="185" t="str">
        <f>IF(Tim!FX36=FIT!$E$1,Tim!FX36,"")</f>
        <v/>
      </c>
      <c r="FU34" s="185" t="str">
        <f>IF(Tim!FY36=FIT!$E$1,Tim!FY36,"")</f>
        <v/>
      </c>
      <c r="FV34" s="185" t="str">
        <f>IF(Tim!FZ36=FIT!$E$1,Tim!FZ36,"")</f>
        <v/>
      </c>
      <c r="FW34" s="185" t="str">
        <f>IF(Tim!GA36=FIT!$E$1,Tim!GA36,"")</f>
        <v/>
      </c>
      <c r="FX34" s="185" t="str">
        <f>IF(Tim!GB36=FIT!$E$1,Tim!GB36,"")</f>
        <v/>
      </c>
      <c r="FY34" s="185" t="str">
        <f>IF(Tim!GC36=FIT!$E$1,Tim!GC36,"")</f>
        <v/>
      </c>
      <c r="FZ34" s="185" t="str">
        <f>IF(Tim!GD36=FIT!$E$1,Tim!GD36,"")</f>
        <v/>
      </c>
      <c r="GA34" s="185" t="str">
        <f>IF(Tim!GE36=FIT!$E$1,Tim!GE36,"")</f>
        <v/>
      </c>
      <c r="GB34" s="185" t="str">
        <f>IF(Tim!GF36=FIT!$E$1,Tim!GF36,"")</f>
        <v/>
      </c>
      <c r="GC34" s="185" t="str">
        <f>IF(Tim!GG36=FIT!$E$1,Tim!GG36,"")</f>
        <v/>
      </c>
      <c r="GD34" s="185" t="str">
        <f>IF(Tim!GH36=FIT!$E$1,Tim!GH36,"")</f>
        <v/>
      </c>
      <c r="GE34" s="185" t="str">
        <f>IF(Tim!GI36=FIT!$E$1,Tim!GI36,"")</f>
        <v/>
      </c>
      <c r="GF34" s="185" t="str">
        <f>IF(Tim!GJ36=FIT!$E$1,Tim!GJ36,"")</f>
        <v/>
      </c>
      <c r="GG34" s="185" t="str">
        <f>IF(Tim!GK36=FIT!$E$1,Tim!GK36,"")</f>
        <v/>
      </c>
      <c r="GH34" s="185" t="str">
        <f>IF(Tim!GL36=FIT!$E$1,Tim!GL36,"")</f>
        <v/>
      </c>
      <c r="GI34" s="185" t="str">
        <f>IF(Tim!GM36=FIT!$E$1,Tim!GM36,"")</f>
        <v/>
      </c>
      <c r="GJ34" s="185" t="str">
        <f>IF(Tim!GN36=FIT!$E$1,Tim!GN36,"")</f>
        <v/>
      </c>
      <c r="GK34" s="185" t="str">
        <f>IF(Tim!GO36=FIT!$E$1,Tim!GO36,"")</f>
        <v/>
      </c>
      <c r="GL34" s="185" t="str">
        <f>IF(Tim!GP36=FIT!$E$1,Tim!GP36,"")</f>
        <v/>
      </c>
      <c r="GM34" s="185" t="str">
        <f>IF(Tim!GQ36=FIT!$E$1,Tim!GQ36,"")</f>
        <v/>
      </c>
      <c r="GN34" s="185" t="str">
        <f>IF(Tim!GR36=FIT!$E$1,Tim!GR36,"")</f>
        <v/>
      </c>
      <c r="GO34" s="185" t="str">
        <f>IF(Tim!GS36=FIT!$E$1,Tim!GS36,"")</f>
        <v/>
      </c>
      <c r="GP34" s="185" t="str">
        <f>IF(Tim!GT36=FIT!$E$1,Tim!GT36,"")</f>
        <v/>
      </c>
      <c r="GQ34" s="185" t="str">
        <f>IF(Tim!GU36=FIT!$E$1,Tim!GU36,"")</f>
        <v/>
      </c>
      <c r="GR34" s="185" t="str">
        <f>IF(Tim!GV36=FIT!$E$1,Tim!GV36,"")</f>
        <v/>
      </c>
      <c r="GS34" s="185" t="str">
        <f>IF(Tim!GW36=FIT!$E$1,Tim!GW36,"")</f>
        <v/>
      </c>
      <c r="GT34" s="185" t="str">
        <f>IF(Tim!GX36=FIT!$E$1,Tim!GX36,"")</f>
        <v/>
      </c>
      <c r="GU34" s="185" t="str">
        <f>IF(Tim!GY36=FIT!$E$1,Tim!GY36,"")</f>
        <v/>
      </c>
      <c r="GV34" s="185" t="str">
        <f>IF(Tim!GZ36=FIT!$E$1,Tim!GZ36,"")</f>
        <v/>
      </c>
      <c r="GW34" s="185" t="str">
        <f>IF(Tim!HA36=FIT!$E$1,Tim!HA36,"")</f>
        <v/>
      </c>
      <c r="GX34" s="185" t="str">
        <f>IF(Tim!HB36=FIT!$E$1,Tim!HB36,"")</f>
        <v/>
      </c>
      <c r="GY34" s="185" t="str">
        <f>IF(Tim!HC36=FIT!$E$1,Tim!HC36,"")</f>
        <v/>
      </c>
      <c r="GZ34" s="185" t="str">
        <f>IF(Tim!HD36=FIT!$E$1,Tim!HD36,"")</f>
        <v/>
      </c>
      <c r="HA34" s="185" t="str">
        <f>IF(Tim!HE36=FIT!$E$1,Tim!HE36,"")</f>
        <v/>
      </c>
      <c r="HB34" s="185" t="str">
        <f>IF(Tim!HF36=FIT!$E$1,Tim!HF36,"")</f>
        <v/>
      </c>
      <c r="HC34" s="185" t="str">
        <f>IF(Tim!HG36=FIT!$E$1,Tim!HG36,"")</f>
        <v/>
      </c>
      <c r="HD34" s="185" t="str">
        <f>IF(Tim!HH36=FIT!$E$1,Tim!HH36,"")</f>
        <v/>
      </c>
      <c r="HE34" s="185" t="str">
        <f>IF(Tim!HI36=FIT!$E$1,Tim!HI36,"")</f>
        <v/>
      </c>
      <c r="HF34" s="185" t="str">
        <f>IF(Tim!HJ36=FIT!$E$1,Tim!HJ36,"")</f>
        <v/>
      </c>
      <c r="HG34" s="185" t="str">
        <f>IF(Tim!HK36=FIT!$E$1,Tim!HK36,"")</f>
        <v/>
      </c>
      <c r="HH34" s="185" t="str">
        <f>IF(Tim!HL36=FIT!$E$1,Tim!HL36,"")</f>
        <v/>
      </c>
      <c r="HI34" s="185" t="str">
        <f>IF(Tim!HM36=FIT!$E$1,Tim!HM36,"")</f>
        <v/>
      </c>
      <c r="HJ34" s="185" t="str">
        <f>IF(Tim!HN36=FIT!$E$1,Tim!HN36,"")</f>
        <v/>
      </c>
      <c r="HK34" s="185" t="str">
        <f>IF(Tim!HO36=FIT!$E$1,Tim!HO36,"")</f>
        <v/>
      </c>
      <c r="HL34" s="185" t="str">
        <f>IF(Tim!HP36=FIT!$E$1,Tim!HP36,"")</f>
        <v/>
      </c>
      <c r="HM34" s="185" t="str">
        <f>IF(Tim!HQ36=FIT!$E$1,Tim!HQ36,"")</f>
        <v/>
      </c>
      <c r="HN34" s="185" t="str">
        <f>IF(Tim!HR36=FIT!$E$1,Tim!HR36,"")</f>
        <v/>
      </c>
      <c r="HO34" s="185" t="str">
        <f>IF(Tim!HS36=FIT!$E$1,Tim!HS36,"")</f>
        <v/>
      </c>
      <c r="HP34" s="185" t="str">
        <f>IF(Tim!HT36=FIT!$E$1,Tim!HT36,"")</f>
        <v/>
      </c>
      <c r="HQ34" s="185" t="str">
        <f>IF(Tim!HU36=FIT!$E$1,Tim!HU36,"")</f>
        <v/>
      </c>
      <c r="HR34" s="185" t="str">
        <f>IF(Tim!HV36=FIT!$E$1,Tim!HV36,"")</f>
        <v/>
      </c>
      <c r="HS34" s="185" t="str">
        <f>IF(Tim!HW36=FIT!$E$1,Tim!HW36,"")</f>
        <v/>
      </c>
      <c r="HT34" s="185" t="str">
        <f>IF(Tim!HX36=FIT!$E$1,Tim!HX36,"")</f>
        <v/>
      </c>
      <c r="HU34" s="185" t="str">
        <f>IF(Tim!HY36=FIT!$E$1,Tim!HY36,"")</f>
        <v/>
      </c>
      <c r="HV34" s="185" t="str">
        <f>IF(Tim!HZ36=FIT!$E$1,Tim!HZ36,"")</f>
        <v/>
      </c>
      <c r="HW34" s="185" t="str">
        <f>IF(Tim!IA36=FIT!$E$1,Tim!IA36,"")</f>
        <v/>
      </c>
      <c r="HX34" s="185" t="str">
        <f>IF(Tim!IB36=FIT!$E$1,Tim!IB36,"")</f>
        <v/>
      </c>
      <c r="HY34" s="185" t="str">
        <f>IF(Tim!IC36=FIT!$E$1,Tim!IC36,"")</f>
        <v/>
      </c>
      <c r="HZ34" s="185" t="str">
        <f>IF(Tim!ID36=FIT!$E$1,Tim!ID36,"")</f>
        <v/>
      </c>
      <c r="IA34" s="185" t="str">
        <f>IF(Tim!IE36=FIT!$E$1,Tim!IE36,"")</f>
        <v/>
      </c>
      <c r="IB34" s="185" t="str">
        <f>IF(Tim!IF36=FIT!$E$1,Tim!IF36,"")</f>
        <v/>
      </c>
      <c r="IC34" s="185" t="str">
        <f>IF(Tim!IG36=FIT!$E$1,Tim!IG36,"")</f>
        <v/>
      </c>
      <c r="ID34" s="185" t="str">
        <f>IF(Tim!IH36=FIT!$E$1,Tim!IH36,"")</f>
        <v/>
      </c>
      <c r="IE34" s="185" t="str">
        <f>IF(Tim!II36=FIT!$E$1,Tim!II36,"")</f>
        <v/>
      </c>
      <c r="IF34" s="185" t="str">
        <f>IF(Tim!IJ36=FIT!$E$1,Tim!IJ36,"")</f>
        <v/>
      </c>
      <c r="IG34" s="185" t="str">
        <f>IF(Tim!IK36=FIT!$E$1,Tim!IK36,"")</f>
        <v/>
      </c>
      <c r="IH34" s="185" t="str">
        <f>IF(Tim!IL36=FIT!$E$1,Tim!IL36,"")</f>
        <v/>
      </c>
      <c r="II34" s="185" t="str">
        <f>IF(Tim!IM36=FIT!$E$1,Tim!IM36,"")</f>
        <v/>
      </c>
      <c r="IJ34" s="185" t="str">
        <f>IF(Tim!IN36=FIT!$E$1,Tim!IN36,"")</f>
        <v/>
      </c>
      <c r="IK34" s="185" t="str">
        <f>IF(Tim!IO36=FIT!$E$1,Tim!IO36,"")</f>
        <v/>
      </c>
      <c r="IL34" s="185" t="str">
        <f>IF(Tim!IP36=FIT!$E$1,Tim!IP36,"")</f>
        <v/>
      </c>
      <c r="IM34" s="185" t="str">
        <f>IF(Tim!IQ36=FIT!$E$1,Tim!IQ36,"")</f>
        <v/>
      </c>
      <c r="IN34" s="185" t="str">
        <f>IF(Tim!IR36=FIT!$E$1,Tim!IR36,"")</f>
        <v/>
      </c>
      <c r="IO34" s="185" t="str">
        <f>IF(Tim!IS36=FIT!$E$1,Tim!IS36,"")</f>
        <v/>
      </c>
      <c r="IP34" s="185" t="str">
        <f>IF(Tim!IT36=FIT!$E$1,Tim!IT36,"")</f>
        <v/>
      </c>
      <c r="IQ34" s="185" t="str">
        <f>IF(Tim!IU36=FIT!$E$1,Tim!IU36,"")</f>
        <v/>
      </c>
      <c r="IR34" s="185" t="str">
        <f>IF(Tim!IV36=FIT!$E$1,Tim!IV36,"")</f>
        <v/>
      </c>
      <c r="IS34" s="185" t="str">
        <f>IF(Tim!IW36=FIT!$E$1,Tim!IW36,"")</f>
        <v/>
      </c>
      <c r="IT34" s="185" t="str">
        <f>IF(Tim!IX36=FIT!$E$1,Tim!IX36,"")</f>
        <v/>
      </c>
      <c r="IU34" s="185" t="str">
        <f>IF(Tim!IY36=FIT!$E$1,Tim!IY36,"")</f>
        <v/>
      </c>
      <c r="IV34" s="185" t="str">
        <f>IF(Tim!IZ36=FIT!$E$1,Tim!IZ36,"")</f>
        <v/>
      </c>
      <c r="IW34" s="185" t="str">
        <f>IF(Tim!JA36=FIT!$E$1,Tim!JA36,"")</f>
        <v/>
      </c>
      <c r="IX34" s="185" t="str">
        <f>IF(Tim!JB36=FIT!$E$1,Tim!JB36,"")</f>
        <v/>
      </c>
      <c r="IY34" s="185" t="str">
        <f>IF(Tim!JC36=FIT!$E$1,Tim!JC36,"")</f>
        <v/>
      </c>
      <c r="IZ34" s="185" t="str">
        <f>IF(Tim!JD36=FIT!$E$1,Tim!JD36,"")</f>
        <v/>
      </c>
      <c r="JA34" s="185" t="str">
        <f>IF(Tim!JE36=FIT!$E$1,Tim!JE36,"")</f>
        <v/>
      </c>
      <c r="JB34" s="185" t="str">
        <f>IF(Tim!JF36=FIT!$E$1,Tim!JF36,"")</f>
        <v/>
      </c>
      <c r="JC34" s="185" t="str">
        <f>IF(Tim!JG36=FIT!$E$1,Tim!JG36,"")</f>
        <v/>
      </c>
      <c r="JD34" s="185" t="str">
        <f>IF(Tim!JH36=FIT!$E$1,Tim!JH36,"")</f>
        <v/>
      </c>
      <c r="JE34" s="185" t="str">
        <f>IF(Tim!JI36=FIT!$E$1,Tim!JI36,"")</f>
        <v/>
      </c>
      <c r="JF34" s="185" t="str">
        <f>IF(Tim!JJ36=FIT!$E$1,Tim!JJ36,"")</f>
        <v/>
      </c>
      <c r="JG34" s="185" t="str">
        <f>IF(Tim!JK36=FIT!$E$1,Tim!JK36,"")</f>
        <v/>
      </c>
      <c r="JH34" s="185" t="str">
        <f>IF(Tim!JL36=FIT!$E$1,Tim!JL36,"")</f>
        <v/>
      </c>
      <c r="JI34" s="185" t="str">
        <f>IF(Tim!JM36=FIT!$E$1,Tim!JM36,"")</f>
        <v/>
      </c>
      <c r="JJ34" s="185" t="str">
        <f>IF(Tim!JN36=FIT!$E$1,Tim!JN36,"")</f>
        <v/>
      </c>
      <c r="JK34" s="185" t="str">
        <f>IF(Tim!JO36=FIT!$E$1,Tim!JO36,"")</f>
        <v/>
      </c>
      <c r="JL34" s="185" t="str">
        <f>IF(Tim!JP36=FIT!$E$1,Tim!JP36,"")</f>
        <v/>
      </c>
      <c r="JM34" s="185" t="str">
        <f>IF(Tim!JQ36=FIT!$E$1,Tim!JQ36,"")</f>
        <v/>
      </c>
      <c r="JN34" s="185" t="str">
        <f>IF(Tim!JR36=FIT!$E$1,Tim!JR36,"")</f>
        <v/>
      </c>
      <c r="JO34" s="185" t="str">
        <f>IF(Tim!JS36=FIT!$E$1,Tim!JS36,"")</f>
        <v/>
      </c>
      <c r="JP34" s="185" t="str">
        <f>IF(Tim!JT36=FIT!$E$1,Tim!JT36,"")</f>
        <v/>
      </c>
      <c r="JQ34" s="185" t="str">
        <f>IF(Tim!JU36=FIT!$E$1,Tim!JU36,"")</f>
        <v/>
      </c>
      <c r="JR34" s="185" t="str">
        <f>IF(Tim!JV36=FIT!$E$1,Tim!JV36,"")</f>
        <v/>
      </c>
      <c r="JS34" s="185" t="str">
        <f>IF(Tim!JW36=FIT!$E$1,Tim!JW36,"")</f>
        <v/>
      </c>
      <c r="JT34" s="185" t="str">
        <f>IF(Tim!JX36=FIT!$E$1,Tim!JX36,"")</f>
        <v/>
      </c>
      <c r="JU34" s="185" t="str">
        <f>IF(Tim!JY36=FIT!$E$1,Tim!JY36,"")</f>
        <v/>
      </c>
      <c r="JV34" s="185" t="str">
        <f>IF(Tim!JZ36=FIT!$E$1,Tim!JZ36,"")</f>
        <v/>
      </c>
      <c r="JW34" s="185" t="str">
        <f>IF(Tim!KA36=FIT!$E$1,Tim!KA36,"")</f>
        <v/>
      </c>
      <c r="JX34" s="185" t="str">
        <f>IF(Tim!KB36=FIT!$E$1,Tim!KB36,"")</f>
        <v/>
      </c>
      <c r="JY34" s="185" t="str">
        <f>IF(Tim!KC36=FIT!$E$1,Tim!KC36,"")</f>
        <v/>
      </c>
      <c r="JZ34" s="185" t="str">
        <f>IF(Tim!KD36=FIT!$E$1,Tim!KD36,"")</f>
        <v/>
      </c>
      <c r="KA34" s="185" t="str">
        <f>IF(Tim!KE36=FIT!$E$1,Tim!KE36,"")</f>
        <v/>
      </c>
      <c r="KB34" s="185" t="str">
        <f>IF(Tim!KF36=FIT!$E$1,Tim!KF36,"")</f>
        <v/>
      </c>
      <c r="KC34" s="185" t="str">
        <f>IF(Tim!KG36=FIT!$E$1,Tim!KG36,"")</f>
        <v/>
      </c>
      <c r="KD34" s="185" t="str">
        <f>IF(Tim!KH36=FIT!$E$1,Tim!KH36,"")</f>
        <v/>
      </c>
      <c r="KE34" s="185" t="str">
        <f>IF(Tim!KI36=FIT!$E$1,Tim!KI36,"")</f>
        <v/>
      </c>
      <c r="KF34" s="185" t="str">
        <f>IF(Tim!KJ36=FIT!$E$1,Tim!KJ36,"")</f>
        <v/>
      </c>
      <c r="KG34" s="185" t="str">
        <f>IF(Tim!KK36=FIT!$E$1,Tim!KK36,"")</f>
        <v/>
      </c>
      <c r="KH34" s="185" t="str">
        <f>IF(Tim!KL36=FIT!$E$1,Tim!KL36,"")</f>
        <v/>
      </c>
      <c r="KI34" s="185" t="str">
        <f>IF(Tim!KM36=FIT!$E$1,Tim!KM36,"")</f>
        <v/>
      </c>
      <c r="KJ34" s="185" t="str">
        <f>IF(Tim!KN36=FIT!$E$1,Tim!KN36,"")</f>
        <v/>
      </c>
      <c r="KK34" s="185" t="str">
        <f>IF(Tim!KO36=FIT!$E$1,Tim!KO36,"")</f>
        <v/>
      </c>
      <c r="KL34" s="185" t="str">
        <f>IF(Tim!KP36=FIT!$E$1,Tim!KP36,"")</f>
        <v/>
      </c>
      <c r="KM34" s="185" t="str">
        <f>IF(Tim!KQ36=FIT!$E$1,Tim!KQ36,"")</f>
        <v/>
      </c>
      <c r="KN34" s="185" t="str">
        <f>IF(Tim!KR36=FIT!$E$1,Tim!KR36,"")</f>
        <v/>
      </c>
      <c r="KO34" s="185" t="str">
        <f>IF(Tim!KS36=FIT!$E$1,Tim!KS36,"")</f>
        <v/>
      </c>
      <c r="KP34" s="185" t="str">
        <f>IF(Tim!KT36=FIT!$E$1,Tim!KT36,"")</f>
        <v/>
      </c>
      <c r="KQ34" s="185" t="str">
        <f>IF(Tim!KU36=FIT!$E$1,Tim!KU36,"")</f>
        <v/>
      </c>
      <c r="KR34" s="185" t="str">
        <f>IF(Tim!KV36=FIT!$E$1,Tim!KV36,"")</f>
        <v/>
      </c>
      <c r="KS34" s="185" t="str">
        <f>IF(Tim!KW36=FIT!$E$1,Tim!KW36,"")</f>
        <v/>
      </c>
      <c r="KT34" s="185" t="str">
        <f>IF(Tim!KX36=FIT!$E$1,Tim!KX36,"")</f>
        <v/>
      </c>
      <c r="KU34" s="185" t="str">
        <f>IF(Tim!KY36=FIT!$E$1,Tim!KY36,"")</f>
        <v/>
      </c>
      <c r="KV34" s="185" t="str">
        <f>IF(Tim!KZ36=FIT!$E$1,Tim!KZ36,"")</f>
        <v/>
      </c>
      <c r="KW34" s="185" t="str">
        <f>IF(Tim!LA36=FIT!$E$1,Tim!LA36,"")</f>
        <v/>
      </c>
      <c r="KX34" s="185" t="str">
        <f>IF(Tim!LB36=FIT!$E$1,Tim!LB36,"")</f>
        <v/>
      </c>
      <c r="KY34" s="185" t="str">
        <f>IF(Tim!LC36=FIT!$E$1,Tim!LC36,"")</f>
        <v/>
      </c>
      <c r="KZ34" s="185" t="str">
        <f>IF(Tim!LD36=FIT!$E$1,Tim!LD36,"")</f>
        <v/>
      </c>
      <c r="LA34" s="185" t="str">
        <f>IF(Tim!LE36=FIT!$E$1,Tim!LE36,"")</f>
        <v/>
      </c>
      <c r="LB34" s="52">
        <v>0.593749999999999</v>
      </c>
    </row>
    <row r="35" spans="2:314" ht="10.5" customHeight="1">
      <c r="B35" s="49">
        <v>0.25</v>
      </c>
      <c r="C35" s="49">
        <v>0.25</v>
      </c>
      <c r="D35" s="49">
        <v>0.25</v>
      </c>
      <c r="E35" s="172">
        <v>0.60416666666666596</v>
      </c>
      <c r="F35" s="238" t="str">
        <f>IF(Tim!F37=FIT!$E$1,Tim!F37,"")</f>
        <v/>
      </c>
      <c r="G35" s="185" t="str">
        <f>IF(Tim!G37=FIT!$E$1,Tim!G37,"")</f>
        <v/>
      </c>
      <c r="H35" s="185" t="str">
        <f>IF(Tim!H37=FIT!$E$1,Tim!H37,"")</f>
        <v/>
      </c>
      <c r="I35" s="185" t="str">
        <f>IF(Tim!I37=FIT!$E$1,Tim!I37,"")</f>
        <v/>
      </c>
      <c r="J35" s="185" t="str">
        <f>IF(Tim!J37=FIT!$E$1,Tim!J37,"")</f>
        <v/>
      </c>
      <c r="K35" s="185" t="str">
        <f>IF(Tim!K37=FIT!$E$1,Tim!K37,"")</f>
        <v/>
      </c>
      <c r="L35" s="185" t="str">
        <f>IF(Tim!L37=FIT!$E$1,Tim!L37,"")</f>
        <v/>
      </c>
      <c r="M35" s="185" t="str">
        <f>IF(Tim!M37=FIT!$E$1,Tim!M37,"")</f>
        <v/>
      </c>
      <c r="N35" s="185" t="str">
        <f>IF(Tim!N37=FIT!$E$1,Tim!N37,"")</f>
        <v/>
      </c>
      <c r="O35" s="185" t="str">
        <f>IF(Tim!O37=FIT!$E$1,Tim!O37,"")</f>
        <v/>
      </c>
      <c r="P35" s="185" t="str">
        <f>IF(Tim!P37=FIT!$E$1,Tim!P37,"")</f>
        <v/>
      </c>
      <c r="Q35" s="185" t="str">
        <f>IF(Tim!Q37=FIT!$E$1,Tim!Q37,"")</f>
        <v/>
      </c>
      <c r="R35" s="185" t="str">
        <f>IF(Tim!R37=FIT!$E$1,Tim!R37,"")</f>
        <v/>
      </c>
      <c r="S35" s="185" t="str">
        <f>IF(Tim!S37=FIT!$E$1,Tim!S37,"")</f>
        <v/>
      </c>
      <c r="T35" s="185" t="str">
        <f>IF(Tim!T37=FIT!$E$1,Tim!T37,"")</f>
        <v/>
      </c>
      <c r="U35" s="185" t="str">
        <f>IF(Tim!U37=FIT!$E$1,Tim!U37,"")</f>
        <v/>
      </c>
      <c r="V35" s="185" t="str">
        <f>IF(Tim!W37=FIT!$E$1,Tim!W37,"")</f>
        <v/>
      </c>
      <c r="W35" s="185" t="str">
        <f>IF(Tim!X37=FIT!$E$1,Tim!X37,"")</f>
        <v/>
      </c>
      <c r="X35" s="185" t="str">
        <f>IF(Tim!Y37=FIT!$E$1,Tim!Y37,"")</f>
        <v/>
      </c>
      <c r="Y35" s="185" t="str">
        <f>IF(Tim!Z37=FIT!$E$1,Tim!Z37,"")</f>
        <v/>
      </c>
      <c r="Z35" s="185" t="str">
        <f>IF(Tim!AA37=FIT!$E$1,Tim!AA37,"")</f>
        <v/>
      </c>
      <c r="AA35" s="185" t="str">
        <f>IF(Tim!AB37=FIT!$E$1,Tim!AB37,"")</f>
        <v/>
      </c>
      <c r="AB35" s="185" t="str">
        <f>IF(Tim!AC37=FIT!$E$1,Tim!AC37,"")</f>
        <v/>
      </c>
      <c r="AC35" s="185" t="str">
        <f>IF(Tim!AD37=FIT!$E$1,Tim!AD37,"")</f>
        <v/>
      </c>
      <c r="AD35" s="185" t="str">
        <f>IF(Tim!AE37=FIT!$E$1,Tim!AE37,"")</f>
        <v/>
      </c>
      <c r="AE35" s="185" t="str">
        <f>IF(Tim!AF37=FIT!$E$1,Tim!AF37,"")</f>
        <v/>
      </c>
      <c r="AF35" s="185" t="str">
        <f>IF(Tim!AG37=FIT!$E$1,Tim!AG37,"")</f>
        <v/>
      </c>
      <c r="AG35" s="185" t="str">
        <f>IF(Tim!AH37=FIT!$E$1,Tim!AH37,"")</f>
        <v/>
      </c>
      <c r="AH35" s="185" t="str">
        <f>IF(Tim!AI37=FIT!$E$1,Tim!AI37,"")</f>
        <v/>
      </c>
      <c r="AI35" s="185" t="str">
        <f>IF(Tim!AJ37=FIT!$E$1,Tim!AJ37,"")</f>
        <v/>
      </c>
      <c r="AJ35" s="185" t="str">
        <f>IF(Tim!AK37=FIT!$E$1,Tim!AK37,"")</f>
        <v/>
      </c>
      <c r="AK35" s="185" t="str">
        <f>IF(Tim!AL37=FIT!$E$1,Tim!AL37,"")</f>
        <v/>
      </c>
      <c r="AL35" s="185" t="str">
        <f>IF(Tim!AM37=FIT!$E$1,Tim!AM37,"")</f>
        <v/>
      </c>
      <c r="AM35" s="185" t="str">
        <f>IF(Tim!AN37=FIT!$E$1,Tim!AN37,"")</f>
        <v/>
      </c>
      <c r="AN35" s="185" t="str">
        <f>IF(Tim!AO37=FIT!$E$1,Tim!AO37,"")</f>
        <v/>
      </c>
      <c r="AO35" s="185" t="str">
        <f>IF(Tim!AP37=FIT!$E$1,Tim!AP37,"")</f>
        <v/>
      </c>
      <c r="AP35" s="185" t="str">
        <f>IF(Tim!AQ37=FIT!$E$1,Tim!AQ37,"")</f>
        <v/>
      </c>
      <c r="AQ35" s="185" t="str">
        <f>IF(Tim!AR37=FIT!$E$1,Tim!AR37,"")</f>
        <v/>
      </c>
      <c r="AR35" s="185" t="str">
        <f>IF(Tim!AS37=FIT!$E$1,Tim!AS37,"")</f>
        <v/>
      </c>
      <c r="AS35" s="185" t="str">
        <f>IF(Tim!AT37=FIT!$E$1,Tim!AT37,"")</f>
        <v/>
      </c>
      <c r="AT35" s="185" t="str">
        <f>IF(Tim!AU37=FIT!$E$1,Tim!AU37,"")</f>
        <v/>
      </c>
      <c r="AU35" s="185" t="str">
        <f>IF(Tim!AV37=FIT!$E$1,Tim!AV37,"")</f>
        <v/>
      </c>
      <c r="AV35" s="185" t="str">
        <f>IF(Tim!AW37=FIT!$E$1,Tim!AW37,"")</f>
        <v/>
      </c>
      <c r="AW35" s="186" t="str">
        <f>IF(Tim!AX37=FIT!$E$1,Tim!AX37,"")</f>
        <v/>
      </c>
      <c r="AX35" s="243" t="str">
        <f>IF(Tim!AY37=FIT!$E$1,Tim!AY37,"")</f>
        <v/>
      </c>
      <c r="AY35" s="185" t="str">
        <f>IF(Tim!AZ37=FIT!$E$1,Tim!AZ37,"")</f>
        <v/>
      </c>
      <c r="AZ35" s="185" t="str">
        <f>IF(Tim!BA37=FIT!$E$1,Tim!BA37,"")</f>
        <v/>
      </c>
      <c r="BA35" s="185" t="str">
        <f>IF(Tim!BB37=FIT!$E$1,Tim!BB37,"")</f>
        <v/>
      </c>
      <c r="BB35" s="185" t="str">
        <f>IF(Tim!BC37=FIT!$E$1,Tim!BC37,"")</f>
        <v/>
      </c>
      <c r="BC35" s="185" t="str">
        <f>IF(Tim!BD37=FIT!$E$1,Tim!BD37,"")</f>
        <v/>
      </c>
      <c r="BD35" s="185" t="str">
        <f>IF(Tim!BE37=FIT!$E$1,Tim!BE37,"")</f>
        <v/>
      </c>
      <c r="BE35" s="185" t="str">
        <f>IF(Tim!BF37=FIT!$E$1,Tim!BF37,"")</f>
        <v/>
      </c>
      <c r="BF35" s="185" t="str">
        <f>IF(Tim!BG37=FIT!$E$1,Tim!BG37,"")</f>
        <v/>
      </c>
      <c r="BG35" s="185" t="str">
        <f>IF(Tim!BH37=FIT!$E$1,Tim!BH37,"")</f>
        <v/>
      </c>
      <c r="BH35" s="185" t="str">
        <f>IF(Tim!BI37=FIT!$E$1,Tim!BI37,"")</f>
        <v/>
      </c>
      <c r="BI35" s="185" t="str">
        <f>IF(Tim!BJ37=FIT!$E$1,Tim!BJ37,"")</f>
        <v/>
      </c>
      <c r="BJ35" s="185" t="str">
        <f>IF(Tim!BK37=FIT!$E$1,Tim!BK37,"")</f>
        <v/>
      </c>
      <c r="BK35" s="185" t="str">
        <f>IF(Tim!BL37=FIT!$E$1,Tim!BL37,"")</f>
        <v/>
      </c>
      <c r="BL35" s="185" t="str">
        <f>IF(Tim!BM37=FIT!$E$1,Tim!BM37,"")</f>
        <v/>
      </c>
      <c r="BM35" s="185" t="str">
        <f>IF(Tim!BN37=FIT!$E$1,Tim!BN37,"")</f>
        <v/>
      </c>
      <c r="BN35" s="185" t="str">
        <f>IF(Tim!BO37=FIT!$E$1,Tim!BO37,"")</f>
        <v/>
      </c>
      <c r="BO35" s="185" t="str">
        <f>IF(Tim!BP37=FIT!$E$1,Tim!BP37,"")</f>
        <v/>
      </c>
      <c r="BP35" s="185" t="str">
        <f>IF(Tim!BQ37=FIT!$E$1,Tim!BQ37,"")</f>
        <v/>
      </c>
      <c r="BQ35" s="185" t="str">
        <f>IF(Tim!BR37=FIT!$E$1,Tim!BR37,"")</f>
        <v/>
      </c>
      <c r="BR35" s="185" t="str">
        <f>IF(Tim!BS37=FIT!$E$1,Tim!BS37,"")</f>
        <v/>
      </c>
      <c r="BS35" s="185" t="str">
        <f>IF(Tim!BT37=FIT!$E$1,Tim!BT37,"")</f>
        <v/>
      </c>
      <c r="BT35" s="185" t="str">
        <f>IF(Tim!BU37=FIT!$E$1,Tim!BU37,"")</f>
        <v/>
      </c>
      <c r="BU35" s="185" t="str">
        <f>IF(Tim!BV37=FIT!$E$1,Tim!BV37,"")</f>
        <v/>
      </c>
      <c r="BV35" s="185" t="str">
        <f>IF(Tim!BW37=FIT!$E$1,Tim!BW37,"")</f>
        <v/>
      </c>
      <c r="BW35" s="185" t="str">
        <f>IF(Tim!BX37=FIT!$E$1,Tim!BX37,"")</f>
        <v/>
      </c>
      <c r="BX35" s="185" t="str">
        <f>IF(Tim!BY37=FIT!$E$1,Tim!BY37,"")</f>
        <v/>
      </c>
      <c r="BY35" s="185" t="str">
        <f>IF(Tim!BZ37=FIT!$E$1,Tim!BZ37,"")</f>
        <v/>
      </c>
      <c r="BZ35" s="185" t="str">
        <f>IF(Tim!CA37=FIT!$E$1,Tim!CA37,"")</f>
        <v/>
      </c>
      <c r="CA35" s="185" t="str">
        <f>IF(Tim!CB37=FIT!$E$1,Tim!CB37,"")</f>
        <v/>
      </c>
      <c r="CB35" s="185" t="str">
        <f>IF(Tim!CC37=FIT!$E$1,Tim!CC37,"")</f>
        <v/>
      </c>
      <c r="CC35" s="185" t="str">
        <f>IF(Tim!CD37=FIT!$E$1,Tim!CD37,"")</f>
        <v/>
      </c>
      <c r="CD35" s="185" t="str">
        <f>IF(Tim!CE37=FIT!$E$1,Tim!CE37,"")</f>
        <v/>
      </c>
      <c r="CE35" s="185" t="str">
        <f>IF(Tim!CF37=FIT!$E$1,Tim!CF37,"")</f>
        <v/>
      </c>
      <c r="CF35" s="185" t="str">
        <f>IF(Tim!CG37=FIT!$E$1,Tim!CG37,"")</f>
        <v/>
      </c>
      <c r="CG35" s="185" t="str">
        <f>IF(Tim!CH37=FIT!$E$1,Tim!CH37,"")</f>
        <v/>
      </c>
      <c r="CH35" s="185" t="str">
        <f>IF(Tim!CI37=FIT!$E$1,Tim!CI37,"")</f>
        <v/>
      </c>
      <c r="CI35" s="185" t="str">
        <f>IF(Tim!CJ37=FIT!$E$1,Tim!CJ37,"")</f>
        <v/>
      </c>
      <c r="CJ35" s="185" t="str">
        <f>IF(Tim!CK37=FIT!$E$1,Tim!CK37,"")</f>
        <v/>
      </c>
      <c r="CK35" s="185" t="str">
        <f>IF(Tim!CL37=FIT!$E$1,Tim!CL37,"")</f>
        <v/>
      </c>
      <c r="CL35" s="185" t="str">
        <f>IF(Tim!CM37=FIT!$E$1,Tim!CM37,"")</f>
        <v/>
      </c>
      <c r="CM35" s="185" t="str">
        <f>IF(Tim!CN37=FIT!$E$1,Tim!CN37,"")</f>
        <v/>
      </c>
      <c r="CN35" s="185" t="str">
        <f>IF(Tim!CO37=FIT!$E$1,Tim!CO37,"")</f>
        <v/>
      </c>
      <c r="CO35" s="185" t="str">
        <f>IF(Tim!CP37=FIT!$E$1,Tim!CP37,"")</f>
        <v/>
      </c>
      <c r="CP35" s="185" t="str">
        <f>IF(Tim!CQ37=FIT!$E$1,Tim!CQ37,"")</f>
        <v/>
      </c>
      <c r="CQ35" s="185" t="str">
        <f>IF(Tim!CR37=FIT!$E$1,Tim!CR37,"")</f>
        <v/>
      </c>
      <c r="CR35" s="185" t="str">
        <f>IF(Tim!CS37=FIT!$E$1,Tim!CS37,"")</f>
        <v/>
      </c>
      <c r="CS35" s="185" t="str">
        <f>IF(Tim!CT37=FIT!$E$1,Tim!CT37,"")</f>
        <v/>
      </c>
      <c r="CT35" s="185" t="str">
        <f>IF(Tim!CU37=FIT!$E$1,Tim!CU37,"")</f>
        <v/>
      </c>
      <c r="CU35" s="185" t="str">
        <f>IF(Tim!CV37=FIT!$E$1,Tim!CV37,"")</f>
        <v/>
      </c>
      <c r="CV35" s="185" t="str">
        <f>IF(Tim!CW37=FIT!$E$1,Tim!CW37,"")</f>
        <v/>
      </c>
      <c r="CW35" s="185" t="str">
        <f>IF(Tim!CX37=FIT!$E$1,Tim!CX37,"")</f>
        <v/>
      </c>
      <c r="CX35" s="185" t="str">
        <f>IF(Tim!CY37=FIT!$E$1,Tim!CY37,"")</f>
        <v/>
      </c>
      <c r="CY35" s="185" t="str">
        <f>IF(Tim!CZ37=FIT!$E$1,Tim!CZ37,"")</f>
        <v/>
      </c>
      <c r="CZ35" s="185" t="str">
        <f>IF(Tim!DA37=FIT!$E$1,Tim!DA37,"")</f>
        <v/>
      </c>
      <c r="DA35" s="185" t="str">
        <f>IF(Tim!DB37=FIT!$E$1,Tim!DB37,"")</f>
        <v/>
      </c>
      <c r="DB35" s="185" t="str">
        <f>IF(Tim!DC37=FIT!$E$1,Tim!DC37,"")</f>
        <v/>
      </c>
      <c r="DC35" s="185" t="str">
        <f>IF(Tim!DD37=FIT!$E$1,Tim!DD37,"")</f>
        <v/>
      </c>
      <c r="DD35" s="185" t="str">
        <f>IF(Tim!DE37=FIT!$E$1,Tim!DE37,"")</f>
        <v/>
      </c>
      <c r="DE35" s="185" t="str">
        <f>IF(Tim!DF37=FIT!$E$1,Tim!DF37,"")</f>
        <v/>
      </c>
      <c r="DF35" s="185" t="str">
        <f>IF(Tim!DG37=FIT!$E$1,Tim!DG37,"")</f>
        <v/>
      </c>
      <c r="DG35" s="185" t="str">
        <f>IF(Tim!DH37=FIT!$E$1,Tim!DH37,"")</f>
        <v/>
      </c>
      <c r="DH35" s="185" t="str">
        <f>IF(Tim!DI37=FIT!$E$1,Tim!DI37,"")</f>
        <v/>
      </c>
      <c r="DI35" s="185" t="str">
        <f>IF(Tim!DM37=FIT!$E$1,Tim!DM37,"")</f>
        <v/>
      </c>
      <c r="DJ35" s="185" t="str">
        <f>IF(Tim!DN37=FIT!$E$1,Tim!DN37,"")</f>
        <v/>
      </c>
      <c r="DK35" s="185" t="str">
        <f>IF(Tim!DO37=FIT!$E$1,Tim!DO37,"")</f>
        <v/>
      </c>
      <c r="DL35" s="185" t="str">
        <f>IF(Tim!DP37=FIT!$E$1,Tim!DP37,"")</f>
        <v/>
      </c>
      <c r="DM35" s="185" t="str">
        <f>IF(Tim!DQ37=FIT!$E$1,Tim!DQ37,"")</f>
        <v/>
      </c>
      <c r="DN35" s="185" t="str">
        <f>IF(Tim!DR37=FIT!$E$1,Tim!DR37,"")</f>
        <v/>
      </c>
      <c r="DO35" s="185" t="str">
        <f>IF(Tim!DS37=FIT!$E$1,Tim!DS37,"")</f>
        <v/>
      </c>
      <c r="DP35" s="185" t="str">
        <f>IF(Tim!DT37=FIT!$E$1,Tim!DT37,"")</f>
        <v/>
      </c>
      <c r="DQ35" s="185" t="str">
        <f>IF(Tim!DU37=FIT!$E$1,Tim!DU37,"")</f>
        <v/>
      </c>
      <c r="DR35" s="185" t="str">
        <f>IF(Tim!DV37=FIT!$E$1,Tim!DV37,"")</f>
        <v/>
      </c>
      <c r="DS35" s="185" t="str">
        <f>IF(Tim!DW37=FIT!$E$1,Tim!DW37,"")</f>
        <v/>
      </c>
      <c r="DT35" s="185" t="str">
        <f>IF(Tim!DX37=FIT!$E$1,Tim!DX37,"")</f>
        <v/>
      </c>
      <c r="DU35" s="185" t="str">
        <f>IF(Tim!DY37=FIT!$E$1,Tim!DY37,"")</f>
        <v/>
      </c>
      <c r="DV35" s="185" t="str">
        <f>IF(Tim!DZ37=FIT!$E$1,Tim!DZ37,"")</f>
        <v/>
      </c>
      <c r="DW35" s="185" t="str">
        <f>IF(Tim!EA37=FIT!$E$1,Tim!EA37,"")</f>
        <v/>
      </c>
      <c r="DX35" s="185" t="str">
        <f>IF(Tim!EB37=FIT!$E$1,Tim!EB37,"")</f>
        <v/>
      </c>
      <c r="DY35" s="185" t="str">
        <f>IF(Tim!EC37=FIT!$E$1,Tim!EC37,"")</f>
        <v/>
      </c>
      <c r="DZ35" s="185" t="str">
        <f>IF(Tim!ED37=FIT!$E$1,Tim!ED37,"")</f>
        <v/>
      </c>
      <c r="EA35" s="185" t="str">
        <f>IF(Tim!EE37=FIT!$E$1,Tim!EE37,"")</f>
        <v/>
      </c>
      <c r="EB35" s="185" t="str">
        <f>IF(Tim!EF37=FIT!$E$1,Tim!EF37,"")</f>
        <v/>
      </c>
      <c r="EC35" s="185" t="str">
        <f>IF(Tim!EG37=FIT!$E$1,Tim!EG37,"")</f>
        <v/>
      </c>
      <c r="ED35" s="185" t="str">
        <f>IF(Tim!EH37=FIT!$E$1,Tim!EH37,"")</f>
        <v/>
      </c>
      <c r="EE35" s="185" t="str">
        <f>IF(Tim!EI37=FIT!$E$1,Tim!EI37,"")</f>
        <v/>
      </c>
      <c r="EF35" s="185" t="str">
        <f>IF(Tim!EJ37=FIT!$E$1,Tim!EJ37,"")</f>
        <v/>
      </c>
      <c r="EG35" s="185" t="str">
        <f>IF(Tim!EK37=FIT!$E$1,Tim!EK37,"")</f>
        <v/>
      </c>
      <c r="EH35" s="185" t="str">
        <f>IF(Tim!EL37=FIT!$E$1,Tim!EL37,"")</f>
        <v/>
      </c>
      <c r="EI35" s="185" t="str">
        <f>IF(Tim!EM37=FIT!$E$1,Tim!EM37,"")</f>
        <v/>
      </c>
      <c r="EJ35" s="185" t="str">
        <f>IF(Tim!EN37=FIT!$E$1,Tim!EN37,"")</f>
        <v/>
      </c>
      <c r="EK35" s="185" t="str">
        <f>IF(Tim!EO37=FIT!$E$1,Tim!EO37,"")</f>
        <v/>
      </c>
      <c r="EL35" s="185" t="str">
        <f>IF(Tim!EP37=FIT!$E$1,Tim!EP37,"")</f>
        <v/>
      </c>
      <c r="EM35" s="185" t="str">
        <f>IF(Tim!EQ37=FIT!$E$1,Tim!EQ37,"")</f>
        <v/>
      </c>
      <c r="EN35" s="185" t="str">
        <f>IF(Tim!ER37=FIT!$E$1,Tim!ER37,"")</f>
        <v/>
      </c>
      <c r="EO35" s="185" t="str">
        <f>IF(Tim!ES37=FIT!$E$1,Tim!ES37,"")</f>
        <v/>
      </c>
      <c r="EP35" s="185" t="str">
        <f>IF(Tim!ET37=FIT!$E$1,Tim!ET37,"")</f>
        <v/>
      </c>
      <c r="EQ35" s="185" t="str">
        <f>IF(Tim!EU37=FIT!$E$1,Tim!EU37,"")</f>
        <v/>
      </c>
      <c r="ER35" s="185" t="str">
        <f>IF(Tim!EV37=FIT!$E$1,Tim!EV37,"")</f>
        <v/>
      </c>
      <c r="ES35" s="185" t="str">
        <f>IF(Tim!EW37=FIT!$E$1,Tim!EW37,"")</f>
        <v/>
      </c>
      <c r="ET35" s="185" t="str">
        <f>IF(Tim!EX37=FIT!$E$1,Tim!EX37,"")</f>
        <v/>
      </c>
      <c r="EU35" s="185" t="str">
        <f>IF(Tim!EY37=FIT!$E$1,Tim!EY37,"")</f>
        <v/>
      </c>
      <c r="EV35" s="185" t="str">
        <f>IF(Tim!EZ37=FIT!$E$1,Tim!EZ37,"")</f>
        <v/>
      </c>
      <c r="EW35" s="185" t="str">
        <f>IF(Tim!FA37=FIT!$E$1,Tim!FA37,"")</f>
        <v/>
      </c>
      <c r="EX35" s="185" t="str">
        <f>IF(Tim!FB37=FIT!$E$1,Tim!FB37,"")</f>
        <v/>
      </c>
      <c r="EY35" s="185" t="str">
        <f>IF(Tim!FC37=FIT!$E$1,Tim!FC37,"")</f>
        <v/>
      </c>
      <c r="EZ35" s="185" t="str">
        <f>IF(Tim!FD37=FIT!$E$1,Tim!FD37,"")</f>
        <v/>
      </c>
      <c r="FA35" s="185" t="str">
        <f>IF(Tim!FE37=FIT!$E$1,Tim!FE37,"")</f>
        <v/>
      </c>
      <c r="FB35" s="185" t="str">
        <f>IF(Tim!FF37=FIT!$E$1,Tim!FF37,"")</f>
        <v/>
      </c>
      <c r="FC35" s="185" t="str">
        <f>IF(Tim!FG37=FIT!$E$1,Tim!FG37,"")</f>
        <v/>
      </c>
      <c r="FD35" s="185" t="str">
        <f>IF(Tim!FH37=FIT!$E$1,Tim!FH37,"")</f>
        <v/>
      </c>
      <c r="FE35" s="185" t="str">
        <f>IF(Tim!FI37=FIT!$E$1,Tim!FI37,"")</f>
        <v/>
      </c>
      <c r="FF35" s="185" t="str">
        <f>IF(Tim!FJ37=FIT!$E$1,Tim!FJ37,"")</f>
        <v/>
      </c>
      <c r="FG35" s="185" t="str">
        <f>IF(Tim!FK37=FIT!$E$1,Tim!FK37,"")</f>
        <v/>
      </c>
      <c r="FH35" s="185" t="str">
        <f>IF(Tim!FL37=FIT!$E$1,Tim!FL37,"")</f>
        <v/>
      </c>
      <c r="FI35" s="185" t="str">
        <f>IF(Tim!FM37=FIT!$E$1,Tim!FM37,"")</f>
        <v/>
      </c>
      <c r="FJ35" s="185" t="str">
        <f>IF(Tim!FN37=FIT!$E$1,Tim!FN37,"")</f>
        <v/>
      </c>
      <c r="FK35" s="185" t="str">
        <f>IF(Tim!FO37=FIT!$E$1,Tim!FO37,"")</f>
        <v/>
      </c>
      <c r="FL35" s="185" t="str">
        <f>IF(Tim!FP37=FIT!$E$1,Tim!FP37,"")</f>
        <v/>
      </c>
      <c r="FM35" s="185" t="str">
        <f>IF(Tim!FQ37=FIT!$E$1,Tim!FQ37,"")</f>
        <v/>
      </c>
      <c r="FN35" s="185" t="str">
        <f>IF(Tim!FR37=FIT!$E$1,Tim!FR37,"")</f>
        <v/>
      </c>
      <c r="FO35" s="185" t="str">
        <f>IF(Tim!FS37=FIT!$E$1,Tim!FS37,"")</f>
        <v/>
      </c>
      <c r="FP35" s="185" t="str">
        <f>IF(Tim!FT37=FIT!$E$1,Tim!FT37,"")</f>
        <v/>
      </c>
      <c r="FQ35" s="185" t="str">
        <f>IF(Tim!FU37=FIT!$E$1,Tim!FU37,"")</f>
        <v/>
      </c>
      <c r="FR35" s="185" t="str">
        <f>IF(Tim!FV37=FIT!$E$1,Tim!FV37,"")</f>
        <v/>
      </c>
      <c r="FS35" s="185" t="str">
        <f>IF(Tim!FW37=FIT!$E$1,Tim!FW37,"")</f>
        <v/>
      </c>
      <c r="FT35" s="185" t="str">
        <f>IF(Tim!FX37=FIT!$E$1,Tim!FX37,"")</f>
        <v/>
      </c>
      <c r="FU35" s="185" t="str">
        <f>IF(Tim!FY37=FIT!$E$1,Tim!FY37,"")</f>
        <v/>
      </c>
      <c r="FV35" s="185" t="str">
        <f>IF(Tim!FZ37=FIT!$E$1,Tim!FZ37,"")</f>
        <v/>
      </c>
      <c r="FW35" s="185" t="str">
        <f>IF(Tim!GA37=FIT!$E$1,Tim!GA37,"")</f>
        <v/>
      </c>
      <c r="FX35" s="185" t="str">
        <f>IF(Tim!GB37=FIT!$E$1,Tim!GB37,"")</f>
        <v/>
      </c>
      <c r="FY35" s="185" t="str">
        <f>IF(Tim!GC37=FIT!$E$1,Tim!GC37,"")</f>
        <v/>
      </c>
      <c r="FZ35" s="185" t="str">
        <f>IF(Tim!GD37=FIT!$E$1,Tim!GD37,"")</f>
        <v/>
      </c>
      <c r="GA35" s="185" t="str">
        <f>IF(Tim!GE37=FIT!$E$1,Tim!GE37,"")</f>
        <v/>
      </c>
      <c r="GB35" s="185" t="str">
        <f>IF(Tim!GF37=FIT!$E$1,Tim!GF37,"")</f>
        <v/>
      </c>
      <c r="GC35" s="185" t="str">
        <f>IF(Tim!GG37=FIT!$E$1,Tim!GG37,"")</f>
        <v/>
      </c>
      <c r="GD35" s="185" t="str">
        <f>IF(Tim!GH37=FIT!$E$1,Tim!GH37,"")</f>
        <v/>
      </c>
      <c r="GE35" s="185" t="str">
        <f>IF(Tim!GI37=FIT!$E$1,Tim!GI37,"")</f>
        <v/>
      </c>
      <c r="GF35" s="185" t="str">
        <f>IF(Tim!GJ37=FIT!$E$1,Tim!GJ37,"")</f>
        <v/>
      </c>
      <c r="GG35" s="185" t="str">
        <f>IF(Tim!GK37=FIT!$E$1,Tim!GK37,"")</f>
        <v/>
      </c>
      <c r="GH35" s="185" t="str">
        <f>IF(Tim!GL37=FIT!$E$1,Tim!GL37,"")</f>
        <v/>
      </c>
      <c r="GI35" s="185" t="str">
        <f>IF(Tim!GM37=FIT!$E$1,Tim!GM37,"")</f>
        <v/>
      </c>
      <c r="GJ35" s="185" t="str">
        <f>IF(Tim!GN37=FIT!$E$1,Tim!GN37,"")</f>
        <v/>
      </c>
      <c r="GK35" s="185" t="str">
        <f>IF(Tim!GO37=FIT!$E$1,Tim!GO37,"")</f>
        <v/>
      </c>
      <c r="GL35" s="185" t="str">
        <f>IF(Tim!GP37=FIT!$E$1,Tim!GP37,"")</f>
        <v/>
      </c>
      <c r="GM35" s="185" t="str">
        <f>IF(Tim!GQ37=FIT!$E$1,Tim!GQ37,"")</f>
        <v/>
      </c>
      <c r="GN35" s="185" t="str">
        <f>IF(Tim!GR37=FIT!$E$1,Tim!GR37,"")</f>
        <v/>
      </c>
      <c r="GO35" s="185" t="str">
        <f>IF(Tim!GS37=FIT!$E$1,Tim!GS37,"")</f>
        <v/>
      </c>
      <c r="GP35" s="185" t="str">
        <f>IF(Tim!GT37=FIT!$E$1,Tim!GT37,"")</f>
        <v/>
      </c>
      <c r="GQ35" s="185" t="str">
        <f>IF(Tim!GU37=FIT!$E$1,Tim!GU37,"")</f>
        <v/>
      </c>
      <c r="GR35" s="185" t="str">
        <f>IF(Tim!GV37=FIT!$E$1,Tim!GV37,"")</f>
        <v/>
      </c>
      <c r="GS35" s="185" t="str">
        <f>IF(Tim!GW37=FIT!$E$1,Tim!GW37,"")</f>
        <v/>
      </c>
      <c r="GT35" s="185" t="str">
        <f>IF(Tim!GX37=FIT!$E$1,Tim!GX37,"")</f>
        <v/>
      </c>
      <c r="GU35" s="185" t="str">
        <f>IF(Tim!GY37=FIT!$E$1,Tim!GY37,"")</f>
        <v/>
      </c>
      <c r="GV35" s="185" t="str">
        <f>IF(Tim!GZ37=FIT!$E$1,Tim!GZ37,"")</f>
        <v/>
      </c>
      <c r="GW35" s="185" t="str">
        <f>IF(Tim!HA37=FIT!$E$1,Tim!HA37,"")</f>
        <v/>
      </c>
      <c r="GX35" s="185" t="str">
        <f>IF(Tim!HB37=FIT!$E$1,Tim!HB37,"")</f>
        <v/>
      </c>
      <c r="GY35" s="185" t="str">
        <f>IF(Tim!HC37=FIT!$E$1,Tim!HC37,"")</f>
        <v/>
      </c>
      <c r="GZ35" s="185" t="str">
        <f>IF(Tim!HD37=FIT!$E$1,Tim!HD37,"")</f>
        <v/>
      </c>
      <c r="HA35" s="185" t="str">
        <f>IF(Tim!HE37=FIT!$E$1,Tim!HE37,"")</f>
        <v/>
      </c>
      <c r="HB35" s="185" t="str">
        <f>IF(Tim!HF37=FIT!$E$1,Tim!HF37,"")</f>
        <v/>
      </c>
      <c r="HC35" s="185" t="str">
        <f>IF(Tim!HG37=FIT!$E$1,Tim!HG37,"")</f>
        <v/>
      </c>
      <c r="HD35" s="185" t="str">
        <f>IF(Tim!HH37=FIT!$E$1,Tim!HH37,"")</f>
        <v/>
      </c>
      <c r="HE35" s="185" t="str">
        <f>IF(Tim!HI37=FIT!$E$1,Tim!HI37,"")</f>
        <v/>
      </c>
      <c r="HF35" s="185" t="str">
        <f>IF(Tim!HJ37=FIT!$E$1,Tim!HJ37,"")</f>
        <v/>
      </c>
      <c r="HG35" s="185" t="str">
        <f>IF(Tim!HK37=FIT!$E$1,Tim!HK37,"")</f>
        <v/>
      </c>
      <c r="HH35" s="185" t="str">
        <f>IF(Tim!HL37=FIT!$E$1,Tim!HL37,"")</f>
        <v/>
      </c>
      <c r="HI35" s="185" t="str">
        <f>IF(Tim!HM37=FIT!$E$1,Tim!HM37,"")</f>
        <v/>
      </c>
      <c r="HJ35" s="185" t="str">
        <f>IF(Tim!HN37=FIT!$E$1,Tim!HN37,"")</f>
        <v/>
      </c>
      <c r="HK35" s="185" t="str">
        <f>IF(Tim!HO37=FIT!$E$1,Tim!HO37,"")</f>
        <v/>
      </c>
      <c r="HL35" s="185" t="str">
        <f>IF(Tim!HP37=FIT!$E$1,Tim!HP37,"")</f>
        <v/>
      </c>
      <c r="HM35" s="185" t="str">
        <f>IF(Tim!HQ37=FIT!$E$1,Tim!HQ37,"")</f>
        <v/>
      </c>
      <c r="HN35" s="185" t="str">
        <f>IF(Tim!HR37=FIT!$E$1,Tim!HR37,"")</f>
        <v/>
      </c>
      <c r="HO35" s="185" t="str">
        <f>IF(Tim!HS37=FIT!$E$1,Tim!HS37,"")</f>
        <v/>
      </c>
      <c r="HP35" s="185" t="str">
        <f>IF(Tim!HT37=FIT!$E$1,Tim!HT37,"")</f>
        <v/>
      </c>
      <c r="HQ35" s="185" t="str">
        <f>IF(Tim!HU37=FIT!$E$1,Tim!HU37,"")</f>
        <v/>
      </c>
      <c r="HR35" s="185" t="str">
        <f>IF(Tim!HV37=FIT!$E$1,Tim!HV37,"")</f>
        <v/>
      </c>
      <c r="HS35" s="185" t="str">
        <f>IF(Tim!HW37=FIT!$E$1,Tim!HW37,"")</f>
        <v/>
      </c>
      <c r="HT35" s="185" t="str">
        <f>IF(Tim!HX37=FIT!$E$1,Tim!HX37,"")</f>
        <v/>
      </c>
      <c r="HU35" s="185" t="str">
        <f>IF(Tim!HY37=FIT!$E$1,Tim!HY37,"")</f>
        <v/>
      </c>
      <c r="HV35" s="185" t="str">
        <f>IF(Tim!HZ37=FIT!$E$1,Tim!HZ37,"")</f>
        <v/>
      </c>
      <c r="HW35" s="185" t="str">
        <f>IF(Tim!IA37=FIT!$E$1,Tim!IA37,"")</f>
        <v/>
      </c>
      <c r="HX35" s="185" t="str">
        <f>IF(Tim!IB37=FIT!$E$1,Tim!IB37,"")</f>
        <v/>
      </c>
      <c r="HY35" s="185" t="str">
        <f>IF(Tim!IC37=FIT!$E$1,Tim!IC37,"")</f>
        <v/>
      </c>
      <c r="HZ35" s="185" t="str">
        <f>IF(Tim!ID37=FIT!$E$1,Tim!ID37,"")</f>
        <v/>
      </c>
      <c r="IA35" s="185" t="str">
        <f>IF(Tim!IE37=FIT!$E$1,Tim!IE37,"")</f>
        <v/>
      </c>
      <c r="IB35" s="185" t="str">
        <f>IF(Tim!IF37=FIT!$E$1,Tim!IF37,"")</f>
        <v/>
      </c>
      <c r="IC35" s="185" t="str">
        <f>IF(Tim!IG37=FIT!$E$1,Tim!IG37,"")</f>
        <v/>
      </c>
      <c r="ID35" s="185" t="str">
        <f>IF(Tim!IH37=FIT!$E$1,Tim!IH37,"")</f>
        <v/>
      </c>
      <c r="IE35" s="185" t="str">
        <f>IF(Tim!II37=FIT!$E$1,Tim!II37,"")</f>
        <v/>
      </c>
      <c r="IF35" s="185" t="str">
        <f>IF(Tim!IJ37=FIT!$E$1,Tim!IJ37,"")</f>
        <v/>
      </c>
      <c r="IG35" s="185" t="str">
        <f>IF(Tim!IK37=FIT!$E$1,Tim!IK37,"")</f>
        <v/>
      </c>
      <c r="IH35" s="185" t="str">
        <f>IF(Tim!IL37=FIT!$E$1,Tim!IL37,"")</f>
        <v/>
      </c>
      <c r="II35" s="185" t="str">
        <f>IF(Tim!IM37=FIT!$E$1,Tim!IM37,"")</f>
        <v/>
      </c>
      <c r="IJ35" s="185" t="str">
        <f>IF(Tim!IN37=FIT!$E$1,Tim!IN37,"")</f>
        <v/>
      </c>
      <c r="IK35" s="185" t="str">
        <f>IF(Tim!IO37=FIT!$E$1,Tim!IO37,"")</f>
        <v/>
      </c>
      <c r="IL35" s="185" t="str">
        <f>IF(Tim!IP37=FIT!$E$1,Tim!IP37,"")</f>
        <v/>
      </c>
      <c r="IM35" s="185" t="str">
        <f>IF(Tim!IQ37=FIT!$E$1,Tim!IQ37,"")</f>
        <v/>
      </c>
      <c r="IN35" s="185" t="str">
        <f>IF(Tim!IR37=FIT!$E$1,Tim!IR37,"")</f>
        <v/>
      </c>
      <c r="IO35" s="185" t="str">
        <f>IF(Tim!IS37=FIT!$E$1,Tim!IS37,"")</f>
        <v/>
      </c>
      <c r="IP35" s="185" t="str">
        <f>IF(Tim!IT37=FIT!$E$1,Tim!IT37,"")</f>
        <v/>
      </c>
      <c r="IQ35" s="185" t="str">
        <f>IF(Tim!IU37=FIT!$E$1,Tim!IU37,"")</f>
        <v/>
      </c>
      <c r="IR35" s="185" t="str">
        <f>IF(Tim!IV37=FIT!$E$1,Tim!IV37,"")</f>
        <v/>
      </c>
      <c r="IS35" s="185" t="str">
        <f>IF(Tim!IW37=FIT!$E$1,Tim!IW37,"")</f>
        <v/>
      </c>
      <c r="IT35" s="185" t="str">
        <f>IF(Tim!IX37=FIT!$E$1,Tim!IX37,"")</f>
        <v/>
      </c>
      <c r="IU35" s="185" t="str">
        <f>IF(Tim!IY37=FIT!$E$1,Tim!IY37,"")</f>
        <v/>
      </c>
      <c r="IV35" s="185" t="str">
        <f>IF(Tim!IZ37=FIT!$E$1,Tim!IZ37,"")</f>
        <v/>
      </c>
      <c r="IW35" s="185" t="str">
        <f>IF(Tim!JA37=FIT!$E$1,Tim!JA37,"")</f>
        <v/>
      </c>
      <c r="IX35" s="185" t="str">
        <f>IF(Tim!JB37=FIT!$E$1,Tim!JB37,"")</f>
        <v/>
      </c>
      <c r="IY35" s="185" t="str">
        <f>IF(Tim!JC37=FIT!$E$1,Tim!JC37,"")</f>
        <v/>
      </c>
      <c r="IZ35" s="185" t="str">
        <f>IF(Tim!JD37=FIT!$E$1,Tim!JD37,"")</f>
        <v/>
      </c>
      <c r="JA35" s="185" t="str">
        <f>IF(Tim!JE37=FIT!$E$1,Tim!JE37,"")</f>
        <v/>
      </c>
      <c r="JB35" s="185" t="str">
        <f>IF(Tim!JF37=FIT!$E$1,Tim!JF37,"")</f>
        <v/>
      </c>
      <c r="JC35" s="185" t="str">
        <f>IF(Tim!JG37=FIT!$E$1,Tim!JG37,"")</f>
        <v/>
      </c>
      <c r="JD35" s="185" t="str">
        <f>IF(Tim!JH37=FIT!$E$1,Tim!JH37,"")</f>
        <v/>
      </c>
      <c r="JE35" s="185" t="str">
        <f>IF(Tim!JI37=FIT!$E$1,Tim!JI37,"")</f>
        <v/>
      </c>
      <c r="JF35" s="185" t="str">
        <f>IF(Tim!JJ37=FIT!$E$1,Tim!JJ37,"")</f>
        <v/>
      </c>
      <c r="JG35" s="185" t="str">
        <f>IF(Tim!JK37=FIT!$E$1,Tim!JK37,"")</f>
        <v/>
      </c>
      <c r="JH35" s="185" t="str">
        <f>IF(Tim!JL37=FIT!$E$1,Tim!JL37,"")</f>
        <v/>
      </c>
      <c r="JI35" s="185" t="str">
        <f>IF(Tim!JM37=FIT!$E$1,Tim!JM37,"")</f>
        <v/>
      </c>
      <c r="JJ35" s="185" t="str">
        <f>IF(Tim!JN37=FIT!$E$1,Tim!JN37,"")</f>
        <v/>
      </c>
      <c r="JK35" s="185" t="str">
        <f>IF(Tim!JO37=FIT!$E$1,Tim!JO37,"")</f>
        <v/>
      </c>
      <c r="JL35" s="185" t="str">
        <f>IF(Tim!JP37=FIT!$E$1,Tim!JP37,"")</f>
        <v/>
      </c>
      <c r="JM35" s="185" t="str">
        <f>IF(Tim!JQ37=FIT!$E$1,Tim!JQ37,"")</f>
        <v/>
      </c>
      <c r="JN35" s="185" t="str">
        <f>IF(Tim!JR37=FIT!$E$1,Tim!JR37,"")</f>
        <v/>
      </c>
      <c r="JO35" s="185" t="str">
        <f>IF(Tim!JS37=FIT!$E$1,Tim!JS37,"")</f>
        <v/>
      </c>
      <c r="JP35" s="185" t="str">
        <f>IF(Tim!JT37=FIT!$E$1,Tim!JT37,"")</f>
        <v/>
      </c>
      <c r="JQ35" s="185" t="str">
        <f>IF(Tim!JU37=FIT!$E$1,Tim!JU37,"")</f>
        <v/>
      </c>
      <c r="JR35" s="185" t="str">
        <f>IF(Tim!JV37=FIT!$E$1,Tim!JV37,"")</f>
        <v/>
      </c>
      <c r="JS35" s="185" t="str">
        <f>IF(Tim!JW37=FIT!$E$1,Tim!JW37,"")</f>
        <v/>
      </c>
      <c r="JT35" s="185" t="str">
        <f>IF(Tim!JX37=FIT!$E$1,Tim!JX37,"")</f>
        <v/>
      </c>
      <c r="JU35" s="185" t="str">
        <f>IF(Tim!JY37=FIT!$E$1,Tim!JY37,"")</f>
        <v/>
      </c>
      <c r="JV35" s="185" t="str">
        <f>IF(Tim!JZ37=FIT!$E$1,Tim!JZ37,"")</f>
        <v/>
      </c>
      <c r="JW35" s="185" t="str">
        <f>IF(Tim!KA37=FIT!$E$1,Tim!KA37,"")</f>
        <v/>
      </c>
      <c r="JX35" s="185" t="str">
        <f>IF(Tim!KB37=FIT!$E$1,Tim!KB37,"")</f>
        <v/>
      </c>
      <c r="JY35" s="185" t="str">
        <f>IF(Tim!KC37=FIT!$E$1,Tim!KC37,"")</f>
        <v/>
      </c>
      <c r="JZ35" s="185" t="str">
        <f>IF(Tim!KD37=FIT!$E$1,Tim!KD37,"")</f>
        <v/>
      </c>
      <c r="KA35" s="185" t="str">
        <f>IF(Tim!KE37=FIT!$E$1,Tim!KE37,"")</f>
        <v/>
      </c>
      <c r="KB35" s="185" t="str">
        <f>IF(Tim!KF37=FIT!$E$1,Tim!KF37,"")</f>
        <v/>
      </c>
      <c r="KC35" s="185" t="str">
        <f>IF(Tim!KG37=FIT!$E$1,Tim!KG37,"")</f>
        <v/>
      </c>
      <c r="KD35" s="185" t="str">
        <f>IF(Tim!KH37=FIT!$E$1,Tim!KH37,"")</f>
        <v/>
      </c>
      <c r="KE35" s="185" t="str">
        <f>IF(Tim!KI37=FIT!$E$1,Tim!KI37,"")</f>
        <v/>
      </c>
      <c r="KF35" s="185" t="str">
        <f>IF(Tim!KJ37=FIT!$E$1,Tim!KJ37,"")</f>
        <v/>
      </c>
      <c r="KG35" s="185" t="str">
        <f>IF(Tim!KK37=FIT!$E$1,Tim!KK37,"")</f>
        <v/>
      </c>
      <c r="KH35" s="185" t="str">
        <f>IF(Tim!KL37=FIT!$E$1,Tim!KL37,"")</f>
        <v/>
      </c>
      <c r="KI35" s="185" t="str">
        <f>IF(Tim!KM37=FIT!$E$1,Tim!KM37,"")</f>
        <v/>
      </c>
      <c r="KJ35" s="185" t="str">
        <f>IF(Tim!KN37=FIT!$E$1,Tim!KN37,"")</f>
        <v/>
      </c>
      <c r="KK35" s="185" t="str">
        <f>IF(Tim!KO37=FIT!$E$1,Tim!KO37,"")</f>
        <v/>
      </c>
      <c r="KL35" s="185" t="str">
        <f>IF(Tim!KP37=FIT!$E$1,Tim!KP37,"")</f>
        <v/>
      </c>
      <c r="KM35" s="185" t="str">
        <f>IF(Tim!KQ37=FIT!$E$1,Tim!KQ37,"")</f>
        <v/>
      </c>
      <c r="KN35" s="185" t="str">
        <f>IF(Tim!KR37=FIT!$E$1,Tim!KR37,"")</f>
        <v/>
      </c>
      <c r="KO35" s="185" t="str">
        <f>IF(Tim!KS37=FIT!$E$1,Tim!KS37,"")</f>
        <v/>
      </c>
      <c r="KP35" s="185" t="str">
        <f>IF(Tim!KT37=FIT!$E$1,Tim!KT37,"")</f>
        <v/>
      </c>
      <c r="KQ35" s="185" t="str">
        <f>IF(Tim!KU37=FIT!$E$1,Tim!KU37,"")</f>
        <v/>
      </c>
      <c r="KR35" s="185" t="str">
        <f>IF(Tim!KV37=FIT!$E$1,Tim!KV37,"")</f>
        <v/>
      </c>
      <c r="KS35" s="185" t="str">
        <f>IF(Tim!KW37=FIT!$E$1,Tim!KW37,"")</f>
        <v/>
      </c>
      <c r="KT35" s="185" t="str">
        <f>IF(Tim!KX37=FIT!$E$1,Tim!KX37,"")</f>
        <v/>
      </c>
      <c r="KU35" s="185" t="str">
        <f>IF(Tim!KY37=FIT!$E$1,Tim!KY37,"")</f>
        <v/>
      </c>
      <c r="KV35" s="185" t="str">
        <f>IF(Tim!KZ37=FIT!$E$1,Tim!KZ37,"")</f>
        <v/>
      </c>
      <c r="KW35" s="185" t="str">
        <f>IF(Tim!LA37=FIT!$E$1,Tim!LA37,"")</f>
        <v/>
      </c>
      <c r="KX35" s="185" t="str">
        <f>IF(Tim!LB37=FIT!$E$1,Tim!LB37,"")</f>
        <v/>
      </c>
      <c r="KY35" s="185" t="str">
        <f>IF(Tim!LC37=FIT!$E$1,Tim!LC37,"")</f>
        <v/>
      </c>
      <c r="KZ35" s="185" t="str">
        <f>IF(Tim!LD37=FIT!$E$1,Tim!LD37,"")</f>
        <v/>
      </c>
      <c r="LA35" s="185" t="str">
        <f>IF(Tim!LE37=FIT!$E$1,Tim!LE37,"")</f>
        <v/>
      </c>
      <c r="LB35" s="52">
        <v>0.60416666666666596</v>
      </c>
    </row>
    <row r="36" spans="2:314" ht="10.5" customHeight="1">
      <c r="B36" s="49">
        <v>0.25</v>
      </c>
      <c r="C36" s="49">
        <v>0.25</v>
      </c>
      <c r="D36" s="49">
        <v>0.25</v>
      </c>
      <c r="E36" s="172">
        <v>0.61458333333333304</v>
      </c>
      <c r="F36" s="238" t="str">
        <f>IF(Tim!F38=FIT!$E$1,Tim!F38,"")</f>
        <v/>
      </c>
      <c r="G36" s="185" t="str">
        <f>IF(Tim!G38=FIT!$E$1,Tim!G38,"")</f>
        <v/>
      </c>
      <c r="H36" s="185" t="str">
        <f>IF(Tim!H38=FIT!$E$1,Tim!H38,"")</f>
        <v/>
      </c>
      <c r="I36" s="185" t="str">
        <f>IF(Tim!I38=FIT!$E$1,Tim!I38,"")</f>
        <v/>
      </c>
      <c r="J36" s="185" t="str">
        <f>IF(Tim!J38=FIT!$E$1,Tim!J38,"")</f>
        <v/>
      </c>
      <c r="K36" s="185" t="str">
        <f>IF(Tim!K38=FIT!$E$1,Tim!K38,"")</f>
        <v/>
      </c>
      <c r="L36" s="185" t="str">
        <f>IF(Tim!L38=FIT!$E$1,Tim!L38,"")</f>
        <v/>
      </c>
      <c r="M36" s="185" t="str">
        <f>IF(Tim!M38=FIT!$E$1,Tim!M38,"")</f>
        <v/>
      </c>
      <c r="N36" s="185" t="str">
        <f>IF(Tim!N38=FIT!$E$1,Tim!N38,"")</f>
        <v/>
      </c>
      <c r="O36" s="185" t="str">
        <f>IF(Tim!O38=FIT!$E$1,Tim!O38,"")</f>
        <v/>
      </c>
      <c r="P36" s="185" t="str">
        <f>IF(Tim!P38=FIT!$E$1,Tim!P38,"")</f>
        <v/>
      </c>
      <c r="Q36" s="185" t="str">
        <f>IF(Tim!Q38=FIT!$E$1,Tim!Q38,"")</f>
        <v/>
      </c>
      <c r="R36" s="185" t="str">
        <f>IF(Tim!R38=FIT!$E$1,Tim!R38,"")</f>
        <v/>
      </c>
      <c r="S36" s="185" t="str">
        <f>IF(Tim!S38=FIT!$E$1,Tim!S38,"")</f>
        <v/>
      </c>
      <c r="T36" s="185" t="str">
        <f>IF(Tim!T38=FIT!$E$1,Tim!T38,"")</f>
        <v/>
      </c>
      <c r="U36" s="185" t="str">
        <f>IF(Tim!U38=FIT!$E$1,Tim!U38,"")</f>
        <v/>
      </c>
      <c r="V36" s="185" t="str">
        <f>IF(Tim!W38=FIT!$E$1,Tim!W38,"")</f>
        <v/>
      </c>
      <c r="W36" s="185" t="str">
        <f>IF(Tim!X38=FIT!$E$1,Tim!X38,"")</f>
        <v/>
      </c>
      <c r="X36" s="185" t="str">
        <f>IF(Tim!Y38=FIT!$E$1,Tim!Y38,"")</f>
        <v/>
      </c>
      <c r="Y36" s="185" t="str">
        <f>IF(Tim!Z38=FIT!$E$1,Tim!Z38,"")</f>
        <v/>
      </c>
      <c r="Z36" s="185" t="str">
        <f>IF(Tim!AA38=FIT!$E$1,Tim!AA38,"")</f>
        <v/>
      </c>
      <c r="AA36" s="185" t="str">
        <f>IF(Tim!AB38=FIT!$E$1,Tim!AB38,"")</f>
        <v/>
      </c>
      <c r="AB36" s="185" t="str">
        <f>IF(Tim!AC38=FIT!$E$1,Tim!AC38,"")</f>
        <v/>
      </c>
      <c r="AC36" s="185" t="str">
        <f>IF(Tim!AD38=FIT!$E$1,Tim!AD38,"")</f>
        <v/>
      </c>
      <c r="AD36" s="185" t="str">
        <f>IF(Tim!AE38=FIT!$E$1,Tim!AE38,"")</f>
        <v/>
      </c>
      <c r="AE36" s="185" t="str">
        <f>IF(Tim!AF38=FIT!$E$1,Tim!AF38,"")</f>
        <v/>
      </c>
      <c r="AF36" s="185" t="str">
        <f>IF(Tim!AG38=FIT!$E$1,Tim!AG38,"")</f>
        <v/>
      </c>
      <c r="AG36" s="185" t="str">
        <f>IF(Tim!AH38=FIT!$E$1,Tim!AH38,"")</f>
        <v/>
      </c>
      <c r="AH36" s="185" t="str">
        <f>IF(Tim!AI38=FIT!$E$1,Tim!AI38,"")</f>
        <v/>
      </c>
      <c r="AI36" s="185" t="str">
        <f>IF(Tim!AJ38=FIT!$E$1,Tim!AJ38,"")</f>
        <v/>
      </c>
      <c r="AJ36" s="185" t="str">
        <f>IF(Tim!AK38=FIT!$E$1,Tim!AK38,"")</f>
        <v/>
      </c>
      <c r="AK36" s="185" t="str">
        <f>IF(Tim!AL38=FIT!$E$1,Tim!AL38,"")</f>
        <v/>
      </c>
      <c r="AL36" s="185" t="str">
        <f>IF(Tim!AM38=FIT!$E$1,Tim!AM38,"")</f>
        <v/>
      </c>
      <c r="AM36" s="185" t="str">
        <f>IF(Tim!AN38=FIT!$E$1,Tim!AN38,"")</f>
        <v/>
      </c>
      <c r="AN36" s="185" t="str">
        <f>IF(Tim!AO38=FIT!$E$1,Tim!AO38,"")</f>
        <v/>
      </c>
      <c r="AO36" s="185" t="str">
        <f>IF(Tim!AP38=FIT!$E$1,Tim!AP38,"")</f>
        <v/>
      </c>
      <c r="AP36" s="185" t="str">
        <f>IF(Tim!AQ38=FIT!$E$1,Tim!AQ38,"")</f>
        <v/>
      </c>
      <c r="AQ36" s="185" t="str">
        <f>IF(Tim!AR38=FIT!$E$1,Tim!AR38,"")</f>
        <v/>
      </c>
      <c r="AR36" s="185" t="str">
        <f>IF(Tim!AS38=FIT!$E$1,Tim!AS38,"")</f>
        <v/>
      </c>
      <c r="AS36" s="185" t="str">
        <f>IF(Tim!AT38=FIT!$E$1,Tim!AT38,"")</f>
        <v/>
      </c>
      <c r="AT36" s="185" t="str">
        <f>IF(Tim!AU38=FIT!$E$1,Tim!AU38,"")</f>
        <v/>
      </c>
      <c r="AU36" s="185" t="str">
        <f>IF(Tim!AV38=FIT!$E$1,Tim!AV38,"")</f>
        <v/>
      </c>
      <c r="AV36" s="185" t="str">
        <f>IF(Tim!AW38=FIT!$E$1,Tim!AW38,"")</f>
        <v/>
      </c>
      <c r="AW36" s="186" t="str">
        <f>IF(Tim!AX38=FIT!$E$1,Tim!AX38,"")</f>
        <v/>
      </c>
      <c r="AX36" s="243" t="str">
        <f>IF(Tim!AY38=FIT!$E$1,Tim!AY38,"")</f>
        <v/>
      </c>
      <c r="AY36" s="185" t="str">
        <f>IF(Tim!AZ38=FIT!$E$1,Tim!AZ38,"")</f>
        <v/>
      </c>
      <c r="AZ36" s="185" t="str">
        <f>IF(Tim!BA38=FIT!$E$1,Tim!BA38,"")</f>
        <v/>
      </c>
      <c r="BA36" s="185" t="str">
        <f>IF(Tim!BB38=FIT!$E$1,Tim!BB38,"")</f>
        <v/>
      </c>
      <c r="BB36" s="185" t="str">
        <f>IF(Tim!BC38=FIT!$E$1,Tim!BC38,"")</f>
        <v/>
      </c>
      <c r="BC36" s="185" t="str">
        <f>IF(Tim!BD38=FIT!$E$1,Tim!BD38,"")</f>
        <v/>
      </c>
      <c r="BD36" s="185" t="str">
        <f>IF(Tim!BE38=FIT!$E$1,Tim!BE38,"")</f>
        <v/>
      </c>
      <c r="BE36" s="185" t="str">
        <f>IF(Tim!BF38=FIT!$E$1,Tim!BF38,"")</f>
        <v/>
      </c>
      <c r="BF36" s="185" t="str">
        <f>IF(Tim!BG38=FIT!$E$1,Tim!BG38,"")</f>
        <v/>
      </c>
      <c r="BG36" s="185" t="str">
        <f>IF(Tim!BH38=FIT!$E$1,Tim!BH38,"")</f>
        <v/>
      </c>
      <c r="BH36" s="185" t="str">
        <f>IF(Tim!BI38=FIT!$E$1,Tim!BI38,"")</f>
        <v/>
      </c>
      <c r="BI36" s="185" t="str">
        <f>IF(Tim!BJ38=FIT!$E$1,Tim!BJ38,"")</f>
        <v/>
      </c>
      <c r="BJ36" s="185" t="str">
        <f>IF(Tim!BK38=FIT!$E$1,Tim!BK38,"")</f>
        <v/>
      </c>
      <c r="BK36" s="185" t="str">
        <f>IF(Tim!BL38=FIT!$E$1,Tim!BL38,"")</f>
        <v/>
      </c>
      <c r="BL36" s="185" t="str">
        <f>IF(Tim!BM38=FIT!$E$1,Tim!BM38,"")</f>
        <v/>
      </c>
      <c r="BM36" s="185" t="str">
        <f>IF(Tim!BN38=FIT!$E$1,Tim!BN38,"")</f>
        <v/>
      </c>
      <c r="BN36" s="185" t="str">
        <f>IF(Tim!BO38=FIT!$E$1,Tim!BO38,"")</f>
        <v/>
      </c>
      <c r="BO36" s="185" t="str">
        <f>IF(Tim!BP38=FIT!$E$1,Tim!BP38,"")</f>
        <v/>
      </c>
      <c r="BP36" s="185" t="str">
        <f>IF(Tim!BQ38=FIT!$E$1,Tim!BQ38,"")</f>
        <v/>
      </c>
      <c r="BQ36" s="185" t="str">
        <f>IF(Tim!BR38=FIT!$E$1,Tim!BR38,"")</f>
        <v/>
      </c>
      <c r="BR36" s="185" t="str">
        <f>IF(Tim!BS38=FIT!$E$1,Tim!BS38,"")</f>
        <v/>
      </c>
      <c r="BS36" s="185" t="str">
        <f>IF(Tim!BT38=FIT!$E$1,Tim!BT38,"")</f>
        <v/>
      </c>
      <c r="BT36" s="185" t="str">
        <f>IF(Tim!BU38=FIT!$E$1,Tim!BU38,"")</f>
        <v/>
      </c>
      <c r="BU36" s="185" t="str">
        <f>IF(Tim!BV38=FIT!$E$1,Tim!BV38,"")</f>
        <v/>
      </c>
      <c r="BV36" s="185" t="str">
        <f>IF(Tim!BW38=FIT!$E$1,Tim!BW38,"")</f>
        <v/>
      </c>
      <c r="BW36" s="185" t="str">
        <f>IF(Tim!BX38=FIT!$E$1,Tim!BX38,"")</f>
        <v/>
      </c>
      <c r="BX36" s="185" t="str">
        <f>IF(Tim!BY38=FIT!$E$1,Tim!BY38,"")</f>
        <v/>
      </c>
      <c r="BY36" s="185" t="str">
        <f>IF(Tim!BZ38=FIT!$E$1,Tim!BZ38,"")</f>
        <v/>
      </c>
      <c r="BZ36" s="185" t="str">
        <f>IF(Tim!CA38=FIT!$E$1,Tim!CA38,"")</f>
        <v/>
      </c>
      <c r="CA36" s="185" t="str">
        <f>IF(Tim!CB38=FIT!$E$1,Tim!CB38,"")</f>
        <v/>
      </c>
      <c r="CB36" s="185" t="str">
        <f>IF(Tim!CC38=FIT!$E$1,Tim!CC38,"")</f>
        <v/>
      </c>
      <c r="CC36" s="185" t="str">
        <f>IF(Tim!CD38=FIT!$E$1,Tim!CD38,"")</f>
        <v/>
      </c>
      <c r="CD36" s="185" t="str">
        <f>IF(Tim!CE38=FIT!$E$1,Tim!CE38,"")</f>
        <v/>
      </c>
      <c r="CE36" s="185" t="str">
        <f>IF(Tim!CF38=FIT!$E$1,Tim!CF38,"")</f>
        <v/>
      </c>
      <c r="CF36" s="185" t="str">
        <f>IF(Tim!CG38=FIT!$E$1,Tim!CG38,"")</f>
        <v/>
      </c>
      <c r="CG36" s="185" t="str">
        <f>IF(Tim!CH38=FIT!$E$1,Tim!CH38,"")</f>
        <v/>
      </c>
      <c r="CH36" s="185" t="str">
        <f>IF(Tim!CI38=FIT!$E$1,Tim!CI38,"")</f>
        <v/>
      </c>
      <c r="CI36" s="185" t="str">
        <f>IF(Tim!CJ38=FIT!$E$1,Tim!CJ38,"")</f>
        <v/>
      </c>
      <c r="CJ36" s="185" t="str">
        <f>IF(Tim!CK38=FIT!$E$1,Tim!CK38,"")</f>
        <v/>
      </c>
      <c r="CK36" s="185" t="str">
        <f>IF(Tim!CL38=FIT!$E$1,Tim!CL38,"")</f>
        <v/>
      </c>
      <c r="CL36" s="185" t="str">
        <f>IF(Tim!CM38=FIT!$E$1,Tim!CM38,"")</f>
        <v/>
      </c>
      <c r="CM36" s="185" t="str">
        <f>IF(Tim!CN38=FIT!$E$1,Tim!CN38,"")</f>
        <v/>
      </c>
      <c r="CN36" s="185" t="str">
        <f>IF(Tim!CO38=FIT!$E$1,Tim!CO38,"")</f>
        <v/>
      </c>
      <c r="CO36" s="185" t="str">
        <f>IF(Tim!CP38=FIT!$E$1,Tim!CP38,"")</f>
        <v/>
      </c>
      <c r="CP36" s="185" t="str">
        <f>IF(Tim!CQ38=FIT!$E$1,Tim!CQ38,"")</f>
        <v/>
      </c>
      <c r="CQ36" s="185" t="str">
        <f>IF(Tim!CR38=FIT!$E$1,Tim!CR38,"")</f>
        <v/>
      </c>
      <c r="CR36" s="185" t="str">
        <f>IF(Tim!CS38=FIT!$E$1,Tim!CS38,"")</f>
        <v/>
      </c>
      <c r="CS36" s="185" t="str">
        <f>IF(Tim!CT38=FIT!$E$1,Tim!CT38,"")</f>
        <v/>
      </c>
      <c r="CT36" s="185" t="str">
        <f>IF(Tim!CU38=FIT!$E$1,Tim!CU38,"")</f>
        <v/>
      </c>
      <c r="CU36" s="185" t="str">
        <f>IF(Tim!CV38=FIT!$E$1,Tim!CV38,"")</f>
        <v/>
      </c>
      <c r="CV36" s="185" t="str">
        <f>IF(Tim!CW38=FIT!$E$1,Tim!CW38,"")</f>
        <v/>
      </c>
      <c r="CW36" s="185" t="str">
        <f>IF(Tim!CX38=FIT!$E$1,Tim!CX38,"")</f>
        <v/>
      </c>
      <c r="CX36" s="185" t="str">
        <f>IF(Tim!CY38=FIT!$E$1,Tim!CY38,"")</f>
        <v/>
      </c>
      <c r="CY36" s="185" t="str">
        <f>IF(Tim!CZ38=FIT!$E$1,Tim!CZ38,"")</f>
        <v/>
      </c>
      <c r="CZ36" s="185" t="str">
        <f>IF(Tim!DA38=FIT!$E$1,Tim!DA38,"")</f>
        <v/>
      </c>
      <c r="DA36" s="185" t="str">
        <f>IF(Tim!DB38=FIT!$E$1,Tim!DB38,"")</f>
        <v/>
      </c>
      <c r="DB36" s="185" t="str">
        <f>IF(Tim!DC38=FIT!$E$1,Tim!DC38,"")</f>
        <v/>
      </c>
      <c r="DC36" s="185" t="str">
        <f>IF(Tim!DD38=FIT!$E$1,Tim!DD38,"")</f>
        <v/>
      </c>
      <c r="DD36" s="185" t="str">
        <f>IF(Tim!DE38=FIT!$E$1,Tim!DE38,"")</f>
        <v/>
      </c>
      <c r="DE36" s="185" t="str">
        <f>IF(Tim!DF38=FIT!$E$1,Tim!DF38,"")</f>
        <v/>
      </c>
      <c r="DF36" s="185" t="str">
        <f>IF(Tim!DG38=FIT!$E$1,Tim!DG38,"")</f>
        <v/>
      </c>
      <c r="DG36" s="185" t="str">
        <f>IF(Tim!DH38=FIT!$E$1,Tim!DH38,"")</f>
        <v/>
      </c>
      <c r="DH36" s="185" t="str">
        <f>IF(Tim!DI38=FIT!$E$1,Tim!DI38,"")</f>
        <v/>
      </c>
      <c r="DI36" s="185" t="str">
        <f>IF(Tim!DM38=FIT!$E$1,Tim!DM38,"")</f>
        <v/>
      </c>
      <c r="DJ36" s="185" t="str">
        <f>IF(Tim!DN38=FIT!$E$1,Tim!DN38,"")</f>
        <v/>
      </c>
      <c r="DK36" s="185" t="str">
        <f>IF(Tim!DO38=FIT!$E$1,Tim!DO38,"")</f>
        <v/>
      </c>
      <c r="DL36" s="185" t="str">
        <f>IF(Tim!DP38=FIT!$E$1,Tim!DP38,"")</f>
        <v/>
      </c>
      <c r="DM36" s="185" t="str">
        <f>IF(Tim!DQ38=FIT!$E$1,Tim!DQ38,"")</f>
        <v/>
      </c>
      <c r="DN36" s="185" t="str">
        <f>IF(Tim!DR38=FIT!$E$1,Tim!DR38,"")</f>
        <v/>
      </c>
      <c r="DO36" s="185" t="str">
        <f>IF(Tim!DS38=FIT!$E$1,Tim!DS38,"")</f>
        <v/>
      </c>
      <c r="DP36" s="185" t="str">
        <f>IF(Tim!DT38=FIT!$E$1,Tim!DT38,"")</f>
        <v/>
      </c>
      <c r="DQ36" s="185" t="str">
        <f>IF(Tim!DU38=FIT!$E$1,Tim!DU38,"")</f>
        <v/>
      </c>
      <c r="DR36" s="185" t="str">
        <f>IF(Tim!DV38=FIT!$E$1,Tim!DV38,"")</f>
        <v/>
      </c>
      <c r="DS36" s="185" t="str">
        <f>IF(Tim!DW38=FIT!$E$1,Tim!DW38,"")</f>
        <v/>
      </c>
      <c r="DT36" s="185" t="str">
        <f>IF(Tim!DX38=FIT!$E$1,Tim!DX38,"")</f>
        <v/>
      </c>
      <c r="DU36" s="185" t="str">
        <f>IF(Tim!DY38=FIT!$E$1,Tim!DY38,"")</f>
        <v/>
      </c>
      <c r="DV36" s="185" t="str">
        <f>IF(Tim!DZ38=FIT!$E$1,Tim!DZ38,"")</f>
        <v/>
      </c>
      <c r="DW36" s="185" t="str">
        <f>IF(Tim!EA38=FIT!$E$1,Tim!EA38,"")</f>
        <v/>
      </c>
      <c r="DX36" s="185" t="str">
        <f>IF(Tim!EB38=FIT!$E$1,Tim!EB38,"")</f>
        <v/>
      </c>
      <c r="DY36" s="185" t="str">
        <f>IF(Tim!EC38=FIT!$E$1,Tim!EC38,"")</f>
        <v/>
      </c>
      <c r="DZ36" s="185" t="str">
        <f>IF(Tim!ED38=FIT!$E$1,Tim!ED38,"")</f>
        <v/>
      </c>
      <c r="EA36" s="185" t="str">
        <f>IF(Tim!EE38=FIT!$E$1,Tim!EE38,"")</f>
        <v/>
      </c>
      <c r="EB36" s="185" t="str">
        <f>IF(Tim!EF38=FIT!$E$1,Tim!EF38,"")</f>
        <v/>
      </c>
      <c r="EC36" s="185" t="str">
        <f>IF(Tim!EG38=FIT!$E$1,Tim!EG38,"")</f>
        <v/>
      </c>
      <c r="ED36" s="185" t="str">
        <f>IF(Tim!EH38=FIT!$E$1,Tim!EH38,"")</f>
        <v/>
      </c>
      <c r="EE36" s="185" t="str">
        <f>IF(Tim!EI38=FIT!$E$1,Tim!EI38,"")</f>
        <v/>
      </c>
      <c r="EF36" s="185" t="str">
        <f>IF(Tim!EJ38=FIT!$E$1,Tim!EJ38,"")</f>
        <v/>
      </c>
      <c r="EG36" s="185" t="str">
        <f>IF(Tim!EK38=FIT!$E$1,Tim!EK38,"")</f>
        <v/>
      </c>
      <c r="EH36" s="185" t="str">
        <f>IF(Tim!EL38=FIT!$E$1,Tim!EL38,"")</f>
        <v/>
      </c>
      <c r="EI36" s="185" t="str">
        <f>IF(Tim!EM38=FIT!$E$1,Tim!EM38,"")</f>
        <v/>
      </c>
      <c r="EJ36" s="185" t="str">
        <f>IF(Tim!EN38=FIT!$E$1,Tim!EN38,"")</f>
        <v/>
      </c>
      <c r="EK36" s="185" t="str">
        <f>IF(Tim!EO38=FIT!$E$1,Tim!EO38,"")</f>
        <v/>
      </c>
      <c r="EL36" s="185" t="str">
        <f>IF(Tim!EP38=FIT!$E$1,Tim!EP38,"")</f>
        <v/>
      </c>
      <c r="EM36" s="185" t="str">
        <f>IF(Tim!EQ38=FIT!$E$1,Tim!EQ38,"")</f>
        <v/>
      </c>
      <c r="EN36" s="185" t="str">
        <f>IF(Tim!ER38=FIT!$E$1,Tim!ER38,"")</f>
        <v/>
      </c>
      <c r="EO36" s="185" t="str">
        <f>IF(Tim!ES38=FIT!$E$1,Tim!ES38,"")</f>
        <v/>
      </c>
      <c r="EP36" s="185" t="str">
        <f>IF(Tim!ET38=FIT!$E$1,Tim!ET38,"")</f>
        <v/>
      </c>
      <c r="EQ36" s="185" t="str">
        <f>IF(Tim!EU38=FIT!$E$1,Tim!EU38,"")</f>
        <v/>
      </c>
      <c r="ER36" s="185" t="str">
        <f>IF(Tim!EV38=FIT!$E$1,Tim!EV38,"")</f>
        <v/>
      </c>
      <c r="ES36" s="185" t="str">
        <f>IF(Tim!EW38=FIT!$E$1,Tim!EW38,"")</f>
        <v/>
      </c>
      <c r="ET36" s="185" t="str">
        <f>IF(Tim!EX38=FIT!$E$1,Tim!EX38,"")</f>
        <v/>
      </c>
      <c r="EU36" s="185" t="str">
        <f>IF(Tim!EY38=FIT!$E$1,Tim!EY38,"")</f>
        <v/>
      </c>
      <c r="EV36" s="185" t="str">
        <f>IF(Tim!EZ38=FIT!$E$1,Tim!EZ38,"")</f>
        <v/>
      </c>
      <c r="EW36" s="185" t="str">
        <f>IF(Tim!FA38=FIT!$E$1,Tim!FA38,"")</f>
        <v/>
      </c>
      <c r="EX36" s="185" t="str">
        <f>IF(Tim!FB38=FIT!$E$1,Tim!FB38,"")</f>
        <v/>
      </c>
      <c r="EY36" s="185" t="str">
        <f>IF(Tim!FC38=FIT!$E$1,Tim!FC38,"")</f>
        <v/>
      </c>
      <c r="EZ36" s="185" t="str">
        <f>IF(Tim!FD38=FIT!$E$1,Tim!FD38,"")</f>
        <v/>
      </c>
      <c r="FA36" s="185" t="str">
        <f>IF(Tim!FE38=FIT!$E$1,Tim!FE38,"")</f>
        <v/>
      </c>
      <c r="FB36" s="185" t="str">
        <f>IF(Tim!FF38=FIT!$E$1,Tim!FF38,"")</f>
        <v/>
      </c>
      <c r="FC36" s="185" t="str">
        <f>IF(Tim!FG38=FIT!$E$1,Tim!FG38,"")</f>
        <v/>
      </c>
      <c r="FD36" s="185" t="str">
        <f>IF(Tim!FH38=FIT!$E$1,Tim!FH38,"")</f>
        <v/>
      </c>
      <c r="FE36" s="185" t="str">
        <f>IF(Tim!FI38=FIT!$E$1,Tim!FI38,"")</f>
        <v/>
      </c>
      <c r="FF36" s="185" t="str">
        <f>IF(Tim!FJ38=FIT!$E$1,Tim!FJ38,"")</f>
        <v/>
      </c>
      <c r="FG36" s="185" t="str">
        <f>IF(Tim!FK38=FIT!$E$1,Tim!FK38,"")</f>
        <v/>
      </c>
      <c r="FH36" s="185" t="str">
        <f>IF(Tim!FL38=FIT!$E$1,Tim!FL38,"")</f>
        <v/>
      </c>
      <c r="FI36" s="185" t="str">
        <f>IF(Tim!FM38=FIT!$E$1,Tim!FM38,"")</f>
        <v/>
      </c>
      <c r="FJ36" s="185" t="str">
        <f>IF(Tim!FN38=FIT!$E$1,Tim!FN38,"")</f>
        <v/>
      </c>
      <c r="FK36" s="185" t="str">
        <f>IF(Tim!FO38=FIT!$E$1,Tim!FO38,"")</f>
        <v/>
      </c>
      <c r="FL36" s="185" t="str">
        <f>IF(Tim!FP38=FIT!$E$1,Tim!FP38,"")</f>
        <v/>
      </c>
      <c r="FM36" s="185" t="str">
        <f>IF(Tim!FQ38=FIT!$E$1,Tim!FQ38,"")</f>
        <v/>
      </c>
      <c r="FN36" s="185" t="str">
        <f>IF(Tim!FR38=FIT!$E$1,Tim!FR38,"")</f>
        <v/>
      </c>
      <c r="FO36" s="185" t="str">
        <f>IF(Tim!FS38=FIT!$E$1,Tim!FS38,"")</f>
        <v/>
      </c>
      <c r="FP36" s="185" t="str">
        <f>IF(Tim!FT38=FIT!$E$1,Tim!FT38,"")</f>
        <v/>
      </c>
      <c r="FQ36" s="185" t="str">
        <f>IF(Tim!FU38=FIT!$E$1,Tim!FU38,"")</f>
        <v/>
      </c>
      <c r="FR36" s="185" t="str">
        <f>IF(Tim!FV38=FIT!$E$1,Tim!FV38,"")</f>
        <v/>
      </c>
      <c r="FS36" s="185" t="str">
        <f>IF(Tim!FW38=FIT!$E$1,Tim!FW38,"")</f>
        <v/>
      </c>
      <c r="FT36" s="185" t="str">
        <f>IF(Tim!FX38=FIT!$E$1,Tim!FX38,"")</f>
        <v/>
      </c>
      <c r="FU36" s="185" t="str">
        <f>IF(Tim!FY38=FIT!$E$1,Tim!FY38,"")</f>
        <v/>
      </c>
      <c r="FV36" s="185" t="str">
        <f>IF(Tim!FZ38=FIT!$E$1,Tim!FZ38,"")</f>
        <v/>
      </c>
      <c r="FW36" s="185" t="str">
        <f>IF(Tim!GA38=FIT!$E$1,Tim!GA38,"")</f>
        <v/>
      </c>
      <c r="FX36" s="185" t="str">
        <f>IF(Tim!GB38=FIT!$E$1,Tim!GB38,"")</f>
        <v/>
      </c>
      <c r="FY36" s="185" t="str">
        <f>IF(Tim!GC38=FIT!$E$1,Tim!GC38,"")</f>
        <v/>
      </c>
      <c r="FZ36" s="185" t="str">
        <f>IF(Tim!GD38=FIT!$E$1,Tim!GD38,"")</f>
        <v/>
      </c>
      <c r="GA36" s="185" t="str">
        <f>IF(Tim!GE38=FIT!$E$1,Tim!GE38,"")</f>
        <v/>
      </c>
      <c r="GB36" s="185" t="str">
        <f>IF(Tim!GF38=FIT!$E$1,Tim!GF38,"")</f>
        <v/>
      </c>
      <c r="GC36" s="185" t="str">
        <f>IF(Tim!GG38=FIT!$E$1,Tim!GG38,"")</f>
        <v/>
      </c>
      <c r="GD36" s="185" t="str">
        <f>IF(Tim!GH38=FIT!$E$1,Tim!GH38,"")</f>
        <v/>
      </c>
      <c r="GE36" s="185" t="str">
        <f>IF(Tim!GI38=FIT!$E$1,Tim!GI38,"")</f>
        <v/>
      </c>
      <c r="GF36" s="185" t="str">
        <f>IF(Tim!GJ38=FIT!$E$1,Tim!GJ38,"")</f>
        <v/>
      </c>
      <c r="GG36" s="185" t="str">
        <f>IF(Tim!GK38=FIT!$E$1,Tim!GK38,"")</f>
        <v/>
      </c>
      <c r="GH36" s="185" t="str">
        <f>IF(Tim!GL38=FIT!$E$1,Tim!GL38,"")</f>
        <v/>
      </c>
      <c r="GI36" s="185" t="str">
        <f>IF(Tim!GM38=FIT!$E$1,Tim!GM38,"")</f>
        <v/>
      </c>
      <c r="GJ36" s="185" t="str">
        <f>IF(Tim!GN38=FIT!$E$1,Tim!GN38,"")</f>
        <v/>
      </c>
      <c r="GK36" s="185" t="str">
        <f>IF(Tim!GO38=FIT!$E$1,Tim!GO38,"")</f>
        <v/>
      </c>
      <c r="GL36" s="185" t="str">
        <f>IF(Tim!GP38=FIT!$E$1,Tim!GP38,"")</f>
        <v/>
      </c>
      <c r="GM36" s="185" t="str">
        <f>IF(Tim!GQ38=FIT!$E$1,Tim!GQ38,"")</f>
        <v/>
      </c>
      <c r="GN36" s="185" t="str">
        <f>IF(Tim!GR38=FIT!$E$1,Tim!GR38,"")</f>
        <v/>
      </c>
      <c r="GO36" s="185" t="str">
        <f>IF(Tim!GS38=FIT!$E$1,Tim!GS38,"")</f>
        <v/>
      </c>
      <c r="GP36" s="185" t="str">
        <f>IF(Tim!GT38=FIT!$E$1,Tim!GT38,"")</f>
        <v/>
      </c>
      <c r="GQ36" s="185" t="str">
        <f>IF(Tim!GU38=FIT!$E$1,Tim!GU38,"")</f>
        <v/>
      </c>
      <c r="GR36" s="185" t="str">
        <f>IF(Tim!GV38=FIT!$E$1,Tim!GV38,"")</f>
        <v/>
      </c>
      <c r="GS36" s="185" t="str">
        <f>IF(Tim!GW38=FIT!$E$1,Tim!GW38,"")</f>
        <v/>
      </c>
      <c r="GT36" s="185" t="str">
        <f>IF(Tim!GX38=FIT!$E$1,Tim!GX38,"")</f>
        <v/>
      </c>
      <c r="GU36" s="185" t="str">
        <f>IF(Tim!GY38=FIT!$E$1,Tim!GY38,"")</f>
        <v/>
      </c>
      <c r="GV36" s="185" t="str">
        <f>IF(Tim!GZ38=FIT!$E$1,Tim!GZ38,"")</f>
        <v/>
      </c>
      <c r="GW36" s="185" t="str">
        <f>IF(Tim!HA38=FIT!$E$1,Tim!HA38,"")</f>
        <v/>
      </c>
      <c r="GX36" s="185" t="str">
        <f>IF(Tim!HB38=FIT!$E$1,Tim!HB38,"")</f>
        <v/>
      </c>
      <c r="GY36" s="185" t="str">
        <f>IF(Tim!HC38=FIT!$E$1,Tim!HC38,"")</f>
        <v/>
      </c>
      <c r="GZ36" s="185" t="str">
        <f>IF(Tim!HD38=FIT!$E$1,Tim!HD38,"")</f>
        <v/>
      </c>
      <c r="HA36" s="185" t="str">
        <f>IF(Tim!HE38=FIT!$E$1,Tim!HE38,"")</f>
        <v/>
      </c>
      <c r="HB36" s="185" t="str">
        <f>IF(Tim!HF38=FIT!$E$1,Tim!HF38,"")</f>
        <v/>
      </c>
      <c r="HC36" s="185" t="str">
        <f>IF(Tim!HG38=FIT!$E$1,Tim!HG38,"")</f>
        <v/>
      </c>
      <c r="HD36" s="185" t="str">
        <f>IF(Tim!HH38=FIT!$E$1,Tim!HH38,"")</f>
        <v/>
      </c>
      <c r="HE36" s="185" t="str">
        <f>IF(Tim!HI38=FIT!$E$1,Tim!HI38,"")</f>
        <v/>
      </c>
      <c r="HF36" s="185" t="str">
        <f>IF(Tim!HJ38=FIT!$E$1,Tim!HJ38,"")</f>
        <v/>
      </c>
      <c r="HG36" s="185" t="str">
        <f>IF(Tim!HK38=FIT!$E$1,Tim!HK38,"")</f>
        <v/>
      </c>
      <c r="HH36" s="185" t="str">
        <f>IF(Tim!HL38=FIT!$E$1,Tim!HL38,"")</f>
        <v/>
      </c>
      <c r="HI36" s="185" t="str">
        <f>IF(Tim!HM38=FIT!$E$1,Tim!HM38,"")</f>
        <v/>
      </c>
      <c r="HJ36" s="185" t="str">
        <f>IF(Tim!HN38=FIT!$E$1,Tim!HN38,"")</f>
        <v/>
      </c>
      <c r="HK36" s="185" t="str">
        <f>IF(Tim!HO38=FIT!$E$1,Tim!HO38,"")</f>
        <v/>
      </c>
      <c r="HL36" s="185" t="str">
        <f>IF(Tim!HP38=FIT!$E$1,Tim!HP38,"")</f>
        <v/>
      </c>
      <c r="HM36" s="185" t="str">
        <f>IF(Tim!HQ38=FIT!$E$1,Tim!HQ38,"")</f>
        <v/>
      </c>
      <c r="HN36" s="185" t="str">
        <f>IF(Tim!HR38=FIT!$E$1,Tim!HR38,"")</f>
        <v/>
      </c>
      <c r="HO36" s="185" t="str">
        <f>IF(Tim!HS38=FIT!$E$1,Tim!HS38,"")</f>
        <v/>
      </c>
      <c r="HP36" s="185" t="str">
        <f>IF(Tim!HT38=FIT!$E$1,Tim!HT38,"")</f>
        <v/>
      </c>
      <c r="HQ36" s="185" t="str">
        <f>IF(Tim!HU38=FIT!$E$1,Tim!HU38,"")</f>
        <v/>
      </c>
      <c r="HR36" s="185" t="str">
        <f>IF(Tim!HV38=FIT!$E$1,Tim!HV38,"")</f>
        <v/>
      </c>
      <c r="HS36" s="185" t="str">
        <f>IF(Tim!HW38=FIT!$E$1,Tim!HW38,"")</f>
        <v/>
      </c>
      <c r="HT36" s="185" t="str">
        <f>IF(Tim!HX38=FIT!$E$1,Tim!HX38,"")</f>
        <v/>
      </c>
      <c r="HU36" s="185" t="str">
        <f>IF(Tim!HY38=FIT!$E$1,Tim!HY38,"")</f>
        <v/>
      </c>
      <c r="HV36" s="185" t="str">
        <f>IF(Tim!HZ38=FIT!$E$1,Tim!HZ38,"")</f>
        <v/>
      </c>
      <c r="HW36" s="185" t="str">
        <f>IF(Tim!IA38=FIT!$E$1,Tim!IA38,"")</f>
        <v/>
      </c>
      <c r="HX36" s="185" t="str">
        <f>IF(Tim!IB38=FIT!$E$1,Tim!IB38,"")</f>
        <v/>
      </c>
      <c r="HY36" s="185" t="str">
        <f>IF(Tim!IC38=FIT!$E$1,Tim!IC38,"")</f>
        <v/>
      </c>
      <c r="HZ36" s="185" t="str">
        <f>IF(Tim!ID38=FIT!$E$1,Tim!ID38,"")</f>
        <v/>
      </c>
      <c r="IA36" s="185" t="str">
        <f>IF(Tim!IE38=FIT!$E$1,Tim!IE38,"")</f>
        <v/>
      </c>
      <c r="IB36" s="185" t="str">
        <f>IF(Tim!IF38=FIT!$E$1,Tim!IF38,"")</f>
        <v/>
      </c>
      <c r="IC36" s="185" t="str">
        <f>IF(Tim!IG38=FIT!$E$1,Tim!IG38,"")</f>
        <v/>
      </c>
      <c r="ID36" s="185" t="str">
        <f>IF(Tim!IH38=FIT!$E$1,Tim!IH38,"")</f>
        <v/>
      </c>
      <c r="IE36" s="185" t="str">
        <f>IF(Tim!II38=FIT!$E$1,Tim!II38,"")</f>
        <v/>
      </c>
      <c r="IF36" s="185" t="str">
        <f>IF(Tim!IJ38=FIT!$E$1,Tim!IJ38,"")</f>
        <v/>
      </c>
      <c r="IG36" s="185" t="str">
        <f>IF(Tim!IK38=FIT!$E$1,Tim!IK38,"")</f>
        <v/>
      </c>
      <c r="IH36" s="185" t="str">
        <f>IF(Tim!IL38=FIT!$E$1,Tim!IL38,"")</f>
        <v/>
      </c>
      <c r="II36" s="185" t="str">
        <f>IF(Tim!IM38=FIT!$E$1,Tim!IM38,"")</f>
        <v/>
      </c>
      <c r="IJ36" s="185" t="str">
        <f>IF(Tim!IN38=FIT!$E$1,Tim!IN38,"")</f>
        <v/>
      </c>
      <c r="IK36" s="185" t="str">
        <f>IF(Tim!IO38=FIT!$E$1,Tim!IO38,"")</f>
        <v/>
      </c>
      <c r="IL36" s="185" t="str">
        <f>IF(Tim!IP38=FIT!$E$1,Tim!IP38,"")</f>
        <v/>
      </c>
      <c r="IM36" s="185" t="str">
        <f>IF(Tim!IQ38=FIT!$E$1,Tim!IQ38,"")</f>
        <v/>
      </c>
      <c r="IN36" s="185" t="str">
        <f>IF(Tim!IR38=FIT!$E$1,Tim!IR38,"")</f>
        <v/>
      </c>
      <c r="IO36" s="185" t="str">
        <f>IF(Tim!IS38=FIT!$E$1,Tim!IS38,"")</f>
        <v/>
      </c>
      <c r="IP36" s="185" t="str">
        <f>IF(Tim!IT38=FIT!$E$1,Tim!IT38,"")</f>
        <v/>
      </c>
      <c r="IQ36" s="185" t="str">
        <f>IF(Tim!IU38=FIT!$E$1,Tim!IU38,"")</f>
        <v/>
      </c>
      <c r="IR36" s="185" t="str">
        <f>IF(Tim!IV38=FIT!$E$1,Tim!IV38,"")</f>
        <v/>
      </c>
      <c r="IS36" s="185" t="str">
        <f>IF(Tim!IW38=FIT!$E$1,Tim!IW38,"")</f>
        <v/>
      </c>
      <c r="IT36" s="185" t="str">
        <f>IF(Tim!IX38=FIT!$E$1,Tim!IX38,"")</f>
        <v/>
      </c>
      <c r="IU36" s="185" t="str">
        <f>IF(Tim!IY38=FIT!$E$1,Tim!IY38,"")</f>
        <v/>
      </c>
      <c r="IV36" s="185" t="str">
        <f>IF(Tim!IZ38=FIT!$E$1,Tim!IZ38,"")</f>
        <v/>
      </c>
      <c r="IW36" s="185" t="str">
        <f>IF(Tim!JA38=FIT!$E$1,Tim!JA38,"")</f>
        <v/>
      </c>
      <c r="IX36" s="185" t="str">
        <f>IF(Tim!JB38=FIT!$E$1,Tim!JB38,"")</f>
        <v/>
      </c>
      <c r="IY36" s="185" t="str">
        <f>IF(Tim!JC38=FIT!$E$1,Tim!JC38,"")</f>
        <v/>
      </c>
      <c r="IZ36" s="185" t="str">
        <f>IF(Tim!JD38=FIT!$E$1,Tim!JD38,"")</f>
        <v/>
      </c>
      <c r="JA36" s="185" t="str">
        <f>IF(Tim!JE38=FIT!$E$1,Tim!JE38,"")</f>
        <v/>
      </c>
      <c r="JB36" s="185" t="str">
        <f>IF(Tim!JF38=FIT!$E$1,Tim!JF38,"")</f>
        <v/>
      </c>
      <c r="JC36" s="185" t="str">
        <f>IF(Tim!JG38=FIT!$E$1,Tim!JG38,"")</f>
        <v/>
      </c>
      <c r="JD36" s="185" t="str">
        <f>IF(Tim!JH38=FIT!$E$1,Tim!JH38,"")</f>
        <v/>
      </c>
      <c r="JE36" s="185" t="str">
        <f>IF(Tim!JI38=FIT!$E$1,Tim!JI38,"")</f>
        <v/>
      </c>
      <c r="JF36" s="185" t="str">
        <f>IF(Tim!JJ38=FIT!$E$1,Tim!JJ38,"")</f>
        <v/>
      </c>
      <c r="JG36" s="185" t="str">
        <f>IF(Tim!JK38=FIT!$E$1,Tim!JK38,"")</f>
        <v/>
      </c>
      <c r="JH36" s="185" t="str">
        <f>IF(Tim!JL38=FIT!$E$1,Tim!JL38,"")</f>
        <v/>
      </c>
      <c r="JI36" s="185" t="str">
        <f>IF(Tim!JM38=FIT!$E$1,Tim!JM38,"")</f>
        <v/>
      </c>
      <c r="JJ36" s="185" t="str">
        <f>IF(Tim!JN38=FIT!$E$1,Tim!JN38,"")</f>
        <v/>
      </c>
      <c r="JK36" s="185" t="str">
        <f>IF(Tim!JO38=FIT!$E$1,Tim!JO38,"")</f>
        <v/>
      </c>
      <c r="JL36" s="185" t="str">
        <f>IF(Tim!JP38=FIT!$E$1,Tim!JP38,"")</f>
        <v/>
      </c>
      <c r="JM36" s="185" t="str">
        <f>IF(Tim!JQ38=FIT!$E$1,Tim!JQ38,"")</f>
        <v/>
      </c>
      <c r="JN36" s="185" t="str">
        <f>IF(Tim!JR38=FIT!$E$1,Tim!JR38,"")</f>
        <v/>
      </c>
      <c r="JO36" s="185" t="str">
        <f>IF(Tim!JS38=FIT!$E$1,Tim!JS38,"")</f>
        <v/>
      </c>
      <c r="JP36" s="185" t="str">
        <f>IF(Tim!JT38=FIT!$E$1,Tim!JT38,"")</f>
        <v/>
      </c>
      <c r="JQ36" s="185" t="str">
        <f>IF(Tim!JU38=FIT!$E$1,Tim!JU38,"")</f>
        <v/>
      </c>
      <c r="JR36" s="185" t="str">
        <f>IF(Tim!JV38=FIT!$E$1,Tim!JV38,"")</f>
        <v/>
      </c>
      <c r="JS36" s="185" t="str">
        <f>IF(Tim!JW38=FIT!$E$1,Tim!JW38,"")</f>
        <v/>
      </c>
      <c r="JT36" s="185" t="str">
        <f>IF(Tim!JX38=FIT!$E$1,Tim!JX38,"")</f>
        <v/>
      </c>
      <c r="JU36" s="185" t="str">
        <f>IF(Tim!JY38=FIT!$E$1,Tim!JY38,"")</f>
        <v/>
      </c>
      <c r="JV36" s="185" t="str">
        <f>IF(Tim!JZ38=FIT!$E$1,Tim!JZ38,"")</f>
        <v/>
      </c>
      <c r="JW36" s="185" t="str">
        <f>IF(Tim!KA38=FIT!$E$1,Tim!KA38,"")</f>
        <v/>
      </c>
      <c r="JX36" s="185" t="str">
        <f>IF(Tim!KB38=FIT!$E$1,Tim!KB38,"")</f>
        <v/>
      </c>
      <c r="JY36" s="185" t="str">
        <f>IF(Tim!KC38=FIT!$E$1,Tim!KC38,"")</f>
        <v/>
      </c>
      <c r="JZ36" s="185" t="str">
        <f>IF(Tim!KD38=FIT!$E$1,Tim!KD38,"")</f>
        <v/>
      </c>
      <c r="KA36" s="185" t="str">
        <f>IF(Tim!KE38=FIT!$E$1,Tim!KE38,"")</f>
        <v/>
      </c>
      <c r="KB36" s="185" t="str">
        <f>IF(Tim!KF38=FIT!$E$1,Tim!KF38,"")</f>
        <v/>
      </c>
      <c r="KC36" s="185" t="str">
        <f>IF(Tim!KG38=FIT!$E$1,Tim!KG38,"")</f>
        <v/>
      </c>
      <c r="KD36" s="185" t="str">
        <f>IF(Tim!KH38=FIT!$E$1,Tim!KH38,"")</f>
        <v/>
      </c>
      <c r="KE36" s="185" t="str">
        <f>IF(Tim!KI38=FIT!$E$1,Tim!KI38,"")</f>
        <v/>
      </c>
      <c r="KF36" s="185" t="str">
        <f>IF(Tim!KJ38=FIT!$E$1,Tim!KJ38,"")</f>
        <v/>
      </c>
      <c r="KG36" s="185" t="str">
        <f>IF(Tim!KK38=FIT!$E$1,Tim!KK38,"")</f>
        <v/>
      </c>
      <c r="KH36" s="185" t="str">
        <f>IF(Tim!KL38=FIT!$E$1,Tim!KL38,"")</f>
        <v/>
      </c>
      <c r="KI36" s="185" t="str">
        <f>IF(Tim!KM38=FIT!$E$1,Tim!KM38,"")</f>
        <v/>
      </c>
      <c r="KJ36" s="185" t="str">
        <f>IF(Tim!KN38=FIT!$E$1,Tim!KN38,"")</f>
        <v/>
      </c>
      <c r="KK36" s="185" t="str">
        <f>IF(Tim!KO38=FIT!$E$1,Tim!KO38,"")</f>
        <v/>
      </c>
      <c r="KL36" s="185" t="str">
        <f>IF(Tim!KP38=FIT!$E$1,Tim!KP38,"")</f>
        <v/>
      </c>
      <c r="KM36" s="185" t="str">
        <f>IF(Tim!KQ38=FIT!$E$1,Tim!KQ38,"")</f>
        <v/>
      </c>
      <c r="KN36" s="185" t="str">
        <f>IF(Tim!KR38=FIT!$E$1,Tim!KR38,"")</f>
        <v/>
      </c>
      <c r="KO36" s="185" t="str">
        <f>IF(Tim!KS38=FIT!$E$1,Tim!KS38,"")</f>
        <v/>
      </c>
      <c r="KP36" s="185" t="str">
        <f>IF(Tim!KT38=FIT!$E$1,Tim!KT38,"")</f>
        <v/>
      </c>
      <c r="KQ36" s="185" t="str">
        <f>IF(Tim!KU38=FIT!$E$1,Tim!KU38,"")</f>
        <v/>
      </c>
      <c r="KR36" s="185" t="str">
        <f>IF(Tim!KV38=FIT!$E$1,Tim!KV38,"")</f>
        <v/>
      </c>
      <c r="KS36" s="185" t="str">
        <f>IF(Tim!KW38=FIT!$E$1,Tim!KW38,"")</f>
        <v/>
      </c>
      <c r="KT36" s="185" t="str">
        <f>IF(Tim!KX38=FIT!$E$1,Tim!KX38,"")</f>
        <v/>
      </c>
      <c r="KU36" s="185" t="str">
        <f>IF(Tim!KY38=FIT!$E$1,Tim!KY38,"")</f>
        <v/>
      </c>
      <c r="KV36" s="185" t="str">
        <f>IF(Tim!KZ38=FIT!$E$1,Tim!KZ38,"")</f>
        <v/>
      </c>
      <c r="KW36" s="185" t="str">
        <f>IF(Tim!LA38=FIT!$E$1,Tim!LA38,"")</f>
        <v/>
      </c>
      <c r="KX36" s="185" t="str">
        <f>IF(Tim!LB38=FIT!$E$1,Tim!LB38,"")</f>
        <v/>
      </c>
      <c r="KY36" s="185" t="str">
        <f>IF(Tim!LC38=FIT!$E$1,Tim!LC38,"")</f>
        <v/>
      </c>
      <c r="KZ36" s="185" t="str">
        <f>IF(Tim!LD38=FIT!$E$1,Tim!LD38,"")</f>
        <v/>
      </c>
      <c r="LA36" s="185" t="str">
        <f>IF(Tim!LE38=FIT!$E$1,Tim!LE38,"")</f>
        <v/>
      </c>
      <c r="LB36" s="52">
        <v>0.61458333333333304</v>
      </c>
    </row>
    <row r="37" spans="2:314" ht="10.5" customHeight="1">
      <c r="B37" s="49">
        <v>0.25</v>
      </c>
      <c r="C37" s="49">
        <v>0.25</v>
      </c>
      <c r="D37" s="49">
        <v>0.25</v>
      </c>
      <c r="E37" s="172">
        <v>0.624999999999999</v>
      </c>
      <c r="F37" s="238" t="str">
        <f>IF(Tim!F39=FIT!$E$1,Tim!F39,"")</f>
        <v/>
      </c>
      <c r="G37" s="185" t="str">
        <f>IF(Tim!G39=FIT!$E$1,Tim!G39,"")</f>
        <v/>
      </c>
      <c r="H37" s="185" t="str">
        <f>IF(Tim!H39=FIT!$E$1,Tim!H39,"")</f>
        <v/>
      </c>
      <c r="I37" s="185" t="str">
        <f>IF(Tim!I39=FIT!$E$1,Tim!I39,"")</f>
        <v/>
      </c>
      <c r="J37" s="185" t="str">
        <f>IF(Tim!J39=FIT!$E$1,Tim!J39,"")</f>
        <v/>
      </c>
      <c r="K37" s="185" t="str">
        <f>IF(Tim!K39=FIT!$E$1,Tim!K39,"")</f>
        <v/>
      </c>
      <c r="L37" s="185" t="str">
        <f>IF(Tim!L39=FIT!$E$1,Tim!L39,"")</f>
        <v/>
      </c>
      <c r="M37" s="185" t="str">
        <f>IF(Tim!M39=FIT!$E$1,Tim!M39,"")</f>
        <v/>
      </c>
      <c r="N37" s="185" t="str">
        <f>IF(Tim!N39=FIT!$E$1,Tim!N39,"")</f>
        <v/>
      </c>
      <c r="O37" s="185" t="str">
        <f>IF(Tim!O39=FIT!$E$1,Tim!O39,"")</f>
        <v/>
      </c>
      <c r="P37" s="185" t="str">
        <f>IF(Tim!P39=FIT!$E$1,Tim!P39,"")</f>
        <v/>
      </c>
      <c r="Q37" s="185" t="str">
        <f>IF(Tim!Q39=FIT!$E$1,Tim!Q39,"")</f>
        <v/>
      </c>
      <c r="R37" s="185" t="str">
        <f>IF(Tim!R39=FIT!$E$1,Tim!R39,"")</f>
        <v/>
      </c>
      <c r="S37" s="185" t="str">
        <f>IF(Tim!S39=FIT!$E$1,Tim!S39,"")</f>
        <v/>
      </c>
      <c r="T37" s="185" t="str">
        <f>IF(Tim!T39=FIT!$E$1,Tim!T39,"")</f>
        <v/>
      </c>
      <c r="U37" s="185" t="str">
        <f>IF(Tim!U39=FIT!$E$1,Tim!U39,"")</f>
        <v/>
      </c>
      <c r="V37" s="185" t="str">
        <f>IF(Tim!W39=FIT!$E$1,Tim!W39,"")</f>
        <v/>
      </c>
      <c r="W37" s="185" t="str">
        <f>IF(Tim!X39=FIT!$E$1,Tim!X39,"")</f>
        <v/>
      </c>
      <c r="X37" s="185" t="str">
        <f>IF(Tim!Y39=FIT!$E$1,Tim!Y39,"")</f>
        <v/>
      </c>
      <c r="Y37" s="185" t="str">
        <f>IF(Tim!Z39=FIT!$E$1,Tim!Z39,"")</f>
        <v/>
      </c>
      <c r="Z37" s="185" t="str">
        <f>IF(Tim!AA39=FIT!$E$1,Tim!AA39,"")</f>
        <v/>
      </c>
      <c r="AA37" s="185" t="str">
        <f>IF(Tim!AB39=FIT!$E$1,Tim!AB39,"")</f>
        <v/>
      </c>
      <c r="AB37" s="185" t="str">
        <f>IF(Tim!AC39=FIT!$E$1,Tim!AC39,"")</f>
        <v/>
      </c>
      <c r="AC37" s="185" t="str">
        <f>IF(Tim!AD39=FIT!$E$1,Tim!AD39,"")</f>
        <v/>
      </c>
      <c r="AD37" s="185" t="str">
        <f>IF(Tim!AE39=FIT!$E$1,Tim!AE39,"")</f>
        <v/>
      </c>
      <c r="AE37" s="185" t="str">
        <f>IF(Tim!AF39=FIT!$E$1,Tim!AF39,"")</f>
        <v/>
      </c>
      <c r="AF37" s="185" t="str">
        <f>IF(Tim!AG39=FIT!$E$1,Tim!AG39,"")</f>
        <v/>
      </c>
      <c r="AG37" s="185" t="str">
        <f>IF(Tim!AH39=FIT!$E$1,Tim!AH39,"")</f>
        <v/>
      </c>
      <c r="AH37" s="185" t="str">
        <f>IF(Tim!AI39=FIT!$E$1,Tim!AI39,"")</f>
        <v/>
      </c>
      <c r="AI37" s="185" t="str">
        <f>IF(Tim!AJ39=FIT!$E$1,Tim!AJ39,"")</f>
        <v/>
      </c>
      <c r="AJ37" s="185" t="str">
        <f>IF(Tim!AK39=FIT!$E$1,Tim!AK39,"")</f>
        <v/>
      </c>
      <c r="AK37" s="185" t="str">
        <f>IF(Tim!AL39=FIT!$E$1,Tim!AL39,"")</f>
        <v/>
      </c>
      <c r="AL37" s="185" t="str">
        <f>IF(Tim!AM39=FIT!$E$1,Tim!AM39,"")</f>
        <v/>
      </c>
      <c r="AM37" s="185" t="str">
        <f>IF(Tim!AN39=FIT!$E$1,Tim!AN39,"")</f>
        <v/>
      </c>
      <c r="AN37" s="185" t="str">
        <f>IF(Tim!AO39=FIT!$E$1,Tim!AO39,"")</f>
        <v/>
      </c>
      <c r="AO37" s="185" t="str">
        <f>IF(Tim!AP39=FIT!$E$1,Tim!AP39,"")</f>
        <v/>
      </c>
      <c r="AP37" s="185" t="str">
        <f>IF(Tim!AQ39=FIT!$E$1,Tim!AQ39,"")</f>
        <v/>
      </c>
      <c r="AQ37" s="185" t="str">
        <f>IF(Tim!AR39=FIT!$E$1,Tim!AR39,"")</f>
        <v/>
      </c>
      <c r="AR37" s="185" t="str">
        <f>IF(Tim!AS39=FIT!$E$1,Tim!AS39,"")</f>
        <v/>
      </c>
      <c r="AS37" s="185" t="str">
        <f>IF(Tim!AT39=FIT!$E$1,Tim!AT39,"")</f>
        <v/>
      </c>
      <c r="AT37" s="185" t="str">
        <f>IF(Tim!AU39=FIT!$E$1,Tim!AU39,"")</f>
        <v/>
      </c>
      <c r="AU37" s="185" t="str">
        <f>IF(Tim!AV39=FIT!$E$1,Tim!AV39,"")</f>
        <v/>
      </c>
      <c r="AV37" s="185" t="str">
        <f>IF(Tim!AW39=FIT!$E$1,Tim!AW39,"")</f>
        <v/>
      </c>
      <c r="AW37" s="186" t="str">
        <f>IF(Tim!AX39=FIT!$E$1,Tim!AX39,"")</f>
        <v/>
      </c>
      <c r="AX37" s="243" t="str">
        <f>IF(Tim!AY39=FIT!$E$1,Tim!AY39,"")</f>
        <v/>
      </c>
      <c r="AY37" s="185" t="str">
        <f>IF(Tim!AZ39=FIT!$E$1,Tim!AZ39,"")</f>
        <v/>
      </c>
      <c r="AZ37" s="185" t="str">
        <f>IF(Tim!BA39=FIT!$E$1,Tim!BA39,"")</f>
        <v/>
      </c>
      <c r="BA37" s="185" t="str">
        <f>IF(Tim!BB39=FIT!$E$1,Tim!BB39,"")</f>
        <v/>
      </c>
      <c r="BB37" s="185" t="str">
        <f>IF(Tim!BC39=FIT!$E$1,Tim!BC39,"")</f>
        <v/>
      </c>
      <c r="BC37" s="185" t="str">
        <f>IF(Tim!BD39=FIT!$E$1,Tim!BD39,"")</f>
        <v/>
      </c>
      <c r="BD37" s="185" t="str">
        <f>IF(Tim!BE39=FIT!$E$1,Tim!BE39,"")</f>
        <v/>
      </c>
      <c r="BE37" s="185" t="str">
        <f>IF(Tim!BF39=FIT!$E$1,Tim!BF39,"")</f>
        <v/>
      </c>
      <c r="BF37" s="185" t="str">
        <f>IF(Tim!BG39=FIT!$E$1,Tim!BG39,"")</f>
        <v/>
      </c>
      <c r="BG37" s="185" t="str">
        <f>IF(Tim!BH39=FIT!$E$1,Tim!BH39,"")</f>
        <v/>
      </c>
      <c r="BH37" s="185" t="str">
        <f>IF(Tim!BI39=FIT!$E$1,Tim!BI39,"")</f>
        <v/>
      </c>
      <c r="BI37" s="185" t="str">
        <f>IF(Tim!BJ39=FIT!$E$1,Tim!BJ39,"")</f>
        <v/>
      </c>
      <c r="BJ37" s="185" t="str">
        <f>IF(Tim!BK39=FIT!$E$1,Tim!BK39,"")</f>
        <v/>
      </c>
      <c r="BK37" s="185" t="str">
        <f>IF(Tim!BL39=FIT!$E$1,Tim!BL39,"")</f>
        <v/>
      </c>
      <c r="BL37" s="185" t="str">
        <f>IF(Tim!BM39=FIT!$E$1,Tim!BM39,"")</f>
        <v/>
      </c>
      <c r="BM37" s="185" t="str">
        <f>IF(Tim!BN39=FIT!$E$1,Tim!BN39,"")</f>
        <v/>
      </c>
      <c r="BN37" s="185" t="str">
        <f>IF(Tim!BO39=FIT!$E$1,Tim!BO39,"")</f>
        <v/>
      </c>
      <c r="BO37" s="185" t="str">
        <f>IF(Tim!BP39=FIT!$E$1,Tim!BP39,"")</f>
        <v/>
      </c>
      <c r="BP37" s="185" t="str">
        <f>IF(Tim!BQ39=FIT!$E$1,Tim!BQ39,"")</f>
        <v/>
      </c>
      <c r="BQ37" s="185" t="str">
        <f>IF(Tim!BR39=FIT!$E$1,Tim!BR39,"")</f>
        <v/>
      </c>
      <c r="BR37" s="185" t="str">
        <f>IF(Tim!BS39=FIT!$E$1,Tim!BS39,"")</f>
        <v/>
      </c>
      <c r="BS37" s="185" t="str">
        <f>IF(Tim!BT39=FIT!$E$1,Tim!BT39,"")</f>
        <v/>
      </c>
      <c r="BT37" s="185" t="str">
        <f>IF(Tim!BU39=FIT!$E$1,Tim!BU39,"")</f>
        <v/>
      </c>
      <c r="BU37" s="185" t="str">
        <f>IF(Tim!BV39=FIT!$E$1,Tim!BV39,"")</f>
        <v/>
      </c>
      <c r="BV37" s="185" t="str">
        <f>IF(Tim!BW39=FIT!$E$1,Tim!BW39,"")</f>
        <v/>
      </c>
      <c r="BW37" s="185" t="str">
        <f>IF(Tim!BX39=FIT!$E$1,Tim!BX39,"")</f>
        <v/>
      </c>
      <c r="BX37" s="185" t="str">
        <f>IF(Tim!BY39=FIT!$E$1,Tim!BY39,"")</f>
        <v/>
      </c>
      <c r="BY37" s="185" t="str">
        <f>IF(Tim!BZ39=FIT!$E$1,Tim!BZ39,"")</f>
        <v/>
      </c>
      <c r="BZ37" s="185" t="str">
        <f>IF(Tim!CA39=FIT!$E$1,Tim!CA39,"")</f>
        <v/>
      </c>
      <c r="CA37" s="185" t="str">
        <f>IF(Tim!CB39=FIT!$E$1,Tim!CB39,"")</f>
        <v/>
      </c>
      <c r="CB37" s="185" t="str">
        <f>IF(Tim!CC39=FIT!$E$1,Tim!CC39,"")</f>
        <v/>
      </c>
      <c r="CC37" s="185" t="str">
        <f>IF(Tim!CD39=FIT!$E$1,Tim!CD39,"")</f>
        <v/>
      </c>
      <c r="CD37" s="185" t="str">
        <f>IF(Tim!CE39=FIT!$E$1,Tim!CE39,"")</f>
        <v/>
      </c>
      <c r="CE37" s="185" t="str">
        <f>IF(Tim!CF39=FIT!$E$1,Tim!CF39,"")</f>
        <v/>
      </c>
      <c r="CF37" s="185" t="str">
        <f>IF(Tim!CG39=FIT!$E$1,Tim!CG39,"")</f>
        <v/>
      </c>
      <c r="CG37" s="185" t="str">
        <f>IF(Tim!CH39=FIT!$E$1,Tim!CH39,"")</f>
        <v/>
      </c>
      <c r="CH37" s="185" t="str">
        <f>IF(Tim!CI39=FIT!$E$1,Tim!CI39,"")</f>
        <v/>
      </c>
      <c r="CI37" s="185" t="str">
        <f>IF(Tim!CJ39=FIT!$E$1,Tim!CJ39,"")</f>
        <v/>
      </c>
      <c r="CJ37" s="185" t="str">
        <f>IF(Tim!CK39=FIT!$E$1,Tim!CK39,"")</f>
        <v/>
      </c>
      <c r="CK37" s="185" t="str">
        <f>IF(Tim!CL39=FIT!$E$1,Tim!CL39,"")</f>
        <v/>
      </c>
      <c r="CL37" s="185" t="str">
        <f>IF(Tim!CM39=FIT!$E$1,Tim!CM39,"")</f>
        <v/>
      </c>
      <c r="CM37" s="185" t="str">
        <f>IF(Tim!CN39=FIT!$E$1,Tim!CN39,"")</f>
        <v/>
      </c>
      <c r="CN37" s="185" t="str">
        <f>IF(Tim!CO39=FIT!$E$1,Tim!CO39,"")</f>
        <v/>
      </c>
      <c r="CO37" s="185" t="str">
        <f>IF(Tim!CP39=FIT!$E$1,Tim!CP39,"")</f>
        <v/>
      </c>
      <c r="CP37" s="185" t="str">
        <f>IF(Tim!CQ39=FIT!$E$1,Tim!CQ39,"")</f>
        <v/>
      </c>
      <c r="CQ37" s="185" t="str">
        <f>IF(Tim!CR39=FIT!$E$1,Tim!CR39,"")</f>
        <v/>
      </c>
      <c r="CR37" s="185" t="str">
        <f>IF(Tim!CS39=FIT!$E$1,Tim!CS39,"")</f>
        <v/>
      </c>
      <c r="CS37" s="185" t="str">
        <f>IF(Tim!CT39=FIT!$E$1,Tim!CT39,"")</f>
        <v/>
      </c>
      <c r="CT37" s="185" t="str">
        <f>IF(Tim!CU39=FIT!$E$1,Tim!CU39,"")</f>
        <v/>
      </c>
      <c r="CU37" s="185" t="str">
        <f>IF(Tim!CV39=FIT!$E$1,Tim!CV39,"")</f>
        <v/>
      </c>
      <c r="CV37" s="185" t="str">
        <f>IF(Tim!CW39=FIT!$E$1,Tim!CW39,"")</f>
        <v/>
      </c>
      <c r="CW37" s="185" t="str">
        <f>IF(Tim!CX39=FIT!$E$1,Tim!CX39,"")</f>
        <v/>
      </c>
      <c r="CX37" s="185" t="str">
        <f>IF(Tim!CY39=FIT!$E$1,Tim!CY39,"")</f>
        <v/>
      </c>
      <c r="CY37" s="185" t="str">
        <f>IF(Tim!CZ39=FIT!$E$1,Tim!CZ39,"")</f>
        <v/>
      </c>
      <c r="CZ37" s="185" t="str">
        <f>IF(Tim!DA39=FIT!$E$1,Tim!DA39,"")</f>
        <v/>
      </c>
      <c r="DA37" s="185" t="str">
        <f>IF(Tim!DB39=FIT!$E$1,Tim!DB39,"")</f>
        <v/>
      </c>
      <c r="DB37" s="185" t="str">
        <f>IF(Tim!DC39=FIT!$E$1,Tim!DC39,"")</f>
        <v/>
      </c>
      <c r="DC37" s="185" t="str">
        <f>IF(Tim!DD39=FIT!$E$1,Tim!DD39,"")</f>
        <v/>
      </c>
      <c r="DD37" s="185" t="str">
        <f>IF(Tim!DE39=FIT!$E$1,Tim!DE39,"")</f>
        <v/>
      </c>
      <c r="DE37" s="185" t="str">
        <f>IF(Tim!DF39=FIT!$E$1,Tim!DF39,"")</f>
        <v/>
      </c>
      <c r="DF37" s="185" t="str">
        <f>IF(Tim!DG39=FIT!$E$1,Tim!DG39,"")</f>
        <v/>
      </c>
      <c r="DG37" s="185" t="str">
        <f>IF(Tim!DH39=FIT!$E$1,Tim!DH39,"")</f>
        <v/>
      </c>
      <c r="DH37" s="185" t="str">
        <f>IF(Tim!DI39=FIT!$E$1,Tim!DI39,"")</f>
        <v/>
      </c>
      <c r="DI37" s="185" t="str">
        <f>IF(Tim!DM39=FIT!$E$1,Tim!DM39,"")</f>
        <v/>
      </c>
      <c r="DJ37" s="185" t="str">
        <f>IF(Tim!DN39=FIT!$E$1,Tim!DN39,"")</f>
        <v/>
      </c>
      <c r="DK37" s="185" t="str">
        <f>IF(Tim!DO39=FIT!$E$1,Tim!DO39,"")</f>
        <v/>
      </c>
      <c r="DL37" s="185" t="str">
        <f>IF(Tim!DP39=FIT!$E$1,Tim!DP39,"")</f>
        <v/>
      </c>
      <c r="DM37" s="185" t="str">
        <f>IF(Tim!DQ39=FIT!$E$1,Tim!DQ39,"")</f>
        <v/>
      </c>
      <c r="DN37" s="185" t="str">
        <f>IF(Tim!DR39=FIT!$E$1,Tim!DR39,"")</f>
        <v/>
      </c>
      <c r="DO37" s="185" t="str">
        <f>IF(Tim!DS39=FIT!$E$1,Tim!DS39,"")</f>
        <v/>
      </c>
      <c r="DP37" s="185" t="str">
        <f>IF(Tim!DT39=FIT!$E$1,Tim!DT39,"")</f>
        <v/>
      </c>
      <c r="DQ37" s="185" t="str">
        <f>IF(Tim!DU39=FIT!$E$1,Tim!DU39,"")</f>
        <v/>
      </c>
      <c r="DR37" s="185" t="str">
        <f>IF(Tim!DV39=FIT!$E$1,Tim!DV39,"")</f>
        <v/>
      </c>
      <c r="DS37" s="185" t="str">
        <f>IF(Tim!DW39=FIT!$E$1,Tim!DW39,"")</f>
        <v/>
      </c>
      <c r="DT37" s="185" t="str">
        <f>IF(Tim!DX39=FIT!$E$1,Tim!DX39,"")</f>
        <v/>
      </c>
      <c r="DU37" s="185" t="str">
        <f>IF(Tim!DY39=FIT!$E$1,Tim!DY39,"")</f>
        <v/>
      </c>
      <c r="DV37" s="185" t="str">
        <f>IF(Tim!DZ39=FIT!$E$1,Tim!DZ39,"")</f>
        <v/>
      </c>
      <c r="DW37" s="185" t="str">
        <f>IF(Tim!EA39=FIT!$E$1,Tim!EA39,"")</f>
        <v/>
      </c>
      <c r="DX37" s="185" t="str">
        <f>IF(Tim!EB39=FIT!$E$1,Tim!EB39,"")</f>
        <v/>
      </c>
      <c r="DY37" s="185" t="str">
        <f>IF(Tim!EC39=FIT!$E$1,Tim!EC39,"")</f>
        <v/>
      </c>
      <c r="DZ37" s="185" t="str">
        <f>IF(Tim!ED39=FIT!$E$1,Tim!ED39,"")</f>
        <v/>
      </c>
      <c r="EA37" s="185" t="str">
        <f>IF(Tim!EE39=FIT!$E$1,Tim!EE39,"")</f>
        <v/>
      </c>
      <c r="EB37" s="185" t="str">
        <f>IF(Tim!EF39=FIT!$E$1,Tim!EF39,"")</f>
        <v/>
      </c>
      <c r="EC37" s="185" t="str">
        <f>IF(Tim!EG39=FIT!$E$1,Tim!EG39,"")</f>
        <v/>
      </c>
      <c r="ED37" s="185" t="str">
        <f>IF(Tim!EH39=FIT!$E$1,Tim!EH39,"")</f>
        <v/>
      </c>
      <c r="EE37" s="185" t="str">
        <f>IF(Tim!EI39=FIT!$E$1,Tim!EI39,"")</f>
        <v/>
      </c>
      <c r="EF37" s="185" t="str">
        <f>IF(Tim!EJ39=FIT!$E$1,Tim!EJ39,"")</f>
        <v/>
      </c>
      <c r="EG37" s="185" t="str">
        <f>IF(Tim!EK39=FIT!$E$1,Tim!EK39,"")</f>
        <v/>
      </c>
      <c r="EH37" s="185" t="str">
        <f>IF(Tim!EL39=FIT!$E$1,Tim!EL39,"")</f>
        <v/>
      </c>
      <c r="EI37" s="185" t="str">
        <f>IF(Tim!EM39=FIT!$E$1,Tim!EM39,"")</f>
        <v/>
      </c>
      <c r="EJ37" s="185" t="str">
        <f>IF(Tim!EN39=FIT!$E$1,Tim!EN39,"")</f>
        <v/>
      </c>
      <c r="EK37" s="185" t="str">
        <f>IF(Tim!EO39=FIT!$E$1,Tim!EO39,"")</f>
        <v/>
      </c>
      <c r="EL37" s="185" t="str">
        <f>IF(Tim!EP39=FIT!$E$1,Tim!EP39,"")</f>
        <v/>
      </c>
      <c r="EM37" s="185" t="str">
        <f>IF(Tim!EQ39=FIT!$E$1,Tim!EQ39,"")</f>
        <v/>
      </c>
      <c r="EN37" s="185" t="str">
        <f>IF(Tim!ER39=FIT!$E$1,Tim!ER39,"")</f>
        <v/>
      </c>
      <c r="EO37" s="185" t="str">
        <f>IF(Tim!ES39=FIT!$E$1,Tim!ES39,"")</f>
        <v/>
      </c>
      <c r="EP37" s="185" t="str">
        <f>IF(Tim!ET39=FIT!$E$1,Tim!ET39,"")</f>
        <v/>
      </c>
      <c r="EQ37" s="185" t="str">
        <f>IF(Tim!EU39=FIT!$E$1,Tim!EU39,"")</f>
        <v/>
      </c>
      <c r="ER37" s="185" t="str">
        <f>IF(Tim!EV39=FIT!$E$1,Tim!EV39,"")</f>
        <v/>
      </c>
      <c r="ES37" s="185" t="str">
        <f>IF(Tim!EW39=FIT!$E$1,Tim!EW39,"")</f>
        <v/>
      </c>
      <c r="ET37" s="185" t="str">
        <f>IF(Tim!EX39=FIT!$E$1,Tim!EX39,"")</f>
        <v/>
      </c>
      <c r="EU37" s="185" t="str">
        <f>IF(Tim!EY39=FIT!$E$1,Tim!EY39,"")</f>
        <v/>
      </c>
      <c r="EV37" s="185" t="str">
        <f>IF(Tim!EZ39=FIT!$E$1,Tim!EZ39,"")</f>
        <v/>
      </c>
      <c r="EW37" s="185" t="str">
        <f>IF(Tim!FA39=FIT!$E$1,Tim!FA39,"")</f>
        <v/>
      </c>
      <c r="EX37" s="185" t="str">
        <f>IF(Tim!FB39=FIT!$E$1,Tim!FB39,"")</f>
        <v/>
      </c>
      <c r="EY37" s="185" t="str">
        <f>IF(Tim!FC39=FIT!$E$1,Tim!FC39,"")</f>
        <v/>
      </c>
      <c r="EZ37" s="185" t="str">
        <f>IF(Tim!FD39=FIT!$E$1,Tim!FD39,"")</f>
        <v/>
      </c>
      <c r="FA37" s="185" t="str">
        <f>IF(Tim!FE39=FIT!$E$1,Tim!FE39,"")</f>
        <v/>
      </c>
      <c r="FB37" s="185" t="str">
        <f>IF(Tim!FF39=FIT!$E$1,Tim!FF39,"")</f>
        <v/>
      </c>
      <c r="FC37" s="185" t="str">
        <f>IF(Tim!FG39=FIT!$E$1,Tim!FG39,"")</f>
        <v/>
      </c>
      <c r="FD37" s="185" t="str">
        <f>IF(Tim!FH39=FIT!$E$1,Tim!FH39,"")</f>
        <v/>
      </c>
      <c r="FE37" s="185" t="str">
        <f>IF(Tim!FI39=FIT!$E$1,Tim!FI39,"")</f>
        <v/>
      </c>
      <c r="FF37" s="185" t="str">
        <f>IF(Tim!FJ39=FIT!$E$1,Tim!FJ39,"")</f>
        <v/>
      </c>
      <c r="FG37" s="185" t="str">
        <f>IF(Tim!FK39=FIT!$E$1,Tim!FK39,"")</f>
        <v/>
      </c>
      <c r="FH37" s="185" t="str">
        <f>IF(Tim!FL39=FIT!$E$1,Tim!FL39,"")</f>
        <v/>
      </c>
      <c r="FI37" s="185" t="str">
        <f>IF(Tim!FM39=FIT!$E$1,Tim!FM39,"")</f>
        <v/>
      </c>
      <c r="FJ37" s="185" t="str">
        <f>IF(Tim!FN39=FIT!$E$1,Tim!FN39,"")</f>
        <v/>
      </c>
      <c r="FK37" s="185" t="str">
        <f>IF(Tim!FO39=FIT!$E$1,Tim!FO39,"")</f>
        <v/>
      </c>
      <c r="FL37" s="185" t="str">
        <f>IF(Tim!FP39=FIT!$E$1,Tim!FP39,"")</f>
        <v/>
      </c>
      <c r="FM37" s="185" t="str">
        <f>IF(Tim!FQ39=FIT!$E$1,Tim!FQ39,"")</f>
        <v/>
      </c>
      <c r="FN37" s="185" t="str">
        <f>IF(Tim!FR39=FIT!$E$1,Tim!FR39,"")</f>
        <v/>
      </c>
      <c r="FO37" s="185" t="str">
        <f>IF(Tim!FS39=FIT!$E$1,Tim!FS39,"")</f>
        <v/>
      </c>
      <c r="FP37" s="185" t="str">
        <f>IF(Tim!FT39=FIT!$E$1,Tim!FT39,"")</f>
        <v/>
      </c>
      <c r="FQ37" s="185" t="str">
        <f>IF(Tim!FU39=FIT!$E$1,Tim!FU39,"")</f>
        <v/>
      </c>
      <c r="FR37" s="185" t="str">
        <f>IF(Tim!FV39=FIT!$E$1,Tim!FV39,"")</f>
        <v/>
      </c>
      <c r="FS37" s="185" t="str">
        <f>IF(Tim!FW39=FIT!$E$1,Tim!FW39,"")</f>
        <v/>
      </c>
      <c r="FT37" s="185" t="str">
        <f>IF(Tim!FX39=FIT!$E$1,Tim!FX39,"")</f>
        <v/>
      </c>
      <c r="FU37" s="185" t="str">
        <f>IF(Tim!FY39=FIT!$E$1,Tim!FY39,"")</f>
        <v/>
      </c>
      <c r="FV37" s="185" t="str">
        <f>IF(Tim!FZ39=FIT!$E$1,Tim!FZ39,"")</f>
        <v/>
      </c>
      <c r="FW37" s="185" t="str">
        <f>IF(Tim!GA39=FIT!$E$1,Tim!GA39,"")</f>
        <v/>
      </c>
      <c r="FX37" s="185" t="str">
        <f>IF(Tim!GB39=FIT!$E$1,Tim!GB39,"")</f>
        <v/>
      </c>
      <c r="FY37" s="185" t="str">
        <f>IF(Tim!GC39=FIT!$E$1,Tim!GC39,"")</f>
        <v/>
      </c>
      <c r="FZ37" s="185" t="str">
        <f>IF(Tim!GD39=FIT!$E$1,Tim!GD39,"")</f>
        <v/>
      </c>
      <c r="GA37" s="185" t="str">
        <f>IF(Tim!GE39=FIT!$E$1,Tim!GE39,"")</f>
        <v/>
      </c>
      <c r="GB37" s="185" t="str">
        <f>IF(Tim!GF39=FIT!$E$1,Tim!GF39,"")</f>
        <v/>
      </c>
      <c r="GC37" s="185" t="str">
        <f>IF(Tim!GG39=FIT!$E$1,Tim!GG39,"")</f>
        <v/>
      </c>
      <c r="GD37" s="185" t="str">
        <f>IF(Tim!GH39=FIT!$E$1,Tim!GH39,"")</f>
        <v/>
      </c>
      <c r="GE37" s="185" t="str">
        <f>IF(Tim!GI39=FIT!$E$1,Tim!GI39,"")</f>
        <v/>
      </c>
      <c r="GF37" s="185" t="str">
        <f>IF(Tim!GJ39=FIT!$E$1,Tim!GJ39,"")</f>
        <v/>
      </c>
      <c r="GG37" s="185" t="str">
        <f>IF(Tim!GK39=FIT!$E$1,Tim!GK39,"")</f>
        <v/>
      </c>
      <c r="GH37" s="185" t="str">
        <f>IF(Tim!GL39=FIT!$E$1,Tim!GL39,"")</f>
        <v/>
      </c>
      <c r="GI37" s="185" t="str">
        <f>IF(Tim!GM39=FIT!$E$1,Tim!GM39,"")</f>
        <v/>
      </c>
      <c r="GJ37" s="185" t="str">
        <f>IF(Tim!GN39=FIT!$E$1,Tim!GN39,"")</f>
        <v/>
      </c>
      <c r="GK37" s="185" t="str">
        <f>IF(Tim!GO39=FIT!$E$1,Tim!GO39,"")</f>
        <v/>
      </c>
      <c r="GL37" s="185" t="str">
        <f>IF(Tim!GP39=FIT!$E$1,Tim!GP39,"")</f>
        <v/>
      </c>
      <c r="GM37" s="185" t="str">
        <f>IF(Tim!GQ39=FIT!$E$1,Tim!GQ39,"")</f>
        <v/>
      </c>
      <c r="GN37" s="185" t="str">
        <f>IF(Tim!GR39=FIT!$E$1,Tim!GR39,"")</f>
        <v/>
      </c>
      <c r="GO37" s="185" t="str">
        <f>IF(Tim!GS39=FIT!$E$1,Tim!GS39,"")</f>
        <v/>
      </c>
      <c r="GP37" s="185" t="str">
        <f>IF(Tim!GT39=FIT!$E$1,Tim!GT39,"")</f>
        <v/>
      </c>
      <c r="GQ37" s="185" t="str">
        <f>IF(Tim!GU39=FIT!$E$1,Tim!GU39,"")</f>
        <v/>
      </c>
      <c r="GR37" s="185" t="str">
        <f>IF(Tim!GV39=FIT!$E$1,Tim!GV39,"")</f>
        <v/>
      </c>
      <c r="GS37" s="185" t="str">
        <f>IF(Tim!GW39=FIT!$E$1,Tim!GW39,"")</f>
        <v/>
      </c>
      <c r="GT37" s="185" t="str">
        <f>IF(Tim!GX39=FIT!$E$1,Tim!GX39,"")</f>
        <v/>
      </c>
      <c r="GU37" s="185" t="str">
        <f>IF(Tim!GY39=FIT!$E$1,Tim!GY39,"")</f>
        <v/>
      </c>
      <c r="GV37" s="185" t="str">
        <f>IF(Tim!GZ39=FIT!$E$1,Tim!GZ39,"")</f>
        <v/>
      </c>
      <c r="GW37" s="185" t="str">
        <f>IF(Tim!HA39=FIT!$E$1,Tim!HA39,"")</f>
        <v/>
      </c>
      <c r="GX37" s="185" t="str">
        <f>IF(Tim!HB39=FIT!$E$1,Tim!HB39,"")</f>
        <v/>
      </c>
      <c r="GY37" s="185" t="str">
        <f>IF(Tim!HC39=FIT!$E$1,Tim!HC39,"")</f>
        <v/>
      </c>
      <c r="GZ37" s="185" t="str">
        <f>IF(Tim!HD39=FIT!$E$1,Tim!HD39,"")</f>
        <v/>
      </c>
      <c r="HA37" s="185" t="str">
        <f>IF(Tim!HE39=FIT!$E$1,Tim!HE39,"")</f>
        <v/>
      </c>
      <c r="HB37" s="185" t="str">
        <f>IF(Tim!HF39=FIT!$E$1,Tim!HF39,"")</f>
        <v/>
      </c>
      <c r="HC37" s="185" t="str">
        <f>IF(Tim!HG39=FIT!$E$1,Tim!HG39,"")</f>
        <v/>
      </c>
      <c r="HD37" s="185" t="str">
        <f>IF(Tim!HH39=FIT!$E$1,Tim!HH39,"")</f>
        <v/>
      </c>
      <c r="HE37" s="185" t="str">
        <f>IF(Tim!HI39=FIT!$E$1,Tim!HI39,"")</f>
        <v/>
      </c>
      <c r="HF37" s="185" t="str">
        <f>IF(Tim!HJ39=FIT!$E$1,Tim!HJ39,"")</f>
        <v/>
      </c>
      <c r="HG37" s="185" t="str">
        <f>IF(Tim!HK39=FIT!$E$1,Tim!HK39,"")</f>
        <v/>
      </c>
      <c r="HH37" s="185" t="str">
        <f>IF(Tim!HL39=FIT!$E$1,Tim!HL39,"")</f>
        <v/>
      </c>
      <c r="HI37" s="185" t="str">
        <f>IF(Tim!HM39=FIT!$E$1,Tim!HM39,"")</f>
        <v/>
      </c>
      <c r="HJ37" s="185" t="str">
        <f>IF(Tim!HN39=FIT!$E$1,Tim!HN39,"")</f>
        <v/>
      </c>
      <c r="HK37" s="185" t="str">
        <f>IF(Tim!HO39=FIT!$E$1,Tim!HO39,"")</f>
        <v/>
      </c>
      <c r="HL37" s="185" t="str">
        <f>IF(Tim!HP39=FIT!$E$1,Tim!HP39,"")</f>
        <v/>
      </c>
      <c r="HM37" s="185" t="str">
        <f>IF(Tim!HQ39=FIT!$E$1,Tim!HQ39,"")</f>
        <v/>
      </c>
      <c r="HN37" s="185" t="str">
        <f>IF(Tim!HR39=FIT!$E$1,Tim!HR39,"")</f>
        <v/>
      </c>
      <c r="HO37" s="185" t="str">
        <f>IF(Tim!HS39=FIT!$E$1,Tim!HS39,"")</f>
        <v/>
      </c>
      <c r="HP37" s="185" t="str">
        <f>IF(Tim!HT39=FIT!$E$1,Tim!HT39,"")</f>
        <v/>
      </c>
      <c r="HQ37" s="185" t="str">
        <f>IF(Tim!HU39=FIT!$E$1,Tim!HU39,"")</f>
        <v/>
      </c>
      <c r="HR37" s="185" t="str">
        <f>IF(Tim!HV39=FIT!$E$1,Tim!HV39,"")</f>
        <v/>
      </c>
      <c r="HS37" s="185" t="str">
        <f>IF(Tim!HW39=FIT!$E$1,Tim!HW39,"")</f>
        <v/>
      </c>
      <c r="HT37" s="185" t="str">
        <f>IF(Tim!HX39=FIT!$E$1,Tim!HX39,"")</f>
        <v/>
      </c>
      <c r="HU37" s="185" t="str">
        <f>IF(Tim!HY39=FIT!$E$1,Tim!HY39,"")</f>
        <v/>
      </c>
      <c r="HV37" s="185" t="str">
        <f>IF(Tim!HZ39=FIT!$E$1,Tim!HZ39,"")</f>
        <v/>
      </c>
      <c r="HW37" s="185" t="str">
        <f>IF(Tim!IA39=FIT!$E$1,Tim!IA39,"")</f>
        <v/>
      </c>
      <c r="HX37" s="185" t="str">
        <f>IF(Tim!IB39=FIT!$E$1,Tim!IB39,"")</f>
        <v/>
      </c>
      <c r="HY37" s="185" t="str">
        <f>IF(Tim!IC39=FIT!$E$1,Tim!IC39,"")</f>
        <v/>
      </c>
      <c r="HZ37" s="185" t="str">
        <f>IF(Tim!ID39=FIT!$E$1,Tim!ID39,"")</f>
        <v/>
      </c>
      <c r="IA37" s="185" t="str">
        <f>IF(Tim!IE39=FIT!$E$1,Tim!IE39,"")</f>
        <v/>
      </c>
      <c r="IB37" s="185" t="str">
        <f>IF(Tim!IF39=FIT!$E$1,Tim!IF39,"")</f>
        <v/>
      </c>
      <c r="IC37" s="185" t="str">
        <f>IF(Tim!IG39=FIT!$E$1,Tim!IG39,"")</f>
        <v/>
      </c>
      <c r="ID37" s="185" t="str">
        <f>IF(Tim!IH39=FIT!$E$1,Tim!IH39,"")</f>
        <v/>
      </c>
      <c r="IE37" s="185" t="str">
        <f>IF(Tim!II39=FIT!$E$1,Tim!II39,"")</f>
        <v/>
      </c>
      <c r="IF37" s="185" t="str">
        <f>IF(Tim!IJ39=FIT!$E$1,Tim!IJ39,"")</f>
        <v/>
      </c>
      <c r="IG37" s="185" t="str">
        <f>IF(Tim!IK39=FIT!$E$1,Tim!IK39,"")</f>
        <v/>
      </c>
      <c r="IH37" s="185" t="str">
        <f>IF(Tim!IL39=FIT!$E$1,Tim!IL39,"")</f>
        <v/>
      </c>
      <c r="II37" s="185" t="str">
        <f>IF(Tim!IM39=FIT!$E$1,Tim!IM39,"")</f>
        <v/>
      </c>
      <c r="IJ37" s="185" t="str">
        <f>IF(Tim!IN39=FIT!$E$1,Tim!IN39,"")</f>
        <v/>
      </c>
      <c r="IK37" s="185" t="str">
        <f>IF(Tim!IO39=FIT!$E$1,Tim!IO39,"")</f>
        <v/>
      </c>
      <c r="IL37" s="185" t="str">
        <f>IF(Tim!IP39=FIT!$E$1,Tim!IP39,"")</f>
        <v/>
      </c>
      <c r="IM37" s="185" t="str">
        <f>IF(Tim!IQ39=FIT!$E$1,Tim!IQ39,"")</f>
        <v/>
      </c>
      <c r="IN37" s="185" t="str">
        <f>IF(Tim!IR39=FIT!$E$1,Tim!IR39,"")</f>
        <v/>
      </c>
      <c r="IO37" s="185" t="str">
        <f>IF(Tim!IS39=FIT!$E$1,Tim!IS39,"")</f>
        <v/>
      </c>
      <c r="IP37" s="185" t="str">
        <f>IF(Tim!IT39=FIT!$E$1,Tim!IT39,"")</f>
        <v/>
      </c>
      <c r="IQ37" s="185" t="str">
        <f>IF(Tim!IU39=FIT!$E$1,Tim!IU39,"")</f>
        <v/>
      </c>
      <c r="IR37" s="185" t="str">
        <f>IF(Tim!IV39=FIT!$E$1,Tim!IV39,"")</f>
        <v/>
      </c>
      <c r="IS37" s="185" t="str">
        <f>IF(Tim!IW39=FIT!$E$1,Tim!IW39,"")</f>
        <v/>
      </c>
      <c r="IT37" s="185" t="str">
        <f>IF(Tim!IX39=FIT!$E$1,Tim!IX39,"")</f>
        <v/>
      </c>
      <c r="IU37" s="185" t="str">
        <f>IF(Tim!IY39=FIT!$E$1,Tim!IY39,"")</f>
        <v/>
      </c>
      <c r="IV37" s="185" t="str">
        <f>IF(Tim!IZ39=FIT!$E$1,Tim!IZ39,"")</f>
        <v/>
      </c>
      <c r="IW37" s="185" t="str">
        <f>IF(Tim!JA39=FIT!$E$1,Tim!JA39,"")</f>
        <v/>
      </c>
      <c r="IX37" s="185" t="str">
        <f>IF(Tim!JB39=FIT!$E$1,Tim!JB39,"")</f>
        <v/>
      </c>
      <c r="IY37" s="185" t="str">
        <f>IF(Tim!JC39=FIT!$E$1,Tim!JC39,"")</f>
        <v/>
      </c>
      <c r="IZ37" s="185" t="str">
        <f>IF(Tim!JD39=FIT!$E$1,Tim!JD39,"")</f>
        <v/>
      </c>
      <c r="JA37" s="185" t="str">
        <f>IF(Tim!JE39=FIT!$E$1,Tim!JE39,"")</f>
        <v/>
      </c>
      <c r="JB37" s="185" t="str">
        <f>IF(Tim!JF39=FIT!$E$1,Tim!JF39,"")</f>
        <v/>
      </c>
      <c r="JC37" s="185" t="str">
        <f>IF(Tim!JG39=FIT!$E$1,Tim!JG39,"")</f>
        <v/>
      </c>
      <c r="JD37" s="185" t="str">
        <f>IF(Tim!JH39=FIT!$E$1,Tim!JH39,"")</f>
        <v/>
      </c>
      <c r="JE37" s="185" t="str">
        <f>IF(Tim!JI39=FIT!$E$1,Tim!JI39,"")</f>
        <v/>
      </c>
      <c r="JF37" s="185" t="str">
        <f>IF(Tim!JJ39=FIT!$E$1,Tim!JJ39,"")</f>
        <v/>
      </c>
      <c r="JG37" s="185" t="str">
        <f>IF(Tim!JK39=FIT!$E$1,Tim!JK39,"")</f>
        <v/>
      </c>
      <c r="JH37" s="185" t="str">
        <f>IF(Tim!JL39=FIT!$E$1,Tim!JL39,"")</f>
        <v/>
      </c>
      <c r="JI37" s="185" t="str">
        <f>IF(Tim!JM39=FIT!$E$1,Tim!JM39,"")</f>
        <v/>
      </c>
      <c r="JJ37" s="185" t="str">
        <f>IF(Tim!JN39=FIT!$E$1,Tim!JN39,"")</f>
        <v/>
      </c>
      <c r="JK37" s="185" t="str">
        <f>IF(Tim!JO39=FIT!$E$1,Tim!JO39,"")</f>
        <v/>
      </c>
      <c r="JL37" s="185" t="str">
        <f>IF(Tim!JP39=FIT!$E$1,Tim!JP39,"")</f>
        <v/>
      </c>
      <c r="JM37" s="185" t="str">
        <f>IF(Tim!JQ39=FIT!$E$1,Tim!JQ39,"")</f>
        <v/>
      </c>
      <c r="JN37" s="185" t="str">
        <f>IF(Tim!JR39=FIT!$E$1,Tim!JR39,"")</f>
        <v/>
      </c>
      <c r="JO37" s="185" t="str">
        <f>IF(Tim!JS39=FIT!$E$1,Tim!JS39,"")</f>
        <v/>
      </c>
      <c r="JP37" s="185" t="str">
        <f>IF(Tim!JT39=FIT!$E$1,Tim!JT39,"")</f>
        <v/>
      </c>
      <c r="JQ37" s="185" t="str">
        <f>IF(Tim!JU39=FIT!$E$1,Tim!JU39,"")</f>
        <v/>
      </c>
      <c r="JR37" s="185" t="str">
        <f>IF(Tim!JV39=FIT!$E$1,Tim!JV39,"")</f>
        <v/>
      </c>
      <c r="JS37" s="185" t="str">
        <f>IF(Tim!JW39=FIT!$E$1,Tim!JW39,"")</f>
        <v/>
      </c>
      <c r="JT37" s="185" t="str">
        <f>IF(Tim!JX39=FIT!$E$1,Tim!JX39,"")</f>
        <v/>
      </c>
      <c r="JU37" s="185" t="str">
        <f>IF(Tim!JY39=FIT!$E$1,Tim!JY39,"")</f>
        <v/>
      </c>
      <c r="JV37" s="185" t="str">
        <f>IF(Tim!JZ39=FIT!$E$1,Tim!JZ39,"")</f>
        <v/>
      </c>
      <c r="JW37" s="185" t="str">
        <f>IF(Tim!KA39=FIT!$E$1,Tim!KA39,"")</f>
        <v/>
      </c>
      <c r="JX37" s="185" t="str">
        <f>IF(Tim!KB39=FIT!$E$1,Tim!KB39,"")</f>
        <v/>
      </c>
      <c r="JY37" s="185" t="str">
        <f>IF(Tim!KC39=FIT!$E$1,Tim!KC39,"")</f>
        <v/>
      </c>
      <c r="JZ37" s="185" t="str">
        <f>IF(Tim!KD39=FIT!$E$1,Tim!KD39,"")</f>
        <v/>
      </c>
      <c r="KA37" s="185" t="str">
        <f>IF(Tim!KE39=FIT!$E$1,Tim!KE39,"")</f>
        <v/>
      </c>
      <c r="KB37" s="185" t="str">
        <f>IF(Tim!KF39=FIT!$E$1,Tim!KF39,"")</f>
        <v/>
      </c>
      <c r="KC37" s="185" t="str">
        <f>IF(Tim!KG39=FIT!$E$1,Tim!KG39,"")</f>
        <v/>
      </c>
      <c r="KD37" s="185" t="str">
        <f>IF(Tim!KH39=FIT!$E$1,Tim!KH39,"")</f>
        <v/>
      </c>
      <c r="KE37" s="185" t="str">
        <f>IF(Tim!KI39=FIT!$E$1,Tim!KI39,"")</f>
        <v/>
      </c>
      <c r="KF37" s="185" t="str">
        <f>IF(Tim!KJ39=FIT!$E$1,Tim!KJ39,"")</f>
        <v/>
      </c>
      <c r="KG37" s="185" t="str">
        <f>IF(Tim!KK39=FIT!$E$1,Tim!KK39,"")</f>
        <v/>
      </c>
      <c r="KH37" s="185" t="str">
        <f>IF(Tim!KL39=FIT!$E$1,Tim!KL39,"")</f>
        <v/>
      </c>
      <c r="KI37" s="185" t="str">
        <f>IF(Tim!KM39=FIT!$E$1,Tim!KM39,"")</f>
        <v/>
      </c>
      <c r="KJ37" s="185" t="str">
        <f>IF(Tim!KN39=FIT!$E$1,Tim!KN39,"")</f>
        <v/>
      </c>
      <c r="KK37" s="185" t="str">
        <f>IF(Tim!KO39=FIT!$E$1,Tim!KO39,"")</f>
        <v/>
      </c>
      <c r="KL37" s="185" t="str">
        <f>IF(Tim!KP39=FIT!$E$1,Tim!KP39,"")</f>
        <v/>
      </c>
      <c r="KM37" s="185" t="str">
        <f>IF(Tim!KQ39=FIT!$E$1,Tim!KQ39,"")</f>
        <v/>
      </c>
      <c r="KN37" s="185" t="str">
        <f>IF(Tim!KR39=FIT!$E$1,Tim!KR39,"")</f>
        <v/>
      </c>
      <c r="KO37" s="185" t="str">
        <f>IF(Tim!KS39=FIT!$E$1,Tim!KS39,"")</f>
        <v/>
      </c>
      <c r="KP37" s="185" t="str">
        <f>IF(Tim!KT39=FIT!$E$1,Tim!KT39,"")</f>
        <v/>
      </c>
      <c r="KQ37" s="185" t="str">
        <f>IF(Tim!KU39=FIT!$E$1,Tim!KU39,"")</f>
        <v/>
      </c>
      <c r="KR37" s="185" t="str">
        <f>IF(Tim!KV39=FIT!$E$1,Tim!KV39,"")</f>
        <v/>
      </c>
      <c r="KS37" s="185" t="str">
        <f>IF(Tim!KW39=FIT!$E$1,Tim!KW39,"")</f>
        <v/>
      </c>
      <c r="KT37" s="185" t="str">
        <f>IF(Tim!KX39=FIT!$E$1,Tim!KX39,"")</f>
        <v/>
      </c>
      <c r="KU37" s="185" t="str">
        <f>IF(Tim!KY39=FIT!$E$1,Tim!KY39,"")</f>
        <v/>
      </c>
      <c r="KV37" s="185" t="str">
        <f>IF(Tim!KZ39=FIT!$E$1,Tim!KZ39,"")</f>
        <v/>
      </c>
      <c r="KW37" s="185" t="str">
        <f>IF(Tim!LA39=FIT!$E$1,Tim!LA39,"")</f>
        <v/>
      </c>
      <c r="KX37" s="185" t="str">
        <f>IF(Tim!LB39=FIT!$E$1,Tim!LB39,"")</f>
        <v/>
      </c>
      <c r="KY37" s="185" t="str">
        <f>IF(Tim!LC39=FIT!$E$1,Tim!LC39,"")</f>
        <v/>
      </c>
      <c r="KZ37" s="185" t="str">
        <f>IF(Tim!LD39=FIT!$E$1,Tim!LD39,"")</f>
        <v/>
      </c>
      <c r="LA37" s="185" t="str">
        <f>IF(Tim!LE39=FIT!$E$1,Tim!LE39,"")</f>
        <v/>
      </c>
      <c r="LB37" s="52">
        <v>0.624999999999999</v>
      </c>
    </row>
    <row r="38" spans="2:314" ht="10.5" customHeight="1">
      <c r="B38" s="49">
        <v>0.25</v>
      </c>
      <c r="C38" s="49">
        <v>0.25</v>
      </c>
      <c r="D38" s="49">
        <v>0.25</v>
      </c>
      <c r="E38" s="172">
        <v>0.63541666666666596</v>
      </c>
      <c r="F38" s="238" t="str">
        <f>IF(Tim!F40=FIT!$E$1,Tim!F40,"")</f>
        <v/>
      </c>
      <c r="G38" s="185" t="str">
        <f>IF(Tim!G40=FIT!$E$1,Tim!G40,"")</f>
        <v/>
      </c>
      <c r="H38" s="185" t="str">
        <f>IF(Tim!H40=FIT!$E$1,Tim!H40,"")</f>
        <v/>
      </c>
      <c r="I38" s="185" t="str">
        <f>IF(Tim!I40=FIT!$E$1,Tim!I40,"")</f>
        <v/>
      </c>
      <c r="J38" s="185" t="str">
        <f>IF(Tim!J40=FIT!$E$1,Tim!J40,"")</f>
        <v/>
      </c>
      <c r="K38" s="185" t="str">
        <f>IF(Tim!K40=FIT!$E$1,Tim!K40,"")</f>
        <v/>
      </c>
      <c r="L38" s="185" t="str">
        <f>IF(Tim!L40=FIT!$E$1,Tim!L40,"")</f>
        <v/>
      </c>
      <c r="M38" s="185" t="str">
        <f>IF(Tim!M40=FIT!$E$1,Tim!M40,"")</f>
        <v/>
      </c>
      <c r="N38" s="185" t="str">
        <f>IF(Tim!N40=FIT!$E$1,Tim!N40,"")</f>
        <v/>
      </c>
      <c r="O38" s="185" t="str">
        <f>IF(Tim!O40=FIT!$E$1,Tim!O40,"")</f>
        <v/>
      </c>
      <c r="P38" s="185" t="str">
        <f>IF(Tim!P40=FIT!$E$1,Tim!P40,"")</f>
        <v/>
      </c>
      <c r="Q38" s="185" t="str">
        <f>IF(Tim!Q40=FIT!$E$1,Tim!Q40,"")</f>
        <v/>
      </c>
      <c r="R38" s="185" t="str">
        <f>IF(Tim!R40=FIT!$E$1,Tim!R40,"")</f>
        <v/>
      </c>
      <c r="S38" s="185" t="str">
        <f>IF(Tim!S40=FIT!$E$1,Tim!S40,"")</f>
        <v/>
      </c>
      <c r="T38" s="185" t="str">
        <f>IF(Tim!T40=FIT!$E$1,Tim!T40,"")</f>
        <v/>
      </c>
      <c r="U38" s="185" t="str">
        <f>IF(Tim!U40=FIT!$E$1,Tim!U40,"")</f>
        <v/>
      </c>
      <c r="V38" s="185" t="str">
        <f>IF(Tim!W40=FIT!$E$1,Tim!W40,"")</f>
        <v/>
      </c>
      <c r="W38" s="185" t="str">
        <f>IF(Tim!X40=FIT!$E$1,Tim!X40,"")</f>
        <v/>
      </c>
      <c r="X38" s="185" t="str">
        <f>IF(Tim!Y40=FIT!$E$1,Tim!Y40,"")</f>
        <v/>
      </c>
      <c r="Y38" s="185" t="str">
        <f>IF(Tim!Z40=FIT!$E$1,Tim!Z40,"")</f>
        <v/>
      </c>
      <c r="Z38" s="185" t="str">
        <f>IF(Tim!AA40=FIT!$E$1,Tim!AA40,"")</f>
        <v/>
      </c>
      <c r="AA38" s="185" t="str">
        <f>IF(Tim!AB40=FIT!$E$1,Tim!AB40,"")</f>
        <v/>
      </c>
      <c r="AB38" s="185" t="str">
        <f>IF(Tim!AC40=FIT!$E$1,Tim!AC40,"")</f>
        <v/>
      </c>
      <c r="AC38" s="185" t="str">
        <f>IF(Tim!AD40=FIT!$E$1,Tim!AD40,"")</f>
        <v/>
      </c>
      <c r="AD38" s="185" t="str">
        <f>IF(Tim!AE40=FIT!$E$1,Tim!AE40,"")</f>
        <v/>
      </c>
      <c r="AE38" s="185" t="str">
        <f>IF(Tim!AF40=FIT!$E$1,Tim!AF40,"")</f>
        <v/>
      </c>
      <c r="AF38" s="185" t="str">
        <f>IF(Tim!AG40=FIT!$E$1,Tim!AG40,"")</f>
        <v/>
      </c>
      <c r="AG38" s="185" t="str">
        <f>IF(Tim!AH40=FIT!$E$1,Tim!AH40,"")</f>
        <v/>
      </c>
      <c r="AH38" s="185" t="str">
        <f>IF(Tim!AI40=FIT!$E$1,Tim!AI40,"")</f>
        <v/>
      </c>
      <c r="AI38" s="185" t="str">
        <f>IF(Tim!AJ40=FIT!$E$1,Tim!AJ40,"")</f>
        <v/>
      </c>
      <c r="AJ38" s="185" t="str">
        <f>IF(Tim!AK40=FIT!$E$1,Tim!AK40,"")</f>
        <v/>
      </c>
      <c r="AK38" s="185" t="str">
        <f>IF(Tim!AL40=FIT!$E$1,Tim!AL40,"")</f>
        <v/>
      </c>
      <c r="AL38" s="185" t="str">
        <f>IF(Tim!AM40=FIT!$E$1,Tim!AM40,"")</f>
        <v/>
      </c>
      <c r="AM38" s="185" t="str">
        <f>IF(Tim!AN40=FIT!$E$1,Tim!AN40,"")</f>
        <v/>
      </c>
      <c r="AN38" s="185" t="str">
        <f>IF(Tim!AO40=FIT!$E$1,Tim!AO40,"")</f>
        <v/>
      </c>
      <c r="AO38" s="185" t="str">
        <f>IF(Tim!AP40=FIT!$E$1,Tim!AP40,"")</f>
        <v/>
      </c>
      <c r="AP38" s="185" t="str">
        <f>IF(Tim!AQ40=FIT!$E$1,Tim!AQ40,"")</f>
        <v/>
      </c>
      <c r="AQ38" s="185" t="str">
        <f>IF(Tim!AR40=FIT!$E$1,Tim!AR40,"")</f>
        <v/>
      </c>
      <c r="AR38" s="185" t="str">
        <f>IF(Tim!AS40=FIT!$E$1,Tim!AS40,"")</f>
        <v/>
      </c>
      <c r="AS38" s="185" t="str">
        <f>IF(Tim!AT40=FIT!$E$1,Tim!AT40,"")</f>
        <v/>
      </c>
      <c r="AT38" s="185" t="str">
        <f>IF(Tim!AU40=FIT!$E$1,Tim!AU40,"")</f>
        <v/>
      </c>
      <c r="AU38" s="185" t="str">
        <f>IF(Tim!AV40=FIT!$E$1,Tim!AV40,"")</f>
        <v/>
      </c>
      <c r="AV38" s="185" t="str">
        <f>IF(Tim!AW40=FIT!$E$1,Tim!AW40,"")</f>
        <v/>
      </c>
      <c r="AW38" s="186" t="str">
        <f>IF(Tim!AX40=FIT!$E$1,Tim!AX40,"")</f>
        <v/>
      </c>
      <c r="AX38" s="243" t="str">
        <f>IF(Tim!AY40=FIT!$E$1,Tim!AY40,"")</f>
        <v/>
      </c>
      <c r="AY38" s="185" t="str">
        <f>IF(Tim!AZ40=FIT!$E$1,Tim!AZ40,"")</f>
        <v/>
      </c>
      <c r="AZ38" s="185" t="str">
        <f>IF(Tim!BA40=FIT!$E$1,Tim!BA40,"")</f>
        <v/>
      </c>
      <c r="BA38" s="185" t="str">
        <f>IF(Tim!BB40=FIT!$E$1,Tim!BB40,"")</f>
        <v/>
      </c>
      <c r="BB38" s="185" t="str">
        <f>IF(Tim!BC40=FIT!$E$1,Tim!BC40,"")</f>
        <v/>
      </c>
      <c r="BC38" s="185" t="str">
        <f>IF(Tim!BD40=FIT!$E$1,Tim!BD40,"")</f>
        <v/>
      </c>
      <c r="BD38" s="185" t="str">
        <f>IF(Tim!BE40=FIT!$E$1,Tim!BE40,"")</f>
        <v/>
      </c>
      <c r="BE38" s="185" t="str">
        <f>IF(Tim!BF40=FIT!$E$1,Tim!BF40,"")</f>
        <v/>
      </c>
      <c r="BF38" s="185" t="str">
        <f>IF(Tim!BG40=FIT!$E$1,Tim!BG40,"")</f>
        <v/>
      </c>
      <c r="BG38" s="185" t="str">
        <f>IF(Tim!BH40=FIT!$E$1,Tim!BH40,"")</f>
        <v/>
      </c>
      <c r="BH38" s="185" t="str">
        <f>IF(Tim!BI40=FIT!$E$1,Tim!BI40,"")</f>
        <v/>
      </c>
      <c r="BI38" s="185" t="str">
        <f>IF(Tim!BJ40=FIT!$E$1,Tim!BJ40,"")</f>
        <v/>
      </c>
      <c r="BJ38" s="185" t="str">
        <f>IF(Tim!BK40=FIT!$E$1,Tim!BK40,"")</f>
        <v/>
      </c>
      <c r="BK38" s="185" t="str">
        <f>IF(Tim!BL40=FIT!$E$1,Tim!BL40,"")</f>
        <v/>
      </c>
      <c r="BL38" s="185" t="str">
        <f>IF(Tim!BM40=FIT!$E$1,Tim!BM40,"")</f>
        <v/>
      </c>
      <c r="BM38" s="185" t="str">
        <f>IF(Tim!BN40=FIT!$E$1,Tim!BN40,"")</f>
        <v/>
      </c>
      <c r="BN38" s="185" t="str">
        <f>IF(Tim!BO40=FIT!$E$1,Tim!BO40,"")</f>
        <v/>
      </c>
      <c r="BO38" s="185" t="str">
        <f>IF(Tim!BP40=FIT!$E$1,Tim!BP40,"")</f>
        <v/>
      </c>
      <c r="BP38" s="185" t="str">
        <f>IF(Tim!BQ40=FIT!$E$1,Tim!BQ40,"")</f>
        <v/>
      </c>
      <c r="BQ38" s="185" t="str">
        <f>IF(Tim!BR40=FIT!$E$1,Tim!BR40,"")</f>
        <v/>
      </c>
      <c r="BR38" s="185" t="str">
        <f>IF(Tim!BS40=FIT!$E$1,Tim!BS40,"")</f>
        <v/>
      </c>
      <c r="BS38" s="185" t="str">
        <f>IF(Tim!BT40=FIT!$E$1,Tim!BT40,"")</f>
        <v/>
      </c>
      <c r="BT38" s="185" t="str">
        <f>IF(Tim!BU40=FIT!$E$1,Tim!BU40,"")</f>
        <v/>
      </c>
      <c r="BU38" s="185" t="str">
        <f>IF(Tim!BV40=FIT!$E$1,Tim!BV40,"")</f>
        <v/>
      </c>
      <c r="BV38" s="185" t="str">
        <f>IF(Tim!BW40=FIT!$E$1,Tim!BW40,"")</f>
        <v/>
      </c>
      <c r="BW38" s="185" t="str">
        <f>IF(Tim!BX40=FIT!$E$1,Tim!BX40,"")</f>
        <v/>
      </c>
      <c r="BX38" s="185" t="str">
        <f>IF(Tim!BY40=FIT!$E$1,Tim!BY40,"")</f>
        <v/>
      </c>
      <c r="BY38" s="185" t="str">
        <f>IF(Tim!BZ40=FIT!$E$1,Tim!BZ40,"")</f>
        <v/>
      </c>
      <c r="BZ38" s="185" t="str">
        <f>IF(Tim!CA40=FIT!$E$1,Tim!CA40,"")</f>
        <v/>
      </c>
      <c r="CA38" s="185" t="str">
        <f>IF(Tim!CB40=FIT!$E$1,Tim!CB40,"")</f>
        <v/>
      </c>
      <c r="CB38" s="185" t="str">
        <f>IF(Tim!CC40=FIT!$E$1,Tim!CC40,"")</f>
        <v/>
      </c>
      <c r="CC38" s="185" t="str">
        <f>IF(Tim!CD40=FIT!$E$1,Tim!CD40,"")</f>
        <v/>
      </c>
      <c r="CD38" s="185" t="str">
        <f>IF(Tim!CE40=FIT!$E$1,Tim!CE40,"")</f>
        <v/>
      </c>
      <c r="CE38" s="185" t="str">
        <f>IF(Tim!CF40=FIT!$E$1,Tim!CF40,"")</f>
        <v/>
      </c>
      <c r="CF38" s="185" t="str">
        <f>IF(Tim!CG40=FIT!$E$1,Tim!CG40,"")</f>
        <v/>
      </c>
      <c r="CG38" s="185" t="str">
        <f>IF(Tim!CH40=FIT!$E$1,Tim!CH40,"")</f>
        <v/>
      </c>
      <c r="CH38" s="185" t="str">
        <f>IF(Tim!CI40=FIT!$E$1,Tim!CI40,"")</f>
        <v/>
      </c>
      <c r="CI38" s="185" t="str">
        <f>IF(Tim!CJ40=FIT!$E$1,Tim!CJ40,"")</f>
        <v/>
      </c>
      <c r="CJ38" s="185" t="str">
        <f>IF(Tim!CK40=FIT!$E$1,Tim!CK40,"")</f>
        <v/>
      </c>
      <c r="CK38" s="185" t="str">
        <f>IF(Tim!CL40=FIT!$E$1,Tim!CL40,"")</f>
        <v/>
      </c>
      <c r="CL38" s="185" t="str">
        <f>IF(Tim!CM40=FIT!$E$1,Tim!CM40,"")</f>
        <v/>
      </c>
      <c r="CM38" s="185" t="str">
        <f>IF(Tim!CN40=FIT!$E$1,Tim!CN40,"")</f>
        <v/>
      </c>
      <c r="CN38" s="185" t="str">
        <f>IF(Tim!CO40=FIT!$E$1,Tim!CO40,"")</f>
        <v/>
      </c>
      <c r="CO38" s="185" t="str">
        <f>IF(Tim!CP40=FIT!$E$1,Tim!CP40,"")</f>
        <v/>
      </c>
      <c r="CP38" s="185" t="str">
        <f>IF(Tim!CQ40=FIT!$E$1,Tim!CQ40,"")</f>
        <v/>
      </c>
      <c r="CQ38" s="185" t="str">
        <f>IF(Tim!CR40=FIT!$E$1,Tim!CR40,"")</f>
        <v/>
      </c>
      <c r="CR38" s="185" t="str">
        <f>IF(Tim!CS40=FIT!$E$1,Tim!CS40,"")</f>
        <v/>
      </c>
      <c r="CS38" s="185" t="str">
        <f>IF(Tim!CT40=FIT!$E$1,Tim!CT40,"")</f>
        <v/>
      </c>
      <c r="CT38" s="185" t="str">
        <f>IF(Tim!CU40=FIT!$E$1,Tim!CU40,"")</f>
        <v/>
      </c>
      <c r="CU38" s="185" t="str">
        <f>IF(Tim!CV40=FIT!$E$1,Tim!CV40,"")</f>
        <v/>
      </c>
      <c r="CV38" s="185" t="str">
        <f>IF(Tim!CW40=FIT!$E$1,Tim!CW40,"")</f>
        <v/>
      </c>
      <c r="CW38" s="185" t="str">
        <f>IF(Tim!CX40=FIT!$E$1,Tim!CX40,"")</f>
        <v/>
      </c>
      <c r="CX38" s="185" t="str">
        <f>IF(Tim!CY40=FIT!$E$1,Tim!CY40,"")</f>
        <v/>
      </c>
      <c r="CY38" s="185" t="str">
        <f>IF(Tim!CZ40=FIT!$E$1,Tim!CZ40,"")</f>
        <v/>
      </c>
      <c r="CZ38" s="185" t="str">
        <f>IF(Tim!DA40=FIT!$E$1,Tim!DA40,"")</f>
        <v/>
      </c>
      <c r="DA38" s="185" t="str">
        <f>IF(Tim!DB40=FIT!$E$1,Tim!DB40,"")</f>
        <v/>
      </c>
      <c r="DB38" s="185" t="str">
        <f>IF(Tim!DC40=FIT!$E$1,Tim!DC40,"")</f>
        <v/>
      </c>
      <c r="DC38" s="185" t="str">
        <f>IF(Tim!DD40=FIT!$E$1,Tim!DD40,"")</f>
        <v/>
      </c>
      <c r="DD38" s="185" t="str">
        <f>IF(Tim!DE40=FIT!$E$1,Tim!DE40,"")</f>
        <v/>
      </c>
      <c r="DE38" s="185" t="str">
        <f>IF(Tim!DF40=FIT!$E$1,Tim!DF40,"")</f>
        <v/>
      </c>
      <c r="DF38" s="185" t="str">
        <f>IF(Tim!DG40=FIT!$E$1,Tim!DG40,"")</f>
        <v/>
      </c>
      <c r="DG38" s="185" t="str">
        <f>IF(Tim!DH40=FIT!$E$1,Tim!DH40,"")</f>
        <v/>
      </c>
      <c r="DH38" s="185" t="str">
        <f>IF(Tim!DI40=FIT!$E$1,Tim!DI40,"")</f>
        <v/>
      </c>
      <c r="DI38" s="185" t="str">
        <f>IF(Tim!DM40=FIT!$E$1,Tim!DM40,"")</f>
        <v/>
      </c>
      <c r="DJ38" s="185" t="str">
        <f>IF(Tim!DN40=FIT!$E$1,Tim!DN40,"")</f>
        <v/>
      </c>
      <c r="DK38" s="185" t="str">
        <f>IF(Tim!DO40=FIT!$E$1,Tim!DO40,"")</f>
        <v/>
      </c>
      <c r="DL38" s="185" t="str">
        <f>IF(Tim!DP40=FIT!$E$1,Tim!DP40,"")</f>
        <v/>
      </c>
      <c r="DM38" s="185" t="str">
        <f>IF(Tim!DQ40=FIT!$E$1,Tim!DQ40,"")</f>
        <v/>
      </c>
      <c r="DN38" s="185" t="str">
        <f>IF(Tim!DR40=FIT!$E$1,Tim!DR40,"")</f>
        <v/>
      </c>
      <c r="DO38" s="185" t="str">
        <f>IF(Tim!DS40=FIT!$E$1,Tim!DS40,"")</f>
        <v/>
      </c>
      <c r="DP38" s="185" t="str">
        <f>IF(Tim!DT40=FIT!$E$1,Tim!DT40,"")</f>
        <v/>
      </c>
      <c r="DQ38" s="185" t="str">
        <f>IF(Tim!DU40=FIT!$E$1,Tim!DU40,"")</f>
        <v/>
      </c>
      <c r="DR38" s="185" t="str">
        <f>IF(Tim!DV40=FIT!$E$1,Tim!DV40,"")</f>
        <v/>
      </c>
      <c r="DS38" s="185" t="str">
        <f>IF(Tim!DW40=FIT!$E$1,Tim!DW40,"")</f>
        <v/>
      </c>
      <c r="DT38" s="185" t="str">
        <f>IF(Tim!DX40=FIT!$E$1,Tim!DX40,"")</f>
        <v/>
      </c>
      <c r="DU38" s="185" t="str">
        <f>IF(Tim!DY40=FIT!$E$1,Tim!DY40,"")</f>
        <v/>
      </c>
      <c r="DV38" s="185" t="str">
        <f>IF(Tim!DZ40=FIT!$E$1,Tim!DZ40,"")</f>
        <v/>
      </c>
      <c r="DW38" s="185" t="str">
        <f>IF(Tim!EA40=FIT!$E$1,Tim!EA40,"")</f>
        <v/>
      </c>
      <c r="DX38" s="185" t="str">
        <f>IF(Tim!EB40=FIT!$E$1,Tim!EB40,"")</f>
        <v/>
      </c>
      <c r="DY38" s="185" t="str">
        <f>IF(Tim!EC40=FIT!$E$1,Tim!EC40,"")</f>
        <v/>
      </c>
      <c r="DZ38" s="185" t="str">
        <f>IF(Tim!ED40=FIT!$E$1,Tim!ED40,"")</f>
        <v/>
      </c>
      <c r="EA38" s="185" t="str">
        <f>IF(Tim!EE40=FIT!$E$1,Tim!EE40,"")</f>
        <v/>
      </c>
      <c r="EB38" s="185" t="str">
        <f>IF(Tim!EF40=FIT!$E$1,Tim!EF40,"")</f>
        <v/>
      </c>
      <c r="EC38" s="185" t="str">
        <f>IF(Tim!EG40=FIT!$E$1,Tim!EG40,"")</f>
        <v/>
      </c>
      <c r="ED38" s="185" t="str">
        <f>IF(Tim!EH40=FIT!$E$1,Tim!EH40,"")</f>
        <v/>
      </c>
      <c r="EE38" s="185" t="str">
        <f>IF(Tim!EI40=FIT!$E$1,Tim!EI40,"")</f>
        <v/>
      </c>
      <c r="EF38" s="185" t="str">
        <f>IF(Tim!EJ40=FIT!$E$1,Tim!EJ40,"")</f>
        <v/>
      </c>
      <c r="EG38" s="185" t="str">
        <f>IF(Tim!EK40=FIT!$E$1,Tim!EK40,"")</f>
        <v/>
      </c>
      <c r="EH38" s="185" t="str">
        <f>IF(Tim!EL40=FIT!$E$1,Tim!EL40,"")</f>
        <v/>
      </c>
      <c r="EI38" s="185" t="str">
        <f>IF(Tim!EM40=FIT!$E$1,Tim!EM40,"")</f>
        <v/>
      </c>
      <c r="EJ38" s="185" t="str">
        <f>IF(Tim!EN40=FIT!$E$1,Tim!EN40,"")</f>
        <v/>
      </c>
      <c r="EK38" s="185" t="str">
        <f>IF(Tim!EO40=FIT!$E$1,Tim!EO40,"")</f>
        <v/>
      </c>
      <c r="EL38" s="185" t="str">
        <f>IF(Tim!EP40=FIT!$E$1,Tim!EP40,"")</f>
        <v/>
      </c>
      <c r="EM38" s="185" t="str">
        <f>IF(Tim!EQ40=FIT!$E$1,Tim!EQ40,"")</f>
        <v/>
      </c>
      <c r="EN38" s="185" t="str">
        <f>IF(Tim!ER40=FIT!$E$1,Tim!ER40,"")</f>
        <v/>
      </c>
      <c r="EO38" s="185" t="str">
        <f>IF(Tim!ES40=FIT!$E$1,Tim!ES40,"")</f>
        <v/>
      </c>
      <c r="EP38" s="185" t="str">
        <f>IF(Tim!ET40=FIT!$E$1,Tim!ET40,"")</f>
        <v/>
      </c>
      <c r="EQ38" s="185" t="str">
        <f>IF(Tim!EU40=FIT!$E$1,Tim!EU40,"")</f>
        <v/>
      </c>
      <c r="ER38" s="185" t="str">
        <f>IF(Tim!EV40=FIT!$E$1,Tim!EV40,"")</f>
        <v/>
      </c>
      <c r="ES38" s="185" t="str">
        <f>IF(Tim!EW40=FIT!$E$1,Tim!EW40,"")</f>
        <v/>
      </c>
      <c r="ET38" s="185" t="str">
        <f>IF(Tim!EX40=FIT!$E$1,Tim!EX40,"")</f>
        <v/>
      </c>
      <c r="EU38" s="185" t="str">
        <f>IF(Tim!EY40=FIT!$E$1,Tim!EY40,"")</f>
        <v/>
      </c>
      <c r="EV38" s="185" t="str">
        <f>IF(Tim!EZ40=FIT!$E$1,Tim!EZ40,"")</f>
        <v/>
      </c>
      <c r="EW38" s="185" t="str">
        <f>IF(Tim!FA40=FIT!$E$1,Tim!FA40,"")</f>
        <v/>
      </c>
      <c r="EX38" s="185" t="str">
        <f>IF(Tim!FB40=FIT!$E$1,Tim!FB40,"")</f>
        <v/>
      </c>
      <c r="EY38" s="185" t="str">
        <f>IF(Tim!FC40=FIT!$E$1,Tim!FC40,"")</f>
        <v/>
      </c>
      <c r="EZ38" s="185" t="str">
        <f>IF(Tim!FD40=FIT!$E$1,Tim!FD40,"")</f>
        <v/>
      </c>
      <c r="FA38" s="185" t="str">
        <f>IF(Tim!FE40=FIT!$E$1,Tim!FE40,"")</f>
        <v/>
      </c>
      <c r="FB38" s="185" t="str">
        <f>IF(Tim!FF40=FIT!$E$1,Tim!FF40,"")</f>
        <v/>
      </c>
      <c r="FC38" s="185" t="str">
        <f>IF(Tim!FG40=FIT!$E$1,Tim!FG40,"")</f>
        <v/>
      </c>
      <c r="FD38" s="185" t="str">
        <f>IF(Tim!FH40=FIT!$E$1,Tim!FH40,"")</f>
        <v/>
      </c>
      <c r="FE38" s="185" t="str">
        <f>IF(Tim!FI40=FIT!$E$1,Tim!FI40,"")</f>
        <v/>
      </c>
      <c r="FF38" s="185" t="str">
        <f>IF(Tim!FJ40=FIT!$E$1,Tim!FJ40,"")</f>
        <v/>
      </c>
      <c r="FG38" s="185" t="str">
        <f>IF(Tim!FK40=FIT!$E$1,Tim!FK40,"")</f>
        <v/>
      </c>
      <c r="FH38" s="185" t="str">
        <f>IF(Tim!FL40=FIT!$E$1,Tim!FL40,"")</f>
        <v/>
      </c>
      <c r="FI38" s="185" t="str">
        <f>IF(Tim!FM40=FIT!$E$1,Tim!FM40,"")</f>
        <v/>
      </c>
      <c r="FJ38" s="185" t="str">
        <f>IF(Tim!FN40=FIT!$E$1,Tim!FN40,"")</f>
        <v/>
      </c>
      <c r="FK38" s="185" t="str">
        <f>IF(Tim!FO40=FIT!$E$1,Tim!FO40,"")</f>
        <v/>
      </c>
      <c r="FL38" s="185" t="str">
        <f>IF(Tim!FP40=FIT!$E$1,Tim!FP40,"")</f>
        <v/>
      </c>
      <c r="FM38" s="185" t="str">
        <f>IF(Tim!FQ40=FIT!$E$1,Tim!FQ40,"")</f>
        <v/>
      </c>
      <c r="FN38" s="185" t="str">
        <f>IF(Tim!FR40=FIT!$E$1,Tim!FR40,"")</f>
        <v/>
      </c>
      <c r="FO38" s="185" t="str">
        <f>IF(Tim!FS40=FIT!$E$1,Tim!FS40,"")</f>
        <v/>
      </c>
      <c r="FP38" s="185" t="str">
        <f>IF(Tim!FT40=FIT!$E$1,Tim!FT40,"")</f>
        <v/>
      </c>
      <c r="FQ38" s="185" t="str">
        <f>IF(Tim!FU40=FIT!$E$1,Tim!FU40,"")</f>
        <v/>
      </c>
      <c r="FR38" s="185" t="str">
        <f>IF(Tim!FV40=FIT!$E$1,Tim!FV40,"")</f>
        <v/>
      </c>
      <c r="FS38" s="185" t="str">
        <f>IF(Tim!FW40=FIT!$E$1,Tim!FW40,"")</f>
        <v/>
      </c>
      <c r="FT38" s="185" t="str">
        <f>IF(Tim!FX40=FIT!$E$1,Tim!FX40,"")</f>
        <v/>
      </c>
      <c r="FU38" s="185" t="str">
        <f>IF(Tim!FY40=FIT!$E$1,Tim!FY40,"")</f>
        <v/>
      </c>
      <c r="FV38" s="185" t="str">
        <f>IF(Tim!FZ40=FIT!$E$1,Tim!FZ40,"")</f>
        <v/>
      </c>
      <c r="FW38" s="185" t="str">
        <f>IF(Tim!GA40=FIT!$E$1,Tim!GA40,"")</f>
        <v/>
      </c>
      <c r="FX38" s="185" t="str">
        <f>IF(Tim!GB40=FIT!$E$1,Tim!GB40,"")</f>
        <v/>
      </c>
      <c r="FY38" s="185" t="str">
        <f>IF(Tim!GC40=FIT!$E$1,Tim!GC40,"")</f>
        <v/>
      </c>
      <c r="FZ38" s="185" t="str">
        <f>IF(Tim!GD40=FIT!$E$1,Tim!GD40,"")</f>
        <v/>
      </c>
      <c r="GA38" s="185" t="str">
        <f>IF(Tim!GE40=FIT!$E$1,Tim!GE40,"")</f>
        <v/>
      </c>
      <c r="GB38" s="185" t="str">
        <f>IF(Tim!GF40=FIT!$E$1,Tim!GF40,"")</f>
        <v/>
      </c>
      <c r="GC38" s="185" t="str">
        <f>IF(Tim!GG40=FIT!$E$1,Tim!GG40,"")</f>
        <v/>
      </c>
      <c r="GD38" s="185" t="str">
        <f>IF(Tim!GH40=FIT!$E$1,Tim!GH40,"")</f>
        <v/>
      </c>
      <c r="GE38" s="185" t="str">
        <f>IF(Tim!GI40=FIT!$E$1,Tim!GI40,"")</f>
        <v/>
      </c>
      <c r="GF38" s="185" t="str">
        <f>IF(Tim!GJ40=FIT!$E$1,Tim!GJ40,"")</f>
        <v/>
      </c>
      <c r="GG38" s="185" t="str">
        <f>IF(Tim!GK40=FIT!$E$1,Tim!GK40,"")</f>
        <v/>
      </c>
      <c r="GH38" s="185" t="str">
        <f>IF(Tim!GL40=FIT!$E$1,Tim!GL40,"")</f>
        <v/>
      </c>
      <c r="GI38" s="185" t="str">
        <f>IF(Tim!GM40=FIT!$E$1,Tim!GM40,"")</f>
        <v/>
      </c>
      <c r="GJ38" s="185" t="str">
        <f>IF(Tim!GN40=FIT!$E$1,Tim!GN40,"")</f>
        <v/>
      </c>
      <c r="GK38" s="185" t="str">
        <f>IF(Tim!GO40=FIT!$E$1,Tim!GO40,"")</f>
        <v/>
      </c>
      <c r="GL38" s="185" t="str">
        <f>IF(Tim!GP40=FIT!$E$1,Tim!GP40,"")</f>
        <v/>
      </c>
      <c r="GM38" s="185" t="str">
        <f>IF(Tim!GQ40=FIT!$E$1,Tim!GQ40,"")</f>
        <v/>
      </c>
      <c r="GN38" s="185" t="str">
        <f>IF(Tim!GR40=FIT!$E$1,Tim!GR40,"")</f>
        <v/>
      </c>
      <c r="GO38" s="185" t="str">
        <f>IF(Tim!GS40=FIT!$E$1,Tim!GS40,"")</f>
        <v/>
      </c>
      <c r="GP38" s="185" t="str">
        <f>IF(Tim!GT40=FIT!$E$1,Tim!GT40,"")</f>
        <v/>
      </c>
      <c r="GQ38" s="185" t="str">
        <f>IF(Tim!GU40=FIT!$E$1,Tim!GU40,"")</f>
        <v/>
      </c>
      <c r="GR38" s="185" t="str">
        <f>IF(Tim!GV40=FIT!$E$1,Tim!GV40,"")</f>
        <v/>
      </c>
      <c r="GS38" s="185" t="str">
        <f>IF(Tim!GW40=FIT!$E$1,Tim!GW40,"")</f>
        <v/>
      </c>
      <c r="GT38" s="185" t="str">
        <f>IF(Tim!GX40=FIT!$E$1,Tim!GX40,"")</f>
        <v/>
      </c>
      <c r="GU38" s="185" t="str">
        <f>IF(Tim!GY40=FIT!$E$1,Tim!GY40,"")</f>
        <v/>
      </c>
      <c r="GV38" s="185" t="str">
        <f>IF(Tim!GZ40=FIT!$E$1,Tim!GZ40,"")</f>
        <v/>
      </c>
      <c r="GW38" s="185" t="str">
        <f>IF(Tim!HA40=FIT!$E$1,Tim!HA40,"")</f>
        <v/>
      </c>
      <c r="GX38" s="185" t="str">
        <f>IF(Tim!HB40=FIT!$E$1,Tim!HB40,"")</f>
        <v/>
      </c>
      <c r="GY38" s="185" t="str">
        <f>IF(Tim!HC40=FIT!$E$1,Tim!HC40,"")</f>
        <v/>
      </c>
      <c r="GZ38" s="185" t="str">
        <f>IF(Tim!HD40=FIT!$E$1,Tim!HD40,"")</f>
        <v/>
      </c>
      <c r="HA38" s="185" t="str">
        <f>IF(Tim!HE40=FIT!$E$1,Tim!HE40,"")</f>
        <v/>
      </c>
      <c r="HB38" s="185" t="str">
        <f>IF(Tim!HF40=FIT!$E$1,Tim!HF40,"")</f>
        <v/>
      </c>
      <c r="HC38" s="185" t="str">
        <f>IF(Tim!HG40=FIT!$E$1,Tim!HG40,"")</f>
        <v/>
      </c>
      <c r="HD38" s="185" t="str">
        <f>IF(Tim!HH40=FIT!$E$1,Tim!HH40,"")</f>
        <v/>
      </c>
      <c r="HE38" s="185" t="str">
        <f>IF(Tim!HI40=FIT!$E$1,Tim!HI40,"")</f>
        <v/>
      </c>
      <c r="HF38" s="185" t="str">
        <f>IF(Tim!HJ40=FIT!$E$1,Tim!HJ40,"")</f>
        <v/>
      </c>
      <c r="HG38" s="185" t="str">
        <f>IF(Tim!HK40=FIT!$E$1,Tim!HK40,"")</f>
        <v/>
      </c>
      <c r="HH38" s="185" t="str">
        <f>IF(Tim!HL40=FIT!$E$1,Tim!HL40,"")</f>
        <v/>
      </c>
      <c r="HI38" s="185" t="str">
        <f>IF(Tim!HM40=FIT!$E$1,Tim!HM40,"")</f>
        <v/>
      </c>
      <c r="HJ38" s="185" t="str">
        <f>IF(Tim!HN40=FIT!$E$1,Tim!HN40,"")</f>
        <v/>
      </c>
      <c r="HK38" s="185" t="str">
        <f>IF(Tim!HO40=FIT!$E$1,Tim!HO40,"")</f>
        <v/>
      </c>
      <c r="HL38" s="185" t="str">
        <f>IF(Tim!HP40=FIT!$E$1,Tim!HP40,"")</f>
        <v/>
      </c>
      <c r="HM38" s="185" t="str">
        <f>IF(Tim!HQ40=FIT!$E$1,Tim!HQ40,"")</f>
        <v/>
      </c>
      <c r="HN38" s="185" t="str">
        <f>IF(Tim!HR40=FIT!$E$1,Tim!HR40,"")</f>
        <v/>
      </c>
      <c r="HO38" s="185" t="str">
        <f>IF(Tim!HS40=FIT!$E$1,Tim!HS40,"")</f>
        <v/>
      </c>
      <c r="HP38" s="185" t="str">
        <f>IF(Tim!HT40=FIT!$E$1,Tim!HT40,"")</f>
        <v/>
      </c>
      <c r="HQ38" s="185" t="str">
        <f>IF(Tim!HU40=FIT!$E$1,Tim!HU40,"")</f>
        <v/>
      </c>
      <c r="HR38" s="185" t="str">
        <f>IF(Tim!HV40=FIT!$E$1,Tim!HV40,"")</f>
        <v/>
      </c>
      <c r="HS38" s="185" t="str">
        <f>IF(Tim!HW40=FIT!$E$1,Tim!HW40,"")</f>
        <v/>
      </c>
      <c r="HT38" s="185" t="str">
        <f>IF(Tim!HX40=FIT!$E$1,Tim!HX40,"")</f>
        <v/>
      </c>
      <c r="HU38" s="185" t="str">
        <f>IF(Tim!HY40=FIT!$E$1,Tim!HY40,"")</f>
        <v/>
      </c>
      <c r="HV38" s="185" t="str">
        <f>IF(Tim!HZ40=FIT!$E$1,Tim!HZ40,"")</f>
        <v/>
      </c>
      <c r="HW38" s="185" t="str">
        <f>IF(Tim!IA40=FIT!$E$1,Tim!IA40,"")</f>
        <v/>
      </c>
      <c r="HX38" s="185" t="str">
        <f>IF(Tim!IB40=FIT!$E$1,Tim!IB40,"")</f>
        <v/>
      </c>
      <c r="HY38" s="185" t="str">
        <f>IF(Tim!IC40=FIT!$E$1,Tim!IC40,"")</f>
        <v/>
      </c>
      <c r="HZ38" s="185" t="str">
        <f>IF(Tim!ID40=FIT!$E$1,Tim!ID40,"")</f>
        <v/>
      </c>
      <c r="IA38" s="185" t="str">
        <f>IF(Tim!IE40=FIT!$E$1,Tim!IE40,"")</f>
        <v/>
      </c>
      <c r="IB38" s="185" t="str">
        <f>IF(Tim!IF40=FIT!$E$1,Tim!IF40,"")</f>
        <v/>
      </c>
      <c r="IC38" s="185" t="str">
        <f>IF(Tim!IG40=FIT!$E$1,Tim!IG40,"")</f>
        <v/>
      </c>
      <c r="ID38" s="185" t="str">
        <f>IF(Tim!IH40=FIT!$E$1,Tim!IH40,"")</f>
        <v/>
      </c>
      <c r="IE38" s="185" t="str">
        <f>IF(Tim!II40=FIT!$E$1,Tim!II40,"")</f>
        <v/>
      </c>
      <c r="IF38" s="185" t="str">
        <f>IF(Tim!IJ40=FIT!$E$1,Tim!IJ40,"")</f>
        <v/>
      </c>
      <c r="IG38" s="185" t="str">
        <f>IF(Tim!IK40=FIT!$E$1,Tim!IK40,"")</f>
        <v/>
      </c>
      <c r="IH38" s="185" t="str">
        <f>IF(Tim!IL40=FIT!$E$1,Tim!IL40,"")</f>
        <v/>
      </c>
      <c r="II38" s="185" t="str">
        <f>IF(Tim!IM40=FIT!$E$1,Tim!IM40,"")</f>
        <v/>
      </c>
      <c r="IJ38" s="185" t="str">
        <f>IF(Tim!IN40=FIT!$E$1,Tim!IN40,"")</f>
        <v/>
      </c>
      <c r="IK38" s="185" t="str">
        <f>IF(Tim!IO40=FIT!$E$1,Tim!IO40,"")</f>
        <v/>
      </c>
      <c r="IL38" s="185" t="str">
        <f>IF(Tim!IP40=FIT!$E$1,Tim!IP40,"")</f>
        <v/>
      </c>
      <c r="IM38" s="185" t="str">
        <f>IF(Tim!IQ40=FIT!$E$1,Tim!IQ40,"")</f>
        <v/>
      </c>
      <c r="IN38" s="185" t="str">
        <f>IF(Tim!IR40=FIT!$E$1,Tim!IR40,"")</f>
        <v/>
      </c>
      <c r="IO38" s="185" t="str">
        <f>IF(Tim!IS40=FIT!$E$1,Tim!IS40,"")</f>
        <v/>
      </c>
      <c r="IP38" s="185" t="str">
        <f>IF(Tim!IT40=FIT!$E$1,Tim!IT40,"")</f>
        <v/>
      </c>
      <c r="IQ38" s="185" t="str">
        <f>IF(Tim!IU40=FIT!$E$1,Tim!IU40,"")</f>
        <v/>
      </c>
      <c r="IR38" s="185" t="str">
        <f>IF(Tim!IV40=FIT!$E$1,Tim!IV40,"")</f>
        <v/>
      </c>
      <c r="IS38" s="185" t="str">
        <f>IF(Tim!IW40=FIT!$E$1,Tim!IW40,"")</f>
        <v/>
      </c>
      <c r="IT38" s="185" t="str">
        <f>IF(Tim!IX40=FIT!$E$1,Tim!IX40,"")</f>
        <v/>
      </c>
      <c r="IU38" s="185" t="str">
        <f>IF(Tim!IY40=FIT!$E$1,Tim!IY40,"")</f>
        <v/>
      </c>
      <c r="IV38" s="185" t="str">
        <f>IF(Tim!IZ40=FIT!$E$1,Tim!IZ40,"")</f>
        <v/>
      </c>
      <c r="IW38" s="185" t="str">
        <f>IF(Tim!JA40=FIT!$E$1,Tim!JA40,"")</f>
        <v/>
      </c>
      <c r="IX38" s="185" t="str">
        <f>IF(Tim!JB40=FIT!$E$1,Tim!JB40,"")</f>
        <v/>
      </c>
      <c r="IY38" s="185" t="str">
        <f>IF(Tim!JC40=FIT!$E$1,Tim!JC40,"")</f>
        <v/>
      </c>
      <c r="IZ38" s="185" t="str">
        <f>IF(Tim!JD40=FIT!$E$1,Tim!JD40,"")</f>
        <v/>
      </c>
      <c r="JA38" s="185" t="str">
        <f>IF(Tim!JE40=FIT!$E$1,Tim!JE40,"")</f>
        <v/>
      </c>
      <c r="JB38" s="185" t="str">
        <f>IF(Tim!JF40=FIT!$E$1,Tim!JF40,"")</f>
        <v/>
      </c>
      <c r="JC38" s="185" t="str">
        <f>IF(Tim!JG40=FIT!$E$1,Tim!JG40,"")</f>
        <v/>
      </c>
      <c r="JD38" s="185" t="str">
        <f>IF(Tim!JH40=FIT!$E$1,Tim!JH40,"")</f>
        <v/>
      </c>
      <c r="JE38" s="185" t="str">
        <f>IF(Tim!JI40=FIT!$E$1,Tim!JI40,"")</f>
        <v/>
      </c>
      <c r="JF38" s="185" t="str">
        <f>IF(Tim!JJ40=FIT!$E$1,Tim!JJ40,"")</f>
        <v/>
      </c>
      <c r="JG38" s="185" t="str">
        <f>IF(Tim!JK40=FIT!$E$1,Tim!JK40,"")</f>
        <v/>
      </c>
      <c r="JH38" s="185" t="str">
        <f>IF(Tim!JL40=FIT!$E$1,Tim!JL40,"")</f>
        <v/>
      </c>
      <c r="JI38" s="185" t="str">
        <f>IF(Tim!JM40=FIT!$E$1,Tim!JM40,"")</f>
        <v/>
      </c>
      <c r="JJ38" s="185" t="str">
        <f>IF(Tim!JN40=FIT!$E$1,Tim!JN40,"")</f>
        <v/>
      </c>
      <c r="JK38" s="185" t="str">
        <f>IF(Tim!JO40=FIT!$E$1,Tim!JO40,"")</f>
        <v/>
      </c>
      <c r="JL38" s="185" t="str">
        <f>IF(Tim!JP40=FIT!$E$1,Tim!JP40,"")</f>
        <v/>
      </c>
      <c r="JM38" s="185" t="str">
        <f>IF(Tim!JQ40=FIT!$E$1,Tim!JQ40,"")</f>
        <v/>
      </c>
      <c r="JN38" s="185" t="str">
        <f>IF(Tim!JR40=FIT!$E$1,Tim!JR40,"")</f>
        <v/>
      </c>
      <c r="JO38" s="185" t="str">
        <f>IF(Tim!JS40=FIT!$E$1,Tim!JS40,"")</f>
        <v/>
      </c>
      <c r="JP38" s="185" t="str">
        <f>IF(Tim!JT40=FIT!$E$1,Tim!JT40,"")</f>
        <v/>
      </c>
      <c r="JQ38" s="185" t="str">
        <f>IF(Tim!JU40=FIT!$E$1,Tim!JU40,"")</f>
        <v/>
      </c>
      <c r="JR38" s="185" t="str">
        <f>IF(Tim!JV40=FIT!$E$1,Tim!JV40,"")</f>
        <v/>
      </c>
      <c r="JS38" s="185" t="str">
        <f>IF(Tim!JW40=FIT!$E$1,Tim!JW40,"")</f>
        <v/>
      </c>
      <c r="JT38" s="185" t="str">
        <f>IF(Tim!JX40=FIT!$E$1,Tim!JX40,"")</f>
        <v/>
      </c>
      <c r="JU38" s="185" t="str">
        <f>IF(Tim!JY40=FIT!$E$1,Tim!JY40,"")</f>
        <v/>
      </c>
      <c r="JV38" s="185" t="str">
        <f>IF(Tim!JZ40=FIT!$E$1,Tim!JZ40,"")</f>
        <v/>
      </c>
      <c r="JW38" s="185" t="str">
        <f>IF(Tim!KA40=FIT!$E$1,Tim!KA40,"")</f>
        <v/>
      </c>
      <c r="JX38" s="185" t="str">
        <f>IF(Tim!KB40=FIT!$E$1,Tim!KB40,"")</f>
        <v/>
      </c>
      <c r="JY38" s="185" t="str">
        <f>IF(Tim!KC40=FIT!$E$1,Tim!KC40,"")</f>
        <v/>
      </c>
      <c r="JZ38" s="185" t="str">
        <f>IF(Tim!KD40=FIT!$E$1,Tim!KD40,"")</f>
        <v/>
      </c>
      <c r="KA38" s="185" t="str">
        <f>IF(Tim!KE40=FIT!$E$1,Tim!KE40,"")</f>
        <v/>
      </c>
      <c r="KB38" s="185" t="str">
        <f>IF(Tim!KF40=FIT!$E$1,Tim!KF40,"")</f>
        <v/>
      </c>
      <c r="KC38" s="185" t="str">
        <f>IF(Tim!KG40=FIT!$E$1,Tim!KG40,"")</f>
        <v/>
      </c>
      <c r="KD38" s="185" t="str">
        <f>IF(Tim!KH40=FIT!$E$1,Tim!KH40,"")</f>
        <v/>
      </c>
      <c r="KE38" s="185" t="str">
        <f>IF(Tim!KI40=FIT!$E$1,Tim!KI40,"")</f>
        <v/>
      </c>
      <c r="KF38" s="185" t="str">
        <f>IF(Tim!KJ40=FIT!$E$1,Tim!KJ40,"")</f>
        <v/>
      </c>
      <c r="KG38" s="185" t="str">
        <f>IF(Tim!KK40=FIT!$E$1,Tim!KK40,"")</f>
        <v/>
      </c>
      <c r="KH38" s="185" t="str">
        <f>IF(Tim!KL40=FIT!$E$1,Tim!KL40,"")</f>
        <v/>
      </c>
      <c r="KI38" s="185" t="str">
        <f>IF(Tim!KM40=FIT!$E$1,Tim!KM40,"")</f>
        <v/>
      </c>
      <c r="KJ38" s="185" t="str">
        <f>IF(Tim!KN40=FIT!$E$1,Tim!KN40,"")</f>
        <v/>
      </c>
      <c r="KK38" s="185" t="str">
        <f>IF(Tim!KO40=FIT!$E$1,Tim!KO40,"")</f>
        <v/>
      </c>
      <c r="KL38" s="185" t="str">
        <f>IF(Tim!KP40=FIT!$E$1,Tim!KP40,"")</f>
        <v/>
      </c>
      <c r="KM38" s="185" t="str">
        <f>IF(Tim!KQ40=FIT!$E$1,Tim!KQ40,"")</f>
        <v/>
      </c>
      <c r="KN38" s="185" t="str">
        <f>IF(Tim!KR40=FIT!$E$1,Tim!KR40,"")</f>
        <v/>
      </c>
      <c r="KO38" s="185" t="str">
        <f>IF(Tim!KS40=FIT!$E$1,Tim!KS40,"")</f>
        <v/>
      </c>
      <c r="KP38" s="185" t="str">
        <f>IF(Tim!KT40=FIT!$E$1,Tim!KT40,"")</f>
        <v/>
      </c>
      <c r="KQ38" s="185" t="str">
        <f>IF(Tim!KU40=FIT!$E$1,Tim!KU40,"")</f>
        <v/>
      </c>
      <c r="KR38" s="185" t="str">
        <f>IF(Tim!KV40=FIT!$E$1,Tim!KV40,"")</f>
        <v/>
      </c>
      <c r="KS38" s="185" t="str">
        <f>IF(Tim!KW40=FIT!$E$1,Tim!KW40,"")</f>
        <v/>
      </c>
      <c r="KT38" s="185" t="str">
        <f>IF(Tim!KX40=FIT!$E$1,Tim!KX40,"")</f>
        <v/>
      </c>
      <c r="KU38" s="185" t="str">
        <f>IF(Tim!KY40=FIT!$E$1,Tim!KY40,"")</f>
        <v/>
      </c>
      <c r="KV38" s="185" t="str">
        <f>IF(Tim!KZ40=FIT!$E$1,Tim!KZ40,"")</f>
        <v/>
      </c>
      <c r="KW38" s="185" t="str">
        <f>IF(Tim!LA40=FIT!$E$1,Tim!LA40,"")</f>
        <v/>
      </c>
      <c r="KX38" s="185" t="str">
        <f>IF(Tim!LB40=FIT!$E$1,Tim!LB40,"")</f>
        <v/>
      </c>
      <c r="KY38" s="185" t="str">
        <f>IF(Tim!LC40=FIT!$E$1,Tim!LC40,"")</f>
        <v/>
      </c>
      <c r="KZ38" s="185" t="str">
        <f>IF(Tim!LD40=FIT!$E$1,Tim!LD40,"")</f>
        <v/>
      </c>
      <c r="LA38" s="185" t="str">
        <f>IF(Tim!LE40=FIT!$E$1,Tim!LE40,"")</f>
        <v/>
      </c>
      <c r="LB38" s="52">
        <v>0.63541666666666596</v>
      </c>
    </row>
    <row r="39" spans="2:314" ht="10.5" customHeight="1">
      <c r="B39" s="49">
        <v>0.25</v>
      </c>
      <c r="C39" s="49">
        <v>0.25</v>
      </c>
      <c r="D39" s="49">
        <v>0.25</v>
      </c>
      <c r="E39" s="172">
        <v>0.64583333333333204</v>
      </c>
      <c r="F39" s="238" t="str">
        <f>IF(Tim!F41=FIT!$E$1,Tim!F41,"")</f>
        <v/>
      </c>
      <c r="G39" s="185" t="str">
        <f>IF(Tim!G41=FIT!$E$1,Tim!G41,"")</f>
        <v/>
      </c>
      <c r="H39" s="185" t="str">
        <f>IF(Tim!H41=FIT!$E$1,Tim!H41,"")</f>
        <v/>
      </c>
      <c r="I39" s="185" t="str">
        <f>IF(Tim!I41=FIT!$E$1,Tim!I41,"")</f>
        <v/>
      </c>
      <c r="J39" s="185" t="str">
        <f>IF(Tim!J41=FIT!$E$1,Tim!J41,"")</f>
        <v/>
      </c>
      <c r="K39" s="185" t="str">
        <f>IF(Tim!K41=FIT!$E$1,Tim!K41,"")</f>
        <v/>
      </c>
      <c r="L39" s="185" t="str">
        <f>IF(Tim!L41=FIT!$E$1,Tim!L41,"")</f>
        <v/>
      </c>
      <c r="M39" s="185" t="str">
        <f>IF(Tim!M41=FIT!$E$1,Tim!M41,"")</f>
        <v/>
      </c>
      <c r="N39" s="185" t="str">
        <f>IF(Tim!N41=FIT!$E$1,Tim!N41,"")</f>
        <v/>
      </c>
      <c r="O39" s="185" t="str">
        <f>IF(Tim!O41=FIT!$E$1,Tim!O41,"")</f>
        <v/>
      </c>
      <c r="P39" s="185" t="str">
        <f>IF(Tim!P41=FIT!$E$1,Tim!P41,"")</f>
        <v/>
      </c>
      <c r="Q39" s="185" t="str">
        <f>IF(Tim!Q41=FIT!$E$1,Tim!Q41,"")</f>
        <v/>
      </c>
      <c r="R39" s="185" t="str">
        <f>IF(Tim!R41=FIT!$E$1,Tim!R41,"")</f>
        <v/>
      </c>
      <c r="S39" s="185" t="str">
        <f>IF(Tim!S41=FIT!$E$1,Tim!S41,"")</f>
        <v/>
      </c>
      <c r="T39" s="185" t="str">
        <f>IF(Tim!T41=FIT!$E$1,Tim!T41,"")</f>
        <v/>
      </c>
      <c r="U39" s="185" t="str">
        <f>IF(Tim!U41=FIT!$E$1,Tim!U41,"")</f>
        <v/>
      </c>
      <c r="V39" s="185" t="str">
        <f>IF(Tim!W41=FIT!$E$1,Tim!W41,"")</f>
        <v/>
      </c>
      <c r="W39" s="185" t="str">
        <f>IF(Tim!X41=FIT!$E$1,Tim!X41,"")</f>
        <v/>
      </c>
      <c r="X39" s="185" t="str">
        <f>IF(Tim!Y41=FIT!$E$1,Tim!Y41,"")</f>
        <v/>
      </c>
      <c r="Y39" s="185" t="str">
        <f>IF(Tim!Z41=FIT!$E$1,Tim!Z41,"")</f>
        <v/>
      </c>
      <c r="Z39" s="185" t="str">
        <f>IF(Tim!AA41=FIT!$E$1,Tim!AA41,"")</f>
        <v/>
      </c>
      <c r="AA39" s="185" t="str">
        <f>IF(Tim!AB41=FIT!$E$1,Tim!AB41,"")</f>
        <v/>
      </c>
      <c r="AB39" s="185" t="str">
        <f>IF(Tim!AC41=FIT!$E$1,Tim!AC41,"")</f>
        <v/>
      </c>
      <c r="AC39" s="185" t="str">
        <f>IF(Tim!AD41=FIT!$E$1,Tim!AD41,"")</f>
        <v/>
      </c>
      <c r="AD39" s="185" t="str">
        <f>IF(Tim!AE41=FIT!$E$1,Tim!AE41,"")</f>
        <v/>
      </c>
      <c r="AE39" s="185" t="str">
        <f>IF(Tim!AF41=FIT!$E$1,Tim!AF41,"")</f>
        <v/>
      </c>
      <c r="AF39" s="185" t="str">
        <f>IF(Tim!AG41=FIT!$E$1,Tim!AG41,"")</f>
        <v/>
      </c>
      <c r="AG39" s="185" t="str">
        <f>IF(Tim!AH41=FIT!$E$1,Tim!AH41,"")</f>
        <v/>
      </c>
      <c r="AH39" s="185" t="str">
        <f>IF(Tim!AI41=FIT!$E$1,Tim!AI41,"")</f>
        <v/>
      </c>
      <c r="AI39" s="185" t="str">
        <f>IF(Tim!AJ41=FIT!$E$1,Tim!AJ41,"")</f>
        <v/>
      </c>
      <c r="AJ39" s="185" t="str">
        <f>IF(Tim!AK41=FIT!$E$1,Tim!AK41,"")</f>
        <v/>
      </c>
      <c r="AK39" s="185" t="str">
        <f>IF(Tim!AL41=FIT!$E$1,Tim!AL41,"")</f>
        <v/>
      </c>
      <c r="AL39" s="185" t="str">
        <f>IF(Tim!AM41=FIT!$E$1,Tim!AM41,"")</f>
        <v/>
      </c>
      <c r="AM39" s="185" t="str">
        <f>IF(Tim!AN41=FIT!$E$1,Tim!AN41,"")</f>
        <v/>
      </c>
      <c r="AN39" s="185" t="str">
        <f>IF(Tim!AO41=FIT!$E$1,Tim!AO41,"")</f>
        <v/>
      </c>
      <c r="AO39" s="185" t="str">
        <f>IF(Tim!AP41=FIT!$E$1,Tim!AP41,"")</f>
        <v/>
      </c>
      <c r="AP39" s="185" t="str">
        <f>IF(Tim!AQ41=FIT!$E$1,Tim!AQ41,"")</f>
        <v/>
      </c>
      <c r="AQ39" s="185" t="str">
        <f>IF(Tim!AR41=FIT!$E$1,Tim!AR41,"")</f>
        <v/>
      </c>
      <c r="AR39" s="185" t="str">
        <f>IF(Tim!AS41=FIT!$E$1,Tim!AS41,"")</f>
        <v/>
      </c>
      <c r="AS39" s="185" t="str">
        <f>IF(Tim!AT41=FIT!$E$1,Tim!AT41,"")</f>
        <v/>
      </c>
      <c r="AT39" s="185" t="str">
        <f>IF(Tim!AU41=FIT!$E$1,Tim!AU41,"")</f>
        <v/>
      </c>
      <c r="AU39" s="185" t="str">
        <f>IF(Tim!AV41=FIT!$E$1,Tim!AV41,"")</f>
        <v/>
      </c>
      <c r="AV39" s="185" t="str">
        <f>IF(Tim!AW41=FIT!$E$1,Tim!AW41,"")</f>
        <v/>
      </c>
      <c r="AW39" s="186" t="str">
        <f>IF(Tim!AX41=FIT!$E$1,Tim!AX41,"")</f>
        <v/>
      </c>
      <c r="AX39" s="243" t="str">
        <f>IF(Tim!AY41=FIT!$E$1,Tim!AY41,"")</f>
        <v/>
      </c>
      <c r="AY39" s="185" t="str">
        <f>IF(Tim!AZ41=FIT!$E$1,Tim!AZ41,"")</f>
        <v/>
      </c>
      <c r="AZ39" s="185" t="str">
        <f>IF(Tim!BA41=FIT!$E$1,Tim!BA41,"")</f>
        <v/>
      </c>
      <c r="BA39" s="185" t="str">
        <f>IF(Tim!BB41=FIT!$E$1,Tim!BB41,"")</f>
        <v/>
      </c>
      <c r="BB39" s="185" t="str">
        <f>IF(Tim!BC41=FIT!$E$1,Tim!BC41,"")</f>
        <v/>
      </c>
      <c r="BC39" s="185" t="str">
        <f>IF(Tim!BD41=FIT!$E$1,Tim!BD41,"")</f>
        <v/>
      </c>
      <c r="BD39" s="185" t="str">
        <f>IF(Tim!BE41=FIT!$E$1,Tim!BE41,"")</f>
        <v/>
      </c>
      <c r="BE39" s="185" t="str">
        <f>IF(Tim!BF41=FIT!$E$1,Tim!BF41,"")</f>
        <v/>
      </c>
      <c r="BF39" s="185" t="str">
        <f>IF(Tim!BG41=FIT!$E$1,Tim!BG41,"")</f>
        <v/>
      </c>
      <c r="BG39" s="185" t="str">
        <f>IF(Tim!BH41=FIT!$E$1,Tim!BH41,"")</f>
        <v/>
      </c>
      <c r="BH39" s="185" t="str">
        <f>IF(Tim!BI41=FIT!$E$1,Tim!BI41,"")</f>
        <v/>
      </c>
      <c r="BI39" s="185" t="str">
        <f>IF(Tim!BJ41=FIT!$E$1,Tim!BJ41,"")</f>
        <v/>
      </c>
      <c r="BJ39" s="185" t="str">
        <f>IF(Tim!BK41=FIT!$E$1,Tim!BK41,"")</f>
        <v/>
      </c>
      <c r="BK39" s="185" t="str">
        <f>IF(Tim!BL41=FIT!$E$1,Tim!BL41,"")</f>
        <v/>
      </c>
      <c r="BL39" s="185" t="str">
        <f>IF(Tim!BM41=FIT!$E$1,Tim!BM41,"")</f>
        <v/>
      </c>
      <c r="BM39" s="185" t="str">
        <f>IF(Tim!BN41=FIT!$E$1,Tim!BN41,"")</f>
        <v/>
      </c>
      <c r="BN39" s="185" t="str">
        <f>IF(Tim!BO41=FIT!$E$1,Tim!BO41,"")</f>
        <v/>
      </c>
      <c r="BO39" s="185" t="str">
        <f>IF(Tim!BP41=FIT!$E$1,Tim!BP41,"")</f>
        <v/>
      </c>
      <c r="BP39" s="185" t="str">
        <f>IF(Tim!BQ41=FIT!$E$1,Tim!BQ41,"")</f>
        <v/>
      </c>
      <c r="BQ39" s="185" t="str">
        <f>IF(Tim!BR41=FIT!$E$1,Tim!BR41,"")</f>
        <v/>
      </c>
      <c r="BR39" s="185" t="str">
        <f>IF(Tim!BS41=FIT!$E$1,Tim!BS41,"")</f>
        <v/>
      </c>
      <c r="BS39" s="185" t="str">
        <f>IF(Tim!BT41=FIT!$E$1,Tim!BT41,"")</f>
        <v/>
      </c>
      <c r="BT39" s="185" t="str">
        <f>IF(Tim!BU41=FIT!$E$1,Tim!BU41,"")</f>
        <v/>
      </c>
      <c r="BU39" s="185" t="str">
        <f>IF(Tim!BV41=FIT!$E$1,Tim!BV41,"")</f>
        <v/>
      </c>
      <c r="BV39" s="185" t="str">
        <f>IF(Tim!BW41=FIT!$E$1,Tim!BW41,"")</f>
        <v/>
      </c>
      <c r="BW39" s="185" t="str">
        <f>IF(Tim!BX41=FIT!$E$1,Tim!BX41,"")</f>
        <v/>
      </c>
      <c r="BX39" s="185" t="str">
        <f>IF(Tim!BY41=FIT!$E$1,Tim!BY41,"")</f>
        <v/>
      </c>
      <c r="BY39" s="185" t="str">
        <f>IF(Tim!BZ41=FIT!$E$1,Tim!BZ41,"")</f>
        <v/>
      </c>
      <c r="BZ39" s="185" t="str">
        <f>IF(Tim!CA41=FIT!$E$1,Tim!CA41,"")</f>
        <v/>
      </c>
      <c r="CA39" s="185" t="str">
        <f>IF(Tim!CB41=FIT!$E$1,Tim!CB41,"")</f>
        <v/>
      </c>
      <c r="CB39" s="185" t="str">
        <f>IF(Tim!CC41=FIT!$E$1,Tim!CC41,"")</f>
        <v/>
      </c>
      <c r="CC39" s="185" t="str">
        <f>IF(Tim!CD41=FIT!$E$1,Tim!CD41,"")</f>
        <v/>
      </c>
      <c r="CD39" s="185" t="str">
        <f>IF(Tim!CE41=FIT!$E$1,Tim!CE41,"")</f>
        <v/>
      </c>
      <c r="CE39" s="185" t="str">
        <f>IF(Tim!CF41=FIT!$E$1,Tim!CF41,"")</f>
        <v/>
      </c>
      <c r="CF39" s="185" t="str">
        <f>IF(Tim!CG41=FIT!$E$1,Tim!CG41,"")</f>
        <v/>
      </c>
      <c r="CG39" s="185" t="str">
        <f>IF(Tim!CH41=FIT!$E$1,Tim!CH41,"")</f>
        <v/>
      </c>
      <c r="CH39" s="185" t="str">
        <f>IF(Tim!CI41=FIT!$E$1,Tim!CI41,"")</f>
        <v/>
      </c>
      <c r="CI39" s="185" t="str">
        <f>IF(Tim!CJ41=FIT!$E$1,Tim!CJ41,"")</f>
        <v/>
      </c>
      <c r="CJ39" s="185" t="str">
        <f>IF(Tim!CK41=FIT!$E$1,Tim!CK41,"")</f>
        <v/>
      </c>
      <c r="CK39" s="185" t="str">
        <f>IF(Tim!CL41=FIT!$E$1,Tim!CL41,"")</f>
        <v/>
      </c>
      <c r="CL39" s="185" t="str">
        <f>IF(Tim!CM41=FIT!$E$1,Tim!CM41,"")</f>
        <v/>
      </c>
      <c r="CM39" s="185" t="str">
        <f>IF(Tim!CN41=FIT!$E$1,Tim!CN41,"")</f>
        <v/>
      </c>
      <c r="CN39" s="185" t="str">
        <f>IF(Tim!CO41=FIT!$E$1,Tim!CO41,"")</f>
        <v/>
      </c>
      <c r="CO39" s="185" t="str">
        <f>IF(Tim!CP41=FIT!$E$1,Tim!CP41,"")</f>
        <v/>
      </c>
      <c r="CP39" s="185" t="str">
        <f>IF(Tim!CQ41=FIT!$E$1,Tim!CQ41,"")</f>
        <v/>
      </c>
      <c r="CQ39" s="185" t="str">
        <f>IF(Tim!CR41=FIT!$E$1,Tim!CR41,"")</f>
        <v/>
      </c>
      <c r="CR39" s="185" t="str">
        <f>IF(Tim!CS41=FIT!$E$1,Tim!CS41,"")</f>
        <v/>
      </c>
      <c r="CS39" s="185" t="str">
        <f>IF(Tim!CT41=FIT!$E$1,Tim!CT41,"")</f>
        <v/>
      </c>
      <c r="CT39" s="185" t="str">
        <f>IF(Tim!CU41=FIT!$E$1,Tim!CU41,"")</f>
        <v/>
      </c>
      <c r="CU39" s="185" t="str">
        <f>IF(Tim!CV41=FIT!$E$1,Tim!CV41,"")</f>
        <v/>
      </c>
      <c r="CV39" s="185" t="str">
        <f>IF(Tim!CW41=FIT!$E$1,Tim!CW41,"")</f>
        <v/>
      </c>
      <c r="CW39" s="185" t="str">
        <f>IF(Tim!CX41=FIT!$E$1,Tim!CX41,"")</f>
        <v/>
      </c>
      <c r="CX39" s="185" t="str">
        <f>IF(Tim!CY41=FIT!$E$1,Tim!CY41,"")</f>
        <v/>
      </c>
      <c r="CY39" s="185" t="str">
        <f>IF(Tim!CZ41=FIT!$E$1,Tim!CZ41,"")</f>
        <v/>
      </c>
      <c r="CZ39" s="185" t="str">
        <f>IF(Tim!DA41=FIT!$E$1,Tim!DA41,"")</f>
        <v/>
      </c>
      <c r="DA39" s="185" t="str">
        <f>IF(Tim!DB41=FIT!$E$1,Tim!DB41,"")</f>
        <v/>
      </c>
      <c r="DB39" s="185" t="str">
        <f>IF(Tim!DC41=FIT!$E$1,Tim!DC41,"")</f>
        <v/>
      </c>
      <c r="DC39" s="185" t="str">
        <f>IF(Tim!DD41=FIT!$E$1,Tim!DD41,"")</f>
        <v/>
      </c>
      <c r="DD39" s="185" t="str">
        <f>IF(Tim!DE41=FIT!$E$1,Tim!DE41,"")</f>
        <v/>
      </c>
      <c r="DE39" s="185" t="str">
        <f>IF(Tim!DF41=FIT!$E$1,Tim!DF41,"")</f>
        <v/>
      </c>
      <c r="DF39" s="185" t="str">
        <f>IF(Tim!DG41=FIT!$E$1,Tim!DG41,"")</f>
        <v/>
      </c>
      <c r="DG39" s="185" t="str">
        <f>IF(Tim!DH41=FIT!$E$1,Tim!DH41,"")</f>
        <v/>
      </c>
      <c r="DH39" s="185" t="str">
        <f>IF(Tim!DI41=FIT!$E$1,Tim!DI41,"")</f>
        <v/>
      </c>
      <c r="DI39" s="185" t="str">
        <f>IF(Tim!DM41=FIT!$E$1,Tim!DM41,"")</f>
        <v/>
      </c>
      <c r="DJ39" s="185" t="str">
        <f>IF(Tim!DN41=FIT!$E$1,Tim!DN41,"")</f>
        <v/>
      </c>
      <c r="DK39" s="185" t="str">
        <f>IF(Tim!DO41=FIT!$E$1,Tim!DO41,"")</f>
        <v/>
      </c>
      <c r="DL39" s="185" t="str">
        <f>IF(Tim!DP41=FIT!$E$1,Tim!DP41,"")</f>
        <v/>
      </c>
      <c r="DM39" s="185" t="str">
        <f>IF(Tim!DQ41=FIT!$E$1,Tim!DQ41,"")</f>
        <v/>
      </c>
      <c r="DN39" s="185" t="str">
        <f>IF(Tim!DR41=FIT!$E$1,Tim!DR41,"")</f>
        <v/>
      </c>
      <c r="DO39" s="185" t="str">
        <f>IF(Tim!DS41=FIT!$E$1,Tim!DS41,"")</f>
        <v/>
      </c>
      <c r="DP39" s="185" t="str">
        <f>IF(Tim!DT41=FIT!$E$1,Tim!DT41,"")</f>
        <v/>
      </c>
      <c r="DQ39" s="185" t="str">
        <f>IF(Tim!DU41=FIT!$E$1,Tim!DU41,"")</f>
        <v/>
      </c>
      <c r="DR39" s="185" t="str">
        <f>IF(Tim!DV41=FIT!$E$1,Tim!DV41,"")</f>
        <v/>
      </c>
      <c r="DS39" s="185" t="str">
        <f>IF(Tim!DW41=FIT!$E$1,Tim!DW41,"")</f>
        <v/>
      </c>
      <c r="DT39" s="185" t="str">
        <f>IF(Tim!DX41=FIT!$E$1,Tim!DX41,"")</f>
        <v/>
      </c>
      <c r="DU39" s="185" t="str">
        <f>IF(Tim!DY41=FIT!$E$1,Tim!DY41,"")</f>
        <v/>
      </c>
      <c r="DV39" s="185" t="str">
        <f>IF(Tim!DZ41=FIT!$E$1,Tim!DZ41,"")</f>
        <v/>
      </c>
      <c r="DW39" s="185" t="str">
        <f>IF(Tim!EA41=FIT!$E$1,Tim!EA41,"")</f>
        <v/>
      </c>
      <c r="DX39" s="185" t="str">
        <f>IF(Tim!EB41=FIT!$E$1,Tim!EB41,"")</f>
        <v/>
      </c>
      <c r="DY39" s="185" t="str">
        <f>IF(Tim!EC41=FIT!$E$1,Tim!EC41,"")</f>
        <v/>
      </c>
      <c r="DZ39" s="185" t="str">
        <f>IF(Tim!ED41=FIT!$E$1,Tim!ED41,"")</f>
        <v/>
      </c>
      <c r="EA39" s="185" t="str">
        <f>IF(Tim!EE41=FIT!$E$1,Tim!EE41,"")</f>
        <v/>
      </c>
      <c r="EB39" s="185" t="str">
        <f>IF(Tim!EF41=FIT!$E$1,Tim!EF41,"")</f>
        <v/>
      </c>
      <c r="EC39" s="185" t="str">
        <f>IF(Tim!EG41=FIT!$E$1,Tim!EG41,"")</f>
        <v/>
      </c>
      <c r="ED39" s="185" t="str">
        <f>IF(Tim!EH41=FIT!$E$1,Tim!EH41,"")</f>
        <v/>
      </c>
      <c r="EE39" s="185" t="str">
        <f>IF(Tim!EI41=FIT!$E$1,Tim!EI41,"")</f>
        <v/>
      </c>
      <c r="EF39" s="185" t="str">
        <f>IF(Tim!EJ41=FIT!$E$1,Tim!EJ41,"")</f>
        <v/>
      </c>
      <c r="EG39" s="185" t="str">
        <f>IF(Tim!EK41=FIT!$E$1,Tim!EK41,"")</f>
        <v/>
      </c>
      <c r="EH39" s="185" t="str">
        <f>IF(Tim!EL41=FIT!$E$1,Tim!EL41,"")</f>
        <v/>
      </c>
      <c r="EI39" s="185" t="str">
        <f>IF(Tim!EM41=FIT!$E$1,Tim!EM41,"")</f>
        <v/>
      </c>
      <c r="EJ39" s="185" t="str">
        <f>IF(Tim!EN41=FIT!$E$1,Tim!EN41,"")</f>
        <v/>
      </c>
      <c r="EK39" s="185" t="str">
        <f>IF(Tim!EO41=FIT!$E$1,Tim!EO41,"")</f>
        <v/>
      </c>
      <c r="EL39" s="185" t="str">
        <f>IF(Tim!EP41=FIT!$E$1,Tim!EP41,"")</f>
        <v/>
      </c>
      <c r="EM39" s="185" t="str">
        <f>IF(Tim!EQ41=FIT!$E$1,Tim!EQ41,"")</f>
        <v/>
      </c>
      <c r="EN39" s="185" t="str">
        <f>IF(Tim!ER41=FIT!$E$1,Tim!ER41,"")</f>
        <v/>
      </c>
      <c r="EO39" s="185" t="str">
        <f>IF(Tim!ES41=FIT!$E$1,Tim!ES41,"")</f>
        <v/>
      </c>
      <c r="EP39" s="185" t="str">
        <f>IF(Tim!ET41=FIT!$E$1,Tim!ET41,"")</f>
        <v/>
      </c>
      <c r="EQ39" s="185" t="str">
        <f>IF(Tim!EU41=FIT!$E$1,Tim!EU41,"")</f>
        <v/>
      </c>
      <c r="ER39" s="185" t="str">
        <f>IF(Tim!EV41=FIT!$E$1,Tim!EV41,"")</f>
        <v/>
      </c>
      <c r="ES39" s="185" t="str">
        <f>IF(Tim!EW41=FIT!$E$1,Tim!EW41,"")</f>
        <v/>
      </c>
      <c r="ET39" s="185" t="str">
        <f>IF(Tim!EX41=FIT!$E$1,Tim!EX41,"")</f>
        <v/>
      </c>
      <c r="EU39" s="185" t="str">
        <f>IF(Tim!EY41=FIT!$E$1,Tim!EY41,"")</f>
        <v/>
      </c>
      <c r="EV39" s="185" t="str">
        <f>IF(Tim!EZ41=FIT!$E$1,Tim!EZ41,"")</f>
        <v/>
      </c>
      <c r="EW39" s="185" t="str">
        <f>IF(Tim!FA41=FIT!$E$1,Tim!FA41,"")</f>
        <v/>
      </c>
      <c r="EX39" s="185" t="str">
        <f>IF(Tim!FB41=FIT!$E$1,Tim!FB41,"")</f>
        <v/>
      </c>
      <c r="EY39" s="185" t="str">
        <f>IF(Tim!FC41=FIT!$E$1,Tim!FC41,"")</f>
        <v/>
      </c>
      <c r="EZ39" s="185" t="str">
        <f>IF(Tim!FD41=FIT!$E$1,Tim!FD41,"")</f>
        <v/>
      </c>
      <c r="FA39" s="185" t="str">
        <f>IF(Tim!FE41=FIT!$E$1,Tim!FE41,"")</f>
        <v/>
      </c>
      <c r="FB39" s="185" t="str">
        <f>IF(Tim!FF41=FIT!$E$1,Tim!FF41,"")</f>
        <v/>
      </c>
      <c r="FC39" s="185" t="str">
        <f>IF(Tim!FG41=FIT!$E$1,Tim!FG41,"")</f>
        <v/>
      </c>
      <c r="FD39" s="185" t="str">
        <f>IF(Tim!FH41=FIT!$E$1,Tim!FH41,"")</f>
        <v/>
      </c>
      <c r="FE39" s="185" t="str">
        <f>IF(Tim!FI41=FIT!$E$1,Tim!FI41,"")</f>
        <v/>
      </c>
      <c r="FF39" s="185" t="str">
        <f>IF(Tim!FJ41=FIT!$E$1,Tim!FJ41,"")</f>
        <v/>
      </c>
      <c r="FG39" s="185" t="str">
        <f>IF(Tim!FK41=FIT!$E$1,Tim!FK41,"")</f>
        <v/>
      </c>
      <c r="FH39" s="185" t="str">
        <f>IF(Tim!FL41=FIT!$E$1,Tim!FL41,"")</f>
        <v/>
      </c>
      <c r="FI39" s="185" t="str">
        <f>IF(Tim!FM41=FIT!$E$1,Tim!FM41,"")</f>
        <v/>
      </c>
      <c r="FJ39" s="185" t="str">
        <f>IF(Tim!FN41=FIT!$E$1,Tim!FN41,"")</f>
        <v/>
      </c>
      <c r="FK39" s="185" t="str">
        <f>IF(Tim!FO41=FIT!$E$1,Tim!FO41,"")</f>
        <v/>
      </c>
      <c r="FL39" s="185" t="str">
        <f>IF(Tim!FP41=FIT!$E$1,Tim!FP41,"")</f>
        <v/>
      </c>
      <c r="FM39" s="185" t="str">
        <f>IF(Tim!FQ41=FIT!$E$1,Tim!FQ41,"")</f>
        <v/>
      </c>
      <c r="FN39" s="185" t="str">
        <f>IF(Tim!FR41=FIT!$E$1,Tim!FR41,"")</f>
        <v/>
      </c>
      <c r="FO39" s="185" t="str">
        <f>IF(Tim!FS41=FIT!$E$1,Tim!FS41,"")</f>
        <v/>
      </c>
      <c r="FP39" s="185" t="str">
        <f>IF(Tim!FT41=FIT!$E$1,Tim!FT41,"")</f>
        <v/>
      </c>
      <c r="FQ39" s="185" t="str">
        <f>IF(Tim!FU41=FIT!$E$1,Tim!FU41,"")</f>
        <v/>
      </c>
      <c r="FR39" s="185" t="str">
        <f>IF(Tim!FV41=FIT!$E$1,Tim!FV41,"")</f>
        <v/>
      </c>
      <c r="FS39" s="185" t="str">
        <f>IF(Tim!FW41=FIT!$E$1,Tim!FW41,"")</f>
        <v/>
      </c>
      <c r="FT39" s="185" t="str">
        <f>IF(Tim!FX41=FIT!$E$1,Tim!FX41,"")</f>
        <v/>
      </c>
      <c r="FU39" s="185" t="str">
        <f>IF(Tim!FY41=FIT!$E$1,Tim!FY41,"")</f>
        <v/>
      </c>
      <c r="FV39" s="185" t="str">
        <f>IF(Tim!FZ41=FIT!$E$1,Tim!FZ41,"")</f>
        <v/>
      </c>
      <c r="FW39" s="185" t="str">
        <f>IF(Tim!GA41=FIT!$E$1,Tim!GA41,"")</f>
        <v/>
      </c>
      <c r="FX39" s="185" t="str">
        <f>IF(Tim!GB41=FIT!$E$1,Tim!GB41,"")</f>
        <v/>
      </c>
      <c r="FY39" s="185" t="str">
        <f>IF(Tim!GC41=FIT!$E$1,Tim!GC41,"")</f>
        <v/>
      </c>
      <c r="FZ39" s="185" t="str">
        <f>IF(Tim!GD41=FIT!$E$1,Tim!GD41,"")</f>
        <v/>
      </c>
      <c r="GA39" s="185" t="str">
        <f>IF(Tim!GE41=FIT!$E$1,Tim!GE41,"")</f>
        <v/>
      </c>
      <c r="GB39" s="185" t="str">
        <f>IF(Tim!GF41=FIT!$E$1,Tim!GF41,"")</f>
        <v/>
      </c>
      <c r="GC39" s="185" t="str">
        <f>IF(Tim!GG41=FIT!$E$1,Tim!GG41,"")</f>
        <v/>
      </c>
      <c r="GD39" s="185" t="str">
        <f>IF(Tim!GH41=FIT!$E$1,Tim!GH41,"")</f>
        <v/>
      </c>
      <c r="GE39" s="185" t="str">
        <f>IF(Tim!GI41=FIT!$E$1,Tim!GI41,"")</f>
        <v/>
      </c>
      <c r="GF39" s="185" t="str">
        <f>IF(Tim!GJ41=FIT!$E$1,Tim!GJ41,"")</f>
        <v/>
      </c>
      <c r="GG39" s="185" t="str">
        <f>IF(Tim!GK41=FIT!$E$1,Tim!GK41,"")</f>
        <v/>
      </c>
      <c r="GH39" s="185" t="str">
        <f>IF(Tim!GL41=FIT!$E$1,Tim!GL41,"")</f>
        <v/>
      </c>
      <c r="GI39" s="185" t="str">
        <f>IF(Tim!GM41=FIT!$E$1,Tim!GM41,"")</f>
        <v/>
      </c>
      <c r="GJ39" s="185" t="str">
        <f>IF(Tim!GN41=FIT!$E$1,Tim!GN41,"")</f>
        <v/>
      </c>
      <c r="GK39" s="185" t="str">
        <f>IF(Tim!GO41=FIT!$E$1,Tim!GO41,"")</f>
        <v/>
      </c>
      <c r="GL39" s="185" t="str">
        <f>IF(Tim!GP41=FIT!$E$1,Tim!GP41,"")</f>
        <v/>
      </c>
      <c r="GM39" s="185" t="str">
        <f>IF(Tim!GQ41=FIT!$E$1,Tim!GQ41,"")</f>
        <v/>
      </c>
      <c r="GN39" s="185" t="str">
        <f>IF(Tim!GR41=FIT!$E$1,Tim!GR41,"")</f>
        <v/>
      </c>
      <c r="GO39" s="185" t="str">
        <f>IF(Tim!GS41=FIT!$E$1,Tim!GS41,"")</f>
        <v/>
      </c>
      <c r="GP39" s="185" t="str">
        <f>IF(Tim!GT41=FIT!$E$1,Tim!GT41,"")</f>
        <v/>
      </c>
      <c r="GQ39" s="185" t="str">
        <f>IF(Tim!GU41=FIT!$E$1,Tim!GU41,"")</f>
        <v/>
      </c>
      <c r="GR39" s="185" t="str">
        <f>IF(Tim!GV41=FIT!$E$1,Tim!GV41,"")</f>
        <v/>
      </c>
      <c r="GS39" s="185" t="str">
        <f>IF(Tim!GW41=FIT!$E$1,Tim!GW41,"")</f>
        <v/>
      </c>
      <c r="GT39" s="185" t="str">
        <f>IF(Tim!GX41=FIT!$E$1,Tim!GX41,"")</f>
        <v/>
      </c>
      <c r="GU39" s="185" t="str">
        <f>IF(Tim!GY41=FIT!$E$1,Tim!GY41,"")</f>
        <v/>
      </c>
      <c r="GV39" s="185" t="str">
        <f>IF(Tim!GZ41=FIT!$E$1,Tim!GZ41,"")</f>
        <v/>
      </c>
      <c r="GW39" s="185" t="str">
        <f>IF(Tim!HA41=FIT!$E$1,Tim!HA41,"")</f>
        <v/>
      </c>
      <c r="GX39" s="185" t="str">
        <f>IF(Tim!HB41=FIT!$E$1,Tim!HB41,"")</f>
        <v/>
      </c>
      <c r="GY39" s="185" t="str">
        <f>IF(Tim!HC41=FIT!$E$1,Tim!HC41,"")</f>
        <v/>
      </c>
      <c r="GZ39" s="185" t="str">
        <f>IF(Tim!HD41=FIT!$E$1,Tim!HD41,"")</f>
        <v/>
      </c>
      <c r="HA39" s="185" t="str">
        <f>IF(Tim!HE41=FIT!$E$1,Tim!HE41,"")</f>
        <v/>
      </c>
      <c r="HB39" s="185" t="str">
        <f>IF(Tim!HF41=FIT!$E$1,Tim!HF41,"")</f>
        <v/>
      </c>
      <c r="HC39" s="185" t="str">
        <f>IF(Tim!HG41=FIT!$E$1,Tim!HG41,"")</f>
        <v/>
      </c>
      <c r="HD39" s="185" t="str">
        <f>IF(Tim!HH41=FIT!$E$1,Tim!HH41,"")</f>
        <v/>
      </c>
      <c r="HE39" s="185" t="str">
        <f>IF(Tim!HI41=FIT!$E$1,Tim!HI41,"")</f>
        <v/>
      </c>
      <c r="HF39" s="185" t="str">
        <f>IF(Tim!HJ41=FIT!$E$1,Tim!HJ41,"")</f>
        <v/>
      </c>
      <c r="HG39" s="185" t="str">
        <f>IF(Tim!HK41=FIT!$E$1,Tim!HK41,"")</f>
        <v/>
      </c>
      <c r="HH39" s="185" t="str">
        <f>IF(Tim!HL41=FIT!$E$1,Tim!HL41,"")</f>
        <v/>
      </c>
      <c r="HI39" s="185" t="str">
        <f>IF(Tim!HM41=FIT!$E$1,Tim!HM41,"")</f>
        <v/>
      </c>
      <c r="HJ39" s="185" t="str">
        <f>IF(Tim!HN41=FIT!$E$1,Tim!HN41,"")</f>
        <v/>
      </c>
      <c r="HK39" s="185" t="str">
        <f>IF(Tim!HO41=FIT!$E$1,Tim!HO41,"")</f>
        <v/>
      </c>
      <c r="HL39" s="185" t="str">
        <f>IF(Tim!HP41=FIT!$E$1,Tim!HP41,"")</f>
        <v/>
      </c>
      <c r="HM39" s="185" t="str">
        <f>IF(Tim!HQ41=FIT!$E$1,Tim!HQ41,"")</f>
        <v/>
      </c>
      <c r="HN39" s="185" t="str">
        <f>IF(Tim!HR41=FIT!$E$1,Tim!HR41,"")</f>
        <v/>
      </c>
      <c r="HO39" s="185" t="str">
        <f>IF(Tim!HS41=FIT!$E$1,Tim!HS41,"")</f>
        <v/>
      </c>
      <c r="HP39" s="185" t="str">
        <f>IF(Tim!HT41=FIT!$E$1,Tim!HT41,"")</f>
        <v/>
      </c>
      <c r="HQ39" s="185" t="str">
        <f>IF(Tim!HU41=FIT!$E$1,Tim!HU41,"")</f>
        <v/>
      </c>
      <c r="HR39" s="185" t="str">
        <f>IF(Tim!HV41=FIT!$E$1,Tim!HV41,"")</f>
        <v/>
      </c>
      <c r="HS39" s="185" t="str">
        <f>IF(Tim!HW41=FIT!$E$1,Tim!HW41,"")</f>
        <v/>
      </c>
      <c r="HT39" s="185" t="str">
        <f>IF(Tim!HX41=FIT!$E$1,Tim!HX41,"")</f>
        <v/>
      </c>
      <c r="HU39" s="185" t="str">
        <f>IF(Tim!HY41=FIT!$E$1,Tim!HY41,"")</f>
        <v/>
      </c>
      <c r="HV39" s="185" t="str">
        <f>IF(Tim!HZ41=FIT!$E$1,Tim!HZ41,"")</f>
        <v/>
      </c>
      <c r="HW39" s="185" t="str">
        <f>IF(Tim!IA41=FIT!$E$1,Tim!IA41,"")</f>
        <v/>
      </c>
      <c r="HX39" s="185" t="str">
        <f>IF(Tim!IB41=FIT!$E$1,Tim!IB41,"")</f>
        <v/>
      </c>
      <c r="HY39" s="185" t="str">
        <f>IF(Tim!IC41=FIT!$E$1,Tim!IC41,"")</f>
        <v/>
      </c>
      <c r="HZ39" s="185" t="str">
        <f>IF(Tim!ID41=FIT!$E$1,Tim!ID41,"")</f>
        <v/>
      </c>
      <c r="IA39" s="185" t="str">
        <f>IF(Tim!IE41=FIT!$E$1,Tim!IE41,"")</f>
        <v/>
      </c>
      <c r="IB39" s="185" t="str">
        <f>IF(Tim!IF41=FIT!$E$1,Tim!IF41,"")</f>
        <v/>
      </c>
      <c r="IC39" s="185" t="str">
        <f>IF(Tim!IG41=FIT!$E$1,Tim!IG41,"")</f>
        <v/>
      </c>
      <c r="ID39" s="185" t="str">
        <f>IF(Tim!IH41=FIT!$E$1,Tim!IH41,"")</f>
        <v/>
      </c>
      <c r="IE39" s="185" t="str">
        <f>IF(Tim!II41=FIT!$E$1,Tim!II41,"")</f>
        <v/>
      </c>
      <c r="IF39" s="185" t="str">
        <f>IF(Tim!IJ41=FIT!$E$1,Tim!IJ41,"")</f>
        <v/>
      </c>
      <c r="IG39" s="185" t="str">
        <f>IF(Tim!IK41=FIT!$E$1,Tim!IK41,"")</f>
        <v/>
      </c>
      <c r="IH39" s="185" t="str">
        <f>IF(Tim!IL41=FIT!$E$1,Tim!IL41,"")</f>
        <v/>
      </c>
      <c r="II39" s="185" t="str">
        <f>IF(Tim!IM41=FIT!$E$1,Tim!IM41,"")</f>
        <v/>
      </c>
      <c r="IJ39" s="185" t="str">
        <f>IF(Tim!IN41=FIT!$E$1,Tim!IN41,"")</f>
        <v/>
      </c>
      <c r="IK39" s="185" t="str">
        <f>IF(Tim!IO41=FIT!$E$1,Tim!IO41,"")</f>
        <v/>
      </c>
      <c r="IL39" s="185" t="str">
        <f>IF(Tim!IP41=FIT!$E$1,Tim!IP41,"")</f>
        <v/>
      </c>
      <c r="IM39" s="185" t="str">
        <f>IF(Tim!IQ41=FIT!$E$1,Tim!IQ41,"")</f>
        <v/>
      </c>
      <c r="IN39" s="185" t="str">
        <f>IF(Tim!IR41=FIT!$E$1,Tim!IR41,"")</f>
        <v/>
      </c>
      <c r="IO39" s="185" t="str">
        <f>IF(Tim!IS41=FIT!$E$1,Tim!IS41,"")</f>
        <v/>
      </c>
      <c r="IP39" s="185" t="str">
        <f>IF(Tim!IT41=FIT!$E$1,Tim!IT41,"")</f>
        <v/>
      </c>
      <c r="IQ39" s="185" t="str">
        <f>IF(Tim!IU41=FIT!$E$1,Tim!IU41,"")</f>
        <v/>
      </c>
      <c r="IR39" s="185" t="str">
        <f>IF(Tim!IV41=FIT!$E$1,Tim!IV41,"")</f>
        <v/>
      </c>
      <c r="IS39" s="185" t="str">
        <f>IF(Tim!IW41=FIT!$E$1,Tim!IW41,"")</f>
        <v/>
      </c>
      <c r="IT39" s="185" t="str">
        <f>IF(Tim!IX41=FIT!$E$1,Tim!IX41,"")</f>
        <v/>
      </c>
      <c r="IU39" s="185" t="str">
        <f>IF(Tim!IY41=FIT!$E$1,Tim!IY41,"")</f>
        <v/>
      </c>
      <c r="IV39" s="185" t="str">
        <f>IF(Tim!IZ41=FIT!$E$1,Tim!IZ41,"")</f>
        <v/>
      </c>
      <c r="IW39" s="185" t="str">
        <f>IF(Tim!JA41=FIT!$E$1,Tim!JA41,"")</f>
        <v/>
      </c>
      <c r="IX39" s="185" t="str">
        <f>IF(Tim!JB41=FIT!$E$1,Tim!JB41,"")</f>
        <v/>
      </c>
      <c r="IY39" s="185" t="str">
        <f>IF(Tim!JC41=FIT!$E$1,Tim!JC41,"")</f>
        <v/>
      </c>
      <c r="IZ39" s="185" t="str">
        <f>IF(Tim!JD41=FIT!$E$1,Tim!JD41,"")</f>
        <v/>
      </c>
      <c r="JA39" s="185" t="str">
        <f>IF(Tim!JE41=FIT!$E$1,Tim!JE41,"")</f>
        <v/>
      </c>
      <c r="JB39" s="185" t="str">
        <f>IF(Tim!JF41=FIT!$E$1,Tim!JF41,"")</f>
        <v/>
      </c>
      <c r="JC39" s="185" t="str">
        <f>IF(Tim!JG41=FIT!$E$1,Tim!JG41,"")</f>
        <v/>
      </c>
      <c r="JD39" s="185" t="str">
        <f>IF(Tim!JH41=FIT!$E$1,Tim!JH41,"")</f>
        <v/>
      </c>
      <c r="JE39" s="185" t="str">
        <f>IF(Tim!JI41=FIT!$E$1,Tim!JI41,"")</f>
        <v/>
      </c>
      <c r="JF39" s="185" t="str">
        <f>IF(Tim!JJ41=FIT!$E$1,Tim!JJ41,"")</f>
        <v/>
      </c>
      <c r="JG39" s="185" t="str">
        <f>IF(Tim!JK41=FIT!$E$1,Tim!JK41,"")</f>
        <v/>
      </c>
      <c r="JH39" s="185" t="str">
        <f>IF(Tim!JL41=FIT!$E$1,Tim!JL41,"")</f>
        <v/>
      </c>
      <c r="JI39" s="185" t="str">
        <f>IF(Tim!JM41=FIT!$E$1,Tim!JM41,"")</f>
        <v/>
      </c>
      <c r="JJ39" s="185" t="str">
        <f>IF(Tim!JN41=FIT!$E$1,Tim!JN41,"")</f>
        <v/>
      </c>
      <c r="JK39" s="185" t="str">
        <f>IF(Tim!JO41=FIT!$E$1,Tim!JO41,"")</f>
        <v/>
      </c>
      <c r="JL39" s="185" t="str">
        <f>IF(Tim!JP41=FIT!$E$1,Tim!JP41,"")</f>
        <v/>
      </c>
      <c r="JM39" s="185" t="str">
        <f>IF(Tim!JQ41=FIT!$E$1,Tim!JQ41,"")</f>
        <v/>
      </c>
      <c r="JN39" s="185" t="str">
        <f>IF(Tim!JR41=FIT!$E$1,Tim!JR41,"")</f>
        <v/>
      </c>
      <c r="JO39" s="185" t="str">
        <f>IF(Tim!JS41=FIT!$E$1,Tim!JS41,"")</f>
        <v/>
      </c>
      <c r="JP39" s="185" t="str">
        <f>IF(Tim!JT41=FIT!$E$1,Tim!JT41,"")</f>
        <v/>
      </c>
      <c r="JQ39" s="185" t="str">
        <f>IF(Tim!JU41=FIT!$E$1,Tim!JU41,"")</f>
        <v/>
      </c>
      <c r="JR39" s="185" t="str">
        <f>IF(Tim!JV41=FIT!$E$1,Tim!JV41,"")</f>
        <v/>
      </c>
      <c r="JS39" s="185" t="str">
        <f>IF(Tim!JW41=FIT!$E$1,Tim!JW41,"")</f>
        <v/>
      </c>
      <c r="JT39" s="185" t="str">
        <f>IF(Tim!JX41=FIT!$E$1,Tim!JX41,"")</f>
        <v/>
      </c>
      <c r="JU39" s="185" t="str">
        <f>IF(Tim!JY41=FIT!$E$1,Tim!JY41,"")</f>
        <v/>
      </c>
      <c r="JV39" s="185" t="str">
        <f>IF(Tim!JZ41=FIT!$E$1,Tim!JZ41,"")</f>
        <v/>
      </c>
      <c r="JW39" s="185" t="str">
        <f>IF(Tim!KA41=FIT!$E$1,Tim!KA41,"")</f>
        <v/>
      </c>
      <c r="JX39" s="185" t="str">
        <f>IF(Tim!KB41=FIT!$E$1,Tim!KB41,"")</f>
        <v/>
      </c>
      <c r="JY39" s="185" t="str">
        <f>IF(Tim!KC41=FIT!$E$1,Tim!KC41,"")</f>
        <v/>
      </c>
      <c r="JZ39" s="185" t="str">
        <f>IF(Tim!KD41=FIT!$E$1,Tim!KD41,"")</f>
        <v/>
      </c>
      <c r="KA39" s="185" t="str">
        <f>IF(Tim!KE41=FIT!$E$1,Tim!KE41,"")</f>
        <v/>
      </c>
      <c r="KB39" s="185" t="str">
        <f>IF(Tim!KF41=FIT!$E$1,Tim!KF41,"")</f>
        <v/>
      </c>
      <c r="KC39" s="185" t="str">
        <f>IF(Tim!KG41=FIT!$E$1,Tim!KG41,"")</f>
        <v/>
      </c>
      <c r="KD39" s="185" t="str">
        <f>IF(Tim!KH41=FIT!$E$1,Tim!KH41,"")</f>
        <v/>
      </c>
      <c r="KE39" s="185" t="str">
        <f>IF(Tim!KI41=FIT!$E$1,Tim!KI41,"")</f>
        <v/>
      </c>
      <c r="KF39" s="185" t="str">
        <f>IF(Tim!KJ41=FIT!$E$1,Tim!KJ41,"")</f>
        <v/>
      </c>
      <c r="KG39" s="185" t="str">
        <f>IF(Tim!KK41=FIT!$E$1,Tim!KK41,"")</f>
        <v/>
      </c>
      <c r="KH39" s="185" t="str">
        <f>IF(Tim!KL41=FIT!$E$1,Tim!KL41,"")</f>
        <v/>
      </c>
      <c r="KI39" s="185" t="str">
        <f>IF(Tim!KM41=FIT!$E$1,Tim!KM41,"")</f>
        <v/>
      </c>
      <c r="KJ39" s="185" t="str">
        <f>IF(Tim!KN41=FIT!$E$1,Tim!KN41,"")</f>
        <v/>
      </c>
      <c r="KK39" s="185" t="str">
        <f>IF(Tim!KO41=FIT!$E$1,Tim!KO41,"")</f>
        <v/>
      </c>
      <c r="KL39" s="185" t="str">
        <f>IF(Tim!KP41=FIT!$E$1,Tim!KP41,"")</f>
        <v/>
      </c>
      <c r="KM39" s="185" t="str">
        <f>IF(Tim!KQ41=FIT!$E$1,Tim!KQ41,"")</f>
        <v/>
      </c>
      <c r="KN39" s="185" t="str">
        <f>IF(Tim!KR41=FIT!$E$1,Tim!KR41,"")</f>
        <v/>
      </c>
      <c r="KO39" s="185" t="str">
        <f>IF(Tim!KS41=FIT!$E$1,Tim!KS41,"")</f>
        <v/>
      </c>
      <c r="KP39" s="185" t="str">
        <f>IF(Tim!KT41=FIT!$E$1,Tim!KT41,"")</f>
        <v/>
      </c>
      <c r="KQ39" s="185" t="str">
        <f>IF(Tim!KU41=FIT!$E$1,Tim!KU41,"")</f>
        <v/>
      </c>
      <c r="KR39" s="185" t="str">
        <f>IF(Tim!KV41=FIT!$E$1,Tim!KV41,"")</f>
        <v/>
      </c>
      <c r="KS39" s="185" t="str">
        <f>IF(Tim!KW41=FIT!$E$1,Tim!KW41,"")</f>
        <v/>
      </c>
      <c r="KT39" s="185" t="str">
        <f>IF(Tim!KX41=FIT!$E$1,Tim!KX41,"")</f>
        <v/>
      </c>
      <c r="KU39" s="185" t="str">
        <f>IF(Tim!KY41=FIT!$E$1,Tim!KY41,"")</f>
        <v/>
      </c>
      <c r="KV39" s="185" t="str">
        <f>IF(Tim!KZ41=FIT!$E$1,Tim!KZ41,"")</f>
        <v/>
      </c>
      <c r="KW39" s="185" t="str">
        <f>IF(Tim!LA41=FIT!$E$1,Tim!LA41,"")</f>
        <v/>
      </c>
      <c r="KX39" s="185" t="str">
        <f>IF(Tim!LB41=FIT!$E$1,Tim!LB41,"")</f>
        <v/>
      </c>
      <c r="KY39" s="185" t="str">
        <f>IF(Tim!LC41=FIT!$E$1,Tim!LC41,"")</f>
        <v/>
      </c>
      <c r="KZ39" s="185" t="str">
        <f>IF(Tim!LD41=FIT!$E$1,Tim!LD41,"")</f>
        <v/>
      </c>
      <c r="LA39" s="185" t="str">
        <f>IF(Tim!LE41=FIT!$E$1,Tim!LE41,"")</f>
        <v/>
      </c>
      <c r="LB39" s="52">
        <v>0.64583333333333204</v>
      </c>
    </row>
    <row r="40" spans="2:314" ht="10.5" customHeight="1">
      <c r="B40" s="49">
        <v>0.25</v>
      </c>
      <c r="C40" s="49">
        <v>0.25</v>
      </c>
      <c r="D40" s="49">
        <v>0.25</v>
      </c>
      <c r="E40" s="172">
        <v>0.656249999999999</v>
      </c>
      <c r="F40" s="238" t="str">
        <f>IF(Tim!F42=FIT!$E$1,Tim!F42,"")</f>
        <v/>
      </c>
      <c r="G40" s="185" t="str">
        <f>IF(Tim!G42=FIT!$E$1,Tim!G42,"")</f>
        <v/>
      </c>
      <c r="H40" s="185" t="str">
        <f>IF(Tim!H42=FIT!$E$1,Tim!H42,"")</f>
        <v/>
      </c>
      <c r="I40" s="185" t="str">
        <f>IF(Tim!I42=FIT!$E$1,Tim!I42,"")</f>
        <v/>
      </c>
      <c r="J40" s="185" t="str">
        <f>IF(Tim!J42=FIT!$E$1,Tim!J42,"")</f>
        <v/>
      </c>
      <c r="K40" s="185" t="str">
        <f>IF(Tim!K42=FIT!$E$1,Tim!K42,"")</f>
        <v/>
      </c>
      <c r="L40" s="185" t="str">
        <f>IF(Tim!L42=FIT!$E$1,Tim!L42,"")</f>
        <v/>
      </c>
      <c r="M40" s="185" t="str">
        <f>IF(Tim!M42=FIT!$E$1,Tim!M42,"")</f>
        <v/>
      </c>
      <c r="N40" s="185" t="str">
        <f>IF(Tim!N42=FIT!$E$1,Tim!N42,"")</f>
        <v/>
      </c>
      <c r="O40" s="185" t="str">
        <f>IF(Tim!O42=FIT!$E$1,Tim!O42,"")</f>
        <v/>
      </c>
      <c r="P40" s="185" t="str">
        <f>IF(Tim!P42=FIT!$E$1,Tim!P42,"")</f>
        <v/>
      </c>
      <c r="Q40" s="185" t="str">
        <f>IF(Tim!Q42=FIT!$E$1,Tim!Q42,"")</f>
        <v/>
      </c>
      <c r="R40" s="185" t="str">
        <f>IF(Tim!R42=FIT!$E$1,Tim!R42,"")</f>
        <v/>
      </c>
      <c r="S40" s="185" t="str">
        <f>IF(Tim!S42=FIT!$E$1,Tim!S42,"")</f>
        <v/>
      </c>
      <c r="T40" s="185" t="str">
        <f>IF(Tim!T42=FIT!$E$1,Tim!T42,"")</f>
        <v/>
      </c>
      <c r="U40" s="185" t="str">
        <f>IF(Tim!U42=FIT!$E$1,Tim!U42,"")</f>
        <v/>
      </c>
      <c r="V40" s="185" t="str">
        <f>IF(Tim!W42=FIT!$E$1,Tim!W42,"")</f>
        <v/>
      </c>
      <c r="W40" s="185" t="str">
        <f>IF(Tim!X42=FIT!$E$1,Tim!X42,"")</f>
        <v/>
      </c>
      <c r="X40" s="185" t="str">
        <f>IF(Tim!Y42=FIT!$E$1,Tim!Y42,"")</f>
        <v/>
      </c>
      <c r="Y40" s="185" t="str">
        <f>IF(Tim!Z42=FIT!$E$1,Tim!Z42,"")</f>
        <v/>
      </c>
      <c r="Z40" s="185" t="str">
        <f>IF(Tim!AA42=FIT!$E$1,Tim!AA42,"")</f>
        <v/>
      </c>
      <c r="AA40" s="185" t="str">
        <f>IF(Tim!AB42=FIT!$E$1,Tim!AB42,"")</f>
        <v/>
      </c>
      <c r="AB40" s="185" t="str">
        <f>IF(Tim!AC42=FIT!$E$1,Tim!AC42,"")</f>
        <v/>
      </c>
      <c r="AC40" s="185" t="str">
        <f>IF(Tim!AD42=FIT!$E$1,Tim!AD42,"")</f>
        <v/>
      </c>
      <c r="AD40" s="185" t="str">
        <f>IF(Tim!AE42=FIT!$E$1,Tim!AE42,"")</f>
        <v/>
      </c>
      <c r="AE40" s="185" t="str">
        <f>IF(Tim!AF42=FIT!$E$1,Tim!AF42,"")</f>
        <v/>
      </c>
      <c r="AF40" s="185" t="str">
        <f>IF(Tim!AG42=FIT!$E$1,Tim!AG42,"")</f>
        <v/>
      </c>
      <c r="AG40" s="185" t="str">
        <f>IF(Tim!AH42=FIT!$E$1,Tim!AH42,"")</f>
        <v/>
      </c>
      <c r="AH40" s="185" t="str">
        <f>IF(Tim!AI42=FIT!$E$1,Tim!AI42,"")</f>
        <v/>
      </c>
      <c r="AI40" s="185" t="str">
        <f>IF(Tim!AJ42=FIT!$E$1,Tim!AJ42,"")</f>
        <v/>
      </c>
      <c r="AJ40" s="185" t="str">
        <f>IF(Tim!AK42=FIT!$E$1,Tim!AK42,"")</f>
        <v/>
      </c>
      <c r="AK40" s="185" t="str">
        <f>IF(Tim!AL42=FIT!$E$1,Tim!AL42,"")</f>
        <v/>
      </c>
      <c r="AL40" s="185" t="str">
        <f>IF(Tim!AM42=FIT!$E$1,Tim!AM42,"")</f>
        <v/>
      </c>
      <c r="AM40" s="185" t="str">
        <f>IF(Tim!AN42=FIT!$E$1,Tim!AN42,"")</f>
        <v/>
      </c>
      <c r="AN40" s="185" t="str">
        <f>IF(Tim!AO42=FIT!$E$1,Tim!AO42,"")</f>
        <v/>
      </c>
      <c r="AO40" s="185" t="str">
        <f>IF(Tim!AP42=FIT!$E$1,Tim!AP42,"")</f>
        <v/>
      </c>
      <c r="AP40" s="185" t="str">
        <f>IF(Tim!AQ42=FIT!$E$1,Tim!AQ42,"")</f>
        <v/>
      </c>
      <c r="AQ40" s="185" t="str">
        <f>IF(Tim!AR42=FIT!$E$1,Tim!AR42,"")</f>
        <v/>
      </c>
      <c r="AR40" s="185" t="str">
        <f>IF(Tim!AS42=FIT!$E$1,Tim!AS42,"")</f>
        <v/>
      </c>
      <c r="AS40" s="185" t="str">
        <f>IF(Tim!AT42=FIT!$E$1,Tim!AT42,"")</f>
        <v/>
      </c>
      <c r="AT40" s="185" t="str">
        <f>IF(Tim!AU42=FIT!$E$1,Tim!AU42,"")</f>
        <v/>
      </c>
      <c r="AU40" s="185" t="str">
        <f>IF(Tim!AV42=FIT!$E$1,Tim!AV42,"")</f>
        <v/>
      </c>
      <c r="AV40" s="185" t="str">
        <f>IF(Tim!AW42=FIT!$E$1,Tim!AW42,"")</f>
        <v/>
      </c>
      <c r="AW40" s="186" t="str">
        <f>IF(Tim!AX42=FIT!$E$1,Tim!AX42,"")</f>
        <v/>
      </c>
      <c r="AX40" s="243" t="str">
        <f>IF(Tim!AY42=FIT!$E$1,Tim!AY42,"")</f>
        <v/>
      </c>
      <c r="AY40" s="185" t="str">
        <f>IF(Tim!AZ42=FIT!$E$1,Tim!AZ42,"")</f>
        <v/>
      </c>
      <c r="AZ40" s="185" t="str">
        <f>IF(Tim!BA42=FIT!$E$1,Tim!BA42,"")</f>
        <v/>
      </c>
      <c r="BA40" s="185" t="str">
        <f>IF(Tim!BB42=FIT!$E$1,Tim!BB42,"")</f>
        <v/>
      </c>
      <c r="BB40" s="185" t="str">
        <f>IF(Tim!BC42=FIT!$E$1,Tim!BC42,"")</f>
        <v/>
      </c>
      <c r="BC40" s="185" t="str">
        <f>IF(Tim!BD42=FIT!$E$1,Tim!BD42,"")</f>
        <v/>
      </c>
      <c r="BD40" s="185" t="str">
        <f>IF(Tim!BE42=FIT!$E$1,Tim!BE42,"")</f>
        <v/>
      </c>
      <c r="BE40" s="185" t="str">
        <f>IF(Tim!BF42=FIT!$E$1,Tim!BF42,"")</f>
        <v/>
      </c>
      <c r="BF40" s="185" t="str">
        <f>IF(Tim!BG42=FIT!$E$1,Tim!BG42,"")</f>
        <v/>
      </c>
      <c r="BG40" s="185" t="str">
        <f>IF(Tim!BH42=FIT!$E$1,Tim!BH42,"")</f>
        <v/>
      </c>
      <c r="BH40" s="185" t="str">
        <f>IF(Tim!BI42=FIT!$E$1,Tim!BI42,"")</f>
        <v/>
      </c>
      <c r="BI40" s="185" t="str">
        <f>IF(Tim!BJ42=FIT!$E$1,Tim!BJ42,"")</f>
        <v/>
      </c>
      <c r="BJ40" s="185" t="str">
        <f>IF(Tim!BK42=FIT!$E$1,Tim!BK42,"")</f>
        <v/>
      </c>
      <c r="BK40" s="185" t="str">
        <f>IF(Tim!BL42=FIT!$E$1,Tim!BL42,"")</f>
        <v/>
      </c>
      <c r="BL40" s="185" t="str">
        <f>IF(Tim!BM42=FIT!$E$1,Tim!BM42,"")</f>
        <v/>
      </c>
      <c r="BM40" s="185" t="str">
        <f>IF(Tim!BN42=FIT!$E$1,Tim!BN42,"")</f>
        <v/>
      </c>
      <c r="BN40" s="185" t="str">
        <f>IF(Tim!BO42=FIT!$E$1,Tim!BO42,"")</f>
        <v/>
      </c>
      <c r="BO40" s="185" t="str">
        <f>IF(Tim!BP42=FIT!$E$1,Tim!BP42,"")</f>
        <v/>
      </c>
      <c r="BP40" s="185" t="str">
        <f>IF(Tim!BQ42=FIT!$E$1,Tim!BQ42,"")</f>
        <v/>
      </c>
      <c r="BQ40" s="185" t="str">
        <f>IF(Tim!BR42=FIT!$E$1,Tim!BR42,"")</f>
        <v/>
      </c>
      <c r="BR40" s="185" t="str">
        <f>IF(Tim!BS42=FIT!$E$1,Tim!BS42,"")</f>
        <v/>
      </c>
      <c r="BS40" s="185" t="str">
        <f>IF(Tim!BT42=FIT!$E$1,Tim!BT42,"")</f>
        <v/>
      </c>
      <c r="BT40" s="185" t="str">
        <f>IF(Tim!BU42=FIT!$E$1,Tim!BU42,"")</f>
        <v/>
      </c>
      <c r="BU40" s="185" t="str">
        <f>IF(Tim!BV42=FIT!$E$1,Tim!BV42,"")</f>
        <v/>
      </c>
      <c r="BV40" s="185" t="str">
        <f>IF(Tim!BW42=FIT!$E$1,Tim!BW42,"")</f>
        <v/>
      </c>
      <c r="BW40" s="185" t="str">
        <f>IF(Tim!BX42=FIT!$E$1,Tim!BX42,"")</f>
        <v/>
      </c>
      <c r="BX40" s="185" t="str">
        <f>IF(Tim!BY42=FIT!$E$1,Tim!BY42,"")</f>
        <v/>
      </c>
      <c r="BY40" s="185" t="str">
        <f>IF(Tim!BZ42=FIT!$E$1,Tim!BZ42,"")</f>
        <v/>
      </c>
      <c r="BZ40" s="185" t="str">
        <f>IF(Tim!CA42=FIT!$E$1,Tim!CA42,"")</f>
        <v/>
      </c>
      <c r="CA40" s="185" t="str">
        <f>IF(Tim!CB42=FIT!$E$1,Tim!CB42,"")</f>
        <v/>
      </c>
      <c r="CB40" s="185" t="str">
        <f>IF(Tim!CC42=FIT!$E$1,Tim!CC42,"")</f>
        <v/>
      </c>
      <c r="CC40" s="185" t="str">
        <f>IF(Tim!CD42=FIT!$E$1,Tim!CD42,"")</f>
        <v/>
      </c>
      <c r="CD40" s="185" t="str">
        <f>IF(Tim!CE42=FIT!$E$1,Tim!CE42,"")</f>
        <v/>
      </c>
      <c r="CE40" s="185" t="str">
        <f>IF(Tim!CF42=FIT!$E$1,Tim!CF42,"")</f>
        <v/>
      </c>
      <c r="CF40" s="185" t="str">
        <f>IF(Tim!CG42=FIT!$E$1,Tim!CG42,"")</f>
        <v/>
      </c>
      <c r="CG40" s="185" t="str">
        <f>IF(Tim!CH42=FIT!$E$1,Tim!CH42,"")</f>
        <v/>
      </c>
      <c r="CH40" s="185" t="str">
        <f>IF(Tim!CI42=FIT!$E$1,Tim!CI42,"")</f>
        <v/>
      </c>
      <c r="CI40" s="185" t="str">
        <f>IF(Tim!CJ42=FIT!$E$1,Tim!CJ42,"")</f>
        <v/>
      </c>
      <c r="CJ40" s="185" t="str">
        <f>IF(Tim!CK42=FIT!$E$1,Tim!CK42,"")</f>
        <v/>
      </c>
      <c r="CK40" s="185" t="str">
        <f>IF(Tim!CL42=FIT!$E$1,Tim!CL42,"")</f>
        <v/>
      </c>
      <c r="CL40" s="185" t="str">
        <f>IF(Tim!CM42=FIT!$E$1,Tim!CM42,"")</f>
        <v/>
      </c>
      <c r="CM40" s="185" t="str">
        <f>IF(Tim!CN42=FIT!$E$1,Tim!CN42,"")</f>
        <v/>
      </c>
      <c r="CN40" s="185" t="str">
        <f>IF(Tim!CO42=FIT!$E$1,Tim!CO42,"")</f>
        <v/>
      </c>
      <c r="CO40" s="185" t="str">
        <f>IF(Tim!CP42=FIT!$E$1,Tim!CP42,"")</f>
        <v/>
      </c>
      <c r="CP40" s="185" t="str">
        <f>IF(Tim!CQ42=FIT!$E$1,Tim!CQ42,"")</f>
        <v/>
      </c>
      <c r="CQ40" s="185" t="str">
        <f>IF(Tim!CR42=FIT!$E$1,Tim!CR42,"")</f>
        <v/>
      </c>
      <c r="CR40" s="185" t="str">
        <f>IF(Tim!CS42=FIT!$E$1,Tim!CS42,"")</f>
        <v/>
      </c>
      <c r="CS40" s="185" t="str">
        <f>IF(Tim!CT42=FIT!$E$1,Tim!CT42,"")</f>
        <v/>
      </c>
      <c r="CT40" s="185" t="str">
        <f>IF(Tim!CU42=FIT!$E$1,Tim!CU42,"")</f>
        <v/>
      </c>
      <c r="CU40" s="185" t="str">
        <f>IF(Tim!CV42=FIT!$E$1,Tim!CV42,"")</f>
        <v/>
      </c>
      <c r="CV40" s="185" t="str">
        <f>IF(Tim!CW42=FIT!$E$1,Tim!CW42,"")</f>
        <v/>
      </c>
      <c r="CW40" s="185" t="str">
        <f>IF(Tim!CX42=FIT!$E$1,Tim!CX42,"")</f>
        <v/>
      </c>
      <c r="CX40" s="185" t="str">
        <f>IF(Tim!CY42=FIT!$E$1,Tim!CY42,"")</f>
        <v/>
      </c>
      <c r="CY40" s="185" t="str">
        <f>IF(Tim!CZ42=FIT!$E$1,Tim!CZ42,"")</f>
        <v/>
      </c>
      <c r="CZ40" s="185" t="str">
        <f>IF(Tim!DA42=FIT!$E$1,Tim!DA42,"")</f>
        <v/>
      </c>
      <c r="DA40" s="185" t="str">
        <f>IF(Tim!DB42=FIT!$E$1,Tim!DB42,"")</f>
        <v/>
      </c>
      <c r="DB40" s="185" t="str">
        <f>IF(Tim!DC42=FIT!$E$1,Tim!DC42,"")</f>
        <v/>
      </c>
      <c r="DC40" s="185" t="str">
        <f>IF(Tim!DD42=FIT!$E$1,Tim!DD42,"")</f>
        <v/>
      </c>
      <c r="DD40" s="185" t="str">
        <f>IF(Tim!DE42=FIT!$E$1,Tim!DE42,"")</f>
        <v/>
      </c>
      <c r="DE40" s="185" t="str">
        <f>IF(Tim!DF42=FIT!$E$1,Tim!DF42,"")</f>
        <v/>
      </c>
      <c r="DF40" s="185" t="str">
        <f>IF(Tim!DG42=FIT!$E$1,Tim!DG42,"")</f>
        <v/>
      </c>
      <c r="DG40" s="185" t="str">
        <f>IF(Tim!DH42=FIT!$E$1,Tim!DH42,"")</f>
        <v/>
      </c>
      <c r="DH40" s="185" t="str">
        <f>IF(Tim!DI42=FIT!$E$1,Tim!DI42,"")</f>
        <v/>
      </c>
      <c r="DI40" s="185" t="str">
        <f>IF(Tim!DM42=FIT!$E$1,Tim!DM42,"")</f>
        <v/>
      </c>
      <c r="DJ40" s="185" t="str">
        <f>IF(Tim!DN42=FIT!$E$1,Tim!DN42,"")</f>
        <v/>
      </c>
      <c r="DK40" s="185" t="str">
        <f>IF(Tim!DO42=FIT!$E$1,Tim!DO42,"")</f>
        <v/>
      </c>
      <c r="DL40" s="185" t="str">
        <f>IF(Tim!DP42=FIT!$E$1,Tim!DP42,"")</f>
        <v/>
      </c>
      <c r="DM40" s="185" t="str">
        <f>IF(Tim!DQ42=FIT!$E$1,Tim!DQ42,"")</f>
        <v/>
      </c>
      <c r="DN40" s="185" t="str">
        <f>IF(Tim!DR42=FIT!$E$1,Tim!DR42,"")</f>
        <v/>
      </c>
      <c r="DO40" s="185" t="str">
        <f>IF(Tim!DS42=FIT!$E$1,Tim!DS42,"")</f>
        <v/>
      </c>
      <c r="DP40" s="185" t="str">
        <f>IF(Tim!DT42=FIT!$E$1,Tim!DT42,"")</f>
        <v/>
      </c>
      <c r="DQ40" s="185" t="str">
        <f>IF(Tim!DU42=FIT!$E$1,Tim!DU42,"")</f>
        <v/>
      </c>
      <c r="DR40" s="185" t="str">
        <f>IF(Tim!DV42=FIT!$E$1,Tim!DV42,"")</f>
        <v/>
      </c>
      <c r="DS40" s="185" t="str">
        <f>IF(Tim!DW42=FIT!$E$1,Tim!DW42,"")</f>
        <v/>
      </c>
      <c r="DT40" s="185" t="str">
        <f>IF(Tim!DX42=FIT!$E$1,Tim!DX42,"")</f>
        <v/>
      </c>
      <c r="DU40" s="185" t="str">
        <f>IF(Tim!DY42=FIT!$E$1,Tim!DY42,"")</f>
        <v/>
      </c>
      <c r="DV40" s="185" t="str">
        <f>IF(Tim!DZ42=FIT!$E$1,Tim!DZ42,"")</f>
        <v/>
      </c>
      <c r="DW40" s="185" t="str">
        <f>IF(Tim!EA42=FIT!$E$1,Tim!EA42,"")</f>
        <v/>
      </c>
      <c r="DX40" s="185" t="str">
        <f>IF(Tim!EB42=FIT!$E$1,Tim!EB42,"")</f>
        <v/>
      </c>
      <c r="DY40" s="185" t="str">
        <f>IF(Tim!EC42=FIT!$E$1,Tim!EC42,"")</f>
        <v/>
      </c>
      <c r="DZ40" s="185" t="str">
        <f>IF(Tim!ED42=FIT!$E$1,Tim!ED42,"")</f>
        <v/>
      </c>
      <c r="EA40" s="185" t="str">
        <f>IF(Tim!EE42=FIT!$E$1,Tim!EE42,"")</f>
        <v/>
      </c>
      <c r="EB40" s="185" t="str">
        <f>IF(Tim!EF42=FIT!$E$1,Tim!EF42,"")</f>
        <v/>
      </c>
      <c r="EC40" s="185" t="str">
        <f>IF(Tim!EG42=FIT!$E$1,Tim!EG42,"")</f>
        <v/>
      </c>
      <c r="ED40" s="185" t="str">
        <f>IF(Tim!EH42=FIT!$E$1,Tim!EH42,"")</f>
        <v/>
      </c>
      <c r="EE40" s="185" t="str">
        <f>IF(Tim!EI42=FIT!$E$1,Tim!EI42,"")</f>
        <v/>
      </c>
      <c r="EF40" s="185" t="str">
        <f>IF(Tim!EJ42=FIT!$E$1,Tim!EJ42,"")</f>
        <v/>
      </c>
      <c r="EG40" s="185" t="str">
        <f>IF(Tim!EK42=FIT!$E$1,Tim!EK42,"")</f>
        <v/>
      </c>
      <c r="EH40" s="185" t="str">
        <f>IF(Tim!EL42=FIT!$E$1,Tim!EL42,"")</f>
        <v/>
      </c>
      <c r="EI40" s="185" t="str">
        <f>IF(Tim!EM42=FIT!$E$1,Tim!EM42,"")</f>
        <v/>
      </c>
      <c r="EJ40" s="185" t="str">
        <f>IF(Tim!EN42=FIT!$E$1,Tim!EN42,"")</f>
        <v/>
      </c>
      <c r="EK40" s="185" t="str">
        <f>IF(Tim!EO42=FIT!$E$1,Tim!EO42,"")</f>
        <v/>
      </c>
      <c r="EL40" s="185" t="str">
        <f>IF(Tim!EP42=FIT!$E$1,Tim!EP42,"")</f>
        <v/>
      </c>
      <c r="EM40" s="185" t="str">
        <f>IF(Tim!EQ42=FIT!$E$1,Tim!EQ42,"")</f>
        <v/>
      </c>
      <c r="EN40" s="185" t="str">
        <f>IF(Tim!ER42=FIT!$E$1,Tim!ER42,"")</f>
        <v/>
      </c>
      <c r="EO40" s="185" t="str">
        <f>IF(Tim!ES42=FIT!$E$1,Tim!ES42,"")</f>
        <v/>
      </c>
      <c r="EP40" s="185" t="str">
        <f>IF(Tim!ET42=FIT!$E$1,Tim!ET42,"")</f>
        <v/>
      </c>
      <c r="EQ40" s="185" t="str">
        <f>IF(Tim!EU42=FIT!$E$1,Tim!EU42,"")</f>
        <v/>
      </c>
      <c r="ER40" s="185" t="str">
        <f>IF(Tim!EV42=FIT!$E$1,Tim!EV42,"")</f>
        <v/>
      </c>
      <c r="ES40" s="185" t="str">
        <f>IF(Tim!EW42=FIT!$E$1,Tim!EW42,"")</f>
        <v/>
      </c>
      <c r="ET40" s="185" t="str">
        <f>IF(Tim!EX42=FIT!$E$1,Tim!EX42,"")</f>
        <v/>
      </c>
      <c r="EU40" s="185" t="str">
        <f>IF(Tim!EY42=FIT!$E$1,Tim!EY42,"")</f>
        <v/>
      </c>
      <c r="EV40" s="185" t="str">
        <f>IF(Tim!EZ42=FIT!$E$1,Tim!EZ42,"")</f>
        <v/>
      </c>
      <c r="EW40" s="185" t="str">
        <f>IF(Tim!FA42=FIT!$E$1,Tim!FA42,"")</f>
        <v/>
      </c>
      <c r="EX40" s="185" t="str">
        <f>IF(Tim!FB42=FIT!$E$1,Tim!FB42,"")</f>
        <v/>
      </c>
      <c r="EY40" s="185" t="str">
        <f>IF(Tim!FC42=FIT!$E$1,Tim!FC42,"")</f>
        <v/>
      </c>
      <c r="EZ40" s="185" t="str">
        <f>IF(Tim!FD42=FIT!$E$1,Tim!FD42,"")</f>
        <v/>
      </c>
      <c r="FA40" s="185" t="str">
        <f>IF(Tim!FE42=FIT!$E$1,Tim!FE42,"")</f>
        <v/>
      </c>
      <c r="FB40" s="185" t="str">
        <f>IF(Tim!FF42=FIT!$E$1,Tim!FF42,"")</f>
        <v/>
      </c>
      <c r="FC40" s="185" t="str">
        <f>IF(Tim!FG42=FIT!$E$1,Tim!FG42,"")</f>
        <v/>
      </c>
      <c r="FD40" s="185" t="str">
        <f>IF(Tim!FH42=FIT!$E$1,Tim!FH42,"")</f>
        <v/>
      </c>
      <c r="FE40" s="185" t="str">
        <f>IF(Tim!FI42=FIT!$E$1,Tim!FI42,"")</f>
        <v/>
      </c>
      <c r="FF40" s="185" t="str">
        <f>IF(Tim!FJ42=FIT!$E$1,Tim!FJ42,"")</f>
        <v/>
      </c>
      <c r="FG40" s="185" t="str">
        <f>IF(Tim!FK42=FIT!$E$1,Tim!FK42,"")</f>
        <v/>
      </c>
      <c r="FH40" s="185" t="str">
        <f>IF(Tim!FL42=FIT!$E$1,Tim!FL42,"")</f>
        <v/>
      </c>
      <c r="FI40" s="185" t="str">
        <f>IF(Tim!FM42=FIT!$E$1,Tim!FM42,"")</f>
        <v/>
      </c>
      <c r="FJ40" s="185" t="str">
        <f>IF(Tim!FN42=FIT!$E$1,Tim!FN42,"")</f>
        <v/>
      </c>
      <c r="FK40" s="185" t="str">
        <f>IF(Tim!FO42=FIT!$E$1,Tim!FO42,"")</f>
        <v/>
      </c>
      <c r="FL40" s="185" t="str">
        <f>IF(Tim!FP42=FIT!$E$1,Tim!FP42,"")</f>
        <v/>
      </c>
      <c r="FM40" s="185" t="str">
        <f>IF(Tim!FQ42=FIT!$E$1,Tim!FQ42,"")</f>
        <v/>
      </c>
      <c r="FN40" s="185" t="str">
        <f>IF(Tim!FR42=FIT!$E$1,Tim!FR42,"")</f>
        <v/>
      </c>
      <c r="FO40" s="185" t="str">
        <f>IF(Tim!FS42=FIT!$E$1,Tim!FS42,"")</f>
        <v/>
      </c>
      <c r="FP40" s="185" t="str">
        <f>IF(Tim!FT42=FIT!$E$1,Tim!FT42,"")</f>
        <v/>
      </c>
      <c r="FQ40" s="185" t="str">
        <f>IF(Tim!FU42=FIT!$E$1,Tim!FU42,"")</f>
        <v/>
      </c>
      <c r="FR40" s="185" t="str">
        <f>IF(Tim!FV42=FIT!$E$1,Tim!FV42,"")</f>
        <v/>
      </c>
      <c r="FS40" s="185" t="str">
        <f>IF(Tim!FW42=FIT!$E$1,Tim!FW42,"")</f>
        <v/>
      </c>
      <c r="FT40" s="185" t="str">
        <f>IF(Tim!FX42=FIT!$E$1,Tim!FX42,"")</f>
        <v/>
      </c>
      <c r="FU40" s="185" t="str">
        <f>IF(Tim!FY42=FIT!$E$1,Tim!FY42,"")</f>
        <v/>
      </c>
      <c r="FV40" s="185" t="str">
        <f>IF(Tim!FZ42=FIT!$E$1,Tim!FZ42,"")</f>
        <v/>
      </c>
      <c r="FW40" s="185" t="str">
        <f>IF(Tim!GA42=FIT!$E$1,Tim!GA42,"")</f>
        <v/>
      </c>
      <c r="FX40" s="185" t="str">
        <f>IF(Tim!GB42=FIT!$E$1,Tim!GB42,"")</f>
        <v/>
      </c>
      <c r="FY40" s="185" t="str">
        <f>IF(Tim!GC42=FIT!$E$1,Tim!GC42,"")</f>
        <v/>
      </c>
      <c r="FZ40" s="185" t="str">
        <f>IF(Tim!GD42=FIT!$E$1,Tim!GD42,"")</f>
        <v/>
      </c>
      <c r="GA40" s="185" t="str">
        <f>IF(Tim!GE42=FIT!$E$1,Tim!GE42,"")</f>
        <v/>
      </c>
      <c r="GB40" s="185" t="str">
        <f>IF(Tim!GF42=FIT!$E$1,Tim!GF42,"")</f>
        <v/>
      </c>
      <c r="GC40" s="185" t="str">
        <f>IF(Tim!GG42=FIT!$E$1,Tim!GG42,"")</f>
        <v/>
      </c>
      <c r="GD40" s="185" t="str">
        <f>IF(Tim!GH42=FIT!$E$1,Tim!GH42,"")</f>
        <v/>
      </c>
      <c r="GE40" s="185" t="str">
        <f>IF(Tim!GI42=FIT!$E$1,Tim!GI42,"")</f>
        <v/>
      </c>
      <c r="GF40" s="185" t="str">
        <f>IF(Tim!GJ42=FIT!$E$1,Tim!GJ42,"")</f>
        <v/>
      </c>
      <c r="GG40" s="185" t="str">
        <f>IF(Tim!GK42=FIT!$E$1,Tim!GK42,"")</f>
        <v/>
      </c>
      <c r="GH40" s="185" t="str">
        <f>IF(Tim!GL42=FIT!$E$1,Tim!GL42,"")</f>
        <v/>
      </c>
      <c r="GI40" s="185" t="str">
        <f>IF(Tim!GM42=FIT!$E$1,Tim!GM42,"")</f>
        <v/>
      </c>
      <c r="GJ40" s="185" t="str">
        <f>IF(Tim!GN42=FIT!$E$1,Tim!GN42,"")</f>
        <v/>
      </c>
      <c r="GK40" s="185" t="str">
        <f>IF(Tim!GO42=FIT!$E$1,Tim!GO42,"")</f>
        <v/>
      </c>
      <c r="GL40" s="185" t="str">
        <f>IF(Tim!GP42=FIT!$E$1,Tim!GP42,"")</f>
        <v/>
      </c>
      <c r="GM40" s="185" t="str">
        <f>IF(Tim!GQ42=FIT!$E$1,Tim!GQ42,"")</f>
        <v/>
      </c>
      <c r="GN40" s="185" t="str">
        <f>IF(Tim!GR42=FIT!$E$1,Tim!GR42,"")</f>
        <v/>
      </c>
      <c r="GO40" s="185" t="str">
        <f>IF(Tim!GS42=FIT!$E$1,Tim!GS42,"")</f>
        <v/>
      </c>
      <c r="GP40" s="185" t="str">
        <f>IF(Tim!GT42=FIT!$E$1,Tim!GT42,"")</f>
        <v/>
      </c>
      <c r="GQ40" s="185" t="str">
        <f>IF(Tim!GU42=FIT!$E$1,Tim!GU42,"")</f>
        <v/>
      </c>
      <c r="GR40" s="185" t="str">
        <f>IF(Tim!GV42=FIT!$E$1,Tim!GV42,"")</f>
        <v/>
      </c>
      <c r="GS40" s="185" t="str">
        <f>IF(Tim!GW42=FIT!$E$1,Tim!GW42,"")</f>
        <v/>
      </c>
      <c r="GT40" s="185" t="str">
        <f>IF(Tim!GX42=FIT!$E$1,Tim!GX42,"")</f>
        <v/>
      </c>
      <c r="GU40" s="185" t="str">
        <f>IF(Tim!GY42=FIT!$E$1,Tim!GY42,"")</f>
        <v/>
      </c>
      <c r="GV40" s="185" t="str">
        <f>IF(Tim!GZ42=FIT!$E$1,Tim!GZ42,"")</f>
        <v/>
      </c>
      <c r="GW40" s="185" t="str">
        <f>IF(Tim!HA42=FIT!$E$1,Tim!HA42,"")</f>
        <v/>
      </c>
      <c r="GX40" s="185" t="str">
        <f>IF(Tim!HB42=FIT!$E$1,Tim!HB42,"")</f>
        <v/>
      </c>
      <c r="GY40" s="185" t="str">
        <f>IF(Tim!HC42=FIT!$E$1,Tim!HC42,"")</f>
        <v/>
      </c>
      <c r="GZ40" s="185" t="str">
        <f>IF(Tim!HD42=FIT!$E$1,Tim!HD42,"")</f>
        <v/>
      </c>
      <c r="HA40" s="185" t="str">
        <f>IF(Tim!HE42=FIT!$E$1,Tim!HE42,"")</f>
        <v/>
      </c>
      <c r="HB40" s="185" t="str">
        <f>IF(Tim!HF42=FIT!$E$1,Tim!HF42,"")</f>
        <v/>
      </c>
      <c r="HC40" s="185" t="str">
        <f>IF(Tim!HG42=FIT!$E$1,Tim!HG42,"")</f>
        <v/>
      </c>
      <c r="HD40" s="185" t="str">
        <f>IF(Tim!HH42=FIT!$E$1,Tim!HH42,"")</f>
        <v/>
      </c>
      <c r="HE40" s="185" t="str">
        <f>IF(Tim!HI42=FIT!$E$1,Tim!HI42,"")</f>
        <v/>
      </c>
      <c r="HF40" s="185" t="str">
        <f>IF(Tim!HJ42=FIT!$E$1,Tim!HJ42,"")</f>
        <v/>
      </c>
      <c r="HG40" s="185" t="str">
        <f>IF(Tim!HK42=FIT!$E$1,Tim!HK42,"")</f>
        <v/>
      </c>
      <c r="HH40" s="185" t="str">
        <f>IF(Tim!HL42=FIT!$E$1,Tim!HL42,"")</f>
        <v/>
      </c>
      <c r="HI40" s="185" t="str">
        <f>IF(Tim!HM42=FIT!$E$1,Tim!HM42,"")</f>
        <v/>
      </c>
      <c r="HJ40" s="185" t="str">
        <f>IF(Tim!HN42=FIT!$E$1,Tim!HN42,"")</f>
        <v/>
      </c>
      <c r="HK40" s="185" t="str">
        <f>IF(Tim!HO42=FIT!$E$1,Tim!HO42,"")</f>
        <v/>
      </c>
      <c r="HL40" s="185" t="str">
        <f>IF(Tim!HP42=FIT!$E$1,Tim!HP42,"")</f>
        <v/>
      </c>
      <c r="HM40" s="185" t="str">
        <f>IF(Tim!HQ42=FIT!$E$1,Tim!HQ42,"")</f>
        <v/>
      </c>
      <c r="HN40" s="185" t="str">
        <f>IF(Tim!HR42=FIT!$E$1,Tim!HR42,"")</f>
        <v/>
      </c>
      <c r="HO40" s="185" t="str">
        <f>IF(Tim!HS42=FIT!$E$1,Tim!HS42,"")</f>
        <v/>
      </c>
      <c r="HP40" s="185" t="str">
        <f>IF(Tim!HT42=FIT!$E$1,Tim!HT42,"")</f>
        <v/>
      </c>
      <c r="HQ40" s="185" t="str">
        <f>IF(Tim!HU42=FIT!$E$1,Tim!HU42,"")</f>
        <v/>
      </c>
      <c r="HR40" s="185" t="str">
        <f>IF(Tim!HV42=FIT!$E$1,Tim!HV42,"")</f>
        <v/>
      </c>
      <c r="HS40" s="185" t="str">
        <f>IF(Tim!HW42=FIT!$E$1,Tim!HW42,"")</f>
        <v/>
      </c>
      <c r="HT40" s="185" t="str">
        <f>IF(Tim!HX42=FIT!$E$1,Tim!HX42,"")</f>
        <v/>
      </c>
      <c r="HU40" s="185" t="str">
        <f>IF(Tim!HY42=FIT!$E$1,Tim!HY42,"")</f>
        <v/>
      </c>
      <c r="HV40" s="185" t="str">
        <f>IF(Tim!HZ42=FIT!$E$1,Tim!HZ42,"")</f>
        <v/>
      </c>
      <c r="HW40" s="185" t="str">
        <f>IF(Tim!IA42=FIT!$E$1,Tim!IA42,"")</f>
        <v/>
      </c>
      <c r="HX40" s="185" t="str">
        <f>IF(Tim!IB42=FIT!$E$1,Tim!IB42,"")</f>
        <v/>
      </c>
      <c r="HY40" s="185" t="str">
        <f>IF(Tim!IC42=FIT!$E$1,Tim!IC42,"")</f>
        <v/>
      </c>
      <c r="HZ40" s="185" t="str">
        <f>IF(Tim!ID42=FIT!$E$1,Tim!ID42,"")</f>
        <v/>
      </c>
      <c r="IA40" s="185" t="str">
        <f>IF(Tim!IE42=FIT!$E$1,Tim!IE42,"")</f>
        <v/>
      </c>
      <c r="IB40" s="185" t="str">
        <f>IF(Tim!IF42=FIT!$E$1,Tim!IF42,"")</f>
        <v/>
      </c>
      <c r="IC40" s="185" t="str">
        <f>IF(Tim!IG42=FIT!$E$1,Tim!IG42,"")</f>
        <v/>
      </c>
      <c r="ID40" s="185" t="str">
        <f>IF(Tim!IH42=FIT!$E$1,Tim!IH42,"")</f>
        <v/>
      </c>
      <c r="IE40" s="185" t="str">
        <f>IF(Tim!II42=FIT!$E$1,Tim!II42,"")</f>
        <v/>
      </c>
      <c r="IF40" s="185" t="str">
        <f>IF(Tim!IJ42=FIT!$E$1,Tim!IJ42,"")</f>
        <v/>
      </c>
      <c r="IG40" s="185" t="str">
        <f>IF(Tim!IK42=FIT!$E$1,Tim!IK42,"")</f>
        <v/>
      </c>
      <c r="IH40" s="185" t="str">
        <f>IF(Tim!IL42=FIT!$E$1,Tim!IL42,"")</f>
        <v/>
      </c>
      <c r="II40" s="185" t="str">
        <f>IF(Tim!IM42=FIT!$E$1,Tim!IM42,"")</f>
        <v/>
      </c>
      <c r="IJ40" s="185" t="str">
        <f>IF(Tim!IN42=FIT!$E$1,Tim!IN42,"")</f>
        <v/>
      </c>
      <c r="IK40" s="185" t="str">
        <f>IF(Tim!IO42=FIT!$E$1,Tim!IO42,"")</f>
        <v/>
      </c>
      <c r="IL40" s="185" t="str">
        <f>IF(Tim!IP42=FIT!$E$1,Tim!IP42,"")</f>
        <v/>
      </c>
      <c r="IM40" s="185" t="str">
        <f>IF(Tim!IQ42=FIT!$E$1,Tim!IQ42,"")</f>
        <v/>
      </c>
      <c r="IN40" s="185" t="str">
        <f>IF(Tim!IR42=FIT!$E$1,Tim!IR42,"")</f>
        <v/>
      </c>
      <c r="IO40" s="185" t="str">
        <f>IF(Tim!IS42=FIT!$E$1,Tim!IS42,"")</f>
        <v/>
      </c>
      <c r="IP40" s="185" t="str">
        <f>IF(Tim!IT42=FIT!$E$1,Tim!IT42,"")</f>
        <v/>
      </c>
      <c r="IQ40" s="185" t="str">
        <f>IF(Tim!IU42=FIT!$E$1,Tim!IU42,"")</f>
        <v/>
      </c>
      <c r="IR40" s="185" t="str">
        <f>IF(Tim!IV42=FIT!$E$1,Tim!IV42,"")</f>
        <v/>
      </c>
      <c r="IS40" s="185" t="str">
        <f>IF(Tim!IW42=FIT!$E$1,Tim!IW42,"")</f>
        <v/>
      </c>
      <c r="IT40" s="185" t="str">
        <f>IF(Tim!IX42=FIT!$E$1,Tim!IX42,"")</f>
        <v/>
      </c>
      <c r="IU40" s="185" t="str">
        <f>IF(Tim!IY42=FIT!$E$1,Tim!IY42,"")</f>
        <v/>
      </c>
      <c r="IV40" s="185" t="str">
        <f>IF(Tim!IZ42=FIT!$E$1,Tim!IZ42,"")</f>
        <v/>
      </c>
      <c r="IW40" s="185" t="str">
        <f>IF(Tim!JA42=FIT!$E$1,Tim!JA42,"")</f>
        <v/>
      </c>
      <c r="IX40" s="185" t="str">
        <f>IF(Tim!JB42=FIT!$E$1,Tim!JB42,"")</f>
        <v/>
      </c>
      <c r="IY40" s="185" t="str">
        <f>IF(Tim!JC42=FIT!$E$1,Tim!JC42,"")</f>
        <v/>
      </c>
      <c r="IZ40" s="185" t="str">
        <f>IF(Tim!JD42=FIT!$E$1,Tim!JD42,"")</f>
        <v/>
      </c>
      <c r="JA40" s="185" t="str">
        <f>IF(Tim!JE42=FIT!$E$1,Tim!JE42,"")</f>
        <v/>
      </c>
      <c r="JB40" s="185" t="str">
        <f>IF(Tim!JF42=FIT!$E$1,Tim!JF42,"")</f>
        <v/>
      </c>
      <c r="JC40" s="185" t="str">
        <f>IF(Tim!JG42=FIT!$E$1,Tim!JG42,"")</f>
        <v/>
      </c>
      <c r="JD40" s="185" t="str">
        <f>IF(Tim!JH42=FIT!$E$1,Tim!JH42,"")</f>
        <v/>
      </c>
      <c r="JE40" s="185" t="str">
        <f>IF(Tim!JI42=FIT!$E$1,Tim!JI42,"")</f>
        <v/>
      </c>
      <c r="JF40" s="185" t="str">
        <f>IF(Tim!JJ42=FIT!$E$1,Tim!JJ42,"")</f>
        <v/>
      </c>
      <c r="JG40" s="185" t="str">
        <f>IF(Tim!JK42=FIT!$E$1,Tim!JK42,"")</f>
        <v/>
      </c>
      <c r="JH40" s="185" t="str">
        <f>IF(Tim!JL42=FIT!$E$1,Tim!JL42,"")</f>
        <v/>
      </c>
      <c r="JI40" s="185" t="str">
        <f>IF(Tim!JM42=FIT!$E$1,Tim!JM42,"")</f>
        <v/>
      </c>
      <c r="JJ40" s="185" t="str">
        <f>IF(Tim!JN42=FIT!$E$1,Tim!JN42,"")</f>
        <v/>
      </c>
      <c r="JK40" s="185" t="str">
        <f>IF(Tim!JO42=FIT!$E$1,Tim!JO42,"")</f>
        <v/>
      </c>
      <c r="JL40" s="185" t="str">
        <f>IF(Tim!JP42=FIT!$E$1,Tim!JP42,"")</f>
        <v/>
      </c>
      <c r="JM40" s="185" t="str">
        <f>IF(Tim!JQ42=FIT!$E$1,Tim!JQ42,"")</f>
        <v/>
      </c>
      <c r="JN40" s="185" t="str">
        <f>IF(Tim!JR42=FIT!$E$1,Tim!JR42,"")</f>
        <v/>
      </c>
      <c r="JO40" s="185" t="str">
        <f>IF(Tim!JS42=FIT!$E$1,Tim!JS42,"")</f>
        <v/>
      </c>
      <c r="JP40" s="185" t="str">
        <f>IF(Tim!JT42=FIT!$E$1,Tim!JT42,"")</f>
        <v/>
      </c>
      <c r="JQ40" s="185" t="str">
        <f>IF(Tim!JU42=FIT!$E$1,Tim!JU42,"")</f>
        <v/>
      </c>
      <c r="JR40" s="185" t="str">
        <f>IF(Tim!JV42=FIT!$E$1,Tim!JV42,"")</f>
        <v/>
      </c>
      <c r="JS40" s="185" t="str">
        <f>IF(Tim!JW42=FIT!$E$1,Tim!JW42,"")</f>
        <v/>
      </c>
      <c r="JT40" s="185" t="str">
        <f>IF(Tim!JX42=FIT!$E$1,Tim!JX42,"")</f>
        <v/>
      </c>
      <c r="JU40" s="185" t="str">
        <f>IF(Tim!JY42=FIT!$E$1,Tim!JY42,"")</f>
        <v/>
      </c>
      <c r="JV40" s="185" t="str">
        <f>IF(Tim!JZ42=FIT!$E$1,Tim!JZ42,"")</f>
        <v/>
      </c>
      <c r="JW40" s="185" t="str">
        <f>IF(Tim!KA42=FIT!$E$1,Tim!KA42,"")</f>
        <v/>
      </c>
      <c r="JX40" s="185" t="str">
        <f>IF(Tim!KB42=FIT!$E$1,Tim!KB42,"")</f>
        <v/>
      </c>
      <c r="JY40" s="185" t="str">
        <f>IF(Tim!KC42=FIT!$E$1,Tim!KC42,"")</f>
        <v/>
      </c>
      <c r="JZ40" s="185" t="str">
        <f>IF(Tim!KD42=FIT!$E$1,Tim!KD42,"")</f>
        <v/>
      </c>
      <c r="KA40" s="185" t="str">
        <f>IF(Tim!KE42=FIT!$E$1,Tim!KE42,"")</f>
        <v/>
      </c>
      <c r="KB40" s="185" t="str">
        <f>IF(Tim!KF42=FIT!$E$1,Tim!KF42,"")</f>
        <v/>
      </c>
      <c r="KC40" s="185" t="str">
        <f>IF(Tim!KG42=FIT!$E$1,Tim!KG42,"")</f>
        <v/>
      </c>
      <c r="KD40" s="185" t="str">
        <f>IF(Tim!KH42=FIT!$E$1,Tim!KH42,"")</f>
        <v/>
      </c>
      <c r="KE40" s="185" t="str">
        <f>IF(Tim!KI42=FIT!$E$1,Tim!KI42,"")</f>
        <v/>
      </c>
      <c r="KF40" s="185" t="str">
        <f>IF(Tim!KJ42=FIT!$E$1,Tim!KJ42,"")</f>
        <v/>
      </c>
      <c r="KG40" s="185" t="str">
        <f>IF(Tim!KK42=FIT!$E$1,Tim!KK42,"")</f>
        <v/>
      </c>
      <c r="KH40" s="185" t="str">
        <f>IF(Tim!KL42=FIT!$E$1,Tim!KL42,"")</f>
        <v/>
      </c>
      <c r="KI40" s="185" t="str">
        <f>IF(Tim!KM42=FIT!$E$1,Tim!KM42,"")</f>
        <v/>
      </c>
      <c r="KJ40" s="185" t="str">
        <f>IF(Tim!KN42=FIT!$E$1,Tim!KN42,"")</f>
        <v/>
      </c>
      <c r="KK40" s="185" t="str">
        <f>IF(Tim!KO42=FIT!$E$1,Tim!KO42,"")</f>
        <v/>
      </c>
      <c r="KL40" s="185" t="str">
        <f>IF(Tim!KP42=FIT!$E$1,Tim!KP42,"")</f>
        <v/>
      </c>
      <c r="KM40" s="185" t="str">
        <f>IF(Tim!KQ42=FIT!$E$1,Tim!KQ42,"")</f>
        <v/>
      </c>
      <c r="KN40" s="185" t="str">
        <f>IF(Tim!KR42=FIT!$E$1,Tim!KR42,"")</f>
        <v/>
      </c>
      <c r="KO40" s="185" t="str">
        <f>IF(Tim!KS42=FIT!$E$1,Tim!KS42,"")</f>
        <v/>
      </c>
      <c r="KP40" s="185" t="str">
        <f>IF(Tim!KT42=FIT!$E$1,Tim!KT42,"")</f>
        <v/>
      </c>
      <c r="KQ40" s="185" t="str">
        <f>IF(Tim!KU42=FIT!$E$1,Tim!KU42,"")</f>
        <v/>
      </c>
      <c r="KR40" s="185" t="str">
        <f>IF(Tim!KV42=FIT!$E$1,Tim!KV42,"")</f>
        <v/>
      </c>
      <c r="KS40" s="185" t="str">
        <f>IF(Tim!KW42=FIT!$E$1,Tim!KW42,"")</f>
        <v/>
      </c>
      <c r="KT40" s="185" t="str">
        <f>IF(Tim!KX42=FIT!$E$1,Tim!KX42,"")</f>
        <v/>
      </c>
      <c r="KU40" s="185" t="str">
        <f>IF(Tim!KY42=FIT!$E$1,Tim!KY42,"")</f>
        <v/>
      </c>
      <c r="KV40" s="185" t="str">
        <f>IF(Tim!KZ42=FIT!$E$1,Tim!KZ42,"")</f>
        <v/>
      </c>
      <c r="KW40" s="185" t="str">
        <f>IF(Tim!LA42=FIT!$E$1,Tim!LA42,"")</f>
        <v/>
      </c>
      <c r="KX40" s="185" t="str">
        <f>IF(Tim!LB42=FIT!$E$1,Tim!LB42,"")</f>
        <v/>
      </c>
      <c r="KY40" s="185" t="str">
        <f>IF(Tim!LC42=FIT!$E$1,Tim!LC42,"")</f>
        <v/>
      </c>
      <c r="KZ40" s="185" t="str">
        <f>IF(Tim!LD42=FIT!$E$1,Tim!LD42,"")</f>
        <v/>
      </c>
      <c r="LA40" s="185" t="str">
        <f>IF(Tim!LE42=FIT!$E$1,Tim!LE42,"")</f>
        <v/>
      </c>
      <c r="LB40" s="52">
        <v>0.656249999999999</v>
      </c>
    </row>
    <row r="41" spans="2:314" ht="10.5" customHeight="1">
      <c r="B41" s="49">
        <v>0.25</v>
      </c>
      <c r="C41" s="49">
        <v>0.25</v>
      </c>
      <c r="D41" s="49">
        <v>0.25</v>
      </c>
      <c r="E41" s="172">
        <v>0.66666666666666596</v>
      </c>
      <c r="F41" s="238" t="str">
        <f>IF(Tim!F43=FIT!$E$1,Tim!F43,"")</f>
        <v/>
      </c>
      <c r="G41" s="185" t="str">
        <f>IF(Tim!G43=FIT!$E$1,Tim!G43,"")</f>
        <v/>
      </c>
      <c r="H41" s="185" t="str">
        <f>IF(Tim!H43=FIT!$E$1,Tim!H43,"")</f>
        <v/>
      </c>
      <c r="I41" s="185" t="str">
        <f>IF(Tim!I43=FIT!$E$1,Tim!I43,"")</f>
        <v/>
      </c>
      <c r="J41" s="185" t="str">
        <f>IF(Tim!J43=FIT!$E$1,Tim!J43,"")</f>
        <v/>
      </c>
      <c r="K41" s="185" t="str">
        <f>IF(Tim!K43=FIT!$E$1,Tim!K43,"")</f>
        <v/>
      </c>
      <c r="L41" s="185" t="str">
        <f>IF(Tim!L43=FIT!$E$1,Tim!L43,"")</f>
        <v/>
      </c>
      <c r="M41" s="185" t="str">
        <f>IF(Tim!M43=FIT!$E$1,Tim!M43,"")</f>
        <v/>
      </c>
      <c r="N41" s="185" t="str">
        <f>IF(Tim!N43=FIT!$E$1,Tim!N43,"")</f>
        <v/>
      </c>
      <c r="O41" s="185" t="str">
        <f>IF(Tim!O43=FIT!$E$1,Tim!O43,"")</f>
        <v/>
      </c>
      <c r="P41" s="185" t="str">
        <f>IF(Tim!P43=FIT!$E$1,Tim!P43,"")</f>
        <v/>
      </c>
      <c r="Q41" s="185" t="str">
        <f>IF(Tim!Q43=FIT!$E$1,Tim!Q43,"")</f>
        <v/>
      </c>
      <c r="R41" s="185" t="str">
        <f>IF(Tim!R43=FIT!$E$1,Tim!R43,"")</f>
        <v/>
      </c>
      <c r="S41" s="185" t="str">
        <f>IF(Tim!S43=FIT!$E$1,Tim!S43,"")</f>
        <v/>
      </c>
      <c r="T41" s="185" t="str">
        <f>IF(Tim!T43=FIT!$E$1,Tim!T43,"")</f>
        <v/>
      </c>
      <c r="U41" s="185" t="str">
        <f>IF(Tim!U43=FIT!$E$1,Tim!U43,"")</f>
        <v/>
      </c>
      <c r="V41" s="185" t="str">
        <f>IF(Tim!W43=FIT!$E$1,Tim!W43,"")</f>
        <v/>
      </c>
      <c r="W41" s="185" t="str">
        <f>IF(Tim!X43=FIT!$E$1,Tim!X43,"")</f>
        <v/>
      </c>
      <c r="X41" s="185" t="str">
        <f>IF(Tim!Y43=FIT!$E$1,Tim!Y43,"")</f>
        <v/>
      </c>
      <c r="Y41" s="185" t="str">
        <f>IF(Tim!Z43=FIT!$E$1,Tim!Z43,"")</f>
        <v/>
      </c>
      <c r="Z41" s="185" t="str">
        <f>IF(Tim!AA43=FIT!$E$1,Tim!AA43,"")</f>
        <v/>
      </c>
      <c r="AA41" s="185" t="str">
        <f>IF(Tim!AB43=FIT!$E$1,Tim!AB43,"")</f>
        <v/>
      </c>
      <c r="AB41" s="185" t="str">
        <f>IF(Tim!AC43=FIT!$E$1,Tim!AC43,"")</f>
        <v/>
      </c>
      <c r="AC41" s="185" t="str">
        <f>IF(Tim!AD43=FIT!$E$1,Tim!AD43,"")</f>
        <v/>
      </c>
      <c r="AD41" s="185" t="str">
        <f>IF(Tim!AE43=FIT!$E$1,Tim!AE43,"")</f>
        <v/>
      </c>
      <c r="AE41" s="185" t="str">
        <f>IF(Tim!AF43=FIT!$E$1,Tim!AF43,"")</f>
        <v/>
      </c>
      <c r="AF41" s="185" t="str">
        <f>IF(Tim!AG43=FIT!$E$1,Tim!AG43,"")</f>
        <v/>
      </c>
      <c r="AG41" s="185" t="str">
        <f>IF(Tim!AH43=FIT!$E$1,Tim!AH43,"")</f>
        <v/>
      </c>
      <c r="AH41" s="185" t="str">
        <f>IF(Tim!AI43=FIT!$E$1,Tim!AI43,"")</f>
        <v/>
      </c>
      <c r="AI41" s="185" t="str">
        <f>IF(Tim!AJ43=FIT!$E$1,Tim!AJ43,"")</f>
        <v/>
      </c>
      <c r="AJ41" s="185" t="str">
        <f>IF(Tim!AK43=FIT!$E$1,Tim!AK43,"")</f>
        <v/>
      </c>
      <c r="AK41" s="185" t="str">
        <f>IF(Tim!AL43=FIT!$E$1,Tim!AL43,"")</f>
        <v/>
      </c>
      <c r="AL41" s="185" t="str">
        <f>IF(Tim!AM43=FIT!$E$1,Tim!AM43,"")</f>
        <v/>
      </c>
      <c r="AM41" s="185" t="str">
        <f>IF(Tim!AN43=FIT!$E$1,Tim!AN43,"")</f>
        <v/>
      </c>
      <c r="AN41" s="185" t="str">
        <f>IF(Tim!AO43=FIT!$E$1,Tim!AO43,"")</f>
        <v/>
      </c>
      <c r="AO41" s="185" t="str">
        <f>IF(Tim!AP43=FIT!$E$1,Tim!AP43,"")</f>
        <v/>
      </c>
      <c r="AP41" s="185" t="str">
        <f>IF(Tim!AQ43=FIT!$E$1,Tim!AQ43,"")</f>
        <v/>
      </c>
      <c r="AQ41" s="185" t="str">
        <f>IF(Tim!AR43=FIT!$E$1,Tim!AR43,"")</f>
        <v/>
      </c>
      <c r="AR41" s="185" t="str">
        <f>IF(Tim!AS43=FIT!$E$1,Tim!AS43,"")</f>
        <v/>
      </c>
      <c r="AS41" s="185" t="str">
        <f>IF(Tim!AT43=FIT!$E$1,Tim!AT43,"")</f>
        <v/>
      </c>
      <c r="AT41" s="185" t="str">
        <f>IF(Tim!AU43=FIT!$E$1,Tim!AU43,"")</f>
        <v/>
      </c>
      <c r="AU41" s="185" t="str">
        <f>IF(Tim!AV43=FIT!$E$1,Tim!AV43,"")</f>
        <v/>
      </c>
      <c r="AV41" s="185" t="str">
        <f>IF(Tim!AW43=FIT!$E$1,Tim!AW43,"")</f>
        <v/>
      </c>
      <c r="AW41" s="186" t="str">
        <f>IF(Tim!AX43=FIT!$E$1,Tim!AX43,"")</f>
        <v/>
      </c>
      <c r="AX41" s="243" t="str">
        <f>IF(Tim!AY43=FIT!$E$1,Tim!AY43,"")</f>
        <v/>
      </c>
      <c r="AY41" s="185" t="str">
        <f>IF(Tim!AZ43=FIT!$E$1,Tim!AZ43,"")</f>
        <v/>
      </c>
      <c r="AZ41" s="185" t="str">
        <f>IF(Tim!BA43=FIT!$E$1,Tim!BA43,"")</f>
        <v/>
      </c>
      <c r="BA41" s="185" t="str">
        <f>IF(Tim!BB43=FIT!$E$1,Tim!BB43,"")</f>
        <v/>
      </c>
      <c r="BB41" s="185" t="str">
        <f>IF(Tim!BC43=FIT!$E$1,Tim!BC43,"")</f>
        <v/>
      </c>
      <c r="BC41" s="185" t="str">
        <f>IF(Tim!BD43=FIT!$E$1,Tim!BD43,"")</f>
        <v/>
      </c>
      <c r="BD41" s="185" t="str">
        <f>IF(Tim!BE43=FIT!$E$1,Tim!BE43,"")</f>
        <v/>
      </c>
      <c r="BE41" s="185" t="str">
        <f>IF(Tim!BF43=FIT!$E$1,Tim!BF43,"")</f>
        <v/>
      </c>
      <c r="BF41" s="185" t="str">
        <f>IF(Tim!BG43=FIT!$E$1,Tim!BG43,"")</f>
        <v/>
      </c>
      <c r="BG41" s="185" t="str">
        <f>IF(Tim!BH43=FIT!$E$1,Tim!BH43,"")</f>
        <v/>
      </c>
      <c r="BH41" s="185" t="str">
        <f>IF(Tim!BI43=FIT!$E$1,Tim!BI43,"")</f>
        <v/>
      </c>
      <c r="BI41" s="185" t="str">
        <f>IF(Tim!BJ43=FIT!$E$1,Tim!BJ43,"")</f>
        <v/>
      </c>
      <c r="BJ41" s="185" t="str">
        <f>IF(Tim!BK43=FIT!$E$1,Tim!BK43,"")</f>
        <v/>
      </c>
      <c r="BK41" s="185" t="str">
        <f>IF(Tim!BL43=FIT!$E$1,Tim!BL43,"")</f>
        <v/>
      </c>
      <c r="BL41" s="185" t="str">
        <f>IF(Tim!BM43=FIT!$E$1,Tim!BM43,"")</f>
        <v/>
      </c>
      <c r="BM41" s="185" t="str">
        <f>IF(Tim!BN43=FIT!$E$1,Tim!BN43,"")</f>
        <v/>
      </c>
      <c r="BN41" s="185" t="str">
        <f>IF(Tim!BO43=FIT!$E$1,Tim!BO43,"")</f>
        <v/>
      </c>
      <c r="BO41" s="185" t="str">
        <f>IF(Tim!BP43=FIT!$E$1,Tim!BP43,"")</f>
        <v/>
      </c>
      <c r="BP41" s="185" t="str">
        <f>IF(Tim!BQ43=FIT!$E$1,Tim!BQ43,"")</f>
        <v/>
      </c>
      <c r="BQ41" s="185" t="str">
        <f>IF(Tim!BR43=FIT!$E$1,Tim!BR43,"")</f>
        <v/>
      </c>
      <c r="BR41" s="185" t="str">
        <f>IF(Tim!BS43=FIT!$E$1,Tim!BS43,"")</f>
        <v/>
      </c>
      <c r="BS41" s="185" t="str">
        <f>IF(Tim!BT43=FIT!$E$1,Tim!BT43,"")</f>
        <v/>
      </c>
      <c r="BT41" s="185" t="str">
        <f>IF(Tim!BU43=FIT!$E$1,Tim!BU43,"")</f>
        <v/>
      </c>
      <c r="BU41" s="185" t="str">
        <f>IF(Tim!BV43=FIT!$E$1,Tim!BV43,"")</f>
        <v/>
      </c>
      <c r="BV41" s="185" t="str">
        <f>IF(Tim!BW43=FIT!$E$1,Tim!BW43,"")</f>
        <v/>
      </c>
      <c r="BW41" s="185" t="str">
        <f>IF(Tim!BX43=FIT!$E$1,Tim!BX43,"")</f>
        <v/>
      </c>
      <c r="BX41" s="185" t="str">
        <f>IF(Tim!BY43=FIT!$E$1,Tim!BY43,"")</f>
        <v/>
      </c>
      <c r="BY41" s="185" t="str">
        <f>IF(Tim!BZ43=FIT!$E$1,Tim!BZ43,"")</f>
        <v/>
      </c>
      <c r="BZ41" s="185" t="str">
        <f>IF(Tim!CA43=FIT!$E$1,Tim!CA43,"")</f>
        <v/>
      </c>
      <c r="CA41" s="185" t="str">
        <f>IF(Tim!CB43=FIT!$E$1,Tim!CB43,"")</f>
        <v/>
      </c>
      <c r="CB41" s="185" t="str">
        <f>IF(Tim!CC43=FIT!$E$1,Tim!CC43,"")</f>
        <v/>
      </c>
      <c r="CC41" s="185" t="str">
        <f>IF(Tim!CD43=FIT!$E$1,Tim!CD43,"")</f>
        <v/>
      </c>
      <c r="CD41" s="185" t="str">
        <f>IF(Tim!CE43=FIT!$E$1,Tim!CE43,"")</f>
        <v/>
      </c>
      <c r="CE41" s="185" t="str">
        <f>IF(Tim!CF43=FIT!$E$1,Tim!CF43,"")</f>
        <v/>
      </c>
      <c r="CF41" s="185" t="str">
        <f>IF(Tim!CG43=FIT!$E$1,Tim!CG43,"")</f>
        <v/>
      </c>
      <c r="CG41" s="185" t="str">
        <f>IF(Tim!CH43=FIT!$E$1,Tim!CH43,"")</f>
        <v/>
      </c>
      <c r="CH41" s="185" t="str">
        <f>IF(Tim!CI43=FIT!$E$1,Tim!CI43,"")</f>
        <v/>
      </c>
      <c r="CI41" s="185" t="str">
        <f>IF(Tim!CJ43=FIT!$E$1,Tim!CJ43,"")</f>
        <v/>
      </c>
      <c r="CJ41" s="185" t="str">
        <f>IF(Tim!CK43=FIT!$E$1,Tim!CK43,"")</f>
        <v/>
      </c>
      <c r="CK41" s="185" t="str">
        <f>IF(Tim!CL43=FIT!$E$1,Tim!CL43,"")</f>
        <v/>
      </c>
      <c r="CL41" s="185" t="str">
        <f>IF(Tim!CM43=FIT!$E$1,Tim!CM43,"")</f>
        <v/>
      </c>
      <c r="CM41" s="185" t="str">
        <f>IF(Tim!CN43=FIT!$E$1,Tim!CN43,"")</f>
        <v/>
      </c>
      <c r="CN41" s="185" t="str">
        <f>IF(Tim!CO43=FIT!$E$1,Tim!CO43,"")</f>
        <v/>
      </c>
      <c r="CO41" s="185" t="str">
        <f>IF(Tim!CP43=FIT!$E$1,Tim!CP43,"")</f>
        <v/>
      </c>
      <c r="CP41" s="185" t="str">
        <f>IF(Tim!CQ43=FIT!$E$1,Tim!CQ43,"")</f>
        <v/>
      </c>
      <c r="CQ41" s="185" t="str">
        <f>IF(Tim!CR43=FIT!$E$1,Tim!CR43,"")</f>
        <v/>
      </c>
      <c r="CR41" s="185" t="str">
        <f>IF(Tim!CS43=FIT!$E$1,Tim!CS43,"")</f>
        <v/>
      </c>
      <c r="CS41" s="185" t="str">
        <f>IF(Tim!CT43=FIT!$E$1,Tim!CT43,"")</f>
        <v/>
      </c>
      <c r="CT41" s="185" t="str">
        <f>IF(Tim!CU43=FIT!$E$1,Tim!CU43,"")</f>
        <v/>
      </c>
      <c r="CU41" s="185" t="str">
        <f>IF(Tim!CV43=FIT!$E$1,Tim!CV43,"")</f>
        <v/>
      </c>
      <c r="CV41" s="185" t="str">
        <f>IF(Tim!CW43=FIT!$E$1,Tim!CW43,"")</f>
        <v/>
      </c>
      <c r="CW41" s="185" t="str">
        <f>IF(Tim!CX43=FIT!$E$1,Tim!CX43,"")</f>
        <v/>
      </c>
      <c r="CX41" s="185" t="str">
        <f>IF(Tim!CY43=FIT!$E$1,Tim!CY43,"")</f>
        <v/>
      </c>
      <c r="CY41" s="185" t="str">
        <f>IF(Tim!CZ43=FIT!$E$1,Tim!CZ43,"")</f>
        <v/>
      </c>
      <c r="CZ41" s="185" t="str">
        <f>IF(Tim!DA43=FIT!$E$1,Tim!DA43,"")</f>
        <v/>
      </c>
      <c r="DA41" s="185" t="str">
        <f>IF(Tim!DB43=FIT!$E$1,Tim!DB43,"")</f>
        <v/>
      </c>
      <c r="DB41" s="185" t="str">
        <f>IF(Tim!DC43=FIT!$E$1,Tim!DC43,"")</f>
        <v/>
      </c>
      <c r="DC41" s="185" t="str">
        <f>IF(Tim!DD43=FIT!$E$1,Tim!DD43,"")</f>
        <v/>
      </c>
      <c r="DD41" s="185" t="str">
        <f>IF(Tim!DE43=FIT!$E$1,Tim!DE43,"")</f>
        <v/>
      </c>
      <c r="DE41" s="185" t="str">
        <f>IF(Tim!DF43=FIT!$E$1,Tim!DF43,"")</f>
        <v/>
      </c>
      <c r="DF41" s="185" t="str">
        <f>IF(Tim!DG43=FIT!$E$1,Tim!DG43,"")</f>
        <v/>
      </c>
      <c r="DG41" s="185" t="str">
        <f>IF(Tim!DH43=FIT!$E$1,Tim!DH43,"")</f>
        <v/>
      </c>
      <c r="DH41" s="185" t="str">
        <f>IF(Tim!DI43=FIT!$E$1,Tim!DI43,"")</f>
        <v/>
      </c>
      <c r="DI41" s="185" t="str">
        <f>IF(Tim!DM43=FIT!$E$1,Tim!DM43,"")</f>
        <v/>
      </c>
      <c r="DJ41" s="185" t="str">
        <f>IF(Tim!DN43=FIT!$E$1,Tim!DN43,"")</f>
        <v/>
      </c>
      <c r="DK41" s="185" t="str">
        <f>IF(Tim!DO43=FIT!$E$1,Tim!DO43,"")</f>
        <v/>
      </c>
      <c r="DL41" s="185" t="str">
        <f>IF(Tim!DP43=FIT!$E$1,Tim!DP43,"")</f>
        <v/>
      </c>
      <c r="DM41" s="185" t="str">
        <f>IF(Tim!DQ43=FIT!$E$1,Tim!DQ43,"")</f>
        <v/>
      </c>
      <c r="DN41" s="185" t="str">
        <f>IF(Tim!DR43=FIT!$E$1,Tim!DR43,"")</f>
        <v/>
      </c>
      <c r="DO41" s="185" t="str">
        <f>IF(Tim!DS43=FIT!$E$1,Tim!DS43,"")</f>
        <v/>
      </c>
      <c r="DP41" s="185" t="str">
        <f>IF(Tim!DT43=FIT!$E$1,Tim!DT43,"")</f>
        <v/>
      </c>
      <c r="DQ41" s="185" t="str">
        <f>IF(Tim!DU43=FIT!$E$1,Tim!DU43,"")</f>
        <v/>
      </c>
      <c r="DR41" s="185" t="str">
        <f>IF(Tim!DV43=FIT!$E$1,Tim!DV43,"")</f>
        <v/>
      </c>
      <c r="DS41" s="185" t="str">
        <f>IF(Tim!DW43=FIT!$E$1,Tim!DW43,"")</f>
        <v/>
      </c>
      <c r="DT41" s="185" t="str">
        <f>IF(Tim!DX43=FIT!$E$1,Tim!DX43,"")</f>
        <v/>
      </c>
      <c r="DU41" s="185" t="str">
        <f>IF(Tim!DY43=FIT!$E$1,Tim!DY43,"")</f>
        <v/>
      </c>
      <c r="DV41" s="185" t="str">
        <f>IF(Tim!DZ43=FIT!$E$1,Tim!DZ43,"")</f>
        <v/>
      </c>
      <c r="DW41" s="185" t="str">
        <f>IF(Tim!EA43=FIT!$E$1,Tim!EA43,"")</f>
        <v/>
      </c>
      <c r="DX41" s="185" t="str">
        <f>IF(Tim!EB43=FIT!$E$1,Tim!EB43,"")</f>
        <v/>
      </c>
      <c r="DY41" s="185" t="str">
        <f>IF(Tim!EC43=FIT!$E$1,Tim!EC43,"")</f>
        <v/>
      </c>
      <c r="DZ41" s="185" t="str">
        <f>IF(Tim!ED43=FIT!$E$1,Tim!ED43,"")</f>
        <v/>
      </c>
      <c r="EA41" s="185" t="str">
        <f>IF(Tim!EE43=FIT!$E$1,Tim!EE43,"")</f>
        <v/>
      </c>
      <c r="EB41" s="185" t="str">
        <f>IF(Tim!EF43=FIT!$E$1,Tim!EF43,"")</f>
        <v/>
      </c>
      <c r="EC41" s="185" t="str">
        <f>IF(Tim!EG43=FIT!$E$1,Tim!EG43,"")</f>
        <v/>
      </c>
      <c r="ED41" s="185" t="str">
        <f>IF(Tim!EH43=FIT!$E$1,Tim!EH43,"")</f>
        <v/>
      </c>
      <c r="EE41" s="185" t="str">
        <f>IF(Tim!EI43=FIT!$E$1,Tim!EI43,"")</f>
        <v/>
      </c>
      <c r="EF41" s="185" t="str">
        <f>IF(Tim!EJ43=FIT!$E$1,Tim!EJ43,"")</f>
        <v/>
      </c>
      <c r="EG41" s="185" t="str">
        <f>IF(Tim!EK43=FIT!$E$1,Tim!EK43,"")</f>
        <v/>
      </c>
      <c r="EH41" s="185" t="str">
        <f>IF(Tim!EL43=FIT!$E$1,Tim!EL43,"")</f>
        <v/>
      </c>
      <c r="EI41" s="185" t="str">
        <f>IF(Tim!EM43=FIT!$E$1,Tim!EM43,"")</f>
        <v/>
      </c>
      <c r="EJ41" s="185" t="str">
        <f>IF(Tim!EN43=FIT!$E$1,Tim!EN43,"")</f>
        <v/>
      </c>
      <c r="EK41" s="185" t="str">
        <f>IF(Tim!EO43=FIT!$E$1,Tim!EO43,"")</f>
        <v/>
      </c>
      <c r="EL41" s="185" t="str">
        <f>IF(Tim!EP43=FIT!$E$1,Tim!EP43,"")</f>
        <v/>
      </c>
      <c r="EM41" s="185" t="str">
        <f>IF(Tim!EQ43=FIT!$E$1,Tim!EQ43,"")</f>
        <v/>
      </c>
      <c r="EN41" s="185" t="str">
        <f>IF(Tim!ER43=FIT!$E$1,Tim!ER43,"")</f>
        <v/>
      </c>
      <c r="EO41" s="185" t="str">
        <f>IF(Tim!ES43=FIT!$E$1,Tim!ES43,"")</f>
        <v/>
      </c>
      <c r="EP41" s="185" t="str">
        <f>IF(Tim!ET43=FIT!$E$1,Tim!ET43,"")</f>
        <v/>
      </c>
      <c r="EQ41" s="185" t="str">
        <f>IF(Tim!EU43=FIT!$E$1,Tim!EU43,"")</f>
        <v/>
      </c>
      <c r="ER41" s="185" t="str">
        <f>IF(Tim!EV43=FIT!$E$1,Tim!EV43,"")</f>
        <v/>
      </c>
      <c r="ES41" s="185" t="str">
        <f>IF(Tim!EW43=FIT!$E$1,Tim!EW43,"")</f>
        <v/>
      </c>
      <c r="ET41" s="185" t="str">
        <f>IF(Tim!EX43=FIT!$E$1,Tim!EX43,"")</f>
        <v/>
      </c>
      <c r="EU41" s="185" t="str">
        <f>IF(Tim!EY43=FIT!$E$1,Tim!EY43,"")</f>
        <v/>
      </c>
      <c r="EV41" s="185" t="str">
        <f>IF(Tim!EZ43=FIT!$E$1,Tim!EZ43,"")</f>
        <v/>
      </c>
      <c r="EW41" s="185" t="str">
        <f>IF(Tim!FA43=FIT!$E$1,Tim!FA43,"")</f>
        <v/>
      </c>
      <c r="EX41" s="185" t="str">
        <f>IF(Tim!FB43=FIT!$E$1,Tim!FB43,"")</f>
        <v/>
      </c>
      <c r="EY41" s="185" t="str">
        <f>IF(Tim!FC43=FIT!$E$1,Tim!FC43,"")</f>
        <v/>
      </c>
      <c r="EZ41" s="185" t="str">
        <f>IF(Tim!FD43=FIT!$E$1,Tim!FD43,"")</f>
        <v/>
      </c>
      <c r="FA41" s="185" t="str">
        <f>IF(Tim!FE43=FIT!$E$1,Tim!FE43,"")</f>
        <v/>
      </c>
      <c r="FB41" s="185" t="str">
        <f>IF(Tim!FF43=FIT!$E$1,Tim!FF43,"")</f>
        <v/>
      </c>
      <c r="FC41" s="185" t="str">
        <f>IF(Tim!FG43=FIT!$E$1,Tim!FG43,"")</f>
        <v/>
      </c>
      <c r="FD41" s="185" t="str">
        <f>IF(Tim!FH43=FIT!$E$1,Tim!FH43,"")</f>
        <v/>
      </c>
      <c r="FE41" s="185" t="str">
        <f>IF(Tim!FI43=FIT!$E$1,Tim!FI43,"")</f>
        <v/>
      </c>
      <c r="FF41" s="185" t="str">
        <f>IF(Tim!FJ43=FIT!$E$1,Tim!FJ43,"")</f>
        <v/>
      </c>
      <c r="FG41" s="185" t="str">
        <f>IF(Tim!FK43=FIT!$E$1,Tim!FK43,"")</f>
        <v/>
      </c>
      <c r="FH41" s="185" t="str">
        <f>IF(Tim!FL43=FIT!$E$1,Tim!FL43,"")</f>
        <v/>
      </c>
      <c r="FI41" s="185" t="str">
        <f>IF(Tim!FM43=FIT!$E$1,Tim!FM43,"")</f>
        <v/>
      </c>
      <c r="FJ41" s="185" t="str">
        <f>IF(Tim!FN43=FIT!$E$1,Tim!FN43,"")</f>
        <v/>
      </c>
      <c r="FK41" s="185" t="str">
        <f>IF(Tim!FO43=FIT!$E$1,Tim!FO43,"")</f>
        <v/>
      </c>
      <c r="FL41" s="185" t="str">
        <f>IF(Tim!FP43=FIT!$E$1,Tim!FP43,"")</f>
        <v/>
      </c>
      <c r="FM41" s="185" t="str">
        <f>IF(Tim!FQ43=FIT!$E$1,Tim!FQ43,"")</f>
        <v/>
      </c>
      <c r="FN41" s="185" t="str">
        <f>IF(Tim!FR43=FIT!$E$1,Tim!FR43,"")</f>
        <v/>
      </c>
      <c r="FO41" s="185" t="str">
        <f>IF(Tim!FS43=FIT!$E$1,Tim!FS43,"")</f>
        <v/>
      </c>
      <c r="FP41" s="185" t="str">
        <f>IF(Tim!FT43=FIT!$E$1,Tim!FT43,"")</f>
        <v/>
      </c>
      <c r="FQ41" s="185" t="str">
        <f>IF(Tim!FU43=FIT!$E$1,Tim!FU43,"")</f>
        <v/>
      </c>
      <c r="FR41" s="185" t="str">
        <f>IF(Tim!FV43=FIT!$E$1,Tim!FV43,"")</f>
        <v/>
      </c>
      <c r="FS41" s="185" t="str">
        <f>IF(Tim!FW43=FIT!$E$1,Tim!FW43,"")</f>
        <v/>
      </c>
      <c r="FT41" s="185" t="str">
        <f>IF(Tim!FX43=FIT!$E$1,Tim!FX43,"")</f>
        <v/>
      </c>
      <c r="FU41" s="185" t="str">
        <f>IF(Tim!FY43=FIT!$E$1,Tim!FY43,"")</f>
        <v/>
      </c>
      <c r="FV41" s="185" t="str">
        <f>IF(Tim!FZ43=FIT!$E$1,Tim!FZ43,"")</f>
        <v/>
      </c>
      <c r="FW41" s="185" t="str">
        <f>IF(Tim!GA43=FIT!$E$1,Tim!GA43,"")</f>
        <v/>
      </c>
      <c r="FX41" s="185" t="str">
        <f>IF(Tim!GB43=FIT!$E$1,Tim!GB43,"")</f>
        <v/>
      </c>
      <c r="FY41" s="185" t="str">
        <f>IF(Tim!GC43=FIT!$E$1,Tim!GC43,"")</f>
        <v/>
      </c>
      <c r="FZ41" s="185" t="str">
        <f>IF(Tim!GD43=FIT!$E$1,Tim!GD43,"")</f>
        <v/>
      </c>
      <c r="GA41" s="185" t="str">
        <f>IF(Tim!GE43=FIT!$E$1,Tim!GE43,"")</f>
        <v/>
      </c>
      <c r="GB41" s="185" t="str">
        <f>IF(Tim!GF43=FIT!$E$1,Tim!GF43,"")</f>
        <v/>
      </c>
      <c r="GC41" s="185" t="str">
        <f>IF(Tim!GG43=FIT!$E$1,Tim!GG43,"")</f>
        <v/>
      </c>
      <c r="GD41" s="185" t="str">
        <f>IF(Tim!GH43=FIT!$E$1,Tim!GH43,"")</f>
        <v/>
      </c>
      <c r="GE41" s="185" t="str">
        <f>IF(Tim!GI43=FIT!$E$1,Tim!GI43,"")</f>
        <v/>
      </c>
      <c r="GF41" s="185" t="str">
        <f>IF(Tim!GJ43=FIT!$E$1,Tim!GJ43,"")</f>
        <v/>
      </c>
      <c r="GG41" s="185" t="str">
        <f>IF(Tim!GK43=FIT!$E$1,Tim!GK43,"")</f>
        <v/>
      </c>
      <c r="GH41" s="185" t="str">
        <f>IF(Tim!GL43=FIT!$E$1,Tim!GL43,"")</f>
        <v/>
      </c>
      <c r="GI41" s="185" t="str">
        <f>IF(Tim!GM43=FIT!$E$1,Tim!GM43,"")</f>
        <v/>
      </c>
      <c r="GJ41" s="185" t="str">
        <f>IF(Tim!GO43=FIT!$E$1,Tim!GO43,"")</f>
        <v/>
      </c>
      <c r="GK41" s="185" t="e">
        <f>IF(Tim!#REF!=FIT!$E$1,Tim!#REF!,"")</f>
        <v>#REF!</v>
      </c>
      <c r="GL41" s="185" t="str">
        <f>IF(Tim!GP43=FIT!$E$1,Tim!GP43,"")</f>
        <v/>
      </c>
      <c r="GM41" s="185" t="str">
        <f>IF(Tim!GQ43=FIT!$E$1,Tim!GQ43,"")</f>
        <v/>
      </c>
      <c r="GN41" s="185" t="str">
        <f>IF(Tim!GR43=FIT!$E$1,Tim!GR43,"")</f>
        <v/>
      </c>
      <c r="GO41" s="185" t="str">
        <f>IF(Tim!GS43=FIT!$E$1,Tim!GS43,"")</f>
        <v/>
      </c>
      <c r="GP41" s="185" t="str">
        <f>IF(Tim!GT43=FIT!$E$1,Tim!GT43,"")</f>
        <v/>
      </c>
      <c r="GQ41" s="185" t="str">
        <f>IF(Tim!GU43=FIT!$E$1,Tim!GU43,"")</f>
        <v/>
      </c>
      <c r="GR41" s="185" t="str">
        <f>IF(Tim!GV43=FIT!$E$1,Tim!GV43,"")</f>
        <v/>
      </c>
      <c r="GS41" s="185" t="str">
        <f>IF(Tim!GW43=FIT!$E$1,Tim!GW43,"")</f>
        <v/>
      </c>
      <c r="GT41" s="185" t="str">
        <f>IF(Tim!GX43=FIT!$E$1,Tim!GX43,"")</f>
        <v/>
      </c>
      <c r="GU41" s="185" t="str">
        <f>IF(Tim!GY43=FIT!$E$1,Tim!GY43,"")</f>
        <v/>
      </c>
      <c r="GV41" s="185" t="str">
        <f>IF(Tim!GZ43=FIT!$E$1,Tim!GZ43,"")</f>
        <v/>
      </c>
      <c r="GW41" s="185" t="str">
        <f>IF(Tim!HA43=FIT!$E$1,Tim!HA43,"")</f>
        <v/>
      </c>
      <c r="GX41" s="185" t="str">
        <f>IF(Tim!HB43=FIT!$E$1,Tim!HB43,"")</f>
        <v/>
      </c>
      <c r="GY41" s="185" t="str">
        <f>IF(Tim!HC43=FIT!$E$1,Tim!HC43,"")</f>
        <v/>
      </c>
      <c r="GZ41" s="185" t="str">
        <f>IF(Tim!HD43=FIT!$E$1,Tim!HD43,"")</f>
        <v/>
      </c>
      <c r="HA41" s="185" t="str">
        <f>IF(Tim!HE43=FIT!$E$1,Tim!HE43,"")</f>
        <v/>
      </c>
      <c r="HB41" s="185" t="str">
        <f>IF(Tim!HF43=FIT!$E$1,Tim!HF43,"")</f>
        <v/>
      </c>
      <c r="HC41" s="185" t="str">
        <f>IF(Tim!HG43=FIT!$E$1,Tim!HG43,"")</f>
        <v/>
      </c>
      <c r="HD41" s="185" t="str">
        <f>IF(Tim!HH43=FIT!$E$1,Tim!HH43,"")</f>
        <v/>
      </c>
      <c r="HE41" s="185" t="str">
        <f>IF(Tim!HI43=FIT!$E$1,Tim!HI43,"")</f>
        <v/>
      </c>
      <c r="HF41" s="185" t="str">
        <f>IF(Tim!HJ43=FIT!$E$1,Tim!HJ43,"")</f>
        <v/>
      </c>
      <c r="HG41" s="185" t="str">
        <f>IF(Tim!HK43=FIT!$E$1,Tim!HK43,"")</f>
        <v/>
      </c>
      <c r="HH41" s="185" t="str">
        <f>IF(Tim!HL43=FIT!$E$1,Tim!HL43,"")</f>
        <v/>
      </c>
      <c r="HI41" s="185" t="str">
        <f>IF(Tim!HM43=FIT!$E$1,Tim!HM43,"")</f>
        <v/>
      </c>
      <c r="HJ41" s="185" t="str">
        <f>IF(Tim!HN43=FIT!$E$1,Tim!HN43,"")</f>
        <v/>
      </c>
      <c r="HK41" s="185" t="str">
        <f>IF(Tim!HO43=FIT!$E$1,Tim!HO43,"")</f>
        <v/>
      </c>
      <c r="HL41" s="185" t="str">
        <f>IF(Tim!HP43=FIT!$E$1,Tim!HP43,"")</f>
        <v/>
      </c>
      <c r="HM41" s="185" t="str">
        <f>IF(Tim!HQ43=FIT!$E$1,Tim!HQ43,"")</f>
        <v/>
      </c>
      <c r="HN41" s="185" t="str">
        <f>IF(Tim!HR43=FIT!$E$1,Tim!HR43,"")</f>
        <v/>
      </c>
      <c r="HO41" s="185" t="str">
        <f>IF(Tim!HS43=FIT!$E$1,Tim!HS43,"")</f>
        <v/>
      </c>
      <c r="HP41" s="185" t="str">
        <f>IF(Tim!HT43=FIT!$E$1,Tim!HT43,"")</f>
        <v/>
      </c>
      <c r="HQ41" s="185" t="str">
        <f>IF(Tim!HU43=FIT!$E$1,Tim!HU43,"")</f>
        <v/>
      </c>
      <c r="HR41" s="185" t="str">
        <f>IF(Tim!HV43=FIT!$E$1,Tim!HV43,"")</f>
        <v/>
      </c>
      <c r="HS41" s="185" t="str">
        <f>IF(Tim!HW43=FIT!$E$1,Tim!HW43,"")</f>
        <v/>
      </c>
      <c r="HT41" s="185" t="str">
        <f>IF(Tim!HX43=FIT!$E$1,Tim!HX43,"")</f>
        <v/>
      </c>
      <c r="HU41" s="185" t="str">
        <f>IF(Tim!HY43=FIT!$E$1,Tim!HY43,"")</f>
        <v/>
      </c>
      <c r="HV41" s="185" t="str">
        <f>IF(Tim!HZ43=FIT!$E$1,Tim!HZ43,"")</f>
        <v/>
      </c>
      <c r="HW41" s="185" t="str">
        <f>IF(Tim!IA43=FIT!$E$1,Tim!IA43,"")</f>
        <v/>
      </c>
      <c r="HX41" s="185" t="str">
        <f>IF(Tim!IB43=FIT!$E$1,Tim!IB43,"")</f>
        <v/>
      </c>
      <c r="HY41" s="185" t="str">
        <f>IF(Tim!IC43=FIT!$E$1,Tim!IC43,"")</f>
        <v/>
      </c>
      <c r="HZ41" s="185" t="str">
        <f>IF(Tim!ID43=FIT!$E$1,Tim!ID43,"")</f>
        <v/>
      </c>
      <c r="IA41" s="185" t="str">
        <f>IF(Tim!IE43=FIT!$E$1,Tim!IE43,"")</f>
        <v/>
      </c>
      <c r="IB41" s="185" t="str">
        <f>IF(Tim!IF43=FIT!$E$1,Tim!IF43,"")</f>
        <v/>
      </c>
      <c r="IC41" s="185" t="str">
        <f>IF(Tim!IG43=FIT!$E$1,Tim!IG43,"")</f>
        <v/>
      </c>
      <c r="ID41" s="185" t="str">
        <f>IF(Tim!IH43=FIT!$E$1,Tim!IH43,"")</f>
        <v/>
      </c>
      <c r="IE41" s="185" t="str">
        <f>IF(Tim!II43=FIT!$E$1,Tim!II43,"")</f>
        <v/>
      </c>
      <c r="IF41" s="185" t="str">
        <f>IF(Tim!IJ43=FIT!$E$1,Tim!IJ43,"")</f>
        <v/>
      </c>
      <c r="IG41" s="185" t="str">
        <f>IF(Tim!IK43=FIT!$E$1,Tim!IK43,"")</f>
        <v/>
      </c>
      <c r="IH41" s="185" t="str">
        <f>IF(Tim!IL43=FIT!$E$1,Tim!IL43,"")</f>
        <v/>
      </c>
      <c r="II41" s="185" t="str">
        <f>IF(Tim!IM43=FIT!$E$1,Tim!IM43,"")</f>
        <v/>
      </c>
      <c r="IJ41" s="185" t="str">
        <f>IF(Tim!IN43=FIT!$E$1,Tim!IN43,"")</f>
        <v/>
      </c>
      <c r="IK41" s="185" t="str">
        <f>IF(Tim!IO43=FIT!$E$1,Tim!IO43,"")</f>
        <v/>
      </c>
      <c r="IL41" s="185" t="str">
        <f>IF(Tim!IP43=FIT!$E$1,Tim!IP43,"")</f>
        <v/>
      </c>
      <c r="IM41" s="185" t="str">
        <f>IF(Tim!IQ43=FIT!$E$1,Tim!IQ43,"")</f>
        <v/>
      </c>
      <c r="IN41" s="185" t="str">
        <f>IF(Tim!IR43=FIT!$E$1,Tim!IR43,"")</f>
        <v/>
      </c>
      <c r="IO41" s="185" t="str">
        <f>IF(Tim!IS43=FIT!$E$1,Tim!IS43,"")</f>
        <v/>
      </c>
      <c r="IP41" s="185" t="str">
        <f>IF(Tim!IT43=FIT!$E$1,Tim!IT43,"")</f>
        <v/>
      </c>
      <c r="IQ41" s="185" t="str">
        <f>IF(Tim!IU43=FIT!$E$1,Tim!IU43,"")</f>
        <v/>
      </c>
      <c r="IR41" s="185" t="str">
        <f>IF(Tim!IV43=FIT!$E$1,Tim!IV43,"")</f>
        <v/>
      </c>
      <c r="IS41" s="185" t="str">
        <f>IF(Tim!IW43=FIT!$E$1,Tim!IW43,"")</f>
        <v/>
      </c>
      <c r="IT41" s="185" t="str">
        <f>IF(Tim!IX43=FIT!$E$1,Tim!IX43,"")</f>
        <v/>
      </c>
      <c r="IU41" s="185" t="str">
        <f>IF(Tim!IY43=FIT!$E$1,Tim!IY43,"")</f>
        <v/>
      </c>
      <c r="IV41" s="185" t="str">
        <f>IF(Tim!IZ43=FIT!$E$1,Tim!IZ43,"")</f>
        <v/>
      </c>
      <c r="IW41" s="185" t="str">
        <f>IF(Tim!JA43=FIT!$E$1,Tim!JA43,"")</f>
        <v/>
      </c>
      <c r="IX41" s="185" t="str">
        <f>IF(Tim!JB43=FIT!$E$1,Tim!JB43,"")</f>
        <v/>
      </c>
      <c r="IY41" s="185" t="str">
        <f>IF(Tim!JC43=FIT!$E$1,Tim!JC43,"")</f>
        <v/>
      </c>
      <c r="IZ41" s="185" t="str">
        <f>IF(Tim!JD43=FIT!$E$1,Tim!JD43,"")</f>
        <v/>
      </c>
      <c r="JA41" s="185" t="str">
        <f>IF(Tim!JE43=FIT!$E$1,Tim!JE43,"")</f>
        <v/>
      </c>
      <c r="JB41" s="185" t="str">
        <f>IF(Tim!JF43=FIT!$E$1,Tim!JF43,"")</f>
        <v/>
      </c>
      <c r="JC41" s="185" t="str">
        <f>IF(Tim!JG43=FIT!$E$1,Tim!JG43,"")</f>
        <v/>
      </c>
      <c r="JD41" s="185" t="str">
        <f>IF(Tim!JH43=FIT!$E$1,Tim!JH43,"")</f>
        <v/>
      </c>
      <c r="JE41" s="185" t="str">
        <f>IF(Tim!JI43=FIT!$E$1,Tim!JI43,"")</f>
        <v/>
      </c>
      <c r="JF41" s="185" t="str">
        <f>IF(Tim!JJ43=FIT!$E$1,Tim!JJ43,"")</f>
        <v/>
      </c>
      <c r="JG41" s="185" t="str">
        <f>IF(Tim!JK43=FIT!$E$1,Tim!JK43,"")</f>
        <v/>
      </c>
      <c r="JH41" s="185" t="str">
        <f>IF(Tim!JL43=FIT!$E$1,Tim!JL43,"")</f>
        <v/>
      </c>
      <c r="JI41" s="185" t="str">
        <f>IF(Tim!JM43=FIT!$E$1,Tim!JM43,"")</f>
        <v/>
      </c>
      <c r="JJ41" s="185" t="str">
        <f>IF(Tim!JN43=FIT!$E$1,Tim!JN43,"")</f>
        <v/>
      </c>
      <c r="JK41" s="185" t="str">
        <f>IF(Tim!JO43=FIT!$E$1,Tim!JO43,"")</f>
        <v/>
      </c>
      <c r="JL41" s="185" t="str">
        <f>IF(Tim!JP43=FIT!$E$1,Tim!JP43,"")</f>
        <v/>
      </c>
      <c r="JM41" s="185" t="str">
        <f>IF(Tim!JQ43=FIT!$E$1,Tim!JQ43,"")</f>
        <v/>
      </c>
      <c r="JN41" s="185" t="str">
        <f>IF(Tim!JR43=FIT!$E$1,Tim!JR43,"")</f>
        <v/>
      </c>
      <c r="JO41" s="185" t="str">
        <f>IF(Tim!JS43=FIT!$E$1,Tim!JS43,"")</f>
        <v/>
      </c>
      <c r="JP41" s="185" t="str">
        <f>IF(Tim!JT43=FIT!$E$1,Tim!JT43,"")</f>
        <v/>
      </c>
      <c r="JQ41" s="185" t="str">
        <f>IF(Tim!JU43=FIT!$E$1,Tim!JU43,"")</f>
        <v/>
      </c>
      <c r="JR41" s="185" t="str">
        <f>IF(Tim!JV43=FIT!$E$1,Tim!JV43,"")</f>
        <v/>
      </c>
      <c r="JS41" s="185" t="str">
        <f>IF(Tim!JW43=FIT!$E$1,Tim!JW43,"")</f>
        <v/>
      </c>
      <c r="JT41" s="185" t="str">
        <f>IF(Tim!JX43=FIT!$E$1,Tim!JX43,"")</f>
        <v/>
      </c>
      <c r="JU41" s="185" t="str">
        <f>IF(Tim!JY43=FIT!$E$1,Tim!JY43,"")</f>
        <v/>
      </c>
      <c r="JV41" s="185" t="str">
        <f>IF(Tim!JZ43=FIT!$E$1,Tim!JZ43,"")</f>
        <v/>
      </c>
      <c r="JW41" s="185" t="str">
        <f>IF(Tim!KA43=FIT!$E$1,Tim!KA43,"")</f>
        <v/>
      </c>
      <c r="JX41" s="185" t="str">
        <f>IF(Tim!KB43=FIT!$E$1,Tim!KB43,"")</f>
        <v/>
      </c>
      <c r="JY41" s="185" t="str">
        <f>IF(Tim!KC43=FIT!$E$1,Tim!KC43,"")</f>
        <v/>
      </c>
      <c r="JZ41" s="185" t="str">
        <f>IF(Tim!KD43=FIT!$E$1,Tim!KD43,"")</f>
        <v/>
      </c>
      <c r="KA41" s="185" t="str">
        <f>IF(Tim!KE43=FIT!$E$1,Tim!KE43,"")</f>
        <v/>
      </c>
      <c r="KB41" s="185" t="str">
        <f>IF(Tim!KF43=FIT!$E$1,Tim!KF43,"")</f>
        <v/>
      </c>
      <c r="KC41" s="185" t="str">
        <f>IF(Tim!KG43=FIT!$E$1,Tim!KG43,"")</f>
        <v/>
      </c>
      <c r="KD41" s="185" t="str">
        <f>IF(Tim!KH43=FIT!$E$1,Tim!KH43,"")</f>
        <v/>
      </c>
      <c r="KE41" s="185" t="str">
        <f>IF(Tim!KI43=FIT!$E$1,Tim!KI43,"")</f>
        <v/>
      </c>
      <c r="KF41" s="185" t="str">
        <f>IF(Tim!KJ43=FIT!$E$1,Tim!KJ43,"")</f>
        <v/>
      </c>
      <c r="KG41" s="185" t="str">
        <f>IF(Tim!KK43=FIT!$E$1,Tim!KK43,"")</f>
        <v/>
      </c>
      <c r="KH41" s="185" t="str">
        <f>IF(Tim!KL43=FIT!$E$1,Tim!KL43,"")</f>
        <v/>
      </c>
      <c r="KI41" s="185" t="str">
        <f>IF(Tim!KM43=FIT!$E$1,Tim!KM43,"")</f>
        <v/>
      </c>
      <c r="KJ41" s="185" t="str">
        <f>IF(Tim!KN43=FIT!$E$1,Tim!KN43,"")</f>
        <v/>
      </c>
      <c r="KK41" s="185" t="str">
        <f>IF(Tim!KO43=FIT!$E$1,Tim!KO43,"")</f>
        <v/>
      </c>
      <c r="KL41" s="185" t="str">
        <f>IF(Tim!KP43=FIT!$E$1,Tim!KP43,"")</f>
        <v/>
      </c>
      <c r="KM41" s="185" t="str">
        <f>IF(Tim!KQ43=FIT!$E$1,Tim!KQ43,"")</f>
        <v/>
      </c>
      <c r="KN41" s="185" t="str">
        <f>IF(Tim!KR43=FIT!$E$1,Tim!KR43,"")</f>
        <v/>
      </c>
      <c r="KO41" s="185" t="str">
        <f>IF(Tim!KS43=FIT!$E$1,Tim!KS43,"")</f>
        <v/>
      </c>
      <c r="KP41" s="185" t="str">
        <f>IF(Tim!KT43=FIT!$E$1,Tim!KT43,"")</f>
        <v/>
      </c>
      <c r="KQ41" s="185" t="str">
        <f>IF(Tim!KU43=FIT!$E$1,Tim!KU43,"")</f>
        <v/>
      </c>
      <c r="KR41" s="185" t="str">
        <f>IF(Tim!KV43=FIT!$E$1,Tim!KV43,"")</f>
        <v/>
      </c>
      <c r="KS41" s="185" t="str">
        <f>IF(Tim!KW43=FIT!$E$1,Tim!KW43,"")</f>
        <v/>
      </c>
      <c r="KT41" s="185" t="str">
        <f>IF(Tim!KX43=FIT!$E$1,Tim!KX43,"")</f>
        <v/>
      </c>
      <c r="KU41" s="185" t="str">
        <f>IF(Tim!KY43=FIT!$E$1,Tim!KY43,"")</f>
        <v/>
      </c>
      <c r="KV41" s="185" t="str">
        <f>IF(Tim!KZ43=FIT!$E$1,Tim!KZ43,"")</f>
        <v/>
      </c>
      <c r="KW41" s="185" t="str">
        <f>IF(Tim!LA43=FIT!$E$1,Tim!LA43,"")</f>
        <v/>
      </c>
      <c r="KX41" s="185" t="str">
        <f>IF(Tim!LB43=FIT!$E$1,Tim!LB43,"")</f>
        <v/>
      </c>
      <c r="KY41" s="185" t="str">
        <f>IF(Tim!LC43=FIT!$E$1,Tim!LC43,"")</f>
        <v/>
      </c>
      <c r="KZ41" s="185" t="str">
        <f>IF(Tim!LD43=FIT!$E$1,Tim!LD43,"")</f>
        <v/>
      </c>
      <c r="LA41" s="185" t="str">
        <f>IF(Tim!LE43=FIT!$E$1,Tim!LE43,"")</f>
        <v/>
      </c>
      <c r="LB41" s="52">
        <v>0.66666666666666596</v>
      </c>
    </row>
    <row r="42" spans="2:314" ht="10.5" customHeight="1">
      <c r="B42" s="49">
        <v>0.25</v>
      </c>
      <c r="C42" s="49">
        <v>0.25</v>
      </c>
      <c r="D42" s="49">
        <v>0.25</v>
      </c>
      <c r="E42" s="172">
        <v>0.67708333333333204</v>
      </c>
      <c r="F42" s="238" t="str">
        <f>IF(Tim!F44=FIT!$E$1,Tim!F44,"")</f>
        <v/>
      </c>
      <c r="G42" s="185" t="str">
        <f>IF(Tim!G44=FIT!$E$1,Tim!G44,"")</f>
        <v/>
      </c>
      <c r="H42" s="185" t="str">
        <f>IF(Tim!H44=FIT!$E$1,Tim!H44,"")</f>
        <v/>
      </c>
      <c r="I42" s="185" t="str">
        <f>IF(Tim!I44=FIT!$E$1,Tim!I44,"")</f>
        <v/>
      </c>
      <c r="J42" s="185" t="str">
        <f>IF(Tim!J44=FIT!$E$1,Tim!J44,"")</f>
        <v/>
      </c>
      <c r="K42" s="185" t="str">
        <f>IF(Tim!K44=FIT!$E$1,Tim!K44,"")</f>
        <v/>
      </c>
      <c r="L42" s="185" t="str">
        <f>IF(Tim!L44=FIT!$E$1,Tim!L44,"")</f>
        <v/>
      </c>
      <c r="M42" s="185" t="str">
        <f>IF(Tim!M44=FIT!$E$1,Tim!M44,"")</f>
        <v/>
      </c>
      <c r="N42" s="185" t="str">
        <f>IF(Tim!N44=FIT!$E$1,Tim!N44,"")</f>
        <v/>
      </c>
      <c r="O42" s="185" t="str">
        <f>IF(Tim!O44=FIT!$E$1,Tim!O44,"")</f>
        <v/>
      </c>
      <c r="P42" s="185" t="str">
        <f>IF(Tim!P44=FIT!$E$1,Tim!P44,"")</f>
        <v/>
      </c>
      <c r="Q42" s="185" t="str">
        <f>IF(Tim!Q44=FIT!$E$1,Tim!Q44,"")</f>
        <v/>
      </c>
      <c r="R42" s="185" t="str">
        <f>IF(Tim!R44=FIT!$E$1,Tim!R44,"")</f>
        <v/>
      </c>
      <c r="S42" s="185" t="str">
        <f>IF(Tim!S44=FIT!$E$1,Tim!S44,"")</f>
        <v/>
      </c>
      <c r="T42" s="185" t="str">
        <f>IF(Tim!T44=FIT!$E$1,Tim!T44,"")</f>
        <v/>
      </c>
      <c r="U42" s="185" t="str">
        <f>IF(Tim!U44=FIT!$E$1,Tim!U44,"")</f>
        <v/>
      </c>
      <c r="V42" s="185" t="str">
        <f>IF(Tim!W44=FIT!$E$1,Tim!W44,"")</f>
        <v/>
      </c>
      <c r="W42" s="185" t="str">
        <f>IF(Tim!X44=FIT!$E$1,Tim!X44,"")</f>
        <v/>
      </c>
      <c r="X42" s="185" t="str">
        <f>IF(Tim!Y44=FIT!$E$1,Tim!Y44,"")</f>
        <v/>
      </c>
      <c r="Y42" s="185" t="str">
        <f>IF(Tim!Z44=FIT!$E$1,Tim!Z44,"")</f>
        <v/>
      </c>
      <c r="Z42" s="185" t="str">
        <f>IF(Tim!AA44=FIT!$E$1,Tim!AA44,"")</f>
        <v/>
      </c>
      <c r="AA42" s="185" t="str">
        <f>IF(Tim!AB44=FIT!$E$1,Tim!AB44,"")</f>
        <v/>
      </c>
      <c r="AB42" s="185" t="str">
        <f>IF(Tim!AC44=FIT!$E$1,Tim!AC44,"")</f>
        <v/>
      </c>
      <c r="AC42" s="185" t="str">
        <f>IF(Tim!AD44=FIT!$E$1,Tim!AD44,"")</f>
        <v/>
      </c>
      <c r="AD42" s="185" t="str">
        <f>IF(Tim!AE44=FIT!$E$1,Tim!AE44,"")</f>
        <v/>
      </c>
      <c r="AE42" s="185" t="str">
        <f>IF(Tim!AF44=FIT!$E$1,Tim!AF44,"")</f>
        <v/>
      </c>
      <c r="AF42" s="185" t="str">
        <f>IF(Tim!AG44=FIT!$E$1,Tim!AG44,"")</f>
        <v/>
      </c>
      <c r="AG42" s="185" t="str">
        <f>IF(Tim!AH44=FIT!$E$1,Tim!AH44,"")</f>
        <v/>
      </c>
      <c r="AH42" s="185" t="str">
        <f>IF(Tim!AI44=FIT!$E$1,Tim!AI44,"")</f>
        <v/>
      </c>
      <c r="AI42" s="185" t="str">
        <f>IF(Tim!AJ44=FIT!$E$1,Tim!AJ44,"")</f>
        <v/>
      </c>
      <c r="AJ42" s="185" t="str">
        <f>IF(Tim!AK44=FIT!$E$1,Tim!AK44,"")</f>
        <v/>
      </c>
      <c r="AK42" s="185" t="str">
        <f>IF(Tim!AL44=FIT!$E$1,Tim!AL44,"")</f>
        <v/>
      </c>
      <c r="AL42" s="185" t="str">
        <f>IF(Tim!AM44=FIT!$E$1,Tim!AM44,"")</f>
        <v/>
      </c>
      <c r="AM42" s="185" t="str">
        <f>IF(Tim!AN44=FIT!$E$1,Tim!AN44,"")</f>
        <v/>
      </c>
      <c r="AN42" s="185" t="str">
        <f>IF(Tim!AO44=FIT!$E$1,Tim!AO44,"")</f>
        <v/>
      </c>
      <c r="AO42" s="185" t="str">
        <f>IF(Tim!AP44=FIT!$E$1,Tim!AP44,"")</f>
        <v/>
      </c>
      <c r="AP42" s="185" t="str">
        <f>IF(Tim!AQ44=FIT!$E$1,Tim!AQ44,"")</f>
        <v/>
      </c>
      <c r="AQ42" s="185" t="str">
        <f>IF(Tim!AR44=FIT!$E$1,Tim!AR44,"")</f>
        <v/>
      </c>
      <c r="AR42" s="185" t="str">
        <f>IF(Tim!AS44=FIT!$E$1,Tim!AS44,"")</f>
        <v/>
      </c>
      <c r="AS42" s="185" t="str">
        <f>IF(Tim!AT44=FIT!$E$1,Tim!AT44,"")</f>
        <v/>
      </c>
      <c r="AT42" s="185" t="str">
        <f>IF(Tim!AU44=FIT!$E$1,Tim!AU44,"")</f>
        <v/>
      </c>
      <c r="AU42" s="185" t="str">
        <f>IF(Tim!AV44=FIT!$E$1,Tim!AV44,"")</f>
        <v/>
      </c>
      <c r="AV42" s="185" t="str">
        <f>IF(Tim!AW44=FIT!$E$1,Tim!AW44,"")</f>
        <v/>
      </c>
      <c r="AW42" s="186" t="str">
        <f>IF(Tim!AX44=FIT!$E$1,Tim!AX44,"")</f>
        <v/>
      </c>
      <c r="AX42" s="243" t="str">
        <f>IF(Tim!AY44=FIT!$E$1,Tim!AY44,"")</f>
        <v/>
      </c>
      <c r="AY42" s="185" t="str">
        <f>IF(Tim!AZ44=FIT!$E$1,Tim!AZ44,"")</f>
        <v/>
      </c>
      <c r="AZ42" s="185" t="str">
        <f>IF(Tim!BA44=FIT!$E$1,Tim!BA44,"")</f>
        <v/>
      </c>
      <c r="BA42" s="185" t="str">
        <f>IF(Tim!BB44=FIT!$E$1,Tim!BB44,"")</f>
        <v/>
      </c>
      <c r="BB42" s="185" t="str">
        <f>IF(Tim!BC44=FIT!$E$1,Tim!BC44,"")</f>
        <v/>
      </c>
      <c r="BC42" s="185" t="str">
        <f>IF(Tim!BD44=FIT!$E$1,Tim!BD44,"")</f>
        <v/>
      </c>
      <c r="BD42" s="185" t="str">
        <f>IF(Tim!BE44=FIT!$E$1,Tim!BE44,"")</f>
        <v/>
      </c>
      <c r="BE42" s="185" t="str">
        <f>IF(Tim!BF44=FIT!$E$1,Tim!BF44,"")</f>
        <v/>
      </c>
      <c r="BF42" s="185" t="str">
        <f>IF(Tim!BG44=FIT!$E$1,Tim!BG44,"")</f>
        <v/>
      </c>
      <c r="BG42" s="185" t="str">
        <f>IF(Tim!BH44=FIT!$E$1,Tim!BH44,"")</f>
        <v/>
      </c>
      <c r="BH42" s="185" t="str">
        <f>IF(Tim!BI44=FIT!$E$1,Tim!BI44,"")</f>
        <v/>
      </c>
      <c r="BI42" s="185" t="str">
        <f>IF(Tim!BJ44=FIT!$E$1,Tim!BJ44,"")</f>
        <v/>
      </c>
      <c r="BJ42" s="185" t="str">
        <f>IF(Tim!BK44=FIT!$E$1,Tim!BK44,"")</f>
        <v/>
      </c>
      <c r="BK42" s="185" t="str">
        <f>IF(Tim!BL44=FIT!$E$1,Tim!BL44,"")</f>
        <v/>
      </c>
      <c r="BL42" s="185" t="str">
        <f>IF(Tim!BM44=FIT!$E$1,Tim!BM44,"")</f>
        <v/>
      </c>
      <c r="BM42" s="185" t="str">
        <f>IF(Tim!BN44=FIT!$E$1,Tim!BN44,"")</f>
        <v/>
      </c>
      <c r="BN42" s="185" t="str">
        <f>IF(Tim!BO44=FIT!$E$1,Tim!BO44,"")</f>
        <v/>
      </c>
      <c r="BO42" s="185" t="str">
        <f>IF(Tim!BP44=FIT!$E$1,Tim!BP44,"")</f>
        <v/>
      </c>
      <c r="BP42" s="185" t="str">
        <f>IF(Tim!BQ44=FIT!$E$1,Tim!BQ44,"")</f>
        <v/>
      </c>
      <c r="BQ42" s="185" t="str">
        <f>IF(Tim!BR44=FIT!$E$1,Tim!BR44,"")</f>
        <v/>
      </c>
      <c r="BR42" s="185" t="str">
        <f>IF(Tim!BS44=FIT!$E$1,Tim!BS44,"")</f>
        <v/>
      </c>
      <c r="BS42" s="185" t="str">
        <f>IF(Tim!BT44=FIT!$E$1,Tim!BT44,"")</f>
        <v/>
      </c>
      <c r="BT42" s="185" t="str">
        <f>IF(Tim!BU44=FIT!$E$1,Tim!BU44,"")</f>
        <v/>
      </c>
      <c r="BU42" s="185" t="str">
        <f>IF(Tim!BV44=FIT!$E$1,Tim!BV44,"")</f>
        <v/>
      </c>
      <c r="BV42" s="185" t="str">
        <f>IF(Tim!BW44=FIT!$E$1,Tim!BW44,"")</f>
        <v/>
      </c>
      <c r="BW42" s="185" t="str">
        <f>IF(Tim!BX44=FIT!$E$1,Tim!BX44,"")</f>
        <v/>
      </c>
      <c r="BX42" s="185" t="str">
        <f>IF(Tim!BY44=FIT!$E$1,Tim!BY44,"")</f>
        <v/>
      </c>
      <c r="BY42" s="185" t="str">
        <f>IF(Tim!BZ44=FIT!$E$1,Tim!BZ44,"")</f>
        <v/>
      </c>
      <c r="BZ42" s="185" t="str">
        <f>IF(Tim!CA44=FIT!$E$1,Tim!CA44,"")</f>
        <v/>
      </c>
      <c r="CA42" s="185" t="str">
        <f>IF(Tim!CB44=FIT!$E$1,Tim!CB44,"")</f>
        <v/>
      </c>
      <c r="CB42" s="185" t="str">
        <f>IF(Tim!CC44=FIT!$E$1,Tim!CC44,"")</f>
        <v/>
      </c>
      <c r="CC42" s="185" t="str">
        <f>IF(Tim!CD44=FIT!$E$1,Tim!CD44,"")</f>
        <v/>
      </c>
      <c r="CD42" s="185" t="str">
        <f>IF(Tim!CE44=FIT!$E$1,Tim!CE44,"")</f>
        <v/>
      </c>
      <c r="CE42" s="185" t="str">
        <f>IF(Tim!CF44=FIT!$E$1,Tim!CF44,"")</f>
        <v/>
      </c>
      <c r="CF42" s="185" t="str">
        <f>IF(Tim!CG44=FIT!$E$1,Tim!CG44,"")</f>
        <v/>
      </c>
      <c r="CG42" s="185" t="str">
        <f>IF(Tim!CH44=FIT!$E$1,Tim!CH44,"")</f>
        <v/>
      </c>
      <c r="CH42" s="185" t="str">
        <f>IF(Tim!CI44=FIT!$E$1,Tim!CI44,"")</f>
        <v/>
      </c>
      <c r="CI42" s="185" t="str">
        <f>IF(Tim!CJ44=FIT!$E$1,Tim!CJ44,"")</f>
        <v/>
      </c>
      <c r="CJ42" s="185" t="str">
        <f>IF(Tim!CK44=FIT!$E$1,Tim!CK44,"")</f>
        <v/>
      </c>
      <c r="CK42" s="185" t="str">
        <f>IF(Tim!CL44=FIT!$E$1,Tim!CL44,"")</f>
        <v/>
      </c>
      <c r="CL42" s="185" t="str">
        <f>IF(Tim!CM44=FIT!$E$1,Tim!CM44,"")</f>
        <v/>
      </c>
      <c r="CM42" s="185" t="str">
        <f>IF(Tim!CN44=FIT!$E$1,Tim!CN44,"")</f>
        <v/>
      </c>
      <c r="CN42" s="185" t="str">
        <f>IF(Tim!CO44=FIT!$E$1,Tim!CO44,"")</f>
        <v/>
      </c>
      <c r="CO42" s="185" t="str">
        <f>IF(Tim!CP44=FIT!$E$1,Tim!CP44,"")</f>
        <v/>
      </c>
      <c r="CP42" s="185" t="str">
        <f>IF(Tim!CQ44=FIT!$E$1,Tim!CQ44,"")</f>
        <v/>
      </c>
      <c r="CQ42" s="185" t="str">
        <f>IF(Tim!CR44=FIT!$E$1,Tim!CR44,"")</f>
        <v/>
      </c>
      <c r="CR42" s="185" t="str">
        <f>IF(Tim!CS44=FIT!$E$1,Tim!CS44,"")</f>
        <v/>
      </c>
      <c r="CS42" s="185" t="str">
        <f>IF(Tim!CT44=FIT!$E$1,Tim!CT44,"")</f>
        <v/>
      </c>
      <c r="CT42" s="185" t="str">
        <f>IF(Tim!CU44=FIT!$E$1,Tim!CU44,"")</f>
        <v/>
      </c>
      <c r="CU42" s="185" t="str">
        <f>IF(Tim!CV44=FIT!$E$1,Tim!CV44,"")</f>
        <v/>
      </c>
      <c r="CV42" s="185" t="str">
        <f>IF(Tim!CW44=FIT!$E$1,Tim!CW44,"")</f>
        <v/>
      </c>
      <c r="CW42" s="185" t="str">
        <f>IF(Tim!CX44=FIT!$E$1,Tim!CX44,"")</f>
        <v/>
      </c>
      <c r="CX42" s="185" t="str">
        <f>IF(Tim!CY44=FIT!$E$1,Tim!CY44,"")</f>
        <v/>
      </c>
      <c r="CY42" s="185" t="str">
        <f>IF(Tim!CZ44=FIT!$E$1,Tim!CZ44,"")</f>
        <v/>
      </c>
      <c r="CZ42" s="185" t="str">
        <f>IF(Tim!DA44=FIT!$E$1,Tim!DA44,"")</f>
        <v/>
      </c>
      <c r="DA42" s="185" t="str">
        <f>IF(Tim!DB44=FIT!$E$1,Tim!DB44,"")</f>
        <v/>
      </c>
      <c r="DB42" s="185" t="str">
        <f>IF(Tim!DC44=FIT!$E$1,Tim!DC44,"")</f>
        <v/>
      </c>
      <c r="DC42" s="185" t="str">
        <f>IF(Tim!DD44=FIT!$E$1,Tim!DD44,"")</f>
        <v/>
      </c>
      <c r="DD42" s="185" t="str">
        <f>IF(Tim!DE44=FIT!$E$1,Tim!DE44,"")</f>
        <v/>
      </c>
      <c r="DE42" s="185" t="str">
        <f>IF(Tim!DF44=FIT!$E$1,Tim!DF44,"")</f>
        <v/>
      </c>
      <c r="DF42" s="185" t="str">
        <f>IF(Tim!DG44=FIT!$E$1,Tim!DG44,"")</f>
        <v/>
      </c>
      <c r="DG42" s="185" t="str">
        <f>IF(Tim!DH44=FIT!$E$1,Tim!DH44,"")</f>
        <v/>
      </c>
      <c r="DH42" s="185" t="str">
        <f>IF(Tim!DI44=FIT!$E$1,Tim!DI44,"")</f>
        <v/>
      </c>
      <c r="DI42" s="185" t="str">
        <f>IF(Tim!DM44=FIT!$E$1,Tim!DM44,"")</f>
        <v/>
      </c>
      <c r="DJ42" s="185" t="str">
        <f>IF(Tim!DN44=FIT!$E$1,Tim!DN44,"")</f>
        <v/>
      </c>
      <c r="DK42" s="185" t="str">
        <f>IF(Tim!DO44=FIT!$E$1,Tim!DO44,"")</f>
        <v/>
      </c>
      <c r="DL42" s="185" t="str">
        <f>IF(Tim!DP44=FIT!$E$1,Tim!DP44,"")</f>
        <v/>
      </c>
      <c r="DM42" s="185" t="str">
        <f>IF(Tim!DQ44=FIT!$E$1,Tim!DQ44,"")</f>
        <v/>
      </c>
      <c r="DN42" s="185" t="str">
        <f>IF(Tim!DR44=FIT!$E$1,Tim!DR44,"")</f>
        <v/>
      </c>
      <c r="DO42" s="185" t="str">
        <f>IF(Tim!DS44=FIT!$E$1,Tim!DS44,"")</f>
        <v/>
      </c>
      <c r="DP42" s="185" t="str">
        <f>IF(Tim!DT44=FIT!$E$1,Tim!DT44,"")</f>
        <v/>
      </c>
      <c r="DQ42" s="185" t="str">
        <f>IF(Tim!DU44=FIT!$E$1,Tim!DU44,"")</f>
        <v/>
      </c>
      <c r="DR42" s="185" t="str">
        <f>IF(Tim!DV44=FIT!$E$1,Tim!DV44,"")</f>
        <v/>
      </c>
      <c r="DS42" s="185" t="str">
        <f>IF(Tim!DW44=FIT!$E$1,Tim!DW44,"")</f>
        <v/>
      </c>
      <c r="DT42" s="185" t="str">
        <f>IF(Tim!DX44=FIT!$E$1,Tim!DX44,"")</f>
        <v/>
      </c>
      <c r="DU42" s="185" t="str">
        <f>IF(Tim!DY44=FIT!$E$1,Tim!DY44,"")</f>
        <v/>
      </c>
      <c r="DV42" s="185" t="str">
        <f>IF(Tim!DZ44=FIT!$E$1,Tim!DZ44,"")</f>
        <v/>
      </c>
      <c r="DW42" s="185" t="str">
        <f>IF(Tim!EA44=FIT!$E$1,Tim!EA44,"")</f>
        <v/>
      </c>
      <c r="DX42" s="185" t="str">
        <f>IF(Tim!EB44=FIT!$E$1,Tim!EB44,"")</f>
        <v/>
      </c>
      <c r="DY42" s="185" t="str">
        <f>IF(Tim!EC44=FIT!$E$1,Tim!EC44,"")</f>
        <v/>
      </c>
      <c r="DZ42" s="185" t="str">
        <f>IF(Tim!ED44=FIT!$E$1,Tim!ED44,"")</f>
        <v/>
      </c>
      <c r="EA42" s="185" t="str">
        <f>IF(Tim!EE44=FIT!$E$1,Tim!EE44,"")</f>
        <v/>
      </c>
      <c r="EB42" s="185" t="str">
        <f>IF(Tim!EF44=FIT!$E$1,Tim!EF44,"")</f>
        <v/>
      </c>
      <c r="EC42" s="185" t="str">
        <f>IF(Tim!EG44=FIT!$E$1,Tim!EG44,"")</f>
        <v/>
      </c>
      <c r="ED42" s="185" t="str">
        <f>IF(Tim!EH44=FIT!$E$1,Tim!EH44,"")</f>
        <v/>
      </c>
      <c r="EE42" s="185" t="str">
        <f>IF(Tim!EI44=FIT!$E$1,Tim!EI44,"")</f>
        <v/>
      </c>
      <c r="EF42" s="185" t="str">
        <f>IF(Tim!EJ44=FIT!$E$1,Tim!EJ44,"")</f>
        <v/>
      </c>
      <c r="EG42" s="185" t="str">
        <f>IF(Tim!EK44=FIT!$E$1,Tim!EK44,"")</f>
        <v/>
      </c>
      <c r="EH42" s="185" t="str">
        <f>IF(Tim!EL44=FIT!$E$1,Tim!EL44,"")</f>
        <v/>
      </c>
      <c r="EI42" s="185" t="str">
        <f>IF(Tim!EM44=FIT!$E$1,Tim!EM44,"")</f>
        <v/>
      </c>
      <c r="EJ42" s="185" t="str">
        <f>IF(Tim!EN44=FIT!$E$1,Tim!EN44,"")</f>
        <v/>
      </c>
      <c r="EK42" s="185" t="str">
        <f>IF(Tim!EO44=FIT!$E$1,Tim!EO44,"")</f>
        <v/>
      </c>
      <c r="EL42" s="185" t="str">
        <f>IF(Tim!EP44=FIT!$E$1,Tim!EP44,"")</f>
        <v/>
      </c>
      <c r="EM42" s="185" t="str">
        <f>IF(Tim!EQ44=FIT!$E$1,Tim!EQ44,"")</f>
        <v/>
      </c>
      <c r="EN42" s="185" t="str">
        <f>IF(Tim!ER44=FIT!$E$1,Tim!ER44,"")</f>
        <v/>
      </c>
      <c r="EO42" s="185" t="str">
        <f>IF(Tim!ES44=FIT!$E$1,Tim!ES44,"")</f>
        <v/>
      </c>
      <c r="EP42" s="185" t="str">
        <f>IF(Tim!ET44=FIT!$E$1,Tim!ET44,"")</f>
        <v/>
      </c>
      <c r="EQ42" s="185" t="str">
        <f>IF(Tim!EU44=FIT!$E$1,Tim!EU44,"")</f>
        <v/>
      </c>
      <c r="ER42" s="185" t="e">
        <f>IF(Tim!#REF!=FIT!$E$1,Tim!#REF!,"")</f>
        <v>#REF!</v>
      </c>
      <c r="ES42" s="185" t="str">
        <f>IF(Tim!EW44=FIT!$E$1,Tim!EW44,"")</f>
        <v/>
      </c>
      <c r="ET42" s="185" t="str">
        <f>IF(Tim!EX44=FIT!$E$1,Tim!EX44,"")</f>
        <v/>
      </c>
      <c r="EU42" s="185" t="str">
        <f>IF(Tim!EY44=FIT!$E$1,Tim!EY44,"")</f>
        <v/>
      </c>
      <c r="EV42" s="185" t="str">
        <f>IF(Tim!EZ44=FIT!$E$1,Tim!EZ44,"")</f>
        <v/>
      </c>
      <c r="EW42" s="185" t="str">
        <f>IF(Tim!FA44=FIT!$E$1,Tim!FA44,"")</f>
        <v/>
      </c>
      <c r="EX42" s="185" t="str">
        <f>IF(Tim!FB44=FIT!$E$1,Tim!FB44,"")</f>
        <v/>
      </c>
      <c r="EY42" s="185" t="str">
        <f>IF(Tim!FC44=FIT!$E$1,Tim!FC44,"")</f>
        <v/>
      </c>
      <c r="EZ42" s="185" t="str">
        <f>IF(Tim!FD44=FIT!$E$1,Tim!FD44,"")</f>
        <v/>
      </c>
      <c r="FA42" s="185" t="str">
        <f>IF(Tim!FE44=FIT!$E$1,Tim!FE44,"")</f>
        <v/>
      </c>
      <c r="FB42" s="185" t="str">
        <f>IF(Tim!FF44=FIT!$E$1,Tim!FF44,"")</f>
        <v/>
      </c>
      <c r="FC42" s="185" t="str">
        <f>IF(Tim!FG44=FIT!$E$1,Tim!FG44,"")</f>
        <v/>
      </c>
      <c r="FD42" s="185" t="str">
        <f>IF(Tim!FH44=FIT!$E$1,Tim!FH44,"")</f>
        <v/>
      </c>
      <c r="FE42" s="185" t="str">
        <f>IF(Tim!FI44=FIT!$E$1,Tim!FI44,"")</f>
        <v/>
      </c>
      <c r="FF42" s="185" t="str">
        <f>IF(Tim!FJ44=FIT!$E$1,Tim!FJ44,"")</f>
        <v/>
      </c>
      <c r="FG42" s="185" t="str">
        <f>IF(Tim!FK44=FIT!$E$1,Tim!FK44,"")</f>
        <v/>
      </c>
      <c r="FH42" s="185" t="str">
        <f>IF(Tim!FL44=FIT!$E$1,Tim!FL44,"")</f>
        <v/>
      </c>
      <c r="FI42" s="185" t="str">
        <f>IF(Tim!FM44=FIT!$E$1,Tim!FM44,"")</f>
        <v/>
      </c>
      <c r="FJ42" s="185" t="str">
        <f>IF(Tim!FN44=FIT!$E$1,Tim!FN44,"")</f>
        <v/>
      </c>
      <c r="FK42" s="185" t="str">
        <f>IF(Tim!FO44=FIT!$E$1,Tim!FO44,"")</f>
        <v/>
      </c>
      <c r="FL42" s="185" t="str">
        <f>IF(Tim!FP44=FIT!$E$1,Tim!FP44,"")</f>
        <v/>
      </c>
      <c r="FM42" s="185" t="str">
        <f>IF(Tim!FQ44=FIT!$E$1,Tim!FQ44,"")</f>
        <v/>
      </c>
      <c r="FN42" s="185" t="str">
        <f>IF(Tim!FR44=FIT!$E$1,Tim!FR44,"")</f>
        <v/>
      </c>
      <c r="FO42" s="185" t="str">
        <f>IF(Tim!FS44=FIT!$E$1,Tim!FS44,"")</f>
        <v/>
      </c>
      <c r="FP42" s="185" t="str">
        <f>IF(Tim!FT44=FIT!$E$1,Tim!FT44,"")</f>
        <v/>
      </c>
      <c r="FQ42" s="185" t="str">
        <f>IF(Tim!FU44=FIT!$E$1,Tim!FU44,"")</f>
        <v/>
      </c>
      <c r="FR42" s="185" t="str">
        <f>IF(Tim!FV44=FIT!$E$1,Tim!FV44,"")</f>
        <v/>
      </c>
      <c r="FS42" s="185" t="str">
        <f>IF(Tim!FW44=FIT!$E$1,Tim!FW44,"")</f>
        <v/>
      </c>
      <c r="FT42" s="185" t="str">
        <f>IF(Tim!FX44=FIT!$E$1,Tim!FX44,"")</f>
        <v/>
      </c>
      <c r="FU42" s="185" t="str">
        <f>IF(Tim!FY44=FIT!$E$1,Tim!FY44,"")</f>
        <v/>
      </c>
      <c r="FV42" s="185" t="str">
        <f>IF(Tim!FZ44=FIT!$E$1,Tim!FZ44,"")</f>
        <v/>
      </c>
      <c r="FW42" s="185" t="str">
        <f>IF(Tim!GA44=FIT!$E$1,Tim!GA44,"")</f>
        <v/>
      </c>
      <c r="FX42" s="185" t="str">
        <f>IF(Tim!GB44=FIT!$E$1,Tim!GB44,"")</f>
        <v/>
      </c>
      <c r="FY42" s="185" t="str">
        <f>IF(Tim!GC44=FIT!$E$1,Tim!GC44,"")</f>
        <v/>
      </c>
      <c r="FZ42" s="185" t="str">
        <f>IF(Tim!GD44=FIT!$E$1,Tim!GD44,"")</f>
        <v/>
      </c>
      <c r="GA42" s="185" t="str">
        <f>IF(Tim!GE44=FIT!$E$1,Tim!GE44,"")</f>
        <v/>
      </c>
      <c r="GB42" s="185" t="str">
        <f>IF(Tim!GF44=FIT!$E$1,Tim!GF44,"")</f>
        <v/>
      </c>
      <c r="GC42" s="185" t="str">
        <f>IF(Tim!GG44=FIT!$E$1,Tim!GG44,"")</f>
        <v/>
      </c>
      <c r="GD42" s="185" t="str">
        <f>IF(Tim!GH44=FIT!$E$1,Tim!GH44,"")</f>
        <v/>
      </c>
      <c r="GE42" s="185" t="str">
        <f>IF(Tim!GI44=FIT!$E$1,Tim!GI44,"")</f>
        <v/>
      </c>
      <c r="GF42" s="185" t="str">
        <f>IF(Tim!GJ44=FIT!$E$1,Tim!GJ44,"")</f>
        <v/>
      </c>
      <c r="GG42" s="185" t="str">
        <f>IF(Tim!GK44=FIT!$E$1,Tim!GK44,"")</f>
        <v/>
      </c>
      <c r="GH42" s="185" t="str">
        <f>IF(Tim!GL44=FIT!$E$1,Tim!GL44,"")</f>
        <v/>
      </c>
      <c r="GI42" s="185" t="str">
        <f>IF(Tim!GM44=FIT!$E$1,Tim!GM44,"")</f>
        <v/>
      </c>
      <c r="GJ42" s="185" t="str">
        <f>IF(Tim!GO44=FIT!$E$1,Tim!GO44,"")</f>
        <v/>
      </c>
      <c r="GK42" s="185" t="e">
        <f>IF(Tim!#REF!=FIT!$E$1,Tim!#REF!,"")</f>
        <v>#REF!</v>
      </c>
      <c r="GL42" s="185" t="str">
        <f>IF(Tim!GP44=FIT!$E$1,Tim!GP44,"")</f>
        <v/>
      </c>
      <c r="GM42" s="185" t="str">
        <f>IF(Tim!GQ44=FIT!$E$1,Tim!GQ44,"")</f>
        <v/>
      </c>
      <c r="GN42" s="185" t="str">
        <f>IF(Tim!GR44=FIT!$E$1,Tim!GR44,"")</f>
        <v/>
      </c>
      <c r="GO42" s="185" t="str">
        <f>IF(Tim!GS44=FIT!$E$1,Tim!GS44,"")</f>
        <v/>
      </c>
      <c r="GP42" s="185" t="str">
        <f>IF(Tim!GT44=FIT!$E$1,Tim!GT44,"")</f>
        <v/>
      </c>
      <c r="GQ42" s="185" t="str">
        <f>IF(Tim!GU44=FIT!$E$1,Tim!GU44,"")</f>
        <v/>
      </c>
      <c r="GR42" s="185" t="str">
        <f>IF(Tim!GV44=FIT!$E$1,Tim!GV44,"")</f>
        <v/>
      </c>
      <c r="GS42" s="185" t="str">
        <f>IF(Tim!GW44=FIT!$E$1,Tim!GW44,"")</f>
        <v/>
      </c>
      <c r="GT42" s="185" t="str">
        <f>IF(Tim!GX44=FIT!$E$1,Tim!GX44,"")</f>
        <v/>
      </c>
      <c r="GU42" s="185" t="str">
        <f>IF(Tim!GY44=FIT!$E$1,Tim!GY44,"")</f>
        <v/>
      </c>
      <c r="GV42" s="185" t="str">
        <f>IF(Tim!GZ44=FIT!$E$1,Tim!GZ44,"")</f>
        <v/>
      </c>
      <c r="GW42" s="185" t="str">
        <f>IF(Tim!HA44=FIT!$E$1,Tim!HA44,"")</f>
        <v/>
      </c>
      <c r="GX42" s="185" t="str">
        <f>IF(Tim!HB44=FIT!$E$1,Tim!HB44,"")</f>
        <v/>
      </c>
      <c r="GY42" s="185" t="str">
        <f>IF(Tim!HC44=FIT!$E$1,Tim!HC44,"")</f>
        <v/>
      </c>
      <c r="GZ42" s="185" t="str">
        <f>IF(Tim!HD44=FIT!$E$1,Tim!HD44,"")</f>
        <v/>
      </c>
      <c r="HA42" s="185" t="str">
        <f>IF(Tim!HE44=FIT!$E$1,Tim!HE44,"")</f>
        <v/>
      </c>
      <c r="HB42" s="185" t="str">
        <f>IF(Tim!HF44=FIT!$E$1,Tim!HF44,"")</f>
        <v/>
      </c>
      <c r="HC42" s="185" t="str">
        <f>IF(Tim!HG44=FIT!$E$1,Tim!HG44,"")</f>
        <v/>
      </c>
      <c r="HD42" s="185" t="str">
        <f>IF(Tim!HH44=FIT!$E$1,Tim!HH44,"")</f>
        <v/>
      </c>
      <c r="HE42" s="185" t="str">
        <f>IF(Tim!HI44=FIT!$E$1,Tim!HI44,"")</f>
        <v/>
      </c>
      <c r="HF42" s="185" t="str">
        <f>IF(Tim!HJ44=FIT!$E$1,Tim!HJ44,"")</f>
        <v/>
      </c>
      <c r="HG42" s="185" t="str">
        <f>IF(Tim!HK44=FIT!$E$1,Tim!HK44,"")</f>
        <v/>
      </c>
      <c r="HH42" s="185" t="str">
        <f>IF(Tim!HL44=FIT!$E$1,Tim!HL44,"")</f>
        <v/>
      </c>
      <c r="HI42" s="185" t="str">
        <f>IF(Tim!HM44=FIT!$E$1,Tim!HM44,"")</f>
        <v/>
      </c>
      <c r="HJ42" s="185" t="str">
        <f>IF(Tim!HN44=FIT!$E$1,Tim!HN44,"")</f>
        <v/>
      </c>
      <c r="HK42" s="185" t="str">
        <f>IF(Tim!HO44=FIT!$E$1,Tim!HO44,"")</f>
        <v/>
      </c>
      <c r="HL42" s="185" t="str">
        <f>IF(Tim!HP44=FIT!$E$1,Tim!HP44,"")</f>
        <v/>
      </c>
      <c r="HM42" s="185" t="str">
        <f>IF(Tim!HQ44=FIT!$E$1,Tim!HQ44,"")</f>
        <v/>
      </c>
      <c r="HN42" s="185" t="str">
        <f>IF(Tim!HR44=FIT!$E$1,Tim!HR44,"")</f>
        <v/>
      </c>
      <c r="HO42" s="185" t="str">
        <f>IF(Tim!HS44=FIT!$E$1,Tim!HS44,"")</f>
        <v/>
      </c>
      <c r="HP42" s="185" t="str">
        <f>IF(Tim!HT44=FIT!$E$1,Tim!HT44,"")</f>
        <v/>
      </c>
      <c r="HQ42" s="185" t="str">
        <f>IF(Tim!HU44=FIT!$E$1,Tim!HU44,"")</f>
        <v/>
      </c>
      <c r="HR42" s="185" t="str">
        <f>IF(Tim!HV44=FIT!$E$1,Tim!HV44,"")</f>
        <v/>
      </c>
      <c r="HS42" s="185" t="str">
        <f>IF(Tim!HW44=FIT!$E$1,Tim!HW44,"")</f>
        <v/>
      </c>
      <c r="HT42" s="185" t="str">
        <f>IF(Tim!HX44=FIT!$E$1,Tim!HX44,"")</f>
        <v/>
      </c>
      <c r="HU42" s="185" t="str">
        <f>IF(Tim!HY44=FIT!$E$1,Tim!HY44,"")</f>
        <v/>
      </c>
      <c r="HV42" s="185" t="str">
        <f>IF(Tim!HZ44=FIT!$E$1,Tim!HZ44,"")</f>
        <v/>
      </c>
      <c r="HW42" s="185" t="str">
        <f>IF(Tim!IA44=FIT!$E$1,Tim!IA44,"")</f>
        <v/>
      </c>
      <c r="HX42" s="185" t="str">
        <f>IF(Tim!IB44=FIT!$E$1,Tim!IB44,"")</f>
        <v/>
      </c>
      <c r="HY42" s="185" t="str">
        <f>IF(Tim!IC44=FIT!$E$1,Tim!IC44,"")</f>
        <v/>
      </c>
      <c r="HZ42" s="185" t="str">
        <f>IF(Tim!ID44=FIT!$E$1,Tim!ID44,"")</f>
        <v/>
      </c>
      <c r="IA42" s="185" t="str">
        <f>IF(Tim!IE44=FIT!$E$1,Tim!IE44,"")</f>
        <v/>
      </c>
      <c r="IB42" s="185" t="str">
        <f>IF(Tim!IF44=FIT!$E$1,Tim!IF44,"")</f>
        <v/>
      </c>
      <c r="IC42" s="185" t="str">
        <f>IF(Tim!IG44=FIT!$E$1,Tim!IG44,"")</f>
        <v/>
      </c>
      <c r="ID42" s="185" t="str">
        <f>IF(Tim!IH44=FIT!$E$1,Tim!IH44,"")</f>
        <v/>
      </c>
      <c r="IE42" s="185" t="str">
        <f>IF(Tim!II44=FIT!$E$1,Tim!II44,"")</f>
        <v/>
      </c>
      <c r="IF42" s="185" t="str">
        <f>IF(Tim!IJ44=FIT!$E$1,Tim!IJ44,"")</f>
        <v/>
      </c>
      <c r="IG42" s="185" t="str">
        <f>IF(Tim!IK44=FIT!$E$1,Tim!IK44,"")</f>
        <v/>
      </c>
      <c r="IH42" s="185" t="str">
        <f>IF(Tim!IL44=FIT!$E$1,Tim!IL44,"")</f>
        <v/>
      </c>
      <c r="II42" s="185" t="str">
        <f>IF(Tim!IM44=FIT!$E$1,Tim!IM44,"")</f>
        <v/>
      </c>
      <c r="IJ42" s="185" t="str">
        <f>IF(Tim!IN44=FIT!$E$1,Tim!IN44,"")</f>
        <v/>
      </c>
      <c r="IK42" s="185" t="str">
        <f>IF(Tim!IO44=FIT!$E$1,Tim!IO44,"")</f>
        <v/>
      </c>
      <c r="IL42" s="185" t="str">
        <f>IF(Tim!IP44=FIT!$E$1,Tim!IP44,"")</f>
        <v/>
      </c>
      <c r="IM42" s="185" t="str">
        <f>IF(Tim!IQ44=FIT!$E$1,Tim!IQ44,"")</f>
        <v/>
      </c>
      <c r="IN42" s="185" t="str">
        <f>IF(Tim!IR44=FIT!$E$1,Tim!IR44,"")</f>
        <v/>
      </c>
      <c r="IO42" s="185" t="str">
        <f>IF(Tim!IS44=FIT!$E$1,Tim!IS44,"")</f>
        <v/>
      </c>
      <c r="IP42" s="185" t="str">
        <f>IF(Tim!IT44=FIT!$E$1,Tim!IT44,"")</f>
        <v/>
      </c>
      <c r="IQ42" s="185" t="str">
        <f>IF(Tim!IU44=FIT!$E$1,Tim!IU44,"")</f>
        <v/>
      </c>
      <c r="IR42" s="185" t="str">
        <f>IF(Tim!IV44=FIT!$E$1,Tim!IV44,"")</f>
        <v/>
      </c>
      <c r="IS42" s="185" t="str">
        <f>IF(Tim!IW44=FIT!$E$1,Tim!IW44,"")</f>
        <v/>
      </c>
      <c r="IT42" s="185" t="str">
        <f>IF(Tim!IX44=FIT!$E$1,Tim!IX44,"")</f>
        <v/>
      </c>
      <c r="IU42" s="185" t="str">
        <f>IF(Tim!IY44=FIT!$E$1,Tim!IY44,"")</f>
        <v/>
      </c>
      <c r="IV42" s="185" t="str">
        <f>IF(Tim!IZ44=FIT!$E$1,Tim!IZ44,"")</f>
        <v/>
      </c>
      <c r="IW42" s="185" t="str">
        <f>IF(Tim!JA44=FIT!$E$1,Tim!JA44,"")</f>
        <v/>
      </c>
      <c r="IX42" s="185" t="str">
        <f>IF(Tim!JB44=FIT!$E$1,Tim!JB44,"")</f>
        <v/>
      </c>
      <c r="IY42" s="185" t="str">
        <f>IF(Tim!JC44=FIT!$E$1,Tim!JC44,"")</f>
        <v/>
      </c>
      <c r="IZ42" s="185" t="str">
        <f>IF(Tim!JD44=FIT!$E$1,Tim!JD44,"")</f>
        <v/>
      </c>
      <c r="JA42" s="185" t="str">
        <f>IF(Tim!JE44=FIT!$E$1,Tim!JE44,"")</f>
        <v/>
      </c>
      <c r="JB42" s="185" t="str">
        <f>IF(Tim!JF44=FIT!$E$1,Tim!JF44,"")</f>
        <v/>
      </c>
      <c r="JC42" s="185" t="str">
        <f>IF(Tim!JG44=FIT!$E$1,Tim!JG44,"")</f>
        <v/>
      </c>
      <c r="JD42" s="185" t="str">
        <f>IF(Tim!JH44=FIT!$E$1,Tim!JH44,"")</f>
        <v/>
      </c>
      <c r="JE42" s="185" t="str">
        <f>IF(Tim!JI44=FIT!$E$1,Tim!JI44,"")</f>
        <v/>
      </c>
      <c r="JF42" s="185" t="str">
        <f>IF(Tim!JJ44=FIT!$E$1,Tim!JJ44,"")</f>
        <v/>
      </c>
      <c r="JG42" s="185" t="str">
        <f>IF(Tim!JK44=FIT!$E$1,Tim!JK44,"")</f>
        <v/>
      </c>
      <c r="JH42" s="185" t="str">
        <f>IF(Tim!JL44=FIT!$E$1,Tim!JL44,"")</f>
        <v/>
      </c>
      <c r="JI42" s="185" t="str">
        <f>IF(Tim!JM44=FIT!$E$1,Tim!JM44,"")</f>
        <v/>
      </c>
      <c r="JJ42" s="185" t="str">
        <f>IF(Tim!JN44=FIT!$E$1,Tim!JN44,"")</f>
        <v/>
      </c>
      <c r="JK42" s="185" t="str">
        <f>IF(Tim!JO44=FIT!$E$1,Tim!JO44,"")</f>
        <v/>
      </c>
      <c r="JL42" s="185" t="str">
        <f>IF(Tim!JP44=FIT!$E$1,Tim!JP44,"")</f>
        <v/>
      </c>
      <c r="JM42" s="185" t="str">
        <f>IF(Tim!JQ44=FIT!$E$1,Tim!JQ44,"")</f>
        <v/>
      </c>
      <c r="JN42" s="185" t="str">
        <f>IF(Tim!JR44=FIT!$E$1,Tim!JR44,"")</f>
        <v/>
      </c>
      <c r="JO42" s="185" t="str">
        <f>IF(Tim!JS44=FIT!$E$1,Tim!JS44,"")</f>
        <v/>
      </c>
      <c r="JP42" s="185" t="str">
        <f>IF(Tim!JT44=FIT!$E$1,Tim!JT44,"")</f>
        <v/>
      </c>
      <c r="JQ42" s="185" t="str">
        <f>IF(Tim!JU44=FIT!$E$1,Tim!JU44,"")</f>
        <v/>
      </c>
      <c r="JR42" s="185" t="str">
        <f>IF(Tim!JV44=FIT!$E$1,Tim!JV44,"")</f>
        <v/>
      </c>
      <c r="JS42" s="185" t="str">
        <f>IF(Tim!JW44=FIT!$E$1,Tim!JW44,"")</f>
        <v/>
      </c>
      <c r="JT42" s="185" t="str">
        <f>IF(Tim!JX44=FIT!$E$1,Tim!JX44,"")</f>
        <v/>
      </c>
      <c r="JU42" s="185" t="str">
        <f>IF(Tim!JY44=FIT!$E$1,Tim!JY44,"")</f>
        <v/>
      </c>
      <c r="JV42" s="185" t="str">
        <f>IF(Tim!JZ44=FIT!$E$1,Tim!JZ44,"")</f>
        <v/>
      </c>
      <c r="JW42" s="185" t="str">
        <f>IF(Tim!KA44=FIT!$E$1,Tim!KA44,"")</f>
        <v/>
      </c>
      <c r="JX42" s="185" t="str">
        <f>IF(Tim!KB44=FIT!$E$1,Tim!KB44,"")</f>
        <v/>
      </c>
      <c r="JY42" s="185" t="str">
        <f>IF(Tim!KC44=FIT!$E$1,Tim!KC44,"")</f>
        <v/>
      </c>
      <c r="JZ42" s="185" t="str">
        <f>IF(Tim!KD44=FIT!$E$1,Tim!KD44,"")</f>
        <v/>
      </c>
      <c r="KA42" s="185" t="str">
        <f>IF(Tim!KE44=FIT!$E$1,Tim!KE44,"")</f>
        <v/>
      </c>
      <c r="KB42" s="185" t="str">
        <f>IF(Tim!KF44=FIT!$E$1,Tim!KF44,"")</f>
        <v/>
      </c>
      <c r="KC42" s="185" t="str">
        <f>IF(Tim!KG44=FIT!$E$1,Tim!KG44,"")</f>
        <v/>
      </c>
      <c r="KD42" s="185" t="str">
        <f>IF(Tim!KH44=FIT!$E$1,Tim!KH44,"")</f>
        <v/>
      </c>
      <c r="KE42" s="185" t="str">
        <f>IF(Tim!KI44=FIT!$E$1,Tim!KI44,"")</f>
        <v/>
      </c>
      <c r="KF42" s="185" t="str">
        <f>IF(Tim!KJ44=FIT!$E$1,Tim!KJ44,"")</f>
        <v/>
      </c>
      <c r="KG42" s="185" t="str">
        <f>IF(Tim!KK44=FIT!$E$1,Tim!KK44,"")</f>
        <v/>
      </c>
      <c r="KH42" s="185" t="str">
        <f>IF(Tim!KL44=FIT!$E$1,Tim!KL44,"")</f>
        <v/>
      </c>
      <c r="KI42" s="185" t="str">
        <f>IF(Tim!KM44=FIT!$E$1,Tim!KM44,"")</f>
        <v/>
      </c>
      <c r="KJ42" s="185" t="str">
        <f>IF(Tim!KN44=FIT!$E$1,Tim!KN44,"")</f>
        <v/>
      </c>
      <c r="KK42" s="185" t="str">
        <f>IF(Tim!KO44=FIT!$E$1,Tim!KO44,"")</f>
        <v/>
      </c>
      <c r="KL42" s="185" t="str">
        <f>IF(Tim!KP44=FIT!$E$1,Tim!KP44,"")</f>
        <v/>
      </c>
      <c r="KM42" s="185" t="str">
        <f>IF(Tim!KQ44=FIT!$E$1,Tim!KQ44,"")</f>
        <v/>
      </c>
      <c r="KN42" s="185" t="str">
        <f>IF(Tim!KR44=FIT!$E$1,Tim!KR44,"")</f>
        <v/>
      </c>
      <c r="KO42" s="185" t="str">
        <f>IF(Tim!KS44=FIT!$E$1,Tim!KS44,"")</f>
        <v/>
      </c>
      <c r="KP42" s="185" t="str">
        <f>IF(Tim!KT44=FIT!$E$1,Tim!KT44,"")</f>
        <v/>
      </c>
      <c r="KQ42" s="185" t="str">
        <f>IF(Tim!KU44=FIT!$E$1,Tim!KU44,"")</f>
        <v/>
      </c>
      <c r="KR42" s="185" t="str">
        <f>IF(Tim!KV44=FIT!$E$1,Tim!KV44,"")</f>
        <v/>
      </c>
      <c r="KS42" s="185" t="str">
        <f>IF(Tim!KW44=FIT!$E$1,Tim!KW44,"")</f>
        <v/>
      </c>
      <c r="KT42" s="185" t="str">
        <f>IF(Tim!KX44=FIT!$E$1,Tim!KX44,"")</f>
        <v/>
      </c>
      <c r="KU42" s="185" t="str">
        <f>IF(Tim!KY44=FIT!$E$1,Tim!KY44,"")</f>
        <v/>
      </c>
      <c r="KV42" s="185" t="str">
        <f>IF(Tim!KZ44=FIT!$E$1,Tim!KZ44,"")</f>
        <v/>
      </c>
      <c r="KW42" s="185" t="str">
        <f>IF(Tim!LA44=FIT!$E$1,Tim!LA44,"")</f>
        <v/>
      </c>
      <c r="KX42" s="185" t="str">
        <f>IF(Tim!LB44=FIT!$E$1,Tim!LB44,"")</f>
        <v/>
      </c>
      <c r="KY42" s="185" t="str">
        <f>IF(Tim!LC44=FIT!$E$1,Tim!LC44,"")</f>
        <v/>
      </c>
      <c r="KZ42" s="185" t="str">
        <f>IF(Tim!LD44=FIT!$E$1,Tim!LD44,"")</f>
        <v/>
      </c>
      <c r="LA42" s="185" t="str">
        <f>IF(Tim!LE44=FIT!$E$1,Tim!LE44,"")</f>
        <v/>
      </c>
      <c r="LB42" s="52">
        <v>0.67708333333333204</v>
      </c>
    </row>
    <row r="43" spans="2:314" ht="10.5" customHeight="1">
      <c r="B43" s="49">
        <v>0.25</v>
      </c>
      <c r="C43" s="49">
        <v>0.25</v>
      </c>
      <c r="D43" s="49">
        <v>0.25</v>
      </c>
      <c r="E43" s="172">
        <v>0.687499999999999</v>
      </c>
      <c r="F43" s="238" t="str">
        <f>IF(Tim!F45=FIT!$E$1,Tim!F45,"")</f>
        <v/>
      </c>
      <c r="G43" s="185" t="str">
        <f>IF(Tim!G45=FIT!$E$1,Tim!G45,"")</f>
        <v/>
      </c>
      <c r="H43" s="185" t="str">
        <f>IF(Tim!H45=FIT!$E$1,Tim!H45,"")</f>
        <v/>
      </c>
      <c r="I43" s="185" t="str">
        <f>IF(Tim!I45=FIT!$E$1,Tim!I45,"")</f>
        <v/>
      </c>
      <c r="J43" s="185" t="str">
        <f>IF(Tim!J45=FIT!$E$1,Tim!J45,"")</f>
        <v/>
      </c>
      <c r="K43" s="185" t="str">
        <f>IF(Tim!K45=FIT!$E$1,Tim!K45,"")</f>
        <v/>
      </c>
      <c r="L43" s="185" t="str">
        <f>IF(Tim!L45=FIT!$E$1,Tim!L45,"")</f>
        <v/>
      </c>
      <c r="M43" s="185" t="str">
        <f>IF(Tim!M45=FIT!$E$1,Tim!M45,"")</f>
        <v/>
      </c>
      <c r="N43" s="185" t="str">
        <f>IF(Tim!N45=FIT!$E$1,Tim!N45,"")</f>
        <v/>
      </c>
      <c r="O43" s="185" t="str">
        <f>IF(Tim!O45=FIT!$E$1,Tim!O45,"")</f>
        <v/>
      </c>
      <c r="P43" s="185" t="str">
        <f>IF(Tim!P45=FIT!$E$1,Tim!P45,"")</f>
        <v/>
      </c>
      <c r="Q43" s="185" t="str">
        <f>IF(Tim!Q45=FIT!$E$1,Tim!Q45,"")</f>
        <v/>
      </c>
      <c r="R43" s="185" t="str">
        <f>IF(Tim!R45=FIT!$E$1,Tim!R45,"")</f>
        <v/>
      </c>
      <c r="S43" s="185" t="str">
        <f>IF(Tim!S45=FIT!$E$1,Tim!S45,"")</f>
        <v/>
      </c>
      <c r="T43" s="185" t="str">
        <f>IF(Tim!T45=FIT!$E$1,Tim!T45,"")</f>
        <v/>
      </c>
      <c r="U43" s="185" t="str">
        <f>IF(Tim!U45=FIT!$E$1,Tim!U45,"")</f>
        <v/>
      </c>
      <c r="V43" s="185" t="str">
        <f>IF(Tim!W45=FIT!$E$1,Tim!W45,"")</f>
        <v/>
      </c>
      <c r="W43" s="185" t="str">
        <f>IF(Tim!X45=FIT!$E$1,Tim!X45,"")</f>
        <v/>
      </c>
      <c r="X43" s="185" t="str">
        <f>IF(Tim!Y45=FIT!$E$1,Tim!Y45,"")</f>
        <v/>
      </c>
      <c r="Y43" s="185" t="str">
        <f>IF(Tim!Z45=FIT!$E$1,Tim!Z45,"")</f>
        <v/>
      </c>
      <c r="Z43" s="185" t="str">
        <f>IF(Tim!AA45=FIT!$E$1,Tim!AA45,"")</f>
        <v/>
      </c>
      <c r="AA43" s="185" t="str">
        <f>IF(Tim!AB45=FIT!$E$1,Tim!AB45,"")</f>
        <v/>
      </c>
      <c r="AB43" s="185" t="str">
        <f>IF(Tim!AC45=FIT!$E$1,Tim!AC45,"")</f>
        <v/>
      </c>
      <c r="AC43" s="185" t="str">
        <f>IF(Tim!AD45=FIT!$E$1,Tim!AD45,"")</f>
        <v/>
      </c>
      <c r="AD43" s="185" t="str">
        <f>IF(Tim!AE45=FIT!$E$1,Tim!AE45,"")</f>
        <v/>
      </c>
      <c r="AE43" s="185" t="str">
        <f>IF(Tim!AF45=FIT!$E$1,Tim!AF45,"")</f>
        <v/>
      </c>
      <c r="AF43" s="185" t="str">
        <f>IF(Tim!AG45=FIT!$E$1,Tim!AG45,"")</f>
        <v/>
      </c>
      <c r="AG43" s="185" t="str">
        <f>IF(Tim!AH45=FIT!$E$1,Tim!AH45,"")</f>
        <v/>
      </c>
      <c r="AH43" s="185" t="str">
        <f>IF(Tim!AI45=FIT!$E$1,Tim!AI45,"")</f>
        <v/>
      </c>
      <c r="AI43" s="185" t="str">
        <f>IF(Tim!AJ45=FIT!$E$1,Tim!AJ45,"")</f>
        <v/>
      </c>
      <c r="AJ43" s="185" t="str">
        <f>IF(Tim!AK45=FIT!$E$1,Tim!AK45,"")</f>
        <v/>
      </c>
      <c r="AK43" s="185" t="str">
        <f>IF(Tim!AL45=FIT!$E$1,Tim!AL45,"")</f>
        <v/>
      </c>
      <c r="AL43" s="185" t="str">
        <f>IF(Tim!AM45=FIT!$E$1,Tim!AM45,"")</f>
        <v/>
      </c>
      <c r="AM43" s="185" t="str">
        <f>IF(Tim!AN45=FIT!$E$1,Tim!AN45,"")</f>
        <v/>
      </c>
      <c r="AN43" s="185" t="str">
        <f>IF(Tim!AO45=FIT!$E$1,Tim!AO45,"")</f>
        <v/>
      </c>
      <c r="AO43" s="185" t="str">
        <f>IF(Tim!AP45=FIT!$E$1,Tim!AP45,"")</f>
        <v/>
      </c>
      <c r="AP43" s="185" t="str">
        <f>IF(Tim!AQ45=FIT!$E$1,Tim!AQ45,"")</f>
        <v/>
      </c>
      <c r="AQ43" s="185" t="str">
        <f>IF(Tim!AR45=FIT!$E$1,Tim!AR45,"")</f>
        <v/>
      </c>
      <c r="AR43" s="185" t="str">
        <f>IF(Tim!AS45=FIT!$E$1,Tim!AS45,"")</f>
        <v/>
      </c>
      <c r="AS43" s="185" t="str">
        <f>IF(Tim!AT45=FIT!$E$1,Tim!AT45,"")</f>
        <v/>
      </c>
      <c r="AT43" s="185" t="str">
        <f>IF(Tim!AU45=FIT!$E$1,Tim!AU45,"")</f>
        <v/>
      </c>
      <c r="AU43" s="185" t="str">
        <f>IF(Tim!AV45=FIT!$E$1,Tim!AV45,"")</f>
        <v/>
      </c>
      <c r="AV43" s="185" t="str">
        <f>IF(Tim!AW45=FIT!$E$1,Tim!AW45,"")</f>
        <v/>
      </c>
      <c r="AW43" s="186" t="str">
        <f>IF(Tim!AX45=FIT!$E$1,Tim!AX45,"")</f>
        <v/>
      </c>
      <c r="AX43" s="243" t="str">
        <f>IF(Tim!AY45=FIT!$E$1,Tim!AY45,"")</f>
        <v/>
      </c>
      <c r="AY43" s="185" t="str">
        <f>IF(Tim!AZ45=FIT!$E$1,Tim!AZ45,"")</f>
        <v/>
      </c>
      <c r="AZ43" s="185" t="str">
        <f>IF(Tim!BA45=FIT!$E$1,Tim!BA45,"")</f>
        <v/>
      </c>
      <c r="BA43" s="185" t="str">
        <f>IF(Tim!BB45=FIT!$E$1,Tim!BB45,"")</f>
        <v/>
      </c>
      <c r="BB43" s="185" t="str">
        <f>IF(Tim!BC45=FIT!$E$1,Tim!BC45,"")</f>
        <v/>
      </c>
      <c r="BC43" s="185" t="str">
        <f>IF(Tim!BD45=FIT!$E$1,Tim!BD45,"")</f>
        <v/>
      </c>
      <c r="BD43" s="185" t="str">
        <f>IF(Tim!BE45=FIT!$E$1,Tim!BE45,"")</f>
        <v/>
      </c>
      <c r="BE43" s="185" t="str">
        <f>IF(Tim!BF45=FIT!$E$1,Tim!BF45,"")</f>
        <v/>
      </c>
      <c r="BF43" s="185" t="str">
        <f>IF(Tim!BG45=FIT!$E$1,Tim!BG45,"")</f>
        <v/>
      </c>
      <c r="BG43" s="185" t="str">
        <f>IF(Tim!BH45=FIT!$E$1,Tim!BH45,"")</f>
        <v/>
      </c>
      <c r="BH43" s="185" t="str">
        <f>IF(Tim!BI45=FIT!$E$1,Tim!BI45,"")</f>
        <v/>
      </c>
      <c r="BI43" s="185" t="str">
        <f>IF(Tim!BJ45=FIT!$E$1,Tim!BJ45,"")</f>
        <v/>
      </c>
      <c r="BJ43" s="185" t="str">
        <f>IF(Tim!BK45=FIT!$E$1,Tim!BK45,"")</f>
        <v/>
      </c>
      <c r="BK43" s="185" t="str">
        <f>IF(Tim!BL45=FIT!$E$1,Tim!BL45,"")</f>
        <v/>
      </c>
      <c r="BL43" s="185" t="str">
        <f>IF(Tim!BM45=FIT!$E$1,Tim!BM45,"")</f>
        <v/>
      </c>
      <c r="BM43" s="185" t="str">
        <f>IF(Tim!BN45=FIT!$E$1,Tim!BN45,"")</f>
        <v/>
      </c>
      <c r="BN43" s="185" t="str">
        <f>IF(Tim!BO45=FIT!$E$1,Tim!BO45,"")</f>
        <v/>
      </c>
      <c r="BO43" s="185" t="str">
        <f>IF(Tim!BP45=FIT!$E$1,Tim!BP45,"")</f>
        <v/>
      </c>
      <c r="BP43" s="185" t="str">
        <f>IF(Tim!BQ45=FIT!$E$1,Tim!BQ45,"")</f>
        <v/>
      </c>
      <c r="BQ43" s="185" t="str">
        <f>IF(Tim!BR45=FIT!$E$1,Tim!BR45,"")</f>
        <v/>
      </c>
      <c r="BR43" s="185" t="str">
        <f>IF(Tim!BS45=FIT!$E$1,Tim!BS45,"")</f>
        <v/>
      </c>
      <c r="BS43" s="185" t="str">
        <f>IF(Tim!BT45=FIT!$E$1,Tim!BT45,"")</f>
        <v/>
      </c>
      <c r="BT43" s="185" t="str">
        <f>IF(Tim!BU45=FIT!$E$1,Tim!BU45,"")</f>
        <v/>
      </c>
      <c r="BU43" s="185" t="str">
        <f>IF(Tim!BV45=FIT!$E$1,Tim!BV45,"")</f>
        <v/>
      </c>
      <c r="BV43" s="185" t="str">
        <f>IF(Tim!BW45=FIT!$E$1,Tim!BW45,"")</f>
        <v/>
      </c>
      <c r="BW43" s="185" t="str">
        <f>IF(Tim!BX45=FIT!$E$1,Tim!BX45,"")</f>
        <v/>
      </c>
      <c r="BX43" s="185" t="str">
        <f>IF(Tim!BY45=FIT!$E$1,Tim!BY45,"")</f>
        <v/>
      </c>
      <c r="BY43" s="185" t="str">
        <f>IF(Tim!BZ45=FIT!$E$1,Tim!BZ45,"")</f>
        <v/>
      </c>
      <c r="BZ43" s="185" t="str">
        <f>IF(Tim!CA45=FIT!$E$1,Tim!CA45,"")</f>
        <v/>
      </c>
      <c r="CA43" s="185" t="str">
        <f>IF(Tim!CB45=FIT!$E$1,Tim!CB45,"")</f>
        <v/>
      </c>
      <c r="CB43" s="185" t="str">
        <f>IF(Tim!CC45=FIT!$E$1,Tim!CC45,"")</f>
        <v/>
      </c>
      <c r="CC43" s="185" t="str">
        <f>IF(Tim!CD45=FIT!$E$1,Tim!CD45,"")</f>
        <v/>
      </c>
      <c r="CD43" s="185" t="str">
        <f>IF(Tim!CE45=FIT!$E$1,Tim!CE45,"")</f>
        <v/>
      </c>
      <c r="CE43" s="185" t="str">
        <f>IF(Tim!CF45=FIT!$E$1,Tim!CF45,"")</f>
        <v/>
      </c>
      <c r="CF43" s="185" t="str">
        <f>IF(Tim!CG45=FIT!$E$1,Tim!CG45,"")</f>
        <v/>
      </c>
      <c r="CG43" s="185" t="str">
        <f>IF(Tim!CH45=FIT!$E$1,Tim!CH45,"")</f>
        <v/>
      </c>
      <c r="CH43" s="185" t="str">
        <f>IF(Tim!CI45=FIT!$E$1,Tim!CI45,"")</f>
        <v/>
      </c>
      <c r="CI43" s="185" t="str">
        <f>IF(Tim!CJ45=FIT!$E$1,Tim!CJ45,"")</f>
        <v/>
      </c>
      <c r="CJ43" s="185" t="str">
        <f>IF(Tim!CK45=FIT!$E$1,Tim!CK45,"")</f>
        <v/>
      </c>
      <c r="CK43" s="185" t="str">
        <f>IF(Tim!CL45=FIT!$E$1,Tim!CL45,"")</f>
        <v/>
      </c>
      <c r="CL43" s="185" t="str">
        <f>IF(Tim!CM45=FIT!$E$1,Tim!CM45,"")</f>
        <v/>
      </c>
      <c r="CM43" s="185" t="str">
        <f>IF(Tim!CN45=FIT!$E$1,Tim!CN45,"")</f>
        <v/>
      </c>
      <c r="CN43" s="185" t="str">
        <f>IF(Tim!CO45=FIT!$E$1,Tim!CO45,"")</f>
        <v/>
      </c>
      <c r="CO43" s="185" t="str">
        <f>IF(Tim!CP45=FIT!$E$1,Tim!CP45,"")</f>
        <v/>
      </c>
      <c r="CP43" s="185" t="str">
        <f>IF(Tim!CQ45=FIT!$E$1,Tim!CQ45,"")</f>
        <v/>
      </c>
      <c r="CQ43" s="185" t="str">
        <f>IF(Tim!CR45=FIT!$E$1,Tim!CR45,"")</f>
        <v/>
      </c>
      <c r="CR43" s="185" t="str">
        <f>IF(Tim!CS45=FIT!$E$1,Tim!CS45,"")</f>
        <v/>
      </c>
      <c r="CS43" s="185" t="str">
        <f>IF(Tim!CT45=FIT!$E$1,Tim!CT45,"")</f>
        <v/>
      </c>
      <c r="CT43" s="185" t="str">
        <f>IF(Tim!CU45=FIT!$E$1,Tim!CU45,"")</f>
        <v/>
      </c>
      <c r="CU43" s="185" t="str">
        <f>IF(Tim!CV45=FIT!$E$1,Tim!CV45,"")</f>
        <v/>
      </c>
      <c r="CV43" s="185" t="str">
        <f>IF(Tim!CW45=FIT!$E$1,Tim!CW45,"")</f>
        <v/>
      </c>
      <c r="CW43" s="185" t="str">
        <f>IF(Tim!CX45=FIT!$E$1,Tim!CX45,"")</f>
        <v/>
      </c>
      <c r="CX43" s="185" t="str">
        <f>IF(Tim!CY45=FIT!$E$1,Tim!CY45,"")</f>
        <v/>
      </c>
      <c r="CY43" s="185" t="str">
        <f>IF(Tim!CZ45=FIT!$E$1,Tim!CZ45,"")</f>
        <v/>
      </c>
      <c r="CZ43" s="185" t="str">
        <f>IF(Tim!DA45=FIT!$E$1,Tim!DA45,"")</f>
        <v/>
      </c>
      <c r="DA43" s="185" t="str">
        <f>IF(Tim!DB45=FIT!$E$1,Tim!DB45,"")</f>
        <v/>
      </c>
      <c r="DB43" s="185" t="str">
        <f>IF(Tim!DC45=FIT!$E$1,Tim!DC45,"")</f>
        <v/>
      </c>
      <c r="DC43" s="185" t="str">
        <f>IF(Tim!DD45=FIT!$E$1,Tim!DD45,"")</f>
        <v/>
      </c>
      <c r="DD43" s="185" t="str">
        <f>IF(Tim!DE45=FIT!$E$1,Tim!DE45,"")</f>
        <v/>
      </c>
      <c r="DE43" s="185" t="str">
        <f>IF(Tim!DF45=FIT!$E$1,Tim!DF45,"")</f>
        <v/>
      </c>
      <c r="DF43" s="185" t="str">
        <f>IF(Tim!DG45=FIT!$E$1,Tim!DG45,"")</f>
        <v/>
      </c>
      <c r="DG43" s="185" t="str">
        <f>IF(Tim!DH45=FIT!$E$1,Tim!DH45,"")</f>
        <v/>
      </c>
      <c r="DH43" s="185" t="str">
        <f>IF(Tim!DI45=FIT!$E$1,Tim!DI45,"")</f>
        <v/>
      </c>
      <c r="DI43" s="185" t="str">
        <f>IF(Tim!DM45=FIT!$E$1,Tim!DM45,"")</f>
        <v/>
      </c>
      <c r="DJ43" s="185" t="str">
        <f>IF(Tim!DN45=FIT!$E$1,Tim!DN45,"")</f>
        <v/>
      </c>
      <c r="DK43" s="185" t="str">
        <f>IF(Tim!DO45=FIT!$E$1,Tim!DO45,"")</f>
        <v/>
      </c>
      <c r="DL43" s="185" t="str">
        <f>IF(Tim!DP45=FIT!$E$1,Tim!DP45,"")</f>
        <v/>
      </c>
      <c r="DM43" s="185" t="str">
        <f>IF(Tim!DQ45=FIT!$E$1,Tim!DQ45,"")</f>
        <v/>
      </c>
      <c r="DN43" s="185" t="str">
        <f>IF(Tim!DR45=FIT!$E$1,Tim!DR45,"")</f>
        <v/>
      </c>
      <c r="DO43" s="185" t="str">
        <f>IF(Tim!DS45=FIT!$E$1,Tim!DS45,"")</f>
        <v/>
      </c>
      <c r="DP43" s="185" t="str">
        <f>IF(Tim!DT45=FIT!$E$1,Tim!DT45,"")</f>
        <v/>
      </c>
      <c r="DQ43" s="185" t="str">
        <f>IF(Tim!DU45=FIT!$E$1,Tim!DU45,"")</f>
        <v/>
      </c>
      <c r="DR43" s="185" t="str">
        <f>IF(Tim!DV45=FIT!$E$1,Tim!DV45,"")</f>
        <v/>
      </c>
      <c r="DS43" s="185" t="str">
        <f>IF(Tim!DW45=FIT!$E$1,Tim!DW45,"")</f>
        <v/>
      </c>
      <c r="DT43" s="185" t="str">
        <f>IF(Tim!DX45=FIT!$E$1,Tim!DX45,"")</f>
        <v/>
      </c>
      <c r="DU43" s="185" t="str">
        <f>IF(Tim!DY45=FIT!$E$1,Tim!DY45,"")</f>
        <v/>
      </c>
      <c r="DV43" s="185" t="str">
        <f>IF(Tim!DZ45=FIT!$E$1,Tim!DZ45,"")</f>
        <v/>
      </c>
      <c r="DW43" s="185" t="str">
        <f>IF(Tim!EA45=FIT!$E$1,Tim!EA45,"")</f>
        <v/>
      </c>
      <c r="DX43" s="185" t="str">
        <f>IF(Tim!EB45=FIT!$E$1,Tim!EB45,"")</f>
        <v/>
      </c>
      <c r="DY43" s="185" t="str">
        <f>IF(Tim!EC45=FIT!$E$1,Tim!EC45,"")</f>
        <v/>
      </c>
      <c r="DZ43" s="185" t="str">
        <f>IF(Tim!ED45=FIT!$E$1,Tim!ED45,"")</f>
        <v/>
      </c>
      <c r="EA43" s="185" t="str">
        <f>IF(Tim!EE45=FIT!$E$1,Tim!EE45,"")</f>
        <v/>
      </c>
      <c r="EB43" s="185" t="str">
        <f>IF(Tim!EF45=FIT!$E$1,Tim!EF45,"")</f>
        <v/>
      </c>
      <c r="EC43" s="185" t="str">
        <f>IF(Tim!EG45=FIT!$E$1,Tim!EG45,"")</f>
        <v/>
      </c>
      <c r="ED43" s="185" t="str">
        <f>IF(Tim!EH45=FIT!$E$1,Tim!EH45,"")</f>
        <v/>
      </c>
      <c r="EE43" s="185" t="str">
        <f>IF(Tim!EI45=FIT!$E$1,Tim!EI45,"")</f>
        <v/>
      </c>
      <c r="EF43" s="185" t="str">
        <f>IF(Tim!EJ45=FIT!$E$1,Tim!EJ45,"")</f>
        <v/>
      </c>
      <c r="EG43" s="185" t="str">
        <f>IF(Tim!EK45=FIT!$E$1,Tim!EK45,"")</f>
        <v/>
      </c>
      <c r="EH43" s="185" t="str">
        <f>IF(Tim!EL45=FIT!$E$1,Tim!EL45,"")</f>
        <v/>
      </c>
      <c r="EI43" s="185" t="str">
        <f>IF(Tim!EM45=FIT!$E$1,Tim!EM45,"")</f>
        <v/>
      </c>
      <c r="EJ43" s="185" t="str">
        <f>IF(Tim!EN45=FIT!$E$1,Tim!EN45,"")</f>
        <v/>
      </c>
      <c r="EK43" s="185" t="str">
        <f>IF(Tim!EO45=FIT!$E$1,Tim!EO45,"")</f>
        <v/>
      </c>
      <c r="EL43" s="185" t="str">
        <f>IF(Tim!EP45=FIT!$E$1,Tim!EP45,"")</f>
        <v/>
      </c>
      <c r="EM43" s="185" t="str">
        <f>IF(Tim!EQ45=FIT!$E$1,Tim!EQ45,"")</f>
        <v/>
      </c>
      <c r="EN43" s="185" t="str">
        <f>IF(Tim!ER45=FIT!$E$1,Tim!ER45,"")</f>
        <v/>
      </c>
      <c r="EO43" s="185" t="str">
        <f>IF(Tim!ES45=FIT!$E$1,Tim!ES45,"")</f>
        <v/>
      </c>
      <c r="EP43" s="185" t="str">
        <f>IF(Tim!ET45=FIT!$E$1,Tim!ET45,"")</f>
        <v/>
      </c>
      <c r="EQ43" s="185" t="str">
        <f>IF(Tim!EU45=FIT!$E$1,Tim!EU45,"")</f>
        <v/>
      </c>
      <c r="ER43" s="185" t="str">
        <f>IF(Tim!EV45=FIT!$E$1,Tim!EV45,"")</f>
        <v/>
      </c>
      <c r="ES43" s="185" t="str">
        <f>IF(Tim!EW45=FIT!$E$1,Tim!EW45,"")</f>
        <v/>
      </c>
      <c r="ET43" s="185" t="str">
        <f>IF(Tim!EX45=FIT!$E$1,Tim!EX45,"")</f>
        <v/>
      </c>
      <c r="EU43" s="185" t="str">
        <f>IF(Tim!EY45=FIT!$E$1,Tim!EY45,"")</f>
        <v/>
      </c>
      <c r="EV43" s="185" t="str">
        <f>IF(Tim!EZ45=FIT!$E$1,Tim!EZ45,"")</f>
        <v/>
      </c>
      <c r="EW43" s="185" t="str">
        <f>IF(Tim!FA45=FIT!$E$1,Tim!FA45,"")</f>
        <v/>
      </c>
      <c r="EX43" s="185" t="str">
        <f>IF(Tim!FB45=FIT!$E$1,Tim!FB45,"")</f>
        <v/>
      </c>
      <c r="EY43" s="185" t="str">
        <f>IF(Tim!FC45=FIT!$E$1,Tim!FC45,"")</f>
        <v/>
      </c>
      <c r="EZ43" s="185" t="str">
        <f>IF(Tim!FD45=FIT!$E$1,Tim!FD45,"")</f>
        <v/>
      </c>
      <c r="FA43" s="185" t="str">
        <f>IF(Tim!FE45=FIT!$E$1,Tim!FE45,"")</f>
        <v/>
      </c>
      <c r="FB43" s="185" t="str">
        <f>IF(Tim!FF45=FIT!$E$1,Tim!FF45,"")</f>
        <v/>
      </c>
      <c r="FC43" s="185" t="str">
        <f>IF(Tim!FG45=FIT!$E$1,Tim!FG45,"")</f>
        <v/>
      </c>
      <c r="FD43" s="185" t="str">
        <f>IF(Tim!FH45=FIT!$E$1,Tim!FH45,"")</f>
        <v/>
      </c>
      <c r="FE43" s="185" t="str">
        <f>IF(Tim!FI45=FIT!$E$1,Tim!FI45,"")</f>
        <v/>
      </c>
      <c r="FF43" s="185" t="str">
        <f>IF(Tim!FJ45=FIT!$E$1,Tim!FJ45,"")</f>
        <v/>
      </c>
      <c r="FG43" s="185" t="str">
        <f>IF(Tim!FK45=FIT!$E$1,Tim!FK45,"")</f>
        <v/>
      </c>
      <c r="FH43" s="185" t="str">
        <f>IF(Tim!FL45=FIT!$E$1,Tim!FL45,"")</f>
        <v/>
      </c>
      <c r="FI43" s="185" t="str">
        <f>IF(Tim!FM45=FIT!$E$1,Tim!FM45,"")</f>
        <v/>
      </c>
      <c r="FJ43" s="185" t="str">
        <f>IF(Tim!FN45=FIT!$E$1,Tim!FN45,"")</f>
        <v/>
      </c>
      <c r="FK43" s="185" t="str">
        <f>IF(Tim!FO45=FIT!$E$1,Tim!FO45,"")</f>
        <v/>
      </c>
      <c r="FL43" s="185" t="str">
        <f>IF(Tim!FP45=FIT!$E$1,Tim!FP45,"")</f>
        <v/>
      </c>
      <c r="FM43" s="185" t="str">
        <f>IF(Tim!FQ45=FIT!$E$1,Tim!FQ45,"")</f>
        <v/>
      </c>
      <c r="FN43" s="185" t="str">
        <f>IF(Tim!FR45=FIT!$E$1,Tim!FR45,"")</f>
        <v/>
      </c>
      <c r="FO43" s="185" t="str">
        <f>IF(Tim!FS45=FIT!$E$1,Tim!FS45,"")</f>
        <v/>
      </c>
      <c r="FP43" s="185" t="str">
        <f>IF(Tim!FT45=FIT!$E$1,Tim!FT45,"")</f>
        <v/>
      </c>
      <c r="FQ43" s="185" t="str">
        <f>IF(Tim!FU45=FIT!$E$1,Tim!FU45,"")</f>
        <v/>
      </c>
      <c r="FR43" s="185" t="str">
        <f>IF(Tim!FV45=FIT!$E$1,Tim!FV45,"")</f>
        <v/>
      </c>
      <c r="FS43" s="185" t="str">
        <f>IF(Tim!FW45=FIT!$E$1,Tim!FW45,"")</f>
        <v/>
      </c>
      <c r="FT43" s="185" t="str">
        <f>IF(Tim!FX45=FIT!$E$1,Tim!FX45,"")</f>
        <v/>
      </c>
      <c r="FU43" s="185" t="str">
        <f>IF(Tim!FY45=FIT!$E$1,Tim!FY45,"")</f>
        <v/>
      </c>
      <c r="FV43" s="185" t="str">
        <f>IF(Tim!FZ45=FIT!$E$1,Tim!FZ45,"")</f>
        <v/>
      </c>
      <c r="FW43" s="185" t="str">
        <f>IF(Tim!GA45=FIT!$E$1,Tim!GA45,"")</f>
        <v/>
      </c>
      <c r="FX43" s="185" t="str">
        <f>IF(Tim!GB45=FIT!$E$1,Tim!GB45,"")</f>
        <v/>
      </c>
      <c r="FY43" s="185" t="str">
        <f>IF(Tim!GC45=FIT!$E$1,Tim!GC45,"")</f>
        <v/>
      </c>
      <c r="FZ43" s="185" t="str">
        <f>IF(Tim!GD45=FIT!$E$1,Tim!GD45,"")</f>
        <v/>
      </c>
      <c r="GA43" s="185" t="str">
        <f>IF(Tim!GE45=FIT!$E$1,Tim!GE45,"")</f>
        <v/>
      </c>
      <c r="GB43" s="185" t="str">
        <f>IF(Tim!GF45=FIT!$E$1,Tim!GF45,"")</f>
        <v/>
      </c>
      <c r="GC43" s="185" t="str">
        <f>IF(Tim!GG45=FIT!$E$1,Tim!GG45,"")</f>
        <v/>
      </c>
      <c r="GD43" s="185" t="str">
        <f>IF(Tim!GH45=FIT!$E$1,Tim!GH45,"")</f>
        <v/>
      </c>
      <c r="GE43" s="185" t="str">
        <f>IF(Tim!GI45=FIT!$E$1,Tim!GI45,"")</f>
        <v/>
      </c>
      <c r="GF43" s="185" t="str">
        <f>IF(Tim!GJ45=FIT!$E$1,Tim!GJ45,"")</f>
        <v/>
      </c>
      <c r="GG43" s="185" t="str">
        <f>IF(Tim!GK45=FIT!$E$1,Tim!GK45,"")</f>
        <v/>
      </c>
      <c r="GH43" s="185" t="str">
        <f>IF(Tim!GL45=FIT!$E$1,Tim!GL45,"")</f>
        <v/>
      </c>
      <c r="GI43" s="185" t="str">
        <f>IF(Tim!GM45=FIT!$E$1,Tim!GM45,"")</f>
        <v/>
      </c>
      <c r="GJ43" s="185" t="str">
        <f>IF(Tim!GO45=FIT!$E$1,Tim!GO45,"")</f>
        <v/>
      </c>
      <c r="GK43" s="185" t="e">
        <f>IF(Tim!#REF!=FIT!$E$1,Tim!#REF!,"")</f>
        <v>#REF!</v>
      </c>
      <c r="GL43" s="185" t="str">
        <f>IF(Tim!GP45=FIT!$E$1,Tim!GP45,"")</f>
        <v/>
      </c>
      <c r="GM43" s="185" t="str">
        <f>IF(Tim!GQ45=FIT!$E$1,Tim!GQ45,"")</f>
        <v/>
      </c>
      <c r="GN43" s="185" t="str">
        <f>IF(Tim!GR45=FIT!$E$1,Tim!GR45,"")</f>
        <v/>
      </c>
      <c r="GO43" s="185" t="str">
        <f>IF(Tim!GS45=FIT!$E$1,Tim!GS45,"")</f>
        <v/>
      </c>
      <c r="GP43" s="185" t="str">
        <f>IF(Tim!GT45=FIT!$E$1,Tim!GT45,"")</f>
        <v/>
      </c>
      <c r="GQ43" s="185" t="str">
        <f>IF(Tim!GU45=FIT!$E$1,Tim!GU45,"")</f>
        <v/>
      </c>
      <c r="GR43" s="185" t="str">
        <f>IF(Tim!GV45=FIT!$E$1,Tim!GV45,"")</f>
        <v/>
      </c>
      <c r="GS43" s="185" t="str">
        <f>IF(Tim!GW45=FIT!$E$1,Tim!GW45,"")</f>
        <v/>
      </c>
      <c r="GT43" s="185" t="str">
        <f>IF(Tim!GX45=FIT!$E$1,Tim!GX45,"")</f>
        <v/>
      </c>
      <c r="GU43" s="185" t="str">
        <f>IF(Tim!GY45=FIT!$E$1,Tim!GY45,"")</f>
        <v/>
      </c>
      <c r="GV43" s="185" t="str">
        <f>IF(Tim!GZ45=FIT!$E$1,Tim!GZ45,"")</f>
        <v/>
      </c>
      <c r="GW43" s="185" t="str">
        <f>IF(Tim!HA45=FIT!$E$1,Tim!HA45,"")</f>
        <v/>
      </c>
      <c r="GX43" s="185" t="str">
        <f>IF(Tim!HB45=FIT!$E$1,Tim!HB45,"")</f>
        <v/>
      </c>
      <c r="GY43" s="185" t="str">
        <f>IF(Tim!HC45=FIT!$E$1,Tim!HC45,"")</f>
        <v/>
      </c>
      <c r="GZ43" s="185" t="str">
        <f>IF(Tim!HD45=FIT!$E$1,Tim!HD45,"")</f>
        <v/>
      </c>
      <c r="HA43" s="185" t="str">
        <f>IF(Tim!HE45=FIT!$E$1,Tim!HE45,"")</f>
        <v/>
      </c>
      <c r="HB43" s="185" t="str">
        <f>IF(Tim!HF45=FIT!$E$1,Tim!HF45,"")</f>
        <v/>
      </c>
      <c r="HC43" s="185" t="str">
        <f>IF(Tim!HG45=FIT!$E$1,Tim!HG45,"")</f>
        <v/>
      </c>
      <c r="HD43" s="185" t="str">
        <f>IF(Tim!HH45=FIT!$E$1,Tim!HH45,"")</f>
        <v/>
      </c>
      <c r="HE43" s="185" t="str">
        <f>IF(Tim!HI45=FIT!$E$1,Tim!HI45,"")</f>
        <v/>
      </c>
      <c r="HF43" s="185" t="str">
        <f>IF(Tim!HJ45=FIT!$E$1,Tim!HJ45,"")</f>
        <v/>
      </c>
      <c r="HG43" s="185" t="str">
        <f>IF(Tim!HK45=FIT!$E$1,Tim!HK45,"")</f>
        <v/>
      </c>
      <c r="HH43" s="185" t="str">
        <f>IF(Tim!HL45=FIT!$E$1,Tim!HL45,"")</f>
        <v/>
      </c>
      <c r="HI43" s="185" t="str">
        <f>IF(Tim!HM45=FIT!$E$1,Tim!HM45,"")</f>
        <v/>
      </c>
      <c r="HJ43" s="185" t="str">
        <f>IF(Tim!HN45=FIT!$E$1,Tim!HN45,"")</f>
        <v/>
      </c>
      <c r="HK43" s="185" t="str">
        <f>IF(Tim!HO45=FIT!$E$1,Tim!HO45,"")</f>
        <v/>
      </c>
      <c r="HL43" s="185" t="str">
        <f>IF(Tim!HP45=FIT!$E$1,Tim!HP45,"")</f>
        <v/>
      </c>
      <c r="HM43" s="185" t="str">
        <f>IF(Tim!HQ45=FIT!$E$1,Tim!HQ45,"")</f>
        <v/>
      </c>
      <c r="HN43" s="185" t="str">
        <f>IF(Tim!HR45=FIT!$E$1,Tim!HR45,"")</f>
        <v/>
      </c>
      <c r="HO43" s="185" t="str">
        <f>IF(Tim!HS45=FIT!$E$1,Tim!HS45,"")</f>
        <v/>
      </c>
      <c r="HP43" s="185" t="str">
        <f>IF(Tim!HT45=FIT!$E$1,Tim!HT45,"")</f>
        <v/>
      </c>
      <c r="HQ43" s="185" t="str">
        <f>IF(Tim!HU45=FIT!$E$1,Tim!HU45,"")</f>
        <v/>
      </c>
      <c r="HR43" s="185" t="str">
        <f>IF(Tim!HV45=FIT!$E$1,Tim!HV45,"")</f>
        <v/>
      </c>
      <c r="HS43" s="185" t="str">
        <f>IF(Tim!HW45=FIT!$E$1,Tim!HW45,"")</f>
        <v/>
      </c>
      <c r="HT43" s="185" t="str">
        <f>IF(Tim!HX45=FIT!$E$1,Tim!HX45,"")</f>
        <v/>
      </c>
      <c r="HU43" s="185" t="str">
        <f>IF(Tim!HY45=FIT!$E$1,Tim!HY45,"")</f>
        <v/>
      </c>
      <c r="HV43" s="185" t="str">
        <f>IF(Tim!HZ45=FIT!$E$1,Tim!HZ45,"")</f>
        <v/>
      </c>
      <c r="HW43" s="185" t="str">
        <f>IF(Tim!IA45=FIT!$E$1,Tim!IA45,"")</f>
        <v/>
      </c>
      <c r="HX43" s="185" t="str">
        <f>IF(Tim!IB45=FIT!$E$1,Tim!IB45,"")</f>
        <v/>
      </c>
      <c r="HY43" s="185" t="str">
        <f>IF(Tim!IC45=FIT!$E$1,Tim!IC45,"")</f>
        <v/>
      </c>
      <c r="HZ43" s="185" t="str">
        <f>IF(Tim!ID45=FIT!$E$1,Tim!ID45,"")</f>
        <v/>
      </c>
      <c r="IA43" s="185" t="str">
        <f>IF(Tim!IE45=FIT!$E$1,Tim!IE45,"")</f>
        <v/>
      </c>
      <c r="IB43" s="185" t="str">
        <f>IF(Tim!IF45=FIT!$E$1,Tim!IF45,"")</f>
        <v/>
      </c>
      <c r="IC43" s="185" t="str">
        <f>IF(Tim!IG45=FIT!$E$1,Tim!IG45,"")</f>
        <v/>
      </c>
      <c r="ID43" s="185" t="str">
        <f>IF(Tim!IH45=FIT!$E$1,Tim!IH45,"")</f>
        <v/>
      </c>
      <c r="IE43" s="185" t="str">
        <f>IF(Tim!II45=FIT!$E$1,Tim!II45,"")</f>
        <v/>
      </c>
      <c r="IF43" s="185" t="str">
        <f>IF(Tim!IJ45=FIT!$E$1,Tim!IJ45,"")</f>
        <v/>
      </c>
      <c r="IG43" s="185" t="str">
        <f>IF(Tim!IK45=FIT!$E$1,Tim!IK45,"")</f>
        <v/>
      </c>
      <c r="IH43" s="185" t="str">
        <f>IF(Tim!IL45=FIT!$E$1,Tim!IL45,"")</f>
        <v/>
      </c>
      <c r="II43" s="185" t="str">
        <f>IF(Tim!IM45=FIT!$E$1,Tim!IM45,"")</f>
        <v/>
      </c>
      <c r="IJ43" s="185" t="str">
        <f>IF(Tim!IN45=FIT!$E$1,Tim!IN45,"")</f>
        <v/>
      </c>
      <c r="IK43" s="185" t="str">
        <f>IF(Tim!IO45=FIT!$E$1,Tim!IO45,"")</f>
        <v/>
      </c>
      <c r="IL43" s="185" t="str">
        <f>IF(Tim!IP45=FIT!$E$1,Tim!IP45,"")</f>
        <v/>
      </c>
      <c r="IM43" s="185" t="str">
        <f>IF(Tim!IQ45=FIT!$E$1,Tim!IQ45,"")</f>
        <v/>
      </c>
      <c r="IN43" s="185" t="str">
        <f>IF(Tim!IR45=FIT!$E$1,Tim!IR45,"")</f>
        <v/>
      </c>
      <c r="IO43" s="185" t="str">
        <f>IF(Tim!IS45=FIT!$E$1,Tim!IS45,"")</f>
        <v/>
      </c>
      <c r="IP43" s="185" t="str">
        <f>IF(Tim!IT45=FIT!$E$1,Tim!IT45,"")</f>
        <v/>
      </c>
      <c r="IQ43" s="185" t="str">
        <f>IF(Tim!IU45=FIT!$E$1,Tim!IU45,"")</f>
        <v/>
      </c>
      <c r="IR43" s="185" t="str">
        <f>IF(Tim!IV45=FIT!$E$1,Tim!IV45,"")</f>
        <v/>
      </c>
      <c r="IS43" s="185" t="str">
        <f>IF(Tim!IW45=FIT!$E$1,Tim!IW45,"")</f>
        <v/>
      </c>
      <c r="IT43" s="185" t="str">
        <f>IF(Tim!IX45=FIT!$E$1,Tim!IX45,"")</f>
        <v/>
      </c>
      <c r="IU43" s="185" t="str">
        <f>IF(Tim!IY45=FIT!$E$1,Tim!IY45,"")</f>
        <v/>
      </c>
      <c r="IV43" s="185" t="str">
        <f>IF(Tim!IZ45=FIT!$E$1,Tim!IZ45,"")</f>
        <v/>
      </c>
      <c r="IW43" s="185" t="str">
        <f>IF(Tim!JA45=FIT!$E$1,Tim!JA45,"")</f>
        <v/>
      </c>
      <c r="IX43" s="185" t="str">
        <f>IF(Tim!JB45=FIT!$E$1,Tim!JB45,"")</f>
        <v/>
      </c>
      <c r="IY43" s="185" t="str">
        <f>IF(Tim!JC45=FIT!$E$1,Tim!JC45,"")</f>
        <v/>
      </c>
      <c r="IZ43" s="185" t="str">
        <f>IF(Tim!JD45=FIT!$E$1,Tim!JD45,"")</f>
        <v/>
      </c>
      <c r="JA43" s="185" t="str">
        <f>IF(Tim!JE45=FIT!$E$1,Tim!JE45,"")</f>
        <v/>
      </c>
      <c r="JB43" s="185" t="str">
        <f>IF(Tim!JF45=FIT!$E$1,Tim!JF45,"")</f>
        <v/>
      </c>
      <c r="JC43" s="185" t="str">
        <f>IF(Tim!JG45=FIT!$E$1,Tim!JG45,"")</f>
        <v/>
      </c>
      <c r="JD43" s="185" t="str">
        <f>IF(Tim!JH45=FIT!$E$1,Tim!JH45,"")</f>
        <v/>
      </c>
      <c r="JE43" s="185" t="str">
        <f>IF(Tim!JI45=FIT!$E$1,Tim!JI45,"")</f>
        <v/>
      </c>
      <c r="JF43" s="185" t="str">
        <f>IF(Tim!JJ45=FIT!$E$1,Tim!JJ45,"")</f>
        <v/>
      </c>
      <c r="JG43" s="185" t="str">
        <f>IF(Tim!JK45=FIT!$E$1,Tim!JK45,"")</f>
        <v/>
      </c>
      <c r="JH43" s="185" t="str">
        <f>IF(Tim!JL45=FIT!$E$1,Tim!JL45,"")</f>
        <v/>
      </c>
      <c r="JI43" s="185" t="str">
        <f>IF(Tim!JM45=FIT!$E$1,Tim!JM45,"")</f>
        <v/>
      </c>
      <c r="JJ43" s="185" t="str">
        <f>IF(Tim!JN45=FIT!$E$1,Tim!JN45,"")</f>
        <v/>
      </c>
      <c r="JK43" s="185" t="str">
        <f>IF(Tim!JO45=FIT!$E$1,Tim!JO45,"")</f>
        <v/>
      </c>
      <c r="JL43" s="185" t="str">
        <f>IF(Tim!JP45=FIT!$E$1,Tim!JP45,"")</f>
        <v/>
      </c>
      <c r="JM43" s="185" t="str">
        <f>IF(Tim!JQ45=FIT!$E$1,Tim!JQ45,"")</f>
        <v/>
      </c>
      <c r="JN43" s="185" t="str">
        <f>IF(Tim!JR45=FIT!$E$1,Tim!JR45,"")</f>
        <v/>
      </c>
      <c r="JO43" s="185" t="str">
        <f>IF(Tim!JS45=FIT!$E$1,Tim!JS45,"")</f>
        <v/>
      </c>
      <c r="JP43" s="185" t="str">
        <f>IF(Tim!JT45=FIT!$E$1,Tim!JT45,"")</f>
        <v/>
      </c>
      <c r="JQ43" s="185" t="str">
        <f>IF(Tim!JU45=FIT!$E$1,Tim!JU45,"")</f>
        <v/>
      </c>
      <c r="JR43" s="185" t="str">
        <f>IF(Tim!JV45=FIT!$E$1,Tim!JV45,"")</f>
        <v/>
      </c>
      <c r="JS43" s="185" t="str">
        <f>IF(Tim!JW45=FIT!$E$1,Tim!JW45,"")</f>
        <v/>
      </c>
      <c r="JT43" s="185" t="str">
        <f>IF(Tim!JX45=FIT!$E$1,Tim!JX45,"")</f>
        <v/>
      </c>
      <c r="JU43" s="185" t="str">
        <f>IF(Tim!JY45=FIT!$E$1,Tim!JY45,"")</f>
        <v/>
      </c>
      <c r="JV43" s="185" t="str">
        <f>IF(Tim!JZ45=FIT!$E$1,Tim!JZ45,"")</f>
        <v/>
      </c>
      <c r="JW43" s="185" t="str">
        <f>IF(Tim!KA45=FIT!$E$1,Tim!KA45,"")</f>
        <v/>
      </c>
      <c r="JX43" s="185" t="str">
        <f>IF(Tim!KB45=FIT!$E$1,Tim!KB45,"")</f>
        <v/>
      </c>
      <c r="JY43" s="185" t="str">
        <f>IF(Tim!KC45=FIT!$E$1,Tim!KC45,"")</f>
        <v/>
      </c>
      <c r="JZ43" s="185" t="str">
        <f>IF(Tim!KD45=FIT!$E$1,Tim!KD45,"")</f>
        <v/>
      </c>
      <c r="KA43" s="185" t="str">
        <f>IF(Tim!KE45=FIT!$E$1,Tim!KE45,"")</f>
        <v/>
      </c>
      <c r="KB43" s="185" t="str">
        <f>IF(Tim!KF45=FIT!$E$1,Tim!KF45,"")</f>
        <v/>
      </c>
      <c r="KC43" s="185" t="str">
        <f>IF(Tim!KG45=FIT!$E$1,Tim!KG45,"")</f>
        <v/>
      </c>
      <c r="KD43" s="185" t="str">
        <f>IF(Tim!KH45=FIT!$E$1,Tim!KH45,"")</f>
        <v/>
      </c>
      <c r="KE43" s="185" t="str">
        <f>IF(Tim!KI45=FIT!$E$1,Tim!KI45,"")</f>
        <v/>
      </c>
      <c r="KF43" s="185" t="str">
        <f>IF(Tim!KJ45=FIT!$E$1,Tim!KJ45,"")</f>
        <v/>
      </c>
      <c r="KG43" s="185" t="str">
        <f>IF(Tim!KK45=FIT!$E$1,Tim!KK45,"")</f>
        <v/>
      </c>
      <c r="KH43" s="185" t="str">
        <f>IF(Tim!KL45=FIT!$E$1,Tim!KL45,"")</f>
        <v/>
      </c>
      <c r="KI43" s="185" t="str">
        <f>IF(Tim!KM45=FIT!$E$1,Tim!KM45,"")</f>
        <v/>
      </c>
      <c r="KJ43" s="185" t="str">
        <f>IF(Tim!KN45=FIT!$E$1,Tim!KN45,"")</f>
        <v/>
      </c>
      <c r="KK43" s="185" t="str">
        <f>IF(Tim!KO45=FIT!$E$1,Tim!KO45,"")</f>
        <v/>
      </c>
      <c r="KL43" s="185" t="str">
        <f>IF(Tim!KP45=FIT!$E$1,Tim!KP45,"")</f>
        <v/>
      </c>
      <c r="KM43" s="185" t="str">
        <f>IF(Tim!KQ45=FIT!$E$1,Tim!KQ45,"")</f>
        <v/>
      </c>
      <c r="KN43" s="185" t="str">
        <f>IF(Tim!KR45=FIT!$E$1,Tim!KR45,"")</f>
        <v/>
      </c>
      <c r="KO43" s="185" t="str">
        <f>IF(Tim!KS45=FIT!$E$1,Tim!KS45,"")</f>
        <v/>
      </c>
      <c r="KP43" s="185" t="str">
        <f>IF(Tim!KT45=FIT!$E$1,Tim!KT45,"")</f>
        <v/>
      </c>
      <c r="KQ43" s="185" t="str">
        <f>IF(Tim!KU45=FIT!$E$1,Tim!KU45,"")</f>
        <v/>
      </c>
      <c r="KR43" s="185" t="str">
        <f>IF(Tim!KV45=FIT!$E$1,Tim!KV45,"")</f>
        <v/>
      </c>
      <c r="KS43" s="185" t="str">
        <f>IF(Tim!KW45=FIT!$E$1,Tim!KW45,"")</f>
        <v/>
      </c>
      <c r="KT43" s="185" t="str">
        <f>IF(Tim!KX45=FIT!$E$1,Tim!KX45,"")</f>
        <v/>
      </c>
      <c r="KU43" s="185" t="str">
        <f>IF(Tim!KY45=FIT!$E$1,Tim!KY45,"")</f>
        <v/>
      </c>
      <c r="KV43" s="185" t="str">
        <f>IF(Tim!KZ45=FIT!$E$1,Tim!KZ45,"")</f>
        <v/>
      </c>
      <c r="KW43" s="185" t="str">
        <f>IF(Tim!LA45=FIT!$E$1,Tim!LA45,"")</f>
        <v/>
      </c>
      <c r="KX43" s="185" t="str">
        <f>IF(Tim!LB45=FIT!$E$1,Tim!LB45,"")</f>
        <v/>
      </c>
      <c r="KY43" s="185" t="str">
        <f>IF(Tim!LC45=FIT!$E$1,Tim!LC45,"")</f>
        <v/>
      </c>
      <c r="KZ43" s="185" t="str">
        <f>IF(Tim!LD45=FIT!$E$1,Tim!LD45,"")</f>
        <v/>
      </c>
      <c r="LA43" s="185" t="str">
        <f>IF(Tim!LE45=FIT!$E$1,Tim!LE45,"")</f>
        <v/>
      </c>
      <c r="LB43" s="52">
        <v>0.687499999999999</v>
      </c>
    </row>
    <row r="44" spans="2:314" ht="10.5" customHeight="1">
      <c r="B44" s="49">
        <v>0.25</v>
      </c>
      <c r="C44" s="49">
        <v>0.25</v>
      </c>
      <c r="D44" s="49">
        <v>0.25</v>
      </c>
      <c r="E44" s="172">
        <v>0.69791666666666596</v>
      </c>
      <c r="F44" s="238" t="str">
        <f>IF(Tim!F46=FIT!$E$1,Tim!F46,"")</f>
        <v/>
      </c>
      <c r="G44" s="185" t="str">
        <f>IF(Tim!G46=FIT!$E$1,Tim!G46,"")</f>
        <v/>
      </c>
      <c r="H44" s="185" t="str">
        <f>IF(Tim!H46=FIT!$E$1,Tim!H46,"")</f>
        <v/>
      </c>
      <c r="I44" s="185" t="str">
        <f>IF(Tim!I46=FIT!$E$1,Tim!I46,"")</f>
        <v/>
      </c>
      <c r="J44" s="185" t="str">
        <f>IF(Tim!J46=FIT!$E$1,Tim!J46,"")</f>
        <v/>
      </c>
      <c r="K44" s="185" t="str">
        <f>IF(Tim!K46=FIT!$E$1,Tim!K46,"")</f>
        <v/>
      </c>
      <c r="L44" s="185" t="str">
        <f>IF(Tim!L46=FIT!$E$1,Tim!L46,"")</f>
        <v/>
      </c>
      <c r="M44" s="185" t="str">
        <f>IF(Tim!M46=FIT!$E$1,Tim!M46,"")</f>
        <v/>
      </c>
      <c r="N44" s="185" t="str">
        <f>IF(Tim!N46=FIT!$E$1,Tim!N46,"")</f>
        <v/>
      </c>
      <c r="O44" s="185" t="str">
        <f>IF(Tim!O46=FIT!$E$1,Tim!O46,"")</f>
        <v/>
      </c>
      <c r="P44" s="185" t="str">
        <f>IF(Tim!P46=FIT!$E$1,Tim!P46,"")</f>
        <v/>
      </c>
      <c r="Q44" s="185" t="str">
        <f>IF(Tim!Q46=FIT!$E$1,Tim!Q46,"")</f>
        <v/>
      </c>
      <c r="R44" s="185" t="str">
        <f>IF(Tim!R46=FIT!$E$1,Tim!R46,"")</f>
        <v/>
      </c>
      <c r="S44" s="185" t="str">
        <f>IF(Tim!S46=FIT!$E$1,Tim!S46,"")</f>
        <v/>
      </c>
      <c r="T44" s="185" t="str">
        <f>IF(Tim!T46=FIT!$E$1,Tim!T46,"")</f>
        <v/>
      </c>
      <c r="U44" s="185" t="str">
        <f>IF(Tim!U46=FIT!$E$1,Tim!U46,"")</f>
        <v/>
      </c>
      <c r="V44" s="185" t="str">
        <f>IF(Tim!W46=FIT!$E$1,Tim!W46,"")</f>
        <v/>
      </c>
      <c r="W44" s="185" t="str">
        <f>IF(Tim!X46=FIT!$E$1,Tim!X46,"")</f>
        <v/>
      </c>
      <c r="X44" s="185" t="str">
        <f>IF(Tim!Y46=FIT!$E$1,Tim!Y46,"")</f>
        <v/>
      </c>
      <c r="Y44" s="185" t="str">
        <f>IF(Tim!Z46=FIT!$E$1,Tim!Z46,"")</f>
        <v/>
      </c>
      <c r="Z44" s="185" t="str">
        <f>IF(Tim!AA46=FIT!$E$1,Tim!AA46,"")</f>
        <v/>
      </c>
      <c r="AA44" s="185" t="str">
        <f>IF(Tim!AB46=FIT!$E$1,Tim!AB46,"")</f>
        <v/>
      </c>
      <c r="AB44" s="185" t="str">
        <f>IF(Tim!AC46=FIT!$E$1,Tim!AC46,"")</f>
        <v/>
      </c>
      <c r="AC44" s="185" t="str">
        <f>IF(Tim!AD46=FIT!$E$1,Tim!AD46,"")</f>
        <v/>
      </c>
      <c r="AD44" s="185" t="str">
        <f>IF(Tim!AE46=FIT!$E$1,Tim!AE46,"")</f>
        <v/>
      </c>
      <c r="AE44" s="185" t="str">
        <f>IF(Tim!AF46=FIT!$E$1,Tim!AF46,"")</f>
        <v/>
      </c>
      <c r="AF44" s="185" t="str">
        <f>IF(Tim!AG46=FIT!$E$1,Tim!AG46,"")</f>
        <v/>
      </c>
      <c r="AG44" s="185" t="str">
        <f>IF(Tim!AH46=FIT!$E$1,Tim!AH46,"")</f>
        <v/>
      </c>
      <c r="AH44" s="185" t="str">
        <f>IF(Tim!AI46=FIT!$E$1,Tim!AI46,"")</f>
        <v/>
      </c>
      <c r="AI44" s="185" t="str">
        <f>IF(Tim!AJ46=FIT!$E$1,Tim!AJ46,"")</f>
        <v/>
      </c>
      <c r="AJ44" s="185" t="str">
        <f>IF(Tim!AK46=FIT!$E$1,Tim!AK46,"")</f>
        <v/>
      </c>
      <c r="AK44" s="185" t="str">
        <f>IF(Tim!AL46=FIT!$E$1,Tim!AL46,"")</f>
        <v/>
      </c>
      <c r="AL44" s="185" t="str">
        <f>IF(Tim!AM46=FIT!$E$1,Tim!AM46,"")</f>
        <v/>
      </c>
      <c r="AM44" s="185" t="str">
        <f>IF(Tim!AN46=FIT!$E$1,Tim!AN46,"")</f>
        <v/>
      </c>
      <c r="AN44" s="185" t="str">
        <f>IF(Tim!AO46=FIT!$E$1,Tim!AO46,"")</f>
        <v/>
      </c>
      <c r="AO44" s="185" t="str">
        <f>IF(Tim!AP46=FIT!$E$1,Tim!AP46,"")</f>
        <v/>
      </c>
      <c r="AP44" s="185" t="str">
        <f>IF(Tim!AQ46=FIT!$E$1,Tim!AQ46,"")</f>
        <v/>
      </c>
      <c r="AQ44" s="185" t="str">
        <f>IF(Tim!AR46=FIT!$E$1,Tim!AR46,"")</f>
        <v/>
      </c>
      <c r="AR44" s="185" t="str">
        <f>IF(Tim!AS46=FIT!$E$1,Tim!AS46,"")</f>
        <v/>
      </c>
      <c r="AS44" s="185" t="str">
        <f>IF(Tim!AT46=FIT!$E$1,Tim!AT46,"")</f>
        <v/>
      </c>
      <c r="AT44" s="185" t="str">
        <f>IF(Tim!AU46=FIT!$E$1,Tim!AU46,"")</f>
        <v/>
      </c>
      <c r="AU44" s="185" t="str">
        <f>IF(Tim!AV46=FIT!$E$1,Tim!AV46,"")</f>
        <v/>
      </c>
      <c r="AV44" s="185" t="str">
        <f>IF(Tim!AW46=FIT!$E$1,Tim!AW46,"")</f>
        <v/>
      </c>
      <c r="AW44" s="186" t="str">
        <f>IF(Tim!AX46=FIT!$E$1,Tim!AX46,"")</f>
        <v/>
      </c>
      <c r="AX44" s="243" t="str">
        <f>IF(Tim!AY46=FIT!$E$1,Tim!AY46,"")</f>
        <v/>
      </c>
      <c r="AY44" s="185" t="str">
        <f>IF(Tim!AZ46=FIT!$E$1,Tim!AZ46,"")</f>
        <v/>
      </c>
      <c r="AZ44" s="185" t="str">
        <f>IF(Tim!BA46=FIT!$E$1,Tim!BA46,"")</f>
        <v/>
      </c>
      <c r="BA44" s="185" t="str">
        <f>IF(Tim!BB46=FIT!$E$1,Tim!BB46,"")</f>
        <v/>
      </c>
      <c r="BB44" s="185" t="str">
        <f>IF(Tim!BC46=FIT!$E$1,Tim!BC46,"")</f>
        <v/>
      </c>
      <c r="BC44" s="185" t="str">
        <f>IF(Tim!BD46=FIT!$E$1,Tim!BD46,"")</f>
        <v/>
      </c>
      <c r="BD44" s="185" t="str">
        <f>IF(Tim!BE46=FIT!$E$1,Tim!BE46,"")</f>
        <v/>
      </c>
      <c r="BE44" s="185" t="str">
        <f>IF(Tim!BF46=FIT!$E$1,Tim!BF46,"")</f>
        <v/>
      </c>
      <c r="BF44" s="185" t="str">
        <f>IF(Tim!BG46=FIT!$E$1,Tim!BG46,"")</f>
        <v/>
      </c>
      <c r="BG44" s="185" t="str">
        <f>IF(Tim!BH46=FIT!$E$1,Tim!BH46,"")</f>
        <v/>
      </c>
      <c r="BH44" s="185" t="str">
        <f>IF(Tim!BI46=FIT!$E$1,Tim!BI46,"")</f>
        <v/>
      </c>
      <c r="BI44" s="185" t="str">
        <f>IF(Tim!BJ46=FIT!$E$1,Tim!BJ46,"")</f>
        <v/>
      </c>
      <c r="BJ44" s="185" t="str">
        <f>IF(Tim!BK46=FIT!$E$1,Tim!BK46,"")</f>
        <v/>
      </c>
      <c r="BK44" s="185" t="str">
        <f>IF(Tim!BL46=FIT!$E$1,Tim!BL46,"")</f>
        <v/>
      </c>
      <c r="BL44" s="185" t="str">
        <f>IF(Tim!BM46=FIT!$E$1,Tim!BM46,"")</f>
        <v/>
      </c>
      <c r="BM44" s="185" t="str">
        <f>IF(Tim!BN46=FIT!$E$1,Tim!BN46,"")</f>
        <v/>
      </c>
      <c r="BN44" s="185" t="str">
        <f>IF(Tim!BO46=FIT!$E$1,Tim!BO46,"")</f>
        <v/>
      </c>
      <c r="BO44" s="185" t="str">
        <f>IF(Tim!BP46=FIT!$E$1,Tim!BP46,"")</f>
        <v/>
      </c>
      <c r="BP44" s="185" t="str">
        <f>IF(Tim!BQ46=FIT!$E$1,Tim!BQ46,"")</f>
        <v/>
      </c>
      <c r="BQ44" s="185" t="str">
        <f>IF(Tim!BR46=FIT!$E$1,Tim!BR46,"")</f>
        <v/>
      </c>
      <c r="BR44" s="185" t="str">
        <f>IF(Tim!BS46=FIT!$E$1,Tim!BS46,"")</f>
        <v/>
      </c>
      <c r="BS44" s="185" t="str">
        <f>IF(Tim!BT46=FIT!$E$1,Tim!BT46,"")</f>
        <v/>
      </c>
      <c r="BT44" s="185" t="str">
        <f>IF(Tim!BU46=FIT!$E$1,Tim!BU46,"")</f>
        <v/>
      </c>
      <c r="BU44" s="185" t="str">
        <f>IF(Tim!BV46=FIT!$E$1,Tim!BV46,"")</f>
        <v/>
      </c>
      <c r="BV44" s="185" t="str">
        <f>IF(Tim!BW46=FIT!$E$1,Tim!BW46,"")</f>
        <v/>
      </c>
      <c r="BW44" s="185" t="str">
        <f>IF(Tim!BX46=FIT!$E$1,Tim!BX46,"")</f>
        <v/>
      </c>
      <c r="BX44" s="185" t="str">
        <f>IF(Tim!BY46=FIT!$E$1,Tim!BY46,"")</f>
        <v/>
      </c>
      <c r="BY44" s="185" t="str">
        <f>IF(Tim!BZ46=FIT!$E$1,Tim!BZ46,"")</f>
        <v/>
      </c>
      <c r="BZ44" s="185" t="str">
        <f>IF(Tim!CA46=FIT!$E$1,Tim!CA46,"")</f>
        <v/>
      </c>
      <c r="CA44" s="185" t="str">
        <f>IF(Tim!CB46=FIT!$E$1,Tim!CB46,"")</f>
        <v/>
      </c>
      <c r="CB44" s="185" t="str">
        <f>IF(Tim!CC46=FIT!$E$1,Tim!CC46,"")</f>
        <v/>
      </c>
      <c r="CC44" s="185" t="str">
        <f>IF(Tim!CD46=FIT!$E$1,Tim!CD46,"")</f>
        <v/>
      </c>
      <c r="CD44" s="185" t="str">
        <f>IF(Tim!CE46=FIT!$E$1,Tim!CE46,"")</f>
        <v/>
      </c>
      <c r="CE44" s="185" t="str">
        <f>IF(Tim!CF46=FIT!$E$1,Tim!CF46,"")</f>
        <v/>
      </c>
      <c r="CF44" s="185" t="str">
        <f>IF(Tim!CG46=FIT!$E$1,Tim!CG46,"")</f>
        <v/>
      </c>
      <c r="CG44" s="185" t="str">
        <f>IF(Tim!CH46=FIT!$E$1,Tim!CH46,"")</f>
        <v/>
      </c>
      <c r="CH44" s="185" t="str">
        <f>IF(Tim!CI46=FIT!$E$1,Tim!CI46,"")</f>
        <v/>
      </c>
      <c r="CI44" s="185" t="str">
        <f>IF(Tim!CJ46=FIT!$E$1,Tim!CJ46,"")</f>
        <v/>
      </c>
      <c r="CJ44" s="185" t="str">
        <f>IF(Tim!CK46=FIT!$E$1,Tim!CK46,"")</f>
        <v/>
      </c>
      <c r="CK44" s="185" t="str">
        <f>IF(Tim!CL46=FIT!$E$1,Tim!CL46,"")</f>
        <v/>
      </c>
      <c r="CL44" s="185" t="str">
        <f>IF(Tim!CM46=FIT!$E$1,Tim!CM46,"")</f>
        <v/>
      </c>
      <c r="CM44" s="185" t="str">
        <f>IF(Tim!CN46=FIT!$E$1,Tim!CN46,"")</f>
        <v/>
      </c>
      <c r="CN44" s="185" t="str">
        <f>IF(Tim!CO46=FIT!$E$1,Tim!CO46,"")</f>
        <v/>
      </c>
      <c r="CO44" s="185" t="str">
        <f>IF(Tim!CP46=FIT!$E$1,Tim!CP46,"")</f>
        <v/>
      </c>
      <c r="CP44" s="185" t="str">
        <f>IF(Tim!CQ46=FIT!$E$1,Tim!CQ46,"")</f>
        <v/>
      </c>
      <c r="CQ44" s="185" t="str">
        <f>IF(Tim!CR46=FIT!$E$1,Tim!CR46,"")</f>
        <v/>
      </c>
      <c r="CR44" s="185" t="str">
        <f>IF(Tim!CS46=FIT!$E$1,Tim!CS46,"")</f>
        <v/>
      </c>
      <c r="CS44" s="185" t="str">
        <f>IF(Tim!CT46=FIT!$E$1,Tim!CT46,"")</f>
        <v/>
      </c>
      <c r="CT44" s="185" t="str">
        <f>IF(Tim!CU46=FIT!$E$1,Tim!CU46,"")</f>
        <v/>
      </c>
      <c r="CU44" s="185" t="str">
        <f>IF(Tim!CV46=FIT!$E$1,Tim!CV46,"")</f>
        <v/>
      </c>
      <c r="CV44" s="185" t="str">
        <f>IF(Tim!CW46=FIT!$E$1,Tim!CW46,"")</f>
        <v/>
      </c>
      <c r="CW44" s="185" t="str">
        <f>IF(Tim!CX46=FIT!$E$1,Tim!CX46,"")</f>
        <v/>
      </c>
      <c r="CX44" s="185" t="str">
        <f>IF(Tim!CY46=FIT!$E$1,Tim!CY46,"")</f>
        <v/>
      </c>
      <c r="CY44" s="185" t="str">
        <f>IF(Tim!CZ46=FIT!$E$1,Tim!CZ46,"")</f>
        <v/>
      </c>
      <c r="CZ44" s="185" t="str">
        <f>IF(Tim!DA46=FIT!$E$1,Tim!DA46,"")</f>
        <v/>
      </c>
      <c r="DA44" s="185" t="str">
        <f>IF(Tim!DB46=FIT!$E$1,Tim!DB46,"")</f>
        <v/>
      </c>
      <c r="DB44" s="185" t="str">
        <f>IF(Tim!DC46=FIT!$E$1,Tim!DC46,"")</f>
        <v/>
      </c>
      <c r="DC44" s="185" t="str">
        <f>IF(Tim!DD46=FIT!$E$1,Tim!DD46,"")</f>
        <v/>
      </c>
      <c r="DD44" s="185" t="str">
        <f>IF(Tim!DE46=FIT!$E$1,Tim!DE46,"")</f>
        <v/>
      </c>
      <c r="DE44" s="185" t="str">
        <f>IF(Tim!DF46=FIT!$E$1,Tim!DF46,"")</f>
        <v/>
      </c>
      <c r="DF44" s="185" t="str">
        <f>IF(Tim!DG46=FIT!$E$1,Tim!DG46,"")</f>
        <v/>
      </c>
      <c r="DG44" s="185" t="str">
        <f>IF(Tim!DH46=FIT!$E$1,Tim!DH46,"")</f>
        <v/>
      </c>
      <c r="DH44" s="185" t="str">
        <f>IF(Tim!DI46=FIT!$E$1,Tim!DI46,"")</f>
        <v/>
      </c>
      <c r="DI44" s="185" t="str">
        <f>IF(Tim!DM46=FIT!$E$1,Tim!DM46,"")</f>
        <v/>
      </c>
      <c r="DJ44" s="185" t="str">
        <f>IF(Tim!DN46=FIT!$E$1,Tim!DN46,"")</f>
        <v/>
      </c>
      <c r="DK44" s="185" t="str">
        <f>IF(Tim!DO46=FIT!$E$1,Tim!DO46,"")</f>
        <v/>
      </c>
      <c r="DL44" s="185" t="str">
        <f>IF(Tim!DP46=FIT!$E$1,Tim!DP46,"")</f>
        <v/>
      </c>
      <c r="DM44" s="185" t="str">
        <f>IF(Tim!DQ46=FIT!$E$1,Tim!DQ46,"")</f>
        <v/>
      </c>
      <c r="DN44" s="185" t="str">
        <f>IF(Tim!DR46=FIT!$E$1,Tim!DR46,"")</f>
        <v/>
      </c>
      <c r="DO44" s="185" t="str">
        <f>IF(Tim!DS46=FIT!$E$1,Tim!DS46,"")</f>
        <v/>
      </c>
      <c r="DP44" s="185" t="str">
        <f>IF(Tim!DT46=FIT!$E$1,Tim!DT46,"")</f>
        <v/>
      </c>
      <c r="DQ44" s="185" t="str">
        <f>IF(Tim!DU46=FIT!$E$1,Tim!DU46,"")</f>
        <v/>
      </c>
      <c r="DR44" s="185" t="str">
        <f>IF(Tim!DV46=FIT!$E$1,Tim!DV46,"")</f>
        <v/>
      </c>
      <c r="DS44" s="185" t="str">
        <f>IF(Tim!DW46=FIT!$E$1,Tim!DW46,"")</f>
        <v/>
      </c>
      <c r="DT44" s="185" t="str">
        <f>IF(Tim!DX46=FIT!$E$1,Tim!DX46,"")</f>
        <v/>
      </c>
      <c r="DU44" s="185" t="str">
        <f>IF(Tim!DY46=FIT!$E$1,Tim!DY46,"")</f>
        <v/>
      </c>
      <c r="DV44" s="185" t="str">
        <f>IF(Tim!DZ46=FIT!$E$1,Tim!DZ46,"")</f>
        <v/>
      </c>
      <c r="DW44" s="185" t="str">
        <f>IF(Tim!EA46=FIT!$E$1,Tim!EA46,"")</f>
        <v/>
      </c>
      <c r="DX44" s="185" t="str">
        <f>IF(Tim!EB46=FIT!$E$1,Tim!EB46,"")</f>
        <v/>
      </c>
      <c r="DY44" s="185" t="str">
        <f>IF(Tim!EC46=FIT!$E$1,Tim!EC46,"")</f>
        <v/>
      </c>
      <c r="DZ44" s="185" t="str">
        <f>IF(Tim!ED46=FIT!$E$1,Tim!ED46,"")</f>
        <v/>
      </c>
      <c r="EA44" s="185" t="str">
        <f>IF(Tim!EE46=FIT!$E$1,Tim!EE46,"")</f>
        <v/>
      </c>
      <c r="EB44" s="185" t="str">
        <f>IF(Tim!EF46=FIT!$E$1,Tim!EF46,"")</f>
        <v/>
      </c>
      <c r="EC44" s="185" t="str">
        <f>IF(Tim!EG46=FIT!$E$1,Tim!EG46,"")</f>
        <v/>
      </c>
      <c r="ED44" s="185" t="str">
        <f>IF(Tim!EH46=FIT!$E$1,Tim!EH46,"")</f>
        <v/>
      </c>
      <c r="EE44" s="185" t="str">
        <f>IF(Tim!EI46=FIT!$E$1,Tim!EI46,"")</f>
        <v/>
      </c>
      <c r="EF44" s="185" t="str">
        <f>IF(Tim!EJ46=FIT!$E$1,Tim!EJ46,"")</f>
        <v/>
      </c>
      <c r="EG44" s="185" t="str">
        <f>IF(Tim!EK46=FIT!$E$1,Tim!EK46,"")</f>
        <v/>
      </c>
      <c r="EH44" s="185" t="str">
        <f>IF(Tim!EL46=FIT!$E$1,Tim!EL46,"")</f>
        <v/>
      </c>
      <c r="EI44" s="185" t="str">
        <f>IF(Tim!EM46=FIT!$E$1,Tim!EM46,"")</f>
        <v/>
      </c>
      <c r="EJ44" s="185" t="str">
        <f>IF(Tim!EN46=FIT!$E$1,Tim!EN46,"")</f>
        <v/>
      </c>
      <c r="EK44" s="185" t="str">
        <f>IF(Tim!EO46=FIT!$E$1,Tim!EO46,"")</f>
        <v/>
      </c>
      <c r="EL44" s="185" t="str">
        <f>IF(Tim!EP46=FIT!$E$1,Tim!EP46,"")</f>
        <v/>
      </c>
      <c r="EM44" s="185" t="str">
        <f>IF(Tim!EQ46=FIT!$E$1,Tim!EQ46,"")</f>
        <v/>
      </c>
      <c r="EN44" s="185" t="str">
        <f>IF(Tim!ER46=FIT!$E$1,Tim!ER46,"")</f>
        <v/>
      </c>
      <c r="EO44" s="185" t="str">
        <f>IF(Tim!ES46=FIT!$E$1,Tim!ES46,"")</f>
        <v/>
      </c>
      <c r="EP44" s="185" t="str">
        <f>IF(Tim!ET46=FIT!$E$1,Tim!ET46,"")</f>
        <v/>
      </c>
      <c r="EQ44" s="185" t="str">
        <f>IF(Tim!EU46=FIT!$E$1,Tim!EU46,"")</f>
        <v/>
      </c>
      <c r="ER44" s="185" t="str">
        <f>IF(Tim!EV46=FIT!$E$1,Tim!EV46,"")</f>
        <v/>
      </c>
      <c r="ES44" s="185" t="str">
        <f>IF(Tim!EW46=FIT!$E$1,Tim!EW46,"")</f>
        <v/>
      </c>
      <c r="ET44" s="185" t="str">
        <f>IF(Tim!EX46=FIT!$E$1,Tim!EX46,"")</f>
        <v/>
      </c>
      <c r="EU44" s="185" t="str">
        <f>IF(Tim!EY46=FIT!$E$1,Tim!EY46,"")</f>
        <v/>
      </c>
      <c r="EV44" s="185" t="str">
        <f>IF(Tim!EZ46=FIT!$E$1,Tim!EZ46,"")</f>
        <v/>
      </c>
      <c r="EW44" s="185" t="str">
        <f>IF(Tim!FA46=FIT!$E$1,Tim!FA46,"")</f>
        <v/>
      </c>
      <c r="EX44" s="185" t="str">
        <f>IF(Tim!FB46=FIT!$E$1,Tim!FB46,"")</f>
        <v/>
      </c>
      <c r="EY44" s="185" t="str">
        <f>IF(Tim!FC46=FIT!$E$1,Tim!FC46,"")</f>
        <v/>
      </c>
      <c r="EZ44" s="185" t="str">
        <f>IF(Tim!FD46=FIT!$E$1,Tim!FD46,"")</f>
        <v/>
      </c>
      <c r="FA44" s="185" t="str">
        <f>IF(Tim!FE46=FIT!$E$1,Tim!FE46,"")</f>
        <v/>
      </c>
      <c r="FB44" s="185" t="str">
        <f>IF(Tim!FF46=FIT!$E$1,Tim!FF46,"")</f>
        <v/>
      </c>
      <c r="FC44" s="185" t="str">
        <f>IF(Tim!FG46=FIT!$E$1,Tim!FG46,"")</f>
        <v/>
      </c>
      <c r="FD44" s="185" t="str">
        <f>IF(Tim!FH46=FIT!$E$1,Tim!FH46,"")</f>
        <v/>
      </c>
      <c r="FE44" s="185" t="str">
        <f>IF(Tim!FI46=FIT!$E$1,Tim!FI46,"")</f>
        <v/>
      </c>
      <c r="FF44" s="185" t="str">
        <f>IF(Tim!FJ46=FIT!$E$1,Tim!FJ46,"")</f>
        <v/>
      </c>
      <c r="FG44" s="185" t="str">
        <f>IF(Tim!FK46=FIT!$E$1,Tim!FK46,"")</f>
        <v/>
      </c>
      <c r="FH44" s="185" t="str">
        <f>IF(Tim!FL46=FIT!$E$1,Tim!FL46,"")</f>
        <v/>
      </c>
      <c r="FI44" s="185" t="str">
        <f>IF(Tim!FM46=FIT!$E$1,Tim!FM46,"")</f>
        <v/>
      </c>
      <c r="FJ44" s="185" t="str">
        <f>IF(Tim!FN46=FIT!$E$1,Tim!FN46,"")</f>
        <v/>
      </c>
      <c r="FK44" s="185" t="str">
        <f>IF(Tim!FO46=FIT!$E$1,Tim!FO46,"")</f>
        <v/>
      </c>
      <c r="FL44" s="185" t="str">
        <f>IF(Tim!FP46=FIT!$E$1,Tim!FP46,"")</f>
        <v/>
      </c>
      <c r="FM44" s="185" t="str">
        <f>IF(Tim!FQ46=FIT!$E$1,Tim!FQ46,"")</f>
        <v/>
      </c>
      <c r="FN44" s="185" t="str">
        <f>IF(Tim!FR46=FIT!$E$1,Tim!FR46,"")</f>
        <v/>
      </c>
      <c r="FO44" s="185" t="str">
        <f>IF(Tim!FS46=FIT!$E$1,Tim!FS46,"")</f>
        <v/>
      </c>
      <c r="FP44" s="185" t="str">
        <f>IF(Tim!FT46=FIT!$E$1,Tim!FT46,"")</f>
        <v/>
      </c>
      <c r="FQ44" s="185" t="str">
        <f>IF(Tim!FU46=FIT!$E$1,Tim!FU46,"")</f>
        <v/>
      </c>
      <c r="FR44" s="185" t="str">
        <f>IF(Tim!FV46=FIT!$E$1,Tim!FV46,"")</f>
        <v/>
      </c>
      <c r="FS44" s="185" t="str">
        <f>IF(Tim!FW46=FIT!$E$1,Tim!FW46,"")</f>
        <v/>
      </c>
      <c r="FT44" s="185" t="str">
        <f>IF(Tim!FX46=FIT!$E$1,Tim!FX46,"")</f>
        <v/>
      </c>
      <c r="FU44" s="185" t="str">
        <f>IF(Tim!FY46=FIT!$E$1,Tim!FY46,"")</f>
        <v/>
      </c>
      <c r="FV44" s="185" t="str">
        <f>IF(Tim!FZ46=FIT!$E$1,Tim!FZ46,"")</f>
        <v/>
      </c>
      <c r="FW44" s="185" t="str">
        <f>IF(Tim!GA46=FIT!$E$1,Tim!GA46,"")</f>
        <v/>
      </c>
      <c r="FX44" s="185" t="str">
        <f>IF(Tim!GB46=FIT!$E$1,Tim!GB46,"")</f>
        <v/>
      </c>
      <c r="FY44" s="185" t="str">
        <f>IF(Tim!GC46=FIT!$E$1,Tim!GC46,"")</f>
        <v/>
      </c>
      <c r="FZ44" s="185" t="str">
        <f>IF(Tim!GD46=FIT!$E$1,Tim!GD46,"")</f>
        <v/>
      </c>
      <c r="GA44" s="185" t="str">
        <f>IF(Tim!GE46=FIT!$E$1,Tim!GE46,"")</f>
        <v/>
      </c>
      <c r="GB44" s="185" t="str">
        <f>IF(Tim!GF46=FIT!$E$1,Tim!GF46,"")</f>
        <v/>
      </c>
      <c r="GC44" s="185" t="str">
        <f>IF(Tim!GG46=FIT!$E$1,Tim!GG46,"")</f>
        <v/>
      </c>
      <c r="GD44" s="185" t="str">
        <f>IF(Tim!GH46=FIT!$E$1,Tim!GH46,"")</f>
        <v/>
      </c>
      <c r="GE44" s="185" t="str">
        <f>IF(Tim!GI46=FIT!$E$1,Tim!GI46,"")</f>
        <v/>
      </c>
      <c r="GF44" s="185" t="str">
        <f>IF(Tim!GJ46=FIT!$E$1,Tim!GJ46,"")</f>
        <v/>
      </c>
      <c r="GG44" s="185" t="str">
        <f>IF(Tim!GK46=FIT!$E$1,Tim!GK46,"")</f>
        <v/>
      </c>
      <c r="GH44" s="185" t="str">
        <f>IF(Tim!GL46=FIT!$E$1,Tim!GL46,"")</f>
        <v/>
      </c>
      <c r="GI44" s="185" t="str">
        <f>IF(Tim!GM46=FIT!$E$1,Tim!GM46,"")</f>
        <v/>
      </c>
      <c r="GJ44" s="185" t="str">
        <f>IF(Tim!GO46=FIT!$E$1,Tim!GO46,"")</f>
        <v/>
      </c>
      <c r="GK44" s="185" t="e">
        <f>IF(Tim!#REF!=FIT!$E$1,Tim!#REF!,"")</f>
        <v>#REF!</v>
      </c>
      <c r="GL44" s="185" t="str">
        <f>IF(Tim!GP46=FIT!$E$1,Tim!GP46,"")</f>
        <v/>
      </c>
      <c r="GM44" s="185" t="str">
        <f>IF(Tim!GQ46=FIT!$E$1,Tim!GQ46,"")</f>
        <v/>
      </c>
      <c r="GN44" s="185" t="str">
        <f>IF(Tim!GR46=FIT!$E$1,Tim!GR46,"")</f>
        <v/>
      </c>
      <c r="GO44" s="185" t="str">
        <f>IF(Tim!GS46=FIT!$E$1,Tim!GS46,"")</f>
        <v/>
      </c>
      <c r="GP44" s="185" t="str">
        <f>IF(Tim!GT46=FIT!$E$1,Tim!GT46,"")</f>
        <v/>
      </c>
      <c r="GQ44" s="185" t="str">
        <f>IF(Tim!GU46=FIT!$E$1,Tim!GU46,"")</f>
        <v/>
      </c>
      <c r="GR44" s="185" t="str">
        <f>IF(Tim!GV46=FIT!$E$1,Tim!GV46,"")</f>
        <v/>
      </c>
      <c r="GS44" s="185" t="str">
        <f>IF(Tim!GW46=FIT!$E$1,Tim!GW46,"")</f>
        <v/>
      </c>
      <c r="GT44" s="185" t="str">
        <f>IF(Tim!GX46=FIT!$E$1,Tim!GX46,"")</f>
        <v/>
      </c>
      <c r="GU44" s="185" t="str">
        <f>IF(Tim!GY46=FIT!$E$1,Tim!GY46,"")</f>
        <v/>
      </c>
      <c r="GV44" s="185" t="str">
        <f>IF(Tim!GZ46=FIT!$E$1,Tim!GZ46,"")</f>
        <v/>
      </c>
      <c r="GW44" s="185" t="str">
        <f>IF(Tim!HA46=FIT!$E$1,Tim!HA46,"")</f>
        <v/>
      </c>
      <c r="GX44" s="185" t="str">
        <f>IF(Tim!HB46=FIT!$E$1,Tim!HB46,"")</f>
        <v/>
      </c>
      <c r="GY44" s="185" t="str">
        <f>IF(Tim!HC46=FIT!$E$1,Tim!HC46,"")</f>
        <v/>
      </c>
      <c r="GZ44" s="185" t="str">
        <f>IF(Tim!HD46=FIT!$E$1,Tim!HD46,"")</f>
        <v/>
      </c>
      <c r="HA44" s="185" t="str">
        <f>IF(Tim!HE46=FIT!$E$1,Tim!HE46,"")</f>
        <v/>
      </c>
      <c r="HB44" s="185" t="str">
        <f>IF(Tim!HF46=FIT!$E$1,Tim!HF46,"")</f>
        <v/>
      </c>
      <c r="HC44" s="185" t="str">
        <f>IF(Tim!HG46=FIT!$E$1,Tim!HG46,"")</f>
        <v/>
      </c>
      <c r="HD44" s="185" t="str">
        <f>IF(Tim!HH46=FIT!$E$1,Tim!HH46,"")</f>
        <v/>
      </c>
      <c r="HE44" s="185" t="str">
        <f>IF(Tim!HI46=FIT!$E$1,Tim!HI46,"")</f>
        <v/>
      </c>
      <c r="HF44" s="185" t="str">
        <f>IF(Tim!HJ46=FIT!$E$1,Tim!HJ46,"")</f>
        <v/>
      </c>
      <c r="HG44" s="185" t="str">
        <f>IF(Tim!HK46=FIT!$E$1,Tim!HK46,"")</f>
        <v/>
      </c>
      <c r="HH44" s="185" t="str">
        <f>IF(Tim!HL46=FIT!$E$1,Tim!HL46,"")</f>
        <v/>
      </c>
      <c r="HI44" s="185" t="str">
        <f>IF(Tim!HM46=FIT!$E$1,Tim!HM46,"")</f>
        <v/>
      </c>
      <c r="HJ44" s="185" t="str">
        <f>IF(Tim!HN46=FIT!$E$1,Tim!HN46,"")</f>
        <v/>
      </c>
      <c r="HK44" s="185" t="str">
        <f>IF(Tim!HO46=FIT!$E$1,Tim!HO46,"")</f>
        <v/>
      </c>
      <c r="HL44" s="185" t="str">
        <f>IF(Tim!HP46=FIT!$E$1,Tim!HP46,"")</f>
        <v/>
      </c>
      <c r="HM44" s="185" t="str">
        <f>IF(Tim!HQ46=FIT!$E$1,Tim!HQ46,"")</f>
        <v/>
      </c>
      <c r="HN44" s="185" t="str">
        <f>IF(Tim!HR46=FIT!$E$1,Tim!HR46,"")</f>
        <v/>
      </c>
      <c r="HO44" s="185" t="str">
        <f>IF(Tim!HS46=FIT!$E$1,Tim!HS46,"")</f>
        <v/>
      </c>
      <c r="HP44" s="185" t="str">
        <f>IF(Tim!HT46=FIT!$E$1,Tim!HT46,"")</f>
        <v/>
      </c>
      <c r="HQ44" s="185" t="str">
        <f>IF(Tim!HU46=FIT!$E$1,Tim!HU46,"")</f>
        <v/>
      </c>
      <c r="HR44" s="185" t="str">
        <f>IF(Tim!HV46=FIT!$E$1,Tim!HV46,"")</f>
        <v/>
      </c>
      <c r="HS44" s="185" t="str">
        <f>IF(Tim!HW46=FIT!$E$1,Tim!HW46,"")</f>
        <v/>
      </c>
      <c r="HT44" s="185" t="str">
        <f>IF(Tim!HX46=FIT!$E$1,Tim!HX46,"")</f>
        <v/>
      </c>
      <c r="HU44" s="185" t="str">
        <f>IF(Tim!HY46=FIT!$E$1,Tim!HY46,"")</f>
        <v/>
      </c>
      <c r="HV44" s="185" t="str">
        <f>IF(Tim!HZ46=FIT!$E$1,Tim!HZ46,"")</f>
        <v/>
      </c>
      <c r="HW44" s="185" t="str">
        <f>IF(Tim!IA46=FIT!$E$1,Tim!IA46,"")</f>
        <v/>
      </c>
      <c r="HX44" s="185" t="str">
        <f>IF(Tim!IB46=FIT!$E$1,Tim!IB46,"")</f>
        <v/>
      </c>
      <c r="HY44" s="185" t="str">
        <f>IF(Tim!IC46=FIT!$E$1,Tim!IC46,"")</f>
        <v/>
      </c>
      <c r="HZ44" s="185" t="str">
        <f>IF(Tim!ID46=FIT!$E$1,Tim!ID46,"")</f>
        <v/>
      </c>
      <c r="IA44" s="185" t="str">
        <f>IF(Tim!IE46=FIT!$E$1,Tim!IE46,"")</f>
        <v/>
      </c>
      <c r="IB44" s="185" t="str">
        <f>IF(Tim!IF46=FIT!$E$1,Tim!IF46,"")</f>
        <v/>
      </c>
      <c r="IC44" s="185" t="str">
        <f>IF(Tim!IG46=FIT!$E$1,Tim!IG46,"")</f>
        <v/>
      </c>
      <c r="ID44" s="185" t="str">
        <f>IF(Tim!IH46=FIT!$E$1,Tim!IH46,"")</f>
        <v/>
      </c>
      <c r="IE44" s="185" t="str">
        <f>IF(Tim!II46=FIT!$E$1,Tim!II46,"")</f>
        <v/>
      </c>
      <c r="IF44" s="185" t="str">
        <f>IF(Tim!IJ46=FIT!$E$1,Tim!IJ46,"")</f>
        <v/>
      </c>
      <c r="IG44" s="185" t="str">
        <f>IF(Tim!IK46=FIT!$E$1,Tim!IK46,"")</f>
        <v/>
      </c>
      <c r="IH44" s="185" t="str">
        <f>IF(Tim!IL46=FIT!$E$1,Tim!IL46,"")</f>
        <v/>
      </c>
      <c r="II44" s="185" t="str">
        <f>IF(Tim!IM46=FIT!$E$1,Tim!IM46,"")</f>
        <v/>
      </c>
      <c r="IJ44" s="185" t="str">
        <f>IF(Tim!IN46=FIT!$E$1,Tim!IN46,"")</f>
        <v/>
      </c>
      <c r="IK44" s="185" t="str">
        <f>IF(Tim!IO46=FIT!$E$1,Tim!IO46,"")</f>
        <v/>
      </c>
      <c r="IL44" s="185" t="str">
        <f>IF(Tim!IP46=FIT!$E$1,Tim!IP46,"")</f>
        <v/>
      </c>
      <c r="IM44" s="185" t="str">
        <f>IF(Tim!IQ46=FIT!$E$1,Tim!IQ46,"")</f>
        <v/>
      </c>
      <c r="IN44" s="185" t="str">
        <f>IF(Tim!IR46=FIT!$E$1,Tim!IR46,"")</f>
        <v/>
      </c>
      <c r="IO44" s="185" t="str">
        <f>IF(Tim!IS46=FIT!$E$1,Tim!IS46,"")</f>
        <v/>
      </c>
      <c r="IP44" s="185" t="str">
        <f>IF(Tim!IT46=FIT!$E$1,Tim!IT46,"")</f>
        <v/>
      </c>
      <c r="IQ44" s="185" t="str">
        <f>IF(Tim!IU46=FIT!$E$1,Tim!IU46,"")</f>
        <v/>
      </c>
      <c r="IR44" s="185" t="str">
        <f>IF(Tim!IV46=FIT!$E$1,Tim!IV46,"")</f>
        <v/>
      </c>
      <c r="IS44" s="185" t="str">
        <f>IF(Tim!IW46=FIT!$E$1,Tim!IW46,"")</f>
        <v/>
      </c>
      <c r="IT44" s="185" t="str">
        <f>IF(Tim!IX46=FIT!$E$1,Tim!IX46,"")</f>
        <v/>
      </c>
      <c r="IU44" s="185" t="str">
        <f>IF(Tim!IY46=FIT!$E$1,Tim!IY46,"")</f>
        <v/>
      </c>
      <c r="IV44" s="185" t="str">
        <f>IF(Tim!IZ46=FIT!$E$1,Tim!IZ46,"")</f>
        <v/>
      </c>
      <c r="IW44" s="185" t="str">
        <f>IF(Tim!JA46=FIT!$E$1,Tim!JA46,"")</f>
        <v/>
      </c>
      <c r="IX44" s="185" t="str">
        <f>IF(Tim!JB46=FIT!$E$1,Tim!JB46,"")</f>
        <v/>
      </c>
      <c r="IY44" s="185" t="str">
        <f>IF(Tim!JC46=FIT!$E$1,Tim!JC46,"")</f>
        <v/>
      </c>
      <c r="IZ44" s="185" t="str">
        <f>IF(Tim!JD46=FIT!$E$1,Tim!JD46,"")</f>
        <v/>
      </c>
      <c r="JA44" s="185" t="str">
        <f>IF(Tim!JE46=FIT!$E$1,Tim!JE46,"")</f>
        <v/>
      </c>
      <c r="JB44" s="185" t="str">
        <f>IF(Tim!JF46=FIT!$E$1,Tim!JF46,"")</f>
        <v/>
      </c>
      <c r="JC44" s="185" t="str">
        <f>IF(Tim!JG46=FIT!$E$1,Tim!JG46,"")</f>
        <v/>
      </c>
      <c r="JD44" s="185" t="str">
        <f>IF(Tim!JH46=FIT!$E$1,Tim!JH46,"")</f>
        <v/>
      </c>
      <c r="JE44" s="185" t="str">
        <f>IF(Tim!JI46=FIT!$E$1,Tim!JI46,"")</f>
        <v/>
      </c>
      <c r="JF44" s="185" t="str">
        <f>IF(Tim!JJ46=FIT!$E$1,Tim!JJ46,"")</f>
        <v/>
      </c>
      <c r="JG44" s="185" t="str">
        <f>IF(Tim!JK46=FIT!$E$1,Tim!JK46,"")</f>
        <v/>
      </c>
      <c r="JH44" s="185" t="str">
        <f>IF(Tim!JL46=FIT!$E$1,Tim!JL46,"")</f>
        <v/>
      </c>
      <c r="JI44" s="185" t="str">
        <f>IF(Tim!JM46=FIT!$E$1,Tim!JM46,"")</f>
        <v/>
      </c>
      <c r="JJ44" s="185" t="str">
        <f>IF(Tim!JN46=FIT!$E$1,Tim!JN46,"")</f>
        <v/>
      </c>
      <c r="JK44" s="185" t="str">
        <f>IF(Tim!JO46=FIT!$E$1,Tim!JO46,"")</f>
        <v/>
      </c>
      <c r="JL44" s="185" t="str">
        <f>IF(Tim!JP46=FIT!$E$1,Tim!JP46,"")</f>
        <v/>
      </c>
      <c r="JM44" s="185" t="str">
        <f>IF(Tim!JQ46=FIT!$E$1,Tim!JQ46,"")</f>
        <v/>
      </c>
      <c r="JN44" s="185" t="str">
        <f>IF(Tim!JR46=FIT!$E$1,Tim!JR46,"")</f>
        <v/>
      </c>
      <c r="JO44" s="185" t="str">
        <f>IF(Tim!JS46=FIT!$E$1,Tim!JS46,"")</f>
        <v/>
      </c>
      <c r="JP44" s="185" t="str">
        <f>IF(Tim!JT46=FIT!$E$1,Tim!JT46,"")</f>
        <v/>
      </c>
      <c r="JQ44" s="185" t="str">
        <f>IF(Tim!JU46=FIT!$E$1,Tim!JU46,"")</f>
        <v/>
      </c>
      <c r="JR44" s="185" t="str">
        <f>IF(Tim!JV46=FIT!$E$1,Tim!JV46,"")</f>
        <v/>
      </c>
      <c r="JS44" s="185" t="str">
        <f>IF(Tim!JW46=FIT!$E$1,Tim!JW46,"")</f>
        <v/>
      </c>
      <c r="JT44" s="185" t="str">
        <f>IF(Tim!JX46=FIT!$E$1,Tim!JX46,"")</f>
        <v/>
      </c>
      <c r="JU44" s="185" t="str">
        <f>IF(Tim!JY46=FIT!$E$1,Tim!JY46,"")</f>
        <v/>
      </c>
      <c r="JV44" s="185" t="str">
        <f>IF(Tim!JZ46=FIT!$E$1,Tim!JZ46,"")</f>
        <v/>
      </c>
      <c r="JW44" s="185" t="str">
        <f>IF(Tim!KA46=FIT!$E$1,Tim!KA46,"")</f>
        <v/>
      </c>
      <c r="JX44" s="185" t="str">
        <f>IF(Tim!KB46=FIT!$E$1,Tim!KB46,"")</f>
        <v/>
      </c>
      <c r="JY44" s="185" t="str">
        <f>IF(Tim!KC46=FIT!$E$1,Tim!KC46,"")</f>
        <v/>
      </c>
      <c r="JZ44" s="185" t="str">
        <f>IF(Tim!KD46=FIT!$E$1,Tim!KD46,"")</f>
        <v/>
      </c>
      <c r="KA44" s="185" t="str">
        <f>IF(Tim!KE46=FIT!$E$1,Tim!KE46,"")</f>
        <v/>
      </c>
      <c r="KB44" s="185" t="str">
        <f>IF(Tim!KF46=FIT!$E$1,Tim!KF46,"")</f>
        <v/>
      </c>
      <c r="KC44" s="185" t="str">
        <f>IF(Tim!KG46=FIT!$E$1,Tim!KG46,"")</f>
        <v/>
      </c>
      <c r="KD44" s="185" t="str">
        <f>IF(Tim!KH46=FIT!$E$1,Tim!KH46,"")</f>
        <v/>
      </c>
      <c r="KE44" s="185" t="str">
        <f>IF(Tim!KI46=FIT!$E$1,Tim!KI46,"")</f>
        <v/>
      </c>
      <c r="KF44" s="185" t="str">
        <f>IF(Tim!KJ46=FIT!$E$1,Tim!KJ46,"")</f>
        <v/>
      </c>
      <c r="KG44" s="185" t="str">
        <f>IF(Tim!KK46=FIT!$E$1,Tim!KK46,"")</f>
        <v/>
      </c>
      <c r="KH44" s="185" t="str">
        <f>IF(Tim!KL46=FIT!$E$1,Tim!KL46,"")</f>
        <v/>
      </c>
      <c r="KI44" s="185" t="str">
        <f>IF(Tim!KM46=FIT!$E$1,Tim!KM46,"")</f>
        <v/>
      </c>
      <c r="KJ44" s="185" t="str">
        <f>IF(Tim!KN46=FIT!$E$1,Tim!KN46,"")</f>
        <v/>
      </c>
      <c r="KK44" s="185" t="str">
        <f>IF(Tim!KO46=FIT!$E$1,Tim!KO46,"")</f>
        <v/>
      </c>
      <c r="KL44" s="185" t="str">
        <f>IF(Tim!KP46=FIT!$E$1,Tim!KP46,"")</f>
        <v/>
      </c>
      <c r="KM44" s="185" t="str">
        <f>IF(Tim!KQ46=FIT!$E$1,Tim!KQ46,"")</f>
        <v/>
      </c>
      <c r="KN44" s="185" t="str">
        <f>IF(Tim!KR46=FIT!$E$1,Tim!KR46,"")</f>
        <v/>
      </c>
      <c r="KO44" s="185" t="str">
        <f>IF(Tim!KS46=FIT!$E$1,Tim!KS46,"")</f>
        <v/>
      </c>
      <c r="KP44" s="185" t="str">
        <f>IF(Tim!KT46=FIT!$E$1,Tim!KT46,"")</f>
        <v/>
      </c>
      <c r="KQ44" s="185" t="str">
        <f>IF(Tim!KU46=FIT!$E$1,Tim!KU46,"")</f>
        <v/>
      </c>
      <c r="KR44" s="185" t="str">
        <f>IF(Tim!KV46=FIT!$E$1,Tim!KV46,"")</f>
        <v/>
      </c>
      <c r="KS44" s="185" t="str">
        <f>IF(Tim!KW46=FIT!$E$1,Tim!KW46,"")</f>
        <v/>
      </c>
      <c r="KT44" s="185" t="str">
        <f>IF(Tim!KX46=FIT!$E$1,Tim!KX46,"")</f>
        <v/>
      </c>
      <c r="KU44" s="185" t="str">
        <f>IF(Tim!KY46=FIT!$E$1,Tim!KY46,"")</f>
        <v/>
      </c>
      <c r="KV44" s="185" t="str">
        <f>IF(Tim!KZ46=FIT!$E$1,Tim!KZ46,"")</f>
        <v/>
      </c>
      <c r="KW44" s="185" t="str">
        <f>IF(Tim!LA46=FIT!$E$1,Tim!LA46,"")</f>
        <v/>
      </c>
      <c r="KX44" s="185" t="str">
        <f>IF(Tim!LB46=FIT!$E$1,Tim!LB46,"")</f>
        <v/>
      </c>
      <c r="KY44" s="185" t="str">
        <f>IF(Tim!LC46=FIT!$E$1,Tim!LC46,"")</f>
        <v/>
      </c>
      <c r="KZ44" s="185" t="str">
        <f>IF(Tim!LD46=FIT!$E$1,Tim!LD46,"")</f>
        <v/>
      </c>
      <c r="LA44" s="185" t="str">
        <f>IF(Tim!LE46=FIT!$E$1,Tim!LE46,"")</f>
        <v/>
      </c>
      <c r="LB44" s="52">
        <v>0.69791666666666596</v>
      </c>
    </row>
    <row r="45" spans="2:314" ht="10.5" customHeight="1">
      <c r="B45" s="49">
        <v>0.25</v>
      </c>
      <c r="C45" s="49">
        <v>0.25</v>
      </c>
      <c r="D45" s="49">
        <v>0.25</v>
      </c>
      <c r="E45" s="172">
        <v>0.70833333333333204</v>
      </c>
      <c r="F45" s="238" t="str">
        <f>IF(Tim!F47=FIT!$E$1,Tim!F47,"")</f>
        <v/>
      </c>
      <c r="G45" s="185" t="str">
        <f>IF(Tim!G47=FIT!$E$1,Tim!G47,"")</f>
        <v/>
      </c>
      <c r="H45" s="185" t="str">
        <f>IF(Tim!H47=FIT!$E$1,Tim!H47,"")</f>
        <v/>
      </c>
      <c r="I45" s="185" t="str">
        <f>IF(Tim!I47=FIT!$E$1,Tim!I47,"")</f>
        <v/>
      </c>
      <c r="J45" s="185" t="str">
        <f>IF(Tim!J47=FIT!$E$1,Tim!J47,"")</f>
        <v/>
      </c>
      <c r="K45" s="185" t="str">
        <f>IF(Tim!K47=FIT!$E$1,Tim!K47,"")</f>
        <v/>
      </c>
      <c r="L45" s="185" t="str">
        <f>IF(Tim!L47=FIT!$E$1,Tim!L47,"")</f>
        <v/>
      </c>
      <c r="M45" s="185" t="str">
        <f>IF(Tim!M47=FIT!$E$1,Tim!M47,"")</f>
        <v/>
      </c>
      <c r="N45" s="185" t="str">
        <f>IF(Tim!N47=FIT!$E$1,Tim!N47,"")</f>
        <v/>
      </c>
      <c r="O45" s="185" t="str">
        <f>IF(Tim!O47=FIT!$E$1,Tim!O47,"")</f>
        <v/>
      </c>
      <c r="P45" s="185" t="str">
        <f>IF(Tim!P47=FIT!$E$1,Tim!P47,"")</f>
        <v/>
      </c>
      <c r="Q45" s="185" t="str">
        <f>IF(Tim!Q47=FIT!$E$1,Tim!Q47,"")</f>
        <v/>
      </c>
      <c r="R45" s="185" t="str">
        <f>IF(Tim!R47=FIT!$E$1,Tim!R47,"")</f>
        <v/>
      </c>
      <c r="S45" s="185" t="str">
        <f>IF(Tim!S47=FIT!$E$1,Tim!S47,"")</f>
        <v/>
      </c>
      <c r="T45" s="185" t="str">
        <f>IF(Tim!T47=FIT!$E$1,Tim!T47,"")</f>
        <v/>
      </c>
      <c r="U45" s="185" t="str">
        <f>IF(Tim!U47=FIT!$E$1,Tim!U47,"")</f>
        <v/>
      </c>
      <c r="V45" s="185" t="str">
        <f>IF(Tim!W47=FIT!$E$1,Tim!W47,"")</f>
        <v/>
      </c>
      <c r="W45" s="185" t="str">
        <f>IF(Tim!X47=FIT!$E$1,Tim!X47,"")</f>
        <v/>
      </c>
      <c r="X45" s="185" t="str">
        <f>IF(Tim!Y47=FIT!$E$1,Tim!Y47,"")</f>
        <v/>
      </c>
      <c r="Y45" s="185" t="str">
        <f>IF(Tim!Z47=FIT!$E$1,Tim!Z47,"")</f>
        <v/>
      </c>
      <c r="Z45" s="185" t="str">
        <f>IF(Tim!AA47=FIT!$E$1,Tim!AA47,"")</f>
        <v/>
      </c>
      <c r="AA45" s="185" t="str">
        <f>IF(Tim!AB47=FIT!$E$1,Tim!AB47,"")</f>
        <v/>
      </c>
      <c r="AB45" s="185" t="str">
        <f>IF(Tim!AC47=FIT!$E$1,Tim!AC47,"")</f>
        <v/>
      </c>
      <c r="AC45" s="185" t="str">
        <f>IF(Tim!AD47=FIT!$E$1,Tim!AD47,"")</f>
        <v/>
      </c>
      <c r="AD45" s="185" t="str">
        <f>IF(Tim!AE47=FIT!$E$1,Tim!AE47,"")</f>
        <v/>
      </c>
      <c r="AE45" s="185" t="str">
        <f>IF(Tim!AF47=FIT!$E$1,Tim!AF47,"")</f>
        <v/>
      </c>
      <c r="AF45" s="185" t="str">
        <f>IF(Tim!AG47=FIT!$E$1,Tim!AG47,"")</f>
        <v/>
      </c>
      <c r="AG45" s="185" t="str">
        <f>IF(Tim!AH47=FIT!$E$1,Tim!AH47,"")</f>
        <v/>
      </c>
      <c r="AH45" s="185" t="str">
        <f>IF(Tim!AI47=FIT!$E$1,Tim!AI47,"")</f>
        <v/>
      </c>
      <c r="AI45" s="185" t="str">
        <f>IF(Tim!AJ47=FIT!$E$1,Tim!AJ47,"")</f>
        <v/>
      </c>
      <c r="AJ45" s="185" t="str">
        <f>IF(Tim!AK47=FIT!$E$1,Tim!AK47,"")</f>
        <v/>
      </c>
      <c r="AK45" s="185" t="str">
        <f>IF(Tim!AL47=FIT!$E$1,Tim!AL47,"")</f>
        <v/>
      </c>
      <c r="AL45" s="185" t="str">
        <f>IF(Tim!AM47=FIT!$E$1,Tim!AM47,"")</f>
        <v/>
      </c>
      <c r="AM45" s="185" t="str">
        <f>IF(Tim!AN47=FIT!$E$1,Tim!AN47,"")</f>
        <v/>
      </c>
      <c r="AN45" s="185" t="str">
        <f>IF(Tim!AO47=FIT!$E$1,Tim!AO47,"")</f>
        <v/>
      </c>
      <c r="AO45" s="185" t="str">
        <f>IF(Tim!AP47=FIT!$E$1,Tim!AP47,"")</f>
        <v/>
      </c>
      <c r="AP45" s="185" t="str">
        <f>IF(Tim!AQ47=FIT!$E$1,Tim!AQ47,"")</f>
        <v/>
      </c>
      <c r="AQ45" s="185" t="str">
        <f>IF(Tim!AR47=FIT!$E$1,Tim!AR47,"")</f>
        <v/>
      </c>
      <c r="AR45" s="185" t="str">
        <f>IF(Tim!AS47=FIT!$E$1,Tim!AS47,"")</f>
        <v/>
      </c>
      <c r="AS45" s="185" t="str">
        <f>IF(Tim!AT47=FIT!$E$1,Tim!AT47,"")</f>
        <v/>
      </c>
      <c r="AT45" s="185" t="str">
        <f>IF(Tim!AU47=FIT!$E$1,Tim!AU47,"")</f>
        <v/>
      </c>
      <c r="AU45" s="185" t="str">
        <f>IF(Tim!AV47=FIT!$E$1,Tim!AV47,"")</f>
        <v/>
      </c>
      <c r="AV45" s="185" t="str">
        <f>IF(Tim!AW47=FIT!$E$1,Tim!AW47,"")</f>
        <v/>
      </c>
      <c r="AW45" s="186" t="str">
        <f>IF(Tim!AX47=FIT!$E$1,Tim!AX47,"")</f>
        <v/>
      </c>
      <c r="AX45" s="243" t="str">
        <f>IF(Tim!AY47=FIT!$E$1,Tim!AY47,"")</f>
        <v/>
      </c>
      <c r="AY45" s="185" t="str">
        <f>IF(Tim!AZ47=FIT!$E$1,Tim!AZ47,"")</f>
        <v/>
      </c>
      <c r="AZ45" s="185" t="str">
        <f>IF(Tim!BA47=FIT!$E$1,Tim!BA47,"")</f>
        <v/>
      </c>
      <c r="BA45" s="185" t="str">
        <f>IF(Tim!BB47=FIT!$E$1,Tim!BB47,"")</f>
        <v/>
      </c>
      <c r="BB45" s="185" t="str">
        <f>IF(Tim!BC47=FIT!$E$1,Tim!BC47,"")</f>
        <v/>
      </c>
      <c r="BC45" s="185" t="str">
        <f>IF(Tim!BD47=FIT!$E$1,Tim!BD47,"")</f>
        <v/>
      </c>
      <c r="BD45" s="185" t="str">
        <f>IF(Tim!BE47=FIT!$E$1,Tim!BE47,"")</f>
        <v/>
      </c>
      <c r="BE45" s="185" t="str">
        <f>IF(Tim!BF47=FIT!$E$1,Tim!BF47,"")</f>
        <v/>
      </c>
      <c r="BF45" s="185" t="str">
        <f>IF(Tim!BG47=FIT!$E$1,Tim!BG47,"")</f>
        <v/>
      </c>
      <c r="BG45" s="185" t="str">
        <f>IF(Tim!BH47=FIT!$E$1,Tim!BH47,"")</f>
        <v/>
      </c>
      <c r="BH45" s="185" t="str">
        <f>IF(Tim!BI47=FIT!$E$1,Tim!BI47,"")</f>
        <v/>
      </c>
      <c r="BI45" s="185" t="str">
        <f>IF(Tim!BJ47=FIT!$E$1,Tim!BJ47,"")</f>
        <v/>
      </c>
      <c r="BJ45" s="185" t="str">
        <f>IF(Tim!BK47=FIT!$E$1,Tim!BK47,"")</f>
        <v/>
      </c>
      <c r="BK45" s="185" t="str">
        <f>IF(Tim!BL47=FIT!$E$1,Tim!BL47,"")</f>
        <v/>
      </c>
      <c r="BL45" s="185" t="str">
        <f>IF(Tim!BM47=FIT!$E$1,Tim!BM47,"")</f>
        <v/>
      </c>
      <c r="BM45" s="185" t="str">
        <f>IF(Tim!BN47=FIT!$E$1,Tim!BN47,"")</f>
        <v/>
      </c>
      <c r="BN45" s="185" t="str">
        <f>IF(Tim!BO47=FIT!$E$1,Tim!BO47,"")</f>
        <v/>
      </c>
      <c r="BO45" s="185" t="str">
        <f>IF(Tim!BP47=FIT!$E$1,Tim!BP47,"")</f>
        <v/>
      </c>
      <c r="BP45" s="185" t="str">
        <f>IF(Tim!BQ47=FIT!$E$1,Tim!BQ47,"")</f>
        <v/>
      </c>
      <c r="BQ45" s="185" t="str">
        <f>IF(Tim!BR47=FIT!$E$1,Tim!BR47,"")</f>
        <v/>
      </c>
      <c r="BR45" s="185" t="str">
        <f>IF(Tim!BS47=FIT!$E$1,Tim!BS47,"")</f>
        <v/>
      </c>
      <c r="BS45" s="185" t="str">
        <f>IF(Tim!BT47=FIT!$E$1,Tim!BT47,"")</f>
        <v/>
      </c>
      <c r="BT45" s="185" t="str">
        <f>IF(Tim!BU47=FIT!$E$1,Tim!BU47,"")</f>
        <v/>
      </c>
      <c r="BU45" s="185" t="str">
        <f>IF(Tim!BV47=FIT!$E$1,Tim!BV47,"")</f>
        <v/>
      </c>
      <c r="BV45" s="185" t="str">
        <f>IF(Tim!BW47=FIT!$E$1,Tim!BW47,"")</f>
        <v/>
      </c>
      <c r="BW45" s="185" t="str">
        <f>IF(Tim!BX47=FIT!$E$1,Tim!BX47,"")</f>
        <v/>
      </c>
      <c r="BX45" s="185" t="str">
        <f>IF(Tim!BY47=FIT!$E$1,Tim!BY47,"")</f>
        <v/>
      </c>
      <c r="BY45" s="185" t="str">
        <f>IF(Tim!BZ47=FIT!$E$1,Tim!BZ47,"")</f>
        <v/>
      </c>
      <c r="BZ45" s="185" t="str">
        <f>IF(Tim!CA47=FIT!$E$1,Tim!CA47,"")</f>
        <v/>
      </c>
      <c r="CA45" s="185" t="str">
        <f>IF(Tim!CB47=FIT!$E$1,Tim!CB47,"")</f>
        <v/>
      </c>
      <c r="CB45" s="185" t="str">
        <f>IF(Tim!CC47=FIT!$E$1,Tim!CC47,"")</f>
        <v/>
      </c>
      <c r="CC45" s="185" t="str">
        <f>IF(Tim!CD47=FIT!$E$1,Tim!CD47,"")</f>
        <v/>
      </c>
      <c r="CD45" s="185" t="str">
        <f>IF(Tim!CE47=FIT!$E$1,Tim!CE47,"")</f>
        <v/>
      </c>
      <c r="CE45" s="185" t="str">
        <f>IF(Tim!CF47=FIT!$E$1,Tim!CF47,"")</f>
        <v/>
      </c>
      <c r="CF45" s="185" t="str">
        <f>IF(Tim!CG47=FIT!$E$1,Tim!CG47,"")</f>
        <v/>
      </c>
      <c r="CG45" s="185" t="str">
        <f>IF(Tim!CH47=FIT!$E$1,Tim!CH47,"")</f>
        <v/>
      </c>
      <c r="CH45" s="185" t="str">
        <f>IF(Tim!CI47=FIT!$E$1,Tim!CI47,"")</f>
        <v/>
      </c>
      <c r="CI45" s="185" t="str">
        <f>IF(Tim!CJ47=FIT!$E$1,Tim!CJ47,"")</f>
        <v/>
      </c>
      <c r="CJ45" s="185" t="str">
        <f>IF(Tim!CK47=FIT!$E$1,Tim!CK47,"")</f>
        <v/>
      </c>
      <c r="CK45" s="185" t="str">
        <f>IF(Tim!CL47=FIT!$E$1,Tim!CL47,"")</f>
        <v/>
      </c>
      <c r="CL45" s="185" t="e">
        <f>IF(Tim!#REF!=FIT!$E$1,Tim!#REF!,"")</f>
        <v>#REF!</v>
      </c>
      <c r="CM45" s="185" t="str">
        <f>IF(Tim!CM47=FIT!$E$1,Tim!CM47,"")</f>
        <v/>
      </c>
      <c r="CN45" s="185" t="str">
        <f>IF(Tim!CO47=FIT!$E$1,Tim!CO47,"")</f>
        <v/>
      </c>
      <c r="CO45" s="185" t="str">
        <f>IF(Tim!CP47=FIT!$E$1,Tim!CP47,"")</f>
        <v/>
      </c>
      <c r="CP45" s="185" t="str">
        <f>IF(Tim!CQ47=FIT!$E$1,Tim!CQ47,"")</f>
        <v/>
      </c>
      <c r="CQ45" s="185" t="str">
        <f>IF(Tim!CR47=FIT!$E$1,Tim!CR47,"")</f>
        <v/>
      </c>
      <c r="CR45" s="185" t="str">
        <f>IF(Tim!CS47=FIT!$E$1,Tim!CS47,"")</f>
        <v/>
      </c>
      <c r="CS45" s="185" t="str">
        <f>IF(Tim!CT47=FIT!$E$1,Tim!CT47,"")</f>
        <v/>
      </c>
      <c r="CT45" s="185" t="str">
        <f>IF(Tim!CU47=FIT!$E$1,Tim!CU47,"")</f>
        <v/>
      </c>
      <c r="CU45" s="185" t="str">
        <f>IF(Tim!CV47=FIT!$E$1,Tim!CV47,"")</f>
        <v/>
      </c>
      <c r="CV45" s="185" t="str">
        <f>IF(Tim!CW47=FIT!$E$1,Tim!CW47,"")</f>
        <v/>
      </c>
      <c r="CW45" s="185" t="str">
        <f>IF(Tim!CX47=FIT!$E$1,Tim!CX47,"")</f>
        <v/>
      </c>
      <c r="CX45" s="185" t="str">
        <f>IF(Tim!CY47=FIT!$E$1,Tim!CY47,"")</f>
        <v/>
      </c>
      <c r="CY45" s="185" t="str">
        <f>IF(Tim!CZ47=FIT!$E$1,Tim!CZ47,"")</f>
        <v/>
      </c>
      <c r="CZ45" s="185" t="str">
        <f>IF(Tim!DA47=FIT!$E$1,Tim!DA47,"")</f>
        <v/>
      </c>
      <c r="DA45" s="185" t="str">
        <f>IF(Tim!DB47=FIT!$E$1,Tim!DB47,"")</f>
        <v/>
      </c>
      <c r="DB45" s="185" t="str">
        <f>IF(Tim!DC47=FIT!$E$1,Tim!DC47,"")</f>
        <v/>
      </c>
      <c r="DC45" s="185" t="str">
        <f>IF(Tim!DD47=FIT!$E$1,Tim!DD47,"")</f>
        <v/>
      </c>
      <c r="DD45" s="185" t="str">
        <f>IF(Tim!DE47=FIT!$E$1,Tim!DE47,"")</f>
        <v/>
      </c>
      <c r="DE45" s="185" t="str">
        <f>IF(Tim!DF47=FIT!$E$1,Tim!DF47,"")</f>
        <v/>
      </c>
      <c r="DF45" s="185" t="str">
        <f>IF(Tim!DG47=FIT!$E$1,Tim!DG47,"")</f>
        <v/>
      </c>
      <c r="DG45" s="185" t="str">
        <f>IF(Tim!DH47=FIT!$E$1,Tim!DH47,"")</f>
        <v/>
      </c>
      <c r="DH45" s="185" t="str">
        <f>IF(Tim!DI47=FIT!$E$1,Tim!DI47,"")</f>
        <v/>
      </c>
      <c r="DI45" s="185" t="str">
        <f>IF(Tim!DM47=FIT!$E$1,Tim!DM47,"")</f>
        <v/>
      </c>
      <c r="DJ45" s="185" t="str">
        <f>IF(Tim!DN47=FIT!$E$1,Tim!DN47,"")</f>
        <v/>
      </c>
      <c r="DK45" s="185" t="str">
        <f>IF(Tim!DO47=FIT!$E$1,Tim!DO47,"")</f>
        <v/>
      </c>
      <c r="DL45" s="185" t="str">
        <f>IF(Tim!DP47=FIT!$E$1,Tim!DP47,"")</f>
        <v/>
      </c>
      <c r="DM45" s="185" t="str">
        <f>IF(Tim!DQ47=FIT!$E$1,Tim!DQ47,"")</f>
        <v/>
      </c>
      <c r="DN45" s="185" t="str">
        <f>IF(Tim!DR47=FIT!$E$1,Tim!DR47,"")</f>
        <v/>
      </c>
      <c r="DO45" s="185" t="str">
        <f>IF(Tim!DS47=FIT!$E$1,Tim!DS47,"")</f>
        <v/>
      </c>
      <c r="DP45" s="185" t="str">
        <f>IF(Tim!DT47=FIT!$E$1,Tim!DT47,"")</f>
        <v/>
      </c>
      <c r="DQ45" s="185" t="str">
        <f>IF(Tim!DU47=FIT!$E$1,Tim!DU47,"")</f>
        <v/>
      </c>
      <c r="DR45" s="185" t="str">
        <f>IF(Tim!DV47=FIT!$E$1,Tim!DV47,"")</f>
        <v/>
      </c>
      <c r="DS45" s="185" t="str">
        <f>IF(Tim!DW47=FIT!$E$1,Tim!DW47,"")</f>
        <v/>
      </c>
      <c r="DT45" s="185" t="str">
        <f>IF(Tim!DX47=FIT!$E$1,Tim!DX47,"")</f>
        <v/>
      </c>
      <c r="DU45" s="185" t="str">
        <f>IF(Tim!DY47=FIT!$E$1,Tim!DY47,"")</f>
        <v/>
      </c>
      <c r="DV45" s="185" t="str">
        <f>IF(Tim!DZ47=FIT!$E$1,Tim!DZ47,"")</f>
        <v/>
      </c>
      <c r="DW45" s="185" t="str">
        <f>IF(Tim!EA47=FIT!$E$1,Tim!EA47,"")</f>
        <v/>
      </c>
      <c r="DX45" s="185" t="str">
        <f>IF(Tim!EB47=FIT!$E$1,Tim!EB47,"")</f>
        <v/>
      </c>
      <c r="DY45" s="185" t="str">
        <f>IF(Tim!EC47=FIT!$E$1,Tim!EC47,"")</f>
        <v/>
      </c>
      <c r="DZ45" s="185" t="str">
        <f>IF(Tim!ED47=FIT!$E$1,Tim!ED47,"")</f>
        <v/>
      </c>
      <c r="EA45" s="185" t="str">
        <f>IF(Tim!EE47=FIT!$E$1,Tim!EE47,"")</f>
        <v/>
      </c>
      <c r="EB45" s="185" t="str">
        <f>IF(Tim!EF47=FIT!$E$1,Tim!EF47,"")</f>
        <v/>
      </c>
      <c r="EC45" s="185" t="str">
        <f>IF(Tim!EG47=FIT!$E$1,Tim!EG47,"")</f>
        <v/>
      </c>
      <c r="ED45" s="185" t="str">
        <f>IF(Tim!EH47=FIT!$E$1,Tim!EH47,"")</f>
        <v/>
      </c>
      <c r="EE45" s="185" t="str">
        <f>IF(Tim!EI47=FIT!$E$1,Tim!EI47,"")</f>
        <v/>
      </c>
      <c r="EF45" s="185" t="str">
        <f>IF(Tim!EJ47=FIT!$E$1,Tim!EJ47,"")</f>
        <v/>
      </c>
      <c r="EG45" s="185" t="str">
        <f>IF(Tim!EK47=FIT!$E$1,Tim!EK47,"")</f>
        <v/>
      </c>
      <c r="EH45" s="185" t="str">
        <f>IF(Tim!EL47=FIT!$E$1,Tim!EL47,"")</f>
        <v/>
      </c>
      <c r="EI45" s="185" t="str">
        <f>IF(Tim!EM47=FIT!$E$1,Tim!EM47,"")</f>
        <v/>
      </c>
      <c r="EJ45" s="185" t="str">
        <f>IF(Tim!EN47=FIT!$E$1,Tim!EN47,"")</f>
        <v/>
      </c>
      <c r="EK45" s="185" t="str">
        <f>IF(Tim!EO47=FIT!$E$1,Tim!EO47,"")</f>
        <v/>
      </c>
      <c r="EL45" s="185" t="str">
        <f>IF(Tim!EP47=FIT!$E$1,Tim!EP47,"")</f>
        <v/>
      </c>
      <c r="EM45" s="185" t="str">
        <f>IF(Tim!EQ47=FIT!$E$1,Tim!EQ47,"")</f>
        <v/>
      </c>
      <c r="EN45" s="185" t="str">
        <f>IF(Tim!ER47=FIT!$E$1,Tim!ER47,"")</f>
        <v/>
      </c>
      <c r="EO45" s="185" t="str">
        <f>IF(Tim!ES47=FIT!$E$1,Tim!ES47,"")</f>
        <v/>
      </c>
      <c r="EP45" s="185" t="str">
        <f>IF(Tim!ET47=FIT!$E$1,Tim!ET47,"")</f>
        <v/>
      </c>
      <c r="EQ45" s="185" t="str">
        <f>IF(Tim!EU47=FIT!$E$1,Tim!EU47,"")</f>
        <v/>
      </c>
      <c r="ER45" s="185" t="str">
        <f>IF(Tim!EV47=FIT!$E$1,Tim!EV47,"")</f>
        <v/>
      </c>
      <c r="ES45" s="185" t="str">
        <f>IF(Tim!EW47=FIT!$E$1,Tim!EW47,"")</f>
        <v/>
      </c>
      <c r="ET45" s="185" t="str">
        <f>IF(Tim!EX47=FIT!$E$1,Tim!EX47,"")</f>
        <v/>
      </c>
      <c r="EU45" s="185" t="str">
        <f>IF(Tim!EY47=FIT!$E$1,Tim!EY47,"")</f>
        <v/>
      </c>
      <c r="EV45" s="185" t="str">
        <f>IF(Tim!EZ47=FIT!$E$1,Tim!EZ47,"")</f>
        <v/>
      </c>
      <c r="EW45" s="185" t="str">
        <f>IF(Tim!FA47=FIT!$E$1,Tim!FA47,"")</f>
        <v/>
      </c>
      <c r="EX45" s="185" t="str">
        <f>IF(Tim!FB47=FIT!$E$1,Tim!FB47,"")</f>
        <v/>
      </c>
      <c r="EY45" s="185" t="str">
        <f>IF(Tim!FC47=FIT!$E$1,Tim!FC47,"")</f>
        <v/>
      </c>
      <c r="EZ45" s="185" t="str">
        <f>IF(Tim!FD47=FIT!$E$1,Tim!FD47,"")</f>
        <v/>
      </c>
      <c r="FA45" s="185" t="str">
        <f>IF(Tim!FE47=FIT!$E$1,Tim!FE47,"")</f>
        <v/>
      </c>
      <c r="FB45" s="185" t="str">
        <f>IF(Tim!FF47=FIT!$E$1,Tim!FF47,"")</f>
        <v/>
      </c>
      <c r="FC45" s="185" t="str">
        <f>IF(Tim!FG47=FIT!$E$1,Tim!FG47,"")</f>
        <v/>
      </c>
      <c r="FD45" s="185" t="str">
        <f>IF(Tim!FH47=FIT!$E$1,Tim!FH47,"")</f>
        <v/>
      </c>
      <c r="FE45" s="185" t="str">
        <f>IF(Tim!FI47=FIT!$E$1,Tim!FI47,"")</f>
        <v/>
      </c>
      <c r="FF45" s="185" t="str">
        <f>IF(Tim!FJ47=FIT!$E$1,Tim!FJ47,"")</f>
        <v/>
      </c>
      <c r="FG45" s="185" t="str">
        <f>IF(Tim!FK47=FIT!$E$1,Tim!FK47,"")</f>
        <v/>
      </c>
      <c r="FH45" s="185" t="str">
        <f>IF(Tim!FL47=FIT!$E$1,Tim!FL47,"")</f>
        <v/>
      </c>
      <c r="FI45" s="185" t="str">
        <f>IF(Tim!FM47=FIT!$E$1,Tim!FM47,"")</f>
        <v/>
      </c>
      <c r="FJ45" s="185" t="str">
        <f>IF(Tim!FN47=FIT!$E$1,Tim!FN47,"")</f>
        <v/>
      </c>
      <c r="FK45" s="185" t="str">
        <f>IF(Tim!FO47=FIT!$E$1,Tim!FO47,"")</f>
        <v/>
      </c>
      <c r="FL45" s="185" t="str">
        <f>IF(Tim!FP47=FIT!$E$1,Tim!FP47,"")</f>
        <v/>
      </c>
      <c r="FM45" s="185" t="str">
        <f>IF(Tim!FQ47=FIT!$E$1,Tim!FQ47,"")</f>
        <v/>
      </c>
      <c r="FN45" s="185" t="str">
        <f>IF(Tim!FR47=FIT!$E$1,Tim!FR47,"")</f>
        <v/>
      </c>
      <c r="FO45" s="185" t="str">
        <f>IF(Tim!FS47=FIT!$E$1,Tim!FS47,"")</f>
        <v/>
      </c>
      <c r="FP45" s="185" t="str">
        <f>IF(Tim!FT47=FIT!$E$1,Tim!FT47,"")</f>
        <v/>
      </c>
      <c r="FQ45" s="185" t="str">
        <f>IF(Tim!FU47=FIT!$E$1,Tim!FU47,"")</f>
        <v/>
      </c>
      <c r="FR45" s="185" t="str">
        <f>IF(Tim!FV47=FIT!$E$1,Tim!FV47,"")</f>
        <v/>
      </c>
      <c r="FS45" s="185" t="str">
        <f>IF(Tim!FW47=FIT!$E$1,Tim!FW47,"")</f>
        <v/>
      </c>
      <c r="FT45" s="185" t="str">
        <f>IF(Tim!FX47=FIT!$E$1,Tim!FX47,"")</f>
        <v/>
      </c>
      <c r="FU45" s="185" t="str">
        <f>IF(Tim!FY47=FIT!$E$1,Tim!FY47,"")</f>
        <v/>
      </c>
      <c r="FV45" s="185" t="str">
        <f>IF(Tim!FZ47=FIT!$E$1,Tim!FZ47,"")</f>
        <v/>
      </c>
      <c r="FW45" s="185" t="str">
        <f>IF(Tim!GA47=FIT!$E$1,Tim!GA47,"")</f>
        <v/>
      </c>
      <c r="FX45" s="185" t="str">
        <f>IF(Tim!GB47=FIT!$E$1,Tim!GB47,"")</f>
        <v/>
      </c>
      <c r="FY45" s="185" t="str">
        <f>IF(Tim!GC47=FIT!$E$1,Tim!GC47,"")</f>
        <v/>
      </c>
      <c r="FZ45" s="185" t="str">
        <f>IF(Tim!GD47=FIT!$E$1,Tim!GD47,"")</f>
        <v/>
      </c>
      <c r="GA45" s="185" t="str">
        <f>IF(Tim!GE47=FIT!$E$1,Tim!GE47,"")</f>
        <v/>
      </c>
      <c r="GB45" s="185" t="str">
        <f>IF(Tim!GF47=FIT!$E$1,Tim!GF47,"")</f>
        <v/>
      </c>
      <c r="GC45" s="185" t="str">
        <f>IF(Tim!GG47=FIT!$E$1,Tim!GG47,"")</f>
        <v/>
      </c>
      <c r="GD45" s="185" t="str">
        <f>IF(Tim!GH47=FIT!$E$1,Tim!GH47,"")</f>
        <v/>
      </c>
      <c r="GE45" s="185" t="str">
        <f>IF(Tim!GI47=FIT!$E$1,Tim!GI47,"")</f>
        <v/>
      </c>
      <c r="GF45" s="185" t="str">
        <f>IF(Tim!GJ47=FIT!$E$1,Tim!GJ47,"")</f>
        <v/>
      </c>
      <c r="GG45" s="185" t="str">
        <f>IF(Tim!GK47=FIT!$E$1,Tim!GK47,"")</f>
        <v/>
      </c>
      <c r="GH45" s="185" t="str">
        <f>IF(Tim!GL47=FIT!$E$1,Tim!GL47,"")</f>
        <v/>
      </c>
      <c r="GI45" s="185" t="str">
        <f>IF(Tim!GM47=FIT!$E$1,Tim!GM47,"")</f>
        <v/>
      </c>
      <c r="GJ45" s="185" t="str">
        <f>IF(Tim!GN47=FIT!$E$1,Tim!GN47,"")</f>
        <v/>
      </c>
      <c r="GK45" s="185" t="str">
        <f>IF(Tim!GO47=FIT!$E$1,Tim!GO47,"")</f>
        <v/>
      </c>
      <c r="GL45" s="185" t="str">
        <f>IF(Tim!GP47=FIT!$E$1,Tim!GP47,"")</f>
        <v/>
      </c>
      <c r="GM45" s="185" t="str">
        <f>IF(Tim!GQ47=FIT!$E$1,Tim!GQ47,"")</f>
        <v/>
      </c>
      <c r="GN45" s="185" t="str">
        <f>IF(Tim!GR47=FIT!$E$1,Tim!GR47,"")</f>
        <v/>
      </c>
      <c r="GO45" s="185" t="str">
        <f>IF(Tim!GS47=FIT!$E$1,Tim!GS47,"")</f>
        <v/>
      </c>
      <c r="GP45" s="185" t="str">
        <f>IF(Tim!GT47=FIT!$E$1,Tim!GT47,"")</f>
        <v/>
      </c>
      <c r="GQ45" s="185" t="str">
        <f>IF(Tim!GU47=FIT!$E$1,Tim!GU47,"")</f>
        <v/>
      </c>
      <c r="GR45" s="185" t="str">
        <f>IF(Tim!GV47=FIT!$E$1,Tim!GV47,"")</f>
        <v/>
      </c>
      <c r="GS45" s="185" t="str">
        <f>IF(Tim!GW47=FIT!$E$1,Tim!GW47,"")</f>
        <v/>
      </c>
      <c r="GT45" s="185" t="str">
        <f>IF(Tim!GX47=FIT!$E$1,Tim!GX47,"")</f>
        <v/>
      </c>
      <c r="GU45" s="185" t="str">
        <f>IF(Tim!GY47=FIT!$E$1,Tim!GY47,"")</f>
        <v/>
      </c>
      <c r="GV45" s="185" t="str">
        <f>IF(Tim!GZ47=FIT!$E$1,Tim!GZ47,"")</f>
        <v/>
      </c>
      <c r="GW45" s="185" t="str">
        <f>IF(Tim!HA47=FIT!$E$1,Tim!HA47,"")</f>
        <v/>
      </c>
      <c r="GX45" s="185" t="str">
        <f>IF(Tim!HB47=FIT!$E$1,Tim!HB47,"")</f>
        <v/>
      </c>
      <c r="GY45" s="185" t="str">
        <f>IF(Tim!HC47=FIT!$E$1,Tim!HC47,"")</f>
        <v/>
      </c>
      <c r="GZ45" s="185" t="str">
        <f>IF(Tim!HD47=FIT!$E$1,Tim!HD47,"")</f>
        <v/>
      </c>
      <c r="HA45" s="185" t="str">
        <f>IF(Tim!HE47=FIT!$E$1,Tim!HE47,"")</f>
        <v/>
      </c>
      <c r="HB45" s="185" t="str">
        <f>IF(Tim!HF47=FIT!$E$1,Tim!HF47,"")</f>
        <v/>
      </c>
      <c r="HC45" s="185" t="str">
        <f>IF(Tim!HG47=FIT!$E$1,Tim!HG47,"")</f>
        <v/>
      </c>
      <c r="HD45" s="185" t="str">
        <f>IF(Tim!HH47=FIT!$E$1,Tim!HH47,"")</f>
        <v/>
      </c>
      <c r="HE45" s="185" t="str">
        <f>IF(Tim!HI47=FIT!$E$1,Tim!HI47,"")</f>
        <v/>
      </c>
      <c r="HF45" s="185" t="str">
        <f>IF(Tim!HJ47=FIT!$E$1,Tim!HJ47,"")</f>
        <v/>
      </c>
      <c r="HG45" s="185" t="str">
        <f>IF(Tim!HK47=FIT!$E$1,Tim!HK47,"")</f>
        <v/>
      </c>
      <c r="HH45" s="185" t="str">
        <f>IF(Tim!HL47=FIT!$E$1,Tim!HL47,"")</f>
        <v/>
      </c>
      <c r="HI45" s="185" t="str">
        <f>IF(Tim!HM47=FIT!$E$1,Tim!HM47,"")</f>
        <v/>
      </c>
      <c r="HJ45" s="185" t="str">
        <f>IF(Tim!HN47=FIT!$E$1,Tim!HN47,"")</f>
        <v/>
      </c>
      <c r="HK45" s="185" t="str">
        <f>IF(Tim!HO47=FIT!$E$1,Tim!HO47,"")</f>
        <v/>
      </c>
      <c r="HL45" s="185" t="str">
        <f>IF(Tim!HP47=FIT!$E$1,Tim!HP47,"")</f>
        <v/>
      </c>
      <c r="HM45" s="185" t="str">
        <f>IF(Tim!HQ47=FIT!$E$1,Tim!HQ47,"")</f>
        <v/>
      </c>
      <c r="HN45" s="185" t="str">
        <f>IF(Tim!HR47=FIT!$E$1,Tim!HR47,"")</f>
        <v/>
      </c>
      <c r="HO45" s="185" t="str">
        <f>IF(Tim!HS47=FIT!$E$1,Tim!HS47,"")</f>
        <v/>
      </c>
      <c r="HP45" s="185" t="str">
        <f>IF(Tim!HT47=FIT!$E$1,Tim!HT47,"")</f>
        <v/>
      </c>
      <c r="HQ45" s="185" t="str">
        <f>IF(Tim!HU47=FIT!$E$1,Tim!HU47,"")</f>
        <v/>
      </c>
      <c r="HR45" s="185" t="str">
        <f>IF(Tim!HV47=FIT!$E$1,Tim!HV47,"")</f>
        <v/>
      </c>
      <c r="HS45" s="185" t="str">
        <f>IF(Tim!HW47=FIT!$E$1,Tim!HW47,"")</f>
        <v/>
      </c>
      <c r="HT45" s="185" t="str">
        <f>IF(Tim!HX47=FIT!$E$1,Tim!HX47,"")</f>
        <v/>
      </c>
      <c r="HU45" s="185" t="str">
        <f>IF(Tim!HY47=FIT!$E$1,Tim!HY47,"")</f>
        <v/>
      </c>
      <c r="HV45" s="185" t="str">
        <f>IF(Tim!HZ47=FIT!$E$1,Tim!HZ47,"")</f>
        <v/>
      </c>
      <c r="HW45" s="185" t="str">
        <f>IF(Tim!IA47=FIT!$E$1,Tim!IA47,"")</f>
        <v/>
      </c>
      <c r="HX45" s="185" t="str">
        <f>IF(Tim!IB47=FIT!$E$1,Tim!IB47,"")</f>
        <v/>
      </c>
      <c r="HY45" s="185" t="str">
        <f>IF(Tim!IC47=FIT!$E$1,Tim!IC47,"")</f>
        <v/>
      </c>
      <c r="HZ45" s="185" t="str">
        <f>IF(Tim!ID47=FIT!$E$1,Tim!ID47,"")</f>
        <v/>
      </c>
      <c r="IA45" s="185" t="str">
        <f>IF(Tim!IE47=FIT!$E$1,Tim!IE47,"")</f>
        <v/>
      </c>
      <c r="IB45" s="185" t="str">
        <f>IF(Tim!IF47=FIT!$E$1,Tim!IF47,"")</f>
        <v/>
      </c>
      <c r="IC45" s="185" t="str">
        <f>IF(Tim!IG47=FIT!$E$1,Tim!IG47,"")</f>
        <v/>
      </c>
      <c r="ID45" s="185" t="str">
        <f>IF(Tim!IH47=FIT!$E$1,Tim!IH47,"")</f>
        <v/>
      </c>
      <c r="IE45" s="185" t="str">
        <f>IF(Tim!II47=FIT!$E$1,Tim!II47,"")</f>
        <v/>
      </c>
      <c r="IF45" s="185" t="str">
        <f>IF(Tim!IJ47=FIT!$E$1,Tim!IJ47,"")</f>
        <v/>
      </c>
      <c r="IG45" s="185" t="str">
        <f>IF(Tim!IK47=FIT!$E$1,Tim!IK47,"")</f>
        <v/>
      </c>
      <c r="IH45" s="185" t="str">
        <f>IF(Tim!IL47=FIT!$E$1,Tim!IL47,"")</f>
        <v/>
      </c>
      <c r="II45" s="185" t="str">
        <f>IF(Tim!IM47=FIT!$E$1,Tim!IM47,"")</f>
        <v/>
      </c>
      <c r="IJ45" s="185" t="str">
        <f>IF(Tim!IN47=FIT!$E$1,Tim!IN47,"")</f>
        <v/>
      </c>
      <c r="IK45" s="185" t="str">
        <f>IF(Tim!IO47=FIT!$E$1,Tim!IO47,"")</f>
        <v/>
      </c>
      <c r="IL45" s="185" t="str">
        <f>IF(Tim!IP47=FIT!$E$1,Tim!IP47,"")</f>
        <v/>
      </c>
      <c r="IM45" s="185" t="str">
        <f>IF(Tim!IQ47=FIT!$E$1,Tim!IQ47,"")</f>
        <v/>
      </c>
      <c r="IN45" s="185" t="str">
        <f>IF(Tim!IR47=FIT!$E$1,Tim!IR47,"")</f>
        <v/>
      </c>
      <c r="IO45" s="185" t="str">
        <f>IF(Tim!IS47=FIT!$E$1,Tim!IS47,"")</f>
        <v/>
      </c>
      <c r="IP45" s="185" t="str">
        <f>IF(Tim!IT47=FIT!$E$1,Tim!IT47,"")</f>
        <v/>
      </c>
      <c r="IQ45" s="185" t="str">
        <f>IF(Tim!IU47=FIT!$E$1,Tim!IU47,"")</f>
        <v/>
      </c>
      <c r="IR45" s="185" t="str">
        <f>IF(Tim!IV47=FIT!$E$1,Tim!IV47,"")</f>
        <v/>
      </c>
      <c r="IS45" s="185" t="str">
        <f>IF(Tim!IW47=FIT!$E$1,Tim!IW47,"")</f>
        <v/>
      </c>
      <c r="IT45" s="185" t="str">
        <f>IF(Tim!IX47=FIT!$E$1,Tim!IX47,"")</f>
        <v/>
      </c>
      <c r="IU45" s="185" t="str">
        <f>IF(Tim!IY47=FIT!$E$1,Tim!IY47,"")</f>
        <v/>
      </c>
      <c r="IV45" s="185" t="str">
        <f>IF(Tim!IZ47=FIT!$E$1,Tim!IZ47,"")</f>
        <v/>
      </c>
      <c r="IW45" s="185" t="str">
        <f>IF(Tim!JA47=FIT!$E$1,Tim!JA47,"")</f>
        <v/>
      </c>
      <c r="IX45" s="185" t="str">
        <f>IF(Tim!JB47=FIT!$E$1,Tim!JB47,"")</f>
        <v/>
      </c>
      <c r="IY45" s="185" t="str">
        <f>IF(Tim!JC47=FIT!$E$1,Tim!JC47,"")</f>
        <v/>
      </c>
      <c r="IZ45" s="185" t="str">
        <f>IF(Tim!JD47=FIT!$E$1,Tim!JD47,"")</f>
        <v/>
      </c>
      <c r="JA45" s="185" t="str">
        <f>IF(Tim!JE47=FIT!$E$1,Tim!JE47,"")</f>
        <v/>
      </c>
      <c r="JB45" s="185" t="str">
        <f>IF(Tim!JF47=FIT!$E$1,Tim!JF47,"")</f>
        <v/>
      </c>
      <c r="JC45" s="185" t="str">
        <f>IF(Tim!JG47=FIT!$E$1,Tim!JG47,"")</f>
        <v/>
      </c>
      <c r="JD45" s="185" t="str">
        <f>IF(Tim!JH47=FIT!$E$1,Tim!JH47,"")</f>
        <v/>
      </c>
      <c r="JE45" s="185" t="str">
        <f>IF(Tim!JI47=FIT!$E$1,Tim!JI47,"")</f>
        <v/>
      </c>
      <c r="JF45" s="185" t="str">
        <f>IF(Tim!JJ47=FIT!$E$1,Tim!JJ47,"")</f>
        <v/>
      </c>
      <c r="JG45" s="185" t="str">
        <f>IF(Tim!JK47=FIT!$E$1,Tim!JK47,"")</f>
        <v/>
      </c>
      <c r="JH45" s="185" t="str">
        <f>IF(Tim!JL47=FIT!$E$1,Tim!JL47,"")</f>
        <v/>
      </c>
      <c r="JI45" s="185" t="str">
        <f>IF(Tim!JM47=FIT!$E$1,Tim!JM47,"")</f>
        <v/>
      </c>
      <c r="JJ45" s="185" t="str">
        <f>IF(Tim!JN47=FIT!$E$1,Tim!JN47,"")</f>
        <v/>
      </c>
      <c r="JK45" s="185" t="str">
        <f>IF(Tim!JO47=FIT!$E$1,Tim!JO47,"")</f>
        <v/>
      </c>
      <c r="JL45" s="185" t="str">
        <f>IF(Tim!JP47=FIT!$E$1,Tim!JP47,"")</f>
        <v/>
      </c>
      <c r="JM45" s="185" t="str">
        <f>IF(Tim!JQ47=FIT!$E$1,Tim!JQ47,"")</f>
        <v/>
      </c>
      <c r="JN45" s="185" t="str">
        <f>IF(Tim!JR47=FIT!$E$1,Tim!JR47,"")</f>
        <v/>
      </c>
      <c r="JO45" s="185" t="str">
        <f>IF(Tim!JS47=FIT!$E$1,Tim!JS47,"")</f>
        <v/>
      </c>
      <c r="JP45" s="185" t="str">
        <f>IF(Tim!JT47=FIT!$E$1,Tim!JT47,"")</f>
        <v/>
      </c>
      <c r="JQ45" s="185" t="str">
        <f>IF(Tim!JU47=FIT!$E$1,Tim!JU47,"")</f>
        <v/>
      </c>
      <c r="JR45" s="185" t="str">
        <f>IF(Tim!JV47=FIT!$E$1,Tim!JV47,"")</f>
        <v/>
      </c>
      <c r="JS45" s="185" t="str">
        <f>IF(Tim!JW47=FIT!$E$1,Tim!JW47,"")</f>
        <v/>
      </c>
      <c r="JT45" s="185" t="str">
        <f>IF(Tim!JX47=FIT!$E$1,Tim!JX47,"")</f>
        <v/>
      </c>
      <c r="JU45" s="185" t="str">
        <f>IF(Tim!JY47=FIT!$E$1,Tim!JY47,"")</f>
        <v/>
      </c>
      <c r="JV45" s="185" t="str">
        <f>IF(Tim!JZ47=FIT!$E$1,Tim!JZ47,"")</f>
        <v/>
      </c>
      <c r="JW45" s="185" t="str">
        <f>IF(Tim!KA47=FIT!$E$1,Tim!KA47,"")</f>
        <v/>
      </c>
      <c r="JX45" s="185" t="str">
        <f>IF(Tim!KB47=FIT!$E$1,Tim!KB47,"")</f>
        <v/>
      </c>
      <c r="JY45" s="185" t="str">
        <f>IF(Tim!KC47=FIT!$E$1,Tim!KC47,"")</f>
        <v/>
      </c>
      <c r="JZ45" s="185" t="str">
        <f>IF(Tim!KD47=FIT!$E$1,Tim!KD47,"")</f>
        <v/>
      </c>
      <c r="KA45" s="185" t="str">
        <f>IF(Tim!KE47=FIT!$E$1,Tim!KE47,"")</f>
        <v/>
      </c>
      <c r="KB45" s="185" t="str">
        <f>IF(Tim!KF47=FIT!$E$1,Tim!KF47,"")</f>
        <v/>
      </c>
      <c r="KC45" s="185" t="str">
        <f>IF(Tim!KG47=FIT!$E$1,Tim!KG47,"")</f>
        <v/>
      </c>
      <c r="KD45" s="185" t="str">
        <f>IF(Tim!KH47=FIT!$E$1,Tim!KH47,"")</f>
        <v/>
      </c>
      <c r="KE45" s="185" t="str">
        <f>IF(Tim!KI47=FIT!$E$1,Tim!KI47,"")</f>
        <v/>
      </c>
      <c r="KF45" s="185" t="str">
        <f>IF(Tim!KJ47=FIT!$E$1,Tim!KJ47,"")</f>
        <v/>
      </c>
      <c r="KG45" s="185" t="str">
        <f>IF(Tim!KK47=FIT!$E$1,Tim!KK47,"")</f>
        <v/>
      </c>
      <c r="KH45" s="185" t="str">
        <f>IF(Tim!KL47=FIT!$E$1,Tim!KL47,"")</f>
        <v/>
      </c>
      <c r="KI45" s="185" t="str">
        <f>IF(Tim!KM47=FIT!$E$1,Tim!KM47,"")</f>
        <v/>
      </c>
      <c r="KJ45" s="185" t="str">
        <f>IF(Tim!KN47=FIT!$E$1,Tim!KN47,"")</f>
        <v/>
      </c>
      <c r="KK45" s="185" t="str">
        <f>IF(Tim!KO47=FIT!$E$1,Tim!KO47,"")</f>
        <v/>
      </c>
      <c r="KL45" s="185" t="str">
        <f>IF(Tim!KP47=FIT!$E$1,Tim!KP47,"")</f>
        <v/>
      </c>
      <c r="KM45" s="185" t="str">
        <f>IF(Tim!KQ47=FIT!$E$1,Tim!KQ47,"")</f>
        <v/>
      </c>
      <c r="KN45" s="185" t="str">
        <f>IF(Tim!KR47=FIT!$E$1,Tim!KR47,"")</f>
        <v/>
      </c>
      <c r="KO45" s="185" t="str">
        <f>IF(Tim!KS47=FIT!$E$1,Tim!KS47,"")</f>
        <v/>
      </c>
      <c r="KP45" s="185" t="str">
        <f>IF(Tim!KT47=FIT!$E$1,Tim!KT47,"")</f>
        <v/>
      </c>
      <c r="KQ45" s="185" t="str">
        <f>IF(Tim!KU47=FIT!$E$1,Tim!KU47,"")</f>
        <v/>
      </c>
      <c r="KR45" s="185" t="str">
        <f>IF(Tim!KV47=FIT!$E$1,Tim!KV47,"")</f>
        <v/>
      </c>
      <c r="KS45" s="185" t="str">
        <f>IF(Tim!KW47=FIT!$E$1,Tim!KW47,"")</f>
        <v/>
      </c>
      <c r="KT45" s="185" t="str">
        <f>IF(Tim!KX47=FIT!$E$1,Tim!KX47,"")</f>
        <v/>
      </c>
      <c r="KU45" s="185" t="str">
        <f>IF(Tim!KY47=FIT!$E$1,Tim!KY47,"")</f>
        <v/>
      </c>
      <c r="KV45" s="185" t="str">
        <f>IF(Tim!KZ47=FIT!$E$1,Tim!KZ47,"")</f>
        <v/>
      </c>
      <c r="KW45" s="185" t="str">
        <f>IF(Tim!LA47=FIT!$E$1,Tim!LA47,"")</f>
        <v/>
      </c>
      <c r="KX45" s="185" t="str">
        <f>IF(Tim!LB47=FIT!$E$1,Tim!LB47,"")</f>
        <v/>
      </c>
      <c r="KY45" s="185" t="str">
        <f>IF(Tim!LC47=FIT!$E$1,Tim!LC47,"")</f>
        <v/>
      </c>
      <c r="KZ45" s="185" t="str">
        <f>IF(Tim!LD47=FIT!$E$1,Tim!LD47,"")</f>
        <v/>
      </c>
      <c r="LA45" s="185" t="str">
        <f>IF(Tim!LE47=FIT!$E$1,Tim!LE47,"")</f>
        <v/>
      </c>
      <c r="LB45" s="52">
        <v>0.70833333333333204</v>
      </c>
    </row>
    <row r="46" spans="2:314" ht="10.5" customHeight="1">
      <c r="B46" s="49">
        <v>0.25</v>
      </c>
      <c r="C46" s="49">
        <v>0.25</v>
      </c>
      <c r="D46" s="49">
        <v>0.25</v>
      </c>
      <c r="E46" s="172">
        <v>0.718749999999999</v>
      </c>
      <c r="F46" s="238" t="str">
        <f>IF(Tim!F48=FIT!$E$1,Tim!F48,"")</f>
        <v/>
      </c>
      <c r="G46" s="185" t="str">
        <f>IF(Tim!G48=FIT!$E$1,Tim!G48,"")</f>
        <v/>
      </c>
      <c r="H46" s="185" t="str">
        <f>IF(Tim!H48=FIT!$E$1,Tim!H48,"")</f>
        <v/>
      </c>
      <c r="I46" s="185" t="str">
        <f>IF(Tim!I48=FIT!$E$1,Tim!I48,"")</f>
        <v/>
      </c>
      <c r="J46" s="185" t="str">
        <f>IF(Tim!J48=FIT!$E$1,Tim!J48,"")</f>
        <v/>
      </c>
      <c r="K46" s="185" t="str">
        <f>IF(Tim!K48=FIT!$E$1,Tim!K48,"")</f>
        <v/>
      </c>
      <c r="L46" s="185" t="str">
        <f>IF(Tim!L48=FIT!$E$1,Tim!L48,"")</f>
        <v/>
      </c>
      <c r="M46" s="185" t="str">
        <f>IF(Tim!M48=FIT!$E$1,Tim!M48,"")</f>
        <v/>
      </c>
      <c r="N46" s="185" t="str">
        <f>IF(Tim!N48=FIT!$E$1,Tim!N48,"")</f>
        <v/>
      </c>
      <c r="O46" s="185" t="str">
        <f>IF(Tim!O48=FIT!$E$1,Tim!O48,"")</f>
        <v/>
      </c>
      <c r="P46" s="185" t="str">
        <f>IF(Tim!P48=FIT!$E$1,Tim!P48,"")</f>
        <v/>
      </c>
      <c r="Q46" s="185" t="str">
        <f>IF(Tim!Q48=FIT!$E$1,Tim!Q48,"")</f>
        <v/>
      </c>
      <c r="R46" s="185" t="str">
        <f>IF(Tim!R48=FIT!$E$1,Tim!R48,"")</f>
        <v/>
      </c>
      <c r="S46" s="185" t="str">
        <f>IF(Tim!S48=FIT!$E$1,Tim!S48,"")</f>
        <v/>
      </c>
      <c r="T46" s="185" t="str">
        <f>IF(Tim!T48=FIT!$E$1,Tim!T48,"")</f>
        <v/>
      </c>
      <c r="U46" s="185" t="str">
        <f>IF(Tim!U48=FIT!$E$1,Tim!U48,"")</f>
        <v/>
      </c>
      <c r="V46" s="185" t="str">
        <f>IF(Tim!W48=FIT!$E$1,Tim!W48,"")</f>
        <v/>
      </c>
      <c r="W46" s="185" t="str">
        <f>IF(Tim!X48=FIT!$E$1,Tim!X48,"")</f>
        <v/>
      </c>
      <c r="X46" s="185" t="str">
        <f>IF(Tim!Y48=FIT!$E$1,Tim!Y48,"")</f>
        <v/>
      </c>
      <c r="Y46" s="185" t="str">
        <f>IF(Tim!Z48=FIT!$E$1,Tim!Z48,"")</f>
        <v/>
      </c>
      <c r="Z46" s="185" t="str">
        <f>IF(Tim!AA48=FIT!$E$1,Tim!AA48,"")</f>
        <v/>
      </c>
      <c r="AA46" s="185" t="str">
        <f>IF(Tim!AB48=FIT!$E$1,Tim!AB48,"")</f>
        <v/>
      </c>
      <c r="AB46" s="185" t="str">
        <f>IF(Tim!AC48=FIT!$E$1,Tim!AC48,"")</f>
        <v/>
      </c>
      <c r="AC46" s="185" t="str">
        <f>IF(Tim!AD48=FIT!$E$1,Tim!AD48,"")</f>
        <v/>
      </c>
      <c r="AD46" s="185" t="str">
        <f>IF(Tim!AE48=FIT!$E$1,Tim!AE48,"")</f>
        <v/>
      </c>
      <c r="AE46" s="185" t="str">
        <f>IF(Tim!AF48=FIT!$E$1,Tim!AF48,"")</f>
        <v/>
      </c>
      <c r="AF46" s="185" t="str">
        <f>IF(Tim!AG48=FIT!$E$1,Tim!AG48,"")</f>
        <v/>
      </c>
      <c r="AG46" s="185" t="str">
        <f>IF(Tim!AH48=FIT!$E$1,Tim!AH48,"")</f>
        <v/>
      </c>
      <c r="AH46" s="185" t="str">
        <f>IF(Tim!AI48=FIT!$E$1,Tim!AI48,"")</f>
        <v/>
      </c>
      <c r="AI46" s="185" t="str">
        <f>IF(Tim!AJ48=FIT!$E$1,Tim!AJ48,"")</f>
        <v/>
      </c>
      <c r="AJ46" s="185" t="str">
        <f>IF(Tim!AK48=FIT!$E$1,Tim!AK48,"")</f>
        <v/>
      </c>
      <c r="AK46" s="185" t="str">
        <f>IF(Tim!AL48=FIT!$E$1,Tim!AL48,"")</f>
        <v/>
      </c>
      <c r="AL46" s="185" t="str">
        <f>IF(Tim!AM48=FIT!$E$1,Tim!AM48,"")</f>
        <v/>
      </c>
      <c r="AM46" s="185" t="str">
        <f>IF(Tim!AN48=FIT!$E$1,Tim!AN48,"")</f>
        <v/>
      </c>
      <c r="AN46" s="185" t="str">
        <f>IF(Tim!AO48=FIT!$E$1,Tim!AO48,"")</f>
        <v/>
      </c>
      <c r="AO46" s="185" t="str">
        <f>IF(Tim!AP48=FIT!$E$1,Tim!AP48,"")</f>
        <v/>
      </c>
      <c r="AP46" s="185" t="str">
        <f>IF(Tim!AQ48=FIT!$E$1,Tim!AQ48,"")</f>
        <v/>
      </c>
      <c r="AQ46" s="185" t="str">
        <f>IF(Tim!AR48=FIT!$E$1,Tim!AR48,"")</f>
        <v/>
      </c>
      <c r="AR46" s="185" t="str">
        <f>IF(Tim!AS48=FIT!$E$1,Tim!AS48,"")</f>
        <v/>
      </c>
      <c r="AS46" s="185" t="str">
        <f>IF(Tim!AT48=FIT!$E$1,Tim!AT48,"")</f>
        <v/>
      </c>
      <c r="AT46" s="185" t="str">
        <f>IF(Tim!AU48=FIT!$E$1,Tim!AU48,"")</f>
        <v/>
      </c>
      <c r="AU46" s="185" t="str">
        <f>IF(Tim!AV48=FIT!$E$1,Tim!AV48,"")</f>
        <v/>
      </c>
      <c r="AV46" s="185" t="str">
        <f>IF(Tim!AW48=FIT!$E$1,Tim!AW48,"")</f>
        <v/>
      </c>
      <c r="AW46" s="186" t="str">
        <f>IF(Tim!AX48=FIT!$E$1,Tim!AX48,"")</f>
        <v/>
      </c>
      <c r="AX46" s="243" t="str">
        <f>IF(Tim!AY48=FIT!$E$1,Tim!AY48,"")</f>
        <v/>
      </c>
      <c r="AY46" s="185" t="str">
        <f>IF(Tim!AZ48=FIT!$E$1,Tim!AZ48,"")</f>
        <v/>
      </c>
      <c r="AZ46" s="185" t="str">
        <f>IF(Tim!BA48=FIT!$E$1,Tim!BA48,"")</f>
        <v/>
      </c>
      <c r="BA46" s="185" t="str">
        <f>IF(Tim!BB48=FIT!$E$1,Tim!BB48,"")</f>
        <v/>
      </c>
      <c r="BB46" s="185" t="str">
        <f>IF(Tim!BC48=FIT!$E$1,Tim!BC48,"")</f>
        <v/>
      </c>
      <c r="BC46" s="185" t="str">
        <f>IF(Tim!BD48=FIT!$E$1,Tim!BD48,"")</f>
        <v/>
      </c>
      <c r="BD46" s="185" t="str">
        <f>IF(Tim!BE48=FIT!$E$1,Tim!BE48,"")</f>
        <v/>
      </c>
      <c r="BE46" s="185" t="str">
        <f>IF(Tim!BF48=FIT!$E$1,Tim!BF48,"")</f>
        <v/>
      </c>
      <c r="BF46" s="185" t="str">
        <f>IF(Tim!BG48=FIT!$E$1,Tim!BG48,"")</f>
        <v/>
      </c>
      <c r="BG46" s="185" t="str">
        <f>IF(Tim!BH48=FIT!$E$1,Tim!BH48,"")</f>
        <v/>
      </c>
      <c r="BH46" s="185" t="str">
        <f>IF(Tim!BI48=FIT!$E$1,Tim!BI48,"")</f>
        <v/>
      </c>
      <c r="BI46" s="185" t="str">
        <f>IF(Tim!BJ48=FIT!$E$1,Tim!BJ48,"")</f>
        <v/>
      </c>
      <c r="BJ46" s="185" t="str">
        <f>IF(Tim!BK48=FIT!$E$1,Tim!BK48,"")</f>
        <v/>
      </c>
      <c r="BK46" s="185" t="str">
        <f>IF(Tim!BL48=FIT!$E$1,Tim!BL48,"")</f>
        <v/>
      </c>
      <c r="BL46" s="185" t="str">
        <f>IF(Tim!BM48=FIT!$E$1,Tim!BM48,"")</f>
        <v/>
      </c>
      <c r="BM46" s="185" t="str">
        <f>IF(Tim!BN48=FIT!$E$1,Tim!BN48,"")</f>
        <v/>
      </c>
      <c r="BN46" s="185" t="str">
        <f>IF(Tim!BO48=FIT!$E$1,Tim!BO48,"")</f>
        <v/>
      </c>
      <c r="BO46" s="185" t="str">
        <f>IF(Tim!BP48=FIT!$E$1,Tim!BP48,"")</f>
        <v/>
      </c>
      <c r="BP46" s="185" t="str">
        <f>IF(Tim!BQ48=FIT!$E$1,Tim!BQ48,"")</f>
        <v/>
      </c>
      <c r="BQ46" s="185" t="str">
        <f>IF(Tim!BR48=FIT!$E$1,Tim!BR48,"")</f>
        <v/>
      </c>
      <c r="BR46" s="185" t="str">
        <f>IF(Tim!BS48=FIT!$E$1,Tim!BS48,"")</f>
        <v/>
      </c>
      <c r="BS46" s="185" t="str">
        <f>IF(Tim!BT48=FIT!$E$1,Tim!BT48,"")</f>
        <v/>
      </c>
      <c r="BT46" s="185" t="str">
        <f>IF(Tim!BU48=FIT!$E$1,Tim!BU48,"")</f>
        <v/>
      </c>
      <c r="BU46" s="185" t="str">
        <f>IF(Tim!BV48=FIT!$E$1,Tim!BV48,"")</f>
        <v/>
      </c>
      <c r="BV46" s="185" t="str">
        <f>IF(Tim!BW48=FIT!$E$1,Tim!BW48,"")</f>
        <v/>
      </c>
      <c r="BW46" s="185" t="str">
        <f>IF(Tim!BX48=FIT!$E$1,Tim!BX48,"")</f>
        <v/>
      </c>
      <c r="BX46" s="185" t="str">
        <f>IF(Tim!BY48=FIT!$E$1,Tim!BY48,"")</f>
        <v/>
      </c>
      <c r="BY46" s="185" t="str">
        <f>IF(Tim!BZ48=FIT!$E$1,Tim!BZ48,"")</f>
        <v/>
      </c>
      <c r="BZ46" s="185" t="str">
        <f>IF(Tim!CA48=FIT!$E$1,Tim!CA48,"")</f>
        <v/>
      </c>
      <c r="CA46" s="185" t="str">
        <f>IF(Tim!CB48=FIT!$E$1,Tim!CB48,"")</f>
        <v/>
      </c>
      <c r="CB46" s="185" t="str">
        <f>IF(Tim!CC48=FIT!$E$1,Tim!CC48,"")</f>
        <v/>
      </c>
      <c r="CC46" s="185" t="str">
        <f>IF(Tim!CD48=FIT!$E$1,Tim!CD48,"")</f>
        <v/>
      </c>
      <c r="CD46" s="185" t="str">
        <f>IF(Tim!CE48=FIT!$E$1,Tim!CE48,"")</f>
        <v/>
      </c>
      <c r="CE46" s="185" t="str">
        <f>IF(Tim!CF48=FIT!$E$1,Tim!CF48,"")</f>
        <v/>
      </c>
      <c r="CF46" s="185" t="str">
        <f>IF(Tim!CG48=FIT!$E$1,Tim!CG48,"")</f>
        <v/>
      </c>
      <c r="CG46" s="185" t="str">
        <f>IF(Tim!CH48=FIT!$E$1,Tim!CH48,"")</f>
        <v/>
      </c>
      <c r="CH46" s="185" t="str">
        <f>IF(Tim!CI48=FIT!$E$1,Tim!CI48,"")</f>
        <v/>
      </c>
      <c r="CI46" s="185" t="str">
        <f>IF(Tim!CJ48=FIT!$E$1,Tim!CJ48,"")</f>
        <v/>
      </c>
      <c r="CJ46" s="185" t="str">
        <f>IF(Tim!CK48=FIT!$E$1,Tim!CK48,"")</f>
        <v/>
      </c>
      <c r="CK46" s="185" t="str">
        <f>IF(Tim!CL48=FIT!$E$1,Tim!CL48,"")</f>
        <v/>
      </c>
      <c r="CL46" s="185" t="str">
        <f>IF(Tim!CM48=FIT!$E$1,Tim!CM48,"")</f>
        <v/>
      </c>
      <c r="CM46" s="185" t="str">
        <f>IF(Tim!CN48=FIT!$E$1,Tim!CN48,"")</f>
        <v/>
      </c>
      <c r="CN46" s="185" t="str">
        <f>IF(Tim!CO48=FIT!$E$1,Tim!CO48,"")</f>
        <v/>
      </c>
      <c r="CO46" s="185" t="str">
        <f>IF(Tim!CP48=FIT!$E$1,Tim!CP48,"")</f>
        <v/>
      </c>
      <c r="CP46" s="185" t="str">
        <f>IF(Tim!CQ48=FIT!$E$1,Tim!CQ48,"")</f>
        <v/>
      </c>
      <c r="CQ46" s="185" t="str">
        <f>IF(Tim!CR48=FIT!$E$1,Tim!CR48,"")</f>
        <v/>
      </c>
      <c r="CR46" s="185" t="str">
        <f>IF(Tim!CS48=FIT!$E$1,Tim!CS48,"")</f>
        <v/>
      </c>
      <c r="CS46" s="185" t="str">
        <f>IF(Tim!CT48=FIT!$E$1,Tim!CT48,"")</f>
        <v/>
      </c>
      <c r="CT46" s="185" t="str">
        <f>IF(Tim!CU48=FIT!$E$1,Tim!CU48,"")</f>
        <v/>
      </c>
      <c r="CU46" s="185" t="str">
        <f>IF(Tim!CV48=FIT!$E$1,Tim!CV48,"")</f>
        <v/>
      </c>
      <c r="CV46" s="185" t="str">
        <f>IF(Tim!CW48=FIT!$E$1,Tim!CW48,"")</f>
        <v/>
      </c>
      <c r="CW46" s="185" t="str">
        <f>IF(Tim!CX48=FIT!$E$1,Tim!CX48,"")</f>
        <v/>
      </c>
      <c r="CX46" s="185" t="str">
        <f>IF(Tim!CY48=FIT!$E$1,Tim!CY48,"")</f>
        <v/>
      </c>
      <c r="CY46" s="185" t="str">
        <f>IF(Tim!CZ48=FIT!$E$1,Tim!CZ48,"")</f>
        <v/>
      </c>
      <c r="CZ46" s="185" t="str">
        <f>IF(Tim!DA48=FIT!$E$1,Tim!DA48,"")</f>
        <v/>
      </c>
      <c r="DA46" s="185" t="str">
        <f>IF(Tim!DB48=FIT!$E$1,Tim!DB48,"")</f>
        <v/>
      </c>
      <c r="DB46" s="185" t="str">
        <f>IF(Tim!DC48=FIT!$E$1,Tim!DC48,"")</f>
        <v/>
      </c>
      <c r="DC46" s="185" t="str">
        <f>IF(Tim!DD48=FIT!$E$1,Tim!DD48,"")</f>
        <v/>
      </c>
      <c r="DD46" s="185" t="str">
        <f>IF(Tim!DE48=FIT!$E$1,Tim!DE48,"")</f>
        <v/>
      </c>
      <c r="DE46" s="185" t="str">
        <f>IF(Tim!DF48=FIT!$E$1,Tim!DF48,"")</f>
        <v/>
      </c>
      <c r="DF46" s="185" t="str">
        <f>IF(Tim!DG48=FIT!$E$1,Tim!DG48,"")</f>
        <v/>
      </c>
      <c r="DG46" s="185" t="str">
        <f>IF(Tim!DH48=FIT!$E$1,Tim!DH48,"")</f>
        <v/>
      </c>
      <c r="DH46" s="185" t="str">
        <f>IF(Tim!DI48=FIT!$E$1,Tim!DI48,"")</f>
        <v/>
      </c>
      <c r="DI46" s="185" t="str">
        <f>IF(Tim!DM48=FIT!$E$1,Tim!DM48,"")</f>
        <v/>
      </c>
      <c r="DJ46" s="185" t="str">
        <f>IF(Tim!DN48=FIT!$E$1,Tim!DN48,"")</f>
        <v/>
      </c>
      <c r="DK46" s="185" t="str">
        <f>IF(Tim!DO48=FIT!$E$1,Tim!DO48,"")</f>
        <v/>
      </c>
      <c r="DL46" s="185" t="str">
        <f>IF(Tim!DP48=FIT!$E$1,Tim!DP48,"")</f>
        <v/>
      </c>
      <c r="DM46" s="185" t="str">
        <f>IF(Tim!DQ48=FIT!$E$1,Tim!DQ48,"")</f>
        <v/>
      </c>
      <c r="DN46" s="185" t="str">
        <f>IF(Tim!DR48=FIT!$E$1,Tim!DR48,"")</f>
        <v/>
      </c>
      <c r="DO46" s="185" t="str">
        <f>IF(Tim!DS48=FIT!$E$1,Tim!DS48,"")</f>
        <v/>
      </c>
      <c r="DP46" s="185" t="str">
        <f>IF(Tim!DT48=FIT!$E$1,Tim!DT48,"")</f>
        <v/>
      </c>
      <c r="DQ46" s="185" t="str">
        <f>IF(Tim!DU48=FIT!$E$1,Tim!DU48,"")</f>
        <v/>
      </c>
      <c r="DR46" s="185" t="str">
        <f>IF(Tim!DV48=FIT!$E$1,Tim!DV48,"")</f>
        <v/>
      </c>
      <c r="DS46" s="185" t="str">
        <f>IF(Tim!DW48=FIT!$E$1,Tim!DW48,"")</f>
        <v/>
      </c>
      <c r="DT46" s="185" t="str">
        <f>IF(Tim!DX48=FIT!$E$1,Tim!DX48,"")</f>
        <v/>
      </c>
      <c r="DU46" s="185" t="str">
        <f>IF(Tim!DY48=FIT!$E$1,Tim!DY48,"")</f>
        <v/>
      </c>
      <c r="DV46" s="185" t="str">
        <f>IF(Tim!DZ48=FIT!$E$1,Tim!DZ48,"")</f>
        <v/>
      </c>
      <c r="DW46" s="185" t="str">
        <f>IF(Tim!EA48=FIT!$E$1,Tim!EA48,"")</f>
        <v/>
      </c>
      <c r="DX46" s="185" t="str">
        <f>IF(Tim!EB48=FIT!$E$1,Tim!EB48,"")</f>
        <v/>
      </c>
      <c r="DY46" s="185" t="str">
        <f>IF(Tim!EC48=FIT!$E$1,Tim!EC48,"")</f>
        <v/>
      </c>
      <c r="DZ46" s="185" t="str">
        <f>IF(Tim!ED48=FIT!$E$1,Tim!ED48,"")</f>
        <v/>
      </c>
      <c r="EA46" s="185" t="str">
        <f>IF(Tim!EE48=FIT!$E$1,Tim!EE48,"")</f>
        <v/>
      </c>
      <c r="EB46" s="185" t="str">
        <f>IF(Tim!EF48=FIT!$E$1,Tim!EF48,"")</f>
        <v/>
      </c>
      <c r="EC46" s="185" t="str">
        <f>IF(Tim!EG48=FIT!$E$1,Tim!EG48,"")</f>
        <v/>
      </c>
      <c r="ED46" s="185" t="str">
        <f>IF(Tim!EH48=FIT!$E$1,Tim!EH48,"")</f>
        <v/>
      </c>
      <c r="EE46" s="185" t="str">
        <f>IF(Tim!EI48=FIT!$E$1,Tim!EI48,"")</f>
        <v/>
      </c>
      <c r="EF46" s="185" t="str">
        <f>IF(Tim!EJ48=FIT!$E$1,Tim!EJ48,"")</f>
        <v/>
      </c>
      <c r="EG46" s="185" t="str">
        <f>IF(Tim!EK48=FIT!$E$1,Tim!EK48,"")</f>
        <v/>
      </c>
      <c r="EH46" s="185" t="str">
        <f>IF(Tim!EL48=FIT!$E$1,Tim!EL48,"")</f>
        <v/>
      </c>
      <c r="EI46" s="185" t="str">
        <f>IF(Tim!EM48=FIT!$E$1,Tim!EM48,"")</f>
        <v/>
      </c>
      <c r="EJ46" s="185" t="str">
        <f>IF(Tim!EN48=FIT!$E$1,Tim!EN48,"")</f>
        <v/>
      </c>
      <c r="EK46" s="185" t="str">
        <f>IF(Tim!EO48=FIT!$E$1,Tim!EO48,"")</f>
        <v/>
      </c>
      <c r="EL46" s="185" t="str">
        <f>IF(Tim!EP48=FIT!$E$1,Tim!EP48,"")</f>
        <v/>
      </c>
      <c r="EM46" s="185" t="str">
        <f>IF(Tim!EQ48=FIT!$E$1,Tim!EQ48,"")</f>
        <v/>
      </c>
      <c r="EN46" s="185" t="str">
        <f>IF(Tim!ER48=FIT!$E$1,Tim!ER48,"")</f>
        <v/>
      </c>
      <c r="EO46" s="185" t="str">
        <f>IF(Tim!ES48=FIT!$E$1,Tim!ES48,"")</f>
        <v/>
      </c>
      <c r="EP46" s="185" t="str">
        <f>IF(Tim!ET48=FIT!$E$1,Tim!ET48,"")</f>
        <v/>
      </c>
      <c r="EQ46" s="185" t="str">
        <f>IF(Tim!EU48=FIT!$E$1,Tim!EU48,"")</f>
        <v/>
      </c>
      <c r="ER46" s="185" t="str">
        <f>IF(Tim!EV44=FIT!$E$1,Tim!EV44,"")</f>
        <v/>
      </c>
      <c r="ES46" s="185" t="str">
        <f>IF(Tim!EW48=FIT!$E$1,Tim!EW48,"")</f>
        <v/>
      </c>
      <c r="ET46" s="185" t="str">
        <f>IF(Tim!EX48=FIT!$E$1,Tim!EX48,"")</f>
        <v/>
      </c>
      <c r="EU46" s="185" t="str">
        <f>IF(Tim!EY48=FIT!$E$1,Tim!EY48,"")</f>
        <v/>
      </c>
      <c r="EV46" s="185" t="str">
        <f>IF(Tim!EZ48=FIT!$E$1,Tim!EZ48,"")</f>
        <v/>
      </c>
      <c r="EW46" s="185" t="str">
        <f>IF(Tim!FA48=FIT!$E$1,Tim!FA48,"")</f>
        <v/>
      </c>
      <c r="EX46" s="185" t="str">
        <f>IF(Tim!FB48=FIT!$E$1,Tim!FB48,"")</f>
        <v/>
      </c>
      <c r="EY46" s="185" t="str">
        <f>IF(Tim!FC48=FIT!$E$1,Tim!FC48,"")</f>
        <v/>
      </c>
      <c r="EZ46" s="185" t="str">
        <f>IF(Tim!FD48=FIT!$E$1,Tim!FD48,"")</f>
        <v/>
      </c>
      <c r="FA46" s="185" t="str">
        <f>IF(Tim!FE48=FIT!$E$1,Tim!FE48,"")</f>
        <v/>
      </c>
      <c r="FB46" s="185" t="str">
        <f>IF(Tim!FF48=FIT!$E$1,Tim!FF48,"")</f>
        <v/>
      </c>
      <c r="FC46" s="185" t="str">
        <f>IF(Tim!FG48=FIT!$E$1,Tim!FG48,"")</f>
        <v/>
      </c>
      <c r="FD46" s="185" t="str">
        <f>IF(Tim!FH48=FIT!$E$1,Tim!FH48,"")</f>
        <v/>
      </c>
      <c r="FE46" s="185" t="str">
        <f>IF(Tim!FI48=FIT!$E$1,Tim!FI48,"")</f>
        <v/>
      </c>
      <c r="FF46" s="185" t="str">
        <f>IF(Tim!FJ48=FIT!$E$1,Tim!FJ48,"")</f>
        <v/>
      </c>
      <c r="FG46" s="185" t="str">
        <f>IF(Tim!FK48=FIT!$E$1,Tim!FK48,"")</f>
        <v/>
      </c>
      <c r="FH46" s="185" t="str">
        <f>IF(Tim!FL48=FIT!$E$1,Tim!FL48,"")</f>
        <v/>
      </c>
      <c r="FI46" s="185" t="str">
        <f>IF(Tim!FM48=FIT!$E$1,Tim!FM48,"")</f>
        <v/>
      </c>
      <c r="FJ46" s="185" t="str">
        <f>IF(Tim!FN48=FIT!$E$1,Tim!FN48,"")</f>
        <v/>
      </c>
      <c r="FK46" s="185" t="str">
        <f>IF(Tim!FO48=FIT!$E$1,Tim!FO48,"")</f>
        <v/>
      </c>
      <c r="FL46" s="185" t="str">
        <f>IF(Tim!FP48=FIT!$E$1,Tim!FP48,"")</f>
        <v/>
      </c>
      <c r="FM46" s="185" t="str">
        <f>IF(Tim!FQ48=FIT!$E$1,Tim!FQ48,"")</f>
        <v/>
      </c>
      <c r="FN46" s="185" t="str">
        <f>IF(Tim!FR48=FIT!$E$1,Tim!FR48,"")</f>
        <v/>
      </c>
      <c r="FO46" s="185" t="str">
        <f>IF(Tim!FS48=FIT!$E$1,Tim!FS48,"")</f>
        <v/>
      </c>
      <c r="FP46" s="185" t="str">
        <f>IF(Tim!FT48=FIT!$E$1,Tim!FT48,"")</f>
        <v/>
      </c>
      <c r="FQ46" s="185" t="str">
        <f>IF(Tim!FU48=FIT!$E$1,Tim!FU48,"")</f>
        <v/>
      </c>
      <c r="FR46" s="185" t="str">
        <f>IF(Tim!FV48=FIT!$E$1,Tim!FV48,"")</f>
        <v/>
      </c>
      <c r="FS46" s="185" t="str">
        <f>IF(Tim!FW48=FIT!$E$1,Tim!FW48,"")</f>
        <v/>
      </c>
      <c r="FT46" s="185" t="str">
        <f>IF(Tim!FX48=FIT!$E$1,Tim!FX48,"")</f>
        <v/>
      </c>
      <c r="FU46" s="185" t="str">
        <f>IF(Tim!FY48=FIT!$E$1,Tim!FY48,"")</f>
        <v/>
      </c>
      <c r="FV46" s="185" t="str">
        <f>IF(Tim!FZ48=FIT!$E$1,Tim!FZ48,"")</f>
        <v/>
      </c>
      <c r="FW46" s="185" t="str">
        <f>IF(Tim!GA48=FIT!$E$1,Tim!GA48,"")</f>
        <v/>
      </c>
      <c r="FX46" s="185" t="str">
        <f>IF(Tim!GB48=FIT!$E$1,Tim!GB48,"")</f>
        <v/>
      </c>
      <c r="FY46" s="185" t="str">
        <f>IF(Tim!GC48=FIT!$E$1,Tim!GC48,"")</f>
        <v/>
      </c>
      <c r="FZ46" s="185" t="str">
        <f>IF(Tim!GD48=FIT!$E$1,Tim!GD48,"")</f>
        <v/>
      </c>
      <c r="GA46" s="185" t="str">
        <f>IF(Tim!GE48=FIT!$E$1,Tim!GE48,"")</f>
        <v/>
      </c>
      <c r="GB46" s="185" t="str">
        <f>IF(Tim!GF48=FIT!$E$1,Tim!GF48,"")</f>
        <v/>
      </c>
      <c r="GC46" s="185" t="str">
        <f>IF(Tim!GG48=FIT!$E$1,Tim!GG48,"")</f>
        <v/>
      </c>
      <c r="GD46" s="185" t="str">
        <f>IF(Tim!GH48=FIT!$E$1,Tim!GH48,"")</f>
        <v/>
      </c>
      <c r="GE46" s="185" t="str">
        <f>IF(Tim!GI48=FIT!$E$1,Tim!GI48,"")</f>
        <v/>
      </c>
      <c r="GF46" s="185" t="str">
        <f>IF(Tim!GJ48=FIT!$E$1,Tim!GJ48,"")</f>
        <v/>
      </c>
      <c r="GG46" s="185" t="str">
        <f>IF(Tim!GK48=FIT!$E$1,Tim!GK48,"")</f>
        <v/>
      </c>
      <c r="GH46" s="185" t="str">
        <f>IF(Tim!GL48=FIT!$E$1,Tim!GL48,"")</f>
        <v/>
      </c>
      <c r="GI46" s="185" t="str">
        <f>IF(Tim!GM48=FIT!$E$1,Tim!GM48,"")</f>
        <v/>
      </c>
      <c r="GJ46" s="185" t="str">
        <f>IF(Tim!GN48=FIT!$E$1,Tim!GN48,"")</f>
        <v/>
      </c>
      <c r="GK46" s="185" t="str">
        <f>IF(Tim!GO48=FIT!$E$1,Tim!GO48,"")</f>
        <v/>
      </c>
      <c r="GL46" s="185" t="str">
        <f>IF(Tim!GP48=FIT!$E$1,Tim!GP48,"")</f>
        <v/>
      </c>
      <c r="GM46" s="185" t="str">
        <f>IF(Tim!GQ48=FIT!$E$1,Tim!GQ48,"")</f>
        <v/>
      </c>
      <c r="GN46" s="185" t="str">
        <f>IF(Tim!GR48=FIT!$E$1,Tim!GR48,"")</f>
        <v/>
      </c>
      <c r="GO46" s="185" t="str">
        <f>IF(Tim!GS48=FIT!$E$1,Tim!GS48,"")</f>
        <v/>
      </c>
      <c r="GP46" s="185" t="str">
        <f>IF(Tim!GT48=FIT!$E$1,Tim!GT48,"")</f>
        <v/>
      </c>
      <c r="GQ46" s="185" t="str">
        <f>IF(Tim!GU48=FIT!$E$1,Tim!GU48,"")</f>
        <v/>
      </c>
      <c r="GR46" s="185" t="str">
        <f>IF(Tim!GV48=FIT!$E$1,Tim!GV48,"")</f>
        <v/>
      </c>
      <c r="GS46" s="185" t="str">
        <f>IF(Tim!GW48=FIT!$E$1,Tim!GW48,"")</f>
        <v/>
      </c>
      <c r="GT46" s="185" t="str">
        <f>IF(Tim!GX48=FIT!$E$1,Tim!GX48,"")</f>
        <v/>
      </c>
      <c r="GU46" s="185" t="str">
        <f>IF(Tim!GY48=FIT!$E$1,Tim!GY48,"")</f>
        <v/>
      </c>
      <c r="GV46" s="185" t="str">
        <f>IF(Tim!GZ48=FIT!$E$1,Tim!GZ48,"")</f>
        <v/>
      </c>
      <c r="GW46" s="185" t="str">
        <f>IF(Tim!HA48=FIT!$E$1,Tim!HA48,"")</f>
        <v/>
      </c>
      <c r="GX46" s="185" t="str">
        <f>IF(Tim!HB48=FIT!$E$1,Tim!HB48,"")</f>
        <v/>
      </c>
      <c r="GY46" s="185" t="str">
        <f>IF(Tim!HC48=FIT!$E$1,Tim!HC48,"")</f>
        <v/>
      </c>
      <c r="GZ46" s="185" t="str">
        <f>IF(Tim!HD48=FIT!$E$1,Tim!HD48,"")</f>
        <v/>
      </c>
      <c r="HA46" s="185" t="str">
        <f>IF(Tim!HE48=FIT!$E$1,Tim!HE48,"")</f>
        <v/>
      </c>
      <c r="HB46" s="185" t="str">
        <f>IF(Tim!HF48=FIT!$E$1,Tim!HF48,"")</f>
        <v/>
      </c>
      <c r="HC46" s="185" t="str">
        <f>IF(Tim!HG48=FIT!$E$1,Tim!HG48,"")</f>
        <v/>
      </c>
      <c r="HD46" s="185" t="str">
        <f>IF(Tim!HH48=FIT!$E$1,Tim!HH48,"")</f>
        <v/>
      </c>
      <c r="HE46" s="185" t="str">
        <f>IF(Tim!HI48=FIT!$E$1,Tim!HI48,"")</f>
        <v/>
      </c>
      <c r="HF46" s="185" t="str">
        <f>IF(Tim!HJ48=FIT!$E$1,Tim!HJ48,"")</f>
        <v/>
      </c>
      <c r="HG46" s="185" t="str">
        <f>IF(Tim!HK48=FIT!$E$1,Tim!HK48,"")</f>
        <v/>
      </c>
      <c r="HH46" s="185" t="str">
        <f>IF(Tim!HL48=FIT!$E$1,Tim!HL48,"")</f>
        <v/>
      </c>
      <c r="HI46" s="185" t="str">
        <f>IF(Tim!HM48=FIT!$E$1,Tim!HM48,"")</f>
        <v/>
      </c>
      <c r="HJ46" s="185" t="str">
        <f>IF(Tim!HN48=FIT!$E$1,Tim!HN48,"")</f>
        <v/>
      </c>
      <c r="HK46" s="185" t="str">
        <f>IF(Tim!HO48=FIT!$E$1,Tim!HO48,"")</f>
        <v/>
      </c>
      <c r="HL46" s="185" t="str">
        <f>IF(Tim!HP48=FIT!$E$1,Tim!HP48,"")</f>
        <v/>
      </c>
      <c r="HM46" s="185" t="str">
        <f>IF(Tim!HQ48=FIT!$E$1,Tim!HQ48,"")</f>
        <v/>
      </c>
      <c r="HN46" s="185" t="str">
        <f>IF(Tim!HR48=FIT!$E$1,Tim!HR48,"")</f>
        <v/>
      </c>
      <c r="HO46" s="185" t="str">
        <f>IF(Tim!HS48=FIT!$E$1,Tim!HS48,"")</f>
        <v/>
      </c>
      <c r="HP46" s="185" t="str">
        <f>IF(Tim!HT48=FIT!$E$1,Tim!HT48,"")</f>
        <v/>
      </c>
      <c r="HQ46" s="185" t="str">
        <f>IF(Tim!HU48=FIT!$E$1,Tim!HU48,"")</f>
        <v/>
      </c>
      <c r="HR46" s="185" t="str">
        <f>IF(Tim!HV48=FIT!$E$1,Tim!HV48,"")</f>
        <v/>
      </c>
      <c r="HS46" s="185" t="str">
        <f>IF(Tim!HW48=FIT!$E$1,Tim!HW48,"")</f>
        <v/>
      </c>
      <c r="HT46" s="185" t="str">
        <f>IF(Tim!HX48=FIT!$E$1,Tim!HX48,"")</f>
        <v/>
      </c>
      <c r="HU46" s="185" t="str">
        <f>IF(Tim!HY48=FIT!$E$1,Tim!HY48,"")</f>
        <v/>
      </c>
      <c r="HV46" s="185" t="str">
        <f>IF(Tim!HZ48=FIT!$E$1,Tim!HZ48,"")</f>
        <v/>
      </c>
      <c r="HW46" s="185" t="str">
        <f>IF(Tim!IA48=FIT!$E$1,Tim!IA48,"")</f>
        <v/>
      </c>
      <c r="HX46" s="185" t="str">
        <f>IF(Tim!IB48=FIT!$E$1,Tim!IB48,"")</f>
        <v/>
      </c>
      <c r="HY46" s="185" t="str">
        <f>IF(Tim!IC48=FIT!$E$1,Tim!IC48,"")</f>
        <v/>
      </c>
      <c r="HZ46" s="185" t="str">
        <f>IF(Tim!ID48=FIT!$E$1,Tim!ID48,"")</f>
        <v/>
      </c>
      <c r="IA46" s="185" t="str">
        <f>IF(Tim!IE48=FIT!$E$1,Tim!IE48,"")</f>
        <v/>
      </c>
      <c r="IB46" s="185" t="str">
        <f>IF(Tim!IF48=FIT!$E$1,Tim!IF48,"")</f>
        <v/>
      </c>
      <c r="IC46" s="185" t="str">
        <f>IF(Tim!IG48=FIT!$E$1,Tim!IG48,"")</f>
        <v/>
      </c>
      <c r="ID46" s="185" t="str">
        <f>IF(Tim!IH48=FIT!$E$1,Tim!IH48,"")</f>
        <v/>
      </c>
      <c r="IE46" s="185" t="str">
        <f>IF(Tim!II48=FIT!$E$1,Tim!II48,"")</f>
        <v/>
      </c>
      <c r="IF46" s="185" t="str">
        <f>IF(Tim!IJ48=FIT!$E$1,Tim!IJ48,"")</f>
        <v/>
      </c>
      <c r="IG46" s="185" t="str">
        <f>IF(Tim!IK48=FIT!$E$1,Tim!IK48,"")</f>
        <v/>
      </c>
      <c r="IH46" s="185" t="str">
        <f>IF(Tim!IL48=FIT!$E$1,Tim!IL48,"")</f>
        <v/>
      </c>
      <c r="II46" s="185" t="str">
        <f>IF(Tim!IM48=FIT!$E$1,Tim!IM48,"")</f>
        <v/>
      </c>
      <c r="IJ46" s="185" t="str">
        <f>IF(Tim!IN48=FIT!$E$1,Tim!IN48,"")</f>
        <v/>
      </c>
      <c r="IK46" s="185" t="str">
        <f>IF(Tim!IO48=FIT!$E$1,Tim!IO48,"")</f>
        <v/>
      </c>
      <c r="IL46" s="185" t="str">
        <f>IF(Tim!IP48=FIT!$E$1,Tim!IP48,"")</f>
        <v/>
      </c>
      <c r="IM46" s="185" t="str">
        <f>IF(Tim!IQ48=FIT!$E$1,Tim!IQ48,"")</f>
        <v/>
      </c>
      <c r="IN46" s="185" t="str">
        <f>IF(Tim!IR48=FIT!$E$1,Tim!IR48,"")</f>
        <v/>
      </c>
      <c r="IO46" s="185" t="str">
        <f>IF(Tim!IS48=FIT!$E$1,Tim!IS48,"")</f>
        <v/>
      </c>
      <c r="IP46" s="185" t="str">
        <f>IF(Tim!IT48=FIT!$E$1,Tim!IT48,"")</f>
        <v/>
      </c>
      <c r="IQ46" s="185" t="str">
        <f>IF(Tim!IU48=FIT!$E$1,Tim!IU48,"")</f>
        <v/>
      </c>
      <c r="IR46" s="185" t="str">
        <f>IF(Tim!IV48=FIT!$E$1,Tim!IV48,"")</f>
        <v/>
      </c>
      <c r="IS46" s="185" t="str">
        <f>IF(Tim!IW48=FIT!$E$1,Tim!IW48,"")</f>
        <v/>
      </c>
      <c r="IT46" s="185" t="str">
        <f>IF(Tim!IX48=FIT!$E$1,Tim!IX48,"")</f>
        <v/>
      </c>
      <c r="IU46" s="185" t="str">
        <f>IF(Tim!IY48=FIT!$E$1,Tim!IY48,"")</f>
        <v/>
      </c>
      <c r="IV46" s="185" t="str">
        <f>IF(Tim!IZ48=FIT!$E$1,Tim!IZ48,"")</f>
        <v/>
      </c>
      <c r="IW46" s="185" t="str">
        <f>IF(Tim!JA48=FIT!$E$1,Tim!JA48,"")</f>
        <v/>
      </c>
      <c r="IX46" s="185" t="str">
        <f>IF(Tim!JB48=FIT!$E$1,Tim!JB48,"")</f>
        <v/>
      </c>
      <c r="IY46" s="185" t="str">
        <f>IF(Tim!JC48=FIT!$E$1,Tim!JC48,"")</f>
        <v/>
      </c>
      <c r="IZ46" s="185" t="str">
        <f>IF(Tim!JD48=FIT!$E$1,Tim!JD48,"")</f>
        <v/>
      </c>
      <c r="JA46" s="185" t="str">
        <f>IF(Tim!JE48=FIT!$E$1,Tim!JE48,"")</f>
        <v/>
      </c>
      <c r="JB46" s="185" t="str">
        <f>IF(Tim!JF48=FIT!$E$1,Tim!JF48,"")</f>
        <v/>
      </c>
      <c r="JC46" s="185" t="str">
        <f>IF(Tim!JG48=FIT!$E$1,Tim!JG48,"")</f>
        <v/>
      </c>
      <c r="JD46" s="185" t="str">
        <f>IF(Tim!JH48=FIT!$E$1,Tim!JH48,"")</f>
        <v/>
      </c>
      <c r="JE46" s="185" t="str">
        <f>IF(Tim!JI48=FIT!$E$1,Tim!JI48,"")</f>
        <v/>
      </c>
      <c r="JF46" s="185" t="str">
        <f>IF(Tim!JJ48=FIT!$E$1,Tim!JJ48,"")</f>
        <v/>
      </c>
      <c r="JG46" s="185" t="str">
        <f>IF(Tim!JK48=FIT!$E$1,Tim!JK48,"")</f>
        <v/>
      </c>
      <c r="JH46" s="185" t="str">
        <f>IF(Tim!JL48=FIT!$E$1,Tim!JL48,"")</f>
        <v/>
      </c>
      <c r="JI46" s="185" t="str">
        <f>IF(Tim!JM48=FIT!$E$1,Tim!JM48,"")</f>
        <v/>
      </c>
      <c r="JJ46" s="185" t="str">
        <f>IF(Tim!JN48=FIT!$E$1,Tim!JN48,"")</f>
        <v/>
      </c>
      <c r="JK46" s="185" t="str">
        <f>IF(Tim!JO48=FIT!$E$1,Tim!JO48,"")</f>
        <v/>
      </c>
      <c r="JL46" s="185" t="str">
        <f>IF(Tim!JP48=FIT!$E$1,Tim!JP48,"")</f>
        <v/>
      </c>
      <c r="JM46" s="185" t="str">
        <f>IF(Tim!JQ48=FIT!$E$1,Tim!JQ48,"")</f>
        <v/>
      </c>
      <c r="JN46" s="185" t="str">
        <f>IF(Tim!JR48=FIT!$E$1,Tim!JR48,"")</f>
        <v/>
      </c>
      <c r="JO46" s="185" t="str">
        <f>IF(Tim!JS48=FIT!$E$1,Tim!JS48,"")</f>
        <v/>
      </c>
      <c r="JP46" s="185" t="str">
        <f>IF(Tim!JT48=FIT!$E$1,Tim!JT48,"")</f>
        <v/>
      </c>
      <c r="JQ46" s="185" t="str">
        <f>IF(Tim!JU48=FIT!$E$1,Tim!JU48,"")</f>
        <v/>
      </c>
      <c r="JR46" s="185" t="str">
        <f>IF(Tim!JV48=FIT!$E$1,Tim!JV48,"")</f>
        <v/>
      </c>
      <c r="JS46" s="185" t="str">
        <f>IF(Tim!JW48=FIT!$E$1,Tim!JW48,"")</f>
        <v/>
      </c>
      <c r="JT46" s="185" t="str">
        <f>IF(Tim!JX48=FIT!$E$1,Tim!JX48,"")</f>
        <v/>
      </c>
      <c r="JU46" s="185" t="str">
        <f>IF(Tim!JY48=FIT!$E$1,Tim!JY48,"")</f>
        <v/>
      </c>
      <c r="JV46" s="185" t="str">
        <f>IF(Tim!JZ48=FIT!$E$1,Tim!JZ48,"")</f>
        <v/>
      </c>
      <c r="JW46" s="185" t="str">
        <f>IF(Tim!KA48=FIT!$E$1,Tim!KA48,"")</f>
        <v/>
      </c>
      <c r="JX46" s="185" t="str">
        <f>IF(Tim!KB48=FIT!$E$1,Tim!KB48,"")</f>
        <v/>
      </c>
      <c r="JY46" s="185" t="str">
        <f>IF(Tim!KC48=FIT!$E$1,Tim!KC48,"")</f>
        <v/>
      </c>
      <c r="JZ46" s="185" t="str">
        <f>IF(Tim!KD48=FIT!$E$1,Tim!KD48,"")</f>
        <v/>
      </c>
      <c r="KA46" s="185" t="str">
        <f>IF(Tim!KE48=FIT!$E$1,Tim!KE48,"")</f>
        <v/>
      </c>
      <c r="KB46" s="185" t="str">
        <f>IF(Tim!KF48=FIT!$E$1,Tim!KF48,"")</f>
        <v/>
      </c>
      <c r="KC46" s="185" t="str">
        <f>IF(Tim!KG48=FIT!$E$1,Tim!KG48,"")</f>
        <v/>
      </c>
      <c r="KD46" s="185" t="str">
        <f>IF(Tim!KH48=FIT!$E$1,Tim!KH48,"")</f>
        <v/>
      </c>
      <c r="KE46" s="185" t="str">
        <f>IF(Tim!KI48=FIT!$E$1,Tim!KI48,"")</f>
        <v/>
      </c>
      <c r="KF46" s="185" t="str">
        <f>IF(Tim!KJ48=FIT!$E$1,Tim!KJ48,"")</f>
        <v/>
      </c>
      <c r="KG46" s="185" t="str">
        <f>IF(Tim!KK48=FIT!$E$1,Tim!KK48,"")</f>
        <v/>
      </c>
      <c r="KH46" s="185" t="str">
        <f>IF(Tim!KL48=FIT!$E$1,Tim!KL48,"")</f>
        <v/>
      </c>
      <c r="KI46" s="185" t="str">
        <f>IF(Tim!KM48=FIT!$E$1,Tim!KM48,"")</f>
        <v/>
      </c>
      <c r="KJ46" s="185" t="str">
        <f>IF(Tim!KN48=FIT!$E$1,Tim!KN48,"")</f>
        <v/>
      </c>
      <c r="KK46" s="185" t="str">
        <f>IF(Tim!KO48=FIT!$E$1,Tim!KO48,"")</f>
        <v/>
      </c>
      <c r="KL46" s="185" t="str">
        <f>IF(Tim!KP48=FIT!$E$1,Tim!KP48,"")</f>
        <v/>
      </c>
      <c r="KM46" s="185" t="str">
        <f>IF(Tim!KQ48=FIT!$E$1,Tim!KQ48,"")</f>
        <v/>
      </c>
      <c r="KN46" s="185" t="str">
        <f>IF(Tim!KR48=FIT!$E$1,Tim!KR48,"")</f>
        <v/>
      </c>
      <c r="KO46" s="185" t="str">
        <f>IF(Tim!KS48=FIT!$E$1,Tim!KS48,"")</f>
        <v/>
      </c>
      <c r="KP46" s="185" t="str">
        <f>IF(Tim!KT48=FIT!$E$1,Tim!KT48,"")</f>
        <v/>
      </c>
      <c r="KQ46" s="185" t="str">
        <f>IF(Tim!KU48=FIT!$E$1,Tim!KU48,"")</f>
        <v/>
      </c>
      <c r="KR46" s="185" t="str">
        <f>IF(Tim!KV48=FIT!$E$1,Tim!KV48,"")</f>
        <v/>
      </c>
      <c r="KS46" s="185" t="str">
        <f>IF(Tim!KW48=FIT!$E$1,Tim!KW48,"")</f>
        <v/>
      </c>
      <c r="KT46" s="185" t="str">
        <f>IF(Tim!KX48=FIT!$E$1,Tim!KX48,"")</f>
        <v/>
      </c>
      <c r="KU46" s="185" t="str">
        <f>IF(Tim!KY48=FIT!$E$1,Tim!KY48,"")</f>
        <v/>
      </c>
      <c r="KV46" s="185" t="str">
        <f>IF(Tim!KZ48=FIT!$E$1,Tim!KZ48,"")</f>
        <v/>
      </c>
      <c r="KW46" s="185" t="str">
        <f>IF(Tim!LA48=FIT!$E$1,Tim!LA48,"")</f>
        <v/>
      </c>
      <c r="KX46" s="185" t="str">
        <f>IF(Tim!LB48=FIT!$E$1,Tim!LB48,"")</f>
        <v/>
      </c>
      <c r="KY46" s="185" t="str">
        <f>IF(Tim!LC48=FIT!$E$1,Tim!LC48,"")</f>
        <v/>
      </c>
      <c r="KZ46" s="185" t="str">
        <f>IF(Tim!LD48=FIT!$E$1,Tim!LD48,"")</f>
        <v/>
      </c>
      <c r="LA46" s="185" t="str">
        <f>IF(Tim!LE48=FIT!$E$1,Tim!LE48,"")</f>
        <v/>
      </c>
      <c r="LB46" s="52">
        <v>0.718749999999999</v>
      </c>
    </row>
    <row r="47" spans="2:314" ht="10.5" customHeight="1">
      <c r="B47" s="49">
        <v>0.25</v>
      </c>
      <c r="C47" s="49">
        <v>0.25</v>
      </c>
      <c r="D47" s="49">
        <v>0.25</v>
      </c>
      <c r="E47" s="172">
        <v>0.72916666666666496</v>
      </c>
      <c r="F47" s="238" t="str">
        <f>IF(Tim!F49=FIT!$E$1,Tim!F49,"")</f>
        <v/>
      </c>
      <c r="G47" s="185" t="str">
        <f>IF(Tim!G49=FIT!$E$1,Tim!G49,"")</f>
        <v/>
      </c>
      <c r="H47" s="185" t="str">
        <f>IF(Tim!H49=FIT!$E$1,Tim!H49,"")</f>
        <v/>
      </c>
      <c r="I47" s="185" t="str">
        <f>IF(Tim!I49=FIT!$E$1,Tim!I49,"")</f>
        <v/>
      </c>
      <c r="J47" s="185" t="str">
        <f>IF(Tim!J49=FIT!$E$1,Tim!J49,"")</f>
        <v/>
      </c>
      <c r="K47" s="185" t="str">
        <f>IF(Tim!K49=FIT!$E$1,Tim!K49,"")</f>
        <v/>
      </c>
      <c r="L47" s="185" t="str">
        <f>IF(Tim!L49=FIT!$E$1,Tim!L49,"")</f>
        <v/>
      </c>
      <c r="M47" s="185" t="str">
        <f>IF(Tim!M49=FIT!$E$1,Tim!M49,"")</f>
        <v/>
      </c>
      <c r="N47" s="185" t="str">
        <f>IF(Tim!N49=FIT!$E$1,Tim!N49,"")</f>
        <v/>
      </c>
      <c r="O47" s="185" t="str">
        <f>IF(Tim!O49=FIT!$E$1,Tim!O49,"")</f>
        <v/>
      </c>
      <c r="P47" s="185" t="str">
        <f>IF(Tim!P49=FIT!$E$1,Tim!P49,"")</f>
        <v/>
      </c>
      <c r="Q47" s="185" t="str">
        <f>IF(Tim!Q49=FIT!$E$1,Tim!Q49,"")</f>
        <v/>
      </c>
      <c r="R47" s="185" t="str">
        <f>IF(Tim!R49=FIT!$E$1,Tim!R49,"")</f>
        <v/>
      </c>
      <c r="S47" s="185" t="str">
        <f>IF(Tim!S49=FIT!$E$1,Tim!S49,"")</f>
        <v/>
      </c>
      <c r="T47" s="185" t="str">
        <f>IF(Tim!T49=FIT!$E$1,Tim!T49,"")</f>
        <v/>
      </c>
      <c r="U47" s="185" t="str">
        <f>IF(Tim!U49=FIT!$E$1,Tim!U49,"")</f>
        <v/>
      </c>
      <c r="V47" s="185" t="str">
        <f>IF(Tim!W49=FIT!$E$1,Tim!W49,"")</f>
        <v/>
      </c>
      <c r="W47" s="185" t="str">
        <f>IF(Tim!X49=FIT!$E$1,Tim!X49,"")</f>
        <v/>
      </c>
      <c r="X47" s="185" t="str">
        <f>IF(Tim!Y49=FIT!$E$1,Tim!Y49,"")</f>
        <v/>
      </c>
      <c r="Y47" s="185" t="str">
        <f>IF(Tim!Z49=FIT!$E$1,Tim!Z49,"")</f>
        <v/>
      </c>
      <c r="Z47" s="185" t="str">
        <f>IF(Tim!AA49=FIT!$E$1,Tim!AA49,"")</f>
        <v/>
      </c>
      <c r="AA47" s="185" t="str">
        <f>IF(Tim!AB49=FIT!$E$1,Tim!AB49,"")</f>
        <v/>
      </c>
      <c r="AB47" s="185" t="str">
        <f>IF(Tim!AC49=FIT!$E$1,Tim!AC49,"")</f>
        <v/>
      </c>
      <c r="AC47" s="185" t="str">
        <f>IF(Tim!AD49=FIT!$E$1,Tim!AD49,"")</f>
        <v/>
      </c>
      <c r="AD47" s="185" t="str">
        <f>IF(Tim!AE49=FIT!$E$1,Tim!AE49,"")</f>
        <v/>
      </c>
      <c r="AE47" s="185" t="str">
        <f>IF(Tim!AF49=FIT!$E$1,Tim!AF49,"")</f>
        <v/>
      </c>
      <c r="AF47" s="185" t="str">
        <f>IF(Tim!AG49=FIT!$E$1,Tim!AG49,"")</f>
        <v/>
      </c>
      <c r="AG47" s="185" t="str">
        <f>IF(Tim!AH49=FIT!$E$1,Tim!AH49,"")</f>
        <v/>
      </c>
      <c r="AH47" s="185" t="str">
        <f>IF(Tim!AI49=FIT!$E$1,Tim!AI49,"")</f>
        <v/>
      </c>
      <c r="AI47" s="185" t="str">
        <f>IF(Tim!AJ49=FIT!$E$1,Tim!AJ49,"")</f>
        <v/>
      </c>
      <c r="AJ47" s="185" t="str">
        <f>IF(Tim!AK49=FIT!$E$1,Tim!AK49,"")</f>
        <v/>
      </c>
      <c r="AK47" s="185" t="str">
        <f>IF(Tim!AL49=FIT!$E$1,Tim!AL49,"")</f>
        <v/>
      </c>
      <c r="AL47" s="185" t="str">
        <f>IF(Tim!AM49=FIT!$E$1,Tim!AM49,"")</f>
        <v/>
      </c>
      <c r="AM47" s="185" t="str">
        <f>IF(Tim!AN49=FIT!$E$1,Tim!AN49,"")</f>
        <v/>
      </c>
      <c r="AN47" s="185" t="str">
        <f>IF(Tim!AO49=FIT!$E$1,Tim!AO49,"")</f>
        <v/>
      </c>
      <c r="AO47" s="185" t="str">
        <f>IF(Tim!AP49=FIT!$E$1,Tim!AP49,"")</f>
        <v/>
      </c>
      <c r="AP47" s="185" t="str">
        <f>IF(Tim!AQ49=FIT!$E$1,Tim!AQ49,"")</f>
        <v/>
      </c>
      <c r="AQ47" s="185" t="str">
        <f>IF(Tim!AR49=FIT!$E$1,Tim!AR49,"")</f>
        <v/>
      </c>
      <c r="AR47" s="185" t="str">
        <f>IF(Tim!AS49=FIT!$E$1,Tim!AS49,"")</f>
        <v/>
      </c>
      <c r="AS47" s="185" t="str">
        <f>IF(Tim!AT49=FIT!$E$1,Tim!AT49,"")</f>
        <v/>
      </c>
      <c r="AT47" s="185" t="str">
        <f>IF(Tim!AU49=FIT!$E$1,Tim!AU49,"")</f>
        <v/>
      </c>
      <c r="AU47" s="185" t="str">
        <f>IF(Tim!AV49=FIT!$E$1,Tim!AV49,"")</f>
        <v/>
      </c>
      <c r="AV47" s="185" t="str">
        <f>IF(Tim!AW49=FIT!$E$1,Tim!AW49,"")</f>
        <v/>
      </c>
      <c r="AW47" s="186" t="str">
        <f>IF(Tim!AX49=FIT!$E$1,Tim!AX49,"")</f>
        <v/>
      </c>
      <c r="AX47" s="243" t="str">
        <f>IF(Tim!AY49=FIT!$E$1,Tim!AY49,"")</f>
        <v/>
      </c>
      <c r="AY47" s="185" t="str">
        <f>IF(Tim!AZ49=FIT!$E$1,Tim!AZ49,"")</f>
        <v/>
      </c>
      <c r="AZ47" s="185" t="str">
        <f>IF(Tim!BA49=FIT!$E$1,Tim!BA49,"")</f>
        <v/>
      </c>
      <c r="BA47" s="185" t="str">
        <f>IF(Tim!BB49=FIT!$E$1,Tim!BB49,"")</f>
        <v/>
      </c>
      <c r="BB47" s="185" t="str">
        <f>IF(Tim!BC49=FIT!$E$1,Tim!BC49,"")</f>
        <v/>
      </c>
      <c r="BC47" s="185" t="str">
        <f>IF(Tim!BD49=FIT!$E$1,Tim!BD49,"")</f>
        <v/>
      </c>
      <c r="BD47" s="185" t="str">
        <f>IF(Tim!BE49=FIT!$E$1,Tim!BE49,"")</f>
        <v/>
      </c>
      <c r="BE47" s="185" t="str">
        <f>IF(Tim!BF49=FIT!$E$1,Tim!BF49,"")</f>
        <v/>
      </c>
      <c r="BF47" s="185" t="str">
        <f>IF(Tim!BG49=FIT!$E$1,Tim!BG49,"")</f>
        <v/>
      </c>
      <c r="BG47" s="185" t="str">
        <f>IF(Tim!BH49=FIT!$E$1,Tim!BH49,"")</f>
        <v/>
      </c>
      <c r="BH47" s="185" t="str">
        <f>IF(Tim!BI49=FIT!$E$1,Tim!BI49,"")</f>
        <v/>
      </c>
      <c r="BI47" s="185" t="str">
        <f>IF(Tim!BJ49=FIT!$E$1,Tim!BJ49,"")</f>
        <v/>
      </c>
      <c r="BJ47" s="185" t="str">
        <f>IF(Tim!BK49=FIT!$E$1,Tim!BK49,"")</f>
        <v/>
      </c>
      <c r="BK47" s="185" t="str">
        <f>IF(Tim!BL49=FIT!$E$1,Tim!BL49,"")</f>
        <v/>
      </c>
      <c r="BL47" s="185" t="str">
        <f>IF(Tim!BM49=FIT!$E$1,Tim!BM49,"")</f>
        <v/>
      </c>
      <c r="BM47" s="185" t="str">
        <f>IF(Tim!BN49=FIT!$E$1,Tim!BN49,"")</f>
        <v/>
      </c>
      <c r="BN47" s="185" t="str">
        <f>IF(Tim!BO49=FIT!$E$1,Tim!BO49,"")</f>
        <v/>
      </c>
      <c r="BO47" s="185" t="str">
        <f>IF(Tim!BP49=FIT!$E$1,Tim!BP49,"")</f>
        <v/>
      </c>
      <c r="BP47" s="185" t="str">
        <f>IF(Tim!BQ49=FIT!$E$1,Tim!BQ49,"")</f>
        <v/>
      </c>
      <c r="BQ47" s="185" t="str">
        <f>IF(Tim!BR49=FIT!$E$1,Tim!BR49,"")</f>
        <v/>
      </c>
      <c r="BR47" s="185" t="str">
        <f>IF(Tim!BS49=FIT!$E$1,Tim!BS49,"")</f>
        <v/>
      </c>
      <c r="BS47" s="185" t="str">
        <f>IF(Tim!BT49=FIT!$E$1,Tim!BT49,"")</f>
        <v/>
      </c>
      <c r="BT47" s="185" t="str">
        <f>IF(Tim!BU49=FIT!$E$1,Tim!BU49,"")</f>
        <v/>
      </c>
      <c r="BU47" s="185" t="str">
        <f>IF(Tim!BV49=FIT!$E$1,Tim!BV49,"")</f>
        <v/>
      </c>
      <c r="BV47" s="185" t="str">
        <f>IF(Tim!BW49=FIT!$E$1,Tim!BW49,"")</f>
        <v/>
      </c>
      <c r="BW47" s="185" t="str">
        <f>IF(Tim!BX49=FIT!$E$1,Tim!BX49,"")</f>
        <v/>
      </c>
      <c r="BX47" s="185" t="str">
        <f>IF(Tim!BY49=FIT!$E$1,Tim!BY49,"")</f>
        <v/>
      </c>
      <c r="BY47" s="185" t="str">
        <f>IF(Tim!BZ49=FIT!$E$1,Tim!BZ49,"")</f>
        <v/>
      </c>
      <c r="BZ47" s="185" t="str">
        <f>IF(Tim!CA49=FIT!$E$1,Tim!CA49,"")</f>
        <v/>
      </c>
      <c r="CA47" s="185" t="str">
        <f>IF(Tim!CB49=FIT!$E$1,Tim!CB49,"")</f>
        <v/>
      </c>
      <c r="CB47" s="185" t="str">
        <f>IF(Tim!CC49=FIT!$E$1,Tim!CC49,"")</f>
        <v/>
      </c>
      <c r="CC47" s="185" t="str">
        <f>IF(Tim!CD49=FIT!$E$1,Tim!CD49,"")</f>
        <v/>
      </c>
      <c r="CD47" s="185" t="str">
        <f>IF(Tim!CE49=FIT!$E$1,Tim!CE49,"")</f>
        <v/>
      </c>
      <c r="CE47" s="185" t="str">
        <f>IF(Tim!CF49=FIT!$E$1,Tim!CF49,"")</f>
        <v/>
      </c>
      <c r="CF47" s="185" t="str">
        <f>IF(Tim!CG49=FIT!$E$1,Tim!CG49,"")</f>
        <v/>
      </c>
      <c r="CG47" s="185" t="str">
        <f>IF(Tim!CH49=FIT!$E$1,Tim!CH49,"")</f>
        <v/>
      </c>
      <c r="CH47" s="185" t="str">
        <f>IF(Tim!CI49=FIT!$E$1,Tim!CI49,"")</f>
        <v/>
      </c>
      <c r="CI47" s="185" t="str">
        <f>IF(Tim!CJ49=FIT!$E$1,Tim!CJ49,"")</f>
        <v/>
      </c>
      <c r="CJ47" s="185" t="str">
        <f>IF(Tim!CK49=FIT!$E$1,Tim!CK49,"")</f>
        <v/>
      </c>
      <c r="CK47" s="185" t="str">
        <f>IF(Tim!CL49=FIT!$E$1,Tim!CL49,"")</f>
        <v/>
      </c>
      <c r="CL47" s="185" t="str">
        <f>IF(Tim!CM49=FIT!$E$1,Tim!CM49,"")</f>
        <v/>
      </c>
      <c r="CM47" s="185" t="str">
        <f>IF(Tim!CN49=FIT!$E$1,Tim!CN49,"")</f>
        <v/>
      </c>
      <c r="CN47" s="185" t="str">
        <f>IF(Tim!CO49=FIT!$E$1,Tim!CO49,"")</f>
        <v/>
      </c>
      <c r="CO47" s="185" t="str">
        <f>IF(Tim!CP49=FIT!$E$1,Tim!CP49,"")</f>
        <v/>
      </c>
      <c r="CP47" s="185" t="str">
        <f>IF(Tim!CQ49=FIT!$E$1,Tim!CQ49,"")</f>
        <v/>
      </c>
      <c r="CQ47" s="185" t="str">
        <f>IF(Tim!CR49=FIT!$E$1,Tim!CR49,"")</f>
        <v/>
      </c>
      <c r="CR47" s="185" t="str">
        <f>IF(Tim!CS49=FIT!$E$1,Tim!CS49,"")</f>
        <v/>
      </c>
      <c r="CS47" s="185" t="str">
        <f>IF(Tim!CT49=FIT!$E$1,Tim!CT49,"")</f>
        <v/>
      </c>
      <c r="CT47" s="185" t="str">
        <f>IF(Tim!CU49=FIT!$E$1,Tim!CU49,"")</f>
        <v/>
      </c>
      <c r="CU47" s="185" t="str">
        <f>IF(Tim!CV49=FIT!$E$1,Tim!CV49,"")</f>
        <v/>
      </c>
      <c r="CV47" s="185" t="str">
        <f>IF(Tim!CW49=FIT!$E$1,Tim!CW49,"")</f>
        <v/>
      </c>
      <c r="CW47" s="185" t="str">
        <f>IF(Tim!CX49=FIT!$E$1,Tim!CX49,"")</f>
        <v/>
      </c>
      <c r="CX47" s="185" t="str">
        <f>IF(Tim!CY49=FIT!$E$1,Tim!CY49,"")</f>
        <v/>
      </c>
      <c r="CY47" s="185" t="str">
        <f>IF(Tim!CZ49=FIT!$E$1,Tim!CZ49,"")</f>
        <v/>
      </c>
      <c r="CZ47" s="185" t="str">
        <f>IF(Tim!DA49=FIT!$E$1,Tim!DA49,"")</f>
        <v/>
      </c>
      <c r="DA47" s="185" t="str">
        <f>IF(Tim!DB49=FIT!$E$1,Tim!DB49,"")</f>
        <v/>
      </c>
      <c r="DB47" s="185" t="str">
        <f>IF(Tim!DC49=FIT!$E$1,Tim!DC49,"")</f>
        <v/>
      </c>
      <c r="DC47" s="185" t="str">
        <f>IF(Tim!DD49=FIT!$E$1,Tim!DD49,"")</f>
        <v/>
      </c>
      <c r="DD47" s="185" t="str">
        <f>IF(Tim!DE49=FIT!$E$1,Tim!DE49,"")</f>
        <v/>
      </c>
      <c r="DE47" s="185" t="str">
        <f>IF(Tim!DF49=FIT!$E$1,Tim!DF49,"")</f>
        <v/>
      </c>
      <c r="DF47" s="185" t="str">
        <f>IF(Tim!DG49=FIT!$E$1,Tim!DG49,"")</f>
        <v/>
      </c>
      <c r="DG47" s="185" t="str">
        <f>IF(Tim!DH49=FIT!$E$1,Tim!DH49,"")</f>
        <v/>
      </c>
      <c r="DH47" s="185" t="str">
        <f>IF(Tim!DI49=FIT!$E$1,Tim!DI49,"")</f>
        <v/>
      </c>
      <c r="DI47" s="185" t="str">
        <f>IF(Tim!DM49=FIT!$E$1,Tim!DM49,"")</f>
        <v/>
      </c>
      <c r="DJ47" s="185" t="str">
        <f>IF(Tim!DN49=FIT!$E$1,Tim!DN49,"")</f>
        <v/>
      </c>
      <c r="DK47" s="185" t="str">
        <f>IF(Tim!DO49=FIT!$E$1,Tim!DO49,"")</f>
        <v/>
      </c>
      <c r="DL47" s="185" t="str">
        <f>IF(Tim!DP49=FIT!$E$1,Tim!DP49,"")</f>
        <v/>
      </c>
      <c r="DM47" s="185" t="str">
        <f>IF(Tim!DQ49=FIT!$E$1,Tim!DQ49,"")</f>
        <v/>
      </c>
      <c r="DN47" s="185" t="str">
        <f>IF(Tim!DR49=FIT!$E$1,Tim!DR49,"")</f>
        <v/>
      </c>
      <c r="DO47" s="185" t="str">
        <f>IF(Tim!DS49=FIT!$E$1,Tim!DS49,"")</f>
        <v/>
      </c>
      <c r="DP47" s="185" t="str">
        <f>IF(Tim!DT49=FIT!$E$1,Tim!DT49,"")</f>
        <v/>
      </c>
      <c r="DQ47" s="185" t="str">
        <f>IF(Tim!DU49=FIT!$E$1,Tim!DU49,"")</f>
        <v/>
      </c>
      <c r="DR47" s="185" t="str">
        <f>IF(Tim!DV49=FIT!$E$1,Tim!DV49,"")</f>
        <v/>
      </c>
      <c r="DS47" s="185" t="str">
        <f>IF(Tim!DW49=FIT!$E$1,Tim!DW49,"")</f>
        <v/>
      </c>
      <c r="DT47" s="185" t="str">
        <f>IF(Tim!DX49=FIT!$E$1,Tim!DX49,"")</f>
        <v/>
      </c>
      <c r="DU47" s="185" t="str">
        <f>IF(Tim!DY49=FIT!$E$1,Tim!DY49,"")</f>
        <v/>
      </c>
      <c r="DV47" s="185" t="str">
        <f>IF(Tim!DZ49=FIT!$E$1,Tim!DZ49,"")</f>
        <v/>
      </c>
      <c r="DW47" s="185" t="str">
        <f>IF(Tim!EA49=FIT!$E$1,Tim!EA49,"")</f>
        <v/>
      </c>
      <c r="DX47" s="185" t="str">
        <f>IF(Tim!EB49=FIT!$E$1,Tim!EB49,"")</f>
        <v/>
      </c>
      <c r="DY47" s="185" t="str">
        <f>IF(Tim!EC49=FIT!$E$1,Tim!EC49,"")</f>
        <v/>
      </c>
      <c r="DZ47" s="185" t="str">
        <f>IF(Tim!ED49=FIT!$E$1,Tim!ED49,"")</f>
        <v/>
      </c>
      <c r="EA47" s="185" t="str">
        <f>IF(Tim!EE49=FIT!$E$1,Tim!EE49,"")</f>
        <v/>
      </c>
      <c r="EB47" s="185" t="str">
        <f>IF(Tim!EF49=FIT!$E$1,Tim!EF49,"")</f>
        <v/>
      </c>
      <c r="EC47" s="185" t="str">
        <f>IF(Tim!EG49=FIT!$E$1,Tim!EG49,"")</f>
        <v/>
      </c>
      <c r="ED47" s="185" t="str">
        <f>IF(Tim!EH49=FIT!$E$1,Tim!EH49,"")</f>
        <v/>
      </c>
      <c r="EE47" s="185" t="str">
        <f>IF(Tim!EI49=FIT!$E$1,Tim!EI49,"")</f>
        <v/>
      </c>
      <c r="EF47" s="185" t="str">
        <f>IF(Tim!EJ49=FIT!$E$1,Tim!EJ49,"")</f>
        <v/>
      </c>
      <c r="EG47" s="185" t="str">
        <f>IF(Tim!EK49=FIT!$E$1,Tim!EK49,"")</f>
        <v/>
      </c>
      <c r="EH47" s="185" t="str">
        <f>IF(Tim!EL49=FIT!$E$1,Tim!EL49,"")</f>
        <v/>
      </c>
      <c r="EI47" s="185" t="str">
        <f>IF(Tim!EM49=FIT!$E$1,Tim!EM49,"")</f>
        <v/>
      </c>
      <c r="EJ47" s="185" t="str">
        <f>IF(Tim!EN49=FIT!$E$1,Tim!EN49,"")</f>
        <v/>
      </c>
      <c r="EK47" s="185" t="str">
        <f>IF(Tim!EO49=FIT!$E$1,Tim!EO49,"")</f>
        <v/>
      </c>
      <c r="EL47" s="185" t="str">
        <f>IF(Tim!EP49=FIT!$E$1,Tim!EP49,"")</f>
        <v/>
      </c>
      <c r="EM47" s="185" t="str">
        <f>IF(Tim!EQ49=FIT!$E$1,Tim!EQ49,"")</f>
        <v/>
      </c>
      <c r="EN47" s="185" t="str">
        <f>IF(Tim!ER49=FIT!$E$1,Tim!ER49,"")</f>
        <v/>
      </c>
      <c r="EO47" s="185" t="str">
        <f>IF(Tim!ES49=FIT!$E$1,Tim!ES49,"")</f>
        <v/>
      </c>
      <c r="EP47" s="185" t="str">
        <f>IF(Tim!ET49=FIT!$E$1,Tim!ET49,"")</f>
        <v/>
      </c>
      <c r="EQ47" s="185" t="str">
        <f>IF(Tim!EU49=FIT!$E$1,Tim!EU49,"")</f>
        <v/>
      </c>
      <c r="ER47" s="185" t="str">
        <f>IF(Tim!EV49=FIT!$E$1,Tim!EV49,"")</f>
        <v/>
      </c>
      <c r="ES47" s="185" t="str">
        <f>IF(Tim!EW49=FIT!$E$1,Tim!EW49,"")</f>
        <v/>
      </c>
      <c r="ET47" s="185" t="str">
        <f>IF(Tim!EX49=FIT!$E$1,Tim!EX49,"")</f>
        <v/>
      </c>
      <c r="EU47" s="185" t="str">
        <f>IF(Tim!EY49=FIT!$E$1,Tim!EY49,"")</f>
        <v/>
      </c>
      <c r="EV47" s="185" t="str">
        <f>IF(Tim!EZ49=FIT!$E$1,Tim!EZ49,"")</f>
        <v/>
      </c>
      <c r="EW47" s="185" t="str">
        <f>IF(Tim!FA49=FIT!$E$1,Tim!FA49,"")</f>
        <v/>
      </c>
      <c r="EX47" s="185" t="str">
        <f>IF(Tim!FB49=FIT!$E$1,Tim!FB49,"")</f>
        <v/>
      </c>
      <c r="EY47" s="185" t="str">
        <f>IF(Tim!FC49=FIT!$E$1,Tim!FC49,"")</f>
        <v/>
      </c>
      <c r="EZ47" s="185" t="str">
        <f>IF(Tim!FD49=FIT!$E$1,Tim!FD49,"")</f>
        <v/>
      </c>
      <c r="FA47" s="185" t="str">
        <f>IF(Tim!FE49=FIT!$E$1,Tim!FE49,"")</f>
        <v/>
      </c>
      <c r="FB47" s="185" t="str">
        <f>IF(Tim!FF49=FIT!$E$1,Tim!FF49,"")</f>
        <v/>
      </c>
      <c r="FC47" s="185" t="str">
        <f>IF(Tim!FG49=FIT!$E$1,Tim!FG49,"")</f>
        <v/>
      </c>
      <c r="FD47" s="185" t="str">
        <f>IF(Tim!FH49=FIT!$E$1,Tim!FH49,"")</f>
        <v/>
      </c>
      <c r="FE47" s="185" t="str">
        <f>IF(Tim!FI49=FIT!$E$1,Tim!FI49,"")</f>
        <v/>
      </c>
      <c r="FF47" s="185" t="str">
        <f>IF(Tim!FJ49=FIT!$E$1,Tim!FJ49,"")</f>
        <v/>
      </c>
      <c r="FG47" s="185" t="str">
        <f>IF(Tim!FK49=FIT!$E$1,Tim!FK49,"")</f>
        <v/>
      </c>
      <c r="FH47" s="185" t="str">
        <f>IF(Tim!FL49=FIT!$E$1,Tim!FL49,"")</f>
        <v/>
      </c>
      <c r="FI47" s="185" t="str">
        <f>IF(Tim!FM49=FIT!$E$1,Tim!FM49,"")</f>
        <v/>
      </c>
      <c r="FJ47" s="185" t="str">
        <f>IF(Tim!FN49=FIT!$E$1,Tim!FN49,"")</f>
        <v/>
      </c>
      <c r="FK47" s="185" t="str">
        <f>IF(Tim!FO49=FIT!$E$1,Tim!FO49,"")</f>
        <v/>
      </c>
      <c r="FL47" s="185" t="str">
        <f>IF(Tim!FP49=FIT!$E$1,Tim!FP49,"")</f>
        <v/>
      </c>
      <c r="FM47" s="185" t="str">
        <f>IF(Tim!FQ49=FIT!$E$1,Tim!FQ49,"")</f>
        <v/>
      </c>
      <c r="FN47" s="185" t="str">
        <f>IF(Tim!FR49=FIT!$E$1,Tim!FR49,"")</f>
        <v/>
      </c>
      <c r="FO47" s="185" t="str">
        <f>IF(Tim!FS49=FIT!$E$1,Tim!FS49,"")</f>
        <v/>
      </c>
      <c r="FP47" s="185" t="str">
        <f>IF(Tim!FT49=FIT!$E$1,Tim!FT49,"")</f>
        <v/>
      </c>
      <c r="FQ47" s="185" t="str">
        <f>IF(Tim!FU49=FIT!$E$1,Tim!FU49,"")</f>
        <v/>
      </c>
      <c r="FR47" s="185" t="str">
        <f>IF(Tim!FV49=FIT!$E$1,Tim!FV49,"")</f>
        <v/>
      </c>
      <c r="FS47" s="185" t="str">
        <f>IF(Tim!FW49=FIT!$E$1,Tim!FW49,"")</f>
        <v/>
      </c>
      <c r="FT47" s="185" t="str">
        <f>IF(Tim!FX49=FIT!$E$1,Tim!FX49,"")</f>
        <v/>
      </c>
      <c r="FU47" s="185" t="str">
        <f>IF(Tim!FY49=FIT!$E$1,Tim!FY49,"")</f>
        <v/>
      </c>
      <c r="FV47" s="185" t="str">
        <f>IF(Tim!FZ49=FIT!$E$1,Tim!FZ49,"")</f>
        <v/>
      </c>
      <c r="FW47" s="185" t="str">
        <f>IF(Tim!GA49=FIT!$E$1,Tim!GA49,"")</f>
        <v/>
      </c>
      <c r="FX47" s="185" t="str">
        <f>IF(Tim!GB49=FIT!$E$1,Tim!GB49,"")</f>
        <v/>
      </c>
      <c r="FY47" s="185" t="str">
        <f>IF(Tim!GC49=FIT!$E$1,Tim!GC49,"")</f>
        <v/>
      </c>
      <c r="FZ47" s="185" t="str">
        <f>IF(Tim!GD49=FIT!$E$1,Tim!GD49,"")</f>
        <v/>
      </c>
      <c r="GA47" s="185" t="str">
        <f>IF(Tim!GE49=FIT!$E$1,Tim!GE49,"")</f>
        <v/>
      </c>
      <c r="GB47" s="185" t="str">
        <f>IF(Tim!GF49=FIT!$E$1,Tim!GF49,"")</f>
        <v/>
      </c>
      <c r="GC47" s="185" t="str">
        <f>IF(Tim!GG49=FIT!$E$1,Tim!GG49,"")</f>
        <v/>
      </c>
      <c r="GD47" s="185" t="str">
        <f>IF(Tim!GH49=FIT!$E$1,Tim!GH49,"")</f>
        <v/>
      </c>
      <c r="GE47" s="185" t="str">
        <f>IF(Tim!GI49=FIT!$E$1,Tim!GI49,"")</f>
        <v/>
      </c>
      <c r="GF47" s="185" t="str">
        <f>IF(Tim!GJ49=FIT!$E$1,Tim!GJ49,"")</f>
        <v/>
      </c>
      <c r="GG47" s="185" t="str">
        <f>IF(Tim!GK49=FIT!$E$1,Tim!GK49,"")</f>
        <v/>
      </c>
      <c r="GH47" s="185" t="str">
        <f>IF(Tim!GL49=FIT!$E$1,Tim!GL49,"")</f>
        <v/>
      </c>
      <c r="GI47" s="185" t="str">
        <f>IF(Tim!GM49=FIT!$E$1,Tim!GM49,"")</f>
        <v/>
      </c>
      <c r="GJ47" s="185" t="str">
        <f>IF(Tim!GN49=FIT!$E$1,Tim!GN49,"")</f>
        <v/>
      </c>
      <c r="GK47" s="185" t="str">
        <f>IF(Tim!GO49=FIT!$E$1,Tim!GO49,"")</f>
        <v/>
      </c>
      <c r="GL47" s="185" t="str">
        <f>IF(Tim!GP49=FIT!$E$1,Tim!GP49,"")</f>
        <v/>
      </c>
      <c r="GM47" s="185" t="str">
        <f>IF(Tim!GQ49=FIT!$E$1,Tim!GQ49,"")</f>
        <v/>
      </c>
      <c r="GN47" s="185" t="str">
        <f>IF(Tim!GR49=FIT!$E$1,Tim!GR49,"")</f>
        <v/>
      </c>
      <c r="GO47" s="185" t="str">
        <f>IF(Tim!GS49=FIT!$E$1,Tim!GS49,"")</f>
        <v/>
      </c>
      <c r="GP47" s="185" t="str">
        <f>IF(Tim!GT49=FIT!$E$1,Tim!GT49,"")</f>
        <v/>
      </c>
      <c r="GQ47" s="185" t="str">
        <f>IF(Tim!GU49=FIT!$E$1,Tim!GU49,"")</f>
        <v/>
      </c>
      <c r="GR47" s="185" t="str">
        <f>IF(Tim!GV49=FIT!$E$1,Tim!GV49,"")</f>
        <v/>
      </c>
      <c r="GS47" s="185" t="str">
        <f>IF(Tim!GW49=FIT!$E$1,Tim!GW49,"")</f>
        <v/>
      </c>
      <c r="GT47" s="185" t="str">
        <f>IF(Tim!GX49=FIT!$E$1,Tim!GX49,"")</f>
        <v/>
      </c>
      <c r="GU47" s="185" t="str">
        <f>IF(Tim!GY49=FIT!$E$1,Tim!GY49,"")</f>
        <v/>
      </c>
      <c r="GV47" s="185" t="str">
        <f>IF(Tim!GZ49=FIT!$E$1,Tim!GZ49,"")</f>
        <v/>
      </c>
      <c r="GW47" s="185" t="str">
        <f>IF(Tim!HA49=FIT!$E$1,Tim!HA49,"")</f>
        <v/>
      </c>
      <c r="GX47" s="185" t="str">
        <f>IF(Tim!HB49=FIT!$E$1,Tim!HB49,"")</f>
        <v/>
      </c>
      <c r="GY47" s="185" t="str">
        <f>IF(Tim!HC49=FIT!$E$1,Tim!HC49,"")</f>
        <v/>
      </c>
      <c r="GZ47" s="185" t="str">
        <f>IF(Tim!HD49=FIT!$E$1,Tim!HD49,"")</f>
        <v/>
      </c>
      <c r="HA47" s="185" t="str">
        <f>IF(Tim!HE49=FIT!$E$1,Tim!HE49,"")</f>
        <v/>
      </c>
      <c r="HB47" s="185" t="str">
        <f>IF(Tim!HF49=FIT!$E$1,Tim!HF49,"")</f>
        <v/>
      </c>
      <c r="HC47" s="185" t="str">
        <f>IF(Tim!HG49=FIT!$E$1,Tim!HG49,"")</f>
        <v/>
      </c>
      <c r="HD47" s="185" t="str">
        <f>IF(Tim!HH49=FIT!$E$1,Tim!HH49,"")</f>
        <v/>
      </c>
      <c r="HE47" s="185" t="str">
        <f>IF(Tim!HI49=FIT!$E$1,Tim!HI49,"")</f>
        <v/>
      </c>
      <c r="HF47" s="185" t="str">
        <f>IF(Tim!HJ49=FIT!$E$1,Tim!HJ49,"")</f>
        <v/>
      </c>
      <c r="HG47" s="185" t="str">
        <f>IF(Tim!HK49=FIT!$E$1,Tim!HK49,"")</f>
        <v/>
      </c>
      <c r="HH47" s="185" t="str">
        <f>IF(Tim!HL49=FIT!$E$1,Tim!HL49,"")</f>
        <v/>
      </c>
      <c r="HI47" s="185" t="str">
        <f>IF(Tim!HM49=FIT!$E$1,Tim!HM49,"")</f>
        <v/>
      </c>
      <c r="HJ47" s="185" t="str">
        <f>IF(Tim!HN49=FIT!$E$1,Tim!HN49,"")</f>
        <v/>
      </c>
      <c r="HK47" s="185" t="str">
        <f>IF(Tim!HO49=FIT!$E$1,Tim!HO49,"")</f>
        <v/>
      </c>
      <c r="HL47" s="185" t="str">
        <f>IF(Tim!HP49=FIT!$E$1,Tim!HP49,"")</f>
        <v/>
      </c>
      <c r="HM47" s="185" t="str">
        <f>IF(Tim!HQ49=FIT!$E$1,Tim!HQ49,"")</f>
        <v/>
      </c>
      <c r="HN47" s="185" t="str">
        <f>IF(Tim!HR49=FIT!$E$1,Tim!HR49,"")</f>
        <v/>
      </c>
      <c r="HO47" s="185" t="str">
        <f>IF(Tim!HS49=FIT!$E$1,Tim!HS49,"")</f>
        <v/>
      </c>
      <c r="HP47" s="185" t="str">
        <f>IF(Tim!HT49=FIT!$E$1,Tim!HT49,"")</f>
        <v/>
      </c>
      <c r="HQ47" s="185" t="str">
        <f>IF(Tim!HU49=FIT!$E$1,Tim!HU49,"")</f>
        <v/>
      </c>
      <c r="HR47" s="185" t="str">
        <f>IF(Tim!HV49=FIT!$E$1,Tim!HV49,"")</f>
        <v/>
      </c>
      <c r="HS47" s="185" t="str">
        <f>IF(Tim!HW49=FIT!$E$1,Tim!HW49,"")</f>
        <v/>
      </c>
      <c r="HT47" s="185" t="str">
        <f>IF(Tim!HX49=FIT!$E$1,Tim!HX49,"")</f>
        <v/>
      </c>
      <c r="HU47" s="185" t="str">
        <f>IF(Tim!HY49=FIT!$E$1,Tim!HY49,"")</f>
        <v/>
      </c>
      <c r="HV47" s="185" t="str">
        <f>IF(Tim!HZ49=FIT!$E$1,Tim!HZ49,"")</f>
        <v/>
      </c>
      <c r="HW47" s="185" t="str">
        <f>IF(Tim!IA49=FIT!$E$1,Tim!IA49,"")</f>
        <v/>
      </c>
      <c r="HX47" s="185" t="str">
        <f>IF(Tim!IB49=FIT!$E$1,Tim!IB49,"")</f>
        <v/>
      </c>
      <c r="HY47" s="185" t="str">
        <f>IF(Tim!IC49=FIT!$E$1,Tim!IC49,"")</f>
        <v/>
      </c>
      <c r="HZ47" s="185" t="str">
        <f>IF(Tim!ID49=FIT!$E$1,Tim!ID49,"")</f>
        <v/>
      </c>
      <c r="IA47" s="185" t="str">
        <f>IF(Tim!IE49=FIT!$E$1,Tim!IE49,"")</f>
        <v/>
      </c>
      <c r="IB47" s="185" t="str">
        <f>IF(Tim!IF49=FIT!$E$1,Tim!IF49,"")</f>
        <v/>
      </c>
      <c r="IC47" s="185" t="str">
        <f>IF(Tim!IG49=FIT!$E$1,Tim!IG49,"")</f>
        <v/>
      </c>
      <c r="ID47" s="185" t="str">
        <f>IF(Tim!IH49=FIT!$E$1,Tim!IH49,"")</f>
        <v/>
      </c>
      <c r="IE47" s="185" t="str">
        <f>IF(Tim!II49=FIT!$E$1,Tim!II49,"")</f>
        <v/>
      </c>
      <c r="IF47" s="185" t="str">
        <f>IF(Tim!IJ49=FIT!$E$1,Tim!IJ49,"")</f>
        <v/>
      </c>
      <c r="IG47" s="185" t="str">
        <f>IF(Tim!IK49=FIT!$E$1,Tim!IK49,"")</f>
        <v/>
      </c>
      <c r="IH47" s="185" t="str">
        <f>IF(Tim!IL49=FIT!$E$1,Tim!IL49,"")</f>
        <v/>
      </c>
      <c r="II47" s="185" t="str">
        <f>IF(Tim!IM49=FIT!$E$1,Tim!IM49,"")</f>
        <v/>
      </c>
      <c r="IJ47" s="185" t="str">
        <f>IF(Tim!IN49=FIT!$E$1,Tim!IN49,"")</f>
        <v/>
      </c>
      <c r="IK47" s="185" t="str">
        <f>IF(Tim!IO49=FIT!$E$1,Tim!IO49,"")</f>
        <v/>
      </c>
      <c r="IL47" s="185" t="str">
        <f>IF(Tim!IP49=FIT!$E$1,Tim!IP49,"")</f>
        <v/>
      </c>
      <c r="IM47" s="185" t="str">
        <f>IF(Tim!IQ49=FIT!$E$1,Tim!IQ49,"")</f>
        <v/>
      </c>
      <c r="IN47" s="185" t="str">
        <f>IF(Tim!IR49=FIT!$E$1,Tim!IR49,"")</f>
        <v/>
      </c>
      <c r="IO47" s="185" t="str">
        <f>IF(Tim!IS49=FIT!$E$1,Tim!IS49,"")</f>
        <v/>
      </c>
      <c r="IP47" s="185" t="str">
        <f>IF(Tim!IT49=FIT!$E$1,Tim!IT49,"")</f>
        <v/>
      </c>
      <c r="IQ47" s="185" t="str">
        <f>IF(Tim!IU49=FIT!$E$1,Tim!IU49,"")</f>
        <v/>
      </c>
      <c r="IR47" s="185" t="str">
        <f>IF(Tim!IV49=FIT!$E$1,Tim!IV49,"")</f>
        <v/>
      </c>
      <c r="IS47" s="185" t="str">
        <f>IF(Tim!IW49=FIT!$E$1,Tim!IW49,"")</f>
        <v/>
      </c>
      <c r="IT47" s="185" t="str">
        <f>IF(Tim!IX49=FIT!$E$1,Tim!IX49,"")</f>
        <v/>
      </c>
      <c r="IU47" s="185" t="str">
        <f>IF(Tim!IY49=FIT!$E$1,Tim!IY49,"")</f>
        <v/>
      </c>
      <c r="IV47" s="185" t="str">
        <f>IF(Tim!IZ49=FIT!$E$1,Tim!IZ49,"")</f>
        <v/>
      </c>
      <c r="IW47" s="185" t="str">
        <f>IF(Tim!JA49=FIT!$E$1,Tim!JA49,"")</f>
        <v/>
      </c>
      <c r="IX47" s="185" t="str">
        <f>IF(Tim!JB49=FIT!$E$1,Tim!JB49,"")</f>
        <v/>
      </c>
      <c r="IY47" s="185" t="str">
        <f>IF(Tim!JC49=FIT!$E$1,Tim!JC49,"")</f>
        <v/>
      </c>
      <c r="IZ47" s="185" t="str">
        <f>IF(Tim!JD49=FIT!$E$1,Tim!JD49,"")</f>
        <v/>
      </c>
      <c r="JA47" s="185" t="str">
        <f>IF(Tim!JE49=FIT!$E$1,Tim!JE49,"")</f>
        <v/>
      </c>
      <c r="JB47" s="185" t="str">
        <f>IF(Tim!JF49=FIT!$E$1,Tim!JF49,"")</f>
        <v/>
      </c>
      <c r="JC47" s="185" t="str">
        <f>IF(Tim!JG49=FIT!$E$1,Tim!JG49,"")</f>
        <v/>
      </c>
      <c r="JD47" s="185" t="str">
        <f>IF(Tim!JH49=FIT!$E$1,Tim!JH49,"")</f>
        <v/>
      </c>
      <c r="JE47" s="185" t="str">
        <f>IF(Tim!JI55=FIT!$E$1,Tim!JI55,"")</f>
        <v/>
      </c>
      <c r="JF47" s="185" t="str">
        <f>IF(Tim!JJ49=FIT!$E$1,Tim!JJ49,"")</f>
        <v/>
      </c>
      <c r="JG47" s="185" t="str">
        <f>IF(Tim!JK49=FIT!$E$1,Tim!JK49,"")</f>
        <v/>
      </c>
      <c r="JH47" s="185" t="str">
        <f>IF(Tim!JL49=FIT!$E$1,Tim!JL49,"")</f>
        <v/>
      </c>
      <c r="JI47" s="185" t="str">
        <f>IF(Tim!JM49=FIT!$E$1,Tim!JM49,"")</f>
        <v/>
      </c>
      <c r="JJ47" s="185" t="str">
        <f>IF(Tim!JN49=FIT!$E$1,Tim!JN49,"")</f>
        <v/>
      </c>
      <c r="JK47" s="185" t="str">
        <f>IF(Tim!JO49=FIT!$E$1,Tim!JO49,"")</f>
        <v/>
      </c>
      <c r="JL47" s="185" t="str">
        <f>IF(Tim!JP49=FIT!$E$1,Tim!JP49,"")</f>
        <v/>
      </c>
      <c r="JM47" s="185" t="str">
        <f>IF(Tim!JQ49=FIT!$E$1,Tim!JQ49,"")</f>
        <v/>
      </c>
      <c r="JN47" s="185" t="str">
        <f>IF(Tim!JR49=FIT!$E$1,Tim!JR49,"")</f>
        <v/>
      </c>
      <c r="JO47" s="185" t="str">
        <f>IF(Tim!JS49=FIT!$E$1,Tim!JS49,"")</f>
        <v/>
      </c>
      <c r="JP47" s="185" t="str">
        <f>IF(Tim!JT49=FIT!$E$1,Tim!JT49,"")</f>
        <v/>
      </c>
      <c r="JQ47" s="185" t="str">
        <f>IF(Tim!JU49=FIT!$E$1,Tim!JU49,"")</f>
        <v/>
      </c>
      <c r="JR47" s="185" t="str">
        <f>IF(Tim!JV49=FIT!$E$1,Tim!JV49,"")</f>
        <v/>
      </c>
      <c r="JS47" s="185" t="str">
        <f>IF(Tim!JW49=FIT!$E$1,Tim!JW49,"")</f>
        <v/>
      </c>
      <c r="JT47" s="185" t="str">
        <f>IF(Tim!JX49=FIT!$E$1,Tim!JX49,"")</f>
        <v/>
      </c>
      <c r="JU47" s="185" t="str">
        <f>IF(Tim!JY49=FIT!$E$1,Tim!JY49,"")</f>
        <v/>
      </c>
      <c r="JV47" s="185" t="str">
        <f>IF(Tim!JZ49=FIT!$E$1,Tim!JZ49,"")</f>
        <v/>
      </c>
      <c r="JW47" s="185" t="str">
        <f>IF(Tim!KA49=FIT!$E$1,Tim!KA49,"")</f>
        <v/>
      </c>
      <c r="JX47" s="185" t="str">
        <f>IF(Tim!KB49=FIT!$E$1,Tim!KB49,"")</f>
        <v/>
      </c>
      <c r="JY47" s="185" t="str">
        <f>IF(Tim!KC49=FIT!$E$1,Tim!KC49,"")</f>
        <v/>
      </c>
      <c r="JZ47" s="185" t="str">
        <f>IF(Tim!KD49=FIT!$E$1,Tim!KD49,"")</f>
        <v/>
      </c>
      <c r="KA47" s="185" t="str">
        <f>IF(Tim!KE49=FIT!$E$1,Tim!KE49,"")</f>
        <v/>
      </c>
      <c r="KB47" s="185" t="str">
        <f>IF(Tim!KF49=FIT!$E$1,Tim!KF49,"")</f>
        <v/>
      </c>
      <c r="KC47" s="185" t="str">
        <f>IF(Tim!KG49=FIT!$E$1,Tim!KG49,"")</f>
        <v/>
      </c>
      <c r="KD47" s="185" t="str">
        <f>IF(Tim!KH49=FIT!$E$1,Tim!KH49,"")</f>
        <v/>
      </c>
      <c r="KE47" s="185" t="str">
        <f>IF(Tim!KI49=FIT!$E$1,Tim!KI49,"")</f>
        <v/>
      </c>
      <c r="KF47" s="185" t="str">
        <f>IF(Tim!KJ49=FIT!$E$1,Tim!KJ49,"")</f>
        <v/>
      </c>
      <c r="KG47" s="185" t="str">
        <f>IF(Tim!KK49=FIT!$E$1,Tim!KK49,"")</f>
        <v/>
      </c>
      <c r="KH47" s="185" t="str">
        <f>IF(Tim!KL49=FIT!$E$1,Tim!KL49,"")</f>
        <v/>
      </c>
      <c r="KI47" s="185" t="str">
        <f>IF(Tim!KM49=FIT!$E$1,Tim!KM49,"")</f>
        <v/>
      </c>
      <c r="KJ47" s="185" t="str">
        <f>IF(Tim!KN49=FIT!$E$1,Tim!KN49,"")</f>
        <v/>
      </c>
      <c r="KK47" s="185" t="str">
        <f>IF(Tim!KO49=FIT!$E$1,Tim!KO49,"")</f>
        <v/>
      </c>
      <c r="KL47" s="185" t="str">
        <f>IF(Tim!KP49=FIT!$E$1,Tim!KP49,"")</f>
        <v/>
      </c>
      <c r="KM47" s="185" t="str">
        <f>IF(Tim!KQ49=FIT!$E$1,Tim!KQ49,"")</f>
        <v/>
      </c>
      <c r="KN47" s="185" t="str">
        <f>IF(Tim!KR49=FIT!$E$1,Tim!KR49,"")</f>
        <v/>
      </c>
      <c r="KO47" s="185" t="str">
        <f>IF(Tim!KS49=FIT!$E$1,Tim!KS49,"")</f>
        <v/>
      </c>
      <c r="KP47" s="185" t="str">
        <f>IF(Tim!KT49=FIT!$E$1,Tim!KT49,"")</f>
        <v/>
      </c>
      <c r="KQ47" s="185" t="str">
        <f>IF(Tim!KU49=FIT!$E$1,Tim!KU49,"")</f>
        <v/>
      </c>
      <c r="KR47" s="185" t="str">
        <f>IF(Tim!KV49=FIT!$E$1,Tim!KV49,"")</f>
        <v/>
      </c>
      <c r="KS47" s="185" t="str">
        <f>IF(Tim!KW49=FIT!$E$1,Tim!KW49,"")</f>
        <v/>
      </c>
      <c r="KT47" s="185" t="str">
        <f>IF(Tim!KX49=FIT!$E$1,Tim!KX49,"")</f>
        <v/>
      </c>
      <c r="KU47" s="185" t="str">
        <f>IF(Tim!KY49=FIT!$E$1,Tim!KY49,"")</f>
        <v/>
      </c>
      <c r="KV47" s="185" t="str">
        <f>IF(Tim!KZ49=FIT!$E$1,Tim!KZ49,"")</f>
        <v/>
      </c>
      <c r="KW47" s="185" t="str">
        <f>IF(Tim!LA49=FIT!$E$1,Tim!LA49,"")</f>
        <v/>
      </c>
      <c r="KX47" s="185" t="str">
        <f>IF(Tim!LB49=FIT!$E$1,Tim!LB49,"")</f>
        <v/>
      </c>
      <c r="KY47" s="185" t="str">
        <f>IF(Tim!LC49=FIT!$E$1,Tim!LC49,"")</f>
        <v/>
      </c>
      <c r="KZ47" s="185" t="str">
        <f>IF(Tim!LD49=FIT!$E$1,Tim!LD49,"")</f>
        <v/>
      </c>
      <c r="LA47" s="185" t="str">
        <f>IF(Tim!LE49=FIT!$E$1,Tim!LE49,"")</f>
        <v/>
      </c>
      <c r="LB47" s="52">
        <v>0.72916666666666496</v>
      </c>
    </row>
    <row r="48" spans="2:314" ht="10.5" customHeight="1" thickBot="1">
      <c r="B48" s="49">
        <v>0.25</v>
      </c>
      <c r="C48" s="49">
        <v>0.25</v>
      </c>
      <c r="D48" s="49">
        <v>0.25</v>
      </c>
      <c r="E48" s="172">
        <v>0.73958333333333204</v>
      </c>
      <c r="F48" s="238" t="str">
        <f>IF(Tim!F50=FIT!$E$1,Tim!F50,"")</f>
        <v/>
      </c>
      <c r="G48" s="185" t="str">
        <f>IF(Tim!G50=FIT!$E$1,Tim!G50,"")</f>
        <v/>
      </c>
      <c r="H48" s="185" t="str">
        <f>IF(Tim!H50=FIT!$E$1,Tim!H50,"")</f>
        <v/>
      </c>
      <c r="I48" s="185" t="str">
        <f>IF(Tim!I50=FIT!$E$1,Tim!I50,"")</f>
        <v/>
      </c>
      <c r="J48" s="185" t="str">
        <f>IF(Tim!J50=FIT!$E$1,Tim!J50,"")</f>
        <v/>
      </c>
      <c r="K48" s="185" t="str">
        <f>IF(Tim!K50=FIT!$E$1,Tim!K50,"")</f>
        <v/>
      </c>
      <c r="L48" s="185" t="str">
        <f>IF(Tim!L50=FIT!$E$1,Tim!L50,"")</f>
        <v/>
      </c>
      <c r="M48" s="185" t="str">
        <f>IF(Tim!M50=FIT!$E$1,Tim!M50,"")</f>
        <v/>
      </c>
      <c r="N48" s="185" t="str">
        <f>IF(Tim!N50=FIT!$E$1,Tim!N50,"")</f>
        <v/>
      </c>
      <c r="O48" s="185" t="str">
        <f>IF(Tim!O50=FIT!$E$1,Tim!O50,"")</f>
        <v/>
      </c>
      <c r="P48" s="185" t="str">
        <f>IF(Tim!P50=FIT!$E$1,Tim!P50,"")</f>
        <v/>
      </c>
      <c r="Q48" s="185" t="str">
        <f>IF(Tim!Q50=FIT!$E$1,Tim!Q50,"")</f>
        <v/>
      </c>
      <c r="R48" s="185" t="str">
        <f>IF(Tim!R50=FIT!$E$1,Tim!R50,"")</f>
        <v/>
      </c>
      <c r="S48" s="185" t="str">
        <f>IF(Tim!S50=FIT!$E$1,Tim!S50,"")</f>
        <v/>
      </c>
      <c r="T48" s="185" t="str">
        <f>IF(Tim!T50=FIT!$E$1,Tim!T50,"")</f>
        <v/>
      </c>
      <c r="U48" s="185" t="str">
        <f>IF(Tim!U50=FIT!$E$1,Tim!U50,"")</f>
        <v/>
      </c>
      <c r="V48" s="185" t="str">
        <f>IF(Tim!W50=FIT!$E$1,Tim!W50,"")</f>
        <v/>
      </c>
      <c r="W48" s="185" t="str">
        <f>IF(Tim!X50=FIT!$E$1,Tim!X50,"")</f>
        <v/>
      </c>
      <c r="X48" s="185" t="str">
        <f>IF(Tim!Y50=FIT!$E$1,Tim!Y50,"")</f>
        <v/>
      </c>
      <c r="Y48" s="185" t="str">
        <f>IF(Tim!Z50=FIT!$E$1,Tim!Z50,"")</f>
        <v/>
      </c>
      <c r="Z48" s="185" t="str">
        <f>IF(Tim!AA50=FIT!$E$1,Tim!AA50,"")</f>
        <v/>
      </c>
      <c r="AA48" s="185" t="str">
        <f>IF(Tim!AB50=FIT!$E$1,Tim!AB50,"")</f>
        <v/>
      </c>
      <c r="AB48" s="185" t="str">
        <f>IF(Tim!AC50=FIT!$E$1,Tim!AC50,"")</f>
        <v/>
      </c>
      <c r="AC48" s="185" t="str">
        <f>IF(Tim!AD50=FIT!$E$1,Tim!AD50,"")</f>
        <v/>
      </c>
      <c r="AD48" s="185" t="str">
        <f>IF(Tim!AE50=FIT!$E$1,Tim!AE50,"")</f>
        <v/>
      </c>
      <c r="AE48" s="185" t="str">
        <f>IF(Tim!AF50=FIT!$E$1,Tim!AF50,"")</f>
        <v/>
      </c>
      <c r="AF48" s="185" t="str">
        <f>IF(Tim!AG50=FIT!$E$1,Tim!AG50,"")</f>
        <v/>
      </c>
      <c r="AG48" s="185" t="str">
        <f>IF(Tim!AH50=FIT!$E$1,Tim!AH50,"")</f>
        <v/>
      </c>
      <c r="AH48" s="185" t="str">
        <f>IF(Tim!AI50=FIT!$E$1,Tim!AI50,"")</f>
        <v/>
      </c>
      <c r="AI48" s="185" t="str">
        <f>IF(Tim!AJ50=FIT!$E$1,Tim!AJ50,"")</f>
        <v/>
      </c>
      <c r="AJ48" s="185" t="str">
        <f>IF(Tim!AK50=FIT!$E$1,Tim!AK50,"")</f>
        <v/>
      </c>
      <c r="AK48" s="185" t="str">
        <f>IF(Tim!AL50=FIT!$E$1,Tim!AL50,"")</f>
        <v/>
      </c>
      <c r="AL48" s="185" t="str">
        <f>IF(Tim!AM50=FIT!$E$1,Tim!AM50,"")</f>
        <v/>
      </c>
      <c r="AM48" s="185" t="str">
        <f>IF(Tim!AN50=FIT!$E$1,Tim!AN50,"")</f>
        <v/>
      </c>
      <c r="AN48" s="185" t="str">
        <f>IF(Tim!AO50=FIT!$E$1,Tim!AO50,"")</f>
        <v/>
      </c>
      <c r="AO48" s="185" t="str">
        <f>IF(Tim!AP50=FIT!$E$1,Tim!AP50,"")</f>
        <v/>
      </c>
      <c r="AP48" s="185" t="str">
        <f>IF(Tim!AQ50=FIT!$E$1,Tim!AQ50,"")</f>
        <v/>
      </c>
      <c r="AQ48" s="185" t="str">
        <f>IF(Tim!AR50=FIT!$E$1,Tim!AR50,"")</f>
        <v/>
      </c>
      <c r="AR48" s="185" t="str">
        <f>IF(Tim!AS50=FIT!$E$1,Tim!AS50,"")</f>
        <v/>
      </c>
      <c r="AS48" s="185" t="str">
        <f>IF(Tim!AT50=FIT!$E$1,Tim!AT50,"")</f>
        <v/>
      </c>
      <c r="AT48" s="185" t="str">
        <f>IF(Tim!AU50=FIT!$E$1,Tim!AU50,"")</f>
        <v/>
      </c>
      <c r="AU48" s="185" t="str">
        <f>IF(Tim!AV50=FIT!$E$1,Tim!AV50,"")</f>
        <v/>
      </c>
      <c r="AV48" s="185" t="str">
        <f>IF(Tim!AW50=FIT!$E$1,Tim!AW50,"")</f>
        <v/>
      </c>
      <c r="AW48" s="186" t="str">
        <f>IF(Tim!AX50=FIT!$E$1,Tim!AX50,"")</f>
        <v/>
      </c>
      <c r="AX48" s="243" t="str">
        <f>IF(Tim!AY50=FIT!$E$1,Tim!AY50,"")</f>
        <v/>
      </c>
      <c r="AY48" s="185" t="str">
        <f>IF(Tim!AZ50=FIT!$E$1,Tim!AZ50,"")</f>
        <v/>
      </c>
      <c r="AZ48" s="185" t="str">
        <f>IF(Tim!BA50=FIT!$E$1,Tim!BA50,"")</f>
        <v/>
      </c>
      <c r="BA48" s="185" t="str">
        <f>IF(Tim!BB50=FIT!$E$1,Tim!BB50,"")</f>
        <v/>
      </c>
      <c r="BB48" s="185" t="str">
        <f>IF(Tim!BC50=FIT!$E$1,Tim!BC50,"")</f>
        <v/>
      </c>
      <c r="BC48" s="185" t="str">
        <f>IF(Tim!BD50=FIT!$E$1,Tim!BD50,"")</f>
        <v/>
      </c>
      <c r="BD48" s="185" t="str">
        <f>IF(Tim!BE50=FIT!$E$1,Tim!BE50,"")</f>
        <v/>
      </c>
      <c r="BE48" s="185" t="str">
        <f>IF(Tim!BF50=FIT!$E$1,Tim!BF50,"")</f>
        <v/>
      </c>
      <c r="BF48" s="185" t="str">
        <f>IF(Tim!BG50=FIT!$E$1,Tim!BG50,"")</f>
        <v/>
      </c>
      <c r="BG48" s="185" t="str">
        <f>IF(Tim!BH50=FIT!$E$1,Tim!BH50,"")</f>
        <v/>
      </c>
      <c r="BH48" s="185" t="str">
        <f>IF(Tim!BI50=FIT!$E$1,Tim!BI50,"")</f>
        <v/>
      </c>
      <c r="BI48" s="185" t="str">
        <f>IF(Tim!BJ50=FIT!$E$1,Tim!BJ50,"")</f>
        <v/>
      </c>
      <c r="BJ48" s="185" t="str">
        <f>IF(Tim!BK50=FIT!$E$1,Tim!BK50,"")</f>
        <v/>
      </c>
      <c r="BK48" s="185" t="str">
        <f>IF(Tim!BL50=FIT!$E$1,Tim!BL50,"")</f>
        <v/>
      </c>
      <c r="BL48" s="185" t="str">
        <f>IF(Tim!BM50=FIT!$E$1,Tim!BM50,"")</f>
        <v/>
      </c>
      <c r="BM48" s="185" t="str">
        <f>IF(Tim!BN50=FIT!$E$1,Tim!BN50,"")</f>
        <v/>
      </c>
      <c r="BN48" s="185" t="str">
        <f>IF(Tim!BO50=FIT!$E$1,Tim!BO50,"")</f>
        <v/>
      </c>
      <c r="BO48" s="185" t="str">
        <f>IF(Tim!BP50=FIT!$E$1,Tim!BP50,"")</f>
        <v/>
      </c>
      <c r="BP48" s="185" t="str">
        <f>IF(Tim!BQ50=FIT!$E$1,Tim!BQ50,"")</f>
        <v/>
      </c>
      <c r="BQ48" s="185" t="str">
        <f>IF(Tim!BR50=FIT!$E$1,Tim!BR50,"")</f>
        <v/>
      </c>
      <c r="BR48" s="185" t="str">
        <f>IF(Tim!BS50=FIT!$E$1,Tim!BS50,"")</f>
        <v/>
      </c>
      <c r="BS48" s="185" t="str">
        <f>IF(Tim!BT50=FIT!$E$1,Tim!BT50,"")</f>
        <v/>
      </c>
      <c r="BT48" s="185" t="str">
        <f>IF(Tim!BU50=FIT!$E$1,Tim!BU50,"")</f>
        <v/>
      </c>
      <c r="BU48" s="185" t="str">
        <f>IF(Tim!BV50=FIT!$E$1,Tim!BV50,"")</f>
        <v/>
      </c>
      <c r="BV48" s="185" t="str">
        <f>IF(Tim!BW50=FIT!$E$1,Tim!BW50,"")</f>
        <v/>
      </c>
      <c r="BW48" s="185" t="str">
        <f>IF(Tim!BX50=FIT!$E$1,Tim!BX50,"")</f>
        <v/>
      </c>
      <c r="BX48" s="185" t="str">
        <f>IF(Tim!BY50=FIT!$E$1,Tim!BY50,"")</f>
        <v/>
      </c>
      <c r="BY48" s="185" t="str">
        <f>IF(Tim!BZ50=FIT!$E$1,Tim!BZ50,"")</f>
        <v/>
      </c>
      <c r="BZ48" s="185" t="str">
        <f>IF(Tim!CA50=FIT!$E$1,Tim!CA50,"")</f>
        <v/>
      </c>
      <c r="CA48" s="185" t="str">
        <f>IF(Tim!CB50=FIT!$E$1,Tim!CB50,"")</f>
        <v/>
      </c>
      <c r="CB48" s="185" t="str">
        <f>IF(Tim!CC50=FIT!$E$1,Tim!CC50,"")</f>
        <v/>
      </c>
      <c r="CC48" s="185" t="str">
        <f>IF(Tim!CD50=FIT!$E$1,Tim!CD50,"")</f>
        <v/>
      </c>
      <c r="CD48" s="185" t="str">
        <f>IF(Tim!CE50=FIT!$E$1,Tim!CE50,"")</f>
        <v/>
      </c>
      <c r="CE48" s="185" t="str">
        <f>IF(Tim!CF50=FIT!$E$1,Tim!CF50,"")</f>
        <v/>
      </c>
      <c r="CF48" s="185" t="str">
        <f>IF(Tim!CG50=FIT!$E$1,Tim!CG50,"")</f>
        <v/>
      </c>
      <c r="CG48" s="185" t="str">
        <f>IF(Tim!CH50=FIT!$E$1,Tim!CH50,"")</f>
        <v/>
      </c>
      <c r="CH48" s="185" t="str">
        <f>IF(Tim!CI50=FIT!$E$1,Tim!CI50,"")</f>
        <v/>
      </c>
      <c r="CI48" s="185" t="str">
        <f>IF(Tim!CJ50=FIT!$E$1,Tim!CJ50,"")</f>
        <v/>
      </c>
      <c r="CJ48" s="185" t="str">
        <f>IF(Tim!CK50=FIT!$E$1,Tim!CK50,"")</f>
        <v/>
      </c>
      <c r="CK48" s="185" t="str">
        <f>IF(Tim!CL50=FIT!$E$1,Tim!CL50,"")</f>
        <v/>
      </c>
      <c r="CL48" s="185" t="str">
        <f>IF(Tim!CM50=FIT!$E$1,Tim!CM50,"")</f>
        <v/>
      </c>
      <c r="CM48" s="185" t="str">
        <f>IF(Tim!CN50=FIT!$E$1,Tim!CN50,"")</f>
        <v/>
      </c>
      <c r="CN48" s="185" t="str">
        <f>IF(Tim!CO50=FIT!$E$1,Tim!CO50,"")</f>
        <v/>
      </c>
      <c r="CO48" s="185" t="str">
        <f>IF(Tim!CP50=FIT!$E$1,Tim!CP50,"")</f>
        <v/>
      </c>
      <c r="CP48" s="185" t="str">
        <f>IF(Tim!CQ50=FIT!$E$1,Tim!CQ50,"")</f>
        <v/>
      </c>
      <c r="CQ48" s="185" t="str">
        <f>IF(Tim!CR50=FIT!$E$1,Tim!CR50,"")</f>
        <v/>
      </c>
      <c r="CR48" s="185" t="str">
        <f>IF(Tim!CS50=FIT!$E$1,Tim!CS50,"")</f>
        <v/>
      </c>
      <c r="CS48" s="185" t="str">
        <f>IF(Tim!CT50=FIT!$E$1,Tim!CT50,"")</f>
        <v/>
      </c>
      <c r="CT48" s="185" t="str">
        <f>IF(Tim!CU50=FIT!$E$1,Tim!CU50,"")</f>
        <v/>
      </c>
      <c r="CU48" s="185" t="str">
        <f>IF(Tim!CV50=FIT!$E$1,Tim!CV50,"")</f>
        <v/>
      </c>
      <c r="CV48" s="185" t="str">
        <f>IF(Tim!CW50=FIT!$E$1,Tim!CW50,"")</f>
        <v/>
      </c>
      <c r="CW48" s="185" t="str">
        <f>IF(Tim!CX50=FIT!$E$1,Tim!CX50,"")</f>
        <v/>
      </c>
      <c r="CX48" s="185" t="str">
        <f>IF(Tim!CY50=FIT!$E$1,Tim!CY50,"")</f>
        <v/>
      </c>
      <c r="CY48" s="185" t="str">
        <f>IF(Tim!CZ50=FIT!$E$1,Tim!CZ50,"")</f>
        <v/>
      </c>
      <c r="CZ48" s="185" t="str">
        <f>IF(Tim!DA50=FIT!$E$1,Tim!DA50,"")</f>
        <v/>
      </c>
      <c r="DA48" s="185" t="str">
        <f>IF(Tim!DB50=FIT!$E$1,Tim!DB50,"")</f>
        <v/>
      </c>
      <c r="DB48" s="185" t="str">
        <f>IF(Tim!DC50=FIT!$E$1,Tim!DC50,"")</f>
        <v/>
      </c>
      <c r="DC48" s="185" t="str">
        <f>IF(Tim!DD50=FIT!$E$1,Tim!DD50,"")</f>
        <v/>
      </c>
      <c r="DD48" s="185" t="str">
        <f>IF(Tim!DE50=FIT!$E$1,Tim!DE50,"")</f>
        <v/>
      </c>
      <c r="DE48" s="185" t="str">
        <f>IF(Tim!DF50=FIT!$E$1,Tim!DF50,"")</f>
        <v/>
      </c>
      <c r="DF48" s="185" t="str">
        <f>IF(Tim!DG50=FIT!$E$1,Tim!DG50,"")</f>
        <v/>
      </c>
      <c r="DG48" s="185" t="str">
        <f>IF(Tim!DH50=FIT!$E$1,Tim!DH50,"")</f>
        <v/>
      </c>
      <c r="DH48" s="185" t="str">
        <f>IF(Tim!DI50=FIT!$E$1,Tim!DI50,"")</f>
        <v/>
      </c>
      <c r="DI48" s="185" t="str">
        <f>IF(Tim!DM50=FIT!$E$1,Tim!DM50,"")</f>
        <v/>
      </c>
      <c r="DJ48" s="185" t="str">
        <f>IF(Tim!DN50=FIT!$E$1,Tim!DN50,"")</f>
        <v/>
      </c>
      <c r="DK48" s="185" t="str">
        <f>IF(Tim!DO50=FIT!$E$1,Tim!DO50,"")</f>
        <v/>
      </c>
      <c r="DL48" s="185" t="str">
        <f>IF(Tim!DP50=FIT!$E$1,Tim!DP50,"")</f>
        <v/>
      </c>
      <c r="DM48" s="185" t="str">
        <f>IF(Tim!DQ50=FIT!$E$1,Tim!DQ50,"")</f>
        <v/>
      </c>
      <c r="DN48" s="185" t="str">
        <f>IF(Tim!DR50=FIT!$E$1,Tim!DR50,"")</f>
        <v/>
      </c>
      <c r="DO48" s="185" t="str">
        <f>IF(Tim!DS50=FIT!$E$1,Tim!DS50,"")</f>
        <v/>
      </c>
      <c r="DP48" s="185" t="str">
        <f>IF(Tim!DT50=FIT!$E$1,Tim!DT50,"")</f>
        <v/>
      </c>
      <c r="DQ48" s="185" t="str">
        <f>IF(Tim!DU50=FIT!$E$1,Tim!DU50,"")</f>
        <v/>
      </c>
      <c r="DR48" s="185" t="str">
        <f>IF(Tim!DV50=FIT!$E$1,Tim!DV50,"")</f>
        <v/>
      </c>
      <c r="DS48" s="185" t="str">
        <f>IF(Tim!DW50=FIT!$E$1,Tim!DW50,"")</f>
        <v/>
      </c>
      <c r="DT48" s="185" t="str">
        <f>IF(Tim!DX50=FIT!$E$1,Tim!DX50,"")</f>
        <v/>
      </c>
      <c r="DU48" s="185" t="str">
        <f>IF(Tim!DY50=FIT!$E$1,Tim!DY50,"")</f>
        <v/>
      </c>
      <c r="DV48" s="185" t="str">
        <f>IF(Tim!DZ50=FIT!$E$1,Tim!DZ50,"")</f>
        <v/>
      </c>
      <c r="DW48" s="185" t="str">
        <f>IF(Tim!EA50=FIT!$E$1,Tim!EA50,"")</f>
        <v/>
      </c>
      <c r="DX48" s="185" t="str">
        <f>IF(Tim!EB50=FIT!$E$1,Tim!EB50,"")</f>
        <v/>
      </c>
      <c r="DY48" s="185" t="str">
        <f>IF(Tim!EC50=FIT!$E$1,Tim!EC50,"")</f>
        <v/>
      </c>
      <c r="DZ48" s="185" t="str">
        <f>IF(Tim!ED50=FIT!$E$1,Tim!ED50,"")</f>
        <v/>
      </c>
      <c r="EA48" s="185" t="str">
        <f>IF(Tim!EE50=FIT!$E$1,Tim!EE50,"")</f>
        <v/>
      </c>
      <c r="EB48" s="185" t="str">
        <f>IF(Tim!EF50=FIT!$E$1,Tim!EF50,"")</f>
        <v/>
      </c>
      <c r="EC48" s="185" t="str">
        <f>IF(Tim!EG50=FIT!$E$1,Tim!EG50,"")</f>
        <v/>
      </c>
      <c r="ED48" s="185" t="str">
        <f>IF(Tim!EH50=FIT!$E$1,Tim!EH50,"")</f>
        <v/>
      </c>
      <c r="EE48" s="185" t="str">
        <f>IF(Tim!EI50=FIT!$E$1,Tim!EI50,"")</f>
        <v/>
      </c>
      <c r="EF48" s="185" t="str">
        <f>IF(Tim!EJ50=FIT!$E$1,Tim!EJ50,"")</f>
        <v/>
      </c>
      <c r="EG48" s="185" t="str">
        <f>IF(Tim!EK50=FIT!$E$1,Tim!EK50,"")</f>
        <v/>
      </c>
      <c r="EH48" s="185" t="str">
        <f>IF(Tim!EL50=FIT!$E$1,Tim!EL50,"")</f>
        <v/>
      </c>
      <c r="EI48" s="185" t="str">
        <f>IF(Tim!EM50=FIT!$E$1,Tim!EM50,"")</f>
        <v/>
      </c>
      <c r="EJ48" s="185" t="str">
        <f>IF(Tim!EN50=FIT!$E$1,Tim!EN50,"")</f>
        <v/>
      </c>
      <c r="EK48" s="185" t="str">
        <f>IF(Tim!EO50=FIT!$E$1,Tim!EO50,"")</f>
        <v/>
      </c>
      <c r="EL48" s="185" t="str">
        <f>IF(Tim!EP50=FIT!$E$1,Tim!EP50,"")</f>
        <v/>
      </c>
      <c r="EM48" s="185" t="str">
        <f>IF(Tim!EQ50=FIT!$E$1,Tim!EQ50,"")</f>
        <v/>
      </c>
      <c r="EN48" s="185" t="str">
        <f>IF(Tim!ER50=FIT!$E$1,Tim!ER50,"")</f>
        <v/>
      </c>
      <c r="EO48" s="185" t="str">
        <f>IF(Tim!ES50=FIT!$E$1,Tim!ES50,"")</f>
        <v/>
      </c>
      <c r="EP48" s="185" t="str">
        <f>IF(Tim!ET50=FIT!$E$1,Tim!ET50,"")</f>
        <v/>
      </c>
      <c r="EQ48" s="185" t="str">
        <f>IF(Tim!EU50=FIT!$E$1,Tim!EU50,"")</f>
        <v/>
      </c>
      <c r="ER48" s="185" t="str">
        <f>IF(Tim!EV50=FIT!$E$1,Tim!EV50,"")</f>
        <v/>
      </c>
      <c r="ES48" s="185" t="str">
        <f>IF(Tim!EW50=FIT!$E$1,Tim!EW50,"")</f>
        <v/>
      </c>
      <c r="ET48" s="185" t="str">
        <f>IF(Tim!EX50=FIT!$E$1,Tim!EX50,"")</f>
        <v/>
      </c>
      <c r="EU48" s="185" t="str">
        <f>IF(Tim!EY50=FIT!$E$1,Tim!EY50,"")</f>
        <v/>
      </c>
      <c r="EV48" s="185" t="str">
        <f>IF(Tim!EZ50=FIT!$E$1,Tim!EZ50,"")</f>
        <v/>
      </c>
      <c r="EW48" s="185" t="str">
        <f>IF(Tim!FA50=FIT!$E$1,Tim!FA50,"")</f>
        <v/>
      </c>
      <c r="EX48" s="185" t="str">
        <f>IF(Tim!FB50=FIT!$E$1,Tim!FB50,"")</f>
        <v/>
      </c>
      <c r="EY48" s="185" t="str">
        <f>IF(Tim!FC50=FIT!$E$1,Tim!FC50,"")</f>
        <v/>
      </c>
      <c r="EZ48" s="185" t="str">
        <f>IF(Tim!FD50=FIT!$E$1,Tim!FD50,"")</f>
        <v/>
      </c>
      <c r="FA48" s="185" t="str">
        <f>IF(Tim!FE50=FIT!$E$1,Tim!FE50,"")</f>
        <v/>
      </c>
      <c r="FB48" s="185" t="str">
        <f>IF(Tim!FF50=FIT!$E$1,Tim!FF50,"")</f>
        <v/>
      </c>
      <c r="FC48" s="185" t="str">
        <f>IF(Tim!FG50=FIT!$E$1,Tim!FG50,"")</f>
        <v/>
      </c>
      <c r="FD48" s="185" t="str">
        <f>IF(Tim!FH50=FIT!$E$1,Tim!FH50,"")</f>
        <v/>
      </c>
      <c r="FE48" s="185" t="str">
        <f>IF(Tim!FI50=FIT!$E$1,Tim!FI50,"")</f>
        <v/>
      </c>
      <c r="FF48" s="185" t="str">
        <f>IF(Tim!FJ50=FIT!$E$1,Tim!FJ50,"")</f>
        <v/>
      </c>
      <c r="FG48" s="185" t="str">
        <f>IF(Tim!FK50=FIT!$E$1,Tim!FK50,"")</f>
        <v/>
      </c>
      <c r="FH48" s="185" t="str">
        <f>IF(Tim!FL50=FIT!$E$1,Tim!FL50,"")</f>
        <v/>
      </c>
      <c r="FI48" s="185" t="str">
        <f>IF(Tim!FM50=FIT!$E$1,Tim!FM50,"")</f>
        <v/>
      </c>
      <c r="FJ48" s="185" t="str">
        <f>IF(Tim!FN50=FIT!$E$1,Tim!FN50,"")</f>
        <v/>
      </c>
      <c r="FK48" s="185" t="str">
        <f>IF(Tim!FO50=FIT!$E$1,Tim!FO50,"")</f>
        <v/>
      </c>
      <c r="FL48" s="185" t="str">
        <f>IF(Tim!FP50=FIT!$E$1,Tim!FP50,"")</f>
        <v/>
      </c>
      <c r="FM48" s="185" t="str">
        <f>IF(Tim!FQ50=FIT!$E$1,Tim!FQ50,"")</f>
        <v/>
      </c>
      <c r="FN48" s="185" t="str">
        <f>IF(Tim!FR50=FIT!$E$1,Tim!FR50,"")</f>
        <v/>
      </c>
      <c r="FO48" s="185" t="str">
        <f>IF(Tim!FS50=FIT!$E$1,Tim!FS50,"")</f>
        <v/>
      </c>
      <c r="FP48" s="185" t="str">
        <f>IF(Tim!FT50=FIT!$E$1,Tim!FT50,"")</f>
        <v/>
      </c>
      <c r="FQ48" s="185" t="str">
        <f>IF(Tim!FU50=FIT!$E$1,Tim!FU50,"")</f>
        <v/>
      </c>
      <c r="FR48" s="185" t="str">
        <f>IF(Tim!FV50=FIT!$E$1,Tim!FV50,"")</f>
        <v/>
      </c>
      <c r="FS48" s="185" t="str">
        <f>IF(Tim!FW50=FIT!$E$1,Tim!FW50,"")</f>
        <v/>
      </c>
      <c r="FT48" s="185" t="str">
        <f>IF(Tim!FX50=FIT!$E$1,Tim!FX50,"")</f>
        <v/>
      </c>
      <c r="FU48" s="185" t="str">
        <f>IF(Tim!FY50=FIT!$E$1,Tim!FY50,"")</f>
        <v/>
      </c>
      <c r="FV48" s="185" t="str">
        <f>IF(Tim!FZ50=FIT!$E$1,Tim!FZ50,"")</f>
        <v/>
      </c>
      <c r="FW48" s="185" t="str">
        <f>IF(Tim!GA50=FIT!$E$1,Tim!GA50,"")</f>
        <v/>
      </c>
      <c r="FX48" s="185" t="str">
        <f>IF(Tim!GB50=FIT!$E$1,Tim!GB50,"")</f>
        <v/>
      </c>
      <c r="FY48" s="185" t="str">
        <f>IF(Tim!GC50=FIT!$E$1,Tim!GC50,"")</f>
        <v/>
      </c>
      <c r="FZ48" s="185" t="str">
        <f>IF(Tim!GD50=FIT!$E$1,Tim!GD50,"")</f>
        <v/>
      </c>
      <c r="GA48" s="185" t="str">
        <f>IF(Tim!GE50=FIT!$E$1,Tim!GE50,"")</f>
        <v/>
      </c>
      <c r="GB48" s="185" t="str">
        <f>IF(Tim!GF50=FIT!$E$1,Tim!GF50,"")</f>
        <v/>
      </c>
      <c r="GC48" s="185" t="str">
        <f>IF(Tim!GG50=FIT!$E$1,Tim!GG50,"")</f>
        <v/>
      </c>
      <c r="GD48" s="185" t="str">
        <f>IF(Tim!GH50=FIT!$E$1,Tim!GH50,"")</f>
        <v/>
      </c>
      <c r="GE48" s="185" t="str">
        <f>IF(Tim!GI50=FIT!$E$1,Tim!GI50,"")</f>
        <v/>
      </c>
      <c r="GF48" s="185" t="str">
        <f>IF(Tim!GJ50=FIT!$E$1,Tim!GJ50,"")</f>
        <v/>
      </c>
      <c r="GG48" s="185" t="str">
        <f>IF(Tim!GK50=FIT!$E$1,Tim!GK50,"")</f>
        <v/>
      </c>
      <c r="GH48" s="185" t="str">
        <f>IF(Tim!GL50=FIT!$E$1,Tim!GL50,"")</f>
        <v/>
      </c>
      <c r="GI48" s="185" t="str">
        <f>IF(Tim!GM50=FIT!$E$1,Tim!GM50,"")</f>
        <v/>
      </c>
      <c r="GJ48" s="185" t="str">
        <f>IF(Tim!GN50=FIT!$E$1,Tim!GN50,"")</f>
        <v/>
      </c>
      <c r="GK48" s="185" t="str">
        <f>IF(Tim!GO50=FIT!$E$1,Tim!GO50,"")</f>
        <v/>
      </c>
      <c r="GL48" s="185" t="str">
        <f>IF(Tim!GP50=FIT!$E$1,Tim!GP50,"")</f>
        <v/>
      </c>
      <c r="GM48" s="185" t="str">
        <f>IF(Tim!GQ50=FIT!$E$1,Tim!GQ50,"")</f>
        <v/>
      </c>
      <c r="GN48" s="185" t="str">
        <f>IF(Tim!GR50=FIT!$E$1,Tim!GR50,"")</f>
        <v/>
      </c>
      <c r="GO48" s="185" t="str">
        <f>IF(Tim!GS50=FIT!$E$1,Tim!GS50,"")</f>
        <v/>
      </c>
      <c r="GP48" s="185" t="str">
        <f>IF(Tim!GT50=FIT!$E$1,Tim!GT50,"")</f>
        <v/>
      </c>
      <c r="GQ48" s="185" t="str">
        <f>IF(Tim!GU50=FIT!$E$1,Tim!GU50,"")</f>
        <v/>
      </c>
      <c r="GR48" s="185" t="str">
        <f>IF(Tim!GV50=FIT!$E$1,Tim!GV50,"")</f>
        <v/>
      </c>
      <c r="GS48" s="185" t="str">
        <f>IF(Tim!GW50=FIT!$E$1,Tim!GW50,"")</f>
        <v/>
      </c>
      <c r="GT48" s="185" t="str">
        <f>IF(Tim!GX50=FIT!$E$1,Tim!GX50,"")</f>
        <v/>
      </c>
      <c r="GU48" s="185" t="str">
        <f>IF(Tim!GY50=FIT!$E$1,Tim!GY50,"")</f>
        <v/>
      </c>
      <c r="GV48" s="185" t="str">
        <f>IF(Tim!GZ50=FIT!$E$1,Tim!GZ50,"")</f>
        <v/>
      </c>
      <c r="GW48" s="185" t="str">
        <f>IF(Tim!HA50=FIT!$E$1,Tim!HA50,"")</f>
        <v/>
      </c>
      <c r="GX48" s="185" t="str">
        <f>IF(Tim!HB50=FIT!$E$1,Tim!HB50,"")</f>
        <v/>
      </c>
      <c r="GY48" s="185" t="str">
        <f>IF(Tim!HC50=FIT!$E$1,Tim!HC50,"")</f>
        <v/>
      </c>
      <c r="GZ48" s="185" t="str">
        <f>IF(Tim!HD50=FIT!$E$1,Tim!HD50,"")</f>
        <v/>
      </c>
      <c r="HA48" s="185" t="str">
        <f>IF(Tim!HE50=FIT!$E$1,Tim!HE50,"")</f>
        <v/>
      </c>
      <c r="HB48" s="185" t="str">
        <f>IF(Tim!HF50=FIT!$E$1,Tim!HF50,"")</f>
        <v/>
      </c>
      <c r="HC48" s="185" t="str">
        <f>IF(Tim!HG50=FIT!$E$1,Tim!HG50,"")</f>
        <v/>
      </c>
      <c r="HD48" s="185" t="str">
        <f>IF(Tim!HH50=FIT!$E$1,Tim!HH50,"")</f>
        <v/>
      </c>
      <c r="HE48" s="185" t="str">
        <f>IF(Tim!HI50=FIT!$E$1,Tim!HI50,"")</f>
        <v/>
      </c>
      <c r="HF48" s="185" t="str">
        <f>IF(Tim!HJ50=FIT!$E$1,Tim!HJ50,"")</f>
        <v/>
      </c>
      <c r="HG48" s="185" t="str">
        <f>IF(Tim!HK50=FIT!$E$1,Tim!HK50,"")</f>
        <v/>
      </c>
      <c r="HH48" s="185" t="str">
        <f>IF(Tim!HL50=FIT!$E$1,Tim!HL50,"")</f>
        <v/>
      </c>
      <c r="HI48" s="185" t="str">
        <f>IF(Tim!HM50=FIT!$E$1,Tim!HM50,"")</f>
        <v/>
      </c>
      <c r="HJ48" s="185" t="str">
        <f>IF(Tim!HN50=FIT!$E$1,Tim!HN50,"")</f>
        <v/>
      </c>
      <c r="HK48" s="185" t="str">
        <f>IF(Tim!HO50=FIT!$E$1,Tim!HO50,"")</f>
        <v/>
      </c>
      <c r="HL48" s="185" t="str">
        <f>IF(Tim!HP50=FIT!$E$1,Tim!HP50,"")</f>
        <v/>
      </c>
      <c r="HM48" s="185" t="str">
        <f>IF(Tim!HQ50=FIT!$E$1,Tim!HQ50,"")</f>
        <v/>
      </c>
      <c r="HN48" s="185" t="str">
        <f>IF(Tim!HR50=FIT!$E$1,Tim!HR50,"")</f>
        <v/>
      </c>
      <c r="HO48" s="185" t="str">
        <f>IF(Tim!HS50=FIT!$E$1,Tim!HS50,"")</f>
        <v/>
      </c>
      <c r="HP48" s="185" t="str">
        <f>IF(Tim!HT50=FIT!$E$1,Tim!HT50,"")</f>
        <v/>
      </c>
      <c r="HQ48" s="185" t="str">
        <f>IF(Tim!HU50=FIT!$E$1,Tim!HU50,"")</f>
        <v/>
      </c>
      <c r="HR48" s="185" t="str">
        <f>IF(Tim!HV50=FIT!$E$1,Tim!HV50,"")</f>
        <v/>
      </c>
      <c r="HS48" s="185" t="str">
        <f>IF(Tim!HW50=FIT!$E$1,Tim!HW50,"")</f>
        <v/>
      </c>
      <c r="HT48" s="185" t="str">
        <f>IF(Tim!HX50=FIT!$E$1,Tim!HX50,"")</f>
        <v/>
      </c>
      <c r="HU48" s="185" t="str">
        <f>IF(Tim!HY50=FIT!$E$1,Tim!HY50,"")</f>
        <v/>
      </c>
      <c r="HV48" s="185" t="str">
        <f>IF(Tim!HZ50=FIT!$E$1,Tim!HZ50,"")</f>
        <v/>
      </c>
      <c r="HW48" s="185" t="str">
        <f>IF(Tim!IA50=FIT!$E$1,Tim!IA50,"")</f>
        <v/>
      </c>
      <c r="HX48" s="185" t="str">
        <f>IF(Tim!IB50=FIT!$E$1,Tim!IB50,"")</f>
        <v/>
      </c>
      <c r="HY48" s="185" t="str">
        <f>IF(Tim!IC50=FIT!$E$1,Tim!IC50,"")</f>
        <v/>
      </c>
      <c r="HZ48" s="185" t="str">
        <f>IF(Tim!ID50=FIT!$E$1,Tim!ID50,"")</f>
        <v/>
      </c>
      <c r="IA48" s="185" t="str">
        <f>IF(Tim!IE50=FIT!$E$1,Tim!IE50,"")</f>
        <v/>
      </c>
      <c r="IB48" s="185" t="str">
        <f>IF(Tim!IF50=FIT!$E$1,Tim!IF50,"")</f>
        <v/>
      </c>
      <c r="IC48" s="185" t="str">
        <f>IF(Tim!IG50=FIT!$E$1,Tim!IG50,"")</f>
        <v/>
      </c>
      <c r="ID48" s="185" t="str">
        <f>IF(Tim!IH50=FIT!$E$1,Tim!IH50,"")</f>
        <v/>
      </c>
      <c r="IE48" s="185" t="str">
        <f>IF(Tim!II50=FIT!$E$1,Tim!II50,"")</f>
        <v/>
      </c>
      <c r="IF48" s="185" t="str">
        <f>IF(Tim!IJ50=FIT!$E$1,Tim!IJ50,"")</f>
        <v/>
      </c>
      <c r="IG48" s="185" t="str">
        <f>IF(Tim!IK50=FIT!$E$1,Tim!IK50,"")</f>
        <v/>
      </c>
      <c r="IH48" s="185" t="str">
        <f>IF(Tim!IL50=FIT!$E$1,Tim!IL50,"")</f>
        <v/>
      </c>
      <c r="II48" s="185" t="str">
        <f>IF(Tim!IM50=FIT!$E$1,Tim!IM50,"")</f>
        <v/>
      </c>
      <c r="IJ48" s="185" t="str">
        <f>IF(Tim!IN50=FIT!$E$1,Tim!IN50,"")</f>
        <v/>
      </c>
      <c r="IK48" s="185" t="str">
        <f>IF(Tim!IO50=FIT!$E$1,Tim!IO50,"")</f>
        <v/>
      </c>
      <c r="IL48" s="185" t="str">
        <f>IF(Tim!IP50=FIT!$E$1,Tim!IP50,"")</f>
        <v/>
      </c>
      <c r="IM48" s="185" t="str">
        <f>IF(Tim!IQ50=FIT!$E$1,Tim!IQ50,"")</f>
        <v/>
      </c>
      <c r="IN48" s="185" t="str">
        <f>IF(Tim!IR50=FIT!$E$1,Tim!IR50,"")</f>
        <v/>
      </c>
      <c r="IO48" s="185" t="str">
        <f>IF(Tim!IS50=FIT!$E$1,Tim!IS50,"")</f>
        <v/>
      </c>
      <c r="IP48" s="185" t="str">
        <f>IF(Tim!IT50=FIT!$E$1,Tim!IT50,"")</f>
        <v/>
      </c>
      <c r="IQ48" s="185" t="str">
        <f>IF(Tim!IU50=FIT!$E$1,Tim!IU50,"")</f>
        <v/>
      </c>
      <c r="IR48" s="185" t="str">
        <f>IF(Tim!IV50=FIT!$E$1,Tim!IV50,"")</f>
        <v/>
      </c>
      <c r="IS48" s="185" t="str">
        <f>IF(Tim!IW50=FIT!$E$1,Tim!IW50,"")</f>
        <v/>
      </c>
      <c r="IT48" s="185" t="str">
        <f>IF(Tim!IX50=FIT!$E$1,Tim!IX50,"")</f>
        <v/>
      </c>
      <c r="IU48" s="185" t="str">
        <f>IF(Tim!IY50=FIT!$E$1,Tim!IY50,"")</f>
        <v/>
      </c>
      <c r="IV48" s="185" t="str">
        <f>IF(Tim!IZ50=FIT!$E$1,Tim!IZ50,"")</f>
        <v/>
      </c>
      <c r="IW48" s="185" t="str">
        <f>IF(Tim!JA50=FIT!$E$1,Tim!JA50,"")</f>
        <v/>
      </c>
      <c r="IX48" s="185" t="str">
        <f>IF(Tim!JB50=FIT!$E$1,Tim!JB50,"")</f>
        <v/>
      </c>
      <c r="IY48" s="185" t="str">
        <f>IF(Tim!JC50=FIT!$E$1,Tim!JC50,"")</f>
        <v/>
      </c>
      <c r="IZ48" s="185" t="str">
        <f>IF(Tim!JD50=FIT!$E$1,Tim!JD50,"")</f>
        <v/>
      </c>
      <c r="JA48" s="185" t="str">
        <f>IF(Tim!JE50=FIT!$E$1,Tim!JE50,"")</f>
        <v/>
      </c>
      <c r="JB48" s="185" t="str">
        <f>IF(Tim!JF50=FIT!$E$1,Tim!JF50,"")</f>
        <v/>
      </c>
      <c r="JC48" s="185" t="str">
        <f>IF(Tim!JG50=FIT!$E$1,Tim!JG50,"")</f>
        <v/>
      </c>
      <c r="JD48" s="185" t="str">
        <f>IF(Tim!JH50=FIT!$E$1,Tim!JH50,"")</f>
        <v/>
      </c>
      <c r="JE48" s="185" t="str">
        <f>IF(Tim!JI50=FIT!$E$1,Tim!JI50,"")</f>
        <v/>
      </c>
      <c r="JF48" s="185" t="str">
        <f>IF(Tim!JJ50=FIT!$E$1,Tim!JJ50,"")</f>
        <v/>
      </c>
      <c r="JG48" s="185" t="str">
        <f>IF(Tim!JK50=FIT!$E$1,Tim!JK50,"")</f>
        <v/>
      </c>
      <c r="JH48" s="185" t="str">
        <f>IF(Tim!JL50=FIT!$E$1,Tim!JL50,"")</f>
        <v/>
      </c>
      <c r="JI48" s="185" t="str">
        <f>IF(Tim!JM50=FIT!$E$1,Tim!JM50,"")</f>
        <v/>
      </c>
      <c r="JJ48" s="185" t="str">
        <f>IF(Tim!JN50=FIT!$E$1,Tim!JN50,"")</f>
        <v/>
      </c>
      <c r="JK48" s="185" t="str">
        <f>IF(Tim!JO50=FIT!$E$1,Tim!JO50,"")</f>
        <v/>
      </c>
      <c r="JL48" s="185" t="str">
        <f>IF(Tim!JP50=FIT!$E$1,Tim!JP50,"")</f>
        <v/>
      </c>
      <c r="JM48" s="185" t="str">
        <f>IF(Tim!JQ50=FIT!$E$1,Tim!JQ50,"")</f>
        <v/>
      </c>
      <c r="JN48" s="185" t="str">
        <f>IF(Tim!JR50=FIT!$E$1,Tim!JR50,"")</f>
        <v/>
      </c>
      <c r="JO48" s="185" t="str">
        <f>IF(Tim!JS50=FIT!$E$1,Tim!JS50,"")</f>
        <v/>
      </c>
      <c r="JP48" s="185" t="str">
        <f>IF(Tim!JT50=FIT!$E$1,Tim!JT50,"")</f>
        <v/>
      </c>
      <c r="JQ48" s="185" t="str">
        <f>IF(Tim!JU50=FIT!$E$1,Tim!JU50,"")</f>
        <v/>
      </c>
      <c r="JR48" s="185" t="str">
        <f>IF(Tim!JV50=FIT!$E$1,Tim!JV50,"")</f>
        <v/>
      </c>
      <c r="JS48" s="185" t="str">
        <f>IF(Tim!JW50=FIT!$E$1,Tim!JW50,"")</f>
        <v/>
      </c>
      <c r="JT48" s="185" t="str">
        <f>IF(Tim!JX50=FIT!$E$1,Tim!JX50,"")</f>
        <v/>
      </c>
      <c r="JU48" s="185" t="str">
        <f>IF(Tim!JY50=FIT!$E$1,Tim!JY50,"")</f>
        <v/>
      </c>
      <c r="JV48" s="185" t="str">
        <f>IF(Tim!JZ50=FIT!$E$1,Tim!JZ50,"")</f>
        <v/>
      </c>
      <c r="JW48" s="185" t="str">
        <f>IF(Tim!KA50=FIT!$E$1,Tim!KA50,"")</f>
        <v/>
      </c>
      <c r="JX48" s="185" t="str">
        <f>IF(Tim!KB50=FIT!$E$1,Tim!KB50,"")</f>
        <v/>
      </c>
      <c r="JY48" s="185" t="str">
        <f>IF(Tim!KC50=FIT!$E$1,Tim!KC50,"")</f>
        <v/>
      </c>
      <c r="JZ48" s="185" t="str">
        <f>IF(Tim!KD50=FIT!$E$1,Tim!KD50,"")</f>
        <v/>
      </c>
      <c r="KA48" s="185" t="str">
        <f>IF(Tim!KE50=FIT!$E$1,Tim!KE50,"")</f>
        <v/>
      </c>
      <c r="KB48" s="185" t="str">
        <f>IF(Tim!KF50=FIT!$E$1,Tim!KF50,"")</f>
        <v/>
      </c>
      <c r="KC48" s="185" t="str">
        <f>IF(Tim!KG50=FIT!$E$1,Tim!KG50,"")</f>
        <v/>
      </c>
      <c r="KD48" s="185" t="str">
        <f>IF(Tim!KH50=FIT!$E$1,Tim!KH50,"")</f>
        <v/>
      </c>
      <c r="KE48" s="185" t="str">
        <f>IF(Tim!KI50=FIT!$E$1,Tim!KI50,"")</f>
        <v/>
      </c>
      <c r="KF48" s="185" t="str">
        <f>IF(Tim!KJ50=FIT!$E$1,Tim!KJ50,"")</f>
        <v/>
      </c>
      <c r="KG48" s="185" t="str">
        <f>IF(Tim!KK50=FIT!$E$1,Tim!KK50,"")</f>
        <v/>
      </c>
      <c r="KH48" s="185" t="str">
        <f>IF(Tim!KL50=FIT!$E$1,Tim!KL50,"")</f>
        <v/>
      </c>
      <c r="KI48" s="185" t="str">
        <f>IF(Tim!KM50=FIT!$E$1,Tim!KM50,"")</f>
        <v/>
      </c>
      <c r="KJ48" s="185" t="str">
        <f>IF(Tim!KN50=FIT!$E$1,Tim!KN50,"")</f>
        <v/>
      </c>
      <c r="KK48" s="185" t="str">
        <f>IF(Tim!KO50=FIT!$E$1,Tim!KO50,"")</f>
        <v/>
      </c>
      <c r="KL48" s="185" t="str">
        <f>IF(Tim!KP50=FIT!$E$1,Tim!KP50,"")</f>
        <v/>
      </c>
      <c r="KM48" s="185" t="str">
        <f>IF(Tim!KQ50=FIT!$E$1,Tim!KQ50,"")</f>
        <v/>
      </c>
      <c r="KN48" s="185" t="str">
        <f>IF(Tim!KR50=FIT!$E$1,Tim!KR50,"")</f>
        <v/>
      </c>
      <c r="KO48" s="185" t="str">
        <f>IF(Tim!KS50=FIT!$E$1,Tim!KS50,"")</f>
        <v/>
      </c>
      <c r="KP48" s="185" t="str">
        <f>IF(Tim!KT50=FIT!$E$1,Tim!KT50,"")</f>
        <v/>
      </c>
      <c r="KQ48" s="185" t="str">
        <f>IF(Tim!KU50=FIT!$E$1,Tim!KU50,"")</f>
        <v/>
      </c>
      <c r="KR48" s="185" t="str">
        <f>IF(Tim!KV50=FIT!$E$1,Tim!KV50,"")</f>
        <v/>
      </c>
      <c r="KS48" s="185" t="str">
        <f>IF(Tim!KW50=FIT!$E$1,Tim!KW50,"")</f>
        <v/>
      </c>
      <c r="KT48" s="185" t="str">
        <f>IF(Tim!KX50=FIT!$E$1,Tim!KX50,"")</f>
        <v/>
      </c>
      <c r="KU48" s="185" t="str">
        <f>IF(Tim!KY50=FIT!$E$1,Tim!KY50,"")</f>
        <v/>
      </c>
      <c r="KV48" s="185" t="str">
        <f>IF(Tim!KZ50=FIT!$E$1,Tim!KZ50,"")</f>
        <v/>
      </c>
      <c r="KW48" s="185" t="str">
        <f>IF(Tim!LA50=FIT!$E$1,Tim!LA50,"")</f>
        <v/>
      </c>
      <c r="KX48" s="185" t="str">
        <f>IF(Tim!LB50=FIT!$E$1,Tim!LB50,"")</f>
        <v/>
      </c>
      <c r="KY48" s="185" t="str">
        <f>IF(Tim!LC50=FIT!$E$1,Tim!LC50,"")</f>
        <v/>
      </c>
      <c r="KZ48" s="185" t="str">
        <f>IF(Tim!LD50=FIT!$E$1,Tim!LD50,"")</f>
        <v/>
      </c>
      <c r="LA48" s="185" t="str">
        <f>IF(Tim!LE50=FIT!$E$1,Tim!LE50,"")</f>
        <v/>
      </c>
      <c r="LB48" s="52">
        <v>0.73958333333333204</v>
      </c>
    </row>
    <row r="49" spans="2:314" ht="10.5" customHeight="1">
      <c r="B49" s="49">
        <v>0.25</v>
      </c>
      <c r="C49" s="49">
        <v>0.25</v>
      </c>
      <c r="D49" s="49">
        <v>0.25</v>
      </c>
      <c r="E49" s="172">
        <v>0.749999999999999</v>
      </c>
      <c r="F49" s="238" t="str">
        <f>IF(Tim!F51=FIT!$E$1,Tim!F51,"")</f>
        <v/>
      </c>
      <c r="G49" s="185" t="str">
        <f>IF(Tim!G51=FIT!$E$1,Tim!G51,"")</f>
        <v/>
      </c>
      <c r="H49" s="185" t="str">
        <f>IF(Tim!H51=FIT!$E$1,Tim!H51,"")</f>
        <v/>
      </c>
      <c r="I49" s="185" t="str">
        <f>IF(Tim!I51=FIT!$E$1,Tim!I51,"")</f>
        <v/>
      </c>
      <c r="J49" s="185" t="str">
        <f>IF(Tim!J51=FIT!$E$1,Tim!J51,"")</f>
        <v/>
      </c>
      <c r="K49" s="185" t="str">
        <f>IF(Tim!K51=FIT!$E$1,Tim!K51,"")</f>
        <v/>
      </c>
      <c r="L49" s="185" t="str">
        <f>IF(Tim!L51=FIT!$E$1,Tim!L51,"")</f>
        <v/>
      </c>
      <c r="M49" s="185" t="str">
        <f>IF(Tim!M51=FIT!$E$1,Tim!M51,"")</f>
        <v/>
      </c>
      <c r="N49" s="185" t="str">
        <f>IF(Tim!N51=FIT!$E$1,Tim!N51,"")</f>
        <v/>
      </c>
      <c r="O49" s="185" t="str">
        <f>IF(Tim!O51=FIT!$E$1,Tim!O51,"")</f>
        <v/>
      </c>
      <c r="P49" s="185" t="str">
        <f>IF(Tim!P51=FIT!$E$1,Tim!P51,"")</f>
        <v/>
      </c>
      <c r="Q49" s="185" t="str">
        <f>IF(Tim!Q51=FIT!$E$1,Tim!Q51,"")</f>
        <v/>
      </c>
      <c r="R49" s="185" t="str">
        <f>IF(Tim!R51=FIT!$E$1,Tim!R51,"")</f>
        <v/>
      </c>
      <c r="S49" s="185" t="str">
        <f>IF(Tim!S51=FIT!$E$1,Tim!S51,"")</f>
        <v/>
      </c>
      <c r="T49" s="185" t="str">
        <f>IF(Tim!T51=FIT!$E$1,Tim!T51,"")</f>
        <v/>
      </c>
      <c r="U49" s="185" t="str">
        <f>IF(Tim!U51=FIT!$E$1,Tim!U51,"")</f>
        <v/>
      </c>
      <c r="V49" s="185" t="str">
        <f>IF(Tim!W51=FIT!$E$1,Tim!W51,"")</f>
        <v/>
      </c>
      <c r="W49" s="185" t="str">
        <f>IF(Tim!X51=FIT!$E$1,Tim!X51,"")</f>
        <v/>
      </c>
      <c r="X49" s="185" t="str">
        <f>IF(Tim!Y51=FIT!$E$1,Tim!Y51,"")</f>
        <v/>
      </c>
      <c r="Y49" s="185" t="str">
        <f>IF(Tim!Z51=FIT!$E$1,Tim!Z51,"")</f>
        <v/>
      </c>
      <c r="Z49" s="185" t="str">
        <f>IF(Tim!AA51=FIT!$E$1,Tim!AA51,"")</f>
        <v/>
      </c>
      <c r="AA49" s="185" t="str">
        <f>IF(Tim!AB51=FIT!$E$1,Tim!AB51,"")</f>
        <v/>
      </c>
      <c r="AB49" s="185" t="str">
        <f>IF(Tim!AC51=FIT!$E$1,Tim!AC51,"")</f>
        <v/>
      </c>
      <c r="AC49" s="185" t="str">
        <f>IF(Tim!AD51=FIT!$E$1,Tim!AD51,"")</f>
        <v/>
      </c>
      <c r="AD49" s="185" t="str">
        <f>IF(Tim!AE51=FIT!$E$1,Tim!AE51,"")</f>
        <v/>
      </c>
      <c r="AE49" s="185" t="str">
        <f>IF(Tim!AF51=FIT!$E$1,Tim!AF51,"")</f>
        <v/>
      </c>
      <c r="AF49" s="185" t="str">
        <f>IF(Tim!AG51=FIT!$E$1,Tim!AG51,"")</f>
        <v/>
      </c>
      <c r="AG49" s="185" t="str">
        <f>IF(Tim!AH51=FIT!$E$1,Tim!AH51,"")</f>
        <v/>
      </c>
      <c r="AH49" s="185" t="str">
        <f>IF(Tim!AI51=FIT!$E$1,Tim!AI51,"")</f>
        <v/>
      </c>
      <c r="AI49" s="185" t="str">
        <f>IF(Tim!AJ51=FIT!$E$1,Tim!AJ51,"")</f>
        <v/>
      </c>
      <c r="AJ49" s="185" t="str">
        <f>IF(Tim!AK51=FIT!$E$1,Tim!AK51,"")</f>
        <v/>
      </c>
      <c r="AK49" s="185" t="str">
        <f>IF(Tim!AL51=FIT!$E$1,Tim!AL51,"")</f>
        <v/>
      </c>
      <c r="AL49" s="185" t="str">
        <f>IF(Tim!AM51=FIT!$E$1,Tim!AM51,"")</f>
        <v/>
      </c>
      <c r="AM49" s="185" t="str">
        <f>IF(Tim!AN51=FIT!$E$1,Tim!AN51,"")</f>
        <v/>
      </c>
      <c r="AN49" s="185" t="str">
        <f>IF(Tim!AO51=FIT!$E$1,Tim!AO51,"")</f>
        <v/>
      </c>
      <c r="AO49" s="185" t="str">
        <f>IF(Tim!AP51=FIT!$E$1,Tim!AP51,"")</f>
        <v/>
      </c>
      <c r="AP49" s="185" t="str">
        <f>IF(Tim!AQ51=FIT!$E$1,Tim!AQ51,"")</f>
        <v/>
      </c>
      <c r="AQ49" s="185" t="str">
        <f>IF(Tim!AR51=FIT!$E$1,Tim!AR51,"")</f>
        <v/>
      </c>
      <c r="AR49" s="185" t="str">
        <f>IF(Tim!AS51=FIT!$E$1,Tim!AS51,"")</f>
        <v/>
      </c>
      <c r="AS49" s="185" t="str">
        <f>IF(Tim!AT51=FIT!$E$1,Tim!AT51,"")</f>
        <v/>
      </c>
      <c r="AT49" s="185" t="str">
        <f>IF(Tim!AU51=FIT!$E$1,Tim!AU51,"")</f>
        <v/>
      </c>
      <c r="AU49" s="185" t="str">
        <f>IF(Tim!AV51=FIT!$E$1,Tim!AV51,"")</f>
        <v/>
      </c>
      <c r="AV49" s="185" t="str">
        <f>IF(Tim!AW51=FIT!$E$1,Tim!AW51,"")</f>
        <v/>
      </c>
      <c r="AW49" s="186" t="str">
        <f>IF(Tim!AX51=FIT!$E$1,Tim!AX51,"")</f>
        <v/>
      </c>
      <c r="AX49" s="243" t="str">
        <f>IF(Tim!AY51=FIT!$E$1,Tim!AY51,"")</f>
        <v/>
      </c>
      <c r="AY49" s="185" t="str">
        <f>IF(Tim!AZ51=FIT!$E$1,Tim!AZ51,"")</f>
        <v/>
      </c>
      <c r="AZ49" s="185" t="str">
        <f>IF(Tim!BA51=FIT!$E$1,Tim!BA51,"")</f>
        <v/>
      </c>
      <c r="BA49" s="185" t="str">
        <f>IF(Tim!BB51=FIT!$E$1,Tim!BB51,"")</f>
        <v/>
      </c>
      <c r="BB49" s="185" t="str">
        <f>IF(Tim!BC51=FIT!$E$1,Tim!BC51,"")</f>
        <v/>
      </c>
      <c r="BC49" s="185" t="str">
        <f>IF(Tim!BD51=FIT!$E$1,Tim!BD51,"")</f>
        <v/>
      </c>
      <c r="BD49" s="185" t="str">
        <f>IF(Tim!BE51=FIT!$E$1,Tim!BE51,"")</f>
        <v/>
      </c>
      <c r="BE49" s="185" t="str">
        <f>IF(Tim!BF51=FIT!$E$1,Tim!BF51,"")</f>
        <v/>
      </c>
      <c r="BF49" s="185" t="str">
        <f>IF(Tim!BG51=FIT!$E$1,Tim!BG51,"")</f>
        <v/>
      </c>
      <c r="BG49" s="185" t="str">
        <f>IF(Tim!BH51=FIT!$E$1,Tim!BH51,"")</f>
        <v/>
      </c>
      <c r="BH49" s="185" t="str">
        <f>IF(Tim!BI51=FIT!$E$1,Tim!BI51,"")</f>
        <v/>
      </c>
      <c r="BI49" s="185" t="str">
        <f>IF(Tim!BJ51=FIT!$E$1,Tim!BJ51,"")</f>
        <v/>
      </c>
      <c r="BJ49" s="185" t="str">
        <f>IF(Tim!BK51=FIT!$E$1,Tim!BK51,"")</f>
        <v/>
      </c>
      <c r="BK49" s="185" t="str">
        <f>IF(Tim!BL51=FIT!$E$1,Tim!BL51,"")</f>
        <v/>
      </c>
      <c r="BL49" s="185" t="str">
        <f>IF(Tim!BM51=FIT!$E$1,Tim!BM51,"")</f>
        <v/>
      </c>
      <c r="BM49" s="185" t="str">
        <f>IF(Tim!BN51=FIT!$E$1,Tim!BN51,"")</f>
        <v/>
      </c>
      <c r="BN49" s="185" t="str">
        <f>IF(Tim!BO51=FIT!$E$1,Tim!BO51,"")</f>
        <v/>
      </c>
      <c r="BO49" s="185" t="str">
        <f>IF(Tim!BP51=FIT!$E$1,Tim!BP51,"")</f>
        <v/>
      </c>
      <c r="BP49" s="185" t="str">
        <f>IF(Tim!BQ51=FIT!$E$1,Tim!BQ51,"")</f>
        <v/>
      </c>
      <c r="BQ49" s="185" t="str">
        <f>IF(Tim!BR51=FIT!$E$1,Tim!BR51,"")</f>
        <v/>
      </c>
      <c r="BR49" s="185" t="str">
        <f>IF(Tim!BS51=FIT!$E$1,Tim!BS51,"")</f>
        <v/>
      </c>
      <c r="BS49" s="185" t="str">
        <f>IF(Tim!BT51=FIT!$E$1,Tim!BT51,"")</f>
        <v/>
      </c>
      <c r="BT49" s="185" t="str">
        <f>IF(Tim!BU51=FIT!$E$1,Tim!BU51,"")</f>
        <v/>
      </c>
      <c r="BU49" s="185" t="str">
        <f>IF(Tim!BV51=FIT!$E$1,Tim!BV51,"")</f>
        <v/>
      </c>
      <c r="BV49" s="185" t="str">
        <f>IF(Tim!BW51=FIT!$E$1,Tim!BW51,"")</f>
        <v/>
      </c>
      <c r="BW49" s="185" t="str">
        <f>IF(Tim!BX51=FIT!$E$1,Tim!BX51,"")</f>
        <v/>
      </c>
      <c r="BX49" s="185" t="str">
        <f>IF(Tim!BY51=FIT!$E$1,Tim!BY51,"")</f>
        <v/>
      </c>
      <c r="BY49" s="185" t="str">
        <f>IF(Tim!BZ51=FIT!$E$1,Tim!BZ51,"")</f>
        <v/>
      </c>
      <c r="BZ49" s="185" t="str">
        <f>IF(Tim!CA51=FIT!$E$1,Tim!CA51,"")</f>
        <v/>
      </c>
      <c r="CA49" s="185" t="str">
        <f>IF(Tim!CB51=FIT!$E$1,Tim!CB51,"")</f>
        <v/>
      </c>
      <c r="CB49" s="185" t="str">
        <f>IF(Tim!CC51=FIT!$E$1,Tim!CC51,"")</f>
        <v/>
      </c>
      <c r="CC49" s="185" t="str">
        <f>IF(Tim!CD51=FIT!$E$1,Tim!CD51,"")</f>
        <v/>
      </c>
      <c r="CD49" s="185" t="str">
        <f>IF(Tim!CE51=FIT!$E$1,Tim!CE51,"")</f>
        <v/>
      </c>
      <c r="CE49" s="185" t="str">
        <f>IF(Tim!CF51=FIT!$E$1,Tim!CF51,"")</f>
        <v/>
      </c>
      <c r="CF49" s="185" t="str">
        <f>IF(Tim!CG51=FIT!$E$1,Tim!CG51,"")</f>
        <v/>
      </c>
      <c r="CG49" s="185" t="str">
        <f>IF(Tim!CH51=FIT!$E$1,Tim!CH51,"")</f>
        <v/>
      </c>
      <c r="CH49" s="185" t="str">
        <f>IF(Tim!CI51=FIT!$E$1,Tim!CI51,"")</f>
        <v/>
      </c>
      <c r="CI49" s="185" t="str">
        <f>IF(Tim!CJ51=FIT!$E$1,Tim!CJ51,"")</f>
        <v/>
      </c>
      <c r="CJ49" s="185" t="str">
        <f>IF(Tim!CK51=FIT!$E$1,Tim!CK51,"")</f>
        <v/>
      </c>
      <c r="CK49" s="185" t="str">
        <f>IF(Tim!CL51=FIT!$E$1,Tim!CL51,"")</f>
        <v/>
      </c>
      <c r="CL49" s="185" t="str">
        <f>IF(Tim!CM51=FIT!$E$1,Tim!CM51,"")</f>
        <v/>
      </c>
      <c r="CM49" s="185" t="str">
        <f>IF(Tim!CN51=FIT!$E$1,Tim!CN51,"")</f>
        <v/>
      </c>
      <c r="CN49" s="185" t="str">
        <f>IF(Tim!CO51=FIT!$E$1,Tim!CO51,"")</f>
        <v/>
      </c>
      <c r="CO49" s="185" t="str">
        <f>IF(Tim!CP51=FIT!$E$1,Tim!CP51,"")</f>
        <v/>
      </c>
      <c r="CP49" s="185" t="str">
        <f>IF(Tim!CQ51=FIT!$E$1,Tim!CQ51,"")</f>
        <v/>
      </c>
      <c r="CQ49" s="185" t="str">
        <f>IF(Tim!CR51=FIT!$E$1,Tim!CR51,"")</f>
        <v/>
      </c>
      <c r="CR49" s="185" t="str">
        <f>IF(Tim!CS51=FIT!$E$1,Tim!CS51,"")</f>
        <v/>
      </c>
      <c r="CS49" s="185" t="str">
        <f>IF(Tim!CT51=FIT!$E$1,Tim!CT51,"")</f>
        <v/>
      </c>
      <c r="CT49" s="185" t="str">
        <f>IF(Tim!CU51=FIT!$E$1,Tim!CU51,"")</f>
        <v/>
      </c>
      <c r="CU49" s="185" t="str">
        <f>IF(Tim!CV51=FIT!$E$1,Tim!CV51,"")</f>
        <v/>
      </c>
      <c r="CV49" s="185" t="str">
        <f>IF(Tim!CW51=FIT!$E$1,Tim!CW51,"")</f>
        <v/>
      </c>
      <c r="CW49" s="185" t="str">
        <f>IF(Tim!CX51=FIT!$E$1,Tim!CX51,"")</f>
        <v/>
      </c>
      <c r="CX49" s="185" t="str">
        <f>IF(Tim!CY51=FIT!$E$1,Tim!CY51,"")</f>
        <v/>
      </c>
      <c r="CY49" s="185" t="str">
        <f>IF(Tim!CZ51=FIT!$E$1,Tim!CZ51,"")</f>
        <v/>
      </c>
      <c r="CZ49" s="185" t="str">
        <f>IF(Tim!DA51=FIT!$E$1,Tim!DA51,"")</f>
        <v/>
      </c>
      <c r="DA49" s="185" t="str">
        <f>IF(Tim!DB51=FIT!$E$1,Tim!DB51,"")</f>
        <v/>
      </c>
      <c r="DB49" s="185" t="str">
        <f>IF(Tim!DC51=FIT!$E$1,Tim!DC51,"")</f>
        <v/>
      </c>
      <c r="DC49" s="185" t="str">
        <f>IF(Tim!DD51=FIT!$E$1,Tim!DD51,"")</f>
        <v/>
      </c>
      <c r="DD49" s="185" t="str">
        <f>IF(Tim!DE51=FIT!$E$1,Tim!DE51,"")</f>
        <v/>
      </c>
      <c r="DE49" s="185" t="str">
        <f>IF(Tim!DF51=FIT!$E$1,Tim!DF51,"")</f>
        <v/>
      </c>
      <c r="DF49" s="185" t="str">
        <f>IF(Tim!DG51=FIT!$E$1,Tim!DG51,"")</f>
        <v/>
      </c>
      <c r="DG49" s="185" t="str">
        <f>IF(Tim!DH51=FIT!$E$1,Tim!DH51,"")</f>
        <v/>
      </c>
      <c r="DH49" s="185" t="str">
        <f>IF(Tim!DI51=FIT!$E$1,Tim!DI51,"")</f>
        <v/>
      </c>
      <c r="DI49" s="185" t="str">
        <f>IF(Tim!DM51=FIT!$E$1,Tim!DM51,"")</f>
        <v/>
      </c>
      <c r="DJ49" s="185" t="str">
        <f>IF(Tim!DN51=FIT!$E$1,Tim!DN51,"")</f>
        <v/>
      </c>
      <c r="DK49" s="185" t="str">
        <f>IF(Tim!DO51=FIT!$E$1,Tim!DO51,"")</f>
        <v/>
      </c>
      <c r="DL49" s="185" t="str">
        <f>IF(Tim!DP51=FIT!$E$1,Tim!DP51,"")</f>
        <v/>
      </c>
      <c r="DM49" s="185" t="str">
        <f>IF(Tim!DQ51=FIT!$E$1,Tim!DQ51,"")</f>
        <v/>
      </c>
      <c r="DN49" s="185" t="str">
        <f>IF(Tim!DR51=FIT!$E$1,Tim!DR51,"")</f>
        <v/>
      </c>
      <c r="DO49" s="185" t="str">
        <f>IF(Tim!DS51=FIT!$E$1,Tim!DS51,"")</f>
        <v/>
      </c>
      <c r="DP49" s="185" t="str">
        <f>IF(Tim!DT51=FIT!$E$1,Tim!DT51,"")</f>
        <v/>
      </c>
      <c r="DQ49" s="185" t="str">
        <f>IF(Tim!DU51=FIT!$E$1,Tim!DU51,"")</f>
        <v/>
      </c>
      <c r="DR49" s="185" t="str">
        <f>IF(Tim!DV51=FIT!$E$1,Tim!DV51,"")</f>
        <v/>
      </c>
      <c r="DS49" s="185" t="str">
        <f>IF(Tim!DW51=FIT!$E$1,Tim!DW51,"")</f>
        <v/>
      </c>
      <c r="DT49" s="185" t="str">
        <f>IF(Tim!DX51=FIT!$E$1,Tim!DX51,"")</f>
        <v/>
      </c>
      <c r="DU49" s="185" t="str">
        <f>IF(Tim!DY51=FIT!$E$1,Tim!DY51,"")</f>
        <v/>
      </c>
      <c r="DV49" s="185" t="str">
        <f>IF(Tim!DZ51=FIT!$E$1,Tim!DZ51,"")</f>
        <v/>
      </c>
      <c r="DW49" s="185" t="str">
        <f>IF(Tim!EA51=FIT!$E$1,Tim!EA51,"")</f>
        <v/>
      </c>
      <c r="DX49" s="185" t="str">
        <f>IF(Tim!EB51=FIT!$E$1,Tim!EB51,"")</f>
        <v/>
      </c>
      <c r="DY49" s="185" t="str">
        <f>IF(Tim!EC51=FIT!$E$1,Tim!EC51,"")</f>
        <v/>
      </c>
      <c r="DZ49" s="185" t="str">
        <f>IF(Tim!ED51=FIT!$E$1,Tim!ED51,"")</f>
        <v/>
      </c>
      <c r="EA49" s="185" t="str">
        <f>IF(Tim!EE51=FIT!$E$1,Tim!EE51,"")</f>
        <v/>
      </c>
      <c r="EB49" s="185" t="str">
        <f>IF(Tim!EF51=FIT!$E$1,Tim!EF51,"")</f>
        <v/>
      </c>
      <c r="EC49" s="185" t="str">
        <f>IF(Tim!EG51=FIT!$E$1,Tim!EG51,"")</f>
        <v/>
      </c>
      <c r="ED49" s="185" t="str">
        <f>IF(Tim!EH51=FIT!$E$1,Tim!EH51,"")</f>
        <v/>
      </c>
      <c r="EE49" s="185" t="str">
        <f>IF(Tim!EI51=FIT!$E$1,Tim!EI51,"")</f>
        <v/>
      </c>
      <c r="EF49" s="185" t="str">
        <f>IF(Tim!EJ51=FIT!$E$1,Tim!EJ51,"")</f>
        <v/>
      </c>
      <c r="EG49" s="185" t="str">
        <f>IF(Tim!EK51=FIT!$E$1,Tim!EK51,"")</f>
        <v/>
      </c>
      <c r="EH49" s="185" t="str">
        <f>IF(Tim!EL51=FIT!$E$1,Tim!EL51,"")</f>
        <v/>
      </c>
      <c r="EI49" s="185" t="str">
        <f>IF(Tim!EM51=FIT!$E$1,Tim!EM51,"")</f>
        <v/>
      </c>
      <c r="EJ49" s="185" t="str">
        <f>IF(Tim!EN51=FIT!$E$1,Tim!EN51,"")</f>
        <v/>
      </c>
      <c r="EK49" s="185" t="str">
        <f>IF(Tim!EO51=FIT!$E$1,Tim!EO51,"")</f>
        <v/>
      </c>
      <c r="EL49" s="185" t="str">
        <f>IF(Tim!EP51=FIT!$E$1,Tim!EP51,"")</f>
        <v/>
      </c>
      <c r="EM49" s="185" t="str">
        <f>IF(Tim!EQ51=FIT!$E$1,Tim!EQ51,"")</f>
        <v/>
      </c>
      <c r="EN49" s="185" t="str">
        <f>IF(Tim!ER51=FIT!$E$1,Tim!ER51,"")</f>
        <v/>
      </c>
      <c r="EO49" s="185" t="str">
        <f>IF(Tim!ES51=FIT!$E$1,Tim!ES51,"")</f>
        <v/>
      </c>
      <c r="EP49" s="185" t="str">
        <f>IF(Tim!ET51=FIT!$E$1,Tim!ET51,"")</f>
        <v/>
      </c>
      <c r="EQ49" s="185" t="str">
        <f>IF(Tim!EU51=FIT!$E$1,Tim!EU51,"")</f>
        <v/>
      </c>
      <c r="ER49" s="185" t="str">
        <f>IF(Tim!EV51=FIT!$E$1,Tim!EV51,"")</f>
        <v/>
      </c>
      <c r="ES49" s="185" t="str">
        <f>IF(Tim!EW51=FIT!$E$1,Tim!EW51,"")</f>
        <v/>
      </c>
      <c r="ET49" s="185" t="str">
        <f>IF(Tim!EX51=FIT!$E$1,Tim!EX51,"")</f>
        <v/>
      </c>
      <c r="EU49" s="185" t="str">
        <f>IF(Tim!EY51=FIT!$E$1,Tim!EY51,"")</f>
        <v/>
      </c>
      <c r="EV49" s="185" t="str">
        <f>IF(Tim!EZ51=FIT!$E$1,Tim!EZ51,"")</f>
        <v/>
      </c>
      <c r="EW49" s="185" t="str">
        <f>IF(Tim!FA51=FIT!$E$1,Tim!FA51,"")</f>
        <v/>
      </c>
      <c r="EX49" s="185" t="str">
        <f>IF(Tim!FB51=FIT!$E$1,Tim!FB51,"")</f>
        <v/>
      </c>
      <c r="EY49" s="185" t="str">
        <f>IF(Tim!FC51=FIT!$E$1,Tim!FC51,"")</f>
        <v/>
      </c>
      <c r="EZ49" s="185" t="str">
        <f>IF(Tim!FD51=FIT!$E$1,Tim!FD51,"")</f>
        <v/>
      </c>
      <c r="FA49" s="185" t="str">
        <f>IF(Tim!FE51=FIT!$E$1,Tim!FE51,"")</f>
        <v/>
      </c>
      <c r="FB49" s="185" t="str">
        <f>IF(Tim!FF51=FIT!$E$1,Tim!FF51,"")</f>
        <v/>
      </c>
      <c r="FC49" s="185" t="str">
        <f>IF(Tim!FG51=FIT!$E$1,Tim!FG51,"")</f>
        <v/>
      </c>
      <c r="FD49" s="185" t="str">
        <f>IF(Tim!FH51=FIT!$E$1,Tim!FH51,"")</f>
        <v/>
      </c>
      <c r="FE49" s="185" t="str">
        <f>IF(Tim!FI51=FIT!$E$1,Tim!FI51,"")</f>
        <v/>
      </c>
      <c r="FF49" s="185" t="str">
        <f>IF(Tim!FJ51=FIT!$E$1,Tim!FJ51,"")</f>
        <v/>
      </c>
      <c r="FG49" s="185" t="str">
        <f>IF(Tim!FK51=FIT!$E$1,Tim!FK51,"")</f>
        <v/>
      </c>
      <c r="FH49" s="185" t="str">
        <f>IF(Tim!FL51=FIT!$E$1,Tim!FL51,"")</f>
        <v/>
      </c>
      <c r="FI49" s="185" t="str">
        <f>IF(Tim!FM51=FIT!$E$1,Tim!FM51,"")</f>
        <v/>
      </c>
      <c r="FJ49" s="185" t="str">
        <f>IF(Tim!FN51=FIT!$E$1,Tim!FN51,"")</f>
        <v/>
      </c>
      <c r="FK49" s="185" t="str">
        <f>IF(Tim!FO51=FIT!$E$1,Tim!FO51,"")</f>
        <v/>
      </c>
      <c r="FL49" s="185" t="str">
        <f>IF(Tim!FP51=FIT!$E$1,Tim!FP51,"")</f>
        <v/>
      </c>
      <c r="FM49" s="185" t="str">
        <f>IF(Tim!FQ51=FIT!$E$1,Tim!FQ51,"")</f>
        <v/>
      </c>
      <c r="FN49" s="185" t="str">
        <f>IF(Tim!FR51=FIT!$E$1,Tim!FR51,"")</f>
        <v/>
      </c>
      <c r="FO49" s="185" t="str">
        <f>IF(Tim!FS51=FIT!$E$1,Tim!FS51,"")</f>
        <v/>
      </c>
      <c r="FP49" s="185" t="str">
        <f>IF(Tim!FT51=FIT!$E$1,Tim!FT51,"")</f>
        <v/>
      </c>
      <c r="FQ49" s="185" t="str">
        <f>IF(Tim!FU51=FIT!$E$1,Tim!FU51,"")</f>
        <v/>
      </c>
      <c r="FR49" s="185" t="str">
        <f>IF(Tim!FV51=FIT!$E$1,Tim!FV51,"")</f>
        <v/>
      </c>
      <c r="FS49" s="185" t="str">
        <f>IF(Tim!FW51=FIT!$E$1,Tim!FW51,"")</f>
        <v/>
      </c>
      <c r="FT49" s="185" t="str">
        <f>IF(Tim!FX51=FIT!$E$1,Tim!FX51,"")</f>
        <v/>
      </c>
      <c r="FU49" s="185" t="str">
        <f>IF(Tim!FY51=FIT!$E$1,Tim!FY51,"")</f>
        <v/>
      </c>
      <c r="FV49" s="185" t="str">
        <f>IF(Tim!FZ51=FIT!$E$1,Tim!FZ51,"")</f>
        <v/>
      </c>
      <c r="FW49" s="185" t="str">
        <f>IF(Tim!GA51=FIT!$E$1,Tim!GA51,"")</f>
        <v/>
      </c>
      <c r="FX49" s="185" t="str">
        <f>IF(Tim!GB51=FIT!$E$1,Tim!GB51,"")</f>
        <v/>
      </c>
      <c r="FY49" s="185" t="str">
        <f>IF(Tim!GC51=FIT!$E$1,Tim!GC51,"")</f>
        <v/>
      </c>
      <c r="FZ49" s="185" t="str">
        <f>IF(Tim!GD51=FIT!$E$1,Tim!GD51,"")</f>
        <v/>
      </c>
      <c r="GA49" s="185" t="str">
        <f>IF(Tim!GE51=FIT!$E$1,Tim!GE51,"")</f>
        <v/>
      </c>
      <c r="GB49" s="185" t="str">
        <f>IF(Tim!GF51=FIT!$E$1,Tim!GF51,"")</f>
        <v/>
      </c>
      <c r="GC49" s="185" t="str">
        <f>IF(Tim!GG51=FIT!$E$1,Tim!GG51,"")</f>
        <v/>
      </c>
      <c r="GD49" s="185" t="str">
        <f>IF(Tim!GH51=FIT!$E$1,Tim!GH51,"")</f>
        <v/>
      </c>
      <c r="GE49" s="185" t="str">
        <f>IF(Tim!GI51=FIT!$E$1,Tim!GI51,"")</f>
        <v/>
      </c>
      <c r="GF49" s="185" t="str">
        <f>IF(Tim!GJ51=FIT!$E$1,Tim!GJ51,"")</f>
        <v/>
      </c>
      <c r="GG49" s="185" t="str">
        <f>IF(Tim!GK51=FIT!$E$1,Tim!GK51,"")</f>
        <v/>
      </c>
      <c r="GH49" s="185" t="str">
        <f>IF(Tim!GL51=FIT!$E$1,Tim!GL51,"")</f>
        <v/>
      </c>
      <c r="GI49" s="185" t="str">
        <f>IF(Tim!GM51=FIT!$E$1,Tim!GM51,"")</f>
        <v/>
      </c>
      <c r="GJ49" s="185" t="str">
        <f>IF(Tim!GN51=FIT!$E$1,Tim!GN51,"")</f>
        <v/>
      </c>
      <c r="GK49" s="185" t="str">
        <f>IF(Tim!GO51=FIT!$E$1,Tim!GO51,"")</f>
        <v/>
      </c>
      <c r="GL49" s="185" t="str">
        <f>IF(Tim!GP51=FIT!$E$1,Tim!GP51,"")</f>
        <v/>
      </c>
      <c r="GM49" s="185" t="str">
        <f>IF(Tim!GQ51=FIT!$E$1,Tim!GQ51,"")</f>
        <v/>
      </c>
      <c r="GN49" s="185" t="str">
        <f>IF(Tim!GR51=FIT!$E$1,Tim!GR51,"")</f>
        <v/>
      </c>
      <c r="GO49" s="185" t="str">
        <f>IF(Tim!GS51=FIT!$E$1,Tim!GS51,"")</f>
        <v/>
      </c>
      <c r="GP49" s="185" t="str">
        <f>IF(Tim!GT51=FIT!$E$1,Tim!GT51,"")</f>
        <v/>
      </c>
      <c r="GQ49" s="185" t="str">
        <f>IF(Tim!GU51=FIT!$E$1,Tim!GU51,"")</f>
        <v/>
      </c>
      <c r="GR49" s="185" t="str">
        <f>IF(Tim!GV51=FIT!$E$1,Tim!GV51,"")</f>
        <v/>
      </c>
      <c r="GS49" s="185" t="str">
        <f>IF(Tim!GW51=FIT!$E$1,Tim!GW51,"")</f>
        <v/>
      </c>
      <c r="GT49" s="185" t="str">
        <f>IF(Tim!GX51=FIT!$E$1,Tim!GX51,"")</f>
        <v/>
      </c>
      <c r="GU49" s="185" t="str">
        <f>IF(Tim!GY51=FIT!$E$1,Tim!GY51,"")</f>
        <v/>
      </c>
      <c r="GV49" s="185" t="str">
        <f>IF(Tim!GZ51=FIT!$E$1,Tim!GZ51,"")</f>
        <v/>
      </c>
      <c r="GW49" s="185" t="str">
        <f>IF(Tim!HA51=FIT!$E$1,Tim!HA51,"")</f>
        <v/>
      </c>
      <c r="GX49" s="185" t="str">
        <f>IF(Tim!HB51=FIT!$E$1,Tim!HB51,"")</f>
        <v/>
      </c>
      <c r="GY49" s="185" t="str">
        <f>IF(Tim!HC51=FIT!$E$1,Tim!HC51,"")</f>
        <v/>
      </c>
      <c r="GZ49" s="185" t="str">
        <f>IF(Tim!HD51=FIT!$E$1,Tim!HD51,"")</f>
        <v/>
      </c>
      <c r="HA49" s="185" t="str">
        <f>IF(Tim!HE51=FIT!$E$1,Tim!HE51,"")</f>
        <v/>
      </c>
      <c r="HB49" s="185" t="str">
        <f>IF(Tim!HF51=FIT!$E$1,Tim!HF51,"")</f>
        <v/>
      </c>
      <c r="HC49" s="185" t="str">
        <f>IF(Tim!HG51=FIT!$E$1,Tim!HG51,"")</f>
        <v/>
      </c>
      <c r="HD49" s="185" t="str">
        <f>IF(Tim!HH51=FIT!$E$1,Tim!HH51,"")</f>
        <v/>
      </c>
      <c r="HE49" s="185" t="str">
        <f>IF(Tim!HI51=FIT!$E$1,Tim!HI51,"")</f>
        <v/>
      </c>
      <c r="HF49" s="185" t="str">
        <f>IF(Tim!HJ51=FIT!$E$1,Tim!HJ51,"")</f>
        <v/>
      </c>
      <c r="HG49" s="185" t="str">
        <f>IF(Tim!HK51=FIT!$E$1,Tim!HK51,"")</f>
        <v/>
      </c>
      <c r="HH49" s="185" t="str">
        <f>IF(Tim!HL51=FIT!$E$1,Tim!HL51,"")</f>
        <v/>
      </c>
      <c r="HI49" s="185" t="str">
        <f>IF(Tim!HM51=FIT!$E$1,Tim!HM51,"")</f>
        <v/>
      </c>
      <c r="HJ49" s="185" t="str">
        <f>IF(Tim!HN51=FIT!$E$1,Tim!HN51,"")</f>
        <v/>
      </c>
      <c r="HK49" s="185" t="str">
        <f>IF(Tim!HO51=FIT!$E$1,Tim!HO51,"")</f>
        <v/>
      </c>
      <c r="HL49" s="185" t="str">
        <f>IF(Tim!HP51=FIT!$E$1,Tim!HP51,"")</f>
        <v/>
      </c>
      <c r="HM49" s="185" t="str">
        <f>IF(Tim!HQ51=FIT!$E$1,Tim!HQ51,"")</f>
        <v/>
      </c>
      <c r="HN49" s="185" t="str">
        <f>IF(Tim!HR51=FIT!$E$1,Tim!HR51,"")</f>
        <v/>
      </c>
      <c r="HO49" s="185" t="str">
        <f>IF(Tim!HS51=FIT!$E$1,Tim!HS51,"")</f>
        <v/>
      </c>
      <c r="HP49" s="185" t="str">
        <f>IF(Tim!HT51=FIT!$E$1,Tim!HT51,"")</f>
        <v/>
      </c>
      <c r="HQ49" s="185" t="str">
        <f>IF(Tim!HU51=FIT!$E$1,Tim!HU51,"")</f>
        <v/>
      </c>
      <c r="HR49" s="185" t="str">
        <f>IF(Tim!HV51=FIT!$E$1,Tim!HV51,"")</f>
        <v/>
      </c>
      <c r="HS49" s="185" t="str">
        <f>IF(Tim!HW51=FIT!$E$1,Tim!HW51,"")</f>
        <v/>
      </c>
      <c r="HT49" s="185" t="str">
        <f>IF(Tim!HX51=FIT!$E$1,Tim!HX51,"")</f>
        <v/>
      </c>
      <c r="HU49" s="185" t="str">
        <f>IF(Tim!HY51=FIT!$E$1,Tim!HY51,"")</f>
        <v/>
      </c>
      <c r="HV49" s="185" t="str">
        <f>IF(Tim!HZ51=FIT!$E$1,Tim!HZ51,"")</f>
        <v/>
      </c>
      <c r="HW49" s="185" t="str">
        <f>IF(Tim!IA51=FIT!$E$1,Tim!IA51,"")</f>
        <v/>
      </c>
      <c r="HX49" s="185" t="str">
        <f>IF(Tim!IB51=FIT!$E$1,Tim!IB51,"")</f>
        <v/>
      </c>
      <c r="HY49" s="185" t="str">
        <f>IF(Tim!IC51=FIT!$E$1,Tim!IC51,"")</f>
        <v/>
      </c>
      <c r="HZ49" s="185" t="str">
        <f>IF(Tim!ID51=FIT!$E$1,Tim!ID51,"")</f>
        <v/>
      </c>
      <c r="IA49" s="185" t="str">
        <f>IF(Tim!IE51=FIT!$E$1,Tim!IE51,"")</f>
        <v/>
      </c>
      <c r="IB49" s="185" t="str">
        <f>IF(Tim!IF51=FIT!$E$1,Tim!IF51,"")</f>
        <v/>
      </c>
      <c r="IC49" s="185" t="str">
        <f>IF(Tim!IG51=FIT!$E$1,Tim!IG51,"")</f>
        <v/>
      </c>
      <c r="ID49" s="185" t="str">
        <f>IF(Tim!IH51=FIT!$E$1,Tim!IH51,"")</f>
        <v/>
      </c>
      <c r="IE49" s="185" t="str">
        <f>IF(Tim!II51=FIT!$E$1,Tim!II51,"")</f>
        <v/>
      </c>
      <c r="IF49" s="185" t="str">
        <f>IF(Tim!IJ51=FIT!$E$1,Tim!IJ51,"")</f>
        <v/>
      </c>
      <c r="IG49" s="185" t="str">
        <f>IF(Tim!IK51=FIT!$E$1,Tim!IK51,"")</f>
        <v/>
      </c>
      <c r="IH49" s="185" t="str">
        <f>IF(Tim!IL51=FIT!$E$1,Tim!IL51,"")</f>
        <v/>
      </c>
      <c r="II49" s="185" t="str">
        <f>IF(Tim!IM51=FIT!$E$1,Tim!IM51,"")</f>
        <v/>
      </c>
      <c r="IJ49" s="185" t="str">
        <f>IF(Tim!IN51=FIT!$E$1,Tim!IN51,"")</f>
        <v/>
      </c>
      <c r="IK49" s="185" t="str">
        <f>IF(Tim!IO51=FIT!$E$1,Tim!IO51,"")</f>
        <v/>
      </c>
      <c r="IL49" s="185" t="str">
        <f>IF(Tim!IP51=FIT!$E$1,Tim!IP51,"")</f>
        <v/>
      </c>
      <c r="IM49" s="185" t="str">
        <f>IF(Tim!IQ51=FIT!$E$1,Tim!IQ51,"")</f>
        <v/>
      </c>
      <c r="IN49" s="185" t="str">
        <f>IF(Tim!IR51=FIT!$E$1,Tim!IR51,"")</f>
        <v/>
      </c>
      <c r="IO49" s="185" t="str">
        <f>IF(Tim!IS51=FIT!$E$1,Tim!IS51,"")</f>
        <v/>
      </c>
      <c r="IP49" s="185" t="str">
        <f>IF(Tim!IT51=FIT!$E$1,Tim!IT51,"")</f>
        <v/>
      </c>
      <c r="IQ49" s="185" t="str">
        <f>IF(Tim!IU51=FIT!$E$1,Tim!IU51,"")</f>
        <v/>
      </c>
      <c r="IR49" s="185" t="str">
        <f>IF(Tim!IV51=FIT!$E$1,Tim!IV51,"")</f>
        <v/>
      </c>
      <c r="IS49" s="185" t="str">
        <f>IF(Tim!IW51=FIT!$E$1,Tim!IW51,"")</f>
        <v/>
      </c>
      <c r="IT49" s="185" t="str">
        <f>IF(Tim!IX51=FIT!$E$1,Tim!IX51,"")</f>
        <v/>
      </c>
      <c r="IU49" s="185" t="str">
        <f>IF(Tim!IY51=FIT!$E$1,Tim!IY51,"")</f>
        <v/>
      </c>
      <c r="IV49" s="185" t="str">
        <f>IF(Tim!IZ51=FIT!$E$1,Tim!IZ51,"")</f>
        <v/>
      </c>
      <c r="IW49" s="185" t="str">
        <f>IF(Tim!JA51=FIT!$E$1,Tim!JA51,"")</f>
        <v/>
      </c>
      <c r="IX49" s="185" t="str">
        <f>IF(Tim!JB51=FIT!$E$1,Tim!JB51,"")</f>
        <v/>
      </c>
      <c r="IY49" s="185" t="str">
        <f>IF(Tim!JC51=FIT!$E$1,Tim!JC51,"")</f>
        <v/>
      </c>
      <c r="IZ49" s="185" t="str">
        <f>IF(Tim!JD51=FIT!$E$1,Tim!JD51,"")</f>
        <v/>
      </c>
      <c r="JA49" s="185" t="str">
        <f>IF(Tim!JE51=FIT!$E$1,Tim!JE51,"")</f>
        <v/>
      </c>
      <c r="JB49" s="185" t="str">
        <f>IF(Tim!JF51=FIT!$E$1,Tim!JF51,"")</f>
        <v/>
      </c>
      <c r="JC49" s="185" t="str">
        <f>IF(Tim!JG51=FIT!$E$1,Tim!JG51,"")</f>
        <v/>
      </c>
      <c r="JD49" s="185" t="str">
        <f>IF(Tim!JH51=FIT!$E$1,Tim!JH51,"")</f>
        <v/>
      </c>
      <c r="JE49" s="185" t="str">
        <f>IF(Tim!JI51=FIT!$E$1,Tim!JI51,"")</f>
        <v/>
      </c>
      <c r="JF49" s="185" t="str">
        <f>IF(Tim!JJ51=FIT!$E$1,Tim!JJ51,"")</f>
        <v/>
      </c>
      <c r="JG49" s="185" t="str">
        <f>IF(Tim!JK51=FIT!$E$1,Tim!JK51,"")</f>
        <v/>
      </c>
      <c r="JH49" s="185" t="str">
        <f>IF(Tim!JL51=FIT!$E$1,Tim!JL51,"")</f>
        <v/>
      </c>
      <c r="JI49" s="185" t="str">
        <f>IF(Tim!JM51=FIT!$E$1,Tim!JM51,"")</f>
        <v/>
      </c>
      <c r="JJ49" s="464"/>
      <c r="JK49" s="464"/>
      <c r="JL49" s="464"/>
      <c r="JM49" s="464"/>
      <c r="JN49" s="464"/>
      <c r="JO49" s="464"/>
      <c r="JP49" s="464"/>
      <c r="JQ49" s="464"/>
      <c r="JR49" s="464"/>
      <c r="JS49" s="464"/>
      <c r="JT49" s="464"/>
      <c r="JU49" s="464"/>
      <c r="JV49" s="464"/>
      <c r="JW49" s="464"/>
      <c r="JX49" s="464"/>
      <c r="JY49" s="464"/>
      <c r="JZ49" s="464"/>
      <c r="KA49" s="464"/>
      <c r="KB49" s="464"/>
      <c r="KC49" s="464"/>
      <c r="KD49" s="464"/>
      <c r="KE49" s="464"/>
      <c r="KF49" s="464"/>
      <c r="KG49" s="464"/>
      <c r="KH49" s="464"/>
      <c r="KI49" s="464"/>
      <c r="KJ49" s="464"/>
      <c r="KK49" s="464"/>
      <c r="KL49" s="464"/>
      <c r="KM49" s="464"/>
      <c r="KN49" s="464"/>
      <c r="KO49" s="464"/>
      <c r="KP49" s="464"/>
      <c r="KQ49" s="464"/>
      <c r="KR49" s="464"/>
      <c r="KS49" s="464"/>
      <c r="KT49" s="464"/>
      <c r="KU49" s="464"/>
      <c r="KV49" s="464"/>
      <c r="KW49" s="464"/>
      <c r="KX49" s="464"/>
      <c r="KY49" s="464"/>
      <c r="KZ49" s="464"/>
      <c r="LA49" s="466"/>
      <c r="LB49" s="52">
        <v>0.749999999999999</v>
      </c>
    </row>
    <row r="50" spans="2:314" ht="10.5" customHeight="1">
      <c r="B50" s="49">
        <v>0.25</v>
      </c>
      <c r="C50" s="49">
        <v>0.25</v>
      </c>
      <c r="D50" s="49">
        <v>0.25</v>
      </c>
      <c r="E50" s="172">
        <v>0.76041666666666496</v>
      </c>
      <c r="F50" s="238" t="str">
        <f>IF(Tim!F52=FIT!$E$1,Tim!F52,"")</f>
        <v/>
      </c>
      <c r="G50" s="185" t="str">
        <f>IF(Tim!G52=FIT!$E$1,Tim!G52,"")</f>
        <v/>
      </c>
      <c r="H50" s="185" t="str">
        <f>IF(Tim!H52=FIT!$E$1,Tim!H52,"")</f>
        <v/>
      </c>
      <c r="I50" s="185" t="str">
        <f>IF(Tim!I52=FIT!$E$1,Tim!I52,"")</f>
        <v/>
      </c>
      <c r="J50" s="185" t="str">
        <f>IF(Tim!J52=FIT!$E$1,Tim!J52,"")</f>
        <v/>
      </c>
      <c r="K50" s="185" t="str">
        <f>IF(Tim!K52=FIT!$E$1,Tim!K52,"")</f>
        <v/>
      </c>
      <c r="L50" s="185" t="str">
        <f>IF(Tim!L52=FIT!$E$1,Tim!L52,"")</f>
        <v/>
      </c>
      <c r="M50" s="185" t="str">
        <f>IF(Tim!M52=FIT!$E$1,Tim!M52,"")</f>
        <v/>
      </c>
      <c r="N50" s="185" t="str">
        <f>IF(Tim!N52=FIT!$E$1,Tim!N52,"")</f>
        <v/>
      </c>
      <c r="O50" s="185" t="str">
        <f>IF(Tim!O52=FIT!$E$1,Tim!O52,"")</f>
        <v/>
      </c>
      <c r="P50" s="185" t="str">
        <f>IF(Tim!P52=FIT!$E$1,Tim!P52,"")</f>
        <v/>
      </c>
      <c r="Q50" s="185" t="str">
        <f>IF(Tim!Q52=FIT!$E$1,Tim!Q52,"")</f>
        <v/>
      </c>
      <c r="R50" s="185" t="str">
        <f>IF(Tim!R52=FIT!$E$1,Tim!R52,"")</f>
        <v/>
      </c>
      <c r="S50" s="185" t="str">
        <f>IF(Tim!S52=FIT!$E$1,Tim!S52,"")</f>
        <v/>
      </c>
      <c r="T50" s="185" t="str">
        <f>IF(Tim!T52=FIT!$E$1,Tim!T52,"")</f>
        <v/>
      </c>
      <c r="U50" s="185" t="str">
        <f>IF(Tim!U52=FIT!$E$1,Tim!U52,"")</f>
        <v/>
      </c>
      <c r="V50" s="185" t="str">
        <f>IF(Tim!W52=FIT!$E$1,Tim!W52,"")</f>
        <v/>
      </c>
      <c r="W50" s="185" t="str">
        <f>IF(Tim!X52=FIT!$E$1,Tim!X52,"")</f>
        <v/>
      </c>
      <c r="X50" s="185" t="str">
        <f>IF(Tim!Y52=FIT!$E$1,Tim!Y52,"")</f>
        <v/>
      </c>
      <c r="Y50" s="185" t="str">
        <f>IF(Tim!Z52=FIT!$E$1,Tim!Z52,"")</f>
        <v/>
      </c>
      <c r="Z50" s="185" t="str">
        <f>IF(Tim!AA52=FIT!$E$1,Tim!AA52,"")</f>
        <v/>
      </c>
      <c r="AA50" s="185" t="str">
        <f>IF(Tim!AB52=FIT!$E$1,Tim!AB52,"")</f>
        <v/>
      </c>
      <c r="AB50" s="185" t="str">
        <f>IF(Tim!AC52=FIT!$E$1,Tim!AC52,"")</f>
        <v/>
      </c>
      <c r="AC50" s="185" t="str">
        <f>IF(Tim!AD52=FIT!$E$1,Tim!AD52,"")</f>
        <v/>
      </c>
      <c r="AD50" s="185" t="str">
        <f>IF(Tim!AE52=FIT!$E$1,Tim!AE52,"")</f>
        <v/>
      </c>
      <c r="AE50" s="185" t="str">
        <f>IF(Tim!AF52=FIT!$E$1,Tim!AF52,"")</f>
        <v/>
      </c>
      <c r="AF50" s="185" t="str">
        <f>IF(Tim!AG52=FIT!$E$1,Tim!AG52,"")</f>
        <v/>
      </c>
      <c r="AG50" s="185" t="str">
        <f>IF(Tim!AH52=FIT!$E$1,Tim!AH52,"")</f>
        <v/>
      </c>
      <c r="AH50" s="185" t="str">
        <f>IF(Tim!AI52=FIT!$E$1,Tim!AI52,"")</f>
        <v/>
      </c>
      <c r="AI50" s="185" t="str">
        <f>IF(Tim!AJ52=FIT!$E$1,Tim!AJ52,"")</f>
        <v/>
      </c>
      <c r="AJ50" s="185" t="str">
        <f>IF(Tim!AK52=FIT!$E$1,Tim!AK52,"")</f>
        <v/>
      </c>
      <c r="AK50" s="185" t="str">
        <f>IF(Tim!AL52=FIT!$E$1,Tim!AL52,"")</f>
        <v/>
      </c>
      <c r="AL50" s="185" t="str">
        <f>IF(Tim!AM52=FIT!$E$1,Tim!AM52,"")</f>
        <v/>
      </c>
      <c r="AM50" s="185" t="str">
        <f>IF(Tim!AN52=FIT!$E$1,Tim!AN52,"")</f>
        <v/>
      </c>
      <c r="AN50" s="185" t="str">
        <f>IF(Tim!AO52=FIT!$E$1,Tim!AO52,"")</f>
        <v/>
      </c>
      <c r="AO50" s="185" t="str">
        <f>IF(Tim!AP52=FIT!$E$1,Tim!AP52,"")</f>
        <v/>
      </c>
      <c r="AP50" s="185" t="str">
        <f>IF(Tim!AQ52=FIT!$E$1,Tim!AQ52,"")</f>
        <v/>
      </c>
      <c r="AQ50" s="185" t="str">
        <f>IF(Tim!AR52=FIT!$E$1,Tim!AR52,"")</f>
        <v/>
      </c>
      <c r="AR50" s="185" t="str">
        <f>IF(Tim!AS52=FIT!$E$1,Tim!AS52,"")</f>
        <v/>
      </c>
      <c r="AS50" s="185" t="str">
        <f>IF(Tim!AT52=FIT!$E$1,Tim!AT52,"")</f>
        <v/>
      </c>
      <c r="AT50" s="185" t="str">
        <f>IF(Tim!AU52=FIT!$E$1,Tim!AU52,"")</f>
        <v/>
      </c>
      <c r="AU50" s="185" t="str">
        <f>IF(Tim!AV52=FIT!$E$1,Tim!AV52,"")</f>
        <v/>
      </c>
      <c r="AV50" s="185" t="str">
        <f>IF(Tim!AW52=FIT!$E$1,Tim!AW52,"")</f>
        <v/>
      </c>
      <c r="AW50" s="186" t="str">
        <f>IF(Tim!AX52=FIT!$E$1,Tim!AX52,"")</f>
        <v/>
      </c>
      <c r="AX50" s="243" t="str">
        <f>IF(Tim!AY52=FIT!$E$1,Tim!AY52,"")</f>
        <v/>
      </c>
      <c r="AY50" s="185" t="str">
        <f>IF(Tim!AZ52=FIT!$E$1,Tim!AZ52,"")</f>
        <v/>
      </c>
      <c r="AZ50" s="185" t="str">
        <f>IF(Tim!BA52=FIT!$E$1,Tim!BA52,"")</f>
        <v/>
      </c>
      <c r="BA50" s="185" t="str">
        <f>IF(Tim!BB52=FIT!$E$1,Tim!BB52,"")</f>
        <v/>
      </c>
      <c r="BB50" s="185" t="str">
        <f>IF(Tim!BC52=FIT!$E$1,Tim!BC52,"")</f>
        <v/>
      </c>
      <c r="BC50" s="185" t="str">
        <f>IF(Tim!BD52=FIT!$E$1,Tim!BD52,"")</f>
        <v/>
      </c>
      <c r="BD50" s="185" t="str">
        <f>IF(Tim!BE52=FIT!$E$1,Tim!BE52,"")</f>
        <v/>
      </c>
      <c r="BE50" s="185" t="str">
        <f>IF(Tim!BF52=FIT!$E$1,Tim!BF52,"")</f>
        <v/>
      </c>
      <c r="BF50" s="185" t="str">
        <f>IF(Tim!BG52=FIT!$E$1,Tim!BG52,"")</f>
        <v/>
      </c>
      <c r="BG50" s="185" t="str">
        <f>IF(Tim!BH52=FIT!$E$1,Tim!BH52,"")</f>
        <v/>
      </c>
      <c r="BH50" s="185" t="str">
        <f>IF(Tim!BI52=FIT!$E$1,Tim!BI52,"")</f>
        <v/>
      </c>
      <c r="BI50" s="185" t="str">
        <f>IF(Tim!BJ52=FIT!$E$1,Tim!BJ52,"")</f>
        <v/>
      </c>
      <c r="BJ50" s="185" t="str">
        <f>IF(Tim!BK52=FIT!$E$1,Tim!BK52,"")</f>
        <v/>
      </c>
      <c r="BK50" s="185" t="str">
        <f>IF(Tim!BL52=FIT!$E$1,Tim!BL52,"")</f>
        <v/>
      </c>
      <c r="BL50" s="185" t="str">
        <f>IF(Tim!BM52=FIT!$E$1,Tim!BM52,"")</f>
        <v/>
      </c>
      <c r="BM50" s="185" t="str">
        <f>IF(Tim!BN52=FIT!$E$1,Tim!BN52,"")</f>
        <v/>
      </c>
      <c r="BN50" s="185" t="str">
        <f>IF(Tim!BO52=FIT!$E$1,Tim!BO52,"")</f>
        <v/>
      </c>
      <c r="BO50" s="185" t="str">
        <f>IF(Tim!BP52=FIT!$E$1,Tim!BP52,"")</f>
        <v/>
      </c>
      <c r="BP50" s="185" t="str">
        <f>IF(Tim!BQ52=FIT!$E$1,Tim!BQ52,"")</f>
        <v/>
      </c>
      <c r="BQ50" s="185" t="str">
        <f>IF(Tim!BR52=FIT!$E$1,Tim!BR52,"")</f>
        <v/>
      </c>
      <c r="BR50" s="185" t="str">
        <f>IF(Tim!BS52=FIT!$E$1,Tim!BS52,"")</f>
        <v/>
      </c>
      <c r="BS50" s="185" t="str">
        <f>IF(Tim!BT52=FIT!$E$1,Tim!BT52,"")</f>
        <v/>
      </c>
      <c r="BT50" s="185" t="str">
        <f>IF(Tim!BU52=FIT!$E$1,Tim!BU52,"")</f>
        <v/>
      </c>
      <c r="BU50" s="185" t="str">
        <f>IF(Tim!BV52=FIT!$E$1,Tim!BV52,"")</f>
        <v/>
      </c>
      <c r="BV50" s="185" t="str">
        <f>IF(Tim!BW52=FIT!$E$1,Tim!BW52,"")</f>
        <v/>
      </c>
      <c r="BW50" s="185" t="str">
        <f>IF(Tim!BX52=FIT!$E$1,Tim!BX52,"")</f>
        <v/>
      </c>
      <c r="BX50" s="185" t="str">
        <f>IF(Tim!BY52=FIT!$E$1,Tim!BY52,"")</f>
        <v/>
      </c>
      <c r="BY50" s="185" t="str">
        <f>IF(Tim!BZ52=FIT!$E$1,Tim!BZ52,"")</f>
        <v/>
      </c>
      <c r="BZ50" s="185" t="str">
        <f>IF(Tim!CA52=FIT!$E$1,Tim!CA52,"")</f>
        <v/>
      </c>
      <c r="CA50" s="185" t="str">
        <f>IF(Tim!CB52=FIT!$E$1,Tim!CB52,"")</f>
        <v/>
      </c>
      <c r="CB50" s="185" t="str">
        <f>IF(Tim!CC52=FIT!$E$1,Tim!CC52,"")</f>
        <v/>
      </c>
      <c r="CC50" s="185" t="str">
        <f>IF(Tim!CD52=FIT!$E$1,Tim!CD52,"")</f>
        <v/>
      </c>
      <c r="CD50" s="185" t="str">
        <f>IF(Tim!CE52=FIT!$E$1,Tim!CE52,"")</f>
        <v/>
      </c>
      <c r="CE50" s="185" t="str">
        <f>IF(Tim!CF52=FIT!$E$1,Tim!CF52,"")</f>
        <v/>
      </c>
      <c r="CF50" s="185" t="str">
        <f>IF(Tim!CG52=FIT!$E$1,Tim!CG52,"")</f>
        <v/>
      </c>
      <c r="CG50" s="185" t="str">
        <f>IF(Tim!CH52=FIT!$E$1,Tim!CH52,"")</f>
        <v/>
      </c>
      <c r="CH50" s="185" t="str">
        <f>IF(Tim!CI52=FIT!$E$1,Tim!CI52,"")</f>
        <v/>
      </c>
      <c r="CI50" s="185" t="str">
        <f>IF(Tim!CJ52=FIT!$E$1,Tim!CJ52,"")</f>
        <v/>
      </c>
      <c r="CJ50" s="185" t="str">
        <f>IF(Tim!CK52=FIT!$E$1,Tim!CK52,"")</f>
        <v/>
      </c>
      <c r="CK50" s="185" t="str">
        <f>IF(Tim!CL52=FIT!$E$1,Tim!CL52,"")</f>
        <v/>
      </c>
      <c r="CL50" s="185" t="str">
        <f>IF(Tim!CM52=FIT!$E$1,Tim!CM52,"")</f>
        <v/>
      </c>
      <c r="CM50" s="185" t="str">
        <f>IF(Tim!CN52=FIT!$E$1,Tim!CN52,"")</f>
        <v/>
      </c>
      <c r="CN50" s="185" t="str">
        <f>IF(Tim!CO52=FIT!$E$1,Tim!CO52,"")</f>
        <v/>
      </c>
      <c r="CO50" s="185" t="str">
        <f>IF(Tim!CP52=FIT!$E$1,Tim!CP52,"")</f>
        <v/>
      </c>
      <c r="CP50" s="185" t="str">
        <f>IF(Tim!CQ52=FIT!$E$1,Tim!CQ52,"")</f>
        <v/>
      </c>
      <c r="CQ50" s="185" t="str">
        <f>IF(Tim!CR52=FIT!$E$1,Tim!CR52,"")</f>
        <v/>
      </c>
      <c r="CR50" s="185" t="str">
        <f>IF(Tim!CS52=FIT!$E$1,Tim!CS52,"")</f>
        <v/>
      </c>
      <c r="CS50" s="185" t="str">
        <f>IF(Tim!CT52=FIT!$E$1,Tim!CT52,"")</f>
        <v/>
      </c>
      <c r="CT50" s="185" t="str">
        <f>IF(Tim!CU52=FIT!$E$1,Tim!CU52,"")</f>
        <v/>
      </c>
      <c r="CU50" s="185" t="str">
        <f>IF(Tim!CV52=FIT!$E$1,Tim!CV52,"")</f>
        <v/>
      </c>
      <c r="CV50" s="185" t="str">
        <f>IF(Tim!CW52=FIT!$E$1,Tim!CW52,"")</f>
        <v/>
      </c>
      <c r="CW50" s="185" t="str">
        <f>IF(Tim!CX52=FIT!$E$1,Tim!CX52,"")</f>
        <v/>
      </c>
      <c r="CX50" s="185" t="str">
        <f>IF(Tim!CY52=FIT!$E$1,Tim!CY52,"")</f>
        <v/>
      </c>
      <c r="CY50" s="185" t="str">
        <f>IF(Tim!CZ52=FIT!$E$1,Tim!CZ52,"")</f>
        <v/>
      </c>
      <c r="CZ50" s="185" t="str">
        <f>IF(Tim!DA52=FIT!$E$1,Tim!DA52,"")</f>
        <v/>
      </c>
      <c r="DA50" s="185" t="str">
        <f>IF(Tim!DB52=FIT!$E$1,Tim!DB52,"")</f>
        <v/>
      </c>
      <c r="DB50" s="185" t="str">
        <f>IF(Tim!DC52=FIT!$E$1,Tim!DC52,"")</f>
        <v/>
      </c>
      <c r="DC50" s="185" t="str">
        <f>IF(Tim!DD52=FIT!$E$1,Tim!DD52,"")</f>
        <v/>
      </c>
      <c r="DD50" s="185" t="str">
        <f>IF(Tim!DE52=FIT!$E$1,Tim!DE52,"")</f>
        <v/>
      </c>
      <c r="DE50" s="185" t="str">
        <f>IF(Tim!DF52=FIT!$E$1,Tim!DF52,"")</f>
        <v/>
      </c>
      <c r="DF50" s="185" t="str">
        <f>IF(Tim!DG52=FIT!$E$1,Tim!DG52,"")</f>
        <v/>
      </c>
      <c r="DG50" s="185" t="str">
        <f>IF(Tim!DH52=FIT!$E$1,Tim!DH52,"")</f>
        <v/>
      </c>
      <c r="DH50" s="185" t="str">
        <f>IF(Tim!DI52=FIT!$E$1,Tim!DI52,"")</f>
        <v/>
      </c>
      <c r="DI50" s="185" t="str">
        <f>IF(Tim!DM52=FIT!$E$1,Tim!DM52,"")</f>
        <v/>
      </c>
      <c r="DJ50" s="185" t="str">
        <f>IF(Tim!DN52=FIT!$E$1,Tim!DN52,"")</f>
        <v/>
      </c>
      <c r="DK50" s="185" t="str">
        <f>IF(Tim!DO52=FIT!$E$1,Tim!DO52,"")</f>
        <v/>
      </c>
      <c r="DL50" s="185" t="str">
        <f>IF(Tim!DP52=FIT!$E$1,Tim!DP52,"")</f>
        <v/>
      </c>
      <c r="DM50" s="185" t="str">
        <f>IF(Tim!DQ52=FIT!$E$1,Tim!DQ52,"")</f>
        <v/>
      </c>
      <c r="DN50" s="185" t="str">
        <f>IF(Tim!DR52=FIT!$E$1,Tim!DR52,"")</f>
        <v/>
      </c>
      <c r="DO50" s="185" t="str">
        <f>IF(Tim!DS52=FIT!$E$1,Tim!DS52,"")</f>
        <v/>
      </c>
      <c r="DP50" s="185" t="str">
        <f>IF(Tim!DT52=FIT!$E$1,Tim!DT52,"")</f>
        <v/>
      </c>
      <c r="DQ50" s="185" t="str">
        <f>IF(Tim!DU52=FIT!$E$1,Tim!DU52,"")</f>
        <v/>
      </c>
      <c r="DR50" s="185" t="str">
        <f>IF(Tim!DV52=FIT!$E$1,Tim!DV52,"")</f>
        <v/>
      </c>
      <c r="DS50" s="185" t="str">
        <f>IF(Tim!DW52=FIT!$E$1,Tim!DW52,"")</f>
        <v/>
      </c>
      <c r="DT50" s="185" t="str">
        <f>IF(Tim!DX52=FIT!$E$1,Tim!DX52,"")</f>
        <v/>
      </c>
      <c r="DU50" s="185" t="str">
        <f>IF(Tim!DY52=FIT!$E$1,Tim!DY52,"")</f>
        <v/>
      </c>
      <c r="DV50" s="185" t="str">
        <f>IF(Tim!DZ52=FIT!$E$1,Tim!DZ52,"")</f>
        <v/>
      </c>
      <c r="DW50" s="185" t="str">
        <f>IF(Tim!EA52=FIT!$E$1,Tim!EA52,"")</f>
        <v/>
      </c>
      <c r="DX50" s="185" t="str">
        <f>IF(Tim!EB52=FIT!$E$1,Tim!EB52,"")</f>
        <v/>
      </c>
      <c r="DY50" s="185" t="str">
        <f>IF(Tim!EC52=FIT!$E$1,Tim!EC52,"")</f>
        <v/>
      </c>
      <c r="DZ50" s="185" t="str">
        <f>IF(Tim!ED52=FIT!$E$1,Tim!ED52,"")</f>
        <v/>
      </c>
      <c r="EA50" s="185" t="str">
        <f>IF(Tim!EE52=FIT!$E$1,Tim!EE52,"")</f>
        <v/>
      </c>
      <c r="EB50" s="185" t="str">
        <f>IF(Tim!EF52=FIT!$E$1,Tim!EF52,"")</f>
        <v/>
      </c>
      <c r="EC50" s="185" t="str">
        <f>IF(Tim!EG52=FIT!$E$1,Tim!EG52,"")</f>
        <v/>
      </c>
      <c r="ED50" s="185" t="str">
        <f>IF(Tim!EH52=FIT!$E$1,Tim!EH52,"")</f>
        <v/>
      </c>
      <c r="EE50" s="185" t="str">
        <f>IF(Tim!EI52=FIT!$E$1,Tim!EI52,"")</f>
        <v/>
      </c>
      <c r="EF50" s="185" t="str">
        <f>IF(Tim!EJ52=FIT!$E$1,Tim!EJ52,"")</f>
        <v/>
      </c>
      <c r="EG50" s="185" t="str">
        <f>IF(Tim!EK52=FIT!$E$1,Tim!EK52,"")</f>
        <v/>
      </c>
      <c r="EH50" s="185" t="str">
        <f>IF(Tim!EL52=FIT!$E$1,Tim!EL52,"")</f>
        <v/>
      </c>
      <c r="EI50" s="185" t="str">
        <f>IF(Tim!EM52=FIT!$E$1,Tim!EM52,"")</f>
        <v/>
      </c>
      <c r="EJ50" s="185" t="str">
        <f>IF(Tim!EN52=FIT!$E$1,Tim!EN52,"")</f>
        <v/>
      </c>
      <c r="EK50" s="185" t="str">
        <f>IF(Tim!EO52=FIT!$E$1,Tim!EO52,"")</f>
        <v/>
      </c>
      <c r="EL50" s="185" t="str">
        <f>IF(Tim!EP52=FIT!$E$1,Tim!EP52,"")</f>
        <v/>
      </c>
      <c r="EM50" s="185" t="str">
        <f>IF(Tim!EQ52=FIT!$E$1,Tim!EQ52,"")</f>
        <v/>
      </c>
      <c r="EN50" s="185" t="str">
        <f>IF(Tim!ER52=FIT!$E$1,Tim!ER52,"")</f>
        <v/>
      </c>
      <c r="EO50" s="185" t="str">
        <f>IF(Tim!ES52=FIT!$E$1,Tim!ES52,"")</f>
        <v/>
      </c>
      <c r="EP50" s="185" t="str">
        <f>IF(Tim!ET52=FIT!$E$1,Tim!ET52,"")</f>
        <v/>
      </c>
      <c r="EQ50" s="185" t="str">
        <f>IF(Tim!EU52=FIT!$E$1,Tim!EU52,"")</f>
        <v/>
      </c>
      <c r="ER50" s="185" t="str">
        <f>IF(Tim!EV52=FIT!$E$1,Tim!EV52,"")</f>
        <v/>
      </c>
      <c r="ES50" s="185" t="str">
        <f>IF(Tim!EW52=FIT!$E$1,Tim!EW52,"")</f>
        <v/>
      </c>
      <c r="ET50" s="185" t="str">
        <f>IF(Tim!EX52=FIT!$E$1,Tim!EX52,"")</f>
        <v/>
      </c>
      <c r="EU50" s="185" t="str">
        <f>IF(Tim!EY52=FIT!$E$1,Tim!EY52,"")</f>
        <v/>
      </c>
      <c r="EV50" s="185" t="str">
        <f>IF(Tim!EZ52=FIT!$E$1,Tim!EZ52,"")</f>
        <v/>
      </c>
      <c r="EW50" s="185" t="str">
        <f>IF(Tim!FA52=FIT!$E$1,Tim!FA52,"")</f>
        <v/>
      </c>
      <c r="EX50" s="185" t="str">
        <f>IF(Tim!FB52=FIT!$E$1,Tim!FB52,"")</f>
        <v/>
      </c>
      <c r="EY50" s="185" t="str">
        <f>IF(Tim!FC52=FIT!$E$1,Tim!FC52,"")</f>
        <v/>
      </c>
      <c r="EZ50" s="185" t="str">
        <f>IF(Tim!FD52=FIT!$E$1,Tim!FD52,"")</f>
        <v/>
      </c>
      <c r="FA50" s="185" t="str">
        <f>IF(Tim!FE52=FIT!$E$1,Tim!FE52,"")</f>
        <v/>
      </c>
      <c r="FB50" s="185" t="str">
        <f>IF(Tim!FF52=FIT!$E$1,Tim!FF52,"")</f>
        <v/>
      </c>
      <c r="FC50" s="185" t="str">
        <f>IF(Tim!FG52=FIT!$E$1,Tim!FG52,"")</f>
        <v/>
      </c>
      <c r="FD50" s="185" t="str">
        <f>IF(Tim!FH52=FIT!$E$1,Tim!FH52,"")</f>
        <v/>
      </c>
      <c r="FE50" s="185" t="str">
        <f>IF(Tim!FI52=FIT!$E$1,Tim!FI52,"")</f>
        <v/>
      </c>
      <c r="FF50" s="185" t="str">
        <f>IF(Tim!FJ52=FIT!$E$1,Tim!FJ52,"")</f>
        <v/>
      </c>
      <c r="FG50" s="185" t="str">
        <f>IF(Tim!FK52=FIT!$E$1,Tim!FK52,"")</f>
        <v/>
      </c>
      <c r="FH50" s="185" t="str">
        <f>IF(Tim!FL52=FIT!$E$1,Tim!FL52,"")</f>
        <v/>
      </c>
      <c r="FI50" s="185" t="str">
        <f>IF(Tim!FM52=FIT!$E$1,Tim!FM52,"")</f>
        <v/>
      </c>
      <c r="FJ50" s="185" t="str">
        <f>IF(Tim!FN52=FIT!$E$1,Tim!FN52,"")</f>
        <v/>
      </c>
      <c r="FK50" s="185" t="str">
        <f>IF(Tim!FO52=FIT!$E$1,Tim!FO52,"")</f>
        <v/>
      </c>
      <c r="FL50" s="185" t="str">
        <f>IF(Tim!FP52=FIT!$E$1,Tim!FP52,"")</f>
        <v/>
      </c>
      <c r="FM50" s="185" t="str">
        <f>IF(Tim!FQ52=FIT!$E$1,Tim!FQ52,"")</f>
        <v/>
      </c>
      <c r="FN50" s="185" t="str">
        <f>IF(Tim!FR52=FIT!$E$1,Tim!FR52,"")</f>
        <v/>
      </c>
      <c r="FO50" s="185" t="str">
        <f>IF(Tim!FS52=FIT!$E$1,Tim!FS52,"")</f>
        <v/>
      </c>
      <c r="FP50" s="185" t="str">
        <f>IF(Tim!FT52=FIT!$E$1,Tim!FT52,"")</f>
        <v/>
      </c>
      <c r="FQ50" s="185" t="str">
        <f>IF(Tim!FU52=FIT!$E$1,Tim!FU52,"")</f>
        <v/>
      </c>
      <c r="FR50" s="185" t="str">
        <f>IF(Tim!FV52=FIT!$E$1,Tim!FV52,"")</f>
        <v/>
      </c>
      <c r="FS50" s="185" t="str">
        <f>IF(Tim!FW52=FIT!$E$1,Tim!FW52,"")</f>
        <v/>
      </c>
      <c r="FT50" s="185" t="str">
        <f>IF(Tim!FX52=FIT!$E$1,Tim!FX52,"")</f>
        <v/>
      </c>
      <c r="FU50" s="185" t="str">
        <f>IF(Tim!FY52=FIT!$E$1,Tim!FY52,"")</f>
        <v/>
      </c>
      <c r="FV50" s="185" t="str">
        <f>IF(Tim!FZ52=FIT!$E$1,Tim!FZ52,"")</f>
        <v/>
      </c>
      <c r="FW50" s="185" t="str">
        <f>IF(Tim!GA52=FIT!$E$1,Tim!GA52,"")</f>
        <v/>
      </c>
      <c r="FX50" s="185" t="str">
        <f>IF(Tim!GB52=FIT!$E$1,Tim!GB52,"")</f>
        <v/>
      </c>
      <c r="FY50" s="185" t="str">
        <f>IF(Tim!GC52=FIT!$E$1,Tim!GC52,"")</f>
        <v/>
      </c>
      <c r="FZ50" s="185" t="str">
        <f>IF(Tim!GD52=FIT!$E$1,Tim!GD52,"")</f>
        <v/>
      </c>
      <c r="GA50" s="185" t="str">
        <f>IF(Tim!GE52=FIT!$E$1,Tim!GE52,"")</f>
        <v/>
      </c>
      <c r="GB50" s="185" t="str">
        <f>IF(Tim!GF52=FIT!$E$1,Tim!GF52,"")</f>
        <v/>
      </c>
      <c r="GC50" s="185" t="str">
        <f>IF(Tim!GG52=FIT!$E$1,Tim!GG52,"")</f>
        <v/>
      </c>
      <c r="GD50" s="185" t="str">
        <f>IF(Tim!GH52=FIT!$E$1,Tim!GH52,"")</f>
        <v/>
      </c>
      <c r="GE50" s="185" t="str">
        <f>IF(Tim!GI52=FIT!$E$1,Tim!GI52,"")</f>
        <v/>
      </c>
      <c r="GF50" s="185" t="str">
        <f>IF(Tim!GJ52=FIT!$E$1,Tim!GJ52,"")</f>
        <v/>
      </c>
      <c r="GG50" s="185" t="str">
        <f>IF(Tim!GK52=FIT!$E$1,Tim!GK52,"")</f>
        <v/>
      </c>
      <c r="GH50" s="185" t="str">
        <f>IF(Tim!GL52=FIT!$E$1,Tim!GL52,"")</f>
        <v/>
      </c>
      <c r="GI50" s="185" t="str">
        <f>IF(Tim!GM52=FIT!$E$1,Tim!GM52,"")</f>
        <v/>
      </c>
      <c r="GJ50" s="185" t="str">
        <f>IF(Tim!GN52=FIT!$E$1,Tim!GN52,"")</f>
        <v/>
      </c>
      <c r="GK50" s="185" t="str">
        <f>IF(Tim!GO52=FIT!$E$1,Tim!GO52,"")</f>
        <v/>
      </c>
      <c r="GL50" s="185" t="str">
        <f>IF(Tim!GP52=FIT!$E$1,Tim!GP52,"")</f>
        <v/>
      </c>
      <c r="GM50" s="185" t="str">
        <f>IF(Tim!GQ52=FIT!$E$1,Tim!GQ52,"")</f>
        <v/>
      </c>
      <c r="GN50" s="185" t="str">
        <f>IF(Tim!GR52=FIT!$E$1,Tim!GR52,"")</f>
        <v/>
      </c>
      <c r="GO50" s="185" t="str">
        <f>IF(Tim!GS52=FIT!$E$1,Tim!GS52,"")</f>
        <v/>
      </c>
      <c r="GP50" s="185" t="str">
        <f>IF(Tim!GT52=FIT!$E$1,Tim!GT52,"")</f>
        <v/>
      </c>
      <c r="GQ50" s="185" t="str">
        <f>IF(Tim!GU52=FIT!$E$1,Tim!GU52,"")</f>
        <v/>
      </c>
      <c r="GR50" s="185" t="str">
        <f>IF(Tim!GV52=FIT!$E$1,Tim!GV52,"")</f>
        <v/>
      </c>
      <c r="GS50" s="185" t="str">
        <f>IF(Tim!GW52=FIT!$E$1,Tim!GW52,"")</f>
        <v/>
      </c>
      <c r="GT50" s="185" t="str">
        <f>IF(Tim!GX52=FIT!$E$1,Tim!GX52,"")</f>
        <v/>
      </c>
      <c r="GU50" s="185" t="str">
        <f>IF(Tim!GY52=FIT!$E$1,Tim!GY52,"")</f>
        <v/>
      </c>
      <c r="GV50" s="185" t="str">
        <f>IF(Tim!GZ52=FIT!$E$1,Tim!GZ52,"")</f>
        <v/>
      </c>
      <c r="GW50" s="185" t="str">
        <f>IF(Tim!HA52=FIT!$E$1,Tim!HA52,"")</f>
        <v/>
      </c>
      <c r="GX50" s="185" t="str">
        <f>IF(Tim!HB52=FIT!$E$1,Tim!HB52,"")</f>
        <v/>
      </c>
      <c r="GY50" s="185" t="str">
        <f>IF(Tim!HC52=FIT!$E$1,Tim!HC52,"")</f>
        <v/>
      </c>
      <c r="GZ50" s="185" t="str">
        <f>IF(Tim!HD52=FIT!$E$1,Tim!HD52,"")</f>
        <v/>
      </c>
      <c r="HA50" s="185" t="str">
        <f>IF(Tim!HE52=FIT!$E$1,Tim!HE52,"")</f>
        <v/>
      </c>
      <c r="HB50" s="185" t="str">
        <f>IF(Tim!HF52=FIT!$E$1,Tim!HF52,"")</f>
        <v/>
      </c>
      <c r="HC50" s="185" t="str">
        <f>IF(Tim!HG52=FIT!$E$1,Tim!HG52,"")</f>
        <v/>
      </c>
      <c r="HD50" s="185" t="str">
        <f>IF(Tim!HH52=FIT!$E$1,Tim!HH52,"")</f>
        <v/>
      </c>
      <c r="HE50" s="185" t="str">
        <f>IF(Tim!HI52=FIT!$E$1,Tim!HI52,"")</f>
        <v/>
      </c>
      <c r="HF50" s="185" t="str">
        <f>IF(Tim!HJ52=FIT!$E$1,Tim!HJ52,"")</f>
        <v/>
      </c>
      <c r="HG50" s="185" t="str">
        <f>IF(Tim!HK52=FIT!$E$1,Tim!HK52,"")</f>
        <v/>
      </c>
      <c r="HH50" s="185" t="str">
        <f>IF(Tim!HL52=FIT!$E$1,Tim!HL52,"")</f>
        <v/>
      </c>
      <c r="HI50" s="185" t="str">
        <f>IF(Tim!HM52=FIT!$E$1,Tim!HM52,"")</f>
        <v/>
      </c>
      <c r="HJ50" s="185" t="str">
        <f>IF(Tim!HN52=FIT!$E$1,Tim!HN52,"")</f>
        <v/>
      </c>
      <c r="HK50" s="185" t="str">
        <f>IF(Tim!HO52=FIT!$E$1,Tim!HO52,"")</f>
        <v/>
      </c>
      <c r="HL50" s="185" t="str">
        <f>IF(Tim!HP52=FIT!$E$1,Tim!HP52,"")</f>
        <v/>
      </c>
      <c r="HM50" s="185" t="str">
        <f>IF(Tim!HQ52=FIT!$E$1,Tim!HQ52,"")</f>
        <v/>
      </c>
      <c r="HN50" s="185" t="str">
        <f>IF(Tim!HR52=FIT!$E$1,Tim!HR52,"")</f>
        <v/>
      </c>
      <c r="HO50" s="185" t="str">
        <f>IF(Tim!HS52=FIT!$E$1,Tim!HS52,"")</f>
        <v/>
      </c>
      <c r="HP50" s="185" t="str">
        <f>IF(Tim!HT52=FIT!$E$1,Tim!HT52,"")</f>
        <v/>
      </c>
      <c r="HQ50" s="185" t="str">
        <f>IF(Tim!HU52=FIT!$E$1,Tim!HU52,"")</f>
        <v/>
      </c>
      <c r="HR50" s="185" t="str">
        <f>IF(Tim!HV52=FIT!$E$1,Tim!HV52,"")</f>
        <v/>
      </c>
      <c r="HS50" s="185" t="str">
        <f>IF(Tim!HW52=FIT!$E$1,Tim!HW52,"")</f>
        <v/>
      </c>
      <c r="HT50" s="185" t="str">
        <f>IF(Tim!HX52=FIT!$E$1,Tim!HX52,"")</f>
        <v/>
      </c>
      <c r="HU50" s="185" t="str">
        <f>IF(Tim!HY52=FIT!$E$1,Tim!HY52,"")</f>
        <v/>
      </c>
      <c r="HV50" s="185" t="str">
        <f>IF(Tim!HZ52=FIT!$E$1,Tim!HZ52,"")</f>
        <v/>
      </c>
      <c r="HW50" s="185" t="str">
        <f>IF(Tim!IA52=FIT!$E$1,Tim!IA52,"")</f>
        <v/>
      </c>
      <c r="HX50" s="185" t="str">
        <f>IF(Tim!IB52=FIT!$E$1,Tim!IB52,"")</f>
        <v/>
      </c>
      <c r="HY50" s="185" t="str">
        <f>IF(Tim!IC52=FIT!$E$1,Tim!IC52,"")</f>
        <v/>
      </c>
      <c r="HZ50" s="185" t="str">
        <f>IF(Tim!ID52=FIT!$E$1,Tim!ID52,"")</f>
        <v/>
      </c>
      <c r="IA50" s="185" t="str">
        <f>IF(Tim!IE52=FIT!$E$1,Tim!IE52,"")</f>
        <v/>
      </c>
      <c r="IB50" s="185" t="str">
        <f>IF(Tim!IF52=FIT!$E$1,Tim!IF52,"")</f>
        <v/>
      </c>
      <c r="IC50" s="185" t="str">
        <f>IF(Tim!IG52=FIT!$E$1,Tim!IG52,"")</f>
        <v/>
      </c>
      <c r="ID50" s="185" t="str">
        <f>IF(Tim!IH52=FIT!$E$1,Tim!IH52,"")</f>
        <v/>
      </c>
      <c r="IE50" s="185" t="str">
        <f>IF(Tim!II52=FIT!$E$1,Tim!II52,"")</f>
        <v/>
      </c>
      <c r="IF50" s="185" t="str">
        <f>IF(Tim!IJ52=FIT!$E$1,Tim!IJ52,"")</f>
        <v/>
      </c>
      <c r="IG50" s="185" t="str">
        <f>IF(Tim!IK52=FIT!$E$1,Tim!IK52,"")</f>
        <v/>
      </c>
      <c r="IH50" s="185" t="str">
        <f>IF(Tim!IL52=FIT!$E$1,Tim!IL52,"")</f>
        <v/>
      </c>
      <c r="II50" s="185" t="str">
        <f>IF(Tim!IM52=FIT!$E$1,Tim!IM52,"")</f>
        <v/>
      </c>
      <c r="IJ50" s="185" t="str">
        <f>IF(Tim!IN52=FIT!$E$1,Tim!IN52,"")</f>
        <v/>
      </c>
      <c r="IK50" s="185" t="str">
        <f>IF(Tim!IO52=FIT!$E$1,Tim!IO52,"")</f>
        <v/>
      </c>
      <c r="IL50" s="185" t="str">
        <f>IF(Tim!IP52=FIT!$E$1,Tim!IP52,"")</f>
        <v/>
      </c>
      <c r="IM50" s="185" t="str">
        <f>IF(Tim!IQ52=FIT!$E$1,Tim!IQ52,"")</f>
        <v/>
      </c>
      <c r="IN50" s="185" t="str">
        <f>IF(Tim!IR52=FIT!$E$1,Tim!IR52,"")</f>
        <v/>
      </c>
      <c r="IO50" s="185" t="str">
        <f>IF(Tim!IS52=FIT!$E$1,Tim!IS52,"")</f>
        <v/>
      </c>
      <c r="IP50" s="185" t="str">
        <f>IF(Tim!IT52=FIT!$E$1,Tim!IT52,"")</f>
        <v/>
      </c>
      <c r="IQ50" s="185" t="str">
        <f>IF(Tim!IU52=FIT!$E$1,Tim!IU52,"")</f>
        <v/>
      </c>
      <c r="IR50" s="185" t="str">
        <f>IF(Tim!IV52=FIT!$E$1,Tim!IV52,"")</f>
        <v/>
      </c>
      <c r="IS50" s="185" t="str">
        <f>IF(Tim!IW52=FIT!$E$1,Tim!IW52,"")</f>
        <v/>
      </c>
      <c r="IT50" s="185" t="str">
        <f>IF(Tim!IX52=FIT!$E$1,Tim!IX52,"")</f>
        <v/>
      </c>
      <c r="IU50" s="185" t="str">
        <f>IF(Tim!IY52=FIT!$E$1,Tim!IY52,"")</f>
        <v/>
      </c>
      <c r="IV50" s="185" t="str">
        <f>IF(Tim!IZ52=FIT!$E$1,Tim!IZ52,"")</f>
        <v/>
      </c>
      <c r="IW50" s="185" t="str">
        <f>IF(Tim!JA52=FIT!$E$1,Tim!JA52,"")</f>
        <v/>
      </c>
      <c r="IX50" s="185" t="str">
        <f>IF(Tim!JB52=FIT!$E$1,Tim!JB52,"")</f>
        <v/>
      </c>
      <c r="IY50" s="185" t="str">
        <f>IF(Tim!JC52=FIT!$E$1,Tim!JC52,"")</f>
        <v/>
      </c>
      <c r="IZ50" s="185" t="str">
        <f>IF(Tim!JD52=FIT!$E$1,Tim!JD52,"")</f>
        <v/>
      </c>
      <c r="JA50" s="185" t="str">
        <f>IF(Tim!JE52=FIT!$E$1,Tim!JE52,"")</f>
        <v/>
      </c>
      <c r="JB50" s="185" t="str">
        <f>IF(Tim!JF52=FIT!$E$1,Tim!JF52,"")</f>
        <v/>
      </c>
      <c r="JC50" s="185" t="str">
        <f>IF(Tim!JG52=FIT!$E$1,Tim!JG52,"")</f>
        <v/>
      </c>
      <c r="JD50" s="185" t="str">
        <f>IF(Tim!JH52=FIT!$E$1,Tim!JH52,"")</f>
        <v/>
      </c>
      <c r="JE50" s="185" t="str">
        <f>IF(Tim!JI52=FIT!$E$1,Tim!JI52,"")</f>
        <v/>
      </c>
      <c r="JF50" s="185" t="str">
        <f>IF(Tim!JJ52=FIT!$E$1,Tim!JJ52,"")</f>
        <v/>
      </c>
      <c r="JG50" s="185" t="str">
        <f>IF(Tim!JK52=FIT!$E$1,Tim!JK52,"")</f>
        <v/>
      </c>
      <c r="JH50" s="185" t="str">
        <f>IF(Tim!JL52=FIT!$E$1,Tim!JL52,"")</f>
        <v/>
      </c>
      <c r="JI50" s="185" t="str">
        <f>IF(Tim!JM52=FIT!$E$1,Tim!JM52,"")</f>
        <v/>
      </c>
      <c r="JJ50" s="366"/>
      <c r="JK50" s="366"/>
      <c r="JL50" s="366"/>
      <c r="JM50" s="366"/>
      <c r="JN50" s="366"/>
      <c r="JO50" s="366"/>
      <c r="JP50" s="366"/>
      <c r="JQ50" s="366"/>
      <c r="JR50" s="366"/>
      <c r="JS50" s="366"/>
      <c r="JT50" s="366"/>
      <c r="JU50" s="366"/>
      <c r="JV50" s="366"/>
      <c r="JW50" s="366"/>
      <c r="JX50" s="366"/>
      <c r="JY50" s="366"/>
      <c r="JZ50" s="366"/>
      <c r="KA50" s="366"/>
      <c r="KB50" s="366"/>
      <c r="KC50" s="366"/>
      <c r="KD50" s="366"/>
      <c r="KE50" s="366"/>
      <c r="KF50" s="366"/>
      <c r="KG50" s="366"/>
      <c r="KH50" s="366"/>
      <c r="KI50" s="366"/>
      <c r="KJ50" s="366"/>
      <c r="KK50" s="366"/>
      <c r="KL50" s="366"/>
      <c r="KM50" s="366"/>
      <c r="KN50" s="366"/>
      <c r="KO50" s="366"/>
      <c r="KP50" s="366"/>
      <c r="KQ50" s="366"/>
      <c r="KR50" s="366"/>
      <c r="KS50" s="366"/>
      <c r="KT50" s="366"/>
      <c r="KU50" s="366"/>
      <c r="KV50" s="366"/>
      <c r="KW50" s="366"/>
      <c r="KX50" s="366"/>
      <c r="KY50" s="366"/>
      <c r="KZ50" s="366"/>
      <c r="LA50" s="428"/>
      <c r="LB50" s="52">
        <v>0.76041666666666496</v>
      </c>
    </row>
    <row r="51" spans="2:314" ht="10.5" customHeight="1">
      <c r="B51" s="49">
        <v>0.25</v>
      </c>
      <c r="C51" s="49">
        <v>0.25</v>
      </c>
      <c r="D51" s="49">
        <v>0.25</v>
      </c>
      <c r="E51" s="172">
        <v>0.77083333333333204</v>
      </c>
      <c r="F51" s="238" t="str">
        <f>IF(Tim!F53=FIT!$E$1,Tim!F53,"")</f>
        <v/>
      </c>
      <c r="G51" s="185" t="str">
        <f>IF(Tim!G53=FIT!$E$1,Tim!G53,"")</f>
        <v/>
      </c>
      <c r="H51" s="185" t="str">
        <f>IF(Tim!H53=FIT!$E$1,Tim!H53,"")</f>
        <v/>
      </c>
      <c r="I51" s="185" t="str">
        <f>IF(Tim!I53=FIT!$E$1,Tim!I53,"")</f>
        <v/>
      </c>
      <c r="J51" s="185" t="str">
        <f>IF(Tim!J53=FIT!$E$1,Tim!J53,"")</f>
        <v/>
      </c>
      <c r="K51" s="185" t="str">
        <f>IF(Tim!K53=FIT!$E$1,Tim!K53,"")</f>
        <v/>
      </c>
      <c r="L51" s="185" t="str">
        <f>IF(Tim!L53=FIT!$E$1,Tim!L53,"")</f>
        <v/>
      </c>
      <c r="M51" s="185" t="str">
        <f>IF(Tim!M53=FIT!$E$1,Tim!M53,"")</f>
        <v/>
      </c>
      <c r="N51" s="185" t="str">
        <f>IF(Tim!N53=FIT!$E$1,Tim!N53,"")</f>
        <v/>
      </c>
      <c r="O51" s="185" t="str">
        <f>IF(Tim!O53=FIT!$E$1,Tim!O53,"")</f>
        <v/>
      </c>
      <c r="P51" s="185" t="str">
        <f>IF(Tim!P53=FIT!$E$1,Tim!P53,"")</f>
        <v/>
      </c>
      <c r="Q51" s="185" t="str">
        <f>IF(Tim!Q53=FIT!$E$1,Tim!Q53,"")</f>
        <v/>
      </c>
      <c r="R51" s="185" t="str">
        <f>IF(Tim!R53=FIT!$E$1,Tim!R53,"")</f>
        <v/>
      </c>
      <c r="S51" s="185" t="str">
        <f>IF(Tim!S53=FIT!$E$1,Tim!S53,"")</f>
        <v/>
      </c>
      <c r="T51" s="185" t="str">
        <f>IF(Tim!T53=FIT!$E$1,Tim!T53,"")</f>
        <v/>
      </c>
      <c r="U51" s="185" t="str">
        <f>IF(Tim!U53=FIT!$E$1,Tim!U53,"")</f>
        <v/>
      </c>
      <c r="V51" s="185" t="str">
        <f>IF(Tim!W53=FIT!$E$1,Tim!W53,"")</f>
        <v/>
      </c>
      <c r="W51" s="185" t="str">
        <f>IF(Tim!X53=FIT!$E$1,Tim!X53,"")</f>
        <v/>
      </c>
      <c r="X51" s="185" t="str">
        <f>IF(Tim!Y53=FIT!$E$1,Tim!Y53,"")</f>
        <v/>
      </c>
      <c r="Y51" s="185" t="str">
        <f>IF(Tim!Z53=FIT!$E$1,Tim!Z53,"")</f>
        <v/>
      </c>
      <c r="Z51" s="185" t="str">
        <f>IF(Tim!AA53=FIT!$E$1,Tim!AA53,"")</f>
        <v/>
      </c>
      <c r="AA51" s="185" t="str">
        <f>IF(Tim!AB53=FIT!$E$1,Tim!AB53,"")</f>
        <v/>
      </c>
      <c r="AB51" s="185" t="str">
        <f>IF(Tim!AC53=FIT!$E$1,Tim!AC53,"")</f>
        <v/>
      </c>
      <c r="AC51" s="185" t="str">
        <f>IF(Tim!AD53=FIT!$E$1,Tim!AD53,"")</f>
        <v/>
      </c>
      <c r="AD51" s="185" t="str">
        <f>IF(Tim!AE53=FIT!$E$1,Tim!AE53,"")</f>
        <v/>
      </c>
      <c r="AE51" s="185" t="str">
        <f>IF(Tim!AF53=FIT!$E$1,Tim!AF53,"")</f>
        <v/>
      </c>
      <c r="AF51" s="185" t="str">
        <f>IF(Tim!AG53=FIT!$E$1,Tim!AG53,"")</f>
        <v/>
      </c>
      <c r="AG51" s="185" t="str">
        <f>IF(Tim!AH53=FIT!$E$1,Tim!AH53,"")</f>
        <v/>
      </c>
      <c r="AH51" s="185" t="str">
        <f>IF(Tim!AI53=FIT!$E$1,Tim!AI53,"")</f>
        <v/>
      </c>
      <c r="AI51" s="185" t="str">
        <f>IF(Tim!AJ53=FIT!$E$1,Tim!AJ53,"")</f>
        <v/>
      </c>
      <c r="AJ51" s="185" t="str">
        <f>IF(Tim!AK53=FIT!$E$1,Tim!AK53,"")</f>
        <v/>
      </c>
      <c r="AK51" s="185" t="str">
        <f>IF(Tim!AL53=FIT!$E$1,Tim!AL53,"")</f>
        <v/>
      </c>
      <c r="AL51" s="185" t="str">
        <f>IF(Tim!AM53=FIT!$E$1,Tim!AM53,"")</f>
        <v/>
      </c>
      <c r="AM51" s="185" t="str">
        <f>IF(Tim!AN53=FIT!$E$1,Tim!AN53,"")</f>
        <v/>
      </c>
      <c r="AN51" s="185" t="str">
        <f>IF(Tim!AO53=FIT!$E$1,Tim!AO53,"")</f>
        <v/>
      </c>
      <c r="AO51" s="185" t="str">
        <f>IF(Tim!AP53=FIT!$E$1,Tim!AP53,"")</f>
        <v/>
      </c>
      <c r="AP51" s="185" t="str">
        <f>IF(Tim!AQ53=FIT!$E$1,Tim!AQ53,"")</f>
        <v/>
      </c>
      <c r="AQ51" s="185" t="str">
        <f>IF(Tim!AR53=FIT!$E$1,Tim!AR53,"")</f>
        <v/>
      </c>
      <c r="AR51" s="185" t="str">
        <f>IF(Tim!AS53=FIT!$E$1,Tim!AS53,"")</f>
        <v/>
      </c>
      <c r="AS51" s="185" t="str">
        <f>IF(Tim!AT53=FIT!$E$1,Tim!AT53,"")</f>
        <v/>
      </c>
      <c r="AT51" s="185" t="str">
        <f>IF(Tim!AU53=FIT!$E$1,Tim!AU53,"")</f>
        <v/>
      </c>
      <c r="AU51" s="185" t="str">
        <f>IF(Tim!AV53=FIT!$E$1,Tim!AV53,"")</f>
        <v/>
      </c>
      <c r="AV51" s="185" t="str">
        <f>IF(Tim!AW53=FIT!$E$1,Tim!AW53,"")</f>
        <v/>
      </c>
      <c r="AW51" s="186" t="str">
        <f>IF(Tim!AX53=FIT!$E$1,Tim!AX53,"")</f>
        <v/>
      </c>
      <c r="AX51" s="243" t="str">
        <f>IF(Tim!AY53=FIT!$E$1,Tim!AY53,"")</f>
        <v/>
      </c>
      <c r="AY51" s="185" t="str">
        <f>IF(Tim!AZ53=FIT!$E$1,Tim!AZ53,"")</f>
        <v/>
      </c>
      <c r="AZ51" s="185" t="str">
        <f>IF(Tim!BA53=FIT!$E$1,Tim!BA53,"")</f>
        <v/>
      </c>
      <c r="BA51" s="185" t="str">
        <f>IF(Tim!BB53=FIT!$E$1,Tim!BB53,"")</f>
        <v/>
      </c>
      <c r="BB51" s="185" t="str">
        <f>IF(Tim!BC53=FIT!$E$1,Tim!BC53,"")</f>
        <v/>
      </c>
      <c r="BC51" s="185" t="str">
        <f>IF(Tim!BD53=FIT!$E$1,Tim!BD53,"")</f>
        <v/>
      </c>
      <c r="BD51" s="185" t="str">
        <f>IF(Tim!BE53=FIT!$E$1,Tim!BE53,"")</f>
        <v/>
      </c>
      <c r="BE51" s="185" t="str">
        <f>IF(Tim!BF53=FIT!$E$1,Tim!BF53,"")</f>
        <v/>
      </c>
      <c r="BF51" s="185" t="str">
        <f>IF(Tim!BG53=FIT!$E$1,Tim!BG53,"")</f>
        <v/>
      </c>
      <c r="BG51" s="185" t="str">
        <f>IF(Tim!BH53=FIT!$E$1,Tim!BH53,"")</f>
        <v/>
      </c>
      <c r="BH51" s="185" t="str">
        <f>IF(Tim!BI53=FIT!$E$1,Tim!BI53,"")</f>
        <v/>
      </c>
      <c r="BI51" s="185" t="str">
        <f>IF(Tim!BJ53=FIT!$E$1,Tim!BJ53,"")</f>
        <v/>
      </c>
      <c r="BJ51" s="185" t="str">
        <f>IF(Tim!BK53=FIT!$E$1,Tim!BK53,"")</f>
        <v/>
      </c>
      <c r="BK51" s="185" t="str">
        <f>IF(Tim!BL53=FIT!$E$1,Tim!BL53,"")</f>
        <v/>
      </c>
      <c r="BL51" s="185" t="str">
        <f>IF(Tim!BM53=FIT!$E$1,Tim!BM53,"")</f>
        <v/>
      </c>
      <c r="BM51" s="185" t="str">
        <f>IF(Tim!BN53=FIT!$E$1,Tim!BN53,"")</f>
        <v/>
      </c>
      <c r="BN51" s="185" t="str">
        <f>IF(Tim!BO53=FIT!$E$1,Tim!BO53,"")</f>
        <v/>
      </c>
      <c r="BO51" s="185" t="str">
        <f>IF(Tim!BP53=FIT!$E$1,Tim!BP53,"")</f>
        <v/>
      </c>
      <c r="BP51" s="185" t="str">
        <f>IF(Tim!BQ53=FIT!$E$1,Tim!BQ53,"")</f>
        <v/>
      </c>
      <c r="BQ51" s="185" t="str">
        <f>IF(Tim!BR53=FIT!$E$1,Tim!BR53,"")</f>
        <v/>
      </c>
      <c r="BR51" s="185" t="str">
        <f>IF(Tim!BS53=FIT!$E$1,Tim!BS53,"")</f>
        <v/>
      </c>
      <c r="BS51" s="185" t="str">
        <f>IF(Tim!BT53=FIT!$E$1,Tim!BT53,"")</f>
        <v/>
      </c>
      <c r="BT51" s="185" t="str">
        <f>IF(Tim!BU53=FIT!$E$1,Tim!BU53,"")</f>
        <v/>
      </c>
      <c r="BU51" s="185" t="str">
        <f>IF(Tim!BV53=FIT!$E$1,Tim!BV53,"")</f>
        <v/>
      </c>
      <c r="BV51" s="185" t="str">
        <f>IF(Tim!BW53=FIT!$E$1,Tim!BW53,"")</f>
        <v/>
      </c>
      <c r="BW51" s="185" t="str">
        <f>IF(Tim!BX53=FIT!$E$1,Tim!BX53,"")</f>
        <v/>
      </c>
      <c r="BX51" s="185" t="str">
        <f>IF(Tim!BY53=FIT!$E$1,Tim!BY53,"")</f>
        <v/>
      </c>
      <c r="BY51" s="185" t="str">
        <f>IF(Tim!BZ53=FIT!$E$1,Tim!BZ53,"")</f>
        <v/>
      </c>
      <c r="BZ51" s="185" t="str">
        <f>IF(Tim!CA53=FIT!$E$1,Tim!CA53,"")</f>
        <v/>
      </c>
      <c r="CA51" s="185" t="str">
        <f>IF(Tim!CB53=FIT!$E$1,Tim!CB53,"")</f>
        <v/>
      </c>
      <c r="CB51" s="185" t="str">
        <f>IF(Tim!CC53=FIT!$E$1,Tim!CC53,"")</f>
        <v/>
      </c>
      <c r="CC51" s="185" t="str">
        <f>IF(Tim!CD53=FIT!$E$1,Tim!CD53,"")</f>
        <v/>
      </c>
      <c r="CD51" s="185" t="str">
        <f>IF(Tim!CE53=FIT!$E$1,Tim!CE53,"")</f>
        <v/>
      </c>
      <c r="CE51" s="185" t="str">
        <f>IF(Tim!CF53=FIT!$E$1,Tim!CF53,"")</f>
        <v/>
      </c>
      <c r="CF51" s="185" t="str">
        <f>IF(Tim!CG53=FIT!$E$1,Tim!CG53,"")</f>
        <v/>
      </c>
      <c r="CG51" s="185" t="str">
        <f>IF(Tim!CH53=FIT!$E$1,Tim!CH53,"")</f>
        <v/>
      </c>
      <c r="CH51" s="185" t="str">
        <f>IF(Tim!CI53=FIT!$E$1,Tim!CI53,"")</f>
        <v/>
      </c>
      <c r="CI51" s="185" t="str">
        <f>IF(Tim!CJ53=FIT!$E$1,Tim!CJ53,"")</f>
        <v/>
      </c>
      <c r="CJ51" s="185" t="str">
        <f>IF(Tim!CK53=FIT!$E$1,Tim!CK53,"")</f>
        <v/>
      </c>
      <c r="CK51" s="185" t="str">
        <f>IF(Tim!CL53=FIT!$E$1,Tim!CL53,"")</f>
        <v/>
      </c>
      <c r="CL51" s="185" t="str">
        <f>IF(Tim!CM53=FIT!$E$1,Tim!CM53,"")</f>
        <v/>
      </c>
      <c r="CM51" s="185" t="str">
        <f>IF(Tim!CN53=FIT!$E$1,Tim!CN53,"")</f>
        <v/>
      </c>
      <c r="CN51" s="185" t="str">
        <f>IF(Tim!CO53=FIT!$E$1,Tim!CO53,"")</f>
        <v/>
      </c>
      <c r="CO51" s="185" t="str">
        <f>IF(Tim!CP53=FIT!$E$1,Tim!CP53,"")</f>
        <v/>
      </c>
      <c r="CP51" s="185" t="str">
        <f>IF(Tim!CQ53=FIT!$E$1,Tim!CQ53,"")</f>
        <v/>
      </c>
      <c r="CQ51" s="185" t="str">
        <f>IF(Tim!CR53=FIT!$E$1,Tim!CR53,"")</f>
        <v/>
      </c>
      <c r="CR51" s="185" t="str">
        <f>IF(Tim!CS53=FIT!$E$1,Tim!CS53,"")</f>
        <v/>
      </c>
      <c r="CS51" s="185" t="str">
        <f>IF(Tim!CT53=FIT!$E$1,Tim!CT53,"")</f>
        <v/>
      </c>
      <c r="CT51" s="185" t="str">
        <f>IF(Tim!CU53=FIT!$E$1,Tim!CU53,"")</f>
        <v/>
      </c>
      <c r="CU51" s="185" t="str">
        <f>IF(Tim!CV53=FIT!$E$1,Tim!CV53,"")</f>
        <v/>
      </c>
      <c r="CV51" s="185" t="str">
        <f>IF(Tim!CW53=FIT!$E$1,Tim!CW53,"")</f>
        <v/>
      </c>
      <c r="CW51" s="185" t="str">
        <f>IF(Tim!CX53=FIT!$E$1,Tim!CX53,"")</f>
        <v/>
      </c>
      <c r="CX51" s="185" t="str">
        <f>IF(Tim!CY53=FIT!$E$1,Tim!CY53,"")</f>
        <v/>
      </c>
      <c r="CY51" s="185" t="str">
        <f>IF(Tim!CZ53=FIT!$E$1,Tim!CZ53,"")</f>
        <v/>
      </c>
      <c r="CZ51" s="185" t="str">
        <f>IF(Tim!DA53=FIT!$E$1,Tim!DA53,"")</f>
        <v/>
      </c>
      <c r="DA51" s="185" t="str">
        <f>IF(Tim!DB53=FIT!$E$1,Tim!DB53,"")</f>
        <v/>
      </c>
      <c r="DB51" s="185" t="str">
        <f>IF(Tim!DC53=FIT!$E$1,Tim!DC53,"")</f>
        <v/>
      </c>
      <c r="DC51" s="185" t="str">
        <f>IF(Tim!DD53=FIT!$E$1,Tim!DD53,"")</f>
        <v/>
      </c>
      <c r="DD51" s="185" t="str">
        <f>IF(Tim!DE53=FIT!$E$1,Tim!DE53,"")</f>
        <v/>
      </c>
      <c r="DE51" s="185" t="str">
        <f>IF(Tim!DF53=FIT!$E$1,Tim!DF53,"")</f>
        <v/>
      </c>
      <c r="DF51" s="185" t="str">
        <f>IF(Tim!DG53=FIT!$E$1,Tim!DG53,"")</f>
        <v/>
      </c>
      <c r="DG51" s="185" t="str">
        <f>IF(Tim!DH53=FIT!$E$1,Tim!DH53,"")</f>
        <v/>
      </c>
      <c r="DH51" s="185" t="str">
        <f>IF(Tim!DI53=FIT!$E$1,Tim!DI53,"")</f>
        <v/>
      </c>
      <c r="DI51" s="185" t="str">
        <f>IF(Tim!DM53=FIT!$E$1,Tim!DM53,"")</f>
        <v/>
      </c>
      <c r="DJ51" s="185" t="str">
        <f>IF(Tim!DN53=FIT!$E$1,Tim!DN53,"")</f>
        <v/>
      </c>
      <c r="DK51" s="185" t="str">
        <f>IF(Tim!DO53=FIT!$E$1,Tim!DO53,"")</f>
        <v/>
      </c>
      <c r="DL51" s="185" t="str">
        <f>IF(Tim!DP53=FIT!$E$1,Tim!DP53,"")</f>
        <v/>
      </c>
      <c r="DM51" s="185" t="str">
        <f>IF(Tim!DQ53=FIT!$E$1,Tim!DQ53,"")</f>
        <v/>
      </c>
      <c r="DN51" s="185" t="str">
        <f>IF(Tim!DR53=FIT!$E$1,Tim!DR53,"")</f>
        <v/>
      </c>
      <c r="DO51" s="185" t="str">
        <f>IF(Tim!DS53=FIT!$E$1,Tim!DS53,"")</f>
        <v/>
      </c>
      <c r="DP51" s="185" t="str">
        <f>IF(Tim!DT53=FIT!$E$1,Tim!DT53,"")</f>
        <v/>
      </c>
      <c r="DQ51" s="185" t="str">
        <f>IF(Tim!DU53=FIT!$E$1,Tim!DU53,"")</f>
        <v/>
      </c>
      <c r="DR51" s="185" t="str">
        <f>IF(Tim!DV53=FIT!$E$1,Tim!DV53,"")</f>
        <v/>
      </c>
      <c r="DS51" s="185" t="str">
        <f>IF(Tim!DW53=FIT!$E$1,Tim!DW53,"")</f>
        <v/>
      </c>
      <c r="DT51" s="185" t="str">
        <f>IF(Tim!DX53=FIT!$E$1,Tim!DX53,"")</f>
        <v/>
      </c>
      <c r="DU51" s="185" t="str">
        <f>IF(Tim!DY53=FIT!$E$1,Tim!DY53,"")</f>
        <v/>
      </c>
      <c r="DV51" s="185" t="str">
        <f>IF(Tim!DZ53=FIT!$E$1,Tim!DZ53,"")</f>
        <v/>
      </c>
      <c r="DW51" s="185" t="str">
        <f>IF(Tim!EA53=FIT!$E$1,Tim!EA53,"")</f>
        <v/>
      </c>
      <c r="DX51" s="185" t="str">
        <f>IF(Tim!EB53=FIT!$E$1,Tim!EB53,"")</f>
        <v/>
      </c>
      <c r="DY51" s="185" t="str">
        <f>IF(Tim!EC53=FIT!$E$1,Tim!EC53,"")</f>
        <v/>
      </c>
      <c r="DZ51" s="185" t="str">
        <f>IF(Tim!ED53=FIT!$E$1,Tim!ED53,"")</f>
        <v/>
      </c>
      <c r="EA51" s="185" t="str">
        <f>IF(Tim!EE53=FIT!$E$1,Tim!EE53,"")</f>
        <v/>
      </c>
      <c r="EB51" s="185" t="str">
        <f>IF(Tim!EF53=FIT!$E$1,Tim!EF53,"")</f>
        <v/>
      </c>
      <c r="EC51" s="185" t="str">
        <f>IF(Tim!EG53=FIT!$E$1,Tim!EG53,"")</f>
        <v/>
      </c>
      <c r="ED51" s="185" t="str">
        <f>IF(Tim!EH53=FIT!$E$1,Tim!EH53,"")</f>
        <v/>
      </c>
      <c r="EE51" s="185" t="str">
        <f>IF(Tim!EI53=FIT!$E$1,Tim!EI53,"")</f>
        <v/>
      </c>
      <c r="EF51" s="185" t="str">
        <f>IF(Tim!EJ53=FIT!$E$1,Tim!EJ53,"")</f>
        <v/>
      </c>
      <c r="EG51" s="185" t="str">
        <f>IF(Tim!EK53=FIT!$E$1,Tim!EK53,"")</f>
        <v/>
      </c>
      <c r="EH51" s="185" t="str">
        <f>IF(Tim!EL53=FIT!$E$1,Tim!EL53,"")</f>
        <v/>
      </c>
      <c r="EI51" s="185" t="str">
        <f>IF(Tim!EM53=FIT!$E$1,Tim!EM53,"")</f>
        <v/>
      </c>
      <c r="EJ51" s="185" t="str">
        <f>IF(Tim!EN53=FIT!$E$1,Tim!EN53,"")</f>
        <v/>
      </c>
      <c r="EK51" s="185" t="str">
        <f>IF(Tim!EO53=FIT!$E$1,Tim!EO53,"")</f>
        <v/>
      </c>
      <c r="EL51" s="185" t="str">
        <f>IF(Tim!EP53=FIT!$E$1,Tim!EP53,"")</f>
        <v/>
      </c>
      <c r="EM51" s="185" t="str">
        <f>IF(Tim!EQ53=FIT!$E$1,Tim!EQ53,"")</f>
        <v/>
      </c>
      <c r="EN51" s="185" t="str">
        <f>IF(Tim!ER53=FIT!$E$1,Tim!ER53,"")</f>
        <v/>
      </c>
      <c r="EO51" s="185" t="str">
        <f>IF(Tim!ES53=FIT!$E$1,Tim!ES53,"")</f>
        <v/>
      </c>
      <c r="EP51" s="185" t="str">
        <f>IF(Tim!ET53=FIT!$E$1,Tim!ET53,"")</f>
        <v/>
      </c>
      <c r="EQ51" s="185" t="str">
        <f>IF(Tim!EU53=FIT!$E$1,Tim!EU53,"")</f>
        <v/>
      </c>
      <c r="ER51" s="185" t="str">
        <f>IF(Tim!EV53=FIT!$E$1,Tim!EV53,"")</f>
        <v/>
      </c>
      <c r="ES51" s="185" t="str">
        <f>IF(Tim!EW53=FIT!$E$1,Tim!EW53,"")</f>
        <v/>
      </c>
      <c r="ET51" s="185" t="str">
        <f>IF(Tim!EX53=FIT!$E$1,Tim!EX53,"")</f>
        <v/>
      </c>
      <c r="EU51" s="185" t="str">
        <f>IF(Tim!EY53=FIT!$E$1,Tim!EY53,"")</f>
        <v/>
      </c>
      <c r="EV51" s="185" t="str">
        <f>IF(Tim!EZ53=FIT!$E$1,Tim!EZ53,"")</f>
        <v/>
      </c>
      <c r="EW51" s="185" t="str">
        <f>IF(Tim!FA53=FIT!$E$1,Tim!FA53,"")</f>
        <v/>
      </c>
      <c r="EX51" s="185" t="str">
        <f>IF(Tim!FB53=FIT!$E$1,Tim!FB53,"")</f>
        <v/>
      </c>
      <c r="EY51" s="185" t="str">
        <f>IF(Tim!FC53=FIT!$E$1,Tim!FC53,"")</f>
        <v/>
      </c>
      <c r="EZ51" s="185" t="str">
        <f>IF(Tim!FD53=FIT!$E$1,Tim!FD53,"")</f>
        <v/>
      </c>
      <c r="FA51" s="185" t="str">
        <f>IF(Tim!FE53=FIT!$E$1,Tim!FE53,"")</f>
        <v/>
      </c>
      <c r="FB51" s="185" t="str">
        <f>IF(Tim!FF53=FIT!$E$1,Tim!FF53,"")</f>
        <v/>
      </c>
      <c r="FC51" s="185" t="str">
        <f>IF(Tim!FG53=FIT!$E$1,Tim!FG53,"")</f>
        <v/>
      </c>
      <c r="FD51" s="185" t="str">
        <f>IF(Tim!FH53=FIT!$E$1,Tim!FH53,"")</f>
        <v/>
      </c>
      <c r="FE51" s="185" t="str">
        <f>IF(Tim!FI53=FIT!$E$1,Tim!FI53,"")</f>
        <v/>
      </c>
      <c r="FF51" s="185" t="str">
        <f>IF(Tim!FJ53=FIT!$E$1,Tim!FJ53,"")</f>
        <v/>
      </c>
      <c r="FG51" s="185" t="str">
        <f>IF(Tim!FK53=FIT!$E$1,Tim!FK53,"")</f>
        <v/>
      </c>
      <c r="FH51" s="185" t="str">
        <f>IF(Tim!FL53=FIT!$E$1,Tim!FL53,"")</f>
        <v/>
      </c>
      <c r="FI51" s="185" t="str">
        <f>IF(Tim!FM53=FIT!$E$1,Tim!FM53,"")</f>
        <v/>
      </c>
      <c r="FJ51" s="185" t="str">
        <f>IF(Tim!FN53=FIT!$E$1,Tim!FN53,"")</f>
        <v/>
      </c>
      <c r="FK51" s="185" t="str">
        <f>IF(Tim!FO53=FIT!$E$1,Tim!FO53,"")</f>
        <v/>
      </c>
      <c r="FL51" s="185" t="str">
        <f>IF(Tim!FP53=FIT!$E$1,Tim!FP53,"")</f>
        <v/>
      </c>
      <c r="FM51" s="185" t="str">
        <f>IF(Tim!FQ53=FIT!$E$1,Tim!FQ53,"")</f>
        <v/>
      </c>
      <c r="FN51" s="185" t="str">
        <f>IF(Tim!FR53=FIT!$E$1,Tim!FR53,"")</f>
        <v/>
      </c>
      <c r="FO51" s="185" t="str">
        <f>IF(Tim!FS53=FIT!$E$1,Tim!FS53,"")</f>
        <v/>
      </c>
      <c r="FP51" s="185" t="str">
        <f>IF(Tim!FT53=FIT!$E$1,Tim!FT53,"")</f>
        <v/>
      </c>
      <c r="FQ51" s="185" t="str">
        <f>IF(Tim!FU53=FIT!$E$1,Tim!FU53,"")</f>
        <v/>
      </c>
      <c r="FR51" s="185" t="str">
        <f>IF(Tim!FV53=FIT!$E$1,Tim!FV53,"")</f>
        <v/>
      </c>
      <c r="FS51" s="185" t="str">
        <f>IF(Tim!FW53=FIT!$E$1,Tim!FW53,"")</f>
        <v/>
      </c>
      <c r="FT51" s="185" t="str">
        <f>IF(Tim!FX53=FIT!$E$1,Tim!FX53,"")</f>
        <v/>
      </c>
      <c r="FU51" s="185" t="str">
        <f>IF(Tim!FY53=FIT!$E$1,Tim!FY53,"")</f>
        <v/>
      </c>
      <c r="FV51" s="185" t="str">
        <f>IF(Tim!FZ53=FIT!$E$1,Tim!FZ53,"")</f>
        <v/>
      </c>
      <c r="FW51" s="185" t="str">
        <f>IF(Tim!GA53=FIT!$E$1,Tim!GA53,"")</f>
        <v/>
      </c>
      <c r="FX51" s="185" t="str">
        <f>IF(Tim!GB53=FIT!$E$1,Tim!GB53,"")</f>
        <v/>
      </c>
      <c r="FY51" s="185" t="str">
        <f>IF(Tim!GC53=FIT!$E$1,Tim!GC53,"")</f>
        <v/>
      </c>
      <c r="FZ51" s="185" t="str">
        <f>IF(Tim!GD53=FIT!$E$1,Tim!GD53,"")</f>
        <v/>
      </c>
      <c r="GA51" s="185" t="str">
        <f>IF(Tim!GE53=FIT!$E$1,Tim!GE53,"")</f>
        <v/>
      </c>
      <c r="GB51" s="185" t="str">
        <f>IF(Tim!GF53=FIT!$E$1,Tim!GF53,"")</f>
        <v/>
      </c>
      <c r="GC51" s="185" t="str">
        <f>IF(Tim!GG53=FIT!$E$1,Tim!GG53,"")</f>
        <v/>
      </c>
      <c r="GD51" s="185" t="str">
        <f>IF(Tim!GH53=FIT!$E$1,Tim!GH53,"")</f>
        <v/>
      </c>
      <c r="GE51" s="185" t="str">
        <f>IF(Tim!GI53=FIT!$E$1,Tim!GI53,"")</f>
        <v/>
      </c>
      <c r="GF51" s="185" t="str">
        <f>IF(Tim!GJ53=FIT!$E$1,Tim!GJ53,"")</f>
        <v/>
      </c>
      <c r="GG51" s="185" t="str">
        <f>IF(Tim!GK53=FIT!$E$1,Tim!GK53,"")</f>
        <v/>
      </c>
      <c r="GH51" s="185" t="str">
        <f>IF(Tim!GL53=FIT!$E$1,Tim!GL53,"")</f>
        <v/>
      </c>
      <c r="GI51" s="185" t="str">
        <f>IF(Tim!GM53=FIT!$E$1,Tim!GM53,"")</f>
        <v/>
      </c>
      <c r="GJ51" s="185" t="str">
        <f>IF(Tim!GN53=FIT!$E$1,Tim!GN53,"")</f>
        <v/>
      </c>
      <c r="GK51" s="185" t="str">
        <f>IF(Tim!GO53=FIT!$E$1,Tim!GO53,"")</f>
        <v/>
      </c>
      <c r="GL51" s="185" t="str">
        <f>IF(Tim!GP53=FIT!$E$1,Tim!GP53,"")</f>
        <v/>
      </c>
      <c r="GM51" s="185" t="str">
        <f>IF(Tim!GQ53=FIT!$E$1,Tim!GQ53,"")</f>
        <v/>
      </c>
      <c r="GN51" s="185" t="str">
        <f>IF(Tim!GR53=FIT!$E$1,Tim!GR53,"")</f>
        <v/>
      </c>
      <c r="GO51" s="185" t="str">
        <f>IF(Tim!GS53=FIT!$E$1,Tim!GS53,"")</f>
        <v/>
      </c>
      <c r="GP51" s="185" t="str">
        <f>IF(Tim!GT53=FIT!$E$1,Tim!GT53,"")</f>
        <v/>
      </c>
      <c r="GQ51" s="185" t="str">
        <f>IF(Tim!GU53=FIT!$E$1,Tim!GU53,"")</f>
        <v/>
      </c>
      <c r="GR51" s="185" t="str">
        <f>IF(Tim!GV53=FIT!$E$1,Tim!GV53,"")</f>
        <v/>
      </c>
      <c r="GS51" s="185" t="str">
        <f>IF(Tim!GW53=FIT!$E$1,Tim!GW53,"")</f>
        <v/>
      </c>
      <c r="GT51" s="185" t="str">
        <f>IF(Tim!GX53=FIT!$E$1,Tim!GX53,"")</f>
        <v/>
      </c>
      <c r="GU51" s="185" t="str">
        <f>IF(Tim!GY53=FIT!$E$1,Tim!GY53,"")</f>
        <v/>
      </c>
      <c r="GV51" s="185" t="str">
        <f>IF(Tim!GZ53=FIT!$E$1,Tim!GZ53,"")</f>
        <v/>
      </c>
      <c r="GW51" s="185" t="str">
        <f>IF(Tim!HA53=FIT!$E$1,Tim!HA53,"")</f>
        <v/>
      </c>
      <c r="GX51" s="185" t="str">
        <f>IF(Tim!HB53=FIT!$E$1,Tim!HB53,"")</f>
        <v/>
      </c>
      <c r="GY51" s="185" t="str">
        <f>IF(Tim!HC53=FIT!$E$1,Tim!HC53,"")</f>
        <v/>
      </c>
      <c r="GZ51" s="185" t="str">
        <f>IF(Tim!HD53=FIT!$E$1,Tim!HD53,"")</f>
        <v/>
      </c>
      <c r="HA51" s="185" t="str">
        <f>IF(Tim!HE53=FIT!$E$1,Tim!HE53,"")</f>
        <v/>
      </c>
      <c r="HB51" s="185" t="str">
        <f>IF(Tim!HF53=FIT!$E$1,Tim!HF53,"")</f>
        <v/>
      </c>
      <c r="HC51" s="185" t="str">
        <f>IF(Tim!HG53=FIT!$E$1,Tim!HG53,"")</f>
        <v/>
      </c>
      <c r="HD51" s="185" t="str">
        <f>IF(Tim!HH53=FIT!$E$1,Tim!HH53,"")</f>
        <v/>
      </c>
      <c r="HE51" s="185" t="str">
        <f>IF(Tim!HI53=FIT!$E$1,Tim!HI53,"")</f>
        <v/>
      </c>
      <c r="HF51" s="185" t="str">
        <f>IF(Tim!HJ53=FIT!$E$1,Tim!HJ53,"")</f>
        <v/>
      </c>
      <c r="HG51" s="185" t="str">
        <f>IF(Tim!HK53=FIT!$E$1,Tim!HK53,"")</f>
        <v/>
      </c>
      <c r="HH51" s="185" t="str">
        <f>IF(Tim!HL53=FIT!$E$1,Tim!HL53,"")</f>
        <v/>
      </c>
      <c r="HI51" s="185" t="str">
        <f>IF(Tim!HM53=FIT!$E$1,Tim!HM53,"")</f>
        <v/>
      </c>
      <c r="HJ51" s="185" t="str">
        <f>IF(Tim!HN53=FIT!$E$1,Tim!HN53,"")</f>
        <v/>
      </c>
      <c r="HK51" s="185" t="str">
        <f>IF(Tim!HO53=FIT!$E$1,Tim!HO53,"")</f>
        <v/>
      </c>
      <c r="HL51" s="185" t="str">
        <f>IF(Tim!HP53=FIT!$E$1,Tim!HP53,"")</f>
        <v/>
      </c>
      <c r="HM51" s="185" t="str">
        <f>IF(Tim!HQ53=FIT!$E$1,Tim!HQ53,"")</f>
        <v/>
      </c>
      <c r="HN51" s="185" t="str">
        <f>IF(Tim!HR53=FIT!$E$1,Tim!HR53,"")</f>
        <v/>
      </c>
      <c r="HO51" s="185" t="str">
        <f>IF(Tim!HS53=FIT!$E$1,Tim!HS53,"")</f>
        <v/>
      </c>
      <c r="HP51" s="185" t="str">
        <f>IF(Tim!HT53=FIT!$E$1,Tim!HT53,"")</f>
        <v/>
      </c>
      <c r="HQ51" s="185" t="str">
        <f>IF(Tim!HU53=FIT!$E$1,Tim!HU53,"")</f>
        <v/>
      </c>
      <c r="HR51" s="185" t="str">
        <f>IF(Tim!HV53=FIT!$E$1,Tim!HV53,"")</f>
        <v/>
      </c>
      <c r="HS51" s="185" t="str">
        <f>IF(Tim!HW53=FIT!$E$1,Tim!HW53,"")</f>
        <v/>
      </c>
      <c r="HT51" s="185" t="str">
        <f>IF(Tim!HX53=FIT!$E$1,Tim!HX53,"")</f>
        <v/>
      </c>
      <c r="HU51" s="185" t="str">
        <f>IF(Tim!HY53=FIT!$E$1,Tim!HY53,"")</f>
        <v/>
      </c>
      <c r="HV51" s="185" t="str">
        <f>IF(Tim!HZ53=FIT!$E$1,Tim!HZ53,"")</f>
        <v/>
      </c>
      <c r="HW51" s="185" t="str">
        <f>IF(Tim!IA53=FIT!$E$1,Tim!IA53,"")</f>
        <v/>
      </c>
      <c r="HX51" s="185" t="str">
        <f>IF(Tim!IB53=FIT!$E$1,Tim!IB53,"")</f>
        <v/>
      </c>
      <c r="HY51" s="185" t="str">
        <f>IF(Tim!IC53=FIT!$E$1,Tim!IC53,"")</f>
        <v/>
      </c>
      <c r="HZ51" s="185" t="str">
        <f>IF(Tim!ID53=FIT!$E$1,Tim!ID53,"")</f>
        <v/>
      </c>
      <c r="IA51" s="185" t="str">
        <f>IF(Tim!IE53=FIT!$E$1,Tim!IE53,"")</f>
        <v/>
      </c>
      <c r="IB51" s="185" t="str">
        <f>IF(Tim!IF53=FIT!$E$1,Tim!IF53,"")</f>
        <v/>
      </c>
      <c r="IC51" s="185" t="str">
        <f>IF(Tim!IG53=FIT!$E$1,Tim!IG53,"")</f>
        <v/>
      </c>
      <c r="ID51" s="185" t="str">
        <f>IF(Tim!IH53=FIT!$E$1,Tim!IH53,"")</f>
        <v/>
      </c>
      <c r="IE51" s="185" t="str">
        <f>IF(Tim!II53=FIT!$E$1,Tim!II53,"")</f>
        <v/>
      </c>
      <c r="IF51" s="185" t="str">
        <f>IF(Tim!IJ53=FIT!$E$1,Tim!IJ53,"")</f>
        <v/>
      </c>
      <c r="IG51" s="185" t="str">
        <f>IF(Tim!IK53=FIT!$E$1,Tim!IK53,"")</f>
        <v/>
      </c>
      <c r="IH51" s="185" t="str">
        <f>IF(Tim!IL53=FIT!$E$1,Tim!IL53,"")</f>
        <v/>
      </c>
      <c r="II51" s="185" t="str">
        <f>IF(Tim!IM53=FIT!$E$1,Tim!IM53,"")</f>
        <v/>
      </c>
      <c r="IJ51" s="185" t="str">
        <f>IF(Tim!IN53=FIT!$E$1,Tim!IN53,"")</f>
        <v/>
      </c>
      <c r="IK51" s="185" t="str">
        <f>IF(Tim!IO53=FIT!$E$1,Tim!IO53,"")</f>
        <v/>
      </c>
      <c r="IL51" s="185" t="str">
        <f>IF(Tim!IP53=FIT!$E$1,Tim!IP53,"")</f>
        <v/>
      </c>
      <c r="IM51" s="185" t="str">
        <f>IF(Tim!IQ53=FIT!$E$1,Tim!IQ53,"")</f>
        <v/>
      </c>
      <c r="IN51" s="185" t="str">
        <f>IF(Tim!IR53=FIT!$E$1,Tim!IR53,"")</f>
        <v/>
      </c>
      <c r="IO51" s="185" t="str">
        <f>IF(Tim!IS53=FIT!$E$1,Tim!IS53,"")</f>
        <v/>
      </c>
      <c r="IP51" s="185" t="str">
        <f>IF(Tim!IT53=FIT!$E$1,Tim!IT53,"")</f>
        <v/>
      </c>
      <c r="IQ51" s="185" t="str">
        <f>IF(Tim!IU53=FIT!$E$1,Tim!IU53,"")</f>
        <v/>
      </c>
      <c r="IR51" s="185" t="str">
        <f>IF(Tim!IV53=FIT!$E$1,Tim!IV53,"")</f>
        <v/>
      </c>
      <c r="IS51" s="185" t="str">
        <f>IF(Tim!IW53=FIT!$E$1,Tim!IW53,"")</f>
        <v/>
      </c>
      <c r="IT51" s="185" t="str">
        <f>IF(Tim!IX53=FIT!$E$1,Tim!IX53,"")</f>
        <v/>
      </c>
      <c r="IU51" s="185" t="str">
        <f>IF(Tim!IY53=FIT!$E$1,Tim!IY53,"")</f>
        <v/>
      </c>
      <c r="IV51" s="185" t="str">
        <f>IF(Tim!IZ53=FIT!$E$1,Tim!IZ53,"")</f>
        <v/>
      </c>
      <c r="IW51" s="185" t="str">
        <f>IF(Tim!JA53=FIT!$E$1,Tim!JA53,"")</f>
        <v/>
      </c>
      <c r="IX51" s="185" t="str">
        <f>IF(Tim!JB53=FIT!$E$1,Tim!JB53,"")</f>
        <v/>
      </c>
      <c r="IY51" s="185" t="str">
        <f>IF(Tim!JC53=FIT!$E$1,Tim!JC53,"")</f>
        <v/>
      </c>
      <c r="IZ51" s="185" t="str">
        <f>IF(Tim!JD53=FIT!$E$1,Tim!JD53,"")</f>
        <v/>
      </c>
      <c r="JA51" s="185" t="str">
        <f>IF(Tim!JE53=FIT!$E$1,Tim!JE53,"")</f>
        <v/>
      </c>
      <c r="JB51" s="185" t="str">
        <f>IF(Tim!JF53=FIT!$E$1,Tim!JF53,"")</f>
        <v/>
      </c>
      <c r="JC51" s="185" t="str">
        <f>IF(Tim!JG53=FIT!$E$1,Tim!JG53,"")</f>
        <v/>
      </c>
      <c r="JD51" s="185" t="str">
        <f>IF(Tim!JH53=FIT!$E$1,Tim!JH53,"")</f>
        <v/>
      </c>
      <c r="JE51" s="185" t="str">
        <f>IF(Tim!JI53=FIT!$E$1,Tim!JI53,"")</f>
        <v/>
      </c>
      <c r="JF51" s="185" t="str">
        <f>IF(Tim!JJ53=FIT!$E$1,Tim!JJ53,"")</f>
        <v/>
      </c>
      <c r="JG51" s="185" t="str">
        <f>IF(Tim!JK53=FIT!$E$1,Tim!JK53,"")</f>
        <v/>
      </c>
      <c r="JH51" s="185" t="str">
        <f>IF(Tim!JL53=FIT!$E$1,Tim!JL53,"")</f>
        <v/>
      </c>
      <c r="JI51" s="185" t="str">
        <f>IF(Tim!JM53=FIT!$E$1,Tim!JM53,"")</f>
        <v/>
      </c>
      <c r="JJ51" s="366"/>
      <c r="JK51" s="366"/>
      <c r="JL51" s="366"/>
      <c r="JM51" s="366"/>
      <c r="JN51" s="366"/>
      <c r="JO51" s="366"/>
      <c r="JP51" s="366"/>
      <c r="JQ51" s="366"/>
      <c r="JR51" s="366"/>
      <c r="JS51" s="366"/>
      <c r="JT51" s="366"/>
      <c r="JU51" s="366"/>
      <c r="JV51" s="366"/>
      <c r="JW51" s="366"/>
      <c r="JX51" s="366"/>
      <c r="JY51" s="366"/>
      <c r="JZ51" s="366"/>
      <c r="KA51" s="366"/>
      <c r="KB51" s="366"/>
      <c r="KC51" s="366"/>
      <c r="KD51" s="366"/>
      <c r="KE51" s="366"/>
      <c r="KF51" s="366"/>
      <c r="KG51" s="366"/>
      <c r="KH51" s="366"/>
      <c r="KI51" s="366"/>
      <c r="KJ51" s="366"/>
      <c r="KK51" s="366"/>
      <c r="KL51" s="366"/>
      <c r="KM51" s="366"/>
      <c r="KN51" s="366"/>
      <c r="KO51" s="366"/>
      <c r="KP51" s="366"/>
      <c r="KQ51" s="366"/>
      <c r="KR51" s="366"/>
      <c r="KS51" s="366"/>
      <c r="KT51" s="366"/>
      <c r="KU51" s="366"/>
      <c r="KV51" s="366"/>
      <c r="KW51" s="366"/>
      <c r="KX51" s="366"/>
      <c r="KY51" s="366"/>
      <c r="KZ51" s="366"/>
      <c r="LA51" s="428"/>
      <c r="LB51" s="52">
        <v>0.77083333333333204</v>
      </c>
    </row>
    <row r="52" spans="2:314" ht="10.5" customHeight="1">
      <c r="B52" s="49">
        <v>0.25</v>
      </c>
      <c r="C52" s="49">
        <v>0.25</v>
      </c>
      <c r="D52" s="49">
        <v>0.25</v>
      </c>
      <c r="E52" s="172">
        <v>0.781249999999999</v>
      </c>
      <c r="F52" s="238" t="str">
        <f>IF(Tim!F54=FIT!$E$1,Tim!F54,"")</f>
        <v/>
      </c>
      <c r="G52" s="185" t="str">
        <f>IF(Tim!G54=FIT!$E$1,Tim!G54,"")</f>
        <v/>
      </c>
      <c r="H52" s="185" t="str">
        <f>IF(Tim!H54=FIT!$E$1,Tim!H54,"")</f>
        <v/>
      </c>
      <c r="I52" s="185" t="str">
        <f>IF(Tim!I54=FIT!$E$1,Tim!I54,"")</f>
        <v/>
      </c>
      <c r="J52" s="185" t="str">
        <f>IF(Tim!J54=FIT!$E$1,Tim!J54,"")</f>
        <v/>
      </c>
      <c r="K52" s="185" t="str">
        <f>IF(Tim!K54=FIT!$E$1,Tim!K54,"")</f>
        <v/>
      </c>
      <c r="L52" s="185" t="str">
        <f>IF(Tim!L54=FIT!$E$1,Tim!L54,"")</f>
        <v/>
      </c>
      <c r="M52" s="185" t="str">
        <f>IF(Tim!M54=FIT!$E$1,Tim!M54,"")</f>
        <v/>
      </c>
      <c r="N52" s="185" t="str">
        <f>IF(Tim!N55=FIT!$E$1,Tim!N55,"")</f>
        <v/>
      </c>
      <c r="O52" s="185" t="str">
        <f>IF(Tim!O54=FIT!$E$1,Tim!O54,"")</f>
        <v/>
      </c>
      <c r="P52" s="185" t="str">
        <f>IF(Tim!P54=FIT!$E$1,Tim!P54,"")</f>
        <v/>
      </c>
      <c r="Q52" s="185" t="str">
        <f>IF(Tim!Q54=FIT!$E$1,Tim!Q54,"")</f>
        <v/>
      </c>
      <c r="R52" s="185" t="str">
        <f>IF(Tim!R54=FIT!$E$1,Tim!R54,"")</f>
        <v/>
      </c>
      <c r="S52" s="185" t="str">
        <f>IF(Tim!S54=FIT!$E$1,Tim!S54,"")</f>
        <v/>
      </c>
      <c r="T52" s="185" t="str">
        <f>IF(Tim!T54=FIT!$E$1,Tim!T54,"")</f>
        <v/>
      </c>
      <c r="U52" s="185" t="str">
        <f>IF(Tim!U54=FIT!$E$1,Tim!U54,"")</f>
        <v/>
      </c>
      <c r="V52" s="185" t="str">
        <f>IF(Tim!W54=FIT!$E$1,Tim!W54,"")</f>
        <v/>
      </c>
      <c r="W52" s="185" t="str">
        <f>IF(Tim!X54=FIT!$E$1,Tim!X54,"")</f>
        <v/>
      </c>
      <c r="X52" s="185" t="str">
        <f>IF(Tim!Y54=FIT!$E$1,Tim!Y54,"")</f>
        <v/>
      </c>
      <c r="Y52" s="185" t="str">
        <f>IF(Tim!Z54=FIT!$E$1,Tim!Z54,"")</f>
        <v/>
      </c>
      <c r="Z52" s="185" t="str">
        <f>IF(Tim!AA54=FIT!$E$1,Tim!AA54,"")</f>
        <v/>
      </c>
      <c r="AA52" s="185" t="str">
        <f>IF(Tim!AB54=FIT!$E$1,Tim!AB54,"")</f>
        <v/>
      </c>
      <c r="AB52" s="185" t="str">
        <f>IF(Tim!AC54=FIT!$E$1,Tim!AC54,"")</f>
        <v/>
      </c>
      <c r="AC52" s="185" t="str">
        <f>IF(Tim!AD54=FIT!$E$1,Tim!AD54,"")</f>
        <v/>
      </c>
      <c r="AD52" s="185" t="str">
        <f>IF(Tim!AE54=FIT!$E$1,Tim!AE54,"")</f>
        <v/>
      </c>
      <c r="AE52" s="185" t="str">
        <f>IF(Tim!AF54=FIT!$E$1,Tim!AF54,"")</f>
        <v/>
      </c>
      <c r="AF52" s="185" t="str">
        <f>IF(Tim!AG54=FIT!$E$1,Tim!AG54,"")</f>
        <v/>
      </c>
      <c r="AG52" s="185" t="str">
        <f>IF(Tim!AH54=FIT!$E$1,Tim!AH54,"")</f>
        <v/>
      </c>
      <c r="AH52" s="185" t="str">
        <f>IF(Tim!AI54=FIT!$E$1,Tim!AI54,"")</f>
        <v/>
      </c>
      <c r="AI52" s="185" t="str">
        <f>IF(Tim!AJ54=FIT!$E$1,Tim!AJ54,"")</f>
        <v/>
      </c>
      <c r="AJ52" s="185" t="str">
        <f>IF(Tim!AK54=FIT!$E$1,Tim!AK54,"")</f>
        <v/>
      </c>
      <c r="AK52" s="185" t="str">
        <f>IF(Tim!AL54=FIT!$E$1,Tim!AL54,"")</f>
        <v/>
      </c>
      <c r="AL52" s="185" t="str">
        <f>IF(Tim!AM54=FIT!$E$1,Tim!AM54,"")</f>
        <v/>
      </c>
      <c r="AM52" s="185" t="str">
        <f>IF(Tim!AN54=FIT!$E$1,Tim!AN54,"")</f>
        <v/>
      </c>
      <c r="AN52" s="185" t="str">
        <f>IF(Tim!AO54=FIT!$E$1,Tim!AO54,"")</f>
        <v/>
      </c>
      <c r="AO52" s="185" t="str">
        <f>IF(Tim!AP54=FIT!$E$1,Tim!AP54,"")</f>
        <v/>
      </c>
      <c r="AP52" s="185" t="str">
        <f>IF(Tim!AQ54=FIT!$E$1,Tim!AQ54,"")</f>
        <v/>
      </c>
      <c r="AQ52" s="185" t="str">
        <f>IF(Tim!AR54=FIT!$E$1,Tim!AR54,"")</f>
        <v/>
      </c>
      <c r="AR52" s="185" t="str">
        <f>IF(Tim!AS54=FIT!$E$1,Tim!AS54,"")</f>
        <v/>
      </c>
      <c r="AS52" s="185" t="str">
        <f>IF(Tim!AT54=FIT!$E$1,Tim!AT54,"")</f>
        <v/>
      </c>
      <c r="AT52" s="185" t="str">
        <f>IF(Tim!AU54=FIT!$E$1,Tim!AU54,"")</f>
        <v/>
      </c>
      <c r="AU52" s="185" t="str">
        <f>IF(Tim!AV54=FIT!$E$1,Tim!AV54,"")</f>
        <v/>
      </c>
      <c r="AV52" s="185" t="str">
        <f>IF(Tim!AW54=FIT!$E$1,Tim!AW54,"")</f>
        <v/>
      </c>
      <c r="AW52" s="186" t="str">
        <f>IF(Tim!AX54=FIT!$E$1,Tim!AX54,"")</f>
        <v/>
      </c>
      <c r="AX52" s="243" t="str">
        <f>IF(Tim!AY54=FIT!$E$1,Tim!AY54,"")</f>
        <v/>
      </c>
      <c r="AY52" s="185" t="str">
        <f>IF(Tim!AZ54=FIT!$E$1,Tim!AZ54,"")</f>
        <v/>
      </c>
      <c r="AZ52" s="185" t="str">
        <f>IF(Tim!BA54=FIT!$E$1,Tim!BA54,"")</f>
        <v/>
      </c>
      <c r="BA52" s="185" t="str">
        <f>IF(Tim!BB54=FIT!$E$1,Tim!BB54,"")</f>
        <v/>
      </c>
      <c r="BB52" s="185" t="str">
        <f>IF(Tim!BC54=FIT!$E$1,Tim!BC54,"")</f>
        <v/>
      </c>
      <c r="BC52" s="185" t="str">
        <f>IF(Tim!BD54=FIT!$E$1,Tim!BD54,"")</f>
        <v/>
      </c>
      <c r="BD52" s="185" t="str">
        <f>IF(Tim!BE54=FIT!$E$1,Tim!BE54,"")</f>
        <v/>
      </c>
      <c r="BE52" s="185" t="str">
        <f>IF(Tim!BF54=FIT!$E$1,Tim!BF54,"")</f>
        <v/>
      </c>
      <c r="BF52" s="185" t="str">
        <f>IF(Tim!BG54=FIT!$E$1,Tim!BG54,"")</f>
        <v/>
      </c>
      <c r="BG52" s="185" t="str">
        <f>IF(Tim!BH54=FIT!$E$1,Tim!BH54,"")</f>
        <v/>
      </c>
      <c r="BH52" s="185" t="str">
        <f>IF(Tim!BI54=FIT!$E$1,Tim!BI54,"")</f>
        <v/>
      </c>
      <c r="BI52" s="185" t="str">
        <f>IF(Tim!BJ54=FIT!$E$1,Tim!BJ54,"")</f>
        <v/>
      </c>
      <c r="BJ52" s="185" t="str">
        <f>IF(Tim!BK54=FIT!$E$1,Tim!BK54,"")</f>
        <v/>
      </c>
      <c r="BK52" s="185" t="str">
        <f>IF(Tim!BL54=FIT!$E$1,Tim!BL54,"")</f>
        <v/>
      </c>
      <c r="BL52" s="185" t="str">
        <f>IF(Tim!BM54=FIT!$E$1,Tim!BM54,"")</f>
        <v/>
      </c>
      <c r="BM52" s="185" t="str">
        <f>IF(Tim!BN54=FIT!$E$1,Tim!BN54,"")</f>
        <v/>
      </c>
      <c r="BN52" s="185" t="str">
        <f>IF(Tim!BO54=FIT!$E$1,Tim!BO54,"")</f>
        <v/>
      </c>
      <c r="BO52" s="185" t="str">
        <f>IF(Tim!BP54=FIT!$E$1,Tim!BP54,"")</f>
        <v/>
      </c>
      <c r="BP52" s="185" t="str">
        <f>IF(Tim!BQ54=FIT!$E$1,Tim!BQ54,"")</f>
        <v/>
      </c>
      <c r="BQ52" s="185" t="str">
        <f>IF(Tim!BR54=FIT!$E$1,Tim!BR54,"")</f>
        <v/>
      </c>
      <c r="BR52" s="185" t="str">
        <f>IF(Tim!BS54=FIT!$E$1,Tim!BS54,"")</f>
        <v/>
      </c>
      <c r="BS52" s="185" t="str">
        <f>IF(Tim!BT54=FIT!$E$1,Tim!BT54,"")</f>
        <v/>
      </c>
      <c r="BT52" s="185" t="str">
        <f>IF(Tim!BU54=FIT!$E$1,Tim!BU54,"")</f>
        <v/>
      </c>
      <c r="BU52" s="185" t="str">
        <f>IF(Tim!BV54=FIT!$E$1,Tim!BV54,"")</f>
        <v/>
      </c>
      <c r="BV52" s="185" t="str">
        <f>IF(Tim!BW54=FIT!$E$1,Tim!BW54,"")</f>
        <v/>
      </c>
      <c r="BW52" s="185" t="str">
        <f>IF(Tim!BX54=FIT!$E$1,Tim!BX54,"")</f>
        <v/>
      </c>
      <c r="BX52" s="185" t="str">
        <f>IF(Tim!BY54=FIT!$E$1,Tim!BY54,"")</f>
        <v/>
      </c>
      <c r="BY52" s="185" t="str">
        <f>IF(Tim!BZ54=FIT!$E$1,Tim!BZ54,"")</f>
        <v/>
      </c>
      <c r="BZ52" s="185" t="str">
        <f>IF(Tim!CA54=FIT!$E$1,Tim!CA54,"")</f>
        <v/>
      </c>
      <c r="CA52" s="185" t="str">
        <f>IF(Tim!CB54=FIT!$E$1,Tim!CB54,"")</f>
        <v/>
      </c>
      <c r="CB52" s="185" t="str">
        <f>IF(Tim!CC54=FIT!$E$1,Tim!CC54,"")</f>
        <v/>
      </c>
      <c r="CC52" s="185" t="str">
        <f>IF(Tim!CD54=FIT!$E$1,Tim!CD54,"")</f>
        <v/>
      </c>
      <c r="CD52" s="185" t="str">
        <f>IF(Tim!CE54=FIT!$E$1,Tim!CE54,"")</f>
        <v/>
      </c>
      <c r="CE52" s="185" t="str">
        <f>IF(Tim!CF54=FIT!$E$1,Tim!CF54,"")</f>
        <v/>
      </c>
      <c r="CF52" s="185" t="str">
        <f>IF(Tim!CG54=FIT!$E$1,Tim!CG54,"")</f>
        <v/>
      </c>
      <c r="CG52" s="185" t="str">
        <f>IF(Tim!CH54=FIT!$E$1,Tim!CH54,"")</f>
        <v/>
      </c>
      <c r="CH52" s="185" t="str">
        <f>IF(Tim!CI54=FIT!$E$1,Tim!CI54,"")</f>
        <v/>
      </c>
      <c r="CI52" s="185" t="str">
        <f>IF(Tim!CJ54=FIT!$E$1,Tim!CJ54,"")</f>
        <v/>
      </c>
      <c r="CJ52" s="185" t="str">
        <f>IF(Tim!CK54=FIT!$E$1,Tim!CK54,"")</f>
        <v/>
      </c>
      <c r="CK52" s="185" t="str">
        <f>IF(Tim!CL54=FIT!$E$1,Tim!CL54,"")</f>
        <v/>
      </c>
      <c r="CL52" s="185" t="str">
        <f>IF(Tim!CM54=FIT!$E$1,Tim!CM54,"")</f>
        <v/>
      </c>
      <c r="CM52" s="185" t="str">
        <f>IF(Tim!CN54=FIT!$E$1,Tim!CN54,"")</f>
        <v/>
      </c>
      <c r="CN52" s="185" t="str">
        <f>IF(Tim!CO54=FIT!$E$1,Tim!CO54,"")</f>
        <v/>
      </c>
      <c r="CO52" s="185" t="str">
        <f>IF(Tim!CP54=FIT!$E$1,Tim!CP54,"")</f>
        <v/>
      </c>
      <c r="CP52" s="185" t="str">
        <f>IF(Tim!CQ54=FIT!$E$1,Tim!CQ54,"")</f>
        <v/>
      </c>
      <c r="CQ52" s="185" t="str">
        <f>IF(Tim!CR54=FIT!$E$1,Tim!CR54,"")</f>
        <v/>
      </c>
      <c r="CR52" s="185" t="str">
        <f>IF(Tim!CS54=FIT!$E$1,Tim!CS54,"")</f>
        <v/>
      </c>
      <c r="CS52" s="185" t="str">
        <f>IF(Tim!CT54=FIT!$E$1,Tim!CT54,"")</f>
        <v/>
      </c>
      <c r="CT52" s="185" t="str">
        <f>IF(Tim!CU54=FIT!$E$1,Tim!CU54,"")</f>
        <v/>
      </c>
      <c r="CU52" s="185" t="str">
        <f>IF(Tim!CV54=FIT!$E$1,Tim!CV54,"")</f>
        <v/>
      </c>
      <c r="CV52" s="185" t="str">
        <f>IF(Tim!CW54=FIT!$E$1,Tim!CW54,"")</f>
        <v/>
      </c>
      <c r="CW52" s="185" t="str">
        <f>IF(Tim!CX54=FIT!$E$1,Tim!CX54,"")</f>
        <v/>
      </c>
      <c r="CX52" s="185" t="str">
        <f>IF(Tim!CY54=FIT!$E$1,Tim!CY54,"")</f>
        <v/>
      </c>
      <c r="CY52" s="185" t="str">
        <f>IF(Tim!CZ54=FIT!$E$1,Tim!CZ54,"")</f>
        <v/>
      </c>
      <c r="CZ52" s="185" t="str">
        <f>IF(Tim!DA54=FIT!$E$1,Tim!DA54,"")</f>
        <v/>
      </c>
      <c r="DA52" s="185" t="str">
        <f>IF(Tim!DB54=FIT!$E$1,Tim!DB54,"")</f>
        <v/>
      </c>
      <c r="DB52" s="185" t="str">
        <f>IF(Tim!DC54=FIT!$E$1,Tim!DC54,"")</f>
        <v/>
      </c>
      <c r="DC52" s="185" t="str">
        <f>IF(Tim!DD54=FIT!$E$1,Tim!DD54,"")</f>
        <v/>
      </c>
      <c r="DD52" s="185" t="str">
        <f>IF(Tim!DE54=FIT!$E$1,Tim!DE54,"")</f>
        <v/>
      </c>
      <c r="DE52" s="185" t="str">
        <f>IF(Tim!DF54=FIT!$E$1,Tim!DF54,"")</f>
        <v/>
      </c>
      <c r="DF52" s="185" t="str">
        <f>IF(Tim!DG54=FIT!$E$1,Tim!DG54,"")</f>
        <v/>
      </c>
      <c r="DG52" s="185" t="str">
        <f>IF(Tim!DH54=FIT!$E$1,Tim!DH54,"")</f>
        <v/>
      </c>
      <c r="DH52" s="185" t="str">
        <f>IF(Tim!DI54=FIT!$E$1,Tim!DI54,"")</f>
        <v/>
      </c>
      <c r="DI52" s="185" t="str">
        <f>IF(Tim!DM54=FIT!$E$1,Tim!DM54,"")</f>
        <v/>
      </c>
      <c r="DJ52" s="185" t="str">
        <f>IF(Tim!DN54=FIT!$E$1,Tim!DN54,"")</f>
        <v/>
      </c>
      <c r="DK52" s="185" t="str">
        <f>IF(Tim!DO54=FIT!$E$1,Tim!DO54,"")</f>
        <v/>
      </c>
      <c r="DL52" s="185" t="str">
        <f>IF(Tim!DP54=FIT!$E$1,Tim!DP54,"")</f>
        <v/>
      </c>
      <c r="DM52" s="185" t="str">
        <f>IF(Tim!DQ54=FIT!$E$1,Tim!DQ54,"")</f>
        <v/>
      </c>
      <c r="DN52" s="185" t="str">
        <f>IF(Tim!DR54=FIT!$E$1,Tim!DR54,"")</f>
        <v/>
      </c>
      <c r="DO52" s="185" t="str">
        <f>IF(Tim!DS54=FIT!$E$1,Tim!DS54,"")</f>
        <v/>
      </c>
      <c r="DP52" s="185" t="str">
        <f>IF(Tim!DT54=FIT!$E$1,Tim!DT54,"")</f>
        <v/>
      </c>
      <c r="DQ52" s="185" t="str">
        <f>IF(Tim!DU54=FIT!$E$1,Tim!DU54,"")</f>
        <v/>
      </c>
      <c r="DR52" s="185" t="str">
        <f>IF(Tim!DV54=FIT!$E$1,Tim!DV54,"")</f>
        <v/>
      </c>
      <c r="DS52" s="185" t="str">
        <f>IF(Tim!DW54=FIT!$E$1,Tim!DW54,"")</f>
        <v/>
      </c>
      <c r="DT52" s="185" t="str">
        <f>IF(Tim!DX54=FIT!$E$1,Tim!DX54,"")</f>
        <v/>
      </c>
      <c r="DU52" s="185" t="str">
        <f>IF(Tim!DY54=FIT!$E$1,Tim!DY54,"")</f>
        <v/>
      </c>
      <c r="DV52" s="185" t="str">
        <f>IF(Tim!DZ54=FIT!$E$1,Tim!DZ54,"")</f>
        <v/>
      </c>
      <c r="DW52" s="185" t="str">
        <f>IF(Tim!EA54=FIT!$E$1,Tim!EA54,"")</f>
        <v/>
      </c>
      <c r="DX52" s="185" t="str">
        <f>IF(Tim!EB54=FIT!$E$1,Tim!EB54,"")</f>
        <v/>
      </c>
      <c r="DY52" s="185" t="str">
        <f>IF(Tim!EC54=FIT!$E$1,Tim!EC54,"")</f>
        <v/>
      </c>
      <c r="DZ52" s="185" t="str">
        <f>IF(Tim!ED54=FIT!$E$1,Tim!ED54,"")</f>
        <v/>
      </c>
      <c r="EA52" s="185" t="str">
        <f>IF(Tim!EE54=FIT!$E$1,Tim!EE54,"")</f>
        <v/>
      </c>
      <c r="EB52" s="185" t="str">
        <f>IF(Tim!EF54=FIT!$E$1,Tim!EF54,"")</f>
        <v/>
      </c>
      <c r="EC52" s="185" t="str">
        <f>IF(Tim!EG54=FIT!$E$1,Tim!EG54,"")</f>
        <v/>
      </c>
      <c r="ED52" s="185" t="str">
        <f>IF(Tim!EH54=FIT!$E$1,Tim!EH54,"")</f>
        <v/>
      </c>
      <c r="EE52" s="185" t="str">
        <f>IF(Tim!EI54=FIT!$E$1,Tim!EI54,"")</f>
        <v/>
      </c>
      <c r="EF52" s="185" t="str">
        <f>IF(Tim!EJ54=FIT!$E$1,Tim!EJ54,"")</f>
        <v/>
      </c>
      <c r="EG52" s="185" t="str">
        <f>IF(Tim!EK54=FIT!$E$1,Tim!EK54,"")</f>
        <v/>
      </c>
      <c r="EH52" s="185" t="str">
        <f>IF(Tim!EL54=FIT!$E$1,Tim!EL54,"")</f>
        <v/>
      </c>
      <c r="EI52" s="185" t="str">
        <f>IF(Tim!EM54=FIT!$E$1,Tim!EM54,"")</f>
        <v/>
      </c>
      <c r="EJ52" s="185" t="str">
        <f>IF(Tim!EN54=FIT!$E$1,Tim!EN54,"")</f>
        <v/>
      </c>
      <c r="EK52" s="185" t="str">
        <f>IF(Tim!EO54=FIT!$E$1,Tim!EO54,"")</f>
        <v/>
      </c>
      <c r="EL52" s="185" t="str">
        <f>IF(Tim!EP54=FIT!$E$1,Tim!EP54,"")</f>
        <v/>
      </c>
      <c r="EM52" s="185" t="str">
        <f>IF(Tim!EQ54=FIT!$E$1,Tim!EQ54,"")</f>
        <v/>
      </c>
      <c r="EN52" s="185" t="str">
        <f>IF(Tim!ER54=FIT!$E$1,Tim!ER54,"")</f>
        <v/>
      </c>
      <c r="EO52" s="185" t="str">
        <f>IF(Tim!ES54=FIT!$E$1,Tim!ES54,"")</f>
        <v/>
      </c>
      <c r="EP52" s="185" t="str">
        <f>IF(Tim!ET54=FIT!$E$1,Tim!ET54,"")</f>
        <v/>
      </c>
      <c r="EQ52" s="185" t="str">
        <f>IF(Tim!EU54=FIT!$E$1,Tim!EU54,"")</f>
        <v/>
      </c>
      <c r="ER52" s="185" t="str">
        <f>IF(Tim!EV54=FIT!$E$1,Tim!EV54,"")</f>
        <v/>
      </c>
      <c r="ES52" s="185" t="str">
        <f>IF(Tim!EW54=FIT!$E$1,Tim!EW54,"")</f>
        <v/>
      </c>
      <c r="ET52" s="185" t="str">
        <f>IF(Tim!EX54=FIT!$E$1,Tim!EX54,"")</f>
        <v/>
      </c>
      <c r="EU52" s="185" t="str">
        <f>IF(Tim!EY54=FIT!$E$1,Tim!EY54,"")</f>
        <v/>
      </c>
      <c r="EV52" s="185" t="str">
        <f>IF(Tim!EZ54=FIT!$E$1,Tim!EZ54,"")</f>
        <v/>
      </c>
      <c r="EW52" s="185" t="str">
        <f>IF(Tim!FA54=FIT!$E$1,Tim!FA54,"")</f>
        <v/>
      </c>
      <c r="EX52" s="185" t="str">
        <f>IF(Tim!FB54=FIT!$E$1,Tim!FB54,"")</f>
        <v/>
      </c>
      <c r="EY52" s="185" t="str">
        <f>IF(Tim!FC54=FIT!$E$1,Tim!FC54,"")</f>
        <v/>
      </c>
      <c r="EZ52" s="185" t="str">
        <f>IF(Tim!FD54=FIT!$E$1,Tim!FD54,"")</f>
        <v/>
      </c>
      <c r="FA52" s="185" t="str">
        <f>IF(Tim!FE54=FIT!$E$1,Tim!FE54,"")</f>
        <v/>
      </c>
      <c r="FB52" s="185" t="str">
        <f>IF(Tim!FF54=FIT!$E$1,Tim!FF54,"")</f>
        <v/>
      </c>
      <c r="FC52" s="185" t="str">
        <f>IF(Tim!FG54=FIT!$E$1,Tim!FG54,"")</f>
        <v/>
      </c>
      <c r="FD52" s="185" t="str">
        <f>IF(Tim!FH54=FIT!$E$1,Tim!FH54,"")</f>
        <v/>
      </c>
      <c r="FE52" s="185" t="str">
        <f>IF(Tim!FI54=FIT!$E$1,Tim!FI54,"")</f>
        <v/>
      </c>
      <c r="FF52" s="185" t="str">
        <f>IF(Tim!FJ54=FIT!$E$1,Tim!FJ54,"")</f>
        <v/>
      </c>
      <c r="FG52" s="185" t="str">
        <f>IF(Tim!FK54=FIT!$E$1,Tim!FK54,"")</f>
        <v/>
      </c>
      <c r="FH52" s="185" t="str">
        <f>IF(Tim!FL54=FIT!$E$1,Tim!FL54,"")</f>
        <v/>
      </c>
      <c r="FI52" s="185" t="str">
        <f>IF(Tim!FM54=FIT!$E$1,Tim!FM54,"")</f>
        <v/>
      </c>
      <c r="FJ52" s="185" t="str">
        <f>IF(Tim!FN54=FIT!$E$1,Tim!FN54,"")</f>
        <v/>
      </c>
      <c r="FK52" s="185" t="str">
        <f>IF(Tim!FO54=FIT!$E$1,Tim!FO54,"")</f>
        <v/>
      </c>
      <c r="FL52" s="185" t="str">
        <f>IF(Tim!FP54=FIT!$E$1,Tim!FP54,"")</f>
        <v/>
      </c>
      <c r="FM52" s="185" t="str">
        <f>IF(Tim!FQ54=FIT!$E$1,Tim!FQ54,"")</f>
        <v/>
      </c>
      <c r="FN52" s="185" t="str">
        <f>IF(Tim!FR54=FIT!$E$1,Tim!FR54,"")</f>
        <v/>
      </c>
      <c r="FO52" s="185" t="str">
        <f>IF(Tim!FS54=FIT!$E$1,Tim!FS54,"")</f>
        <v/>
      </c>
      <c r="FP52" s="185" t="str">
        <f>IF(Tim!FT54=FIT!$E$1,Tim!FT54,"")</f>
        <v/>
      </c>
      <c r="FQ52" s="185" t="str">
        <f>IF(Tim!FU54=FIT!$E$1,Tim!FU54,"")</f>
        <v/>
      </c>
      <c r="FR52" s="185" t="str">
        <f>IF(Tim!FV54=FIT!$E$1,Tim!FV54,"")</f>
        <v/>
      </c>
      <c r="FS52" s="185" t="str">
        <f>IF(Tim!FW54=FIT!$E$1,Tim!FW54,"")</f>
        <v/>
      </c>
      <c r="FT52" s="185" t="str">
        <f>IF(Tim!FX54=FIT!$E$1,Tim!FX54,"")</f>
        <v/>
      </c>
      <c r="FU52" s="185" t="str">
        <f>IF(Tim!FY54=FIT!$E$1,Tim!FY54,"")</f>
        <v/>
      </c>
      <c r="FV52" s="185" t="str">
        <f>IF(Tim!FZ54=FIT!$E$1,Tim!FZ54,"")</f>
        <v/>
      </c>
      <c r="FW52" s="185" t="str">
        <f>IF(Tim!GA54=FIT!$E$1,Tim!GA54,"")</f>
        <v/>
      </c>
      <c r="FX52" s="185" t="str">
        <f>IF(Tim!GB54=FIT!$E$1,Tim!GB54,"")</f>
        <v/>
      </c>
      <c r="FY52" s="185" t="str">
        <f>IF(Tim!GC54=FIT!$E$1,Tim!GC54,"")</f>
        <v/>
      </c>
      <c r="FZ52" s="185" t="str">
        <f>IF(Tim!GD54=FIT!$E$1,Tim!GD54,"")</f>
        <v/>
      </c>
      <c r="GA52" s="185" t="str">
        <f>IF(Tim!GE54=FIT!$E$1,Tim!GE54,"")</f>
        <v/>
      </c>
      <c r="GB52" s="185" t="str">
        <f>IF(Tim!GF54=FIT!$E$1,Tim!GF54,"")</f>
        <v/>
      </c>
      <c r="GC52" s="185" t="str">
        <f>IF(Tim!GG54=FIT!$E$1,Tim!GG54,"")</f>
        <v/>
      </c>
      <c r="GD52" s="185" t="str">
        <f>IF(Tim!GH54=FIT!$E$1,Tim!GH54,"")</f>
        <v/>
      </c>
      <c r="GE52" s="185" t="str">
        <f>IF(Tim!GI54=FIT!$E$1,Tim!GI54,"")</f>
        <v/>
      </c>
      <c r="GF52" s="185" t="str">
        <f>IF(Tim!GJ54=FIT!$E$1,Tim!GJ54,"")</f>
        <v/>
      </c>
      <c r="GG52" s="185" t="str">
        <f>IF(Tim!GK54=FIT!$E$1,Tim!GK54,"")</f>
        <v/>
      </c>
      <c r="GH52" s="185" t="str">
        <f>IF(Tim!GL54=FIT!$E$1,Tim!GL54,"")</f>
        <v/>
      </c>
      <c r="GI52" s="185" t="str">
        <f>IF(Tim!GM54=FIT!$E$1,Tim!GM54,"")</f>
        <v/>
      </c>
      <c r="GJ52" s="185" t="str">
        <f>IF(Tim!GN54=FIT!$E$1,Tim!GN54,"")</f>
        <v/>
      </c>
      <c r="GK52" s="185" t="str">
        <f>IF(Tim!GO54=FIT!$E$1,Tim!GO54,"")</f>
        <v/>
      </c>
      <c r="GL52" s="185" t="str">
        <f>IF(Tim!GP54=FIT!$E$1,Tim!GP54,"")</f>
        <v/>
      </c>
      <c r="GM52" s="185" t="str">
        <f>IF(Tim!GQ54=FIT!$E$1,Tim!GQ54,"")</f>
        <v/>
      </c>
      <c r="GN52" s="185" t="str">
        <f>IF(Tim!GR54=FIT!$E$1,Tim!GR54,"")</f>
        <v/>
      </c>
      <c r="GO52" s="185" t="str">
        <f>IF(Tim!GS54=FIT!$E$1,Tim!GS54,"")</f>
        <v/>
      </c>
      <c r="GP52" s="185" t="str">
        <f>IF(Tim!GT54=FIT!$E$1,Tim!GT54,"")</f>
        <v/>
      </c>
      <c r="GQ52" s="185" t="str">
        <f>IF(Tim!GU54=FIT!$E$1,Tim!GU54,"")</f>
        <v/>
      </c>
      <c r="GR52" s="185" t="str">
        <f>IF(Tim!GV54=FIT!$E$1,Tim!GV54,"")</f>
        <v/>
      </c>
      <c r="GS52" s="185" t="str">
        <f>IF(Tim!GW54=FIT!$E$1,Tim!GW54,"")</f>
        <v/>
      </c>
      <c r="GT52" s="185" t="str">
        <f>IF(Tim!GX54=FIT!$E$1,Tim!GX54,"")</f>
        <v/>
      </c>
      <c r="GU52" s="185" t="str">
        <f>IF(Tim!GY54=FIT!$E$1,Tim!GY54,"")</f>
        <v/>
      </c>
      <c r="GV52" s="185" t="str">
        <f>IF(Tim!GZ54=FIT!$E$1,Tim!GZ54,"")</f>
        <v/>
      </c>
      <c r="GW52" s="185" t="str">
        <f>IF(Tim!HA54=FIT!$E$1,Tim!HA54,"")</f>
        <v/>
      </c>
      <c r="GX52" s="185" t="str">
        <f>IF(Tim!HB54=FIT!$E$1,Tim!HB54,"")</f>
        <v/>
      </c>
      <c r="GY52" s="185" t="str">
        <f>IF(Tim!HC54=FIT!$E$1,Tim!HC54,"")</f>
        <v/>
      </c>
      <c r="GZ52" s="185" t="str">
        <f>IF(Tim!HD54=FIT!$E$1,Tim!HD54,"")</f>
        <v/>
      </c>
      <c r="HA52" s="185" t="str">
        <f>IF(Tim!HE54=FIT!$E$1,Tim!HE54,"")</f>
        <v/>
      </c>
      <c r="HB52" s="185" t="str">
        <f>IF(Tim!HF54=FIT!$E$1,Tim!HF54,"")</f>
        <v/>
      </c>
      <c r="HC52" s="185" t="str">
        <f>IF(Tim!HG54=FIT!$E$1,Tim!HG54,"")</f>
        <v/>
      </c>
      <c r="HD52" s="185" t="str">
        <f>IF(Tim!HH54=FIT!$E$1,Tim!HH54,"")</f>
        <v/>
      </c>
      <c r="HE52" s="185" t="str">
        <f>IF(Tim!HI54=FIT!$E$1,Tim!HI54,"")</f>
        <v/>
      </c>
      <c r="HF52" s="185" t="str">
        <f>IF(Tim!HJ54=FIT!$E$1,Tim!HJ54,"")</f>
        <v/>
      </c>
      <c r="HG52" s="185" t="str">
        <f>IF(Tim!HK54=FIT!$E$1,Tim!HK54,"")</f>
        <v/>
      </c>
      <c r="HH52" s="185" t="str">
        <f>IF(Tim!HL54=FIT!$E$1,Tim!HL54,"")</f>
        <v/>
      </c>
      <c r="HI52" s="185" t="str">
        <f>IF(Tim!HM54=FIT!$E$1,Tim!HM54,"")</f>
        <v/>
      </c>
      <c r="HJ52" s="185" t="str">
        <f>IF(Tim!HN54=FIT!$E$1,Tim!HN54,"")</f>
        <v/>
      </c>
      <c r="HK52" s="185" t="str">
        <f>IF(Tim!HO54=FIT!$E$1,Tim!HO54,"")</f>
        <v/>
      </c>
      <c r="HL52" s="185" t="str">
        <f>IF(Tim!HP54=FIT!$E$1,Tim!HP54,"")</f>
        <v/>
      </c>
      <c r="HM52" s="185" t="str">
        <f>IF(Tim!HQ54=FIT!$E$1,Tim!HQ54,"")</f>
        <v/>
      </c>
      <c r="HN52" s="185" t="str">
        <f>IF(Tim!HR54=FIT!$E$1,Tim!HR54,"")</f>
        <v/>
      </c>
      <c r="HO52" s="185" t="str">
        <f>IF(Tim!HS54=FIT!$E$1,Tim!HS54,"")</f>
        <v/>
      </c>
      <c r="HP52" s="185" t="str">
        <f>IF(Tim!HT54=FIT!$E$1,Tim!HT54,"")</f>
        <v/>
      </c>
      <c r="HQ52" s="185" t="str">
        <f>IF(Tim!HU54=FIT!$E$1,Tim!HU54,"")</f>
        <v/>
      </c>
      <c r="HR52" s="185" t="str">
        <f>IF(Tim!HV54=FIT!$E$1,Tim!HV54,"")</f>
        <v/>
      </c>
      <c r="HS52" s="185" t="str">
        <f>IF(Tim!HW54=FIT!$E$1,Tim!HW54,"")</f>
        <v/>
      </c>
      <c r="HT52" s="185" t="str">
        <f>IF(Tim!HX54=FIT!$E$1,Tim!HX54,"")</f>
        <v/>
      </c>
      <c r="HU52" s="185" t="str">
        <f>IF(Tim!HY54=FIT!$E$1,Tim!HY54,"")</f>
        <v/>
      </c>
      <c r="HV52" s="185" t="str">
        <f>IF(Tim!HZ54=FIT!$E$1,Tim!HZ54,"")</f>
        <v/>
      </c>
      <c r="HW52" s="185" t="str">
        <f>IF(Tim!IA54=FIT!$E$1,Tim!IA54,"")</f>
        <v/>
      </c>
      <c r="HX52" s="185" t="str">
        <f>IF(Tim!IB54=FIT!$E$1,Tim!IB54,"")</f>
        <v/>
      </c>
      <c r="HY52" s="185" t="str">
        <f>IF(Tim!IC54=FIT!$E$1,Tim!IC54,"")</f>
        <v/>
      </c>
      <c r="HZ52" s="185" t="str">
        <f>IF(Tim!ID54=FIT!$E$1,Tim!ID54,"")</f>
        <v/>
      </c>
      <c r="IA52" s="185" t="str">
        <f>IF(Tim!IE54=FIT!$E$1,Tim!IE54,"")</f>
        <v/>
      </c>
      <c r="IB52" s="185" t="str">
        <f>IF(Tim!IF54=FIT!$E$1,Tim!IF54,"")</f>
        <v/>
      </c>
      <c r="IC52" s="185" t="str">
        <f>IF(Tim!IG54=FIT!$E$1,Tim!IG54,"")</f>
        <v/>
      </c>
      <c r="ID52" s="185" t="str">
        <f>IF(Tim!IH54=FIT!$E$1,Tim!IH54,"")</f>
        <v/>
      </c>
      <c r="IE52" s="185" t="str">
        <f>IF(Tim!II54=FIT!$E$1,Tim!II54,"")</f>
        <v/>
      </c>
      <c r="IF52" s="185" t="str">
        <f>IF(Tim!IJ54=FIT!$E$1,Tim!IJ54,"")</f>
        <v/>
      </c>
      <c r="IG52" s="185" t="str">
        <f>IF(Tim!IK54=FIT!$E$1,Tim!IK54,"")</f>
        <v/>
      </c>
      <c r="IH52" s="185" t="str">
        <f>IF(Tim!IL54=FIT!$E$1,Tim!IL54,"")</f>
        <v/>
      </c>
      <c r="II52" s="185" t="str">
        <f>IF(Tim!IM54=FIT!$E$1,Tim!IM54,"")</f>
        <v/>
      </c>
      <c r="IJ52" s="185" t="str">
        <f>IF(Tim!IN54=FIT!$E$1,Tim!IN54,"")</f>
        <v/>
      </c>
      <c r="IK52" s="185" t="str">
        <f>IF(Tim!IO54=FIT!$E$1,Tim!IO54,"")</f>
        <v/>
      </c>
      <c r="IL52" s="185" t="str">
        <f>IF(Tim!IP54=FIT!$E$1,Tim!IP54,"")</f>
        <v/>
      </c>
      <c r="IM52" s="185" t="str">
        <f>IF(Tim!IQ54=FIT!$E$1,Tim!IQ54,"")</f>
        <v/>
      </c>
      <c r="IN52" s="185" t="str">
        <f>IF(Tim!IR54=FIT!$E$1,Tim!IR54,"")</f>
        <v/>
      </c>
      <c r="IO52" s="185" t="str">
        <f>IF(Tim!IS54=FIT!$E$1,Tim!IS54,"")</f>
        <v/>
      </c>
      <c r="IP52" s="185" t="str">
        <f>IF(Tim!IT54=FIT!$E$1,Tim!IT54,"")</f>
        <v/>
      </c>
      <c r="IQ52" s="185" t="str">
        <f>IF(Tim!IU54=FIT!$E$1,Tim!IU54,"")</f>
        <v/>
      </c>
      <c r="IR52" s="185" t="str">
        <f>IF(Tim!IV54=FIT!$E$1,Tim!IV54,"")</f>
        <v/>
      </c>
      <c r="IS52" s="185" t="str">
        <f>IF(Tim!IW54=FIT!$E$1,Tim!IW54,"")</f>
        <v/>
      </c>
      <c r="IT52" s="185" t="str">
        <f>IF(Tim!IX54=FIT!$E$1,Tim!IX54,"")</f>
        <v/>
      </c>
      <c r="IU52" s="185" t="str">
        <f>IF(Tim!IY54=FIT!$E$1,Tim!IY54,"")</f>
        <v/>
      </c>
      <c r="IV52" s="185" t="str">
        <f>IF(Tim!IZ54=FIT!$E$1,Tim!IZ54,"")</f>
        <v/>
      </c>
      <c r="IW52" s="185" t="str">
        <f>IF(Tim!JA54=FIT!$E$1,Tim!JA54,"")</f>
        <v/>
      </c>
      <c r="IX52" s="185" t="str">
        <f>IF(Tim!JB54=FIT!$E$1,Tim!JB54,"")</f>
        <v/>
      </c>
      <c r="IY52" s="185" t="str">
        <f>IF(Tim!JC54=FIT!$E$1,Tim!JC54,"")</f>
        <v/>
      </c>
      <c r="IZ52" s="185" t="str">
        <f>IF(Tim!JD54=FIT!$E$1,Tim!JD54,"")</f>
        <v/>
      </c>
      <c r="JA52" s="185" t="str">
        <f>IF(Tim!JE54=FIT!$E$1,Tim!JE54,"")</f>
        <v/>
      </c>
      <c r="JB52" s="185" t="str">
        <f>IF(Tim!JF54=FIT!$E$1,Tim!JF54,"")</f>
        <v/>
      </c>
      <c r="JC52" s="185" t="str">
        <f>IF(Tim!JG54=FIT!$E$1,Tim!JG54,"")</f>
        <v/>
      </c>
      <c r="JD52" s="185" t="str">
        <f>IF(Tim!JH54=FIT!$E$1,Tim!JH54,"")</f>
        <v/>
      </c>
      <c r="JE52" s="185" t="str">
        <f>IF(Tim!JI54=FIT!$E$1,Tim!JI54,"")</f>
        <v/>
      </c>
      <c r="JF52" s="185" t="str">
        <f>IF(Tim!JJ54=FIT!$E$1,Tim!JJ54,"")</f>
        <v/>
      </c>
      <c r="JG52" s="185" t="str">
        <f>IF(Tim!JK54=FIT!$E$1,Tim!JK54,"")</f>
        <v/>
      </c>
      <c r="JH52" s="185" t="str">
        <f>IF(Tim!JL54=FIT!$E$1,Tim!JL54,"")</f>
        <v/>
      </c>
      <c r="JI52" s="185" t="str">
        <f>IF(Tim!JM54=FIT!$E$1,Tim!JM54,"")</f>
        <v/>
      </c>
      <c r="JJ52" s="366"/>
      <c r="JK52" s="366"/>
      <c r="JL52" s="366"/>
      <c r="JM52" s="366"/>
      <c r="JN52" s="366"/>
      <c r="JO52" s="366"/>
      <c r="JP52" s="366"/>
      <c r="JQ52" s="366"/>
      <c r="JR52" s="366"/>
      <c r="JS52" s="366"/>
      <c r="JT52" s="366"/>
      <c r="JU52" s="366"/>
      <c r="JV52" s="366"/>
      <c r="JW52" s="366"/>
      <c r="JX52" s="366"/>
      <c r="JY52" s="366"/>
      <c r="JZ52" s="366"/>
      <c r="KA52" s="366"/>
      <c r="KB52" s="366"/>
      <c r="KC52" s="366"/>
      <c r="KD52" s="366"/>
      <c r="KE52" s="366"/>
      <c r="KF52" s="366"/>
      <c r="KG52" s="366"/>
      <c r="KH52" s="366"/>
      <c r="KI52" s="366"/>
      <c r="KJ52" s="366"/>
      <c r="KK52" s="366"/>
      <c r="KL52" s="366"/>
      <c r="KM52" s="366"/>
      <c r="KN52" s="366"/>
      <c r="KO52" s="366"/>
      <c r="KP52" s="366"/>
      <c r="KQ52" s="366"/>
      <c r="KR52" s="366"/>
      <c r="KS52" s="366"/>
      <c r="KT52" s="366"/>
      <c r="KU52" s="366"/>
      <c r="KV52" s="366"/>
      <c r="KW52" s="366"/>
      <c r="KX52" s="366"/>
      <c r="KY52" s="366"/>
      <c r="KZ52" s="366"/>
      <c r="LA52" s="428"/>
      <c r="LB52" s="52">
        <v>0.781249999999999</v>
      </c>
    </row>
    <row r="53" spans="2:314" ht="10.5" customHeight="1">
      <c r="B53" s="49">
        <v>0.25</v>
      </c>
      <c r="C53" s="49">
        <v>0.25</v>
      </c>
      <c r="D53" s="49">
        <v>0.25</v>
      </c>
      <c r="E53" s="172">
        <v>0.79166666666666496</v>
      </c>
      <c r="F53" s="238" t="str">
        <f>IF(Tim!F55=FIT!$E$1,Tim!F55,"")</f>
        <v/>
      </c>
      <c r="G53" s="185" t="str">
        <f>IF(Tim!G55=FIT!$E$1,Tim!G55,"")</f>
        <v/>
      </c>
      <c r="H53" s="185" t="str">
        <f>IF(Tim!H55=FIT!$E$1,Tim!H55,"")</f>
        <v/>
      </c>
      <c r="I53" s="185" t="str">
        <f>IF(Tim!I55=FIT!$E$1,Tim!I55,"")</f>
        <v/>
      </c>
      <c r="J53" s="185" t="str">
        <f>IF(Tim!J55=FIT!$E$1,Tim!J55,"")</f>
        <v/>
      </c>
      <c r="K53" s="185" t="str">
        <f>IF(Tim!K55=FIT!$E$1,Tim!K55,"")</f>
        <v/>
      </c>
      <c r="L53" s="185" t="str">
        <f>IF(Tim!L55=FIT!$E$1,Tim!L55,"")</f>
        <v/>
      </c>
      <c r="M53" s="185" t="str">
        <f>IF(Tim!M55=FIT!$E$1,Tim!M55,"")</f>
        <v/>
      </c>
      <c r="N53" s="185" t="e">
        <f>IF(Tim!#REF!=FIT!$E$1,Tim!#REF!,"")</f>
        <v>#REF!</v>
      </c>
      <c r="O53" s="185" t="str">
        <f>IF(Tim!O55=FIT!$E$1,Tim!O55,"")</f>
        <v/>
      </c>
      <c r="P53" s="185" t="str">
        <f>IF(Tim!P55=FIT!$E$1,Tim!P55,"")</f>
        <v/>
      </c>
      <c r="Q53" s="185" t="str">
        <f>IF(Tim!Q55=FIT!$E$1,Tim!Q55,"")</f>
        <v/>
      </c>
      <c r="R53" s="185" t="str">
        <f>IF(Tim!R55=FIT!$E$1,Tim!R55,"")</f>
        <v/>
      </c>
      <c r="S53" s="185" t="str">
        <f>IF(Tim!S55=FIT!$E$1,Tim!S55,"")</f>
        <v/>
      </c>
      <c r="T53" s="185" t="str">
        <f>IF(Tim!T55=FIT!$E$1,Tim!T55,"")</f>
        <v/>
      </c>
      <c r="U53" s="185" t="str">
        <f>IF(Tim!U55=FIT!$E$1,Tim!U55,"")</f>
        <v/>
      </c>
      <c r="V53" s="185" t="str">
        <f>IF(Tim!W55=FIT!$E$1,Tim!W55,"")</f>
        <v/>
      </c>
      <c r="W53" s="185" t="str">
        <f>IF(Tim!X55=FIT!$E$1,Tim!X55,"")</f>
        <v/>
      </c>
      <c r="X53" s="185" t="str">
        <f>IF(Tim!Y55=FIT!$E$1,Tim!Y55,"")</f>
        <v/>
      </c>
      <c r="Y53" s="185" t="str">
        <f>IF(Tim!Z55=FIT!$E$1,Tim!Z55,"")</f>
        <v/>
      </c>
      <c r="Z53" s="185" t="str">
        <f>IF(Tim!AA55=FIT!$E$1,Tim!AA55,"")</f>
        <v/>
      </c>
      <c r="AA53" s="185" t="str">
        <f>IF(Tim!AB55=FIT!$E$1,Tim!AB55,"")</f>
        <v/>
      </c>
      <c r="AB53" s="185" t="str">
        <f>IF(Tim!AC55=FIT!$E$1,Tim!AC55,"")</f>
        <v/>
      </c>
      <c r="AC53" s="185" t="str">
        <f>IF(Tim!AD55=FIT!$E$1,Tim!AD55,"")</f>
        <v/>
      </c>
      <c r="AD53" s="185" t="str">
        <f>IF(Tim!AE55=FIT!$E$1,Tim!AE55,"")</f>
        <v/>
      </c>
      <c r="AE53" s="185" t="str">
        <f>IF(Tim!AF55=FIT!$E$1,Tim!AF55,"")</f>
        <v/>
      </c>
      <c r="AF53" s="185" t="str">
        <f>IF(Tim!AG55=FIT!$E$1,Tim!AG55,"")</f>
        <v/>
      </c>
      <c r="AG53" s="185" t="str">
        <f>IF(Tim!AH55=FIT!$E$1,Tim!AH55,"")</f>
        <v/>
      </c>
      <c r="AH53" s="185" t="str">
        <f>IF(Tim!AI55=FIT!$E$1,Tim!AI55,"")</f>
        <v/>
      </c>
      <c r="AI53" s="185" t="str">
        <f>IF(Tim!AJ55=FIT!$E$1,Tim!AJ55,"")</f>
        <v/>
      </c>
      <c r="AJ53" s="185" t="str">
        <f>IF(Tim!AK55=FIT!$E$1,Tim!AK55,"")</f>
        <v/>
      </c>
      <c r="AK53" s="185" t="str">
        <f>IF(Tim!AL55=FIT!$E$1,Tim!AL55,"")</f>
        <v/>
      </c>
      <c r="AL53" s="185" t="str">
        <f>IF(Tim!AM55=FIT!$E$1,Tim!AM55,"")</f>
        <v/>
      </c>
      <c r="AM53" s="185" t="str">
        <f>IF(Tim!AN55=FIT!$E$1,Tim!AN55,"")</f>
        <v/>
      </c>
      <c r="AN53" s="185" t="str">
        <f>IF(Tim!AO55=FIT!$E$1,Tim!AO55,"")</f>
        <v/>
      </c>
      <c r="AO53" s="185" t="str">
        <f>IF(Tim!AP55=FIT!$E$1,Tim!AP55,"")</f>
        <v/>
      </c>
      <c r="AP53" s="185" t="str">
        <f>IF(Tim!AQ55=FIT!$E$1,Tim!AQ55,"")</f>
        <v/>
      </c>
      <c r="AQ53" s="185" t="str">
        <f>IF(Tim!AR55=FIT!$E$1,Tim!AR55,"")</f>
        <v/>
      </c>
      <c r="AR53" s="185" t="str">
        <f>IF(Tim!AS55=FIT!$E$1,Tim!AS55,"")</f>
        <v/>
      </c>
      <c r="AS53" s="185" t="str">
        <f>IF(Tim!AT55=FIT!$E$1,Tim!AT55,"")</f>
        <v/>
      </c>
      <c r="AT53" s="185" t="str">
        <f>IF(Tim!AU55=FIT!$E$1,Tim!AU55,"")</f>
        <v/>
      </c>
      <c r="AU53" s="185" t="str">
        <f>IF(Tim!AV55=FIT!$E$1,Tim!AV55,"")</f>
        <v/>
      </c>
      <c r="AV53" s="185" t="str">
        <f>IF(Tim!AW55=FIT!$E$1,Tim!AW55,"")</f>
        <v/>
      </c>
      <c r="AW53" s="186" t="str">
        <f>IF(Tim!AX55=FIT!$E$1,Tim!AX55,"")</f>
        <v/>
      </c>
      <c r="AX53" s="243" t="str">
        <f>IF(Tim!AY55=FIT!$E$1,Tim!AY55,"")</f>
        <v/>
      </c>
      <c r="AY53" s="185" t="str">
        <f>IF(Tim!AZ55=FIT!$E$1,Tim!AZ55,"")</f>
        <v/>
      </c>
      <c r="AZ53" s="185" t="str">
        <f>IF(Tim!BA55=FIT!$E$1,Tim!BA55,"")</f>
        <v/>
      </c>
      <c r="BA53" s="185" t="str">
        <f>IF(Tim!BB55=FIT!$E$1,Tim!BB55,"")</f>
        <v/>
      </c>
      <c r="BB53" s="185" t="str">
        <f>IF(Tim!BC55=FIT!$E$1,Tim!BC55,"")</f>
        <v/>
      </c>
      <c r="BC53" s="185" t="str">
        <f>IF(Tim!BD55=FIT!$E$1,Tim!BD55,"")</f>
        <v/>
      </c>
      <c r="BD53" s="185" t="str">
        <f>IF(Tim!BE55=FIT!$E$1,Tim!BE55,"")</f>
        <v/>
      </c>
      <c r="BE53" s="185" t="str">
        <f>IF(Tim!BF55=FIT!$E$1,Tim!BF55,"")</f>
        <v/>
      </c>
      <c r="BF53" s="185" t="str">
        <f>IF(Tim!BG55=FIT!$E$1,Tim!BG55,"")</f>
        <v/>
      </c>
      <c r="BG53" s="185" t="str">
        <f>IF(Tim!BH55=FIT!$E$1,Tim!BH55,"")</f>
        <v/>
      </c>
      <c r="BH53" s="185" t="str">
        <f>IF(Tim!BI55=FIT!$E$1,Tim!BI55,"")</f>
        <v/>
      </c>
      <c r="BI53" s="185" t="str">
        <f>IF(Tim!BJ55=FIT!$E$1,Tim!BJ55,"")</f>
        <v/>
      </c>
      <c r="BJ53" s="185" t="str">
        <f>IF(Tim!BK55=FIT!$E$1,Tim!BK55,"")</f>
        <v/>
      </c>
      <c r="BK53" s="185" t="str">
        <f>IF(Tim!BL55=FIT!$E$1,Tim!BL55,"")</f>
        <v/>
      </c>
      <c r="BL53" s="185" t="str">
        <f>IF(Tim!BM55=FIT!$E$1,Tim!BM55,"")</f>
        <v/>
      </c>
      <c r="BM53" s="185" t="str">
        <f>IF(Tim!BN55=FIT!$E$1,Tim!BN55,"")</f>
        <v/>
      </c>
      <c r="BN53" s="185" t="str">
        <f>IF(Tim!BO55=FIT!$E$1,Tim!BO55,"")</f>
        <v/>
      </c>
      <c r="BO53" s="185" t="str">
        <f>IF(Tim!BP55=FIT!$E$1,Tim!BP55,"")</f>
        <v/>
      </c>
      <c r="BP53" s="185" t="str">
        <f>IF(Tim!BQ55=FIT!$E$1,Tim!BQ55,"")</f>
        <v/>
      </c>
      <c r="BQ53" s="185" t="str">
        <f>IF(Tim!BR55=FIT!$E$1,Tim!BR55,"")</f>
        <v/>
      </c>
      <c r="BR53" s="185" t="str">
        <f>IF(Tim!BS55=FIT!$E$1,Tim!BS55,"")</f>
        <v/>
      </c>
      <c r="BS53" s="185" t="str">
        <f>IF(Tim!BT55=FIT!$E$1,Tim!BT55,"")</f>
        <v/>
      </c>
      <c r="BT53" s="185" t="str">
        <f>IF(Tim!BU55=FIT!$E$1,Tim!BU55,"")</f>
        <v/>
      </c>
      <c r="BU53" s="185" t="str">
        <f>IF(Tim!BV55=FIT!$E$1,Tim!BV55,"")</f>
        <v/>
      </c>
      <c r="BV53" s="185" t="str">
        <f>IF(Tim!BW55=FIT!$E$1,Tim!BW55,"")</f>
        <v/>
      </c>
      <c r="BW53" s="185" t="str">
        <f>IF(Tim!BX55=FIT!$E$1,Tim!BX55,"")</f>
        <v/>
      </c>
      <c r="BX53" s="185" t="str">
        <f>IF(Tim!BY55=FIT!$E$1,Tim!BY55,"")</f>
        <v/>
      </c>
      <c r="BY53" s="185" t="str">
        <f>IF(Tim!BZ55=FIT!$E$1,Tim!BZ55,"")</f>
        <v/>
      </c>
      <c r="BZ53" s="185" t="str">
        <f>IF(Tim!CA55=FIT!$E$1,Tim!CA55,"")</f>
        <v/>
      </c>
      <c r="CA53" s="185" t="str">
        <f>IF(Tim!CB55=FIT!$E$1,Tim!CB55,"")</f>
        <v/>
      </c>
      <c r="CB53" s="185" t="str">
        <f>IF(Tim!CC55=FIT!$E$1,Tim!CC55,"")</f>
        <v/>
      </c>
      <c r="CC53" s="185" t="str">
        <f>IF(Tim!CD55=FIT!$E$1,Tim!CD55,"")</f>
        <v/>
      </c>
      <c r="CD53" s="185" t="str">
        <f>IF(Tim!CE55=FIT!$E$1,Tim!CE55,"")</f>
        <v/>
      </c>
      <c r="CE53" s="185" t="str">
        <f>IF(Tim!CF55=FIT!$E$1,Tim!CF55,"")</f>
        <v/>
      </c>
      <c r="CF53" s="185" t="str">
        <f>IF(Tim!CG55=FIT!$E$1,Tim!CG55,"")</f>
        <v/>
      </c>
      <c r="CG53" s="185" t="str">
        <f>IF(Tim!CH55=FIT!$E$1,Tim!CH55,"")</f>
        <v/>
      </c>
      <c r="CH53" s="185" t="str">
        <f>IF(Tim!CI55=FIT!$E$1,Tim!CI55,"")</f>
        <v/>
      </c>
      <c r="CI53" s="185" t="str">
        <f>IF(Tim!CJ55=FIT!$E$1,Tim!CJ55,"")</f>
        <v/>
      </c>
      <c r="CJ53" s="185" t="str">
        <f>IF(Tim!CK55=FIT!$E$1,Tim!CK55,"")</f>
        <v/>
      </c>
      <c r="CK53" s="185" t="str">
        <f>IF(Tim!CL55=FIT!$E$1,Tim!CL55,"")</f>
        <v/>
      </c>
      <c r="CL53" s="185" t="str">
        <f>IF(Tim!CM55=FIT!$E$1,Tim!CM55,"")</f>
        <v/>
      </c>
      <c r="CM53" s="185" t="str">
        <f>IF(Tim!CN55=FIT!$E$1,Tim!CN55,"")</f>
        <v/>
      </c>
      <c r="CN53" s="185" t="str">
        <f>IF(Tim!CO55=FIT!$E$1,Tim!CO55,"")</f>
        <v/>
      </c>
      <c r="CO53" s="185" t="str">
        <f>IF(Tim!CP55=FIT!$E$1,Tim!CP55,"")</f>
        <v/>
      </c>
      <c r="CP53" s="185" t="str">
        <f>IF(Tim!CQ55=FIT!$E$1,Tim!CQ55,"")</f>
        <v/>
      </c>
      <c r="CQ53" s="185" t="str">
        <f>IF(Tim!CR55=FIT!$E$1,Tim!CR55,"")</f>
        <v/>
      </c>
      <c r="CR53" s="185" t="str">
        <f>IF(Tim!CS55=FIT!$E$1,Tim!CS55,"")</f>
        <v/>
      </c>
      <c r="CS53" s="185" t="str">
        <f>IF(Tim!CT55=FIT!$E$1,Tim!CT55,"")</f>
        <v/>
      </c>
      <c r="CT53" s="185" t="str">
        <f>IF(Tim!CU55=FIT!$E$1,Tim!CU55,"")</f>
        <v/>
      </c>
      <c r="CU53" s="185" t="str">
        <f>IF(Tim!CV55=FIT!$E$1,Tim!CV55,"")</f>
        <v/>
      </c>
      <c r="CV53" s="185" t="str">
        <f>IF(Tim!CW55=FIT!$E$1,Tim!CW55,"")</f>
        <v/>
      </c>
      <c r="CW53" s="185" t="str">
        <f>IF(Tim!CX55=FIT!$E$1,Tim!CX55,"")</f>
        <v/>
      </c>
      <c r="CX53" s="185" t="str">
        <f>IF(Tim!CY55=FIT!$E$1,Tim!CY55,"")</f>
        <v/>
      </c>
      <c r="CY53" s="185" t="str">
        <f>IF(Tim!CZ55=FIT!$E$1,Tim!CZ55,"")</f>
        <v/>
      </c>
      <c r="CZ53" s="185" t="str">
        <f>IF(Tim!DA55=FIT!$E$1,Tim!DA55,"")</f>
        <v/>
      </c>
      <c r="DA53" s="185" t="str">
        <f>IF(Tim!DB55=FIT!$E$1,Tim!DB55,"")</f>
        <v/>
      </c>
      <c r="DB53" s="185" t="str">
        <f>IF(Tim!DC55=FIT!$E$1,Tim!DC55,"")</f>
        <v/>
      </c>
      <c r="DC53" s="185" t="str">
        <f>IF(Tim!DD55=FIT!$E$1,Tim!DD55,"")</f>
        <v/>
      </c>
      <c r="DD53" s="185" t="str">
        <f>IF(Tim!DE55=FIT!$E$1,Tim!DE55,"")</f>
        <v/>
      </c>
      <c r="DE53" s="185" t="str">
        <f>IF(Tim!DF55=FIT!$E$1,Tim!DF55,"")</f>
        <v/>
      </c>
      <c r="DF53" s="185" t="str">
        <f>IF(Tim!DG55=FIT!$E$1,Tim!DG55,"")</f>
        <v/>
      </c>
      <c r="DG53" s="185" t="str">
        <f>IF(Tim!DH55=FIT!$E$1,Tim!DH55,"")</f>
        <v/>
      </c>
      <c r="DH53" s="185" t="str">
        <f>IF(Tim!DI55=FIT!$E$1,Tim!DI55,"")</f>
        <v/>
      </c>
      <c r="DI53" s="185" t="str">
        <f>IF(Tim!DM55=FIT!$E$1,Tim!DM55,"")</f>
        <v/>
      </c>
      <c r="DJ53" s="185" t="str">
        <f>IF(Tim!DN55=FIT!$E$1,Tim!DN55,"")</f>
        <v/>
      </c>
      <c r="DK53" s="185" t="str">
        <f>IF(Tim!DO55=FIT!$E$1,Tim!DO55,"")</f>
        <v/>
      </c>
      <c r="DL53" s="185" t="str">
        <f>IF(Tim!DP55=FIT!$E$1,Tim!DP55,"")</f>
        <v/>
      </c>
      <c r="DM53" s="185" t="str">
        <f>IF(Tim!DQ55=FIT!$E$1,Tim!DQ55,"")</f>
        <v/>
      </c>
      <c r="DN53" s="185" t="str">
        <f>IF(Tim!DR55=FIT!$E$1,Tim!DR55,"")</f>
        <v/>
      </c>
      <c r="DO53" s="185" t="str">
        <f>IF(Tim!DS55=FIT!$E$1,Tim!DS55,"")</f>
        <v/>
      </c>
      <c r="DP53" s="185" t="str">
        <f>IF(Tim!DT55=FIT!$E$1,Tim!DT55,"")</f>
        <v/>
      </c>
      <c r="DQ53" s="185" t="str">
        <f>IF(Tim!DU55=FIT!$E$1,Tim!DU55,"")</f>
        <v/>
      </c>
      <c r="DR53" s="185" t="str">
        <f>IF(Tim!DV55=FIT!$E$1,Tim!DV55,"")</f>
        <v/>
      </c>
      <c r="DS53" s="185" t="str">
        <f>IF(Tim!DW55=FIT!$E$1,Tim!DW55,"")</f>
        <v/>
      </c>
      <c r="DT53" s="185" t="str">
        <f>IF(Tim!DX55=FIT!$E$1,Tim!DX55,"")</f>
        <v/>
      </c>
      <c r="DU53" s="185" t="str">
        <f>IF(Tim!DY55=FIT!$E$1,Tim!DY55,"")</f>
        <v/>
      </c>
      <c r="DV53" s="185" t="str">
        <f>IF(Tim!DZ55=FIT!$E$1,Tim!DZ55,"")</f>
        <v/>
      </c>
      <c r="DW53" s="185" t="str">
        <f>IF(Tim!EA55=FIT!$E$1,Tim!EA55,"")</f>
        <v/>
      </c>
      <c r="DX53" s="185" t="str">
        <f>IF(Tim!EB55=FIT!$E$1,Tim!EB55,"")</f>
        <v/>
      </c>
      <c r="DY53" s="185" t="str">
        <f>IF(Tim!EC55=FIT!$E$1,Tim!EC55,"")</f>
        <v/>
      </c>
      <c r="DZ53" s="185" t="str">
        <f>IF(Tim!ED55=FIT!$E$1,Tim!ED55,"")</f>
        <v/>
      </c>
      <c r="EA53" s="185" t="str">
        <f>IF(Tim!EE55=FIT!$E$1,Tim!EE55,"")</f>
        <v/>
      </c>
      <c r="EB53" s="185" t="str">
        <f>IF(Tim!EF55=FIT!$E$1,Tim!EF55,"")</f>
        <v/>
      </c>
      <c r="EC53" s="185" t="str">
        <f>IF(Tim!EG55=FIT!$E$1,Tim!EG55,"")</f>
        <v/>
      </c>
      <c r="ED53" s="185" t="str">
        <f>IF(Tim!EH55=FIT!$E$1,Tim!EH55,"")</f>
        <v/>
      </c>
      <c r="EE53" s="185" t="str">
        <f>IF(Tim!EI55=FIT!$E$1,Tim!EI55,"")</f>
        <v/>
      </c>
      <c r="EF53" s="185" t="str">
        <f>IF(Tim!EJ55=FIT!$E$1,Tim!EJ55,"")</f>
        <v/>
      </c>
      <c r="EG53" s="185" t="str">
        <f>IF(Tim!EK55=FIT!$E$1,Tim!EK55,"")</f>
        <v/>
      </c>
      <c r="EH53" s="185" t="str">
        <f>IF(Tim!EL55=FIT!$E$1,Tim!EL55,"")</f>
        <v/>
      </c>
      <c r="EI53" s="185" t="str">
        <f>IF(Tim!EM55=FIT!$E$1,Tim!EM55,"")</f>
        <v/>
      </c>
      <c r="EJ53" s="185" t="str">
        <f>IF(Tim!EN55=FIT!$E$1,Tim!EN55,"")</f>
        <v/>
      </c>
      <c r="EK53" s="185" t="str">
        <f>IF(Tim!EO55=FIT!$E$1,Tim!EO55,"")</f>
        <v/>
      </c>
      <c r="EL53" s="185" t="str">
        <f>IF(Tim!EP55=FIT!$E$1,Tim!EP55,"")</f>
        <v/>
      </c>
      <c r="EM53" s="185" t="str">
        <f>IF(Tim!EQ55=FIT!$E$1,Tim!EQ55,"")</f>
        <v/>
      </c>
      <c r="EN53" s="185" t="str">
        <f>IF(Tim!ER55=FIT!$E$1,Tim!ER55,"")</f>
        <v/>
      </c>
      <c r="EO53" s="185" t="str">
        <f>IF(Tim!ES55=FIT!$E$1,Tim!ES55,"")</f>
        <v/>
      </c>
      <c r="EP53" s="185" t="str">
        <f>IF(Tim!ET55=FIT!$E$1,Tim!ET55,"")</f>
        <v/>
      </c>
      <c r="EQ53" s="185" t="str">
        <f>IF(Tim!EU55=FIT!$E$1,Tim!EU55,"")</f>
        <v/>
      </c>
      <c r="ER53" s="185" t="str">
        <f>IF(Tim!EV55=FIT!$E$1,Tim!EV55,"")</f>
        <v/>
      </c>
      <c r="ES53" s="185" t="str">
        <f>IF(Tim!EW55=FIT!$E$1,Tim!EW55,"")</f>
        <v/>
      </c>
      <c r="ET53" s="185" t="str">
        <f>IF(Tim!EX55=FIT!$E$1,Tim!EX55,"")</f>
        <v/>
      </c>
      <c r="EU53" s="185" t="str">
        <f>IF(Tim!EY55=FIT!$E$1,Tim!EY55,"")</f>
        <v/>
      </c>
      <c r="EV53" s="185" t="str">
        <f>IF(Tim!EZ55=FIT!$E$1,Tim!EZ55,"")</f>
        <v/>
      </c>
      <c r="EW53" s="185" t="str">
        <f>IF(Tim!FA55=FIT!$E$1,Tim!FA55,"")</f>
        <v/>
      </c>
      <c r="EX53" s="185" t="str">
        <f>IF(Tim!FB55=FIT!$E$1,Tim!FB55,"")</f>
        <v/>
      </c>
      <c r="EY53" s="185" t="str">
        <f>IF(Tim!FC55=FIT!$E$1,Tim!FC55,"")</f>
        <v/>
      </c>
      <c r="EZ53" s="185" t="str">
        <f>IF(Tim!FD55=FIT!$E$1,Tim!FD55,"")</f>
        <v/>
      </c>
      <c r="FA53" s="185" t="str">
        <f>IF(Tim!FE55=FIT!$E$1,Tim!FE55,"")</f>
        <v/>
      </c>
      <c r="FB53" s="185" t="str">
        <f>IF(Tim!FF55=FIT!$E$1,Tim!FF55,"")</f>
        <v/>
      </c>
      <c r="FC53" s="185" t="str">
        <f>IF(Tim!FG55=FIT!$E$1,Tim!FG55,"")</f>
        <v/>
      </c>
      <c r="FD53" s="185" t="str">
        <f>IF(Tim!FH55=FIT!$E$1,Tim!FH55,"")</f>
        <v/>
      </c>
      <c r="FE53" s="185" t="str">
        <f>IF(Tim!FI55=FIT!$E$1,Tim!FI55,"")</f>
        <v/>
      </c>
      <c r="FF53" s="185" t="str">
        <f>IF(Tim!FJ55=FIT!$E$1,Tim!FJ55,"")</f>
        <v/>
      </c>
      <c r="FG53" s="185" t="str">
        <f>IF(Tim!FK55=FIT!$E$1,Tim!FK55,"")</f>
        <v/>
      </c>
      <c r="FH53" s="185" t="str">
        <f>IF(Tim!FL55=FIT!$E$1,Tim!FL55,"")</f>
        <v/>
      </c>
      <c r="FI53" s="185" t="str">
        <f>IF(Tim!FM55=FIT!$E$1,Tim!FM55,"")</f>
        <v/>
      </c>
      <c r="FJ53" s="185" t="str">
        <f>IF(Tim!FN55=FIT!$E$1,Tim!FN55,"")</f>
        <v/>
      </c>
      <c r="FK53" s="185" t="str">
        <f>IF(Tim!FO55=FIT!$E$1,Tim!FO55,"")</f>
        <v/>
      </c>
      <c r="FL53" s="185" t="str">
        <f>IF(Tim!FP55=FIT!$E$1,Tim!FP55,"")</f>
        <v/>
      </c>
      <c r="FM53" s="185" t="str">
        <f>IF(Tim!FQ55=FIT!$E$1,Tim!FQ55,"")</f>
        <v/>
      </c>
      <c r="FN53" s="185" t="str">
        <f>IF(Tim!FR55=FIT!$E$1,Tim!FR55,"")</f>
        <v/>
      </c>
      <c r="FO53" s="185" t="str">
        <f>IF(Tim!FS55=FIT!$E$1,Tim!FS55,"")</f>
        <v/>
      </c>
      <c r="FP53" s="185" t="str">
        <f>IF(Tim!FT55=FIT!$E$1,Tim!FT55,"")</f>
        <v/>
      </c>
      <c r="FQ53" s="185" t="str">
        <f>IF(Tim!FU55=FIT!$E$1,Tim!FU55,"")</f>
        <v/>
      </c>
      <c r="FR53" s="185" t="str">
        <f>IF(Tim!FV55=FIT!$E$1,Tim!FV55,"")</f>
        <v/>
      </c>
      <c r="FS53" s="185" t="str">
        <f>IF(Tim!FW55=FIT!$E$1,Tim!FW55,"")</f>
        <v/>
      </c>
      <c r="FT53" s="185" t="str">
        <f>IF(Tim!FX55=FIT!$E$1,Tim!FX55,"")</f>
        <v/>
      </c>
      <c r="FU53" s="185" t="str">
        <f>IF(Tim!FY55=FIT!$E$1,Tim!FY55,"")</f>
        <v/>
      </c>
      <c r="FV53" s="185" t="str">
        <f>IF(Tim!FZ55=FIT!$E$1,Tim!FZ55,"")</f>
        <v/>
      </c>
      <c r="FW53" s="185" t="str">
        <f>IF(Tim!GA55=FIT!$E$1,Tim!GA55,"")</f>
        <v/>
      </c>
      <c r="FX53" s="185" t="str">
        <f>IF(Tim!GB55=FIT!$E$1,Tim!GB55,"")</f>
        <v/>
      </c>
      <c r="FY53" s="185" t="str">
        <f>IF(Tim!GC55=FIT!$E$1,Tim!GC55,"")</f>
        <v/>
      </c>
      <c r="FZ53" s="185" t="str">
        <f>IF(Tim!GD55=FIT!$E$1,Tim!GD55,"")</f>
        <v/>
      </c>
      <c r="GA53" s="185" t="str">
        <f>IF(Tim!GE55=FIT!$E$1,Tim!GE55,"")</f>
        <v/>
      </c>
      <c r="GB53" s="185" t="str">
        <f>IF(Tim!GF55=FIT!$E$1,Tim!GF55,"")</f>
        <v/>
      </c>
      <c r="GC53" s="185" t="str">
        <f>IF(Tim!GG55=FIT!$E$1,Tim!GG55,"")</f>
        <v/>
      </c>
      <c r="GD53" s="185" t="str">
        <f>IF(Tim!GH55=FIT!$E$1,Tim!GH55,"")</f>
        <v/>
      </c>
      <c r="GE53" s="185" t="str">
        <f>IF(Tim!GI55=FIT!$E$1,Tim!GI55,"")</f>
        <v/>
      </c>
      <c r="GF53" s="185" t="str">
        <f>IF(Tim!GJ55=FIT!$E$1,Tim!GJ55,"")</f>
        <v/>
      </c>
      <c r="GG53" s="185" t="str">
        <f>IF(Tim!GK55=FIT!$E$1,Tim!GK55,"")</f>
        <v/>
      </c>
      <c r="GH53" s="185" t="str">
        <f>IF(Tim!GL55=FIT!$E$1,Tim!GL55,"")</f>
        <v/>
      </c>
      <c r="GI53" s="185" t="str">
        <f>IF(Tim!GM55=FIT!$E$1,Tim!GM55,"")</f>
        <v/>
      </c>
      <c r="GJ53" s="185" t="str">
        <f>IF(Tim!GN55=FIT!$E$1,Tim!GN55,"")</f>
        <v/>
      </c>
      <c r="GK53" s="185" t="str">
        <f>IF(Tim!GO55=FIT!$E$1,Tim!GO55,"")</f>
        <v/>
      </c>
      <c r="GL53" s="185" t="str">
        <f>IF(Tim!GP55=FIT!$E$1,Tim!GP55,"")</f>
        <v/>
      </c>
      <c r="GM53" s="185" t="str">
        <f>IF(Tim!GQ55=FIT!$E$1,Tim!GQ55,"")</f>
        <v/>
      </c>
      <c r="GN53" s="185" t="str">
        <f>IF(Tim!GR55=FIT!$E$1,Tim!GR55,"")</f>
        <v/>
      </c>
      <c r="GO53" s="185" t="str">
        <f>IF(Tim!GS55=FIT!$E$1,Tim!GS55,"")</f>
        <v/>
      </c>
      <c r="GP53" s="185" t="str">
        <f>IF(Tim!GT55=FIT!$E$1,Tim!GT55,"")</f>
        <v/>
      </c>
      <c r="GQ53" s="185" t="str">
        <f>IF(Tim!GU55=FIT!$E$1,Tim!GU55,"")</f>
        <v/>
      </c>
      <c r="GR53" s="185" t="str">
        <f>IF(Tim!GV55=FIT!$E$1,Tim!GV55,"")</f>
        <v/>
      </c>
      <c r="GS53" s="185" t="str">
        <f>IF(Tim!GW55=FIT!$E$1,Tim!GW55,"")</f>
        <v/>
      </c>
      <c r="GT53" s="185" t="str">
        <f>IF(Tim!GX55=FIT!$E$1,Tim!GX55,"")</f>
        <v/>
      </c>
      <c r="GU53" s="185" t="str">
        <f>IF(Tim!GY55=FIT!$E$1,Tim!GY55,"")</f>
        <v/>
      </c>
      <c r="GV53" s="185" t="str">
        <f>IF(Tim!GZ55=FIT!$E$1,Tim!GZ55,"")</f>
        <v/>
      </c>
      <c r="GW53" s="185" t="str">
        <f>IF(Tim!HA55=FIT!$E$1,Tim!HA55,"")</f>
        <v/>
      </c>
      <c r="GX53" s="185" t="str">
        <f>IF(Tim!HB55=FIT!$E$1,Tim!HB55,"")</f>
        <v/>
      </c>
      <c r="GY53" s="185" t="str">
        <f>IF(Tim!HC55=FIT!$E$1,Tim!HC55,"")</f>
        <v/>
      </c>
      <c r="GZ53" s="185" t="str">
        <f>IF(Tim!HD55=FIT!$E$1,Tim!HD55,"")</f>
        <v/>
      </c>
      <c r="HA53" s="185" t="str">
        <f>IF(Tim!HE55=FIT!$E$1,Tim!HE55,"")</f>
        <v/>
      </c>
      <c r="HB53" s="185" t="str">
        <f>IF(Tim!HF55=FIT!$E$1,Tim!HF55,"")</f>
        <v/>
      </c>
      <c r="HC53" s="185" t="str">
        <f>IF(Tim!HG55=FIT!$E$1,Tim!HG55,"")</f>
        <v/>
      </c>
      <c r="HD53" s="185" t="str">
        <f>IF(Tim!HH55=FIT!$E$1,Tim!HH55,"")</f>
        <v/>
      </c>
      <c r="HE53" s="185" t="str">
        <f>IF(Tim!HI55=FIT!$E$1,Tim!HI55,"")</f>
        <v/>
      </c>
      <c r="HF53" s="185" t="str">
        <f>IF(Tim!HJ55=FIT!$E$1,Tim!HJ55,"")</f>
        <v/>
      </c>
      <c r="HG53" s="185" t="str">
        <f>IF(Tim!HK55=FIT!$E$1,Tim!HK55,"")</f>
        <v/>
      </c>
      <c r="HH53" s="185" t="str">
        <f>IF(Tim!HL55=FIT!$E$1,Tim!HL55,"")</f>
        <v/>
      </c>
      <c r="HI53" s="185" t="str">
        <f>IF(Tim!HM55=FIT!$E$1,Tim!HM55,"")</f>
        <v/>
      </c>
      <c r="HJ53" s="185" t="str">
        <f>IF(Tim!HN55=FIT!$E$1,Tim!HN55,"")</f>
        <v/>
      </c>
      <c r="HK53" s="185" t="str">
        <f>IF(Tim!HO55=FIT!$E$1,Tim!HO55,"")</f>
        <v/>
      </c>
      <c r="HL53" s="185" t="str">
        <f>IF(Tim!HP55=FIT!$E$1,Tim!HP55,"")</f>
        <v/>
      </c>
      <c r="HM53" s="185" t="str">
        <f>IF(Tim!HQ55=FIT!$E$1,Tim!HQ55,"")</f>
        <v/>
      </c>
      <c r="HN53" s="185" t="str">
        <f>IF(Tim!HR55=FIT!$E$1,Tim!HR55,"")</f>
        <v/>
      </c>
      <c r="HO53" s="185" t="str">
        <f>IF(Tim!HS55=FIT!$E$1,Tim!HS55,"")</f>
        <v/>
      </c>
      <c r="HP53" s="185" t="str">
        <f>IF(Tim!HT55=FIT!$E$1,Tim!HT55,"")</f>
        <v/>
      </c>
      <c r="HQ53" s="185" t="str">
        <f>IF(Tim!HU55=FIT!$E$1,Tim!HU55,"")</f>
        <v/>
      </c>
      <c r="HR53" s="185" t="str">
        <f>IF(Tim!HV55=FIT!$E$1,Tim!HV55,"")</f>
        <v/>
      </c>
      <c r="HS53" s="185" t="str">
        <f>IF(Tim!HW55=FIT!$E$1,Tim!HW55,"")</f>
        <v/>
      </c>
      <c r="HT53" s="185" t="str">
        <f>IF(Tim!HX55=FIT!$E$1,Tim!HX55,"")</f>
        <v/>
      </c>
      <c r="HU53" s="185" t="str">
        <f>IF(Tim!HY55=FIT!$E$1,Tim!HY55,"")</f>
        <v/>
      </c>
      <c r="HV53" s="185" t="str">
        <f>IF(Tim!HZ55=FIT!$E$1,Tim!HZ55,"")</f>
        <v/>
      </c>
      <c r="HW53" s="185" t="str">
        <f>IF(Tim!IA55=FIT!$E$1,Tim!IA55,"")</f>
        <v/>
      </c>
      <c r="HX53" s="185" t="str">
        <f>IF(Tim!IB55=FIT!$E$1,Tim!IB55,"")</f>
        <v/>
      </c>
      <c r="HY53" s="185" t="str">
        <f>IF(Tim!IC55=FIT!$E$1,Tim!IC55,"")</f>
        <v/>
      </c>
      <c r="HZ53" s="185" t="str">
        <f>IF(Tim!ID55=FIT!$E$1,Tim!ID55,"")</f>
        <v/>
      </c>
      <c r="IA53" s="185" t="str">
        <f>IF(Tim!IE55=FIT!$E$1,Tim!IE55,"")</f>
        <v/>
      </c>
      <c r="IB53" s="185" t="str">
        <f>IF(Tim!IF55=FIT!$E$1,Tim!IF55,"")</f>
        <v/>
      </c>
      <c r="IC53" s="185" t="str">
        <f>IF(Tim!IG55=FIT!$E$1,Tim!IG55,"")</f>
        <v/>
      </c>
      <c r="ID53" s="185" t="str">
        <f>IF(Tim!IH55=FIT!$E$1,Tim!IH55,"")</f>
        <v/>
      </c>
      <c r="IE53" s="185" t="str">
        <f>IF(Tim!II55=FIT!$E$1,Tim!II55,"")</f>
        <v/>
      </c>
      <c r="IF53" s="185" t="str">
        <f>IF(Tim!IJ55=FIT!$E$1,Tim!IJ55,"")</f>
        <v/>
      </c>
      <c r="IG53" s="185" t="str">
        <f>IF(Tim!IK55=FIT!$E$1,Tim!IK55,"")</f>
        <v/>
      </c>
      <c r="IH53" s="185" t="str">
        <f>IF(Tim!IL55=FIT!$E$1,Tim!IL55,"")</f>
        <v/>
      </c>
      <c r="II53" s="185" t="str">
        <f>IF(Tim!IM55=FIT!$E$1,Tim!IM55,"")</f>
        <v/>
      </c>
      <c r="IJ53" s="185" t="str">
        <f>IF(Tim!IN55=FIT!$E$1,Tim!IN55,"")</f>
        <v/>
      </c>
      <c r="IK53" s="185" t="str">
        <f>IF(Tim!IO55=FIT!$E$1,Tim!IO55,"")</f>
        <v/>
      </c>
      <c r="IL53" s="185" t="str">
        <f>IF(Tim!IP55=FIT!$E$1,Tim!IP55,"")</f>
        <v/>
      </c>
      <c r="IM53" s="185" t="str">
        <f>IF(Tim!IQ55=FIT!$E$1,Tim!IQ55,"")</f>
        <v/>
      </c>
      <c r="IN53" s="185" t="str">
        <f>IF(Tim!IR55=FIT!$E$1,Tim!IR55,"")</f>
        <v/>
      </c>
      <c r="IO53" s="185" t="str">
        <f>IF(Tim!IS55=FIT!$E$1,Tim!IS55,"")</f>
        <v/>
      </c>
      <c r="IP53" s="185" t="str">
        <f>IF(Tim!IT55=FIT!$E$1,Tim!IT55,"")</f>
        <v/>
      </c>
      <c r="IQ53" s="185" t="str">
        <f>IF(Tim!IU55=FIT!$E$1,Tim!IU55,"")</f>
        <v/>
      </c>
      <c r="IR53" s="185" t="str">
        <f>IF(Tim!IV55=FIT!$E$1,Tim!IV55,"")</f>
        <v/>
      </c>
      <c r="IS53" s="185" t="str">
        <f>IF(Tim!IW55=FIT!$E$1,Tim!IW55,"")</f>
        <v/>
      </c>
      <c r="IT53" s="185" t="str">
        <f>IF(Tim!IX55=FIT!$E$1,Tim!IX55,"")</f>
        <v/>
      </c>
      <c r="IU53" s="185" t="str">
        <f>IF(Tim!IY55=FIT!$E$1,Tim!IY55,"")</f>
        <v/>
      </c>
      <c r="IV53" s="185" t="str">
        <f>IF(Tim!IZ55=FIT!$E$1,Tim!IZ55,"")</f>
        <v/>
      </c>
      <c r="IW53" s="185" t="str">
        <f>IF(Tim!JA55=FIT!$E$1,Tim!JA55,"")</f>
        <v/>
      </c>
      <c r="IX53" s="185" t="str">
        <f>IF(Tim!JB55=FIT!$E$1,Tim!JB55,"")</f>
        <v/>
      </c>
      <c r="IY53" s="185" t="str">
        <f>IF(Tim!JC55=FIT!$E$1,Tim!JC55,"")</f>
        <v/>
      </c>
      <c r="IZ53" s="185" t="str">
        <f>IF(Tim!JD55=FIT!$E$1,Tim!JD55,"")</f>
        <v/>
      </c>
      <c r="JA53" s="185" t="str">
        <f>IF(Tim!JE55=FIT!$E$1,Tim!JE55,"")</f>
        <v/>
      </c>
      <c r="JB53" s="185" t="str">
        <f>IF(Tim!JF55=FIT!$E$1,Tim!JF55,"")</f>
        <v/>
      </c>
      <c r="JC53" s="185" t="str">
        <f>IF(Tim!JG55=FIT!$E$1,Tim!JG55,"")</f>
        <v/>
      </c>
      <c r="JD53" s="185" t="str">
        <f>IF(Tim!JH55=FIT!$E$1,Tim!JH55,"")</f>
        <v/>
      </c>
      <c r="JE53" s="185" t="e">
        <f>IF(Tim!#REF!=FIT!$E$1,Tim!#REF!,"")</f>
        <v>#REF!</v>
      </c>
      <c r="JF53" s="185" t="str">
        <f>IF(Tim!JJ55=FIT!$E$1,Tim!JJ55,"")</f>
        <v/>
      </c>
      <c r="JG53" s="185" t="str">
        <f>IF(Tim!JK55=FIT!$E$1,Tim!JK55,"")</f>
        <v/>
      </c>
      <c r="JH53" s="185" t="str">
        <f>IF(Tim!JL55=FIT!$E$1,Tim!JL55,"")</f>
        <v/>
      </c>
      <c r="JI53" s="185" t="str">
        <f>IF(Tim!JM55=FIT!$E$1,Tim!JM55,"")</f>
        <v/>
      </c>
      <c r="JJ53" s="366"/>
      <c r="JK53" s="366"/>
      <c r="JL53" s="366"/>
      <c r="JM53" s="366"/>
      <c r="JN53" s="366"/>
      <c r="JO53" s="366"/>
      <c r="JP53" s="366"/>
      <c r="JQ53" s="366"/>
      <c r="JR53" s="366"/>
      <c r="JS53" s="366"/>
      <c r="JT53" s="366"/>
      <c r="JU53" s="366"/>
      <c r="JV53" s="366"/>
      <c r="JW53" s="366"/>
      <c r="JX53" s="366"/>
      <c r="JY53" s="366"/>
      <c r="JZ53" s="366"/>
      <c r="KA53" s="366"/>
      <c r="KB53" s="366"/>
      <c r="KC53" s="366"/>
      <c r="KD53" s="366"/>
      <c r="KE53" s="366"/>
      <c r="KF53" s="366"/>
      <c r="KG53" s="366"/>
      <c r="KH53" s="366"/>
      <c r="KI53" s="366"/>
      <c r="KJ53" s="366"/>
      <c r="KK53" s="366"/>
      <c r="KL53" s="366"/>
      <c r="KM53" s="366"/>
      <c r="KN53" s="366"/>
      <c r="KO53" s="366"/>
      <c r="KP53" s="366"/>
      <c r="KQ53" s="366"/>
      <c r="KR53" s="366"/>
      <c r="KS53" s="366"/>
      <c r="KT53" s="366"/>
      <c r="KU53" s="366"/>
      <c r="KV53" s="366"/>
      <c r="KW53" s="366"/>
      <c r="KX53" s="366"/>
      <c r="KY53" s="366"/>
      <c r="KZ53" s="366"/>
      <c r="LA53" s="428"/>
      <c r="LB53" s="52">
        <v>0.79166666666666496</v>
      </c>
    </row>
    <row r="54" spans="2:314" ht="10.5" customHeight="1">
      <c r="B54" s="49">
        <v>0.25</v>
      </c>
      <c r="C54" s="49">
        <v>0.25</v>
      </c>
      <c r="D54" s="49">
        <v>0.25</v>
      </c>
      <c r="E54" s="172">
        <v>0.80208333333333204</v>
      </c>
      <c r="F54" s="238" t="str">
        <f>IF(Tim!F56=FIT!$E$1,Tim!F56,"")</f>
        <v/>
      </c>
      <c r="G54" s="185" t="str">
        <f>IF(Tim!G56=FIT!$E$1,Tim!G56,"")</f>
        <v/>
      </c>
      <c r="H54" s="185" t="str">
        <f>IF(Tim!H56=FIT!$E$1,Tim!H56,"")</f>
        <v/>
      </c>
      <c r="I54" s="185" t="str">
        <f>IF(Tim!I56=FIT!$E$1,Tim!I56,"")</f>
        <v/>
      </c>
      <c r="J54" s="185" t="str">
        <f>IF(Tim!J56=FIT!$E$1,Tim!J56,"")</f>
        <v/>
      </c>
      <c r="K54" s="185" t="str">
        <f>IF(Tim!K56=FIT!$E$1,Tim!K56,"")</f>
        <v/>
      </c>
      <c r="L54" s="185" t="str">
        <f>IF(Tim!L56=FIT!$E$1,Tim!L56,"")</f>
        <v/>
      </c>
      <c r="M54" s="185" t="str">
        <f>IF(Tim!M56=FIT!$E$1,Tim!M56,"")</f>
        <v/>
      </c>
      <c r="N54" s="185" t="str">
        <f>IF(Tim!N56=FIT!$E$1,Tim!N56,"")</f>
        <v/>
      </c>
      <c r="O54" s="185" t="str">
        <f>IF(Tim!O56=FIT!$E$1,Tim!O56,"")</f>
        <v/>
      </c>
      <c r="P54" s="185" t="str">
        <f>IF(Tim!P56=FIT!$E$1,Tim!P56,"")</f>
        <v/>
      </c>
      <c r="Q54" s="185" t="str">
        <f>IF(Tim!Q56=FIT!$E$1,Tim!Q56,"")</f>
        <v/>
      </c>
      <c r="R54" s="185" t="str">
        <f>IF(Tim!R56=FIT!$E$1,Tim!R56,"")</f>
        <v/>
      </c>
      <c r="S54" s="185" t="str">
        <f>IF(Tim!S56=FIT!$E$1,Tim!S56,"")</f>
        <v/>
      </c>
      <c r="T54" s="185" t="str">
        <f>IF(Tim!T56=FIT!$E$1,Tim!T56,"")</f>
        <v/>
      </c>
      <c r="U54" s="185" t="str">
        <f>IF(Tim!U56=FIT!$E$1,Tim!U56,"")</f>
        <v/>
      </c>
      <c r="V54" s="185" t="str">
        <f>IF(Tim!W56=FIT!$E$1,Tim!W56,"")</f>
        <v/>
      </c>
      <c r="W54" s="185" t="str">
        <f>IF(Tim!X56=FIT!$E$1,Tim!X56,"")</f>
        <v/>
      </c>
      <c r="X54" s="185" t="str">
        <f>IF(Tim!Y56=FIT!$E$1,Tim!Y56,"")</f>
        <v/>
      </c>
      <c r="Y54" s="185" t="str">
        <f>IF(Tim!Z56=FIT!$E$1,Tim!Z56,"")</f>
        <v/>
      </c>
      <c r="Z54" s="185" t="str">
        <f>IF(Tim!AA56=FIT!$E$1,Tim!AA56,"")</f>
        <v/>
      </c>
      <c r="AA54" s="185" t="str">
        <f>IF(Tim!AB56=FIT!$E$1,Tim!AB56,"")</f>
        <v/>
      </c>
      <c r="AB54" s="185" t="str">
        <f>IF(Tim!AC56=FIT!$E$1,Tim!AC56,"")</f>
        <v/>
      </c>
      <c r="AC54" s="185" t="str">
        <f>IF(Tim!AD56=FIT!$E$1,Tim!AD56,"")</f>
        <v/>
      </c>
      <c r="AD54" s="185" t="str">
        <f>IF(Tim!AE56=FIT!$E$1,Tim!AE56,"")</f>
        <v/>
      </c>
      <c r="AE54" s="185" t="str">
        <f>IF(Tim!AF56=FIT!$E$1,Tim!AF56,"")</f>
        <v/>
      </c>
      <c r="AF54" s="185" t="str">
        <f>IF(Tim!AG56=FIT!$E$1,Tim!AG56,"")</f>
        <v/>
      </c>
      <c r="AG54" s="185" t="str">
        <f>IF(Tim!AH56=FIT!$E$1,Tim!AH56,"")</f>
        <v/>
      </c>
      <c r="AH54" s="185" t="str">
        <f>IF(Tim!AI56=FIT!$E$1,Tim!AI56,"")</f>
        <v/>
      </c>
      <c r="AI54" s="185" t="str">
        <f>IF(Tim!AJ56=FIT!$E$1,Tim!AJ56,"")</f>
        <v/>
      </c>
      <c r="AJ54" s="185" t="str">
        <f>IF(Tim!AK56=FIT!$E$1,Tim!AK56,"")</f>
        <v/>
      </c>
      <c r="AK54" s="185" t="str">
        <f>IF(Tim!AL56=FIT!$E$1,Tim!AL56,"")</f>
        <v/>
      </c>
      <c r="AL54" s="185" t="str">
        <f>IF(Tim!AM56=FIT!$E$1,Tim!AM56,"")</f>
        <v/>
      </c>
      <c r="AM54" s="185" t="str">
        <f>IF(Tim!AN56=FIT!$E$1,Tim!AN56,"")</f>
        <v/>
      </c>
      <c r="AN54" s="185" t="str">
        <f>IF(Tim!AO56=FIT!$E$1,Tim!AO56,"")</f>
        <v/>
      </c>
      <c r="AO54" s="185" t="str">
        <f>IF(Tim!AP56=FIT!$E$1,Tim!AP56,"")</f>
        <v/>
      </c>
      <c r="AP54" s="185" t="str">
        <f>IF(Tim!AQ56=FIT!$E$1,Tim!AQ56,"")</f>
        <v/>
      </c>
      <c r="AQ54" s="185" t="str">
        <f>IF(Tim!AR56=FIT!$E$1,Tim!AR56,"")</f>
        <v/>
      </c>
      <c r="AR54" s="185" t="str">
        <f>IF(Tim!AS56=FIT!$E$1,Tim!AS56,"")</f>
        <v/>
      </c>
      <c r="AS54" s="185" t="str">
        <f>IF(Tim!AT56=FIT!$E$1,Tim!AT56,"")</f>
        <v/>
      </c>
      <c r="AT54" s="185" t="str">
        <f>IF(Tim!AU56=FIT!$E$1,Tim!AU56,"")</f>
        <v/>
      </c>
      <c r="AU54" s="185" t="str">
        <f>IF(Tim!AV56=FIT!$E$1,Tim!AV56,"")</f>
        <v/>
      </c>
      <c r="AV54" s="185" t="str">
        <f>IF(Tim!AW56=FIT!$E$1,Tim!AW56,"")</f>
        <v/>
      </c>
      <c r="AW54" s="186" t="str">
        <f>IF(Tim!AX56=FIT!$E$1,Tim!AX56,"")</f>
        <v/>
      </c>
      <c r="AX54" s="243" t="str">
        <f>IF(Tim!AY56=FIT!$E$1,Tim!AY56,"")</f>
        <v/>
      </c>
      <c r="AY54" s="185" t="str">
        <f>IF(Tim!AZ56=FIT!$E$1,Tim!AZ56,"")</f>
        <v/>
      </c>
      <c r="AZ54" s="185" t="str">
        <f>IF(Tim!BA56=FIT!$E$1,Tim!BA56,"")</f>
        <v/>
      </c>
      <c r="BA54" s="185" t="str">
        <f>IF(Tim!BB56=FIT!$E$1,Tim!BB56,"")</f>
        <v/>
      </c>
      <c r="BB54" s="185" t="str">
        <f>IF(Tim!BC56=FIT!$E$1,Tim!BC56,"")</f>
        <v/>
      </c>
      <c r="BC54" s="185" t="str">
        <f>IF(Tim!BD56=FIT!$E$1,Tim!BD56,"")</f>
        <v/>
      </c>
      <c r="BD54" s="185" t="str">
        <f>IF(Tim!BE56=FIT!$E$1,Tim!BE56,"")</f>
        <v/>
      </c>
      <c r="BE54" s="185" t="str">
        <f>IF(Tim!BF56=FIT!$E$1,Tim!BF56,"")</f>
        <v/>
      </c>
      <c r="BF54" s="185" t="str">
        <f>IF(Tim!BG56=FIT!$E$1,Tim!BG56,"")</f>
        <v/>
      </c>
      <c r="BG54" s="185" t="str">
        <f>IF(Tim!BH56=FIT!$E$1,Tim!BH56,"")</f>
        <v/>
      </c>
      <c r="BH54" s="185" t="str">
        <f>IF(Tim!BI56=FIT!$E$1,Tim!BI56,"")</f>
        <v/>
      </c>
      <c r="BI54" s="185" t="str">
        <f>IF(Tim!BJ56=FIT!$E$1,Tim!BJ56,"")</f>
        <v/>
      </c>
      <c r="BJ54" s="185" t="str">
        <f>IF(Tim!BK56=FIT!$E$1,Tim!BK56,"")</f>
        <v/>
      </c>
      <c r="BK54" s="185" t="str">
        <f>IF(Tim!BL56=FIT!$E$1,Tim!BL56,"")</f>
        <v/>
      </c>
      <c r="BL54" s="185" t="str">
        <f>IF(Tim!BM56=FIT!$E$1,Tim!BM56,"")</f>
        <v/>
      </c>
      <c r="BM54" s="185" t="str">
        <f>IF(Tim!BN56=FIT!$E$1,Tim!BN56,"")</f>
        <v/>
      </c>
      <c r="BN54" s="185" t="str">
        <f>IF(Tim!BO56=FIT!$E$1,Tim!BO56,"")</f>
        <v/>
      </c>
      <c r="BO54" s="185" t="str">
        <f>IF(Tim!BP56=FIT!$E$1,Tim!BP56,"")</f>
        <v/>
      </c>
      <c r="BP54" s="185" t="str">
        <f>IF(Tim!BQ56=FIT!$E$1,Tim!BQ56,"")</f>
        <v/>
      </c>
      <c r="BQ54" s="185" t="str">
        <f>IF(Tim!BR56=FIT!$E$1,Tim!BR56,"")</f>
        <v/>
      </c>
      <c r="BR54" s="185" t="str">
        <f>IF(Tim!BS56=FIT!$E$1,Tim!BS56,"")</f>
        <v/>
      </c>
      <c r="BS54" s="185" t="str">
        <f>IF(Tim!BT56=FIT!$E$1,Tim!BT56,"")</f>
        <v/>
      </c>
      <c r="BT54" s="185" t="str">
        <f>IF(Tim!BU56=FIT!$E$1,Tim!BU56,"")</f>
        <v/>
      </c>
      <c r="BU54" s="185" t="str">
        <f>IF(Tim!BV56=FIT!$E$1,Tim!BV56,"")</f>
        <v/>
      </c>
      <c r="BV54" s="185" t="str">
        <f>IF(Tim!BW56=FIT!$E$1,Tim!BW56,"")</f>
        <v/>
      </c>
      <c r="BW54" s="185" t="str">
        <f>IF(Tim!BX56=FIT!$E$1,Tim!BX56,"")</f>
        <v/>
      </c>
      <c r="BX54" s="185" t="str">
        <f>IF(Tim!BY56=FIT!$E$1,Tim!BY56,"")</f>
        <v/>
      </c>
      <c r="BY54" s="185" t="str">
        <f>IF(Tim!BZ56=FIT!$E$1,Tim!BZ56,"")</f>
        <v/>
      </c>
      <c r="BZ54" s="185" t="str">
        <f>IF(Tim!CA56=FIT!$E$1,Tim!CA56,"")</f>
        <v/>
      </c>
      <c r="CA54" s="185" t="str">
        <f>IF(Tim!CB56=FIT!$E$1,Tim!CB56,"")</f>
        <v/>
      </c>
      <c r="CB54" s="185" t="str">
        <f>IF(Tim!CC56=FIT!$E$1,Tim!CC56,"")</f>
        <v/>
      </c>
      <c r="CC54" s="185" t="str">
        <f>IF(Tim!CD56=FIT!$E$1,Tim!CD56,"")</f>
        <v/>
      </c>
      <c r="CD54" s="185" t="str">
        <f>IF(Tim!CE56=FIT!$E$1,Tim!CE56,"")</f>
        <v/>
      </c>
      <c r="CE54" s="185" t="str">
        <f>IF(Tim!CF56=FIT!$E$1,Tim!CF56,"")</f>
        <v/>
      </c>
      <c r="CF54" s="185" t="str">
        <f>IF(Tim!CG56=FIT!$E$1,Tim!CG56,"")</f>
        <v/>
      </c>
      <c r="CG54" s="185" t="str">
        <f>IF(Tim!CH56=FIT!$E$1,Tim!CH56,"")</f>
        <v/>
      </c>
      <c r="CH54" s="185" t="str">
        <f>IF(Tim!CI56=FIT!$E$1,Tim!CI56,"")</f>
        <v/>
      </c>
      <c r="CI54" s="185" t="str">
        <f>IF(Tim!CJ56=FIT!$E$1,Tim!CJ56,"")</f>
        <v/>
      </c>
      <c r="CJ54" s="185" t="str">
        <f>IF(Tim!CK56=FIT!$E$1,Tim!CK56,"")</f>
        <v/>
      </c>
      <c r="CK54" s="185" t="str">
        <f>IF(Tim!CL56=FIT!$E$1,Tim!CL56,"")</f>
        <v/>
      </c>
      <c r="CL54" s="185" t="str">
        <f>IF(Tim!CM56=FIT!$E$1,Tim!CM56,"")</f>
        <v/>
      </c>
      <c r="CM54" s="185" t="str">
        <f>IF(Tim!CN56=FIT!$E$1,Tim!CN56,"")</f>
        <v/>
      </c>
      <c r="CN54" s="185" t="str">
        <f>IF(Tim!CO56=FIT!$E$1,Tim!CO56,"")</f>
        <v/>
      </c>
      <c r="CO54" s="185" t="str">
        <f>IF(Tim!CP56=FIT!$E$1,Tim!CP56,"")</f>
        <v/>
      </c>
      <c r="CP54" s="185" t="str">
        <f>IF(Tim!CQ56=FIT!$E$1,Tim!CQ56,"")</f>
        <v/>
      </c>
      <c r="CQ54" s="185" t="str">
        <f>IF(Tim!CR56=FIT!$E$1,Tim!CR56,"")</f>
        <v/>
      </c>
      <c r="CR54" s="185" t="str">
        <f>IF(Tim!CS56=FIT!$E$1,Tim!CS56,"")</f>
        <v/>
      </c>
      <c r="CS54" s="185" t="str">
        <f>IF(Tim!CT56=FIT!$E$1,Tim!CT56,"")</f>
        <v/>
      </c>
      <c r="CT54" s="185" t="str">
        <f>IF(Tim!CU56=FIT!$E$1,Tim!CU56,"")</f>
        <v/>
      </c>
      <c r="CU54" s="185" t="str">
        <f>IF(Tim!CV56=FIT!$E$1,Tim!CV56,"")</f>
        <v/>
      </c>
      <c r="CV54" s="185" t="str">
        <f>IF(Tim!CW56=FIT!$E$1,Tim!CW56,"")</f>
        <v/>
      </c>
      <c r="CW54" s="185" t="str">
        <f>IF(Tim!CX56=FIT!$E$1,Tim!CX56,"")</f>
        <v/>
      </c>
      <c r="CX54" s="185" t="str">
        <f>IF(Tim!CY56=FIT!$E$1,Tim!CY56,"")</f>
        <v/>
      </c>
      <c r="CY54" s="185" t="str">
        <f>IF(Tim!CZ56=FIT!$E$1,Tim!CZ56,"")</f>
        <v/>
      </c>
      <c r="CZ54" s="185" t="str">
        <f>IF(Tim!DA56=FIT!$E$1,Tim!DA56,"")</f>
        <v/>
      </c>
      <c r="DA54" s="185" t="str">
        <f>IF(Tim!DB56=FIT!$E$1,Tim!DB56,"")</f>
        <v/>
      </c>
      <c r="DB54" s="185" t="str">
        <f>IF(Tim!DC56=FIT!$E$1,Tim!DC56,"")</f>
        <v/>
      </c>
      <c r="DC54" s="185" t="str">
        <f>IF(Tim!DD56=FIT!$E$1,Tim!DD56,"")</f>
        <v/>
      </c>
      <c r="DD54" s="185" t="str">
        <f>IF(Tim!DE56=FIT!$E$1,Tim!DE56,"")</f>
        <v/>
      </c>
      <c r="DE54" s="185" t="str">
        <f>IF(Tim!DF56=FIT!$E$1,Tim!DF56,"")</f>
        <v/>
      </c>
      <c r="DF54" s="185" t="str">
        <f>IF(Tim!DG56=FIT!$E$1,Tim!DG56,"")</f>
        <v/>
      </c>
      <c r="DG54" s="185" t="str">
        <f>IF(Tim!DH56=FIT!$E$1,Tim!DH56,"")</f>
        <v/>
      </c>
      <c r="DH54" s="185" t="str">
        <f>IF(Tim!DI56=FIT!$E$1,Tim!DI56,"")</f>
        <v/>
      </c>
      <c r="DI54" s="185" t="str">
        <f>IF(Tim!DM56=FIT!$E$1,Tim!DM56,"")</f>
        <v/>
      </c>
      <c r="DJ54" s="185" t="str">
        <f>IF(Tim!DN56=FIT!$E$1,Tim!DN56,"")</f>
        <v/>
      </c>
      <c r="DK54" s="185" t="str">
        <f>IF(Tim!DO56=FIT!$E$1,Tim!DO56,"")</f>
        <v/>
      </c>
      <c r="DL54" s="185" t="str">
        <f>IF(Tim!DP56=FIT!$E$1,Tim!DP56,"")</f>
        <v/>
      </c>
      <c r="DM54" s="185" t="str">
        <f>IF(Tim!DQ56=FIT!$E$1,Tim!DQ56,"")</f>
        <v/>
      </c>
      <c r="DN54" s="185" t="str">
        <f>IF(Tim!DR56=FIT!$E$1,Tim!DR56,"")</f>
        <v/>
      </c>
      <c r="DO54" s="185" t="str">
        <f>IF(Tim!DS56=FIT!$E$1,Tim!DS56,"")</f>
        <v/>
      </c>
      <c r="DP54" s="185" t="str">
        <f>IF(Tim!DT56=FIT!$E$1,Tim!DT56,"")</f>
        <v/>
      </c>
      <c r="DQ54" s="185" t="str">
        <f>IF(Tim!DU56=FIT!$E$1,Tim!DU56,"")</f>
        <v/>
      </c>
      <c r="DR54" s="185" t="str">
        <f>IF(Tim!DV56=FIT!$E$1,Tim!DV56,"")</f>
        <v/>
      </c>
      <c r="DS54" s="185" t="str">
        <f>IF(Tim!DW56=FIT!$E$1,Tim!DW56,"")</f>
        <v/>
      </c>
      <c r="DT54" s="185" t="str">
        <f>IF(Tim!DX56=FIT!$E$1,Tim!DX56,"")</f>
        <v/>
      </c>
      <c r="DU54" s="185" t="str">
        <f>IF(Tim!DY56=FIT!$E$1,Tim!DY56,"")</f>
        <v/>
      </c>
      <c r="DV54" s="185" t="str">
        <f>IF(Tim!DZ56=FIT!$E$1,Tim!DZ56,"")</f>
        <v/>
      </c>
      <c r="DW54" s="185" t="str">
        <f>IF(Tim!EA56=FIT!$E$1,Tim!EA56,"")</f>
        <v/>
      </c>
      <c r="DX54" s="185" t="str">
        <f>IF(Tim!EB56=FIT!$E$1,Tim!EB56,"")</f>
        <v/>
      </c>
      <c r="DY54" s="185" t="str">
        <f>IF(Tim!EC56=FIT!$E$1,Tim!EC56,"")</f>
        <v/>
      </c>
      <c r="DZ54" s="185" t="str">
        <f>IF(Tim!ED56=FIT!$E$1,Tim!ED56,"")</f>
        <v/>
      </c>
      <c r="EA54" s="185" t="str">
        <f>IF(Tim!EE56=FIT!$E$1,Tim!EE56,"")</f>
        <v/>
      </c>
      <c r="EB54" s="185" t="str">
        <f>IF(Tim!EF56=FIT!$E$1,Tim!EF56,"")</f>
        <v/>
      </c>
      <c r="EC54" s="185" t="str">
        <f>IF(Tim!EG56=FIT!$E$1,Tim!EG56,"")</f>
        <v/>
      </c>
      <c r="ED54" s="185" t="str">
        <f>IF(Tim!EH56=FIT!$E$1,Tim!EH56,"")</f>
        <v/>
      </c>
      <c r="EE54" s="185" t="str">
        <f>IF(Tim!EI56=FIT!$E$1,Tim!EI56,"")</f>
        <v/>
      </c>
      <c r="EF54" s="185" t="str">
        <f>IF(Tim!EJ56=FIT!$E$1,Tim!EJ56,"")</f>
        <v/>
      </c>
      <c r="EG54" s="185" t="str">
        <f>IF(Tim!EK56=FIT!$E$1,Tim!EK56,"")</f>
        <v/>
      </c>
      <c r="EH54" s="185" t="str">
        <f>IF(Tim!EL56=FIT!$E$1,Tim!EL56,"")</f>
        <v/>
      </c>
      <c r="EI54" s="185" t="str">
        <f>IF(Tim!EM56=FIT!$E$1,Tim!EM56,"")</f>
        <v/>
      </c>
      <c r="EJ54" s="185" t="str">
        <f>IF(Tim!EN56=FIT!$E$1,Tim!EN56,"")</f>
        <v/>
      </c>
      <c r="EK54" s="185" t="str">
        <f>IF(Tim!EO56=FIT!$E$1,Tim!EO56,"")</f>
        <v/>
      </c>
      <c r="EL54" s="185" t="str">
        <f>IF(Tim!EP56=FIT!$E$1,Tim!EP56,"")</f>
        <v/>
      </c>
      <c r="EM54" s="185" t="str">
        <f>IF(Tim!EQ56=FIT!$E$1,Tim!EQ56,"")</f>
        <v/>
      </c>
      <c r="EN54" s="185" t="str">
        <f>IF(Tim!ER56=FIT!$E$1,Tim!ER56,"")</f>
        <v/>
      </c>
      <c r="EO54" s="185" t="str">
        <f>IF(Tim!ES56=FIT!$E$1,Tim!ES56,"")</f>
        <v/>
      </c>
      <c r="EP54" s="185" t="str">
        <f>IF(Tim!ET56=FIT!$E$1,Tim!ET56,"")</f>
        <v/>
      </c>
      <c r="EQ54" s="185" t="str">
        <f>IF(Tim!EU56=FIT!$E$1,Tim!EU56,"")</f>
        <v/>
      </c>
      <c r="ER54" s="185" t="str">
        <f>IF(Tim!EV56=FIT!$E$1,Tim!EV56,"")</f>
        <v/>
      </c>
      <c r="ES54" s="185" t="str">
        <f>IF(Tim!EW56=FIT!$E$1,Tim!EW56,"")</f>
        <v/>
      </c>
      <c r="ET54" s="185" t="str">
        <f>IF(Tim!EX56=FIT!$E$1,Tim!EX56,"")</f>
        <v/>
      </c>
      <c r="EU54" s="185" t="str">
        <f>IF(Tim!EY56=FIT!$E$1,Tim!EY56,"")</f>
        <v/>
      </c>
      <c r="EV54" s="185" t="str">
        <f>IF(Tim!EZ56=FIT!$E$1,Tim!EZ56,"")</f>
        <v/>
      </c>
      <c r="EW54" s="185" t="str">
        <f>IF(Tim!FA56=FIT!$E$1,Tim!FA56,"")</f>
        <v/>
      </c>
      <c r="EX54" s="185" t="str">
        <f>IF(Tim!FB56=FIT!$E$1,Tim!FB56,"")</f>
        <v/>
      </c>
      <c r="EY54" s="185" t="str">
        <f>IF(Tim!FC56=FIT!$E$1,Tim!FC56,"")</f>
        <v/>
      </c>
      <c r="EZ54" s="185" t="str">
        <f>IF(Tim!FD56=FIT!$E$1,Tim!FD56,"")</f>
        <v/>
      </c>
      <c r="FA54" s="185" t="str">
        <f>IF(Tim!FE56=FIT!$E$1,Tim!FE56,"")</f>
        <v/>
      </c>
      <c r="FB54" s="185" t="str">
        <f>IF(Tim!FF56=FIT!$E$1,Tim!FF56,"")</f>
        <v/>
      </c>
      <c r="FC54" s="185" t="str">
        <f>IF(Tim!FG56=FIT!$E$1,Tim!FG56,"")</f>
        <v/>
      </c>
      <c r="FD54" s="185" t="str">
        <f>IF(Tim!FH56=FIT!$E$1,Tim!FH56,"")</f>
        <v/>
      </c>
      <c r="FE54" s="185" t="str">
        <f>IF(Tim!FI56=FIT!$E$1,Tim!FI56,"")</f>
        <v/>
      </c>
      <c r="FF54" s="185" t="str">
        <f>IF(Tim!FJ56=FIT!$E$1,Tim!FJ56,"")</f>
        <v/>
      </c>
      <c r="FG54" s="185" t="str">
        <f>IF(Tim!FK56=FIT!$E$1,Tim!FK56,"")</f>
        <v/>
      </c>
      <c r="FH54" s="185" t="str">
        <f>IF(Tim!FL56=FIT!$E$1,Tim!FL56,"")</f>
        <v/>
      </c>
      <c r="FI54" s="185" t="str">
        <f>IF(Tim!FM56=FIT!$E$1,Tim!FM56,"")</f>
        <v/>
      </c>
      <c r="FJ54" s="185" t="str">
        <f>IF(Tim!FN56=FIT!$E$1,Tim!FN56,"")</f>
        <v/>
      </c>
      <c r="FK54" s="185" t="str">
        <f>IF(Tim!FO56=FIT!$E$1,Tim!FO56,"")</f>
        <v/>
      </c>
      <c r="FL54" s="185" t="str">
        <f>IF(Tim!FP56=FIT!$E$1,Tim!FP56,"")</f>
        <v/>
      </c>
      <c r="FM54" s="185" t="str">
        <f>IF(Tim!FQ56=FIT!$E$1,Tim!FQ56,"")</f>
        <v/>
      </c>
      <c r="FN54" s="185" t="str">
        <f>IF(Tim!FR56=FIT!$E$1,Tim!FR56,"")</f>
        <v/>
      </c>
      <c r="FO54" s="185" t="str">
        <f>IF(Tim!FS56=FIT!$E$1,Tim!FS56,"")</f>
        <v/>
      </c>
      <c r="FP54" s="185" t="str">
        <f>IF(Tim!FT56=FIT!$E$1,Tim!FT56,"")</f>
        <v/>
      </c>
      <c r="FQ54" s="185" t="str">
        <f>IF(Tim!FU56=FIT!$E$1,Tim!FU56,"")</f>
        <v/>
      </c>
      <c r="FR54" s="185" t="str">
        <f>IF(Tim!FV56=FIT!$E$1,Tim!FV56,"")</f>
        <v/>
      </c>
      <c r="FS54" s="185" t="str">
        <f>IF(Tim!FW56=FIT!$E$1,Tim!FW56,"")</f>
        <v/>
      </c>
      <c r="FT54" s="185" t="str">
        <f>IF(Tim!FX56=FIT!$E$1,Tim!FX56,"")</f>
        <v/>
      </c>
      <c r="FU54" s="185" t="str">
        <f>IF(Tim!FY56=FIT!$E$1,Tim!FY56,"")</f>
        <v/>
      </c>
      <c r="FV54" s="185" t="str">
        <f>IF(Tim!FZ56=FIT!$E$1,Tim!FZ56,"")</f>
        <v/>
      </c>
      <c r="FW54" s="185" t="str">
        <f>IF(Tim!GA56=FIT!$E$1,Tim!GA56,"")</f>
        <v/>
      </c>
      <c r="FX54" s="185" t="str">
        <f>IF(Tim!GB56=FIT!$E$1,Tim!GB56,"")</f>
        <v/>
      </c>
      <c r="FY54" s="185" t="str">
        <f>IF(Tim!GC56=FIT!$E$1,Tim!GC56,"")</f>
        <v/>
      </c>
      <c r="FZ54" s="185" t="str">
        <f>IF(Tim!GD56=FIT!$E$1,Tim!GD56,"")</f>
        <v/>
      </c>
      <c r="GA54" s="185" t="str">
        <f>IF(Tim!GE56=FIT!$E$1,Tim!GE56,"")</f>
        <v/>
      </c>
      <c r="GB54" s="185" t="str">
        <f>IF(Tim!GF56=FIT!$E$1,Tim!GF56,"")</f>
        <v/>
      </c>
      <c r="GC54" s="185" t="str">
        <f>IF(Tim!GG56=FIT!$E$1,Tim!GG56,"")</f>
        <v/>
      </c>
      <c r="GD54" s="185" t="str">
        <f>IF(Tim!GH56=FIT!$E$1,Tim!GH56,"")</f>
        <v/>
      </c>
      <c r="GE54" s="185" t="str">
        <f>IF(Tim!GI56=FIT!$E$1,Tim!GI56,"")</f>
        <v/>
      </c>
      <c r="GF54" s="185" t="str">
        <f>IF(Tim!GJ56=FIT!$E$1,Tim!GJ56,"")</f>
        <v/>
      </c>
      <c r="GG54" s="185" t="str">
        <f>IF(Tim!GK56=FIT!$E$1,Tim!GK56,"")</f>
        <v/>
      </c>
      <c r="GH54" s="185" t="str">
        <f>IF(Tim!GL56=FIT!$E$1,Tim!GL56,"")</f>
        <v/>
      </c>
      <c r="GI54" s="185" t="str">
        <f>IF(Tim!GM56=FIT!$E$1,Tim!GM56,"")</f>
        <v/>
      </c>
      <c r="GJ54" s="185" t="str">
        <f>IF(Tim!GN56=FIT!$E$1,Tim!GN56,"")</f>
        <v/>
      </c>
      <c r="GK54" s="185" t="str">
        <f>IF(Tim!GO56=FIT!$E$1,Tim!GO56,"")</f>
        <v/>
      </c>
      <c r="GL54" s="185" t="str">
        <f>IF(Tim!GP56=FIT!$E$1,Tim!GP56,"")</f>
        <v/>
      </c>
      <c r="GM54" s="185" t="str">
        <f>IF(Tim!GQ56=FIT!$E$1,Tim!GQ56,"")</f>
        <v/>
      </c>
      <c r="GN54" s="185" t="str">
        <f>IF(Tim!GR56=FIT!$E$1,Tim!GR56,"")</f>
        <v/>
      </c>
      <c r="GO54" s="185" t="str">
        <f>IF(Tim!GS56=FIT!$E$1,Tim!GS56,"")</f>
        <v/>
      </c>
      <c r="GP54" s="185" t="str">
        <f>IF(Tim!GT56=FIT!$E$1,Tim!GT56,"")</f>
        <v/>
      </c>
      <c r="GQ54" s="185" t="str">
        <f>IF(Tim!GU56=FIT!$E$1,Tim!GU56,"")</f>
        <v/>
      </c>
      <c r="GR54" s="185" t="str">
        <f>IF(Tim!GV56=FIT!$E$1,Tim!GV56,"")</f>
        <v/>
      </c>
      <c r="GS54" s="185" t="str">
        <f>IF(Tim!GW56=FIT!$E$1,Tim!GW56,"")</f>
        <v/>
      </c>
      <c r="GT54" s="185" t="str">
        <f>IF(Tim!GX56=FIT!$E$1,Tim!GX56,"")</f>
        <v/>
      </c>
      <c r="GU54" s="185" t="str">
        <f>IF(Tim!GY56=FIT!$E$1,Tim!GY56,"")</f>
        <v/>
      </c>
      <c r="GV54" s="185" t="str">
        <f>IF(Tim!GZ56=FIT!$E$1,Tim!GZ56,"")</f>
        <v/>
      </c>
      <c r="GW54" s="185" t="str">
        <f>IF(Tim!HA56=FIT!$E$1,Tim!HA56,"")</f>
        <v/>
      </c>
      <c r="GX54" s="185" t="str">
        <f>IF(Tim!HB56=FIT!$E$1,Tim!HB56,"")</f>
        <v/>
      </c>
      <c r="GY54" s="185" t="str">
        <f>IF(Tim!HC56=FIT!$E$1,Tim!HC56,"")</f>
        <v/>
      </c>
      <c r="GZ54" s="185" t="str">
        <f>IF(Tim!HD56=FIT!$E$1,Tim!HD56,"")</f>
        <v/>
      </c>
      <c r="HA54" s="185" t="str">
        <f>IF(Tim!HE56=FIT!$E$1,Tim!HE56,"")</f>
        <v/>
      </c>
      <c r="HB54" s="185" t="str">
        <f>IF(Tim!HF56=FIT!$E$1,Tim!HF56,"")</f>
        <v/>
      </c>
      <c r="HC54" s="185" t="str">
        <f>IF(Tim!HG56=FIT!$E$1,Tim!HG56,"")</f>
        <v/>
      </c>
      <c r="HD54" s="185" t="str">
        <f>IF(Tim!HH56=FIT!$E$1,Tim!HH56,"")</f>
        <v/>
      </c>
      <c r="HE54" s="185" t="str">
        <f>IF(Tim!HI56=FIT!$E$1,Tim!HI56,"")</f>
        <v/>
      </c>
      <c r="HF54" s="185" t="str">
        <f>IF(Tim!HJ56=FIT!$E$1,Tim!HJ56,"")</f>
        <v/>
      </c>
      <c r="HG54" s="185" t="str">
        <f>IF(Tim!HK56=FIT!$E$1,Tim!HK56,"")</f>
        <v/>
      </c>
      <c r="HH54" s="185" t="str">
        <f>IF(Tim!HL56=FIT!$E$1,Tim!HL56,"")</f>
        <v/>
      </c>
      <c r="HI54" s="185" t="str">
        <f>IF(Tim!HM56=FIT!$E$1,Tim!HM56,"")</f>
        <v/>
      </c>
      <c r="HJ54" s="185" t="str">
        <f>IF(Tim!HN56=FIT!$E$1,Tim!HN56,"")</f>
        <v/>
      </c>
      <c r="HK54" s="185" t="str">
        <f>IF(Tim!HO56=FIT!$E$1,Tim!HO56,"")</f>
        <v/>
      </c>
      <c r="HL54" s="185" t="str">
        <f>IF(Tim!HP56=FIT!$E$1,Tim!HP56,"")</f>
        <v/>
      </c>
      <c r="HM54" s="185" t="str">
        <f>IF(Tim!HQ56=FIT!$E$1,Tim!HQ56,"")</f>
        <v/>
      </c>
      <c r="HN54" s="185" t="str">
        <f>IF(Tim!HR56=FIT!$E$1,Tim!HR56,"")</f>
        <v/>
      </c>
      <c r="HO54" s="185" t="str">
        <f>IF(Tim!HS56=FIT!$E$1,Tim!HS56,"")</f>
        <v/>
      </c>
      <c r="HP54" s="185" t="str">
        <f>IF(Tim!HT56=FIT!$E$1,Tim!HT56,"")</f>
        <v/>
      </c>
      <c r="HQ54" s="185" t="str">
        <f>IF(Tim!HU56=FIT!$E$1,Tim!HU56,"")</f>
        <v/>
      </c>
      <c r="HR54" s="185" t="str">
        <f>IF(Tim!HV56=FIT!$E$1,Tim!HV56,"")</f>
        <v/>
      </c>
      <c r="HS54" s="185" t="str">
        <f>IF(Tim!HW56=FIT!$E$1,Tim!HW56,"")</f>
        <v/>
      </c>
      <c r="HT54" s="185" t="str">
        <f>IF(Tim!HX56=FIT!$E$1,Tim!HX56,"")</f>
        <v/>
      </c>
      <c r="HU54" s="185" t="str">
        <f>IF(Tim!HY56=FIT!$E$1,Tim!HY56,"")</f>
        <v/>
      </c>
      <c r="HV54" s="185" t="str">
        <f>IF(Tim!HZ56=FIT!$E$1,Tim!HZ56,"")</f>
        <v/>
      </c>
      <c r="HW54" s="185" t="str">
        <f>IF(Tim!IA56=FIT!$E$1,Tim!IA56,"")</f>
        <v/>
      </c>
      <c r="HX54" s="185" t="str">
        <f>IF(Tim!IB56=FIT!$E$1,Tim!IB56,"")</f>
        <v/>
      </c>
      <c r="HY54" s="185" t="str">
        <f>IF(Tim!IC56=FIT!$E$1,Tim!IC56,"")</f>
        <v/>
      </c>
      <c r="HZ54" s="185" t="str">
        <f>IF(Tim!ID56=FIT!$E$1,Tim!ID56,"")</f>
        <v/>
      </c>
      <c r="IA54" s="185" t="str">
        <f>IF(Tim!IE56=FIT!$E$1,Tim!IE56,"")</f>
        <v/>
      </c>
      <c r="IB54" s="185" t="str">
        <f>IF(Tim!IF56=FIT!$E$1,Tim!IF56,"")</f>
        <v/>
      </c>
      <c r="IC54" s="185" t="str">
        <f>IF(Tim!IG56=FIT!$E$1,Tim!IG56,"")</f>
        <v/>
      </c>
      <c r="ID54" s="185" t="str">
        <f>IF(Tim!IH56=FIT!$E$1,Tim!IH56,"")</f>
        <v/>
      </c>
      <c r="IE54" s="185" t="str">
        <f>IF(Tim!II56=FIT!$E$1,Tim!II56,"")</f>
        <v/>
      </c>
      <c r="IF54" s="185" t="str">
        <f>IF(Tim!IJ56=FIT!$E$1,Tim!IJ56,"")</f>
        <v/>
      </c>
      <c r="IG54" s="185" t="str">
        <f>IF(Tim!IK56=FIT!$E$1,Tim!IK56,"")</f>
        <v/>
      </c>
      <c r="IH54" s="185" t="str">
        <f>IF(Tim!IL56=FIT!$E$1,Tim!IL56,"")</f>
        <v/>
      </c>
      <c r="II54" s="185" t="str">
        <f>IF(Tim!IM56=FIT!$E$1,Tim!IM56,"")</f>
        <v/>
      </c>
      <c r="IJ54" s="185" t="str">
        <f>IF(Tim!IN56=FIT!$E$1,Tim!IN56,"")</f>
        <v/>
      </c>
      <c r="IK54" s="185" t="str">
        <f>IF(Tim!IO56=FIT!$E$1,Tim!IO56,"")</f>
        <v/>
      </c>
      <c r="IL54" s="185" t="str">
        <f>IF(Tim!IP56=FIT!$E$1,Tim!IP56,"")</f>
        <v/>
      </c>
      <c r="IM54" s="185" t="str">
        <f>IF(Tim!IQ56=FIT!$E$1,Tim!IQ56,"")</f>
        <v/>
      </c>
      <c r="IN54" s="185" t="str">
        <f>IF(Tim!IR56=FIT!$E$1,Tim!IR56,"")</f>
        <v/>
      </c>
      <c r="IO54" s="185" t="str">
        <f>IF(Tim!IS56=FIT!$E$1,Tim!IS56,"")</f>
        <v/>
      </c>
      <c r="IP54" s="185" t="str">
        <f>IF(Tim!IT56=FIT!$E$1,Tim!IT56,"")</f>
        <v/>
      </c>
      <c r="IQ54" s="185" t="str">
        <f>IF(Tim!IU56=FIT!$E$1,Tim!IU56,"")</f>
        <v/>
      </c>
      <c r="IR54" s="185" t="str">
        <f>IF(Tim!IV56=FIT!$E$1,Tim!IV56,"")</f>
        <v/>
      </c>
      <c r="IS54" s="185" t="str">
        <f>IF(Tim!IW56=FIT!$E$1,Tim!IW56,"")</f>
        <v/>
      </c>
      <c r="IT54" s="185" t="str">
        <f>IF(Tim!IX56=FIT!$E$1,Tim!IX56,"")</f>
        <v/>
      </c>
      <c r="IU54" s="185" t="str">
        <f>IF(Tim!IY56=FIT!$E$1,Tim!IY56,"")</f>
        <v/>
      </c>
      <c r="IV54" s="185" t="str">
        <f>IF(Tim!IZ56=FIT!$E$1,Tim!IZ56,"")</f>
        <v/>
      </c>
      <c r="IW54" s="185" t="str">
        <f>IF(Tim!JA56=FIT!$E$1,Tim!JA56,"")</f>
        <v/>
      </c>
      <c r="IX54" s="185" t="str">
        <f>IF(Tim!JB56=FIT!$E$1,Tim!JB56,"")</f>
        <v/>
      </c>
      <c r="IY54" s="185" t="str">
        <f>IF(Tim!JC56=FIT!$E$1,Tim!JC56,"")</f>
        <v/>
      </c>
      <c r="IZ54" s="185" t="str">
        <f>IF(Tim!JD56=FIT!$E$1,Tim!JD56,"")</f>
        <v/>
      </c>
      <c r="JA54" s="185" t="str">
        <f>IF(Tim!JE56=FIT!$E$1,Tim!JE56,"")</f>
        <v/>
      </c>
      <c r="JB54" s="185" t="str">
        <f>IF(Tim!JF56=FIT!$E$1,Tim!JF56,"")</f>
        <v/>
      </c>
      <c r="JC54" s="185" t="str">
        <f>IF(Tim!JG56=FIT!$E$1,Tim!JG56,"")</f>
        <v/>
      </c>
      <c r="JD54" s="185" t="str">
        <f>IF(Tim!JH56=FIT!$E$1,Tim!JH56,"")</f>
        <v/>
      </c>
      <c r="JE54" s="185" t="str">
        <f>IF(Tim!JI56=FIT!$E$1,Tim!JI56,"")</f>
        <v/>
      </c>
      <c r="JF54" s="185" t="str">
        <f>IF(Tim!JJ56=FIT!$E$1,Tim!JJ56,"")</f>
        <v/>
      </c>
      <c r="JG54" s="185" t="str">
        <f>IF(Tim!JK56=FIT!$E$1,Tim!JK56,"")</f>
        <v/>
      </c>
      <c r="JH54" s="185" t="str">
        <f>IF(Tim!JL56=FIT!$E$1,Tim!JL56,"")</f>
        <v/>
      </c>
      <c r="JI54" s="185" t="str">
        <f>IF(Tim!JM56=FIT!$E$1,Tim!JM56,"")</f>
        <v/>
      </c>
      <c r="JJ54" s="366"/>
      <c r="JK54" s="366"/>
      <c r="JL54" s="366"/>
      <c r="JM54" s="366"/>
      <c r="JN54" s="366"/>
      <c r="JO54" s="366"/>
      <c r="JP54" s="366"/>
      <c r="JQ54" s="366"/>
      <c r="JR54" s="366"/>
      <c r="JS54" s="366"/>
      <c r="JT54" s="366"/>
      <c r="JU54" s="366"/>
      <c r="JV54" s="366"/>
      <c r="JW54" s="366"/>
      <c r="JX54" s="366"/>
      <c r="JY54" s="366"/>
      <c r="JZ54" s="366"/>
      <c r="KA54" s="366"/>
      <c r="KB54" s="366"/>
      <c r="KC54" s="366"/>
      <c r="KD54" s="366"/>
      <c r="KE54" s="366"/>
      <c r="KF54" s="366"/>
      <c r="KG54" s="366"/>
      <c r="KH54" s="366"/>
      <c r="KI54" s="366"/>
      <c r="KJ54" s="366"/>
      <c r="KK54" s="366"/>
      <c r="KL54" s="366"/>
      <c r="KM54" s="366"/>
      <c r="KN54" s="366"/>
      <c r="KO54" s="366"/>
      <c r="KP54" s="366"/>
      <c r="KQ54" s="366"/>
      <c r="KR54" s="366"/>
      <c r="KS54" s="366"/>
      <c r="KT54" s="366"/>
      <c r="KU54" s="366"/>
      <c r="KV54" s="366"/>
      <c r="KW54" s="366"/>
      <c r="KX54" s="366"/>
      <c r="KY54" s="366"/>
      <c r="KZ54" s="366"/>
      <c r="LA54" s="428"/>
      <c r="LB54" s="52">
        <v>0.80208333333333204</v>
      </c>
    </row>
    <row r="55" spans="2:314" ht="10.5" customHeight="1">
      <c r="B55" s="49">
        <v>0.25</v>
      </c>
      <c r="C55" s="49">
        <v>0.25</v>
      </c>
      <c r="D55" s="49">
        <v>0.25</v>
      </c>
      <c r="E55" s="172">
        <v>0.812499999999998</v>
      </c>
      <c r="F55" s="238" t="str">
        <f>IF(Tim!F57=FIT!$E$1,Tim!F57,"")</f>
        <v/>
      </c>
      <c r="G55" s="185" t="str">
        <f>IF(Tim!G57=FIT!$E$1,Tim!G57,"")</f>
        <v/>
      </c>
      <c r="H55" s="185" t="str">
        <f>IF(Tim!H57=FIT!$E$1,Tim!H57,"")</f>
        <v/>
      </c>
      <c r="I55" s="185" t="str">
        <f>IF(Tim!I57=FIT!$E$1,Tim!I57,"")</f>
        <v/>
      </c>
      <c r="J55" s="185" t="str">
        <f>IF(Tim!J57=FIT!$E$1,Tim!J57,"")</f>
        <v/>
      </c>
      <c r="K55" s="185" t="str">
        <f>IF(Tim!K57=FIT!$E$1,Tim!K57,"")</f>
        <v/>
      </c>
      <c r="L55" s="185" t="str">
        <f>IF(Tim!L57=FIT!$E$1,Tim!L57,"")</f>
        <v/>
      </c>
      <c r="M55" s="185" t="str">
        <f>IF(Tim!M57=FIT!$E$1,Tim!M57,"")</f>
        <v/>
      </c>
      <c r="N55" s="185" t="str">
        <f>IF(Tim!N57=FIT!$E$1,Tim!N57,"")</f>
        <v/>
      </c>
      <c r="O55" s="185" t="str">
        <f>IF(Tim!O57=FIT!$E$1,Tim!O57,"")</f>
        <v/>
      </c>
      <c r="P55" s="185" t="str">
        <f>IF(Tim!P57=FIT!$E$1,Tim!P57,"")</f>
        <v/>
      </c>
      <c r="Q55" s="185" t="str">
        <f>IF(Tim!Q57=FIT!$E$1,Tim!Q57,"")</f>
        <v/>
      </c>
      <c r="R55" s="185" t="str">
        <f>IF(Tim!R57=FIT!$E$1,Tim!R57,"")</f>
        <v/>
      </c>
      <c r="S55" s="185" t="str">
        <f>IF(Tim!S57=FIT!$E$1,Tim!S57,"")</f>
        <v/>
      </c>
      <c r="T55" s="185" t="str">
        <f>IF(Tim!T57=FIT!$E$1,Tim!T57,"")</f>
        <v/>
      </c>
      <c r="U55" s="185" t="str">
        <f>IF(Tim!U57=FIT!$E$1,Tim!U57,"")</f>
        <v/>
      </c>
      <c r="V55" s="185" t="str">
        <f>IF(Tim!W57=FIT!$E$1,Tim!W57,"")</f>
        <v/>
      </c>
      <c r="W55" s="185" t="str">
        <f>IF(Tim!X57=FIT!$E$1,Tim!X57,"")</f>
        <v/>
      </c>
      <c r="X55" s="185" t="str">
        <f>IF(Tim!Y57=FIT!$E$1,Tim!Y57,"")</f>
        <v/>
      </c>
      <c r="Y55" s="185" t="str">
        <f>IF(Tim!Z57=FIT!$E$1,Tim!Z57,"")</f>
        <v/>
      </c>
      <c r="Z55" s="185" t="str">
        <f>IF(Tim!AA57=FIT!$E$1,Tim!AA57,"")</f>
        <v/>
      </c>
      <c r="AA55" s="185" t="str">
        <f>IF(Tim!AB57=FIT!$E$1,Tim!AB57,"")</f>
        <v/>
      </c>
      <c r="AB55" s="185" t="str">
        <f>IF(Tim!AC57=FIT!$E$1,Tim!AC57,"")</f>
        <v/>
      </c>
      <c r="AC55" s="185" t="str">
        <f>IF(Tim!AD57=FIT!$E$1,Tim!AD57,"")</f>
        <v/>
      </c>
      <c r="AD55" s="185" t="str">
        <f>IF(Tim!AE57=FIT!$E$1,Tim!AE57,"")</f>
        <v/>
      </c>
      <c r="AE55" s="185" t="str">
        <f>IF(Tim!AF57=FIT!$E$1,Tim!AF57,"")</f>
        <v/>
      </c>
      <c r="AF55" s="185" t="str">
        <f>IF(Tim!AG57=FIT!$E$1,Tim!AG57,"")</f>
        <v/>
      </c>
      <c r="AG55" s="185" t="str">
        <f>IF(Tim!AH57=FIT!$E$1,Tim!AH57,"")</f>
        <v/>
      </c>
      <c r="AH55" s="185" t="str">
        <f>IF(Tim!AI57=FIT!$E$1,Tim!AI57,"")</f>
        <v/>
      </c>
      <c r="AI55" s="185" t="str">
        <f>IF(Tim!AJ57=FIT!$E$1,Tim!AJ57,"")</f>
        <v/>
      </c>
      <c r="AJ55" s="185" t="str">
        <f>IF(Tim!AK57=FIT!$E$1,Tim!AK57,"")</f>
        <v/>
      </c>
      <c r="AK55" s="185" t="str">
        <f>IF(Tim!AL57=FIT!$E$1,Tim!AL57,"")</f>
        <v/>
      </c>
      <c r="AL55" s="185" t="str">
        <f>IF(Tim!AM57=FIT!$E$1,Tim!AM57,"")</f>
        <v/>
      </c>
      <c r="AM55" s="185" t="str">
        <f>IF(Tim!AN57=FIT!$E$1,Tim!AN57,"")</f>
        <v/>
      </c>
      <c r="AN55" s="185" t="str">
        <f>IF(Tim!AO57=FIT!$E$1,Tim!AO57,"")</f>
        <v/>
      </c>
      <c r="AO55" s="185" t="str">
        <f>IF(Tim!AP57=FIT!$E$1,Tim!AP57,"")</f>
        <v/>
      </c>
      <c r="AP55" s="185" t="str">
        <f>IF(Tim!AQ57=FIT!$E$1,Tim!AQ57,"")</f>
        <v/>
      </c>
      <c r="AQ55" s="185" t="str">
        <f>IF(Tim!AR57=FIT!$E$1,Tim!AR57,"")</f>
        <v/>
      </c>
      <c r="AR55" s="185" t="str">
        <f>IF(Tim!AS57=FIT!$E$1,Tim!AS57,"")</f>
        <v/>
      </c>
      <c r="AS55" s="185" t="str">
        <f>IF(Tim!AT57=FIT!$E$1,Tim!AT57,"")</f>
        <v/>
      </c>
      <c r="AT55" s="185" t="str">
        <f>IF(Tim!AU57=FIT!$E$1,Tim!AU57,"")</f>
        <v/>
      </c>
      <c r="AU55" s="185" t="str">
        <f>IF(Tim!AV57=FIT!$E$1,Tim!AV57,"")</f>
        <v/>
      </c>
      <c r="AV55" s="185" t="str">
        <f>IF(Tim!AW57=FIT!$E$1,Tim!AW57,"")</f>
        <v/>
      </c>
      <c r="AW55" s="186" t="str">
        <f>IF(Tim!AX57=FIT!$E$1,Tim!AX57,"")</f>
        <v/>
      </c>
      <c r="AX55" s="243" t="str">
        <f>IF(Tim!AY57=FIT!$E$1,Tim!AY57,"")</f>
        <v/>
      </c>
      <c r="AY55" s="185" t="str">
        <f>IF(Tim!AZ57=FIT!$E$1,Tim!AZ57,"")</f>
        <v/>
      </c>
      <c r="AZ55" s="185" t="str">
        <f>IF(Tim!BA57=FIT!$E$1,Tim!BA57,"")</f>
        <v/>
      </c>
      <c r="BA55" s="185" t="str">
        <f>IF(Tim!BB57=FIT!$E$1,Tim!BB57,"")</f>
        <v/>
      </c>
      <c r="BB55" s="185" t="str">
        <f>IF(Tim!BC57=FIT!$E$1,Tim!BC57,"")</f>
        <v/>
      </c>
      <c r="BC55" s="185" t="str">
        <f>IF(Tim!BD57=FIT!$E$1,Tim!BD57,"")</f>
        <v/>
      </c>
      <c r="BD55" s="185" t="str">
        <f>IF(Tim!BE57=FIT!$E$1,Tim!BE57,"")</f>
        <v/>
      </c>
      <c r="BE55" s="185" t="str">
        <f>IF(Tim!BF57=FIT!$E$1,Tim!BF57,"")</f>
        <v/>
      </c>
      <c r="BF55" s="185" t="str">
        <f>IF(Tim!BG57=FIT!$E$1,Tim!BG57,"")</f>
        <v/>
      </c>
      <c r="BG55" s="185" t="str">
        <f>IF(Tim!BH57=FIT!$E$1,Tim!BH57,"")</f>
        <v/>
      </c>
      <c r="BH55" s="185" t="str">
        <f>IF(Tim!BI57=FIT!$E$1,Tim!BI57,"")</f>
        <v/>
      </c>
      <c r="BI55" s="185" t="str">
        <f>IF(Tim!BJ57=FIT!$E$1,Tim!BJ57,"")</f>
        <v/>
      </c>
      <c r="BJ55" s="185" t="str">
        <f>IF(Tim!BK57=FIT!$E$1,Tim!BK57,"")</f>
        <v/>
      </c>
      <c r="BK55" s="185" t="str">
        <f>IF(Tim!BL57=FIT!$E$1,Tim!BL57,"")</f>
        <v/>
      </c>
      <c r="BL55" s="185" t="str">
        <f>IF(Tim!BM57=FIT!$E$1,Tim!BM57,"")</f>
        <v/>
      </c>
      <c r="BM55" s="185" t="str">
        <f>IF(Tim!BN57=FIT!$E$1,Tim!BN57,"")</f>
        <v/>
      </c>
      <c r="BN55" s="185" t="str">
        <f>IF(Tim!BO57=FIT!$E$1,Tim!BO57,"")</f>
        <v/>
      </c>
      <c r="BO55" s="185" t="str">
        <f>IF(Tim!BP57=FIT!$E$1,Tim!BP57,"")</f>
        <v/>
      </c>
      <c r="BP55" s="185" t="str">
        <f>IF(Tim!BQ57=FIT!$E$1,Tim!BQ57,"")</f>
        <v/>
      </c>
      <c r="BQ55" s="185" t="str">
        <f>IF(Tim!BR57=FIT!$E$1,Tim!BR57,"")</f>
        <v/>
      </c>
      <c r="BR55" s="185" t="str">
        <f>IF(Tim!BS57=FIT!$E$1,Tim!BS57,"")</f>
        <v/>
      </c>
      <c r="BS55" s="185" t="str">
        <f>IF(Tim!BT57=FIT!$E$1,Tim!BT57,"")</f>
        <v/>
      </c>
      <c r="BT55" s="185" t="str">
        <f>IF(Tim!BU57=FIT!$E$1,Tim!BU57,"")</f>
        <v/>
      </c>
      <c r="BU55" s="185" t="str">
        <f>IF(Tim!BV57=FIT!$E$1,Tim!BV57,"")</f>
        <v/>
      </c>
      <c r="BV55" s="185" t="str">
        <f>IF(Tim!BW57=FIT!$E$1,Tim!BW57,"")</f>
        <v/>
      </c>
      <c r="BW55" s="185" t="str">
        <f>IF(Tim!BX57=FIT!$E$1,Tim!BX57,"")</f>
        <v/>
      </c>
      <c r="BX55" s="185" t="str">
        <f>IF(Tim!BY57=FIT!$E$1,Tim!BY57,"")</f>
        <v/>
      </c>
      <c r="BY55" s="185" t="str">
        <f>IF(Tim!BZ57=FIT!$E$1,Tim!BZ57,"")</f>
        <v/>
      </c>
      <c r="BZ55" s="185" t="str">
        <f>IF(Tim!CA57=FIT!$E$1,Tim!CA57,"")</f>
        <v/>
      </c>
      <c r="CA55" s="185" t="str">
        <f>IF(Tim!CB57=FIT!$E$1,Tim!CB57,"")</f>
        <v/>
      </c>
      <c r="CB55" s="185" t="str">
        <f>IF(Tim!CC57=FIT!$E$1,Tim!CC57,"")</f>
        <v/>
      </c>
      <c r="CC55" s="185" t="str">
        <f>IF(Tim!CD57=FIT!$E$1,Tim!CD57,"")</f>
        <v/>
      </c>
      <c r="CD55" s="185" t="str">
        <f>IF(Tim!CE57=FIT!$E$1,Tim!CE57,"")</f>
        <v/>
      </c>
      <c r="CE55" s="185" t="str">
        <f>IF(Tim!CF57=FIT!$E$1,Tim!CF57,"")</f>
        <v/>
      </c>
      <c r="CF55" s="185" t="str">
        <f>IF(Tim!CG57=FIT!$E$1,Tim!CG57,"")</f>
        <v/>
      </c>
      <c r="CG55" s="185" t="str">
        <f>IF(Tim!CH57=FIT!$E$1,Tim!CH57,"")</f>
        <v/>
      </c>
      <c r="CH55" s="185" t="str">
        <f>IF(Tim!CI57=FIT!$E$1,Tim!CI57,"")</f>
        <v/>
      </c>
      <c r="CI55" s="185" t="str">
        <f>IF(Tim!CJ57=FIT!$E$1,Tim!CJ57,"")</f>
        <v/>
      </c>
      <c r="CJ55" s="185" t="str">
        <f>IF(Tim!CK57=FIT!$E$1,Tim!CK57,"")</f>
        <v/>
      </c>
      <c r="CK55" s="185" t="str">
        <f>IF(Tim!CL57=FIT!$E$1,Tim!CL57,"")</f>
        <v/>
      </c>
      <c r="CL55" s="185" t="str">
        <f>IF(Tim!CM57=FIT!$E$1,Tim!CM57,"")</f>
        <v/>
      </c>
      <c r="CM55" s="185" t="str">
        <f>IF(Tim!CN57=FIT!$E$1,Tim!CN57,"")</f>
        <v/>
      </c>
      <c r="CN55" s="185" t="str">
        <f>IF(Tim!CO57=FIT!$E$1,Tim!CO57,"")</f>
        <v/>
      </c>
      <c r="CO55" s="185" t="str">
        <f>IF(Tim!CP57=FIT!$E$1,Tim!CP57,"")</f>
        <v/>
      </c>
      <c r="CP55" s="185" t="str">
        <f>IF(Tim!CQ57=FIT!$E$1,Tim!CQ57,"")</f>
        <v/>
      </c>
      <c r="CQ55" s="185" t="str">
        <f>IF(Tim!CR57=FIT!$E$1,Tim!CR57,"")</f>
        <v/>
      </c>
      <c r="CR55" s="185" t="str">
        <f>IF(Tim!CS57=FIT!$E$1,Tim!CS57,"")</f>
        <v/>
      </c>
      <c r="CS55" s="185" t="str">
        <f>IF(Tim!CT57=FIT!$E$1,Tim!CT57,"")</f>
        <v/>
      </c>
      <c r="CT55" s="185" t="str">
        <f>IF(Tim!CU57=FIT!$E$1,Tim!CU57,"")</f>
        <v/>
      </c>
      <c r="CU55" s="185" t="str">
        <f>IF(Tim!CV57=FIT!$E$1,Tim!CV57,"")</f>
        <v/>
      </c>
      <c r="CV55" s="185" t="str">
        <f>IF(Tim!CW57=FIT!$E$1,Tim!CW57,"")</f>
        <v/>
      </c>
      <c r="CW55" s="185" t="str">
        <f>IF(Tim!CX57=FIT!$E$1,Tim!CX57,"")</f>
        <v/>
      </c>
      <c r="CX55" s="185" t="str">
        <f>IF(Tim!CY57=FIT!$E$1,Tim!CY57,"")</f>
        <v/>
      </c>
      <c r="CY55" s="185" t="str">
        <f>IF(Tim!CZ57=FIT!$E$1,Tim!CZ57,"")</f>
        <v/>
      </c>
      <c r="CZ55" s="185" t="str">
        <f>IF(Tim!DA57=FIT!$E$1,Tim!DA57,"")</f>
        <v/>
      </c>
      <c r="DA55" s="185" t="str">
        <f>IF(Tim!DB57=FIT!$E$1,Tim!DB57,"")</f>
        <v/>
      </c>
      <c r="DB55" s="185" t="str">
        <f>IF(Tim!DC57=FIT!$E$1,Tim!DC57,"")</f>
        <v/>
      </c>
      <c r="DC55" s="185" t="str">
        <f>IF(Tim!DD57=FIT!$E$1,Tim!DD57,"")</f>
        <v/>
      </c>
      <c r="DD55" s="185" t="str">
        <f>IF(Tim!DE57=FIT!$E$1,Tim!DE57,"")</f>
        <v/>
      </c>
      <c r="DE55" s="185" t="str">
        <f>IF(Tim!DF57=FIT!$E$1,Tim!DF57,"")</f>
        <v/>
      </c>
      <c r="DF55" s="185" t="str">
        <f>IF(Tim!DG57=FIT!$E$1,Tim!DG57,"")</f>
        <v/>
      </c>
      <c r="DG55" s="185" t="str">
        <f>IF(Tim!DH57=FIT!$E$1,Tim!DH57,"")</f>
        <v/>
      </c>
      <c r="DH55" s="185" t="str">
        <f>IF(Tim!DI57=FIT!$E$1,Tim!DI57,"")</f>
        <v/>
      </c>
      <c r="DI55" s="185" t="str">
        <f>IF(Tim!DM57=FIT!$E$1,Tim!DM57,"")</f>
        <v/>
      </c>
      <c r="DJ55" s="185" t="str">
        <f>IF(Tim!DN57=FIT!$E$1,Tim!DN57,"")</f>
        <v/>
      </c>
      <c r="DK55" s="185" t="str">
        <f>IF(Tim!DO57=FIT!$E$1,Tim!DO57,"")</f>
        <v/>
      </c>
      <c r="DL55" s="185" t="str">
        <f>IF(Tim!DP57=FIT!$E$1,Tim!DP57,"")</f>
        <v/>
      </c>
      <c r="DM55" s="185" t="str">
        <f>IF(Tim!DQ57=FIT!$E$1,Tim!DQ57,"")</f>
        <v/>
      </c>
      <c r="DN55" s="185" t="str">
        <f>IF(Tim!DR57=FIT!$E$1,Tim!DR57,"")</f>
        <v/>
      </c>
      <c r="DO55" s="185" t="str">
        <f>IF(Tim!DS57=FIT!$E$1,Tim!DS57,"")</f>
        <v/>
      </c>
      <c r="DP55" s="185" t="str">
        <f>IF(Tim!DT57=FIT!$E$1,Tim!DT57,"")</f>
        <v/>
      </c>
      <c r="DQ55" s="185" t="str">
        <f>IF(Tim!DU57=FIT!$E$1,Tim!DU57,"")</f>
        <v/>
      </c>
      <c r="DR55" s="185" t="str">
        <f>IF(Tim!DV57=FIT!$E$1,Tim!DV57,"")</f>
        <v/>
      </c>
      <c r="DS55" s="185" t="str">
        <f>IF(Tim!DW57=FIT!$E$1,Tim!DW57,"")</f>
        <v/>
      </c>
      <c r="DT55" s="185" t="str">
        <f>IF(Tim!DX57=FIT!$E$1,Tim!DX57,"")</f>
        <v/>
      </c>
      <c r="DU55" s="185" t="str">
        <f>IF(Tim!DY57=FIT!$E$1,Tim!DY57,"")</f>
        <v/>
      </c>
      <c r="DV55" s="185" t="str">
        <f>IF(Tim!DZ57=FIT!$E$1,Tim!DZ57,"")</f>
        <v/>
      </c>
      <c r="DW55" s="185" t="str">
        <f>IF(Tim!EA57=FIT!$E$1,Tim!EA57,"")</f>
        <v/>
      </c>
      <c r="DX55" s="185" t="str">
        <f>IF(Tim!EB57=FIT!$E$1,Tim!EB57,"")</f>
        <v/>
      </c>
      <c r="DY55" s="185" t="str">
        <f>IF(Tim!EC57=FIT!$E$1,Tim!EC57,"")</f>
        <v/>
      </c>
      <c r="DZ55" s="185" t="str">
        <f>IF(Tim!ED57=FIT!$E$1,Tim!ED57,"")</f>
        <v/>
      </c>
      <c r="EA55" s="185" t="str">
        <f>IF(Tim!EE57=FIT!$E$1,Tim!EE57,"")</f>
        <v/>
      </c>
      <c r="EB55" s="185" t="str">
        <f>IF(Tim!EF57=FIT!$E$1,Tim!EF57,"")</f>
        <v/>
      </c>
      <c r="EC55" s="185" t="str">
        <f>IF(Tim!EG57=FIT!$E$1,Tim!EG57,"")</f>
        <v/>
      </c>
      <c r="ED55" s="185" t="str">
        <f>IF(Tim!EH57=FIT!$E$1,Tim!EH57,"")</f>
        <v/>
      </c>
      <c r="EE55" s="185" t="str">
        <f>IF(Tim!EI57=FIT!$E$1,Tim!EI57,"")</f>
        <v/>
      </c>
      <c r="EF55" s="185" t="str">
        <f>IF(Tim!EJ57=FIT!$E$1,Tim!EJ57,"")</f>
        <v/>
      </c>
      <c r="EG55" s="185" t="str">
        <f>IF(Tim!EK57=FIT!$E$1,Tim!EK57,"")</f>
        <v/>
      </c>
      <c r="EH55" s="185" t="str">
        <f>IF(Tim!EL57=FIT!$E$1,Tim!EL57,"")</f>
        <v/>
      </c>
      <c r="EI55" s="185" t="str">
        <f>IF(Tim!EM57=FIT!$E$1,Tim!EM57,"")</f>
        <v/>
      </c>
      <c r="EJ55" s="185" t="str">
        <f>IF(Tim!EN57=FIT!$E$1,Tim!EN57,"")</f>
        <v/>
      </c>
      <c r="EK55" s="185" t="str">
        <f>IF(Tim!EO57=FIT!$E$1,Tim!EO57,"")</f>
        <v/>
      </c>
      <c r="EL55" s="185" t="str">
        <f>IF(Tim!EP57=FIT!$E$1,Tim!EP57,"")</f>
        <v/>
      </c>
      <c r="EM55" s="185" t="str">
        <f>IF(Tim!EQ57=FIT!$E$1,Tim!EQ57,"")</f>
        <v/>
      </c>
      <c r="EN55" s="185" t="str">
        <f>IF(Tim!ER57=FIT!$E$1,Tim!ER57,"")</f>
        <v/>
      </c>
      <c r="EO55" s="185" t="str">
        <f>IF(Tim!ES57=FIT!$E$1,Tim!ES57,"")</f>
        <v/>
      </c>
      <c r="EP55" s="185" t="str">
        <f>IF(Tim!ET57=FIT!$E$1,Tim!ET57,"")</f>
        <v/>
      </c>
      <c r="EQ55" s="185" t="str">
        <f>IF(Tim!EU57=FIT!$E$1,Tim!EU57,"")</f>
        <v/>
      </c>
      <c r="ER55" s="185" t="str">
        <f>IF(Tim!EV57=FIT!$E$1,Tim!EV57,"")</f>
        <v/>
      </c>
      <c r="ES55" s="185" t="str">
        <f>IF(Tim!EW57=FIT!$E$1,Tim!EW57,"")</f>
        <v/>
      </c>
      <c r="ET55" s="185" t="str">
        <f>IF(Tim!EX57=FIT!$E$1,Tim!EX57,"")</f>
        <v/>
      </c>
      <c r="EU55" s="185" t="str">
        <f>IF(Tim!EY57=FIT!$E$1,Tim!EY57,"")</f>
        <v/>
      </c>
      <c r="EV55" s="185" t="str">
        <f>IF(Tim!EZ57=FIT!$E$1,Tim!EZ57,"")</f>
        <v/>
      </c>
      <c r="EW55" s="185" t="str">
        <f>IF(Tim!FA57=FIT!$E$1,Tim!FA57,"")</f>
        <v/>
      </c>
      <c r="EX55" s="185" t="str">
        <f>IF(Tim!FB57=FIT!$E$1,Tim!FB57,"")</f>
        <v/>
      </c>
      <c r="EY55" s="185" t="str">
        <f>IF(Tim!FC57=FIT!$E$1,Tim!FC57,"")</f>
        <v/>
      </c>
      <c r="EZ55" s="185" t="str">
        <f>IF(Tim!FD57=FIT!$E$1,Tim!FD57,"")</f>
        <v/>
      </c>
      <c r="FA55" s="185" t="str">
        <f>IF(Tim!FE57=FIT!$E$1,Tim!FE57,"")</f>
        <v/>
      </c>
      <c r="FB55" s="185" t="str">
        <f>IF(Tim!FF57=FIT!$E$1,Tim!FF57,"")</f>
        <v/>
      </c>
      <c r="FC55" s="185" t="str">
        <f>IF(Tim!FG57=FIT!$E$1,Tim!FG57,"")</f>
        <v/>
      </c>
      <c r="FD55" s="185" t="str">
        <f>IF(Tim!FH57=FIT!$E$1,Tim!FH57,"")</f>
        <v/>
      </c>
      <c r="FE55" s="185" t="str">
        <f>IF(Tim!FI57=FIT!$E$1,Tim!FI57,"")</f>
        <v/>
      </c>
      <c r="FF55" s="185" t="str">
        <f>IF(Tim!FJ57=FIT!$E$1,Tim!FJ57,"")</f>
        <v/>
      </c>
      <c r="FG55" s="185" t="str">
        <f>IF(Tim!FK57=FIT!$E$1,Tim!FK57,"")</f>
        <v/>
      </c>
      <c r="FH55" s="185" t="str">
        <f>IF(Tim!FL57=FIT!$E$1,Tim!FL57,"")</f>
        <v/>
      </c>
      <c r="FI55" s="185" t="str">
        <f>IF(Tim!FM57=FIT!$E$1,Tim!FM57,"")</f>
        <v/>
      </c>
      <c r="FJ55" s="185" t="str">
        <f>IF(Tim!FN57=FIT!$E$1,Tim!FN57,"")</f>
        <v/>
      </c>
      <c r="FK55" s="185" t="str">
        <f>IF(Tim!FO57=FIT!$E$1,Tim!FO57,"")</f>
        <v/>
      </c>
      <c r="FL55" s="185" t="str">
        <f>IF(Tim!FP57=FIT!$E$1,Tim!FP57,"")</f>
        <v/>
      </c>
      <c r="FM55" s="185" t="str">
        <f>IF(Tim!FQ57=FIT!$E$1,Tim!FQ57,"")</f>
        <v/>
      </c>
      <c r="FN55" s="185" t="str">
        <f>IF(Tim!FR57=FIT!$E$1,Tim!FR57,"")</f>
        <v/>
      </c>
      <c r="FO55" s="185" t="str">
        <f>IF(Tim!FS57=FIT!$E$1,Tim!FS57,"")</f>
        <v/>
      </c>
      <c r="FP55" s="185" t="str">
        <f>IF(Tim!FT57=FIT!$E$1,Tim!FT57,"")</f>
        <v/>
      </c>
      <c r="FQ55" s="185" t="str">
        <f>IF(Tim!FU57=FIT!$E$1,Tim!FU57,"")</f>
        <v/>
      </c>
      <c r="FR55" s="185" t="str">
        <f>IF(Tim!FV57=FIT!$E$1,Tim!FV57,"")</f>
        <v/>
      </c>
      <c r="FS55" s="185" t="str">
        <f>IF(Tim!FW57=FIT!$E$1,Tim!FW57,"")</f>
        <v/>
      </c>
      <c r="FT55" s="185" t="str">
        <f>IF(Tim!FX57=FIT!$E$1,Tim!FX57,"")</f>
        <v/>
      </c>
      <c r="FU55" s="185" t="str">
        <f>IF(Tim!FY57=FIT!$E$1,Tim!FY57,"")</f>
        <v/>
      </c>
      <c r="FV55" s="185" t="str">
        <f>IF(Tim!FZ57=FIT!$E$1,Tim!FZ57,"")</f>
        <v/>
      </c>
      <c r="FW55" s="185" t="str">
        <f>IF(Tim!GA57=FIT!$E$1,Tim!GA57,"")</f>
        <v/>
      </c>
      <c r="FX55" s="185" t="str">
        <f>IF(Tim!GB57=FIT!$E$1,Tim!GB57,"")</f>
        <v/>
      </c>
      <c r="FY55" s="185" t="str">
        <f>IF(Tim!GC57=FIT!$E$1,Tim!GC57,"")</f>
        <v/>
      </c>
      <c r="FZ55" s="185" t="str">
        <f>IF(Tim!GD57=FIT!$E$1,Tim!GD57,"")</f>
        <v/>
      </c>
      <c r="GA55" s="185" t="str">
        <f>IF(Tim!GE57=FIT!$E$1,Tim!GE57,"")</f>
        <v/>
      </c>
      <c r="GB55" s="185" t="str">
        <f>IF(Tim!GF57=FIT!$E$1,Tim!GF57,"")</f>
        <v/>
      </c>
      <c r="GC55" s="185" t="str">
        <f>IF(Tim!GG57=FIT!$E$1,Tim!GG57,"")</f>
        <v/>
      </c>
      <c r="GD55" s="185" t="str">
        <f>IF(Tim!GH57=FIT!$E$1,Tim!GH57,"")</f>
        <v/>
      </c>
      <c r="GE55" s="185" t="str">
        <f>IF(Tim!GI57=FIT!$E$1,Tim!GI57,"")</f>
        <v/>
      </c>
      <c r="GF55" s="185" t="str">
        <f>IF(Tim!GJ57=FIT!$E$1,Tim!GJ57,"")</f>
        <v/>
      </c>
      <c r="GG55" s="185" t="str">
        <f>IF(Tim!GK57=FIT!$E$1,Tim!GK57,"")</f>
        <v/>
      </c>
      <c r="GH55" s="185" t="str">
        <f>IF(Tim!GL57=FIT!$E$1,Tim!GL57,"")</f>
        <v/>
      </c>
      <c r="GI55" s="185" t="str">
        <f>IF(Tim!GM57=FIT!$E$1,Tim!GM57,"")</f>
        <v/>
      </c>
      <c r="GJ55" s="185" t="str">
        <f>IF(Tim!GN57=FIT!$E$1,Tim!GN57,"")</f>
        <v/>
      </c>
      <c r="GK55" s="185" t="str">
        <f>IF(Tim!GO57=FIT!$E$1,Tim!GO57,"")</f>
        <v/>
      </c>
      <c r="GL55" s="185" t="str">
        <f>IF(Tim!GP57=FIT!$E$1,Tim!GP57,"")</f>
        <v/>
      </c>
      <c r="GM55" s="185" t="str">
        <f>IF(Tim!GQ57=FIT!$E$1,Tim!GQ57,"")</f>
        <v/>
      </c>
      <c r="GN55" s="185" t="str">
        <f>IF(Tim!GR57=FIT!$E$1,Tim!GR57,"")</f>
        <v/>
      </c>
      <c r="GO55" s="185" t="str">
        <f>IF(Tim!GS57=FIT!$E$1,Tim!GS57,"")</f>
        <v/>
      </c>
      <c r="GP55" s="185" t="str">
        <f>IF(Tim!GT57=FIT!$E$1,Tim!GT57,"")</f>
        <v/>
      </c>
      <c r="GQ55" s="185" t="str">
        <f>IF(Tim!GU57=FIT!$E$1,Tim!GU57,"")</f>
        <v/>
      </c>
      <c r="GR55" s="185" t="str">
        <f>IF(Tim!GV57=FIT!$E$1,Tim!GV57,"")</f>
        <v/>
      </c>
      <c r="GS55" s="185" t="str">
        <f>IF(Tim!GW57=FIT!$E$1,Tim!GW57,"")</f>
        <v/>
      </c>
      <c r="GT55" s="185" t="str">
        <f>IF(Tim!GX57=FIT!$E$1,Tim!GX57,"")</f>
        <v/>
      </c>
      <c r="GU55" s="185" t="str">
        <f>IF(Tim!GY57=FIT!$E$1,Tim!GY57,"")</f>
        <v/>
      </c>
      <c r="GV55" s="185" t="str">
        <f>IF(Tim!GZ57=FIT!$E$1,Tim!GZ57,"")</f>
        <v/>
      </c>
      <c r="GW55" s="185" t="str">
        <f>IF(Tim!HA57=FIT!$E$1,Tim!HA57,"")</f>
        <v/>
      </c>
      <c r="GX55" s="185" t="str">
        <f>IF(Tim!HB57=FIT!$E$1,Tim!HB57,"")</f>
        <v/>
      </c>
      <c r="GY55" s="185" t="str">
        <f>IF(Tim!HC57=FIT!$E$1,Tim!HC57,"")</f>
        <v/>
      </c>
      <c r="GZ55" s="185" t="str">
        <f>IF(Tim!HD57=FIT!$E$1,Tim!HD57,"")</f>
        <v/>
      </c>
      <c r="HA55" s="185" t="str">
        <f>IF(Tim!HE57=FIT!$E$1,Tim!HE57,"")</f>
        <v/>
      </c>
      <c r="HB55" s="185" t="str">
        <f>IF(Tim!HF57=FIT!$E$1,Tim!HF57,"")</f>
        <v/>
      </c>
      <c r="HC55" s="185" t="str">
        <f>IF(Tim!HG57=FIT!$E$1,Tim!HG57,"")</f>
        <v/>
      </c>
      <c r="HD55" s="185" t="str">
        <f>IF(Tim!HH57=FIT!$E$1,Tim!HH57,"")</f>
        <v/>
      </c>
      <c r="HE55" s="185" t="str">
        <f>IF(Tim!HI57=FIT!$E$1,Tim!HI57,"")</f>
        <v/>
      </c>
      <c r="HF55" s="185" t="str">
        <f>IF(Tim!HJ57=FIT!$E$1,Tim!HJ57,"")</f>
        <v/>
      </c>
      <c r="HG55" s="185" t="str">
        <f>IF(Tim!HK57=FIT!$E$1,Tim!HK57,"")</f>
        <v/>
      </c>
      <c r="HH55" s="185" t="str">
        <f>IF(Tim!HL57=FIT!$E$1,Tim!HL57,"")</f>
        <v/>
      </c>
      <c r="HI55" s="185" t="str">
        <f>IF(Tim!HM57=FIT!$E$1,Tim!HM57,"")</f>
        <v/>
      </c>
      <c r="HJ55" s="185" t="str">
        <f>IF(Tim!HN57=FIT!$E$1,Tim!HN57,"")</f>
        <v/>
      </c>
      <c r="HK55" s="185" t="str">
        <f>IF(Tim!HO57=FIT!$E$1,Tim!HO57,"")</f>
        <v/>
      </c>
      <c r="HL55" s="185" t="str">
        <f>IF(Tim!HP57=FIT!$E$1,Tim!HP57,"")</f>
        <v/>
      </c>
      <c r="HM55" s="185" t="str">
        <f>IF(Tim!HQ57=FIT!$E$1,Tim!HQ57,"")</f>
        <v/>
      </c>
      <c r="HN55" s="185" t="str">
        <f>IF(Tim!HR57=FIT!$E$1,Tim!HR57,"")</f>
        <v/>
      </c>
      <c r="HO55" s="185" t="str">
        <f>IF(Tim!HS57=FIT!$E$1,Tim!HS57,"")</f>
        <v/>
      </c>
      <c r="HP55" s="185" t="str">
        <f>IF(Tim!HT57=FIT!$E$1,Tim!HT57,"")</f>
        <v/>
      </c>
      <c r="HQ55" s="185" t="str">
        <f>IF(Tim!HU57=FIT!$E$1,Tim!HU57,"")</f>
        <v/>
      </c>
      <c r="HR55" s="185" t="str">
        <f>IF(Tim!HV57=FIT!$E$1,Tim!HV57,"")</f>
        <v/>
      </c>
      <c r="HS55" s="185" t="str">
        <f>IF(Tim!HW57=FIT!$E$1,Tim!HW57,"")</f>
        <v/>
      </c>
      <c r="HT55" s="185" t="str">
        <f>IF(Tim!HX57=FIT!$E$1,Tim!HX57,"")</f>
        <v/>
      </c>
      <c r="HU55" s="185" t="str">
        <f>IF(Tim!HY57=FIT!$E$1,Tim!HY57,"")</f>
        <v/>
      </c>
      <c r="HV55" s="185" t="str">
        <f>IF(Tim!HZ57=FIT!$E$1,Tim!HZ57,"")</f>
        <v/>
      </c>
      <c r="HW55" s="185" t="str">
        <f>IF(Tim!IA57=FIT!$E$1,Tim!IA57,"")</f>
        <v/>
      </c>
      <c r="HX55" s="185" t="str">
        <f>IF(Tim!IB57=FIT!$E$1,Tim!IB57,"")</f>
        <v/>
      </c>
      <c r="HY55" s="185" t="str">
        <f>IF(Tim!IC57=FIT!$E$1,Tim!IC57,"")</f>
        <v/>
      </c>
      <c r="HZ55" s="185" t="str">
        <f>IF(Tim!ID57=FIT!$E$1,Tim!ID57,"")</f>
        <v/>
      </c>
      <c r="IA55" s="185" t="str">
        <f>IF(Tim!IE57=FIT!$E$1,Tim!IE57,"")</f>
        <v/>
      </c>
      <c r="IB55" s="185" t="str">
        <f>IF(Tim!IF57=FIT!$E$1,Tim!IF57,"")</f>
        <v/>
      </c>
      <c r="IC55" s="185" t="str">
        <f>IF(Tim!IG57=FIT!$E$1,Tim!IG57,"")</f>
        <v/>
      </c>
      <c r="ID55" s="185" t="str">
        <f>IF(Tim!IH57=FIT!$E$1,Tim!IH57,"")</f>
        <v/>
      </c>
      <c r="IE55" s="185" t="str">
        <f>IF(Tim!II57=FIT!$E$1,Tim!II57,"")</f>
        <v/>
      </c>
      <c r="IF55" s="185" t="str">
        <f>IF(Tim!IJ57=FIT!$E$1,Tim!IJ57,"")</f>
        <v/>
      </c>
      <c r="IG55" s="185" t="str">
        <f>IF(Tim!IK57=FIT!$E$1,Tim!IK57,"")</f>
        <v/>
      </c>
      <c r="IH55" s="185" t="str">
        <f>IF(Tim!IL57=FIT!$E$1,Tim!IL57,"")</f>
        <v/>
      </c>
      <c r="II55" s="185" t="str">
        <f>IF(Tim!IM57=FIT!$E$1,Tim!IM57,"")</f>
        <v/>
      </c>
      <c r="IJ55" s="185" t="str">
        <f>IF(Tim!IN57=FIT!$E$1,Tim!IN57,"")</f>
        <v/>
      </c>
      <c r="IK55" s="185" t="str">
        <f>IF(Tim!IO57=FIT!$E$1,Tim!IO57,"")</f>
        <v/>
      </c>
      <c r="IL55" s="185" t="str">
        <f>IF(Tim!IP57=FIT!$E$1,Tim!IP57,"")</f>
        <v/>
      </c>
      <c r="IM55" s="185" t="str">
        <f>IF(Tim!IQ57=FIT!$E$1,Tim!IQ57,"")</f>
        <v/>
      </c>
      <c r="IN55" s="185" t="str">
        <f>IF(Tim!IR57=FIT!$E$1,Tim!IR57,"")</f>
        <v/>
      </c>
      <c r="IO55" s="185" t="str">
        <f>IF(Tim!IS57=FIT!$E$1,Tim!IS57,"")</f>
        <v/>
      </c>
      <c r="IP55" s="185" t="str">
        <f>IF(Tim!IT57=FIT!$E$1,Tim!IT57,"")</f>
        <v/>
      </c>
      <c r="IQ55" s="185" t="str">
        <f>IF(Tim!IU57=FIT!$E$1,Tim!IU57,"")</f>
        <v/>
      </c>
      <c r="IR55" s="185" t="str">
        <f>IF(Tim!IV57=FIT!$E$1,Tim!IV57,"")</f>
        <v/>
      </c>
      <c r="IS55" s="185" t="str">
        <f>IF(Tim!IW57=FIT!$E$1,Tim!IW57,"")</f>
        <v/>
      </c>
      <c r="IT55" s="185" t="str">
        <f>IF(Tim!IX57=FIT!$E$1,Tim!IX57,"")</f>
        <v/>
      </c>
      <c r="IU55" s="185" t="str">
        <f>IF(Tim!IY57=FIT!$E$1,Tim!IY57,"")</f>
        <v/>
      </c>
      <c r="IV55" s="185" t="str">
        <f>IF(Tim!IZ57=FIT!$E$1,Tim!IZ57,"")</f>
        <v/>
      </c>
      <c r="IW55" s="185" t="str">
        <f>IF(Tim!JA57=FIT!$E$1,Tim!JA57,"")</f>
        <v/>
      </c>
      <c r="IX55" s="185" t="str">
        <f>IF(Tim!JB57=FIT!$E$1,Tim!JB57,"")</f>
        <v/>
      </c>
      <c r="IY55" s="185" t="str">
        <f>IF(Tim!JC57=FIT!$E$1,Tim!JC57,"")</f>
        <v/>
      </c>
      <c r="IZ55" s="185" t="str">
        <f>IF(Tim!JD57=FIT!$E$1,Tim!JD57,"")</f>
        <v/>
      </c>
      <c r="JA55" s="185" t="str">
        <f>IF(Tim!JE57=FIT!$E$1,Tim!JE57,"")</f>
        <v/>
      </c>
      <c r="JB55" s="185" t="str">
        <f>IF(Tim!JF57=FIT!$E$1,Tim!JF57,"")</f>
        <v/>
      </c>
      <c r="JC55" s="185" t="str">
        <f>IF(Tim!JG57=FIT!$E$1,Tim!JG57,"")</f>
        <v/>
      </c>
      <c r="JD55" s="185" t="str">
        <f>IF(Tim!JH57=FIT!$E$1,Tim!JH57,"")</f>
        <v/>
      </c>
      <c r="JE55" s="185" t="str">
        <f>IF(Tim!JI57=FIT!$E$1,Tim!JI57,"")</f>
        <v/>
      </c>
      <c r="JF55" s="185" t="str">
        <f>IF(Tim!JJ57=FIT!$E$1,Tim!JJ57,"")</f>
        <v/>
      </c>
      <c r="JG55" s="185" t="str">
        <f>IF(Tim!JK57=FIT!$E$1,Tim!JK57,"")</f>
        <v/>
      </c>
      <c r="JH55" s="185" t="str">
        <f>IF(Tim!JL57=FIT!$E$1,Tim!JL57,"")</f>
        <v/>
      </c>
      <c r="JI55" s="185" t="str">
        <f>IF(Tim!JM57=FIT!$E$1,Tim!JM57,"")</f>
        <v/>
      </c>
      <c r="JJ55" s="366"/>
      <c r="JK55" s="366"/>
      <c r="JL55" s="366"/>
      <c r="JM55" s="366"/>
      <c r="JN55" s="366"/>
      <c r="JO55" s="366"/>
      <c r="JP55" s="366"/>
      <c r="JQ55" s="366"/>
      <c r="JR55" s="366"/>
      <c r="JS55" s="366"/>
      <c r="JT55" s="366"/>
      <c r="JU55" s="366"/>
      <c r="JV55" s="366"/>
      <c r="JW55" s="366"/>
      <c r="JX55" s="366"/>
      <c r="JY55" s="366"/>
      <c r="JZ55" s="366"/>
      <c r="KA55" s="366"/>
      <c r="KB55" s="366"/>
      <c r="KC55" s="366"/>
      <c r="KD55" s="366"/>
      <c r="KE55" s="366"/>
      <c r="KF55" s="366"/>
      <c r="KG55" s="366"/>
      <c r="KH55" s="366"/>
      <c r="KI55" s="366"/>
      <c r="KJ55" s="366"/>
      <c r="KK55" s="366"/>
      <c r="KL55" s="366"/>
      <c r="KM55" s="366"/>
      <c r="KN55" s="366"/>
      <c r="KO55" s="366"/>
      <c r="KP55" s="366"/>
      <c r="KQ55" s="366"/>
      <c r="KR55" s="366"/>
      <c r="KS55" s="366"/>
      <c r="KT55" s="366"/>
      <c r="KU55" s="366"/>
      <c r="KV55" s="366"/>
      <c r="KW55" s="366"/>
      <c r="KX55" s="366"/>
      <c r="KY55" s="366"/>
      <c r="KZ55" s="366"/>
      <c r="LA55" s="428"/>
      <c r="LB55" s="52">
        <v>0.812499999999998</v>
      </c>
    </row>
    <row r="56" spans="2:314" ht="10.5" customHeight="1" thickBot="1">
      <c r="B56" s="49">
        <v>0.25</v>
      </c>
      <c r="C56" s="49">
        <v>0.25</v>
      </c>
      <c r="D56" s="49">
        <v>0.25</v>
      </c>
      <c r="E56" s="172">
        <v>0.82291666666666496</v>
      </c>
      <c r="F56" s="238" t="str">
        <f>IF(Tim!F58=FIT!$E$1,Tim!F58,"")</f>
        <v/>
      </c>
      <c r="G56" s="185" t="str">
        <f>IF(Tim!G58=FIT!$E$1,Tim!G58,"")</f>
        <v/>
      </c>
      <c r="H56" s="185" t="str">
        <f>IF(Tim!H58=FIT!$E$1,Tim!H58,"")</f>
        <v/>
      </c>
      <c r="I56" s="185" t="str">
        <f>IF(Tim!I58=FIT!$E$1,Tim!I58,"")</f>
        <v/>
      </c>
      <c r="J56" s="185" t="str">
        <f>IF(Tim!J58=FIT!$E$1,Tim!J58,"")</f>
        <v/>
      </c>
      <c r="K56" s="185" t="str">
        <f>IF(Tim!K58=FIT!$E$1,Tim!K58,"")</f>
        <v/>
      </c>
      <c r="L56" s="185" t="str">
        <f>IF(Tim!L58=FIT!$E$1,Tim!L58,"")</f>
        <v/>
      </c>
      <c r="M56" s="185" t="str">
        <f>IF(Tim!M58=FIT!$E$1,Tim!M58,"")</f>
        <v/>
      </c>
      <c r="N56" s="185" t="str">
        <f>IF(Tim!N58=FIT!$E$1,Tim!N58,"")</f>
        <v/>
      </c>
      <c r="O56" s="185" t="str">
        <f>IF(Tim!O58=FIT!$E$1,Tim!O58,"")</f>
        <v/>
      </c>
      <c r="P56" s="185" t="str">
        <f>IF(Tim!P58=FIT!$E$1,Tim!P58,"")</f>
        <v/>
      </c>
      <c r="Q56" s="185" t="str">
        <f>IF(Tim!Q58=FIT!$E$1,Tim!Q58,"")</f>
        <v/>
      </c>
      <c r="R56" s="185" t="str">
        <f>IF(Tim!R58=FIT!$E$1,Tim!R58,"")</f>
        <v/>
      </c>
      <c r="S56" s="185" t="str">
        <f>IF(Tim!S58=FIT!$E$1,Tim!S58,"")</f>
        <v/>
      </c>
      <c r="T56" s="185" t="str">
        <f>IF(Tim!T58=FIT!$E$1,Tim!T58,"")</f>
        <v/>
      </c>
      <c r="U56" s="185" t="str">
        <f>IF(Tim!U58=FIT!$E$1,Tim!U58,"")</f>
        <v/>
      </c>
      <c r="V56" s="185" t="str">
        <f>IF(Tim!W58=FIT!$E$1,Tim!W58,"")</f>
        <v/>
      </c>
      <c r="W56" s="185" t="str">
        <f>IF(Tim!X58=FIT!$E$1,Tim!X58,"")</f>
        <v/>
      </c>
      <c r="X56" s="185" t="str">
        <f>IF(Tim!Y58=FIT!$E$1,Tim!Y58,"")</f>
        <v/>
      </c>
      <c r="Y56" s="185" t="str">
        <f>IF(Tim!Z58=FIT!$E$1,Tim!Z58,"")</f>
        <v/>
      </c>
      <c r="Z56" s="185" t="str">
        <f>IF(Tim!AA58=FIT!$E$1,Tim!AA58,"")</f>
        <v/>
      </c>
      <c r="AA56" s="185" t="str">
        <f>IF(Tim!AB58=FIT!$E$1,Tim!AB58,"")</f>
        <v/>
      </c>
      <c r="AB56" s="185" t="str">
        <f>IF(Tim!AC58=FIT!$E$1,Tim!AC58,"")</f>
        <v/>
      </c>
      <c r="AC56" s="185" t="str">
        <f>IF(Tim!AD58=FIT!$E$1,Tim!AD58,"")</f>
        <v/>
      </c>
      <c r="AD56" s="185" t="str">
        <f>IF(Tim!AE58=FIT!$E$1,Tim!AE58,"")</f>
        <v/>
      </c>
      <c r="AE56" s="185" t="str">
        <f>IF(Tim!AF58=FIT!$E$1,Tim!AF58,"")</f>
        <v/>
      </c>
      <c r="AF56" s="185" t="str">
        <f>IF(Tim!AG58=FIT!$E$1,Tim!AG58,"")</f>
        <v/>
      </c>
      <c r="AG56" s="185" t="str">
        <f>IF(Tim!AH58=FIT!$E$1,Tim!AH58,"")</f>
        <v/>
      </c>
      <c r="AH56" s="185" t="str">
        <f>IF(Tim!AI58=FIT!$E$1,Tim!AI58,"")</f>
        <v/>
      </c>
      <c r="AI56" s="185" t="str">
        <f>IF(Tim!AJ58=FIT!$E$1,Tim!AJ58,"")</f>
        <v/>
      </c>
      <c r="AJ56" s="185" t="str">
        <f>IF(Tim!AK58=FIT!$E$1,Tim!AK58,"")</f>
        <v/>
      </c>
      <c r="AK56" s="185" t="str">
        <f>IF(Tim!AL58=FIT!$E$1,Tim!AL58,"")</f>
        <v/>
      </c>
      <c r="AL56" s="185" t="str">
        <f>IF(Tim!AM58=FIT!$E$1,Tim!AM58,"")</f>
        <v/>
      </c>
      <c r="AM56" s="185" t="str">
        <f>IF(Tim!AN58=FIT!$E$1,Tim!AN58,"")</f>
        <v/>
      </c>
      <c r="AN56" s="185" t="str">
        <f>IF(Tim!AO58=FIT!$E$1,Tim!AO58,"")</f>
        <v/>
      </c>
      <c r="AO56" s="185" t="str">
        <f>IF(Tim!AP58=FIT!$E$1,Tim!AP58,"")</f>
        <v/>
      </c>
      <c r="AP56" s="185" t="str">
        <f>IF(Tim!AQ58=FIT!$E$1,Tim!AQ58,"")</f>
        <v/>
      </c>
      <c r="AQ56" s="185" t="str">
        <f>IF(Tim!AR58=FIT!$E$1,Tim!AR58,"")</f>
        <v/>
      </c>
      <c r="AR56" s="185" t="str">
        <f>IF(Tim!AS58=FIT!$E$1,Tim!AS58,"")</f>
        <v/>
      </c>
      <c r="AS56" s="185" t="str">
        <f>IF(Tim!AT58=FIT!$E$1,Tim!AT58,"")</f>
        <v/>
      </c>
      <c r="AT56" s="185" t="str">
        <f>IF(Tim!AU58=FIT!$E$1,Tim!AU58,"")</f>
        <v/>
      </c>
      <c r="AU56" s="185" t="str">
        <f>IF(Tim!AV58=FIT!$E$1,Tim!AV58,"")</f>
        <v/>
      </c>
      <c r="AV56" s="185" t="str">
        <f>IF(Tim!AW58=FIT!$E$1,Tim!AW58,"")</f>
        <v/>
      </c>
      <c r="AW56" s="186" t="str">
        <f>IF(Tim!AX58=FIT!$E$1,Tim!AX58,"")</f>
        <v/>
      </c>
      <c r="AX56" s="243" t="str">
        <f>IF(Tim!AY58=FIT!$E$1,Tim!AY58,"")</f>
        <v/>
      </c>
      <c r="AY56" s="185" t="str">
        <f>IF(Tim!AZ58=FIT!$E$1,Tim!AZ58,"")</f>
        <v/>
      </c>
      <c r="AZ56" s="185" t="str">
        <f>IF(Tim!BA58=FIT!$E$1,Tim!BA58,"")</f>
        <v/>
      </c>
      <c r="BA56" s="185" t="str">
        <f>IF(Tim!BB58=FIT!$E$1,Tim!BB58,"")</f>
        <v/>
      </c>
      <c r="BB56" s="185" t="str">
        <f>IF(Tim!BC58=FIT!$E$1,Tim!BC58,"")</f>
        <v/>
      </c>
      <c r="BC56" s="185" t="str">
        <f>IF(Tim!BD58=FIT!$E$1,Tim!BD58,"")</f>
        <v/>
      </c>
      <c r="BD56" s="185" t="str">
        <f>IF(Tim!BE58=FIT!$E$1,Tim!BE58,"")</f>
        <v/>
      </c>
      <c r="BE56" s="185" t="str">
        <f>IF(Tim!BF58=FIT!$E$1,Tim!BF58,"")</f>
        <v/>
      </c>
      <c r="BF56" s="185" t="str">
        <f>IF(Tim!BG58=FIT!$E$1,Tim!BG58,"")</f>
        <v/>
      </c>
      <c r="BG56" s="185" t="str">
        <f>IF(Tim!BH58=FIT!$E$1,Tim!BH58,"")</f>
        <v/>
      </c>
      <c r="BH56" s="185" t="str">
        <f>IF(Tim!BI58=FIT!$E$1,Tim!BI58,"")</f>
        <v/>
      </c>
      <c r="BI56" s="185" t="str">
        <f>IF(Tim!BJ58=FIT!$E$1,Tim!BJ58,"")</f>
        <v/>
      </c>
      <c r="BJ56" s="185" t="str">
        <f>IF(Tim!BK58=FIT!$E$1,Tim!BK58,"")</f>
        <v/>
      </c>
      <c r="BK56" s="185" t="str">
        <f>IF(Tim!BL58=FIT!$E$1,Tim!BL58,"")</f>
        <v/>
      </c>
      <c r="BL56" s="185" t="str">
        <f>IF(Tim!BM58=FIT!$E$1,Tim!BM58,"")</f>
        <v/>
      </c>
      <c r="BM56" s="185" t="str">
        <f>IF(Tim!BN58=FIT!$E$1,Tim!BN58,"")</f>
        <v/>
      </c>
      <c r="BN56" s="185" t="str">
        <f>IF(Tim!BO58=FIT!$E$1,Tim!BO58,"")</f>
        <v/>
      </c>
      <c r="BO56" s="185" t="str">
        <f>IF(Tim!BP58=FIT!$E$1,Tim!BP58,"")</f>
        <v/>
      </c>
      <c r="BP56" s="185" t="str">
        <f>IF(Tim!BQ58=FIT!$E$1,Tim!BQ58,"")</f>
        <v/>
      </c>
      <c r="BQ56" s="185" t="str">
        <f>IF(Tim!BR58=FIT!$E$1,Tim!BR58,"")</f>
        <v/>
      </c>
      <c r="BR56" s="185" t="str">
        <f>IF(Tim!BS58=FIT!$E$1,Tim!BS58,"")</f>
        <v/>
      </c>
      <c r="BS56" s="185" t="str">
        <f>IF(Tim!BT58=FIT!$E$1,Tim!BT58,"")</f>
        <v/>
      </c>
      <c r="BT56" s="185" t="str">
        <f>IF(Tim!BU58=FIT!$E$1,Tim!BU58,"")</f>
        <v/>
      </c>
      <c r="BU56" s="185" t="str">
        <f>IF(Tim!BV58=FIT!$E$1,Tim!BV58,"")</f>
        <v/>
      </c>
      <c r="BV56" s="185" t="str">
        <f>IF(Tim!BW58=FIT!$E$1,Tim!BW58,"")</f>
        <v/>
      </c>
      <c r="BW56" s="185" t="str">
        <f>IF(Tim!BX58=FIT!$E$1,Tim!BX58,"")</f>
        <v/>
      </c>
      <c r="BX56" s="185" t="str">
        <f>IF(Tim!BY58=FIT!$E$1,Tim!BY58,"")</f>
        <v/>
      </c>
      <c r="BY56" s="185" t="str">
        <f>IF(Tim!BZ58=FIT!$E$1,Tim!BZ58,"")</f>
        <v/>
      </c>
      <c r="BZ56" s="185" t="str">
        <f>IF(Tim!CA58=FIT!$E$1,Tim!CA58,"")</f>
        <v/>
      </c>
      <c r="CA56" s="185" t="str">
        <f>IF(Tim!CB58=FIT!$E$1,Tim!CB58,"")</f>
        <v/>
      </c>
      <c r="CB56" s="185" t="str">
        <f>IF(Tim!CC58=FIT!$E$1,Tim!CC58,"")</f>
        <v/>
      </c>
      <c r="CC56" s="185" t="str">
        <f>IF(Tim!CD58=FIT!$E$1,Tim!CD58,"")</f>
        <v/>
      </c>
      <c r="CD56" s="185" t="str">
        <f>IF(Tim!CE58=FIT!$E$1,Tim!CE58,"")</f>
        <v/>
      </c>
      <c r="CE56" s="185" t="str">
        <f>IF(Tim!CF58=FIT!$E$1,Tim!CF58,"")</f>
        <v/>
      </c>
      <c r="CF56" s="185" t="str">
        <f>IF(Tim!CG58=FIT!$E$1,Tim!CG58,"")</f>
        <v/>
      </c>
      <c r="CG56" s="185" t="str">
        <f>IF(Tim!CH58=FIT!$E$1,Tim!CH58,"")</f>
        <v/>
      </c>
      <c r="CH56" s="185" t="str">
        <f>IF(Tim!CI58=FIT!$E$1,Tim!CI58,"")</f>
        <v/>
      </c>
      <c r="CI56" s="185" t="str">
        <f>IF(Tim!CJ58=FIT!$E$1,Tim!CJ58,"")</f>
        <v/>
      </c>
      <c r="CJ56" s="185" t="str">
        <f>IF(Tim!CK58=FIT!$E$1,Tim!CK58,"")</f>
        <v/>
      </c>
      <c r="CK56" s="185" t="str">
        <f>IF(Tim!CL58=FIT!$E$1,Tim!CL58,"")</f>
        <v/>
      </c>
      <c r="CL56" s="185" t="str">
        <f>IF(Tim!CM58=FIT!$E$1,Tim!CM58,"")</f>
        <v/>
      </c>
      <c r="CM56" s="185" t="str">
        <f>IF(Tim!CN58=FIT!$E$1,Tim!CN58,"")</f>
        <v/>
      </c>
      <c r="CN56" s="185" t="str">
        <f>IF(Tim!CO58=FIT!$E$1,Tim!CO58,"")</f>
        <v/>
      </c>
      <c r="CO56" s="185" t="str">
        <f>IF(Tim!CP58=FIT!$E$1,Tim!CP58,"")</f>
        <v/>
      </c>
      <c r="CP56" s="185" t="str">
        <f>IF(Tim!CQ58=FIT!$E$1,Tim!CQ58,"")</f>
        <v/>
      </c>
      <c r="CQ56" s="185" t="str">
        <f>IF(Tim!CR58=FIT!$E$1,Tim!CR58,"")</f>
        <v/>
      </c>
      <c r="CR56" s="185" t="str">
        <f>IF(Tim!CS58=FIT!$E$1,Tim!CS58,"")</f>
        <v/>
      </c>
      <c r="CS56" s="185" t="str">
        <f>IF(Tim!CT58=FIT!$E$1,Tim!CT58,"")</f>
        <v/>
      </c>
      <c r="CT56" s="185" t="str">
        <f>IF(Tim!CU58=FIT!$E$1,Tim!CU58,"")</f>
        <v/>
      </c>
      <c r="CU56" s="185" t="str">
        <f>IF(Tim!CV58=FIT!$E$1,Tim!CV58,"")</f>
        <v/>
      </c>
      <c r="CV56" s="185" t="str">
        <f>IF(Tim!CW58=FIT!$E$1,Tim!CW58,"")</f>
        <v/>
      </c>
      <c r="CW56" s="185" t="str">
        <f>IF(Tim!CX58=FIT!$E$1,Tim!CX58,"")</f>
        <v/>
      </c>
      <c r="CX56" s="185" t="str">
        <f>IF(Tim!CY58=FIT!$E$1,Tim!CY58,"")</f>
        <v/>
      </c>
      <c r="CY56" s="185" t="str">
        <f>IF(Tim!CZ58=FIT!$E$1,Tim!CZ58,"")</f>
        <v/>
      </c>
      <c r="CZ56" s="185" t="str">
        <f>IF(Tim!DA58=FIT!$E$1,Tim!DA58,"")</f>
        <v/>
      </c>
      <c r="DA56" s="185" t="str">
        <f>IF(Tim!DB58=FIT!$E$1,Tim!DB58,"")</f>
        <v/>
      </c>
      <c r="DB56" s="185" t="str">
        <f>IF(Tim!DC58=FIT!$E$1,Tim!DC58,"")</f>
        <v/>
      </c>
      <c r="DC56" s="185" t="str">
        <f>IF(Tim!DD58=FIT!$E$1,Tim!DD58,"")</f>
        <v/>
      </c>
      <c r="DD56" s="185" t="str">
        <f>IF(Tim!DE58=FIT!$E$1,Tim!DE58,"")</f>
        <v/>
      </c>
      <c r="DE56" s="185" t="str">
        <f>IF(Tim!DF58=FIT!$E$1,Tim!DF58,"")</f>
        <v/>
      </c>
      <c r="DF56" s="185" t="str">
        <f>IF(Tim!DG58=FIT!$E$1,Tim!DG58,"")</f>
        <v/>
      </c>
      <c r="DG56" s="185" t="str">
        <f>IF(Tim!DH58=FIT!$E$1,Tim!DH58,"")</f>
        <v/>
      </c>
      <c r="DH56" s="185" t="str">
        <f>IF(Tim!DI58=FIT!$E$1,Tim!DI58,"")</f>
        <v/>
      </c>
      <c r="DI56" s="185" t="str">
        <f>IF(Tim!DM58=FIT!$E$1,Tim!DM58,"")</f>
        <v/>
      </c>
      <c r="DJ56" s="185" t="str">
        <f>IF(Tim!DN58=FIT!$E$1,Tim!DN58,"")</f>
        <v/>
      </c>
      <c r="DK56" s="185" t="str">
        <f>IF(Tim!DO58=FIT!$E$1,Tim!DO58,"")</f>
        <v/>
      </c>
      <c r="DL56" s="185" t="str">
        <f>IF(Tim!DP58=FIT!$E$1,Tim!DP58,"")</f>
        <v/>
      </c>
      <c r="DM56" s="185" t="str">
        <f>IF(Tim!DQ58=FIT!$E$1,Tim!DQ58,"")</f>
        <v/>
      </c>
      <c r="DN56" s="185" t="str">
        <f>IF(Tim!DR58=FIT!$E$1,Tim!DR58,"")</f>
        <v/>
      </c>
      <c r="DO56" s="185" t="str">
        <f>IF(Tim!DS58=FIT!$E$1,Tim!DS58,"")</f>
        <v/>
      </c>
      <c r="DP56" s="185" t="str">
        <f>IF(Tim!DT58=FIT!$E$1,Tim!DT58,"")</f>
        <v/>
      </c>
      <c r="DQ56" s="185" t="str">
        <f>IF(Tim!DU58=FIT!$E$1,Tim!DU58,"")</f>
        <v/>
      </c>
      <c r="DR56" s="185" t="str">
        <f>IF(Tim!DV58=FIT!$E$1,Tim!DV58,"")</f>
        <v/>
      </c>
      <c r="DS56" s="185" t="str">
        <f>IF(Tim!DW58=FIT!$E$1,Tim!DW58,"")</f>
        <v/>
      </c>
      <c r="DT56" s="185" t="str">
        <f>IF(Tim!DX58=FIT!$E$1,Tim!DX58,"")</f>
        <v/>
      </c>
      <c r="DU56" s="185" t="str">
        <f>IF(Tim!DY58=FIT!$E$1,Tim!DY58,"")</f>
        <v/>
      </c>
      <c r="DV56" s="185" t="str">
        <f>IF(Tim!DZ58=FIT!$E$1,Tim!DZ58,"")</f>
        <v/>
      </c>
      <c r="DW56" s="185" t="str">
        <f>IF(Tim!EA58=FIT!$E$1,Tim!EA58,"")</f>
        <v/>
      </c>
      <c r="DX56" s="185" t="str">
        <f>IF(Tim!EB58=FIT!$E$1,Tim!EB58,"")</f>
        <v/>
      </c>
      <c r="DY56" s="185" t="str">
        <f>IF(Tim!EC58=FIT!$E$1,Tim!EC58,"")</f>
        <v/>
      </c>
      <c r="DZ56" s="185" t="str">
        <f>IF(Tim!ED58=FIT!$E$1,Tim!ED58,"")</f>
        <v/>
      </c>
      <c r="EA56" s="185" t="str">
        <f>IF(Tim!EE58=FIT!$E$1,Tim!EE58,"")</f>
        <v/>
      </c>
      <c r="EB56" s="185" t="str">
        <f>IF(Tim!EF58=FIT!$E$1,Tim!EF58,"")</f>
        <v/>
      </c>
      <c r="EC56" s="185" t="str">
        <f>IF(Tim!EG58=FIT!$E$1,Tim!EG58,"")</f>
        <v/>
      </c>
      <c r="ED56" s="185" t="str">
        <f>IF(Tim!EH58=FIT!$E$1,Tim!EH58,"")</f>
        <v/>
      </c>
      <c r="EE56" s="185" t="str">
        <f>IF(Tim!EI58=FIT!$E$1,Tim!EI58,"")</f>
        <v/>
      </c>
      <c r="EF56" s="185" t="str">
        <f>IF(Tim!EJ58=FIT!$E$1,Tim!EJ58,"")</f>
        <v/>
      </c>
      <c r="EG56" s="185" t="str">
        <f>IF(Tim!EK58=FIT!$E$1,Tim!EK58,"")</f>
        <v/>
      </c>
      <c r="EH56" s="185" t="str">
        <f>IF(Tim!EL58=FIT!$E$1,Tim!EL58,"")</f>
        <v/>
      </c>
      <c r="EI56" s="185" t="str">
        <f>IF(Tim!EM58=FIT!$E$1,Tim!EM58,"")</f>
        <v/>
      </c>
      <c r="EJ56" s="185" t="str">
        <f>IF(Tim!EN58=FIT!$E$1,Tim!EN58,"")</f>
        <v/>
      </c>
      <c r="EK56" s="185" t="str">
        <f>IF(Tim!EO58=FIT!$E$1,Tim!EO58,"")</f>
        <v/>
      </c>
      <c r="EL56" s="185" t="str">
        <f>IF(Tim!EP58=FIT!$E$1,Tim!EP58,"")</f>
        <v/>
      </c>
      <c r="EM56" s="185" t="str">
        <f>IF(Tim!EQ58=FIT!$E$1,Tim!EQ58,"")</f>
        <v/>
      </c>
      <c r="EN56" s="185" t="str">
        <f>IF(Tim!ER58=FIT!$E$1,Tim!ER58,"")</f>
        <v/>
      </c>
      <c r="EO56" s="185" t="str">
        <f>IF(Tim!ES58=FIT!$E$1,Tim!ES58,"")</f>
        <v/>
      </c>
      <c r="EP56" s="185" t="str">
        <f>IF(Tim!ET58=FIT!$E$1,Tim!ET58,"")</f>
        <v/>
      </c>
      <c r="EQ56" s="185" t="str">
        <f>IF(Tim!EU58=FIT!$E$1,Tim!EU58,"")</f>
        <v/>
      </c>
      <c r="ER56" s="185" t="str">
        <f>IF(Tim!EV58=FIT!$E$1,Tim!EV58,"")</f>
        <v/>
      </c>
      <c r="ES56" s="185" t="str">
        <f>IF(Tim!EW58=FIT!$E$1,Tim!EW58,"")</f>
        <v/>
      </c>
      <c r="ET56" s="185" t="str">
        <f>IF(Tim!EX58=FIT!$E$1,Tim!EX58,"")</f>
        <v/>
      </c>
      <c r="EU56" s="185" t="str">
        <f>IF(Tim!EY58=FIT!$E$1,Tim!EY58,"")</f>
        <v/>
      </c>
      <c r="EV56" s="185" t="str">
        <f>IF(Tim!EZ58=FIT!$E$1,Tim!EZ58,"")</f>
        <v/>
      </c>
      <c r="EW56" s="185" t="str">
        <f>IF(Tim!FA58=FIT!$E$1,Tim!FA58,"")</f>
        <v/>
      </c>
      <c r="EX56" s="185" t="str">
        <f>IF(Tim!FB58=FIT!$E$1,Tim!FB58,"")</f>
        <v/>
      </c>
      <c r="EY56" s="185" t="str">
        <f>IF(Tim!FC58=FIT!$E$1,Tim!FC58,"")</f>
        <v/>
      </c>
      <c r="EZ56" s="185" t="str">
        <f>IF(Tim!FD58=FIT!$E$1,Tim!FD58,"")</f>
        <v/>
      </c>
      <c r="FA56" s="185" t="str">
        <f>IF(Tim!FE58=FIT!$E$1,Tim!FE58,"")</f>
        <v/>
      </c>
      <c r="FB56" s="185" t="str">
        <f>IF(Tim!FF58=FIT!$E$1,Tim!FF58,"")</f>
        <v/>
      </c>
      <c r="FC56" s="185" t="str">
        <f>IF(Tim!FG58=FIT!$E$1,Tim!FG58,"")</f>
        <v/>
      </c>
      <c r="FD56" s="185" t="str">
        <f>IF(Tim!FH58=FIT!$E$1,Tim!FH58,"")</f>
        <v/>
      </c>
      <c r="FE56" s="185" t="str">
        <f>IF(Tim!FI58=FIT!$E$1,Tim!FI58,"")</f>
        <v/>
      </c>
      <c r="FF56" s="185" t="str">
        <f>IF(Tim!FJ58=FIT!$E$1,Tim!FJ58,"")</f>
        <v/>
      </c>
      <c r="FG56" s="185" t="str">
        <f>IF(Tim!FK58=FIT!$E$1,Tim!FK58,"")</f>
        <v/>
      </c>
      <c r="FH56" s="185" t="str">
        <f>IF(Tim!FL58=FIT!$E$1,Tim!FL58,"")</f>
        <v/>
      </c>
      <c r="FI56" s="185" t="str">
        <f>IF(Tim!FM58=FIT!$E$1,Tim!FM58,"")</f>
        <v/>
      </c>
      <c r="FJ56" s="185" t="str">
        <f>IF(Tim!FN58=FIT!$E$1,Tim!FN58,"")</f>
        <v/>
      </c>
      <c r="FK56" s="185" t="str">
        <f>IF(Tim!FO58=FIT!$E$1,Tim!FO58,"")</f>
        <v/>
      </c>
      <c r="FL56" s="185" t="str">
        <f>IF(Tim!FP58=FIT!$E$1,Tim!FP58,"")</f>
        <v/>
      </c>
      <c r="FM56" s="185" t="str">
        <f>IF(Tim!FQ58=FIT!$E$1,Tim!FQ58,"")</f>
        <v/>
      </c>
      <c r="FN56" s="185" t="str">
        <f>IF(Tim!FR58=FIT!$E$1,Tim!FR58,"")</f>
        <v/>
      </c>
      <c r="FO56" s="185" t="str">
        <f>IF(Tim!FS58=FIT!$E$1,Tim!FS58,"")</f>
        <v/>
      </c>
      <c r="FP56" s="185" t="str">
        <f>IF(Tim!FT58=FIT!$E$1,Tim!FT58,"")</f>
        <v/>
      </c>
      <c r="FQ56" s="185" t="str">
        <f>IF(Tim!FU58=FIT!$E$1,Tim!FU58,"")</f>
        <v/>
      </c>
      <c r="FR56" s="185" t="str">
        <f>IF(Tim!FV58=FIT!$E$1,Tim!FV58,"")</f>
        <v/>
      </c>
      <c r="FS56" s="185" t="str">
        <f>IF(Tim!FW58=FIT!$E$1,Tim!FW58,"")</f>
        <v/>
      </c>
      <c r="FT56" s="185" t="str">
        <f>IF(Tim!FX58=FIT!$E$1,Tim!FX58,"")</f>
        <v/>
      </c>
      <c r="FU56" s="185" t="str">
        <f>IF(Tim!FY58=FIT!$E$1,Tim!FY58,"")</f>
        <v/>
      </c>
      <c r="FV56" s="185" t="str">
        <f>IF(Tim!FZ58=FIT!$E$1,Tim!FZ58,"")</f>
        <v/>
      </c>
      <c r="FW56" s="185" t="str">
        <f>IF(Tim!GA58=FIT!$E$1,Tim!GA58,"")</f>
        <v/>
      </c>
      <c r="FX56" s="185" t="str">
        <f>IF(Tim!GB58=FIT!$E$1,Tim!GB58,"")</f>
        <v/>
      </c>
      <c r="FY56" s="185" t="str">
        <f>IF(Tim!GC58=FIT!$E$1,Tim!GC58,"")</f>
        <v/>
      </c>
      <c r="FZ56" s="185" t="str">
        <f>IF(Tim!GD58=FIT!$E$1,Tim!GD58,"")</f>
        <v/>
      </c>
      <c r="GA56" s="185" t="str">
        <f>IF(Tim!GE58=FIT!$E$1,Tim!GE58,"")</f>
        <v/>
      </c>
      <c r="GB56" s="185" t="str">
        <f>IF(Tim!GF58=FIT!$E$1,Tim!GF58,"")</f>
        <v/>
      </c>
      <c r="GC56" s="185" t="str">
        <f>IF(Tim!GG58=FIT!$E$1,Tim!GG58,"")</f>
        <v/>
      </c>
      <c r="GD56" s="185" t="str">
        <f>IF(Tim!GH58=FIT!$E$1,Tim!GH58,"")</f>
        <v/>
      </c>
      <c r="GE56" s="185" t="str">
        <f>IF(Tim!GI58=FIT!$E$1,Tim!GI58,"")</f>
        <v/>
      </c>
      <c r="GF56" s="185" t="str">
        <f>IF(Tim!GJ58=FIT!$E$1,Tim!GJ58,"")</f>
        <v/>
      </c>
      <c r="GG56" s="185" t="str">
        <f>IF(Tim!GK58=FIT!$E$1,Tim!GK58,"")</f>
        <v/>
      </c>
      <c r="GH56" s="185" t="str">
        <f>IF(Tim!GL58=FIT!$E$1,Tim!GL58,"")</f>
        <v/>
      </c>
      <c r="GI56" s="185" t="str">
        <f>IF(Tim!GM58=FIT!$E$1,Tim!GM58,"")</f>
        <v/>
      </c>
      <c r="GJ56" s="185" t="str">
        <f>IF(Tim!GN58=FIT!$E$1,Tim!GN58,"")</f>
        <v/>
      </c>
      <c r="GK56" s="185" t="str">
        <f>IF(Tim!GO58=FIT!$E$1,Tim!GO58,"")</f>
        <v/>
      </c>
      <c r="GL56" s="185" t="str">
        <f>IF(Tim!GP58=FIT!$E$1,Tim!GP58,"")</f>
        <v/>
      </c>
      <c r="GM56" s="185" t="str">
        <f>IF(Tim!GQ58=FIT!$E$1,Tim!GQ58,"")</f>
        <v/>
      </c>
      <c r="GN56" s="185" t="str">
        <f>IF(Tim!GR58=FIT!$E$1,Tim!GR58,"")</f>
        <v/>
      </c>
      <c r="GO56" s="185" t="str">
        <f>IF(Tim!GS58=FIT!$E$1,Tim!GS58,"")</f>
        <v/>
      </c>
      <c r="GP56" s="185" t="str">
        <f>IF(Tim!GT58=FIT!$E$1,Tim!GT58,"")</f>
        <v/>
      </c>
      <c r="GQ56" s="185" t="str">
        <f>IF(Tim!GU58=FIT!$E$1,Tim!GU58,"")</f>
        <v/>
      </c>
      <c r="GR56" s="185" t="str">
        <f>IF(Tim!GV58=FIT!$E$1,Tim!GV58,"")</f>
        <v/>
      </c>
      <c r="GS56" s="185" t="str">
        <f>IF(Tim!GW58=FIT!$E$1,Tim!GW58,"")</f>
        <v/>
      </c>
      <c r="GT56" s="185" t="str">
        <f>IF(Tim!GX58=FIT!$E$1,Tim!GX58,"")</f>
        <v/>
      </c>
      <c r="GU56" s="185" t="str">
        <f>IF(Tim!GY58=FIT!$E$1,Tim!GY58,"")</f>
        <v/>
      </c>
      <c r="GV56" s="185" t="str">
        <f>IF(Tim!GZ58=FIT!$E$1,Tim!GZ58,"")</f>
        <v/>
      </c>
      <c r="GW56" s="185" t="str">
        <f>IF(Tim!HA58=FIT!$E$1,Tim!HA58,"")</f>
        <v/>
      </c>
      <c r="GX56" s="185" t="str">
        <f>IF(Tim!HB58=FIT!$E$1,Tim!HB58,"")</f>
        <v/>
      </c>
      <c r="GY56" s="185" t="str">
        <f>IF(Tim!HC58=FIT!$E$1,Tim!HC58,"")</f>
        <v/>
      </c>
      <c r="GZ56" s="185" t="str">
        <f>IF(Tim!HD58=FIT!$E$1,Tim!HD58,"")</f>
        <v/>
      </c>
      <c r="HA56" s="185" t="str">
        <f>IF(Tim!HE58=FIT!$E$1,Tim!HE58,"")</f>
        <v/>
      </c>
      <c r="HB56" s="185" t="str">
        <f>IF(Tim!HF58=FIT!$E$1,Tim!HF58,"")</f>
        <v/>
      </c>
      <c r="HC56" s="185" t="str">
        <f>IF(Tim!HG58=FIT!$E$1,Tim!HG58,"")</f>
        <v/>
      </c>
      <c r="HD56" s="185" t="str">
        <f>IF(Tim!HH58=FIT!$E$1,Tim!HH58,"")</f>
        <v/>
      </c>
      <c r="HE56" s="185" t="str">
        <f>IF(Tim!HI58=FIT!$E$1,Tim!HI58,"")</f>
        <v/>
      </c>
      <c r="HF56" s="185" t="str">
        <f>IF(Tim!HJ58=FIT!$E$1,Tim!HJ58,"")</f>
        <v/>
      </c>
      <c r="HG56" s="185" t="str">
        <f>IF(Tim!HK58=FIT!$E$1,Tim!HK58,"")</f>
        <v/>
      </c>
      <c r="HH56" s="185" t="str">
        <f>IF(Tim!HL58=FIT!$E$1,Tim!HL58,"")</f>
        <v/>
      </c>
      <c r="HI56" s="185" t="str">
        <f>IF(Tim!HM58=FIT!$E$1,Tim!HM58,"")</f>
        <v/>
      </c>
      <c r="HJ56" s="185" t="str">
        <f>IF(Tim!HN58=FIT!$E$1,Tim!HN58,"")</f>
        <v/>
      </c>
      <c r="HK56" s="185" t="str">
        <f>IF(Tim!HO58=FIT!$E$1,Tim!HO58,"")</f>
        <v/>
      </c>
      <c r="HL56" s="185" t="str">
        <f>IF(Tim!HP58=FIT!$E$1,Tim!HP58,"")</f>
        <v/>
      </c>
      <c r="HM56" s="185" t="str">
        <f>IF(Tim!HQ58=FIT!$E$1,Tim!HQ58,"")</f>
        <v/>
      </c>
      <c r="HN56" s="185" t="str">
        <f>IF(Tim!HR58=FIT!$E$1,Tim!HR58,"")</f>
        <v/>
      </c>
      <c r="HO56" s="185" t="str">
        <f>IF(Tim!HS58=FIT!$E$1,Tim!HS58,"")</f>
        <v/>
      </c>
      <c r="HP56" s="185" t="str">
        <f>IF(Tim!HT58=FIT!$E$1,Tim!HT58,"")</f>
        <v/>
      </c>
      <c r="HQ56" s="185" t="str">
        <f>IF(Tim!HU58=FIT!$E$1,Tim!HU58,"")</f>
        <v/>
      </c>
      <c r="HR56" s="185" t="str">
        <f>IF(Tim!HV58=FIT!$E$1,Tim!HV58,"")</f>
        <v/>
      </c>
      <c r="HS56" s="185" t="str">
        <f>IF(Tim!HW58=FIT!$E$1,Tim!HW58,"")</f>
        <v/>
      </c>
      <c r="HT56" s="185" t="str">
        <f>IF(Tim!HX58=FIT!$E$1,Tim!HX58,"")</f>
        <v/>
      </c>
      <c r="HU56" s="185" t="str">
        <f>IF(Tim!HY58=FIT!$E$1,Tim!HY58,"")</f>
        <v/>
      </c>
      <c r="HV56" s="185" t="str">
        <f>IF(Tim!HZ58=FIT!$E$1,Tim!HZ58,"")</f>
        <v/>
      </c>
      <c r="HW56" s="185" t="str">
        <f>IF(Tim!IA58=FIT!$E$1,Tim!IA58,"")</f>
        <v/>
      </c>
      <c r="HX56" s="185" t="str">
        <f>IF(Tim!IB58=FIT!$E$1,Tim!IB58,"")</f>
        <v/>
      </c>
      <c r="HY56" s="185" t="str">
        <f>IF(Tim!IC58=FIT!$E$1,Tim!IC58,"")</f>
        <v/>
      </c>
      <c r="HZ56" s="185" t="str">
        <f>IF(Tim!ID58=FIT!$E$1,Tim!ID58,"")</f>
        <v/>
      </c>
      <c r="IA56" s="185" t="str">
        <f>IF(Tim!IE58=FIT!$E$1,Tim!IE58,"")</f>
        <v/>
      </c>
      <c r="IB56" s="185" t="str">
        <f>IF(Tim!IF58=FIT!$E$1,Tim!IF58,"")</f>
        <v/>
      </c>
      <c r="IC56" s="185" t="str">
        <f>IF(Tim!IG58=FIT!$E$1,Tim!IG58,"")</f>
        <v/>
      </c>
      <c r="ID56" s="185" t="str">
        <f>IF(Tim!IH58=FIT!$E$1,Tim!IH58,"")</f>
        <v/>
      </c>
      <c r="IE56" s="185" t="str">
        <f>IF(Tim!II58=FIT!$E$1,Tim!II58,"")</f>
        <v/>
      </c>
      <c r="IF56" s="185" t="str">
        <f>IF(Tim!IJ58=FIT!$E$1,Tim!IJ58,"")</f>
        <v/>
      </c>
      <c r="IG56" s="185" t="str">
        <f>IF(Tim!IK58=FIT!$E$1,Tim!IK58,"")</f>
        <v/>
      </c>
      <c r="IH56" s="185" t="str">
        <f>IF(Tim!IL58=FIT!$E$1,Tim!IL58,"")</f>
        <v/>
      </c>
      <c r="II56" s="185" t="str">
        <f>IF(Tim!IM58=FIT!$E$1,Tim!IM58,"")</f>
        <v/>
      </c>
      <c r="IJ56" s="185" t="str">
        <f>IF(Tim!IN58=FIT!$E$1,Tim!IN58,"")</f>
        <v/>
      </c>
      <c r="IK56" s="185" t="str">
        <f>IF(Tim!IO58=FIT!$E$1,Tim!IO58,"")</f>
        <v/>
      </c>
      <c r="IL56" s="185" t="str">
        <f>IF(Tim!IP58=FIT!$E$1,Tim!IP58,"")</f>
        <v/>
      </c>
      <c r="IM56" s="185" t="str">
        <f>IF(Tim!IQ58=FIT!$E$1,Tim!IQ58,"")</f>
        <v/>
      </c>
      <c r="IN56" s="185" t="str">
        <f>IF(Tim!IR58=FIT!$E$1,Tim!IR58,"")</f>
        <v/>
      </c>
      <c r="IO56" s="185" t="str">
        <f>IF(Tim!IS58=FIT!$E$1,Tim!IS58,"")</f>
        <v/>
      </c>
      <c r="IP56" s="185" t="str">
        <f>IF(Tim!IT58=FIT!$E$1,Tim!IT58,"")</f>
        <v/>
      </c>
      <c r="IQ56" s="185" t="str">
        <f>IF(Tim!IU58=FIT!$E$1,Tim!IU58,"")</f>
        <v/>
      </c>
      <c r="IR56" s="185" t="str">
        <f>IF(Tim!IV58=FIT!$E$1,Tim!IV58,"")</f>
        <v/>
      </c>
      <c r="IS56" s="185" t="str">
        <f>IF(Tim!IW58=FIT!$E$1,Tim!IW58,"")</f>
        <v/>
      </c>
      <c r="IT56" s="185" t="str">
        <f>IF(Tim!IX58=FIT!$E$1,Tim!IX58,"")</f>
        <v/>
      </c>
      <c r="IU56" s="185" t="str">
        <f>IF(Tim!IY58=FIT!$E$1,Tim!IY58,"")</f>
        <v/>
      </c>
      <c r="IV56" s="185" t="str">
        <f>IF(Tim!IZ58=FIT!$E$1,Tim!IZ58,"")</f>
        <v/>
      </c>
      <c r="IW56" s="185" t="str">
        <f>IF(Tim!JA58=FIT!$E$1,Tim!JA58,"")</f>
        <v/>
      </c>
      <c r="IX56" s="185" t="str">
        <f>IF(Tim!JB58=FIT!$E$1,Tim!JB58,"")</f>
        <v/>
      </c>
      <c r="IY56" s="185" t="str">
        <f>IF(Tim!JC58=FIT!$E$1,Tim!JC58,"")</f>
        <v/>
      </c>
      <c r="IZ56" s="185" t="str">
        <f>IF(Tim!JD58=FIT!$E$1,Tim!JD58,"")</f>
        <v/>
      </c>
      <c r="JA56" s="185" t="str">
        <f>IF(Tim!JE58=FIT!$E$1,Tim!JE58,"")</f>
        <v/>
      </c>
      <c r="JB56" s="185" t="str">
        <f>IF(Tim!JF58=FIT!$E$1,Tim!JF58,"")</f>
        <v/>
      </c>
      <c r="JC56" s="185" t="str">
        <f>IF(Tim!JG58=FIT!$E$1,Tim!JG58,"")</f>
        <v/>
      </c>
      <c r="JD56" s="185" t="str">
        <f>IF(Tim!JH58=FIT!$E$1,Tim!JH58,"")</f>
        <v/>
      </c>
      <c r="JE56" s="185" t="str">
        <f>IF(Tim!JI58=FIT!$E$1,Tim!JI58,"")</f>
        <v/>
      </c>
      <c r="JF56" s="185" t="str">
        <f>IF(Tim!JJ58=FIT!$E$1,Tim!JJ58,"")</f>
        <v/>
      </c>
      <c r="JG56" s="185" t="str">
        <f>IF(Tim!JK58=FIT!$E$1,Tim!JK58,"")</f>
        <v/>
      </c>
      <c r="JH56" s="185" t="str">
        <f>IF(Tim!JL58=FIT!$E$1,Tim!JL58,"")</f>
        <v/>
      </c>
      <c r="JI56" s="185" t="str">
        <f>IF(Tim!JM58=FIT!$E$1,Tim!JM58,"")</f>
        <v/>
      </c>
      <c r="JJ56" s="366"/>
      <c r="JK56" s="366"/>
      <c r="JL56" s="366"/>
      <c r="JM56" s="366"/>
      <c r="JN56" s="366"/>
      <c r="JO56" s="366"/>
      <c r="JP56" s="366"/>
      <c r="JQ56" s="366"/>
      <c r="JR56" s="366"/>
      <c r="JS56" s="366"/>
      <c r="JT56" s="366"/>
      <c r="JU56" s="366"/>
      <c r="JV56" s="366"/>
      <c r="JW56" s="366"/>
      <c r="JX56" s="366"/>
      <c r="JY56" s="366"/>
      <c r="JZ56" s="366"/>
      <c r="KA56" s="366"/>
      <c r="KB56" s="366"/>
      <c r="KC56" s="366"/>
      <c r="KD56" s="366"/>
      <c r="KE56" s="366"/>
      <c r="KF56" s="366"/>
      <c r="KG56" s="366"/>
      <c r="KH56" s="366"/>
      <c r="KI56" s="366"/>
      <c r="KJ56" s="366"/>
      <c r="KK56" s="366"/>
      <c r="KL56" s="366"/>
      <c r="KM56" s="366"/>
      <c r="KN56" s="366"/>
      <c r="KO56" s="366"/>
      <c r="KP56" s="366"/>
      <c r="KQ56" s="366"/>
      <c r="KR56" s="366"/>
      <c r="KS56" s="366"/>
      <c r="KT56" s="366"/>
      <c r="KU56" s="366"/>
      <c r="KV56" s="366"/>
      <c r="KW56" s="366"/>
      <c r="KX56" s="366"/>
      <c r="KY56" s="366"/>
      <c r="KZ56" s="366"/>
      <c r="LA56" s="428"/>
      <c r="LB56" s="52">
        <v>0.82291666666666496</v>
      </c>
    </row>
    <row r="57" spans="2:314" ht="10.5" customHeight="1">
      <c r="B57" s="49">
        <v>0.25</v>
      </c>
      <c r="C57" s="49">
        <v>0.25</v>
      </c>
      <c r="D57" s="49">
        <v>0.25</v>
      </c>
      <c r="E57" s="172">
        <v>0.83333333333333204</v>
      </c>
      <c r="F57" s="238" t="str">
        <f>IF(Tim!F59=FIT!$E$1,Tim!F59,"")</f>
        <v/>
      </c>
      <c r="G57" s="185" t="str">
        <f>IF(Tim!G59=FIT!$E$1,Tim!G59,"")</f>
        <v/>
      </c>
      <c r="H57" s="185" t="str">
        <f>IF(Tim!H59=FIT!$E$1,Tim!H59,"")</f>
        <v/>
      </c>
      <c r="I57" s="185" t="str">
        <f>IF(Tim!I59=FIT!$E$1,Tim!I59,"")</f>
        <v/>
      </c>
      <c r="J57" s="185" t="str">
        <f>IF(Tim!J59=FIT!$E$1,Tim!J59,"")</f>
        <v/>
      </c>
      <c r="K57" s="185" t="str">
        <f>IF(Tim!K59=FIT!$E$1,Tim!K59,"")</f>
        <v/>
      </c>
      <c r="L57" s="185" t="str">
        <f>IF(Tim!L59=FIT!$E$1,Tim!L59,"")</f>
        <v/>
      </c>
      <c r="M57" s="185" t="str">
        <f>IF(Tim!M59=FIT!$E$1,Tim!M59,"")</f>
        <v/>
      </c>
      <c r="N57" s="185" t="str">
        <f>IF(Tim!N59=FIT!$E$1,Tim!N59,"")</f>
        <v/>
      </c>
      <c r="O57" s="185" t="str">
        <f>IF(Tim!O59=FIT!$E$1,Tim!O59,"")</f>
        <v/>
      </c>
      <c r="P57" s="185" t="str">
        <f>IF(Tim!P59=FIT!$E$1,Tim!P59,"")</f>
        <v/>
      </c>
      <c r="Q57" s="185" t="str">
        <f>IF(Tim!Q59=FIT!$E$1,Tim!Q59,"")</f>
        <v/>
      </c>
      <c r="R57" s="185" t="str">
        <f>IF(Tim!R59=FIT!$E$1,Tim!R59,"")</f>
        <v/>
      </c>
      <c r="S57" s="185" t="str">
        <f>IF(Tim!S59=FIT!$E$1,Tim!S59,"")</f>
        <v/>
      </c>
      <c r="T57" s="185" t="str">
        <f>IF(Tim!T59=FIT!$E$1,Tim!T59,"")</f>
        <v/>
      </c>
      <c r="U57" s="185" t="str">
        <f>IF(Tim!U59=FIT!$E$1,Tim!U59,"")</f>
        <v/>
      </c>
      <c r="V57" s="185" t="str">
        <f>IF(Tim!W59=FIT!$E$1,Tim!W59,"")</f>
        <v/>
      </c>
      <c r="W57" s="185" t="str">
        <f>IF(Tim!X59=FIT!$E$1,Tim!X59,"")</f>
        <v/>
      </c>
      <c r="X57" s="185" t="str">
        <f>IF(Tim!Y59=FIT!$E$1,Tim!Y59,"")</f>
        <v/>
      </c>
      <c r="Y57" s="185" t="str">
        <f>IF(Tim!Z59=FIT!$E$1,Tim!Z59,"")</f>
        <v/>
      </c>
      <c r="Z57" s="185" t="str">
        <f>IF(Tim!AA59=FIT!$E$1,Tim!AA59,"")</f>
        <v/>
      </c>
      <c r="AA57" s="185" t="str">
        <f>IF(Tim!AB59=FIT!$E$1,Tim!AB59,"")</f>
        <v/>
      </c>
      <c r="AB57" s="185" t="str">
        <f>IF(Tim!AC59=FIT!$E$1,Tim!AC59,"")</f>
        <v/>
      </c>
      <c r="AC57" s="185" t="str">
        <f>IF(Tim!AD59=FIT!$E$1,Tim!AD59,"")</f>
        <v/>
      </c>
      <c r="AD57" s="185" t="str">
        <f>IF(Tim!AE59=FIT!$E$1,Tim!AE59,"")</f>
        <v/>
      </c>
      <c r="AE57" s="185" t="str">
        <f>IF(Tim!AF59=FIT!$E$1,Tim!AF59,"")</f>
        <v/>
      </c>
      <c r="AF57" s="185" t="str">
        <f>IF(Tim!AG59=FIT!$E$1,Tim!AG59,"")</f>
        <v/>
      </c>
      <c r="AG57" s="185" t="str">
        <f>IF(Tim!AH59=FIT!$E$1,Tim!AH59,"")</f>
        <v/>
      </c>
      <c r="AH57" s="185" t="str">
        <f>IF(Tim!AI59=FIT!$E$1,Tim!AI59,"")</f>
        <v/>
      </c>
      <c r="AI57" s="185" t="str">
        <f>IF(Tim!AJ59=FIT!$E$1,Tim!AJ59,"")</f>
        <v/>
      </c>
      <c r="AJ57" s="185" t="str">
        <f>IF(Tim!AK59=FIT!$E$1,Tim!AK59,"")</f>
        <v/>
      </c>
      <c r="AK57" s="185" t="str">
        <f>IF(Tim!AL59=FIT!$E$1,Tim!AL59,"")</f>
        <v/>
      </c>
      <c r="AL57" s="185" t="str">
        <f>IF(Tim!AM59=FIT!$E$1,Tim!AM59,"")</f>
        <v/>
      </c>
      <c r="AM57" s="185" t="str">
        <f>IF(Tim!AN59=FIT!$E$1,Tim!AN59,"")</f>
        <v/>
      </c>
      <c r="AN57" s="185" t="str">
        <f>IF(Tim!AO59=FIT!$E$1,Tim!AO59,"")</f>
        <v/>
      </c>
      <c r="AO57" s="185" t="str">
        <f>IF(Tim!AP59=FIT!$E$1,Tim!AP59,"")</f>
        <v/>
      </c>
      <c r="AP57" s="185" t="str">
        <f>IF(Tim!AQ59=FIT!$E$1,Tim!AQ59,"")</f>
        <v/>
      </c>
      <c r="AQ57" s="185" t="str">
        <f>IF(Tim!AR59=FIT!$E$1,Tim!AR59,"")</f>
        <v/>
      </c>
      <c r="AR57" s="185" t="str">
        <f>IF(Tim!AS59=FIT!$E$1,Tim!AS59,"")</f>
        <v/>
      </c>
      <c r="AS57" s="185" t="str">
        <f>IF(Tim!AT59=FIT!$E$1,Tim!AT59,"")</f>
        <v/>
      </c>
      <c r="AT57" s="185" t="str">
        <f>IF(Tim!AU59=FIT!$E$1,Tim!AU59,"")</f>
        <v/>
      </c>
      <c r="AU57" s="185" t="str">
        <f>IF(Tim!AV59=FIT!$E$1,Tim!AV59,"")</f>
        <v/>
      </c>
      <c r="AV57" s="185" t="str">
        <f>IF(Tim!AW59=FIT!$E$1,Tim!AW59,"")</f>
        <v/>
      </c>
      <c r="AW57" s="186" t="str">
        <f>IF(Tim!AX59=FIT!$E$1,Tim!AX59,"")</f>
        <v/>
      </c>
      <c r="AX57" s="243" t="str">
        <f>IF(Tim!AY59=FIT!$E$1,Tim!AY59,"")</f>
        <v/>
      </c>
      <c r="AY57" s="185" t="str">
        <f>IF(Tim!AZ59=FIT!$E$1,Tim!AZ59,"")</f>
        <v/>
      </c>
      <c r="AZ57" s="185" t="str">
        <f>IF(Tim!BA59=FIT!$E$1,Tim!BA59,"")</f>
        <v/>
      </c>
      <c r="BA57" s="185" t="str">
        <f>IF(Tim!BB59=FIT!$E$1,Tim!BB59,"")</f>
        <v/>
      </c>
      <c r="BB57" s="185" t="str">
        <f>IF(Tim!BC59=FIT!$E$1,Tim!BC59,"")</f>
        <v/>
      </c>
      <c r="BC57" s="185" t="str">
        <f>IF(Tim!BD59=FIT!$E$1,Tim!BD59,"")</f>
        <v/>
      </c>
      <c r="BD57" s="185" t="str">
        <f>IF(Tim!BE59=FIT!$E$1,Tim!BE59,"")</f>
        <v/>
      </c>
      <c r="BE57" s="185" t="str">
        <f>IF(Tim!BF59=FIT!$E$1,Tim!BF59,"")</f>
        <v/>
      </c>
      <c r="BF57" s="185" t="str">
        <f>IF(Tim!BG59=FIT!$E$1,Tim!BG59,"")</f>
        <v/>
      </c>
      <c r="BG57" s="185" t="str">
        <f>IF(Tim!BH59=FIT!$E$1,Tim!BH59,"")</f>
        <v/>
      </c>
      <c r="BH57" s="185" t="str">
        <f>IF(Tim!BI59=FIT!$E$1,Tim!BI59,"")</f>
        <v/>
      </c>
      <c r="BI57" s="185" t="str">
        <f>IF(Tim!BJ59=FIT!$E$1,Tim!BJ59,"")</f>
        <v/>
      </c>
      <c r="BJ57" s="185" t="str">
        <f>IF(Tim!BK59=FIT!$E$1,Tim!BK59,"")</f>
        <v/>
      </c>
      <c r="BK57" s="185" t="str">
        <f>IF(Tim!BL59=FIT!$E$1,Tim!BL59,"")</f>
        <v/>
      </c>
      <c r="BL57" s="185" t="str">
        <f>IF(Tim!BM59=FIT!$E$1,Tim!BM59,"")</f>
        <v/>
      </c>
      <c r="BM57" s="185" t="str">
        <f>IF(Tim!BN59=FIT!$E$1,Tim!BN59,"")</f>
        <v/>
      </c>
      <c r="BN57" s="185" t="str">
        <f>IF(Tim!BO59=FIT!$E$1,Tim!BO59,"")</f>
        <v/>
      </c>
      <c r="BO57" s="185" t="str">
        <f>IF(Tim!BP59=FIT!$E$1,Tim!BP59,"")</f>
        <v/>
      </c>
      <c r="BP57" s="185" t="str">
        <f>IF(Tim!BQ59=FIT!$E$1,Tim!BQ59,"")</f>
        <v/>
      </c>
      <c r="BQ57" s="185" t="str">
        <f>IF(Tim!BR59=FIT!$E$1,Tim!BR59,"")</f>
        <v/>
      </c>
      <c r="BR57" s="185" t="str">
        <f>IF(Tim!BS59=FIT!$E$1,Tim!BS59,"")</f>
        <v/>
      </c>
      <c r="BS57" s="185" t="str">
        <f>IF(Tim!BT59=FIT!$E$1,Tim!BT59,"")</f>
        <v/>
      </c>
      <c r="BT57" s="185" t="str">
        <f>IF(Tim!BU59=FIT!$E$1,Tim!BU59,"")</f>
        <v/>
      </c>
      <c r="BU57" s="185" t="str">
        <f>IF(Tim!BV59=FIT!$E$1,Tim!BV59,"")</f>
        <v/>
      </c>
      <c r="BV57" s="185" t="str">
        <f>IF(Tim!BW59=FIT!$E$1,Tim!BW59,"")</f>
        <v/>
      </c>
      <c r="BW57" s="185" t="str">
        <f>IF(Tim!BX59=FIT!$E$1,Tim!BX59,"")</f>
        <v/>
      </c>
      <c r="BX57" s="185" t="str">
        <f>IF(Tim!BY59=FIT!$E$1,Tim!BY59,"")</f>
        <v/>
      </c>
      <c r="BY57" s="185" t="str">
        <f>IF(Tim!BZ59=FIT!$E$1,Tim!BZ59,"")</f>
        <v/>
      </c>
      <c r="BZ57" s="185" t="str">
        <f>IF(Tim!CA59=FIT!$E$1,Tim!CA59,"")</f>
        <v/>
      </c>
      <c r="CA57" s="185" t="str">
        <f>IF(Tim!CB59=FIT!$E$1,Tim!CB59,"")</f>
        <v/>
      </c>
      <c r="CB57" s="185" t="str">
        <f>IF(Tim!CC59=FIT!$E$1,Tim!CC59,"")</f>
        <v/>
      </c>
      <c r="CC57" s="185" t="str">
        <f>IF(Tim!CD59=FIT!$E$1,Tim!CD59,"")</f>
        <v/>
      </c>
      <c r="CD57" s="185" t="str">
        <f>IF(Tim!CE59=FIT!$E$1,Tim!CE59,"")</f>
        <v/>
      </c>
      <c r="CE57" s="185" t="str">
        <f>IF(Tim!CF59=FIT!$E$1,Tim!CF59,"")</f>
        <v/>
      </c>
      <c r="CF57" s="185" t="str">
        <f>IF(Tim!CG59=FIT!$E$1,Tim!CG59,"")</f>
        <v/>
      </c>
      <c r="CG57" s="185" t="str">
        <f>IF(Tim!CH59=FIT!$E$1,Tim!CH59,"")</f>
        <v/>
      </c>
      <c r="CH57" s="185" t="str">
        <f>IF(Tim!CI59=FIT!$E$1,Tim!CI59,"")</f>
        <v/>
      </c>
      <c r="CI57" s="185" t="str">
        <f>IF(Tim!CJ59=FIT!$E$1,Tim!CJ59,"")</f>
        <v/>
      </c>
      <c r="CJ57" s="185" t="str">
        <f>IF(Tim!CK59=FIT!$E$1,Tim!CK59,"")</f>
        <v/>
      </c>
      <c r="CK57" s="185" t="str">
        <f>IF(Tim!CL59=FIT!$E$1,Tim!CL59,"")</f>
        <v/>
      </c>
      <c r="CL57" s="185" t="str">
        <f>IF(Tim!CM59=FIT!$E$1,Tim!CM59,"")</f>
        <v/>
      </c>
      <c r="CM57" s="185" t="str">
        <f>IF(Tim!CN59=FIT!$E$1,Tim!CN59,"")</f>
        <v/>
      </c>
      <c r="CN57" s="185" t="str">
        <f>IF(Tim!CO59=FIT!$E$1,Tim!CO59,"")</f>
        <v/>
      </c>
      <c r="CO57" s="185" t="str">
        <f>IF(Tim!CP59=FIT!$E$1,Tim!CP59,"")</f>
        <v/>
      </c>
      <c r="CP57" s="185" t="str">
        <f>IF(Tim!CQ59=FIT!$E$1,Tim!CQ59,"")</f>
        <v/>
      </c>
      <c r="CQ57" s="185" t="str">
        <f>IF(Tim!CR59=FIT!$E$1,Tim!CR59,"")</f>
        <v/>
      </c>
      <c r="CR57" s="185" t="str">
        <f>IF(Tim!CS59=FIT!$E$1,Tim!CS59,"")</f>
        <v/>
      </c>
      <c r="CS57" s="185" t="str">
        <f>IF(Tim!CT59=FIT!$E$1,Tim!CT59,"")</f>
        <v/>
      </c>
      <c r="CT57" s="185" t="str">
        <f>IF(Tim!CU59=FIT!$E$1,Tim!CU59,"")</f>
        <v/>
      </c>
      <c r="CU57" s="185" t="str">
        <f>IF(Tim!CV59=FIT!$E$1,Tim!CV59,"")</f>
        <v/>
      </c>
      <c r="CV57" s="185" t="str">
        <f>IF(Tim!CW59=FIT!$E$1,Tim!CW59,"")</f>
        <v/>
      </c>
      <c r="CW57" s="185" t="str">
        <f>IF(Tim!CX59=FIT!$E$1,Tim!CX59,"")</f>
        <v/>
      </c>
      <c r="CX57" s="185" t="str">
        <f>IF(Tim!CY59=FIT!$E$1,Tim!CY59,"")</f>
        <v/>
      </c>
      <c r="CY57" s="185" t="str">
        <f>IF(Tim!CZ59=FIT!$E$1,Tim!CZ59,"")</f>
        <v/>
      </c>
      <c r="CZ57" s="185" t="str">
        <f>IF(Tim!DA59=FIT!$E$1,Tim!DA59,"")</f>
        <v/>
      </c>
      <c r="DA57" s="185" t="str">
        <f>IF(Tim!DB59=FIT!$E$1,Tim!DB59,"")</f>
        <v/>
      </c>
      <c r="DB57" s="185" t="str">
        <f>IF(Tim!DC59=FIT!$E$1,Tim!DC59,"")</f>
        <v/>
      </c>
      <c r="DC57" s="185" t="str">
        <f>IF(Tim!DD59=FIT!$E$1,Tim!DD59,"")</f>
        <v/>
      </c>
      <c r="DD57" s="185" t="str">
        <f>IF(Tim!DE59=FIT!$E$1,Tim!DE59,"")</f>
        <v/>
      </c>
      <c r="DE57" s="185" t="str">
        <f>IF(Tim!DF59=FIT!$E$1,Tim!DF59,"")</f>
        <v/>
      </c>
      <c r="DF57" s="185" t="str">
        <f>IF(Tim!DG59=FIT!$E$1,Tim!DG59,"")</f>
        <v/>
      </c>
      <c r="DG57" s="185" t="str">
        <f>IF(Tim!DH59=FIT!$E$1,Tim!DH59,"")</f>
        <v/>
      </c>
      <c r="DH57" s="185" t="str">
        <f>IF(Tim!DI59=FIT!$E$1,Tim!DI59,"")</f>
        <v/>
      </c>
      <c r="DI57" s="185" t="str">
        <f>IF(Tim!DM59=FIT!$E$1,Tim!DM59,"")</f>
        <v/>
      </c>
      <c r="DJ57" s="185" t="str">
        <f>IF(Tim!DN59=FIT!$E$1,Tim!DN59,"")</f>
        <v/>
      </c>
      <c r="DK57" s="185" t="str">
        <f>IF(Tim!DO59=FIT!$E$1,Tim!DO59,"")</f>
        <v/>
      </c>
      <c r="DL57" s="185" t="str">
        <f>IF(Tim!DP59=FIT!$E$1,Tim!DP59,"")</f>
        <v/>
      </c>
      <c r="DM57" s="185" t="str">
        <f>IF(Tim!DQ59=FIT!$E$1,Tim!DQ59,"")</f>
        <v/>
      </c>
      <c r="DN57" s="185" t="str">
        <f>IF(Tim!DR59=FIT!$E$1,Tim!DR59,"")</f>
        <v/>
      </c>
      <c r="DO57" s="185" t="str">
        <f>IF(Tim!DS59=FIT!$E$1,Tim!DS59,"")</f>
        <v/>
      </c>
      <c r="DP57" s="185" t="str">
        <f>IF(Tim!DT59=FIT!$E$1,Tim!DT59,"")</f>
        <v/>
      </c>
      <c r="DQ57" s="185" t="str">
        <f>IF(Tim!DU59=FIT!$E$1,Tim!DU59,"")</f>
        <v/>
      </c>
      <c r="DR57" s="185" t="str">
        <f>IF(Tim!DV59=FIT!$E$1,Tim!DV59,"")</f>
        <v/>
      </c>
      <c r="DS57" s="185" t="str">
        <f>IF(Tim!DW59=FIT!$E$1,Tim!DW59,"")</f>
        <v/>
      </c>
      <c r="DT57" s="185" t="str">
        <f>IF(Tim!DX59=FIT!$E$1,Tim!DX59,"")</f>
        <v/>
      </c>
      <c r="DU57" s="185" t="str">
        <f>IF(Tim!DY59=FIT!$E$1,Tim!DY59,"")</f>
        <v/>
      </c>
      <c r="DV57" s="185" t="str">
        <f>IF(Tim!DZ59=FIT!$E$1,Tim!DZ59,"")</f>
        <v/>
      </c>
      <c r="DW57" s="185" t="str">
        <f>IF(Tim!EA59=FIT!$E$1,Tim!EA59,"")</f>
        <v/>
      </c>
      <c r="DX57" s="185" t="str">
        <f>IF(Tim!EB59=FIT!$E$1,Tim!EB59,"")</f>
        <v/>
      </c>
      <c r="DY57" s="185" t="str">
        <f>IF(Tim!EC59=FIT!$E$1,Tim!EC59,"")</f>
        <v/>
      </c>
      <c r="DZ57" s="185" t="str">
        <f>IF(Tim!ED59=FIT!$E$1,Tim!ED59,"")</f>
        <v/>
      </c>
      <c r="EA57" s="185" t="str">
        <f>IF(Tim!EE59=FIT!$E$1,Tim!EE59,"")</f>
        <v/>
      </c>
      <c r="EB57" s="185" t="str">
        <f>IF(Tim!EF59=FIT!$E$1,Tim!EF59,"")</f>
        <v/>
      </c>
      <c r="EC57" s="185" t="str">
        <f>IF(Tim!EG59=FIT!$E$1,Tim!EG59,"")</f>
        <v/>
      </c>
      <c r="ED57" s="185" t="str">
        <f>IF(Tim!EH59=FIT!$E$1,Tim!EH59,"")</f>
        <v/>
      </c>
      <c r="EE57" s="185" t="str">
        <f>IF(Tim!EI59=FIT!$E$1,Tim!EI59,"")</f>
        <v/>
      </c>
      <c r="EF57" s="185" t="str">
        <f>IF(Tim!EJ59=FIT!$E$1,Tim!EJ59,"")</f>
        <v/>
      </c>
      <c r="EG57" s="185" t="str">
        <f>IF(Tim!EK59=FIT!$E$1,Tim!EK59,"")</f>
        <v/>
      </c>
      <c r="EH57" s="185" t="str">
        <f>IF(Tim!EL59=FIT!$E$1,Tim!EL59,"")</f>
        <v/>
      </c>
      <c r="EI57" s="185" t="str">
        <f>IF(Tim!EM59=FIT!$E$1,Tim!EM59,"")</f>
        <v/>
      </c>
      <c r="EJ57" s="185" t="str">
        <f>IF(Tim!EN59=FIT!$E$1,Tim!EN59,"")</f>
        <v/>
      </c>
      <c r="EK57" s="185" t="str">
        <f>IF(Tim!EO59=FIT!$E$1,Tim!EO59,"")</f>
        <v/>
      </c>
      <c r="EL57" s="185" t="str">
        <f>IF(Tim!EP59=FIT!$E$1,Tim!EP59,"")</f>
        <v/>
      </c>
      <c r="EM57" s="185" t="str">
        <f>IF(Tim!EQ59=FIT!$E$1,Tim!EQ59,"")</f>
        <v/>
      </c>
      <c r="EN57" s="185" t="str">
        <f>IF(Tim!ER59=FIT!$E$1,Tim!ER59,"")</f>
        <v/>
      </c>
      <c r="EO57" s="185" t="str">
        <f>IF(Tim!ES59=FIT!$E$1,Tim!ES59,"")</f>
        <v/>
      </c>
      <c r="EP57" s="185" t="str">
        <f>IF(Tim!ET59=FIT!$E$1,Tim!ET59,"")</f>
        <v/>
      </c>
      <c r="EQ57" s="185" t="str">
        <f>IF(Tim!EU59=FIT!$E$1,Tim!EU59,"")</f>
        <v/>
      </c>
      <c r="ER57" s="185" t="str">
        <f>IF(Tim!EV59=FIT!$E$1,Tim!EV59,"")</f>
        <v/>
      </c>
      <c r="ES57" s="185" t="str">
        <f>IF(Tim!EW59=FIT!$E$1,Tim!EW59,"")</f>
        <v/>
      </c>
      <c r="ET57" s="185" t="str">
        <f>IF(Tim!EX59=FIT!$E$1,Tim!EX59,"")</f>
        <v/>
      </c>
      <c r="EU57" s="185" t="str">
        <f>IF(Tim!EY59=FIT!$E$1,Tim!EY59,"")</f>
        <v/>
      </c>
      <c r="EV57" s="185" t="str">
        <f>IF(Tim!EZ59=FIT!$E$1,Tim!EZ59,"")</f>
        <v/>
      </c>
      <c r="EW57" s="185" t="str">
        <f>IF(Tim!FA59=FIT!$E$1,Tim!FA59,"")</f>
        <v/>
      </c>
      <c r="EX57" s="185" t="str">
        <f>IF(Tim!FB59=FIT!$E$1,Tim!FB59,"")</f>
        <v/>
      </c>
      <c r="EY57" s="185" t="str">
        <f>IF(Tim!FC59=FIT!$E$1,Tim!FC59,"")</f>
        <v/>
      </c>
      <c r="EZ57" s="185" t="str">
        <f>IF(Tim!FD59=FIT!$E$1,Tim!FD59,"")</f>
        <v/>
      </c>
      <c r="FA57" s="185" t="str">
        <f>IF(Tim!FE59=FIT!$E$1,Tim!FE59,"")</f>
        <v/>
      </c>
      <c r="FB57" s="185" t="str">
        <f>IF(Tim!FF59=FIT!$E$1,Tim!FF59,"")</f>
        <v/>
      </c>
      <c r="FC57" s="185" t="str">
        <f>IF(Tim!FG59=FIT!$E$1,Tim!FG59,"")</f>
        <v/>
      </c>
      <c r="FD57" s="185" t="str">
        <f>IF(Tim!FH59=FIT!$E$1,Tim!FH59,"")</f>
        <v/>
      </c>
      <c r="FE57" s="185" t="str">
        <f>IF(Tim!FI59=FIT!$E$1,Tim!FI59,"")</f>
        <v/>
      </c>
      <c r="FF57" s="185" t="str">
        <f>IF(Tim!FJ59=FIT!$E$1,Tim!FJ59,"")</f>
        <v/>
      </c>
      <c r="FG57" s="185" t="str">
        <f>IF(Tim!FK59=FIT!$E$1,Tim!FK59,"")</f>
        <v/>
      </c>
      <c r="FH57" s="185" t="str">
        <f>IF(Tim!FL59=FIT!$E$1,Tim!FL59,"")</f>
        <v/>
      </c>
      <c r="FI57" s="185" t="str">
        <f>IF(Tim!FM59=FIT!$E$1,Tim!FM59,"")</f>
        <v/>
      </c>
      <c r="FJ57" s="185" t="str">
        <f>IF(Tim!FN59=FIT!$E$1,Tim!FN59,"")</f>
        <v/>
      </c>
      <c r="FK57" s="185" t="str">
        <f>IF(Tim!FO59=FIT!$E$1,Tim!FO59,"")</f>
        <v/>
      </c>
      <c r="FL57" s="185" t="str">
        <f>IF(Tim!FP59=FIT!$E$1,Tim!FP59,"")</f>
        <v/>
      </c>
      <c r="FM57" s="185" t="str">
        <f>IF(Tim!FQ59=FIT!$E$1,Tim!FQ59,"")</f>
        <v/>
      </c>
      <c r="FN57" s="185" t="str">
        <f>IF(Tim!FR59=FIT!$E$1,Tim!FR59,"")</f>
        <v/>
      </c>
      <c r="FO57" s="185" t="str">
        <f>IF(Tim!FS59=FIT!$E$1,Tim!FS59,"")</f>
        <v/>
      </c>
      <c r="FP57" s="185" t="str">
        <f>IF(Tim!FT59=FIT!$E$1,Tim!FT59,"")</f>
        <v/>
      </c>
      <c r="FQ57" s="185" t="str">
        <f>IF(Tim!FU59=FIT!$E$1,Tim!FU59,"")</f>
        <v/>
      </c>
      <c r="FR57" s="185" t="str">
        <f>IF(Tim!FV59=FIT!$E$1,Tim!FV59,"")</f>
        <v/>
      </c>
      <c r="FS57" s="185" t="str">
        <f>IF(Tim!FW59=FIT!$E$1,Tim!FW59,"")</f>
        <v/>
      </c>
      <c r="FT57" s="185" t="str">
        <f>IF(Tim!FX59=FIT!$E$1,Tim!FX59,"")</f>
        <v/>
      </c>
      <c r="FU57" s="185" t="str">
        <f>IF(Tim!FY59=FIT!$E$1,Tim!FY59,"")</f>
        <v/>
      </c>
      <c r="FV57" s="185" t="str">
        <f>IF(Tim!FZ59=FIT!$E$1,Tim!FZ59,"")</f>
        <v/>
      </c>
      <c r="FW57" s="185" t="str">
        <f>IF(Tim!GA59=FIT!$E$1,Tim!GA59,"")</f>
        <v/>
      </c>
      <c r="FX57" s="185" t="str">
        <f>IF(Tim!GB59=FIT!$E$1,Tim!GB59,"")</f>
        <v/>
      </c>
      <c r="FY57" s="185" t="str">
        <f>IF(Tim!GC59=FIT!$E$1,Tim!GC59,"")</f>
        <v/>
      </c>
      <c r="FZ57" s="185" t="str">
        <f>IF(Tim!GD59=FIT!$E$1,Tim!GD59,"")</f>
        <v/>
      </c>
      <c r="GA57" s="185" t="str">
        <f>IF(Tim!GE59=FIT!$E$1,Tim!GE59,"")</f>
        <v/>
      </c>
      <c r="GB57" s="185" t="str">
        <f>IF(Tim!GF59=FIT!$E$1,Tim!GF59,"")</f>
        <v/>
      </c>
      <c r="GC57" s="185" t="str">
        <f>IF(Tim!GG59=FIT!$E$1,Tim!GG59,"")</f>
        <v/>
      </c>
      <c r="GD57" s="185" t="str">
        <f>IF(Tim!GH59=FIT!$E$1,Tim!GH59,"")</f>
        <v/>
      </c>
      <c r="GE57" s="185" t="str">
        <f>IF(Tim!GI59=FIT!$E$1,Tim!GI59,"")</f>
        <v/>
      </c>
      <c r="GF57" s="185" t="str">
        <f>IF(Tim!GJ59=FIT!$E$1,Tim!GJ59,"")</f>
        <v/>
      </c>
      <c r="GG57" s="185" t="str">
        <f>IF(Tim!GK59=FIT!$E$1,Tim!GK59,"")</f>
        <v/>
      </c>
      <c r="GH57" s="185" t="str">
        <f>IF(Tim!GL59=FIT!$E$1,Tim!GL59,"")</f>
        <v/>
      </c>
      <c r="GI57" s="185" t="str">
        <f>IF(Tim!GM59=FIT!$E$1,Tim!GM59,"")</f>
        <v/>
      </c>
      <c r="GJ57" s="185" t="str">
        <f>IF(Tim!GN59=FIT!$E$1,Tim!GN59,"")</f>
        <v/>
      </c>
      <c r="GK57" s="185" t="str">
        <f>IF(Tim!GO59=FIT!$E$1,Tim!GO59,"")</f>
        <v/>
      </c>
      <c r="GL57" s="185" t="str">
        <f>IF(Tim!GP59=FIT!$E$1,Tim!GP59,"")</f>
        <v/>
      </c>
      <c r="GM57" s="185" t="str">
        <f>IF(Tim!GQ59=FIT!$E$1,Tim!GQ59,"")</f>
        <v/>
      </c>
      <c r="GN57" s="185" t="str">
        <f>IF(Tim!GR59=FIT!$E$1,Tim!GR59,"")</f>
        <v/>
      </c>
      <c r="GO57" s="185" t="str">
        <f>IF(Tim!GS59=FIT!$E$1,Tim!GS59,"")</f>
        <v/>
      </c>
      <c r="GP57" s="185" t="str">
        <f>IF(Tim!GT59=FIT!$E$1,Tim!GT59,"")</f>
        <v/>
      </c>
      <c r="GQ57" s="185" t="str">
        <f>IF(Tim!GU59=FIT!$E$1,Tim!GU59,"")</f>
        <v/>
      </c>
      <c r="GR57" s="185" t="str">
        <f>IF(Tim!GV59=FIT!$E$1,Tim!GV59,"")</f>
        <v/>
      </c>
      <c r="GS57" s="185" t="str">
        <f>IF(Tim!GW59=FIT!$E$1,Tim!GW59,"")</f>
        <v/>
      </c>
      <c r="GT57" s="185" t="str">
        <f>IF(Tim!GX59=FIT!$E$1,Tim!GX59,"")</f>
        <v/>
      </c>
      <c r="GU57" s="185" t="str">
        <f>IF(Tim!GY59=FIT!$E$1,Tim!GY59,"")</f>
        <v/>
      </c>
      <c r="GV57" s="185" t="str">
        <f>IF(Tim!GZ59=FIT!$E$1,Tim!GZ59,"")</f>
        <v/>
      </c>
      <c r="GW57" s="185" t="str">
        <f>IF(Tim!HA59=FIT!$E$1,Tim!HA59,"")</f>
        <v/>
      </c>
      <c r="GX57" s="185" t="str">
        <f>IF(Tim!HB59=FIT!$E$1,Tim!HB59,"")</f>
        <v/>
      </c>
      <c r="GY57" s="185" t="str">
        <f>IF(Tim!HC59=FIT!$E$1,Tim!HC59,"")</f>
        <v/>
      </c>
      <c r="GZ57" s="185" t="str">
        <f>IF(Tim!HD59=FIT!$E$1,Tim!HD59,"")</f>
        <v/>
      </c>
      <c r="HA57" s="185" t="str">
        <f>IF(Tim!HE59=FIT!$E$1,Tim!HE59,"")</f>
        <v/>
      </c>
      <c r="HB57" s="185" t="str">
        <f>IF(Tim!HF59=FIT!$E$1,Tim!HF59,"")</f>
        <v/>
      </c>
      <c r="HC57" s="185" t="str">
        <f>IF(Tim!HG59=FIT!$E$1,Tim!HG59,"")</f>
        <v/>
      </c>
      <c r="HD57" s="185" t="str">
        <f>IF(Tim!HH59=FIT!$E$1,Tim!HH59,"")</f>
        <v/>
      </c>
      <c r="HE57" s="185" t="str">
        <f>IF(Tim!HI59=FIT!$E$1,Tim!HI59,"")</f>
        <v/>
      </c>
      <c r="HF57" s="185" t="str">
        <f>IF(Tim!HJ59=FIT!$E$1,Tim!HJ59,"")</f>
        <v/>
      </c>
      <c r="HG57" s="185" t="str">
        <f>IF(Tim!HK59=FIT!$E$1,Tim!HK59,"")</f>
        <v/>
      </c>
      <c r="HH57" s="185" t="str">
        <f>IF(Tim!HL59=FIT!$E$1,Tim!HL59,"")</f>
        <v/>
      </c>
      <c r="HI57" s="185" t="str">
        <f>IF(Tim!HM59=FIT!$E$1,Tim!HM59,"")</f>
        <v/>
      </c>
      <c r="HJ57" s="185" t="str">
        <f>IF(Tim!HN59=FIT!$E$1,Tim!HN59,"")</f>
        <v/>
      </c>
      <c r="HK57" s="185" t="str">
        <f>IF(Tim!HO59=FIT!$E$1,Tim!HO59,"")</f>
        <v/>
      </c>
      <c r="HL57" s="185" t="str">
        <f>IF(Tim!HP59=FIT!$E$1,Tim!HP59,"")</f>
        <v/>
      </c>
      <c r="HM57" s="185" t="str">
        <f>IF(Tim!HQ59=FIT!$E$1,Tim!HQ59,"")</f>
        <v/>
      </c>
      <c r="HN57" s="185" t="str">
        <f>IF(Tim!HR59=FIT!$E$1,Tim!HR59,"")</f>
        <v/>
      </c>
      <c r="HO57" s="185" t="str">
        <f>IF(Tim!HS59=FIT!$E$1,Tim!HS59,"")</f>
        <v/>
      </c>
      <c r="HP57" s="185" t="str">
        <f>IF(Tim!HT59=FIT!$E$1,Tim!HT59,"")</f>
        <v/>
      </c>
      <c r="HQ57" s="185" t="str">
        <f>IF(Tim!HU59=FIT!$E$1,Tim!HU59,"")</f>
        <v/>
      </c>
      <c r="HR57" s="468"/>
      <c r="HS57" s="464"/>
      <c r="HT57" s="464"/>
      <c r="HU57" s="464"/>
      <c r="HV57" s="464"/>
      <c r="HW57" s="464"/>
      <c r="HX57" s="464"/>
      <c r="HY57" s="464"/>
      <c r="HZ57" s="464"/>
      <c r="IA57" s="464"/>
      <c r="IB57" s="464"/>
      <c r="IC57" s="464"/>
      <c r="ID57" s="464"/>
      <c r="IE57" s="464"/>
      <c r="IF57" s="464"/>
      <c r="IG57" s="464"/>
      <c r="IH57" s="464"/>
      <c r="II57" s="464"/>
      <c r="IJ57" s="464"/>
      <c r="IK57" s="464"/>
      <c r="IL57" s="464"/>
      <c r="IM57" s="464"/>
      <c r="IN57" s="464"/>
      <c r="IO57" s="464"/>
      <c r="IP57" s="464"/>
      <c r="IQ57" s="464"/>
      <c r="IR57" s="464"/>
      <c r="IS57" s="464"/>
      <c r="IT57" s="464"/>
      <c r="IU57" s="464"/>
      <c r="IV57" s="464"/>
      <c r="IW57" s="464"/>
      <c r="IX57" s="464"/>
      <c r="IY57" s="464"/>
      <c r="IZ57" s="464"/>
      <c r="JA57" s="464"/>
      <c r="JB57" s="464"/>
      <c r="JC57" s="464"/>
      <c r="JD57" s="464"/>
      <c r="JE57" s="464"/>
      <c r="JF57" s="464"/>
      <c r="JG57" s="464"/>
      <c r="JH57" s="464"/>
      <c r="JI57" s="466"/>
      <c r="JJ57" s="469"/>
      <c r="JK57" s="366"/>
      <c r="JL57" s="366"/>
      <c r="JM57" s="366"/>
      <c r="JN57" s="366"/>
      <c r="JO57" s="366"/>
      <c r="JP57" s="366"/>
      <c r="JQ57" s="366"/>
      <c r="JR57" s="366"/>
      <c r="JS57" s="366"/>
      <c r="JT57" s="366"/>
      <c r="JU57" s="366"/>
      <c r="JV57" s="366"/>
      <c r="JW57" s="366"/>
      <c r="JX57" s="366"/>
      <c r="JY57" s="366"/>
      <c r="JZ57" s="366"/>
      <c r="KA57" s="366"/>
      <c r="KB57" s="366"/>
      <c r="KC57" s="366"/>
      <c r="KD57" s="366"/>
      <c r="KE57" s="366"/>
      <c r="KF57" s="366"/>
      <c r="KG57" s="366"/>
      <c r="KH57" s="366"/>
      <c r="KI57" s="366"/>
      <c r="KJ57" s="366"/>
      <c r="KK57" s="366"/>
      <c r="KL57" s="366"/>
      <c r="KM57" s="366"/>
      <c r="KN57" s="366"/>
      <c r="KO57" s="366"/>
      <c r="KP57" s="366"/>
      <c r="KQ57" s="366"/>
      <c r="KR57" s="366"/>
      <c r="KS57" s="366"/>
      <c r="KT57" s="366"/>
      <c r="KU57" s="366"/>
      <c r="KV57" s="366"/>
      <c r="KW57" s="366"/>
      <c r="KX57" s="366"/>
      <c r="KY57" s="366"/>
      <c r="KZ57" s="366"/>
      <c r="LA57" s="428"/>
      <c r="LB57" s="52">
        <v>0.83333333333333204</v>
      </c>
    </row>
    <row r="58" spans="2:314" ht="10.5" customHeight="1">
      <c r="B58" s="49">
        <v>0.25</v>
      </c>
      <c r="C58" s="49">
        <v>0.25</v>
      </c>
      <c r="D58" s="49">
        <v>0.25</v>
      </c>
      <c r="E58" s="172">
        <v>0.843749999999998</v>
      </c>
      <c r="F58" s="238" t="str">
        <f>IF(Tim!F60=FIT!$E$1,Tim!F60,"")</f>
        <v/>
      </c>
      <c r="G58" s="185" t="str">
        <f>IF(Tim!G60=FIT!$E$1,Tim!G60,"")</f>
        <v/>
      </c>
      <c r="H58" s="185" t="str">
        <f>IF(Tim!H60=FIT!$E$1,Tim!H60,"")</f>
        <v/>
      </c>
      <c r="I58" s="185" t="str">
        <f>IF(Tim!I60=FIT!$E$1,Tim!I60,"")</f>
        <v/>
      </c>
      <c r="J58" s="185" t="str">
        <f>IF(Tim!J60=FIT!$E$1,Tim!J60,"")</f>
        <v/>
      </c>
      <c r="K58" s="185" t="str">
        <f>IF(Tim!K60=FIT!$E$1,Tim!K60,"")</f>
        <v/>
      </c>
      <c r="L58" s="185" t="str">
        <f>IF(Tim!L60=FIT!$E$1,Tim!L60,"")</f>
        <v/>
      </c>
      <c r="M58" s="185" t="str">
        <f>IF(Tim!M60=FIT!$E$1,Tim!M60,"")</f>
        <v/>
      </c>
      <c r="N58" s="185" t="str">
        <f>IF(Tim!N60=FIT!$E$1,Tim!N60,"")</f>
        <v/>
      </c>
      <c r="O58" s="185" t="str">
        <f>IF(Tim!O60=FIT!$E$1,Tim!O60,"")</f>
        <v/>
      </c>
      <c r="P58" s="185" t="str">
        <f>IF(Tim!P60=FIT!$E$1,Tim!P60,"")</f>
        <v/>
      </c>
      <c r="Q58" s="185" t="str">
        <f>IF(Tim!Q60=FIT!$E$1,Tim!Q60,"")</f>
        <v/>
      </c>
      <c r="R58" s="185" t="str">
        <f>IF(Tim!R60=FIT!$E$1,Tim!R60,"")</f>
        <v/>
      </c>
      <c r="S58" s="185" t="str">
        <f>IF(Tim!S60=FIT!$E$1,Tim!S60,"")</f>
        <v/>
      </c>
      <c r="T58" s="185" t="str">
        <f>IF(Tim!T60=FIT!$E$1,Tim!T60,"")</f>
        <v/>
      </c>
      <c r="U58" s="185" t="str">
        <f>IF(Tim!U60=FIT!$E$1,Tim!U60,"")</f>
        <v/>
      </c>
      <c r="V58" s="185" t="str">
        <f>IF(Tim!W60=FIT!$E$1,Tim!W60,"")</f>
        <v/>
      </c>
      <c r="W58" s="185" t="str">
        <f>IF(Tim!X60=FIT!$E$1,Tim!X60,"")</f>
        <v/>
      </c>
      <c r="X58" s="185" t="str">
        <f>IF(Tim!Y60=FIT!$E$1,Tim!Y60,"")</f>
        <v/>
      </c>
      <c r="Y58" s="185" t="str">
        <f>IF(Tim!Z60=FIT!$E$1,Tim!Z60,"")</f>
        <v/>
      </c>
      <c r="Z58" s="185" t="str">
        <f>IF(Tim!AA60=FIT!$E$1,Tim!AA60,"")</f>
        <v/>
      </c>
      <c r="AA58" s="185" t="str">
        <f>IF(Tim!AB60=FIT!$E$1,Tim!AB60,"")</f>
        <v/>
      </c>
      <c r="AB58" s="185" t="str">
        <f>IF(Tim!AC60=FIT!$E$1,Tim!AC60,"")</f>
        <v/>
      </c>
      <c r="AC58" s="185" t="str">
        <f>IF(Tim!AD60=FIT!$E$1,Tim!AD60,"")</f>
        <v/>
      </c>
      <c r="AD58" s="185" t="str">
        <f>IF(Tim!AE60=FIT!$E$1,Tim!AE60,"")</f>
        <v/>
      </c>
      <c r="AE58" s="185" t="str">
        <f>IF(Tim!AF60=FIT!$E$1,Tim!AF60,"")</f>
        <v/>
      </c>
      <c r="AF58" s="185" t="str">
        <f>IF(Tim!AG60=FIT!$E$1,Tim!AG60,"")</f>
        <v/>
      </c>
      <c r="AG58" s="185" t="str">
        <f>IF(Tim!AH60=FIT!$E$1,Tim!AH60,"")</f>
        <v/>
      </c>
      <c r="AH58" s="185" t="str">
        <f>IF(Tim!AI60=FIT!$E$1,Tim!AI60,"")</f>
        <v/>
      </c>
      <c r="AI58" s="185" t="str">
        <f>IF(Tim!AJ60=FIT!$E$1,Tim!AJ60,"")</f>
        <v/>
      </c>
      <c r="AJ58" s="185" t="str">
        <f>IF(Tim!AK60=FIT!$E$1,Tim!AK60,"")</f>
        <v/>
      </c>
      <c r="AK58" s="185" t="str">
        <f>IF(Tim!AL60=FIT!$E$1,Tim!AL60,"")</f>
        <v/>
      </c>
      <c r="AL58" s="185" t="str">
        <f>IF(Tim!AM60=FIT!$E$1,Tim!AM60,"")</f>
        <v/>
      </c>
      <c r="AM58" s="185" t="str">
        <f>IF(Tim!AN60=FIT!$E$1,Tim!AN60,"")</f>
        <v/>
      </c>
      <c r="AN58" s="185" t="str">
        <f>IF(Tim!AO60=FIT!$E$1,Tim!AO60,"")</f>
        <v/>
      </c>
      <c r="AO58" s="185" t="str">
        <f>IF(Tim!AP60=FIT!$E$1,Tim!AP60,"")</f>
        <v/>
      </c>
      <c r="AP58" s="185" t="str">
        <f>IF(Tim!AQ60=FIT!$E$1,Tim!AQ60,"")</f>
        <v/>
      </c>
      <c r="AQ58" s="185" t="str">
        <f>IF(Tim!AR60=FIT!$E$1,Tim!AR60,"")</f>
        <v/>
      </c>
      <c r="AR58" s="185" t="str">
        <f>IF(Tim!AS60=FIT!$E$1,Tim!AS60,"")</f>
        <v/>
      </c>
      <c r="AS58" s="185" t="str">
        <f>IF(Tim!AT60=FIT!$E$1,Tim!AT60,"")</f>
        <v/>
      </c>
      <c r="AT58" s="185" t="str">
        <f>IF(Tim!AU60=FIT!$E$1,Tim!AU60,"")</f>
        <v/>
      </c>
      <c r="AU58" s="185" t="str">
        <f>IF(Tim!AV60=FIT!$E$1,Tim!AV60,"")</f>
        <v/>
      </c>
      <c r="AV58" s="185" t="str">
        <f>IF(Tim!AW60=FIT!$E$1,Tim!AW60,"")</f>
        <v/>
      </c>
      <c r="AW58" s="186" t="str">
        <f>IF(Tim!AX60=FIT!$E$1,Tim!AX60,"")</f>
        <v/>
      </c>
      <c r="AX58" s="243" t="str">
        <f>IF(Tim!AY60=FIT!$E$1,Tim!AY60,"")</f>
        <v/>
      </c>
      <c r="AY58" s="185" t="str">
        <f>IF(Tim!AZ60=FIT!$E$1,Tim!AZ60,"")</f>
        <v/>
      </c>
      <c r="AZ58" s="185" t="str">
        <f>IF(Tim!BA60=FIT!$E$1,Tim!BA60,"")</f>
        <v/>
      </c>
      <c r="BA58" s="185" t="str">
        <f>IF(Tim!BB60=FIT!$E$1,Tim!BB60,"")</f>
        <v/>
      </c>
      <c r="BB58" s="185" t="str">
        <f>IF(Tim!BC60=FIT!$E$1,Tim!BC60,"")</f>
        <v/>
      </c>
      <c r="BC58" s="185" t="str">
        <f>IF(Tim!BD60=FIT!$E$1,Tim!BD60,"")</f>
        <v/>
      </c>
      <c r="BD58" s="185" t="str">
        <f>IF(Tim!BE60=FIT!$E$1,Tim!BE60,"")</f>
        <v/>
      </c>
      <c r="BE58" s="185" t="str">
        <f>IF(Tim!BF60=FIT!$E$1,Tim!BF60,"")</f>
        <v/>
      </c>
      <c r="BF58" s="185" t="str">
        <f>IF(Tim!BG60=FIT!$E$1,Tim!BG60,"")</f>
        <v/>
      </c>
      <c r="BG58" s="185" t="str">
        <f>IF(Tim!BH60=FIT!$E$1,Tim!BH60,"")</f>
        <v/>
      </c>
      <c r="BH58" s="185" t="str">
        <f>IF(Tim!BI60=FIT!$E$1,Tim!BI60,"")</f>
        <v/>
      </c>
      <c r="BI58" s="185" t="str">
        <f>IF(Tim!BJ60=FIT!$E$1,Tim!BJ60,"")</f>
        <v/>
      </c>
      <c r="BJ58" s="185" t="str">
        <f>IF(Tim!BK60=FIT!$E$1,Tim!BK60,"")</f>
        <v/>
      </c>
      <c r="BK58" s="185" t="str">
        <f>IF(Tim!BL60=FIT!$E$1,Tim!BL60,"")</f>
        <v/>
      </c>
      <c r="BL58" s="185" t="str">
        <f>IF(Tim!BM60=FIT!$E$1,Tim!BM60,"")</f>
        <v/>
      </c>
      <c r="BM58" s="185" t="str">
        <f>IF(Tim!BN60=FIT!$E$1,Tim!BN60,"")</f>
        <v/>
      </c>
      <c r="BN58" s="185" t="str">
        <f>IF(Tim!BO60=FIT!$E$1,Tim!BO60,"")</f>
        <v/>
      </c>
      <c r="BO58" s="185" t="str">
        <f>IF(Tim!BP60=FIT!$E$1,Tim!BP60,"")</f>
        <v/>
      </c>
      <c r="BP58" s="185" t="str">
        <f>IF(Tim!BQ60=FIT!$E$1,Tim!BQ60,"")</f>
        <v/>
      </c>
      <c r="BQ58" s="185" t="str">
        <f>IF(Tim!BR60=FIT!$E$1,Tim!BR60,"")</f>
        <v/>
      </c>
      <c r="BR58" s="185" t="str">
        <f>IF(Tim!BS60=FIT!$E$1,Tim!BS60,"")</f>
        <v/>
      </c>
      <c r="BS58" s="185" t="str">
        <f>IF(Tim!BT60=FIT!$E$1,Tim!BT60,"")</f>
        <v/>
      </c>
      <c r="BT58" s="185" t="str">
        <f>IF(Tim!BU60=FIT!$E$1,Tim!BU60,"")</f>
        <v/>
      </c>
      <c r="BU58" s="185" t="str">
        <f>IF(Tim!BV60=FIT!$E$1,Tim!BV60,"")</f>
        <v/>
      </c>
      <c r="BV58" s="185" t="str">
        <f>IF(Tim!BW60=FIT!$E$1,Tim!BW60,"")</f>
        <v/>
      </c>
      <c r="BW58" s="185" t="str">
        <f>IF(Tim!BX60=FIT!$E$1,Tim!BX60,"")</f>
        <v/>
      </c>
      <c r="BX58" s="185" t="str">
        <f>IF(Tim!BY60=FIT!$E$1,Tim!BY60,"")</f>
        <v/>
      </c>
      <c r="BY58" s="185" t="str">
        <f>IF(Tim!BZ60=FIT!$E$1,Tim!BZ60,"")</f>
        <v/>
      </c>
      <c r="BZ58" s="185" t="str">
        <f>IF(Tim!CA60=FIT!$E$1,Tim!CA60,"")</f>
        <v/>
      </c>
      <c r="CA58" s="185" t="str">
        <f>IF(Tim!CB60=FIT!$E$1,Tim!CB60,"")</f>
        <v/>
      </c>
      <c r="CB58" s="185" t="str">
        <f>IF(Tim!CC60=FIT!$E$1,Tim!CC60,"")</f>
        <v/>
      </c>
      <c r="CC58" s="185" t="str">
        <f>IF(Tim!CD60=FIT!$E$1,Tim!CD60,"")</f>
        <v/>
      </c>
      <c r="CD58" s="185" t="str">
        <f>IF(Tim!CE60=FIT!$E$1,Tim!CE60,"")</f>
        <v/>
      </c>
      <c r="CE58" s="185" t="str">
        <f>IF(Tim!CF60=FIT!$E$1,Tim!CF60,"")</f>
        <v/>
      </c>
      <c r="CF58" s="185" t="str">
        <f>IF(Tim!CG60=FIT!$E$1,Tim!CG60,"")</f>
        <v/>
      </c>
      <c r="CG58" s="185" t="str">
        <f>IF(Tim!CH60=FIT!$E$1,Tim!CH60,"")</f>
        <v/>
      </c>
      <c r="CH58" s="185" t="str">
        <f>IF(Tim!CI60=FIT!$E$1,Tim!CI60,"")</f>
        <v/>
      </c>
      <c r="CI58" s="185" t="str">
        <f>IF(Tim!CJ60=FIT!$E$1,Tim!CJ60,"")</f>
        <v/>
      </c>
      <c r="CJ58" s="185" t="str">
        <f>IF(Tim!CK60=FIT!$E$1,Tim!CK60,"")</f>
        <v/>
      </c>
      <c r="CK58" s="185" t="str">
        <f>IF(Tim!CL60=FIT!$E$1,Tim!CL60,"")</f>
        <v/>
      </c>
      <c r="CL58" s="185" t="str">
        <f>IF(Tim!CM60=FIT!$E$1,Tim!CM60,"")</f>
        <v/>
      </c>
      <c r="CM58" s="185" t="str">
        <f>IF(Tim!CN60=FIT!$E$1,Tim!CN60,"")</f>
        <v/>
      </c>
      <c r="CN58" s="185" t="str">
        <f>IF(Tim!CO60=FIT!$E$1,Tim!CO60,"")</f>
        <v/>
      </c>
      <c r="CO58" s="185" t="str">
        <f>IF(Tim!CP60=FIT!$E$1,Tim!CP60,"")</f>
        <v/>
      </c>
      <c r="CP58" s="185" t="str">
        <f>IF(Tim!CQ60=FIT!$E$1,Tim!CQ60,"")</f>
        <v/>
      </c>
      <c r="CQ58" s="185" t="str">
        <f>IF(Tim!CR60=FIT!$E$1,Tim!CR60,"")</f>
        <v/>
      </c>
      <c r="CR58" s="185" t="str">
        <f>IF(Tim!CS60=FIT!$E$1,Tim!CS60,"")</f>
        <v/>
      </c>
      <c r="CS58" s="185" t="str">
        <f>IF(Tim!CT60=FIT!$E$1,Tim!CT60,"")</f>
        <v/>
      </c>
      <c r="CT58" s="185" t="str">
        <f>IF(Tim!CU60=FIT!$E$1,Tim!CU60,"")</f>
        <v/>
      </c>
      <c r="CU58" s="185" t="str">
        <f>IF(Tim!CV60=FIT!$E$1,Tim!CV60,"")</f>
        <v/>
      </c>
      <c r="CV58" s="185" t="str">
        <f>IF(Tim!CW60=FIT!$E$1,Tim!CW60,"")</f>
        <v/>
      </c>
      <c r="CW58" s="185" t="str">
        <f>IF(Tim!CX60=FIT!$E$1,Tim!CX60,"")</f>
        <v/>
      </c>
      <c r="CX58" s="185" t="str">
        <f>IF(Tim!CY60=FIT!$E$1,Tim!CY60,"")</f>
        <v/>
      </c>
      <c r="CY58" s="185" t="str">
        <f>IF(Tim!CZ60=FIT!$E$1,Tim!CZ60,"")</f>
        <v/>
      </c>
      <c r="CZ58" s="185" t="str">
        <f>IF(Tim!DA60=FIT!$E$1,Tim!DA60,"")</f>
        <v/>
      </c>
      <c r="DA58" s="185" t="str">
        <f>IF(Tim!DB60=FIT!$E$1,Tim!DB60,"")</f>
        <v/>
      </c>
      <c r="DB58" s="185" t="str">
        <f>IF(Tim!DC60=FIT!$E$1,Tim!DC60,"")</f>
        <v/>
      </c>
      <c r="DC58" s="185" t="str">
        <f>IF(Tim!DD60=FIT!$E$1,Tim!DD60,"")</f>
        <v/>
      </c>
      <c r="DD58" s="185" t="str">
        <f>IF(Tim!DE60=FIT!$E$1,Tim!DE60,"")</f>
        <v/>
      </c>
      <c r="DE58" s="185" t="str">
        <f>IF(Tim!DF60=FIT!$E$1,Tim!DF60,"")</f>
        <v/>
      </c>
      <c r="DF58" s="185" t="str">
        <f>IF(Tim!DG60=FIT!$E$1,Tim!DG60,"")</f>
        <v/>
      </c>
      <c r="DG58" s="185" t="str">
        <f>IF(Tim!DH60=FIT!$E$1,Tim!DH60,"")</f>
        <v/>
      </c>
      <c r="DH58" s="185" t="str">
        <f>IF(Tim!DI60=FIT!$E$1,Tim!DI60,"")</f>
        <v/>
      </c>
      <c r="DI58" s="185" t="str">
        <f>IF(Tim!DM60=FIT!$E$1,Tim!DM60,"")</f>
        <v/>
      </c>
      <c r="DJ58" s="185" t="str">
        <f>IF(Tim!DN60=FIT!$E$1,Tim!DN60,"")</f>
        <v/>
      </c>
      <c r="DK58" s="185" t="str">
        <f>IF(Tim!DO60=FIT!$E$1,Tim!DO60,"")</f>
        <v/>
      </c>
      <c r="DL58" s="185" t="str">
        <f>IF(Tim!DP60=FIT!$E$1,Tim!DP60,"")</f>
        <v/>
      </c>
      <c r="DM58" s="185" t="str">
        <f>IF(Tim!DQ60=FIT!$E$1,Tim!DQ60,"")</f>
        <v/>
      </c>
      <c r="DN58" s="185" t="str">
        <f>IF(Tim!DR60=FIT!$E$1,Tim!DR60,"")</f>
        <v/>
      </c>
      <c r="DO58" s="185" t="str">
        <f>IF(Tim!DS60=FIT!$E$1,Tim!DS60,"")</f>
        <v/>
      </c>
      <c r="DP58" s="185" t="str">
        <f>IF(Tim!DT60=FIT!$E$1,Tim!DT60,"")</f>
        <v/>
      </c>
      <c r="DQ58" s="185" t="str">
        <f>IF(Tim!DU60=FIT!$E$1,Tim!DU60,"")</f>
        <v/>
      </c>
      <c r="DR58" s="185" t="str">
        <f>IF(Tim!DV60=FIT!$E$1,Tim!DV60,"")</f>
        <v/>
      </c>
      <c r="DS58" s="185" t="str">
        <f>IF(Tim!DW60=FIT!$E$1,Tim!DW60,"")</f>
        <v/>
      </c>
      <c r="DT58" s="185" t="str">
        <f>IF(Tim!DX60=FIT!$E$1,Tim!DX60,"")</f>
        <v/>
      </c>
      <c r="DU58" s="185" t="str">
        <f>IF(Tim!DY60=FIT!$E$1,Tim!DY60,"")</f>
        <v/>
      </c>
      <c r="DV58" s="185" t="str">
        <f>IF(Tim!DZ60=FIT!$E$1,Tim!DZ60,"")</f>
        <v/>
      </c>
      <c r="DW58" s="185" t="str">
        <f>IF(Tim!EA60=FIT!$E$1,Tim!EA60,"")</f>
        <v/>
      </c>
      <c r="DX58" s="185" t="str">
        <f>IF(Tim!EB60=FIT!$E$1,Tim!EB60,"")</f>
        <v/>
      </c>
      <c r="DY58" s="185" t="str">
        <f>IF(Tim!EC60=FIT!$E$1,Tim!EC60,"")</f>
        <v/>
      </c>
      <c r="DZ58" s="185" t="str">
        <f>IF(Tim!ED60=FIT!$E$1,Tim!ED60,"")</f>
        <v/>
      </c>
      <c r="EA58" s="185" t="str">
        <f>IF(Tim!EE60=FIT!$E$1,Tim!EE60,"")</f>
        <v/>
      </c>
      <c r="EB58" s="185" t="str">
        <f>IF(Tim!EF60=FIT!$E$1,Tim!EF60,"")</f>
        <v/>
      </c>
      <c r="EC58" s="185" t="str">
        <f>IF(Tim!EG60=FIT!$E$1,Tim!EG60,"")</f>
        <v/>
      </c>
      <c r="ED58" s="185" t="str">
        <f>IF(Tim!EH60=FIT!$E$1,Tim!EH60,"")</f>
        <v/>
      </c>
      <c r="EE58" s="185" t="str">
        <f>IF(Tim!EI60=FIT!$E$1,Tim!EI60,"")</f>
        <v/>
      </c>
      <c r="EF58" s="185" t="str">
        <f>IF(Tim!EJ60=FIT!$E$1,Tim!EJ60,"")</f>
        <v/>
      </c>
      <c r="EG58" s="185" t="str">
        <f>IF(Tim!EK60=FIT!$E$1,Tim!EK60,"")</f>
        <v/>
      </c>
      <c r="EH58" s="185" t="str">
        <f>IF(Tim!EL60=FIT!$E$1,Tim!EL60,"")</f>
        <v/>
      </c>
      <c r="EI58" s="185" t="str">
        <f>IF(Tim!EM60=FIT!$E$1,Tim!EM60,"")</f>
        <v/>
      </c>
      <c r="EJ58" s="185" t="str">
        <f>IF(Tim!EN60=FIT!$E$1,Tim!EN60,"")</f>
        <v/>
      </c>
      <c r="EK58" s="185" t="str">
        <f>IF(Tim!EO60=FIT!$E$1,Tim!EO60,"")</f>
        <v/>
      </c>
      <c r="EL58" s="185" t="str">
        <f>IF(Tim!EP60=FIT!$E$1,Tim!EP60,"")</f>
        <v/>
      </c>
      <c r="EM58" s="185" t="str">
        <f>IF(Tim!EQ60=FIT!$E$1,Tim!EQ60,"")</f>
        <v/>
      </c>
      <c r="EN58" s="185" t="str">
        <f>IF(Tim!ER60=FIT!$E$1,Tim!ER60,"")</f>
        <v/>
      </c>
      <c r="EO58" s="185" t="str">
        <f>IF(Tim!ES60=FIT!$E$1,Tim!ES60,"")</f>
        <v/>
      </c>
      <c r="EP58" s="185" t="str">
        <f>IF(Tim!ET60=FIT!$E$1,Tim!ET60,"")</f>
        <v/>
      </c>
      <c r="EQ58" s="185" t="str">
        <f>IF(Tim!EU60=FIT!$E$1,Tim!EU60,"")</f>
        <v/>
      </c>
      <c r="ER58" s="185" t="str">
        <f>IF(Tim!EV60=FIT!$E$1,Tim!EV60,"")</f>
        <v/>
      </c>
      <c r="ES58" s="185" t="str">
        <f>IF(Tim!EW60=FIT!$E$1,Tim!EW60,"")</f>
        <v/>
      </c>
      <c r="ET58" s="185" t="str">
        <f>IF(Tim!EX60=FIT!$E$1,Tim!EX60,"")</f>
        <v/>
      </c>
      <c r="EU58" s="185" t="str">
        <f>IF(Tim!EY60=FIT!$E$1,Tim!EY60,"")</f>
        <v/>
      </c>
      <c r="EV58" s="185" t="str">
        <f>IF(Tim!EZ60=FIT!$E$1,Tim!EZ60,"")</f>
        <v/>
      </c>
      <c r="EW58" s="185" t="str">
        <f>IF(Tim!FA60=FIT!$E$1,Tim!FA60,"")</f>
        <v/>
      </c>
      <c r="EX58" s="185" t="str">
        <f>IF(Tim!FB60=FIT!$E$1,Tim!FB60,"")</f>
        <v/>
      </c>
      <c r="EY58" s="185" t="str">
        <f>IF(Tim!FC60=FIT!$E$1,Tim!FC60,"")</f>
        <v/>
      </c>
      <c r="EZ58" s="185" t="str">
        <f>IF(Tim!FD60=FIT!$E$1,Tim!FD60,"")</f>
        <v/>
      </c>
      <c r="FA58" s="185" t="str">
        <f>IF(Tim!FE60=FIT!$E$1,Tim!FE60,"")</f>
        <v/>
      </c>
      <c r="FB58" s="185" t="str">
        <f>IF(Tim!FF60=FIT!$E$1,Tim!FF60,"")</f>
        <v/>
      </c>
      <c r="FC58" s="185" t="str">
        <f>IF(Tim!FG60=FIT!$E$1,Tim!FG60,"")</f>
        <v/>
      </c>
      <c r="FD58" s="185" t="str">
        <f>IF(Tim!FH60=FIT!$E$1,Tim!FH60,"")</f>
        <v/>
      </c>
      <c r="FE58" s="185" t="str">
        <f>IF(Tim!FI60=FIT!$E$1,Tim!FI60,"")</f>
        <v/>
      </c>
      <c r="FF58" s="185" t="str">
        <f>IF(Tim!FJ60=FIT!$E$1,Tim!FJ60,"")</f>
        <v/>
      </c>
      <c r="FG58" s="185" t="str">
        <f>IF(Tim!FK60=FIT!$E$1,Tim!FK60,"")</f>
        <v/>
      </c>
      <c r="FH58" s="185" t="str">
        <f>IF(Tim!FL60=FIT!$E$1,Tim!FL60,"")</f>
        <v/>
      </c>
      <c r="FI58" s="185" t="str">
        <f>IF(Tim!FM60=FIT!$E$1,Tim!FM60,"")</f>
        <v/>
      </c>
      <c r="FJ58" s="185" t="str">
        <f>IF(Tim!FN60=FIT!$E$1,Tim!FN60,"")</f>
        <v/>
      </c>
      <c r="FK58" s="185" t="str">
        <f>IF(Tim!FO60=FIT!$E$1,Tim!FO60,"")</f>
        <v/>
      </c>
      <c r="FL58" s="185" t="str">
        <f>IF(Tim!FP60=FIT!$E$1,Tim!FP60,"")</f>
        <v/>
      </c>
      <c r="FM58" s="185" t="str">
        <f>IF(Tim!FQ60=FIT!$E$1,Tim!FQ60,"")</f>
        <v/>
      </c>
      <c r="FN58" s="185" t="str">
        <f>IF(Tim!FR60=FIT!$E$1,Tim!FR60,"")</f>
        <v/>
      </c>
      <c r="FO58" s="185" t="str">
        <f>IF(Tim!FS60=FIT!$E$1,Tim!FS60,"")</f>
        <v/>
      </c>
      <c r="FP58" s="185" t="str">
        <f>IF(Tim!FT60=FIT!$E$1,Tim!FT60,"")</f>
        <v/>
      </c>
      <c r="FQ58" s="185" t="str">
        <f>IF(Tim!FU60=FIT!$E$1,Tim!FU60,"")</f>
        <v/>
      </c>
      <c r="FR58" s="185" t="str">
        <f>IF(Tim!FV60=FIT!$E$1,Tim!FV60,"")</f>
        <v/>
      </c>
      <c r="FS58" s="185" t="str">
        <f>IF(Tim!FW60=FIT!$E$1,Tim!FW60,"")</f>
        <v/>
      </c>
      <c r="FT58" s="185" t="str">
        <f>IF(Tim!FX60=FIT!$E$1,Tim!FX60,"")</f>
        <v/>
      </c>
      <c r="FU58" s="185" t="str">
        <f>IF(Tim!FY60=FIT!$E$1,Tim!FY60,"")</f>
        <v/>
      </c>
      <c r="FV58" s="185" t="str">
        <f>IF(Tim!FZ60=FIT!$E$1,Tim!FZ60,"")</f>
        <v/>
      </c>
      <c r="FW58" s="185" t="str">
        <f>IF(Tim!GA60=FIT!$E$1,Tim!GA60,"")</f>
        <v/>
      </c>
      <c r="FX58" s="185" t="str">
        <f>IF(Tim!GB60=FIT!$E$1,Tim!GB60,"")</f>
        <v/>
      </c>
      <c r="FY58" s="185" t="str">
        <f>IF(Tim!GC60=FIT!$E$1,Tim!GC60,"")</f>
        <v/>
      </c>
      <c r="FZ58" s="185" t="str">
        <f>IF(Tim!GD60=FIT!$E$1,Tim!GD60,"")</f>
        <v/>
      </c>
      <c r="GA58" s="185" t="str">
        <f>IF(Tim!GE60=FIT!$E$1,Tim!GE60,"")</f>
        <v/>
      </c>
      <c r="GB58" s="185" t="str">
        <f>IF(Tim!GF60=FIT!$E$1,Tim!GF60,"")</f>
        <v/>
      </c>
      <c r="GC58" s="185" t="str">
        <f>IF(Tim!GG60=FIT!$E$1,Tim!GG60,"")</f>
        <v/>
      </c>
      <c r="GD58" s="185" t="str">
        <f>IF(Tim!GH60=FIT!$E$1,Tim!GH60,"")</f>
        <v/>
      </c>
      <c r="GE58" s="185" t="str">
        <f>IF(Tim!GI60=FIT!$E$1,Tim!GI60,"")</f>
        <v/>
      </c>
      <c r="GF58" s="185" t="str">
        <f>IF(Tim!GJ60=FIT!$E$1,Tim!GJ60,"")</f>
        <v/>
      </c>
      <c r="GG58" s="185" t="str">
        <f>IF(Tim!GK60=FIT!$E$1,Tim!GK60,"")</f>
        <v/>
      </c>
      <c r="GH58" s="185" t="str">
        <f>IF(Tim!GL60=FIT!$E$1,Tim!GL60,"")</f>
        <v/>
      </c>
      <c r="GI58" s="185" t="str">
        <f>IF(Tim!GM60=FIT!$E$1,Tim!GM60,"")</f>
        <v/>
      </c>
      <c r="GJ58" s="185" t="str">
        <f>IF(Tim!GN60=FIT!$E$1,Tim!GN60,"")</f>
        <v/>
      </c>
      <c r="GK58" s="185" t="str">
        <f>IF(Tim!GO60=FIT!$E$1,Tim!GO60,"")</f>
        <v/>
      </c>
      <c r="GL58" s="185" t="str">
        <f>IF(Tim!GP60=FIT!$E$1,Tim!GP60,"")</f>
        <v/>
      </c>
      <c r="GM58" s="185" t="str">
        <f>IF(Tim!GQ60=FIT!$E$1,Tim!GQ60,"")</f>
        <v/>
      </c>
      <c r="GN58" s="185" t="str">
        <f>IF(Tim!GR60=FIT!$E$1,Tim!GR60,"")</f>
        <v/>
      </c>
      <c r="GO58" s="185" t="str">
        <f>IF(Tim!GS60=FIT!$E$1,Tim!GS60,"")</f>
        <v/>
      </c>
      <c r="GP58" s="185" t="str">
        <f>IF(Tim!GT60=FIT!$E$1,Tim!GT60,"")</f>
        <v/>
      </c>
      <c r="GQ58" s="185" t="str">
        <f>IF(Tim!GU60=FIT!$E$1,Tim!GU60,"")</f>
        <v/>
      </c>
      <c r="GR58" s="185" t="str">
        <f>IF(Tim!GV60=FIT!$E$1,Tim!GV60,"")</f>
        <v/>
      </c>
      <c r="GS58" s="185" t="str">
        <f>IF(Tim!GW60=FIT!$E$1,Tim!GW60,"")</f>
        <v/>
      </c>
      <c r="GT58" s="185" t="str">
        <f>IF(Tim!GX60=FIT!$E$1,Tim!GX60,"")</f>
        <v/>
      </c>
      <c r="GU58" s="185" t="str">
        <f>IF(Tim!GY60=FIT!$E$1,Tim!GY60,"")</f>
        <v/>
      </c>
      <c r="GV58" s="185" t="str">
        <f>IF(Tim!GZ60=FIT!$E$1,Tim!GZ60,"")</f>
        <v/>
      </c>
      <c r="GW58" s="185" t="str">
        <f>IF(Tim!HA60=FIT!$E$1,Tim!HA60,"")</f>
        <v/>
      </c>
      <c r="GX58" s="185" t="str">
        <f>IF(Tim!HB60=FIT!$E$1,Tim!HB60,"")</f>
        <v/>
      </c>
      <c r="GY58" s="185" t="str">
        <f>IF(Tim!HC60=FIT!$E$1,Tim!HC60,"")</f>
        <v/>
      </c>
      <c r="GZ58" s="185" t="str">
        <f>IF(Tim!HD60=FIT!$E$1,Tim!HD60,"")</f>
        <v/>
      </c>
      <c r="HA58" s="185" t="str">
        <f>IF(Tim!HE60=FIT!$E$1,Tim!HE60,"")</f>
        <v/>
      </c>
      <c r="HB58" s="185" t="str">
        <f>IF(Tim!HF60=FIT!$E$1,Tim!HF60,"")</f>
        <v/>
      </c>
      <c r="HC58" s="185" t="str">
        <f>IF(Tim!HG60=FIT!$E$1,Tim!HG60,"")</f>
        <v/>
      </c>
      <c r="HD58" s="185" t="str">
        <f>IF(Tim!HH60=FIT!$E$1,Tim!HH60,"")</f>
        <v/>
      </c>
      <c r="HE58" s="185" t="str">
        <f>IF(Tim!HI60=FIT!$E$1,Tim!HI60,"")</f>
        <v/>
      </c>
      <c r="HF58" s="185" t="str">
        <f>IF(Tim!HJ60=FIT!$E$1,Tim!HJ60,"")</f>
        <v/>
      </c>
      <c r="HG58" s="185" t="str">
        <f>IF(Tim!HK60=FIT!$E$1,Tim!HK60,"")</f>
        <v/>
      </c>
      <c r="HH58" s="185" t="str">
        <f>IF(Tim!HL60=FIT!$E$1,Tim!HL60,"")</f>
        <v/>
      </c>
      <c r="HI58" s="185" t="str">
        <f>IF(Tim!HM60=FIT!$E$1,Tim!HM60,"")</f>
        <v/>
      </c>
      <c r="HJ58" s="185" t="str">
        <f>IF(Tim!HN60=FIT!$E$1,Tim!HN60,"")</f>
        <v/>
      </c>
      <c r="HK58" s="185" t="str">
        <f>IF(Tim!HO60=FIT!$E$1,Tim!HO60,"")</f>
        <v/>
      </c>
      <c r="HL58" s="185" t="str">
        <f>IF(Tim!HP60=FIT!$E$1,Tim!HP60,"")</f>
        <v/>
      </c>
      <c r="HM58" s="185" t="str">
        <f>IF(Tim!HQ60=FIT!$E$1,Tim!HQ60,"")</f>
        <v/>
      </c>
      <c r="HN58" s="185" t="str">
        <f>IF(Tim!HR60=FIT!$E$1,Tim!HR60,"")</f>
        <v/>
      </c>
      <c r="HO58" s="185" t="str">
        <f>IF(Tim!HS60=FIT!$E$1,Tim!HS60,"")</f>
        <v/>
      </c>
      <c r="HP58" s="185" t="str">
        <f>IF(Tim!HT60=FIT!$E$1,Tim!HT60,"")</f>
        <v/>
      </c>
      <c r="HQ58" s="185" t="str">
        <f>IF(Tim!HU60=FIT!$E$1,Tim!HU60,"")</f>
        <v/>
      </c>
      <c r="HR58" s="469"/>
      <c r="HS58" s="366"/>
      <c r="HT58" s="366"/>
      <c r="HU58" s="366"/>
      <c r="HV58" s="366"/>
      <c r="HW58" s="366"/>
      <c r="HX58" s="366"/>
      <c r="HY58" s="366"/>
      <c r="HZ58" s="366"/>
      <c r="IA58" s="366"/>
      <c r="IB58" s="366"/>
      <c r="IC58" s="366"/>
      <c r="ID58" s="366"/>
      <c r="IE58" s="366"/>
      <c r="IF58" s="366"/>
      <c r="IG58" s="366"/>
      <c r="IH58" s="366"/>
      <c r="II58" s="366"/>
      <c r="IJ58" s="366"/>
      <c r="IK58" s="366"/>
      <c r="IL58" s="366"/>
      <c r="IM58" s="366"/>
      <c r="IN58" s="366"/>
      <c r="IO58" s="366"/>
      <c r="IP58" s="366"/>
      <c r="IQ58" s="366"/>
      <c r="IR58" s="366"/>
      <c r="IS58" s="366"/>
      <c r="IT58" s="366"/>
      <c r="IU58" s="366"/>
      <c r="IV58" s="366"/>
      <c r="IW58" s="366"/>
      <c r="IX58" s="366"/>
      <c r="IY58" s="366"/>
      <c r="IZ58" s="366"/>
      <c r="JA58" s="366"/>
      <c r="JB58" s="366"/>
      <c r="JC58" s="366"/>
      <c r="JD58" s="366"/>
      <c r="JE58" s="366"/>
      <c r="JF58" s="366"/>
      <c r="JG58" s="366"/>
      <c r="JH58" s="366"/>
      <c r="JI58" s="428"/>
      <c r="JJ58" s="469"/>
      <c r="JK58" s="366"/>
      <c r="JL58" s="366"/>
      <c r="JM58" s="366"/>
      <c r="JN58" s="366"/>
      <c r="JO58" s="366"/>
      <c r="JP58" s="366"/>
      <c r="JQ58" s="366"/>
      <c r="JR58" s="366"/>
      <c r="JS58" s="366"/>
      <c r="JT58" s="366"/>
      <c r="JU58" s="366"/>
      <c r="JV58" s="366"/>
      <c r="JW58" s="366"/>
      <c r="JX58" s="366"/>
      <c r="JY58" s="366"/>
      <c r="JZ58" s="366"/>
      <c r="KA58" s="366"/>
      <c r="KB58" s="366"/>
      <c r="KC58" s="366"/>
      <c r="KD58" s="366"/>
      <c r="KE58" s="366"/>
      <c r="KF58" s="366"/>
      <c r="KG58" s="366"/>
      <c r="KH58" s="366"/>
      <c r="KI58" s="366"/>
      <c r="KJ58" s="366"/>
      <c r="KK58" s="366"/>
      <c r="KL58" s="366"/>
      <c r="KM58" s="366"/>
      <c r="KN58" s="366"/>
      <c r="KO58" s="366"/>
      <c r="KP58" s="366"/>
      <c r="KQ58" s="366"/>
      <c r="KR58" s="366"/>
      <c r="KS58" s="366"/>
      <c r="KT58" s="366"/>
      <c r="KU58" s="366"/>
      <c r="KV58" s="366"/>
      <c r="KW58" s="366"/>
      <c r="KX58" s="366"/>
      <c r="KY58" s="366"/>
      <c r="KZ58" s="366"/>
      <c r="LA58" s="428"/>
      <c r="LB58" s="52">
        <v>0.843749999999998</v>
      </c>
    </row>
    <row r="59" spans="2:314" ht="10.5" customHeight="1">
      <c r="B59" s="49">
        <v>0.25</v>
      </c>
      <c r="C59" s="49">
        <v>0.25</v>
      </c>
      <c r="D59" s="49">
        <v>0.25</v>
      </c>
      <c r="E59" s="172">
        <v>0.85416666666666496</v>
      </c>
      <c r="F59" s="238" t="str">
        <f>IF(Tim!F61=FIT!$E$1,Tim!F61,"")</f>
        <v/>
      </c>
      <c r="G59" s="185" t="str">
        <f>IF(Tim!G61=FIT!$E$1,Tim!G61,"")</f>
        <v/>
      </c>
      <c r="H59" s="185" t="str">
        <f>IF(Tim!H61=FIT!$E$1,Tim!H61,"")</f>
        <v/>
      </c>
      <c r="I59" s="185" t="str">
        <f>IF(Tim!I61=FIT!$E$1,Tim!I61,"")</f>
        <v/>
      </c>
      <c r="J59" s="185" t="str">
        <f>IF(Tim!J61=FIT!$E$1,Tim!J61,"")</f>
        <v/>
      </c>
      <c r="K59" s="185" t="str">
        <f>IF(Tim!K61=FIT!$E$1,Tim!K61,"")</f>
        <v/>
      </c>
      <c r="L59" s="185" t="str">
        <f>IF(Tim!L61=FIT!$E$1,Tim!L61,"")</f>
        <v/>
      </c>
      <c r="M59" s="185" t="str">
        <f>IF(Tim!M61=FIT!$E$1,Tim!M61,"")</f>
        <v/>
      </c>
      <c r="N59" s="185" t="str">
        <f>IF(Tim!N61=FIT!$E$1,Tim!N61,"")</f>
        <v/>
      </c>
      <c r="O59" s="185" t="str">
        <f>IF(Tim!O61=FIT!$E$1,Tim!O61,"")</f>
        <v/>
      </c>
      <c r="P59" s="185" t="str">
        <f>IF(Tim!P61=FIT!$E$1,Tim!P61,"")</f>
        <v/>
      </c>
      <c r="Q59" s="185" t="str">
        <f>IF(Tim!Q61=FIT!$E$1,Tim!Q61,"")</f>
        <v/>
      </c>
      <c r="R59" s="185" t="str">
        <f>IF(Tim!R61=FIT!$E$1,Tim!R61,"")</f>
        <v/>
      </c>
      <c r="S59" s="185" t="str">
        <f>IF(Tim!S61=FIT!$E$1,Tim!S61,"")</f>
        <v/>
      </c>
      <c r="T59" s="185" t="str">
        <f>IF(Tim!T61=FIT!$E$1,Tim!T61,"")</f>
        <v/>
      </c>
      <c r="U59" s="185" t="str">
        <f>IF(Tim!U61=FIT!$E$1,Tim!U61,"")</f>
        <v/>
      </c>
      <c r="V59" s="185" t="str">
        <f>IF(Tim!W61=FIT!$E$1,Tim!W61,"")</f>
        <v/>
      </c>
      <c r="W59" s="185" t="str">
        <f>IF(Tim!X61=FIT!$E$1,Tim!X61,"")</f>
        <v/>
      </c>
      <c r="X59" s="185" t="str">
        <f>IF(Tim!Y61=FIT!$E$1,Tim!Y61,"")</f>
        <v/>
      </c>
      <c r="Y59" s="185" t="str">
        <f>IF(Tim!Z61=FIT!$E$1,Tim!Z61,"")</f>
        <v/>
      </c>
      <c r="Z59" s="185" t="str">
        <f>IF(Tim!AA61=FIT!$E$1,Tim!AA61,"")</f>
        <v/>
      </c>
      <c r="AA59" s="185" t="str">
        <f>IF(Tim!AB61=FIT!$E$1,Tim!AB61,"")</f>
        <v/>
      </c>
      <c r="AB59" s="185" t="str">
        <f>IF(Tim!AC61=FIT!$E$1,Tim!AC61,"")</f>
        <v/>
      </c>
      <c r="AC59" s="185" t="str">
        <f>IF(Tim!AD61=FIT!$E$1,Tim!AD61,"")</f>
        <v/>
      </c>
      <c r="AD59" s="185" t="str">
        <f>IF(Tim!AE61=FIT!$E$1,Tim!AE61,"")</f>
        <v/>
      </c>
      <c r="AE59" s="185" t="str">
        <f>IF(Tim!AF61=FIT!$E$1,Tim!AF61,"")</f>
        <v/>
      </c>
      <c r="AF59" s="185" t="str">
        <f>IF(Tim!AG61=FIT!$E$1,Tim!AG61,"")</f>
        <v/>
      </c>
      <c r="AG59" s="185" t="str">
        <f>IF(Tim!AH61=FIT!$E$1,Tim!AH61,"")</f>
        <v/>
      </c>
      <c r="AH59" s="185" t="str">
        <f>IF(Tim!AI61=FIT!$E$1,Tim!AI61,"")</f>
        <v/>
      </c>
      <c r="AI59" s="185" t="str">
        <f>IF(Tim!AJ61=FIT!$E$1,Tim!AJ61,"")</f>
        <v/>
      </c>
      <c r="AJ59" s="185" t="str">
        <f>IF(Tim!AK61=FIT!$E$1,Tim!AK61,"")</f>
        <v/>
      </c>
      <c r="AK59" s="185" t="str">
        <f>IF(Tim!AL61=FIT!$E$1,Tim!AL61,"")</f>
        <v/>
      </c>
      <c r="AL59" s="185" t="str">
        <f>IF(Tim!AM61=FIT!$E$1,Tim!AM61,"")</f>
        <v/>
      </c>
      <c r="AM59" s="185" t="str">
        <f>IF(Tim!AN61=FIT!$E$1,Tim!AN61,"")</f>
        <v/>
      </c>
      <c r="AN59" s="185" t="str">
        <f>IF(Tim!AO61=FIT!$E$1,Tim!AO61,"")</f>
        <v/>
      </c>
      <c r="AO59" s="185" t="str">
        <f>IF(Tim!AP61=FIT!$E$1,Tim!AP61,"")</f>
        <v/>
      </c>
      <c r="AP59" s="185" t="str">
        <f>IF(Tim!AQ61=FIT!$E$1,Tim!AQ61,"")</f>
        <v/>
      </c>
      <c r="AQ59" s="185" t="str">
        <f>IF(Tim!AR61=FIT!$E$1,Tim!AR61,"")</f>
        <v/>
      </c>
      <c r="AR59" s="185" t="str">
        <f>IF(Tim!AS61=FIT!$E$1,Tim!AS61,"")</f>
        <v/>
      </c>
      <c r="AS59" s="185" t="str">
        <f>IF(Tim!AT61=FIT!$E$1,Tim!AT61,"")</f>
        <v/>
      </c>
      <c r="AT59" s="185" t="str">
        <f>IF(Tim!AU61=FIT!$E$1,Tim!AU61,"")</f>
        <v/>
      </c>
      <c r="AU59" s="185" t="str">
        <f>IF(Tim!AV61=FIT!$E$1,Tim!AV61,"")</f>
        <v/>
      </c>
      <c r="AV59" s="185" t="str">
        <f>IF(Tim!AW61=FIT!$E$1,Tim!AW61,"")</f>
        <v/>
      </c>
      <c r="AW59" s="186" t="str">
        <f>IF(Tim!AX61=FIT!$E$1,Tim!AX61,"")</f>
        <v/>
      </c>
      <c r="AX59" s="243" t="str">
        <f>IF(Tim!AY61=FIT!$E$1,Tim!AY61,"")</f>
        <v/>
      </c>
      <c r="AY59" s="185" t="str">
        <f>IF(Tim!AZ61=FIT!$E$1,Tim!AZ61,"")</f>
        <v/>
      </c>
      <c r="AZ59" s="185" t="str">
        <f>IF(Tim!BA61=FIT!$E$1,Tim!BA61,"")</f>
        <v/>
      </c>
      <c r="BA59" s="185" t="str">
        <f>IF(Tim!BB61=FIT!$E$1,Tim!BB61,"")</f>
        <v/>
      </c>
      <c r="BB59" s="185" t="str">
        <f>IF(Tim!BC61=FIT!$E$1,Tim!BC61,"")</f>
        <v/>
      </c>
      <c r="BC59" s="185" t="str">
        <f>IF(Tim!BD61=FIT!$E$1,Tim!BD61,"")</f>
        <v/>
      </c>
      <c r="BD59" s="185" t="str">
        <f>IF(Tim!BE61=FIT!$E$1,Tim!BE61,"")</f>
        <v/>
      </c>
      <c r="BE59" s="185" t="str">
        <f>IF(Tim!BF61=FIT!$E$1,Tim!BF61,"")</f>
        <v/>
      </c>
      <c r="BF59" s="185" t="str">
        <f>IF(Tim!BG61=FIT!$E$1,Tim!BG61,"")</f>
        <v/>
      </c>
      <c r="BG59" s="185" t="str">
        <f>IF(Tim!BH61=FIT!$E$1,Tim!BH61,"")</f>
        <v/>
      </c>
      <c r="BH59" s="185" t="str">
        <f>IF(Tim!BI61=FIT!$E$1,Tim!BI61,"")</f>
        <v/>
      </c>
      <c r="BI59" s="185" t="str">
        <f>IF(Tim!BJ61=FIT!$E$1,Tim!BJ61,"")</f>
        <v/>
      </c>
      <c r="BJ59" s="185" t="str">
        <f>IF(Tim!BK61=FIT!$E$1,Tim!BK61,"")</f>
        <v/>
      </c>
      <c r="BK59" s="185" t="str">
        <f>IF(Tim!BL61=FIT!$E$1,Tim!BL61,"")</f>
        <v/>
      </c>
      <c r="BL59" s="185" t="str">
        <f>IF(Tim!BM61=FIT!$E$1,Tim!BM61,"")</f>
        <v/>
      </c>
      <c r="BM59" s="185" t="str">
        <f>IF(Tim!BN61=FIT!$E$1,Tim!BN61,"")</f>
        <v/>
      </c>
      <c r="BN59" s="185" t="str">
        <f>IF(Tim!BO61=FIT!$E$1,Tim!BO61,"")</f>
        <v/>
      </c>
      <c r="BO59" s="185" t="str">
        <f>IF(Tim!BP61=FIT!$E$1,Tim!BP61,"")</f>
        <v/>
      </c>
      <c r="BP59" s="185" t="str">
        <f>IF(Tim!BQ61=FIT!$E$1,Tim!BQ61,"")</f>
        <v/>
      </c>
      <c r="BQ59" s="185" t="str">
        <f>IF(Tim!BR61=FIT!$E$1,Tim!BR61,"")</f>
        <v/>
      </c>
      <c r="BR59" s="185" t="str">
        <f>IF(Tim!BS61=FIT!$E$1,Tim!BS61,"")</f>
        <v/>
      </c>
      <c r="BS59" s="185" t="str">
        <f>IF(Tim!BT61=FIT!$E$1,Tim!BT61,"")</f>
        <v/>
      </c>
      <c r="BT59" s="185" t="str">
        <f>IF(Tim!BU61=FIT!$E$1,Tim!BU61,"")</f>
        <v/>
      </c>
      <c r="BU59" s="185" t="str">
        <f>IF(Tim!BV61=FIT!$E$1,Tim!BV61,"")</f>
        <v/>
      </c>
      <c r="BV59" s="185" t="str">
        <f>IF(Tim!BW61=FIT!$E$1,Tim!BW61,"")</f>
        <v/>
      </c>
      <c r="BW59" s="185" t="str">
        <f>IF(Tim!BX61=FIT!$E$1,Tim!BX61,"")</f>
        <v/>
      </c>
      <c r="BX59" s="185" t="str">
        <f>IF(Tim!BY61=FIT!$E$1,Tim!BY61,"")</f>
        <v/>
      </c>
      <c r="BY59" s="185" t="str">
        <f>IF(Tim!BZ61=FIT!$E$1,Tim!BZ61,"")</f>
        <v/>
      </c>
      <c r="BZ59" s="185" t="str">
        <f>IF(Tim!CA61=FIT!$E$1,Tim!CA61,"")</f>
        <v/>
      </c>
      <c r="CA59" s="185" t="str">
        <f>IF(Tim!CB61=FIT!$E$1,Tim!CB61,"")</f>
        <v/>
      </c>
      <c r="CB59" s="185" t="str">
        <f>IF(Tim!CC61=FIT!$E$1,Tim!CC61,"")</f>
        <v/>
      </c>
      <c r="CC59" s="185" t="str">
        <f>IF(Tim!CD61=FIT!$E$1,Tim!CD61,"")</f>
        <v/>
      </c>
      <c r="CD59" s="185" t="str">
        <f>IF(Tim!CE61=FIT!$E$1,Tim!CE61,"")</f>
        <v/>
      </c>
      <c r="CE59" s="185" t="str">
        <f>IF(Tim!CF61=FIT!$E$1,Tim!CF61,"")</f>
        <v/>
      </c>
      <c r="CF59" s="185" t="str">
        <f>IF(Tim!CG61=FIT!$E$1,Tim!CG61,"")</f>
        <v/>
      </c>
      <c r="CG59" s="185" t="str">
        <f>IF(Tim!CH61=FIT!$E$1,Tim!CH61,"")</f>
        <v/>
      </c>
      <c r="CH59" s="185" t="str">
        <f>IF(Tim!CI61=FIT!$E$1,Tim!CI61,"")</f>
        <v/>
      </c>
      <c r="CI59" s="185" t="str">
        <f>IF(Tim!CJ61=FIT!$E$1,Tim!CJ61,"")</f>
        <v/>
      </c>
      <c r="CJ59" s="185" t="str">
        <f>IF(Tim!CK61=FIT!$E$1,Tim!CK61,"")</f>
        <v/>
      </c>
      <c r="CK59" s="185" t="str">
        <f>IF(Tim!CL61=FIT!$E$1,Tim!CL61,"")</f>
        <v/>
      </c>
      <c r="CL59" s="185" t="str">
        <f>IF(Tim!CM61=FIT!$E$1,Tim!CM61,"")</f>
        <v/>
      </c>
      <c r="CM59" s="185" t="str">
        <f>IF(Tim!CN61=FIT!$E$1,Tim!CN61,"")</f>
        <v/>
      </c>
      <c r="CN59" s="185" t="str">
        <f>IF(Tim!CO61=FIT!$E$1,Tim!CO61,"")</f>
        <v/>
      </c>
      <c r="CO59" s="185" t="str">
        <f>IF(Tim!CP61=FIT!$E$1,Tim!CP61,"")</f>
        <v/>
      </c>
      <c r="CP59" s="185" t="str">
        <f>IF(Tim!CQ61=FIT!$E$1,Tim!CQ61,"")</f>
        <v/>
      </c>
      <c r="CQ59" s="185" t="str">
        <f>IF(Tim!CR61=FIT!$E$1,Tim!CR61,"")</f>
        <v/>
      </c>
      <c r="CR59" s="185" t="str">
        <f>IF(Tim!CS61=FIT!$E$1,Tim!CS61,"")</f>
        <v/>
      </c>
      <c r="CS59" s="185" t="str">
        <f>IF(Tim!CT61=FIT!$E$1,Tim!CT61,"")</f>
        <v/>
      </c>
      <c r="CT59" s="185" t="str">
        <f>IF(Tim!CU61=FIT!$E$1,Tim!CU61,"")</f>
        <v/>
      </c>
      <c r="CU59" s="185" t="str">
        <f>IF(Tim!CV61=FIT!$E$1,Tim!CV61,"")</f>
        <v/>
      </c>
      <c r="CV59" s="185" t="str">
        <f>IF(Tim!CW61=FIT!$E$1,Tim!CW61,"")</f>
        <v/>
      </c>
      <c r="CW59" s="185" t="str">
        <f>IF(Tim!CX61=FIT!$E$1,Tim!CX61,"")</f>
        <v/>
      </c>
      <c r="CX59" s="185" t="str">
        <f>IF(Tim!CY61=FIT!$E$1,Tim!CY61,"")</f>
        <v/>
      </c>
      <c r="CY59" s="185" t="str">
        <f>IF(Tim!CZ61=FIT!$E$1,Tim!CZ61,"")</f>
        <v/>
      </c>
      <c r="CZ59" s="185" t="str">
        <f>IF(Tim!DA61=FIT!$E$1,Tim!DA61,"")</f>
        <v/>
      </c>
      <c r="DA59" s="185" t="str">
        <f>IF(Tim!DB61=FIT!$E$1,Tim!DB61,"")</f>
        <v/>
      </c>
      <c r="DB59" s="185" t="str">
        <f>IF(Tim!DC61=FIT!$E$1,Tim!DC61,"")</f>
        <v/>
      </c>
      <c r="DC59" s="185" t="str">
        <f>IF(Tim!DD61=FIT!$E$1,Tim!DD61,"")</f>
        <v/>
      </c>
      <c r="DD59" s="185" t="str">
        <f>IF(Tim!DE61=FIT!$E$1,Tim!DE61,"")</f>
        <v/>
      </c>
      <c r="DE59" s="185" t="str">
        <f>IF(Tim!DF61=FIT!$E$1,Tim!DF61,"")</f>
        <v/>
      </c>
      <c r="DF59" s="185" t="str">
        <f>IF(Tim!DG61=FIT!$E$1,Tim!DG61,"")</f>
        <v/>
      </c>
      <c r="DG59" s="185" t="str">
        <f>IF(Tim!DH61=FIT!$E$1,Tim!DH61,"")</f>
        <v/>
      </c>
      <c r="DH59" s="185" t="str">
        <f>IF(Tim!DI61=FIT!$E$1,Tim!DI61,"")</f>
        <v/>
      </c>
      <c r="DI59" s="185" t="str">
        <f>IF(Tim!DM61=FIT!$E$1,Tim!DM61,"")</f>
        <v/>
      </c>
      <c r="DJ59" s="185" t="str">
        <f>IF(Tim!DN61=FIT!$E$1,Tim!DN61,"")</f>
        <v/>
      </c>
      <c r="DK59" s="185" t="str">
        <f>IF(Tim!DO61=FIT!$E$1,Tim!DO61,"")</f>
        <v/>
      </c>
      <c r="DL59" s="185" t="str">
        <f>IF(Tim!DP61=FIT!$E$1,Tim!DP61,"")</f>
        <v/>
      </c>
      <c r="DM59" s="185" t="str">
        <f>IF(Tim!DQ61=FIT!$E$1,Tim!DQ61,"")</f>
        <v/>
      </c>
      <c r="DN59" s="185" t="str">
        <f>IF(Tim!DR61=FIT!$E$1,Tim!DR61,"")</f>
        <v/>
      </c>
      <c r="DO59" s="185" t="str">
        <f>IF(Tim!DS61=FIT!$E$1,Tim!DS61,"")</f>
        <v/>
      </c>
      <c r="DP59" s="185" t="str">
        <f>IF(Tim!DT61=FIT!$E$1,Tim!DT61,"")</f>
        <v/>
      </c>
      <c r="DQ59" s="185" t="str">
        <f>IF(Tim!DU61=FIT!$E$1,Tim!DU61,"")</f>
        <v/>
      </c>
      <c r="DR59" s="185" t="str">
        <f>IF(Tim!DV61=FIT!$E$1,Tim!DV61,"")</f>
        <v/>
      </c>
      <c r="DS59" s="185" t="str">
        <f>IF(Tim!DW61=FIT!$E$1,Tim!DW61,"")</f>
        <v/>
      </c>
      <c r="DT59" s="185" t="str">
        <f>IF(Tim!DX61=FIT!$E$1,Tim!DX61,"")</f>
        <v/>
      </c>
      <c r="DU59" s="185" t="str">
        <f>IF(Tim!DY61=FIT!$E$1,Tim!DY61,"")</f>
        <v/>
      </c>
      <c r="DV59" s="185" t="str">
        <f>IF(Tim!DZ61=FIT!$E$1,Tim!DZ61,"")</f>
        <v/>
      </c>
      <c r="DW59" s="185" t="str">
        <f>IF(Tim!EA61=FIT!$E$1,Tim!EA61,"")</f>
        <v/>
      </c>
      <c r="DX59" s="185" t="str">
        <f>IF(Tim!EB61=FIT!$E$1,Tim!EB61,"")</f>
        <v/>
      </c>
      <c r="DY59" s="185" t="str">
        <f>IF(Tim!EC61=FIT!$E$1,Tim!EC61,"")</f>
        <v/>
      </c>
      <c r="DZ59" s="185" t="str">
        <f>IF(Tim!ED61=FIT!$E$1,Tim!ED61,"")</f>
        <v/>
      </c>
      <c r="EA59" s="185" t="str">
        <f>IF(Tim!EE61=FIT!$E$1,Tim!EE61,"")</f>
        <v/>
      </c>
      <c r="EB59" s="185" t="str">
        <f>IF(Tim!EF61=FIT!$E$1,Tim!EF61,"")</f>
        <v/>
      </c>
      <c r="EC59" s="185" t="str">
        <f>IF(Tim!EG61=FIT!$E$1,Tim!EG61,"")</f>
        <v/>
      </c>
      <c r="ED59" s="185" t="str">
        <f>IF(Tim!EH61=FIT!$E$1,Tim!EH61,"")</f>
        <v/>
      </c>
      <c r="EE59" s="185" t="str">
        <f>IF(Tim!EI61=FIT!$E$1,Tim!EI61,"")</f>
        <v/>
      </c>
      <c r="EF59" s="185" t="str">
        <f>IF(Tim!EJ61=FIT!$E$1,Tim!EJ61,"")</f>
        <v/>
      </c>
      <c r="EG59" s="185" t="str">
        <f>IF(Tim!EK61=FIT!$E$1,Tim!EK61,"")</f>
        <v/>
      </c>
      <c r="EH59" s="185" t="str">
        <f>IF(Tim!EL61=FIT!$E$1,Tim!EL61,"")</f>
        <v/>
      </c>
      <c r="EI59" s="185" t="str">
        <f>IF(Tim!EM61=FIT!$E$1,Tim!EM61,"")</f>
        <v/>
      </c>
      <c r="EJ59" s="185" t="str">
        <f>IF(Tim!EN61=FIT!$E$1,Tim!EN61,"")</f>
        <v/>
      </c>
      <c r="EK59" s="185" t="str">
        <f>IF(Tim!EO61=FIT!$E$1,Tim!EO61,"")</f>
        <v/>
      </c>
      <c r="EL59" s="185" t="str">
        <f>IF(Tim!EP61=FIT!$E$1,Tim!EP61,"")</f>
        <v/>
      </c>
      <c r="EM59" s="185" t="str">
        <f>IF(Tim!EQ61=FIT!$E$1,Tim!EQ61,"")</f>
        <v/>
      </c>
      <c r="EN59" s="185" t="str">
        <f>IF(Tim!ER61=FIT!$E$1,Tim!ER61,"")</f>
        <v/>
      </c>
      <c r="EO59" s="185" t="str">
        <f>IF(Tim!ES61=FIT!$E$1,Tim!ES61,"")</f>
        <v/>
      </c>
      <c r="EP59" s="185" t="str">
        <f>IF(Tim!ET61=FIT!$E$1,Tim!ET61,"")</f>
        <v/>
      </c>
      <c r="EQ59" s="185" t="str">
        <f>IF(Tim!EU61=FIT!$E$1,Tim!EU61,"")</f>
        <v/>
      </c>
      <c r="ER59" s="185" t="str">
        <f>IF(Tim!EV61=FIT!$E$1,Tim!EV61,"")</f>
        <v/>
      </c>
      <c r="ES59" s="185" t="str">
        <f>IF(Tim!EW61=FIT!$E$1,Tim!EW61,"")</f>
        <v/>
      </c>
      <c r="ET59" s="185" t="str">
        <f>IF(Tim!EX61=FIT!$E$1,Tim!EX61,"")</f>
        <v/>
      </c>
      <c r="EU59" s="185" t="str">
        <f>IF(Tim!EY61=FIT!$E$1,Tim!EY61,"")</f>
        <v/>
      </c>
      <c r="EV59" s="185" t="str">
        <f>IF(Tim!EZ61=FIT!$E$1,Tim!EZ61,"")</f>
        <v/>
      </c>
      <c r="EW59" s="185" t="str">
        <f>IF(Tim!FA61=FIT!$E$1,Tim!FA61,"")</f>
        <v/>
      </c>
      <c r="EX59" s="185" t="str">
        <f>IF(Tim!FB61=FIT!$E$1,Tim!FB61,"")</f>
        <v/>
      </c>
      <c r="EY59" s="185" t="str">
        <f>IF(Tim!FC61=FIT!$E$1,Tim!FC61,"")</f>
        <v/>
      </c>
      <c r="EZ59" s="185" t="str">
        <f>IF(Tim!FD61=FIT!$E$1,Tim!FD61,"")</f>
        <v/>
      </c>
      <c r="FA59" s="185" t="str">
        <f>IF(Tim!FE61=FIT!$E$1,Tim!FE61,"")</f>
        <v/>
      </c>
      <c r="FB59" s="185" t="str">
        <f>IF(Tim!FF61=FIT!$E$1,Tim!FF61,"")</f>
        <v/>
      </c>
      <c r="FC59" s="185" t="str">
        <f>IF(Tim!FG61=FIT!$E$1,Tim!FG61,"")</f>
        <v/>
      </c>
      <c r="FD59" s="185" t="str">
        <f>IF(Tim!FH61=FIT!$E$1,Tim!FH61,"")</f>
        <v/>
      </c>
      <c r="FE59" s="185" t="str">
        <f>IF(Tim!FI61=FIT!$E$1,Tim!FI61,"")</f>
        <v/>
      </c>
      <c r="FF59" s="185" t="str">
        <f>IF(Tim!FJ61=FIT!$E$1,Tim!FJ61,"")</f>
        <v/>
      </c>
      <c r="FG59" s="185" t="str">
        <f>IF(Tim!FK61=FIT!$E$1,Tim!FK61,"")</f>
        <v/>
      </c>
      <c r="FH59" s="185" t="str">
        <f>IF(Tim!FL61=FIT!$E$1,Tim!FL61,"")</f>
        <v/>
      </c>
      <c r="FI59" s="185" t="str">
        <f>IF(Tim!FM61=FIT!$E$1,Tim!FM61,"")</f>
        <v/>
      </c>
      <c r="FJ59" s="185" t="str">
        <f>IF(Tim!FN61=FIT!$E$1,Tim!FN61,"")</f>
        <v/>
      </c>
      <c r="FK59" s="185" t="str">
        <f>IF(Tim!FO61=FIT!$E$1,Tim!FO61,"")</f>
        <v/>
      </c>
      <c r="FL59" s="185" t="str">
        <f>IF(Tim!FP61=FIT!$E$1,Tim!FP61,"")</f>
        <v/>
      </c>
      <c r="FM59" s="185" t="str">
        <f>IF(Tim!FQ61=FIT!$E$1,Tim!FQ61,"")</f>
        <v/>
      </c>
      <c r="FN59" s="185" t="str">
        <f>IF(Tim!FR61=FIT!$E$1,Tim!FR61,"")</f>
        <v/>
      </c>
      <c r="FO59" s="185" t="str">
        <f>IF(Tim!FS61=FIT!$E$1,Tim!FS61,"")</f>
        <v/>
      </c>
      <c r="FP59" s="185" t="str">
        <f>IF(Tim!FT61=FIT!$E$1,Tim!FT61,"")</f>
        <v/>
      </c>
      <c r="FQ59" s="185" t="str">
        <f>IF(Tim!FU61=FIT!$E$1,Tim!FU61,"")</f>
        <v/>
      </c>
      <c r="FR59" s="185" t="str">
        <f>IF(Tim!FV61=FIT!$E$1,Tim!FV61,"")</f>
        <v/>
      </c>
      <c r="FS59" s="185" t="str">
        <f>IF(Tim!FW61=FIT!$E$1,Tim!FW61,"")</f>
        <v/>
      </c>
      <c r="FT59" s="185" t="str">
        <f>IF(Tim!FX61=FIT!$E$1,Tim!FX61,"")</f>
        <v/>
      </c>
      <c r="FU59" s="185" t="str">
        <f>IF(Tim!FY61=FIT!$E$1,Tim!FY61,"")</f>
        <v/>
      </c>
      <c r="FV59" s="185" t="str">
        <f>IF(Tim!FZ61=FIT!$E$1,Tim!FZ61,"")</f>
        <v/>
      </c>
      <c r="FW59" s="185" t="str">
        <f>IF(Tim!GA61=FIT!$E$1,Tim!GA61,"")</f>
        <v/>
      </c>
      <c r="FX59" s="185" t="str">
        <f>IF(Tim!GB61=FIT!$E$1,Tim!GB61,"")</f>
        <v/>
      </c>
      <c r="FY59" s="185" t="str">
        <f>IF(Tim!GC61=FIT!$E$1,Tim!GC61,"")</f>
        <v/>
      </c>
      <c r="FZ59" s="185" t="str">
        <f>IF(Tim!GD61=FIT!$E$1,Tim!GD61,"")</f>
        <v/>
      </c>
      <c r="GA59" s="185" t="str">
        <f>IF(Tim!GE61=FIT!$E$1,Tim!GE61,"")</f>
        <v/>
      </c>
      <c r="GB59" s="185" t="str">
        <f>IF(Tim!GF61=FIT!$E$1,Tim!GF61,"")</f>
        <v/>
      </c>
      <c r="GC59" s="185" t="str">
        <f>IF(Tim!GG61=FIT!$E$1,Tim!GG61,"")</f>
        <v/>
      </c>
      <c r="GD59" s="185" t="str">
        <f>IF(Tim!GH61=FIT!$E$1,Tim!GH61,"")</f>
        <v/>
      </c>
      <c r="GE59" s="185" t="str">
        <f>IF(Tim!GI61=FIT!$E$1,Tim!GI61,"")</f>
        <v/>
      </c>
      <c r="GF59" s="185" t="str">
        <f>IF(Tim!GJ61=FIT!$E$1,Tim!GJ61,"")</f>
        <v/>
      </c>
      <c r="GG59" s="185" t="str">
        <f>IF(Tim!GK61=FIT!$E$1,Tim!GK61,"")</f>
        <v/>
      </c>
      <c r="GH59" s="185" t="str">
        <f>IF(Tim!GL61=FIT!$E$1,Tim!GL61,"")</f>
        <v/>
      </c>
      <c r="GI59" s="185" t="str">
        <f>IF(Tim!GM61=FIT!$E$1,Tim!GM61,"")</f>
        <v/>
      </c>
      <c r="GJ59" s="185" t="str">
        <f>IF(Tim!GN61=FIT!$E$1,Tim!GN61,"")</f>
        <v/>
      </c>
      <c r="GK59" s="185" t="str">
        <f>IF(Tim!GO61=FIT!$E$1,Tim!GO61,"")</f>
        <v/>
      </c>
      <c r="GL59" s="185" t="str">
        <f>IF(Tim!GP61=FIT!$E$1,Tim!GP61,"")</f>
        <v/>
      </c>
      <c r="GM59" s="185" t="str">
        <f>IF(Tim!GQ61=FIT!$E$1,Tim!GQ61,"")</f>
        <v/>
      </c>
      <c r="GN59" s="185" t="str">
        <f>IF(Tim!GR61=FIT!$E$1,Tim!GR61,"")</f>
        <v/>
      </c>
      <c r="GO59" s="185" t="str">
        <f>IF(Tim!GS61=FIT!$E$1,Tim!GS61,"")</f>
        <v/>
      </c>
      <c r="GP59" s="185" t="str">
        <f>IF(Tim!GT61=FIT!$E$1,Tim!GT61,"")</f>
        <v/>
      </c>
      <c r="GQ59" s="185" t="str">
        <f>IF(Tim!GU61=FIT!$E$1,Tim!GU61,"")</f>
        <v/>
      </c>
      <c r="GR59" s="185" t="str">
        <f>IF(Tim!GV61=FIT!$E$1,Tim!GV61,"")</f>
        <v/>
      </c>
      <c r="GS59" s="185" t="str">
        <f>IF(Tim!GW61=FIT!$E$1,Tim!GW61,"")</f>
        <v/>
      </c>
      <c r="GT59" s="185" t="str">
        <f>IF(Tim!GX61=FIT!$E$1,Tim!GX61,"")</f>
        <v/>
      </c>
      <c r="GU59" s="185" t="str">
        <f>IF(Tim!GY61=FIT!$E$1,Tim!GY61,"")</f>
        <v/>
      </c>
      <c r="GV59" s="185" t="str">
        <f>IF(Tim!GZ61=FIT!$E$1,Tim!GZ61,"")</f>
        <v/>
      </c>
      <c r="GW59" s="185" t="str">
        <f>IF(Tim!HA61=FIT!$E$1,Tim!HA61,"")</f>
        <v/>
      </c>
      <c r="GX59" s="185" t="str">
        <f>IF(Tim!HB61=FIT!$E$1,Tim!HB61,"")</f>
        <v/>
      </c>
      <c r="GY59" s="185" t="str">
        <f>IF(Tim!HC61=FIT!$E$1,Tim!HC61,"")</f>
        <v/>
      </c>
      <c r="GZ59" s="185" t="str">
        <f>IF(Tim!HD61=FIT!$E$1,Tim!HD61,"")</f>
        <v/>
      </c>
      <c r="HA59" s="185" t="str">
        <f>IF(Tim!HE61=FIT!$E$1,Tim!HE61,"")</f>
        <v/>
      </c>
      <c r="HB59" s="185" t="str">
        <f>IF(Tim!HF61=FIT!$E$1,Tim!HF61,"")</f>
        <v/>
      </c>
      <c r="HC59" s="185" t="str">
        <f>IF(Tim!HG61=FIT!$E$1,Tim!HG61,"")</f>
        <v/>
      </c>
      <c r="HD59" s="185" t="str">
        <f>IF(Tim!HH61=FIT!$E$1,Tim!HH61,"")</f>
        <v/>
      </c>
      <c r="HE59" s="185" t="str">
        <f>IF(Tim!HI61=FIT!$E$1,Tim!HI61,"")</f>
        <v/>
      </c>
      <c r="HF59" s="185" t="str">
        <f>IF(Tim!HJ61=FIT!$E$1,Tim!HJ61,"")</f>
        <v/>
      </c>
      <c r="HG59" s="185" t="str">
        <f>IF(Tim!HK61=FIT!$E$1,Tim!HK61,"")</f>
        <v/>
      </c>
      <c r="HH59" s="185" t="str">
        <f>IF(Tim!HL61=FIT!$E$1,Tim!HL61,"")</f>
        <v/>
      </c>
      <c r="HI59" s="185" t="str">
        <f>IF(Tim!HM61=FIT!$E$1,Tim!HM61,"")</f>
        <v/>
      </c>
      <c r="HJ59" s="185" t="str">
        <f>IF(Tim!HN61=FIT!$E$1,Tim!HN61,"")</f>
        <v/>
      </c>
      <c r="HK59" s="185" t="str">
        <f>IF(Tim!HO61=FIT!$E$1,Tim!HO61,"")</f>
        <v/>
      </c>
      <c r="HL59" s="185" t="str">
        <f>IF(Tim!HP61=FIT!$E$1,Tim!HP61,"")</f>
        <v/>
      </c>
      <c r="HM59" s="185" t="str">
        <f>IF(Tim!HQ61=FIT!$E$1,Tim!HQ61,"")</f>
        <v/>
      </c>
      <c r="HN59" s="185" t="str">
        <f>IF(Tim!HR61=FIT!$E$1,Tim!HR61,"")</f>
        <v/>
      </c>
      <c r="HO59" s="185" t="str">
        <f>IF(Tim!HS61=FIT!$E$1,Tim!HS61,"")</f>
        <v/>
      </c>
      <c r="HP59" s="185" t="str">
        <f>IF(Tim!HT61=FIT!$E$1,Tim!HT61,"")</f>
        <v/>
      </c>
      <c r="HQ59" s="185" t="str">
        <f>IF(Tim!HU61=FIT!$E$1,Tim!HU61,"")</f>
        <v/>
      </c>
      <c r="HR59" s="469"/>
      <c r="HS59" s="366"/>
      <c r="HT59" s="366"/>
      <c r="HU59" s="366"/>
      <c r="HV59" s="366"/>
      <c r="HW59" s="366"/>
      <c r="HX59" s="366"/>
      <c r="HY59" s="366"/>
      <c r="HZ59" s="366"/>
      <c r="IA59" s="366"/>
      <c r="IB59" s="366"/>
      <c r="IC59" s="366"/>
      <c r="ID59" s="366"/>
      <c r="IE59" s="366"/>
      <c r="IF59" s="366"/>
      <c r="IG59" s="366"/>
      <c r="IH59" s="366"/>
      <c r="II59" s="366"/>
      <c r="IJ59" s="366"/>
      <c r="IK59" s="366"/>
      <c r="IL59" s="366"/>
      <c r="IM59" s="366"/>
      <c r="IN59" s="366"/>
      <c r="IO59" s="366"/>
      <c r="IP59" s="366"/>
      <c r="IQ59" s="366"/>
      <c r="IR59" s="366"/>
      <c r="IS59" s="366"/>
      <c r="IT59" s="366"/>
      <c r="IU59" s="366"/>
      <c r="IV59" s="366"/>
      <c r="IW59" s="366"/>
      <c r="IX59" s="366"/>
      <c r="IY59" s="366"/>
      <c r="IZ59" s="366"/>
      <c r="JA59" s="366"/>
      <c r="JB59" s="366"/>
      <c r="JC59" s="366"/>
      <c r="JD59" s="366"/>
      <c r="JE59" s="366"/>
      <c r="JF59" s="366"/>
      <c r="JG59" s="366"/>
      <c r="JH59" s="366"/>
      <c r="JI59" s="428"/>
      <c r="JJ59" s="469"/>
      <c r="JK59" s="366"/>
      <c r="JL59" s="366"/>
      <c r="JM59" s="366"/>
      <c r="JN59" s="366"/>
      <c r="JO59" s="366"/>
      <c r="JP59" s="366"/>
      <c r="JQ59" s="366"/>
      <c r="JR59" s="366"/>
      <c r="JS59" s="366"/>
      <c r="JT59" s="366"/>
      <c r="JU59" s="366"/>
      <c r="JV59" s="366"/>
      <c r="JW59" s="366"/>
      <c r="JX59" s="366"/>
      <c r="JY59" s="366"/>
      <c r="JZ59" s="366"/>
      <c r="KA59" s="366"/>
      <c r="KB59" s="366"/>
      <c r="KC59" s="366"/>
      <c r="KD59" s="366"/>
      <c r="KE59" s="366"/>
      <c r="KF59" s="366"/>
      <c r="KG59" s="366"/>
      <c r="KH59" s="366"/>
      <c r="KI59" s="366"/>
      <c r="KJ59" s="366"/>
      <c r="KK59" s="366"/>
      <c r="KL59" s="366"/>
      <c r="KM59" s="366"/>
      <c r="KN59" s="366"/>
      <c r="KO59" s="366"/>
      <c r="KP59" s="366"/>
      <c r="KQ59" s="366"/>
      <c r="KR59" s="366"/>
      <c r="KS59" s="366"/>
      <c r="KT59" s="366"/>
      <c r="KU59" s="366"/>
      <c r="KV59" s="366"/>
      <c r="KW59" s="366"/>
      <c r="KX59" s="366"/>
      <c r="KY59" s="366"/>
      <c r="KZ59" s="366"/>
      <c r="LA59" s="428"/>
      <c r="LB59" s="52">
        <v>0.85416666666666496</v>
      </c>
    </row>
    <row r="60" spans="2:314" ht="10.5" customHeight="1">
      <c r="B60" s="49">
        <v>0.25</v>
      </c>
      <c r="C60" s="49">
        <v>0.25</v>
      </c>
      <c r="D60" s="49">
        <v>0.25</v>
      </c>
      <c r="E60" s="172">
        <v>0.86458333333333204</v>
      </c>
      <c r="F60" s="238" t="str">
        <f>IF(Tim!F62=FIT!$E$1,Tim!F62,"")</f>
        <v/>
      </c>
      <c r="G60" s="185" t="str">
        <f>IF(Tim!G62=FIT!$E$1,Tim!G62,"")</f>
        <v/>
      </c>
      <c r="H60" s="185" t="str">
        <f>IF(Tim!H62=FIT!$E$1,Tim!H62,"")</f>
        <v/>
      </c>
      <c r="I60" s="185" t="str">
        <f>IF(Tim!I62=FIT!$E$1,Tim!I62,"")</f>
        <v/>
      </c>
      <c r="J60" s="185" t="str">
        <f>IF(Tim!J62=FIT!$E$1,Tim!J62,"")</f>
        <v/>
      </c>
      <c r="K60" s="185" t="str">
        <f>IF(Tim!K62=FIT!$E$1,Tim!K62,"")</f>
        <v/>
      </c>
      <c r="L60" s="185" t="str">
        <f>IF(Tim!L62=FIT!$E$1,Tim!L62,"")</f>
        <v/>
      </c>
      <c r="M60" s="185" t="str">
        <f>IF(Tim!M62=FIT!$E$1,Tim!M62,"")</f>
        <v/>
      </c>
      <c r="N60" s="185" t="str">
        <f>IF(Tim!N62=FIT!$E$1,Tim!N62,"")</f>
        <v/>
      </c>
      <c r="O60" s="185" t="str">
        <f>IF(Tim!O62=FIT!$E$1,Tim!O62,"")</f>
        <v/>
      </c>
      <c r="P60" s="185" t="str">
        <f>IF(Tim!P62=FIT!$E$1,Tim!P62,"")</f>
        <v/>
      </c>
      <c r="Q60" s="185" t="str">
        <f>IF(Tim!Q62=FIT!$E$1,Tim!Q62,"")</f>
        <v/>
      </c>
      <c r="R60" s="185" t="str">
        <f>IF(Tim!R62=FIT!$E$1,Tim!R62,"")</f>
        <v/>
      </c>
      <c r="S60" s="185" t="str">
        <f>IF(Tim!S62=FIT!$E$1,Tim!S62,"")</f>
        <v/>
      </c>
      <c r="T60" s="185" t="str">
        <f>IF(Tim!T62=FIT!$E$1,Tim!T62,"")</f>
        <v/>
      </c>
      <c r="U60" s="185" t="str">
        <f>IF(Tim!U62=FIT!$E$1,Tim!U62,"")</f>
        <v/>
      </c>
      <c r="V60" s="185" t="str">
        <f>IF(Tim!W62=FIT!$E$1,Tim!W62,"")</f>
        <v/>
      </c>
      <c r="W60" s="185" t="str">
        <f>IF(Tim!X62=FIT!$E$1,Tim!X62,"")</f>
        <v/>
      </c>
      <c r="X60" s="185" t="str">
        <f>IF(Tim!Y62=FIT!$E$1,Tim!Y62,"")</f>
        <v/>
      </c>
      <c r="Y60" s="185" t="str">
        <f>IF(Tim!Z62=FIT!$E$1,Tim!Z62,"")</f>
        <v/>
      </c>
      <c r="Z60" s="185" t="str">
        <f>IF(Tim!AA62=FIT!$E$1,Tim!AA62,"")</f>
        <v/>
      </c>
      <c r="AA60" s="185" t="str">
        <f>IF(Tim!AB62=FIT!$E$1,Tim!AB62,"")</f>
        <v/>
      </c>
      <c r="AB60" s="185" t="str">
        <f>IF(Tim!AC62=FIT!$E$1,Tim!AC62,"")</f>
        <v/>
      </c>
      <c r="AC60" s="185" t="str">
        <f>IF(Tim!AD62=FIT!$E$1,Tim!AD62,"")</f>
        <v/>
      </c>
      <c r="AD60" s="185" t="str">
        <f>IF(Tim!AE62=FIT!$E$1,Tim!AE62,"")</f>
        <v/>
      </c>
      <c r="AE60" s="185" t="str">
        <f>IF(Tim!AF62=FIT!$E$1,Tim!AF62,"")</f>
        <v/>
      </c>
      <c r="AF60" s="185" t="str">
        <f>IF(Tim!AG62=FIT!$E$1,Tim!AG62,"")</f>
        <v/>
      </c>
      <c r="AG60" s="185" t="str">
        <f>IF(Tim!AH62=FIT!$E$1,Tim!AH62,"")</f>
        <v/>
      </c>
      <c r="AH60" s="185" t="str">
        <f>IF(Tim!AI62=FIT!$E$1,Tim!AI62,"")</f>
        <v/>
      </c>
      <c r="AI60" s="185" t="str">
        <f>IF(Tim!AJ62=FIT!$E$1,Tim!AJ62,"")</f>
        <v/>
      </c>
      <c r="AJ60" s="185" t="str">
        <f>IF(Tim!AK62=FIT!$E$1,Tim!AK62,"")</f>
        <v/>
      </c>
      <c r="AK60" s="185" t="str">
        <f>IF(Tim!AL62=FIT!$E$1,Tim!AL62,"")</f>
        <v/>
      </c>
      <c r="AL60" s="185" t="str">
        <f>IF(Tim!AM62=FIT!$E$1,Tim!AM62,"")</f>
        <v/>
      </c>
      <c r="AM60" s="185" t="str">
        <f>IF(Tim!AN62=FIT!$E$1,Tim!AN62,"")</f>
        <v/>
      </c>
      <c r="AN60" s="185" t="str">
        <f>IF(Tim!AO62=FIT!$E$1,Tim!AO62,"")</f>
        <v/>
      </c>
      <c r="AO60" s="185" t="str">
        <f>IF(Tim!AP62=FIT!$E$1,Tim!AP62,"")</f>
        <v/>
      </c>
      <c r="AP60" s="185" t="str">
        <f>IF(Tim!AQ62=FIT!$E$1,Tim!AQ62,"")</f>
        <v/>
      </c>
      <c r="AQ60" s="185" t="str">
        <f>IF(Tim!AR62=FIT!$E$1,Tim!AR62,"")</f>
        <v/>
      </c>
      <c r="AR60" s="185" t="str">
        <f>IF(Tim!AS62=FIT!$E$1,Tim!AS62,"")</f>
        <v/>
      </c>
      <c r="AS60" s="185" t="str">
        <f>IF(Tim!AT62=FIT!$E$1,Tim!AT62,"")</f>
        <v/>
      </c>
      <c r="AT60" s="185" t="str">
        <f>IF(Tim!AU62=FIT!$E$1,Tim!AU62,"")</f>
        <v/>
      </c>
      <c r="AU60" s="185" t="str">
        <f>IF(Tim!AV62=FIT!$E$1,Tim!AV62,"")</f>
        <v/>
      </c>
      <c r="AV60" s="185" t="str">
        <f>IF(Tim!AW62=FIT!$E$1,Tim!AW62,"")</f>
        <v/>
      </c>
      <c r="AW60" s="186" t="str">
        <f>IF(Tim!AX62=FIT!$E$1,Tim!AX62,"")</f>
        <v/>
      </c>
      <c r="AX60" s="243" t="str">
        <f>IF(Tim!AY62=FIT!$E$1,Tim!AY62,"")</f>
        <v/>
      </c>
      <c r="AY60" s="185" t="str">
        <f>IF(Tim!AZ62=FIT!$E$1,Tim!AZ62,"")</f>
        <v/>
      </c>
      <c r="AZ60" s="185" t="str">
        <f>IF(Tim!BA62=FIT!$E$1,Tim!BA62,"")</f>
        <v/>
      </c>
      <c r="BA60" s="185" t="str">
        <f>IF(Tim!BB62=FIT!$E$1,Tim!BB62,"")</f>
        <v/>
      </c>
      <c r="BB60" s="185" t="str">
        <f>IF(Tim!BC62=FIT!$E$1,Tim!BC62,"")</f>
        <v/>
      </c>
      <c r="BC60" s="185" t="str">
        <f>IF(Tim!BD62=FIT!$E$1,Tim!BD62,"")</f>
        <v/>
      </c>
      <c r="BD60" s="185" t="str">
        <f>IF(Tim!BE62=FIT!$E$1,Tim!BE62,"")</f>
        <v/>
      </c>
      <c r="BE60" s="185" t="str">
        <f>IF(Tim!BF62=FIT!$E$1,Tim!BF62,"")</f>
        <v/>
      </c>
      <c r="BF60" s="185" t="str">
        <f>IF(Tim!BG62=FIT!$E$1,Tim!BG62,"")</f>
        <v/>
      </c>
      <c r="BG60" s="185" t="str">
        <f>IF(Tim!BH62=FIT!$E$1,Tim!BH62,"")</f>
        <v/>
      </c>
      <c r="BH60" s="185" t="str">
        <f>IF(Tim!BI62=FIT!$E$1,Tim!BI62,"")</f>
        <v/>
      </c>
      <c r="BI60" s="185" t="str">
        <f>IF(Tim!BJ62=FIT!$E$1,Tim!BJ62,"")</f>
        <v/>
      </c>
      <c r="BJ60" s="185" t="str">
        <f>IF(Tim!BK62=FIT!$E$1,Tim!BK62,"")</f>
        <v/>
      </c>
      <c r="BK60" s="185" t="str">
        <f>IF(Tim!BL62=FIT!$E$1,Tim!BL62,"")</f>
        <v/>
      </c>
      <c r="BL60" s="185" t="str">
        <f>IF(Tim!BM62=FIT!$E$1,Tim!BM62,"")</f>
        <v/>
      </c>
      <c r="BM60" s="185" t="str">
        <f>IF(Tim!BN62=FIT!$E$1,Tim!BN62,"")</f>
        <v/>
      </c>
      <c r="BN60" s="185" t="str">
        <f>IF(Tim!BO62=FIT!$E$1,Tim!BO62,"")</f>
        <v/>
      </c>
      <c r="BO60" s="185" t="str">
        <f>IF(Tim!BP62=FIT!$E$1,Tim!BP62,"")</f>
        <v/>
      </c>
      <c r="BP60" s="185" t="str">
        <f>IF(Tim!BQ62=FIT!$E$1,Tim!BQ62,"")</f>
        <v/>
      </c>
      <c r="BQ60" s="185" t="str">
        <f>IF(Tim!BR62=FIT!$E$1,Tim!BR62,"")</f>
        <v/>
      </c>
      <c r="BR60" s="185" t="str">
        <f>IF(Tim!BS62=FIT!$E$1,Tim!BS62,"")</f>
        <v/>
      </c>
      <c r="BS60" s="185" t="str">
        <f>IF(Tim!BT62=FIT!$E$1,Tim!BT62,"")</f>
        <v/>
      </c>
      <c r="BT60" s="185" t="str">
        <f>IF(Tim!BU62=FIT!$E$1,Tim!BU62,"")</f>
        <v/>
      </c>
      <c r="BU60" s="185" t="str">
        <f>IF(Tim!BV62=FIT!$E$1,Tim!BV62,"")</f>
        <v/>
      </c>
      <c r="BV60" s="185" t="str">
        <f>IF(Tim!BW62=FIT!$E$1,Tim!BW62,"")</f>
        <v/>
      </c>
      <c r="BW60" s="185" t="str">
        <f>IF(Tim!BX62=FIT!$E$1,Tim!BX62,"")</f>
        <v/>
      </c>
      <c r="BX60" s="185" t="str">
        <f>IF(Tim!BY62=FIT!$E$1,Tim!BY62,"")</f>
        <v/>
      </c>
      <c r="BY60" s="185" t="str">
        <f>IF(Tim!BZ62=FIT!$E$1,Tim!BZ62,"")</f>
        <v/>
      </c>
      <c r="BZ60" s="185" t="str">
        <f>IF(Tim!CA62=FIT!$E$1,Tim!CA62,"")</f>
        <v/>
      </c>
      <c r="CA60" s="185" t="str">
        <f>IF(Tim!CB62=FIT!$E$1,Tim!CB62,"")</f>
        <v/>
      </c>
      <c r="CB60" s="185" t="str">
        <f>IF(Tim!CC62=FIT!$E$1,Tim!CC62,"")</f>
        <v/>
      </c>
      <c r="CC60" s="185" t="str">
        <f>IF(Tim!CD62=FIT!$E$1,Tim!CD62,"")</f>
        <v/>
      </c>
      <c r="CD60" s="185" t="str">
        <f>IF(Tim!CE62=FIT!$E$1,Tim!CE62,"")</f>
        <v/>
      </c>
      <c r="CE60" s="185" t="str">
        <f>IF(Tim!CF62=FIT!$E$1,Tim!CF62,"")</f>
        <v/>
      </c>
      <c r="CF60" s="185" t="str">
        <f>IF(Tim!CG62=FIT!$E$1,Tim!CG62,"")</f>
        <v/>
      </c>
      <c r="CG60" s="185" t="str">
        <f>IF(Tim!CH62=FIT!$E$1,Tim!CH62,"")</f>
        <v/>
      </c>
      <c r="CH60" s="185" t="str">
        <f>IF(Tim!CI62=FIT!$E$1,Tim!CI62,"")</f>
        <v/>
      </c>
      <c r="CI60" s="185" t="str">
        <f>IF(Tim!CJ62=FIT!$E$1,Tim!CJ62,"")</f>
        <v/>
      </c>
      <c r="CJ60" s="185" t="str">
        <f>IF(Tim!CK62=FIT!$E$1,Tim!CK62,"")</f>
        <v/>
      </c>
      <c r="CK60" s="185" t="str">
        <f>IF(Tim!CL62=FIT!$E$1,Tim!CL62,"")</f>
        <v/>
      </c>
      <c r="CL60" s="185" t="str">
        <f>IF(Tim!CM62=FIT!$E$1,Tim!CM62,"")</f>
        <v/>
      </c>
      <c r="CM60" s="185" t="str">
        <f>IF(Tim!CN62=FIT!$E$1,Tim!CN62,"")</f>
        <v/>
      </c>
      <c r="CN60" s="185" t="str">
        <f>IF(Tim!CO62=FIT!$E$1,Tim!CO62,"")</f>
        <v/>
      </c>
      <c r="CO60" s="185" t="str">
        <f>IF(Tim!CP62=FIT!$E$1,Tim!CP62,"")</f>
        <v/>
      </c>
      <c r="CP60" s="185" t="str">
        <f>IF(Tim!CQ62=FIT!$E$1,Tim!CQ62,"")</f>
        <v/>
      </c>
      <c r="CQ60" s="185" t="str">
        <f>IF(Tim!CR62=FIT!$E$1,Tim!CR62,"")</f>
        <v/>
      </c>
      <c r="CR60" s="185" t="str">
        <f>IF(Tim!CS62=FIT!$E$1,Tim!CS62,"")</f>
        <v/>
      </c>
      <c r="CS60" s="185" t="str">
        <f>IF(Tim!CT62=FIT!$E$1,Tim!CT62,"")</f>
        <v/>
      </c>
      <c r="CT60" s="185" t="str">
        <f>IF(Tim!CU62=FIT!$E$1,Tim!CU62,"")</f>
        <v/>
      </c>
      <c r="CU60" s="185" t="str">
        <f>IF(Tim!CV62=FIT!$E$1,Tim!CV62,"")</f>
        <v/>
      </c>
      <c r="CV60" s="185" t="str">
        <f>IF(Tim!CW62=FIT!$E$1,Tim!CW62,"")</f>
        <v/>
      </c>
      <c r="CW60" s="185" t="str">
        <f>IF(Tim!CX62=FIT!$E$1,Tim!CX62,"")</f>
        <v/>
      </c>
      <c r="CX60" s="185" t="str">
        <f>IF(Tim!CY62=FIT!$E$1,Tim!CY62,"")</f>
        <v/>
      </c>
      <c r="CY60" s="185" t="str">
        <f>IF(Tim!CZ62=FIT!$E$1,Tim!CZ62,"")</f>
        <v/>
      </c>
      <c r="CZ60" s="185" t="str">
        <f>IF(Tim!DA62=FIT!$E$1,Tim!DA62,"")</f>
        <v/>
      </c>
      <c r="DA60" s="185" t="str">
        <f>IF(Tim!DB62=FIT!$E$1,Tim!DB62,"")</f>
        <v/>
      </c>
      <c r="DB60" s="185" t="str">
        <f>IF(Tim!DC62=FIT!$E$1,Tim!DC62,"")</f>
        <v/>
      </c>
      <c r="DC60" s="185" t="str">
        <f>IF(Tim!DD62=FIT!$E$1,Tim!DD62,"")</f>
        <v/>
      </c>
      <c r="DD60" s="185" t="str">
        <f>IF(Tim!DE62=FIT!$E$1,Tim!DE62,"")</f>
        <v/>
      </c>
      <c r="DE60" s="185" t="str">
        <f>IF(Tim!DF62=FIT!$E$1,Tim!DF62,"")</f>
        <v/>
      </c>
      <c r="DF60" s="185" t="str">
        <f>IF(Tim!DG62=FIT!$E$1,Tim!DG62,"")</f>
        <v/>
      </c>
      <c r="DG60" s="185" t="str">
        <f>IF(Tim!DH62=FIT!$E$1,Tim!DH62,"")</f>
        <v/>
      </c>
      <c r="DH60" s="185" t="str">
        <f>IF(Tim!DI62=FIT!$E$1,Tim!DI62,"")</f>
        <v/>
      </c>
      <c r="DI60" s="185" t="str">
        <f>IF(Tim!DM62=FIT!$E$1,Tim!DM62,"")</f>
        <v/>
      </c>
      <c r="DJ60" s="185" t="str">
        <f>IF(Tim!DN62=FIT!$E$1,Tim!DN62,"")</f>
        <v/>
      </c>
      <c r="DK60" s="185" t="str">
        <f>IF(Tim!DO62=FIT!$E$1,Tim!DO62,"")</f>
        <v/>
      </c>
      <c r="DL60" s="185" t="str">
        <f>IF(Tim!DP62=FIT!$E$1,Tim!DP62,"")</f>
        <v/>
      </c>
      <c r="DM60" s="185" t="str">
        <f>IF(Tim!DQ62=FIT!$E$1,Tim!DQ62,"")</f>
        <v/>
      </c>
      <c r="DN60" s="185" t="str">
        <f>IF(Tim!DR62=FIT!$E$1,Tim!DR62,"")</f>
        <v/>
      </c>
      <c r="DO60" s="185" t="str">
        <f>IF(Tim!DS62=FIT!$E$1,Tim!DS62,"")</f>
        <v/>
      </c>
      <c r="DP60" s="185" t="str">
        <f>IF(Tim!DT62=FIT!$E$1,Tim!DT62,"")</f>
        <v/>
      </c>
      <c r="DQ60" s="185" t="str">
        <f>IF(Tim!DU62=FIT!$E$1,Tim!DU62,"")</f>
        <v/>
      </c>
      <c r="DR60" s="185" t="str">
        <f>IF(Tim!DV62=FIT!$E$1,Tim!DV62,"")</f>
        <v/>
      </c>
      <c r="DS60" s="185" t="str">
        <f>IF(Tim!DW62=FIT!$E$1,Tim!DW62,"")</f>
        <v/>
      </c>
      <c r="DT60" s="185" t="str">
        <f>IF(Tim!DX62=FIT!$E$1,Tim!DX62,"")</f>
        <v/>
      </c>
      <c r="DU60" s="185" t="str">
        <f>IF(Tim!DY62=FIT!$E$1,Tim!DY62,"")</f>
        <v/>
      </c>
      <c r="DV60" s="185" t="str">
        <f>IF(Tim!DZ62=FIT!$E$1,Tim!DZ62,"")</f>
        <v/>
      </c>
      <c r="DW60" s="185" t="str">
        <f>IF(Tim!EA62=FIT!$E$1,Tim!EA62,"")</f>
        <v/>
      </c>
      <c r="DX60" s="185" t="str">
        <f>IF(Tim!EB62=FIT!$E$1,Tim!EB62,"")</f>
        <v/>
      </c>
      <c r="DY60" s="185" t="str">
        <f>IF(Tim!EC62=FIT!$E$1,Tim!EC62,"")</f>
        <v/>
      </c>
      <c r="DZ60" s="185" t="str">
        <f>IF(Tim!ED62=FIT!$E$1,Tim!ED62,"")</f>
        <v/>
      </c>
      <c r="EA60" s="185" t="str">
        <f>IF(Tim!EE62=FIT!$E$1,Tim!EE62,"")</f>
        <v/>
      </c>
      <c r="EB60" s="185" t="str">
        <f>IF(Tim!EF62=FIT!$E$1,Tim!EF62,"")</f>
        <v/>
      </c>
      <c r="EC60" s="185" t="str">
        <f>IF(Tim!EG62=FIT!$E$1,Tim!EG62,"")</f>
        <v/>
      </c>
      <c r="ED60" s="185" t="str">
        <f>IF(Tim!EH62=FIT!$E$1,Tim!EH62,"")</f>
        <v/>
      </c>
      <c r="EE60" s="185" t="str">
        <f>IF(Tim!EI62=FIT!$E$1,Tim!EI62,"")</f>
        <v/>
      </c>
      <c r="EF60" s="185" t="str">
        <f>IF(Tim!EJ62=FIT!$E$1,Tim!EJ62,"")</f>
        <v/>
      </c>
      <c r="EG60" s="185" t="str">
        <f>IF(Tim!EK62=FIT!$E$1,Tim!EK62,"")</f>
        <v/>
      </c>
      <c r="EH60" s="185" t="str">
        <f>IF(Tim!EL62=FIT!$E$1,Tim!EL62,"")</f>
        <v/>
      </c>
      <c r="EI60" s="185" t="str">
        <f>IF(Tim!EM62=FIT!$E$1,Tim!EM62,"")</f>
        <v/>
      </c>
      <c r="EJ60" s="185" t="str">
        <f>IF(Tim!EN62=FIT!$E$1,Tim!EN62,"")</f>
        <v/>
      </c>
      <c r="EK60" s="185" t="str">
        <f>IF(Tim!EO62=FIT!$E$1,Tim!EO62,"")</f>
        <v/>
      </c>
      <c r="EL60" s="185" t="str">
        <f>IF(Tim!EP62=FIT!$E$1,Tim!EP62,"")</f>
        <v/>
      </c>
      <c r="EM60" s="185" t="str">
        <f>IF(Tim!EQ62=FIT!$E$1,Tim!EQ62,"")</f>
        <v/>
      </c>
      <c r="EN60" s="185" t="str">
        <f>IF(Tim!ER62=FIT!$E$1,Tim!ER62,"")</f>
        <v/>
      </c>
      <c r="EO60" s="185" t="str">
        <f>IF(Tim!ES62=FIT!$E$1,Tim!ES62,"")</f>
        <v/>
      </c>
      <c r="EP60" s="185" t="str">
        <f>IF(Tim!ET62=FIT!$E$1,Tim!ET62,"")</f>
        <v/>
      </c>
      <c r="EQ60" s="185" t="str">
        <f>IF(Tim!EU62=FIT!$E$1,Tim!EU62,"")</f>
        <v/>
      </c>
      <c r="ER60" s="185" t="str">
        <f>IF(Tim!EV62=FIT!$E$1,Tim!EV62,"")</f>
        <v/>
      </c>
      <c r="ES60" s="185" t="str">
        <f>IF(Tim!EW62=FIT!$E$1,Tim!EW62,"")</f>
        <v/>
      </c>
      <c r="ET60" s="185" t="str">
        <f>IF(Tim!EX62=FIT!$E$1,Tim!EX62,"")</f>
        <v/>
      </c>
      <c r="EU60" s="185" t="str">
        <f>IF(Tim!EY62=FIT!$E$1,Tim!EY62,"")</f>
        <v/>
      </c>
      <c r="EV60" s="185" t="str">
        <f>IF(Tim!EZ62=FIT!$E$1,Tim!EZ62,"")</f>
        <v/>
      </c>
      <c r="EW60" s="185" t="str">
        <f>IF(Tim!FA62=FIT!$E$1,Tim!FA62,"")</f>
        <v/>
      </c>
      <c r="EX60" s="185" t="str">
        <f>IF(Tim!FB62=FIT!$E$1,Tim!FB62,"")</f>
        <v/>
      </c>
      <c r="EY60" s="185" t="str">
        <f>IF(Tim!FC62=FIT!$E$1,Tim!FC62,"")</f>
        <v/>
      </c>
      <c r="EZ60" s="185" t="str">
        <f>IF(Tim!FD62=FIT!$E$1,Tim!FD62,"")</f>
        <v/>
      </c>
      <c r="FA60" s="185" t="str">
        <f>IF(Tim!FE62=FIT!$E$1,Tim!FE62,"")</f>
        <v/>
      </c>
      <c r="FB60" s="185" t="str">
        <f>IF(Tim!FF62=FIT!$E$1,Tim!FF62,"")</f>
        <v/>
      </c>
      <c r="FC60" s="185" t="str">
        <f>IF(Tim!FG62=FIT!$E$1,Tim!FG62,"")</f>
        <v/>
      </c>
      <c r="FD60" s="185" t="str">
        <f>IF(Tim!FH62=FIT!$E$1,Tim!FH62,"")</f>
        <v/>
      </c>
      <c r="FE60" s="185" t="str">
        <f>IF(Tim!FI62=FIT!$E$1,Tim!FI62,"")</f>
        <v/>
      </c>
      <c r="FF60" s="185" t="str">
        <f>IF(Tim!FJ62=FIT!$E$1,Tim!FJ62,"")</f>
        <v/>
      </c>
      <c r="FG60" s="185" t="str">
        <f>IF(Tim!FK62=FIT!$E$1,Tim!FK62,"")</f>
        <v/>
      </c>
      <c r="FH60" s="185" t="str">
        <f>IF(Tim!FL62=FIT!$E$1,Tim!FL62,"")</f>
        <v/>
      </c>
      <c r="FI60" s="185" t="str">
        <f>IF(Tim!FM62=FIT!$E$1,Tim!FM62,"")</f>
        <v/>
      </c>
      <c r="FJ60" s="185" t="str">
        <f>IF(Tim!FN62=FIT!$E$1,Tim!FN62,"")</f>
        <v/>
      </c>
      <c r="FK60" s="185" t="str">
        <f>IF(Tim!FO62=FIT!$E$1,Tim!FO62,"")</f>
        <v/>
      </c>
      <c r="FL60" s="185" t="str">
        <f>IF(Tim!FP62=FIT!$E$1,Tim!FP62,"")</f>
        <v/>
      </c>
      <c r="FM60" s="185" t="str">
        <f>IF(Tim!FQ62=FIT!$E$1,Tim!FQ62,"")</f>
        <v/>
      </c>
      <c r="FN60" s="185" t="str">
        <f>IF(Tim!FR62=FIT!$E$1,Tim!FR62,"")</f>
        <v/>
      </c>
      <c r="FO60" s="185" t="str">
        <f>IF(Tim!FS62=FIT!$E$1,Tim!FS62,"")</f>
        <v/>
      </c>
      <c r="FP60" s="185" t="str">
        <f>IF(Tim!FT62=FIT!$E$1,Tim!FT62,"")</f>
        <v/>
      </c>
      <c r="FQ60" s="185" t="str">
        <f>IF(Tim!FU62=FIT!$E$1,Tim!FU62,"")</f>
        <v/>
      </c>
      <c r="FR60" s="185" t="str">
        <f>IF(Tim!FV62=FIT!$E$1,Tim!FV62,"")</f>
        <v/>
      </c>
      <c r="FS60" s="185" t="str">
        <f>IF(Tim!FW62=FIT!$E$1,Tim!FW62,"")</f>
        <v/>
      </c>
      <c r="FT60" s="185" t="str">
        <f>IF(Tim!FX62=FIT!$E$1,Tim!FX62,"")</f>
        <v/>
      </c>
      <c r="FU60" s="185" t="str">
        <f>IF(Tim!FY62=FIT!$E$1,Tim!FY62,"")</f>
        <v/>
      </c>
      <c r="FV60" s="185" t="str">
        <f>IF(Tim!FZ62=FIT!$E$1,Tim!FZ62,"")</f>
        <v/>
      </c>
      <c r="FW60" s="185" t="str">
        <f>IF(Tim!GA62=FIT!$E$1,Tim!GA62,"")</f>
        <v/>
      </c>
      <c r="FX60" s="185" t="str">
        <f>IF(Tim!GB62=FIT!$E$1,Tim!GB62,"")</f>
        <v/>
      </c>
      <c r="FY60" s="185" t="str">
        <f>IF(Tim!GC62=FIT!$E$1,Tim!GC62,"")</f>
        <v/>
      </c>
      <c r="FZ60" s="185" t="str">
        <f>IF(Tim!GD62=FIT!$E$1,Tim!GD62,"")</f>
        <v/>
      </c>
      <c r="GA60" s="185" t="str">
        <f>IF(Tim!GE62=FIT!$E$1,Tim!GE62,"")</f>
        <v/>
      </c>
      <c r="GB60" s="185" t="str">
        <f>IF(Tim!GF62=FIT!$E$1,Tim!GF62,"")</f>
        <v/>
      </c>
      <c r="GC60" s="185" t="str">
        <f>IF(Tim!GG62=FIT!$E$1,Tim!GG62,"")</f>
        <v/>
      </c>
      <c r="GD60" s="185" t="str">
        <f>IF(Tim!GH62=FIT!$E$1,Tim!GH62,"")</f>
        <v/>
      </c>
      <c r="GE60" s="185" t="str">
        <f>IF(Tim!GI62=FIT!$E$1,Tim!GI62,"")</f>
        <v/>
      </c>
      <c r="GF60" s="185" t="str">
        <f>IF(Tim!GJ62=FIT!$E$1,Tim!GJ62,"")</f>
        <v/>
      </c>
      <c r="GG60" s="185" t="str">
        <f>IF(Tim!GK62=FIT!$E$1,Tim!GK62,"")</f>
        <v/>
      </c>
      <c r="GH60" s="185" t="str">
        <f>IF(Tim!GL62=FIT!$E$1,Tim!GL62,"")</f>
        <v/>
      </c>
      <c r="GI60" s="185" t="str">
        <f>IF(Tim!GM62=FIT!$E$1,Tim!GM62,"")</f>
        <v/>
      </c>
      <c r="GJ60" s="185" t="str">
        <f>IF(Tim!GN62=FIT!$E$1,Tim!GN62,"")</f>
        <v/>
      </c>
      <c r="GK60" s="185" t="str">
        <f>IF(Tim!GO62=FIT!$E$1,Tim!GO62,"")</f>
        <v/>
      </c>
      <c r="GL60" s="185" t="str">
        <f>IF(Tim!GP62=FIT!$E$1,Tim!GP62,"")</f>
        <v/>
      </c>
      <c r="GM60" s="185" t="str">
        <f>IF(Tim!GQ62=FIT!$E$1,Tim!GQ62,"")</f>
        <v/>
      </c>
      <c r="GN60" s="185" t="str">
        <f>IF(Tim!GR62=FIT!$E$1,Tim!GR62,"")</f>
        <v/>
      </c>
      <c r="GO60" s="185" t="str">
        <f>IF(Tim!GS62=FIT!$E$1,Tim!GS62,"")</f>
        <v/>
      </c>
      <c r="GP60" s="185" t="str">
        <f>IF(Tim!GT62=FIT!$E$1,Tim!GT62,"")</f>
        <v/>
      </c>
      <c r="GQ60" s="185" t="str">
        <f>IF(Tim!GU62=FIT!$E$1,Tim!GU62,"")</f>
        <v/>
      </c>
      <c r="GR60" s="185" t="str">
        <f>IF(Tim!GV62=FIT!$E$1,Tim!GV62,"")</f>
        <v/>
      </c>
      <c r="GS60" s="185" t="str">
        <f>IF(Tim!GW62=FIT!$E$1,Tim!GW62,"")</f>
        <v/>
      </c>
      <c r="GT60" s="185" t="str">
        <f>IF(Tim!GX62=FIT!$E$1,Tim!GX62,"")</f>
        <v/>
      </c>
      <c r="GU60" s="185" t="str">
        <f>IF(Tim!GY62=FIT!$E$1,Tim!GY62,"")</f>
        <v/>
      </c>
      <c r="GV60" s="185" t="str">
        <f>IF(Tim!GZ62=FIT!$E$1,Tim!GZ62,"")</f>
        <v/>
      </c>
      <c r="GW60" s="185" t="str">
        <f>IF(Tim!HA62=FIT!$E$1,Tim!HA62,"")</f>
        <v/>
      </c>
      <c r="GX60" s="185" t="str">
        <f>IF(Tim!HB62=FIT!$E$1,Tim!HB62,"")</f>
        <v/>
      </c>
      <c r="GY60" s="185" t="str">
        <f>IF(Tim!HC62=FIT!$E$1,Tim!HC62,"")</f>
        <v/>
      </c>
      <c r="GZ60" s="185" t="str">
        <f>IF(Tim!HD62=FIT!$E$1,Tim!HD62,"")</f>
        <v/>
      </c>
      <c r="HA60" s="185" t="str">
        <f>IF(Tim!HE62=FIT!$E$1,Tim!HE62,"")</f>
        <v/>
      </c>
      <c r="HB60" s="185" t="str">
        <f>IF(Tim!HF62=FIT!$E$1,Tim!HF62,"")</f>
        <v/>
      </c>
      <c r="HC60" s="185" t="str">
        <f>IF(Tim!HG62=FIT!$E$1,Tim!HG62,"")</f>
        <v/>
      </c>
      <c r="HD60" s="185" t="str">
        <f>IF(Tim!HH62=FIT!$E$1,Tim!HH62,"")</f>
        <v/>
      </c>
      <c r="HE60" s="185" t="str">
        <f>IF(Tim!HI62=FIT!$E$1,Tim!HI62,"")</f>
        <v/>
      </c>
      <c r="HF60" s="185" t="str">
        <f>IF(Tim!HJ62=FIT!$E$1,Tim!HJ62,"")</f>
        <v/>
      </c>
      <c r="HG60" s="185" t="str">
        <f>IF(Tim!HK62=FIT!$E$1,Tim!HK62,"")</f>
        <v/>
      </c>
      <c r="HH60" s="185" t="str">
        <f>IF(Tim!HL62=FIT!$E$1,Tim!HL62,"")</f>
        <v/>
      </c>
      <c r="HI60" s="185" t="str">
        <f>IF(Tim!HM62=FIT!$E$1,Tim!HM62,"")</f>
        <v/>
      </c>
      <c r="HJ60" s="185" t="str">
        <f>IF(Tim!HN62=FIT!$E$1,Tim!HN62,"")</f>
        <v/>
      </c>
      <c r="HK60" s="185" t="str">
        <f>IF(Tim!HO62=FIT!$E$1,Tim!HO62,"")</f>
        <v/>
      </c>
      <c r="HL60" s="185" t="str">
        <f>IF(Tim!HP62=FIT!$E$1,Tim!HP62,"")</f>
        <v/>
      </c>
      <c r="HM60" s="185" t="str">
        <f>IF(Tim!HQ62=FIT!$E$1,Tim!HQ62,"")</f>
        <v/>
      </c>
      <c r="HN60" s="185" t="str">
        <f>IF(Tim!HR62=FIT!$E$1,Tim!HR62,"")</f>
        <v/>
      </c>
      <c r="HO60" s="185" t="str">
        <f>IF(Tim!HS62=FIT!$E$1,Tim!HS62,"")</f>
        <v/>
      </c>
      <c r="HP60" s="185" t="str">
        <f>IF(Tim!HT62=FIT!$E$1,Tim!HT62,"")</f>
        <v/>
      </c>
      <c r="HQ60" s="185" t="str">
        <f>IF(Tim!HU62=FIT!$E$1,Tim!HU62,"")</f>
        <v/>
      </c>
      <c r="HR60" s="469"/>
      <c r="HS60" s="366"/>
      <c r="HT60" s="366"/>
      <c r="HU60" s="366"/>
      <c r="HV60" s="366"/>
      <c r="HW60" s="366"/>
      <c r="HX60" s="366"/>
      <c r="HY60" s="366"/>
      <c r="HZ60" s="366"/>
      <c r="IA60" s="366"/>
      <c r="IB60" s="366"/>
      <c r="IC60" s="366"/>
      <c r="ID60" s="366"/>
      <c r="IE60" s="366"/>
      <c r="IF60" s="366"/>
      <c r="IG60" s="366"/>
      <c r="IH60" s="366"/>
      <c r="II60" s="366"/>
      <c r="IJ60" s="366"/>
      <c r="IK60" s="366"/>
      <c r="IL60" s="366"/>
      <c r="IM60" s="366"/>
      <c r="IN60" s="366"/>
      <c r="IO60" s="366"/>
      <c r="IP60" s="366"/>
      <c r="IQ60" s="366"/>
      <c r="IR60" s="366"/>
      <c r="IS60" s="366"/>
      <c r="IT60" s="366"/>
      <c r="IU60" s="366"/>
      <c r="IV60" s="366"/>
      <c r="IW60" s="366"/>
      <c r="IX60" s="366"/>
      <c r="IY60" s="366"/>
      <c r="IZ60" s="366"/>
      <c r="JA60" s="366"/>
      <c r="JB60" s="366"/>
      <c r="JC60" s="366"/>
      <c r="JD60" s="366"/>
      <c r="JE60" s="366"/>
      <c r="JF60" s="366"/>
      <c r="JG60" s="366"/>
      <c r="JH60" s="366"/>
      <c r="JI60" s="428"/>
      <c r="JJ60" s="469"/>
      <c r="JK60" s="366"/>
      <c r="JL60" s="366"/>
      <c r="JM60" s="366"/>
      <c r="JN60" s="366"/>
      <c r="JO60" s="366"/>
      <c r="JP60" s="366"/>
      <c r="JQ60" s="366"/>
      <c r="JR60" s="366"/>
      <c r="JS60" s="366"/>
      <c r="JT60" s="366"/>
      <c r="JU60" s="366"/>
      <c r="JV60" s="366"/>
      <c r="JW60" s="366"/>
      <c r="JX60" s="366"/>
      <c r="JY60" s="366"/>
      <c r="JZ60" s="366"/>
      <c r="KA60" s="366"/>
      <c r="KB60" s="366"/>
      <c r="KC60" s="366"/>
      <c r="KD60" s="366"/>
      <c r="KE60" s="366"/>
      <c r="KF60" s="366"/>
      <c r="KG60" s="366"/>
      <c r="KH60" s="366"/>
      <c r="KI60" s="366"/>
      <c r="KJ60" s="366"/>
      <c r="KK60" s="366"/>
      <c r="KL60" s="366"/>
      <c r="KM60" s="366"/>
      <c r="KN60" s="366"/>
      <c r="KO60" s="366"/>
      <c r="KP60" s="366"/>
      <c r="KQ60" s="366"/>
      <c r="KR60" s="366"/>
      <c r="KS60" s="366"/>
      <c r="KT60" s="366"/>
      <c r="KU60" s="366"/>
      <c r="KV60" s="366"/>
      <c r="KW60" s="366"/>
      <c r="KX60" s="366"/>
      <c r="KY60" s="366"/>
      <c r="KZ60" s="366"/>
      <c r="LA60" s="428"/>
      <c r="LB60" s="52">
        <v>0.86458333333333204</v>
      </c>
    </row>
    <row r="61" spans="2:314" ht="10.5" customHeight="1">
      <c r="B61" s="49">
        <v>0.25</v>
      </c>
      <c r="C61" s="49">
        <v>0.25</v>
      </c>
      <c r="D61" s="49">
        <v>0.25</v>
      </c>
      <c r="E61" s="172">
        <v>0.874999999999998</v>
      </c>
      <c r="F61" s="238" t="str">
        <f>IF(Tim!F63=FIT!$E$1,Tim!F63,"")</f>
        <v/>
      </c>
      <c r="G61" s="185" t="str">
        <f>IF(Tim!G63=FIT!$E$1,Tim!G63,"")</f>
        <v/>
      </c>
      <c r="H61" s="185" t="str">
        <f>IF(Tim!H63=FIT!$E$1,Tim!H63,"")</f>
        <v/>
      </c>
      <c r="I61" s="185" t="str">
        <f>IF(Tim!I63=FIT!$E$1,Tim!I63,"")</f>
        <v/>
      </c>
      <c r="J61" s="185" t="str">
        <f>IF(Tim!J63=FIT!$E$1,Tim!J63,"")</f>
        <v/>
      </c>
      <c r="K61" s="185" t="str">
        <f>IF(Tim!K63=FIT!$E$1,Tim!K63,"")</f>
        <v/>
      </c>
      <c r="L61" s="185" t="str">
        <f>IF(Tim!L63=FIT!$E$1,Tim!L63,"")</f>
        <v/>
      </c>
      <c r="M61" s="185" t="str">
        <f>IF(Tim!M63=FIT!$E$1,Tim!M63,"")</f>
        <v/>
      </c>
      <c r="N61" s="185" t="str">
        <f>IF(Tim!N63=FIT!$E$1,Tim!N63,"")</f>
        <v/>
      </c>
      <c r="O61" s="185" t="str">
        <f>IF(Tim!O63=FIT!$E$1,Tim!O63,"")</f>
        <v/>
      </c>
      <c r="P61" s="185" t="str">
        <f>IF(Tim!P63=FIT!$E$1,Tim!P63,"")</f>
        <v/>
      </c>
      <c r="Q61" s="185" t="str">
        <f>IF(Tim!Q63=FIT!$E$1,Tim!Q63,"")</f>
        <v/>
      </c>
      <c r="R61" s="185" t="str">
        <f>IF(Tim!R63=FIT!$E$1,Tim!R63,"")</f>
        <v/>
      </c>
      <c r="S61" s="185" t="str">
        <f>IF(Tim!S63=FIT!$E$1,Tim!S63,"")</f>
        <v/>
      </c>
      <c r="T61" s="185" t="str">
        <f>IF(Tim!T63=FIT!$E$1,Tim!T63,"")</f>
        <v/>
      </c>
      <c r="U61" s="185" t="str">
        <f>IF(Tim!U63=FIT!$E$1,Tim!U63,"")</f>
        <v/>
      </c>
      <c r="V61" s="185" t="str">
        <f>IF(Tim!W63=FIT!$E$1,Tim!W63,"")</f>
        <v/>
      </c>
      <c r="W61" s="185" t="str">
        <f>IF(Tim!X63=FIT!$E$1,Tim!X63,"")</f>
        <v/>
      </c>
      <c r="X61" s="185" t="str">
        <f>IF(Tim!Y63=FIT!$E$1,Tim!Y63,"")</f>
        <v/>
      </c>
      <c r="Y61" s="185" t="str">
        <f>IF(Tim!Z63=FIT!$E$1,Tim!Z63,"")</f>
        <v/>
      </c>
      <c r="Z61" s="185" t="str">
        <f>IF(Tim!AA63=FIT!$E$1,Tim!AA63,"")</f>
        <v/>
      </c>
      <c r="AA61" s="185" t="str">
        <f>IF(Tim!AB63=FIT!$E$1,Tim!AB63,"")</f>
        <v/>
      </c>
      <c r="AB61" s="185" t="str">
        <f>IF(Tim!AC63=FIT!$E$1,Tim!AC63,"")</f>
        <v/>
      </c>
      <c r="AC61" s="185" t="str">
        <f>IF(Tim!AD63=FIT!$E$1,Tim!AD63,"")</f>
        <v/>
      </c>
      <c r="AD61" s="185" t="str">
        <f>IF(Tim!AE63=FIT!$E$1,Tim!AE63,"")</f>
        <v/>
      </c>
      <c r="AE61" s="185" t="str">
        <f>IF(Tim!AF63=FIT!$E$1,Tim!AF63,"")</f>
        <v/>
      </c>
      <c r="AF61" s="185" t="str">
        <f>IF(Tim!AG63=FIT!$E$1,Tim!AG63,"")</f>
        <v/>
      </c>
      <c r="AG61" s="185" t="str">
        <f>IF(Tim!AH63=FIT!$E$1,Tim!AH63,"")</f>
        <v/>
      </c>
      <c r="AH61" s="185" t="str">
        <f>IF(Tim!AI63=FIT!$E$1,Tim!AI63,"")</f>
        <v/>
      </c>
      <c r="AI61" s="185" t="str">
        <f>IF(Tim!AJ63=FIT!$E$1,Tim!AJ63,"")</f>
        <v/>
      </c>
      <c r="AJ61" s="185" t="str">
        <f>IF(Tim!AK63=FIT!$E$1,Tim!AK63,"")</f>
        <v/>
      </c>
      <c r="AK61" s="185" t="str">
        <f>IF(Tim!AL63=FIT!$E$1,Tim!AL63,"")</f>
        <v/>
      </c>
      <c r="AL61" s="185" t="str">
        <f>IF(Tim!AM63=FIT!$E$1,Tim!AM63,"")</f>
        <v/>
      </c>
      <c r="AM61" s="185" t="str">
        <f>IF(Tim!AN63=FIT!$E$1,Tim!AN63,"")</f>
        <v/>
      </c>
      <c r="AN61" s="185" t="str">
        <f>IF(Tim!AO63=FIT!$E$1,Tim!AO63,"")</f>
        <v/>
      </c>
      <c r="AO61" s="185" t="str">
        <f>IF(Tim!AP63=FIT!$E$1,Tim!AP63,"")</f>
        <v/>
      </c>
      <c r="AP61" s="185" t="str">
        <f>IF(Tim!AQ63=FIT!$E$1,Tim!AQ63,"")</f>
        <v/>
      </c>
      <c r="AQ61" s="185" t="str">
        <f>IF(Tim!AR63=FIT!$E$1,Tim!AR63,"")</f>
        <v/>
      </c>
      <c r="AR61" s="185" t="str">
        <f>IF(Tim!AS63=FIT!$E$1,Tim!AS63,"")</f>
        <v/>
      </c>
      <c r="AS61" s="185" t="str">
        <f>IF(Tim!AT63=FIT!$E$1,Tim!AT63,"")</f>
        <v/>
      </c>
      <c r="AT61" s="185" t="str">
        <f>IF(Tim!AU63=FIT!$E$1,Tim!AU63,"")</f>
        <v/>
      </c>
      <c r="AU61" s="185" t="str">
        <f>IF(Tim!AV63=FIT!$E$1,Tim!AV63,"")</f>
        <v/>
      </c>
      <c r="AV61" s="185" t="str">
        <f>IF(Tim!AW63=FIT!$E$1,Tim!AW63,"")</f>
        <v/>
      </c>
      <c r="AW61" s="186" t="str">
        <f>IF(Tim!AX63=FIT!$E$1,Tim!AX63,"")</f>
        <v/>
      </c>
      <c r="AX61" s="243" t="str">
        <f>IF(Tim!AY63=FIT!$E$1,Tim!AY63,"")</f>
        <v/>
      </c>
      <c r="AY61" s="185" t="str">
        <f>IF(Tim!AZ63=FIT!$E$1,Tim!AZ63,"")</f>
        <v/>
      </c>
      <c r="AZ61" s="185" t="str">
        <f>IF(Tim!BA63=FIT!$E$1,Tim!BA63,"")</f>
        <v/>
      </c>
      <c r="BA61" s="185" t="str">
        <f>IF(Tim!BB63=FIT!$E$1,Tim!BB63,"")</f>
        <v/>
      </c>
      <c r="BB61" s="185" t="str">
        <f>IF(Tim!BC63=FIT!$E$1,Tim!BC63,"")</f>
        <v/>
      </c>
      <c r="BC61" s="185" t="str">
        <f>IF(Tim!BD63=FIT!$E$1,Tim!BD63,"")</f>
        <v/>
      </c>
      <c r="BD61" s="185" t="str">
        <f>IF(Tim!BE63=FIT!$E$1,Tim!BE63,"")</f>
        <v/>
      </c>
      <c r="BE61" s="185" t="str">
        <f>IF(Tim!BF63=FIT!$E$1,Tim!BF63,"")</f>
        <v/>
      </c>
      <c r="BF61" s="185" t="str">
        <f>IF(Tim!BG63=FIT!$E$1,Tim!BG63,"")</f>
        <v/>
      </c>
      <c r="BG61" s="185" t="str">
        <f>IF(Tim!BH63=FIT!$E$1,Tim!BH63,"")</f>
        <v/>
      </c>
      <c r="BH61" s="185" t="str">
        <f>IF(Tim!BI63=FIT!$E$1,Tim!BI63,"")</f>
        <v/>
      </c>
      <c r="BI61" s="185" t="str">
        <f>IF(Tim!BJ63=FIT!$E$1,Tim!BJ63,"")</f>
        <v/>
      </c>
      <c r="BJ61" s="185" t="str">
        <f>IF(Tim!BK63=FIT!$E$1,Tim!BK63,"")</f>
        <v/>
      </c>
      <c r="BK61" s="185" t="str">
        <f>IF(Tim!BL63=FIT!$E$1,Tim!BL63,"")</f>
        <v/>
      </c>
      <c r="BL61" s="185" t="str">
        <f>IF(Tim!BM63=FIT!$E$1,Tim!BM63,"")</f>
        <v/>
      </c>
      <c r="BM61" s="185" t="str">
        <f>IF(Tim!BN63=FIT!$E$1,Tim!BN63,"")</f>
        <v/>
      </c>
      <c r="BN61" s="185" t="str">
        <f>IF(Tim!BO63=FIT!$E$1,Tim!BO63,"")</f>
        <v/>
      </c>
      <c r="BO61" s="185" t="str">
        <f>IF(Tim!BP63=FIT!$E$1,Tim!BP63,"")</f>
        <v/>
      </c>
      <c r="BP61" s="185" t="str">
        <f>IF(Tim!BQ63=FIT!$E$1,Tim!BQ63,"")</f>
        <v/>
      </c>
      <c r="BQ61" s="185" t="str">
        <f>IF(Tim!BR63=FIT!$E$1,Tim!BR63,"")</f>
        <v/>
      </c>
      <c r="BR61" s="185" t="str">
        <f>IF(Tim!BS63=FIT!$E$1,Tim!BS63,"")</f>
        <v/>
      </c>
      <c r="BS61" s="185" t="str">
        <f>IF(Tim!BT63=FIT!$E$1,Tim!BT63,"")</f>
        <v/>
      </c>
      <c r="BT61" s="185" t="str">
        <f>IF(Tim!BU63=FIT!$E$1,Tim!BU63,"")</f>
        <v/>
      </c>
      <c r="BU61" s="185" t="str">
        <f>IF(Tim!BV63=FIT!$E$1,Tim!BV63,"")</f>
        <v/>
      </c>
      <c r="BV61" s="185" t="str">
        <f>IF(Tim!BW63=FIT!$E$1,Tim!BW63,"")</f>
        <v/>
      </c>
      <c r="BW61" s="185" t="str">
        <f>IF(Tim!BX63=FIT!$E$1,Tim!BX63,"")</f>
        <v/>
      </c>
      <c r="BX61" s="185" t="str">
        <f>IF(Tim!BY63=FIT!$E$1,Tim!BY63,"")</f>
        <v/>
      </c>
      <c r="BY61" s="185" t="str">
        <f>IF(Tim!BZ63=FIT!$E$1,Tim!BZ63,"")</f>
        <v/>
      </c>
      <c r="BZ61" s="185" t="str">
        <f>IF(Tim!CA63=FIT!$E$1,Tim!CA63,"")</f>
        <v/>
      </c>
      <c r="CA61" s="185" t="str">
        <f>IF(Tim!CB63=FIT!$E$1,Tim!CB63,"")</f>
        <v/>
      </c>
      <c r="CB61" s="185" t="str">
        <f>IF(Tim!CC63=FIT!$E$1,Tim!CC63,"")</f>
        <v/>
      </c>
      <c r="CC61" s="185" t="str">
        <f>IF(Tim!CD63=FIT!$E$1,Tim!CD63,"")</f>
        <v/>
      </c>
      <c r="CD61" s="185" t="str">
        <f>IF(Tim!CE63=FIT!$E$1,Tim!CE63,"")</f>
        <v/>
      </c>
      <c r="CE61" s="185" t="str">
        <f>IF(Tim!CF63=FIT!$E$1,Tim!CF63,"")</f>
        <v/>
      </c>
      <c r="CF61" s="185" t="str">
        <f>IF(Tim!CG63=FIT!$E$1,Tim!CG63,"")</f>
        <v/>
      </c>
      <c r="CG61" s="185" t="str">
        <f>IF(Tim!CH63=FIT!$E$1,Tim!CH63,"")</f>
        <v/>
      </c>
      <c r="CH61" s="185" t="str">
        <f>IF(Tim!CI63=FIT!$E$1,Tim!CI63,"")</f>
        <v/>
      </c>
      <c r="CI61" s="185" t="str">
        <f>IF(Tim!CJ63=FIT!$E$1,Tim!CJ63,"")</f>
        <v/>
      </c>
      <c r="CJ61" s="185" t="str">
        <f>IF(Tim!CK63=FIT!$E$1,Tim!CK63,"")</f>
        <v/>
      </c>
      <c r="CK61" s="185" t="str">
        <f>IF(Tim!CL63=FIT!$E$1,Tim!CL63,"")</f>
        <v/>
      </c>
      <c r="CL61" s="185" t="str">
        <f>IF(Tim!CM63=FIT!$E$1,Tim!CM63,"")</f>
        <v/>
      </c>
      <c r="CM61" s="185" t="str">
        <f>IF(Tim!CN63=FIT!$E$1,Tim!CN63,"")</f>
        <v/>
      </c>
      <c r="CN61" s="185" t="str">
        <f>IF(Tim!CO63=FIT!$E$1,Tim!CO63,"")</f>
        <v/>
      </c>
      <c r="CO61" s="185" t="str">
        <f>IF(Tim!CP63=FIT!$E$1,Tim!CP63,"")</f>
        <v/>
      </c>
      <c r="CP61" s="185" t="str">
        <f>IF(Tim!CQ63=FIT!$E$1,Tim!CQ63,"")</f>
        <v/>
      </c>
      <c r="CQ61" s="185" t="str">
        <f>IF(Tim!CR63=FIT!$E$1,Tim!CR63,"")</f>
        <v/>
      </c>
      <c r="CR61" s="185" t="str">
        <f>IF(Tim!CS63=FIT!$E$1,Tim!CS63,"")</f>
        <v/>
      </c>
      <c r="CS61" s="185" t="str">
        <f>IF(Tim!CT63=FIT!$E$1,Tim!CT63,"")</f>
        <v/>
      </c>
      <c r="CT61" s="185" t="str">
        <f>IF(Tim!CU63=FIT!$E$1,Tim!CU63,"")</f>
        <v/>
      </c>
      <c r="CU61" s="185" t="str">
        <f>IF(Tim!CV63=FIT!$E$1,Tim!CV63,"")</f>
        <v/>
      </c>
      <c r="CV61" s="185" t="str">
        <f>IF(Tim!CW63=FIT!$E$1,Tim!CW63,"")</f>
        <v/>
      </c>
      <c r="CW61" s="185" t="str">
        <f>IF(Tim!CX63=FIT!$E$1,Tim!CX63,"")</f>
        <v/>
      </c>
      <c r="CX61" s="185" t="str">
        <f>IF(Tim!CY63=FIT!$E$1,Tim!CY63,"")</f>
        <v/>
      </c>
      <c r="CY61" s="185" t="str">
        <f>IF(Tim!CZ63=FIT!$E$1,Tim!CZ63,"")</f>
        <v/>
      </c>
      <c r="CZ61" s="185" t="str">
        <f>IF(Tim!DA63=FIT!$E$1,Tim!DA63,"")</f>
        <v/>
      </c>
      <c r="DA61" s="185" t="str">
        <f>IF(Tim!DB63=FIT!$E$1,Tim!DB63,"")</f>
        <v/>
      </c>
      <c r="DB61" s="185" t="str">
        <f>IF(Tim!DC63=FIT!$E$1,Tim!DC63,"")</f>
        <v/>
      </c>
      <c r="DC61" s="185" t="str">
        <f>IF(Tim!DD63=FIT!$E$1,Tim!DD63,"")</f>
        <v/>
      </c>
      <c r="DD61" s="185" t="str">
        <f>IF(Tim!DE63=FIT!$E$1,Tim!DE63,"")</f>
        <v/>
      </c>
      <c r="DE61" s="185" t="str">
        <f>IF(Tim!DF63=FIT!$E$1,Tim!DF63,"")</f>
        <v/>
      </c>
      <c r="DF61" s="185" t="str">
        <f>IF(Tim!DG63=FIT!$E$1,Tim!DG63,"")</f>
        <v/>
      </c>
      <c r="DG61" s="185" t="str">
        <f>IF(Tim!DH63=FIT!$E$1,Tim!DH63,"")</f>
        <v/>
      </c>
      <c r="DH61" s="185" t="str">
        <f>IF(Tim!DI63=FIT!$E$1,Tim!DI63,"")</f>
        <v/>
      </c>
      <c r="DI61" s="185" t="str">
        <f>IF(Tim!DM63=FIT!$E$1,Tim!DM63,"")</f>
        <v/>
      </c>
      <c r="DJ61" s="185" t="str">
        <f>IF(Tim!DN63=FIT!$E$1,Tim!DN63,"")</f>
        <v/>
      </c>
      <c r="DK61" s="185" t="str">
        <f>IF(Tim!DO63=FIT!$E$1,Tim!DO63,"")</f>
        <v/>
      </c>
      <c r="DL61" s="185" t="str">
        <f>IF(Tim!DP63=FIT!$E$1,Tim!DP63,"")</f>
        <v/>
      </c>
      <c r="DM61" s="185" t="str">
        <f>IF(Tim!DQ63=FIT!$E$1,Tim!DQ63,"")</f>
        <v/>
      </c>
      <c r="DN61" s="185" t="str">
        <f>IF(Tim!DR63=FIT!$E$1,Tim!DR63,"")</f>
        <v/>
      </c>
      <c r="DO61" s="185" t="str">
        <f>IF(Tim!DS63=FIT!$E$1,Tim!DS63,"")</f>
        <v/>
      </c>
      <c r="DP61" s="185" t="str">
        <f>IF(Tim!DT63=FIT!$E$1,Tim!DT63,"")</f>
        <v/>
      </c>
      <c r="DQ61" s="185" t="str">
        <f>IF(Tim!DU63=FIT!$E$1,Tim!DU63,"")</f>
        <v/>
      </c>
      <c r="DR61" s="185" t="str">
        <f>IF(Tim!DV63=FIT!$E$1,Tim!DV63,"")</f>
        <v/>
      </c>
      <c r="DS61" s="185" t="str">
        <f>IF(Tim!DW63=FIT!$E$1,Tim!DW63,"")</f>
        <v/>
      </c>
      <c r="DT61" s="185" t="str">
        <f>IF(Tim!DX63=FIT!$E$1,Tim!DX63,"")</f>
        <v/>
      </c>
      <c r="DU61" s="185" t="str">
        <f>IF(Tim!DY63=FIT!$E$1,Tim!DY63,"")</f>
        <v/>
      </c>
      <c r="DV61" s="185" t="str">
        <f>IF(Tim!DZ63=FIT!$E$1,Tim!DZ63,"")</f>
        <v/>
      </c>
      <c r="DW61" s="185" t="str">
        <f>IF(Tim!EA63=FIT!$E$1,Tim!EA63,"")</f>
        <v/>
      </c>
      <c r="DX61" s="185" t="str">
        <f>IF(Tim!EB63=FIT!$E$1,Tim!EB63,"")</f>
        <v/>
      </c>
      <c r="DY61" s="185" t="str">
        <f>IF(Tim!EC63=FIT!$E$1,Tim!EC63,"")</f>
        <v/>
      </c>
      <c r="DZ61" s="185" t="str">
        <f>IF(Tim!ED63=FIT!$E$1,Tim!ED63,"")</f>
        <v/>
      </c>
      <c r="EA61" s="185" t="str">
        <f>IF(Tim!EE63=FIT!$E$1,Tim!EE63,"")</f>
        <v/>
      </c>
      <c r="EB61" s="185" t="str">
        <f>IF(Tim!EF63=FIT!$E$1,Tim!EF63,"")</f>
        <v/>
      </c>
      <c r="EC61" s="185" t="str">
        <f>IF(Tim!EG63=FIT!$E$1,Tim!EG63,"")</f>
        <v/>
      </c>
      <c r="ED61" s="185" t="str">
        <f>IF(Tim!EH63=FIT!$E$1,Tim!EH63,"")</f>
        <v/>
      </c>
      <c r="EE61" s="185" t="str">
        <f>IF(Tim!EI63=FIT!$E$1,Tim!EI63,"")</f>
        <v/>
      </c>
      <c r="EF61" s="185" t="str">
        <f>IF(Tim!EJ63=FIT!$E$1,Tim!EJ63,"")</f>
        <v/>
      </c>
      <c r="EG61" s="185" t="str">
        <f>IF(Tim!EK63=FIT!$E$1,Tim!EK63,"")</f>
        <v/>
      </c>
      <c r="EH61" s="185" t="str">
        <f>IF(Tim!EL63=FIT!$E$1,Tim!EL63,"")</f>
        <v/>
      </c>
      <c r="EI61" s="185" t="str">
        <f>IF(Tim!EM63=FIT!$E$1,Tim!EM63,"")</f>
        <v/>
      </c>
      <c r="EJ61" s="185" t="str">
        <f>IF(Tim!EN63=FIT!$E$1,Tim!EN63,"")</f>
        <v/>
      </c>
      <c r="EK61" s="185" t="str">
        <f>IF(Tim!EO63=FIT!$E$1,Tim!EO63,"")</f>
        <v/>
      </c>
      <c r="EL61" s="185" t="str">
        <f>IF(Tim!EP63=FIT!$E$1,Tim!EP63,"")</f>
        <v/>
      </c>
      <c r="EM61" s="185" t="str">
        <f>IF(Tim!EQ63=FIT!$E$1,Tim!EQ63,"")</f>
        <v/>
      </c>
      <c r="EN61" s="185" t="str">
        <f>IF(Tim!ER63=FIT!$E$1,Tim!ER63,"")</f>
        <v/>
      </c>
      <c r="EO61" s="185" t="str">
        <f>IF(Tim!ES63=FIT!$E$1,Tim!ES63,"")</f>
        <v/>
      </c>
      <c r="EP61" s="185" t="str">
        <f>IF(Tim!ET63=FIT!$E$1,Tim!ET63,"")</f>
        <v/>
      </c>
      <c r="EQ61" s="185" t="str">
        <f>IF(Tim!EU63=FIT!$E$1,Tim!EU63,"")</f>
        <v/>
      </c>
      <c r="ER61" s="185" t="str">
        <f>IF(Tim!EV63=FIT!$E$1,Tim!EV63,"")</f>
        <v/>
      </c>
      <c r="ES61" s="185" t="str">
        <f>IF(Tim!EW63=FIT!$E$1,Tim!EW63,"")</f>
        <v/>
      </c>
      <c r="ET61" s="185" t="str">
        <f>IF(Tim!EX63=FIT!$E$1,Tim!EX63,"")</f>
        <v/>
      </c>
      <c r="EU61" s="185" t="str">
        <f>IF(Tim!EY63=FIT!$E$1,Tim!EY63,"")</f>
        <v/>
      </c>
      <c r="EV61" s="185" t="str">
        <f>IF(Tim!EZ63=FIT!$E$1,Tim!EZ63,"")</f>
        <v/>
      </c>
      <c r="EW61" s="185" t="str">
        <f>IF(Tim!FA63=FIT!$E$1,Tim!FA63,"")</f>
        <v/>
      </c>
      <c r="EX61" s="185" t="str">
        <f>IF(Tim!FB63=FIT!$E$1,Tim!FB63,"")</f>
        <v/>
      </c>
      <c r="EY61" s="185" t="str">
        <f>IF(Tim!FC63=FIT!$E$1,Tim!FC63,"")</f>
        <v/>
      </c>
      <c r="EZ61" s="185" t="str">
        <f>IF(Tim!FD63=FIT!$E$1,Tim!FD63,"")</f>
        <v/>
      </c>
      <c r="FA61" s="185" t="str">
        <f>IF(Tim!FE63=FIT!$E$1,Tim!FE63,"")</f>
        <v/>
      </c>
      <c r="FB61" s="185" t="str">
        <f>IF(Tim!FF63=FIT!$E$1,Tim!FF63,"")</f>
        <v/>
      </c>
      <c r="FC61" s="185" t="str">
        <f>IF(Tim!FG63=FIT!$E$1,Tim!FG63,"")</f>
        <v/>
      </c>
      <c r="FD61" s="185" t="str">
        <f>IF(Tim!FH63=FIT!$E$1,Tim!FH63,"")</f>
        <v/>
      </c>
      <c r="FE61" s="185" t="str">
        <f>IF(Tim!FI63=FIT!$E$1,Tim!FI63,"")</f>
        <v/>
      </c>
      <c r="FF61" s="185" t="str">
        <f>IF(Tim!FJ63=FIT!$E$1,Tim!FJ63,"")</f>
        <v/>
      </c>
      <c r="FG61" s="185" t="str">
        <f>IF(Tim!FK63=FIT!$E$1,Tim!FK63,"")</f>
        <v/>
      </c>
      <c r="FH61" s="185" t="str">
        <f>IF(Tim!FL63=FIT!$E$1,Tim!FL63,"")</f>
        <v/>
      </c>
      <c r="FI61" s="185" t="str">
        <f>IF(Tim!FM63=FIT!$E$1,Tim!FM63,"")</f>
        <v/>
      </c>
      <c r="FJ61" s="185" t="str">
        <f>IF(Tim!FN63=FIT!$E$1,Tim!FN63,"")</f>
        <v/>
      </c>
      <c r="FK61" s="185" t="str">
        <f>IF(Tim!FO63=FIT!$E$1,Tim!FO63,"")</f>
        <v/>
      </c>
      <c r="FL61" s="185" t="str">
        <f>IF(Tim!FP63=FIT!$E$1,Tim!FP63,"")</f>
        <v/>
      </c>
      <c r="FM61" s="185" t="str">
        <f>IF(Tim!FQ63=FIT!$E$1,Tim!FQ63,"")</f>
        <v/>
      </c>
      <c r="FN61" s="185" t="str">
        <f>IF(Tim!FR63=FIT!$E$1,Tim!FR63,"")</f>
        <v/>
      </c>
      <c r="FO61" s="185" t="str">
        <f>IF(Tim!FS63=FIT!$E$1,Tim!FS63,"")</f>
        <v/>
      </c>
      <c r="FP61" s="185" t="str">
        <f>IF(Tim!FT63=FIT!$E$1,Tim!FT63,"")</f>
        <v/>
      </c>
      <c r="FQ61" s="185" t="str">
        <f>IF(Tim!FU63=FIT!$E$1,Tim!FU63,"")</f>
        <v/>
      </c>
      <c r="FR61" s="185" t="str">
        <f>IF(Tim!FV63=FIT!$E$1,Tim!FV63,"")</f>
        <v/>
      </c>
      <c r="FS61" s="185" t="str">
        <f>IF(Tim!FW63=FIT!$E$1,Tim!FW63,"")</f>
        <v/>
      </c>
      <c r="FT61" s="185" t="str">
        <f>IF(Tim!FX63=FIT!$E$1,Tim!FX63,"")</f>
        <v/>
      </c>
      <c r="FU61" s="185" t="str">
        <f>IF(Tim!FY63=FIT!$E$1,Tim!FY63,"")</f>
        <v/>
      </c>
      <c r="FV61" s="185" t="str">
        <f>IF(Tim!FZ63=FIT!$E$1,Tim!FZ63,"")</f>
        <v/>
      </c>
      <c r="FW61" s="185" t="str">
        <f>IF(Tim!GA63=FIT!$E$1,Tim!GA63,"")</f>
        <v/>
      </c>
      <c r="FX61" s="185" t="str">
        <f>IF(Tim!GB63=FIT!$E$1,Tim!GB63,"")</f>
        <v/>
      </c>
      <c r="FY61" s="185" t="str">
        <f>IF(Tim!GC63=FIT!$E$1,Tim!GC63,"")</f>
        <v/>
      </c>
      <c r="FZ61" s="185" t="str">
        <f>IF(Tim!GD63=FIT!$E$1,Tim!GD63,"")</f>
        <v/>
      </c>
      <c r="GA61" s="185" t="str">
        <f>IF(Tim!GE63=FIT!$E$1,Tim!GE63,"")</f>
        <v/>
      </c>
      <c r="GB61" s="185" t="str">
        <f>IF(Tim!GF63=FIT!$E$1,Tim!GF63,"")</f>
        <v/>
      </c>
      <c r="GC61" s="185" t="str">
        <f>IF(Tim!GG63=FIT!$E$1,Tim!GG63,"")</f>
        <v/>
      </c>
      <c r="GD61" s="185" t="str">
        <f>IF(Tim!GH63=FIT!$E$1,Tim!GH63,"")</f>
        <v/>
      </c>
      <c r="GE61" s="185" t="str">
        <f>IF(Tim!GI63=FIT!$E$1,Tim!GI63,"")</f>
        <v/>
      </c>
      <c r="GF61" s="185" t="str">
        <f>IF(Tim!GJ63=FIT!$E$1,Tim!GJ63,"")</f>
        <v/>
      </c>
      <c r="GG61" s="185" t="str">
        <f>IF(Tim!GK63=FIT!$E$1,Tim!GK63,"")</f>
        <v/>
      </c>
      <c r="GH61" s="185" t="str">
        <f>IF(Tim!GL63=FIT!$E$1,Tim!GL63,"")</f>
        <v/>
      </c>
      <c r="GI61" s="185" t="str">
        <f>IF(Tim!GM63=FIT!$E$1,Tim!GM63,"")</f>
        <v/>
      </c>
      <c r="GJ61" s="185" t="str">
        <f>IF(Tim!GN63=FIT!$E$1,Tim!GN63,"")</f>
        <v/>
      </c>
      <c r="GK61" s="185" t="str">
        <f>IF(Tim!GO63=FIT!$E$1,Tim!GO63,"")</f>
        <v/>
      </c>
      <c r="GL61" s="185" t="str">
        <f>IF(Tim!GP63=FIT!$E$1,Tim!GP63,"")</f>
        <v/>
      </c>
      <c r="GM61" s="185" t="str">
        <f>IF(Tim!GQ63=FIT!$E$1,Tim!GQ63,"")</f>
        <v/>
      </c>
      <c r="GN61" s="185" t="str">
        <f>IF(Tim!GR63=FIT!$E$1,Tim!GR63,"")</f>
        <v/>
      </c>
      <c r="GO61" s="185" t="str">
        <f>IF(Tim!GS63=FIT!$E$1,Tim!GS63,"")</f>
        <v/>
      </c>
      <c r="GP61" s="185" t="str">
        <f>IF(Tim!GT63=FIT!$E$1,Tim!GT63,"")</f>
        <v/>
      </c>
      <c r="GQ61" s="185" t="str">
        <f>IF(Tim!GU63=FIT!$E$1,Tim!GU63,"")</f>
        <v/>
      </c>
      <c r="GR61" s="185" t="str">
        <f>IF(Tim!GV63=FIT!$E$1,Tim!GV63,"")</f>
        <v/>
      </c>
      <c r="GS61" s="185" t="str">
        <f>IF(Tim!GW63=FIT!$E$1,Tim!GW63,"")</f>
        <v/>
      </c>
      <c r="GT61" s="185" t="str">
        <f>IF(Tim!GX63=FIT!$E$1,Tim!GX63,"")</f>
        <v/>
      </c>
      <c r="GU61" s="185" t="str">
        <f>IF(Tim!GY63=FIT!$E$1,Tim!GY63,"")</f>
        <v/>
      </c>
      <c r="GV61" s="185" t="str">
        <f>IF(Tim!GZ63=FIT!$E$1,Tim!GZ63,"")</f>
        <v/>
      </c>
      <c r="GW61" s="185" t="str">
        <f>IF(Tim!HA63=FIT!$E$1,Tim!HA63,"")</f>
        <v/>
      </c>
      <c r="GX61" s="185" t="str">
        <f>IF(Tim!HB63=FIT!$E$1,Tim!HB63,"")</f>
        <v/>
      </c>
      <c r="GY61" s="185" t="str">
        <f>IF(Tim!HC63=FIT!$E$1,Tim!HC63,"")</f>
        <v/>
      </c>
      <c r="GZ61" s="185" t="str">
        <f>IF(Tim!HD63=FIT!$E$1,Tim!HD63,"")</f>
        <v/>
      </c>
      <c r="HA61" s="185" t="str">
        <f>IF(Tim!HE63=FIT!$E$1,Tim!HE63,"")</f>
        <v/>
      </c>
      <c r="HB61" s="185" t="str">
        <f>IF(Tim!HF63=FIT!$E$1,Tim!HF63,"")</f>
        <v/>
      </c>
      <c r="HC61" s="185" t="str">
        <f>IF(Tim!HG63=FIT!$E$1,Tim!HG63,"")</f>
        <v/>
      </c>
      <c r="HD61" s="185" t="str">
        <f>IF(Tim!HH63=FIT!$E$1,Tim!HH63,"")</f>
        <v/>
      </c>
      <c r="HE61" s="185" t="str">
        <f>IF(Tim!HI63=FIT!$E$1,Tim!HI63,"")</f>
        <v/>
      </c>
      <c r="HF61" s="185" t="str">
        <f>IF(Tim!HJ63=FIT!$E$1,Tim!HJ63,"")</f>
        <v/>
      </c>
      <c r="HG61" s="185" t="str">
        <f>IF(Tim!HK63=FIT!$E$1,Tim!HK63,"")</f>
        <v/>
      </c>
      <c r="HH61" s="185" t="str">
        <f>IF(Tim!HL63=FIT!$E$1,Tim!HL63,"")</f>
        <v/>
      </c>
      <c r="HI61" s="185" t="str">
        <f>IF(Tim!HM63=FIT!$E$1,Tim!HM63,"")</f>
        <v/>
      </c>
      <c r="HJ61" s="185" t="str">
        <f>IF(Tim!HN63=FIT!$E$1,Tim!HN63,"")</f>
        <v/>
      </c>
      <c r="HK61" s="185" t="str">
        <f>IF(Tim!HO63=FIT!$E$1,Tim!HO63,"")</f>
        <v/>
      </c>
      <c r="HL61" s="185" t="str">
        <f>IF(Tim!HP63=FIT!$E$1,Tim!HP63,"")</f>
        <v/>
      </c>
      <c r="HM61" s="185" t="str">
        <f>IF(Tim!HQ63=FIT!$E$1,Tim!HQ63,"")</f>
        <v/>
      </c>
      <c r="HN61" s="185" t="str">
        <f>IF(Tim!HR63=FIT!$E$1,Tim!HR63,"")</f>
        <v/>
      </c>
      <c r="HO61" s="185" t="str">
        <f>IF(Tim!HS63=FIT!$E$1,Tim!HS63,"")</f>
        <v/>
      </c>
      <c r="HP61" s="185" t="str">
        <f>IF(Tim!HT63=FIT!$E$1,Tim!HT63,"")</f>
        <v/>
      </c>
      <c r="HQ61" s="185" t="str">
        <f>IF(Tim!HU63=FIT!$E$1,Tim!HU63,"")</f>
        <v/>
      </c>
      <c r="HR61" s="469"/>
      <c r="HS61" s="366"/>
      <c r="HT61" s="366"/>
      <c r="HU61" s="366"/>
      <c r="HV61" s="366"/>
      <c r="HW61" s="366"/>
      <c r="HX61" s="366"/>
      <c r="HY61" s="366"/>
      <c r="HZ61" s="366"/>
      <c r="IA61" s="366"/>
      <c r="IB61" s="366"/>
      <c r="IC61" s="366"/>
      <c r="ID61" s="366"/>
      <c r="IE61" s="366"/>
      <c r="IF61" s="366"/>
      <c r="IG61" s="366"/>
      <c r="IH61" s="366"/>
      <c r="II61" s="366"/>
      <c r="IJ61" s="366"/>
      <c r="IK61" s="366"/>
      <c r="IL61" s="366"/>
      <c r="IM61" s="366"/>
      <c r="IN61" s="366"/>
      <c r="IO61" s="366"/>
      <c r="IP61" s="366"/>
      <c r="IQ61" s="366"/>
      <c r="IR61" s="366"/>
      <c r="IS61" s="366"/>
      <c r="IT61" s="366"/>
      <c r="IU61" s="366"/>
      <c r="IV61" s="366"/>
      <c r="IW61" s="366"/>
      <c r="IX61" s="366"/>
      <c r="IY61" s="366"/>
      <c r="IZ61" s="366"/>
      <c r="JA61" s="366"/>
      <c r="JB61" s="366"/>
      <c r="JC61" s="366"/>
      <c r="JD61" s="366"/>
      <c r="JE61" s="366"/>
      <c r="JF61" s="366"/>
      <c r="JG61" s="366"/>
      <c r="JH61" s="366"/>
      <c r="JI61" s="428"/>
      <c r="JJ61" s="469"/>
      <c r="JK61" s="366"/>
      <c r="JL61" s="366"/>
      <c r="JM61" s="366"/>
      <c r="JN61" s="366"/>
      <c r="JO61" s="366"/>
      <c r="JP61" s="366"/>
      <c r="JQ61" s="366"/>
      <c r="JR61" s="366"/>
      <c r="JS61" s="366"/>
      <c r="JT61" s="366"/>
      <c r="JU61" s="366"/>
      <c r="JV61" s="366"/>
      <c r="JW61" s="366"/>
      <c r="JX61" s="366"/>
      <c r="JY61" s="366"/>
      <c r="JZ61" s="366"/>
      <c r="KA61" s="366"/>
      <c r="KB61" s="366"/>
      <c r="KC61" s="366"/>
      <c r="KD61" s="366"/>
      <c r="KE61" s="366"/>
      <c r="KF61" s="366"/>
      <c r="KG61" s="366"/>
      <c r="KH61" s="366"/>
      <c r="KI61" s="366"/>
      <c r="KJ61" s="366"/>
      <c r="KK61" s="366"/>
      <c r="KL61" s="366"/>
      <c r="KM61" s="366"/>
      <c r="KN61" s="366"/>
      <c r="KO61" s="366"/>
      <c r="KP61" s="366"/>
      <c r="KQ61" s="366"/>
      <c r="KR61" s="366"/>
      <c r="KS61" s="366"/>
      <c r="KT61" s="366"/>
      <c r="KU61" s="366"/>
      <c r="KV61" s="366"/>
      <c r="KW61" s="366"/>
      <c r="KX61" s="366"/>
      <c r="KY61" s="366"/>
      <c r="KZ61" s="366"/>
      <c r="LA61" s="428"/>
      <c r="LB61" s="52">
        <v>0.874999999999998</v>
      </c>
    </row>
    <row r="62" spans="2:314" ht="10.5" customHeight="1">
      <c r="B62" s="49">
        <v>0.25</v>
      </c>
      <c r="C62" s="49">
        <v>0.25</v>
      </c>
      <c r="D62" s="49">
        <v>0.25</v>
      </c>
      <c r="E62" s="172">
        <v>0.88541666666666496</v>
      </c>
      <c r="F62" s="238" t="str">
        <f>IF(Tim!F64=FIT!$E$1,Tim!F64,"")</f>
        <v/>
      </c>
      <c r="G62" s="185" t="str">
        <f>IF(Tim!G64=FIT!$E$1,Tim!G64,"")</f>
        <v/>
      </c>
      <c r="H62" s="185" t="str">
        <f>IF(Tim!H64=FIT!$E$1,Tim!H64,"")</f>
        <v/>
      </c>
      <c r="I62" s="185" t="str">
        <f>IF(Tim!I64=FIT!$E$1,Tim!I64,"")</f>
        <v/>
      </c>
      <c r="J62" s="185" t="str">
        <f>IF(Tim!J64=FIT!$E$1,Tim!J64,"")</f>
        <v/>
      </c>
      <c r="K62" s="185" t="str">
        <f>IF(Tim!K64=FIT!$E$1,Tim!K64,"")</f>
        <v/>
      </c>
      <c r="L62" s="185" t="str">
        <f>IF(Tim!L64=FIT!$E$1,Tim!L64,"")</f>
        <v/>
      </c>
      <c r="M62" s="185" t="str">
        <f>IF(Tim!M64=FIT!$E$1,Tim!M64,"")</f>
        <v/>
      </c>
      <c r="N62" s="185" t="str">
        <f>IF(Tim!N64=FIT!$E$1,Tim!N64,"")</f>
        <v/>
      </c>
      <c r="O62" s="185" t="str">
        <f>IF(Tim!O64=FIT!$E$1,Tim!O64,"")</f>
        <v/>
      </c>
      <c r="P62" s="185" t="str">
        <f>IF(Tim!P64=FIT!$E$1,Tim!P64,"")</f>
        <v/>
      </c>
      <c r="Q62" s="185" t="str">
        <f>IF(Tim!Q64=FIT!$E$1,Tim!Q64,"")</f>
        <v/>
      </c>
      <c r="R62" s="185" t="str">
        <f>IF(Tim!R64=FIT!$E$1,Tim!R64,"")</f>
        <v/>
      </c>
      <c r="S62" s="185" t="str">
        <f>IF(Tim!S64=FIT!$E$1,Tim!S64,"")</f>
        <v/>
      </c>
      <c r="T62" s="185" t="str">
        <f>IF(Tim!T64=FIT!$E$1,Tim!T64,"")</f>
        <v/>
      </c>
      <c r="U62" s="185" t="str">
        <f>IF(Tim!U64=FIT!$E$1,Tim!U64,"")</f>
        <v/>
      </c>
      <c r="V62" s="185" t="str">
        <f>IF(Tim!W64=FIT!$E$1,Tim!W64,"")</f>
        <v/>
      </c>
      <c r="W62" s="185" t="str">
        <f>IF(Tim!X64=FIT!$E$1,Tim!X64,"")</f>
        <v/>
      </c>
      <c r="X62" s="185" t="str">
        <f>IF(Tim!Y64=FIT!$E$1,Tim!Y64,"")</f>
        <v/>
      </c>
      <c r="Y62" s="185" t="str">
        <f>IF(Tim!Z64=FIT!$E$1,Tim!Z64,"")</f>
        <v/>
      </c>
      <c r="Z62" s="185" t="str">
        <f>IF(Tim!AA64=FIT!$E$1,Tim!AA64,"")</f>
        <v/>
      </c>
      <c r="AA62" s="185" t="str">
        <f>IF(Tim!AB64=FIT!$E$1,Tim!AB64,"")</f>
        <v/>
      </c>
      <c r="AB62" s="185" t="str">
        <f>IF(Tim!AC64=FIT!$E$1,Tim!AC64,"")</f>
        <v/>
      </c>
      <c r="AC62" s="185" t="str">
        <f>IF(Tim!AD64=FIT!$E$1,Tim!AD64,"")</f>
        <v/>
      </c>
      <c r="AD62" s="185" t="str">
        <f>IF(Tim!AE64=FIT!$E$1,Tim!AE64,"")</f>
        <v/>
      </c>
      <c r="AE62" s="185" t="str">
        <f>IF(Tim!AF64=FIT!$E$1,Tim!AF64,"")</f>
        <v/>
      </c>
      <c r="AF62" s="185" t="str">
        <f>IF(Tim!AG64=FIT!$E$1,Tim!AG64,"")</f>
        <v/>
      </c>
      <c r="AG62" s="185" t="str">
        <f>IF(Tim!AH64=FIT!$E$1,Tim!AH64,"")</f>
        <v/>
      </c>
      <c r="AH62" s="185" t="str">
        <f>IF(Tim!AI64=FIT!$E$1,Tim!AI64,"")</f>
        <v/>
      </c>
      <c r="AI62" s="185" t="str">
        <f>IF(Tim!AJ64=FIT!$E$1,Tim!AJ64,"")</f>
        <v/>
      </c>
      <c r="AJ62" s="185" t="str">
        <f>IF(Tim!AK64=FIT!$E$1,Tim!AK64,"")</f>
        <v/>
      </c>
      <c r="AK62" s="185" t="str">
        <f>IF(Tim!AL64=FIT!$E$1,Tim!AL64,"")</f>
        <v/>
      </c>
      <c r="AL62" s="185" t="str">
        <f>IF(Tim!AM64=FIT!$E$1,Tim!AM64,"")</f>
        <v/>
      </c>
      <c r="AM62" s="185" t="str">
        <f>IF(Tim!AN64=FIT!$E$1,Tim!AN64,"")</f>
        <v/>
      </c>
      <c r="AN62" s="185" t="str">
        <f>IF(Tim!AO64=FIT!$E$1,Tim!AO64,"")</f>
        <v/>
      </c>
      <c r="AO62" s="185" t="str">
        <f>IF(Tim!AP64=FIT!$E$1,Tim!AP64,"")</f>
        <v/>
      </c>
      <c r="AP62" s="185" t="str">
        <f>IF(Tim!AQ64=FIT!$E$1,Tim!AQ64,"")</f>
        <v/>
      </c>
      <c r="AQ62" s="185" t="str">
        <f>IF(Tim!AR64=FIT!$E$1,Tim!AR64,"")</f>
        <v/>
      </c>
      <c r="AR62" s="185" t="str">
        <f>IF(Tim!AS64=FIT!$E$1,Tim!AS64,"")</f>
        <v/>
      </c>
      <c r="AS62" s="185" t="str">
        <f>IF(Tim!AT64=FIT!$E$1,Tim!AT64,"")</f>
        <v/>
      </c>
      <c r="AT62" s="185" t="str">
        <f>IF(Tim!AU64=FIT!$E$1,Tim!AU64,"")</f>
        <v/>
      </c>
      <c r="AU62" s="185" t="str">
        <f>IF(Tim!AV64=FIT!$E$1,Tim!AV64,"")</f>
        <v/>
      </c>
      <c r="AV62" s="185" t="str">
        <f>IF(Tim!AW64=FIT!$E$1,Tim!AW64,"")</f>
        <v/>
      </c>
      <c r="AW62" s="186" t="str">
        <f>IF(Tim!AX64=FIT!$E$1,Tim!AX64,"")</f>
        <v/>
      </c>
      <c r="AX62" s="243" t="str">
        <f>IF(Tim!AY64=FIT!$E$1,Tim!AY64,"")</f>
        <v/>
      </c>
      <c r="AY62" s="185" t="str">
        <f>IF(Tim!AZ64=FIT!$E$1,Tim!AZ64,"")</f>
        <v/>
      </c>
      <c r="AZ62" s="185" t="str">
        <f>IF(Tim!BA64=FIT!$E$1,Tim!BA64,"")</f>
        <v/>
      </c>
      <c r="BA62" s="185" t="str">
        <f>IF(Tim!BB64=FIT!$E$1,Tim!BB64,"")</f>
        <v/>
      </c>
      <c r="BB62" s="185" t="str">
        <f>IF(Tim!BC64=FIT!$E$1,Tim!BC64,"")</f>
        <v/>
      </c>
      <c r="BC62" s="185" t="str">
        <f>IF(Tim!BD64=FIT!$E$1,Tim!BD64,"")</f>
        <v/>
      </c>
      <c r="BD62" s="185" t="str">
        <f>IF(Tim!BE64=FIT!$E$1,Tim!BE64,"")</f>
        <v/>
      </c>
      <c r="BE62" s="185" t="str">
        <f>IF(Tim!BF64=FIT!$E$1,Tim!BF64,"")</f>
        <v/>
      </c>
      <c r="BF62" s="185" t="str">
        <f>IF(Tim!BG64=FIT!$E$1,Tim!BG64,"")</f>
        <v/>
      </c>
      <c r="BG62" s="185" t="str">
        <f>IF(Tim!BH64=FIT!$E$1,Tim!BH64,"")</f>
        <v/>
      </c>
      <c r="BH62" s="185" t="str">
        <f>IF(Tim!BI64=FIT!$E$1,Tim!BI64,"")</f>
        <v/>
      </c>
      <c r="BI62" s="185" t="str">
        <f>IF(Tim!BJ64=FIT!$E$1,Tim!BJ64,"")</f>
        <v/>
      </c>
      <c r="BJ62" s="185" t="str">
        <f>IF(Tim!BK64=FIT!$E$1,Tim!BK64,"")</f>
        <v/>
      </c>
      <c r="BK62" s="185" t="str">
        <f>IF(Tim!BL64=FIT!$E$1,Tim!BL64,"")</f>
        <v/>
      </c>
      <c r="BL62" s="185" t="str">
        <f>IF(Tim!BM64=FIT!$E$1,Tim!BM64,"")</f>
        <v/>
      </c>
      <c r="BM62" s="185" t="str">
        <f>IF(Tim!BN64=FIT!$E$1,Tim!BN64,"")</f>
        <v/>
      </c>
      <c r="BN62" s="185" t="str">
        <f>IF(Tim!BO64=FIT!$E$1,Tim!BO64,"")</f>
        <v/>
      </c>
      <c r="BO62" s="185" t="str">
        <f>IF(Tim!BP64=FIT!$E$1,Tim!BP64,"")</f>
        <v/>
      </c>
      <c r="BP62" s="185" t="str">
        <f>IF(Tim!BQ64=FIT!$E$1,Tim!BQ64,"")</f>
        <v/>
      </c>
      <c r="BQ62" s="185" t="str">
        <f>IF(Tim!BR64=FIT!$E$1,Tim!BR64,"")</f>
        <v/>
      </c>
      <c r="BR62" s="185" t="str">
        <f>IF(Tim!BS64=FIT!$E$1,Tim!BS64,"")</f>
        <v/>
      </c>
      <c r="BS62" s="185" t="str">
        <f>IF(Tim!BT64=FIT!$E$1,Tim!BT64,"")</f>
        <v/>
      </c>
      <c r="BT62" s="185" t="str">
        <f>IF(Tim!BU64=FIT!$E$1,Tim!BU64,"")</f>
        <v/>
      </c>
      <c r="BU62" s="185" t="str">
        <f>IF(Tim!BV64=FIT!$E$1,Tim!BV64,"")</f>
        <v/>
      </c>
      <c r="BV62" s="185" t="str">
        <f>IF(Tim!BW64=FIT!$E$1,Tim!BW64,"")</f>
        <v/>
      </c>
      <c r="BW62" s="185" t="str">
        <f>IF(Tim!BX64=FIT!$E$1,Tim!BX64,"")</f>
        <v/>
      </c>
      <c r="BX62" s="185" t="str">
        <f>IF(Tim!BY64=FIT!$E$1,Tim!BY64,"")</f>
        <v/>
      </c>
      <c r="BY62" s="185" t="str">
        <f>IF(Tim!BZ64=FIT!$E$1,Tim!BZ64,"")</f>
        <v/>
      </c>
      <c r="BZ62" s="185" t="str">
        <f>IF(Tim!CA64=FIT!$E$1,Tim!CA64,"")</f>
        <v/>
      </c>
      <c r="CA62" s="185" t="str">
        <f>IF(Tim!CB64=FIT!$E$1,Tim!CB64,"")</f>
        <v/>
      </c>
      <c r="CB62" s="185" t="str">
        <f>IF(Tim!CC64=FIT!$E$1,Tim!CC64,"")</f>
        <v/>
      </c>
      <c r="CC62" s="185" t="str">
        <f>IF(Tim!CD64=FIT!$E$1,Tim!CD64,"")</f>
        <v/>
      </c>
      <c r="CD62" s="185" t="str">
        <f>IF(Tim!CE64=FIT!$E$1,Tim!CE64,"")</f>
        <v/>
      </c>
      <c r="CE62" s="185" t="str">
        <f>IF(Tim!CF64=FIT!$E$1,Tim!CF64,"")</f>
        <v/>
      </c>
      <c r="CF62" s="185" t="str">
        <f>IF(Tim!CG64=FIT!$E$1,Tim!CG64,"")</f>
        <v/>
      </c>
      <c r="CG62" s="185" t="str">
        <f>IF(Tim!CH64=FIT!$E$1,Tim!CH64,"")</f>
        <v/>
      </c>
      <c r="CH62" s="185" t="str">
        <f>IF(Tim!CI64=FIT!$E$1,Tim!CI64,"")</f>
        <v/>
      </c>
      <c r="CI62" s="185" t="str">
        <f>IF(Tim!CJ64=FIT!$E$1,Tim!CJ64,"")</f>
        <v/>
      </c>
      <c r="CJ62" s="185" t="str">
        <f>IF(Tim!CK64=FIT!$E$1,Tim!CK64,"")</f>
        <v/>
      </c>
      <c r="CK62" s="185" t="str">
        <f>IF(Tim!CL64=FIT!$E$1,Tim!CL64,"")</f>
        <v/>
      </c>
      <c r="CL62" s="185" t="str">
        <f>IF(Tim!CM64=FIT!$E$1,Tim!CM64,"")</f>
        <v/>
      </c>
      <c r="CM62" s="185" t="str">
        <f>IF(Tim!CN64=FIT!$E$1,Tim!CN64,"")</f>
        <v/>
      </c>
      <c r="CN62" s="185" t="str">
        <f>IF(Tim!CO64=FIT!$E$1,Tim!CO64,"")</f>
        <v/>
      </c>
      <c r="CO62" s="185" t="str">
        <f>IF(Tim!CP64=FIT!$E$1,Tim!CP64,"")</f>
        <v/>
      </c>
      <c r="CP62" s="185" t="str">
        <f>IF(Tim!CQ64=FIT!$E$1,Tim!CQ64,"")</f>
        <v/>
      </c>
      <c r="CQ62" s="185" t="str">
        <f>IF(Tim!CR64=FIT!$E$1,Tim!CR64,"")</f>
        <v/>
      </c>
      <c r="CR62" s="185" t="str">
        <f>IF(Tim!CS64=FIT!$E$1,Tim!CS64,"")</f>
        <v/>
      </c>
      <c r="CS62" s="185" t="str">
        <f>IF(Tim!CT64=FIT!$E$1,Tim!CT64,"")</f>
        <v/>
      </c>
      <c r="CT62" s="185" t="str">
        <f>IF(Tim!CU64=FIT!$E$1,Tim!CU64,"")</f>
        <v/>
      </c>
      <c r="CU62" s="185" t="str">
        <f>IF(Tim!CV64=FIT!$E$1,Tim!CV64,"")</f>
        <v/>
      </c>
      <c r="CV62" s="185" t="str">
        <f>IF(Tim!CW64=FIT!$E$1,Tim!CW64,"")</f>
        <v/>
      </c>
      <c r="CW62" s="185" t="str">
        <f>IF(Tim!CX64=FIT!$E$1,Tim!CX64,"")</f>
        <v/>
      </c>
      <c r="CX62" s="185" t="str">
        <f>IF(Tim!CY64=FIT!$E$1,Tim!CY64,"")</f>
        <v/>
      </c>
      <c r="CY62" s="185" t="str">
        <f>IF(Tim!CZ64=FIT!$E$1,Tim!CZ64,"")</f>
        <v/>
      </c>
      <c r="CZ62" s="185" t="str">
        <f>IF(Tim!DA64=FIT!$E$1,Tim!DA64,"")</f>
        <v/>
      </c>
      <c r="DA62" s="185" t="str">
        <f>IF(Tim!DB64=FIT!$E$1,Tim!DB64,"")</f>
        <v/>
      </c>
      <c r="DB62" s="185" t="str">
        <f>IF(Tim!DC64=FIT!$E$1,Tim!DC64,"")</f>
        <v/>
      </c>
      <c r="DC62" s="185" t="str">
        <f>IF(Tim!DD64=FIT!$E$1,Tim!DD64,"")</f>
        <v/>
      </c>
      <c r="DD62" s="185" t="str">
        <f>IF(Tim!DE64=FIT!$E$1,Tim!DE64,"")</f>
        <v/>
      </c>
      <c r="DE62" s="185" t="str">
        <f>IF(Tim!DF64=FIT!$E$1,Tim!DF64,"")</f>
        <v/>
      </c>
      <c r="DF62" s="185" t="str">
        <f>IF(Tim!DG64=FIT!$E$1,Tim!DG64,"")</f>
        <v/>
      </c>
      <c r="DG62" s="185" t="str">
        <f>IF(Tim!DH64=FIT!$E$1,Tim!DH64,"")</f>
        <v/>
      </c>
      <c r="DH62" s="185" t="str">
        <f>IF(Tim!DI64=FIT!$E$1,Tim!DI64,"")</f>
        <v/>
      </c>
      <c r="DI62" s="185" t="str">
        <f>IF(Tim!DM64=FIT!$E$1,Tim!DM64,"")</f>
        <v/>
      </c>
      <c r="DJ62" s="185" t="str">
        <f>IF(Tim!DN64=FIT!$E$1,Tim!DN64,"")</f>
        <v/>
      </c>
      <c r="DK62" s="185" t="str">
        <f>IF(Tim!DO64=FIT!$E$1,Tim!DO64,"")</f>
        <v/>
      </c>
      <c r="DL62" s="185" t="str">
        <f>IF(Tim!DP64=FIT!$E$1,Tim!DP64,"")</f>
        <v/>
      </c>
      <c r="DM62" s="185" t="str">
        <f>IF(Tim!DQ64=FIT!$E$1,Tim!DQ64,"")</f>
        <v/>
      </c>
      <c r="DN62" s="185" t="str">
        <f>IF(Tim!DR64=FIT!$E$1,Tim!DR64,"")</f>
        <v/>
      </c>
      <c r="DO62" s="185" t="str">
        <f>IF(Tim!DS64=FIT!$E$1,Tim!DS64,"")</f>
        <v/>
      </c>
      <c r="DP62" s="185" t="str">
        <f>IF(Tim!DT64=FIT!$E$1,Tim!DT64,"")</f>
        <v/>
      </c>
      <c r="DQ62" s="185" t="str">
        <f>IF(Tim!DU64=FIT!$E$1,Tim!DU64,"")</f>
        <v/>
      </c>
      <c r="DR62" s="185" t="str">
        <f>IF(Tim!DV64=FIT!$E$1,Tim!DV64,"")</f>
        <v/>
      </c>
      <c r="DS62" s="185" t="str">
        <f>IF(Tim!DW64=FIT!$E$1,Tim!DW64,"")</f>
        <v/>
      </c>
      <c r="DT62" s="185" t="str">
        <f>IF(Tim!DX64=FIT!$E$1,Tim!DX64,"")</f>
        <v/>
      </c>
      <c r="DU62" s="185" t="str">
        <f>IF(Tim!DY64=FIT!$E$1,Tim!DY64,"")</f>
        <v/>
      </c>
      <c r="DV62" s="185" t="str">
        <f>IF(Tim!DZ64=FIT!$E$1,Tim!DZ64,"")</f>
        <v/>
      </c>
      <c r="DW62" s="185" t="str">
        <f>IF(Tim!EA64=FIT!$E$1,Tim!EA64,"")</f>
        <v/>
      </c>
      <c r="DX62" s="185" t="str">
        <f>IF(Tim!EB64=FIT!$E$1,Tim!EB64,"")</f>
        <v/>
      </c>
      <c r="DY62" s="185" t="str">
        <f>IF(Tim!EC64=FIT!$E$1,Tim!EC64,"")</f>
        <v/>
      </c>
      <c r="DZ62" s="185" t="str">
        <f>IF(Tim!ED64=FIT!$E$1,Tim!ED64,"")</f>
        <v/>
      </c>
      <c r="EA62" s="185" t="str">
        <f>IF(Tim!EE64=FIT!$E$1,Tim!EE64,"")</f>
        <v/>
      </c>
      <c r="EB62" s="185" t="str">
        <f>IF(Tim!EF64=FIT!$E$1,Tim!EF64,"")</f>
        <v/>
      </c>
      <c r="EC62" s="185" t="str">
        <f>IF(Tim!EG64=FIT!$E$1,Tim!EG64,"")</f>
        <v/>
      </c>
      <c r="ED62" s="185" t="str">
        <f>IF(Tim!EH64=FIT!$E$1,Tim!EH64,"")</f>
        <v/>
      </c>
      <c r="EE62" s="185" t="str">
        <f>IF(Tim!EI64=FIT!$E$1,Tim!EI64,"")</f>
        <v/>
      </c>
      <c r="EF62" s="185" t="str">
        <f>IF(Tim!EJ64=FIT!$E$1,Tim!EJ64,"")</f>
        <v/>
      </c>
      <c r="EG62" s="185" t="str">
        <f>IF(Tim!EK64=FIT!$E$1,Tim!EK64,"")</f>
        <v/>
      </c>
      <c r="EH62" s="185" t="str">
        <f>IF(Tim!EL64=FIT!$E$1,Tim!EL64,"")</f>
        <v/>
      </c>
      <c r="EI62" s="185" t="str">
        <f>IF(Tim!EM64=FIT!$E$1,Tim!EM64,"")</f>
        <v/>
      </c>
      <c r="EJ62" s="185" t="str">
        <f>IF(Tim!EN64=FIT!$E$1,Tim!EN64,"")</f>
        <v/>
      </c>
      <c r="EK62" s="185" t="str">
        <f>IF(Tim!EO64=FIT!$E$1,Tim!EO64,"")</f>
        <v/>
      </c>
      <c r="EL62" s="185" t="str">
        <f>IF(Tim!EP64=FIT!$E$1,Tim!EP64,"")</f>
        <v/>
      </c>
      <c r="EM62" s="185" t="str">
        <f>IF(Tim!EQ64=FIT!$E$1,Tim!EQ64,"")</f>
        <v/>
      </c>
      <c r="EN62" s="185" t="str">
        <f>IF(Tim!ER64=FIT!$E$1,Tim!ER64,"")</f>
        <v/>
      </c>
      <c r="EO62" s="185" t="str">
        <f>IF(Tim!ES64=FIT!$E$1,Tim!ES64,"")</f>
        <v/>
      </c>
      <c r="EP62" s="185" t="str">
        <f>IF(Tim!ET64=FIT!$E$1,Tim!ET64,"")</f>
        <v/>
      </c>
      <c r="EQ62" s="185" t="str">
        <f>IF(Tim!EU64=FIT!$E$1,Tim!EU64,"")</f>
        <v/>
      </c>
      <c r="ER62" s="185" t="str">
        <f>IF(Tim!EV64=FIT!$E$1,Tim!EV64,"")</f>
        <v/>
      </c>
      <c r="ES62" s="185" t="str">
        <f>IF(Tim!EW64=FIT!$E$1,Tim!EW64,"")</f>
        <v/>
      </c>
      <c r="ET62" s="185" t="str">
        <f>IF(Tim!EX64=FIT!$E$1,Tim!EX64,"")</f>
        <v/>
      </c>
      <c r="EU62" s="185" t="str">
        <f>IF(Tim!EY64=FIT!$E$1,Tim!EY64,"")</f>
        <v/>
      </c>
      <c r="EV62" s="185" t="str">
        <f>IF(Tim!EZ64=FIT!$E$1,Tim!EZ64,"")</f>
        <v/>
      </c>
      <c r="EW62" s="185" t="str">
        <f>IF(Tim!FA64=FIT!$E$1,Tim!FA64,"")</f>
        <v/>
      </c>
      <c r="EX62" s="185" t="str">
        <f>IF(Tim!FB64=FIT!$E$1,Tim!FB64,"")</f>
        <v/>
      </c>
      <c r="EY62" s="185" t="str">
        <f>IF(Tim!FC64=FIT!$E$1,Tim!FC64,"")</f>
        <v/>
      </c>
      <c r="EZ62" s="185" t="str">
        <f>IF(Tim!FD64=FIT!$E$1,Tim!FD64,"")</f>
        <v/>
      </c>
      <c r="FA62" s="185" t="str">
        <f>IF(Tim!FE64=FIT!$E$1,Tim!FE64,"")</f>
        <v/>
      </c>
      <c r="FB62" s="185" t="str">
        <f>IF(Tim!FF64=FIT!$E$1,Tim!FF64,"")</f>
        <v/>
      </c>
      <c r="FC62" s="185" t="str">
        <f>IF(Tim!FG64=FIT!$E$1,Tim!FG64,"")</f>
        <v/>
      </c>
      <c r="FD62" s="185" t="str">
        <f>IF(Tim!FH64=FIT!$E$1,Tim!FH64,"")</f>
        <v/>
      </c>
      <c r="FE62" s="185" t="str">
        <f>IF(Tim!FI64=FIT!$E$1,Tim!FI64,"")</f>
        <v/>
      </c>
      <c r="FF62" s="185" t="str">
        <f>IF(Tim!FJ64=FIT!$E$1,Tim!FJ64,"")</f>
        <v/>
      </c>
      <c r="FG62" s="185" t="str">
        <f>IF(Tim!FK64=FIT!$E$1,Tim!FK64,"")</f>
        <v/>
      </c>
      <c r="FH62" s="185" t="str">
        <f>IF(Tim!FL64=FIT!$E$1,Tim!FL64,"")</f>
        <v/>
      </c>
      <c r="FI62" s="185" t="str">
        <f>IF(Tim!FM64=FIT!$E$1,Tim!FM64,"")</f>
        <v/>
      </c>
      <c r="FJ62" s="185" t="str">
        <f>IF(Tim!FN64=FIT!$E$1,Tim!FN64,"")</f>
        <v/>
      </c>
      <c r="FK62" s="185" t="str">
        <f>IF(Tim!FO64=FIT!$E$1,Tim!FO64,"")</f>
        <v/>
      </c>
      <c r="FL62" s="185" t="str">
        <f>IF(Tim!FP64=FIT!$E$1,Tim!FP64,"")</f>
        <v/>
      </c>
      <c r="FM62" s="185" t="str">
        <f>IF(Tim!FQ64=FIT!$E$1,Tim!FQ64,"")</f>
        <v/>
      </c>
      <c r="FN62" s="185" t="str">
        <f>IF(Tim!FR64=FIT!$E$1,Tim!FR64,"")</f>
        <v/>
      </c>
      <c r="FO62" s="185" t="str">
        <f>IF(Tim!FS64=FIT!$E$1,Tim!FS64,"")</f>
        <v/>
      </c>
      <c r="FP62" s="185" t="str">
        <f>IF(Tim!FT64=FIT!$E$1,Tim!FT64,"")</f>
        <v/>
      </c>
      <c r="FQ62" s="185" t="str">
        <f>IF(Tim!FU64=FIT!$E$1,Tim!FU64,"")</f>
        <v/>
      </c>
      <c r="FR62" s="185" t="str">
        <f>IF(Tim!FV64=FIT!$E$1,Tim!FV64,"")</f>
        <v/>
      </c>
      <c r="FS62" s="185" t="str">
        <f>IF(Tim!FW64=FIT!$E$1,Tim!FW64,"")</f>
        <v/>
      </c>
      <c r="FT62" s="185" t="str">
        <f>IF(Tim!FX64=FIT!$E$1,Tim!FX64,"")</f>
        <v/>
      </c>
      <c r="FU62" s="185" t="str">
        <f>IF(Tim!FY64=FIT!$E$1,Tim!FY64,"")</f>
        <v/>
      </c>
      <c r="FV62" s="185" t="str">
        <f>IF(Tim!FZ64=FIT!$E$1,Tim!FZ64,"")</f>
        <v/>
      </c>
      <c r="FW62" s="185" t="str">
        <f>IF(Tim!GA64=FIT!$E$1,Tim!GA64,"")</f>
        <v/>
      </c>
      <c r="FX62" s="185" t="str">
        <f>IF(Tim!GB64=FIT!$E$1,Tim!GB64,"")</f>
        <v/>
      </c>
      <c r="FY62" s="185" t="str">
        <f>IF(Tim!GC64=FIT!$E$1,Tim!GC64,"")</f>
        <v/>
      </c>
      <c r="FZ62" s="185" t="str">
        <f>IF(Tim!GD64=FIT!$E$1,Tim!GD64,"")</f>
        <v/>
      </c>
      <c r="GA62" s="185" t="str">
        <f>IF(Tim!GE64=FIT!$E$1,Tim!GE64,"")</f>
        <v/>
      </c>
      <c r="GB62" s="185" t="str">
        <f>IF(Tim!GF64=FIT!$E$1,Tim!GF64,"")</f>
        <v/>
      </c>
      <c r="GC62" s="185" t="str">
        <f>IF(Tim!GG64=FIT!$E$1,Tim!GG64,"")</f>
        <v/>
      </c>
      <c r="GD62" s="185" t="str">
        <f>IF(Tim!GH64=FIT!$E$1,Tim!GH64,"")</f>
        <v/>
      </c>
      <c r="GE62" s="185" t="str">
        <f>IF(Tim!GI64=FIT!$E$1,Tim!GI64,"")</f>
        <v/>
      </c>
      <c r="GF62" s="185" t="str">
        <f>IF(Tim!GJ64=FIT!$E$1,Tim!GJ64,"")</f>
        <v/>
      </c>
      <c r="GG62" s="185" t="str">
        <f>IF(Tim!GK64=FIT!$E$1,Tim!GK64,"")</f>
        <v/>
      </c>
      <c r="GH62" s="185" t="str">
        <f>IF(Tim!GL64=FIT!$E$1,Tim!GL64,"")</f>
        <v/>
      </c>
      <c r="GI62" s="185" t="str">
        <f>IF(Tim!GM64=FIT!$E$1,Tim!GM64,"")</f>
        <v/>
      </c>
      <c r="GJ62" s="185" t="str">
        <f>IF(Tim!GN64=FIT!$E$1,Tim!GN64,"")</f>
        <v/>
      </c>
      <c r="GK62" s="185" t="str">
        <f>IF(Tim!GO64=FIT!$E$1,Tim!GO64,"")</f>
        <v/>
      </c>
      <c r="GL62" s="185" t="str">
        <f>IF(Tim!GP64=FIT!$E$1,Tim!GP64,"")</f>
        <v/>
      </c>
      <c r="GM62" s="185" t="str">
        <f>IF(Tim!GQ64=FIT!$E$1,Tim!GQ64,"")</f>
        <v/>
      </c>
      <c r="GN62" s="185" t="str">
        <f>IF(Tim!GR64=FIT!$E$1,Tim!GR64,"")</f>
        <v/>
      </c>
      <c r="GO62" s="185" t="str">
        <f>IF(Tim!GS64=FIT!$E$1,Tim!GS64,"")</f>
        <v/>
      </c>
      <c r="GP62" s="185" t="str">
        <f>IF(Tim!GT64=FIT!$E$1,Tim!GT64,"")</f>
        <v/>
      </c>
      <c r="GQ62" s="185" t="str">
        <f>IF(Tim!GU64=FIT!$E$1,Tim!GU64,"")</f>
        <v/>
      </c>
      <c r="GR62" s="185" t="str">
        <f>IF(Tim!GV64=FIT!$E$1,Tim!GV64,"")</f>
        <v/>
      </c>
      <c r="GS62" s="185" t="str">
        <f>IF(Tim!GW64=FIT!$E$1,Tim!GW64,"")</f>
        <v/>
      </c>
      <c r="GT62" s="185" t="str">
        <f>IF(Tim!GX64=FIT!$E$1,Tim!GX64,"")</f>
        <v/>
      </c>
      <c r="GU62" s="185" t="str">
        <f>IF(Tim!GY64=FIT!$E$1,Tim!GY64,"")</f>
        <v/>
      </c>
      <c r="GV62" s="185" t="str">
        <f>IF(Tim!GZ64=FIT!$E$1,Tim!GZ64,"")</f>
        <v/>
      </c>
      <c r="GW62" s="185" t="str">
        <f>IF(Tim!HA64=FIT!$E$1,Tim!HA64,"")</f>
        <v/>
      </c>
      <c r="GX62" s="185" t="str">
        <f>IF(Tim!HB64=FIT!$E$1,Tim!HB64,"")</f>
        <v/>
      </c>
      <c r="GY62" s="185" t="str">
        <f>IF(Tim!HC64=FIT!$E$1,Tim!HC64,"")</f>
        <v/>
      </c>
      <c r="GZ62" s="185" t="str">
        <f>IF(Tim!HD64=FIT!$E$1,Tim!HD64,"")</f>
        <v/>
      </c>
      <c r="HA62" s="185" t="str">
        <f>IF(Tim!HE64=FIT!$E$1,Tim!HE64,"")</f>
        <v/>
      </c>
      <c r="HB62" s="185" t="str">
        <f>IF(Tim!HF64=FIT!$E$1,Tim!HF64,"")</f>
        <v/>
      </c>
      <c r="HC62" s="185" t="str">
        <f>IF(Tim!HG64=FIT!$E$1,Tim!HG64,"")</f>
        <v/>
      </c>
      <c r="HD62" s="185" t="str">
        <f>IF(Tim!HH64=FIT!$E$1,Tim!HH64,"")</f>
        <v/>
      </c>
      <c r="HE62" s="185" t="str">
        <f>IF(Tim!HI64=FIT!$E$1,Tim!HI64,"")</f>
        <v/>
      </c>
      <c r="HF62" s="185" t="str">
        <f>IF(Tim!HJ64=FIT!$E$1,Tim!HJ64,"")</f>
        <v/>
      </c>
      <c r="HG62" s="185" t="str">
        <f>IF(Tim!HK64=FIT!$E$1,Tim!HK64,"")</f>
        <v/>
      </c>
      <c r="HH62" s="185" t="str">
        <f>IF(Tim!HL64=FIT!$E$1,Tim!HL64,"")</f>
        <v/>
      </c>
      <c r="HI62" s="185" t="str">
        <f>IF(Tim!HM64=FIT!$E$1,Tim!HM64,"")</f>
        <v/>
      </c>
      <c r="HJ62" s="185" t="str">
        <f>IF(Tim!HN64=FIT!$E$1,Tim!HN64,"")</f>
        <v/>
      </c>
      <c r="HK62" s="185" t="str">
        <f>IF(Tim!HO64=FIT!$E$1,Tim!HO64,"")</f>
        <v/>
      </c>
      <c r="HL62" s="185" t="str">
        <f>IF(Tim!HP64=FIT!$E$1,Tim!HP64,"")</f>
        <v/>
      </c>
      <c r="HM62" s="185" t="str">
        <f>IF(Tim!HQ64=FIT!$E$1,Tim!HQ64,"")</f>
        <v/>
      </c>
      <c r="HN62" s="185" t="str">
        <f>IF(Tim!HR64=FIT!$E$1,Tim!HR64,"")</f>
        <v/>
      </c>
      <c r="HO62" s="185" t="str">
        <f>IF(Tim!HS64=FIT!$E$1,Tim!HS64,"")</f>
        <v/>
      </c>
      <c r="HP62" s="185" t="str">
        <f>IF(Tim!HT64=FIT!$E$1,Tim!HT64,"")</f>
        <v/>
      </c>
      <c r="HQ62" s="185" t="str">
        <f>IF(Tim!HU64=FIT!$E$1,Tim!HU64,"")</f>
        <v/>
      </c>
      <c r="HR62" s="469"/>
      <c r="HS62" s="366"/>
      <c r="HT62" s="366"/>
      <c r="HU62" s="366"/>
      <c r="HV62" s="366"/>
      <c r="HW62" s="366"/>
      <c r="HX62" s="366"/>
      <c r="HY62" s="366"/>
      <c r="HZ62" s="366"/>
      <c r="IA62" s="366"/>
      <c r="IB62" s="366"/>
      <c r="IC62" s="366"/>
      <c r="ID62" s="366"/>
      <c r="IE62" s="366"/>
      <c r="IF62" s="366"/>
      <c r="IG62" s="366"/>
      <c r="IH62" s="366"/>
      <c r="II62" s="366"/>
      <c r="IJ62" s="366"/>
      <c r="IK62" s="366"/>
      <c r="IL62" s="366"/>
      <c r="IM62" s="366"/>
      <c r="IN62" s="366"/>
      <c r="IO62" s="366"/>
      <c r="IP62" s="366"/>
      <c r="IQ62" s="366"/>
      <c r="IR62" s="366"/>
      <c r="IS62" s="366"/>
      <c r="IT62" s="366"/>
      <c r="IU62" s="366"/>
      <c r="IV62" s="366"/>
      <c r="IW62" s="366"/>
      <c r="IX62" s="366"/>
      <c r="IY62" s="366"/>
      <c r="IZ62" s="366"/>
      <c r="JA62" s="366"/>
      <c r="JB62" s="366"/>
      <c r="JC62" s="366"/>
      <c r="JD62" s="366"/>
      <c r="JE62" s="366"/>
      <c r="JF62" s="366"/>
      <c r="JG62" s="366"/>
      <c r="JH62" s="366"/>
      <c r="JI62" s="428"/>
      <c r="JJ62" s="469"/>
      <c r="JK62" s="366"/>
      <c r="JL62" s="366"/>
      <c r="JM62" s="366"/>
      <c r="JN62" s="366"/>
      <c r="JO62" s="366"/>
      <c r="JP62" s="366"/>
      <c r="JQ62" s="366"/>
      <c r="JR62" s="366"/>
      <c r="JS62" s="366"/>
      <c r="JT62" s="366"/>
      <c r="JU62" s="366"/>
      <c r="JV62" s="366"/>
      <c r="JW62" s="366"/>
      <c r="JX62" s="366"/>
      <c r="JY62" s="366"/>
      <c r="JZ62" s="366"/>
      <c r="KA62" s="366"/>
      <c r="KB62" s="366"/>
      <c r="KC62" s="366"/>
      <c r="KD62" s="366"/>
      <c r="KE62" s="366"/>
      <c r="KF62" s="366"/>
      <c r="KG62" s="366"/>
      <c r="KH62" s="366"/>
      <c r="KI62" s="366"/>
      <c r="KJ62" s="366"/>
      <c r="KK62" s="366"/>
      <c r="KL62" s="366"/>
      <c r="KM62" s="366"/>
      <c r="KN62" s="366"/>
      <c r="KO62" s="366"/>
      <c r="KP62" s="366"/>
      <c r="KQ62" s="366"/>
      <c r="KR62" s="366"/>
      <c r="KS62" s="366"/>
      <c r="KT62" s="366"/>
      <c r="KU62" s="366"/>
      <c r="KV62" s="366"/>
      <c r="KW62" s="366"/>
      <c r="KX62" s="366"/>
      <c r="KY62" s="366"/>
      <c r="KZ62" s="366"/>
      <c r="LA62" s="428"/>
      <c r="LB62" s="52">
        <v>0.88541666666666496</v>
      </c>
    </row>
    <row r="63" spans="2:314" ht="10.5" customHeight="1">
      <c r="B63" s="49">
        <v>0.25</v>
      </c>
      <c r="C63" s="49">
        <v>0.25</v>
      </c>
      <c r="D63" s="49">
        <v>0.25</v>
      </c>
      <c r="E63" s="172">
        <v>0.89583333333333204</v>
      </c>
      <c r="F63" s="238" t="str">
        <f>IF(Tim!F65=FIT!$E$1,Tim!F65,"")</f>
        <v/>
      </c>
      <c r="G63" s="185" t="str">
        <f>IF(Tim!G65=FIT!$E$1,Tim!G65,"")</f>
        <v/>
      </c>
      <c r="H63" s="185" t="str">
        <f>IF(Tim!H65=FIT!$E$1,Tim!H65,"")</f>
        <v/>
      </c>
      <c r="I63" s="185" t="str">
        <f>IF(Tim!I65=FIT!$E$1,Tim!I65,"")</f>
        <v/>
      </c>
      <c r="J63" s="185" t="str">
        <f>IF(Tim!J65=FIT!$E$1,Tim!J65,"")</f>
        <v/>
      </c>
      <c r="K63" s="185" t="str">
        <f>IF(Tim!K65=FIT!$E$1,Tim!K65,"")</f>
        <v/>
      </c>
      <c r="L63" s="185" t="str">
        <f>IF(Tim!L65=FIT!$E$1,Tim!L65,"")</f>
        <v/>
      </c>
      <c r="M63" s="185" t="str">
        <f>IF(Tim!M65=FIT!$E$1,Tim!M65,"")</f>
        <v/>
      </c>
      <c r="N63" s="185" t="str">
        <f>IF(Tim!N65=FIT!$E$1,Tim!N65,"")</f>
        <v/>
      </c>
      <c r="O63" s="185" t="str">
        <f>IF(Tim!O65=FIT!$E$1,Tim!O65,"")</f>
        <v/>
      </c>
      <c r="P63" s="185" t="str">
        <f>IF(Tim!P65=FIT!$E$1,Tim!P65,"")</f>
        <v/>
      </c>
      <c r="Q63" s="185" t="str">
        <f>IF(Tim!Q65=FIT!$E$1,Tim!Q65,"")</f>
        <v/>
      </c>
      <c r="R63" s="185" t="str">
        <f>IF(Tim!R65=FIT!$E$1,Tim!R65,"")</f>
        <v/>
      </c>
      <c r="S63" s="185" t="str">
        <f>IF(Tim!S65=FIT!$E$1,Tim!S65,"")</f>
        <v/>
      </c>
      <c r="T63" s="185" t="str">
        <f>IF(Tim!T65=FIT!$E$1,Tim!T65,"")</f>
        <v/>
      </c>
      <c r="U63" s="185" t="str">
        <f>IF(Tim!U65=FIT!$E$1,Tim!U65,"")</f>
        <v/>
      </c>
      <c r="V63" s="185" t="str">
        <f>IF(Tim!W65=FIT!$E$1,Tim!W65,"")</f>
        <v/>
      </c>
      <c r="W63" s="185" t="str">
        <f>IF(Tim!X65=FIT!$E$1,Tim!X65,"")</f>
        <v/>
      </c>
      <c r="X63" s="185" t="str">
        <f>IF(Tim!Y65=FIT!$E$1,Tim!Y65,"")</f>
        <v/>
      </c>
      <c r="Y63" s="185" t="str">
        <f>IF(Tim!Z65=FIT!$E$1,Tim!Z65,"")</f>
        <v/>
      </c>
      <c r="Z63" s="185" t="str">
        <f>IF(Tim!AA65=FIT!$E$1,Tim!AA65,"")</f>
        <v/>
      </c>
      <c r="AA63" s="185" t="str">
        <f>IF(Tim!AB65=FIT!$E$1,Tim!AB65,"")</f>
        <v/>
      </c>
      <c r="AB63" s="185" t="str">
        <f>IF(Tim!AC65=FIT!$E$1,Tim!AC65,"")</f>
        <v/>
      </c>
      <c r="AC63" s="185" t="str">
        <f>IF(Tim!AD65=FIT!$E$1,Tim!AD65,"")</f>
        <v/>
      </c>
      <c r="AD63" s="185" t="str">
        <f>IF(Tim!AE65=FIT!$E$1,Tim!AE65,"")</f>
        <v/>
      </c>
      <c r="AE63" s="185" t="str">
        <f>IF(Tim!AF65=FIT!$E$1,Tim!AF65,"")</f>
        <v/>
      </c>
      <c r="AF63" s="185" t="str">
        <f>IF(Tim!AG65=FIT!$E$1,Tim!AG65,"")</f>
        <v/>
      </c>
      <c r="AG63" s="185" t="str">
        <f>IF(Tim!AH65=FIT!$E$1,Tim!AH65,"")</f>
        <v/>
      </c>
      <c r="AH63" s="185" t="str">
        <f>IF(Tim!AI65=FIT!$E$1,Tim!AI65,"")</f>
        <v/>
      </c>
      <c r="AI63" s="185" t="str">
        <f>IF(Tim!AJ65=FIT!$E$1,Tim!AJ65,"")</f>
        <v/>
      </c>
      <c r="AJ63" s="185" t="str">
        <f>IF(Tim!AK65=FIT!$E$1,Tim!AK65,"")</f>
        <v/>
      </c>
      <c r="AK63" s="185" t="str">
        <f>IF(Tim!AL65=FIT!$E$1,Tim!AL65,"")</f>
        <v/>
      </c>
      <c r="AL63" s="185" t="str">
        <f>IF(Tim!AM65=FIT!$E$1,Tim!AM65,"")</f>
        <v/>
      </c>
      <c r="AM63" s="185" t="str">
        <f>IF(Tim!AN65=FIT!$E$1,Tim!AN65,"")</f>
        <v/>
      </c>
      <c r="AN63" s="185" t="str">
        <f>IF(Tim!AO65=FIT!$E$1,Tim!AO65,"")</f>
        <v/>
      </c>
      <c r="AO63" s="185" t="str">
        <f>IF(Tim!AP65=FIT!$E$1,Tim!AP65,"")</f>
        <v/>
      </c>
      <c r="AP63" s="185" t="str">
        <f>IF(Tim!AQ65=FIT!$E$1,Tim!AQ65,"")</f>
        <v/>
      </c>
      <c r="AQ63" s="185" t="str">
        <f>IF(Tim!AR65=FIT!$E$1,Tim!AR65,"")</f>
        <v/>
      </c>
      <c r="AR63" s="185" t="str">
        <f>IF(Tim!AS65=FIT!$E$1,Tim!AS65,"")</f>
        <v/>
      </c>
      <c r="AS63" s="185" t="str">
        <f>IF(Tim!AT65=FIT!$E$1,Tim!AT65,"")</f>
        <v/>
      </c>
      <c r="AT63" s="185" t="str">
        <f>IF(Tim!AU65=FIT!$E$1,Tim!AU65,"")</f>
        <v/>
      </c>
      <c r="AU63" s="185" t="str">
        <f>IF(Tim!AV65=FIT!$E$1,Tim!AV65,"")</f>
        <v/>
      </c>
      <c r="AV63" s="185" t="str">
        <f>IF(Tim!AW65=FIT!$E$1,Tim!AW65,"")</f>
        <v/>
      </c>
      <c r="AW63" s="186" t="str">
        <f>IF(Tim!AX65=FIT!$E$1,Tim!AX65,"")</f>
        <v/>
      </c>
      <c r="AX63" s="243" t="str">
        <f>IF(Tim!AY65=FIT!$E$1,Tim!AY65,"")</f>
        <v/>
      </c>
      <c r="AY63" s="185" t="str">
        <f>IF(Tim!AZ65=FIT!$E$1,Tim!AZ65,"")</f>
        <v/>
      </c>
      <c r="AZ63" s="185" t="str">
        <f>IF(Tim!BA65=FIT!$E$1,Tim!BA65,"")</f>
        <v/>
      </c>
      <c r="BA63" s="185" t="str">
        <f>IF(Tim!BB65=FIT!$E$1,Tim!BB65,"")</f>
        <v/>
      </c>
      <c r="BB63" s="185" t="str">
        <f>IF(Tim!BC65=FIT!$E$1,Tim!BC65,"")</f>
        <v/>
      </c>
      <c r="BC63" s="185" t="str">
        <f>IF(Tim!BD65=FIT!$E$1,Tim!BD65,"")</f>
        <v/>
      </c>
      <c r="BD63" s="185" t="str">
        <f>IF(Tim!BE65=FIT!$E$1,Tim!BE65,"")</f>
        <v/>
      </c>
      <c r="BE63" s="185" t="str">
        <f>IF(Tim!BF65=FIT!$E$1,Tim!BF65,"")</f>
        <v/>
      </c>
      <c r="BF63" s="185" t="str">
        <f>IF(Tim!BG65=FIT!$E$1,Tim!BG65,"")</f>
        <v/>
      </c>
      <c r="BG63" s="185" t="str">
        <f>IF(Tim!BH65=FIT!$E$1,Tim!BH65,"")</f>
        <v/>
      </c>
      <c r="BH63" s="185" t="str">
        <f>IF(Tim!BI65=FIT!$E$1,Tim!BI65,"")</f>
        <v/>
      </c>
      <c r="BI63" s="185" t="str">
        <f>IF(Tim!BJ65=FIT!$E$1,Tim!BJ65,"")</f>
        <v/>
      </c>
      <c r="BJ63" s="185" t="str">
        <f>IF(Tim!BK65=FIT!$E$1,Tim!BK65,"")</f>
        <v/>
      </c>
      <c r="BK63" s="185" t="str">
        <f>IF(Tim!BL65=FIT!$E$1,Tim!BL65,"")</f>
        <v/>
      </c>
      <c r="BL63" s="185" t="str">
        <f>IF(Tim!BM65=FIT!$E$1,Tim!BM65,"")</f>
        <v/>
      </c>
      <c r="BM63" s="185" t="str">
        <f>IF(Tim!BN65=FIT!$E$1,Tim!BN65,"")</f>
        <v/>
      </c>
      <c r="BN63" s="185" t="str">
        <f>IF(Tim!BO65=FIT!$E$1,Tim!BO65,"")</f>
        <v/>
      </c>
      <c r="BO63" s="185" t="str">
        <f>IF(Tim!BP65=FIT!$E$1,Tim!BP65,"")</f>
        <v/>
      </c>
      <c r="BP63" s="185" t="str">
        <f>IF(Tim!BQ65=FIT!$E$1,Tim!BQ65,"")</f>
        <v/>
      </c>
      <c r="BQ63" s="185" t="str">
        <f>IF(Tim!BR65=FIT!$E$1,Tim!BR65,"")</f>
        <v/>
      </c>
      <c r="BR63" s="185" t="str">
        <f>IF(Tim!BS65=FIT!$E$1,Tim!BS65,"")</f>
        <v/>
      </c>
      <c r="BS63" s="185" t="str">
        <f>IF(Tim!BT65=FIT!$E$1,Tim!BT65,"")</f>
        <v/>
      </c>
      <c r="BT63" s="185" t="str">
        <f>IF(Tim!BU65=FIT!$E$1,Tim!BU65,"")</f>
        <v/>
      </c>
      <c r="BU63" s="185" t="str">
        <f>IF(Tim!BV65=FIT!$E$1,Tim!BV65,"")</f>
        <v/>
      </c>
      <c r="BV63" s="185" t="str">
        <f>IF(Tim!BW65=FIT!$E$1,Tim!BW65,"")</f>
        <v/>
      </c>
      <c r="BW63" s="185" t="str">
        <f>IF(Tim!BX65=FIT!$E$1,Tim!BX65,"")</f>
        <v/>
      </c>
      <c r="BX63" s="185" t="str">
        <f>IF(Tim!BY65=FIT!$E$1,Tim!BY65,"")</f>
        <v/>
      </c>
      <c r="BY63" s="185" t="str">
        <f>IF(Tim!BZ65=FIT!$E$1,Tim!BZ65,"")</f>
        <v/>
      </c>
      <c r="BZ63" s="185" t="str">
        <f>IF(Tim!CA65=FIT!$E$1,Tim!CA65,"")</f>
        <v/>
      </c>
      <c r="CA63" s="185" t="str">
        <f>IF(Tim!CB65=FIT!$E$1,Tim!CB65,"")</f>
        <v/>
      </c>
      <c r="CB63" s="185" t="str">
        <f>IF(Tim!CC65=FIT!$E$1,Tim!CC65,"")</f>
        <v/>
      </c>
      <c r="CC63" s="185" t="str">
        <f>IF(Tim!CD65=FIT!$E$1,Tim!CD65,"")</f>
        <v/>
      </c>
      <c r="CD63" s="185" t="str">
        <f>IF(Tim!CE65=FIT!$E$1,Tim!CE65,"")</f>
        <v/>
      </c>
      <c r="CE63" s="185" t="str">
        <f>IF(Tim!CF65=FIT!$E$1,Tim!CF65,"")</f>
        <v/>
      </c>
      <c r="CF63" s="185" t="str">
        <f>IF(Tim!CG65=FIT!$E$1,Tim!CG65,"")</f>
        <v/>
      </c>
      <c r="CG63" s="185" t="str">
        <f>IF(Tim!CH65=FIT!$E$1,Tim!CH65,"")</f>
        <v/>
      </c>
      <c r="CH63" s="185" t="str">
        <f>IF(Tim!CI65=FIT!$E$1,Tim!CI65,"")</f>
        <v/>
      </c>
      <c r="CI63" s="185" t="str">
        <f>IF(Tim!CJ65=FIT!$E$1,Tim!CJ65,"")</f>
        <v/>
      </c>
      <c r="CJ63" s="185" t="str">
        <f>IF(Tim!CK65=FIT!$E$1,Tim!CK65,"")</f>
        <v/>
      </c>
      <c r="CK63" s="185" t="str">
        <f>IF(Tim!CL65=FIT!$E$1,Tim!CL65,"")</f>
        <v/>
      </c>
      <c r="CL63" s="185" t="str">
        <f>IF(Tim!CM65=FIT!$E$1,Tim!CM65,"")</f>
        <v/>
      </c>
      <c r="CM63" s="185" t="str">
        <f>IF(Tim!CN65=FIT!$E$1,Tim!CN65,"")</f>
        <v/>
      </c>
      <c r="CN63" s="185" t="str">
        <f>IF(Tim!CO65=FIT!$E$1,Tim!CO65,"")</f>
        <v/>
      </c>
      <c r="CO63" s="185" t="str">
        <f>IF(Tim!CP65=FIT!$E$1,Tim!CP65,"")</f>
        <v/>
      </c>
      <c r="CP63" s="185" t="str">
        <f>IF(Tim!CQ65=FIT!$E$1,Tim!CQ65,"")</f>
        <v/>
      </c>
      <c r="CQ63" s="185" t="str">
        <f>IF(Tim!CR65=FIT!$E$1,Tim!CR65,"")</f>
        <v/>
      </c>
      <c r="CR63" s="185" t="str">
        <f>IF(Tim!CS65=FIT!$E$1,Tim!CS65,"")</f>
        <v/>
      </c>
      <c r="CS63" s="185" t="str">
        <f>IF(Tim!CT65=FIT!$E$1,Tim!CT65,"")</f>
        <v/>
      </c>
      <c r="CT63" s="185" t="str">
        <f>IF(Tim!CU65=FIT!$E$1,Tim!CU65,"")</f>
        <v/>
      </c>
      <c r="CU63" s="185" t="str">
        <f>IF(Tim!CV65=FIT!$E$1,Tim!CV65,"")</f>
        <v/>
      </c>
      <c r="CV63" s="185" t="str">
        <f>IF(Tim!CW65=FIT!$E$1,Tim!CW65,"")</f>
        <v/>
      </c>
      <c r="CW63" s="185" t="str">
        <f>IF(Tim!CX65=FIT!$E$1,Tim!CX65,"")</f>
        <v/>
      </c>
      <c r="CX63" s="185" t="str">
        <f>IF(Tim!CY65=FIT!$E$1,Tim!CY65,"")</f>
        <v/>
      </c>
      <c r="CY63" s="185" t="str">
        <f>IF(Tim!CZ65=FIT!$E$1,Tim!CZ65,"")</f>
        <v/>
      </c>
      <c r="CZ63" s="185" t="str">
        <f>IF(Tim!DA65=FIT!$E$1,Tim!DA65,"")</f>
        <v/>
      </c>
      <c r="DA63" s="185" t="str">
        <f>IF(Tim!DB65=FIT!$E$1,Tim!DB65,"")</f>
        <v/>
      </c>
      <c r="DB63" s="185" t="str">
        <f>IF(Tim!DC65=FIT!$E$1,Tim!DC65,"")</f>
        <v/>
      </c>
      <c r="DC63" s="185" t="str">
        <f>IF(Tim!DD65=FIT!$E$1,Tim!DD65,"")</f>
        <v/>
      </c>
      <c r="DD63" s="185" t="str">
        <f>IF(Tim!DE65=FIT!$E$1,Tim!DE65,"")</f>
        <v/>
      </c>
      <c r="DE63" s="185" t="str">
        <f>IF(Tim!DF65=FIT!$E$1,Tim!DF65,"")</f>
        <v/>
      </c>
      <c r="DF63" s="185" t="str">
        <f>IF(Tim!DG65=FIT!$E$1,Tim!DG65,"")</f>
        <v/>
      </c>
      <c r="DG63" s="185" t="str">
        <f>IF(Tim!DH65=FIT!$E$1,Tim!DH65,"")</f>
        <v/>
      </c>
      <c r="DH63" s="185" t="str">
        <f>IF(Tim!DI65=FIT!$E$1,Tim!DI65,"")</f>
        <v/>
      </c>
      <c r="DI63" s="185" t="str">
        <f>IF(Tim!DM65=FIT!$E$1,Tim!DM65,"")</f>
        <v/>
      </c>
      <c r="DJ63" s="185" t="str">
        <f>IF(Tim!DN65=FIT!$E$1,Tim!DN65,"")</f>
        <v/>
      </c>
      <c r="DK63" s="185" t="str">
        <f>IF(Tim!DO65=FIT!$E$1,Tim!DO65,"")</f>
        <v/>
      </c>
      <c r="DL63" s="185" t="str">
        <f>IF(Tim!DP65=FIT!$E$1,Tim!DP65,"")</f>
        <v/>
      </c>
      <c r="DM63" s="185" t="str">
        <f>IF(Tim!DQ65=FIT!$E$1,Tim!DQ65,"")</f>
        <v/>
      </c>
      <c r="DN63" s="185" t="str">
        <f>IF(Tim!DR65=FIT!$E$1,Tim!DR65,"")</f>
        <v/>
      </c>
      <c r="DO63" s="185" t="str">
        <f>IF(Tim!DS65=FIT!$E$1,Tim!DS65,"")</f>
        <v/>
      </c>
      <c r="DP63" s="185" t="str">
        <f>IF(Tim!DT65=FIT!$E$1,Tim!DT65,"")</f>
        <v/>
      </c>
      <c r="DQ63" s="185" t="str">
        <f>IF(Tim!DU65=FIT!$E$1,Tim!DU65,"")</f>
        <v/>
      </c>
      <c r="DR63" s="185" t="str">
        <f>IF(Tim!DV65=FIT!$E$1,Tim!DV65,"")</f>
        <v/>
      </c>
      <c r="DS63" s="185" t="str">
        <f>IF(Tim!DW65=FIT!$E$1,Tim!DW65,"")</f>
        <v/>
      </c>
      <c r="DT63" s="185" t="str">
        <f>IF(Tim!DX65=FIT!$E$1,Tim!DX65,"")</f>
        <v/>
      </c>
      <c r="DU63" s="185" t="str">
        <f>IF(Tim!DY65=FIT!$E$1,Tim!DY65,"")</f>
        <v/>
      </c>
      <c r="DV63" s="185" t="str">
        <f>IF(Tim!DZ65=FIT!$E$1,Tim!DZ65,"")</f>
        <v/>
      </c>
      <c r="DW63" s="185" t="str">
        <f>IF(Tim!EA65=FIT!$E$1,Tim!EA65,"")</f>
        <v/>
      </c>
      <c r="DX63" s="185" t="str">
        <f>IF(Tim!EB65=FIT!$E$1,Tim!EB65,"")</f>
        <v/>
      </c>
      <c r="DY63" s="185" t="str">
        <f>IF(Tim!EC65=FIT!$E$1,Tim!EC65,"")</f>
        <v/>
      </c>
      <c r="DZ63" s="185" t="str">
        <f>IF(Tim!ED65=FIT!$E$1,Tim!ED65,"")</f>
        <v/>
      </c>
      <c r="EA63" s="185" t="str">
        <f>IF(Tim!EE65=FIT!$E$1,Tim!EE65,"")</f>
        <v/>
      </c>
      <c r="EB63" s="185" t="str">
        <f>IF(Tim!EF65=FIT!$E$1,Tim!EF65,"")</f>
        <v/>
      </c>
      <c r="EC63" s="185" t="str">
        <f>IF(Tim!EG65=FIT!$E$1,Tim!EG65,"")</f>
        <v/>
      </c>
      <c r="ED63" s="185" t="str">
        <f>IF(Tim!EH65=FIT!$E$1,Tim!EH65,"")</f>
        <v/>
      </c>
      <c r="EE63" s="185" t="str">
        <f>IF(Tim!EI65=FIT!$E$1,Tim!EI65,"")</f>
        <v/>
      </c>
      <c r="EF63" s="185" t="str">
        <f>IF(Tim!EJ65=FIT!$E$1,Tim!EJ65,"")</f>
        <v/>
      </c>
      <c r="EG63" s="185" t="str">
        <f>IF(Tim!EK65=FIT!$E$1,Tim!EK65,"")</f>
        <v/>
      </c>
      <c r="EH63" s="185" t="str">
        <f>IF(Tim!EL65=FIT!$E$1,Tim!EL65,"")</f>
        <v/>
      </c>
      <c r="EI63" s="185" t="str">
        <f>IF(Tim!EM65=FIT!$E$1,Tim!EM65,"")</f>
        <v/>
      </c>
      <c r="EJ63" s="185" t="str">
        <f>IF(Tim!EN65=FIT!$E$1,Tim!EN65,"")</f>
        <v/>
      </c>
      <c r="EK63" s="185" t="str">
        <f>IF(Tim!EO65=FIT!$E$1,Tim!EO65,"")</f>
        <v/>
      </c>
      <c r="EL63" s="185" t="str">
        <f>IF(Tim!EP65=FIT!$E$1,Tim!EP65,"")</f>
        <v/>
      </c>
      <c r="EM63" s="185" t="str">
        <f>IF(Tim!EQ65=FIT!$E$1,Tim!EQ65,"")</f>
        <v/>
      </c>
      <c r="EN63" s="185" t="str">
        <f>IF(Tim!ER65=FIT!$E$1,Tim!ER65,"")</f>
        <v/>
      </c>
      <c r="EO63" s="185" t="str">
        <f>IF(Tim!ES65=FIT!$E$1,Tim!ES65,"")</f>
        <v/>
      </c>
      <c r="EP63" s="185" t="str">
        <f>IF(Tim!ET65=FIT!$E$1,Tim!ET65,"")</f>
        <v/>
      </c>
      <c r="EQ63" s="185" t="str">
        <f>IF(Tim!EU65=FIT!$E$1,Tim!EU65,"")</f>
        <v/>
      </c>
      <c r="ER63" s="185" t="str">
        <f>IF(Tim!EV65=FIT!$E$1,Tim!EV65,"")</f>
        <v/>
      </c>
      <c r="ES63" s="185" t="str">
        <f>IF(Tim!EW65=FIT!$E$1,Tim!EW65,"")</f>
        <v/>
      </c>
      <c r="ET63" s="185" t="str">
        <f>IF(Tim!EX65=FIT!$E$1,Tim!EX65,"")</f>
        <v/>
      </c>
      <c r="EU63" s="185" t="str">
        <f>IF(Tim!EY65=FIT!$E$1,Tim!EY65,"")</f>
        <v/>
      </c>
      <c r="EV63" s="185" t="str">
        <f>IF(Tim!EZ65=FIT!$E$1,Tim!EZ65,"")</f>
        <v/>
      </c>
      <c r="EW63" s="185" t="str">
        <f>IF(Tim!FA65=FIT!$E$1,Tim!FA65,"")</f>
        <v/>
      </c>
      <c r="EX63" s="185" t="str">
        <f>IF(Tim!FB65=FIT!$E$1,Tim!FB65,"")</f>
        <v/>
      </c>
      <c r="EY63" s="185" t="str">
        <f>IF(Tim!FC65=FIT!$E$1,Tim!FC65,"")</f>
        <v/>
      </c>
      <c r="EZ63" s="185" t="str">
        <f>IF(Tim!FD65=FIT!$E$1,Tim!FD65,"")</f>
        <v/>
      </c>
      <c r="FA63" s="185" t="str">
        <f>IF(Tim!FE65=FIT!$E$1,Tim!FE65,"")</f>
        <v/>
      </c>
      <c r="FB63" s="185" t="str">
        <f>IF(Tim!FF65=FIT!$E$1,Tim!FF65,"")</f>
        <v/>
      </c>
      <c r="FC63" s="185" t="str">
        <f>IF(Tim!FG65=FIT!$E$1,Tim!FG65,"")</f>
        <v/>
      </c>
      <c r="FD63" s="185" t="str">
        <f>IF(Tim!FH65=FIT!$E$1,Tim!FH65,"")</f>
        <v/>
      </c>
      <c r="FE63" s="185" t="str">
        <f>IF(Tim!FI65=FIT!$E$1,Tim!FI65,"")</f>
        <v/>
      </c>
      <c r="FF63" s="185" t="str">
        <f>IF(Tim!FJ65=FIT!$E$1,Tim!FJ65,"")</f>
        <v/>
      </c>
      <c r="FG63" s="185" t="str">
        <f>IF(Tim!FK65=FIT!$E$1,Tim!FK65,"")</f>
        <v/>
      </c>
      <c r="FH63" s="185" t="str">
        <f>IF(Tim!FL65=FIT!$E$1,Tim!FL65,"")</f>
        <v/>
      </c>
      <c r="FI63" s="185" t="str">
        <f>IF(Tim!FM65=FIT!$E$1,Tim!FM65,"")</f>
        <v/>
      </c>
      <c r="FJ63" s="185" t="str">
        <f>IF(Tim!FN65=FIT!$E$1,Tim!FN65,"")</f>
        <v/>
      </c>
      <c r="FK63" s="185" t="str">
        <f>IF(Tim!FO65=FIT!$E$1,Tim!FO65,"")</f>
        <v/>
      </c>
      <c r="FL63" s="185" t="str">
        <f>IF(Tim!FP65=FIT!$E$1,Tim!FP65,"")</f>
        <v/>
      </c>
      <c r="FM63" s="185" t="str">
        <f>IF(Tim!FQ65=FIT!$E$1,Tim!FQ65,"")</f>
        <v/>
      </c>
      <c r="FN63" s="185" t="str">
        <f>IF(Tim!FR65=FIT!$E$1,Tim!FR65,"")</f>
        <v/>
      </c>
      <c r="FO63" s="185" t="str">
        <f>IF(Tim!FS65=FIT!$E$1,Tim!FS65,"")</f>
        <v/>
      </c>
      <c r="FP63" s="185" t="str">
        <f>IF(Tim!FT65=FIT!$E$1,Tim!FT65,"")</f>
        <v/>
      </c>
      <c r="FQ63" s="185" t="str">
        <f>IF(Tim!FU65=FIT!$E$1,Tim!FU65,"")</f>
        <v/>
      </c>
      <c r="FR63" s="185" t="str">
        <f>IF(Tim!FV65=FIT!$E$1,Tim!FV65,"")</f>
        <v/>
      </c>
      <c r="FS63" s="185" t="str">
        <f>IF(Tim!FW65=FIT!$E$1,Tim!FW65,"")</f>
        <v/>
      </c>
      <c r="FT63" s="185" t="str">
        <f>IF(Tim!FX65=FIT!$E$1,Tim!FX65,"")</f>
        <v/>
      </c>
      <c r="FU63" s="185" t="str">
        <f>IF(Tim!FY65=FIT!$E$1,Tim!FY65,"")</f>
        <v/>
      </c>
      <c r="FV63" s="185" t="str">
        <f>IF(Tim!FZ65=FIT!$E$1,Tim!FZ65,"")</f>
        <v/>
      </c>
      <c r="FW63" s="185" t="str">
        <f>IF(Tim!GA65=FIT!$E$1,Tim!GA65,"")</f>
        <v/>
      </c>
      <c r="FX63" s="185" t="str">
        <f>IF(Tim!GB65=FIT!$E$1,Tim!GB65,"")</f>
        <v/>
      </c>
      <c r="FY63" s="185" t="str">
        <f>IF(Tim!GC65=FIT!$E$1,Tim!GC65,"")</f>
        <v/>
      </c>
      <c r="FZ63" s="185" t="str">
        <f>IF(Tim!GD65=FIT!$E$1,Tim!GD65,"")</f>
        <v/>
      </c>
      <c r="GA63" s="185" t="str">
        <f>IF(Tim!GE65=FIT!$E$1,Tim!GE65,"")</f>
        <v/>
      </c>
      <c r="GB63" s="185" t="str">
        <f>IF(Tim!GF65=FIT!$E$1,Tim!GF65,"")</f>
        <v/>
      </c>
      <c r="GC63" s="185" t="str">
        <f>IF(Tim!GG65=FIT!$E$1,Tim!GG65,"")</f>
        <v/>
      </c>
      <c r="GD63" s="185" t="str">
        <f>IF(Tim!GH65=FIT!$E$1,Tim!GH65,"")</f>
        <v/>
      </c>
      <c r="GE63" s="185" t="str">
        <f>IF(Tim!GI65=FIT!$E$1,Tim!GI65,"")</f>
        <v/>
      </c>
      <c r="GF63" s="185" t="str">
        <f>IF(Tim!GJ65=FIT!$E$1,Tim!GJ65,"")</f>
        <v/>
      </c>
      <c r="GG63" s="185" t="str">
        <f>IF(Tim!GK65=FIT!$E$1,Tim!GK65,"")</f>
        <v/>
      </c>
      <c r="GH63" s="185" t="str">
        <f>IF(Tim!GL65=FIT!$E$1,Tim!GL65,"")</f>
        <v/>
      </c>
      <c r="GI63" s="185" t="str">
        <f>IF(Tim!GM65=FIT!$E$1,Tim!GM65,"")</f>
        <v/>
      </c>
      <c r="GJ63" s="185" t="str">
        <f>IF(Tim!GN65=FIT!$E$1,Tim!GN65,"")</f>
        <v/>
      </c>
      <c r="GK63" s="185" t="str">
        <f>IF(Tim!GO65=FIT!$E$1,Tim!GO65,"")</f>
        <v/>
      </c>
      <c r="GL63" s="185" t="str">
        <f>IF(Tim!GP65=FIT!$E$1,Tim!GP65,"")</f>
        <v/>
      </c>
      <c r="GM63" s="185" t="str">
        <f>IF(Tim!GQ65=FIT!$E$1,Tim!GQ65,"")</f>
        <v/>
      </c>
      <c r="GN63" s="185" t="str">
        <f>IF(Tim!GR65=FIT!$E$1,Tim!GR65,"")</f>
        <v/>
      </c>
      <c r="GO63" s="185" t="str">
        <f>IF(Tim!GS65=FIT!$E$1,Tim!GS65,"")</f>
        <v/>
      </c>
      <c r="GP63" s="185" t="str">
        <f>IF(Tim!GT65=FIT!$E$1,Tim!GT65,"")</f>
        <v/>
      </c>
      <c r="GQ63" s="185" t="str">
        <f>IF(Tim!GU65=FIT!$E$1,Tim!GU65,"")</f>
        <v/>
      </c>
      <c r="GR63" s="185" t="str">
        <f>IF(Tim!GV65=FIT!$E$1,Tim!GV65,"")</f>
        <v/>
      </c>
      <c r="GS63" s="185" t="str">
        <f>IF(Tim!GW65=FIT!$E$1,Tim!GW65,"")</f>
        <v/>
      </c>
      <c r="GT63" s="185" t="str">
        <f>IF(Tim!GX65=FIT!$E$1,Tim!GX65,"")</f>
        <v/>
      </c>
      <c r="GU63" s="185" t="str">
        <f>IF(Tim!GY65=FIT!$E$1,Tim!GY65,"")</f>
        <v/>
      </c>
      <c r="GV63" s="185" t="str">
        <f>IF(Tim!GZ65=FIT!$E$1,Tim!GZ65,"")</f>
        <v/>
      </c>
      <c r="GW63" s="185" t="str">
        <f>IF(Tim!HA65=FIT!$E$1,Tim!HA65,"")</f>
        <v/>
      </c>
      <c r="GX63" s="185" t="str">
        <f>IF(Tim!HB65=FIT!$E$1,Tim!HB65,"")</f>
        <v/>
      </c>
      <c r="GY63" s="185" t="str">
        <f>IF(Tim!HC65=FIT!$E$1,Tim!HC65,"")</f>
        <v/>
      </c>
      <c r="GZ63" s="185" t="str">
        <f>IF(Tim!HD65=FIT!$E$1,Tim!HD65,"")</f>
        <v/>
      </c>
      <c r="HA63" s="185" t="str">
        <f>IF(Tim!HE65=FIT!$E$1,Tim!HE65,"")</f>
        <v/>
      </c>
      <c r="HB63" s="185" t="str">
        <f>IF(Tim!HF65=FIT!$E$1,Tim!HF65,"")</f>
        <v/>
      </c>
      <c r="HC63" s="185" t="str">
        <f>IF(Tim!HG65=FIT!$E$1,Tim!HG65,"")</f>
        <v/>
      </c>
      <c r="HD63" s="185" t="str">
        <f>IF(Tim!HH65=FIT!$E$1,Tim!HH65,"")</f>
        <v/>
      </c>
      <c r="HE63" s="185" t="str">
        <f>IF(Tim!HI65=FIT!$E$1,Tim!HI65,"")</f>
        <v/>
      </c>
      <c r="HF63" s="185" t="str">
        <f>IF(Tim!HJ65=FIT!$E$1,Tim!HJ65,"")</f>
        <v/>
      </c>
      <c r="HG63" s="185" t="str">
        <f>IF(Tim!HK65=FIT!$E$1,Tim!HK65,"")</f>
        <v/>
      </c>
      <c r="HH63" s="185" t="str">
        <f>IF(Tim!HL65=FIT!$E$1,Tim!HL65,"")</f>
        <v/>
      </c>
      <c r="HI63" s="185" t="str">
        <f>IF(Tim!HM65=FIT!$E$1,Tim!HM65,"")</f>
        <v/>
      </c>
      <c r="HJ63" s="185" t="str">
        <f>IF(Tim!HN65=FIT!$E$1,Tim!HN65,"")</f>
        <v/>
      </c>
      <c r="HK63" s="185" t="str">
        <f>IF(Tim!HO65=FIT!$E$1,Tim!HO65,"")</f>
        <v/>
      </c>
      <c r="HL63" s="185" t="str">
        <f>IF(Tim!HP65=FIT!$E$1,Tim!HP65,"")</f>
        <v/>
      </c>
      <c r="HM63" s="185" t="str">
        <f>IF(Tim!HQ65=FIT!$E$1,Tim!HQ65,"")</f>
        <v/>
      </c>
      <c r="HN63" s="185" t="str">
        <f>IF(Tim!HR65=FIT!$E$1,Tim!HR65,"")</f>
        <v/>
      </c>
      <c r="HO63" s="185" t="str">
        <f>IF(Tim!HS65=FIT!$E$1,Tim!HS65,"")</f>
        <v/>
      </c>
      <c r="HP63" s="185" t="str">
        <f>IF(Tim!HT65=FIT!$E$1,Tim!HT65,"")</f>
        <v/>
      </c>
      <c r="HQ63" s="185" t="str">
        <f>IF(Tim!HU65=FIT!$E$1,Tim!HU65,"")</f>
        <v/>
      </c>
      <c r="HR63" s="469"/>
      <c r="HS63" s="366"/>
      <c r="HT63" s="366"/>
      <c r="HU63" s="366"/>
      <c r="HV63" s="366"/>
      <c r="HW63" s="366"/>
      <c r="HX63" s="366"/>
      <c r="HY63" s="366"/>
      <c r="HZ63" s="366"/>
      <c r="IA63" s="366"/>
      <c r="IB63" s="366"/>
      <c r="IC63" s="366"/>
      <c r="ID63" s="366"/>
      <c r="IE63" s="366"/>
      <c r="IF63" s="366"/>
      <c r="IG63" s="366"/>
      <c r="IH63" s="366"/>
      <c r="II63" s="366"/>
      <c r="IJ63" s="366"/>
      <c r="IK63" s="366"/>
      <c r="IL63" s="366"/>
      <c r="IM63" s="366"/>
      <c r="IN63" s="366"/>
      <c r="IO63" s="366"/>
      <c r="IP63" s="366"/>
      <c r="IQ63" s="366"/>
      <c r="IR63" s="366"/>
      <c r="IS63" s="366"/>
      <c r="IT63" s="366"/>
      <c r="IU63" s="366"/>
      <c r="IV63" s="366"/>
      <c r="IW63" s="366"/>
      <c r="IX63" s="366"/>
      <c r="IY63" s="366"/>
      <c r="IZ63" s="366"/>
      <c r="JA63" s="366"/>
      <c r="JB63" s="366"/>
      <c r="JC63" s="366"/>
      <c r="JD63" s="366"/>
      <c r="JE63" s="366"/>
      <c r="JF63" s="366"/>
      <c r="JG63" s="366"/>
      <c r="JH63" s="366"/>
      <c r="JI63" s="428"/>
      <c r="JJ63" s="469"/>
      <c r="JK63" s="366"/>
      <c r="JL63" s="366"/>
      <c r="JM63" s="366"/>
      <c r="JN63" s="366"/>
      <c r="JO63" s="366"/>
      <c r="JP63" s="366"/>
      <c r="JQ63" s="366"/>
      <c r="JR63" s="366"/>
      <c r="JS63" s="366"/>
      <c r="JT63" s="366"/>
      <c r="JU63" s="366"/>
      <c r="JV63" s="366"/>
      <c r="JW63" s="366"/>
      <c r="JX63" s="366"/>
      <c r="JY63" s="366"/>
      <c r="JZ63" s="366"/>
      <c r="KA63" s="366"/>
      <c r="KB63" s="366"/>
      <c r="KC63" s="366"/>
      <c r="KD63" s="366"/>
      <c r="KE63" s="366"/>
      <c r="KF63" s="366"/>
      <c r="KG63" s="366"/>
      <c r="KH63" s="366"/>
      <c r="KI63" s="366"/>
      <c r="KJ63" s="366"/>
      <c r="KK63" s="366"/>
      <c r="KL63" s="366"/>
      <c r="KM63" s="366"/>
      <c r="KN63" s="366"/>
      <c r="KO63" s="366"/>
      <c r="KP63" s="366"/>
      <c r="KQ63" s="366"/>
      <c r="KR63" s="366"/>
      <c r="KS63" s="366"/>
      <c r="KT63" s="366"/>
      <c r="KU63" s="366"/>
      <c r="KV63" s="366"/>
      <c r="KW63" s="366"/>
      <c r="KX63" s="366"/>
      <c r="KY63" s="366"/>
      <c r="KZ63" s="366"/>
      <c r="LA63" s="428"/>
      <c r="LB63" s="52">
        <v>0.89583333333333204</v>
      </c>
    </row>
    <row r="64" spans="2:314" ht="10.5" customHeight="1">
      <c r="B64" s="49">
        <v>0.25</v>
      </c>
      <c r="C64" s="49">
        <v>0.25</v>
      </c>
      <c r="D64" s="49">
        <v>0.25</v>
      </c>
      <c r="E64" s="172">
        <v>0.906249999999998</v>
      </c>
      <c r="F64" s="238" t="str">
        <f>IF(Tim!F66=FIT!$E$1,Tim!F66,"")</f>
        <v/>
      </c>
      <c r="G64" s="185" t="str">
        <f>IF(Tim!G66=FIT!$E$1,Tim!G66,"")</f>
        <v/>
      </c>
      <c r="H64" s="185" t="str">
        <f>IF(Tim!H66=FIT!$E$1,Tim!H66,"")</f>
        <v/>
      </c>
      <c r="I64" s="185" t="str">
        <f>IF(Tim!I66=FIT!$E$1,Tim!I66,"")</f>
        <v/>
      </c>
      <c r="J64" s="185" t="str">
        <f>IF(Tim!J66=FIT!$E$1,Tim!J66,"")</f>
        <v/>
      </c>
      <c r="K64" s="185" t="str">
        <f>IF(Tim!K66=FIT!$E$1,Tim!K66,"")</f>
        <v/>
      </c>
      <c r="L64" s="185" t="str">
        <f>IF(Tim!L66=FIT!$E$1,Tim!L66,"")</f>
        <v/>
      </c>
      <c r="M64" s="185" t="str">
        <f>IF(Tim!M66=FIT!$E$1,Tim!M66,"")</f>
        <v/>
      </c>
      <c r="N64" s="185" t="str">
        <f>IF(Tim!N66=FIT!$E$1,Tim!N66,"")</f>
        <v/>
      </c>
      <c r="O64" s="185" t="str">
        <f>IF(Tim!O66=FIT!$E$1,Tim!O66,"")</f>
        <v/>
      </c>
      <c r="P64" s="185" t="str">
        <f>IF(Tim!P66=FIT!$E$1,Tim!P66,"")</f>
        <v/>
      </c>
      <c r="Q64" s="185" t="str">
        <f>IF(Tim!Q66=FIT!$E$1,Tim!Q66,"")</f>
        <v/>
      </c>
      <c r="R64" s="185" t="str">
        <f>IF(Tim!R66=FIT!$E$1,Tim!R66,"")</f>
        <v/>
      </c>
      <c r="S64" s="185" t="str">
        <f>IF(Tim!S66=FIT!$E$1,Tim!S66,"")</f>
        <v/>
      </c>
      <c r="T64" s="185" t="str">
        <f>IF(Tim!T66=FIT!$E$1,Tim!T66,"")</f>
        <v/>
      </c>
      <c r="U64" s="185" t="str">
        <f>IF(Tim!U66=FIT!$E$1,Tim!U66,"")</f>
        <v/>
      </c>
      <c r="V64" s="185" t="str">
        <f>IF(Tim!W66=FIT!$E$1,Tim!W66,"")</f>
        <v/>
      </c>
      <c r="W64" s="185" t="str">
        <f>IF(Tim!X66=FIT!$E$1,Tim!X66,"")</f>
        <v/>
      </c>
      <c r="X64" s="185" t="str">
        <f>IF(Tim!Y66=FIT!$E$1,Tim!Y66,"")</f>
        <v/>
      </c>
      <c r="Y64" s="185" t="str">
        <f>IF(Tim!Z66=FIT!$E$1,Tim!Z66,"")</f>
        <v/>
      </c>
      <c r="Z64" s="185" t="str">
        <f>IF(Tim!AA66=FIT!$E$1,Tim!AA66,"")</f>
        <v/>
      </c>
      <c r="AA64" s="185" t="str">
        <f>IF(Tim!AB66=FIT!$E$1,Tim!AB66,"")</f>
        <v/>
      </c>
      <c r="AB64" s="185" t="str">
        <f>IF(Tim!AC66=FIT!$E$1,Tim!AC66,"")</f>
        <v/>
      </c>
      <c r="AC64" s="185" t="str">
        <f>IF(Tim!AD66=FIT!$E$1,Tim!AD66,"")</f>
        <v/>
      </c>
      <c r="AD64" s="185" t="str">
        <f>IF(Tim!AE66=FIT!$E$1,Tim!AE66,"")</f>
        <v/>
      </c>
      <c r="AE64" s="185" t="str">
        <f>IF(Tim!AF66=FIT!$E$1,Tim!AF66,"")</f>
        <v/>
      </c>
      <c r="AF64" s="185" t="str">
        <f>IF(Tim!AG66=FIT!$E$1,Tim!AG66,"")</f>
        <v/>
      </c>
      <c r="AG64" s="185" t="str">
        <f>IF(Tim!AH66=FIT!$E$1,Tim!AH66,"")</f>
        <v/>
      </c>
      <c r="AH64" s="185" t="str">
        <f>IF(Tim!AI66=FIT!$E$1,Tim!AI66,"")</f>
        <v/>
      </c>
      <c r="AI64" s="185" t="str">
        <f>IF(Tim!AJ66=FIT!$E$1,Tim!AJ66,"")</f>
        <v/>
      </c>
      <c r="AJ64" s="185" t="str">
        <f>IF(Tim!AK66=FIT!$E$1,Tim!AK66,"")</f>
        <v/>
      </c>
      <c r="AK64" s="185" t="str">
        <f>IF(Tim!AL66=FIT!$E$1,Tim!AL66,"")</f>
        <v/>
      </c>
      <c r="AL64" s="185" t="str">
        <f>IF(Tim!AM66=FIT!$E$1,Tim!AM66,"")</f>
        <v/>
      </c>
      <c r="AM64" s="185" t="str">
        <f>IF(Tim!AN66=FIT!$E$1,Tim!AN66,"")</f>
        <v/>
      </c>
      <c r="AN64" s="185" t="str">
        <f>IF(Tim!AO66=FIT!$E$1,Tim!AO66,"")</f>
        <v/>
      </c>
      <c r="AO64" s="185" t="str">
        <f>IF(Tim!AP66=FIT!$E$1,Tim!AP66,"")</f>
        <v/>
      </c>
      <c r="AP64" s="185" t="str">
        <f>IF(Tim!AQ66=FIT!$E$1,Tim!AQ66,"")</f>
        <v/>
      </c>
      <c r="AQ64" s="185" t="str">
        <f>IF(Tim!AR66=FIT!$E$1,Tim!AR66,"")</f>
        <v/>
      </c>
      <c r="AR64" s="185" t="str">
        <f>IF(Tim!AS66=FIT!$E$1,Tim!AS66,"")</f>
        <v/>
      </c>
      <c r="AS64" s="185" t="str">
        <f>IF(Tim!AT66=FIT!$E$1,Tim!AT66,"")</f>
        <v/>
      </c>
      <c r="AT64" s="185" t="str">
        <f>IF(Tim!AU66=FIT!$E$1,Tim!AU66,"")</f>
        <v/>
      </c>
      <c r="AU64" s="185" t="str">
        <f>IF(Tim!AV66=FIT!$E$1,Tim!AV66,"")</f>
        <v/>
      </c>
      <c r="AV64" s="185" t="str">
        <f>IF(Tim!AW66=FIT!$E$1,Tim!AW66,"")</f>
        <v/>
      </c>
      <c r="AW64" s="186" t="str">
        <f>IF(Tim!AX66=FIT!$E$1,Tim!AX66,"")</f>
        <v/>
      </c>
      <c r="AX64" s="243" t="str">
        <f>IF(Tim!AY66=FIT!$E$1,Tim!AY66,"")</f>
        <v/>
      </c>
      <c r="AY64" s="185" t="str">
        <f>IF(Tim!AZ66=FIT!$E$1,Tim!AZ66,"")</f>
        <v/>
      </c>
      <c r="AZ64" s="185" t="str">
        <f>IF(Tim!BA66=FIT!$E$1,Tim!BA66,"")</f>
        <v/>
      </c>
      <c r="BA64" s="185" t="str">
        <f>IF(Tim!BB66=FIT!$E$1,Tim!BB66,"")</f>
        <v/>
      </c>
      <c r="BB64" s="185" t="str">
        <f>IF(Tim!BC66=FIT!$E$1,Tim!BC66,"")</f>
        <v/>
      </c>
      <c r="BC64" s="185" t="str">
        <f>IF(Tim!BD66=FIT!$E$1,Tim!BD66,"")</f>
        <v/>
      </c>
      <c r="BD64" s="185" t="str">
        <f>IF(Tim!BE66=FIT!$E$1,Tim!BE66,"")</f>
        <v/>
      </c>
      <c r="BE64" s="185" t="str">
        <f>IF(Tim!BF66=FIT!$E$1,Tim!BF66,"")</f>
        <v/>
      </c>
      <c r="BF64" s="185" t="str">
        <f>IF(Tim!BG66=FIT!$E$1,Tim!BG66,"")</f>
        <v/>
      </c>
      <c r="BG64" s="185" t="str">
        <f>IF(Tim!BH66=FIT!$E$1,Tim!BH66,"")</f>
        <v/>
      </c>
      <c r="BH64" s="185" t="str">
        <f>IF(Tim!BI66=FIT!$E$1,Tim!BI66,"")</f>
        <v/>
      </c>
      <c r="BI64" s="185" t="str">
        <f>IF(Tim!BJ66=FIT!$E$1,Tim!BJ66,"")</f>
        <v/>
      </c>
      <c r="BJ64" s="185" t="str">
        <f>IF(Tim!BK66=FIT!$E$1,Tim!BK66,"")</f>
        <v/>
      </c>
      <c r="BK64" s="185" t="str">
        <f>IF(Tim!BL66=FIT!$E$1,Tim!BL66,"")</f>
        <v/>
      </c>
      <c r="BL64" s="185" t="str">
        <f>IF(Tim!BM66=FIT!$E$1,Tim!BM66,"")</f>
        <v/>
      </c>
      <c r="BM64" s="185" t="str">
        <f>IF(Tim!BN66=FIT!$E$1,Tim!BN66,"")</f>
        <v/>
      </c>
      <c r="BN64" s="185" t="str">
        <f>IF(Tim!BO66=FIT!$E$1,Tim!BO66,"")</f>
        <v/>
      </c>
      <c r="BO64" s="185" t="str">
        <f>IF(Tim!BP66=FIT!$E$1,Tim!BP66,"")</f>
        <v/>
      </c>
      <c r="BP64" s="185" t="str">
        <f>IF(Tim!BQ66=FIT!$E$1,Tim!BQ66,"")</f>
        <v/>
      </c>
      <c r="BQ64" s="185" t="str">
        <f>IF(Tim!BR66=FIT!$E$1,Tim!BR66,"")</f>
        <v/>
      </c>
      <c r="BR64" s="185" t="str">
        <f>IF(Tim!BS66=FIT!$E$1,Tim!BS66,"")</f>
        <v/>
      </c>
      <c r="BS64" s="185" t="str">
        <f>IF(Tim!BT66=FIT!$E$1,Tim!BT66,"")</f>
        <v/>
      </c>
      <c r="BT64" s="185" t="str">
        <f>IF(Tim!BU66=FIT!$E$1,Tim!BU66,"")</f>
        <v/>
      </c>
      <c r="BU64" s="185" t="str">
        <f>IF(Tim!BV66=FIT!$E$1,Tim!BV66,"")</f>
        <v/>
      </c>
      <c r="BV64" s="185" t="str">
        <f>IF(Tim!BW66=FIT!$E$1,Tim!BW66,"")</f>
        <v/>
      </c>
      <c r="BW64" s="185" t="str">
        <f>IF(Tim!BX66=FIT!$E$1,Tim!BX66,"")</f>
        <v/>
      </c>
      <c r="BX64" s="185" t="str">
        <f>IF(Tim!BY66=FIT!$E$1,Tim!BY66,"")</f>
        <v/>
      </c>
      <c r="BY64" s="185" t="str">
        <f>IF(Tim!BZ66=FIT!$E$1,Tim!BZ66,"")</f>
        <v/>
      </c>
      <c r="BZ64" s="185" t="str">
        <f>IF(Tim!CA66=FIT!$E$1,Tim!CA66,"")</f>
        <v/>
      </c>
      <c r="CA64" s="185" t="str">
        <f>IF(Tim!CB66=FIT!$E$1,Tim!CB66,"")</f>
        <v/>
      </c>
      <c r="CB64" s="185" t="str">
        <f>IF(Tim!CC66=FIT!$E$1,Tim!CC66,"")</f>
        <v/>
      </c>
      <c r="CC64" s="185" t="str">
        <f>IF(Tim!CD66=FIT!$E$1,Tim!CD66,"")</f>
        <v/>
      </c>
      <c r="CD64" s="185" t="str">
        <f>IF(Tim!CE66=FIT!$E$1,Tim!CE66,"")</f>
        <v/>
      </c>
      <c r="CE64" s="185" t="str">
        <f>IF(Tim!CF66=FIT!$E$1,Tim!CF66,"")</f>
        <v/>
      </c>
      <c r="CF64" s="185" t="str">
        <f>IF(Tim!CG66=FIT!$E$1,Tim!CG66,"")</f>
        <v/>
      </c>
      <c r="CG64" s="185" t="str">
        <f>IF(Tim!CH66=FIT!$E$1,Tim!CH66,"")</f>
        <v/>
      </c>
      <c r="CH64" s="185" t="str">
        <f>IF(Tim!CI66=FIT!$E$1,Tim!CI66,"")</f>
        <v/>
      </c>
      <c r="CI64" s="185" t="str">
        <f>IF(Tim!CJ66=FIT!$E$1,Tim!CJ66,"")</f>
        <v/>
      </c>
      <c r="CJ64" s="185" t="str">
        <f>IF(Tim!CK66=FIT!$E$1,Tim!CK66,"")</f>
        <v/>
      </c>
      <c r="CK64" s="185" t="str">
        <f>IF(Tim!CL66=FIT!$E$1,Tim!CL66,"")</f>
        <v/>
      </c>
      <c r="CL64" s="185" t="str">
        <f>IF(Tim!CM66=FIT!$E$1,Tim!CM66,"")</f>
        <v/>
      </c>
      <c r="CM64" s="185" t="str">
        <f>IF(Tim!CN66=FIT!$E$1,Tim!CN66,"")</f>
        <v/>
      </c>
      <c r="CN64" s="185" t="str">
        <f>IF(Tim!CO66=FIT!$E$1,Tim!CO66,"")</f>
        <v/>
      </c>
      <c r="CO64" s="185" t="str">
        <f>IF(Tim!CP66=FIT!$E$1,Tim!CP66,"")</f>
        <v/>
      </c>
      <c r="CP64" s="185" t="str">
        <f>IF(Tim!CQ66=FIT!$E$1,Tim!CQ66,"")</f>
        <v/>
      </c>
      <c r="CQ64" s="185" t="str">
        <f>IF(Tim!CR66=FIT!$E$1,Tim!CR66,"")</f>
        <v/>
      </c>
      <c r="CR64" s="185" t="str">
        <f>IF(Tim!CS66=FIT!$E$1,Tim!CS66,"")</f>
        <v/>
      </c>
      <c r="CS64" s="185" t="str">
        <f>IF(Tim!CT66=FIT!$E$1,Tim!CT66,"")</f>
        <v/>
      </c>
      <c r="CT64" s="185" t="str">
        <f>IF(Tim!CU66=FIT!$E$1,Tim!CU66,"")</f>
        <v/>
      </c>
      <c r="CU64" s="185" t="str">
        <f>IF(Tim!CV66=FIT!$E$1,Tim!CV66,"")</f>
        <v/>
      </c>
      <c r="CV64" s="185" t="str">
        <f>IF(Tim!CW66=FIT!$E$1,Tim!CW66,"")</f>
        <v/>
      </c>
      <c r="CW64" s="185" t="str">
        <f>IF(Tim!CX66=FIT!$E$1,Tim!CX66,"")</f>
        <v/>
      </c>
      <c r="CX64" s="185" t="str">
        <f>IF(Tim!CY66=FIT!$E$1,Tim!CY66,"")</f>
        <v/>
      </c>
      <c r="CY64" s="185" t="str">
        <f>IF(Tim!CZ66=FIT!$E$1,Tim!CZ66,"")</f>
        <v/>
      </c>
      <c r="CZ64" s="185" t="str">
        <f>IF(Tim!DA66=FIT!$E$1,Tim!DA66,"")</f>
        <v/>
      </c>
      <c r="DA64" s="185" t="str">
        <f>IF(Tim!DB66=FIT!$E$1,Tim!DB66,"")</f>
        <v/>
      </c>
      <c r="DB64" s="185" t="str">
        <f>IF(Tim!DC66=FIT!$E$1,Tim!DC66,"")</f>
        <v/>
      </c>
      <c r="DC64" s="185" t="str">
        <f>IF(Tim!DD66=FIT!$E$1,Tim!DD66,"")</f>
        <v/>
      </c>
      <c r="DD64" s="185" t="str">
        <f>IF(Tim!DE66=FIT!$E$1,Tim!DE66,"")</f>
        <v/>
      </c>
      <c r="DE64" s="185" t="str">
        <f>IF(Tim!DF66=FIT!$E$1,Tim!DF66,"")</f>
        <v/>
      </c>
      <c r="DF64" s="185" t="str">
        <f>IF(Tim!DG66=FIT!$E$1,Tim!DG66,"")</f>
        <v/>
      </c>
      <c r="DG64" s="185" t="str">
        <f>IF(Tim!DH66=FIT!$E$1,Tim!DH66,"")</f>
        <v/>
      </c>
      <c r="DH64" s="185" t="str">
        <f>IF(Tim!DI66=FIT!$E$1,Tim!DI66,"")</f>
        <v/>
      </c>
      <c r="DI64" s="185" t="str">
        <f>IF(Tim!DM66=FIT!$E$1,Tim!DM66,"")</f>
        <v/>
      </c>
      <c r="DJ64" s="185" t="str">
        <f>IF(Tim!DN66=FIT!$E$1,Tim!DN66,"")</f>
        <v/>
      </c>
      <c r="DK64" s="185" t="str">
        <f>IF(Tim!DO66=FIT!$E$1,Tim!DO66,"")</f>
        <v/>
      </c>
      <c r="DL64" s="185" t="str">
        <f>IF(Tim!DP66=FIT!$E$1,Tim!DP66,"")</f>
        <v/>
      </c>
      <c r="DM64" s="185" t="str">
        <f>IF(Tim!DQ66=FIT!$E$1,Tim!DQ66,"")</f>
        <v/>
      </c>
      <c r="DN64" s="185" t="str">
        <f>IF(Tim!DR66=FIT!$E$1,Tim!DR66,"")</f>
        <v/>
      </c>
      <c r="DO64" s="185" t="str">
        <f>IF(Tim!DS66=FIT!$E$1,Tim!DS66,"")</f>
        <v/>
      </c>
      <c r="DP64" s="185" t="str">
        <f>IF(Tim!DT66=FIT!$E$1,Tim!DT66,"")</f>
        <v/>
      </c>
      <c r="DQ64" s="185" t="str">
        <f>IF(Tim!DU66=FIT!$E$1,Tim!DU66,"")</f>
        <v/>
      </c>
      <c r="DR64" s="185" t="str">
        <f>IF(Tim!DV66=FIT!$E$1,Tim!DV66,"")</f>
        <v/>
      </c>
      <c r="DS64" s="185" t="str">
        <f>IF(Tim!DW66=FIT!$E$1,Tim!DW66,"")</f>
        <v/>
      </c>
      <c r="DT64" s="185" t="str">
        <f>IF(Tim!DX66=FIT!$E$1,Tim!DX66,"")</f>
        <v/>
      </c>
      <c r="DU64" s="185" t="str">
        <f>IF(Tim!DY66=FIT!$E$1,Tim!DY66,"")</f>
        <v/>
      </c>
      <c r="DV64" s="185" t="str">
        <f>IF(Tim!DZ66=FIT!$E$1,Tim!DZ66,"")</f>
        <v/>
      </c>
      <c r="DW64" s="185" t="str">
        <f>IF(Tim!EA66=FIT!$E$1,Tim!EA66,"")</f>
        <v/>
      </c>
      <c r="DX64" s="185" t="str">
        <f>IF(Tim!EB66=FIT!$E$1,Tim!EB66,"")</f>
        <v/>
      </c>
      <c r="DY64" s="185" t="str">
        <f>IF(Tim!EC66=FIT!$E$1,Tim!EC66,"")</f>
        <v/>
      </c>
      <c r="DZ64" s="185" t="str">
        <f>IF(Tim!ED66=FIT!$E$1,Tim!ED66,"")</f>
        <v/>
      </c>
      <c r="EA64" s="185" t="str">
        <f>IF(Tim!EE66=FIT!$E$1,Tim!EE66,"")</f>
        <v/>
      </c>
      <c r="EB64" s="185" t="str">
        <f>IF(Tim!EF66=FIT!$E$1,Tim!EF66,"")</f>
        <v/>
      </c>
      <c r="EC64" s="185" t="str">
        <f>IF(Tim!EG66=FIT!$E$1,Tim!EG66,"")</f>
        <v/>
      </c>
      <c r="ED64" s="185" t="str">
        <f>IF(Tim!EH66=FIT!$E$1,Tim!EH66,"")</f>
        <v/>
      </c>
      <c r="EE64" s="185" t="str">
        <f>IF(Tim!EI66=FIT!$E$1,Tim!EI66,"")</f>
        <v/>
      </c>
      <c r="EF64" s="185" t="str">
        <f>IF(Tim!EJ66=FIT!$E$1,Tim!EJ66,"")</f>
        <v/>
      </c>
      <c r="EG64" s="185" t="str">
        <f>IF(Tim!EK66=FIT!$E$1,Tim!EK66,"")</f>
        <v/>
      </c>
      <c r="EH64" s="185" t="str">
        <f>IF(Tim!EL66=FIT!$E$1,Tim!EL66,"")</f>
        <v/>
      </c>
      <c r="EI64" s="185" t="str">
        <f>IF(Tim!EM66=FIT!$E$1,Tim!EM66,"")</f>
        <v/>
      </c>
      <c r="EJ64" s="185" t="str">
        <f>IF(Tim!EN66=FIT!$E$1,Tim!EN66,"")</f>
        <v/>
      </c>
      <c r="EK64" s="185" t="str">
        <f>IF(Tim!EO66=FIT!$E$1,Tim!EO66,"")</f>
        <v/>
      </c>
      <c r="EL64" s="185" t="str">
        <f>IF(Tim!EP66=FIT!$E$1,Tim!EP66,"")</f>
        <v/>
      </c>
      <c r="EM64" s="185" t="str">
        <f>IF(Tim!EQ66=FIT!$E$1,Tim!EQ66,"")</f>
        <v/>
      </c>
      <c r="EN64" s="185" t="str">
        <f>IF(Tim!ER66=FIT!$E$1,Tim!ER66,"")</f>
        <v/>
      </c>
      <c r="EO64" s="185" t="str">
        <f>IF(Tim!ES66=FIT!$E$1,Tim!ES66,"")</f>
        <v/>
      </c>
      <c r="EP64" s="185" t="str">
        <f>IF(Tim!ET66=FIT!$E$1,Tim!ET66,"")</f>
        <v/>
      </c>
      <c r="EQ64" s="185" t="str">
        <f>IF(Tim!EU66=FIT!$E$1,Tim!EU66,"")</f>
        <v/>
      </c>
      <c r="ER64" s="185" t="str">
        <f>IF(Tim!EV66=FIT!$E$1,Tim!EV66,"")</f>
        <v/>
      </c>
      <c r="ES64" s="185" t="str">
        <f>IF(Tim!EW66=FIT!$E$1,Tim!EW66,"")</f>
        <v/>
      </c>
      <c r="ET64" s="185" t="str">
        <f>IF(Tim!EX66=FIT!$E$1,Tim!EX66,"")</f>
        <v/>
      </c>
      <c r="EU64" s="185" t="str">
        <f>IF(Tim!EY66=FIT!$E$1,Tim!EY66,"")</f>
        <v/>
      </c>
      <c r="EV64" s="185" t="str">
        <f>IF(Tim!EZ66=FIT!$E$1,Tim!EZ66,"")</f>
        <v/>
      </c>
      <c r="EW64" s="185" t="str">
        <f>IF(Tim!FA66=FIT!$E$1,Tim!FA66,"")</f>
        <v/>
      </c>
      <c r="EX64" s="185" t="str">
        <f>IF(Tim!FB66=FIT!$E$1,Tim!FB66,"")</f>
        <v/>
      </c>
      <c r="EY64" s="185" t="str">
        <f>IF(Tim!FC66=FIT!$E$1,Tim!FC66,"")</f>
        <v/>
      </c>
      <c r="EZ64" s="185" t="str">
        <f>IF(Tim!FD66=FIT!$E$1,Tim!FD66,"")</f>
        <v/>
      </c>
      <c r="FA64" s="185" t="str">
        <f>IF(Tim!FE66=FIT!$E$1,Tim!FE66,"")</f>
        <v/>
      </c>
      <c r="FB64" s="185" t="str">
        <f>IF(Tim!FF66=FIT!$E$1,Tim!FF66,"")</f>
        <v/>
      </c>
      <c r="FC64" s="185" t="str">
        <f>IF(Tim!FG66=FIT!$E$1,Tim!FG66,"")</f>
        <v/>
      </c>
      <c r="FD64" s="185" t="str">
        <f>IF(Tim!FH66=FIT!$E$1,Tim!FH66,"")</f>
        <v/>
      </c>
      <c r="FE64" s="185" t="str">
        <f>IF(Tim!FI66=FIT!$E$1,Tim!FI66,"")</f>
        <v/>
      </c>
      <c r="FF64" s="185" t="str">
        <f>IF(Tim!FJ66=FIT!$E$1,Tim!FJ66,"")</f>
        <v/>
      </c>
      <c r="FG64" s="185" t="str">
        <f>IF(Tim!FK66=FIT!$E$1,Tim!FK66,"")</f>
        <v/>
      </c>
      <c r="FH64" s="185" t="str">
        <f>IF(Tim!FL66=FIT!$E$1,Tim!FL66,"")</f>
        <v/>
      </c>
      <c r="FI64" s="185" t="str">
        <f>IF(Tim!FM66=FIT!$E$1,Tim!FM66,"")</f>
        <v/>
      </c>
      <c r="FJ64" s="185" t="str">
        <f>IF(Tim!FN66=FIT!$E$1,Tim!FN66,"")</f>
        <v/>
      </c>
      <c r="FK64" s="185" t="str">
        <f>IF(Tim!FO66=FIT!$E$1,Tim!FO66,"")</f>
        <v/>
      </c>
      <c r="FL64" s="185" t="str">
        <f>IF(Tim!FP66=FIT!$E$1,Tim!FP66,"")</f>
        <v/>
      </c>
      <c r="FM64" s="185" t="str">
        <f>IF(Tim!FQ66=FIT!$E$1,Tim!FQ66,"")</f>
        <v/>
      </c>
      <c r="FN64" s="185" t="str">
        <f>IF(Tim!FR66=FIT!$E$1,Tim!FR66,"")</f>
        <v/>
      </c>
      <c r="FO64" s="185" t="str">
        <f>IF(Tim!FS66=FIT!$E$1,Tim!FS66,"")</f>
        <v/>
      </c>
      <c r="FP64" s="185" t="str">
        <f>IF(Tim!FT66=FIT!$E$1,Tim!FT66,"")</f>
        <v/>
      </c>
      <c r="FQ64" s="185" t="str">
        <f>IF(Tim!FU66=FIT!$E$1,Tim!FU66,"")</f>
        <v/>
      </c>
      <c r="FR64" s="185" t="str">
        <f>IF(Tim!FV66=FIT!$E$1,Tim!FV66,"")</f>
        <v/>
      </c>
      <c r="FS64" s="185" t="str">
        <f>IF(Tim!FW66=FIT!$E$1,Tim!FW66,"")</f>
        <v/>
      </c>
      <c r="FT64" s="185" t="str">
        <f>IF(Tim!FX66=FIT!$E$1,Tim!FX66,"")</f>
        <v/>
      </c>
      <c r="FU64" s="185" t="str">
        <f>IF(Tim!FY66=FIT!$E$1,Tim!FY66,"")</f>
        <v/>
      </c>
      <c r="FV64" s="185" t="str">
        <f>IF(Tim!FZ66=FIT!$E$1,Tim!FZ66,"")</f>
        <v/>
      </c>
      <c r="FW64" s="185" t="str">
        <f>IF(Tim!GA66=FIT!$E$1,Tim!GA66,"")</f>
        <v/>
      </c>
      <c r="FX64" s="185" t="str">
        <f>IF(Tim!GB66=FIT!$E$1,Tim!GB66,"")</f>
        <v/>
      </c>
      <c r="FY64" s="185" t="str">
        <f>IF(Tim!GC66=FIT!$E$1,Tim!GC66,"")</f>
        <v/>
      </c>
      <c r="FZ64" s="185" t="str">
        <f>IF(Tim!GD66=FIT!$E$1,Tim!GD66,"")</f>
        <v/>
      </c>
      <c r="GA64" s="185" t="str">
        <f>IF(Tim!GE66=FIT!$E$1,Tim!GE66,"")</f>
        <v/>
      </c>
      <c r="GB64" s="185" t="str">
        <f>IF(Tim!GF66=FIT!$E$1,Tim!GF66,"")</f>
        <v/>
      </c>
      <c r="GC64" s="185" t="str">
        <f>IF(Tim!GG66=FIT!$E$1,Tim!GG66,"")</f>
        <v/>
      </c>
      <c r="GD64" s="185" t="str">
        <f>IF(Tim!GH66=FIT!$E$1,Tim!GH66,"")</f>
        <v/>
      </c>
      <c r="GE64" s="185" t="str">
        <f>IF(Tim!GI66=FIT!$E$1,Tim!GI66,"")</f>
        <v/>
      </c>
      <c r="GF64" s="185" t="str">
        <f>IF(Tim!GJ66=FIT!$E$1,Tim!GJ66,"")</f>
        <v/>
      </c>
      <c r="GG64" s="185" t="str">
        <f>IF(Tim!GK66=FIT!$E$1,Tim!GK66,"")</f>
        <v/>
      </c>
      <c r="GH64" s="185" t="str">
        <f>IF(Tim!GL66=FIT!$E$1,Tim!GL66,"")</f>
        <v/>
      </c>
      <c r="GI64" s="185" t="str">
        <f>IF(Tim!GM66=FIT!$E$1,Tim!GM66,"")</f>
        <v/>
      </c>
      <c r="GJ64" s="185" t="str">
        <f>IF(Tim!GN66=FIT!$E$1,Tim!GN66,"")</f>
        <v/>
      </c>
      <c r="GK64" s="185" t="str">
        <f>IF(Tim!GO66=FIT!$E$1,Tim!GO66,"")</f>
        <v/>
      </c>
      <c r="GL64" s="185" t="str">
        <f>IF(Tim!GP66=FIT!$E$1,Tim!GP66,"")</f>
        <v/>
      </c>
      <c r="GM64" s="185" t="str">
        <f>IF(Tim!GQ66=FIT!$E$1,Tim!GQ66,"")</f>
        <v/>
      </c>
      <c r="GN64" s="185" t="str">
        <f>IF(Tim!GR66=FIT!$E$1,Tim!GR66,"")</f>
        <v/>
      </c>
      <c r="GO64" s="185" t="str">
        <f>IF(Tim!GS66=FIT!$E$1,Tim!GS66,"")</f>
        <v/>
      </c>
      <c r="GP64" s="185" t="str">
        <f>IF(Tim!GT66=FIT!$E$1,Tim!GT66,"")</f>
        <v/>
      </c>
      <c r="GQ64" s="185" t="str">
        <f>IF(Tim!GU66=FIT!$E$1,Tim!GU66,"")</f>
        <v/>
      </c>
      <c r="GR64" s="185" t="str">
        <f>IF(Tim!GV66=FIT!$E$1,Tim!GV66,"")</f>
        <v/>
      </c>
      <c r="GS64" s="185" t="str">
        <f>IF(Tim!GW66=FIT!$E$1,Tim!GW66,"")</f>
        <v/>
      </c>
      <c r="GT64" s="185" t="str">
        <f>IF(Tim!GX66=FIT!$E$1,Tim!GX66,"")</f>
        <v/>
      </c>
      <c r="GU64" s="185" t="str">
        <f>IF(Tim!GY66=FIT!$E$1,Tim!GY66,"")</f>
        <v/>
      </c>
      <c r="GV64" s="185" t="str">
        <f>IF(Tim!GZ66=FIT!$E$1,Tim!GZ66,"")</f>
        <v/>
      </c>
      <c r="GW64" s="185" t="str">
        <f>IF(Tim!HA66=FIT!$E$1,Tim!HA66,"")</f>
        <v/>
      </c>
      <c r="GX64" s="185" t="str">
        <f>IF(Tim!HB66=FIT!$E$1,Tim!HB66,"")</f>
        <v/>
      </c>
      <c r="GY64" s="185" t="str">
        <f>IF(Tim!HC66=FIT!$E$1,Tim!HC66,"")</f>
        <v/>
      </c>
      <c r="GZ64" s="185" t="str">
        <f>IF(Tim!HD66=FIT!$E$1,Tim!HD66,"")</f>
        <v/>
      </c>
      <c r="HA64" s="185" t="str">
        <f>IF(Tim!HE66=FIT!$E$1,Tim!HE66,"")</f>
        <v/>
      </c>
      <c r="HB64" s="185" t="str">
        <f>IF(Tim!HF66=FIT!$E$1,Tim!HF66,"")</f>
        <v/>
      </c>
      <c r="HC64" s="185" t="str">
        <f>IF(Tim!HG66=FIT!$E$1,Tim!HG66,"")</f>
        <v/>
      </c>
      <c r="HD64" s="185" t="str">
        <f>IF(Tim!HH66=FIT!$E$1,Tim!HH66,"")</f>
        <v/>
      </c>
      <c r="HE64" s="185" t="str">
        <f>IF(Tim!HI66=FIT!$E$1,Tim!HI66,"")</f>
        <v/>
      </c>
      <c r="HF64" s="185" t="str">
        <f>IF(Tim!HJ66=FIT!$E$1,Tim!HJ66,"")</f>
        <v/>
      </c>
      <c r="HG64" s="185" t="str">
        <f>IF(Tim!HK66=FIT!$E$1,Tim!HK66,"")</f>
        <v/>
      </c>
      <c r="HH64" s="185" t="str">
        <f>IF(Tim!HL66=FIT!$E$1,Tim!HL66,"")</f>
        <v/>
      </c>
      <c r="HI64" s="185" t="str">
        <f>IF(Tim!HM66=FIT!$E$1,Tim!HM66,"")</f>
        <v/>
      </c>
      <c r="HJ64" s="185" t="str">
        <f>IF(Tim!HN66=FIT!$E$1,Tim!HN66,"")</f>
        <v/>
      </c>
      <c r="HK64" s="185" t="str">
        <f>IF(Tim!HO66=FIT!$E$1,Tim!HO66,"")</f>
        <v/>
      </c>
      <c r="HL64" s="185" t="str">
        <f>IF(Tim!HP66=FIT!$E$1,Tim!HP66,"")</f>
        <v/>
      </c>
      <c r="HM64" s="185" t="str">
        <f>IF(Tim!HQ66=FIT!$E$1,Tim!HQ66,"")</f>
        <v/>
      </c>
      <c r="HN64" s="185" t="str">
        <f>IF(Tim!HR66=FIT!$E$1,Tim!HR66,"")</f>
        <v/>
      </c>
      <c r="HO64" s="185" t="str">
        <f>IF(Tim!HS66=FIT!$E$1,Tim!HS66,"")</f>
        <v/>
      </c>
      <c r="HP64" s="185" t="str">
        <f>IF(Tim!HT66=FIT!$E$1,Tim!HT66,"")</f>
        <v/>
      </c>
      <c r="HQ64" s="185" t="str">
        <f>IF(Tim!HU66=FIT!$E$1,Tim!HU66,"")</f>
        <v/>
      </c>
      <c r="HR64" s="469"/>
      <c r="HS64" s="366"/>
      <c r="HT64" s="366"/>
      <c r="HU64" s="366"/>
      <c r="HV64" s="366"/>
      <c r="HW64" s="366"/>
      <c r="HX64" s="366"/>
      <c r="HY64" s="366"/>
      <c r="HZ64" s="366"/>
      <c r="IA64" s="366"/>
      <c r="IB64" s="366"/>
      <c r="IC64" s="366"/>
      <c r="ID64" s="366"/>
      <c r="IE64" s="366"/>
      <c r="IF64" s="366"/>
      <c r="IG64" s="366"/>
      <c r="IH64" s="366"/>
      <c r="II64" s="366"/>
      <c r="IJ64" s="366"/>
      <c r="IK64" s="366"/>
      <c r="IL64" s="366"/>
      <c r="IM64" s="366"/>
      <c r="IN64" s="366"/>
      <c r="IO64" s="366"/>
      <c r="IP64" s="366"/>
      <c r="IQ64" s="366"/>
      <c r="IR64" s="366"/>
      <c r="IS64" s="366"/>
      <c r="IT64" s="366"/>
      <c r="IU64" s="366"/>
      <c r="IV64" s="366"/>
      <c r="IW64" s="366"/>
      <c r="IX64" s="366"/>
      <c r="IY64" s="366"/>
      <c r="IZ64" s="366"/>
      <c r="JA64" s="366"/>
      <c r="JB64" s="366"/>
      <c r="JC64" s="366"/>
      <c r="JD64" s="366"/>
      <c r="JE64" s="366"/>
      <c r="JF64" s="366"/>
      <c r="JG64" s="366"/>
      <c r="JH64" s="366"/>
      <c r="JI64" s="428"/>
      <c r="JJ64" s="469"/>
      <c r="JK64" s="366"/>
      <c r="JL64" s="366"/>
      <c r="JM64" s="366"/>
      <c r="JN64" s="366"/>
      <c r="JO64" s="366"/>
      <c r="JP64" s="366"/>
      <c r="JQ64" s="366"/>
      <c r="JR64" s="366"/>
      <c r="JS64" s="366"/>
      <c r="JT64" s="366"/>
      <c r="JU64" s="366"/>
      <c r="JV64" s="366"/>
      <c r="JW64" s="366"/>
      <c r="JX64" s="366"/>
      <c r="JY64" s="366"/>
      <c r="JZ64" s="366"/>
      <c r="KA64" s="366"/>
      <c r="KB64" s="366"/>
      <c r="KC64" s="366"/>
      <c r="KD64" s="366"/>
      <c r="KE64" s="366"/>
      <c r="KF64" s="366"/>
      <c r="KG64" s="366"/>
      <c r="KH64" s="366"/>
      <c r="KI64" s="366"/>
      <c r="KJ64" s="366"/>
      <c r="KK64" s="366"/>
      <c r="KL64" s="366"/>
      <c r="KM64" s="366"/>
      <c r="KN64" s="366"/>
      <c r="KO64" s="366"/>
      <c r="KP64" s="366"/>
      <c r="KQ64" s="366"/>
      <c r="KR64" s="366"/>
      <c r="KS64" s="366"/>
      <c r="KT64" s="366"/>
      <c r="KU64" s="366"/>
      <c r="KV64" s="366"/>
      <c r="KW64" s="366"/>
      <c r="KX64" s="366"/>
      <c r="KY64" s="366"/>
      <c r="KZ64" s="366"/>
      <c r="LA64" s="428"/>
      <c r="LB64" s="52">
        <v>0.906249999999998</v>
      </c>
    </row>
    <row r="65" spans="2:314" ht="10.5" customHeight="1">
      <c r="B65" s="49">
        <v>0.25</v>
      </c>
      <c r="C65" s="49">
        <v>0.25</v>
      </c>
      <c r="D65" s="49">
        <v>0.25</v>
      </c>
      <c r="E65" s="172">
        <v>0.91666666666666496</v>
      </c>
      <c r="F65" s="238" t="str">
        <f>IF(Tim!F67=FIT!$E$1,Tim!F67,"")</f>
        <v/>
      </c>
      <c r="G65" s="185" t="str">
        <f>IF(Tim!G67=FIT!$E$1,Tim!G67,"")</f>
        <v/>
      </c>
      <c r="H65" s="185" t="str">
        <f>IF(Tim!H67=FIT!$E$1,Tim!H67,"")</f>
        <v/>
      </c>
      <c r="I65" s="185" t="str">
        <f>IF(Tim!I67=FIT!$E$1,Tim!I67,"")</f>
        <v/>
      </c>
      <c r="J65" s="185" t="str">
        <f>IF(Tim!J67=FIT!$E$1,Tim!J67,"")</f>
        <v/>
      </c>
      <c r="K65" s="185" t="str">
        <f>IF(Tim!K67=FIT!$E$1,Tim!K67,"")</f>
        <v/>
      </c>
      <c r="L65" s="185" t="str">
        <f>IF(Tim!L67=FIT!$E$1,Tim!L67,"")</f>
        <v/>
      </c>
      <c r="M65" s="185" t="str">
        <f>IF(Tim!M67=FIT!$E$1,Tim!M67,"")</f>
        <v/>
      </c>
      <c r="N65" s="185" t="str">
        <f>IF(Tim!N67=FIT!$E$1,Tim!N67,"")</f>
        <v/>
      </c>
      <c r="O65" s="185" t="str">
        <f>IF(Tim!O67=FIT!$E$1,Tim!O67,"")</f>
        <v/>
      </c>
      <c r="P65" s="185" t="str">
        <f>IF(Tim!P67=FIT!$E$1,Tim!P67,"")</f>
        <v/>
      </c>
      <c r="Q65" s="185" t="str">
        <f>IF(Tim!Q67=FIT!$E$1,Tim!Q67,"")</f>
        <v/>
      </c>
      <c r="R65" s="185" t="str">
        <f>IF(Tim!R67=FIT!$E$1,Tim!R67,"")</f>
        <v/>
      </c>
      <c r="S65" s="185" t="str">
        <f>IF(Tim!S67=FIT!$E$1,Tim!S67,"")</f>
        <v/>
      </c>
      <c r="T65" s="185" t="str">
        <f>IF(Tim!T67=FIT!$E$1,Tim!T67,"")</f>
        <v/>
      </c>
      <c r="U65" s="185" t="str">
        <f>IF(Tim!U67=FIT!$E$1,Tim!U67,"")</f>
        <v/>
      </c>
      <c r="V65" s="185" t="str">
        <f>IF(Tim!W67=FIT!$E$1,Tim!W67,"")</f>
        <v/>
      </c>
      <c r="W65" s="185" t="str">
        <f>IF(Tim!X67=FIT!$E$1,Tim!X67,"")</f>
        <v/>
      </c>
      <c r="X65" s="185" t="str">
        <f>IF(Tim!Y67=FIT!$E$1,Tim!Y67,"")</f>
        <v/>
      </c>
      <c r="Y65" s="185" t="str">
        <f>IF(Tim!Z67=FIT!$E$1,Tim!Z67,"")</f>
        <v/>
      </c>
      <c r="Z65" s="185" t="str">
        <f>IF(Tim!AA67=FIT!$E$1,Tim!AA67,"")</f>
        <v/>
      </c>
      <c r="AA65" s="185" t="str">
        <f>IF(Tim!AB67=FIT!$E$1,Tim!AB67,"")</f>
        <v/>
      </c>
      <c r="AB65" s="185" t="str">
        <f>IF(Tim!AC67=FIT!$E$1,Tim!AC67,"")</f>
        <v/>
      </c>
      <c r="AC65" s="185" t="str">
        <f>IF(Tim!AD67=FIT!$E$1,Tim!AD67,"")</f>
        <v/>
      </c>
      <c r="AD65" s="185" t="str">
        <f>IF(Tim!AE67=FIT!$E$1,Tim!AE67,"")</f>
        <v/>
      </c>
      <c r="AE65" s="185" t="str">
        <f>IF(Tim!AF67=FIT!$E$1,Tim!AF67,"")</f>
        <v/>
      </c>
      <c r="AF65" s="185" t="str">
        <f>IF(Tim!AG67=FIT!$E$1,Tim!AG67,"")</f>
        <v/>
      </c>
      <c r="AG65" s="185" t="str">
        <f>IF(Tim!AH67=FIT!$E$1,Tim!AH67,"")</f>
        <v/>
      </c>
      <c r="AH65" s="185" t="str">
        <f>IF(Tim!AI67=FIT!$E$1,Tim!AI67,"")</f>
        <v/>
      </c>
      <c r="AI65" s="185" t="str">
        <f>IF(Tim!AJ67=FIT!$E$1,Tim!AJ67,"")</f>
        <v/>
      </c>
      <c r="AJ65" s="185" t="str">
        <f>IF(Tim!AK67=FIT!$E$1,Tim!AK67,"")</f>
        <v/>
      </c>
      <c r="AK65" s="185" t="str">
        <f>IF(Tim!AL67=FIT!$E$1,Tim!AL67,"")</f>
        <v/>
      </c>
      <c r="AL65" s="185" t="str">
        <f>IF(Tim!AM67=FIT!$E$1,Tim!AM67,"")</f>
        <v/>
      </c>
      <c r="AM65" s="185" t="str">
        <f>IF(Tim!AN67=FIT!$E$1,Tim!AN67,"")</f>
        <v/>
      </c>
      <c r="AN65" s="185" t="str">
        <f>IF(Tim!AO67=FIT!$E$1,Tim!AO67,"")</f>
        <v/>
      </c>
      <c r="AO65" s="185" t="str">
        <f>IF(Tim!AP67=FIT!$E$1,Tim!AP67,"")</f>
        <v/>
      </c>
      <c r="AP65" s="185" t="str">
        <f>IF(Tim!AQ67=FIT!$E$1,Tim!AQ67,"")</f>
        <v/>
      </c>
      <c r="AQ65" s="185" t="str">
        <f>IF(Tim!AR67=FIT!$E$1,Tim!AR67,"")</f>
        <v/>
      </c>
      <c r="AR65" s="185" t="str">
        <f>IF(Tim!AS67=FIT!$E$1,Tim!AS67,"")</f>
        <v/>
      </c>
      <c r="AS65" s="185" t="str">
        <f>IF(Tim!AT67=FIT!$E$1,Tim!AT67,"")</f>
        <v/>
      </c>
      <c r="AT65" s="185" t="str">
        <f>IF(Tim!AU67=FIT!$E$1,Tim!AU67,"")</f>
        <v/>
      </c>
      <c r="AU65" s="185" t="str">
        <f>IF(Tim!AV67=FIT!$E$1,Tim!AV67,"")</f>
        <v/>
      </c>
      <c r="AV65" s="185" t="str">
        <f>IF(Tim!AW67=FIT!$E$1,Tim!AW67,"")</f>
        <v/>
      </c>
      <c r="AW65" s="186" t="str">
        <f>IF(Tim!AX67=FIT!$E$1,Tim!AX67,"")</f>
        <v/>
      </c>
      <c r="AX65" s="243" t="str">
        <f>IF(Tim!AY67=FIT!$E$1,Tim!AY67,"")</f>
        <v/>
      </c>
      <c r="AY65" s="185" t="str">
        <f>IF(Tim!AZ67=FIT!$E$1,Tim!AZ67,"")</f>
        <v/>
      </c>
      <c r="AZ65" s="185" t="str">
        <f>IF(Tim!BA67=FIT!$E$1,Tim!BA67,"")</f>
        <v/>
      </c>
      <c r="BA65" s="185" t="str">
        <f>IF(Tim!BB67=FIT!$E$1,Tim!BB67,"")</f>
        <v/>
      </c>
      <c r="BB65" s="185" t="str">
        <f>IF(Tim!BC67=FIT!$E$1,Tim!BC67,"")</f>
        <v/>
      </c>
      <c r="BC65" s="185" t="str">
        <f>IF(Tim!BD67=FIT!$E$1,Tim!BD67,"")</f>
        <v/>
      </c>
      <c r="BD65" s="185" t="str">
        <f>IF(Tim!BE67=FIT!$E$1,Tim!BE67,"")</f>
        <v/>
      </c>
      <c r="BE65" s="185" t="str">
        <f>IF(Tim!BF67=FIT!$E$1,Tim!BF67,"")</f>
        <v/>
      </c>
      <c r="BF65" s="185" t="str">
        <f>IF(Tim!BG67=FIT!$E$1,Tim!BG67,"")</f>
        <v/>
      </c>
      <c r="BG65" s="185" t="str">
        <f>IF(Tim!BH67=FIT!$E$1,Tim!BH67,"")</f>
        <v/>
      </c>
      <c r="BH65" s="185" t="str">
        <f>IF(Tim!BI67=FIT!$E$1,Tim!BI67,"")</f>
        <v/>
      </c>
      <c r="BI65" s="185" t="str">
        <f>IF(Tim!BJ67=FIT!$E$1,Tim!BJ67,"")</f>
        <v/>
      </c>
      <c r="BJ65" s="185" t="str">
        <f>IF(Tim!BK67=FIT!$E$1,Tim!BK67,"")</f>
        <v/>
      </c>
      <c r="BK65" s="185" t="str">
        <f>IF(Tim!BL67=FIT!$E$1,Tim!BL67,"")</f>
        <v/>
      </c>
      <c r="BL65" s="185" t="str">
        <f>IF(Tim!BM67=FIT!$E$1,Tim!BM67,"")</f>
        <v/>
      </c>
      <c r="BM65" s="185" t="str">
        <f>IF(Tim!BN67=FIT!$E$1,Tim!BN67,"")</f>
        <v/>
      </c>
      <c r="BN65" s="185" t="str">
        <f>IF(Tim!BO67=FIT!$E$1,Tim!BO67,"")</f>
        <v/>
      </c>
      <c r="BO65" s="185" t="str">
        <f>IF(Tim!BP67=FIT!$E$1,Tim!BP67,"")</f>
        <v/>
      </c>
      <c r="BP65" s="185" t="str">
        <f>IF(Tim!BQ67=FIT!$E$1,Tim!BQ67,"")</f>
        <v/>
      </c>
      <c r="BQ65" s="185" t="str">
        <f>IF(Tim!BR67=FIT!$E$1,Tim!BR67,"")</f>
        <v/>
      </c>
      <c r="BR65" s="185" t="str">
        <f>IF(Tim!BS67=FIT!$E$1,Tim!BS67,"")</f>
        <v/>
      </c>
      <c r="BS65" s="185" t="str">
        <f>IF(Tim!BT67=FIT!$E$1,Tim!BT67,"")</f>
        <v/>
      </c>
      <c r="BT65" s="185" t="str">
        <f>IF(Tim!BU67=FIT!$E$1,Tim!BU67,"")</f>
        <v/>
      </c>
      <c r="BU65" s="185" t="str">
        <f>IF(Tim!BV67=FIT!$E$1,Tim!BV67,"")</f>
        <v/>
      </c>
      <c r="BV65" s="185" t="str">
        <f>IF(Tim!BW67=FIT!$E$1,Tim!BW67,"")</f>
        <v/>
      </c>
      <c r="BW65" s="185" t="str">
        <f>IF(Tim!BX67=FIT!$E$1,Tim!BX67,"")</f>
        <v/>
      </c>
      <c r="BX65" s="185" t="str">
        <f>IF(Tim!BY67=FIT!$E$1,Tim!BY67,"")</f>
        <v/>
      </c>
      <c r="BY65" s="185" t="str">
        <f>IF(Tim!BZ67=FIT!$E$1,Tim!BZ67,"")</f>
        <v/>
      </c>
      <c r="BZ65" s="185" t="str">
        <f>IF(Tim!CA67=FIT!$E$1,Tim!CA67,"")</f>
        <v/>
      </c>
      <c r="CA65" s="185" t="str">
        <f>IF(Tim!CB67=FIT!$E$1,Tim!CB67,"")</f>
        <v/>
      </c>
      <c r="CB65" s="185" t="str">
        <f>IF(Tim!CC67=FIT!$E$1,Tim!CC67,"")</f>
        <v/>
      </c>
      <c r="CC65" s="185" t="str">
        <f>IF(Tim!CD67=FIT!$E$1,Tim!CD67,"")</f>
        <v/>
      </c>
      <c r="CD65" s="185" t="str">
        <f>IF(Tim!CE67=FIT!$E$1,Tim!CE67,"")</f>
        <v/>
      </c>
      <c r="CE65" s="185" t="str">
        <f>IF(Tim!CF67=FIT!$E$1,Tim!CF67,"")</f>
        <v/>
      </c>
      <c r="CF65" s="185" t="str">
        <f>IF(Tim!CG67=FIT!$E$1,Tim!CG67,"")</f>
        <v/>
      </c>
      <c r="CG65" s="185" t="str">
        <f>IF(Tim!CH67=FIT!$E$1,Tim!CH67,"")</f>
        <v/>
      </c>
      <c r="CH65" s="185" t="str">
        <f>IF(Tim!CI67=FIT!$E$1,Tim!CI67,"")</f>
        <v/>
      </c>
      <c r="CI65" s="185" t="str">
        <f>IF(Tim!CJ67=FIT!$E$1,Tim!CJ67,"")</f>
        <v/>
      </c>
      <c r="CJ65" s="185" t="str">
        <f>IF(Tim!CK67=FIT!$E$1,Tim!CK67,"")</f>
        <v/>
      </c>
      <c r="CK65" s="185" t="str">
        <f>IF(Tim!CL67=FIT!$E$1,Tim!CL67,"")</f>
        <v/>
      </c>
      <c r="CL65" s="185" t="str">
        <f>IF(Tim!CM67=FIT!$E$1,Tim!CM67,"")</f>
        <v/>
      </c>
      <c r="CM65" s="185" t="str">
        <f>IF(Tim!CN67=FIT!$E$1,Tim!CN67,"")</f>
        <v/>
      </c>
      <c r="CN65" s="185" t="str">
        <f>IF(Tim!CO67=FIT!$E$1,Tim!CO67,"")</f>
        <v/>
      </c>
      <c r="CO65" s="185" t="str">
        <f>IF(Tim!CP67=FIT!$E$1,Tim!CP67,"")</f>
        <v/>
      </c>
      <c r="CP65" s="185" t="str">
        <f>IF(Tim!CQ67=FIT!$E$1,Tim!CQ67,"")</f>
        <v/>
      </c>
      <c r="CQ65" s="185" t="str">
        <f>IF(Tim!CR67=FIT!$E$1,Tim!CR67,"")</f>
        <v/>
      </c>
      <c r="CR65" s="185" t="str">
        <f>IF(Tim!CS67=FIT!$E$1,Tim!CS67,"")</f>
        <v/>
      </c>
      <c r="CS65" s="185" t="str">
        <f>IF(Tim!CT67=FIT!$E$1,Tim!CT67,"")</f>
        <v/>
      </c>
      <c r="CT65" s="185" t="str">
        <f>IF(Tim!CU67=FIT!$E$1,Tim!CU67,"")</f>
        <v/>
      </c>
      <c r="CU65" s="185" t="str">
        <f>IF(Tim!CV67=FIT!$E$1,Tim!CV67,"")</f>
        <v/>
      </c>
      <c r="CV65" s="185" t="str">
        <f>IF(Tim!CW67=FIT!$E$1,Tim!CW67,"")</f>
        <v/>
      </c>
      <c r="CW65" s="185" t="str">
        <f>IF(Tim!CX67=FIT!$E$1,Tim!CX67,"")</f>
        <v/>
      </c>
      <c r="CX65" s="185" t="str">
        <f>IF(Tim!CY67=FIT!$E$1,Tim!CY67,"")</f>
        <v/>
      </c>
      <c r="CY65" s="185" t="str">
        <f>IF(Tim!CZ67=FIT!$E$1,Tim!CZ67,"")</f>
        <v/>
      </c>
      <c r="CZ65" s="185" t="str">
        <f>IF(Tim!DA67=FIT!$E$1,Tim!DA67,"")</f>
        <v/>
      </c>
      <c r="DA65" s="185" t="str">
        <f>IF(Tim!DB67=FIT!$E$1,Tim!DB67,"")</f>
        <v/>
      </c>
      <c r="DB65" s="185" t="str">
        <f>IF(Tim!DC67=FIT!$E$1,Tim!DC67,"")</f>
        <v/>
      </c>
      <c r="DC65" s="185" t="str">
        <f>IF(Tim!DD67=FIT!$E$1,Tim!DD67,"")</f>
        <v/>
      </c>
      <c r="DD65" s="185" t="str">
        <f>IF(Tim!DE67=FIT!$E$1,Tim!DE67,"")</f>
        <v/>
      </c>
      <c r="DE65" s="185" t="str">
        <f>IF(Tim!DF67=FIT!$E$1,Tim!DF67,"")</f>
        <v/>
      </c>
      <c r="DF65" s="185" t="str">
        <f>IF(Tim!DG67=FIT!$E$1,Tim!DG67,"")</f>
        <v/>
      </c>
      <c r="DG65" s="185" t="str">
        <f>IF(Tim!DH67=FIT!$E$1,Tim!DH67,"")</f>
        <v/>
      </c>
      <c r="DH65" s="185" t="str">
        <f>IF(Tim!DI67=FIT!$E$1,Tim!DI67,"")</f>
        <v/>
      </c>
      <c r="DI65" s="185" t="str">
        <f>IF(Tim!DM67=FIT!$E$1,Tim!DM67,"")</f>
        <v/>
      </c>
      <c r="DJ65" s="185" t="str">
        <f>IF(Tim!DN67=FIT!$E$1,Tim!DN67,"")</f>
        <v/>
      </c>
      <c r="DK65" s="185" t="str">
        <f>IF(Tim!DO67=FIT!$E$1,Tim!DO67,"")</f>
        <v/>
      </c>
      <c r="DL65" s="185" t="str">
        <f>IF(Tim!DP67=FIT!$E$1,Tim!DP67,"")</f>
        <v/>
      </c>
      <c r="DM65" s="185" t="str">
        <f>IF(Tim!DQ67=FIT!$E$1,Tim!DQ67,"")</f>
        <v/>
      </c>
      <c r="DN65" s="185" t="str">
        <f>IF(Tim!DR67=FIT!$E$1,Tim!DR67,"")</f>
        <v/>
      </c>
      <c r="DO65" s="185" t="str">
        <f>IF(Tim!DS67=FIT!$E$1,Tim!DS67,"")</f>
        <v/>
      </c>
      <c r="DP65" s="185" t="str">
        <f>IF(Tim!DT67=FIT!$E$1,Tim!DT67,"")</f>
        <v/>
      </c>
      <c r="DQ65" s="185" t="str">
        <f>IF(Tim!DU67=FIT!$E$1,Tim!DU67,"")</f>
        <v/>
      </c>
      <c r="DR65" s="185" t="str">
        <f>IF(Tim!DV67=FIT!$E$1,Tim!DV67,"")</f>
        <v/>
      </c>
      <c r="DS65" s="185" t="str">
        <f>IF(Tim!DW67=FIT!$E$1,Tim!DW67,"")</f>
        <v/>
      </c>
      <c r="DT65" s="185" t="str">
        <f>IF(Tim!DX67=FIT!$E$1,Tim!DX67,"")</f>
        <v/>
      </c>
      <c r="DU65" s="185" t="str">
        <f>IF(Tim!DY67=FIT!$E$1,Tim!DY67,"")</f>
        <v/>
      </c>
      <c r="DV65" s="185" t="str">
        <f>IF(Tim!DZ67=FIT!$E$1,Tim!DZ67,"")</f>
        <v/>
      </c>
      <c r="DW65" s="185" t="str">
        <f>IF(Tim!EA67=FIT!$E$1,Tim!EA67,"")</f>
        <v/>
      </c>
      <c r="DX65" s="185" t="str">
        <f>IF(Tim!EB67=FIT!$E$1,Tim!EB67,"")</f>
        <v/>
      </c>
      <c r="DY65" s="185" t="str">
        <f>IF(Tim!EC67=FIT!$E$1,Tim!EC67,"")</f>
        <v/>
      </c>
      <c r="DZ65" s="185" t="str">
        <f>IF(Tim!ED67=FIT!$E$1,Tim!ED67,"")</f>
        <v/>
      </c>
      <c r="EA65" s="185" t="str">
        <f>IF(Tim!EE67=FIT!$E$1,Tim!EE67,"")</f>
        <v/>
      </c>
      <c r="EB65" s="185" t="str">
        <f>IF(Tim!EF67=FIT!$E$1,Tim!EF67,"")</f>
        <v/>
      </c>
      <c r="EC65" s="185" t="str">
        <f>IF(Tim!EG67=FIT!$E$1,Tim!EG67,"")</f>
        <v/>
      </c>
      <c r="ED65" s="185" t="str">
        <f>IF(Tim!EH67=FIT!$E$1,Tim!EH67,"")</f>
        <v/>
      </c>
      <c r="EE65" s="185" t="str">
        <f>IF(Tim!EI67=FIT!$E$1,Tim!EI67,"")</f>
        <v/>
      </c>
      <c r="EF65" s="185" t="str">
        <f>IF(Tim!EJ67=FIT!$E$1,Tim!EJ67,"")</f>
        <v/>
      </c>
      <c r="EG65" s="185" t="str">
        <f>IF(Tim!EK67=FIT!$E$1,Tim!EK67,"")</f>
        <v/>
      </c>
      <c r="EH65" s="185" t="str">
        <f>IF(Tim!EL67=FIT!$E$1,Tim!EL67,"")</f>
        <v/>
      </c>
      <c r="EI65" s="185" t="str">
        <f>IF(Tim!EM67=FIT!$E$1,Tim!EM67,"")</f>
        <v/>
      </c>
      <c r="EJ65" s="185" t="str">
        <f>IF(Tim!EN67=FIT!$E$1,Tim!EN67,"")</f>
        <v/>
      </c>
      <c r="EK65" s="185" t="str">
        <f>IF(Tim!EO67=FIT!$E$1,Tim!EO67,"")</f>
        <v/>
      </c>
      <c r="EL65" s="185" t="str">
        <f>IF(Tim!EP67=FIT!$E$1,Tim!EP67,"")</f>
        <v/>
      </c>
      <c r="EM65" s="185" t="str">
        <f>IF(Tim!EQ67=FIT!$E$1,Tim!EQ67,"")</f>
        <v/>
      </c>
      <c r="EN65" s="185" t="str">
        <f>IF(Tim!ER67=FIT!$E$1,Tim!ER67,"")</f>
        <v/>
      </c>
      <c r="EO65" s="185" t="str">
        <f>IF(Tim!ES67=FIT!$E$1,Tim!ES67,"")</f>
        <v/>
      </c>
      <c r="EP65" s="185" t="str">
        <f>IF(Tim!ET67=FIT!$E$1,Tim!ET67,"")</f>
        <v/>
      </c>
      <c r="EQ65" s="185" t="str">
        <f>IF(Tim!EU67=FIT!$E$1,Tim!EU67,"")</f>
        <v/>
      </c>
      <c r="ER65" s="185" t="str">
        <f>IF(Tim!EV67=FIT!$E$1,Tim!EV67,"")</f>
        <v/>
      </c>
      <c r="ES65" s="185" t="str">
        <f>IF(Tim!EW67=FIT!$E$1,Tim!EW67,"")</f>
        <v/>
      </c>
      <c r="ET65" s="185" t="str">
        <f>IF(Tim!EX67=FIT!$E$1,Tim!EX67,"")</f>
        <v/>
      </c>
      <c r="EU65" s="185" t="str">
        <f>IF(Tim!EY67=FIT!$E$1,Tim!EY67,"")</f>
        <v/>
      </c>
      <c r="EV65" s="185" t="str">
        <f>IF(Tim!EZ67=FIT!$E$1,Tim!EZ67,"")</f>
        <v/>
      </c>
      <c r="EW65" s="185" t="str">
        <f>IF(Tim!FA67=FIT!$E$1,Tim!FA67,"")</f>
        <v/>
      </c>
      <c r="EX65" s="185" t="str">
        <f>IF(Tim!FB67=FIT!$E$1,Tim!FB67,"")</f>
        <v/>
      </c>
      <c r="EY65" s="185" t="str">
        <f>IF(Tim!FC67=FIT!$E$1,Tim!FC67,"")</f>
        <v/>
      </c>
      <c r="EZ65" s="185" t="str">
        <f>IF(Tim!FD67=FIT!$E$1,Tim!FD67,"")</f>
        <v/>
      </c>
      <c r="FA65" s="185" t="str">
        <f>IF(Tim!FE67=FIT!$E$1,Tim!FE67,"")</f>
        <v/>
      </c>
      <c r="FB65" s="185" t="str">
        <f>IF(Tim!FF67=FIT!$E$1,Tim!FF67,"")</f>
        <v/>
      </c>
      <c r="FC65" s="185" t="str">
        <f>IF(Tim!FG67=FIT!$E$1,Tim!FG67,"")</f>
        <v/>
      </c>
      <c r="FD65" s="185" t="str">
        <f>IF(Tim!FH67=FIT!$E$1,Tim!FH67,"")</f>
        <v/>
      </c>
      <c r="FE65" s="185" t="str">
        <f>IF(Tim!FI67=FIT!$E$1,Tim!FI67,"")</f>
        <v/>
      </c>
      <c r="FF65" s="185" t="str">
        <f>IF(Tim!FJ67=FIT!$E$1,Tim!FJ67,"")</f>
        <v/>
      </c>
      <c r="FG65" s="185" t="str">
        <f>IF(Tim!FK67=FIT!$E$1,Tim!FK67,"")</f>
        <v/>
      </c>
      <c r="FH65" s="185" t="str">
        <f>IF(Tim!FL67=FIT!$E$1,Tim!FL67,"")</f>
        <v/>
      </c>
      <c r="FI65" s="185" t="str">
        <f>IF(Tim!FM67=FIT!$E$1,Tim!FM67,"")</f>
        <v/>
      </c>
      <c r="FJ65" s="185" t="str">
        <f>IF(Tim!FN67=FIT!$E$1,Tim!FN67,"")</f>
        <v/>
      </c>
      <c r="FK65" s="185" t="str">
        <f>IF(Tim!FO67=FIT!$E$1,Tim!FO67,"")</f>
        <v/>
      </c>
      <c r="FL65" s="185" t="str">
        <f>IF(Tim!FP67=FIT!$E$1,Tim!FP67,"")</f>
        <v/>
      </c>
      <c r="FM65" s="185" t="str">
        <f>IF(Tim!FQ67=FIT!$E$1,Tim!FQ67,"")</f>
        <v/>
      </c>
      <c r="FN65" s="185" t="str">
        <f>IF(Tim!FR67=FIT!$E$1,Tim!FR67,"")</f>
        <v/>
      </c>
      <c r="FO65" s="185" t="str">
        <f>IF(Tim!FS67=FIT!$E$1,Tim!FS67,"")</f>
        <v/>
      </c>
      <c r="FP65" s="185" t="str">
        <f>IF(Tim!FT67=FIT!$E$1,Tim!FT67,"")</f>
        <v/>
      </c>
      <c r="FQ65" s="185" t="str">
        <f>IF(Tim!FU67=FIT!$E$1,Tim!FU67,"")</f>
        <v/>
      </c>
      <c r="FR65" s="185" t="str">
        <f>IF(Tim!FV67=FIT!$E$1,Tim!FV67,"")</f>
        <v/>
      </c>
      <c r="FS65" s="185" t="str">
        <f>IF(Tim!FW67=FIT!$E$1,Tim!FW67,"")</f>
        <v/>
      </c>
      <c r="FT65" s="185" t="str">
        <f>IF(Tim!FX67=FIT!$E$1,Tim!FX67,"")</f>
        <v/>
      </c>
      <c r="FU65" s="185" t="str">
        <f>IF(Tim!FY67=FIT!$E$1,Tim!FY67,"")</f>
        <v/>
      </c>
      <c r="FV65" s="185" t="str">
        <f>IF(Tim!FZ67=FIT!$E$1,Tim!FZ67,"")</f>
        <v/>
      </c>
      <c r="FW65" s="185" t="str">
        <f>IF(Tim!GA67=FIT!$E$1,Tim!GA67,"")</f>
        <v/>
      </c>
      <c r="FX65" s="185" t="str">
        <f>IF(Tim!GB67=FIT!$E$1,Tim!GB67,"")</f>
        <v/>
      </c>
      <c r="FY65" s="185" t="str">
        <f>IF(Tim!GC67=FIT!$E$1,Tim!GC67,"")</f>
        <v/>
      </c>
      <c r="FZ65" s="185" t="str">
        <f>IF(Tim!GD67=FIT!$E$1,Tim!GD67,"")</f>
        <v/>
      </c>
      <c r="GA65" s="185" t="str">
        <f>IF(Tim!GE67=FIT!$E$1,Tim!GE67,"")</f>
        <v/>
      </c>
      <c r="GB65" s="185" t="str">
        <f>IF(Tim!GF67=FIT!$E$1,Tim!GF67,"")</f>
        <v/>
      </c>
      <c r="GC65" s="185" t="str">
        <f>IF(Tim!GG67=FIT!$E$1,Tim!GG67,"")</f>
        <v/>
      </c>
      <c r="GD65" s="185" t="str">
        <f>IF(Tim!GH67=FIT!$E$1,Tim!GH67,"")</f>
        <v/>
      </c>
      <c r="GE65" s="185" t="str">
        <f>IF(Tim!GI67=FIT!$E$1,Tim!GI67,"")</f>
        <v/>
      </c>
      <c r="GF65" s="185" t="str">
        <f>IF(Tim!GJ67=FIT!$E$1,Tim!GJ67,"")</f>
        <v/>
      </c>
      <c r="GG65" s="185" t="str">
        <f>IF(Tim!GK67=FIT!$E$1,Tim!GK67,"")</f>
        <v/>
      </c>
      <c r="GH65" s="185" t="str">
        <f>IF(Tim!GL67=FIT!$E$1,Tim!GL67,"")</f>
        <v/>
      </c>
      <c r="GI65" s="185" t="str">
        <f>IF(Tim!GM67=FIT!$E$1,Tim!GM67,"")</f>
        <v/>
      </c>
      <c r="GJ65" s="185" t="str">
        <f>IF(Tim!GN67=FIT!$E$1,Tim!GN67,"")</f>
        <v/>
      </c>
      <c r="GK65" s="185" t="str">
        <f>IF(Tim!GO67=FIT!$E$1,Tim!GO67,"")</f>
        <v/>
      </c>
      <c r="GL65" s="185" t="str">
        <f>IF(Tim!GP67=FIT!$E$1,Tim!GP67,"")</f>
        <v/>
      </c>
      <c r="GM65" s="185" t="str">
        <f>IF(Tim!GQ67=FIT!$E$1,Tim!GQ67,"")</f>
        <v/>
      </c>
      <c r="GN65" s="185" t="str">
        <f>IF(Tim!GR67=FIT!$E$1,Tim!GR67,"")</f>
        <v/>
      </c>
      <c r="GO65" s="185" t="str">
        <f>IF(Tim!GS67=FIT!$E$1,Tim!GS67,"")</f>
        <v/>
      </c>
      <c r="GP65" s="185" t="str">
        <f>IF(Tim!GT67=FIT!$E$1,Tim!GT67,"")</f>
        <v/>
      </c>
      <c r="GQ65" s="185" t="str">
        <f>IF(Tim!GU67=FIT!$E$1,Tim!GU67,"")</f>
        <v/>
      </c>
      <c r="GR65" s="185" t="str">
        <f>IF(Tim!GV67=FIT!$E$1,Tim!GV67,"")</f>
        <v/>
      </c>
      <c r="GS65" s="185" t="str">
        <f>IF(Tim!GW67=FIT!$E$1,Tim!GW67,"")</f>
        <v/>
      </c>
      <c r="GT65" s="185" t="str">
        <f>IF(Tim!GX67=FIT!$E$1,Tim!GX67,"")</f>
        <v/>
      </c>
      <c r="GU65" s="185" t="str">
        <f>IF(Tim!GY67=FIT!$E$1,Tim!GY67,"")</f>
        <v/>
      </c>
      <c r="GV65" s="185" t="str">
        <f>IF(Tim!GZ67=FIT!$E$1,Tim!GZ67,"")</f>
        <v/>
      </c>
      <c r="GW65" s="185" t="str">
        <f>IF(Tim!HA67=FIT!$E$1,Tim!HA67,"")</f>
        <v/>
      </c>
      <c r="GX65" s="185" t="str">
        <f>IF(Tim!HB67=FIT!$E$1,Tim!HB67,"")</f>
        <v/>
      </c>
      <c r="GY65" s="185" t="str">
        <f>IF(Tim!HC67=FIT!$E$1,Tim!HC67,"")</f>
        <v/>
      </c>
      <c r="GZ65" s="185" t="str">
        <f>IF(Tim!HD67=FIT!$E$1,Tim!HD67,"")</f>
        <v/>
      </c>
      <c r="HA65" s="185" t="str">
        <f>IF(Tim!HE67=FIT!$E$1,Tim!HE67,"")</f>
        <v/>
      </c>
      <c r="HB65" s="185" t="str">
        <f>IF(Tim!HF67=FIT!$E$1,Tim!HF67,"")</f>
        <v/>
      </c>
      <c r="HC65" s="185" t="str">
        <f>IF(Tim!HG67=FIT!$E$1,Tim!HG67,"")</f>
        <v/>
      </c>
      <c r="HD65" s="185" t="str">
        <f>IF(Tim!HH67=FIT!$E$1,Tim!HH67,"")</f>
        <v/>
      </c>
      <c r="HE65" s="185" t="str">
        <f>IF(Tim!HI67=FIT!$E$1,Tim!HI67,"")</f>
        <v/>
      </c>
      <c r="HF65" s="185" t="str">
        <f>IF(Tim!HJ67=FIT!$E$1,Tim!HJ67,"")</f>
        <v/>
      </c>
      <c r="HG65" s="185" t="str">
        <f>IF(Tim!HK67=FIT!$E$1,Tim!HK67,"")</f>
        <v/>
      </c>
      <c r="HH65" s="185" t="str">
        <f>IF(Tim!HL67=FIT!$E$1,Tim!HL67,"")</f>
        <v/>
      </c>
      <c r="HI65" s="185" t="str">
        <f>IF(Tim!HM67=FIT!$E$1,Tim!HM67,"")</f>
        <v/>
      </c>
      <c r="HJ65" s="185" t="str">
        <f>IF(Tim!HN67=FIT!$E$1,Tim!HN67,"")</f>
        <v/>
      </c>
      <c r="HK65" s="185" t="str">
        <f>IF(Tim!HO67=FIT!$E$1,Tim!HO67,"")</f>
        <v/>
      </c>
      <c r="HL65" s="185" t="str">
        <f>IF(Tim!HP67=FIT!$E$1,Tim!HP67,"")</f>
        <v/>
      </c>
      <c r="HM65" s="185" t="str">
        <f>IF(Tim!HQ67=FIT!$E$1,Tim!HQ67,"")</f>
        <v/>
      </c>
      <c r="HN65" s="185" t="str">
        <f>IF(Tim!HR67=FIT!$E$1,Tim!HR67,"")</f>
        <v/>
      </c>
      <c r="HO65" s="185" t="str">
        <f>IF(Tim!HS67=FIT!$E$1,Tim!HS67,"")</f>
        <v/>
      </c>
      <c r="HP65" s="185" t="str">
        <f>IF(Tim!HT67=FIT!$E$1,Tim!HT67,"")</f>
        <v/>
      </c>
      <c r="HQ65" s="185" t="str">
        <f>IF(Tim!HU67=FIT!$E$1,Tim!HU67,"")</f>
        <v/>
      </c>
      <c r="HR65" s="469"/>
      <c r="HS65" s="366"/>
      <c r="HT65" s="366"/>
      <c r="HU65" s="366"/>
      <c r="HV65" s="366"/>
      <c r="HW65" s="366"/>
      <c r="HX65" s="366"/>
      <c r="HY65" s="366"/>
      <c r="HZ65" s="366"/>
      <c r="IA65" s="366"/>
      <c r="IB65" s="366"/>
      <c r="IC65" s="366"/>
      <c r="ID65" s="366"/>
      <c r="IE65" s="366"/>
      <c r="IF65" s="366"/>
      <c r="IG65" s="366"/>
      <c r="IH65" s="366"/>
      <c r="II65" s="366"/>
      <c r="IJ65" s="366"/>
      <c r="IK65" s="366"/>
      <c r="IL65" s="366"/>
      <c r="IM65" s="366"/>
      <c r="IN65" s="366"/>
      <c r="IO65" s="366"/>
      <c r="IP65" s="366"/>
      <c r="IQ65" s="366"/>
      <c r="IR65" s="366"/>
      <c r="IS65" s="366"/>
      <c r="IT65" s="366"/>
      <c r="IU65" s="366"/>
      <c r="IV65" s="366"/>
      <c r="IW65" s="366"/>
      <c r="IX65" s="366"/>
      <c r="IY65" s="366"/>
      <c r="IZ65" s="366"/>
      <c r="JA65" s="366"/>
      <c r="JB65" s="366"/>
      <c r="JC65" s="366"/>
      <c r="JD65" s="366"/>
      <c r="JE65" s="366"/>
      <c r="JF65" s="366"/>
      <c r="JG65" s="366"/>
      <c r="JH65" s="366"/>
      <c r="JI65" s="428"/>
      <c r="JJ65" s="469"/>
      <c r="JK65" s="366"/>
      <c r="JL65" s="366"/>
      <c r="JM65" s="366"/>
      <c r="JN65" s="366"/>
      <c r="JO65" s="366"/>
      <c r="JP65" s="366"/>
      <c r="JQ65" s="366"/>
      <c r="JR65" s="366"/>
      <c r="JS65" s="366"/>
      <c r="JT65" s="366"/>
      <c r="JU65" s="366"/>
      <c r="JV65" s="366"/>
      <c r="JW65" s="366"/>
      <c r="JX65" s="366"/>
      <c r="JY65" s="366"/>
      <c r="JZ65" s="366"/>
      <c r="KA65" s="366"/>
      <c r="KB65" s="366"/>
      <c r="KC65" s="366"/>
      <c r="KD65" s="366"/>
      <c r="KE65" s="366"/>
      <c r="KF65" s="366"/>
      <c r="KG65" s="366"/>
      <c r="KH65" s="366"/>
      <c r="KI65" s="366"/>
      <c r="KJ65" s="366"/>
      <c r="KK65" s="366"/>
      <c r="KL65" s="366"/>
      <c r="KM65" s="366"/>
      <c r="KN65" s="366"/>
      <c r="KO65" s="366"/>
      <c r="KP65" s="366"/>
      <c r="KQ65" s="366"/>
      <c r="KR65" s="366"/>
      <c r="KS65" s="366"/>
      <c r="KT65" s="366"/>
      <c r="KU65" s="366"/>
      <c r="KV65" s="366"/>
      <c r="KW65" s="366"/>
      <c r="KX65" s="366"/>
      <c r="KY65" s="366"/>
      <c r="KZ65" s="366"/>
      <c r="LA65" s="428"/>
      <c r="LB65" s="52">
        <v>0.91666666666666496</v>
      </c>
    </row>
    <row r="66" spans="2:314" ht="10.5" customHeight="1">
      <c r="B66" s="49">
        <v>0.25</v>
      </c>
      <c r="C66" s="49">
        <v>0.25</v>
      </c>
      <c r="D66" s="49">
        <v>0.25</v>
      </c>
      <c r="E66" s="172">
        <v>0.92708333333333104</v>
      </c>
      <c r="F66" s="238" t="str">
        <f>IF(Tim!F68=FIT!$E$1,Tim!F68,"")</f>
        <v/>
      </c>
      <c r="G66" s="185" t="str">
        <f>IF(Tim!G68=FIT!$E$1,Tim!G68,"")</f>
        <v/>
      </c>
      <c r="H66" s="185" t="str">
        <f>IF(Tim!H68=FIT!$E$1,Tim!H68,"")</f>
        <v/>
      </c>
      <c r="I66" s="185" t="str">
        <f>IF(Tim!I68=FIT!$E$1,Tim!I68,"")</f>
        <v/>
      </c>
      <c r="J66" s="185" t="str">
        <f>IF(Tim!J68=FIT!$E$1,Tim!J68,"")</f>
        <v/>
      </c>
      <c r="K66" s="185" t="str">
        <f>IF(Tim!K68=FIT!$E$1,Tim!K68,"")</f>
        <v/>
      </c>
      <c r="L66" s="185" t="str">
        <f>IF(Tim!L68=FIT!$E$1,Tim!L68,"")</f>
        <v/>
      </c>
      <c r="M66" s="185" t="str">
        <f>IF(Tim!M68=FIT!$E$1,Tim!M68,"")</f>
        <v/>
      </c>
      <c r="N66" s="185" t="str">
        <f>IF(Tim!N68=FIT!$E$1,Tim!N68,"")</f>
        <v/>
      </c>
      <c r="O66" s="185" t="str">
        <f>IF(Tim!O68=FIT!$E$1,Tim!O68,"")</f>
        <v/>
      </c>
      <c r="P66" s="185" t="str">
        <f>IF(Tim!P68=FIT!$E$1,Tim!P68,"")</f>
        <v/>
      </c>
      <c r="Q66" s="185" t="str">
        <f>IF(Tim!Q68=FIT!$E$1,Tim!Q68,"")</f>
        <v/>
      </c>
      <c r="R66" s="185" t="str">
        <f>IF(Tim!R68=FIT!$E$1,Tim!R68,"")</f>
        <v/>
      </c>
      <c r="S66" s="185" t="str">
        <f>IF(Tim!S68=FIT!$E$1,Tim!S68,"")</f>
        <v/>
      </c>
      <c r="T66" s="185" t="str">
        <f>IF(Tim!T68=FIT!$E$1,Tim!T68,"")</f>
        <v/>
      </c>
      <c r="U66" s="185" t="str">
        <f>IF(Tim!U68=FIT!$E$1,Tim!U68,"")</f>
        <v/>
      </c>
      <c r="V66" s="185" t="str">
        <f>IF(Tim!W68=FIT!$E$1,Tim!W68,"")</f>
        <v/>
      </c>
      <c r="W66" s="185" t="str">
        <f>IF(Tim!X68=FIT!$E$1,Tim!X68,"")</f>
        <v/>
      </c>
      <c r="X66" s="185" t="str">
        <f>IF(Tim!Y68=FIT!$E$1,Tim!Y68,"")</f>
        <v/>
      </c>
      <c r="Y66" s="185" t="str">
        <f>IF(Tim!Z68=FIT!$E$1,Tim!Z68,"")</f>
        <v/>
      </c>
      <c r="Z66" s="185" t="str">
        <f>IF(Tim!AA68=FIT!$E$1,Tim!AA68,"")</f>
        <v/>
      </c>
      <c r="AA66" s="185" t="str">
        <f>IF(Tim!AB68=FIT!$E$1,Tim!AB68,"")</f>
        <v/>
      </c>
      <c r="AB66" s="185" t="str">
        <f>IF(Tim!AC68=FIT!$E$1,Tim!AC68,"")</f>
        <v/>
      </c>
      <c r="AC66" s="185" t="str">
        <f>IF(Tim!AD68=FIT!$E$1,Tim!AD68,"")</f>
        <v/>
      </c>
      <c r="AD66" s="185" t="str">
        <f>IF(Tim!AE68=FIT!$E$1,Tim!AE68,"")</f>
        <v/>
      </c>
      <c r="AE66" s="185" t="str">
        <f>IF(Tim!AF68=FIT!$E$1,Tim!AF68,"")</f>
        <v/>
      </c>
      <c r="AF66" s="185" t="str">
        <f>IF(Tim!AG68=FIT!$E$1,Tim!AG68,"")</f>
        <v/>
      </c>
      <c r="AG66" s="185" t="str">
        <f>IF(Tim!AH68=FIT!$E$1,Tim!AH68,"")</f>
        <v/>
      </c>
      <c r="AH66" s="185" t="str">
        <f>IF(Tim!AI68=FIT!$E$1,Tim!AI68,"")</f>
        <v/>
      </c>
      <c r="AI66" s="185" t="str">
        <f>IF(Tim!AJ68=FIT!$E$1,Tim!AJ68,"")</f>
        <v/>
      </c>
      <c r="AJ66" s="185" t="str">
        <f>IF(Tim!AK68=FIT!$E$1,Tim!AK68,"")</f>
        <v/>
      </c>
      <c r="AK66" s="185" t="str">
        <f>IF(Tim!AL68=FIT!$E$1,Tim!AL68,"")</f>
        <v/>
      </c>
      <c r="AL66" s="185" t="str">
        <f>IF(Tim!AM68=FIT!$E$1,Tim!AM68,"")</f>
        <v/>
      </c>
      <c r="AM66" s="185" t="str">
        <f>IF(Tim!AN68=FIT!$E$1,Tim!AN68,"")</f>
        <v/>
      </c>
      <c r="AN66" s="185" t="str">
        <f>IF(Tim!AO68=FIT!$E$1,Tim!AO68,"")</f>
        <v/>
      </c>
      <c r="AO66" s="185" t="str">
        <f>IF(Tim!AP68=FIT!$E$1,Tim!AP68,"")</f>
        <v/>
      </c>
      <c r="AP66" s="185" t="str">
        <f>IF(Tim!AQ68=FIT!$E$1,Tim!AQ68,"")</f>
        <v/>
      </c>
      <c r="AQ66" s="185" t="str">
        <f>IF(Tim!AR68=FIT!$E$1,Tim!AR68,"")</f>
        <v/>
      </c>
      <c r="AR66" s="185" t="str">
        <f>IF(Tim!AS68=FIT!$E$1,Tim!AS68,"")</f>
        <v/>
      </c>
      <c r="AS66" s="185" t="str">
        <f>IF(Tim!AT68=FIT!$E$1,Tim!AT68,"")</f>
        <v/>
      </c>
      <c r="AT66" s="185" t="str">
        <f>IF(Tim!AU68=FIT!$E$1,Tim!AU68,"")</f>
        <v/>
      </c>
      <c r="AU66" s="185" t="str">
        <f>IF(Tim!AV68=FIT!$E$1,Tim!AV68,"")</f>
        <v/>
      </c>
      <c r="AV66" s="185" t="str">
        <f>IF(Tim!AW68=FIT!$E$1,Tim!AW68,"")</f>
        <v/>
      </c>
      <c r="AW66" s="186" t="str">
        <f>IF(Tim!AX68=FIT!$E$1,Tim!AX68,"")</f>
        <v/>
      </c>
      <c r="AX66" s="243" t="str">
        <f>IF(Tim!AY68=FIT!$E$1,Tim!AY68,"")</f>
        <v/>
      </c>
      <c r="AY66" s="185" t="str">
        <f>IF(Tim!AZ68=FIT!$E$1,Tim!AZ68,"")</f>
        <v/>
      </c>
      <c r="AZ66" s="185" t="str">
        <f>IF(Tim!BA68=FIT!$E$1,Tim!BA68,"")</f>
        <v/>
      </c>
      <c r="BA66" s="185" t="str">
        <f>IF(Tim!BB68=FIT!$E$1,Tim!BB68,"")</f>
        <v/>
      </c>
      <c r="BB66" s="185" t="str">
        <f>IF(Tim!BC68=FIT!$E$1,Tim!BC68,"")</f>
        <v/>
      </c>
      <c r="BC66" s="185" t="str">
        <f>IF(Tim!BD68=FIT!$E$1,Tim!BD68,"")</f>
        <v/>
      </c>
      <c r="BD66" s="185" t="str">
        <f>IF(Tim!BE68=FIT!$E$1,Tim!BE68,"")</f>
        <v/>
      </c>
      <c r="BE66" s="185" t="str">
        <f>IF(Tim!BF68=FIT!$E$1,Tim!BF68,"")</f>
        <v/>
      </c>
      <c r="BF66" s="185" t="str">
        <f>IF(Tim!BG68=FIT!$E$1,Tim!BG68,"")</f>
        <v/>
      </c>
      <c r="BG66" s="185" t="str">
        <f>IF(Tim!BH68=FIT!$E$1,Tim!BH68,"")</f>
        <v/>
      </c>
      <c r="BH66" s="185" t="str">
        <f>IF(Tim!BI68=FIT!$E$1,Tim!BI68,"")</f>
        <v/>
      </c>
      <c r="BI66" s="185" t="str">
        <f>IF(Tim!BJ68=FIT!$E$1,Tim!BJ68,"")</f>
        <v/>
      </c>
      <c r="BJ66" s="185" t="str">
        <f>IF(Tim!BK68=FIT!$E$1,Tim!BK68,"")</f>
        <v/>
      </c>
      <c r="BK66" s="185" t="str">
        <f>IF(Tim!BL68=FIT!$E$1,Tim!BL68,"")</f>
        <v/>
      </c>
      <c r="BL66" s="185" t="str">
        <f>IF(Tim!BM68=FIT!$E$1,Tim!BM68,"")</f>
        <v/>
      </c>
      <c r="BM66" s="185" t="str">
        <f>IF(Tim!BN68=FIT!$E$1,Tim!BN68,"")</f>
        <v/>
      </c>
      <c r="BN66" s="185" t="str">
        <f>IF(Tim!BO68=FIT!$E$1,Tim!BO68,"")</f>
        <v/>
      </c>
      <c r="BO66" s="185" t="str">
        <f>IF(Tim!BP68=FIT!$E$1,Tim!BP68,"")</f>
        <v/>
      </c>
      <c r="BP66" s="185" t="str">
        <f>IF(Tim!BQ68=FIT!$E$1,Tim!BQ68,"")</f>
        <v/>
      </c>
      <c r="BQ66" s="185" t="str">
        <f>IF(Tim!BR68=FIT!$E$1,Tim!BR68,"")</f>
        <v/>
      </c>
      <c r="BR66" s="185" t="str">
        <f>IF(Tim!BS68=FIT!$E$1,Tim!BS68,"")</f>
        <v/>
      </c>
      <c r="BS66" s="185" t="str">
        <f>IF(Tim!BT68=FIT!$E$1,Tim!BT68,"")</f>
        <v/>
      </c>
      <c r="BT66" s="185" t="str">
        <f>IF(Tim!BU68=FIT!$E$1,Tim!BU68,"")</f>
        <v/>
      </c>
      <c r="BU66" s="185" t="str">
        <f>IF(Tim!BV68=FIT!$E$1,Tim!BV68,"")</f>
        <v/>
      </c>
      <c r="BV66" s="185" t="str">
        <f>IF(Tim!BW68=FIT!$E$1,Tim!BW68,"")</f>
        <v/>
      </c>
      <c r="BW66" s="185" t="str">
        <f>IF(Tim!BX68=FIT!$E$1,Tim!BX68,"")</f>
        <v/>
      </c>
      <c r="BX66" s="185" t="str">
        <f>IF(Tim!BY68=FIT!$E$1,Tim!BY68,"")</f>
        <v/>
      </c>
      <c r="BY66" s="185" t="str">
        <f>IF(Tim!BZ68=FIT!$E$1,Tim!BZ68,"")</f>
        <v/>
      </c>
      <c r="BZ66" s="185" t="str">
        <f>IF(Tim!CA68=FIT!$E$1,Tim!CA68,"")</f>
        <v/>
      </c>
      <c r="CA66" s="185" t="str">
        <f>IF(Tim!CB68=FIT!$E$1,Tim!CB68,"")</f>
        <v/>
      </c>
      <c r="CB66" s="185" t="str">
        <f>IF(Tim!CC68=FIT!$E$1,Tim!CC68,"")</f>
        <v/>
      </c>
      <c r="CC66" s="185" t="str">
        <f>IF(Tim!CD68=FIT!$E$1,Tim!CD68,"")</f>
        <v/>
      </c>
      <c r="CD66" s="185" t="str">
        <f>IF(Tim!CE68=FIT!$E$1,Tim!CE68,"")</f>
        <v/>
      </c>
      <c r="CE66" s="185" t="str">
        <f>IF(Tim!CF68=FIT!$E$1,Tim!CF68,"")</f>
        <v/>
      </c>
      <c r="CF66" s="185" t="str">
        <f>IF(Tim!CG68=FIT!$E$1,Tim!CG68,"")</f>
        <v/>
      </c>
      <c r="CG66" s="185" t="str">
        <f>IF(Tim!CH68=FIT!$E$1,Tim!CH68,"")</f>
        <v/>
      </c>
      <c r="CH66" s="185" t="str">
        <f>IF(Tim!CI68=FIT!$E$1,Tim!CI68,"")</f>
        <v/>
      </c>
      <c r="CI66" s="185" t="str">
        <f>IF(Tim!CJ68=FIT!$E$1,Tim!CJ68,"")</f>
        <v/>
      </c>
      <c r="CJ66" s="185" t="str">
        <f>IF(Tim!CK68=FIT!$E$1,Tim!CK68,"")</f>
        <v/>
      </c>
      <c r="CK66" s="185" t="str">
        <f>IF(Tim!CL68=FIT!$E$1,Tim!CL68,"")</f>
        <v/>
      </c>
      <c r="CL66" s="185" t="str">
        <f>IF(Tim!CM68=FIT!$E$1,Tim!CM68,"")</f>
        <v/>
      </c>
      <c r="CM66" s="185" t="str">
        <f>IF(Tim!CN68=FIT!$E$1,Tim!CN68,"")</f>
        <v/>
      </c>
      <c r="CN66" s="185" t="str">
        <f>IF(Tim!CO68=FIT!$E$1,Tim!CO68,"")</f>
        <v/>
      </c>
      <c r="CO66" s="185" t="str">
        <f>IF(Tim!CP68=FIT!$E$1,Tim!CP68,"")</f>
        <v/>
      </c>
      <c r="CP66" s="185" t="str">
        <f>IF(Tim!CQ68=FIT!$E$1,Tim!CQ68,"")</f>
        <v/>
      </c>
      <c r="CQ66" s="185" t="str">
        <f>IF(Tim!CR68=FIT!$E$1,Tim!CR68,"")</f>
        <v/>
      </c>
      <c r="CR66" s="185" t="str">
        <f>IF(Tim!CS68=FIT!$E$1,Tim!CS68,"")</f>
        <v/>
      </c>
      <c r="CS66" s="185" t="str">
        <f>IF(Tim!CT68=FIT!$E$1,Tim!CT68,"")</f>
        <v/>
      </c>
      <c r="CT66" s="185" t="str">
        <f>IF(Tim!CU68=FIT!$E$1,Tim!CU68,"")</f>
        <v/>
      </c>
      <c r="CU66" s="185" t="str">
        <f>IF(Tim!CV68=FIT!$E$1,Tim!CV68,"")</f>
        <v/>
      </c>
      <c r="CV66" s="185" t="str">
        <f>IF(Tim!CW68=FIT!$E$1,Tim!CW68,"")</f>
        <v/>
      </c>
      <c r="CW66" s="185" t="str">
        <f>IF(Tim!CX68=FIT!$E$1,Tim!CX68,"")</f>
        <v/>
      </c>
      <c r="CX66" s="185" t="str">
        <f>IF(Tim!CY68=FIT!$E$1,Tim!CY68,"")</f>
        <v/>
      </c>
      <c r="CY66" s="185" t="str">
        <f>IF(Tim!CZ68=FIT!$E$1,Tim!CZ68,"")</f>
        <v/>
      </c>
      <c r="CZ66" s="185" t="str">
        <f>IF(Tim!DA68=FIT!$E$1,Tim!DA68,"")</f>
        <v/>
      </c>
      <c r="DA66" s="185" t="str">
        <f>IF(Tim!DB68=FIT!$E$1,Tim!DB68,"")</f>
        <v/>
      </c>
      <c r="DB66" s="185" t="str">
        <f>IF(Tim!DC68=FIT!$E$1,Tim!DC68,"")</f>
        <v/>
      </c>
      <c r="DC66" s="185" t="str">
        <f>IF(Tim!DD68=FIT!$E$1,Tim!DD68,"")</f>
        <v/>
      </c>
      <c r="DD66" s="185" t="str">
        <f>IF(Tim!DE68=FIT!$E$1,Tim!DE68,"")</f>
        <v/>
      </c>
      <c r="DE66" s="185" t="str">
        <f>IF(Tim!DF68=FIT!$E$1,Tim!DF68,"")</f>
        <v/>
      </c>
      <c r="DF66" s="185" t="str">
        <f>IF(Tim!DG68=FIT!$E$1,Tim!DG68,"")</f>
        <v/>
      </c>
      <c r="DG66" s="185" t="str">
        <f>IF(Tim!DH68=FIT!$E$1,Tim!DH68,"")</f>
        <v/>
      </c>
      <c r="DH66" s="185" t="str">
        <f>IF(Tim!DI68=FIT!$E$1,Tim!DI68,"")</f>
        <v/>
      </c>
      <c r="DI66" s="185" t="str">
        <f>IF(Tim!DM68=FIT!$E$1,Tim!DM68,"")</f>
        <v/>
      </c>
      <c r="DJ66" s="185" t="str">
        <f>IF(Tim!DN68=FIT!$E$1,Tim!DN68,"")</f>
        <v/>
      </c>
      <c r="DK66" s="185" t="str">
        <f>IF(Tim!DO68=FIT!$E$1,Tim!DO68,"")</f>
        <v/>
      </c>
      <c r="DL66" s="185" t="str">
        <f>IF(Tim!DP68=FIT!$E$1,Tim!DP68,"")</f>
        <v/>
      </c>
      <c r="DM66" s="185" t="str">
        <f>IF(Tim!DQ68=FIT!$E$1,Tim!DQ68,"")</f>
        <v/>
      </c>
      <c r="DN66" s="185" t="str">
        <f>IF(Tim!DR68=FIT!$E$1,Tim!DR68,"")</f>
        <v/>
      </c>
      <c r="DO66" s="185" t="str">
        <f>IF(Tim!DS68=FIT!$E$1,Tim!DS68,"")</f>
        <v/>
      </c>
      <c r="DP66" s="185" t="str">
        <f>IF(Tim!DT68=FIT!$E$1,Tim!DT68,"")</f>
        <v/>
      </c>
      <c r="DQ66" s="185" t="str">
        <f>IF(Tim!DU68=FIT!$E$1,Tim!DU68,"")</f>
        <v/>
      </c>
      <c r="DR66" s="185" t="str">
        <f>IF(Tim!DV68=FIT!$E$1,Tim!DV68,"")</f>
        <v/>
      </c>
      <c r="DS66" s="185" t="str">
        <f>IF(Tim!DW68=FIT!$E$1,Tim!DW68,"")</f>
        <v/>
      </c>
      <c r="DT66" s="185" t="str">
        <f>IF(Tim!DX68=FIT!$E$1,Tim!DX68,"")</f>
        <v/>
      </c>
      <c r="DU66" s="185" t="str">
        <f>IF(Tim!DY68=FIT!$E$1,Tim!DY68,"")</f>
        <v/>
      </c>
      <c r="DV66" s="185" t="str">
        <f>IF(Tim!DZ68=FIT!$E$1,Tim!DZ68,"")</f>
        <v/>
      </c>
      <c r="DW66" s="185" t="str">
        <f>IF(Tim!EA68=FIT!$E$1,Tim!EA68,"")</f>
        <v/>
      </c>
      <c r="DX66" s="185" t="str">
        <f>IF(Tim!EB68=FIT!$E$1,Tim!EB68,"")</f>
        <v/>
      </c>
      <c r="DY66" s="185" t="str">
        <f>IF(Tim!EC68=FIT!$E$1,Tim!EC68,"")</f>
        <v/>
      </c>
      <c r="DZ66" s="185" t="str">
        <f>IF(Tim!ED68=FIT!$E$1,Tim!ED68,"")</f>
        <v/>
      </c>
      <c r="EA66" s="185" t="str">
        <f>IF(Tim!EE68=FIT!$E$1,Tim!EE68,"")</f>
        <v/>
      </c>
      <c r="EB66" s="185" t="str">
        <f>IF(Tim!EF68=FIT!$E$1,Tim!EF68,"")</f>
        <v/>
      </c>
      <c r="EC66" s="185" t="str">
        <f>IF(Tim!EG68=FIT!$E$1,Tim!EG68,"")</f>
        <v/>
      </c>
      <c r="ED66" s="185" t="str">
        <f>IF(Tim!EH68=FIT!$E$1,Tim!EH68,"")</f>
        <v/>
      </c>
      <c r="EE66" s="185" t="str">
        <f>IF(Tim!EI68=FIT!$E$1,Tim!EI68,"")</f>
        <v/>
      </c>
      <c r="EF66" s="185" t="str">
        <f>IF(Tim!EJ68=FIT!$E$1,Tim!EJ68,"")</f>
        <v/>
      </c>
      <c r="EG66" s="185" t="str">
        <f>IF(Tim!EK68=FIT!$E$1,Tim!EK68,"")</f>
        <v/>
      </c>
      <c r="EH66" s="185" t="str">
        <f>IF(Tim!EL68=FIT!$E$1,Tim!EL68,"")</f>
        <v/>
      </c>
      <c r="EI66" s="185" t="str">
        <f>IF(Tim!EM68=FIT!$E$1,Tim!EM68,"")</f>
        <v/>
      </c>
      <c r="EJ66" s="185" t="str">
        <f>IF(Tim!EN68=FIT!$E$1,Tim!EN68,"")</f>
        <v/>
      </c>
      <c r="EK66" s="185" t="str">
        <f>IF(Tim!EO68=FIT!$E$1,Tim!EO68,"")</f>
        <v/>
      </c>
      <c r="EL66" s="185" t="str">
        <f>IF(Tim!EP68=FIT!$E$1,Tim!EP68,"")</f>
        <v/>
      </c>
      <c r="EM66" s="185" t="str">
        <f>IF(Tim!EQ68=FIT!$E$1,Tim!EQ68,"")</f>
        <v/>
      </c>
      <c r="EN66" s="185" t="str">
        <f>IF(Tim!ER68=FIT!$E$1,Tim!ER68,"")</f>
        <v/>
      </c>
      <c r="EO66" s="185" t="str">
        <f>IF(Tim!ES68=FIT!$E$1,Tim!ES68,"")</f>
        <v/>
      </c>
      <c r="EP66" s="185" t="str">
        <f>IF(Tim!ET68=FIT!$E$1,Tim!ET68,"")</f>
        <v/>
      </c>
      <c r="EQ66" s="185" t="str">
        <f>IF(Tim!EU68=FIT!$E$1,Tim!EU68,"")</f>
        <v/>
      </c>
      <c r="ER66" s="185" t="str">
        <f>IF(Tim!EV68=FIT!$E$1,Tim!EV68,"")</f>
        <v/>
      </c>
      <c r="ES66" s="185" t="str">
        <f>IF(Tim!EW68=FIT!$E$1,Tim!EW68,"")</f>
        <v/>
      </c>
      <c r="ET66" s="185" t="str">
        <f>IF(Tim!EX68=FIT!$E$1,Tim!EX68,"")</f>
        <v/>
      </c>
      <c r="EU66" s="185" t="str">
        <f>IF(Tim!EY68=FIT!$E$1,Tim!EY68,"")</f>
        <v/>
      </c>
      <c r="EV66" s="185" t="str">
        <f>IF(Tim!EZ68=FIT!$E$1,Tim!EZ68,"")</f>
        <v/>
      </c>
      <c r="EW66" s="185" t="str">
        <f>IF(Tim!FA68=FIT!$E$1,Tim!FA68,"")</f>
        <v/>
      </c>
      <c r="EX66" s="185" t="str">
        <f>IF(Tim!FB68=FIT!$E$1,Tim!FB68,"")</f>
        <v/>
      </c>
      <c r="EY66" s="185" t="str">
        <f>IF(Tim!FC68=FIT!$E$1,Tim!FC68,"")</f>
        <v/>
      </c>
      <c r="EZ66" s="185" t="str">
        <f>IF(Tim!FD68=FIT!$E$1,Tim!FD68,"")</f>
        <v/>
      </c>
      <c r="FA66" s="185" t="str">
        <f>IF(Tim!FE68=FIT!$E$1,Tim!FE68,"")</f>
        <v/>
      </c>
      <c r="FB66" s="185" t="str">
        <f>IF(Tim!FF68=FIT!$E$1,Tim!FF68,"")</f>
        <v/>
      </c>
      <c r="FC66" s="185" t="str">
        <f>IF(Tim!FG68=FIT!$E$1,Tim!FG68,"")</f>
        <v/>
      </c>
      <c r="FD66" s="185" t="str">
        <f>IF(Tim!FH68=FIT!$E$1,Tim!FH68,"")</f>
        <v/>
      </c>
      <c r="FE66" s="185" t="str">
        <f>IF(Tim!FI68=FIT!$E$1,Tim!FI68,"")</f>
        <v/>
      </c>
      <c r="FF66" s="185" t="str">
        <f>IF(Tim!FJ68=FIT!$E$1,Tim!FJ68,"")</f>
        <v/>
      </c>
      <c r="FG66" s="185" t="str">
        <f>IF(Tim!FK68=FIT!$E$1,Tim!FK68,"")</f>
        <v/>
      </c>
      <c r="FH66" s="185" t="str">
        <f>IF(Tim!FL68=FIT!$E$1,Tim!FL68,"")</f>
        <v/>
      </c>
      <c r="FI66" s="185" t="str">
        <f>IF(Tim!FM68=FIT!$E$1,Tim!FM68,"")</f>
        <v/>
      </c>
      <c r="FJ66" s="185" t="str">
        <f>IF(Tim!FN68=FIT!$E$1,Tim!FN68,"")</f>
        <v/>
      </c>
      <c r="FK66" s="185" t="str">
        <f>IF(Tim!FO68=FIT!$E$1,Tim!FO68,"")</f>
        <v/>
      </c>
      <c r="FL66" s="185" t="str">
        <f>IF(Tim!FP68=FIT!$E$1,Tim!FP68,"")</f>
        <v/>
      </c>
      <c r="FM66" s="185" t="str">
        <f>IF(Tim!FQ68=FIT!$E$1,Tim!FQ68,"")</f>
        <v/>
      </c>
      <c r="FN66" s="185" t="str">
        <f>IF(Tim!FR68=FIT!$E$1,Tim!FR68,"")</f>
        <v/>
      </c>
      <c r="FO66" s="185" t="str">
        <f>IF(Tim!FS68=FIT!$E$1,Tim!FS68,"")</f>
        <v/>
      </c>
      <c r="FP66" s="185" t="str">
        <f>IF(Tim!FT68=FIT!$E$1,Tim!FT68,"")</f>
        <v/>
      </c>
      <c r="FQ66" s="185" t="str">
        <f>IF(Tim!FU68=FIT!$E$1,Tim!FU68,"")</f>
        <v/>
      </c>
      <c r="FR66" s="185" t="str">
        <f>IF(Tim!FV68=FIT!$E$1,Tim!FV68,"")</f>
        <v/>
      </c>
      <c r="FS66" s="185" t="str">
        <f>IF(Tim!FW68=FIT!$E$1,Tim!FW68,"")</f>
        <v/>
      </c>
      <c r="FT66" s="185" t="str">
        <f>IF(Tim!FX68=FIT!$E$1,Tim!FX68,"")</f>
        <v/>
      </c>
      <c r="FU66" s="185" t="str">
        <f>IF(Tim!FY68=FIT!$E$1,Tim!FY68,"")</f>
        <v/>
      </c>
      <c r="FV66" s="185" t="str">
        <f>IF(Tim!FZ68=FIT!$E$1,Tim!FZ68,"")</f>
        <v/>
      </c>
      <c r="FW66" s="185" t="str">
        <f>IF(Tim!GA68=FIT!$E$1,Tim!GA68,"")</f>
        <v/>
      </c>
      <c r="FX66" s="185" t="str">
        <f>IF(Tim!GB68=FIT!$E$1,Tim!GB68,"")</f>
        <v/>
      </c>
      <c r="FY66" s="185" t="str">
        <f>IF(Tim!GC68=FIT!$E$1,Tim!GC68,"")</f>
        <v/>
      </c>
      <c r="FZ66" s="185" t="str">
        <f>IF(Tim!GD68=FIT!$E$1,Tim!GD68,"")</f>
        <v/>
      </c>
      <c r="GA66" s="185" t="str">
        <f>IF(Tim!GE68=FIT!$E$1,Tim!GE68,"")</f>
        <v/>
      </c>
      <c r="GB66" s="185" t="str">
        <f>IF(Tim!GF68=FIT!$E$1,Tim!GF68,"")</f>
        <v/>
      </c>
      <c r="GC66" s="185" t="str">
        <f>IF(Tim!GG68=FIT!$E$1,Tim!GG68,"")</f>
        <v/>
      </c>
      <c r="GD66" s="185" t="str">
        <f>IF(Tim!GH68=FIT!$E$1,Tim!GH68,"")</f>
        <v/>
      </c>
      <c r="GE66" s="185" t="str">
        <f>IF(Tim!GI68=FIT!$E$1,Tim!GI68,"")</f>
        <v/>
      </c>
      <c r="GF66" s="185" t="str">
        <f>IF(Tim!GJ68=FIT!$E$1,Tim!GJ68,"")</f>
        <v/>
      </c>
      <c r="GG66" s="185" t="str">
        <f>IF(Tim!GK68=FIT!$E$1,Tim!GK68,"")</f>
        <v/>
      </c>
      <c r="GH66" s="185" t="str">
        <f>IF(Tim!GL68=FIT!$E$1,Tim!GL68,"")</f>
        <v/>
      </c>
      <c r="GI66" s="185" t="str">
        <f>IF(Tim!GM68=FIT!$E$1,Tim!GM68,"")</f>
        <v/>
      </c>
      <c r="GJ66" s="185" t="str">
        <f>IF(Tim!GN68=FIT!$E$1,Tim!GN68,"")</f>
        <v/>
      </c>
      <c r="GK66" s="185" t="str">
        <f>IF(Tim!GO68=FIT!$E$1,Tim!GO68,"")</f>
        <v/>
      </c>
      <c r="GL66" s="185" t="str">
        <f>IF(Tim!GP68=FIT!$E$1,Tim!GP68,"")</f>
        <v/>
      </c>
      <c r="GM66" s="185" t="str">
        <f>IF(Tim!GQ68=FIT!$E$1,Tim!GQ68,"")</f>
        <v/>
      </c>
      <c r="GN66" s="185" t="str">
        <f>IF(Tim!GR68=FIT!$E$1,Tim!GR68,"")</f>
        <v/>
      </c>
      <c r="GO66" s="185" t="str">
        <f>IF(Tim!GS68=FIT!$E$1,Tim!GS68,"")</f>
        <v/>
      </c>
      <c r="GP66" s="185" t="str">
        <f>IF(Tim!GT68=FIT!$E$1,Tim!GT68,"")</f>
        <v/>
      </c>
      <c r="GQ66" s="185" t="str">
        <f>IF(Tim!GU68=FIT!$E$1,Tim!GU68,"")</f>
        <v/>
      </c>
      <c r="GR66" s="185" t="str">
        <f>IF(Tim!GV68=FIT!$E$1,Tim!GV68,"")</f>
        <v/>
      </c>
      <c r="GS66" s="185" t="str">
        <f>IF(Tim!GW68=FIT!$E$1,Tim!GW68,"")</f>
        <v/>
      </c>
      <c r="GT66" s="185" t="str">
        <f>IF(Tim!GX68=FIT!$E$1,Tim!GX68,"")</f>
        <v/>
      </c>
      <c r="GU66" s="185" t="str">
        <f>IF(Tim!GY68=FIT!$E$1,Tim!GY68,"")</f>
        <v/>
      </c>
      <c r="GV66" s="185" t="str">
        <f>IF(Tim!GZ68=FIT!$E$1,Tim!GZ68,"")</f>
        <v/>
      </c>
      <c r="GW66" s="185" t="str">
        <f>IF(Tim!HA68=FIT!$E$1,Tim!HA68,"")</f>
        <v/>
      </c>
      <c r="GX66" s="185" t="str">
        <f>IF(Tim!HB68=FIT!$E$1,Tim!HB68,"")</f>
        <v/>
      </c>
      <c r="GY66" s="185" t="str">
        <f>IF(Tim!HC68=FIT!$E$1,Tim!HC68,"")</f>
        <v/>
      </c>
      <c r="GZ66" s="185" t="str">
        <f>IF(Tim!HD68=FIT!$E$1,Tim!HD68,"")</f>
        <v/>
      </c>
      <c r="HA66" s="185" t="str">
        <f>IF(Tim!HE68=FIT!$E$1,Tim!HE68,"")</f>
        <v/>
      </c>
      <c r="HB66" s="185" t="str">
        <f>IF(Tim!HF68=FIT!$E$1,Tim!HF68,"")</f>
        <v/>
      </c>
      <c r="HC66" s="185" t="str">
        <f>IF(Tim!HG68=FIT!$E$1,Tim!HG68,"")</f>
        <v/>
      </c>
      <c r="HD66" s="185" t="str">
        <f>IF(Tim!HH68=FIT!$E$1,Tim!HH68,"")</f>
        <v/>
      </c>
      <c r="HE66" s="185" t="str">
        <f>IF(Tim!HI68=FIT!$E$1,Tim!HI68,"")</f>
        <v/>
      </c>
      <c r="HF66" s="185" t="str">
        <f>IF(Tim!HJ68=FIT!$E$1,Tim!HJ68,"")</f>
        <v/>
      </c>
      <c r="HG66" s="185" t="str">
        <f>IF(Tim!HK68=FIT!$E$1,Tim!HK68,"")</f>
        <v/>
      </c>
      <c r="HH66" s="185" t="str">
        <f>IF(Tim!HL68=FIT!$E$1,Tim!HL68,"")</f>
        <v/>
      </c>
      <c r="HI66" s="185" t="str">
        <f>IF(Tim!HM68=FIT!$E$1,Tim!HM68,"")</f>
        <v/>
      </c>
      <c r="HJ66" s="185" t="str">
        <f>IF(Tim!HN68=FIT!$E$1,Tim!HN68,"")</f>
        <v/>
      </c>
      <c r="HK66" s="185" t="str">
        <f>IF(Tim!HO68=FIT!$E$1,Tim!HO68,"")</f>
        <v/>
      </c>
      <c r="HL66" s="185" t="str">
        <f>IF(Tim!HP68=FIT!$E$1,Tim!HP68,"")</f>
        <v/>
      </c>
      <c r="HM66" s="185" t="str">
        <f>IF(Tim!HQ68=FIT!$E$1,Tim!HQ68,"")</f>
        <v/>
      </c>
      <c r="HN66" s="185" t="str">
        <f>IF(Tim!HR68=FIT!$E$1,Tim!HR68,"")</f>
        <v/>
      </c>
      <c r="HO66" s="185" t="str">
        <f>IF(Tim!HS68=FIT!$E$1,Tim!HS68,"")</f>
        <v/>
      </c>
      <c r="HP66" s="185" t="str">
        <f>IF(Tim!HT68=FIT!$E$1,Tim!HT68,"")</f>
        <v/>
      </c>
      <c r="HQ66" s="185" t="str">
        <f>IF(Tim!HU68=FIT!$E$1,Tim!HU68,"")</f>
        <v/>
      </c>
      <c r="HR66" s="469"/>
      <c r="HS66" s="366"/>
      <c r="HT66" s="366"/>
      <c r="HU66" s="366"/>
      <c r="HV66" s="366"/>
      <c r="HW66" s="366"/>
      <c r="HX66" s="366"/>
      <c r="HY66" s="366"/>
      <c r="HZ66" s="366"/>
      <c r="IA66" s="366"/>
      <c r="IB66" s="366"/>
      <c r="IC66" s="366"/>
      <c r="ID66" s="366"/>
      <c r="IE66" s="366"/>
      <c r="IF66" s="366"/>
      <c r="IG66" s="366"/>
      <c r="IH66" s="366"/>
      <c r="II66" s="366"/>
      <c r="IJ66" s="366"/>
      <c r="IK66" s="366"/>
      <c r="IL66" s="366"/>
      <c r="IM66" s="366"/>
      <c r="IN66" s="366"/>
      <c r="IO66" s="366"/>
      <c r="IP66" s="366"/>
      <c r="IQ66" s="366"/>
      <c r="IR66" s="366"/>
      <c r="IS66" s="366"/>
      <c r="IT66" s="366"/>
      <c r="IU66" s="366"/>
      <c r="IV66" s="366"/>
      <c r="IW66" s="366"/>
      <c r="IX66" s="366"/>
      <c r="IY66" s="366"/>
      <c r="IZ66" s="366"/>
      <c r="JA66" s="366"/>
      <c r="JB66" s="366"/>
      <c r="JC66" s="366"/>
      <c r="JD66" s="366"/>
      <c r="JE66" s="366"/>
      <c r="JF66" s="366"/>
      <c r="JG66" s="366"/>
      <c r="JH66" s="366"/>
      <c r="JI66" s="428"/>
      <c r="JJ66" s="469"/>
      <c r="JK66" s="366"/>
      <c r="JL66" s="366"/>
      <c r="JM66" s="366"/>
      <c r="JN66" s="366"/>
      <c r="JO66" s="366"/>
      <c r="JP66" s="366"/>
      <c r="JQ66" s="366"/>
      <c r="JR66" s="366"/>
      <c r="JS66" s="366"/>
      <c r="JT66" s="366"/>
      <c r="JU66" s="366"/>
      <c r="JV66" s="366"/>
      <c r="JW66" s="366"/>
      <c r="JX66" s="366"/>
      <c r="JY66" s="366"/>
      <c r="JZ66" s="366"/>
      <c r="KA66" s="366"/>
      <c r="KB66" s="366"/>
      <c r="KC66" s="366"/>
      <c r="KD66" s="366"/>
      <c r="KE66" s="366"/>
      <c r="KF66" s="366"/>
      <c r="KG66" s="366"/>
      <c r="KH66" s="366"/>
      <c r="KI66" s="366"/>
      <c r="KJ66" s="366"/>
      <c r="KK66" s="366"/>
      <c r="KL66" s="366"/>
      <c r="KM66" s="366"/>
      <c r="KN66" s="366"/>
      <c r="KO66" s="366"/>
      <c r="KP66" s="366"/>
      <c r="KQ66" s="366"/>
      <c r="KR66" s="366"/>
      <c r="KS66" s="366"/>
      <c r="KT66" s="366"/>
      <c r="KU66" s="366"/>
      <c r="KV66" s="366"/>
      <c r="KW66" s="366"/>
      <c r="KX66" s="366"/>
      <c r="KY66" s="366"/>
      <c r="KZ66" s="366"/>
      <c r="LA66" s="428"/>
      <c r="LB66" s="52">
        <v>0.92708333333333104</v>
      </c>
    </row>
    <row r="67" spans="2:314" ht="10.5" customHeight="1">
      <c r="B67" s="49">
        <v>0.25</v>
      </c>
      <c r="C67" s="49">
        <v>0.25</v>
      </c>
      <c r="D67" s="49">
        <v>0.25</v>
      </c>
      <c r="E67" s="172">
        <v>0.937499999999998</v>
      </c>
      <c r="F67" s="238" t="str">
        <f>IF(Tim!F69=FIT!$E$1,Tim!F69,"")</f>
        <v/>
      </c>
      <c r="G67" s="185" t="str">
        <f>IF(Tim!G69=FIT!$E$1,Tim!G69,"")</f>
        <v/>
      </c>
      <c r="H67" s="185" t="str">
        <f>IF(Tim!H69=FIT!$E$1,Tim!H69,"")</f>
        <v/>
      </c>
      <c r="I67" s="185" t="str">
        <f>IF(Tim!I69=FIT!$E$1,Tim!I69,"")</f>
        <v/>
      </c>
      <c r="J67" s="185" t="str">
        <f>IF(Tim!J69=FIT!$E$1,Tim!J69,"")</f>
        <v/>
      </c>
      <c r="K67" s="185" t="str">
        <f>IF(Tim!K69=FIT!$E$1,Tim!K69,"")</f>
        <v/>
      </c>
      <c r="L67" s="185" t="str">
        <f>IF(Tim!L69=FIT!$E$1,Tim!L69,"")</f>
        <v/>
      </c>
      <c r="M67" s="185" t="str">
        <f>IF(Tim!M69=FIT!$E$1,Tim!M69,"")</f>
        <v/>
      </c>
      <c r="N67" s="185" t="str">
        <f>IF(Tim!N69=FIT!$E$1,Tim!N69,"")</f>
        <v/>
      </c>
      <c r="O67" s="185" t="str">
        <f>IF(Tim!O69=FIT!$E$1,Tim!O69,"")</f>
        <v/>
      </c>
      <c r="P67" s="185" t="str">
        <f>IF(Tim!P69=FIT!$E$1,Tim!P69,"")</f>
        <v/>
      </c>
      <c r="Q67" s="185" t="str">
        <f>IF(Tim!Q69=FIT!$E$1,Tim!Q69,"")</f>
        <v/>
      </c>
      <c r="R67" s="185" t="str">
        <f>IF(Tim!R69=FIT!$E$1,Tim!R69,"")</f>
        <v/>
      </c>
      <c r="S67" s="185" t="str">
        <f>IF(Tim!S69=FIT!$E$1,Tim!S69,"")</f>
        <v/>
      </c>
      <c r="T67" s="185" t="str">
        <f>IF(Tim!T69=FIT!$E$1,Tim!T69,"")</f>
        <v/>
      </c>
      <c r="U67" s="185" t="str">
        <f>IF(Tim!U69=FIT!$E$1,Tim!U69,"")</f>
        <v/>
      </c>
      <c r="V67" s="185" t="str">
        <f>IF(Tim!W69=FIT!$E$1,Tim!W69,"")</f>
        <v/>
      </c>
      <c r="W67" s="185" t="str">
        <f>IF(Tim!X69=FIT!$E$1,Tim!X69,"")</f>
        <v/>
      </c>
      <c r="X67" s="185" t="str">
        <f>IF(Tim!Y69=FIT!$E$1,Tim!Y69,"")</f>
        <v/>
      </c>
      <c r="Y67" s="185" t="str">
        <f>IF(Tim!Z69=FIT!$E$1,Tim!Z69,"")</f>
        <v/>
      </c>
      <c r="Z67" s="185" t="str">
        <f>IF(Tim!AA69=FIT!$E$1,Tim!AA69,"")</f>
        <v/>
      </c>
      <c r="AA67" s="185" t="str">
        <f>IF(Tim!AB69=FIT!$E$1,Tim!AB69,"")</f>
        <v/>
      </c>
      <c r="AB67" s="185" t="str">
        <f>IF(Tim!AC69=FIT!$E$1,Tim!AC69,"")</f>
        <v/>
      </c>
      <c r="AC67" s="185" t="str">
        <f>IF(Tim!AD69=FIT!$E$1,Tim!AD69,"")</f>
        <v/>
      </c>
      <c r="AD67" s="185" t="str">
        <f>IF(Tim!AE69=FIT!$E$1,Tim!AE69,"")</f>
        <v/>
      </c>
      <c r="AE67" s="185" t="str">
        <f>IF(Tim!AF69=FIT!$E$1,Tim!AF69,"")</f>
        <v/>
      </c>
      <c r="AF67" s="185" t="str">
        <f>IF(Tim!AG69=FIT!$E$1,Tim!AG69,"")</f>
        <v/>
      </c>
      <c r="AG67" s="185" t="str">
        <f>IF(Tim!AH69=FIT!$E$1,Tim!AH69,"")</f>
        <v/>
      </c>
      <c r="AH67" s="185" t="str">
        <f>IF(Tim!AI69=FIT!$E$1,Tim!AI69,"")</f>
        <v/>
      </c>
      <c r="AI67" s="185" t="str">
        <f>IF(Tim!AJ69=FIT!$E$1,Tim!AJ69,"")</f>
        <v/>
      </c>
      <c r="AJ67" s="185" t="str">
        <f>IF(Tim!AK69=FIT!$E$1,Tim!AK69,"")</f>
        <v/>
      </c>
      <c r="AK67" s="185" t="str">
        <f>IF(Tim!AL69=FIT!$E$1,Tim!AL69,"")</f>
        <v/>
      </c>
      <c r="AL67" s="185" t="str">
        <f>IF(Tim!AM69=FIT!$E$1,Tim!AM69,"")</f>
        <v/>
      </c>
      <c r="AM67" s="185" t="str">
        <f>IF(Tim!AN69=FIT!$E$1,Tim!AN69,"")</f>
        <v/>
      </c>
      <c r="AN67" s="185" t="str">
        <f>IF(Tim!AO69=FIT!$E$1,Tim!AO69,"")</f>
        <v/>
      </c>
      <c r="AO67" s="185" t="str">
        <f>IF(Tim!AP69=FIT!$E$1,Tim!AP69,"")</f>
        <v/>
      </c>
      <c r="AP67" s="185" t="str">
        <f>IF(Tim!AQ69=FIT!$E$1,Tim!AQ69,"")</f>
        <v/>
      </c>
      <c r="AQ67" s="185" t="str">
        <f>IF(Tim!AR69=FIT!$E$1,Tim!AR69,"")</f>
        <v/>
      </c>
      <c r="AR67" s="185" t="str">
        <f>IF(Tim!AS69=FIT!$E$1,Tim!AS69,"")</f>
        <v/>
      </c>
      <c r="AS67" s="185" t="str">
        <f>IF(Tim!AT69=FIT!$E$1,Tim!AT69,"")</f>
        <v/>
      </c>
      <c r="AT67" s="185" t="str">
        <f>IF(Tim!AU69=FIT!$E$1,Tim!AU69,"")</f>
        <v/>
      </c>
      <c r="AU67" s="185" t="str">
        <f>IF(Tim!AV69=FIT!$E$1,Tim!AV69,"")</f>
        <v/>
      </c>
      <c r="AV67" s="185" t="str">
        <f>IF(Tim!AW69=FIT!$E$1,Tim!AW69,"")</f>
        <v/>
      </c>
      <c r="AW67" s="186" t="str">
        <f>IF(Tim!AX69=FIT!$E$1,Tim!AX69,"")</f>
        <v/>
      </c>
      <c r="AX67" s="243" t="str">
        <f>IF(Tim!AY69=FIT!$E$1,Tim!AY69,"")</f>
        <v/>
      </c>
      <c r="AY67" s="185" t="str">
        <f>IF(Tim!AZ69=FIT!$E$1,Tim!AZ69,"")</f>
        <v/>
      </c>
      <c r="AZ67" s="185" t="str">
        <f>IF(Tim!BA69=FIT!$E$1,Tim!BA69,"")</f>
        <v/>
      </c>
      <c r="BA67" s="185" t="str">
        <f>IF(Tim!BB69=FIT!$E$1,Tim!BB69,"")</f>
        <v/>
      </c>
      <c r="BB67" s="185" t="str">
        <f>IF(Tim!BC69=FIT!$E$1,Tim!BC69,"")</f>
        <v/>
      </c>
      <c r="BC67" s="185" t="str">
        <f>IF(Tim!BD69=FIT!$E$1,Tim!BD69,"")</f>
        <v/>
      </c>
      <c r="BD67" s="185" t="str">
        <f>IF(Tim!BE69=FIT!$E$1,Tim!BE69,"")</f>
        <v/>
      </c>
      <c r="BE67" s="185" t="str">
        <f>IF(Tim!BF69=FIT!$E$1,Tim!BF69,"")</f>
        <v/>
      </c>
      <c r="BF67" s="185" t="str">
        <f>IF(Tim!BG69=FIT!$E$1,Tim!BG69,"")</f>
        <v/>
      </c>
      <c r="BG67" s="185" t="str">
        <f>IF(Tim!BH69=FIT!$E$1,Tim!BH69,"")</f>
        <v/>
      </c>
      <c r="BH67" s="185" t="str">
        <f>IF(Tim!BI69=FIT!$E$1,Tim!BI69,"")</f>
        <v/>
      </c>
      <c r="BI67" s="185" t="str">
        <f>IF(Tim!BJ69=FIT!$E$1,Tim!BJ69,"")</f>
        <v/>
      </c>
      <c r="BJ67" s="185" t="str">
        <f>IF(Tim!BK69=FIT!$E$1,Tim!BK69,"")</f>
        <v/>
      </c>
      <c r="BK67" s="185" t="str">
        <f>IF(Tim!BL69=FIT!$E$1,Tim!BL69,"")</f>
        <v/>
      </c>
      <c r="BL67" s="185" t="str">
        <f>IF(Tim!BM69=FIT!$E$1,Tim!BM69,"")</f>
        <v/>
      </c>
      <c r="BM67" s="185" t="str">
        <f>IF(Tim!BN69=FIT!$E$1,Tim!BN69,"")</f>
        <v/>
      </c>
      <c r="BN67" s="185" t="str">
        <f>IF(Tim!BO69=FIT!$E$1,Tim!BO69,"")</f>
        <v/>
      </c>
      <c r="BO67" s="185" t="str">
        <f>IF(Tim!BP69=FIT!$E$1,Tim!BP69,"")</f>
        <v/>
      </c>
      <c r="BP67" s="185" t="str">
        <f>IF(Tim!BQ69=FIT!$E$1,Tim!BQ69,"")</f>
        <v/>
      </c>
      <c r="BQ67" s="185" t="str">
        <f>IF(Tim!BR69=FIT!$E$1,Tim!BR69,"")</f>
        <v/>
      </c>
      <c r="BR67" s="185" t="str">
        <f>IF(Tim!BS69=FIT!$E$1,Tim!BS69,"")</f>
        <v/>
      </c>
      <c r="BS67" s="185" t="str">
        <f>IF(Tim!BT69=FIT!$E$1,Tim!BT69,"")</f>
        <v/>
      </c>
      <c r="BT67" s="185" t="str">
        <f>IF(Tim!BU69=FIT!$E$1,Tim!BU69,"")</f>
        <v/>
      </c>
      <c r="BU67" s="185" t="str">
        <f>IF(Tim!BV69=FIT!$E$1,Tim!BV69,"")</f>
        <v/>
      </c>
      <c r="BV67" s="185" t="str">
        <f>IF(Tim!BW69=FIT!$E$1,Tim!BW69,"")</f>
        <v/>
      </c>
      <c r="BW67" s="185" t="str">
        <f>IF(Tim!BX69=FIT!$E$1,Tim!BX69,"")</f>
        <v/>
      </c>
      <c r="BX67" s="185" t="str">
        <f>IF(Tim!BY69=FIT!$E$1,Tim!BY69,"")</f>
        <v/>
      </c>
      <c r="BY67" s="185" t="str">
        <f>IF(Tim!BZ69=FIT!$E$1,Tim!BZ69,"")</f>
        <v/>
      </c>
      <c r="BZ67" s="185" t="str">
        <f>IF(Tim!CA69=FIT!$E$1,Tim!CA69,"")</f>
        <v/>
      </c>
      <c r="CA67" s="185" t="str">
        <f>IF(Tim!CB69=FIT!$E$1,Tim!CB69,"")</f>
        <v/>
      </c>
      <c r="CB67" s="185" t="str">
        <f>IF(Tim!CC69=FIT!$E$1,Tim!CC69,"")</f>
        <v/>
      </c>
      <c r="CC67" s="185" t="str">
        <f>IF(Tim!CD69=FIT!$E$1,Tim!CD69,"")</f>
        <v/>
      </c>
      <c r="CD67" s="185" t="str">
        <f>IF(Tim!CE69=FIT!$E$1,Tim!CE69,"")</f>
        <v/>
      </c>
      <c r="CE67" s="185" t="str">
        <f>IF(Tim!CF69=FIT!$E$1,Tim!CF69,"")</f>
        <v/>
      </c>
      <c r="CF67" s="185" t="str">
        <f>IF(Tim!CG69=FIT!$E$1,Tim!CG69,"")</f>
        <v/>
      </c>
      <c r="CG67" s="185" t="str">
        <f>IF(Tim!CH69=FIT!$E$1,Tim!CH69,"")</f>
        <v/>
      </c>
      <c r="CH67" s="185" t="str">
        <f>IF(Tim!CI69=FIT!$E$1,Tim!CI69,"")</f>
        <v/>
      </c>
      <c r="CI67" s="185" t="str">
        <f>IF(Tim!CJ69=FIT!$E$1,Tim!CJ69,"")</f>
        <v/>
      </c>
      <c r="CJ67" s="185" t="str">
        <f>IF(Tim!CK69=FIT!$E$1,Tim!CK69,"")</f>
        <v/>
      </c>
      <c r="CK67" s="185" t="str">
        <f>IF(Tim!CL69=FIT!$E$1,Tim!CL69,"")</f>
        <v/>
      </c>
      <c r="CL67" s="185" t="str">
        <f>IF(Tim!CM69=FIT!$E$1,Tim!CM69,"")</f>
        <v/>
      </c>
      <c r="CM67" s="185" t="str">
        <f>IF(Tim!CN69=FIT!$E$1,Tim!CN69,"")</f>
        <v/>
      </c>
      <c r="CN67" s="185" t="str">
        <f>IF(Tim!CO69=FIT!$E$1,Tim!CO69,"")</f>
        <v/>
      </c>
      <c r="CO67" s="185" t="str">
        <f>IF(Tim!CP69=FIT!$E$1,Tim!CP69,"")</f>
        <v/>
      </c>
      <c r="CP67" s="185" t="str">
        <f>IF(Tim!CQ69=FIT!$E$1,Tim!CQ69,"")</f>
        <v/>
      </c>
      <c r="CQ67" s="185" t="str">
        <f>IF(Tim!CR69=FIT!$E$1,Tim!CR69,"")</f>
        <v/>
      </c>
      <c r="CR67" s="185" t="str">
        <f>IF(Tim!CS69=FIT!$E$1,Tim!CS69,"")</f>
        <v/>
      </c>
      <c r="CS67" s="185" t="str">
        <f>IF(Tim!CT69=FIT!$E$1,Tim!CT69,"")</f>
        <v/>
      </c>
      <c r="CT67" s="185" t="str">
        <f>IF(Tim!CU69=FIT!$E$1,Tim!CU69,"")</f>
        <v/>
      </c>
      <c r="CU67" s="185" t="str">
        <f>IF(Tim!CV69=FIT!$E$1,Tim!CV69,"")</f>
        <v/>
      </c>
      <c r="CV67" s="185" t="str">
        <f>IF(Tim!CW69=FIT!$E$1,Tim!CW69,"")</f>
        <v/>
      </c>
      <c r="CW67" s="185" t="str">
        <f>IF(Tim!CX69=FIT!$E$1,Tim!CX69,"")</f>
        <v/>
      </c>
      <c r="CX67" s="185" t="str">
        <f>IF(Tim!CY69=FIT!$E$1,Tim!CY69,"")</f>
        <v/>
      </c>
      <c r="CY67" s="185" t="str">
        <f>IF(Tim!CZ69=FIT!$E$1,Tim!CZ69,"")</f>
        <v/>
      </c>
      <c r="CZ67" s="185" t="str">
        <f>IF(Tim!DA69=FIT!$E$1,Tim!DA69,"")</f>
        <v/>
      </c>
      <c r="DA67" s="185" t="str">
        <f>IF(Tim!DB69=FIT!$E$1,Tim!DB69,"")</f>
        <v/>
      </c>
      <c r="DB67" s="185" t="str">
        <f>IF(Tim!DC69=FIT!$E$1,Tim!DC69,"")</f>
        <v/>
      </c>
      <c r="DC67" s="185" t="str">
        <f>IF(Tim!DD69=FIT!$E$1,Tim!DD69,"")</f>
        <v/>
      </c>
      <c r="DD67" s="185" t="str">
        <f>IF(Tim!DE69=FIT!$E$1,Tim!DE69,"")</f>
        <v/>
      </c>
      <c r="DE67" s="185" t="str">
        <f>IF(Tim!DF69=FIT!$E$1,Tim!DF69,"")</f>
        <v/>
      </c>
      <c r="DF67" s="185" t="str">
        <f>IF(Tim!DG69=FIT!$E$1,Tim!DG69,"")</f>
        <v/>
      </c>
      <c r="DG67" s="185" t="str">
        <f>IF(Tim!DH69=FIT!$E$1,Tim!DH69,"")</f>
        <v/>
      </c>
      <c r="DH67" s="185" t="str">
        <f>IF(Tim!DI69=FIT!$E$1,Tim!DI69,"")</f>
        <v/>
      </c>
      <c r="DI67" s="185" t="str">
        <f>IF(Tim!DM69=FIT!$E$1,Tim!DM69,"")</f>
        <v/>
      </c>
      <c r="DJ67" s="185" t="str">
        <f>IF(Tim!DN69=FIT!$E$1,Tim!DN69,"")</f>
        <v/>
      </c>
      <c r="DK67" s="185" t="str">
        <f>IF(Tim!DO69=FIT!$E$1,Tim!DO69,"")</f>
        <v/>
      </c>
      <c r="DL67" s="185" t="str">
        <f>IF(Tim!DP69=FIT!$E$1,Tim!DP69,"")</f>
        <v/>
      </c>
      <c r="DM67" s="185" t="str">
        <f>IF(Tim!DQ69=FIT!$E$1,Tim!DQ69,"")</f>
        <v/>
      </c>
      <c r="DN67" s="185" t="str">
        <f>IF(Tim!DR69=FIT!$E$1,Tim!DR69,"")</f>
        <v/>
      </c>
      <c r="DO67" s="185" t="str">
        <f>IF(Tim!DS69=FIT!$E$1,Tim!DS69,"")</f>
        <v/>
      </c>
      <c r="DP67" s="185" t="str">
        <f>IF(Tim!DT69=FIT!$E$1,Tim!DT69,"")</f>
        <v/>
      </c>
      <c r="DQ67" s="185" t="str">
        <f>IF(Tim!DU69=FIT!$E$1,Tim!DU69,"")</f>
        <v/>
      </c>
      <c r="DR67" s="185" t="str">
        <f>IF(Tim!DV69=FIT!$E$1,Tim!DV69,"")</f>
        <v/>
      </c>
      <c r="DS67" s="185" t="str">
        <f>IF(Tim!DW69=FIT!$E$1,Tim!DW69,"")</f>
        <v/>
      </c>
      <c r="DT67" s="185" t="str">
        <f>IF(Tim!DX69=FIT!$E$1,Tim!DX69,"")</f>
        <v/>
      </c>
      <c r="DU67" s="185" t="str">
        <f>IF(Tim!DY69=FIT!$E$1,Tim!DY69,"")</f>
        <v/>
      </c>
      <c r="DV67" s="185" t="str">
        <f>IF(Tim!DZ69=FIT!$E$1,Tim!DZ69,"")</f>
        <v/>
      </c>
      <c r="DW67" s="185" t="str">
        <f>IF(Tim!EA69=FIT!$E$1,Tim!EA69,"")</f>
        <v/>
      </c>
      <c r="DX67" s="185" t="str">
        <f>IF(Tim!EB69=FIT!$E$1,Tim!EB69,"")</f>
        <v/>
      </c>
      <c r="DY67" s="185" t="str">
        <f>IF(Tim!EC69=FIT!$E$1,Tim!EC69,"")</f>
        <v/>
      </c>
      <c r="DZ67" s="185" t="str">
        <f>IF(Tim!ED69=FIT!$E$1,Tim!ED69,"")</f>
        <v/>
      </c>
      <c r="EA67" s="185" t="str">
        <f>IF(Tim!EE69=FIT!$E$1,Tim!EE69,"")</f>
        <v/>
      </c>
      <c r="EB67" s="185" t="str">
        <f>IF(Tim!EF69=FIT!$E$1,Tim!EF69,"")</f>
        <v/>
      </c>
      <c r="EC67" s="185" t="str">
        <f>IF(Tim!EG69=FIT!$E$1,Tim!EG69,"")</f>
        <v/>
      </c>
      <c r="ED67" s="185" t="str">
        <f>IF(Tim!EH69=FIT!$E$1,Tim!EH69,"")</f>
        <v/>
      </c>
      <c r="EE67" s="185" t="str">
        <f>IF(Tim!EI69=FIT!$E$1,Tim!EI69,"")</f>
        <v/>
      </c>
      <c r="EF67" s="185" t="str">
        <f>IF(Tim!EJ69=FIT!$E$1,Tim!EJ69,"")</f>
        <v/>
      </c>
      <c r="EG67" s="185" t="str">
        <f>IF(Tim!EK69=FIT!$E$1,Tim!EK69,"")</f>
        <v/>
      </c>
      <c r="EH67" s="185" t="str">
        <f>IF(Tim!EL69=FIT!$E$1,Tim!EL69,"")</f>
        <v/>
      </c>
      <c r="EI67" s="185" t="str">
        <f>IF(Tim!EM69=FIT!$E$1,Tim!EM69,"")</f>
        <v/>
      </c>
      <c r="EJ67" s="185" t="str">
        <f>IF(Tim!EN69=FIT!$E$1,Tim!EN69,"")</f>
        <v/>
      </c>
      <c r="EK67" s="185" t="str">
        <f>IF(Tim!EO69=FIT!$E$1,Tim!EO69,"")</f>
        <v/>
      </c>
      <c r="EL67" s="185" t="str">
        <f>IF(Tim!EP69=FIT!$E$1,Tim!EP69,"")</f>
        <v/>
      </c>
      <c r="EM67" s="185" t="str">
        <f>IF(Tim!EQ69=FIT!$E$1,Tim!EQ69,"")</f>
        <v/>
      </c>
      <c r="EN67" s="185" t="str">
        <f>IF(Tim!ER69=FIT!$E$1,Tim!ER69,"")</f>
        <v/>
      </c>
      <c r="EO67" s="185" t="str">
        <f>IF(Tim!ES69=FIT!$E$1,Tim!ES69,"")</f>
        <v/>
      </c>
      <c r="EP67" s="185" t="str">
        <f>IF(Tim!ET69=FIT!$E$1,Tim!ET69,"")</f>
        <v/>
      </c>
      <c r="EQ67" s="185" t="str">
        <f>IF(Tim!EU69=FIT!$E$1,Tim!EU69,"")</f>
        <v/>
      </c>
      <c r="ER67" s="185" t="str">
        <f>IF(Tim!EV69=FIT!$E$1,Tim!EV69,"")</f>
        <v/>
      </c>
      <c r="ES67" s="185" t="str">
        <f>IF(Tim!EW69=FIT!$E$1,Tim!EW69,"")</f>
        <v/>
      </c>
      <c r="ET67" s="185" t="str">
        <f>IF(Tim!EX69=FIT!$E$1,Tim!EX69,"")</f>
        <v/>
      </c>
      <c r="EU67" s="185" t="str">
        <f>IF(Tim!EY69=FIT!$E$1,Tim!EY69,"")</f>
        <v/>
      </c>
      <c r="EV67" s="185" t="str">
        <f>IF(Tim!EZ69=FIT!$E$1,Tim!EZ69,"")</f>
        <v/>
      </c>
      <c r="EW67" s="185" t="str">
        <f>IF(Tim!FA69=FIT!$E$1,Tim!FA69,"")</f>
        <v/>
      </c>
      <c r="EX67" s="185" t="str">
        <f>IF(Tim!FB69=FIT!$E$1,Tim!FB69,"")</f>
        <v/>
      </c>
      <c r="EY67" s="185" t="str">
        <f>IF(Tim!FC69=FIT!$E$1,Tim!FC69,"")</f>
        <v/>
      </c>
      <c r="EZ67" s="185" t="str">
        <f>IF(Tim!FD69=FIT!$E$1,Tim!FD69,"")</f>
        <v/>
      </c>
      <c r="FA67" s="185" t="str">
        <f>IF(Tim!FE69=FIT!$E$1,Tim!FE69,"")</f>
        <v/>
      </c>
      <c r="FB67" s="185" t="str">
        <f>IF(Tim!FF69=FIT!$E$1,Tim!FF69,"")</f>
        <v/>
      </c>
      <c r="FC67" s="185" t="str">
        <f>IF(Tim!FG69=FIT!$E$1,Tim!FG69,"")</f>
        <v/>
      </c>
      <c r="FD67" s="185" t="str">
        <f>IF(Tim!FH69=FIT!$E$1,Tim!FH69,"")</f>
        <v/>
      </c>
      <c r="FE67" s="185" t="str">
        <f>IF(Tim!FI69=FIT!$E$1,Tim!FI69,"")</f>
        <v/>
      </c>
      <c r="FF67" s="185" t="str">
        <f>IF(Tim!FJ69=FIT!$E$1,Tim!FJ69,"")</f>
        <v/>
      </c>
      <c r="FG67" s="185" t="str">
        <f>IF(Tim!FK69=FIT!$E$1,Tim!FK69,"")</f>
        <v/>
      </c>
      <c r="FH67" s="185" t="str">
        <f>IF(Tim!FL69=FIT!$E$1,Tim!FL69,"")</f>
        <v/>
      </c>
      <c r="FI67" s="185" t="str">
        <f>IF(Tim!FM69=FIT!$E$1,Tim!FM69,"")</f>
        <v/>
      </c>
      <c r="FJ67" s="185" t="str">
        <f>IF(Tim!FN69=FIT!$E$1,Tim!FN69,"")</f>
        <v/>
      </c>
      <c r="FK67" s="185" t="str">
        <f>IF(Tim!FO69=FIT!$E$1,Tim!FO69,"")</f>
        <v/>
      </c>
      <c r="FL67" s="185" t="str">
        <f>IF(Tim!FP69=FIT!$E$1,Tim!FP69,"")</f>
        <v/>
      </c>
      <c r="FM67" s="185" t="str">
        <f>IF(Tim!FQ69=FIT!$E$1,Tim!FQ69,"")</f>
        <v/>
      </c>
      <c r="FN67" s="185" t="str">
        <f>IF(Tim!FR69=FIT!$E$1,Tim!FR69,"")</f>
        <v/>
      </c>
      <c r="FO67" s="185" t="str">
        <f>IF(Tim!FS69=FIT!$E$1,Tim!FS69,"")</f>
        <v/>
      </c>
      <c r="FP67" s="185" t="str">
        <f>IF(Tim!FT69=FIT!$E$1,Tim!FT69,"")</f>
        <v/>
      </c>
      <c r="FQ67" s="185" t="str">
        <f>IF(Tim!FU69=FIT!$E$1,Tim!FU69,"")</f>
        <v/>
      </c>
      <c r="FR67" s="185" t="str">
        <f>IF(Tim!FV69=FIT!$E$1,Tim!FV69,"")</f>
        <v/>
      </c>
      <c r="FS67" s="185" t="str">
        <f>IF(Tim!FW69=FIT!$E$1,Tim!FW69,"")</f>
        <v/>
      </c>
      <c r="FT67" s="185" t="str">
        <f>IF(Tim!FX69=FIT!$E$1,Tim!FX69,"")</f>
        <v/>
      </c>
      <c r="FU67" s="185" t="str">
        <f>IF(Tim!FY69=FIT!$E$1,Tim!FY69,"")</f>
        <v/>
      </c>
      <c r="FV67" s="185" t="str">
        <f>IF(Tim!FZ69=FIT!$E$1,Tim!FZ69,"")</f>
        <v/>
      </c>
      <c r="FW67" s="185" t="str">
        <f>IF(Tim!GA69=FIT!$E$1,Tim!GA69,"")</f>
        <v/>
      </c>
      <c r="FX67" s="185" t="str">
        <f>IF(Tim!GB69=FIT!$E$1,Tim!GB69,"")</f>
        <v/>
      </c>
      <c r="FY67" s="185" t="str">
        <f>IF(Tim!GC69=FIT!$E$1,Tim!GC69,"")</f>
        <v/>
      </c>
      <c r="FZ67" s="185" t="str">
        <f>IF(Tim!GD69=FIT!$E$1,Tim!GD69,"")</f>
        <v/>
      </c>
      <c r="GA67" s="185" t="str">
        <f>IF(Tim!GE69=FIT!$E$1,Tim!GE69,"")</f>
        <v/>
      </c>
      <c r="GB67" s="185" t="str">
        <f>IF(Tim!GF69=FIT!$E$1,Tim!GF69,"")</f>
        <v/>
      </c>
      <c r="GC67" s="185" t="str">
        <f>IF(Tim!GG69=FIT!$E$1,Tim!GG69,"")</f>
        <v/>
      </c>
      <c r="GD67" s="185" t="str">
        <f>IF(Tim!GH69=FIT!$E$1,Tim!GH69,"")</f>
        <v/>
      </c>
      <c r="GE67" s="185" t="str">
        <f>IF(Tim!GI69=FIT!$E$1,Tim!GI69,"")</f>
        <v/>
      </c>
      <c r="GF67" s="185" t="str">
        <f>IF(Tim!GJ69=FIT!$E$1,Tim!GJ69,"")</f>
        <v/>
      </c>
      <c r="GG67" s="185" t="str">
        <f>IF(Tim!GK69=FIT!$E$1,Tim!GK69,"")</f>
        <v/>
      </c>
      <c r="GH67" s="185" t="str">
        <f>IF(Tim!GL69=FIT!$E$1,Tim!GL69,"")</f>
        <v/>
      </c>
      <c r="GI67" s="185" t="str">
        <f>IF(Tim!GM69=FIT!$E$1,Tim!GM69,"")</f>
        <v/>
      </c>
      <c r="GJ67" s="185" t="str">
        <f>IF(Tim!GN69=FIT!$E$1,Tim!GN69,"")</f>
        <v/>
      </c>
      <c r="GK67" s="185" t="str">
        <f>IF(Tim!GO69=FIT!$E$1,Tim!GO69,"")</f>
        <v/>
      </c>
      <c r="GL67" s="185" t="str">
        <f>IF(Tim!GP69=FIT!$E$1,Tim!GP69,"")</f>
        <v/>
      </c>
      <c r="GM67" s="185" t="str">
        <f>IF(Tim!GQ69=FIT!$E$1,Tim!GQ69,"")</f>
        <v/>
      </c>
      <c r="GN67" s="185" t="str">
        <f>IF(Tim!GR69=FIT!$E$1,Tim!GR69,"")</f>
        <v/>
      </c>
      <c r="GO67" s="185" t="str">
        <f>IF(Tim!GS69=FIT!$E$1,Tim!GS69,"")</f>
        <v/>
      </c>
      <c r="GP67" s="185" t="str">
        <f>IF(Tim!GT69=FIT!$E$1,Tim!GT69,"")</f>
        <v/>
      </c>
      <c r="GQ67" s="185" t="str">
        <f>IF(Tim!GU69=FIT!$E$1,Tim!GU69,"")</f>
        <v/>
      </c>
      <c r="GR67" s="185" t="str">
        <f>IF(Tim!GV69=FIT!$E$1,Tim!GV69,"")</f>
        <v/>
      </c>
      <c r="GS67" s="185" t="str">
        <f>IF(Tim!GW69=FIT!$E$1,Tim!GW69,"")</f>
        <v/>
      </c>
      <c r="GT67" s="185" t="str">
        <f>IF(Tim!GX69=FIT!$E$1,Tim!GX69,"")</f>
        <v/>
      </c>
      <c r="GU67" s="185" t="str">
        <f>IF(Tim!GY69=FIT!$E$1,Tim!GY69,"")</f>
        <v/>
      </c>
      <c r="GV67" s="185" t="str">
        <f>IF(Tim!GZ69=FIT!$E$1,Tim!GZ69,"")</f>
        <v/>
      </c>
      <c r="GW67" s="185" t="str">
        <f>IF(Tim!HA69=FIT!$E$1,Tim!HA69,"")</f>
        <v/>
      </c>
      <c r="GX67" s="185" t="str">
        <f>IF(Tim!HB69=FIT!$E$1,Tim!HB69,"")</f>
        <v/>
      </c>
      <c r="GY67" s="185" t="str">
        <f>IF(Tim!HC69=FIT!$E$1,Tim!HC69,"")</f>
        <v/>
      </c>
      <c r="GZ67" s="185" t="str">
        <f>IF(Tim!HD69=FIT!$E$1,Tim!HD69,"")</f>
        <v/>
      </c>
      <c r="HA67" s="185" t="str">
        <f>IF(Tim!HE69=FIT!$E$1,Tim!HE69,"")</f>
        <v/>
      </c>
      <c r="HB67" s="185" t="str">
        <f>IF(Tim!HF69=FIT!$E$1,Tim!HF69,"")</f>
        <v/>
      </c>
      <c r="HC67" s="185" t="str">
        <f>IF(Tim!HG69=FIT!$E$1,Tim!HG69,"")</f>
        <v/>
      </c>
      <c r="HD67" s="185" t="str">
        <f>IF(Tim!HH69=FIT!$E$1,Tim!HH69,"")</f>
        <v/>
      </c>
      <c r="HE67" s="185" t="str">
        <f>IF(Tim!HI69=FIT!$E$1,Tim!HI69,"")</f>
        <v/>
      </c>
      <c r="HF67" s="185" t="str">
        <f>IF(Tim!HJ69=FIT!$E$1,Tim!HJ69,"")</f>
        <v/>
      </c>
      <c r="HG67" s="185" t="str">
        <f>IF(Tim!HK69=FIT!$E$1,Tim!HK69,"")</f>
        <v/>
      </c>
      <c r="HH67" s="185" t="str">
        <f>IF(Tim!HL69=FIT!$E$1,Tim!HL69,"")</f>
        <v/>
      </c>
      <c r="HI67" s="185" t="str">
        <f>IF(Tim!HM69=FIT!$E$1,Tim!HM69,"")</f>
        <v/>
      </c>
      <c r="HJ67" s="185" t="str">
        <f>IF(Tim!HN69=FIT!$E$1,Tim!HN69,"")</f>
        <v/>
      </c>
      <c r="HK67" s="185" t="str">
        <f>IF(Tim!HO69=FIT!$E$1,Tim!HO69,"")</f>
        <v/>
      </c>
      <c r="HL67" s="185" t="str">
        <f>IF(Tim!HP69=FIT!$E$1,Tim!HP69,"")</f>
        <v/>
      </c>
      <c r="HM67" s="185" t="str">
        <f>IF(Tim!HQ69=FIT!$E$1,Tim!HQ69,"")</f>
        <v/>
      </c>
      <c r="HN67" s="185" t="str">
        <f>IF(Tim!HR69=FIT!$E$1,Tim!HR69,"")</f>
        <v/>
      </c>
      <c r="HO67" s="185" t="str">
        <f>IF(Tim!HS69=FIT!$E$1,Tim!HS69,"")</f>
        <v/>
      </c>
      <c r="HP67" s="185" t="str">
        <f>IF(Tim!HT69=FIT!$E$1,Tim!HT69,"")</f>
        <v/>
      </c>
      <c r="HQ67" s="185" t="str">
        <f>IF(Tim!HU69=FIT!$E$1,Tim!HU69,"")</f>
        <v/>
      </c>
      <c r="HR67" s="469"/>
      <c r="HS67" s="366"/>
      <c r="HT67" s="366"/>
      <c r="HU67" s="366"/>
      <c r="HV67" s="366"/>
      <c r="HW67" s="366"/>
      <c r="HX67" s="366"/>
      <c r="HY67" s="366"/>
      <c r="HZ67" s="366"/>
      <c r="IA67" s="366"/>
      <c r="IB67" s="366"/>
      <c r="IC67" s="366"/>
      <c r="ID67" s="366"/>
      <c r="IE67" s="366"/>
      <c r="IF67" s="366"/>
      <c r="IG67" s="366"/>
      <c r="IH67" s="366"/>
      <c r="II67" s="366"/>
      <c r="IJ67" s="366"/>
      <c r="IK67" s="366"/>
      <c r="IL67" s="366"/>
      <c r="IM67" s="366"/>
      <c r="IN67" s="366"/>
      <c r="IO67" s="366"/>
      <c r="IP67" s="366"/>
      <c r="IQ67" s="366"/>
      <c r="IR67" s="366"/>
      <c r="IS67" s="366"/>
      <c r="IT67" s="366"/>
      <c r="IU67" s="366"/>
      <c r="IV67" s="366"/>
      <c r="IW67" s="366"/>
      <c r="IX67" s="366"/>
      <c r="IY67" s="366"/>
      <c r="IZ67" s="366"/>
      <c r="JA67" s="366"/>
      <c r="JB67" s="366"/>
      <c r="JC67" s="366"/>
      <c r="JD67" s="366"/>
      <c r="JE67" s="366"/>
      <c r="JF67" s="366"/>
      <c r="JG67" s="366"/>
      <c r="JH67" s="366"/>
      <c r="JI67" s="428"/>
      <c r="JJ67" s="469"/>
      <c r="JK67" s="366"/>
      <c r="JL67" s="366"/>
      <c r="JM67" s="366"/>
      <c r="JN67" s="366"/>
      <c r="JO67" s="366"/>
      <c r="JP67" s="366"/>
      <c r="JQ67" s="366"/>
      <c r="JR67" s="366"/>
      <c r="JS67" s="366"/>
      <c r="JT67" s="366"/>
      <c r="JU67" s="366"/>
      <c r="JV67" s="366"/>
      <c r="JW67" s="366"/>
      <c r="JX67" s="366"/>
      <c r="JY67" s="366"/>
      <c r="JZ67" s="366"/>
      <c r="KA67" s="366"/>
      <c r="KB67" s="366"/>
      <c r="KC67" s="366"/>
      <c r="KD67" s="366"/>
      <c r="KE67" s="366"/>
      <c r="KF67" s="366"/>
      <c r="KG67" s="366"/>
      <c r="KH67" s="366"/>
      <c r="KI67" s="366"/>
      <c r="KJ67" s="366"/>
      <c r="KK67" s="366"/>
      <c r="KL67" s="366"/>
      <c r="KM67" s="366"/>
      <c r="KN67" s="366"/>
      <c r="KO67" s="366"/>
      <c r="KP67" s="366"/>
      <c r="KQ67" s="366"/>
      <c r="KR67" s="366"/>
      <c r="KS67" s="366"/>
      <c r="KT67" s="366"/>
      <c r="KU67" s="366"/>
      <c r="KV67" s="366"/>
      <c r="KW67" s="366"/>
      <c r="KX67" s="366"/>
      <c r="KY67" s="366"/>
      <c r="KZ67" s="366"/>
      <c r="LA67" s="428"/>
      <c r="LB67" s="52">
        <v>0.937499999999998</v>
      </c>
    </row>
    <row r="68" spans="2:314" ht="10.5" customHeight="1" thickBot="1">
      <c r="B68" s="49">
        <v>0.25</v>
      </c>
      <c r="C68" s="49">
        <v>0.25</v>
      </c>
      <c r="D68" s="49">
        <v>0.25</v>
      </c>
      <c r="E68" s="173">
        <v>0.94791666666666496</v>
      </c>
      <c r="F68" s="244" t="str">
        <f>IF(Tim!F70=FIT!$E$1,Tim!F70,"")</f>
        <v/>
      </c>
      <c r="G68" s="232" t="str">
        <f>IF(Tim!G70=FIT!$E$1,Tim!G70,"")</f>
        <v/>
      </c>
      <c r="H68" s="232" t="str">
        <f>IF(Tim!H70=FIT!$E$1,Tim!H70,"")</f>
        <v/>
      </c>
      <c r="I68" s="232" t="str">
        <f>IF(Tim!I70=FIT!$E$1,Tim!I70,"")</f>
        <v/>
      </c>
      <c r="J68" s="232" t="str">
        <f>IF(Tim!J70=FIT!$E$1,Tim!J70,"")</f>
        <v/>
      </c>
      <c r="K68" s="232" t="str">
        <f>IF(Tim!K70=FIT!$E$1,Tim!K70,"")</f>
        <v/>
      </c>
      <c r="L68" s="232" t="str">
        <f>IF(Tim!L70=FIT!$E$1,Tim!L70,"")</f>
        <v/>
      </c>
      <c r="M68" s="232" t="str">
        <f>IF(Tim!M70=FIT!$E$1,Tim!M70,"")</f>
        <v/>
      </c>
      <c r="N68" s="232" t="str">
        <f>IF(Tim!N70=FIT!$E$1,Tim!N70,"")</f>
        <v/>
      </c>
      <c r="O68" s="232" t="str">
        <f>IF(Tim!O70=FIT!$E$1,Tim!O70,"")</f>
        <v/>
      </c>
      <c r="P68" s="232" t="str">
        <f>IF(Tim!P70=FIT!$E$1,Tim!P70,"")</f>
        <v/>
      </c>
      <c r="Q68" s="232" t="str">
        <f>IF(Tim!Q70=FIT!$E$1,Tim!Q70,"")</f>
        <v/>
      </c>
      <c r="R68" s="232" t="str">
        <f>IF(Tim!R70=FIT!$E$1,Tim!R70,"")</f>
        <v/>
      </c>
      <c r="S68" s="232" t="str">
        <f>IF(Tim!S70=FIT!$E$1,Tim!S70,"")</f>
        <v/>
      </c>
      <c r="T68" s="232" t="str">
        <f>IF(Tim!T70=FIT!$E$1,Tim!T70,"")</f>
        <v/>
      </c>
      <c r="U68" s="232" t="str">
        <f>IF(Tim!U70=FIT!$E$1,Tim!U70,"")</f>
        <v/>
      </c>
      <c r="V68" s="232" t="str">
        <f>IF(Tim!W70=FIT!$E$1,Tim!W70,"")</f>
        <v/>
      </c>
      <c r="W68" s="232" t="str">
        <f>IF(Tim!X70=FIT!$E$1,Tim!X70,"")</f>
        <v/>
      </c>
      <c r="X68" s="232" t="str">
        <f>IF(Tim!Y70=FIT!$E$1,Tim!Y70,"")</f>
        <v/>
      </c>
      <c r="Y68" s="232" t="str">
        <f>IF(Tim!Z70=FIT!$E$1,Tim!Z70,"")</f>
        <v/>
      </c>
      <c r="Z68" s="232" t="str">
        <f>IF(Tim!AA70=FIT!$E$1,Tim!AA70,"")</f>
        <v/>
      </c>
      <c r="AA68" s="232" t="str">
        <f>IF(Tim!AB70=FIT!$E$1,Tim!AB70,"")</f>
        <v/>
      </c>
      <c r="AB68" s="232" t="str">
        <f>IF(Tim!AC70=FIT!$E$1,Tim!AC70,"")</f>
        <v/>
      </c>
      <c r="AC68" s="232" t="str">
        <f>IF(Tim!AD70=FIT!$E$1,Tim!AD70,"")</f>
        <v/>
      </c>
      <c r="AD68" s="232" t="str">
        <f>IF(Tim!AE70=FIT!$E$1,Tim!AE70,"")</f>
        <v/>
      </c>
      <c r="AE68" s="232" t="str">
        <f>IF(Tim!AF70=FIT!$E$1,Tim!AF70,"")</f>
        <v/>
      </c>
      <c r="AF68" s="232" t="str">
        <f>IF(Tim!AG70=FIT!$E$1,Tim!AG70,"")</f>
        <v/>
      </c>
      <c r="AG68" s="232" t="str">
        <f>IF(Tim!AH70=FIT!$E$1,Tim!AH70,"")</f>
        <v/>
      </c>
      <c r="AH68" s="232" t="str">
        <f>IF(Tim!AI70=FIT!$E$1,Tim!AI70,"")</f>
        <v/>
      </c>
      <c r="AI68" s="232" t="str">
        <f>IF(Tim!AJ70=FIT!$E$1,Tim!AJ70,"")</f>
        <v/>
      </c>
      <c r="AJ68" s="232" t="str">
        <f>IF(Tim!AK70=FIT!$E$1,Tim!AK70,"")</f>
        <v/>
      </c>
      <c r="AK68" s="232" t="str">
        <f>IF(Tim!AL70=FIT!$E$1,Tim!AL70,"")</f>
        <v/>
      </c>
      <c r="AL68" s="232" t="str">
        <f>IF(Tim!AM70=FIT!$E$1,Tim!AM70,"")</f>
        <v/>
      </c>
      <c r="AM68" s="232" t="str">
        <f>IF(Tim!AN70=FIT!$E$1,Tim!AN70,"")</f>
        <v/>
      </c>
      <c r="AN68" s="232" t="str">
        <f>IF(Tim!AO70=FIT!$E$1,Tim!AO70,"")</f>
        <v/>
      </c>
      <c r="AO68" s="232" t="str">
        <f>IF(Tim!AP70=FIT!$E$1,Tim!AP70,"")</f>
        <v/>
      </c>
      <c r="AP68" s="232" t="str">
        <f>IF(Tim!AQ70=FIT!$E$1,Tim!AQ70,"")</f>
        <v/>
      </c>
      <c r="AQ68" s="232" t="str">
        <f>IF(Tim!AR70=FIT!$E$1,Tim!AR70,"")</f>
        <v/>
      </c>
      <c r="AR68" s="232" t="str">
        <f>IF(Tim!AS70=FIT!$E$1,Tim!AS70,"")</f>
        <v/>
      </c>
      <c r="AS68" s="232" t="str">
        <f>IF(Tim!AT70=FIT!$E$1,Tim!AT70,"")</f>
        <v/>
      </c>
      <c r="AT68" s="232" t="str">
        <f>IF(Tim!AU70=FIT!$E$1,Tim!AU70,"")</f>
        <v/>
      </c>
      <c r="AU68" s="232" t="str">
        <f>IF(Tim!AV70=FIT!$E$1,Tim!AV70,"")</f>
        <v/>
      </c>
      <c r="AV68" s="232" t="str">
        <f>IF(Tim!AW70=FIT!$E$1,Tim!AW70,"")</f>
        <v/>
      </c>
      <c r="AW68" s="235" t="str">
        <f>IF(Tim!AX70=FIT!$E$1,Tim!AX70,"")</f>
        <v/>
      </c>
      <c r="AX68" s="243" t="str">
        <f>IF(Tim!AY70=FIT!$E$1,Tim!AY70,"")</f>
        <v/>
      </c>
      <c r="AY68" s="185" t="str">
        <f>IF(Tim!AZ70=FIT!$E$1,Tim!AZ70,"")</f>
        <v/>
      </c>
      <c r="AZ68" s="185" t="str">
        <f>IF(Tim!BA70=FIT!$E$1,Tim!BA70,"")</f>
        <v/>
      </c>
      <c r="BA68" s="185" t="str">
        <f>IF(Tim!BB70=FIT!$E$1,Tim!BB70,"")</f>
        <v/>
      </c>
      <c r="BB68" s="185" t="str">
        <f>IF(Tim!BC70=FIT!$E$1,Tim!BC70,"")</f>
        <v/>
      </c>
      <c r="BC68" s="185" t="str">
        <f>IF(Tim!BD70=FIT!$E$1,Tim!BD70,"")</f>
        <v/>
      </c>
      <c r="BD68" s="185" t="str">
        <f>IF(Tim!BE70=FIT!$E$1,Tim!BE70,"")</f>
        <v/>
      </c>
      <c r="BE68" s="185" t="str">
        <f>IF(Tim!BF70=FIT!$E$1,Tim!BF70,"")</f>
        <v/>
      </c>
      <c r="BF68" s="185" t="str">
        <f>IF(Tim!BG70=FIT!$E$1,Tim!BG70,"")</f>
        <v/>
      </c>
      <c r="BG68" s="185" t="str">
        <f>IF(Tim!BH70=FIT!$E$1,Tim!BH70,"")</f>
        <v/>
      </c>
      <c r="BH68" s="185" t="str">
        <f>IF(Tim!BI70=FIT!$E$1,Tim!BI70,"")</f>
        <v/>
      </c>
      <c r="BI68" s="185" t="str">
        <f>IF(Tim!BJ70=FIT!$E$1,Tim!BJ70,"")</f>
        <v/>
      </c>
      <c r="BJ68" s="185" t="str">
        <f>IF(Tim!BK70=FIT!$E$1,Tim!BK70,"")</f>
        <v/>
      </c>
      <c r="BK68" s="185" t="str">
        <f>IF(Tim!BL70=FIT!$E$1,Tim!BL70,"")</f>
        <v/>
      </c>
      <c r="BL68" s="185" t="str">
        <f>IF(Tim!BM70=FIT!$E$1,Tim!BM70,"")</f>
        <v/>
      </c>
      <c r="BM68" s="185" t="str">
        <f>IF(Tim!BN70=FIT!$E$1,Tim!BN70,"")</f>
        <v/>
      </c>
      <c r="BN68" s="185" t="str">
        <f>IF(Tim!BO70=FIT!$E$1,Tim!BO70,"")</f>
        <v/>
      </c>
      <c r="BO68" s="185" t="str">
        <f>IF(Tim!BP70=FIT!$E$1,Tim!BP70,"")</f>
        <v/>
      </c>
      <c r="BP68" s="185" t="str">
        <f>IF(Tim!BQ70=FIT!$E$1,Tim!BQ70,"")</f>
        <v/>
      </c>
      <c r="BQ68" s="185" t="str">
        <f>IF(Tim!BR70=FIT!$E$1,Tim!BR70,"")</f>
        <v/>
      </c>
      <c r="BR68" s="185" t="str">
        <f>IF(Tim!BS70=FIT!$E$1,Tim!BS70,"")</f>
        <v/>
      </c>
      <c r="BS68" s="185" t="str">
        <f>IF(Tim!BT70=FIT!$E$1,Tim!BT70,"")</f>
        <v/>
      </c>
      <c r="BT68" s="185" t="str">
        <f>IF(Tim!BU70=FIT!$E$1,Tim!BU70,"")</f>
        <v/>
      </c>
      <c r="BU68" s="185" t="str">
        <f>IF(Tim!BV70=FIT!$E$1,Tim!BV70,"")</f>
        <v/>
      </c>
      <c r="BV68" s="185" t="str">
        <f>IF(Tim!BW70=FIT!$E$1,Tim!BW70,"")</f>
        <v/>
      </c>
      <c r="BW68" s="185" t="str">
        <f>IF(Tim!BX70=FIT!$E$1,Tim!BX70,"")</f>
        <v/>
      </c>
      <c r="BX68" s="185" t="str">
        <f>IF(Tim!BY70=FIT!$E$1,Tim!BY70,"")</f>
        <v/>
      </c>
      <c r="BY68" s="185" t="str">
        <f>IF(Tim!BZ70=FIT!$E$1,Tim!BZ70,"")</f>
        <v/>
      </c>
      <c r="BZ68" s="185" t="str">
        <f>IF(Tim!CA70=FIT!$E$1,Tim!CA70,"")</f>
        <v/>
      </c>
      <c r="CA68" s="185" t="str">
        <f>IF(Tim!CB70=FIT!$E$1,Tim!CB70,"")</f>
        <v/>
      </c>
      <c r="CB68" s="185" t="str">
        <f>IF(Tim!CC70=FIT!$E$1,Tim!CC70,"")</f>
        <v/>
      </c>
      <c r="CC68" s="185" t="str">
        <f>IF(Tim!CD70=FIT!$E$1,Tim!CD70,"")</f>
        <v/>
      </c>
      <c r="CD68" s="185" t="str">
        <f>IF(Tim!CE70=FIT!$E$1,Tim!CE70,"")</f>
        <v/>
      </c>
      <c r="CE68" s="185" t="str">
        <f>IF(Tim!CF70=FIT!$E$1,Tim!CF70,"")</f>
        <v/>
      </c>
      <c r="CF68" s="185" t="str">
        <f>IF(Tim!CG70=FIT!$E$1,Tim!CG70,"")</f>
        <v/>
      </c>
      <c r="CG68" s="185" t="str">
        <f>IF(Tim!CH70=FIT!$E$1,Tim!CH70,"")</f>
        <v/>
      </c>
      <c r="CH68" s="185" t="str">
        <f>IF(Tim!CI70=FIT!$E$1,Tim!CI70,"")</f>
        <v/>
      </c>
      <c r="CI68" s="185" t="str">
        <f>IF(Tim!CJ70=FIT!$E$1,Tim!CJ70,"")</f>
        <v/>
      </c>
      <c r="CJ68" s="185" t="str">
        <f>IF(Tim!CK70=FIT!$E$1,Tim!CK70,"")</f>
        <v/>
      </c>
      <c r="CK68" s="185" t="str">
        <f>IF(Tim!CL70=FIT!$E$1,Tim!CL70,"")</f>
        <v/>
      </c>
      <c r="CL68" s="185" t="str">
        <f>IF(Tim!CM70=FIT!$E$1,Tim!CM70,"")</f>
        <v/>
      </c>
      <c r="CM68" s="185" t="str">
        <f>IF(Tim!CN70=FIT!$E$1,Tim!CN70,"")</f>
        <v/>
      </c>
      <c r="CN68" s="185" t="str">
        <f>IF(Tim!CO70=FIT!$E$1,Tim!CO70,"")</f>
        <v/>
      </c>
      <c r="CO68" s="185" t="str">
        <f>IF(Tim!CP70=FIT!$E$1,Tim!CP70,"")</f>
        <v/>
      </c>
      <c r="CP68" s="185" t="str">
        <f>IF(Tim!CQ70=FIT!$E$1,Tim!CQ70,"")</f>
        <v/>
      </c>
      <c r="CQ68" s="185" t="str">
        <f>IF(Tim!CR70=FIT!$E$1,Tim!CR70,"")</f>
        <v/>
      </c>
      <c r="CR68" s="185" t="str">
        <f>IF(Tim!CS70=FIT!$E$1,Tim!CS70,"")</f>
        <v/>
      </c>
      <c r="CS68" s="185" t="str">
        <f>IF(Tim!CT70=FIT!$E$1,Tim!CT70,"")</f>
        <v/>
      </c>
      <c r="CT68" s="185" t="str">
        <f>IF(Tim!CU70=FIT!$E$1,Tim!CU70,"")</f>
        <v/>
      </c>
      <c r="CU68" s="185" t="str">
        <f>IF(Tim!CV70=FIT!$E$1,Tim!CV70,"")</f>
        <v/>
      </c>
      <c r="CV68" s="185" t="str">
        <f>IF(Tim!CW70=FIT!$E$1,Tim!CW70,"")</f>
        <v/>
      </c>
      <c r="CW68" s="185" t="str">
        <f>IF(Tim!CX70=FIT!$E$1,Tim!CX70,"")</f>
        <v/>
      </c>
      <c r="CX68" s="185" t="str">
        <f>IF(Tim!CY70=FIT!$E$1,Tim!CY70,"")</f>
        <v/>
      </c>
      <c r="CY68" s="185" t="str">
        <f>IF(Tim!CZ70=FIT!$E$1,Tim!CZ70,"")</f>
        <v/>
      </c>
      <c r="CZ68" s="185" t="str">
        <f>IF(Tim!DA70=FIT!$E$1,Tim!DA70,"")</f>
        <v/>
      </c>
      <c r="DA68" s="185" t="str">
        <f>IF(Tim!DB70=FIT!$E$1,Tim!DB70,"")</f>
        <v/>
      </c>
      <c r="DB68" s="185" t="str">
        <f>IF(Tim!DC70=FIT!$E$1,Tim!DC70,"")</f>
        <v/>
      </c>
      <c r="DC68" s="185" t="str">
        <f>IF(Tim!DD70=FIT!$E$1,Tim!DD70,"")</f>
        <v/>
      </c>
      <c r="DD68" s="185" t="str">
        <f>IF(Tim!DE70=FIT!$E$1,Tim!DE70,"")</f>
        <v/>
      </c>
      <c r="DE68" s="185" t="str">
        <f>IF(Tim!DF70=FIT!$E$1,Tim!DF70,"")</f>
        <v/>
      </c>
      <c r="DF68" s="185" t="str">
        <f>IF(Tim!DG70=FIT!$E$1,Tim!DG70,"")</f>
        <v/>
      </c>
      <c r="DG68" s="185" t="str">
        <f>IF(Tim!DH70=FIT!$E$1,Tim!DH70,"")</f>
        <v/>
      </c>
      <c r="DH68" s="185" t="str">
        <f>IF(Tim!DI70=FIT!$E$1,Tim!DI70,"")</f>
        <v/>
      </c>
      <c r="DI68" s="185" t="str">
        <f>IF(Tim!DM70=FIT!$E$1,Tim!DM70,"")</f>
        <v/>
      </c>
      <c r="DJ68" s="185" t="str">
        <f>IF(Tim!DN70=FIT!$E$1,Tim!DN70,"")</f>
        <v/>
      </c>
      <c r="DK68" s="185" t="str">
        <f>IF(Tim!DO70=FIT!$E$1,Tim!DO70,"")</f>
        <v/>
      </c>
      <c r="DL68" s="185" t="str">
        <f>IF(Tim!DP70=FIT!$E$1,Tim!DP70,"")</f>
        <v/>
      </c>
      <c r="DM68" s="185" t="str">
        <f>IF(Tim!DQ70=FIT!$E$1,Tim!DQ70,"")</f>
        <v/>
      </c>
      <c r="DN68" s="185" t="str">
        <f>IF(Tim!DR70=FIT!$E$1,Tim!DR70,"")</f>
        <v/>
      </c>
      <c r="DO68" s="185" t="str">
        <f>IF(Tim!DS70=FIT!$E$1,Tim!DS70,"")</f>
        <v/>
      </c>
      <c r="DP68" s="185" t="str">
        <f>IF(Tim!DT70=FIT!$E$1,Tim!DT70,"")</f>
        <v/>
      </c>
      <c r="DQ68" s="185" t="str">
        <f>IF(Tim!DU70=FIT!$E$1,Tim!DU70,"")</f>
        <v/>
      </c>
      <c r="DR68" s="185" t="str">
        <f>IF(Tim!DV70=FIT!$E$1,Tim!DV70,"")</f>
        <v/>
      </c>
      <c r="DS68" s="185" t="str">
        <f>IF(Tim!DW70=FIT!$E$1,Tim!DW70,"")</f>
        <v/>
      </c>
      <c r="DT68" s="185" t="str">
        <f>IF(Tim!DX70=FIT!$E$1,Tim!DX70,"")</f>
        <v/>
      </c>
      <c r="DU68" s="185" t="str">
        <f>IF(Tim!DY70=FIT!$E$1,Tim!DY70,"")</f>
        <v/>
      </c>
      <c r="DV68" s="185" t="str">
        <f>IF(Tim!DZ70=FIT!$E$1,Tim!DZ70,"")</f>
        <v/>
      </c>
      <c r="DW68" s="185" t="str">
        <f>IF(Tim!EA70=FIT!$E$1,Tim!EA70,"")</f>
        <v/>
      </c>
      <c r="DX68" s="185" t="str">
        <f>IF(Tim!EB70=FIT!$E$1,Tim!EB70,"")</f>
        <v/>
      </c>
      <c r="DY68" s="185" t="str">
        <f>IF(Tim!EC70=FIT!$E$1,Tim!EC70,"")</f>
        <v/>
      </c>
      <c r="DZ68" s="185" t="str">
        <f>IF(Tim!ED70=FIT!$E$1,Tim!ED70,"")</f>
        <v/>
      </c>
      <c r="EA68" s="185" t="str">
        <f>IF(Tim!EE70=FIT!$E$1,Tim!EE70,"")</f>
        <v/>
      </c>
      <c r="EB68" s="185" t="str">
        <f>IF(Tim!EF70=FIT!$E$1,Tim!EF70,"")</f>
        <v/>
      </c>
      <c r="EC68" s="185" t="str">
        <f>IF(Tim!EG70=FIT!$E$1,Tim!EG70,"")</f>
        <v/>
      </c>
      <c r="ED68" s="185" t="str">
        <f>IF(Tim!EH70=FIT!$E$1,Tim!EH70,"")</f>
        <v/>
      </c>
      <c r="EE68" s="185" t="str">
        <f>IF(Tim!EI70=FIT!$E$1,Tim!EI70,"")</f>
        <v/>
      </c>
      <c r="EF68" s="185" t="str">
        <f>IF(Tim!EJ70=FIT!$E$1,Tim!EJ70,"")</f>
        <v/>
      </c>
      <c r="EG68" s="185" t="str">
        <f>IF(Tim!EK70=FIT!$E$1,Tim!EK70,"")</f>
        <v/>
      </c>
      <c r="EH68" s="185" t="str">
        <f>IF(Tim!EL70=FIT!$E$1,Tim!EL70,"")</f>
        <v/>
      </c>
      <c r="EI68" s="185" t="str">
        <f>IF(Tim!EM70=FIT!$E$1,Tim!EM70,"")</f>
        <v/>
      </c>
      <c r="EJ68" s="185" t="str">
        <f>IF(Tim!EN70=FIT!$E$1,Tim!EN70,"")</f>
        <v/>
      </c>
      <c r="EK68" s="185" t="str">
        <f>IF(Tim!EO70=FIT!$E$1,Tim!EO70,"")</f>
        <v/>
      </c>
      <c r="EL68" s="185" t="str">
        <f>IF(Tim!EP70=FIT!$E$1,Tim!EP70,"")</f>
        <v/>
      </c>
      <c r="EM68" s="185" t="str">
        <f>IF(Tim!EQ70=FIT!$E$1,Tim!EQ70,"")</f>
        <v/>
      </c>
      <c r="EN68" s="185" t="str">
        <f>IF(Tim!ER70=FIT!$E$1,Tim!ER70,"")</f>
        <v/>
      </c>
      <c r="EO68" s="185" t="str">
        <f>IF(Tim!ES70=FIT!$E$1,Tim!ES70,"")</f>
        <v/>
      </c>
      <c r="EP68" s="185" t="str">
        <f>IF(Tim!ET70=FIT!$E$1,Tim!ET70,"")</f>
        <v/>
      </c>
      <c r="EQ68" s="185" t="str">
        <f>IF(Tim!EU70=FIT!$E$1,Tim!EU70,"")</f>
        <v/>
      </c>
      <c r="ER68" s="185" t="str">
        <f>IF(Tim!EV70=FIT!$E$1,Tim!EV70,"")</f>
        <v/>
      </c>
      <c r="ES68" s="185" t="str">
        <f>IF(Tim!EW70=FIT!$E$1,Tim!EW70,"")</f>
        <v/>
      </c>
      <c r="ET68" s="185" t="str">
        <f>IF(Tim!EX70=FIT!$E$1,Tim!EX70,"")</f>
        <v/>
      </c>
      <c r="EU68" s="185" t="str">
        <f>IF(Tim!EY70=FIT!$E$1,Tim!EY70,"")</f>
        <v/>
      </c>
      <c r="EV68" s="185" t="str">
        <f>IF(Tim!EZ70=FIT!$E$1,Tim!EZ70,"")</f>
        <v/>
      </c>
      <c r="EW68" s="185" t="str">
        <f>IF(Tim!FA70=FIT!$E$1,Tim!FA70,"")</f>
        <v/>
      </c>
      <c r="EX68" s="185" t="str">
        <f>IF(Tim!FB70=FIT!$E$1,Tim!FB70,"")</f>
        <v/>
      </c>
      <c r="EY68" s="185" t="str">
        <f>IF(Tim!FC70=FIT!$E$1,Tim!FC70,"")</f>
        <v/>
      </c>
      <c r="EZ68" s="185" t="str">
        <f>IF(Tim!FD70=FIT!$E$1,Tim!FD70,"")</f>
        <v/>
      </c>
      <c r="FA68" s="185" t="str">
        <f>IF(Tim!FE70=FIT!$E$1,Tim!FE70,"")</f>
        <v/>
      </c>
      <c r="FB68" s="185" t="str">
        <f>IF(Tim!FF70=FIT!$E$1,Tim!FF70,"")</f>
        <v/>
      </c>
      <c r="FC68" s="185" t="str">
        <f>IF(Tim!FG70=FIT!$E$1,Tim!FG70,"")</f>
        <v/>
      </c>
      <c r="FD68" s="185" t="str">
        <f>IF(Tim!FH70=FIT!$E$1,Tim!FH70,"")</f>
        <v/>
      </c>
      <c r="FE68" s="185" t="str">
        <f>IF(Tim!FI70=FIT!$E$1,Tim!FI70,"")</f>
        <v/>
      </c>
      <c r="FF68" s="185" t="str">
        <f>IF(Tim!FJ70=FIT!$E$1,Tim!FJ70,"")</f>
        <v/>
      </c>
      <c r="FG68" s="185" t="str">
        <f>IF(Tim!FK70=FIT!$E$1,Tim!FK70,"")</f>
        <v/>
      </c>
      <c r="FH68" s="185" t="str">
        <f>IF(Tim!FL70=FIT!$E$1,Tim!FL70,"")</f>
        <v/>
      </c>
      <c r="FI68" s="185" t="str">
        <f>IF(Tim!FM70=FIT!$E$1,Tim!FM70,"")</f>
        <v/>
      </c>
      <c r="FJ68" s="185" t="str">
        <f>IF(Tim!FN70=FIT!$E$1,Tim!FN70,"")</f>
        <v/>
      </c>
      <c r="FK68" s="185" t="str">
        <f>IF(Tim!FO70=FIT!$E$1,Tim!FO70,"")</f>
        <v/>
      </c>
      <c r="FL68" s="185" t="str">
        <f>IF(Tim!FP70=FIT!$E$1,Tim!FP70,"")</f>
        <v/>
      </c>
      <c r="FM68" s="185" t="str">
        <f>IF(Tim!FQ70=FIT!$E$1,Tim!FQ70,"")</f>
        <v/>
      </c>
      <c r="FN68" s="185" t="str">
        <f>IF(Tim!FR70=FIT!$E$1,Tim!FR70,"")</f>
        <v/>
      </c>
      <c r="FO68" s="185" t="str">
        <f>IF(Tim!FS70=FIT!$E$1,Tim!FS70,"")</f>
        <v/>
      </c>
      <c r="FP68" s="185" t="str">
        <f>IF(Tim!FT70=FIT!$E$1,Tim!FT70,"")</f>
        <v/>
      </c>
      <c r="FQ68" s="185" t="str">
        <f>IF(Tim!FU70=FIT!$E$1,Tim!FU70,"")</f>
        <v/>
      </c>
      <c r="FR68" s="185" t="str">
        <f>IF(Tim!FV70=FIT!$E$1,Tim!FV70,"")</f>
        <v/>
      </c>
      <c r="FS68" s="185" t="str">
        <f>IF(Tim!FW70=FIT!$E$1,Tim!FW70,"")</f>
        <v/>
      </c>
      <c r="FT68" s="185" t="str">
        <f>IF(Tim!FX70=FIT!$E$1,Tim!FX70,"")</f>
        <v/>
      </c>
      <c r="FU68" s="185" t="str">
        <f>IF(Tim!FY70=FIT!$E$1,Tim!FY70,"")</f>
        <v/>
      </c>
      <c r="FV68" s="185" t="str">
        <f>IF(Tim!FZ70=FIT!$E$1,Tim!FZ70,"")</f>
        <v/>
      </c>
      <c r="FW68" s="185" t="str">
        <f>IF(Tim!GA70=FIT!$E$1,Tim!GA70,"")</f>
        <v/>
      </c>
      <c r="FX68" s="185" t="str">
        <f>IF(Tim!GB70=FIT!$E$1,Tim!GB70,"")</f>
        <v/>
      </c>
      <c r="FY68" s="185" t="str">
        <f>IF(Tim!GC70=FIT!$E$1,Tim!GC70,"")</f>
        <v/>
      </c>
      <c r="FZ68" s="185" t="str">
        <f>IF(Tim!GD70=FIT!$E$1,Tim!GD70,"")</f>
        <v/>
      </c>
      <c r="GA68" s="185" t="str">
        <f>IF(Tim!GE70=FIT!$E$1,Tim!GE70,"")</f>
        <v/>
      </c>
      <c r="GB68" s="185" t="str">
        <f>IF(Tim!GF70=FIT!$E$1,Tim!GF70,"")</f>
        <v/>
      </c>
      <c r="GC68" s="185" t="str">
        <f>IF(Tim!GG70=FIT!$E$1,Tim!GG70,"")</f>
        <v/>
      </c>
      <c r="GD68" s="185" t="str">
        <f>IF(Tim!GH70=FIT!$E$1,Tim!GH70,"")</f>
        <v/>
      </c>
      <c r="GE68" s="185" t="str">
        <f>IF(Tim!GI70=FIT!$E$1,Tim!GI70,"")</f>
        <v/>
      </c>
      <c r="GF68" s="185" t="str">
        <f>IF(Tim!GJ70=FIT!$E$1,Tim!GJ70,"")</f>
        <v/>
      </c>
      <c r="GG68" s="185" t="str">
        <f>IF(Tim!GK70=FIT!$E$1,Tim!GK70,"")</f>
        <v/>
      </c>
      <c r="GH68" s="185" t="str">
        <f>IF(Tim!GL70=FIT!$E$1,Tim!GL70,"")</f>
        <v/>
      </c>
      <c r="GI68" s="185" t="str">
        <f>IF(Tim!GM70=FIT!$E$1,Tim!GM70,"")</f>
        <v/>
      </c>
      <c r="GJ68" s="185" t="str">
        <f>IF(Tim!GN70=FIT!$E$1,Tim!GN70,"")</f>
        <v/>
      </c>
      <c r="GK68" s="185" t="str">
        <f>IF(Tim!GO70=FIT!$E$1,Tim!GO70,"")</f>
        <v/>
      </c>
      <c r="GL68" s="185" t="str">
        <f>IF(Tim!GP70=FIT!$E$1,Tim!GP70,"")</f>
        <v/>
      </c>
      <c r="GM68" s="185" t="str">
        <f>IF(Tim!GQ70=FIT!$E$1,Tim!GQ70,"")</f>
        <v/>
      </c>
      <c r="GN68" s="185" t="str">
        <f>IF(Tim!GR70=FIT!$E$1,Tim!GR70,"")</f>
        <v/>
      </c>
      <c r="GO68" s="185" t="str">
        <f>IF(Tim!GS70=FIT!$E$1,Tim!GS70,"")</f>
        <v/>
      </c>
      <c r="GP68" s="185" t="str">
        <f>IF(Tim!GT70=FIT!$E$1,Tim!GT70,"")</f>
        <v/>
      </c>
      <c r="GQ68" s="185" t="str">
        <f>IF(Tim!GU70=FIT!$E$1,Tim!GU70,"")</f>
        <v/>
      </c>
      <c r="GR68" s="185" t="str">
        <f>IF(Tim!GV70=FIT!$E$1,Tim!GV70,"")</f>
        <v/>
      </c>
      <c r="GS68" s="185" t="str">
        <f>IF(Tim!GW70=FIT!$E$1,Tim!GW70,"")</f>
        <v/>
      </c>
      <c r="GT68" s="185" t="str">
        <f>IF(Tim!GX70=FIT!$E$1,Tim!GX70,"")</f>
        <v/>
      </c>
      <c r="GU68" s="185" t="str">
        <f>IF(Tim!GY70=FIT!$E$1,Tim!GY70,"")</f>
        <v/>
      </c>
      <c r="GV68" s="185" t="str">
        <f>IF(Tim!GZ70=FIT!$E$1,Tim!GZ70,"")</f>
        <v/>
      </c>
      <c r="GW68" s="185" t="str">
        <f>IF(Tim!HA70=FIT!$E$1,Tim!HA70,"")</f>
        <v/>
      </c>
      <c r="GX68" s="185" t="str">
        <f>IF(Tim!HB70=FIT!$E$1,Tim!HB70,"")</f>
        <v/>
      </c>
      <c r="GY68" s="185" t="str">
        <f>IF(Tim!HC70=FIT!$E$1,Tim!HC70,"")</f>
        <v/>
      </c>
      <c r="GZ68" s="185" t="str">
        <f>IF(Tim!HD70=FIT!$E$1,Tim!HD70,"")</f>
        <v/>
      </c>
      <c r="HA68" s="185" t="str">
        <f>IF(Tim!HE70=FIT!$E$1,Tim!HE70,"")</f>
        <v/>
      </c>
      <c r="HB68" s="185" t="str">
        <f>IF(Tim!HF70=FIT!$E$1,Tim!HF70,"")</f>
        <v/>
      </c>
      <c r="HC68" s="185" t="str">
        <f>IF(Tim!HG70=FIT!$E$1,Tim!HG70,"")</f>
        <v/>
      </c>
      <c r="HD68" s="185" t="str">
        <f>IF(Tim!HH70=FIT!$E$1,Tim!HH70,"")</f>
        <v/>
      </c>
      <c r="HE68" s="185" t="str">
        <f>IF(Tim!HI70=FIT!$E$1,Tim!HI70,"")</f>
        <v/>
      </c>
      <c r="HF68" s="185" t="str">
        <f>IF(Tim!HJ70=FIT!$E$1,Tim!HJ70,"")</f>
        <v/>
      </c>
      <c r="HG68" s="185" t="str">
        <f>IF(Tim!HK70=FIT!$E$1,Tim!HK70,"")</f>
        <v/>
      </c>
      <c r="HH68" s="185" t="str">
        <f>IF(Tim!HL70=FIT!$E$1,Tim!HL70,"")</f>
        <v/>
      </c>
      <c r="HI68" s="185" t="str">
        <f>IF(Tim!HM70=FIT!$E$1,Tim!HM70,"")</f>
        <v/>
      </c>
      <c r="HJ68" s="185" t="str">
        <f>IF(Tim!HN70=FIT!$E$1,Tim!HN70,"")</f>
        <v/>
      </c>
      <c r="HK68" s="185" t="str">
        <f>IF(Tim!HO70=FIT!$E$1,Tim!HO70,"")</f>
        <v/>
      </c>
      <c r="HL68" s="185" t="str">
        <f>IF(Tim!HP70=FIT!$E$1,Tim!HP70,"")</f>
        <v/>
      </c>
      <c r="HM68" s="185" t="str">
        <f>IF(Tim!HQ70=FIT!$E$1,Tim!HQ70,"")</f>
        <v/>
      </c>
      <c r="HN68" s="185" t="str">
        <f>IF(Tim!HR70=FIT!$E$1,Tim!HR70,"")</f>
        <v/>
      </c>
      <c r="HO68" s="185" t="str">
        <f>IF(Tim!HS70=FIT!$E$1,Tim!HS70,"")</f>
        <v/>
      </c>
      <c r="HP68" s="185" t="str">
        <f>IF(Tim!HT70=FIT!$E$1,Tim!HT70,"")</f>
        <v/>
      </c>
      <c r="HQ68" s="185" t="str">
        <f>IF(Tim!HU70=FIT!$E$1,Tim!HU70,"")</f>
        <v/>
      </c>
      <c r="HR68" s="470"/>
      <c r="HS68" s="384"/>
      <c r="HT68" s="384"/>
      <c r="HU68" s="384"/>
      <c r="HV68" s="384"/>
      <c r="HW68" s="384"/>
      <c r="HX68" s="384"/>
      <c r="HY68" s="384"/>
      <c r="HZ68" s="384"/>
      <c r="IA68" s="384"/>
      <c r="IB68" s="384"/>
      <c r="IC68" s="384"/>
      <c r="ID68" s="384"/>
      <c r="IE68" s="384"/>
      <c r="IF68" s="384"/>
      <c r="IG68" s="384"/>
      <c r="IH68" s="384"/>
      <c r="II68" s="384"/>
      <c r="IJ68" s="384"/>
      <c r="IK68" s="384"/>
      <c r="IL68" s="384"/>
      <c r="IM68" s="384"/>
      <c r="IN68" s="384"/>
      <c r="IO68" s="384"/>
      <c r="IP68" s="384"/>
      <c r="IQ68" s="384"/>
      <c r="IR68" s="384"/>
      <c r="IS68" s="384"/>
      <c r="IT68" s="384"/>
      <c r="IU68" s="384"/>
      <c r="IV68" s="384"/>
      <c r="IW68" s="384"/>
      <c r="IX68" s="384"/>
      <c r="IY68" s="384"/>
      <c r="IZ68" s="384"/>
      <c r="JA68" s="384"/>
      <c r="JB68" s="384"/>
      <c r="JC68" s="384"/>
      <c r="JD68" s="384"/>
      <c r="JE68" s="384"/>
      <c r="JF68" s="384"/>
      <c r="JG68" s="384"/>
      <c r="JH68" s="384"/>
      <c r="JI68" s="467"/>
      <c r="JJ68" s="470"/>
      <c r="JK68" s="384"/>
      <c r="JL68" s="384"/>
      <c r="JM68" s="384"/>
      <c r="JN68" s="384"/>
      <c r="JO68" s="384"/>
      <c r="JP68" s="384"/>
      <c r="JQ68" s="384"/>
      <c r="JR68" s="384"/>
      <c r="JS68" s="384"/>
      <c r="JT68" s="384"/>
      <c r="JU68" s="384"/>
      <c r="JV68" s="384"/>
      <c r="JW68" s="384"/>
      <c r="JX68" s="384"/>
      <c r="JY68" s="384"/>
      <c r="JZ68" s="384"/>
      <c r="KA68" s="384"/>
      <c r="KB68" s="384"/>
      <c r="KC68" s="384"/>
      <c r="KD68" s="384"/>
      <c r="KE68" s="384"/>
      <c r="KF68" s="384"/>
      <c r="KG68" s="384"/>
      <c r="KH68" s="384"/>
      <c r="KI68" s="384"/>
      <c r="KJ68" s="384"/>
      <c r="KK68" s="384"/>
      <c r="KL68" s="384"/>
      <c r="KM68" s="384"/>
      <c r="KN68" s="384"/>
      <c r="KO68" s="384"/>
      <c r="KP68" s="384"/>
      <c r="KQ68" s="384"/>
      <c r="KR68" s="384"/>
      <c r="KS68" s="384"/>
      <c r="KT68" s="384"/>
      <c r="KU68" s="384"/>
      <c r="KV68" s="384"/>
      <c r="KW68" s="384"/>
      <c r="KX68" s="384"/>
      <c r="KY68" s="384"/>
      <c r="KZ68" s="384"/>
      <c r="LA68" s="467"/>
      <c r="LB68" s="69">
        <v>0.94791666666666496</v>
      </c>
    </row>
    <row r="69" spans="2:314" ht="10.5" customHeight="1">
      <c r="F69" s="49">
        <f t="shared" ref="F69:DT69" si="0">F70/4</f>
        <v>16</v>
      </c>
      <c r="G69" s="49">
        <f t="shared" si="0"/>
        <v>16</v>
      </c>
      <c r="H69" s="49">
        <f t="shared" si="0"/>
        <v>16</v>
      </c>
      <c r="I69" s="49">
        <f t="shared" si="0"/>
        <v>16</v>
      </c>
      <c r="J69" s="49">
        <f t="shared" si="0"/>
        <v>16</v>
      </c>
      <c r="K69" s="49">
        <f t="shared" si="0"/>
        <v>16</v>
      </c>
      <c r="L69" s="49">
        <f t="shared" si="0"/>
        <v>16</v>
      </c>
      <c r="M69" s="49">
        <f t="shared" si="0"/>
        <v>16</v>
      </c>
      <c r="N69" s="49">
        <f t="shared" si="0"/>
        <v>16</v>
      </c>
      <c r="O69" s="49">
        <f t="shared" si="0"/>
        <v>16</v>
      </c>
      <c r="P69" s="49">
        <f t="shared" si="0"/>
        <v>16</v>
      </c>
      <c r="Q69" s="49">
        <f t="shared" si="0"/>
        <v>16</v>
      </c>
      <c r="R69" s="49">
        <f t="shared" si="0"/>
        <v>16</v>
      </c>
      <c r="S69" s="49">
        <f t="shared" si="0"/>
        <v>16</v>
      </c>
      <c r="T69" s="49">
        <f t="shared" si="0"/>
        <v>16</v>
      </c>
      <c r="U69" s="49">
        <f t="shared" si="0"/>
        <v>16</v>
      </c>
      <c r="V69" s="49">
        <f t="shared" si="0"/>
        <v>16</v>
      </c>
      <c r="W69" s="49">
        <f t="shared" si="0"/>
        <v>16</v>
      </c>
      <c r="X69" s="49">
        <f t="shared" si="0"/>
        <v>16</v>
      </c>
      <c r="Y69" s="49">
        <f t="shared" si="0"/>
        <v>16</v>
      </c>
      <c r="Z69" s="49">
        <f t="shared" si="0"/>
        <v>16</v>
      </c>
      <c r="AA69" s="49">
        <f t="shared" si="0"/>
        <v>16</v>
      </c>
      <c r="AB69" s="49">
        <f t="shared" si="0"/>
        <v>16</v>
      </c>
      <c r="AC69" s="49">
        <f t="shared" si="0"/>
        <v>16</v>
      </c>
      <c r="AD69" s="49">
        <f t="shared" si="0"/>
        <v>16</v>
      </c>
      <c r="AE69" s="49">
        <f t="shared" si="0"/>
        <v>16</v>
      </c>
      <c r="AF69" s="49">
        <f t="shared" si="0"/>
        <v>16</v>
      </c>
      <c r="AG69" s="49">
        <f t="shared" si="0"/>
        <v>16</v>
      </c>
      <c r="AH69" s="49">
        <f t="shared" si="0"/>
        <v>16</v>
      </c>
      <c r="AI69" s="49">
        <f t="shared" si="0"/>
        <v>16</v>
      </c>
      <c r="AJ69" s="49">
        <f t="shared" si="0"/>
        <v>16</v>
      </c>
      <c r="AK69" s="49">
        <f t="shared" si="0"/>
        <v>16</v>
      </c>
      <c r="AL69" s="49">
        <f t="shared" si="0"/>
        <v>16</v>
      </c>
      <c r="AM69" s="49">
        <f t="shared" si="0"/>
        <v>16</v>
      </c>
      <c r="AN69" s="49">
        <f t="shared" si="0"/>
        <v>16</v>
      </c>
      <c r="AO69" s="49">
        <f t="shared" si="0"/>
        <v>16</v>
      </c>
      <c r="AP69" s="49">
        <f t="shared" si="0"/>
        <v>16</v>
      </c>
      <c r="AQ69" s="49">
        <f t="shared" si="0"/>
        <v>16</v>
      </c>
      <c r="AR69" s="49">
        <f t="shared" si="0"/>
        <v>16</v>
      </c>
      <c r="AS69" s="49">
        <f t="shared" si="0"/>
        <v>16</v>
      </c>
      <c r="AT69" s="49">
        <f t="shared" si="0"/>
        <v>16</v>
      </c>
      <c r="AU69" s="49">
        <f t="shared" si="0"/>
        <v>16</v>
      </c>
      <c r="AV69" s="49">
        <f t="shared" si="0"/>
        <v>16</v>
      </c>
      <c r="AW69" s="49">
        <f t="shared" si="0"/>
        <v>16</v>
      </c>
      <c r="AX69" s="49">
        <f t="shared" si="0"/>
        <v>16</v>
      </c>
      <c r="AY69" s="49">
        <f t="shared" si="0"/>
        <v>16</v>
      </c>
      <c r="AZ69" s="49">
        <f t="shared" si="0"/>
        <v>16</v>
      </c>
      <c r="BA69" s="49">
        <f t="shared" si="0"/>
        <v>16</v>
      </c>
      <c r="BB69" s="49">
        <f t="shared" si="0"/>
        <v>16</v>
      </c>
      <c r="BC69" s="49">
        <f t="shared" si="0"/>
        <v>16</v>
      </c>
      <c r="BD69" s="49">
        <f t="shared" si="0"/>
        <v>16</v>
      </c>
      <c r="BE69" s="49">
        <f t="shared" si="0"/>
        <v>16</v>
      </c>
      <c r="BF69" s="49">
        <f t="shared" si="0"/>
        <v>16</v>
      </c>
      <c r="BG69" s="49">
        <f t="shared" si="0"/>
        <v>16</v>
      </c>
      <c r="BH69" s="49">
        <f t="shared" si="0"/>
        <v>16</v>
      </c>
      <c r="BI69" s="49">
        <f t="shared" si="0"/>
        <v>16</v>
      </c>
      <c r="BJ69" s="49">
        <f t="shared" si="0"/>
        <v>16</v>
      </c>
      <c r="BK69" s="49">
        <f t="shared" si="0"/>
        <v>16</v>
      </c>
      <c r="BL69" s="49">
        <f t="shared" si="0"/>
        <v>16</v>
      </c>
      <c r="BM69" s="49">
        <f t="shared" si="0"/>
        <v>16</v>
      </c>
      <c r="BN69" s="49">
        <f t="shared" si="0"/>
        <v>16</v>
      </c>
      <c r="BO69" s="49">
        <f t="shared" si="0"/>
        <v>16</v>
      </c>
      <c r="BP69" s="49">
        <f t="shared" si="0"/>
        <v>16</v>
      </c>
      <c r="BQ69" s="49">
        <f t="shared" si="0"/>
        <v>16</v>
      </c>
      <c r="BR69" s="49">
        <f t="shared" si="0"/>
        <v>16</v>
      </c>
      <c r="BS69" s="49">
        <f t="shared" si="0"/>
        <v>16</v>
      </c>
      <c r="BT69" s="49">
        <f t="shared" si="0"/>
        <v>16</v>
      </c>
      <c r="BU69" s="49">
        <f t="shared" si="0"/>
        <v>16</v>
      </c>
      <c r="BV69" s="49">
        <f t="shared" si="0"/>
        <v>16</v>
      </c>
      <c r="BW69" s="49">
        <f t="shared" si="0"/>
        <v>16</v>
      </c>
      <c r="BX69" s="49">
        <f t="shared" si="0"/>
        <v>16</v>
      </c>
      <c r="BY69" s="49">
        <f t="shared" si="0"/>
        <v>16</v>
      </c>
      <c r="BZ69" s="49">
        <f t="shared" si="0"/>
        <v>16</v>
      </c>
      <c r="CA69" s="49">
        <f t="shared" si="0"/>
        <v>16</v>
      </c>
      <c r="CB69" s="49">
        <f t="shared" si="0"/>
        <v>16</v>
      </c>
      <c r="CC69" s="49">
        <f t="shared" si="0"/>
        <v>16</v>
      </c>
      <c r="CD69" s="49">
        <f t="shared" si="0"/>
        <v>16</v>
      </c>
      <c r="CE69" s="49">
        <f t="shared" si="0"/>
        <v>16</v>
      </c>
      <c r="CF69" s="49">
        <f t="shared" si="0"/>
        <v>16</v>
      </c>
      <c r="CG69" s="49">
        <f t="shared" si="0"/>
        <v>16</v>
      </c>
      <c r="CH69" s="49">
        <f t="shared" si="0"/>
        <v>16</v>
      </c>
      <c r="CI69" s="49">
        <f t="shared" si="0"/>
        <v>16</v>
      </c>
      <c r="CJ69" s="49">
        <f t="shared" si="0"/>
        <v>16</v>
      </c>
      <c r="CK69" s="49">
        <f t="shared" si="0"/>
        <v>16</v>
      </c>
      <c r="CL69" s="49">
        <f t="shared" si="0"/>
        <v>16</v>
      </c>
      <c r="CM69" s="49">
        <f t="shared" si="0"/>
        <v>16</v>
      </c>
      <c r="CN69" s="49">
        <f t="shared" si="0"/>
        <v>16</v>
      </c>
      <c r="CO69" s="49">
        <f t="shared" si="0"/>
        <v>16</v>
      </c>
      <c r="CP69" s="49">
        <f t="shared" si="0"/>
        <v>16</v>
      </c>
      <c r="CQ69" s="49">
        <f t="shared" si="0"/>
        <v>16</v>
      </c>
      <c r="CR69" s="49">
        <f t="shared" si="0"/>
        <v>16</v>
      </c>
      <c r="CS69" s="49">
        <f t="shared" si="0"/>
        <v>16</v>
      </c>
      <c r="CT69" s="49">
        <f t="shared" si="0"/>
        <v>16</v>
      </c>
      <c r="CU69" s="49">
        <f t="shared" si="0"/>
        <v>16</v>
      </c>
      <c r="CV69" s="49">
        <f t="shared" si="0"/>
        <v>16</v>
      </c>
      <c r="CW69" s="49">
        <f t="shared" si="0"/>
        <v>16</v>
      </c>
      <c r="CX69" s="49">
        <f t="shared" si="0"/>
        <v>16</v>
      </c>
      <c r="CY69" s="49">
        <f t="shared" si="0"/>
        <v>16</v>
      </c>
      <c r="CZ69" s="49">
        <f t="shared" si="0"/>
        <v>16</v>
      </c>
      <c r="DA69" s="49">
        <f t="shared" si="0"/>
        <v>16</v>
      </c>
      <c r="DB69" s="49">
        <f t="shared" si="0"/>
        <v>16</v>
      </c>
      <c r="DC69" s="49">
        <f t="shared" si="0"/>
        <v>16</v>
      </c>
      <c r="DD69" s="49">
        <f t="shared" si="0"/>
        <v>16</v>
      </c>
      <c r="DE69" s="49">
        <f t="shared" si="0"/>
        <v>16</v>
      </c>
      <c r="DF69" s="49">
        <f t="shared" si="0"/>
        <v>16</v>
      </c>
      <c r="DG69" s="49">
        <f t="shared" si="0"/>
        <v>16</v>
      </c>
      <c r="DH69" s="49">
        <f t="shared" si="0"/>
        <v>16</v>
      </c>
      <c r="DI69" s="49">
        <f t="shared" si="0"/>
        <v>16</v>
      </c>
      <c r="DJ69" s="49">
        <f t="shared" si="0"/>
        <v>16</v>
      </c>
      <c r="DK69" s="49">
        <f t="shared" si="0"/>
        <v>16</v>
      </c>
      <c r="DL69" s="49">
        <f t="shared" si="0"/>
        <v>16</v>
      </c>
      <c r="DM69" s="49">
        <f t="shared" si="0"/>
        <v>16</v>
      </c>
      <c r="DN69" s="49">
        <f t="shared" si="0"/>
        <v>16</v>
      </c>
      <c r="DO69" s="49">
        <f t="shared" si="0"/>
        <v>16</v>
      </c>
      <c r="DP69" s="49">
        <f t="shared" si="0"/>
        <v>16</v>
      </c>
      <c r="DQ69" s="49">
        <f t="shared" si="0"/>
        <v>16</v>
      </c>
      <c r="DR69" s="49">
        <f t="shared" si="0"/>
        <v>16</v>
      </c>
      <c r="DS69" s="49">
        <f t="shared" si="0"/>
        <v>16</v>
      </c>
      <c r="DT69" s="49">
        <f t="shared" si="0"/>
        <v>16</v>
      </c>
      <c r="DU69" s="49">
        <f t="shared" ref="DU69:EG69" si="1">DU70/4</f>
        <v>16</v>
      </c>
      <c r="DV69" s="49">
        <f t="shared" si="1"/>
        <v>16</v>
      </c>
      <c r="DW69" s="49">
        <f t="shared" si="1"/>
        <v>16</v>
      </c>
      <c r="DX69" s="49">
        <f t="shared" si="1"/>
        <v>16</v>
      </c>
      <c r="DY69" s="49">
        <f t="shared" si="1"/>
        <v>16</v>
      </c>
      <c r="EA69" s="49">
        <f t="shared" si="1"/>
        <v>16</v>
      </c>
      <c r="EB69" s="49">
        <f t="shared" si="1"/>
        <v>16</v>
      </c>
      <c r="EC69" s="49">
        <f t="shared" si="1"/>
        <v>16</v>
      </c>
      <c r="ED69" s="49">
        <f t="shared" si="1"/>
        <v>16</v>
      </c>
      <c r="EE69" s="49">
        <f t="shared" si="1"/>
        <v>16</v>
      </c>
      <c r="EF69" s="49">
        <f t="shared" si="1"/>
        <v>16</v>
      </c>
      <c r="EG69" s="49">
        <f t="shared" si="1"/>
        <v>16</v>
      </c>
      <c r="EH69" s="49">
        <f t="shared" ref="EH69:HX69" si="2">EH70/4</f>
        <v>16</v>
      </c>
      <c r="EI69" s="49">
        <f t="shared" si="2"/>
        <v>16</v>
      </c>
      <c r="EJ69" s="49">
        <f t="shared" si="2"/>
        <v>16</v>
      </c>
      <c r="EK69" s="49">
        <f t="shared" si="2"/>
        <v>16</v>
      </c>
      <c r="EL69" s="49">
        <f t="shared" si="2"/>
        <v>16</v>
      </c>
      <c r="EM69" s="49">
        <f t="shared" si="2"/>
        <v>16</v>
      </c>
      <c r="EN69" s="49">
        <f t="shared" si="2"/>
        <v>16</v>
      </c>
      <c r="EO69" s="49">
        <f t="shared" si="2"/>
        <v>16</v>
      </c>
      <c r="EP69" s="49">
        <f t="shared" si="2"/>
        <v>16</v>
      </c>
      <c r="EQ69" s="49">
        <f t="shared" si="2"/>
        <v>16</v>
      </c>
      <c r="ER69" s="49">
        <f t="shared" si="2"/>
        <v>16</v>
      </c>
      <c r="ES69" s="49">
        <f t="shared" si="2"/>
        <v>16</v>
      </c>
      <c r="ET69" s="49">
        <f t="shared" si="2"/>
        <v>16</v>
      </c>
      <c r="EU69" s="49">
        <f t="shared" si="2"/>
        <v>16</v>
      </c>
      <c r="EV69" s="49">
        <f t="shared" si="2"/>
        <v>16</v>
      </c>
      <c r="EW69" s="49">
        <f t="shared" si="2"/>
        <v>16</v>
      </c>
      <c r="EX69" s="49">
        <f t="shared" si="2"/>
        <v>16</v>
      </c>
      <c r="EY69" s="49">
        <f t="shared" si="2"/>
        <v>16</v>
      </c>
      <c r="EZ69" s="49">
        <f t="shared" si="2"/>
        <v>16</v>
      </c>
      <c r="FA69" s="49">
        <f t="shared" si="2"/>
        <v>16</v>
      </c>
      <c r="FB69" s="49">
        <f t="shared" si="2"/>
        <v>16</v>
      </c>
      <c r="FC69" s="49">
        <f t="shared" si="2"/>
        <v>16</v>
      </c>
      <c r="FD69" s="49">
        <f t="shared" si="2"/>
        <v>16</v>
      </c>
      <c r="FE69" s="49">
        <f t="shared" si="2"/>
        <v>16</v>
      </c>
      <c r="FF69" s="49">
        <f t="shared" si="2"/>
        <v>16</v>
      </c>
      <c r="FG69" s="49">
        <f t="shared" si="2"/>
        <v>16</v>
      </c>
      <c r="FH69" s="49">
        <f t="shared" si="2"/>
        <v>16</v>
      </c>
      <c r="FI69" s="49">
        <f t="shared" si="2"/>
        <v>16</v>
      </c>
      <c r="FJ69" s="49">
        <f t="shared" si="2"/>
        <v>16</v>
      </c>
      <c r="FK69" s="49">
        <f t="shared" si="2"/>
        <v>16</v>
      </c>
      <c r="FL69" s="49">
        <f t="shared" si="2"/>
        <v>16</v>
      </c>
      <c r="FM69" s="49">
        <f t="shared" si="2"/>
        <v>16</v>
      </c>
      <c r="FN69" s="49">
        <f t="shared" si="2"/>
        <v>16</v>
      </c>
      <c r="FO69" s="49">
        <f t="shared" si="2"/>
        <v>16</v>
      </c>
      <c r="FP69" s="49">
        <f t="shared" si="2"/>
        <v>16</v>
      </c>
      <c r="FQ69" s="49">
        <f t="shared" si="2"/>
        <v>16</v>
      </c>
      <c r="FR69" s="49">
        <f t="shared" si="2"/>
        <v>16</v>
      </c>
      <c r="FS69" s="49">
        <f t="shared" si="2"/>
        <v>16</v>
      </c>
      <c r="FT69" s="49">
        <f t="shared" si="2"/>
        <v>16</v>
      </c>
      <c r="FU69" s="49">
        <f t="shared" si="2"/>
        <v>16</v>
      </c>
      <c r="FV69" s="49">
        <f t="shared" si="2"/>
        <v>16</v>
      </c>
      <c r="FW69" s="49">
        <f t="shared" si="2"/>
        <v>16</v>
      </c>
      <c r="FX69" s="49">
        <f t="shared" si="2"/>
        <v>16</v>
      </c>
      <c r="FY69" s="49">
        <f t="shared" si="2"/>
        <v>16</v>
      </c>
      <c r="FZ69" s="49">
        <f t="shared" si="2"/>
        <v>16</v>
      </c>
      <c r="GA69" s="49">
        <f t="shared" si="2"/>
        <v>16</v>
      </c>
      <c r="GB69" s="49">
        <f t="shared" si="2"/>
        <v>16</v>
      </c>
      <c r="GC69" s="49">
        <f t="shared" si="2"/>
        <v>16</v>
      </c>
      <c r="GD69" s="49">
        <f t="shared" si="2"/>
        <v>16</v>
      </c>
      <c r="GE69" s="49">
        <f t="shared" si="2"/>
        <v>16</v>
      </c>
      <c r="GF69" s="49">
        <f t="shared" si="2"/>
        <v>16</v>
      </c>
      <c r="GG69" s="49">
        <f t="shared" si="2"/>
        <v>16</v>
      </c>
      <c r="GH69" s="49">
        <f t="shared" si="2"/>
        <v>16</v>
      </c>
      <c r="GI69" s="49">
        <f t="shared" si="2"/>
        <v>16</v>
      </c>
      <c r="GJ69" s="49">
        <f t="shared" si="2"/>
        <v>16</v>
      </c>
      <c r="GK69" s="49">
        <f t="shared" si="2"/>
        <v>16</v>
      </c>
      <c r="GL69" s="49">
        <f t="shared" si="2"/>
        <v>16</v>
      </c>
      <c r="GM69" s="49">
        <f t="shared" si="2"/>
        <v>16</v>
      </c>
      <c r="GN69" s="49">
        <f t="shared" si="2"/>
        <v>16</v>
      </c>
      <c r="GO69" s="49">
        <f t="shared" si="2"/>
        <v>16</v>
      </c>
      <c r="GP69" s="49">
        <f t="shared" si="2"/>
        <v>16</v>
      </c>
      <c r="GQ69" s="49">
        <f t="shared" si="2"/>
        <v>16</v>
      </c>
      <c r="GR69" s="49">
        <f t="shared" si="2"/>
        <v>16</v>
      </c>
      <c r="GS69" s="49">
        <f t="shared" si="2"/>
        <v>16</v>
      </c>
      <c r="GT69" s="49">
        <f t="shared" si="2"/>
        <v>16</v>
      </c>
      <c r="GU69" s="49">
        <f t="shared" si="2"/>
        <v>16</v>
      </c>
      <c r="GV69" s="49">
        <f t="shared" si="2"/>
        <v>16</v>
      </c>
      <c r="GW69" s="49">
        <f t="shared" si="2"/>
        <v>16</v>
      </c>
      <c r="GX69" s="49">
        <f t="shared" si="2"/>
        <v>16</v>
      </c>
      <c r="GY69" s="49">
        <f t="shared" si="2"/>
        <v>16</v>
      </c>
      <c r="GZ69" s="49">
        <f t="shared" si="2"/>
        <v>16</v>
      </c>
      <c r="HA69" s="49">
        <f t="shared" si="2"/>
        <v>16</v>
      </c>
      <c r="HB69" s="49">
        <f t="shared" si="2"/>
        <v>16</v>
      </c>
      <c r="HC69" s="49">
        <f t="shared" si="2"/>
        <v>16</v>
      </c>
      <c r="HD69" s="49">
        <f t="shared" si="2"/>
        <v>16</v>
      </c>
      <c r="HE69" s="49">
        <f t="shared" si="2"/>
        <v>16</v>
      </c>
      <c r="HF69" s="49">
        <f t="shared" si="2"/>
        <v>16</v>
      </c>
      <c r="HG69" s="49">
        <f t="shared" si="2"/>
        <v>16</v>
      </c>
      <c r="HH69" s="49">
        <f t="shared" si="2"/>
        <v>16</v>
      </c>
      <c r="HI69" s="49">
        <f t="shared" si="2"/>
        <v>16</v>
      </c>
      <c r="HJ69" s="49">
        <f t="shared" si="2"/>
        <v>16</v>
      </c>
      <c r="HK69" s="49">
        <f t="shared" si="2"/>
        <v>16</v>
      </c>
      <c r="HL69" s="49">
        <f t="shared" si="2"/>
        <v>16</v>
      </c>
      <c r="HM69" s="49">
        <f t="shared" si="2"/>
        <v>16</v>
      </c>
      <c r="HN69" s="49">
        <f t="shared" si="2"/>
        <v>16</v>
      </c>
      <c r="HO69" s="49">
        <f t="shared" si="2"/>
        <v>16</v>
      </c>
      <c r="HP69" s="49">
        <f t="shared" si="2"/>
        <v>16</v>
      </c>
      <c r="HQ69" s="49">
        <f t="shared" si="2"/>
        <v>16</v>
      </c>
      <c r="HR69" s="49">
        <f t="shared" si="2"/>
        <v>11</v>
      </c>
      <c r="HS69" s="49">
        <f t="shared" si="2"/>
        <v>11</v>
      </c>
      <c r="HT69" s="49">
        <f t="shared" si="2"/>
        <v>11</v>
      </c>
      <c r="HU69" s="49">
        <f t="shared" si="2"/>
        <v>11</v>
      </c>
      <c r="HV69" s="49">
        <f t="shared" si="2"/>
        <v>11</v>
      </c>
      <c r="HW69" s="49">
        <f t="shared" si="2"/>
        <v>11</v>
      </c>
      <c r="HX69" s="49">
        <f t="shared" si="2"/>
        <v>11</v>
      </c>
      <c r="HY69" s="49">
        <f t="shared" ref="HY69:JI69" si="3">HY70/4</f>
        <v>11</v>
      </c>
      <c r="HZ69" s="49">
        <f t="shared" si="3"/>
        <v>11</v>
      </c>
      <c r="IA69" s="49">
        <f t="shared" si="3"/>
        <v>11</v>
      </c>
      <c r="IB69" s="49">
        <f t="shared" si="3"/>
        <v>11</v>
      </c>
      <c r="IC69" s="49">
        <f t="shared" si="3"/>
        <v>11</v>
      </c>
      <c r="ID69" s="49">
        <f t="shared" si="3"/>
        <v>11</v>
      </c>
      <c r="IE69" s="49">
        <f t="shared" si="3"/>
        <v>11</v>
      </c>
      <c r="IF69" s="49">
        <f t="shared" si="3"/>
        <v>11</v>
      </c>
      <c r="IG69" s="49">
        <f t="shared" si="3"/>
        <v>11</v>
      </c>
      <c r="IH69" s="49">
        <f t="shared" si="3"/>
        <v>11</v>
      </c>
      <c r="II69" s="49">
        <f t="shared" si="3"/>
        <v>11</v>
      </c>
      <c r="IJ69" s="49">
        <f t="shared" si="3"/>
        <v>11</v>
      </c>
      <c r="IK69" s="49">
        <f t="shared" si="3"/>
        <v>11</v>
      </c>
      <c r="IL69" s="49">
        <f t="shared" si="3"/>
        <v>11</v>
      </c>
      <c r="IM69" s="49">
        <f t="shared" si="3"/>
        <v>11</v>
      </c>
      <c r="IN69" s="49">
        <f t="shared" si="3"/>
        <v>11</v>
      </c>
      <c r="IO69" s="49">
        <f t="shared" si="3"/>
        <v>11</v>
      </c>
      <c r="IP69" s="49">
        <f t="shared" si="3"/>
        <v>11</v>
      </c>
      <c r="IQ69" s="49">
        <f t="shared" si="3"/>
        <v>11</v>
      </c>
      <c r="IR69" s="49">
        <f t="shared" si="3"/>
        <v>11</v>
      </c>
      <c r="IS69" s="49">
        <f t="shared" si="3"/>
        <v>11</v>
      </c>
      <c r="IT69" s="49">
        <f t="shared" si="3"/>
        <v>11</v>
      </c>
      <c r="IU69" s="49">
        <f t="shared" si="3"/>
        <v>11</v>
      </c>
      <c r="IV69" s="49">
        <f t="shared" si="3"/>
        <v>11</v>
      </c>
      <c r="IW69" s="49">
        <f t="shared" si="3"/>
        <v>11</v>
      </c>
      <c r="IX69" s="49">
        <f t="shared" si="3"/>
        <v>11</v>
      </c>
      <c r="IY69" s="49">
        <f t="shared" si="3"/>
        <v>11</v>
      </c>
      <c r="IZ69" s="49">
        <f t="shared" si="3"/>
        <v>11</v>
      </c>
      <c r="JA69" s="49">
        <f t="shared" si="3"/>
        <v>11</v>
      </c>
      <c r="JB69" s="49">
        <f t="shared" si="3"/>
        <v>11</v>
      </c>
      <c r="JC69" s="49">
        <f t="shared" si="3"/>
        <v>11</v>
      </c>
      <c r="JD69" s="49">
        <f t="shared" si="3"/>
        <v>11</v>
      </c>
      <c r="JE69" s="49">
        <f t="shared" si="3"/>
        <v>11</v>
      </c>
      <c r="JF69" s="49">
        <f t="shared" si="3"/>
        <v>11</v>
      </c>
      <c r="JG69" s="49">
        <f t="shared" si="3"/>
        <v>11</v>
      </c>
      <c r="JH69" s="49">
        <f t="shared" si="3"/>
        <v>11</v>
      </c>
      <c r="JI69" s="49">
        <f t="shared" si="3"/>
        <v>11</v>
      </c>
      <c r="JJ69" s="49">
        <f t="shared" ref="JJ69:LA69" si="4">JJ70/4</f>
        <v>9</v>
      </c>
      <c r="JK69" s="49">
        <f t="shared" si="4"/>
        <v>9</v>
      </c>
      <c r="JL69" s="49">
        <f t="shared" si="4"/>
        <v>9</v>
      </c>
      <c r="JM69" s="49">
        <f t="shared" si="4"/>
        <v>9</v>
      </c>
      <c r="JN69" s="49">
        <f t="shared" si="4"/>
        <v>9</v>
      </c>
      <c r="JO69" s="49">
        <f t="shared" si="4"/>
        <v>9</v>
      </c>
      <c r="JP69" s="49">
        <f t="shared" si="4"/>
        <v>9</v>
      </c>
      <c r="JQ69" s="49">
        <f t="shared" si="4"/>
        <v>9</v>
      </c>
      <c r="JR69" s="49">
        <f t="shared" si="4"/>
        <v>9</v>
      </c>
      <c r="JS69" s="49">
        <f t="shared" si="4"/>
        <v>9</v>
      </c>
      <c r="JT69" s="49">
        <f t="shared" si="4"/>
        <v>9</v>
      </c>
      <c r="JU69" s="49">
        <f t="shared" si="4"/>
        <v>9</v>
      </c>
      <c r="JV69" s="49">
        <f t="shared" si="4"/>
        <v>9</v>
      </c>
      <c r="JW69" s="49">
        <f t="shared" si="4"/>
        <v>9</v>
      </c>
      <c r="JX69" s="49">
        <f t="shared" si="4"/>
        <v>9</v>
      </c>
      <c r="JY69" s="49">
        <f t="shared" si="4"/>
        <v>9</v>
      </c>
      <c r="JZ69" s="49">
        <f t="shared" si="4"/>
        <v>9</v>
      </c>
      <c r="KA69" s="49">
        <f t="shared" si="4"/>
        <v>9</v>
      </c>
      <c r="KB69" s="49">
        <f t="shared" si="4"/>
        <v>9</v>
      </c>
      <c r="KC69" s="49">
        <f t="shared" si="4"/>
        <v>9</v>
      </c>
      <c r="KD69" s="49">
        <f t="shared" si="4"/>
        <v>9</v>
      </c>
      <c r="KE69" s="49">
        <f t="shared" si="4"/>
        <v>9</v>
      </c>
      <c r="KF69" s="49">
        <f t="shared" si="4"/>
        <v>9</v>
      </c>
      <c r="KG69" s="49">
        <f t="shared" si="4"/>
        <v>9</v>
      </c>
      <c r="KH69" s="49">
        <f t="shared" si="4"/>
        <v>9</v>
      </c>
      <c r="KI69" s="49">
        <f t="shared" si="4"/>
        <v>9</v>
      </c>
      <c r="KJ69" s="49">
        <f t="shared" si="4"/>
        <v>9</v>
      </c>
      <c r="KK69" s="49">
        <f t="shared" si="4"/>
        <v>9</v>
      </c>
      <c r="KL69" s="49">
        <f t="shared" si="4"/>
        <v>9</v>
      </c>
      <c r="KM69" s="49">
        <f t="shared" si="4"/>
        <v>9</v>
      </c>
      <c r="KN69" s="49">
        <f t="shared" si="4"/>
        <v>9</v>
      </c>
      <c r="KO69" s="49">
        <f t="shared" si="4"/>
        <v>9</v>
      </c>
      <c r="KP69" s="49">
        <f t="shared" si="4"/>
        <v>9</v>
      </c>
      <c r="KQ69" s="49">
        <f t="shared" si="4"/>
        <v>9</v>
      </c>
      <c r="KR69" s="49">
        <f t="shared" si="4"/>
        <v>9</v>
      </c>
      <c r="KS69" s="49">
        <f t="shared" si="4"/>
        <v>9</v>
      </c>
      <c r="KT69" s="49">
        <f t="shared" si="4"/>
        <v>9</v>
      </c>
      <c r="KU69" s="49">
        <f t="shared" si="4"/>
        <v>9</v>
      </c>
      <c r="KV69" s="49">
        <f t="shared" si="4"/>
        <v>9</v>
      </c>
      <c r="KW69" s="49">
        <f t="shared" si="4"/>
        <v>9</v>
      </c>
      <c r="KX69" s="49">
        <f t="shared" si="4"/>
        <v>9</v>
      </c>
      <c r="KY69" s="49">
        <f t="shared" si="4"/>
        <v>9</v>
      </c>
      <c r="KZ69" s="49">
        <f t="shared" si="4"/>
        <v>9</v>
      </c>
      <c r="LA69" s="49">
        <f t="shared" si="4"/>
        <v>9</v>
      </c>
      <c r="LB69" s="213">
        <f>SUM(F69:LA69)</f>
        <v>4384</v>
      </c>
    </row>
    <row r="70" spans="2:314" ht="10.5" customHeight="1">
      <c r="F70" s="49">
        <f t="shared" ref="F70:AI70" si="5">COUNTA(F5:F68)</f>
        <v>64</v>
      </c>
      <c r="G70" s="49">
        <f t="shared" si="5"/>
        <v>64</v>
      </c>
      <c r="H70" s="49">
        <f t="shared" si="5"/>
        <v>64</v>
      </c>
      <c r="I70" s="49">
        <f t="shared" si="5"/>
        <v>64</v>
      </c>
      <c r="J70" s="49">
        <f t="shared" si="5"/>
        <v>64</v>
      </c>
      <c r="K70" s="49">
        <f t="shared" si="5"/>
        <v>64</v>
      </c>
      <c r="L70" s="49">
        <f t="shared" si="5"/>
        <v>64</v>
      </c>
      <c r="M70" s="49">
        <f t="shared" si="5"/>
        <v>64</v>
      </c>
      <c r="N70" s="49">
        <f t="shared" si="5"/>
        <v>64</v>
      </c>
      <c r="O70" s="49">
        <f t="shared" si="5"/>
        <v>64</v>
      </c>
      <c r="P70" s="49">
        <f t="shared" si="5"/>
        <v>64</v>
      </c>
      <c r="Q70" s="49">
        <f t="shared" si="5"/>
        <v>64</v>
      </c>
      <c r="R70" s="49">
        <f t="shared" si="5"/>
        <v>64</v>
      </c>
      <c r="S70" s="49">
        <f t="shared" si="5"/>
        <v>64</v>
      </c>
      <c r="T70" s="49">
        <f t="shared" si="5"/>
        <v>64</v>
      </c>
      <c r="U70" s="49">
        <f t="shared" si="5"/>
        <v>64</v>
      </c>
      <c r="V70" s="49">
        <f t="shared" si="5"/>
        <v>64</v>
      </c>
      <c r="W70" s="49">
        <f t="shared" si="5"/>
        <v>64</v>
      </c>
      <c r="X70" s="49">
        <f t="shared" si="5"/>
        <v>64</v>
      </c>
      <c r="Y70" s="49">
        <f t="shared" si="5"/>
        <v>64</v>
      </c>
      <c r="Z70" s="49">
        <f t="shared" si="5"/>
        <v>64</v>
      </c>
      <c r="AA70" s="49">
        <f t="shared" si="5"/>
        <v>64</v>
      </c>
      <c r="AB70" s="49">
        <f t="shared" si="5"/>
        <v>64</v>
      </c>
      <c r="AC70" s="49">
        <f t="shared" si="5"/>
        <v>64</v>
      </c>
      <c r="AD70" s="49">
        <f t="shared" si="5"/>
        <v>64</v>
      </c>
      <c r="AE70" s="49">
        <f t="shared" si="5"/>
        <v>64</v>
      </c>
      <c r="AF70" s="49">
        <f t="shared" si="5"/>
        <v>64</v>
      </c>
      <c r="AG70" s="49">
        <f t="shared" si="5"/>
        <v>64</v>
      </c>
      <c r="AH70" s="49">
        <f t="shared" si="5"/>
        <v>64</v>
      </c>
      <c r="AI70" s="49">
        <f t="shared" si="5"/>
        <v>64</v>
      </c>
      <c r="AJ70" s="49">
        <f t="shared" ref="AJ70:CP70" si="6">COUNTA(AJ5:AJ68)</f>
        <v>64</v>
      </c>
      <c r="AK70" s="49">
        <f t="shared" si="6"/>
        <v>64</v>
      </c>
      <c r="AL70" s="49">
        <f t="shared" si="6"/>
        <v>64</v>
      </c>
      <c r="AM70" s="49">
        <f t="shared" si="6"/>
        <v>64</v>
      </c>
      <c r="AN70" s="49">
        <f t="shared" si="6"/>
        <v>64</v>
      </c>
      <c r="AO70" s="49">
        <f t="shared" si="6"/>
        <v>64</v>
      </c>
      <c r="AP70" s="49">
        <f t="shared" ref="AP70:AR70" si="7">COUNTA(AP5:AP68)</f>
        <v>64</v>
      </c>
      <c r="AQ70" s="49">
        <f t="shared" si="7"/>
        <v>64</v>
      </c>
      <c r="AR70" s="49">
        <f t="shared" si="7"/>
        <v>64</v>
      </c>
      <c r="AS70" s="49">
        <f t="shared" ref="AS70:AU70" si="8">COUNTA(AS5:AS68)</f>
        <v>64</v>
      </c>
      <c r="AT70" s="49">
        <f t="shared" si="8"/>
        <v>64</v>
      </c>
      <c r="AU70" s="49">
        <f t="shared" si="8"/>
        <v>64</v>
      </c>
      <c r="AV70" s="49">
        <f t="shared" si="6"/>
        <v>64</v>
      </c>
      <c r="AW70" s="49">
        <f t="shared" si="6"/>
        <v>64</v>
      </c>
      <c r="AX70" s="49">
        <f t="shared" si="6"/>
        <v>64</v>
      </c>
      <c r="AY70" s="49">
        <f t="shared" ref="AY70:CO70" si="9">COUNTA(AY5:AY68)</f>
        <v>64</v>
      </c>
      <c r="AZ70" s="49">
        <f t="shared" si="9"/>
        <v>64</v>
      </c>
      <c r="BA70" s="49">
        <f t="shared" si="9"/>
        <v>64</v>
      </c>
      <c r="BB70" s="49">
        <f t="shared" si="9"/>
        <v>64</v>
      </c>
      <c r="BC70" s="49">
        <f t="shared" si="9"/>
        <v>64</v>
      </c>
      <c r="BD70" s="49">
        <f t="shared" si="9"/>
        <v>64</v>
      </c>
      <c r="BE70" s="49">
        <f t="shared" si="9"/>
        <v>64</v>
      </c>
      <c r="BF70" s="49">
        <f t="shared" si="9"/>
        <v>64</v>
      </c>
      <c r="BG70" s="49">
        <f t="shared" si="9"/>
        <v>64</v>
      </c>
      <c r="BH70" s="49">
        <f t="shared" si="9"/>
        <v>64</v>
      </c>
      <c r="BI70" s="49">
        <f t="shared" si="9"/>
        <v>64</v>
      </c>
      <c r="BJ70" s="49">
        <f t="shared" si="9"/>
        <v>64</v>
      </c>
      <c r="BK70" s="49">
        <f t="shared" si="9"/>
        <v>64</v>
      </c>
      <c r="BL70" s="49">
        <f t="shared" si="9"/>
        <v>64</v>
      </c>
      <c r="BM70" s="49">
        <f t="shared" si="9"/>
        <v>64</v>
      </c>
      <c r="BN70" s="49">
        <f t="shared" si="9"/>
        <v>64</v>
      </c>
      <c r="BO70" s="49">
        <f t="shared" si="9"/>
        <v>64</v>
      </c>
      <c r="BP70" s="49">
        <f t="shared" si="9"/>
        <v>64</v>
      </c>
      <c r="BQ70" s="49">
        <f t="shared" si="9"/>
        <v>64</v>
      </c>
      <c r="BR70" s="49">
        <f t="shared" si="9"/>
        <v>64</v>
      </c>
      <c r="BS70" s="49">
        <f t="shared" si="9"/>
        <v>64</v>
      </c>
      <c r="BT70" s="49">
        <f t="shared" si="9"/>
        <v>64</v>
      </c>
      <c r="BU70" s="49">
        <f t="shared" si="9"/>
        <v>64</v>
      </c>
      <c r="BV70" s="49">
        <f t="shared" si="9"/>
        <v>64</v>
      </c>
      <c r="BW70" s="49">
        <f t="shared" si="9"/>
        <v>64</v>
      </c>
      <c r="BX70" s="49">
        <f t="shared" si="9"/>
        <v>64</v>
      </c>
      <c r="BY70" s="49">
        <f t="shared" si="9"/>
        <v>64</v>
      </c>
      <c r="BZ70" s="49">
        <f t="shared" si="9"/>
        <v>64</v>
      </c>
      <c r="CA70" s="49">
        <f t="shared" si="9"/>
        <v>64</v>
      </c>
      <c r="CB70" s="49">
        <f t="shared" si="9"/>
        <v>64</v>
      </c>
      <c r="CC70" s="49">
        <f t="shared" si="9"/>
        <v>64</v>
      </c>
      <c r="CD70" s="49">
        <f t="shared" si="9"/>
        <v>64</v>
      </c>
      <c r="CE70" s="49">
        <f t="shared" si="9"/>
        <v>64</v>
      </c>
      <c r="CF70" s="49">
        <f t="shared" si="9"/>
        <v>64</v>
      </c>
      <c r="CG70" s="49">
        <f t="shared" si="9"/>
        <v>64</v>
      </c>
      <c r="CH70" s="49">
        <f t="shared" ref="CH70:CI70" si="10">COUNTA(CH5:CH68)</f>
        <v>64</v>
      </c>
      <c r="CI70" s="49">
        <f t="shared" si="10"/>
        <v>64</v>
      </c>
      <c r="CJ70" s="49">
        <f t="shared" ref="CJ70:CK70" si="11">COUNTA(CJ5:CJ68)</f>
        <v>64</v>
      </c>
      <c r="CK70" s="49">
        <f t="shared" si="11"/>
        <v>64</v>
      </c>
      <c r="CL70" s="49">
        <f t="shared" si="9"/>
        <v>64</v>
      </c>
      <c r="CM70" s="49">
        <f t="shared" si="9"/>
        <v>64</v>
      </c>
      <c r="CN70" s="49">
        <f t="shared" si="9"/>
        <v>64</v>
      </c>
      <c r="CO70" s="49">
        <f t="shared" si="9"/>
        <v>64</v>
      </c>
      <c r="CP70" s="49">
        <f t="shared" si="6"/>
        <v>64</v>
      </c>
      <c r="CQ70" s="49">
        <f t="shared" ref="CQ70:EG70" si="12">COUNTA(CQ5:CQ68)</f>
        <v>64</v>
      </c>
      <c r="CR70" s="49">
        <f t="shared" si="12"/>
        <v>64</v>
      </c>
      <c r="CS70" s="49">
        <f t="shared" si="12"/>
        <v>64</v>
      </c>
      <c r="CT70" s="49">
        <f t="shared" si="12"/>
        <v>64</v>
      </c>
      <c r="CU70" s="49">
        <f t="shared" si="12"/>
        <v>64</v>
      </c>
      <c r="CV70" s="49">
        <f t="shared" si="12"/>
        <v>64</v>
      </c>
      <c r="CW70" s="49">
        <f t="shared" si="12"/>
        <v>64</v>
      </c>
      <c r="CX70" s="49">
        <f t="shared" si="12"/>
        <v>64</v>
      </c>
      <c r="CY70" s="49">
        <f t="shared" si="12"/>
        <v>64</v>
      </c>
      <c r="CZ70" s="49">
        <f t="shared" si="12"/>
        <v>64</v>
      </c>
      <c r="DA70" s="49">
        <f t="shared" si="12"/>
        <v>64</v>
      </c>
      <c r="DB70" s="49">
        <f t="shared" si="12"/>
        <v>64</v>
      </c>
      <c r="DC70" s="49">
        <f t="shared" si="12"/>
        <v>64</v>
      </c>
      <c r="DD70" s="49">
        <f t="shared" si="12"/>
        <v>64</v>
      </c>
      <c r="DE70" s="49">
        <f t="shared" si="12"/>
        <v>64</v>
      </c>
      <c r="DF70" s="49">
        <f t="shared" si="12"/>
        <v>64</v>
      </c>
      <c r="DG70" s="49">
        <f t="shared" si="12"/>
        <v>64</v>
      </c>
      <c r="DH70" s="49">
        <f t="shared" si="12"/>
        <v>64</v>
      </c>
      <c r="DI70" s="49">
        <f t="shared" si="12"/>
        <v>64</v>
      </c>
      <c r="DJ70" s="49">
        <f t="shared" si="12"/>
        <v>64</v>
      </c>
      <c r="DK70" s="49">
        <f t="shared" si="12"/>
        <v>64</v>
      </c>
      <c r="DL70" s="49">
        <f t="shared" si="12"/>
        <v>64</v>
      </c>
      <c r="DM70" s="49">
        <f t="shared" si="12"/>
        <v>64</v>
      </c>
      <c r="DN70" s="49">
        <f t="shared" si="12"/>
        <v>64</v>
      </c>
      <c r="DO70" s="49">
        <f t="shared" si="12"/>
        <v>64</v>
      </c>
      <c r="DP70" s="49">
        <f t="shared" si="12"/>
        <v>64</v>
      </c>
      <c r="DQ70" s="49">
        <f t="shared" si="12"/>
        <v>64</v>
      </c>
      <c r="DR70" s="49">
        <f t="shared" si="12"/>
        <v>64</v>
      </c>
      <c r="DS70" s="49">
        <f t="shared" si="12"/>
        <v>64</v>
      </c>
      <c r="DT70" s="49">
        <f t="shared" si="12"/>
        <v>64</v>
      </c>
      <c r="DU70" s="49">
        <f t="shared" si="12"/>
        <v>64</v>
      </c>
      <c r="DV70" s="49">
        <f t="shared" si="12"/>
        <v>64</v>
      </c>
      <c r="DW70" s="49">
        <f t="shared" si="12"/>
        <v>64</v>
      </c>
      <c r="DX70" s="49">
        <f t="shared" si="12"/>
        <v>64</v>
      </c>
      <c r="DY70" s="49">
        <f t="shared" si="12"/>
        <v>64</v>
      </c>
      <c r="EA70" s="49">
        <f t="shared" ref="EA70:EC70" si="13">COUNTA(EA5:EA68)</f>
        <v>64</v>
      </c>
      <c r="EB70" s="49">
        <f t="shared" si="13"/>
        <v>64</v>
      </c>
      <c r="EC70" s="49">
        <f t="shared" si="13"/>
        <v>64</v>
      </c>
      <c r="ED70" s="49">
        <f t="shared" si="12"/>
        <v>64</v>
      </c>
      <c r="EE70" s="49">
        <f t="shared" si="12"/>
        <v>64</v>
      </c>
      <c r="EF70" s="49">
        <f t="shared" si="12"/>
        <v>64</v>
      </c>
      <c r="EG70" s="49">
        <f t="shared" si="12"/>
        <v>64</v>
      </c>
      <c r="EH70" s="49">
        <f t="shared" ref="EH70:HR70" si="14">COUNTA(EH5:EH68)</f>
        <v>64</v>
      </c>
      <c r="EI70" s="49">
        <f t="shared" ref="EI70:FW70" si="15">COUNTA(EI5:EI68)</f>
        <v>64</v>
      </c>
      <c r="EJ70" s="49">
        <f t="shared" si="15"/>
        <v>64</v>
      </c>
      <c r="EK70" s="49">
        <f t="shared" si="15"/>
        <v>64</v>
      </c>
      <c r="EL70" s="49">
        <f t="shared" si="15"/>
        <v>64</v>
      </c>
      <c r="EM70" s="49">
        <f t="shared" si="15"/>
        <v>64</v>
      </c>
      <c r="EN70" s="49">
        <f t="shared" si="15"/>
        <v>64</v>
      </c>
      <c r="EO70" s="49">
        <f t="shared" si="15"/>
        <v>64</v>
      </c>
      <c r="EP70" s="49">
        <f t="shared" si="15"/>
        <v>64</v>
      </c>
      <c r="EQ70" s="49">
        <f t="shared" si="15"/>
        <v>64</v>
      </c>
      <c r="ER70" s="49">
        <f t="shared" si="15"/>
        <v>64</v>
      </c>
      <c r="ES70" s="49">
        <f t="shared" si="15"/>
        <v>64</v>
      </c>
      <c r="ET70" s="49">
        <f t="shared" si="15"/>
        <v>64</v>
      </c>
      <c r="EU70" s="49">
        <f t="shared" si="15"/>
        <v>64</v>
      </c>
      <c r="EV70" s="49">
        <f t="shared" si="15"/>
        <v>64</v>
      </c>
      <c r="EW70" s="49">
        <f t="shared" si="15"/>
        <v>64</v>
      </c>
      <c r="EX70" s="49">
        <f t="shared" si="15"/>
        <v>64</v>
      </c>
      <c r="EY70" s="49">
        <f t="shared" si="15"/>
        <v>64</v>
      </c>
      <c r="EZ70" s="49">
        <f t="shared" si="15"/>
        <v>64</v>
      </c>
      <c r="FA70" s="49">
        <f t="shared" si="15"/>
        <v>64</v>
      </c>
      <c r="FB70" s="49">
        <f t="shared" si="15"/>
        <v>64</v>
      </c>
      <c r="FC70" s="49">
        <f t="shared" si="15"/>
        <v>64</v>
      </c>
      <c r="FD70" s="49">
        <f t="shared" si="15"/>
        <v>64</v>
      </c>
      <c r="FE70" s="49">
        <f t="shared" si="15"/>
        <v>64</v>
      </c>
      <c r="FF70" s="49">
        <f t="shared" si="15"/>
        <v>64</v>
      </c>
      <c r="FG70" s="49">
        <f t="shared" si="15"/>
        <v>64</v>
      </c>
      <c r="FH70" s="49">
        <f t="shared" si="15"/>
        <v>64</v>
      </c>
      <c r="FI70" s="49">
        <f t="shared" si="15"/>
        <v>64</v>
      </c>
      <c r="FJ70" s="49">
        <f t="shared" si="15"/>
        <v>64</v>
      </c>
      <c r="FK70" s="49">
        <f t="shared" si="15"/>
        <v>64</v>
      </c>
      <c r="FL70" s="49">
        <f t="shared" si="15"/>
        <v>64</v>
      </c>
      <c r="FM70" s="49">
        <f t="shared" si="15"/>
        <v>64</v>
      </c>
      <c r="FN70" s="49">
        <f t="shared" si="15"/>
        <v>64</v>
      </c>
      <c r="FO70" s="49">
        <f t="shared" si="15"/>
        <v>64</v>
      </c>
      <c r="FP70" s="49">
        <f t="shared" si="15"/>
        <v>64</v>
      </c>
      <c r="FQ70" s="49">
        <f t="shared" si="15"/>
        <v>64</v>
      </c>
      <c r="FR70" s="49">
        <f t="shared" ref="FR70:FT70" si="16">COUNTA(FR5:FR68)</f>
        <v>64</v>
      </c>
      <c r="FS70" s="49">
        <f t="shared" si="16"/>
        <v>64</v>
      </c>
      <c r="FT70" s="49">
        <f t="shared" si="16"/>
        <v>64</v>
      </c>
      <c r="FU70" s="49">
        <f t="shared" ref="FU70" si="17">COUNTA(FU5:FU68)</f>
        <v>64</v>
      </c>
      <c r="FV70" s="49">
        <f t="shared" si="15"/>
        <v>64</v>
      </c>
      <c r="FW70" s="49">
        <f t="shared" si="15"/>
        <v>64</v>
      </c>
      <c r="FX70" s="49">
        <f t="shared" si="14"/>
        <v>64</v>
      </c>
      <c r="FY70" s="49">
        <f t="shared" si="14"/>
        <v>64</v>
      </c>
      <c r="FZ70" s="49">
        <f t="shared" si="14"/>
        <v>64</v>
      </c>
      <c r="GA70" s="49">
        <f t="shared" ref="GA70:HP70" si="18">COUNTA(GA5:GA68)</f>
        <v>64</v>
      </c>
      <c r="GB70" s="49">
        <f t="shared" si="18"/>
        <v>64</v>
      </c>
      <c r="GC70" s="49">
        <f t="shared" si="18"/>
        <v>64</v>
      </c>
      <c r="GD70" s="49">
        <f t="shared" si="18"/>
        <v>64</v>
      </c>
      <c r="GE70" s="49">
        <f t="shared" si="18"/>
        <v>64</v>
      </c>
      <c r="GF70" s="49">
        <f t="shared" si="18"/>
        <v>64</v>
      </c>
      <c r="GG70" s="49">
        <f t="shared" si="18"/>
        <v>64</v>
      </c>
      <c r="GH70" s="49">
        <f t="shared" si="18"/>
        <v>64</v>
      </c>
      <c r="GI70" s="49">
        <f t="shared" si="18"/>
        <v>64</v>
      </c>
      <c r="GJ70" s="49">
        <f t="shared" si="18"/>
        <v>64</v>
      </c>
      <c r="GK70" s="49">
        <f t="shared" si="18"/>
        <v>64</v>
      </c>
      <c r="GL70" s="49">
        <f t="shared" si="18"/>
        <v>64</v>
      </c>
      <c r="GM70" s="49">
        <f t="shared" si="18"/>
        <v>64</v>
      </c>
      <c r="GN70" s="49">
        <f t="shared" si="18"/>
        <v>64</v>
      </c>
      <c r="GO70" s="49">
        <f t="shared" si="18"/>
        <v>64</v>
      </c>
      <c r="GP70" s="49">
        <f t="shared" si="18"/>
        <v>64</v>
      </c>
      <c r="GQ70" s="49">
        <f t="shared" si="18"/>
        <v>64</v>
      </c>
      <c r="GR70" s="49">
        <f t="shared" si="18"/>
        <v>64</v>
      </c>
      <c r="GS70" s="49">
        <f t="shared" si="18"/>
        <v>64</v>
      </c>
      <c r="GT70" s="49">
        <f t="shared" si="18"/>
        <v>64</v>
      </c>
      <c r="GU70" s="49">
        <f t="shared" si="18"/>
        <v>64</v>
      </c>
      <c r="GV70" s="49">
        <f t="shared" si="18"/>
        <v>64</v>
      </c>
      <c r="GW70" s="49">
        <f t="shared" si="18"/>
        <v>64</v>
      </c>
      <c r="GX70" s="49">
        <f t="shared" si="18"/>
        <v>64</v>
      </c>
      <c r="GY70" s="49">
        <f t="shared" si="18"/>
        <v>64</v>
      </c>
      <c r="GZ70" s="49">
        <f t="shared" si="18"/>
        <v>64</v>
      </c>
      <c r="HA70" s="49">
        <f t="shared" si="18"/>
        <v>64</v>
      </c>
      <c r="HB70" s="49">
        <f t="shared" si="18"/>
        <v>64</v>
      </c>
      <c r="HC70" s="49">
        <f t="shared" si="18"/>
        <v>64</v>
      </c>
      <c r="HD70" s="49">
        <f t="shared" si="18"/>
        <v>64</v>
      </c>
      <c r="HE70" s="49">
        <f t="shared" si="18"/>
        <v>64</v>
      </c>
      <c r="HF70" s="49">
        <f t="shared" si="18"/>
        <v>64</v>
      </c>
      <c r="HG70" s="49">
        <f t="shared" si="18"/>
        <v>64</v>
      </c>
      <c r="HH70" s="49">
        <f t="shared" si="18"/>
        <v>64</v>
      </c>
      <c r="HI70" s="49">
        <f t="shared" ref="HI70:HM70" si="19">COUNTA(HI5:HI68)</f>
        <v>64</v>
      </c>
      <c r="HJ70" s="49">
        <f t="shared" si="19"/>
        <v>64</v>
      </c>
      <c r="HK70" s="49">
        <f t="shared" si="19"/>
        <v>64</v>
      </c>
      <c r="HL70" s="49">
        <f t="shared" si="19"/>
        <v>64</v>
      </c>
      <c r="HM70" s="49">
        <f t="shared" si="19"/>
        <v>64</v>
      </c>
      <c r="HN70" s="49">
        <f t="shared" ref="HN70" si="20">COUNTA(HN5:HN68)</f>
        <v>64</v>
      </c>
      <c r="HO70" s="49">
        <f t="shared" si="18"/>
        <v>64</v>
      </c>
      <c r="HP70" s="49">
        <f t="shared" si="18"/>
        <v>64</v>
      </c>
      <c r="HQ70" s="49">
        <f t="shared" si="14"/>
        <v>64</v>
      </c>
      <c r="HR70" s="49">
        <f t="shared" si="14"/>
        <v>44</v>
      </c>
      <c r="HS70" s="49">
        <f t="shared" ref="HS70:JI70" si="21">COUNTA(HS5:HS68)</f>
        <v>44</v>
      </c>
      <c r="HT70" s="49">
        <f t="shared" si="21"/>
        <v>44</v>
      </c>
      <c r="HU70" s="49">
        <f t="shared" si="21"/>
        <v>44</v>
      </c>
      <c r="HV70" s="49">
        <f t="shared" si="21"/>
        <v>44</v>
      </c>
      <c r="HW70" s="49">
        <f t="shared" si="21"/>
        <v>44</v>
      </c>
      <c r="HX70" s="49">
        <f t="shared" si="21"/>
        <v>44</v>
      </c>
      <c r="HY70" s="49">
        <f t="shared" si="21"/>
        <v>44</v>
      </c>
      <c r="HZ70" s="49">
        <f t="shared" si="21"/>
        <v>44</v>
      </c>
      <c r="IA70" s="49">
        <f t="shared" si="21"/>
        <v>44</v>
      </c>
      <c r="IB70" s="49">
        <f t="shared" si="21"/>
        <v>44</v>
      </c>
      <c r="IC70" s="49">
        <f t="shared" si="21"/>
        <v>44</v>
      </c>
      <c r="ID70" s="49">
        <f t="shared" si="21"/>
        <v>44</v>
      </c>
      <c r="IE70" s="49">
        <f t="shared" si="21"/>
        <v>44</v>
      </c>
      <c r="IF70" s="49">
        <f t="shared" si="21"/>
        <v>44</v>
      </c>
      <c r="IG70" s="49">
        <f t="shared" ref="IG70:JE70" si="22">COUNTA(IG5:IG68)</f>
        <v>44</v>
      </c>
      <c r="IH70" s="49">
        <f t="shared" si="22"/>
        <v>44</v>
      </c>
      <c r="II70" s="49">
        <f t="shared" si="22"/>
        <v>44</v>
      </c>
      <c r="IJ70" s="49">
        <f t="shared" si="22"/>
        <v>44</v>
      </c>
      <c r="IK70" s="49">
        <f t="shared" si="22"/>
        <v>44</v>
      </c>
      <c r="IL70" s="49">
        <f t="shared" si="22"/>
        <v>44</v>
      </c>
      <c r="IM70" s="49">
        <f t="shared" si="22"/>
        <v>44</v>
      </c>
      <c r="IN70" s="49">
        <f t="shared" si="22"/>
        <v>44</v>
      </c>
      <c r="IO70" s="49">
        <f t="shared" si="22"/>
        <v>44</v>
      </c>
      <c r="IP70" s="49">
        <f t="shared" si="22"/>
        <v>44</v>
      </c>
      <c r="IQ70" s="49">
        <f t="shared" si="22"/>
        <v>44</v>
      </c>
      <c r="IR70" s="49">
        <f t="shared" si="22"/>
        <v>44</v>
      </c>
      <c r="IS70" s="49">
        <f t="shared" si="22"/>
        <v>44</v>
      </c>
      <c r="IT70" s="49">
        <f t="shared" si="22"/>
        <v>44</v>
      </c>
      <c r="IU70" s="49">
        <f t="shared" si="22"/>
        <v>44</v>
      </c>
      <c r="IV70" s="49">
        <f t="shared" si="22"/>
        <v>44</v>
      </c>
      <c r="IW70" s="49">
        <f t="shared" si="22"/>
        <v>44</v>
      </c>
      <c r="IX70" s="49">
        <f t="shared" si="22"/>
        <v>44</v>
      </c>
      <c r="IY70" s="49">
        <f t="shared" si="22"/>
        <v>44</v>
      </c>
      <c r="IZ70" s="49">
        <f t="shared" si="22"/>
        <v>44</v>
      </c>
      <c r="JA70" s="49">
        <f t="shared" ref="JA70:JC70" si="23">COUNTA(JA5:JA68)</f>
        <v>44</v>
      </c>
      <c r="JB70" s="49">
        <f t="shared" si="23"/>
        <v>44</v>
      </c>
      <c r="JC70" s="49">
        <f t="shared" si="23"/>
        <v>44</v>
      </c>
      <c r="JD70" s="49">
        <f t="shared" si="22"/>
        <v>44</v>
      </c>
      <c r="JE70" s="49">
        <f t="shared" si="22"/>
        <v>44</v>
      </c>
      <c r="JF70" s="49">
        <f t="shared" si="21"/>
        <v>44</v>
      </c>
      <c r="JG70" s="49">
        <f t="shared" si="21"/>
        <v>44</v>
      </c>
      <c r="JH70" s="49">
        <f t="shared" si="21"/>
        <v>44</v>
      </c>
      <c r="JI70" s="49">
        <f t="shared" si="21"/>
        <v>44</v>
      </c>
      <c r="JJ70" s="49">
        <f>COUNTA(JJ5:JJ68)</f>
        <v>36</v>
      </c>
      <c r="JK70" s="49">
        <f t="shared" ref="JK70:LA70" si="24">COUNTA(JK5:JK68)</f>
        <v>36</v>
      </c>
      <c r="JL70" s="49">
        <f t="shared" si="24"/>
        <v>36</v>
      </c>
      <c r="JM70" s="49">
        <f t="shared" si="24"/>
        <v>36</v>
      </c>
      <c r="JN70" s="49">
        <f t="shared" si="24"/>
        <v>36</v>
      </c>
      <c r="JO70" s="49">
        <f t="shared" si="24"/>
        <v>36</v>
      </c>
      <c r="JP70" s="49">
        <f t="shared" si="24"/>
        <v>36</v>
      </c>
      <c r="JQ70" s="49">
        <f t="shared" si="24"/>
        <v>36</v>
      </c>
      <c r="JR70" s="49">
        <f t="shared" si="24"/>
        <v>36</v>
      </c>
      <c r="JS70" s="49">
        <f t="shared" si="24"/>
        <v>36</v>
      </c>
      <c r="JT70" s="49">
        <f t="shared" si="24"/>
        <v>36</v>
      </c>
      <c r="JU70" s="49">
        <f t="shared" si="24"/>
        <v>36</v>
      </c>
      <c r="JV70" s="49">
        <f t="shared" si="24"/>
        <v>36</v>
      </c>
      <c r="JW70" s="49">
        <f t="shared" si="24"/>
        <v>36</v>
      </c>
      <c r="JX70" s="49">
        <f t="shared" si="24"/>
        <v>36</v>
      </c>
      <c r="JY70" s="49">
        <f t="shared" si="24"/>
        <v>36</v>
      </c>
      <c r="JZ70" s="49">
        <f t="shared" si="24"/>
        <v>36</v>
      </c>
      <c r="KA70" s="49">
        <f t="shared" si="24"/>
        <v>36</v>
      </c>
      <c r="KB70" s="49">
        <f t="shared" si="24"/>
        <v>36</v>
      </c>
      <c r="KC70" s="49">
        <f t="shared" si="24"/>
        <v>36</v>
      </c>
      <c r="KD70" s="49">
        <f t="shared" si="24"/>
        <v>36</v>
      </c>
      <c r="KE70" s="49">
        <f t="shared" si="24"/>
        <v>36</v>
      </c>
      <c r="KF70" s="49">
        <f t="shared" si="24"/>
        <v>36</v>
      </c>
      <c r="KG70" s="49">
        <f t="shared" si="24"/>
        <v>36</v>
      </c>
      <c r="KH70" s="49">
        <f t="shared" si="24"/>
        <v>36</v>
      </c>
      <c r="KI70" s="49">
        <f t="shared" si="24"/>
        <v>36</v>
      </c>
      <c r="KJ70" s="49">
        <f t="shared" si="24"/>
        <v>36</v>
      </c>
      <c r="KK70" s="49">
        <f t="shared" si="24"/>
        <v>36</v>
      </c>
      <c r="KL70" s="49">
        <f t="shared" si="24"/>
        <v>36</v>
      </c>
      <c r="KM70" s="49">
        <f t="shared" si="24"/>
        <v>36</v>
      </c>
      <c r="KN70" s="49">
        <f t="shared" si="24"/>
        <v>36</v>
      </c>
      <c r="KO70" s="49">
        <f t="shared" si="24"/>
        <v>36</v>
      </c>
      <c r="KP70" s="49">
        <f t="shared" si="24"/>
        <v>36</v>
      </c>
      <c r="KQ70" s="49">
        <f t="shared" si="24"/>
        <v>36</v>
      </c>
      <c r="KR70" s="49">
        <f t="shared" si="24"/>
        <v>36</v>
      </c>
      <c r="KS70" s="49">
        <f t="shared" si="24"/>
        <v>36</v>
      </c>
      <c r="KT70" s="49">
        <f t="shared" ref="KT70:KV70" si="25">COUNTA(KT5:KT68)</f>
        <v>36</v>
      </c>
      <c r="KU70" s="49">
        <f t="shared" si="25"/>
        <v>36</v>
      </c>
      <c r="KV70" s="49">
        <f t="shared" si="25"/>
        <v>36</v>
      </c>
      <c r="KW70" s="49">
        <f t="shared" ref="KW70" si="26">COUNTA(KW5:KW68)</f>
        <v>36</v>
      </c>
      <c r="KX70" s="49">
        <f t="shared" si="24"/>
        <v>36</v>
      </c>
      <c r="KY70" s="49">
        <f t="shared" si="24"/>
        <v>36</v>
      </c>
      <c r="KZ70" s="49">
        <f t="shared" si="24"/>
        <v>36</v>
      </c>
      <c r="LA70" s="49">
        <f t="shared" si="24"/>
        <v>36</v>
      </c>
      <c r="LB70" s="49">
        <f>SUM(F70:LA70)</f>
        <v>17536</v>
      </c>
    </row>
    <row r="71" spans="2:314" ht="10.5" customHeight="1">
      <c r="F71" s="366">
        <f>SUM(F70:AW70)/4</f>
        <v>704</v>
      </c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  <c r="AA71" s="366"/>
      <c r="AB71" s="366"/>
      <c r="AC71" s="366"/>
      <c r="AD71" s="366"/>
      <c r="AE71" s="366"/>
      <c r="AF71" s="366"/>
      <c r="AG71" s="366"/>
      <c r="AH71" s="366"/>
      <c r="AI71" s="366"/>
      <c r="AJ71" s="366"/>
      <c r="AK71" s="366"/>
      <c r="AL71" s="366"/>
      <c r="AM71" s="366"/>
      <c r="AN71" s="366"/>
      <c r="AO71" s="366"/>
      <c r="AP71" s="366"/>
      <c r="AQ71" s="366"/>
      <c r="AR71" s="366"/>
      <c r="AS71" s="366"/>
      <c r="AT71" s="366"/>
      <c r="AU71" s="366"/>
      <c r="AV71" s="366"/>
      <c r="AW71" s="366"/>
      <c r="AX71" s="390">
        <f>SUM(AX70:CO70)/4</f>
        <v>704</v>
      </c>
      <c r="AY71" s="390"/>
      <c r="AZ71" s="390"/>
      <c r="BA71" s="390"/>
      <c r="BB71" s="390"/>
      <c r="BC71" s="390"/>
      <c r="BD71" s="390"/>
      <c r="BE71" s="390"/>
      <c r="BF71" s="390"/>
      <c r="BG71" s="390"/>
      <c r="BH71" s="390"/>
      <c r="BI71" s="390"/>
      <c r="BJ71" s="390"/>
      <c r="BK71" s="390"/>
      <c r="BL71" s="390"/>
      <c r="BM71" s="390"/>
      <c r="BN71" s="390"/>
      <c r="BO71" s="390"/>
      <c r="BP71" s="390"/>
      <c r="BQ71" s="390"/>
      <c r="BR71" s="390"/>
      <c r="BS71" s="390"/>
      <c r="BT71" s="390"/>
      <c r="BU71" s="390"/>
      <c r="BV71" s="390"/>
      <c r="BW71" s="390"/>
      <c r="BX71" s="390"/>
      <c r="BY71" s="390"/>
      <c r="BZ71" s="390"/>
      <c r="CA71" s="390"/>
      <c r="CB71" s="390"/>
      <c r="CC71" s="390"/>
      <c r="CD71" s="390"/>
      <c r="CE71" s="390"/>
      <c r="CF71" s="390"/>
      <c r="CG71" s="390"/>
      <c r="CH71" s="390"/>
      <c r="CI71" s="390"/>
      <c r="CJ71" s="390"/>
      <c r="CK71" s="390"/>
      <c r="CL71" s="390"/>
      <c r="CM71" s="390"/>
      <c r="CN71" s="390"/>
      <c r="CO71" s="390"/>
      <c r="CP71" s="390">
        <f>SUM(CP70:EG70)/4</f>
        <v>688</v>
      </c>
      <c r="CQ71" s="390"/>
      <c r="CR71" s="390"/>
      <c r="CS71" s="390"/>
      <c r="CT71" s="390"/>
      <c r="CU71" s="390"/>
      <c r="CV71" s="390"/>
      <c r="CW71" s="390"/>
      <c r="CX71" s="390"/>
      <c r="CY71" s="390"/>
      <c r="CZ71" s="390"/>
      <c r="DA71" s="390"/>
      <c r="DB71" s="390"/>
      <c r="DC71" s="390"/>
      <c r="DD71" s="390"/>
      <c r="DE71" s="390"/>
      <c r="DF71" s="390"/>
      <c r="DG71" s="390"/>
      <c r="DH71" s="390"/>
      <c r="DI71" s="390"/>
      <c r="DJ71" s="390"/>
      <c r="DK71" s="390"/>
      <c r="DL71" s="390"/>
      <c r="DM71" s="390"/>
      <c r="DN71" s="390"/>
      <c r="DO71" s="390"/>
      <c r="DP71" s="390"/>
      <c r="DQ71" s="390"/>
      <c r="DR71" s="390"/>
      <c r="DS71" s="390"/>
      <c r="DT71" s="390"/>
      <c r="DU71" s="390"/>
      <c r="DV71" s="390"/>
      <c r="DW71" s="390"/>
      <c r="DX71" s="390"/>
      <c r="DY71" s="390"/>
      <c r="DZ71" s="390"/>
      <c r="EA71" s="390"/>
      <c r="EB71" s="390"/>
      <c r="EC71" s="390"/>
      <c r="ED71" s="390"/>
      <c r="EE71" s="390"/>
      <c r="EF71" s="390"/>
      <c r="EG71" s="390"/>
      <c r="EH71" s="390">
        <f>SUM(EH70:FY70)/4</f>
        <v>704</v>
      </c>
      <c r="EI71" s="390"/>
      <c r="EJ71" s="390"/>
      <c r="EK71" s="390"/>
      <c r="EL71" s="390"/>
      <c r="EM71" s="390"/>
      <c r="EN71" s="390"/>
      <c r="EO71" s="390"/>
      <c r="EP71" s="390"/>
      <c r="EQ71" s="390"/>
      <c r="ER71" s="390"/>
      <c r="ES71" s="390"/>
      <c r="ET71" s="390"/>
      <c r="EU71" s="390"/>
      <c r="EV71" s="390"/>
      <c r="EW71" s="390"/>
      <c r="EX71" s="390"/>
      <c r="EY71" s="390"/>
      <c r="EZ71" s="390"/>
      <c r="FA71" s="390"/>
      <c r="FB71" s="390"/>
      <c r="FC71" s="390"/>
      <c r="FD71" s="390"/>
      <c r="FE71" s="390"/>
      <c r="FF71" s="390"/>
      <c r="FG71" s="390"/>
      <c r="FH71" s="390"/>
      <c r="FI71" s="390"/>
      <c r="FJ71" s="390"/>
      <c r="FK71" s="390"/>
      <c r="FL71" s="390"/>
      <c r="FM71" s="390"/>
      <c r="FN71" s="390"/>
      <c r="FO71" s="390"/>
      <c r="FP71" s="390"/>
      <c r="FQ71" s="390"/>
      <c r="FR71" s="390"/>
      <c r="FS71" s="390"/>
      <c r="FT71" s="390"/>
      <c r="FU71" s="390"/>
      <c r="FV71" s="390"/>
      <c r="FW71" s="390"/>
      <c r="FX71" s="390"/>
      <c r="FY71" s="390"/>
      <c r="FZ71" s="390">
        <f>SUM(FZ70:HQ70)/4</f>
        <v>704</v>
      </c>
      <c r="GA71" s="390"/>
      <c r="GB71" s="390"/>
      <c r="GC71" s="390"/>
      <c r="GD71" s="390"/>
      <c r="GE71" s="390"/>
      <c r="GF71" s="390"/>
      <c r="GG71" s="390"/>
      <c r="GH71" s="390"/>
      <c r="GI71" s="390"/>
      <c r="GJ71" s="390"/>
      <c r="GK71" s="390"/>
      <c r="GL71" s="390"/>
      <c r="GM71" s="390"/>
      <c r="GN71" s="390"/>
      <c r="GO71" s="390"/>
      <c r="GP71" s="390"/>
      <c r="GQ71" s="390"/>
      <c r="GR71" s="390"/>
      <c r="GS71" s="390"/>
      <c r="GT71" s="390"/>
      <c r="GU71" s="390"/>
      <c r="GV71" s="390"/>
      <c r="GW71" s="390"/>
      <c r="GX71" s="390"/>
      <c r="GY71" s="390"/>
      <c r="GZ71" s="390"/>
      <c r="HA71" s="390"/>
      <c r="HB71" s="390"/>
      <c r="HC71" s="390"/>
      <c r="HD71" s="390"/>
      <c r="HE71" s="390"/>
      <c r="HF71" s="390"/>
      <c r="HG71" s="390"/>
      <c r="HH71" s="390"/>
      <c r="HI71" s="390"/>
      <c r="HJ71" s="390"/>
      <c r="HK71" s="390"/>
      <c r="HL71" s="390"/>
      <c r="HM71" s="390"/>
      <c r="HN71" s="390"/>
      <c r="HO71" s="390"/>
      <c r="HP71" s="390"/>
      <c r="HQ71" s="390"/>
      <c r="HR71" s="366">
        <f>SUM(HR70:JI70)/4</f>
        <v>484</v>
      </c>
      <c r="HS71" s="366"/>
      <c r="HT71" s="366"/>
      <c r="HU71" s="366"/>
      <c r="HV71" s="366"/>
      <c r="HW71" s="366"/>
      <c r="HX71" s="366"/>
      <c r="HY71" s="366"/>
      <c r="HZ71" s="366"/>
      <c r="IA71" s="366"/>
      <c r="IB71" s="366"/>
      <c r="IC71" s="366"/>
      <c r="ID71" s="366"/>
      <c r="IE71" s="366"/>
      <c r="IF71" s="366"/>
      <c r="IG71" s="366"/>
      <c r="IH71" s="366"/>
      <c r="II71" s="366"/>
      <c r="IJ71" s="366"/>
      <c r="IK71" s="366"/>
      <c r="IL71" s="366"/>
      <c r="IM71" s="366"/>
      <c r="IN71" s="366"/>
      <c r="IO71" s="366"/>
      <c r="IP71" s="366"/>
      <c r="IQ71" s="366"/>
      <c r="IR71" s="366"/>
      <c r="IS71" s="366"/>
      <c r="IT71" s="366"/>
      <c r="IU71" s="366"/>
      <c r="IV71" s="366"/>
      <c r="IW71" s="366"/>
      <c r="IX71" s="366"/>
      <c r="IY71" s="366"/>
      <c r="IZ71" s="366"/>
      <c r="JA71" s="366"/>
      <c r="JB71" s="366"/>
      <c r="JC71" s="366"/>
      <c r="JD71" s="366"/>
      <c r="JE71" s="366"/>
      <c r="JF71" s="366"/>
      <c r="JG71" s="366"/>
      <c r="JH71" s="366"/>
      <c r="JI71" s="366"/>
      <c r="JJ71" s="390">
        <f>SUM(JJ70:LA70)/4</f>
        <v>396</v>
      </c>
      <c r="JK71" s="390"/>
      <c r="JL71" s="390"/>
      <c r="JM71" s="390"/>
      <c r="JN71" s="390"/>
      <c r="JO71" s="390"/>
      <c r="JP71" s="390"/>
      <c r="JQ71" s="390"/>
      <c r="JR71" s="390"/>
      <c r="JS71" s="390"/>
      <c r="JT71" s="390"/>
      <c r="JU71" s="390"/>
      <c r="JV71" s="390"/>
      <c r="JW71" s="390"/>
      <c r="JX71" s="390"/>
      <c r="JY71" s="390"/>
      <c r="JZ71" s="390"/>
      <c r="KA71" s="390"/>
      <c r="KB71" s="390"/>
      <c r="KC71" s="390"/>
      <c r="KD71" s="390"/>
      <c r="KE71" s="390"/>
      <c r="KF71" s="390"/>
      <c r="KG71" s="390"/>
      <c r="KH71" s="390"/>
      <c r="KI71" s="390"/>
      <c r="KJ71" s="390"/>
      <c r="KK71" s="390"/>
      <c r="KL71" s="390"/>
      <c r="KM71" s="390"/>
      <c r="KN71" s="390"/>
      <c r="KO71" s="390"/>
      <c r="KP71" s="390"/>
      <c r="KQ71" s="390"/>
      <c r="KR71" s="390"/>
      <c r="KS71" s="390"/>
      <c r="KT71" s="390"/>
      <c r="KU71" s="390"/>
      <c r="KV71" s="390"/>
      <c r="KW71" s="390"/>
      <c r="KX71" s="390"/>
      <c r="KY71" s="390"/>
      <c r="KZ71" s="390"/>
      <c r="LA71" s="390"/>
      <c r="LB71" s="213">
        <f>Ins!CO57</f>
        <v>219.5</v>
      </c>
    </row>
    <row r="72" spans="2:314" ht="10.5" customHeight="1">
      <c r="LB72" s="213">
        <f>LB71-LB69</f>
        <v>-4164.5</v>
      </c>
    </row>
  </sheetData>
  <mergeCells count="104">
    <mergeCell ref="JA2:JA4"/>
    <mergeCell ref="JB2:JD3"/>
    <mergeCell ref="IJ2:IL4"/>
    <mergeCell ref="F71:AW71"/>
    <mergeCell ref="AX71:CO71"/>
    <mergeCell ref="CP71:EG71"/>
    <mergeCell ref="EH71:FY71"/>
    <mergeCell ref="FZ71:HQ71"/>
    <mergeCell ref="JJ71:LA71"/>
    <mergeCell ref="HR5:JI12"/>
    <mergeCell ref="JJ5:LA12"/>
    <mergeCell ref="JJ49:LA68"/>
    <mergeCell ref="HR57:JI68"/>
    <mergeCell ref="HR71:JI71"/>
    <mergeCell ref="KW2:LA3"/>
    <mergeCell ref="JE2:JI3"/>
    <mergeCell ref="JJ2:JJ4"/>
    <mergeCell ref="JK2:JP4"/>
    <mergeCell ref="KE2:KE4"/>
    <mergeCell ref="KF2:KQ3"/>
    <mergeCell ref="KR2:KR4"/>
    <mergeCell ref="JQ2:JS4"/>
    <mergeCell ref="JT2:JX4"/>
    <mergeCell ref="JY2:KA4"/>
    <mergeCell ref="KB2:KD4"/>
    <mergeCell ref="KS2:KS4"/>
    <mergeCell ref="KT2:KV3"/>
    <mergeCell ref="JJ1:LA1"/>
    <mergeCell ref="LB1:LB4"/>
    <mergeCell ref="F2:F4"/>
    <mergeCell ref="G2:L4"/>
    <mergeCell ref="M2:O4"/>
    <mergeCell ref="P2:T4"/>
    <mergeCell ref="AA2:AA4"/>
    <mergeCell ref="FZ1:HQ1"/>
    <mergeCell ref="AX2:AX4"/>
    <mergeCell ref="AY2:BD4"/>
    <mergeCell ref="BE2:BG4"/>
    <mergeCell ref="BH2:BL4"/>
    <mergeCell ref="CP2:CP4"/>
    <mergeCell ref="CQ2:CV4"/>
    <mergeCell ref="CW2:CY4"/>
    <mergeCell ref="U2:W4"/>
    <mergeCell ref="FC2:FC4"/>
    <mergeCell ref="HR1:JI1"/>
    <mergeCell ref="HM2:HQ3"/>
    <mergeCell ref="HR2:HR4"/>
    <mergeCell ref="HS2:HX4"/>
    <mergeCell ref="IM2:IM4"/>
    <mergeCell ref="IN2:IY3"/>
    <mergeCell ref="IZ2:IZ4"/>
    <mergeCell ref="E1:E4"/>
    <mergeCell ref="F1:AW1"/>
    <mergeCell ref="AX1:CO1"/>
    <mergeCell ref="CP1:EG1"/>
    <mergeCell ref="EH1:FY1"/>
    <mergeCell ref="AB2:AM3"/>
    <mergeCell ref="AN2:AN4"/>
    <mergeCell ref="AS2:AW3"/>
    <mergeCell ref="DK2:DK4"/>
    <mergeCell ref="BS2:BS4"/>
    <mergeCell ref="BT2:CE3"/>
    <mergeCell ref="CF2:CF4"/>
    <mergeCell ref="CK2:CO3"/>
    <mergeCell ref="CZ2:DD4"/>
    <mergeCell ref="EI2:EN4"/>
    <mergeCell ref="EO2:EQ4"/>
    <mergeCell ref="FQ2:FQ4"/>
    <mergeCell ref="DX2:DX4"/>
    <mergeCell ref="EC2:EG3"/>
    <mergeCell ref="EH2:EH4"/>
    <mergeCell ref="ER2:EV4"/>
    <mergeCell ref="DL2:DW3"/>
    <mergeCell ref="FR2:FT3"/>
    <mergeCell ref="HI2:HI4"/>
    <mergeCell ref="HJ2:HL3"/>
    <mergeCell ref="DY2:DY4"/>
    <mergeCell ref="DZ2:EB3"/>
    <mergeCell ref="DH2:DJ4"/>
    <mergeCell ref="X2:Z4"/>
    <mergeCell ref="BM2:BO4"/>
    <mergeCell ref="BP2:BR4"/>
    <mergeCell ref="DE2:DG4"/>
    <mergeCell ref="AO2:AO4"/>
    <mergeCell ref="AP2:AR3"/>
    <mergeCell ref="CG2:CG4"/>
    <mergeCell ref="CH2:CJ3"/>
    <mergeCell ref="IG2:II4"/>
    <mergeCell ref="EW2:EY4"/>
    <mergeCell ref="EZ2:FB4"/>
    <mergeCell ref="HH2:HH4"/>
    <mergeCell ref="FP2:FP4"/>
    <mergeCell ref="FU2:FY3"/>
    <mergeCell ref="FZ2:FZ4"/>
    <mergeCell ref="GA2:GF4"/>
    <mergeCell ref="GG2:GI4"/>
    <mergeCell ref="GJ2:GN4"/>
    <mergeCell ref="GO2:GO4"/>
    <mergeCell ref="IB2:IF4"/>
    <mergeCell ref="HY2:IA4"/>
    <mergeCell ref="GR2:GR4"/>
    <mergeCell ref="GU2:GU4"/>
    <mergeCell ref="GV2:HG3"/>
    <mergeCell ref="FD2:FO3"/>
  </mergeCells>
  <conditionalFormatting sqref="A1:D4 LB2:XFD4 HR5:XFD12 A5:E68 LB13:XFD48 JJ49:XFD56 HR57:XFD68 A69:XFD70 A71:F71 HR71 JJ71 LB71:XFD71 A72:XFD1048576">
    <cfRule type="cellIs" dxfId="205" priority="418" operator="equal">
      <formula>"PV"</formula>
    </cfRule>
  </conditionalFormatting>
  <conditionalFormatting sqref="A1:D4 LB2:XFD4 HR5:XFD12 A5:E68 LB13:XFD48 JJ49:XFD56 HR57:XFD68 A69:XFD70 A71:HR71 JJ71 LB71:XFD71 A72:XFD1048576">
    <cfRule type="cellIs" dxfId="204" priority="406" operator="equal">
      <formula>"FL"</formula>
    </cfRule>
    <cfRule type="cellIs" dxfId="203" priority="411" operator="equal">
      <formula>"GG"</formula>
    </cfRule>
    <cfRule type="cellIs" dxfId="202" priority="413" operator="equal">
      <formula>"MQ"</formula>
    </cfRule>
    <cfRule type="cellIs" dxfId="201" priority="412" operator="equal">
      <formula>"SA"</formula>
    </cfRule>
    <cfRule type="cellIs" dxfId="200" priority="410" operator="equal">
      <formula>"AV"</formula>
    </cfRule>
    <cfRule type="cellIs" dxfId="199" priority="409" operator="equal">
      <formula>"AR"</formula>
    </cfRule>
    <cfRule type="cellIs" dxfId="198" priority="408" operator="equal">
      <formula>"MO"</formula>
    </cfRule>
    <cfRule type="cellIs" dxfId="197" priority="407" operator="equal">
      <formula>"AG"</formula>
    </cfRule>
  </conditionalFormatting>
  <conditionalFormatting sqref="E1">
    <cfRule type="containsText" dxfId="196" priority="10" operator="containsText" text="AJ">
      <formula>NOT(ISERROR(SEARCH("AJ",E1)))</formula>
    </cfRule>
    <cfRule type="containsText" dxfId="195" priority="11" operator="containsText" text="SAM">
      <formula>NOT(ISERROR(SEARCH("SAM",E1)))</formula>
    </cfRule>
    <cfRule type="containsText" dxfId="194" priority="12" operator="containsText" text="VS">
      <formula>NOT(ISERROR(SEARCH("VS",E1)))</formula>
    </cfRule>
    <cfRule type="containsText" dxfId="193" priority="13" operator="containsText" text="CO">
      <formula>NOT(ISERROR(SEARCH("CO",E1)))</formula>
    </cfRule>
    <cfRule type="containsText" dxfId="192" priority="14" operator="containsText" text="JB">
      <formula>NOT(ISERROR(SEARCH("JB",E1)))</formula>
    </cfRule>
    <cfRule type="containsText" dxfId="191" priority="15" operator="containsText" text="JB">
      <formula>NOT(ISERROR(SEARCH("JB",E1)))</formula>
    </cfRule>
    <cfRule type="containsText" dxfId="190" priority="16" operator="containsText" text="FZ">
      <formula>NOT(ISERROR(SEARCH("FZ",E1)))</formula>
    </cfRule>
    <cfRule type="containsText" dxfId="189" priority="17" operator="containsText" text="DP">
      <formula>NOT(ISERROR(SEARCH("DP",E1)))</formula>
    </cfRule>
    <cfRule type="containsText" dxfId="188" priority="18" operator="containsText" text="MM">
      <formula>NOT(ISERROR(SEARCH("MM",E1)))</formula>
    </cfRule>
    <cfRule type="containsText" dxfId="187" priority="19" operator="containsText" text="FC">
      <formula>NOT(ISERROR(SEARCH("FC",E1)))</formula>
    </cfRule>
    <cfRule type="containsText" dxfId="186" priority="20" operator="containsText" text="VV">
      <formula>NOT(ISERROR(SEARCH("VV",E1)))</formula>
    </cfRule>
    <cfRule type="containsText" priority="21" operator="containsText" text="VV">
      <formula>NOT(ISERROR(SEARCH("VV",E1)))</formula>
    </cfRule>
    <cfRule type="containsText" dxfId="185" priority="22" operator="containsText" text="DM">
      <formula>NOT(ISERROR(SEARCH("DM",E1)))</formula>
    </cfRule>
    <cfRule type="containsText" dxfId="184" priority="6" operator="containsText" text="RA">
      <formula>NOT(ISERROR(SEARCH("RA",E1)))</formula>
    </cfRule>
    <cfRule type="containsText" dxfId="183" priority="24" operator="containsText" text="ARE">
      <formula>NOT(ISERROR(SEARCH("ARE",E1)))</formula>
    </cfRule>
    <cfRule type="containsText" dxfId="182" priority="26" operator="containsText" text="FR">
      <formula>NOT(ISERROR(SEARCH("FR",E1)))</formula>
    </cfRule>
    <cfRule type="containsText" dxfId="181" priority="27" operator="containsText" text="CS">
      <formula>NOT(ISERROR(SEARCH("CS",E1)))</formula>
    </cfRule>
    <cfRule type="containsText" dxfId="180" priority="28" operator="containsText" text="CS">
      <formula>NOT(ISERROR(SEARCH("CS",E1)))</formula>
    </cfRule>
    <cfRule type="containsText" dxfId="179" priority="29" operator="containsText" text="JS">
      <formula>NOT(ISERROR(SEARCH("JS",E1)))</formula>
    </cfRule>
    <cfRule type="containsText" dxfId="178" priority="30" operator="containsText" text="ARE">
      <formula>NOT(ISERROR(SEARCH("ARE",E1)))</formula>
    </cfRule>
    <cfRule type="containsText" dxfId="177" priority="31" operator="containsText" text="AR">
      <formula>NOT(ISERROR(SEARCH("AR",E1)))</formula>
    </cfRule>
    <cfRule type="containsText" dxfId="176" priority="32" operator="containsText" text="SA">
      <formula>NOT(ISERROR(SEARCH("SA",E1)))</formula>
    </cfRule>
    <cfRule type="containsText" dxfId="175" priority="33" operator="containsText" text="GG">
      <formula>NOT(ISERROR(SEARCH("GG",E1)))</formula>
    </cfRule>
    <cfRule type="containsText" dxfId="174" priority="34" operator="containsText" text="AF">
      <formula>NOT(ISERROR(SEARCH("AF",E1)))</formula>
    </cfRule>
    <cfRule type="containsText" dxfId="173" priority="1" operator="containsText" text="MJ">
      <formula>NOT(ISERROR(SEARCH("MJ",E1)))</formula>
    </cfRule>
    <cfRule type="containsText" dxfId="172" priority="36" operator="containsText" text="MQ">
      <formula>NOT(ISERROR(SEARCH("MQ",E1)))</formula>
    </cfRule>
    <cfRule type="containsText" dxfId="171" priority="2" operator="containsText" text="MJ">
      <formula>NOT(ISERROR(SEARCH("MJ",E1)))</formula>
    </cfRule>
    <cfRule type="containsText" dxfId="170" priority="3" operator="containsText" text="HU">
      <formula>NOT(ISERROR(SEARCH("HU",E1)))</formula>
    </cfRule>
    <cfRule type="containsText" dxfId="169" priority="4" operator="containsText" text="FF">
      <formula>NOT(ISERROR(SEARCH("FF",E1)))</formula>
    </cfRule>
    <cfRule type="containsText" dxfId="168" priority="23" operator="containsText" text="FT">
      <formula>NOT(ISERROR(SEARCH("FT",E1)))</formula>
    </cfRule>
    <cfRule type="containsText" dxfId="167" priority="5" operator="containsText" text="GM">
      <formula>NOT(ISERROR(SEARCH("GM",E1)))</formula>
    </cfRule>
    <cfRule type="containsText" dxfId="166" priority="7" operator="containsText" text="LP">
      <formula>NOT(ISERROR(SEARCH("LP",E1)))</formula>
    </cfRule>
    <cfRule type="containsText" dxfId="165" priority="8" operator="containsText" text="MP">
      <formula>NOT(ISERROR(SEARCH("MP",E1)))</formula>
    </cfRule>
    <cfRule type="containsText" dxfId="164" priority="9" operator="containsText" text="SR">
      <formula>NOT(ISERROR(SEARCH("SR",E1)))</formula>
    </cfRule>
    <cfRule type="containsText" dxfId="163" priority="35" operator="containsText" text="CT">
      <formula>NOT(ISERROR(SEARCH("CT",E1)))</formula>
    </cfRule>
  </conditionalFormatting>
  <conditionalFormatting sqref="F5:HQ68">
    <cfRule type="containsText" dxfId="162" priority="143" operator="containsText" text="CT">
      <formula>NOT(ISERROR(SEARCH("CT",F5)))</formula>
    </cfRule>
    <cfRule type="containsText" dxfId="161" priority="144" operator="containsText" text="MQ">
      <formula>NOT(ISERROR(SEARCH("MQ",F5)))</formula>
    </cfRule>
    <cfRule type="containsText" dxfId="160" priority="125" operator="containsText" text="DP">
      <formula>NOT(ISERROR(SEARCH("DP",F5)))</formula>
    </cfRule>
    <cfRule type="containsText" dxfId="159" priority="109" operator="containsText" text="MJ">
      <formula>NOT(ISERROR(SEARCH("MJ",F5)))</formula>
    </cfRule>
    <cfRule type="containsText" dxfId="158" priority="110" operator="containsText" text="MJ">
      <formula>NOT(ISERROR(SEARCH("MJ",F5)))</formula>
    </cfRule>
    <cfRule type="containsText" dxfId="157" priority="111" operator="containsText" text="HU">
      <formula>NOT(ISERROR(SEARCH("HU",F5)))</formula>
    </cfRule>
    <cfRule type="containsText" dxfId="156" priority="112" operator="containsText" text="FF">
      <formula>NOT(ISERROR(SEARCH("FF",F5)))</formula>
    </cfRule>
    <cfRule type="containsText" dxfId="155" priority="113" operator="containsText" text="GM">
      <formula>NOT(ISERROR(SEARCH("GM",F5)))</formula>
    </cfRule>
    <cfRule type="containsText" dxfId="154" priority="114" operator="containsText" text="RA">
      <formula>NOT(ISERROR(SEARCH("RA",F5)))</formula>
    </cfRule>
    <cfRule type="containsText" dxfId="153" priority="115" operator="containsText" text="LP">
      <formula>NOT(ISERROR(SEARCH("LP",F5)))</formula>
    </cfRule>
    <cfRule type="containsText" dxfId="152" priority="116" operator="containsText" text="MP">
      <formula>NOT(ISERROR(SEARCH("MP",F5)))</formula>
    </cfRule>
    <cfRule type="containsText" dxfId="151" priority="117" operator="containsText" text="SR">
      <formula>NOT(ISERROR(SEARCH("SR",F5)))</formula>
    </cfRule>
    <cfRule type="containsText" dxfId="150" priority="118" operator="containsText" text="AJ">
      <formula>NOT(ISERROR(SEARCH("AJ",F5)))</formula>
    </cfRule>
    <cfRule type="containsText" dxfId="149" priority="119" operator="containsText" text="SAM">
      <formula>NOT(ISERROR(SEARCH("SAM",F5)))</formula>
    </cfRule>
    <cfRule type="containsText" dxfId="148" priority="120" operator="containsText" text="VS">
      <formula>NOT(ISERROR(SEARCH("VS",F5)))</formula>
    </cfRule>
    <cfRule type="containsText" dxfId="147" priority="121" operator="containsText" text="CO">
      <formula>NOT(ISERROR(SEARCH("CO",F5)))</formula>
    </cfRule>
    <cfRule type="containsText" dxfId="146" priority="122" operator="containsText" text="JB">
      <formula>NOT(ISERROR(SEARCH("JB",F5)))</formula>
    </cfRule>
    <cfRule type="containsText" dxfId="145" priority="123" operator="containsText" text="JB">
      <formula>NOT(ISERROR(SEARCH("JB",F5)))</formula>
    </cfRule>
    <cfRule type="containsText" dxfId="144" priority="124" operator="containsText" text="FZ">
      <formula>NOT(ISERROR(SEARCH("FZ",F5)))</formula>
    </cfRule>
    <cfRule type="containsText" dxfId="143" priority="126" operator="containsText" text="MM">
      <formula>NOT(ISERROR(SEARCH("MM",F5)))</formula>
    </cfRule>
    <cfRule type="containsText" dxfId="142" priority="127" operator="containsText" text="FC">
      <formula>NOT(ISERROR(SEARCH("FC",F5)))</formula>
    </cfRule>
    <cfRule type="containsText" dxfId="141" priority="128" operator="containsText" text="VV">
      <formula>NOT(ISERROR(SEARCH("VV",F5)))</formula>
    </cfRule>
    <cfRule type="containsText" priority="129" operator="containsText" text="VV">
      <formula>NOT(ISERROR(SEARCH("VV",F5)))</formula>
    </cfRule>
    <cfRule type="containsText" dxfId="140" priority="130" operator="containsText" text="DM">
      <formula>NOT(ISERROR(SEARCH("DM",F5)))</formula>
    </cfRule>
    <cfRule type="containsText" dxfId="139" priority="131" operator="containsText" text="FT">
      <formula>NOT(ISERROR(SEARCH("FT",F5)))</formula>
    </cfRule>
    <cfRule type="containsText" dxfId="138" priority="132" operator="containsText" text="ARE">
      <formula>NOT(ISERROR(SEARCH("ARE",F5)))</formula>
    </cfRule>
    <cfRule type="containsText" dxfId="137" priority="134" operator="containsText" text="FR">
      <formula>NOT(ISERROR(SEARCH("FR",F5)))</formula>
    </cfRule>
    <cfRule type="containsText" dxfId="136" priority="135" operator="containsText" text="CS">
      <formula>NOT(ISERROR(SEARCH("CS",F5)))</formula>
    </cfRule>
    <cfRule type="containsText" dxfId="135" priority="136" operator="containsText" text="CS">
      <formula>NOT(ISERROR(SEARCH("CS",F5)))</formula>
    </cfRule>
    <cfRule type="containsText" dxfId="134" priority="137" operator="containsText" text="JS">
      <formula>NOT(ISERROR(SEARCH("JS",F5)))</formula>
    </cfRule>
    <cfRule type="containsText" dxfId="133" priority="138" operator="containsText" text="ARE">
      <formula>NOT(ISERROR(SEARCH("ARE",F5)))</formula>
    </cfRule>
    <cfRule type="containsText" dxfId="132" priority="139" operator="containsText" text="AR">
      <formula>NOT(ISERROR(SEARCH("AR",F5)))</formula>
    </cfRule>
    <cfRule type="containsText" dxfId="131" priority="140" operator="containsText" text="SA">
      <formula>NOT(ISERROR(SEARCH("SA",F5)))</formula>
    </cfRule>
    <cfRule type="containsText" dxfId="130" priority="141" operator="containsText" text="GG">
      <formula>NOT(ISERROR(SEARCH("GG",F5)))</formula>
    </cfRule>
    <cfRule type="containsText" dxfId="129" priority="142" operator="containsText" text="AF">
      <formula>NOT(ISERROR(SEARCH("AF",F5)))</formula>
    </cfRule>
  </conditionalFormatting>
  <conditionalFormatting sqref="F1:XFD1">
    <cfRule type="cellIs" dxfId="128" priority="271" operator="equal">
      <formula>"AG"</formula>
    </cfRule>
    <cfRule type="cellIs" dxfId="127" priority="276" operator="equal">
      <formula>"SA"</formula>
    </cfRule>
    <cfRule type="cellIs" dxfId="126" priority="275" operator="equal">
      <formula>"GG"</formula>
    </cfRule>
    <cfRule type="cellIs" dxfId="125" priority="274" operator="equal">
      <formula>"AV"</formula>
    </cfRule>
    <cfRule type="cellIs" dxfId="124" priority="273" operator="equal">
      <formula>"AR"</formula>
    </cfRule>
    <cfRule type="cellIs" dxfId="123" priority="270" operator="equal">
      <formula>"FL"</formula>
    </cfRule>
    <cfRule type="cellIs" dxfId="122" priority="272" operator="equal">
      <formula>"MO"</formula>
    </cfRule>
    <cfRule type="cellIs" dxfId="121" priority="278" operator="equal">
      <formula>"PV"</formula>
    </cfRule>
    <cfRule type="cellIs" dxfId="120" priority="277" operator="equal">
      <formula>"MQ"</formula>
    </cfRule>
  </conditionalFormatting>
  <conditionalFormatting sqref="AX71">
    <cfRule type="cellIs" dxfId="119" priority="417" operator="equal">
      <formula>"PV"</formula>
    </cfRule>
  </conditionalFormatting>
  <conditionalFormatting sqref="CP71">
    <cfRule type="cellIs" dxfId="118" priority="416" operator="equal">
      <formula>"PV"</formula>
    </cfRule>
  </conditionalFormatting>
  <conditionalFormatting sqref="EH71">
    <cfRule type="cellIs" dxfId="117" priority="415" operator="equal">
      <formula>"PV"</formula>
    </cfRule>
  </conditionalFormatting>
  <conditionalFormatting sqref="FZ71">
    <cfRule type="cellIs" dxfId="116" priority="414" operator="equal">
      <formula>"PV"</formula>
    </cfRule>
  </conditionalFormatting>
  <conditionalFormatting sqref="HR13:JI56">
    <cfRule type="containsText" dxfId="115" priority="108" operator="containsText" text="MQ">
      <formula>NOT(ISERROR(SEARCH("MQ",HR13)))</formula>
    </cfRule>
    <cfRule type="containsText" dxfId="114" priority="85" operator="containsText" text="CO">
      <formula>NOT(ISERROR(SEARCH("CO",HR13)))</formula>
    </cfRule>
    <cfRule type="containsText" dxfId="113" priority="87" operator="containsText" text="JB">
      <formula>NOT(ISERROR(SEARCH("JB",HR13)))</formula>
    </cfRule>
    <cfRule type="containsText" dxfId="112" priority="88" operator="containsText" text="FZ">
      <formula>NOT(ISERROR(SEARCH("FZ",HR13)))</formula>
    </cfRule>
    <cfRule type="containsText" dxfId="111" priority="89" operator="containsText" text="DP">
      <formula>NOT(ISERROR(SEARCH("DP",HR13)))</formula>
    </cfRule>
    <cfRule type="containsText" dxfId="110" priority="90" operator="containsText" text="MM">
      <formula>NOT(ISERROR(SEARCH("MM",HR13)))</formula>
    </cfRule>
    <cfRule type="containsText" dxfId="109" priority="91" operator="containsText" text="FC">
      <formula>NOT(ISERROR(SEARCH("FC",HR13)))</formula>
    </cfRule>
    <cfRule type="containsText" dxfId="108" priority="92" operator="containsText" text="VV">
      <formula>NOT(ISERROR(SEARCH("VV",HR13)))</formula>
    </cfRule>
    <cfRule type="containsText" priority="93" operator="containsText" text="VV">
      <formula>NOT(ISERROR(SEARCH("VV",HR13)))</formula>
    </cfRule>
    <cfRule type="containsText" dxfId="107" priority="94" operator="containsText" text="DM">
      <formula>NOT(ISERROR(SEARCH("DM",HR13)))</formula>
    </cfRule>
    <cfRule type="containsText" dxfId="106" priority="86" operator="containsText" text="JB">
      <formula>NOT(ISERROR(SEARCH("JB",HR13)))</formula>
    </cfRule>
    <cfRule type="containsText" dxfId="105" priority="95" operator="containsText" text="FT">
      <formula>NOT(ISERROR(SEARCH("FT",HR13)))</formula>
    </cfRule>
    <cfRule type="containsText" dxfId="104" priority="82" operator="containsText" text="AJ">
      <formula>NOT(ISERROR(SEARCH("AJ",HR13)))</formula>
    </cfRule>
    <cfRule type="containsText" dxfId="103" priority="81" operator="containsText" text="SR">
      <formula>NOT(ISERROR(SEARCH("SR",HR13)))</formula>
    </cfRule>
    <cfRule type="containsText" dxfId="102" priority="79" operator="containsText" text="LP">
      <formula>NOT(ISERROR(SEARCH("LP",HR13)))</formula>
    </cfRule>
    <cfRule type="containsText" dxfId="101" priority="78" operator="containsText" text="RA">
      <formula>NOT(ISERROR(SEARCH("RA",HR13)))</formula>
    </cfRule>
    <cfRule type="containsText" dxfId="100" priority="77" operator="containsText" text="GM">
      <formula>NOT(ISERROR(SEARCH("GM",HR13)))</formula>
    </cfRule>
    <cfRule type="containsText" dxfId="99" priority="76" operator="containsText" text="FF">
      <formula>NOT(ISERROR(SEARCH("FF",HR13)))</formula>
    </cfRule>
    <cfRule type="containsText" dxfId="98" priority="75" operator="containsText" text="HU">
      <formula>NOT(ISERROR(SEARCH("HU",HR13)))</formula>
    </cfRule>
    <cfRule type="containsText" dxfId="97" priority="80" operator="containsText" text="MP">
      <formula>NOT(ISERROR(SEARCH("MP",HR13)))</formula>
    </cfRule>
    <cfRule type="containsText" dxfId="96" priority="84" operator="containsText" text="VS">
      <formula>NOT(ISERROR(SEARCH("VS",HR13)))</formula>
    </cfRule>
    <cfRule type="containsText" dxfId="95" priority="101" operator="containsText" text="JS">
      <formula>NOT(ISERROR(SEARCH("JS",HR13)))</formula>
    </cfRule>
    <cfRule type="containsText" dxfId="94" priority="73" operator="containsText" text="MJ">
      <formula>NOT(ISERROR(SEARCH("MJ",HR13)))</formula>
    </cfRule>
    <cfRule type="containsText" dxfId="93" priority="74" operator="containsText" text="MJ">
      <formula>NOT(ISERROR(SEARCH("MJ",HR13)))</formula>
    </cfRule>
    <cfRule type="containsText" dxfId="92" priority="96" operator="containsText" text="ARE">
      <formula>NOT(ISERROR(SEARCH("ARE",HR13)))</formula>
    </cfRule>
    <cfRule type="containsText" dxfId="91" priority="98" operator="containsText" text="FR">
      <formula>NOT(ISERROR(SEARCH("FR",HR13)))</formula>
    </cfRule>
    <cfRule type="containsText" dxfId="90" priority="99" operator="containsText" text="CS">
      <formula>NOT(ISERROR(SEARCH("CS",HR13)))</formula>
    </cfRule>
    <cfRule type="containsText" dxfId="89" priority="100" operator="containsText" text="CS">
      <formula>NOT(ISERROR(SEARCH("CS",HR13)))</formula>
    </cfRule>
    <cfRule type="containsText" dxfId="88" priority="105" operator="containsText" text="GG">
      <formula>NOT(ISERROR(SEARCH("GG",HR13)))</formula>
    </cfRule>
    <cfRule type="containsText" dxfId="87" priority="83" operator="containsText" text="SAM">
      <formula>NOT(ISERROR(SEARCH("SAM",HR13)))</formula>
    </cfRule>
    <cfRule type="containsText" dxfId="86" priority="102" operator="containsText" text="ARE">
      <formula>NOT(ISERROR(SEARCH("ARE",HR13)))</formula>
    </cfRule>
    <cfRule type="containsText" dxfId="85" priority="103" operator="containsText" text="AR">
      <formula>NOT(ISERROR(SEARCH("AR",HR13)))</formula>
    </cfRule>
    <cfRule type="containsText" dxfId="84" priority="104" operator="containsText" text="SA">
      <formula>NOT(ISERROR(SEARCH("SA",HR13)))</formula>
    </cfRule>
    <cfRule type="containsText" dxfId="83" priority="106" operator="containsText" text="AF">
      <formula>NOT(ISERROR(SEARCH("AF",HR13)))</formula>
    </cfRule>
    <cfRule type="containsText" dxfId="82" priority="107" operator="containsText" text="CT">
      <formula>NOT(ISERROR(SEARCH("CT",HR13)))</formula>
    </cfRule>
  </conditionalFormatting>
  <conditionalFormatting sqref="JJ13:LA48">
    <cfRule type="containsText" dxfId="81" priority="37" operator="containsText" text="MJ">
      <formula>NOT(ISERROR(SEARCH("MJ",JJ13)))</formula>
    </cfRule>
    <cfRule type="containsText" dxfId="80" priority="38" operator="containsText" text="MJ">
      <formula>NOT(ISERROR(SEARCH("MJ",JJ13)))</formula>
    </cfRule>
    <cfRule type="containsText" dxfId="79" priority="39" operator="containsText" text="HU">
      <formula>NOT(ISERROR(SEARCH("HU",JJ13)))</formula>
    </cfRule>
    <cfRule type="containsText" dxfId="78" priority="40" operator="containsText" text="FF">
      <formula>NOT(ISERROR(SEARCH("FF",JJ13)))</formula>
    </cfRule>
    <cfRule type="containsText" dxfId="77" priority="41" operator="containsText" text="GM">
      <formula>NOT(ISERROR(SEARCH("GM",JJ13)))</formula>
    </cfRule>
    <cfRule type="containsText" dxfId="76" priority="42" operator="containsText" text="RA">
      <formula>NOT(ISERROR(SEARCH("RA",JJ13)))</formula>
    </cfRule>
    <cfRule type="containsText" dxfId="75" priority="43" operator="containsText" text="LP">
      <formula>NOT(ISERROR(SEARCH("LP",JJ13)))</formula>
    </cfRule>
    <cfRule type="containsText" dxfId="74" priority="44" operator="containsText" text="MP">
      <formula>NOT(ISERROR(SEARCH("MP",JJ13)))</formula>
    </cfRule>
    <cfRule type="containsText" dxfId="73" priority="45" operator="containsText" text="SR">
      <formula>NOT(ISERROR(SEARCH("SR",JJ13)))</formula>
    </cfRule>
    <cfRule type="containsText" dxfId="72" priority="46" operator="containsText" text="AJ">
      <formula>NOT(ISERROR(SEARCH("AJ",JJ13)))</formula>
    </cfRule>
    <cfRule type="containsText" dxfId="71" priority="48" operator="containsText" text="VS">
      <formula>NOT(ISERROR(SEARCH("VS",JJ13)))</formula>
    </cfRule>
    <cfRule type="containsText" dxfId="70" priority="49" operator="containsText" text="CO">
      <formula>NOT(ISERROR(SEARCH("CO",JJ13)))</formula>
    </cfRule>
    <cfRule type="containsText" dxfId="69" priority="50" operator="containsText" text="JB">
      <formula>NOT(ISERROR(SEARCH("JB",JJ13)))</formula>
    </cfRule>
    <cfRule type="containsText" dxfId="68" priority="51" operator="containsText" text="JB">
      <formula>NOT(ISERROR(SEARCH("JB",JJ13)))</formula>
    </cfRule>
    <cfRule type="containsText" dxfId="67" priority="52" operator="containsText" text="FZ">
      <formula>NOT(ISERROR(SEARCH("FZ",JJ13)))</formula>
    </cfRule>
    <cfRule type="containsText" dxfId="66" priority="53" operator="containsText" text="DP">
      <formula>NOT(ISERROR(SEARCH("DP",JJ13)))</formula>
    </cfRule>
    <cfRule type="containsText" dxfId="65" priority="54" operator="containsText" text="MM">
      <formula>NOT(ISERROR(SEARCH("MM",JJ13)))</formula>
    </cfRule>
    <cfRule type="containsText" dxfId="64" priority="55" operator="containsText" text="FC">
      <formula>NOT(ISERROR(SEARCH("FC",JJ13)))</formula>
    </cfRule>
    <cfRule type="containsText" dxfId="63" priority="56" operator="containsText" text="VV">
      <formula>NOT(ISERROR(SEARCH("VV",JJ13)))</formula>
    </cfRule>
    <cfRule type="containsText" dxfId="62" priority="65" operator="containsText" text="JS">
      <formula>NOT(ISERROR(SEARCH("JS",JJ13)))</formula>
    </cfRule>
    <cfRule type="containsText" dxfId="61" priority="63" operator="containsText" text="CS">
      <formula>NOT(ISERROR(SEARCH("CS",JJ13)))</formula>
    </cfRule>
    <cfRule type="containsText" dxfId="60" priority="62" operator="containsText" text="FR">
      <formula>NOT(ISERROR(SEARCH("FR",JJ13)))</formula>
    </cfRule>
    <cfRule type="containsText" dxfId="59" priority="69" operator="containsText" text="GG">
      <formula>NOT(ISERROR(SEARCH("GG",JJ13)))</formula>
    </cfRule>
    <cfRule type="containsText" dxfId="58" priority="64" operator="containsText" text="CS">
      <formula>NOT(ISERROR(SEARCH("CS",JJ13)))</formula>
    </cfRule>
    <cfRule type="containsText" dxfId="57" priority="47" operator="containsText" text="SAM">
      <formula>NOT(ISERROR(SEARCH("SAM",JJ13)))</formula>
    </cfRule>
    <cfRule type="containsText" dxfId="56" priority="72" operator="containsText" text="MQ">
      <formula>NOT(ISERROR(SEARCH("MQ",JJ13)))</formula>
    </cfRule>
    <cfRule type="containsText" dxfId="55" priority="71" operator="containsText" text="CT">
      <formula>NOT(ISERROR(SEARCH("CT",JJ13)))</formula>
    </cfRule>
    <cfRule type="containsText" dxfId="54" priority="70" operator="containsText" text="AF">
      <formula>NOT(ISERROR(SEARCH("AF",JJ13)))</formula>
    </cfRule>
    <cfRule type="containsText" dxfId="53" priority="68" operator="containsText" text="SA">
      <formula>NOT(ISERROR(SEARCH("SA",JJ13)))</formula>
    </cfRule>
    <cfRule type="containsText" dxfId="52" priority="67" operator="containsText" text="AR">
      <formula>NOT(ISERROR(SEARCH("AR",JJ13)))</formula>
    </cfRule>
    <cfRule type="containsText" dxfId="51" priority="60" operator="containsText" text="ARE">
      <formula>NOT(ISERROR(SEARCH("ARE",JJ13)))</formula>
    </cfRule>
    <cfRule type="containsText" dxfId="50" priority="59" operator="containsText" text="FT">
      <formula>NOT(ISERROR(SEARCH("FT",JJ13)))</formula>
    </cfRule>
    <cfRule type="containsText" dxfId="49" priority="58" operator="containsText" text="DM">
      <formula>NOT(ISERROR(SEARCH("DM",JJ13)))</formula>
    </cfRule>
    <cfRule type="containsText" priority="57" operator="containsText" text="VV">
      <formula>NOT(ISERROR(SEARCH("VV",JJ13)))</formula>
    </cfRule>
    <cfRule type="containsText" dxfId="48" priority="66" operator="containsText" text="ARE">
      <formula>NOT(ISERROR(SEARCH("ARE",JJ13)))</formula>
    </cfRule>
  </conditionalFormatting>
  <printOptions horizontalCentered="1" verticalCentered="1"/>
  <pageMargins left="0.21" right="0.57999999999999996" top="0.15" bottom="0.15" header="0.12" footer="0.12"/>
  <pageSetup paperSize="9" scale="13" orientation="landscape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99"/>
    <pageSetUpPr fitToPage="1"/>
  </sheetPr>
  <dimension ref="B1:DX68"/>
  <sheetViews>
    <sheetView zoomScale="90" zoomScaleNormal="90" zoomScaleSheetLayoutView="100" workbookViewId="0">
      <pane ySplit="4" topLeftCell="A5" activePane="bottomLeft" state="frozen"/>
      <selection activeCell="BU56" sqref="BU56"/>
      <selection pane="bottomLeft" activeCell="W22" sqref="W22"/>
    </sheetView>
  </sheetViews>
  <sheetFormatPr defaultColWidth="9.33203125" defaultRowHeight="10.5" customHeight="1"/>
  <cols>
    <col min="1" max="1" width="1.6640625" style="49" customWidth="1"/>
    <col min="2" max="3" width="3.6640625" style="49" hidden="1" customWidth="1"/>
    <col min="4" max="4" width="3.33203125" style="49" hidden="1" customWidth="1"/>
    <col min="5" max="5" width="5.6640625" style="49" customWidth="1"/>
    <col min="6" max="127" width="3.33203125" style="49" customWidth="1"/>
    <col min="128" max="128" width="5" style="49" bestFit="1" customWidth="1"/>
    <col min="129" max="16384" width="9.33203125" style="49"/>
  </cols>
  <sheetData>
    <row r="1" spans="2:128" ht="10.5" customHeight="1">
      <c r="E1" s="368"/>
      <c r="F1" s="371" t="s">
        <v>27</v>
      </c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2"/>
      <c r="U1" s="372"/>
      <c r="V1" s="372"/>
      <c r="W1" s="373"/>
      <c r="X1" s="368" t="s">
        <v>28</v>
      </c>
      <c r="Y1" s="370"/>
      <c r="Z1" s="370"/>
      <c r="AA1" s="370"/>
      <c r="AB1" s="370"/>
      <c r="AC1" s="371"/>
      <c r="AD1" s="371"/>
      <c r="AE1" s="371"/>
      <c r="AF1" s="371"/>
      <c r="AG1" s="371"/>
      <c r="AH1" s="371"/>
      <c r="AI1" s="371"/>
      <c r="AJ1" s="371"/>
      <c r="AK1" s="371"/>
      <c r="AL1" s="372"/>
      <c r="AM1" s="372"/>
      <c r="AN1" s="372"/>
      <c r="AO1" s="373"/>
      <c r="AP1" s="368" t="s">
        <v>29</v>
      </c>
      <c r="AQ1" s="370"/>
      <c r="AR1" s="370"/>
      <c r="AS1" s="370"/>
      <c r="AT1" s="370"/>
      <c r="AU1" s="371"/>
      <c r="AV1" s="371"/>
      <c r="AW1" s="371"/>
      <c r="AX1" s="371"/>
      <c r="AY1" s="371"/>
      <c r="AZ1" s="371"/>
      <c r="BA1" s="371"/>
      <c r="BB1" s="371"/>
      <c r="BC1" s="371"/>
      <c r="BD1" s="372"/>
      <c r="BE1" s="372"/>
      <c r="BF1" s="372"/>
      <c r="BG1" s="373"/>
      <c r="BH1" s="368" t="s">
        <v>30</v>
      </c>
      <c r="BI1" s="370"/>
      <c r="BJ1" s="370"/>
      <c r="BK1" s="370"/>
      <c r="BL1" s="370"/>
      <c r="BM1" s="371"/>
      <c r="BN1" s="371"/>
      <c r="BO1" s="371"/>
      <c r="BP1" s="371"/>
      <c r="BQ1" s="371"/>
      <c r="BR1" s="371"/>
      <c r="BS1" s="371"/>
      <c r="BT1" s="371"/>
      <c r="BU1" s="371"/>
      <c r="BV1" s="372"/>
      <c r="BW1" s="372"/>
      <c r="BX1" s="372"/>
      <c r="BY1" s="373"/>
      <c r="BZ1" s="368" t="s">
        <v>31</v>
      </c>
      <c r="CA1" s="370"/>
      <c r="CB1" s="370"/>
      <c r="CC1" s="370"/>
      <c r="CD1" s="370"/>
      <c r="CE1" s="371"/>
      <c r="CF1" s="371"/>
      <c r="CG1" s="371"/>
      <c r="CH1" s="371"/>
      <c r="CI1" s="371"/>
      <c r="CJ1" s="371"/>
      <c r="CK1" s="371"/>
      <c r="CL1" s="371"/>
      <c r="CM1" s="371"/>
      <c r="CN1" s="372"/>
      <c r="CO1" s="372"/>
      <c r="CP1" s="372"/>
      <c r="CQ1" s="373"/>
      <c r="CR1" s="368" t="s">
        <v>5</v>
      </c>
      <c r="CS1" s="370"/>
      <c r="CT1" s="370"/>
      <c r="CU1" s="371"/>
      <c r="CV1" s="371"/>
      <c r="CW1" s="371"/>
      <c r="CX1" s="371"/>
      <c r="CY1" s="371"/>
      <c r="CZ1" s="371"/>
      <c r="DA1" s="371"/>
      <c r="DB1" s="371"/>
      <c r="DC1" s="371"/>
      <c r="DD1" s="372"/>
      <c r="DE1" s="372"/>
      <c r="DF1" s="372"/>
      <c r="DG1" s="373"/>
      <c r="DH1" s="378" t="s">
        <v>6</v>
      </c>
      <c r="DI1" s="379"/>
      <c r="DJ1" s="379"/>
      <c r="DK1" s="379"/>
      <c r="DL1" s="379"/>
      <c r="DM1" s="379"/>
      <c r="DN1" s="379"/>
      <c r="DO1" s="379"/>
      <c r="DP1" s="379"/>
      <c r="DQ1" s="379"/>
      <c r="DR1" s="379"/>
      <c r="DS1" s="379"/>
      <c r="DT1" s="379"/>
      <c r="DU1" s="379"/>
      <c r="DV1" s="379"/>
      <c r="DW1" s="380"/>
      <c r="DX1" s="368"/>
    </row>
    <row r="2" spans="2:128" ht="10.5" customHeight="1">
      <c r="E2" s="369"/>
      <c r="F2" s="364" t="s">
        <v>32</v>
      </c>
      <c r="G2" s="358" t="s">
        <v>48</v>
      </c>
      <c r="H2" s="359"/>
      <c r="I2" s="359"/>
      <c r="J2" s="364" t="s">
        <v>155</v>
      </c>
      <c r="K2" s="364" t="s">
        <v>33</v>
      </c>
      <c r="L2" s="358" t="s">
        <v>34</v>
      </c>
      <c r="M2" s="359"/>
      <c r="N2" s="359"/>
      <c r="O2" s="359"/>
      <c r="P2" s="360"/>
      <c r="Q2" s="356" t="s">
        <v>66</v>
      </c>
      <c r="R2" s="356" t="s">
        <v>49</v>
      </c>
      <c r="S2" s="358" t="s">
        <v>35</v>
      </c>
      <c r="T2" s="359"/>
      <c r="U2" s="359"/>
      <c r="V2" s="359"/>
      <c r="W2" s="375"/>
      <c r="X2" s="364" t="s">
        <v>32</v>
      </c>
      <c r="Y2" s="358" t="s">
        <v>48</v>
      </c>
      <c r="Z2" s="359"/>
      <c r="AA2" s="359"/>
      <c r="AB2" s="364" t="s">
        <v>155</v>
      </c>
      <c r="AC2" s="364" t="s">
        <v>33</v>
      </c>
      <c r="AD2" s="358" t="s">
        <v>34</v>
      </c>
      <c r="AE2" s="359"/>
      <c r="AF2" s="359"/>
      <c r="AG2" s="359"/>
      <c r="AH2" s="360"/>
      <c r="AI2" s="356" t="s">
        <v>66</v>
      </c>
      <c r="AJ2" s="356" t="s">
        <v>49</v>
      </c>
      <c r="AK2" s="358" t="s">
        <v>35</v>
      </c>
      <c r="AL2" s="359"/>
      <c r="AM2" s="359"/>
      <c r="AN2" s="359"/>
      <c r="AO2" s="375"/>
      <c r="AP2" s="364" t="s">
        <v>32</v>
      </c>
      <c r="AQ2" s="358" t="s">
        <v>48</v>
      </c>
      <c r="AR2" s="359"/>
      <c r="AS2" s="359"/>
      <c r="AT2" s="364" t="s">
        <v>155</v>
      </c>
      <c r="AU2" s="364" t="s">
        <v>33</v>
      </c>
      <c r="AV2" s="358" t="s">
        <v>34</v>
      </c>
      <c r="AW2" s="359"/>
      <c r="AX2" s="359"/>
      <c r="AY2" s="359"/>
      <c r="AZ2" s="360"/>
      <c r="BA2" s="356" t="s">
        <v>66</v>
      </c>
      <c r="BB2" s="356" t="s">
        <v>49</v>
      </c>
      <c r="BC2" s="358" t="s">
        <v>35</v>
      </c>
      <c r="BD2" s="359"/>
      <c r="BE2" s="359"/>
      <c r="BF2" s="359"/>
      <c r="BG2" s="375"/>
      <c r="BH2" s="364" t="s">
        <v>32</v>
      </c>
      <c r="BI2" s="358" t="s">
        <v>48</v>
      </c>
      <c r="BJ2" s="359"/>
      <c r="BK2" s="359"/>
      <c r="BL2" s="364" t="s">
        <v>155</v>
      </c>
      <c r="BM2" s="364" t="s">
        <v>33</v>
      </c>
      <c r="BN2" s="358" t="s">
        <v>34</v>
      </c>
      <c r="BO2" s="359"/>
      <c r="BP2" s="359"/>
      <c r="BQ2" s="359"/>
      <c r="BR2" s="360"/>
      <c r="BS2" s="356" t="s">
        <v>66</v>
      </c>
      <c r="BT2" s="356" t="s">
        <v>49</v>
      </c>
      <c r="BU2" s="358" t="s">
        <v>35</v>
      </c>
      <c r="BV2" s="359"/>
      <c r="BW2" s="359"/>
      <c r="BX2" s="359"/>
      <c r="BY2" s="375"/>
      <c r="BZ2" s="364" t="s">
        <v>32</v>
      </c>
      <c r="CA2" s="358" t="s">
        <v>48</v>
      </c>
      <c r="CB2" s="359"/>
      <c r="CC2" s="359"/>
      <c r="CD2" s="364" t="s">
        <v>155</v>
      </c>
      <c r="CE2" s="364" t="s">
        <v>33</v>
      </c>
      <c r="CF2" s="358" t="s">
        <v>34</v>
      </c>
      <c r="CG2" s="359"/>
      <c r="CH2" s="359"/>
      <c r="CI2" s="359"/>
      <c r="CJ2" s="360"/>
      <c r="CK2" s="356" t="s">
        <v>66</v>
      </c>
      <c r="CL2" s="356" t="s">
        <v>49</v>
      </c>
      <c r="CM2" s="358" t="s">
        <v>35</v>
      </c>
      <c r="CN2" s="359"/>
      <c r="CO2" s="359"/>
      <c r="CP2" s="359"/>
      <c r="CQ2" s="375"/>
      <c r="CR2" s="381" t="s">
        <v>32</v>
      </c>
      <c r="CS2" s="364" t="s">
        <v>48</v>
      </c>
      <c r="CT2" s="364" t="s">
        <v>155</v>
      </c>
      <c r="CU2" s="364" t="s">
        <v>33</v>
      </c>
      <c r="CV2" s="358" t="s">
        <v>34</v>
      </c>
      <c r="CW2" s="359"/>
      <c r="CX2" s="359"/>
      <c r="CY2" s="359"/>
      <c r="CZ2" s="360"/>
      <c r="DA2" s="356" t="s">
        <v>66</v>
      </c>
      <c r="DB2" s="356" t="s">
        <v>49</v>
      </c>
      <c r="DC2" s="358" t="s">
        <v>35</v>
      </c>
      <c r="DD2" s="359"/>
      <c r="DE2" s="359"/>
      <c r="DF2" s="359"/>
      <c r="DG2" s="375"/>
      <c r="DH2" s="381" t="s">
        <v>32</v>
      </c>
      <c r="DI2" s="364" t="s">
        <v>48</v>
      </c>
      <c r="DJ2" s="364" t="s">
        <v>155</v>
      </c>
      <c r="DK2" s="364" t="s">
        <v>33</v>
      </c>
      <c r="DL2" s="358" t="s">
        <v>34</v>
      </c>
      <c r="DM2" s="359"/>
      <c r="DN2" s="359"/>
      <c r="DO2" s="359"/>
      <c r="DP2" s="360"/>
      <c r="DQ2" s="356" t="s">
        <v>66</v>
      </c>
      <c r="DR2" s="356" t="s">
        <v>49</v>
      </c>
      <c r="DS2" s="358" t="s">
        <v>35</v>
      </c>
      <c r="DT2" s="359"/>
      <c r="DU2" s="359"/>
      <c r="DV2" s="359"/>
      <c r="DW2" s="375"/>
      <c r="DX2" s="369"/>
    </row>
    <row r="3" spans="2:128" ht="10.5" customHeight="1">
      <c r="E3" s="369"/>
      <c r="F3" s="364"/>
      <c r="G3" s="365"/>
      <c r="H3" s="366"/>
      <c r="I3" s="366"/>
      <c r="J3" s="364"/>
      <c r="K3" s="364"/>
      <c r="L3" s="365"/>
      <c r="M3" s="366"/>
      <c r="N3" s="366"/>
      <c r="O3" s="366"/>
      <c r="P3" s="367"/>
      <c r="Q3" s="357"/>
      <c r="R3" s="357"/>
      <c r="S3" s="361"/>
      <c r="T3" s="362"/>
      <c r="U3" s="362"/>
      <c r="V3" s="362"/>
      <c r="W3" s="376"/>
      <c r="X3" s="364"/>
      <c r="Y3" s="365"/>
      <c r="Z3" s="366"/>
      <c r="AA3" s="366"/>
      <c r="AB3" s="364"/>
      <c r="AC3" s="364"/>
      <c r="AD3" s="365"/>
      <c r="AE3" s="366"/>
      <c r="AF3" s="366"/>
      <c r="AG3" s="366"/>
      <c r="AH3" s="367"/>
      <c r="AI3" s="357"/>
      <c r="AJ3" s="357"/>
      <c r="AK3" s="361"/>
      <c r="AL3" s="362"/>
      <c r="AM3" s="362"/>
      <c r="AN3" s="362"/>
      <c r="AO3" s="376"/>
      <c r="AP3" s="364"/>
      <c r="AQ3" s="365"/>
      <c r="AR3" s="366"/>
      <c r="AS3" s="366"/>
      <c r="AT3" s="364"/>
      <c r="AU3" s="364"/>
      <c r="AV3" s="365"/>
      <c r="AW3" s="366"/>
      <c r="AX3" s="366"/>
      <c r="AY3" s="366"/>
      <c r="AZ3" s="367"/>
      <c r="BA3" s="357"/>
      <c r="BB3" s="357"/>
      <c r="BC3" s="361"/>
      <c r="BD3" s="362"/>
      <c r="BE3" s="362"/>
      <c r="BF3" s="362"/>
      <c r="BG3" s="376"/>
      <c r="BH3" s="364"/>
      <c r="BI3" s="365"/>
      <c r="BJ3" s="366"/>
      <c r="BK3" s="366"/>
      <c r="BL3" s="364"/>
      <c r="BM3" s="364"/>
      <c r="BN3" s="365"/>
      <c r="BO3" s="366"/>
      <c r="BP3" s="366"/>
      <c r="BQ3" s="366"/>
      <c r="BR3" s="367"/>
      <c r="BS3" s="357"/>
      <c r="BT3" s="357"/>
      <c r="BU3" s="361"/>
      <c r="BV3" s="362"/>
      <c r="BW3" s="362"/>
      <c r="BX3" s="362"/>
      <c r="BY3" s="376"/>
      <c r="BZ3" s="364"/>
      <c r="CA3" s="365"/>
      <c r="CB3" s="366"/>
      <c r="CC3" s="366"/>
      <c r="CD3" s="364"/>
      <c r="CE3" s="364"/>
      <c r="CF3" s="365"/>
      <c r="CG3" s="366"/>
      <c r="CH3" s="366"/>
      <c r="CI3" s="366"/>
      <c r="CJ3" s="367"/>
      <c r="CK3" s="357"/>
      <c r="CL3" s="357"/>
      <c r="CM3" s="361"/>
      <c r="CN3" s="362"/>
      <c r="CO3" s="362"/>
      <c r="CP3" s="362"/>
      <c r="CQ3" s="376"/>
      <c r="CR3" s="381"/>
      <c r="CS3" s="364"/>
      <c r="CT3" s="364"/>
      <c r="CU3" s="364"/>
      <c r="CV3" s="365"/>
      <c r="CW3" s="366"/>
      <c r="CX3" s="366"/>
      <c r="CY3" s="366"/>
      <c r="CZ3" s="367"/>
      <c r="DA3" s="357"/>
      <c r="DB3" s="357"/>
      <c r="DC3" s="361"/>
      <c r="DD3" s="362"/>
      <c r="DE3" s="362"/>
      <c r="DF3" s="362"/>
      <c r="DG3" s="376"/>
      <c r="DH3" s="382"/>
      <c r="DI3" s="356"/>
      <c r="DJ3" s="356"/>
      <c r="DK3" s="356"/>
      <c r="DL3" s="365"/>
      <c r="DM3" s="366"/>
      <c r="DN3" s="366"/>
      <c r="DO3" s="366"/>
      <c r="DP3" s="367"/>
      <c r="DQ3" s="357"/>
      <c r="DR3" s="357"/>
      <c r="DS3" s="361"/>
      <c r="DT3" s="362"/>
      <c r="DU3" s="362"/>
      <c r="DV3" s="362"/>
      <c r="DW3" s="376"/>
      <c r="DX3" s="369"/>
    </row>
    <row r="4" spans="2:128" ht="10.5" customHeight="1" thickBot="1">
      <c r="E4" s="369"/>
      <c r="F4" s="364"/>
      <c r="G4" s="361"/>
      <c r="H4" s="362"/>
      <c r="I4" s="362"/>
      <c r="J4" s="364"/>
      <c r="K4" s="364"/>
      <c r="L4" s="185" t="s">
        <v>335</v>
      </c>
      <c r="M4" s="50" t="s">
        <v>336</v>
      </c>
      <c r="N4" s="50" t="s">
        <v>337</v>
      </c>
      <c r="O4" s="50">
        <v>3</v>
      </c>
      <c r="P4" s="185">
        <v>4</v>
      </c>
      <c r="Q4" s="363"/>
      <c r="R4" s="374"/>
      <c r="S4" s="185" t="s">
        <v>64</v>
      </c>
      <c r="T4" s="50" t="s">
        <v>65</v>
      </c>
      <c r="U4" s="50" t="s">
        <v>88</v>
      </c>
      <c r="V4" s="50" t="s">
        <v>89</v>
      </c>
      <c r="W4" s="186" t="s">
        <v>67</v>
      </c>
      <c r="X4" s="364"/>
      <c r="Y4" s="361"/>
      <c r="Z4" s="362"/>
      <c r="AA4" s="362"/>
      <c r="AB4" s="364"/>
      <c r="AC4" s="364"/>
      <c r="AD4" s="185" t="s">
        <v>335</v>
      </c>
      <c r="AE4" s="50" t="s">
        <v>336</v>
      </c>
      <c r="AF4" s="50" t="s">
        <v>337</v>
      </c>
      <c r="AG4" s="50">
        <v>3</v>
      </c>
      <c r="AH4" s="185">
        <v>4</v>
      </c>
      <c r="AI4" s="374"/>
      <c r="AJ4" s="374"/>
      <c r="AK4" s="185" t="s">
        <v>64</v>
      </c>
      <c r="AL4" s="50" t="s">
        <v>65</v>
      </c>
      <c r="AM4" s="50" t="s">
        <v>88</v>
      </c>
      <c r="AN4" s="50" t="s">
        <v>89</v>
      </c>
      <c r="AO4" s="186"/>
      <c r="AP4" s="364"/>
      <c r="AQ4" s="361"/>
      <c r="AR4" s="362"/>
      <c r="AS4" s="362"/>
      <c r="AT4" s="364"/>
      <c r="AU4" s="364"/>
      <c r="AV4" s="185" t="s">
        <v>335</v>
      </c>
      <c r="AW4" s="50" t="s">
        <v>336</v>
      </c>
      <c r="AX4" s="50" t="s">
        <v>337</v>
      </c>
      <c r="AY4" s="50">
        <v>3</v>
      </c>
      <c r="AZ4" s="185">
        <v>4</v>
      </c>
      <c r="BA4" s="374"/>
      <c r="BB4" s="374"/>
      <c r="BC4" s="185" t="s">
        <v>64</v>
      </c>
      <c r="BD4" s="50" t="s">
        <v>65</v>
      </c>
      <c r="BE4" s="50" t="s">
        <v>88</v>
      </c>
      <c r="BF4" s="50" t="s">
        <v>89</v>
      </c>
      <c r="BG4" s="186" t="s">
        <v>67</v>
      </c>
      <c r="BH4" s="364"/>
      <c r="BI4" s="361"/>
      <c r="BJ4" s="362"/>
      <c r="BK4" s="362"/>
      <c r="BL4" s="364"/>
      <c r="BM4" s="364"/>
      <c r="BN4" s="185" t="s">
        <v>335</v>
      </c>
      <c r="BO4" s="50" t="s">
        <v>336</v>
      </c>
      <c r="BP4" s="50" t="s">
        <v>337</v>
      </c>
      <c r="BQ4" s="50">
        <v>3</v>
      </c>
      <c r="BR4" s="185">
        <v>4</v>
      </c>
      <c r="BS4" s="374"/>
      <c r="BT4" s="374"/>
      <c r="BU4" s="185" t="s">
        <v>64</v>
      </c>
      <c r="BV4" s="50" t="s">
        <v>65</v>
      </c>
      <c r="BW4" s="50" t="s">
        <v>88</v>
      </c>
      <c r="BX4" s="50" t="s">
        <v>89</v>
      </c>
      <c r="BY4" s="186"/>
      <c r="BZ4" s="364"/>
      <c r="CA4" s="361"/>
      <c r="CB4" s="362"/>
      <c r="CC4" s="362"/>
      <c r="CD4" s="364"/>
      <c r="CE4" s="364"/>
      <c r="CF4" s="185" t="s">
        <v>335</v>
      </c>
      <c r="CG4" s="50" t="s">
        <v>336</v>
      </c>
      <c r="CH4" s="50" t="s">
        <v>337</v>
      </c>
      <c r="CI4" s="50">
        <v>3</v>
      </c>
      <c r="CJ4" s="185">
        <v>4</v>
      </c>
      <c r="CK4" s="374"/>
      <c r="CL4" s="374"/>
      <c r="CM4" s="185" t="s">
        <v>64</v>
      </c>
      <c r="CN4" s="50" t="s">
        <v>65</v>
      </c>
      <c r="CO4" s="50" t="s">
        <v>88</v>
      </c>
      <c r="CP4" s="50" t="s">
        <v>89</v>
      </c>
      <c r="CQ4" s="186" t="s">
        <v>67</v>
      </c>
      <c r="CR4" s="381"/>
      <c r="CS4" s="364"/>
      <c r="CT4" s="364"/>
      <c r="CU4" s="364"/>
      <c r="CV4" s="185" t="s">
        <v>335</v>
      </c>
      <c r="CW4" s="50" t="s">
        <v>336</v>
      </c>
      <c r="CX4" s="50" t="s">
        <v>337</v>
      </c>
      <c r="CY4" s="50">
        <v>3</v>
      </c>
      <c r="CZ4" s="185">
        <v>4</v>
      </c>
      <c r="DA4" s="374"/>
      <c r="DB4" s="374"/>
      <c r="DC4" s="185" t="s">
        <v>64</v>
      </c>
      <c r="DD4" s="50" t="s">
        <v>65</v>
      </c>
      <c r="DE4" s="50" t="s">
        <v>88</v>
      </c>
      <c r="DF4" s="50" t="s">
        <v>89</v>
      </c>
      <c r="DG4" s="186" t="s">
        <v>67</v>
      </c>
      <c r="DH4" s="382"/>
      <c r="DI4" s="356"/>
      <c r="DJ4" s="356"/>
      <c r="DK4" s="356"/>
      <c r="DL4" s="185" t="s">
        <v>335</v>
      </c>
      <c r="DM4" s="50" t="s">
        <v>336</v>
      </c>
      <c r="DN4" s="50" t="s">
        <v>337</v>
      </c>
      <c r="DO4" s="50">
        <v>3</v>
      </c>
      <c r="DP4" s="185">
        <v>4</v>
      </c>
      <c r="DQ4" s="374"/>
      <c r="DR4" s="374"/>
      <c r="DS4" s="185" t="s">
        <v>64</v>
      </c>
      <c r="DT4" s="50" t="s">
        <v>65</v>
      </c>
      <c r="DU4" s="50" t="s">
        <v>88</v>
      </c>
      <c r="DV4" s="50" t="s">
        <v>89</v>
      </c>
      <c r="DW4" s="186" t="s">
        <v>67</v>
      </c>
      <c r="DX4" s="369"/>
    </row>
    <row r="5" spans="2:128" ht="10.5" customHeight="1">
      <c r="B5" s="51">
        <v>0.25</v>
      </c>
      <c r="C5" s="51">
        <v>0.25</v>
      </c>
      <c r="D5" s="51">
        <v>0.25</v>
      </c>
      <c r="E5" s="52">
        <v>0.29166666666666669</v>
      </c>
      <c r="F5" s="53" t="str">
        <f>IF(Tim!F7=Sheet6!$C$2,Sheet6!$C$2,IF(Tim!F7=Sheet6!$C$3,Sheet6!$C$3,IF(Tim!F7=Sheet6!$C$4,Sheet6!$C$4,IF(Tim!F7=Sheet6!$C$5,Sheet6!$C$5,IF(Tim!F7=Sheet6!$C$6,Sheet6!$C$6,IF(Tim!F7=Sheet6!$C$7,Sheet6!$C$7,IF(Tim!F7=Sheet6!$C$8,Sheet6!$C$8,"")))))))</f>
        <v/>
      </c>
      <c r="G5" s="53" t="str">
        <f>IF(Tim!G7=Sheet6!$C$2,Sheet6!$C$2,IF(Tim!G7=Sheet6!$C$3,Sheet6!$C$3,IF(Tim!G7=Sheet6!$C$4,Sheet6!$C$4,IF(Tim!G7=Sheet6!$C$5,Sheet6!$C$5,IF(Tim!G7=Sheet6!$C$6,Sheet6!$C$6,IF(Tim!G7=Sheet6!$C$7,Sheet6!$C$7,IF(Tim!G7=Sheet6!$C$8,Sheet6!$C$8,"")))))))</f>
        <v/>
      </c>
      <c r="H5" s="53" t="str">
        <f>IF(Tim!H7=Sheet6!$C$2,Sheet6!$C$2,IF(Tim!H7=Sheet6!$C$3,Sheet6!$C$3,IF(Tim!H7=Sheet6!$C$4,Sheet6!$C$4,IF(Tim!H7=Sheet6!$C$5,Sheet6!$C$5,IF(Tim!H7=Sheet6!$C$6,Sheet6!$C$6,IF(Tim!H7=Sheet6!$C$7,Sheet6!$C$7,IF(Tim!H7=Sheet6!$C$8,Sheet6!$C$8,"")))))))</f>
        <v/>
      </c>
      <c r="I5" s="53" t="str">
        <f>IF(Tim!L7=Sheet6!$C$2,Sheet6!$C$2,IF(Tim!L7=Sheet6!$C$3,Sheet6!$C$3,IF(Tim!L7=Sheet6!$C$4,Sheet6!$C$4,IF(Tim!L7=Sheet6!$C$5,Sheet6!$C$5,IF(Tim!L7=Sheet6!$C$6,Sheet6!$C$6,IF(Tim!L7=Sheet6!$C$7,Sheet6!$C$7,IF(Tim!L7=Sheet6!$C$8,Sheet6!$C$8,"")))))))</f>
        <v/>
      </c>
      <c r="J5" s="53" t="str">
        <f>IF(Tim!T7=Sheet6!$C$2,Sheet6!$C$2,IF(Tim!T7=Sheet6!$C$3,Sheet6!$C$3,IF(Tim!T7=Sheet6!$C$4,Sheet6!$C$4,IF(Tim!T7=Sheet6!$C$5,Sheet6!$C$5,IF(Tim!T7=Sheet6!$C$6,Sheet6!$C$6,IF(Tim!T7=Sheet6!$C$7,Sheet6!$C$7,IF(Tim!T7=Sheet6!$C$8,Sheet6!$C$8,"")))))))</f>
        <v/>
      </c>
      <c r="K5" s="53" t="str">
        <f>IF(Tim!AB7=Sheet6!$C$2,Sheet6!$C$2,IF(Tim!AB7=Sheet6!$C$3,Sheet6!$C$3,IF(Tim!AB7=Sheet6!$C$4,Sheet6!$C$4,IF(Tim!AB7=Sheet6!$C$5,Sheet6!$C$5,IF(Tim!AB7=Sheet6!$C$6,Sheet6!$C$6,IF(Tim!AB7=Sheet6!$C$7,Sheet6!$C$7,IF(Tim!AB7=Sheet6!$C$8,Sheet6!$C$8,"")))))))</f>
        <v/>
      </c>
      <c r="L5" s="53" t="str">
        <f>IF(Tim!AC7=Sheet6!$C$2,Sheet6!$C$2,IF(Tim!AC7=Sheet6!$C$3,Sheet6!$C$3,IF(Tim!AC7=Sheet6!$C$4,Sheet6!$C$4,IF(Tim!AC7=Sheet6!$C$5,Sheet6!$C$5,IF(Tim!AC7=Sheet6!$C$6,Sheet6!$C$6,IF(Tim!AC7=Sheet6!$C$7,Sheet6!$C$7,IF(Tim!AC7=Sheet6!$C$8,Sheet6!$C$8,"")))))))</f>
        <v/>
      </c>
      <c r="M5" s="53" t="str">
        <f>IF(Tim!AJ7=Sheet6!$C$2,Sheet6!$C$2,IF(Tim!AJ7=Sheet6!$C$3,Sheet6!$C$3,IF(Tim!AJ7=Sheet6!$C$4,Sheet6!$C$4,IF(Tim!AJ7=Sheet6!$C$5,Sheet6!$C$5,IF(Tim!AJ7=Sheet6!$C$6,Sheet6!$C$6,IF(Tim!AJ7=Sheet6!$C$7,Sheet6!$C$7,IF(Tim!AJ7=Sheet6!$C$8,Sheet6!$C$8,"")))))))</f>
        <v/>
      </c>
      <c r="N5" s="53" t="str">
        <f>IF(Tim!AK7=Sheet6!$C$2,Sheet6!$C$2,IF(Tim!AK7=Sheet6!$C$3,Sheet6!$C$3,IF(Tim!AK7=Sheet6!$C$4,Sheet6!$C$4,IF(Tim!AK7=Sheet6!$C$5,Sheet6!$C$5,IF(Tim!AK7=Sheet6!$C$6,Sheet6!$C$6,IF(Tim!AK7=Sheet6!$C$7,Sheet6!$C$7,IF(Tim!AK7=Sheet6!$C$8,Sheet6!$C$8,"")))))))</f>
        <v/>
      </c>
      <c r="O5" s="53" t="str">
        <f>IF(Tim!AL7=Sheet6!$C$2,Sheet6!$C$2,IF(Tim!AL7=Sheet6!$C$3,Sheet6!$C$3,IF(Tim!AL7=Sheet6!$C$4,Sheet6!$C$4,IF(Tim!AL7=Sheet6!$C$5,Sheet6!$C$5,IF(Tim!AL7=Sheet6!$C$6,Sheet6!$C$6,IF(Tim!AL7=Sheet6!$C$7,Sheet6!$C$7,IF(Tim!AL7=Sheet6!$C$8,Sheet6!$C$8,"")))))))</f>
        <v/>
      </c>
      <c r="P5" s="53" t="str">
        <f>IF(Tim!AN7=Sheet6!$C$2,Sheet6!$C$2,IF(Tim!AN7=Sheet6!$C$3,Sheet6!$C$3,IF(Tim!AN7=Sheet6!$C$4,Sheet6!$C$4,IF(Tim!AN7=Sheet6!$C$5,Sheet6!$C$5,IF(Tim!AN7=Sheet6!$C$6,Sheet6!$C$6,IF(Tim!AN7=Sheet6!$C$7,Sheet6!$C$7,IF(Tim!AN7=Sheet6!$C$8,Sheet6!$C$8,"")))))))</f>
        <v/>
      </c>
      <c r="Q5" s="53" t="str">
        <f>IF(Tim!AO7=Sheet6!$C$2,Sheet6!$C$2,IF(Tim!AO7=Sheet6!$C$3,Sheet6!$C$3,IF(Tim!AO7=Sheet6!$C$4,Sheet6!$C$4,IF(Tim!AO7=Sheet6!$C$5,Sheet6!$C$5,IF(Tim!AO7=Sheet6!$C$6,Sheet6!$C$6,IF(Tim!AO7=Sheet6!$C$7,Sheet6!$C$7,IF(Tim!AO7=Sheet6!$C$8,Sheet6!$C$8,"")))))))</f>
        <v/>
      </c>
      <c r="R5" s="53" t="str">
        <f>IF(Tim!AP7=Sheet6!$C$2,Sheet6!$C$2,IF(Tim!AP7=Sheet6!$C$3,Sheet6!$C$3,IF(Tim!AP7=Sheet6!$C$4,Sheet6!$C$4,IF(Tim!AP7=Sheet6!$C$5,Sheet6!$C$5,IF(Tim!AP7=Sheet6!$C$6,Sheet6!$C$6,IF(Tim!AP7=Sheet6!$C$7,Sheet6!$C$7,IF(Tim!AP7=Sheet6!$C$8,Sheet6!$C$8,"")))))))</f>
        <v/>
      </c>
      <c r="S5" s="53" t="str">
        <f>IF(Tim!AT7=Sheet6!$C$2,Sheet6!$C$2,IF(Tim!AT7=Sheet6!$C$3,Sheet6!$C$3,IF(Tim!AT7=Sheet6!$C$4,Sheet6!$C$4,IF(Tim!AT7=Sheet6!$C$5,Sheet6!$C$5,IF(Tim!AT7=Sheet6!$C$6,Sheet6!$C$6,IF(Tim!AT7=Sheet6!$C$7,Sheet6!$C$7,IF(Tim!AT7=Sheet6!$C$8,Sheet6!$C$8,"")))))))</f>
        <v/>
      </c>
      <c r="T5" s="54" t="str">
        <f>IF(Tim!AU7=Sheet6!$C$2,Sheet6!$C$2,IF(Tim!AU7=Sheet6!$C$3,Sheet6!$C$3,IF(Tim!AU7=Sheet6!$C$4,Sheet6!$C$4,IF(Tim!AU7=Sheet6!$C$5,Sheet6!$C$5,IF(Tim!AU7=Sheet6!$C$6,Sheet6!$C$6,IF(Tim!AU7=Sheet6!$C$7,Sheet6!$C$7,IF(Tim!AU7=Sheet6!$C$8,Sheet6!$C$8,"")))))))</f>
        <v/>
      </c>
      <c r="U5" s="54" t="str">
        <f>IF(Tim!AV7=Sheet6!$C$2,Sheet6!$C$2,IF(Tim!AV7=Sheet6!$C$3,Sheet6!$C$3,IF(Tim!AV7=Sheet6!$C$4,Sheet6!$C$4,IF(Tim!AV7=Sheet6!$C$5,Sheet6!$C$5,IF(Tim!AV7=Sheet6!$C$6,Sheet6!$C$6,IF(Tim!AV7=Sheet6!$C$7,Sheet6!$C$7,IF(Tim!AV7=Sheet6!$C$8,Sheet6!$C$8,"")))))))</f>
        <v/>
      </c>
      <c r="V5" s="54" t="str">
        <f>IF(Tim!AW7=Sheet6!$C$2,Sheet6!$C$2,IF(Tim!AW7=Sheet6!$C$3,Sheet6!$C$3,IF(Tim!AW7=Sheet6!$C$4,Sheet6!$C$4,IF(Tim!AW7=Sheet6!$C$5,Sheet6!$C$5,IF(Tim!AW7=Sheet6!$C$6,Sheet6!$C$6,IF(Tim!AW7=Sheet6!$C$7,Sheet6!$C$7,IF(Tim!AW7=Sheet6!$C$8,Sheet6!$C$8,"")))))))</f>
        <v/>
      </c>
      <c r="W5" s="55" t="str">
        <f>IF(Tim!AX7=Sheet6!$C$2,Sheet6!$C$2,IF(Tim!AX7=Sheet6!$C$3,Sheet6!$C$3,IF(Tim!AX7=Sheet6!$C$4,Sheet6!$C$4,IF(Tim!AX7=Sheet6!$C$5,Sheet6!$C$5,IF(Tim!AX7=Sheet6!$C$6,Sheet6!$C$6,IF(Tim!AX7=Sheet6!$C$7,Sheet6!$C$7,IF(Tim!AX7=Sheet6!$C$8,Sheet6!$C$8,"")))))))</f>
        <v/>
      </c>
      <c r="X5" s="53" t="str">
        <f>IF(Tim!AY7=Sheet6!$C$2,Sheet6!$C$2,IF(Tim!AY7=Sheet6!$C$3,Sheet6!$C$3,IF(Tim!AY7=Sheet6!$C$4,Sheet6!$C$4,IF(Tim!AY7=Sheet6!$C$5,Sheet6!$C$5,IF(Tim!AY7=Sheet6!$C$6,Sheet6!$C$6,IF(Tim!AY7=Sheet6!$C$7,Sheet6!$C$7,IF(Tim!AY7=Sheet6!$C$8,Sheet6!$C$8,"")))))))</f>
        <v/>
      </c>
      <c r="Y5" s="57" t="str">
        <f>IF(Tim!AZ7=Sheet6!$C$2,Sheet6!$C$2,IF(Tim!AZ7=Sheet6!$C$3,Sheet6!$C$3,IF(Tim!AZ7=Sheet6!$C$4,Sheet6!$C$4,IF(Tim!AZ7=Sheet6!$C$5,Sheet6!$C$5,IF(Tim!AZ7=Sheet6!$C$6,Sheet6!$C$6,IF(Tim!AZ7=Sheet6!$C$7,Sheet6!$C$7,IF(Tim!AZ7=Sheet6!$C$8,Sheet6!$C$8,"")))))))</f>
        <v/>
      </c>
      <c r="Z5" s="57" t="str">
        <f>IF(Tim!BD7=Sheet6!$C$2,Sheet6!$C$2,IF(Tim!BD7=Sheet6!$C$3,Sheet6!$C$3,IF(Tim!BD7=Sheet6!$C$4,Sheet6!$C$4,IF(Tim!BD7=Sheet6!$C$5,Sheet6!$C$5,IF(Tim!BD7=Sheet6!$C$6,Sheet6!$C$6,IF(Tim!BD7=Sheet6!$C$7,Sheet6!$C$7,IF(Tim!BD7=Sheet6!$C$8,Sheet6!$C$8,"")))))))</f>
        <v/>
      </c>
      <c r="AA5" s="57" t="str">
        <f>IF(Tim!BE7=Sheet6!$C$2,Sheet6!$C$2,IF(Tim!BE7=Sheet6!$C$3,Sheet6!$C$3,IF(Tim!BE7=Sheet6!$C$4,Sheet6!$C$4,IF(Tim!BE7=Sheet6!$C$5,Sheet6!$C$5,IF(Tim!BE7=Sheet6!$C$6,Sheet6!$C$6,IF(Tim!BE7=Sheet6!$C$7,Sheet6!$C$7,IF(Tim!BE7=Sheet6!$C$8,Sheet6!$C$8,"")))))))</f>
        <v/>
      </c>
      <c r="AB5" s="57" t="str">
        <f>IF(Tim!BL7=Sheet6!$C$2,Sheet6!$C$2,IF(Tim!BL7=Sheet6!$C$3,Sheet6!$C$3,IF(Tim!BL7=Sheet6!$C$4,Sheet6!$C$4,IF(Tim!BL7=Sheet6!$C$5,Sheet6!$C$5,IF(Tim!BL7=Sheet6!$C$6,Sheet6!$C$6,IF(Tim!BL7=Sheet6!$C$7,Sheet6!$C$7,IF(Tim!BL7=Sheet6!$C$8,Sheet6!$C$8,"")))))))</f>
        <v/>
      </c>
      <c r="AC5" s="53" t="str">
        <f>IF(Tim!BT7=Sheet6!$C$2,Sheet6!$C$2,IF(Tim!BT7=Sheet6!$C$3,Sheet6!$C$3,IF(Tim!BT7=Sheet6!$C$4,Sheet6!$C$4,IF(Tim!BT7=Sheet6!$C$5,Sheet6!$C$5,IF(Tim!BT7=Sheet6!$C$6,Sheet6!$C$6,IF(Tim!BT7=Sheet6!$C$7,Sheet6!$C$7,IF(Tim!BT7=Sheet6!$C$8,Sheet6!$C$8,"")))))))</f>
        <v/>
      </c>
      <c r="AD5" s="53" t="str">
        <f>IF(Tim!BU7=Sheet6!$C$2,Sheet6!$C$2,IF(Tim!BU7=Sheet6!$C$3,Sheet6!$C$3,IF(Tim!BU7=Sheet6!$C$4,Sheet6!$C$4,IF(Tim!BU7=Sheet6!$C$5,Sheet6!$C$5,IF(Tim!BU7=Sheet6!$C$6,Sheet6!$C$6,IF(Tim!BU7=Sheet6!$C$7,Sheet6!$C$7,IF(Tim!BU7=Sheet6!$C$8,Sheet6!$C$8,"")))))))</f>
        <v/>
      </c>
      <c r="AE5" s="53" t="str">
        <f>IF(Tim!CB7=Sheet6!$C$2,Sheet6!$C$2,IF(Tim!CB7=Sheet6!$C$3,Sheet6!$C$3,IF(Tim!CB7=Sheet6!$C$4,Sheet6!$C$4,IF(Tim!CB7=Sheet6!$C$5,Sheet6!$C$5,IF(Tim!CB7=Sheet6!$C$6,Sheet6!$C$6,IF(Tim!CB7=Sheet6!$C$7,Sheet6!$C$7,IF(Tim!CB7=Sheet6!$C$8,Sheet6!$C$8,"")))))))</f>
        <v/>
      </c>
      <c r="AF5" s="53" t="str">
        <f>IF(Tim!CD7=Sheet6!$C$2,Sheet6!$C$2,IF(Tim!CD7=Sheet6!$C$3,Sheet6!$C$3,IF(Tim!CD7=Sheet6!$C$4,Sheet6!$C$4,IF(Tim!CD7=Sheet6!$C$5,Sheet6!$C$5,IF(Tim!CD7=Sheet6!$C$6,Sheet6!$C$6,IF(Tim!CD7=Sheet6!$C$7,Sheet6!$C$7,IF(Tim!CD7=Sheet6!$C$8,Sheet6!$C$8,"")))))))</f>
        <v/>
      </c>
      <c r="AG5" s="53" t="str">
        <f>IF(Tim!CE7=Sheet6!$C$2,Sheet6!$C$2,IF(Tim!CE7=Sheet6!$C$3,Sheet6!$C$3,IF(Tim!CE7=Sheet6!$C$4,Sheet6!$C$4,IF(Tim!CE7=Sheet6!$C$5,Sheet6!$C$5,IF(Tim!CE7=Sheet6!$C$6,Sheet6!$C$6,IF(Tim!CE7=Sheet6!$C$7,Sheet6!$C$7,IF(Tim!CE7=Sheet6!$C$8,Sheet6!$C$8,"")))))))</f>
        <v/>
      </c>
      <c r="AH5" s="53" t="str">
        <f>IF(Tim!CF7=Sheet6!$C$2,Sheet6!$C$2,IF(Tim!CF7=Sheet6!$C$3,Sheet6!$C$3,IF(Tim!CF7=Sheet6!$C$4,Sheet6!$C$4,IF(Tim!CF7=Sheet6!$C$5,Sheet6!$C$5,IF(Tim!CF7=Sheet6!$C$6,Sheet6!$C$6,IF(Tim!CF7=Sheet6!$C$7,Sheet6!$C$7,IF(Tim!CF7=Sheet6!$C$8,Sheet6!$C$8,"")))))))</f>
        <v/>
      </c>
      <c r="AI5" s="53" t="str">
        <f>IF(Tim!CG7=Sheet6!$C$2,Sheet6!$C$2,IF(Tim!CG7=Sheet6!$C$3,Sheet6!$C$3,IF(Tim!CG7=Sheet6!$C$4,Sheet6!$C$4,IF(Tim!CG7=Sheet6!$C$5,Sheet6!$C$5,IF(Tim!CG7=Sheet6!$C$6,Sheet6!$C$6,IF(Tim!CG7=Sheet6!$C$7,Sheet6!$C$7,IF(Tim!CG7=Sheet6!$C$8,Sheet6!$C$8,"")))))))</f>
        <v/>
      </c>
      <c r="AJ5" s="53" t="str">
        <f>IF(Tim!CH7=Sheet6!$C$2,Sheet6!$C$2,IF(Tim!CH7=Sheet6!$C$3,Sheet6!$C$3,IF(Tim!CH7=Sheet6!$C$4,Sheet6!$C$4,IF(Tim!CH7=Sheet6!$C$5,Sheet6!$C$5,IF(Tim!CH7=Sheet6!$C$6,Sheet6!$C$6,IF(Tim!CH7=Sheet6!$C$7,Sheet6!$C$7,IF(Tim!CH7=Sheet6!$C$8,Sheet6!$C$8,"")))))))</f>
        <v/>
      </c>
      <c r="AK5" s="53" t="str">
        <f>IF(Tim!CL7=Sheet6!$C$2,Sheet6!$C$2,IF(Tim!CL7=Sheet6!$C$3,Sheet6!$C$3,IF(Tim!CL7=Sheet6!$C$4,Sheet6!$C$4,IF(Tim!CL7=Sheet6!$C$5,Sheet6!$C$5,IF(Tim!CL7=Sheet6!$C$6,Sheet6!$C$6,IF(Tim!CL7=Sheet6!$C$7,Sheet6!$C$7,IF(Tim!CL7=Sheet6!$C$8,Sheet6!$C$8,"")))))))</f>
        <v/>
      </c>
      <c r="AL5" s="54" t="str">
        <f>IF(Tim!CM7=Sheet6!$C$2,Sheet6!$C$2,IF(Tim!CM7=Sheet6!$C$3,Sheet6!$C$3,IF(Tim!CM7=Sheet6!$C$4,Sheet6!$C$4,IF(Tim!CM7=Sheet6!$C$5,Sheet6!$C$5,IF(Tim!CM7=Sheet6!$C$6,Sheet6!$C$6,IF(Tim!CM7=Sheet6!$C$7,Sheet6!$C$7,IF(Tim!CM7=Sheet6!$C$8,Sheet6!$C$8,"")))))))</f>
        <v/>
      </c>
      <c r="AM5" s="54" t="str">
        <f>IF(Tim!CN7=Sheet6!$C$2,Sheet6!$C$2,IF(Tim!CN7=Sheet6!$C$3,Sheet6!$C$3,IF(Tim!CN7=Sheet6!$C$4,Sheet6!$C$4,IF(Tim!CN7=Sheet6!$C$5,Sheet6!$C$5,IF(Tim!CN7=Sheet6!$C$6,Sheet6!$C$6,IF(Tim!CN7=Sheet6!$C$7,Sheet6!$C$7,IF(Tim!CN7=Sheet6!$C$8,Sheet6!$C$8,"")))))))</f>
        <v/>
      </c>
      <c r="AN5" s="54" t="str">
        <f>IF(Tim!CO7=Sheet6!$C$2,Sheet6!$C$2,IF(Tim!CO7=Sheet6!$C$3,Sheet6!$C$3,IF(Tim!CO7=Sheet6!$C$4,Sheet6!$C$4,IF(Tim!CO7=Sheet6!$C$5,Sheet6!$C$5,IF(Tim!CO7=Sheet6!$C$6,Sheet6!$C$6,IF(Tim!CO7=Sheet6!$C$7,Sheet6!$C$7,IF(Tim!CO7=Sheet6!$C$8,Sheet6!$C$8,"")))))))</f>
        <v/>
      </c>
      <c r="AO5" s="55" t="str">
        <f>IF(Tim!CP7=Sheet6!$C$2,Sheet6!$C$2,IF(Tim!CP7=Sheet6!$C$3,Sheet6!$C$3,IF(Tim!CP7=Sheet6!$C$4,Sheet6!$C$4,IF(Tim!CP7=Sheet6!$C$5,Sheet6!$C$5,IF(Tim!CP7=Sheet6!$C$6,Sheet6!$C$6,IF(Tim!CP7=Sheet6!$C$7,Sheet6!$C$7,IF(Tim!CP7=Sheet6!$C$8,Sheet6!$C$8,"")))))))</f>
        <v/>
      </c>
      <c r="AP5" s="53" t="str">
        <f>IF(Tim!CQ7=Sheet6!$C$2,Sheet6!$C$2,IF(Tim!CQ7=Sheet6!$C$3,Sheet6!$C$3,IF(Tim!CQ7=Sheet6!$C$4,Sheet6!$C$4,IF(Tim!CQ7=Sheet6!$C$5,Sheet6!$C$5,IF(Tim!CQ7=Sheet6!$C$6,Sheet6!$C$6,IF(Tim!CQ7=Sheet6!$C$7,Sheet6!$C$7,IF(Tim!CQ7=Sheet6!$C$8,Sheet6!$C$8,"")))))))</f>
        <v/>
      </c>
      <c r="AQ5" s="57" t="str">
        <f>IF(Tim!CR7=Sheet6!$C$2,Sheet6!$C$2,IF(Tim!CR7=Sheet6!$C$3,Sheet6!$C$3,IF(Tim!CR7=Sheet6!$C$4,Sheet6!$C$4,IF(Tim!CR7=Sheet6!$C$5,Sheet6!$C$5,IF(Tim!CR7=Sheet6!$C$6,Sheet6!$C$6,IF(Tim!CR7=Sheet6!$C$7,Sheet6!$C$7,IF(Tim!CR7=Sheet6!$C$8,Sheet6!$C$8,"")))))))</f>
        <v/>
      </c>
      <c r="AR5" s="57" t="str">
        <f>IF(Tim!CV7=Sheet6!$C$2,Sheet6!$C$2,IF(Tim!CV7=Sheet6!$C$3,Sheet6!$C$3,IF(Tim!CV7=Sheet6!$C$4,Sheet6!$C$4,IF(Tim!CV7=Sheet6!$C$5,Sheet6!$C$5,IF(Tim!CV7=Sheet6!$C$6,Sheet6!$C$6,IF(Tim!CV7=Sheet6!$C$7,Sheet6!$C$7,IF(Tim!CV7=Sheet6!$C$8,Sheet6!$C$8,"")))))))</f>
        <v/>
      </c>
      <c r="AS5" s="57" t="str">
        <f>IF(Tim!CW7=Sheet6!$C$2,Sheet6!$C$2,IF(Tim!CW7=Sheet6!$C$3,Sheet6!$C$3,IF(Tim!CW7=Sheet6!$C$4,Sheet6!$C$4,IF(Tim!CW7=Sheet6!$C$5,Sheet6!$C$5,IF(Tim!CW7=Sheet6!$C$6,Sheet6!$C$6,IF(Tim!CW7=Sheet6!$C$7,Sheet6!$C$7,IF(Tim!CW7=Sheet6!$C$8,Sheet6!$C$8,"")))))))</f>
        <v/>
      </c>
      <c r="AT5" s="57" t="str">
        <f>IF(Tim!DA7=Sheet6!$C$2,Sheet6!$C$2,IF(Tim!DA7=Sheet6!$C$3,Sheet6!$C$3,IF(Tim!DA7=Sheet6!$C$4,Sheet6!$C$4,IF(Tim!DA7=Sheet6!$C$5,Sheet6!$C$5,IF(Tim!DA7=Sheet6!$C$6,Sheet6!$C$6,IF(Tim!DA7=Sheet6!$C$7,Sheet6!$C$7,IF(Tim!DA7=Sheet6!$C$8,Sheet6!$C$8,"")))))))</f>
        <v/>
      </c>
      <c r="AU5" s="53" t="str">
        <f>IF(Tim!DO7=Sheet6!$C$2,Sheet6!$C$2,IF(Tim!DO7=Sheet6!$C$3,Sheet6!$C$3,IF(Tim!DO7=Sheet6!$C$4,Sheet6!$C$4,IF(Tim!DO7=Sheet6!$C$5,Sheet6!$C$5,IF(Tim!DO7=Sheet6!$C$6,Sheet6!$C$6,IF(Tim!DO7=Sheet6!$C$7,Sheet6!$C$7,IF(Tim!DO7=Sheet6!$C$8,Sheet6!$C$8,"")))))))</f>
        <v/>
      </c>
      <c r="AV5" s="53" t="str">
        <f>IF(Tim!DP7=Sheet6!$C$2,Sheet6!$C$2,IF(Tim!DP7=Sheet6!$C$3,Sheet6!$C$3,IF(Tim!DP7=Sheet6!$C$4,Sheet6!$C$4,IF(Tim!DP7=Sheet6!$C$5,Sheet6!$C$5,IF(Tim!DP7=Sheet6!$C$6,Sheet6!$C$6,IF(Tim!DP7=Sheet6!$C$7,Sheet6!$C$7,IF(Tim!DP7=Sheet6!$C$8,Sheet6!$C$8,"")))))))</f>
        <v/>
      </c>
      <c r="AW5" s="53" t="str">
        <f>IF(Tim!DX7=Sheet6!$C$2,Sheet6!$C$2,IF(Tim!DX7=Sheet6!$C$3,Sheet6!$C$3,IF(Tim!DX7=Sheet6!$C$4,Sheet6!$C$4,IF(Tim!DX7=Sheet6!$C$5,Sheet6!$C$5,IF(Tim!DX7=Sheet6!$C$6,Sheet6!$C$6,IF(Tim!DX7=Sheet6!$C$7,Sheet6!$C$7,IF(Tim!DX7=Sheet6!$C$8,Sheet6!$C$8,"")))))))</f>
        <v/>
      </c>
      <c r="AX5" s="53" t="str">
        <f>IF(Tim!DY7=Sheet6!$C$2,Sheet6!$C$2,IF(Tim!DY7=Sheet6!$C$3,Sheet6!$C$3,IF(Tim!DY7=Sheet6!$C$4,Sheet6!$C$4,IF(Tim!DY7=Sheet6!$C$5,Sheet6!$C$5,IF(Tim!DY7=Sheet6!$C$6,Sheet6!$C$6,IF(Tim!DY7=Sheet6!$C$7,Sheet6!$C$7,IF(Tim!DY7=Sheet6!$C$8,Sheet6!$C$8,"")))))))</f>
        <v/>
      </c>
      <c r="AY5" s="53" t="str">
        <f>IF(Tim!DZ7=Sheet6!$C$2,Sheet6!$C$2,IF(Tim!DZ7=Sheet6!$C$3,Sheet6!$C$3,IF(Tim!DZ7=Sheet6!$C$4,Sheet6!$C$4,IF(Tim!DZ7=Sheet6!$C$5,Sheet6!$C$5,IF(Tim!DZ7=Sheet6!$C$6,Sheet6!$C$6,IF(Tim!DZ7=Sheet6!$C$7,Sheet6!$C$7,IF(Tim!DZ7=Sheet6!$C$8,Sheet6!$C$8,"")))))))</f>
        <v/>
      </c>
      <c r="AZ5" s="53" t="str">
        <f>IF(Tim!EA7=Sheet6!$C$2,Sheet6!$C$2,IF(Tim!EA7=Sheet6!$C$3,Sheet6!$C$3,IF(Tim!EA7=Sheet6!$C$4,Sheet6!$C$4,IF(Tim!EA7=Sheet6!$C$5,Sheet6!$C$5,IF(Tim!EA7=Sheet6!$C$6,Sheet6!$C$6,IF(Tim!EA7=Sheet6!$C$7,Sheet6!$C$7,IF(Tim!EA7=Sheet6!$C$8,Sheet6!$C$8,"")))))))</f>
        <v/>
      </c>
      <c r="BA5" s="53" t="str">
        <f>IF(Tim!EB7=Sheet6!$C$2,Sheet6!$C$2,IF(Tim!EB7=Sheet6!$C$3,Sheet6!$C$3,IF(Tim!EB7=Sheet6!$C$4,Sheet6!$C$4,IF(Tim!EB7=Sheet6!$C$5,Sheet6!$C$5,IF(Tim!EB7=Sheet6!$C$6,Sheet6!$C$6,IF(Tim!EB7=Sheet6!$C$7,Sheet6!$C$7,IF(Tim!EB7=Sheet6!$C$8,Sheet6!$C$8,"")))))))</f>
        <v/>
      </c>
      <c r="BB5" s="53" t="str">
        <f>IF(Tim!EC7=Sheet6!$C$2,Sheet6!$C$2,IF(Tim!EC7=Sheet6!$C$3,Sheet6!$C$3,IF(Tim!EC7=Sheet6!$C$4,Sheet6!$C$4,IF(Tim!EC7=Sheet6!$C$5,Sheet6!$C$5,IF(Tim!EC7=Sheet6!$C$6,Sheet6!$C$6,IF(Tim!EC7=Sheet6!$C$7,Sheet6!$C$7,IF(Tim!EC7=Sheet6!$C$8,Sheet6!$C$8,"")))))))</f>
        <v/>
      </c>
      <c r="BC5" s="53" t="str">
        <f>IF(Tim!EG7=Sheet6!$C$2,Sheet6!$C$2,IF(Tim!EG7=Sheet6!$C$3,Sheet6!$C$3,IF(Tim!EG7=Sheet6!$C$4,Sheet6!$C$4,IF(Tim!EG7=Sheet6!$C$5,Sheet6!$C$5,IF(Tim!EG7=Sheet6!$C$6,Sheet6!$C$6,IF(Tim!EG7=Sheet6!$C$7,Sheet6!$C$7,IF(Tim!EG7=Sheet6!$C$8,Sheet6!$C$8,"")))))))</f>
        <v/>
      </c>
      <c r="BD5" s="54" t="str">
        <f>IF(Tim!EH7=Sheet6!$C$2,Sheet6!$C$2,IF(Tim!EH7=Sheet6!$C$3,Sheet6!$C$3,IF(Tim!EH7=Sheet6!$C$4,Sheet6!$C$4,IF(Tim!EH7=Sheet6!$C$5,Sheet6!$C$5,IF(Tim!EH7=Sheet6!$C$6,Sheet6!$C$6,IF(Tim!EH7=Sheet6!$C$7,Sheet6!$C$7,IF(Tim!EH7=Sheet6!$C$8,Sheet6!$C$8,"")))))))</f>
        <v/>
      </c>
      <c r="BE5" s="54" t="str">
        <f>IF(Tim!EI7=Sheet6!$C$2,Sheet6!$C$2,IF(Tim!EI7=Sheet6!$C$3,Sheet6!$C$3,IF(Tim!EI7=Sheet6!$C$4,Sheet6!$C$4,IF(Tim!EI7=Sheet6!$C$5,Sheet6!$C$5,IF(Tim!EI7=Sheet6!$C$6,Sheet6!$C$6,IF(Tim!EI7=Sheet6!$C$7,Sheet6!$C$7,IF(Tim!EI7=Sheet6!$C$8,Sheet6!$C$8,"")))))))</f>
        <v/>
      </c>
      <c r="BF5" s="54" t="str">
        <f>IF(Tim!EJ7=Sheet6!$C$2,Sheet6!$C$2,IF(Tim!EJ7=Sheet6!$C$3,Sheet6!$C$3,IF(Tim!EJ7=Sheet6!$C$4,Sheet6!$C$4,IF(Tim!EJ7=Sheet6!$C$5,Sheet6!$C$5,IF(Tim!EJ7=Sheet6!$C$6,Sheet6!$C$6,IF(Tim!EJ7=Sheet6!$C$7,Sheet6!$C$7,IF(Tim!EJ7=Sheet6!$C$8,Sheet6!$C$8,"")))))))</f>
        <v/>
      </c>
      <c r="BG5" s="55" t="str">
        <f>IF(Tim!EK7=Sheet6!$C$2,Sheet6!$C$2,IF(Tim!EK7=Sheet6!$C$3,Sheet6!$C$3,IF(Tim!EK7=Sheet6!$C$4,Sheet6!$C$4,IF(Tim!EK7=Sheet6!$C$5,Sheet6!$C$5,IF(Tim!EK7=Sheet6!$C$6,Sheet6!$C$6,IF(Tim!EK7=Sheet6!$C$7,Sheet6!$C$7,IF(Tim!EK7=Sheet6!$C$8,Sheet6!$C$8,"")))))))</f>
        <v/>
      </c>
      <c r="BH5" s="53" t="str">
        <f>IF(Tim!EL7=Sheet6!$C$2,Sheet6!$C$2,IF(Tim!EL7=Sheet6!$C$3,Sheet6!$C$3,IF(Tim!EL7=Sheet6!$C$4,Sheet6!$C$4,IF(Tim!EL7=Sheet6!$C$5,Sheet6!$C$5,IF(Tim!EL7=Sheet6!$C$6,Sheet6!$C$6,IF(Tim!EL7=Sheet6!$C$7,Sheet6!$C$7,IF(Tim!EL7=Sheet6!$C$8,Sheet6!$C$8,"")))))))</f>
        <v/>
      </c>
      <c r="BI5" s="57" t="str">
        <f>IF(Tim!EM7=Sheet6!$C$2,Sheet6!$C$2,IF(Tim!EM7=Sheet6!$C$3,Sheet6!$C$3,IF(Tim!EM7=Sheet6!$C$4,Sheet6!$C$4,IF(Tim!EM7=Sheet6!$C$5,Sheet6!$C$5,IF(Tim!EM7=Sheet6!$C$6,Sheet6!$C$6,IF(Tim!EM7=Sheet6!$C$7,Sheet6!$C$7,IF(Tim!EM7=Sheet6!$C$8,Sheet6!$C$8,"")))))))</f>
        <v/>
      </c>
      <c r="BJ5" s="57" t="str">
        <f>IF(Tim!EQ7=Sheet6!$C$2,Sheet6!$C$2,IF(Tim!EQ7=Sheet6!$C$3,Sheet6!$C$3,IF(Tim!EQ7=Sheet6!$C$4,Sheet6!$C$4,IF(Tim!EQ7=Sheet6!$C$5,Sheet6!$C$5,IF(Tim!EQ7=Sheet6!$C$6,Sheet6!$C$6,IF(Tim!EQ7=Sheet6!$C$7,Sheet6!$C$7,IF(Tim!EQ7=Sheet6!$C$8,Sheet6!$C$8,"")))))))</f>
        <v/>
      </c>
      <c r="BK5" s="57" t="str">
        <f>IF(Tim!ER7=Sheet6!$C$2,Sheet6!$C$2,IF(Tim!ER7=Sheet6!$C$3,Sheet6!$C$3,IF(Tim!ER7=Sheet6!$C$4,Sheet6!$C$4,IF(Tim!ER7=Sheet6!$C$5,Sheet6!$C$5,IF(Tim!ER7=Sheet6!$C$6,Sheet6!$C$6,IF(Tim!ER7=Sheet6!$C$7,Sheet6!$C$7,IF(Tim!ER7=Sheet6!$C$8,Sheet6!$C$8,"")))))))</f>
        <v/>
      </c>
      <c r="BL5" s="57" t="str">
        <f>IF(Tim!EZ7=Sheet6!$C$2,Sheet6!$C$2,IF(Tim!EZ7=Sheet6!$C$3,Sheet6!$C$3,IF(Tim!EZ7=Sheet6!$C$4,Sheet6!$C$4,IF(Tim!EZ7=Sheet6!$C$5,Sheet6!$C$5,IF(Tim!EZ7=Sheet6!$C$6,Sheet6!$C$6,IF(Tim!EZ7=Sheet6!$C$7,Sheet6!$C$7,IF(Tim!EZ7=Sheet6!$C$8,Sheet6!$C$8,"")))))))</f>
        <v/>
      </c>
      <c r="BM5" s="53" t="str">
        <f>IF(Tim!FG7=Sheet6!$C$2,Sheet6!$C$2,IF(Tim!FG7=Sheet6!$C$3,Sheet6!$C$3,IF(Tim!FG7=Sheet6!$C$4,Sheet6!$C$4,IF(Tim!FG7=Sheet6!$C$5,Sheet6!$C$5,IF(Tim!FG7=Sheet6!$C$6,Sheet6!$C$6,IF(Tim!FG7=Sheet6!$C$7,Sheet6!$C$7,IF(Tim!FG7=Sheet6!$C$8,Sheet6!$C$8,"")))))))</f>
        <v/>
      </c>
      <c r="BN5" s="53" t="str">
        <f>IF(Tim!FH7=Sheet6!$C$2,Sheet6!$C$2,IF(Tim!FH7=Sheet6!$C$3,Sheet6!$C$3,IF(Tim!FH7=Sheet6!$C$4,Sheet6!$C$4,IF(Tim!FH7=Sheet6!$C$5,Sheet6!$C$5,IF(Tim!FH7=Sheet6!$C$6,Sheet6!$C$6,IF(Tim!FH7=Sheet6!$C$7,Sheet6!$C$7,IF(Tim!FH7=Sheet6!$C$8,Sheet6!$C$8,"")))))))</f>
        <v/>
      </c>
      <c r="BO5" s="53" t="str">
        <f>IF(Tim!FP7=Sheet6!$C$2,Sheet6!$C$2,IF(Tim!FP7=Sheet6!$C$3,Sheet6!$C$3,IF(Tim!FP7=Sheet6!$C$4,Sheet6!$C$4,IF(Tim!FP7=Sheet6!$C$5,Sheet6!$C$5,IF(Tim!FP7=Sheet6!$C$6,Sheet6!$C$6,IF(Tim!FP7=Sheet6!$C$7,Sheet6!$C$7,IF(Tim!FP7=Sheet6!$C$8,Sheet6!$C$8,"")))))))</f>
        <v/>
      </c>
      <c r="BP5" s="53" t="str">
        <f>IF(Tim!FQ7=Sheet6!$C$2,Sheet6!$C$2,IF(Tim!FQ7=Sheet6!$C$3,Sheet6!$C$3,IF(Tim!FQ7=Sheet6!$C$4,Sheet6!$C$4,IF(Tim!FQ7=Sheet6!$C$5,Sheet6!$C$5,IF(Tim!FQ7=Sheet6!$C$6,Sheet6!$C$6,IF(Tim!FQ7=Sheet6!$C$7,Sheet6!$C$7,IF(Tim!FQ7=Sheet6!$C$8,Sheet6!$C$8,"")))))))</f>
        <v/>
      </c>
      <c r="BQ5" s="53" t="str">
        <f>IF(Tim!FR7=Sheet6!$C$2,Sheet6!$C$2,IF(Tim!FR7=Sheet6!$C$3,Sheet6!$C$3,IF(Tim!FR7=Sheet6!$C$4,Sheet6!$C$4,IF(Tim!FR7=Sheet6!$C$5,Sheet6!$C$5,IF(Tim!FR7=Sheet6!$C$6,Sheet6!$C$6,IF(Tim!FR7=Sheet6!$C$7,Sheet6!$C$7,IF(Tim!FR7=Sheet6!$C$8,Sheet6!$C$8,"")))))))</f>
        <v/>
      </c>
      <c r="BR5" s="53" t="str">
        <f>IF(Tim!FS7=Sheet6!$C$2,Sheet6!$C$2,IF(Tim!FS7=Sheet6!$C$3,Sheet6!$C$3,IF(Tim!FS7=Sheet6!$C$4,Sheet6!$C$4,IF(Tim!FS7=Sheet6!$C$5,Sheet6!$C$5,IF(Tim!FS7=Sheet6!$C$6,Sheet6!$C$6,IF(Tim!FS7=Sheet6!$C$7,Sheet6!$C$7,IF(Tim!FS7=Sheet6!$C$8,Sheet6!$C$8,"")))))))</f>
        <v/>
      </c>
      <c r="BS5" s="53" t="str">
        <f>IF(Tim!FT7=Sheet6!$C$2,Sheet6!$C$2,IF(Tim!FT7=Sheet6!$C$3,Sheet6!$C$3,IF(Tim!FT7=Sheet6!$C$4,Sheet6!$C$4,IF(Tim!FT7=Sheet6!$C$5,Sheet6!$C$5,IF(Tim!FT7=Sheet6!$C$6,Sheet6!$C$6,IF(Tim!FT7=Sheet6!$C$7,Sheet6!$C$7,IF(Tim!FT7=Sheet6!$C$8,Sheet6!$C$8,"")))))))</f>
        <v/>
      </c>
      <c r="BT5" s="53" t="str">
        <f>IF(Tim!FU7=Sheet6!$C$2,Sheet6!$C$2,IF(Tim!FU7=Sheet6!$C$3,Sheet6!$C$3,IF(Tim!FU7=Sheet6!$C$4,Sheet6!$C$4,IF(Tim!FU7=Sheet6!$C$5,Sheet6!$C$5,IF(Tim!FU7=Sheet6!$C$6,Sheet6!$C$6,IF(Tim!FU7=Sheet6!$C$7,Sheet6!$C$7,IF(Tim!FU7=Sheet6!$C$8,Sheet6!$C$8,"")))))))</f>
        <v/>
      </c>
      <c r="BU5" s="53" t="str">
        <f>IF(Tim!FY7=Sheet6!$C$2,Sheet6!$C$2,IF(Tim!FY7=Sheet6!$C$3,Sheet6!$C$3,IF(Tim!FY7=Sheet6!$C$4,Sheet6!$C$4,IF(Tim!FY7=Sheet6!$C$5,Sheet6!$C$5,IF(Tim!FY7=Sheet6!$C$6,Sheet6!$C$6,IF(Tim!FY7=Sheet6!$C$7,Sheet6!$C$7,IF(Tim!FY7=Sheet6!$C$8,Sheet6!$C$8,"")))))))</f>
        <v/>
      </c>
      <c r="BV5" s="54" t="str">
        <f>IF(Tim!FZ7=Sheet6!$C$2,Sheet6!$C$2,IF(Tim!FZ7=Sheet6!$C$3,Sheet6!$C$3,IF(Tim!FZ7=Sheet6!$C$4,Sheet6!$C$4,IF(Tim!FZ7=Sheet6!$C$5,Sheet6!$C$5,IF(Tim!FZ7=Sheet6!$C$6,Sheet6!$C$6,IF(Tim!FZ7=Sheet6!$C$7,Sheet6!$C$7,IF(Tim!FZ7=Sheet6!$C$8,Sheet6!$C$8,"")))))))</f>
        <v/>
      </c>
      <c r="BW5" s="54" t="str">
        <f>IF(Tim!GA7=Sheet6!$C$2,Sheet6!$C$2,IF(Tim!GA7=Sheet6!$C$3,Sheet6!$C$3,IF(Tim!GA7=Sheet6!$C$4,Sheet6!$C$4,IF(Tim!GA7=Sheet6!$C$5,Sheet6!$C$5,IF(Tim!GA7=Sheet6!$C$6,Sheet6!$C$6,IF(Tim!GA7=Sheet6!$C$7,Sheet6!$C$7,IF(Tim!GA7=Sheet6!$C$8,Sheet6!$C$8,"")))))))</f>
        <v/>
      </c>
      <c r="BX5" s="54" t="str">
        <f>IF(Tim!GB7=Sheet6!$C$2,Sheet6!$C$2,IF(Tim!GB7=Sheet6!$C$3,Sheet6!$C$3,IF(Tim!GB7=Sheet6!$C$4,Sheet6!$C$4,IF(Tim!GB7=Sheet6!$C$5,Sheet6!$C$5,IF(Tim!GB7=Sheet6!$C$6,Sheet6!$C$6,IF(Tim!GB7=Sheet6!$C$7,Sheet6!$C$7,IF(Tim!GB7=Sheet6!$C$8,Sheet6!$C$8,"")))))))</f>
        <v/>
      </c>
      <c r="BY5" s="55" t="str">
        <f>IF(Tim!GC7=Sheet6!$C$2,Sheet6!$C$2,IF(Tim!GC7=Sheet6!$C$3,Sheet6!$C$3,IF(Tim!GC7=Sheet6!$C$4,Sheet6!$C$4,IF(Tim!GC7=Sheet6!$C$5,Sheet6!$C$5,IF(Tim!GC7=Sheet6!$C$6,Sheet6!$C$6,IF(Tim!GC7=Sheet6!$C$7,Sheet6!$C$7,IF(Tim!GC7=Sheet6!$C$8,Sheet6!$C$8,"")))))))</f>
        <v/>
      </c>
      <c r="BZ5" s="53" t="str">
        <f>IF(Tim!GD7=Sheet6!$C$2,Sheet6!$C$2,IF(Tim!GD7=Sheet6!$C$3,Sheet6!$C$3,IF(Tim!GD7=Sheet6!$C$4,Sheet6!$C$4,IF(Tim!GD7=Sheet6!$C$5,Sheet6!$C$5,IF(Tim!GD7=Sheet6!$C$6,Sheet6!$C$6,IF(Tim!GD7=Sheet6!$C$7,Sheet6!$C$7,IF(Tim!GD7=Sheet6!$C$8,Sheet6!$C$8,"")))))))</f>
        <v/>
      </c>
      <c r="CA5" s="57" t="str">
        <f>IF(Tim!GE7=Sheet6!$C$2,Sheet6!$C$2,IF(Tim!GE7=Sheet6!$C$3,Sheet6!$C$3,IF(Tim!GE7=Sheet6!$C$4,Sheet6!$C$4,IF(Tim!GE7=Sheet6!$C$5,Sheet6!$C$5,IF(Tim!GE7=Sheet6!$C$6,Sheet6!$C$6,IF(Tim!GE7=Sheet6!$C$7,Sheet6!$C$7,IF(Tim!GE7=Sheet6!$C$8,Sheet6!$C$8,"")))))))</f>
        <v/>
      </c>
      <c r="CB5" s="57" t="str">
        <f>IF(Tim!GI7=Sheet6!$C$2,Sheet6!$C$2,IF(Tim!GI7=Sheet6!$C$3,Sheet6!$C$3,IF(Tim!GI7=Sheet6!$C$4,Sheet6!$C$4,IF(Tim!GI7=Sheet6!$C$5,Sheet6!$C$5,IF(Tim!GI7=Sheet6!$C$6,Sheet6!$C$6,IF(Tim!GI7=Sheet6!$C$7,Sheet6!$C$7,IF(Tim!GI7=Sheet6!$C$8,Sheet6!$C$8,"")))))))</f>
        <v/>
      </c>
      <c r="CC5" s="57" t="str">
        <f>IF(Tim!GJ7=Sheet6!$C$2,Sheet6!$C$2,IF(Tim!GJ7=Sheet6!$C$3,Sheet6!$C$3,IF(Tim!GJ7=Sheet6!$C$4,Sheet6!$C$4,IF(Tim!GJ7=Sheet6!$C$5,Sheet6!$C$5,IF(Tim!GJ7=Sheet6!$C$6,Sheet6!$C$6,IF(Tim!GJ7=Sheet6!$C$7,Sheet6!$C$7,IF(Tim!GJ7=Sheet6!$C$8,Sheet6!$C$8,"")))))))</f>
        <v/>
      </c>
      <c r="CD5" s="57" t="str">
        <f>IF(Tim!GN7=Sheet6!$C$2,Sheet6!$C$2,IF(Tim!GN7=Sheet6!$C$3,Sheet6!$C$3,IF(Tim!GN7=Sheet6!$C$4,Sheet6!$C$4,IF(Tim!GN7=Sheet6!$C$5,Sheet6!$C$5,IF(Tim!GN7=Sheet6!$C$6,Sheet6!$C$6,IF(Tim!GN7=Sheet6!$C$7,Sheet6!$C$7,IF(Tim!GN7=Sheet6!$C$8,Sheet6!$C$8,"")))))))</f>
        <v/>
      </c>
      <c r="CE5" s="53" t="str">
        <f>IF(Tim!GY7=Sheet6!$C$2,Sheet6!$C$2,IF(Tim!GY7=Sheet6!$C$3,Sheet6!$C$3,IF(Tim!GY7=Sheet6!$C$4,Sheet6!$C$4,IF(Tim!GY7=Sheet6!$C$5,Sheet6!$C$5,IF(Tim!GY7=Sheet6!$C$6,Sheet6!$C$6,IF(Tim!GY7=Sheet6!$C$7,Sheet6!$C$7,IF(Tim!GY7=Sheet6!$C$8,Sheet6!$C$8,"")))))))</f>
        <v/>
      </c>
      <c r="CF5" s="53" t="str">
        <f>IF(Tim!GZ7=Sheet6!$C$2,Sheet6!$C$2,IF(Tim!GZ7=Sheet6!$C$3,Sheet6!$C$3,IF(Tim!GZ7=Sheet6!$C$4,Sheet6!$C$4,IF(Tim!GZ7=Sheet6!$C$5,Sheet6!$C$5,IF(Tim!GZ7=Sheet6!$C$6,Sheet6!$C$6,IF(Tim!GZ7=Sheet6!$C$7,Sheet6!$C$7,IF(Tim!GZ7=Sheet6!$C$8,Sheet6!$C$8,"")))))))</f>
        <v/>
      </c>
      <c r="CG5" s="53" t="str">
        <f>IF(Tim!HH7=Sheet6!$C$2,Sheet6!$C$2,IF(Tim!HH7=Sheet6!$C$3,Sheet6!$C$3,IF(Tim!HH7=Sheet6!$C$4,Sheet6!$C$4,IF(Tim!HH7=Sheet6!$C$5,Sheet6!$C$5,IF(Tim!HH7=Sheet6!$C$6,Sheet6!$C$6,IF(Tim!HH7=Sheet6!$C$7,Sheet6!$C$7,IF(Tim!HH7=Sheet6!$C$8,Sheet6!$C$8,"")))))))</f>
        <v/>
      </c>
      <c r="CH5" s="53" t="str">
        <f>IF(Tim!HI7=Sheet6!$C$2,Sheet6!$C$2,IF(Tim!HI7=Sheet6!$C$3,Sheet6!$C$3,IF(Tim!HI7=Sheet6!$C$4,Sheet6!$C$4,IF(Tim!HI7=Sheet6!$C$5,Sheet6!$C$5,IF(Tim!HI7=Sheet6!$C$6,Sheet6!$C$6,IF(Tim!HI7=Sheet6!$C$7,Sheet6!$C$7,IF(Tim!HI7=Sheet6!$C$8,Sheet6!$C$8,"")))))))</f>
        <v/>
      </c>
      <c r="CI5" s="53" t="str">
        <f>IF(Tim!HJ7=Sheet6!$C$2,Sheet6!$C$2,IF(Tim!HJ7=Sheet6!$C$3,Sheet6!$C$3,IF(Tim!HJ7=Sheet6!$C$4,Sheet6!$C$4,IF(Tim!HJ7=Sheet6!$C$5,Sheet6!$C$5,IF(Tim!HJ7=Sheet6!$C$6,Sheet6!$C$6,IF(Tim!HJ7=Sheet6!$C$7,Sheet6!$C$7,IF(Tim!HJ7=Sheet6!$C$8,Sheet6!$C$8,"")))))))</f>
        <v/>
      </c>
      <c r="CJ5" s="53" t="str">
        <f>IF(Tim!HK7=Sheet6!$C$2,Sheet6!$C$2,IF(Tim!HK7=Sheet6!$C$3,Sheet6!$C$3,IF(Tim!HK7=Sheet6!$C$4,Sheet6!$C$4,IF(Tim!HK7=Sheet6!$C$5,Sheet6!$C$5,IF(Tim!HK7=Sheet6!$C$6,Sheet6!$C$6,IF(Tim!HK7=Sheet6!$C$7,Sheet6!$C$7,IF(Tim!HK7=Sheet6!$C$8,Sheet6!$C$8,"")))))))</f>
        <v/>
      </c>
      <c r="CK5" s="53" t="str">
        <f>IF(Tim!HL7=Sheet6!$C$2,Sheet6!$C$2,IF(Tim!HL7=Sheet6!$C$3,Sheet6!$C$3,IF(Tim!HL7=Sheet6!$C$4,Sheet6!$C$4,IF(Tim!HL7=Sheet6!$C$5,Sheet6!$C$5,IF(Tim!HL7=Sheet6!$C$6,Sheet6!$C$6,IF(Tim!HL7=Sheet6!$C$7,Sheet6!$C$7,IF(Tim!HL7=Sheet6!$C$8,Sheet6!$C$8,"")))))))</f>
        <v/>
      </c>
      <c r="CL5" s="53" t="str">
        <f>IF(Tim!HM7=Sheet6!$C$2,Sheet6!$C$2,IF(Tim!HM7=Sheet6!$C$3,Sheet6!$C$3,IF(Tim!HM7=Sheet6!$C$4,Sheet6!$C$4,IF(Tim!HM7=Sheet6!$C$5,Sheet6!$C$5,IF(Tim!HM7=Sheet6!$C$6,Sheet6!$C$6,IF(Tim!HM7=Sheet6!$C$7,Sheet6!$C$7,IF(Tim!HM7=Sheet6!$C$8,Sheet6!$C$8,"")))))))</f>
        <v/>
      </c>
      <c r="CM5" s="53" t="str">
        <f>IF(Tim!HQ7=Sheet6!$C$2,Sheet6!$C$2,IF(Tim!HQ7=Sheet6!$C$3,Sheet6!$C$3,IF(Tim!HQ7=Sheet6!$C$4,Sheet6!$C$4,IF(Tim!HQ7=Sheet6!$C$5,Sheet6!$C$5,IF(Tim!HQ7=Sheet6!$C$6,Sheet6!$C$6,IF(Tim!HQ7=Sheet6!$C$7,Sheet6!$C$7,IF(Tim!HQ7=Sheet6!$C$8,Sheet6!$C$8,"")))))))</f>
        <v/>
      </c>
      <c r="CN5" s="54" t="str">
        <f>IF(Tim!HR7=Sheet6!$C$2,Sheet6!$C$2,IF(Tim!HR7=Sheet6!$C$3,Sheet6!$C$3,IF(Tim!HR7=Sheet6!$C$4,Sheet6!$C$4,IF(Tim!HR7=Sheet6!$C$5,Sheet6!$C$5,IF(Tim!HR7=Sheet6!$C$6,Sheet6!$C$6,IF(Tim!HR7=Sheet6!$C$7,Sheet6!$C$7,IF(Tim!HR7=Sheet6!$C$8,Sheet6!$C$8,"")))))))</f>
        <v/>
      </c>
      <c r="CO5" s="54" t="str">
        <f>IF(Tim!HS7=Sheet6!$C$2,Sheet6!$C$2,IF(Tim!HS7=Sheet6!$C$3,Sheet6!$C$3,IF(Tim!HS7=Sheet6!$C$4,Sheet6!$C$4,IF(Tim!HS7=Sheet6!$C$5,Sheet6!$C$5,IF(Tim!HS7=Sheet6!$C$6,Sheet6!$C$6,IF(Tim!HS7=Sheet6!$C$7,Sheet6!$C$7,IF(Tim!HS7=Sheet6!$C$8,Sheet6!$C$8,"")))))))</f>
        <v/>
      </c>
      <c r="CP5" s="54" t="str">
        <f>IF(Tim!HT7=Sheet6!$C$2,Sheet6!$C$2,IF(Tim!HT7=Sheet6!$C$3,Sheet6!$C$3,IF(Tim!HT7=Sheet6!$C$4,Sheet6!$C$4,IF(Tim!HT7=Sheet6!$C$5,Sheet6!$C$5,IF(Tim!HT7=Sheet6!$C$6,Sheet6!$C$6,IF(Tim!HT7=Sheet6!$C$7,Sheet6!$C$7,IF(Tim!HT7=Sheet6!$C$8,Sheet6!$C$8,"")))))))</f>
        <v/>
      </c>
      <c r="CQ5" s="55" t="str">
        <f>IF(Tim!HU7=Sheet6!$C$2,Sheet6!$C$2,IF(Tim!HU7=Sheet6!$C$3,Sheet6!$C$3,IF(Tim!HU7=Sheet6!$C$4,Sheet6!$C$4,IF(Tim!HU7=Sheet6!$C$5,Sheet6!$C$5,IF(Tim!HU7=Sheet6!$C$6,Sheet6!$C$6,IF(Tim!HU7=Sheet6!$C$7,Sheet6!$C$7,IF(Tim!HU7=Sheet6!$C$8,Sheet6!$C$8,"")))))))</f>
        <v/>
      </c>
      <c r="CR5" s="468"/>
      <c r="CS5" s="464"/>
      <c r="CT5" s="464"/>
      <c r="CU5" s="464"/>
      <c r="CV5" s="464"/>
      <c r="CW5" s="464"/>
      <c r="CX5" s="464"/>
      <c r="CY5" s="464"/>
      <c r="CZ5" s="464"/>
      <c r="DA5" s="464"/>
      <c r="DB5" s="464"/>
      <c r="DC5" s="464"/>
      <c r="DD5" s="464"/>
      <c r="DE5" s="464"/>
      <c r="DF5" s="464"/>
      <c r="DG5" s="466"/>
      <c r="DH5" s="468"/>
      <c r="DI5" s="464"/>
      <c r="DJ5" s="464"/>
      <c r="DK5" s="464"/>
      <c r="DL5" s="464"/>
      <c r="DM5" s="464"/>
      <c r="DN5" s="464"/>
      <c r="DO5" s="464"/>
      <c r="DP5" s="464"/>
      <c r="DQ5" s="464"/>
      <c r="DR5" s="464"/>
      <c r="DS5" s="464"/>
      <c r="DT5" s="464"/>
      <c r="DU5" s="464"/>
      <c r="DV5" s="464"/>
      <c r="DW5" s="466"/>
      <c r="DX5" s="52">
        <v>0.29166666666666669</v>
      </c>
    </row>
    <row r="6" spans="2:128" ht="10.5" customHeight="1">
      <c r="B6" s="51">
        <v>0.25</v>
      </c>
      <c r="C6" s="51">
        <v>0.25</v>
      </c>
      <c r="D6" s="51">
        <v>0.25</v>
      </c>
      <c r="E6" s="52">
        <v>0.30208333333333331</v>
      </c>
      <c r="F6" s="53" t="str">
        <f>IF(Tim!F8=Sheet6!$C$2,Sheet6!$C$2,IF(Tim!F8=Sheet6!$C$3,Sheet6!$C$3,IF(Tim!F8=Sheet6!$C$4,Sheet6!$C$4,IF(Tim!F8=Sheet6!$C$5,Sheet6!$C$5,IF(Tim!F8=Sheet6!$C$6,Sheet6!$C$6,IF(Tim!F8=Sheet6!$C$7,Sheet6!$C$7,IF(Tim!F8=Sheet6!$C$8,Sheet6!$C$8,"")))))))</f>
        <v/>
      </c>
      <c r="G6" s="53" t="str">
        <f>IF(Tim!G8=Sheet6!$C$2,Sheet6!$C$2,IF(Tim!G8=Sheet6!$C$3,Sheet6!$C$3,IF(Tim!G8=Sheet6!$C$4,Sheet6!$C$4,IF(Tim!G8=Sheet6!$C$5,Sheet6!$C$5,IF(Tim!G8=Sheet6!$C$6,Sheet6!$C$6,IF(Tim!G8=Sheet6!$C$7,Sheet6!$C$7,IF(Tim!G8=Sheet6!$C$8,Sheet6!$C$8,"")))))))</f>
        <v/>
      </c>
      <c r="H6" s="53" t="str">
        <f>IF(Tim!H8=Sheet6!$C$2,Sheet6!$C$2,IF(Tim!H8=Sheet6!$C$3,Sheet6!$C$3,IF(Tim!H8=Sheet6!$C$4,Sheet6!$C$4,IF(Tim!H8=Sheet6!$C$5,Sheet6!$C$5,IF(Tim!H8=Sheet6!$C$6,Sheet6!$C$6,IF(Tim!H8=Sheet6!$C$7,Sheet6!$C$7,IF(Tim!H8=Sheet6!$C$8,Sheet6!$C$8,"")))))))</f>
        <v/>
      </c>
      <c r="I6" s="53" t="str">
        <f>IF(Tim!L8=Sheet6!$C$2,Sheet6!$C$2,IF(Tim!L8=Sheet6!$C$3,Sheet6!$C$3,IF(Tim!L8=Sheet6!$C$4,Sheet6!$C$4,IF(Tim!L8=Sheet6!$C$5,Sheet6!$C$5,IF(Tim!L8=Sheet6!$C$6,Sheet6!$C$6,IF(Tim!L8=Sheet6!$C$7,Sheet6!$C$7,IF(Tim!L8=Sheet6!$C$8,Sheet6!$C$8,"")))))))</f>
        <v/>
      </c>
      <c r="J6" s="53" t="str">
        <f>IF(Tim!T8=Sheet6!$C$2,Sheet6!$C$2,IF(Tim!T8=Sheet6!$C$3,Sheet6!$C$3,IF(Tim!T8=Sheet6!$C$4,Sheet6!$C$4,IF(Tim!T8=Sheet6!$C$5,Sheet6!$C$5,IF(Tim!T8=Sheet6!$C$6,Sheet6!$C$6,IF(Tim!T8=Sheet6!$C$7,Sheet6!$C$7,IF(Tim!T8=Sheet6!$C$8,Sheet6!$C$8,"")))))))</f>
        <v/>
      </c>
      <c r="K6" s="53" t="str">
        <f>IF(Tim!AB8=Sheet6!$C$2,Sheet6!$C$2,IF(Tim!AB8=Sheet6!$C$3,Sheet6!$C$3,IF(Tim!AB8=Sheet6!$C$4,Sheet6!$C$4,IF(Tim!AB8=Sheet6!$C$5,Sheet6!$C$5,IF(Tim!AB8=Sheet6!$C$6,Sheet6!$C$6,IF(Tim!AB8=Sheet6!$C$7,Sheet6!$C$7,IF(Tim!AB8=Sheet6!$C$8,Sheet6!$C$8,"")))))))</f>
        <v/>
      </c>
      <c r="L6" s="53" t="str">
        <f>IF(Tim!AC8=Sheet6!$C$2,Sheet6!$C$2,IF(Tim!AC8=Sheet6!$C$3,Sheet6!$C$3,IF(Tim!AC8=Sheet6!$C$4,Sheet6!$C$4,IF(Tim!AC8=Sheet6!$C$5,Sheet6!$C$5,IF(Tim!AC8=Sheet6!$C$6,Sheet6!$C$6,IF(Tim!AC8=Sheet6!$C$7,Sheet6!$C$7,IF(Tim!AC8=Sheet6!$C$8,Sheet6!$C$8,"")))))))</f>
        <v/>
      </c>
      <c r="M6" s="53" t="str">
        <f>IF(Tim!AJ8=Sheet6!$C$2,Sheet6!$C$2,IF(Tim!AJ8=Sheet6!$C$3,Sheet6!$C$3,IF(Tim!AJ8=Sheet6!$C$4,Sheet6!$C$4,IF(Tim!AJ8=Sheet6!$C$5,Sheet6!$C$5,IF(Tim!AJ8=Sheet6!$C$6,Sheet6!$C$6,IF(Tim!AJ8=Sheet6!$C$7,Sheet6!$C$7,IF(Tim!AJ8=Sheet6!$C$8,Sheet6!$C$8,"")))))))</f>
        <v/>
      </c>
      <c r="N6" s="53" t="str">
        <f>IF(Tim!AK8=Sheet6!$C$2,Sheet6!$C$2,IF(Tim!AK8=Sheet6!$C$3,Sheet6!$C$3,IF(Tim!AK8=Sheet6!$C$4,Sheet6!$C$4,IF(Tim!AK8=Sheet6!$C$5,Sheet6!$C$5,IF(Tim!AK8=Sheet6!$C$6,Sheet6!$C$6,IF(Tim!AK8=Sheet6!$C$7,Sheet6!$C$7,IF(Tim!AK8=Sheet6!$C$8,Sheet6!$C$8,"")))))))</f>
        <v/>
      </c>
      <c r="O6" s="53" t="str">
        <f>IF(Tim!AL8=Sheet6!$C$2,Sheet6!$C$2,IF(Tim!AL8=Sheet6!$C$3,Sheet6!$C$3,IF(Tim!AL8=Sheet6!$C$4,Sheet6!$C$4,IF(Tim!AL8=Sheet6!$C$5,Sheet6!$C$5,IF(Tim!AL8=Sheet6!$C$6,Sheet6!$C$6,IF(Tim!AL8=Sheet6!$C$7,Sheet6!$C$7,IF(Tim!AL8=Sheet6!$C$8,Sheet6!$C$8,"")))))))</f>
        <v/>
      </c>
      <c r="P6" s="53" t="str">
        <f>IF(Tim!AN8=Sheet6!$C$2,Sheet6!$C$2,IF(Tim!AN8=Sheet6!$C$3,Sheet6!$C$3,IF(Tim!AN8=Sheet6!$C$4,Sheet6!$C$4,IF(Tim!AN8=Sheet6!$C$5,Sheet6!$C$5,IF(Tim!AN8=Sheet6!$C$6,Sheet6!$C$6,IF(Tim!AN8=Sheet6!$C$7,Sheet6!$C$7,IF(Tim!AN8=Sheet6!$C$8,Sheet6!$C$8,"")))))))</f>
        <v/>
      </c>
      <c r="Q6" s="53" t="str">
        <f>IF(Tim!AO8=Sheet6!$C$2,Sheet6!$C$2,IF(Tim!AO8=Sheet6!$C$3,Sheet6!$C$3,IF(Tim!AO8=Sheet6!$C$4,Sheet6!$C$4,IF(Tim!AO8=Sheet6!$C$5,Sheet6!$C$5,IF(Tim!AO8=Sheet6!$C$6,Sheet6!$C$6,IF(Tim!AO8=Sheet6!$C$7,Sheet6!$C$7,IF(Tim!AO8=Sheet6!$C$8,Sheet6!$C$8,"")))))))</f>
        <v/>
      </c>
      <c r="R6" s="53" t="str">
        <f>IF(Tim!AP8=Sheet6!$C$2,Sheet6!$C$2,IF(Tim!AP8=Sheet6!$C$3,Sheet6!$C$3,IF(Tim!AP8=Sheet6!$C$4,Sheet6!$C$4,IF(Tim!AP8=Sheet6!$C$5,Sheet6!$C$5,IF(Tim!AP8=Sheet6!$C$6,Sheet6!$C$6,IF(Tim!AP8=Sheet6!$C$7,Sheet6!$C$7,IF(Tim!AP8=Sheet6!$C$8,Sheet6!$C$8,"")))))))</f>
        <v/>
      </c>
      <c r="S6" s="53" t="str">
        <f>IF(Tim!AT8=Sheet6!$C$2,Sheet6!$C$2,IF(Tim!AT8=Sheet6!$C$3,Sheet6!$C$3,IF(Tim!AT8=Sheet6!$C$4,Sheet6!$C$4,IF(Tim!AT8=Sheet6!$C$5,Sheet6!$C$5,IF(Tim!AT8=Sheet6!$C$6,Sheet6!$C$6,IF(Tim!AT8=Sheet6!$C$7,Sheet6!$C$7,IF(Tim!AT8=Sheet6!$C$8,Sheet6!$C$8,"")))))))</f>
        <v/>
      </c>
      <c r="T6" s="54" t="str">
        <f>IF(Tim!AU8=Sheet6!$C$2,Sheet6!$C$2,IF(Tim!AU8=Sheet6!$C$3,Sheet6!$C$3,IF(Tim!AU8=Sheet6!$C$4,Sheet6!$C$4,IF(Tim!AU8=Sheet6!$C$5,Sheet6!$C$5,IF(Tim!AU8=Sheet6!$C$6,Sheet6!$C$6,IF(Tim!AU8=Sheet6!$C$7,Sheet6!$C$7,IF(Tim!AU8=Sheet6!$C$8,Sheet6!$C$8,"")))))))</f>
        <v/>
      </c>
      <c r="U6" s="54" t="str">
        <f>IF(Tim!AV8=Sheet6!$C$2,Sheet6!$C$2,IF(Tim!AV8=Sheet6!$C$3,Sheet6!$C$3,IF(Tim!AV8=Sheet6!$C$4,Sheet6!$C$4,IF(Tim!AV8=Sheet6!$C$5,Sheet6!$C$5,IF(Tim!AV8=Sheet6!$C$6,Sheet6!$C$6,IF(Tim!AV8=Sheet6!$C$7,Sheet6!$C$7,IF(Tim!AV8=Sheet6!$C$8,Sheet6!$C$8,"")))))))</f>
        <v/>
      </c>
      <c r="V6" s="54" t="str">
        <f>IF(Tim!AW8=Sheet6!$C$2,Sheet6!$C$2,IF(Tim!AW8=Sheet6!$C$3,Sheet6!$C$3,IF(Tim!AW8=Sheet6!$C$4,Sheet6!$C$4,IF(Tim!AW8=Sheet6!$C$5,Sheet6!$C$5,IF(Tim!AW8=Sheet6!$C$6,Sheet6!$C$6,IF(Tim!AW8=Sheet6!$C$7,Sheet6!$C$7,IF(Tim!AW8=Sheet6!$C$8,Sheet6!$C$8,"")))))))</f>
        <v/>
      </c>
      <c r="W6" s="55" t="str">
        <f>IF(Tim!AX8=Sheet6!$C$2,Sheet6!$C$2,IF(Tim!AX8=Sheet6!$C$3,Sheet6!$C$3,IF(Tim!AX8=Sheet6!$C$4,Sheet6!$C$4,IF(Tim!AX8=Sheet6!$C$5,Sheet6!$C$5,IF(Tim!AX8=Sheet6!$C$6,Sheet6!$C$6,IF(Tim!AX8=Sheet6!$C$7,Sheet6!$C$7,IF(Tim!AX8=Sheet6!$C$8,Sheet6!$C$8,"")))))))</f>
        <v/>
      </c>
      <c r="X6" s="53" t="str">
        <f>IF(Tim!AY8=Sheet6!$C$2,Sheet6!$C$2,IF(Tim!AY8=Sheet6!$C$3,Sheet6!$C$3,IF(Tim!AY8=Sheet6!$C$4,Sheet6!$C$4,IF(Tim!AY8=Sheet6!$C$5,Sheet6!$C$5,IF(Tim!AY8=Sheet6!$C$6,Sheet6!$C$6,IF(Tim!AY8=Sheet6!$C$7,Sheet6!$C$7,IF(Tim!AY8=Sheet6!$C$8,Sheet6!$C$8,"")))))))</f>
        <v/>
      </c>
      <c r="Y6" s="57" t="str">
        <f>IF(Tim!AZ8=Sheet6!$C$2,Sheet6!$C$2,IF(Tim!AZ8=Sheet6!$C$3,Sheet6!$C$3,IF(Tim!AZ8=Sheet6!$C$4,Sheet6!$C$4,IF(Tim!AZ8=Sheet6!$C$5,Sheet6!$C$5,IF(Tim!AZ8=Sheet6!$C$6,Sheet6!$C$6,IF(Tim!AZ8=Sheet6!$C$7,Sheet6!$C$7,IF(Tim!AZ8=Sheet6!$C$8,Sheet6!$C$8,"")))))))</f>
        <v/>
      </c>
      <c r="Z6" s="57" t="str">
        <f>IF(Tim!BD8=Sheet6!$C$2,Sheet6!$C$2,IF(Tim!BD8=Sheet6!$C$3,Sheet6!$C$3,IF(Tim!BD8=Sheet6!$C$4,Sheet6!$C$4,IF(Tim!BD8=Sheet6!$C$5,Sheet6!$C$5,IF(Tim!BD8=Sheet6!$C$6,Sheet6!$C$6,IF(Tim!BD8=Sheet6!$C$7,Sheet6!$C$7,IF(Tim!BD8=Sheet6!$C$8,Sheet6!$C$8,"")))))))</f>
        <v/>
      </c>
      <c r="AA6" s="57" t="str">
        <f>IF(Tim!BE8=Sheet6!$C$2,Sheet6!$C$2,IF(Tim!BE8=Sheet6!$C$3,Sheet6!$C$3,IF(Tim!BE8=Sheet6!$C$4,Sheet6!$C$4,IF(Tim!BE8=Sheet6!$C$5,Sheet6!$C$5,IF(Tim!BE8=Sheet6!$C$6,Sheet6!$C$6,IF(Tim!BE8=Sheet6!$C$7,Sheet6!$C$7,IF(Tim!BE8=Sheet6!$C$8,Sheet6!$C$8,"")))))))</f>
        <v/>
      </c>
      <c r="AB6" s="57" t="str">
        <f>IF(Tim!BL8=Sheet6!$C$2,Sheet6!$C$2,IF(Tim!BL8=Sheet6!$C$3,Sheet6!$C$3,IF(Tim!BL8=Sheet6!$C$4,Sheet6!$C$4,IF(Tim!BL8=Sheet6!$C$5,Sheet6!$C$5,IF(Tim!BL8=Sheet6!$C$6,Sheet6!$C$6,IF(Tim!BL8=Sheet6!$C$7,Sheet6!$C$7,IF(Tim!BL8=Sheet6!$C$8,Sheet6!$C$8,"")))))))</f>
        <v/>
      </c>
      <c r="AC6" s="53" t="str">
        <f>IF(Tim!BT8=Sheet6!$C$2,Sheet6!$C$2,IF(Tim!BT8=Sheet6!$C$3,Sheet6!$C$3,IF(Tim!BT8=Sheet6!$C$4,Sheet6!$C$4,IF(Tim!BT8=Sheet6!$C$5,Sheet6!$C$5,IF(Tim!BT8=Sheet6!$C$6,Sheet6!$C$6,IF(Tim!BT8=Sheet6!$C$7,Sheet6!$C$7,IF(Tim!BT8=Sheet6!$C$8,Sheet6!$C$8,"")))))))</f>
        <v/>
      </c>
      <c r="AD6" s="53" t="str">
        <f>IF(Tim!BU8=Sheet6!$C$2,Sheet6!$C$2,IF(Tim!BU8=Sheet6!$C$3,Sheet6!$C$3,IF(Tim!BU8=Sheet6!$C$4,Sheet6!$C$4,IF(Tim!BU8=Sheet6!$C$5,Sheet6!$C$5,IF(Tim!BU8=Sheet6!$C$6,Sheet6!$C$6,IF(Tim!BU8=Sheet6!$C$7,Sheet6!$C$7,IF(Tim!BU8=Sheet6!$C$8,Sheet6!$C$8,"")))))))</f>
        <v/>
      </c>
      <c r="AE6" s="53" t="str">
        <f>IF(Tim!CB8=Sheet6!$C$2,Sheet6!$C$2,IF(Tim!CB8=Sheet6!$C$3,Sheet6!$C$3,IF(Tim!CB8=Sheet6!$C$4,Sheet6!$C$4,IF(Tim!CB8=Sheet6!$C$5,Sheet6!$C$5,IF(Tim!CB8=Sheet6!$C$6,Sheet6!$C$6,IF(Tim!CB8=Sheet6!$C$7,Sheet6!$C$7,IF(Tim!CB8=Sheet6!$C$8,Sheet6!$C$8,"")))))))</f>
        <v/>
      </c>
      <c r="AF6" s="53" t="str">
        <f>IF(Tim!CD8=Sheet6!$C$2,Sheet6!$C$2,IF(Tim!CD8=Sheet6!$C$3,Sheet6!$C$3,IF(Tim!CD8=Sheet6!$C$4,Sheet6!$C$4,IF(Tim!CD8=Sheet6!$C$5,Sheet6!$C$5,IF(Tim!CD8=Sheet6!$C$6,Sheet6!$C$6,IF(Tim!CD8=Sheet6!$C$7,Sheet6!$C$7,IF(Tim!CD8=Sheet6!$C$8,Sheet6!$C$8,"")))))))</f>
        <v/>
      </c>
      <c r="AG6" s="53" t="str">
        <f>IF(Tim!CE8=Sheet6!$C$2,Sheet6!$C$2,IF(Tim!CE8=Sheet6!$C$3,Sheet6!$C$3,IF(Tim!CE8=Sheet6!$C$4,Sheet6!$C$4,IF(Tim!CE8=Sheet6!$C$5,Sheet6!$C$5,IF(Tim!CE8=Sheet6!$C$6,Sheet6!$C$6,IF(Tim!CE8=Sheet6!$C$7,Sheet6!$C$7,IF(Tim!CE8=Sheet6!$C$8,Sheet6!$C$8,"")))))))</f>
        <v/>
      </c>
      <c r="AH6" s="53" t="str">
        <f>IF(Tim!CF8=Sheet6!$C$2,Sheet6!$C$2,IF(Tim!CF8=Sheet6!$C$3,Sheet6!$C$3,IF(Tim!CF8=Sheet6!$C$4,Sheet6!$C$4,IF(Tim!CF8=Sheet6!$C$5,Sheet6!$C$5,IF(Tim!CF8=Sheet6!$C$6,Sheet6!$C$6,IF(Tim!CF8=Sheet6!$C$7,Sheet6!$C$7,IF(Tim!CF8=Sheet6!$C$8,Sheet6!$C$8,"")))))))</f>
        <v/>
      </c>
      <c r="AI6" s="53" t="str">
        <f>IF(Tim!CG8=Sheet6!$C$2,Sheet6!$C$2,IF(Tim!CG8=Sheet6!$C$3,Sheet6!$C$3,IF(Tim!CG8=Sheet6!$C$4,Sheet6!$C$4,IF(Tim!CG8=Sheet6!$C$5,Sheet6!$C$5,IF(Tim!CG8=Sheet6!$C$6,Sheet6!$C$6,IF(Tim!CG8=Sheet6!$C$7,Sheet6!$C$7,IF(Tim!CG8=Sheet6!$C$8,Sheet6!$C$8,"")))))))</f>
        <v/>
      </c>
      <c r="AJ6" s="53" t="str">
        <f>IF(Tim!CH8=Sheet6!$C$2,Sheet6!$C$2,IF(Tim!CH8=Sheet6!$C$3,Sheet6!$C$3,IF(Tim!CH8=Sheet6!$C$4,Sheet6!$C$4,IF(Tim!CH8=Sheet6!$C$5,Sheet6!$C$5,IF(Tim!CH8=Sheet6!$C$6,Sheet6!$C$6,IF(Tim!CH8=Sheet6!$C$7,Sheet6!$C$7,IF(Tim!CH8=Sheet6!$C$8,Sheet6!$C$8,"")))))))</f>
        <v/>
      </c>
      <c r="AK6" s="53" t="str">
        <f>IF(Tim!CL8=Sheet6!$C$2,Sheet6!$C$2,IF(Tim!CL8=Sheet6!$C$3,Sheet6!$C$3,IF(Tim!CL8=Sheet6!$C$4,Sheet6!$C$4,IF(Tim!CL8=Sheet6!$C$5,Sheet6!$C$5,IF(Tim!CL8=Sheet6!$C$6,Sheet6!$C$6,IF(Tim!CL8=Sheet6!$C$7,Sheet6!$C$7,IF(Tim!CL8=Sheet6!$C$8,Sheet6!$C$8,"")))))))</f>
        <v/>
      </c>
      <c r="AL6" s="54" t="str">
        <f>IF(Tim!CM8=Sheet6!$C$2,Sheet6!$C$2,IF(Tim!CM8=Sheet6!$C$3,Sheet6!$C$3,IF(Tim!CM8=Sheet6!$C$4,Sheet6!$C$4,IF(Tim!CM8=Sheet6!$C$5,Sheet6!$C$5,IF(Tim!CM8=Sheet6!$C$6,Sheet6!$C$6,IF(Tim!CM8=Sheet6!$C$7,Sheet6!$C$7,IF(Tim!CM8=Sheet6!$C$8,Sheet6!$C$8,"")))))))</f>
        <v/>
      </c>
      <c r="AM6" s="54" t="str">
        <f>IF(Tim!CN8=Sheet6!$C$2,Sheet6!$C$2,IF(Tim!CN8=Sheet6!$C$3,Sheet6!$C$3,IF(Tim!CN8=Sheet6!$C$4,Sheet6!$C$4,IF(Tim!CN8=Sheet6!$C$5,Sheet6!$C$5,IF(Tim!CN8=Sheet6!$C$6,Sheet6!$C$6,IF(Tim!CN8=Sheet6!$C$7,Sheet6!$C$7,IF(Tim!CN8=Sheet6!$C$8,Sheet6!$C$8,"")))))))</f>
        <v/>
      </c>
      <c r="AN6" s="53" t="str">
        <f>IF(Tim!CO8=Sheet6!$C$2,Sheet6!$C$2,IF(Tim!CO8=Sheet6!$C$3,Sheet6!$C$3,IF(Tim!CO8=Sheet6!$C$4,Sheet6!$C$4,IF(Tim!CO8=Sheet6!$C$5,Sheet6!$C$5,IF(Tim!CO8=Sheet6!$C$6,Sheet6!$C$6,IF(Tim!CO8=Sheet6!$C$7,Sheet6!$C$7,IF(Tim!CO8=Sheet6!$C$8,Sheet6!$C$8,"")))))))</f>
        <v/>
      </c>
      <c r="AO6" s="55" t="str">
        <f>IF(Tim!CP8=Sheet6!$C$2,Sheet6!$C$2,IF(Tim!CP8=Sheet6!$C$3,Sheet6!$C$3,IF(Tim!CP8=Sheet6!$C$4,Sheet6!$C$4,IF(Tim!CP8=Sheet6!$C$5,Sheet6!$C$5,IF(Tim!CP8=Sheet6!$C$6,Sheet6!$C$6,IF(Tim!CP8=Sheet6!$C$7,Sheet6!$C$7,IF(Tim!CP8=Sheet6!$C$8,Sheet6!$C$8,"")))))))</f>
        <v/>
      </c>
      <c r="AP6" s="53" t="str">
        <f>IF(Tim!CQ8=Sheet6!$C$2,Sheet6!$C$2,IF(Tim!CQ8=Sheet6!$C$3,Sheet6!$C$3,IF(Tim!CQ8=Sheet6!$C$4,Sheet6!$C$4,IF(Tim!CQ8=Sheet6!$C$5,Sheet6!$C$5,IF(Tim!CQ8=Sheet6!$C$6,Sheet6!$C$6,IF(Tim!CQ8=Sheet6!$C$7,Sheet6!$C$7,IF(Tim!CQ8=Sheet6!$C$8,Sheet6!$C$8,"")))))))</f>
        <v/>
      </c>
      <c r="AQ6" s="57" t="str">
        <f>IF(Tim!CR8=Sheet6!$C$2,Sheet6!$C$2,IF(Tim!CR8=Sheet6!$C$3,Sheet6!$C$3,IF(Tim!CR8=Sheet6!$C$4,Sheet6!$C$4,IF(Tim!CR8=Sheet6!$C$5,Sheet6!$C$5,IF(Tim!CR8=Sheet6!$C$6,Sheet6!$C$6,IF(Tim!CR8=Sheet6!$C$7,Sheet6!$C$7,IF(Tim!CR8=Sheet6!$C$8,Sheet6!$C$8,"")))))))</f>
        <v/>
      </c>
      <c r="AR6" s="57" t="str">
        <f>IF(Tim!CV8=Sheet6!$C$2,Sheet6!$C$2,IF(Tim!CV8=Sheet6!$C$3,Sheet6!$C$3,IF(Tim!CV8=Sheet6!$C$4,Sheet6!$C$4,IF(Tim!CV8=Sheet6!$C$5,Sheet6!$C$5,IF(Tim!CV8=Sheet6!$C$6,Sheet6!$C$6,IF(Tim!CV8=Sheet6!$C$7,Sheet6!$C$7,IF(Tim!CV8=Sheet6!$C$8,Sheet6!$C$8,"")))))))</f>
        <v/>
      </c>
      <c r="AS6" s="57" t="str">
        <f>IF(Tim!CW8=Sheet6!$C$2,Sheet6!$C$2,IF(Tim!CW8=Sheet6!$C$3,Sheet6!$C$3,IF(Tim!CW8=Sheet6!$C$4,Sheet6!$C$4,IF(Tim!CW8=Sheet6!$C$5,Sheet6!$C$5,IF(Tim!CW8=Sheet6!$C$6,Sheet6!$C$6,IF(Tim!CW8=Sheet6!$C$7,Sheet6!$C$7,IF(Tim!CW8=Sheet6!$C$8,Sheet6!$C$8,"")))))))</f>
        <v/>
      </c>
      <c r="AT6" s="57" t="str">
        <f>IF(Tim!DA8=Sheet6!$C$2,Sheet6!$C$2,IF(Tim!DA8=Sheet6!$C$3,Sheet6!$C$3,IF(Tim!DA8=Sheet6!$C$4,Sheet6!$C$4,IF(Tim!DA8=Sheet6!$C$5,Sheet6!$C$5,IF(Tim!DA8=Sheet6!$C$6,Sheet6!$C$6,IF(Tim!DA8=Sheet6!$C$7,Sheet6!$C$7,IF(Tim!DA8=Sheet6!$C$8,Sheet6!$C$8,"")))))))</f>
        <v/>
      </c>
      <c r="AU6" s="53" t="str">
        <f>IF(Tim!DO8=Sheet6!$C$2,Sheet6!$C$2,IF(Tim!DO8=Sheet6!$C$3,Sheet6!$C$3,IF(Tim!DO8=Sheet6!$C$4,Sheet6!$C$4,IF(Tim!DO8=Sheet6!$C$5,Sheet6!$C$5,IF(Tim!DO8=Sheet6!$C$6,Sheet6!$C$6,IF(Tim!DO8=Sheet6!$C$7,Sheet6!$C$7,IF(Tim!DO8=Sheet6!$C$8,Sheet6!$C$8,"")))))))</f>
        <v/>
      </c>
      <c r="AV6" s="53" t="str">
        <f>IF(Tim!DP8=Sheet6!$C$2,Sheet6!$C$2,IF(Tim!DP8=Sheet6!$C$3,Sheet6!$C$3,IF(Tim!DP8=Sheet6!$C$4,Sheet6!$C$4,IF(Tim!DP8=Sheet6!$C$5,Sheet6!$C$5,IF(Tim!DP8=Sheet6!$C$6,Sheet6!$C$6,IF(Tim!DP8=Sheet6!$C$7,Sheet6!$C$7,IF(Tim!DP8=Sheet6!$C$8,Sheet6!$C$8,"")))))))</f>
        <v/>
      </c>
      <c r="AW6" s="53" t="str">
        <f>IF(Tim!DX8=Sheet6!$C$2,Sheet6!$C$2,IF(Tim!DX8=Sheet6!$C$3,Sheet6!$C$3,IF(Tim!DX8=Sheet6!$C$4,Sheet6!$C$4,IF(Tim!DX8=Sheet6!$C$5,Sheet6!$C$5,IF(Tim!DX8=Sheet6!$C$6,Sheet6!$C$6,IF(Tim!DX8=Sheet6!$C$7,Sheet6!$C$7,IF(Tim!DX8=Sheet6!$C$8,Sheet6!$C$8,"")))))))</f>
        <v/>
      </c>
      <c r="AX6" s="53" t="str">
        <f>IF(Tim!DY8=Sheet6!$C$2,Sheet6!$C$2,IF(Tim!DY8=Sheet6!$C$3,Sheet6!$C$3,IF(Tim!DY8=Sheet6!$C$4,Sheet6!$C$4,IF(Tim!DY8=Sheet6!$C$5,Sheet6!$C$5,IF(Tim!DY8=Sheet6!$C$6,Sheet6!$C$6,IF(Tim!DY8=Sheet6!$C$7,Sheet6!$C$7,IF(Tim!DY8=Sheet6!$C$8,Sheet6!$C$8,"")))))))</f>
        <v/>
      </c>
      <c r="AY6" s="53" t="str">
        <f>IF(Tim!DZ8=Sheet6!$C$2,Sheet6!$C$2,IF(Tim!DZ8=Sheet6!$C$3,Sheet6!$C$3,IF(Tim!DZ8=Sheet6!$C$4,Sheet6!$C$4,IF(Tim!DZ8=Sheet6!$C$5,Sheet6!$C$5,IF(Tim!DZ8=Sheet6!$C$6,Sheet6!$C$6,IF(Tim!DZ8=Sheet6!$C$7,Sheet6!$C$7,IF(Tim!DZ8=Sheet6!$C$8,Sheet6!$C$8,"")))))))</f>
        <v/>
      </c>
      <c r="AZ6" s="53" t="str">
        <f>IF(Tim!EA8=Sheet6!$C$2,Sheet6!$C$2,IF(Tim!EA8=Sheet6!$C$3,Sheet6!$C$3,IF(Tim!EA8=Sheet6!$C$4,Sheet6!$C$4,IF(Tim!EA8=Sheet6!$C$5,Sheet6!$C$5,IF(Tim!EA8=Sheet6!$C$6,Sheet6!$C$6,IF(Tim!EA8=Sheet6!$C$7,Sheet6!$C$7,IF(Tim!EA8=Sheet6!$C$8,Sheet6!$C$8,"")))))))</f>
        <v/>
      </c>
      <c r="BA6" s="53" t="str">
        <f>IF(Tim!EB8=Sheet6!$C$2,Sheet6!$C$2,IF(Tim!EB8=Sheet6!$C$3,Sheet6!$C$3,IF(Tim!EB8=Sheet6!$C$4,Sheet6!$C$4,IF(Tim!EB8=Sheet6!$C$5,Sheet6!$C$5,IF(Tim!EB8=Sheet6!$C$6,Sheet6!$C$6,IF(Tim!EB8=Sheet6!$C$7,Sheet6!$C$7,IF(Tim!EB8=Sheet6!$C$8,Sheet6!$C$8,"")))))))</f>
        <v/>
      </c>
      <c r="BB6" s="53" t="str">
        <f>IF(Tim!EC8=Sheet6!$C$2,Sheet6!$C$2,IF(Tim!EC8=Sheet6!$C$3,Sheet6!$C$3,IF(Tim!EC8=Sheet6!$C$4,Sheet6!$C$4,IF(Tim!EC8=Sheet6!$C$5,Sheet6!$C$5,IF(Tim!EC8=Sheet6!$C$6,Sheet6!$C$6,IF(Tim!EC8=Sheet6!$C$7,Sheet6!$C$7,IF(Tim!EC8=Sheet6!$C$8,Sheet6!$C$8,"")))))))</f>
        <v/>
      </c>
      <c r="BC6" s="53" t="str">
        <f>IF(Tim!EG8=Sheet6!$C$2,Sheet6!$C$2,IF(Tim!EG8=Sheet6!$C$3,Sheet6!$C$3,IF(Tim!EG8=Sheet6!$C$4,Sheet6!$C$4,IF(Tim!EG8=Sheet6!$C$5,Sheet6!$C$5,IF(Tim!EG8=Sheet6!$C$6,Sheet6!$C$6,IF(Tim!EG8=Sheet6!$C$7,Sheet6!$C$7,IF(Tim!EG8=Sheet6!$C$8,Sheet6!$C$8,"")))))))</f>
        <v/>
      </c>
      <c r="BD6" s="54" t="str">
        <f>IF(Tim!EH8=Sheet6!$C$2,Sheet6!$C$2,IF(Tim!EH8=Sheet6!$C$3,Sheet6!$C$3,IF(Tim!EH8=Sheet6!$C$4,Sheet6!$C$4,IF(Tim!EH8=Sheet6!$C$5,Sheet6!$C$5,IF(Tim!EH8=Sheet6!$C$6,Sheet6!$C$6,IF(Tim!EH8=Sheet6!$C$7,Sheet6!$C$7,IF(Tim!EH8=Sheet6!$C$8,Sheet6!$C$8,"")))))))</f>
        <v/>
      </c>
      <c r="BE6" s="54" t="str">
        <f>IF(Tim!EI8=Sheet6!$C$2,Sheet6!$C$2,IF(Tim!EI8=Sheet6!$C$3,Sheet6!$C$3,IF(Tim!EI8=Sheet6!$C$4,Sheet6!$C$4,IF(Tim!EI8=Sheet6!$C$5,Sheet6!$C$5,IF(Tim!EI8=Sheet6!$C$6,Sheet6!$C$6,IF(Tim!EI8=Sheet6!$C$7,Sheet6!$C$7,IF(Tim!EI8=Sheet6!$C$8,Sheet6!$C$8,"")))))))</f>
        <v/>
      </c>
      <c r="BF6" s="54" t="str">
        <f>IF(Tim!EJ8=Sheet6!$C$2,Sheet6!$C$2,IF(Tim!EJ8=Sheet6!$C$3,Sheet6!$C$3,IF(Tim!EJ8=Sheet6!$C$4,Sheet6!$C$4,IF(Tim!EJ8=Sheet6!$C$5,Sheet6!$C$5,IF(Tim!EJ8=Sheet6!$C$6,Sheet6!$C$6,IF(Tim!EJ8=Sheet6!$C$7,Sheet6!$C$7,IF(Tim!EJ8=Sheet6!$C$8,Sheet6!$C$8,"")))))))</f>
        <v/>
      </c>
      <c r="BG6" s="55" t="str">
        <f>IF(Tim!EK8=Sheet6!$C$2,Sheet6!$C$2,IF(Tim!EK8=Sheet6!$C$3,Sheet6!$C$3,IF(Tim!EK8=Sheet6!$C$4,Sheet6!$C$4,IF(Tim!EK8=Sheet6!$C$5,Sheet6!$C$5,IF(Tim!EK8=Sheet6!$C$6,Sheet6!$C$6,IF(Tim!EK8=Sheet6!$C$7,Sheet6!$C$7,IF(Tim!EK8=Sheet6!$C$8,Sheet6!$C$8,"")))))))</f>
        <v/>
      </c>
      <c r="BH6" s="53" t="str">
        <f>IF(Tim!EL8=Sheet6!$C$2,Sheet6!$C$2,IF(Tim!EL8=Sheet6!$C$3,Sheet6!$C$3,IF(Tim!EL8=Sheet6!$C$4,Sheet6!$C$4,IF(Tim!EL8=Sheet6!$C$5,Sheet6!$C$5,IF(Tim!EL8=Sheet6!$C$6,Sheet6!$C$6,IF(Tim!EL8=Sheet6!$C$7,Sheet6!$C$7,IF(Tim!EL8=Sheet6!$C$8,Sheet6!$C$8,"")))))))</f>
        <v/>
      </c>
      <c r="BI6" s="57" t="str">
        <f>IF(Tim!EM8=Sheet6!$C$2,Sheet6!$C$2,IF(Tim!EM8=Sheet6!$C$3,Sheet6!$C$3,IF(Tim!EM8=Sheet6!$C$4,Sheet6!$C$4,IF(Tim!EM8=Sheet6!$C$5,Sheet6!$C$5,IF(Tim!EM8=Sheet6!$C$6,Sheet6!$C$6,IF(Tim!EM8=Sheet6!$C$7,Sheet6!$C$7,IF(Tim!EM8=Sheet6!$C$8,Sheet6!$C$8,"")))))))</f>
        <v/>
      </c>
      <c r="BJ6" s="57" t="str">
        <f>IF(Tim!EQ8=Sheet6!$C$2,Sheet6!$C$2,IF(Tim!EQ8=Sheet6!$C$3,Sheet6!$C$3,IF(Tim!EQ8=Sheet6!$C$4,Sheet6!$C$4,IF(Tim!EQ8=Sheet6!$C$5,Sheet6!$C$5,IF(Tim!EQ8=Sheet6!$C$6,Sheet6!$C$6,IF(Tim!EQ8=Sheet6!$C$7,Sheet6!$C$7,IF(Tim!EQ8=Sheet6!$C$8,Sheet6!$C$8,"")))))))</f>
        <v/>
      </c>
      <c r="BK6" s="57" t="str">
        <f>IF(Tim!ER8=Sheet6!$C$2,Sheet6!$C$2,IF(Tim!ER8=Sheet6!$C$3,Sheet6!$C$3,IF(Tim!ER8=Sheet6!$C$4,Sheet6!$C$4,IF(Tim!ER8=Sheet6!$C$5,Sheet6!$C$5,IF(Tim!ER8=Sheet6!$C$6,Sheet6!$C$6,IF(Tim!ER8=Sheet6!$C$7,Sheet6!$C$7,IF(Tim!ER8=Sheet6!$C$8,Sheet6!$C$8,"")))))))</f>
        <v/>
      </c>
      <c r="BL6" s="57" t="str">
        <f>IF(Tim!EZ8=Sheet6!$C$2,Sheet6!$C$2,IF(Tim!EZ8=Sheet6!$C$3,Sheet6!$C$3,IF(Tim!EZ8=Sheet6!$C$4,Sheet6!$C$4,IF(Tim!EZ8=Sheet6!$C$5,Sheet6!$C$5,IF(Tim!EZ8=Sheet6!$C$6,Sheet6!$C$6,IF(Tim!EZ8=Sheet6!$C$7,Sheet6!$C$7,IF(Tim!EZ8=Sheet6!$C$8,Sheet6!$C$8,"")))))))</f>
        <v/>
      </c>
      <c r="BM6" s="53" t="str">
        <f>IF(Tim!FG8=Sheet6!$C$2,Sheet6!$C$2,IF(Tim!FG8=Sheet6!$C$3,Sheet6!$C$3,IF(Tim!FG8=Sheet6!$C$4,Sheet6!$C$4,IF(Tim!FG8=Sheet6!$C$5,Sheet6!$C$5,IF(Tim!FG8=Sheet6!$C$6,Sheet6!$C$6,IF(Tim!FG8=Sheet6!$C$7,Sheet6!$C$7,IF(Tim!FG8=Sheet6!$C$8,Sheet6!$C$8,"")))))))</f>
        <v/>
      </c>
      <c r="BN6" s="53" t="str">
        <f>IF(Tim!FH8=Sheet6!$C$2,Sheet6!$C$2,IF(Tim!FH8=Sheet6!$C$3,Sheet6!$C$3,IF(Tim!FH8=Sheet6!$C$4,Sheet6!$C$4,IF(Tim!FH8=Sheet6!$C$5,Sheet6!$C$5,IF(Tim!FH8=Sheet6!$C$6,Sheet6!$C$6,IF(Tim!FH8=Sheet6!$C$7,Sheet6!$C$7,IF(Tim!FH8=Sheet6!$C$8,Sheet6!$C$8,"")))))))</f>
        <v/>
      </c>
      <c r="BO6" s="53" t="str">
        <f>IF(Tim!FP8=Sheet6!$C$2,Sheet6!$C$2,IF(Tim!FP8=Sheet6!$C$3,Sheet6!$C$3,IF(Tim!FP8=Sheet6!$C$4,Sheet6!$C$4,IF(Tim!FP8=Sheet6!$C$5,Sheet6!$C$5,IF(Tim!FP8=Sheet6!$C$6,Sheet6!$C$6,IF(Tim!FP8=Sheet6!$C$7,Sheet6!$C$7,IF(Tim!FP8=Sheet6!$C$8,Sheet6!$C$8,"")))))))</f>
        <v/>
      </c>
      <c r="BP6" s="53" t="str">
        <f>IF(Tim!FQ8=Sheet6!$C$2,Sheet6!$C$2,IF(Tim!FQ8=Sheet6!$C$3,Sheet6!$C$3,IF(Tim!FQ8=Sheet6!$C$4,Sheet6!$C$4,IF(Tim!FQ8=Sheet6!$C$5,Sheet6!$C$5,IF(Tim!FQ8=Sheet6!$C$6,Sheet6!$C$6,IF(Tim!FQ8=Sheet6!$C$7,Sheet6!$C$7,IF(Tim!FQ8=Sheet6!$C$8,Sheet6!$C$8,"")))))))</f>
        <v/>
      </c>
      <c r="BQ6" s="53" t="str">
        <f>IF(Tim!FR8=Sheet6!$C$2,Sheet6!$C$2,IF(Tim!FR8=Sheet6!$C$3,Sheet6!$C$3,IF(Tim!FR8=Sheet6!$C$4,Sheet6!$C$4,IF(Tim!FR8=Sheet6!$C$5,Sheet6!$C$5,IF(Tim!FR8=Sheet6!$C$6,Sheet6!$C$6,IF(Tim!FR8=Sheet6!$C$7,Sheet6!$C$7,IF(Tim!FR8=Sheet6!$C$8,Sheet6!$C$8,"")))))))</f>
        <v/>
      </c>
      <c r="BR6" s="53" t="str">
        <f>IF(Tim!FS8=Sheet6!$C$2,Sheet6!$C$2,IF(Tim!FS8=Sheet6!$C$3,Sheet6!$C$3,IF(Tim!FS8=Sheet6!$C$4,Sheet6!$C$4,IF(Tim!FS8=Sheet6!$C$5,Sheet6!$C$5,IF(Tim!FS8=Sheet6!$C$6,Sheet6!$C$6,IF(Tim!FS8=Sheet6!$C$7,Sheet6!$C$7,IF(Tim!FS8=Sheet6!$C$8,Sheet6!$C$8,"")))))))</f>
        <v/>
      </c>
      <c r="BS6" s="53" t="str">
        <f>IF(Tim!FT8=Sheet6!$C$2,Sheet6!$C$2,IF(Tim!FT8=Sheet6!$C$3,Sheet6!$C$3,IF(Tim!FT8=Sheet6!$C$4,Sheet6!$C$4,IF(Tim!FT8=Sheet6!$C$5,Sheet6!$C$5,IF(Tim!FT8=Sheet6!$C$6,Sheet6!$C$6,IF(Tim!FT8=Sheet6!$C$7,Sheet6!$C$7,IF(Tim!FT8=Sheet6!$C$8,Sheet6!$C$8,"")))))))</f>
        <v/>
      </c>
      <c r="BT6" s="53" t="str">
        <f>IF(Tim!FU8=Sheet6!$C$2,Sheet6!$C$2,IF(Tim!FU8=Sheet6!$C$3,Sheet6!$C$3,IF(Tim!FU8=Sheet6!$C$4,Sheet6!$C$4,IF(Tim!FU8=Sheet6!$C$5,Sheet6!$C$5,IF(Tim!FU8=Sheet6!$C$6,Sheet6!$C$6,IF(Tim!FU8=Sheet6!$C$7,Sheet6!$C$7,IF(Tim!FU8=Sheet6!$C$8,Sheet6!$C$8,"")))))))</f>
        <v/>
      </c>
      <c r="BU6" s="53" t="str">
        <f>IF(Tim!FY8=Sheet6!$C$2,Sheet6!$C$2,IF(Tim!FY8=Sheet6!$C$3,Sheet6!$C$3,IF(Tim!FY8=Sheet6!$C$4,Sheet6!$C$4,IF(Tim!FY8=Sheet6!$C$5,Sheet6!$C$5,IF(Tim!FY8=Sheet6!$C$6,Sheet6!$C$6,IF(Tim!FY8=Sheet6!$C$7,Sheet6!$C$7,IF(Tim!FY8=Sheet6!$C$8,Sheet6!$C$8,"")))))))</f>
        <v/>
      </c>
      <c r="BV6" s="54" t="str">
        <f>IF(Tim!FZ8=Sheet6!$C$2,Sheet6!$C$2,IF(Tim!FZ8=Sheet6!$C$3,Sheet6!$C$3,IF(Tim!FZ8=Sheet6!$C$4,Sheet6!$C$4,IF(Tim!FZ8=Sheet6!$C$5,Sheet6!$C$5,IF(Tim!FZ8=Sheet6!$C$6,Sheet6!$C$6,IF(Tim!FZ8=Sheet6!$C$7,Sheet6!$C$7,IF(Tim!FZ8=Sheet6!$C$8,Sheet6!$C$8,"")))))))</f>
        <v/>
      </c>
      <c r="BW6" s="54" t="str">
        <f>IF(Tim!GA8=Sheet6!$C$2,Sheet6!$C$2,IF(Tim!GA8=Sheet6!$C$3,Sheet6!$C$3,IF(Tim!GA8=Sheet6!$C$4,Sheet6!$C$4,IF(Tim!GA8=Sheet6!$C$5,Sheet6!$C$5,IF(Tim!GA8=Sheet6!$C$6,Sheet6!$C$6,IF(Tim!GA8=Sheet6!$C$7,Sheet6!$C$7,IF(Tim!GA8=Sheet6!$C$8,Sheet6!$C$8,"")))))))</f>
        <v/>
      </c>
      <c r="BX6" s="54" t="str">
        <f>IF(Tim!GB8=Sheet6!$C$2,Sheet6!$C$2,IF(Tim!GB8=Sheet6!$C$3,Sheet6!$C$3,IF(Tim!GB8=Sheet6!$C$4,Sheet6!$C$4,IF(Tim!GB8=Sheet6!$C$5,Sheet6!$C$5,IF(Tim!GB8=Sheet6!$C$6,Sheet6!$C$6,IF(Tim!GB8=Sheet6!$C$7,Sheet6!$C$7,IF(Tim!GB8=Sheet6!$C$8,Sheet6!$C$8,"")))))))</f>
        <v/>
      </c>
      <c r="BY6" s="55" t="str">
        <f>IF(Tim!GC8=Sheet6!$C$2,Sheet6!$C$2,IF(Tim!GC8=Sheet6!$C$3,Sheet6!$C$3,IF(Tim!GC8=Sheet6!$C$4,Sheet6!$C$4,IF(Tim!GC8=Sheet6!$C$5,Sheet6!$C$5,IF(Tim!GC8=Sheet6!$C$6,Sheet6!$C$6,IF(Tim!GC8=Sheet6!$C$7,Sheet6!$C$7,IF(Tim!GC8=Sheet6!$C$8,Sheet6!$C$8,"")))))))</f>
        <v/>
      </c>
      <c r="BZ6" s="53" t="str">
        <f>IF(Tim!GD8=Sheet6!$C$2,Sheet6!$C$2,IF(Tim!GD8=Sheet6!$C$3,Sheet6!$C$3,IF(Tim!GD8=Sheet6!$C$4,Sheet6!$C$4,IF(Tim!GD8=Sheet6!$C$5,Sheet6!$C$5,IF(Tim!GD8=Sheet6!$C$6,Sheet6!$C$6,IF(Tim!GD8=Sheet6!$C$7,Sheet6!$C$7,IF(Tim!GD8=Sheet6!$C$8,Sheet6!$C$8,"")))))))</f>
        <v/>
      </c>
      <c r="CA6" s="57" t="str">
        <f>IF(Tim!GE8=Sheet6!$C$2,Sheet6!$C$2,IF(Tim!GE8=Sheet6!$C$3,Sheet6!$C$3,IF(Tim!GE8=Sheet6!$C$4,Sheet6!$C$4,IF(Tim!GE8=Sheet6!$C$5,Sheet6!$C$5,IF(Tim!GE8=Sheet6!$C$6,Sheet6!$C$6,IF(Tim!GE8=Sheet6!$C$7,Sheet6!$C$7,IF(Tim!GE8=Sheet6!$C$8,Sheet6!$C$8,"")))))))</f>
        <v/>
      </c>
      <c r="CB6" s="57" t="str">
        <f>IF(Tim!GI8=Sheet6!$C$2,Sheet6!$C$2,IF(Tim!GI8=Sheet6!$C$3,Sheet6!$C$3,IF(Tim!GI8=Sheet6!$C$4,Sheet6!$C$4,IF(Tim!GI8=Sheet6!$C$5,Sheet6!$C$5,IF(Tim!GI8=Sheet6!$C$6,Sheet6!$C$6,IF(Tim!GI8=Sheet6!$C$7,Sheet6!$C$7,IF(Tim!GI8=Sheet6!$C$8,Sheet6!$C$8,"")))))))</f>
        <v/>
      </c>
      <c r="CC6" s="57" t="str">
        <f>IF(Tim!GJ8=Sheet6!$C$2,Sheet6!$C$2,IF(Tim!GJ8=Sheet6!$C$3,Sheet6!$C$3,IF(Tim!GJ8=Sheet6!$C$4,Sheet6!$C$4,IF(Tim!GJ8=Sheet6!$C$5,Sheet6!$C$5,IF(Tim!GJ8=Sheet6!$C$6,Sheet6!$C$6,IF(Tim!GJ8=Sheet6!$C$7,Sheet6!$C$7,IF(Tim!GJ8=Sheet6!$C$8,Sheet6!$C$8,"")))))))</f>
        <v/>
      </c>
      <c r="CD6" s="57" t="str">
        <f>IF(Tim!GN8=Sheet6!$C$2,Sheet6!$C$2,IF(Tim!GN8=Sheet6!$C$3,Sheet6!$C$3,IF(Tim!GN8=Sheet6!$C$4,Sheet6!$C$4,IF(Tim!GN8=Sheet6!$C$5,Sheet6!$C$5,IF(Tim!GN8=Sheet6!$C$6,Sheet6!$C$6,IF(Tim!GN8=Sheet6!$C$7,Sheet6!$C$7,IF(Tim!GN8=Sheet6!$C$8,Sheet6!$C$8,"")))))))</f>
        <v/>
      </c>
      <c r="CE6" s="53" t="str">
        <f>IF(Tim!GY8=Sheet6!$C$2,Sheet6!$C$2,IF(Tim!GY8=Sheet6!$C$3,Sheet6!$C$3,IF(Tim!GY8=Sheet6!$C$4,Sheet6!$C$4,IF(Tim!GY8=Sheet6!$C$5,Sheet6!$C$5,IF(Tim!GY8=Sheet6!$C$6,Sheet6!$C$6,IF(Tim!GY8=Sheet6!$C$7,Sheet6!$C$7,IF(Tim!GY8=Sheet6!$C$8,Sheet6!$C$8,"")))))))</f>
        <v/>
      </c>
      <c r="CF6" s="53" t="str">
        <f>IF(Tim!GZ8=Sheet6!$C$2,Sheet6!$C$2,IF(Tim!GZ8=Sheet6!$C$3,Sheet6!$C$3,IF(Tim!GZ8=Sheet6!$C$4,Sheet6!$C$4,IF(Tim!GZ8=Sheet6!$C$5,Sheet6!$C$5,IF(Tim!GZ8=Sheet6!$C$6,Sheet6!$C$6,IF(Tim!GZ8=Sheet6!$C$7,Sheet6!$C$7,IF(Tim!GZ8=Sheet6!$C$8,Sheet6!$C$8,"")))))))</f>
        <v/>
      </c>
      <c r="CG6" s="53" t="str">
        <f>IF(Tim!HH8=Sheet6!$C$2,Sheet6!$C$2,IF(Tim!HH8=Sheet6!$C$3,Sheet6!$C$3,IF(Tim!HH8=Sheet6!$C$4,Sheet6!$C$4,IF(Tim!HH8=Sheet6!$C$5,Sheet6!$C$5,IF(Tim!HH8=Sheet6!$C$6,Sheet6!$C$6,IF(Tim!HH8=Sheet6!$C$7,Sheet6!$C$7,IF(Tim!HH8=Sheet6!$C$8,Sheet6!$C$8,"")))))))</f>
        <v/>
      </c>
      <c r="CH6" s="53" t="str">
        <f>IF(Tim!HI8=Sheet6!$C$2,Sheet6!$C$2,IF(Tim!HI8=Sheet6!$C$3,Sheet6!$C$3,IF(Tim!HI8=Sheet6!$C$4,Sheet6!$C$4,IF(Tim!HI8=Sheet6!$C$5,Sheet6!$C$5,IF(Tim!HI8=Sheet6!$C$6,Sheet6!$C$6,IF(Tim!HI8=Sheet6!$C$7,Sheet6!$C$7,IF(Tim!HI8=Sheet6!$C$8,Sheet6!$C$8,"")))))))</f>
        <v/>
      </c>
      <c r="CI6" s="53" t="str">
        <f>IF(Tim!HJ8=Sheet6!$C$2,Sheet6!$C$2,IF(Tim!HJ8=Sheet6!$C$3,Sheet6!$C$3,IF(Tim!HJ8=Sheet6!$C$4,Sheet6!$C$4,IF(Tim!HJ8=Sheet6!$C$5,Sheet6!$C$5,IF(Tim!HJ8=Sheet6!$C$6,Sheet6!$C$6,IF(Tim!HJ8=Sheet6!$C$7,Sheet6!$C$7,IF(Tim!HJ8=Sheet6!$C$8,Sheet6!$C$8,"")))))))</f>
        <v/>
      </c>
      <c r="CJ6" s="53" t="str">
        <f>IF(Tim!HK8=Sheet6!$C$2,Sheet6!$C$2,IF(Tim!HK8=Sheet6!$C$3,Sheet6!$C$3,IF(Tim!HK8=Sheet6!$C$4,Sheet6!$C$4,IF(Tim!HK8=Sheet6!$C$5,Sheet6!$C$5,IF(Tim!HK8=Sheet6!$C$6,Sheet6!$C$6,IF(Tim!HK8=Sheet6!$C$7,Sheet6!$C$7,IF(Tim!HK8=Sheet6!$C$8,Sheet6!$C$8,"")))))))</f>
        <v/>
      </c>
      <c r="CK6" s="53" t="str">
        <f>IF(Tim!HL8=Sheet6!$C$2,Sheet6!$C$2,IF(Tim!HL8=Sheet6!$C$3,Sheet6!$C$3,IF(Tim!HL8=Sheet6!$C$4,Sheet6!$C$4,IF(Tim!HL8=Sheet6!$C$5,Sheet6!$C$5,IF(Tim!HL8=Sheet6!$C$6,Sheet6!$C$6,IF(Tim!HL8=Sheet6!$C$7,Sheet6!$C$7,IF(Tim!HL8=Sheet6!$C$8,Sheet6!$C$8,"")))))))</f>
        <v/>
      </c>
      <c r="CL6" s="53" t="str">
        <f>IF(Tim!HM8=Sheet6!$C$2,Sheet6!$C$2,IF(Tim!HM8=Sheet6!$C$3,Sheet6!$C$3,IF(Tim!HM8=Sheet6!$C$4,Sheet6!$C$4,IF(Tim!HM8=Sheet6!$C$5,Sheet6!$C$5,IF(Tim!HM8=Sheet6!$C$6,Sheet6!$C$6,IF(Tim!HM8=Sheet6!$C$7,Sheet6!$C$7,IF(Tim!HM8=Sheet6!$C$8,Sheet6!$C$8,"")))))))</f>
        <v/>
      </c>
      <c r="CM6" s="53" t="str">
        <f>IF(Tim!HQ8=Sheet6!$C$2,Sheet6!$C$2,IF(Tim!HQ8=Sheet6!$C$3,Sheet6!$C$3,IF(Tim!HQ8=Sheet6!$C$4,Sheet6!$C$4,IF(Tim!HQ8=Sheet6!$C$5,Sheet6!$C$5,IF(Tim!HQ8=Sheet6!$C$6,Sheet6!$C$6,IF(Tim!HQ8=Sheet6!$C$7,Sheet6!$C$7,IF(Tim!HQ8=Sheet6!$C$8,Sheet6!$C$8,"")))))))</f>
        <v/>
      </c>
      <c r="CN6" s="54" t="str">
        <f>IF(Tim!HR8=Sheet6!$C$2,Sheet6!$C$2,IF(Tim!HR8=Sheet6!$C$3,Sheet6!$C$3,IF(Tim!HR8=Sheet6!$C$4,Sheet6!$C$4,IF(Tim!HR8=Sheet6!$C$5,Sheet6!$C$5,IF(Tim!HR8=Sheet6!$C$6,Sheet6!$C$6,IF(Tim!HR8=Sheet6!$C$7,Sheet6!$C$7,IF(Tim!HR8=Sheet6!$C$8,Sheet6!$C$8,"")))))))</f>
        <v/>
      </c>
      <c r="CO6" s="54" t="str">
        <f>IF(Tim!HS8=Sheet6!$C$2,Sheet6!$C$2,IF(Tim!HS8=Sheet6!$C$3,Sheet6!$C$3,IF(Tim!HS8=Sheet6!$C$4,Sheet6!$C$4,IF(Tim!HS8=Sheet6!$C$5,Sheet6!$C$5,IF(Tim!HS8=Sheet6!$C$6,Sheet6!$C$6,IF(Tim!HS8=Sheet6!$C$7,Sheet6!$C$7,IF(Tim!HS8=Sheet6!$C$8,Sheet6!$C$8,"")))))))</f>
        <v/>
      </c>
      <c r="CP6" s="54" t="str">
        <f>IF(Tim!HT8=Sheet6!$C$2,Sheet6!$C$2,IF(Tim!HT8=Sheet6!$C$3,Sheet6!$C$3,IF(Tim!HT8=Sheet6!$C$4,Sheet6!$C$4,IF(Tim!HT8=Sheet6!$C$5,Sheet6!$C$5,IF(Tim!HT8=Sheet6!$C$6,Sheet6!$C$6,IF(Tim!HT8=Sheet6!$C$7,Sheet6!$C$7,IF(Tim!HT8=Sheet6!$C$8,Sheet6!$C$8,"")))))))</f>
        <v/>
      </c>
      <c r="CQ6" s="55" t="str">
        <f>IF(Tim!HU8=Sheet6!$C$2,Sheet6!$C$2,IF(Tim!HU8=Sheet6!$C$3,Sheet6!$C$3,IF(Tim!HU8=Sheet6!$C$4,Sheet6!$C$4,IF(Tim!HU8=Sheet6!$C$5,Sheet6!$C$5,IF(Tim!HU8=Sheet6!$C$6,Sheet6!$C$6,IF(Tim!HU8=Sheet6!$C$7,Sheet6!$C$7,IF(Tim!HU8=Sheet6!$C$8,Sheet6!$C$8,"")))))))</f>
        <v/>
      </c>
      <c r="CR6" s="469"/>
      <c r="CS6" s="366"/>
      <c r="CT6" s="366"/>
      <c r="CU6" s="366"/>
      <c r="CV6" s="366"/>
      <c r="CW6" s="366"/>
      <c r="CX6" s="366"/>
      <c r="CY6" s="366"/>
      <c r="CZ6" s="366"/>
      <c r="DA6" s="366"/>
      <c r="DB6" s="366"/>
      <c r="DC6" s="366"/>
      <c r="DD6" s="366"/>
      <c r="DE6" s="366"/>
      <c r="DF6" s="366"/>
      <c r="DG6" s="428"/>
      <c r="DH6" s="469"/>
      <c r="DI6" s="366"/>
      <c r="DJ6" s="366"/>
      <c r="DK6" s="366"/>
      <c r="DL6" s="366"/>
      <c r="DM6" s="366"/>
      <c r="DN6" s="366"/>
      <c r="DO6" s="366"/>
      <c r="DP6" s="366"/>
      <c r="DQ6" s="366"/>
      <c r="DR6" s="366"/>
      <c r="DS6" s="366"/>
      <c r="DT6" s="366"/>
      <c r="DU6" s="366"/>
      <c r="DV6" s="366"/>
      <c r="DW6" s="428"/>
      <c r="DX6" s="52">
        <v>0.30208333333333331</v>
      </c>
    </row>
    <row r="7" spans="2:128" ht="10.5" customHeight="1">
      <c r="B7" s="51">
        <v>0.25</v>
      </c>
      <c r="C7" s="51">
        <v>0.25</v>
      </c>
      <c r="D7" s="51">
        <v>0.25</v>
      </c>
      <c r="E7" s="52">
        <v>0.3125</v>
      </c>
      <c r="F7" s="53" t="str">
        <f>IF(Tim!F9=Sheet6!$C$2,Sheet6!$C$2,IF(Tim!F9=Sheet6!$C$3,Sheet6!$C$3,IF(Tim!F9=Sheet6!$C$4,Sheet6!$C$4,IF(Tim!F9=Sheet6!$C$5,Sheet6!$C$5,IF(Tim!F9=Sheet6!$C$6,Sheet6!$C$6,IF(Tim!F9=Sheet6!$C$7,Sheet6!$C$7,IF(Tim!F9=Sheet6!$C$8,Sheet6!$C$8,"")))))))</f>
        <v/>
      </c>
      <c r="G7" s="53" t="str">
        <f>IF(Tim!G9=Sheet6!$C$2,Sheet6!$C$2,IF(Tim!G9=Sheet6!$C$3,Sheet6!$C$3,IF(Tim!G9=Sheet6!$C$4,Sheet6!$C$4,IF(Tim!G9=Sheet6!$C$5,Sheet6!$C$5,IF(Tim!G9=Sheet6!$C$6,Sheet6!$C$6,IF(Tim!G9=Sheet6!$C$7,Sheet6!$C$7,IF(Tim!G9=Sheet6!$C$8,Sheet6!$C$8,"")))))))</f>
        <v/>
      </c>
      <c r="H7" s="53" t="str">
        <f>IF(Tim!H9=Sheet6!$C$2,Sheet6!$C$2,IF(Tim!H9=Sheet6!$C$3,Sheet6!$C$3,IF(Tim!H9=Sheet6!$C$4,Sheet6!$C$4,IF(Tim!H9=Sheet6!$C$5,Sheet6!$C$5,IF(Tim!H9=Sheet6!$C$6,Sheet6!$C$6,IF(Tim!H9=Sheet6!$C$7,Sheet6!$C$7,IF(Tim!H9=Sheet6!$C$8,Sheet6!$C$8,"")))))))</f>
        <v/>
      </c>
      <c r="I7" s="53" t="str">
        <f>IF(Tim!L9=Sheet6!$C$2,Sheet6!$C$2,IF(Tim!L9=Sheet6!$C$3,Sheet6!$C$3,IF(Tim!L9=Sheet6!$C$4,Sheet6!$C$4,IF(Tim!L9=Sheet6!$C$5,Sheet6!$C$5,IF(Tim!L9=Sheet6!$C$6,Sheet6!$C$6,IF(Tim!L9=Sheet6!$C$7,Sheet6!$C$7,IF(Tim!L9=Sheet6!$C$8,Sheet6!$C$8,"")))))))</f>
        <v/>
      </c>
      <c r="J7" s="53" t="str">
        <f>IF(Tim!T9=Sheet6!$C$2,Sheet6!$C$2,IF(Tim!T9=Sheet6!$C$3,Sheet6!$C$3,IF(Tim!T9=Sheet6!$C$4,Sheet6!$C$4,IF(Tim!T9=Sheet6!$C$5,Sheet6!$C$5,IF(Tim!T9=Sheet6!$C$6,Sheet6!$C$6,IF(Tim!T9=Sheet6!$C$7,Sheet6!$C$7,IF(Tim!T9=Sheet6!$C$8,Sheet6!$C$8,"")))))))</f>
        <v/>
      </c>
      <c r="K7" s="53" t="str">
        <f>IF(Tim!AB9=Sheet6!$C$2,Sheet6!$C$2,IF(Tim!AB9=Sheet6!$C$3,Sheet6!$C$3,IF(Tim!AB9=Sheet6!$C$4,Sheet6!$C$4,IF(Tim!AB9=Sheet6!$C$5,Sheet6!$C$5,IF(Tim!AB9=Sheet6!$C$6,Sheet6!$C$6,IF(Tim!AB9=Sheet6!$C$7,Sheet6!$C$7,IF(Tim!AB9=Sheet6!$C$8,Sheet6!$C$8,"")))))))</f>
        <v/>
      </c>
      <c r="L7" s="53" t="str">
        <f>IF(Tim!AC9=Sheet6!$C$2,Sheet6!$C$2,IF(Tim!AC9=Sheet6!$C$3,Sheet6!$C$3,IF(Tim!AC9=Sheet6!$C$4,Sheet6!$C$4,IF(Tim!AC9=Sheet6!$C$5,Sheet6!$C$5,IF(Tim!AC9=Sheet6!$C$6,Sheet6!$C$6,IF(Tim!AC9=Sheet6!$C$7,Sheet6!$C$7,IF(Tim!AC9=Sheet6!$C$8,Sheet6!$C$8,"")))))))</f>
        <v/>
      </c>
      <c r="M7" s="53" t="str">
        <f>IF(Tim!AJ9=Sheet6!$C$2,Sheet6!$C$2,IF(Tim!AJ9=Sheet6!$C$3,Sheet6!$C$3,IF(Tim!AJ9=Sheet6!$C$4,Sheet6!$C$4,IF(Tim!AJ9=Sheet6!$C$5,Sheet6!$C$5,IF(Tim!AJ9=Sheet6!$C$6,Sheet6!$C$6,IF(Tim!AJ9=Sheet6!$C$7,Sheet6!$C$7,IF(Tim!AJ9=Sheet6!$C$8,Sheet6!$C$8,"")))))))</f>
        <v/>
      </c>
      <c r="N7" s="53" t="str">
        <f>IF(Tim!AK9=Sheet6!$C$2,Sheet6!$C$2,IF(Tim!AK9=Sheet6!$C$3,Sheet6!$C$3,IF(Tim!AK9=Sheet6!$C$4,Sheet6!$C$4,IF(Tim!AK9=Sheet6!$C$5,Sheet6!$C$5,IF(Tim!AK9=Sheet6!$C$6,Sheet6!$C$6,IF(Tim!AK9=Sheet6!$C$7,Sheet6!$C$7,IF(Tim!AK9=Sheet6!$C$8,Sheet6!$C$8,"")))))))</f>
        <v/>
      </c>
      <c r="O7" s="53" t="str">
        <f>IF(Tim!AL9=Sheet6!$C$2,Sheet6!$C$2,IF(Tim!AL9=Sheet6!$C$3,Sheet6!$C$3,IF(Tim!AL9=Sheet6!$C$4,Sheet6!$C$4,IF(Tim!AL9=Sheet6!$C$5,Sheet6!$C$5,IF(Tim!AL9=Sheet6!$C$6,Sheet6!$C$6,IF(Tim!AL9=Sheet6!$C$7,Sheet6!$C$7,IF(Tim!AL9=Sheet6!$C$8,Sheet6!$C$8,"")))))))</f>
        <v/>
      </c>
      <c r="P7" s="53" t="str">
        <f>IF(Tim!AN9=Sheet6!$C$2,Sheet6!$C$2,IF(Tim!AN9=Sheet6!$C$3,Sheet6!$C$3,IF(Tim!AN9=Sheet6!$C$4,Sheet6!$C$4,IF(Tim!AN9=Sheet6!$C$5,Sheet6!$C$5,IF(Tim!AN9=Sheet6!$C$6,Sheet6!$C$6,IF(Tim!AN9=Sheet6!$C$7,Sheet6!$C$7,IF(Tim!AN9=Sheet6!$C$8,Sheet6!$C$8,"")))))))</f>
        <v/>
      </c>
      <c r="Q7" s="53" t="str">
        <f>IF(Tim!AO9=Sheet6!$C$2,Sheet6!$C$2,IF(Tim!AO9=Sheet6!$C$3,Sheet6!$C$3,IF(Tim!AO9=Sheet6!$C$4,Sheet6!$C$4,IF(Tim!AO9=Sheet6!$C$5,Sheet6!$C$5,IF(Tim!AO9=Sheet6!$C$6,Sheet6!$C$6,IF(Tim!AO9=Sheet6!$C$7,Sheet6!$C$7,IF(Tim!AO9=Sheet6!$C$8,Sheet6!$C$8,"")))))))</f>
        <v/>
      </c>
      <c r="R7" s="54" t="str">
        <f>IF(Tim!AP9=Sheet6!$C$2,Sheet6!$C$2,IF(Tim!AP9=Sheet6!$C$3,Sheet6!$C$3,IF(Tim!AP9=Sheet6!$C$4,Sheet6!$C$4,IF(Tim!AP9=Sheet6!$C$5,Sheet6!$C$5,IF(Tim!AP9=Sheet6!$C$6,Sheet6!$C$6,IF(Tim!AP9=Sheet6!$C$7,Sheet6!$C$7,IF(Tim!AP9=Sheet6!$C$8,Sheet6!$C$8,"")))))))</f>
        <v/>
      </c>
      <c r="S7" s="53" t="str">
        <f>IF(Tim!AT9=Sheet6!$C$2,Sheet6!$C$2,IF(Tim!AT9=Sheet6!$C$3,Sheet6!$C$3,IF(Tim!AT9=Sheet6!$C$4,Sheet6!$C$4,IF(Tim!AT9=Sheet6!$C$5,Sheet6!$C$5,IF(Tim!AT9=Sheet6!$C$6,Sheet6!$C$6,IF(Tim!AT9=Sheet6!$C$7,Sheet6!$C$7,IF(Tim!AT9=Sheet6!$C$8,Sheet6!$C$8,"")))))))</f>
        <v/>
      </c>
      <c r="T7" s="54" t="str">
        <f>IF(Tim!AU9=Sheet6!$C$2,Sheet6!$C$2,IF(Tim!AU9=Sheet6!$C$3,Sheet6!$C$3,IF(Tim!AU9=Sheet6!$C$4,Sheet6!$C$4,IF(Tim!AU9=Sheet6!$C$5,Sheet6!$C$5,IF(Tim!AU9=Sheet6!$C$6,Sheet6!$C$6,IF(Tim!AU9=Sheet6!$C$7,Sheet6!$C$7,IF(Tim!AU9=Sheet6!$C$8,Sheet6!$C$8,"")))))))</f>
        <v/>
      </c>
      <c r="U7" s="54" t="str">
        <f>IF(Tim!AV9=Sheet6!$C$2,Sheet6!$C$2,IF(Tim!AV9=Sheet6!$C$3,Sheet6!$C$3,IF(Tim!AV9=Sheet6!$C$4,Sheet6!$C$4,IF(Tim!AV9=Sheet6!$C$5,Sheet6!$C$5,IF(Tim!AV9=Sheet6!$C$6,Sheet6!$C$6,IF(Tim!AV9=Sheet6!$C$7,Sheet6!$C$7,IF(Tim!AV9=Sheet6!$C$8,Sheet6!$C$8,"")))))))</f>
        <v/>
      </c>
      <c r="V7" s="54" t="str">
        <f>IF(Tim!AW9=Sheet6!$C$2,Sheet6!$C$2,IF(Tim!AW9=Sheet6!$C$3,Sheet6!$C$3,IF(Tim!AW9=Sheet6!$C$4,Sheet6!$C$4,IF(Tim!AW9=Sheet6!$C$5,Sheet6!$C$5,IF(Tim!AW9=Sheet6!$C$6,Sheet6!$C$6,IF(Tim!AW9=Sheet6!$C$7,Sheet6!$C$7,IF(Tim!AW9=Sheet6!$C$8,Sheet6!$C$8,"")))))))</f>
        <v/>
      </c>
      <c r="W7" s="55" t="str">
        <f>IF(Tim!AX9=Sheet6!$C$2,Sheet6!$C$2,IF(Tim!AX9=Sheet6!$C$3,Sheet6!$C$3,IF(Tim!AX9=Sheet6!$C$4,Sheet6!$C$4,IF(Tim!AX9=Sheet6!$C$5,Sheet6!$C$5,IF(Tim!AX9=Sheet6!$C$6,Sheet6!$C$6,IF(Tim!AX9=Sheet6!$C$7,Sheet6!$C$7,IF(Tim!AX9=Sheet6!$C$8,Sheet6!$C$8,"")))))))</f>
        <v/>
      </c>
      <c r="X7" s="53" t="str">
        <f>IF(Tim!AY9=Sheet6!$C$2,Sheet6!$C$2,IF(Tim!AY9=Sheet6!$C$3,Sheet6!$C$3,IF(Tim!AY9=Sheet6!$C$4,Sheet6!$C$4,IF(Tim!AY9=Sheet6!$C$5,Sheet6!$C$5,IF(Tim!AY9=Sheet6!$C$6,Sheet6!$C$6,IF(Tim!AY9=Sheet6!$C$7,Sheet6!$C$7,IF(Tim!AY9=Sheet6!$C$8,Sheet6!$C$8,"")))))))</f>
        <v/>
      </c>
      <c r="Y7" s="57" t="str">
        <f>IF(Tim!AZ9=Sheet6!$C$2,Sheet6!$C$2,IF(Tim!AZ9=Sheet6!$C$3,Sheet6!$C$3,IF(Tim!AZ9=Sheet6!$C$4,Sheet6!$C$4,IF(Tim!AZ9=Sheet6!$C$5,Sheet6!$C$5,IF(Tim!AZ9=Sheet6!$C$6,Sheet6!$C$6,IF(Tim!AZ9=Sheet6!$C$7,Sheet6!$C$7,IF(Tim!AZ9=Sheet6!$C$8,Sheet6!$C$8,"")))))))</f>
        <v/>
      </c>
      <c r="Z7" s="57" t="str">
        <f>IF(Tim!BD9=Sheet6!$C$2,Sheet6!$C$2,IF(Tim!BD9=Sheet6!$C$3,Sheet6!$C$3,IF(Tim!BD9=Sheet6!$C$4,Sheet6!$C$4,IF(Tim!BD9=Sheet6!$C$5,Sheet6!$C$5,IF(Tim!BD9=Sheet6!$C$6,Sheet6!$C$6,IF(Tim!BD9=Sheet6!$C$7,Sheet6!$C$7,IF(Tim!BD9=Sheet6!$C$8,Sheet6!$C$8,"")))))))</f>
        <v/>
      </c>
      <c r="AA7" s="57" t="str">
        <f>IF(Tim!BE9=Sheet6!$C$2,Sheet6!$C$2,IF(Tim!BE9=Sheet6!$C$3,Sheet6!$C$3,IF(Tim!BE9=Sheet6!$C$4,Sheet6!$C$4,IF(Tim!BE9=Sheet6!$C$5,Sheet6!$C$5,IF(Tim!BE9=Sheet6!$C$6,Sheet6!$C$6,IF(Tim!BE9=Sheet6!$C$7,Sheet6!$C$7,IF(Tim!BE9=Sheet6!$C$8,Sheet6!$C$8,"")))))))</f>
        <v/>
      </c>
      <c r="AB7" s="57" t="str">
        <f>IF(Tim!BL9=Sheet6!$C$2,Sheet6!$C$2,IF(Tim!BL9=Sheet6!$C$3,Sheet6!$C$3,IF(Tim!BL9=Sheet6!$C$4,Sheet6!$C$4,IF(Tim!BL9=Sheet6!$C$5,Sheet6!$C$5,IF(Tim!BL9=Sheet6!$C$6,Sheet6!$C$6,IF(Tim!BL9=Sheet6!$C$7,Sheet6!$C$7,IF(Tim!BL9=Sheet6!$C$8,Sheet6!$C$8,"")))))))</f>
        <v/>
      </c>
      <c r="AC7" s="53" t="str">
        <f>IF(Tim!BT9=Sheet6!$C$2,Sheet6!$C$2,IF(Tim!BT9=Sheet6!$C$3,Sheet6!$C$3,IF(Tim!BT9=Sheet6!$C$4,Sheet6!$C$4,IF(Tim!BT9=Sheet6!$C$5,Sheet6!$C$5,IF(Tim!BT9=Sheet6!$C$6,Sheet6!$C$6,IF(Tim!BT9=Sheet6!$C$7,Sheet6!$C$7,IF(Tim!BT9=Sheet6!$C$8,Sheet6!$C$8,"")))))))</f>
        <v/>
      </c>
      <c r="AD7" s="53" t="str">
        <f>IF(Tim!BU9=Sheet6!$C$2,Sheet6!$C$2,IF(Tim!BU9=Sheet6!$C$3,Sheet6!$C$3,IF(Tim!BU9=Sheet6!$C$4,Sheet6!$C$4,IF(Tim!BU9=Sheet6!$C$5,Sheet6!$C$5,IF(Tim!BU9=Sheet6!$C$6,Sheet6!$C$6,IF(Tim!BU9=Sheet6!$C$7,Sheet6!$C$7,IF(Tim!BU9=Sheet6!$C$8,Sheet6!$C$8,"")))))))</f>
        <v/>
      </c>
      <c r="AE7" s="53" t="str">
        <f>IF(Tim!CB9=Sheet6!$C$2,Sheet6!$C$2,IF(Tim!CB9=Sheet6!$C$3,Sheet6!$C$3,IF(Tim!CB9=Sheet6!$C$4,Sheet6!$C$4,IF(Tim!CB9=Sheet6!$C$5,Sheet6!$C$5,IF(Tim!CB9=Sheet6!$C$6,Sheet6!$C$6,IF(Tim!CB9=Sheet6!$C$7,Sheet6!$C$7,IF(Tim!CB9=Sheet6!$C$8,Sheet6!$C$8,"")))))))</f>
        <v/>
      </c>
      <c r="AF7" s="53" t="str">
        <f>IF(Tim!CD9=Sheet6!$C$2,Sheet6!$C$2,IF(Tim!CD9=Sheet6!$C$3,Sheet6!$C$3,IF(Tim!CD9=Sheet6!$C$4,Sheet6!$C$4,IF(Tim!CD9=Sheet6!$C$5,Sheet6!$C$5,IF(Tim!CD9=Sheet6!$C$6,Sheet6!$C$6,IF(Tim!CD9=Sheet6!$C$7,Sheet6!$C$7,IF(Tim!CD9=Sheet6!$C$8,Sheet6!$C$8,"")))))))</f>
        <v/>
      </c>
      <c r="AG7" s="53" t="str">
        <f>IF(Tim!CE9=Sheet6!$C$2,Sheet6!$C$2,IF(Tim!CE9=Sheet6!$C$3,Sheet6!$C$3,IF(Tim!CE9=Sheet6!$C$4,Sheet6!$C$4,IF(Tim!CE9=Sheet6!$C$5,Sheet6!$C$5,IF(Tim!CE9=Sheet6!$C$6,Sheet6!$C$6,IF(Tim!CE9=Sheet6!$C$7,Sheet6!$C$7,IF(Tim!CE9=Sheet6!$C$8,Sheet6!$C$8,"")))))))</f>
        <v/>
      </c>
      <c r="AH7" s="53" t="str">
        <f>IF(Tim!CF9=Sheet6!$C$2,Sheet6!$C$2,IF(Tim!CF9=Sheet6!$C$3,Sheet6!$C$3,IF(Tim!CF9=Sheet6!$C$4,Sheet6!$C$4,IF(Tim!CF9=Sheet6!$C$5,Sheet6!$C$5,IF(Tim!CF9=Sheet6!$C$6,Sheet6!$C$6,IF(Tim!CF9=Sheet6!$C$7,Sheet6!$C$7,IF(Tim!CF9=Sheet6!$C$8,Sheet6!$C$8,"")))))))</f>
        <v/>
      </c>
      <c r="AI7" s="53" t="str">
        <f>IF(Tim!CG9=Sheet6!$C$2,Sheet6!$C$2,IF(Tim!CG9=Sheet6!$C$3,Sheet6!$C$3,IF(Tim!CG9=Sheet6!$C$4,Sheet6!$C$4,IF(Tim!CG9=Sheet6!$C$5,Sheet6!$C$5,IF(Tim!CG9=Sheet6!$C$6,Sheet6!$C$6,IF(Tim!CG9=Sheet6!$C$7,Sheet6!$C$7,IF(Tim!CG9=Sheet6!$C$8,Sheet6!$C$8,"")))))))</f>
        <v/>
      </c>
      <c r="AJ7" s="54" t="str">
        <f>IF(Tim!CH9=Sheet6!$C$2,Sheet6!$C$2,IF(Tim!CH9=Sheet6!$C$3,Sheet6!$C$3,IF(Tim!CH9=Sheet6!$C$4,Sheet6!$C$4,IF(Tim!CH9=Sheet6!$C$5,Sheet6!$C$5,IF(Tim!CH9=Sheet6!$C$6,Sheet6!$C$6,IF(Tim!CH9=Sheet6!$C$7,Sheet6!$C$7,IF(Tim!CH9=Sheet6!$C$8,Sheet6!$C$8,"")))))))</f>
        <v/>
      </c>
      <c r="AK7" s="53" t="str">
        <f>IF(Tim!CL9=Sheet6!$C$2,Sheet6!$C$2,IF(Tim!CL9=Sheet6!$C$3,Sheet6!$C$3,IF(Tim!CL9=Sheet6!$C$4,Sheet6!$C$4,IF(Tim!CL9=Sheet6!$C$5,Sheet6!$C$5,IF(Tim!CL9=Sheet6!$C$6,Sheet6!$C$6,IF(Tim!CL9=Sheet6!$C$7,Sheet6!$C$7,IF(Tim!CL9=Sheet6!$C$8,Sheet6!$C$8,"")))))))</f>
        <v/>
      </c>
      <c r="AL7" s="54" t="str">
        <f>IF(Tim!CM9=Sheet6!$C$2,Sheet6!$C$2,IF(Tim!CM9=Sheet6!$C$3,Sheet6!$C$3,IF(Tim!CM9=Sheet6!$C$4,Sheet6!$C$4,IF(Tim!CM9=Sheet6!$C$5,Sheet6!$C$5,IF(Tim!CM9=Sheet6!$C$6,Sheet6!$C$6,IF(Tim!CM9=Sheet6!$C$7,Sheet6!$C$7,IF(Tim!CM9=Sheet6!$C$8,Sheet6!$C$8,"")))))))</f>
        <v/>
      </c>
      <c r="AM7" s="54" t="str">
        <f>IF(Tim!CN9=Sheet6!$C$2,Sheet6!$C$2,IF(Tim!CN9=Sheet6!$C$3,Sheet6!$C$3,IF(Tim!CN9=Sheet6!$C$4,Sheet6!$C$4,IF(Tim!CN9=Sheet6!$C$5,Sheet6!$C$5,IF(Tim!CN9=Sheet6!$C$6,Sheet6!$C$6,IF(Tim!CN9=Sheet6!$C$7,Sheet6!$C$7,IF(Tim!CN9=Sheet6!$C$8,Sheet6!$C$8,"")))))))</f>
        <v/>
      </c>
      <c r="AN7" s="53" t="str">
        <f>IF(Tim!CO9=Sheet6!$C$2,Sheet6!$C$2,IF(Tim!CO9=Sheet6!$C$3,Sheet6!$C$3,IF(Tim!CO9=Sheet6!$C$4,Sheet6!$C$4,IF(Tim!CO9=Sheet6!$C$5,Sheet6!$C$5,IF(Tim!CO9=Sheet6!$C$6,Sheet6!$C$6,IF(Tim!CO9=Sheet6!$C$7,Sheet6!$C$7,IF(Tim!CO9=Sheet6!$C$8,Sheet6!$C$8,"")))))))</f>
        <v/>
      </c>
      <c r="AO7" s="55" t="str">
        <f>IF(Tim!CP9=Sheet6!$C$2,Sheet6!$C$2,IF(Tim!CP9=Sheet6!$C$3,Sheet6!$C$3,IF(Tim!CP9=Sheet6!$C$4,Sheet6!$C$4,IF(Tim!CP9=Sheet6!$C$5,Sheet6!$C$5,IF(Tim!CP9=Sheet6!$C$6,Sheet6!$C$6,IF(Tim!CP9=Sheet6!$C$7,Sheet6!$C$7,IF(Tim!CP9=Sheet6!$C$8,Sheet6!$C$8,"")))))))</f>
        <v/>
      </c>
      <c r="AP7" s="53" t="str">
        <f>IF(Tim!CQ9=Sheet6!$C$2,Sheet6!$C$2,IF(Tim!CQ9=Sheet6!$C$3,Sheet6!$C$3,IF(Tim!CQ9=Sheet6!$C$4,Sheet6!$C$4,IF(Tim!CQ9=Sheet6!$C$5,Sheet6!$C$5,IF(Tim!CQ9=Sheet6!$C$6,Sheet6!$C$6,IF(Tim!CQ9=Sheet6!$C$7,Sheet6!$C$7,IF(Tim!CQ9=Sheet6!$C$8,Sheet6!$C$8,"")))))))</f>
        <v/>
      </c>
      <c r="AQ7" s="57" t="str">
        <f>IF(Tim!CR9=Sheet6!$C$2,Sheet6!$C$2,IF(Tim!CR9=Sheet6!$C$3,Sheet6!$C$3,IF(Tim!CR9=Sheet6!$C$4,Sheet6!$C$4,IF(Tim!CR9=Sheet6!$C$5,Sheet6!$C$5,IF(Tim!CR9=Sheet6!$C$6,Sheet6!$C$6,IF(Tim!CR9=Sheet6!$C$7,Sheet6!$C$7,IF(Tim!CR9=Sheet6!$C$8,Sheet6!$C$8,"")))))))</f>
        <v/>
      </c>
      <c r="AR7" s="57" t="str">
        <f>IF(Tim!CV9=Sheet6!$C$2,Sheet6!$C$2,IF(Tim!CV9=Sheet6!$C$3,Sheet6!$C$3,IF(Tim!CV9=Sheet6!$C$4,Sheet6!$C$4,IF(Tim!CV9=Sheet6!$C$5,Sheet6!$C$5,IF(Tim!CV9=Sheet6!$C$6,Sheet6!$C$6,IF(Tim!CV9=Sheet6!$C$7,Sheet6!$C$7,IF(Tim!CV9=Sheet6!$C$8,Sheet6!$C$8,"")))))))</f>
        <v/>
      </c>
      <c r="AS7" s="57" t="str">
        <f>IF(Tim!CW9=Sheet6!$C$2,Sheet6!$C$2,IF(Tim!CW9=Sheet6!$C$3,Sheet6!$C$3,IF(Tim!CW9=Sheet6!$C$4,Sheet6!$C$4,IF(Tim!CW9=Sheet6!$C$5,Sheet6!$C$5,IF(Tim!CW9=Sheet6!$C$6,Sheet6!$C$6,IF(Tim!CW9=Sheet6!$C$7,Sheet6!$C$7,IF(Tim!CW9=Sheet6!$C$8,Sheet6!$C$8,"")))))))</f>
        <v/>
      </c>
      <c r="AT7" s="57" t="str">
        <f>IF(Tim!DA9=Sheet6!$C$2,Sheet6!$C$2,IF(Tim!DA9=Sheet6!$C$3,Sheet6!$C$3,IF(Tim!DA9=Sheet6!$C$4,Sheet6!$C$4,IF(Tim!DA9=Sheet6!$C$5,Sheet6!$C$5,IF(Tim!DA9=Sheet6!$C$6,Sheet6!$C$6,IF(Tim!DA9=Sheet6!$C$7,Sheet6!$C$7,IF(Tim!DA9=Sheet6!$C$8,Sheet6!$C$8,"")))))))</f>
        <v/>
      </c>
      <c r="AU7" s="53" t="str">
        <f>IF(Tim!DO9=Sheet6!$C$2,Sheet6!$C$2,IF(Tim!DO9=Sheet6!$C$3,Sheet6!$C$3,IF(Tim!DO9=Sheet6!$C$4,Sheet6!$C$4,IF(Tim!DO9=Sheet6!$C$5,Sheet6!$C$5,IF(Tim!DO9=Sheet6!$C$6,Sheet6!$C$6,IF(Tim!DO9=Sheet6!$C$7,Sheet6!$C$7,IF(Tim!DO9=Sheet6!$C$8,Sheet6!$C$8,"")))))))</f>
        <v/>
      </c>
      <c r="AV7" s="53" t="str">
        <f>IF(Tim!DP9=Sheet6!$C$2,Sheet6!$C$2,IF(Tim!DP9=Sheet6!$C$3,Sheet6!$C$3,IF(Tim!DP9=Sheet6!$C$4,Sheet6!$C$4,IF(Tim!DP9=Sheet6!$C$5,Sheet6!$C$5,IF(Tim!DP9=Sheet6!$C$6,Sheet6!$C$6,IF(Tim!DP9=Sheet6!$C$7,Sheet6!$C$7,IF(Tim!DP9=Sheet6!$C$8,Sheet6!$C$8,"")))))))</f>
        <v/>
      </c>
      <c r="AW7" s="53" t="str">
        <f>IF(Tim!DX9=Sheet6!$C$2,Sheet6!$C$2,IF(Tim!DX9=Sheet6!$C$3,Sheet6!$C$3,IF(Tim!DX9=Sheet6!$C$4,Sheet6!$C$4,IF(Tim!DX9=Sheet6!$C$5,Sheet6!$C$5,IF(Tim!DX9=Sheet6!$C$6,Sheet6!$C$6,IF(Tim!DX9=Sheet6!$C$7,Sheet6!$C$7,IF(Tim!DX9=Sheet6!$C$8,Sheet6!$C$8,"")))))))</f>
        <v/>
      </c>
      <c r="AX7" s="53" t="str">
        <f>IF(Tim!DY9=Sheet6!$C$2,Sheet6!$C$2,IF(Tim!DY9=Sheet6!$C$3,Sheet6!$C$3,IF(Tim!DY9=Sheet6!$C$4,Sheet6!$C$4,IF(Tim!DY9=Sheet6!$C$5,Sheet6!$C$5,IF(Tim!DY9=Sheet6!$C$6,Sheet6!$C$6,IF(Tim!DY9=Sheet6!$C$7,Sheet6!$C$7,IF(Tim!DY9=Sheet6!$C$8,Sheet6!$C$8,"")))))))</f>
        <v/>
      </c>
      <c r="AY7" s="53" t="str">
        <f>IF(Tim!DZ9=Sheet6!$C$2,Sheet6!$C$2,IF(Tim!DZ9=Sheet6!$C$3,Sheet6!$C$3,IF(Tim!DZ9=Sheet6!$C$4,Sheet6!$C$4,IF(Tim!DZ9=Sheet6!$C$5,Sheet6!$C$5,IF(Tim!DZ9=Sheet6!$C$6,Sheet6!$C$6,IF(Tim!DZ9=Sheet6!$C$7,Sheet6!$C$7,IF(Tim!DZ9=Sheet6!$C$8,Sheet6!$C$8,"")))))))</f>
        <v/>
      </c>
      <c r="AZ7" s="53" t="str">
        <f>IF(Tim!EA9=Sheet6!$C$2,Sheet6!$C$2,IF(Tim!EA9=Sheet6!$C$3,Sheet6!$C$3,IF(Tim!EA9=Sheet6!$C$4,Sheet6!$C$4,IF(Tim!EA9=Sheet6!$C$5,Sheet6!$C$5,IF(Tim!EA9=Sheet6!$C$6,Sheet6!$C$6,IF(Tim!EA9=Sheet6!$C$7,Sheet6!$C$7,IF(Tim!EA9=Sheet6!$C$8,Sheet6!$C$8,"")))))))</f>
        <v/>
      </c>
      <c r="BA7" s="53" t="str">
        <f>IF(Tim!EB9=Sheet6!$C$2,Sheet6!$C$2,IF(Tim!EB9=Sheet6!$C$3,Sheet6!$C$3,IF(Tim!EB9=Sheet6!$C$4,Sheet6!$C$4,IF(Tim!EB9=Sheet6!$C$5,Sheet6!$C$5,IF(Tim!EB9=Sheet6!$C$6,Sheet6!$C$6,IF(Tim!EB9=Sheet6!$C$7,Sheet6!$C$7,IF(Tim!EB9=Sheet6!$C$8,Sheet6!$C$8,"")))))))</f>
        <v/>
      </c>
      <c r="BB7" s="54" t="str">
        <f>IF(Tim!EC9=Sheet6!$C$2,Sheet6!$C$2,IF(Tim!EC9=Sheet6!$C$3,Sheet6!$C$3,IF(Tim!EC9=Sheet6!$C$4,Sheet6!$C$4,IF(Tim!EC9=Sheet6!$C$5,Sheet6!$C$5,IF(Tim!EC9=Sheet6!$C$6,Sheet6!$C$6,IF(Tim!EC9=Sheet6!$C$7,Sheet6!$C$7,IF(Tim!EC9=Sheet6!$C$8,Sheet6!$C$8,"")))))))</f>
        <v/>
      </c>
      <c r="BC7" s="53" t="str">
        <f>IF(Tim!EG9=Sheet6!$C$2,Sheet6!$C$2,IF(Tim!EG9=Sheet6!$C$3,Sheet6!$C$3,IF(Tim!EG9=Sheet6!$C$4,Sheet6!$C$4,IF(Tim!EG9=Sheet6!$C$5,Sheet6!$C$5,IF(Tim!EG9=Sheet6!$C$6,Sheet6!$C$6,IF(Tim!EG9=Sheet6!$C$7,Sheet6!$C$7,IF(Tim!EG9=Sheet6!$C$8,Sheet6!$C$8,"")))))))</f>
        <v/>
      </c>
      <c r="BD7" s="54" t="str">
        <f>IF(Tim!EH9=Sheet6!$C$2,Sheet6!$C$2,IF(Tim!EH9=Sheet6!$C$3,Sheet6!$C$3,IF(Tim!EH9=Sheet6!$C$4,Sheet6!$C$4,IF(Tim!EH9=Sheet6!$C$5,Sheet6!$C$5,IF(Tim!EH9=Sheet6!$C$6,Sheet6!$C$6,IF(Tim!EH9=Sheet6!$C$7,Sheet6!$C$7,IF(Tim!EH9=Sheet6!$C$8,Sheet6!$C$8,"")))))))</f>
        <v/>
      </c>
      <c r="BE7" s="54" t="str">
        <f>IF(Tim!EI9=Sheet6!$C$2,Sheet6!$C$2,IF(Tim!EI9=Sheet6!$C$3,Sheet6!$C$3,IF(Tim!EI9=Sheet6!$C$4,Sheet6!$C$4,IF(Tim!EI9=Sheet6!$C$5,Sheet6!$C$5,IF(Tim!EI9=Sheet6!$C$6,Sheet6!$C$6,IF(Tim!EI9=Sheet6!$C$7,Sheet6!$C$7,IF(Tim!EI9=Sheet6!$C$8,Sheet6!$C$8,"")))))))</f>
        <v/>
      </c>
      <c r="BF7" s="54" t="str">
        <f>IF(Tim!EJ9=Sheet6!$C$2,Sheet6!$C$2,IF(Tim!EJ9=Sheet6!$C$3,Sheet6!$C$3,IF(Tim!EJ9=Sheet6!$C$4,Sheet6!$C$4,IF(Tim!EJ9=Sheet6!$C$5,Sheet6!$C$5,IF(Tim!EJ9=Sheet6!$C$6,Sheet6!$C$6,IF(Tim!EJ9=Sheet6!$C$7,Sheet6!$C$7,IF(Tim!EJ9=Sheet6!$C$8,Sheet6!$C$8,"")))))))</f>
        <v/>
      </c>
      <c r="BG7" s="55" t="str">
        <f>IF(Tim!EK9=Sheet6!$C$2,Sheet6!$C$2,IF(Tim!EK9=Sheet6!$C$3,Sheet6!$C$3,IF(Tim!EK9=Sheet6!$C$4,Sheet6!$C$4,IF(Tim!EK9=Sheet6!$C$5,Sheet6!$C$5,IF(Tim!EK9=Sheet6!$C$6,Sheet6!$C$6,IF(Tim!EK9=Sheet6!$C$7,Sheet6!$C$7,IF(Tim!EK9=Sheet6!$C$8,Sheet6!$C$8,"")))))))</f>
        <v/>
      </c>
      <c r="BH7" s="53" t="str">
        <f>IF(Tim!EL9=Sheet6!$C$2,Sheet6!$C$2,IF(Tim!EL9=Sheet6!$C$3,Sheet6!$C$3,IF(Tim!EL9=Sheet6!$C$4,Sheet6!$C$4,IF(Tim!EL9=Sheet6!$C$5,Sheet6!$C$5,IF(Tim!EL9=Sheet6!$C$6,Sheet6!$C$6,IF(Tim!EL9=Sheet6!$C$7,Sheet6!$C$7,IF(Tim!EL9=Sheet6!$C$8,Sheet6!$C$8,"")))))))</f>
        <v/>
      </c>
      <c r="BI7" s="57" t="str">
        <f>IF(Tim!EM9=Sheet6!$C$2,Sheet6!$C$2,IF(Tim!EM9=Sheet6!$C$3,Sheet6!$C$3,IF(Tim!EM9=Sheet6!$C$4,Sheet6!$C$4,IF(Tim!EM9=Sheet6!$C$5,Sheet6!$C$5,IF(Tim!EM9=Sheet6!$C$6,Sheet6!$C$6,IF(Tim!EM9=Sheet6!$C$7,Sheet6!$C$7,IF(Tim!EM9=Sheet6!$C$8,Sheet6!$C$8,"")))))))</f>
        <v/>
      </c>
      <c r="BJ7" s="57" t="str">
        <f>IF(Tim!EQ9=Sheet6!$C$2,Sheet6!$C$2,IF(Tim!EQ9=Sheet6!$C$3,Sheet6!$C$3,IF(Tim!EQ9=Sheet6!$C$4,Sheet6!$C$4,IF(Tim!EQ9=Sheet6!$C$5,Sheet6!$C$5,IF(Tim!EQ9=Sheet6!$C$6,Sheet6!$C$6,IF(Tim!EQ9=Sheet6!$C$7,Sheet6!$C$7,IF(Tim!EQ9=Sheet6!$C$8,Sheet6!$C$8,"")))))))</f>
        <v/>
      </c>
      <c r="BK7" s="57" t="str">
        <f>IF(Tim!ER9=Sheet6!$C$2,Sheet6!$C$2,IF(Tim!ER9=Sheet6!$C$3,Sheet6!$C$3,IF(Tim!ER9=Sheet6!$C$4,Sheet6!$C$4,IF(Tim!ER9=Sheet6!$C$5,Sheet6!$C$5,IF(Tim!ER9=Sheet6!$C$6,Sheet6!$C$6,IF(Tim!ER9=Sheet6!$C$7,Sheet6!$C$7,IF(Tim!ER9=Sheet6!$C$8,Sheet6!$C$8,"")))))))</f>
        <v/>
      </c>
      <c r="BL7" s="57" t="str">
        <f>IF(Tim!EZ9=Sheet6!$C$2,Sheet6!$C$2,IF(Tim!EZ9=Sheet6!$C$3,Sheet6!$C$3,IF(Tim!EZ9=Sheet6!$C$4,Sheet6!$C$4,IF(Tim!EZ9=Sheet6!$C$5,Sheet6!$C$5,IF(Tim!EZ9=Sheet6!$C$6,Sheet6!$C$6,IF(Tim!EZ9=Sheet6!$C$7,Sheet6!$C$7,IF(Tim!EZ9=Sheet6!$C$8,Sheet6!$C$8,"")))))))</f>
        <v/>
      </c>
      <c r="BM7" s="53" t="str">
        <f>IF(Tim!FG9=Sheet6!$C$2,Sheet6!$C$2,IF(Tim!FG9=Sheet6!$C$3,Sheet6!$C$3,IF(Tim!FG9=Sheet6!$C$4,Sheet6!$C$4,IF(Tim!FG9=Sheet6!$C$5,Sheet6!$C$5,IF(Tim!FG9=Sheet6!$C$6,Sheet6!$C$6,IF(Tim!FG9=Sheet6!$C$7,Sheet6!$C$7,IF(Tim!FG9=Sheet6!$C$8,Sheet6!$C$8,"")))))))</f>
        <v/>
      </c>
      <c r="BN7" s="53" t="str">
        <f>IF(Tim!FH9=Sheet6!$C$2,Sheet6!$C$2,IF(Tim!FH9=Sheet6!$C$3,Sheet6!$C$3,IF(Tim!FH9=Sheet6!$C$4,Sheet6!$C$4,IF(Tim!FH9=Sheet6!$C$5,Sheet6!$C$5,IF(Tim!FH9=Sheet6!$C$6,Sheet6!$C$6,IF(Tim!FH9=Sheet6!$C$7,Sheet6!$C$7,IF(Tim!FH9=Sheet6!$C$8,Sheet6!$C$8,"")))))))</f>
        <v/>
      </c>
      <c r="BO7" s="53" t="str">
        <f>IF(Tim!FP9=Sheet6!$C$2,Sheet6!$C$2,IF(Tim!FP9=Sheet6!$C$3,Sheet6!$C$3,IF(Tim!FP9=Sheet6!$C$4,Sheet6!$C$4,IF(Tim!FP9=Sheet6!$C$5,Sheet6!$C$5,IF(Tim!FP9=Sheet6!$C$6,Sheet6!$C$6,IF(Tim!FP9=Sheet6!$C$7,Sheet6!$C$7,IF(Tim!FP9=Sheet6!$C$8,Sheet6!$C$8,"")))))))</f>
        <v/>
      </c>
      <c r="BP7" s="53" t="str">
        <f>IF(Tim!FQ9=Sheet6!$C$2,Sheet6!$C$2,IF(Tim!FQ9=Sheet6!$C$3,Sheet6!$C$3,IF(Tim!FQ9=Sheet6!$C$4,Sheet6!$C$4,IF(Tim!FQ9=Sheet6!$C$5,Sheet6!$C$5,IF(Tim!FQ9=Sheet6!$C$6,Sheet6!$C$6,IF(Tim!FQ9=Sheet6!$C$7,Sheet6!$C$7,IF(Tim!FQ9=Sheet6!$C$8,Sheet6!$C$8,"")))))))</f>
        <v/>
      </c>
      <c r="BQ7" s="53" t="str">
        <f>IF(Tim!FR9=Sheet6!$C$2,Sheet6!$C$2,IF(Tim!FR9=Sheet6!$C$3,Sheet6!$C$3,IF(Tim!FR9=Sheet6!$C$4,Sheet6!$C$4,IF(Tim!FR9=Sheet6!$C$5,Sheet6!$C$5,IF(Tim!FR9=Sheet6!$C$6,Sheet6!$C$6,IF(Tim!FR9=Sheet6!$C$7,Sheet6!$C$7,IF(Tim!FR9=Sheet6!$C$8,Sheet6!$C$8,"")))))))</f>
        <v/>
      </c>
      <c r="BR7" s="53" t="str">
        <f>IF(Tim!FS9=Sheet6!$C$2,Sheet6!$C$2,IF(Tim!FS9=Sheet6!$C$3,Sheet6!$C$3,IF(Tim!FS9=Sheet6!$C$4,Sheet6!$C$4,IF(Tim!FS9=Sheet6!$C$5,Sheet6!$C$5,IF(Tim!FS9=Sheet6!$C$6,Sheet6!$C$6,IF(Tim!FS9=Sheet6!$C$7,Sheet6!$C$7,IF(Tim!FS9=Sheet6!$C$8,Sheet6!$C$8,"")))))))</f>
        <v/>
      </c>
      <c r="BS7" s="53" t="str">
        <f>IF(Tim!FT9=Sheet6!$C$2,Sheet6!$C$2,IF(Tim!FT9=Sheet6!$C$3,Sheet6!$C$3,IF(Tim!FT9=Sheet6!$C$4,Sheet6!$C$4,IF(Tim!FT9=Sheet6!$C$5,Sheet6!$C$5,IF(Tim!FT9=Sheet6!$C$6,Sheet6!$C$6,IF(Tim!FT9=Sheet6!$C$7,Sheet6!$C$7,IF(Tim!FT9=Sheet6!$C$8,Sheet6!$C$8,"")))))))</f>
        <v/>
      </c>
      <c r="BT7" s="54" t="str">
        <f>IF(Tim!FU9=Sheet6!$C$2,Sheet6!$C$2,IF(Tim!FU9=Sheet6!$C$3,Sheet6!$C$3,IF(Tim!FU9=Sheet6!$C$4,Sheet6!$C$4,IF(Tim!FU9=Sheet6!$C$5,Sheet6!$C$5,IF(Tim!FU9=Sheet6!$C$6,Sheet6!$C$6,IF(Tim!FU9=Sheet6!$C$7,Sheet6!$C$7,IF(Tim!FU9=Sheet6!$C$8,Sheet6!$C$8,"")))))))</f>
        <v/>
      </c>
      <c r="BU7" s="53" t="str">
        <f>IF(Tim!FY9=Sheet6!$C$2,Sheet6!$C$2,IF(Tim!FY9=Sheet6!$C$3,Sheet6!$C$3,IF(Tim!FY9=Sheet6!$C$4,Sheet6!$C$4,IF(Tim!FY9=Sheet6!$C$5,Sheet6!$C$5,IF(Tim!FY9=Sheet6!$C$6,Sheet6!$C$6,IF(Tim!FY9=Sheet6!$C$7,Sheet6!$C$7,IF(Tim!FY9=Sheet6!$C$8,Sheet6!$C$8,"")))))))</f>
        <v/>
      </c>
      <c r="BV7" s="54" t="str">
        <f>IF(Tim!FZ9=Sheet6!$C$2,Sheet6!$C$2,IF(Tim!FZ9=Sheet6!$C$3,Sheet6!$C$3,IF(Tim!FZ9=Sheet6!$C$4,Sheet6!$C$4,IF(Tim!FZ9=Sheet6!$C$5,Sheet6!$C$5,IF(Tim!FZ9=Sheet6!$C$6,Sheet6!$C$6,IF(Tim!FZ9=Sheet6!$C$7,Sheet6!$C$7,IF(Tim!FZ9=Sheet6!$C$8,Sheet6!$C$8,"")))))))</f>
        <v/>
      </c>
      <c r="BW7" s="54" t="str">
        <f>IF(Tim!GA9=Sheet6!$C$2,Sheet6!$C$2,IF(Tim!GA9=Sheet6!$C$3,Sheet6!$C$3,IF(Tim!GA9=Sheet6!$C$4,Sheet6!$C$4,IF(Tim!GA9=Sheet6!$C$5,Sheet6!$C$5,IF(Tim!GA9=Sheet6!$C$6,Sheet6!$C$6,IF(Tim!GA9=Sheet6!$C$7,Sheet6!$C$7,IF(Tim!GA9=Sheet6!$C$8,Sheet6!$C$8,"")))))))</f>
        <v/>
      </c>
      <c r="BX7" s="54" t="str">
        <f>IF(Tim!GB9=Sheet6!$C$2,Sheet6!$C$2,IF(Tim!GB9=Sheet6!$C$3,Sheet6!$C$3,IF(Tim!GB9=Sheet6!$C$4,Sheet6!$C$4,IF(Tim!GB9=Sheet6!$C$5,Sheet6!$C$5,IF(Tim!GB9=Sheet6!$C$6,Sheet6!$C$6,IF(Tim!GB9=Sheet6!$C$7,Sheet6!$C$7,IF(Tim!GB9=Sheet6!$C$8,Sheet6!$C$8,"")))))))</f>
        <v/>
      </c>
      <c r="BY7" s="55" t="str">
        <f>IF(Tim!GC9=Sheet6!$C$2,Sheet6!$C$2,IF(Tim!GC9=Sheet6!$C$3,Sheet6!$C$3,IF(Tim!GC9=Sheet6!$C$4,Sheet6!$C$4,IF(Tim!GC9=Sheet6!$C$5,Sheet6!$C$5,IF(Tim!GC9=Sheet6!$C$6,Sheet6!$C$6,IF(Tim!GC9=Sheet6!$C$7,Sheet6!$C$7,IF(Tim!GC9=Sheet6!$C$8,Sheet6!$C$8,"")))))))</f>
        <v/>
      </c>
      <c r="BZ7" s="53" t="str">
        <f>IF(Tim!GD9=Sheet6!$C$2,Sheet6!$C$2,IF(Tim!GD9=Sheet6!$C$3,Sheet6!$C$3,IF(Tim!GD9=Sheet6!$C$4,Sheet6!$C$4,IF(Tim!GD9=Sheet6!$C$5,Sheet6!$C$5,IF(Tim!GD9=Sheet6!$C$6,Sheet6!$C$6,IF(Tim!GD9=Sheet6!$C$7,Sheet6!$C$7,IF(Tim!GD9=Sheet6!$C$8,Sheet6!$C$8,"")))))))</f>
        <v/>
      </c>
      <c r="CA7" s="57" t="str">
        <f>IF(Tim!GE9=Sheet6!$C$2,Sheet6!$C$2,IF(Tim!GE9=Sheet6!$C$3,Sheet6!$C$3,IF(Tim!GE9=Sheet6!$C$4,Sheet6!$C$4,IF(Tim!GE9=Sheet6!$C$5,Sheet6!$C$5,IF(Tim!GE9=Sheet6!$C$6,Sheet6!$C$6,IF(Tim!GE9=Sheet6!$C$7,Sheet6!$C$7,IF(Tim!GE9=Sheet6!$C$8,Sheet6!$C$8,"")))))))</f>
        <v/>
      </c>
      <c r="CB7" s="57" t="str">
        <f>IF(Tim!GI9=Sheet6!$C$2,Sheet6!$C$2,IF(Tim!GI9=Sheet6!$C$3,Sheet6!$C$3,IF(Tim!GI9=Sheet6!$C$4,Sheet6!$C$4,IF(Tim!GI9=Sheet6!$C$5,Sheet6!$C$5,IF(Tim!GI9=Sheet6!$C$6,Sheet6!$C$6,IF(Tim!GI9=Sheet6!$C$7,Sheet6!$C$7,IF(Tim!GI9=Sheet6!$C$8,Sheet6!$C$8,"")))))))</f>
        <v/>
      </c>
      <c r="CC7" s="57" t="str">
        <f>IF(Tim!GJ9=Sheet6!$C$2,Sheet6!$C$2,IF(Tim!GJ9=Sheet6!$C$3,Sheet6!$C$3,IF(Tim!GJ9=Sheet6!$C$4,Sheet6!$C$4,IF(Tim!GJ9=Sheet6!$C$5,Sheet6!$C$5,IF(Tim!GJ9=Sheet6!$C$6,Sheet6!$C$6,IF(Tim!GJ9=Sheet6!$C$7,Sheet6!$C$7,IF(Tim!GJ9=Sheet6!$C$8,Sheet6!$C$8,"")))))))</f>
        <v/>
      </c>
      <c r="CD7" s="57" t="str">
        <f>IF(Tim!GN9=Sheet6!$C$2,Sheet6!$C$2,IF(Tim!GN9=Sheet6!$C$3,Sheet6!$C$3,IF(Tim!GN9=Sheet6!$C$4,Sheet6!$C$4,IF(Tim!GN9=Sheet6!$C$5,Sheet6!$C$5,IF(Tim!GN9=Sheet6!$C$6,Sheet6!$C$6,IF(Tim!GN9=Sheet6!$C$7,Sheet6!$C$7,IF(Tim!GN9=Sheet6!$C$8,Sheet6!$C$8,"")))))))</f>
        <v/>
      </c>
      <c r="CE7" s="53" t="str">
        <f>IF(Tim!GY9=Sheet6!$C$2,Sheet6!$C$2,IF(Tim!GY9=Sheet6!$C$3,Sheet6!$C$3,IF(Tim!GY9=Sheet6!$C$4,Sheet6!$C$4,IF(Tim!GY9=Sheet6!$C$5,Sheet6!$C$5,IF(Tim!GY9=Sheet6!$C$6,Sheet6!$C$6,IF(Tim!GY9=Sheet6!$C$7,Sheet6!$C$7,IF(Tim!GY9=Sheet6!$C$8,Sheet6!$C$8,"")))))))</f>
        <v/>
      </c>
      <c r="CF7" s="53" t="str">
        <f>IF(Tim!GZ9=Sheet6!$C$2,Sheet6!$C$2,IF(Tim!GZ9=Sheet6!$C$3,Sheet6!$C$3,IF(Tim!GZ9=Sheet6!$C$4,Sheet6!$C$4,IF(Tim!GZ9=Sheet6!$C$5,Sheet6!$C$5,IF(Tim!GZ9=Sheet6!$C$6,Sheet6!$C$6,IF(Tim!GZ9=Sheet6!$C$7,Sheet6!$C$7,IF(Tim!GZ9=Sheet6!$C$8,Sheet6!$C$8,"")))))))</f>
        <v/>
      </c>
      <c r="CG7" s="53" t="str">
        <f>IF(Tim!HH9=Sheet6!$C$2,Sheet6!$C$2,IF(Tim!HH9=Sheet6!$C$3,Sheet6!$C$3,IF(Tim!HH9=Sheet6!$C$4,Sheet6!$C$4,IF(Tim!HH9=Sheet6!$C$5,Sheet6!$C$5,IF(Tim!HH9=Sheet6!$C$6,Sheet6!$C$6,IF(Tim!HH9=Sheet6!$C$7,Sheet6!$C$7,IF(Tim!HH9=Sheet6!$C$8,Sheet6!$C$8,"")))))))</f>
        <v/>
      </c>
      <c r="CH7" s="53" t="str">
        <f>IF(Tim!HI9=Sheet6!$C$2,Sheet6!$C$2,IF(Tim!HI9=Sheet6!$C$3,Sheet6!$C$3,IF(Tim!HI9=Sheet6!$C$4,Sheet6!$C$4,IF(Tim!HI9=Sheet6!$C$5,Sheet6!$C$5,IF(Tim!HI9=Sheet6!$C$6,Sheet6!$C$6,IF(Tim!HI9=Sheet6!$C$7,Sheet6!$C$7,IF(Tim!HI9=Sheet6!$C$8,Sheet6!$C$8,"")))))))</f>
        <v/>
      </c>
      <c r="CI7" s="53" t="str">
        <f>IF(Tim!HJ9=Sheet6!$C$2,Sheet6!$C$2,IF(Tim!HJ9=Sheet6!$C$3,Sheet6!$C$3,IF(Tim!HJ9=Sheet6!$C$4,Sheet6!$C$4,IF(Tim!HJ9=Sheet6!$C$5,Sheet6!$C$5,IF(Tim!HJ9=Sheet6!$C$6,Sheet6!$C$6,IF(Tim!HJ9=Sheet6!$C$7,Sheet6!$C$7,IF(Tim!HJ9=Sheet6!$C$8,Sheet6!$C$8,"")))))))</f>
        <v/>
      </c>
      <c r="CJ7" s="53" t="str">
        <f>IF(Tim!HK9=Sheet6!$C$2,Sheet6!$C$2,IF(Tim!HK9=Sheet6!$C$3,Sheet6!$C$3,IF(Tim!HK9=Sheet6!$C$4,Sheet6!$C$4,IF(Tim!HK9=Sheet6!$C$5,Sheet6!$C$5,IF(Tim!HK9=Sheet6!$C$6,Sheet6!$C$6,IF(Tim!HK9=Sheet6!$C$7,Sheet6!$C$7,IF(Tim!HK9=Sheet6!$C$8,Sheet6!$C$8,"")))))))</f>
        <v/>
      </c>
      <c r="CK7" s="53" t="str">
        <f>IF(Tim!HL9=Sheet6!$C$2,Sheet6!$C$2,IF(Tim!HL9=Sheet6!$C$3,Sheet6!$C$3,IF(Tim!HL9=Sheet6!$C$4,Sheet6!$C$4,IF(Tim!HL9=Sheet6!$C$5,Sheet6!$C$5,IF(Tim!HL9=Sheet6!$C$6,Sheet6!$C$6,IF(Tim!HL9=Sheet6!$C$7,Sheet6!$C$7,IF(Tim!HL9=Sheet6!$C$8,Sheet6!$C$8,"")))))))</f>
        <v/>
      </c>
      <c r="CL7" s="53" t="str">
        <f>IF(Tim!HM9=Sheet6!$C$2,Sheet6!$C$2,IF(Tim!HM9=Sheet6!$C$3,Sheet6!$C$3,IF(Tim!HM9=Sheet6!$C$4,Sheet6!$C$4,IF(Tim!HM9=Sheet6!$C$5,Sheet6!$C$5,IF(Tim!HM9=Sheet6!$C$6,Sheet6!$C$6,IF(Tim!HM9=Sheet6!$C$7,Sheet6!$C$7,IF(Tim!HM9=Sheet6!$C$8,Sheet6!$C$8,"")))))))</f>
        <v/>
      </c>
      <c r="CM7" s="53" t="str">
        <f>IF(Tim!HQ9=Sheet6!$C$2,Sheet6!$C$2,IF(Tim!HQ9=Sheet6!$C$3,Sheet6!$C$3,IF(Tim!HQ9=Sheet6!$C$4,Sheet6!$C$4,IF(Tim!HQ9=Sheet6!$C$5,Sheet6!$C$5,IF(Tim!HQ9=Sheet6!$C$6,Sheet6!$C$6,IF(Tim!HQ9=Sheet6!$C$7,Sheet6!$C$7,IF(Tim!HQ9=Sheet6!$C$8,Sheet6!$C$8,"")))))))</f>
        <v/>
      </c>
      <c r="CN7" s="54" t="str">
        <f>IF(Tim!HR9=Sheet6!$C$2,Sheet6!$C$2,IF(Tim!HR9=Sheet6!$C$3,Sheet6!$C$3,IF(Tim!HR9=Sheet6!$C$4,Sheet6!$C$4,IF(Tim!HR9=Sheet6!$C$5,Sheet6!$C$5,IF(Tim!HR9=Sheet6!$C$6,Sheet6!$C$6,IF(Tim!HR9=Sheet6!$C$7,Sheet6!$C$7,IF(Tim!HR9=Sheet6!$C$8,Sheet6!$C$8,"")))))))</f>
        <v/>
      </c>
      <c r="CO7" s="54" t="str">
        <f>IF(Tim!HS9=Sheet6!$C$2,Sheet6!$C$2,IF(Tim!HS9=Sheet6!$C$3,Sheet6!$C$3,IF(Tim!HS9=Sheet6!$C$4,Sheet6!$C$4,IF(Tim!HS9=Sheet6!$C$5,Sheet6!$C$5,IF(Tim!HS9=Sheet6!$C$6,Sheet6!$C$6,IF(Tim!HS9=Sheet6!$C$7,Sheet6!$C$7,IF(Tim!HS9=Sheet6!$C$8,Sheet6!$C$8,"")))))))</f>
        <v/>
      </c>
      <c r="CP7" s="54" t="str">
        <f>IF(Tim!HT9=Sheet6!$C$2,Sheet6!$C$2,IF(Tim!HT9=Sheet6!$C$3,Sheet6!$C$3,IF(Tim!HT9=Sheet6!$C$4,Sheet6!$C$4,IF(Tim!HT9=Sheet6!$C$5,Sheet6!$C$5,IF(Tim!HT9=Sheet6!$C$6,Sheet6!$C$6,IF(Tim!HT9=Sheet6!$C$7,Sheet6!$C$7,IF(Tim!HT9=Sheet6!$C$8,Sheet6!$C$8,"")))))))</f>
        <v/>
      </c>
      <c r="CQ7" s="55" t="str">
        <f>IF(Tim!HU9=Sheet6!$C$2,Sheet6!$C$2,IF(Tim!HU9=Sheet6!$C$3,Sheet6!$C$3,IF(Tim!HU9=Sheet6!$C$4,Sheet6!$C$4,IF(Tim!HU9=Sheet6!$C$5,Sheet6!$C$5,IF(Tim!HU9=Sheet6!$C$6,Sheet6!$C$6,IF(Tim!HU9=Sheet6!$C$7,Sheet6!$C$7,IF(Tim!HU9=Sheet6!$C$8,Sheet6!$C$8,"")))))))</f>
        <v/>
      </c>
      <c r="CR7" s="469"/>
      <c r="CS7" s="366"/>
      <c r="CT7" s="366"/>
      <c r="CU7" s="366"/>
      <c r="CV7" s="366"/>
      <c r="CW7" s="366"/>
      <c r="CX7" s="366"/>
      <c r="CY7" s="366"/>
      <c r="CZ7" s="366"/>
      <c r="DA7" s="366"/>
      <c r="DB7" s="366"/>
      <c r="DC7" s="366"/>
      <c r="DD7" s="366"/>
      <c r="DE7" s="366"/>
      <c r="DF7" s="366"/>
      <c r="DG7" s="428"/>
      <c r="DH7" s="469"/>
      <c r="DI7" s="366"/>
      <c r="DJ7" s="366"/>
      <c r="DK7" s="366"/>
      <c r="DL7" s="366"/>
      <c r="DM7" s="366"/>
      <c r="DN7" s="366"/>
      <c r="DO7" s="366"/>
      <c r="DP7" s="366"/>
      <c r="DQ7" s="366"/>
      <c r="DR7" s="366"/>
      <c r="DS7" s="366"/>
      <c r="DT7" s="366"/>
      <c r="DU7" s="366"/>
      <c r="DV7" s="366"/>
      <c r="DW7" s="428"/>
      <c r="DX7" s="52">
        <v>0.3125</v>
      </c>
    </row>
    <row r="8" spans="2:128" ht="10.5" customHeight="1">
      <c r="B8" s="51">
        <v>0.25</v>
      </c>
      <c r="C8" s="51">
        <v>0.25</v>
      </c>
      <c r="D8" s="51">
        <v>0.25</v>
      </c>
      <c r="E8" s="52">
        <v>0.32291666666666702</v>
      </c>
      <c r="F8" s="53" t="str">
        <f>IF(Tim!F10=Sheet6!$C$2,Sheet6!$C$2,IF(Tim!F10=Sheet6!$C$3,Sheet6!$C$3,IF(Tim!F10=Sheet6!$C$4,Sheet6!$C$4,IF(Tim!F10=Sheet6!$C$5,Sheet6!$C$5,IF(Tim!F10=Sheet6!$C$6,Sheet6!$C$6,IF(Tim!F10=Sheet6!$C$7,Sheet6!$C$7,IF(Tim!F10=Sheet6!$C$8,Sheet6!$C$8,"")))))))</f>
        <v/>
      </c>
      <c r="G8" s="53" t="str">
        <f>IF(Tim!G10=Sheet6!$C$2,Sheet6!$C$2,IF(Tim!G10=Sheet6!$C$3,Sheet6!$C$3,IF(Tim!G10=Sheet6!$C$4,Sheet6!$C$4,IF(Tim!G10=Sheet6!$C$5,Sheet6!$C$5,IF(Tim!G10=Sheet6!$C$6,Sheet6!$C$6,IF(Tim!G10=Sheet6!$C$7,Sheet6!$C$7,IF(Tim!G10=Sheet6!$C$8,Sheet6!$C$8,"")))))))</f>
        <v/>
      </c>
      <c r="H8" s="53" t="str">
        <f>IF(Tim!H10=Sheet6!$C$2,Sheet6!$C$2,IF(Tim!H10=Sheet6!$C$3,Sheet6!$C$3,IF(Tim!H10=Sheet6!$C$4,Sheet6!$C$4,IF(Tim!H10=Sheet6!$C$5,Sheet6!$C$5,IF(Tim!H10=Sheet6!$C$6,Sheet6!$C$6,IF(Tim!H10=Sheet6!$C$7,Sheet6!$C$7,IF(Tim!H10=Sheet6!$C$8,Sheet6!$C$8,"")))))))</f>
        <v/>
      </c>
      <c r="I8" s="53" t="str">
        <f>IF(Tim!L10=Sheet6!$C$2,Sheet6!$C$2,IF(Tim!L10=Sheet6!$C$3,Sheet6!$C$3,IF(Tim!L10=Sheet6!$C$4,Sheet6!$C$4,IF(Tim!L10=Sheet6!$C$5,Sheet6!$C$5,IF(Tim!L10=Sheet6!$C$6,Sheet6!$C$6,IF(Tim!L10=Sheet6!$C$7,Sheet6!$C$7,IF(Tim!L10=Sheet6!$C$8,Sheet6!$C$8,"")))))))</f>
        <v/>
      </c>
      <c r="J8" s="53" t="str">
        <f>IF(Tim!T10=Sheet6!$C$2,Sheet6!$C$2,IF(Tim!T10=Sheet6!$C$3,Sheet6!$C$3,IF(Tim!T10=Sheet6!$C$4,Sheet6!$C$4,IF(Tim!T10=Sheet6!$C$5,Sheet6!$C$5,IF(Tim!T10=Sheet6!$C$6,Sheet6!$C$6,IF(Tim!T10=Sheet6!$C$7,Sheet6!$C$7,IF(Tim!T10=Sheet6!$C$8,Sheet6!$C$8,"")))))))</f>
        <v/>
      </c>
      <c r="K8" s="53" t="str">
        <f>IF(Tim!AB10=Sheet6!$C$2,Sheet6!$C$2,IF(Tim!AB10=Sheet6!$C$3,Sheet6!$C$3,IF(Tim!AB10=Sheet6!$C$4,Sheet6!$C$4,IF(Tim!AB10=Sheet6!$C$5,Sheet6!$C$5,IF(Tim!AB10=Sheet6!$C$6,Sheet6!$C$6,IF(Tim!AB10=Sheet6!$C$7,Sheet6!$C$7,IF(Tim!AB10=Sheet6!$C$8,Sheet6!$C$8,"")))))))</f>
        <v/>
      </c>
      <c r="L8" s="53" t="str">
        <f>IF(Tim!AC10=Sheet6!$C$2,Sheet6!$C$2,IF(Tim!AC10=Sheet6!$C$3,Sheet6!$C$3,IF(Tim!AC10=Sheet6!$C$4,Sheet6!$C$4,IF(Tim!AC10=Sheet6!$C$5,Sheet6!$C$5,IF(Tim!AC10=Sheet6!$C$6,Sheet6!$C$6,IF(Tim!AC10=Sheet6!$C$7,Sheet6!$C$7,IF(Tim!AC10=Sheet6!$C$8,Sheet6!$C$8,"")))))))</f>
        <v/>
      </c>
      <c r="M8" s="53" t="str">
        <f>IF(Tim!AJ10=Sheet6!$C$2,Sheet6!$C$2,IF(Tim!AJ10=Sheet6!$C$3,Sheet6!$C$3,IF(Tim!AJ10=Sheet6!$C$4,Sheet6!$C$4,IF(Tim!AJ10=Sheet6!$C$5,Sheet6!$C$5,IF(Tim!AJ10=Sheet6!$C$6,Sheet6!$C$6,IF(Tim!AJ10=Sheet6!$C$7,Sheet6!$C$7,IF(Tim!AJ10=Sheet6!$C$8,Sheet6!$C$8,"")))))))</f>
        <v/>
      </c>
      <c r="N8" s="53" t="str">
        <f>IF(Tim!AK10=Sheet6!$C$2,Sheet6!$C$2,IF(Tim!AK10=Sheet6!$C$3,Sheet6!$C$3,IF(Tim!AK10=Sheet6!$C$4,Sheet6!$C$4,IF(Tim!AK10=Sheet6!$C$5,Sheet6!$C$5,IF(Tim!AK10=Sheet6!$C$6,Sheet6!$C$6,IF(Tim!AK10=Sheet6!$C$7,Sheet6!$C$7,IF(Tim!AK10=Sheet6!$C$8,Sheet6!$C$8,"")))))))</f>
        <v/>
      </c>
      <c r="O8" s="53" t="str">
        <f>IF(Tim!AL10=Sheet6!$C$2,Sheet6!$C$2,IF(Tim!AL10=Sheet6!$C$3,Sheet6!$C$3,IF(Tim!AL10=Sheet6!$C$4,Sheet6!$C$4,IF(Tim!AL10=Sheet6!$C$5,Sheet6!$C$5,IF(Tim!AL10=Sheet6!$C$6,Sheet6!$C$6,IF(Tim!AL10=Sheet6!$C$7,Sheet6!$C$7,IF(Tim!AL10=Sheet6!$C$8,Sheet6!$C$8,"")))))))</f>
        <v/>
      </c>
      <c r="P8" s="53" t="str">
        <f>IF(Tim!AN10=Sheet6!$C$2,Sheet6!$C$2,IF(Tim!AN10=Sheet6!$C$3,Sheet6!$C$3,IF(Tim!AN10=Sheet6!$C$4,Sheet6!$C$4,IF(Tim!AN10=Sheet6!$C$5,Sheet6!$C$5,IF(Tim!AN10=Sheet6!$C$6,Sheet6!$C$6,IF(Tim!AN10=Sheet6!$C$7,Sheet6!$C$7,IF(Tim!AN10=Sheet6!$C$8,Sheet6!$C$8,"")))))))</f>
        <v/>
      </c>
      <c r="Q8" s="53" t="str">
        <f>IF(Tim!AO10=Sheet6!$C$2,Sheet6!$C$2,IF(Tim!AO10=Sheet6!$C$3,Sheet6!$C$3,IF(Tim!AO10=Sheet6!$C$4,Sheet6!$C$4,IF(Tim!AO10=Sheet6!$C$5,Sheet6!$C$5,IF(Tim!AO10=Sheet6!$C$6,Sheet6!$C$6,IF(Tim!AO10=Sheet6!$C$7,Sheet6!$C$7,IF(Tim!AO10=Sheet6!$C$8,Sheet6!$C$8,"")))))))</f>
        <v/>
      </c>
      <c r="R8" s="54" t="str">
        <f>IF(Tim!AP10=Sheet6!$C$2,Sheet6!$C$2,IF(Tim!AP10=Sheet6!$C$3,Sheet6!$C$3,IF(Tim!AP10=Sheet6!$C$4,Sheet6!$C$4,IF(Tim!AP10=Sheet6!$C$5,Sheet6!$C$5,IF(Tim!AP10=Sheet6!$C$6,Sheet6!$C$6,IF(Tim!AP10=Sheet6!$C$7,Sheet6!$C$7,IF(Tim!AP10=Sheet6!$C$8,Sheet6!$C$8,"")))))))</f>
        <v/>
      </c>
      <c r="S8" s="53" t="str">
        <f>IF(Tim!AT10=Sheet6!$C$2,Sheet6!$C$2,IF(Tim!AT10=Sheet6!$C$3,Sheet6!$C$3,IF(Tim!AT10=Sheet6!$C$4,Sheet6!$C$4,IF(Tim!AT10=Sheet6!$C$5,Sheet6!$C$5,IF(Tim!AT10=Sheet6!$C$6,Sheet6!$C$6,IF(Tim!AT10=Sheet6!$C$7,Sheet6!$C$7,IF(Tim!AT10=Sheet6!$C$8,Sheet6!$C$8,"")))))))</f>
        <v/>
      </c>
      <c r="T8" s="54" t="str">
        <f>IF(Tim!AU10=Sheet6!$C$2,Sheet6!$C$2,IF(Tim!AU10=Sheet6!$C$3,Sheet6!$C$3,IF(Tim!AU10=Sheet6!$C$4,Sheet6!$C$4,IF(Tim!AU10=Sheet6!$C$5,Sheet6!$C$5,IF(Tim!AU10=Sheet6!$C$6,Sheet6!$C$6,IF(Tim!AU10=Sheet6!$C$7,Sheet6!$C$7,IF(Tim!AU10=Sheet6!$C$8,Sheet6!$C$8,"")))))))</f>
        <v/>
      </c>
      <c r="U8" s="54" t="str">
        <f>IF(Tim!AV10=Sheet6!$C$2,Sheet6!$C$2,IF(Tim!AV10=Sheet6!$C$3,Sheet6!$C$3,IF(Tim!AV10=Sheet6!$C$4,Sheet6!$C$4,IF(Tim!AV10=Sheet6!$C$5,Sheet6!$C$5,IF(Tim!AV10=Sheet6!$C$6,Sheet6!$C$6,IF(Tim!AV10=Sheet6!$C$7,Sheet6!$C$7,IF(Tim!AV10=Sheet6!$C$8,Sheet6!$C$8,"")))))))</f>
        <v/>
      </c>
      <c r="V8" s="54" t="str">
        <f>IF(Tim!AW10=Sheet6!$C$2,Sheet6!$C$2,IF(Tim!AW10=Sheet6!$C$3,Sheet6!$C$3,IF(Tim!AW10=Sheet6!$C$4,Sheet6!$C$4,IF(Tim!AW10=Sheet6!$C$5,Sheet6!$C$5,IF(Tim!AW10=Sheet6!$C$6,Sheet6!$C$6,IF(Tim!AW10=Sheet6!$C$7,Sheet6!$C$7,IF(Tim!AW10=Sheet6!$C$8,Sheet6!$C$8,"")))))))</f>
        <v/>
      </c>
      <c r="W8" s="55" t="str">
        <f>IF(Tim!AX10=Sheet6!$C$2,Sheet6!$C$2,IF(Tim!AX10=Sheet6!$C$3,Sheet6!$C$3,IF(Tim!AX10=Sheet6!$C$4,Sheet6!$C$4,IF(Tim!AX10=Sheet6!$C$5,Sheet6!$C$5,IF(Tim!AX10=Sheet6!$C$6,Sheet6!$C$6,IF(Tim!AX10=Sheet6!$C$7,Sheet6!$C$7,IF(Tim!AX10=Sheet6!$C$8,Sheet6!$C$8,"")))))))</f>
        <v/>
      </c>
      <c r="X8" s="53" t="str">
        <f>IF(Tim!AY10=Sheet6!$C$2,Sheet6!$C$2,IF(Tim!AY10=Sheet6!$C$3,Sheet6!$C$3,IF(Tim!AY10=Sheet6!$C$4,Sheet6!$C$4,IF(Tim!AY10=Sheet6!$C$5,Sheet6!$C$5,IF(Tim!AY10=Sheet6!$C$6,Sheet6!$C$6,IF(Tim!AY10=Sheet6!$C$7,Sheet6!$C$7,IF(Tim!AY10=Sheet6!$C$8,Sheet6!$C$8,"")))))))</f>
        <v/>
      </c>
      <c r="Y8" s="57" t="str">
        <f>IF(Tim!AZ10=Sheet6!$C$2,Sheet6!$C$2,IF(Tim!AZ10=Sheet6!$C$3,Sheet6!$C$3,IF(Tim!AZ10=Sheet6!$C$4,Sheet6!$C$4,IF(Tim!AZ10=Sheet6!$C$5,Sheet6!$C$5,IF(Tim!AZ10=Sheet6!$C$6,Sheet6!$C$6,IF(Tim!AZ10=Sheet6!$C$7,Sheet6!$C$7,IF(Tim!AZ10=Sheet6!$C$8,Sheet6!$C$8,"")))))))</f>
        <v/>
      </c>
      <c r="Z8" s="57" t="str">
        <f>IF(Tim!BD10=Sheet6!$C$2,Sheet6!$C$2,IF(Tim!BD10=Sheet6!$C$3,Sheet6!$C$3,IF(Tim!BD10=Sheet6!$C$4,Sheet6!$C$4,IF(Tim!BD10=Sheet6!$C$5,Sheet6!$C$5,IF(Tim!BD10=Sheet6!$C$6,Sheet6!$C$6,IF(Tim!BD10=Sheet6!$C$7,Sheet6!$C$7,IF(Tim!BD10=Sheet6!$C$8,Sheet6!$C$8,"")))))))</f>
        <v/>
      </c>
      <c r="AA8" s="57" t="str">
        <f>IF(Tim!BE10=Sheet6!$C$2,Sheet6!$C$2,IF(Tim!BE10=Sheet6!$C$3,Sheet6!$C$3,IF(Tim!BE10=Sheet6!$C$4,Sheet6!$C$4,IF(Tim!BE10=Sheet6!$C$5,Sheet6!$C$5,IF(Tim!BE10=Sheet6!$C$6,Sheet6!$C$6,IF(Tim!BE10=Sheet6!$C$7,Sheet6!$C$7,IF(Tim!BE10=Sheet6!$C$8,Sheet6!$C$8,"")))))))</f>
        <v/>
      </c>
      <c r="AB8" s="57" t="str">
        <f>IF(Tim!BL10=Sheet6!$C$2,Sheet6!$C$2,IF(Tim!BL10=Sheet6!$C$3,Sheet6!$C$3,IF(Tim!BL10=Sheet6!$C$4,Sheet6!$C$4,IF(Tim!BL10=Sheet6!$C$5,Sheet6!$C$5,IF(Tim!BL10=Sheet6!$C$6,Sheet6!$C$6,IF(Tim!BL10=Sheet6!$C$7,Sheet6!$C$7,IF(Tim!BL10=Sheet6!$C$8,Sheet6!$C$8,"")))))))</f>
        <v/>
      </c>
      <c r="AC8" s="53" t="str">
        <f>IF(Tim!BT10=Sheet6!$C$2,Sheet6!$C$2,IF(Tim!BT10=Sheet6!$C$3,Sheet6!$C$3,IF(Tim!BT10=Sheet6!$C$4,Sheet6!$C$4,IF(Tim!BT10=Sheet6!$C$5,Sheet6!$C$5,IF(Tim!BT10=Sheet6!$C$6,Sheet6!$C$6,IF(Tim!BT10=Sheet6!$C$7,Sheet6!$C$7,IF(Tim!BT10=Sheet6!$C$8,Sheet6!$C$8,"")))))))</f>
        <v/>
      </c>
      <c r="AD8" s="53" t="str">
        <f>IF(Tim!BU10=Sheet6!$C$2,Sheet6!$C$2,IF(Tim!BU10=Sheet6!$C$3,Sheet6!$C$3,IF(Tim!BU10=Sheet6!$C$4,Sheet6!$C$4,IF(Tim!BU10=Sheet6!$C$5,Sheet6!$C$5,IF(Tim!BU10=Sheet6!$C$6,Sheet6!$C$6,IF(Tim!BU10=Sheet6!$C$7,Sheet6!$C$7,IF(Tim!BU10=Sheet6!$C$8,Sheet6!$C$8,"")))))))</f>
        <v/>
      </c>
      <c r="AE8" s="53" t="str">
        <f>IF(Tim!CB10=Sheet6!$C$2,Sheet6!$C$2,IF(Tim!CB10=Sheet6!$C$3,Sheet6!$C$3,IF(Tim!CB10=Sheet6!$C$4,Sheet6!$C$4,IF(Tim!CB10=Sheet6!$C$5,Sheet6!$C$5,IF(Tim!CB10=Sheet6!$C$6,Sheet6!$C$6,IF(Tim!CB10=Sheet6!$C$7,Sheet6!$C$7,IF(Tim!CB10=Sheet6!$C$8,Sheet6!$C$8,"")))))))</f>
        <v/>
      </c>
      <c r="AF8" s="53" t="str">
        <f>IF(Tim!CD10=Sheet6!$C$2,Sheet6!$C$2,IF(Tim!CD10=Sheet6!$C$3,Sheet6!$C$3,IF(Tim!CD10=Sheet6!$C$4,Sheet6!$C$4,IF(Tim!CD10=Sheet6!$C$5,Sheet6!$C$5,IF(Tim!CD10=Sheet6!$C$6,Sheet6!$C$6,IF(Tim!CD10=Sheet6!$C$7,Sheet6!$C$7,IF(Tim!CD10=Sheet6!$C$8,Sheet6!$C$8,"")))))))</f>
        <v/>
      </c>
      <c r="AG8" s="53" t="str">
        <f>IF(Tim!CE10=Sheet6!$C$2,Sheet6!$C$2,IF(Tim!CE10=Sheet6!$C$3,Sheet6!$C$3,IF(Tim!CE10=Sheet6!$C$4,Sheet6!$C$4,IF(Tim!CE10=Sheet6!$C$5,Sheet6!$C$5,IF(Tim!CE10=Sheet6!$C$6,Sheet6!$C$6,IF(Tim!CE10=Sheet6!$C$7,Sheet6!$C$7,IF(Tim!CE10=Sheet6!$C$8,Sheet6!$C$8,"")))))))</f>
        <v/>
      </c>
      <c r="AH8" s="53" t="str">
        <f>IF(Tim!CF10=Sheet6!$C$2,Sheet6!$C$2,IF(Tim!CF10=Sheet6!$C$3,Sheet6!$C$3,IF(Tim!CF10=Sheet6!$C$4,Sheet6!$C$4,IF(Tim!CF10=Sheet6!$C$5,Sheet6!$C$5,IF(Tim!CF10=Sheet6!$C$6,Sheet6!$C$6,IF(Tim!CF10=Sheet6!$C$7,Sheet6!$C$7,IF(Tim!CF10=Sheet6!$C$8,Sheet6!$C$8,"")))))))</f>
        <v/>
      </c>
      <c r="AI8" s="53" t="str">
        <f>IF(Tim!CG10=Sheet6!$C$2,Sheet6!$C$2,IF(Tim!CG10=Sheet6!$C$3,Sheet6!$C$3,IF(Tim!CG10=Sheet6!$C$4,Sheet6!$C$4,IF(Tim!CG10=Sheet6!$C$5,Sheet6!$C$5,IF(Tim!CG10=Sheet6!$C$6,Sheet6!$C$6,IF(Tim!CG10=Sheet6!$C$7,Sheet6!$C$7,IF(Tim!CG10=Sheet6!$C$8,Sheet6!$C$8,"")))))))</f>
        <v/>
      </c>
      <c r="AJ8" s="54" t="str">
        <f>IF(Tim!CH10=Sheet6!$C$2,Sheet6!$C$2,IF(Tim!CH10=Sheet6!$C$3,Sheet6!$C$3,IF(Tim!CH10=Sheet6!$C$4,Sheet6!$C$4,IF(Tim!CH10=Sheet6!$C$5,Sheet6!$C$5,IF(Tim!CH10=Sheet6!$C$6,Sheet6!$C$6,IF(Tim!CH10=Sheet6!$C$7,Sheet6!$C$7,IF(Tim!CH10=Sheet6!$C$8,Sheet6!$C$8,"")))))))</f>
        <v/>
      </c>
      <c r="AK8" s="53" t="str">
        <f>IF(Tim!CL10=Sheet6!$C$2,Sheet6!$C$2,IF(Tim!CL10=Sheet6!$C$3,Sheet6!$C$3,IF(Tim!CL10=Sheet6!$C$4,Sheet6!$C$4,IF(Tim!CL10=Sheet6!$C$5,Sheet6!$C$5,IF(Tim!CL10=Sheet6!$C$6,Sheet6!$C$6,IF(Tim!CL10=Sheet6!$C$7,Sheet6!$C$7,IF(Tim!CL10=Sheet6!$C$8,Sheet6!$C$8,"")))))))</f>
        <v/>
      </c>
      <c r="AL8" s="54" t="str">
        <f>IF(Tim!CM10=Sheet6!$C$2,Sheet6!$C$2,IF(Tim!CM10=Sheet6!$C$3,Sheet6!$C$3,IF(Tim!CM10=Sheet6!$C$4,Sheet6!$C$4,IF(Tim!CM10=Sheet6!$C$5,Sheet6!$C$5,IF(Tim!CM10=Sheet6!$C$6,Sheet6!$C$6,IF(Tim!CM10=Sheet6!$C$7,Sheet6!$C$7,IF(Tim!CM10=Sheet6!$C$8,Sheet6!$C$8,"")))))))</f>
        <v/>
      </c>
      <c r="AM8" s="54" t="str">
        <f>IF(Tim!CN10=Sheet6!$C$2,Sheet6!$C$2,IF(Tim!CN10=Sheet6!$C$3,Sheet6!$C$3,IF(Tim!CN10=Sheet6!$C$4,Sheet6!$C$4,IF(Tim!CN10=Sheet6!$C$5,Sheet6!$C$5,IF(Tim!CN10=Sheet6!$C$6,Sheet6!$C$6,IF(Tim!CN10=Sheet6!$C$7,Sheet6!$C$7,IF(Tim!CN10=Sheet6!$C$8,Sheet6!$C$8,"")))))))</f>
        <v/>
      </c>
      <c r="AN8" s="53" t="str">
        <f>IF(Tim!CO10=Sheet6!$C$2,Sheet6!$C$2,IF(Tim!CO10=Sheet6!$C$3,Sheet6!$C$3,IF(Tim!CO10=Sheet6!$C$4,Sheet6!$C$4,IF(Tim!CO10=Sheet6!$C$5,Sheet6!$C$5,IF(Tim!CO10=Sheet6!$C$6,Sheet6!$C$6,IF(Tim!CO10=Sheet6!$C$7,Sheet6!$C$7,IF(Tim!CO10=Sheet6!$C$8,Sheet6!$C$8,"")))))))</f>
        <v/>
      </c>
      <c r="AO8" s="55" t="str">
        <f>IF(Tim!CP10=Sheet6!$C$2,Sheet6!$C$2,IF(Tim!CP10=Sheet6!$C$3,Sheet6!$C$3,IF(Tim!CP10=Sheet6!$C$4,Sheet6!$C$4,IF(Tim!CP10=Sheet6!$C$5,Sheet6!$C$5,IF(Tim!CP10=Sheet6!$C$6,Sheet6!$C$6,IF(Tim!CP10=Sheet6!$C$7,Sheet6!$C$7,IF(Tim!CP10=Sheet6!$C$8,Sheet6!$C$8,"")))))))</f>
        <v/>
      </c>
      <c r="AP8" s="53" t="str">
        <f>IF(Tim!CQ10=Sheet6!$C$2,Sheet6!$C$2,IF(Tim!CQ10=Sheet6!$C$3,Sheet6!$C$3,IF(Tim!CQ10=Sheet6!$C$4,Sheet6!$C$4,IF(Tim!CQ10=Sheet6!$C$5,Sheet6!$C$5,IF(Tim!CQ10=Sheet6!$C$6,Sheet6!$C$6,IF(Tim!CQ10=Sheet6!$C$7,Sheet6!$C$7,IF(Tim!CQ10=Sheet6!$C$8,Sheet6!$C$8,"")))))))</f>
        <v/>
      </c>
      <c r="AQ8" s="57" t="str">
        <f>IF(Tim!CR10=Sheet6!$C$2,Sheet6!$C$2,IF(Tim!CR10=Sheet6!$C$3,Sheet6!$C$3,IF(Tim!CR10=Sheet6!$C$4,Sheet6!$C$4,IF(Tim!CR10=Sheet6!$C$5,Sheet6!$C$5,IF(Tim!CR10=Sheet6!$C$6,Sheet6!$C$6,IF(Tim!CR10=Sheet6!$C$7,Sheet6!$C$7,IF(Tim!CR10=Sheet6!$C$8,Sheet6!$C$8,"")))))))</f>
        <v/>
      </c>
      <c r="AR8" s="57" t="str">
        <f>IF(Tim!CV10=Sheet6!$C$2,Sheet6!$C$2,IF(Tim!CV10=Sheet6!$C$3,Sheet6!$C$3,IF(Tim!CV10=Sheet6!$C$4,Sheet6!$C$4,IF(Tim!CV10=Sheet6!$C$5,Sheet6!$C$5,IF(Tim!CV10=Sheet6!$C$6,Sheet6!$C$6,IF(Tim!CV10=Sheet6!$C$7,Sheet6!$C$7,IF(Tim!CV10=Sheet6!$C$8,Sheet6!$C$8,"")))))))</f>
        <v/>
      </c>
      <c r="AS8" s="57" t="str">
        <f>IF(Tim!CW10=Sheet6!$C$2,Sheet6!$C$2,IF(Tim!CW10=Sheet6!$C$3,Sheet6!$C$3,IF(Tim!CW10=Sheet6!$C$4,Sheet6!$C$4,IF(Tim!CW10=Sheet6!$C$5,Sheet6!$C$5,IF(Tim!CW10=Sheet6!$C$6,Sheet6!$C$6,IF(Tim!CW10=Sheet6!$C$7,Sheet6!$C$7,IF(Tim!CW10=Sheet6!$C$8,Sheet6!$C$8,"")))))))</f>
        <v/>
      </c>
      <c r="AT8" s="57" t="str">
        <f>IF(Tim!DA10=Sheet6!$C$2,Sheet6!$C$2,IF(Tim!DA10=Sheet6!$C$3,Sheet6!$C$3,IF(Tim!DA10=Sheet6!$C$4,Sheet6!$C$4,IF(Tim!DA10=Sheet6!$C$5,Sheet6!$C$5,IF(Tim!DA10=Sheet6!$C$6,Sheet6!$C$6,IF(Tim!DA10=Sheet6!$C$7,Sheet6!$C$7,IF(Tim!DA10=Sheet6!$C$8,Sheet6!$C$8,"")))))))</f>
        <v/>
      </c>
      <c r="AU8" s="53" t="str">
        <f>IF(Tim!DO10=Sheet6!$C$2,Sheet6!$C$2,IF(Tim!DO10=Sheet6!$C$3,Sheet6!$C$3,IF(Tim!DO10=Sheet6!$C$4,Sheet6!$C$4,IF(Tim!DO10=Sheet6!$C$5,Sheet6!$C$5,IF(Tim!DO10=Sheet6!$C$6,Sheet6!$C$6,IF(Tim!DO10=Sheet6!$C$7,Sheet6!$C$7,IF(Tim!DO10=Sheet6!$C$8,Sheet6!$C$8,"")))))))</f>
        <v/>
      </c>
      <c r="AV8" s="53" t="str">
        <f>IF(Tim!DP10=Sheet6!$C$2,Sheet6!$C$2,IF(Tim!DP10=Sheet6!$C$3,Sheet6!$C$3,IF(Tim!DP10=Sheet6!$C$4,Sheet6!$C$4,IF(Tim!DP10=Sheet6!$C$5,Sheet6!$C$5,IF(Tim!DP10=Sheet6!$C$6,Sheet6!$C$6,IF(Tim!DP10=Sheet6!$C$7,Sheet6!$C$7,IF(Tim!DP10=Sheet6!$C$8,Sheet6!$C$8,"")))))))</f>
        <v/>
      </c>
      <c r="AW8" s="53" t="str">
        <f>IF(Tim!DX10=Sheet6!$C$2,Sheet6!$C$2,IF(Tim!DX10=Sheet6!$C$3,Sheet6!$C$3,IF(Tim!DX10=Sheet6!$C$4,Sheet6!$C$4,IF(Tim!DX10=Sheet6!$C$5,Sheet6!$C$5,IF(Tim!DX10=Sheet6!$C$6,Sheet6!$C$6,IF(Tim!DX10=Sheet6!$C$7,Sheet6!$C$7,IF(Tim!DX10=Sheet6!$C$8,Sheet6!$C$8,"")))))))</f>
        <v/>
      </c>
      <c r="AX8" s="53" t="str">
        <f>IF(Tim!DY10=Sheet6!$C$2,Sheet6!$C$2,IF(Tim!DY10=Sheet6!$C$3,Sheet6!$C$3,IF(Tim!DY10=Sheet6!$C$4,Sheet6!$C$4,IF(Tim!DY10=Sheet6!$C$5,Sheet6!$C$5,IF(Tim!DY10=Sheet6!$C$6,Sheet6!$C$6,IF(Tim!DY10=Sheet6!$C$7,Sheet6!$C$7,IF(Tim!DY10=Sheet6!$C$8,Sheet6!$C$8,"")))))))</f>
        <v/>
      </c>
      <c r="AY8" s="53" t="str">
        <f>IF(Tim!DZ10=Sheet6!$C$2,Sheet6!$C$2,IF(Tim!DZ10=Sheet6!$C$3,Sheet6!$C$3,IF(Tim!DZ10=Sheet6!$C$4,Sheet6!$C$4,IF(Tim!DZ10=Sheet6!$C$5,Sheet6!$C$5,IF(Tim!DZ10=Sheet6!$C$6,Sheet6!$C$6,IF(Tim!DZ10=Sheet6!$C$7,Sheet6!$C$7,IF(Tim!DZ10=Sheet6!$C$8,Sheet6!$C$8,"")))))))</f>
        <v/>
      </c>
      <c r="AZ8" s="53" t="str">
        <f>IF(Tim!EA10=Sheet6!$C$2,Sheet6!$C$2,IF(Tim!EA10=Sheet6!$C$3,Sheet6!$C$3,IF(Tim!EA10=Sheet6!$C$4,Sheet6!$C$4,IF(Tim!EA10=Sheet6!$C$5,Sheet6!$C$5,IF(Tim!EA10=Sheet6!$C$6,Sheet6!$C$6,IF(Tim!EA10=Sheet6!$C$7,Sheet6!$C$7,IF(Tim!EA10=Sheet6!$C$8,Sheet6!$C$8,"")))))))</f>
        <v/>
      </c>
      <c r="BA8" s="53" t="str">
        <f>IF(Tim!EB10=Sheet6!$C$2,Sheet6!$C$2,IF(Tim!EB10=Sheet6!$C$3,Sheet6!$C$3,IF(Tim!EB10=Sheet6!$C$4,Sheet6!$C$4,IF(Tim!EB10=Sheet6!$C$5,Sheet6!$C$5,IF(Tim!EB10=Sheet6!$C$6,Sheet6!$C$6,IF(Tim!EB10=Sheet6!$C$7,Sheet6!$C$7,IF(Tim!EB10=Sheet6!$C$8,Sheet6!$C$8,"")))))))</f>
        <v/>
      </c>
      <c r="BB8" s="54" t="str">
        <f>IF(Tim!EC10=Sheet6!$C$2,Sheet6!$C$2,IF(Tim!EC10=Sheet6!$C$3,Sheet6!$C$3,IF(Tim!EC10=Sheet6!$C$4,Sheet6!$C$4,IF(Tim!EC10=Sheet6!$C$5,Sheet6!$C$5,IF(Tim!EC10=Sheet6!$C$6,Sheet6!$C$6,IF(Tim!EC10=Sheet6!$C$7,Sheet6!$C$7,IF(Tim!EC10=Sheet6!$C$8,Sheet6!$C$8,"")))))))</f>
        <v/>
      </c>
      <c r="BC8" s="53" t="str">
        <f>IF(Tim!EG10=Sheet6!$C$2,Sheet6!$C$2,IF(Tim!EG10=Sheet6!$C$3,Sheet6!$C$3,IF(Tim!EG10=Sheet6!$C$4,Sheet6!$C$4,IF(Tim!EG10=Sheet6!$C$5,Sheet6!$C$5,IF(Tim!EG10=Sheet6!$C$6,Sheet6!$C$6,IF(Tim!EG10=Sheet6!$C$7,Sheet6!$C$7,IF(Tim!EG10=Sheet6!$C$8,Sheet6!$C$8,"")))))))</f>
        <v/>
      </c>
      <c r="BD8" s="54" t="str">
        <f>IF(Tim!EH10=Sheet6!$C$2,Sheet6!$C$2,IF(Tim!EH10=Sheet6!$C$3,Sheet6!$C$3,IF(Tim!EH10=Sheet6!$C$4,Sheet6!$C$4,IF(Tim!EH10=Sheet6!$C$5,Sheet6!$C$5,IF(Tim!EH10=Sheet6!$C$6,Sheet6!$C$6,IF(Tim!EH10=Sheet6!$C$7,Sheet6!$C$7,IF(Tim!EH10=Sheet6!$C$8,Sheet6!$C$8,"")))))))</f>
        <v/>
      </c>
      <c r="BE8" s="54" t="str">
        <f>IF(Tim!EI10=Sheet6!$C$2,Sheet6!$C$2,IF(Tim!EI10=Sheet6!$C$3,Sheet6!$C$3,IF(Tim!EI10=Sheet6!$C$4,Sheet6!$C$4,IF(Tim!EI10=Sheet6!$C$5,Sheet6!$C$5,IF(Tim!EI10=Sheet6!$C$6,Sheet6!$C$6,IF(Tim!EI10=Sheet6!$C$7,Sheet6!$C$7,IF(Tim!EI10=Sheet6!$C$8,Sheet6!$C$8,"")))))))</f>
        <v/>
      </c>
      <c r="BF8" s="54" t="str">
        <f>IF(Tim!EJ10=Sheet6!$C$2,Sheet6!$C$2,IF(Tim!EJ10=Sheet6!$C$3,Sheet6!$C$3,IF(Tim!EJ10=Sheet6!$C$4,Sheet6!$C$4,IF(Tim!EJ10=Sheet6!$C$5,Sheet6!$C$5,IF(Tim!EJ10=Sheet6!$C$6,Sheet6!$C$6,IF(Tim!EJ10=Sheet6!$C$7,Sheet6!$C$7,IF(Tim!EJ10=Sheet6!$C$8,Sheet6!$C$8,"")))))))</f>
        <v/>
      </c>
      <c r="BG8" s="55" t="str">
        <f>IF(Tim!EK10=Sheet6!$C$2,Sheet6!$C$2,IF(Tim!EK10=Sheet6!$C$3,Sheet6!$C$3,IF(Tim!EK10=Sheet6!$C$4,Sheet6!$C$4,IF(Tim!EK10=Sheet6!$C$5,Sheet6!$C$5,IF(Tim!EK10=Sheet6!$C$6,Sheet6!$C$6,IF(Tim!EK10=Sheet6!$C$7,Sheet6!$C$7,IF(Tim!EK10=Sheet6!$C$8,Sheet6!$C$8,"")))))))</f>
        <v/>
      </c>
      <c r="BH8" s="53" t="str">
        <f>IF(Tim!EL10=Sheet6!$C$2,Sheet6!$C$2,IF(Tim!EL10=Sheet6!$C$3,Sheet6!$C$3,IF(Tim!EL10=Sheet6!$C$4,Sheet6!$C$4,IF(Tim!EL10=Sheet6!$C$5,Sheet6!$C$5,IF(Tim!EL10=Sheet6!$C$6,Sheet6!$C$6,IF(Tim!EL10=Sheet6!$C$7,Sheet6!$C$7,IF(Tim!EL10=Sheet6!$C$8,Sheet6!$C$8,"")))))))</f>
        <v/>
      </c>
      <c r="BI8" s="57" t="str">
        <f>IF(Tim!EM10=Sheet6!$C$2,Sheet6!$C$2,IF(Tim!EM10=Sheet6!$C$3,Sheet6!$C$3,IF(Tim!EM10=Sheet6!$C$4,Sheet6!$C$4,IF(Tim!EM10=Sheet6!$C$5,Sheet6!$C$5,IF(Tim!EM10=Sheet6!$C$6,Sheet6!$C$6,IF(Tim!EM10=Sheet6!$C$7,Sheet6!$C$7,IF(Tim!EM10=Sheet6!$C$8,Sheet6!$C$8,"")))))))</f>
        <v/>
      </c>
      <c r="BJ8" s="57" t="str">
        <f>IF(Tim!EQ10=Sheet6!$C$2,Sheet6!$C$2,IF(Tim!EQ10=Sheet6!$C$3,Sheet6!$C$3,IF(Tim!EQ10=Sheet6!$C$4,Sheet6!$C$4,IF(Tim!EQ10=Sheet6!$C$5,Sheet6!$C$5,IF(Tim!EQ10=Sheet6!$C$6,Sheet6!$C$6,IF(Tim!EQ10=Sheet6!$C$7,Sheet6!$C$7,IF(Tim!EQ10=Sheet6!$C$8,Sheet6!$C$8,"")))))))</f>
        <v/>
      </c>
      <c r="BK8" s="57" t="str">
        <f>IF(Tim!ER10=Sheet6!$C$2,Sheet6!$C$2,IF(Tim!ER10=Sheet6!$C$3,Sheet6!$C$3,IF(Tim!ER10=Sheet6!$C$4,Sheet6!$C$4,IF(Tim!ER10=Sheet6!$C$5,Sheet6!$C$5,IF(Tim!ER10=Sheet6!$C$6,Sheet6!$C$6,IF(Tim!ER10=Sheet6!$C$7,Sheet6!$C$7,IF(Tim!ER10=Sheet6!$C$8,Sheet6!$C$8,"")))))))</f>
        <v/>
      </c>
      <c r="BL8" s="57" t="str">
        <f>IF(Tim!EZ10=Sheet6!$C$2,Sheet6!$C$2,IF(Tim!EZ10=Sheet6!$C$3,Sheet6!$C$3,IF(Tim!EZ10=Sheet6!$C$4,Sheet6!$C$4,IF(Tim!EZ10=Sheet6!$C$5,Sheet6!$C$5,IF(Tim!EZ10=Sheet6!$C$6,Sheet6!$C$6,IF(Tim!EZ10=Sheet6!$C$7,Sheet6!$C$7,IF(Tim!EZ10=Sheet6!$C$8,Sheet6!$C$8,"")))))))</f>
        <v/>
      </c>
      <c r="BM8" s="53" t="str">
        <f>IF(Tim!FG10=Sheet6!$C$2,Sheet6!$C$2,IF(Tim!FG10=Sheet6!$C$3,Sheet6!$C$3,IF(Tim!FG10=Sheet6!$C$4,Sheet6!$C$4,IF(Tim!FG10=Sheet6!$C$5,Sheet6!$C$5,IF(Tim!FG10=Sheet6!$C$6,Sheet6!$C$6,IF(Tim!FG10=Sheet6!$C$7,Sheet6!$C$7,IF(Tim!FG10=Sheet6!$C$8,Sheet6!$C$8,"")))))))</f>
        <v/>
      </c>
      <c r="BN8" s="53" t="str">
        <f>IF(Tim!FH10=Sheet6!$C$2,Sheet6!$C$2,IF(Tim!FH10=Sheet6!$C$3,Sheet6!$C$3,IF(Tim!FH10=Sheet6!$C$4,Sheet6!$C$4,IF(Tim!FH10=Sheet6!$C$5,Sheet6!$C$5,IF(Tim!FH10=Sheet6!$C$6,Sheet6!$C$6,IF(Tim!FH10=Sheet6!$C$7,Sheet6!$C$7,IF(Tim!FH10=Sheet6!$C$8,Sheet6!$C$8,"")))))))</f>
        <v/>
      </c>
      <c r="BO8" s="53" t="str">
        <f>IF(Tim!FP10=Sheet6!$C$2,Sheet6!$C$2,IF(Tim!FP10=Sheet6!$C$3,Sheet6!$C$3,IF(Tim!FP10=Sheet6!$C$4,Sheet6!$C$4,IF(Tim!FP10=Sheet6!$C$5,Sheet6!$C$5,IF(Tim!FP10=Sheet6!$C$6,Sheet6!$C$6,IF(Tim!FP10=Sheet6!$C$7,Sheet6!$C$7,IF(Tim!FP10=Sheet6!$C$8,Sheet6!$C$8,"")))))))</f>
        <v/>
      </c>
      <c r="BP8" s="53" t="str">
        <f>IF(Tim!FQ10=Sheet6!$C$2,Sheet6!$C$2,IF(Tim!FQ10=Sheet6!$C$3,Sheet6!$C$3,IF(Tim!FQ10=Sheet6!$C$4,Sheet6!$C$4,IF(Tim!FQ10=Sheet6!$C$5,Sheet6!$C$5,IF(Tim!FQ10=Sheet6!$C$6,Sheet6!$C$6,IF(Tim!FQ10=Sheet6!$C$7,Sheet6!$C$7,IF(Tim!FQ10=Sheet6!$C$8,Sheet6!$C$8,"")))))))</f>
        <v/>
      </c>
      <c r="BQ8" s="53" t="str">
        <f>IF(Tim!FR10=Sheet6!$C$2,Sheet6!$C$2,IF(Tim!FR10=Sheet6!$C$3,Sheet6!$C$3,IF(Tim!FR10=Sheet6!$C$4,Sheet6!$C$4,IF(Tim!FR10=Sheet6!$C$5,Sheet6!$C$5,IF(Tim!FR10=Sheet6!$C$6,Sheet6!$C$6,IF(Tim!FR10=Sheet6!$C$7,Sheet6!$C$7,IF(Tim!FR10=Sheet6!$C$8,Sheet6!$C$8,"")))))))</f>
        <v/>
      </c>
      <c r="BR8" s="53" t="str">
        <f>IF(Tim!FS10=Sheet6!$C$2,Sheet6!$C$2,IF(Tim!FS10=Sheet6!$C$3,Sheet6!$C$3,IF(Tim!FS10=Sheet6!$C$4,Sheet6!$C$4,IF(Tim!FS10=Sheet6!$C$5,Sheet6!$C$5,IF(Tim!FS10=Sheet6!$C$6,Sheet6!$C$6,IF(Tim!FS10=Sheet6!$C$7,Sheet6!$C$7,IF(Tim!FS10=Sheet6!$C$8,Sheet6!$C$8,"")))))))</f>
        <v/>
      </c>
      <c r="BS8" s="53" t="str">
        <f>IF(Tim!FT10=Sheet6!$C$2,Sheet6!$C$2,IF(Tim!FT10=Sheet6!$C$3,Sheet6!$C$3,IF(Tim!FT10=Sheet6!$C$4,Sheet6!$C$4,IF(Tim!FT10=Sheet6!$C$5,Sheet6!$C$5,IF(Tim!FT10=Sheet6!$C$6,Sheet6!$C$6,IF(Tim!FT10=Sheet6!$C$7,Sheet6!$C$7,IF(Tim!FT10=Sheet6!$C$8,Sheet6!$C$8,"")))))))</f>
        <v/>
      </c>
      <c r="BT8" s="54" t="str">
        <f>IF(Tim!FU10=Sheet6!$C$2,Sheet6!$C$2,IF(Tim!FU10=Sheet6!$C$3,Sheet6!$C$3,IF(Tim!FU10=Sheet6!$C$4,Sheet6!$C$4,IF(Tim!FU10=Sheet6!$C$5,Sheet6!$C$5,IF(Tim!FU10=Sheet6!$C$6,Sheet6!$C$6,IF(Tim!FU10=Sheet6!$C$7,Sheet6!$C$7,IF(Tim!FU10=Sheet6!$C$8,Sheet6!$C$8,"")))))))</f>
        <v/>
      </c>
      <c r="BU8" s="53" t="str">
        <f>IF(Tim!FY10=Sheet6!$C$2,Sheet6!$C$2,IF(Tim!FY10=Sheet6!$C$3,Sheet6!$C$3,IF(Tim!FY10=Sheet6!$C$4,Sheet6!$C$4,IF(Tim!FY10=Sheet6!$C$5,Sheet6!$C$5,IF(Tim!FY10=Sheet6!$C$6,Sheet6!$C$6,IF(Tim!FY10=Sheet6!$C$7,Sheet6!$C$7,IF(Tim!FY10=Sheet6!$C$8,Sheet6!$C$8,"")))))))</f>
        <v/>
      </c>
      <c r="BV8" s="54" t="str">
        <f>IF(Tim!FZ10=Sheet6!$C$2,Sheet6!$C$2,IF(Tim!FZ10=Sheet6!$C$3,Sheet6!$C$3,IF(Tim!FZ10=Sheet6!$C$4,Sheet6!$C$4,IF(Tim!FZ10=Sheet6!$C$5,Sheet6!$C$5,IF(Tim!FZ10=Sheet6!$C$6,Sheet6!$C$6,IF(Tim!FZ10=Sheet6!$C$7,Sheet6!$C$7,IF(Tim!FZ10=Sheet6!$C$8,Sheet6!$C$8,"")))))))</f>
        <v/>
      </c>
      <c r="BW8" s="54" t="str">
        <f>IF(Tim!GA10=Sheet6!$C$2,Sheet6!$C$2,IF(Tim!GA10=Sheet6!$C$3,Sheet6!$C$3,IF(Tim!GA10=Sheet6!$C$4,Sheet6!$C$4,IF(Tim!GA10=Sheet6!$C$5,Sheet6!$C$5,IF(Tim!GA10=Sheet6!$C$6,Sheet6!$C$6,IF(Tim!GA10=Sheet6!$C$7,Sheet6!$C$7,IF(Tim!GA10=Sheet6!$C$8,Sheet6!$C$8,"")))))))</f>
        <v/>
      </c>
      <c r="BX8" s="54" t="str">
        <f>IF(Tim!GB10=Sheet6!$C$2,Sheet6!$C$2,IF(Tim!GB10=Sheet6!$C$3,Sheet6!$C$3,IF(Tim!GB10=Sheet6!$C$4,Sheet6!$C$4,IF(Tim!GB10=Sheet6!$C$5,Sheet6!$C$5,IF(Tim!GB10=Sheet6!$C$6,Sheet6!$C$6,IF(Tim!GB10=Sheet6!$C$7,Sheet6!$C$7,IF(Tim!GB10=Sheet6!$C$8,Sheet6!$C$8,"")))))))</f>
        <v/>
      </c>
      <c r="BY8" s="55" t="str">
        <f>IF(Tim!GC10=Sheet6!$C$2,Sheet6!$C$2,IF(Tim!GC10=Sheet6!$C$3,Sheet6!$C$3,IF(Tim!GC10=Sheet6!$C$4,Sheet6!$C$4,IF(Tim!GC10=Sheet6!$C$5,Sheet6!$C$5,IF(Tim!GC10=Sheet6!$C$6,Sheet6!$C$6,IF(Tim!GC10=Sheet6!$C$7,Sheet6!$C$7,IF(Tim!GC10=Sheet6!$C$8,Sheet6!$C$8,"")))))))</f>
        <v/>
      </c>
      <c r="BZ8" s="53" t="str">
        <f>IF(Tim!GD10=Sheet6!$C$2,Sheet6!$C$2,IF(Tim!GD10=Sheet6!$C$3,Sheet6!$C$3,IF(Tim!GD10=Sheet6!$C$4,Sheet6!$C$4,IF(Tim!GD10=Sheet6!$C$5,Sheet6!$C$5,IF(Tim!GD10=Sheet6!$C$6,Sheet6!$C$6,IF(Tim!GD10=Sheet6!$C$7,Sheet6!$C$7,IF(Tim!GD10=Sheet6!$C$8,Sheet6!$C$8,"")))))))</f>
        <v/>
      </c>
      <c r="CA8" s="57" t="str">
        <f>IF(Tim!GE10=Sheet6!$C$2,Sheet6!$C$2,IF(Tim!GE10=Sheet6!$C$3,Sheet6!$C$3,IF(Tim!GE10=Sheet6!$C$4,Sheet6!$C$4,IF(Tim!GE10=Sheet6!$C$5,Sheet6!$C$5,IF(Tim!GE10=Sheet6!$C$6,Sheet6!$C$6,IF(Tim!GE10=Sheet6!$C$7,Sheet6!$C$7,IF(Tim!GE10=Sheet6!$C$8,Sheet6!$C$8,"")))))))</f>
        <v/>
      </c>
      <c r="CB8" s="57" t="str">
        <f>IF(Tim!GI10=Sheet6!$C$2,Sheet6!$C$2,IF(Tim!GI10=Sheet6!$C$3,Sheet6!$C$3,IF(Tim!GI10=Sheet6!$C$4,Sheet6!$C$4,IF(Tim!GI10=Sheet6!$C$5,Sheet6!$C$5,IF(Tim!GI10=Sheet6!$C$6,Sheet6!$C$6,IF(Tim!GI10=Sheet6!$C$7,Sheet6!$C$7,IF(Tim!GI10=Sheet6!$C$8,Sheet6!$C$8,"")))))))</f>
        <v/>
      </c>
      <c r="CC8" s="57" t="str">
        <f>IF(Tim!GJ10=Sheet6!$C$2,Sheet6!$C$2,IF(Tim!GJ10=Sheet6!$C$3,Sheet6!$C$3,IF(Tim!GJ10=Sheet6!$C$4,Sheet6!$C$4,IF(Tim!GJ10=Sheet6!$C$5,Sheet6!$C$5,IF(Tim!GJ10=Sheet6!$C$6,Sheet6!$C$6,IF(Tim!GJ10=Sheet6!$C$7,Sheet6!$C$7,IF(Tim!GJ10=Sheet6!$C$8,Sheet6!$C$8,"")))))))</f>
        <v/>
      </c>
      <c r="CD8" s="57" t="str">
        <f>IF(Tim!GN10=Sheet6!$C$2,Sheet6!$C$2,IF(Tim!GN10=Sheet6!$C$3,Sheet6!$C$3,IF(Tim!GN10=Sheet6!$C$4,Sheet6!$C$4,IF(Tim!GN10=Sheet6!$C$5,Sheet6!$C$5,IF(Tim!GN10=Sheet6!$C$6,Sheet6!$C$6,IF(Tim!GN10=Sheet6!$C$7,Sheet6!$C$7,IF(Tim!GN10=Sheet6!$C$8,Sheet6!$C$8,"")))))))</f>
        <v/>
      </c>
      <c r="CE8" s="53" t="str">
        <f>IF(Tim!GY10=Sheet6!$C$2,Sheet6!$C$2,IF(Tim!GY10=Sheet6!$C$3,Sheet6!$C$3,IF(Tim!GY10=Sheet6!$C$4,Sheet6!$C$4,IF(Tim!GY10=Sheet6!$C$5,Sheet6!$C$5,IF(Tim!GY10=Sheet6!$C$6,Sheet6!$C$6,IF(Tim!GY10=Sheet6!$C$7,Sheet6!$C$7,IF(Tim!GY10=Sheet6!$C$8,Sheet6!$C$8,"")))))))</f>
        <v/>
      </c>
      <c r="CF8" s="53" t="str">
        <f>IF(Tim!GZ10=Sheet6!$C$2,Sheet6!$C$2,IF(Tim!GZ10=Sheet6!$C$3,Sheet6!$C$3,IF(Tim!GZ10=Sheet6!$C$4,Sheet6!$C$4,IF(Tim!GZ10=Sheet6!$C$5,Sheet6!$C$5,IF(Tim!GZ10=Sheet6!$C$6,Sheet6!$C$6,IF(Tim!GZ10=Sheet6!$C$7,Sheet6!$C$7,IF(Tim!GZ10=Sheet6!$C$8,Sheet6!$C$8,"")))))))</f>
        <v/>
      </c>
      <c r="CG8" s="53" t="str">
        <f>IF(Tim!HH10=Sheet6!$C$2,Sheet6!$C$2,IF(Tim!HH10=Sheet6!$C$3,Sheet6!$C$3,IF(Tim!HH10=Sheet6!$C$4,Sheet6!$C$4,IF(Tim!HH10=Sheet6!$C$5,Sheet6!$C$5,IF(Tim!HH10=Sheet6!$C$6,Sheet6!$C$6,IF(Tim!HH10=Sheet6!$C$7,Sheet6!$C$7,IF(Tim!HH10=Sheet6!$C$8,Sheet6!$C$8,"")))))))</f>
        <v/>
      </c>
      <c r="CH8" s="53" t="str">
        <f>IF(Tim!HI10=Sheet6!$C$2,Sheet6!$C$2,IF(Tim!HI10=Sheet6!$C$3,Sheet6!$C$3,IF(Tim!HI10=Sheet6!$C$4,Sheet6!$C$4,IF(Tim!HI10=Sheet6!$C$5,Sheet6!$C$5,IF(Tim!HI10=Sheet6!$C$6,Sheet6!$C$6,IF(Tim!HI10=Sheet6!$C$7,Sheet6!$C$7,IF(Tim!HI10=Sheet6!$C$8,Sheet6!$C$8,"")))))))</f>
        <v/>
      </c>
      <c r="CI8" s="53" t="str">
        <f>IF(Tim!HJ10=Sheet6!$C$2,Sheet6!$C$2,IF(Tim!HJ10=Sheet6!$C$3,Sheet6!$C$3,IF(Tim!HJ10=Sheet6!$C$4,Sheet6!$C$4,IF(Tim!HJ10=Sheet6!$C$5,Sheet6!$C$5,IF(Tim!HJ10=Sheet6!$C$6,Sheet6!$C$6,IF(Tim!HJ10=Sheet6!$C$7,Sheet6!$C$7,IF(Tim!HJ10=Sheet6!$C$8,Sheet6!$C$8,"")))))))</f>
        <v/>
      </c>
      <c r="CJ8" s="53" t="str">
        <f>IF(Tim!HK10=Sheet6!$C$2,Sheet6!$C$2,IF(Tim!HK10=Sheet6!$C$3,Sheet6!$C$3,IF(Tim!HK10=Sheet6!$C$4,Sheet6!$C$4,IF(Tim!HK10=Sheet6!$C$5,Sheet6!$C$5,IF(Tim!HK10=Sheet6!$C$6,Sheet6!$C$6,IF(Tim!HK10=Sheet6!$C$7,Sheet6!$C$7,IF(Tim!HK10=Sheet6!$C$8,Sheet6!$C$8,"")))))))</f>
        <v/>
      </c>
      <c r="CK8" s="53" t="str">
        <f>IF(Tim!HL10=Sheet6!$C$2,Sheet6!$C$2,IF(Tim!HL10=Sheet6!$C$3,Sheet6!$C$3,IF(Tim!HL10=Sheet6!$C$4,Sheet6!$C$4,IF(Tim!HL10=Sheet6!$C$5,Sheet6!$C$5,IF(Tim!HL10=Sheet6!$C$6,Sheet6!$C$6,IF(Tim!HL10=Sheet6!$C$7,Sheet6!$C$7,IF(Tim!HL10=Sheet6!$C$8,Sheet6!$C$8,"")))))))</f>
        <v/>
      </c>
      <c r="CL8" s="53" t="str">
        <f>IF(Tim!HM10=Sheet6!$C$2,Sheet6!$C$2,IF(Tim!HM10=Sheet6!$C$3,Sheet6!$C$3,IF(Tim!HM10=Sheet6!$C$4,Sheet6!$C$4,IF(Tim!HM10=Sheet6!$C$5,Sheet6!$C$5,IF(Tim!HM10=Sheet6!$C$6,Sheet6!$C$6,IF(Tim!HM10=Sheet6!$C$7,Sheet6!$C$7,IF(Tim!HM10=Sheet6!$C$8,Sheet6!$C$8,"")))))))</f>
        <v/>
      </c>
      <c r="CM8" s="53" t="str">
        <f>IF(Tim!HQ10=Sheet6!$C$2,Sheet6!$C$2,IF(Tim!HQ10=Sheet6!$C$3,Sheet6!$C$3,IF(Tim!HQ10=Sheet6!$C$4,Sheet6!$C$4,IF(Tim!HQ10=Sheet6!$C$5,Sheet6!$C$5,IF(Tim!HQ10=Sheet6!$C$6,Sheet6!$C$6,IF(Tim!HQ10=Sheet6!$C$7,Sheet6!$C$7,IF(Tim!HQ10=Sheet6!$C$8,Sheet6!$C$8,"")))))))</f>
        <v/>
      </c>
      <c r="CN8" s="54" t="str">
        <f>IF(Tim!HR10=Sheet6!$C$2,Sheet6!$C$2,IF(Tim!HR10=Sheet6!$C$3,Sheet6!$C$3,IF(Tim!HR10=Sheet6!$C$4,Sheet6!$C$4,IF(Tim!HR10=Sheet6!$C$5,Sheet6!$C$5,IF(Tim!HR10=Sheet6!$C$6,Sheet6!$C$6,IF(Tim!HR10=Sheet6!$C$7,Sheet6!$C$7,IF(Tim!HR10=Sheet6!$C$8,Sheet6!$C$8,"")))))))</f>
        <v/>
      </c>
      <c r="CO8" s="54" t="str">
        <f>IF(Tim!HS10=Sheet6!$C$2,Sheet6!$C$2,IF(Tim!HS10=Sheet6!$C$3,Sheet6!$C$3,IF(Tim!HS10=Sheet6!$C$4,Sheet6!$C$4,IF(Tim!HS10=Sheet6!$C$5,Sheet6!$C$5,IF(Tim!HS10=Sheet6!$C$6,Sheet6!$C$6,IF(Tim!HS10=Sheet6!$C$7,Sheet6!$C$7,IF(Tim!HS10=Sheet6!$C$8,Sheet6!$C$8,"")))))))</f>
        <v/>
      </c>
      <c r="CP8" s="54" t="str">
        <f>IF(Tim!HT10=Sheet6!$C$2,Sheet6!$C$2,IF(Tim!HT10=Sheet6!$C$3,Sheet6!$C$3,IF(Tim!HT10=Sheet6!$C$4,Sheet6!$C$4,IF(Tim!HT10=Sheet6!$C$5,Sheet6!$C$5,IF(Tim!HT10=Sheet6!$C$6,Sheet6!$C$6,IF(Tim!HT10=Sheet6!$C$7,Sheet6!$C$7,IF(Tim!HT10=Sheet6!$C$8,Sheet6!$C$8,"")))))))</f>
        <v/>
      </c>
      <c r="CQ8" s="55" t="str">
        <f>IF(Tim!HU10=Sheet6!$C$2,Sheet6!$C$2,IF(Tim!HU10=Sheet6!$C$3,Sheet6!$C$3,IF(Tim!HU10=Sheet6!$C$4,Sheet6!$C$4,IF(Tim!HU10=Sheet6!$C$5,Sheet6!$C$5,IF(Tim!HU10=Sheet6!$C$6,Sheet6!$C$6,IF(Tim!HU10=Sheet6!$C$7,Sheet6!$C$7,IF(Tim!HU10=Sheet6!$C$8,Sheet6!$C$8,"")))))))</f>
        <v/>
      </c>
      <c r="CR8" s="469"/>
      <c r="CS8" s="366"/>
      <c r="CT8" s="366"/>
      <c r="CU8" s="366"/>
      <c r="CV8" s="366"/>
      <c r="CW8" s="366"/>
      <c r="CX8" s="366"/>
      <c r="CY8" s="366"/>
      <c r="CZ8" s="366"/>
      <c r="DA8" s="366"/>
      <c r="DB8" s="366"/>
      <c r="DC8" s="366"/>
      <c r="DD8" s="366"/>
      <c r="DE8" s="366"/>
      <c r="DF8" s="366"/>
      <c r="DG8" s="428"/>
      <c r="DH8" s="469"/>
      <c r="DI8" s="366"/>
      <c r="DJ8" s="366"/>
      <c r="DK8" s="366"/>
      <c r="DL8" s="366"/>
      <c r="DM8" s="366"/>
      <c r="DN8" s="366"/>
      <c r="DO8" s="366"/>
      <c r="DP8" s="366"/>
      <c r="DQ8" s="366"/>
      <c r="DR8" s="366"/>
      <c r="DS8" s="366"/>
      <c r="DT8" s="366"/>
      <c r="DU8" s="366"/>
      <c r="DV8" s="366"/>
      <c r="DW8" s="428"/>
      <c r="DX8" s="52">
        <v>0.32291666666666702</v>
      </c>
    </row>
    <row r="9" spans="2:128" ht="10.5" customHeight="1">
      <c r="B9" s="51">
        <v>0.25</v>
      </c>
      <c r="C9" s="51">
        <v>0.25</v>
      </c>
      <c r="D9" s="51">
        <v>0.25</v>
      </c>
      <c r="E9" s="52">
        <v>0.33333333333333298</v>
      </c>
      <c r="F9" s="53" t="str">
        <f>IF(Tim!F11=Sheet6!$C$2,Sheet6!$C$2,IF(Tim!F11=Sheet6!$C$3,Sheet6!$C$3,IF(Tim!F11=Sheet6!$C$4,Sheet6!$C$4,IF(Tim!F11=Sheet6!$C$5,Sheet6!$C$5,IF(Tim!F11=Sheet6!$C$6,Sheet6!$C$6,IF(Tim!F11=Sheet6!$C$7,Sheet6!$C$7,IF(Tim!F11=Sheet6!$C$8,Sheet6!$C$8,"")))))))</f>
        <v/>
      </c>
      <c r="G9" s="53" t="str">
        <f>IF(Tim!G11=Sheet6!$C$2,Sheet6!$C$2,IF(Tim!G11=Sheet6!$C$3,Sheet6!$C$3,IF(Tim!G11=Sheet6!$C$4,Sheet6!$C$4,IF(Tim!G11=Sheet6!$C$5,Sheet6!$C$5,IF(Tim!G11=Sheet6!$C$6,Sheet6!$C$6,IF(Tim!G11=Sheet6!$C$7,Sheet6!$C$7,IF(Tim!G11=Sheet6!$C$8,Sheet6!$C$8,"")))))))</f>
        <v/>
      </c>
      <c r="H9" s="53" t="str">
        <f>IF(Tim!H11=Sheet6!$C$2,Sheet6!$C$2,IF(Tim!H11=Sheet6!$C$3,Sheet6!$C$3,IF(Tim!H11=Sheet6!$C$4,Sheet6!$C$4,IF(Tim!H11=Sheet6!$C$5,Sheet6!$C$5,IF(Tim!H11=Sheet6!$C$6,Sheet6!$C$6,IF(Tim!H11=Sheet6!$C$7,Sheet6!$C$7,IF(Tim!H11=Sheet6!$C$8,Sheet6!$C$8,"")))))))</f>
        <v/>
      </c>
      <c r="I9" s="53" t="str">
        <f>IF(Tim!L11=Sheet6!$C$2,Sheet6!$C$2,IF(Tim!L11=Sheet6!$C$3,Sheet6!$C$3,IF(Tim!L11=Sheet6!$C$4,Sheet6!$C$4,IF(Tim!L11=Sheet6!$C$5,Sheet6!$C$5,IF(Tim!L11=Sheet6!$C$6,Sheet6!$C$6,IF(Tim!L11=Sheet6!$C$7,Sheet6!$C$7,IF(Tim!L11=Sheet6!$C$8,Sheet6!$C$8,"")))))))</f>
        <v/>
      </c>
      <c r="J9" s="53" t="str">
        <f>IF(Tim!T11=Sheet6!$C$2,Sheet6!$C$2,IF(Tim!T11=Sheet6!$C$3,Sheet6!$C$3,IF(Tim!T11=Sheet6!$C$4,Sheet6!$C$4,IF(Tim!T11=Sheet6!$C$5,Sheet6!$C$5,IF(Tim!T11=Sheet6!$C$6,Sheet6!$C$6,IF(Tim!T11=Sheet6!$C$7,Sheet6!$C$7,IF(Tim!T11=Sheet6!$C$8,Sheet6!$C$8,"")))))))</f>
        <v/>
      </c>
      <c r="K9" s="53" t="str">
        <f>IF(Tim!AB11=Sheet6!$C$2,Sheet6!$C$2,IF(Tim!AB11=Sheet6!$C$3,Sheet6!$C$3,IF(Tim!AB11=Sheet6!$C$4,Sheet6!$C$4,IF(Tim!AB11=Sheet6!$C$5,Sheet6!$C$5,IF(Tim!AB11=Sheet6!$C$6,Sheet6!$C$6,IF(Tim!AB11=Sheet6!$C$7,Sheet6!$C$7,IF(Tim!AB11=Sheet6!$C$8,Sheet6!$C$8,"")))))))</f>
        <v/>
      </c>
      <c r="L9" s="53" t="str">
        <f>IF(Tim!AC11=Sheet6!$C$2,Sheet6!$C$2,IF(Tim!AC11=Sheet6!$C$3,Sheet6!$C$3,IF(Tim!AC11=Sheet6!$C$4,Sheet6!$C$4,IF(Tim!AC11=Sheet6!$C$5,Sheet6!$C$5,IF(Tim!AC11=Sheet6!$C$6,Sheet6!$C$6,IF(Tim!AC11=Sheet6!$C$7,Sheet6!$C$7,IF(Tim!AC11=Sheet6!$C$8,Sheet6!$C$8,"")))))))</f>
        <v/>
      </c>
      <c r="M9" s="53" t="str">
        <f>IF(Tim!AJ11=Sheet6!$C$2,Sheet6!$C$2,IF(Tim!AJ11=Sheet6!$C$3,Sheet6!$C$3,IF(Tim!AJ11=Sheet6!$C$4,Sheet6!$C$4,IF(Tim!AJ11=Sheet6!$C$5,Sheet6!$C$5,IF(Tim!AJ11=Sheet6!$C$6,Sheet6!$C$6,IF(Tim!AJ11=Sheet6!$C$7,Sheet6!$C$7,IF(Tim!AJ11=Sheet6!$C$8,Sheet6!$C$8,"")))))))</f>
        <v/>
      </c>
      <c r="N9" s="53" t="str">
        <f>IF(Tim!AK11=Sheet6!$C$2,Sheet6!$C$2,IF(Tim!AK11=Sheet6!$C$3,Sheet6!$C$3,IF(Tim!AK11=Sheet6!$C$4,Sheet6!$C$4,IF(Tim!AK11=Sheet6!$C$5,Sheet6!$C$5,IF(Tim!AK11=Sheet6!$C$6,Sheet6!$C$6,IF(Tim!AK11=Sheet6!$C$7,Sheet6!$C$7,IF(Tim!AK11=Sheet6!$C$8,Sheet6!$C$8,"")))))))</f>
        <v/>
      </c>
      <c r="O9" s="53" t="str">
        <f>IF(Tim!AL11=Sheet6!$C$2,Sheet6!$C$2,IF(Tim!AL11=Sheet6!$C$3,Sheet6!$C$3,IF(Tim!AL11=Sheet6!$C$4,Sheet6!$C$4,IF(Tim!AL11=Sheet6!$C$5,Sheet6!$C$5,IF(Tim!AL11=Sheet6!$C$6,Sheet6!$C$6,IF(Tim!AL11=Sheet6!$C$7,Sheet6!$C$7,IF(Tim!AL11=Sheet6!$C$8,Sheet6!$C$8,"")))))))</f>
        <v/>
      </c>
      <c r="P9" s="53" t="str">
        <f>IF(Tim!AN11=Sheet6!$C$2,Sheet6!$C$2,IF(Tim!AN11=Sheet6!$C$3,Sheet6!$C$3,IF(Tim!AN11=Sheet6!$C$4,Sheet6!$C$4,IF(Tim!AN11=Sheet6!$C$5,Sheet6!$C$5,IF(Tim!AN11=Sheet6!$C$6,Sheet6!$C$6,IF(Tim!AN11=Sheet6!$C$7,Sheet6!$C$7,IF(Tim!AN11=Sheet6!$C$8,Sheet6!$C$8,"")))))))</f>
        <v/>
      </c>
      <c r="Q9" s="53" t="str">
        <f>IF(Tim!AO11=Sheet6!$C$2,Sheet6!$C$2,IF(Tim!AO11=Sheet6!$C$3,Sheet6!$C$3,IF(Tim!AO11=Sheet6!$C$4,Sheet6!$C$4,IF(Tim!AO11=Sheet6!$C$5,Sheet6!$C$5,IF(Tim!AO11=Sheet6!$C$6,Sheet6!$C$6,IF(Tim!AO11=Sheet6!$C$7,Sheet6!$C$7,IF(Tim!AO11=Sheet6!$C$8,Sheet6!$C$8,"")))))))</f>
        <v/>
      </c>
      <c r="R9" s="53" t="str">
        <f>IF(Tim!AP11=Sheet6!$C$2,Sheet6!$C$2,IF(Tim!AP11=Sheet6!$C$3,Sheet6!$C$3,IF(Tim!AP11=Sheet6!$C$4,Sheet6!$C$4,IF(Tim!AP11=Sheet6!$C$5,Sheet6!$C$5,IF(Tim!AP11=Sheet6!$C$6,Sheet6!$C$6,IF(Tim!AP11=Sheet6!$C$7,Sheet6!$C$7,IF(Tim!AP11=Sheet6!$C$8,Sheet6!$C$8,"")))))))</f>
        <v/>
      </c>
      <c r="S9" s="53" t="str">
        <f>IF(Tim!AT11=Sheet6!$C$2,Sheet6!$C$2,IF(Tim!AT11=Sheet6!$C$3,Sheet6!$C$3,IF(Tim!AT11=Sheet6!$C$4,Sheet6!$C$4,IF(Tim!AT11=Sheet6!$C$5,Sheet6!$C$5,IF(Tim!AT11=Sheet6!$C$6,Sheet6!$C$6,IF(Tim!AT11=Sheet6!$C$7,Sheet6!$C$7,IF(Tim!AT11=Sheet6!$C$8,Sheet6!$C$8,"")))))))</f>
        <v/>
      </c>
      <c r="T9" s="54" t="str">
        <f>IF(Tim!AU11=Sheet6!$C$2,Sheet6!$C$2,IF(Tim!AU11=Sheet6!$C$3,Sheet6!$C$3,IF(Tim!AU11=Sheet6!$C$4,Sheet6!$C$4,IF(Tim!AU11=Sheet6!$C$5,Sheet6!$C$5,IF(Tim!AU11=Sheet6!$C$6,Sheet6!$C$6,IF(Tim!AU11=Sheet6!$C$7,Sheet6!$C$7,IF(Tim!AU11=Sheet6!$C$8,Sheet6!$C$8,"")))))))</f>
        <v/>
      </c>
      <c r="U9" s="54" t="str">
        <f>IF(Tim!AV11=Sheet6!$C$2,Sheet6!$C$2,IF(Tim!AV11=Sheet6!$C$3,Sheet6!$C$3,IF(Tim!AV11=Sheet6!$C$4,Sheet6!$C$4,IF(Tim!AV11=Sheet6!$C$5,Sheet6!$C$5,IF(Tim!AV11=Sheet6!$C$6,Sheet6!$C$6,IF(Tim!AV11=Sheet6!$C$7,Sheet6!$C$7,IF(Tim!AV11=Sheet6!$C$8,Sheet6!$C$8,"")))))))</f>
        <v/>
      </c>
      <c r="V9" s="54" t="str">
        <f>IF(Tim!AW11=Sheet6!$C$2,Sheet6!$C$2,IF(Tim!AW11=Sheet6!$C$3,Sheet6!$C$3,IF(Tim!AW11=Sheet6!$C$4,Sheet6!$C$4,IF(Tim!AW11=Sheet6!$C$5,Sheet6!$C$5,IF(Tim!AW11=Sheet6!$C$6,Sheet6!$C$6,IF(Tim!AW11=Sheet6!$C$7,Sheet6!$C$7,IF(Tim!AW11=Sheet6!$C$8,Sheet6!$C$8,"")))))))</f>
        <v/>
      </c>
      <c r="W9" s="55" t="str">
        <f>IF(Tim!AX11=Sheet6!$C$2,Sheet6!$C$2,IF(Tim!AX11=Sheet6!$C$3,Sheet6!$C$3,IF(Tim!AX11=Sheet6!$C$4,Sheet6!$C$4,IF(Tim!AX11=Sheet6!$C$5,Sheet6!$C$5,IF(Tim!AX11=Sheet6!$C$6,Sheet6!$C$6,IF(Tim!AX11=Sheet6!$C$7,Sheet6!$C$7,IF(Tim!AX11=Sheet6!$C$8,Sheet6!$C$8,"")))))))</f>
        <v/>
      </c>
      <c r="X9" s="53" t="str">
        <f>IF(Tim!AY11=Sheet6!$C$2,Sheet6!$C$2,IF(Tim!AY11=Sheet6!$C$3,Sheet6!$C$3,IF(Tim!AY11=Sheet6!$C$4,Sheet6!$C$4,IF(Tim!AY11=Sheet6!$C$5,Sheet6!$C$5,IF(Tim!AY11=Sheet6!$C$6,Sheet6!$C$6,IF(Tim!AY11=Sheet6!$C$7,Sheet6!$C$7,IF(Tim!AY11=Sheet6!$C$8,Sheet6!$C$8,"")))))))</f>
        <v/>
      </c>
      <c r="Y9" s="57" t="str">
        <f>IF(Tim!AZ11=Sheet6!$C$2,Sheet6!$C$2,IF(Tim!AZ11=Sheet6!$C$3,Sheet6!$C$3,IF(Tim!AZ11=Sheet6!$C$4,Sheet6!$C$4,IF(Tim!AZ11=Sheet6!$C$5,Sheet6!$C$5,IF(Tim!AZ11=Sheet6!$C$6,Sheet6!$C$6,IF(Tim!AZ11=Sheet6!$C$7,Sheet6!$C$7,IF(Tim!AZ11=Sheet6!$C$8,Sheet6!$C$8,"")))))))</f>
        <v/>
      </c>
      <c r="Z9" s="57" t="str">
        <f>IF(Tim!BD11=Sheet6!$C$2,Sheet6!$C$2,IF(Tim!BD11=Sheet6!$C$3,Sheet6!$C$3,IF(Tim!BD11=Sheet6!$C$4,Sheet6!$C$4,IF(Tim!BD11=Sheet6!$C$5,Sheet6!$C$5,IF(Tim!BD11=Sheet6!$C$6,Sheet6!$C$6,IF(Tim!BD11=Sheet6!$C$7,Sheet6!$C$7,IF(Tim!BD11=Sheet6!$C$8,Sheet6!$C$8,"")))))))</f>
        <v/>
      </c>
      <c r="AA9" s="57" t="str">
        <f>IF(Tim!BE11=Sheet6!$C$2,Sheet6!$C$2,IF(Tim!BE11=Sheet6!$C$3,Sheet6!$C$3,IF(Tim!BE11=Sheet6!$C$4,Sheet6!$C$4,IF(Tim!BE11=Sheet6!$C$5,Sheet6!$C$5,IF(Tim!BE11=Sheet6!$C$6,Sheet6!$C$6,IF(Tim!BE11=Sheet6!$C$7,Sheet6!$C$7,IF(Tim!BE11=Sheet6!$C$8,Sheet6!$C$8,"")))))))</f>
        <v/>
      </c>
      <c r="AB9" s="57" t="str">
        <f>IF(Tim!BL11=Sheet6!$C$2,Sheet6!$C$2,IF(Tim!BL11=Sheet6!$C$3,Sheet6!$C$3,IF(Tim!BL11=Sheet6!$C$4,Sheet6!$C$4,IF(Tim!BL11=Sheet6!$C$5,Sheet6!$C$5,IF(Tim!BL11=Sheet6!$C$6,Sheet6!$C$6,IF(Tim!BL11=Sheet6!$C$7,Sheet6!$C$7,IF(Tim!BL11=Sheet6!$C$8,Sheet6!$C$8,"")))))))</f>
        <v/>
      </c>
      <c r="AC9" s="53" t="str">
        <f>IF(Tim!BT11=Sheet6!$C$2,Sheet6!$C$2,IF(Tim!BT11=Sheet6!$C$3,Sheet6!$C$3,IF(Tim!BT11=Sheet6!$C$4,Sheet6!$C$4,IF(Tim!BT11=Sheet6!$C$5,Sheet6!$C$5,IF(Tim!BT11=Sheet6!$C$6,Sheet6!$C$6,IF(Tim!BT11=Sheet6!$C$7,Sheet6!$C$7,IF(Tim!BT11=Sheet6!$C$8,Sheet6!$C$8,"")))))))</f>
        <v/>
      </c>
      <c r="AD9" s="53" t="str">
        <f>IF(Tim!BU11=Sheet6!$C$2,Sheet6!$C$2,IF(Tim!BU11=Sheet6!$C$3,Sheet6!$C$3,IF(Tim!BU11=Sheet6!$C$4,Sheet6!$C$4,IF(Tim!BU11=Sheet6!$C$5,Sheet6!$C$5,IF(Tim!BU11=Sheet6!$C$6,Sheet6!$C$6,IF(Tim!BU11=Sheet6!$C$7,Sheet6!$C$7,IF(Tim!BU11=Sheet6!$C$8,Sheet6!$C$8,"")))))))</f>
        <v/>
      </c>
      <c r="AE9" s="53" t="str">
        <f>IF(Tim!CB11=Sheet6!$C$2,Sheet6!$C$2,IF(Tim!CB11=Sheet6!$C$3,Sheet6!$C$3,IF(Tim!CB11=Sheet6!$C$4,Sheet6!$C$4,IF(Tim!CB11=Sheet6!$C$5,Sheet6!$C$5,IF(Tim!CB11=Sheet6!$C$6,Sheet6!$C$6,IF(Tim!CB11=Sheet6!$C$7,Sheet6!$C$7,IF(Tim!CB11=Sheet6!$C$8,Sheet6!$C$8,"")))))))</f>
        <v/>
      </c>
      <c r="AF9" s="53" t="str">
        <f>IF(Tim!CD11=Sheet6!$C$2,Sheet6!$C$2,IF(Tim!CD11=Sheet6!$C$3,Sheet6!$C$3,IF(Tim!CD11=Sheet6!$C$4,Sheet6!$C$4,IF(Tim!CD11=Sheet6!$C$5,Sheet6!$C$5,IF(Tim!CD11=Sheet6!$C$6,Sheet6!$C$6,IF(Tim!CD11=Sheet6!$C$7,Sheet6!$C$7,IF(Tim!CD11=Sheet6!$C$8,Sheet6!$C$8,"")))))))</f>
        <v/>
      </c>
      <c r="AG9" s="53" t="str">
        <f>IF(Tim!CE11=Sheet6!$C$2,Sheet6!$C$2,IF(Tim!CE11=Sheet6!$C$3,Sheet6!$C$3,IF(Tim!CE11=Sheet6!$C$4,Sheet6!$C$4,IF(Tim!CE11=Sheet6!$C$5,Sheet6!$C$5,IF(Tim!CE11=Sheet6!$C$6,Sheet6!$C$6,IF(Tim!CE11=Sheet6!$C$7,Sheet6!$C$7,IF(Tim!CE11=Sheet6!$C$8,Sheet6!$C$8,"")))))))</f>
        <v/>
      </c>
      <c r="AH9" s="53" t="str">
        <f>IF(Tim!CF11=Sheet6!$C$2,Sheet6!$C$2,IF(Tim!CF11=Sheet6!$C$3,Sheet6!$C$3,IF(Tim!CF11=Sheet6!$C$4,Sheet6!$C$4,IF(Tim!CF11=Sheet6!$C$5,Sheet6!$C$5,IF(Tim!CF11=Sheet6!$C$6,Sheet6!$C$6,IF(Tim!CF11=Sheet6!$C$7,Sheet6!$C$7,IF(Tim!CF11=Sheet6!$C$8,Sheet6!$C$8,"")))))))</f>
        <v/>
      </c>
      <c r="AI9" s="53" t="str">
        <f>IF(Tim!CG11=Sheet6!$C$2,Sheet6!$C$2,IF(Tim!CG11=Sheet6!$C$3,Sheet6!$C$3,IF(Tim!CG11=Sheet6!$C$4,Sheet6!$C$4,IF(Tim!CG11=Sheet6!$C$5,Sheet6!$C$5,IF(Tim!CG11=Sheet6!$C$6,Sheet6!$C$6,IF(Tim!CG11=Sheet6!$C$7,Sheet6!$C$7,IF(Tim!CG11=Sheet6!$C$8,Sheet6!$C$8,"")))))))</f>
        <v/>
      </c>
      <c r="AJ9" s="53" t="str">
        <f>IF(Tim!CH11=Sheet6!$C$2,Sheet6!$C$2,IF(Tim!CH11=Sheet6!$C$3,Sheet6!$C$3,IF(Tim!CH11=Sheet6!$C$4,Sheet6!$C$4,IF(Tim!CH11=Sheet6!$C$5,Sheet6!$C$5,IF(Tim!CH11=Sheet6!$C$6,Sheet6!$C$6,IF(Tim!CH11=Sheet6!$C$7,Sheet6!$C$7,IF(Tim!CH11=Sheet6!$C$8,Sheet6!$C$8,"")))))))</f>
        <v/>
      </c>
      <c r="AK9" s="53" t="str">
        <f>IF(Tim!CL11=Sheet6!$C$2,Sheet6!$C$2,IF(Tim!CL11=Sheet6!$C$3,Sheet6!$C$3,IF(Tim!CL11=Sheet6!$C$4,Sheet6!$C$4,IF(Tim!CL11=Sheet6!$C$5,Sheet6!$C$5,IF(Tim!CL11=Sheet6!$C$6,Sheet6!$C$6,IF(Tim!CL11=Sheet6!$C$7,Sheet6!$C$7,IF(Tim!CL11=Sheet6!$C$8,Sheet6!$C$8,"")))))))</f>
        <v/>
      </c>
      <c r="AL9" s="54" t="str">
        <f>IF(Tim!CM11=Sheet6!$C$2,Sheet6!$C$2,IF(Tim!CM11=Sheet6!$C$3,Sheet6!$C$3,IF(Tim!CM11=Sheet6!$C$4,Sheet6!$C$4,IF(Tim!CM11=Sheet6!$C$5,Sheet6!$C$5,IF(Tim!CM11=Sheet6!$C$6,Sheet6!$C$6,IF(Tim!CM11=Sheet6!$C$7,Sheet6!$C$7,IF(Tim!CM11=Sheet6!$C$8,Sheet6!$C$8,"")))))))</f>
        <v/>
      </c>
      <c r="AM9" s="54" t="str">
        <f>IF(Tim!CN11=Sheet6!$C$2,Sheet6!$C$2,IF(Tim!CN11=Sheet6!$C$3,Sheet6!$C$3,IF(Tim!CN11=Sheet6!$C$4,Sheet6!$C$4,IF(Tim!CN11=Sheet6!$C$5,Sheet6!$C$5,IF(Tim!CN11=Sheet6!$C$6,Sheet6!$C$6,IF(Tim!CN11=Sheet6!$C$7,Sheet6!$C$7,IF(Tim!CN11=Sheet6!$C$8,Sheet6!$C$8,"")))))))</f>
        <v/>
      </c>
      <c r="AN9" s="54" t="str">
        <f>IF(Tim!CO11=Sheet6!$C$2,Sheet6!$C$2,IF(Tim!CO11=Sheet6!$C$3,Sheet6!$C$3,IF(Tim!CO11=Sheet6!$C$4,Sheet6!$C$4,IF(Tim!CO11=Sheet6!$C$5,Sheet6!$C$5,IF(Tim!CO11=Sheet6!$C$6,Sheet6!$C$6,IF(Tim!CO11=Sheet6!$C$7,Sheet6!$C$7,IF(Tim!CO11=Sheet6!$C$8,Sheet6!$C$8,"")))))))</f>
        <v/>
      </c>
      <c r="AO9" s="55" t="str">
        <f>IF(Tim!CP11=Sheet6!$C$2,Sheet6!$C$2,IF(Tim!CP11=Sheet6!$C$3,Sheet6!$C$3,IF(Tim!CP11=Sheet6!$C$4,Sheet6!$C$4,IF(Tim!CP11=Sheet6!$C$5,Sheet6!$C$5,IF(Tim!CP11=Sheet6!$C$6,Sheet6!$C$6,IF(Tim!CP11=Sheet6!$C$7,Sheet6!$C$7,IF(Tim!CP11=Sheet6!$C$8,Sheet6!$C$8,"")))))))</f>
        <v/>
      </c>
      <c r="AP9" s="53" t="str">
        <f>IF(Tim!CQ11=Sheet6!$C$2,Sheet6!$C$2,IF(Tim!CQ11=Sheet6!$C$3,Sheet6!$C$3,IF(Tim!CQ11=Sheet6!$C$4,Sheet6!$C$4,IF(Tim!CQ11=Sheet6!$C$5,Sheet6!$C$5,IF(Tim!CQ11=Sheet6!$C$6,Sheet6!$C$6,IF(Tim!CQ11=Sheet6!$C$7,Sheet6!$C$7,IF(Tim!CQ11=Sheet6!$C$8,Sheet6!$C$8,"")))))))</f>
        <v/>
      </c>
      <c r="AQ9" s="57" t="str">
        <f>IF(Tim!CR11=Sheet6!$C$2,Sheet6!$C$2,IF(Tim!CR11=Sheet6!$C$3,Sheet6!$C$3,IF(Tim!CR11=Sheet6!$C$4,Sheet6!$C$4,IF(Tim!CR11=Sheet6!$C$5,Sheet6!$C$5,IF(Tim!CR11=Sheet6!$C$6,Sheet6!$C$6,IF(Tim!CR11=Sheet6!$C$7,Sheet6!$C$7,IF(Tim!CR11=Sheet6!$C$8,Sheet6!$C$8,"")))))))</f>
        <v/>
      </c>
      <c r="AR9" s="57" t="str">
        <f>IF(Tim!CV11=Sheet6!$C$2,Sheet6!$C$2,IF(Tim!CV11=Sheet6!$C$3,Sheet6!$C$3,IF(Tim!CV11=Sheet6!$C$4,Sheet6!$C$4,IF(Tim!CV11=Sheet6!$C$5,Sheet6!$C$5,IF(Tim!CV11=Sheet6!$C$6,Sheet6!$C$6,IF(Tim!CV11=Sheet6!$C$7,Sheet6!$C$7,IF(Tim!CV11=Sheet6!$C$8,Sheet6!$C$8,"")))))))</f>
        <v/>
      </c>
      <c r="AS9" s="57" t="str">
        <f>IF(Tim!CW11=Sheet6!$C$2,Sheet6!$C$2,IF(Tim!CW11=Sheet6!$C$3,Sheet6!$C$3,IF(Tim!CW11=Sheet6!$C$4,Sheet6!$C$4,IF(Tim!CW11=Sheet6!$C$5,Sheet6!$C$5,IF(Tim!CW11=Sheet6!$C$6,Sheet6!$C$6,IF(Tim!CW11=Sheet6!$C$7,Sheet6!$C$7,IF(Tim!CW11=Sheet6!$C$8,Sheet6!$C$8,"")))))))</f>
        <v/>
      </c>
      <c r="AT9" s="57" t="str">
        <f>IF(Tim!DA11=Sheet6!$C$2,Sheet6!$C$2,IF(Tim!DA11=Sheet6!$C$3,Sheet6!$C$3,IF(Tim!DA11=Sheet6!$C$4,Sheet6!$C$4,IF(Tim!DA11=Sheet6!$C$5,Sheet6!$C$5,IF(Tim!DA11=Sheet6!$C$6,Sheet6!$C$6,IF(Tim!DA11=Sheet6!$C$7,Sheet6!$C$7,IF(Tim!DA11=Sheet6!$C$8,Sheet6!$C$8,"")))))))</f>
        <v/>
      </c>
      <c r="AU9" s="53" t="str">
        <f>IF(Tim!DO11=Sheet6!$C$2,Sheet6!$C$2,IF(Tim!DO11=Sheet6!$C$3,Sheet6!$C$3,IF(Tim!DO11=Sheet6!$C$4,Sheet6!$C$4,IF(Tim!DO11=Sheet6!$C$5,Sheet6!$C$5,IF(Tim!DO11=Sheet6!$C$6,Sheet6!$C$6,IF(Tim!DO11=Sheet6!$C$7,Sheet6!$C$7,IF(Tim!DO11=Sheet6!$C$8,Sheet6!$C$8,"")))))))</f>
        <v/>
      </c>
      <c r="AV9" s="53" t="str">
        <f>IF(Tim!DP11=Sheet6!$C$2,Sheet6!$C$2,IF(Tim!DP11=Sheet6!$C$3,Sheet6!$C$3,IF(Tim!DP11=Sheet6!$C$4,Sheet6!$C$4,IF(Tim!DP11=Sheet6!$C$5,Sheet6!$C$5,IF(Tim!DP11=Sheet6!$C$6,Sheet6!$C$6,IF(Tim!DP11=Sheet6!$C$7,Sheet6!$C$7,IF(Tim!DP11=Sheet6!$C$8,Sheet6!$C$8,"")))))))</f>
        <v/>
      </c>
      <c r="AW9" s="53" t="str">
        <f>IF(Tim!DX11=Sheet6!$C$2,Sheet6!$C$2,IF(Tim!DX11=Sheet6!$C$3,Sheet6!$C$3,IF(Tim!DX11=Sheet6!$C$4,Sheet6!$C$4,IF(Tim!DX11=Sheet6!$C$5,Sheet6!$C$5,IF(Tim!DX11=Sheet6!$C$6,Sheet6!$C$6,IF(Tim!DX11=Sheet6!$C$7,Sheet6!$C$7,IF(Tim!DX11=Sheet6!$C$8,Sheet6!$C$8,"")))))))</f>
        <v/>
      </c>
      <c r="AX9" s="53" t="str">
        <f>IF(Tim!DY11=Sheet6!$C$2,Sheet6!$C$2,IF(Tim!DY11=Sheet6!$C$3,Sheet6!$C$3,IF(Tim!DY11=Sheet6!$C$4,Sheet6!$C$4,IF(Tim!DY11=Sheet6!$C$5,Sheet6!$C$5,IF(Tim!DY11=Sheet6!$C$6,Sheet6!$C$6,IF(Tim!DY11=Sheet6!$C$7,Sheet6!$C$7,IF(Tim!DY11=Sheet6!$C$8,Sheet6!$C$8,"")))))))</f>
        <v/>
      </c>
      <c r="AY9" s="53" t="str">
        <f>IF(Tim!DZ11=Sheet6!$C$2,Sheet6!$C$2,IF(Tim!DZ11=Sheet6!$C$3,Sheet6!$C$3,IF(Tim!DZ11=Sheet6!$C$4,Sheet6!$C$4,IF(Tim!DZ11=Sheet6!$C$5,Sheet6!$C$5,IF(Tim!DZ11=Sheet6!$C$6,Sheet6!$C$6,IF(Tim!DZ11=Sheet6!$C$7,Sheet6!$C$7,IF(Tim!DZ11=Sheet6!$C$8,Sheet6!$C$8,"")))))))</f>
        <v/>
      </c>
      <c r="AZ9" s="53" t="str">
        <f>IF(Tim!EA11=Sheet6!$C$2,Sheet6!$C$2,IF(Tim!EA11=Sheet6!$C$3,Sheet6!$C$3,IF(Tim!EA11=Sheet6!$C$4,Sheet6!$C$4,IF(Tim!EA11=Sheet6!$C$5,Sheet6!$C$5,IF(Tim!EA11=Sheet6!$C$6,Sheet6!$C$6,IF(Tim!EA11=Sheet6!$C$7,Sheet6!$C$7,IF(Tim!EA11=Sheet6!$C$8,Sheet6!$C$8,"")))))))</f>
        <v/>
      </c>
      <c r="BA9" s="53" t="str">
        <f>IF(Tim!EB11=Sheet6!$C$2,Sheet6!$C$2,IF(Tim!EB11=Sheet6!$C$3,Sheet6!$C$3,IF(Tim!EB11=Sheet6!$C$4,Sheet6!$C$4,IF(Tim!EB11=Sheet6!$C$5,Sheet6!$C$5,IF(Tim!EB11=Sheet6!$C$6,Sheet6!$C$6,IF(Tim!EB11=Sheet6!$C$7,Sheet6!$C$7,IF(Tim!EB11=Sheet6!$C$8,Sheet6!$C$8,"")))))))</f>
        <v/>
      </c>
      <c r="BB9" s="53" t="str">
        <f>IF(Tim!EC11=Sheet6!$C$2,Sheet6!$C$2,IF(Tim!EC11=Sheet6!$C$3,Sheet6!$C$3,IF(Tim!EC11=Sheet6!$C$4,Sheet6!$C$4,IF(Tim!EC11=Sheet6!$C$5,Sheet6!$C$5,IF(Tim!EC11=Sheet6!$C$6,Sheet6!$C$6,IF(Tim!EC11=Sheet6!$C$7,Sheet6!$C$7,IF(Tim!EC11=Sheet6!$C$8,Sheet6!$C$8,"")))))))</f>
        <v/>
      </c>
      <c r="BC9" s="53" t="str">
        <f>IF(Tim!EG11=Sheet6!$C$2,Sheet6!$C$2,IF(Tim!EG11=Sheet6!$C$3,Sheet6!$C$3,IF(Tim!EG11=Sheet6!$C$4,Sheet6!$C$4,IF(Tim!EG11=Sheet6!$C$5,Sheet6!$C$5,IF(Tim!EG11=Sheet6!$C$6,Sheet6!$C$6,IF(Tim!EG11=Sheet6!$C$7,Sheet6!$C$7,IF(Tim!EG11=Sheet6!$C$8,Sheet6!$C$8,"")))))))</f>
        <v/>
      </c>
      <c r="BD9" s="54" t="str">
        <f>IF(Tim!EH11=Sheet6!$C$2,Sheet6!$C$2,IF(Tim!EH11=Sheet6!$C$3,Sheet6!$C$3,IF(Tim!EH11=Sheet6!$C$4,Sheet6!$C$4,IF(Tim!EH11=Sheet6!$C$5,Sheet6!$C$5,IF(Tim!EH11=Sheet6!$C$6,Sheet6!$C$6,IF(Tim!EH11=Sheet6!$C$7,Sheet6!$C$7,IF(Tim!EH11=Sheet6!$C$8,Sheet6!$C$8,"")))))))</f>
        <v/>
      </c>
      <c r="BE9" s="54" t="str">
        <f>IF(Tim!EI11=Sheet6!$C$2,Sheet6!$C$2,IF(Tim!EI11=Sheet6!$C$3,Sheet6!$C$3,IF(Tim!EI11=Sheet6!$C$4,Sheet6!$C$4,IF(Tim!EI11=Sheet6!$C$5,Sheet6!$C$5,IF(Tim!EI11=Sheet6!$C$6,Sheet6!$C$6,IF(Tim!EI11=Sheet6!$C$7,Sheet6!$C$7,IF(Tim!EI11=Sheet6!$C$8,Sheet6!$C$8,"")))))))</f>
        <v/>
      </c>
      <c r="BF9" s="54" t="str">
        <f>IF(Tim!EJ11=Sheet6!$C$2,Sheet6!$C$2,IF(Tim!EJ11=Sheet6!$C$3,Sheet6!$C$3,IF(Tim!EJ11=Sheet6!$C$4,Sheet6!$C$4,IF(Tim!EJ11=Sheet6!$C$5,Sheet6!$C$5,IF(Tim!EJ11=Sheet6!$C$6,Sheet6!$C$6,IF(Tim!EJ11=Sheet6!$C$7,Sheet6!$C$7,IF(Tim!EJ11=Sheet6!$C$8,Sheet6!$C$8,"")))))))</f>
        <v/>
      </c>
      <c r="BG9" s="55" t="str">
        <f>IF(Tim!EK11=Sheet6!$C$2,Sheet6!$C$2,IF(Tim!EK11=Sheet6!$C$3,Sheet6!$C$3,IF(Tim!EK11=Sheet6!$C$4,Sheet6!$C$4,IF(Tim!EK11=Sheet6!$C$5,Sheet6!$C$5,IF(Tim!EK11=Sheet6!$C$6,Sheet6!$C$6,IF(Tim!EK11=Sheet6!$C$7,Sheet6!$C$7,IF(Tim!EK11=Sheet6!$C$8,Sheet6!$C$8,"")))))))</f>
        <v/>
      </c>
      <c r="BH9" s="53" t="str">
        <f>IF(Tim!EL11=Sheet6!$C$2,Sheet6!$C$2,IF(Tim!EL11=Sheet6!$C$3,Sheet6!$C$3,IF(Tim!EL11=Sheet6!$C$4,Sheet6!$C$4,IF(Tim!EL11=Sheet6!$C$5,Sheet6!$C$5,IF(Tim!EL11=Sheet6!$C$6,Sheet6!$C$6,IF(Tim!EL11=Sheet6!$C$7,Sheet6!$C$7,IF(Tim!EL11=Sheet6!$C$8,Sheet6!$C$8,"")))))))</f>
        <v/>
      </c>
      <c r="BI9" s="57" t="str">
        <f>IF(Tim!EM11=Sheet6!$C$2,Sheet6!$C$2,IF(Tim!EM11=Sheet6!$C$3,Sheet6!$C$3,IF(Tim!EM11=Sheet6!$C$4,Sheet6!$C$4,IF(Tim!EM11=Sheet6!$C$5,Sheet6!$C$5,IF(Tim!EM11=Sheet6!$C$6,Sheet6!$C$6,IF(Tim!EM11=Sheet6!$C$7,Sheet6!$C$7,IF(Tim!EM11=Sheet6!$C$8,Sheet6!$C$8,"")))))))</f>
        <v/>
      </c>
      <c r="BJ9" s="57" t="str">
        <f>IF(Tim!EQ11=Sheet6!$C$2,Sheet6!$C$2,IF(Tim!EQ11=Sheet6!$C$3,Sheet6!$C$3,IF(Tim!EQ11=Sheet6!$C$4,Sheet6!$C$4,IF(Tim!EQ11=Sheet6!$C$5,Sheet6!$C$5,IF(Tim!EQ11=Sheet6!$C$6,Sheet6!$C$6,IF(Tim!EQ11=Sheet6!$C$7,Sheet6!$C$7,IF(Tim!EQ11=Sheet6!$C$8,Sheet6!$C$8,"")))))))</f>
        <v/>
      </c>
      <c r="BK9" s="57" t="str">
        <f>IF(Tim!ER11=Sheet6!$C$2,Sheet6!$C$2,IF(Tim!ER11=Sheet6!$C$3,Sheet6!$C$3,IF(Tim!ER11=Sheet6!$C$4,Sheet6!$C$4,IF(Tim!ER11=Sheet6!$C$5,Sheet6!$C$5,IF(Tim!ER11=Sheet6!$C$6,Sheet6!$C$6,IF(Tim!ER11=Sheet6!$C$7,Sheet6!$C$7,IF(Tim!ER11=Sheet6!$C$8,Sheet6!$C$8,"")))))))</f>
        <v/>
      </c>
      <c r="BL9" s="57" t="str">
        <f>IF(Tim!EZ11=Sheet6!$C$2,Sheet6!$C$2,IF(Tim!EZ11=Sheet6!$C$3,Sheet6!$C$3,IF(Tim!EZ11=Sheet6!$C$4,Sheet6!$C$4,IF(Tim!EZ11=Sheet6!$C$5,Sheet6!$C$5,IF(Tim!EZ11=Sheet6!$C$6,Sheet6!$C$6,IF(Tim!EZ11=Sheet6!$C$7,Sheet6!$C$7,IF(Tim!EZ11=Sheet6!$C$8,Sheet6!$C$8,"")))))))</f>
        <v/>
      </c>
      <c r="BM9" s="53" t="str">
        <f>IF(Tim!FG11=Sheet6!$C$2,Sheet6!$C$2,IF(Tim!FG11=Sheet6!$C$3,Sheet6!$C$3,IF(Tim!FG11=Sheet6!$C$4,Sheet6!$C$4,IF(Tim!FG11=Sheet6!$C$5,Sheet6!$C$5,IF(Tim!FG11=Sheet6!$C$6,Sheet6!$C$6,IF(Tim!FG11=Sheet6!$C$7,Sheet6!$C$7,IF(Tim!FG11=Sheet6!$C$8,Sheet6!$C$8,"")))))))</f>
        <v/>
      </c>
      <c r="BN9" s="53" t="str">
        <f>IF(Tim!FH11=Sheet6!$C$2,Sheet6!$C$2,IF(Tim!FH11=Sheet6!$C$3,Sheet6!$C$3,IF(Tim!FH11=Sheet6!$C$4,Sheet6!$C$4,IF(Tim!FH11=Sheet6!$C$5,Sheet6!$C$5,IF(Tim!FH11=Sheet6!$C$6,Sheet6!$C$6,IF(Tim!FH11=Sheet6!$C$7,Sheet6!$C$7,IF(Tim!FH11=Sheet6!$C$8,Sheet6!$C$8,"")))))))</f>
        <v/>
      </c>
      <c r="BO9" s="53" t="str">
        <f>IF(Tim!FP11=Sheet6!$C$2,Sheet6!$C$2,IF(Tim!FP11=Sheet6!$C$3,Sheet6!$C$3,IF(Tim!FP11=Sheet6!$C$4,Sheet6!$C$4,IF(Tim!FP11=Sheet6!$C$5,Sheet6!$C$5,IF(Tim!FP11=Sheet6!$C$6,Sheet6!$C$6,IF(Tim!FP11=Sheet6!$C$7,Sheet6!$C$7,IF(Tim!FP11=Sheet6!$C$8,Sheet6!$C$8,"")))))))</f>
        <v/>
      </c>
      <c r="BP9" s="53" t="str">
        <f>IF(Tim!FQ11=Sheet6!$C$2,Sheet6!$C$2,IF(Tim!FQ11=Sheet6!$C$3,Sheet6!$C$3,IF(Tim!FQ11=Sheet6!$C$4,Sheet6!$C$4,IF(Tim!FQ11=Sheet6!$C$5,Sheet6!$C$5,IF(Tim!FQ11=Sheet6!$C$6,Sheet6!$C$6,IF(Tim!FQ11=Sheet6!$C$7,Sheet6!$C$7,IF(Tim!FQ11=Sheet6!$C$8,Sheet6!$C$8,"")))))))</f>
        <v/>
      </c>
      <c r="BQ9" s="53" t="str">
        <f>IF(Tim!FR11=Sheet6!$C$2,Sheet6!$C$2,IF(Tim!FR11=Sheet6!$C$3,Sheet6!$C$3,IF(Tim!FR11=Sheet6!$C$4,Sheet6!$C$4,IF(Tim!FR11=Sheet6!$C$5,Sheet6!$C$5,IF(Tim!FR11=Sheet6!$C$6,Sheet6!$C$6,IF(Tim!FR11=Sheet6!$C$7,Sheet6!$C$7,IF(Tim!FR11=Sheet6!$C$8,Sheet6!$C$8,"")))))))</f>
        <v/>
      </c>
      <c r="BR9" s="53" t="str">
        <f>IF(Tim!FS11=Sheet6!$C$2,Sheet6!$C$2,IF(Tim!FS11=Sheet6!$C$3,Sheet6!$C$3,IF(Tim!FS11=Sheet6!$C$4,Sheet6!$C$4,IF(Tim!FS11=Sheet6!$C$5,Sheet6!$C$5,IF(Tim!FS11=Sheet6!$C$6,Sheet6!$C$6,IF(Tim!FS11=Sheet6!$C$7,Sheet6!$C$7,IF(Tim!FS11=Sheet6!$C$8,Sheet6!$C$8,"")))))))</f>
        <v/>
      </c>
      <c r="BS9" s="53" t="str">
        <f>IF(Tim!FT11=Sheet6!$C$2,Sheet6!$C$2,IF(Tim!FT11=Sheet6!$C$3,Sheet6!$C$3,IF(Tim!FT11=Sheet6!$C$4,Sheet6!$C$4,IF(Tim!FT11=Sheet6!$C$5,Sheet6!$C$5,IF(Tim!FT11=Sheet6!$C$6,Sheet6!$C$6,IF(Tim!FT11=Sheet6!$C$7,Sheet6!$C$7,IF(Tim!FT11=Sheet6!$C$8,Sheet6!$C$8,"")))))))</f>
        <v/>
      </c>
      <c r="BT9" s="53" t="str">
        <f>IF(Tim!FU11=Sheet6!$C$2,Sheet6!$C$2,IF(Tim!FU11=Sheet6!$C$3,Sheet6!$C$3,IF(Tim!FU11=Sheet6!$C$4,Sheet6!$C$4,IF(Tim!FU11=Sheet6!$C$5,Sheet6!$C$5,IF(Tim!FU11=Sheet6!$C$6,Sheet6!$C$6,IF(Tim!FU11=Sheet6!$C$7,Sheet6!$C$7,IF(Tim!FU11=Sheet6!$C$8,Sheet6!$C$8,"")))))))</f>
        <v/>
      </c>
      <c r="BU9" s="54" t="str">
        <f>IF(Tim!FY11=Sheet6!$C$2,Sheet6!$C$2,IF(Tim!FY11=Sheet6!$C$3,Sheet6!$C$3,IF(Tim!FY11=Sheet6!$C$4,Sheet6!$C$4,IF(Tim!FY11=Sheet6!$C$5,Sheet6!$C$5,IF(Tim!FY11=Sheet6!$C$6,Sheet6!$C$6,IF(Tim!FY11=Sheet6!$C$7,Sheet6!$C$7,IF(Tim!FY11=Sheet6!$C$8,Sheet6!$C$8,"")))))))</f>
        <v/>
      </c>
      <c r="BV9" s="54" t="str">
        <f>IF(Tim!FZ11=Sheet6!$C$2,Sheet6!$C$2,IF(Tim!FZ11=Sheet6!$C$3,Sheet6!$C$3,IF(Tim!FZ11=Sheet6!$C$4,Sheet6!$C$4,IF(Tim!FZ11=Sheet6!$C$5,Sheet6!$C$5,IF(Tim!FZ11=Sheet6!$C$6,Sheet6!$C$6,IF(Tim!FZ11=Sheet6!$C$7,Sheet6!$C$7,IF(Tim!FZ11=Sheet6!$C$8,Sheet6!$C$8,"")))))))</f>
        <v/>
      </c>
      <c r="BW9" s="54" t="str">
        <f>IF(Tim!GA11=Sheet6!$C$2,Sheet6!$C$2,IF(Tim!GA11=Sheet6!$C$3,Sheet6!$C$3,IF(Tim!GA11=Sheet6!$C$4,Sheet6!$C$4,IF(Tim!GA11=Sheet6!$C$5,Sheet6!$C$5,IF(Tim!GA11=Sheet6!$C$6,Sheet6!$C$6,IF(Tim!GA11=Sheet6!$C$7,Sheet6!$C$7,IF(Tim!GA11=Sheet6!$C$8,Sheet6!$C$8,"")))))))</f>
        <v/>
      </c>
      <c r="BX9" s="54" t="str">
        <f>IF(Tim!GB11=Sheet6!$C$2,Sheet6!$C$2,IF(Tim!GB11=Sheet6!$C$3,Sheet6!$C$3,IF(Tim!GB11=Sheet6!$C$4,Sheet6!$C$4,IF(Tim!GB11=Sheet6!$C$5,Sheet6!$C$5,IF(Tim!GB11=Sheet6!$C$6,Sheet6!$C$6,IF(Tim!GB11=Sheet6!$C$7,Sheet6!$C$7,IF(Tim!GB11=Sheet6!$C$8,Sheet6!$C$8,"")))))))</f>
        <v/>
      </c>
      <c r="BY9" s="55" t="str">
        <f>IF(Tim!GC11=Sheet6!$C$2,Sheet6!$C$2,IF(Tim!GC11=Sheet6!$C$3,Sheet6!$C$3,IF(Tim!GC11=Sheet6!$C$4,Sheet6!$C$4,IF(Tim!GC11=Sheet6!$C$5,Sheet6!$C$5,IF(Tim!GC11=Sheet6!$C$6,Sheet6!$C$6,IF(Tim!GC11=Sheet6!$C$7,Sheet6!$C$7,IF(Tim!GC11=Sheet6!$C$8,Sheet6!$C$8,"")))))))</f>
        <v/>
      </c>
      <c r="BZ9" s="53" t="str">
        <f>IF(Tim!GD11=Sheet6!$C$2,Sheet6!$C$2,IF(Tim!GD11=Sheet6!$C$3,Sheet6!$C$3,IF(Tim!GD11=Sheet6!$C$4,Sheet6!$C$4,IF(Tim!GD11=Sheet6!$C$5,Sheet6!$C$5,IF(Tim!GD11=Sheet6!$C$6,Sheet6!$C$6,IF(Tim!GD11=Sheet6!$C$7,Sheet6!$C$7,IF(Tim!GD11=Sheet6!$C$8,Sheet6!$C$8,"")))))))</f>
        <v/>
      </c>
      <c r="CA9" s="57" t="str">
        <f>IF(Tim!GE11=Sheet6!$C$2,Sheet6!$C$2,IF(Tim!GE11=Sheet6!$C$3,Sheet6!$C$3,IF(Tim!GE11=Sheet6!$C$4,Sheet6!$C$4,IF(Tim!GE11=Sheet6!$C$5,Sheet6!$C$5,IF(Tim!GE11=Sheet6!$C$6,Sheet6!$C$6,IF(Tim!GE11=Sheet6!$C$7,Sheet6!$C$7,IF(Tim!GE11=Sheet6!$C$8,Sheet6!$C$8,"")))))))</f>
        <v/>
      </c>
      <c r="CB9" s="57" t="str">
        <f>IF(Tim!GI11=Sheet6!$C$2,Sheet6!$C$2,IF(Tim!GI11=Sheet6!$C$3,Sheet6!$C$3,IF(Tim!GI11=Sheet6!$C$4,Sheet6!$C$4,IF(Tim!GI11=Sheet6!$C$5,Sheet6!$C$5,IF(Tim!GI11=Sheet6!$C$6,Sheet6!$C$6,IF(Tim!GI11=Sheet6!$C$7,Sheet6!$C$7,IF(Tim!GI11=Sheet6!$C$8,Sheet6!$C$8,"")))))))</f>
        <v/>
      </c>
      <c r="CC9" s="57" t="str">
        <f>IF(Tim!GJ11=Sheet6!$C$2,Sheet6!$C$2,IF(Tim!GJ11=Sheet6!$C$3,Sheet6!$C$3,IF(Tim!GJ11=Sheet6!$C$4,Sheet6!$C$4,IF(Tim!GJ11=Sheet6!$C$5,Sheet6!$C$5,IF(Tim!GJ11=Sheet6!$C$6,Sheet6!$C$6,IF(Tim!GJ11=Sheet6!$C$7,Sheet6!$C$7,IF(Tim!GJ11=Sheet6!$C$8,Sheet6!$C$8,"")))))))</f>
        <v/>
      </c>
      <c r="CD9" s="57" t="str">
        <f>IF(Tim!GN11=Sheet6!$C$2,Sheet6!$C$2,IF(Tim!GN11=Sheet6!$C$3,Sheet6!$C$3,IF(Tim!GN11=Sheet6!$C$4,Sheet6!$C$4,IF(Tim!GN11=Sheet6!$C$5,Sheet6!$C$5,IF(Tim!GN11=Sheet6!$C$6,Sheet6!$C$6,IF(Tim!GN11=Sheet6!$C$7,Sheet6!$C$7,IF(Tim!GN11=Sheet6!$C$8,Sheet6!$C$8,"")))))))</f>
        <v/>
      </c>
      <c r="CE9" s="53" t="str">
        <f>IF(Tim!GY11=Sheet6!$C$2,Sheet6!$C$2,IF(Tim!GY11=Sheet6!$C$3,Sheet6!$C$3,IF(Tim!GY11=Sheet6!$C$4,Sheet6!$C$4,IF(Tim!GY11=Sheet6!$C$5,Sheet6!$C$5,IF(Tim!GY11=Sheet6!$C$6,Sheet6!$C$6,IF(Tim!GY11=Sheet6!$C$7,Sheet6!$C$7,IF(Tim!GY11=Sheet6!$C$8,Sheet6!$C$8,"")))))))</f>
        <v/>
      </c>
      <c r="CF9" s="53" t="str">
        <f>IF(Tim!GZ11=Sheet6!$C$2,Sheet6!$C$2,IF(Tim!GZ11=Sheet6!$C$3,Sheet6!$C$3,IF(Tim!GZ11=Sheet6!$C$4,Sheet6!$C$4,IF(Tim!GZ11=Sheet6!$C$5,Sheet6!$C$5,IF(Tim!GZ11=Sheet6!$C$6,Sheet6!$C$6,IF(Tim!GZ11=Sheet6!$C$7,Sheet6!$C$7,IF(Tim!GZ11=Sheet6!$C$8,Sheet6!$C$8,"")))))))</f>
        <v/>
      </c>
      <c r="CG9" s="53" t="str">
        <f>IF(Tim!HH11=Sheet6!$C$2,Sheet6!$C$2,IF(Tim!HH11=Sheet6!$C$3,Sheet6!$C$3,IF(Tim!HH11=Sheet6!$C$4,Sheet6!$C$4,IF(Tim!HH11=Sheet6!$C$5,Sheet6!$C$5,IF(Tim!HH11=Sheet6!$C$6,Sheet6!$C$6,IF(Tim!HH11=Sheet6!$C$7,Sheet6!$C$7,IF(Tim!HH11=Sheet6!$C$8,Sheet6!$C$8,"")))))))</f>
        <v/>
      </c>
      <c r="CH9" s="53" t="str">
        <f>IF(Tim!HI11=Sheet6!$C$2,Sheet6!$C$2,IF(Tim!HI11=Sheet6!$C$3,Sheet6!$C$3,IF(Tim!HI11=Sheet6!$C$4,Sheet6!$C$4,IF(Tim!HI11=Sheet6!$C$5,Sheet6!$C$5,IF(Tim!HI11=Sheet6!$C$6,Sheet6!$C$6,IF(Tim!HI11=Sheet6!$C$7,Sheet6!$C$7,IF(Tim!HI11=Sheet6!$C$8,Sheet6!$C$8,"")))))))</f>
        <v/>
      </c>
      <c r="CI9" s="53" t="str">
        <f>IF(Tim!HJ11=Sheet6!$C$2,Sheet6!$C$2,IF(Tim!HJ11=Sheet6!$C$3,Sheet6!$C$3,IF(Tim!HJ11=Sheet6!$C$4,Sheet6!$C$4,IF(Tim!HJ11=Sheet6!$C$5,Sheet6!$C$5,IF(Tim!HJ11=Sheet6!$C$6,Sheet6!$C$6,IF(Tim!HJ11=Sheet6!$C$7,Sheet6!$C$7,IF(Tim!HJ11=Sheet6!$C$8,Sheet6!$C$8,"")))))))</f>
        <v/>
      </c>
      <c r="CJ9" s="53" t="str">
        <f>IF(Tim!HK11=Sheet6!$C$2,Sheet6!$C$2,IF(Tim!HK11=Sheet6!$C$3,Sheet6!$C$3,IF(Tim!HK11=Sheet6!$C$4,Sheet6!$C$4,IF(Tim!HK11=Sheet6!$C$5,Sheet6!$C$5,IF(Tim!HK11=Sheet6!$C$6,Sheet6!$C$6,IF(Tim!HK11=Sheet6!$C$7,Sheet6!$C$7,IF(Tim!HK11=Sheet6!$C$8,Sheet6!$C$8,"")))))))</f>
        <v/>
      </c>
      <c r="CK9" s="53" t="str">
        <f>IF(Tim!HL11=Sheet6!$C$2,Sheet6!$C$2,IF(Tim!HL11=Sheet6!$C$3,Sheet6!$C$3,IF(Tim!HL11=Sheet6!$C$4,Sheet6!$C$4,IF(Tim!HL11=Sheet6!$C$5,Sheet6!$C$5,IF(Tim!HL11=Sheet6!$C$6,Sheet6!$C$6,IF(Tim!HL11=Sheet6!$C$7,Sheet6!$C$7,IF(Tim!HL11=Sheet6!$C$8,Sheet6!$C$8,"")))))))</f>
        <v/>
      </c>
      <c r="CL9" s="53" t="str">
        <f>IF(Tim!HM11=Sheet6!$C$2,Sheet6!$C$2,IF(Tim!HM11=Sheet6!$C$3,Sheet6!$C$3,IF(Tim!HM11=Sheet6!$C$4,Sheet6!$C$4,IF(Tim!HM11=Sheet6!$C$5,Sheet6!$C$5,IF(Tim!HM11=Sheet6!$C$6,Sheet6!$C$6,IF(Tim!HM11=Sheet6!$C$7,Sheet6!$C$7,IF(Tim!HM11=Sheet6!$C$8,Sheet6!$C$8,"")))))))</f>
        <v/>
      </c>
      <c r="CM9" s="53" t="str">
        <f>IF(Tim!HQ11=Sheet6!$C$2,Sheet6!$C$2,IF(Tim!HQ11=Sheet6!$C$3,Sheet6!$C$3,IF(Tim!HQ11=Sheet6!$C$4,Sheet6!$C$4,IF(Tim!HQ11=Sheet6!$C$5,Sheet6!$C$5,IF(Tim!HQ11=Sheet6!$C$6,Sheet6!$C$6,IF(Tim!HQ11=Sheet6!$C$7,Sheet6!$C$7,IF(Tim!HQ11=Sheet6!$C$8,Sheet6!$C$8,"")))))))</f>
        <v/>
      </c>
      <c r="CN9" s="54" t="str">
        <f>IF(Tim!HR11=Sheet6!$C$2,Sheet6!$C$2,IF(Tim!HR11=Sheet6!$C$3,Sheet6!$C$3,IF(Tim!HR11=Sheet6!$C$4,Sheet6!$C$4,IF(Tim!HR11=Sheet6!$C$5,Sheet6!$C$5,IF(Tim!HR11=Sheet6!$C$6,Sheet6!$C$6,IF(Tim!HR11=Sheet6!$C$7,Sheet6!$C$7,IF(Tim!HR11=Sheet6!$C$8,Sheet6!$C$8,"")))))))</f>
        <v/>
      </c>
      <c r="CO9" s="54" t="str">
        <f>IF(Tim!HS11=Sheet6!$C$2,Sheet6!$C$2,IF(Tim!HS11=Sheet6!$C$3,Sheet6!$C$3,IF(Tim!HS11=Sheet6!$C$4,Sheet6!$C$4,IF(Tim!HS11=Sheet6!$C$5,Sheet6!$C$5,IF(Tim!HS11=Sheet6!$C$6,Sheet6!$C$6,IF(Tim!HS11=Sheet6!$C$7,Sheet6!$C$7,IF(Tim!HS11=Sheet6!$C$8,Sheet6!$C$8,"")))))))</f>
        <v/>
      </c>
      <c r="CP9" s="54" t="str">
        <f>IF(Tim!HT11=Sheet6!$C$2,Sheet6!$C$2,IF(Tim!HT11=Sheet6!$C$3,Sheet6!$C$3,IF(Tim!HT11=Sheet6!$C$4,Sheet6!$C$4,IF(Tim!HT11=Sheet6!$C$5,Sheet6!$C$5,IF(Tim!HT11=Sheet6!$C$6,Sheet6!$C$6,IF(Tim!HT11=Sheet6!$C$7,Sheet6!$C$7,IF(Tim!HT11=Sheet6!$C$8,Sheet6!$C$8,"")))))))</f>
        <v/>
      </c>
      <c r="CQ9" s="55" t="str">
        <f>IF(Tim!HU11=Sheet6!$C$2,Sheet6!$C$2,IF(Tim!HU11=Sheet6!$C$3,Sheet6!$C$3,IF(Tim!HU11=Sheet6!$C$4,Sheet6!$C$4,IF(Tim!HU11=Sheet6!$C$5,Sheet6!$C$5,IF(Tim!HU11=Sheet6!$C$6,Sheet6!$C$6,IF(Tim!HU11=Sheet6!$C$7,Sheet6!$C$7,IF(Tim!HU11=Sheet6!$C$8,Sheet6!$C$8,"")))))))</f>
        <v/>
      </c>
      <c r="CR9" s="469"/>
      <c r="CS9" s="366"/>
      <c r="CT9" s="366"/>
      <c r="CU9" s="366"/>
      <c r="CV9" s="366"/>
      <c r="CW9" s="366"/>
      <c r="CX9" s="366"/>
      <c r="CY9" s="366"/>
      <c r="CZ9" s="366"/>
      <c r="DA9" s="366"/>
      <c r="DB9" s="366"/>
      <c r="DC9" s="366"/>
      <c r="DD9" s="366"/>
      <c r="DE9" s="366"/>
      <c r="DF9" s="366"/>
      <c r="DG9" s="428"/>
      <c r="DH9" s="469"/>
      <c r="DI9" s="366"/>
      <c r="DJ9" s="366"/>
      <c r="DK9" s="366"/>
      <c r="DL9" s="366"/>
      <c r="DM9" s="366"/>
      <c r="DN9" s="366"/>
      <c r="DO9" s="366"/>
      <c r="DP9" s="366"/>
      <c r="DQ9" s="366"/>
      <c r="DR9" s="366"/>
      <c r="DS9" s="366"/>
      <c r="DT9" s="366"/>
      <c r="DU9" s="366"/>
      <c r="DV9" s="366"/>
      <c r="DW9" s="428"/>
      <c r="DX9" s="52">
        <v>0.33333333333333298</v>
      </c>
    </row>
    <row r="10" spans="2:128" ht="10.5" customHeight="1">
      <c r="B10" s="51">
        <v>0.25</v>
      </c>
      <c r="C10" s="51">
        <v>0.25</v>
      </c>
      <c r="D10" s="51">
        <v>0.25</v>
      </c>
      <c r="E10" s="52">
        <v>0.34375</v>
      </c>
      <c r="F10" s="53" t="str">
        <f>IF(Tim!F12=Sheet6!$C$2,Sheet6!$C$2,IF(Tim!F12=Sheet6!$C$3,Sheet6!$C$3,IF(Tim!F12=Sheet6!$C$4,Sheet6!$C$4,IF(Tim!F12=Sheet6!$C$5,Sheet6!$C$5,IF(Tim!F12=Sheet6!$C$6,Sheet6!$C$6,IF(Tim!F12=Sheet6!$C$7,Sheet6!$C$7,IF(Tim!F12=Sheet6!$C$8,Sheet6!$C$8,"")))))))</f>
        <v/>
      </c>
      <c r="G10" s="53" t="str">
        <f>IF(Tim!G12=Sheet6!$C$2,Sheet6!$C$2,IF(Tim!G12=Sheet6!$C$3,Sheet6!$C$3,IF(Tim!G12=Sheet6!$C$4,Sheet6!$C$4,IF(Tim!G12=Sheet6!$C$5,Sheet6!$C$5,IF(Tim!G12=Sheet6!$C$6,Sheet6!$C$6,IF(Tim!G12=Sheet6!$C$7,Sheet6!$C$7,IF(Tim!G12=Sheet6!$C$8,Sheet6!$C$8,"")))))))</f>
        <v/>
      </c>
      <c r="H10" s="53" t="str">
        <f>IF(Tim!H12=Sheet6!$C$2,Sheet6!$C$2,IF(Tim!H12=Sheet6!$C$3,Sheet6!$C$3,IF(Tim!H12=Sheet6!$C$4,Sheet6!$C$4,IF(Tim!H12=Sheet6!$C$5,Sheet6!$C$5,IF(Tim!H12=Sheet6!$C$6,Sheet6!$C$6,IF(Tim!H12=Sheet6!$C$7,Sheet6!$C$7,IF(Tim!H12=Sheet6!$C$8,Sheet6!$C$8,"")))))))</f>
        <v/>
      </c>
      <c r="I10" s="53" t="str">
        <f>IF(Tim!L12=Sheet6!$C$2,Sheet6!$C$2,IF(Tim!L12=Sheet6!$C$3,Sheet6!$C$3,IF(Tim!L12=Sheet6!$C$4,Sheet6!$C$4,IF(Tim!L12=Sheet6!$C$5,Sheet6!$C$5,IF(Tim!L12=Sheet6!$C$6,Sheet6!$C$6,IF(Tim!L12=Sheet6!$C$7,Sheet6!$C$7,IF(Tim!L12=Sheet6!$C$8,Sheet6!$C$8,"")))))))</f>
        <v/>
      </c>
      <c r="J10" s="53" t="str">
        <f>IF(Tim!T12=Sheet6!$C$2,Sheet6!$C$2,IF(Tim!T12=Sheet6!$C$3,Sheet6!$C$3,IF(Tim!T12=Sheet6!$C$4,Sheet6!$C$4,IF(Tim!T12=Sheet6!$C$5,Sheet6!$C$5,IF(Tim!T12=Sheet6!$C$6,Sheet6!$C$6,IF(Tim!T12=Sheet6!$C$7,Sheet6!$C$7,IF(Tim!T12=Sheet6!$C$8,Sheet6!$C$8,"")))))))</f>
        <v/>
      </c>
      <c r="K10" s="53" t="str">
        <f>IF(Tim!AB12=Sheet6!$C$2,Sheet6!$C$2,IF(Tim!AB12=Sheet6!$C$3,Sheet6!$C$3,IF(Tim!AB12=Sheet6!$C$4,Sheet6!$C$4,IF(Tim!AB12=Sheet6!$C$5,Sheet6!$C$5,IF(Tim!AB12=Sheet6!$C$6,Sheet6!$C$6,IF(Tim!AB12=Sheet6!$C$7,Sheet6!$C$7,IF(Tim!AB12=Sheet6!$C$8,Sheet6!$C$8,"")))))))</f>
        <v/>
      </c>
      <c r="L10" s="53" t="str">
        <f>IF(Tim!AC12=Sheet6!$C$2,Sheet6!$C$2,IF(Tim!AC12=Sheet6!$C$3,Sheet6!$C$3,IF(Tim!AC12=Sheet6!$C$4,Sheet6!$C$4,IF(Tim!AC12=Sheet6!$C$5,Sheet6!$C$5,IF(Tim!AC12=Sheet6!$C$6,Sheet6!$C$6,IF(Tim!AC12=Sheet6!$C$7,Sheet6!$C$7,IF(Tim!AC12=Sheet6!$C$8,Sheet6!$C$8,"")))))))</f>
        <v/>
      </c>
      <c r="M10" s="53" t="str">
        <f>IF(Tim!AJ12=Sheet6!$C$2,Sheet6!$C$2,IF(Tim!AJ12=Sheet6!$C$3,Sheet6!$C$3,IF(Tim!AJ12=Sheet6!$C$4,Sheet6!$C$4,IF(Tim!AJ12=Sheet6!$C$5,Sheet6!$C$5,IF(Tim!AJ12=Sheet6!$C$6,Sheet6!$C$6,IF(Tim!AJ12=Sheet6!$C$7,Sheet6!$C$7,IF(Tim!AJ12=Sheet6!$C$8,Sheet6!$C$8,"")))))))</f>
        <v/>
      </c>
      <c r="N10" s="53" t="str">
        <f>IF(Tim!AK12=Sheet6!$C$2,Sheet6!$C$2,IF(Tim!AK12=Sheet6!$C$3,Sheet6!$C$3,IF(Tim!AK12=Sheet6!$C$4,Sheet6!$C$4,IF(Tim!AK12=Sheet6!$C$5,Sheet6!$C$5,IF(Tim!AK12=Sheet6!$C$6,Sheet6!$C$6,IF(Tim!AK12=Sheet6!$C$7,Sheet6!$C$7,IF(Tim!AK12=Sheet6!$C$8,Sheet6!$C$8,"")))))))</f>
        <v/>
      </c>
      <c r="O10" s="53" t="str">
        <f>IF(Tim!AL12=Sheet6!$C$2,Sheet6!$C$2,IF(Tim!AL12=Sheet6!$C$3,Sheet6!$C$3,IF(Tim!AL12=Sheet6!$C$4,Sheet6!$C$4,IF(Tim!AL12=Sheet6!$C$5,Sheet6!$C$5,IF(Tim!AL12=Sheet6!$C$6,Sheet6!$C$6,IF(Tim!AL12=Sheet6!$C$7,Sheet6!$C$7,IF(Tim!AL12=Sheet6!$C$8,Sheet6!$C$8,"")))))))</f>
        <v/>
      </c>
      <c r="P10" s="53" t="str">
        <f>IF(Tim!AN12=Sheet6!$C$2,Sheet6!$C$2,IF(Tim!AN12=Sheet6!$C$3,Sheet6!$C$3,IF(Tim!AN12=Sheet6!$C$4,Sheet6!$C$4,IF(Tim!AN12=Sheet6!$C$5,Sheet6!$C$5,IF(Tim!AN12=Sheet6!$C$6,Sheet6!$C$6,IF(Tim!AN12=Sheet6!$C$7,Sheet6!$C$7,IF(Tim!AN12=Sheet6!$C$8,Sheet6!$C$8,"")))))))</f>
        <v/>
      </c>
      <c r="Q10" s="53" t="str">
        <f>IF(Tim!AO12=Sheet6!$C$2,Sheet6!$C$2,IF(Tim!AO12=Sheet6!$C$3,Sheet6!$C$3,IF(Tim!AO12=Sheet6!$C$4,Sheet6!$C$4,IF(Tim!AO12=Sheet6!$C$5,Sheet6!$C$5,IF(Tim!AO12=Sheet6!$C$6,Sheet6!$C$6,IF(Tim!AO12=Sheet6!$C$7,Sheet6!$C$7,IF(Tim!AO12=Sheet6!$C$8,Sheet6!$C$8,"")))))))</f>
        <v/>
      </c>
      <c r="R10" s="53" t="str">
        <f>IF(Tim!AP12=Sheet6!$C$2,Sheet6!$C$2,IF(Tim!AP12=Sheet6!$C$3,Sheet6!$C$3,IF(Tim!AP12=Sheet6!$C$4,Sheet6!$C$4,IF(Tim!AP12=Sheet6!$C$5,Sheet6!$C$5,IF(Tim!AP12=Sheet6!$C$6,Sheet6!$C$6,IF(Tim!AP12=Sheet6!$C$7,Sheet6!$C$7,IF(Tim!AP12=Sheet6!$C$8,Sheet6!$C$8,"")))))))</f>
        <v/>
      </c>
      <c r="S10" s="53" t="str">
        <f>IF(Tim!AT12=Sheet6!$C$2,Sheet6!$C$2,IF(Tim!AT12=Sheet6!$C$3,Sheet6!$C$3,IF(Tim!AT12=Sheet6!$C$4,Sheet6!$C$4,IF(Tim!AT12=Sheet6!$C$5,Sheet6!$C$5,IF(Tim!AT12=Sheet6!$C$6,Sheet6!$C$6,IF(Tim!AT12=Sheet6!$C$7,Sheet6!$C$7,IF(Tim!AT12=Sheet6!$C$8,Sheet6!$C$8,"")))))))</f>
        <v/>
      </c>
      <c r="T10" s="54" t="str">
        <f>IF(Tim!AU12=Sheet6!$C$2,Sheet6!$C$2,IF(Tim!AU12=Sheet6!$C$3,Sheet6!$C$3,IF(Tim!AU12=Sheet6!$C$4,Sheet6!$C$4,IF(Tim!AU12=Sheet6!$C$5,Sheet6!$C$5,IF(Tim!AU12=Sheet6!$C$6,Sheet6!$C$6,IF(Tim!AU12=Sheet6!$C$7,Sheet6!$C$7,IF(Tim!AU12=Sheet6!$C$8,Sheet6!$C$8,"")))))))</f>
        <v/>
      </c>
      <c r="U10" s="54" t="str">
        <f>IF(Tim!AV12=Sheet6!$C$2,Sheet6!$C$2,IF(Tim!AV12=Sheet6!$C$3,Sheet6!$C$3,IF(Tim!AV12=Sheet6!$C$4,Sheet6!$C$4,IF(Tim!AV12=Sheet6!$C$5,Sheet6!$C$5,IF(Tim!AV12=Sheet6!$C$6,Sheet6!$C$6,IF(Tim!AV12=Sheet6!$C$7,Sheet6!$C$7,IF(Tim!AV12=Sheet6!$C$8,Sheet6!$C$8,"")))))))</f>
        <v/>
      </c>
      <c r="V10" s="54" t="str">
        <f>IF(Tim!AW12=Sheet6!$C$2,Sheet6!$C$2,IF(Tim!AW12=Sheet6!$C$3,Sheet6!$C$3,IF(Tim!AW12=Sheet6!$C$4,Sheet6!$C$4,IF(Tim!AW12=Sheet6!$C$5,Sheet6!$C$5,IF(Tim!AW12=Sheet6!$C$6,Sheet6!$C$6,IF(Tim!AW12=Sheet6!$C$7,Sheet6!$C$7,IF(Tim!AW12=Sheet6!$C$8,Sheet6!$C$8,"")))))))</f>
        <v/>
      </c>
      <c r="W10" s="55" t="str">
        <f>IF(Tim!AX12=Sheet6!$C$2,Sheet6!$C$2,IF(Tim!AX12=Sheet6!$C$3,Sheet6!$C$3,IF(Tim!AX12=Sheet6!$C$4,Sheet6!$C$4,IF(Tim!AX12=Sheet6!$C$5,Sheet6!$C$5,IF(Tim!AX12=Sheet6!$C$6,Sheet6!$C$6,IF(Tim!AX12=Sheet6!$C$7,Sheet6!$C$7,IF(Tim!AX12=Sheet6!$C$8,Sheet6!$C$8,"")))))))</f>
        <v/>
      </c>
      <c r="X10" s="53" t="str">
        <f>IF(Tim!AY12=Sheet6!$C$2,Sheet6!$C$2,IF(Tim!AY12=Sheet6!$C$3,Sheet6!$C$3,IF(Tim!AY12=Sheet6!$C$4,Sheet6!$C$4,IF(Tim!AY12=Sheet6!$C$5,Sheet6!$C$5,IF(Tim!AY12=Sheet6!$C$6,Sheet6!$C$6,IF(Tim!AY12=Sheet6!$C$7,Sheet6!$C$7,IF(Tim!AY12=Sheet6!$C$8,Sheet6!$C$8,"")))))))</f>
        <v/>
      </c>
      <c r="Y10" s="57" t="str">
        <f>IF(Tim!AZ12=Sheet6!$C$2,Sheet6!$C$2,IF(Tim!AZ12=Sheet6!$C$3,Sheet6!$C$3,IF(Tim!AZ12=Sheet6!$C$4,Sheet6!$C$4,IF(Tim!AZ12=Sheet6!$C$5,Sheet6!$C$5,IF(Tim!AZ12=Sheet6!$C$6,Sheet6!$C$6,IF(Tim!AZ12=Sheet6!$C$7,Sheet6!$C$7,IF(Tim!AZ12=Sheet6!$C$8,Sheet6!$C$8,"")))))))</f>
        <v/>
      </c>
      <c r="Z10" s="57" t="str">
        <f>IF(Tim!BD12=Sheet6!$C$2,Sheet6!$C$2,IF(Tim!BD12=Sheet6!$C$3,Sheet6!$C$3,IF(Tim!BD12=Sheet6!$C$4,Sheet6!$C$4,IF(Tim!BD12=Sheet6!$C$5,Sheet6!$C$5,IF(Tim!BD12=Sheet6!$C$6,Sheet6!$C$6,IF(Tim!BD12=Sheet6!$C$7,Sheet6!$C$7,IF(Tim!BD12=Sheet6!$C$8,Sheet6!$C$8,"")))))))</f>
        <v/>
      </c>
      <c r="AA10" s="57" t="str">
        <f>IF(Tim!BE12=Sheet6!$C$2,Sheet6!$C$2,IF(Tim!BE12=Sheet6!$C$3,Sheet6!$C$3,IF(Tim!BE12=Sheet6!$C$4,Sheet6!$C$4,IF(Tim!BE12=Sheet6!$C$5,Sheet6!$C$5,IF(Tim!BE12=Sheet6!$C$6,Sheet6!$C$6,IF(Tim!BE12=Sheet6!$C$7,Sheet6!$C$7,IF(Tim!BE12=Sheet6!$C$8,Sheet6!$C$8,"")))))))</f>
        <v/>
      </c>
      <c r="AB10" s="57" t="str">
        <f>IF(Tim!BL12=Sheet6!$C$2,Sheet6!$C$2,IF(Tim!BL12=Sheet6!$C$3,Sheet6!$C$3,IF(Tim!BL12=Sheet6!$C$4,Sheet6!$C$4,IF(Tim!BL12=Sheet6!$C$5,Sheet6!$C$5,IF(Tim!BL12=Sheet6!$C$6,Sheet6!$C$6,IF(Tim!BL12=Sheet6!$C$7,Sheet6!$C$7,IF(Tim!BL12=Sheet6!$C$8,Sheet6!$C$8,"")))))))</f>
        <v/>
      </c>
      <c r="AC10" s="53" t="str">
        <f>IF(Tim!BT12=Sheet6!$C$2,Sheet6!$C$2,IF(Tim!BT12=Sheet6!$C$3,Sheet6!$C$3,IF(Tim!BT12=Sheet6!$C$4,Sheet6!$C$4,IF(Tim!BT12=Sheet6!$C$5,Sheet6!$C$5,IF(Tim!BT12=Sheet6!$C$6,Sheet6!$C$6,IF(Tim!BT12=Sheet6!$C$7,Sheet6!$C$7,IF(Tim!BT12=Sheet6!$C$8,Sheet6!$C$8,"")))))))</f>
        <v/>
      </c>
      <c r="AD10" s="53" t="str">
        <f>IF(Tim!BU12=Sheet6!$C$2,Sheet6!$C$2,IF(Tim!BU12=Sheet6!$C$3,Sheet6!$C$3,IF(Tim!BU12=Sheet6!$C$4,Sheet6!$C$4,IF(Tim!BU12=Sheet6!$C$5,Sheet6!$C$5,IF(Tim!BU12=Sheet6!$C$6,Sheet6!$C$6,IF(Tim!BU12=Sheet6!$C$7,Sheet6!$C$7,IF(Tim!BU12=Sheet6!$C$8,Sheet6!$C$8,"")))))))</f>
        <v/>
      </c>
      <c r="AE10" s="53" t="str">
        <f>IF(Tim!CB12=Sheet6!$C$2,Sheet6!$C$2,IF(Tim!CB12=Sheet6!$C$3,Sheet6!$C$3,IF(Tim!CB12=Sheet6!$C$4,Sheet6!$C$4,IF(Tim!CB12=Sheet6!$C$5,Sheet6!$C$5,IF(Tim!CB12=Sheet6!$C$6,Sheet6!$C$6,IF(Tim!CB12=Sheet6!$C$7,Sheet6!$C$7,IF(Tim!CB12=Sheet6!$C$8,Sheet6!$C$8,"")))))))</f>
        <v/>
      </c>
      <c r="AF10" s="53" t="str">
        <f>IF(Tim!CD12=Sheet6!$C$2,Sheet6!$C$2,IF(Tim!CD12=Sheet6!$C$3,Sheet6!$C$3,IF(Tim!CD12=Sheet6!$C$4,Sheet6!$C$4,IF(Tim!CD12=Sheet6!$C$5,Sheet6!$C$5,IF(Tim!CD12=Sheet6!$C$6,Sheet6!$C$6,IF(Tim!CD12=Sheet6!$C$7,Sheet6!$C$7,IF(Tim!CD12=Sheet6!$C$8,Sheet6!$C$8,"")))))))</f>
        <v/>
      </c>
      <c r="AG10" s="53" t="str">
        <f>IF(Tim!CE12=Sheet6!$C$2,Sheet6!$C$2,IF(Tim!CE12=Sheet6!$C$3,Sheet6!$C$3,IF(Tim!CE12=Sheet6!$C$4,Sheet6!$C$4,IF(Tim!CE12=Sheet6!$C$5,Sheet6!$C$5,IF(Tim!CE12=Sheet6!$C$6,Sheet6!$C$6,IF(Tim!CE12=Sheet6!$C$7,Sheet6!$C$7,IF(Tim!CE12=Sheet6!$C$8,Sheet6!$C$8,"")))))))</f>
        <v/>
      </c>
      <c r="AH10" s="53" t="str">
        <f>IF(Tim!CF12=Sheet6!$C$2,Sheet6!$C$2,IF(Tim!CF12=Sheet6!$C$3,Sheet6!$C$3,IF(Tim!CF12=Sheet6!$C$4,Sheet6!$C$4,IF(Tim!CF12=Sheet6!$C$5,Sheet6!$C$5,IF(Tim!CF12=Sheet6!$C$6,Sheet6!$C$6,IF(Tim!CF12=Sheet6!$C$7,Sheet6!$C$7,IF(Tim!CF12=Sheet6!$C$8,Sheet6!$C$8,"")))))))</f>
        <v/>
      </c>
      <c r="AI10" s="53" t="str">
        <f>IF(Tim!CG12=Sheet6!$C$2,Sheet6!$C$2,IF(Tim!CG12=Sheet6!$C$3,Sheet6!$C$3,IF(Tim!CG12=Sheet6!$C$4,Sheet6!$C$4,IF(Tim!CG12=Sheet6!$C$5,Sheet6!$C$5,IF(Tim!CG12=Sheet6!$C$6,Sheet6!$C$6,IF(Tim!CG12=Sheet6!$C$7,Sheet6!$C$7,IF(Tim!CG12=Sheet6!$C$8,Sheet6!$C$8,"")))))))</f>
        <v/>
      </c>
      <c r="AJ10" s="53" t="str">
        <f>IF(Tim!CH12=Sheet6!$C$2,Sheet6!$C$2,IF(Tim!CH12=Sheet6!$C$3,Sheet6!$C$3,IF(Tim!CH12=Sheet6!$C$4,Sheet6!$C$4,IF(Tim!CH12=Sheet6!$C$5,Sheet6!$C$5,IF(Tim!CH12=Sheet6!$C$6,Sheet6!$C$6,IF(Tim!CH12=Sheet6!$C$7,Sheet6!$C$7,IF(Tim!CH12=Sheet6!$C$8,Sheet6!$C$8,"")))))))</f>
        <v/>
      </c>
      <c r="AK10" s="53" t="str">
        <f>IF(Tim!CL12=Sheet6!$C$2,Sheet6!$C$2,IF(Tim!CL12=Sheet6!$C$3,Sheet6!$C$3,IF(Tim!CL12=Sheet6!$C$4,Sheet6!$C$4,IF(Tim!CL12=Sheet6!$C$5,Sheet6!$C$5,IF(Tim!CL12=Sheet6!$C$6,Sheet6!$C$6,IF(Tim!CL12=Sheet6!$C$7,Sheet6!$C$7,IF(Tim!CL12=Sheet6!$C$8,Sheet6!$C$8,"")))))))</f>
        <v/>
      </c>
      <c r="AL10" s="54" t="str">
        <f>IF(Tim!CM12=Sheet6!$C$2,Sheet6!$C$2,IF(Tim!CM12=Sheet6!$C$3,Sheet6!$C$3,IF(Tim!CM12=Sheet6!$C$4,Sheet6!$C$4,IF(Tim!CM12=Sheet6!$C$5,Sheet6!$C$5,IF(Tim!CM12=Sheet6!$C$6,Sheet6!$C$6,IF(Tim!CM12=Sheet6!$C$7,Sheet6!$C$7,IF(Tim!CM12=Sheet6!$C$8,Sheet6!$C$8,"")))))))</f>
        <v/>
      </c>
      <c r="AM10" s="54" t="str">
        <f>IF(Tim!CN12=Sheet6!$C$2,Sheet6!$C$2,IF(Tim!CN12=Sheet6!$C$3,Sheet6!$C$3,IF(Tim!CN12=Sheet6!$C$4,Sheet6!$C$4,IF(Tim!CN12=Sheet6!$C$5,Sheet6!$C$5,IF(Tim!CN12=Sheet6!$C$6,Sheet6!$C$6,IF(Tim!CN12=Sheet6!$C$7,Sheet6!$C$7,IF(Tim!CN12=Sheet6!$C$8,Sheet6!$C$8,"")))))))</f>
        <v/>
      </c>
      <c r="AN10" s="54" t="str">
        <f>IF(Tim!CO12=Sheet6!$C$2,Sheet6!$C$2,IF(Tim!CO12=Sheet6!$C$3,Sheet6!$C$3,IF(Tim!CO12=Sheet6!$C$4,Sheet6!$C$4,IF(Tim!CO12=Sheet6!$C$5,Sheet6!$C$5,IF(Tim!CO12=Sheet6!$C$6,Sheet6!$C$6,IF(Tim!CO12=Sheet6!$C$7,Sheet6!$C$7,IF(Tim!CO12=Sheet6!$C$8,Sheet6!$C$8,"")))))))</f>
        <v/>
      </c>
      <c r="AO10" s="55" t="str">
        <f>IF(Tim!CP12=Sheet6!$C$2,Sheet6!$C$2,IF(Tim!CP12=Sheet6!$C$3,Sheet6!$C$3,IF(Tim!CP12=Sheet6!$C$4,Sheet6!$C$4,IF(Tim!CP12=Sheet6!$C$5,Sheet6!$C$5,IF(Tim!CP12=Sheet6!$C$6,Sheet6!$C$6,IF(Tim!CP12=Sheet6!$C$7,Sheet6!$C$7,IF(Tim!CP12=Sheet6!$C$8,Sheet6!$C$8,"")))))))</f>
        <v/>
      </c>
      <c r="AP10" s="53" t="str">
        <f>IF(Tim!CQ12=Sheet6!$C$2,Sheet6!$C$2,IF(Tim!CQ12=Sheet6!$C$3,Sheet6!$C$3,IF(Tim!CQ12=Sheet6!$C$4,Sheet6!$C$4,IF(Tim!CQ12=Sheet6!$C$5,Sheet6!$C$5,IF(Tim!CQ12=Sheet6!$C$6,Sheet6!$C$6,IF(Tim!CQ12=Sheet6!$C$7,Sheet6!$C$7,IF(Tim!CQ12=Sheet6!$C$8,Sheet6!$C$8,"")))))))</f>
        <v/>
      </c>
      <c r="AQ10" s="57" t="str">
        <f>IF(Tim!CR12=Sheet6!$C$2,Sheet6!$C$2,IF(Tim!CR12=Sheet6!$C$3,Sheet6!$C$3,IF(Tim!CR12=Sheet6!$C$4,Sheet6!$C$4,IF(Tim!CR12=Sheet6!$C$5,Sheet6!$C$5,IF(Tim!CR12=Sheet6!$C$6,Sheet6!$C$6,IF(Tim!CR12=Sheet6!$C$7,Sheet6!$C$7,IF(Tim!CR12=Sheet6!$C$8,Sheet6!$C$8,"")))))))</f>
        <v/>
      </c>
      <c r="AR10" s="57" t="str">
        <f>IF(Tim!CV12=Sheet6!$C$2,Sheet6!$C$2,IF(Tim!CV12=Sheet6!$C$3,Sheet6!$C$3,IF(Tim!CV12=Sheet6!$C$4,Sheet6!$C$4,IF(Tim!CV12=Sheet6!$C$5,Sheet6!$C$5,IF(Tim!CV12=Sheet6!$C$6,Sheet6!$C$6,IF(Tim!CV12=Sheet6!$C$7,Sheet6!$C$7,IF(Tim!CV12=Sheet6!$C$8,Sheet6!$C$8,"")))))))</f>
        <v/>
      </c>
      <c r="AS10" s="57" t="str">
        <f>IF(Tim!CW12=Sheet6!$C$2,Sheet6!$C$2,IF(Tim!CW12=Sheet6!$C$3,Sheet6!$C$3,IF(Tim!CW12=Sheet6!$C$4,Sheet6!$C$4,IF(Tim!CW12=Sheet6!$C$5,Sheet6!$C$5,IF(Tim!CW12=Sheet6!$C$6,Sheet6!$C$6,IF(Tim!CW12=Sheet6!$C$7,Sheet6!$C$7,IF(Tim!CW12=Sheet6!$C$8,Sheet6!$C$8,"")))))))</f>
        <v/>
      </c>
      <c r="AT10" s="57" t="str">
        <f>IF(Tim!DA12=Sheet6!$C$2,Sheet6!$C$2,IF(Tim!DA12=Sheet6!$C$3,Sheet6!$C$3,IF(Tim!DA12=Sheet6!$C$4,Sheet6!$C$4,IF(Tim!DA12=Sheet6!$C$5,Sheet6!$C$5,IF(Tim!DA12=Sheet6!$C$6,Sheet6!$C$6,IF(Tim!DA12=Sheet6!$C$7,Sheet6!$C$7,IF(Tim!DA12=Sheet6!$C$8,Sheet6!$C$8,"")))))))</f>
        <v/>
      </c>
      <c r="AU10" s="53" t="str">
        <f>IF(Tim!DO12=Sheet6!$C$2,Sheet6!$C$2,IF(Tim!DO12=Sheet6!$C$3,Sheet6!$C$3,IF(Tim!DO12=Sheet6!$C$4,Sheet6!$C$4,IF(Tim!DO12=Sheet6!$C$5,Sheet6!$C$5,IF(Tim!DO12=Sheet6!$C$6,Sheet6!$C$6,IF(Tim!DO12=Sheet6!$C$7,Sheet6!$C$7,IF(Tim!DO12=Sheet6!$C$8,Sheet6!$C$8,"")))))))</f>
        <v/>
      </c>
      <c r="AV10" s="53" t="str">
        <f>IF(Tim!DP12=Sheet6!$C$2,Sheet6!$C$2,IF(Tim!DP12=Sheet6!$C$3,Sheet6!$C$3,IF(Tim!DP12=Sheet6!$C$4,Sheet6!$C$4,IF(Tim!DP12=Sheet6!$C$5,Sheet6!$C$5,IF(Tim!DP12=Sheet6!$C$6,Sheet6!$C$6,IF(Tim!DP12=Sheet6!$C$7,Sheet6!$C$7,IF(Tim!DP12=Sheet6!$C$8,Sheet6!$C$8,"")))))))</f>
        <v/>
      </c>
      <c r="AW10" s="53" t="str">
        <f>IF(Tim!DX12=Sheet6!$C$2,Sheet6!$C$2,IF(Tim!DX12=Sheet6!$C$3,Sheet6!$C$3,IF(Tim!DX12=Sheet6!$C$4,Sheet6!$C$4,IF(Tim!DX12=Sheet6!$C$5,Sheet6!$C$5,IF(Tim!DX12=Sheet6!$C$6,Sheet6!$C$6,IF(Tim!DX12=Sheet6!$C$7,Sheet6!$C$7,IF(Tim!DX12=Sheet6!$C$8,Sheet6!$C$8,"")))))))</f>
        <v/>
      </c>
      <c r="AX10" s="53" t="str">
        <f>IF(Tim!DY12=Sheet6!$C$2,Sheet6!$C$2,IF(Tim!DY12=Sheet6!$C$3,Sheet6!$C$3,IF(Tim!DY12=Sheet6!$C$4,Sheet6!$C$4,IF(Tim!DY12=Sheet6!$C$5,Sheet6!$C$5,IF(Tim!DY12=Sheet6!$C$6,Sheet6!$C$6,IF(Tim!DY12=Sheet6!$C$7,Sheet6!$C$7,IF(Tim!DY12=Sheet6!$C$8,Sheet6!$C$8,"")))))))</f>
        <v/>
      </c>
      <c r="AY10" s="53" t="str">
        <f>IF(Tim!DZ12=Sheet6!$C$2,Sheet6!$C$2,IF(Tim!DZ12=Sheet6!$C$3,Sheet6!$C$3,IF(Tim!DZ12=Sheet6!$C$4,Sheet6!$C$4,IF(Tim!DZ12=Sheet6!$C$5,Sheet6!$C$5,IF(Tim!DZ12=Sheet6!$C$6,Sheet6!$C$6,IF(Tim!DZ12=Sheet6!$C$7,Sheet6!$C$7,IF(Tim!DZ12=Sheet6!$C$8,Sheet6!$C$8,"")))))))</f>
        <v/>
      </c>
      <c r="AZ10" s="53" t="str">
        <f>IF(Tim!EA12=Sheet6!$C$2,Sheet6!$C$2,IF(Tim!EA12=Sheet6!$C$3,Sheet6!$C$3,IF(Tim!EA12=Sheet6!$C$4,Sheet6!$C$4,IF(Tim!EA12=Sheet6!$C$5,Sheet6!$C$5,IF(Tim!EA12=Sheet6!$C$6,Sheet6!$C$6,IF(Tim!EA12=Sheet6!$C$7,Sheet6!$C$7,IF(Tim!EA12=Sheet6!$C$8,Sheet6!$C$8,"")))))))</f>
        <v/>
      </c>
      <c r="BA10" s="53" t="str">
        <f>IF(Tim!EB12=Sheet6!$C$2,Sheet6!$C$2,IF(Tim!EB12=Sheet6!$C$3,Sheet6!$C$3,IF(Tim!EB12=Sheet6!$C$4,Sheet6!$C$4,IF(Tim!EB12=Sheet6!$C$5,Sheet6!$C$5,IF(Tim!EB12=Sheet6!$C$6,Sheet6!$C$6,IF(Tim!EB12=Sheet6!$C$7,Sheet6!$C$7,IF(Tim!EB12=Sheet6!$C$8,Sheet6!$C$8,"")))))))</f>
        <v/>
      </c>
      <c r="BB10" s="53" t="str">
        <f>IF(Tim!EC12=Sheet6!$C$2,Sheet6!$C$2,IF(Tim!EC12=Sheet6!$C$3,Sheet6!$C$3,IF(Tim!EC12=Sheet6!$C$4,Sheet6!$C$4,IF(Tim!EC12=Sheet6!$C$5,Sheet6!$C$5,IF(Tim!EC12=Sheet6!$C$6,Sheet6!$C$6,IF(Tim!EC12=Sheet6!$C$7,Sheet6!$C$7,IF(Tim!EC12=Sheet6!$C$8,Sheet6!$C$8,"")))))))</f>
        <v/>
      </c>
      <c r="BC10" s="53" t="str">
        <f>IF(Tim!EG12=Sheet6!$C$2,Sheet6!$C$2,IF(Tim!EG12=Sheet6!$C$3,Sheet6!$C$3,IF(Tim!EG12=Sheet6!$C$4,Sheet6!$C$4,IF(Tim!EG12=Sheet6!$C$5,Sheet6!$C$5,IF(Tim!EG12=Sheet6!$C$6,Sheet6!$C$6,IF(Tim!EG12=Sheet6!$C$7,Sheet6!$C$7,IF(Tim!EG12=Sheet6!$C$8,Sheet6!$C$8,"")))))))</f>
        <v/>
      </c>
      <c r="BD10" s="54" t="str">
        <f>IF(Tim!EH12=Sheet6!$C$2,Sheet6!$C$2,IF(Tim!EH12=Sheet6!$C$3,Sheet6!$C$3,IF(Tim!EH12=Sheet6!$C$4,Sheet6!$C$4,IF(Tim!EH12=Sheet6!$C$5,Sheet6!$C$5,IF(Tim!EH12=Sheet6!$C$6,Sheet6!$C$6,IF(Tim!EH12=Sheet6!$C$7,Sheet6!$C$7,IF(Tim!EH12=Sheet6!$C$8,Sheet6!$C$8,"")))))))</f>
        <v/>
      </c>
      <c r="BE10" s="54" t="str">
        <f>IF(Tim!EI12=Sheet6!$C$2,Sheet6!$C$2,IF(Tim!EI12=Sheet6!$C$3,Sheet6!$C$3,IF(Tim!EI12=Sheet6!$C$4,Sheet6!$C$4,IF(Tim!EI12=Sheet6!$C$5,Sheet6!$C$5,IF(Tim!EI12=Sheet6!$C$6,Sheet6!$C$6,IF(Tim!EI12=Sheet6!$C$7,Sheet6!$C$7,IF(Tim!EI12=Sheet6!$C$8,Sheet6!$C$8,"")))))))</f>
        <v/>
      </c>
      <c r="BF10" s="54" t="str">
        <f>IF(Tim!EJ12=Sheet6!$C$2,Sheet6!$C$2,IF(Tim!EJ12=Sheet6!$C$3,Sheet6!$C$3,IF(Tim!EJ12=Sheet6!$C$4,Sheet6!$C$4,IF(Tim!EJ12=Sheet6!$C$5,Sheet6!$C$5,IF(Tim!EJ12=Sheet6!$C$6,Sheet6!$C$6,IF(Tim!EJ12=Sheet6!$C$7,Sheet6!$C$7,IF(Tim!EJ12=Sheet6!$C$8,Sheet6!$C$8,"")))))))</f>
        <v/>
      </c>
      <c r="BG10" s="55" t="str">
        <f>IF(Tim!EK12=Sheet6!$C$2,Sheet6!$C$2,IF(Tim!EK12=Sheet6!$C$3,Sheet6!$C$3,IF(Tim!EK12=Sheet6!$C$4,Sheet6!$C$4,IF(Tim!EK12=Sheet6!$C$5,Sheet6!$C$5,IF(Tim!EK12=Sheet6!$C$6,Sheet6!$C$6,IF(Tim!EK12=Sheet6!$C$7,Sheet6!$C$7,IF(Tim!EK12=Sheet6!$C$8,Sheet6!$C$8,"")))))))</f>
        <v/>
      </c>
      <c r="BH10" s="53" t="str">
        <f>IF(Tim!EL12=Sheet6!$C$2,Sheet6!$C$2,IF(Tim!EL12=Sheet6!$C$3,Sheet6!$C$3,IF(Tim!EL12=Sheet6!$C$4,Sheet6!$C$4,IF(Tim!EL12=Sheet6!$C$5,Sheet6!$C$5,IF(Tim!EL12=Sheet6!$C$6,Sheet6!$C$6,IF(Tim!EL12=Sheet6!$C$7,Sheet6!$C$7,IF(Tim!EL12=Sheet6!$C$8,Sheet6!$C$8,"")))))))</f>
        <v/>
      </c>
      <c r="BI10" s="57" t="str">
        <f>IF(Tim!EM12=Sheet6!$C$2,Sheet6!$C$2,IF(Tim!EM12=Sheet6!$C$3,Sheet6!$C$3,IF(Tim!EM12=Sheet6!$C$4,Sheet6!$C$4,IF(Tim!EM12=Sheet6!$C$5,Sheet6!$C$5,IF(Tim!EM12=Sheet6!$C$6,Sheet6!$C$6,IF(Tim!EM12=Sheet6!$C$7,Sheet6!$C$7,IF(Tim!EM12=Sheet6!$C$8,Sheet6!$C$8,"")))))))</f>
        <v/>
      </c>
      <c r="BJ10" s="57" t="str">
        <f>IF(Tim!EQ12=Sheet6!$C$2,Sheet6!$C$2,IF(Tim!EQ12=Sheet6!$C$3,Sheet6!$C$3,IF(Tim!EQ12=Sheet6!$C$4,Sheet6!$C$4,IF(Tim!EQ12=Sheet6!$C$5,Sheet6!$C$5,IF(Tim!EQ12=Sheet6!$C$6,Sheet6!$C$6,IF(Tim!EQ12=Sheet6!$C$7,Sheet6!$C$7,IF(Tim!EQ12=Sheet6!$C$8,Sheet6!$C$8,"")))))))</f>
        <v/>
      </c>
      <c r="BK10" s="57" t="str">
        <f>IF(Tim!ER12=Sheet6!$C$2,Sheet6!$C$2,IF(Tim!ER12=Sheet6!$C$3,Sheet6!$C$3,IF(Tim!ER12=Sheet6!$C$4,Sheet6!$C$4,IF(Tim!ER12=Sheet6!$C$5,Sheet6!$C$5,IF(Tim!ER12=Sheet6!$C$6,Sheet6!$C$6,IF(Tim!ER12=Sheet6!$C$7,Sheet6!$C$7,IF(Tim!ER12=Sheet6!$C$8,Sheet6!$C$8,"")))))))</f>
        <v/>
      </c>
      <c r="BL10" s="57" t="str">
        <f>IF(Tim!EZ12=Sheet6!$C$2,Sheet6!$C$2,IF(Tim!EZ12=Sheet6!$C$3,Sheet6!$C$3,IF(Tim!EZ12=Sheet6!$C$4,Sheet6!$C$4,IF(Tim!EZ12=Sheet6!$C$5,Sheet6!$C$5,IF(Tim!EZ12=Sheet6!$C$6,Sheet6!$C$6,IF(Tim!EZ12=Sheet6!$C$7,Sheet6!$C$7,IF(Tim!EZ12=Sheet6!$C$8,Sheet6!$C$8,"")))))))</f>
        <v/>
      </c>
      <c r="BM10" s="53" t="str">
        <f>IF(Tim!FG12=Sheet6!$C$2,Sheet6!$C$2,IF(Tim!FG12=Sheet6!$C$3,Sheet6!$C$3,IF(Tim!FG12=Sheet6!$C$4,Sheet6!$C$4,IF(Tim!FG12=Sheet6!$C$5,Sheet6!$C$5,IF(Tim!FG12=Sheet6!$C$6,Sheet6!$C$6,IF(Tim!FG12=Sheet6!$C$7,Sheet6!$C$7,IF(Tim!FG12=Sheet6!$C$8,Sheet6!$C$8,"")))))))</f>
        <v/>
      </c>
      <c r="BN10" s="53" t="str">
        <f>IF(Tim!FH12=Sheet6!$C$2,Sheet6!$C$2,IF(Tim!FH12=Sheet6!$C$3,Sheet6!$C$3,IF(Tim!FH12=Sheet6!$C$4,Sheet6!$C$4,IF(Tim!FH12=Sheet6!$C$5,Sheet6!$C$5,IF(Tim!FH12=Sheet6!$C$6,Sheet6!$C$6,IF(Tim!FH12=Sheet6!$C$7,Sheet6!$C$7,IF(Tim!FH12=Sheet6!$C$8,Sheet6!$C$8,"")))))))</f>
        <v/>
      </c>
      <c r="BO10" s="53" t="str">
        <f>IF(Tim!FP12=Sheet6!$C$2,Sheet6!$C$2,IF(Tim!FP12=Sheet6!$C$3,Sheet6!$C$3,IF(Tim!FP12=Sheet6!$C$4,Sheet6!$C$4,IF(Tim!FP12=Sheet6!$C$5,Sheet6!$C$5,IF(Tim!FP12=Sheet6!$C$6,Sheet6!$C$6,IF(Tim!FP12=Sheet6!$C$7,Sheet6!$C$7,IF(Tim!FP12=Sheet6!$C$8,Sheet6!$C$8,"")))))))</f>
        <v/>
      </c>
      <c r="BP10" s="53" t="str">
        <f>IF(Tim!FQ12=Sheet6!$C$2,Sheet6!$C$2,IF(Tim!FQ12=Sheet6!$C$3,Sheet6!$C$3,IF(Tim!FQ12=Sheet6!$C$4,Sheet6!$C$4,IF(Tim!FQ12=Sheet6!$C$5,Sheet6!$C$5,IF(Tim!FQ12=Sheet6!$C$6,Sheet6!$C$6,IF(Tim!FQ12=Sheet6!$C$7,Sheet6!$C$7,IF(Tim!FQ12=Sheet6!$C$8,Sheet6!$C$8,"")))))))</f>
        <v/>
      </c>
      <c r="BQ10" s="53" t="str">
        <f>IF(Tim!FR12=Sheet6!$C$2,Sheet6!$C$2,IF(Tim!FR12=Sheet6!$C$3,Sheet6!$C$3,IF(Tim!FR12=Sheet6!$C$4,Sheet6!$C$4,IF(Tim!FR12=Sheet6!$C$5,Sheet6!$C$5,IF(Tim!FR12=Sheet6!$C$6,Sheet6!$C$6,IF(Tim!FR12=Sheet6!$C$7,Sheet6!$C$7,IF(Tim!FR12=Sheet6!$C$8,Sheet6!$C$8,"")))))))</f>
        <v/>
      </c>
      <c r="BR10" s="53" t="str">
        <f>IF(Tim!FS12=Sheet6!$C$2,Sheet6!$C$2,IF(Tim!FS12=Sheet6!$C$3,Sheet6!$C$3,IF(Tim!FS12=Sheet6!$C$4,Sheet6!$C$4,IF(Tim!FS12=Sheet6!$C$5,Sheet6!$C$5,IF(Tim!FS12=Sheet6!$C$6,Sheet6!$C$6,IF(Tim!FS12=Sheet6!$C$7,Sheet6!$C$7,IF(Tim!FS12=Sheet6!$C$8,Sheet6!$C$8,"")))))))</f>
        <v/>
      </c>
      <c r="BS10" s="53" t="str">
        <f>IF(Tim!FT12=Sheet6!$C$2,Sheet6!$C$2,IF(Tim!FT12=Sheet6!$C$3,Sheet6!$C$3,IF(Tim!FT12=Sheet6!$C$4,Sheet6!$C$4,IF(Tim!FT12=Sheet6!$C$5,Sheet6!$C$5,IF(Tim!FT12=Sheet6!$C$6,Sheet6!$C$6,IF(Tim!FT12=Sheet6!$C$7,Sheet6!$C$7,IF(Tim!FT12=Sheet6!$C$8,Sheet6!$C$8,"")))))))</f>
        <v/>
      </c>
      <c r="BT10" s="53" t="str">
        <f>IF(Tim!FU12=Sheet6!$C$2,Sheet6!$C$2,IF(Tim!FU12=Sheet6!$C$3,Sheet6!$C$3,IF(Tim!FU12=Sheet6!$C$4,Sheet6!$C$4,IF(Tim!FU12=Sheet6!$C$5,Sheet6!$C$5,IF(Tim!FU12=Sheet6!$C$6,Sheet6!$C$6,IF(Tim!FU12=Sheet6!$C$7,Sheet6!$C$7,IF(Tim!FU12=Sheet6!$C$8,Sheet6!$C$8,"")))))))</f>
        <v/>
      </c>
      <c r="BU10" s="54" t="str">
        <f>IF(Tim!FY12=Sheet6!$C$2,Sheet6!$C$2,IF(Tim!FY12=Sheet6!$C$3,Sheet6!$C$3,IF(Tim!FY12=Sheet6!$C$4,Sheet6!$C$4,IF(Tim!FY12=Sheet6!$C$5,Sheet6!$C$5,IF(Tim!FY12=Sheet6!$C$6,Sheet6!$C$6,IF(Tim!FY12=Sheet6!$C$7,Sheet6!$C$7,IF(Tim!FY12=Sheet6!$C$8,Sheet6!$C$8,"")))))))</f>
        <v/>
      </c>
      <c r="BV10" s="54" t="str">
        <f>IF(Tim!FZ12=Sheet6!$C$2,Sheet6!$C$2,IF(Tim!FZ12=Sheet6!$C$3,Sheet6!$C$3,IF(Tim!FZ12=Sheet6!$C$4,Sheet6!$C$4,IF(Tim!FZ12=Sheet6!$C$5,Sheet6!$C$5,IF(Tim!FZ12=Sheet6!$C$6,Sheet6!$C$6,IF(Tim!FZ12=Sheet6!$C$7,Sheet6!$C$7,IF(Tim!FZ12=Sheet6!$C$8,Sheet6!$C$8,"")))))))</f>
        <v/>
      </c>
      <c r="BW10" s="54" t="str">
        <f>IF(Tim!GA12=Sheet6!$C$2,Sheet6!$C$2,IF(Tim!GA12=Sheet6!$C$3,Sheet6!$C$3,IF(Tim!GA12=Sheet6!$C$4,Sheet6!$C$4,IF(Tim!GA12=Sheet6!$C$5,Sheet6!$C$5,IF(Tim!GA12=Sheet6!$C$6,Sheet6!$C$6,IF(Tim!GA12=Sheet6!$C$7,Sheet6!$C$7,IF(Tim!GA12=Sheet6!$C$8,Sheet6!$C$8,"")))))))</f>
        <v/>
      </c>
      <c r="BX10" s="54" t="str">
        <f>IF(Tim!GB12=Sheet6!$C$2,Sheet6!$C$2,IF(Tim!GB12=Sheet6!$C$3,Sheet6!$C$3,IF(Tim!GB12=Sheet6!$C$4,Sheet6!$C$4,IF(Tim!GB12=Sheet6!$C$5,Sheet6!$C$5,IF(Tim!GB12=Sheet6!$C$6,Sheet6!$C$6,IF(Tim!GB12=Sheet6!$C$7,Sheet6!$C$7,IF(Tim!GB12=Sheet6!$C$8,Sheet6!$C$8,"")))))))</f>
        <v/>
      </c>
      <c r="BY10" s="55" t="str">
        <f>IF(Tim!GC12=Sheet6!$C$2,Sheet6!$C$2,IF(Tim!GC12=Sheet6!$C$3,Sheet6!$C$3,IF(Tim!GC12=Sheet6!$C$4,Sheet6!$C$4,IF(Tim!GC12=Sheet6!$C$5,Sheet6!$C$5,IF(Tim!GC12=Sheet6!$C$6,Sheet6!$C$6,IF(Tim!GC12=Sheet6!$C$7,Sheet6!$C$7,IF(Tim!GC12=Sheet6!$C$8,Sheet6!$C$8,"")))))))</f>
        <v/>
      </c>
      <c r="BZ10" s="53" t="str">
        <f>IF(Tim!GD12=Sheet6!$C$2,Sheet6!$C$2,IF(Tim!GD12=Sheet6!$C$3,Sheet6!$C$3,IF(Tim!GD12=Sheet6!$C$4,Sheet6!$C$4,IF(Tim!GD12=Sheet6!$C$5,Sheet6!$C$5,IF(Tim!GD12=Sheet6!$C$6,Sheet6!$C$6,IF(Tim!GD12=Sheet6!$C$7,Sheet6!$C$7,IF(Tim!GD12=Sheet6!$C$8,Sheet6!$C$8,"")))))))</f>
        <v/>
      </c>
      <c r="CA10" s="57" t="str">
        <f>IF(Tim!GE12=Sheet6!$C$2,Sheet6!$C$2,IF(Tim!GE12=Sheet6!$C$3,Sheet6!$C$3,IF(Tim!GE12=Sheet6!$C$4,Sheet6!$C$4,IF(Tim!GE12=Sheet6!$C$5,Sheet6!$C$5,IF(Tim!GE12=Sheet6!$C$6,Sheet6!$C$6,IF(Tim!GE12=Sheet6!$C$7,Sheet6!$C$7,IF(Tim!GE12=Sheet6!$C$8,Sheet6!$C$8,"")))))))</f>
        <v/>
      </c>
      <c r="CB10" s="57" t="str">
        <f>IF(Tim!GI12=Sheet6!$C$2,Sheet6!$C$2,IF(Tim!GI12=Sheet6!$C$3,Sheet6!$C$3,IF(Tim!GI12=Sheet6!$C$4,Sheet6!$C$4,IF(Tim!GI12=Sheet6!$C$5,Sheet6!$C$5,IF(Tim!GI12=Sheet6!$C$6,Sheet6!$C$6,IF(Tim!GI12=Sheet6!$C$7,Sheet6!$C$7,IF(Tim!GI12=Sheet6!$C$8,Sheet6!$C$8,"")))))))</f>
        <v/>
      </c>
      <c r="CC10" s="57" t="str">
        <f>IF(Tim!GJ12=Sheet6!$C$2,Sheet6!$C$2,IF(Tim!GJ12=Sheet6!$C$3,Sheet6!$C$3,IF(Tim!GJ12=Sheet6!$C$4,Sheet6!$C$4,IF(Tim!GJ12=Sheet6!$C$5,Sheet6!$C$5,IF(Tim!GJ12=Sheet6!$C$6,Sheet6!$C$6,IF(Tim!GJ12=Sheet6!$C$7,Sheet6!$C$7,IF(Tim!GJ12=Sheet6!$C$8,Sheet6!$C$8,"")))))))</f>
        <v/>
      </c>
      <c r="CD10" s="57" t="str">
        <f>IF(Tim!GN12=Sheet6!$C$2,Sheet6!$C$2,IF(Tim!GN12=Sheet6!$C$3,Sheet6!$C$3,IF(Tim!GN12=Sheet6!$C$4,Sheet6!$C$4,IF(Tim!GN12=Sheet6!$C$5,Sheet6!$C$5,IF(Tim!GN12=Sheet6!$C$6,Sheet6!$C$6,IF(Tim!GN12=Sheet6!$C$7,Sheet6!$C$7,IF(Tim!GN12=Sheet6!$C$8,Sheet6!$C$8,"")))))))</f>
        <v/>
      </c>
      <c r="CE10" s="53" t="str">
        <f>IF(Tim!GY12=Sheet6!$C$2,Sheet6!$C$2,IF(Tim!GY12=Sheet6!$C$3,Sheet6!$C$3,IF(Tim!GY12=Sheet6!$C$4,Sheet6!$C$4,IF(Tim!GY12=Sheet6!$C$5,Sheet6!$C$5,IF(Tim!GY12=Sheet6!$C$6,Sheet6!$C$6,IF(Tim!GY12=Sheet6!$C$7,Sheet6!$C$7,IF(Tim!GY12=Sheet6!$C$8,Sheet6!$C$8,"")))))))</f>
        <v/>
      </c>
      <c r="CF10" s="53" t="str">
        <f>IF(Tim!GZ12=Sheet6!$C$2,Sheet6!$C$2,IF(Tim!GZ12=Sheet6!$C$3,Sheet6!$C$3,IF(Tim!GZ12=Sheet6!$C$4,Sheet6!$C$4,IF(Tim!GZ12=Sheet6!$C$5,Sheet6!$C$5,IF(Tim!GZ12=Sheet6!$C$6,Sheet6!$C$6,IF(Tim!GZ12=Sheet6!$C$7,Sheet6!$C$7,IF(Tim!GZ12=Sheet6!$C$8,Sheet6!$C$8,"")))))))</f>
        <v/>
      </c>
      <c r="CG10" s="53" t="str">
        <f>IF(Tim!HH12=Sheet6!$C$2,Sheet6!$C$2,IF(Tim!HH12=Sheet6!$C$3,Sheet6!$C$3,IF(Tim!HH12=Sheet6!$C$4,Sheet6!$C$4,IF(Tim!HH12=Sheet6!$C$5,Sheet6!$C$5,IF(Tim!HH12=Sheet6!$C$6,Sheet6!$C$6,IF(Tim!HH12=Sheet6!$C$7,Sheet6!$C$7,IF(Tim!HH12=Sheet6!$C$8,Sheet6!$C$8,"")))))))</f>
        <v/>
      </c>
      <c r="CH10" s="53" t="str">
        <f>IF(Tim!HI12=Sheet6!$C$2,Sheet6!$C$2,IF(Tim!HI12=Sheet6!$C$3,Sheet6!$C$3,IF(Tim!HI12=Sheet6!$C$4,Sheet6!$C$4,IF(Tim!HI12=Sheet6!$C$5,Sheet6!$C$5,IF(Tim!HI12=Sheet6!$C$6,Sheet6!$C$6,IF(Tim!HI12=Sheet6!$C$7,Sheet6!$C$7,IF(Tim!HI12=Sheet6!$C$8,Sheet6!$C$8,"")))))))</f>
        <v/>
      </c>
      <c r="CI10" s="53" t="str">
        <f>IF(Tim!HJ12=Sheet6!$C$2,Sheet6!$C$2,IF(Tim!HJ12=Sheet6!$C$3,Sheet6!$C$3,IF(Tim!HJ12=Sheet6!$C$4,Sheet6!$C$4,IF(Tim!HJ12=Sheet6!$C$5,Sheet6!$C$5,IF(Tim!HJ12=Sheet6!$C$6,Sheet6!$C$6,IF(Tim!HJ12=Sheet6!$C$7,Sheet6!$C$7,IF(Tim!HJ12=Sheet6!$C$8,Sheet6!$C$8,"")))))))</f>
        <v/>
      </c>
      <c r="CJ10" s="53" t="str">
        <f>IF(Tim!HK12=Sheet6!$C$2,Sheet6!$C$2,IF(Tim!HK12=Sheet6!$C$3,Sheet6!$C$3,IF(Tim!HK12=Sheet6!$C$4,Sheet6!$C$4,IF(Tim!HK12=Sheet6!$C$5,Sheet6!$C$5,IF(Tim!HK12=Sheet6!$C$6,Sheet6!$C$6,IF(Tim!HK12=Sheet6!$C$7,Sheet6!$C$7,IF(Tim!HK12=Sheet6!$C$8,Sheet6!$C$8,"")))))))</f>
        <v/>
      </c>
      <c r="CK10" s="53" t="str">
        <f>IF(Tim!HL12=Sheet6!$C$2,Sheet6!$C$2,IF(Tim!HL12=Sheet6!$C$3,Sheet6!$C$3,IF(Tim!HL12=Sheet6!$C$4,Sheet6!$C$4,IF(Tim!HL12=Sheet6!$C$5,Sheet6!$C$5,IF(Tim!HL12=Sheet6!$C$6,Sheet6!$C$6,IF(Tim!HL12=Sheet6!$C$7,Sheet6!$C$7,IF(Tim!HL12=Sheet6!$C$8,Sheet6!$C$8,"")))))))</f>
        <v/>
      </c>
      <c r="CL10" s="53" t="str">
        <f>IF(Tim!HM12=Sheet6!$C$2,Sheet6!$C$2,IF(Tim!HM12=Sheet6!$C$3,Sheet6!$C$3,IF(Tim!HM12=Sheet6!$C$4,Sheet6!$C$4,IF(Tim!HM12=Sheet6!$C$5,Sheet6!$C$5,IF(Tim!HM12=Sheet6!$C$6,Sheet6!$C$6,IF(Tim!HM12=Sheet6!$C$7,Sheet6!$C$7,IF(Tim!HM12=Sheet6!$C$8,Sheet6!$C$8,"")))))))</f>
        <v/>
      </c>
      <c r="CM10" s="53" t="str">
        <f>IF(Tim!HQ12=Sheet6!$C$2,Sheet6!$C$2,IF(Tim!HQ12=Sheet6!$C$3,Sheet6!$C$3,IF(Tim!HQ12=Sheet6!$C$4,Sheet6!$C$4,IF(Tim!HQ12=Sheet6!$C$5,Sheet6!$C$5,IF(Tim!HQ12=Sheet6!$C$6,Sheet6!$C$6,IF(Tim!HQ12=Sheet6!$C$7,Sheet6!$C$7,IF(Tim!HQ12=Sheet6!$C$8,Sheet6!$C$8,"")))))))</f>
        <v/>
      </c>
      <c r="CN10" s="54" t="str">
        <f>IF(Tim!HR12=Sheet6!$C$2,Sheet6!$C$2,IF(Tim!HR12=Sheet6!$C$3,Sheet6!$C$3,IF(Tim!HR12=Sheet6!$C$4,Sheet6!$C$4,IF(Tim!HR12=Sheet6!$C$5,Sheet6!$C$5,IF(Tim!HR12=Sheet6!$C$6,Sheet6!$C$6,IF(Tim!HR12=Sheet6!$C$7,Sheet6!$C$7,IF(Tim!HR12=Sheet6!$C$8,Sheet6!$C$8,"")))))))</f>
        <v/>
      </c>
      <c r="CO10" s="54" t="str">
        <f>IF(Tim!HS12=Sheet6!$C$2,Sheet6!$C$2,IF(Tim!HS12=Sheet6!$C$3,Sheet6!$C$3,IF(Tim!HS12=Sheet6!$C$4,Sheet6!$C$4,IF(Tim!HS12=Sheet6!$C$5,Sheet6!$C$5,IF(Tim!HS12=Sheet6!$C$6,Sheet6!$C$6,IF(Tim!HS12=Sheet6!$C$7,Sheet6!$C$7,IF(Tim!HS12=Sheet6!$C$8,Sheet6!$C$8,"")))))))</f>
        <v/>
      </c>
      <c r="CP10" s="54" t="str">
        <f>IF(Tim!HT12=Sheet6!$C$2,Sheet6!$C$2,IF(Tim!HT12=Sheet6!$C$3,Sheet6!$C$3,IF(Tim!HT12=Sheet6!$C$4,Sheet6!$C$4,IF(Tim!HT12=Sheet6!$C$5,Sheet6!$C$5,IF(Tim!HT12=Sheet6!$C$6,Sheet6!$C$6,IF(Tim!HT12=Sheet6!$C$7,Sheet6!$C$7,IF(Tim!HT12=Sheet6!$C$8,Sheet6!$C$8,"")))))))</f>
        <v/>
      </c>
      <c r="CQ10" s="55" t="str">
        <f>IF(Tim!HU12=Sheet6!$C$2,Sheet6!$C$2,IF(Tim!HU12=Sheet6!$C$3,Sheet6!$C$3,IF(Tim!HU12=Sheet6!$C$4,Sheet6!$C$4,IF(Tim!HU12=Sheet6!$C$5,Sheet6!$C$5,IF(Tim!HU12=Sheet6!$C$6,Sheet6!$C$6,IF(Tim!HU12=Sheet6!$C$7,Sheet6!$C$7,IF(Tim!HU12=Sheet6!$C$8,Sheet6!$C$8,"")))))))</f>
        <v/>
      </c>
      <c r="CR10" s="469"/>
      <c r="CS10" s="366"/>
      <c r="CT10" s="366"/>
      <c r="CU10" s="366"/>
      <c r="CV10" s="366"/>
      <c r="CW10" s="366"/>
      <c r="CX10" s="366"/>
      <c r="CY10" s="366"/>
      <c r="CZ10" s="366"/>
      <c r="DA10" s="366"/>
      <c r="DB10" s="366"/>
      <c r="DC10" s="366"/>
      <c r="DD10" s="366"/>
      <c r="DE10" s="366"/>
      <c r="DF10" s="366"/>
      <c r="DG10" s="428"/>
      <c r="DH10" s="469"/>
      <c r="DI10" s="366"/>
      <c r="DJ10" s="366"/>
      <c r="DK10" s="366"/>
      <c r="DL10" s="366"/>
      <c r="DM10" s="366"/>
      <c r="DN10" s="366"/>
      <c r="DO10" s="366"/>
      <c r="DP10" s="366"/>
      <c r="DQ10" s="366"/>
      <c r="DR10" s="366"/>
      <c r="DS10" s="366"/>
      <c r="DT10" s="366"/>
      <c r="DU10" s="366"/>
      <c r="DV10" s="366"/>
      <c r="DW10" s="428"/>
      <c r="DX10" s="52">
        <v>0.34375</v>
      </c>
    </row>
    <row r="11" spans="2:128" ht="10.5" customHeight="1">
      <c r="B11" s="51">
        <v>0.25</v>
      </c>
      <c r="C11" s="51">
        <v>0.25</v>
      </c>
      <c r="D11" s="51">
        <v>0.25</v>
      </c>
      <c r="E11" s="52">
        <v>0.35416666666666602</v>
      </c>
      <c r="F11" s="53" t="str">
        <f>IF(Tim!F13=Sheet6!$C$2,Sheet6!$C$2,IF(Tim!F13=Sheet6!$C$3,Sheet6!$C$3,IF(Tim!F13=Sheet6!$C$4,Sheet6!$C$4,IF(Tim!F13=Sheet6!$C$5,Sheet6!$C$5,IF(Tim!F13=Sheet6!$C$6,Sheet6!$C$6,IF(Tim!F13=Sheet6!$C$7,Sheet6!$C$7,IF(Tim!F13=Sheet6!$C$8,Sheet6!$C$8,"")))))))</f>
        <v/>
      </c>
      <c r="G11" s="53" t="str">
        <f>IF(Tim!G13=Sheet6!$C$2,Sheet6!$C$2,IF(Tim!G13=Sheet6!$C$3,Sheet6!$C$3,IF(Tim!G13=Sheet6!$C$4,Sheet6!$C$4,IF(Tim!G13=Sheet6!$C$5,Sheet6!$C$5,IF(Tim!G13=Sheet6!$C$6,Sheet6!$C$6,IF(Tim!G13=Sheet6!$C$7,Sheet6!$C$7,IF(Tim!G13=Sheet6!$C$8,Sheet6!$C$8,"")))))))</f>
        <v/>
      </c>
      <c r="H11" s="53" t="str">
        <f>IF(Tim!H13=Sheet6!$C$2,Sheet6!$C$2,IF(Tim!H13=Sheet6!$C$3,Sheet6!$C$3,IF(Tim!H13=Sheet6!$C$4,Sheet6!$C$4,IF(Tim!H13=Sheet6!$C$5,Sheet6!$C$5,IF(Tim!H13=Sheet6!$C$6,Sheet6!$C$6,IF(Tim!H13=Sheet6!$C$7,Sheet6!$C$7,IF(Tim!H13=Sheet6!$C$8,Sheet6!$C$8,"")))))))</f>
        <v/>
      </c>
      <c r="I11" s="53" t="str">
        <f>IF(Tim!L13=Sheet6!$C$2,Sheet6!$C$2,IF(Tim!L13=Sheet6!$C$3,Sheet6!$C$3,IF(Tim!L13=Sheet6!$C$4,Sheet6!$C$4,IF(Tim!L13=Sheet6!$C$5,Sheet6!$C$5,IF(Tim!L13=Sheet6!$C$6,Sheet6!$C$6,IF(Tim!L13=Sheet6!$C$7,Sheet6!$C$7,IF(Tim!L13=Sheet6!$C$8,Sheet6!$C$8,"")))))))</f>
        <v/>
      </c>
      <c r="J11" s="53" t="str">
        <f>IF(Tim!T13=Sheet6!$C$2,Sheet6!$C$2,IF(Tim!T13=Sheet6!$C$3,Sheet6!$C$3,IF(Tim!T13=Sheet6!$C$4,Sheet6!$C$4,IF(Tim!T13=Sheet6!$C$5,Sheet6!$C$5,IF(Tim!T13=Sheet6!$C$6,Sheet6!$C$6,IF(Tim!T13=Sheet6!$C$7,Sheet6!$C$7,IF(Tim!T13=Sheet6!$C$8,Sheet6!$C$8,"")))))))</f>
        <v/>
      </c>
      <c r="K11" s="53" t="str">
        <f>IF(Tim!AB13=Sheet6!$C$2,Sheet6!$C$2,IF(Tim!AB13=Sheet6!$C$3,Sheet6!$C$3,IF(Tim!AB13=Sheet6!$C$4,Sheet6!$C$4,IF(Tim!AB13=Sheet6!$C$5,Sheet6!$C$5,IF(Tim!AB13=Sheet6!$C$6,Sheet6!$C$6,IF(Tim!AB13=Sheet6!$C$7,Sheet6!$C$7,IF(Tim!AB13=Sheet6!$C$8,Sheet6!$C$8,"")))))))</f>
        <v/>
      </c>
      <c r="L11" s="53" t="str">
        <f>IF(Tim!AC13=Sheet6!$C$2,Sheet6!$C$2,IF(Tim!AC13=Sheet6!$C$3,Sheet6!$C$3,IF(Tim!AC13=Sheet6!$C$4,Sheet6!$C$4,IF(Tim!AC13=Sheet6!$C$5,Sheet6!$C$5,IF(Tim!AC13=Sheet6!$C$6,Sheet6!$C$6,IF(Tim!AC13=Sheet6!$C$7,Sheet6!$C$7,IF(Tim!AC13=Sheet6!$C$8,Sheet6!$C$8,"")))))))</f>
        <v/>
      </c>
      <c r="M11" s="53" t="str">
        <f>IF(Tim!AJ13=Sheet6!$C$2,Sheet6!$C$2,IF(Tim!AJ13=Sheet6!$C$3,Sheet6!$C$3,IF(Tim!AJ13=Sheet6!$C$4,Sheet6!$C$4,IF(Tim!AJ13=Sheet6!$C$5,Sheet6!$C$5,IF(Tim!AJ13=Sheet6!$C$6,Sheet6!$C$6,IF(Tim!AJ13=Sheet6!$C$7,Sheet6!$C$7,IF(Tim!AJ13=Sheet6!$C$8,Sheet6!$C$8,"")))))))</f>
        <v/>
      </c>
      <c r="N11" s="53" t="str">
        <f>IF(Tim!AK13=Sheet6!$C$2,Sheet6!$C$2,IF(Tim!AK13=Sheet6!$C$3,Sheet6!$C$3,IF(Tim!AK13=Sheet6!$C$4,Sheet6!$C$4,IF(Tim!AK13=Sheet6!$C$5,Sheet6!$C$5,IF(Tim!AK13=Sheet6!$C$6,Sheet6!$C$6,IF(Tim!AK13=Sheet6!$C$7,Sheet6!$C$7,IF(Tim!AK13=Sheet6!$C$8,Sheet6!$C$8,"")))))))</f>
        <v/>
      </c>
      <c r="O11" s="53" t="str">
        <f>IF(Tim!AL13=Sheet6!$C$2,Sheet6!$C$2,IF(Tim!AL13=Sheet6!$C$3,Sheet6!$C$3,IF(Tim!AL13=Sheet6!$C$4,Sheet6!$C$4,IF(Tim!AL13=Sheet6!$C$5,Sheet6!$C$5,IF(Tim!AL13=Sheet6!$C$6,Sheet6!$C$6,IF(Tim!AL13=Sheet6!$C$7,Sheet6!$C$7,IF(Tim!AL13=Sheet6!$C$8,Sheet6!$C$8,"")))))))</f>
        <v/>
      </c>
      <c r="P11" s="53" t="str">
        <f>IF(Tim!AN13=Sheet6!$C$2,Sheet6!$C$2,IF(Tim!AN13=Sheet6!$C$3,Sheet6!$C$3,IF(Tim!AN13=Sheet6!$C$4,Sheet6!$C$4,IF(Tim!AN13=Sheet6!$C$5,Sheet6!$C$5,IF(Tim!AN13=Sheet6!$C$6,Sheet6!$C$6,IF(Tim!AN13=Sheet6!$C$7,Sheet6!$C$7,IF(Tim!AN13=Sheet6!$C$8,Sheet6!$C$8,"")))))))</f>
        <v/>
      </c>
      <c r="Q11" s="53" t="str">
        <f>IF(Tim!AO13=Sheet6!$C$2,Sheet6!$C$2,IF(Tim!AO13=Sheet6!$C$3,Sheet6!$C$3,IF(Tim!AO13=Sheet6!$C$4,Sheet6!$C$4,IF(Tim!AO13=Sheet6!$C$5,Sheet6!$C$5,IF(Tim!AO13=Sheet6!$C$6,Sheet6!$C$6,IF(Tim!AO13=Sheet6!$C$7,Sheet6!$C$7,IF(Tim!AO13=Sheet6!$C$8,Sheet6!$C$8,"")))))))</f>
        <v/>
      </c>
      <c r="R11" s="53" t="str">
        <f>IF(Tim!AP13=Sheet6!$C$2,Sheet6!$C$2,IF(Tim!AP13=Sheet6!$C$3,Sheet6!$C$3,IF(Tim!AP13=Sheet6!$C$4,Sheet6!$C$4,IF(Tim!AP13=Sheet6!$C$5,Sheet6!$C$5,IF(Tim!AP13=Sheet6!$C$6,Sheet6!$C$6,IF(Tim!AP13=Sheet6!$C$7,Sheet6!$C$7,IF(Tim!AP13=Sheet6!$C$8,Sheet6!$C$8,"")))))))</f>
        <v/>
      </c>
      <c r="S11" s="53" t="str">
        <f>IF(Tim!AT13=Sheet6!$C$2,Sheet6!$C$2,IF(Tim!AT13=Sheet6!$C$3,Sheet6!$C$3,IF(Tim!AT13=Sheet6!$C$4,Sheet6!$C$4,IF(Tim!AT13=Sheet6!$C$5,Sheet6!$C$5,IF(Tim!AT13=Sheet6!$C$6,Sheet6!$C$6,IF(Tim!AT13=Sheet6!$C$7,Sheet6!$C$7,IF(Tim!AT13=Sheet6!$C$8,Sheet6!$C$8,"")))))))</f>
        <v/>
      </c>
      <c r="T11" s="54" t="str">
        <f>IF(Tim!AU13=Sheet6!$C$2,Sheet6!$C$2,IF(Tim!AU13=Sheet6!$C$3,Sheet6!$C$3,IF(Tim!AU13=Sheet6!$C$4,Sheet6!$C$4,IF(Tim!AU13=Sheet6!$C$5,Sheet6!$C$5,IF(Tim!AU13=Sheet6!$C$6,Sheet6!$C$6,IF(Tim!AU13=Sheet6!$C$7,Sheet6!$C$7,IF(Tim!AU13=Sheet6!$C$8,Sheet6!$C$8,"")))))))</f>
        <v/>
      </c>
      <c r="U11" s="54" t="str">
        <f>IF(Tim!AV13=Sheet6!$C$2,Sheet6!$C$2,IF(Tim!AV13=Sheet6!$C$3,Sheet6!$C$3,IF(Tim!AV13=Sheet6!$C$4,Sheet6!$C$4,IF(Tim!AV13=Sheet6!$C$5,Sheet6!$C$5,IF(Tim!AV13=Sheet6!$C$6,Sheet6!$C$6,IF(Tim!AV13=Sheet6!$C$7,Sheet6!$C$7,IF(Tim!AV13=Sheet6!$C$8,Sheet6!$C$8,"")))))))</f>
        <v/>
      </c>
      <c r="V11" s="54" t="str">
        <f>IF(Tim!AW13=Sheet6!$C$2,Sheet6!$C$2,IF(Tim!AW13=Sheet6!$C$3,Sheet6!$C$3,IF(Tim!AW13=Sheet6!$C$4,Sheet6!$C$4,IF(Tim!AW13=Sheet6!$C$5,Sheet6!$C$5,IF(Tim!AW13=Sheet6!$C$6,Sheet6!$C$6,IF(Tim!AW13=Sheet6!$C$7,Sheet6!$C$7,IF(Tim!AW13=Sheet6!$C$8,Sheet6!$C$8,"")))))))</f>
        <v/>
      </c>
      <c r="W11" s="55" t="str">
        <f>IF(Tim!AX13=Sheet6!$C$2,Sheet6!$C$2,IF(Tim!AX13=Sheet6!$C$3,Sheet6!$C$3,IF(Tim!AX13=Sheet6!$C$4,Sheet6!$C$4,IF(Tim!AX13=Sheet6!$C$5,Sheet6!$C$5,IF(Tim!AX13=Sheet6!$C$6,Sheet6!$C$6,IF(Tim!AX13=Sheet6!$C$7,Sheet6!$C$7,IF(Tim!AX13=Sheet6!$C$8,Sheet6!$C$8,"")))))))</f>
        <v/>
      </c>
      <c r="X11" s="53" t="str">
        <f>IF(Tim!AY13=Sheet6!$C$2,Sheet6!$C$2,IF(Tim!AY13=Sheet6!$C$3,Sheet6!$C$3,IF(Tim!AY13=Sheet6!$C$4,Sheet6!$C$4,IF(Tim!AY13=Sheet6!$C$5,Sheet6!$C$5,IF(Tim!AY13=Sheet6!$C$6,Sheet6!$C$6,IF(Tim!AY13=Sheet6!$C$7,Sheet6!$C$7,IF(Tim!AY13=Sheet6!$C$8,Sheet6!$C$8,"")))))))</f>
        <v/>
      </c>
      <c r="Y11" s="57" t="str">
        <f>IF(Tim!AZ13=Sheet6!$C$2,Sheet6!$C$2,IF(Tim!AZ13=Sheet6!$C$3,Sheet6!$C$3,IF(Tim!AZ13=Sheet6!$C$4,Sheet6!$C$4,IF(Tim!AZ13=Sheet6!$C$5,Sheet6!$C$5,IF(Tim!AZ13=Sheet6!$C$6,Sheet6!$C$6,IF(Tim!AZ13=Sheet6!$C$7,Sheet6!$C$7,IF(Tim!AZ13=Sheet6!$C$8,Sheet6!$C$8,"")))))))</f>
        <v/>
      </c>
      <c r="Z11" s="57" t="str">
        <f>IF(Tim!BD13=Sheet6!$C$2,Sheet6!$C$2,IF(Tim!BD13=Sheet6!$C$3,Sheet6!$C$3,IF(Tim!BD13=Sheet6!$C$4,Sheet6!$C$4,IF(Tim!BD13=Sheet6!$C$5,Sheet6!$C$5,IF(Tim!BD13=Sheet6!$C$6,Sheet6!$C$6,IF(Tim!BD13=Sheet6!$C$7,Sheet6!$C$7,IF(Tim!BD13=Sheet6!$C$8,Sheet6!$C$8,"")))))))</f>
        <v/>
      </c>
      <c r="AA11" s="57" t="str">
        <f>IF(Tim!BE13=Sheet6!$C$2,Sheet6!$C$2,IF(Tim!BE13=Sheet6!$C$3,Sheet6!$C$3,IF(Tim!BE13=Sheet6!$C$4,Sheet6!$C$4,IF(Tim!BE13=Sheet6!$C$5,Sheet6!$C$5,IF(Tim!BE13=Sheet6!$C$6,Sheet6!$C$6,IF(Tim!BE13=Sheet6!$C$7,Sheet6!$C$7,IF(Tim!BE13=Sheet6!$C$8,Sheet6!$C$8,"")))))))</f>
        <v/>
      </c>
      <c r="AB11" s="57" t="str">
        <f>IF(Tim!BL13=Sheet6!$C$2,Sheet6!$C$2,IF(Tim!BL13=Sheet6!$C$3,Sheet6!$C$3,IF(Tim!BL13=Sheet6!$C$4,Sheet6!$C$4,IF(Tim!BL13=Sheet6!$C$5,Sheet6!$C$5,IF(Tim!BL13=Sheet6!$C$6,Sheet6!$C$6,IF(Tim!BL13=Sheet6!$C$7,Sheet6!$C$7,IF(Tim!BL13=Sheet6!$C$8,Sheet6!$C$8,"")))))))</f>
        <v/>
      </c>
      <c r="AC11" s="53" t="str">
        <f>IF(Tim!BT13=Sheet6!$C$2,Sheet6!$C$2,IF(Tim!BT13=Sheet6!$C$3,Sheet6!$C$3,IF(Tim!BT13=Sheet6!$C$4,Sheet6!$C$4,IF(Tim!BT13=Sheet6!$C$5,Sheet6!$C$5,IF(Tim!BT13=Sheet6!$C$6,Sheet6!$C$6,IF(Tim!BT13=Sheet6!$C$7,Sheet6!$C$7,IF(Tim!BT13=Sheet6!$C$8,Sheet6!$C$8,"")))))))</f>
        <v/>
      </c>
      <c r="AD11" s="53" t="str">
        <f>IF(Tim!BU13=Sheet6!$C$2,Sheet6!$C$2,IF(Tim!BU13=Sheet6!$C$3,Sheet6!$C$3,IF(Tim!BU13=Sheet6!$C$4,Sheet6!$C$4,IF(Tim!BU13=Sheet6!$C$5,Sheet6!$C$5,IF(Tim!BU13=Sheet6!$C$6,Sheet6!$C$6,IF(Tim!BU13=Sheet6!$C$7,Sheet6!$C$7,IF(Tim!BU13=Sheet6!$C$8,Sheet6!$C$8,"")))))))</f>
        <v/>
      </c>
      <c r="AE11" s="53" t="str">
        <f>IF(Tim!CB13=Sheet6!$C$2,Sheet6!$C$2,IF(Tim!CB13=Sheet6!$C$3,Sheet6!$C$3,IF(Tim!CB13=Sheet6!$C$4,Sheet6!$C$4,IF(Tim!CB13=Sheet6!$C$5,Sheet6!$C$5,IF(Tim!CB13=Sheet6!$C$6,Sheet6!$C$6,IF(Tim!CB13=Sheet6!$C$7,Sheet6!$C$7,IF(Tim!CB13=Sheet6!$C$8,Sheet6!$C$8,"")))))))</f>
        <v/>
      </c>
      <c r="AF11" s="53" t="str">
        <f>IF(Tim!CD13=Sheet6!$C$2,Sheet6!$C$2,IF(Tim!CD13=Sheet6!$C$3,Sheet6!$C$3,IF(Tim!CD13=Sheet6!$C$4,Sheet6!$C$4,IF(Tim!CD13=Sheet6!$C$5,Sheet6!$C$5,IF(Tim!CD13=Sheet6!$C$6,Sheet6!$C$6,IF(Tim!CD13=Sheet6!$C$7,Sheet6!$C$7,IF(Tim!CD13=Sheet6!$C$8,Sheet6!$C$8,"")))))))</f>
        <v/>
      </c>
      <c r="AG11" s="53" t="str">
        <f>IF(Tim!CE13=Sheet6!$C$2,Sheet6!$C$2,IF(Tim!CE13=Sheet6!$C$3,Sheet6!$C$3,IF(Tim!CE13=Sheet6!$C$4,Sheet6!$C$4,IF(Tim!CE13=Sheet6!$C$5,Sheet6!$C$5,IF(Tim!CE13=Sheet6!$C$6,Sheet6!$C$6,IF(Tim!CE13=Sheet6!$C$7,Sheet6!$C$7,IF(Tim!CE13=Sheet6!$C$8,Sheet6!$C$8,"")))))))</f>
        <v/>
      </c>
      <c r="AH11" s="53" t="str">
        <f>IF(Tim!CF13=Sheet6!$C$2,Sheet6!$C$2,IF(Tim!CF13=Sheet6!$C$3,Sheet6!$C$3,IF(Tim!CF13=Sheet6!$C$4,Sheet6!$C$4,IF(Tim!CF13=Sheet6!$C$5,Sheet6!$C$5,IF(Tim!CF13=Sheet6!$C$6,Sheet6!$C$6,IF(Tim!CF13=Sheet6!$C$7,Sheet6!$C$7,IF(Tim!CF13=Sheet6!$C$8,Sheet6!$C$8,"")))))))</f>
        <v/>
      </c>
      <c r="AI11" s="53" t="str">
        <f>IF(Tim!CG13=Sheet6!$C$2,Sheet6!$C$2,IF(Tim!CG13=Sheet6!$C$3,Sheet6!$C$3,IF(Tim!CG13=Sheet6!$C$4,Sheet6!$C$4,IF(Tim!CG13=Sheet6!$C$5,Sheet6!$C$5,IF(Tim!CG13=Sheet6!$C$6,Sheet6!$C$6,IF(Tim!CG13=Sheet6!$C$7,Sheet6!$C$7,IF(Tim!CG13=Sheet6!$C$8,Sheet6!$C$8,"")))))))</f>
        <v/>
      </c>
      <c r="AJ11" s="53" t="str">
        <f>IF(Tim!CH13=Sheet6!$C$2,Sheet6!$C$2,IF(Tim!CH13=Sheet6!$C$3,Sheet6!$C$3,IF(Tim!CH13=Sheet6!$C$4,Sheet6!$C$4,IF(Tim!CH13=Sheet6!$C$5,Sheet6!$C$5,IF(Tim!CH13=Sheet6!$C$6,Sheet6!$C$6,IF(Tim!CH13=Sheet6!$C$7,Sheet6!$C$7,IF(Tim!CH13=Sheet6!$C$8,Sheet6!$C$8,"")))))))</f>
        <v/>
      </c>
      <c r="AK11" s="53" t="str">
        <f>IF(Tim!CL13=Sheet6!$C$2,Sheet6!$C$2,IF(Tim!CL13=Sheet6!$C$3,Sheet6!$C$3,IF(Tim!CL13=Sheet6!$C$4,Sheet6!$C$4,IF(Tim!CL13=Sheet6!$C$5,Sheet6!$C$5,IF(Tim!CL13=Sheet6!$C$6,Sheet6!$C$6,IF(Tim!CL13=Sheet6!$C$7,Sheet6!$C$7,IF(Tim!CL13=Sheet6!$C$8,Sheet6!$C$8,"")))))))</f>
        <v/>
      </c>
      <c r="AL11" s="54" t="str">
        <f>IF(Tim!CM13=Sheet6!$C$2,Sheet6!$C$2,IF(Tim!CM13=Sheet6!$C$3,Sheet6!$C$3,IF(Tim!CM13=Sheet6!$C$4,Sheet6!$C$4,IF(Tim!CM13=Sheet6!$C$5,Sheet6!$C$5,IF(Tim!CM13=Sheet6!$C$6,Sheet6!$C$6,IF(Tim!CM13=Sheet6!$C$7,Sheet6!$C$7,IF(Tim!CM13=Sheet6!$C$8,Sheet6!$C$8,"")))))))</f>
        <v/>
      </c>
      <c r="AM11" s="54" t="str">
        <f>IF(Tim!CN13=Sheet6!$C$2,Sheet6!$C$2,IF(Tim!CN13=Sheet6!$C$3,Sheet6!$C$3,IF(Tim!CN13=Sheet6!$C$4,Sheet6!$C$4,IF(Tim!CN13=Sheet6!$C$5,Sheet6!$C$5,IF(Tim!CN13=Sheet6!$C$6,Sheet6!$C$6,IF(Tim!CN13=Sheet6!$C$7,Sheet6!$C$7,IF(Tim!CN13=Sheet6!$C$8,Sheet6!$C$8,"")))))))</f>
        <v/>
      </c>
      <c r="AN11" s="54" t="str">
        <f>IF(Tim!CO13=Sheet6!$C$2,Sheet6!$C$2,IF(Tim!CO13=Sheet6!$C$3,Sheet6!$C$3,IF(Tim!CO13=Sheet6!$C$4,Sheet6!$C$4,IF(Tim!CO13=Sheet6!$C$5,Sheet6!$C$5,IF(Tim!CO13=Sheet6!$C$6,Sheet6!$C$6,IF(Tim!CO13=Sheet6!$C$7,Sheet6!$C$7,IF(Tim!CO13=Sheet6!$C$8,Sheet6!$C$8,"")))))))</f>
        <v/>
      </c>
      <c r="AO11" s="55" t="str">
        <f>IF(Tim!CP13=Sheet6!$C$2,Sheet6!$C$2,IF(Tim!CP13=Sheet6!$C$3,Sheet6!$C$3,IF(Tim!CP13=Sheet6!$C$4,Sheet6!$C$4,IF(Tim!CP13=Sheet6!$C$5,Sheet6!$C$5,IF(Tim!CP13=Sheet6!$C$6,Sheet6!$C$6,IF(Tim!CP13=Sheet6!$C$7,Sheet6!$C$7,IF(Tim!CP13=Sheet6!$C$8,Sheet6!$C$8,"")))))))</f>
        <v/>
      </c>
      <c r="AP11" s="53" t="str">
        <f>IF(Tim!CQ13=Sheet6!$C$2,Sheet6!$C$2,IF(Tim!CQ13=Sheet6!$C$3,Sheet6!$C$3,IF(Tim!CQ13=Sheet6!$C$4,Sheet6!$C$4,IF(Tim!CQ13=Sheet6!$C$5,Sheet6!$C$5,IF(Tim!CQ13=Sheet6!$C$6,Sheet6!$C$6,IF(Tim!CQ13=Sheet6!$C$7,Sheet6!$C$7,IF(Tim!CQ13=Sheet6!$C$8,Sheet6!$C$8,"")))))))</f>
        <v/>
      </c>
      <c r="AQ11" s="57" t="str">
        <f>IF(Tim!CR13=Sheet6!$C$2,Sheet6!$C$2,IF(Tim!CR13=Sheet6!$C$3,Sheet6!$C$3,IF(Tim!CR13=Sheet6!$C$4,Sheet6!$C$4,IF(Tim!CR13=Sheet6!$C$5,Sheet6!$C$5,IF(Tim!CR13=Sheet6!$C$6,Sheet6!$C$6,IF(Tim!CR13=Sheet6!$C$7,Sheet6!$C$7,IF(Tim!CR13=Sheet6!$C$8,Sheet6!$C$8,"")))))))</f>
        <v/>
      </c>
      <c r="AR11" s="57" t="str">
        <f>IF(Tim!CV13=Sheet6!$C$2,Sheet6!$C$2,IF(Tim!CV13=Sheet6!$C$3,Sheet6!$C$3,IF(Tim!CV13=Sheet6!$C$4,Sheet6!$C$4,IF(Tim!CV13=Sheet6!$C$5,Sheet6!$C$5,IF(Tim!CV13=Sheet6!$C$6,Sheet6!$C$6,IF(Tim!CV13=Sheet6!$C$7,Sheet6!$C$7,IF(Tim!CV13=Sheet6!$C$8,Sheet6!$C$8,"")))))))</f>
        <v/>
      </c>
      <c r="AS11" s="57" t="str">
        <f>IF(Tim!CW13=Sheet6!$C$2,Sheet6!$C$2,IF(Tim!CW13=Sheet6!$C$3,Sheet6!$C$3,IF(Tim!CW13=Sheet6!$C$4,Sheet6!$C$4,IF(Tim!CW13=Sheet6!$C$5,Sheet6!$C$5,IF(Tim!CW13=Sheet6!$C$6,Sheet6!$C$6,IF(Tim!CW13=Sheet6!$C$7,Sheet6!$C$7,IF(Tim!CW13=Sheet6!$C$8,Sheet6!$C$8,"")))))))</f>
        <v/>
      </c>
      <c r="AT11" s="57" t="str">
        <f>IF(Tim!DA13=Sheet6!$C$2,Sheet6!$C$2,IF(Tim!DA13=Sheet6!$C$3,Sheet6!$C$3,IF(Tim!DA13=Sheet6!$C$4,Sheet6!$C$4,IF(Tim!DA13=Sheet6!$C$5,Sheet6!$C$5,IF(Tim!DA13=Sheet6!$C$6,Sheet6!$C$6,IF(Tim!DA13=Sheet6!$C$7,Sheet6!$C$7,IF(Tim!DA13=Sheet6!$C$8,Sheet6!$C$8,"")))))))</f>
        <v/>
      </c>
      <c r="AU11" s="53" t="str">
        <f>IF(Tim!DO13=Sheet6!$C$2,Sheet6!$C$2,IF(Tim!DO13=Sheet6!$C$3,Sheet6!$C$3,IF(Tim!DO13=Sheet6!$C$4,Sheet6!$C$4,IF(Tim!DO13=Sheet6!$C$5,Sheet6!$C$5,IF(Tim!DO13=Sheet6!$C$6,Sheet6!$C$6,IF(Tim!DO13=Sheet6!$C$7,Sheet6!$C$7,IF(Tim!DO13=Sheet6!$C$8,Sheet6!$C$8,"")))))))</f>
        <v/>
      </c>
      <c r="AV11" s="53" t="str">
        <f>IF(Tim!DP13=Sheet6!$C$2,Sheet6!$C$2,IF(Tim!DP13=Sheet6!$C$3,Sheet6!$C$3,IF(Tim!DP13=Sheet6!$C$4,Sheet6!$C$4,IF(Tim!DP13=Sheet6!$C$5,Sheet6!$C$5,IF(Tim!DP13=Sheet6!$C$6,Sheet6!$C$6,IF(Tim!DP13=Sheet6!$C$7,Sheet6!$C$7,IF(Tim!DP13=Sheet6!$C$8,Sheet6!$C$8,"")))))))</f>
        <v/>
      </c>
      <c r="AW11" s="53" t="str">
        <f>IF(Tim!DX13=Sheet6!$C$2,Sheet6!$C$2,IF(Tim!DX13=Sheet6!$C$3,Sheet6!$C$3,IF(Tim!DX13=Sheet6!$C$4,Sheet6!$C$4,IF(Tim!DX13=Sheet6!$C$5,Sheet6!$C$5,IF(Tim!DX13=Sheet6!$C$6,Sheet6!$C$6,IF(Tim!DX13=Sheet6!$C$7,Sheet6!$C$7,IF(Tim!DX13=Sheet6!$C$8,Sheet6!$C$8,"")))))))</f>
        <v/>
      </c>
      <c r="AX11" s="53" t="str">
        <f>IF(Tim!DY13=Sheet6!$C$2,Sheet6!$C$2,IF(Tim!DY13=Sheet6!$C$3,Sheet6!$C$3,IF(Tim!DY13=Sheet6!$C$4,Sheet6!$C$4,IF(Tim!DY13=Sheet6!$C$5,Sheet6!$C$5,IF(Tim!DY13=Sheet6!$C$6,Sheet6!$C$6,IF(Tim!DY13=Sheet6!$C$7,Sheet6!$C$7,IF(Tim!DY13=Sheet6!$C$8,Sheet6!$C$8,"")))))))</f>
        <v/>
      </c>
      <c r="AY11" s="53" t="str">
        <f>IF(Tim!DZ13=Sheet6!$C$2,Sheet6!$C$2,IF(Tim!DZ13=Sheet6!$C$3,Sheet6!$C$3,IF(Tim!DZ13=Sheet6!$C$4,Sheet6!$C$4,IF(Tim!DZ13=Sheet6!$C$5,Sheet6!$C$5,IF(Tim!DZ13=Sheet6!$C$6,Sheet6!$C$6,IF(Tim!DZ13=Sheet6!$C$7,Sheet6!$C$7,IF(Tim!DZ13=Sheet6!$C$8,Sheet6!$C$8,"")))))))</f>
        <v/>
      </c>
      <c r="AZ11" s="53" t="str">
        <f>IF(Tim!EA13=Sheet6!$C$2,Sheet6!$C$2,IF(Tim!EA13=Sheet6!$C$3,Sheet6!$C$3,IF(Tim!EA13=Sheet6!$C$4,Sheet6!$C$4,IF(Tim!EA13=Sheet6!$C$5,Sheet6!$C$5,IF(Tim!EA13=Sheet6!$C$6,Sheet6!$C$6,IF(Tim!EA13=Sheet6!$C$7,Sheet6!$C$7,IF(Tim!EA13=Sheet6!$C$8,Sheet6!$C$8,"")))))))</f>
        <v/>
      </c>
      <c r="BA11" s="53" t="str">
        <f>IF(Tim!EB13=Sheet6!$C$2,Sheet6!$C$2,IF(Tim!EB13=Sheet6!$C$3,Sheet6!$C$3,IF(Tim!EB13=Sheet6!$C$4,Sheet6!$C$4,IF(Tim!EB13=Sheet6!$C$5,Sheet6!$C$5,IF(Tim!EB13=Sheet6!$C$6,Sheet6!$C$6,IF(Tim!EB13=Sheet6!$C$7,Sheet6!$C$7,IF(Tim!EB13=Sheet6!$C$8,Sheet6!$C$8,"")))))))</f>
        <v/>
      </c>
      <c r="BB11" s="53" t="str">
        <f>IF(Tim!EC13=Sheet6!$C$2,Sheet6!$C$2,IF(Tim!EC13=Sheet6!$C$3,Sheet6!$C$3,IF(Tim!EC13=Sheet6!$C$4,Sheet6!$C$4,IF(Tim!EC13=Sheet6!$C$5,Sheet6!$C$5,IF(Tim!EC13=Sheet6!$C$6,Sheet6!$C$6,IF(Tim!EC13=Sheet6!$C$7,Sheet6!$C$7,IF(Tim!EC13=Sheet6!$C$8,Sheet6!$C$8,"")))))))</f>
        <v/>
      </c>
      <c r="BC11" s="53" t="str">
        <f>IF(Tim!EG13=Sheet6!$C$2,Sheet6!$C$2,IF(Tim!EG13=Sheet6!$C$3,Sheet6!$C$3,IF(Tim!EG13=Sheet6!$C$4,Sheet6!$C$4,IF(Tim!EG13=Sheet6!$C$5,Sheet6!$C$5,IF(Tim!EG13=Sheet6!$C$6,Sheet6!$C$6,IF(Tim!EG13=Sheet6!$C$7,Sheet6!$C$7,IF(Tim!EG13=Sheet6!$C$8,Sheet6!$C$8,"")))))))</f>
        <v/>
      </c>
      <c r="BD11" s="54" t="str">
        <f>IF(Tim!EH13=Sheet6!$C$2,Sheet6!$C$2,IF(Tim!EH13=Sheet6!$C$3,Sheet6!$C$3,IF(Tim!EH13=Sheet6!$C$4,Sheet6!$C$4,IF(Tim!EH13=Sheet6!$C$5,Sheet6!$C$5,IF(Tim!EH13=Sheet6!$C$6,Sheet6!$C$6,IF(Tim!EH13=Sheet6!$C$7,Sheet6!$C$7,IF(Tim!EH13=Sheet6!$C$8,Sheet6!$C$8,"")))))))</f>
        <v/>
      </c>
      <c r="BE11" s="54" t="str">
        <f>IF(Tim!EI13=Sheet6!$C$2,Sheet6!$C$2,IF(Tim!EI13=Sheet6!$C$3,Sheet6!$C$3,IF(Tim!EI13=Sheet6!$C$4,Sheet6!$C$4,IF(Tim!EI13=Sheet6!$C$5,Sheet6!$C$5,IF(Tim!EI13=Sheet6!$C$6,Sheet6!$C$6,IF(Tim!EI13=Sheet6!$C$7,Sheet6!$C$7,IF(Tim!EI13=Sheet6!$C$8,Sheet6!$C$8,"")))))))</f>
        <v/>
      </c>
      <c r="BF11" s="54" t="str">
        <f>IF(Tim!EJ13=Sheet6!$C$2,Sheet6!$C$2,IF(Tim!EJ13=Sheet6!$C$3,Sheet6!$C$3,IF(Tim!EJ13=Sheet6!$C$4,Sheet6!$C$4,IF(Tim!EJ13=Sheet6!$C$5,Sheet6!$C$5,IF(Tim!EJ13=Sheet6!$C$6,Sheet6!$C$6,IF(Tim!EJ13=Sheet6!$C$7,Sheet6!$C$7,IF(Tim!EJ13=Sheet6!$C$8,Sheet6!$C$8,"")))))))</f>
        <v/>
      </c>
      <c r="BG11" s="55" t="str">
        <f>IF(Tim!EK13=Sheet6!$C$2,Sheet6!$C$2,IF(Tim!EK13=Sheet6!$C$3,Sheet6!$C$3,IF(Tim!EK13=Sheet6!$C$4,Sheet6!$C$4,IF(Tim!EK13=Sheet6!$C$5,Sheet6!$C$5,IF(Tim!EK13=Sheet6!$C$6,Sheet6!$C$6,IF(Tim!EK13=Sheet6!$C$7,Sheet6!$C$7,IF(Tim!EK13=Sheet6!$C$8,Sheet6!$C$8,"")))))))</f>
        <v/>
      </c>
      <c r="BH11" s="53" t="str">
        <f>IF(Tim!EL13=Sheet6!$C$2,Sheet6!$C$2,IF(Tim!EL13=Sheet6!$C$3,Sheet6!$C$3,IF(Tim!EL13=Sheet6!$C$4,Sheet6!$C$4,IF(Tim!EL13=Sheet6!$C$5,Sheet6!$C$5,IF(Tim!EL13=Sheet6!$C$6,Sheet6!$C$6,IF(Tim!EL13=Sheet6!$C$7,Sheet6!$C$7,IF(Tim!EL13=Sheet6!$C$8,Sheet6!$C$8,"")))))))</f>
        <v/>
      </c>
      <c r="BI11" s="57" t="str">
        <f>IF(Tim!EM13=Sheet6!$C$2,Sheet6!$C$2,IF(Tim!EM13=Sheet6!$C$3,Sheet6!$C$3,IF(Tim!EM13=Sheet6!$C$4,Sheet6!$C$4,IF(Tim!EM13=Sheet6!$C$5,Sheet6!$C$5,IF(Tim!EM13=Sheet6!$C$6,Sheet6!$C$6,IF(Tim!EM13=Sheet6!$C$7,Sheet6!$C$7,IF(Tim!EM13=Sheet6!$C$8,Sheet6!$C$8,"")))))))</f>
        <v/>
      </c>
      <c r="BJ11" s="57" t="str">
        <f>IF(Tim!EQ13=Sheet6!$C$2,Sheet6!$C$2,IF(Tim!EQ13=Sheet6!$C$3,Sheet6!$C$3,IF(Tim!EQ13=Sheet6!$C$4,Sheet6!$C$4,IF(Tim!EQ13=Sheet6!$C$5,Sheet6!$C$5,IF(Tim!EQ13=Sheet6!$C$6,Sheet6!$C$6,IF(Tim!EQ13=Sheet6!$C$7,Sheet6!$C$7,IF(Tim!EQ13=Sheet6!$C$8,Sheet6!$C$8,"")))))))</f>
        <v/>
      </c>
      <c r="BK11" s="57" t="str">
        <f>IF(Tim!ER13=Sheet6!$C$2,Sheet6!$C$2,IF(Tim!ER13=Sheet6!$C$3,Sheet6!$C$3,IF(Tim!ER13=Sheet6!$C$4,Sheet6!$C$4,IF(Tim!ER13=Sheet6!$C$5,Sheet6!$C$5,IF(Tim!ER13=Sheet6!$C$6,Sheet6!$C$6,IF(Tim!ER13=Sheet6!$C$7,Sheet6!$C$7,IF(Tim!ER13=Sheet6!$C$8,Sheet6!$C$8,"")))))))</f>
        <v/>
      </c>
      <c r="BL11" s="57" t="str">
        <f>IF(Tim!EZ13=Sheet6!$C$2,Sheet6!$C$2,IF(Tim!EZ13=Sheet6!$C$3,Sheet6!$C$3,IF(Tim!EZ13=Sheet6!$C$4,Sheet6!$C$4,IF(Tim!EZ13=Sheet6!$C$5,Sheet6!$C$5,IF(Tim!EZ13=Sheet6!$C$6,Sheet6!$C$6,IF(Tim!EZ13=Sheet6!$C$7,Sheet6!$C$7,IF(Tim!EZ13=Sheet6!$C$8,Sheet6!$C$8,"")))))))</f>
        <v/>
      </c>
      <c r="BM11" s="53" t="str">
        <f>IF(Tim!FG13=Sheet6!$C$2,Sheet6!$C$2,IF(Tim!FG13=Sheet6!$C$3,Sheet6!$C$3,IF(Tim!FG13=Sheet6!$C$4,Sheet6!$C$4,IF(Tim!FG13=Sheet6!$C$5,Sheet6!$C$5,IF(Tim!FG13=Sheet6!$C$6,Sheet6!$C$6,IF(Tim!FG13=Sheet6!$C$7,Sheet6!$C$7,IF(Tim!FG13=Sheet6!$C$8,Sheet6!$C$8,"")))))))</f>
        <v/>
      </c>
      <c r="BN11" s="53" t="str">
        <f>IF(Tim!FH13=Sheet6!$C$2,Sheet6!$C$2,IF(Tim!FH13=Sheet6!$C$3,Sheet6!$C$3,IF(Tim!FH13=Sheet6!$C$4,Sheet6!$C$4,IF(Tim!FH13=Sheet6!$C$5,Sheet6!$C$5,IF(Tim!FH13=Sheet6!$C$6,Sheet6!$C$6,IF(Tim!FH13=Sheet6!$C$7,Sheet6!$C$7,IF(Tim!FH13=Sheet6!$C$8,Sheet6!$C$8,"")))))))</f>
        <v/>
      </c>
      <c r="BO11" s="53" t="str">
        <f>IF(Tim!FP13=Sheet6!$C$2,Sheet6!$C$2,IF(Tim!FP13=Sheet6!$C$3,Sheet6!$C$3,IF(Tim!FP13=Sheet6!$C$4,Sheet6!$C$4,IF(Tim!FP13=Sheet6!$C$5,Sheet6!$C$5,IF(Tim!FP13=Sheet6!$C$6,Sheet6!$C$6,IF(Tim!FP13=Sheet6!$C$7,Sheet6!$C$7,IF(Tim!FP13=Sheet6!$C$8,Sheet6!$C$8,"")))))))</f>
        <v/>
      </c>
      <c r="BP11" s="53" t="str">
        <f>IF(Tim!FQ13=Sheet6!$C$2,Sheet6!$C$2,IF(Tim!FQ13=Sheet6!$C$3,Sheet6!$C$3,IF(Tim!FQ13=Sheet6!$C$4,Sheet6!$C$4,IF(Tim!FQ13=Sheet6!$C$5,Sheet6!$C$5,IF(Tim!FQ13=Sheet6!$C$6,Sheet6!$C$6,IF(Tim!FQ13=Sheet6!$C$7,Sheet6!$C$7,IF(Tim!FQ13=Sheet6!$C$8,Sheet6!$C$8,"")))))))</f>
        <v/>
      </c>
      <c r="BQ11" s="53" t="str">
        <f>IF(Tim!FR13=Sheet6!$C$2,Sheet6!$C$2,IF(Tim!FR13=Sheet6!$C$3,Sheet6!$C$3,IF(Tim!FR13=Sheet6!$C$4,Sheet6!$C$4,IF(Tim!FR13=Sheet6!$C$5,Sheet6!$C$5,IF(Tim!FR13=Sheet6!$C$6,Sheet6!$C$6,IF(Tim!FR13=Sheet6!$C$7,Sheet6!$C$7,IF(Tim!FR13=Sheet6!$C$8,Sheet6!$C$8,"")))))))</f>
        <v/>
      </c>
      <c r="BR11" s="53" t="str">
        <f>IF(Tim!FS13=Sheet6!$C$2,Sheet6!$C$2,IF(Tim!FS13=Sheet6!$C$3,Sheet6!$C$3,IF(Tim!FS13=Sheet6!$C$4,Sheet6!$C$4,IF(Tim!FS13=Sheet6!$C$5,Sheet6!$C$5,IF(Tim!FS13=Sheet6!$C$6,Sheet6!$C$6,IF(Tim!FS13=Sheet6!$C$7,Sheet6!$C$7,IF(Tim!FS13=Sheet6!$C$8,Sheet6!$C$8,"")))))))</f>
        <v/>
      </c>
      <c r="BS11" s="53" t="str">
        <f>IF(Tim!FT13=Sheet6!$C$2,Sheet6!$C$2,IF(Tim!FT13=Sheet6!$C$3,Sheet6!$C$3,IF(Tim!FT13=Sheet6!$C$4,Sheet6!$C$4,IF(Tim!FT13=Sheet6!$C$5,Sheet6!$C$5,IF(Tim!FT13=Sheet6!$C$6,Sheet6!$C$6,IF(Tim!FT13=Sheet6!$C$7,Sheet6!$C$7,IF(Tim!FT13=Sheet6!$C$8,Sheet6!$C$8,"")))))))</f>
        <v/>
      </c>
      <c r="BT11" s="53" t="str">
        <f>IF(Tim!FU13=Sheet6!$C$2,Sheet6!$C$2,IF(Tim!FU13=Sheet6!$C$3,Sheet6!$C$3,IF(Tim!FU13=Sheet6!$C$4,Sheet6!$C$4,IF(Tim!FU13=Sheet6!$C$5,Sheet6!$C$5,IF(Tim!FU13=Sheet6!$C$6,Sheet6!$C$6,IF(Tim!FU13=Sheet6!$C$7,Sheet6!$C$7,IF(Tim!FU13=Sheet6!$C$8,Sheet6!$C$8,"")))))))</f>
        <v/>
      </c>
      <c r="BU11" s="53" t="str">
        <f>IF(Tim!FY13=Sheet6!$C$2,Sheet6!$C$2,IF(Tim!FY13=Sheet6!$C$3,Sheet6!$C$3,IF(Tim!FY13=Sheet6!$C$4,Sheet6!$C$4,IF(Tim!FY13=Sheet6!$C$5,Sheet6!$C$5,IF(Tim!FY13=Sheet6!$C$6,Sheet6!$C$6,IF(Tim!FY13=Sheet6!$C$7,Sheet6!$C$7,IF(Tim!FY13=Sheet6!$C$8,Sheet6!$C$8,"")))))))</f>
        <v/>
      </c>
      <c r="BV11" s="54" t="str">
        <f>IF(Tim!FZ13=Sheet6!$C$2,Sheet6!$C$2,IF(Tim!FZ13=Sheet6!$C$3,Sheet6!$C$3,IF(Tim!FZ13=Sheet6!$C$4,Sheet6!$C$4,IF(Tim!FZ13=Sheet6!$C$5,Sheet6!$C$5,IF(Tim!FZ13=Sheet6!$C$6,Sheet6!$C$6,IF(Tim!FZ13=Sheet6!$C$7,Sheet6!$C$7,IF(Tim!FZ13=Sheet6!$C$8,Sheet6!$C$8,"")))))))</f>
        <v/>
      </c>
      <c r="BW11" s="54" t="str">
        <f>IF(Tim!GA13=Sheet6!$C$2,Sheet6!$C$2,IF(Tim!GA13=Sheet6!$C$3,Sheet6!$C$3,IF(Tim!GA13=Sheet6!$C$4,Sheet6!$C$4,IF(Tim!GA13=Sheet6!$C$5,Sheet6!$C$5,IF(Tim!GA13=Sheet6!$C$6,Sheet6!$C$6,IF(Tim!GA13=Sheet6!$C$7,Sheet6!$C$7,IF(Tim!GA13=Sheet6!$C$8,Sheet6!$C$8,"")))))))</f>
        <v/>
      </c>
      <c r="BX11" s="54" t="str">
        <f>IF(Tim!GB13=Sheet6!$C$2,Sheet6!$C$2,IF(Tim!GB13=Sheet6!$C$3,Sheet6!$C$3,IF(Tim!GB13=Sheet6!$C$4,Sheet6!$C$4,IF(Tim!GB13=Sheet6!$C$5,Sheet6!$C$5,IF(Tim!GB13=Sheet6!$C$6,Sheet6!$C$6,IF(Tim!GB13=Sheet6!$C$7,Sheet6!$C$7,IF(Tim!GB13=Sheet6!$C$8,Sheet6!$C$8,"")))))))</f>
        <v/>
      </c>
      <c r="BY11" s="55" t="str">
        <f>IF(Tim!GC13=Sheet6!$C$2,Sheet6!$C$2,IF(Tim!GC13=Sheet6!$C$3,Sheet6!$C$3,IF(Tim!GC13=Sheet6!$C$4,Sheet6!$C$4,IF(Tim!GC13=Sheet6!$C$5,Sheet6!$C$5,IF(Tim!GC13=Sheet6!$C$6,Sheet6!$C$6,IF(Tim!GC13=Sheet6!$C$7,Sheet6!$C$7,IF(Tim!GC13=Sheet6!$C$8,Sheet6!$C$8,"")))))))</f>
        <v/>
      </c>
      <c r="BZ11" s="53" t="str">
        <f>IF(Tim!GD13=Sheet6!$C$2,Sheet6!$C$2,IF(Tim!GD13=Sheet6!$C$3,Sheet6!$C$3,IF(Tim!GD13=Sheet6!$C$4,Sheet6!$C$4,IF(Tim!GD13=Sheet6!$C$5,Sheet6!$C$5,IF(Tim!GD13=Sheet6!$C$6,Sheet6!$C$6,IF(Tim!GD13=Sheet6!$C$7,Sheet6!$C$7,IF(Tim!GD13=Sheet6!$C$8,Sheet6!$C$8,"")))))))</f>
        <v/>
      </c>
      <c r="CA11" s="57" t="str">
        <f>IF(Tim!GE13=Sheet6!$C$2,Sheet6!$C$2,IF(Tim!GE13=Sheet6!$C$3,Sheet6!$C$3,IF(Tim!GE13=Sheet6!$C$4,Sheet6!$C$4,IF(Tim!GE13=Sheet6!$C$5,Sheet6!$C$5,IF(Tim!GE13=Sheet6!$C$6,Sheet6!$C$6,IF(Tim!GE13=Sheet6!$C$7,Sheet6!$C$7,IF(Tim!GE13=Sheet6!$C$8,Sheet6!$C$8,"")))))))</f>
        <v/>
      </c>
      <c r="CB11" s="57" t="str">
        <f>IF(Tim!GI13=Sheet6!$C$2,Sheet6!$C$2,IF(Tim!GI13=Sheet6!$C$3,Sheet6!$C$3,IF(Tim!GI13=Sheet6!$C$4,Sheet6!$C$4,IF(Tim!GI13=Sheet6!$C$5,Sheet6!$C$5,IF(Tim!GI13=Sheet6!$C$6,Sheet6!$C$6,IF(Tim!GI13=Sheet6!$C$7,Sheet6!$C$7,IF(Tim!GI13=Sheet6!$C$8,Sheet6!$C$8,"")))))))</f>
        <v/>
      </c>
      <c r="CC11" s="57" t="str">
        <f>IF(Tim!GJ13=Sheet6!$C$2,Sheet6!$C$2,IF(Tim!GJ13=Sheet6!$C$3,Sheet6!$C$3,IF(Tim!GJ13=Sheet6!$C$4,Sheet6!$C$4,IF(Tim!GJ13=Sheet6!$C$5,Sheet6!$C$5,IF(Tim!GJ13=Sheet6!$C$6,Sheet6!$C$6,IF(Tim!GJ13=Sheet6!$C$7,Sheet6!$C$7,IF(Tim!GJ13=Sheet6!$C$8,Sheet6!$C$8,"")))))))</f>
        <v/>
      </c>
      <c r="CD11" s="57" t="str">
        <f>IF(Tim!GN13=Sheet6!$C$2,Sheet6!$C$2,IF(Tim!GN13=Sheet6!$C$3,Sheet6!$C$3,IF(Tim!GN13=Sheet6!$C$4,Sheet6!$C$4,IF(Tim!GN13=Sheet6!$C$5,Sheet6!$C$5,IF(Tim!GN13=Sheet6!$C$6,Sheet6!$C$6,IF(Tim!GN13=Sheet6!$C$7,Sheet6!$C$7,IF(Tim!GN13=Sheet6!$C$8,Sheet6!$C$8,"")))))))</f>
        <v/>
      </c>
      <c r="CE11" s="53" t="str">
        <f>IF(Tim!GY13=Sheet6!$C$2,Sheet6!$C$2,IF(Tim!GY13=Sheet6!$C$3,Sheet6!$C$3,IF(Tim!GY13=Sheet6!$C$4,Sheet6!$C$4,IF(Tim!GY13=Sheet6!$C$5,Sheet6!$C$5,IF(Tim!GY13=Sheet6!$C$6,Sheet6!$C$6,IF(Tim!GY13=Sheet6!$C$7,Sheet6!$C$7,IF(Tim!GY13=Sheet6!$C$8,Sheet6!$C$8,"")))))))</f>
        <v/>
      </c>
      <c r="CF11" s="53" t="str">
        <f>IF(Tim!GZ13=Sheet6!$C$2,Sheet6!$C$2,IF(Tim!GZ13=Sheet6!$C$3,Sheet6!$C$3,IF(Tim!GZ13=Sheet6!$C$4,Sheet6!$C$4,IF(Tim!GZ13=Sheet6!$C$5,Sheet6!$C$5,IF(Tim!GZ13=Sheet6!$C$6,Sheet6!$C$6,IF(Tim!GZ13=Sheet6!$C$7,Sheet6!$C$7,IF(Tim!GZ13=Sheet6!$C$8,Sheet6!$C$8,"")))))))</f>
        <v/>
      </c>
      <c r="CG11" s="53" t="str">
        <f>IF(Tim!HH13=Sheet6!$C$2,Sheet6!$C$2,IF(Tim!HH13=Sheet6!$C$3,Sheet6!$C$3,IF(Tim!HH13=Sheet6!$C$4,Sheet6!$C$4,IF(Tim!HH13=Sheet6!$C$5,Sheet6!$C$5,IF(Tim!HH13=Sheet6!$C$6,Sheet6!$C$6,IF(Tim!HH13=Sheet6!$C$7,Sheet6!$C$7,IF(Tim!HH13=Sheet6!$C$8,Sheet6!$C$8,"")))))))</f>
        <v/>
      </c>
      <c r="CH11" s="53" t="str">
        <f>IF(Tim!HI13=Sheet6!$C$2,Sheet6!$C$2,IF(Tim!HI13=Sheet6!$C$3,Sheet6!$C$3,IF(Tim!HI13=Sheet6!$C$4,Sheet6!$C$4,IF(Tim!HI13=Sheet6!$C$5,Sheet6!$C$5,IF(Tim!HI13=Sheet6!$C$6,Sheet6!$C$6,IF(Tim!HI13=Sheet6!$C$7,Sheet6!$C$7,IF(Tim!HI13=Sheet6!$C$8,Sheet6!$C$8,"")))))))</f>
        <v/>
      </c>
      <c r="CI11" s="53" t="str">
        <f>IF(Tim!HJ13=Sheet6!$C$2,Sheet6!$C$2,IF(Tim!HJ13=Sheet6!$C$3,Sheet6!$C$3,IF(Tim!HJ13=Sheet6!$C$4,Sheet6!$C$4,IF(Tim!HJ13=Sheet6!$C$5,Sheet6!$C$5,IF(Tim!HJ13=Sheet6!$C$6,Sheet6!$C$6,IF(Tim!HJ13=Sheet6!$C$7,Sheet6!$C$7,IF(Tim!HJ13=Sheet6!$C$8,Sheet6!$C$8,"")))))))</f>
        <v/>
      </c>
      <c r="CJ11" s="53" t="str">
        <f>IF(Tim!HK13=Sheet6!$C$2,Sheet6!$C$2,IF(Tim!HK13=Sheet6!$C$3,Sheet6!$C$3,IF(Tim!HK13=Sheet6!$C$4,Sheet6!$C$4,IF(Tim!HK13=Sheet6!$C$5,Sheet6!$C$5,IF(Tim!HK13=Sheet6!$C$6,Sheet6!$C$6,IF(Tim!HK13=Sheet6!$C$7,Sheet6!$C$7,IF(Tim!HK13=Sheet6!$C$8,Sheet6!$C$8,"")))))))</f>
        <v/>
      </c>
      <c r="CK11" s="53" t="str">
        <f>IF(Tim!HL13=Sheet6!$C$2,Sheet6!$C$2,IF(Tim!HL13=Sheet6!$C$3,Sheet6!$C$3,IF(Tim!HL13=Sheet6!$C$4,Sheet6!$C$4,IF(Tim!HL13=Sheet6!$C$5,Sheet6!$C$5,IF(Tim!HL13=Sheet6!$C$6,Sheet6!$C$6,IF(Tim!HL13=Sheet6!$C$7,Sheet6!$C$7,IF(Tim!HL13=Sheet6!$C$8,Sheet6!$C$8,"")))))))</f>
        <v/>
      </c>
      <c r="CL11" s="53" t="str">
        <f>IF(Tim!HM13=Sheet6!$C$2,Sheet6!$C$2,IF(Tim!HM13=Sheet6!$C$3,Sheet6!$C$3,IF(Tim!HM13=Sheet6!$C$4,Sheet6!$C$4,IF(Tim!HM13=Sheet6!$C$5,Sheet6!$C$5,IF(Tim!HM13=Sheet6!$C$6,Sheet6!$C$6,IF(Tim!HM13=Sheet6!$C$7,Sheet6!$C$7,IF(Tim!HM13=Sheet6!$C$8,Sheet6!$C$8,"")))))))</f>
        <v/>
      </c>
      <c r="CM11" s="53" t="str">
        <f>IF(Tim!HQ13=Sheet6!$C$2,Sheet6!$C$2,IF(Tim!HQ13=Sheet6!$C$3,Sheet6!$C$3,IF(Tim!HQ13=Sheet6!$C$4,Sheet6!$C$4,IF(Tim!HQ13=Sheet6!$C$5,Sheet6!$C$5,IF(Tim!HQ13=Sheet6!$C$6,Sheet6!$C$6,IF(Tim!HQ13=Sheet6!$C$7,Sheet6!$C$7,IF(Tim!HQ13=Sheet6!$C$8,Sheet6!$C$8,"")))))))</f>
        <v/>
      </c>
      <c r="CN11" s="54" t="str">
        <f>IF(Tim!HR13=Sheet6!$C$2,Sheet6!$C$2,IF(Tim!HR13=Sheet6!$C$3,Sheet6!$C$3,IF(Tim!HR13=Sheet6!$C$4,Sheet6!$C$4,IF(Tim!HR13=Sheet6!$C$5,Sheet6!$C$5,IF(Tim!HR13=Sheet6!$C$6,Sheet6!$C$6,IF(Tim!HR13=Sheet6!$C$7,Sheet6!$C$7,IF(Tim!HR13=Sheet6!$C$8,Sheet6!$C$8,"")))))))</f>
        <v/>
      </c>
      <c r="CO11" s="54" t="str">
        <f>IF(Tim!HS13=Sheet6!$C$2,Sheet6!$C$2,IF(Tim!HS13=Sheet6!$C$3,Sheet6!$C$3,IF(Tim!HS13=Sheet6!$C$4,Sheet6!$C$4,IF(Tim!HS13=Sheet6!$C$5,Sheet6!$C$5,IF(Tim!HS13=Sheet6!$C$6,Sheet6!$C$6,IF(Tim!HS13=Sheet6!$C$7,Sheet6!$C$7,IF(Tim!HS13=Sheet6!$C$8,Sheet6!$C$8,"")))))))</f>
        <v/>
      </c>
      <c r="CP11" s="54" t="str">
        <f>IF(Tim!HT13=Sheet6!$C$2,Sheet6!$C$2,IF(Tim!HT13=Sheet6!$C$3,Sheet6!$C$3,IF(Tim!HT13=Sheet6!$C$4,Sheet6!$C$4,IF(Tim!HT13=Sheet6!$C$5,Sheet6!$C$5,IF(Tim!HT13=Sheet6!$C$6,Sheet6!$C$6,IF(Tim!HT13=Sheet6!$C$7,Sheet6!$C$7,IF(Tim!HT13=Sheet6!$C$8,Sheet6!$C$8,"")))))))</f>
        <v/>
      </c>
      <c r="CQ11" s="55" t="str">
        <f>IF(Tim!HU13=Sheet6!$C$2,Sheet6!$C$2,IF(Tim!HU13=Sheet6!$C$3,Sheet6!$C$3,IF(Tim!HU13=Sheet6!$C$4,Sheet6!$C$4,IF(Tim!HU13=Sheet6!$C$5,Sheet6!$C$5,IF(Tim!HU13=Sheet6!$C$6,Sheet6!$C$6,IF(Tim!HU13=Sheet6!$C$7,Sheet6!$C$7,IF(Tim!HU13=Sheet6!$C$8,Sheet6!$C$8,"")))))))</f>
        <v/>
      </c>
      <c r="CR11" s="469"/>
      <c r="CS11" s="366"/>
      <c r="CT11" s="366"/>
      <c r="CU11" s="366"/>
      <c r="CV11" s="366"/>
      <c r="CW11" s="366"/>
      <c r="CX11" s="366"/>
      <c r="CY11" s="366"/>
      <c r="CZ11" s="366"/>
      <c r="DA11" s="366"/>
      <c r="DB11" s="366"/>
      <c r="DC11" s="366"/>
      <c r="DD11" s="366"/>
      <c r="DE11" s="366"/>
      <c r="DF11" s="366"/>
      <c r="DG11" s="428"/>
      <c r="DH11" s="469"/>
      <c r="DI11" s="366"/>
      <c r="DJ11" s="366"/>
      <c r="DK11" s="366"/>
      <c r="DL11" s="366"/>
      <c r="DM11" s="366"/>
      <c r="DN11" s="366"/>
      <c r="DO11" s="366"/>
      <c r="DP11" s="366"/>
      <c r="DQ11" s="366"/>
      <c r="DR11" s="366"/>
      <c r="DS11" s="366"/>
      <c r="DT11" s="366"/>
      <c r="DU11" s="366"/>
      <c r="DV11" s="366"/>
      <c r="DW11" s="428"/>
      <c r="DX11" s="52">
        <v>0.35416666666666602</v>
      </c>
    </row>
    <row r="12" spans="2:128" ht="10.5" customHeight="1" thickBot="1">
      <c r="B12" s="51">
        <v>0.25</v>
      </c>
      <c r="C12" s="51">
        <v>0.25</v>
      </c>
      <c r="D12" s="51">
        <v>0.25</v>
      </c>
      <c r="E12" s="52">
        <v>0.36458333333333298</v>
      </c>
      <c r="F12" s="53" t="str">
        <f>IF(Tim!F14=Sheet6!$C$2,Sheet6!$C$2,IF(Tim!F14=Sheet6!$C$3,Sheet6!$C$3,IF(Tim!F14=Sheet6!$C$4,Sheet6!$C$4,IF(Tim!F14=Sheet6!$C$5,Sheet6!$C$5,IF(Tim!F14=Sheet6!$C$6,Sheet6!$C$6,IF(Tim!F14=Sheet6!$C$7,Sheet6!$C$7,IF(Tim!F14=Sheet6!$C$8,Sheet6!$C$8,"")))))))</f>
        <v/>
      </c>
      <c r="G12" s="53" t="str">
        <f>IF(Tim!G14=Sheet6!$C$2,Sheet6!$C$2,IF(Tim!G14=Sheet6!$C$3,Sheet6!$C$3,IF(Tim!G14=Sheet6!$C$4,Sheet6!$C$4,IF(Tim!G14=Sheet6!$C$5,Sheet6!$C$5,IF(Tim!G14=Sheet6!$C$6,Sheet6!$C$6,IF(Tim!G14=Sheet6!$C$7,Sheet6!$C$7,IF(Tim!G14=Sheet6!$C$8,Sheet6!$C$8,"")))))))</f>
        <v/>
      </c>
      <c r="H12" s="53" t="str">
        <f>IF(Tim!H14=Sheet6!$C$2,Sheet6!$C$2,IF(Tim!H14=Sheet6!$C$3,Sheet6!$C$3,IF(Tim!H14=Sheet6!$C$4,Sheet6!$C$4,IF(Tim!H14=Sheet6!$C$5,Sheet6!$C$5,IF(Tim!H14=Sheet6!$C$6,Sheet6!$C$6,IF(Tim!H14=Sheet6!$C$7,Sheet6!$C$7,IF(Tim!H14=Sheet6!$C$8,Sheet6!$C$8,"")))))))</f>
        <v/>
      </c>
      <c r="I12" s="53" t="str">
        <f>IF(Tim!L14=Sheet6!$C$2,Sheet6!$C$2,IF(Tim!L14=Sheet6!$C$3,Sheet6!$C$3,IF(Tim!L14=Sheet6!$C$4,Sheet6!$C$4,IF(Tim!L14=Sheet6!$C$5,Sheet6!$C$5,IF(Tim!L14=Sheet6!$C$6,Sheet6!$C$6,IF(Tim!L14=Sheet6!$C$7,Sheet6!$C$7,IF(Tim!L14=Sheet6!$C$8,Sheet6!$C$8,"")))))))</f>
        <v/>
      </c>
      <c r="J12" s="53" t="str">
        <f>IF(Tim!T14=Sheet6!$C$2,Sheet6!$C$2,IF(Tim!T14=Sheet6!$C$3,Sheet6!$C$3,IF(Tim!T14=Sheet6!$C$4,Sheet6!$C$4,IF(Tim!T14=Sheet6!$C$5,Sheet6!$C$5,IF(Tim!T14=Sheet6!$C$6,Sheet6!$C$6,IF(Tim!T14=Sheet6!$C$7,Sheet6!$C$7,IF(Tim!T14=Sheet6!$C$8,Sheet6!$C$8,"")))))))</f>
        <v/>
      </c>
      <c r="K12" s="53" t="str">
        <f>IF(Tim!AB14=Sheet6!$C$2,Sheet6!$C$2,IF(Tim!AB14=Sheet6!$C$3,Sheet6!$C$3,IF(Tim!AB14=Sheet6!$C$4,Sheet6!$C$4,IF(Tim!AB14=Sheet6!$C$5,Sheet6!$C$5,IF(Tim!AB14=Sheet6!$C$6,Sheet6!$C$6,IF(Tim!AB14=Sheet6!$C$7,Sheet6!$C$7,IF(Tim!AB14=Sheet6!$C$8,Sheet6!$C$8,"")))))))</f>
        <v/>
      </c>
      <c r="L12" s="53" t="str">
        <f>IF(Tim!AC14=Sheet6!$C$2,Sheet6!$C$2,IF(Tim!AC14=Sheet6!$C$3,Sheet6!$C$3,IF(Tim!AC14=Sheet6!$C$4,Sheet6!$C$4,IF(Tim!AC14=Sheet6!$C$5,Sheet6!$C$5,IF(Tim!AC14=Sheet6!$C$6,Sheet6!$C$6,IF(Tim!AC14=Sheet6!$C$7,Sheet6!$C$7,IF(Tim!AC14=Sheet6!$C$8,Sheet6!$C$8,"")))))))</f>
        <v/>
      </c>
      <c r="M12" s="53" t="str">
        <f>IF(Tim!AJ14=Sheet6!$C$2,Sheet6!$C$2,IF(Tim!AJ14=Sheet6!$C$3,Sheet6!$C$3,IF(Tim!AJ14=Sheet6!$C$4,Sheet6!$C$4,IF(Tim!AJ14=Sheet6!$C$5,Sheet6!$C$5,IF(Tim!AJ14=Sheet6!$C$6,Sheet6!$C$6,IF(Tim!AJ14=Sheet6!$C$7,Sheet6!$C$7,IF(Tim!AJ14=Sheet6!$C$8,Sheet6!$C$8,"")))))))</f>
        <v/>
      </c>
      <c r="N12" s="53" t="str">
        <f>IF(Tim!AK14=Sheet6!$C$2,Sheet6!$C$2,IF(Tim!AK14=Sheet6!$C$3,Sheet6!$C$3,IF(Tim!AK14=Sheet6!$C$4,Sheet6!$C$4,IF(Tim!AK14=Sheet6!$C$5,Sheet6!$C$5,IF(Tim!AK14=Sheet6!$C$6,Sheet6!$C$6,IF(Tim!AK14=Sheet6!$C$7,Sheet6!$C$7,IF(Tim!AK14=Sheet6!$C$8,Sheet6!$C$8,"")))))))</f>
        <v/>
      </c>
      <c r="O12" s="53" t="str">
        <f>IF(Tim!AL14=Sheet6!$C$2,Sheet6!$C$2,IF(Tim!AL14=Sheet6!$C$3,Sheet6!$C$3,IF(Tim!AL14=Sheet6!$C$4,Sheet6!$C$4,IF(Tim!AL14=Sheet6!$C$5,Sheet6!$C$5,IF(Tim!AL14=Sheet6!$C$6,Sheet6!$C$6,IF(Tim!AL14=Sheet6!$C$7,Sheet6!$C$7,IF(Tim!AL14=Sheet6!$C$8,Sheet6!$C$8,"")))))))</f>
        <v/>
      </c>
      <c r="P12" s="53" t="str">
        <f>IF(Tim!AN14=Sheet6!$C$2,Sheet6!$C$2,IF(Tim!AN14=Sheet6!$C$3,Sheet6!$C$3,IF(Tim!AN14=Sheet6!$C$4,Sheet6!$C$4,IF(Tim!AN14=Sheet6!$C$5,Sheet6!$C$5,IF(Tim!AN14=Sheet6!$C$6,Sheet6!$C$6,IF(Tim!AN14=Sheet6!$C$7,Sheet6!$C$7,IF(Tim!AN14=Sheet6!$C$8,Sheet6!$C$8,"")))))))</f>
        <v/>
      </c>
      <c r="Q12" s="53" t="str">
        <f>IF(Tim!AO14=Sheet6!$C$2,Sheet6!$C$2,IF(Tim!AO14=Sheet6!$C$3,Sheet6!$C$3,IF(Tim!AO14=Sheet6!$C$4,Sheet6!$C$4,IF(Tim!AO14=Sheet6!$C$5,Sheet6!$C$5,IF(Tim!AO14=Sheet6!$C$6,Sheet6!$C$6,IF(Tim!AO14=Sheet6!$C$7,Sheet6!$C$7,IF(Tim!AO14=Sheet6!$C$8,Sheet6!$C$8,"")))))))</f>
        <v/>
      </c>
      <c r="R12" s="53" t="str">
        <f>IF(Tim!AP14=Sheet6!$C$2,Sheet6!$C$2,IF(Tim!AP14=Sheet6!$C$3,Sheet6!$C$3,IF(Tim!AP14=Sheet6!$C$4,Sheet6!$C$4,IF(Tim!AP14=Sheet6!$C$5,Sheet6!$C$5,IF(Tim!AP14=Sheet6!$C$6,Sheet6!$C$6,IF(Tim!AP14=Sheet6!$C$7,Sheet6!$C$7,IF(Tim!AP14=Sheet6!$C$8,Sheet6!$C$8,"")))))))</f>
        <v/>
      </c>
      <c r="S12" s="53" t="str">
        <f>IF(Tim!AT14=Sheet6!$C$2,Sheet6!$C$2,IF(Tim!AT14=Sheet6!$C$3,Sheet6!$C$3,IF(Tim!AT14=Sheet6!$C$4,Sheet6!$C$4,IF(Tim!AT14=Sheet6!$C$5,Sheet6!$C$5,IF(Tim!AT14=Sheet6!$C$6,Sheet6!$C$6,IF(Tim!AT14=Sheet6!$C$7,Sheet6!$C$7,IF(Tim!AT14=Sheet6!$C$8,Sheet6!$C$8,"")))))))</f>
        <v/>
      </c>
      <c r="T12" s="54" t="str">
        <f>IF(Tim!AU14=Sheet6!$C$2,Sheet6!$C$2,IF(Tim!AU14=Sheet6!$C$3,Sheet6!$C$3,IF(Tim!AU14=Sheet6!$C$4,Sheet6!$C$4,IF(Tim!AU14=Sheet6!$C$5,Sheet6!$C$5,IF(Tim!AU14=Sheet6!$C$6,Sheet6!$C$6,IF(Tim!AU14=Sheet6!$C$7,Sheet6!$C$7,IF(Tim!AU14=Sheet6!$C$8,Sheet6!$C$8,"")))))))</f>
        <v/>
      </c>
      <c r="U12" s="54" t="str">
        <f>IF(Tim!AV14=Sheet6!$C$2,Sheet6!$C$2,IF(Tim!AV14=Sheet6!$C$3,Sheet6!$C$3,IF(Tim!AV14=Sheet6!$C$4,Sheet6!$C$4,IF(Tim!AV14=Sheet6!$C$5,Sheet6!$C$5,IF(Tim!AV14=Sheet6!$C$6,Sheet6!$C$6,IF(Tim!AV14=Sheet6!$C$7,Sheet6!$C$7,IF(Tim!AV14=Sheet6!$C$8,Sheet6!$C$8,"")))))))</f>
        <v/>
      </c>
      <c r="V12" s="54" t="str">
        <f>IF(Tim!AW14=Sheet6!$C$2,Sheet6!$C$2,IF(Tim!AW14=Sheet6!$C$3,Sheet6!$C$3,IF(Tim!AW14=Sheet6!$C$4,Sheet6!$C$4,IF(Tim!AW14=Sheet6!$C$5,Sheet6!$C$5,IF(Tim!AW14=Sheet6!$C$6,Sheet6!$C$6,IF(Tim!AW14=Sheet6!$C$7,Sheet6!$C$7,IF(Tim!AW14=Sheet6!$C$8,Sheet6!$C$8,"")))))))</f>
        <v/>
      </c>
      <c r="W12" s="55" t="str">
        <f>IF(Tim!AX14=Sheet6!$C$2,Sheet6!$C$2,IF(Tim!AX14=Sheet6!$C$3,Sheet6!$C$3,IF(Tim!AX14=Sheet6!$C$4,Sheet6!$C$4,IF(Tim!AX14=Sheet6!$C$5,Sheet6!$C$5,IF(Tim!AX14=Sheet6!$C$6,Sheet6!$C$6,IF(Tim!AX14=Sheet6!$C$7,Sheet6!$C$7,IF(Tim!AX14=Sheet6!$C$8,Sheet6!$C$8,"")))))))</f>
        <v/>
      </c>
      <c r="X12" s="53" t="str">
        <f>IF(Tim!AY14=Sheet6!$C$2,Sheet6!$C$2,IF(Tim!AY14=Sheet6!$C$3,Sheet6!$C$3,IF(Tim!AY14=Sheet6!$C$4,Sheet6!$C$4,IF(Tim!AY14=Sheet6!$C$5,Sheet6!$C$5,IF(Tim!AY14=Sheet6!$C$6,Sheet6!$C$6,IF(Tim!AY14=Sheet6!$C$7,Sheet6!$C$7,IF(Tim!AY14=Sheet6!$C$8,Sheet6!$C$8,"")))))))</f>
        <v/>
      </c>
      <c r="Y12" s="57" t="str">
        <f>IF(Tim!AZ14=Sheet6!$C$2,Sheet6!$C$2,IF(Tim!AZ14=Sheet6!$C$3,Sheet6!$C$3,IF(Tim!AZ14=Sheet6!$C$4,Sheet6!$C$4,IF(Tim!AZ14=Sheet6!$C$5,Sheet6!$C$5,IF(Tim!AZ14=Sheet6!$C$6,Sheet6!$C$6,IF(Tim!AZ14=Sheet6!$C$7,Sheet6!$C$7,IF(Tim!AZ14=Sheet6!$C$8,Sheet6!$C$8,"")))))))</f>
        <v/>
      </c>
      <c r="Z12" s="57" t="str">
        <f>IF(Tim!BD14=Sheet6!$C$2,Sheet6!$C$2,IF(Tim!BD14=Sheet6!$C$3,Sheet6!$C$3,IF(Tim!BD14=Sheet6!$C$4,Sheet6!$C$4,IF(Tim!BD14=Sheet6!$C$5,Sheet6!$C$5,IF(Tim!BD14=Sheet6!$C$6,Sheet6!$C$6,IF(Tim!BD14=Sheet6!$C$7,Sheet6!$C$7,IF(Tim!BD14=Sheet6!$C$8,Sheet6!$C$8,"")))))))</f>
        <v/>
      </c>
      <c r="AA12" s="57" t="str">
        <f>IF(Tim!BE14=Sheet6!$C$2,Sheet6!$C$2,IF(Tim!BE14=Sheet6!$C$3,Sheet6!$C$3,IF(Tim!BE14=Sheet6!$C$4,Sheet6!$C$4,IF(Tim!BE14=Sheet6!$C$5,Sheet6!$C$5,IF(Tim!BE14=Sheet6!$C$6,Sheet6!$C$6,IF(Tim!BE14=Sheet6!$C$7,Sheet6!$C$7,IF(Tim!BE14=Sheet6!$C$8,Sheet6!$C$8,"")))))))</f>
        <v/>
      </c>
      <c r="AB12" s="57" t="str">
        <f>IF(Tim!BL14=Sheet6!$C$2,Sheet6!$C$2,IF(Tim!BL14=Sheet6!$C$3,Sheet6!$C$3,IF(Tim!BL14=Sheet6!$C$4,Sheet6!$C$4,IF(Tim!BL14=Sheet6!$C$5,Sheet6!$C$5,IF(Tim!BL14=Sheet6!$C$6,Sheet6!$C$6,IF(Tim!BL14=Sheet6!$C$7,Sheet6!$C$7,IF(Tim!BL14=Sheet6!$C$8,Sheet6!$C$8,"")))))))</f>
        <v/>
      </c>
      <c r="AC12" s="53" t="str">
        <f>IF(Tim!BT14=Sheet6!$C$2,Sheet6!$C$2,IF(Tim!BT14=Sheet6!$C$3,Sheet6!$C$3,IF(Tim!BT14=Sheet6!$C$4,Sheet6!$C$4,IF(Tim!BT14=Sheet6!$C$5,Sheet6!$C$5,IF(Tim!BT14=Sheet6!$C$6,Sheet6!$C$6,IF(Tim!BT14=Sheet6!$C$7,Sheet6!$C$7,IF(Tim!BT14=Sheet6!$C$8,Sheet6!$C$8,"")))))))</f>
        <v/>
      </c>
      <c r="AD12" s="53" t="str">
        <f>IF(Tim!BU14=Sheet6!$C$2,Sheet6!$C$2,IF(Tim!BU14=Sheet6!$C$3,Sheet6!$C$3,IF(Tim!BU14=Sheet6!$C$4,Sheet6!$C$4,IF(Tim!BU14=Sheet6!$C$5,Sheet6!$C$5,IF(Tim!BU14=Sheet6!$C$6,Sheet6!$C$6,IF(Tim!BU14=Sheet6!$C$7,Sheet6!$C$7,IF(Tim!BU14=Sheet6!$C$8,Sheet6!$C$8,"")))))))</f>
        <v/>
      </c>
      <c r="AE12" s="53" t="str">
        <f>IF(Tim!CB14=Sheet6!$C$2,Sheet6!$C$2,IF(Tim!CB14=Sheet6!$C$3,Sheet6!$C$3,IF(Tim!CB14=Sheet6!$C$4,Sheet6!$C$4,IF(Tim!CB14=Sheet6!$C$5,Sheet6!$C$5,IF(Tim!CB14=Sheet6!$C$6,Sheet6!$C$6,IF(Tim!CB14=Sheet6!$C$7,Sheet6!$C$7,IF(Tim!CB14=Sheet6!$C$8,Sheet6!$C$8,"")))))))</f>
        <v/>
      </c>
      <c r="AF12" s="53" t="str">
        <f>IF(Tim!CD14=Sheet6!$C$2,Sheet6!$C$2,IF(Tim!CD14=Sheet6!$C$3,Sheet6!$C$3,IF(Tim!CD14=Sheet6!$C$4,Sheet6!$C$4,IF(Tim!CD14=Sheet6!$C$5,Sheet6!$C$5,IF(Tim!CD14=Sheet6!$C$6,Sheet6!$C$6,IF(Tim!CD14=Sheet6!$C$7,Sheet6!$C$7,IF(Tim!CD14=Sheet6!$C$8,Sheet6!$C$8,"")))))))</f>
        <v/>
      </c>
      <c r="AG12" s="53" t="str">
        <f>IF(Tim!CE14=Sheet6!$C$2,Sheet6!$C$2,IF(Tim!CE14=Sheet6!$C$3,Sheet6!$C$3,IF(Tim!CE14=Sheet6!$C$4,Sheet6!$C$4,IF(Tim!CE14=Sheet6!$C$5,Sheet6!$C$5,IF(Tim!CE14=Sheet6!$C$6,Sheet6!$C$6,IF(Tim!CE14=Sheet6!$C$7,Sheet6!$C$7,IF(Tim!CE14=Sheet6!$C$8,Sheet6!$C$8,"")))))))</f>
        <v/>
      </c>
      <c r="AH12" s="53" t="str">
        <f>IF(Tim!CF14=Sheet6!$C$2,Sheet6!$C$2,IF(Tim!CF14=Sheet6!$C$3,Sheet6!$C$3,IF(Tim!CF14=Sheet6!$C$4,Sheet6!$C$4,IF(Tim!CF14=Sheet6!$C$5,Sheet6!$C$5,IF(Tim!CF14=Sheet6!$C$6,Sheet6!$C$6,IF(Tim!CF14=Sheet6!$C$7,Sheet6!$C$7,IF(Tim!CF14=Sheet6!$C$8,Sheet6!$C$8,"")))))))</f>
        <v/>
      </c>
      <c r="AI12" s="53" t="str">
        <f>IF(Tim!CG14=Sheet6!$C$2,Sheet6!$C$2,IF(Tim!CG14=Sheet6!$C$3,Sheet6!$C$3,IF(Tim!CG14=Sheet6!$C$4,Sheet6!$C$4,IF(Tim!CG14=Sheet6!$C$5,Sheet6!$C$5,IF(Tim!CG14=Sheet6!$C$6,Sheet6!$C$6,IF(Tim!CG14=Sheet6!$C$7,Sheet6!$C$7,IF(Tim!CG14=Sheet6!$C$8,Sheet6!$C$8,"")))))))</f>
        <v/>
      </c>
      <c r="AJ12" s="53" t="str">
        <f>IF(Tim!CH14=Sheet6!$C$2,Sheet6!$C$2,IF(Tim!CH14=Sheet6!$C$3,Sheet6!$C$3,IF(Tim!CH14=Sheet6!$C$4,Sheet6!$C$4,IF(Tim!CH14=Sheet6!$C$5,Sheet6!$C$5,IF(Tim!CH14=Sheet6!$C$6,Sheet6!$C$6,IF(Tim!CH14=Sheet6!$C$7,Sheet6!$C$7,IF(Tim!CH14=Sheet6!$C$8,Sheet6!$C$8,"")))))))</f>
        <v/>
      </c>
      <c r="AK12" s="53" t="str">
        <f>IF(Tim!CL14=Sheet6!$C$2,Sheet6!$C$2,IF(Tim!CL14=Sheet6!$C$3,Sheet6!$C$3,IF(Tim!CL14=Sheet6!$C$4,Sheet6!$C$4,IF(Tim!CL14=Sheet6!$C$5,Sheet6!$C$5,IF(Tim!CL14=Sheet6!$C$6,Sheet6!$C$6,IF(Tim!CL14=Sheet6!$C$7,Sheet6!$C$7,IF(Tim!CL14=Sheet6!$C$8,Sheet6!$C$8,"")))))))</f>
        <v/>
      </c>
      <c r="AL12" s="54" t="str">
        <f>IF(Tim!CM14=Sheet6!$C$2,Sheet6!$C$2,IF(Tim!CM14=Sheet6!$C$3,Sheet6!$C$3,IF(Tim!CM14=Sheet6!$C$4,Sheet6!$C$4,IF(Tim!CM14=Sheet6!$C$5,Sheet6!$C$5,IF(Tim!CM14=Sheet6!$C$6,Sheet6!$C$6,IF(Tim!CM14=Sheet6!$C$7,Sheet6!$C$7,IF(Tim!CM14=Sheet6!$C$8,Sheet6!$C$8,"")))))))</f>
        <v/>
      </c>
      <c r="AM12" s="54" t="str">
        <f>IF(Tim!CN14=Sheet6!$C$2,Sheet6!$C$2,IF(Tim!CN14=Sheet6!$C$3,Sheet6!$C$3,IF(Tim!CN14=Sheet6!$C$4,Sheet6!$C$4,IF(Tim!CN14=Sheet6!$C$5,Sheet6!$C$5,IF(Tim!CN14=Sheet6!$C$6,Sheet6!$C$6,IF(Tim!CN14=Sheet6!$C$7,Sheet6!$C$7,IF(Tim!CN14=Sheet6!$C$8,Sheet6!$C$8,"")))))))</f>
        <v/>
      </c>
      <c r="AN12" s="54" t="str">
        <f>IF(Tim!CO14=Sheet6!$C$2,Sheet6!$C$2,IF(Tim!CO14=Sheet6!$C$3,Sheet6!$C$3,IF(Tim!CO14=Sheet6!$C$4,Sheet6!$C$4,IF(Tim!CO14=Sheet6!$C$5,Sheet6!$C$5,IF(Tim!CO14=Sheet6!$C$6,Sheet6!$C$6,IF(Tim!CO14=Sheet6!$C$7,Sheet6!$C$7,IF(Tim!CO14=Sheet6!$C$8,Sheet6!$C$8,"")))))))</f>
        <v/>
      </c>
      <c r="AO12" s="55" t="str">
        <f>IF(Tim!CP14=Sheet6!$C$2,Sheet6!$C$2,IF(Tim!CP14=Sheet6!$C$3,Sheet6!$C$3,IF(Tim!CP14=Sheet6!$C$4,Sheet6!$C$4,IF(Tim!CP14=Sheet6!$C$5,Sheet6!$C$5,IF(Tim!CP14=Sheet6!$C$6,Sheet6!$C$6,IF(Tim!CP14=Sheet6!$C$7,Sheet6!$C$7,IF(Tim!CP14=Sheet6!$C$8,Sheet6!$C$8,"")))))))</f>
        <v/>
      </c>
      <c r="AP12" s="53" t="str">
        <f>IF(Tim!CQ14=Sheet6!$C$2,Sheet6!$C$2,IF(Tim!CQ14=Sheet6!$C$3,Sheet6!$C$3,IF(Tim!CQ14=Sheet6!$C$4,Sheet6!$C$4,IF(Tim!CQ14=Sheet6!$C$5,Sheet6!$C$5,IF(Tim!CQ14=Sheet6!$C$6,Sheet6!$C$6,IF(Tim!CQ14=Sheet6!$C$7,Sheet6!$C$7,IF(Tim!CQ14=Sheet6!$C$8,Sheet6!$C$8,"")))))))</f>
        <v/>
      </c>
      <c r="AQ12" s="57" t="str">
        <f>IF(Tim!CR14=Sheet6!$C$2,Sheet6!$C$2,IF(Tim!CR14=Sheet6!$C$3,Sheet6!$C$3,IF(Tim!CR14=Sheet6!$C$4,Sheet6!$C$4,IF(Tim!CR14=Sheet6!$C$5,Sheet6!$C$5,IF(Tim!CR14=Sheet6!$C$6,Sheet6!$C$6,IF(Tim!CR14=Sheet6!$C$7,Sheet6!$C$7,IF(Tim!CR14=Sheet6!$C$8,Sheet6!$C$8,"")))))))</f>
        <v/>
      </c>
      <c r="AR12" s="57" t="str">
        <f>IF(Tim!CV14=Sheet6!$C$2,Sheet6!$C$2,IF(Tim!CV14=Sheet6!$C$3,Sheet6!$C$3,IF(Tim!CV14=Sheet6!$C$4,Sheet6!$C$4,IF(Tim!CV14=Sheet6!$C$5,Sheet6!$C$5,IF(Tim!CV14=Sheet6!$C$6,Sheet6!$C$6,IF(Tim!CV14=Sheet6!$C$7,Sheet6!$C$7,IF(Tim!CV14=Sheet6!$C$8,Sheet6!$C$8,"")))))))</f>
        <v/>
      </c>
      <c r="AS12" s="57" t="str">
        <f>IF(Tim!CW14=Sheet6!$C$2,Sheet6!$C$2,IF(Tim!CW14=Sheet6!$C$3,Sheet6!$C$3,IF(Tim!CW14=Sheet6!$C$4,Sheet6!$C$4,IF(Tim!CW14=Sheet6!$C$5,Sheet6!$C$5,IF(Tim!CW14=Sheet6!$C$6,Sheet6!$C$6,IF(Tim!CW14=Sheet6!$C$7,Sheet6!$C$7,IF(Tim!CW14=Sheet6!$C$8,Sheet6!$C$8,"")))))))</f>
        <v/>
      </c>
      <c r="AT12" s="57" t="str">
        <f>IF(Tim!DA14=Sheet6!$C$2,Sheet6!$C$2,IF(Tim!DA14=Sheet6!$C$3,Sheet6!$C$3,IF(Tim!DA14=Sheet6!$C$4,Sheet6!$C$4,IF(Tim!DA14=Sheet6!$C$5,Sheet6!$C$5,IF(Tim!DA14=Sheet6!$C$6,Sheet6!$C$6,IF(Tim!DA14=Sheet6!$C$7,Sheet6!$C$7,IF(Tim!DA14=Sheet6!$C$8,Sheet6!$C$8,"")))))))</f>
        <v/>
      </c>
      <c r="AU12" s="53" t="str">
        <f>IF(Tim!DO14=Sheet6!$C$2,Sheet6!$C$2,IF(Tim!DO14=Sheet6!$C$3,Sheet6!$C$3,IF(Tim!DO14=Sheet6!$C$4,Sheet6!$C$4,IF(Tim!DO14=Sheet6!$C$5,Sheet6!$C$5,IF(Tim!DO14=Sheet6!$C$6,Sheet6!$C$6,IF(Tim!DO14=Sheet6!$C$7,Sheet6!$C$7,IF(Tim!DO14=Sheet6!$C$8,Sheet6!$C$8,"")))))))</f>
        <v/>
      </c>
      <c r="AV12" s="53" t="str">
        <f>IF(Tim!DP14=Sheet6!$C$2,Sheet6!$C$2,IF(Tim!DP14=Sheet6!$C$3,Sheet6!$C$3,IF(Tim!DP14=Sheet6!$C$4,Sheet6!$C$4,IF(Tim!DP14=Sheet6!$C$5,Sheet6!$C$5,IF(Tim!DP14=Sheet6!$C$6,Sheet6!$C$6,IF(Tim!DP14=Sheet6!$C$7,Sheet6!$C$7,IF(Tim!DP14=Sheet6!$C$8,Sheet6!$C$8,"")))))))</f>
        <v/>
      </c>
      <c r="AW12" s="53" t="str">
        <f>IF(Tim!DX14=Sheet6!$C$2,Sheet6!$C$2,IF(Tim!DX14=Sheet6!$C$3,Sheet6!$C$3,IF(Tim!DX14=Sheet6!$C$4,Sheet6!$C$4,IF(Tim!DX14=Sheet6!$C$5,Sheet6!$C$5,IF(Tim!DX14=Sheet6!$C$6,Sheet6!$C$6,IF(Tim!DX14=Sheet6!$C$7,Sheet6!$C$7,IF(Tim!DX14=Sheet6!$C$8,Sheet6!$C$8,"")))))))</f>
        <v/>
      </c>
      <c r="AX12" s="53" t="str">
        <f>IF(Tim!DY14=Sheet6!$C$2,Sheet6!$C$2,IF(Tim!DY14=Sheet6!$C$3,Sheet6!$C$3,IF(Tim!DY14=Sheet6!$C$4,Sheet6!$C$4,IF(Tim!DY14=Sheet6!$C$5,Sheet6!$C$5,IF(Tim!DY14=Sheet6!$C$6,Sheet6!$C$6,IF(Tim!DY14=Sheet6!$C$7,Sheet6!$C$7,IF(Tim!DY14=Sheet6!$C$8,Sheet6!$C$8,"")))))))</f>
        <v/>
      </c>
      <c r="AY12" s="53" t="str">
        <f>IF(Tim!DZ14=Sheet6!$C$2,Sheet6!$C$2,IF(Tim!DZ14=Sheet6!$C$3,Sheet6!$C$3,IF(Tim!DZ14=Sheet6!$C$4,Sheet6!$C$4,IF(Tim!DZ14=Sheet6!$C$5,Sheet6!$C$5,IF(Tim!DZ14=Sheet6!$C$6,Sheet6!$C$6,IF(Tim!DZ14=Sheet6!$C$7,Sheet6!$C$7,IF(Tim!DZ14=Sheet6!$C$8,Sheet6!$C$8,"")))))))</f>
        <v/>
      </c>
      <c r="AZ12" s="53" t="str">
        <f>IF(Tim!EA14=Sheet6!$C$2,Sheet6!$C$2,IF(Tim!EA14=Sheet6!$C$3,Sheet6!$C$3,IF(Tim!EA14=Sheet6!$C$4,Sheet6!$C$4,IF(Tim!EA14=Sheet6!$C$5,Sheet6!$C$5,IF(Tim!EA14=Sheet6!$C$6,Sheet6!$C$6,IF(Tim!EA14=Sheet6!$C$7,Sheet6!$C$7,IF(Tim!EA14=Sheet6!$C$8,Sheet6!$C$8,"")))))))</f>
        <v/>
      </c>
      <c r="BA12" s="53" t="str">
        <f>IF(Tim!EB14=Sheet6!$C$2,Sheet6!$C$2,IF(Tim!EB14=Sheet6!$C$3,Sheet6!$C$3,IF(Tim!EB14=Sheet6!$C$4,Sheet6!$C$4,IF(Tim!EB14=Sheet6!$C$5,Sheet6!$C$5,IF(Tim!EB14=Sheet6!$C$6,Sheet6!$C$6,IF(Tim!EB14=Sheet6!$C$7,Sheet6!$C$7,IF(Tim!EB14=Sheet6!$C$8,Sheet6!$C$8,"")))))))</f>
        <v/>
      </c>
      <c r="BB12" s="53" t="str">
        <f>IF(Tim!EC14=Sheet6!$C$2,Sheet6!$C$2,IF(Tim!EC14=Sheet6!$C$3,Sheet6!$C$3,IF(Tim!EC14=Sheet6!$C$4,Sheet6!$C$4,IF(Tim!EC14=Sheet6!$C$5,Sheet6!$C$5,IF(Tim!EC14=Sheet6!$C$6,Sheet6!$C$6,IF(Tim!EC14=Sheet6!$C$7,Sheet6!$C$7,IF(Tim!EC14=Sheet6!$C$8,Sheet6!$C$8,"")))))))</f>
        <v/>
      </c>
      <c r="BC12" s="53" t="str">
        <f>IF(Tim!EG14=Sheet6!$C$2,Sheet6!$C$2,IF(Tim!EG14=Sheet6!$C$3,Sheet6!$C$3,IF(Tim!EG14=Sheet6!$C$4,Sheet6!$C$4,IF(Tim!EG14=Sheet6!$C$5,Sheet6!$C$5,IF(Tim!EG14=Sheet6!$C$6,Sheet6!$C$6,IF(Tim!EG14=Sheet6!$C$7,Sheet6!$C$7,IF(Tim!EG14=Sheet6!$C$8,Sheet6!$C$8,"")))))))</f>
        <v/>
      </c>
      <c r="BD12" s="54" t="str">
        <f>IF(Tim!EH14=Sheet6!$C$2,Sheet6!$C$2,IF(Tim!EH14=Sheet6!$C$3,Sheet6!$C$3,IF(Tim!EH14=Sheet6!$C$4,Sheet6!$C$4,IF(Tim!EH14=Sheet6!$C$5,Sheet6!$C$5,IF(Tim!EH14=Sheet6!$C$6,Sheet6!$C$6,IF(Tim!EH14=Sheet6!$C$7,Sheet6!$C$7,IF(Tim!EH14=Sheet6!$C$8,Sheet6!$C$8,"")))))))</f>
        <v/>
      </c>
      <c r="BE12" s="54" t="str">
        <f>IF(Tim!EI14=Sheet6!$C$2,Sheet6!$C$2,IF(Tim!EI14=Sheet6!$C$3,Sheet6!$C$3,IF(Tim!EI14=Sheet6!$C$4,Sheet6!$C$4,IF(Tim!EI14=Sheet6!$C$5,Sheet6!$C$5,IF(Tim!EI14=Sheet6!$C$6,Sheet6!$C$6,IF(Tim!EI14=Sheet6!$C$7,Sheet6!$C$7,IF(Tim!EI14=Sheet6!$C$8,Sheet6!$C$8,"")))))))</f>
        <v/>
      </c>
      <c r="BF12" s="54" t="str">
        <f>IF(Tim!EJ14=Sheet6!$C$2,Sheet6!$C$2,IF(Tim!EJ14=Sheet6!$C$3,Sheet6!$C$3,IF(Tim!EJ14=Sheet6!$C$4,Sheet6!$C$4,IF(Tim!EJ14=Sheet6!$C$5,Sheet6!$C$5,IF(Tim!EJ14=Sheet6!$C$6,Sheet6!$C$6,IF(Tim!EJ14=Sheet6!$C$7,Sheet6!$C$7,IF(Tim!EJ14=Sheet6!$C$8,Sheet6!$C$8,"")))))))</f>
        <v/>
      </c>
      <c r="BG12" s="55" t="str">
        <f>IF(Tim!EK14=Sheet6!$C$2,Sheet6!$C$2,IF(Tim!EK14=Sheet6!$C$3,Sheet6!$C$3,IF(Tim!EK14=Sheet6!$C$4,Sheet6!$C$4,IF(Tim!EK14=Sheet6!$C$5,Sheet6!$C$5,IF(Tim!EK14=Sheet6!$C$6,Sheet6!$C$6,IF(Tim!EK14=Sheet6!$C$7,Sheet6!$C$7,IF(Tim!EK14=Sheet6!$C$8,Sheet6!$C$8,"")))))))</f>
        <v/>
      </c>
      <c r="BH12" s="53" t="str">
        <f>IF(Tim!EL14=Sheet6!$C$2,Sheet6!$C$2,IF(Tim!EL14=Sheet6!$C$3,Sheet6!$C$3,IF(Tim!EL14=Sheet6!$C$4,Sheet6!$C$4,IF(Tim!EL14=Sheet6!$C$5,Sheet6!$C$5,IF(Tim!EL14=Sheet6!$C$6,Sheet6!$C$6,IF(Tim!EL14=Sheet6!$C$7,Sheet6!$C$7,IF(Tim!EL14=Sheet6!$C$8,Sheet6!$C$8,"")))))))</f>
        <v/>
      </c>
      <c r="BI12" s="57" t="str">
        <f>IF(Tim!EM14=Sheet6!$C$2,Sheet6!$C$2,IF(Tim!EM14=Sheet6!$C$3,Sheet6!$C$3,IF(Tim!EM14=Sheet6!$C$4,Sheet6!$C$4,IF(Tim!EM14=Sheet6!$C$5,Sheet6!$C$5,IF(Tim!EM14=Sheet6!$C$6,Sheet6!$C$6,IF(Tim!EM14=Sheet6!$C$7,Sheet6!$C$7,IF(Tim!EM14=Sheet6!$C$8,Sheet6!$C$8,"")))))))</f>
        <v/>
      </c>
      <c r="BJ12" s="57" t="str">
        <f>IF(Tim!EQ14=Sheet6!$C$2,Sheet6!$C$2,IF(Tim!EQ14=Sheet6!$C$3,Sheet6!$C$3,IF(Tim!EQ14=Sheet6!$C$4,Sheet6!$C$4,IF(Tim!EQ14=Sheet6!$C$5,Sheet6!$C$5,IF(Tim!EQ14=Sheet6!$C$6,Sheet6!$C$6,IF(Tim!EQ14=Sheet6!$C$7,Sheet6!$C$7,IF(Tim!EQ14=Sheet6!$C$8,Sheet6!$C$8,"")))))))</f>
        <v/>
      </c>
      <c r="BK12" s="57" t="str">
        <f>IF(Tim!ER14=Sheet6!$C$2,Sheet6!$C$2,IF(Tim!ER14=Sheet6!$C$3,Sheet6!$C$3,IF(Tim!ER14=Sheet6!$C$4,Sheet6!$C$4,IF(Tim!ER14=Sheet6!$C$5,Sheet6!$C$5,IF(Tim!ER14=Sheet6!$C$6,Sheet6!$C$6,IF(Tim!ER14=Sheet6!$C$7,Sheet6!$C$7,IF(Tim!ER14=Sheet6!$C$8,Sheet6!$C$8,"")))))))</f>
        <v/>
      </c>
      <c r="BL12" s="57" t="str">
        <f>IF(Tim!EZ14=Sheet6!$C$2,Sheet6!$C$2,IF(Tim!EZ14=Sheet6!$C$3,Sheet6!$C$3,IF(Tim!EZ14=Sheet6!$C$4,Sheet6!$C$4,IF(Tim!EZ14=Sheet6!$C$5,Sheet6!$C$5,IF(Tim!EZ14=Sheet6!$C$6,Sheet6!$C$6,IF(Tim!EZ14=Sheet6!$C$7,Sheet6!$C$7,IF(Tim!EZ14=Sheet6!$C$8,Sheet6!$C$8,"")))))))</f>
        <v/>
      </c>
      <c r="BM12" s="53" t="str">
        <f>IF(Tim!FG14=Sheet6!$C$2,Sheet6!$C$2,IF(Tim!FG14=Sheet6!$C$3,Sheet6!$C$3,IF(Tim!FG14=Sheet6!$C$4,Sheet6!$C$4,IF(Tim!FG14=Sheet6!$C$5,Sheet6!$C$5,IF(Tim!FG14=Sheet6!$C$6,Sheet6!$C$6,IF(Tim!FG14=Sheet6!$C$7,Sheet6!$C$7,IF(Tim!FG14=Sheet6!$C$8,Sheet6!$C$8,"")))))))</f>
        <v/>
      </c>
      <c r="BN12" s="53" t="str">
        <f>IF(Tim!FH14=Sheet6!$C$2,Sheet6!$C$2,IF(Tim!FH14=Sheet6!$C$3,Sheet6!$C$3,IF(Tim!FH14=Sheet6!$C$4,Sheet6!$C$4,IF(Tim!FH14=Sheet6!$C$5,Sheet6!$C$5,IF(Tim!FH14=Sheet6!$C$6,Sheet6!$C$6,IF(Tim!FH14=Sheet6!$C$7,Sheet6!$C$7,IF(Tim!FH14=Sheet6!$C$8,Sheet6!$C$8,"")))))))</f>
        <v/>
      </c>
      <c r="BO12" s="53" t="str">
        <f>IF(Tim!FP14=Sheet6!$C$2,Sheet6!$C$2,IF(Tim!FP14=Sheet6!$C$3,Sheet6!$C$3,IF(Tim!FP14=Sheet6!$C$4,Sheet6!$C$4,IF(Tim!FP14=Sheet6!$C$5,Sheet6!$C$5,IF(Tim!FP14=Sheet6!$C$6,Sheet6!$C$6,IF(Tim!FP14=Sheet6!$C$7,Sheet6!$C$7,IF(Tim!FP14=Sheet6!$C$8,Sheet6!$C$8,"")))))))</f>
        <v/>
      </c>
      <c r="BP12" s="53" t="str">
        <f>IF(Tim!FQ14=Sheet6!$C$2,Sheet6!$C$2,IF(Tim!FQ14=Sheet6!$C$3,Sheet6!$C$3,IF(Tim!FQ14=Sheet6!$C$4,Sheet6!$C$4,IF(Tim!FQ14=Sheet6!$C$5,Sheet6!$C$5,IF(Tim!FQ14=Sheet6!$C$6,Sheet6!$C$6,IF(Tim!FQ14=Sheet6!$C$7,Sheet6!$C$7,IF(Tim!FQ14=Sheet6!$C$8,Sheet6!$C$8,"")))))))</f>
        <v/>
      </c>
      <c r="BQ12" s="53" t="str">
        <f>IF(Tim!FR14=Sheet6!$C$2,Sheet6!$C$2,IF(Tim!FR14=Sheet6!$C$3,Sheet6!$C$3,IF(Tim!FR14=Sheet6!$C$4,Sheet6!$C$4,IF(Tim!FR14=Sheet6!$C$5,Sheet6!$C$5,IF(Tim!FR14=Sheet6!$C$6,Sheet6!$C$6,IF(Tim!FR14=Sheet6!$C$7,Sheet6!$C$7,IF(Tim!FR14=Sheet6!$C$8,Sheet6!$C$8,"")))))))</f>
        <v/>
      </c>
      <c r="BR12" s="53" t="str">
        <f>IF(Tim!FS14=Sheet6!$C$2,Sheet6!$C$2,IF(Tim!FS14=Sheet6!$C$3,Sheet6!$C$3,IF(Tim!FS14=Sheet6!$C$4,Sheet6!$C$4,IF(Tim!FS14=Sheet6!$C$5,Sheet6!$C$5,IF(Tim!FS14=Sheet6!$C$6,Sheet6!$C$6,IF(Tim!FS14=Sheet6!$C$7,Sheet6!$C$7,IF(Tim!FS14=Sheet6!$C$8,Sheet6!$C$8,"")))))))</f>
        <v/>
      </c>
      <c r="BS12" s="53" t="str">
        <f>IF(Tim!FT14=Sheet6!$C$2,Sheet6!$C$2,IF(Tim!FT14=Sheet6!$C$3,Sheet6!$C$3,IF(Tim!FT14=Sheet6!$C$4,Sheet6!$C$4,IF(Tim!FT14=Sheet6!$C$5,Sheet6!$C$5,IF(Tim!FT14=Sheet6!$C$6,Sheet6!$C$6,IF(Tim!FT14=Sheet6!$C$7,Sheet6!$C$7,IF(Tim!FT14=Sheet6!$C$8,Sheet6!$C$8,"")))))))</f>
        <v/>
      </c>
      <c r="BT12" s="53" t="str">
        <f>IF(Tim!FU14=Sheet6!$C$2,Sheet6!$C$2,IF(Tim!FU14=Sheet6!$C$3,Sheet6!$C$3,IF(Tim!FU14=Sheet6!$C$4,Sheet6!$C$4,IF(Tim!FU14=Sheet6!$C$5,Sheet6!$C$5,IF(Tim!FU14=Sheet6!$C$6,Sheet6!$C$6,IF(Tim!FU14=Sheet6!$C$7,Sheet6!$C$7,IF(Tim!FU14=Sheet6!$C$8,Sheet6!$C$8,"")))))))</f>
        <v/>
      </c>
      <c r="BU12" s="53" t="str">
        <f>IF(Tim!FY14=Sheet6!$C$2,Sheet6!$C$2,IF(Tim!FY14=Sheet6!$C$3,Sheet6!$C$3,IF(Tim!FY14=Sheet6!$C$4,Sheet6!$C$4,IF(Tim!FY14=Sheet6!$C$5,Sheet6!$C$5,IF(Tim!FY14=Sheet6!$C$6,Sheet6!$C$6,IF(Tim!FY14=Sheet6!$C$7,Sheet6!$C$7,IF(Tim!FY14=Sheet6!$C$8,Sheet6!$C$8,"")))))))</f>
        <v/>
      </c>
      <c r="BV12" s="54" t="str">
        <f>IF(Tim!FZ14=Sheet6!$C$2,Sheet6!$C$2,IF(Tim!FZ14=Sheet6!$C$3,Sheet6!$C$3,IF(Tim!FZ14=Sheet6!$C$4,Sheet6!$C$4,IF(Tim!FZ14=Sheet6!$C$5,Sheet6!$C$5,IF(Tim!FZ14=Sheet6!$C$6,Sheet6!$C$6,IF(Tim!FZ14=Sheet6!$C$7,Sheet6!$C$7,IF(Tim!FZ14=Sheet6!$C$8,Sheet6!$C$8,"")))))))</f>
        <v/>
      </c>
      <c r="BW12" s="54" t="str">
        <f>IF(Tim!GA14=Sheet6!$C$2,Sheet6!$C$2,IF(Tim!GA14=Sheet6!$C$3,Sheet6!$C$3,IF(Tim!GA14=Sheet6!$C$4,Sheet6!$C$4,IF(Tim!GA14=Sheet6!$C$5,Sheet6!$C$5,IF(Tim!GA14=Sheet6!$C$6,Sheet6!$C$6,IF(Tim!GA14=Sheet6!$C$7,Sheet6!$C$7,IF(Tim!GA14=Sheet6!$C$8,Sheet6!$C$8,"")))))))</f>
        <v/>
      </c>
      <c r="BX12" s="54" t="str">
        <f>IF(Tim!GB14=Sheet6!$C$2,Sheet6!$C$2,IF(Tim!GB14=Sheet6!$C$3,Sheet6!$C$3,IF(Tim!GB14=Sheet6!$C$4,Sheet6!$C$4,IF(Tim!GB14=Sheet6!$C$5,Sheet6!$C$5,IF(Tim!GB14=Sheet6!$C$6,Sheet6!$C$6,IF(Tim!GB14=Sheet6!$C$7,Sheet6!$C$7,IF(Tim!GB14=Sheet6!$C$8,Sheet6!$C$8,"")))))))</f>
        <v/>
      </c>
      <c r="BY12" s="55" t="str">
        <f>IF(Tim!GC14=Sheet6!$C$2,Sheet6!$C$2,IF(Tim!GC14=Sheet6!$C$3,Sheet6!$C$3,IF(Tim!GC14=Sheet6!$C$4,Sheet6!$C$4,IF(Tim!GC14=Sheet6!$C$5,Sheet6!$C$5,IF(Tim!GC14=Sheet6!$C$6,Sheet6!$C$6,IF(Tim!GC14=Sheet6!$C$7,Sheet6!$C$7,IF(Tim!GC14=Sheet6!$C$8,Sheet6!$C$8,"")))))))</f>
        <v/>
      </c>
      <c r="BZ12" s="53" t="str">
        <f>IF(Tim!GD14=Sheet6!$C$2,Sheet6!$C$2,IF(Tim!GD14=Sheet6!$C$3,Sheet6!$C$3,IF(Tim!GD14=Sheet6!$C$4,Sheet6!$C$4,IF(Tim!GD14=Sheet6!$C$5,Sheet6!$C$5,IF(Tim!GD14=Sheet6!$C$6,Sheet6!$C$6,IF(Tim!GD14=Sheet6!$C$7,Sheet6!$C$7,IF(Tim!GD14=Sheet6!$C$8,Sheet6!$C$8,"")))))))</f>
        <v/>
      </c>
      <c r="CA12" s="57" t="str">
        <f>IF(Tim!GE14=Sheet6!$C$2,Sheet6!$C$2,IF(Tim!GE14=Sheet6!$C$3,Sheet6!$C$3,IF(Tim!GE14=Sheet6!$C$4,Sheet6!$C$4,IF(Tim!GE14=Sheet6!$C$5,Sheet6!$C$5,IF(Tim!GE14=Sheet6!$C$6,Sheet6!$C$6,IF(Tim!GE14=Sheet6!$C$7,Sheet6!$C$7,IF(Tim!GE14=Sheet6!$C$8,Sheet6!$C$8,"")))))))</f>
        <v/>
      </c>
      <c r="CB12" s="57" t="str">
        <f>IF(Tim!GI14=Sheet6!$C$2,Sheet6!$C$2,IF(Tim!GI14=Sheet6!$C$3,Sheet6!$C$3,IF(Tim!GI14=Sheet6!$C$4,Sheet6!$C$4,IF(Tim!GI14=Sheet6!$C$5,Sheet6!$C$5,IF(Tim!GI14=Sheet6!$C$6,Sheet6!$C$6,IF(Tim!GI14=Sheet6!$C$7,Sheet6!$C$7,IF(Tim!GI14=Sheet6!$C$8,Sheet6!$C$8,"")))))))</f>
        <v/>
      </c>
      <c r="CC12" s="57" t="str">
        <f>IF(Tim!GJ14=Sheet6!$C$2,Sheet6!$C$2,IF(Tim!GJ14=Sheet6!$C$3,Sheet6!$C$3,IF(Tim!GJ14=Sheet6!$C$4,Sheet6!$C$4,IF(Tim!GJ14=Sheet6!$C$5,Sheet6!$C$5,IF(Tim!GJ14=Sheet6!$C$6,Sheet6!$C$6,IF(Tim!GJ14=Sheet6!$C$7,Sheet6!$C$7,IF(Tim!GJ14=Sheet6!$C$8,Sheet6!$C$8,"")))))))</f>
        <v/>
      </c>
      <c r="CD12" s="57" t="str">
        <f>IF(Tim!GN14=Sheet6!$C$2,Sheet6!$C$2,IF(Tim!GN14=Sheet6!$C$3,Sheet6!$C$3,IF(Tim!GN14=Sheet6!$C$4,Sheet6!$C$4,IF(Tim!GN14=Sheet6!$C$5,Sheet6!$C$5,IF(Tim!GN14=Sheet6!$C$6,Sheet6!$C$6,IF(Tim!GN14=Sheet6!$C$7,Sheet6!$C$7,IF(Tim!GN14=Sheet6!$C$8,Sheet6!$C$8,"")))))))</f>
        <v/>
      </c>
      <c r="CE12" s="53" t="str">
        <f>IF(Tim!GY14=Sheet6!$C$2,Sheet6!$C$2,IF(Tim!GY14=Sheet6!$C$3,Sheet6!$C$3,IF(Tim!GY14=Sheet6!$C$4,Sheet6!$C$4,IF(Tim!GY14=Sheet6!$C$5,Sheet6!$C$5,IF(Tim!GY14=Sheet6!$C$6,Sheet6!$C$6,IF(Tim!GY14=Sheet6!$C$7,Sheet6!$C$7,IF(Tim!GY14=Sheet6!$C$8,Sheet6!$C$8,"")))))))</f>
        <v/>
      </c>
      <c r="CF12" s="53" t="str">
        <f>IF(Tim!GZ14=Sheet6!$C$2,Sheet6!$C$2,IF(Tim!GZ14=Sheet6!$C$3,Sheet6!$C$3,IF(Tim!GZ14=Sheet6!$C$4,Sheet6!$C$4,IF(Tim!GZ14=Sheet6!$C$5,Sheet6!$C$5,IF(Tim!GZ14=Sheet6!$C$6,Sheet6!$C$6,IF(Tim!GZ14=Sheet6!$C$7,Sheet6!$C$7,IF(Tim!GZ14=Sheet6!$C$8,Sheet6!$C$8,"")))))))</f>
        <v/>
      </c>
      <c r="CG12" s="53" t="str">
        <f>IF(Tim!HH14=Sheet6!$C$2,Sheet6!$C$2,IF(Tim!HH14=Sheet6!$C$3,Sheet6!$C$3,IF(Tim!HH14=Sheet6!$C$4,Sheet6!$C$4,IF(Tim!HH14=Sheet6!$C$5,Sheet6!$C$5,IF(Tim!HH14=Sheet6!$C$6,Sheet6!$C$6,IF(Tim!HH14=Sheet6!$C$7,Sheet6!$C$7,IF(Tim!HH14=Sheet6!$C$8,Sheet6!$C$8,"")))))))</f>
        <v/>
      </c>
      <c r="CH12" s="53" t="str">
        <f>IF(Tim!HI14=Sheet6!$C$2,Sheet6!$C$2,IF(Tim!HI14=Sheet6!$C$3,Sheet6!$C$3,IF(Tim!HI14=Sheet6!$C$4,Sheet6!$C$4,IF(Tim!HI14=Sheet6!$C$5,Sheet6!$C$5,IF(Tim!HI14=Sheet6!$C$6,Sheet6!$C$6,IF(Tim!HI14=Sheet6!$C$7,Sheet6!$C$7,IF(Tim!HI14=Sheet6!$C$8,Sheet6!$C$8,"")))))))</f>
        <v/>
      </c>
      <c r="CI12" s="53" t="str">
        <f>IF(Tim!HJ14=Sheet6!$C$2,Sheet6!$C$2,IF(Tim!HJ14=Sheet6!$C$3,Sheet6!$C$3,IF(Tim!HJ14=Sheet6!$C$4,Sheet6!$C$4,IF(Tim!HJ14=Sheet6!$C$5,Sheet6!$C$5,IF(Tim!HJ14=Sheet6!$C$6,Sheet6!$C$6,IF(Tim!HJ14=Sheet6!$C$7,Sheet6!$C$7,IF(Tim!HJ14=Sheet6!$C$8,Sheet6!$C$8,"")))))))</f>
        <v/>
      </c>
      <c r="CJ12" s="53" t="str">
        <f>IF(Tim!HK14=Sheet6!$C$2,Sheet6!$C$2,IF(Tim!HK14=Sheet6!$C$3,Sheet6!$C$3,IF(Tim!HK14=Sheet6!$C$4,Sheet6!$C$4,IF(Tim!HK14=Sheet6!$C$5,Sheet6!$C$5,IF(Tim!HK14=Sheet6!$C$6,Sheet6!$C$6,IF(Tim!HK14=Sheet6!$C$7,Sheet6!$C$7,IF(Tim!HK14=Sheet6!$C$8,Sheet6!$C$8,"")))))))</f>
        <v/>
      </c>
      <c r="CK12" s="53" t="str">
        <f>IF(Tim!HL14=Sheet6!$C$2,Sheet6!$C$2,IF(Tim!HL14=Sheet6!$C$3,Sheet6!$C$3,IF(Tim!HL14=Sheet6!$C$4,Sheet6!$C$4,IF(Tim!HL14=Sheet6!$C$5,Sheet6!$C$5,IF(Tim!HL14=Sheet6!$C$6,Sheet6!$C$6,IF(Tim!HL14=Sheet6!$C$7,Sheet6!$C$7,IF(Tim!HL14=Sheet6!$C$8,Sheet6!$C$8,"")))))))</f>
        <v/>
      </c>
      <c r="CL12" s="53" t="str">
        <f>IF(Tim!HM14=Sheet6!$C$2,Sheet6!$C$2,IF(Tim!HM14=Sheet6!$C$3,Sheet6!$C$3,IF(Tim!HM14=Sheet6!$C$4,Sheet6!$C$4,IF(Tim!HM14=Sheet6!$C$5,Sheet6!$C$5,IF(Tim!HM14=Sheet6!$C$6,Sheet6!$C$6,IF(Tim!HM14=Sheet6!$C$7,Sheet6!$C$7,IF(Tim!HM14=Sheet6!$C$8,Sheet6!$C$8,"")))))))</f>
        <v/>
      </c>
      <c r="CM12" s="53" t="str">
        <f>IF(Tim!HQ14=Sheet6!$C$2,Sheet6!$C$2,IF(Tim!HQ14=Sheet6!$C$3,Sheet6!$C$3,IF(Tim!HQ14=Sheet6!$C$4,Sheet6!$C$4,IF(Tim!HQ14=Sheet6!$C$5,Sheet6!$C$5,IF(Tim!HQ14=Sheet6!$C$6,Sheet6!$C$6,IF(Tim!HQ14=Sheet6!$C$7,Sheet6!$C$7,IF(Tim!HQ14=Sheet6!$C$8,Sheet6!$C$8,"")))))))</f>
        <v/>
      </c>
      <c r="CN12" s="54" t="str">
        <f>IF(Tim!HR14=Sheet6!$C$2,Sheet6!$C$2,IF(Tim!HR14=Sheet6!$C$3,Sheet6!$C$3,IF(Tim!HR14=Sheet6!$C$4,Sheet6!$C$4,IF(Tim!HR14=Sheet6!$C$5,Sheet6!$C$5,IF(Tim!HR14=Sheet6!$C$6,Sheet6!$C$6,IF(Tim!HR14=Sheet6!$C$7,Sheet6!$C$7,IF(Tim!HR14=Sheet6!$C$8,Sheet6!$C$8,"")))))))</f>
        <v/>
      </c>
      <c r="CO12" s="54" t="str">
        <f>IF(Tim!HS14=Sheet6!$C$2,Sheet6!$C$2,IF(Tim!HS14=Sheet6!$C$3,Sheet6!$C$3,IF(Tim!HS14=Sheet6!$C$4,Sheet6!$C$4,IF(Tim!HS14=Sheet6!$C$5,Sheet6!$C$5,IF(Tim!HS14=Sheet6!$C$6,Sheet6!$C$6,IF(Tim!HS14=Sheet6!$C$7,Sheet6!$C$7,IF(Tim!HS14=Sheet6!$C$8,Sheet6!$C$8,"")))))))</f>
        <v/>
      </c>
      <c r="CP12" s="54" t="str">
        <f>IF(Tim!HT14=Sheet6!$C$2,Sheet6!$C$2,IF(Tim!HT14=Sheet6!$C$3,Sheet6!$C$3,IF(Tim!HT14=Sheet6!$C$4,Sheet6!$C$4,IF(Tim!HT14=Sheet6!$C$5,Sheet6!$C$5,IF(Tim!HT14=Sheet6!$C$6,Sheet6!$C$6,IF(Tim!HT14=Sheet6!$C$7,Sheet6!$C$7,IF(Tim!HT14=Sheet6!$C$8,Sheet6!$C$8,"")))))))</f>
        <v/>
      </c>
      <c r="CQ12" s="55" t="str">
        <f>IF(Tim!HU14=Sheet6!$C$2,Sheet6!$C$2,IF(Tim!HU14=Sheet6!$C$3,Sheet6!$C$3,IF(Tim!HU14=Sheet6!$C$4,Sheet6!$C$4,IF(Tim!HU14=Sheet6!$C$5,Sheet6!$C$5,IF(Tim!HU14=Sheet6!$C$6,Sheet6!$C$6,IF(Tim!HU14=Sheet6!$C$7,Sheet6!$C$7,IF(Tim!HU14=Sheet6!$C$8,Sheet6!$C$8,"")))))))</f>
        <v/>
      </c>
      <c r="CR12" s="470"/>
      <c r="CS12" s="384"/>
      <c r="CT12" s="384"/>
      <c r="CU12" s="384"/>
      <c r="CV12" s="384"/>
      <c r="CW12" s="384"/>
      <c r="CX12" s="384"/>
      <c r="CY12" s="384"/>
      <c r="CZ12" s="384"/>
      <c r="DA12" s="384"/>
      <c r="DB12" s="384"/>
      <c r="DC12" s="384"/>
      <c r="DD12" s="384"/>
      <c r="DE12" s="384"/>
      <c r="DF12" s="384"/>
      <c r="DG12" s="467"/>
      <c r="DH12" s="470"/>
      <c r="DI12" s="384"/>
      <c r="DJ12" s="384"/>
      <c r="DK12" s="384"/>
      <c r="DL12" s="384"/>
      <c r="DM12" s="384"/>
      <c r="DN12" s="384"/>
      <c r="DO12" s="384"/>
      <c r="DP12" s="384"/>
      <c r="DQ12" s="384"/>
      <c r="DR12" s="384"/>
      <c r="DS12" s="384"/>
      <c r="DT12" s="384"/>
      <c r="DU12" s="384"/>
      <c r="DV12" s="384"/>
      <c r="DW12" s="467"/>
      <c r="DX12" s="52">
        <v>0.36458333333333298</v>
      </c>
    </row>
    <row r="13" spans="2:128" ht="10.5" customHeight="1">
      <c r="B13" s="51">
        <v>0.25</v>
      </c>
      <c r="C13" s="51">
        <v>0.25</v>
      </c>
      <c r="D13" s="51">
        <v>0.25</v>
      </c>
      <c r="E13" s="52">
        <v>0.375</v>
      </c>
      <c r="F13" s="53" t="str">
        <f>IF(Tim!F15=Sheet6!$C$2,Sheet6!$C$2,IF(Tim!F15=Sheet6!$C$3,Sheet6!$C$3,IF(Tim!F15=Sheet6!$C$4,Sheet6!$C$4,IF(Tim!F15=Sheet6!$C$5,Sheet6!$C$5,IF(Tim!F15=Sheet6!$C$6,Sheet6!$C$6,IF(Tim!F15=Sheet6!$C$7,Sheet6!$C$7,IF(Tim!F15=Sheet6!$C$8,Sheet6!$C$8,"")))))))</f>
        <v/>
      </c>
      <c r="G13" s="53" t="str">
        <f>IF(Tim!G15=Sheet6!$C$2,Sheet6!$C$2,IF(Tim!G15=Sheet6!$C$3,Sheet6!$C$3,IF(Tim!G15=Sheet6!$C$4,Sheet6!$C$4,IF(Tim!G15=Sheet6!$C$5,Sheet6!$C$5,IF(Tim!G15=Sheet6!$C$6,Sheet6!$C$6,IF(Tim!G15=Sheet6!$C$7,Sheet6!$C$7,IF(Tim!G15=Sheet6!$C$8,Sheet6!$C$8,"")))))))</f>
        <v/>
      </c>
      <c r="H13" s="53" t="str">
        <f>IF(Tim!H15=Sheet6!$C$2,Sheet6!$C$2,IF(Tim!H15=Sheet6!$C$3,Sheet6!$C$3,IF(Tim!H15=Sheet6!$C$4,Sheet6!$C$4,IF(Tim!H15=Sheet6!$C$5,Sheet6!$C$5,IF(Tim!H15=Sheet6!$C$6,Sheet6!$C$6,IF(Tim!H15=Sheet6!$C$7,Sheet6!$C$7,IF(Tim!H15=Sheet6!$C$8,Sheet6!$C$8,"")))))))</f>
        <v/>
      </c>
      <c r="I13" s="53" t="str">
        <f>IF(Tim!L15=Sheet6!$C$2,Sheet6!$C$2,IF(Tim!L15=Sheet6!$C$3,Sheet6!$C$3,IF(Tim!L15=Sheet6!$C$4,Sheet6!$C$4,IF(Tim!L15=Sheet6!$C$5,Sheet6!$C$5,IF(Tim!L15=Sheet6!$C$6,Sheet6!$C$6,IF(Tim!L15=Sheet6!$C$7,Sheet6!$C$7,IF(Tim!L15=Sheet6!$C$8,Sheet6!$C$8,"")))))))</f>
        <v/>
      </c>
      <c r="J13" s="53" t="str">
        <f>IF(Tim!T15=Sheet6!$C$2,Sheet6!$C$2,IF(Tim!T15=Sheet6!$C$3,Sheet6!$C$3,IF(Tim!T15=Sheet6!$C$4,Sheet6!$C$4,IF(Tim!T15=Sheet6!$C$5,Sheet6!$C$5,IF(Tim!T15=Sheet6!$C$6,Sheet6!$C$6,IF(Tim!T15=Sheet6!$C$7,Sheet6!$C$7,IF(Tim!T15=Sheet6!$C$8,Sheet6!$C$8,"")))))))</f>
        <v/>
      </c>
      <c r="K13" s="53" t="str">
        <f>IF(Tim!AB15=Sheet6!$C$2,Sheet6!$C$2,IF(Tim!AB15=Sheet6!$C$3,Sheet6!$C$3,IF(Tim!AB15=Sheet6!$C$4,Sheet6!$C$4,IF(Tim!AB15=Sheet6!$C$5,Sheet6!$C$5,IF(Tim!AB15=Sheet6!$C$6,Sheet6!$C$6,IF(Tim!AB15=Sheet6!$C$7,Sheet6!$C$7,IF(Tim!AB15=Sheet6!$C$8,Sheet6!$C$8,"")))))))</f>
        <v/>
      </c>
      <c r="L13" s="181" t="str">
        <f>IF(Tim!AC15=Sheet6!$C$2,Sheet6!$C$2,IF(Tim!AC15=Sheet6!$C$3,Sheet6!$C$3,IF(Tim!AC15=Sheet6!$C$4,Sheet6!$C$4,IF(Tim!AC15=Sheet6!$C$5,Sheet6!$C$5,IF(Tim!AC15=Sheet6!$C$6,Sheet6!$C$6,IF(Tim!AC15=Sheet6!$C$7,Sheet6!$C$7,IF(Tim!AC15=Sheet6!$C$8,Sheet6!$C$8,"")))))))</f>
        <v/>
      </c>
      <c r="M13" s="53" t="str">
        <f>IF(Tim!AJ15=Sheet6!$C$2,Sheet6!$C$2,IF(Tim!AJ15=Sheet6!$C$3,Sheet6!$C$3,IF(Tim!AJ15=Sheet6!$C$4,Sheet6!$C$4,IF(Tim!AJ15=Sheet6!$C$5,Sheet6!$C$5,IF(Tim!AJ15=Sheet6!$C$6,Sheet6!$C$6,IF(Tim!AJ15=Sheet6!$C$7,Sheet6!$C$7,IF(Tim!AJ15=Sheet6!$C$8,Sheet6!$C$8,"")))))))</f>
        <v/>
      </c>
      <c r="N13" s="53" t="str">
        <f>IF(Tim!AK15=Sheet6!$C$2,Sheet6!$C$2,IF(Tim!AK15=Sheet6!$C$3,Sheet6!$C$3,IF(Tim!AK15=Sheet6!$C$4,Sheet6!$C$4,IF(Tim!AK15=Sheet6!$C$5,Sheet6!$C$5,IF(Tim!AK15=Sheet6!$C$6,Sheet6!$C$6,IF(Tim!AK15=Sheet6!$C$7,Sheet6!$C$7,IF(Tim!AK15=Sheet6!$C$8,Sheet6!$C$8,"")))))))</f>
        <v/>
      </c>
      <c r="O13" s="53" t="str">
        <f>IF(Tim!AL15=Sheet6!$C$2,Sheet6!$C$2,IF(Tim!AL15=Sheet6!$C$3,Sheet6!$C$3,IF(Tim!AL15=Sheet6!$C$4,Sheet6!$C$4,IF(Tim!AL15=Sheet6!$C$5,Sheet6!$C$5,IF(Tim!AL15=Sheet6!$C$6,Sheet6!$C$6,IF(Tim!AL15=Sheet6!$C$7,Sheet6!$C$7,IF(Tim!AL15=Sheet6!$C$8,Sheet6!$C$8,"")))))))</f>
        <v/>
      </c>
      <c r="P13" s="53" t="str">
        <f>IF(Tim!AN15=Sheet6!$C$2,Sheet6!$C$2,IF(Tim!AN15=Sheet6!$C$3,Sheet6!$C$3,IF(Tim!AN15=Sheet6!$C$4,Sheet6!$C$4,IF(Tim!AN15=Sheet6!$C$5,Sheet6!$C$5,IF(Tim!AN15=Sheet6!$C$6,Sheet6!$C$6,IF(Tim!AN15=Sheet6!$C$7,Sheet6!$C$7,IF(Tim!AN15=Sheet6!$C$8,Sheet6!$C$8,"")))))))</f>
        <v/>
      </c>
      <c r="Q13" s="53" t="str">
        <f>IF(Tim!AO15=Sheet6!$C$2,Sheet6!$C$2,IF(Tim!AO15=Sheet6!$C$3,Sheet6!$C$3,IF(Tim!AO15=Sheet6!$C$4,Sheet6!$C$4,IF(Tim!AO15=Sheet6!$C$5,Sheet6!$C$5,IF(Tim!AO15=Sheet6!$C$6,Sheet6!$C$6,IF(Tim!AO15=Sheet6!$C$7,Sheet6!$C$7,IF(Tim!AO15=Sheet6!$C$8,Sheet6!$C$8,"")))))))</f>
        <v/>
      </c>
      <c r="R13" s="53" t="str">
        <f>IF(Tim!AP15=Sheet6!$C$2,Sheet6!$C$2,IF(Tim!AP15=Sheet6!$C$3,Sheet6!$C$3,IF(Tim!AP15=Sheet6!$C$4,Sheet6!$C$4,IF(Tim!AP15=Sheet6!$C$5,Sheet6!$C$5,IF(Tim!AP15=Sheet6!$C$6,Sheet6!$C$6,IF(Tim!AP15=Sheet6!$C$7,Sheet6!$C$7,IF(Tim!AP15=Sheet6!$C$8,Sheet6!$C$8,"")))))))</f>
        <v/>
      </c>
      <c r="S13" s="53" t="str">
        <f>IF(Tim!AT15=Sheet6!$C$2,Sheet6!$C$2,IF(Tim!AT15=Sheet6!$C$3,Sheet6!$C$3,IF(Tim!AT15=Sheet6!$C$4,Sheet6!$C$4,IF(Tim!AT15=Sheet6!$C$5,Sheet6!$C$5,IF(Tim!AT15=Sheet6!$C$6,Sheet6!$C$6,IF(Tim!AT15=Sheet6!$C$7,Sheet6!$C$7,IF(Tim!AT15=Sheet6!$C$8,Sheet6!$C$8,"")))))))</f>
        <v/>
      </c>
      <c r="T13" s="54" t="str">
        <f>IF(Tim!AU15=Sheet6!$C$2,Sheet6!$C$2,IF(Tim!AU15=Sheet6!$C$3,Sheet6!$C$3,IF(Tim!AU15=Sheet6!$C$4,Sheet6!$C$4,IF(Tim!AU15=Sheet6!$C$5,Sheet6!$C$5,IF(Tim!AU15=Sheet6!$C$6,Sheet6!$C$6,IF(Tim!AU15=Sheet6!$C$7,Sheet6!$C$7,IF(Tim!AU15=Sheet6!$C$8,Sheet6!$C$8,"")))))))</f>
        <v/>
      </c>
      <c r="U13" s="54" t="str">
        <f>IF(Tim!AV15=Sheet6!$C$2,Sheet6!$C$2,IF(Tim!AV15=Sheet6!$C$3,Sheet6!$C$3,IF(Tim!AV15=Sheet6!$C$4,Sheet6!$C$4,IF(Tim!AV15=Sheet6!$C$5,Sheet6!$C$5,IF(Tim!AV15=Sheet6!$C$6,Sheet6!$C$6,IF(Tim!AV15=Sheet6!$C$7,Sheet6!$C$7,IF(Tim!AV15=Sheet6!$C$8,Sheet6!$C$8,"")))))))</f>
        <v/>
      </c>
      <c r="V13" s="54" t="str">
        <f>IF(Tim!AW15=Sheet6!$C$2,Sheet6!$C$2,IF(Tim!AW15=Sheet6!$C$3,Sheet6!$C$3,IF(Tim!AW15=Sheet6!$C$4,Sheet6!$C$4,IF(Tim!AW15=Sheet6!$C$5,Sheet6!$C$5,IF(Tim!AW15=Sheet6!$C$6,Sheet6!$C$6,IF(Tim!AW15=Sheet6!$C$7,Sheet6!$C$7,IF(Tim!AW15=Sheet6!$C$8,Sheet6!$C$8,"")))))))</f>
        <v/>
      </c>
      <c r="W13" s="55" t="str">
        <f>IF(Tim!AX15=Sheet6!$C$2,Sheet6!$C$2,IF(Tim!AX15=Sheet6!$C$3,Sheet6!$C$3,IF(Tim!AX15=Sheet6!$C$4,Sheet6!$C$4,IF(Tim!AX15=Sheet6!$C$5,Sheet6!$C$5,IF(Tim!AX15=Sheet6!$C$6,Sheet6!$C$6,IF(Tim!AX15=Sheet6!$C$7,Sheet6!$C$7,IF(Tim!AX15=Sheet6!$C$8,Sheet6!$C$8,"")))))))</f>
        <v/>
      </c>
      <c r="X13" s="53" t="str">
        <f>IF(Tim!AY15=Sheet6!$C$2,Sheet6!$C$2,IF(Tim!AY15=Sheet6!$C$3,Sheet6!$C$3,IF(Tim!AY15=Sheet6!$C$4,Sheet6!$C$4,IF(Tim!AY15=Sheet6!$C$5,Sheet6!$C$5,IF(Tim!AY15=Sheet6!$C$6,Sheet6!$C$6,IF(Tim!AY15=Sheet6!$C$7,Sheet6!$C$7,IF(Tim!AY15=Sheet6!$C$8,Sheet6!$C$8,"")))))))</f>
        <v/>
      </c>
      <c r="Y13" s="57" t="str">
        <f>IF(Tim!AZ15=Sheet6!$C$2,Sheet6!$C$2,IF(Tim!AZ15=Sheet6!$C$3,Sheet6!$C$3,IF(Tim!AZ15=Sheet6!$C$4,Sheet6!$C$4,IF(Tim!AZ15=Sheet6!$C$5,Sheet6!$C$5,IF(Tim!AZ15=Sheet6!$C$6,Sheet6!$C$6,IF(Tim!AZ15=Sheet6!$C$7,Sheet6!$C$7,IF(Tim!AZ15=Sheet6!$C$8,Sheet6!$C$8,"")))))))</f>
        <v/>
      </c>
      <c r="Z13" s="57" t="str">
        <f>IF(Tim!BD15=Sheet6!$C$2,Sheet6!$C$2,IF(Tim!BD15=Sheet6!$C$3,Sheet6!$C$3,IF(Tim!BD15=Sheet6!$C$4,Sheet6!$C$4,IF(Tim!BD15=Sheet6!$C$5,Sheet6!$C$5,IF(Tim!BD15=Sheet6!$C$6,Sheet6!$C$6,IF(Tim!BD15=Sheet6!$C$7,Sheet6!$C$7,IF(Tim!BD15=Sheet6!$C$8,Sheet6!$C$8,"")))))))</f>
        <v/>
      </c>
      <c r="AA13" s="57" t="str">
        <f>IF(Tim!BE15=Sheet6!$C$2,Sheet6!$C$2,IF(Tim!BE15=Sheet6!$C$3,Sheet6!$C$3,IF(Tim!BE15=Sheet6!$C$4,Sheet6!$C$4,IF(Tim!BE15=Sheet6!$C$5,Sheet6!$C$5,IF(Tim!BE15=Sheet6!$C$6,Sheet6!$C$6,IF(Tim!BE15=Sheet6!$C$7,Sheet6!$C$7,IF(Tim!BE15=Sheet6!$C$8,Sheet6!$C$8,"")))))))</f>
        <v/>
      </c>
      <c r="AB13" s="57" t="str">
        <f>IF(Tim!BL15=Sheet6!$C$2,Sheet6!$C$2,IF(Tim!BL15=Sheet6!$C$3,Sheet6!$C$3,IF(Tim!BL15=Sheet6!$C$4,Sheet6!$C$4,IF(Tim!BL15=Sheet6!$C$5,Sheet6!$C$5,IF(Tim!BL15=Sheet6!$C$6,Sheet6!$C$6,IF(Tim!BL15=Sheet6!$C$7,Sheet6!$C$7,IF(Tim!BL15=Sheet6!$C$8,Sheet6!$C$8,"")))))))</f>
        <v/>
      </c>
      <c r="AC13" s="53" t="str">
        <f>IF(Tim!BT15=Sheet6!$C$2,Sheet6!$C$2,IF(Tim!BT15=Sheet6!$C$3,Sheet6!$C$3,IF(Tim!BT15=Sheet6!$C$4,Sheet6!$C$4,IF(Tim!BT15=Sheet6!$C$5,Sheet6!$C$5,IF(Tim!BT15=Sheet6!$C$6,Sheet6!$C$6,IF(Tim!BT15=Sheet6!$C$7,Sheet6!$C$7,IF(Tim!BT15=Sheet6!$C$8,Sheet6!$C$8,"")))))))</f>
        <v/>
      </c>
      <c r="AD13" s="53" t="str">
        <f>IF(Tim!BU15=Sheet6!$C$2,Sheet6!$C$2,IF(Tim!BU15=Sheet6!$C$3,Sheet6!$C$3,IF(Tim!BU15=Sheet6!$C$4,Sheet6!$C$4,IF(Tim!BU15=Sheet6!$C$5,Sheet6!$C$5,IF(Tim!BU15=Sheet6!$C$6,Sheet6!$C$6,IF(Tim!BU15=Sheet6!$C$7,Sheet6!$C$7,IF(Tim!BU15=Sheet6!$C$8,Sheet6!$C$8,"")))))))</f>
        <v/>
      </c>
      <c r="AE13" s="53" t="str">
        <f>IF(Tim!CB15=Sheet6!$C$2,Sheet6!$C$2,IF(Tim!CB15=Sheet6!$C$3,Sheet6!$C$3,IF(Tim!CB15=Sheet6!$C$4,Sheet6!$C$4,IF(Tim!CB15=Sheet6!$C$5,Sheet6!$C$5,IF(Tim!CB15=Sheet6!$C$6,Sheet6!$C$6,IF(Tim!CB15=Sheet6!$C$7,Sheet6!$C$7,IF(Tim!CB15=Sheet6!$C$8,Sheet6!$C$8,"")))))))</f>
        <v/>
      </c>
      <c r="AF13" s="53" t="str">
        <f>IF(Tim!CD15=Sheet6!$C$2,Sheet6!$C$2,IF(Tim!CD15=Sheet6!$C$3,Sheet6!$C$3,IF(Tim!CD15=Sheet6!$C$4,Sheet6!$C$4,IF(Tim!CD15=Sheet6!$C$5,Sheet6!$C$5,IF(Tim!CD15=Sheet6!$C$6,Sheet6!$C$6,IF(Tim!CD15=Sheet6!$C$7,Sheet6!$C$7,IF(Tim!CD15=Sheet6!$C$8,Sheet6!$C$8,"")))))))</f>
        <v/>
      </c>
      <c r="AG13" s="53" t="str">
        <f>IF(Tim!CE15=Sheet6!$C$2,Sheet6!$C$2,IF(Tim!CE15=Sheet6!$C$3,Sheet6!$C$3,IF(Tim!CE15=Sheet6!$C$4,Sheet6!$C$4,IF(Tim!CE15=Sheet6!$C$5,Sheet6!$C$5,IF(Tim!CE15=Sheet6!$C$6,Sheet6!$C$6,IF(Tim!CE15=Sheet6!$C$7,Sheet6!$C$7,IF(Tim!CE15=Sheet6!$C$8,Sheet6!$C$8,"")))))))</f>
        <v/>
      </c>
      <c r="AH13" s="53" t="str">
        <f>IF(Tim!CF15=Sheet6!$C$2,Sheet6!$C$2,IF(Tim!CF15=Sheet6!$C$3,Sheet6!$C$3,IF(Tim!CF15=Sheet6!$C$4,Sheet6!$C$4,IF(Tim!CF15=Sheet6!$C$5,Sheet6!$C$5,IF(Tim!CF15=Sheet6!$C$6,Sheet6!$C$6,IF(Tim!CF15=Sheet6!$C$7,Sheet6!$C$7,IF(Tim!CF15=Sheet6!$C$8,Sheet6!$C$8,"")))))))</f>
        <v/>
      </c>
      <c r="AI13" s="53" t="str">
        <f>IF(Tim!CG15=Sheet6!$C$2,Sheet6!$C$2,IF(Tim!CG15=Sheet6!$C$3,Sheet6!$C$3,IF(Tim!CG15=Sheet6!$C$4,Sheet6!$C$4,IF(Tim!CG15=Sheet6!$C$5,Sheet6!$C$5,IF(Tim!CG15=Sheet6!$C$6,Sheet6!$C$6,IF(Tim!CG15=Sheet6!$C$7,Sheet6!$C$7,IF(Tim!CG15=Sheet6!$C$8,Sheet6!$C$8,"")))))))</f>
        <v/>
      </c>
      <c r="AJ13" s="53" t="str">
        <f>IF(Tim!CH15=Sheet6!$C$2,Sheet6!$C$2,IF(Tim!CH15=Sheet6!$C$3,Sheet6!$C$3,IF(Tim!CH15=Sheet6!$C$4,Sheet6!$C$4,IF(Tim!CH15=Sheet6!$C$5,Sheet6!$C$5,IF(Tim!CH15=Sheet6!$C$6,Sheet6!$C$6,IF(Tim!CH15=Sheet6!$C$7,Sheet6!$C$7,IF(Tim!CH15=Sheet6!$C$8,Sheet6!$C$8,"")))))))</f>
        <v/>
      </c>
      <c r="AK13" s="53" t="str">
        <f>IF(Tim!CL15=Sheet6!$C$2,Sheet6!$C$2,IF(Tim!CL15=Sheet6!$C$3,Sheet6!$C$3,IF(Tim!CL15=Sheet6!$C$4,Sheet6!$C$4,IF(Tim!CL15=Sheet6!$C$5,Sheet6!$C$5,IF(Tim!CL15=Sheet6!$C$6,Sheet6!$C$6,IF(Tim!CL15=Sheet6!$C$7,Sheet6!$C$7,IF(Tim!CL15=Sheet6!$C$8,Sheet6!$C$8,"")))))))</f>
        <v/>
      </c>
      <c r="AL13" s="54" t="str">
        <f>IF(Tim!CM15=Sheet6!$C$2,Sheet6!$C$2,IF(Tim!CM15=Sheet6!$C$3,Sheet6!$C$3,IF(Tim!CM15=Sheet6!$C$4,Sheet6!$C$4,IF(Tim!CM15=Sheet6!$C$5,Sheet6!$C$5,IF(Tim!CM15=Sheet6!$C$6,Sheet6!$C$6,IF(Tim!CM15=Sheet6!$C$7,Sheet6!$C$7,IF(Tim!CM15=Sheet6!$C$8,Sheet6!$C$8,"")))))))</f>
        <v/>
      </c>
      <c r="AM13" s="54" t="str">
        <f>IF(Tim!CN15=Sheet6!$C$2,Sheet6!$C$2,IF(Tim!CN15=Sheet6!$C$3,Sheet6!$C$3,IF(Tim!CN15=Sheet6!$C$4,Sheet6!$C$4,IF(Tim!CN15=Sheet6!$C$5,Sheet6!$C$5,IF(Tim!CN15=Sheet6!$C$6,Sheet6!$C$6,IF(Tim!CN15=Sheet6!$C$7,Sheet6!$C$7,IF(Tim!CN15=Sheet6!$C$8,Sheet6!$C$8,"")))))))</f>
        <v/>
      </c>
      <c r="AN13" s="54" t="str">
        <f>IF(Tim!CO15=Sheet6!$C$2,Sheet6!$C$2,IF(Tim!CO15=Sheet6!$C$3,Sheet6!$C$3,IF(Tim!CO15=Sheet6!$C$4,Sheet6!$C$4,IF(Tim!CO15=Sheet6!$C$5,Sheet6!$C$5,IF(Tim!CO15=Sheet6!$C$6,Sheet6!$C$6,IF(Tim!CO15=Sheet6!$C$7,Sheet6!$C$7,IF(Tim!CO15=Sheet6!$C$8,Sheet6!$C$8,"")))))))</f>
        <v/>
      </c>
      <c r="AO13" s="55" t="str">
        <f>IF(Tim!CP15=Sheet6!$C$2,Sheet6!$C$2,IF(Tim!CP15=Sheet6!$C$3,Sheet6!$C$3,IF(Tim!CP15=Sheet6!$C$4,Sheet6!$C$4,IF(Tim!CP15=Sheet6!$C$5,Sheet6!$C$5,IF(Tim!CP15=Sheet6!$C$6,Sheet6!$C$6,IF(Tim!CP15=Sheet6!$C$7,Sheet6!$C$7,IF(Tim!CP15=Sheet6!$C$8,Sheet6!$C$8,"")))))))</f>
        <v/>
      </c>
      <c r="AP13" s="53" t="str">
        <f>IF(Tim!CQ15=Sheet6!$C$2,Sheet6!$C$2,IF(Tim!CQ15=Sheet6!$C$3,Sheet6!$C$3,IF(Tim!CQ15=Sheet6!$C$4,Sheet6!$C$4,IF(Tim!CQ15=Sheet6!$C$5,Sheet6!$C$5,IF(Tim!CQ15=Sheet6!$C$6,Sheet6!$C$6,IF(Tim!CQ15=Sheet6!$C$7,Sheet6!$C$7,IF(Tim!CQ15=Sheet6!$C$8,Sheet6!$C$8,"")))))))</f>
        <v/>
      </c>
      <c r="AQ13" s="57" t="str">
        <f>IF(Tim!CR15=Sheet6!$C$2,Sheet6!$C$2,IF(Tim!CR15=Sheet6!$C$3,Sheet6!$C$3,IF(Tim!CR15=Sheet6!$C$4,Sheet6!$C$4,IF(Tim!CR15=Sheet6!$C$5,Sheet6!$C$5,IF(Tim!CR15=Sheet6!$C$6,Sheet6!$C$6,IF(Tim!CR15=Sheet6!$C$7,Sheet6!$C$7,IF(Tim!CR15=Sheet6!$C$8,Sheet6!$C$8,"")))))))</f>
        <v/>
      </c>
      <c r="AR13" s="57" t="str">
        <f>IF(Tim!CV15=Sheet6!$C$2,Sheet6!$C$2,IF(Tim!CV15=Sheet6!$C$3,Sheet6!$C$3,IF(Tim!CV15=Sheet6!$C$4,Sheet6!$C$4,IF(Tim!CV15=Sheet6!$C$5,Sheet6!$C$5,IF(Tim!CV15=Sheet6!$C$6,Sheet6!$C$6,IF(Tim!CV15=Sheet6!$C$7,Sheet6!$C$7,IF(Tim!CV15=Sheet6!$C$8,Sheet6!$C$8,"")))))))</f>
        <v/>
      </c>
      <c r="AS13" s="57" t="str">
        <f>IF(Tim!CW15=Sheet6!$C$2,Sheet6!$C$2,IF(Tim!CW15=Sheet6!$C$3,Sheet6!$C$3,IF(Tim!CW15=Sheet6!$C$4,Sheet6!$C$4,IF(Tim!CW15=Sheet6!$C$5,Sheet6!$C$5,IF(Tim!CW15=Sheet6!$C$6,Sheet6!$C$6,IF(Tim!CW15=Sheet6!$C$7,Sheet6!$C$7,IF(Tim!CW15=Sheet6!$C$8,Sheet6!$C$8,"")))))))</f>
        <v/>
      </c>
      <c r="AT13" s="57" t="str">
        <f>IF(Tim!DA15=Sheet6!$C$2,Sheet6!$C$2,IF(Tim!DA15=Sheet6!$C$3,Sheet6!$C$3,IF(Tim!DA15=Sheet6!$C$4,Sheet6!$C$4,IF(Tim!DA15=Sheet6!$C$5,Sheet6!$C$5,IF(Tim!DA15=Sheet6!$C$6,Sheet6!$C$6,IF(Tim!DA15=Sheet6!$C$7,Sheet6!$C$7,IF(Tim!DA15=Sheet6!$C$8,Sheet6!$C$8,"")))))))</f>
        <v/>
      </c>
      <c r="AU13" s="53" t="str">
        <f>IF(Tim!DO15=Sheet6!$C$2,Sheet6!$C$2,IF(Tim!DO15=Sheet6!$C$3,Sheet6!$C$3,IF(Tim!DO15=Sheet6!$C$4,Sheet6!$C$4,IF(Tim!DO15=Sheet6!$C$5,Sheet6!$C$5,IF(Tim!DO15=Sheet6!$C$6,Sheet6!$C$6,IF(Tim!DO15=Sheet6!$C$7,Sheet6!$C$7,IF(Tim!DO15=Sheet6!$C$8,Sheet6!$C$8,"")))))))</f>
        <v/>
      </c>
      <c r="AV13" s="53" t="str">
        <f>IF(Tim!DP15=Sheet6!$C$2,Sheet6!$C$2,IF(Tim!DP15=Sheet6!$C$3,Sheet6!$C$3,IF(Tim!DP15=Sheet6!$C$4,Sheet6!$C$4,IF(Tim!DP15=Sheet6!$C$5,Sheet6!$C$5,IF(Tim!DP15=Sheet6!$C$6,Sheet6!$C$6,IF(Tim!DP15=Sheet6!$C$7,Sheet6!$C$7,IF(Tim!DP15=Sheet6!$C$8,Sheet6!$C$8,"")))))))</f>
        <v/>
      </c>
      <c r="AW13" s="53" t="str">
        <f>IF(Tim!DX15=Sheet6!$C$2,Sheet6!$C$2,IF(Tim!DX15=Sheet6!$C$3,Sheet6!$C$3,IF(Tim!DX15=Sheet6!$C$4,Sheet6!$C$4,IF(Tim!DX15=Sheet6!$C$5,Sheet6!$C$5,IF(Tim!DX15=Sheet6!$C$6,Sheet6!$C$6,IF(Tim!DX15=Sheet6!$C$7,Sheet6!$C$7,IF(Tim!DX15=Sheet6!$C$8,Sheet6!$C$8,"")))))))</f>
        <v/>
      </c>
      <c r="AX13" s="53" t="str">
        <f>IF(Tim!DY15=Sheet6!$C$2,Sheet6!$C$2,IF(Tim!DY15=Sheet6!$C$3,Sheet6!$C$3,IF(Tim!DY15=Sheet6!$C$4,Sheet6!$C$4,IF(Tim!DY15=Sheet6!$C$5,Sheet6!$C$5,IF(Tim!DY15=Sheet6!$C$6,Sheet6!$C$6,IF(Tim!DY15=Sheet6!$C$7,Sheet6!$C$7,IF(Tim!DY15=Sheet6!$C$8,Sheet6!$C$8,"")))))))</f>
        <v/>
      </c>
      <c r="AY13" s="53" t="str">
        <f>IF(Tim!DZ15=Sheet6!$C$2,Sheet6!$C$2,IF(Tim!DZ15=Sheet6!$C$3,Sheet6!$C$3,IF(Tim!DZ15=Sheet6!$C$4,Sheet6!$C$4,IF(Tim!DZ15=Sheet6!$C$5,Sheet6!$C$5,IF(Tim!DZ15=Sheet6!$C$6,Sheet6!$C$6,IF(Tim!DZ15=Sheet6!$C$7,Sheet6!$C$7,IF(Tim!DZ15=Sheet6!$C$8,Sheet6!$C$8,"")))))))</f>
        <v/>
      </c>
      <c r="AZ13" s="53" t="str">
        <f>IF(Tim!EA15=Sheet6!$C$2,Sheet6!$C$2,IF(Tim!EA15=Sheet6!$C$3,Sheet6!$C$3,IF(Tim!EA15=Sheet6!$C$4,Sheet6!$C$4,IF(Tim!EA15=Sheet6!$C$5,Sheet6!$C$5,IF(Tim!EA15=Sheet6!$C$6,Sheet6!$C$6,IF(Tim!EA15=Sheet6!$C$7,Sheet6!$C$7,IF(Tim!EA15=Sheet6!$C$8,Sheet6!$C$8,"")))))))</f>
        <v/>
      </c>
      <c r="BA13" s="53" t="str">
        <f>IF(Tim!EB15=Sheet6!$C$2,Sheet6!$C$2,IF(Tim!EB15=Sheet6!$C$3,Sheet6!$C$3,IF(Tim!EB15=Sheet6!$C$4,Sheet6!$C$4,IF(Tim!EB15=Sheet6!$C$5,Sheet6!$C$5,IF(Tim!EB15=Sheet6!$C$6,Sheet6!$C$6,IF(Tim!EB15=Sheet6!$C$7,Sheet6!$C$7,IF(Tim!EB15=Sheet6!$C$8,Sheet6!$C$8,"")))))))</f>
        <v/>
      </c>
      <c r="BB13" s="53" t="str">
        <f>IF(Tim!EC15=Sheet6!$C$2,Sheet6!$C$2,IF(Tim!EC15=Sheet6!$C$3,Sheet6!$C$3,IF(Tim!EC15=Sheet6!$C$4,Sheet6!$C$4,IF(Tim!EC15=Sheet6!$C$5,Sheet6!$C$5,IF(Tim!EC15=Sheet6!$C$6,Sheet6!$C$6,IF(Tim!EC15=Sheet6!$C$7,Sheet6!$C$7,IF(Tim!EC15=Sheet6!$C$8,Sheet6!$C$8,"")))))))</f>
        <v/>
      </c>
      <c r="BC13" s="53" t="str">
        <f>IF(Tim!EG15=Sheet6!$C$2,Sheet6!$C$2,IF(Tim!EG15=Sheet6!$C$3,Sheet6!$C$3,IF(Tim!EG15=Sheet6!$C$4,Sheet6!$C$4,IF(Tim!EG15=Sheet6!$C$5,Sheet6!$C$5,IF(Tim!EG15=Sheet6!$C$6,Sheet6!$C$6,IF(Tim!EG15=Sheet6!$C$7,Sheet6!$C$7,IF(Tim!EG15=Sheet6!$C$8,Sheet6!$C$8,"")))))))</f>
        <v/>
      </c>
      <c r="BD13" s="54" t="str">
        <f>IF(Tim!EH15=Sheet6!$C$2,Sheet6!$C$2,IF(Tim!EH15=Sheet6!$C$3,Sheet6!$C$3,IF(Tim!EH15=Sheet6!$C$4,Sheet6!$C$4,IF(Tim!EH15=Sheet6!$C$5,Sheet6!$C$5,IF(Tim!EH15=Sheet6!$C$6,Sheet6!$C$6,IF(Tim!EH15=Sheet6!$C$7,Sheet6!$C$7,IF(Tim!EH15=Sheet6!$C$8,Sheet6!$C$8,"")))))))</f>
        <v/>
      </c>
      <c r="BE13" s="54" t="str">
        <f>IF(Tim!EI15=Sheet6!$C$2,Sheet6!$C$2,IF(Tim!EI15=Sheet6!$C$3,Sheet6!$C$3,IF(Tim!EI15=Sheet6!$C$4,Sheet6!$C$4,IF(Tim!EI15=Sheet6!$C$5,Sheet6!$C$5,IF(Tim!EI15=Sheet6!$C$6,Sheet6!$C$6,IF(Tim!EI15=Sheet6!$C$7,Sheet6!$C$7,IF(Tim!EI15=Sheet6!$C$8,Sheet6!$C$8,"")))))))</f>
        <v/>
      </c>
      <c r="BF13" s="54" t="str">
        <f>IF(Tim!EJ15=Sheet6!$C$2,Sheet6!$C$2,IF(Tim!EJ15=Sheet6!$C$3,Sheet6!$C$3,IF(Tim!EJ15=Sheet6!$C$4,Sheet6!$C$4,IF(Tim!EJ15=Sheet6!$C$5,Sheet6!$C$5,IF(Tim!EJ15=Sheet6!$C$6,Sheet6!$C$6,IF(Tim!EJ15=Sheet6!$C$7,Sheet6!$C$7,IF(Tim!EJ15=Sheet6!$C$8,Sheet6!$C$8,"")))))))</f>
        <v/>
      </c>
      <c r="BG13" s="55" t="str">
        <f>IF(Tim!EK15=Sheet6!$C$2,Sheet6!$C$2,IF(Tim!EK15=Sheet6!$C$3,Sheet6!$C$3,IF(Tim!EK15=Sheet6!$C$4,Sheet6!$C$4,IF(Tim!EK15=Sheet6!$C$5,Sheet6!$C$5,IF(Tim!EK15=Sheet6!$C$6,Sheet6!$C$6,IF(Tim!EK15=Sheet6!$C$7,Sheet6!$C$7,IF(Tim!EK15=Sheet6!$C$8,Sheet6!$C$8,"")))))))</f>
        <v/>
      </c>
      <c r="BH13" s="53" t="str">
        <f>IF(Tim!EL15=Sheet6!$C$2,Sheet6!$C$2,IF(Tim!EL15=Sheet6!$C$3,Sheet6!$C$3,IF(Tim!EL15=Sheet6!$C$4,Sheet6!$C$4,IF(Tim!EL15=Sheet6!$C$5,Sheet6!$C$5,IF(Tim!EL15=Sheet6!$C$6,Sheet6!$C$6,IF(Tim!EL15=Sheet6!$C$7,Sheet6!$C$7,IF(Tim!EL15=Sheet6!$C$8,Sheet6!$C$8,"")))))))</f>
        <v/>
      </c>
      <c r="BI13" s="57" t="str">
        <f>IF(Tim!EM15=Sheet6!$C$2,Sheet6!$C$2,IF(Tim!EM15=Sheet6!$C$3,Sheet6!$C$3,IF(Tim!EM15=Sheet6!$C$4,Sheet6!$C$4,IF(Tim!EM15=Sheet6!$C$5,Sheet6!$C$5,IF(Tim!EM15=Sheet6!$C$6,Sheet6!$C$6,IF(Tim!EM15=Sheet6!$C$7,Sheet6!$C$7,IF(Tim!EM15=Sheet6!$C$8,Sheet6!$C$8,"")))))))</f>
        <v/>
      </c>
      <c r="BJ13" s="57" t="str">
        <f>IF(Tim!EQ15=Sheet6!$C$2,Sheet6!$C$2,IF(Tim!EQ15=Sheet6!$C$3,Sheet6!$C$3,IF(Tim!EQ15=Sheet6!$C$4,Sheet6!$C$4,IF(Tim!EQ15=Sheet6!$C$5,Sheet6!$C$5,IF(Tim!EQ15=Sheet6!$C$6,Sheet6!$C$6,IF(Tim!EQ15=Sheet6!$C$7,Sheet6!$C$7,IF(Tim!EQ15=Sheet6!$C$8,Sheet6!$C$8,"")))))))</f>
        <v/>
      </c>
      <c r="BK13" s="57" t="str">
        <f>IF(Tim!ER15=Sheet6!$C$2,Sheet6!$C$2,IF(Tim!ER15=Sheet6!$C$3,Sheet6!$C$3,IF(Tim!ER15=Sheet6!$C$4,Sheet6!$C$4,IF(Tim!ER15=Sheet6!$C$5,Sheet6!$C$5,IF(Tim!ER15=Sheet6!$C$6,Sheet6!$C$6,IF(Tim!ER15=Sheet6!$C$7,Sheet6!$C$7,IF(Tim!ER15=Sheet6!$C$8,Sheet6!$C$8,"")))))))</f>
        <v/>
      </c>
      <c r="BL13" s="57" t="str">
        <f>IF(Tim!EZ15=Sheet6!$C$2,Sheet6!$C$2,IF(Tim!EZ15=Sheet6!$C$3,Sheet6!$C$3,IF(Tim!EZ15=Sheet6!$C$4,Sheet6!$C$4,IF(Tim!EZ15=Sheet6!$C$5,Sheet6!$C$5,IF(Tim!EZ15=Sheet6!$C$6,Sheet6!$C$6,IF(Tim!EZ15=Sheet6!$C$7,Sheet6!$C$7,IF(Tim!EZ15=Sheet6!$C$8,Sheet6!$C$8,"")))))))</f>
        <v/>
      </c>
      <c r="BM13" s="53" t="str">
        <f>IF(Tim!FG15=Sheet6!$C$2,Sheet6!$C$2,IF(Tim!FG15=Sheet6!$C$3,Sheet6!$C$3,IF(Tim!FG15=Sheet6!$C$4,Sheet6!$C$4,IF(Tim!FG15=Sheet6!$C$5,Sheet6!$C$5,IF(Tim!FG15=Sheet6!$C$6,Sheet6!$C$6,IF(Tim!FG15=Sheet6!$C$7,Sheet6!$C$7,IF(Tim!FG15=Sheet6!$C$8,Sheet6!$C$8,"")))))))</f>
        <v/>
      </c>
      <c r="BN13" s="53" t="str">
        <f>IF(Tim!FH15=Sheet6!$C$2,Sheet6!$C$2,IF(Tim!FH15=Sheet6!$C$3,Sheet6!$C$3,IF(Tim!FH15=Sheet6!$C$4,Sheet6!$C$4,IF(Tim!FH15=Sheet6!$C$5,Sheet6!$C$5,IF(Tim!FH15=Sheet6!$C$6,Sheet6!$C$6,IF(Tim!FH15=Sheet6!$C$7,Sheet6!$C$7,IF(Tim!FH15=Sheet6!$C$8,Sheet6!$C$8,"")))))))</f>
        <v/>
      </c>
      <c r="BO13" s="53" t="str">
        <f>IF(Tim!FP15=Sheet6!$C$2,Sheet6!$C$2,IF(Tim!FP15=Sheet6!$C$3,Sheet6!$C$3,IF(Tim!FP15=Sheet6!$C$4,Sheet6!$C$4,IF(Tim!FP15=Sheet6!$C$5,Sheet6!$C$5,IF(Tim!FP15=Sheet6!$C$6,Sheet6!$C$6,IF(Tim!FP15=Sheet6!$C$7,Sheet6!$C$7,IF(Tim!FP15=Sheet6!$C$8,Sheet6!$C$8,"")))))))</f>
        <v/>
      </c>
      <c r="BP13" s="53" t="str">
        <f>IF(Tim!FQ15=Sheet6!$C$2,Sheet6!$C$2,IF(Tim!FQ15=Sheet6!$C$3,Sheet6!$C$3,IF(Tim!FQ15=Sheet6!$C$4,Sheet6!$C$4,IF(Tim!FQ15=Sheet6!$C$5,Sheet6!$C$5,IF(Tim!FQ15=Sheet6!$C$6,Sheet6!$C$6,IF(Tim!FQ15=Sheet6!$C$7,Sheet6!$C$7,IF(Tim!FQ15=Sheet6!$C$8,Sheet6!$C$8,"")))))))</f>
        <v/>
      </c>
      <c r="BQ13" s="53" t="str">
        <f>IF(Tim!FR15=Sheet6!$C$2,Sheet6!$C$2,IF(Tim!FR15=Sheet6!$C$3,Sheet6!$C$3,IF(Tim!FR15=Sheet6!$C$4,Sheet6!$C$4,IF(Tim!FR15=Sheet6!$C$5,Sheet6!$C$5,IF(Tim!FR15=Sheet6!$C$6,Sheet6!$C$6,IF(Tim!FR15=Sheet6!$C$7,Sheet6!$C$7,IF(Tim!FR15=Sheet6!$C$8,Sheet6!$C$8,"")))))))</f>
        <v/>
      </c>
      <c r="BR13" s="53" t="str">
        <f>IF(Tim!FS15=Sheet6!$C$2,Sheet6!$C$2,IF(Tim!FS15=Sheet6!$C$3,Sheet6!$C$3,IF(Tim!FS15=Sheet6!$C$4,Sheet6!$C$4,IF(Tim!FS15=Sheet6!$C$5,Sheet6!$C$5,IF(Tim!FS15=Sheet6!$C$6,Sheet6!$C$6,IF(Tim!FS15=Sheet6!$C$7,Sheet6!$C$7,IF(Tim!FS15=Sheet6!$C$8,Sheet6!$C$8,"")))))))</f>
        <v/>
      </c>
      <c r="BS13" s="53" t="str">
        <f>IF(Tim!FT15=Sheet6!$C$2,Sheet6!$C$2,IF(Tim!FT15=Sheet6!$C$3,Sheet6!$C$3,IF(Tim!FT15=Sheet6!$C$4,Sheet6!$C$4,IF(Tim!FT15=Sheet6!$C$5,Sheet6!$C$5,IF(Tim!FT15=Sheet6!$C$6,Sheet6!$C$6,IF(Tim!FT15=Sheet6!$C$7,Sheet6!$C$7,IF(Tim!FT15=Sheet6!$C$8,Sheet6!$C$8,"")))))))</f>
        <v/>
      </c>
      <c r="BT13" s="53" t="str">
        <f>IF(Tim!FU15=Sheet6!$C$2,Sheet6!$C$2,IF(Tim!FU15=Sheet6!$C$3,Sheet6!$C$3,IF(Tim!FU15=Sheet6!$C$4,Sheet6!$C$4,IF(Tim!FU15=Sheet6!$C$5,Sheet6!$C$5,IF(Tim!FU15=Sheet6!$C$6,Sheet6!$C$6,IF(Tim!FU15=Sheet6!$C$7,Sheet6!$C$7,IF(Tim!FU15=Sheet6!$C$8,Sheet6!$C$8,"")))))))</f>
        <v/>
      </c>
      <c r="BU13" s="53" t="str">
        <f>IF(Tim!FY15=Sheet6!$C$2,Sheet6!$C$2,IF(Tim!FY15=Sheet6!$C$3,Sheet6!$C$3,IF(Tim!FY15=Sheet6!$C$4,Sheet6!$C$4,IF(Tim!FY15=Sheet6!$C$5,Sheet6!$C$5,IF(Tim!FY15=Sheet6!$C$6,Sheet6!$C$6,IF(Tim!FY15=Sheet6!$C$7,Sheet6!$C$7,IF(Tim!FY15=Sheet6!$C$8,Sheet6!$C$8,"")))))))</f>
        <v/>
      </c>
      <c r="BV13" s="54" t="str">
        <f>IF(Tim!FZ15=Sheet6!$C$2,Sheet6!$C$2,IF(Tim!FZ15=Sheet6!$C$3,Sheet6!$C$3,IF(Tim!FZ15=Sheet6!$C$4,Sheet6!$C$4,IF(Tim!FZ15=Sheet6!$C$5,Sheet6!$C$5,IF(Tim!FZ15=Sheet6!$C$6,Sheet6!$C$6,IF(Tim!FZ15=Sheet6!$C$7,Sheet6!$C$7,IF(Tim!FZ15=Sheet6!$C$8,Sheet6!$C$8,"")))))))</f>
        <v/>
      </c>
      <c r="BW13" s="54" t="str">
        <f>IF(Tim!GA15=Sheet6!$C$2,Sheet6!$C$2,IF(Tim!GA15=Sheet6!$C$3,Sheet6!$C$3,IF(Tim!GA15=Sheet6!$C$4,Sheet6!$C$4,IF(Tim!GA15=Sheet6!$C$5,Sheet6!$C$5,IF(Tim!GA15=Sheet6!$C$6,Sheet6!$C$6,IF(Tim!GA15=Sheet6!$C$7,Sheet6!$C$7,IF(Tim!GA15=Sheet6!$C$8,Sheet6!$C$8,"")))))))</f>
        <v/>
      </c>
      <c r="BX13" s="54" t="str">
        <f>IF(Tim!GB15=Sheet6!$C$2,Sheet6!$C$2,IF(Tim!GB15=Sheet6!$C$3,Sheet6!$C$3,IF(Tim!GB15=Sheet6!$C$4,Sheet6!$C$4,IF(Tim!GB15=Sheet6!$C$5,Sheet6!$C$5,IF(Tim!GB15=Sheet6!$C$6,Sheet6!$C$6,IF(Tim!GB15=Sheet6!$C$7,Sheet6!$C$7,IF(Tim!GB15=Sheet6!$C$8,Sheet6!$C$8,"")))))))</f>
        <v/>
      </c>
      <c r="BY13" s="55" t="str">
        <f>IF(Tim!GC15=Sheet6!$C$2,Sheet6!$C$2,IF(Tim!GC15=Sheet6!$C$3,Sheet6!$C$3,IF(Tim!GC15=Sheet6!$C$4,Sheet6!$C$4,IF(Tim!GC15=Sheet6!$C$5,Sheet6!$C$5,IF(Tim!GC15=Sheet6!$C$6,Sheet6!$C$6,IF(Tim!GC15=Sheet6!$C$7,Sheet6!$C$7,IF(Tim!GC15=Sheet6!$C$8,Sheet6!$C$8,"")))))))</f>
        <v/>
      </c>
      <c r="BZ13" s="53" t="str">
        <f>IF(Tim!GD15=Sheet6!$C$2,Sheet6!$C$2,IF(Tim!GD15=Sheet6!$C$3,Sheet6!$C$3,IF(Tim!GD15=Sheet6!$C$4,Sheet6!$C$4,IF(Tim!GD15=Sheet6!$C$5,Sheet6!$C$5,IF(Tim!GD15=Sheet6!$C$6,Sheet6!$C$6,IF(Tim!GD15=Sheet6!$C$7,Sheet6!$C$7,IF(Tim!GD15=Sheet6!$C$8,Sheet6!$C$8,"")))))))</f>
        <v/>
      </c>
      <c r="CA13" s="53" t="str">
        <f>IF(Tim!GE15=Sheet6!$C$2,Sheet6!$C$2,IF(Tim!GE15=Sheet6!$C$3,Sheet6!$C$3,IF(Tim!GE15=Sheet6!$C$4,Sheet6!$C$4,IF(Tim!GE15=Sheet6!$C$5,Sheet6!$C$5,IF(Tim!GE15=Sheet6!$C$6,Sheet6!$C$6,IF(Tim!GE15=Sheet6!$C$7,Sheet6!$C$7,IF(Tim!GE15=Sheet6!$C$8,Sheet6!$C$8,"")))))))</f>
        <v/>
      </c>
      <c r="CB13" s="57" t="str">
        <f>IF(Tim!GI15=Sheet6!$C$2,Sheet6!$C$2,IF(Tim!GI15=Sheet6!$C$3,Sheet6!$C$3,IF(Tim!GI15=Sheet6!$C$4,Sheet6!$C$4,IF(Tim!GI15=Sheet6!$C$5,Sheet6!$C$5,IF(Tim!GI15=Sheet6!$C$6,Sheet6!$C$6,IF(Tim!GI15=Sheet6!$C$7,Sheet6!$C$7,IF(Tim!GI15=Sheet6!$C$8,Sheet6!$C$8,"")))))))</f>
        <v/>
      </c>
      <c r="CC13" s="57" t="str">
        <f>IF(Tim!GJ15=Sheet6!$C$2,Sheet6!$C$2,IF(Tim!GJ15=Sheet6!$C$3,Sheet6!$C$3,IF(Tim!GJ15=Sheet6!$C$4,Sheet6!$C$4,IF(Tim!GJ15=Sheet6!$C$5,Sheet6!$C$5,IF(Tim!GJ15=Sheet6!$C$6,Sheet6!$C$6,IF(Tim!GJ15=Sheet6!$C$7,Sheet6!$C$7,IF(Tim!GJ15=Sheet6!$C$8,Sheet6!$C$8,"")))))))</f>
        <v/>
      </c>
      <c r="CD13" s="57" t="str">
        <f>IF(Tim!GN15=Sheet6!$C$2,Sheet6!$C$2,IF(Tim!GN15=Sheet6!$C$3,Sheet6!$C$3,IF(Tim!GN15=Sheet6!$C$4,Sheet6!$C$4,IF(Tim!GN15=Sheet6!$C$5,Sheet6!$C$5,IF(Tim!GN15=Sheet6!$C$6,Sheet6!$C$6,IF(Tim!GN15=Sheet6!$C$7,Sheet6!$C$7,IF(Tim!GN15=Sheet6!$C$8,Sheet6!$C$8,"")))))))</f>
        <v/>
      </c>
      <c r="CE13" s="53" t="str">
        <f>IF(Tim!GY15=Sheet6!$C$2,Sheet6!$C$2,IF(Tim!GY15=Sheet6!$C$3,Sheet6!$C$3,IF(Tim!GY15=Sheet6!$C$4,Sheet6!$C$4,IF(Tim!GY15=Sheet6!$C$5,Sheet6!$C$5,IF(Tim!GY15=Sheet6!$C$6,Sheet6!$C$6,IF(Tim!GY15=Sheet6!$C$7,Sheet6!$C$7,IF(Tim!GY15=Sheet6!$C$8,Sheet6!$C$8,"")))))))</f>
        <v/>
      </c>
      <c r="CF13" s="181" t="str">
        <f>IF(Tim!GZ15=Sheet6!$C$2,Sheet6!$C$2,IF(Tim!GZ15=Sheet6!$C$3,Sheet6!$C$3,IF(Tim!GZ15=Sheet6!$C$4,Sheet6!$C$4,IF(Tim!GZ15=Sheet6!$C$5,Sheet6!$C$5,IF(Tim!GZ15=Sheet6!$C$6,Sheet6!$C$6,IF(Tim!GZ15=Sheet6!$C$7,Sheet6!$C$7,IF(Tim!GZ15=Sheet6!$C$8,Sheet6!$C$8,"")))))))</f>
        <v/>
      </c>
      <c r="CG13" s="53" t="str">
        <f>IF(Tim!HH15=Sheet6!$C$2,Sheet6!$C$2,IF(Tim!HH15=Sheet6!$C$3,Sheet6!$C$3,IF(Tim!HH15=Sheet6!$C$4,Sheet6!$C$4,IF(Tim!HH15=Sheet6!$C$5,Sheet6!$C$5,IF(Tim!HH15=Sheet6!$C$6,Sheet6!$C$6,IF(Tim!HH15=Sheet6!$C$7,Sheet6!$C$7,IF(Tim!HH15=Sheet6!$C$8,Sheet6!$C$8,"")))))))</f>
        <v/>
      </c>
      <c r="CH13" s="53" t="str">
        <f>IF(Tim!HI15=Sheet6!$C$2,Sheet6!$C$2,IF(Tim!HI15=Sheet6!$C$3,Sheet6!$C$3,IF(Tim!HI15=Sheet6!$C$4,Sheet6!$C$4,IF(Tim!HI15=Sheet6!$C$5,Sheet6!$C$5,IF(Tim!HI15=Sheet6!$C$6,Sheet6!$C$6,IF(Tim!HI15=Sheet6!$C$7,Sheet6!$C$7,IF(Tim!HI15=Sheet6!$C$8,Sheet6!$C$8,"")))))))</f>
        <v/>
      </c>
      <c r="CI13" s="53" t="str">
        <f>IF(Tim!HJ15=Sheet6!$C$2,Sheet6!$C$2,IF(Tim!HJ15=Sheet6!$C$3,Sheet6!$C$3,IF(Tim!HJ15=Sheet6!$C$4,Sheet6!$C$4,IF(Tim!HJ15=Sheet6!$C$5,Sheet6!$C$5,IF(Tim!HJ15=Sheet6!$C$6,Sheet6!$C$6,IF(Tim!HJ15=Sheet6!$C$7,Sheet6!$C$7,IF(Tim!HJ15=Sheet6!$C$8,Sheet6!$C$8,"")))))))</f>
        <v/>
      </c>
      <c r="CJ13" s="53" t="str">
        <f>IF(Tim!HK15=Sheet6!$C$2,Sheet6!$C$2,IF(Tim!HK15=Sheet6!$C$3,Sheet6!$C$3,IF(Tim!HK15=Sheet6!$C$4,Sheet6!$C$4,IF(Tim!HK15=Sheet6!$C$5,Sheet6!$C$5,IF(Tim!HK15=Sheet6!$C$6,Sheet6!$C$6,IF(Tim!HK15=Sheet6!$C$7,Sheet6!$C$7,IF(Tim!HK15=Sheet6!$C$8,Sheet6!$C$8,"")))))))</f>
        <v/>
      </c>
      <c r="CK13" s="53" t="str">
        <f>IF(Tim!HL15=Sheet6!$C$2,Sheet6!$C$2,IF(Tim!HL15=Sheet6!$C$3,Sheet6!$C$3,IF(Tim!HL15=Sheet6!$C$4,Sheet6!$C$4,IF(Tim!HL15=Sheet6!$C$5,Sheet6!$C$5,IF(Tim!HL15=Sheet6!$C$6,Sheet6!$C$6,IF(Tim!HL15=Sheet6!$C$7,Sheet6!$C$7,IF(Tim!HL15=Sheet6!$C$8,Sheet6!$C$8,"")))))))</f>
        <v/>
      </c>
      <c r="CL13" s="53" t="str">
        <f>IF(Tim!HM15=Sheet6!$C$2,Sheet6!$C$2,IF(Tim!HM15=Sheet6!$C$3,Sheet6!$C$3,IF(Tim!HM15=Sheet6!$C$4,Sheet6!$C$4,IF(Tim!HM15=Sheet6!$C$5,Sheet6!$C$5,IF(Tim!HM15=Sheet6!$C$6,Sheet6!$C$6,IF(Tim!HM15=Sheet6!$C$7,Sheet6!$C$7,IF(Tim!HM15=Sheet6!$C$8,Sheet6!$C$8,"")))))))</f>
        <v/>
      </c>
      <c r="CM13" s="53" t="str">
        <f>IF(Tim!HQ15=Sheet6!$C$2,Sheet6!$C$2,IF(Tim!HQ15=Sheet6!$C$3,Sheet6!$C$3,IF(Tim!HQ15=Sheet6!$C$4,Sheet6!$C$4,IF(Tim!HQ15=Sheet6!$C$5,Sheet6!$C$5,IF(Tim!HQ15=Sheet6!$C$6,Sheet6!$C$6,IF(Tim!HQ15=Sheet6!$C$7,Sheet6!$C$7,IF(Tim!HQ15=Sheet6!$C$8,Sheet6!$C$8,"")))))))</f>
        <v/>
      </c>
      <c r="CN13" s="54" t="str">
        <f>IF(Tim!HR15=Sheet6!$C$2,Sheet6!$C$2,IF(Tim!HR15=Sheet6!$C$3,Sheet6!$C$3,IF(Tim!HR15=Sheet6!$C$4,Sheet6!$C$4,IF(Tim!HR15=Sheet6!$C$5,Sheet6!$C$5,IF(Tim!HR15=Sheet6!$C$6,Sheet6!$C$6,IF(Tim!HR15=Sheet6!$C$7,Sheet6!$C$7,IF(Tim!HR15=Sheet6!$C$8,Sheet6!$C$8,"")))))))</f>
        <v/>
      </c>
      <c r="CO13" s="54" t="str">
        <f>IF(Tim!HS15=Sheet6!$C$2,Sheet6!$C$2,IF(Tim!HS15=Sheet6!$C$3,Sheet6!$C$3,IF(Tim!HS15=Sheet6!$C$4,Sheet6!$C$4,IF(Tim!HS15=Sheet6!$C$5,Sheet6!$C$5,IF(Tim!HS15=Sheet6!$C$6,Sheet6!$C$6,IF(Tim!HS15=Sheet6!$C$7,Sheet6!$C$7,IF(Tim!HS15=Sheet6!$C$8,Sheet6!$C$8,"")))))))</f>
        <v/>
      </c>
      <c r="CP13" s="54" t="str">
        <f>IF(Tim!HT15=Sheet6!$C$2,Sheet6!$C$2,IF(Tim!HT15=Sheet6!$C$3,Sheet6!$C$3,IF(Tim!HT15=Sheet6!$C$4,Sheet6!$C$4,IF(Tim!HT15=Sheet6!$C$5,Sheet6!$C$5,IF(Tim!HT15=Sheet6!$C$6,Sheet6!$C$6,IF(Tim!HT15=Sheet6!$C$7,Sheet6!$C$7,IF(Tim!HT15=Sheet6!$C$8,Sheet6!$C$8,"")))))))</f>
        <v/>
      </c>
      <c r="CQ13" s="55" t="str">
        <f>IF(Tim!HU15=Sheet6!$C$2,Sheet6!$C$2,IF(Tim!HU15=Sheet6!$C$3,Sheet6!$C$3,IF(Tim!HU15=Sheet6!$C$4,Sheet6!$C$4,IF(Tim!HU15=Sheet6!$C$5,Sheet6!$C$5,IF(Tim!HU15=Sheet6!$C$6,Sheet6!$C$6,IF(Tim!HU15=Sheet6!$C$7,Sheet6!$C$7,IF(Tim!HU15=Sheet6!$C$8,Sheet6!$C$8,"")))))))</f>
        <v/>
      </c>
      <c r="CR13" s="58" t="str">
        <f>IF(Tim!HV15=Sheet6!$C$2,Sheet6!$C$2,IF(Tim!HV15=Sheet6!$C$3,Sheet6!$C$3,IF(Tim!HV15=Sheet6!$C$4,Sheet6!$C$4,IF(Tim!HV15=Sheet6!$C$5,Sheet6!$C$5,IF(Tim!HV15=Sheet6!$C$6,Sheet6!$C$6,IF(Tim!HV15=Sheet6!$C$7,Sheet6!$C$7,IF(Tim!HV15=Sheet6!$C$8,Sheet6!$C$8,"")))))))</f>
        <v/>
      </c>
      <c r="CS13" s="59" t="str">
        <f>IF(Tim!IB15=Sheet6!$C$2,Sheet6!$C$2,IF(Tim!IB15=Sheet6!$C$3,Sheet6!$C$3,IF(Tim!IB15=Sheet6!$C$4,Sheet6!$C$4,IF(Tim!IB15=Sheet6!$C$5,Sheet6!$C$5,IF(Tim!IB15=Sheet6!$C$6,Sheet6!$C$6,IF(Tim!IB15=Sheet6!$C$7,Sheet6!$C$7,IF(Tim!IB15=Sheet6!$C$8,Sheet6!$C$8,"")))))))</f>
        <v/>
      </c>
      <c r="CT13" s="59" t="str">
        <f>IF(Tim!IJ15=Sheet6!$C$2,Sheet6!$C$2,IF(Tim!IJ15=Sheet6!$C$3,Sheet6!$C$3,IF(Tim!IJ15=Sheet6!$C$4,Sheet6!$C$4,IF(Tim!IJ15=Sheet6!$C$5,Sheet6!$C$5,IF(Tim!IJ15=Sheet6!$C$6,Sheet6!$C$6,IF(Tim!IJ15=Sheet6!$C$7,Sheet6!$C$7,IF(Tim!IJ15=Sheet6!$C$8,Sheet6!$C$8,"")))))))</f>
        <v/>
      </c>
      <c r="CU13" s="60" t="str">
        <f>IF(Tim!IQ15=Sheet6!$C$2,Sheet6!$C$2,IF(Tim!IQ15=Sheet6!$C$3,Sheet6!$C$3,IF(Tim!IQ15=Sheet6!$C$4,Sheet6!$C$4,IF(Tim!IQ15=Sheet6!$C$5,Sheet6!$C$5,IF(Tim!IQ15=Sheet6!$C$6,Sheet6!$C$6,IF(Tim!IQ15=Sheet6!$C$7,Sheet6!$C$7,IF(Tim!IQ15=Sheet6!$C$8,Sheet6!$C$8,"")))))))</f>
        <v/>
      </c>
      <c r="CV13" s="60" t="str">
        <f>IF(Tim!IR15=Sheet6!$C$2,Sheet6!$C$2,IF(Tim!IR15=Sheet6!$C$3,Sheet6!$C$3,IF(Tim!IR15=Sheet6!$C$4,Sheet6!$C$4,IF(Tim!IR15=Sheet6!$C$5,Sheet6!$C$5,IF(Tim!IR15=Sheet6!$C$6,Sheet6!$C$6,IF(Tim!IR15=Sheet6!$C$7,Sheet6!$C$7,IF(Tim!IR15=Sheet6!$C$8,Sheet6!$C$8,"")))))))</f>
        <v/>
      </c>
      <c r="CW13" s="60" t="str">
        <f>IF(Tim!IZ15=Sheet6!$C$2,Sheet6!$C$2,IF(Tim!IZ15=Sheet6!$C$3,Sheet6!$C$3,IF(Tim!IZ15=Sheet6!$C$4,Sheet6!$C$4,IF(Tim!IZ15=Sheet6!$C$5,Sheet6!$C$5,IF(Tim!IZ15=Sheet6!$C$6,Sheet6!$C$6,IF(Tim!IZ15=Sheet6!$C$7,Sheet6!$C$7,IF(Tim!IZ15=Sheet6!$C$8,Sheet6!$C$8,"")))))))</f>
        <v/>
      </c>
      <c r="CX13" s="60" t="str">
        <f>IF(Tim!JA15=Sheet6!$C$2,Sheet6!$C$2,IF(Tim!JA15=Sheet6!$C$3,Sheet6!$C$3,IF(Tim!JA15=Sheet6!$C$4,Sheet6!$C$4,IF(Tim!JA15=Sheet6!$C$5,Sheet6!$C$5,IF(Tim!JA15=Sheet6!$C$6,Sheet6!$C$6,IF(Tim!JA15=Sheet6!$C$7,Sheet6!$C$7,IF(Tim!JA15=Sheet6!$C$8,Sheet6!$C$8,"")))))))</f>
        <v/>
      </c>
      <c r="CY13" s="60" t="str">
        <f>IF(Tim!JB15=Sheet6!$C$2,Sheet6!$C$2,IF(Tim!JB15=Sheet6!$C$3,Sheet6!$C$3,IF(Tim!JB15=Sheet6!$C$4,Sheet6!$C$4,IF(Tim!JB15=Sheet6!$C$5,Sheet6!$C$5,IF(Tim!JB15=Sheet6!$C$6,Sheet6!$C$6,IF(Tim!JB15=Sheet6!$C$7,Sheet6!$C$7,IF(Tim!JB15=Sheet6!$C$8,Sheet6!$C$8,"")))))))</f>
        <v/>
      </c>
      <c r="CZ13" s="60" t="str">
        <f>IF(Tim!JC15=Sheet6!$C$2,Sheet6!$C$2,IF(Tim!JC15=Sheet6!$C$3,Sheet6!$C$3,IF(Tim!JC15=Sheet6!$C$4,Sheet6!$C$4,IF(Tim!JC15=Sheet6!$C$5,Sheet6!$C$5,IF(Tim!JC15=Sheet6!$C$6,Sheet6!$C$6,IF(Tim!JC15=Sheet6!$C$7,Sheet6!$C$7,IF(Tim!JC15=Sheet6!$C$8,Sheet6!$C$8,"")))))))</f>
        <v/>
      </c>
      <c r="DA13" s="60" t="str">
        <f>IF(Tim!JD15=Sheet6!$C$2,Sheet6!$C$2,IF(Tim!JD15=Sheet6!$C$3,Sheet6!$C$3,IF(Tim!JD15=Sheet6!$C$4,Sheet6!$C$4,IF(Tim!JD15=Sheet6!$C$5,Sheet6!$C$5,IF(Tim!JD15=Sheet6!$C$6,Sheet6!$C$6,IF(Tim!JD15=Sheet6!$C$7,Sheet6!$C$7,IF(Tim!JD15=Sheet6!$C$8,Sheet6!$C$8,"")))))))</f>
        <v/>
      </c>
      <c r="DB13" s="60" t="str">
        <f>IF(Tim!JE15=Sheet6!$C$2,Sheet6!$C$2,IF(Tim!JE15=Sheet6!$C$3,Sheet6!$C$3,IF(Tim!JE15=Sheet6!$C$4,Sheet6!$C$4,IF(Tim!JE15=Sheet6!$C$5,Sheet6!$C$5,IF(Tim!JE15=Sheet6!$C$6,Sheet6!$C$6,IF(Tim!JE15=Sheet6!$C$7,Sheet6!$C$7,IF(Tim!JE15=Sheet6!$C$8,Sheet6!$C$8,"")))))))</f>
        <v/>
      </c>
      <c r="DC13" s="60" t="str">
        <f>IF(Tim!JI15=Sheet6!$C$2,Sheet6!$C$2,IF(Tim!JI15=Sheet6!$C$3,Sheet6!$C$3,IF(Tim!JI15=Sheet6!$C$4,Sheet6!$C$4,IF(Tim!JI15=Sheet6!$C$5,Sheet6!$C$5,IF(Tim!JI15=Sheet6!$C$6,Sheet6!$C$6,IF(Tim!JI15=Sheet6!$C$7,Sheet6!$C$7,IF(Tim!JI15=Sheet6!$C$8,Sheet6!$C$8,"")))))))</f>
        <v/>
      </c>
      <c r="DD13" s="61" t="str">
        <f>IF(Tim!JJ15=Sheet6!$C$2,Sheet6!$C$2,IF(Tim!JJ15=Sheet6!$C$3,Sheet6!$C$3,IF(Tim!JJ15=Sheet6!$C$4,Sheet6!$C$4,IF(Tim!JJ15=Sheet6!$C$5,Sheet6!$C$5,IF(Tim!JJ15=Sheet6!$C$6,Sheet6!$C$6,IF(Tim!JJ15=Sheet6!$C$7,Sheet6!$C$7,IF(Tim!JJ15=Sheet6!$C$8,Sheet6!$C$8,"")))))))</f>
        <v/>
      </c>
      <c r="DE13" s="61" t="str">
        <f>IF(Tim!JK15=Sheet6!$C$2,Sheet6!$C$2,IF(Tim!JK15=Sheet6!$C$3,Sheet6!$C$3,IF(Tim!JK15=Sheet6!$C$4,Sheet6!$C$4,IF(Tim!JK15=Sheet6!$C$5,Sheet6!$C$5,IF(Tim!JK15=Sheet6!$C$6,Sheet6!$C$6,IF(Tim!JK15=Sheet6!$C$7,Sheet6!$C$7,IF(Tim!JK15=Sheet6!$C$8,Sheet6!$C$8,"")))))))</f>
        <v/>
      </c>
      <c r="DF13" s="61" t="str">
        <f>IF(Tim!JL15=Sheet6!$C$2,Sheet6!$C$2,IF(Tim!JL15=Sheet6!$C$3,Sheet6!$C$3,IF(Tim!JL15=Sheet6!$C$4,Sheet6!$C$4,IF(Tim!JL15=Sheet6!$C$5,Sheet6!$C$5,IF(Tim!JL15=Sheet6!$C$6,Sheet6!$C$6,IF(Tim!JL15=Sheet6!$C$7,Sheet6!$C$7,IF(Tim!JL15=Sheet6!$C$8,Sheet6!$C$8,"")))))))</f>
        <v/>
      </c>
      <c r="DG13" s="62" t="str">
        <f>IF(Tim!JM15=Sheet6!$C$2,Sheet6!$C$2,IF(Tim!JM15=Sheet6!$C$3,Sheet6!$C$3,IF(Tim!JM15=Sheet6!$C$4,Sheet6!$C$4,IF(Tim!JM15=Sheet6!$C$5,Sheet6!$C$5,IF(Tim!JM15=Sheet6!$C$6,Sheet6!$C$6,IF(Tim!JM15=Sheet6!$C$7,Sheet6!$C$7,IF(Tim!JM15=Sheet6!$C$8,Sheet6!$C$8,"")))))))</f>
        <v/>
      </c>
      <c r="DH13" s="58" t="str">
        <f>IF(Tim!JN15=Sheet6!$C$2,Sheet6!$C$2,IF(Tim!JN15=Sheet6!$C$3,Sheet6!$C$3,IF(Tim!JN15=Sheet6!$C$4,Sheet6!$C$4,IF(Tim!JN15=Sheet6!$C$5,Sheet6!$C$5,IF(Tim!JN15=Sheet6!$C$6,Sheet6!$C$6,IF(Tim!JN15=Sheet6!$C$7,Sheet6!$C$7,IF(Tim!JN15=Sheet6!$C$8,Sheet6!$C$8,"")))))))</f>
        <v/>
      </c>
      <c r="DI13" s="59" t="str">
        <f>IF(Tim!JS15=Sheet6!$C$2,Sheet6!$C$2,IF(Tim!JS15=Sheet6!$C$3,Sheet6!$C$3,IF(Tim!JS15=Sheet6!$C$4,Sheet6!$C$4,IF(Tim!JS15=Sheet6!$C$5,Sheet6!$C$5,IF(Tim!JS15=Sheet6!$C$6,Sheet6!$C$6,IF(Tim!JS15=Sheet6!$C$7,Sheet6!$C$7,IF(Tim!JS15=Sheet6!$C$8,Sheet6!$C$8,"")))))))</f>
        <v/>
      </c>
      <c r="DJ13" s="59" t="str">
        <f>IF(Tim!KB15=Sheet6!$C$2,Sheet6!$C$2,IF(Tim!KB15=Sheet6!$C$3,Sheet6!$C$3,IF(Tim!KB15=Sheet6!$C$4,Sheet6!$C$4,IF(Tim!KB15=Sheet6!$C$5,Sheet6!$C$5,IF(Tim!KB15=Sheet6!$C$6,Sheet6!$C$6,IF(Tim!KB15=Sheet6!$C$7,Sheet6!$C$7,IF(Tim!KB15=Sheet6!$C$8,Sheet6!$C$8,"")))))))</f>
        <v/>
      </c>
      <c r="DK13" s="59" t="str">
        <f>IF(Tim!KI15=Sheet6!$C$2,Sheet6!$C$2,IF(Tim!KI15=Sheet6!$C$3,Sheet6!$C$3,IF(Tim!KI15=Sheet6!$C$4,Sheet6!$C$4,IF(Tim!KI15=Sheet6!$C$5,Sheet6!$C$5,IF(Tim!KI15=Sheet6!$C$6,Sheet6!$C$6,IF(Tim!KI15=Sheet6!$C$7,Sheet6!$C$7,IF(Tim!KI15=Sheet6!$C$8,Sheet6!$C$8,"")))))))</f>
        <v/>
      </c>
      <c r="DL13" s="60" t="str">
        <f>IF(Tim!KJ15=Sheet6!$C$2,Sheet6!$C$2,IF(Tim!KJ15=Sheet6!$C$3,Sheet6!$C$3,IF(Tim!KJ15=Sheet6!$C$4,Sheet6!$C$4,IF(Tim!KJ15=Sheet6!$C$5,Sheet6!$C$5,IF(Tim!KJ15=Sheet6!$C$6,Sheet6!$C$6,IF(Tim!KJ15=Sheet6!$C$7,Sheet6!$C$7,IF(Tim!KJ15=Sheet6!$C$8,Sheet6!$C$8,"")))))))</f>
        <v/>
      </c>
      <c r="DM13" s="60" t="str">
        <f>IF(Tim!KR15=Sheet6!$C$2,Sheet6!$C$2,IF(Tim!KR15=Sheet6!$C$3,Sheet6!$C$3,IF(Tim!KR15=Sheet6!$C$4,Sheet6!$C$4,IF(Tim!KR15=Sheet6!$C$5,Sheet6!$C$5,IF(Tim!KR15=Sheet6!$C$6,Sheet6!$C$6,IF(Tim!KR15=Sheet6!$C$7,Sheet6!$C$7,IF(Tim!KR15=Sheet6!$C$8,Sheet6!$C$8,"")))))))</f>
        <v/>
      </c>
      <c r="DN13" s="60" t="str">
        <f>IF(Tim!KS15=Sheet6!$C$2,Sheet6!$C$2,IF(Tim!KS15=Sheet6!$C$3,Sheet6!$C$3,IF(Tim!KS15=Sheet6!$C$4,Sheet6!$C$4,IF(Tim!KS15=Sheet6!$C$5,Sheet6!$C$5,IF(Tim!KS15=Sheet6!$C$6,Sheet6!$C$6,IF(Tim!KS15=Sheet6!$C$7,Sheet6!$C$7,IF(Tim!KS15=Sheet6!$C$8,Sheet6!$C$8,"")))))))</f>
        <v/>
      </c>
      <c r="DO13" s="60" t="str">
        <f>IF(Tim!KT15=Sheet6!$C$2,Sheet6!$C$2,IF(Tim!KT15=Sheet6!$C$3,Sheet6!$C$3,IF(Tim!KT15=Sheet6!$C$4,Sheet6!$C$4,IF(Tim!KT15=Sheet6!$C$5,Sheet6!$C$5,IF(Tim!KT15=Sheet6!$C$6,Sheet6!$C$6,IF(Tim!KT15=Sheet6!$C$7,Sheet6!$C$7,IF(Tim!KT15=Sheet6!$C$8,Sheet6!$C$8,"")))))))</f>
        <v/>
      </c>
      <c r="DP13" s="60" t="str">
        <f>IF(Tim!KU15=Sheet6!$C$2,Sheet6!$C$2,IF(Tim!KU15=Sheet6!$C$3,Sheet6!$C$3,IF(Tim!KU15=Sheet6!$C$4,Sheet6!$C$4,IF(Tim!KU15=Sheet6!$C$5,Sheet6!$C$5,IF(Tim!KU15=Sheet6!$C$6,Sheet6!$C$6,IF(Tim!KU15=Sheet6!$C$7,Sheet6!$C$7,IF(Tim!KU15=Sheet6!$C$8,Sheet6!$C$8,"")))))))</f>
        <v/>
      </c>
      <c r="DQ13" s="60" t="str">
        <f>IF(Tim!KV15=Sheet6!$C$2,Sheet6!$C$2,IF(Tim!KV15=Sheet6!$C$3,Sheet6!$C$3,IF(Tim!KV15=Sheet6!$C$4,Sheet6!$C$4,IF(Tim!KV15=Sheet6!$C$5,Sheet6!$C$5,IF(Tim!KV15=Sheet6!$C$6,Sheet6!$C$6,IF(Tim!KV15=Sheet6!$C$7,Sheet6!$C$7,IF(Tim!KV15=Sheet6!$C$8,Sheet6!$C$8,"")))))))</f>
        <v/>
      </c>
      <c r="DR13" s="60" t="str">
        <f>IF(Tim!KW15=Sheet6!$C$2,Sheet6!$C$2,IF(Tim!KW15=Sheet6!$C$3,Sheet6!$C$3,IF(Tim!KW15=Sheet6!$C$4,Sheet6!$C$4,IF(Tim!KW15=Sheet6!$C$5,Sheet6!$C$5,IF(Tim!KW15=Sheet6!$C$6,Sheet6!$C$6,IF(Tim!KW15=Sheet6!$C$7,Sheet6!$C$7,IF(Tim!KW15=Sheet6!$C$8,Sheet6!$C$8,"")))))))</f>
        <v/>
      </c>
      <c r="DS13" s="60" t="str">
        <f>IF(Tim!LA15=Sheet6!$C$2,Sheet6!$C$2,IF(Tim!LA15=Sheet6!$C$3,Sheet6!$C$3,IF(Tim!LA15=Sheet6!$C$4,Sheet6!$C$4,IF(Tim!LA15=Sheet6!$C$5,Sheet6!$C$5,IF(Tim!LA15=Sheet6!$C$6,Sheet6!$C$6,IF(Tim!LA15=Sheet6!$C$7,Sheet6!$C$7,IF(Tim!LA15=Sheet6!$C$8,Sheet6!$C$8,"")))))))</f>
        <v/>
      </c>
      <c r="DT13" s="61" t="str">
        <f>IF(Tim!LB15=Sheet6!$C$2,Sheet6!$C$2,IF(Tim!LB15=Sheet6!$C$3,Sheet6!$C$3,IF(Tim!LB15=Sheet6!$C$4,Sheet6!$C$4,IF(Tim!LB15=Sheet6!$C$5,Sheet6!$C$5,IF(Tim!LB15=Sheet6!$C$6,Sheet6!$C$6,IF(Tim!LB15=Sheet6!$C$7,Sheet6!$C$7,IF(Tim!LB15=Sheet6!$C$8,Sheet6!$C$8,"")))))))</f>
        <v/>
      </c>
      <c r="DU13" s="61" t="str">
        <f>IF(Tim!LC15=Sheet6!$C$2,Sheet6!$C$2,IF(Tim!LC15=Sheet6!$C$3,Sheet6!$C$3,IF(Tim!LC15=Sheet6!$C$4,Sheet6!$C$4,IF(Tim!LC15=Sheet6!$C$5,Sheet6!$C$5,IF(Tim!LC15=Sheet6!$C$6,Sheet6!$C$6,IF(Tim!LC15=Sheet6!$C$7,Sheet6!$C$7,IF(Tim!LC15=Sheet6!$C$8,Sheet6!$C$8,"")))))))</f>
        <v/>
      </c>
      <c r="DV13" s="61" t="str">
        <f>IF(Tim!LD15=Sheet6!$C$2,Sheet6!$C$2,IF(Tim!LD15=Sheet6!$C$3,Sheet6!$C$3,IF(Tim!LD15=Sheet6!$C$4,Sheet6!$C$4,IF(Tim!LD15=Sheet6!$C$5,Sheet6!$C$5,IF(Tim!LD15=Sheet6!$C$6,Sheet6!$C$6,IF(Tim!LD15=Sheet6!$C$7,Sheet6!$C$7,IF(Tim!LD15=Sheet6!$C$8,Sheet6!$C$8,"")))))))</f>
        <v/>
      </c>
      <c r="DW13" s="62" t="str">
        <f>IF(Tim!LE15=Sheet6!$C$2,Sheet6!$C$2,IF(Tim!LE15=Sheet6!$C$3,Sheet6!$C$3,IF(Tim!LE15=Sheet6!$C$4,Sheet6!$C$4,IF(Tim!LE15=Sheet6!$C$5,Sheet6!$C$5,IF(Tim!LE15=Sheet6!$C$6,Sheet6!$C$6,IF(Tim!LE15=Sheet6!$C$7,Sheet6!$C$7,IF(Tim!LE15=Sheet6!$C$8,Sheet6!$C$8,"")))))))</f>
        <v/>
      </c>
      <c r="DX13" s="52">
        <v>0.375</v>
      </c>
    </row>
    <row r="14" spans="2:128" ht="10.5" customHeight="1">
      <c r="B14" s="51">
        <v>0.25</v>
      </c>
      <c r="C14" s="51">
        <v>0.25</v>
      </c>
      <c r="D14" s="51">
        <v>0.25</v>
      </c>
      <c r="E14" s="52">
        <v>0.38541666666666602</v>
      </c>
      <c r="F14" s="53" t="str">
        <f>IF(Tim!F16=Sheet6!$C$2,Sheet6!$C$2,IF(Tim!F16=Sheet6!$C$3,Sheet6!$C$3,IF(Tim!F16=Sheet6!$C$4,Sheet6!$C$4,IF(Tim!F16=Sheet6!$C$5,Sheet6!$C$5,IF(Tim!F16=Sheet6!$C$6,Sheet6!$C$6,IF(Tim!F16=Sheet6!$C$7,Sheet6!$C$7,IF(Tim!F16=Sheet6!$C$8,Sheet6!$C$8,"")))))))</f>
        <v/>
      </c>
      <c r="G14" s="53" t="str">
        <f>IF(Tim!G16=Sheet6!$C$2,Sheet6!$C$2,IF(Tim!G16=Sheet6!$C$3,Sheet6!$C$3,IF(Tim!G16=Sheet6!$C$4,Sheet6!$C$4,IF(Tim!G16=Sheet6!$C$5,Sheet6!$C$5,IF(Tim!G16=Sheet6!$C$6,Sheet6!$C$6,IF(Tim!G16=Sheet6!$C$7,Sheet6!$C$7,IF(Tim!G16=Sheet6!$C$8,Sheet6!$C$8,"")))))))</f>
        <v/>
      </c>
      <c r="H14" s="53" t="str">
        <f>IF(Tim!H16=Sheet6!$C$2,Sheet6!$C$2,IF(Tim!H16=Sheet6!$C$3,Sheet6!$C$3,IF(Tim!H16=Sheet6!$C$4,Sheet6!$C$4,IF(Tim!H16=Sheet6!$C$5,Sheet6!$C$5,IF(Tim!H16=Sheet6!$C$6,Sheet6!$C$6,IF(Tim!H16=Sheet6!$C$7,Sheet6!$C$7,IF(Tim!H16=Sheet6!$C$8,Sheet6!$C$8,"")))))))</f>
        <v/>
      </c>
      <c r="I14" s="53" t="str">
        <f>IF(Tim!L16=Sheet6!$C$2,Sheet6!$C$2,IF(Tim!L16=Sheet6!$C$3,Sheet6!$C$3,IF(Tim!L16=Sheet6!$C$4,Sheet6!$C$4,IF(Tim!L16=Sheet6!$C$5,Sheet6!$C$5,IF(Tim!L16=Sheet6!$C$6,Sheet6!$C$6,IF(Tim!L16=Sheet6!$C$7,Sheet6!$C$7,IF(Tim!L16=Sheet6!$C$8,Sheet6!$C$8,"")))))))</f>
        <v/>
      </c>
      <c r="J14" s="53" t="str">
        <f>IF(Tim!T16=Sheet6!$C$2,Sheet6!$C$2,IF(Tim!T16=Sheet6!$C$3,Sheet6!$C$3,IF(Tim!T16=Sheet6!$C$4,Sheet6!$C$4,IF(Tim!T16=Sheet6!$C$5,Sheet6!$C$5,IF(Tim!T16=Sheet6!$C$6,Sheet6!$C$6,IF(Tim!T16=Sheet6!$C$7,Sheet6!$C$7,IF(Tim!T16=Sheet6!$C$8,Sheet6!$C$8,"")))))))</f>
        <v/>
      </c>
      <c r="K14" s="53" t="str">
        <f>IF(Tim!AB16=Sheet6!$C$2,Sheet6!$C$2,IF(Tim!AB16=Sheet6!$C$3,Sheet6!$C$3,IF(Tim!AB16=Sheet6!$C$4,Sheet6!$C$4,IF(Tim!AB16=Sheet6!$C$5,Sheet6!$C$5,IF(Tim!AB16=Sheet6!$C$6,Sheet6!$C$6,IF(Tim!AB16=Sheet6!$C$7,Sheet6!$C$7,IF(Tim!AB16=Sheet6!$C$8,Sheet6!$C$8,"")))))))</f>
        <v/>
      </c>
      <c r="L14" s="181" t="str">
        <f>IF(Tim!AC16=Sheet6!$C$2,Sheet6!$C$2,IF(Tim!AC16=Sheet6!$C$3,Sheet6!$C$3,IF(Tim!AC16=Sheet6!$C$4,Sheet6!$C$4,IF(Tim!AC16=Sheet6!$C$5,Sheet6!$C$5,IF(Tim!AC16=Sheet6!$C$6,Sheet6!$C$6,IF(Tim!AC16=Sheet6!$C$7,Sheet6!$C$7,IF(Tim!AC16=Sheet6!$C$8,Sheet6!$C$8,"")))))))</f>
        <v/>
      </c>
      <c r="M14" s="53" t="str">
        <f>IF(Tim!AJ16=Sheet6!$C$2,Sheet6!$C$2,IF(Tim!AJ16=Sheet6!$C$3,Sheet6!$C$3,IF(Tim!AJ16=Sheet6!$C$4,Sheet6!$C$4,IF(Tim!AJ16=Sheet6!$C$5,Sheet6!$C$5,IF(Tim!AJ16=Sheet6!$C$6,Sheet6!$C$6,IF(Tim!AJ16=Sheet6!$C$7,Sheet6!$C$7,IF(Tim!AJ16=Sheet6!$C$8,Sheet6!$C$8,"")))))))</f>
        <v/>
      </c>
      <c r="N14" s="53" t="str">
        <f>IF(Tim!AK16=Sheet6!$C$2,Sheet6!$C$2,IF(Tim!AK16=Sheet6!$C$3,Sheet6!$C$3,IF(Tim!AK16=Sheet6!$C$4,Sheet6!$C$4,IF(Tim!AK16=Sheet6!$C$5,Sheet6!$C$5,IF(Tim!AK16=Sheet6!$C$6,Sheet6!$C$6,IF(Tim!AK16=Sheet6!$C$7,Sheet6!$C$7,IF(Tim!AK16=Sheet6!$C$8,Sheet6!$C$8,"")))))))</f>
        <v/>
      </c>
      <c r="O14" s="53" t="str">
        <f>IF(Tim!AL16=Sheet6!$C$2,Sheet6!$C$2,IF(Tim!AL16=Sheet6!$C$3,Sheet6!$C$3,IF(Tim!AL16=Sheet6!$C$4,Sheet6!$C$4,IF(Tim!AL16=Sheet6!$C$5,Sheet6!$C$5,IF(Tim!AL16=Sheet6!$C$6,Sheet6!$C$6,IF(Tim!AL16=Sheet6!$C$7,Sheet6!$C$7,IF(Tim!AL16=Sheet6!$C$8,Sheet6!$C$8,"")))))))</f>
        <v/>
      </c>
      <c r="P14" s="53" t="str">
        <f>IF(Tim!AN16=Sheet6!$C$2,Sheet6!$C$2,IF(Tim!AN16=Sheet6!$C$3,Sheet6!$C$3,IF(Tim!AN16=Sheet6!$C$4,Sheet6!$C$4,IF(Tim!AN16=Sheet6!$C$5,Sheet6!$C$5,IF(Tim!AN16=Sheet6!$C$6,Sheet6!$C$6,IF(Tim!AN16=Sheet6!$C$7,Sheet6!$C$7,IF(Tim!AN16=Sheet6!$C$8,Sheet6!$C$8,"")))))))</f>
        <v/>
      </c>
      <c r="Q14" s="53" t="str">
        <f>IF(Tim!AO16=Sheet6!$C$2,Sheet6!$C$2,IF(Tim!AO16=Sheet6!$C$3,Sheet6!$C$3,IF(Tim!AO16=Sheet6!$C$4,Sheet6!$C$4,IF(Tim!AO16=Sheet6!$C$5,Sheet6!$C$5,IF(Tim!AO16=Sheet6!$C$6,Sheet6!$C$6,IF(Tim!AO16=Sheet6!$C$7,Sheet6!$C$7,IF(Tim!AO16=Sheet6!$C$8,Sheet6!$C$8,"")))))))</f>
        <v/>
      </c>
      <c r="R14" s="53" t="str">
        <f>IF(Tim!AP16=Sheet6!$C$2,Sheet6!$C$2,IF(Tim!AP16=Sheet6!$C$3,Sheet6!$C$3,IF(Tim!AP16=Sheet6!$C$4,Sheet6!$C$4,IF(Tim!AP16=Sheet6!$C$5,Sheet6!$C$5,IF(Tim!AP16=Sheet6!$C$6,Sheet6!$C$6,IF(Tim!AP16=Sheet6!$C$7,Sheet6!$C$7,IF(Tim!AP16=Sheet6!$C$8,Sheet6!$C$8,"")))))))</f>
        <v/>
      </c>
      <c r="S14" s="53" t="str">
        <f>IF(Tim!AT16=Sheet6!$C$2,Sheet6!$C$2,IF(Tim!AT16=Sheet6!$C$3,Sheet6!$C$3,IF(Tim!AT16=Sheet6!$C$4,Sheet6!$C$4,IF(Tim!AT16=Sheet6!$C$5,Sheet6!$C$5,IF(Tim!AT16=Sheet6!$C$6,Sheet6!$C$6,IF(Tim!AT16=Sheet6!$C$7,Sheet6!$C$7,IF(Tim!AT16=Sheet6!$C$8,Sheet6!$C$8,"")))))))</f>
        <v/>
      </c>
      <c r="T14" s="54" t="str">
        <f>IF(Tim!AU16=Sheet6!$C$2,Sheet6!$C$2,IF(Tim!AU16=Sheet6!$C$3,Sheet6!$C$3,IF(Tim!AU16=Sheet6!$C$4,Sheet6!$C$4,IF(Tim!AU16=Sheet6!$C$5,Sheet6!$C$5,IF(Tim!AU16=Sheet6!$C$6,Sheet6!$C$6,IF(Tim!AU16=Sheet6!$C$7,Sheet6!$C$7,IF(Tim!AU16=Sheet6!$C$8,Sheet6!$C$8,"")))))))</f>
        <v/>
      </c>
      <c r="U14" s="54" t="str">
        <f>IF(Tim!AV16=Sheet6!$C$2,Sheet6!$C$2,IF(Tim!AV16=Sheet6!$C$3,Sheet6!$C$3,IF(Tim!AV16=Sheet6!$C$4,Sheet6!$C$4,IF(Tim!AV16=Sheet6!$C$5,Sheet6!$C$5,IF(Tim!AV16=Sheet6!$C$6,Sheet6!$C$6,IF(Tim!AV16=Sheet6!$C$7,Sheet6!$C$7,IF(Tim!AV16=Sheet6!$C$8,Sheet6!$C$8,"")))))))</f>
        <v/>
      </c>
      <c r="V14" s="54" t="str">
        <f>IF(Tim!AW16=Sheet6!$C$2,Sheet6!$C$2,IF(Tim!AW16=Sheet6!$C$3,Sheet6!$C$3,IF(Tim!AW16=Sheet6!$C$4,Sheet6!$C$4,IF(Tim!AW16=Sheet6!$C$5,Sheet6!$C$5,IF(Tim!AW16=Sheet6!$C$6,Sheet6!$C$6,IF(Tim!AW16=Sheet6!$C$7,Sheet6!$C$7,IF(Tim!AW16=Sheet6!$C$8,Sheet6!$C$8,"")))))))</f>
        <v/>
      </c>
      <c r="W14" s="55" t="str">
        <f>IF(Tim!AX16=Sheet6!$C$2,Sheet6!$C$2,IF(Tim!AX16=Sheet6!$C$3,Sheet6!$C$3,IF(Tim!AX16=Sheet6!$C$4,Sheet6!$C$4,IF(Tim!AX16=Sheet6!$C$5,Sheet6!$C$5,IF(Tim!AX16=Sheet6!$C$6,Sheet6!$C$6,IF(Tim!AX16=Sheet6!$C$7,Sheet6!$C$7,IF(Tim!AX16=Sheet6!$C$8,Sheet6!$C$8,"")))))))</f>
        <v/>
      </c>
      <c r="X14" s="53" t="str">
        <f>IF(Tim!AY16=Sheet6!$C$2,Sheet6!$C$2,IF(Tim!AY16=Sheet6!$C$3,Sheet6!$C$3,IF(Tim!AY16=Sheet6!$C$4,Sheet6!$C$4,IF(Tim!AY16=Sheet6!$C$5,Sheet6!$C$5,IF(Tim!AY16=Sheet6!$C$6,Sheet6!$C$6,IF(Tim!AY16=Sheet6!$C$7,Sheet6!$C$7,IF(Tim!AY16=Sheet6!$C$8,Sheet6!$C$8,"")))))))</f>
        <v/>
      </c>
      <c r="Y14" s="57" t="str">
        <f>IF(Tim!AZ16=Sheet6!$C$2,Sheet6!$C$2,IF(Tim!AZ16=Sheet6!$C$3,Sheet6!$C$3,IF(Tim!AZ16=Sheet6!$C$4,Sheet6!$C$4,IF(Tim!AZ16=Sheet6!$C$5,Sheet6!$C$5,IF(Tim!AZ16=Sheet6!$C$6,Sheet6!$C$6,IF(Tim!AZ16=Sheet6!$C$7,Sheet6!$C$7,IF(Tim!AZ16=Sheet6!$C$8,Sheet6!$C$8,"")))))))</f>
        <v/>
      </c>
      <c r="Z14" s="57" t="str">
        <f>IF(Tim!BD16=Sheet6!$C$2,Sheet6!$C$2,IF(Tim!BD16=Sheet6!$C$3,Sheet6!$C$3,IF(Tim!BD16=Sheet6!$C$4,Sheet6!$C$4,IF(Tim!BD16=Sheet6!$C$5,Sheet6!$C$5,IF(Tim!BD16=Sheet6!$C$6,Sheet6!$C$6,IF(Tim!BD16=Sheet6!$C$7,Sheet6!$C$7,IF(Tim!BD16=Sheet6!$C$8,Sheet6!$C$8,"")))))))</f>
        <v/>
      </c>
      <c r="AA14" s="57" t="str">
        <f>IF(Tim!BE16=Sheet6!$C$2,Sheet6!$C$2,IF(Tim!BE16=Sheet6!$C$3,Sheet6!$C$3,IF(Tim!BE16=Sheet6!$C$4,Sheet6!$C$4,IF(Tim!BE16=Sheet6!$C$5,Sheet6!$C$5,IF(Tim!BE16=Sheet6!$C$6,Sheet6!$C$6,IF(Tim!BE16=Sheet6!$C$7,Sheet6!$C$7,IF(Tim!BE16=Sheet6!$C$8,Sheet6!$C$8,"")))))))</f>
        <v/>
      </c>
      <c r="AB14" s="57" t="str">
        <f>IF(Tim!BL16=Sheet6!$C$2,Sheet6!$C$2,IF(Tim!BL16=Sheet6!$C$3,Sheet6!$C$3,IF(Tim!BL16=Sheet6!$C$4,Sheet6!$C$4,IF(Tim!BL16=Sheet6!$C$5,Sheet6!$C$5,IF(Tim!BL16=Sheet6!$C$6,Sheet6!$C$6,IF(Tim!BL16=Sheet6!$C$7,Sheet6!$C$7,IF(Tim!BL16=Sheet6!$C$8,Sheet6!$C$8,"")))))))</f>
        <v/>
      </c>
      <c r="AC14" s="53" t="str">
        <f>IF(Tim!BT16=Sheet6!$C$2,Sheet6!$C$2,IF(Tim!BT16=Sheet6!$C$3,Sheet6!$C$3,IF(Tim!BT16=Sheet6!$C$4,Sheet6!$C$4,IF(Tim!BT16=Sheet6!$C$5,Sheet6!$C$5,IF(Tim!BT16=Sheet6!$C$6,Sheet6!$C$6,IF(Tim!BT16=Sheet6!$C$7,Sheet6!$C$7,IF(Tim!BT16=Sheet6!$C$8,Sheet6!$C$8,"")))))))</f>
        <v/>
      </c>
      <c r="AD14" s="53" t="str">
        <f>IF(Tim!BU16=Sheet6!$C$2,Sheet6!$C$2,IF(Tim!BU16=Sheet6!$C$3,Sheet6!$C$3,IF(Tim!BU16=Sheet6!$C$4,Sheet6!$C$4,IF(Tim!BU16=Sheet6!$C$5,Sheet6!$C$5,IF(Tim!BU16=Sheet6!$C$6,Sheet6!$C$6,IF(Tim!BU16=Sheet6!$C$7,Sheet6!$C$7,IF(Tim!BU16=Sheet6!$C$8,Sheet6!$C$8,"")))))))</f>
        <v/>
      </c>
      <c r="AE14" s="53" t="str">
        <f>IF(Tim!CB16=Sheet6!$C$2,Sheet6!$C$2,IF(Tim!CB16=Sheet6!$C$3,Sheet6!$C$3,IF(Tim!CB16=Sheet6!$C$4,Sheet6!$C$4,IF(Tim!CB16=Sheet6!$C$5,Sheet6!$C$5,IF(Tim!CB16=Sheet6!$C$6,Sheet6!$C$6,IF(Tim!CB16=Sheet6!$C$7,Sheet6!$C$7,IF(Tim!CB16=Sheet6!$C$8,Sheet6!$C$8,"")))))))</f>
        <v/>
      </c>
      <c r="AF14" s="53" t="str">
        <f>IF(Tim!CD16=Sheet6!$C$2,Sheet6!$C$2,IF(Tim!CD16=Sheet6!$C$3,Sheet6!$C$3,IF(Tim!CD16=Sheet6!$C$4,Sheet6!$C$4,IF(Tim!CD16=Sheet6!$C$5,Sheet6!$C$5,IF(Tim!CD16=Sheet6!$C$6,Sheet6!$C$6,IF(Tim!CD16=Sheet6!$C$7,Sheet6!$C$7,IF(Tim!CD16=Sheet6!$C$8,Sheet6!$C$8,"")))))))</f>
        <v/>
      </c>
      <c r="AG14" s="53" t="str">
        <f>IF(Tim!CE16=Sheet6!$C$2,Sheet6!$C$2,IF(Tim!CE16=Sheet6!$C$3,Sheet6!$C$3,IF(Tim!CE16=Sheet6!$C$4,Sheet6!$C$4,IF(Tim!CE16=Sheet6!$C$5,Sheet6!$C$5,IF(Tim!CE16=Sheet6!$C$6,Sheet6!$C$6,IF(Tim!CE16=Sheet6!$C$7,Sheet6!$C$7,IF(Tim!CE16=Sheet6!$C$8,Sheet6!$C$8,"")))))))</f>
        <v/>
      </c>
      <c r="AH14" s="53" t="str">
        <f>IF(Tim!CF16=Sheet6!$C$2,Sheet6!$C$2,IF(Tim!CF16=Sheet6!$C$3,Sheet6!$C$3,IF(Tim!CF16=Sheet6!$C$4,Sheet6!$C$4,IF(Tim!CF16=Sheet6!$C$5,Sheet6!$C$5,IF(Tim!CF16=Sheet6!$C$6,Sheet6!$C$6,IF(Tim!CF16=Sheet6!$C$7,Sheet6!$C$7,IF(Tim!CF16=Sheet6!$C$8,Sheet6!$C$8,"")))))))</f>
        <v/>
      </c>
      <c r="AI14" s="53" t="str">
        <f>IF(Tim!CG16=Sheet6!$C$2,Sheet6!$C$2,IF(Tim!CG16=Sheet6!$C$3,Sheet6!$C$3,IF(Tim!CG16=Sheet6!$C$4,Sheet6!$C$4,IF(Tim!CG16=Sheet6!$C$5,Sheet6!$C$5,IF(Tim!CG16=Sheet6!$C$6,Sheet6!$C$6,IF(Tim!CG16=Sheet6!$C$7,Sheet6!$C$7,IF(Tim!CG16=Sheet6!$C$8,Sheet6!$C$8,"")))))))</f>
        <v/>
      </c>
      <c r="AJ14" s="53" t="str">
        <f>IF(Tim!CH16=Sheet6!$C$2,Sheet6!$C$2,IF(Tim!CH16=Sheet6!$C$3,Sheet6!$C$3,IF(Tim!CH16=Sheet6!$C$4,Sheet6!$C$4,IF(Tim!CH16=Sheet6!$C$5,Sheet6!$C$5,IF(Tim!CH16=Sheet6!$C$6,Sheet6!$C$6,IF(Tim!CH16=Sheet6!$C$7,Sheet6!$C$7,IF(Tim!CH16=Sheet6!$C$8,Sheet6!$C$8,"")))))))</f>
        <v/>
      </c>
      <c r="AK14" s="53" t="str">
        <f>IF(Tim!CL16=Sheet6!$C$2,Sheet6!$C$2,IF(Tim!CL16=Sheet6!$C$3,Sheet6!$C$3,IF(Tim!CL16=Sheet6!$C$4,Sheet6!$C$4,IF(Tim!CL16=Sheet6!$C$5,Sheet6!$C$5,IF(Tim!CL16=Sheet6!$C$6,Sheet6!$C$6,IF(Tim!CL16=Sheet6!$C$7,Sheet6!$C$7,IF(Tim!CL16=Sheet6!$C$8,Sheet6!$C$8,"")))))))</f>
        <v/>
      </c>
      <c r="AL14" s="54" t="str">
        <f>IF(Tim!CM16=Sheet6!$C$2,Sheet6!$C$2,IF(Tim!CM16=Sheet6!$C$3,Sheet6!$C$3,IF(Tim!CM16=Sheet6!$C$4,Sheet6!$C$4,IF(Tim!CM16=Sheet6!$C$5,Sheet6!$C$5,IF(Tim!CM16=Sheet6!$C$6,Sheet6!$C$6,IF(Tim!CM16=Sheet6!$C$7,Sheet6!$C$7,IF(Tim!CM16=Sheet6!$C$8,Sheet6!$C$8,"")))))))</f>
        <v/>
      </c>
      <c r="AM14" s="54" t="str">
        <f>IF(Tim!CN16=Sheet6!$C$2,Sheet6!$C$2,IF(Tim!CN16=Sheet6!$C$3,Sheet6!$C$3,IF(Tim!CN16=Sheet6!$C$4,Sheet6!$C$4,IF(Tim!CN16=Sheet6!$C$5,Sheet6!$C$5,IF(Tim!CN16=Sheet6!$C$6,Sheet6!$C$6,IF(Tim!CN16=Sheet6!$C$7,Sheet6!$C$7,IF(Tim!CN16=Sheet6!$C$8,Sheet6!$C$8,"")))))))</f>
        <v/>
      </c>
      <c r="AN14" s="54" t="str">
        <f>IF(Tim!CO16=Sheet6!$C$2,Sheet6!$C$2,IF(Tim!CO16=Sheet6!$C$3,Sheet6!$C$3,IF(Tim!CO16=Sheet6!$C$4,Sheet6!$C$4,IF(Tim!CO16=Sheet6!$C$5,Sheet6!$C$5,IF(Tim!CO16=Sheet6!$C$6,Sheet6!$C$6,IF(Tim!CO16=Sheet6!$C$7,Sheet6!$C$7,IF(Tim!CO16=Sheet6!$C$8,Sheet6!$C$8,"")))))))</f>
        <v/>
      </c>
      <c r="AO14" s="55" t="str">
        <f>IF(Tim!CP16=Sheet6!$C$2,Sheet6!$C$2,IF(Tim!CP16=Sheet6!$C$3,Sheet6!$C$3,IF(Tim!CP16=Sheet6!$C$4,Sheet6!$C$4,IF(Tim!CP16=Sheet6!$C$5,Sheet6!$C$5,IF(Tim!CP16=Sheet6!$C$6,Sheet6!$C$6,IF(Tim!CP16=Sheet6!$C$7,Sheet6!$C$7,IF(Tim!CP16=Sheet6!$C$8,Sheet6!$C$8,"")))))))</f>
        <v/>
      </c>
      <c r="AP14" s="53" t="str">
        <f>IF(Tim!CQ16=Sheet6!$C$2,Sheet6!$C$2,IF(Tim!CQ16=Sheet6!$C$3,Sheet6!$C$3,IF(Tim!CQ16=Sheet6!$C$4,Sheet6!$C$4,IF(Tim!CQ16=Sheet6!$C$5,Sheet6!$C$5,IF(Tim!CQ16=Sheet6!$C$6,Sheet6!$C$6,IF(Tim!CQ16=Sheet6!$C$7,Sheet6!$C$7,IF(Tim!CQ16=Sheet6!$C$8,Sheet6!$C$8,"")))))))</f>
        <v/>
      </c>
      <c r="AQ14" s="57" t="str">
        <f>IF(Tim!CR16=Sheet6!$C$2,Sheet6!$C$2,IF(Tim!CR16=Sheet6!$C$3,Sheet6!$C$3,IF(Tim!CR16=Sheet6!$C$4,Sheet6!$C$4,IF(Tim!CR16=Sheet6!$C$5,Sheet6!$C$5,IF(Tim!CR16=Sheet6!$C$6,Sheet6!$C$6,IF(Tim!CR16=Sheet6!$C$7,Sheet6!$C$7,IF(Tim!CR16=Sheet6!$C$8,Sheet6!$C$8,"")))))))</f>
        <v/>
      </c>
      <c r="AR14" s="57" t="str">
        <f>IF(Tim!CV16=Sheet6!$C$2,Sheet6!$C$2,IF(Tim!CV16=Sheet6!$C$3,Sheet6!$C$3,IF(Tim!CV16=Sheet6!$C$4,Sheet6!$C$4,IF(Tim!CV16=Sheet6!$C$5,Sheet6!$C$5,IF(Tim!CV16=Sheet6!$C$6,Sheet6!$C$6,IF(Tim!CV16=Sheet6!$C$7,Sheet6!$C$7,IF(Tim!CV16=Sheet6!$C$8,Sheet6!$C$8,"")))))))</f>
        <v/>
      </c>
      <c r="AS14" s="57" t="str">
        <f>IF(Tim!CW16=Sheet6!$C$2,Sheet6!$C$2,IF(Tim!CW16=Sheet6!$C$3,Sheet6!$C$3,IF(Tim!CW16=Sheet6!$C$4,Sheet6!$C$4,IF(Tim!CW16=Sheet6!$C$5,Sheet6!$C$5,IF(Tim!CW16=Sheet6!$C$6,Sheet6!$C$6,IF(Tim!CW16=Sheet6!$C$7,Sheet6!$C$7,IF(Tim!CW16=Sheet6!$C$8,Sheet6!$C$8,"")))))))</f>
        <v/>
      </c>
      <c r="AT14" s="57" t="str">
        <f>IF(Tim!DA16=Sheet6!$C$2,Sheet6!$C$2,IF(Tim!DA16=Sheet6!$C$3,Sheet6!$C$3,IF(Tim!DA16=Sheet6!$C$4,Sheet6!$C$4,IF(Tim!DA16=Sheet6!$C$5,Sheet6!$C$5,IF(Tim!DA16=Sheet6!$C$6,Sheet6!$C$6,IF(Tim!DA16=Sheet6!$C$7,Sheet6!$C$7,IF(Tim!DA16=Sheet6!$C$8,Sheet6!$C$8,"")))))))</f>
        <v/>
      </c>
      <c r="AU14" s="53" t="str">
        <f>IF(Tim!DO16=Sheet6!$C$2,Sheet6!$C$2,IF(Tim!DO16=Sheet6!$C$3,Sheet6!$C$3,IF(Tim!DO16=Sheet6!$C$4,Sheet6!$C$4,IF(Tim!DO16=Sheet6!$C$5,Sheet6!$C$5,IF(Tim!DO16=Sheet6!$C$6,Sheet6!$C$6,IF(Tim!DO16=Sheet6!$C$7,Sheet6!$C$7,IF(Tim!DO16=Sheet6!$C$8,Sheet6!$C$8,"")))))))</f>
        <v/>
      </c>
      <c r="AV14" s="53" t="str">
        <f>IF(Tim!DP16=Sheet6!$C$2,Sheet6!$C$2,IF(Tim!DP16=Sheet6!$C$3,Sheet6!$C$3,IF(Tim!DP16=Sheet6!$C$4,Sheet6!$C$4,IF(Tim!DP16=Sheet6!$C$5,Sheet6!$C$5,IF(Tim!DP16=Sheet6!$C$6,Sheet6!$C$6,IF(Tim!DP16=Sheet6!$C$7,Sheet6!$C$7,IF(Tim!DP16=Sheet6!$C$8,Sheet6!$C$8,"")))))))</f>
        <v/>
      </c>
      <c r="AW14" s="53" t="str">
        <f>IF(Tim!DX16=Sheet6!$C$2,Sheet6!$C$2,IF(Tim!DX16=Sheet6!$C$3,Sheet6!$C$3,IF(Tim!DX16=Sheet6!$C$4,Sheet6!$C$4,IF(Tim!DX16=Sheet6!$C$5,Sheet6!$C$5,IF(Tim!DX16=Sheet6!$C$6,Sheet6!$C$6,IF(Tim!DX16=Sheet6!$C$7,Sheet6!$C$7,IF(Tim!DX16=Sheet6!$C$8,Sheet6!$C$8,"")))))))</f>
        <v/>
      </c>
      <c r="AX14" s="53" t="str">
        <f>IF(Tim!DY16=Sheet6!$C$2,Sheet6!$C$2,IF(Tim!DY16=Sheet6!$C$3,Sheet6!$C$3,IF(Tim!DY16=Sheet6!$C$4,Sheet6!$C$4,IF(Tim!DY16=Sheet6!$C$5,Sheet6!$C$5,IF(Tim!DY16=Sheet6!$C$6,Sheet6!$C$6,IF(Tim!DY16=Sheet6!$C$7,Sheet6!$C$7,IF(Tim!DY16=Sheet6!$C$8,Sheet6!$C$8,"")))))))</f>
        <v/>
      </c>
      <c r="AY14" s="53" t="str">
        <f>IF(Tim!DZ16=Sheet6!$C$2,Sheet6!$C$2,IF(Tim!DZ16=Sheet6!$C$3,Sheet6!$C$3,IF(Tim!DZ16=Sheet6!$C$4,Sheet6!$C$4,IF(Tim!DZ16=Sheet6!$C$5,Sheet6!$C$5,IF(Tim!DZ16=Sheet6!$C$6,Sheet6!$C$6,IF(Tim!DZ16=Sheet6!$C$7,Sheet6!$C$7,IF(Tim!DZ16=Sheet6!$C$8,Sheet6!$C$8,"")))))))</f>
        <v/>
      </c>
      <c r="AZ14" s="53" t="str">
        <f>IF(Tim!EA16=Sheet6!$C$2,Sheet6!$C$2,IF(Tim!EA16=Sheet6!$C$3,Sheet6!$C$3,IF(Tim!EA16=Sheet6!$C$4,Sheet6!$C$4,IF(Tim!EA16=Sheet6!$C$5,Sheet6!$C$5,IF(Tim!EA16=Sheet6!$C$6,Sheet6!$C$6,IF(Tim!EA16=Sheet6!$C$7,Sheet6!$C$7,IF(Tim!EA16=Sheet6!$C$8,Sheet6!$C$8,"")))))))</f>
        <v/>
      </c>
      <c r="BA14" s="53" t="str">
        <f>IF(Tim!EB16=Sheet6!$C$2,Sheet6!$C$2,IF(Tim!EB16=Sheet6!$C$3,Sheet6!$C$3,IF(Tim!EB16=Sheet6!$C$4,Sheet6!$C$4,IF(Tim!EB16=Sheet6!$C$5,Sheet6!$C$5,IF(Tim!EB16=Sheet6!$C$6,Sheet6!$C$6,IF(Tim!EB16=Sheet6!$C$7,Sheet6!$C$7,IF(Tim!EB16=Sheet6!$C$8,Sheet6!$C$8,"")))))))</f>
        <v/>
      </c>
      <c r="BB14" s="53" t="str">
        <f>IF(Tim!EC16=Sheet6!$C$2,Sheet6!$C$2,IF(Tim!EC16=Sheet6!$C$3,Sheet6!$C$3,IF(Tim!EC16=Sheet6!$C$4,Sheet6!$C$4,IF(Tim!EC16=Sheet6!$C$5,Sheet6!$C$5,IF(Tim!EC16=Sheet6!$C$6,Sheet6!$C$6,IF(Tim!EC16=Sheet6!$C$7,Sheet6!$C$7,IF(Tim!EC16=Sheet6!$C$8,Sheet6!$C$8,"")))))))</f>
        <v/>
      </c>
      <c r="BC14" s="53" t="str">
        <f>IF(Tim!EG16=Sheet6!$C$2,Sheet6!$C$2,IF(Tim!EG16=Sheet6!$C$3,Sheet6!$C$3,IF(Tim!EG16=Sheet6!$C$4,Sheet6!$C$4,IF(Tim!EG16=Sheet6!$C$5,Sheet6!$C$5,IF(Tim!EG16=Sheet6!$C$6,Sheet6!$C$6,IF(Tim!EG16=Sheet6!$C$7,Sheet6!$C$7,IF(Tim!EG16=Sheet6!$C$8,Sheet6!$C$8,"")))))))</f>
        <v/>
      </c>
      <c r="BD14" s="54" t="str">
        <f>IF(Tim!EH16=Sheet6!$C$2,Sheet6!$C$2,IF(Tim!EH16=Sheet6!$C$3,Sheet6!$C$3,IF(Tim!EH16=Sheet6!$C$4,Sheet6!$C$4,IF(Tim!EH16=Sheet6!$C$5,Sheet6!$C$5,IF(Tim!EH16=Sheet6!$C$6,Sheet6!$C$6,IF(Tim!EH16=Sheet6!$C$7,Sheet6!$C$7,IF(Tim!EH16=Sheet6!$C$8,Sheet6!$C$8,"")))))))</f>
        <v/>
      </c>
      <c r="BE14" s="54" t="str">
        <f>IF(Tim!EI16=Sheet6!$C$2,Sheet6!$C$2,IF(Tim!EI16=Sheet6!$C$3,Sheet6!$C$3,IF(Tim!EI16=Sheet6!$C$4,Sheet6!$C$4,IF(Tim!EI16=Sheet6!$C$5,Sheet6!$C$5,IF(Tim!EI16=Sheet6!$C$6,Sheet6!$C$6,IF(Tim!EI16=Sheet6!$C$7,Sheet6!$C$7,IF(Tim!EI16=Sheet6!$C$8,Sheet6!$C$8,"")))))))</f>
        <v/>
      </c>
      <c r="BF14" s="54" t="str">
        <f>IF(Tim!EJ16=Sheet6!$C$2,Sheet6!$C$2,IF(Tim!EJ16=Sheet6!$C$3,Sheet6!$C$3,IF(Tim!EJ16=Sheet6!$C$4,Sheet6!$C$4,IF(Tim!EJ16=Sheet6!$C$5,Sheet6!$C$5,IF(Tim!EJ16=Sheet6!$C$6,Sheet6!$C$6,IF(Tim!EJ16=Sheet6!$C$7,Sheet6!$C$7,IF(Tim!EJ16=Sheet6!$C$8,Sheet6!$C$8,"")))))))</f>
        <v/>
      </c>
      <c r="BG14" s="55" t="str">
        <f>IF(Tim!EK16=Sheet6!$C$2,Sheet6!$C$2,IF(Tim!EK16=Sheet6!$C$3,Sheet6!$C$3,IF(Tim!EK16=Sheet6!$C$4,Sheet6!$C$4,IF(Tim!EK16=Sheet6!$C$5,Sheet6!$C$5,IF(Tim!EK16=Sheet6!$C$6,Sheet6!$C$6,IF(Tim!EK16=Sheet6!$C$7,Sheet6!$C$7,IF(Tim!EK16=Sheet6!$C$8,Sheet6!$C$8,"")))))))</f>
        <v/>
      </c>
      <c r="BH14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BI14" s="57" t="str">
        <f>IF(Tim!EM16=Sheet6!$C$2,Sheet6!$C$2,IF(Tim!EM16=Sheet6!$C$3,Sheet6!$C$3,IF(Tim!EM16=Sheet6!$C$4,Sheet6!$C$4,IF(Tim!EM16=Sheet6!$C$5,Sheet6!$C$5,IF(Tim!EM16=Sheet6!$C$6,Sheet6!$C$6,IF(Tim!EM16=Sheet6!$C$7,Sheet6!$C$7,IF(Tim!EM16=Sheet6!$C$8,Sheet6!$C$8,"")))))))</f>
        <v/>
      </c>
      <c r="BJ14" s="57" t="str">
        <f>IF(Tim!EQ16=Sheet6!$C$2,Sheet6!$C$2,IF(Tim!EQ16=Sheet6!$C$3,Sheet6!$C$3,IF(Tim!EQ16=Sheet6!$C$4,Sheet6!$C$4,IF(Tim!EQ16=Sheet6!$C$5,Sheet6!$C$5,IF(Tim!EQ16=Sheet6!$C$6,Sheet6!$C$6,IF(Tim!EQ16=Sheet6!$C$7,Sheet6!$C$7,IF(Tim!EQ16=Sheet6!$C$8,Sheet6!$C$8,"")))))))</f>
        <v/>
      </c>
      <c r="BK14" s="57" t="str">
        <f>IF(Tim!ER16=Sheet6!$C$2,Sheet6!$C$2,IF(Tim!ER16=Sheet6!$C$3,Sheet6!$C$3,IF(Tim!ER16=Sheet6!$C$4,Sheet6!$C$4,IF(Tim!ER16=Sheet6!$C$5,Sheet6!$C$5,IF(Tim!ER16=Sheet6!$C$6,Sheet6!$C$6,IF(Tim!ER16=Sheet6!$C$7,Sheet6!$C$7,IF(Tim!ER16=Sheet6!$C$8,Sheet6!$C$8,"")))))))</f>
        <v/>
      </c>
      <c r="BL14" s="57" t="str">
        <f>IF(Tim!EZ16=Sheet6!$C$2,Sheet6!$C$2,IF(Tim!EZ16=Sheet6!$C$3,Sheet6!$C$3,IF(Tim!EZ16=Sheet6!$C$4,Sheet6!$C$4,IF(Tim!EZ16=Sheet6!$C$5,Sheet6!$C$5,IF(Tim!EZ16=Sheet6!$C$6,Sheet6!$C$6,IF(Tim!EZ16=Sheet6!$C$7,Sheet6!$C$7,IF(Tim!EZ16=Sheet6!$C$8,Sheet6!$C$8,"")))))))</f>
        <v/>
      </c>
      <c r="BM14" s="53" t="str">
        <f>IF(Tim!FG16=Sheet6!$C$2,Sheet6!$C$2,IF(Tim!FG16=Sheet6!$C$3,Sheet6!$C$3,IF(Tim!FG16=Sheet6!$C$4,Sheet6!$C$4,IF(Tim!FG16=Sheet6!$C$5,Sheet6!$C$5,IF(Tim!FG16=Sheet6!$C$6,Sheet6!$C$6,IF(Tim!FG16=Sheet6!$C$7,Sheet6!$C$7,IF(Tim!FG16=Sheet6!$C$8,Sheet6!$C$8,"")))))))</f>
        <v/>
      </c>
      <c r="BN14" s="53" t="str">
        <f>IF(Tim!FH16=Sheet6!$C$2,Sheet6!$C$2,IF(Tim!FH16=Sheet6!$C$3,Sheet6!$C$3,IF(Tim!FH16=Sheet6!$C$4,Sheet6!$C$4,IF(Tim!FH16=Sheet6!$C$5,Sheet6!$C$5,IF(Tim!FH16=Sheet6!$C$6,Sheet6!$C$6,IF(Tim!FH16=Sheet6!$C$7,Sheet6!$C$7,IF(Tim!FH16=Sheet6!$C$8,Sheet6!$C$8,"")))))))</f>
        <v/>
      </c>
      <c r="BO14" s="53" t="str">
        <f>IF(Tim!FP16=Sheet6!$C$2,Sheet6!$C$2,IF(Tim!FP16=Sheet6!$C$3,Sheet6!$C$3,IF(Tim!FP16=Sheet6!$C$4,Sheet6!$C$4,IF(Tim!FP16=Sheet6!$C$5,Sheet6!$C$5,IF(Tim!FP16=Sheet6!$C$6,Sheet6!$C$6,IF(Tim!FP16=Sheet6!$C$7,Sheet6!$C$7,IF(Tim!FP16=Sheet6!$C$8,Sheet6!$C$8,"")))))))</f>
        <v/>
      </c>
      <c r="BP14" s="53" t="str">
        <f>IF(Tim!FQ16=Sheet6!$C$2,Sheet6!$C$2,IF(Tim!FQ16=Sheet6!$C$3,Sheet6!$C$3,IF(Tim!FQ16=Sheet6!$C$4,Sheet6!$C$4,IF(Tim!FQ16=Sheet6!$C$5,Sheet6!$C$5,IF(Tim!FQ16=Sheet6!$C$6,Sheet6!$C$6,IF(Tim!FQ16=Sheet6!$C$7,Sheet6!$C$7,IF(Tim!FQ16=Sheet6!$C$8,Sheet6!$C$8,"")))))))</f>
        <v/>
      </c>
      <c r="BQ14" s="53" t="str">
        <f>IF(Tim!FR16=Sheet6!$C$2,Sheet6!$C$2,IF(Tim!FR16=Sheet6!$C$3,Sheet6!$C$3,IF(Tim!FR16=Sheet6!$C$4,Sheet6!$C$4,IF(Tim!FR16=Sheet6!$C$5,Sheet6!$C$5,IF(Tim!FR16=Sheet6!$C$6,Sheet6!$C$6,IF(Tim!FR16=Sheet6!$C$7,Sheet6!$C$7,IF(Tim!FR16=Sheet6!$C$8,Sheet6!$C$8,"")))))))</f>
        <v/>
      </c>
      <c r="BR14" s="53" t="str">
        <f>IF(Tim!FS16=Sheet6!$C$2,Sheet6!$C$2,IF(Tim!FS16=Sheet6!$C$3,Sheet6!$C$3,IF(Tim!FS16=Sheet6!$C$4,Sheet6!$C$4,IF(Tim!FS16=Sheet6!$C$5,Sheet6!$C$5,IF(Tim!FS16=Sheet6!$C$6,Sheet6!$C$6,IF(Tim!FS16=Sheet6!$C$7,Sheet6!$C$7,IF(Tim!FS16=Sheet6!$C$8,Sheet6!$C$8,"")))))))</f>
        <v/>
      </c>
      <c r="BS14" s="53" t="str">
        <f>IF(Tim!FT16=Sheet6!$C$2,Sheet6!$C$2,IF(Tim!FT16=Sheet6!$C$3,Sheet6!$C$3,IF(Tim!FT16=Sheet6!$C$4,Sheet6!$C$4,IF(Tim!FT16=Sheet6!$C$5,Sheet6!$C$5,IF(Tim!FT16=Sheet6!$C$6,Sheet6!$C$6,IF(Tim!FT16=Sheet6!$C$7,Sheet6!$C$7,IF(Tim!FT16=Sheet6!$C$8,Sheet6!$C$8,"")))))))</f>
        <v/>
      </c>
      <c r="BT14" s="53" t="str">
        <f>IF(Tim!FU16=Sheet6!$C$2,Sheet6!$C$2,IF(Tim!FU16=Sheet6!$C$3,Sheet6!$C$3,IF(Tim!FU16=Sheet6!$C$4,Sheet6!$C$4,IF(Tim!FU16=Sheet6!$C$5,Sheet6!$C$5,IF(Tim!FU16=Sheet6!$C$6,Sheet6!$C$6,IF(Tim!FU16=Sheet6!$C$7,Sheet6!$C$7,IF(Tim!FU16=Sheet6!$C$8,Sheet6!$C$8,"")))))))</f>
        <v/>
      </c>
      <c r="BU14" s="53" t="str">
        <f>IF(Tim!FY16=Sheet6!$C$2,Sheet6!$C$2,IF(Tim!FY16=Sheet6!$C$3,Sheet6!$C$3,IF(Tim!FY16=Sheet6!$C$4,Sheet6!$C$4,IF(Tim!FY16=Sheet6!$C$5,Sheet6!$C$5,IF(Tim!FY16=Sheet6!$C$6,Sheet6!$C$6,IF(Tim!FY16=Sheet6!$C$7,Sheet6!$C$7,IF(Tim!FY16=Sheet6!$C$8,Sheet6!$C$8,"")))))))</f>
        <v/>
      </c>
      <c r="BV14" s="54" t="str">
        <f>IF(Tim!FZ16=Sheet6!$C$2,Sheet6!$C$2,IF(Tim!FZ16=Sheet6!$C$3,Sheet6!$C$3,IF(Tim!FZ16=Sheet6!$C$4,Sheet6!$C$4,IF(Tim!FZ16=Sheet6!$C$5,Sheet6!$C$5,IF(Tim!FZ16=Sheet6!$C$6,Sheet6!$C$6,IF(Tim!FZ16=Sheet6!$C$7,Sheet6!$C$7,IF(Tim!FZ16=Sheet6!$C$8,Sheet6!$C$8,"")))))))</f>
        <v/>
      </c>
      <c r="BW14" s="54" t="str">
        <f>IF(Tim!GA16=Sheet6!$C$2,Sheet6!$C$2,IF(Tim!GA16=Sheet6!$C$3,Sheet6!$C$3,IF(Tim!GA16=Sheet6!$C$4,Sheet6!$C$4,IF(Tim!GA16=Sheet6!$C$5,Sheet6!$C$5,IF(Tim!GA16=Sheet6!$C$6,Sheet6!$C$6,IF(Tim!GA16=Sheet6!$C$7,Sheet6!$C$7,IF(Tim!GA16=Sheet6!$C$8,Sheet6!$C$8,"")))))))</f>
        <v/>
      </c>
      <c r="BX14" s="54" t="str">
        <f>IF(Tim!GB16=Sheet6!$C$2,Sheet6!$C$2,IF(Tim!GB16=Sheet6!$C$3,Sheet6!$C$3,IF(Tim!GB16=Sheet6!$C$4,Sheet6!$C$4,IF(Tim!GB16=Sheet6!$C$5,Sheet6!$C$5,IF(Tim!GB16=Sheet6!$C$6,Sheet6!$C$6,IF(Tim!GB16=Sheet6!$C$7,Sheet6!$C$7,IF(Tim!GB16=Sheet6!$C$8,Sheet6!$C$8,"")))))))</f>
        <v/>
      </c>
      <c r="BY14" s="55" t="str">
        <f>IF(Tim!GC16=Sheet6!$C$2,Sheet6!$C$2,IF(Tim!GC16=Sheet6!$C$3,Sheet6!$C$3,IF(Tim!GC16=Sheet6!$C$4,Sheet6!$C$4,IF(Tim!GC16=Sheet6!$C$5,Sheet6!$C$5,IF(Tim!GC16=Sheet6!$C$6,Sheet6!$C$6,IF(Tim!GC16=Sheet6!$C$7,Sheet6!$C$7,IF(Tim!GC16=Sheet6!$C$8,Sheet6!$C$8,"")))))))</f>
        <v/>
      </c>
      <c r="BZ14" s="53" t="str">
        <f>IF(Tim!GD16=Sheet6!$C$2,Sheet6!$C$2,IF(Tim!GD16=Sheet6!$C$3,Sheet6!$C$3,IF(Tim!GD16=Sheet6!$C$4,Sheet6!$C$4,IF(Tim!GD16=Sheet6!$C$5,Sheet6!$C$5,IF(Tim!GD16=Sheet6!$C$6,Sheet6!$C$6,IF(Tim!GD16=Sheet6!$C$7,Sheet6!$C$7,IF(Tim!GD16=Sheet6!$C$8,Sheet6!$C$8,"")))))))</f>
        <v/>
      </c>
      <c r="CA14" s="53" t="str">
        <f>IF(Tim!GE16=Sheet6!$C$2,Sheet6!$C$2,IF(Tim!GE16=Sheet6!$C$3,Sheet6!$C$3,IF(Tim!GE16=Sheet6!$C$4,Sheet6!$C$4,IF(Tim!GE16=Sheet6!$C$5,Sheet6!$C$5,IF(Tim!GE16=Sheet6!$C$6,Sheet6!$C$6,IF(Tim!GE16=Sheet6!$C$7,Sheet6!$C$7,IF(Tim!GE16=Sheet6!$C$8,Sheet6!$C$8,"")))))))</f>
        <v/>
      </c>
      <c r="CB14" s="57" t="str">
        <f>IF(Tim!GI16=Sheet6!$C$2,Sheet6!$C$2,IF(Tim!GI16=Sheet6!$C$3,Sheet6!$C$3,IF(Tim!GI16=Sheet6!$C$4,Sheet6!$C$4,IF(Tim!GI16=Sheet6!$C$5,Sheet6!$C$5,IF(Tim!GI16=Sheet6!$C$6,Sheet6!$C$6,IF(Tim!GI16=Sheet6!$C$7,Sheet6!$C$7,IF(Tim!GI16=Sheet6!$C$8,Sheet6!$C$8,"")))))))</f>
        <v/>
      </c>
      <c r="CC14" s="57" t="str">
        <f>IF(Tim!GJ16=Sheet6!$C$2,Sheet6!$C$2,IF(Tim!GJ16=Sheet6!$C$3,Sheet6!$C$3,IF(Tim!GJ16=Sheet6!$C$4,Sheet6!$C$4,IF(Tim!GJ16=Sheet6!$C$5,Sheet6!$C$5,IF(Tim!GJ16=Sheet6!$C$6,Sheet6!$C$6,IF(Tim!GJ16=Sheet6!$C$7,Sheet6!$C$7,IF(Tim!GJ16=Sheet6!$C$8,Sheet6!$C$8,"")))))))</f>
        <v/>
      </c>
      <c r="CD14" s="57" t="str">
        <f>IF(Tim!GN16=Sheet6!$C$2,Sheet6!$C$2,IF(Tim!GN16=Sheet6!$C$3,Sheet6!$C$3,IF(Tim!GN16=Sheet6!$C$4,Sheet6!$C$4,IF(Tim!GN16=Sheet6!$C$5,Sheet6!$C$5,IF(Tim!GN16=Sheet6!$C$6,Sheet6!$C$6,IF(Tim!GN16=Sheet6!$C$7,Sheet6!$C$7,IF(Tim!GN16=Sheet6!$C$8,Sheet6!$C$8,"")))))))</f>
        <v/>
      </c>
      <c r="CE14" s="53" t="str">
        <f>IF(Tim!GY16=Sheet6!$C$2,Sheet6!$C$2,IF(Tim!GY16=Sheet6!$C$3,Sheet6!$C$3,IF(Tim!GY16=Sheet6!$C$4,Sheet6!$C$4,IF(Tim!GY16=Sheet6!$C$5,Sheet6!$C$5,IF(Tim!GY16=Sheet6!$C$6,Sheet6!$C$6,IF(Tim!GY16=Sheet6!$C$7,Sheet6!$C$7,IF(Tim!GY16=Sheet6!$C$8,Sheet6!$C$8,"")))))))</f>
        <v/>
      </c>
      <c r="CF14" s="181" t="str">
        <f>IF(Tim!GZ16=Sheet6!$C$2,Sheet6!$C$2,IF(Tim!GZ16=Sheet6!$C$3,Sheet6!$C$3,IF(Tim!GZ16=Sheet6!$C$4,Sheet6!$C$4,IF(Tim!GZ16=Sheet6!$C$5,Sheet6!$C$5,IF(Tim!GZ16=Sheet6!$C$6,Sheet6!$C$6,IF(Tim!GZ16=Sheet6!$C$7,Sheet6!$C$7,IF(Tim!GZ16=Sheet6!$C$8,Sheet6!$C$8,"")))))))</f>
        <v/>
      </c>
      <c r="CG14" s="53" t="str">
        <f>IF(Tim!HH16=Sheet6!$C$2,Sheet6!$C$2,IF(Tim!HH16=Sheet6!$C$3,Sheet6!$C$3,IF(Tim!HH16=Sheet6!$C$4,Sheet6!$C$4,IF(Tim!HH16=Sheet6!$C$5,Sheet6!$C$5,IF(Tim!HH16=Sheet6!$C$6,Sheet6!$C$6,IF(Tim!HH16=Sheet6!$C$7,Sheet6!$C$7,IF(Tim!HH16=Sheet6!$C$8,Sheet6!$C$8,"")))))))</f>
        <v/>
      </c>
      <c r="CH14" s="53" t="str">
        <f>IF(Tim!HI16=Sheet6!$C$2,Sheet6!$C$2,IF(Tim!HI16=Sheet6!$C$3,Sheet6!$C$3,IF(Tim!HI16=Sheet6!$C$4,Sheet6!$C$4,IF(Tim!HI16=Sheet6!$C$5,Sheet6!$C$5,IF(Tim!HI16=Sheet6!$C$6,Sheet6!$C$6,IF(Tim!HI16=Sheet6!$C$7,Sheet6!$C$7,IF(Tim!HI16=Sheet6!$C$8,Sheet6!$C$8,"")))))))</f>
        <v/>
      </c>
      <c r="CI14" s="53" t="str">
        <f>IF(Tim!HJ16=Sheet6!$C$2,Sheet6!$C$2,IF(Tim!HJ16=Sheet6!$C$3,Sheet6!$C$3,IF(Tim!HJ16=Sheet6!$C$4,Sheet6!$C$4,IF(Tim!HJ16=Sheet6!$C$5,Sheet6!$C$5,IF(Tim!HJ16=Sheet6!$C$6,Sheet6!$C$6,IF(Tim!HJ16=Sheet6!$C$7,Sheet6!$C$7,IF(Tim!HJ16=Sheet6!$C$8,Sheet6!$C$8,"")))))))</f>
        <v/>
      </c>
      <c r="CJ14" s="53" t="str">
        <f>IF(Tim!HK16=Sheet6!$C$2,Sheet6!$C$2,IF(Tim!HK16=Sheet6!$C$3,Sheet6!$C$3,IF(Tim!HK16=Sheet6!$C$4,Sheet6!$C$4,IF(Tim!HK16=Sheet6!$C$5,Sheet6!$C$5,IF(Tim!HK16=Sheet6!$C$6,Sheet6!$C$6,IF(Tim!HK16=Sheet6!$C$7,Sheet6!$C$7,IF(Tim!HK16=Sheet6!$C$8,Sheet6!$C$8,"")))))))</f>
        <v/>
      </c>
      <c r="CK14" s="53" t="str">
        <f>IF(Tim!HL16=Sheet6!$C$2,Sheet6!$C$2,IF(Tim!HL16=Sheet6!$C$3,Sheet6!$C$3,IF(Tim!HL16=Sheet6!$C$4,Sheet6!$C$4,IF(Tim!HL16=Sheet6!$C$5,Sheet6!$C$5,IF(Tim!HL16=Sheet6!$C$6,Sheet6!$C$6,IF(Tim!HL16=Sheet6!$C$7,Sheet6!$C$7,IF(Tim!HL16=Sheet6!$C$8,Sheet6!$C$8,"")))))))</f>
        <v/>
      </c>
      <c r="CL14" s="53" t="str">
        <f>IF(Tim!HM16=Sheet6!$C$2,Sheet6!$C$2,IF(Tim!HM16=Sheet6!$C$3,Sheet6!$C$3,IF(Tim!HM16=Sheet6!$C$4,Sheet6!$C$4,IF(Tim!HM16=Sheet6!$C$5,Sheet6!$C$5,IF(Tim!HM16=Sheet6!$C$6,Sheet6!$C$6,IF(Tim!HM16=Sheet6!$C$7,Sheet6!$C$7,IF(Tim!HM16=Sheet6!$C$8,Sheet6!$C$8,"")))))))</f>
        <v/>
      </c>
      <c r="CM14" s="53" t="str">
        <f>IF(Tim!HQ16=Sheet6!$C$2,Sheet6!$C$2,IF(Tim!HQ16=Sheet6!$C$3,Sheet6!$C$3,IF(Tim!HQ16=Sheet6!$C$4,Sheet6!$C$4,IF(Tim!HQ16=Sheet6!$C$5,Sheet6!$C$5,IF(Tim!HQ16=Sheet6!$C$6,Sheet6!$C$6,IF(Tim!HQ16=Sheet6!$C$7,Sheet6!$C$7,IF(Tim!HQ16=Sheet6!$C$8,Sheet6!$C$8,"")))))))</f>
        <v/>
      </c>
      <c r="CN14" s="54" t="str">
        <f>IF(Tim!HR16=Sheet6!$C$2,Sheet6!$C$2,IF(Tim!HR16=Sheet6!$C$3,Sheet6!$C$3,IF(Tim!HR16=Sheet6!$C$4,Sheet6!$C$4,IF(Tim!HR16=Sheet6!$C$5,Sheet6!$C$5,IF(Tim!HR16=Sheet6!$C$6,Sheet6!$C$6,IF(Tim!HR16=Sheet6!$C$7,Sheet6!$C$7,IF(Tim!HR16=Sheet6!$C$8,Sheet6!$C$8,"")))))))</f>
        <v/>
      </c>
      <c r="CO14" s="54" t="str">
        <f>IF(Tim!HS16=Sheet6!$C$2,Sheet6!$C$2,IF(Tim!HS16=Sheet6!$C$3,Sheet6!$C$3,IF(Tim!HS16=Sheet6!$C$4,Sheet6!$C$4,IF(Tim!HS16=Sheet6!$C$5,Sheet6!$C$5,IF(Tim!HS16=Sheet6!$C$6,Sheet6!$C$6,IF(Tim!HS16=Sheet6!$C$7,Sheet6!$C$7,IF(Tim!HS16=Sheet6!$C$8,Sheet6!$C$8,"")))))))</f>
        <v/>
      </c>
      <c r="CP14" s="54" t="str">
        <f>IF(Tim!HT16=Sheet6!$C$2,Sheet6!$C$2,IF(Tim!HT16=Sheet6!$C$3,Sheet6!$C$3,IF(Tim!HT16=Sheet6!$C$4,Sheet6!$C$4,IF(Tim!HT16=Sheet6!$C$5,Sheet6!$C$5,IF(Tim!HT16=Sheet6!$C$6,Sheet6!$C$6,IF(Tim!HT16=Sheet6!$C$7,Sheet6!$C$7,IF(Tim!HT16=Sheet6!$C$8,Sheet6!$C$8,"")))))))</f>
        <v/>
      </c>
      <c r="CQ14" s="55" t="str">
        <f>IF(Tim!HU16=Sheet6!$C$2,Sheet6!$C$2,IF(Tim!HU16=Sheet6!$C$3,Sheet6!$C$3,IF(Tim!HU16=Sheet6!$C$4,Sheet6!$C$4,IF(Tim!HU16=Sheet6!$C$5,Sheet6!$C$5,IF(Tim!HU16=Sheet6!$C$6,Sheet6!$C$6,IF(Tim!HU16=Sheet6!$C$7,Sheet6!$C$7,IF(Tim!HU16=Sheet6!$C$8,Sheet6!$C$8,"")))))))</f>
        <v/>
      </c>
      <c r="CR14" s="56" t="str">
        <f>IF(Tim!HV16=Sheet6!$C$2,Sheet6!$C$2,IF(Tim!HV16=Sheet6!$C$3,Sheet6!$C$3,IF(Tim!HV16=Sheet6!$C$4,Sheet6!$C$4,IF(Tim!HV16=Sheet6!$C$5,Sheet6!$C$5,IF(Tim!HV16=Sheet6!$C$6,Sheet6!$C$6,IF(Tim!HV16=Sheet6!$C$7,Sheet6!$C$7,IF(Tim!HV16=Sheet6!$C$8,Sheet6!$C$8,"")))))))</f>
        <v/>
      </c>
      <c r="CS14" s="57" t="str">
        <f>IF(Tim!IB16=Sheet6!$C$2,Sheet6!$C$2,IF(Tim!IB16=Sheet6!$C$3,Sheet6!$C$3,IF(Tim!IB16=Sheet6!$C$4,Sheet6!$C$4,IF(Tim!IB16=Sheet6!$C$5,Sheet6!$C$5,IF(Tim!IB16=Sheet6!$C$6,Sheet6!$C$6,IF(Tim!IB16=Sheet6!$C$7,Sheet6!$C$7,IF(Tim!IB16=Sheet6!$C$8,Sheet6!$C$8,"")))))))</f>
        <v/>
      </c>
      <c r="CT14" s="57" t="str">
        <f>IF(Tim!IJ16=Sheet6!$C$2,Sheet6!$C$2,IF(Tim!IJ16=Sheet6!$C$3,Sheet6!$C$3,IF(Tim!IJ16=Sheet6!$C$4,Sheet6!$C$4,IF(Tim!IJ16=Sheet6!$C$5,Sheet6!$C$5,IF(Tim!IJ16=Sheet6!$C$6,Sheet6!$C$6,IF(Tim!IJ16=Sheet6!$C$7,Sheet6!$C$7,IF(Tim!IJ16=Sheet6!$C$8,Sheet6!$C$8,"")))))))</f>
        <v/>
      </c>
      <c r="CU14" s="53" t="str">
        <f>IF(Tim!IQ16=Sheet6!$C$2,Sheet6!$C$2,IF(Tim!IQ16=Sheet6!$C$3,Sheet6!$C$3,IF(Tim!IQ16=Sheet6!$C$4,Sheet6!$C$4,IF(Tim!IQ16=Sheet6!$C$5,Sheet6!$C$5,IF(Tim!IQ16=Sheet6!$C$6,Sheet6!$C$6,IF(Tim!IQ16=Sheet6!$C$7,Sheet6!$C$7,IF(Tim!IQ16=Sheet6!$C$8,Sheet6!$C$8,"")))))))</f>
        <v/>
      </c>
      <c r="CV14" s="53" t="str">
        <f>IF(Tim!IR16=Sheet6!$C$2,Sheet6!$C$2,IF(Tim!IR16=Sheet6!$C$3,Sheet6!$C$3,IF(Tim!IR16=Sheet6!$C$4,Sheet6!$C$4,IF(Tim!IR16=Sheet6!$C$5,Sheet6!$C$5,IF(Tim!IR16=Sheet6!$C$6,Sheet6!$C$6,IF(Tim!IR16=Sheet6!$C$7,Sheet6!$C$7,IF(Tim!IR16=Sheet6!$C$8,Sheet6!$C$8,"")))))))</f>
        <v/>
      </c>
      <c r="CW14" s="53" t="str">
        <f>IF(Tim!IZ16=Sheet6!$C$2,Sheet6!$C$2,IF(Tim!IZ16=Sheet6!$C$3,Sheet6!$C$3,IF(Tim!IZ16=Sheet6!$C$4,Sheet6!$C$4,IF(Tim!IZ16=Sheet6!$C$5,Sheet6!$C$5,IF(Tim!IZ16=Sheet6!$C$6,Sheet6!$C$6,IF(Tim!IZ16=Sheet6!$C$7,Sheet6!$C$7,IF(Tim!IZ16=Sheet6!$C$8,Sheet6!$C$8,"")))))))</f>
        <v/>
      </c>
      <c r="CX14" s="53" t="str">
        <f>IF(Tim!JA16=Sheet6!$C$2,Sheet6!$C$2,IF(Tim!JA16=Sheet6!$C$3,Sheet6!$C$3,IF(Tim!JA16=Sheet6!$C$4,Sheet6!$C$4,IF(Tim!JA16=Sheet6!$C$5,Sheet6!$C$5,IF(Tim!JA16=Sheet6!$C$6,Sheet6!$C$6,IF(Tim!JA16=Sheet6!$C$7,Sheet6!$C$7,IF(Tim!JA16=Sheet6!$C$8,Sheet6!$C$8,"")))))))</f>
        <v/>
      </c>
      <c r="CY14" s="53" t="str">
        <f>IF(Tim!JB16=Sheet6!$C$2,Sheet6!$C$2,IF(Tim!JB16=Sheet6!$C$3,Sheet6!$C$3,IF(Tim!JB16=Sheet6!$C$4,Sheet6!$C$4,IF(Tim!JB16=Sheet6!$C$5,Sheet6!$C$5,IF(Tim!JB16=Sheet6!$C$6,Sheet6!$C$6,IF(Tim!JB16=Sheet6!$C$7,Sheet6!$C$7,IF(Tim!JB16=Sheet6!$C$8,Sheet6!$C$8,"")))))))</f>
        <v/>
      </c>
      <c r="CZ14" s="53" t="str">
        <f>IF(Tim!JC16=Sheet6!$C$2,Sheet6!$C$2,IF(Tim!JC16=Sheet6!$C$3,Sheet6!$C$3,IF(Tim!JC16=Sheet6!$C$4,Sheet6!$C$4,IF(Tim!JC16=Sheet6!$C$5,Sheet6!$C$5,IF(Tim!JC16=Sheet6!$C$6,Sheet6!$C$6,IF(Tim!JC16=Sheet6!$C$7,Sheet6!$C$7,IF(Tim!JC16=Sheet6!$C$8,Sheet6!$C$8,"")))))))</f>
        <v/>
      </c>
      <c r="DA14" s="53" t="str">
        <f>IF(Tim!JD16=Sheet6!$C$2,Sheet6!$C$2,IF(Tim!JD16=Sheet6!$C$3,Sheet6!$C$3,IF(Tim!JD16=Sheet6!$C$4,Sheet6!$C$4,IF(Tim!JD16=Sheet6!$C$5,Sheet6!$C$5,IF(Tim!JD16=Sheet6!$C$6,Sheet6!$C$6,IF(Tim!JD16=Sheet6!$C$7,Sheet6!$C$7,IF(Tim!JD16=Sheet6!$C$8,Sheet6!$C$8,"")))))))</f>
        <v/>
      </c>
      <c r="DB14" s="53" t="str">
        <f>IF(Tim!JE16=Sheet6!$C$2,Sheet6!$C$2,IF(Tim!JE16=Sheet6!$C$3,Sheet6!$C$3,IF(Tim!JE16=Sheet6!$C$4,Sheet6!$C$4,IF(Tim!JE16=Sheet6!$C$5,Sheet6!$C$5,IF(Tim!JE16=Sheet6!$C$6,Sheet6!$C$6,IF(Tim!JE16=Sheet6!$C$7,Sheet6!$C$7,IF(Tim!JE16=Sheet6!$C$8,Sheet6!$C$8,"")))))))</f>
        <v/>
      </c>
      <c r="DC14" s="53" t="str">
        <f>IF(Tim!JI16=Sheet6!$C$2,Sheet6!$C$2,IF(Tim!JI16=Sheet6!$C$3,Sheet6!$C$3,IF(Tim!JI16=Sheet6!$C$4,Sheet6!$C$4,IF(Tim!JI16=Sheet6!$C$5,Sheet6!$C$5,IF(Tim!JI16=Sheet6!$C$6,Sheet6!$C$6,IF(Tim!JI16=Sheet6!$C$7,Sheet6!$C$7,IF(Tim!JI16=Sheet6!$C$8,Sheet6!$C$8,"")))))))</f>
        <v/>
      </c>
      <c r="DD14" s="54" t="str">
        <f>IF(Tim!JJ16=Sheet6!$C$2,Sheet6!$C$2,IF(Tim!JJ16=Sheet6!$C$3,Sheet6!$C$3,IF(Tim!JJ16=Sheet6!$C$4,Sheet6!$C$4,IF(Tim!JJ16=Sheet6!$C$5,Sheet6!$C$5,IF(Tim!JJ16=Sheet6!$C$6,Sheet6!$C$6,IF(Tim!JJ16=Sheet6!$C$7,Sheet6!$C$7,IF(Tim!JJ16=Sheet6!$C$8,Sheet6!$C$8,"")))))))</f>
        <v/>
      </c>
      <c r="DE14" s="54" t="str">
        <f>IF(Tim!JK16=Sheet6!$C$2,Sheet6!$C$2,IF(Tim!JK16=Sheet6!$C$3,Sheet6!$C$3,IF(Tim!JK16=Sheet6!$C$4,Sheet6!$C$4,IF(Tim!JK16=Sheet6!$C$5,Sheet6!$C$5,IF(Tim!JK16=Sheet6!$C$6,Sheet6!$C$6,IF(Tim!JK16=Sheet6!$C$7,Sheet6!$C$7,IF(Tim!JK16=Sheet6!$C$8,Sheet6!$C$8,"")))))))</f>
        <v/>
      </c>
      <c r="DF14" s="54" t="str">
        <f>IF(Tim!JL16=Sheet6!$C$2,Sheet6!$C$2,IF(Tim!JL16=Sheet6!$C$3,Sheet6!$C$3,IF(Tim!JL16=Sheet6!$C$4,Sheet6!$C$4,IF(Tim!JL16=Sheet6!$C$5,Sheet6!$C$5,IF(Tim!JL16=Sheet6!$C$6,Sheet6!$C$6,IF(Tim!JL16=Sheet6!$C$7,Sheet6!$C$7,IF(Tim!JL16=Sheet6!$C$8,Sheet6!$C$8,"")))))))</f>
        <v/>
      </c>
      <c r="DG14" s="55" t="str">
        <f>IF(Tim!JM16=Sheet6!$C$2,Sheet6!$C$2,IF(Tim!JM16=Sheet6!$C$3,Sheet6!$C$3,IF(Tim!JM16=Sheet6!$C$4,Sheet6!$C$4,IF(Tim!JM16=Sheet6!$C$5,Sheet6!$C$5,IF(Tim!JM16=Sheet6!$C$6,Sheet6!$C$6,IF(Tim!JM16=Sheet6!$C$7,Sheet6!$C$7,IF(Tim!JM16=Sheet6!$C$8,Sheet6!$C$8,"")))))))</f>
        <v/>
      </c>
      <c r="DH14" s="56" t="str">
        <f>IF(Tim!JN16=Sheet6!$C$2,Sheet6!$C$2,IF(Tim!JN16=Sheet6!$C$3,Sheet6!$C$3,IF(Tim!JN16=Sheet6!$C$4,Sheet6!$C$4,IF(Tim!JN16=Sheet6!$C$5,Sheet6!$C$5,IF(Tim!JN16=Sheet6!$C$6,Sheet6!$C$6,IF(Tim!JN16=Sheet6!$C$7,Sheet6!$C$7,IF(Tim!JN16=Sheet6!$C$8,Sheet6!$C$8,"")))))))</f>
        <v/>
      </c>
      <c r="DI14" s="57" t="str">
        <f>IF(Tim!JS16=Sheet6!$C$2,Sheet6!$C$2,IF(Tim!JS16=Sheet6!$C$3,Sheet6!$C$3,IF(Tim!JS16=Sheet6!$C$4,Sheet6!$C$4,IF(Tim!JS16=Sheet6!$C$5,Sheet6!$C$5,IF(Tim!JS16=Sheet6!$C$6,Sheet6!$C$6,IF(Tim!JS16=Sheet6!$C$7,Sheet6!$C$7,IF(Tim!JS16=Sheet6!$C$8,Sheet6!$C$8,"")))))))</f>
        <v/>
      </c>
      <c r="DJ14" s="57" t="str">
        <f>IF(Tim!KB16=Sheet6!$C$2,Sheet6!$C$2,IF(Tim!KB16=Sheet6!$C$3,Sheet6!$C$3,IF(Tim!KB16=Sheet6!$C$4,Sheet6!$C$4,IF(Tim!KB16=Sheet6!$C$5,Sheet6!$C$5,IF(Tim!KB16=Sheet6!$C$6,Sheet6!$C$6,IF(Tim!KB16=Sheet6!$C$7,Sheet6!$C$7,IF(Tim!KB16=Sheet6!$C$8,Sheet6!$C$8,"")))))))</f>
        <v/>
      </c>
      <c r="DK14" s="57" t="str">
        <f>IF(Tim!KI16=Sheet6!$C$2,Sheet6!$C$2,IF(Tim!KI16=Sheet6!$C$3,Sheet6!$C$3,IF(Tim!KI16=Sheet6!$C$4,Sheet6!$C$4,IF(Tim!KI16=Sheet6!$C$5,Sheet6!$C$5,IF(Tim!KI16=Sheet6!$C$6,Sheet6!$C$6,IF(Tim!KI16=Sheet6!$C$7,Sheet6!$C$7,IF(Tim!KI16=Sheet6!$C$8,Sheet6!$C$8,"")))))))</f>
        <v/>
      </c>
      <c r="DL14" s="53" t="str">
        <f>IF(Tim!KJ16=Sheet6!$C$2,Sheet6!$C$2,IF(Tim!KJ16=Sheet6!$C$3,Sheet6!$C$3,IF(Tim!KJ16=Sheet6!$C$4,Sheet6!$C$4,IF(Tim!KJ16=Sheet6!$C$5,Sheet6!$C$5,IF(Tim!KJ16=Sheet6!$C$6,Sheet6!$C$6,IF(Tim!KJ16=Sheet6!$C$7,Sheet6!$C$7,IF(Tim!KJ16=Sheet6!$C$8,Sheet6!$C$8,"")))))))</f>
        <v/>
      </c>
      <c r="DM14" s="53" t="str">
        <f>IF(Tim!KR16=Sheet6!$C$2,Sheet6!$C$2,IF(Tim!KR16=Sheet6!$C$3,Sheet6!$C$3,IF(Tim!KR16=Sheet6!$C$4,Sheet6!$C$4,IF(Tim!KR16=Sheet6!$C$5,Sheet6!$C$5,IF(Tim!KR16=Sheet6!$C$6,Sheet6!$C$6,IF(Tim!KR16=Sheet6!$C$7,Sheet6!$C$7,IF(Tim!KR16=Sheet6!$C$8,Sheet6!$C$8,"")))))))</f>
        <v/>
      </c>
      <c r="DN14" s="53" t="str">
        <f>IF(Tim!KS16=Sheet6!$C$2,Sheet6!$C$2,IF(Tim!KS16=Sheet6!$C$3,Sheet6!$C$3,IF(Tim!KS16=Sheet6!$C$4,Sheet6!$C$4,IF(Tim!KS16=Sheet6!$C$5,Sheet6!$C$5,IF(Tim!KS16=Sheet6!$C$6,Sheet6!$C$6,IF(Tim!KS16=Sheet6!$C$7,Sheet6!$C$7,IF(Tim!KS16=Sheet6!$C$8,Sheet6!$C$8,"")))))))</f>
        <v/>
      </c>
      <c r="DO14" s="53" t="str">
        <f>IF(Tim!KT16=Sheet6!$C$2,Sheet6!$C$2,IF(Tim!KT16=Sheet6!$C$3,Sheet6!$C$3,IF(Tim!KT16=Sheet6!$C$4,Sheet6!$C$4,IF(Tim!KT16=Sheet6!$C$5,Sheet6!$C$5,IF(Tim!KT16=Sheet6!$C$6,Sheet6!$C$6,IF(Tim!KT16=Sheet6!$C$7,Sheet6!$C$7,IF(Tim!KT16=Sheet6!$C$8,Sheet6!$C$8,"")))))))</f>
        <v/>
      </c>
      <c r="DP14" s="53" t="str">
        <f>IF(Tim!KU16=Sheet6!$C$2,Sheet6!$C$2,IF(Tim!KU16=Sheet6!$C$3,Sheet6!$C$3,IF(Tim!KU16=Sheet6!$C$4,Sheet6!$C$4,IF(Tim!KU16=Sheet6!$C$5,Sheet6!$C$5,IF(Tim!KU16=Sheet6!$C$6,Sheet6!$C$6,IF(Tim!KU16=Sheet6!$C$7,Sheet6!$C$7,IF(Tim!KU16=Sheet6!$C$8,Sheet6!$C$8,"")))))))</f>
        <v/>
      </c>
      <c r="DQ14" s="53" t="str">
        <f>IF(Tim!KV16=Sheet6!$C$2,Sheet6!$C$2,IF(Tim!KV16=Sheet6!$C$3,Sheet6!$C$3,IF(Tim!KV16=Sheet6!$C$4,Sheet6!$C$4,IF(Tim!KV16=Sheet6!$C$5,Sheet6!$C$5,IF(Tim!KV16=Sheet6!$C$6,Sheet6!$C$6,IF(Tim!KV16=Sheet6!$C$7,Sheet6!$C$7,IF(Tim!KV16=Sheet6!$C$8,Sheet6!$C$8,"")))))))</f>
        <v/>
      </c>
      <c r="DR14" s="53" t="str">
        <f>IF(Tim!KW16=Sheet6!$C$2,Sheet6!$C$2,IF(Tim!KW16=Sheet6!$C$3,Sheet6!$C$3,IF(Tim!KW16=Sheet6!$C$4,Sheet6!$C$4,IF(Tim!KW16=Sheet6!$C$5,Sheet6!$C$5,IF(Tim!KW16=Sheet6!$C$6,Sheet6!$C$6,IF(Tim!KW16=Sheet6!$C$7,Sheet6!$C$7,IF(Tim!KW16=Sheet6!$C$8,Sheet6!$C$8,"")))))))</f>
        <v/>
      </c>
      <c r="DS14" s="53" t="str">
        <f>IF(Tim!LA16=Sheet6!$C$2,Sheet6!$C$2,IF(Tim!LA16=Sheet6!$C$3,Sheet6!$C$3,IF(Tim!LA16=Sheet6!$C$4,Sheet6!$C$4,IF(Tim!LA16=Sheet6!$C$5,Sheet6!$C$5,IF(Tim!LA16=Sheet6!$C$6,Sheet6!$C$6,IF(Tim!LA16=Sheet6!$C$7,Sheet6!$C$7,IF(Tim!LA16=Sheet6!$C$8,Sheet6!$C$8,"")))))))</f>
        <v/>
      </c>
      <c r="DT14" s="54" t="str">
        <f>IF(Tim!LB16=Sheet6!$C$2,Sheet6!$C$2,IF(Tim!LB16=Sheet6!$C$3,Sheet6!$C$3,IF(Tim!LB16=Sheet6!$C$4,Sheet6!$C$4,IF(Tim!LB16=Sheet6!$C$5,Sheet6!$C$5,IF(Tim!LB16=Sheet6!$C$6,Sheet6!$C$6,IF(Tim!LB16=Sheet6!$C$7,Sheet6!$C$7,IF(Tim!LB16=Sheet6!$C$8,Sheet6!$C$8,"")))))))</f>
        <v/>
      </c>
      <c r="DU14" s="54" t="str">
        <f>IF(Tim!LC16=Sheet6!$C$2,Sheet6!$C$2,IF(Tim!LC16=Sheet6!$C$3,Sheet6!$C$3,IF(Tim!LC16=Sheet6!$C$4,Sheet6!$C$4,IF(Tim!LC16=Sheet6!$C$5,Sheet6!$C$5,IF(Tim!LC16=Sheet6!$C$6,Sheet6!$C$6,IF(Tim!LC16=Sheet6!$C$7,Sheet6!$C$7,IF(Tim!LC16=Sheet6!$C$8,Sheet6!$C$8,"")))))))</f>
        <v/>
      </c>
      <c r="DV14" s="54" t="str">
        <f>IF(Tim!LD16=Sheet6!$C$2,Sheet6!$C$2,IF(Tim!LD16=Sheet6!$C$3,Sheet6!$C$3,IF(Tim!LD16=Sheet6!$C$4,Sheet6!$C$4,IF(Tim!LD16=Sheet6!$C$5,Sheet6!$C$5,IF(Tim!LD16=Sheet6!$C$6,Sheet6!$C$6,IF(Tim!LD16=Sheet6!$C$7,Sheet6!$C$7,IF(Tim!LD16=Sheet6!$C$8,Sheet6!$C$8,"")))))))</f>
        <v/>
      </c>
      <c r="DW14" s="55" t="str">
        <f>IF(Tim!LE16=Sheet6!$C$2,Sheet6!$C$2,IF(Tim!LE16=Sheet6!$C$3,Sheet6!$C$3,IF(Tim!LE16=Sheet6!$C$4,Sheet6!$C$4,IF(Tim!LE16=Sheet6!$C$5,Sheet6!$C$5,IF(Tim!LE16=Sheet6!$C$6,Sheet6!$C$6,IF(Tim!LE16=Sheet6!$C$7,Sheet6!$C$7,IF(Tim!LE16=Sheet6!$C$8,Sheet6!$C$8,"")))))))</f>
        <v/>
      </c>
      <c r="DX14" s="52">
        <v>0.38541666666666602</v>
      </c>
    </row>
    <row r="15" spans="2:128" ht="10.5" customHeight="1">
      <c r="B15" s="51">
        <v>0.25</v>
      </c>
      <c r="C15" s="51">
        <v>0.25</v>
      </c>
      <c r="D15" s="51">
        <v>0.25</v>
      </c>
      <c r="E15" s="52">
        <v>0.39583333333333298</v>
      </c>
      <c r="F15" s="53" t="str">
        <f>IF(Tim!F17=Sheet6!$C$2,Sheet6!$C$2,IF(Tim!F17=Sheet6!$C$3,Sheet6!$C$3,IF(Tim!F17=Sheet6!$C$4,Sheet6!$C$4,IF(Tim!F17=Sheet6!$C$5,Sheet6!$C$5,IF(Tim!F17=Sheet6!$C$6,Sheet6!$C$6,IF(Tim!F17=Sheet6!$C$7,Sheet6!$C$7,IF(Tim!F17=Sheet6!$C$8,Sheet6!$C$8,"")))))))</f>
        <v/>
      </c>
      <c r="G15" s="53" t="str">
        <f>IF(Tim!G17=Sheet6!$C$2,Sheet6!$C$2,IF(Tim!G17=Sheet6!$C$3,Sheet6!$C$3,IF(Tim!G17=Sheet6!$C$4,Sheet6!$C$4,IF(Tim!G17=Sheet6!$C$5,Sheet6!$C$5,IF(Tim!G17=Sheet6!$C$6,Sheet6!$C$6,IF(Tim!G17=Sheet6!$C$7,Sheet6!$C$7,IF(Tim!G17=Sheet6!$C$8,Sheet6!$C$8,"")))))))</f>
        <v/>
      </c>
      <c r="H15" s="53" t="str">
        <f>IF(Tim!H17=Sheet6!$C$2,Sheet6!$C$2,IF(Tim!H17=Sheet6!$C$3,Sheet6!$C$3,IF(Tim!H17=Sheet6!$C$4,Sheet6!$C$4,IF(Tim!H17=Sheet6!$C$5,Sheet6!$C$5,IF(Tim!H17=Sheet6!$C$6,Sheet6!$C$6,IF(Tim!H17=Sheet6!$C$7,Sheet6!$C$7,IF(Tim!H17=Sheet6!$C$8,Sheet6!$C$8,"")))))))</f>
        <v/>
      </c>
      <c r="I15" s="53" t="str">
        <f>IF(Tim!L17=Sheet6!$C$2,Sheet6!$C$2,IF(Tim!L17=Sheet6!$C$3,Sheet6!$C$3,IF(Tim!L17=Sheet6!$C$4,Sheet6!$C$4,IF(Tim!L17=Sheet6!$C$5,Sheet6!$C$5,IF(Tim!L17=Sheet6!$C$6,Sheet6!$C$6,IF(Tim!L17=Sheet6!$C$7,Sheet6!$C$7,IF(Tim!L17=Sheet6!$C$8,Sheet6!$C$8,"")))))))</f>
        <v/>
      </c>
      <c r="J15" s="53" t="str">
        <f>IF(Tim!T17=Sheet6!$C$2,Sheet6!$C$2,IF(Tim!T17=Sheet6!$C$3,Sheet6!$C$3,IF(Tim!T17=Sheet6!$C$4,Sheet6!$C$4,IF(Tim!T17=Sheet6!$C$5,Sheet6!$C$5,IF(Tim!T17=Sheet6!$C$6,Sheet6!$C$6,IF(Tim!T17=Sheet6!$C$7,Sheet6!$C$7,IF(Tim!T17=Sheet6!$C$8,Sheet6!$C$8,"")))))))</f>
        <v/>
      </c>
      <c r="K15" s="53" t="str">
        <f>IF(Tim!AB17=Sheet6!$C$2,Sheet6!$C$2,IF(Tim!AB17=Sheet6!$C$3,Sheet6!$C$3,IF(Tim!AB17=Sheet6!$C$4,Sheet6!$C$4,IF(Tim!AB17=Sheet6!$C$5,Sheet6!$C$5,IF(Tim!AB17=Sheet6!$C$6,Sheet6!$C$6,IF(Tim!AB17=Sheet6!$C$7,Sheet6!$C$7,IF(Tim!AB17=Sheet6!$C$8,Sheet6!$C$8,"")))))))</f>
        <v/>
      </c>
      <c r="L15" s="181" t="str">
        <f>IF(Tim!AC17=Sheet6!$C$2,Sheet6!$C$2,IF(Tim!AC17=Sheet6!$C$3,Sheet6!$C$3,IF(Tim!AC17=Sheet6!$C$4,Sheet6!$C$4,IF(Tim!AC17=Sheet6!$C$5,Sheet6!$C$5,IF(Tim!AC17=Sheet6!$C$6,Sheet6!$C$6,IF(Tim!AC17=Sheet6!$C$7,Sheet6!$C$7,IF(Tim!AC17=Sheet6!$C$8,Sheet6!$C$8,"")))))))</f>
        <v/>
      </c>
      <c r="M15" s="53" t="str">
        <f>IF(Tim!AJ17=Sheet6!$C$2,Sheet6!$C$2,IF(Tim!AJ17=Sheet6!$C$3,Sheet6!$C$3,IF(Tim!AJ17=Sheet6!$C$4,Sheet6!$C$4,IF(Tim!AJ17=Sheet6!$C$5,Sheet6!$C$5,IF(Tim!AJ17=Sheet6!$C$6,Sheet6!$C$6,IF(Tim!AJ17=Sheet6!$C$7,Sheet6!$C$7,IF(Tim!AJ17=Sheet6!$C$8,Sheet6!$C$8,"")))))))</f>
        <v/>
      </c>
      <c r="N15" s="53" t="str">
        <f>IF(Tim!AK17=Sheet6!$C$2,Sheet6!$C$2,IF(Tim!AK17=Sheet6!$C$3,Sheet6!$C$3,IF(Tim!AK17=Sheet6!$C$4,Sheet6!$C$4,IF(Tim!AK17=Sheet6!$C$5,Sheet6!$C$5,IF(Tim!AK17=Sheet6!$C$6,Sheet6!$C$6,IF(Tim!AK17=Sheet6!$C$7,Sheet6!$C$7,IF(Tim!AK17=Sheet6!$C$8,Sheet6!$C$8,"")))))))</f>
        <v/>
      </c>
      <c r="O15" s="53" t="str">
        <f>IF(Tim!AL17=Sheet6!$C$2,Sheet6!$C$2,IF(Tim!AL17=Sheet6!$C$3,Sheet6!$C$3,IF(Tim!AL17=Sheet6!$C$4,Sheet6!$C$4,IF(Tim!AL17=Sheet6!$C$5,Sheet6!$C$5,IF(Tim!AL17=Sheet6!$C$6,Sheet6!$C$6,IF(Tim!AL17=Sheet6!$C$7,Sheet6!$C$7,IF(Tim!AL17=Sheet6!$C$8,Sheet6!$C$8,"")))))))</f>
        <v/>
      </c>
      <c r="P15" s="53" t="str">
        <f>IF(Tim!AN17=Sheet6!$C$2,Sheet6!$C$2,IF(Tim!AN17=Sheet6!$C$3,Sheet6!$C$3,IF(Tim!AN17=Sheet6!$C$4,Sheet6!$C$4,IF(Tim!AN17=Sheet6!$C$5,Sheet6!$C$5,IF(Tim!AN17=Sheet6!$C$6,Sheet6!$C$6,IF(Tim!AN17=Sheet6!$C$7,Sheet6!$C$7,IF(Tim!AN17=Sheet6!$C$8,Sheet6!$C$8,"")))))))</f>
        <v/>
      </c>
      <c r="Q15" s="53" t="str">
        <f>IF(Tim!AO17=Sheet6!$C$2,Sheet6!$C$2,IF(Tim!AO17=Sheet6!$C$3,Sheet6!$C$3,IF(Tim!AO17=Sheet6!$C$4,Sheet6!$C$4,IF(Tim!AO17=Sheet6!$C$5,Sheet6!$C$5,IF(Tim!AO17=Sheet6!$C$6,Sheet6!$C$6,IF(Tim!AO17=Sheet6!$C$7,Sheet6!$C$7,IF(Tim!AO17=Sheet6!$C$8,Sheet6!$C$8,"")))))))</f>
        <v/>
      </c>
      <c r="R15" s="53" t="str">
        <f>IF(Tim!AP17=Sheet6!$C$2,Sheet6!$C$2,IF(Tim!AP17=Sheet6!$C$3,Sheet6!$C$3,IF(Tim!AP17=Sheet6!$C$4,Sheet6!$C$4,IF(Tim!AP17=Sheet6!$C$5,Sheet6!$C$5,IF(Tim!AP17=Sheet6!$C$6,Sheet6!$C$6,IF(Tim!AP17=Sheet6!$C$7,Sheet6!$C$7,IF(Tim!AP17=Sheet6!$C$8,Sheet6!$C$8,"")))))))</f>
        <v/>
      </c>
      <c r="S15" s="53" t="str">
        <f>IF(Tim!AT17=Sheet6!$C$2,Sheet6!$C$2,IF(Tim!AT17=Sheet6!$C$3,Sheet6!$C$3,IF(Tim!AT17=Sheet6!$C$4,Sheet6!$C$4,IF(Tim!AT17=Sheet6!$C$5,Sheet6!$C$5,IF(Tim!AT17=Sheet6!$C$6,Sheet6!$C$6,IF(Tim!AT17=Sheet6!$C$7,Sheet6!$C$7,IF(Tim!AT17=Sheet6!$C$8,Sheet6!$C$8,"")))))))</f>
        <v/>
      </c>
      <c r="T15" s="54" t="str">
        <f>IF(Tim!AU17=Sheet6!$C$2,Sheet6!$C$2,IF(Tim!AU17=Sheet6!$C$3,Sheet6!$C$3,IF(Tim!AU17=Sheet6!$C$4,Sheet6!$C$4,IF(Tim!AU17=Sheet6!$C$5,Sheet6!$C$5,IF(Tim!AU17=Sheet6!$C$6,Sheet6!$C$6,IF(Tim!AU17=Sheet6!$C$7,Sheet6!$C$7,IF(Tim!AU17=Sheet6!$C$8,Sheet6!$C$8,"")))))))</f>
        <v/>
      </c>
      <c r="U15" s="54" t="str">
        <f>IF(Tim!AV17=Sheet6!$C$2,Sheet6!$C$2,IF(Tim!AV17=Sheet6!$C$3,Sheet6!$C$3,IF(Tim!AV17=Sheet6!$C$4,Sheet6!$C$4,IF(Tim!AV17=Sheet6!$C$5,Sheet6!$C$5,IF(Tim!AV17=Sheet6!$C$6,Sheet6!$C$6,IF(Tim!AV17=Sheet6!$C$7,Sheet6!$C$7,IF(Tim!AV17=Sheet6!$C$8,Sheet6!$C$8,"")))))))</f>
        <v/>
      </c>
      <c r="V15" s="54" t="str">
        <f>IF(Tim!AW17=Sheet6!$C$2,Sheet6!$C$2,IF(Tim!AW17=Sheet6!$C$3,Sheet6!$C$3,IF(Tim!AW17=Sheet6!$C$4,Sheet6!$C$4,IF(Tim!AW17=Sheet6!$C$5,Sheet6!$C$5,IF(Tim!AW17=Sheet6!$C$6,Sheet6!$C$6,IF(Tim!AW17=Sheet6!$C$7,Sheet6!$C$7,IF(Tim!AW17=Sheet6!$C$8,Sheet6!$C$8,"")))))))</f>
        <v/>
      </c>
      <c r="W15" s="55" t="str">
        <f>IF(Tim!AX17=Sheet6!$C$2,Sheet6!$C$2,IF(Tim!AX17=Sheet6!$C$3,Sheet6!$C$3,IF(Tim!AX17=Sheet6!$C$4,Sheet6!$C$4,IF(Tim!AX17=Sheet6!$C$5,Sheet6!$C$5,IF(Tim!AX17=Sheet6!$C$6,Sheet6!$C$6,IF(Tim!AX17=Sheet6!$C$7,Sheet6!$C$7,IF(Tim!AX17=Sheet6!$C$8,Sheet6!$C$8,"")))))))</f>
        <v/>
      </c>
      <c r="X15" s="53" t="str">
        <f>IF(Tim!AY17=Sheet6!$C$2,Sheet6!$C$2,IF(Tim!AY17=Sheet6!$C$3,Sheet6!$C$3,IF(Tim!AY17=Sheet6!$C$4,Sheet6!$C$4,IF(Tim!AY17=Sheet6!$C$5,Sheet6!$C$5,IF(Tim!AY17=Sheet6!$C$6,Sheet6!$C$6,IF(Tim!AY17=Sheet6!$C$7,Sheet6!$C$7,IF(Tim!AY17=Sheet6!$C$8,Sheet6!$C$8,"")))))))</f>
        <v/>
      </c>
      <c r="Y15" s="57" t="str">
        <f>IF(Tim!AZ17=Sheet6!$C$2,Sheet6!$C$2,IF(Tim!AZ17=Sheet6!$C$3,Sheet6!$C$3,IF(Tim!AZ17=Sheet6!$C$4,Sheet6!$C$4,IF(Tim!AZ17=Sheet6!$C$5,Sheet6!$C$5,IF(Tim!AZ17=Sheet6!$C$6,Sheet6!$C$6,IF(Tim!AZ17=Sheet6!$C$7,Sheet6!$C$7,IF(Tim!AZ17=Sheet6!$C$8,Sheet6!$C$8,"")))))))</f>
        <v/>
      </c>
      <c r="Z15" s="57" t="str">
        <f>IF(Tim!BD17=Sheet6!$C$2,Sheet6!$C$2,IF(Tim!BD17=Sheet6!$C$3,Sheet6!$C$3,IF(Tim!BD17=Sheet6!$C$4,Sheet6!$C$4,IF(Tim!BD17=Sheet6!$C$5,Sheet6!$C$5,IF(Tim!BD17=Sheet6!$C$6,Sheet6!$C$6,IF(Tim!BD17=Sheet6!$C$7,Sheet6!$C$7,IF(Tim!BD17=Sheet6!$C$8,Sheet6!$C$8,"")))))))</f>
        <v/>
      </c>
      <c r="AA15" s="57" t="str">
        <f>IF(Tim!BE17=Sheet6!$C$2,Sheet6!$C$2,IF(Tim!BE17=Sheet6!$C$3,Sheet6!$C$3,IF(Tim!BE17=Sheet6!$C$4,Sheet6!$C$4,IF(Tim!BE17=Sheet6!$C$5,Sheet6!$C$5,IF(Tim!BE17=Sheet6!$C$6,Sheet6!$C$6,IF(Tim!BE17=Sheet6!$C$7,Sheet6!$C$7,IF(Tim!BE17=Sheet6!$C$8,Sheet6!$C$8,"")))))))</f>
        <v/>
      </c>
      <c r="AB15" s="57" t="str">
        <f>IF(Tim!BL17=Sheet6!$C$2,Sheet6!$C$2,IF(Tim!BL17=Sheet6!$C$3,Sheet6!$C$3,IF(Tim!BL17=Sheet6!$C$4,Sheet6!$C$4,IF(Tim!BL17=Sheet6!$C$5,Sheet6!$C$5,IF(Tim!BL17=Sheet6!$C$6,Sheet6!$C$6,IF(Tim!BL17=Sheet6!$C$7,Sheet6!$C$7,IF(Tim!BL17=Sheet6!$C$8,Sheet6!$C$8,"")))))))</f>
        <v/>
      </c>
      <c r="AC15" s="53" t="str">
        <f>IF(Tim!BT17=Sheet6!$C$2,Sheet6!$C$2,IF(Tim!BT17=Sheet6!$C$3,Sheet6!$C$3,IF(Tim!BT17=Sheet6!$C$4,Sheet6!$C$4,IF(Tim!BT17=Sheet6!$C$5,Sheet6!$C$5,IF(Tim!BT17=Sheet6!$C$6,Sheet6!$C$6,IF(Tim!BT17=Sheet6!$C$7,Sheet6!$C$7,IF(Tim!BT17=Sheet6!$C$8,Sheet6!$C$8,"")))))))</f>
        <v/>
      </c>
      <c r="AD15" s="53" t="str">
        <f>IF(Tim!BU17=Sheet6!$C$2,Sheet6!$C$2,IF(Tim!BU17=Sheet6!$C$3,Sheet6!$C$3,IF(Tim!BU17=Sheet6!$C$4,Sheet6!$C$4,IF(Tim!BU17=Sheet6!$C$5,Sheet6!$C$5,IF(Tim!BU17=Sheet6!$C$6,Sheet6!$C$6,IF(Tim!BU17=Sheet6!$C$7,Sheet6!$C$7,IF(Tim!BU17=Sheet6!$C$8,Sheet6!$C$8,"")))))))</f>
        <v/>
      </c>
      <c r="AE15" s="53" t="str">
        <f>IF(Tim!CB17=Sheet6!$C$2,Sheet6!$C$2,IF(Tim!CB17=Sheet6!$C$3,Sheet6!$C$3,IF(Tim!CB17=Sheet6!$C$4,Sheet6!$C$4,IF(Tim!CB17=Sheet6!$C$5,Sheet6!$C$5,IF(Tim!CB17=Sheet6!$C$6,Sheet6!$C$6,IF(Tim!CB17=Sheet6!$C$7,Sheet6!$C$7,IF(Tim!CB17=Sheet6!$C$8,Sheet6!$C$8,"")))))))</f>
        <v/>
      </c>
      <c r="AF15" s="53" t="str">
        <f>IF(Tim!CD17=Sheet6!$C$2,Sheet6!$C$2,IF(Tim!CD17=Sheet6!$C$3,Sheet6!$C$3,IF(Tim!CD17=Sheet6!$C$4,Sheet6!$C$4,IF(Tim!CD17=Sheet6!$C$5,Sheet6!$C$5,IF(Tim!CD17=Sheet6!$C$6,Sheet6!$C$6,IF(Tim!CD17=Sheet6!$C$7,Sheet6!$C$7,IF(Tim!CD17=Sheet6!$C$8,Sheet6!$C$8,"")))))))</f>
        <v/>
      </c>
      <c r="AG15" s="53" t="str">
        <f>IF(Tim!CE17=Sheet6!$C$2,Sheet6!$C$2,IF(Tim!CE17=Sheet6!$C$3,Sheet6!$C$3,IF(Tim!CE17=Sheet6!$C$4,Sheet6!$C$4,IF(Tim!CE17=Sheet6!$C$5,Sheet6!$C$5,IF(Tim!CE17=Sheet6!$C$6,Sheet6!$C$6,IF(Tim!CE17=Sheet6!$C$7,Sheet6!$C$7,IF(Tim!CE17=Sheet6!$C$8,Sheet6!$C$8,"")))))))</f>
        <v/>
      </c>
      <c r="AH15" s="53" t="str">
        <f>IF(Tim!CF17=Sheet6!$C$2,Sheet6!$C$2,IF(Tim!CF17=Sheet6!$C$3,Sheet6!$C$3,IF(Tim!CF17=Sheet6!$C$4,Sheet6!$C$4,IF(Tim!CF17=Sheet6!$C$5,Sheet6!$C$5,IF(Tim!CF17=Sheet6!$C$6,Sheet6!$C$6,IF(Tim!CF17=Sheet6!$C$7,Sheet6!$C$7,IF(Tim!CF17=Sheet6!$C$8,Sheet6!$C$8,"")))))))</f>
        <v/>
      </c>
      <c r="AI15" s="53" t="str">
        <f>IF(Tim!CG17=Sheet6!$C$2,Sheet6!$C$2,IF(Tim!CG17=Sheet6!$C$3,Sheet6!$C$3,IF(Tim!CG17=Sheet6!$C$4,Sheet6!$C$4,IF(Tim!CG17=Sheet6!$C$5,Sheet6!$C$5,IF(Tim!CG17=Sheet6!$C$6,Sheet6!$C$6,IF(Tim!CG17=Sheet6!$C$7,Sheet6!$C$7,IF(Tim!CG17=Sheet6!$C$8,Sheet6!$C$8,"")))))))</f>
        <v/>
      </c>
      <c r="AJ15" s="53" t="str">
        <f>IF(Tim!CH17=Sheet6!$C$2,Sheet6!$C$2,IF(Tim!CH17=Sheet6!$C$3,Sheet6!$C$3,IF(Tim!CH17=Sheet6!$C$4,Sheet6!$C$4,IF(Tim!CH17=Sheet6!$C$5,Sheet6!$C$5,IF(Tim!CH17=Sheet6!$C$6,Sheet6!$C$6,IF(Tim!CH17=Sheet6!$C$7,Sheet6!$C$7,IF(Tim!CH17=Sheet6!$C$8,Sheet6!$C$8,"")))))))</f>
        <v/>
      </c>
      <c r="AK15" s="53" t="str">
        <f>IF(Tim!CL17=Sheet6!$C$2,Sheet6!$C$2,IF(Tim!CL17=Sheet6!$C$3,Sheet6!$C$3,IF(Tim!CL17=Sheet6!$C$4,Sheet6!$C$4,IF(Tim!CL17=Sheet6!$C$5,Sheet6!$C$5,IF(Tim!CL17=Sheet6!$C$6,Sheet6!$C$6,IF(Tim!CL17=Sheet6!$C$7,Sheet6!$C$7,IF(Tim!CL17=Sheet6!$C$8,Sheet6!$C$8,"")))))))</f>
        <v/>
      </c>
      <c r="AL15" s="54" t="str">
        <f>IF(Tim!CM17=Sheet6!$C$2,Sheet6!$C$2,IF(Tim!CM17=Sheet6!$C$3,Sheet6!$C$3,IF(Tim!CM17=Sheet6!$C$4,Sheet6!$C$4,IF(Tim!CM17=Sheet6!$C$5,Sheet6!$C$5,IF(Tim!CM17=Sheet6!$C$6,Sheet6!$C$6,IF(Tim!CM17=Sheet6!$C$7,Sheet6!$C$7,IF(Tim!CM17=Sheet6!$C$8,Sheet6!$C$8,"")))))))</f>
        <v/>
      </c>
      <c r="AM15" s="54" t="str">
        <f>IF(Tim!CN17=Sheet6!$C$2,Sheet6!$C$2,IF(Tim!CN17=Sheet6!$C$3,Sheet6!$C$3,IF(Tim!CN17=Sheet6!$C$4,Sheet6!$C$4,IF(Tim!CN17=Sheet6!$C$5,Sheet6!$C$5,IF(Tim!CN17=Sheet6!$C$6,Sheet6!$C$6,IF(Tim!CN17=Sheet6!$C$7,Sheet6!$C$7,IF(Tim!CN17=Sheet6!$C$8,Sheet6!$C$8,"")))))))</f>
        <v/>
      </c>
      <c r="AN15" s="54" t="str">
        <f>IF(Tim!CO17=Sheet6!$C$2,Sheet6!$C$2,IF(Tim!CO17=Sheet6!$C$3,Sheet6!$C$3,IF(Tim!CO17=Sheet6!$C$4,Sheet6!$C$4,IF(Tim!CO17=Sheet6!$C$5,Sheet6!$C$5,IF(Tim!CO17=Sheet6!$C$6,Sheet6!$C$6,IF(Tim!CO17=Sheet6!$C$7,Sheet6!$C$7,IF(Tim!CO17=Sheet6!$C$8,Sheet6!$C$8,"")))))))</f>
        <v/>
      </c>
      <c r="AO15" s="55" t="str">
        <f>IF(Tim!CP17=Sheet6!$C$2,Sheet6!$C$2,IF(Tim!CP17=Sheet6!$C$3,Sheet6!$C$3,IF(Tim!CP17=Sheet6!$C$4,Sheet6!$C$4,IF(Tim!CP17=Sheet6!$C$5,Sheet6!$C$5,IF(Tim!CP17=Sheet6!$C$6,Sheet6!$C$6,IF(Tim!CP17=Sheet6!$C$7,Sheet6!$C$7,IF(Tim!CP17=Sheet6!$C$8,Sheet6!$C$8,"")))))))</f>
        <v/>
      </c>
      <c r="AP15" s="53" t="str">
        <f>IF(Tim!CQ17=Sheet6!$C$2,Sheet6!$C$2,IF(Tim!CQ17=Sheet6!$C$3,Sheet6!$C$3,IF(Tim!CQ17=Sheet6!$C$4,Sheet6!$C$4,IF(Tim!CQ17=Sheet6!$C$5,Sheet6!$C$5,IF(Tim!CQ17=Sheet6!$C$6,Sheet6!$C$6,IF(Tim!CQ17=Sheet6!$C$7,Sheet6!$C$7,IF(Tim!CQ17=Sheet6!$C$8,Sheet6!$C$8,"")))))))</f>
        <v/>
      </c>
      <c r="AQ15" s="57" t="str">
        <f>IF(Tim!CR17=Sheet6!$C$2,Sheet6!$C$2,IF(Tim!CR17=Sheet6!$C$3,Sheet6!$C$3,IF(Tim!CR17=Sheet6!$C$4,Sheet6!$C$4,IF(Tim!CR17=Sheet6!$C$5,Sheet6!$C$5,IF(Tim!CR17=Sheet6!$C$6,Sheet6!$C$6,IF(Tim!CR17=Sheet6!$C$7,Sheet6!$C$7,IF(Tim!CR17=Sheet6!$C$8,Sheet6!$C$8,"")))))))</f>
        <v/>
      </c>
      <c r="AR15" s="57" t="str">
        <f>IF(Tim!CV17=Sheet6!$C$2,Sheet6!$C$2,IF(Tim!CV17=Sheet6!$C$3,Sheet6!$C$3,IF(Tim!CV17=Sheet6!$C$4,Sheet6!$C$4,IF(Tim!CV17=Sheet6!$C$5,Sheet6!$C$5,IF(Tim!CV17=Sheet6!$C$6,Sheet6!$C$6,IF(Tim!CV17=Sheet6!$C$7,Sheet6!$C$7,IF(Tim!CV17=Sheet6!$C$8,Sheet6!$C$8,"")))))))</f>
        <v/>
      </c>
      <c r="AS15" s="57" t="str">
        <f>IF(Tim!CW17=Sheet6!$C$2,Sheet6!$C$2,IF(Tim!CW17=Sheet6!$C$3,Sheet6!$C$3,IF(Tim!CW17=Sheet6!$C$4,Sheet6!$C$4,IF(Tim!CW17=Sheet6!$C$5,Sheet6!$C$5,IF(Tim!CW17=Sheet6!$C$6,Sheet6!$C$6,IF(Tim!CW17=Sheet6!$C$7,Sheet6!$C$7,IF(Tim!CW17=Sheet6!$C$8,Sheet6!$C$8,"")))))))</f>
        <v/>
      </c>
      <c r="AT15" s="57" t="str">
        <f>IF(Tim!DA17=Sheet6!$C$2,Sheet6!$C$2,IF(Tim!DA17=Sheet6!$C$3,Sheet6!$C$3,IF(Tim!DA17=Sheet6!$C$4,Sheet6!$C$4,IF(Tim!DA17=Sheet6!$C$5,Sheet6!$C$5,IF(Tim!DA17=Sheet6!$C$6,Sheet6!$C$6,IF(Tim!DA17=Sheet6!$C$7,Sheet6!$C$7,IF(Tim!DA17=Sheet6!$C$8,Sheet6!$C$8,"")))))))</f>
        <v/>
      </c>
      <c r="AU15" s="53" t="str">
        <f>IF(Tim!DO17=Sheet6!$C$2,Sheet6!$C$2,IF(Tim!DO17=Sheet6!$C$3,Sheet6!$C$3,IF(Tim!DO17=Sheet6!$C$4,Sheet6!$C$4,IF(Tim!DO17=Sheet6!$C$5,Sheet6!$C$5,IF(Tim!DO17=Sheet6!$C$6,Sheet6!$C$6,IF(Tim!DO17=Sheet6!$C$7,Sheet6!$C$7,IF(Tim!DO17=Sheet6!$C$8,Sheet6!$C$8,"")))))))</f>
        <v/>
      </c>
      <c r="AV15" s="53" t="str">
        <f>IF(Tim!DP17=Sheet6!$C$2,Sheet6!$C$2,IF(Tim!DP17=Sheet6!$C$3,Sheet6!$C$3,IF(Tim!DP17=Sheet6!$C$4,Sheet6!$C$4,IF(Tim!DP17=Sheet6!$C$5,Sheet6!$C$5,IF(Tim!DP17=Sheet6!$C$6,Sheet6!$C$6,IF(Tim!DP17=Sheet6!$C$7,Sheet6!$C$7,IF(Tim!DP17=Sheet6!$C$8,Sheet6!$C$8,"")))))))</f>
        <v/>
      </c>
      <c r="AW15" s="53" t="str">
        <f>IF(Tim!DX17=Sheet6!$C$2,Sheet6!$C$2,IF(Tim!DX17=Sheet6!$C$3,Sheet6!$C$3,IF(Tim!DX17=Sheet6!$C$4,Sheet6!$C$4,IF(Tim!DX17=Sheet6!$C$5,Sheet6!$C$5,IF(Tim!DX17=Sheet6!$C$6,Sheet6!$C$6,IF(Tim!DX17=Sheet6!$C$7,Sheet6!$C$7,IF(Tim!DX17=Sheet6!$C$8,Sheet6!$C$8,"")))))))</f>
        <v/>
      </c>
      <c r="AX15" s="53" t="str">
        <f>IF(Tim!DY17=Sheet6!$C$2,Sheet6!$C$2,IF(Tim!DY17=Sheet6!$C$3,Sheet6!$C$3,IF(Tim!DY17=Sheet6!$C$4,Sheet6!$C$4,IF(Tim!DY17=Sheet6!$C$5,Sheet6!$C$5,IF(Tim!DY17=Sheet6!$C$6,Sheet6!$C$6,IF(Tim!DY17=Sheet6!$C$7,Sheet6!$C$7,IF(Tim!DY17=Sheet6!$C$8,Sheet6!$C$8,"")))))))</f>
        <v/>
      </c>
      <c r="AY15" s="53" t="str">
        <f>IF(Tim!DZ17=Sheet6!$C$2,Sheet6!$C$2,IF(Tim!DZ17=Sheet6!$C$3,Sheet6!$C$3,IF(Tim!DZ17=Sheet6!$C$4,Sheet6!$C$4,IF(Tim!DZ17=Sheet6!$C$5,Sheet6!$C$5,IF(Tim!DZ17=Sheet6!$C$6,Sheet6!$C$6,IF(Tim!DZ17=Sheet6!$C$7,Sheet6!$C$7,IF(Tim!DZ17=Sheet6!$C$8,Sheet6!$C$8,"")))))))</f>
        <v/>
      </c>
      <c r="AZ15" s="53" t="str">
        <f>IF(Tim!EA17=Sheet6!$C$2,Sheet6!$C$2,IF(Tim!EA17=Sheet6!$C$3,Sheet6!$C$3,IF(Tim!EA17=Sheet6!$C$4,Sheet6!$C$4,IF(Tim!EA17=Sheet6!$C$5,Sheet6!$C$5,IF(Tim!EA17=Sheet6!$C$6,Sheet6!$C$6,IF(Tim!EA17=Sheet6!$C$7,Sheet6!$C$7,IF(Tim!EA17=Sheet6!$C$8,Sheet6!$C$8,"")))))))</f>
        <v/>
      </c>
      <c r="BA15" s="53" t="str">
        <f>IF(Tim!EB17=Sheet6!$C$2,Sheet6!$C$2,IF(Tim!EB17=Sheet6!$C$3,Sheet6!$C$3,IF(Tim!EB17=Sheet6!$C$4,Sheet6!$C$4,IF(Tim!EB17=Sheet6!$C$5,Sheet6!$C$5,IF(Tim!EB17=Sheet6!$C$6,Sheet6!$C$6,IF(Tim!EB17=Sheet6!$C$7,Sheet6!$C$7,IF(Tim!EB17=Sheet6!$C$8,Sheet6!$C$8,"")))))))</f>
        <v/>
      </c>
      <c r="BB15" s="53" t="str">
        <f>IF(Tim!EC17=Sheet6!$C$2,Sheet6!$C$2,IF(Tim!EC17=Sheet6!$C$3,Sheet6!$C$3,IF(Tim!EC17=Sheet6!$C$4,Sheet6!$C$4,IF(Tim!EC17=Sheet6!$C$5,Sheet6!$C$5,IF(Tim!EC17=Sheet6!$C$6,Sheet6!$C$6,IF(Tim!EC17=Sheet6!$C$7,Sheet6!$C$7,IF(Tim!EC17=Sheet6!$C$8,Sheet6!$C$8,"")))))))</f>
        <v/>
      </c>
      <c r="BC15" s="53" t="str">
        <f>IF(Tim!EG17=Sheet6!$C$2,Sheet6!$C$2,IF(Tim!EG17=Sheet6!$C$3,Sheet6!$C$3,IF(Tim!EG17=Sheet6!$C$4,Sheet6!$C$4,IF(Tim!EG17=Sheet6!$C$5,Sheet6!$C$5,IF(Tim!EG17=Sheet6!$C$6,Sheet6!$C$6,IF(Tim!EG17=Sheet6!$C$7,Sheet6!$C$7,IF(Tim!EG17=Sheet6!$C$8,Sheet6!$C$8,"")))))))</f>
        <v/>
      </c>
      <c r="BD15" s="54" t="str">
        <f>IF(Tim!EH17=Sheet6!$C$2,Sheet6!$C$2,IF(Tim!EH17=Sheet6!$C$3,Sheet6!$C$3,IF(Tim!EH17=Sheet6!$C$4,Sheet6!$C$4,IF(Tim!EH17=Sheet6!$C$5,Sheet6!$C$5,IF(Tim!EH17=Sheet6!$C$6,Sheet6!$C$6,IF(Tim!EH17=Sheet6!$C$7,Sheet6!$C$7,IF(Tim!EH17=Sheet6!$C$8,Sheet6!$C$8,"")))))))</f>
        <v/>
      </c>
      <c r="BE15" s="54" t="str">
        <f>IF(Tim!EI17=Sheet6!$C$2,Sheet6!$C$2,IF(Tim!EI17=Sheet6!$C$3,Sheet6!$C$3,IF(Tim!EI17=Sheet6!$C$4,Sheet6!$C$4,IF(Tim!EI17=Sheet6!$C$5,Sheet6!$C$5,IF(Tim!EI17=Sheet6!$C$6,Sheet6!$C$6,IF(Tim!EI17=Sheet6!$C$7,Sheet6!$C$7,IF(Tim!EI17=Sheet6!$C$8,Sheet6!$C$8,"")))))))</f>
        <v/>
      </c>
      <c r="BF15" s="54" t="str">
        <f>IF(Tim!EJ17=Sheet6!$C$2,Sheet6!$C$2,IF(Tim!EJ17=Sheet6!$C$3,Sheet6!$C$3,IF(Tim!EJ17=Sheet6!$C$4,Sheet6!$C$4,IF(Tim!EJ17=Sheet6!$C$5,Sheet6!$C$5,IF(Tim!EJ17=Sheet6!$C$6,Sheet6!$C$6,IF(Tim!EJ17=Sheet6!$C$7,Sheet6!$C$7,IF(Tim!EJ17=Sheet6!$C$8,Sheet6!$C$8,"")))))))</f>
        <v/>
      </c>
      <c r="BG15" s="55" t="str">
        <f>IF(Tim!EK17=Sheet6!$C$2,Sheet6!$C$2,IF(Tim!EK17=Sheet6!$C$3,Sheet6!$C$3,IF(Tim!EK17=Sheet6!$C$4,Sheet6!$C$4,IF(Tim!EK17=Sheet6!$C$5,Sheet6!$C$5,IF(Tim!EK17=Sheet6!$C$6,Sheet6!$C$6,IF(Tim!EK17=Sheet6!$C$7,Sheet6!$C$7,IF(Tim!EK17=Sheet6!$C$8,Sheet6!$C$8,"")))))))</f>
        <v/>
      </c>
      <c r="BH15" s="53" t="str">
        <f>IF(Tim!EL16=Sheet6!$C$2,Sheet6!$C$2,IF(Tim!EL16=Sheet6!$C$3,Sheet6!$C$3,IF(Tim!EL16=Sheet6!$C$4,Sheet6!$C$4,IF(Tim!EL16=Sheet6!$C$5,Sheet6!$C$5,IF(Tim!EL16=Sheet6!$C$6,Sheet6!$C$6,IF(Tim!EL16=Sheet6!$C$7,Sheet6!$C$7,IF(Tim!EL16=Sheet6!$C$8,Sheet6!$C$8,"")))))))</f>
        <v/>
      </c>
      <c r="BI15" s="57" t="str">
        <f>IF(Tim!EM17=Sheet6!$C$2,Sheet6!$C$2,IF(Tim!EM17=Sheet6!$C$3,Sheet6!$C$3,IF(Tim!EM17=Sheet6!$C$4,Sheet6!$C$4,IF(Tim!EM17=Sheet6!$C$5,Sheet6!$C$5,IF(Tim!EM17=Sheet6!$C$6,Sheet6!$C$6,IF(Tim!EM17=Sheet6!$C$7,Sheet6!$C$7,IF(Tim!EM17=Sheet6!$C$8,Sheet6!$C$8,"")))))))</f>
        <v/>
      </c>
      <c r="BJ15" s="57" t="str">
        <f>IF(Tim!EQ17=Sheet6!$C$2,Sheet6!$C$2,IF(Tim!EQ17=Sheet6!$C$3,Sheet6!$C$3,IF(Tim!EQ17=Sheet6!$C$4,Sheet6!$C$4,IF(Tim!EQ17=Sheet6!$C$5,Sheet6!$C$5,IF(Tim!EQ17=Sheet6!$C$6,Sheet6!$C$6,IF(Tim!EQ17=Sheet6!$C$7,Sheet6!$C$7,IF(Tim!EQ17=Sheet6!$C$8,Sheet6!$C$8,"")))))))</f>
        <v/>
      </c>
      <c r="BK15" s="57" t="str">
        <f>IF(Tim!ER17=Sheet6!$C$2,Sheet6!$C$2,IF(Tim!ER17=Sheet6!$C$3,Sheet6!$C$3,IF(Tim!ER17=Sheet6!$C$4,Sheet6!$C$4,IF(Tim!ER17=Sheet6!$C$5,Sheet6!$C$5,IF(Tim!ER17=Sheet6!$C$6,Sheet6!$C$6,IF(Tim!ER17=Sheet6!$C$7,Sheet6!$C$7,IF(Tim!ER17=Sheet6!$C$8,Sheet6!$C$8,"")))))))</f>
        <v/>
      </c>
      <c r="BL15" s="57" t="str">
        <f>IF(Tim!EZ17=Sheet6!$C$2,Sheet6!$C$2,IF(Tim!EZ17=Sheet6!$C$3,Sheet6!$C$3,IF(Tim!EZ17=Sheet6!$C$4,Sheet6!$C$4,IF(Tim!EZ17=Sheet6!$C$5,Sheet6!$C$5,IF(Tim!EZ17=Sheet6!$C$6,Sheet6!$C$6,IF(Tim!EZ17=Sheet6!$C$7,Sheet6!$C$7,IF(Tim!EZ17=Sheet6!$C$8,Sheet6!$C$8,"")))))))</f>
        <v/>
      </c>
      <c r="BM15" s="53" t="str">
        <f>IF(Tim!FG17=Sheet6!$C$2,Sheet6!$C$2,IF(Tim!FG17=Sheet6!$C$3,Sheet6!$C$3,IF(Tim!FG17=Sheet6!$C$4,Sheet6!$C$4,IF(Tim!FG17=Sheet6!$C$5,Sheet6!$C$5,IF(Tim!FG17=Sheet6!$C$6,Sheet6!$C$6,IF(Tim!FG17=Sheet6!$C$7,Sheet6!$C$7,IF(Tim!FG17=Sheet6!$C$8,Sheet6!$C$8,"")))))))</f>
        <v/>
      </c>
      <c r="BN15" s="53" t="str">
        <f>IF(Tim!FH17=Sheet6!$C$2,Sheet6!$C$2,IF(Tim!FH17=Sheet6!$C$3,Sheet6!$C$3,IF(Tim!FH17=Sheet6!$C$4,Sheet6!$C$4,IF(Tim!FH17=Sheet6!$C$5,Sheet6!$C$5,IF(Tim!FH17=Sheet6!$C$6,Sheet6!$C$6,IF(Tim!FH17=Sheet6!$C$7,Sheet6!$C$7,IF(Tim!FH17=Sheet6!$C$8,Sheet6!$C$8,"")))))))</f>
        <v/>
      </c>
      <c r="BO15" s="53" t="str">
        <f>IF(Tim!FP17=Sheet6!$C$2,Sheet6!$C$2,IF(Tim!FP17=Sheet6!$C$3,Sheet6!$C$3,IF(Tim!FP17=Sheet6!$C$4,Sheet6!$C$4,IF(Tim!FP17=Sheet6!$C$5,Sheet6!$C$5,IF(Tim!FP17=Sheet6!$C$6,Sheet6!$C$6,IF(Tim!FP17=Sheet6!$C$7,Sheet6!$C$7,IF(Tim!FP17=Sheet6!$C$8,Sheet6!$C$8,"")))))))</f>
        <v/>
      </c>
      <c r="BP15" s="53" t="str">
        <f>IF(Tim!FQ17=Sheet6!$C$2,Sheet6!$C$2,IF(Tim!FQ17=Sheet6!$C$3,Sheet6!$C$3,IF(Tim!FQ17=Sheet6!$C$4,Sheet6!$C$4,IF(Tim!FQ17=Sheet6!$C$5,Sheet6!$C$5,IF(Tim!FQ17=Sheet6!$C$6,Sheet6!$C$6,IF(Tim!FQ17=Sheet6!$C$7,Sheet6!$C$7,IF(Tim!FQ17=Sheet6!$C$8,Sheet6!$C$8,"")))))))</f>
        <v/>
      </c>
      <c r="BQ15" s="53" t="str">
        <f>IF(Tim!FR17=Sheet6!$C$2,Sheet6!$C$2,IF(Tim!FR17=Sheet6!$C$3,Sheet6!$C$3,IF(Tim!FR17=Sheet6!$C$4,Sheet6!$C$4,IF(Tim!FR17=Sheet6!$C$5,Sheet6!$C$5,IF(Tim!FR17=Sheet6!$C$6,Sheet6!$C$6,IF(Tim!FR17=Sheet6!$C$7,Sheet6!$C$7,IF(Tim!FR17=Sheet6!$C$8,Sheet6!$C$8,"")))))))</f>
        <v/>
      </c>
      <c r="BR15" s="53" t="str">
        <f>IF(Tim!FS17=Sheet6!$C$2,Sheet6!$C$2,IF(Tim!FS17=Sheet6!$C$3,Sheet6!$C$3,IF(Tim!FS17=Sheet6!$C$4,Sheet6!$C$4,IF(Tim!FS17=Sheet6!$C$5,Sheet6!$C$5,IF(Tim!FS17=Sheet6!$C$6,Sheet6!$C$6,IF(Tim!FS17=Sheet6!$C$7,Sheet6!$C$7,IF(Tim!FS17=Sheet6!$C$8,Sheet6!$C$8,"")))))))</f>
        <v/>
      </c>
      <c r="BS15" s="53" t="str">
        <f>IF(Tim!FT17=Sheet6!$C$2,Sheet6!$C$2,IF(Tim!FT17=Sheet6!$C$3,Sheet6!$C$3,IF(Tim!FT17=Sheet6!$C$4,Sheet6!$C$4,IF(Tim!FT17=Sheet6!$C$5,Sheet6!$C$5,IF(Tim!FT17=Sheet6!$C$6,Sheet6!$C$6,IF(Tim!FT17=Sheet6!$C$7,Sheet6!$C$7,IF(Tim!FT17=Sheet6!$C$8,Sheet6!$C$8,"")))))))</f>
        <v/>
      </c>
      <c r="BT15" s="53" t="str">
        <f>IF(Tim!FU17=Sheet6!$C$2,Sheet6!$C$2,IF(Tim!FU17=Sheet6!$C$3,Sheet6!$C$3,IF(Tim!FU17=Sheet6!$C$4,Sheet6!$C$4,IF(Tim!FU17=Sheet6!$C$5,Sheet6!$C$5,IF(Tim!FU17=Sheet6!$C$6,Sheet6!$C$6,IF(Tim!FU17=Sheet6!$C$7,Sheet6!$C$7,IF(Tim!FU17=Sheet6!$C$8,Sheet6!$C$8,"")))))))</f>
        <v/>
      </c>
      <c r="BU15" s="53" t="str">
        <f>IF(Tim!FY17=Sheet6!$C$2,Sheet6!$C$2,IF(Tim!FY17=Sheet6!$C$3,Sheet6!$C$3,IF(Tim!FY17=Sheet6!$C$4,Sheet6!$C$4,IF(Tim!FY17=Sheet6!$C$5,Sheet6!$C$5,IF(Tim!FY17=Sheet6!$C$6,Sheet6!$C$6,IF(Tim!FY17=Sheet6!$C$7,Sheet6!$C$7,IF(Tim!FY17=Sheet6!$C$8,Sheet6!$C$8,"")))))))</f>
        <v/>
      </c>
      <c r="BV15" s="54" t="str">
        <f>IF(Tim!FZ17=Sheet6!$C$2,Sheet6!$C$2,IF(Tim!FZ17=Sheet6!$C$3,Sheet6!$C$3,IF(Tim!FZ17=Sheet6!$C$4,Sheet6!$C$4,IF(Tim!FZ17=Sheet6!$C$5,Sheet6!$C$5,IF(Tim!FZ17=Sheet6!$C$6,Sheet6!$C$6,IF(Tim!FZ17=Sheet6!$C$7,Sheet6!$C$7,IF(Tim!FZ17=Sheet6!$C$8,Sheet6!$C$8,"")))))))</f>
        <v/>
      </c>
      <c r="BW15" s="54" t="str">
        <f>IF(Tim!GA17=Sheet6!$C$2,Sheet6!$C$2,IF(Tim!GA17=Sheet6!$C$3,Sheet6!$C$3,IF(Tim!GA17=Sheet6!$C$4,Sheet6!$C$4,IF(Tim!GA17=Sheet6!$C$5,Sheet6!$C$5,IF(Tim!GA17=Sheet6!$C$6,Sheet6!$C$6,IF(Tim!GA17=Sheet6!$C$7,Sheet6!$C$7,IF(Tim!GA17=Sheet6!$C$8,Sheet6!$C$8,"")))))))</f>
        <v/>
      </c>
      <c r="BX15" s="54" t="str">
        <f>IF(Tim!GB17=Sheet6!$C$2,Sheet6!$C$2,IF(Tim!GB17=Sheet6!$C$3,Sheet6!$C$3,IF(Tim!GB17=Sheet6!$C$4,Sheet6!$C$4,IF(Tim!GB17=Sheet6!$C$5,Sheet6!$C$5,IF(Tim!GB17=Sheet6!$C$6,Sheet6!$C$6,IF(Tim!GB17=Sheet6!$C$7,Sheet6!$C$7,IF(Tim!GB17=Sheet6!$C$8,Sheet6!$C$8,"")))))))</f>
        <v/>
      </c>
      <c r="BY15" s="55" t="str">
        <f>IF(Tim!GC17=Sheet6!$C$2,Sheet6!$C$2,IF(Tim!GC17=Sheet6!$C$3,Sheet6!$C$3,IF(Tim!GC17=Sheet6!$C$4,Sheet6!$C$4,IF(Tim!GC17=Sheet6!$C$5,Sheet6!$C$5,IF(Tim!GC17=Sheet6!$C$6,Sheet6!$C$6,IF(Tim!GC17=Sheet6!$C$7,Sheet6!$C$7,IF(Tim!GC17=Sheet6!$C$8,Sheet6!$C$8,"")))))))</f>
        <v/>
      </c>
      <c r="BZ15" s="53" t="str">
        <f>IF(Tim!GD17=Sheet6!$C$2,Sheet6!$C$2,IF(Tim!GD17=Sheet6!$C$3,Sheet6!$C$3,IF(Tim!GD17=Sheet6!$C$4,Sheet6!$C$4,IF(Tim!GD17=Sheet6!$C$5,Sheet6!$C$5,IF(Tim!GD17=Sheet6!$C$6,Sheet6!$C$6,IF(Tim!GD17=Sheet6!$C$7,Sheet6!$C$7,IF(Tim!GD17=Sheet6!$C$8,Sheet6!$C$8,"")))))))</f>
        <v/>
      </c>
      <c r="CA15" s="57" t="str">
        <f>IF(Tim!GE17=Sheet6!$C$2,Sheet6!$C$2,IF(Tim!GE17=Sheet6!$C$3,Sheet6!$C$3,IF(Tim!GE17=Sheet6!$C$4,Sheet6!$C$4,IF(Tim!GE17=Sheet6!$C$5,Sheet6!$C$5,IF(Tim!GE17=Sheet6!$C$6,Sheet6!$C$6,IF(Tim!GE17=Sheet6!$C$7,Sheet6!$C$7,IF(Tim!GE17=Sheet6!$C$8,Sheet6!$C$8,"")))))))</f>
        <v/>
      </c>
      <c r="CB15" s="57" t="str">
        <f>IF(Tim!GI17=Sheet6!$C$2,Sheet6!$C$2,IF(Tim!GI17=Sheet6!$C$3,Sheet6!$C$3,IF(Tim!GI17=Sheet6!$C$4,Sheet6!$C$4,IF(Tim!GI17=Sheet6!$C$5,Sheet6!$C$5,IF(Tim!GI17=Sheet6!$C$6,Sheet6!$C$6,IF(Tim!GI17=Sheet6!$C$7,Sheet6!$C$7,IF(Tim!GI17=Sheet6!$C$8,Sheet6!$C$8,"")))))))</f>
        <v/>
      </c>
      <c r="CC15" s="57" t="str">
        <f>IF(Tim!GJ17=Sheet6!$C$2,Sheet6!$C$2,IF(Tim!GJ17=Sheet6!$C$3,Sheet6!$C$3,IF(Tim!GJ17=Sheet6!$C$4,Sheet6!$C$4,IF(Tim!GJ17=Sheet6!$C$5,Sheet6!$C$5,IF(Tim!GJ17=Sheet6!$C$6,Sheet6!$C$6,IF(Tim!GJ17=Sheet6!$C$7,Sheet6!$C$7,IF(Tim!GJ17=Sheet6!$C$8,Sheet6!$C$8,"")))))))</f>
        <v/>
      </c>
      <c r="CD15" s="57" t="str">
        <f>IF(Tim!GN17=Sheet6!$C$2,Sheet6!$C$2,IF(Tim!GN17=Sheet6!$C$3,Sheet6!$C$3,IF(Tim!GN17=Sheet6!$C$4,Sheet6!$C$4,IF(Tim!GN17=Sheet6!$C$5,Sheet6!$C$5,IF(Tim!GN17=Sheet6!$C$6,Sheet6!$C$6,IF(Tim!GN17=Sheet6!$C$7,Sheet6!$C$7,IF(Tim!GN17=Sheet6!$C$8,Sheet6!$C$8,"")))))))</f>
        <v/>
      </c>
      <c r="CE15" s="53" t="str">
        <f>IF(Tim!GY17=Sheet6!$C$2,Sheet6!$C$2,IF(Tim!GY17=Sheet6!$C$3,Sheet6!$C$3,IF(Tim!GY17=Sheet6!$C$4,Sheet6!$C$4,IF(Tim!GY17=Sheet6!$C$5,Sheet6!$C$5,IF(Tim!GY17=Sheet6!$C$6,Sheet6!$C$6,IF(Tim!GY17=Sheet6!$C$7,Sheet6!$C$7,IF(Tim!GY17=Sheet6!$C$8,Sheet6!$C$8,"")))))))</f>
        <v/>
      </c>
      <c r="CF15" s="181" t="str">
        <f>IF(Tim!GZ17=Sheet6!$C$2,Sheet6!$C$2,IF(Tim!GZ17=Sheet6!$C$3,Sheet6!$C$3,IF(Tim!GZ17=Sheet6!$C$4,Sheet6!$C$4,IF(Tim!GZ17=Sheet6!$C$5,Sheet6!$C$5,IF(Tim!GZ17=Sheet6!$C$6,Sheet6!$C$6,IF(Tim!GZ17=Sheet6!$C$7,Sheet6!$C$7,IF(Tim!GZ17=Sheet6!$C$8,Sheet6!$C$8,"")))))))</f>
        <v/>
      </c>
      <c r="CG15" s="53" t="str">
        <f>IF(Tim!HH17=Sheet6!$C$2,Sheet6!$C$2,IF(Tim!HH17=Sheet6!$C$3,Sheet6!$C$3,IF(Tim!HH17=Sheet6!$C$4,Sheet6!$C$4,IF(Tim!HH17=Sheet6!$C$5,Sheet6!$C$5,IF(Tim!HH17=Sheet6!$C$6,Sheet6!$C$6,IF(Tim!HH17=Sheet6!$C$7,Sheet6!$C$7,IF(Tim!HH17=Sheet6!$C$8,Sheet6!$C$8,"")))))))</f>
        <v/>
      </c>
      <c r="CH15" s="53" t="str">
        <f>IF(Tim!HI17=Sheet6!$C$2,Sheet6!$C$2,IF(Tim!HI17=Sheet6!$C$3,Sheet6!$C$3,IF(Tim!HI17=Sheet6!$C$4,Sheet6!$C$4,IF(Tim!HI17=Sheet6!$C$5,Sheet6!$C$5,IF(Tim!HI17=Sheet6!$C$6,Sheet6!$C$6,IF(Tim!HI17=Sheet6!$C$7,Sheet6!$C$7,IF(Tim!HI17=Sheet6!$C$8,Sheet6!$C$8,"")))))))</f>
        <v/>
      </c>
      <c r="CI15" s="53" t="str">
        <f>IF(Tim!HJ17=Sheet6!$C$2,Sheet6!$C$2,IF(Tim!HJ17=Sheet6!$C$3,Sheet6!$C$3,IF(Tim!HJ17=Sheet6!$C$4,Sheet6!$C$4,IF(Tim!HJ17=Sheet6!$C$5,Sheet6!$C$5,IF(Tim!HJ17=Sheet6!$C$6,Sheet6!$C$6,IF(Tim!HJ17=Sheet6!$C$7,Sheet6!$C$7,IF(Tim!HJ17=Sheet6!$C$8,Sheet6!$C$8,"")))))))</f>
        <v/>
      </c>
      <c r="CJ15" s="53" t="str">
        <f>IF(Tim!HK17=Sheet6!$C$2,Sheet6!$C$2,IF(Tim!HK17=Sheet6!$C$3,Sheet6!$C$3,IF(Tim!HK17=Sheet6!$C$4,Sheet6!$C$4,IF(Tim!HK17=Sheet6!$C$5,Sheet6!$C$5,IF(Tim!HK17=Sheet6!$C$6,Sheet6!$C$6,IF(Tim!HK17=Sheet6!$C$7,Sheet6!$C$7,IF(Tim!HK17=Sheet6!$C$8,Sheet6!$C$8,"")))))))</f>
        <v/>
      </c>
      <c r="CK15" s="53" t="str">
        <f>IF(Tim!HL17=Sheet6!$C$2,Sheet6!$C$2,IF(Tim!HL17=Sheet6!$C$3,Sheet6!$C$3,IF(Tim!HL17=Sheet6!$C$4,Sheet6!$C$4,IF(Tim!HL17=Sheet6!$C$5,Sheet6!$C$5,IF(Tim!HL17=Sheet6!$C$6,Sheet6!$C$6,IF(Tim!HL17=Sheet6!$C$7,Sheet6!$C$7,IF(Tim!HL17=Sheet6!$C$8,Sheet6!$C$8,"")))))))</f>
        <v/>
      </c>
      <c r="CL15" s="53" t="str">
        <f>IF(Tim!HM17=Sheet6!$C$2,Sheet6!$C$2,IF(Tim!HM17=Sheet6!$C$3,Sheet6!$C$3,IF(Tim!HM17=Sheet6!$C$4,Sheet6!$C$4,IF(Tim!HM17=Sheet6!$C$5,Sheet6!$C$5,IF(Tim!HM17=Sheet6!$C$6,Sheet6!$C$6,IF(Tim!HM17=Sheet6!$C$7,Sheet6!$C$7,IF(Tim!HM17=Sheet6!$C$8,Sheet6!$C$8,"")))))))</f>
        <v/>
      </c>
      <c r="CM15" s="53" t="str">
        <f>IF(Tim!HQ17=Sheet6!$C$2,Sheet6!$C$2,IF(Tim!HQ17=Sheet6!$C$3,Sheet6!$C$3,IF(Tim!HQ17=Sheet6!$C$4,Sheet6!$C$4,IF(Tim!HQ17=Sheet6!$C$5,Sheet6!$C$5,IF(Tim!HQ17=Sheet6!$C$6,Sheet6!$C$6,IF(Tim!HQ17=Sheet6!$C$7,Sheet6!$C$7,IF(Tim!HQ17=Sheet6!$C$8,Sheet6!$C$8,"")))))))</f>
        <v/>
      </c>
      <c r="CN15" s="54" t="str">
        <f>IF(Tim!HR17=Sheet6!$C$2,Sheet6!$C$2,IF(Tim!HR17=Sheet6!$C$3,Sheet6!$C$3,IF(Tim!HR17=Sheet6!$C$4,Sheet6!$C$4,IF(Tim!HR17=Sheet6!$C$5,Sheet6!$C$5,IF(Tim!HR17=Sheet6!$C$6,Sheet6!$C$6,IF(Tim!HR17=Sheet6!$C$7,Sheet6!$C$7,IF(Tim!HR17=Sheet6!$C$8,Sheet6!$C$8,"")))))))</f>
        <v/>
      </c>
      <c r="CO15" s="54" t="str">
        <f>IF(Tim!HS17=Sheet6!$C$2,Sheet6!$C$2,IF(Tim!HS17=Sheet6!$C$3,Sheet6!$C$3,IF(Tim!HS17=Sheet6!$C$4,Sheet6!$C$4,IF(Tim!HS17=Sheet6!$C$5,Sheet6!$C$5,IF(Tim!HS17=Sheet6!$C$6,Sheet6!$C$6,IF(Tim!HS17=Sheet6!$C$7,Sheet6!$C$7,IF(Tim!HS17=Sheet6!$C$8,Sheet6!$C$8,"")))))))</f>
        <v/>
      </c>
      <c r="CP15" s="54" t="str">
        <f>IF(Tim!HT17=Sheet6!$C$2,Sheet6!$C$2,IF(Tim!HT17=Sheet6!$C$3,Sheet6!$C$3,IF(Tim!HT17=Sheet6!$C$4,Sheet6!$C$4,IF(Tim!HT17=Sheet6!$C$5,Sheet6!$C$5,IF(Tim!HT17=Sheet6!$C$6,Sheet6!$C$6,IF(Tim!HT17=Sheet6!$C$7,Sheet6!$C$7,IF(Tim!HT17=Sheet6!$C$8,Sheet6!$C$8,"")))))))</f>
        <v/>
      </c>
      <c r="CQ15" s="55" t="str">
        <f>IF(Tim!HU17=Sheet6!$C$2,Sheet6!$C$2,IF(Tim!HU17=Sheet6!$C$3,Sheet6!$C$3,IF(Tim!HU17=Sheet6!$C$4,Sheet6!$C$4,IF(Tim!HU17=Sheet6!$C$5,Sheet6!$C$5,IF(Tim!HU17=Sheet6!$C$6,Sheet6!$C$6,IF(Tim!HU17=Sheet6!$C$7,Sheet6!$C$7,IF(Tim!HU17=Sheet6!$C$8,Sheet6!$C$8,"")))))))</f>
        <v/>
      </c>
      <c r="CR15" s="56" t="str">
        <f>IF(Tim!HV17=Sheet6!$C$2,Sheet6!$C$2,IF(Tim!HV17=Sheet6!$C$3,Sheet6!$C$3,IF(Tim!HV17=Sheet6!$C$4,Sheet6!$C$4,IF(Tim!HV17=Sheet6!$C$5,Sheet6!$C$5,IF(Tim!HV17=Sheet6!$C$6,Sheet6!$C$6,IF(Tim!HV17=Sheet6!$C$7,Sheet6!$C$7,IF(Tim!HV17=Sheet6!$C$8,Sheet6!$C$8,"")))))))</f>
        <v/>
      </c>
      <c r="CS15" s="57" t="str">
        <f>IF(Tim!IB17=Sheet6!$C$2,Sheet6!$C$2,IF(Tim!IB17=Sheet6!$C$3,Sheet6!$C$3,IF(Tim!IB17=Sheet6!$C$4,Sheet6!$C$4,IF(Tim!IB17=Sheet6!$C$5,Sheet6!$C$5,IF(Tim!IB17=Sheet6!$C$6,Sheet6!$C$6,IF(Tim!IB17=Sheet6!$C$7,Sheet6!$C$7,IF(Tim!IB17=Sheet6!$C$8,Sheet6!$C$8,"")))))))</f>
        <v/>
      </c>
      <c r="CT15" s="57" t="str">
        <f>IF(Tim!IJ17=Sheet6!$C$2,Sheet6!$C$2,IF(Tim!IJ17=Sheet6!$C$3,Sheet6!$C$3,IF(Tim!IJ17=Sheet6!$C$4,Sheet6!$C$4,IF(Tim!IJ17=Sheet6!$C$5,Sheet6!$C$5,IF(Tim!IJ17=Sheet6!$C$6,Sheet6!$C$6,IF(Tim!IJ17=Sheet6!$C$7,Sheet6!$C$7,IF(Tim!IJ17=Sheet6!$C$8,Sheet6!$C$8,"")))))))</f>
        <v/>
      </c>
      <c r="CU15" s="53" t="str">
        <f>IF(Tim!IQ17=Sheet6!$C$2,Sheet6!$C$2,IF(Tim!IQ17=Sheet6!$C$3,Sheet6!$C$3,IF(Tim!IQ17=Sheet6!$C$4,Sheet6!$C$4,IF(Tim!IQ17=Sheet6!$C$5,Sheet6!$C$5,IF(Tim!IQ17=Sheet6!$C$6,Sheet6!$C$6,IF(Tim!IQ17=Sheet6!$C$7,Sheet6!$C$7,IF(Tim!IQ17=Sheet6!$C$8,Sheet6!$C$8,"")))))))</f>
        <v/>
      </c>
      <c r="CV15" s="53" t="str">
        <f>IF(Tim!IR17=Sheet6!$C$2,Sheet6!$C$2,IF(Tim!IR17=Sheet6!$C$3,Sheet6!$C$3,IF(Tim!IR17=Sheet6!$C$4,Sheet6!$C$4,IF(Tim!IR17=Sheet6!$C$5,Sheet6!$C$5,IF(Tim!IR17=Sheet6!$C$6,Sheet6!$C$6,IF(Tim!IR17=Sheet6!$C$7,Sheet6!$C$7,IF(Tim!IR17=Sheet6!$C$8,Sheet6!$C$8,"")))))))</f>
        <v/>
      </c>
      <c r="CW15" s="53" t="str">
        <f>IF(Tim!IZ17=Sheet6!$C$2,Sheet6!$C$2,IF(Tim!IZ17=Sheet6!$C$3,Sheet6!$C$3,IF(Tim!IZ17=Sheet6!$C$4,Sheet6!$C$4,IF(Tim!IZ17=Sheet6!$C$5,Sheet6!$C$5,IF(Tim!IZ17=Sheet6!$C$6,Sheet6!$C$6,IF(Tim!IZ17=Sheet6!$C$7,Sheet6!$C$7,IF(Tim!IZ17=Sheet6!$C$8,Sheet6!$C$8,"")))))))</f>
        <v/>
      </c>
      <c r="CX15" s="53" t="str">
        <f>IF(Tim!JA17=Sheet6!$C$2,Sheet6!$C$2,IF(Tim!JA17=Sheet6!$C$3,Sheet6!$C$3,IF(Tim!JA17=Sheet6!$C$4,Sheet6!$C$4,IF(Tim!JA17=Sheet6!$C$5,Sheet6!$C$5,IF(Tim!JA17=Sheet6!$C$6,Sheet6!$C$6,IF(Tim!JA17=Sheet6!$C$7,Sheet6!$C$7,IF(Tim!JA17=Sheet6!$C$8,Sheet6!$C$8,"")))))))</f>
        <v/>
      </c>
      <c r="CY15" s="53" t="str">
        <f>IF(Tim!JB17=Sheet6!$C$2,Sheet6!$C$2,IF(Tim!JB17=Sheet6!$C$3,Sheet6!$C$3,IF(Tim!JB17=Sheet6!$C$4,Sheet6!$C$4,IF(Tim!JB17=Sheet6!$C$5,Sheet6!$C$5,IF(Tim!JB17=Sheet6!$C$6,Sheet6!$C$6,IF(Tim!JB17=Sheet6!$C$7,Sheet6!$C$7,IF(Tim!JB17=Sheet6!$C$8,Sheet6!$C$8,"")))))))</f>
        <v/>
      </c>
      <c r="CZ15" s="53" t="str">
        <f>IF(Tim!JC17=Sheet6!$C$2,Sheet6!$C$2,IF(Tim!JC17=Sheet6!$C$3,Sheet6!$C$3,IF(Tim!JC17=Sheet6!$C$4,Sheet6!$C$4,IF(Tim!JC17=Sheet6!$C$5,Sheet6!$C$5,IF(Tim!JC17=Sheet6!$C$6,Sheet6!$C$6,IF(Tim!JC17=Sheet6!$C$7,Sheet6!$C$7,IF(Tim!JC17=Sheet6!$C$8,Sheet6!$C$8,"")))))))</f>
        <v/>
      </c>
      <c r="DA15" s="53" t="str">
        <f>IF(Tim!JD17=Sheet6!$C$2,Sheet6!$C$2,IF(Tim!JD17=Sheet6!$C$3,Sheet6!$C$3,IF(Tim!JD17=Sheet6!$C$4,Sheet6!$C$4,IF(Tim!JD17=Sheet6!$C$5,Sheet6!$C$5,IF(Tim!JD17=Sheet6!$C$6,Sheet6!$C$6,IF(Tim!JD17=Sheet6!$C$7,Sheet6!$C$7,IF(Tim!JD17=Sheet6!$C$8,Sheet6!$C$8,"")))))))</f>
        <v/>
      </c>
      <c r="DB15" s="53" t="str">
        <f>IF(Tim!JE17=Sheet6!$C$2,Sheet6!$C$2,IF(Tim!JE17=Sheet6!$C$3,Sheet6!$C$3,IF(Tim!JE17=Sheet6!$C$4,Sheet6!$C$4,IF(Tim!JE17=Sheet6!$C$5,Sheet6!$C$5,IF(Tim!JE17=Sheet6!$C$6,Sheet6!$C$6,IF(Tim!JE17=Sheet6!$C$7,Sheet6!$C$7,IF(Tim!JE17=Sheet6!$C$8,Sheet6!$C$8,"")))))))</f>
        <v/>
      </c>
      <c r="DC15" s="53" t="str">
        <f>IF(Tim!JI17=Sheet6!$C$2,Sheet6!$C$2,IF(Tim!JI17=Sheet6!$C$3,Sheet6!$C$3,IF(Tim!JI17=Sheet6!$C$4,Sheet6!$C$4,IF(Tim!JI17=Sheet6!$C$5,Sheet6!$C$5,IF(Tim!JI17=Sheet6!$C$6,Sheet6!$C$6,IF(Tim!JI17=Sheet6!$C$7,Sheet6!$C$7,IF(Tim!JI17=Sheet6!$C$8,Sheet6!$C$8,"")))))))</f>
        <v/>
      </c>
      <c r="DD15" s="54" t="str">
        <f>IF(Tim!JJ17=Sheet6!$C$2,Sheet6!$C$2,IF(Tim!JJ17=Sheet6!$C$3,Sheet6!$C$3,IF(Tim!JJ17=Sheet6!$C$4,Sheet6!$C$4,IF(Tim!JJ17=Sheet6!$C$5,Sheet6!$C$5,IF(Tim!JJ17=Sheet6!$C$6,Sheet6!$C$6,IF(Tim!JJ17=Sheet6!$C$7,Sheet6!$C$7,IF(Tim!JJ17=Sheet6!$C$8,Sheet6!$C$8,"")))))))</f>
        <v/>
      </c>
      <c r="DE15" s="54" t="str">
        <f>IF(Tim!JK17=Sheet6!$C$2,Sheet6!$C$2,IF(Tim!JK17=Sheet6!$C$3,Sheet6!$C$3,IF(Tim!JK17=Sheet6!$C$4,Sheet6!$C$4,IF(Tim!JK17=Sheet6!$C$5,Sheet6!$C$5,IF(Tim!JK17=Sheet6!$C$6,Sheet6!$C$6,IF(Tim!JK17=Sheet6!$C$7,Sheet6!$C$7,IF(Tim!JK17=Sheet6!$C$8,Sheet6!$C$8,"")))))))</f>
        <v/>
      </c>
      <c r="DF15" s="54" t="str">
        <f>IF(Tim!JL17=Sheet6!$C$2,Sheet6!$C$2,IF(Tim!JL17=Sheet6!$C$3,Sheet6!$C$3,IF(Tim!JL17=Sheet6!$C$4,Sheet6!$C$4,IF(Tim!JL17=Sheet6!$C$5,Sheet6!$C$5,IF(Tim!JL17=Sheet6!$C$6,Sheet6!$C$6,IF(Tim!JL17=Sheet6!$C$7,Sheet6!$C$7,IF(Tim!JL17=Sheet6!$C$8,Sheet6!$C$8,"")))))))</f>
        <v/>
      </c>
      <c r="DG15" s="55" t="str">
        <f>IF(Tim!JM17=Sheet6!$C$2,Sheet6!$C$2,IF(Tim!JM17=Sheet6!$C$3,Sheet6!$C$3,IF(Tim!JM17=Sheet6!$C$4,Sheet6!$C$4,IF(Tim!JM17=Sheet6!$C$5,Sheet6!$C$5,IF(Tim!JM17=Sheet6!$C$6,Sheet6!$C$6,IF(Tim!JM17=Sheet6!$C$7,Sheet6!$C$7,IF(Tim!JM17=Sheet6!$C$8,Sheet6!$C$8,"")))))))</f>
        <v/>
      </c>
      <c r="DH15" s="56" t="str">
        <f>IF(Tim!JN17=Sheet6!$C$2,Sheet6!$C$2,IF(Tim!JN17=Sheet6!$C$3,Sheet6!$C$3,IF(Tim!JN17=Sheet6!$C$4,Sheet6!$C$4,IF(Tim!JN17=Sheet6!$C$5,Sheet6!$C$5,IF(Tim!JN17=Sheet6!$C$6,Sheet6!$C$6,IF(Tim!JN17=Sheet6!$C$7,Sheet6!$C$7,IF(Tim!JN17=Sheet6!$C$8,Sheet6!$C$8,"")))))))</f>
        <v/>
      </c>
      <c r="DI15" s="57" t="str">
        <f>IF(Tim!JS17=Sheet6!$C$2,Sheet6!$C$2,IF(Tim!JS17=Sheet6!$C$3,Sheet6!$C$3,IF(Tim!JS17=Sheet6!$C$4,Sheet6!$C$4,IF(Tim!JS17=Sheet6!$C$5,Sheet6!$C$5,IF(Tim!JS17=Sheet6!$C$6,Sheet6!$C$6,IF(Tim!JS17=Sheet6!$C$7,Sheet6!$C$7,IF(Tim!JS17=Sheet6!$C$8,Sheet6!$C$8,"")))))))</f>
        <v/>
      </c>
      <c r="DJ15" s="57" t="str">
        <f>IF(Tim!KB17=Sheet6!$C$2,Sheet6!$C$2,IF(Tim!KB17=Sheet6!$C$3,Sheet6!$C$3,IF(Tim!KB17=Sheet6!$C$4,Sheet6!$C$4,IF(Tim!KB17=Sheet6!$C$5,Sheet6!$C$5,IF(Tim!KB17=Sheet6!$C$6,Sheet6!$C$6,IF(Tim!KB17=Sheet6!$C$7,Sheet6!$C$7,IF(Tim!KB17=Sheet6!$C$8,Sheet6!$C$8,"")))))))</f>
        <v/>
      </c>
      <c r="DK15" s="57" t="str">
        <f>IF(Tim!KI17=Sheet6!$C$2,Sheet6!$C$2,IF(Tim!KI17=Sheet6!$C$3,Sheet6!$C$3,IF(Tim!KI17=Sheet6!$C$4,Sheet6!$C$4,IF(Tim!KI17=Sheet6!$C$5,Sheet6!$C$5,IF(Tim!KI17=Sheet6!$C$6,Sheet6!$C$6,IF(Tim!KI17=Sheet6!$C$7,Sheet6!$C$7,IF(Tim!KI17=Sheet6!$C$8,Sheet6!$C$8,"")))))))</f>
        <v/>
      </c>
      <c r="DL15" s="53" t="str">
        <f>IF(Tim!KJ17=Sheet6!$C$2,Sheet6!$C$2,IF(Tim!KJ17=Sheet6!$C$3,Sheet6!$C$3,IF(Tim!KJ17=Sheet6!$C$4,Sheet6!$C$4,IF(Tim!KJ17=Sheet6!$C$5,Sheet6!$C$5,IF(Tim!KJ17=Sheet6!$C$6,Sheet6!$C$6,IF(Tim!KJ17=Sheet6!$C$7,Sheet6!$C$7,IF(Tim!KJ17=Sheet6!$C$8,Sheet6!$C$8,"")))))))</f>
        <v/>
      </c>
      <c r="DM15" s="53" t="str">
        <f>IF(Tim!KR17=Sheet6!$C$2,Sheet6!$C$2,IF(Tim!KR17=Sheet6!$C$3,Sheet6!$C$3,IF(Tim!KR17=Sheet6!$C$4,Sheet6!$C$4,IF(Tim!KR17=Sheet6!$C$5,Sheet6!$C$5,IF(Tim!KR17=Sheet6!$C$6,Sheet6!$C$6,IF(Tim!KR17=Sheet6!$C$7,Sheet6!$C$7,IF(Tim!KR17=Sheet6!$C$8,Sheet6!$C$8,"")))))))</f>
        <v/>
      </c>
      <c r="DN15" s="53" t="str">
        <f>IF(Tim!KS17=Sheet6!$C$2,Sheet6!$C$2,IF(Tim!KS17=Sheet6!$C$3,Sheet6!$C$3,IF(Tim!KS17=Sheet6!$C$4,Sheet6!$C$4,IF(Tim!KS17=Sheet6!$C$5,Sheet6!$C$5,IF(Tim!KS17=Sheet6!$C$6,Sheet6!$C$6,IF(Tim!KS17=Sheet6!$C$7,Sheet6!$C$7,IF(Tim!KS17=Sheet6!$C$8,Sheet6!$C$8,"")))))))</f>
        <v/>
      </c>
      <c r="DO15" s="53" t="str">
        <f>IF(Tim!KT17=Sheet6!$C$2,Sheet6!$C$2,IF(Tim!KT17=Sheet6!$C$3,Sheet6!$C$3,IF(Tim!KT17=Sheet6!$C$4,Sheet6!$C$4,IF(Tim!KT17=Sheet6!$C$5,Sheet6!$C$5,IF(Tim!KT17=Sheet6!$C$6,Sheet6!$C$6,IF(Tim!KT17=Sheet6!$C$7,Sheet6!$C$7,IF(Tim!KT17=Sheet6!$C$8,Sheet6!$C$8,"")))))))</f>
        <v/>
      </c>
      <c r="DP15" s="53" t="str">
        <f>IF(Tim!KU17=Sheet6!$C$2,Sheet6!$C$2,IF(Tim!KU17=Sheet6!$C$3,Sheet6!$C$3,IF(Tim!KU17=Sheet6!$C$4,Sheet6!$C$4,IF(Tim!KU17=Sheet6!$C$5,Sheet6!$C$5,IF(Tim!KU17=Sheet6!$C$6,Sheet6!$C$6,IF(Tim!KU17=Sheet6!$C$7,Sheet6!$C$7,IF(Tim!KU17=Sheet6!$C$8,Sheet6!$C$8,"")))))))</f>
        <v/>
      </c>
      <c r="DQ15" s="53" t="str">
        <f>IF(Tim!KV17=Sheet6!$C$2,Sheet6!$C$2,IF(Tim!KV17=Sheet6!$C$3,Sheet6!$C$3,IF(Tim!KV17=Sheet6!$C$4,Sheet6!$C$4,IF(Tim!KV17=Sheet6!$C$5,Sheet6!$C$5,IF(Tim!KV17=Sheet6!$C$6,Sheet6!$C$6,IF(Tim!KV17=Sheet6!$C$7,Sheet6!$C$7,IF(Tim!KV17=Sheet6!$C$8,Sheet6!$C$8,"")))))))</f>
        <v/>
      </c>
      <c r="DR15" s="53" t="str">
        <f>IF(Tim!KW17=Sheet6!$C$2,Sheet6!$C$2,IF(Tim!KW17=Sheet6!$C$3,Sheet6!$C$3,IF(Tim!KW17=Sheet6!$C$4,Sheet6!$C$4,IF(Tim!KW17=Sheet6!$C$5,Sheet6!$C$5,IF(Tim!KW17=Sheet6!$C$6,Sheet6!$C$6,IF(Tim!KW17=Sheet6!$C$7,Sheet6!$C$7,IF(Tim!KW17=Sheet6!$C$8,Sheet6!$C$8,"")))))))</f>
        <v/>
      </c>
      <c r="DS15" s="53" t="str">
        <f>IF(Tim!LA17=Sheet6!$C$2,Sheet6!$C$2,IF(Tim!LA17=Sheet6!$C$3,Sheet6!$C$3,IF(Tim!LA17=Sheet6!$C$4,Sheet6!$C$4,IF(Tim!LA17=Sheet6!$C$5,Sheet6!$C$5,IF(Tim!LA17=Sheet6!$C$6,Sheet6!$C$6,IF(Tim!LA17=Sheet6!$C$7,Sheet6!$C$7,IF(Tim!LA17=Sheet6!$C$8,Sheet6!$C$8,"")))))))</f>
        <v/>
      </c>
      <c r="DT15" s="54" t="str">
        <f>IF(Tim!LB17=Sheet6!$C$2,Sheet6!$C$2,IF(Tim!LB17=Sheet6!$C$3,Sheet6!$C$3,IF(Tim!LB17=Sheet6!$C$4,Sheet6!$C$4,IF(Tim!LB17=Sheet6!$C$5,Sheet6!$C$5,IF(Tim!LB17=Sheet6!$C$6,Sheet6!$C$6,IF(Tim!LB17=Sheet6!$C$7,Sheet6!$C$7,IF(Tim!LB17=Sheet6!$C$8,Sheet6!$C$8,"")))))))</f>
        <v/>
      </c>
      <c r="DU15" s="54" t="str">
        <f>IF(Tim!LC17=Sheet6!$C$2,Sheet6!$C$2,IF(Tim!LC17=Sheet6!$C$3,Sheet6!$C$3,IF(Tim!LC17=Sheet6!$C$4,Sheet6!$C$4,IF(Tim!LC17=Sheet6!$C$5,Sheet6!$C$5,IF(Tim!LC17=Sheet6!$C$6,Sheet6!$C$6,IF(Tim!LC17=Sheet6!$C$7,Sheet6!$C$7,IF(Tim!LC17=Sheet6!$C$8,Sheet6!$C$8,"")))))))</f>
        <v/>
      </c>
      <c r="DV15" s="54" t="str">
        <f>IF(Tim!LD17=Sheet6!$C$2,Sheet6!$C$2,IF(Tim!LD17=Sheet6!$C$3,Sheet6!$C$3,IF(Tim!LD17=Sheet6!$C$4,Sheet6!$C$4,IF(Tim!LD17=Sheet6!$C$5,Sheet6!$C$5,IF(Tim!LD17=Sheet6!$C$6,Sheet6!$C$6,IF(Tim!LD17=Sheet6!$C$7,Sheet6!$C$7,IF(Tim!LD17=Sheet6!$C$8,Sheet6!$C$8,"")))))))</f>
        <v/>
      </c>
      <c r="DW15" s="55" t="str">
        <f>IF(Tim!LE17=Sheet6!$C$2,Sheet6!$C$2,IF(Tim!LE17=Sheet6!$C$3,Sheet6!$C$3,IF(Tim!LE17=Sheet6!$C$4,Sheet6!$C$4,IF(Tim!LE17=Sheet6!$C$5,Sheet6!$C$5,IF(Tim!LE17=Sheet6!$C$6,Sheet6!$C$6,IF(Tim!LE17=Sheet6!$C$7,Sheet6!$C$7,IF(Tim!LE17=Sheet6!$C$8,Sheet6!$C$8,"")))))))</f>
        <v/>
      </c>
      <c r="DX15" s="52">
        <v>0.39583333333333298</v>
      </c>
    </row>
    <row r="16" spans="2:128" ht="10.5" customHeight="1">
      <c r="B16" s="51">
        <v>0.25</v>
      </c>
      <c r="C16" s="51">
        <v>0.25</v>
      </c>
      <c r="D16" s="51">
        <v>0.25</v>
      </c>
      <c r="E16" s="52">
        <v>0.40625</v>
      </c>
      <c r="F16" s="53" t="str">
        <f>IF(Tim!F18=Sheet6!$C$2,Sheet6!$C$2,IF(Tim!F18=Sheet6!$C$3,Sheet6!$C$3,IF(Tim!F18=Sheet6!$C$4,Sheet6!$C$4,IF(Tim!F18=Sheet6!$C$5,Sheet6!$C$5,IF(Tim!F18=Sheet6!$C$6,Sheet6!$C$6,IF(Tim!F18=Sheet6!$C$7,Sheet6!$C$7,IF(Tim!F18=Sheet6!$C$8,Sheet6!$C$8,"")))))))</f>
        <v/>
      </c>
      <c r="G16" s="53" t="str">
        <f>IF(Tim!G18=Sheet6!$C$2,Sheet6!$C$2,IF(Tim!G18=Sheet6!$C$3,Sheet6!$C$3,IF(Tim!G18=Sheet6!$C$4,Sheet6!$C$4,IF(Tim!G18=Sheet6!$C$5,Sheet6!$C$5,IF(Tim!G18=Sheet6!$C$6,Sheet6!$C$6,IF(Tim!G18=Sheet6!$C$7,Sheet6!$C$7,IF(Tim!G18=Sheet6!$C$8,Sheet6!$C$8,"")))))))</f>
        <v/>
      </c>
      <c r="H16" s="53" t="str">
        <f>IF(Tim!H18=Sheet6!$C$2,Sheet6!$C$2,IF(Tim!H18=Sheet6!$C$3,Sheet6!$C$3,IF(Tim!H18=Sheet6!$C$4,Sheet6!$C$4,IF(Tim!H18=Sheet6!$C$5,Sheet6!$C$5,IF(Tim!H18=Sheet6!$C$6,Sheet6!$C$6,IF(Tim!H18=Sheet6!$C$7,Sheet6!$C$7,IF(Tim!H18=Sheet6!$C$8,Sheet6!$C$8,"")))))))</f>
        <v/>
      </c>
      <c r="I16" s="53" t="str">
        <f>IF(Tim!L18=Sheet6!$C$2,Sheet6!$C$2,IF(Tim!L18=Sheet6!$C$3,Sheet6!$C$3,IF(Tim!L18=Sheet6!$C$4,Sheet6!$C$4,IF(Tim!L18=Sheet6!$C$5,Sheet6!$C$5,IF(Tim!L18=Sheet6!$C$6,Sheet6!$C$6,IF(Tim!L18=Sheet6!$C$7,Sheet6!$C$7,IF(Tim!L18=Sheet6!$C$8,Sheet6!$C$8,"")))))))</f>
        <v/>
      </c>
      <c r="J16" s="53" t="str">
        <f>IF(Tim!T18=Sheet6!$C$2,Sheet6!$C$2,IF(Tim!T18=Sheet6!$C$3,Sheet6!$C$3,IF(Tim!T18=Sheet6!$C$4,Sheet6!$C$4,IF(Tim!T18=Sheet6!$C$5,Sheet6!$C$5,IF(Tim!T18=Sheet6!$C$6,Sheet6!$C$6,IF(Tim!T18=Sheet6!$C$7,Sheet6!$C$7,IF(Tim!T18=Sheet6!$C$8,Sheet6!$C$8,"")))))))</f>
        <v/>
      </c>
      <c r="K16" s="53" t="str">
        <f>IF(Tim!AB18=Sheet6!$C$2,Sheet6!$C$2,IF(Tim!AB18=Sheet6!$C$3,Sheet6!$C$3,IF(Tim!AB18=Sheet6!$C$4,Sheet6!$C$4,IF(Tim!AB18=Sheet6!$C$5,Sheet6!$C$5,IF(Tim!AB18=Sheet6!$C$6,Sheet6!$C$6,IF(Tim!AB18=Sheet6!$C$7,Sheet6!$C$7,IF(Tim!AB18=Sheet6!$C$8,Sheet6!$C$8,"")))))))</f>
        <v/>
      </c>
      <c r="L16" s="181" t="str">
        <f>IF(Tim!AC18=Sheet6!$C$2,Sheet6!$C$2,IF(Tim!AC18=Sheet6!$C$3,Sheet6!$C$3,IF(Tim!AC18=Sheet6!$C$4,Sheet6!$C$4,IF(Tim!AC18=Sheet6!$C$5,Sheet6!$C$5,IF(Tim!AC18=Sheet6!$C$6,Sheet6!$C$6,IF(Tim!AC18=Sheet6!$C$7,Sheet6!$C$7,IF(Tim!AC18=Sheet6!$C$8,Sheet6!$C$8,"")))))))</f>
        <v/>
      </c>
      <c r="M16" s="181" t="str">
        <f>IF(Tim!AJ18=Sheet6!$C$2,Sheet6!$C$2,IF(Tim!AJ18=Sheet6!$C$3,Sheet6!$C$3,IF(Tim!AJ18=Sheet6!$C$4,Sheet6!$C$4,IF(Tim!AJ18=Sheet6!$C$5,Sheet6!$C$5,IF(Tim!AJ18=Sheet6!$C$6,Sheet6!$C$6,IF(Tim!AJ18=Sheet6!$C$7,Sheet6!$C$7,IF(Tim!AJ18=Sheet6!$C$8,Sheet6!$C$8,"")))))))</f>
        <v/>
      </c>
      <c r="N16" s="181" t="str">
        <f>IF(Tim!AK18=Sheet6!$C$2,Sheet6!$C$2,IF(Tim!AK18=Sheet6!$C$3,Sheet6!$C$3,IF(Tim!AK18=Sheet6!$C$4,Sheet6!$C$4,IF(Tim!AK18=Sheet6!$C$5,Sheet6!$C$5,IF(Tim!AK18=Sheet6!$C$6,Sheet6!$C$6,IF(Tim!AK18=Sheet6!$C$7,Sheet6!$C$7,IF(Tim!AK18=Sheet6!$C$8,Sheet6!$C$8,"")))))))</f>
        <v/>
      </c>
      <c r="O16" s="53" t="str">
        <f>IF(Tim!AL18=Sheet6!$C$2,Sheet6!$C$2,IF(Tim!AL18=Sheet6!$C$3,Sheet6!$C$3,IF(Tim!AL18=Sheet6!$C$4,Sheet6!$C$4,IF(Tim!AL18=Sheet6!$C$5,Sheet6!$C$5,IF(Tim!AL18=Sheet6!$C$6,Sheet6!$C$6,IF(Tim!AL18=Sheet6!$C$7,Sheet6!$C$7,IF(Tim!AL18=Sheet6!$C$8,Sheet6!$C$8,"")))))))</f>
        <v/>
      </c>
      <c r="P16" s="53" t="str">
        <f>IF(Tim!AN18=Sheet6!$C$2,Sheet6!$C$2,IF(Tim!AN18=Sheet6!$C$3,Sheet6!$C$3,IF(Tim!AN18=Sheet6!$C$4,Sheet6!$C$4,IF(Tim!AN18=Sheet6!$C$5,Sheet6!$C$5,IF(Tim!AN18=Sheet6!$C$6,Sheet6!$C$6,IF(Tim!AN18=Sheet6!$C$7,Sheet6!$C$7,IF(Tim!AN18=Sheet6!$C$8,Sheet6!$C$8,"")))))))</f>
        <v/>
      </c>
      <c r="Q16" s="53" t="str">
        <f>IF(Tim!AO18=Sheet6!$C$2,Sheet6!$C$2,IF(Tim!AO18=Sheet6!$C$3,Sheet6!$C$3,IF(Tim!AO18=Sheet6!$C$4,Sheet6!$C$4,IF(Tim!AO18=Sheet6!$C$5,Sheet6!$C$5,IF(Tim!AO18=Sheet6!$C$6,Sheet6!$C$6,IF(Tim!AO18=Sheet6!$C$7,Sheet6!$C$7,IF(Tim!AO18=Sheet6!$C$8,Sheet6!$C$8,"")))))))</f>
        <v/>
      </c>
      <c r="R16" s="53" t="str">
        <f>IF(Tim!AP18=Sheet6!$C$2,Sheet6!$C$2,IF(Tim!AP18=Sheet6!$C$3,Sheet6!$C$3,IF(Tim!AP18=Sheet6!$C$4,Sheet6!$C$4,IF(Tim!AP18=Sheet6!$C$5,Sheet6!$C$5,IF(Tim!AP18=Sheet6!$C$6,Sheet6!$C$6,IF(Tim!AP18=Sheet6!$C$7,Sheet6!$C$7,IF(Tim!AP18=Sheet6!$C$8,Sheet6!$C$8,"")))))))</f>
        <v/>
      </c>
      <c r="S16" s="53" t="str">
        <f>IF(Tim!AT18=Sheet6!$C$2,Sheet6!$C$2,IF(Tim!AT18=Sheet6!$C$3,Sheet6!$C$3,IF(Tim!AT18=Sheet6!$C$4,Sheet6!$C$4,IF(Tim!AT18=Sheet6!$C$5,Sheet6!$C$5,IF(Tim!AT18=Sheet6!$C$6,Sheet6!$C$6,IF(Tim!AT18=Sheet6!$C$7,Sheet6!$C$7,IF(Tim!AT18=Sheet6!$C$8,Sheet6!$C$8,"")))))))</f>
        <v/>
      </c>
      <c r="T16" s="54" t="str">
        <f>IF(Tim!AU18=Sheet6!$C$2,Sheet6!$C$2,IF(Tim!AU18=Sheet6!$C$3,Sheet6!$C$3,IF(Tim!AU18=Sheet6!$C$4,Sheet6!$C$4,IF(Tim!AU18=Sheet6!$C$5,Sheet6!$C$5,IF(Tim!AU18=Sheet6!$C$6,Sheet6!$C$6,IF(Tim!AU18=Sheet6!$C$7,Sheet6!$C$7,IF(Tim!AU18=Sheet6!$C$8,Sheet6!$C$8,"")))))))</f>
        <v/>
      </c>
      <c r="U16" s="54" t="str">
        <f>IF(Tim!AV18=Sheet6!$C$2,Sheet6!$C$2,IF(Tim!AV18=Sheet6!$C$3,Sheet6!$C$3,IF(Tim!AV18=Sheet6!$C$4,Sheet6!$C$4,IF(Tim!AV18=Sheet6!$C$5,Sheet6!$C$5,IF(Tim!AV18=Sheet6!$C$6,Sheet6!$C$6,IF(Tim!AV18=Sheet6!$C$7,Sheet6!$C$7,IF(Tim!AV18=Sheet6!$C$8,Sheet6!$C$8,"")))))))</f>
        <v/>
      </c>
      <c r="V16" s="54" t="str">
        <f>IF(Tim!AW18=Sheet6!$C$2,Sheet6!$C$2,IF(Tim!AW18=Sheet6!$C$3,Sheet6!$C$3,IF(Tim!AW18=Sheet6!$C$4,Sheet6!$C$4,IF(Tim!AW18=Sheet6!$C$5,Sheet6!$C$5,IF(Tim!AW18=Sheet6!$C$6,Sheet6!$C$6,IF(Tim!AW18=Sheet6!$C$7,Sheet6!$C$7,IF(Tim!AW18=Sheet6!$C$8,Sheet6!$C$8,"")))))))</f>
        <v/>
      </c>
      <c r="W16" s="55" t="str">
        <f>IF(Tim!AX18=Sheet6!$C$2,Sheet6!$C$2,IF(Tim!AX18=Sheet6!$C$3,Sheet6!$C$3,IF(Tim!AX18=Sheet6!$C$4,Sheet6!$C$4,IF(Tim!AX18=Sheet6!$C$5,Sheet6!$C$5,IF(Tim!AX18=Sheet6!$C$6,Sheet6!$C$6,IF(Tim!AX18=Sheet6!$C$7,Sheet6!$C$7,IF(Tim!AX18=Sheet6!$C$8,Sheet6!$C$8,"")))))))</f>
        <v/>
      </c>
      <c r="X16" s="53" t="str">
        <f>IF(Tim!AY18=Sheet6!$C$2,Sheet6!$C$2,IF(Tim!AY18=Sheet6!$C$3,Sheet6!$C$3,IF(Tim!AY18=Sheet6!$C$4,Sheet6!$C$4,IF(Tim!AY18=Sheet6!$C$5,Sheet6!$C$5,IF(Tim!AY18=Sheet6!$C$6,Sheet6!$C$6,IF(Tim!AY18=Sheet6!$C$7,Sheet6!$C$7,IF(Tim!AY18=Sheet6!$C$8,Sheet6!$C$8,"")))))))</f>
        <v/>
      </c>
      <c r="Y16" s="57" t="str">
        <f>IF(Tim!AZ18=Sheet6!$C$2,Sheet6!$C$2,IF(Tim!AZ18=Sheet6!$C$3,Sheet6!$C$3,IF(Tim!AZ18=Sheet6!$C$4,Sheet6!$C$4,IF(Tim!AZ18=Sheet6!$C$5,Sheet6!$C$5,IF(Tim!AZ18=Sheet6!$C$6,Sheet6!$C$6,IF(Tim!AZ18=Sheet6!$C$7,Sheet6!$C$7,IF(Tim!AZ18=Sheet6!$C$8,Sheet6!$C$8,"")))))))</f>
        <v/>
      </c>
      <c r="Z16" s="57" t="str">
        <f>IF(Tim!BD18=Sheet6!$C$2,Sheet6!$C$2,IF(Tim!BD18=Sheet6!$C$3,Sheet6!$C$3,IF(Tim!BD18=Sheet6!$C$4,Sheet6!$C$4,IF(Tim!BD18=Sheet6!$C$5,Sheet6!$C$5,IF(Tim!BD18=Sheet6!$C$6,Sheet6!$C$6,IF(Tim!BD18=Sheet6!$C$7,Sheet6!$C$7,IF(Tim!BD18=Sheet6!$C$8,Sheet6!$C$8,"")))))))</f>
        <v/>
      </c>
      <c r="AA16" s="57" t="str">
        <f>IF(Tim!BE18=Sheet6!$C$2,Sheet6!$C$2,IF(Tim!BE18=Sheet6!$C$3,Sheet6!$C$3,IF(Tim!BE18=Sheet6!$C$4,Sheet6!$C$4,IF(Tim!BE18=Sheet6!$C$5,Sheet6!$C$5,IF(Tim!BE18=Sheet6!$C$6,Sheet6!$C$6,IF(Tim!BE18=Sheet6!$C$7,Sheet6!$C$7,IF(Tim!BE18=Sheet6!$C$8,Sheet6!$C$8,"")))))))</f>
        <v/>
      </c>
      <c r="AB16" s="57" t="str">
        <f>IF(Tim!BL18=Sheet6!$C$2,Sheet6!$C$2,IF(Tim!BL18=Sheet6!$C$3,Sheet6!$C$3,IF(Tim!BL18=Sheet6!$C$4,Sheet6!$C$4,IF(Tim!BL18=Sheet6!$C$5,Sheet6!$C$5,IF(Tim!BL18=Sheet6!$C$6,Sheet6!$C$6,IF(Tim!BL18=Sheet6!$C$7,Sheet6!$C$7,IF(Tim!BL18=Sheet6!$C$8,Sheet6!$C$8,"")))))))</f>
        <v/>
      </c>
      <c r="AC16" s="53" t="str">
        <f>IF(Tim!BT18=Sheet6!$C$2,Sheet6!$C$2,IF(Tim!BT18=Sheet6!$C$3,Sheet6!$C$3,IF(Tim!BT18=Sheet6!$C$4,Sheet6!$C$4,IF(Tim!BT18=Sheet6!$C$5,Sheet6!$C$5,IF(Tim!BT18=Sheet6!$C$6,Sheet6!$C$6,IF(Tim!BT18=Sheet6!$C$7,Sheet6!$C$7,IF(Tim!BT18=Sheet6!$C$8,Sheet6!$C$8,"")))))))</f>
        <v/>
      </c>
      <c r="AD16" s="181" t="str">
        <f>IF(Tim!BU18=Sheet6!$C$2,Sheet6!$C$2,IF(Tim!BU18=Sheet6!$C$3,Sheet6!$C$3,IF(Tim!BU18=Sheet6!$C$4,Sheet6!$C$4,IF(Tim!BU18=Sheet6!$C$5,Sheet6!$C$5,IF(Tim!BU18=Sheet6!$C$6,Sheet6!$C$6,IF(Tim!BU18=Sheet6!$C$7,Sheet6!$C$7,IF(Tim!BU18=Sheet6!$C$8,Sheet6!$C$8,"")))))))</f>
        <v/>
      </c>
      <c r="AE16" s="181" t="str">
        <f>IF(Tim!CB18=Sheet6!$C$2,Sheet6!$C$2,IF(Tim!CB18=Sheet6!$C$3,Sheet6!$C$3,IF(Tim!CB18=Sheet6!$C$4,Sheet6!$C$4,IF(Tim!CB18=Sheet6!$C$5,Sheet6!$C$5,IF(Tim!CB18=Sheet6!$C$6,Sheet6!$C$6,IF(Tim!CB18=Sheet6!$C$7,Sheet6!$C$7,IF(Tim!CB18=Sheet6!$C$8,Sheet6!$C$8,"")))))))</f>
        <v/>
      </c>
      <c r="AF16" s="181" t="str">
        <f>IF(Tim!CD18=Sheet6!$C$2,Sheet6!$C$2,IF(Tim!CD18=Sheet6!$C$3,Sheet6!$C$3,IF(Tim!CD18=Sheet6!$C$4,Sheet6!$C$4,IF(Tim!CD18=Sheet6!$C$5,Sheet6!$C$5,IF(Tim!CD18=Sheet6!$C$6,Sheet6!$C$6,IF(Tim!CD18=Sheet6!$C$7,Sheet6!$C$7,IF(Tim!CD18=Sheet6!$C$8,Sheet6!$C$8,"")))))))</f>
        <v/>
      </c>
      <c r="AG16" s="53" t="str">
        <f>IF(Tim!CE18=Sheet6!$C$2,Sheet6!$C$2,IF(Tim!CE18=Sheet6!$C$3,Sheet6!$C$3,IF(Tim!CE18=Sheet6!$C$4,Sheet6!$C$4,IF(Tim!CE18=Sheet6!$C$5,Sheet6!$C$5,IF(Tim!CE18=Sheet6!$C$6,Sheet6!$C$6,IF(Tim!CE18=Sheet6!$C$7,Sheet6!$C$7,IF(Tim!CE18=Sheet6!$C$8,Sheet6!$C$8,"")))))))</f>
        <v/>
      </c>
      <c r="AH16" s="53" t="str">
        <f>IF(Tim!CF18=Sheet6!$C$2,Sheet6!$C$2,IF(Tim!CF18=Sheet6!$C$3,Sheet6!$C$3,IF(Tim!CF18=Sheet6!$C$4,Sheet6!$C$4,IF(Tim!CF18=Sheet6!$C$5,Sheet6!$C$5,IF(Tim!CF18=Sheet6!$C$6,Sheet6!$C$6,IF(Tim!CF18=Sheet6!$C$7,Sheet6!$C$7,IF(Tim!CF18=Sheet6!$C$8,Sheet6!$C$8,"")))))))</f>
        <v/>
      </c>
      <c r="AI16" s="53" t="str">
        <f>IF(Tim!CG18=Sheet6!$C$2,Sheet6!$C$2,IF(Tim!CG18=Sheet6!$C$3,Sheet6!$C$3,IF(Tim!CG18=Sheet6!$C$4,Sheet6!$C$4,IF(Tim!CG18=Sheet6!$C$5,Sheet6!$C$5,IF(Tim!CG18=Sheet6!$C$6,Sheet6!$C$6,IF(Tim!CG18=Sheet6!$C$7,Sheet6!$C$7,IF(Tim!CG18=Sheet6!$C$8,Sheet6!$C$8,"")))))))</f>
        <v/>
      </c>
      <c r="AJ16" s="53" t="str">
        <f>IF(Tim!CH18=Sheet6!$C$2,Sheet6!$C$2,IF(Tim!CH18=Sheet6!$C$3,Sheet6!$C$3,IF(Tim!CH18=Sheet6!$C$4,Sheet6!$C$4,IF(Tim!CH18=Sheet6!$C$5,Sheet6!$C$5,IF(Tim!CH18=Sheet6!$C$6,Sheet6!$C$6,IF(Tim!CH18=Sheet6!$C$7,Sheet6!$C$7,IF(Tim!CH18=Sheet6!$C$8,Sheet6!$C$8,"")))))))</f>
        <v/>
      </c>
      <c r="AK16" s="53" t="str">
        <f>IF(Tim!CL18=Sheet6!$C$2,Sheet6!$C$2,IF(Tim!CL18=Sheet6!$C$3,Sheet6!$C$3,IF(Tim!CL18=Sheet6!$C$4,Sheet6!$C$4,IF(Tim!CL18=Sheet6!$C$5,Sheet6!$C$5,IF(Tim!CL18=Sheet6!$C$6,Sheet6!$C$6,IF(Tim!CL18=Sheet6!$C$7,Sheet6!$C$7,IF(Tim!CL18=Sheet6!$C$8,Sheet6!$C$8,"")))))))</f>
        <v/>
      </c>
      <c r="AL16" s="54" t="str">
        <f>IF(Tim!CM18=Sheet6!$C$2,Sheet6!$C$2,IF(Tim!CM18=Sheet6!$C$3,Sheet6!$C$3,IF(Tim!CM18=Sheet6!$C$4,Sheet6!$C$4,IF(Tim!CM18=Sheet6!$C$5,Sheet6!$C$5,IF(Tim!CM18=Sheet6!$C$6,Sheet6!$C$6,IF(Tim!CM18=Sheet6!$C$7,Sheet6!$C$7,IF(Tim!CM18=Sheet6!$C$8,Sheet6!$C$8,"")))))))</f>
        <v/>
      </c>
      <c r="AM16" s="54" t="str">
        <f>IF(Tim!CN18=Sheet6!$C$2,Sheet6!$C$2,IF(Tim!CN18=Sheet6!$C$3,Sheet6!$C$3,IF(Tim!CN18=Sheet6!$C$4,Sheet6!$C$4,IF(Tim!CN18=Sheet6!$C$5,Sheet6!$C$5,IF(Tim!CN18=Sheet6!$C$6,Sheet6!$C$6,IF(Tim!CN18=Sheet6!$C$7,Sheet6!$C$7,IF(Tim!CN18=Sheet6!$C$8,Sheet6!$C$8,"")))))))</f>
        <v/>
      </c>
      <c r="AN16" s="54" t="str">
        <f>IF(Tim!CO18=Sheet6!$C$2,Sheet6!$C$2,IF(Tim!CO18=Sheet6!$C$3,Sheet6!$C$3,IF(Tim!CO18=Sheet6!$C$4,Sheet6!$C$4,IF(Tim!CO18=Sheet6!$C$5,Sheet6!$C$5,IF(Tim!CO18=Sheet6!$C$6,Sheet6!$C$6,IF(Tim!CO18=Sheet6!$C$7,Sheet6!$C$7,IF(Tim!CO18=Sheet6!$C$8,Sheet6!$C$8,"")))))))</f>
        <v/>
      </c>
      <c r="AO16" s="55" t="str">
        <f>IF(Tim!CP18=Sheet6!$C$2,Sheet6!$C$2,IF(Tim!CP18=Sheet6!$C$3,Sheet6!$C$3,IF(Tim!CP18=Sheet6!$C$4,Sheet6!$C$4,IF(Tim!CP18=Sheet6!$C$5,Sheet6!$C$5,IF(Tim!CP18=Sheet6!$C$6,Sheet6!$C$6,IF(Tim!CP18=Sheet6!$C$7,Sheet6!$C$7,IF(Tim!CP18=Sheet6!$C$8,Sheet6!$C$8,"")))))))</f>
        <v/>
      </c>
      <c r="AP16" s="53" t="str">
        <f>IF(Tim!CQ18=Sheet6!$C$2,Sheet6!$C$2,IF(Tim!CQ18=Sheet6!$C$3,Sheet6!$C$3,IF(Tim!CQ18=Sheet6!$C$4,Sheet6!$C$4,IF(Tim!CQ18=Sheet6!$C$5,Sheet6!$C$5,IF(Tim!CQ18=Sheet6!$C$6,Sheet6!$C$6,IF(Tim!CQ18=Sheet6!$C$7,Sheet6!$C$7,IF(Tim!CQ18=Sheet6!$C$8,Sheet6!$C$8,"")))))))</f>
        <v/>
      </c>
      <c r="AQ16" s="57" t="str">
        <f>IF(Tim!CR18=Sheet6!$C$2,Sheet6!$C$2,IF(Tim!CR18=Sheet6!$C$3,Sheet6!$C$3,IF(Tim!CR18=Sheet6!$C$4,Sheet6!$C$4,IF(Tim!CR18=Sheet6!$C$5,Sheet6!$C$5,IF(Tim!CR18=Sheet6!$C$6,Sheet6!$C$6,IF(Tim!CR18=Sheet6!$C$7,Sheet6!$C$7,IF(Tim!CR18=Sheet6!$C$8,Sheet6!$C$8,"")))))))</f>
        <v/>
      </c>
      <c r="AR16" s="57" t="str">
        <f>IF(Tim!CV18=Sheet6!$C$2,Sheet6!$C$2,IF(Tim!CV18=Sheet6!$C$3,Sheet6!$C$3,IF(Tim!CV18=Sheet6!$C$4,Sheet6!$C$4,IF(Tim!CV18=Sheet6!$C$5,Sheet6!$C$5,IF(Tim!CV18=Sheet6!$C$6,Sheet6!$C$6,IF(Tim!CV18=Sheet6!$C$7,Sheet6!$C$7,IF(Tim!CV18=Sheet6!$C$8,Sheet6!$C$8,"")))))))</f>
        <v/>
      </c>
      <c r="AS16" s="57" t="str">
        <f>IF(Tim!CW18=Sheet6!$C$2,Sheet6!$C$2,IF(Tim!CW18=Sheet6!$C$3,Sheet6!$C$3,IF(Tim!CW18=Sheet6!$C$4,Sheet6!$C$4,IF(Tim!CW18=Sheet6!$C$5,Sheet6!$C$5,IF(Tim!CW18=Sheet6!$C$6,Sheet6!$C$6,IF(Tim!CW18=Sheet6!$C$7,Sheet6!$C$7,IF(Tim!CW18=Sheet6!$C$8,Sheet6!$C$8,"")))))))</f>
        <v/>
      </c>
      <c r="AT16" s="57" t="str">
        <f>IF(Tim!DA18=Sheet6!$C$2,Sheet6!$C$2,IF(Tim!DA18=Sheet6!$C$3,Sheet6!$C$3,IF(Tim!DA18=Sheet6!$C$4,Sheet6!$C$4,IF(Tim!DA18=Sheet6!$C$5,Sheet6!$C$5,IF(Tim!DA18=Sheet6!$C$6,Sheet6!$C$6,IF(Tim!DA18=Sheet6!$C$7,Sheet6!$C$7,IF(Tim!DA18=Sheet6!$C$8,Sheet6!$C$8,"")))))))</f>
        <v/>
      </c>
      <c r="AU16" s="53" t="str">
        <f>IF(Tim!DO18=Sheet6!$C$2,Sheet6!$C$2,IF(Tim!DO18=Sheet6!$C$3,Sheet6!$C$3,IF(Tim!DO18=Sheet6!$C$4,Sheet6!$C$4,IF(Tim!DO18=Sheet6!$C$5,Sheet6!$C$5,IF(Tim!DO18=Sheet6!$C$6,Sheet6!$C$6,IF(Tim!DO18=Sheet6!$C$7,Sheet6!$C$7,IF(Tim!DO18=Sheet6!$C$8,Sheet6!$C$8,"")))))))</f>
        <v/>
      </c>
      <c r="AV16" s="181" t="str">
        <f>IF(Tim!DP18=Sheet6!$C$2,Sheet6!$C$2,IF(Tim!DP18=Sheet6!$C$3,Sheet6!$C$3,IF(Tim!DP18=Sheet6!$C$4,Sheet6!$C$4,IF(Tim!DP18=Sheet6!$C$5,Sheet6!$C$5,IF(Tim!DP18=Sheet6!$C$6,Sheet6!$C$6,IF(Tim!DP18=Sheet6!$C$7,Sheet6!$C$7,IF(Tim!DP18=Sheet6!$C$8,Sheet6!$C$8,"")))))))</f>
        <v/>
      </c>
      <c r="AW16" s="181" t="str">
        <f>IF(Tim!DX18=Sheet6!$C$2,Sheet6!$C$2,IF(Tim!DX18=Sheet6!$C$3,Sheet6!$C$3,IF(Tim!DX18=Sheet6!$C$4,Sheet6!$C$4,IF(Tim!DX18=Sheet6!$C$5,Sheet6!$C$5,IF(Tim!DX18=Sheet6!$C$6,Sheet6!$C$6,IF(Tim!DX18=Sheet6!$C$7,Sheet6!$C$7,IF(Tim!DX18=Sheet6!$C$8,Sheet6!$C$8,"")))))))</f>
        <v/>
      </c>
      <c r="AX16" s="181" t="str">
        <f>IF(Tim!DY18=Sheet6!$C$2,Sheet6!$C$2,IF(Tim!DY18=Sheet6!$C$3,Sheet6!$C$3,IF(Tim!DY18=Sheet6!$C$4,Sheet6!$C$4,IF(Tim!DY18=Sheet6!$C$5,Sheet6!$C$5,IF(Tim!DY18=Sheet6!$C$6,Sheet6!$C$6,IF(Tim!DY18=Sheet6!$C$7,Sheet6!$C$7,IF(Tim!DY18=Sheet6!$C$8,Sheet6!$C$8,"")))))))</f>
        <v/>
      </c>
      <c r="AY16" s="53" t="str">
        <f>IF(Tim!DZ18=Sheet6!$C$2,Sheet6!$C$2,IF(Tim!DZ18=Sheet6!$C$3,Sheet6!$C$3,IF(Tim!DZ18=Sheet6!$C$4,Sheet6!$C$4,IF(Tim!DZ18=Sheet6!$C$5,Sheet6!$C$5,IF(Tim!DZ18=Sheet6!$C$6,Sheet6!$C$6,IF(Tim!DZ18=Sheet6!$C$7,Sheet6!$C$7,IF(Tim!DZ18=Sheet6!$C$8,Sheet6!$C$8,"")))))))</f>
        <v/>
      </c>
      <c r="AZ16" s="53" t="str">
        <f>IF(Tim!EA18=Sheet6!$C$2,Sheet6!$C$2,IF(Tim!EA18=Sheet6!$C$3,Sheet6!$C$3,IF(Tim!EA18=Sheet6!$C$4,Sheet6!$C$4,IF(Tim!EA18=Sheet6!$C$5,Sheet6!$C$5,IF(Tim!EA18=Sheet6!$C$6,Sheet6!$C$6,IF(Tim!EA18=Sheet6!$C$7,Sheet6!$C$7,IF(Tim!EA18=Sheet6!$C$8,Sheet6!$C$8,"")))))))</f>
        <v/>
      </c>
      <c r="BA16" s="53" t="str">
        <f>IF(Tim!EB18=Sheet6!$C$2,Sheet6!$C$2,IF(Tim!EB18=Sheet6!$C$3,Sheet6!$C$3,IF(Tim!EB18=Sheet6!$C$4,Sheet6!$C$4,IF(Tim!EB18=Sheet6!$C$5,Sheet6!$C$5,IF(Tim!EB18=Sheet6!$C$6,Sheet6!$C$6,IF(Tim!EB18=Sheet6!$C$7,Sheet6!$C$7,IF(Tim!EB18=Sheet6!$C$8,Sheet6!$C$8,"")))))))</f>
        <v/>
      </c>
      <c r="BB16" s="53" t="str">
        <f>IF(Tim!EC18=Sheet6!$C$2,Sheet6!$C$2,IF(Tim!EC18=Sheet6!$C$3,Sheet6!$C$3,IF(Tim!EC18=Sheet6!$C$4,Sheet6!$C$4,IF(Tim!EC18=Sheet6!$C$5,Sheet6!$C$5,IF(Tim!EC18=Sheet6!$C$6,Sheet6!$C$6,IF(Tim!EC18=Sheet6!$C$7,Sheet6!$C$7,IF(Tim!EC18=Sheet6!$C$8,Sheet6!$C$8,"")))))))</f>
        <v/>
      </c>
      <c r="BC16" s="53" t="str">
        <f>IF(Tim!EG18=Sheet6!$C$2,Sheet6!$C$2,IF(Tim!EG18=Sheet6!$C$3,Sheet6!$C$3,IF(Tim!EG18=Sheet6!$C$4,Sheet6!$C$4,IF(Tim!EG18=Sheet6!$C$5,Sheet6!$C$5,IF(Tim!EG18=Sheet6!$C$6,Sheet6!$C$6,IF(Tim!EG18=Sheet6!$C$7,Sheet6!$C$7,IF(Tim!EG18=Sheet6!$C$8,Sheet6!$C$8,"")))))))</f>
        <v/>
      </c>
      <c r="BD16" s="54" t="str">
        <f>IF(Tim!EH18=Sheet6!$C$2,Sheet6!$C$2,IF(Tim!EH18=Sheet6!$C$3,Sheet6!$C$3,IF(Tim!EH18=Sheet6!$C$4,Sheet6!$C$4,IF(Tim!EH18=Sheet6!$C$5,Sheet6!$C$5,IF(Tim!EH18=Sheet6!$C$6,Sheet6!$C$6,IF(Tim!EH18=Sheet6!$C$7,Sheet6!$C$7,IF(Tim!EH18=Sheet6!$C$8,Sheet6!$C$8,"")))))))</f>
        <v/>
      </c>
      <c r="BE16" s="54" t="str">
        <f>IF(Tim!EI18=Sheet6!$C$2,Sheet6!$C$2,IF(Tim!EI18=Sheet6!$C$3,Sheet6!$C$3,IF(Tim!EI18=Sheet6!$C$4,Sheet6!$C$4,IF(Tim!EI18=Sheet6!$C$5,Sheet6!$C$5,IF(Tim!EI18=Sheet6!$C$6,Sheet6!$C$6,IF(Tim!EI18=Sheet6!$C$7,Sheet6!$C$7,IF(Tim!EI18=Sheet6!$C$8,Sheet6!$C$8,"")))))))</f>
        <v/>
      </c>
      <c r="BF16" s="54" t="str">
        <f>IF(Tim!EJ18=Sheet6!$C$2,Sheet6!$C$2,IF(Tim!EJ18=Sheet6!$C$3,Sheet6!$C$3,IF(Tim!EJ18=Sheet6!$C$4,Sheet6!$C$4,IF(Tim!EJ18=Sheet6!$C$5,Sheet6!$C$5,IF(Tim!EJ18=Sheet6!$C$6,Sheet6!$C$6,IF(Tim!EJ18=Sheet6!$C$7,Sheet6!$C$7,IF(Tim!EJ18=Sheet6!$C$8,Sheet6!$C$8,"")))))))</f>
        <v/>
      </c>
      <c r="BG16" s="55" t="str">
        <f>IF(Tim!EK18=Sheet6!$C$2,Sheet6!$C$2,IF(Tim!EK18=Sheet6!$C$3,Sheet6!$C$3,IF(Tim!EK18=Sheet6!$C$4,Sheet6!$C$4,IF(Tim!EK18=Sheet6!$C$5,Sheet6!$C$5,IF(Tim!EK18=Sheet6!$C$6,Sheet6!$C$6,IF(Tim!EK18=Sheet6!$C$7,Sheet6!$C$7,IF(Tim!EK18=Sheet6!$C$8,Sheet6!$C$8,"")))))))</f>
        <v/>
      </c>
      <c r="BH16" s="53" t="str">
        <f>IF(Tim!EL18=Sheet6!$C$2,Sheet6!$C$2,IF(Tim!EL18=Sheet6!$C$3,Sheet6!$C$3,IF(Tim!EL18=Sheet6!$C$4,Sheet6!$C$4,IF(Tim!EL18=Sheet6!$C$5,Sheet6!$C$5,IF(Tim!EL18=Sheet6!$C$6,Sheet6!$C$6,IF(Tim!EL18=Sheet6!$C$7,Sheet6!$C$7,IF(Tim!EL18=Sheet6!$C$8,Sheet6!$C$8,"")))))))</f>
        <v/>
      </c>
      <c r="BI16" s="57" t="str">
        <f>IF(Tim!EM18=Sheet6!$C$2,Sheet6!$C$2,IF(Tim!EM18=Sheet6!$C$3,Sheet6!$C$3,IF(Tim!EM18=Sheet6!$C$4,Sheet6!$C$4,IF(Tim!EM18=Sheet6!$C$5,Sheet6!$C$5,IF(Tim!EM18=Sheet6!$C$6,Sheet6!$C$6,IF(Tim!EM18=Sheet6!$C$7,Sheet6!$C$7,IF(Tim!EM18=Sheet6!$C$8,Sheet6!$C$8,"")))))))</f>
        <v/>
      </c>
      <c r="BJ16" s="57" t="str">
        <f>IF(Tim!EQ18=Sheet6!$C$2,Sheet6!$C$2,IF(Tim!EQ18=Sheet6!$C$3,Sheet6!$C$3,IF(Tim!EQ18=Sheet6!$C$4,Sheet6!$C$4,IF(Tim!EQ18=Sheet6!$C$5,Sheet6!$C$5,IF(Tim!EQ18=Sheet6!$C$6,Sheet6!$C$6,IF(Tim!EQ18=Sheet6!$C$7,Sheet6!$C$7,IF(Tim!EQ18=Sheet6!$C$8,Sheet6!$C$8,"")))))))</f>
        <v/>
      </c>
      <c r="BK16" s="57" t="str">
        <f>IF(Tim!ER18=Sheet6!$C$2,Sheet6!$C$2,IF(Tim!ER18=Sheet6!$C$3,Sheet6!$C$3,IF(Tim!ER18=Sheet6!$C$4,Sheet6!$C$4,IF(Tim!ER18=Sheet6!$C$5,Sheet6!$C$5,IF(Tim!ER18=Sheet6!$C$6,Sheet6!$C$6,IF(Tim!ER18=Sheet6!$C$7,Sheet6!$C$7,IF(Tim!ER18=Sheet6!$C$8,Sheet6!$C$8,"")))))))</f>
        <v/>
      </c>
      <c r="BL16" s="57" t="str">
        <f>IF(Tim!EZ18=Sheet6!$C$2,Sheet6!$C$2,IF(Tim!EZ18=Sheet6!$C$3,Sheet6!$C$3,IF(Tim!EZ18=Sheet6!$C$4,Sheet6!$C$4,IF(Tim!EZ18=Sheet6!$C$5,Sheet6!$C$5,IF(Tim!EZ18=Sheet6!$C$6,Sheet6!$C$6,IF(Tim!EZ18=Sheet6!$C$7,Sheet6!$C$7,IF(Tim!EZ18=Sheet6!$C$8,Sheet6!$C$8,"")))))))</f>
        <v/>
      </c>
      <c r="BM16" s="53" t="str">
        <f>IF(Tim!FG18=Sheet6!$C$2,Sheet6!$C$2,IF(Tim!FG18=Sheet6!$C$3,Sheet6!$C$3,IF(Tim!FG18=Sheet6!$C$4,Sheet6!$C$4,IF(Tim!FG18=Sheet6!$C$5,Sheet6!$C$5,IF(Tim!FG18=Sheet6!$C$6,Sheet6!$C$6,IF(Tim!FG18=Sheet6!$C$7,Sheet6!$C$7,IF(Tim!FG18=Sheet6!$C$8,Sheet6!$C$8,"")))))))</f>
        <v/>
      </c>
      <c r="BN16" s="181" t="str">
        <f>IF(Tim!FH18=Sheet6!$C$2,Sheet6!$C$2,IF(Tim!FH18=Sheet6!$C$3,Sheet6!$C$3,IF(Tim!FH18=Sheet6!$C$4,Sheet6!$C$4,IF(Tim!FH18=Sheet6!$C$5,Sheet6!$C$5,IF(Tim!FH18=Sheet6!$C$6,Sheet6!$C$6,IF(Tim!FH18=Sheet6!$C$7,Sheet6!$C$7,IF(Tim!FH18=Sheet6!$C$8,Sheet6!$C$8,"")))))))</f>
        <v/>
      </c>
      <c r="BO16" s="181" t="str">
        <f>IF(Tim!FP18=Sheet6!$C$2,Sheet6!$C$2,IF(Tim!FP18=Sheet6!$C$3,Sheet6!$C$3,IF(Tim!FP18=Sheet6!$C$4,Sheet6!$C$4,IF(Tim!FP18=Sheet6!$C$5,Sheet6!$C$5,IF(Tim!FP18=Sheet6!$C$6,Sheet6!$C$6,IF(Tim!FP18=Sheet6!$C$7,Sheet6!$C$7,IF(Tim!FP18=Sheet6!$C$8,Sheet6!$C$8,"")))))))</f>
        <v/>
      </c>
      <c r="BP16" s="181" t="str">
        <f>IF(Tim!FQ18=Sheet6!$C$2,Sheet6!$C$2,IF(Tim!FQ18=Sheet6!$C$3,Sheet6!$C$3,IF(Tim!FQ18=Sheet6!$C$4,Sheet6!$C$4,IF(Tim!FQ18=Sheet6!$C$5,Sheet6!$C$5,IF(Tim!FQ18=Sheet6!$C$6,Sheet6!$C$6,IF(Tim!FQ18=Sheet6!$C$7,Sheet6!$C$7,IF(Tim!FQ18=Sheet6!$C$8,Sheet6!$C$8,"")))))))</f>
        <v/>
      </c>
      <c r="BQ16" s="53" t="str">
        <f>IF(Tim!FR18=Sheet6!$C$2,Sheet6!$C$2,IF(Tim!FR18=Sheet6!$C$3,Sheet6!$C$3,IF(Tim!FR18=Sheet6!$C$4,Sheet6!$C$4,IF(Tim!FR18=Sheet6!$C$5,Sheet6!$C$5,IF(Tim!FR18=Sheet6!$C$6,Sheet6!$C$6,IF(Tim!FR18=Sheet6!$C$7,Sheet6!$C$7,IF(Tim!FR18=Sheet6!$C$8,Sheet6!$C$8,"")))))))</f>
        <v/>
      </c>
      <c r="BR16" s="53" t="str">
        <f>IF(Tim!FS18=Sheet6!$C$2,Sheet6!$C$2,IF(Tim!FS18=Sheet6!$C$3,Sheet6!$C$3,IF(Tim!FS18=Sheet6!$C$4,Sheet6!$C$4,IF(Tim!FS18=Sheet6!$C$5,Sheet6!$C$5,IF(Tim!FS18=Sheet6!$C$6,Sheet6!$C$6,IF(Tim!FS18=Sheet6!$C$7,Sheet6!$C$7,IF(Tim!FS18=Sheet6!$C$8,Sheet6!$C$8,"")))))))</f>
        <v/>
      </c>
      <c r="BS16" s="53" t="str">
        <f>IF(Tim!FT18=Sheet6!$C$2,Sheet6!$C$2,IF(Tim!FT18=Sheet6!$C$3,Sheet6!$C$3,IF(Tim!FT18=Sheet6!$C$4,Sheet6!$C$4,IF(Tim!FT18=Sheet6!$C$5,Sheet6!$C$5,IF(Tim!FT18=Sheet6!$C$6,Sheet6!$C$6,IF(Tim!FT18=Sheet6!$C$7,Sheet6!$C$7,IF(Tim!FT18=Sheet6!$C$8,Sheet6!$C$8,"")))))))</f>
        <v/>
      </c>
      <c r="BT16" s="53" t="str">
        <f>IF(Tim!FU18=Sheet6!$C$2,Sheet6!$C$2,IF(Tim!FU18=Sheet6!$C$3,Sheet6!$C$3,IF(Tim!FU18=Sheet6!$C$4,Sheet6!$C$4,IF(Tim!FU18=Sheet6!$C$5,Sheet6!$C$5,IF(Tim!FU18=Sheet6!$C$6,Sheet6!$C$6,IF(Tim!FU18=Sheet6!$C$7,Sheet6!$C$7,IF(Tim!FU18=Sheet6!$C$8,Sheet6!$C$8,"")))))))</f>
        <v/>
      </c>
      <c r="BU16" s="53" t="str">
        <f>IF(Tim!FY18=Sheet6!$C$2,Sheet6!$C$2,IF(Tim!FY18=Sheet6!$C$3,Sheet6!$C$3,IF(Tim!FY18=Sheet6!$C$4,Sheet6!$C$4,IF(Tim!FY18=Sheet6!$C$5,Sheet6!$C$5,IF(Tim!FY18=Sheet6!$C$6,Sheet6!$C$6,IF(Tim!FY18=Sheet6!$C$7,Sheet6!$C$7,IF(Tim!FY18=Sheet6!$C$8,Sheet6!$C$8,"")))))))</f>
        <v/>
      </c>
      <c r="BV16" s="54" t="str">
        <f>IF(Tim!FZ18=Sheet6!$C$2,Sheet6!$C$2,IF(Tim!FZ18=Sheet6!$C$3,Sheet6!$C$3,IF(Tim!FZ18=Sheet6!$C$4,Sheet6!$C$4,IF(Tim!FZ18=Sheet6!$C$5,Sheet6!$C$5,IF(Tim!FZ18=Sheet6!$C$6,Sheet6!$C$6,IF(Tim!FZ18=Sheet6!$C$7,Sheet6!$C$7,IF(Tim!FZ18=Sheet6!$C$8,Sheet6!$C$8,"")))))))</f>
        <v/>
      </c>
      <c r="BW16" s="54" t="str">
        <f>IF(Tim!GA18=Sheet6!$C$2,Sheet6!$C$2,IF(Tim!GA18=Sheet6!$C$3,Sheet6!$C$3,IF(Tim!GA18=Sheet6!$C$4,Sheet6!$C$4,IF(Tim!GA18=Sheet6!$C$5,Sheet6!$C$5,IF(Tim!GA18=Sheet6!$C$6,Sheet6!$C$6,IF(Tim!GA18=Sheet6!$C$7,Sheet6!$C$7,IF(Tim!GA18=Sheet6!$C$8,Sheet6!$C$8,"")))))))</f>
        <v/>
      </c>
      <c r="BX16" s="54" t="str">
        <f>IF(Tim!GB18=Sheet6!$C$2,Sheet6!$C$2,IF(Tim!GB18=Sheet6!$C$3,Sheet6!$C$3,IF(Tim!GB18=Sheet6!$C$4,Sheet6!$C$4,IF(Tim!GB18=Sheet6!$C$5,Sheet6!$C$5,IF(Tim!GB18=Sheet6!$C$6,Sheet6!$C$6,IF(Tim!GB18=Sheet6!$C$7,Sheet6!$C$7,IF(Tim!GB18=Sheet6!$C$8,Sheet6!$C$8,"")))))))</f>
        <v/>
      </c>
      <c r="BY16" s="55" t="str">
        <f>IF(Tim!GC18=Sheet6!$C$2,Sheet6!$C$2,IF(Tim!GC18=Sheet6!$C$3,Sheet6!$C$3,IF(Tim!GC18=Sheet6!$C$4,Sheet6!$C$4,IF(Tim!GC18=Sheet6!$C$5,Sheet6!$C$5,IF(Tim!GC18=Sheet6!$C$6,Sheet6!$C$6,IF(Tim!GC18=Sheet6!$C$7,Sheet6!$C$7,IF(Tim!GC18=Sheet6!$C$8,Sheet6!$C$8,"")))))))</f>
        <v/>
      </c>
      <c r="BZ16" s="53" t="str">
        <f>IF(Tim!GD18=Sheet6!$C$2,Sheet6!$C$2,IF(Tim!GD18=Sheet6!$C$3,Sheet6!$C$3,IF(Tim!GD18=Sheet6!$C$4,Sheet6!$C$4,IF(Tim!GD18=Sheet6!$C$5,Sheet6!$C$5,IF(Tim!GD18=Sheet6!$C$6,Sheet6!$C$6,IF(Tim!GD18=Sheet6!$C$7,Sheet6!$C$7,IF(Tim!GD18=Sheet6!$C$8,Sheet6!$C$8,"")))))))</f>
        <v/>
      </c>
      <c r="CA16" s="57" t="str">
        <f>IF(Tim!GE18=Sheet6!$C$2,Sheet6!$C$2,IF(Tim!GE18=Sheet6!$C$3,Sheet6!$C$3,IF(Tim!GE18=Sheet6!$C$4,Sheet6!$C$4,IF(Tim!GE18=Sheet6!$C$5,Sheet6!$C$5,IF(Tim!GE18=Sheet6!$C$6,Sheet6!$C$6,IF(Tim!GE18=Sheet6!$C$7,Sheet6!$C$7,IF(Tim!GE18=Sheet6!$C$8,Sheet6!$C$8,"")))))))</f>
        <v/>
      </c>
      <c r="CB16" s="57" t="str">
        <f>IF(Tim!GI18=Sheet6!$C$2,Sheet6!$C$2,IF(Tim!GI18=Sheet6!$C$3,Sheet6!$C$3,IF(Tim!GI18=Sheet6!$C$4,Sheet6!$C$4,IF(Tim!GI18=Sheet6!$C$5,Sheet6!$C$5,IF(Tim!GI18=Sheet6!$C$6,Sheet6!$C$6,IF(Tim!GI18=Sheet6!$C$7,Sheet6!$C$7,IF(Tim!GI18=Sheet6!$C$8,Sheet6!$C$8,"")))))))</f>
        <v/>
      </c>
      <c r="CC16" s="57" t="str">
        <f>IF(Tim!GJ18=Sheet6!$C$2,Sheet6!$C$2,IF(Tim!GJ18=Sheet6!$C$3,Sheet6!$C$3,IF(Tim!GJ18=Sheet6!$C$4,Sheet6!$C$4,IF(Tim!GJ18=Sheet6!$C$5,Sheet6!$C$5,IF(Tim!GJ18=Sheet6!$C$6,Sheet6!$C$6,IF(Tim!GJ18=Sheet6!$C$7,Sheet6!$C$7,IF(Tim!GJ18=Sheet6!$C$8,Sheet6!$C$8,"")))))))</f>
        <v/>
      </c>
      <c r="CD16" s="57" t="str">
        <f>IF(Tim!GN18=Sheet6!$C$2,Sheet6!$C$2,IF(Tim!GN18=Sheet6!$C$3,Sheet6!$C$3,IF(Tim!GN18=Sheet6!$C$4,Sheet6!$C$4,IF(Tim!GN18=Sheet6!$C$5,Sheet6!$C$5,IF(Tim!GN18=Sheet6!$C$6,Sheet6!$C$6,IF(Tim!GN18=Sheet6!$C$7,Sheet6!$C$7,IF(Tim!GN18=Sheet6!$C$8,Sheet6!$C$8,"")))))))</f>
        <v/>
      </c>
      <c r="CE16" s="53" t="str">
        <f>IF(Tim!GY18=Sheet6!$C$2,Sheet6!$C$2,IF(Tim!GY18=Sheet6!$C$3,Sheet6!$C$3,IF(Tim!GY18=Sheet6!$C$4,Sheet6!$C$4,IF(Tim!GY18=Sheet6!$C$5,Sheet6!$C$5,IF(Tim!GY18=Sheet6!$C$6,Sheet6!$C$6,IF(Tim!GY18=Sheet6!$C$7,Sheet6!$C$7,IF(Tim!GY18=Sheet6!$C$8,Sheet6!$C$8,"")))))))</f>
        <v/>
      </c>
      <c r="CF16" s="181" t="str">
        <f>IF(Tim!GZ18=Sheet6!$C$2,Sheet6!$C$2,IF(Tim!GZ18=Sheet6!$C$3,Sheet6!$C$3,IF(Tim!GZ18=Sheet6!$C$4,Sheet6!$C$4,IF(Tim!GZ18=Sheet6!$C$5,Sheet6!$C$5,IF(Tim!GZ18=Sheet6!$C$6,Sheet6!$C$6,IF(Tim!GZ18=Sheet6!$C$7,Sheet6!$C$7,IF(Tim!GZ18=Sheet6!$C$8,Sheet6!$C$8,"")))))))</f>
        <v/>
      </c>
      <c r="CG16" s="181" t="str">
        <f>IF(Tim!HH18=Sheet6!$C$2,Sheet6!$C$2,IF(Tim!HH18=Sheet6!$C$3,Sheet6!$C$3,IF(Tim!HH18=Sheet6!$C$4,Sheet6!$C$4,IF(Tim!HH18=Sheet6!$C$5,Sheet6!$C$5,IF(Tim!HH18=Sheet6!$C$6,Sheet6!$C$6,IF(Tim!HH18=Sheet6!$C$7,Sheet6!$C$7,IF(Tim!HH18=Sheet6!$C$8,Sheet6!$C$8,"")))))))</f>
        <v/>
      </c>
      <c r="CH16" s="181" t="str">
        <f>IF(Tim!HI18=Sheet6!$C$2,Sheet6!$C$2,IF(Tim!HI18=Sheet6!$C$3,Sheet6!$C$3,IF(Tim!HI18=Sheet6!$C$4,Sheet6!$C$4,IF(Tim!HI18=Sheet6!$C$5,Sheet6!$C$5,IF(Tim!HI18=Sheet6!$C$6,Sheet6!$C$6,IF(Tim!HI18=Sheet6!$C$7,Sheet6!$C$7,IF(Tim!HI18=Sheet6!$C$8,Sheet6!$C$8,"")))))))</f>
        <v/>
      </c>
      <c r="CI16" s="181" t="str">
        <f>IF(Tim!HJ18=Sheet6!$C$2,Sheet6!$C$2,IF(Tim!HJ18=Sheet6!$C$3,Sheet6!$C$3,IF(Tim!HJ18=Sheet6!$C$4,Sheet6!$C$4,IF(Tim!HJ18=Sheet6!$C$5,Sheet6!$C$5,IF(Tim!HJ18=Sheet6!$C$6,Sheet6!$C$6,IF(Tim!HJ18=Sheet6!$C$7,Sheet6!$C$7,IF(Tim!HJ18=Sheet6!$C$8,Sheet6!$C$8,"")))))))</f>
        <v/>
      </c>
      <c r="CJ16" s="53" t="str">
        <f>IF(Tim!HK18=Sheet6!$C$2,Sheet6!$C$2,IF(Tim!HK18=Sheet6!$C$3,Sheet6!$C$3,IF(Tim!HK18=Sheet6!$C$4,Sheet6!$C$4,IF(Tim!HK18=Sheet6!$C$5,Sheet6!$C$5,IF(Tim!HK18=Sheet6!$C$6,Sheet6!$C$6,IF(Tim!HK18=Sheet6!$C$7,Sheet6!$C$7,IF(Tim!HK18=Sheet6!$C$8,Sheet6!$C$8,"")))))))</f>
        <v/>
      </c>
      <c r="CK16" s="53" t="str">
        <f>IF(Tim!HL18=Sheet6!$C$2,Sheet6!$C$2,IF(Tim!HL18=Sheet6!$C$3,Sheet6!$C$3,IF(Tim!HL18=Sheet6!$C$4,Sheet6!$C$4,IF(Tim!HL18=Sheet6!$C$5,Sheet6!$C$5,IF(Tim!HL18=Sheet6!$C$6,Sheet6!$C$6,IF(Tim!HL18=Sheet6!$C$7,Sheet6!$C$7,IF(Tim!HL18=Sheet6!$C$8,Sheet6!$C$8,"")))))))</f>
        <v/>
      </c>
      <c r="CL16" s="53" t="str">
        <f>IF(Tim!HM18=Sheet6!$C$2,Sheet6!$C$2,IF(Tim!HM18=Sheet6!$C$3,Sheet6!$C$3,IF(Tim!HM18=Sheet6!$C$4,Sheet6!$C$4,IF(Tim!HM18=Sheet6!$C$5,Sheet6!$C$5,IF(Tim!HM18=Sheet6!$C$6,Sheet6!$C$6,IF(Tim!HM18=Sheet6!$C$7,Sheet6!$C$7,IF(Tim!HM18=Sheet6!$C$8,Sheet6!$C$8,"")))))))</f>
        <v/>
      </c>
      <c r="CM16" s="53" t="str">
        <f>IF(Tim!HQ18=Sheet6!$C$2,Sheet6!$C$2,IF(Tim!HQ18=Sheet6!$C$3,Sheet6!$C$3,IF(Tim!HQ18=Sheet6!$C$4,Sheet6!$C$4,IF(Tim!HQ18=Sheet6!$C$5,Sheet6!$C$5,IF(Tim!HQ18=Sheet6!$C$6,Sheet6!$C$6,IF(Tim!HQ18=Sheet6!$C$7,Sheet6!$C$7,IF(Tim!HQ18=Sheet6!$C$8,Sheet6!$C$8,"")))))))</f>
        <v/>
      </c>
      <c r="CN16" s="54" t="str">
        <f>IF(Tim!HR18=Sheet6!$C$2,Sheet6!$C$2,IF(Tim!HR18=Sheet6!$C$3,Sheet6!$C$3,IF(Tim!HR18=Sheet6!$C$4,Sheet6!$C$4,IF(Tim!HR18=Sheet6!$C$5,Sheet6!$C$5,IF(Tim!HR18=Sheet6!$C$6,Sheet6!$C$6,IF(Tim!HR18=Sheet6!$C$7,Sheet6!$C$7,IF(Tim!HR18=Sheet6!$C$8,Sheet6!$C$8,"")))))))</f>
        <v/>
      </c>
      <c r="CO16" s="54" t="str">
        <f>IF(Tim!HS18=Sheet6!$C$2,Sheet6!$C$2,IF(Tim!HS18=Sheet6!$C$3,Sheet6!$C$3,IF(Tim!HS18=Sheet6!$C$4,Sheet6!$C$4,IF(Tim!HS18=Sheet6!$C$5,Sheet6!$C$5,IF(Tim!HS18=Sheet6!$C$6,Sheet6!$C$6,IF(Tim!HS18=Sheet6!$C$7,Sheet6!$C$7,IF(Tim!HS18=Sheet6!$C$8,Sheet6!$C$8,"")))))))</f>
        <v/>
      </c>
      <c r="CP16" s="54" t="str">
        <f>IF(Tim!HT18=Sheet6!$C$2,Sheet6!$C$2,IF(Tim!HT18=Sheet6!$C$3,Sheet6!$C$3,IF(Tim!HT18=Sheet6!$C$4,Sheet6!$C$4,IF(Tim!HT18=Sheet6!$C$5,Sheet6!$C$5,IF(Tim!HT18=Sheet6!$C$6,Sheet6!$C$6,IF(Tim!HT18=Sheet6!$C$7,Sheet6!$C$7,IF(Tim!HT18=Sheet6!$C$8,Sheet6!$C$8,"")))))))</f>
        <v/>
      </c>
      <c r="CQ16" s="55" t="str">
        <f>IF(Tim!HU18=Sheet6!$C$2,Sheet6!$C$2,IF(Tim!HU18=Sheet6!$C$3,Sheet6!$C$3,IF(Tim!HU18=Sheet6!$C$4,Sheet6!$C$4,IF(Tim!HU18=Sheet6!$C$5,Sheet6!$C$5,IF(Tim!HU18=Sheet6!$C$6,Sheet6!$C$6,IF(Tim!HU18=Sheet6!$C$7,Sheet6!$C$7,IF(Tim!HU18=Sheet6!$C$8,Sheet6!$C$8,"")))))))</f>
        <v/>
      </c>
      <c r="CR16" s="56" t="str">
        <f>IF(Tim!HV18=Sheet6!$C$2,Sheet6!$C$2,IF(Tim!HV18=Sheet6!$C$3,Sheet6!$C$3,IF(Tim!HV18=Sheet6!$C$4,Sheet6!$C$4,IF(Tim!HV18=Sheet6!$C$5,Sheet6!$C$5,IF(Tim!HV18=Sheet6!$C$6,Sheet6!$C$6,IF(Tim!HV18=Sheet6!$C$7,Sheet6!$C$7,IF(Tim!HV18=Sheet6!$C$8,Sheet6!$C$8,"")))))))</f>
        <v/>
      </c>
      <c r="CS16" s="57" t="str">
        <f>IF(Tim!IB18=Sheet6!$C$2,Sheet6!$C$2,IF(Tim!IB18=Sheet6!$C$3,Sheet6!$C$3,IF(Tim!IB18=Sheet6!$C$4,Sheet6!$C$4,IF(Tim!IB18=Sheet6!$C$5,Sheet6!$C$5,IF(Tim!IB18=Sheet6!$C$6,Sheet6!$C$6,IF(Tim!IB18=Sheet6!$C$7,Sheet6!$C$7,IF(Tim!IB18=Sheet6!$C$8,Sheet6!$C$8,"")))))))</f>
        <v/>
      </c>
      <c r="CT16" s="57" t="str">
        <f>IF(Tim!IJ18=Sheet6!$C$2,Sheet6!$C$2,IF(Tim!IJ18=Sheet6!$C$3,Sheet6!$C$3,IF(Tim!IJ18=Sheet6!$C$4,Sheet6!$C$4,IF(Tim!IJ18=Sheet6!$C$5,Sheet6!$C$5,IF(Tim!IJ18=Sheet6!$C$6,Sheet6!$C$6,IF(Tim!IJ18=Sheet6!$C$7,Sheet6!$C$7,IF(Tim!IJ18=Sheet6!$C$8,Sheet6!$C$8,"")))))))</f>
        <v/>
      </c>
      <c r="CU16" s="53" t="str">
        <f>IF(Tim!IQ18=Sheet6!$C$2,Sheet6!$C$2,IF(Tim!IQ18=Sheet6!$C$3,Sheet6!$C$3,IF(Tim!IQ18=Sheet6!$C$4,Sheet6!$C$4,IF(Tim!IQ18=Sheet6!$C$5,Sheet6!$C$5,IF(Tim!IQ18=Sheet6!$C$6,Sheet6!$C$6,IF(Tim!IQ18=Sheet6!$C$7,Sheet6!$C$7,IF(Tim!IQ18=Sheet6!$C$8,Sheet6!$C$8,"")))))))</f>
        <v/>
      </c>
      <c r="CV16" s="53" t="str">
        <f>IF(Tim!IR18=Sheet6!$C$2,Sheet6!$C$2,IF(Tim!IR18=Sheet6!$C$3,Sheet6!$C$3,IF(Tim!IR18=Sheet6!$C$4,Sheet6!$C$4,IF(Tim!IR18=Sheet6!$C$5,Sheet6!$C$5,IF(Tim!IR18=Sheet6!$C$6,Sheet6!$C$6,IF(Tim!IR18=Sheet6!$C$7,Sheet6!$C$7,IF(Tim!IR18=Sheet6!$C$8,Sheet6!$C$8,"")))))))</f>
        <v/>
      </c>
      <c r="CW16" s="53" t="str">
        <f>IF(Tim!IZ18=Sheet6!$C$2,Sheet6!$C$2,IF(Tim!IZ18=Sheet6!$C$3,Sheet6!$C$3,IF(Tim!IZ18=Sheet6!$C$4,Sheet6!$C$4,IF(Tim!IZ18=Sheet6!$C$5,Sheet6!$C$5,IF(Tim!IZ18=Sheet6!$C$6,Sheet6!$C$6,IF(Tim!IZ18=Sheet6!$C$7,Sheet6!$C$7,IF(Tim!IZ18=Sheet6!$C$8,Sheet6!$C$8,"")))))))</f>
        <v/>
      </c>
      <c r="CX16" s="53" t="str">
        <f>IF(Tim!JA18=Sheet6!$C$2,Sheet6!$C$2,IF(Tim!JA18=Sheet6!$C$3,Sheet6!$C$3,IF(Tim!JA18=Sheet6!$C$4,Sheet6!$C$4,IF(Tim!JA18=Sheet6!$C$5,Sheet6!$C$5,IF(Tim!JA18=Sheet6!$C$6,Sheet6!$C$6,IF(Tim!JA18=Sheet6!$C$7,Sheet6!$C$7,IF(Tim!JA18=Sheet6!$C$8,Sheet6!$C$8,"")))))))</f>
        <v/>
      </c>
      <c r="CY16" s="53" t="str">
        <f>IF(Tim!JB18=Sheet6!$C$2,Sheet6!$C$2,IF(Tim!JB18=Sheet6!$C$3,Sheet6!$C$3,IF(Tim!JB18=Sheet6!$C$4,Sheet6!$C$4,IF(Tim!JB18=Sheet6!$C$5,Sheet6!$C$5,IF(Tim!JB18=Sheet6!$C$6,Sheet6!$C$6,IF(Tim!JB18=Sheet6!$C$7,Sheet6!$C$7,IF(Tim!JB18=Sheet6!$C$8,Sheet6!$C$8,"")))))))</f>
        <v/>
      </c>
      <c r="CZ16" s="53" t="str">
        <f>IF(Tim!JC18=Sheet6!$C$2,Sheet6!$C$2,IF(Tim!JC18=Sheet6!$C$3,Sheet6!$C$3,IF(Tim!JC18=Sheet6!$C$4,Sheet6!$C$4,IF(Tim!JC18=Sheet6!$C$5,Sheet6!$C$5,IF(Tim!JC18=Sheet6!$C$6,Sheet6!$C$6,IF(Tim!JC18=Sheet6!$C$7,Sheet6!$C$7,IF(Tim!JC18=Sheet6!$C$8,Sheet6!$C$8,"")))))))</f>
        <v/>
      </c>
      <c r="DA16" s="53" t="str">
        <f>IF(Tim!JD18=Sheet6!$C$2,Sheet6!$C$2,IF(Tim!JD18=Sheet6!$C$3,Sheet6!$C$3,IF(Tim!JD18=Sheet6!$C$4,Sheet6!$C$4,IF(Tim!JD18=Sheet6!$C$5,Sheet6!$C$5,IF(Tim!JD18=Sheet6!$C$6,Sheet6!$C$6,IF(Tim!JD18=Sheet6!$C$7,Sheet6!$C$7,IF(Tim!JD18=Sheet6!$C$8,Sheet6!$C$8,"")))))))</f>
        <v/>
      </c>
      <c r="DB16" s="53" t="str">
        <f>IF(Tim!JE18=Sheet6!$C$2,Sheet6!$C$2,IF(Tim!JE18=Sheet6!$C$3,Sheet6!$C$3,IF(Tim!JE18=Sheet6!$C$4,Sheet6!$C$4,IF(Tim!JE18=Sheet6!$C$5,Sheet6!$C$5,IF(Tim!JE18=Sheet6!$C$6,Sheet6!$C$6,IF(Tim!JE18=Sheet6!$C$7,Sheet6!$C$7,IF(Tim!JE18=Sheet6!$C$8,Sheet6!$C$8,"")))))))</f>
        <v/>
      </c>
      <c r="DC16" s="53" t="str">
        <f>IF(Tim!JI18=Sheet6!$C$2,Sheet6!$C$2,IF(Tim!JI18=Sheet6!$C$3,Sheet6!$C$3,IF(Tim!JI18=Sheet6!$C$4,Sheet6!$C$4,IF(Tim!JI18=Sheet6!$C$5,Sheet6!$C$5,IF(Tim!JI18=Sheet6!$C$6,Sheet6!$C$6,IF(Tim!JI18=Sheet6!$C$7,Sheet6!$C$7,IF(Tim!JI18=Sheet6!$C$8,Sheet6!$C$8,"")))))))</f>
        <v/>
      </c>
      <c r="DD16" s="54" t="str">
        <f>IF(Tim!JJ18=Sheet6!$C$2,Sheet6!$C$2,IF(Tim!JJ18=Sheet6!$C$3,Sheet6!$C$3,IF(Tim!JJ18=Sheet6!$C$4,Sheet6!$C$4,IF(Tim!JJ18=Sheet6!$C$5,Sheet6!$C$5,IF(Tim!JJ18=Sheet6!$C$6,Sheet6!$C$6,IF(Tim!JJ18=Sheet6!$C$7,Sheet6!$C$7,IF(Tim!JJ18=Sheet6!$C$8,Sheet6!$C$8,"")))))))</f>
        <v/>
      </c>
      <c r="DE16" s="54" t="str">
        <f>IF(Tim!JK18=Sheet6!$C$2,Sheet6!$C$2,IF(Tim!JK18=Sheet6!$C$3,Sheet6!$C$3,IF(Tim!JK18=Sheet6!$C$4,Sheet6!$C$4,IF(Tim!JK18=Sheet6!$C$5,Sheet6!$C$5,IF(Tim!JK18=Sheet6!$C$6,Sheet6!$C$6,IF(Tim!JK18=Sheet6!$C$7,Sheet6!$C$7,IF(Tim!JK18=Sheet6!$C$8,Sheet6!$C$8,"")))))))</f>
        <v/>
      </c>
      <c r="DF16" s="54" t="str">
        <f>IF(Tim!JL18=Sheet6!$C$2,Sheet6!$C$2,IF(Tim!JL18=Sheet6!$C$3,Sheet6!$C$3,IF(Tim!JL18=Sheet6!$C$4,Sheet6!$C$4,IF(Tim!JL18=Sheet6!$C$5,Sheet6!$C$5,IF(Tim!JL18=Sheet6!$C$6,Sheet6!$C$6,IF(Tim!JL18=Sheet6!$C$7,Sheet6!$C$7,IF(Tim!JL18=Sheet6!$C$8,Sheet6!$C$8,"")))))))</f>
        <v/>
      </c>
      <c r="DG16" s="55" t="str">
        <f>IF(Tim!JM18=Sheet6!$C$2,Sheet6!$C$2,IF(Tim!JM18=Sheet6!$C$3,Sheet6!$C$3,IF(Tim!JM18=Sheet6!$C$4,Sheet6!$C$4,IF(Tim!JM18=Sheet6!$C$5,Sheet6!$C$5,IF(Tim!JM18=Sheet6!$C$6,Sheet6!$C$6,IF(Tim!JM18=Sheet6!$C$7,Sheet6!$C$7,IF(Tim!JM18=Sheet6!$C$8,Sheet6!$C$8,"")))))))</f>
        <v/>
      </c>
      <c r="DH16" s="56" t="str">
        <f>IF(Tim!JN18=Sheet6!$C$2,Sheet6!$C$2,IF(Tim!JN18=Sheet6!$C$3,Sheet6!$C$3,IF(Tim!JN18=Sheet6!$C$4,Sheet6!$C$4,IF(Tim!JN18=Sheet6!$C$5,Sheet6!$C$5,IF(Tim!JN18=Sheet6!$C$6,Sheet6!$C$6,IF(Tim!JN18=Sheet6!$C$7,Sheet6!$C$7,IF(Tim!JN18=Sheet6!$C$8,Sheet6!$C$8,"")))))))</f>
        <v/>
      </c>
      <c r="DI16" s="57" t="str">
        <f>IF(Tim!JS18=Sheet6!$C$2,Sheet6!$C$2,IF(Tim!JS18=Sheet6!$C$3,Sheet6!$C$3,IF(Tim!JS18=Sheet6!$C$4,Sheet6!$C$4,IF(Tim!JS18=Sheet6!$C$5,Sheet6!$C$5,IF(Tim!JS18=Sheet6!$C$6,Sheet6!$C$6,IF(Tim!JS18=Sheet6!$C$7,Sheet6!$C$7,IF(Tim!JS18=Sheet6!$C$8,Sheet6!$C$8,"")))))))</f>
        <v/>
      </c>
      <c r="DJ16" s="57" t="str">
        <f>IF(Tim!KB18=Sheet6!$C$2,Sheet6!$C$2,IF(Tim!KB18=Sheet6!$C$3,Sheet6!$C$3,IF(Tim!KB18=Sheet6!$C$4,Sheet6!$C$4,IF(Tim!KB18=Sheet6!$C$5,Sheet6!$C$5,IF(Tim!KB18=Sheet6!$C$6,Sheet6!$C$6,IF(Tim!KB18=Sheet6!$C$7,Sheet6!$C$7,IF(Tim!KB18=Sheet6!$C$8,Sheet6!$C$8,"")))))))</f>
        <v/>
      </c>
      <c r="DK16" s="57" t="str">
        <f>IF(Tim!KI18=Sheet6!$C$2,Sheet6!$C$2,IF(Tim!KI18=Sheet6!$C$3,Sheet6!$C$3,IF(Tim!KI18=Sheet6!$C$4,Sheet6!$C$4,IF(Tim!KI18=Sheet6!$C$5,Sheet6!$C$5,IF(Tim!KI18=Sheet6!$C$6,Sheet6!$C$6,IF(Tim!KI18=Sheet6!$C$7,Sheet6!$C$7,IF(Tim!KI18=Sheet6!$C$8,Sheet6!$C$8,"")))))))</f>
        <v/>
      </c>
      <c r="DL16" s="53" t="str">
        <f>IF(Tim!KJ18=Sheet6!$C$2,Sheet6!$C$2,IF(Tim!KJ18=Sheet6!$C$3,Sheet6!$C$3,IF(Tim!KJ18=Sheet6!$C$4,Sheet6!$C$4,IF(Tim!KJ18=Sheet6!$C$5,Sheet6!$C$5,IF(Tim!KJ18=Sheet6!$C$6,Sheet6!$C$6,IF(Tim!KJ18=Sheet6!$C$7,Sheet6!$C$7,IF(Tim!KJ18=Sheet6!$C$8,Sheet6!$C$8,"")))))))</f>
        <v/>
      </c>
      <c r="DM16" s="53" t="str">
        <f>IF(Tim!KR18=Sheet6!$C$2,Sheet6!$C$2,IF(Tim!KR18=Sheet6!$C$3,Sheet6!$C$3,IF(Tim!KR18=Sheet6!$C$4,Sheet6!$C$4,IF(Tim!KR18=Sheet6!$C$5,Sheet6!$C$5,IF(Tim!KR18=Sheet6!$C$6,Sheet6!$C$6,IF(Tim!KR18=Sheet6!$C$7,Sheet6!$C$7,IF(Tim!KR18=Sheet6!$C$8,Sheet6!$C$8,"")))))))</f>
        <v/>
      </c>
      <c r="DN16" s="53" t="str">
        <f>IF(Tim!KS18=Sheet6!$C$2,Sheet6!$C$2,IF(Tim!KS18=Sheet6!$C$3,Sheet6!$C$3,IF(Tim!KS18=Sheet6!$C$4,Sheet6!$C$4,IF(Tim!KS18=Sheet6!$C$5,Sheet6!$C$5,IF(Tim!KS18=Sheet6!$C$6,Sheet6!$C$6,IF(Tim!KS18=Sheet6!$C$7,Sheet6!$C$7,IF(Tim!KS18=Sheet6!$C$8,Sheet6!$C$8,"")))))))</f>
        <v/>
      </c>
      <c r="DO16" s="53" t="str">
        <f>IF(Tim!KT18=Sheet6!$C$2,Sheet6!$C$2,IF(Tim!KT18=Sheet6!$C$3,Sheet6!$C$3,IF(Tim!KT18=Sheet6!$C$4,Sheet6!$C$4,IF(Tim!KT18=Sheet6!$C$5,Sheet6!$C$5,IF(Tim!KT18=Sheet6!$C$6,Sheet6!$C$6,IF(Tim!KT18=Sheet6!$C$7,Sheet6!$C$7,IF(Tim!KT18=Sheet6!$C$8,Sheet6!$C$8,"")))))))</f>
        <v/>
      </c>
      <c r="DP16" s="53" t="str">
        <f>IF(Tim!KU18=Sheet6!$C$2,Sheet6!$C$2,IF(Tim!KU18=Sheet6!$C$3,Sheet6!$C$3,IF(Tim!KU18=Sheet6!$C$4,Sheet6!$C$4,IF(Tim!KU18=Sheet6!$C$5,Sheet6!$C$5,IF(Tim!KU18=Sheet6!$C$6,Sheet6!$C$6,IF(Tim!KU18=Sheet6!$C$7,Sheet6!$C$7,IF(Tim!KU18=Sheet6!$C$8,Sheet6!$C$8,"")))))))</f>
        <v/>
      </c>
      <c r="DQ16" s="53" t="str">
        <f>IF(Tim!KV18=Sheet6!$C$2,Sheet6!$C$2,IF(Tim!KV18=Sheet6!$C$3,Sheet6!$C$3,IF(Tim!KV18=Sheet6!$C$4,Sheet6!$C$4,IF(Tim!KV18=Sheet6!$C$5,Sheet6!$C$5,IF(Tim!KV18=Sheet6!$C$6,Sheet6!$C$6,IF(Tim!KV18=Sheet6!$C$7,Sheet6!$C$7,IF(Tim!KV18=Sheet6!$C$8,Sheet6!$C$8,"")))))))</f>
        <v/>
      </c>
      <c r="DR16" s="53" t="str">
        <f>IF(Tim!KW18=Sheet6!$C$2,Sheet6!$C$2,IF(Tim!KW18=Sheet6!$C$3,Sheet6!$C$3,IF(Tim!KW18=Sheet6!$C$4,Sheet6!$C$4,IF(Tim!KW18=Sheet6!$C$5,Sheet6!$C$5,IF(Tim!KW18=Sheet6!$C$6,Sheet6!$C$6,IF(Tim!KW18=Sheet6!$C$7,Sheet6!$C$7,IF(Tim!KW18=Sheet6!$C$8,Sheet6!$C$8,"")))))))</f>
        <v/>
      </c>
      <c r="DS16" s="53" t="str">
        <f>IF(Tim!LA18=Sheet6!$C$2,Sheet6!$C$2,IF(Tim!LA18=Sheet6!$C$3,Sheet6!$C$3,IF(Tim!LA18=Sheet6!$C$4,Sheet6!$C$4,IF(Tim!LA18=Sheet6!$C$5,Sheet6!$C$5,IF(Tim!LA18=Sheet6!$C$6,Sheet6!$C$6,IF(Tim!LA18=Sheet6!$C$7,Sheet6!$C$7,IF(Tim!LA18=Sheet6!$C$8,Sheet6!$C$8,"")))))))</f>
        <v/>
      </c>
      <c r="DT16" s="54" t="str">
        <f>IF(Tim!LB18=Sheet6!$C$2,Sheet6!$C$2,IF(Tim!LB18=Sheet6!$C$3,Sheet6!$C$3,IF(Tim!LB18=Sheet6!$C$4,Sheet6!$C$4,IF(Tim!LB18=Sheet6!$C$5,Sheet6!$C$5,IF(Tim!LB18=Sheet6!$C$6,Sheet6!$C$6,IF(Tim!LB18=Sheet6!$C$7,Sheet6!$C$7,IF(Tim!LB18=Sheet6!$C$8,Sheet6!$C$8,"")))))))</f>
        <v/>
      </c>
      <c r="DU16" s="54" t="str">
        <f>IF(Tim!LC18=Sheet6!$C$2,Sheet6!$C$2,IF(Tim!LC18=Sheet6!$C$3,Sheet6!$C$3,IF(Tim!LC18=Sheet6!$C$4,Sheet6!$C$4,IF(Tim!LC18=Sheet6!$C$5,Sheet6!$C$5,IF(Tim!LC18=Sheet6!$C$6,Sheet6!$C$6,IF(Tim!LC18=Sheet6!$C$7,Sheet6!$C$7,IF(Tim!LC18=Sheet6!$C$8,Sheet6!$C$8,"")))))))</f>
        <v/>
      </c>
      <c r="DV16" s="54" t="str">
        <f>IF(Tim!LD18=Sheet6!$C$2,Sheet6!$C$2,IF(Tim!LD18=Sheet6!$C$3,Sheet6!$C$3,IF(Tim!LD18=Sheet6!$C$4,Sheet6!$C$4,IF(Tim!LD18=Sheet6!$C$5,Sheet6!$C$5,IF(Tim!LD18=Sheet6!$C$6,Sheet6!$C$6,IF(Tim!LD18=Sheet6!$C$7,Sheet6!$C$7,IF(Tim!LD18=Sheet6!$C$8,Sheet6!$C$8,"")))))))</f>
        <v/>
      </c>
      <c r="DW16" s="55" t="str">
        <f>IF(Tim!LE18=Sheet6!$C$2,Sheet6!$C$2,IF(Tim!LE18=Sheet6!$C$3,Sheet6!$C$3,IF(Tim!LE18=Sheet6!$C$4,Sheet6!$C$4,IF(Tim!LE18=Sheet6!$C$5,Sheet6!$C$5,IF(Tim!LE18=Sheet6!$C$6,Sheet6!$C$6,IF(Tim!LE18=Sheet6!$C$7,Sheet6!$C$7,IF(Tim!LE18=Sheet6!$C$8,Sheet6!$C$8,"")))))))</f>
        <v/>
      </c>
      <c r="DX16" s="52">
        <v>0.40625</v>
      </c>
    </row>
    <row r="17" spans="2:128" ht="10.5" customHeight="1">
      <c r="B17" s="51">
        <v>0.25</v>
      </c>
      <c r="C17" s="51">
        <v>0.25</v>
      </c>
      <c r="D17" s="51">
        <v>0.25</v>
      </c>
      <c r="E17" s="52">
        <v>0.41666666666666702</v>
      </c>
      <c r="F17" s="53" t="str">
        <f>IF(Tim!F19=Sheet6!$C$2,Sheet6!$C$2,IF(Tim!F19=Sheet6!$C$3,Sheet6!$C$3,IF(Tim!F19=Sheet6!$C$4,Sheet6!$C$4,IF(Tim!F19=Sheet6!$C$5,Sheet6!$C$5,IF(Tim!F19=Sheet6!$C$6,Sheet6!$C$6,IF(Tim!F19=Sheet6!$C$7,Sheet6!$C$7,IF(Tim!F19=Sheet6!$C$8,Sheet6!$C$8,"")))))))</f>
        <v/>
      </c>
      <c r="G17" s="53" t="str">
        <f>IF(Tim!G19=Sheet6!$C$2,Sheet6!$C$2,IF(Tim!G19=Sheet6!$C$3,Sheet6!$C$3,IF(Tim!G19=Sheet6!$C$4,Sheet6!$C$4,IF(Tim!G19=Sheet6!$C$5,Sheet6!$C$5,IF(Tim!G19=Sheet6!$C$6,Sheet6!$C$6,IF(Tim!G19=Sheet6!$C$7,Sheet6!$C$7,IF(Tim!G19=Sheet6!$C$8,Sheet6!$C$8,"")))))))</f>
        <v/>
      </c>
      <c r="H17" s="53" t="str">
        <f>IF(Tim!H19=Sheet6!$C$2,Sheet6!$C$2,IF(Tim!H19=Sheet6!$C$3,Sheet6!$C$3,IF(Tim!H19=Sheet6!$C$4,Sheet6!$C$4,IF(Tim!H19=Sheet6!$C$5,Sheet6!$C$5,IF(Tim!H19=Sheet6!$C$6,Sheet6!$C$6,IF(Tim!H19=Sheet6!$C$7,Sheet6!$C$7,IF(Tim!H19=Sheet6!$C$8,Sheet6!$C$8,"")))))))</f>
        <v/>
      </c>
      <c r="I17" s="53" t="str">
        <f>IF(Tim!L19=Sheet6!$C$2,Sheet6!$C$2,IF(Tim!L19=Sheet6!$C$3,Sheet6!$C$3,IF(Tim!L19=Sheet6!$C$4,Sheet6!$C$4,IF(Tim!L19=Sheet6!$C$5,Sheet6!$C$5,IF(Tim!L19=Sheet6!$C$6,Sheet6!$C$6,IF(Tim!L19=Sheet6!$C$7,Sheet6!$C$7,IF(Tim!L19=Sheet6!$C$8,Sheet6!$C$8,"")))))))</f>
        <v/>
      </c>
      <c r="J17" s="53" t="str">
        <f>IF(Tim!T19=Sheet6!$C$2,Sheet6!$C$2,IF(Tim!T19=Sheet6!$C$3,Sheet6!$C$3,IF(Tim!T19=Sheet6!$C$4,Sheet6!$C$4,IF(Tim!T19=Sheet6!$C$5,Sheet6!$C$5,IF(Tim!T19=Sheet6!$C$6,Sheet6!$C$6,IF(Tim!T19=Sheet6!$C$7,Sheet6!$C$7,IF(Tim!T19=Sheet6!$C$8,Sheet6!$C$8,"")))))))</f>
        <v/>
      </c>
      <c r="K17" s="53" t="str">
        <f>IF(Tim!AB19=Sheet6!$C$2,Sheet6!$C$2,IF(Tim!AB19=Sheet6!$C$3,Sheet6!$C$3,IF(Tim!AB19=Sheet6!$C$4,Sheet6!$C$4,IF(Tim!AB19=Sheet6!$C$5,Sheet6!$C$5,IF(Tim!AB19=Sheet6!$C$6,Sheet6!$C$6,IF(Tim!AB19=Sheet6!$C$7,Sheet6!$C$7,IF(Tim!AB19=Sheet6!$C$8,Sheet6!$C$8,"")))))))</f>
        <v/>
      </c>
      <c r="L17" s="181" t="str">
        <f>IF(Tim!AC19=Sheet6!$C$2,Sheet6!$C$2,IF(Tim!AC19=Sheet6!$C$3,Sheet6!$C$3,IF(Tim!AC19=Sheet6!$C$4,Sheet6!$C$4,IF(Tim!AC19=Sheet6!$C$5,Sheet6!$C$5,IF(Tim!AC19=Sheet6!$C$6,Sheet6!$C$6,IF(Tim!AC19=Sheet6!$C$7,Sheet6!$C$7,IF(Tim!AC19=Sheet6!$C$8,Sheet6!$C$8,"")))))))</f>
        <v/>
      </c>
      <c r="M17" s="181" t="str">
        <f>IF(Tim!AJ19=Sheet6!$C$2,Sheet6!$C$2,IF(Tim!AJ19=Sheet6!$C$3,Sheet6!$C$3,IF(Tim!AJ19=Sheet6!$C$4,Sheet6!$C$4,IF(Tim!AJ19=Sheet6!$C$5,Sheet6!$C$5,IF(Tim!AJ19=Sheet6!$C$6,Sheet6!$C$6,IF(Tim!AJ19=Sheet6!$C$7,Sheet6!$C$7,IF(Tim!AJ19=Sheet6!$C$8,Sheet6!$C$8,"")))))))</f>
        <v/>
      </c>
      <c r="N17" s="181" t="str">
        <f>IF(Tim!AK19=Sheet6!$C$2,Sheet6!$C$2,IF(Tim!AK19=Sheet6!$C$3,Sheet6!$C$3,IF(Tim!AK19=Sheet6!$C$4,Sheet6!$C$4,IF(Tim!AK19=Sheet6!$C$5,Sheet6!$C$5,IF(Tim!AK19=Sheet6!$C$6,Sheet6!$C$6,IF(Tim!AK19=Sheet6!$C$7,Sheet6!$C$7,IF(Tim!AK19=Sheet6!$C$8,Sheet6!$C$8,"")))))))</f>
        <v/>
      </c>
      <c r="O17" s="53" t="str">
        <f>IF(Tim!AL19=Sheet6!$C$2,Sheet6!$C$2,IF(Tim!AL19=Sheet6!$C$3,Sheet6!$C$3,IF(Tim!AL19=Sheet6!$C$4,Sheet6!$C$4,IF(Tim!AL19=Sheet6!$C$5,Sheet6!$C$5,IF(Tim!AL19=Sheet6!$C$6,Sheet6!$C$6,IF(Tim!AL19=Sheet6!$C$7,Sheet6!$C$7,IF(Tim!AL19=Sheet6!$C$8,Sheet6!$C$8,"")))))))</f>
        <v/>
      </c>
      <c r="P17" s="53" t="str">
        <f>IF(Tim!AN19=Sheet6!$C$2,Sheet6!$C$2,IF(Tim!AN19=Sheet6!$C$3,Sheet6!$C$3,IF(Tim!AN19=Sheet6!$C$4,Sheet6!$C$4,IF(Tim!AN19=Sheet6!$C$5,Sheet6!$C$5,IF(Tim!AN19=Sheet6!$C$6,Sheet6!$C$6,IF(Tim!AN19=Sheet6!$C$7,Sheet6!$C$7,IF(Tim!AN19=Sheet6!$C$8,Sheet6!$C$8,"")))))))</f>
        <v/>
      </c>
      <c r="Q17" s="53" t="str">
        <f>IF(Tim!AO19=Sheet6!$C$2,Sheet6!$C$2,IF(Tim!AO19=Sheet6!$C$3,Sheet6!$C$3,IF(Tim!AO19=Sheet6!$C$4,Sheet6!$C$4,IF(Tim!AO19=Sheet6!$C$5,Sheet6!$C$5,IF(Tim!AO19=Sheet6!$C$6,Sheet6!$C$6,IF(Tim!AO19=Sheet6!$C$7,Sheet6!$C$7,IF(Tim!AO19=Sheet6!$C$8,Sheet6!$C$8,"")))))))</f>
        <v/>
      </c>
      <c r="R17" s="53" t="str">
        <f>IF(Tim!AP19=Sheet6!$C$2,Sheet6!$C$2,IF(Tim!AP19=Sheet6!$C$3,Sheet6!$C$3,IF(Tim!AP19=Sheet6!$C$4,Sheet6!$C$4,IF(Tim!AP19=Sheet6!$C$5,Sheet6!$C$5,IF(Tim!AP19=Sheet6!$C$6,Sheet6!$C$6,IF(Tim!AP19=Sheet6!$C$7,Sheet6!$C$7,IF(Tim!AP19=Sheet6!$C$8,Sheet6!$C$8,"")))))))</f>
        <v/>
      </c>
      <c r="S17" s="53" t="str">
        <f>IF(Tim!AT19=Sheet6!$C$2,Sheet6!$C$2,IF(Tim!AT19=Sheet6!$C$3,Sheet6!$C$3,IF(Tim!AT19=Sheet6!$C$4,Sheet6!$C$4,IF(Tim!AT19=Sheet6!$C$5,Sheet6!$C$5,IF(Tim!AT19=Sheet6!$C$6,Sheet6!$C$6,IF(Tim!AT19=Sheet6!$C$7,Sheet6!$C$7,IF(Tim!AT19=Sheet6!$C$8,Sheet6!$C$8,"")))))))</f>
        <v/>
      </c>
      <c r="T17" s="54" t="str">
        <f>IF(Tim!AU19=Sheet6!$C$2,Sheet6!$C$2,IF(Tim!AU19=Sheet6!$C$3,Sheet6!$C$3,IF(Tim!AU19=Sheet6!$C$4,Sheet6!$C$4,IF(Tim!AU19=Sheet6!$C$5,Sheet6!$C$5,IF(Tim!AU19=Sheet6!$C$6,Sheet6!$C$6,IF(Tim!AU19=Sheet6!$C$7,Sheet6!$C$7,IF(Tim!AU19=Sheet6!$C$8,Sheet6!$C$8,"")))))))</f>
        <v/>
      </c>
      <c r="U17" s="54" t="str">
        <f>IF(Tim!AV19=Sheet6!$C$2,Sheet6!$C$2,IF(Tim!AV19=Sheet6!$C$3,Sheet6!$C$3,IF(Tim!AV19=Sheet6!$C$4,Sheet6!$C$4,IF(Tim!AV19=Sheet6!$C$5,Sheet6!$C$5,IF(Tim!AV19=Sheet6!$C$6,Sheet6!$C$6,IF(Tim!AV19=Sheet6!$C$7,Sheet6!$C$7,IF(Tim!AV19=Sheet6!$C$8,Sheet6!$C$8,"")))))))</f>
        <v/>
      </c>
      <c r="V17" s="54" t="str">
        <f>IF(Tim!AW19=Sheet6!$C$2,Sheet6!$C$2,IF(Tim!AW19=Sheet6!$C$3,Sheet6!$C$3,IF(Tim!AW19=Sheet6!$C$4,Sheet6!$C$4,IF(Tim!AW19=Sheet6!$C$5,Sheet6!$C$5,IF(Tim!AW19=Sheet6!$C$6,Sheet6!$C$6,IF(Tim!AW19=Sheet6!$C$7,Sheet6!$C$7,IF(Tim!AW19=Sheet6!$C$8,Sheet6!$C$8,"")))))))</f>
        <v/>
      </c>
      <c r="W17" s="55" t="str">
        <f>IF(Tim!AX19=Sheet6!$C$2,Sheet6!$C$2,IF(Tim!AX19=Sheet6!$C$3,Sheet6!$C$3,IF(Tim!AX19=Sheet6!$C$4,Sheet6!$C$4,IF(Tim!AX19=Sheet6!$C$5,Sheet6!$C$5,IF(Tim!AX19=Sheet6!$C$6,Sheet6!$C$6,IF(Tim!AX19=Sheet6!$C$7,Sheet6!$C$7,IF(Tim!AX19=Sheet6!$C$8,Sheet6!$C$8,"")))))))</f>
        <v/>
      </c>
      <c r="X17" s="53" t="str">
        <f>IF(Tim!AY19=Sheet6!$C$2,Sheet6!$C$2,IF(Tim!AY19=Sheet6!$C$3,Sheet6!$C$3,IF(Tim!AY19=Sheet6!$C$4,Sheet6!$C$4,IF(Tim!AY19=Sheet6!$C$5,Sheet6!$C$5,IF(Tim!AY19=Sheet6!$C$6,Sheet6!$C$6,IF(Tim!AY19=Sheet6!$C$7,Sheet6!$C$7,IF(Tim!AY19=Sheet6!$C$8,Sheet6!$C$8,"")))))))</f>
        <v/>
      </c>
      <c r="Y17" s="53" t="str">
        <f>IF(Tim!AZ19=Sheet6!$C$2,Sheet6!$C$2,IF(Tim!AZ19=Sheet6!$C$3,Sheet6!$C$3,IF(Tim!AZ19=Sheet6!$C$4,Sheet6!$C$4,IF(Tim!AZ19=Sheet6!$C$5,Sheet6!$C$5,IF(Tim!AZ19=Sheet6!$C$6,Sheet6!$C$6,IF(Tim!AZ19=Sheet6!$C$7,Sheet6!$C$7,IF(Tim!AZ19=Sheet6!$C$8,Sheet6!$C$8,"")))))))</f>
        <v/>
      </c>
      <c r="Z17" s="53" t="str">
        <f>IF(Tim!BD19=Sheet6!$C$2,Sheet6!$C$2,IF(Tim!BD19=Sheet6!$C$3,Sheet6!$C$3,IF(Tim!BD19=Sheet6!$C$4,Sheet6!$C$4,IF(Tim!BD19=Sheet6!$C$5,Sheet6!$C$5,IF(Tim!BD19=Sheet6!$C$6,Sheet6!$C$6,IF(Tim!BD19=Sheet6!$C$7,Sheet6!$C$7,IF(Tim!BD19=Sheet6!$C$8,Sheet6!$C$8,"")))))))</f>
        <v/>
      </c>
      <c r="AA17" s="53" t="str">
        <f>IF(Tim!BE19=Sheet6!$C$2,Sheet6!$C$2,IF(Tim!BE19=Sheet6!$C$3,Sheet6!$C$3,IF(Tim!BE19=Sheet6!$C$4,Sheet6!$C$4,IF(Tim!BE19=Sheet6!$C$5,Sheet6!$C$5,IF(Tim!BE19=Sheet6!$C$6,Sheet6!$C$6,IF(Tim!BE19=Sheet6!$C$7,Sheet6!$C$7,IF(Tim!BE19=Sheet6!$C$8,Sheet6!$C$8,"")))))))</f>
        <v/>
      </c>
      <c r="AB17" s="57" t="str">
        <f>IF(Tim!BL19=Sheet6!$C$2,Sheet6!$C$2,IF(Tim!BL19=Sheet6!$C$3,Sheet6!$C$3,IF(Tim!BL19=Sheet6!$C$4,Sheet6!$C$4,IF(Tim!BL19=Sheet6!$C$5,Sheet6!$C$5,IF(Tim!BL19=Sheet6!$C$6,Sheet6!$C$6,IF(Tim!BL19=Sheet6!$C$7,Sheet6!$C$7,IF(Tim!BL19=Sheet6!$C$8,Sheet6!$C$8,"")))))))</f>
        <v/>
      </c>
      <c r="AC17" s="53" t="str">
        <f>IF(Tim!BT19=Sheet6!$C$2,Sheet6!$C$2,IF(Tim!BT19=Sheet6!$C$3,Sheet6!$C$3,IF(Tim!BT19=Sheet6!$C$4,Sheet6!$C$4,IF(Tim!BT19=Sheet6!$C$5,Sheet6!$C$5,IF(Tim!BT19=Sheet6!$C$6,Sheet6!$C$6,IF(Tim!BT19=Sheet6!$C$7,Sheet6!$C$7,IF(Tim!BT19=Sheet6!$C$8,Sheet6!$C$8,"")))))))</f>
        <v/>
      </c>
      <c r="AD17" s="181" t="str">
        <f>IF(Tim!BU19=Sheet6!$C$2,Sheet6!$C$2,IF(Tim!BU19=Sheet6!$C$3,Sheet6!$C$3,IF(Tim!BU19=Sheet6!$C$4,Sheet6!$C$4,IF(Tim!BU19=Sheet6!$C$5,Sheet6!$C$5,IF(Tim!BU19=Sheet6!$C$6,Sheet6!$C$6,IF(Tim!BU19=Sheet6!$C$7,Sheet6!$C$7,IF(Tim!BU19=Sheet6!$C$8,Sheet6!$C$8,"")))))))</f>
        <v/>
      </c>
      <c r="AE17" s="181" t="str">
        <f>IF(Tim!CB19=Sheet6!$C$2,Sheet6!$C$2,IF(Tim!CB19=Sheet6!$C$3,Sheet6!$C$3,IF(Tim!CB19=Sheet6!$C$4,Sheet6!$C$4,IF(Tim!CB19=Sheet6!$C$5,Sheet6!$C$5,IF(Tim!CB19=Sheet6!$C$6,Sheet6!$C$6,IF(Tim!CB19=Sheet6!$C$7,Sheet6!$C$7,IF(Tim!CB19=Sheet6!$C$8,Sheet6!$C$8,"")))))))</f>
        <v/>
      </c>
      <c r="AF17" s="181" t="str">
        <f>IF(Tim!CD19=Sheet6!$C$2,Sheet6!$C$2,IF(Tim!CD19=Sheet6!$C$3,Sheet6!$C$3,IF(Tim!CD19=Sheet6!$C$4,Sheet6!$C$4,IF(Tim!CD19=Sheet6!$C$5,Sheet6!$C$5,IF(Tim!CD19=Sheet6!$C$6,Sheet6!$C$6,IF(Tim!CD19=Sheet6!$C$7,Sheet6!$C$7,IF(Tim!CD19=Sheet6!$C$8,Sheet6!$C$8,"")))))))</f>
        <v/>
      </c>
      <c r="AG17" s="53" t="str">
        <f>IF(Tim!CE19=Sheet6!$C$2,Sheet6!$C$2,IF(Tim!CE19=Sheet6!$C$3,Sheet6!$C$3,IF(Tim!CE19=Sheet6!$C$4,Sheet6!$C$4,IF(Tim!CE19=Sheet6!$C$5,Sheet6!$C$5,IF(Tim!CE19=Sheet6!$C$6,Sheet6!$C$6,IF(Tim!CE19=Sheet6!$C$7,Sheet6!$C$7,IF(Tim!CE19=Sheet6!$C$8,Sheet6!$C$8,"")))))))</f>
        <v/>
      </c>
      <c r="AH17" s="53" t="str">
        <f>IF(Tim!CF19=Sheet6!$C$2,Sheet6!$C$2,IF(Tim!CF19=Sheet6!$C$3,Sheet6!$C$3,IF(Tim!CF19=Sheet6!$C$4,Sheet6!$C$4,IF(Tim!CF19=Sheet6!$C$5,Sheet6!$C$5,IF(Tim!CF19=Sheet6!$C$6,Sheet6!$C$6,IF(Tim!CF19=Sheet6!$C$7,Sheet6!$C$7,IF(Tim!CF19=Sheet6!$C$8,Sheet6!$C$8,"")))))))</f>
        <v/>
      </c>
      <c r="AI17" s="53" t="str">
        <f>IF(Tim!CG19=Sheet6!$C$2,Sheet6!$C$2,IF(Tim!CG19=Sheet6!$C$3,Sheet6!$C$3,IF(Tim!CG19=Sheet6!$C$4,Sheet6!$C$4,IF(Tim!CG19=Sheet6!$C$5,Sheet6!$C$5,IF(Tim!CG19=Sheet6!$C$6,Sheet6!$C$6,IF(Tim!CG19=Sheet6!$C$7,Sheet6!$C$7,IF(Tim!CG19=Sheet6!$C$8,Sheet6!$C$8,"")))))))</f>
        <v/>
      </c>
      <c r="AJ17" s="53" t="str">
        <f>IF(Tim!CH19=Sheet6!$C$2,Sheet6!$C$2,IF(Tim!CH19=Sheet6!$C$3,Sheet6!$C$3,IF(Tim!CH19=Sheet6!$C$4,Sheet6!$C$4,IF(Tim!CH19=Sheet6!$C$5,Sheet6!$C$5,IF(Tim!CH19=Sheet6!$C$6,Sheet6!$C$6,IF(Tim!CH19=Sheet6!$C$7,Sheet6!$C$7,IF(Tim!CH19=Sheet6!$C$8,Sheet6!$C$8,"")))))))</f>
        <v/>
      </c>
      <c r="AK17" s="53" t="str">
        <f>IF(Tim!CL19=Sheet6!$C$2,Sheet6!$C$2,IF(Tim!CL19=Sheet6!$C$3,Sheet6!$C$3,IF(Tim!CL19=Sheet6!$C$4,Sheet6!$C$4,IF(Tim!CL19=Sheet6!$C$5,Sheet6!$C$5,IF(Tim!CL19=Sheet6!$C$6,Sheet6!$C$6,IF(Tim!CL19=Sheet6!$C$7,Sheet6!$C$7,IF(Tim!CL19=Sheet6!$C$8,Sheet6!$C$8,"")))))))</f>
        <v/>
      </c>
      <c r="AL17" s="54" t="str">
        <f>IF(Tim!CM19=Sheet6!$C$2,Sheet6!$C$2,IF(Tim!CM19=Sheet6!$C$3,Sheet6!$C$3,IF(Tim!CM19=Sheet6!$C$4,Sheet6!$C$4,IF(Tim!CM19=Sheet6!$C$5,Sheet6!$C$5,IF(Tim!CM19=Sheet6!$C$6,Sheet6!$C$6,IF(Tim!CM19=Sheet6!$C$7,Sheet6!$C$7,IF(Tim!CM19=Sheet6!$C$8,Sheet6!$C$8,"")))))))</f>
        <v/>
      </c>
      <c r="AM17" s="54" t="str">
        <f>IF(Tim!CN19=Sheet6!$C$2,Sheet6!$C$2,IF(Tim!CN19=Sheet6!$C$3,Sheet6!$C$3,IF(Tim!CN19=Sheet6!$C$4,Sheet6!$C$4,IF(Tim!CN19=Sheet6!$C$5,Sheet6!$C$5,IF(Tim!CN19=Sheet6!$C$6,Sheet6!$C$6,IF(Tim!CN19=Sheet6!$C$7,Sheet6!$C$7,IF(Tim!CN19=Sheet6!$C$8,Sheet6!$C$8,"")))))))</f>
        <v/>
      </c>
      <c r="AN17" s="54" t="str">
        <f>IF(Tim!CO19=Sheet6!$C$2,Sheet6!$C$2,IF(Tim!CO19=Sheet6!$C$3,Sheet6!$C$3,IF(Tim!CO19=Sheet6!$C$4,Sheet6!$C$4,IF(Tim!CO19=Sheet6!$C$5,Sheet6!$C$5,IF(Tim!CO19=Sheet6!$C$6,Sheet6!$C$6,IF(Tim!CO19=Sheet6!$C$7,Sheet6!$C$7,IF(Tim!CO19=Sheet6!$C$8,Sheet6!$C$8,"")))))))</f>
        <v/>
      </c>
      <c r="AO17" s="55" t="str">
        <f>IF(Tim!CP19=Sheet6!$C$2,Sheet6!$C$2,IF(Tim!CP19=Sheet6!$C$3,Sheet6!$C$3,IF(Tim!CP19=Sheet6!$C$4,Sheet6!$C$4,IF(Tim!CP19=Sheet6!$C$5,Sheet6!$C$5,IF(Tim!CP19=Sheet6!$C$6,Sheet6!$C$6,IF(Tim!CP19=Sheet6!$C$7,Sheet6!$C$7,IF(Tim!CP19=Sheet6!$C$8,Sheet6!$C$8,"")))))))</f>
        <v/>
      </c>
      <c r="AP17" s="53" t="str">
        <f>IF(Tim!CQ19=Sheet6!$C$2,Sheet6!$C$2,IF(Tim!CQ19=Sheet6!$C$3,Sheet6!$C$3,IF(Tim!CQ19=Sheet6!$C$4,Sheet6!$C$4,IF(Tim!CQ19=Sheet6!$C$5,Sheet6!$C$5,IF(Tim!CQ19=Sheet6!$C$6,Sheet6!$C$6,IF(Tim!CQ19=Sheet6!$C$7,Sheet6!$C$7,IF(Tim!CQ19=Sheet6!$C$8,Sheet6!$C$8,"")))))))</f>
        <v/>
      </c>
      <c r="AQ17" s="53" t="str">
        <f>IF(Tim!CR19=Sheet6!$C$2,Sheet6!$C$2,IF(Tim!CR19=Sheet6!$C$3,Sheet6!$C$3,IF(Tim!CR19=Sheet6!$C$4,Sheet6!$C$4,IF(Tim!CR19=Sheet6!$C$5,Sheet6!$C$5,IF(Tim!CR19=Sheet6!$C$6,Sheet6!$C$6,IF(Tim!CR19=Sheet6!$C$7,Sheet6!$C$7,IF(Tim!CR19=Sheet6!$C$8,Sheet6!$C$8,"")))))))</f>
        <v/>
      </c>
      <c r="AR17" s="57" t="str">
        <f>IF(Tim!CV19=Sheet6!$C$2,Sheet6!$C$2,IF(Tim!CV19=Sheet6!$C$3,Sheet6!$C$3,IF(Tim!CV19=Sheet6!$C$4,Sheet6!$C$4,IF(Tim!CV19=Sheet6!$C$5,Sheet6!$C$5,IF(Tim!CV19=Sheet6!$C$6,Sheet6!$C$6,IF(Tim!CV19=Sheet6!$C$7,Sheet6!$C$7,IF(Tim!CV19=Sheet6!$C$8,Sheet6!$C$8,"")))))))</f>
        <v/>
      </c>
      <c r="AS17" s="53" t="str">
        <f>IF(Tim!CW19=Sheet6!$C$2,Sheet6!$C$2,IF(Tim!CW19=Sheet6!$C$3,Sheet6!$C$3,IF(Tim!CW19=Sheet6!$C$4,Sheet6!$C$4,IF(Tim!CW19=Sheet6!$C$5,Sheet6!$C$5,IF(Tim!CW19=Sheet6!$C$6,Sheet6!$C$6,IF(Tim!CW19=Sheet6!$C$7,Sheet6!$C$7,IF(Tim!CW19=Sheet6!$C$8,Sheet6!$C$8,"")))))))</f>
        <v/>
      </c>
      <c r="AT17" s="57" t="str">
        <f>IF(Tim!DA19=Sheet6!$C$2,Sheet6!$C$2,IF(Tim!DA19=Sheet6!$C$3,Sheet6!$C$3,IF(Tim!DA19=Sheet6!$C$4,Sheet6!$C$4,IF(Tim!DA19=Sheet6!$C$5,Sheet6!$C$5,IF(Tim!DA19=Sheet6!$C$6,Sheet6!$C$6,IF(Tim!DA19=Sheet6!$C$7,Sheet6!$C$7,IF(Tim!DA19=Sheet6!$C$8,Sheet6!$C$8,"")))))))</f>
        <v/>
      </c>
      <c r="AU17" s="53" t="str">
        <f>IF(Tim!DO19=Sheet6!$C$2,Sheet6!$C$2,IF(Tim!DO19=Sheet6!$C$3,Sheet6!$C$3,IF(Tim!DO19=Sheet6!$C$4,Sheet6!$C$4,IF(Tim!DO19=Sheet6!$C$5,Sheet6!$C$5,IF(Tim!DO19=Sheet6!$C$6,Sheet6!$C$6,IF(Tim!DO19=Sheet6!$C$7,Sheet6!$C$7,IF(Tim!DO19=Sheet6!$C$8,Sheet6!$C$8,"")))))))</f>
        <v/>
      </c>
      <c r="AV17" s="181" t="str">
        <f>IF(Tim!DP19=Sheet6!$C$2,Sheet6!$C$2,IF(Tim!DP19=Sheet6!$C$3,Sheet6!$C$3,IF(Tim!DP19=Sheet6!$C$4,Sheet6!$C$4,IF(Tim!DP19=Sheet6!$C$5,Sheet6!$C$5,IF(Tim!DP19=Sheet6!$C$6,Sheet6!$C$6,IF(Tim!DP19=Sheet6!$C$7,Sheet6!$C$7,IF(Tim!DP19=Sheet6!$C$8,Sheet6!$C$8,"")))))))</f>
        <v/>
      </c>
      <c r="AW17" s="181" t="str">
        <f>IF(Tim!DX19=Sheet6!$C$2,Sheet6!$C$2,IF(Tim!DX19=Sheet6!$C$3,Sheet6!$C$3,IF(Tim!DX19=Sheet6!$C$4,Sheet6!$C$4,IF(Tim!DX19=Sheet6!$C$5,Sheet6!$C$5,IF(Tim!DX19=Sheet6!$C$6,Sheet6!$C$6,IF(Tim!DX19=Sheet6!$C$7,Sheet6!$C$7,IF(Tim!DX19=Sheet6!$C$8,Sheet6!$C$8,"")))))))</f>
        <v/>
      </c>
      <c r="AX17" s="181" t="str">
        <f>IF(Tim!DY19=Sheet6!$C$2,Sheet6!$C$2,IF(Tim!DY19=Sheet6!$C$3,Sheet6!$C$3,IF(Tim!DY19=Sheet6!$C$4,Sheet6!$C$4,IF(Tim!DY19=Sheet6!$C$5,Sheet6!$C$5,IF(Tim!DY19=Sheet6!$C$6,Sheet6!$C$6,IF(Tim!DY19=Sheet6!$C$7,Sheet6!$C$7,IF(Tim!DY19=Sheet6!$C$8,Sheet6!$C$8,"")))))))</f>
        <v/>
      </c>
      <c r="AY17" s="53" t="str">
        <f>IF(Tim!DZ19=Sheet6!$C$2,Sheet6!$C$2,IF(Tim!DZ19=Sheet6!$C$3,Sheet6!$C$3,IF(Tim!DZ19=Sheet6!$C$4,Sheet6!$C$4,IF(Tim!DZ19=Sheet6!$C$5,Sheet6!$C$5,IF(Tim!DZ19=Sheet6!$C$6,Sheet6!$C$6,IF(Tim!DZ19=Sheet6!$C$7,Sheet6!$C$7,IF(Tim!DZ19=Sheet6!$C$8,Sheet6!$C$8,"")))))))</f>
        <v/>
      </c>
      <c r="AZ17" s="53" t="str">
        <f>IF(Tim!EA19=Sheet6!$C$2,Sheet6!$C$2,IF(Tim!EA19=Sheet6!$C$3,Sheet6!$C$3,IF(Tim!EA19=Sheet6!$C$4,Sheet6!$C$4,IF(Tim!EA19=Sheet6!$C$5,Sheet6!$C$5,IF(Tim!EA19=Sheet6!$C$6,Sheet6!$C$6,IF(Tim!EA19=Sheet6!$C$7,Sheet6!$C$7,IF(Tim!EA19=Sheet6!$C$8,Sheet6!$C$8,"")))))))</f>
        <v/>
      </c>
      <c r="BA17" s="53" t="str">
        <f>IF(Tim!EB19=Sheet6!$C$2,Sheet6!$C$2,IF(Tim!EB19=Sheet6!$C$3,Sheet6!$C$3,IF(Tim!EB19=Sheet6!$C$4,Sheet6!$C$4,IF(Tim!EB19=Sheet6!$C$5,Sheet6!$C$5,IF(Tim!EB19=Sheet6!$C$6,Sheet6!$C$6,IF(Tim!EB19=Sheet6!$C$7,Sheet6!$C$7,IF(Tim!EB19=Sheet6!$C$8,Sheet6!$C$8,"")))))))</f>
        <v/>
      </c>
      <c r="BB17" s="53" t="str">
        <f>IF(Tim!EC19=Sheet6!$C$2,Sheet6!$C$2,IF(Tim!EC19=Sheet6!$C$3,Sheet6!$C$3,IF(Tim!EC19=Sheet6!$C$4,Sheet6!$C$4,IF(Tim!EC19=Sheet6!$C$5,Sheet6!$C$5,IF(Tim!EC19=Sheet6!$C$6,Sheet6!$C$6,IF(Tim!EC19=Sheet6!$C$7,Sheet6!$C$7,IF(Tim!EC19=Sheet6!$C$8,Sheet6!$C$8,"")))))))</f>
        <v/>
      </c>
      <c r="BC17" s="53" t="str">
        <f>IF(Tim!EG19=Sheet6!$C$2,Sheet6!$C$2,IF(Tim!EG19=Sheet6!$C$3,Sheet6!$C$3,IF(Tim!EG19=Sheet6!$C$4,Sheet6!$C$4,IF(Tim!EG19=Sheet6!$C$5,Sheet6!$C$5,IF(Tim!EG19=Sheet6!$C$6,Sheet6!$C$6,IF(Tim!EG19=Sheet6!$C$7,Sheet6!$C$7,IF(Tim!EG19=Sheet6!$C$8,Sheet6!$C$8,"")))))))</f>
        <v/>
      </c>
      <c r="BD17" s="54" t="str">
        <f>IF(Tim!EH19=Sheet6!$C$2,Sheet6!$C$2,IF(Tim!EH19=Sheet6!$C$3,Sheet6!$C$3,IF(Tim!EH19=Sheet6!$C$4,Sheet6!$C$4,IF(Tim!EH19=Sheet6!$C$5,Sheet6!$C$5,IF(Tim!EH19=Sheet6!$C$6,Sheet6!$C$6,IF(Tim!EH19=Sheet6!$C$7,Sheet6!$C$7,IF(Tim!EH19=Sheet6!$C$8,Sheet6!$C$8,"")))))))</f>
        <v/>
      </c>
      <c r="BE17" s="54" t="str">
        <f>IF(Tim!EI19=Sheet6!$C$2,Sheet6!$C$2,IF(Tim!EI19=Sheet6!$C$3,Sheet6!$C$3,IF(Tim!EI19=Sheet6!$C$4,Sheet6!$C$4,IF(Tim!EI19=Sheet6!$C$5,Sheet6!$C$5,IF(Tim!EI19=Sheet6!$C$6,Sheet6!$C$6,IF(Tim!EI19=Sheet6!$C$7,Sheet6!$C$7,IF(Tim!EI19=Sheet6!$C$8,Sheet6!$C$8,"")))))))</f>
        <v/>
      </c>
      <c r="BF17" s="54" t="str">
        <f>IF(Tim!EJ19=Sheet6!$C$2,Sheet6!$C$2,IF(Tim!EJ19=Sheet6!$C$3,Sheet6!$C$3,IF(Tim!EJ19=Sheet6!$C$4,Sheet6!$C$4,IF(Tim!EJ19=Sheet6!$C$5,Sheet6!$C$5,IF(Tim!EJ19=Sheet6!$C$6,Sheet6!$C$6,IF(Tim!EJ19=Sheet6!$C$7,Sheet6!$C$7,IF(Tim!EJ19=Sheet6!$C$8,Sheet6!$C$8,"")))))))</f>
        <v/>
      </c>
      <c r="BG17" s="55" t="str">
        <f>IF(Tim!EK19=Sheet6!$C$2,Sheet6!$C$2,IF(Tim!EK19=Sheet6!$C$3,Sheet6!$C$3,IF(Tim!EK19=Sheet6!$C$4,Sheet6!$C$4,IF(Tim!EK19=Sheet6!$C$5,Sheet6!$C$5,IF(Tim!EK19=Sheet6!$C$6,Sheet6!$C$6,IF(Tim!EK19=Sheet6!$C$7,Sheet6!$C$7,IF(Tim!EK19=Sheet6!$C$8,Sheet6!$C$8,"")))))))</f>
        <v/>
      </c>
      <c r="BH17" s="53" t="str">
        <f>IF(Tim!EL19=Sheet6!$C$2,Sheet6!$C$2,IF(Tim!EL19=Sheet6!$C$3,Sheet6!$C$3,IF(Tim!EL19=Sheet6!$C$4,Sheet6!$C$4,IF(Tim!EL19=Sheet6!$C$5,Sheet6!$C$5,IF(Tim!EL19=Sheet6!$C$6,Sheet6!$C$6,IF(Tim!EL19=Sheet6!$C$7,Sheet6!$C$7,IF(Tim!EL19=Sheet6!$C$8,Sheet6!$C$8,"")))))))</f>
        <v/>
      </c>
      <c r="BI17" s="57" t="str">
        <f>IF(Tim!EM19=Sheet6!$C$2,Sheet6!$C$2,IF(Tim!EM19=Sheet6!$C$3,Sheet6!$C$3,IF(Tim!EM19=Sheet6!$C$4,Sheet6!$C$4,IF(Tim!EM19=Sheet6!$C$5,Sheet6!$C$5,IF(Tim!EM19=Sheet6!$C$6,Sheet6!$C$6,IF(Tim!EM19=Sheet6!$C$7,Sheet6!$C$7,IF(Tim!EM19=Sheet6!$C$8,Sheet6!$C$8,"")))))))</f>
        <v/>
      </c>
      <c r="BJ17" s="57" t="str">
        <f>IF(Tim!EQ19=Sheet6!$C$2,Sheet6!$C$2,IF(Tim!EQ19=Sheet6!$C$3,Sheet6!$C$3,IF(Tim!EQ19=Sheet6!$C$4,Sheet6!$C$4,IF(Tim!EQ19=Sheet6!$C$5,Sheet6!$C$5,IF(Tim!EQ19=Sheet6!$C$6,Sheet6!$C$6,IF(Tim!EQ19=Sheet6!$C$7,Sheet6!$C$7,IF(Tim!EQ19=Sheet6!$C$8,Sheet6!$C$8,"")))))))</f>
        <v/>
      </c>
      <c r="BK17" s="57" t="str">
        <f>IF(Tim!ER19=Sheet6!$C$2,Sheet6!$C$2,IF(Tim!ER19=Sheet6!$C$3,Sheet6!$C$3,IF(Tim!ER19=Sheet6!$C$4,Sheet6!$C$4,IF(Tim!ER19=Sheet6!$C$5,Sheet6!$C$5,IF(Tim!ER19=Sheet6!$C$6,Sheet6!$C$6,IF(Tim!ER19=Sheet6!$C$7,Sheet6!$C$7,IF(Tim!ER19=Sheet6!$C$8,Sheet6!$C$8,"")))))))</f>
        <v/>
      </c>
      <c r="BL17" s="57" t="str">
        <f>IF(Tim!EZ19=Sheet6!$C$2,Sheet6!$C$2,IF(Tim!EZ19=Sheet6!$C$3,Sheet6!$C$3,IF(Tim!EZ19=Sheet6!$C$4,Sheet6!$C$4,IF(Tim!EZ19=Sheet6!$C$5,Sheet6!$C$5,IF(Tim!EZ19=Sheet6!$C$6,Sheet6!$C$6,IF(Tim!EZ19=Sheet6!$C$7,Sheet6!$C$7,IF(Tim!EZ19=Sheet6!$C$8,Sheet6!$C$8,"")))))))</f>
        <v/>
      </c>
      <c r="BM17" s="53" t="str">
        <f>IF(Tim!FG19=Sheet6!$C$2,Sheet6!$C$2,IF(Tim!FG19=Sheet6!$C$3,Sheet6!$C$3,IF(Tim!FG19=Sheet6!$C$4,Sheet6!$C$4,IF(Tim!FG19=Sheet6!$C$5,Sheet6!$C$5,IF(Tim!FG19=Sheet6!$C$6,Sheet6!$C$6,IF(Tim!FG19=Sheet6!$C$7,Sheet6!$C$7,IF(Tim!FG19=Sheet6!$C$8,Sheet6!$C$8,"")))))))</f>
        <v/>
      </c>
      <c r="BN17" s="181" t="str">
        <f>IF(Tim!FH19=Sheet6!$C$2,Sheet6!$C$2,IF(Tim!FH19=Sheet6!$C$3,Sheet6!$C$3,IF(Tim!FH19=Sheet6!$C$4,Sheet6!$C$4,IF(Tim!FH19=Sheet6!$C$5,Sheet6!$C$5,IF(Tim!FH19=Sheet6!$C$6,Sheet6!$C$6,IF(Tim!FH19=Sheet6!$C$7,Sheet6!$C$7,IF(Tim!FH19=Sheet6!$C$8,Sheet6!$C$8,"")))))))</f>
        <v/>
      </c>
      <c r="BO17" s="181" t="str">
        <f>IF(Tim!FP19=Sheet6!$C$2,Sheet6!$C$2,IF(Tim!FP19=Sheet6!$C$3,Sheet6!$C$3,IF(Tim!FP19=Sheet6!$C$4,Sheet6!$C$4,IF(Tim!FP19=Sheet6!$C$5,Sheet6!$C$5,IF(Tim!FP19=Sheet6!$C$6,Sheet6!$C$6,IF(Tim!FP19=Sheet6!$C$7,Sheet6!$C$7,IF(Tim!FP19=Sheet6!$C$8,Sheet6!$C$8,"")))))))</f>
        <v/>
      </c>
      <c r="BP17" s="181" t="str">
        <f>IF(Tim!FQ19=Sheet6!$C$2,Sheet6!$C$2,IF(Tim!FQ19=Sheet6!$C$3,Sheet6!$C$3,IF(Tim!FQ19=Sheet6!$C$4,Sheet6!$C$4,IF(Tim!FQ19=Sheet6!$C$5,Sheet6!$C$5,IF(Tim!FQ19=Sheet6!$C$6,Sheet6!$C$6,IF(Tim!FQ19=Sheet6!$C$7,Sheet6!$C$7,IF(Tim!FQ19=Sheet6!$C$8,Sheet6!$C$8,"")))))))</f>
        <v/>
      </c>
      <c r="BQ17" s="53" t="str">
        <f>IF(Tim!FR19=Sheet6!$C$2,Sheet6!$C$2,IF(Tim!FR19=Sheet6!$C$3,Sheet6!$C$3,IF(Tim!FR19=Sheet6!$C$4,Sheet6!$C$4,IF(Tim!FR19=Sheet6!$C$5,Sheet6!$C$5,IF(Tim!FR19=Sheet6!$C$6,Sheet6!$C$6,IF(Tim!FR19=Sheet6!$C$7,Sheet6!$C$7,IF(Tim!FR19=Sheet6!$C$8,Sheet6!$C$8,"")))))))</f>
        <v/>
      </c>
      <c r="BR17" s="53" t="str">
        <f>IF(Tim!FS19=Sheet6!$C$2,Sheet6!$C$2,IF(Tim!FS19=Sheet6!$C$3,Sheet6!$C$3,IF(Tim!FS19=Sheet6!$C$4,Sheet6!$C$4,IF(Tim!FS19=Sheet6!$C$5,Sheet6!$C$5,IF(Tim!FS19=Sheet6!$C$6,Sheet6!$C$6,IF(Tim!FS19=Sheet6!$C$7,Sheet6!$C$7,IF(Tim!FS19=Sheet6!$C$8,Sheet6!$C$8,"")))))))</f>
        <v/>
      </c>
      <c r="BS17" s="53" t="str">
        <f>IF(Tim!FT19=Sheet6!$C$2,Sheet6!$C$2,IF(Tim!FT19=Sheet6!$C$3,Sheet6!$C$3,IF(Tim!FT19=Sheet6!$C$4,Sheet6!$C$4,IF(Tim!FT19=Sheet6!$C$5,Sheet6!$C$5,IF(Tim!FT19=Sheet6!$C$6,Sheet6!$C$6,IF(Tim!FT19=Sheet6!$C$7,Sheet6!$C$7,IF(Tim!FT19=Sheet6!$C$8,Sheet6!$C$8,"")))))))</f>
        <v/>
      </c>
      <c r="BT17" s="53" t="str">
        <f>IF(Tim!FU19=Sheet6!$C$2,Sheet6!$C$2,IF(Tim!FU19=Sheet6!$C$3,Sheet6!$C$3,IF(Tim!FU19=Sheet6!$C$4,Sheet6!$C$4,IF(Tim!FU19=Sheet6!$C$5,Sheet6!$C$5,IF(Tim!FU19=Sheet6!$C$6,Sheet6!$C$6,IF(Tim!FU19=Sheet6!$C$7,Sheet6!$C$7,IF(Tim!FU19=Sheet6!$C$8,Sheet6!$C$8,"")))))))</f>
        <v/>
      </c>
      <c r="BU17" s="53" t="str">
        <f>IF(Tim!FY19=Sheet6!$C$2,Sheet6!$C$2,IF(Tim!FY19=Sheet6!$C$3,Sheet6!$C$3,IF(Tim!FY19=Sheet6!$C$4,Sheet6!$C$4,IF(Tim!FY19=Sheet6!$C$5,Sheet6!$C$5,IF(Tim!FY19=Sheet6!$C$6,Sheet6!$C$6,IF(Tim!FY19=Sheet6!$C$7,Sheet6!$C$7,IF(Tim!FY19=Sheet6!$C$8,Sheet6!$C$8,"")))))))</f>
        <v/>
      </c>
      <c r="BV17" s="54" t="str">
        <f>IF(Tim!FZ19=Sheet6!$C$2,Sheet6!$C$2,IF(Tim!FZ19=Sheet6!$C$3,Sheet6!$C$3,IF(Tim!FZ19=Sheet6!$C$4,Sheet6!$C$4,IF(Tim!FZ19=Sheet6!$C$5,Sheet6!$C$5,IF(Tim!FZ19=Sheet6!$C$6,Sheet6!$C$6,IF(Tim!FZ19=Sheet6!$C$7,Sheet6!$C$7,IF(Tim!FZ19=Sheet6!$C$8,Sheet6!$C$8,"")))))))</f>
        <v/>
      </c>
      <c r="BW17" s="54" t="str">
        <f>IF(Tim!GA19=Sheet6!$C$2,Sheet6!$C$2,IF(Tim!GA19=Sheet6!$C$3,Sheet6!$C$3,IF(Tim!GA19=Sheet6!$C$4,Sheet6!$C$4,IF(Tim!GA19=Sheet6!$C$5,Sheet6!$C$5,IF(Tim!GA19=Sheet6!$C$6,Sheet6!$C$6,IF(Tim!GA19=Sheet6!$C$7,Sheet6!$C$7,IF(Tim!GA19=Sheet6!$C$8,Sheet6!$C$8,"")))))))</f>
        <v/>
      </c>
      <c r="BX17" s="54" t="str">
        <f>IF(Tim!GB19=Sheet6!$C$2,Sheet6!$C$2,IF(Tim!GB19=Sheet6!$C$3,Sheet6!$C$3,IF(Tim!GB19=Sheet6!$C$4,Sheet6!$C$4,IF(Tim!GB19=Sheet6!$C$5,Sheet6!$C$5,IF(Tim!GB19=Sheet6!$C$6,Sheet6!$C$6,IF(Tim!GB19=Sheet6!$C$7,Sheet6!$C$7,IF(Tim!GB19=Sheet6!$C$8,Sheet6!$C$8,"")))))))</f>
        <v/>
      </c>
      <c r="BY17" s="55" t="str">
        <f>IF(Tim!GC19=Sheet6!$C$2,Sheet6!$C$2,IF(Tim!GC19=Sheet6!$C$3,Sheet6!$C$3,IF(Tim!GC19=Sheet6!$C$4,Sheet6!$C$4,IF(Tim!GC19=Sheet6!$C$5,Sheet6!$C$5,IF(Tim!GC19=Sheet6!$C$6,Sheet6!$C$6,IF(Tim!GC19=Sheet6!$C$7,Sheet6!$C$7,IF(Tim!GC19=Sheet6!$C$8,Sheet6!$C$8,"")))))))</f>
        <v/>
      </c>
      <c r="BZ17" s="53" t="str">
        <f>IF(Tim!GD19=Sheet6!$C$2,Sheet6!$C$2,IF(Tim!GD19=Sheet6!$C$3,Sheet6!$C$3,IF(Tim!GD19=Sheet6!$C$4,Sheet6!$C$4,IF(Tim!GD19=Sheet6!$C$5,Sheet6!$C$5,IF(Tim!GD19=Sheet6!$C$6,Sheet6!$C$6,IF(Tim!GD19=Sheet6!$C$7,Sheet6!$C$7,IF(Tim!GD19=Sheet6!$C$8,Sheet6!$C$8,"")))))))</f>
        <v/>
      </c>
      <c r="CA17" s="53" t="str">
        <f>IF(Tim!GE19=Sheet6!$C$2,Sheet6!$C$2,IF(Tim!GE19=Sheet6!$C$3,Sheet6!$C$3,IF(Tim!GE19=Sheet6!$C$4,Sheet6!$C$4,IF(Tim!GE19=Sheet6!$C$5,Sheet6!$C$5,IF(Tim!GE19=Sheet6!$C$6,Sheet6!$C$6,IF(Tim!GE19=Sheet6!$C$7,Sheet6!$C$7,IF(Tim!GE19=Sheet6!$C$8,Sheet6!$C$8,"")))))))</f>
        <v/>
      </c>
      <c r="CB17" s="57" t="str">
        <f>IF(Tim!GI19=Sheet6!$C$2,Sheet6!$C$2,IF(Tim!GI19=Sheet6!$C$3,Sheet6!$C$3,IF(Tim!GI19=Sheet6!$C$4,Sheet6!$C$4,IF(Tim!GI19=Sheet6!$C$5,Sheet6!$C$5,IF(Tim!GI19=Sheet6!$C$6,Sheet6!$C$6,IF(Tim!GI19=Sheet6!$C$7,Sheet6!$C$7,IF(Tim!GI19=Sheet6!$C$8,Sheet6!$C$8,"")))))))</f>
        <v/>
      </c>
      <c r="CC17" s="57" t="str">
        <f>IF(Tim!GJ19=Sheet6!$C$2,Sheet6!$C$2,IF(Tim!GJ19=Sheet6!$C$3,Sheet6!$C$3,IF(Tim!GJ19=Sheet6!$C$4,Sheet6!$C$4,IF(Tim!GJ19=Sheet6!$C$5,Sheet6!$C$5,IF(Tim!GJ19=Sheet6!$C$6,Sheet6!$C$6,IF(Tim!GJ19=Sheet6!$C$7,Sheet6!$C$7,IF(Tim!GJ19=Sheet6!$C$8,Sheet6!$C$8,"")))))))</f>
        <v/>
      </c>
      <c r="CD17" s="57" t="str">
        <f>IF(Tim!GN19=Sheet6!$C$2,Sheet6!$C$2,IF(Tim!GN19=Sheet6!$C$3,Sheet6!$C$3,IF(Tim!GN19=Sheet6!$C$4,Sheet6!$C$4,IF(Tim!GN19=Sheet6!$C$5,Sheet6!$C$5,IF(Tim!GN19=Sheet6!$C$6,Sheet6!$C$6,IF(Tim!GN19=Sheet6!$C$7,Sheet6!$C$7,IF(Tim!GN19=Sheet6!$C$8,Sheet6!$C$8,"")))))))</f>
        <v/>
      </c>
      <c r="CE17" s="53" t="str">
        <f>IF(Tim!GY19=Sheet6!$C$2,Sheet6!$C$2,IF(Tim!GY19=Sheet6!$C$3,Sheet6!$C$3,IF(Tim!GY19=Sheet6!$C$4,Sheet6!$C$4,IF(Tim!GY19=Sheet6!$C$5,Sheet6!$C$5,IF(Tim!GY19=Sheet6!$C$6,Sheet6!$C$6,IF(Tim!GY19=Sheet6!$C$7,Sheet6!$C$7,IF(Tim!GY19=Sheet6!$C$8,Sheet6!$C$8,"")))))))</f>
        <v/>
      </c>
      <c r="CF17" s="181" t="str">
        <f>IF(Tim!GZ19=Sheet6!$C$2,Sheet6!$C$2,IF(Tim!GZ19=Sheet6!$C$3,Sheet6!$C$3,IF(Tim!GZ19=Sheet6!$C$4,Sheet6!$C$4,IF(Tim!GZ19=Sheet6!$C$5,Sheet6!$C$5,IF(Tim!GZ19=Sheet6!$C$6,Sheet6!$C$6,IF(Tim!GZ19=Sheet6!$C$7,Sheet6!$C$7,IF(Tim!GZ19=Sheet6!$C$8,Sheet6!$C$8,"")))))))</f>
        <v/>
      </c>
      <c r="CG17" s="181" t="str">
        <f>IF(Tim!HH19=Sheet6!$C$2,Sheet6!$C$2,IF(Tim!HH19=Sheet6!$C$3,Sheet6!$C$3,IF(Tim!HH19=Sheet6!$C$4,Sheet6!$C$4,IF(Tim!HH19=Sheet6!$C$5,Sheet6!$C$5,IF(Tim!HH19=Sheet6!$C$6,Sheet6!$C$6,IF(Tim!HH19=Sheet6!$C$7,Sheet6!$C$7,IF(Tim!HH19=Sheet6!$C$8,Sheet6!$C$8,"")))))))</f>
        <v/>
      </c>
      <c r="CH17" s="181" t="str">
        <f>IF(Tim!HI19=Sheet6!$C$2,Sheet6!$C$2,IF(Tim!HI19=Sheet6!$C$3,Sheet6!$C$3,IF(Tim!HI19=Sheet6!$C$4,Sheet6!$C$4,IF(Tim!HI19=Sheet6!$C$5,Sheet6!$C$5,IF(Tim!HI19=Sheet6!$C$6,Sheet6!$C$6,IF(Tim!HI19=Sheet6!$C$7,Sheet6!$C$7,IF(Tim!HI19=Sheet6!$C$8,Sheet6!$C$8,"")))))))</f>
        <v/>
      </c>
      <c r="CI17" s="181" t="str">
        <f>IF(Tim!HJ19=Sheet6!$C$2,Sheet6!$C$2,IF(Tim!HJ19=Sheet6!$C$3,Sheet6!$C$3,IF(Tim!HJ19=Sheet6!$C$4,Sheet6!$C$4,IF(Tim!HJ19=Sheet6!$C$5,Sheet6!$C$5,IF(Tim!HJ19=Sheet6!$C$6,Sheet6!$C$6,IF(Tim!HJ19=Sheet6!$C$7,Sheet6!$C$7,IF(Tim!HJ19=Sheet6!$C$8,Sheet6!$C$8,"")))))))</f>
        <v/>
      </c>
      <c r="CJ17" s="53" t="str">
        <f>IF(Tim!HK19=Sheet6!$C$2,Sheet6!$C$2,IF(Tim!HK19=Sheet6!$C$3,Sheet6!$C$3,IF(Tim!HK19=Sheet6!$C$4,Sheet6!$C$4,IF(Tim!HK19=Sheet6!$C$5,Sheet6!$C$5,IF(Tim!HK19=Sheet6!$C$6,Sheet6!$C$6,IF(Tim!HK19=Sheet6!$C$7,Sheet6!$C$7,IF(Tim!HK19=Sheet6!$C$8,Sheet6!$C$8,"")))))))</f>
        <v/>
      </c>
      <c r="CK17" s="53" t="str">
        <f>IF(Tim!HL19=Sheet6!$C$2,Sheet6!$C$2,IF(Tim!HL19=Sheet6!$C$3,Sheet6!$C$3,IF(Tim!HL19=Sheet6!$C$4,Sheet6!$C$4,IF(Tim!HL19=Sheet6!$C$5,Sheet6!$C$5,IF(Tim!HL19=Sheet6!$C$6,Sheet6!$C$6,IF(Tim!HL19=Sheet6!$C$7,Sheet6!$C$7,IF(Tim!HL19=Sheet6!$C$8,Sheet6!$C$8,"")))))))</f>
        <v/>
      </c>
      <c r="CL17" s="53" t="str">
        <f>IF(Tim!HM19=Sheet6!$C$2,Sheet6!$C$2,IF(Tim!HM19=Sheet6!$C$3,Sheet6!$C$3,IF(Tim!HM19=Sheet6!$C$4,Sheet6!$C$4,IF(Tim!HM19=Sheet6!$C$5,Sheet6!$C$5,IF(Tim!HM19=Sheet6!$C$6,Sheet6!$C$6,IF(Tim!HM19=Sheet6!$C$7,Sheet6!$C$7,IF(Tim!HM19=Sheet6!$C$8,Sheet6!$C$8,"")))))))</f>
        <v/>
      </c>
      <c r="CM17" s="53" t="str">
        <f>IF(Tim!HQ19=Sheet6!$C$2,Sheet6!$C$2,IF(Tim!HQ19=Sheet6!$C$3,Sheet6!$C$3,IF(Tim!HQ19=Sheet6!$C$4,Sheet6!$C$4,IF(Tim!HQ19=Sheet6!$C$5,Sheet6!$C$5,IF(Tim!HQ19=Sheet6!$C$6,Sheet6!$C$6,IF(Tim!HQ19=Sheet6!$C$7,Sheet6!$C$7,IF(Tim!HQ19=Sheet6!$C$8,Sheet6!$C$8,"")))))))</f>
        <v/>
      </c>
      <c r="CN17" s="54" t="str">
        <f>IF(Tim!HR19=Sheet6!$C$2,Sheet6!$C$2,IF(Tim!HR19=Sheet6!$C$3,Sheet6!$C$3,IF(Tim!HR19=Sheet6!$C$4,Sheet6!$C$4,IF(Tim!HR19=Sheet6!$C$5,Sheet6!$C$5,IF(Tim!HR19=Sheet6!$C$6,Sheet6!$C$6,IF(Tim!HR19=Sheet6!$C$7,Sheet6!$C$7,IF(Tim!HR19=Sheet6!$C$8,Sheet6!$C$8,"")))))))</f>
        <v/>
      </c>
      <c r="CO17" s="54" t="str">
        <f>IF(Tim!HS19=Sheet6!$C$2,Sheet6!$C$2,IF(Tim!HS19=Sheet6!$C$3,Sheet6!$C$3,IF(Tim!HS19=Sheet6!$C$4,Sheet6!$C$4,IF(Tim!HS19=Sheet6!$C$5,Sheet6!$C$5,IF(Tim!HS19=Sheet6!$C$6,Sheet6!$C$6,IF(Tim!HS19=Sheet6!$C$7,Sheet6!$C$7,IF(Tim!HS19=Sheet6!$C$8,Sheet6!$C$8,"")))))))</f>
        <v/>
      </c>
      <c r="CP17" s="54" t="str">
        <f>IF(Tim!HT19=Sheet6!$C$2,Sheet6!$C$2,IF(Tim!HT19=Sheet6!$C$3,Sheet6!$C$3,IF(Tim!HT19=Sheet6!$C$4,Sheet6!$C$4,IF(Tim!HT19=Sheet6!$C$5,Sheet6!$C$5,IF(Tim!HT19=Sheet6!$C$6,Sheet6!$C$6,IF(Tim!HT19=Sheet6!$C$7,Sheet6!$C$7,IF(Tim!HT19=Sheet6!$C$8,Sheet6!$C$8,"")))))))</f>
        <v/>
      </c>
      <c r="CQ17" s="55" t="str">
        <f>IF(Tim!HU19=Sheet6!$C$2,Sheet6!$C$2,IF(Tim!HU19=Sheet6!$C$3,Sheet6!$C$3,IF(Tim!HU19=Sheet6!$C$4,Sheet6!$C$4,IF(Tim!HU19=Sheet6!$C$5,Sheet6!$C$5,IF(Tim!HU19=Sheet6!$C$6,Sheet6!$C$6,IF(Tim!HU19=Sheet6!$C$7,Sheet6!$C$7,IF(Tim!HU19=Sheet6!$C$8,Sheet6!$C$8,"")))))))</f>
        <v/>
      </c>
      <c r="CR17" s="56" t="str">
        <f>IF(Tim!HV19=Sheet6!$C$2,Sheet6!$C$2,IF(Tim!HV19=Sheet6!$C$3,Sheet6!$C$3,IF(Tim!HV19=Sheet6!$C$4,Sheet6!$C$4,IF(Tim!HV19=Sheet6!$C$5,Sheet6!$C$5,IF(Tim!HV19=Sheet6!$C$6,Sheet6!$C$6,IF(Tim!HV19=Sheet6!$C$7,Sheet6!$C$7,IF(Tim!HV19=Sheet6!$C$8,Sheet6!$C$8,"")))))))</f>
        <v/>
      </c>
      <c r="CS17" s="57" t="str">
        <f>IF(Tim!IB19=Sheet6!$C$2,Sheet6!$C$2,IF(Tim!IB19=Sheet6!$C$3,Sheet6!$C$3,IF(Tim!IB19=Sheet6!$C$4,Sheet6!$C$4,IF(Tim!IB19=Sheet6!$C$5,Sheet6!$C$5,IF(Tim!IB19=Sheet6!$C$6,Sheet6!$C$6,IF(Tim!IB19=Sheet6!$C$7,Sheet6!$C$7,IF(Tim!IB19=Sheet6!$C$8,Sheet6!$C$8,"")))))))</f>
        <v/>
      </c>
      <c r="CT17" s="57" t="str">
        <f>IF(Tim!IJ19=Sheet6!$C$2,Sheet6!$C$2,IF(Tim!IJ19=Sheet6!$C$3,Sheet6!$C$3,IF(Tim!IJ19=Sheet6!$C$4,Sheet6!$C$4,IF(Tim!IJ19=Sheet6!$C$5,Sheet6!$C$5,IF(Tim!IJ19=Sheet6!$C$6,Sheet6!$C$6,IF(Tim!IJ19=Sheet6!$C$7,Sheet6!$C$7,IF(Tim!IJ19=Sheet6!$C$8,Sheet6!$C$8,"")))))))</f>
        <v/>
      </c>
      <c r="CU17" s="53" t="str">
        <f>IF(Tim!IQ19=Sheet6!$C$2,Sheet6!$C$2,IF(Tim!IQ19=Sheet6!$C$3,Sheet6!$C$3,IF(Tim!IQ19=Sheet6!$C$4,Sheet6!$C$4,IF(Tim!IQ19=Sheet6!$C$5,Sheet6!$C$5,IF(Tim!IQ19=Sheet6!$C$6,Sheet6!$C$6,IF(Tim!IQ19=Sheet6!$C$7,Sheet6!$C$7,IF(Tim!IQ19=Sheet6!$C$8,Sheet6!$C$8,"")))))))</f>
        <v/>
      </c>
      <c r="CV17" s="53" t="str">
        <f>IF(Tim!IR19=Sheet6!$C$2,Sheet6!$C$2,IF(Tim!IR19=Sheet6!$C$3,Sheet6!$C$3,IF(Tim!IR19=Sheet6!$C$4,Sheet6!$C$4,IF(Tim!IR19=Sheet6!$C$5,Sheet6!$C$5,IF(Tim!IR19=Sheet6!$C$6,Sheet6!$C$6,IF(Tim!IR19=Sheet6!$C$7,Sheet6!$C$7,IF(Tim!IR19=Sheet6!$C$8,Sheet6!$C$8,"")))))))</f>
        <v/>
      </c>
      <c r="CW17" s="53" t="str">
        <f>IF(Tim!IZ19=Sheet6!$C$2,Sheet6!$C$2,IF(Tim!IZ19=Sheet6!$C$3,Sheet6!$C$3,IF(Tim!IZ19=Sheet6!$C$4,Sheet6!$C$4,IF(Tim!IZ19=Sheet6!$C$5,Sheet6!$C$5,IF(Tim!IZ19=Sheet6!$C$6,Sheet6!$C$6,IF(Tim!IZ19=Sheet6!$C$7,Sheet6!$C$7,IF(Tim!IZ19=Sheet6!$C$8,Sheet6!$C$8,"")))))))</f>
        <v/>
      </c>
      <c r="CX17" s="53" t="str">
        <f>IF(Tim!JA19=Sheet6!$C$2,Sheet6!$C$2,IF(Tim!JA19=Sheet6!$C$3,Sheet6!$C$3,IF(Tim!JA19=Sheet6!$C$4,Sheet6!$C$4,IF(Tim!JA19=Sheet6!$C$5,Sheet6!$C$5,IF(Tim!JA19=Sheet6!$C$6,Sheet6!$C$6,IF(Tim!JA19=Sheet6!$C$7,Sheet6!$C$7,IF(Tim!JA19=Sheet6!$C$8,Sheet6!$C$8,"")))))))</f>
        <v/>
      </c>
      <c r="CY17" s="53" t="str">
        <f>IF(Tim!JB19=Sheet6!$C$2,Sheet6!$C$2,IF(Tim!JB19=Sheet6!$C$3,Sheet6!$C$3,IF(Tim!JB19=Sheet6!$C$4,Sheet6!$C$4,IF(Tim!JB19=Sheet6!$C$5,Sheet6!$C$5,IF(Tim!JB19=Sheet6!$C$6,Sheet6!$C$6,IF(Tim!JB19=Sheet6!$C$7,Sheet6!$C$7,IF(Tim!JB19=Sheet6!$C$8,Sheet6!$C$8,"")))))))</f>
        <v/>
      </c>
      <c r="CZ17" s="53" t="str">
        <f>IF(Tim!JC19=Sheet6!$C$2,Sheet6!$C$2,IF(Tim!JC19=Sheet6!$C$3,Sheet6!$C$3,IF(Tim!JC19=Sheet6!$C$4,Sheet6!$C$4,IF(Tim!JC19=Sheet6!$C$5,Sheet6!$C$5,IF(Tim!JC19=Sheet6!$C$6,Sheet6!$C$6,IF(Tim!JC19=Sheet6!$C$7,Sheet6!$C$7,IF(Tim!JC19=Sheet6!$C$8,Sheet6!$C$8,"")))))))</f>
        <v/>
      </c>
      <c r="DA17" s="53" t="str">
        <f>IF(Tim!JD19=Sheet6!$C$2,Sheet6!$C$2,IF(Tim!JD19=Sheet6!$C$3,Sheet6!$C$3,IF(Tim!JD19=Sheet6!$C$4,Sheet6!$C$4,IF(Tim!JD19=Sheet6!$C$5,Sheet6!$C$5,IF(Tim!JD19=Sheet6!$C$6,Sheet6!$C$6,IF(Tim!JD19=Sheet6!$C$7,Sheet6!$C$7,IF(Tim!JD19=Sheet6!$C$8,Sheet6!$C$8,"")))))))</f>
        <v/>
      </c>
      <c r="DB17" s="53" t="str">
        <f>IF(Tim!JE19=Sheet6!$C$2,Sheet6!$C$2,IF(Tim!JE19=Sheet6!$C$3,Sheet6!$C$3,IF(Tim!JE19=Sheet6!$C$4,Sheet6!$C$4,IF(Tim!JE19=Sheet6!$C$5,Sheet6!$C$5,IF(Tim!JE19=Sheet6!$C$6,Sheet6!$C$6,IF(Tim!JE19=Sheet6!$C$7,Sheet6!$C$7,IF(Tim!JE19=Sheet6!$C$8,Sheet6!$C$8,"")))))))</f>
        <v/>
      </c>
      <c r="DC17" s="53" t="str">
        <f>IF(Tim!JI19=Sheet6!$C$2,Sheet6!$C$2,IF(Tim!JI19=Sheet6!$C$3,Sheet6!$C$3,IF(Tim!JI19=Sheet6!$C$4,Sheet6!$C$4,IF(Tim!JI19=Sheet6!$C$5,Sheet6!$C$5,IF(Tim!JI19=Sheet6!$C$6,Sheet6!$C$6,IF(Tim!JI19=Sheet6!$C$7,Sheet6!$C$7,IF(Tim!JI19=Sheet6!$C$8,Sheet6!$C$8,"")))))))</f>
        <v/>
      </c>
      <c r="DD17" s="54" t="str">
        <f>IF(Tim!JJ19=Sheet6!$C$2,Sheet6!$C$2,IF(Tim!JJ19=Sheet6!$C$3,Sheet6!$C$3,IF(Tim!JJ19=Sheet6!$C$4,Sheet6!$C$4,IF(Tim!JJ19=Sheet6!$C$5,Sheet6!$C$5,IF(Tim!JJ19=Sheet6!$C$6,Sheet6!$C$6,IF(Tim!JJ19=Sheet6!$C$7,Sheet6!$C$7,IF(Tim!JJ19=Sheet6!$C$8,Sheet6!$C$8,"")))))))</f>
        <v/>
      </c>
      <c r="DE17" s="54" t="str">
        <f>IF(Tim!JK19=Sheet6!$C$2,Sheet6!$C$2,IF(Tim!JK19=Sheet6!$C$3,Sheet6!$C$3,IF(Tim!JK19=Sheet6!$C$4,Sheet6!$C$4,IF(Tim!JK19=Sheet6!$C$5,Sheet6!$C$5,IF(Tim!JK19=Sheet6!$C$6,Sheet6!$C$6,IF(Tim!JK19=Sheet6!$C$7,Sheet6!$C$7,IF(Tim!JK19=Sheet6!$C$8,Sheet6!$C$8,"")))))))</f>
        <v/>
      </c>
      <c r="DF17" s="54" t="str">
        <f>IF(Tim!JL19=Sheet6!$C$2,Sheet6!$C$2,IF(Tim!JL19=Sheet6!$C$3,Sheet6!$C$3,IF(Tim!JL19=Sheet6!$C$4,Sheet6!$C$4,IF(Tim!JL19=Sheet6!$C$5,Sheet6!$C$5,IF(Tim!JL19=Sheet6!$C$6,Sheet6!$C$6,IF(Tim!JL19=Sheet6!$C$7,Sheet6!$C$7,IF(Tim!JL19=Sheet6!$C$8,Sheet6!$C$8,"")))))))</f>
        <v/>
      </c>
      <c r="DG17" s="55" t="str">
        <f>IF(Tim!JM19=Sheet6!$C$2,Sheet6!$C$2,IF(Tim!JM19=Sheet6!$C$3,Sheet6!$C$3,IF(Tim!JM19=Sheet6!$C$4,Sheet6!$C$4,IF(Tim!JM19=Sheet6!$C$5,Sheet6!$C$5,IF(Tim!JM19=Sheet6!$C$6,Sheet6!$C$6,IF(Tim!JM19=Sheet6!$C$7,Sheet6!$C$7,IF(Tim!JM19=Sheet6!$C$8,Sheet6!$C$8,"")))))))</f>
        <v/>
      </c>
      <c r="DH17" s="56" t="str">
        <f>IF(Tim!JN19=Sheet6!$C$2,Sheet6!$C$2,IF(Tim!JN19=Sheet6!$C$3,Sheet6!$C$3,IF(Tim!JN19=Sheet6!$C$4,Sheet6!$C$4,IF(Tim!JN19=Sheet6!$C$5,Sheet6!$C$5,IF(Tim!JN19=Sheet6!$C$6,Sheet6!$C$6,IF(Tim!JN19=Sheet6!$C$7,Sheet6!$C$7,IF(Tim!JN19=Sheet6!$C$8,Sheet6!$C$8,"")))))))</f>
        <v/>
      </c>
      <c r="DI17" s="57" t="str">
        <f>IF(Tim!JS19=Sheet6!$C$2,Sheet6!$C$2,IF(Tim!JS19=Sheet6!$C$3,Sheet6!$C$3,IF(Tim!JS19=Sheet6!$C$4,Sheet6!$C$4,IF(Tim!JS19=Sheet6!$C$5,Sheet6!$C$5,IF(Tim!JS19=Sheet6!$C$6,Sheet6!$C$6,IF(Tim!JS19=Sheet6!$C$7,Sheet6!$C$7,IF(Tim!JS19=Sheet6!$C$8,Sheet6!$C$8,"")))))))</f>
        <v/>
      </c>
      <c r="DJ17" s="57" t="str">
        <f>IF(Tim!KB19=Sheet6!$C$2,Sheet6!$C$2,IF(Tim!KB19=Sheet6!$C$3,Sheet6!$C$3,IF(Tim!KB19=Sheet6!$C$4,Sheet6!$C$4,IF(Tim!KB19=Sheet6!$C$5,Sheet6!$C$5,IF(Tim!KB19=Sheet6!$C$6,Sheet6!$C$6,IF(Tim!KB19=Sheet6!$C$7,Sheet6!$C$7,IF(Tim!KB19=Sheet6!$C$8,Sheet6!$C$8,"")))))))</f>
        <v/>
      </c>
      <c r="DK17" s="53" t="str">
        <f>IF(Tim!KI19=Sheet6!$C$2,Sheet6!$C$2,IF(Tim!KI19=Sheet6!$C$3,Sheet6!$C$3,IF(Tim!KI19=Sheet6!$C$4,Sheet6!$C$4,IF(Tim!KI19=Sheet6!$C$5,Sheet6!$C$5,IF(Tim!KI19=Sheet6!$C$6,Sheet6!$C$6,IF(Tim!KI19=Sheet6!$C$7,Sheet6!$C$7,IF(Tim!KI19=Sheet6!$C$8,Sheet6!$C$8,"")))))))</f>
        <v/>
      </c>
      <c r="DL17" s="53" t="str">
        <f>IF(Tim!KJ19=Sheet6!$C$2,Sheet6!$C$2,IF(Tim!KJ19=Sheet6!$C$3,Sheet6!$C$3,IF(Tim!KJ19=Sheet6!$C$4,Sheet6!$C$4,IF(Tim!KJ19=Sheet6!$C$5,Sheet6!$C$5,IF(Tim!KJ19=Sheet6!$C$6,Sheet6!$C$6,IF(Tim!KJ19=Sheet6!$C$7,Sheet6!$C$7,IF(Tim!KJ19=Sheet6!$C$8,Sheet6!$C$8,"")))))))</f>
        <v/>
      </c>
      <c r="DM17" s="53" t="str">
        <f>IF(Tim!KR19=Sheet6!$C$2,Sheet6!$C$2,IF(Tim!KR19=Sheet6!$C$3,Sheet6!$C$3,IF(Tim!KR19=Sheet6!$C$4,Sheet6!$C$4,IF(Tim!KR19=Sheet6!$C$5,Sheet6!$C$5,IF(Tim!KR19=Sheet6!$C$6,Sheet6!$C$6,IF(Tim!KR19=Sheet6!$C$7,Sheet6!$C$7,IF(Tim!KR19=Sheet6!$C$8,Sheet6!$C$8,"")))))))</f>
        <v/>
      </c>
      <c r="DN17" s="53" t="str">
        <f>IF(Tim!KS19=Sheet6!$C$2,Sheet6!$C$2,IF(Tim!KS19=Sheet6!$C$3,Sheet6!$C$3,IF(Tim!KS19=Sheet6!$C$4,Sheet6!$C$4,IF(Tim!KS19=Sheet6!$C$5,Sheet6!$C$5,IF(Tim!KS19=Sheet6!$C$6,Sheet6!$C$6,IF(Tim!KS19=Sheet6!$C$7,Sheet6!$C$7,IF(Tim!KS19=Sheet6!$C$8,Sheet6!$C$8,"")))))))</f>
        <v/>
      </c>
      <c r="DO17" s="53" t="str">
        <f>IF(Tim!KT19=Sheet6!$C$2,Sheet6!$C$2,IF(Tim!KT19=Sheet6!$C$3,Sheet6!$C$3,IF(Tim!KT19=Sheet6!$C$4,Sheet6!$C$4,IF(Tim!KT19=Sheet6!$C$5,Sheet6!$C$5,IF(Tim!KT19=Sheet6!$C$6,Sheet6!$C$6,IF(Tim!KT19=Sheet6!$C$7,Sheet6!$C$7,IF(Tim!KT19=Sheet6!$C$8,Sheet6!$C$8,"")))))))</f>
        <v/>
      </c>
      <c r="DP17" s="53" t="str">
        <f>IF(Tim!KU19=Sheet6!$C$2,Sheet6!$C$2,IF(Tim!KU19=Sheet6!$C$3,Sheet6!$C$3,IF(Tim!KU19=Sheet6!$C$4,Sheet6!$C$4,IF(Tim!KU19=Sheet6!$C$5,Sheet6!$C$5,IF(Tim!KU19=Sheet6!$C$6,Sheet6!$C$6,IF(Tim!KU19=Sheet6!$C$7,Sheet6!$C$7,IF(Tim!KU19=Sheet6!$C$8,Sheet6!$C$8,"")))))))</f>
        <v/>
      </c>
      <c r="DQ17" s="53" t="str">
        <f>IF(Tim!KV19=Sheet6!$C$2,Sheet6!$C$2,IF(Tim!KV19=Sheet6!$C$3,Sheet6!$C$3,IF(Tim!KV19=Sheet6!$C$4,Sheet6!$C$4,IF(Tim!KV19=Sheet6!$C$5,Sheet6!$C$5,IF(Tim!KV19=Sheet6!$C$6,Sheet6!$C$6,IF(Tim!KV19=Sheet6!$C$7,Sheet6!$C$7,IF(Tim!KV19=Sheet6!$C$8,Sheet6!$C$8,"")))))))</f>
        <v/>
      </c>
      <c r="DR17" s="53" t="str">
        <f>IF(Tim!KW19=Sheet6!$C$2,Sheet6!$C$2,IF(Tim!KW19=Sheet6!$C$3,Sheet6!$C$3,IF(Tim!KW19=Sheet6!$C$4,Sheet6!$C$4,IF(Tim!KW19=Sheet6!$C$5,Sheet6!$C$5,IF(Tim!KW19=Sheet6!$C$6,Sheet6!$C$6,IF(Tim!KW19=Sheet6!$C$7,Sheet6!$C$7,IF(Tim!KW19=Sheet6!$C$8,Sheet6!$C$8,"")))))))</f>
        <v/>
      </c>
      <c r="DS17" s="53" t="str">
        <f>IF(Tim!LA19=Sheet6!$C$2,Sheet6!$C$2,IF(Tim!LA19=Sheet6!$C$3,Sheet6!$C$3,IF(Tim!LA19=Sheet6!$C$4,Sheet6!$C$4,IF(Tim!LA19=Sheet6!$C$5,Sheet6!$C$5,IF(Tim!LA19=Sheet6!$C$6,Sheet6!$C$6,IF(Tim!LA19=Sheet6!$C$7,Sheet6!$C$7,IF(Tim!LA19=Sheet6!$C$8,Sheet6!$C$8,"")))))))</f>
        <v/>
      </c>
      <c r="DT17" s="54" t="str">
        <f>IF(Tim!LB19=Sheet6!$C$2,Sheet6!$C$2,IF(Tim!LB19=Sheet6!$C$3,Sheet6!$C$3,IF(Tim!LB19=Sheet6!$C$4,Sheet6!$C$4,IF(Tim!LB19=Sheet6!$C$5,Sheet6!$C$5,IF(Tim!LB19=Sheet6!$C$6,Sheet6!$C$6,IF(Tim!LB19=Sheet6!$C$7,Sheet6!$C$7,IF(Tim!LB19=Sheet6!$C$8,Sheet6!$C$8,"")))))))</f>
        <v/>
      </c>
      <c r="DU17" s="54" t="str">
        <f>IF(Tim!LC19=Sheet6!$C$2,Sheet6!$C$2,IF(Tim!LC19=Sheet6!$C$3,Sheet6!$C$3,IF(Tim!LC19=Sheet6!$C$4,Sheet6!$C$4,IF(Tim!LC19=Sheet6!$C$5,Sheet6!$C$5,IF(Tim!LC19=Sheet6!$C$6,Sheet6!$C$6,IF(Tim!LC19=Sheet6!$C$7,Sheet6!$C$7,IF(Tim!LC19=Sheet6!$C$8,Sheet6!$C$8,"")))))))</f>
        <v/>
      </c>
      <c r="DV17" s="54" t="str">
        <f>IF(Tim!LD19=Sheet6!$C$2,Sheet6!$C$2,IF(Tim!LD19=Sheet6!$C$3,Sheet6!$C$3,IF(Tim!LD19=Sheet6!$C$4,Sheet6!$C$4,IF(Tim!LD19=Sheet6!$C$5,Sheet6!$C$5,IF(Tim!LD19=Sheet6!$C$6,Sheet6!$C$6,IF(Tim!LD19=Sheet6!$C$7,Sheet6!$C$7,IF(Tim!LD19=Sheet6!$C$8,Sheet6!$C$8,"")))))))</f>
        <v/>
      </c>
      <c r="DW17" s="55" t="str">
        <f>IF(Tim!LE19=Sheet6!$C$2,Sheet6!$C$2,IF(Tim!LE19=Sheet6!$C$3,Sheet6!$C$3,IF(Tim!LE19=Sheet6!$C$4,Sheet6!$C$4,IF(Tim!LE19=Sheet6!$C$5,Sheet6!$C$5,IF(Tim!LE19=Sheet6!$C$6,Sheet6!$C$6,IF(Tim!LE19=Sheet6!$C$7,Sheet6!$C$7,IF(Tim!LE19=Sheet6!$C$8,Sheet6!$C$8,"")))))))</f>
        <v/>
      </c>
      <c r="DX17" s="52">
        <v>0.41666666666666702</v>
      </c>
    </row>
    <row r="18" spans="2:128" ht="10.5" customHeight="1">
      <c r="B18" s="51">
        <v>0.25</v>
      </c>
      <c r="C18" s="51">
        <v>0.25</v>
      </c>
      <c r="D18" s="51">
        <v>0.25</v>
      </c>
      <c r="E18" s="52">
        <v>0.42708333333333298</v>
      </c>
      <c r="F18" s="53" t="str">
        <f>IF(Tim!F20=Sheet6!$C$2,Sheet6!$C$2,IF(Tim!F20=Sheet6!$C$3,Sheet6!$C$3,IF(Tim!F20=Sheet6!$C$4,Sheet6!$C$4,IF(Tim!F20=Sheet6!$C$5,Sheet6!$C$5,IF(Tim!F20=Sheet6!$C$6,Sheet6!$C$6,IF(Tim!F20=Sheet6!$C$7,Sheet6!$C$7,IF(Tim!F20=Sheet6!$C$8,Sheet6!$C$8,"")))))))</f>
        <v/>
      </c>
      <c r="G18" s="53" t="str">
        <f>IF(Tim!G20=Sheet6!$C$2,Sheet6!$C$2,IF(Tim!G20=Sheet6!$C$3,Sheet6!$C$3,IF(Tim!G20=Sheet6!$C$4,Sheet6!$C$4,IF(Tim!G20=Sheet6!$C$5,Sheet6!$C$5,IF(Tim!G20=Sheet6!$C$6,Sheet6!$C$6,IF(Tim!G20=Sheet6!$C$7,Sheet6!$C$7,IF(Tim!G20=Sheet6!$C$8,Sheet6!$C$8,"")))))))</f>
        <v/>
      </c>
      <c r="H18" s="53" t="str">
        <f>IF(Tim!H20=Sheet6!$C$2,Sheet6!$C$2,IF(Tim!H20=Sheet6!$C$3,Sheet6!$C$3,IF(Tim!H20=Sheet6!$C$4,Sheet6!$C$4,IF(Tim!H20=Sheet6!$C$5,Sheet6!$C$5,IF(Tim!H20=Sheet6!$C$6,Sheet6!$C$6,IF(Tim!H20=Sheet6!$C$7,Sheet6!$C$7,IF(Tim!H20=Sheet6!$C$8,Sheet6!$C$8,"")))))))</f>
        <v/>
      </c>
      <c r="I18" s="53" t="str">
        <f>IF(Tim!L20=Sheet6!$C$2,Sheet6!$C$2,IF(Tim!L20=Sheet6!$C$3,Sheet6!$C$3,IF(Tim!L20=Sheet6!$C$4,Sheet6!$C$4,IF(Tim!L20=Sheet6!$C$5,Sheet6!$C$5,IF(Tim!L20=Sheet6!$C$6,Sheet6!$C$6,IF(Tim!L20=Sheet6!$C$7,Sheet6!$C$7,IF(Tim!L20=Sheet6!$C$8,Sheet6!$C$8,"")))))))</f>
        <v/>
      </c>
      <c r="J18" s="53" t="str">
        <f>IF(Tim!T20=Sheet6!$C$2,Sheet6!$C$2,IF(Tim!T20=Sheet6!$C$3,Sheet6!$C$3,IF(Tim!T20=Sheet6!$C$4,Sheet6!$C$4,IF(Tim!T20=Sheet6!$C$5,Sheet6!$C$5,IF(Tim!T20=Sheet6!$C$6,Sheet6!$C$6,IF(Tim!T20=Sheet6!$C$7,Sheet6!$C$7,IF(Tim!T20=Sheet6!$C$8,Sheet6!$C$8,"")))))))</f>
        <v/>
      </c>
      <c r="K18" s="53" t="str">
        <f>IF(Tim!AB20=Sheet6!$C$2,Sheet6!$C$2,IF(Tim!AB20=Sheet6!$C$3,Sheet6!$C$3,IF(Tim!AB20=Sheet6!$C$4,Sheet6!$C$4,IF(Tim!AB20=Sheet6!$C$5,Sheet6!$C$5,IF(Tim!AB20=Sheet6!$C$6,Sheet6!$C$6,IF(Tim!AB20=Sheet6!$C$7,Sheet6!$C$7,IF(Tim!AB20=Sheet6!$C$8,Sheet6!$C$8,"")))))))</f>
        <v/>
      </c>
      <c r="L18" s="181" t="str">
        <f>IF(Tim!AC20=Sheet6!$C$2,Sheet6!$C$2,IF(Tim!AC20=Sheet6!$C$3,Sheet6!$C$3,IF(Tim!AC20=Sheet6!$C$4,Sheet6!$C$4,IF(Tim!AC20=Sheet6!$C$5,Sheet6!$C$5,IF(Tim!AC20=Sheet6!$C$6,Sheet6!$C$6,IF(Tim!AC20=Sheet6!$C$7,Sheet6!$C$7,IF(Tim!AC20=Sheet6!$C$8,Sheet6!$C$8,"")))))))</f>
        <v/>
      </c>
      <c r="M18" s="181" t="str">
        <f>IF(Tim!AJ20=Sheet6!$C$2,Sheet6!$C$2,IF(Tim!AJ20=Sheet6!$C$3,Sheet6!$C$3,IF(Tim!AJ20=Sheet6!$C$4,Sheet6!$C$4,IF(Tim!AJ20=Sheet6!$C$5,Sheet6!$C$5,IF(Tim!AJ20=Sheet6!$C$6,Sheet6!$C$6,IF(Tim!AJ20=Sheet6!$C$7,Sheet6!$C$7,IF(Tim!AJ20=Sheet6!$C$8,Sheet6!$C$8,"")))))))</f>
        <v/>
      </c>
      <c r="N18" s="181" t="str">
        <f>IF(Tim!AK20=Sheet6!$C$2,Sheet6!$C$2,IF(Tim!AK20=Sheet6!$C$3,Sheet6!$C$3,IF(Tim!AK20=Sheet6!$C$4,Sheet6!$C$4,IF(Tim!AK20=Sheet6!$C$5,Sheet6!$C$5,IF(Tim!AK20=Sheet6!$C$6,Sheet6!$C$6,IF(Tim!AK20=Sheet6!$C$7,Sheet6!$C$7,IF(Tim!AK20=Sheet6!$C$8,Sheet6!$C$8,"")))))))</f>
        <v/>
      </c>
      <c r="O18" s="53" t="str">
        <f>IF(Tim!AL20=Sheet6!$C$2,Sheet6!$C$2,IF(Tim!AL20=Sheet6!$C$3,Sheet6!$C$3,IF(Tim!AL20=Sheet6!$C$4,Sheet6!$C$4,IF(Tim!AL20=Sheet6!$C$5,Sheet6!$C$5,IF(Tim!AL20=Sheet6!$C$6,Sheet6!$C$6,IF(Tim!AL20=Sheet6!$C$7,Sheet6!$C$7,IF(Tim!AL20=Sheet6!$C$8,Sheet6!$C$8,"")))))))</f>
        <v/>
      </c>
      <c r="P18" s="53" t="str">
        <f>IF(Tim!AN20=Sheet6!$C$2,Sheet6!$C$2,IF(Tim!AN20=Sheet6!$C$3,Sheet6!$C$3,IF(Tim!AN20=Sheet6!$C$4,Sheet6!$C$4,IF(Tim!AN20=Sheet6!$C$5,Sheet6!$C$5,IF(Tim!AN20=Sheet6!$C$6,Sheet6!$C$6,IF(Tim!AN20=Sheet6!$C$7,Sheet6!$C$7,IF(Tim!AN20=Sheet6!$C$8,Sheet6!$C$8,"")))))))</f>
        <v/>
      </c>
      <c r="Q18" s="53" t="str">
        <f>IF(Tim!AO20=Sheet6!$C$2,Sheet6!$C$2,IF(Tim!AO20=Sheet6!$C$3,Sheet6!$C$3,IF(Tim!AO20=Sheet6!$C$4,Sheet6!$C$4,IF(Tim!AO20=Sheet6!$C$5,Sheet6!$C$5,IF(Tim!AO20=Sheet6!$C$6,Sheet6!$C$6,IF(Tim!AO20=Sheet6!$C$7,Sheet6!$C$7,IF(Tim!AO20=Sheet6!$C$8,Sheet6!$C$8,"")))))))</f>
        <v/>
      </c>
      <c r="R18" s="53" t="str">
        <f>IF(Tim!AP20=Sheet6!$C$2,Sheet6!$C$2,IF(Tim!AP20=Sheet6!$C$3,Sheet6!$C$3,IF(Tim!AP20=Sheet6!$C$4,Sheet6!$C$4,IF(Tim!AP20=Sheet6!$C$5,Sheet6!$C$5,IF(Tim!AP20=Sheet6!$C$6,Sheet6!$C$6,IF(Tim!AP20=Sheet6!$C$7,Sheet6!$C$7,IF(Tim!AP20=Sheet6!$C$8,Sheet6!$C$8,"")))))))</f>
        <v/>
      </c>
      <c r="S18" s="53" t="str">
        <f>IF(Tim!AT20=Sheet6!$C$2,Sheet6!$C$2,IF(Tim!AT20=Sheet6!$C$3,Sheet6!$C$3,IF(Tim!AT20=Sheet6!$C$4,Sheet6!$C$4,IF(Tim!AT20=Sheet6!$C$5,Sheet6!$C$5,IF(Tim!AT20=Sheet6!$C$6,Sheet6!$C$6,IF(Tim!AT20=Sheet6!$C$7,Sheet6!$C$7,IF(Tim!AT20=Sheet6!$C$8,Sheet6!$C$8,"")))))))</f>
        <v/>
      </c>
      <c r="T18" s="54" t="str">
        <f>IF(Tim!AU20=Sheet6!$C$2,Sheet6!$C$2,IF(Tim!AU20=Sheet6!$C$3,Sheet6!$C$3,IF(Tim!AU20=Sheet6!$C$4,Sheet6!$C$4,IF(Tim!AU20=Sheet6!$C$5,Sheet6!$C$5,IF(Tim!AU20=Sheet6!$C$6,Sheet6!$C$6,IF(Tim!AU20=Sheet6!$C$7,Sheet6!$C$7,IF(Tim!AU20=Sheet6!$C$8,Sheet6!$C$8,"")))))))</f>
        <v/>
      </c>
      <c r="U18" s="54" t="str">
        <f>IF(Tim!AV20=Sheet6!$C$2,Sheet6!$C$2,IF(Tim!AV20=Sheet6!$C$3,Sheet6!$C$3,IF(Tim!AV20=Sheet6!$C$4,Sheet6!$C$4,IF(Tim!AV20=Sheet6!$C$5,Sheet6!$C$5,IF(Tim!AV20=Sheet6!$C$6,Sheet6!$C$6,IF(Tim!AV20=Sheet6!$C$7,Sheet6!$C$7,IF(Tim!AV20=Sheet6!$C$8,Sheet6!$C$8,"")))))))</f>
        <v/>
      </c>
      <c r="V18" s="54" t="str">
        <f>IF(Tim!AW20=Sheet6!$C$2,Sheet6!$C$2,IF(Tim!AW20=Sheet6!$C$3,Sheet6!$C$3,IF(Tim!AW20=Sheet6!$C$4,Sheet6!$C$4,IF(Tim!AW20=Sheet6!$C$5,Sheet6!$C$5,IF(Tim!AW20=Sheet6!$C$6,Sheet6!$C$6,IF(Tim!AW20=Sheet6!$C$7,Sheet6!$C$7,IF(Tim!AW20=Sheet6!$C$8,Sheet6!$C$8,"")))))))</f>
        <v/>
      </c>
      <c r="W18" s="55" t="str">
        <f>IF(Tim!AX20=Sheet6!$C$2,Sheet6!$C$2,IF(Tim!AX20=Sheet6!$C$3,Sheet6!$C$3,IF(Tim!AX20=Sheet6!$C$4,Sheet6!$C$4,IF(Tim!AX20=Sheet6!$C$5,Sheet6!$C$5,IF(Tim!AX20=Sheet6!$C$6,Sheet6!$C$6,IF(Tim!AX20=Sheet6!$C$7,Sheet6!$C$7,IF(Tim!AX20=Sheet6!$C$8,Sheet6!$C$8,"")))))))</f>
        <v/>
      </c>
      <c r="X18" s="53" t="str">
        <f>IF(Tim!AY20=Sheet6!$C$2,Sheet6!$C$2,IF(Tim!AY20=Sheet6!$C$3,Sheet6!$C$3,IF(Tim!AY20=Sheet6!$C$4,Sheet6!$C$4,IF(Tim!AY20=Sheet6!$C$5,Sheet6!$C$5,IF(Tim!AY20=Sheet6!$C$6,Sheet6!$C$6,IF(Tim!AY20=Sheet6!$C$7,Sheet6!$C$7,IF(Tim!AY20=Sheet6!$C$8,Sheet6!$C$8,"")))))))</f>
        <v/>
      </c>
      <c r="Y18" s="53" t="str">
        <f>IF(Tim!AZ20=Sheet6!$C$2,Sheet6!$C$2,IF(Tim!AZ20=Sheet6!$C$3,Sheet6!$C$3,IF(Tim!AZ20=Sheet6!$C$4,Sheet6!$C$4,IF(Tim!AZ20=Sheet6!$C$5,Sheet6!$C$5,IF(Tim!AZ20=Sheet6!$C$6,Sheet6!$C$6,IF(Tim!AZ20=Sheet6!$C$7,Sheet6!$C$7,IF(Tim!AZ20=Sheet6!$C$8,Sheet6!$C$8,"")))))))</f>
        <v/>
      </c>
      <c r="Z18" s="53" t="str">
        <f>IF(Tim!BD20=Sheet6!$C$2,Sheet6!$C$2,IF(Tim!BD20=Sheet6!$C$3,Sheet6!$C$3,IF(Tim!BD20=Sheet6!$C$4,Sheet6!$C$4,IF(Tim!BD20=Sheet6!$C$5,Sheet6!$C$5,IF(Tim!BD20=Sheet6!$C$6,Sheet6!$C$6,IF(Tim!BD20=Sheet6!$C$7,Sheet6!$C$7,IF(Tim!BD20=Sheet6!$C$8,Sheet6!$C$8,"")))))))</f>
        <v/>
      </c>
      <c r="AA18" s="53" t="str">
        <f>IF(Tim!BE20=Sheet6!$C$2,Sheet6!$C$2,IF(Tim!BE20=Sheet6!$C$3,Sheet6!$C$3,IF(Tim!BE20=Sheet6!$C$4,Sheet6!$C$4,IF(Tim!BE20=Sheet6!$C$5,Sheet6!$C$5,IF(Tim!BE20=Sheet6!$C$6,Sheet6!$C$6,IF(Tim!BE20=Sheet6!$C$7,Sheet6!$C$7,IF(Tim!BE20=Sheet6!$C$8,Sheet6!$C$8,"")))))))</f>
        <v/>
      </c>
      <c r="AB18" s="57" t="str">
        <f>IF(Tim!BL20=Sheet6!$C$2,Sheet6!$C$2,IF(Tim!BL20=Sheet6!$C$3,Sheet6!$C$3,IF(Tim!BL20=Sheet6!$C$4,Sheet6!$C$4,IF(Tim!BL20=Sheet6!$C$5,Sheet6!$C$5,IF(Tim!BL20=Sheet6!$C$6,Sheet6!$C$6,IF(Tim!BL20=Sheet6!$C$7,Sheet6!$C$7,IF(Tim!BL20=Sheet6!$C$8,Sheet6!$C$8,"")))))))</f>
        <v/>
      </c>
      <c r="AC18" s="53" t="str">
        <f>IF(Tim!BT20=Sheet6!$C$2,Sheet6!$C$2,IF(Tim!BT20=Sheet6!$C$3,Sheet6!$C$3,IF(Tim!BT20=Sheet6!$C$4,Sheet6!$C$4,IF(Tim!BT20=Sheet6!$C$5,Sheet6!$C$5,IF(Tim!BT20=Sheet6!$C$6,Sheet6!$C$6,IF(Tim!BT20=Sheet6!$C$7,Sheet6!$C$7,IF(Tim!BT20=Sheet6!$C$8,Sheet6!$C$8,"")))))))</f>
        <v/>
      </c>
      <c r="AD18" s="181" t="str">
        <f>IF(Tim!BU20=Sheet6!$C$2,Sheet6!$C$2,IF(Tim!BU20=Sheet6!$C$3,Sheet6!$C$3,IF(Tim!BU20=Sheet6!$C$4,Sheet6!$C$4,IF(Tim!BU20=Sheet6!$C$5,Sheet6!$C$5,IF(Tim!BU20=Sheet6!$C$6,Sheet6!$C$6,IF(Tim!BU20=Sheet6!$C$7,Sheet6!$C$7,IF(Tim!BU20=Sheet6!$C$8,Sheet6!$C$8,"")))))))</f>
        <v/>
      </c>
      <c r="AE18" s="181" t="str">
        <f>IF(Tim!CB20=Sheet6!$C$2,Sheet6!$C$2,IF(Tim!CB20=Sheet6!$C$3,Sheet6!$C$3,IF(Tim!CB20=Sheet6!$C$4,Sheet6!$C$4,IF(Tim!CB20=Sheet6!$C$5,Sheet6!$C$5,IF(Tim!CB20=Sheet6!$C$6,Sheet6!$C$6,IF(Tim!CB20=Sheet6!$C$7,Sheet6!$C$7,IF(Tim!CB20=Sheet6!$C$8,Sheet6!$C$8,"")))))))</f>
        <v/>
      </c>
      <c r="AF18" s="181" t="str">
        <f>IF(Tim!CD20=Sheet6!$C$2,Sheet6!$C$2,IF(Tim!CD20=Sheet6!$C$3,Sheet6!$C$3,IF(Tim!CD20=Sheet6!$C$4,Sheet6!$C$4,IF(Tim!CD20=Sheet6!$C$5,Sheet6!$C$5,IF(Tim!CD20=Sheet6!$C$6,Sheet6!$C$6,IF(Tim!CD20=Sheet6!$C$7,Sheet6!$C$7,IF(Tim!CD20=Sheet6!$C$8,Sheet6!$C$8,"")))))))</f>
        <v/>
      </c>
      <c r="AG18" s="53" t="str">
        <f>IF(Tim!CE20=Sheet6!$C$2,Sheet6!$C$2,IF(Tim!CE20=Sheet6!$C$3,Sheet6!$C$3,IF(Tim!CE20=Sheet6!$C$4,Sheet6!$C$4,IF(Tim!CE20=Sheet6!$C$5,Sheet6!$C$5,IF(Tim!CE20=Sheet6!$C$6,Sheet6!$C$6,IF(Tim!CE20=Sheet6!$C$7,Sheet6!$C$7,IF(Tim!CE20=Sheet6!$C$8,Sheet6!$C$8,"")))))))</f>
        <v/>
      </c>
      <c r="AH18" s="53" t="str">
        <f>IF(Tim!CF20=Sheet6!$C$2,Sheet6!$C$2,IF(Tim!CF20=Sheet6!$C$3,Sheet6!$C$3,IF(Tim!CF20=Sheet6!$C$4,Sheet6!$C$4,IF(Tim!CF20=Sheet6!$C$5,Sheet6!$C$5,IF(Tim!CF20=Sheet6!$C$6,Sheet6!$C$6,IF(Tim!CF20=Sheet6!$C$7,Sheet6!$C$7,IF(Tim!CF20=Sheet6!$C$8,Sheet6!$C$8,"")))))))</f>
        <v/>
      </c>
      <c r="AI18" s="53" t="str">
        <f>IF(Tim!CG20=Sheet6!$C$2,Sheet6!$C$2,IF(Tim!CG20=Sheet6!$C$3,Sheet6!$C$3,IF(Tim!CG20=Sheet6!$C$4,Sheet6!$C$4,IF(Tim!CG20=Sheet6!$C$5,Sheet6!$C$5,IF(Tim!CG20=Sheet6!$C$6,Sheet6!$C$6,IF(Tim!CG20=Sheet6!$C$7,Sheet6!$C$7,IF(Tim!CG20=Sheet6!$C$8,Sheet6!$C$8,"")))))))</f>
        <v/>
      </c>
      <c r="AJ18" s="53" t="str">
        <f>IF(Tim!CH20=Sheet6!$C$2,Sheet6!$C$2,IF(Tim!CH20=Sheet6!$C$3,Sheet6!$C$3,IF(Tim!CH20=Sheet6!$C$4,Sheet6!$C$4,IF(Tim!CH20=Sheet6!$C$5,Sheet6!$C$5,IF(Tim!CH20=Sheet6!$C$6,Sheet6!$C$6,IF(Tim!CH20=Sheet6!$C$7,Sheet6!$C$7,IF(Tim!CH20=Sheet6!$C$8,Sheet6!$C$8,"")))))))</f>
        <v/>
      </c>
      <c r="AK18" s="53" t="str">
        <f>IF(Tim!CL20=Sheet6!$C$2,Sheet6!$C$2,IF(Tim!CL20=Sheet6!$C$3,Sheet6!$C$3,IF(Tim!CL20=Sheet6!$C$4,Sheet6!$C$4,IF(Tim!CL20=Sheet6!$C$5,Sheet6!$C$5,IF(Tim!CL20=Sheet6!$C$6,Sheet6!$C$6,IF(Tim!CL20=Sheet6!$C$7,Sheet6!$C$7,IF(Tim!CL20=Sheet6!$C$8,Sheet6!$C$8,"")))))))</f>
        <v/>
      </c>
      <c r="AL18" s="54" t="str">
        <f>IF(Tim!CM20=Sheet6!$C$2,Sheet6!$C$2,IF(Tim!CM20=Sheet6!$C$3,Sheet6!$C$3,IF(Tim!CM20=Sheet6!$C$4,Sheet6!$C$4,IF(Tim!CM20=Sheet6!$C$5,Sheet6!$C$5,IF(Tim!CM20=Sheet6!$C$6,Sheet6!$C$6,IF(Tim!CM20=Sheet6!$C$7,Sheet6!$C$7,IF(Tim!CM20=Sheet6!$C$8,Sheet6!$C$8,"")))))))</f>
        <v/>
      </c>
      <c r="AM18" s="54" t="str">
        <f>IF(Tim!CN20=Sheet6!$C$2,Sheet6!$C$2,IF(Tim!CN20=Sheet6!$C$3,Sheet6!$C$3,IF(Tim!CN20=Sheet6!$C$4,Sheet6!$C$4,IF(Tim!CN20=Sheet6!$C$5,Sheet6!$C$5,IF(Tim!CN20=Sheet6!$C$6,Sheet6!$C$6,IF(Tim!CN20=Sheet6!$C$7,Sheet6!$C$7,IF(Tim!CN20=Sheet6!$C$8,Sheet6!$C$8,"")))))))</f>
        <v/>
      </c>
      <c r="AN18" s="54" t="str">
        <f>IF(Tim!CO20=Sheet6!$C$2,Sheet6!$C$2,IF(Tim!CO20=Sheet6!$C$3,Sheet6!$C$3,IF(Tim!CO20=Sheet6!$C$4,Sheet6!$C$4,IF(Tim!CO20=Sheet6!$C$5,Sheet6!$C$5,IF(Tim!CO20=Sheet6!$C$6,Sheet6!$C$6,IF(Tim!CO20=Sheet6!$C$7,Sheet6!$C$7,IF(Tim!CO20=Sheet6!$C$8,Sheet6!$C$8,"")))))))</f>
        <v/>
      </c>
      <c r="AO18" s="55" t="str">
        <f>IF(Tim!CP20=Sheet6!$C$2,Sheet6!$C$2,IF(Tim!CP20=Sheet6!$C$3,Sheet6!$C$3,IF(Tim!CP20=Sheet6!$C$4,Sheet6!$C$4,IF(Tim!CP20=Sheet6!$C$5,Sheet6!$C$5,IF(Tim!CP20=Sheet6!$C$6,Sheet6!$C$6,IF(Tim!CP20=Sheet6!$C$7,Sheet6!$C$7,IF(Tim!CP20=Sheet6!$C$8,Sheet6!$C$8,"")))))))</f>
        <v/>
      </c>
      <c r="AP18" s="53" t="str">
        <f>IF(Tim!CQ20=Sheet6!$C$2,Sheet6!$C$2,IF(Tim!CQ20=Sheet6!$C$3,Sheet6!$C$3,IF(Tim!CQ20=Sheet6!$C$4,Sheet6!$C$4,IF(Tim!CQ20=Sheet6!$C$5,Sheet6!$C$5,IF(Tim!CQ20=Sheet6!$C$6,Sheet6!$C$6,IF(Tim!CQ20=Sheet6!$C$7,Sheet6!$C$7,IF(Tim!CQ20=Sheet6!$C$8,Sheet6!$C$8,"")))))))</f>
        <v/>
      </c>
      <c r="AQ18" s="53" t="str">
        <f>IF(Tim!CR20=Sheet6!$C$2,Sheet6!$C$2,IF(Tim!CR20=Sheet6!$C$3,Sheet6!$C$3,IF(Tim!CR20=Sheet6!$C$4,Sheet6!$C$4,IF(Tim!CR20=Sheet6!$C$5,Sheet6!$C$5,IF(Tim!CR20=Sheet6!$C$6,Sheet6!$C$6,IF(Tim!CR20=Sheet6!$C$7,Sheet6!$C$7,IF(Tim!CR20=Sheet6!$C$8,Sheet6!$C$8,"")))))))</f>
        <v/>
      </c>
      <c r="AR18" s="57" t="str">
        <f>IF(Tim!CV20=Sheet6!$C$2,Sheet6!$C$2,IF(Tim!CV20=Sheet6!$C$3,Sheet6!$C$3,IF(Tim!CV20=Sheet6!$C$4,Sheet6!$C$4,IF(Tim!CV20=Sheet6!$C$5,Sheet6!$C$5,IF(Tim!CV20=Sheet6!$C$6,Sheet6!$C$6,IF(Tim!CV20=Sheet6!$C$7,Sheet6!$C$7,IF(Tim!CV20=Sheet6!$C$8,Sheet6!$C$8,"")))))))</f>
        <v/>
      </c>
      <c r="AS18" s="53" t="str">
        <f>IF(Tim!CW20=Sheet6!$C$2,Sheet6!$C$2,IF(Tim!CW20=Sheet6!$C$3,Sheet6!$C$3,IF(Tim!CW20=Sheet6!$C$4,Sheet6!$C$4,IF(Tim!CW20=Sheet6!$C$5,Sheet6!$C$5,IF(Tim!CW20=Sheet6!$C$6,Sheet6!$C$6,IF(Tim!CW20=Sheet6!$C$7,Sheet6!$C$7,IF(Tim!CW20=Sheet6!$C$8,Sheet6!$C$8,"")))))))</f>
        <v/>
      </c>
      <c r="AT18" s="57" t="str">
        <f>IF(Tim!DA20=Sheet6!$C$2,Sheet6!$C$2,IF(Tim!DA20=Sheet6!$C$3,Sheet6!$C$3,IF(Tim!DA20=Sheet6!$C$4,Sheet6!$C$4,IF(Tim!DA20=Sheet6!$C$5,Sheet6!$C$5,IF(Tim!DA20=Sheet6!$C$6,Sheet6!$C$6,IF(Tim!DA20=Sheet6!$C$7,Sheet6!$C$7,IF(Tim!DA20=Sheet6!$C$8,Sheet6!$C$8,"")))))))</f>
        <v/>
      </c>
      <c r="AU18" s="53" t="str">
        <f>IF(Tim!DO20=Sheet6!$C$2,Sheet6!$C$2,IF(Tim!DO20=Sheet6!$C$3,Sheet6!$C$3,IF(Tim!DO20=Sheet6!$C$4,Sheet6!$C$4,IF(Tim!DO20=Sheet6!$C$5,Sheet6!$C$5,IF(Tim!DO20=Sheet6!$C$6,Sheet6!$C$6,IF(Tim!DO20=Sheet6!$C$7,Sheet6!$C$7,IF(Tim!DO20=Sheet6!$C$8,Sheet6!$C$8,"")))))))</f>
        <v/>
      </c>
      <c r="AV18" s="181" t="str">
        <f>IF(Tim!DP20=Sheet6!$C$2,Sheet6!$C$2,IF(Tim!DP20=Sheet6!$C$3,Sheet6!$C$3,IF(Tim!DP20=Sheet6!$C$4,Sheet6!$C$4,IF(Tim!DP20=Sheet6!$C$5,Sheet6!$C$5,IF(Tim!DP20=Sheet6!$C$6,Sheet6!$C$6,IF(Tim!DP20=Sheet6!$C$7,Sheet6!$C$7,IF(Tim!DP20=Sheet6!$C$8,Sheet6!$C$8,"")))))))</f>
        <v/>
      </c>
      <c r="AW18" s="181" t="str">
        <f>IF(Tim!DX20=Sheet6!$C$2,Sheet6!$C$2,IF(Tim!DX20=Sheet6!$C$3,Sheet6!$C$3,IF(Tim!DX20=Sheet6!$C$4,Sheet6!$C$4,IF(Tim!DX20=Sheet6!$C$5,Sheet6!$C$5,IF(Tim!DX20=Sheet6!$C$6,Sheet6!$C$6,IF(Tim!DX20=Sheet6!$C$7,Sheet6!$C$7,IF(Tim!DX20=Sheet6!$C$8,Sheet6!$C$8,"")))))))</f>
        <v/>
      </c>
      <c r="AX18" s="181" t="str">
        <f>IF(Tim!DY20=Sheet6!$C$2,Sheet6!$C$2,IF(Tim!DY20=Sheet6!$C$3,Sheet6!$C$3,IF(Tim!DY20=Sheet6!$C$4,Sheet6!$C$4,IF(Tim!DY20=Sheet6!$C$5,Sheet6!$C$5,IF(Tim!DY20=Sheet6!$C$6,Sheet6!$C$6,IF(Tim!DY20=Sheet6!$C$7,Sheet6!$C$7,IF(Tim!DY20=Sheet6!$C$8,Sheet6!$C$8,"")))))))</f>
        <v/>
      </c>
      <c r="AY18" s="53" t="str">
        <f>IF(Tim!DZ20=Sheet6!$C$2,Sheet6!$C$2,IF(Tim!DZ20=Sheet6!$C$3,Sheet6!$C$3,IF(Tim!DZ20=Sheet6!$C$4,Sheet6!$C$4,IF(Tim!DZ20=Sheet6!$C$5,Sheet6!$C$5,IF(Tim!DZ20=Sheet6!$C$6,Sheet6!$C$6,IF(Tim!DZ20=Sheet6!$C$7,Sheet6!$C$7,IF(Tim!DZ20=Sheet6!$C$8,Sheet6!$C$8,"")))))))</f>
        <v/>
      </c>
      <c r="AZ18" s="53" t="str">
        <f>IF(Tim!EA20=Sheet6!$C$2,Sheet6!$C$2,IF(Tim!EA20=Sheet6!$C$3,Sheet6!$C$3,IF(Tim!EA20=Sheet6!$C$4,Sheet6!$C$4,IF(Tim!EA20=Sheet6!$C$5,Sheet6!$C$5,IF(Tim!EA20=Sheet6!$C$6,Sheet6!$C$6,IF(Tim!EA20=Sheet6!$C$7,Sheet6!$C$7,IF(Tim!EA20=Sheet6!$C$8,Sheet6!$C$8,"")))))))</f>
        <v/>
      </c>
      <c r="BA18" s="53" t="str">
        <f>IF(Tim!EB20=Sheet6!$C$2,Sheet6!$C$2,IF(Tim!EB20=Sheet6!$C$3,Sheet6!$C$3,IF(Tim!EB20=Sheet6!$C$4,Sheet6!$C$4,IF(Tim!EB20=Sheet6!$C$5,Sheet6!$C$5,IF(Tim!EB20=Sheet6!$C$6,Sheet6!$C$6,IF(Tim!EB20=Sheet6!$C$7,Sheet6!$C$7,IF(Tim!EB20=Sheet6!$C$8,Sheet6!$C$8,"")))))))</f>
        <v/>
      </c>
      <c r="BB18" s="53" t="str">
        <f>IF(Tim!EC20=Sheet6!$C$2,Sheet6!$C$2,IF(Tim!EC20=Sheet6!$C$3,Sheet6!$C$3,IF(Tim!EC20=Sheet6!$C$4,Sheet6!$C$4,IF(Tim!EC20=Sheet6!$C$5,Sheet6!$C$5,IF(Tim!EC20=Sheet6!$C$6,Sheet6!$C$6,IF(Tim!EC20=Sheet6!$C$7,Sheet6!$C$7,IF(Tim!EC20=Sheet6!$C$8,Sheet6!$C$8,"")))))))</f>
        <v/>
      </c>
      <c r="BC18" s="53" t="str">
        <f>IF(Tim!EG20=Sheet6!$C$2,Sheet6!$C$2,IF(Tim!EG20=Sheet6!$C$3,Sheet6!$C$3,IF(Tim!EG20=Sheet6!$C$4,Sheet6!$C$4,IF(Tim!EG20=Sheet6!$C$5,Sheet6!$C$5,IF(Tim!EG20=Sheet6!$C$6,Sheet6!$C$6,IF(Tim!EG20=Sheet6!$C$7,Sheet6!$C$7,IF(Tim!EG20=Sheet6!$C$8,Sheet6!$C$8,"")))))))</f>
        <v/>
      </c>
      <c r="BD18" s="54" t="str">
        <f>IF(Tim!EH20=Sheet6!$C$2,Sheet6!$C$2,IF(Tim!EH20=Sheet6!$C$3,Sheet6!$C$3,IF(Tim!EH20=Sheet6!$C$4,Sheet6!$C$4,IF(Tim!EH20=Sheet6!$C$5,Sheet6!$C$5,IF(Tim!EH20=Sheet6!$C$6,Sheet6!$C$6,IF(Tim!EH20=Sheet6!$C$7,Sheet6!$C$7,IF(Tim!EH20=Sheet6!$C$8,Sheet6!$C$8,"")))))))</f>
        <v/>
      </c>
      <c r="BE18" s="54" t="str">
        <f>IF(Tim!EI20=Sheet6!$C$2,Sheet6!$C$2,IF(Tim!EI20=Sheet6!$C$3,Sheet6!$C$3,IF(Tim!EI20=Sheet6!$C$4,Sheet6!$C$4,IF(Tim!EI20=Sheet6!$C$5,Sheet6!$C$5,IF(Tim!EI20=Sheet6!$C$6,Sheet6!$C$6,IF(Tim!EI20=Sheet6!$C$7,Sheet6!$C$7,IF(Tim!EI20=Sheet6!$C$8,Sheet6!$C$8,"")))))))</f>
        <v/>
      </c>
      <c r="BF18" s="54" t="str">
        <f>IF(Tim!EJ20=Sheet6!$C$2,Sheet6!$C$2,IF(Tim!EJ20=Sheet6!$C$3,Sheet6!$C$3,IF(Tim!EJ20=Sheet6!$C$4,Sheet6!$C$4,IF(Tim!EJ20=Sheet6!$C$5,Sheet6!$C$5,IF(Tim!EJ20=Sheet6!$C$6,Sheet6!$C$6,IF(Tim!EJ20=Sheet6!$C$7,Sheet6!$C$7,IF(Tim!EJ20=Sheet6!$C$8,Sheet6!$C$8,"")))))))</f>
        <v/>
      </c>
      <c r="BG18" s="55" t="str">
        <f>IF(Tim!EK20=Sheet6!$C$2,Sheet6!$C$2,IF(Tim!EK20=Sheet6!$C$3,Sheet6!$C$3,IF(Tim!EK20=Sheet6!$C$4,Sheet6!$C$4,IF(Tim!EK20=Sheet6!$C$5,Sheet6!$C$5,IF(Tim!EK20=Sheet6!$C$6,Sheet6!$C$6,IF(Tim!EK20=Sheet6!$C$7,Sheet6!$C$7,IF(Tim!EK20=Sheet6!$C$8,Sheet6!$C$8,"")))))))</f>
        <v/>
      </c>
      <c r="BH18" s="53" t="str">
        <f>IF(Tim!EL20=Sheet6!$C$2,Sheet6!$C$2,IF(Tim!EL20=Sheet6!$C$3,Sheet6!$C$3,IF(Tim!EL20=Sheet6!$C$4,Sheet6!$C$4,IF(Tim!EL20=Sheet6!$C$5,Sheet6!$C$5,IF(Tim!EL20=Sheet6!$C$6,Sheet6!$C$6,IF(Tim!EL20=Sheet6!$C$7,Sheet6!$C$7,IF(Tim!EL20=Sheet6!$C$8,Sheet6!$C$8,"")))))))</f>
        <v/>
      </c>
      <c r="BI18" s="57" t="str">
        <f>IF(Tim!EM20=Sheet6!$C$2,Sheet6!$C$2,IF(Tim!EM20=Sheet6!$C$3,Sheet6!$C$3,IF(Tim!EM20=Sheet6!$C$4,Sheet6!$C$4,IF(Tim!EM20=Sheet6!$C$5,Sheet6!$C$5,IF(Tim!EM20=Sheet6!$C$6,Sheet6!$C$6,IF(Tim!EM20=Sheet6!$C$7,Sheet6!$C$7,IF(Tim!EM20=Sheet6!$C$8,Sheet6!$C$8,"")))))))</f>
        <v/>
      </c>
      <c r="BJ18" s="57" t="str">
        <f>IF(Tim!EQ20=Sheet6!$C$2,Sheet6!$C$2,IF(Tim!EQ20=Sheet6!$C$3,Sheet6!$C$3,IF(Tim!EQ20=Sheet6!$C$4,Sheet6!$C$4,IF(Tim!EQ20=Sheet6!$C$5,Sheet6!$C$5,IF(Tim!EQ20=Sheet6!$C$6,Sheet6!$C$6,IF(Tim!EQ20=Sheet6!$C$7,Sheet6!$C$7,IF(Tim!EQ20=Sheet6!$C$8,Sheet6!$C$8,"")))))))</f>
        <v/>
      </c>
      <c r="BK18" s="57" t="str">
        <f>IF(Tim!ER20=Sheet6!$C$2,Sheet6!$C$2,IF(Tim!ER20=Sheet6!$C$3,Sheet6!$C$3,IF(Tim!ER20=Sheet6!$C$4,Sheet6!$C$4,IF(Tim!ER20=Sheet6!$C$5,Sheet6!$C$5,IF(Tim!ER20=Sheet6!$C$6,Sheet6!$C$6,IF(Tim!ER20=Sheet6!$C$7,Sheet6!$C$7,IF(Tim!ER20=Sheet6!$C$8,Sheet6!$C$8,"")))))))</f>
        <v/>
      </c>
      <c r="BL18" s="57" t="str">
        <f>IF(Tim!EZ20=Sheet6!$C$2,Sheet6!$C$2,IF(Tim!EZ20=Sheet6!$C$3,Sheet6!$C$3,IF(Tim!EZ20=Sheet6!$C$4,Sheet6!$C$4,IF(Tim!EZ20=Sheet6!$C$5,Sheet6!$C$5,IF(Tim!EZ20=Sheet6!$C$6,Sheet6!$C$6,IF(Tim!EZ20=Sheet6!$C$7,Sheet6!$C$7,IF(Tim!EZ20=Sheet6!$C$8,Sheet6!$C$8,"")))))))</f>
        <v/>
      </c>
      <c r="BM18" s="53" t="str">
        <f>IF(Tim!FG20=Sheet6!$C$2,Sheet6!$C$2,IF(Tim!FG20=Sheet6!$C$3,Sheet6!$C$3,IF(Tim!FG20=Sheet6!$C$4,Sheet6!$C$4,IF(Tim!FG20=Sheet6!$C$5,Sheet6!$C$5,IF(Tim!FG20=Sheet6!$C$6,Sheet6!$C$6,IF(Tim!FG20=Sheet6!$C$7,Sheet6!$C$7,IF(Tim!FG20=Sheet6!$C$8,Sheet6!$C$8,"")))))))</f>
        <v/>
      </c>
      <c r="BN18" s="181" t="str">
        <f>IF(Tim!FH20=Sheet6!$C$2,Sheet6!$C$2,IF(Tim!FH20=Sheet6!$C$3,Sheet6!$C$3,IF(Tim!FH20=Sheet6!$C$4,Sheet6!$C$4,IF(Tim!FH20=Sheet6!$C$5,Sheet6!$C$5,IF(Tim!FH20=Sheet6!$C$6,Sheet6!$C$6,IF(Tim!FH20=Sheet6!$C$7,Sheet6!$C$7,IF(Tim!FH20=Sheet6!$C$8,Sheet6!$C$8,"")))))))</f>
        <v/>
      </c>
      <c r="BO18" s="181" t="str">
        <f>IF(Tim!FP20=Sheet6!$C$2,Sheet6!$C$2,IF(Tim!FP20=Sheet6!$C$3,Sheet6!$C$3,IF(Tim!FP20=Sheet6!$C$4,Sheet6!$C$4,IF(Tim!FP20=Sheet6!$C$5,Sheet6!$C$5,IF(Tim!FP20=Sheet6!$C$6,Sheet6!$C$6,IF(Tim!FP20=Sheet6!$C$7,Sheet6!$C$7,IF(Tim!FP20=Sheet6!$C$8,Sheet6!$C$8,"")))))))</f>
        <v/>
      </c>
      <c r="BP18" s="181" t="str">
        <f>IF(Tim!FQ20=Sheet6!$C$2,Sheet6!$C$2,IF(Tim!FQ20=Sheet6!$C$3,Sheet6!$C$3,IF(Tim!FQ20=Sheet6!$C$4,Sheet6!$C$4,IF(Tim!FQ20=Sheet6!$C$5,Sheet6!$C$5,IF(Tim!FQ20=Sheet6!$C$6,Sheet6!$C$6,IF(Tim!FQ20=Sheet6!$C$7,Sheet6!$C$7,IF(Tim!FQ20=Sheet6!$C$8,Sheet6!$C$8,"")))))))</f>
        <v/>
      </c>
      <c r="BQ18" s="53" t="str">
        <f>IF(Tim!FR20=Sheet6!$C$2,Sheet6!$C$2,IF(Tim!FR20=Sheet6!$C$3,Sheet6!$C$3,IF(Tim!FR20=Sheet6!$C$4,Sheet6!$C$4,IF(Tim!FR20=Sheet6!$C$5,Sheet6!$C$5,IF(Tim!FR20=Sheet6!$C$6,Sheet6!$C$6,IF(Tim!FR20=Sheet6!$C$7,Sheet6!$C$7,IF(Tim!FR20=Sheet6!$C$8,Sheet6!$C$8,"")))))))</f>
        <v/>
      </c>
      <c r="BR18" s="53" t="str">
        <f>IF(Tim!FS20=Sheet6!$C$2,Sheet6!$C$2,IF(Tim!FS20=Sheet6!$C$3,Sheet6!$C$3,IF(Tim!FS20=Sheet6!$C$4,Sheet6!$C$4,IF(Tim!FS20=Sheet6!$C$5,Sheet6!$C$5,IF(Tim!FS20=Sheet6!$C$6,Sheet6!$C$6,IF(Tim!FS20=Sheet6!$C$7,Sheet6!$C$7,IF(Tim!FS20=Sheet6!$C$8,Sheet6!$C$8,"")))))))</f>
        <v/>
      </c>
      <c r="BS18" s="53" t="str">
        <f>IF(Tim!FT20=Sheet6!$C$2,Sheet6!$C$2,IF(Tim!FT20=Sheet6!$C$3,Sheet6!$C$3,IF(Tim!FT20=Sheet6!$C$4,Sheet6!$C$4,IF(Tim!FT20=Sheet6!$C$5,Sheet6!$C$5,IF(Tim!FT20=Sheet6!$C$6,Sheet6!$C$6,IF(Tim!FT20=Sheet6!$C$7,Sheet6!$C$7,IF(Tim!FT20=Sheet6!$C$8,Sheet6!$C$8,"")))))))</f>
        <v/>
      </c>
      <c r="BT18" s="53" t="str">
        <f>IF(Tim!FU20=Sheet6!$C$2,Sheet6!$C$2,IF(Tim!FU20=Sheet6!$C$3,Sheet6!$C$3,IF(Tim!FU20=Sheet6!$C$4,Sheet6!$C$4,IF(Tim!FU20=Sheet6!$C$5,Sheet6!$C$5,IF(Tim!FU20=Sheet6!$C$6,Sheet6!$C$6,IF(Tim!FU20=Sheet6!$C$7,Sheet6!$C$7,IF(Tim!FU20=Sheet6!$C$8,Sheet6!$C$8,"")))))))</f>
        <v/>
      </c>
      <c r="BU18" s="53" t="str">
        <f>IF(Tim!FY20=Sheet6!$C$2,Sheet6!$C$2,IF(Tim!FY20=Sheet6!$C$3,Sheet6!$C$3,IF(Tim!FY20=Sheet6!$C$4,Sheet6!$C$4,IF(Tim!FY20=Sheet6!$C$5,Sheet6!$C$5,IF(Tim!FY20=Sheet6!$C$6,Sheet6!$C$6,IF(Tim!FY20=Sheet6!$C$7,Sheet6!$C$7,IF(Tim!FY20=Sheet6!$C$8,Sheet6!$C$8,"")))))))</f>
        <v/>
      </c>
      <c r="BV18" s="54" t="str">
        <f>IF(Tim!FZ20=Sheet6!$C$2,Sheet6!$C$2,IF(Tim!FZ20=Sheet6!$C$3,Sheet6!$C$3,IF(Tim!FZ20=Sheet6!$C$4,Sheet6!$C$4,IF(Tim!FZ20=Sheet6!$C$5,Sheet6!$C$5,IF(Tim!FZ20=Sheet6!$C$6,Sheet6!$C$6,IF(Tim!FZ20=Sheet6!$C$7,Sheet6!$C$7,IF(Tim!FZ20=Sheet6!$C$8,Sheet6!$C$8,"")))))))</f>
        <v/>
      </c>
      <c r="BW18" s="54" t="str">
        <f>IF(Tim!GA20=Sheet6!$C$2,Sheet6!$C$2,IF(Tim!GA20=Sheet6!$C$3,Sheet6!$C$3,IF(Tim!GA20=Sheet6!$C$4,Sheet6!$C$4,IF(Tim!GA20=Sheet6!$C$5,Sheet6!$C$5,IF(Tim!GA20=Sheet6!$C$6,Sheet6!$C$6,IF(Tim!GA20=Sheet6!$C$7,Sheet6!$C$7,IF(Tim!GA20=Sheet6!$C$8,Sheet6!$C$8,"")))))))</f>
        <v/>
      </c>
      <c r="BX18" s="54" t="str">
        <f>IF(Tim!GB20=Sheet6!$C$2,Sheet6!$C$2,IF(Tim!GB20=Sheet6!$C$3,Sheet6!$C$3,IF(Tim!GB20=Sheet6!$C$4,Sheet6!$C$4,IF(Tim!GB20=Sheet6!$C$5,Sheet6!$C$5,IF(Tim!GB20=Sheet6!$C$6,Sheet6!$C$6,IF(Tim!GB20=Sheet6!$C$7,Sheet6!$C$7,IF(Tim!GB20=Sheet6!$C$8,Sheet6!$C$8,"")))))))</f>
        <v/>
      </c>
      <c r="BY18" s="55" t="str">
        <f>IF(Tim!GC20=Sheet6!$C$2,Sheet6!$C$2,IF(Tim!GC20=Sheet6!$C$3,Sheet6!$C$3,IF(Tim!GC20=Sheet6!$C$4,Sheet6!$C$4,IF(Tim!GC20=Sheet6!$C$5,Sheet6!$C$5,IF(Tim!GC20=Sheet6!$C$6,Sheet6!$C$6,IF(Tim!GC20=Sheet6!$C$7,Sheet6!$C$7,IF(Tim!GC20=Sheet6!$C$8,Sheet6!$C$8,"")))))))</f>
        <v/>
      </c>
      <c r="BZ18" s="53" t="str">
        <f>IF(Tim!GD20=Sheet6!$C$2,Sheet6!$C$2,IF(Tim!GD20=Sheet6!$C$3,Sheet6!$C$3,IF(Tim!GD20=Sheet6!$C$4,Sheet6!$C$4,IF(Tim!GD20=Sheet6!$C$5,Sheet6!$C$5,IF(Tim!GD20=Sheet6!$C$6,Sheet6!$C$6,IF(Tim!GD20=Sheet6!$C$7,Sheet6!$C$7,IF(Tim!GD20=Sheet6!$C$8,Sheet6!$C$8,"")))))))</f>
        <v/>
      </c>
      <c r="CA18" s="53" t="str">
        <f>IF(Tim!GE20=Sheet6!$C$2,Sheet6!$C$2,IF(Tim!GE20=Sheet6!$C$3,Sheet6!$C$3,IF(Tim!GE20=Sheet6!$C$4,Sheet6!$C$4,IF(Tim!GE20=Sheet6!$C$5,Sheet6!$C$5,IF(Tim!GE20=Sheet6!$C$6,Sheet6!$C$6,IF(Tim!GE20=Sheet6!$C$7,Sheet6!$C$7,IF(Tim!GE20=Sheet6!$C$8,Sheet6!$C$8,"")))))))</f>
        <v/>
      </c>
      <c r="CB18" s="57" t="str">
        <f>IF(Tim!GI20=Sheet6!$C$2,Sheet6!$C$2,IF(Tim!GI20=Sheet6!$C$3,Sheet6!$C$3,IF(Tim!GI20=Sheet6!$C$4,Sheet6!$C$4,IF(Tim!GI20=Sheet6!$C$5,Sheet6!$C$5,IF(Tim!GI20=Sheet6!$C$6,Sheet6!$C$6,IF(Tim!GI20=Sheet6!$C$7,Sheet6!$C$7,IF(Tim!GI20=Sheet6!$C$8,Sheet6!$C$8,"")))))))</f>
        <v/>
      </c>
      <c r="CC18" s="57" t="str">
        <f>IF(Tim!GJ20=Sheet6!$C$2,Sheet6!$C$2,IF(Tim!GJ20=Sheet6!$C$3,Sheet6!$C$3,IF(Tim!GJ20=Sheet6!$C$4,Sheet6!$C$4,IF(Tim!GJ20=Sheet6!$C$5,Sheet6!$C$5,IF(Tim!GJ20=Sheet6!$C$6,Sheet6!$C$6,IF(Tim!GJ20=Sheet6!$C$7,Sheet6!$C$7,IF(Tim!GJ20=Sheet6!$C$8,Sheet6!$C$8,"")))))))</f>
        <v/>
      </c>
      <c r="CD18" s="57" t="str">
        <f>IF(Tim!GN20=Sheet6!$C$2,Sheet6!$C$2,IF(Tim!GN20=Sheet6!$C$3,Sheet6!$C$3,IF(Tim!GN20=Sheet6!$C$4,Sheet6!$C$4,IF(Tim!GN20=Sheet6!$C$5,Sheet6!$C$5,IF(Tim!GN20=Sheet6!$C$6,Sheet6!$C$6,IF(Tim!GN20=Sheet6!$C$7,Sheet6!$C$7,IF(Tim!GN20=Sheet6!$C$8,Sheet6!$C$8,"")))))))</f>
        <v/>
      </c>
      <c r="CE18" s="53" t="str">
        <f>IF(Tim!GY20=Sheet6!$C$2,Sheet6!$C$2,IF(Tim!GY20=Sheet6!$C$3,Sheet6!$C$3,IF(Tim!GY20=Sheet6!$C$4,Sheet6!$C$4,IF(Tim!GY20=Sheet6!$C$5,Sheet6!$C$5,IF(Tim!GY20=Sheet6!$C$6,Sheet6!$C$6,IF(Tim!GY20=Sheet6!$C$7,Sheet6!$C$7,IF(Tim!GY20=Sheet6!$C$8,Sheet6!$C$8,"")))))))</f>
        <v/>
      </c>
      <c r="CF18" s="181" t="str">
        <f>IF(Tim!GZ20=Sheet6!$C$2,Sheet6!$C$2,IF(Tim!GZ20=Sheet6!$C$3,Sheet6!$C$3,IF(Tim!GZ20=Sheet6!$C$4,Sheet6!$C$4,IF(Tim!GZ20=Sheet6!$C$5,Sheet6!$C$5,IF(Tim!GZ20=Sheet6!$C$6,Sheet6!$C$6,IF(Tim!GZ20=Sheet6!$C$7,Sheet6!$C$7,IF(Tim!GZ20=Sheet6!$C$8,Sheet6!$C$8,"")))))))</f>
        <v/>
      </c>
      <c r="CG18" s="181" t="str">
        <f>IF(Tim!HH20=Sheet6!$C$2,Sheet6!$C$2,IF(Tim!HH20=Sheet6!$C$3,Sheet6!$C$3,IF(Tim!HH20=Sheet6!$C$4,Sheet6!$C$4,IF(Tim!HH20=Sheet6!$C$5,Sheet6!$C$5,IF(Tim!HH20=Sheet6!$C$6,Sheet6!$C$6,IF(Tim!HH20=Sheet6!$C$7,Sheet6!$C$7,IF(Tim!HH20=Sheet6!$C$8,Sheet6!$C$8,"")))))))</f>
        <v/>
      </c>
      <c r="CH18" s="181" t="str">
        <f>IF(Tim!HI20=Sheet6!$C$2,Sheet6!$C$2,IF(Tim!HI20=Sheet6!$C$3,Sheet6!$C$3,IF(Tim!HI20=Sheet6!$C$4,Sheet6!$C$4,IF(Tim!HI20=Sheet6!$C$5,Sheet6!$C$5,IF(Tim!HI20=Sheet6!$C$6,Sheet6!$C$6,IF(Tim!HI20=Sheet6!$C$7,Sheet6!$C$7,IF(Tim!HI20=Sheet6!$C$8,Sheet6!$C$8,"")))))))</f>
        <v/>
      </c>
      <c r="CI18" s="181" t="str">
        <f>IF(Tim!HJ20=Sheet6!$C$2,Sheet6!$C$2,IF(Tim!HJ20=Sheet6!$C$3,Sheet6!$C$3,IF(Tim!HJ20=Sheet6!$C$4,Sheet6!$C$4,IF(Tim!HJ20=Sheet6!$C$5,Sheet6!$C$5,IF(Tim!HJ20=Sheet6!$C$6,Sheet6!$C$6,IF(Tim!HJ20=Sheet6!$C$7,Sheet6!$C$7,IF(Tim!HJ20=Sheet6!$C$8,Sheet6!$C$8,"")))))))</f>
        <v/>
      </c>
      <c r="CJ18" s="53" t="str">
        <f>IF(Tim!HK20=Sheet6!$C$2,Sheet6!$C$2,IF(Tim!HK20=Sheet6!$C$3,Sheet6!$C$3,IF(Tim!HK20=Sheet6!$C$4,Sheet6!$C$4,IF(Tim!HK20=Sheet6!$C$5,Sheet6!$C$5,IF(Tim!HK20=Sheet6!$C$6,Sheet6!$C$6,IF(Tim!HK20=Sheet6!$C$7,Sheet6!$C$7,IF(Tim!HK20=Sheet6!$C$8,Sheet6!$C$8,"")))))))</f>
        <v/>
      </c>
      <c r="CK18" s="53" t="str">
        <f>IF(Tim!HL20=Sheet6!$C$2,Sheet6!$C$2,IF(Tim!HL20=Sheet6!$C$3,Sheet6!$C$3,IF(Tim!HL20=Sheet6!$C$4,Sheet6!$C$4,IF(Tim!HL20=Sheet6!$C$5,Sheet6!$C$5,IF(Tim!HL20=Sheet6!$C$6,Sheet6!$C$6,IF(Tim!HL20=Sheet6!$C$7,Sheet6!$C$7,IF(Tim!HL20=Sheet6!$C$8,Sheet6!$C$8,"")))))))</f>
        <v/>
      </c>
      <c r="CL18" s="53" t="str">
        <f>IF(Tim!HM20=Sheet6!$C$2,Sheet6!$C$2,IF(Tim!HM20=Sheet6!$C$3,Sheet6!$C$3,IF(Tim!HM20=Sheet6!$C$4,Sheet6!$C$4,IF(Tim!HM20=Sheet6!$C$5,Sheet6!$C$5,IF(Tim!HM20=Sheet6!$C$6,Sheet6!$C$6,IF(Tim!HM20=Sheet6!$C$7,Sheet6!$C$7,IF(Tim!HM20=Sheet6!$C$8,Sheet6!$C$8,"")))))))</f>
        <v/>
      </c>
      <c r="CM18" s="53" t="str">
        <f>IF(Tim!HQ20=Sheet6!$C$2,Sheet6!$C$2,IF(Tim!HQ20=Sheet6!$C$3,Sheet6!$C$3,IF(Tim!HQ20=Sheet6!$C$4,Sheet6!$C$4,IF(Tim!HQ20=Sheet6!$C$5,Sheet6!$C$5,IF(Tim!HQ20=Sheet6!$C$6,Sheet6!$C$6,IF(Tim!HQ20=Sheet6!$C$7,Sheet6!$C$7,IF(Tim!HQ20=Sheet6!$C$8,Sheet6!$C$8,"")))))))</f>
        <v/>
      </c>
      <c r="CN18" s="54" t="str">
        <f>IF(Tim!HR20=Sheet6!$C$2,Sheet6!$C$2,IF(Tim!HR20=Sheet6!$C$3,Sheet6!$C$3,IF(Tim!HR20=Sheet6!$C$4,Sheet6!$C$4,IF(Tim!HR20=Sheet6!$C$5,Sheet6!$C$5,IF(Tim!HR20=Sheet6!$C$6,Sheet6!$C$6,IF(Tim!HR20=Sheet6!$C$7,Sheet6!$C$7,IF(Tim!HR20=Sheet6!$C$8,Sheet6!$C$8,"")))))))</f>
        <v/>
      </c>
      <c r="CO18" s="54" t="str">
        <f>IF(Tim!HS20=Sheet6!$C$2,Sheet6!$C$2,IF(Tim!HS20=Sheet6!$C$3,Sheet6!$C$3,IF(Tim!HS20=Sheet6!$C$4,Sheet6!$C$4,IF(Tim!HS20=Sheet6!$C$5,Sheet6!$C$5,IF(Tim!HS20=Sheet6!$C$6,Sheet6!$C$6,IF(Tim!HS20=Sheet6!$C$7,Sheet6!$C$7,IF(Tim!HS20=Sheet6!$C$8,Sheet6!$C$8,"")))))))</f>
        <v/>
      </c>
      <c r="CP18" s="54" t="str">
        <f>IF(Tim!HT20=Sheet6!$C$2,Sheet6!$C$2,IF(Tim!HT20=Sheet6!$C$3,Sheet6!$C$3,IF(Tim!HT20=Sheet6!$C$4,Sheet6!$C$4,IF(Tim!HT20=Sheet6!$C$5,Sheet6!$C$5,IF(Tim!HT20=Sheet6!$C$6,Sheet6!$C$6,IF(Tim!HT20=Sheet6!$C$7,Sheet6!$C$7,IF(Tim!HT20=Sheet6!$C$8,Sheet6!$C$8,"")))))))</f>
        <v/>
      </c>
      <c r="CQ18" s="55" t="str">
        <f>IF(Tim!HU20=Sheet6!$C$2,Sheet6!$C$2,IF(Tim!HU20=Sheet6!$C$3,Sheet6!$C$3,IF(Tim!HU20=Sheet6!$C$4,Sheet6!$C$4,IF(Tim!HU20=Sheet6!$C$5,Sheet6!$C$5,IF(Tim!HU20=Sheet6!$C$6,Sheet6!$C$6,IF(Tim!HU20=Sheet6!$C$7,Sheet6!$C$7,IF(Tim!HU20=Sheet6!$C$8,Sheet6!$C$8,"")))))))</f>
        <v/>
      </c>
      <c r="CR18" s="56" t="str">
        <f>IF(Tim!HV20=Sheet6!$C$2,Sheet6!$C$2,IF(Tim!HV20=Sheet6!$C$3,Sheet6!$C$3,IF(Tim!HV20=Sheet6!$C$4,Sheet6!$C$4,IF(Tim!HV20=Sheet6!$C$5,Sheet6!$C$5,IF(Tim!HV20=Sheet6!$C$6,Sheet6!$C$6,IF(Tim!HV20=Sheet6!$C$7,Sheet6!$C$7,IF(Tim!HV20=Sheet6!$C$8,Sheet6!$C$8,"")))))))</f>
        <v/>
      </c>
      <c r="CS18" s="57" t="str">
        <f>IF(Tim!IB20=Sheet6!$C$2,Sheet6!$C$2,IF(Tim!IB20=Sheet6!$C$3,Sheet6!$C$3,IF(Tim!IB20=Sheet6!$C$4,Sheet6!$C$4,IF(Tim!IB20=Sheet6!$C$5,Sheet6!$C$5,IF(Tim!IB20=Sheet6!$C$6,Sheet6!$C$6,IF(Tim!IB20=Sheet6!$C$7,Sheet6!$C$7,IF(Tim!IB20=Sheet6!$C$8,Sheet6!$C$8,"")))))))</f>
        <v/>
      </c>
      <c r="CT18" s="57" t="str">
        <f>IF(Tim!IJ20=Sheet6!$C$2,Sheet6!$C$2,IF(Tim!IJ20=Sheet6!$C$3,Sheet6!$C$3,IF(Tim!IJ20=Sheet6!$C$4,Sheet6!$C$4,IF(Tim!IJ20=Sheet6!$C$5,Sheet6!$C$5,IF(Tim!IJ20=Sheet6!$C$6,Sheet6!$C$6,IF(Tim!IJ20=Sheet6!$C$7,Sheet6!$C$7,IF(Tim!IJ20=Sheet6!$C$8,Sheet6!$C$8,"")))))))</f>
        <v/>
      </c>
      <c r="CU18" s="53" t="str">
        <f>IF(Tim!IQ20=Sheet6!$C$2,Sheet6!$C$2,IF(Tim!IQ20=Sheet6!$C$3,Sheet6!$C$3,IF(Tim!IQ20=Sheet6!$C$4,Sheet6!$C$4,IF(Tim!IQ20=Sheet6!$C$5,Sheet6!$C$5,IF(Tim!IQ20=Sheet6!$C$6,Sheet6!$C$6,IF(Tim!IQ20=Sheet6!$C$7,Sheet6!$C$7,IF(Tim!IQ20=Sheet6!$C$8,Sheet6!$C$8,"")))))))</f>
        <v/>
      </c>
      <c r="CV18" s="53" t="str">
        <f>IF(Tim!IR20=Sheet6!$C$2,Sheet6!$C$2,IF(Tim!IR20=Sheet6!$C$3,Sheet6!$C$3,IF(Tim!IR20=Sheet6!$C$4,Sheet6!$C$4,IF(Tim!IR20=Sheet6!$C$5,Sheet6!$C$5,IF(Tim!IR20=Sheet6!$C$6,Sheet6!$C$6,IF(Tim!IR20=Sheet6!$C$7,Sheet6!$C$7,IF(Tim!IR20=Sheet6!$C$8,Sheet6!$C$8,"")))))))</f>
        <v/>
      </c>
      <c r="CW18" s="53" t="str">
        <f>IF(Tim!IZ20=Sheet6!$C$2,Sheet6!$C$2,IF(Tim!IZ20=Sheet6!$C$3,Sheet6!$C$3,IF(Tim!IZ20=Sheet6!$C$4,Sheet6!$C$4,IF(Tim!IZ20=Sheet6!$C$5,Sheet6!$C$5,IF(Tim!IZ20=Sheet6!$C$6,Sheet6!$C$6,IF(Tim!IZ20=Sheet6!$C$7,Sheet6!$C$7,IF(Tim!IZ20=Sheet6!$C$8,Sheet6!$C$8,"")))))))</f>
        <v/>
      </c>
      <c r="CX18" s="53" t="str">
        <f>IF(Tim!JA20=Sheet6!$C$2,Sheet6!$C$2,IF(Tim!JA20=Sheet6!$C$3,Sheet6!$C$3,IF(Tim!JA20=Sheet6!$C$4,Sheet6!$C$4,IF(Tim!JA20=Sheet6!$C$5,Sheet6!$C$5,IF(Tim!JA20=Sheet6!$C$6,Sheet6!$C$6,IF(Tim!JA20=Sheet6!$C$7,Sheet6!$C$7,IF(Tim!JA20=Sheet6!$C$8,Sheet6!$C$8,"")))))))</f>
        <v/>
      </c>
      <c r="CY18" s="53" t="str">
        <f>IF(Tim!JB20=Sheet6!$C$2,Sheet6!$C$2,IF(Tim!JB20=Sheet6!$C$3,Sheet6!$C$3,IF(Tim!JB20=Sheet6!$C$4,Sheet6!$C$4,IF(Tim!JB20=Sheet6!$C$5,Sheet6!$C$5,IF(Tim!JB20=Sheet6!$C$6,Sheet6!$C$6,IF(Tim!JB20=Sheet6!$C$7,Sheet6!$C$7,IF(Tim!JB20=Sheet6!$C$8,Sheet6!$C$8,"")))))))</f>
        <v/>
      </c>
      <c r="CZ18" s="53" t="str">
        <f>IF(Tim!JC20=Sheet6!$C$2,Sheet6!$C$2,IF(Tim!JC20=Sheet6!$C$3,Sheet6!$C$3,IF(Tim!JC20=Sheet6!$C$4,Sheet6!$C$4,IF(Tim!JC20=Sheet6!$C$5,Sheet6!$C$5,IF(Tim!JC20=Sheet6!$C$6,Sheet6!$C$6,IF(Tim!JC20=Sheet6!$C$7,Sheet6!$C$7,IF(Tim!JC20=Sheet6!$C$8,Sheet6!$C$8,"")))))))</f>
        <v/>
      </c>
      <c r="DA18" s="53" t="str">
        <f>IF(Tim!JD20=Sheet6!$C$2,Sheet6!$C$2,IF(Tim!JD20=Sheet6!$C$3,Sheet6!$C$3,IF(Tim!JD20=Sheet6!$C$4,Sheet6!$C$4,IF(Tim!JD20=Sheet6!$C$5,Sheet6!$C$5,IF(Tim!JD20=Sheet6!$C$6,Sheet6!$C$6,IF(Tim!JD20=Sheet6!$C$7,Sheet6!$C$7,IF(Tim!JD20=Sheet6!$C$8,Sheet6!$C$8,"")))))))</f>
        <v/>
      </c>
      <c r="DB18" s="53" t="str">
        <f>IF(Tim!JE20=Sheet6!$C$2,Sheet6!$C$2,IF(Tim!JE20=Sheet6!$C$3,Sheet6!$C$3,IF(Tim!JE20=Sheet6!$C$4,Sheet6!$C$4,IF(Tim!JE20=Sheet6!$C$5,Sheet6!$C$5,IF(Tim!JE20=Sheet6!$C$6,Sheet6!$C$6,IF(Tim!JE20=Sheet6!$C$7,Sheet6!$C$7,IF(Tim!JE20=Sheet6!$C$8,Sheet6!$C$8,"")))))))</f>
        <v/>
      </c>
      <c r="DC18" s="53" t="str">
        <f>IF(Tim!JI20=Sheet6!$C$2,Sheet6!$C$2,IF(Tim!JI20=Sheet6!$C$3,Sheet6!$C$3,IF(Tim!JI20=Sheet6!$C$4,Sheet6!$C$4,IF(Tim!JI20=Sheet6!$C$5,Sheet6!$C$5,IF(Tim!JI20=Sheet6!$C$6,Sheet6!$C$6,IF(Tim!JI20=Sheet6!$C$7,Sheet6!$C$7,IF(Tim!JI20=Sheet6!$C$8,Sheet6!$C$8,"")))))))</f>
        <v/>
      </c>
      <c r="DD18" s="54" t="str">
        <f>IF(Tim!JJ20=Sheet6!$C$2,Sheet6!$C$2,IF(Tim!JJ20=Sheet6!$C$3,Sheet6!$C$3,IF(Tim!JJ20=Sheet6!$C$4,Sheet6!$C$4,IF(Tim!JJ20=Sheet6!$C$5,Sheet6!$C$5,IF(Tim!JJ20=Sheet6!$C$6,Sheet6!$C$6,IF(Tim!JJ20=Sheet6!$C$7,Sheet6!$C$7,IF(Tim!JJ20=Sheet6!$C$8,Sheet6!$C$8,"")))))))</f>
        <v/>
      </c>
      <c r="DE18" s="54" t="str">
        <f>IF(Tim!JK20=Sheet6!$C$2,Sheet6!$C$2,IF(Tim!JK20=Sheet6!$C$3,Sheet6!$C$3,IF(Tim!JK20=Sheet6!$C$4,Sheet6!$C$4,IF(Tim!JK20=Sheet6!$C$5,Sheet6!$C$5,IF(Tim!JK20=Sheet6!$C$6,Sheet6!$C$6,IF(Tim!JK20=Sheet6!$C$7,Sheet6!$C$7,IF(Tim!JK20=Sheet6!$C$8,Sheet6!$C$8,"")))))))</f>
        <v/>
      </c>
      <c r="DF18" s="54" t="str">
        <f>IF(Tim!JL20=Sheet6!$C$2,Sheet6!$C$2,IF(Tim!JL20=Sheet6!$C$3,Sheet6!$C$3,IF(Tim!JL20=Sheet6!$C$4,Sheet6!$C$4,IF(Tim!JL20=Sheet6!$C$5,Sheet6!$C$5,IF(Tim!JL20=Sheet6!$C$6,Sheet6!$C$6,IF(Tim!JL20=Sheet6!$C$7,Sheet6!$C$7,IF(Tim!JL20=Sheet6!$C$8,Sheet6!$C$8,"")))))))</f>
        <v/>
      </c>
      <c r="DG18" s="55" t="str">
        <f>IF(Tim!JM20=Sheet6!$C$2,Sheet6!$C$2,IF(Tim!JM20=Sheet6!$C$3,Sheet6!$C$3,IF(Tim!JM20=Sheet6!$C$4,Sheet6!$C$4,IF(Tim!JM20=Sheet6!$C$5,Sheet6!$C$5,IF(Tim!JM20=Sheet6!$C$6,Sheet6!$C$6,IF(Tim!JM20=Sheet6!$C$7,Sheet6!$C$7,IF(Tim!JM20=Sheet6!$C$8,Sheet6!$C$8,"")))))))</f>
        <v/>
      </c>
      <c r="DH18" s="56" t="str">
        <f>IF(Tim!JN20=Sheet6!$C$2,Sheet6!$C$2,IF(Tim!JN20=Sheet6!$C$3,Sheet6!$C$3,IF(Tim!JN20=Sheet6!$C$4,Sheet6!$C$4,IF(Tim!JN20=Sheet6!$C$5,Sheet6!$C$5,IF(Tim!JN20=Sheet6!$C$6,Sheet6!$C$6,IF(Tim!JN20=Sheet6!$C$7,Sheet6!$C$7,IF(Tim!JN20=Sheet6!$C$8,Sheet6!$C$8,"")))))))</f>
        <v/>
      </c>
      <c r="DI18" s="57" t="str">
        <f>IF(Tim!JS20=Sheet6!$C$2,Sheet6!$C$2,IF(Tim!JS20=Sheet6!$C$3,Sheet6!$C$3,IF(Tim!JS20=Sheet6!$C$4,Sheet6!$C$4,IF(Tim!JS20=Sheet6!$C$5,Sheet6!$C$5,IF(Tim!JS20=Sheet6!$C$6,Sheet6!$C$6,IF(Tim!JS20=Sheet6!$C$7,Sheet6!$C$7,IF(Tim!JS20=Sheet6!$C$8,Sheet6!$C$8,"")))))))</f>
        <v/>
      </c>
      <c r="DJ18" s="57" t="str">
        <f>IF(Tim!KB20=Sheet6!$C$2,Sheet6!$C$2,IF(Tim!KB20=Sheet6!$C$3,Sheet6!$C$3,IF(Tim!KB20=Sheet6!$C$4,Sheet6!$C$4,IF(Tim!KB20=Sheet6!$C$5,Sheet6!$C$5,IF(Tim!KB20=Sheet6!$C$6,Sheet6!$C$6,IF(Tim!KB20=Sheet6!$C$7,Sheet6!$C$7,IF(Tim!KB20=Sheet6!$C$8,Sheet6!$C$8,"")))))))</f>
        <v/>
      </c>
      <c r="DK18" s="53" t="str">
        <f>IF(Tim!KI20=Sheet6!$C$2,Sheet6!$C$2,IF(Tim!KI20=Sheet6!$C$3,Sheet6!$C$3,IF(Tim!KI20=Sheet6!$C$4,Sheet6!$C$4,IF(Tim!KI20=Sheet6!$C$5,Sheet6!$C$5,IF(Tim!KI20=Sheet6!$C$6,Sheet6!$C$6,IF(Tim!KI20=Sheet6!$C$7,Sheet6!$C$7,IF(Tim!KI20=Sheet6!$C$8,Sheet6!$C$8,"")))))))</f>
        <v/>
      </c>
      <c r="DL18" s="53" t="str">
        <f>IF(Tim!KJ20=Sheet6!$C$2,Sheet6!$C$2,IF(Tim!KJ20=Sheet6!$C$3,Sheet6!$C$3,IF(Tim!KJ20=Sheet6!$C$4,Sheet6!$C$4,IF(Tim!KJ20=Sheet6!$C$5,Sheet6!$C$5,IF(Tim!KJ20=Sheet6!$C$6,Sheet6!$C$6,IF(Tim!KJ20=Sheet6!$C$7,Sheet6!$C$7,IF(Tim!KJ20=Sheet6!$C$8,Sheet6!$C$8,"")))))))</f>
        <v/>
      </c>
      <c r="DM18" s="53" t="str">
        <f>IF(Tim!KR20=Sheet6!$C$2,Sheet6!$C$2,IF(Tim!KR20=Sheet6!$C$3,Sheet6!$C$3,IF(Tim!KR20=Sheet6!$C$4,Sheet6!$C$4,IF(Tim!KR20=Sheet6!$C$5,Sheet6!$C$5,IF(Tim!KR20=Sheet6!$C$6,Sheet6!$C$6,IF(Tim!KR20=Sheet6!$C$7,Sheet6!$C$7,IF(Tim!KR20=Sheet6!$C$8,Sheet6!$C$8,"")))))))</f>
        <v/>
      </c>
      <c r="DN18" s="53" t="str">
        <f>IF(Tim!KS20=Sheet6!$C$2,Sheet6!$C$2,IF(Tim!KS20=Sheet6!$C$3,Sheet6!$C$3,IF(Tim!KS20=Sheet6!$C$4,Sheet6!$C$4,IF(Tim!KS20=Sheet6!$C$5,Sheet6!$C$5,IF(Tim!KS20=Sheet6!$C$6,Sheet6!$C$6,IF(Tim!KS20=Sheet6!$C$7,Sheet6!$C$7,IF(Tim!KS20=Sheet6!$C$8,Sheet6!$C$8,"")))))))</f>
        <v/>
      </c>
      <c r="DO18" s="53" t="str">
        <f>IF(Tim!KT20=Sheet6!$C$2,Sheet6!$C$2,IF(Tim!KT20=Sheet6!$C$3,Sheet6!$C$3,IF(Tim!KT20=Sheet6!$C$4,Sheet6!$C$4,IF(Tim!KT20=Sheet6!$C$5,Sheet6!$C$5,IF(Tim!KT20=Sheet6!$C$6,Sheet6!$C$6,IF(Tim!KT20=Sheet6!$C$7,Sheet6!$C$7,IF(Tim!KT20=Sheet6!$C$8,Sheet6!$C$8,"")))))))</f>
        <v/>
      </c>
      <c r="DP18" s="53" t="str">
        <f>IF(Tim!KU20=Sheet6!$C$2,Sheet6!$C$2,IF(Tim!KU20=Sheet6!$C$3,Sheet6!$C$3,IF(Tim!KU20=Sheet6!$C$4,Sheet6!$C$4,IF(Tim!KU20=Sheet6!$C$5,Sheet6!$C$5,IF(Tim!KU20=Sheet6!$C$6,Sheet6!$C$6,IF(Tim!KU20=Sheet6!$C$7,Sheet6!$C$7,IF(Tim!KU20=Sheet6!$C$8,Sheet6!$C$8,"")))))))</f>
        <v/>
      </c>
      <c r="DQ18" s="53" t="str">
        <f>IF(Tim!KV20=Sheet6!$C$2,Sheet6!$C$2,IF(Tim!KV20=Sheet6!$C$3,Sheet6!$C$3,IF(Tim!KV20=Sheet6!$C$4,Sheet6!$C$4,IF(Tim!KV20=Sheet6!$C$5,Sheet6!$C$5,IF(Tim!KV20=Sheet6!$C$6,Sheet6!$C$6,IF(Tim!KV20=Sheet6!$C$7,Sheet6!$C$7,IF(Tim!KV20=Sheet6!$C$8,Sheet6!$C$8,"")))))))</f>
        <v/>
      </c>
      <c r="DR18" s="53" t="str">
        <f>IF(Tim!KW20=Sheet6!$C$2,Sheet6!$C$2,IF(Tim!KW20=Sheet6!$C$3,Sheet6!$C$3,IF(Tim!KW20=Sheet6!$C$4,Sheet6!$C$4,IF(Tim!KW20=Sheet6!$C$5,Sheet6!$C$5,IF(Tim!KW20=Sheet6!$C$6,Sheet6!$C$6,IF(Tim!KW20=Sheet6!$C$7,Sheet6!$C$7,IF(Tim!KW20=Sheet6!$C$8,Sheet6!$C$8,"")))))))</f>
        <v/>
      </c>
      <c r="DS18" s="53" t="str">
        <f>IF(Tim!LA20=Sheet6!$C$2,Sheet6!$C$2,IF(Tim!LA20=Sheet6!$C$3,Sheet6!$C$3,IF(Tim!LA20=Sheet6!$C$4,Sheet6!$C$4,IF(Tim!LA20=Sheet6!$C$5,Sheet6!$C$5,IF(Tim!LA20=Sheet6!$C$6,Sheet6!$C$6,IF(Tim!LA20=Sheet6!$C$7,Sheet6!$C$7,IF(Tim!LA20=Sheet6!$C$8,Sheet6!$C$8,"")))))))</f>
        <v/>
      </c>
      <c r="DT18" s="54" t="str">
        <f>IF(Tim!LB20=Sheet6!$C$2,Sheet6!$C$2,IF(Tim!LB20=Sheet6!$C$3,Sheet6!$C$3,IF(Tim!LB20=Sheet6!$C$4,Sheet6!$C$4,IF(Tim!LB20=Sheet6!$C$5,Sheet6!$C$5,IF(Tim!LB20=Sheet6!$C$6,Sheet6!$C$6,IF(Tim!LB20=Sheet6!$C$7,Sheet6!$C$7,IF(Tim!LB20=Sheet6!$C$8,Sheet6!$C$8,"")))))))</f>
        <v/>
      </c>
      <c r="DU18" s="54" t="str">
        <f>IF(Tim!LC20=Sheet6!$C$2,Sheet6!$C$2,IF(Tim!LC20=Sheet6!$C$3,Sheet6!$C$3,IF(Tim!LC20=Sheet6!$C$4,Sheet6!$C$4,IF(Tim!LC20=Sheet6!$C$5,Sheet6!$C$5,IF(Tim!LC20=Sheet6!$C$6,Sheet6!$C$6,IF(Tim!LC20=Sheet6!$C$7,Sheet6!$C$7,IF(Tim!LC20=Sheet6!$C$8,Sheet6!$C$8,"")))))))</f>
        <v/>
      </c>
      <c r="DV18" s="54" t="str">
        <f>IF(Tim!LD20=Sheet6!$C$2,Sheet6!$C$2,IF(Tim!LD20=Sheet6!$C$3,Sheet6!$C$3,IF(Tim!LD20=Sheet6!$C$4,Sheet6!$C$4,IF(Tim!LD20=Sheet6!$C$5,Sheet6!$C$5,IF(Tim!LD20=Sheet6!$C$6,Sheet6!$C$6,IF(Tim!LD20=Sheet6!$C$7,Sheet6!$C$7,IF(Tim!LD20=Sheet6!$C$8,Sheet6!$C$8,"")))))))</f>
        <v/>
      </c>
      <c r="DW18" s="55" t="str">
        <f>IF(Tim!LE20=Sheet6!$C$2,Sheet6!$C$2,IF(Tim!LE20=Sheet6!$C$3,Sheet6!$C$3,IF(Tim!LE20=Sheet6!$C$4,Sheet6!$C$4,IF(Tim!LE20=Sheet6!$C$5,Sheet6!$C$5,IF(Tim!LE20=Sheet6!$C$6,Sheet6!$C$6,IF(Tim!LE20=Sheet6!$C$7,Sheet6!$C$7,IF(Tim!LE20=Sheet6!$C$8,Sheet6!$C$8,"")))))))</f>
        <v/>
      </c>
      <c r="DX18" s="52">
        <v>0.42708333333333298</v>
      </c>
    </row>
    <row r="19" spans="2:128" ht="10.5" customHeight="1">
      <c r="B19" s="51">
        <v>0.25</v>
      </c>
      <c r="C19" s="51">
        <v>0.25</v>
      </c>
      <c r="D19" s="51">
        <v>0.25</v>
      </c>
      <c r="E19" s="52">
        <v>0.4375</v>
      </c>
      <c r="F19" s="53" t="str">
        <f>IF(Tim!F21=Sheet6!$C$2,Sheet6!$C$2,IF(Tim!F21=Sheet6!$C$3,Sheet6!$C$3,IF(Tim!F21=Sheet6!$C$4,Sheet6!$C$4,IF(Tim!F21=Sheet6!$C$5,Sheet6!$C$5,IF(Tim!F21=Sheet6!$C$6,Sheet6!$C$6,IF(Tim!F21=Sheet6!$C$7,Sheet6!$C$7,IF(Tim!F21=Sheet6!$C$8,Sheet6!$C$8,"")))))))</f>
        <v/>
      </c>
      <c r="G19" s="53" t="str">
        <f>IF(Tim!G21=Sheet6!$C$2,Sheet6!$C$2,IF(Tim!G21=Sheet6!$C$3,Sheet6!$C$3,IF(Tim!G21=Sheet6!$C$4,Sheet6!$C$4,IF(Tim!G21=Sheet6!$C$5,Sheet6!$C$5,IF(Tim!G21=Sheet6!$C$6,Sheet6!$C$6,IF(Tim!G21=Sheet6!$C$7,Sheet6!$C$7,IF(Tim!G21=Sheet6!$C$8,Sheet6!$C$8,"")))))))</f>
        <v/>
      </c>
      <c r="H19" s="53" t="str">
        <f>IF(Tim!H21=Sheet6!$C$2,Sheet6!$C$2,IF(Tim!H21=Sheet6!$C$3,Sheet6!$C$3,IF(Tim!H21=Sheet6!$C$4,Sheet6!$C$4,IF(Tim!H21=Sheet6!$C$5,Sheet6!$C$5,IF(Tim!H21=Sheet6!$C$6,Sheet6!$C$6,IF(Tim!H21=Sheet6!$C$7,Sheet6!$C$7,IF(Tim!H21=Sheet6!$C$8,Sheet6!$C$8,"")))))))</f>
        <v/>
      </c>
      <c r="I19" s="53" t="str">
        <f>IF(Tim!L21=Sheet6!$C$2,Sheet6!$C$2,IF(Tim!L21=Sheet6!$C$3,Sheet6!$C$3,IF(Tim!L21=Sheet6!$C$4,Sheet6!$C$4,IF(Tim!L21=Sheet6!$C$5,Sheet6!$C$5,IF(Tim!L21=Sheet6!$C$6,Sheet6!$C$6,IF(Tim!L21=Sheet6!$C$7,Sheet6!$C$7,IF(Tim!L21=Sheet6!$C$8,Sheet6!$C$8,"")))))))</f>
        <v/>
      </c>
      <c r="J19" s="53" t="str">
        <f>IF(Tim!T21=Sheet6!$C$2,Sheet6!$C$2,IF(Tim!T21=Sheet6!$C$3,Sheet6!$C$3,IF(Tim!T21=Sheet6!$C$4,Sheet6!$C$4,IF(Tim!T21=Sheet6!$C$5,Sheet6!$C$5,IF(Tim!T21=Sheet6!$C$6,Sheet6!$C$6,IF(Tim!T21=Sheet6!$C$7,Sheet6!$C$7,IF(Tim!T21=Sheet6!$C$8,Sheet6!$C$8,"")))))))</f>
        <v/>
      </c>
      <c r="K19" s="53" t="str">
        <f>IF(Tim!AB21=Sheet6!$C$2,Sheet6!$C$2,IF(Tim!AB21=Sheet6!$C$3,Sheet6!$C$3,IF(Tim!AB21=Sheet6!$C$4,Sheet6!$C$4,IF(Tim!AB21=Sheet6!$C$5,Sheet6!$C$5,IF(Tim!AB21=Sheet6!$C$6,Sheet6!$C$6,IF(Tim!AB21=Sheet6!$C$7,Sheet6!$C$7,IF(Tim!AB21=Sheet6!$C$8,Sheet6!$C$8,"")))))))</f>
        <v/>
      </c>
      <c r="L19" s="181" t="str">
        <f>IF(Tim!AC21=Sheet6!$C$2,Sheet6!$C$2,IF(Tim!AC21=Sheet6!$C$3,Sheet6!$C$3,IF(Tim!AC21=Sheet6!$C$4,Sheet6!$C$4,IF(Tim!AC21=Sheet6!$C$5,Sheet6!$C$5,IF(Tim!AC21=Sheet6!$C$6,Sheet6!$C$6,IF(Tim!AC21=Sheet6!$C$7,Sheet6!$C$7,IF(Tim!AC21=Sheet6!$C$8,Sheet6!$C$8,"")))))))</f>
        <v/>
      </c>
      <c r="M19" s="181" t="str">
        <f>IF(Tim!AJ21=Sheet6!$C$2,Sheet6!$C$2,IF(Tim!AJ21=Sheet6!$C$3,Sheet6!$C$3,IF(Tim!AJ21=Sheet6!$C$4,Sheet6!$C$4,IF(Tim!AJ21=Sheet6!$C$5,Sheet6!$C$5,IF(Tim!AJ21=Sheet6!$C$6,Sheet6!$C$6,IF(Tim!AJ21=Sheet6!$C$7,Sheet6!$C$7,IF(Tim!AJ21=Sheet6!$C$8,Sheet6!$C$8,"")))))))</f>
        <v/>
      </c>
      <c r="N19" s="181" t="str">
        <f>IF(Tim!AK21=Sheet6!$C$2,Sheet6!$C$2,IF(Tim!AK21=Sheet6!$C$3,Sheet6!$C$3,IF(Tim!AK21=Sheet6!$C$4,Sheet6!$C$4,IF(Tim!AK21=Sheet6!$C$5,Sheet6!$C$5,IF(Tim!AK21=Sheet6!$C$6,Sheet6!$C$6,IF(Tim!AK21=Sheet6!$C$7,Sheet6!$C$7,IF(Tim!AK21=Sheet6!$C$8,Sheet6!$C$8,"")))))))</f>
        <v/>
      </c>
      <c r="O19" s="53" t="str">
        <f>IF(Tim!AL21=Sheet6!$C$2,Sheet6!$C$2,IF(Tim!AL21=Sheet6!$C$3,Sheet6!$C$3,IF(Tim!AL21=Sheet6!$C$4,Sheet6!$C$4,IF(Tim!AL21=Sheet6!$C$5,Sheet6!$C$5,IF(Tim!AL21=Sheet6!$C$6,Sheet6!$C$6,IF(Tim!AL21=Sheet6!$C$7,Sheet6!$C$7,IF(Tim!AL21=Sheet6!$C$8,Sheet6!$C$8,"")))))))</f>
        <v/>
      </c>
      <c r="P19" s="53" t="str">
        <f>IF(Tim!AN21=Sheet6!$C$2,Sheet6!$C$2,IF(Tim!AN21=Sheet6!$C$3,Sheet6!$C$3,IF(Tim!AN21=Sheet6!$C$4,Sheet6!$C$4,IF(Tim!AN21=Sheet6!$C$5,Sheet6!$C$5,IF(Tim!AN21=Sheet6!$C$6,Sheet6!$C$6,IF(Tim!AN21=Sheet6!$C$7,Sheet6!$C$7,IF(Tim!AN21=Sheet6!$C$8,Sheet6!$C$8,"")))))))</f>
        <v/>
      </c>
      <c r="Q19" s="53" t="str">
        <f>IF(Tim!AO21=Sheet6!$C$2,Sheet6!$C$2,IF(Tim!AO21=Sheet6!$C$3,Sheet6!$C$3,IF(Tim!AO21=Sheet6!$C$4,Sheet6!$C$4,IF(Tim!AO21=Sheet6!$C$5,Sheet6!$C$5,IF(Tim!AO21=Sheet6!$C$6,Sheet6!$C$6,IF(Tim!AO21=Sheet6!$C$7,Sheet6!$C$7,IF(Tim!AO21=Sheet6!$C$8,Sheet6!$C$8,"")))))))</f>
        <v/>
      </c>
      <c r="R19" s="53" t="str">
        <f>IF(Tim!AP21=Sheet6!$C$2,Sheet6!$C$2,IF(Tim!AP21=Sheet6!$C$3,Sheet6!$C$3,IF(Tim!AP21=Sheet6!$C$4,Sheet6!$C$4,IF(Tim!AP21=Sheet6!$C$5,Sheet6!$C$5,IF(Tim!AP21=Sheet6!$C$6,Sheet6!$C$6,IF(Tim!AP21=Sheet6!$C$7,Sheet6!$C$7,IF(Tim!AP21=Sheet6!$C$8,Sheet6!$C$8,"")))))))</f>
        <v/>
      </c>
      <c r="S19" s="53" t="str">
        <f>IF(Tim!AT21=Sheet6!$C$2,Sheet6!$C$2,IF(Tim!AT21=Sheet6!$C$3,Sheet6!$C$3,IF(Tim!AT21=Sheet6!$C$4,Sheet6!$C$4,IF(Tim!AT21=Sheet6!$C$5,Sheet6!$C$5,IF(Tim!AT21=Sheet6!$C$6,Sheet6!$C$6,IF(Tim!AT21=Sheet6!$C$7,Sheet6!$C$7,IF(Tim!AT21=Sheet6!$C$8,Sheet6!$C$8,"")))))))</f>
        <v/>
      </c>
      <c r="T19" s="54" t="str">
        <f>IF(Tim!AU21=Sheet6!$C$2,Sheet6!$C$2,IF(Tim!AU21=Sheet6!$C$3,Sheet6!$C$3,IF(Tim!AU21=Sheet6!$C$4,Sheet6!$C$4,IF(Tim!AU21=Sheet6!$C$5,Sheet6!$C$5,IF(Tim!AU21=Sheet6!$C$6,Sheet6!$C$6,IF(Tim!AU21=Sheet6!$C$7,Sheet6!$C$7,IF(Tim!AU21=Sheet6!$C$8,Sheet6!$C$8,"")))))))</f>
        <v/>
      </c>
      <c r="U19" s="54" t="str">
        <f>IF(Tim!AV21=Sheet6!$C$2,Sheet6!$C$2,IF(Tim!AV21=Sheet6!$C$3,Sheet6!$C$3,IF(Tim!AV21=Sheet6!$C$4,Sheet6!$C$4,IF(Tim!AV21=Sheet6!$C$5,Sheet6!$C$5,IF(Tim!AV21=Sheet6!$C$6,Sheet6!$C$6,IF(Tim!AV21=Sheet6!$C$7,Sheet6!$C$7,IF(Tim!AV21=Sheet6!$C$8,Sheet6!$C$8,"")))))))</f>
        <v/>
      </c>
      <c r="V19" s="54" t="str">
        <f>IF(Tim!AW21=Sheet6!$C$2,Sheet6!$C$2,IF(Tim!AW21=Sheet6!$C$3,Sheet6!$C$3,IF(Tim!AW21=Sheet6!$C$4,Sheet6!$C$4,IF(Tim!AW21=Sheet6!$C$5,Sheet6!$C$5,IF(Tim!AW21=Sheet6!$C$6,Sheet6!$C$6,IF(Tim!AW21=Sheet6!$C$7,Sheet6!$C$7,IF(Tim!AW21=Sheet6!$C$8,Sheet6!$C$8,"")))))))</f>
        <v/>
      </c>
      <c r="W19" s="55" t="str">
        <f>IF(Tim!AX21=Sheet6!$C$2,Sheet6!$C$2,IF(Tim!AX21=Sheet6!$C$3,Sheet6!$C$3,IF(Tim!AX21=Sheet6!$C$4,Sheet6!$C$4,IF(Tim!AX21=Sheet6!$C$5,Sheet6!$C$5,IF(Tim!AX21=Sheet6!$C$6,Sheet6!$C$6,IF(Tim!AX21=Sheet6!$C$7,Sheet6!$C$7,IF(Tim!AX21=Sheet6!$C$8,Sheet6!$C$8,"")))))))</f>
        <v/>
      </c>
      <c r="X19" s="53" t="str">
        <f>IF(Tim!AY21=Sheet6!$C$2,Sheet6!$C$2,IF(Tim!AY21=Sheet6!$C$3,Sheet6!$C$3,IF(Tim!AY21=Sheet6!$C$4,Sheet6!$C$4,IF(Tim!AY21=Sheet6!$C$5,Sheet6!$C$5,IF(Tim!AY21=Sheet6!$C$6,Sheet6!$C$6,IF(Tim!AY21=Sheet6!$C$7,Sheet6!$C$7,IF(Tim!AY21=Sheet6!$C$8,Sheet6!$C$8,"")))))))</f>
        <v/>
      </c>
      <c r="Y19" s="53" t="str">
        <f>IF(Tim!AZ21=Sheet6!$C$2,Sheet6!$C$2,IF(Tim!AZ21=Sheet6!$C$3,Sheet6!$C$3,IF(Tim!AZ21=Sheet6!$C$4,Sheet6!$C$4,IF(Tim!AZ21=Sheet6!$C$5,Sheet6!$C$5,IF(Tim!AZ21=Sheet6!$C$6,Sheet6!$C$6,IF(Tim!AZ21=Sheet6!$C$7,Sheet6!$C$7,IF(Tim!AZ21=Sheet6!$C$8,Sheet6!$C$8,"")))))))</f>
        <v/>
      </c>
      <c r="Z19" s="53" t="str">
        <f>IF(Tim!BD21=Sheet6!$C$2,Sheet6!$C$2,IF(Tim!BD21=Sheet6!$C$3,Sheet6!$C$3,IF(Tim!BD21=Sheet6!$C$4,Sheet6!$C$4,IF(Tim!BD21=Sheet6!$C$5,Sheet6!$C$5,IF(Tim!BD21=Sheet6!$C$6,Sheet6!$C$6,IF(Tim!BD21=Sheet6!$C$7,Sheet6!$C$7,IF(Tim!BD21=Sheet6!$C$8,Sheet6!$C$8,"")))))))</f>
        <v/>
      </c>
      <c r="AA19" s="53" t="str">
        <f>IF(Tim!BE21=Sheet6!$C$2,Sheet6!$C$2,IF(Tim!BE21=Sheet6!$C$3,Sheet6!$C$3,IF(Tim!BE21=Sheet6!$C$4,Sheet6!$C$4,IF(Tim!BE21=Sheet6!$C$5,Sheet6!$C$5,IF(Tim!BE21=Sheet6!$C$6,Sheet6!$C$6,IF(Tim!BE21=Sheet6!$C$7,Sheet6!$C$7,IF(Tim!BE21=Sheet6!$C$8,Sheet6!$C$8,"")))))))</f>
        <v/>
      </c>
      <c r="AB19" s="57" t="str">
        <f>IF(Tim!BL21=Sheet6!$C$2,Sheet6!$C$2,IF(Tim!BL21=Sheet6!$C$3,Sheet6!$C$3,IF(Tim!BL21=Sheet6!$C$4,Sheet6!$C$4,IF(Tim!BL21=Sheet6!$C$5,Sheet6!$C$5,IF(Tim!BL21=Sheet6!$C$6,Sheet6!$C$6,IF(Tim!BL21=Sheet6!$C$7,Sheet6!$C$7,IF(Tim!BL21=Sheet6!$C$8,Sheet6!$C$8,"")))))))</f>
        <v/>
      </c>
      <c r="AC19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D19" s="181" t="str">
        <f>IF(Tim!BU21=Sheet6!$C$2,Sheet6!$C$2,IF(Tim!BU21=Sheet6!$C$3,Sheet6!$C$3,IF(Tim!BU21=Sheet6!$C$4,Sheet6!$C$4,IF(Tim!BU21=Sheet6!$C$5,Sheet6!$C$5,IF(Tim!BU21=Sheet6!$C$6,Sheet6!$C$6,IF(Tim!BU21=Sheet6!$C$7,Sheet6!$C$7,IF(Tim!BU21=Sheet6!$C$8,Sheet6!$C$8,"")))))))</f>
        <v/>
      </c>
      <c r="AE19" s="181" t="str">
        <f>IF(Tim!CB21=Sheet6!$C$2,Sheet6!$C$2,IF(Tim!CB21=Sheet6!$C$3,Sheet6!$C$3,IF(Tim!CB21=Sheet6!$C$4,Sheet6!$C$4,IF(Tim!CB21=Sheet6!$C$5,Sheet6!$C$5,IF(Tim!CB21=Sheet6!$C$6,Sheet6!$C$6,IF(Tim!CB21=Sheet6!$C$7,Sheet6!$C$7,IF(Tim!CB21=Sheet6!$C$8,Sheet6!$C$8,"")))))))</f>
        <v/>
      </c>
      <c r="AF19" s="181" t="str">
        <f>IF(Tim!CD21=Sheet6!$C$2,Sheet6!$C$2,IF(Tim!CD21=Sheet6!$C$3,Sheet6!$C$3,IF(Tim!CD21=Sheet6!$C$4,Sheet6!$C$4,IF(Tim!CD21=Sheet6!$C$5,Sheet6!$C$5,IF(Tim!CD21=Sheet6!$C$6,Sheet6!$C$6,IF(Tim!CD21=Sheet6!$C$7,Sheet6!$C$7,IF(Tim!CD21=Sheet6!$C$8,Sheet6!$C$8,"")))))))</f>
        <v/>
      </c>
      <c r="AG19" s="53" t="str">
        <f>IF(Tim!CE21=Sheet6!$C$2,Sheet6!$C$2,IF(Tim!CE21=Sheet6!$C$3,Sheet6!$C$3,IF(Tim!CE21=Sheet6!$C$4,Sheet6!$C$4,IF(Tim!CE21=Sheet6!$C$5,Sheet6!$C$5,IF(Tim!CE21=Sheet6!$C$6,Sheet6!$C$6,IF(Tim!CE21=Sheet6!$C$7,Sheet6!$C$7,IF(Tim!CE21=Sheet6!$C$8,Sheet6!$C$8,"")))))))</f>
        <v/>
      </c>
      <c r="AH19" s="53" t="str">
        <f>IF(Tim!CF21=Sheet6!$C$2,Sheet6!$C$2,IF(Tim!CF21=Sheet6!$C$3,Sheet6!$C$3,IF(Tim!CF21=Sheet6!$C$4,Sheet6!$C$4,IF(Tim!CF21=Sheet6!$C$5,Sheet6!$C$5,IF(Tim!CF21=Sheet6!$C$6,Sheet6!$C$6,IF(Tim!CF21=Sheet6!$C$7,Sheet6!$C$7,IF(Tim!CF21=Sheet6!$C$8,Sheet6!$C$8,"")))))))</f>
        <v/>
      </c>
      <c r="AI19" s="53" t="str">
        <f>IF(Tim!CG21=Sheet6!$C$2,Sheet6!$C$2,IF(Tim!CG21=Sheet6!$C$3,Sheet6!$C$3,IF(Tim!CG21=Sheet6!$C$4,Sheet6!$C$4,IF(Tim!CG21=Sheet6!$C$5,Sheet6!$C$5,IF(Tim!CG21=Sheet6!$C$6,Sheet6!$C$6,IF(Tim!CG21=Sheet6!$C$7,Sheet6!$C$7,IF(Tim!CG21=Sheet6!$C$8,Sheet6!$C$8,"")))))))</f>
        <v/>
      </c>
      <c r="AJ19" s="53" t="str">
        <f>IF(Tim!CH21=Sheet6!$C$2,Sheet6!$C$2,IF(Tim!CH21=Sheet6!$C$3,Sheet6!$C$3,IF(Tim!CH21=Sheet6!$C$4,Sheet6!$C$4,IF(Tim!CH21=Sheet6!$C$5,Sheet6!$C$5,IF(Tim!CH21=Sheet6!$C$6,Sheet6!$C$6,IF(Tim!CH21=Sheet6!$C$7,Sheet6!$C$7,IF(Tim!CH21=Sheet6!$C$8,Sheet6!$C$8,"")))))))</f>
        <v/>
      </c>
      <c r="AK19" s="53" t="str">
        <f>IF(Tim!CL21=Sheet6!$C$2,Sheet6!$C$2,IF(Tim!CL21=Sheet6!$C$3,Sheet6!$C$3,IF(Tim!CL21=Sheet6!$C$4,Sheet6!$C$4,IF(Tim!CL21=Sheet6!$C$5,Sheet6!$C$5,IF(Tim!CL21=Sheet6!$C$6,Sheet6!$C$6,IF(Tim!CL21=Sheet6!$C$7,Sheet6!$C$7,IF(Tim!CL21=Sheet6!$C$8,Sheet6!$C$8,"")))))))</f>
        <v/>
      </c>
      <c r="AL19" s="54" t="str">
        <f>IF(Tim!CM21=Sheet6!$C$2,Sheet6!$C$2,IF(Tim!CM21=Sheet6!$C$3,Sheet6!$C$3,IF(Tim!CM21=Sheet6!$C$4,Sheet6!$C$4,IF(Tim!CM21=Sheet6!$C$5,Sheet6!$C$5,IF(Tim!CM21=Sheet6!$C$6,Sheet6!$C$6,IF(Tim!CM21=Sheet6!$C$7,Sheet6!$C$7,IF(Tim!CM21=Sheet6!$C$8,Sheet6!$C$8,"")))))))</f>
        <v/>
      </c>
      <c r="AM19" s="54" t="str">
        <f>IF(Tim!CN21=Sheet6!$C$2,Sheet6!$C$2,IF(Tim!CN21=Sheet6!$C$3,Sheet6!$C$3,IF(Tim!CN21=Sheet6!$C$4,Sheet6!$C$4,IF(Tim!CN21=Sheet6!$C$5,Sheet6!$C$5,IF(Tim!CN21=Sheet6!$C$6,Sheet6!$C$6,IF(Tim!CN21=Sheet6!$C$7,Sheet6!$C$7,IF(Tim!CN21=Sheet6!$C$8,Sheet6!$C$8,"")))))))</f>
        <v/>
      </c>
      <c r="AN19" s="54" t="str">
        <f>IF(Tim!CO21=Sheet6!$C$2,Sheet6!$C$2,IF(Tim!CO21=Sheet6!$C$3,Sheet6!$C$3,IF(Tim!CO21=Sheet6!$C$4,Sheet6!$C$4,IF(Tim!CO21=Sheet6!$C$5,Sheet6!$C$5,IF(Tim!CO21=Sheet6!$C$6,Sheet6!$C$6,IF(Tim!CO21=Sheet6!$C$7,Sheet6!$C$7,IF(Tim!CO21=Sheet6!$C$8,Sheet6!$C$8,"")))))))</f>
        <v/>
      </c>
      <c r="AO19" s="55" t="str">
        <f>IF(Tim!CP21=Sheet6!$C$2,Sheet6!$C$2,IF(Tim!CP21=Sheet6!$C$3,Sheet6!$C$3,IF(Tim!CP21=Sheet6!$C$4,Sheet6!$C$4,IF(Tim!CP21=Sheet6!$C$5,Sheet6!$C$5,IF(Tim!CP21=Sheet6!$C$6,Sheet6!$C$6,IF(Tim!CP21=Sheet6!$C$7,Sheet6!$C$7,IF(Tim!CP21=Sheet6!$C$8,Sheet6!$C$8,"")))))))</f>
        <v/>
      </c>
      <c r="AP19" s="53" t="str">
        <f>IF(Tim!CQ21=Sheet6!$C$2,Sheet6!$C$2,IF(Tim!CQ21=Sheet6!$C$3,Sheet6!$C$3,IF(Tim!CQ21=Sheet6!$C$4,Sheet6!$C$4,IF(Tim!CQ21=Sheet6!$C$5,Sheet6!$C$5,IF(Tim!CQ21=Sheet6!$C$6,Sheet6!$C$6,IF(Tim!CQ21=Sheet6!$C$7,Sheet6!$C$7,IF(Tim!CQ21=Sheet6!$C$8,Sheet6!$C$8,"")))))))</f>
        <v/>
      </c>
      <c r="AQ19" s="57" t="str">
        <f>IF(Tim!CR21=Sheet6!$C$2,Sheet6!$C$2,IF(Tim!CR21=Sheet6!$C$3,Sheet6!$C$3,IF(Tim!CR21=Sheet6!$C$4,Sheet6!$C$4,IF(Tim!CR21=Sheet6!$C$5,Sheet6!$C$5,IF(Tim!CR21=Sheet6!$C$6,Sheet6!$C$6,IF(Tim!CR21=Sheet6!$C$7,Sheet6!$C$7,IF(Tim!CR21=Sheet6!$C$8,Sheet6!$C$8,"")))))))</f>
        <v/>
      </c>
      <c r="AR19" s="53" t="str">
        <f>IF(Tim!CV21=Sheet6!$C$2,Sheet6!$C$2,IF(Tim!CV21=Sheet6!$C$3,Sheet6!$C$3,IF(Tim!CV21=Sheet6!$C$4,Sheet6!$C$4,IF(Tim!CV21=Sheet6!$C$5,Sheet6!$C$5,IF(Tim!CV21=Sheet6!$C$6,Sheet6!$C$6,IF(Tim!CV21=Sheet6!$C$7,Sheet6!$C$7,IF(Tim!CV21=Sheet6!$C$8,Sheet6!$C$8,"")))))))</f>
        <v/>
      </c>
      <c r="AS19" s="53" t="str">
        <f>IF(Tim!CW21=Sheet6!$C$2,Sheet6!$C$2,IF(Tim!CW21=Sheet6!$C$3,Sheet6!$C$3,IF(Tim!CW21=Sheet6!$C$4,Sheet6!$C$4,IF(Tim!CW21=Sheet6!$C$5,Sheet6!$C$5,IF(Tim!CW21=Sheet6!$C$6,Sheet6!$C$6,IF(Tim!CW21=Sheet6!$C$7,Sheet6!$C$7,IF(Tim!CW21=Sheet6!$C$8,Sheet6!$C$8,"")))))))</f>
        <v/>
      </c>
      <c r="AT19" s="53" t="str">
        <f>IF(Tim!DA21=Sheet6!$C$2,Sheet6!$C$2,IF(Tim!DA21=Sheet6!$C$3,Sheet6!$C$3,IF(Tim!DA21=Sheet6!$C$4,Sheet6!$C$4,IF(Tim!DA21=Sheet6!$C$5,Sheet6!$C$5,IF(Tim!DA21=Sheet6!$C$6,Sheet6!$C$6,IF(Tim!DA21=Sheet6!$C$7,Sheet6!$C$7,IF(Tim!DA21=Sheet6!$C$8,Sheet6!$C$8,"")))))))</f>
        <v/>
      </c>
      <c r="AU19" s="53" t="str">
        <f>IF(Tim!DO21=Sheet6!$C$2,Sheet6!$C$2,IF(Tim!DO21=Sheet6!$C$3,Sheet6!$C$3,IF(Tim!DO21=Sheet6!$C$4,Sheet6!$C$4,IF(Tim!DO21=Sheet6!$C$5,Sheet6!$C$5,IF(Tim!DO21=Sheet6!$C$6,Sheet6!$C$6,IF(Tim!DO21=Sheet6!$C$7,Sheet6!$C$7,IF(Tim!DO21=Sheet6!$C$8,Sheet6!$C$8,"")))))))</f>
        <v/>
      </c>
      <c r="AV19" s="181" t="str">
        <f>IF(Tim!DP21=Sheet6!$C$2,Sheet6!$C$2,IF(Tim!DP21=Sheet6!$C$3,Sheet6!$C$3,IF(Tim!DP21=Sheet6!$C$4,Sheet6!$C$4,IF(Tim!DP21=Sheet6!$C$5,Sheet6!$C$5,IF(Tim!DP21=Sheet6!$C$6,Sheet6!$C$6,IF(Tim!DP21=Sheet6!$C$7,Sheet6!$C$7,IF(Tim!DP21=Sheet6!$C$8,Sheet6!$C$8,"")))))))</f>
        <v/>
      </c>
      <c r="AW19" s="181" t="str">
        <f>IF(Tim!DX21=Sheet6!$C$2,Sheet6!$C$2,IF(Tim!DX21=Sheet6!$C$3,Sheet6!$C$3,IF(Tim!DX21=Sheet6!$C$4,Sheet6!$C$4,IF(Tim!DX21=Sheet6!$C$5,Sheet6!$C$5,IF(Tim!DX21=Sheet6!$C$6,Sheet6!$C$6,IF(Tim!DX21=Sheet6!$C$7,Sheet6!$C$7,IF(Tim!DX21=Sheet6!$C$8,Sheet6!$C$8,"")))))))</f>
        <v/>
      </c>
      <c r="AX19" s="181" t="str">
        <f>IF(Tim!DY21=Sheet6!$C$2,Sheet6!$C$2,IF(Tim!DY21=Sheet6!$C$3,Sheet6!$C$3,IF(Tim!DY21=Sheet6!$C$4,Sheet6!$C$4,IF(Tim!DY21=Sheet6!$C$5,Sheet6!$C$5,IF(Tim!DY21=Sheet6!$C$6,Sheet6!$C$6,IF(Tim!DY21=Sheet6!$C$7,Sheet6!$C$7,IF(Tim!DY21=Sheet6!$C$8,Sheet6!$C$8,"")))))))</f>
        <v/>
      </c>
      <c r="AY19" s="53" t="str">
        <f>IF(Tim!DZ21=Sheet6!$C$2,Sheet6!$C$2,IF(Tim!DZ21=Sheet6!$C$3,Sheet6!$C$3,IF(Tim!DZ21=Sheet6!$C$4,Sheet6!$C$4,IF(Tim!DZ21=Sheet6!$C$5,Sheet6!$C$5,IF(Tim!DZ21=Sheet6!$C$6,Sheet6!$C$6,IF(Tim!DZ21=Sheet6!$C$7,Sheet6!$C$7,IF(Tim!DZ21=Sheet6!$C$8,Sheet6!$C$8,"")))))))</f>
        <v/>
      </c>
      <c r="AZ19" s="53" t="str">
        <f>IF(Tim!EA21=Sheet6!$C$2,Sheet6!$C$2,IF(Tim!EA21=Sheet6!$C$3,Sheet6!$C$3,IF(Tim!EA21=Sheet6!$C$4,Sheet6!$C$4,IF(Tim!EA21=Sheet6!$C$5,Sheet6!$C$5,IF(Tim!EA21=Sheet6!$C$6,Sheet6!$C$6,IF(Tim!EA21=Sheet6!$C$7,Sheet6!$C$7,IF(Tim!EA21=Sheet6!$C$8,Sheet6!$C$8,"")))))))</f>
        <v/>
      </c>
      <c r="BA19" s="53" t="str">
        <f>IF(Tim!EB21=Sheet6!$C$2,Sheet6!$C$2,IF(Tim!EB21=Sheet6!$C$3,Sheet6!$C$3,IF(Tim!EB21=Sheet6!$C$4,Sheet6!$C$4,IF(Tim!EB21=Sheet6!$C$5,Sheet6!$C$5,IF(Tim!EB21=Sheet6!$C$6,Sheet6!$C$6,IF(Tim!EB21=Sheet6!$C$7,Sheet6!$C$7,IF(Tim!EB21=Sheet6!$C$8,Sheet6!$C$8,"")))))))</f>
        <v/>
      </c>
      <c r="BB19" s="53" t="str">
        <f>IF(Tim!EC21=Sheet6!$C$2,Sheet6!$C$2,IF(Tim!EC21=Sheet6!$C$3,Sheet6!$C$3,IF(Tim!EC21=Sheet6!$C$4,Sheet6!$C$4,IF(Tim!EC21=Sheet6!$C$5,Sheet6!$C$5,IF(Tim!EC21=Sheet6!$C$6,Sheet6!$C$6,IF(Tim!EC21=Sheet6!$C$7,Sheet6!$C$7,IF(Tim!EC21=Sheet6!$C$8,Sheet6!$C$8,"")))))))</f>
        <v/>
      </c>
      <c r="BC19" s="53" t="str">
        <f>IF(Tim!EG21=Sheet6!$C$2,Sheet6!$C$2,IF(Tim!EG21=Sheet6!$C$3,Sheet6!$C$3,IF(Tim!EG21=Sheet6!$C$4,Sheet6!$C$4,IF(Tim!EG21=Sheet6!$C$5,Sheet6!$C$5,IF(Tim!EG21=Sheet6!$C$6,Sheet6!$C$6,IF(Tim!EG21=Sheet6!$C$7,Sheet6!$C$7,IF(Tim!EG21=Sheet6!$C$8,Sheet6!$C$8,"")))))))</f>
        <v/>
      </c>
      <c r="BD19" s="54" t="str">
        <f>IF(Tim!EH21=Sheet6!$C$2,Sheet6!$C$2,IF(Tim!EH21=Sheet6!$C$3,Sheet6!$C$3,IF(Tim!EH21=Sheet6!$C$4,Sheet6!$C$4,IF(Tim!EH21=Sheet6!$C$5,Sheet6!$C$5,IF(Tim!EH21=Sheet6!$C$6,Sheet6!$C$6,IF(Tim!EH21=Sheet6!$C$7,Sheet6!$C$7,IF(Tim!EH21=Sheet6!$C$8,Sheet6!$C$8,"")))))))</f>
        <v/>
      </c>
      <c r="BE19" s="54" t="str">
        <f>IF(Tim!EI21=Sheet6!$C$2,Sheet6!$C$2,IF(Tim!EI21=Sheet6!$C$3,Sheet6!$C$3,IF(Tim!EI21=Sheet6!$C$4,Sheet6!$C$4,IF(Tim!EI21=Sheet6!$C$5,Sheet6!$C$5,IF(Tim!EI21=Sheet6!$C$6,Sheet6!$C$6,IF(Tim!EI21=Sheet6!$C$7,Sheet6!$C$7,IF(Tim!EI21=Sheet6!$C$8,Sheet6!$C$8,"")))))))</f>
        <v/>
      </c>
      <c r="BF19" s="54" t="str">
        <f>IF(Tim!EJ21=Sheet6!$C$2,Sheet6!$C$2,IF(Tim!EJ21=Sheet6!$C$3,Sheet6!$C$3,IF(Tim!EJ21=Sheet6!$C$4,Sheet6!$C$4,IF(Tim!EJ21=Sheet6!$C$5,Sheet6!$C$5,IF(Tim!EJ21=Sheet6!$C$6,Sheet6!$C$6,IF(Tim!EJ21=Sheet6!$C$7,Sheet6!$C$7,IF(Tim!EJ21=Sheet6!$C$8,Sheet6!$C$8,"")))))))</f>
        <v/>
      </c>
      <c r="BG19" s="55" t="str">
        <f>IF(Tim!EK21=Sheet6!$C$2,Sheet6!$C$2,IF(Tim!EK21=Sheet6!$C$3,Sheet6!$C$3,IF(Tim!EK21=Sheet6!$C$4,Sheet6!$C$4,IF(Tim!EK21=Sheet6!$C$5,Sheet6!$C$5,IF(Tim!EK21=Sheet6!$C$6,Sheet6!$C$6,IF(Tim!EK21=Sheet6!$C$7,Sheet6!$C$7,IF(Tim!EK21=Sheet6!$C$8,Sheet6!$C$8,"")))))))</f>
        <v/>
      </c>
      <c r="BH19" s="53" t="str">
        <f>IF(Tim!EL21=Sheet6!$C$2,Sheet6!$C$2,IF(Tim!EL21=Sheet6!$C$3,Sheet6!$C$3,IF(Tim!EL21=Sheet6!$C$4,Sheet6!$C$4,IF(Tim!EL21=Sheet6!$C$5,Sheet6!$C$5,IF(Tim!EL21=Sheet6!$C$6,Sheet6!$C$6,IF(Tim!EL21=Sheet6!$C$7,Sheet6!$C$7,IF(Tim!EL21=Sheet6!$C$8,Sheet6!$C$8,"")))))))</f>
        <v/>
      </c>
      <c r="BI19" s="57" t="str">
        <f>IF(Tim!EM21=Sheet6!$C$2,Sheet6!$C$2,IF(Tim!EM21=Sheet6!$C$3,Sheet6!$C$3,IF(Tim!EM21=Sheet6!$C$4,Sheet6!$C$4,IF(Tim!EM21=Sheet6!$C$5,Sheet6!$C$5,IF(Tim!EM21=Sheet6!$C$6,Sheet6!$C$6,IF(Tim!EM21=Sheet6!$C$7,Sheet6!$C$7,IF(Tim!EM21=Sheet6!$C$8,Sheet6!$C$8,"")))))))</f>
        <v/>
      </c>
      <c r="BJ19" s="57" t="str">
        <f>IF(Tim!EQ21=Sheet6!$C$2,Sheet6!$C$2,IF(Tim!EQ21=Sheet6!$C$3,Sheet6!$C$3,IF(Tim!EQ21=Sheet6!$C$4,Sheet6!$C$4,IF(Tim!EQ21=Sheet6!$C$5,Sheet6!$C$5,IF(Tim!EQ21=Sheet6!$C$6,Sheet6!$C$6,IF(Tim!EQ21=Sheet6!$C$7,Sheet6!$C$7,IF(Tim!EQ21=Sheet6!$C$8,Sheet6!$C$8,"")))))))</f>
        <v/>
      </c>
      <c r="BK19" s="57" t="str">
        <f>IF(Tim!ER21=Sheet6!$C$2,Sheet6!$C$2,IF(Tim!ER21=Sheet6!$C$3,Sheet6!$C$3,IF(Tim!ER21=Sheet6!$C$4,Sheet6!$C$4,IF(Tim!ER21=Sheet6!$C$5,Sheet6!$C$5,IF(Tim!ER21=Sheet6!$C$6,Sheet6!$C$6,IF(Tim!ER21=Sheet6!$C$7,Sheet6!$C$7,IF(Tim!ER21=Sheet6!$C$8,Sheet6!$C$8,"")))))))</f>
        <v/>
      </c>
      <c r="BL19" s="57" t="str">
        <f>IF(Tim!EZ21=Sheet6!$C$2,Sheet6!$C$2,IF(Tim!EZ21=Sheet6!$C$3,Sheet6!$C$3,IF(Tim!EZ21=Sheet6!$C$4,Sheet6!$C$4,IF(Tim!EZ21=Sheet6!$C$5,Sheet6!$C$5,IF(Tim!EZ21=Sheet6!$C$6,Sheet6!$C$6,IF(Tim!EZ21=Sheet6!$C$7,Sheet6!$C$7,IF(Tim!EZ21=Sheet6!$C$8,Sheet6!$C$8,"")))))))</f>
        <v/>
      </c>
      <c r="BM19" s="53" t="str">
        <f>IF(Tim!FG21=Sheet6!$C$2,Sheet6!$C$2,IF(Tim!FG21=Sheet6!$C$3,Sheet6!$C$3,IF(Tim!FG21=Sheet6!$C$4,Sheet6!$C$4,IF(Tim!FG21=Sheet6!$C$5,Sheet6!$C$5,IF(Tim!FG21=Sheet6!$C$6,Sheet6!$C$6,IF(Tim!FG21=Sheet6!$C$7,Sheet6!$C$7,IF(Tim!FG21=Sheet6!$C$8,Sheet6!$C$8,"")))))))</f>
        <v/>
      </c>
      <c r="BN19" s="181" t="str">
        <f>IF(Tim!FH21=Sheet6!$C$2,Sheet6!$C$2,IF(Tim!FH21=Sheet6!$C$3,Sheet6!$C$3,IF(Tim!FH21=Sheet6!$C$4,Sheet6!$C$4,IF(Tim!FH21=Sheet6!$C$5,Sheet6!$C$5,IF(Tim!FH21=Sheet6!$C$6,Sheet6!$C$6,IF(Tim!FH21=Sheet6!$C$7,Sheet6!$C$7,IF(Tim!FH21=Sheet6!$C$8,Sheet6!$C$8,"")))))))</f>
        <v/>
      </c>
      <c r="BO19" s="181" t="str">
        <f>IF(Tim!FP21=Sheet6!$C$2,Sheet6!$C$2,IF(Tim!FP21=Sheet6!$C$3,Sheet6!$C$3,IF(Tim!FP21=Sheet6!$C$4,Sheet6!$C$4,IF(Tim!FP21=Sheet6!$C$5,Sheet6!$C$5,IF(Tim!FP21=Sheet6!$C$6,Sheet6!$C$6,IF(Tim!FP21=Sheet6!$C$7,Sheet6!$C$7,IF(Tim!FP21=Sheet6!$C$8,Sheet6!$C$8,"")))))))</f>
        <v/>
      </c>
      <c r="BP19" s="181" t="str">
        <f>IF(Tim!FQ21=Sheet6!$C$2,Sheet6!$C$2,IF(Tim!FQ21=Sheet6!$C$3,Sheet6!$C$3,IF(Tim!FQ21=Sheet6!$C$4,Sheet6!$C$4,IF(Tim!FQ21=Sheet6!$C$5,Sheet6!$C$5,IF(Tim!FQ21=Sheet6!$C$6,Sheet6!$C$6,IF(Tim!FQ21=Sheet6!$C$7,Sheet6!$C$7,IF(Tim!FQ21=Sheet6!$C$8,Sheet6!$C$8,"")))))))</f>
        <v/>
      </c>
      <c r="BQ19" s="53" t="str">
        <f>IF(Tim!FR21=Sheet6!$C$2,Sheet6!$C$2,IF(Tim!FR21=Sheet6!$C$3,Sheet6!$C$3,IF(Tim!FR21=Sheet6!$C$4,Sheet6!$C$4,IF(Tim!FR21=Sheet6!$C$5,Sheet6!$C$5,IF(Tim!FR21=Sheet6!$C$6,Sheet6!$C$6,IF(Tim!FR21=Sheet6!$C$7,Sheet6!$C$7,IF(Tim!FR21=Sheet6!$C$8,Sheet6!$C$8,"")))))))</f>
        <v/>
      </c>
      <c r="BR19" s="53" t="str">
        <f>IF(Tim!FS21=Sheet6!$C$2,Sheet6!$C$2,IF(Tim!FS21=Sheet6!$C$3,Sheet6!$C$3,IF(Tim!FS21=Sheet6!$C$4,Sheet6!$C$4,IF(Tim!FS21=Sheet6!$C$5,Sheet6!$C$5,IF(Tim!FS21=Sheet6!$C$6,Sheet6!$C$6,IF(Tim!FS21=Sheet6!$C$7,Sheet6!$C$7,IF(Tim!FS21=Sheet6!$C$8,Sheet6!$C$8,"")))))))</f>
        <v/>
      </c>
      <c r="BS19" s="53" t="str">
        <f>IF(Tim!FT21=Sheet6!$C$2,Sheet6!$C$2,IF(Tim!FT21=Sheet6!$C$3,Sheet6!$C$3,IF(Tim!FT21=Sheet6!$C$4,Sheet6!$C$4,IF(Tim!FT21=Sheet6!$C$5,Sheet6!$C$5,IF(Tim!FT21=Sheet6!$C$6,Sheet6!$C$6,IF(Tim!FT21=Sheet6!$C$7,Sheet6!$C$7,IF(Tim!FT21=Sheet6!$C$8,Sheet6!$C$8,"")))))))</f>
        <v/>
      </c>
      <c r="BT19" s="53" t="str">
        <f>IF(Tim!FU21=Sheet6!$C$2,Sheet6!$C$2,IF(Tim!FU21=Sheet6!$C$3,Sheet6!$C$3,IF(Tim!FU21=Sheet6!$C$4,Sheet6!$C$4,IF(Tim!FU21=Sheet6!$C$5,Sheet6!$C$5,IF(Tim!FU21=Sheet6!$C$6,Sheet6!$C$6,IF(Tim!FU21=Sheet6!$C$7,Sheet6!$C$7,IF(Tim!FU21=Sheet6!$C$8,Sheet6!$C$8,"")))))))</f>
        <v/>
      </c>
      <c r="BU19" s="53" t="str">
        <f>IF(Tim!FY21=Sheet6!$C$2,Sheet6!$C$2,IF(Tim!FY21=Sheet6!$C$3,Sheet6!$C$3,IF(Tim!FY21=Sheet6!$C$4,Sheet6!$C$4,IF(Tim!FY21=Sheet6!$C$5,Sheet6!$C$5,IF(Tim!FY21=Sheet6!$C$6,Sheet6!$C$6,IF(Tim!FY21=Sheet6!$C$7,Sheet6!$C$7,IF(Tim!FY21=Sheet6!$C$8,Sheet6!$C$8,"")))))))</f>
        <v/>
      </c>
      <c r="BV19" s="54" t="str">
        <f>IF(Tim!FZ21=Sheet6!$C$2,Sheet6!$C$2,IF(Tim!FZ21=Sheet6!$C$3,Sheet6!$C$3,IF(Tim!FZ21=Sheet6!$C$4,Sheet6!$C$4,IF(Tim!FZ21=Sheet6!$C$5,Sheet6!$C$5,IF(Tim!FZ21=Sheet6!$C$6,Sheet6!$C$6,IF(Tim!FZ21=Sheet6!$C$7,Sheet6!$C$7,IF(Tim!FZ21=Sheet6!$C$8,Sheet6!$C$8,"")))))))</f>
        <v/>
      </c>
      <c r="BW19" s="54" t="str">
        <f>IF(Tim!GA21=Sheet6!$C$2,Sheet6!$C$2,IF(Tim!GA21=Sheet6!$C$3,Sheet6!$C$3,IF(Tim!GA21=Sheet6!$C$4,Sheet6!$C$4,IF(Tim!GA21=Sheet6!$C$5,Sheet6!$C$5,IF(Tim!GA21=Sheet6!$C$6,Sheet6!$C$6,IF(Tim!GA21=Sheet6!$C$7,Sheet6!$C$7,IF(Tim!GA21=Sheet6!$C$8,Sheet6!$C$8,"")))))))</f>
        <v/>
      </c>
      <c r="BX19" s="54" t="str">
        <f>IF(Tim!GB21=Sheet6!$C$2,Sheet6!$C$2,IF(Tim!GB21=Sheet6!$C$3,Sheet6!$C$3,IF(Tim!GB21=Sheet6!$C$4,Sheet6!$C$4,IF(Tim!GB21=Sheet6!$C$5,Sheet6!$C$5,IF(Tim!GB21=Sheet6!$C$6,Sheet6!$C$6,IF(Tim!GB21=Sheet6!$C$7,Sheet6!$C$7,IF(Tim!GB21=Sheet6!$C$8,Sheet6!$C$8,"")))))))</f>
        <v/>
      </c>
      <c r="BY19" s="55" t="str">
        <f>IF(Tim!GC21=Sheet6!$C$2,Sheet6!$C$2,IF(Tim!GC21=Sheet6!$C$3,Sheet6!$C$3,IF(Tim!GC21=Sheet6!$C$4,Sheet6!$C$4,IF(Tim!GC21=Sheet6!$C$5,Sheet6!$C$5,IF(Tim!GC21=Sheet6!$C$6,Sheet6!$C$6,IF(Tim!GC21=Sheet6!$C$7,Sheet6!$C$7,IF(Tim!GC21=Sheet6!$C$8,Sheet6!$C$8,"")))))))</f>
        <v/>
      </c>
      <c r="BZ19" s="53" t="str">
        <f>IF(Tim!GD21=Sheet6!$C$2,Sheet6!$C$2,IF(Tim!GD21=Sheet6!$C$3,Sheet6!$C$3,IF(Tim!GD21=Sheet6!$C$4,Sheet6!$C$4,IF(Tim!GD21=Sheet6!$C$5,Sheet6!$C$5,IF(Tim!GD21=Sheet6!$C$6,Sheet6!$C$6,IF(Tim!GD21=Sheet6!$C$7,Sheet6!$C$7,IF(Tim!GD21=Sheet6!$C$8,Sheet6!$C$8,"")))))))</f>
        <v/>
      </c>
      <c r="CA19" s="53" t="str">
        <f>IF(Tim!GE21=Sheet6!$C$2,Sheet6!$C$2,IF(Tim!GE21=Sheet6!$C$3,Sheet6!$C$3,IF(Tim!GE21=Sheet6!$C$4,Sheet6!$C$4,IF(Tim!GE21=Sheet6!$C$5,Sheet6!$C$5,IF(Tim!GE21=Sheet6!$C$6,Sheet6!$C$6,IF(Tim!GE21=Sheet6!$C$7,Sheet6!$C$7,IF(Tim!GE21=Sheet6!$C$8,Sheet6!$C$8,"")))))))</f>
        <v/>
      </c>
      <c r="CB19" s="53" t="str">
        <f>IF(Tim!GI21=Sheet6!$C$2,Sheet6!$C$2,IF(Tim!GI21=Sheet6!$C$3,Sheet6!$C$3,IF(Tim!GI21=Sheet6!$C$4,Sheet6!$C$4,IF(Tim!GI21=Sheet6!$C$5,Sheet6!$C$5,IF(Tim!GI21=Sheet6!$C$6,Sheet6!$C$6,IF(Tim!GI21=Sheet6!$C$7,Sheet6!$C$7,IF(Tim!GI21=Sheet6!$C$8,Sheet6!$C$8,"")))))))</f>
        <v/>
      </c>
      <c r="CC19" s="57" t="str">
        <f>IF(Tim!GJ21=Sheet6!$C$2,Sheet6!$C$2,IF(Tim!GJ21=Sheet6!$C$3,Sheet6!$C$3,IF(Tim!GJ21=Sheet6!$C$4,Sheet6!$C$4,IF(Tim!GJ21=Sheet6!$C$5,Sheet6!$C$5,IF(Tim!GJ21=Sheet6!$C$6,Sheet6!$C$6,IF(Tim!GJ21=Sheet6!$C$7,Sheet6!$C$7,IF(Tim!GJ21=Sheet6!$C$8,Sheet6!$C$8,"")))))))</f>
        <v/>
      </c>
      <c r="CD19" s="57" t="str">
        <f>IF(Tim!GN21=Sheet6!$C$2,Sheet6!$C$2,IF(Tim!GN21=Sheet6!$C$3,Sheet6!$C$3,IF(Tim!GN21=Sheet6!$C$4,Sheet6!$C$4,IF(Tim!GN21=Sheet6!$C$5,Sheet6!$C$5,IF(Tim!GN21=Sheet6!$C$6,Sheet6!$C$6,IF(Tim!GN21=Sheet6!$C$7,Sheet6!$C$7,IF(Tim!GN21=Sheet6!$C$8,Sheet6!$C$8,"")))))))</f>
        <v/>
      </c>
      <c r="CE19" s="53" t="str">
        <f>IF(Tim!GY21=Sheet6!$C$2,Sheet6!$C$2,IF(Tim!GY21=Sheet6!$C$3,Sheet6!$C$3,IF(Tim!GY21=Sheet6!$C$4,Sheet6!$C$4,IF(Tim!GY21=Sheet6!$C$5,Sheet6!$C$5,IF(Tim!GY21=Sheet6!$C$6,Sheet6!$C$6,IF(Tim!GY21=Sheet6!$C$7,Sheet6!$C$7,IF(Tim!GY21=Sheet6!$C$8,Sheet6!$C$8,"")))))))</f>
        <v/>
      </c>
      <c r="CF19" s="181" t="str">
        <f>IF(Tim!GZ21=Sheet6!$C$2,Sheet6!$C$2,IF(Tim!GZ21=Sheet6!$C$3,Sheet6!$C$3,IF(Tim!GZ21=Sheet6!$C$4,Sheet6!$C$4,IF(Tim!GZ21=Sheet6!$C$5,Sheet6!$C$5,IF(Tim!GZ21=Sheet6!$C$6,Sheet6!$C$6,IF(Tim!GZ21=Sheet6!$C$7,Sheet6!$C$7,IF(Tim!GZ21=Sheet6!$C$8,Sheet6!$C$8,"")))))))</f>
        <v/>
      </c>
      <c r="CG19" s="181" t="str">
        <f>IF(Tim!HH21=Sheet6!$C$2,Sheet6!$C$2,IF(Tim!HH21=Sheet6!$C$3,Sheet6!$C$3,IF(Tim!HH21=Sheet6!$C$4,Sheet6!$C$4,IF(Tim!HH21=Sheet6!$C$5,Sheet6!$C$5,IF(Tim!HH21=Sheet6!$C$6,Sheet6!$C$6,IF(Tim!HH21=Sheet6!$C$7,Sheet6!$C$7,IF(Tim!HH21=Sheet6!$C$8,Sheet6!$C$8,"")))))))</f>
        <v/>
      </c>
      <c r="CH19" s="181" t="str">
        <f>IF(Tim!HI21=Sheet6!$C$2,Sheet6!$C$2,IF(Tim!HI21=Sheet6!$C$3,Sheet6!$C$3,IF(Tim!HI21=Sheet6!$C$4,Sheet6!$C$4,IF(Tim!HI21=Sheet6!$C$5,Sheet6!$C$5,IF(Tim!HI21=Sheet6!$C$6,Sheet6!$C$6,IF(Tim!HI21=Sheet6!$C$7,Sheet6!$C$7,IF(Tim!HI21=Sheet6!$C$8,Sheet6!$C$8,"")))))))</f>
        <v/>
      </c>
      <c r="CI19" s="181" t="str">
        <f>IF(Tim!HJ21=Sheet6!$C$2,Sheet6!$C$2,IF(Tim!HJ21=Sheet6!$C$3,Sheet6!$C$3,IF(Tim!HJ21=Sheet6!$C$4,Sheet6!$C$4,IF(Tim!HJ21=Sheet6!$C$5,Sheet6!$C$5,IF(Tim!HJ21=Sheet6!$C$6,Sheet6!$C$6,IF(Tim!HJ21=Sheet6!$C$7,Sheet6!$C$7,IF(Tim!HJ21=Sheet6!$C$8,Sheet6!$C$8,"")))))))</f>
        <v/>
      </c>
      <c r="CJ19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CK19" s="53" t="str">
        <f>IF(Tim!HK21=Sheet6!$C$2,Sheet6!$C$2,IF(Tim!HK21=Sheet6!$C$3,Sheet6!$C$3,IF(Tim!HK21=Sheet6!$C$4,Sheet6!$C$4,IF(Tim!HK21=Sheet6!$C$5,Sheet6!$C$5,IF(Tim!HK21=Sheet6!$C$6,Sheet6!$C$6,IF(Tim!HK21=Sheet6!$C$7,Sheet6!$C$7,IF(Tim!HK21=Sheet6!$C$8,Sheet6!$C$8,"")))))))</f>
        <v/>
      </c>
      <c r="CL19" s="53" t="str">
        <f>IF(Tim!HM21=Sheet6!$C$2,Sheet6!$C$2,IF(Tim!HM21=Sheet6!$C$3,Sheet6!$C$3,IF(Tim!HM21=Sheet6!$C$4,Sheet6!$C$4,IF(Tim!HM21=Sheet6!$C$5,Sheet6!$C$5,IF(Tim!HM21=Sheet6!$C$6,Sheet6!$C$6,IF(Tim!HM21=Sheet6!$C$7,Sheet6!$C$7,IF(Tim!HM21=Sheet6!$C$8,Sheet6!$C$8,"")))))))</f>
        <v/>
      </c>
      <c r="CM19" s="53" t="str">
        <f>IF(Tim!HQ21=Sheet6!$C$2,Sheet6!$C$2,IF(Tim!HQ21=Sheet6!$C$3,Sheet6!$C$3,IF(Tim!HQ21=Sheet6!$C$4,Sheet6!$C$4,IF(Tim!HQ21=Sheet6!$C$5,Sheet6!$C$5,IF(Tim!HQ21=Sheet6!$C$6,Sheet6!$C$6,IF(Tim!HQ21=Sheet6!$C$7,Sheet6!$C$7,IF(Tim!HQ21=Sheet6!$C$8,Sheet6!$C$8,"")))))))</f>
        <v/>
      </c>
      <c r="CN19" s="54" t="str">
        <f>IF(Tim!HR21=Sheet6!$C$2,Sheet6!$C$2,IF(Tim!HR21=Sheet6!$C$3,Sheet6!$C$3,IF(Tim!HR21=Sheet6!$C$4,Sheet6!$C$4,IF(Tim!HR21=Sheet6!$C$5,Sheet6!$C$5,IF(Tim!HR21=Sheet6!$C$6,Sheet6!$C$6,IF(Tim!HR21=Sheet6!$C$7,Sheet6!$C$7,IF(Tim!HR21=Sheet6!$C$8,Sheet6!$C$8,"")))))))</f>
        <v/>
      </c>
      <c r="CO19" s="54" t="str">
        <f>IF(Tim!HS21=Sheet6!$C$2,Sheet6!$C$2,IF(Tim!HS21=Sheet6!$C$3,Sheet6!$C$3,IF(Tim!HS21=Sheet6!$C$4,Sheet6!$C$4,IF(Tim!HS21=Sheet6!$C$5,Sheet6!$C$5,IF(Tim!HS21=Sheet6!$C$6,Sheet6!$C$6,IF(Tim!HS21=Sheet6!$C$7,Sheet6!$C$7,IF(Tim!HS21=Sheet6!$C$8,Sheet6!$C$8,"")))))))</f>
        <v/>
      </c>
      <c r="CP19" s="54" t="str">
        <f>IF(Tim!HT21=Sheet6!$C$2,Sheet6!$C$2,IF(Tim!HT21=Sheet6!$C$3,Sheet6!$C$3,IF(Tim!HT21=Sheet6!$C$4,Sheet6!$C$4,IF(Tim!HT21=Sheet6!$C$5,Sheet6!$C$5,IF(Tim!HT21=Sheet6!$C$6,Sheet6!$C$6,IF(Tim!HT21=Sheet6!$C$7,Sheet6!$C$7,IF(Tim!HT21=Sheet6!$C$8,Sheet6!$C$8,"")))))))</f>
        <v/>
      </c>
      <c r="CQ19" s="55" t="str">
        <f>IF(Tim!HU21=Sheet6!$C$2,Sheet6!$C$2,IF(Tim!HU21=Sheet6!$C$3,Sheet6!$C$3,IF(Tim!HU21=Sheet6!$C$4,Sheet6!$C$4,IF(Tim!HU21=Sheet6!$C$5,Sheet6!$C$5,IF(Tim!HU21=Sheet6!$C$6,Sheet6!$C$6,IF(Tim!HU21=Sheet6!$C$7,Sheet6!$C$7,IF(Tim!HU21=Sheet6!$C$8,Sheet6!$C$8,"")))))))</f>
        <v/>
      </c>
      <c r="CR19" s="56" t="str">
        <f>IF(Tim!HV21=Sheet6!$C$2,Sheet6!$C$2,IF(Tim!HV21=Sheet6!$C$3,Sheet6!$C$3,IF(Tim!HV21=Sheet6!$C$4,Sheet6!$C$4,IF(Tim!HV21=Sheet6!$C$5,Sheet6!$C$5,IF(Tim!HV21=Sheet6!$C$6,Sheet6!$C$6,IF(Tim!HV21=Sheet6!$C$7,Sheet6!$C$7,IF(Tim!HV21=Sheet6!$C$8,Sheet6!$C$8,"")))))))</f>
        <v/>
      </c>
      <c r="CS19" s="57" t="str">
        <f>IF(Tim!IB21=Sheet6!$C$2,Sheet6!$C$2,IF(Tim!IB21=Sheet6!$C$3,Sheet6!$C$3,IF(Tim!IB21=Sheet6!$C$4,Sheet6!$C$4,IF(Tim!IB21=Sheet6!$C$5,Sheet6!$C$5,IF(Tim!IB21=Sheet6!$C$6,Sheet6!$C$6,IF(Tim!IB21=Sheet6!$C$7,Sheet6!$C$7,IF(Tim!IB21=Sheet6!$C$8,Sheet6!$C$8,"")))))))</f>
        <v/>
      </c>
      <c r="CT19" s="57" t="str">
        <f>IF(Tim!IJ21=Sheet6!$C$2,Sheet6!$C$2,IF(Tim!IJ21=Sheet6!$C$3,Sheet6!$C$3,IF(Tim!IJ21=Sheet6!$C$4,Sheet6!$C$4,IF(Tim!IJ21=Sheet6!$C$5,Sheet6!$C$5,IF(Tim!IJ21=Sheet6!$C$6,Sheet6!$C$6,IF(Tim!IJ21=Sheet6!$C$7,Sheet6!$C$7,IF(Tim!IJ21=Sheet6!$C$8,Sheet6!$C$8,"")))))))</f>
        <v/>
      </c>
      <c r="CU19" s="53" t="str">
        <f>IF(Tim!IQ21=Sheet6!$C$2,Sheet6!$C$2,IF(Tim!IQ21=Sheet6!$C$3,Sheet6!$C$3,IF(Tim!IQ21=Sheet6!$C$4,Sheet6!$C$4,IF(Tim!IQ21=Sheet6!$C$5,Sheet6!$C$5,IF(Tim!IQ21=Sheet6!$C$6,Sheet6!$C$6,IF(Tim!IQ21=Sheet6!$C$7,Sheet6!$C$7,IF(Tim!IQ21=Sheet6!$C$8,Sheet6!$C$8,"")))))))</f>
        <v/>
      </c>
      <c r="CV19" s="53" t="str">
        <f>IF(Tim!IR21=Sheet6!$C$2,Sheet6!$C$2,IF(Tim!IR21=Sheet6!$C$3,Sheet6!$C$3,IF(Tim!IR21=Sheet6!$C$4,Sheet6!$C$4,IF(Tim!IR21=Sheet6!$C$5,Sheet6!$C$5,IF(Tim!IR21=Sheet6!$C$6,Sheet6!$C$6,IF(Tim!IR21=Sheet6!$C$7,Sheet6!$C$7,IF(Tim!IR21=Sheet6!$C$8,Sheet6!$C$8,"")))))))</f>
        <v/>
      </c>
      <c r="CW19" s="53" t="str">
        <f>IF(Tim!IZ21=Sheet6!$C$2,Sheet6!$C$2,IF(Tim!IZ21=Sheet6!$C$3,Sheet6!$C$3,IF(Tim!IZ21=Sheet6!$C$4,Sheet6!$C$4,IF(Tim!IZ21=Sheet6!$C$5,Sheet6!$C$5,IF(Tim!IZ21=Sheet6!$C$6,Sheet6!$C$6,IF(Tim!IZ21=Sheet6!$C$7,Sheet6!$C$7,IF(Tim!IZ21=Sheet6!$C$8,Sheet6!$C$8,"")))))))</f>
        <v/>
      </c>
      <c r="CX19" s="53" t="str">
        <f>IF(Tim!JA21=Sheet6!$C$2,Sheet6!$C$2,IF(Tim!JA21=Sheet6!$C$3,Sheet6!$C$3,IF(Tim!JA21=Sheet6!$C$4,Sheet6!$C$4,IF(Tim!JA21=Sheet6!$C$5,Sheet6!$C$5,IF(Tim!JA21=Sheet6!$C$6,Sheet6!$C$6,IF(Tim!JA21=Sheet6!$C$7,Sheet6!$C$7,IF(Tim!JA21=Sheet6!$C$8,Sheet6!$C$8,"")))))))</f>
        <v/>
      </c>
      <c r="CY19" s="53" t="str">
        <f>IF(Tim!JB21=Sheet6!$C$2,Sheet6!$C$2,IF(Tim!JB21=Sheet6!$C$3,Sheet6!$C$3,IF(Tim!JB21=Sheet6!$C$4,Sheet6!$C$4,IF(Tim!JB21=Sheet6!$C$5,Sheet6!$C$5,IF(Tim!JB21=Sheet6!$C$6,Sheet6!$C$6,IF(Tim!JB21=Sheet6!$C$7,Sheet6!$C$7,IF(Tim!JB21=Sheet6!$C$8,Sheet6!$C$8,"")))))))</f>
        <v/>
      </c>
      <c r="CZ19" s="53" t="str">
        <f>IF(Tim!JC21=Sheet6!$C$2,Sheet6!$C$2,IF(Tim!JC21=Sheet6!$C$3,Sheet6!$C$3,IF(Tim!JC21=Sheet6!$C$4,Sheet6!$C$4,IF(Tim!JC21=Sheet6!$C$5,Sheet6!$C$5,IF(Tim!JC21=Sheet6!$C$6,Sheet6!$C$6,IF(Tim!JC21=Sheet6!$C$7,Sheet6!$C$7,IF(Tim!JC21=Sheet6!$C$8,Sheet6!$C$8,"")))))))</f>
        <v/>
      </c>
      <c r="DA19" s="53" t="str">
        <f>IF(Tim!JD21=Sheet6!$C$2,Sheet6!$C$2,IF(Tim!JD21=Sheet6!$C$3,Sheet6!$C$3,IF(Tim!JD21=Sheet6!$C$4,Sheet6!$C$4,IF(Tim!JD21=Sheet6!$C$5,Sheet6!$C$5,IF(Tim!JD21=Sheet6!$C$6,Sheet6!$C$6,IF(Tim!JD21=Sheet6!$C$7,Sheet6!$C$7,IF(Tim!JD21=Sheet6!$C$8,Sheet6!$C$8,"")))))))</f>
        <v/>
      </c>
      <c r="DB19" s="53" t="str">
        <f>IF(Tim!JE21=Sheet6!$C$2,Sheet6!$C$2,IF(Tim!JE21=Sheet6!$C$3,Sheet6!$C$3,IF(Tim!JE21=Sheet6!$C$4,Sheet6!$C$4,IF(Tim!JE21=Sheet6!$C$5,Sheet6!$C$5,IF(Tim!JE21=Sheet6!$C$6,Sheet6!$C$6,IF(Tim!JE21=Sheet6!$C$7,Sheet6!$C$7,IF(Tim!JE21=Sheet6!$C$8,Sheet6!$C$8,"")))))))</f>
        <v/>
      </c>
      <c r="DC19" s="53" t="str">
        <f>IF(Tim!JI21=Sheet6!$C$2,Sheet6!$C$2,IF(Tim!JI21=Sheet6!$C$3,Sheet6!$C$3,IF(Tim!JI21=Sheet6!$C$4,Sheet6!$C$4,IF(Tim!JI21=Sheet6!$C$5,Sheet6!$C$5,IF(Tim!JI21=Sheet6!$C$6,Sheet6!$C$6,IF(Tim!JI21=Sheet6!$C$7,Sheet6!$C$7,IF(Tim!JI21=Sheet6!$C$8,Sheet6!$C$8,"")))))))</f>
        <v/>
      </c>
      <c r="DD19" s="54" t="str">
        <f>IF(Tim!JJ21=Sheet6!$C$2,Sheet6!$C$2,IF(Tim!JJ21=Sheet6!$C$3,Sheet6!$C$3,IF(Tim!JJ21=Sheet6!$C$4,Sheet6!$C$4,IF(Tim!JJ21=Sheet6!$C$5,Sheet6!$C$5,IF(Tim!JJ21=Sheet6!$C$6,Sheet6!$C$6,IF(Tim!JJ21=Sheet6!$C$7,Sheet6!$C$7,IF(Tim!JJ21=Sheet6!$C$8,Sheet6!$C$8,"")))))))</f>
        <v/>
      </c>
      <c r="DE19" s="54" t="str">
        <f>IF(Tim!JK21=Sheet6!$C$2,Sheet6!$C$2,IF(Tim!JK21=Sheet6!$C$3,Sheet6!$C$3,IF(Tim!JK21=Sheet6!$C$4,Sheet6!$C$4,IF(Tim!JK21=Sheet6!$C$5,Sheet6!$C$5,IF(Tim!JK21=Sheet6!$C$6,Sheet6!$C$6,IF(Tim!JK21=Sheet6!$C$7,Sheet6!$C$7,IF(Tim!JK21=Sheet6!$C$8,Sheet6!$C$8,"")))))))</f>
        <v/>
      </c>
      <c r="DF19" s="54" t="str">
        <f>IF(Tim!JL21=Sheet6!$C$2,Sheet6!$C$2,IF(Tim!JL21=Sheet6!$C$3,Sheet6!$C$3,IF(Tim!JL21=Sheet6!$C$4,Sheet6!$C$4,IF(Tim!JL21=Sheet6!$C$5,Sheet6!$C$5,IF(Tim!JL21=Sheet6!$C$6,Sheet6!$C$6,IF(Tim!JL21=Sheet6!$C$7,Sheet6!$C$7,IF(Tim!JL21=Sheet6!$C$8,Sheet6!$C$8,"")))))))</f>
        <v/>
      </c>
      <c r="DG19" s="55" t="str">
        <f>IF(Tim!JM21=Sheet6!$C$2,Sheet6!$C$2,IF(Tim!JM21=Sheet6!$C$3,Sheet6!$C$3,IF(Tim!JM21=Sheet6!$C$4,Sheet6!$C$4,IF(Tim!JM21=Sheet6!$C$5,Sheet6!$C$5,IF(Tim!JM21=Sheet6!$C$6,Sheet6!$C$6,IF(Tim!JM21=Sheet6!$C$7,Sheet6!$C$7,IF(Tim!JM21=Sheet6!$C$8,Sheet6!$C$8,"")))))))</f>
        <v/>
      </c>
      <c r="DH19" s="56" t="str">
        <f>IF(Tim!JN21=Sheet6!$C$2,Sheet6!$C$2,IF(Tim!JN21=Sheet6!$C$3,Sheet6!$C$3,IF(Tim!JN21=Sheet6!$C$4,Sheet6!$C$4,IF(Tim!JN21=Sheet6!$C$5,Sheet6!$C$5,IF(Tim!JN21=Sheet6!$C$6,Sheet6!$C$6,IF(Tim!JN21=Sheet6!$C$7,Sheet6!$C$7,IF(Tim!JN21=Sheet6!$C$8,Sheet6!$C$8,"")))))))</f>
        <v/>
      </c>
      <c r="DI19" s="57" t="str">
        <f>IF(Tim!JS21=Sheet6!$C$2,Sheet6!$C$2,IF(Tim!JS21=Sheet6!$C$3,Sheet6!$C$3,IF(Tim!JS21=Sheet6!$C$4,Sheet6!$C$4,IF(Tim!JS21=Sheet6!$C$5,Sheet6!$C$5,IF(Tim!JS21=Sheet6!$C$6,Sheet6!$C$6,IF(Tim!JS21=Sheet6!$C$7,Sheet6!$C$7,IF(Tim!JS21=Sheet6!$C$8,Sheet6!$C$8,"")))))))</f>
        <v/>
      </c>
      <c r="DJ19" s="57" t="str">
        <f>IF(Tim!KB21=Sheet6!$C$2,Sheet6!$C$2,IF(Tim!KB21=Sheet6!$C$3,Sheet6!$C$3,IF(Tim!KB21=Sheet6!$C$4,Sheet6!$C$4,IF(Tim!KB21=Sheet6!$C$5,Sheet6!$C$5,IF(Tim!KB21=Sheet6!$C$6,Sheet6!$C$6,IF(Tim!KB21=Sheet6!$C$7,Sheet6!$C$7,IF(Tim!KB21=Sheet6!$C$8,Sheet6!$C$8,"")))))))</f>
        <v/>
      </c>
      <c r="DK19" s="53" t="str">
        <f>IF(Tim!KI21=Sheet6!$C$2,Sheet6!$C$2,IF(Tim!KI21=Sheet6!$C$3,Sheet6!$C$3,IF(Tim!KI21=Sheet6!$C$4,Sheet6!$C$4,IF(Tim!KI21=Sheet6!$C$5,Sheet6!$C$5,IF(Tim!KI21=Sheet6!$C$6,Sheet6!$C$6,IF(Tim!KI21=Sheet6!$C$7,Sheet6!$C$7,IF(Tim!KI21=Sheet6!$C$8,Sheet6!$C$8,"")))))))</f>
        <v/>
      </c>
      <c r="DL19" s="53" t="str">
        <f>IF(Tim!KJ21=Sheet6!$C$2,Sheet6!$C$2,IF(Tim!KJ21=Sheet6!$C$3,Sheet6!$C$3,IF(Tim!KJ21=Sheet6!$C$4,Sheet6!$C$4,IF(Tim!KJ21=Sheet6!$C$5,Sheet6!$C$5,IF(Tim!KJ21=Sheet6!$C$6,Sheet6!$C$6,IF(Tim!KJ21=Sheet6!$C$7,Sheet6!$C$7,IF(Tim!KJ21=Sheet6!$C$8,Sheet6!$C$8,"")))))))</f>
        <v/>
      </c>
      <c r="DM19" s="53" t="str">
        <f>IF(Tim!KR21=Sheet6!$C$2,Sheet6!$C$2,IF(Tim!KR21=Sheet6!$C$3,Sheet6!$C$3,IF(Tim!KR21=Sheet6!$C$4,Sheet6!$C$4,IF(Tim!KR21=Sheet6!$C$5,Sheet6!$C$5,IF(Tim!KR21=Sheet6!$C$6,Sheet6!$C$6,IF(Tim!KR21=Sheet6!$C$7,Sheet6!$C$7,IF(Tim!KR21=Sheet6!$C$8,Sheet6!$C$8,"")))))))</f>
        <v/>
      </c>
      <c r="DN19" s="53" t="str">
        <f>IF(Tim!KS21=Sheet6!$C$2,Sheet6!$C$2,IF(Tim!KS21=Sheet6!$C$3,Sheet6!$C$3,IF(Tim!KS21=Sheet6!$C$4,Sheet6!$C$4,IF(Tim!KS21=Sheet6!$C$5,Sheet6!$C$5,IF(Tim!KS21=Sheet6!$C$6,Sheet6!$C$6,IF(Tim!KS21=Sheet6!$C$7,Sheet6!$C$7,IF(Tim!KS21=Sheet6!$C$8,Sheet6!$C$8,"")))))))</f>
        <v/>
      </c>
      <c r="DO19" s="53" t="str">
        <f>IF(Tim!KT21=Sheet6!$C$2,Sheet6!$C$2,IF(Tim!KT21=Sheet6!$C$3,Sheet6!$C$3,IF(Tim!KT21=Sheet6!$C$4,Sheet6!$C$4,IF(Tim!KT21=Sheet6!$C$5,Sheet6!$C$5,IF(Tim!KT21=Sheet6!$C$6,Sheet6!$C$6,IF(Tim!KT21=Sheet6!$C$7,Sheet6!$C$7,IF(Tim!KT21=Sheet6!$C$8,Sheet6!$C$8,"")))))))</f>
        <v/>
      </c>
      <c r="DP19" s="53" t="str">
        <f>IF(Tim!KU21=Sheet6!$C$2,Sheet6!$C$2,IF(Tim!KU21=Sheet6!$C$3,Sheet6!$C$3,IF(Tim!KU21=Sheet6!$C$4,Sheet6!$C$4,IF(Tim!KU21=Sheet6!$C$5,Sheet6!$C$5,IF(Tim!KU21=Sheet6!$C$6,Sheet6!$C$6,IF(Tim!KU21=Sheet6!$C$7,Sheet6!$C$7,IF(Tim!KU21=Sheet6!$C$8,Sheet6!$C$8,"")))))))</f>
        <v/>
      </c>
      <c r="DQ19" s="53" t="str">
        <f>IF(Tim!KV21=Sheet6!$C$2,Sheet6!$C$2,IF(Tim!KV21=Sheet6!$C$3,Sheet6!$C$3,IF(Tim!KV21=Sheet6!$C$4,Sheet6!$C$4,IF(Tim!KV21=Sheet6!$C$5,Sheet6!$C$5,IF(Tim!KV21=Sheet6!$C$6,Sheet6!$C$6,IF(Tim!KV21=Sheet6!$C$7,Sheet6!$C$7,IF(Tim!KV21=Sheet6!$C$8,Sheet6!$C$8,"")))))))</f>
        <v/>
      </c>
      <c r="DR19" s="53" t="str">
        <f>IF(Tim!KW21=Sheet6!$C$2,Sheet6!$C$2,IF(Tim!KW21=Sheet6!$C$3,Sheet6!$C$3,IF(Tim!KW21=Sheet6!$C$4,Sheet6!$C$4,IF(Tim!KW21=Sheet6!$C$5,Sheet6!$C$5,IF(Tim!KW21=Sheet6!$C$6,Sheet6!$C$6,IF(Tim!KW21=Sheet6!$C$7,Sheet6!$C$7,IF(Tim!KW21=Sheet6!$C$8,Sheet6!$C$8,"")))))))</f>
        <v/>
      </c>
      <c r="DS19" s="53" t="str">
        <f>IF(Tim!LA21=Sheet6!$C$2,Sheet6!$C$2,IF(Tim!LA21=Sheet6!$C$3,Sheet6!$C$3,IF(Tim!LA21=Sheet6!$C$4,Sheet6!$C$4,IF(Tim!LA21=Sheet6!$C$5,Sheet6!$C$5,IF(Tim!LA21=Sheet6!$C$6,Sheet6!$C$6,IF(Tim!LA21=Sheet6!$C$7,Sheet6!$C$7,IF(Tim!LA21=Sheet6!$C$8,Sheet6!$C$8,"")))))))</f>
        <v/>
      </c>
      <c r="DT19" s="54" t="str">
        <f>IF(Tim!LB21=Sheet6!$C$2,Sheet6!$C$2,IF(Tim!LB21=Sheet6!$C$3,Sheet6!$C$3,IF(Tim!LB21=Sheet6!$C$4,Sheet6!$C$4,IF(Tim!LB21=Sheet6!$C$5,Sheet6!$C$5,IF(Tim!LB21=Sheet6!$C$6,Sheet6!$C$6,IF(Tim!LB21=Sheet6!$C$7,Sheet6!$C$7,IF(Tim!LB21=Sheet6!$C$8,Sheet6!$C$8,"")))))))</f>
        <v/>
      </c>
      <c r="DU19" s="54" t="str">
        <f>IF(Tim!LC21=Sheet6!$C$2,Sheet6!$C$2,IF(Tim!LC21=Sheet6!$C$3,Sheet6!$C$3,IF(Tim!LC21=Sheet6!$C$4,Sheet6!$C$4,IF(Tim!LC21=Sheet6!$C$5,Sheet6!$C$5,IF(Tim!LC21=Sheet6!$C$6,Sheet6!$C$6,IF(Tim!LC21=Sheet6!$C$7,Sheet6!$C$7,IF(Tim!LC21=Sheet6!$C$8,Sheet6!$C$8,"")))))))</f>
        <v/>
      </c>
      <c r="DV19" s="54" t="str">
        <f>IF(Tim!LD21=Sheet6!$C$2,Sheet6!$C$2,IF(Tim!LD21=Sheet6!$C$3,Sheet6!$C$3,IF(Tim!LD21=Sheet6!$C$4,Sheet6!$C$4,IF(Tim!LD21=Sheet6!$C$5,Sheet6!$C$5,IF(Tim!LD21=Sheet6!$C$6,Sheet6!$C$6,IF(Tim!LD21=Sheet6!$C$7,Sheet6!$C$7,IF(Tim!LD21=Sheet6!$C$8,Sheet6!$C$8,"")))))))</f>
        <v/>
      </c>
      <c r="DW19" s="55" t="str">
        <f>IF(Tim!LE21=Sheet6!$C$2,Sheet6!$C$2,IF(Tim!LE21=Sheet6!$C$3,Sheet6!$C$3,IF(Tim!LE21=Sheet6!$C$4,Sheet6!$C$4,IF(Tim!LE21=Sheet6!$C$5,Sheet6!$C$5,IF(Tim!LE21=Sheet6!$C$6,Sheet6!$C$6,IF(Tim!LE21=Sheet6!$C$7,Sheet6!$C$7,IF(Tim!LE21=Sheet6!$C$8,Sheet6!$C$8,"")))))))</f>
        <v/>
      </c>
      <c r="DX19" s="52">
        <v>0.4375</v>
      </c>
    </row>
    <row r="20" spans="2:128" ht="10.5" customHeight="1">
      <c r="B20" s="51">
        <v>0.25</v>
      </c>
      <c r="C20" s="51">
        <v>0.25</v>
      </c>
      <c r="D20" s="51">
        <v>0.25</v>
      </c>
      <c r="E20" s="52">
        <v>0.44791666666666602</v>
      </c>
      <c r="F20" s="53" t="str">
        <f>IF(Tim!F22=Sheet6!$C$2,Sheet6!$C$2,IF(Tim!F22=Sheet6!$C$3,Sheet6!$C$3,IF(Tim!F22=Sheet6!$C$4,Sheet6!$C$4,IF(Tim!F22=Sheet6!$C$5,Sheet6!$C$5,IF(Tim!F22=Sheet6!$C$6,Sheet6!$C$6,IF(Tim!F22=Sheet6!$C$7,Sheet6!$C$7,IF(Tim!F22=Sheet6!$C$8,Sheet6!$C$8,"")))))))</f>
        <v/>
      </c>
      <c r="G20" s="53" t="str">
        <f>IF(Tim!G22=Sheet6!$C$2,Sheet6!$C$2,IF(Tim!G22=Sheet6!$C$3,Sheet6!$C$3,IF(Tim!G22=Sheet6!$C$4,Sheet6!$C$4,IF(Tim!G22=Sheet6!$C$5,Sheet6!$C$5,IF(Tim!G22=Sheet6!$C$6,Sheet6!$C$6,IF(Tim!G22=Sheet6!$C$7,Sheet6!$C$7,IF(Tim!G22=Sheet6!$C$8,Sheet6!$C$8,"")))))))</f>
        <v/>
      </c>
      <c r="H20" s="53" t="str">
        <f>IF(Tim!H22=Sheet6!$C$2,Sheet6!$C$2,IF(Tim!H22=Sheet6!$C$3,Sheet6!$C$3,IF(Tim!H22=Sheet6!$C$4,Sheet6!$C$4,IF(Tim!H22=Sheet6!$C$5,Sheet6!$C$5,IF(Tim!H22=Sheet6!$C$6,Sheet6!$C$6,IF(Tim!H22=Sheet6!$C$7,Sheet6!$C$7,IF(Tim!H22=Sheet6!$C$8,Sheet6!$C$8,"")))))))</f>
        <v/>
      </c>
      <c r="I20" s="53" t="str">
        <f>IF(Tim!L22=Sheet6!$C$2,Sheet6!$C$2,IF(Tim!L22=Sheet6!$C$3,Sheet6!$C$3,IF(Tim!L22=Sheet6!$C$4,Sheet6!$C$4,IF(Tim!L22=Sheet6!$C$5,Sheet6!$C$5,IF(Tim!L22=Sheet6!$C$6,Sheet6!$C$6,IF(Tim!L22=Sheet6!$C$7,Sheet6!$C$7,IF(Tim!L22=Sheet6!$C$8,Sheet6!$C$8,"")))))))</f>
        <v/>
      </c>
      <c r="J20" s="53" t="str">
        <f>IF(Tim!T22=Sheet6!$C$2,Sheet6!$C$2,IF(Tim!T22=Sheet6!$C$3,Sheet6!$C$3,IF(Tim!T22=Sheet6!$C$4,Sheet6!$C$4,IF(Tim!T22=Sheet6!$C$5,Sheet6!$C$5,IF(Tim!T22=Sheet6!$C$6,Sheet6!$C$6,IF(Tim!T22=Sheet6!$C$7,Sheet6!$C$7,IF(Tim!T22=Sheet6!$C$8,Sheet6!$C$8,"")))))))</f>
        <v/>
      </c>
      <c r="K20" s="53" t="str">
        <f>IF(Tim!AB22=Sheet6!$C$2,Sheet6!$C$2,IF(Tim!AB22=Sheet6!$C$3,Sheet6!$C$3,IF(Tim!AB22=Sheet6!$C$4,Sheet6!$C$4,IF(Tim!AB22=Sheet6!$C$5,Sheet6!$C$5,IF(Tim!AB22=Sheet6!$C$6,Sheet6!$C$6,IF(Tim!AB22=Sheet6!$C$7,Sheet6!$C$7,IF(Tim!AB22=Sheet6!$C$8,Sheet6!$C$8,"")))))))</f>
        <v/>
      </c>
      <c r="L20" s="53" t="str">
        <f>IF(Tim!AC22=Sheet6!$C$2,Sheet6!$C$2,IF(Tim!AC22=Sheet6!$C$3,Sheet6!$C$3,IF(Tim!AC22=Sheet6!$C$4,Sheet6!$C$4,IF(Tim!AC22=Sheet6!$C$5,Sheet6!$C$5,IF(Tim!AC22=Sheet6!$C$6,Sheet6!$C$6,IF(Tim!AC22=Sheet6!$C$7,Sheet6!$C$7,IF(Tim!AC22=Sheet6!$C$8,Sheet6!$C$8,"")))))))</f>
        <v/>
      </c>
      <c r="M20" s="53" t="str">
        <f>IF(Tim!AJ22=Sheet6!$C$2,Sheet6!$C$2,IF(Tim!AJ22=Sheet6!$C$3,Sheet6!$C$3,IF(Tim!AJ22=Sheet6!$C$4,Sheet6!$C$4,IF(Tim!AJ22=Sheet6!$C$5,Sheet6!$C$5,IF(Tim!AJ22=Sheet6!$C$6,Sheet6!$C$6,IF(Tim!AJ22=Sheet6!$C$7,Sheet6!$C$7,IF(Tim!AJ22=Sheet6!$C$8,Sheet6!$C$8,"")))))))</f>
        <v/>
      </c>
      <c r="N20" s="53" t="str">
        <f>IF(Tim!AK22=Sheet6!$C$2,Sheet6!$C$2,IF(Tim!AK22=Sheet6!$C$3,Sheet6!$C$3,IF(Tim!AK22=Sheet6!$C$4,Sheet6!$C$4,IF(Tim!AK22=Sheet6!$C$5,Sheet6!$C$5,IF(Tim!AK22=Sheet6!$C$6,Sheet6!$C$6,IF(Tim!AK22=Sheet6!$C$7,Sheet6!$C$7,IF(Tim!AK22=Sheet6!$C$8,Sheet6!$C$8,"")))))))</f>
        <v/>
      </c>
      <c r="O20" s="53" t="str">
        <f>IF(Tim!AL22=Sheet6!$C$2,Sheet6!$C$2,IF(Tim!AL22=Sheet6!$C$3,Sheet6!$C$3,IF(Tim!AL22=Sheet6!$C$4,Sheet6!$C$4,IF(Tim!AL22=Sheet6!$C$5,Sheet6!$C$5,IF(Tim!AL22=Sheet6!$C$6,Sheet6!$C$6,IF(Tim!AL22=Sheet6!$C$7,Sheet6!$C$7,IF(Tim!AL22=Sheet6!$C$8,Sheet6!$C$8,"")))))))</f>
        <v/>
      </c>
      <c r="P20" s="53" t="str">
        <f>IF(Tim!AN22=Sheet6!$C$2,Sheet6!$C$2,IF(Tim!AN22=Sheet6!$C$3,Sheet6!$C$3,IF(Tim!AN22=Sheet6!$C$4,Sheet6!$C$4,IF(Tim!AN22=Sheet6!$C$5,Sheet6!$C$5,IF(Tim!AN22=Sheet6!$C$6,Sheet6!$C$6,IF(Tim!AN22=Sheet6!$C$7,Sheet6!$C$7,IF(Tim!AN22=Sheet6!$C$8,Sheet6!$C$8,"")))))))</f>
        <v/>
      </c>
      <c r="Q20" s="53" t="str">
        <f>IF(Tim!AO22=Sheet6!$C$2,Sheet6!$C$2,IF(Tim!AO22=Sheet6!$C$3,Sheet6!$C$3,IF(Tim!AO22=Sheet6!$C$4,Sheet6!$C$4,IF(Tim!AO22=Sheet6!$C$5,Sheet6!$C$5,IF(Tim!AO22=Sheet6!$C$6,Sheet6!$C$6,IF(Tim!AO22=Sheet6!$C$7,Sheet6!$C$7,IF(Tim!AO22=Sheet6!$C$8,Sheet6!$C$8,"")))))))</f>
        <v/>
      </c>
      <c r="R20" s="53" t="str">
        <f>IF(Tim!AP22=Sheet6!$C$2,Sheet6!$C$2,IF(Tim!AP22=Sheet6!$C$3,Sheet6!$C$3,IF(Tim!AP22=Sheet6!$C$4,Sheet6!$C$4,IF(Tim!AP22=Sheet6!$C$5,Sheet6!$C$5,IF(Tim!AP22=Sheet6!$C$6,Sheet6!$C$6,IF(Tim!AP22=Sheet6!$C$7,Sheet6!$C$7,IF(Tim!AP22=Sheet6!$C$8,Sheet6!$C$8,"")))))))</f>
        <v/>
      </c>
      <c r="S20" s="53" t="str">
        <f>IF(Tim!AT22=Sheet6!$C$2,Sheet6!$C$2,IF(Tim!AT22=Sheet6!$C$3,Sheet6!$C$3,IF(Tim!AT22=Sheet6!$C$4,Sheet6!$C$4,IF(Tim!AT22=Sheet6!$C$5,Sheet6!$C$5,IF(Tim!AT22=Sheet6!$C$6,Sheet6!$C$6,IF(Tim!AT22=Sheet6!$C$7,Sheet6!$C$7,IF(Tim!AT22=Sheet6!$C$8,Sheet6!$C$8,"")))))))</f>
        <v/>
      </c>
      <c r="T20" s="54" t="str">
        <f>IF(Tim!AU22=Sheet6!$C$2,Sheet6!$C$2,IF(Tim!AU22=Sheet6!$C$3,Sheet6!$C$3,IF(Tim!AU22=Sheet6!$C$4,Sheet6!$C$4,IF(Tim!AU22=Sheet6!$C$5,Sheet6!$C$5,IF(Tim!AU22=Sheet6!$C$6,Sheet6!$C$6,IF(Tim!AU22=Sheet6!$C$7,Sheet6!$C$7,IF(Tim!AU22=Sheet6!$C$8,Sheet6!$C$8,"")))))))</f>
        <v/>
      </c>
      <c r="U20" s="54" t="str">
        <f>IF(Tim!AV22=Sheet6!$C$2,Sheet6!$C$2,IF(Tim!AV22=Sheet6!$C$3,Sheet6!$C$3,IF(Tim!AV22=Sheet6!$C$4,Sheet6!$C$4,IF(Tim!AV22=Sheet6!$C$5,Sheet6!$C$5,IF(Tim!AV22=Sheet6!$C$6,Sheet6!$C$6,IF(Tim!AV22=Sheet6!$C$7,Sheet6!$C$7,IF(Tim!AV22=Sheet6!$C$8,Sheet6!$C$8,"")))))))</f>
        <v/>
      </c>
      <c r="V20" s="54" t="str">
        <f>IF(Tim!AW22=Sheet6!$C$2,Sheet6!$C$2,IF(Tim!AW22=Sheet6!$C$3,Sheet6!$C$3,IF(Tim!AW22=Sheet6!$C$4,Sheet6!$C$4,IF(Tim!AW22=Sheet6!$C$5,Sheet6!$C$5,IF(Tim!AW22=Sheet6!$C$6,Sheet6!$C$6,IF(Tim!AW22=Sheet6!$C$7,Sheet6!$C$7,IF(Tim!AW22=Sheet6!$C$8,Sheet6!$C$8,"")))))))</f>
        <v/>
      </c>
      <c r="W20" s="55" t="str">
        <f>IF(Tim!AX22=Sheet6!$C$2,Sheet6!$C$2,IF(Tim!AX22=Sheet6!$C$3,Sheet6!$C$3,IF(Tim!AX22=Sheet6!$C$4,Sheet6!$C$4,IF(Tim!AX22=Sheet6!$C$5,Sheet6!$C$5,IF(Tim!AX22=Sheet6!$C$6,Sheet6!$C$6,IF(Tim!AX22=Sheet6!$C$7,Sheet6!$C$7,IF(Tim!AX22=Sheet6!$C$8,Sheet6!$C$8,"")))))))</f>
        <v/>
      </c>
      <c r="X20" s="53" t="str">
        <f>IF(Tim!AY22=Sheet6!$C$2,Sheet6!$C$2,IF(Tim!AY22=Sheet6!$C$3,Sheet6!$C$3,IF(Tim!AY22=Sheet6!$C$4,Sheet6!$C$4,IF(Tim!AY22=Sheet6!$C$5,Sheet6!$C$5,IF(Tim!AY22=Sheet6!$C$6,Sheet6!$C$6,IF(Tim!AY22=Sheet6!$C$7,Sheet6!$C$7,IF(Tim!AY22=Sheet6!$C$8,Sheet6!$C$8,"")))))))</f>
        <v/>
      </c>
      <c r="Y20" s="53" t="str">
        <f>IF(Tim!AZ22=Sheet6!$C$2,Sheet6!$C$2,IF(Tim!AZ22=Sheet6!$C$3,Sheet6!$C$3,IF(Tim!AZ22=Sheet6!$C$4,Sheet6!$C$4,IF(Tim!AZ22=Sheet6!$C$5,Sheet6!$C$5,IF(Tim!AZ22=Sheet6!$C$6,Sheet6!$C$6,IF(Tim!AZ22=Sheet6!$C$7,Sheet6!$C$7,IF(Tim!AZ22=Sheet6!$C$8,Sheet6!$C$8,"")))))))</f>
        <v/>
      </c>
      <c r="Z20" s="53" t="str">
        <f>IF(Tim!BD22=Sheet6!$C$2,Sheet6!$C$2,IF(Tim!BD22=Sheet6!$C$3,Sheet6!$C$3,IF(Tim!BD22=Sheet6!$C$4,Sheet6!$C$4,IF(Tim!BD22=Sheet6!$C$5,Sheet6!$C$5,IF(Tim!BD22=Sheet6!$C$6,Sheet6!$C$6,IF(Tim!BD22=Sheet6!$C$7,Sheet6!$C$7,IF(Tim!BD22=Sheet6!$C$8,Sheet6!$C$8,"")))))))</f>
        <v/>
      </c>
      <c r="AA20" s="53" t="str">
        <f>IF(Tim!BE22=Sheet6!$C$2,Sheet6!$C$2,IF(Tim!BE22=Sheet6!$C$3,Sheet6!$C$3,IF(Tim!BE22=Sheet6!$C$4,Sheet6!$C$4,IF(Tim!BE22=Sheet6!$C$5,Sheet6!$C$5,IF(Tim!BE22=Sheet6!$C$6,Sheet6!$C$6,IF(Tim!BE22=Sheet6!$C$7,Sheet6!$C$7,IF(Tim!BE22=Sheet6!$C$8,Sheet6!$C$8,"")))))))</f>
        <v/>
      </c>
      <c r="AB20" s="57" t="str">
        <f>IF(Tim!BL22=Sheet6!$C$2,Sheet6!$C$2,IF(Tim!BL22=Sheet6!$C$3,Sheet6!$C$3,IF(Tim!BL22=Sheet6!$C$4,Sheet6!$C$4,IF(Tim!BL22=Sheet6!$C$5,Sheet6!$C$5,IF(Tim!BL22=Sheet6!$C$6,Sheet6!$C$6,IF(Tim!BL22=Sheet6!$C$7,Sheet6!$C$7,IF(Tim!BL22=Sheet6!$C$8,Sheet6!$C$8,"")))))))</f>
        <v/>
      </c>
      <c r="AC20" s="53" t="str">
        <f>IF(Tim!BT21=Sheet6!$C$2,Sheet6!$C$2,IF(Tim!BT21=Sheet6!$C$3,Sheet6!$C$3,IF(Tim!BT21=Sheet6!$C$4,Sheet6!$C$4,IF(Tim!BT21=Sheet6!$C$5,Sheet6!$C$5,IF(Tim!BT21=Sheet6!$C$6,Sheet6!$C$6,IF(Tim!BT21=Sheet6!$C$7,Sheet6!$C$7,IF(Tim!BT21=Sheet6!$C$8,Sheet6!$C$8,"")))))))</f>
        <v/>
      </c>
      <c r="AD20" s="181" t="str">
        <f>IF(Tim!BU22=Sheet6!$C$2,Sheet6!$C$2,IF(Tim!BU22=Sheet6!$C$3,Sheet6!$C$3,IF(Tim!BU22=Sheet6!$C$4,Sheet6!$C$4,IF(Tim!BU22=Sheet6!$C$5,Sheet6!$C$5,IF(Tim!BU22=Sheet6!$C$6,Sheet6!$C$6,IF(Tim!BU22=Sheet6!$C$7,Sheet6!$C$7,IF(Tim!BU22=Sheet6!$C$8,Sheet6!$C$8,"")))))))</f>
        <v/>
      </c>
      <c r="AE20" s="181" t="str">
        <f>IF(Tim!CB22=Sheet6!$C$2,Sheet6!$C$2,IF(Tim!CB22=Sheet6!$C$3,Sheet6!$C$3,IF(Tim!CB22=Sheet6!$C$4,Sheet6!$C$4,IF(Tim!CB22=Sheet6!$C$5,Sheet6!$C$5,IF(Tim!CB22=Sheet6!$C$6,Sheet6!$C$6,IF(Tim!CB22=Sheet6!$C$7,Sheet6!$C$7,IF(Tim!CB22=Sheet6!$C$8,Sheet6!$C$8,"")))))))</f>
        <v/>
      </c>
      <c r="AF20" s="53" t="str">
        <f>IF(Tim!CD22=Sheet6!$C$2,Sheet6!$C$2,IF(Tim!CD22=Sheet6!$C$3,Sheet6!$C$3,IF(Tim!CD22=Sheet6!$C$4,Sheet6!$C$4,IF(Tim!CD22=Sheet6!$C$5,Sheet6!$C$5,IF(Tim!CD22=Sheet6!$C$6,Sheet6!$C$6,IF(Tim!CD22=Sheet6!$C$7,Sheet6!$C$7,IF(Tim!CD22=Sheet6!$C$8,Sheet6!$C$8,"")))))))</f>
        <v/>
      </c>
      <c r="AG20" s="53" t="str">
        <f>IF(Tim!CE22=Sheet6!$C$2,Sheet6!$C$2,IF(Tim!CE22=Sheet6!$C$3,Sheet6!$C$3,IF(Tim!CE22=Sheet6!$C$4,Sheet6!$C$4,IF(Tim!CE22=Sheet6!$C$5,Sheet6!$C$5,IF(Tim!CE22=Sheet6!$C$6,Sheet6!$C$6,IF(Tim!CE22=Sheet6!$C$7,Sheet6!$C$7,IF(Tim!CE22=Sheet6!$C$8,Sheet6!$C$8,"")))))))</f>
        <v/>
      </c>
      <c r="AH20" s="53" t="str">
        <f>IF(Tim!CF22=Sheet6!$C$2,Sheet6!$C$2,IF(Tim!CF22=Sheet6!$C$3,Sheet6!$C$3,IF(Tim!CF22=Sheet6!$C$4,Sheet6!$C$4,IF(Tim!CF22=Sheet6!$C$5,Sheet6!$C$5,IF(Tim!CF22=Sheet6!$C$6,Sheet6!$C$6,IF(Tim!CF22=Sheet6!$C$7,Sheet6!$C$7,IF(Tim!CF22=Sheet6!$C$8,Sheet6!$C$8,"")))))))</f>
        <v/>
      </c>
      <c r="AI20" s="53" t="str">
        <f>IF(Tim!CG22=Sheet6!$C$2,Sheet6!$C$2,IF(Tim!CG22=Sheet6!$C$3,Sheet6!$C$3,IF(Tim!CG22=Sheet6!$C$4,Sheet6!$C$4,IF(Tim!CG22=Sheet6!$C$5,Sheet6!$C$5,IF(Tim!CG22=Sheet6!$C$6,Sheet6!$C$6,IF(Tim!CG22=Sheet6!$C$7,Sheet6!$C$7,IF(Tim!CG22=Sheet6!$C$8,Sheet6!$C$8,"")))))))</f>
        <v/>
      </c>
      <c r="AJ20" s="53" t="str">
        <f>IF(Tim!CH22=Sheet6!$C$2,Sheet6!$C$2,IF(Tim!CH22=Sheet6!$C$3,Sheet6!$C$3,IF(Tim!CH22=Sheet6!$C$4,Sheet6!$C$4,IF(Tim!CH22=Sheet6!$C$5,Sheet6!$C$5,IF(Tim!CH22=Sheet6!$C$6,Sheet6!$C$6,IF(Tim!CH22=Sheet6!$C$7,Sheet6!$C$7,IF(Tim!CH22=Sheet6!$C$8,Sheet6!$C$8,"")))))))</f>
        <v/>
      </c>
      <c r="AK20" s="53" t="str">
        <f>IF(Tim!CL22=Sheet6!$C$2,Sheet6!$C$2,IF(Tim!CL22=Sheet6!$C$3,Sheet6!$C$3,IF(Tim!CL22=Sheet6!$C$4,Sheet6!$C$4,IF(Tim!CL22=Sheet6!$C$5,Sheet6!$C$5,IF(Tim!CL22=Sheet6!$C$6,Sheet6!$C$6,IF(Tim!CL22=Sheet6!$C$7,Sheet6!$C$7,IF(Tim!CL22=Sheet6!$C$8,Sheet6!$C$8,"")))))))</f>
        <v/>
      </c>
      <c r="AL20" s="54" t="str">
        <f>IF(Tim!CM22=Sheet6!$C$2,Sheet6!$C$2,IF(Tim!CM22=Sheet6!$C$3,Sheet6!$C$3,IF(Tim!CM22=Sheet6!$C$4,Sheet6!$C$4,IF(Tim!CM22=Sheet6!$C$5,Sheet6!$C$5,IF(Tim!CM22=Sheet6!$C$6,Sheet6!$C$6,IF(Tim!CM22=Sheet6!$C$7,Sheet6!$C$7,IF(Tim!CM22=Sheet6!$C$8,Sheet6!$C$8,"")))))))</f>
        <v/>
      </c>
      <c r="AM20" s="54" t="str">
        <f>IF(Tim!CN22=Sheet6!$C$2,Sheet6!$C$2,IF(Tim!CN22=Sheet6!$C$3,Sheet6!$C$3,IF(Tim!CN22=Sheet6!$C$4,Sheet6!$C$4,IF(Tim!CN22=Sheet6!$C$5,Sheet6!$C$5,IF(Tim!CN22=Sheet6!$C$6,Sheet6!$C$6,IF(Tim!CN22=Sheet6!$C$7,Sheet6!$C$7,IF(Tim!CN22=Sheet6!$C$8,Sheet6!$C$8,"")))))))</f>
        <v/>
      </c>
      <c r="AN20" s="54" t="str">
        <f>IF(Tim!CO22=Sheet6!$C$2,Sheet6!$C$2,IF(Tim!CO22=Sheet6!$C$3,Sheet6!$C$3,IF(Tim!CO22=Sheet6!$C$4,Sheet6!$C$4,IF(Tim!CO22=Sheet6!$C$5,Sheet6!$C$5,IF(Tim!CO22=Sheet6!$C$6,Sheet6!$C$6,IF(Tim!CO22=Sheet6!$C$7,Sheet6!$C$7,IF(Tim!CO22=Sheet6!$C$8,Sheet6!$C$8,"")))))))</f>
        <v/>
      </c>
      <c r="AO20" s="55" t="str">
        <f>IF(Tim!CP22=Sheet6!$C$2,Sheet6!$C$2,IF(Tim!CP22=Sheet6!$C$3,Sheet6!$C$3,IF(Tim!CP22=Sheet6!$C$4,Sheet6!$C$4,IF(Tim!CP22=Sheet6!$C$5,Sheet6!$C$5,IF(Tim!CP22=Sheet6!$C$6,Sheet6!$C$6,IF(Tim!CP22=Sheet6!$C$7,Sheet6!$C$7,IF(Tim!CP22=Sheet6!$C$8,Sheet6!$C$8,"")))))))</f>
        <v/>
      </c>
      <c r="AP20" s="57" t="str">
        <f>IF(Tim!CQ22=Sheet6!$C$2,Sheet6!$C$2,IF(Tim!CQ22=Sheet6!$C$3,Sheet6!$C$3,IF(Tim!CQ22=Sheet6!$C$4,Sheet6!$C$4,IF(Tim!CQ22=Sheet6!$C$5,Sheet6!$C$5,IF(Tim!CQ22=Sheet6!$C$6,Sheet6!$C$6,IF(Tim!CQ22=Sheet6!$C$7,Sheet6!$C$7,IF(Tim!CQ22=Sheet6!$C$8,Sheet6!$C$8,"")))))))</f>
        <v/>
      </c>
      <c r="AQ20" s="53" t="str">
        <f>IF(Tim!CR22=Sheet6!$C$2,Sheet6!$C$2,IF(Tim!CR22=Sheet6!$C$3,Sheet6!$C$3,IF(Tim!CR22=Sheet6!$C$4,Sheet6!$C$4,IF(Tim!CR22=Sheet6!$C$5,Sheet6!$C$5,IF(Tim!CR22=Sheet6!$C$6,Sheet6!$C$6,IF(Tim!CR22=Sheet6!$C$7,Sheet6!$C$7,IF(Tim!CR22=Sheet6!$C$8,Sheet6!$C$8,"")))))))</f>
        <v/>
      </c>
      <c r="AR20" s="57" t="str">
        <f>IF(Tim!CV22=Sheet6!$C$2,Sheet6!$C$2,IF(Tim!CV22=Sheet6!$C$3,Sheet6!$C$3,IF(Tim!CV22=Sheet6!$C$4,Sheet6!$C$4,IF(Tim!CV22=Sheet6!$C$5,Sheet6!$C$5,IF(Tim!CV22=Sheet6!$C$6,Sheet6!$C$6,IF(Tim!CV22=Sheet6!$C$7,Sheet6!$C$7,IF(Tim!CV22=Sheet6!$C$8,Sheet6!$C$8,"")))))))</f>
        <v/>
      </c>
      <c r="AS20" s="53" t="str">
        <f>IF(Tim!CW22=Sheet6!$C$2,Sheet6!$C$2,IF(Tim!CW22=Sheet6!$C$3,Sheet6!$C$3,IF(Tim!CW22=Sheet6!$C$4,Sheet6!$C$4,IF(Tim!CW22=Sheet6!$C$5,Sheet6!$C$5,IF(Tim!CW22=Sheet6!$C$6,Sheet6!$C$6,IF(Tim!CW22=Sheet6!$C$7,Sheet6!$C$7,IF(Tim!CW22=Sheet6!$C$8,Sheet6!$C$8,"")))))))</f>
        <v/>
      </c>
      <c r="AT20" s="57" t="str">
        <f>IF(Tim!DA22=Sheet6!$C$2,Sheet6!$C$2,IF(Tim!DA22=Sheet6!$C$3,Sheet6!$C$3,IF(Tim!DA22=Sheet6!$C$4,Sheet6!$C$4,IF(Tim!DA22=Sheet6!$C$5,Sheet6!$C$5,IF(Tim!DA22=Sheet6!$C$6,Sheet6!$C$6,IF(Tim!DA22=Sheet6!$C$7,Sheet6!$C$7,IF(Tim!DA22=Sheet6!$C$8,Sheet6!$C$8,"")))))))</f>
        <v/>
      </c>
      <c r="AU20" s="53" t="str">
        <f>IF(Tim!DO22=Sheet6!$C$2,Sheet6!$C$2,IF(Tim!DO22=Sheet6!$C$3,Sheet6!$C$3,IF(Tim!DO22=Sheet6!$C$4,Sheet6!$C$4,IF(Tim!DO22=Sheet6!$C$5,Sheet6!$C$5,IF(Tim!DO22=Sheet6!$C$6,Sheet6!$C$6,IF(Tim!DO22=Sheet6!$C$7,Sheet6!$C$7,IF(Tim!DO22=Sheet6!$C$8,Sheet6!$C$8,"")))))))</f>
        <v/>
      </c>
      <c r="AV20" s="53" t="str">
        <f>IF(Tim!DP22=Sheet6!$C$2,Sheet6!$C$2,IF(Tim!DP22=Sheet6!$C$3,Sheet6!$C$3,IF(Tim!DP22=Sheet6!$C$4,Sheet6!$C$4,IF(Tim!DP22=Sheet6!$C$5,Sheet6!$C$5,IF(Tim!DP22=Sheet6!$C$6,Sheet6!$C$6,IF(Tim!DP22=Sheet6!$C$7,Sheet6!$C$7,IF(Tim!DP22=Sheet6!$C$8,Sheet6!$C$8,"")))))))</f>
        <v/>
      </c>
      <c r="AW20" s="53" t="str">
        <f>IF(Tim!DX22=Sheet6!$C$2,Sheet6!$C$2,IF(Tim!DX22=Sheet6!$C$3,Sheet6!$C$3,IF(Tim!DX22=Sheet6!$C$4,Sheet6!$C$4,IF(Tim!DX22=Sheet6!$C$5,Sheet6!$C$5,IF(Tim!DX22=Sheet6!$C$6,Sheet6!$C$6,IF(Tim!DX22=Sheet6!$C$7,Sheet6!$C$7,IF(Tim!DX22=Sheet6!$C$8,Sheet6!$C$8,"")))))))</f>
        <v/>
      </c>
      <c r="AX20" s="53" t="str">
        <f>IF(Tim!DY22=Sheet6!$C$2,Sheet6!$C$2,IF(Tim!DY22=Sheet6!$C$3,Sheet6!$C$3,IF(Tim!DY22=Sheet6!$C$4,Sheet6!$C$4,IF(Tim!DY22=Sheet6!$C$5,Sheet6!$C$5,IF(Tim!DY22=Sheet6!$C$6,Sheet6!$C$6,IF(Tim!DY22=Sheet6!$C$7,Sheet6!$C$7,IF(Tim!DY22=Sheet6!$C$8,Sheet6!$C$8,"")))))))</f>
        <v/>
      </c>
      <c r="AY20" s="53" t="str">
        <f>IF(Tim!DZ22=Sheet6!$C$2,Sheet6!$C$2,IF(Tim!DZ22=Sheet6!$C$3,Sheet6!$C$3,IF(Tim!DZ22=Sheet6!$C$4,Sheet6!$C$4,IF(Tim!DZ22=Sheet6!$C$5,Sheet6!$C$5,IF(Tim!DZ22=Sheet6!$C$6,Sheet6!$C$6,IF(Tim!DZ22=Sheet6!$C$7,Sheet6!$C$7,IF(Tim!DZ22=Sheet6!$C$8,Sheet6!$C$8,"")))))))</f>
        <v/>
      </c>
      <c r="AZ20" s="53" t="str">
        <f>IF(Tim!EA22=Sheet6!$C$2,Sheet6!$C$2,IF(Tim!EA22=Sheet6!$C$3,Sheet6!$C$3,IF(Tim!EA22=Sheet6!$C$4,Sheet6!$C$4,IF(Tim!EA22=Sheet6!$C$5,Sheet6!$C$5,IF(Tim!EA22=Sheet6!$C$6,Sheet6!$C$6,IF(Tim!EA22=Sheet6!$C$7,Sheet6!$C$7,IF(Tim!EA22=Sheet6!$C$8,Sheet6!$C$8,"")))))))</f>
        <v/>
      </c>
      <c r="BA20" s="53" t="str">
        <f>IF(Tim!EB22=Sheet6!$C$2,Sheet6!$C$2,IF(Tim!EB22=Sheet6!$C$3,Sheet6!$C$3,IF(Tim!EB22=Sheet6!$C$4,Sheet6!$C$4,IF(Tim!EB22=Sheet6!$C$5,Sheet6!$C$5,IF(Tim!EB22=Sheet6!$C$6,Sheet6!$C$6,IF(Tim!EB22=Sheet6!$C$7,Sheet6!$C$7,IF(Tim!EB22=Sheet6!$C$8,Sheet6!$C$8,"")))))))</f>
        <v/>
      </c>
      <c r="BB20" s="53" t="str">
        <f>IF(Tim!EC22=Sheet6!$C$2,Sheet6!$C$2,IF(Tim!EC22=Sheet6!$C$3,Sheet6!$C$3,IF(Tim!EC22=Sheet6!$C$4,Sheet6!$C$4,IF(Tim!EC22=Sheet6!$C$5,Sheet6!$C$5,IF(Tim!EC22=Sheet6!$C$6,Sheet6!$C$6,IF(Tim!EC22=Sheet6!$C$7,Sheet6!$C$7,IF(Tim!EC22=Sheet6!$C$8,Sheet6!$C$8,"")))))))</f>
        <v/>
      </c>
      <c r="BC20" s="53" t="str">
        <f>IF(Tim!EG22=Sheet6!$C$2,Sheet6!$C$2,IF(Tim!EG22=Sheet6!$C$3,Sheet6!$C$3,IF(Tim!EG22=Sheet6!$C$4,Sheet6!$C$4,IF(Tim!EG22=Sheet6!$C$5,Sheet6!$C$5,IF(Tim!EG22=Sheet6!$C$6,Sheet6!$C$6,IF(Tim!EG22=Sheet6!$C$7,Sheet6!$C$7,IF(Tim!EG22=Sheet6!$C$8,Sheet6!$C$8,"")))))))</f>
        <v/>
      </c>
      <c r="BD20" s="54" t="str">
        <f>IF(Tim!EH22=Sheet6!$C$2,Sheet6!$C$2,IF(Tim!EH22=Sheet6!$C$3,Sheet6!$C$3,IF(Tim!EH22=Sheet6!$C$4,Sheet6!$C$4,IF(Tim!EH22=Sheet6!$C$5,Sheet6!$C$5,IF(Tim!EH22=Sheet6!$C$6,Sheet6!$C$6,IF(Tim!EH22=Sheet6!$C$7,Sheet6!$C$7,IF(Tim!EH22=Sheet6!$C$8,Sheet6!$C$8,"")))))))</f>
        <v/>
      </c>
      <c r="BE20" s="54" t="str">
        <f>IF(Tim!EI22=Sheet6!$C$2,Sheet6!$C$2,IF(Tim!EI22=Sheet6!$C$3,Sheet6!$C$3,IF(Tim!EI22=Sheet6!$C$4,Sheet6!$C$4,IF(Tim!EI22=Sheet6!$C$5,Sheet6!$C$5,IF(Tim!EI22=Sheet6!$C$6,Sheet6!$C$6,IF(Tim!EI22=Sheet6!$C$7,Sheet6!$C$7,IF(Tim!EI22=Sheet6!$C$8,Sheet6!$C$8,"")))))))</f>
        <v/>
      </c>
      <c r="BF20" s="54" t="str">
        <f>IF(Tim!EJ22=Sheet6!$C$2,Sheet6!$C$2,IF(Tim!EJ22=Sheet6!$C$3,Sheet6!$C$3,IF(Tim!EJ22=Sheet6!$C$4,Sheet6!$C$4,IF(Tim!EJ22=Sheet6!$C$5,Sheet6!$C$5,IF(Tim!EJ22=Sheet6!$C$6,Sheet6!$C$6,IF(Tim!EJ22=Sheet6!$C$7,Sheet6!$C$7,IF(Tim!EJ22=Sheet6!$C$8,Sheet6!$C$8,"")))))))</f>
        <v/>
      </c>
      <c r="BG20" s="55" t="str">
        <f>IF(Tim!EK22=Sheet6!$C$2,Sheet6!$C$2,IF(Tim!EK22=Sheet6!$C$3,Sheet6!$C$3,IF(Tim!EK22=Sheet6!$C$4,Sheet6!$C$4,IF(Tim!EK22=Sheet6!$C$5,Sheet6!$C$5,IF(Tim!EK22=Sheet6!$C$6,Sheet6!$C$6,IF(Tim!EK22=Sheet6!$C$7,Sheet6!$C$7,IF(Tim!EK22=Sheet6!$C$8,Sheet6!$C$8,"")))))))</f>
        <v/>
      </c>
      <c r="BH20" s="53" t="str">
        <f>IF(Tim!EL22=Sheet6!$C$2,Sheet6!$C$2,IF(Tim!EL22=Sheet6!$C$3,Sheet6!$C$3,IF(Tim!EL22=Sheet6!$C$4,Sheet6!$C$4,IF(Tim!EL22=Sheet6!$C$5,Sheet6!$C$5,IF(Tim!EL22=Sheet6!$C$6,Sheet6!$C$6,IF(Tim!EL22=Sheet6!$C$7,Sheet6!$C$7,IF(Tim!EL22=Sheet6!$C$8,Sheet6!$C$8,"")))))))</f>
        <v/>
      </c>
      <c r="BI20" s="57" t="str">
        <f>IF(Tim!EM22=Sheet6!$C$2,Sheet6!$C$2,IF(Tim!EM22=Sheet6!$C$3,Sheet6!$C$3,IF(Tim!EM22=Sheet6!$C$4,Sheet6!$C$4,IF(Tim!EM22=Sheet6!$C$5,Sheet6!$C$5,IF(Tim!EM22=Sheet6!$C$6,Sheet6!$C$6,IF(Tim!EM22=Sheet6!$C$7,Sheet6!$C$7,IF(Tim!EM22=Sheet6!$C$8,Sheet6!$C$8,"")))))))</f>
        <v/>
      </c>
      <c r="BJ20" s="57" t="str">
        <f>IF(Tim!EQ22=Sheet6!$C$2,Sheet6!$C$2,IF(Tim!EQ22=Sheet6!$C$3,Sheet6!$C$3,IF(Tim!EQ22=Sheet6!$C$4,Sheet6!$C$4,IF(Tim!EQ22=Sheet6!$C$5,Sheet6!$C$5,IF(Tim!EQ22=Sheet6!$C$6,Sheet6!$C$6,IF(Tim!EQ22=Sheet6!$C$7,Sheet6!$C$7,IF(Tim!EQ22=Sheet6!$C$8,Sheet6!$C$8,"")))))))</f>
        <v/>
      </c>
      <c r="BK20" s="57" t="str">
        <f>IF(Tim!ER22=Sheet6!$C$2,Sheet6!$C$2,IF(Tim!ER22=Sheet6!$C$3,Sheet6!$C$3,IF(Tim!ER22=Sheet6!$C$4,Sheet6!$C$4,IF(Tim!ER22=Sheet6!$C$5,Sheet6!$C$5,IF(Tim!ER22=Sheet6!$C$6,Sheet6!$C$6,IF(Tim!ER22=Sheet6!$C$7,Sheet6!$C$7,IF(Tim!ER22=Sheet6!$C$8,Sheet6!$C$8,"")))))))</f>
        <v/>
      </c>
      <c r="BL20" s="57" t="str">
        <f>IF(Tim!EZ22=Sheet6!$C$2,Sheet6!$C$2,IF(Tim!EZ22=Sheet6!$C$3,Sheet6!$C$3,IF(Tim!EZ22=Sheet6!$C$4,Sheet6!$C$4,IF(Tim!EZ22=Sheet6!$C$5,Sheet6!$C$5,IF(Tim!EZ22=Sheet6!$C$6,Sheet6!$C$6,IF(Tim!EZ22=Sheet6!$C$7,Sheet6!$C$7,IF(Tim!EZ22=Sheet6!$C$8,Sheet6!$C$8,"")))))))</f>
        <v/>
      </c>
      <c r="BM20" s="53" t="str">
        <f>IF(Tim!FG22=Sheet6!$C$2,Sheet6!$C$2,IF(Tim!FG22=Sheet6!$C$3,Sheet6!$C$3,IF(Tim!FG22=Sheet6!$C$4,Sheet6!$C$4,IF(Tim!FG22=Sheet6!$C$5,Sheet6!$C$5,IF(Tim!FG22=Sheet6!$C$6,Sheet6!$C$6,IF(Tim!FG22=Sheet6!$C$7,Sheet6!$C$7,IF(Tim!FG22=Sheet6!$C$8,Sheet6!$C$8,"")))))))</f>
        <v/>
      </c>
      <c r="BN20" s="53" t="str">
        <f>IF(Tim!FH22=Sheet6!$C$2,Sheet6!$C$2,IF(Tim!FH22=Sheet6!$C$3,Sheet6!$C$3,IF(Tim!FH22=Sheet6!$C$4,Sheet6!$C$4,IF(Tim!FH22=Sheet6!$C$5,Sheet6!$C$5,IF(Tim!FH22=Sheet6!$C$6,Sheet6!$C$6,IF(Tim!FH22=Sheet6!$C$7,Sheet6!$C$7,IF(Tim!FH22=Sheet6!$C$8,Sheet6!$C$8,"")))))))</f>
        <v/>
      </c>
      <c r="BO20" s="53" t="str">
        <f>IF(Tim!FP22=Sheet6!$C$2,Sheet6!$C$2,IF(Tim!FP22=Sheet6!$C$3,Sheet6!$C$3,IF(Tim!FP22=Sheet6!$C$4,Sheet6!$C$4,IF(Tim!FP22=Sheet6!$C$5,Sheet6!$C$5,IF(Tim!FP22=Sheet6!$C$6,Sheet6!$C$6,IF(Tim!FP22=Sheet6!$C$7,Sheet6!$C$7,IF(Tim!FP22=Sheet6!$C$8,Sheet6!$C$8,"")))))))</f>
        <v/>
      </c>
      <c r="BP20" s="53" t="str">
        <f>IF(Tim!FQ22=Sheet6!$C$2,Sheet6!$C$2,IF(Tim!FQ22=Sheet6!$C$3,Sheet6!$C$3,IF(Tim!FQ22=Sheet6!$C$4,Sheet6!$C$4,IF(Tim!FQ22=Sheet6!$C$5,Sheet6!$C$5,IF(Tim!FQ22=Sheet6!$C$6,Sheet6!$C$6,IF(Tim!FQ22=Sheet6!$C$7,Sheet6!$C$7,IF(Tim!FQ22=Sheet6!$C$8,Sheet6!$C$8,"")))))))</f>
        <v/>
      </c>
      <c r="BQ20" s="53" t="str">
        <f>IF(Tim!FR22=Sheet6!$C$2,Sheet6!$C$2,IF(Tim!FR22=Sheet6!$C$3,Sheet6!$C$3,IF(Tim!FR22=Sheet6!$C$4,Sheet6!$C$4,IF(Tim!FR22=Sheet6!$C$5,Sheet6!$C$5,IF(Tim!FR22=Sheet6!$C$6,Sheet6!$C$6,IF(Tim!FR22=Sheet6!$C$7,Sheet6!$C$7,IF(Tim!FR22=Sheet6!$C$8,Sheet6!$C$8,"")))))))</f>
        <v/>
      </c>
      <c r="BR20" s="53" t="str">
        <f>IF(Tim!FS22=Sheet6!$C$2,Sheet6!$C$2,IF(Tim!FS22=Sheet6!$C$3,Sheet6!$C$3,IF(Tim!FS22=Sheet6!$C$4,Sheet6!$C$4,IF(Tim!FS22=Sheet6!$C$5,Sheet6!$C$5,IF(Tim!FS22=Sheet6!$C$6,Sheet6!$C$6,IF(Tim!FS22=Sheet6!$C$7,Sheet6!$C$7,IF(Tim!FS22=Sheet6!$C$8,Sheet6!$C$8,"")))))))</f>
        <v/>
      </c>
      <c r="BS20" s="53" t="str">
        <f>IF(Tim!FT22=Sheet6!$C$2,Sheet6!$C$2,IF(Tim!FT22=Sheet6!$C$3,Sheet6!$C$3,IF(Tim!FT22=Sheet6!$C$4,Sheet6!$C$4,IF(Tim!FT22=Sheet6!$C$5,Sheet6!$C$5,IF(Tim!FT22=Sheet6!$C$6,Sheet6!$C$6,IF(Tim!FT22=Sheet6!$C$7,Sheet6!$C$7,IF(Tim!FT22=Sheet6!$C$8,Sheet6!$C$8,"")))))))</f>
        <v/>
      </c>
      <c r="BT20" s="53" t="str">
        <f>IF(Tim!FU22=Sheet6!$C$2,Sheet6!$C$2,IF(Tim!FU22=Sheet6!$C$3,Sheet6!$C$3,IF(Tim!FU22=Sheet6!$C$4,Sheet6!$C$4,IF(Tim!FU22=Sheet6!$C$5,Sheet6!$C$5,IF(Tim!FU22=Sheet6!$C$6,Sheet6!$C$6,IF(Tim!FU22=Sheet6!$C$7,Sheet6!$C$7,IF(Tim!FU22=Sheet6!$C$8,Sheet6!$C$8,"")))))))</f>
        <v/>
      </c>
      <c r="BU20" s="53" t="str">
        <f>IF(Tim!FY22=Sheet6!$C$2,Sheet6!$C$2,IF(Tim!FY22=Sheet6!$C$3,Sheet6!$C$3,IF(Tim!FY22=Sheet6!$C$4,Sheet6!$C$4,IF(Tim!FY22=Sheet6!$C$5,Sheet6!$C$5,IF(Tim!FY22=Sheet6!$C$6,Sheet6!$C$6,IF(Tim!FY22=Sheet6!$C$7,Sheet6!$C$7,IF(Tim!FY22=Sheet6!$C$8,Sheet6!$C$8,"")))))))</f>
        <v/>
      </c>
      <c r="BV20" s="54" t="str">
        <f>IF(Tim!FZ22=Sheet6!$C$2,Sheet6!$C$2,IF(Tim!FZ22=Sheet6!$C$3,Sheet6!$C$3,IF(Tim!FZ22=Sheet6!$C$4,Sheet6!$C$4,IF(Tim!FZ22=Sheet6!$C$5,Sheet6!$C$5,IF(Tim!FZ22=Sheet6!$C$6,Sheet6!$C$6,IF(Tim!FZ22=Sheet6!$C$7,Sheet6!$C$7,IF(Tim!FZ22=Sheet6!$C$8,Sheet6!$C$8,"")))))))</f>
        <v/>
      </c>
      <c r="BW20" s="54" t="str">
        <f>IF(Tim!GA22=Sheet6!$C$2,Sheet6!$C$2,IF(Tim!GA22=Sheet6!$C$3,Sheet6!$C$3,IF(Tim!GA22=Sheet6!$C$4,Sheet6!$C$4,IF(Tim!GA22=Sheet6!$C$5,Sheet6!$C$5,IF(Tim!GA22=Sheet6!$C$6,Sheet6!$C$6,IF(Tim!GA22=Sheet6!$C$7,Sheet6!$C$7,IF(Tim!GA22=Sheet6!$C$8,Sheet6!$C$8,"")))))))</f>
        <v/>
      </c>
      <c r="BX20" s="54" t="str">
        <f>IF(Tim!GB22=Sheet6!$C$2,Sheet6!$C$2,IF(Tim!GB22=Sheet6!$C$3,Sheet6!$C$3,IF(Tim!GB22=Sheet6!$C$4,Sheet6!$C$4,IF(Tim!GB22=Sheet6!$C$5,Sheet6!$C$5,IF(Tim!GB22=Sheet6!$C$6,Sheet6!$C$6,IF(Tim!GB22=Sheet6!$C$7,Sheet6!$C$7,IF(Tim!GB22=Sheet6!$C$8,Sheet6!$C$8,"")))))))</f>
        <v/>
      </c>
      <c r="BY20" s="55" t="str">
        <f>IF(Tim!GC22=Sheet6!$C$2,Sheet6!$C$2,IF(Tim!GC22=Sheet6!$C$3,Sheet6!$C$3,IF(Tim!GC22=Sheet6!$C$4,Sheet6!$C$4,IF(Tim!GC22=Sheet6!$C$5,Sheet6!$C$5,IF(Tim!GC22=Sheet6!$C$6,Sheet6!$C$6,IF(Tim!GC22=Sheet6!$C$7,Sheet6!$C$7,IF(Tim!GC22=Sheet6!$C$8,Sheet6!$C$8,"")))))))</f>
        <v/>
      </c>
      <c r="BZ20" s="53" t="str">
        <f>IF(Tim!GD22=Sheet6!$C$2,Sheet6!$C$2,IF(Tim!GD22=Sheet6!$C$3,Sheet6!$C$3,IF(Tim!GD22=Sheet6!$C$4,Sheet6!$C$4,IF(Tim!GD22=Sheet6!$C$5,Sheet6!$C$5,IF(Tim!GD22=Sheet6!$C$6,Sheet6!$C$6,IF(Tim!GD22=Sheet6!$C$7,Sheet6!$C$7,IF(Tim!GD22=Sheet6!$C$8,Sheet6!$C$8,"")))))))</f>
        <v/>
      </c>
      <c r="CA20" s="53" t="str">
        <f>IF(Tim!GE22=Sheet6!$C$2,Sheet6!$C$2,IF(Tim!GE22=Sheet6!$C$3,Sheet6!$C$3,IF(Tim!GE22=Sheet6!$C$4,Sheet6!$C$4,IF(Tim!GE22=Sheet6!$C$5,Sheet6!$C$5,IF(Tim!GE22=Sheet6!$C$6,Sheet6!$C$6,IF(Tim!GE22=Sheet6!$C$7,Sheet6!$C$7,IF(Tim!GE22=Sheet6!$C$8,Sheet6!$C$8,"")))))))</f>
        <v/>
      </c>
      <c r="CB20" s="53" t="str">
        <f>IF(Tim!GI22=Sheet6!$C$2,Sheet6!$C$2,IF(Tim!GI22=Sheet6!$C$3,Sheet6!$C$3,IF(Tim!GI22=Sheet6!$C$4,Sheet6!$C$4,IF(Tim!GI22=Sheet6!$C$5,Sheet6!$C$5,IF(Tim!GI22=Sheet6!$C$6,Sheet6!$C$6,IF(Tim!GI22=Sheet6!$C$7,Sheet6!$C$7,IF(Tim!GI22=Sheet6!$C$8,Sheet6!$C$8,"")))))))</f>
        <v/>
      </c>
      <c r="CC20" s="57" t="str">
        <f>IF(Tim!GJ22=Sheet6!$C$2,Sheet6!$C$2,IF(Tim!GJ22=Sheet6!$C$3,Sheet6!$C$3,IF(Tim!GJ22=Sheet6!$C$4,Sheet6!$C$4,IF(Tim!GJ22=Sheet6!$C$5,Sheet6!$C$5,IF(Tim!GJ22=Sheet6!$C$6,Sheet6!$C$6,IF(Tim!GJ22=Sheet6!$C$7,Sheet6!$C$7,IF(Tim!GJ22=Sheet6!$C$8,Sheet6!$C$8,"")))))))</f>
        <v/>
      </c>
      <c r="CD20" s="57" t="str">
        <f>IF(Tim!GN22=Sheet6!$C$2,Sheet6!$C$2,IF(Tim!GN22=Sheet6!$C$3,Sheet6!$C$3,IF(Tim!GN22=Sheet6!$C$4,Sheet6!$C$4,IF(Tim!GN22=Sheet6!$C$5,Sheet6!$C$5,IF(Tim!GN22=Sheet6!$C$6,Sheet6!$C$6,IF(Tim!GN22=Sheet6!$C$7,Sheet6!$C$7,IF(Tim!GN22=Sheet6!$C$8,Sheet6!$C$8,"")))))))</f>
        <v/>
      </c>
      <c r="CE20" s="53" t="str">
        <f>IF(Tim!GY22=Sheet6!$C$2,Sheet6!$C$2,IF(Tim!GY22=Sheet6!$C$3,Sheet6!$C$3,IF(Tim!GY22=Sheet6!$C$4,Sheet6!$C$4,IF(Tim!GY22=Sheet6!$C$5,Sheet6!$C$5,IF(Tim!GY22=Sheet6!$C$6,Sheet6!$C$6,IF(Tim!GY22=Sheet6!$C$7,Sheet6!$C$7,IF(Tim!GY22=Sheet6!$C$8,Sheet6!$C$8,"")))))))</f>
        <v/>
      </c>
      <c r="CF20" s="181" t="str">
        <f>IF(Tim!GZ22=Sheet6!$C$2,Sheet6!$C$2,IF(Tim!GZ22=Sheet6!$C$3,Sheet6!$C$3,IF(Tim!GZ22=Sheet6!$C$4,Sheet6!$C$4,IF(Tim!GZ22=Sheet6!$C$5,Sheet6!$C$5,IF(Tim!GZ22=Sheet6!$C$6,Sheet6!$C$6,IF(Tim!GZ22=Sheet6!$C$7,Sheet6!$C$7,IF(Tim!GZ22=Sheet6!$C$8,Sheet6!$C$8,"")))))))</f>
        <v/>
      </c>
      <c r="CG20" s="181" t="str">
        <f>IF(Tim!HH22=Sheet6!$C$2,Sheet6!$C$2,IF(Tim!HH22=Sheet6!$C$3,Sheet6!$C$3,IF(Tim!HH22=Sheet6!$C$4,Sheet6!$C$4,IF(Tim!HH22=Sheet6!$C$5,Sheet6!$C$5,IF(Tim!HH22=Sheet6!$C$6,Sheet6!$C$6,IF(Tim!HH22=Sheet6!$C$7,Sheet6!$C$7,IF(Tim!HH22=Sheet6!$C$8,Sheet6!$C$8,"")))))))</f>
        <v/>
      </c>
      <c r="CH20" s="181" t="str">
        <f>IF(Tim!HI22=Sheet6!$C$2,Sheet6!$C$2,IF(Tim!HI22=Sheet6!$C$3,Sheet6!$C$3,IF(Tim!HI22=Sheet6!$C$4,Sheet6!$C$4,IF(Tim!HI22=Sheet6!$C$5,Sheet6!$C$5,IF(Tim!HI22=Sheet6!$C$6,Sheet6!$C$6,IF(Tim!HI22=Sheet6!$C$7,Sheet6!$C$7,IF(Tim!HI22=Sheet6!$C$8,Sheet6!$C$8,"")))))))</f>
        <v/>
      </c>
      <c r="CI20" s="181" t="str">
        <f>IF(Tim!HJ22=Sheet6!$C$2,Sheet6!$C$2,IF(Tim!HJ22=Sheet6!$C$3,Sheet6!$C$3,IF(Tim!HJ22=Sheet6!$C$4,Sheet6!$C$4,IF(Tim!HJ22=Sheet6!$C$5,Sheet6!$C$5,IF(Tim!HJ22=Sheet6!$C$6,Sheet6!$C$6,IF(Tim!HJ22=Sheet6!$C$7,Sheet6!$C$7,IF(Tim!HJ22=Sheet6!$C$8,Sheet6!$C$8,"")))))))</f>
        <v/>
      </c>
      <c r="CJ20" s="53" t="str">
        <f>IF(Tim!HK22=Sheet6!$C$2,Sheet6!$C$2,IF(Tim!HK22=Sheet6!$C$3,Sheet6!$C$3,IF(Tim!HK22=Sheet6!$C$4,Sheet6!$C$4,IF(Tim!HK22=Sheet6!$C$5,Sheet6!$C$5,IF(Tim!HK22=Sheet6!$C$6,Sheet6!$C$6,IF(Tim!HK22=Sheet6!$C$7,Sheet6!$C$7,IF(Tim!HK22=Sheet6!$C$8,Sheet6!$C$8,"")))))))</f>
        <v/>
      </c>
      <c r="CK20" s="53" t="str">
        <f>IF(Tim!HL22=Sheet6!$C$2,Sheet6!$C$2,IF(Tim!HL22=Sheet6!$C$3,Sheet6!$C$3,IF(Tim!HL22=Sheet6!$C$4,Sheet6!$C$4,IF(Tim!HL22=Sheet6!$C$5,Sheet6!$C$5,IF(Tim!HL22=Sheet6!$C$6,Sheet6!$C$6,IF(Tim!HL22=Sheet6!$C$7,Sheet6!$C$7,IF(Tim!HL22=Sheet6!$C$8,Sheet6!$C$8,"")))))))</f>
        <v/>
      </c>
      <c r="CL20" s="53" t="str">
        <f>IF(Tim!HM22=Sheet6!$C$2,Sheet6!$C$2,IF(Tim!HM22=Sheet6!$C$3,Sheet6!$C$3,IF(Tim!HM22=Sheet6!$C$4,Sheet6!$C$4,IF(Tim!HM22=Sheet6!$C$5,Sheet6!$C$5,IF(Tim!HM22=Sheet6!$C$6,Sheet6!$C$6,IF(Tim!HM22=Sheet6!$C$7,Sheet6!$C$7,IF(Tim!HM22=Sheet6!$C$8,Sheet6!$C$8,"")))))))</f>
        <v/>
      </c>
      <c r="CM20" s="53" t="str">
        <f>IF(Tim!HQ22=Sheet6!$C$2,Sheet6!$C$2,IF(Tim!HQ22=Sheet6!$C$3,Sheet6!$C$3,IF(Tim!HQ22=Sheet6!$C$4,Sheet6!$C$4,IF(Tim!HQ22=Sheet6!$C$5,Sheet6!$C$5,IF(Tim!HQ22=Sheet6!$C$6,Sheet6!$C$6,IF(Tim!HQ22=Sheet6!$C$7,Sheet6!$C$7,IF(Tim!HQ22=Sheet6!$C$8,Sheet6!$C$8,"")))))))</f>
        <v/>
      </c>
      <c r="CN20" s="54" t="str">
        <f>IF(Tim!HR22=Sheet6!$C$2,Sheet6!$C$2,IF(Tim!HR22=Sheet6!$C$3,Sheet6!$C$3,IF(Tim!HR22=Sheet6!$C$4,Sheet6!$C$4,IF(Tim!HR22=Sheet6!$C$5,Sheet6!$C$5,IF(Tim!HR22=Sheet6!$C$6,Sheet6!$C$6,IF(Tim!HR22=Sheet6!$C$7,Sheet6!$C$7,IF(Tim!HR22=Sheet6!$C$8,Sheet6!$C$8,"")))))))</f>
        <v/>
      </c>
      <c r="CO20" s="54" t="str">
        <f>IF(Tim!HS22=Sheet6!$C$2,Sheet6!$C$2,IF(Tim!HS22=Sheet6!$C$3,Sheet6!$C$3,IF(Tim!HS22=Sheet6!$C$4,Sheet6!$C$4,IF(Tim!HS22=Sheet6!$C$5,Sheet6!$C$5,IF(Tim!HS22=Sheet6!$C$6,Sheet6!$C$6,IF(Tim!HS22=Sheet6!$C$7,Sheet6!$C$7,IF(Tim!HS22=Sheet6!$C$8,Sheet6!$C$8,"")))))))</f>
        <v/>
      </c>
      <c r="CP20" s="54" t="str">
        <f>IF(Tim!HT22=Sheet6!$C$2,Sheet6!$C$2,IF(Tim!HT22=Sheet6!$C$3,Sheet6!$C$3,IF(Tim!HT22=Sheet6!$C$4,Sheet6!$C$4,IF(Tim!HT22=Sheet6!$C$5,Sheet6!$C$5,IF(Tim!HT22=Sheet6!$C$6,Sheet6!$C$6,IF(Tim!HT22=Sheet6!$C$7,Sheet6!$C$7,IF(Tim!HT22=Sheet6!$C$8,Sheet6!$C$8,"")))))))</f>
        <v/>
      </c>
      <c r="CQ20" s="55" t="str">
        <f>IF(Tim!HU22=Sheet6!$C$2,Sheet6!$C$2,IF(Tim!HU22=Sheet6!$C$3,Sheet6!$C$3,IF(Tim!HU22=Sheet6!$C$4,Sheet6!$C$4,IF(Tim!HU22=Sheet6!$C$5,Sheet6!$C$5,IF(Tim!HU22=Sheet6!$C$6,Sheet6!$C$6,IF(Tim!HU22=Sheet6!$C$7,Sheet6!$C$7,IF(Tim!HU22=Sheet6!$C$8,Sheet6!$C$8,"")))))))</f>
        <v/>
      </c>
      <c r="CR20" s="56" t="str">
        <f>IF(Tim!HV22=Sheet6!$C$2,Sheet6!$C$2,IF(Tim!HV22=Sheet6!$C$3,Sheet6!$C$3,IF(Tim!HV22=Sheet6!$C$4,Sheet6!$C$4,IF(Tim!HV22=Sheet6!$C$5,Sheet6!$C$5,IF(Tim!HV22=Sheet6!$C$6,Sheet6!$C$6,IF(Tim!HV22=Sheet6!$C$7,Sheet6!$C$7,IF(Tim!HV22=Sheet6!$C$8,Sheet6!$C$8,"")))))))</f>
        <v/>
      </c>
      <c r="CS20" s="57" t="str">
        <f>IF(Tim!IB22=Sheet6!$C$2,Sheet6!$C$2,IF(Tim!IB22=Sheet6!$C$3,Sheet6!$C$3,IF(Tim!IB22=Sheet6!$C$4,Sheet6!$C$4,IF(Tim!IB22=Sheet6!$C$5,Sheet6!$C$5,IF(Tim!IB22=Sheet6!$C$6,Sheet6!$C$6,IF(Tim!IB22=Sheet6!$C$7,Sheet6!$C$7,IF(Tim!IB22=Sheet6!$C$8,Sheet6!$C$8,"")))))))</f>
        <v/>
      </c>
      <c r="CT20" s="57" t="str">
        <f>IF(Tim!IJ22=Sheet6!$C$2,Sheet6!$C$2,IF(Tim!IJ22=Sheet6!$C$3,Sheet6!$C$3,IF(Tim!IJ22=Sheet6!$C$4,Sheet6!$C$4,IF(Tim!IJ22=Sheet6!$C$5,Sheet6!$C$5,IF(Tim!IJ22=Sheet6!$C$6,Sheet6!$C$6,IF(Tim!IJ22=Sheet6!$C$7,Sheet6!$C$7,IF(Tim!IJ22=Sheet6!$C$8,Sheet6!$C$8,"")))))))</f>
        <v/>
      </c>
      <c r="CU20" s="53" t="str">
        <f>IF(Tim!IQ22=Sheet6!$C$2,Sheet6!$C$2,IF(Tim!IQ22=Sheet6!$C$3,Sheet6!$C$3,IF(Tim!IQ22=Sheet6!$C$4,Sheet6!$C$4,IF(Tim!IQ22=Sheet6!$C$5,Sheet6!$C$5,IF(Tim!IQ22=Sheet6!$C$6,Sheet6!$C$6,IF(Tim!IQ22=Sheet6!$C$7,Sheet6!$C$7,IF(Tim!IQ22=Sheet6!$C$8,Sheet6!$C$8,"")))))))</f>
        <v/>
      </c>
      <c r="CV20" s="53" t="str">
        <f>IF(Tim!IR22=Sheet6!$C$2,Sheet6!$C$2,IF(Tim!IR22=Sheet6!$C$3,Sheet6!$C$3,IF(Tim!IR22=Sheet6!$C$4,Sheet6!$C$4,IF(Tim!IR22=Sheet6!$C$5,Sheet6!$C$5,IF(Tim!IR22=Sheet6!$C$6,Sheet6!$C$6,IF(Tim!IR22=Sheet6!$C$7,Sheet6!$C$7,IF(Tim!IR22=Sheet6!$C$8,Sheet6!$C$8,"")))))))</f>
        <v/>
      </c>
      <c r="CW20" s="53" t="str">
        <f>IF(Tim!IZ22=Sheet6!$C$2,Sheet6!$C$2,IF(Tim!IZ22=Sheet6!$C$3,Sheet6!$C$3,IF(Tim!IZ22=Sheet6!$C$4,Sheet6!$C$4,IF(Tim!IZ22=Sheet6!$C$5,Sheet6!$C$5,IF(Tim!IZ22=Sheet6!$C$6,Sheet6!$C$6,IF(Tim!IZ22=Sheet6!$C$7,Sheet6!$C$7,IF(Tim!IZ22=Sheet6!$C$8,Sheet6!$C$8,"")))))))</f>
        <v/>
      </c>
      <c r="CX20" s="53" t="str">
        <f>IF(Tim!JA22=Sheet6!$C$2,Sheet6!$C$2,IF(Tim!JA22=Sheet6!$C$3,Sheet6!$C$3,IF(Tim!JA22=Sheet6!$C$4,Sheet6!$C$4,IF(Tim!JA22=Sheet6!$C$5,Sheet6!$C$5,IF(Tim!JA22=Sheet6!$C$6,Sheet6!$C$6,IF(Tim!JA22=Sheet6!$C$7,Sheet6!$C$7,IF(Tim!JA22=Sheet6!$C$8,Sheet6!$C$8,"")))))))</f>
        <v/>
      </c>
      <c r="CY20" s="53" t="str">
        <f>IF(Tim!JB22=Sheet6!$C$2,Sheet6!$C$2,IF(Tim!JB22=Sheet6!$C$3,Sheet6!$C$3,IF(Tim!JB22=Sheet6!$C$4,Sheet6!$C$4,IF(Tim!JB22=Sheet6!$C$5,Sheet6!$C$5,IF(Tim!JB22=Sheet6!$C$6,Sheet6!$C$6,IF(Tim!JB22=Sheet6!$C$7,Sheet6!$C$7,IF(Tim!JB22=Sheet6!$C$8,Sheet6!$C$8,"")))))))</f>
        <v/>
      </c>
      <c r="CZ20" s="53" t="str">
        <f>IF(Tim!JC22=Sheet6!$C$2,Sheet6!$C$2,IF(Tim!JC22=Sheet6!$C$3,Sheet6!$C$3,IF(Tim!JC22=Sheet6!$C$4,Sheet6!$C$4,IF(Tim!JC22=Sheet6!$C$5,Sheet6!$C$5,IF(Tim!JC22=Sheet6!$C$6,Sheet6!$C$6,IF(Tim!JC22=Sheet6!$C$7,Sheet6!$C$7,IF(Tim!JC22=Sheet6!$C$8,Sheet6!$C$8,"")))))))</f>
        <v/>
      </c>
      <c r="DA20" s="53" t="str">
        <f>IF(Tim!JD22=Sheet6!$C$2,Sheet6!$C$2,IF(Tim!JD22=Sheet6!$C$3,Sheet6!$C$3,IF(Tim!JD22=Sheet6!$C$4,Sheet6!$C$4,IF(Tim!JD22=Sheet6!$C$5,Sheet6!$C$5,IF(Tim!JD22=Sheet6!$C$6,Sheet6!$C$6,IF(Tim!JD22=Sheet6!$C$7,Sheet6!$C$7,IF(Tim!JD22=Sheet6!$C$8,Sheet6!$C$8,"")))))))</f>
        <v/>
      </c>
      <c r="DB20" s="53" t="str">
        <f>IF(Tim!JE22=Sheet6!$C$2,Sheet6!$C$2,IF(Tim!JE22=Sheet6!$C$3,Sheet6!$C$3,IF(Tim!JE22=Sheet6!$C$4,Sheet6!$C$4,IF(Tim!JE22=Sheet6!$C$5,Sheet6!$C$5,IF(Tim!JE22=Sheet6!$C$6,Sheet6!$C$6,IF(Tim!JE22=Sheet6!$C$7,Sheet6!$C$7,IF(Tim!JE22=Sheet6!$C$8,Sheet6!$C$8,"")))))))</f>
        <v/>
      </c>
      <c r="DC20" s="53" t="str">
        <f>IF(Tim!JI22=Sheet6!$C$2,Sheet6!$C$2,IF(Tim!JI22=Sheet6!$C$3,Sheet6!$C$3,IF(Tim!JI22=Sheet6!$C$4,Sheet6!$C$4,IF(Tim!JI22=Sheet6!$C$5,Sheet6!$C$5,IF(Tim!JI22=Sheet6!$C$6,Sheet6!$C$6,IF(Tim!JI22=Sheet6!$C$7,Sheet6!$C$7,IF(Tim!JI22=Sheet6!$C$8,Sheet6!$C$8,"")))))))</f>
        <v/>
      </c>
      <c r="DD20" s="54" t="str">
        <f>IF(Tim!JJ22=Sheet6!$C$2,Sheet6!$C$2,IF(Tim!JJ22=Sheet6!$C$3,Sheet6!$C$3,IF(Tim!JJ22=Sheet6!$C$4,Sheet6!$C$4,IF(Tim!JJ22=Sheet6!$C$5,Sheet6!$C$5,IF(Tim!JJ22=Sheet6!$C$6,Sheet6!$C$6,IF(Tim!JJ22=Sheet6!$C$7,Sheet6!$C$7,IF(Tim!JJ22=Sheet6!$C$8,Sheet6!$C$8,"")))))))</f>
        <v/>
      </c>
      <c r="DE20" s="54" t="str">
        <f>IF(Tim!JK22=Sheet6!$C$2,Sheet6!$C$2,IF(Tim!JK22=Sheet6!$C$3,Sheet6!$C$3,IF(Tim!JK22=Sheet6!$C$4,Sheet6!$C$4,IF(Tim!JK22=Sheet6!$C$5,Sheet6!$C$5,IF(Tim!JK22=Sheet6!$C$6,Sheet6!$C$6,IF(Tim!JK22=Sheet6!$C$7,Sheet6!$C$7,IF(Tim!JK22=Sheet6!$C$8,Sheet6!$C$8,"")))))))</f>
        <v/>
      </c>
      <c r="DF20" s="54" t="str">
        <f>IF(Tim!JL22=Sheet6!$C$2,Sheet6!$C$2,IF(Tim!JL22=Sheet6!$C$3,Sheet6!$C$3,IF(Tim!JL22=Sheet6!$C$4,Sheet6!$C$4,IF(Tim!JL22=Sheet6!$C$5,Sheet6!$C$5,IF(Tim!JL22=Sheet6!$C$6,Sheet6!$C$6,IF(Tim!JL22=Sheet6!$C$7,Sheet6!$C$7,IF(Tim!JL22=Sheet6!$C$8,Sheet6!$C$8,"")))))))</f>
        <v/>
      </c>
      <c r="DG20" s="55" t="str">
        <f>IF(Tim!JM22=Sheet6!$C$2,Sheet6!$C$2,IF(Tim!JM22=Sheet6!$C$3,Sheet6!$C$3,IF(Tim!JM22=Sheet6!$C$4,Sheet6!$C$4,IF(Tim!JM22=Sheet6!$C$5,Sheet6!$C$5,IF(Tim!JM22=Sheet6!$C$6,Sheet6!$C$6,IF(Tim!JM22=Sheet6!$C$7,Sheet6!$C$7,IF(Tim!JM22=Sheet6!$C$8,Sheet6!$C$8,"")))))))</f>
        <v/>
      </c>
      <c r="DH20" s="56" t="str">
        <f>IF(Tim!JN22=Sheet6!$C$2,Sheet6!$C$2,IF(Tim!JN22=Sheet6!$C$3,Sheet6!$C$3,IF(Tim!JN22=Sheet6!$C$4,Sheet6!$C$4,IF(Tim!JN22=Sheet6!$C$5,Sheet6!$C$5,IF(Tim!JN22=Sheet6!$C$6,Sheet6!$C$6,IF(Tim!JN22=Sheet6!$C$7,Sheet6!$C$7,IF(Tim!JN22=Sheet6!$C$8,Sheet6!$C$8,"")))))))</f>
        <v/>
      </c>
      <c r="DI20" s="57" t="str">
        <f>IF(Tim!JS22=Sheet6!$C$2,Sheet6!$C$2,IF(Tim!JS22=Sheet6!$C$3,Sheet6!$C$3,IF(Tim!JS22=Sheet6!$C$4,Sheet6!$C$4,IF(Tim!JS22=Sheet6!$C$5,Sheet6!$C$5,IF(Tim!JS22=Sheet6!$C$6,Sheet6!$C$6,IF(Tim!JS22=Sheet6!$C$7,Sheet6!$C$7,IF(Tim!JS22=Sheet6!$C$8,Sheet6!$C$8,"")))))))</f>
        <v/>
      </c>
      <c r="DJ20" s="57" t="str">
        <f>IF(Tim!KB22=Sheet6!$C$2,Sheet6!$C$2,IF(Tim!KB22=Sheet6!$C$3,Sheet6!$C$3,IF(Tim!KB22=Sheet6!$C$4,Sheet6!$C$4,IF(Tim!KB22=Sheet6!$C$5,Sheet6!$C$5,IF(Tim!KB22=Sheet6!$C$6,Sheet6!$C$6,IF(Tim!KB22=Sheet6!$C$7,Sheet6!$C$7,IF(Tim!KB22=Sheet6!$C$8,Sheet6!$C$8,"")))))))</f>
        <v/>
      </c>
      <c r="DK20" s="53" t="str">
        <f>IF(Tim!KI22=Sheet6!$C$2,Sheet6!$C$2,IF(Tim!KI22=Sheet6!$C$3,Sheet6!$C$3,IF(Tim!KI22=Sheet6!$C$4,Sheet6!$C$4,IF(Tim!KI22=Sheet6!$C$5,Sheet6!$C$5,IF(Tim!KI22=Sheet6!$C$6,Sheet6!$C$6,IF(Tim!KI22=Sheet6!$C$7,Sheet6!$C$7,IF(Tim!KI22=Sheet6!$C$8,Sheet6!$C$8,"")))))))</f>
        <v/>
      </c>
      <c r="DL20" s="53" t="str">
        <f>IF(Tim!KJ22=Sheet6!$C$2,Sheet6!$C$2,IF(Tim!KJ22=Sheet6!$C$3,Sheet6!$C$3,IF(Tim!KJ22=Sheet6!$C$4,Sheet6!$C$4,IF(Tim!KJ22=Sheet6!$C$5,Sheet6!$C$5,IF(Tim!KJ22=Sheet6!$C$6,Sheet6!$C$6,IF(Tim!KJ22=Sheet6!$C$7,Sheet6!$C$7,IF(Tim!KJ22=Sheet6!$C$8,Sheet6!$C$8,"")))))))</f>
        <v/>
      </c>
      <c r="DM20" s="53" t="str">
        <f>IF(Tim!KR22=Sheet6!$C$2,Sheet6!$C$2,IF(Tim!KR22=Sheet6!$C$3,Sheet6!$C$3,IF(Tim!KR22=Sheet6!$C$4,Sheet6!$C$4,IF(Tim!KR22=Sheet6!$C$5,Sheet6!$C$5,IF(Tim!KR22=Sheet6!$C$6,Sheet6!$C$6,IF(Tim!KR22=Sheet6!$C$7,Sheet6!$C$7,IF(Tim!KR22=Sheet6!$C$8,Sheet6!$C$8,"")))))))</f>
        <v/>
      </c>
      <c r="DN20" s="53" t="str">
        <f>IF(Tim!KS22=Sheet6!$C$2,Sheet6!$C$2,IF(Tim!KS22=Sheet6!$C$3,Sheet6!$C$3,IF(Tim!KS22=Sheet6!$C$4,Sheet6!$C$4,IF(Tim!KS22=Sheet6!$C$5,Sheet6!$C$5,IF(Tim!KS22=Sheet6!$C$6,Sheet6!$C$6,IF(Tim!KS22=Sheet6!$C$7,Sheet6!$C$7,IF(Tim!KS22=Sheet6!$C$8,Sheet6!$C$8,"")))))))</f>
        <v/>
      </c>
      <c r="DO20" s="53" t="str">
        <f>IF(Tim!KT22=Sheet6!$C$2,Sheet6!$C$2,IF(Tim!KT22=Sheet6!$C$3,Sheet6!$C$3,IF(Tim!KT22=Sheet6!$C$4,Sheet6!$C$4,IF(Tim!KT22=Sheet6!$C$5,Sheet6!$C$5,IF(Tim!KT22=Sheet6!$C$6,Sheet6!$C$6,IF(Tim!KT22=Sheet6!$C$7,Sheet6!$C$7,IF(Tim!KT22=Sheet6!$C$8,Sheet6!$C$8,"")))))))</f>
        <v/>
      </c>
      <c r="DP20" s="53" t="str">
        <f>IF(Tim!KU22=Sheet6!$C$2,Sheet6!$C$2,IF(Tim!KU22=Sheet6!$C$3,Sheet6!$C$3,IF(Tim!KU22=Sheet6!$C$4,Sheet6!$C$4,IF(Tim!KU22=Sheet6!$C$5,Sheet6!$C$5,IF(Tim!KU22=Sheet6!$C$6,Sheet6!$C$6,IF(Tim!KU22=Sheet6!$C$7,Sheet6!$C$7,IF(Tim!KU22=Sheet6!$C$8,Sheet6!$C$8,"")))))))</f>
        <v/>
      </c>
      <c r="DQ20" s="53" t="str">
        <f>IF(Tim!KV22=Sheet6!$C$2,Sheet6!$C$2,IF(Tim!KV22=Sheet6!$C$3,Sheet6!$C$3,IF(Tim!KV22=Sheet6!$C$4,Sheet6!$C$4,IF(Tim!KV22=Sheet6!$C$5,Sheet6!$C$5,IF(Tim!KV22=Sheet6!$C$6,Sheet6!$C$6,IF(Tim!KV22=Sheet6!$C$7,Sheet6!$C$7,IF(Tim!KV22=Sheet6!$C$8,Sheet6!$C$8,"")))))))</f>
        <v/>
      </c>
      <c r="DR20" s="53" t="str">
        <f>IF(Tim!KW22=Sheet6!$C$2,Sheet6!$C$2,IF(Tim!KW22=Sheet6!$C$3,Sheet6!$C$3,IF(Tim!KW22=Sheet6!$C$4,Sheet6!$C$4,IF(Tim!KW22=Sheet6!$C$5,Sheet6!$C$5,IF(Tim!KW22=Sheet6!$C$6,Sheet6!$C$6,IF(Tim!KW22=Sheet6!$C$7,Sheet6!$C$7,IF(Tim!KW22=Sheet6!$C$8,Sheet6!$C$8,"")))))))</f>
        <v/>
      </c>
      <c r="DS20" s="53" t="str">
        <f>IF(Tim!LA22=Sheet6!$C$2,Sheet6!$C$2,IF(Tim!LA22=Sheet6!$C$3,Sheet6!$C$3,IF(Tim!LA22=Sheet6!$C$4,Sheet6!$C$4,IF(Tim!LA22=Sheet6!$C$5,Sheet6!$C$5,IF(Tim!LA22=Sheet6!$C$6,Sheet6!$C$6,IF(Tim!LA22=Sheet6!$C$7,Sheet6!$C$7,IF(Tim!LA22=Sheet6!$C$8,Sheet6!$C$8,"")))))))</f>
        <v/>
      </c>
      <c r="DT20" s="54" t="str">
        <f>IF(Tim!LB22=Sheet6!$C$2,Sheet6!$C$2,IF(Tim!LB22=Sheet6!$C$3,Sheet6!$C$3,IF(Tim!LB22=Sheet6!$C$4,Sheet6!$C$4,IF(Tim!LB22=Sheet6!$C$5,Sheet6!$C$5,IF(Tim!LB22=Sheet6!$C$6,Sheet6!$C$6,IF(Tim!LB22=Sheet6!$C$7,Sheet6!$C$7,IF(Tim!LB22=Sheet6!$C$8,Sheet6!$C$8,"")))))))</f>
        <v/>
      </c>
      <c r="DU20" s="54" t="str">
        <f>IF(Tim!LC22=Sheet6!$C$2,Sheet6!$C$2,IF(Tim!LC22=Sheet6!$C$3,Sheet6!$C$3,IF(Tim!LC22=Sheet6!$C$4,Sheet6!$C$4,IF(Tim!LC22=Sheet6!$C$5,Sheet6!$C$5,IF(Tim!LC22=Sheet6!$C$6,Sheet6!$C$6,IF(Tim!LC22=Sheet6!$C$7,Sheet6!$C$7,IF(Tim!LC22=Sheet6!$C$8,Sheet6!$C$8,"")))))))</f>
        <v/>
      </c>
      <c r="DV20" s="54" t="str">
        <f>IF(Tim!LD22=Sheet6!$C$2,Sheet6!$C$2,IF(Tim!LD22=Sheet6!$C$3,Sheet6!$C$3,IF(Tim!LD22=Sheet6!$C$4,Sheet6!$C$4,IF(Tim!LD22=Sheet6!$C$5,Sheet6!$C$5,IF(Tim!LD22=Sheet6!$C$6,Sheet6!$C$6,IF(Tim!LD22=Sheet6!$C$7,Sheet6!$C$7,IF(Tim!LD22=Sheet6!$C$8,Sheet6!$C$8,"")))))))</f>
        <v/>
      </c>
      <c r="DW20" s="55" t="str">
        <f>IF(Tim!LE22=Sheet6!$C$2,Sheet6!$C$2,IF(Tim!LE22=Sheet6!$C$3,Sheet6!$C$3,IF(Tim!LE22=Sheet6!$C$4,Sheet6!$C$4,IF(Tim!LE22=Sheet6!$C$5,Sheet6!$C$5,IF(Tim!LE22=Sheet6!$C$6,Sheet6!$C$6,IF(Tim!LE22=Sheet6!$C$7,Sheet6!$C$7,IF(Tim!LE22=Sheet6!$C$8,Sheet6!$C$8,"")))))))</f>
        <v/>
      </c>
      <c r="DX20" s="52">
        <v>0.44791666666666602</v>
      </c>
    </row>
    <row r="21" spans="2:128" ht="10.5" customHeight="1">
      <c r="B21" s="51">
        <v>0.25</v>
      </c>
      <c r="C21" s="51">
        <v>0.25</v>
      </c>
      <c r="D21" s="51">
        <v>0.25</v>
      </c>
      <c r="E21" s="52">
        <v>0.45833333333333298</v>
      </c>
      <c r="F21" s="53" t="str">
        <f>IF(Tim!F23=Sheet6!$C$2,Sheet6!$C$2,IF(Tim!F23=Sheet6!$C$3,Sheet6!$C$3,IF(Tim!F23=Sheet6!$C$4,Sheet6!$C$4,IF(Tim!F23=Sheet6!$C$5,Sheet6!$C$5,IF(Tim!F23=Sheet6!$C$6,Sheet6!$C$6,IF(Tim!F23=Sheet6!$C$7,Sheet6!$C$7,IF(Tim!F23=Sheet6!$C$8,Sheet6!$C$8,"")))))))</f>
        <v/>
      </c>
      <c r="G21" s="53" t="str">
        <f>IF(Tim!G23=Sheet6!$C$2,Sheet6!$C$2,IF(Tim!G23=Sheet6!$C$3,Sheet6!$C$3,IF(Tim!G23=Sheet6!$C$4,Sheet6!$C$4,IF(Tim!G23=Sheet6!$C$5,Sheet6!$C$5,IF(Tim!G23=Sheet6!$C$6,Sheet6!$C$6,IF(Tim!G23=Sheet6!$C$7,Sheet6!$C$7,IF(Tim!G23=Sheet6!$C$8,Sheet6!$C$8,"")))))))</f>
        <v/>
      </c>
      <c r="H21" s="53" t="str">
        <f>IF(Tim!H23=Sheet6!$C$2,Sheet6!$C$2,IF(Tim!H23=Sheet6!$C$3,Sheet6!$C$3,IF(Tim!H23=Sheet6!$C$4,Sheet6!$C$4,IF(Tim!H23=Sheet6!$C$5,Sheet6!$C$5,IF(Tim!H23=Sheet6!$C$6,Sheet6!$C$6,IF(Tim!H23=Sheet6!$C$7,Sheet6!$C$7,IF(Tim!H23=Sheet6!$C$8,Sheet6!$C$8,"")))))))</f>
        <v/>
      </c>
      <c r="I21" s="53" t="str">
        <f>IF(Tim!L23=Sheet6!$C$2,Sheet6!$C$2,IF(Tim!L23=Sheet6!$C$3,Sheet6!$C$3,IF(Tim!L23=Sheet6!$C$4,Sheet6!$C$4,IF(Tim!L23=Sheet6!$C$5,Sheet6!$C$5,IF(Tim!L23=Sheet6!$C$6,Sheet6!$C$6,IF(Tim!L23=Sheet6!$C$7,Sheet6!$C$7,IF(Tim!L23=Sheet6!$C$8,Sheet6!$C$8,"")))))))</f>
        <v/>
      </c>
      <c r="J21" s="53" t="str">
        <f>IF(Tim!T23=Sheet6!$C$2,Sheet6!$C$2,IF(Tim!T23=Sheet6!$C$3,Sheet6!$C$3,IF(Tim!T23=Sheet6!$C$4,Sheet6!$C$4,IF(Tim!T23=Sheet6!$C$5,Sheet6!$C$5,IF(Tim!T23=Sheet6!$C$6,Sheet6!$C$6,IF(Tim!T23=Sheet6!$C$7,Sheet6!$C$7,IF(Tim!T23=Sheet6!$C$8,Sheet6!$C$8,"")))))))</f>
        <v/>
      </c>
      <c r="K21" s="53" t="str">
        <f>IF(Tim!AB23=Sheet6!$C$2,Sheet6!$C$2,IF(Tim!AB23=Sheet6!$C$3,Sheet6!$C$3,IF(Tim!AB23=Sheet6!$C$4,Sheet6!$C$4,IF(Tim!AB23=Sheet6!$C$5,Sheet6!$C$5,IF(Tim!AB23=Sheet6!$C$6,Sheet6!$C$6,IF(Tim!AB23=Sheet6!$C$7,Sheet6!$C$7,IF(Tim!AB23=Sheet6!$C$8,Sheet6!$C$8,"")))))))</f>
        <v/>
      </c>
      <c r="L21" s="53" t="str">
        <f>IF(Tim!AC23=Sheet6!$C$2,Sheet6!$C$2,IF(Tim!AC23=Sheet6!$C$3,Sheet6!$C$3,IF(Tim!AC23=Sheet6!$C$4,Sheet6!$C$4,IF(Tim!AC23=Sheet6!$C$5,Sheet6!$C$5,IF(Tim!AC23=Sheet6!$C$6,Sheet6!$C$6,IF(Tim!AC23=Sheet6!$C$7,Sheet6!$C$7,IF(Tim!AC23=Sheet6!$C$8,Sheet6!$C$8,"")))))))</f>
        <v/>
      </c>
      <c r="M21" s="53" t="str">
        <f>IF(Tim!AJ23=Sheet6!$C$2,Sheet6!$C$2,IF(Tim!AJ23=Sheet6!$C$3,Sheet6!$C$3,IF(Tim!AJ23=Sheet6!$C$4,Sheet6!$C$4,IF(Tim!AJ23=Sheet6!$C$5,Sheet6!$C$5,IF(Tim!AJ23=Sheet6!$C$6,Sheet6!$C$6,IF(Tim!AJ23=Sheet6!$C$7,Sheet6!$C$7,IF(Tim!AJ23=Sheet6!$C$8,Sheet6!$C$8,"")))))))</f>
        <v/>
      </c>
      <c r="N21" s="53" t="str">
        <f>IF(Tim!AK23=Sheet6!$C$2,Sheet6!$C$2,IF(Tim!AK23=Sheet6!$C$3,Sheet6!$C$3,IF(Tim!AK23=Sheet6!$C$4,Sheet6!$C$4,IF(Tim!AK23=Sheet6!$C$5,Sheet6!$C$5,IF(Tim!AK23=Sheet6!$C$6,Sheet6!$C$6,IF(Tim!AK23=Sheet6!$C$7,Sheet6!$C$7,IF(Tim!AK23=Sheet6!$C$8,Sheet6!$C$8,"")))))))</f>
        <v/>
      </c>
      <c r="O21" s="53" t="str">
        <f>IF(Tim!AL23=Sheet6!$C$2,Sheet6!$C$2,IF(Tim!AL23=Sheet6!$C$3,Sheet6!$C$3,IF(Tim!AL23=Sheet6!$C$4,Sheet6!$C$4,IF(Tim!AL23=Sheet6!$C$5,Sheet6!$C$5,IF(Tim!AL23=Sheet6!$C$6,Sheet6!$C$6,IF(Tim!AL23=Sheet6!$C$7,Sheet6!$C$7,IF(Tim!AL23=Sheet6!$C$8,Sheet6!$C$8,"")))))))</f>
        <v/>
      </c>
      <c r="P21" s="53" t="str">
        <f>IF(Tim!AN23=Sheet6!$C$2,Sheet6!$C$2,IF(Tim!AN23=Sheet6!$C$3,Sheet6!$C$3,IF(Tim!AN23=Sheet6!$C$4,Sheet6!$C$4,IF(Tim!AN23=Sheet6!$C$5,Sheet6!$C$5,IF(Tim!AN23=Sheet6!$C$6,Sheet6!$C$6,IF(Tim!AN23=Sheet6!$C$7,Sheet6!$C$7,IF(Tim!AN23=Sheet6!$C$8,Sheet6!$C$8,"")))))))</f>
        <v/>
      </c>
      <c r="Q21" s="53" t="str">
        <f>IF(Tim!AO23=Sheet6!$C$2,Sheet6!$C$2,IF(Tim!AO23=Sheet6!$C$3,Sheet6!$C$3,IF(Tim!AO23=Sheet6!$C$4,Sheet6!$C$4,IF(Tim!AO23=Sheet6!$C$5,Sheet6!$C$5,IF(Tim!AO23=Sheet6!$C$6,Sheet6!$C$6,IF(Tim!AO23=Sheet6!$C$7,Sheet6!$C$7,IF(Tim!AO23=Sheet6!$C$8,Sheet6!$C$8,"")))))))</f>
        <v/>
      </c>
      <c r="R21" s="53" t="str">
        <f>IF(Tim!AP23=Sheet6!$C$2,Sheet6!$C$2,IF(Tim!AP23=Sheet6!$C$3,Sheet6!$C$3,IF(Tim!AP23=Sheet6!$C$4,Sheet6!$C$4,IF(Tim!AP23=Sheet6!$C$5,Sheet6!$C$5,IF(Tim!AP23=Sheet6!$C$6,Sheet6!$C$6,IF(Tim!AP23=Sheet6!$C$7,Sheet6!$C$7,IF(Tim!AP23=Sheet6!$C$8,Sheet6!$C$8,"")))))))</f>
        <v/>
      </c>
      <c r="S21" s="53" t="str">
        <f>IF(Tim!AT23=Sheet6!$C$2,Sheet6!$C$2,IF(Tim!AT23=Sheet6!$C$3,Sheet6!$C$3,IF(Tim!AT23=Sheet6!$C$4,Sheet6!$C$4,IF(Tim!AT23=Sheet6!$C$5,Sheet6!$C$5,IF(Tim!AT23=Sheet6!$C$6,Sheet6!$C$6,IF(Tim!AT23=Sheet6!$C$7,Sheet6!$C$7,IF(Tim!AT23=Sheet6!$C$8,Sheet6!$C$8,"")))))))</f>
        <v/>
      </c>
      <c r="T21" s="54" t="str">
        <f>IF(Tim!AU23=Sheet6!$C$2,Sheet6!$C$2,IF(Tim!AU23=Sheet6!$C$3,Sheet6!$C$3,IF(Tim!AU23=Sheet6!$C$4,Sheet6!$C$4,IF(Tim!AU23=Sheet6!$C$5,Sheet6!$C$5,IF(Tim!AU23=Sheet6!$C$6,Sheet6!$C$6,IF(Tim!AU23=Sheet6!$C$7,Sheet6!$C$7,IF(Tim!AU23=Sheet6!$C$8,Sheet6!$C$8,"")))))))</f>
        <v/>
      </c>
      <c r="U21" s="54" t="str">
        <f>IF(Tim!AV23=Sheet6!$C$2,Sheet6!$C$2,IF(Tim!AV23=Sheet6!$C$3,Sheet6!$C$3,IF(Tim!AV23=Sheet6!$C$4,Sheet6!$C$4,IF(Tim!AV23=Sheet6!$C$5,Sheet6!$C$5,IF(Tim!AV23=Sheet6!$C$6,Sheet6!$C$6,IF(Tim!AV23=Sheet6!$C$7,Sheet6!$C$7,IF(Tim!AV23=Sheet6!$C$8,Sheet6!$C$8,"")))))))</f>
        <v/>
      </c>
      <c r="V21" s="54" t="str">
        <f>IF(Tim!AW23=Sheet6!$C$2,Sheet6!$C$2,IF(Tim!AW23=Sheet6!$C$3,Sheet6!$C$3,IF(Tim!AW23=Sheet6!$C$4,Sheet6!$C$4,IF(Tim!AW23=Sheet6!$C$5,Sheet6!$C$5,IF(Tim!AW23=Sheet6!$C$6,Sheet6!$C$6,IF(Tim!AW23=Sheet6!$C$7,Sheet6!$C$7,IF(Tim!AW23=Sheet6!$C$8,Sheet6!$C$8,"")))))))</f>
        <v/>
      </c>
      <c r="W21" s="55" t="str">
        <f>IF(Tim!AX23=Sheet6!$C$2,Sheet6!$C$2,IF(Tim!AX23=Sheet6!$C$3,Sheet6!$C$3,IF(Tim!AX23=Sheet6!$C$4,Sheet6!$C$4,IF(Tim!AX23=Sheet6!$C$5,Sheet6!$C$5,IF(Tim!AX23=Sheet6!$C$6,Sheet6!$C$6,IF(Tim!AX23=Sheet6!$C$7,Sheet6!$C$7,IF(Tim!AX23=Sheet6!$C$8,Sheet6!$C$8,"")))))))</f>
        <v/>
      </c>
      <c r="X21" s="53" t="str">
        <f>IF(Tim!AY23=Sheet6!$C$2,Sheet6!$C$2,IF(Tim!AY23=Sheet6!$C$3,Sheet6!$C$3,IF(Tim!AY23=Sheet6!$C$4,Sheet6!$C$4,IF(Tim!AY23=Sheet6!$C$5,Sheet6!$C$5,IF(Tim!AY23=Sheet6!$C$6,Sheet6!$C$6,IF(Tim!AY23=Sheet6!$C$7,Sheet6!$C$7,IF(Tim!AY23=Sheet6!$C$8,Sheet6!$C$8,"")))))))</f>
        <v/>
      </c>
      <c r="Y21" s="53" t="str">
        <f>IF(Tim!AZ23=Sheet6!$C$2,Sheet6!$C$2,IF(Tim!AZ23=Sheet6!$C$3,Sheet6!$C$3,IF(Tim!AZ23=Sheet6!$C$4,Sheet6!$C$4,IF(Tim!AZ23=Sheet6!$C$5,Sheet6!$C$5,IF(Tim!AZ23=Sheet6!$C$6,Sheet6!$C$6,IF(Tim!AZ23=Sheet6!$C$7,Sheet6!$C$7,IF(Tim!AZ23=Sheet6!$C$8,Sheet6!$C$8,"")))))))</f>
        <v/>
      </c>
      <c r="Z21" s="57" t="str">
        <f>IF(Tim!BD23=Sheet6!$C$2,Sheet6!$C$2,IF(Tim!BD23=Sheet6!$C$3,Sheet6!$C$3,IF(Tim!BD23=Sheet6!$C$4,Sheet6!$C$4,IF(Tim!BD23=Sheet6!$C$5,Sheet6!$C$5,IF(Tim!BD23=Sheet6!$C$6,Sheet6!$C$6,IF(Tim!BD23=Sheet6!$C$7,Sheet6!$C$7,IF(Tim!BD23=Sheet6!$C$8,Sheet6!$C$8,"")))))))</f>
        <v/>
      </c>
      <c r="AA21" s="53" t="str">
        <f>IF(Tim!BE23=Sheet6!$C$2,Sheet6!$C$2,IF(Tim!BE23=Sheet6!$C$3,Sheet6!$C$3,IF(Tim!BE23=Sheet6!$C$4,Sheet6!$C$4,IF(Tim!BE23=Sheet6!$C$5,Sheet6!$C$5,IF(Tim!BE23=Sheet6!$C$6,Sheet6!$C$6,IF(Tim!BE23=Sheet6!$C$7,Sheet6!$C$7,IF(Tim!BE23=Sheet6!$C$8,Sheet6!$C$8,"")))))))</f>
        <v/>
      </c>
      <c r="AB21" s="53" t="str">
        <f>IF(Tim!BL23=Sheet6!$C$2,Sheet6!$C$2,IF(Tim!BL23=Sheet6!$C$3,Sheet6!$C$3,IF(Tim!BL23=Sheet6!$C$4,Sheet6!$C$4,IF(Tim!BL23=Sheet6!$C$5,Sheet6!$C$5,IF(Tim!BL23=Sheet6!$C$6,Sheet6!$C$6,IF(Tim!BL23=Sheet6!$C$7,Sheet6!$C$7,IF(Tim!BL23=Sheet6!$C$8,Sheet6!$C$8,"")))))))</f>
        <v/>
      </c>
      <c r="AC21" s="53" t="str">
        <f>IF(Tim!BT23=Sheet6!$C$2,Sheet6!$C$2,IF(Tim!BT23=Sheet6!$C$3,Sheet6!$C$3,IF(Tim!BT23=Sheet6!$C$4,Sheet6!$C$4,IF(Tim!BT23=Sheet6!$C$5,Sheet6!$C$5,IF(Tim!BT23=Sheet6!$C$6,Sheet6!$C$6,IF(Tim!BT23=Sheet6!$C$7,Sheet6!$C$7,IF(Tim!BT23=Sheet6!$C$8,Sheet6!$C$8,"")))))))</f>
        <v/>
      </c>
      <c r="AD21" s="181" t="str">
        <f>IF(Tim!BU23=Sheet6!$C$2,Sheet6!$C$2,IF(Tim!BU23=Sheet6!$C$3,Sheet6!$C$3,IF(Tim!BU23=Sheet6!$C$4,Sheet6!$C$4,IF(Tim!BU23=Sheet6!$C$5,Sheet6!$C$5,IF(Tim!BU23=Sheet6!$C$6,Sheet6!$C$6,IF(Tim!BU23=Sheet6!$C$7,Sheet6!$C$7,IF(Tim!BU23=Sheet6!$C$8,Sheet6!$C$8,"")))))))</f>
        <v/>
      </c>
      <c r="AE21" s="181" t="str">
        <f>IF(Tim!CB23=Sheet6!$C$2,Sheet6!$C$2,IF(Tim!CB23=Sheet6!$C$3,Sheet6!$C$3,IF(Tim!CB23=Sheet6!$C$4,Sheet6!$C$4,IF(Tim!CB23=Sheet6!$C$5,Sheet6!$C$5,IF(Tim!CB23=Sheet6!$C$6,Sheet6!$C$6,IF(Tim!CB23=Sheet6!$C$7,Sheet6!$C$7,IF(Tim!CB23=Sheet6!$C$8,Sheet6!$C$8,"")))))))</f>
        <v/>
      </c>
      <c r="AF21" s="53" t="str">
        <f>IF(Tim!CD23=Sheet6!$C$2,Sheet6!$C$2,IF(Tim!CD23=Sheet6!$C$3,Sheet6!$C$3,IF(Tim!CD23=Sheet6!$C$4,Sheet6!$C$4,IF(Tim!CD23=Sheet6!$C$5,Sheet6!$C$5,IF(Tim!CD23=Sheet6!$C$6,Sheet6!$C$6,IF(Tim!CD23=Sheet6!$C$7,Sheet6!$C$7,IF(Tim!CD23=Sheet6!$C$8,Sheet6!$C$8,"")))))))</f>
        <v/>
      </c>
      <c r="AG21" s="53" t="str">
        <f>IF(Tim!CE23=Sheet6!$C$2,Sheet6!$C$2,IF(Tim!CE23=Sheet6!$C$3,Sheet6!$C$3,IF(Tim!CE23=Sheet6!$C$4,Sheet6!$C$4,IF(Tim!CE23=Sheet6!$C$5,Sheet6!$C$5,IF(Tim!CE23=Sheet6!$C$6,Sheet6!$C$6,IF(Tim!CE23=Sheet6!$C$7,Sheet6!$C$7,IF(Tim!CE23=Sheet6!$C$8,Sheet6!$C$8,"")))))))</f>
        <v/>
      </c>
      <c r="AH21" s="53" t="str">
        <f>IF(Tim!CF23=Sheet6!$C$2,Sheet6!$C$2,IF(Tim!CF23=Sheet6!$C$3,Sheet6!$C$3,IF(Tim!CF23=Sheet6!$C$4,Sheet6!$C$4,IF(Tim!CF23=Sheet6!$C$5,Sheet6!$C$5,IF(Tim!CF23=Sheet6!$C$6,Sheet6!$C$6,IF(Tim!CF23=Sheet6!$C$7,Sheet6!$C$7,IF(Tim!CF23=Sheet6!$C$8,Sheet6!$C$8,"")))))))</f>
        <v/>
      </c>
      <c r="AI21" s="53" t="str">
        <f>IF(Tim!CG23=Sheet6!$C$2,Sheet6!$C$2,IF(Tim!CG23=Sheet6!$C$3,Sheet6!$C$3,IF(Tim!CG23=Sheet6!$C$4,Sheet6!$C$4,IF(Tim!CG23=Sheet6!$C$5,Sheet6!$C$5,IF(Tim!CG23=Sheet6!$C$6,Sheet6!$C$6,IF(Tim!CG23=Sheet6!$C$7,Sheet6!$C$7,IF(Tim!CG23=Sheet6!$C$8,Sheet6!$C$8,"")))))))</f>
        <v/>
      </c>
      <c r="AJ21" s="53" t="str">
        <f>IF(Tim!CH23=Sheet6!$C$2,Sheet6!$C$2,IF(Tim!CH23=Sheet6!$C$3,Sheet6!$C$3,IF(Tim!CH23=Sheet6!$C$4,Sheet6!$C$4,IF(Tim!CH23=Sheet6!$C$5,Sheet6!$C$5,IF(Tim!CH23=Sheet6!$C$6,Sheet6!$C$6,IF(Tim!CH23=Sheet6!$C$7,Sheet6!$C$7,IF(Tim!CH23=Sheet6!$C$8,Sheet6!$C$8,"")))))))</f>
        <v/>
      </c>
      <c r="AK21" s="53" t="str">
        <f>IF(Tim!CL23=Sheet6!$C$2,Sheet6!$C$2,IF(Tim!CL23=Sheet6!$C$3,Sheet6!$C$3,IF(Tim!CL23=Sheet6!$C$4,Sheet6!$C$4,IF(Tim!CL23=Sheet6!$C$5,Sheet6!$C$5,IF(Tim!CL23=Sheet6!$C$6,Sheet6!$C$6,IF(Tim!CL23=Sheet6!$C$7,Sheet6!$C$7,IF(Tim!CL23=Sheet6!$C$8,Sheet6!$C$8,"")))))))</f>
        <v/>
      </c>
      <c r="AL21" s="54" t="str">
        <f>IF(Tim!CM23=Sheet6!$C$2,Sheet6!$C$2,IF(Tim!CM23=Sheet6!$C$3,Sheet6!$C$3,IF(Tim!CM23=Sheet6!$C$4,Sheet6!$C$4,IF(Tim!CM23=Sheet6!$C$5,Sheet6!$C$5,IF(Tim!CM23=Sheet6!$C$6,Sheet6!$C$6,IF(Tim!CM23=Sheet6!$C$7,Sheet6!$C$7,IF(Tim!CM23=Sheet6!$C$8,Sheet6!$C$8,"")))))))</f>
        <v/>
      </c>
      <c r="AM21" s="54" t="str">
        <f>IF(Tim!CN23=Sheet6!$C$2,Sheet6!$C$2,IF(Tim!CN23=Sheet6!$C$3,Sheet6!$C$3,IF(Tim!CN23=Sheet6!$C$4,Sheet6!$C$4,IF(Tim!CN23=Sheet6!$C$5,Sheet6!$C$5,IF(Tim!CN23=Sheet6!$C$6,Sheet6!$C$6,IF(Tim!CN23=Sheet6!$C$7,Sheet6!$C$7,IF(Tim!CN23=Sheet6!$C$8,Sheet6!$C$8,"")))))))</f>
        <v/>
      </c>
      <c r="AN21" s="54" t="str">
        <f>IF(Tim!CO23=Sheet6!$C$2,Sheet6!$C$2,IF(Tim!CO23=Sheet6!$C$3,Sheet6!$C$3,IF(Tim!CO23=Sheet6!$C$4,Sheet6!$C$4,IF(Tim!CO23=Sheet6!$C$5,Sheet6!$C$5,IF(Tim!CO23=Sheet6!$C$6,Sheet6!$C$6,IF(Tim!CO23=Sheet6!$C$7,Sheet6!$C$7,IF(Tim!CO23=Sheet6!$C$8,Sheet6!$C$8,"")))))))</f>
        <v/>
      </c>
      <c r="AO21" s="55" t="str">
        <f>IF(Tim!CP23=Sheet6!$C$2,Sheet6!$C$2,IF(Tim!CP23=Sheet6!$C$3,Sheet6!$C$3,IF(Tim!CP23=Sheet6!$C$4,Sheet6!$C$4,IF(Tim!CP23=Sheet6!$C$5,Sheet6!$C$5,IF(Tim!CP23=Sheet6!$C$6,Sheet6!$C$6,IF(Tim!CP23=Sheet6!$C$7,Sheet6!$C$7,IF(Tim!CP23=Sheet6!$C$8,Sheet6!$C$8,"")))))))</f>
        <v/>
      </c>
      <c r="AP21" s="53" t="str">
        <f>IF(Tim!CQ23=Sheet6!$C$2,Sheet6!$C$2,IF(Tim!CQ23=Sheet6!$C$3,Sheet6!$C$3,IF(Tim!CQ23=Sheet6!$C$4,Sheet6!$C$4,IF(Tim!CQ23=Sheet6!$C$5,Sheet6!$C$5,IF(Tim!CQ23=Sheet6!$C$6,Sheet6!$C$6,IF(Tim!CQ23=Sheet6!$C$7,Sheet6!$C$7,IF(Tim!CQ23=Sheet6!$C$8,Sheet6!$C$8,"")))))))</f>
        <v/>
      </c>
      <c r="AQ21" s="57" t="str">
        <f>IF(Tim!CR23=Sheet6!$C$2,Sheet6!$C$2,IF(Tim!CR23=Sheet6!$C$3,Sheet6!$C$3,IF(Tim!CR23=Sheet6!$C$4,Sheet6!$C$4,IF(Tim!CR23=Sheet6!$C$5,Sheet6!$C$5,IF(Tim!CR23=Sheet6!$C$6,Sheet6!$C$6,IF(Tim!CR23=Sheet6!$C$7,Sheet6!$C$7,IF(Tim!CR23=Sheet6!$C$8,Sheet6!$C$8,"")))))))</f>
        <v/>
      </c>
      <c r="AR21" s="57" t="str">
        <f>IF(Tim!CV23=Sheet6!$C$2,Sheet6!$C$2,IF(Tim!CV23=Sheet6!$C$3,Sheet6!$C$3,IF(Tim!CV23=Sheet6!$C$4,Sheet6!$C$4,IF(Tim!CV23=Sheet6!$C$5,Sheet6!$C$5,IF(Tim!CV23=Sheet6!$C$6,Sheet6!$C$6,IF(Tim!CV23=Sheet6!$C$7,Sheet6!$C$7,IF(Tim!CV23=Sheet6!$C$8,Sheet6!$C$8,"")))))))</f>
        <v/>
      </c>
      <c r="AS21" s="57" t="str">
        <f>IF(Tim!CW23=Sheet6!$C$2,Sheet6!$C$2,IF(Tim!CW23=Sheet6!$C$3,Sheet6!$C$3,IF(Tim!CW23=Sheet6!$C$4,Sheet6!$C$4,IF(Tim!CW23=Sheet6!$C$5,Sheet6!$C$5,IF(Tim!CW23=Sheet6!$C$6,Sheet6!$C$6,IF(Tim!CW23=Sheet6!$C$7,Sheet6!$C$7,IF(Tim!CW23=Sheet6!$C$8,Sheet6!$C$8,"")))))))</f>
        <v/>
      </c>
      <c r="AT21" s="57" t="str">
        <f>IF(Tim!DA23=Sheet6!$C$2,Sheet6!$C$2,IF(Tim!DA23=Sheet6!$C$3,Sheet6!$C$3,IF(Tim!DA23=Sheet6!$C$4,Sheet6!$C$4,IF(Tim!DA23=Sheet6!$C$5,Sheet6!$C$5,IF(Tim!DA23=Sheet6!$C$6,Sheet6!$C$6,IF(Tim!DA23=Sheet6!$C$7,Sheet6!$C$7,IF(Tim!DA23=Sheet6!$C$8,Sheet6!$C$8,"")))))))</f>
        <v/>
      </c>
      <c r="AU21" s="53" t="str">
        <f>IF(Tim!DO23=Sheet6!$C$2,Sheet6!$C$2,IF(Tim!DO23=Sheet6!$C$3,Sheet6!$C$3,IF(Tim!DO23=Sheet6!$C$4,Sheet6!$C$4,IF(Tim!DO23=Sheet6!$C$5,Sheet6!$C$5,IF(Tim!DO23=Sheet6!$C$6,Sheet6!$C$6,IF(Tim!DO23=Sheet6!$C$7,Sheet6!$C$7,IF(Tim!DO23=Sheet6!$C$8,Sheet6!$C$8,"")))))))</f>
        <v/>
      </c>
      <c r="AV21" s="53" t="str">
        <f>IF(Tim!DP23=Sheet6!$C$2,Sheet6!$C$2,IF(Tim!DP23=Sheet6!$C$3,Sheet6!$C$3,IF(Tim!DP23=Sheet6!$C$4,Sheet6!$C$4,IF(Tim!DP23=Sheet6!$C$5,Sheet6!$C$5,IF(Tim!DP23=Sheet6!$C$6,Sheet6!$C$6,IF(Tim!DP23=Sheet6!$C$7,Sheet6!$C$7,IF(Tim!DP23=Sheet6!$C$8,Sheet6!$C$8,"")))))))</f>
        <v/>
      </c>
      <c r="AW21" s="53" t="str">
        <f>IF(Tim!DX23=Sheet6!$C$2,Sheet6!$C$2,IF(Tim!DX23=Sheet6!$C$3,Sheet6!$C$3,IF(Tim!DX23=Sheet6!$C$4,Sheet6!$C$4,IF(Tim!DX23=Sheet6!$C$5,Sheet6!$C$5,IF(Tim!DX23=Sheet6!$C$6,Sheet6!$C$6,IF(Tim!DX23=Sheet6!$C$7,Sheet6!$C$7,IF(Tim!DX23=Sheet6!$C$8,Sheet6!$C$8,"")))))))</f>
        <v/>
      </c>
      <c r="AX21" s="53" t="str">
        <f>IF(Tim!DY23=Sheet6!$C$2,Sheet6!$C$2,IF(Tim!DY23=Sheet6!$C$3,Sheet6!$C$3,IF(Tim!DY23=Sheet6!$C$4,Sheet6!$C$4,IF(Tim!DY23=Sheet6!$C$5,Sheet6!$C$5,IF(Tim!DY23=Sheet6!$C$6,Sheet6!$C$6,IF(Tim!DY23=Sheet6!$C$7,Sheet6!$C$7,IF(Tim!DY23=Sheet6!$C$8,Sheet6!$C$8,"")))))))</f>
        <v/>
      </c>
      <c r="AY21" s="53" t="str">
        <f>IF(Tim!DZ23=Sheet6!$C$2,Sheet6!$C$2,IF(Tim!DZ23=Sheet6!$C$3,Sheet6!$C$3,IF(Tim!DZ23=Sheet6!$C$4,Sheet6!$C$4,IF(Tim!DZ23=Sheet6!$C$5,Sheet6!$C$5,IF(Tim!DZ23=Sheet6!$C$6,Sheet6!$C$6,IF(Tim!DZ23=Sheet6!$C$7,Sheet6!$C$7,IF(Tim!DZ23=Sheet6!$C$8,Sheet6!$C$8,"")))))))</f>
        <v/>
      </c>
      <c r="AZ21" s="53" t="str">
        <f>IF(Tim!EA23=Sheet6!$C$2,Sheet6!$C$2,IF(Tim!EA23=Sheet6!$C$3,Sheet6!$C$3,IF(Tim!EA23=Sheet6!$C$4,Sheet6!$C$4,IF(Tim!EA23=Sheet6!$C$5,Sheet6!$C$5,IF(Tim!EA23=Sheet6!$C$6,Sheet6!$C$6,IF(Tim!EA23=Sheet6!$C$7,Sheet6!$C$7,IF(Tim!EA23=Sheet6!$C$8,Sheet6!$C$8,"")))))))</f>
        <v/>
      </c>
      <c r="BA21" s="53" t="str">
        <f>IF(Tim!EB23=Sheet6!$C$2,Sheet6!$C$2,IF(Tim!EB23=Sheet6!$C$3,Sheet6!$C$3,IF(Tim!EB23=Sheet6!$C$4,Sheet6!$C$4,IF(Tim!EB23=Sheet6!$C$5,Sheet6!$C$5,IF(Tim!EB23=Sheet6!$C$6,Sheet6!$C$6,IF(Tim!EB23=Sheet6!$C$7,Sheet6!$C$7,IF(Tim!EB23=Sheet6!$C$8,Sheet6!$C$8,"")))))))</f>
        <v/>
      </c>
      <c r="BB21" s="53" t="str">
        <f>IF(Tim!EC23=Sheet6!$C$2,Sheet6!$C$2,IF(Tim!EC23=Sheet6!$C$3,Sheet6!$C$3,IF(Tim!EC23=Sheet6!$C$4,Sheet6!$C$4,IF(Tim!EC23=Sheet6!$C$5,Sheet6!$C$5,IF(Tim!EC23=Sheet6!$C$6,Sheet6!$C$6,IF(Tim!EC23=Sheet6!$C$7,Sheet6!$C$7,IF(Tim!EC23=Sheet6!$C$8,Sheet6!$C$8,"")))))))</f>
        <v/>
      </c>
      <c r="BC21" s="53" t="str">
        <f>IF(Tim!EG23=Sheet6!$C$2,Sheet6!$C$2,IF(Tim!EG23=Sheet6!$C$3,Sheet6!$C$3,IF(Tim!EG23=Sheet6!$C$4,Sheet6!$C$4,IF(Tim!EG23=Sheet6!$C$5,Sheet6!$C$5,IF(Tim!EG23=Sheet6!$C$6,Sheet6!$C$6,IF(Tim!EG23=Sheet6!$C$7,Sheet6!$C$7,IF(Tim!EG23=Sheet6!$C$8,Sheet6!$C$8,"")))))))</f>
        <v/>
      </c>
      <c r="BD21" s="54" t="str">
        <f>IF(Tim!EH23=Sheet6!$C$2,Sheet6!$C$2,IF(Tim!EH23=Sheet6!$C$3,Sheet6!$C$3,IF(Tim!EH23=Sheet6!$C$4,Sheet6!$C$4,IF(Tim!EH23=Sheet6!$C$5,Sheet6!$C$5,IF(Tim!EH23=Sheet6!$C$6,Sheet6!$C$6,IF(Tim!EH23=Sheet6!$C$7,Sheet6!$C$7,IF(Tim!EH23=Sheet6!$C$8,Sheet6!$C$8,"")))))))</f>
        <v/>
      </c>
      <c r="BE21" s="54" t="str">
        <f>IF(Tim!EI23=Sheet6!$C$2,Sheet6!$C$2,IF(Tim!EI23=Sheet6!$C$3,Sheet6!$C$3,IF(Tim!EI23=Sheet6!$C$4,Sheet6!$C$4,IF(Tim!EI23=Sheet6!$C$5,Sheet6!$C$5,IF(Tim!EI23=Sheet6!$C$6,Sheet6!$C$6,IF(Tim!EI23=Sheet6!$C$7,Sheet6!$C$7,IF(Tim!EI23=Sheet6!$C$8,Sheet6!$C$8,"")))))))</f>
        <v/>
      </c>
      <c r="BF21" s="54" t="str">
        <f>IF(Tim!EJ23=Sheet6!$C$2,Sheet6!$C$2,IF(Tim!EJ23=Sheet6!$C$3,Sheet6!$C$3,IF(Tim!EJ23=Sheet6!$C$4,Sheet6!$C$4,IF(Tim!EJ23=Sheet6!$C$5,Sheet6!$C$5,IF(Tim!EJ23=Sheet6!$C$6,Sheet6!$C$6,IF(Tim!EJ23=Sheet6!$C$7,Sheet6!$C$7,IF(Tim!EJ23=Sheet6!$C$8,Sheet6!$C$8,"")))))))</f>
        <v/>
      </c>
      <c r="BG21" s="55" t="str">
        <f>IF(Tim!EK23=Sheet6!$C$2,Sheet6!$C$2,IF(Tim!EK23=Sheet6!$C$3,Sheet6!$C$3,IF(Tim!EK23=Sheet6!$C$4,Sheet6!$C$4,IF(Tim!EK23=Sheet6!$C$5,Sheet6!$C$5,IF(Tim!EK23=Sheet6!$C$6,Sheet6!$C$6,IF(Tim!EK23=Sheet6!$C$7,Sheet6!$C$7,IF(Tim!EK23=Sheet6!$C$8,Sheet6!$C$8,"")))))))</f>
        <v/>
      </c>
      <c r="BH21" s="57" t="str">
        <f>IF(Tim!EL23=Sheet6!$C$2,Sheet6!$C$2,IF(Tim!EL23=Sheet6!$C$3,Sheet6!$C$3,IF(Tim!EL23=Sheet6!$C$4,Sheet6!$C$4,IF(Tim!EL23=Sheet6!$C$5,Sheet6!$C$5,IF(Tim!EL23=Sheet6!$C$6,Sheet6!$C$6,IF(Tim!EL23=Sheet6!$C$7,Sheet6!$C$7,IF(Tim!EL23=Sheet6!$C$8,Sheet6!$C$8,"")))))))</f>
        <v/>
      </c>
      <c r="BI21" s="57" t="str">
        <f>IF(Tim!EM23=Sheet6!$C$2,Sheet6!$C$2,IF(Tim!EM23=Sheet6!$C$3,Sheet6!$C$3,IF(Tim!EM23=Sheet6!$C$4,Sheet6!$C$4,IF(Tim!EM23=Sheet6!$C$5,Sheet6!$C$5,IF(Tim!EM23=Sheet6!$C$6,Sheet6!$C$6,IF(Tim!EM23=Sheet6!$C$7,Sheet6!$C$7,IF(Tim!EM23=Sheet6!$C$8,Sheet6!$C$8,"")))))))</f>
        <v/>
      </c>
      <c r="BJ21" s="57" t="str">
        <f>IF(Tim!EQ23=Sheet6!$C$2,Sheet6!$C$2,IF(Tim!EQ23=Sheet6!$C$3,Sheet6!$C$3,IF(Tim!EQ23=Sheet6!$C$4,Sheet6!$C$4,IF(Tim!EQ23=Sheet6!$C$5,Sheet6!$C$5,IF(Tim!EQ23=Sheet6!$C$6,Sheet6!$C$6,IF(Tim!EQ23=Sheet6!$C$7,Sheet6!$C$7,IF(Tim!EQ23=Sheet6!$C$8,Sheet6!$C$8,"")))))))</f>
        <v/>
      </c>
      <c r="BK21" s="57" t="str">
        <f>IF(Tim!ER23=Sheet6!$C$2,Sheet6!$C$2,IF(Tim!ER23=Sheet6!$C$3,Sheet6!$C$3,IF(Tim!ER23=Sheet6!$C$4,Sheet6!$C$4,IF(Tim!ER23=Sheet6!$C$5,Sheet6!$C$5,IF(Tim!ER23=Sheet6!$C$6,Sheet6!$C$6,IF(Tim!ER23=Sheet6!$C$7,Sheet6!$C$7,IF(Tim!ER23=Sheet6!$C$8,Sheet6!$C$8,"")))))))</f>
        <v/>
      </c>
      <c r="BL21" s="57" t="str">
        <f>IF(Tim!EZ23=Sheet6!$C$2,Sheet6!$C$2,IF(Tim!EZ23=Sheet6!$C$3,Sheet6!$C$3,IF(Tim!EZ23=Sheet6!$C$4,Sheet6!$C$4,IF(Tim!EZ23=Sheet6!$C$5,Sheet6!$C$5,IF(Tim!EZ23=Sheet6!$C$6,Sheet6!$C$6,IF(Tim!EZ23=Sheet6!$C$7,Sheet6!$C$7,IF(Tim!EZ23=Sheet6!$C$8,Sheet6!$C$8,"")))))))</f>
        <v/>
      </c>
      <c r="BM21" s="53" t="str">
        <f>IF(Tim!FG23=Sheet6!$C$2,Sheet6!$C$2,IF(Tim!FG23=Sheet6!$C$3,Sheet6!$C$3,IF(Tim!FG23=Sheet6!$C$4,Sheet6!$C$4,IF(Tim!FG23=Sheet6!$C$5,Sheet6!$C$5,IF(Tim!FG23=Sheet6!$C$6,Sheet6!$C$6,IF(Tim!FG23=Sheet6!$C$7,Sheet6!$C$7,IF(Tim!FG23=Sheet6!$C$8,Sheet6!$C$8,"")))))))</f>
        <v/>
      </c>
      <c r="BN21" s="53" t="str">
        <f>IF(Tim!FH23=Sheet6!$C$2,Sheet6!$C$2,IF(Tim!FH23=Sheet6!$C$3,Sheet6!$C$3,IF(Tim!FH23=Sheet6!$C$4,Sheet6!$C$4,IF(Tim!FH23=Sheet6!$C$5,Sheet6!$C$5,IF(Tim!FH23=Sheet6!$C$6,Sheet6!$C$6,IF(Tim!FH23=Sheet6!$C$7,Sheet6!$C$7,IF(Tim!FH23=Sheet6!$C$8,Sheet6!$C$8,"")))))))</f>
        <v/>
      </c>
      <c r="BO21" s="53" t="str">
        <f>IF(Tim!FP23=Sheet6!$C$2,Sheet6!$C$2,IF(Tim!FP23=Sheet6!$C$3,Sheet6!$C$3,IF(Tim!FP23=Sheet6!$C$4,Sheet6!$C$4,IF(Tim!FP23=Sheet6!$C$5,Sheet6!$C$5,IF(Tim!FP23=Sheet6!$C$6,Sheet6!$C$6,IF(Tim!FP23=Sheet6!$C$7,Sheet6!$C$7,IF(Tim!FP23=Sheet6!$C$8,Sheet6!$C$8,"")))))))</f>
        <v/>
      </c>
      <c r="BP21" s="53" t="str">
        <f>IF(Tim!FQ23=Sheet6!$C$2,Sheet6!$C$2,IF(Tim!FQ23=Sheet6!$C$3,Sheet6!$C$3,IF(Tim!FQ23=Sheet6!$C$4,Sheet6!$C$4,IF(Tim!FQ23=Sheet6!$C$5,Sheet6!$C$5,IF(Tim!FQ23=Sheet6!$C$6,Sheet6!$C$6,IF(Tim!FQ23=Sheet6!$C$7,Sheet6!$C$7,IF(Tim!FQ23=Sheet6!$C$8,Sheet6!$C$8,"")))))))</f>
        <v/>
      </c>
      <c r="BQ21" s="53" t="str">
        <f>IF(Tim!FR23=Sheet6!$C$2,Sheet6!$C$2,IF(Tim!FR23=Sheet6!$C$3,Sheet6!$C$3,IF(Tim!FR23=Sheet6!$C$4,Sheet6!$C$4,IF(Tim!FR23=Sheet6!$C$5,Sheet6!$C$5,IF(Tim!FR23=Sheet6!$C$6,Sheet6!$C$6,IF(Tim!FR23=Sheet6!$C$7,Sheet6!$C$7,IF(Tim!FR23=Sheet6!$C$8,Sheet6!$C$8,"")))))))</f>
        <v/>
      </c>
      <c r="BR21" s="53" t="str">
        <f>IF(Tim!FS23=Sheet6!$C$2,Sheet6!$C$2,IF(Tim!FS23=Sheet6!$C$3,Sheet6!$C$3,IF(Tim!FS23=Sheet6!$C$4,Sheet6!$C$4,IF(Tim!FS23=Sheet6!$C$5,Sheet6!$C$5,IF(Tim!FS23=Sheet6!$C$6,Sheet6!$C$6,IF(Tim!FS23=Sheet6!$C$7,Sheet6!$C$7,IF(Tim!FS23=Sheet6!$C$8,Sheet6!$C$8,"")))))))</f>
        <v/>
      </c>
      <c r="BS21" s="53" t="str">
        <f>IF(Tim!FT23=Sheet6!$C$2,Sheet6!$C$2,IF(Tim!FT23=Sheet6!$C$3,Sheet6!$C$3,IF(Tim!FT23=Sheet6!$C$4,Sheet6!$C$4,IF(Tim!FT23=Sheet6!$C$5,Sheet6!$C$5,IF(Tim!FT23=Sheet6!$C$6,Sheet6!$C$6,IF(Tim!FT23=Sheet6!$C$7,Sheet6!$C$7,IF(Tim!FT23=Sheet6!$C$8,Sheet6!$C$8,"")))))))</f>
        <v/>
      </c>
      <c r="BT21" s="53" t="str">
        <f>IF(Tim!FU23=Sheet6!$C$2,Sheet6!$C$2,IF(Tim!FU23=Sheet6!$C$3,Sheet6!$C$3,IF(Tim!FU23=Sheet6!$C$4,Sheet6!$C$4,IF(Tim!FU23=Sheet6!$C$5,Sheet6!$C$5,IF(Tim!FU23=Sheet6!$C$6,Sheet6!$C$6,IF(Tim!FU23=Sheet6!$C$7,Sheet6!$C$7,IF(Tim!FU23=Sheet6!$C$8,Sheet6!$C$8,"")))))))</f>
        <v/>
      </c>
      <c r="BU21" s="53" t="str">
        <f>IF(Tim!FY23=Sheet6!$C$2,Sheet6!$C$2,IF(Tim!FY23=Sheet6!$C$3,Sheet6!$C$3,IF(Tim!FY23=Sheet6!$C$4,Sheet6!$C$4,IF(Tim!FY23=Sheet6!$C$5,Sheet6!$C$5,IF(Tim!FY23=Sheet6!$C$6,Sheet6!$C$6,IF(Tim!FY23=Sheet6!$C$7,Sheet6!$C$7,IF(Tim!FY23=Sheet6!$C$8,Sheet6!$C$8,"")))))))</f>
        <v/>
      </c>
      <c r="BV21" s="54" t="str">
        <f>IF(Tim!FZ23=Sheet6!$C$2,Sheet6!$C$2,IF(Tim!FZ23=Sheet6!$C$3,Sheet6!$C$3,IF(Tim!FZ23=Sheet6!$C$4,Sheet6!$C$4,IF(Tim!FZ23=Sheet6!$C$5,Sheet6!$C$5,IF(Tim!FZ23=Sheet6!$C$6,Sheet6!$C$6,IF(Tim!FZ23=Sheet6!$C$7,Sheet6!$C$7,IF(Tim!FZ23=Sheet6!$C$8,Sheet6!$C$8,"")))))))</f>
        <v/>
      </c>
      <c r="BW21" s="54" t="str">
        <f>IF(Tim!GA23=Sheet6!$C$2,Sheet6!$C$2,IF(Tim!GA23=Sheet6!$C$3,Sheet6!$C$3,IF(Tim!GA23=Sheet6!$C$4,Sheet6!$C$4,IF(Tim!GA23=Sheet6!$C$5,Sheet6!$C$5,IF(Tim!GA23=Sheet6!$C$6,Sheet6!$C$6,IF(Tim!GA23=Sheet6!$C$7,Sheet6!$C$7,IF(Tim!GA23=Sheet6!$C$8,Sheet6!$C$8,"")))))))</f>
        <v/>
      </c>
      <c r="BX21" s="54" t="str">
        <f>IF(Tim!GB23=Sheet6!$C$2,Sheet6!$C$2,IF(Tim!GB23=Sheet6!$C$3,Sheet6!$C$3,IF(Tim!GB23=Sheet6!$C$4,Sheet6!$C$4,IF(Tim!GB23=Sheet6!$C$5,Sheet6!$C$5,IF(Tim!GB23=Sheet6!$C$6,Sheet6!$C$6,IF(Tim!GB23=Sheet6!$C$7,Sheet6!$C$7,IF(Tim!GB23=Sheet6!$C$8,Sheet6!$C$8,"")))))))</f>
        <v/>
      </c>
      <c r="BY21" s="55" t="str">
        <f>IF(Tim!GC23=Sheet6!$C$2,Sheet6!$C$2,IF(Tim!GC23=Sheet6!$C$3,Sheet6!$C$3,IF(Tim!GC23=Sheet6!$C$4,Sheet6!$C$4,IF(Tim!GC23=Sheet6!$C$5,Sheet6!$C$5,IF(Tim!GC23=Sheet6!$C$6,Sheet6!$C$6,IF(Tim!GC23=Sheet6!$C$7,Sheet6!$C$7,IF(Tim!GC23=Sheet6!$C$8,Sheet6!$C$8,"")))))))</f>
        <v/>
      </c>
      <c r="BZ21" s="53" t="str">
        <f>IF(Tim!GD23=Sheet6!$C$2,Sheet6!$C$2,IF(Tim!GD23=Sheet6!$C$3,Sheet6!$C$3,IF(Tim!GD23=Sheet6!$C$4,Sheet6!$C$4,IF(Tim!GD23=Sheet6!$C$5,Sheet6!$C$5,IF(Tim!GD23=Sheet6!$C$6,Sheet6!$C$6,IF(Tim!GD23=Sheet6!$C$7,Sheet6!$C$7,IF(Tim!GD23=Sheet6!$C$8,Sheet6!$C$8,"")))))))</f>
        <v/>
      </c>
      <c r="CA21" s="53" t="str">
        <f>IF(Tim!GE23=Sheet6!$C$2,Sheet6!$C$2,IF(Tim!GE23=Sheet6!$C$3,Sheet6!$C$3,IF(Tim!GE23=Sheet6!$C$4,Sheet6!$C$4,IF(Tim!GE23=Sheet6!$C$5,Sheet6!$C$5,IF(Tim!GE23=Sheet6!$C$6,Sheet6!$C$6,IF(Tim!GE23=Sheet6!$C$7,Sheet6!$C$7,IF(Tim!GE23=Sheet6!$C$8,Sheet6!$C$8,"")))))))</f>
        <v/>
      </c>
      <c r="CB21" s="53" t="str">
        <f>IF(Tim!GI23=Sheet6!$C$2,Sheet6!$C$2,IF(Tim!GI23=Sheet6!$C$3,Sheet6!$C$3,IF(Tim!GI23=Sheet6!$C$4,Sheet6!$C$4,IF(Tim!GI23=Sheet6!$C$5,Sheet6!$C$5,IF(Tim!GI23=Sheet6!$C$6,Sheet6!$C$6,IF(Tim!GI23=Sheet6!$C$7,Sheet6!$C$7,IF(Tim!GI23=Sheet6!$C$8,Sheet6!$C$8,"")))))))</f>
        <v/>
      </c>
      <c r="CC21" s="57" t="str">
        <f>IF(Tim!GJ23=Sheet6!$C$2,Sheet6!$C$2,IF(Tim!GJ23=Sheet6!$C$3,Sheet6!$C$3,IF(Tim!GJ23=Sheet6!$C$4,Sheet6!$C$4,IF(Tim!GJ23=Sheet6!$C$5,Sheet6!$C$5,IF(Tim!GJ23=Sheet6!$C$6,Sheet6!$C$6,IF(Tim!GJ23=Sheet6!$C$7,Sheet6!$C$7,IF(Tim!GJ23=Sheet6!$C$8,Sheet6!$C$8,"")))))))</f>
        <v/>
      </c>
      <c r="CD21" s="57" t="str">
        <f>IF(Tim!GN23=Sheet6!$C$2,Sheet6!$C$2,IF(Tim!GN23=Sheet6!$C$3,Sheet6!$C$3,IF(Tim!GN23=Sheet6!$C$4,Sheet6!$C$4,IF(Tim!GN23=Sheet6!$C$5,Sheet6!$C$5,IF(Tim!GN23=Sheet6!$C$6,Sheet6!$C$6,IF(Tim!GN23=Sheet6!$C$7,Sheet6!$C$7,IF(Tim!GN23=Sheet6!$C$8,Sheet6!$C$8,"")))))))</f>
        <v/>
      </c>
      <c r="CE21" s="53" t="str">
        <f>IF(Tim!GY23=Sheet6!$C$2,Sheet6!$C$2,IF(Tim!GY23=Sheet6!$C$3,Sheet6!$C$3,IF(Tim!GY23=Sheet6!$C$4,Sheet6!$C$4,IF(Tim!GY23=Sheet6!$C$5,Sheet6!$C$5,IF(Tim!GY23=Sheet6!$C$6,Sheet6!$C$6,IF(Tim!GY23=Sheet6!$C$7,Sheet6!$C$7,IF(Tim!GY23=Sheet6!$C$8,Sheet6!$C$8,"")))))))</f>
        <v/>
      </c>
      <c r="CF21" s="181" t="str">
        <f>IF(Tim!GZ23=Sheet6!$C$2,Sheet6!$C$2,IF(Tim!GZ23=Sheet6!$C$3,Sheet6!$C$3,IF(Tim!GZ23=Sheet6!$C$4,Sheet6!$C$4,IF(Tim!GZ23=Sheet6!$C$5,Sheet6!$C$5,IF(Tim!GZ23=Sheet6!$C$6,Sheet6!$C$6,IF(Tim!GZ23=Sheet6!$C$7,Sheet6!$C$7,IF(Tim!GZ23=Sheet6!$C$8,Sheet6!$C$8,"")))))))</f>
        <v/>
      </c>
      <c r="CG21" s="181" t="str">
        <f>IF(Tim!HH23=Sheet6!$C$2,Sheet6!$C$2,IF(Tim!HH23=Sheet6!$C$3,Sheet6!$C$3,IF(Tim!HH23=Sheet6!$C$4,Sheet6!$C$4,IF(Tim!HH23=Sheet6!$C$5,Sheet6!$C$5,IF(Tim!HH23=Sheet6!$C$6,Sheet6!$C$6,IF(Tim!HH23=Sheet6!$C$7,Sheet6!$C$7,IF(Tim!HH23=Sheet6!$C$8,Sheet6!$C$8,"")))))))</f>
        <v/>
      </c>
      <c r="CH21" s="181" t="str">
        <f>IF(Tim!HI23=Sheet6!$C$2,Sheet6!$C$2,IF(Tim!HI23=Sheet6!$C$3,Sheet6!$C$3,IF(Tim!HI23=Sheet6!$C$4,Sheet6!$C$4,IF(Tim!HI23=Sheet6!$C$5,Sheet6!$C$5,IF(Tim!HI23=Sheet6!$C$6,Sheet6!$C$6,IF(Tim!HI23=Sheet6!$C$7,Sheet6!$C$7,IF(Tim!HI23=Sheet6!$C$8,Sheet6!$C$8,"")))))))</f>
        <v/>
      </c>
      <c r="CI21" s="181" t="str">
        <f>IF(Tim!HJ23=Sheet6!$C$2,Sheet6!$C$2,IF(Tim!HJ23=Sheet6!$C$3,Sheet6!$C$3,IF(Tim!HJ23=Sheet6!$C$4,Sheet6!$C$4,IF(Tim!HJ23=Sheet6!$C$5,Sheet6!$C$5,IF(Tim!HJ23=Sheet6!$C$6,Sheet6!$C$6,IF(Tim!HJ23=Sheet6!$C$7,Sheet6!$C$7,IF(Tim!HJ23=Sheet6!$C$8,Sheet6!$C$8,"")))))))</f>
        <v/>
      </c>
      <c r="CJ21" s="53" t="str">
        <f>IF(Tim!HK23=Sheet6!$C$2,Sheet6!$C$2,IF(Tim!HK23=Sheet6!$C$3,Sheet6!$C$3,IF(Tim!HK23=Sheet6!$C$4,Sheet6!$C$4,IF(Tim!HK23=Sheet6!$C$5,Sheet6!$C$5,IF(Tim!HK23=Sheet6!$C$6,Sheet6!$C$6,IF(Tim!HK23=Sheet6!$C$7,Sheet6!$C$7,IF(Tim!HK23=Sheet6!$C$8,Sheet6!$C$8,"")))))))</f>
        <v/>
      </c>
      <c r="CK21" s="53" t="str">
        <f>IF(Tim!HL23=Sheet6!$C$2,Sheet6!$C$2,IF(Tim!HL23=Sheet6!$C$3,Sheet6!$C$3,IF(Tim!HL23=Sheet6!$C$4,Sheet6!$C$4,IF(Tim!HL23=Sheet6!$C$5,Sheet6!$C$5,IF(Tim!HL23=Sheet6!$C$6,Sheet6!$C$6,IF(Tim!HL23=Sheet6!$C$7,Sheet6!$C$7,IF(Tim!HL23=Sheet6!$C$8,Sheet6!$C$8,"")))))))</f>
        <v/>
      </c>
      <c r="CL21" s="53" t="str">
        <f>IF(Tim!HM23=Sheet6!$C$2,Sheet6!$C$2,IF(Tim!HM23=Sheet6!$C$3,Sheet6!$C$3,IF(Tim!HM23=Sheet6!$C$4,Sheet6!$C$4,IF(Tim!HM23=Sheet6!$C$5,Sheet6!$C$5,IF(Tim!HM23=Sheet6!$C$6,Sheet6!$C$6,IF(Tim!HM23=Sheet6!$C$7,Sheet6!$C$7,IF(Tim!HM23=Sheet6!$C$8,Sheet6!$C$8,"")))))))</f>
        <v/>
      </c>
      <c r="CM21" s="53" t="str">
        <f>IF(Tim!HQ23=Sheet6!$C$2,Sheet6!$C$2,IF(Tim!HQ23=Sheet6!$C$3,Sheet6!$C$3,IF(Tim!HQ23=Sheet6!$C$4,Sheet6!$C$4,IF(Tim!HQ23=Sheet6!$C$5,Sheet6!$C$5,IF(Tim!HQ23=Sheet6!$C$6,Sheet6!$C$6,IF(Tim!HQ23=Sheet6!$C$7,Sheet6!$C$7,IF(Tim!HQ23=Sheet6!$C$8,Sheet6!$C$8,"")))))))</f>
        <v/>
      </c>
      <c r="CN21" s="54" t="str">
        <f>IF(Tim!HR23=Sheet6!$C$2,Sheet6!$C$2,IF(Tim!HR23=Sheet6!$C$3,Sheet6!$C$3,IF(Tim!HR23=Sheet6!$C$4,Sheet6!$C$4,IF(Tim!HR23=Sheet6!$C$5,Sheet6!$C$5,IF(Tim!HR23=Sheet6!$C$6,Sheet6!$C$6,IF(Tim!HR23=Sheet6!$C$7,Sheet6!$C$7,IF(Tim!HR23=Sheet6!$C$8,Sheet6!$C$8,"")))))))</f>
        <v/>
      </c>
      <c r="CO21" s="54" t="str">
        <f>IF(Tim!HS23=Sheet6!$C$2,Sheet6!$C$2,IF(Tim!HS23=Sheet6!$C$3,Sheet6!$C$3,IF(Tim!HS23=Sheet6!$C$4,Sheet6!$C$4,IF(Tim!HS23=Sheet6!$C$5,Sheet6!$C$5,IF(Tim!HS23=Sheet6!$C$6,Sheet6!$C$6,IF(Tim!HS23=Sheet6!$C$7,Sheet6!$C$7,IF(Tim!HS23=Sheet6!$C$8,Sheet6!$C$8,"")))))))</f>
        <v/>
      </c>
      <c r="CP21" s="54" t="str">
        <f>IF(Tim!HT23=Sheet6!$C$2,Sheet6!$C$2,IF(Tim!HT23=Sheet6!$C$3,Sheet6!$C$3,IF(Tim!HT23=Sheet6!$C$4,Sheet6!$C$4,IF(Tim!HT23=Sheet6!$C$5,Sheet6!$C$5,IF(Tim!HT23=Sheet6!$C$6,Sheet6!$C$6,IF(Tim!HT23=Sheet6!$C$7,Sheet6!$C$7,IF(Tim!HT23=Sheet6!$C$8,Sheet6!$C$8,"")))))))</f>
        <v/>
      </c>
      <c r="CQ21" s="55" t="str">
        <f>IF(Tim!HU23=Sheet6!$C$2,Sheet6!$C$2,IF(Tim!HU23=Sheet6!$C$3,Sheet6!$C$3,IF(Tim!HU23=Sheet6!$C$4,Sheet6!$C$4,IF(Tim!HU23=Sheet6!$C$5,Sheet6!$C$5,IF(Tim!HU23=Sheet6!$C$6,Sheet6!$C$6,IF(Tim!HU23=Sheet6!$C$7,Sheet6!$C$7,IF(Tim!HU23=Sheet6!$C$8,Sheet6!$C$8,"")))))))</f>
        <v/>
      </c>
      <c r="CR21" s="56" t="str">
        <f>IF(Tim!HV23=Sheet6!$C$2,Sheet6!$C$2,IF(Tim!HV23=Sheet6!$C$3,Sheet6!$C$3,IF(Tim!HV23=Sheet6!$C$4,Sheet6!$C$4,IF(Tim!HV23=Sheet6!$C$5,Sheet6!$C$5,IF(Tim!HV23=Sheet6!$C$6,Sheet6!$C$6,IF(Tim!HV23=Sheet6!$C$7,Sheet6!$C$7,IF(Tim!HV23=Sheet6!$C$8,Sheet6!$C$8,"")))))))</f>
        <v/>
      </c>
      <c r="CS21" s="57" t="str">
        <f>IF(Tim!IB23=Sheet6!$C$2,Sheet6!$C$2,IF(Tim!IB23=Sheet6!$C$3,Sheet6!$C$3,IF(Tim!IB23=Sheet6!$C$4,Sheet6!$C$4,IF(Tim!IB23=Sheet6!$C$5,Sheet6!$C$5,IF(Tim!IB23=Sheet6!$C$6,Sheet6!$C$6,IF(Tim!IB23=Sheet6!$C$7,Sheet6!$C$7,IF(Tim!IB23=Sheet6!$C$8,Sheet6!$C$8,"")))))))</f>
        <v/>
      </c>
      <c r="CT21" s="57" t="str">
        <f>IF(Tim!IJ23=Sheet6!$C$2,Sheet6!$C$2,IF(Tim!IJ23=Sheet6!$C$3,Sheet6!$C$3,IF(Tim!IJ23=Sheet6!$C$4,Sheet6!$C$4,IF(Tim!IJ23=Sheet6!$C$5,Sheet6!$C$5,IF(Tim!IJ23=Sheet6!$C$6,Sheet6!$C$6,IF(Tim!IJ23=Sheet6!$C$7,Sheet6!$C$7,IF(Tim!IJ23=Sheet6!$C$8,Sheet6!$C$8,"")))))))</f>
        <v/>
      </c>
      <c r="CU21" s="53" t="str">
        <f>IF(Tim!IQ23=Sheet6!$C$2,Sheet6!$C$2,IF(Tim!IQ23=Sheet6!$C$3,Sheet6!$C$3,IF(Tim!IQ23=Sheet6!$C$4,Sheet6!$C$4,IF(Tim!IQ23=Sheet6!$C$5,Sheet6!$C$5,IF(Tim!IQ23=Sheet6!$C$6,Sheet6!$C$6,IF(Tim!IQ23=Sheet6!$C$7,Sheet6!$C$7,IF(Tim!IQ23=Sheet6!$C$8,Sheet6!$C$8,"")))))))</f>
        <v/>
      </c>
      <c r="CV21" s="53" t="str">
        <f>IF(Tim!IR23=Sheet6!$C$2,Sheet6!$C$2,IF(Tim!IR23=Sheet6!$C$3,Sheet6!$C$3,IF(Tim!IR23=Sheet6!$C$4,Sheet6!$C$4,IF(Tim!IR23=Sheet6!$C$5,Sheet6!$C$5,IF(Tim!IR23=Sheet6!$C$6,Sheet6!$C$6,IF(Tim!IR23=Sheet6!$C$7,Sheet6!$C$7,IF(Tim!IR23=Sheet6!$C$8,Sheet6!$C$8,"")))))))</f>
        <v/>
      </c>
      <c r="CW21" s="53" t="str">
        <f>IF(Tim!IZ23=Sheet6!$C$2,Sheet6!$C$2,IF(Tim!IZ23=Sheet6!$C$3,Sheet6!$C$3,IF(Tim!IZ23=Sheet6!$C$4,Sheet6!$C$4,IF(Tim!IZ23=Sheet6!$C$5,Sheet6!$C$5,IF(Tim!IZ23=Sheet6!$C$6,Sheet6!$C$6,IF(Tim!IZ23=Sheet6!$C$7,Sheet6!$C$7,IF(Tim!IZ23=Sheet6!$C$8,Sheet6!$C$8,"")))))))</f>
        <v/>
      </c>
      <c r="CX21" s="53" t="str">
        <f>IF(Tim!JA23=Sheet6!$C$2,Sheet6!$C$2,IF(Tim!JA23=Sheet6!$C$3,Sheet6!$C$3,IF(Tim!JA23=Sheet6!$C$4,Sheet6!$C$4,IF(Tim!JA23=Sheet6!$C$5,Sheet6!$C$5,IF(Tim!JA23=Sheet6!$C$6,Sheet6!$C$6,IF(Tim!JA23=Sheet6!$C$7,Sheet6!$C$7,IF(Tim!JA23=Sheet6!$C$8,Sheet6!$C$8,"")))))))</f>
        <v/>
      </c>
      <c r="CY21" s="53" t="str">
        <f>IF(Tim!JB23=Sheet6!$C$2,Sheet6!$C$2,IF(Tim!JB23=Sheet6!$C$3,Sheet6!$C$3,IF(Tim!JB23=Sheet6!$C$4,Sheet6!$C$4,IF(Tim!JB23=Sheet6!$C$5,Sheet6!$C$5,IF(Tim!JB23=Sheet6!$C$6,Sheet6!$C$6,IF(Tim!JB23=Sheet6!$C$7,Sheet6!$C$7,IF(Tim!JB23=Sheet6!$C$8,Sheet6!$C$8,"")))))))</f>
        <v/>
      </c>
      <c r="CZ21" s="53" t="str">
        <f>IF(Tim!JC23=Sheet6!$C$2,Sheet6!$C$2,IF(Tim!JC23=Sheet6!$C$3,Sheet6!$C$3,IF(Tim!JC23=Sheet6!$C$4,Sheet6!$C$4,IF(Tim!JC23=Sheet6!$C$5,Sheet6!$C$5,IF(Tim!JC23=Sheet6!$C$6,Sheet6!$C$6,IF(Tim!JC23=Sheet6!$C$7,Sheet6!$C$7,IF(Tim!JC23=Sheet6!$C$8,Sheet6!$C$8,"")))))))</f>
        <v/>
      </c>
      <c r="DA21" s="53" t="str">
        <f>IF(Tim!JD23=Sheet6!$C$2,Sheet6!$C$2,IF(Tim!JD23=Sheet6!$C$3,Sheet6!$C$3,IF(Tim!JD23=Sheet6!$C$4,Sheet6!$C$4,IF(Tim!JD23=Sheet6!$C$5,Sheet6!$C$5,IF(Tim!JD23=Sheet6!$C$6,Sheet6!$C$6,IF(Tim!JD23=Sheet6!$C$7,Sheet6!$C$7,IF(Tim!JD23=Sheet6!$C$8,Sheet6!$C$8,"")))))))</f>
        <v/>
      </c>
      <c r="DB21" s="53" t="str">
        <f>IF(Tim!JE23=Sheet6!$C$2,Sheet6!$C$2,IF(Tim!JE23=Sheet6!$C$3,Sheet6!$C$3,IF(Tim!JE23=Sheet6!$C$4,Sheet6!$C$4,IF(Tim!JE23=Sheet6!$C$5,Sheet6!$C$5,IF(Tim!JE23=Sheet6!$C$6,Sheet6!$C$6,IF(Tim!JE23=Sheet6!$C$7,Sheet6!$C$7,IF(Tim!JE23=Sheet6!$C$8,Sheet6!$C$8,"")))))))</f>
        <v/>
      </c>
      <c r="DC21" s="53" t="str">
        <f>IF(Tim!JI23=Sheet6!$C$2,Sheet6!$C$2,IF(Tim!JI23=Sheet6!$C$3,Sheet6!$C$3,IF(Tim!JI23=Sheet6!$C$4,Sheet6!$C$4,IF(Tim!JI23=Sheet6!$C$5,Sheet6!$C$5,IF(Tim!JI23=Sheet6!$C$6,Sheet6!$C$6,IF(Tim!JI23=Sheet6!$C$7,Sheet6!$C$7,IF(Tim!JI23=Sheet6!$C$8,Sheet6!$C$8,"")))))))</f>
        <v/>
      </c>
      <c r="DD21" s="54" t="str">
        <f>IF(Tim!JJ23=Sheet6!$C$2,Sheet6!$C$2,IF(Tim!JJ23=Sheet6!$C$3,Sheet6!$C$3,IF(Tim!JJ23=Sheet6!$C$4,Sheet6!$C$4,IF(Tim!JJ23=Sheet6!$C$5,Sheet6!$C$5,IF(Tim!JJ23=Sheet6!$C$6,Sheet6!$C$6,IF(Tim!JJ23=Sheet6!$C$7,Sheet6!$C$7,IF(Tim!JJ23=Sheet6!$C$8,Sheet6!$C$8,"")))))))</f>
        <v/>
      </c>
      <c r="DE21" s="54" t="str">
        <f>IF(Tim!JK23=Sheet6!$C$2,Sheet6!$C$2,IF(Tim!JK23=Sheet6!$C$3,Sheet6!$C$3,IF(Tim!JK23=Sheet6!$C$4,Sheet6!$C$4,IF(Tim!JK23=Sheet6!$C$5,Sheet6!$C$5,IF(Tim!JK23=Sheet6!$C$6,Sheet6!$C$6,IF(Tim!JK23=Sheet6!$C$7,Sheet6!$C$7,IF(Tim!JK23=Sheet6!$C$8,Sheet6!$C$8,"")))))))</f>
        <v/>
      </c>
      <c r="DF21" s="54" t="str">
        <f>IF(Tim!JL23=Sheet6!$C$2,Sheet6!$C$2,IF(Tim!JL23=Sheet6!$C$3,Sheet6!$C$3,IF(Tim!JL23=Sheet6!$C$4,Sheet6!$C$4,IF(Tim!JL23=Sheet6!$C$5,Sheet6!$C$5,IF(Tim!JL23=Sheet6!$C$6,Sheet6!$C$6,IF(Tim!JL23=Sheet6!$C$7,Sheet6!$C$7,IF(Tim!JL23=Sheet6!$C$8,Sheet6!$C$8,"")))))))</f>
        <v/>
      </c>
      <c r="DG21" s="55" t="str">
        <f>IF(Tim!JM23=Sheet6!$C$2,Sheet6!$C$2,IF(Tim!JM23=Sheet6!$C$3,Sheet6!$C$3,IF(Tim!JM23=Sheet6!$C$4,Sheet6!$C$4,IF(Tim!JM23=Sheet6!$C$5,Sheet6!$C$5,IF(Tim!JM23=Sheet6!$C$6,Sheet6!$C$6,IF(Tim!JM23=Sheet6!$C$7,Sheet6!$C$7,IF(Tim!JM23=Sheet6!$C$8,Sheet6!$C$8,"")))))))</f>
        <v/>
      </c>
      <c r="DH21" s="56" t="str">
        <f>IF(Tim!JN23=Sheet6!$C$2,Sheet6!$C$2,IF(Tim!JN23=Sheet6!$C$3,Sheet6!$C$3,IF(Tim!JN23=Sheet6!$C$4,Sheet6!$C$4,IF(Tim!JN23=Sheet6!$C$5,Sheet6!$C$5,IF(Tim!JN23=Sheet6!$C$6,Sheet6!$C$6,IF(Tim!JN23=Sheet6!$C$7,Sheet6!$C$7,IF(Tim!JN23=Sheet6!$C$8,Sheet6!$C$8,"")))))))</f>
        <v/>
      </c>
      <c r="DI21" s="57" t="str">
        <f>IF(Tim!JS23=Sheet6!$C$2,Sheet6!$C$2,IF(Tim!JS23=Sheet6!$C$3,Sheet6!$C$3,IF(Tim!JS23=Sheet6!$C$4,Sheet6!$C$4,IF(Tim!JS23=Sheet6!$C$5,Sheet6!$C$5,IF(Tim!JS23=Sheet6!$C$6,Sheet6!$C$6,IF(Tim!JS23=Sheet6!$C$7,Sheet6!$C$7,IF(Tim!JS23=Sheet6!$C$8,Sheet6!$C$8,"")))))))</f>
        <v/>
      </c>
      <c r="DJ21" s="57" t="str">
        <f>IF(Tim!KB23=Sheet6!$C$2,Sheet6!$C$2,IF(Tim!KB23=Sheet6!$C$3,Sheet6!$C$3,IF(Tim!KB23=Sheet6!$C$4,Sheet6!$C$4,IF(Tim!KB23=Sheet6!$C$5,Sheet6!$C$5,IF(Tim!KB23=Sheet6!$C$6,Sheet6!$C$6,IF(Tim!KB23=Sheet6!$C$7,Sheet6!$C$7,IF(Tim!KB23=Sheet6!$C$8,Sheet6!$C$8,"")))))))</f>
        <v/>
      </c>
      <c r="DK21" s="53" t="str">
        <f>IF(Tim!KI23=Sheet6!$C$2,Sheet6!$C$2,IF(Tim!KI23=Sheet6!$C$3,Sheet6!$C$3,IF(Tim!KI23=Sheet6!$C$4,Sheet6!$C$4,IF(Tim!KI23=Sheet6!$C$5,Sheet6!$C$5,IF(Tim!KI23=Sheet6!$C$6,Sheet6!$C$6,IF(Tim!KI23=Sheet6!$C$7,Sheet6!$C$7,IF(Tim!KI23=Sheet6!$C$8,Sheet6!$C$8,"")))))))</f>
        <v/>
      </c>
      <c r="DL21" s="53" t="str">
        <f>IF(Tim!KJ23=Sheet6!$C$2,Sheet6!$C$2,IF(Tim!KJ23=Sheet6!$C$3,Sheet6!$C$3,IF(Tim!KJ23=Sheet6!$C$4,Sheet6!$C$4,IF(Tim!KJ23=Sheet6!$C$5,Sheet6!$C$5,IF(Tim!KJ23=Sheet6!$C$6,Sheet6!$C$6,IF(Tim!KJ23=Sheet6!$C$7,Sheet6!$C$7,IF(Tim!KJ23=Sheet6!$C$8,Sheet6!$C$8,"")))))))</f>
        <v/>
      </c>
      <c r="DM21" s="53" t="str">
        <f>IF(Tim!KR23=Sheet6!$C$2,Sheet6!$C$2,IF(Tim!KR23=Sheet6!$C$3,Sheet6!$C$3,IF(Tim!KR23=Sheet6!$C$4,Sheet6!$C$4,IF(Tim!KR23=Sheet6!$C$5,Sheet6!$C$5,IF(Tim!KR23=Sheet6!$C$6,Sheet6!$C$6,IF(Tim!KR23=Sheet6!$C$7,Sheet6!$C$7,IF(Tim!KR23=Sheet6!$C$8,Sheet6!$C$8,"")))))))</f>
        <v/>
      </c>
      <c r="DN21" s="53" t="str">
        <f>IF(Tim!KS23=Sheet6!$C$2,Sheet6!$C$2,IF(Tim!KS23=Sheet6!$C$3,Sheet6!$C$3,IF(Tim!KS23=Sheet6!$C$4,Sheet6!$C$4,IF(Tim!KS23=Sheet6!$C$5,Sheet6!$C$5,IF(Tim!KS23=Sheet6!$C$6,Sheet6!$C$6,IF(Tim!KS23=Sheet6!$C$7,Sheet6!$C$7,IF(Tim!KS23=Sheet6!$C$8,Sheet6!$C$8,"")))))))</f>
        <v/>
      </c>
      <c r="DO21" s="53" t="str">
        <f>IF(Tim!KT23=Sheet6!$C$2,Sheet6!$C$2,IF(Tim!KT23=Sheet6!$C$3,Sheet6!$C$3,IF(Tim!KT23=Sheet6!$C$4,Sheet6!$C$4,IF(Tim!KT23=Sheet6!$C$5,Sheet6!$C$5,IF(Tim!KT23=Sheet6!$C$6,Sheet6!$C$6,IF(Tim!KT23=Sheet6!$C$7,Sheet6!$C$7,IF(Tim!KT23=Sheet6!$C$8,Sheet6!$C$8,"")))))))</f>
        <v/>
      </c>
      <c r="DP21" s="53" t="str">
        <f>IF(Tim!KU23=Sheet6!$C$2,Sheet6!$C$2,IF(Tim!KU23=Sheet6!$C$3,Sheet6!$C$3,IF(Tim!KU23=Sheet6!$C$4,Sheet6!$C$4,IF(Tim!KU23=Sheet6!$C$5,Sheet6!$C$5,IF(Tim!KU23=Sheet6!$C$6,Sheet6!$C$6,IF(Tim!KU23=Sheet6!$C$7,Sheet6!$C$7,IF(Tim!KU23=Sheet6!$C$8,Sheet6!$C$8,"")))))))</f>
        <v/>
      </c>
      <c r="DQ21" s="53" t="str">
        <f>IF(Tim!KV23=Sheet6!$C$2,Sheet6!$C$2,IF(Tim!KV23=Sheet6!$C$3,Sheet6!$C$3,IF(Tim!KV23=Sheet6!$C$4,Sheet6!$C$4,IF(Tim!KV23=Sheet6!$C$5,Sheet6!$C$5,IF(Tim!KV23=Sheet6!$C$6,Sheet6!$C$6,IF(Tim!KV23=Sheet6!$C$7,Sheet6!$C$7,IF(Tim!KV23=Sheet6!$C$8,Sheet6!$C$8,"")))))))</f>
        <v/>
      </c>
      <c r="DR21" s="53" t="str">
        <f>IF(Tim!KW23=Sheet6!$C$2,Sheet6!$C$2,IF(Tim!KW23=Sheet6!$C$3,Sheet6!$C$3,IF(Tim!KW23=Sheet6!$C$4,Sheet6!$C$4,IF(Tim!KW23=Sheet6!$C$5,Sheet6!$C$5,IF(Tim!KW23=Sheet6!$C$6,Sheet6!$C$6,IF(Tim!KW23=Sheet6!$C$7,Sheet6!$C$7,IF(Tim!KW23=Sheet6!$C$8,Sheet6!$C$8,"")))))))</f>
        <v/>
      </c>
      <c r="DS21" s="53" t="str">
        <f>IF(Tim!LA23=Sheet6!$C$2,Sheet6!$C$2,IF(Tim!LA23=Sheet6!$C$3,Sheet6!$C$3,IF(Tim!LA23=Sheet6!$C$4,Sheet6!$C$4,IF(Tim!LA23=Sheet6!$C$5,Sheet6!$C$5,IF(Tim!LA23=Sheet6!$C$6,Sheet6!$C$6,IF(Tim!LA23=Sheet6!$C$7,Sheet6!$C$7,IF(Tim!LA23=Sheet6!$C$8,Sheet6!$C$8,"")))))))</f>
        <v/>
      </c>
      <c r="DT21" s="54" t="str">
        <f>IF(Tim!LB23=Sheet6!$C$2,Sheet6!$C$2,IF(Tim!LB23=Sheet6!$C$3,Sheet6!$C$3,IF(Tim!LB23=Sheet6!$C$4,Sheet6!$C$4,IF(Tim!LB23=Sheet6!$C$5,Sheet6!$C$5,IF(Tim!LB23=Sheet6!$C$6,Sheet6!$C$6,IF(Tim!LB23=Sheet6!$C$7,Sheet6!$C$7,IF(Tim!LB23=Sheet6!$C$8,Sheet6!$C$8,"")))))))</f>
        <v/>
      </c>
      <c r="DU21" s="54" t="str">
        <f>IF(Tim!LC23=Sheet6!$C$2,Sheet6!$C$2,IF(Tim!LC23=Sheet6!$C$3,Sheet6!$C$3,IF(Tim!LC23=Sheet6!$C$4,Sheet6!$C$4,IF(Tim!LC23=Sheet6!$C$5,Sheet6!$C$5,IF(Tim!LC23=Sheet6!$C$6,Sheet6!$C$6,IF(Tim!LC23=Sheet6!$C$7,Sheet6!$C$7,IF(Tim!LC23=Sheet6!$C$8,Sheet6!$C$8,"")))))))</f>
        <v/>
      </c>
      <c r="DV21" s="54" t="str">
        <f>IF(Tim!LD23=Sheet6!$C$2,Sheet6!$C$2,IF(Tim!LD23=Sheet6!$C$3,Sheet6!$C$3,IF(Tim!LD23=Sheet6!$C$4,Sheet6!$C$4,IF(Tim!LD23=Sheet6!$C$5,Sheet6!$C$5,IF(Tim!LD23=Sheet6!$C$6,Sheet6!$C$6,IF(Tim!LD23=Sheet6!$C$7,Sheet6!$C$7,IF(Tim!LD23=Sheet6!$C$8,Sheet6!$C$8,"")))))))</f>
        <v/>
      </c>
      <c r="DW21" s="55" t="str">
        <f>IF(Tim!LE23=Sheet6!$C$2,Sheet6!$C$2,IF(Tim!LE23=Sheet6!$C$3,Sheet6!$C$3,IF(Tim!LE23=Sheet6!$C$4,Sheet6!$C$4,IF(Tim!LE23=Sheet6!$C$5,Sheet6!$C$5,IF(Tim!LE23=Sheet6!$C$6,Sheet6!$C$6,IF(Tim!LE23=Sheet6!$C$7,Sheet6!$C$7,IF(Tim!LE23=Sheet6!$C$8,Sheet6!$C$8,"")))))))</f>
        <v/>
      </c>
      <c r="DX21" s="52">
        <v>0.45833333333333298</v>
      </c>
    </row>
    <row r="22" spans="2:128" ht="10.5" customHeight="1">
      <c r="B22" s="51">
        <v>0.25</v>
      </c>
      <c r="C22" s="51">
        <v>0.25</v>
      </c>
      <c r="D22" s="51">
        <v>0.25</v>
      </c>
      <c r="E22" s="52">
        <v>0.46875</v>
      </c>
      <c r="F22" s="53" t="str">
        <f>IF(Tim!F24=Sheet6!$C$2,Sheet6!$C$2,IF(Tim!F24=Sheet6!$C$3,Sheet6!$C$3,IF(Tim!F24=Sheet6!$C$4,Sheet6!$C$4,IF(Tim!F24=Sheet6!$C$5,Sheet6!$C$5,IF(Tim!F24=Sheet6!$C$6,Sheet6!$C$6,IF(Tim!F24=Sheet6!$C$7,Sheet6!$C$7,IF(Tim!F24=Sheet6!$C$8,Sheet6!$C$8,"")))))))</f>
        <v/>
      </c>
      <c r="G22" s="53" t="str">
        <f>IF(Tim!G24=Sheet6!$C$2,Sheet6!$C$2,IF(Tim!G24=Sheet6!$C$3,Sheet6!$C$3,IF(Tim!G24=Sheet6!$C$4,Sheet6!$C$4,IF(Tim!G24=Sheet6!$C$5,Sheet6!$C$5,IF(Tim!G24=Sheet6!$C$6,Sheet6!$C$6,IF(Tim!G24=Sheet6!$C$7,Sheet6!$C$7,IF(Tim!G24=Sheet6!$C$8,Sheet6!$C$8,"")))))))</f>
        <v/>
      </c>
      <c r="H22" s="53" t="str">
        <f>IF(Tim!H24=Sheet6!$C$2,Sheet6!$C$2,IF(Tim!H24=Sheet6!$C$3,Sheet6!$C$3,IF(Tim!H24=Sheet6!$C$4,Sheet6!$C$4,IF(Tim!H24=Sheet6!$C$5,Sheet6!$C$5,IF(Tim!H24=Sheet6!$C$6,Sheet6!$C$6,IF(Tim!H24=Sheet6!$C$7,Sheet6!$C$7,IF(Tim!H24=Sheet6!$C$8,Sheet6!$C$8,"")))))))</f>
        <v/>
      </c>
      <c r="I22" s="53" t="str">
        <f>IF(Tim!L24=Sheet6!$C$2,Sheet6!$C$2,IF(Tim!L24=Sheet6!$C$3,Sheet6!$C$3,IF(Tim!L24=Sheet6!$C$4,Sheet6!$C$4,IF(Tim!L24=Sheet6!$C$5,Sheet6!$C$5,IF(Tim!L24=Sheet6!$C$6,Sheet6!$C$6,IF(Tim!L24=Sheet6!$C$7,Sheet6!$C$7,IF(Tim!L24=Sheet6!$C$8,Sheet6!$C$8,"")))))))</f>
        <v/>
      </c>
      <c r="J22" s="53" t="str">
        <f>IF(Tim!T24=Sheet6!$C$2,Sheet6!$C$2,IF(Tim!T24=Sheet6!$C$3,Sheet6!$C$3,IF(Tim!T24=Sheet6!$C$4,Sheet6!$C$4,IF(Tim!T24=Sheet6!$C$5,Sheet6!$C$5,IF(Tim!T24=Sheet6!$C$6,Sheet6!$C$6,IF(Tim!T24=Sheet6!$C$7,Sheet6!$C$7,IF(Tim!T24=Sheet6!$C$8,Sheet6!$C$8,"")))))))</f>
        <v/>
      </c>
      <c r="K22" s="53" t="str">
        <f>IF(Tim!AB24=Sheet6!$C$2,Sheet6!$C$2,IF(Tim!AB24=Sheet6!$C$3,Sheet6!$C$3,IF(Tim!AB24=Sheet6!$C$4,Sheet6!$C$4,IF(Tim!AB24=Sheet6!$C$5,Sheet6!$C$5,IF(Tim!AB24=Sheet6!$C$6,Sheet6!$C$6,IF(Tim!AB24=Sheet6!$C$7,Sheet6!$C$7,IF(Tim!AB24=Sheet6!$C$8,Sheet6!$C$8,"")))))))</f>
        <v/>
      </c>
      <c r="L22" s="53" t="str">
        <f>IF(Tim!AC24=Sheet6!$C$2,Sheet6!$C$2,IF(Tim!AC24=Sheet6!$C$3,Sheet6!$C$3,IF(Tim!AC24=Sheet6!$C$4,Sheet6!$C$4,IF(Tim!AC24=Sheet6!$C$5,Sheet6!$C$5,IF(Tim!AC24=Sheet6!$C$6,Sheet6!$C$6,IF(Tim!AC24=Sheet6!$C$7,Sheet6!$C$7,IF(Tim!AC24=Sheet6!$C$8,Sheet6!$C$8,"")))))))</f>
        <v/>
      </c>
      <c r="M22" s="53" t="str">
        <f>IF(Tim!AJ24=Sheet6!$C$2,Sheet6!$C$2,IF(Tim!AJ24=Sheet6!$C$3,Sheet6!$C$3,IF(Tim!AJ24=Sheet6!$C$4,Sheet6!$C$4,IF(Tim!AJ24=Sheet6!$C$5,Sheet6!$C$5,IF(Tim!AJ24=Sheet6!$C$6,Sheet6!$C$6,IF(Tim!AJ24=Sheet6!$C$7,Sheet6!$C$7,IF(Tim!AJ24=Sheet6!$C$8,Sheet6!$C$8,"")))))))</f>
        <v/>
      </c>
      <c r="N22" s="53" t="str">
        <f>IF(Tim!AK24=Sheet6!$C$2,Sheet6!$C$2,IF(Tim!AK24=Sheet6!$C$3,Sheet6!$C$3,IF(Tim!AK24=Sheet6!$C$4,Sheet6!$C$4,IF(Tim!AK24=Sheet6!$C$5,Sheet6!$C$5,IF(Tim!AK24=Sheet6!$C$6,Sheet6!$C$6,IF(Tim!AK24=Sheet6!$C$7,Sheet6!$C$7,IF(Tim!AK24=Sheet6!$C$8,Sheet6!$C$8,"")))))))</f>
        <v/>
      </c>
      <c r="O22" s="53" t="str">
        <f>IF(Tim!AL24=Sheet6!$C$2,Sheet6!$C$2,IF(Tim!AL24=Sheet6!$C$3,Sheet6!$C$3,IF(Tim!AL24=Sheet6!$C$4,Sheet6!$C$4,IF(Tim!AL24=Sheet6!$C$5,Sheet6!$C$5,IF(Tim!AL24=Sheet6!$C$6,Sheet6!$C$6,IF(Tim!AL24=Sheet6!$C$7,Sheet6!$C$7,IF(Tim!AL24=Sheet6!$C$8,Sheet6!$C$8,"")))))))</f>
        <v/>
      </c>
      <c r="P22" s="53" t="str">
        <f>IF(Tim!AN24=Sheet6!$C$2,Sheet6!$C$2,IF(Tim!AN24=Sheet6!$C$3,Sheet6!$C$3,IF(Tim!AN24=Sheet6!$C$4,Sheet6!$C$4,IF(Tim!AN24=Sheet6!$C$5,Sheet6!$C$5,IF(Tim!AN24=Sheet6!$C$6,Sheet6!$C$6,IF(Tim!AN24=Sheet6!$C$7,Sheet6!$C$7,IF(Tim!AN24=Sheet6!$C$8,Sheet6!$C$8,"")))))))</f>
        <v/>
      </c>
      <c r="Q22" s="53" t="str">
        <f>IF(Tim!AO24=Sheet6!$C$2,Sheet6!$C$2,IF(Tim!AO24=Sheet6!$C$3,Sheet6!$C$3,IF(Tim!AO24=Sheet6!$C$4,Sheet6!$C$4,IF(Tim!AO24=Sheet6!$C$5,Sheet6!$C$5,IF(Tim!AO24=Sheet6!$C$6,Sheet6!$C$6,IF(Tim!AO24=Sheet6!$C$7,Sheet6!$C$7,IF(Tim!AO24=Sheet6!$C$8,Sheet6!$C$8,"")))))))</f>
        <v/>
      </c>
      <c r="R22" s="53" t="str">
        <f>IF(Tim!AP24=Sheet6!$C$2,Sheet6!$C$2,IF(Tim!AP24=Sheet6!$C$3,Sheet6!$C$3,IF(Tim!AP24=Sheet6!$C$4,Sheet6!$C$4,IF(Tim!AP24=Sheet6!$C$5,Sheet6!$C$5,IF(Tim!AP24=Sheet6!$C$6,Sheet6!$C$6,IF(Tim!AP24=Sheet6!$C$7,Sheet6!$C$7,IF(Tim!AP24=Sheet6!$C$8,Sheet6!$C$8,"")))))))</f>
        <v/>
      </c>
      <c r="S22" s="53" t="str">
        <f>IF(Tim!AT24=Sheet6!$C$2,Sheet6!$C$2,IF(Tim!AT24=Sheet6!$C$3,Sheet6!$C$3,IF(Tim!AT24=Sheet6!$C$4,Sheet6!$C$4,IF(Tim!AT24=Sheet6!$C$5,Sheet6!$C$5,IF(Tim!AT24=Sheet6!$C$6,Sheet6!$C$6,IF(Tim!AT24=Sheet6!$C$7,Sheet6!$C$7,IF(Tim!AT24=Sheet6!$C$8,Sheet6!$C$8,"")))))))</f>
        <v/>
      </c>
      <c r="T22" s="54" t="str">
        <f>IF(Tim!AU24=Sheet6!$C$2,Sheet6!$C$2,IF(Tim!AU24=Sheet6!$C$3,Sheet6!$C$3,IF(Tim!AU24=Sheet6!$C$4,Sheet6!$C$4,IF(Tim!AU24=Sheet6!$C$5,Sheet6!$C$5,IF(Tim!AU24=Sheet6!$C$6,Sheet6!$C$6,IF(Tim!AU24=Sheet6!$C$7,Sheet6!$C$7,IF(Tim!AU24=Sheet6!$C$8,Sheet6!$C$8,"")))))))</f>
        <v/>
      </c>
      <c r="U22" s="54" t="str">
        <f>IF(Tim!AV24=Sheet6!$C$2,Sheet6!$C$2,IF(Tim!AV24=Sheet6!$C$3,Sheet6!$C$3,IF(Tim!AV24=Sheet6!$C$4,Sheet6!$C$4,IF(Tim!AV24=Sheet6!$C$5,Sheet6!$C$5,IF(Tim!AV24=Sheet6!$C$6,Sheet6!$C$6,IF(Tim!AV24=Sheet6!$C$7,Sheet6!$C$7,IF(Tim!AV24=Sheet6!$C$8,Sheet6!$C$8,"")))))))</f>
        <v/>
      </c>
      <c r="V22" s="54" t="str">
        <f>IF(Tim!AW24=Sheet6!$C$2,Sheet6!$C$2,IF(Tim!AW24=Sheet6!$C$3,Sheet6!$C$3,IF(Tim!AW24=Sheet6!$C$4,Sheet6!$C$4,IF(Tim!AW24=Sheet6!$C$5,Sheet6!$C$5,IF(Tim!AW24=Sheet6!$C$6,Sheet6!$C$6,IF(Tim!AW24=Sheet6!$C$7,Sheet6!$C$7,IF(Tim!AW24=Sheet6!$C$8,Sheet6!$C$8,"")))))))</f>
        <v/>
      </c>
      <c r="W22" s="55" t="str">
        <f>IF(Tim!AX24=Sheet6!$C$2,Sheet6!$C$2,IF(Tim!AX24=Sheet6!$C$3,Sheet6!$C$3,IF(Tim!AX24=Sheet6!$C$4,Sheet6!$C$4,IF(Tim!AX24=Sheet6!$C$5,Sheet6!$C$5,IF(Tim!AX24=Sheet6!$C$6,Sheet6!$C$6,IF(Tim!AX24=Sheet6!$C$7,Sheet6!$C$7,IF(Tim!AX24=Sheet6!$C$8,Sheet6!$C$8,"")))))))</f>
        <v/>
      </c>
      <c r="X22" s="53" t="str">
        <f>IF(Tim!AY24=Sheet6!$C$2,Sheet6!$C$2,IF(Tim!AY24=Sheet6!$C$3,Sheet6!$C$3,IF(Tim!AY24=Sheet6!$C$4,Sheet6!$C$4,IF(Tim!AY24=Sheet6!$C$5,Sheet6!$C$5,IF(Tim!AY24=Sheet6!$C$6,Sheet6!$C$6,IF(Tim!AY24=Sheet6!$C$7,Sheet6!$C$7,IF(Tim!AY24=Sheet6!$C$8,Sheet6!$C$8,"")))))))</f>
        <v/>
      </c>
      <c r="Y22" s="53" t="str">
        <f>IF(Tim!AZ24=Sheet6!$C$2,Sheet6!$C$2,IF(Tim!AZ24=Sheet6!$C$3,Sheet6!$C$3,IF(Tim!AZ24=Sheet6!$C$4,Sheet6!$C$4,IF(Tim!AZ24=Sheet6!$C$5,Sheet6!$C$5,IF(Tim!AZ24=Sheet6!$C$6,Sheet6!$C$6,IF(Tim!AZ24=Sheet6!$C$7,Sheet6!$C$7,IF(Tim!AZ24=Sheet6!$C$8,Sheet6!$C$8,"")))))))</f>
        <v/>
      </c>
      <c r="Z22" s="57" t="str">
        <f>IF(Tim!BD24=Sheet6!$C$2,Sheet6!$C$2,IF(Tim!BD24=Sheet6!$C$3,Sheet6!$C$3,IF(Tim!BD24=Sheet6!$C$4,Sheet6!$C$4,IF(Tim!BD24=Sheet6!$C$5,Sheet6!$C$5,IF(Tim!BD24=Sheet6!$C$6,Sheet6!$C$6,IF(Tim!BD24=Sheet6!$C$7,Sheet6!$C$7,IF(Tim!BD24=Sheet6!$C$8,Sheet6!$C$8,"")))))))</f>
        <v/>
      </c>
      <c r="AA22" s="53" t="str">
        <f>IF(Tim!BE24=Sheet6!$C$2,Sheet6!$C$2,IF(Tim!BE24=Sheet6!$C$3,Sheet6!$C$3,IF(Tim!BE24=Sheet6!$C$4,Sheet6!$C$4,IF(Tim!BE24=Sheet6!$C$5,Sheet6!$C$5,IF(Tim!BE24=Sheet6!$C$6,Sheet6!$C$6,IF(Tim!BE24=Sheet6!$C$7,Sheet6!$C$7,IF(Tim!BE24=Sheet6!$C$8,Sheet6!$C$8,"")))))))</f>
        <v/>
      </c>
      <c r="AB22" s="53" t="str">
        <f>IF(Tim!BL24=Sheet6!$C$2,Sheet6!$C$2,IF(Tim!BL24=Sheet6!$C$3,Sheet6!$C$3,IF(Tim!BL24=Sheet6!$C$4,Sheet6!$C$4,IF(Tim!BL24=Sheet6!$C$5,Sheet6!$C$5,IF(Tim!BL24=Sheet6!$C$6,Sheet6!$C$6,IF(Tim!BL24=Sheet6!$C$7,Sheet6!$C$7,IF(Tim!BL24=Sheet6!$C$8,Sheet6!$C$8,"")))))))</f>
        <v/>
      </c>
      <c r="AC22" s="53" t="str">
        <f>IF(Tim!BT24=Sheet6!$C$2,Sheet6!$C$2,IF(Tim!BT24=Sheet6!$C$3,Sheet6!$C$3,IF(Tim!BT24=Sheet6!$C$4,Sheet6!$C$4,IF(Tim!BT24=Sheet6!$C$5,Sheet6!$C$5,IF(Tim!BT24=Sheet6!$C$6,Sheet6!$C$6,IF(Tim!BT24=Sheet6!$C$7,Sheet6!$C$7,IF(Tim!BT24=Sheet6!$C$8,Sheet6!$C$8,"")))))))</f>
        <v/>
      </c>
      <c r="AD22" s="181" t="str">
        <f>IF(Tim!BU24=Sheet6!$C$2,Sheet6!$C$2,IF(Tim!BU24=Sheet6!$C$3,Sheet6!$C$3,IF(Tim!BU24=Sheet6!$C$4,Sheet6!$C$4,IF(Tim!BU24=Sheet6!$C$5,Sheet6!$C$5,IF(Tim!BU24=Sheet6!$C$6,Sheet6!$C$6,IF(Tim!BU24=Sheet6!$C$7,Sheet6!$C$7,IF(Tim!BU24=Sheet6!$C$8,Sheet6!$C$8,"")))))))</f>
        <v/>
      </c>
      <c r="AE22" s="181" t="str">
        <f>IF(Tim!CB24=Sheet6!$C$2,Sheet6!$C$2,IF(Tim!CB24=Sheet6!$C$3,Sheet6!$C$3,IF(Tim!CB24=Sheet6!$C$4,Sheet6!$C$4,IF(Tim!CB24=Sheet6!$C$5,Sheet6!$C$5,IF(Tim!CB24=Sheet6!$C$6,Sheet6!$C$6,IF(Tim!CB24=Sheet6!$C$7,Sheet6!$C$7,IF(Tim!CB24=Sheet6!$C$8,Sheet6!$C$8,"")))))))</f>
        <v/>
      </c>
      <c r="AF22" s="181" t="str">
        <f>IF(Tim!CD24=Sheet6!$C$2,Sheet6!$C$2,IF(Tim!CD24=Sheet6!$C$3,Sheet6!$C$3,IF(Tim!CD24=Sheet6!$C$4,Sheet6!$C$4,IF(Tim!CD24=Sheet6!$C$5,Sheet6!$C$5,IF(Tim!CD24=Sheet6!$C$6,Sheet6!$C$6,IF(Tim!CD24=Sheet6!$C$7,Sheet6!$C$7,IF(Tim!CD24=Sheet6!$C$8,Sheet6!$C$8,"")))))))</f>
        <v/>
      </c>
      <c r="AG22" s="53" t="str">
        <f>IF(Tim!CE24=Sheet6!$C$2,Sheet6!$C$2,IF(Tim!CE24=Sheet6!$C$3,Sheet6!$C$3,IF(Tim!CE24=Sheet6!$C$4,Sheet6!$C$4,IF(Tim!CE24=Sheet6!$C$5,Sheet6!$C$5,IF(Tim!CE24=Sheet6!$C$6,Sheet6!$C$6,IF(Tim!CE24=Sheet6!$C$7,Sheet6!$C$7,IF(Tim!CE24=Sheet6!$C$8,Sheet6!$C$8,"")))))))</f>
        <v/>
      </c>
      <c r="AH22" s="53" t="str">
        <f>IF(Tim!CF24=Sheet6!$C$2,Sheet6!$C$2,IF(Tim!CF24=Sheet6!$C$3,Sheet6!$C$3,IF(Tim!CF24=Sheet6!$C$4,Sheet6!$C$4,IF(Tim!CF24=Sheet6!$C$5,Sheet6!$C$5,IF(Tim!CF24=Sheet6!$C$6,Sheet6!$C$6,IF(Tim!CF24=Sheet6!$C$7,Sheet6!$C$7,IF(Tim!CF24=Sheet6!$C$8,Sheet6!$C$8,"")))))))</f>
        <v/>
      </c>
      <c r="AI22" s="53" t="str">
        <f>IF(Tim!CG24=Sheet6!$C$2,Sheet6!$C$2,IF(Tim!CG24=Sheet6!$C$3,Sheet6!$C$3,IF(Tim!CG24=Sheet6!$C$4,Sheet6!$C$4,IF(Tim!CG24=Sheet6!$C$5,Sheet6!$C$5,IF(Tim!CG24=Sheet6!$C$6,Sheet6!$C$6,IF(Tim!CG24=Sheet6!$C$7,Sheet6!$C$7,IF(Tim!CG24=Sheet6!$C$8,Sheet6!$C$8,"")))))))</f>
        <v/>
      </c>
      <c r="AJ22" s="53" t="str">
        <f>IF(Tim!CH24=Sheet6!$C$2,Sheet6!$C$2,IF(Tim!CH24=Sheet6!$C$3,Sheet6!$C$3,IF(Tim!CH24=Sheet6!$C$4,Sheet6!$C$4,IF(Tim!CH24=Sheet6!$C$5,Sheet6!$C$5,IF(Tim!CH24=Sheet6!$C$6,Sheet6!$C$6,IF(Tim!CH24=Sheet6!$C$7,Sheet6!$C$7,IF(Tim!CH24=Sheet6!$C$8,Sheet6!$C$8,"")))))))</f>
        <v/>
      </c>
      <c r="AK22" s="53" t="str">
        <f>IF(Tim!CL24=Sheet6!$C$2,Sheet6!$C$2,IF(Tim!CL24=Sheet6!$C$3,Sheet6!$C$3,IF(Tim!CL24=Sheet6!$C$4,Sheet6!$C$4,IF(Tim!CL24=Sheet6!$C$5,Sheet6!$C$5,IF(Tim!CL24=Sheet6!$C$6,Sheet6!$C$6,IF(Tim!CL24=Sheet6!$C$7,Sheet6!$C$7,IF(Tim!CL24=Sheet6!$C$8,Sheet6!$C$8,"")))))))</f>
        <v/>
      </c>
      <c r="AL22" s="54" t="str">
        <f>IF(Tim!CM24=Sheet6!$C$2,Sheet6!$C$2,IF(Tim!CM24=Sheet6!$C$3,Sheet6!$C$3,IF(Tim!CM24=Sheet6!$C$4,Sheet6!$C$4,IF(Tim!CM24=Sheet6!$C$5,Sheet6!$C$5,IF(Tim!CM24=Sheet6!$C$6,Sheet6!$C$6,IF(Tim!CM24=Sheet6!$C$7,Sheet6!$C$7,IF(Tim!CM24=Sheet6!$C$8,Sheet6!$C$8,"")))))))</f>
        <v/>
      </c>
      <c r="AM22" s="54" t="str">
        <f>IF(Tim!CN24=Sheet6!$C$2,Sheet6!$C$2,IF(Tim!CN24=Sheet6!$C$3,Sheet6!$C$3,IF(Tim!CN24=Sheet6!$C$4,Sheet6!$C$4,IF(Tim!CN24=Sheet6!$C$5,Sheet6!$C$5,IF(Tim!CN24=Sheet6!$C$6,Sheet6!$C$6,IF(Tim!CN24=Sheet6!$C$7,Sheet6!$C$7,IF(Tim!CN24=Sheet6!$C$8,Sheet6!$C$8,"")))))))</f>
        <v/>
      </c>
      <c r="AN22" s="54" t="str">
        <f>IF(Tim!CO24=Sheet6!$C$2,Sheet6!$C$2,IF(Tim!CO24=Sheet6!$C$3,Sheet6!$C$3,IF(Tim!CO24=Sheet6!$C$4,Sheet6!$C$4,IF(Tim!CO24=Sheet6!$C$5,Sheet6!$C$5,IF(Tim!CO24=Sheet6!$C$6,Sheet6!$C$6,IF(Tim!CO24=Sheet6!$C$7,Sheet6!$C$7,IF(Tim!CO24=Sheet6!$C$8,Sheet6!$C$8,"")))))))</f>
        <v/>
      </c>
      <c r="AO22" s="55" t="str">
        <f>IF(Tim!CP24=Sheet6!$C$2,Sheet6!$C$2,IF(Tim!CP24=Sheet6!$C$3,Sheet6!$C$3,IF(Tim!CP24=Sheet6!$C$4,Sheet6!$C$4,IF(Tim!CP24=Sheet6!$C$5,Sheet6!$C$5,IF(Tim!CP24=Sheet6!$C$6,Sheet6!$C$6,IF(Tim!CP24=Sheet6!$C$7,Sheet6!$C$7,IF(Tim!CP24=Sheet6!$C$8,Sheet6!$C$8,"")))))))</f>
        <v/>
      </c>
      <c r="AP22" s="53" t="str">
        <f>IF(Tim!CQ24=Sheet6!$C$2,Sheet6!$C$2,IF(Tim!CQ24=Sheet6!$C$3,Sheet6!$C$3,IF(Tim!CQ24=Sheet6!$C$4,Sheet6!$C$4,IF(Tim!CQ24=Sheet6!$C$5,Sheet6!$C$5,IF(Tim!CQ24=Sheet6!$C$6,Sheet6!$C$6,IF(Tim!CQ24=Sheet6!$C$7,Sheet6!$C$7,IF(Tim!CQ24=Sheet6!$C$8,Sheet6!$C$8,"")))))))</f>
        <v/>
      </c>
      <c r="AQ22" s="57" t="str">
        <f>IF(Tim!CR24=Sheet6!$C$2,Sheet6!$C$2,IF(Tim!CR24=Sheet6!$C$3,Sheet6!$C$3,IF(Tim!CR24=Sheet6!$C$4,Sheet6!$C$4,IF(Tim!CR24=Sheet6!$C$5,Sheet6!$C$5,IF(Tim!CR24=Sheet6!$C$6,Sheet6!$C$6,IF(Tim!CR24=Sheet6!$C$7,Sheet6!$C$7,IF(Tim!CR24=Sheet6!$C$8,Sheet6!$C$8,"")))))))</f>
        <v/>
      </c>
      <c r="AR22" s="57" t="str">
        <f>IF(Tim!CV24=Sheet6!$C$2,Sheet6!$C$2,IF(Tim!CV24=Sheet6!$C$3,Sheet6!$C$3,IF(Tim!CV24=Sheet6!$C$4,Sheet6!$C$4,IF(Tim!CV24=Sheet6!$C$5,Sheet6!$C$5,IF(Tim!CV24=Sheet6!$C$6,Sheet6!$C$6,IF(Tim!CV24=Sheet6!$C$7,Sheet6!$C$7,IF(Tim!CV24=Sheet6!$C$8,Sheet6!$C$8,"")))))))</f>
        <v/>
      </c>
      <c r="AS22" s="57" t="str">
        <f>IF(Tim!CW24=Sheet6!$C$2,Sheet6!$C$2,IF(Tim!CW24=Sheet6!$C$3,Sheet6!$C$3,IF(Tim!CW24=Sheet6!$C$4,Sheet6!$C$4,IF(Tim!CW24=Sheet6!$C$5,Sheet6!$C$5,IF(Tim!CW24=Sheet6!$C$6,Sheet6!$C$6,IF(Tim!CW24=Sheet6!$C$7,Sheet6!$C$7,IF(Tim!CW24=Sheet6!$C$8,Sheet6!$C$8,"")))))))</f>
        <v/>
      </c>
      <c r="AT22" s="57" t="str">
        <f>IF(Tim!DA24=Sheet6!$C$2,Sheet6!$C$2,IF(Tim!DA24=Sheet6!$C$3,Sheet6!$C$3,IF(Tim!DA24=Sheet6!$C$4,Sheet6!$C$4,IF(Tim!DA24=Sheet6!$C$5,Sheet6!$C$5,IF(Tim!DA24=Sheet6!$C$6,Sheet6!$C$6,IF(Tim!DA24=Sheet6!$C$7,Sheet6!$C$7,IF(Tim!DA24=Sheet6!$C$8,Sheet6!$C$8,"")))))))</f>
        <v/>
      </c>
      <c r="AU22" s="53" t="str">
        <f>IF(Tim!DO24=Sheet6!$C$2,Sheet6!$C$2,IF(Tim!DO24=Sheet6!$C$3,Sheet6!$C$3,IF(Tim!DO24=Sheet6!$C$4,Sheet6!$C$4,IF(Tim!DO24=Sheet6!$C$5,Sheet6!$C$5,IF(Tim!DO24=Sheet6!$C$6,Sheet6!$C$6,IF(Tim!DO24=Sheet6!$C$7,Sheet6!$C$7,IF(Tim!DO24=Sheet6!$C$8,Sheet6!$C$8,"")))))))</f>
        <v/>
      </c>
      <c r="AV22" s="53" t="str">
        <f>IF(Tim!DP24=Sheet6!$C$2,Sheet6!$C$2,IF(Tim!DP24=Sheet6!$C$3,Sheet6!$C$3,IF(Tim!DP24=Sheet6!$C$4,Sheet6!$C$4,IF(Tim!DP24=Sheet6!$C$5,Sheet6!$C$5,IF(Tim!DP24=Sheet6!$C$6,Sheet6!$C$6,IF(Tim!DP24=Sheet6!$C$7,Sheet6!$C$7,IF(Tim!DP24=Sheet6!$C$8,Sheet6!$C$8,"")))))))</f>
        <v/>
      </c>
      <c r="AW22" s="53" t="str">
        <f>IF(Tim!DX24=Sheet6!$C$2,Sheet6!$C$2,IF(Tim!DX24=Sheet6!$C$3,Sheet6!$C$3,IF(Tim!DX24=Sheet6!$C$4,Sheet6!$C$4,IF(Tim!DX24=Sheet6!$C$5,Sheet6!$C$5,IF(Tim!DX24=Sheet6!$C$6,Sheet6!$C$6,IF(Tim!DX24=Sheet6!$C$7,Sheet6!$C$7,IF(Tim!DX24=Sheet6!$C$8,Sheet6!$C$8,"")))))))</f>
        <v/>
      </c>
      <c r="AX22" s="53" t="str">
        <f>IF(Tim!DY24=Sheet6!$C$2,Sheet6!$C$2,IF(Tim!DY24=Sheet6!$C$3,Sheet6!$C$3,IF(Tim!DY24=Sheet6!$C$4,Sheet6!$C$4,IF(Tim!DY24=Sheet6!$C$5,Sheet6!$C$5,IF(Tim!DY24=Sheet6!$C$6,Sheet6!$C$6,IF(Tim!DY24=Sheet6!$C$7,Sheet6!$C$7,IF(Tim!DY24=Sheet6!$C$8,Sheet6!$C$8,"")))))))</f>
        <v/>
      </c>
      <c r="AY22" s="53" t="str">
        <f>IF(Tim!DZ24=Sheet6!$C$2,Sheet6!$C$2,IF(Tim!DZ24=Sheet6!$C$3,Sheet6!$C$3,IF(Tim!DZ24=Sheet6!$C$4,Sheet6!$C$4,IF(Tim!DZ24=Sheet6!$C$5,Sheet6!$C$5,IF(Tim!DZ24=Sheet6!$C$6,Sheet6!$C$6,IF(Tim!DZ24=Sheet6!$C$7,Sheet6!$C$7,IF(Tim!DZ24=Sheet6!$C$8,Sheet6!$C$8,"")))))))</f>
        <v/>
      </c>
      <c r="AZ22" s="53" t="str">
        <f>IF(Tim!EA24=Sheet6!$C$2,Sheet6!$C$2,IF(Tim!EA24=Sheet6!$C$3,Sheet6!$C$3,IF(Tim!EA24=Sheet6!$C$4,Sheet6!$C$4,IF(Tim!EA24=Sheet6!$C$5,Sheet6!$C$5,IF(Tim!EA24=Sheet6!$C$6,Sheet6!$C$6,IF(Tim!EA24=Sheet6!$C$7,Sheet6!$C$7,IF(Tim!EA24=Sheet6!$C$8,Sheet6!$C$8,"")))))))</f>
        <v/>
      </c>
      <c r="BA22" s="53" t="str">
        <f>IF(Tim!EB24=Sheet6!$C$2,Sheet6!$C$2,IF(Tim!EB24=Sheet6!$C$3,Sheet6!$C$3,IF(Tim!EB24=Sheet6!$C$4,Sheet6!$C$4,IF(Tim!EB24=Sheet6!$C$5,Sheet6!$C$5,IF(Tim!EB24=Sheet6!$C$6,Sheet6!$C$6,IF(Tim!EB24=Sheet6!$C$7,Sheet6!$C$7,IF(Tim!EB24=Sheet6!$C$8,Sheet6!$C$8,"")))))))</f>
        <v/>
      </c>
      <c r="BB22" s="53" t="str">
        <f>IF(Tim!EC24=Sheet6!$C$2,Sheet6!$C$2,IF(Tim!EC24=Sheet6!$C$3,Sheet6!$C$3,IF(Tim!EC24=Sheet6!$C$4,Sheet6!$C$4,IF(Tim!EC24=Sheet6!$C$5,Sheet6!$C$5,IF(Tim!EC24=Sheet6!$C$6,Sheet6!$C$6,IF(Tim!EC24=Sheet6!$C$7,Sheet6!$C$7,IF(Tim!EC24=Sheet6!$C$8,Sheet6!$C$8,"")))))))</f>
        <v/>
      </c>
      <c r="BC22" s="53" t="str">
        <f>IF(Tim!EG24=Sheet6!$C$2,Sheet6!$C$2,IF(Tim!EG24=Sheet6!$C$3,Sheet6!$C$3,IF(Tim!EG24=Sheet6!$C$4,Sheet6!$C$4,IF(Tim!EG24=Sheet6!$C$5,Sheet6!$C$5,IF(Tim!EG24=Sheet6!$C$6,Sheet6!$C$6,IF(Tim!EG24=Sheet6!$C$7,Sheet6!$C$7,IF(Tim!EG24=Sheet6!$C$8,Sheet6!$C$8,"")))))))</f>
        <v/>
      </c>
      <c r="BD22" s="54" t="str">
        <f>IF(Tim!EH24=Sheet6!$C$2,Sheet6!$C$2,IF(Tim!EH24=Sheet6!$C$3,Sheet6!$C$3,IF(Tim!EH24=Sheet6!$C$4,Sheet6!$C$4,IF(Tim!EH24=Sheet6!$C$5,Sheet6!$C$5,IF(Tim!EH24=Sheet6!$C$6,Sheet6!$C$6,IF(Tim!EH24=Sheet6!$C$7,Sheet6!$C$7,IF(Tim!EH24=Sheet6!$C$8,Sheet6!$C$8,"")))))))</f>
        <v/>
      </c>
      <c r="BE22" s="54" t="str">
        <f>IF(Tim!EI24=Sheet6!$C$2,Sheet6!$C$2,IF(Tim!EI24=Sheet6!$C$3,Sheet6!$C$3,IF(Tim!EI24=Sheet6!$C$4,Sheet6!$C$4,IF(Tim!EI24=Sheet6!$C$5,Sheet6!$C$5,IF(Tim!EI24=Sheet6!$C$6,Sheet6!$C$6,IF(Tim!EI24=Sheet6!$C$7,Sheet6!$C$7,IF(Tim!EI24=Sheet6!$C$8,Sheet6!$C$8,"")))))))</f>
        <v/>
      </c>
      <c r="BF22" s="54" t="str">
        <f>IF(Tim!EJ24=Sheet6!$C$2,Sheet6!$C$2,IF(Tim!EJ24=Sheet6!$C$3,Sheet6!$C$3,IF(Tim!EJ24=Sheet6!$C$4,Sheet6!$C$4,IF(Tim!EJ24=Sheet6!$C$5,Sheet6!$C$5,IF(Tim!EJ24=Sheet6!$C$6,Sheet6!$C$6,IF(Tim!EJ24=Sheet6!$C$7,Sheet6!$C$7,IF(Tim!EJ24=Sheet6!$C$8,Sheet6!$C$8,"")))))))</f>
        <v/>
      </c>
      <c r="BG22" s="55" t="str">
        <f>IF(Tim!EK24=Sheet6!$C$2,Sheet6!$C$2,IF(Tim!EK24=Sheet6!$C$3,Sheet6!$C$3,IF(Tim!EK24=Sheet6!$C$4,Sheet6!$C$4,IF(Tim!EK24=Sheet6!$C$5,Sheet6!$C$5,IF(Tim!EK24=Sheet6!$C$6,Sheet6!$C$6,IF(Tim!EK24=Sheet6!$C$7,Sheet6!$C$7,IF(Tim!EK24=Sheet6!$C$8,Sheet6!$C$8,"")))))))</f>
        <v/>
      </c>
      <c r="BH22" s="57" t="str">
        <f>IF(Tim!EL24=Sheet6!$C$2,Sheet6!$C$2,IF(Tim!EL24=Sheet6!$C$3,Sheet6!$C$3,IF(Tim!EL24=Sheet6!$C$4,Sheet6!$C$4,IF(Tim!EL24=Sheet6!$C$5,Sheet6!$C$5,IF(Tim!EL24=Sheet6!$C$6,Sheet6!$C$6,IF(Tim!EL24=Sheet6!$C$7,Sheet6!$C$7,IF(Tim!EL24=Sheet6!$C$8,Sheet6!$C$8,"")))))))</f>
        <v/>
      </c>
      <c r="BI22" s="57" t="str">
        <f>IF(Tim!EM24=Sheet6!$C$2,Sheet6!$C$2,IF(Tim!EM24=Sheet6!$C$3,Sheet6!$C$3,IF(Tim!EM24=Sheet6!$C$4,Sheet6!$C$4,IF(Tim!EM24=Sheet6!$C$5,Sheet6!$C$5,IF(Tim!EM24=Sheet6!$C$6,Sheet6!$C$6,IF(Tim!EM24=Sheet6!$C$7,Sheet6!$C$7,IF(Tim!EM24=Sheet6!$C$8,Sheet6!$C$8,"")))))))</f>
        <v/>
      </c>
      <c r="BJ22" s="57" t="str">
        <f>IF(Tim!EQ24=Sheet6!$C$2,Sheet6!$C$2,IF(Tim!EQ24=Sheet6!$C$3,Sheet6!$C$3,IF(Tim!EQ24=Sheet6!$C$4,Sheet6!$C$4,IF(Tim!EQ24=Sheet6!$C$5,Sheet6!$C$5,IF(Tim!EQ24=Sheet6!$C$6,Sheet6!$C$6,IF(Tim!EQ24=Sheet6!$C$7,Sheet6!$C$7,IF(Tim!EQ24=Sheet6!$C$8,Sheet6!$C$8,"")))))))</f>
        <v/>
      </c>
      <c r="BK22" s="57" t="str">
        <f>IF(Tim!ER24=Sheet6!$C$2,Sheet6!$C$2,IF(Tim!ER24=Sheet6!$C$3,Sheet6!$C$3,IF(Tim!ER24=Sheet6!$C$4,Sheet6!$C$4,IF(Tim!ER24=Sheet6!$C$5,Sheet6!$C$5,IF(Tim!ER24=Sheet6!$C$6,Sheet6!$C$6,IF(Tim!ER24=Sheet6!$C$7,Sheet6!$C$7,IF(Tim!ER24=Sheet6!$C$8,Sheet6!$C$8,"")))))))</f>
        <v/>
      </c>
      <c r="BL22" s="57" t="str">
        <f>IF(Tim!EZ24=Sheet6!$C$2,Sheet6!$C$2,IF(Tim!EZ24=Sheet6!$C$3,Sheet6!$C$3,IF(Tim!EZ24=Sheet6!$C$4,Sheet6!$C$4,IF(Tim!EZ24=Sheet6!$C$5,Sheet6!$C$5,IF(Tim!EZ24=Sheet6!$C$6,Sheet6!$C$6,IF(Tim!EZ24=Sheet6!$C$7,Sheet6!$C$7,IF(Tim!EZ24=Sheet6!$C$8,Sheet6!$C$8,"")))))))</f>
        <v/>
      </c>
      <c r="BM22" s="53" t="str">
        <f>IF(Tim!FG24=Sheet6!$C$2,Sheet6!$C$2,IF(Tim!FG24=Sheet6!$C$3,Sheet6!$C$3,IF(Tim!FG24=Sheet6!$C$4,Sheet6!$C$4,IF(Tim!FG24=Sheet6!$C$5,Sheet6!$C$5,IF(Tim!FG24=Sheet6!$C$6,Sheet6!$C$6,IF(Tim!FG24=Sheet6!$C$7,Sheet6!$C$7,IF(Tim!FG24=Sheet6!$C$8,Sheet6!$C$8,"")))))))</f>
        <v/>
      </c>
      <c r="BN22" s="53" t="str">
        <f>IF(Tim!FH24=Sheet6!$C$2,Sheet6!$C$2,IF(Tim!FH24=Sheet6!$C$3,Sheet6!$C$3,IF(Tim!FH24=Sheet6!$C$4,Sheet6!$C$4,IF(Tim!FH24=Sheet6!$C$5,Sheet6!$C$5,IF(Tim!FH24=Sheet6!$C$6,Sheet6!$C$6,IF(Tim!FH24=Sheet6!$C$7,Sheet6!$C$7,IF(Tim!FH24=Sheet6!$C$8,Sheet6!$C$8,"")))))))</f>
        <v/>
      </c>
      <c r="BO22" s="53" t="str">
        <f>IF(Tim!FP24=Sheet6!$C$2,Sheet6!$C$2,IF(Tim!FP24=Sheet6!$C$3,Sheet6!$C$3,IF(Tim!FP24=Sheet6!$C$4,Sheet6!$C$4,IF(Tim!FP24=Sheet6!$C$5,Sheet6!$C$5,IF(Tim!FP24=Sheet6!$C$6,Sheet6!$C$6,IF(Tim!FP24=Sheet6!$C$7,Sheet6!$C$7,IF(Tim!FP24=Sheet6!$C$8,Sheet6!$C$8,"")))))))</f>
        <v/>
      </c>
      <c r="BP22" s="53" t="str">
        <f>IF(Tim!FQ24=Sheet6!$C$2,Sheet6!$C$2,IF(Tim!FQ24=Sheet6!$C$3,Sheet6!$C$3,IF(Tim!FQ24=Sheet6!$C$4,Sheet6!$C$4,IF(Tim!FQ24=Sheet6!$C$5,Sheet6!$C$5,IF(Tim!FQ24=Sheet6!$C$6,Sheet6!$C$6,IF(Tim!FQ24=Sheet6!$C$7,Sheet6!$C$7,IF(Tim!FQ24=Sheet6!$C$8,Sheet6!$C$8,"")))))))</f>
        <v/>
      </c>
      <c r="BQ22" s="53" t="str">
        <f>IF(Tim!FR24=Sheet6!$C$2,Sheet6!$C$2,IF(Tim!FR24=Sheet6!$C$3,Sheet6!$C$3,IF(Tim!FR24=Sheet6!$C$4,Sheet6!$C$4,IF(Tim!FR24=Sheet6!$C$5,Sheet6!$C$5,IF(Tim!FR24=Sheet6!$C$6,Sheet6!$C$6,IF(Tim!FR24=Sheet6!$C$7,Sheet6!$C$7,IF(Tim!FR24=Sheet6!$C$8,Sheet6!$C$8,"")))))))</f>
        <v/>
      </c>
      <c r="BR22" s="53" t="str">
        <f>IF(Tim!FS24=Sheet6!$C$2,Sheet6!$C$2,IF(Tim!FS24=Sheet6!$C$3,Sheet6!$C$3,IF(Tim!FS24=Sheet6!$C$4,Sheet6!$C$4,IF(Tim!FS24=Sheet6!$C$5,Sheet6!$C$5,IF(Tim!FS24=Sheet6!$C$6,Sheet6!$C$6,IF(Tim!FS24=Sheet6!$C$7,Sheet6!$C$7,IF(Tim!FS24=Sheet6!$C$8,Sheet6!$C$8,"")))))))</f>
        <v/>
      </c>
      <c r="BS22" s="53" t="str">
        <f>IF(Tim!FT24=Sheet6!$C$2,Sheet6!$C$2,IF(Tim!FT24=Sheet6!$C$3,Sheet6!$C$3,IF(Tim!FT24=Sheet6!$C$4,Sheet6!$C$4,IF(Tim!FT24=Sheet6!$C$5,Sheet6!$C$5,IF(Tim!FT24=Sheet6!$C$6,Sheet6!$C$6,IF(Tim!FT24=Sheet6!$C$7,Sheet6!$C$7,IF(Tim!FT24=Sheet6!$C$8,Sheet6!$C$8,"")))))))</f>
        <v/>
      </c>
      <c r="BT22" s="53" t="str">
        <f>IF(Tim!FU24=Sheet6!$C$2,Sheet6!$C$2,IF(Tim!FU24=Sheet6!$C$3,Sheet6!$C$3,IF(Tim!FU24=Sheet6!$C$4,Sheet6!$C$4,IF(Tim!FU24=Sheet6!$C$5,Sheet6!$C$5,IF(Tim!FU24=Sheet6!$C$6,Sheet6!$C$6,IF(Tim!FU24=Sheet6!$C$7,Sheet6!$C$7,IF(Tim!FU24=Sheet6!$C$8,Sheet6!$C$8,"")))))))</f>
        <v/>
      </c>
      <c r="BU22" s="53" t="str">
        <f>IF(Tim!FY24=Sheet6!$C$2,Sheet6!$C$2,IF(Tim!FY24=Sheet6!$C$3,Sheet6!$C$3,IF(Tim!FY24=Sheet6!$C$4,Sheet6!$C$4,IF(Tim!FY24=Sheet6!$C$5,Sheet6!$C$5,IF(Tim!FY24=Sheet6!$C$6,Sheet6!$C$6,IF(Tim!FY24=Sheet6!$C$7,Sheet6!$C$7,IF(Tim!FY24=Sheet6!$C$8,Sheet6!$C$8,"")))))))</f>
        <v/>
      </c>
      <c r="BV22" s="54" t="str">
        <f>IF(Tim!FZ24=Sheet6!$C$2,Sheet6!$C$2,IF(Tim!FZ24=Sheet6!$C$3,Sheet6!$C$3,IF(Tim!FZ24=Sheet6!$C$4,Sheet6!$C$4,IF(Tim!FZ24=Sheet6!$C$5,Sheet6!$C$5,IF(Tim!FZ24=Sheet6!$C$6,Sheet6!$C$6,IF(Tim!FZ24=Sheet6!$C$7,Sheet6!$C$7,IF(Tim!FZ24=Sheet6!$C$8,Sheet6!$C$8,"")))))))</f>
        <v/>
      </c>
      <c r="BW22" s="54" t="str">
        <f>IF(Tim!GA24=Sheet6!$C$2,Sheet6!$C$2,IF(Tim!GA24=Sheet6!$C$3,Sheet6!$C$3,IF(Tim!GA24=Sheet6!$C$4,Sheet6!$C$4,IF(Tim!GA24=Sheet6!$C$5,Sheet6!$C$5,IF(Tim!GA24=Sheet6!$C$6,Sheet6!$C$6,IF(Tim!GA24=Sheet6!$C$7,Sheet6!$C$7,IF(Tim!GA24=Sheet6!$C$8,Sheet6!$C$8,"")))))))</f>
        <v/>
      </c>
      <c r="BX22" s="54" t="str">
        <f>IF(Tim!GB24=Sheet6!$C$2,Sheet6!$C$2,IF(Tim!GB24=Sheet6!$C$3,Sheet6!$C$3,IF(Tim!GB24=Sheet6!$C$4,Sheet6!$C$4,IF(Tim!GB24=Sheet6!$C$5,Sheet6!$C$5,IF(Tim!GB24=Sheet6!$C$6,Sheet6!$C$6,IF(Tim!GB24=Sheet6!$C$7,Sheet6!$C$7,IF(Tim!GB24=Sheet6!$C$8,Sheet6!$C$8,"")))))))</f>
        <v/>
      </c>
      <c r="BY22" s="55" t="str">
        <f>IF(Tim!GC24=Sheet6!$C$2,Sheet6!$C$2,IF(Tim!GC24=Sheet6!$C$3,Sheet6!$C$3,IF(Tim!GC24=Sheet6!$C$4,Sheet6!$C$4,IF(Tim!GC24=Sheet6!$C$5,Sheet6!$C$5,IF(Tim!GC24=Sheet6!$C$6,Sheet6!$C$6,IF(Tim!GC24=Sheet6!$C$7,Sheet6!$C$7,IF(Tim!GC24=Sheet6!$C$8,Sheet6!$C$8,"")))))))</f>
        <v/>
      </c>
      <c r="BZ22" s="53" t="str">
        <f>IF(Tim!GD24=Sheet6!$C$2,Sheet6!$C$2,IF(Tim!GD24=Sheet6!$C$3,Sheet6!$C$3,IF(Tim!GD24=Sheet6!$C$4,Sheet6!$C$4,IF(Tim!GD24=Sheet6!$C$5,Sheet6!$C$5,IF(Tim!GD24=Sheet6!$C$6,Sheet6!$C$6,IF(Tim!GD24=Sheet6!$C$7,Sheet6!$C$7,IF(Tim!GD24=Sheet6!$C$8,Sheet6!$C$8,"")))))))</f>
        <v/>
      </c>
      <c r="CA22" s="53" t="str">
        <f>IF(Tim!GE24=Sheet6!$C$2,Sheet6!$C$2,IF(Tim!GE24=Sheet6!$C$3,Sheet6!$C$3,IF(Tim!GE24=Sheet6!$C$4,Sheet6!$C$4,IF(Tim!GE24=Sheet6!$C$5,Sheet6!$C$5,IF(Tim!GE24=Sheet6!$C$6,Sheet6!$C$6,IF(Tim!GE24=Sheet6!$C$7,Sheet6!$C$7,IF(Tim!GE24=Sheet6!$C$8,Sheet6!$C$8,"")))))))</f>
        <v/>
      </c>
      <c r="CB22" s="53" t="str">
        <f>IF(Tim!GI24=Sheet6!$C$2,Sheet6!$C$2,IF(Tim!GI24=Sheet6!$C$3,Sheet6!$C$3,IF(Tim!GI24=Sheet6!$C$4,Sheet6!$C$4,IF(Tim!GI24=Sheet6!$C$5,Sheet6!$C$5,IF(Tim!GI24=Sheet6!$C$6,Sheet6!$C$6,IF(Tim!GI24=Sheet6!$C$7,Sheet6!$C$7,IF(Tim!GI24=Sheet6!$C$8,Sheet6!$C$8,"")))))))</f>
        <v/>
      </c>
      <c r="CC22" s="57" t="str">
        <f>IF(Tim!GJ24=Sheet6!$C$2,Sheet6!$C$2,IF(Tim!GJ24=Sheet6!$C$3,Sheet6!$C$3,IF(Tim!GJ24=Sheet6!$C$4,Sheet6!$C$4,IF(Tim!GJ24=Sheet6!$C$5,Sheet6!$C$5,IF(Tim!GJ24=Sheet6!$C$6,Sheet6!$C$6,IF(Tim!GJ24=Sheet6!$C$7,Sheet6!$C$7,IF(Tim!GJ24=Sheet6!$C$8,Sheet6!$C$8,"")))))))</f>
        <v/>
      </c>
      <c r="CD22" s="57" t="str">
        <f>IF(Tim!GN24=Sheet6!$C$2,Sheet6!$C$2,IF(Tim!GN24=Sheet6!$C$3,Sheet6!$C$3,IF(Tim!GN24=Sheet6!$C$4,Sheet6!$C$4,IF(Tim!GN24=Sheet6!$C$5,Sheet6!$C$5,IF(Tim!GN24=Sheet6!$C$6,Sheet6!$C$6,IF(Tim!GN24=Sheet6!$C$7,Sheet6!$C$7,IF(Tim!GN24=Sheet6!$C$8,Sheet6!$C$8,"")))))))</f>
        <v/>
      </c>
      <c r="CE22" s="53" t="str">
        <f>IF(Tim!GY24=Sheet6!$C$2,Sheet6!$C$2,IF(Tim!GY24=Sheet6!$C$3,Sheet6!$C$3,IF(Tim!GY24=Sheet6!$C$4,Sheet6!$C$4,IF(Tim!GY24=Sheet6!$C$5,Sheet6!$C$5,IF(Tim!GY24=Sheet6!$C$6,Sheet6!$C$6,IF(Tim!GY24=Sheet6!$C$7,Sheet6!$C$7,IF(Tim!GY24=Sheet6!$C$8,Sheet6!$C$8,"")))))))</f>
        <v/>
      </c>
      <c r="CF22" s="181" t="str">
        <f>IF(Tim!GZ24=Sheet6!$C$2,Sheet6!$C$2,IF(Tim!GZ24=Sheet6!$C$3,Sheet6!$C$3,IF(Tim!GZ24=Sheet6!$C$4,Sheet6!$C$4,IF(Tim!GZ24=Sheet6!$C$5,Sheet6!$C$5,IF(Tim!GZ24=Sheet6!$C$6,Sheet6!$C$6,IF(Tim!GZ24=Sheet6!$C$7,Sheet6!$C$7,IF(Tim!GZ24=Sheet6!$C$8,Sheet6!$C$8,"")))))))</f>
        <v/>
      </c>
      <c r="CG22" s="181" t="str">
        <f>IF(Tim!HH24=Sheet6!$C$2,Sheet6!$C$2,IF(Tim!HH24=Sheet6!$C$3,Sheet6!$C$3,IF(Tim!HH24=Sheet6!$C$4,Sheet6!$C$4,IF(Tim!HH24=Sheet6!$C$5,Sheet6!$C$5,IF(Tim!HH24=Sheet6!$C$6,Sheet6!$C$6,IF(Tim!HH24=Sheet6!$C$7,Sheet6!$C$7,IF(Tim!HH24=Sheet6!$C$8,Sheet6!$C$8,"")))))))</f>
        <v/>
      </c>
      <c r="CH22" s="181" t="str">
        <f>IF(Tim!HI24=Sheet6!$C$2,Sheet6!$C$2,IF(Tim!HI24=Sheet6!$C$3,Sheet6!$C$3,IF(Tim!HI24=Sheet6!$C$4,Sheet6!$C$4,IF(Tim!HI24=Sheet6!$C$5,Sheet6!$C$5,IF(Tim!HI24=Sheet6!$C$6,Sheet6!$C$6,IF(Tim!HI24=Sheet6!$C$7,Sheet6!$C$7,IF(Tim!HI24=Sheet6!$C$8,Sheet6!$C$8,"")))))))</f>
        <v/>
      </c>
      <c r="CI22" s="181" t="str">
        <f>IF(Tim!HJ24=Sheet6!$C$2,Sheet6!$C$2,IF(Tim!HJ24=Sheet6!$C$3,Sheet6!$C$3,IF(Tim!HJ24=Sheet6!$C$4,Sheet6!$C$4,IF(Tim!HJ24=Sheet6!$C$5,Sheet6!$C$5,IF(Tim!HJ24=Sheet6!$C$6,Sheet6!$C$6,IF(Tim!HJ24=Sheet6!$C$7,Sheet6!$C$7,IF(Tim!HJ24=Sheet6!$C$8,Sheet6!$C$8,"")))))))</f>
        <v/>
      </c>
      <c r="CJ22" s="53" t="str">
        <f>IF(Tim!HK24=Sheet6!$C$2,Sheet6!$C$2,IF(Tim!HK24=Sheet6!$C$3,Sheet6!$C$3,IF(Tim!HK24=Sheet6!$C$4,Sheet6!$C$4,IF(Tim!HK24=Sheet6!$C$5,Sheet6!$C$5,IF(Tim!HK24=Sheet6!$C$6,Sheet6!$C$6,IF(Tim!HK24=Sheet6!$C$7,Sheet6!$C$7,IF(Tim!HK24=Sheet6!$C$8,Sheet6!$C$8,"")))))))</f>
        <v/>
      </c>
      <c r="CK22" s="53" t="str">
        <f>IF(Tim!HL24=Sheet6!$C$2,Sheet6!$C$2,IF(Tim!HL24=Sheet6!$C$3,Sheet6!$C$3,IF(Tim!HL24=Sheet6!$C$4,Sheet6!$C$4,IF(Tim!HL24=Sheet6!$C$5,Sheet6!$C$5,IF(Tim!HL24=Sheet6!$C$6,Sheet6!$C$6,IF(Tim!HL24=Sheet6!$C$7,Sheet6!$C$7,IF(Tim!HL24=Sheet6!$C$8,Sheet6!$C$8,"")))))))</f>
        <v/>
      </c>
      <c r="CL22" s="53" t="str">
        <f>IF(Tim!HM24=Sheet6!$C$2,Sheet6!$C$2,IF(Tim!HM24=Sheet6!$C$3,Sheet6!$C$3,IF(Tim!HM24=Sheet6!$C$4,Sheet6!$C$4,IF(Tim!HM24=Sheet6!$C$5,Sheet6!$C$5,IF(Tim!HM24=Sheet6!$C$6,Sheet6!$C$6,IF(Tim!HM24=Sheet6!$C$7,Sheet6!$C$7,IF(Tim!HM24=Sheet6!$C$8,Sheet6!$C$8,"")))))))</f>
        <v/>
      </c>
      <c r="CM22" s="53" t="str">
        <f>IF(Tim!HQ24=Sheet6!$C$2,Sheet6!$C$2,IF(Tim!HQ24=Sheet6!$C$3,Sheet6!$C$3,IF(Tim!HQ24=Sheet6!$C$4,Sheet6!$C$4,IF(Tim!HQ24=Sheet6!$C$5,Sheet6!$C$5,IF(Tim!HQ24=Sheet6!$C$6,Sheet6!$C$6,IF(Tim!HQ24=Sheet6!$C$7,Sheet6!$C$7,IF(Tim!HQ24=Sheet6!$C$8,Sheet6!$C$8,"")))))))</f>
        <v/>
      </c>
      <c r="CN22" s="54" t="str">
        <f>IF(Tim!HR24=Sheet6!$C$2,Sheet6!$C$2,IF(Tim!HR24=Sheet6!$C$3,Sheet6!$C$3,IF(Tim!HR24=Sheet6!$C$4,Sheet6!$C$4,IF(Tim!HR24=Sheet6!$C$5,Sheet6!$C$5,IF(Tim!HR24=Sheet6!$C$6,Sheet6!$C$6,IF(Tim!HR24=Sheet6!$C$7,Sheet6!$C$7,IF(Tim!HR24=Sheet6!$C$8,Sheet6!$C$8,"")))))))</f>
        <v/>
      </c>
      <c r="CO22" s="54" t="str">
        <f>IF(Tim!HS24=Sheet6!$C$2,Sheet6!$C$2,IF(Tim!HS24=Sheet6!$C$3,Sheet6!$C$3,IF(Tim!HS24=Sheet6!$C$4,Sheet6!$C$4,IF(Tim!HS24=Sheet6!$C$5,Sheet6!$C$5,IF(Tim!HS24=Sheet6!$C$6,Sheet6!$C$6,IF(Tim!HS24=Sheet6!$C$7,Sheet6!$C$7,IF(Tim!HS24=Sheet6!$C$8,Sheet6!$C$8,"")))))))</f>
        <v/>
      </c>
      <c r="CP22" s="54" t="str">
        <f>IF(Tim!HT24=Sheet6!$C$2,Sheet6!$C$2,IF(Tim!HT24=Sheet6!$C$3,Sheet6!$C$3,IF(Tim!HT24=Sheet6!$C$4,Sheet6!$C$4,IF(Tim!HT24=Sheet6!$C$5,Sheet6!$C$5,IF(Tim!HT24=Sheet6!$C$6,Sheet6!$C$6,IF(Tim!HT24=Sheet6!$C$7,Sheet6!$C$7,IF(Tim!HT24=Sheet6!$C$8,Sheet6!$C$8,"")))))))</f>
        <v/>
      </c>
      <c r="CQ22" s="55" t="str">
        <f>IF(Tim!HU24=Sheet6!$C$2,Sheet6!$C$2,IF(Tim!HU24=Sheet6!$C$3,Sheet6!$C$3,IF(Tim!HU24=Sheet6!$C$4,Sheet6!$C$4,IF(Tim!HU24=Sheet6!$C$5,Sheet6!$C$5,IF(Tim!HU24=Sheet6!$C$6,Sheet6!$C$6,IF(Tim!HU24=Sheet6!$C$7,Sheet6!$C$7,IF(Tim!HU24=Sheet6!$C$8,Sheet6!$C$8,"")))))))</f>
        <v/>
      </c>
      <c r="CR22" s="56" t="str">
        <f>IF(Tim!HV24=Sheet6!$C$2,Sheet6!$C$2,IF(Tim!HV24=Sheet6!$C$3,Sheet6!$C$3,IF(Tim!HV24=Sheet6!$C$4,Sheet6!$C$4,IF(Tim!HV24=Sheet6!$C$5,Sheet6!$C$5,IF(Tim!HV24=Sheet6!$C$6,Sheet6!$C$6,IF(Tim!HV24=Sheet6!$C$7,Sheet6!$C$7,IF(Tim!HV24=Sheet6!$C$8,Sheet6!$C$8,"")))))))</f>
        <v/>
      </c>
      <c r="CS22" s="57" t="str">
        <f>IF(Tim!IB24=Sheet6!$C$2,Sheet6!$C$2,IF(Tim!IB24=Sheet6!$C$3,Sheet6!$C$3,IF(Tim!IB24=Sheet6!$C$4,Sheet6!$C$4,IF(Tim!IB24=Sheet6!$C$5,Sheet6!$C$5,IF(Tim!IB24=Sheet6!$C$6,Sheet6!$C$6,IF(Tim!IB24=Sheet6!$C$7,Sheet6!$C$7,IF(Tim!IB24=Sheet6!$C$8,Sheet6!$C$8,"")))))))</f>
        <v/>
      </c>
      <c r="CT22" s="57" t="str">
        <f>IF(Tim!IJ24=Sheet6!$C$2,Sheet6!$C$2,IF(Tim!IJ24=Sheet6!$C$3,Sheet6!$C$3,IF(Tim!IJ24=Sheet6!$C$4,Sheet6!$C$4,IF(Tim!IJ24=Sheet6!$C$5,Sheet6!$C$5,IF(Tim!IJ24=Sheet6!$C$6,Sheet6!$C$6,IF(Tim!IJ24=Sheet6!$C$7,Sheet6!$C$7,IF(Tim!IJ24=Sheet6!$C$8,Sheet6!$C$8,"")))))))</f>
        <v/>
      </c>
      <c r="CU22" s="53" t="str">
        <f>IF(Tim!IQ24=Sheet6!$C$2,Sheet6!$C$2,IF(Tim!IQ24=Sheet6!$C$3,Sheet6!$C$3,IF(Tim!IQ24=Sheet6!$C$4,Sheet6!$C$4,IF(Tim!IQ24=Sheet6!$C$5,Sheet6!$C$5,IF(Tim!IQ24=Sheet6!$C$6,Sheet6!$C$6,IF(Tim!IQ24=Sheet6!$C$7,Sheet6!$C$7,IF(Tim!IQ24=Sheet6!$C$8,Sheet6!$C$8,"")))))))</f>
        <v/>
      </c>
      <c r="CV22" s="53" t="str">
        <f>IF(Tim!IR24=Sheet6!$C$2,Sheet6!$C$2,IF(Tim!IR24=Sheet6!$C$3,Sheet6!$C$3,IF(Tim!IR24=Sheet6!$C$4,Sheet6!$C$4,IF(Tim!IR24=Sheet6!$C$5,Sheet6!$C$5,IF(Tim!IR24=Sheet6!$C$6,Sheet6!$C$6,IF(Tim!IR24=Sheet6!$C$7,Sheet6!$C$7,IF(Tim!IR24=Sheet6!$C$8,Sheet6!$C$8,"")))))))</f>
        <v/>
      </c>
      <c r="CW22" s="53" t="str">
        <f>IF(Tim!IZ24=Sheet6!$C$2,Sheet6!$C$2,IF(Tim!IZ24=Sheet6!$C$3,Sheet6!$C$3,IF(Tim!IZ24=Sheet6!$C$4,Sheet6!$C$4,IF(Tim!IZ24=Sheet6!$C$5,Sheet6!$C$5,IF(Tim!IZ24=Sheet6!$C$6,Sheet6!$C$6,IF(Tim!IZ24=Sheet6!$C$7,Sheet6!$C$7,IF(Tim!IZ24=Sheet6!$C$8,Sheet6!$C$8,"")))))))</f>
        <v/>
      </c>
      <c r="CX22" s="53" t="str">
        <f>IF(Tim!JA24=Sheet6!$C$2,Sheet6!$C$2,IF(Tim!JA24=Sheet6!$C$3,Sheet6!$C$3,IF(Tim!JA24=Sheet6!$C$4,Sheet6!$C$4,IF(Tim!JA24=Sheet6!$C$5,Sheet6!$C$5,IF(Tim!JA24=Sheet6!$C$6,Sheet6!$C$6,IF(Tim!JA24=Sheet6!$C$7,Sheet6!$C$7,IF(Tim!JA24=Sheet6!$C$8,Sheet6!$C$8,"")))))))</f>
        <v/>
      </c>
      <c r="CY22" s="53" t="str">
        <f>IF(Tim!JB24=Sheet6!$C$2,Sheet6!$C$2,IF(Tim!JB24=Sheet6!$C$3,Sheet6!$C$3,IF(Tim!JB24=Sheet6!$C$4,Sheet6!$C$4,IF(Tim!JB24=Sheet6!$C$5,Sheet6!$C$5,IF(Tim!JB24=Sheet6!$C$6,Sheet6!$C$6,IF(Tim!JB24=Sheet6!$C$7,Sheet6!$C$7,IF(Tim!JB24=Sheet6!$C$8,Sheet6!$C$8,"")))))))</f>
        <v/>
      </c>
      <c r="CZ22" s="53" t="str">
        <f>IF(Tim!JC24=Sheet6!$C$2,Sheet6!$C$2,IF(Tim!JC24=Sheet6!$C$3,Sheet6!$C$3,IF(Tim!JC24=Sheet6!$C$4,Sheet6!$C$4,IF(Tim!JC24=Sheet6!$C$5,Sheet6!$C$5,IF(Tim!JC24=Sheet6!$C$6,Sheet6!$C$6,IF(Tim!JC24=Sheet6!$C$7,Sheet6!$C$7,IF(Tim!JC24=Sheet6!$C$8,Sheet6!$C$8,"")))))))</f>
        <v/>
      </c>
      <c r="DA22" s="53" t="str">
        <f>IF(Tim!JD24=Sheet6!$C$2,Sheet6!$C$2,IF(Tim!JD24=Sheet6!$C$3,Sheet6!$C$3,IF(Tim!JD24=Sheet6!$C$4,Sheet6!$C$4,IF(Tim!JD24=Sheet6!$C$5,Sheet6!$C$5,IF(Tim!JD24=Sheet6!$C$6,Sheet6!$C$6,IF(Tim!JD24=Sheet6!$C$7,Sheet6!$C$7,IF(Tim!JD24=Sheet6!$C$8,Sheet6!$C$8,"")))))))</f>
        <v/>
      </c>
      <c r="DB22" s="53" t="str">
        <f>IF(Tim!JE24=Sheet6!$C$2,Sheet6!$C$2,IF(Tim!JE24=Sheet6!$C$3,Sheet6!$C$3,IF(Tim!JE24=Sheet6!$C$4,Sheet6!$C$4,IF(Tim!JE24=Sheet6!$C$5,Sheet6!$C$5,IF(Tim!JE24=Sheet6!$C$6,Sheet6!$C$6,IF(Tim!JE24=Sheet6!$C$7,Sheet6!$C$7,IF(Tim!JE24=Sheet6!$C$8,Sheet6!$C$8,"")))))))</f>
        <v/>
      </c>
      <c r="DC22" s="53" t="str">
        <f>IF(Tim!JI24=Sheet6!$C$2,Sheet6!$C$2,IF(Tim!JI24=Sheet6!$C$3,Sheet6!$C$3,IF(Tim!JI24=Sheet6!$C$4,Sheet6!$C$4,IF(Tim!JI24=Sheet6!$C$5,Sheet6!$C$5,IF(Tim!JI24=Sheet6!$C$6,Sheet6!$C$6,IF(Tim!JI24=Sheet6!$C$7,Sheet6!$C$7,IF(Tim!JI24=Sheet6!$C$8,Sheet6!$C$8,"")))))))</f>
        <v/>
      </c>
      <c r="DD22" s="54" t="str">
        <f>IF(Tim!JJ24=Sheet6!$C$2,Sheet6!$C$2,IF(Tim!JJ24=Sheet6!$C$3,Sheet6!$C$3,IF(Tim!JJ24=Sheet6!$C$4,Sheet6!$C$4,IF(Tim!JJ24=Sheet6!$C$5,Sheet6!$C$5,IF(Tim!JJ24=Sheet6!$C$6,Sheet6!$C$6,IF(Tim!JJ24=Sheet6!$C$7,Sheet6!$C$7,IF(Tim!JJ24=Sheet6!$C$8,Sheet6!$C$8,"")))))))</f>
        <v/>
      </c>
      <c r="DE22" s="54" t="str">
        <f>IF(Tim!JK24=Sheet6!$C$2,Sheet6!$C$2,IF(Tim!JK24=Sheet6!$C$3,Sheet6!$C$3,IF(Tim!JK24=Sheet6!$C$4,Sheet6!$C$4,IF(Tim!JK24=Sheet6!$C$5,Sheet6!$C$5,IF(Tim!JK24=Sheet6!$C$6,Sheet6!$C$6,IF(Tim!JK24=Sheet6!$C$7,Sheet6!$C$7,IF(Tim!JK24=Sheet6!$C$8,Sheet6!$C$8,"")))))))</f>
        <v/>
      </c>
      <c r="DF22" s="54" t="str">
        <f>IF(Tim!JL24=Sheet6!$C$2,Sheet6!$C$2,IF(Tim!JL24=Sheet6!$C$3,Sheet6!$C$3,IF(Tim!JL24=Sheet6!$C$4,Sheet6!$C$4,IF(Tim!JL24=Sheet6!$C$5,Sheet6!$C$5,IF(Tim!JL24=Sheet6!$C$6,Sheet6!$C$6,IF(Tim!JL24=Sheet6!$C$7,Sheet6!$C$7,IF(Tim!JL24=Sheet6!$C$8,Sheet6!$C$8,"")))))))</f>
        <v/>
      </c>
      <c r="DG22" s="55" t="str">
        <f>IF(Tim!JM24=Sheet6!$C$2,Sheet6!$C$2,IF(Tim!JM24=Sheet6!$C$3,Sheet6!$C$3,IF(Tim!JM24=Sheet6!$C$4,Sheet6!$C$4,IF(Tim!JM24=Sheet6!$C$5,Sheet6!$C$5,IF(Tim!JM24=Sheet6!$C$6,Sheet6!$C$6,IF(Tim!JM24=Sheet6!$C$7,Sheet6!$C$7,IF(Tim!JM24=Sheet6!$C$8,Sheet6!$C$8,"")))))))</f>
        <v/>
      </c>
      <c r="DH22" s="56" t="str">
        <f>IF(Tim!JN24=Sheet6!$C$2,Sheet6!$C$2,IF(Tim!JN24=Sheet6!$C$3,Sheet6!$C$3,IF(Tim!JN24=Sheet6!$C$4,Sheet6!$C$4,IF(Tim!JN24=Sheet6!$C$5,Sheet6!$C$5,IF(Tim!JN24=Sheet6!$C$6,Sheet6!$C$6,IF(Tim!JN24=Sheet6!$C$7,Sheet6!$C$7,IF(Tim!JN24=Sheet6!$C$8,Sheet6!$C$8,"")))))))</f>
        <v/>
      </c>
      <c r="DI22" s="57" t="str">
        <f>IF(Tim!JS24=Sheet6!$C$2,Sheet6!$C$2,IF(Tim!JS24=Sheet6!$C$3,Sheet6!$C$3,IF(Tim!JS24=Sheet6!$C$4,Sheet6!$C$4,IF(Tim!JS24=Sheet6!$C$5,Sheet6!$C$5,IF(Tim!JS24=Sheet6!$C$6,Sheet6!$C$6,IF(Tim!JS24=Sheet6!$C$7,Sheet6!$C$7,IF(Tim!JS24=Sheet6!$C$8,Sheet6!$C$8,"")))))))</f>
        <v/>
      </c>
      <c r="DJ22" s="57" t="str">
        <f>IF(Tim!KB24=Sheet6!$C$2,Sheet6!$C$2,IF(Tim!KB24=Sheet6!$C$3,Sheet6!$C$3,IF(Tim!KB24=Sheet6!$C$4,Sheet6!$C$4,IF(Tim!KB24=Sheet6!$C$5,Sheet6!$C$5,IF(Tim!KB24=Sheet6!$C$6,Sheet6!$C$6,IF(Tim!KB24=Sheet6!$C$7,Sheet6!$C$7,IF(Tim!KB24=Sheet6!$C$8,Sheet6!$C$8,"")))))))</f>
        <v/>
      </c>
      <c r="DK22" s="53" t="str">
        <f>IF(Tim!KI24=Sheet6!$C$2,Sheet6!$C$2,IF(Tim!KI24=Sheet6!$C$3,Sheet6!$C$3,IF(Tim!KI24=Sheet6!$C$4,Sheet6!$C$4,IF(Tim!KI24=Sheet6!$C$5,Sheet6!$C$5,IF(Tim!KI24=Sheet6!$C$6,Sheet6!$C$6,IF(Tim!KI24=Sheet6!$C$7,Sheet6!$C$7,IF(Tim!KI24=Sheet6!$C$8,Sheet6!$C$8,"")))))))</f>
        <v/>
      </c>
      <c r="DL22" s="53" t="str">
        <f>IF(Tim!KJ24=Sheet6!$C$2,Sheet6!$C$2,IF(Tim!KJ24=Sheet6!$C$3,Sheet6!$C$3,IF(Tim!KJ24=Sheet6!$C$4,Sheet6!$C$4,IF(Tim!KJ24=Sheet6!$C$5,Sheet6!$C$5,IF(Tim!KJ24=Sheet6!$C$6,Sheet6!$C$6,IF(Tim!KJ24=Sheet6!$C$7,Sheet6!$C$7,IF(Tim!KJ24=Sheet6!$C$8,Sheet6!$C$8,"")))))))</f>
        <v/>
      </c>
      <c r="DM22" s="53" t="str">
        <f>IF(Tim!KR24=Sheet6!$C$2,Sheet6!$C$2,IF(Tim!KR24=Sheet6!$C$3,Sheet6!$C$3,IF(Tim!KR24=Sheet6!$C$4,Sheet6!$C$4,IF(Tim!KR24=Sheet6!$C$5,Sheet6!$C$5,IF(Tim!KR24=Sheet6!$C$6,Sheet6!$C$6,IF(Tim!KR24=Sheet6!$C$7,Sheet6!$C$7,IF(Tim!KR24=Sheet6!$C$8,Sheet6!$C$8,"")))))))</f>
        <v/>
      </c>
      <c r="DN22" s="53" t="str">
        <f>IF(Tim!KS24=Sheet6!$C$2,Sheet6!$C$2,IF(Tim!KS24=Sheet6!$C$3,Sheet6!$C$3,IF(Tim!KS24=Sheet6!$C$4,Sheet6!$C$4,IF(Tim!KS24=Sheet6!$C$5,Sheet6!$C$5,IF(Tim!KS24=Sheet6!$C$6,Sheet6!$C$6,IF(Tim!KS24=Sheet6!$C$7,Sheet6!$C$7,IF(Tim!KS24=Sheet6!$C$8,Sheet6!$C$8,"")))))))</f>
        <v/>
      </c>
      <c r="DO22" s="53" t="str">
        <f>IF(Tim!KT24=Sheet6!$C$2,Sheet6!$C$2,IF(Tim!KT24=Sheet6!$C$3,Sheet6!$C$3,IF(Tim!KT24=Sheet6!$C$4,Sheet6!$C$4,IF(Tim!KT24=Sheet6!$C$5,Sheet6!$C$5,IF(Tim!KT24=Sheet6!$C$6,Sheet6!$C$6,IF(Tim!KT24=Sheet6!$C$7,Sheet6!$C$7,IF(Tim!KT24=Sheet6!$C$8,Sheet6!$C$8,"")))))))</f>
        <v/>
      </c>
      <c r="DP22" s="53" t="str">
        <f>IF(Tim!KU24=Sheet6!$C$2,Sheet6!$C$2,IF(Tim!KU24=Sheet6!$C$3,Sheet6!$C$3,IF(Tim!KU24=Sheet6!$C$4,Sheet6!$C$4,IF(Tim!KU24=Sheet6!$C$5,Sheet6!$C$5,IF(Tim!KU24=Sheet6!$C$6,Sheet6!$C$6,IF(Tim!KU24=Sheet6!$C$7,Sheet6!$C$7,IF(Tim!KU24=Sheet6!$C$8,Sheet6!$C$8,"")))))))</f>
        <v/>
      </c>
      <c r="DQ22" s="53" t="str">
        <f>IF(Tim!KV24=Sheet6!$C$2,Sheet6!$C$2,IF(Tim!KV24=Sheet6!$C$3,Sheet6!$C$3,IF(Tim!KV24=Sheet6!$C$4,Sheet6!$C$4,IF(Tim!KV24=Sheet6!$C$5,Sheet6!$C$5,IF(Tim!KV24=Sheet6!$C$6,Sheet6!$C$6,IF(Tim!KV24=Sheet6!$C$7,Sheet6!$C$7,IF(Tim!KV24=Sheet6!$C$8,Sheet6!$C$8,"")))))))</f>
        <v/>
      </c>
      <c r="DR22" s="53" t="str">
        <f>IF(Tim!KW24=Sheet6!$C$2,Sheet6!$C$2,IF(Tim!KW24=Sheet6!$C$3,Sheet6!$C$3,IF(Tim!KW24=Sheet6!$C$4,Sheet6!$C$4,IF(Tim!KW24=Sheet6!$C$5,Sheet6!$C$5,IF(Tim!KW24=Sheet6!$C$6,Sheet6!$C$6,IF(Tim!KW24=Sheet6!$C$7,Sheet6!$C$7,IF(Tim!KW24=Sheet6!$C$8,Sheet6!$C$8,"")))))))</f>
        <v/>
      </c>
      <c r="DS22" s="53" t="str">
        <f>IF(Tim!LA24=Sheet6!$C$2,Sheet6!$C$2,IF(Tim!LA24=Sheet6!$C$3,Sheet6!$C$3,IF(Tim!LA24=Sheet6!$C$4,Sheet6!$C$4,IF(Tim!LA24=Sheet6!$C$5,Sheet6!$C$5,IF(Tim!LA24=Sheet6!$C$6,Sheet6!$C$6,IF(Tim!LA24=Sheet6!$C$7,Sheet6!$C$7,IF(Tim!LA24=Sheet6!$C$8,Sheet6!$C$8,"")))))))</f>
        <v/>
      </c>
      <c r="DT22" s="54" t="str">
        <f>IF(Tim!LB24=Sheet6!$C$2,Sheet6!$C$2,IF(Tim!LB24=Sheet6!$C$3,Sheet6!$C$3,IF(Tim!LB24=Sheet6!$C$4,Sheet6!$C$4,IF(Tim!LB24=Sheet6!$C$5,Sheet6!$C$5,IF(Tim!LB24=Sheet6!$C$6,Sheet6!$C$6,IF(Tim!LB24=Sheet6!$C$7,Sheet6!$C$7,IF(Tim!LB24=Sheet6!$C$8,Sheet6!$C$8,"")))))))</f>
        <v/>
      </c>
      <c r="DU22" s="54" t="str">
        <f>IF(Tim!LC24=Sheet6!$C$2,Sheet6!$C$2,IF(Tim!LC24=Sheet6!$C$3,Sheet6!$C$3,IF(Tim!LC24=Sheet6!$C$4,Sheet6!$C$4,IF(Tim!LC24=Sheet6!$C$5,Sheet6!$C$5,IF(Tim!LC24=Sheet6!$C$6,Sheet6!$C$6,IF(Tim!LC24=Sheet6!$C$7,Sheet6!$C$7,IF(Tim!LC24=Sheet6!$C$8,Sheet6!$C$8,"")))))))</f>
        <v/>
      </c>
      <c r="DV22" s="54" t="str">
        <f>IF(Tim!LD24=Sheet6!$C$2,Sheet6!$C$2,IF(Tim!LD24=Sheet6!$C$3,Sheet6!$C$3,IF(Tim!LD24=Sheet6!$C$4,Sheet6!$C$4,IF(Tim!LD24=Sheet6!$C$5,Sheet6!$C$5,IF(Tim!LD24=Sheet6!$C$6,Sheet6!$C$6,IF(Tim!LD24=Sheet6!$C$7,Sheet6!$C$7,IF(Tim!LD24=Sheet6!$C$8,Sheet6!$C$8,"")))))))</f>
        <v/>
      </c>
      <c r="DW22" s="55" t="str">
        <f>IF(Tim!LE24=Sheet6!$C$2,Sheet6!$C$2,IF(Tim!LE24=Sheet6!$C$3,Sheet6!$C$3,IF(Tim!LE24=Sheet6!$C$4,Sheet6!$C$4,IF(Tim!LE24=Sheet6!$C$5,Sheet6!$C$5,IF(Tim!LE24=Sheet6!$C$6,Sheet6!$C$6,IF(Tim!LE24=Sheet6!$C$7,Sheet6!$C$7,IF(Tim!LE24=Sheet6!$C$8,Sheet6!$C$8,"")))))))</f>
        <v/>
      </c>
      <c r="DX22" s="52">
        <v>0.46875</v>
      </c>
    </row>
    <row r="23" spans="2:128" ht="10.5" customHeight="1">
      <c r="B23" s="51">
        <v>0.25</v>
      </c>
      <c r="C23" s="51">
        <v>0.25</v>
      </c>
      <c r="D23" s="51">
        <v>0.25</v>
      </c>
      <c r="E23" s="52">
        <v>0.47916666666666602</v>
      </c>
      <c r="F23" s="53" t="str">
        <f>IF(Tim!F25=Sheet6!$C$2,Sheet6!$C$2,IF(Tim!F25=Sheet6!$C$3,Sheet6!$C$3,IF(Tim!F25=Sheet6!$C$4,Sheet6!$C$4,IF(Tim!F25=Sheet6!$C$5,Sheet6!$C$5,IF(Tim!F25=Sheet6!$C$6,Sheet6!$C$6,IF(Tim!F25=Sheet6!$C$7,Sheet6!$C$7,IF(Tim!F25=Sheet6!$C$8,Sheet6!$C$8,"")))))))</f>
        <v/>
      </c>
      <c r="G23" s="53" t="str">
        <f>IF(Tim!G25=Sheet6!$C$2,Sheet6!$C$2,IF(Tim!G25=Sheet6!$C$3,Sheet6!$C$3,IF(Tim!G25=Sheet6!$C$4,Sheet6!$C$4,IF(Tim!G25=Sheet6!$C$5,Sheet6!$C$5,IF(Tim!G25=Sheet6!$C$6,Sheet6!$C$6,IF(Tim!G25=Sheet6!$C$7,Sheet6!$C$7,IF(Tim!G25=Sheet6!$C$8,Sheet6!$C$8,"")))))))</f>
        <v/>
      </c>
      <c r="H23" s="53" t="str">
        <f>IF(Tim!H25=Sheet6!$C$2,Sheet6!$C$2,IF(Tim!H25=Sheet6!$C$3,Sheet6!$C$3,IF(Tim!H25=Sheet6!$C$4,Sheet6!$C$4,IF(Tim!H25=Sheet6!$C$5,Sheet6!$C$5,IF(Tim!H25=Sheet6!$C$6,Sheet6!$C$6,IF(Tim!H25=Sheet6!$C$7,Sheet6!$C$7,IF(Tim!H25=Sheet6!$C$8,Sheet6!$C$8,"")))))))</f>
        <v/>
      </c>
      <c r="I23" s="53" t="str">
        <f>IF(Tim!L25=Sheet6!$C$2,Sheet6!$C$2,IF(Tim!L25=Sheet6!$C$3,Sheet6!$C$3,IF(Tim!L25=Sheet6!$C$4,Sheet6!$C$4,IF(Tim!L25=Sheet6!$C$5,Sheet6!$C$5,IF(Tim!L25=Sheet6!$C$6,Sheet6!$C$6,IF(Tim!L25=Sheet6!$C$7,Sheet6!$C$7,IF(Tim!L25=Sheet6!$C$8,Sheet6!$C$8,"")))))))</f>
        <v/>
      </c>
      <c r="J23" s="53" t="str">
        <f>IF(Tim!T25=Sheet6!$C$2,Sheet6!$C$2,IF(Tim!T25=Sheet6!$C$3,Sheet6!$C$3,IF(Tim!T25=Sheet6!$C$4,Sheet6!$C$4,IF(Tim!T25=Sheet6!$C$5,Sheet6!$C$5,IF(Tim!T25=Sheet6!$C$6,Sheet6!$C$6,IF(Tim!T25=Sheet6!$C$7,Sheet6!$C$7,IF(Tim!T25=Sheet6!$C$8,Sheet6!$C$8,"")))))))</f>
        <v/>
      </c>
      <c r="K23" s="53" t="str">
        <f>IF(Tim!AB25=Sheet6!$C$2,Sheet6!$C$2,IF(Tim!AB25=Sheet6!$C$3,Sheet6!$C$3,IF(Tim!AB25=Sheet6!$C$4,Sheet6!$C$4,IF(Tim!AB25=Sheet6!$C$5,Sheet6!$C$5,IF(Tim!AB25=Sheet6!$C$6,Sheet6!$C$6,IF(Tim!AB25=Sheet6!$C$7,Sheet6!$C$7,IF(Tim!AB25=Sheet6!$C$8,Sheet6!$C$8,"")))))))</f>
        <v/>
      </c>
      <c r="L23" s="181" t="str">
        <f>IF(Tim!AC25=Sheet6!$C$2,Sheet6!$C$2,IF(Tim!AC25=Sheet6!$C$3,Sheet6!$C$3,IF(Tim!AC25=Sheet6!$C$4,Sheet6!$C$4,IF(Tim!AC25=Sheet6!$C$5,Sheet6!$C$5,IF(Tim!AC25=Sheet6!$C$6,Sheet6!$C$6,IF(Tim!AC25=Sheet6!$C$7,Sheet6!$C$7,IF(Tim!AC25=Sheet6!$C$8,Sheet6!$C$8,"")))))))</f>
        <v/>
      </c>
      <c r="M23" s="53" t="str">
        <f>IF(Tim!AJ25=Sheet6!$C$2,Sheet6!$C$2,IF(Tim!AJ25=Sheet6!$C$3,Sheet6!$C$3,IF(Tim!AJ25=Sheet6!$C$4,Sheet6!$C$4,IF(Tim!AJ25=Sheet6!$C$5,Sheet6!$C$5,IF(Tim!AJ25=Sheet6!$C$6,Sheet6!$C$6,IF(Tim!AJ25=Sheet6!$C$7,Sheet6!$C$7,IF(Tim!AJ25=Sheet6!$C$8,Sheet6!$C$8,"")))))))</f>
        <v/>
      </c>
      <c r="N23" s="53" t="str">
        <f>IF(Tim!AK25=Sheet6!$C$2,Sheet6!$C$2,IF(Tim!AK25=Sheet6!$C$3,Sheet6!$C$3,IF(Tim!AK25=Sheet6!$C$4,Sheet6!$C$4,IF(Tim!AK25=Sheet6!$C$5,Sheet6!$C$5,IF(Tim!AK25=Sheet6!$C$6,Sheet6!$C$6,IF(Tim!AK25=Sheet6!$C$7,Sheet6!$C$7,IF(Tim!AK25=Sheet6!$C$8,Sheet6!$C$8,"")))))))</f>
        <v/>
      </c>
      <c r="O23" s="53" t="str">
        <f>IF(Tim!AL25=Sheet6!$C$2,Sheet6!$C$2,IF(Tim!AL25=Sheet6!$C$3,Sheet6!$C$3,IF(Tim!AL25=Sheet6!$C$4,Sheet6!$C$4,IF(Tim!AL25=Sheet6!$C$5,Sheet6!$C$5,IF(Tim!AL25=Sheet6!$C$6,Sheet6!$C$6,IF(Tim!AL25=Sheet6!$C$7,Sheet6!$C$7,IF(Tim!AL25=Sheet6!$C$8,Sheet6!$C$8,"")))))))</f>
        <v/>
      </c>
      <c r="P23" s="53" t="str">
        <f>IF(Tim!AN25=Sheet6!$C$2,Sheet6!$C$2,IF(Tim!AN25=Sheet6!$C$3,Sheet6!$C$3,IF(Tim!AN25=Sheet6!$C$4,Sheet6!$C$4,IF(Tim!AN25=Sheet6!$C$5,Sheet6!$C$5,IF(Tim!AN25=Sheet6!$C$6,Sheet6!$C$6,IF(Tim!AN25=Sheet6!$C$7,Sheet6!$C$7,IF(Tim!AN25=Sheet6!$C$8,Sheet6!$C$8,"")))))))</f>
        <v/>
      </c>
      <c r="Q23" s="53" t="str">
        <f>IF(Tim!AO25=Sheet6!$C$2,Sheet6!$C$2,IF(Tim!AO25=Sheet6!$C$3,Sheet6!$C$3,IF(Tim!AO25=Sheet6!$C$4,Sheet6!$C$4,IF(Tim!AO25=Sheet6!$C$5,Sheet6!$C$5,IF(Tim!AO25=Sheet6!$C$6,Sheet6!$C$6,IF(Tim!AO25=Sheet6!$C$7,Sheet6!$C$7,IF(Tim!AO25=Sheet6!$C$8,Sheet6!$C$8,"")))))))</f>
        <v/>
      </c>
      <c r="R23" s="53" t="str">
        <f>IF(Tim!AP25=Sheet6!$C$2,Sheet6!$C$2,IF(Tim!AP25=Sheet6!$C$3,Sheet6!$C$3,IF(Tim!AP25=Sheet6!$C$4,Sheet6!$C$4,IF(Tim!AP25=Sheet6!$C$5,Sheet6!$C$5,IF(Tim!AP25=Sheet6!$C$6,Sheet6!$C$6,IF(Tim!AP25=Sheet6!$C$7,Sheet6!$C$7,IF(Tim!AP25=Sheet6!$C$8,Sheet6!$C$8,"")))))))</f>
        <v/>
      </c>
      <c r="S23" s="183" t="str">
        <f>IF(Tim!AT25=Sheet6!$C$2,Sheet6!$C$2,IF(Tim!AT25=Sheet6!$C$3,Sheet6!$C$3,IF(Tim!AT25=Sheet6!$C$4,Sheet6!$C$4,IF(Tim!AT25=Sheet6!$C$5,Sheet6!$C$5,IF(Tim!AT25=Sheet6!$C$6,Sheet6!$C$6,IF(Tim!AT25=Sheet6!$C$7,Sheet6!$C$7,IF(Tim!AT25=Sheet6!$C$8,Sheet6!$C$8,"")))))))</f>
        <v/>
      </c>
      <c r="T23" s="54" t="str">
        <f>IF(Tim!AU25=Sheet6!$C$2,Sheet6!$C$2,IF(Tim!AU25=Sheet6!$C$3,Sheet6!$C$3,IF(Tim!AU25=Sheet6!$C$4,Sheet6!$C$4,IF(Tim!AU25=Sheet6!$C$5,Sheet6!$C$5,IF(Tim!AU25=Sheet6!$C$6,Sheet6!$C$6,IF(Tim!AU25=Sheet6!$C$7,Sheet6!$C$7,IF(Tim!AU25=Sheet6!$C$8,Sheet6!$C$8,"")))))))</f>
        <v/>
      </c>
      <c r="U23" s="54" t="str">
        <f>IF(Tim!AV25=Sheet6!$C$2,Sheet6!$C$2,IF(Tim!AV25=Sheet6!$C$3,Sheet6!$C$3,IF(Tim!AV25=Sheet6!$C$4,Sheet6!$C$4,IF(Tim!AV25=Sheet6!$C$5,Sheet6!$C$5,IF(Tim!AV25=Sheet6!$C$6,Sheet6!$C$6,IF(Tim!AV25=Sheet6!$C$7,Sheet6!$C$7,IF(Tim!AV25=Sheet6!$C$8,Sheet6!$C$8,"")))))))</f>
        <v/>
      </c>
      <c r="V23" s="54" t="str">
        <f>IF(Tim!AW25=Sheet6!$C$2,Sheet6!$C$2,IF(Tim!AW25=Sheet6!$C$3,Sheet6!$C$3,IF(Tim!AW25=Sheet6!$C$4,Sheet6!$C$4,IF(Tim!AW25=Sheet6!$C$5,Sheet6!$C$5,IF(Tim!AW25=Sheet6!$C$6,Sheet6!$C$6,IF(Tim!AW25=Sheet6!$C$7,Sheet6!$C$7,IF(Tim!AW25=Sheet6!$C$8,Sheet6!$C$8,"")))))))</f>
        <v/>
      </c>
      <c r="W23" s="55" t="str">
        <f>IF(Tim!AX25=Sheet6!$C$2,Sheet6!$C$2,IF(Tim!AX25=Sheet6!$C$3,Sheet6!$C$3,IF(Tim!AX25=Sheet6!$C$4,Sheet6!$C$4,IF(Tim!AX25=Sheet6!$C$5,Sheet6!$C$5,IF(Tim!AX25=Sheet6!$C$6,Sheet6!$C$6,IF(Tim!AX25=Sheet6!$C$7,Sheet6!$C$7,IF(Tim!AX25=Sheet6!$C$8,Sheet6!$C$8,"")))))))</f>
        <v/>
      </c>
      <c r="X23" s="53" t="str">
        <f>IF(Tim!AY25=Sheet6!$C$2,Sheet6!$C$2,IF(Tim!AY25=Sheet6!$C$3,Sheet6!$C$3,IF(Tim!AY25=Sheet6!$C$4,Sheet6!$C$4,IF(Tim!AY25=Sheet6!$C$5,Sheet6!$C$5,IF(Tim!AY25=Sheet6!$C$6,Sheet6!$C$6,IF(Tim!AY25=Sheet6!$C$7,Sheet6!$C$7,IF(Tim!AY25=Sheet6!$C$8,Sheet6!$C$8,"")))))))</f>
        <v/>
      </c>
      <c r="Y23" s="53" t="str">
        <f>IF(Tim!AZ25=Sheet6!$C$2,Sheet6!$C$2,IF(Tim!AZ25=Sheet6!$C$3,Sheet6!$C$3,IF(Tim!AZ25=Sheet6!$C$4,Sheet6!$C$4,IF(Tim!AZ25=Sheet6!$C$5,Sheet6!$C$5,IF(Tim!AZ25=Sheet6!$C$6,Sheet6!$C$6,IF(Tim!AZ25=Sheet6!$C$7,Sheet6!$C$7,IF(Tim!AZ25=Sheet6!$C$8,Sheet6!$C$8,"")))))))</f>
        <v/>
      </c>
      <c r="Z23" s="57" t="str">
        <f>IF(Tim!BD25=Sheet6!$C$2,Sheet6!$C$2,IF(Tim!BD25=Sheet6!$C$3,Sheet6!$C$3,IF(Tim!BD25=Sheet6!$C$4,Sheet6!$C$4,IF(Tim!BD25=Sheet6!$C$5,Sheet6!$C$5,IF(Tim!BD25=Sheet6!$C$6,Sheet6!$C$6,IF(Tim!BD25=Sheet6!$C$7,Sheet6!$C$7,IF(Tim!BD25=Sheet6!$C$8,Sheet6!$C$8,"")))))))</f>
        <v/>
      </c>
      <c r="AA23" s="53" t="str">
        <f>IF(Tim!BE25=Sheet6!$C$2,Sheet6!$C$2,IF(Tim!BE25=Sheet6!$C$3,Sheet6!$C$3,IF(Tim!BE25=Sheet6!$C$4,Sheet6!$C$4,IF(Tim!BE25=Sheet6!$C$5,Sheet6!$C$5,IF(Tim!BE25=Sheet6!$C$6,Sheet6!$C$6,IF(Tim!BE25=Sheet6!$C$7,Sheet6!$C$7,IF(Tim!BE25=Sheet6!$C$8,Sheet6!$C$8,"")))))))</f>
        <v/>
      </c>
      <c r="AB23" s="53" t="str">
        <f>IF(Tim!BL25=Sheet6!$C$2,Sheet6!$C$2,IF(Tim!BL25=Sheet6!$C$3,Sheet6!$C$3,IF(Tim!BL25=Sheet6!$C$4,Sheet6!$C$4,IF(Tim!BL25=Sheet6!$C$5,Sheet6!$C$5,IF(Tim!BL25=Sheet6!$C$6,Sheet6!$C$6,IF(Tim!BL25=Sheet6!$C$7,Sheet6!$C$7,IF(Tim!BL25=Sheet6!$C$8,Sheet6!$C$8,"")))))))</f>
        <v/>
      </c>
      <c r="AC23" s="53" t="str">
        <f>IF(Tim!BT25=Sheet6!$C$2,Sheet6!$C$2,IF(Tim!BT25=Sheet6!$C$3,Sheet6!$C$3,IF(Tim!BT25=Sheet6!$C$4,Sheet6!$C$4,IF(Tim!BT25=Sheet6!$C$5,Sheet6!$C$5,IF(Tim!BT25=Sheet6!$C$6,Sheet6!$C$6,IF(Tim!BT25=Sheet6!$C$7,Sheet6!$C$7,IF(Tim!BT25=Sheet6!$C$8,Sheet6!$C$8,"")))))))</f>
        <v/>
      </c>
      <c r="AD23" s="181" t="str">
        <f>IF(Tim!BU25=Sheet6!$C$2,Sheet6!$C$2,IF(Tim!BU25=Sheet6!$C$3,Sheet6!$C$3,IF(Tim!BU25=Sheet6!$C$4,Sheet6!$C$4,IF(Tim!BU25=Sheet6!$C$5,Sheet6!$C$5,IF(Tim!BU25=Sheet6!$C$6,Sheet6!$C$6,IF(Tim!BU25=Sheet6!$C$7,Sheet6!$C$7,IF(Tim!BU25=Sheet6!$C$8,Sheet6!$C$8,"")))))))</f>
        <v/>
      </c>
      <c r="AE23" s="181" t="str">
        <f>IF(Tim!CB25=Sheet6!$C$2,Sheet6!$C$2,IF(Tim!CB25=Sheet6!$C$3,Sheet6!$C$3,IF(Tim!CB25=Sheet6!$C$4,Sheet6!$C$4,IF(Tim!CB25=Sheet6!$C$5,Sheet6!$C$5,IF(Tim!CB25=Sheet6!$C$6,Sheet6!$C$6,IF(Tim!CB25=Sheet6!$C$7,Sheet6!$C$7,IF(Tim!CB25=Sheet6!$C$8,Sheet6!$C$8,"")))))))</f>
        <v/>
      </c>
      <c r="AF23" s="181" t="str">
        <f>IF(Tim!CD25=Sheet6!$C$2,Sheet6!$C$2,IF(Tim!CD25=Sheet6!$C$3,Sheet6!$C$3,IF(Tim!CD25=Sheet6!$C$4,Sheet6!$C$4,IF(Tim!CD25=Sheet6!$C$5,Sheet6!$C$5,IF(Tim!CD25=Sheet6!$C$6,Sheet6!$C$6,IF(Tim!CD25=Sheet6!$C$7,Sheet6!$C$7,IF(Tim!CD25=Sheet6!$C$8,Sheet6!$C$8,"")))))))</f>
        <v/>
      </c>
      <c r="AG23" s="53" t="str">
        <f>IF(Tim!CE25=Sheet6!$C$2,Sheet6!$C$2,IF(Tim!CE25=Sheet6!$C$3,Sheet6!$C$3,IF(Tim!CE25=Sheet6!$C$4,Sheet6!$C$4,IF(Tim!CE25=Sheet6!$C$5,Sheet6!$C$5,IF(Tim!CE25=Sheet6!$C$6,Sheet6!$C$6,IF(Tim!CE25=Sheet6!$C$7,Sheet6!$C$7,IF(Tim!CE25=Sheet6!$C$8,Sheet6!$C$8,"")))))))</f>
        <v/>
      </c>
      <c r="AH23" s="53" t="str">
        <f>IF(Tim!CF25=Sheet6!$C$2,Sheet6!$C$2,IF(Tim!CF25=Sheet6!$C$3,Sheet6!$C$3,IF(Tim!CF25=Sheet6!$C$4,Sheet6!$C$4,IF(Tim!CF25=Sheet6!$C$5,Sheet6!$C$5,IF(Tim!CF25=Sheet6!$C$6,Sheet6!$C$6,IF(Tim!CF25=Sheet6!$C$7,Sheet6!$C$7,IF(Tim!CF25=Sheet6!$C$8,Sheet6!$C$8,"")))))))</f>
        <v/>
      </c>
      <c r="AI23" s="53" t="str">
        <f>IF(Tim!CG25=Sheet6!$C$2,Sheet6!$C$2,IF(Tim!CG25=Sheet6!$C$3,Sheet6!$C$3,IF(Tim!CG25=Sheet6!$C$4,Sheet6!$C$4,IF(Tim!CG25=Sheet6!$C$5,Sheet6!$C$5,IF(Tim!CG25=Sheet6!$C$6,Sheet6!$C$6,IF(Tim!CG25=Sheet6!$C$7,Sheet6!$C$7,IF(Tim!CG25=Sheet6!$C$8,Sheet6!$C$8,"")))))))</f>
        <v/>
      </c>
      <c r="AJ23" s="53" t="str">
        <f>IF(Tim!CH25=Sheet6!$C$2,Sheet6!$C$2,IF(Tim!CH25=Sheet6!$C$3,Sheet6!$C$3,IF(Tim!CH25=Sheet6!$C$4,Sheet6!$C$4,IF(Tim!CH25=Sheet6!$C$5,Sheet6!$C$5,IF(Tim!CH25=Sheet6!$C$6,Sheet6!$C$6,IF(Tim!CH25=Sheet6!$C$7,Sheet6!$C$7,IF(Tim!CH25=Sheet6!$C$8,Sheet6!$C$8,"")))))))</f>
        <v/>
      </c>
      <c r="AK23" s="53" t="str">
        <f>IF(Tim!CL25=Sheet6!$C$2,Sheet6!$C$2,IF(Tim!CL25=Sheet6!$C$3,Sheet6!$C$3,IF(Tim!CL25=Sheet6!$C$4,Sheet6!$C$4,IF(Tim!CL25=Sheet6!$C$5,Sheet6!$C$5,IF(Tim!CL25=Sheet6!$C$6,Sheet6!$C$6,IF(Tim!CL25=Sheet6!$C$7,Sheet6!$C$7,IF(Tim!CL25=Sheet6!$C$8,Sheet6!$C$8,"")))))))</f>
        <v/>
      </c>
      <c r="AL23" s="54" t="str">
        <f>IF(Tim!CM25=Sheet6!$C$2,Sheet6!$C$2,IF(Tim!CM25=Sheet6!$C$3,Sheet6!$C$3,IF(Tim!CM25=Sheet6!$C$4,Sheet6!$C$4,IF(Tim!CM25=Sheet6!$C$5,Sheet6!$C$5,IF(Tim!CM25=Sheet6!$C$6,Sheet6!$C$6,IF(Tim!CM25=Sheet6!$C$7,Sheet6!$C$7,IF(Tim!CM25=Sheet6!$C$8,Sheet6!$C$8,"")))))))</f>
        <v/>
      </c>
      <c r="AM23" s="54" t="str">
        <f>IF(Tim!CN25=Sheet6!$C$2,Sheet6!$C$2,IF(Tim!CN25=Sheet6!$C$3,Sheet6!$C$3,IF(Tim!CN25=Sheet6!$C$4,Sheet6!$C$4,IF(Tim!CN25=Sheet6!$C$5,Sheet6!$C$5,IF(Tim!CN25=Sheet6!$C$6,Sheet6!$C$6,IF(Tim!CN25=Sheet6!$C$7,Sheet6!$C$7,IF(Tim!CN25=Sheet6!$C$8,Sheet6!$C$8,"")))))))</f>
        <v/>
      </c>
      <c r="AN23" s="54" t="str">
        <f>IF(Tim!CO25=Sheet6!$C$2,Sheet6!$C$2,IF(Tim!CO25=Sheet6!$C$3,Sheet6!$C$3,IF(Tim!CO25=Sheet6!$C$4,Sheet6!$C$4,IF(Tim!CO25=Sheet6!$C$5,Sheet6!$C$5,IF(Tim!CO25=Sheet6!$C$6,Sheet6!$C$6,IF(Tim!CO25=Sheet6!$C$7,Sheet6!$C$7,IF(Tim!CO25=Sheet6!$C$8,Sheet6!$C$8,"")))))))</f>
        <v/>
      </c>
      <c r="AO23" s="55" t="str">
        <f>IF(Tim!CP25=Sheet6!$C$2,Sheet6!$C$2,IF(Tim!CP25=Sheet6!$C$3,Sheet6!$C$3,IF(Tim!CP25=Sheet6!$C$4,Sheet6!$C$4,IF(Tim!CP25=Sheet6!$C$5,Sheet6!$C$5,IF(Tim!CP25=Sheet6!$C$6,Sheet6!$C$6,IF(Tim!CP25=Sheet6!$C$7,Sheet6!$C$7,IF(Tim!CP25=Sheet6!$C$8,Sheet6!$C$8,"")))))))</f>
        <v/>
      </c>
      <c r="AP23" s="53" t="str">
        <f>IF(Tim!CQ25=Sheet6!$C$2,Sheet6!$C$2,IF(Tim!CQ25=Sheet6!$C$3,Sheet6!$C$3,IF(Tim!CQ25=Sheet6!$C$4,Sheet6!$C$4,IF(Tim!CQ25=Sheet6!$C$5,Sheet6!$C$5,IF(Tim!CQ25=Sheet6!$C$6,Sheet6!$C$6,IF(Tim!CQ25=Sheet6!$C$7,Sheet6!$C$7,IF(Tim!CQ25=Sheet6!$C$8,Sheet6!$C$8,"")))))))</f>
        <v/>
      </c>
      <c r="AQ23" s="53" t="str">
        <f>IF(Tim!CR25=Sheet6!$C$2,Sheet6!$C$2,IF(Tim!CR25=Sheet6!$C$3,Sheet6!$C$3,IF(Tim!CR25=Sheet6!$C$4,Sheet6!$C$4,IF(Tim!CR25=Sheet6!$C$5,Sheet6!$C$5,IF(Tim!CR25=Sheet6!$C$6,Sheet6!$C$6,IF(Tim!CR25=Sheet6!$C$7,Sheet6!$C$7,IF(Tim!CR25=Sheet6!$C$8,Sheet6!$C$8,"")))))))</f>
        <v/>
      </c>
      <c r="AR23" s="57" t="str">
        <f>IF(Tim!CV25=Sheet6!$C$2,Sheet6!$C$2,IF(Tim!CV25=Sheet6!$C$3,Sheet6!$C$3,IF(Tim!CV25=Sheet6!$C$4,Sheet6!$C$4,IF(Tim!CV25=Sheet6!$C$5,Sheet6!$C$5,IF(Tim!CV25=Sheet6!$C$6,Sheet6!$C$6,IF(Tim!CV25=Sheet6!$C$7,Sheet6!$C$7,IF(Tim!CV25=Sheet6!$C$8,Sheet6!$C$8,"")))))))</f>
        <v/>
      </c>
      <c r="AS23" s="57" t="str">
        <f>IF(Tim!CW25=Sheet6!$C$2,Sheet6!$C$2,IF(Tim!CW25=Sheet6!$C$3,Sheet6!$C$3,IF(Tim!CW25=Sheet6!$C$4,Sheet6!$C$4,IF(Tim!CW25=Sheet6!$C$5,Sheet6!$C$5,IF(Tim!CW25=Sheet6!$C$6,Sheet6!$C$6,IF(Tim!CW25=Sheet6!$C$7,Sheet6!$C$7,IF(Tim!CW25=Sheet6!$C$8,Sheet6!$C$8,"")))))))</f>
        <v/>
      </c>
      <c r="AT23" s="57" t="str">
        <f>IF(Tim!DA25=Sheet6!$C$2,Sheet6!$C$2,IF(Tim!DA25=Sheet6!$C$3,Sheet6!$C$3,IF(Tim!DA25=Sheet6!$C$4,Sheet6!$C$4,IF(Tim!DA25=Sheet6!$C$5,Sheet6!$C$5,IF(Tim!DA25=Sheet6!$C$6,Sheet6!$C$6,IF(Tim!DA25=Sheet6!$C$7,Sheet6!$C$7,IF(Tim!DA25=Sheet6!$C$8,Sheet6!$C$8,"")))))))</f>
        <v/>
      </c>
      <c r="AU23" s="53" t="str">
        <f>IF(Tim!DO25=Sheet6!$C$2,Sheet6!$C$2,IF(Tim!DO25=Sheet6!$C$3,Sheet6!$C$3,IF(Tim!DO25=Sheet6!$C$4,Sheet6!$C$4,IF(Tim!DO25=Sheet6!$C$5,Sheet6!$C$5,IF(Tim!DO25=Sheet6!$C$6,Sheet6!$C$6,IF(Tim!DO25=Sheet6!$C$7,Sheet6!$C$7,IF(Tim!DO25=Sheet6!$C$8,Sheet6!$C$8,"")))))))</f>
        <v/>
      </c>
      <c r="AV23" s="53" t="str">
        <f>IF(Tim!DP25=Sheet6!$C$2,Sheet6!$C$2,IF(Tim!DP25=Sheet6!$C$3,Sheet6!$C$3,IF(Tim!DP25=Sheet6!$C$4,Sheet6!$C$4,IF(Tim!DP25=Sheet6!$C$5,Sheet6!$C$5,IF(Tim!DP25=Sheet6!$C$6,Sheet6!$C$6,IF(Tim!DP25=Sheet6!$C$7,Sheet6!$C$7,IF(Tim!DP25=Sheet6!$C$8,Sheet6!$C$8,"")))))))</f>
        <v/>
      </c>
      <c r="AW23" s="53" t="str">
        <f>IF(Tim!DX25=Sheet6!$C$2,Sheet6!$C$2,IF(Tim!DX25=Sheet6!$C$3,Sheet6!$C$3,IF(Tim!DX25=Sheet6!$C$4,Sheet6!$C$4,IF(Tim!DX25=Sheet6!$C$5,Sheet6!$C$5,IF(Tim!DX25=Sheet6!$C$6,Sheet6!$C$6,IF(Tim!DX25=Sheet6!$C$7,Sheet6!$C$7,IF(Tim!DX25=Sheet6!$C$8,Sheet6!$C$8,"")))))))</f>
        <v/>
      </c>
      <c r="AX23" s="53" t="str">
        <f>IF(Tim!DY25=Sheet6!$C$2,Sheet6!$C$2,IF(Tim!DY25=Sheet6!$C$3,Sheet6!$C$3,IF(Tim!DY25=Sheet6!$C$4,Sheet6!$C$4,IF(Tim!DY25=Sheet6!$C$5,Sheet6!$C$5,IF(Tim!DY25=Sheet6!$C$6,Sheet6!$C$6,IF(Tim!DY25=Sheet6!$C$7,Sheet6!$C$7,IF(Tim!DY25=Sheet6!$C$8,Sheet6!$C$8,"")))))))</f>
        <v/>
      </c>
      <c r="AY23" s="53" t="str">
        <f>IF(Tim!DZ25=Sheet6!$C$2,Sheet6!$C$2,IF(Tim!DZ25=Sheet6!$C$3,Sheet6!$C$3,IF(Tim!DZ25=Sheet6!$C$4,Sheet6!$C$4,IF(Tim!DZ25=Sheet6!$C$5,Sheet6!$C$5,IF(Tim!DZ25=Sheet6!$C$6,Sheet6!$C$6,IF(Tim!DZ25=Sheet6!$C$7,Sheet6!$C$7,IF(Tim!DZ25=Sheet6!$C$8,Sheet6!$C$8,"")))))))</f>
        <v/>
      </c>
      <c r="AZ23" s="53" t="str">
        <f>IF(Tim!EA25=Sheet6!$C$2,Sheet6!$C$2,IF(Tim!EA25=Sheet6!$C$3,Sheet6!$C$3,IF(Tim!EA25=Sheet6!$C$4,Sheet6!$C$4,IF(Tim!EA25=Sheet6!$C$5,Sheet6!$C$5,IF(Tim!EA25=Sheet6!$C$6,Sheet6!$C$6,IF(Tim!EA25=Sheet6!$C$7,Sheet6!$C$7,IF(Tim!EA25=Sheet6!$C$8,Sheet6!$C$8,"")))))))</f>
        <v/>
      </c>
      <c r="BA23" s="53" t="str">
        <f>IF(Tim!EB25=Sheet6!$C$2,Sheet6!$C$2,IF(Tim!EB25=Sheet6!$C$3,Sheet6!$C$3,IF(Tim!EB25=Sheet6!$C$4,Sheet6!$C$4,IF(Tim!EB25=Sheet6!$C$5,Sheet6!$C$5,IF(Tim!EB25=Sheet6!$C$6,Sheet6!$C$6,IF(Tim!EB25=Sheet6!$C$7,Sheet6!$C$7,IF(Tim!EB25=Sheet6!$C$8,Sheet6!$C$8,"")))))))</f>
        <v/>
      </c>
      <c r="BB23" s="53" t="str">
        <f>IF(Tim!EC25=Sheet6!$C$2,Sheet6!$C$2,IF(Tim!EC25=Sheet6!$C$3,Sheet6!$C$3,IF(Tim!EC25=Sheet6!$C$4,Sheet6!$C$4,IF(Tim!EC25=Sheet6!$C$5,Sheet6!$C$5,IF(Tim!EC25=Sheet6!$C$6,Sheet6!$C$6,IF(Tim!EC25=Sheet6!$C$7,Sheet6!$C$7,IF(Tim!EC25=Sheet6!$C$8,Sheet6!$C$8,"")))))))</f>
        <v/>
      </c>
      <c r="BC23" s="53" t="str">
        <f>IF(Tim!EG25=Sheet6!$C$2,Sheet6!$C$2,IF(Tim!EG25=Sheet6!$C$3,Sheet6!$C$3,IF(Tim!EG25=Sheet6!$C$4,Sheet6!$C$4,IF(Tim!EG25=Sheet6!$C$5,Sheet6!$C$5,IF(Tim!EG25=Sheet6!$C$6,Sheet6!$C$6,IF(Tim!EG25=Sheet6!$C$7,Sheet6!$C$7,IF(Tim!EG25=Sheet6!$C$8,Sheet6!$C$8,"")))))))</f>
        <v/>
      </c>
      <c r="BD23" s="54" t="str">
        <f>IF(Tim!EH25=Sheet6!$C$2,Sheet6!$C$2,IF(Tim!EH25=Sheet6!$C$3,Sheet6!$C$3,IF(Tim!EH25=Sheet6!$C$4,Sheet6!$C$4,IF(Tim!EH25=Sheet6!$C$5,Sheet6!$C$5,IF(Tim!EH25=Sheet6!$C$6,Sheet6!$C$6,IF(Tim!EH25=Sheet6!$C$7,Sheet6!$C$7,IF(Tim!EH25=Sheet6!$C$8,Sheet6!$C$8,"")))))))</f>
        <v/>
      </c>
      <c r="BE23" s="54" t="str">
        <f>IF(Tim!EI25=Sheet6!$C$2,Sheet6!$C$2,IF(Tim!EI25=Sheet6!$C$3,Sheet6!$C$3,IF(Tim!EI25=Sheet6!$C$4,Sheet6!$C$4,IF(Tim!EI25=Sheet6!$C$5,Sheet6!$C$5,IF(Tim!EI25=Sheet6!$C$6,Sheet6!$C$6,IF(Tim!EI25=Sheet6!$C$7,Sheet6!$C$7,IF(Tim!EI25=Sheet6!$C$8,Sheet6!$C$8,"")))))))</f>
        <v/>
      </c>
      <c r="BF23" s="54" t="str">
        <f>IF(Tim!EJ25=Sheet6!$C$2,Sheet6!$C$2,IF(Tim!EJ25=Sheet6!$C$3,Sheet6!$C$3,IF(Tim!EJ25=Sheet6!$C$4,Sheet6!$C$4,IF(Tim!EJ25=Sheet6!$C$5,Sheet6!$C$5,IF(Tim!EJ25=Sheet6!$C$6,Sheet6!$C$6,IF(Tim!EJ25=Sheet6!$C$7,Sheet6!$C$7,IF(Tim!EJ25=Sheet6!$C$8,Sheet6!$C$8,"")))))))</f>
        <v/>
      </c>
      <c r="BG23" s="55" t="str">
        <f>IF(Tim!EK25=Sheet6!$C$2,Sheet6!$C$2,IF(Tim!EK25=Sheet6!$C$3,Sheet6!$C$3,IF(Tim!EK25=Sheet6!$C$4,Sheet6!$C$4,IF(Tim!EK25=Sheet6!$C$5,Sheet6!$C$5,IF(Tim!EK25=Sheet6!$C$6,Sheet6!$C$6,IF(Tim!EK25=Sheet6!$C$7,Sheet6!$C$7,IF(Tim!EK25=Sheet6!$C$8,Sheet6!$C$8,"")))))))</f>
        <v/>
      </c>
      <c r="BH23" s="57" t="str">
        <f>IF(Tim!EL25=Sheet6!$C$2,Sheet6!$C$2,IF(Tim!EL25=Sheet6!$C$3,Sheet6!$C$3,IF(Tim!EL25=Sheet6!$C$4,Sheet6!$C$4,IF(Tim!EL25=Sheet6!$C$5,Sheet6!$C$5,IF(Tim!EL25=Sheet6!$C$6,Sheet6!$C$6,IF(Tim!EL25=Sheet6!$C$7,Sheet6!$C$7,IF(Tim!EL25=Sheet6!$C$8,Sheet6!$C$8,"")))))))</f>
        <v/>
      </c>
      <c r="BI23" s="57" t="str">
        <f>IF(Tim!EM25=Sheet6!$C$2,Sheet6!$C$2,IF(Tim!EM25=Sheet6!$C$3,Sheet6!$C$3,IF(Tim!EM25=Sheet6!$C$4,Sheet6!$C$4,IF(Tim!EM25=Sheet6!$C$5,Sheet6!$C$5,IF(Tim!EM25=Sheet6!$C$6,Sheet6!$C$6,IF(Tim!EM25=Sheet6!$C$7,Sheet6!$C$7,IF(Tim!EM25=Sheet6!$C$8,Sheet6!$C$8,"")))))))</f>
        <v/>
      </c>
      <c r="BJ23" s="57" t="str">
        <f>IF(Tim!EQ25=Sheet6!$C$2,Sheet6!$C$2,IF(Tim!EQ25=Sheet6!$C$3,Sheet6!$C$3,IF(Tim!EQ25=Sheet6!$C$4,Sheet6!$C$4,IF(Tim!EQ25=Sheet6!$C$5,Sheet6!$C$5,IF(Tim!EQ25=Sheet6!$C$6,Sheet6!$C$6,IF(Tim!EQ25=Sheet6!$C$7,Sheet6!$C$7,IF(Tim!EQ25=Sheet6!$C$8,Sheet6!$C$8,"")))))))</f>
        <v/>
      </c>
      <c r="BK23" s="57" t="str">
        <f>IF(Tim!ER25=Sheet6!$C$2,Sheet6!$C$2,IF(Tim!ER25=Sheet6!$C$3,Sheet6!$C$3,IF(Tim!ER25=Sheet6!$C$4,Sheet6!$C$4,IF(Tim!ER25=Sheet6!$C$5,Sheet6!$C$5,IF(Tim!ER25=Sheet6!$C$6,Sheet6!$C$6,IF(Tim!ER25=Sheet6!$C$7,Sheet6!$C$7,IF(Tim!ER25=Sheet6!$C$8,Sheet6!$C$8,"")))))))</f>
        <v/>
      </c>
      <c r="BL23" s="57" t="str">
        <f>IF(Tim!EZ25=Sheet6!$C$2,Sheet6!$C$2,IF(Tim!EZ25=Sheet6!$C$3,Sheet6!$C$3,IF(Tim!EZ25=Sheet6!$C$4,Sheet6!$C$4,IF(Tim!EZ25=Sheet6!$C$5,Sheet6!$C$5,IF(Tim!EZ25=Sheet6!$C$6,Sheet6!$C$6,IF(Tim!EZ25=Sheet6!$C$7,Sheet6!$C$7,IF(Tim!EZ25=Sheet6!$C$8,Sheet6!$C$8,"")))))))</f>
        <v/>
      </c>
      <c r="BM23" s="53" t="str">
        <f>IF(Tim!FG25=Sheet6!$C$2,Sheet6!$C$2,IF(Tim!FG25=Sheet6!$C$3,Sheet6!$C$3,IF(Tim!FG25=Sheet6!$C$4,Sheet6!$C$4,IF(Tim!FG25=Sheet6!$C$5,Sheet6!$C$5,IF(Tim!FG25=Sheet6!$C$6,Sheet6!$C$6,IF(Tim!FG25=Sheet6!$C$7,Sheet6!$C$7,IF(Tim!FG25=Sheet6!$C$8,Sheet6!$C$8,"")))))))</f>
        <v/>
      </c>
      <c r="BN23" s="53" t="str">
        <f>IF(Tim!FH25=Sheet6!$C$2,Sheet6!$C$2,IF(Tim!FH25=Sheet6!$C$3,Sheet6!$C$3,IF(Tim!FH25=Sheet6!$C$4,Sheet6!$C$4,IF(Tim!FH25=Sheet6!$C$5,Sheet6!$C$5,IF(Tim!FH25=Sheet6!$C$6,Sheet6!$C$6,IF(Tim!FH25=Sheet6!$C$7,Sheet6!$C$7,IF(Tim!FH25=Sheet6!$C$8,Sheet6!$C$8,"")))))))</f>
        <v/>
      </c>
      <c r="BO23" s="53" t="str">
        <f>IF(Tim!FP25=Sheet6!$C$2,Sheet6!$C$2,IF(Tim!FP25=Sheet6!$C$3,Sheet6!$C$3,IF(Tim!FP25=Sheet6!$C$4,Sheet6!$C$4,IF(Tim!FP25=Sheet6!$C$5,Sheet6!$C$5,IF(Tim!FP25=Sheet6!$C$6,Sheet6!$C$6,IF(Tim!FP25=Sheet6!$C$7,Sheet6!$C$7,IF(Tim!FP25=Sheet6!$C$8,Sheet6!$C$8,"")))))))</f>
        <v/>
      </c>
      <c r="BP23" s="53" t="str">
        <f>IF(Tim!FQ25=Sheet6!$C$2,Sheet6!$C$2,IF(Tim!FQ25=Sheet6!$C$3,Sheet6!$C$3,IF(Tim!FQ25=Sheet6!$C$4,Sheet6!$C$4,IF(Tim!FQ25=Sheet6!$C$5,Sheet6!$C$5,IF(Tim!FQ25=Sheet6!$C$6,Sheet6!$C$6,IF(Tim!FQ25=Sheet6!$C$7,Sheet6!$C$7,IF(Tim!FQ25=Sheet6!$C$8,Sheet6!$C$8,"")))))))</f>
        <v/>
      </c>
      <c r="BQ23" s="53" t="str">
        <f>IF(Tim!FR25=Sheet6!$C$2,Sheet6!$C$2,IF(Tim!FR25=Sheet6!$C$3,Sheet6!$C$3,IF(Tim!FR25=Sheet6!$C$4,Sheet6!$C$4,IF(Tim!FR25=Sheet6!$C$5,Sheet6!$C$5,IF(Tim!FR25=Sheet6!$C$6,Sheet6!$C$6,IF(Tim!FR25=Sheet6!$C$7,Sheet6!$C$7,IF(Tim!FR25=Sheet6!$C$8,Sheet6!$C$8,"")))))))</f>
        <v/>
      </c>
      <c r="BR23" s="53" t="str">
        <f>IF(Tim!FS25=Sheet6!$C$2,Sheet6!$C$2,IF(Tim!FS25=Sheet6!$C$3,Sheet6!$C$3,IF(Tim!FS25=Sheet6!$C$4,Sheet6!$C$4,IF(Tim!FS25=Sheet6!$C$5,Sheet6!$C$5,IF(Tim!FS25=Sheet6!$C$6,Sheet6!$C$6,IF(Tim!FS25=Sheet6!$C$7,Sheet6!$C$7,IF(Tim!FS25=Sheet6!$C$8,Sheet6!$C$8,"")))))))</f>
        <v/>
      </c>
      <c r="BS23" s="53" t="str">
        <f>IF(Tim!FT25=Sheet6!$C$2,Sheet6!$C$2,IF(Tim!FT25=Sheet6!$C$3,Sheet6!$C$3,IF(Tim!FT25=Sheet6!$C$4,Sheet6!$C$4,IF(Tim!FT25=Sheet6!$C$5,Sheet6!$C$5,IF(Tim!FT25=Sheet6!$C$6,Sheet6!$C$6,IF(Tim!FT25=Sheet6!$C$7,Sheet6!$C$7,IF(Tim!FT25=Sheet6!$C$8,Sheet6!$C$8,"")))))))</f>
        <v/>
      </c>
      <c r="BT23" s="53" t="str">
        <f>IF(Tim!FU25=Sheet6!$C$2,Sheet6!$C$2,IF(Tim!FU25=Sheet6!$C$3,Sheet6!$C$3,IF(Tim!FU25=Sheet6!$C$4,Sheet6!$C$4,IF(Tim!FU25=Sheet6!$C$5,Sheet6!$C$5,IF(Tim!FU25=Sheet6!$C$6,Sheet6!$C$6,IF(Tim!FU25=Sheet6!$C$7,Sheet6!$C$7,IF(Tim!FU25=Sheet6!$C$8,Sheet6!$C$8,"")))))))</f>
        <v/>
      </c>
      <c r="BU23" s="53" t="str">
        <f>IF(Tim!FY25=Sheet6!$C$2,Sheet6!$C$2,IF(Tim!FY25=Sheet6!$C$3,Sheet6!$C$3,IF(Tim!FY25=Sheet6!$C$4,Sheet6!$C$4,IF(Tim!FY25=Sheet6!$C$5,Sheet6!$C$5,IF(Tim!FY25=Sheet6!$C$6,Sheet6!$C$6,IF(Tim!FY25=Sheet6!$C$7,Sheet6!$C$7,IF(Tim!FY25=Sheet6!$C$8,Sheet6!$C$8,"")))))))</f>
        <v/>
      </c>
      <c r="BV23" s="54" t="str">
        <f>IF(Tim!FZ25=Sheet6!$C$2,Sheet6!$C$2,IF(Tim!FZ25=Sheet6!$C$3,Sheet6!$C$3,IF(Tim!FZ25=Sheet6!$C$4,Sheet6!$C$4,IF(Tim!FZ25=Sheet6!$C$5,Sheet6!$C$5,IF(Tim!FZ25=Sheet6!$C$6,Sheet6!$C$6,IF(Tim!FZ25=Sheet6!$C$7,Sheet6!$C$7,IF(Tim!FZ25=Sheet6!$C$8,Sheet6!$C$8,"")))))))</f>
        <v/>
      </c>
      <c r="BW23" s="54" t="str">
        <f>IF(Tim!GA25=Sheet6!$C$2,Sheet6!$C$2,IF(Tim!GA25=Sheet6!$C$3,Sheet6!$C$3,IF(Tim!GA25=Sheet6!$C$4,Sheet6!$C$4,IF(Tim!GA25=Sheet6!$C$5,Sheet6!$C$5,IF(Tim!GA25=Sheet6!$C$6,Sheet6!$C$6,IF(Tim!GA25=Sheet6!$C$7,Sheet6!$C$7,IF(Tim!GA25=Sheet6!$C$8,Sheet6!$C$8,"")))))))</f>
        <v/>
      </c>
      <c r="BX23" s="54" t="str">
        <f>IF(Tim!GB25=Sheet6!$C$2,Sheet6!$C$2,IF(Tim!GB25=Sheet6!$C$3,Sheet6!$C$3,IF(Tim!GB25=Sheet6!$C$4,Sheet6!$C$4,IF(Tim!GB25=Sheet6!$C$5,Sheet6!$C$5,IF(Tim!GB25=Sheet6!$C$6,Sheet6!$C$6,IF(Tim!GB25=Sheet6!$C$7,Sheet6!$C$7,IF(Tim!GB25=Sheet6!$C$8,Sheet6!$C$8,"")))))))</f>
        <v/>
      </c>
      <c r="BY23" s="55" t="str">
        <f>IF(Tim!GC25=Sheet6!$C$2,Sheet6!$C$2,IF(Tim!GC25=Sheet6!$C$3,Sheet6!$C$3,IF(Tim!GC25=Sheet6!$C$4,Sheet6!$C$4,IF(Tim!GC25=Sheet6!$C$5,Sheet6!$C$5,IF(Tim!GC25=Sheet6!$C$6,Sheet6!$C$6,IF(Tim!GC25=Sheet6!$C$7,Sheet6!$C$7,IF(Tim!GC25=Sheet6!$C$8,Sheet6!$C$8,"")))))))</f>
        <v/>
      </c>
      <c r="BZ23" s="53" t="str">
        <f>IF(Tim!GD25=Sheet6!$C$2,Sheet6!$C$2,IF(Tim!GD25=Sheet6!$C$3,Sheet6!$C$3,IF(Tim!GD25=Sheet6!$C$4,Sheet6!$C$4,IF(Tim!GD25=Sheet6!$C$5,Sheet6!$C$5,IF(Tim!GD25=Sheet6!$C$6,Sheet6!$C$6,IF(Tim!GD25=Sheet6!$C$7,Sheet6!$C$7,IF(Tim!GD25=Sheet6!$C$8,Sheet6!$C$8,"")))))))</f>
        <v/>
      </c>
      <c r="CA23" s="53" t="str">
        <f>IF(Tim!GE25=Sheet6!$C$2,Sheet6!$C$2,IF(Tim!GE25=Sheet6!$C$3,Sheet6!$C$3,IF(Tim!GE25=Sheet6!$C$4,Sheet6!$C$4,IF(Tim!GE25=Sheet6!$C$5,Sheet6!$C$5,IF(Tim!GE25=Sheet6!$C$6,Sheet6!$C$6,IF(Tim!GE25=Sheet6!$C$7,Sheet6!$C$7,IF(Tim!GE25=Sheet6!$C$8,Sheet6!$C$8,"")))))))</f>
        <v/>
      </c>
      <c r="CB23" s="53" t="str">
        <f>IF(Tim!GI25=Sheet6!$C$2,Sheet6!$C$2,IF(Tim!GI25=Sheet6!$C$3,Sheet6!$C$3,IF(Tim!GI25=Sheet6!$C$4,Sheet6!$C$4,IF(Tim!GI25=Sheet6!$C$5,Sheet6!$C$5,IF(Tim!GI25=Sheet6!$C$6,Sheet6!$C$6,IF(Tim!GI25=Sheet6!$C$7,Sheet6!$C$7,IF(Tim!GI25=Sheet6!$C$8,Sheet6!$C$8,"")))))))</f>
        <v/>
      </c>
      <c r="CC23" s="57" t="str">
        <f>IF(Tim!GJ25=Sheet6!$C$2,Sheet6!$C$2,IF(Tim!GJ25=Sheet6!$C$3,Sheet6!$C$3,IF(Tim!GJ25=Sheet6!$C$4,Sheet6!$C$4,IF(Tim!GJ25=Sheet6!$C$5,Sheet6!$C$5,IF(Tim!GJ25=Sheet6!$C$6,Sheet6!$C$6,IF(Tim!GJ25=Sheet6!$C$7,Sheet6!$C$7,IF(Tim!GJ25=Sheet6!$C$8,Sheet6!$C$8,"")))))))</f>
        <v/>
      </c>
      <c r="CD23" s="57" t="str">
        <f>IF(Tim!GN25=Sheet6!$C$2,Sheet6!$C$2,IF(Tim!GN25=Sheet6!$C$3,Sheet6!$C$3,IF(Tim!GN25=Sheet6!$C$4,Sheet6!$C$4,IF(Tim!GN25=Sheet6!$C$5,Sheet6!$C$5,IF(Tim!GN25=Sheet6!$C$6,Sheet6!$C$6,IF(Tim!GN25=Sheet6!$C$7,Sheet6!$C$7,IF(Tim!GN25=Sheet6!$C$8,Sheet6!$C$8,"")))))))</f>
        <v/>
      </c>
      <c r="CE23" s="53" t="str">
        <f>IF(Tim!GY25=Sheet6!$C$2,Sheet6!$C$2,IF(Tim!GY25=Sheet6!$C$3,Sheet6!$C$3,IF(Tim!GY25=Sheet6!$C$4,Sheet6!$C$4,IF(Tim!GY25=Sheet6!$C$5,Sheet6!$C$5,IF(Tim!GY25=Sheet6!$C$6,Sheet6!$C$6,IF(Tim!GY25=Sheet6!$C$7,Sheet6!$C$7,IF(Tim!GY25=Sheet6!$C$8,Sheet6!$C$8,"")))))))</f>
        <v/>
      </c>
      <c r="CF23" s="181" t="str">
        <f>IF(Tim!GZ25=Sheet6!$C$2,Sheet6!$C$2,IF(Tim!GZ25=Sheet6!$C$3,Sheet6!$C$3,IF(Tim!GZ25=Sheet6!$C$4,Sheet6!$C$4,IF(Tim!GZ25=Sheet6!$C$5,Sheet6!$C$5,IF(Tim!GZ25=Sheet6!$C$6,Sheet6!$C$6,IF(Tim!GZ25=Sheet6!$C$7,Sheet6!$C$7,IF(Tim!GZ25=Sheet6!$C$8,Sheet6!$C$8,"")))))))</f>
        <v/>
      </c>
      <c r="CG23" s="181" t="str">
        <f>IF(Tim!HH25=Sheet6!$C$2,Sheet6!$C$2,IF(Tim!HH25=Sheet6!$C$3,Sheet6!$C$3,IF(Tim!HH25=Sheet6!$C$4,Sheet6!$C$4,IF(Tim!HH25=Sheet6!$C$5,Sheet6!$C$5,IF(Tim!HH25=Sheet6!$C$6,Sheet6!$C$6,IF(Tim!HH25=Sheet6!$C$7,Sheet6!$C$7,IF(Tim!HH25=Sheet6!$C$8,Sheet6!$C$8,"")))))))</f>
        <v/>
      </c>
      <c r="CH23" s="181" t="str">
        <f>IF(Tim!HI25=Sheet6!$C$2,Sheet6!$C$2,IF(Tim!HI25=Sheet6!$C$3,Sheet6!$C$3,IF(Tim!HI25=Sheet6!$C$4,Sheet6!$C$4,IF(Tim!HI25=Sheet6!$C$5,Sheet6!$C$5,IF(Tim!HI25=Sheet6!$C$6,Sheet6!$C$6,IF(Tim!HI25=Sheet6!$C$7,Sheet6!$C$7,IF(Tim!HI25=Sheet6!$C$8,Sheet6!$C$8,"")))))))</f>
        <v/>
      </c>
      <c r="CI23" s="53" t="str">
        <f>IF(Tim!HJ25=Sheet6!$C$2,Sheet6!$C$2,IF(Tim!HJ25=Sheet6!$C$3,Sheet6!$C$3,IF(Tim!HJ25=Sheet6!$C$4,Sheet6!$C$4,IF(Tim!HJ25=Sheet6!$C$5,Sheet6!$C$5,IF(Tim!HJ25=Sheet6!$C$6,Sheet6!$C$6,IF(Tim!HJ25=Sheet6!$C$7,Sheet6!$C$7,IF(Tim!HJ25=Sheet6!$C$8,Sheet6!$C$8,"")))))))</f>
        <v/>
      </c>
      <c r="CJ23" s="53" t="str">
        <f>IF(Tim!HK25=Sheet6!$C$2,Sheet6!$C$2,IF(Tim!HK25=Sheet6!$C$3,Sheet6!$C$3,IF(Tim!HK25=Sheet6!$C$4,Sheet6!$C$4,IF(Tim!HK25=Sheet6!$C$5,Sheet6!$C$5,IF(Tim!HK25=Sheet6!$C$6,Sheet6!$C$6,IF(Tim!HK25=Sheet6!$C$7,Sheet6!$C$7,IF(Tim!HK25=Sheet6!$C$8,Sheet6!$C$8,"")))))))</f>
        <v/>
      </c>
      <c r="CK23" s="53" t="str">
        <f>IF(Tim!HL25=Sheet6!$C$2,Sheet6!$C$2,IF(Tim!HL25=Sheet6!$C$3,Sheet6!$C$3,IF(Tim!HL25=Sheet6!$C$4,Sheet6!$C$4,IF(Tim!HL25=Sheet6!$C$5,Sheet6!$C$5,IF(Tim!HL25=Sheet6!$C$6,Sheet6!$C$6,IF(Tim!HL25=Sheet6!$C$7,Sheet6!$C$7,IF(Tim!HL25=Sheet6!$C$8,Sheet6!$C$8,"")))))))</f>
        <v/>
      </c>
      <c r="CL23" s="53" t="str">
        <f>IF(Tim!HM25=Sheet6!$C$2,Sheet6!$C$2,IF(Tim!HM25=Sheet6!$C$3,Sheet6!$C$3,IF(Tim!HM25=Sheet6!$C$4,Sheet6!$C$4,IF(Tim!HM25=Sheet6!$C$5,Sheet6!$C$5,IF(Tim!HM25=Sheet6!$C$6,Sheet6!$C$6,IF(Tim!HM25=Sheet6!$C$7,Sheet6!$C$7,IF(Tim!HM25=Sheet6!$C$8,Sheet6!$C$8,"")))))))</f>
        <v/>
      </c>
      <c r="CM23" s="53" t="str">
        <f>IF(Tim!HQ25=Sheet6!$C$2,Sheet6!$C$2,IF(Tim!HQ25=Sheet6!$C$3,Sheet6!$C$3,IF(Tim!HQ25=Sheet6!$C$4,Sheet6!$C$4,IF(Tim!HQ25=Sheet6!$C$5,Sheet6!$C$5,IF(Tim!HQ25=Sheet6!$C$6,Sheet6!$C$6,IF(Tim!HQ25=Sheet6!$C$7,Sheet6!$C$7,IF(Tim!HQ25=Sheet6!$C$8,Sheet6!$C$8,"")))))))</f>
        <v/>
      </c>
      <c r="CN23" s="54" t="str">
        <f>IF(Tim!HR25=Sheet6!$C$2,Sheet6!$C$2,IF(Tim!HR25=Sheet6!$C$3,Sheet6!$C$3,IF(Tim!HR25=Sheet6!$C$4,Sheet6!$C$4,IF(Tim!HR25=Sheet6!$C$5,Sheet6!$C$5,IF(Tim!HR25=Sheet6!$C$6,Sheet6!$C$6,IF(Tim!HR25=Sheet6!$C$7,Sheet6!$C$7,IF(Tim!HR25=Sheet6!$C$8,Sheet6!$C$8,"")))))))</f>
        <v/>
      </c>
      <c r="CO23" s="54" t="str">
        <f>IF(Tim!HS25=Sheet6!$C$2,Sheet6!$C$2,IF(Tim!HS25=Sheet6!$C$3,Sheet6!$C$3,IF(Tim!HS25=Sheet6!$C$4,Sheet6!$C$4,IF(Tim!HS25=Sheet6!$C$5,Sheet6!$C$5,IF(Tim!HS25=Sheet6!$C$6,Sheet6!$C$6,IF(Tim!HS25=Sheet6!$C$7,Sheet6!$C$7,IF(Tim!HS25=Sheet6!$C$8,Sheet6!$C$8,"")))))))</f>
        <v/>
      </c>
      <c r="CP23" s="54" t="str">
        <f>IF(Tim!HT25=Sheet6!$C$2,Sheet6!$C$2,IF(Tim!HT25=Sheet6!$C$3,Sheet6!$C$3,IF(Tim!HT25=Sheet6!$C$4,Sheet6!$C$4,IF(Tim!HT25=Sheet6!$C$5,Sheet6!$C$5,IF(Tim!HT25=Sheet6!$C$6,Sheet6!$C$6,IF(Tim!HT25=Sheet6!$C$7,Sheet6!$C$7,IF(Tim!HT25=Sheet6!$C$8,Sheet6!$C$8,"")))))))</f>
        <v/>
      </c>
      <c r="CQ23" s="55" t="str">
        <f>IF(Tim!HU25=Sheet6!$C$2,Sheet6!$C$2,IF(Tim!HU25=Sheet6!$C$3,Sheet6!$C$3,IF(Tim!HU25=Sheet6!$C$4,Sheet6!$C$4,IF(Tim!HU25=Sheet6!$C$5,Sheet6!$C$5,IF(Tim!HU25=Sheet6!$C$6,Sheet6!$C$6,IF(Tim!HU25=Sheet6!$C$7,Sheet6!$C$7,IF(Tim!HU25=Sheet6!$C$8,Sheet6!$C$8,"")))))))</f>
        <v/>
      </c>
      <c r="CR23" s="56" t="str">
        <f>IF(Tim!HV25=Sheet6!$C$2,Sheet6!$C$2,IF(Tim!HV25=Sheet6!$C$3,Sheet6!$C$3,IF(Tim!HV25=Sheet6!$C$4,Sheet6!$C$4,IF(Tim!HV25=Sheet6!$C$5,Sheet6!$C$5,IF(Tim!HV25=Sheet6!$C$6,Sheet6!$C$6,IF(Tim!HV25=Sheet6!$C$7,Sheet6!$C$7,IF(Tim!HV25=Sheet6!$C$8,Sheet6!$C$8,"")))))))</f>
        <v/>
      </c>
      <c r="CS23" s="57" t="str">
        <f>IF(Tim!IB25=Sheet6!$C$2,Sheet6!$C$2,IF(Tim!IB25=Sheet6!$C$3,Sheet6!$C$3,IF(Tim!IB25=Sheet6!$C$4,Sheet6!$C$4,IF(Tim!IB25=Sheet6!$C$5,Sheet6!$C$5,IF(Tim!IB25=Sheet6!$C$6,Sheet6!$C$6,IF(Tim!IB25=Sheet6!$C$7,Sheet6!$C$7,IF(Tim!IB25=Sheet6!$C$8,Sheet6!$C$8,"")))))))</f>
        <v/>
      </c>
      <c r="CT23" s="57" t="str">
        <f>IF(Tim!IJ25=Sheet6!$C$2,Sheet6!$C$2,IF(Tim!IJ25=Sheet6!$C$3,Sheet6!$C$3,IF(Tim!IJ25=Sheet6!$C$4,Sheet6!$C$4,IF(Tim!IJ25=Sheet6!$C$5,Sheet6!$C$5,IF(Tim!IJ25=Sheet6!$C$6,Sheet6!$C$6,IF(Tim!IJ25=Sheet6!$C$7,Sheet6!$C$7,IF(Tim!IJ25=Sheet6!$C$8,Sheet6!$C$8,"")))))))</f>
        <v/>
      </c>
      <c r="CU23" s="53" t="str">
        <f>IF(Tim!IQ25=Sheet6!$C$2,Sheet6!$C$2,IF(Tim!IQ25=Sheet6!$C$3,Sheet6!$C$3,IF(Tim!IQ25=Sheet6!$C$4,Sheet6!$C$4,IF(Tim!IQ25=Sheet6!$C$5,Sheet6!$C$5,IF(Tim!IQ25=Sheet6!$C$6,Sheet6!$C$6,IF(Tim!IQ25=Sheet6!$C$7,Sheet6!$C$7,IF(Tim!IQ25=Sheet6!$C$8,Sheet6!$C$8,"")))))))</f>
        <v/>
      </c>
      <c r="CV23" s="53" t="str">
        <f>IF(Tim!IR25=Sheet6!$C$2,Sheet6!$C$2,IF(Tim!IR25=Sheet6!$C$3,Sheet6!$C$3,IF(Tim!IR25=Sheet6!$C$4,Sheet6!$C$4,IF(Tim!IR25=Sheet6!$C$5,Sheet6!$C$5,IF(Tim!IR25=Sheet6!$C$6,Sheet6!$C$6,IF(Tim!IR25=Sheet6!$C$7,Sheet6!$C$7,IF(Tim!IR25=Sheet6!$C$8,Sheet6!$C$8,"")))))))</f>
        <v/>
      </c>
      <c r="CW23" s="53" t="str">
        <f>IF(Tim!IZ25=Sheet6!$C$2,Sheet6!$C$2,IF(Tim!IZ25=Sheet6!$C$3,Sheet6!$C$3,IF(Tim!IZ25=Sheet6!$C$4,Sheet6!$C$4,IF(Tim!IZ25=Sheet6!$C$5,Sheet6!$C$5,IF(Tim!IZ25=Sheet6!$C$6,Sheet6!$C$6,IF(Tim!IZ25=Sheet6!$C$7,Sheet6!$C$7,IF(Tim!IZ25=Sheet6!$C$8,Sheet6!$C$8,"")))))))</f>
        <v/>
      </c>
      <c r="CX23" s="53" t="str">
        <f>IF(Tim!JA25=Sheet6!$C$2,Sheet6!$C$2,IF(Tim!JA25=Sheet6!$C$3,Sheet6!$C$3,IF(Tim!JA25=Sheet6!$C$4,Sheet6!$C$4,IF(Tim!JA25=Sheet6!$C$5,Sheet6!$C$5,IF(Tim!JA25=Sheet6!$C$6,Sheet6!$C$6,IF(Tim!JA25=Sheet6!$C$7,Sheet6!$C$7,IF(Tim!JA25=Sheet6!$C$8,Sheet6!$C$8,"")))))))</f>
        <v/>
      </c>
      <c r="CY23" s="53" t="str">
        <f>IF(Tim!JB25=Sheet6!$C$2,Sheet6!$C$2,IF(Tim!JB25=Sheet6!$C$3,Sheet6!$C$3,IF(Tim!JB25=Sheet6!$C$4,Sheet6!$C$4,IF(Tim!JB25=Sheet6!$C$5,Sheet6!$C$5,IF(Tim!JB25=Sheet6!$C$6,Sheet6!$C$6,IF(Tim!JB25=Sheet6!$C$7,Sheet6!$C$7,IF(Tim!JB25=Sheet6!$C$8,Sheet6!$C$8,"")))))))</f>
        <v/>
      </c>
      <c r="CZ23" s="53" t="str">
        <f>IF(Tim!JC25=Sheet6!$C$2,Sheet6!$C$2,IF(Tim!JC25=Sheet6!$C$3,Sheet6!$C$3,IF(Tim!JC25=Sheet6!$C$4,Sheet6!$C$4,IF(Tim!JC25=Sheet6!$C$5,Sheet6!$C$5,IF(Tim!JC25=Sheet6!$C$6,Sheet6!$C$6,IF(Tim!JC25=Sheet6!$C$7,Sheet6!$C$7,IF(Tim!JC25=Sheet6!$C$8,Sheet6!$C$8,"")))))))</f>
        <v/>
      </c>
      <c r="DA23" s="53" t="str">
        <f>IF(Tim!JD25=Sheet6!$C$2,Sheet6!$C$2,IF(Tim!JD25=Sheet6!$C$3,Sheet6!$C$3,IF(Tim!JD25=Sheet6!$C$4,Sheet6!$C$4,IF(Tim!JD25=Sheet6!$C$5,Sheet6!$C$5,IF(Tim!JD25=Sheet6!$C$6,Sheet6!$C$6,IF(Tim!JD25=Sheet6!$C$7,Sheet6!$C$7,IF(Tim!JD25=Sheet6!$C$8,Sheet6!$C$8,"")))))))</f>
        <v/>
      </c>
      <c r="DB23" s="53" t="str">
        <f>IF(Tim!JE25=Sheet6!$C$2,Sheet6!$C$2,IF(Tim!JE25=Sheet6!$C$3,Sheet6!$C$3,IF(Tim!JE25=Sheet6!$C$4,Sheet6!$C$4,IF(Tim!JE25=Sheet6!$C$5,Sheet6!$C$5,IF(Tim!JE25=Sheet6!$C$6,Sheet6!$C$6,IF(Tim!JE25=Sheet6!$C$7,Sheet6!$C$7,IF(Tim!JE25=Sheet6!$C$8,Sheet6!$C$8,"")))))))</f>
        <v/>
      </c>
      <c r="DC23" s="53" t="str">
        <f>IF(Tim!JI25=Sheet6!$C$2,Sheet6!$C$2,IF(Tim!JI25=Sheet6!$C$3,Sheet6!$C$3,IF(Tim!JI25=Sheet6!$C$4,Sheet6!$C$4,IF(Tim!JI25=Sheet6!$C$5,Sheet6!$C$5,IF(Tim!JI25=Sheet6!$C$6,Sheet6!$C$6,IF(Tim!JI25=Sheet6!$C$7,Sheet6!$C$7,IF(Tim!JI25=Sheet6!$C$8,Sheet6!$C$8,"")))))))</f>
        <v/>
      </c>
      <c r="DD23" s="54" t="str">
        <f>IF(Tim!JJ25=Sheet6!$C$2,Sheet6!$C$2,IF(Tim!JJ25=Sheet6!$C$3,Sheet6!$C$3,IF(Tim!JJ25=Sheet6!$C$4,Sheet6!$C$4,IF(Tim!JJ25=Sheet6!$C$5,Sheet6!$C$5,IF(Tim!JJ25=Sheet6!$C$6,Sheet6!$C$6,IF(Tim!JJ25=Sheet6!$C$7,Sheet6!$C$7,IF(Tim!JJ25=Sheet6!$C$8,Sheet6!$C$8,"")))))))</f>
        <v/>
      </c>
      <c r="DE23" s="54" t="str">
        <f>IF(Tim!JK25=Sheet6!$C$2,Sheet6!$C$2,IF(Tim!JK25=Sheet6!$C$3,Sheet6!$C$3,IF(Tim!JK25=Sheet6!$C$4,Sheet6!$C$4,IF(Tim!JK25=Sheet6!$C$5,Sheet6!$C$5,IF(Tim!JK25=Sheet6!$C$6,Sheet6!$C$6,IF(Tim!JK25=Sheet6!$C$7,Sheet6!$C$7,IF(Tim!JK25=Sheet6!$C$8,Sheet6!$C$8,"")))))))</f>
        <v/>
      </c>
      <c r="DF23" s="54" t="str">
        <f>IF(Tim!JL25=Sheet6!$C$2,Sheet6!$C$2,IF(Tim!JL25=Sheet6!$C$3,Sheet6!$C$3,IF(Tim!JL25=Sheet6!$C$4,Sheet6!$C$4,IF(Tim!JL25=Sheet6!$C$5,Sheet6!$C$5,IF(Tim!JL25=Sheet6!$C$6,Sheet6!$C$6,IF(Tim!JL25=Sheet6!$C$7,Sheet6!$C$7,IF(Tim!JL25=Sheet6!$C$8,Sheet6!$C$8,"")))))))</f>
        <v/>
      </c>
      <c r="DG23" s="55" t="str">
        <f>IF(Tim!JM25=Sheet6!$C$2,Sheet6!$C$2,IF(Tim!JM25=Sheet6!$C$3,Sheet6!$C$3,IF(Tim!JM25=Sheet6!$C$4,Sheet6!$C$4,IF(Tim!JM25=Sheet6!$C$5,Sheet6!$C$5,IF(Tim!JM25=Sheet6!$C$6,Sheet6!$C$6,IF(Tim!JM25=Sheet6!$C$7,Sheet6!$C$7,IF(Tim!JM25=Sheet6!$C$8,Sheet6!$C$8,"")))))))</f>
        <v/>
      </c>
      <c r="DH23" s="56" t="str">
        <f>IF(Tim!JN25=Sheet6!$C$2,Sheet6!$C$2,IF(Tim!JN25=Sheet6!$C$3,Sheet6!$C$3,IF(Tim!JN25=Sheet6!$C$4,Sheet6!$C$4,IF(Tim!JN25=Sheet6!$C$5,Sheet6!$C$5,IF(Tim!JN25=Sheet6!$C$6,Sheet6!$C$6,IF(Tim!JN25=Sheet6!$C$7,Sheet6!$C$7,IF(Tim!JN25=Sheet6!$C$8,Sheet6!$C$8,"")))))))</f>
        <v/>
      </c>
      <c r="DI23" s="57" t="str">
        <f>IF(Tim!JS25=Sheet6!$C$2,Sheet6!$C$2,IF(Tim!JS25=Sheet6!$C$3,Sheet6!$C$3,IF(Tim!JS25=Sheet6!$C$4,Sheet6!$C$4,IF(Tim!JS25=Sheet6!$C$5,Sheet6!$C$5,IF(Tim!JS25=Sheet6!$C$6,Sheet6!$C$6,IF(Tim!JS25=Sheet6!$C$7,Sheet6!$C$7,IF(Tim!JS25=Sheet6!$C$8,Sheet6!$C$8,"")))))))</f>
        <v/>
      </c>
      <c r="DJ23" s="57" t="str">
        <f>IF(Tim!KB25=Sheet6!$C$2,Sheet6!$C$2,IF(Tim!KB25=Sheet6!$C$3,Sheet6!$C$3,IF(Tim!KB25=Sheet6!$C$4,Sheet6!$C$4,IF(Tim!KB25=Sheet6!$C$5,Sheet6!$C$5,IF(Tim!KB25=Sheet6!$C$6,Sheet6!$C$6,IF(Tim!KB25=Sheet6!$C$7,Sheet6!$C$7,IF(Tim!KB25=Sheet6!$C$8,Sheet6!$C$8,"")))))))</f>
        <v/>
      </c>
      <c r="DK23" s="53" t="str">
        <f>IF(Tim!KI25=Sheet6!$C$2,Sheet6!$C$2,IF(Tim!KI25=Sheet6!$C$3,Sheet6!$C$3,IF(Tim!KI25=Sheet6!$C$4,Sheet6!$C$4,IF(Tim!KI25=Sheet6!$C$5,Sheet6!$C$5,IF(Tim!KI25=Sheet6!$C$6,Sheet6!$C$6,IF(Tim!KI25=Sheet6!$C$7,Sheet6!$C$7,IF(Tim!KI25=Sheet6!$C$8,Sheet6!$C$8,"")))))))</f>
        <v/>
      </c>
      <c r="DL23" s="53" t="str">
        <f>IF(Tim!KJ25=Sheet6!$C$2,Sheet6!$C$2,IF(Tim!KJ25=Sheet6!$C$3,Sheet6!$C$3,IF(Tim!KJ25=Sheet6!$C$4,Sheet6!$C$4,IF(Tim!KJ25=Sheet6!$C$5,Sheet6!$C$5,IF(Tim!KJ25=Sheet6!$C$6,Sheet6!$C$6,IF(Tim!KJ25=Sheet6!$C$7,Sheet6!$C$7,IF(Tim!KJ25=Sheet6!$C$8,Sheet6!$C$8,"")))))))</f>
        <v/>
      </c>
      <c r="DM23" s="53" t="str">
        <f>IF(Tim!KR25=Sheet6!$C$2,Sheet6!$C$2,IF(Tim!KR25=Sheet6!$C$3,Sheet6!$C$3,IF(Tim!KR25=Sheet6!$C$4,Sheet6!$C$4,IF(Tim!KR25=Sheet6!$C$5,Sheet6!$C$5,IF(Tim!KR25=Sheet6!$C$6,Sheet6!$C$6,IF(Tim!KR25=Sheet6!$C$7,Sheet6!$C$7,IF(Tim!KR25=Sheet6!$C$8,Sheet6!$C$8,"")))))))</f>
        <v/>
      </c>
      <c r="DN23" s="53" t="str">
        <f>IF(Tim!KS25=Sheet6!$C$2,Sheet6!$C$2,IF(Tim!KS25=Sheet6!$C$3,Sheet6!$C$3,IF(Tim!KS25=Sheet6!$C$4,Sheet6!$C$4,IF(Tim!KS25=Sheet6!$C$5,Sheet6!$C$5,IF(Tim!KS25=Sheet6!$C$6,Sheet6!$C$6,IF(Tim!KS25=Sheet6!$C$7,Sheet6!$C$7,IF(Tim!KS25=Sheet6!$C$8,Sheet6!$C$8,"")))))))</f>
        <v/>
      </c>
      <c r="DO23" s="53" t="str">
        <f>IF(Tim!KT25=Sheet6!$C$2,Sheet6!$C$2,IF(Tim!KT25=Sheet6!$C$3,Sheet6!$C$3,IF(Tim!KT25=Sheet6!$C$4,Sheet6!$C$4,IF(Tim!KT25=Sheet6!$C$5,Sheet6!$C$5,IF(Tim!KT25=Sheet6!$C$6,Sheet6!$C$6,IF(Tim!KT25=Sheet6!$C$7,Sheet6!$C$7,IF(Tim!KT25=Sheet6!$C$8,Sheet6!$C$8,"")))))))</f>
        <v/>
      </c>
      <c r="DP23" s="53" t="str">
        <f>IF(Tim!KU25=Sheet6!$C$2,Sheet6!$C$2,IF(Tim!KU25=Sheet6!$C$3,Sheet6!$C$3,IF(Tim!KU25=Sheet6!$C$4,Sheet6!$C$4,IF(Tim!KU25=Sheet6!$C$5,Sheet6!$C$5,IF(Tim!KU25=Sheet6!$C$6,Sheet6!$C$6,IF(Tim!KU25=Sheet6!$C$7,Sheet6!$C$7,IF(Tim!KU25=Sheet6!$C$8,Sheet6!$C$8,"")))))))</f>
        <v/>
      </c>
      <c r="DQ23" s="53" t="str">
        <f>IF(Tim!KV25=Sheet6!$C$2,Sheet6!$C$2,IF(Tim!KV25=Sheet6!$C$3,Sheet6!$C$3,IF(Tim!KV25=Sheet6!$C$4,Sheet6!$C$4,IF(Tim!KV25=Sheet6!$C$5,Sheet6!$C$5,IF(Tim!KV25=Sheet6!$C$6,Sheet6!$C$6,IF(Tim!KV25=Sheet6!$C$7,Sheet6!$C$7,IF(Tim!KV25=Sheet6!$C$8,Sheet6!$C$8,"")))))))</f>
        <v/>
      </c>
      <c r="DR23" s="53" t="str">
        <f>IF(Tim!KW25=Sheet6!$C$2,Sheet6!$C$2,IF(Tim!KW25=Sheet6!$C$3,Sheet6!$C$3,IF(Tim!KW25=Sheet6!$C$4,Sheet6!$C$4,IF(Tim!KW25=Sheet6!$C$5,Sheet6!$C$5,IF(Tim!KW25=Sheet6!$C$6,Sheet6!$C$6,IF(Tim!KW25=Sheet6!$C$7,Sheet6!$C$7,IF(Tim!KW25=Sheet6!$C$8,Sheet6!$C$8,"")))))))</f>
        <v/>
      </c>
      <c r="DS23" s="53" t="str">
        <f>IF(Tim!LA25=Sheet6!$C$2,Sheet6!$C$2,IF(Tim!LA25=Sheet6!$C$3,Sheet6!$C$3,IF(Tim!LA25=Sheet6!$C$4,Sheet6!$C$4,IF(Tim!LA25=Sheet6!$C$5,Sheet6!$C$5,IF(Tim!LA25=Sheet6!$C$6,Sheet6!$C$6,IF(Tim!LA25=Sheet6!$C$7,Sheet6!$C$7,IF(Tim!LA25=Sheet6!$C$8,Sheet6!$C$8,"")))))))</f>
        <v/>
      </c>
      <c r="DT23" s="54" t="str">
        <f>IF(Tim!LB25=Sheet6!$C$2,Sheet6!$C$2,IF(Tim!LB25=Sheet6!$C$3,Sheet6!$C$3,IF(Tim!LB25=Sheet6!$C$4,Sheet6!$C$4,IF(Tim!LB25=Sheet6!$C$5,Sheet6!$C$5,IF(Tim!LB25=Sheet6!$C$6,Sheet6!$C$6,IF(Tim!LB25=Sheet6!$C$7,Sheet6!$C$7,IF(Tim!LB25=Sheet6!$C$8,Sheet6!$C$8,"")))))))</f>
        <v/>
      </c>
      <c r="DU23" s="54" t="str">
        <f>IF(Tim!LC25=Sheet6!$C$2,Sheet6!$C$2,IF(Tim!LC25=Sheet6!$C$3,Sheet6!$C$3,IF(Tim!LC25=Sheet6!$C$4,Sheet6!$C$4,IF(Tim!LC25=Sheet6!$C$5,Sheet6!$C$5,IF(Tim!LC25=Sheet6!$C$6,Sheet6!$C$6,IF(Tim!LC25=Sheet6!$C$7,Sheet6!$C$7,IF(Tim!LC25=Sheet6!$C$8,Sheet6!$C$8,"")))))))</f>
        <v/>
      </c>
      <c r="DV23" s="54" t="str">
        <f>IF(Tim!LD25=Sheet6!$C$2,Sheet6!$C$2,IF(Tim!LD25=Sheet6!$C$3,Sheet6!$C$3,IF(Tim!LD25=Sheet6!$C$4,Sheet6!$C$4,IF(Tim!LD25=Sheet6!$C$5,Sheet6!$C$5,IF(Tim!LD25=Sheet6!$C$6,Sheet6!$C$6,IF(Tim!LD25=Sheet6!$C$7,Sheet6!$C$7,IF(Tim!LD25=Sheet6!$C$8,Sheet6!$C$8,"")))))))</f>
        <v/>
      </c>
      <c r="DW23" s="55" t="str">
        <f>IF(Tim!LE25=Sheet6!$C$2,Sheet6!$C$2,IF(Tim!LE25=Sheet6!$C$3,Sheet6!$C$3,IF(Tim!LE25=Sheet6!$C$4,Sheet6!$C$4,IF(Tim!LE25=Sheet6!$C$5,Sheet6!$C$5,IF(Tim!LE25=Sheet6!$C$6,Sheet6!$C$6,IF(Tim!LE25=Sheet6!$C$7,Sheet6!$C$7,IF(Tim!LE25=Sheet6!$C$8,Sheet6!$C$8,"")))))))</f>
        <v/>
      </c>
      <c r="DX23" s="52">
        <v>0.47916666666666602</v>
      </c>
    </row>
    <row r="24" spans="2:128" ht="10.5" customHeight="1">
      <c r="B24" s="51">
        <v>0.25</v>
      </c>
      <c r="C24" s="51">
        <v>0.25</v>
      </c>
      <c r="D24" s="51">
        <v>0.25</v>
      </c>
      <c r="E24" s="52">
        <v>0.48958333333333298</v>
      </c>
      <c r="F24" s="53" t="str">
        <f>IF(Tim!F26=Sheet6!$C$2,Sheet6!$C$2,IF(Tim!F26=Sheet6!$C$3,Sheet6!$C$3,IF(Tim!F26=Sheet6!$C$4,Sheet6!$C$4,IF(Tim!F26=Sheet6!$C$5,Sheet6!$C$5,IF(Tim!F26=Sheet6!$C$6,Sheet6!$C$6,IF(Tim!F26=Sheet6!$C$7,Sheet6!$C$7,IF(Tim!F26=Sheet6!$C$8,Sheet6!$C$8,"")))))))</f>
        <v/>
      </c>
      <c r="G24" s="53" t="str">
        <f>IF(Tim!G26=Sheet6!$C$2,Sheet6!$C$2,IF(Tim!G26=Sheet6!$C$3,Sheet6!$C$3,IF(Tim!G26=Sheet6!$C$4,Sheet6!$C$4,IF(Tim!G26=Sheet6!$C$5,Sheet6!$C$5,IF(Tim!G26=Sheet6!$C$6,Sheet6!$C$6,IF(Tim!G26=Sheet6!$C$7,Sheet6!$C$7,IF(Tim!G26=Sheet6!$C$8,Sheet6!$C$8,"")))))))</f>
        <v/>
      </c>
      <c r="H24" s="53" t="str">
        <f>IF(Tim!H26=Sheet6!$C$2,Sheet6!$C$2,IF(Tim!H26=Sheet6!$C$3,Sheet6!$C$3,IF(Tim!H26=Sheet6!$C$4,Sheet6!$C$4,IF(Tim!H26=Sheet6!$C$5,Sheet6!$C$5,IF(Tim!H26=Sheet6!$C$6,Sheet6!$C$6,IF(Tim!H26=Sheet6!$C$7,Sheet6!$C$7,IF(Tim!H26=Sheet6!$C$8,Sheet6!$C$8,"")))))))</f>
        <v/>
      </c>
      <c r="I24" s="53" t="str">
        <f>IF(Tim!L26=Sheet6!$C$2,Sheet6!$C$2,IF(Tim!L26=Sheet6!$C$3,Sheet6!$C$3,IF(Tim!L26=Sheet6!$C$4,Sheet6!$C$4,IF(Tim!L26=Sheet6!$C$5,Sheet6!$C$5,IF(Tim!L26=Sheet6!$C$6,Sheet6!$C$6,IF(Tim!L26=Sheet6!$C$7,Sheet6!$C$7,IF(Tim!L26=Sheet6!$C$8,Sheet6!$C$8,"")))))))</f>
        <v/>
      </c>
      <c r="J24" s="53" t="str">
        <f>IF(Tim!T26=Sheet6!$C$2,Sheet6!$C$2,IF(Tim!T26=Sheet6!$C$3,Sheet6!$C$3,IF(Tim!T26=Sheet6!$C$4,Sheet6!$C$4,IF(Tim!T26=Sheet6!$C$5,Sheet6!$C$5,IF(Tim!T26=Sheet6!$C$6,Sheet6!$C$6,IF(Tim!T26=Sheet6!$C$7,Sheet6!$C$7,IF(Tim!T26=Sheet6!$C$8,Sheet6!$C$8,"")))))))</f>
        <v/>
      </c>
      <c r="K24" s="53" t="str">
        <f>IF(Tim!AB26=Sheet6!$C$2,Sheet6!$C$2,IF(Tim!AB26=Sheet6!$C$3,Sheet6!$C$3,IF(Tim!AB26=Sheet6!$C$4,Sheet6!$C$4,IF(Tim!AB26=Sheet6!$C$5,Sheet6!$C$5,IF(Tim!AB26=Sheet6!$C$6,Sheet6!$C$6,IF(Tim!AB26=Sheet6!$C$7,Sheet6!$C$7,IF(Tim!AB26=Sheet6!$C$8,Sheet6!$C$8,"")))))))</f>
        <v/>
      </c>
      <c r="L24" s="181" t="str">
        <f>IF(Tim!AC26=Sheet6!$C$2,Sheet6!$C$2,IF(Tim!AC26=Sheet6!$C$3,Sheet6!$C$3,IF(Tim!AC26=Sheet6!$C$4,Sheet6!$C$4,IF(Tim!AC26=Sheet6!$C$5,Sheet6!$C$5,IF(Tim!AC26=Sheet6!$C$6,Sheet6!$C$6,IF(Tim!AC26=Sheet6!$C$7,Sheet6!$C$7,IF(Tim!AC26=Sheet6!$C$8,Sheet6!$C$8,"")))))))</f>
        <v/>
      </c>
      <c r="M24" s="53" t="str">
        <f>IF(Tim!AJ26=Sheet6!$C$2,Sheet6!$C$2,IF(Tim!AJ26=Sheet6!$C$3,Sheet6!$C$3,IF(Tim!AJ26=Sheet6!$C$4,Sheet6!$C$4,IF(Tim!AJ26=Sheet6!$C$5,Sheet6!$C$5,IF(Tim!AJ26=Sheet6!$C$6,Sheet6!$C$6,IF(Tim!AJ26=Sheet6!$C$7,Sheet6!$C$7,IF(Tim!AJ26=Sheet6!$C$8,Sheet6!$C$8,"")))))))</f>
        <v/>
      </c>
      <c r="N24" s="53" t="str">
        <f>IF(Tim!AK26=Sheet6!$C$2,Sheet6!$C$2,IF(Tim!AK26=Sheet6!$C$3,Sheet6!$C$3,IF(Tim!AK26=Sheet6!$C$4,Sheet6!$C$4,IF(Tim!AK26=Sheet6!$C$5,Sheet6!$C$5,IF(Tim!AK26=Sheet6!$C$6,Sheet6!$C$6,IF(Tim!AK26=Sheet6!$C$7,Sheet6!$C$7,IF(Tim!AK26=Sheet6!$C$8,Sheet6!$C$8,"")))))))</f>
        <v/>
      </c>
      <c r="O24" s="53" t="str">
        <f>IF(Tim!AL26=Sheet6!$C$2,Sheet6!$C$2,IF(Tim!AL26=Sheet6!$C$3,Sheet6!$C$3,IF(Tim!AL26=Sheet6!$C$4,Sheet6!$C$4,IF(Tim!AL26=Sheet6!$C$5,Sheet6!$C$5,IF(Tim!AL26=Sheet6!$C$6,Sheet6!$C$6,IF(Tim!AL26=Sheet6!$C$7,Sheet6!$C$7,IF(Tim!AL26=Sheet6!$C$8,Sheet6!$C$8,"")))))))</f>
        <v/>
      </c>
      <c r="P24" s="53" t="str">
        <f>IF(Tim!AN26=Sheet6!$C$2,Sheet6!$C$2,IF(Tim!AN26=Sheet6!$C$3,Sheet6!$C$3,IF(Tim!AN26=Sheet6!$C$4,Sheet6!$C$4,IF(Tim!AN26=Sheet6!$C$5,Sheet6!$C$5,IF(Tim!AN26=Sheet6!$C$6,Sheet6!$C$6,IF(Tim!AN26=Sheet6!$C$7,Sheet6!$C$7,IF(Tim!AN26=Sheet6!$C$8,Sheet6!$C$8,"")))))))</f>
        <v/>
      </c>
      <c r="Q24" s="53" t="str">
        <f>IF(Tim!AO26=Sheet6!$C$2,Sheet6!$C$2,IF(Tim!AO26=Sheet6!$C$3,Sheet6!$C$3,IF(Tim!AO26=Sheet6!$C$4,Sheet6!$C$4,IF(Tim!AO26=Sheet6!$C$5,Sheet6!$C$5,IF(Tim!AO26=Sheet6!$C$6,Sheet6!$C$6,IF(Tim!AO26=Sheet6!$C$7,Sheet6!$C$7,IF(Tim!AO26=Sheet6!$C$8,Sheet6!$C$8,"")))))))</f>
        <v/>
      </c>
      <c r="R24" s="53" t="str">
        <f>IF(Tim!AP26=Sheet6!$C$2,Sheet6!$C$2,IF(Tim!AP26=Sheet6!$C$3,Sheet6!$C$3,IF(Tim!AP26=Sheet6!$C$4,Sheet6!$C$4,IF(Tim!AP26=Sheet6!$C$5,Sheet6!$C$5,IF(Tim!AP26=Sheet6!$C$6,Sheet6!$C$6,IF(Tim!AP26=Sheet6!$C$7,Sheet6!$C$7,IF(Tim!AP26=Sheet6!$C$8,Sheet6!$C$8,"")))))))</f>
        <v/>
      </c>
      <c r="S24" s="183" t="str">
        <f>IF(Tim!AT26=Sheet6!$C$2,Sheet6!$C$2,IF(Tim!AT26=Sheet6!$C$3,Sheet6!$C$3,IF(Tim!AT26=Sheet6!$C$4,Sheet6!$C$4,IF(Tim!AT26=Sheet6!$C$5,Sheet6!$C$5,IF(Tim!AT26=Sheet6!$C$6,Sheet6!$C$6,IF(Tim!AT26=Sheet6!$C$7,Sheet6!$C$7,IF(Tim!AT26=Sheet6!$C$8,Sheet6!$C$8,"")))))))</f>
        <v/>
      </c>
      <c r="T24" s="54" t="str">
        <f>IF(Tim!AU26=Sheet6!$C$2,Sheet6!$C$2,IF(Tim!AU26=Sheet6!$C$3,Sheet6!$C$3,IF(Tim!AU26=Sheet6!$C$4,Sheet6!$C$4,IF(Tim!AU26=Sheet6!$C$5,Sheet6!$C$5,IF(Tim!AU26=Sheet6!$C$6,Sheet6!$C$6,IF(Tim!AU26=Sheet6!$C$7,Sheet6!$C$7,IF(Tim!AU26=Sheet6!$C$8,Sheet6!$C$8,"")))))))</f>
        <v/>
      </c>
      <c r="U24" s="54" t="str">
        <f>IF(Tim!AV26=Sheet6!$C$2,Sheet6!$C$2,IF(Tim!AV26=Sheet6!$C$3,Sheet6!$C$3,IF(Tim!AV26=Sheet6!$C$4,Sheet6!$C$4,IF(Tim!AV26=Sheet6!$C$5,Sheet6!$C$5,IF(Tim!AV26=Sheet6!$C$6,Sheet6!$C$6,IF(Tim!AV26=Sheet6!$C$7,Sheet6!$C$7,IF(Tim!AV26=Sheet6!$C$8,Sheet6!$C$8,"")))))))</f>
        <v/>
      </c>
      <c r="V24" s="54" t="str">
        <f>IF(Tim!AW26=Sheet6!$C$2,Sheet6!$C$2,IF(Tim!AW26=Sheet6!$C$3,Sheet6!$C$3,IF(Tim!AW26=Sheet6!$C$4,Sheet6!$C$4,IF(Tim!AW26=Sheet6!$C$5,Sheet6!$C$5,IF(Tim!AW26=Sheet6!$C$6,Sheet6!$C$6,IF(Tim!AW26=Sheet6!$C$7,Sheet6!$C$7,IF(Tim!AW26=Sheet6!$C$8,Sheet6!$C$8,"")))))))</f>
        <v/>
      </c>
      <c r="W24" s="55" t="str">
        <f>IF(Tim!AX26=Sheet6!$C$2,Sheet6!$C$2,IF(Tim!AX26=Sheet6!$C$3,Sheet6!$C$3,IF(Tim!AX26=Sheet6!$C$4,Sheet6!$C$4,IF(Tim!AX26=Sheet6!$C$5,Sheet6!$C$5,IF(Tim!AX26=Sheet6!$C$6,Sheet6!$C$6,IF(Tim!AX26=Sheet6!$C$7,Sheet6!$C$7,IF(Tim!AX26=Sheet6!$C$8,Sheet6!$C$8,"")))))))</f>
        <v/>
      </c>
      <c r="X24" s="53" t="str">
        <f>IF(Tim!AY26=Sheet6!$C$2,Sheet6!$C$2,IF(Tim!AY26=Sheet6!$C$3,Sheet6!$C$3,IF(Tim!AY26=Sheet6!$C$4,Sheet6!$C$4,IF(Tim!AY26=Sheet6!$C$5,Sheet6!$C$5,IF(Tim!AY26=Sheet6!$C$6,Sheet6!$C$6,IF(Tim!AY26=Sheet6!$C$7,Sheet6!$C$7,IF(Tim!AY26=Sheet6!$C$8,Sheet6!$C$8,"")))))))</f>
        <v/>
      </c>
      <c r="Y24" s="53" t="str">
        <f>IF(Tim!AZ26=Sheet6!$C$2,Sheet6!$C$2,IF(Tim!AZ26=Sheet6!$C$3,Sheet6!$C$3,IF(Tim!AZ26=Sheet6!$C$4,Sheet6!$C$4,IF(Tim!AZ26=Sheet6!$C$5,Sheet6!$C$5,IF(Tim!AZ26=Sheet6!$C$6,Sheet6!$C$6,IF(Tim!AZ26=Sheet6!$C$7,Sheet6!$C$7,IF(Tim!AZ26=Sheet6!$C$8,Sheet6!$C$8,"")))))))</f>
        <v/>
      </c>
      <c r="Z24" s="57" t="str">
        <f>IF(Tim!BD26=Sheet6!$C$2,Sheet6!$C$2,IF(Tim!BD26=Sheet6!$C$3,Sheet6!$C$3,IF(Tim!BD26=Sheet6!$C$4,Sheet6!$C$4,IF(Tim!BD26=Sheet6!$C$5,Sheet6!$C$5,IF(Tim!BD26=Sheet6!$C$6,Sheet6!$C$6,IF(Tim!BD26=Sheet6!$C$7,Sheet6!$C$7,IF(Tim!BD26=Sheet6!$C$8,Sheet6!$C$8,"")))))))</f>
        <v/>
      </c>
      <c r="AA24" s="53" t="str">
        <f>IF(Tim!BE26=Sheet6!$C$2,Sheet6!$C$2,IF(Tim!BE26=Sheet6!$C$3,Sheet6!$C$3,IF(Tim!BE26=Sheet6!$C$4,Sheet6!$C$4,IF(Tim!BE26=Sheet6!$C$5,Sheet6!$C$5,IF(Tim!BE26=Sheet6!$C$6,Sheet6!$C$6,IF(Tim!BE26=Sheet6!$C$7,Sheet6!$C$7,IF(Tim!BE26=Sheet6!$C$8,Sheet6!$C$8,"")))))))</f>
        <v/>
      </c>
      <c r="AB24" s="53" t="str">
        <f>IF(Tim!BL26=Sheet6!$C$2,Sheet6!$C$2,IF(Tim!BL26=Sheet6!$C$3,Sheet6!$C$3,IF(Tim!BL26=Sheet6!$C$4,Sheet6!$C$4,IF(Tim!BL26=Sheet6!$C$5,Sheet6!$C$5,IF(Tim!BL26=Sheet6!$C$6,Sheet6!$C$6,IF(Tim!BL26=Sheet6!$C$7,Sheet6!$C$7,IF(Tim!BL26=Sheet6!$C$8,Sheet6!$C$8,"")))))))</f>
        <v/>
      </c>
      <c r="AC24" s="53" t="str">
        <f>IF(Tim!BT26=Sheet6!$C$2,Sheet6!$C$2,IF(Tim!BT26=Sheet6!$C$3,Sheet6!$C$3,IF(Tim!BT26=Sheet6!$C$4,Sheet6!$C$4,IF(Tim!BT26=Sheet6!$C$5,Sheet6!$C$5,IF(Tim!BT26=Sheet6!$C$6,Sheet6!$C$6,IF(Tim!BT26=Sheet6!$C$7,Sheet6!$C$7,IF(Tim!BT26=Sheet6!$C$8,Sheet6!$C$8,"")))))))</f>
        <v/>
      </c>
      <c r="AD24" s="181" t="str">
        <f>IF(Tim!BU26=Sheet6!$C$2,Sheet6!$C$2,IF(Tim!BU26=Sheet6!$C$3,Sheet6!$C$3,IF(Tim!BU26=Sheet6!$C$4,Sheet6!$C$4,IF(Tim!BU26=Sheet6!$C$5,Sheet6!$C$5,IF(Tim!BU26=Sheet6!$C$6,Sheet6!$C$6,IF(Tim!BU26=Sheet6!$C$7,Sheet6!$C$7,IF(Tim!BU26=Sheet6!$C$8,Sheet6!$C$8,"")))))))</f>
        <v/>
      </c>
      <c r="AE24" s="181" t="str">
        <f>IF(Tim!CB26=Sheet6!$C$2,Sheet6!$C$2,IF(Tim!CB26=Sheet6!$C$3,Sheet6!$C$3,IF(Tim!CB26=Sheet6!$C$4,Sheet6!$C$4,IF(Tim!CB26=Sheet6!$C$5,Sheet6!$C$5,IF(Tim!CB26=Sheet6!$C$6,Sheet6!$C$6,IF(Tim!CB26=Sheet6!$C$7,Sheet6!$C$7,IF(Tim!CB26=Sheet6!$C$8,Sheet6!$C$8,"")))))))</f>
        <v/>
      </c>
      <c r="AF24" s="181" t="str">
        <f>IF(Tim!CD26=Sheet6!$C$2,Sheet6!$C$2,IF(Tim!CD26=Sheet6!$C$3,Sheet6!$C$3,IF(Tim!CD26=Sheet6!$C$4,Sheet6!$C$4,IF(Tim!CD26=Sheet6!$C$5,Sheet6!$C$5,IF(Tim!CD26=Sheet6!$C$6,Sheet6!$C$6,IF(Tim!CD26=Sheet6!$C$7,Sheet6!$C$7,IF(Tim!CD26=Sheet6!$C$8,Sheet6!$C$8,"")))))))</f>
        <v/>
      </c>
      <c r="AG24" s="53" t="str">
        <f>IF(Tim!CE26=Sheet6!$C$2,Sheet6!$C$2,IF(Tim!CE26=Sheet6!$C$3,Sheet6!$C$3,IF(Tim!CE26=Sheet6!$C$4,Sheet6!$C$4,IF(Tim!CE26=Sheet6!$C$5,Sheet6!$C$5,IF(Tim!CE26=Sheet6!$C$6,Sheet6!$C$6,IF(Tim!CE26=Sheet6!$C$7,Sheet6!$C$7,IF(Tim!CE26=Sheet6!$C$8,Sheet6!$C$8,"")))))))</f>
        <v/>
      </c>
      <c r="AH24" s="53" t="str">
        <f>IF(Tim!CF26=Sheet6!$C$2,Sheet6!$C$2,IF(Tim!CF26=Sheet6!$C$3,Sheet6!$C$3,IF(Tim!CF26=Sheet6!$C$4,Sheet6!$C$4,IF(Tim!CF26=Sheet6!$C$5,Sheet6!$C$5,IF(Tim!CF26=Sheet6!$C$6,Sheet6!$C$6,IF(Tim!CF26=Sheet6!$C$7,Sheet6!$C$7,IF(Tim!CF26=Sheet6!$C$8,Sheet6!$C$8,"")))))))</f>
        <v/>
      </c>
      <c r="AI24" s="176" t="str">
        <f>IF(Tim!CG26=Sheet6!$C$2,Sheet6!$C$2,IF(Tim!CG26=Sheet6!$C$3,Sheet6!$C$3,IF(Tim!CG26=Sheet6!$C$4,Sheet6!$C$4,IF(Tim!CG26=Sheet6!$C$5,Sheet6!$C$5,IF(Tim!CG26=Sheet6!$C$6,Sheet6!$C$6,IF(Tim!CG26=Sheet6!$C$7,Sheet6!$C$7,IF(Tim!CG26=Sheet6!$C$8,Sheet6!$C$8,"")))))))</f>
        <v/>
      </c>
      <c r="AJ24" s="53" t="str">
        <f>IF(Tim!CH26=Sheet6!$C$2,Sheet6!$C$2,IF(Tim!CH26=Sheet6!$C$3,Sheet6!$C$3,IF(Tim!CH26=Sheet6!$C$4,Sheet6!$C$4,IF(Tim!CH26=Sheet6!$C$5,Sheet6!$C$5,IF(Tim!CH26=Sheet6!$C$6,Sheet6!$C$6,IF(Tim!CH26=Sheet6!$C$7,Sheet6!$C$7,IF(Tim!CH26=Sheet6!$C$8,Sheet6!$C$8,"")))))))</f>
        <v/>
      </c>
      <c r="AK24" s="53" t="str">
        <f>IF(Tim!CL26=Sheet6!$C$2,Sheet6!$C$2,IF(Tim!CL26=Sheet6!$C$3,Sheet6!$C$3,IF(Tim!CL26=Sheet6!$C$4,Sheet6!$C$4,IF(Tim!CL26=Sheet6!$C$5,Sheet6!$C$5,IF(Tim!CL26=Sheet6!$C$6,Sheet6!$C$6,IF(Tim!CL26=Sheet6!$C$7,Sheet6!$C$7,IF(Tim!CL26=Sheet6!$C$8,Sheet6!$C$8,"")))))))</f>
        <v/>
      </c>
      <c r="AL24" s="54" t="str">
        <f>IF(Tim!CM26=Sheet6!$C$2,Sheet6!$C$2,IF(Tim!CM26=Sheet6!$C$3,Sheet6!$C$3,IF(Tim!CM26=Sheet6!$C$4,Sheet6!$C$4,IF(Tim!CM26=Sheet6!$C$5,Sheet6!$C$5,IF(Tim!CM26=Sheet6!$C$6,Sheet6!$C$6,IF(Tim!CM26=Sheet6!$C$7,Sheet6!$C$7,IF(Tim!CM26=Sheet6!$C$8,Sheet6!$C$8,"")))))))</f>
        <v/>
      </c>
      <c r="AM24" s="54" t="str">
        <f>IF(Tim!CN26=Sheet6!$C$2,Sheet6!$C$2,IF(Tim!CN26=Sheet6!$C$3,Sheet6!$C$3,IF(Tim!CN26=Sheet6!$C$4,Sheet6!$C$4,IF(Tim!CN26=Sheet6!$C$5,Sheet6!$C$5,IF(Tim!CN26=Sheet6!$C$6,Sheet6!$C$6,IF(Tim!CN26=Sheet6!$C$7,Sheet6!$C$7,IF(Tim!CN26=Sheet6!$C$8,Sheet6!$C$8,"")))))))</f>
        <v/>
      </c>
      <c r="AN24" s="54" t="str">
        <f>IF(Tim!CO26=Sheet6!$C$2,Sheet6!$C$2,IF(Tim!CO26=Sheet6!$C$3,Sheet6!$C$3,IF(Tim!CO26=Sheet6!$C$4,Sheet6!$C$4,IF(Tim!CO26=Sheet6!$C$5,Sheet6!$C$5,IF(Tim!CO26=Sheet6!$C$6,Sheet6!$C$6,IF(Tim!CO26=Sheet6!$C$7,Sheet6!$C$7,IF(Tim!CO26=Sheet6!$C$8,Sheet6!$C$8,"")))))))</f>
        <v/>
      </c>
      <c r="AO24" s="55" t="str">
        <f>IF(Tim!CP26=Sheet6!$C$2,Sheet6!$C$2,IF(Tim!CP26=Sheet6!$C$3,Sheet6!$C$3,IF(Tim!CP26=Sheet6!$C$4,Sheet6!$C$4,IF(Tim!CP26=Sheet6!$C$5,Sheet6!$C$5,IF(Tim!CP26=Sheet6!$C$6,Sheet6!$C$6,IF(Tim!CP26=Sheet6!$C$7,Sheet6!$C$7,IF(Tim!CP26=Sheet6!$C$8,Sheet6!$C$8,"")))))))</f>
        <v/>
      </c>
      <c r="AP24" s="53" t="str">
        <f>IF(Tim!CQ26=Sheet6!$C$2,Sheet6!$C$2,IF(Tim!CQ26=Sheet6!$C$3,Sheet6!$C$3,IF(Tim!CQ26=Sheet6!$C$4,Sheet6!$C$4,IF(Tim!CQ26=Sheet6!$C$5,Sheet6!$C$5,IF(Tim!CQ26=Sheet6!$C$6,Sheet6!$C$6,IF(Tim!CQ26=Sheet6!$C$7,Sheet6!$C$7,IF(Tim!CQ26=Sheet6!$C$8,Sheet6!$C$8,"")))))))</f>
        <v/>
      </c>
      <c r="AQ24" s="53" t="str">
        <f>IF(Tim!CR26=Sheet6!$C$2,Sheet6!$C$2,IF(Tim!CR26=Sheet6!$C$3,Sheet6!$C$3,IF(Tim!CR26=Sheet6!$C$4,Sheet6!$C$4,IF(Tim!CR26=Sheet6!$C$5,Sheet6!$C$5,IF(Tim!CR26=Sheet6!$C$6,Sheet6!$C$6,IF(Tim!CR26=Sheet6!$C$7,Sheet6!$C$7,IF(Tim!CR26=Sheet6!$C$8,Sheet6!$C$8,"")))))))</f>
        <v/>
      </c>
      <c r="AR24" s="57" t="str">
        <f>IF(Tim!CV26=Sheet6!$C$2,Sheet6!$C$2,IF(Tim!CV26=Sheet6!$C$3,Sheet6!$C$3,IF(Tim!CV26=Sheet6!$C$4,Sheet6!$C$4,IF(Tim!CV26=Sheet6!$C$5,Sheet6!$C$5,IF(Tim!CV26=Sheet6!$C$6,Sheet6!$C$6,IF(Tim!CV26=Sheet6!$C$7,Sheet6!$C$7,IF(Tim!CV26=Sheet6!$C$8,Sheet6!$C$8,"")))))))</f>
        <v/>
      </c>
      <c r="AS24" s="57" t="str">
        <f>IF(Tim!CW26=Sheet6!$C$2,Sheet6!$C$2,IF(Tim!CW26=Sheet6!$C$3,Sheet6!$C$3,IF(Tim!CW26=Sheet6!$C$4,Sheet6!$C$4,IF(Tim!CW26=Sheet6!$C$5,Sheet6!$C$5,IF(Tim!CW26=Sheet6!$C$6,Sheet6!$C$6,IF(Tim!CW26=Sheet6!$C$7,Sheet6!$C$7,IF(Tim!CW26=Sheet6!$C$8,Sheet6!$C$8,"")))))))</f>
        <v/>
      </c>
      <c r="AT24" s="57" t="str">
        <f>IF(Tim!DA26=Sheet6!$C$2,Sheet6!$C$2,IF(Tim!DA26=Sheet6!$C$3,Sheet6!$C$3,IF(Tim!DA26=Sheet6!$C$4,Sheet6!$C$4,IF(Tim!DA26=Sheet6!$C$5,Sheet6!$C$5,IF(Tim!DA26=Sheet6!$C$6,Sheet6!$C$6,IF(Tim!DA26=Sheet6!$C$7,Sheet6!$C$7,IF(Tim!DA26=Sheet6!$C$8,Sheet6!$C$8,"")))))))</f>
        <v/>
      </c>
      <c r="AU24" s="53" t="str">
        <f>IF(Tim!DO26=Sheet6!$C$2,Sheet6!$C$2,IF(Tim!DO26=Sheet6!$C$3,Sheet6!$C$3,IF(Tim!DO26=Sheet6!$C$4,Sheet6!$C$4,IF(Tim!DO26=Sheet6!$C$5,Sheet6!$C$5,IF(Tim!DO26=Sheet6!$C$6,Sheet6!$C$6,IF(Tim!DO26=Sheet6!$C$7,Sheet6!$C$7,IF(Tim!DO26=Sheet6!$C$8,Sheet6!$C$8,"")))))))</f>
        <v/>
      </c>
      <c r="AV24" s="181" t="str">
        <f>IF(Tim!DP26=Sheet6!$C$2,Sheet6!$C$2,IF(Tim!DP26=Sheet6!$C$3,Sheet6!$C$3,IF(Tim!DP26=Sheet6!$C$4,Sheet6!$C$4,IF(Tim!DP26=Sheet6!$C$5,Sheet6!$C$5,IF(Tim!DP26=Sheet6!$C$6,Sheet6!$C$6,IF(Tim!DP26=Sheet6!$C$7,Sheet6!$C$7,IF(Tim!DP26=Sheet6!$C$8,Sheet6!$C$8,"")))))))</f>
        <v/>
      </c>
      <c r="AW24" s="181" t="str">
        <f>IF(Tim!DX26=Sheet6!$C$2,Sheet6!$C$2,IF(Tim!DX26=Sheet6!$C$3,Sheet6!$C$3,IF(Tim!DX26=Sheet6!$C$4,Sheet6!$C$4,IF(Tim!DX26=Sheet6!$C$5,Sheet6!$C$5,IF(Tim!DX26=Sheet6!$C$6,Sheet6!$C$6,IF(Tim!DX26=Sheet6!$C$7,Sheet6!$C$7,IF(Tim!DX26=Sheet6!$C$8,Sheet6!$C$8,"")))))))</f>
        <v/>
      </c>
      <c r="AX24" s="181" t="str">
        <f>IF(Tim!DY26=Sheet6!$C$2,Sheet6!$C$2,IF(Tim!DY26=Sheet6!$C$3,Sheet6!$C$3,IF(Tim!DY26=Sheet6!$C$4,Sheet6!$C$4,IF(Tim!DY26=Sheet6!$C$5,Sheet6!$C$5,IF(Tim!DY26=Sheet6!$C$6,Sheet6!$C$6,IF(Tim!DY26=Sheet6!$C$7,Sheet6!$C$7,IF(Tim!DY26=Sheet6!$C$8,Sheet6!$C$8,"")))))))</f>
        <v/>
      </c>
      <c r="AY24" s="53" t="str">
        <f>IF(Tim!DZ26=Sheet6!$C$2,Sheet6!$C$2,IF(Tim!DZ26=Sheet6!$C$3,Sheet6!$C$3,IF(Tim!DZ26=Sheet6!$C$4,Sheet6!$C$4,IF(Tim!DZ26=Sheet6!$C$5,Sheet6!$C$5,IF(Tim!DZ26=Sheet6!$C$6,Sheet6!$C$6,IF(Tim!DZ26=Sheet6!$C$7,Sheet6!$C$7,IF(Tim!DZ26=Sheet6!$C$8,Sheet6!$C$8,"")))))))</f>
        <v/>
      </c>
      <c r="AZ24" s="53" t="str">
        <f>IF(Tim!EA26=Sheet6!$C$2,Sheet6!$C$2,IF(Tim!EA26=Sheet6!$C$3,Sheet6!$C$3,IF(Tim!EA26=Sheet6!$C$4,Sheet6!$C$4,IF(Tim!EA26=Sheet6!$C$5,Sheet6!$C$5,IF(Tim!EA26=Sheet6!$C$6,Sheet6!$C$6,IF(Tim!EA26=Sheet6!$C$7,Sheet6!$C$7,IF(Tim!EA26=Sheet6!$C$8,Sheet6!$C$8,"")))))))</f>
        <v/>
      </c>
      <c r="BA24" s="176" t="str">
        <f>IF(Tim!EB26=Sheet6!$C$2,Sheet6!$C$2,IF(Tim!EB26=Sheet6!$C$3,Sheet6!$C$3,IF(Tim!EB26=Sheet6!$C$4,Sheet6!$C$4,IF(Tim!EB26=Sheet6!$C$5,Sheet6!$C$5,IF(Tim!EB26=Sheet6!$C$6,Sheet6!$C$6,IF(Tim!EB26=Sheet6!$C$7,Sheet6!$C$7,IF(Tim!EB26=Sheet6!$C$8,Sheet6!$C$8,"")))))))</f>
        <v/>
      </c>
      <c r="BB24" s="53" t="str">
        <f>IF(Tim!EC26=Sheet6!$C$2,Sheet6!$C$2,IF(Tim!EC26=Sheet6!$C$3,Sheet6!$C$3,IF(Tim!EC26=Sheet6!$C$4,Sheet6!$C$4,IF(Tim!EC26=Sheet6!$C$5,Sheet6!$C$5,IF(Tim!EC26=Sheet6!$C$6,Sheet6!$C$6,IF(Tim!EC26=Sheet6!$C$7,Sheet6!$C$7,IF(Tim!EC26=Sheet6!$C$8,Sheet6!$C$8,"")))))))</f>
        <v/>
      </c>
      <c r="BC24" s="53" t="str">
        <f>IF(Tim!EG26=Sheet6!$C$2,Sheet6!$C$2,IF(Tim!EG26=Sheet6!$C$3,Sheet6!$C$3,IF(Tim!EG26=Sheet6!$C$4,Sheet6!$C$4,IF(Tim!EG26=Sheet6!$C$5,Sheet6!$C$5,IF(Tim!EG26=Sheet6!$C$6,Sheet6!$C$6,IF(Tim!EG26=Sheet6!$C$7,Sheet6!$C$7,IF(Tim!EG26=Sheet6!$C$8,Sheet6!$C$8,"")))))))</f>
        <v/>
      </c>
      <c r="BD24" s="54" t="str">
        <f>IF(Tim!EH26=Sheet6!$C$2,Sheet6!$C$2,IF(Tim!EH26=Sheet6!$C$3,Sheet6!$C$3,IF(Tim!EH26=Sheet6!$C$4,Sheet6!$C$4,IF(Tim!EH26=Sheet6!$C$5,Sheet6!$C$5,IF(Tim!EH26=Sheet6!$C$6,Sheet6!$C$6,IF(Tim!EH26=Sheet6!$C$7,Sheet6!$C$7,IF(Tim!EH26=Sheet6!$C$8,Sheet6!$C$8,"")))))))</f>
        <v/>
      </c>
      <c r="BE24" s="54" t="str">
        <f>IF(Tim!EI26=Sheet6!$C$2,Sheet6!$C$2,IF(Tim!EI26=Sheet6!$C$3,Sheet6!$C$3,IF(Tim!EI26=Sheet6!$C$4,Sheet6!$C$4,IF(Tim!EI26=Sheet6!$C$5,Sheet6!$C$5,IF(Tim!EI26=Sheet6!$C$6,Sheet6!$C$6,IF(Tim!EI26=Sheet6!$C$7,Sheet6!$C$7,IF(Tim!EI26=Sheet6!$C$8,Sheet6!$C$8,"")))))))</f>
        <v/>
      </c>
      <c r="BF24" s="54" t="str">
        <f>IF(Tim!EJ26=Sheet6!$C$2,Sheet6!$C$2,IF(Tim!EJ26=Sheet6!$C$3,Sheet6!$C$3,IF(Tim!EJ26=Sheet6!$C$4,Sheet6!$C$4,IF(Tim!EJ26=Sheet6!$C$5,Sheet6!$C$5,IF(Tim!EJ26=Sheet6!$C$6,Sheet6!$C$6,IF(Tim!EJ26=Sheet6!$C$7,Sheet6!$C$7,IF(Tim!EJ26=Sheet6!$C$8,Sheet6!$C$8,"")))))))</f>
        <v/>
      </c>
      <c r="BG24" s="55" t="str">
        <f>IF(Tim!EK26=Sheet6!$C$2,Sheet6!$C$2,IF(Tim!EK26=Sheet6!$C$3,Sheet6!$C$3,IF(Tim!EK26=Sheet6!$C$4,Sheet6!$C$4,IF(Tim!EK26=Sheet6!$C$5,Sheet6!$C$5,IF(Tim!EK26=Sheet6!$C$6,Sheet6!$C$6,IF(Tim!EK26=Sheet6!$C$7,Sheet6!$C$7,IF(Tim!EK26=Sheet6!$C$8,Sheet6!$C$8,"")))))))</f>
        <v/>
      </c>
      <c r="BH24" s="57" t="str">
        <f>IF(Tim!EL26=Sheet6!$C$2,Sheet6!$C$2,IF(Tim!EL26=Sheet6!$C$3,Sheet6!$C$3,IF(Tim!EL26=Sheet6!$C$4,Sheet6!$C$4,IF(Tim!EL26=Sheet6!$C$5,Sheet6!$C$5,IF(Tim!EL26=Sheet6!$C$6,Sheet6!$C$6,IF(Tim!EL26=Sheet6!$C$7,Sheet6!$C$7,IF(Tim!EL26=Sheet6!$C$8,Sheet6!$C$8,"")))))))</f>
        <v/>
      </c>
      <c r="BI24" s="57" t="str">
        <f>IF(Tim!EM26=Sheet6!$C$2,Sheet6!$C$2,IF(Tim!EM26=Sheet6!$C$3,Sheet6!$C$3,IF(Tim!EM26=Sheet6!$C$4,Sheet6!$C$4,IF(Tim!EM26=Sheet6!$C$5,Sheet6!$C$5,IF(Tim!EM26=Sheet6!$C$6,Sheet6!$C$6,IF(Tim!EM26=Sheet6!$C$7,Sheet6!$C$7,IF(Tim!EM26=Sheet6!$C$8,Sheet6!$C$8,"")))))))</f>
        <v/>
      </c>
      <c r="BJ24" s="57" t="str">
        <f>IF(Tim!EQ26=Sheet6!$C$2,Sheet6!$C$2,IF(Tim!EQ26=Sheet6!$C$3,Sheet6!$C$3,IF(Tim!EQ26=Sheet6!$C$4,Sheet6!$C$4,IF(Tim!EQ26=Sheet6!$C$5,Sheet6!$C$5,IF(Tim!EQ26=Sheet6!$C$6,Sheet6!$C$6,IF(Tim!EQ26=Sheet6!$C$7,Sheet6!$C$7,IF(Tim!EQ26=Sheet6!$C$8,Sheet6!$C$8,"")))))))</f>
        <v/>
      </c>
      <c r="BK24" s="57" t="str">
        <f>IF(Tim!ER26=Sheet6!$C$2,Sheet6!$C$2,IF(Tim!ER26=Sheet6!$C$3,Sheet6!$C$3,IF(Tim!ER26=Sheet6!$C$4,Sheet6!$C$4,IF(Tim!ER26=Sheet6!$C$5,Sheet6!$C$5,IF(Tim!ER26=Sheet6!$C$6,Sheet6!$C$6,IF(Tim!ER26=Sheet6!$C$7,Sheet6!$C$7,IF(Tim!ER26=Sheet6!$C$8,Sheet6!$C$8,"")))))))</f>
        <v/>
      </c>
      <c r="BL24" s="57" t="str">
        <f>IF(Tim!EZ26=Sheet6!$C$2,Sheet6!$C$2,IF(Tim!EZ26=Sheet6!$C$3,Sheet6!$C$3,IF(Tim!EZ26=Sheet6!$C$4,Sheet6!$C$4,IF(Tim!EZ26=Sheet6!$C$5,Sheet6!$C$5,IF(Tim!EZ26=Sheet6!$C$6,Sheet6!$C$6,IF(Tim!EZ26=Sheet6!$C$7,Sheet6!$C$7,IF(Tim!EZ26=Sheet6!$C$8,Sheet6!$C$8,"")))))))</f>
        <v/>
      </c>
      <c r="BM24" s="53" t="str">
        <f>IF(Tim!FG26=Sheet6!$C$2,Sheet6!$C$2,IF(Tim!FG26=Sheet6!$C$3,Sheet6!$C$3,IF(Tim!FG26=Sheet6!$C$4,Sheet6!$C$4,IF(Tim!FG26=Sheet6!$C$5,Sheet6!$C$5,IF(Tim!FG26=Sheet6!$C$6,Sheet6!$C$6,IF(Tim!FG26=Sheet6!$C$7,Sheet6!$C$7,IF(Tim!FG26=Sheet6!$C$8,Sheet6!$C$8,"")))))))</f>
        <v/>
      </c>
      <c r="BN24" s="181" t="str">
        <f>IF(Tim!FH26=Sheet6!$C$2,Sheet6!$C$2,IF(Tim!FH26=Sheet6!$C$3,Sheet6!$C$3,IF(Tim!FH26=Sheet6!$C$4,Sheet6!$C$4,IF(Tim!FH26=Sheet6!$C$5,Sheet6!$C$5,IF(Tim!FH26=Sheet6!$C$6,Sheet6!$C$6,IF(Tim!FH26=Sheet6!$C$7,Sheet6!$C$7,IF(Tim!FH26=Sheet6!$C$8,Sheet6!$C$8,"")))))))</f>
        <v/>
      </c>
      <c r="BO24" s="181" t="str">
        <f>IF(Tim!FP26=Sheet6!$C$2,Sheet6!$C$2,IF(Tim!FP26=Sheet6!$C$3,Sheet6!$C$3,IF(Tim!FP26=Sheet6!$C$4,Sheet6!$C$4,IF(Tim!FP26=Sheet6!$C$5,Sheet6!$C$5,IF(Tim!FP26=Sheet6!$C$6,Sheet6!$C$6,IF(Tim!FP26=Sheet6!$C$7,Sheet6!$C$7,IF(Tim!FP26=Sheet6!$C$8,Sheet6!$C$8,"")))))))</f>
        <v/>
      </c>
      <c r="BP24" s="181" t="str">
        <f>IF(Tim!FQ26=Sheet6!$C$2,Sheet6!$C$2,IF(Tim!FQ26=Sheet6!$C$3,Sheet6!$C$3,IF(Tim!FQ26=Sheet6!$C$4,Sheet6!$C$4,IF(Tim!FQ26=Sheet6!$C$5,Sheet6!$C$5,IF(Tim!FQ26=Sheet6!$C$6,Sheet6!$C$6,IF(Tim!FQ26=Sheet6!$C$7,Sheet6!$C$7,IF(Tim!FQ26=Sheet6!$C$8,Sheet6!$C$8,"")))))))</f>
        <v/>
      </c>
      <c r="BQ24" s="53" t="str">
        <f>IF(Tim!FR26=Sheet6!$C$2,Sheet6!$C$2,IF(Tim!FR26=Sheet6!$C$3,Sheet6!$C$3,IF(Tim!FR26=Sheet6!$C$4,Sheet6!$C$4,IF(Tim!FR26=Sheet6!$C$5,Sheet6!$C$5,IF(Tim!FR26=Sheet6!$C$6,Sheet6!$C$6,IF(Tim!FR26=Sheet6!$C$7,Sheet6!$C$7,IF(Tim!FR26=Sheet6!$C$8,Sheet6!$C$8,"")))))))</f>
        <v/>
      </c>
      <c r="BR24" s="53" t="str">
        <f>IF(Tim!FS26=Sheet6!$C$2,Sheet6!$C$2,IF(Tim!FS26=Sheet6!$C$3,Sheet6!$C$3,IF(Tim!FS26=Sheet6!$C$4,Sheet6!$C$4,IF(Tim!FS26=Sheet6!$C$5,Sheet6!$C$5,IF(Tim!FS26=Sheet6!$C$6,Sheet6!$C$6,IF(Tim!FS26=Sheet6!$C$7,Sheet6!$C$7,IF(Tim!FS26=Sheet6!$C$8,Sheet6!$C$8,"")))))))</f>
        <v/>
      </c>
      <c r="BS24" s="53" t="str">
        <f>IF(Tim!FT26=Sheet6!$C$2,Sheet6!$C$2,IF(Tim!FT26=Sheet6!$C$3,Sheet6!$C$3,IF(Tim!FT26=Sheet6!$C$4,Sheet6!$C$4,IF(Tim!FT26=Sheet6!$C$5,Sheet6!$C$5,IF(Tim!FT26=Sheet6!$C$6,Sheet6!$C$6,IF(Tim!FT26=Sheet6!$C$7,Sheet6!$C$7,IF(Tim!FT26=Sheet6!$C$8,Sheet6!$C$8,"")))))))</f>
        <v/>
      </c>
      <c r="BT24" s="53" t="str">
        <f>IF(Tim!FU26=Sheet6!$C$2,Sheet6!$C$2,IF(Tim!FU26=Sheet6!$C$3,Sheet6!$C$3,IF(Tim!FU26=Sheet6!$C$4,Sheet6!$C$4,IF(Tim!FU26=Sheet6!$C$5,Sheet6!$C$5,IF(Tim!FU26=Sheet6!$C$6,Sheet6!$C$6,IF(Tim!FU26=Sheet6!$C$7,Sheet6!$C$7,IF(Tim!FU26=Sheet6!$C$8,Sheet6!$C$8,"")))))))</f>
        <v/>
      </c>
      <c r="BU24" s="53" t="str">
        <f>IF(Tim!FY26=Sheet6!$C$2,Sheet6!$C$2,IF(Tim!FY26=Sheet6!$C$3,Sheet6!$C$3,IF(Tim!FY26=Sheet6!$C$4,Sheet6!$C$4,IF(Tim!FY26=Sheet6!$C$5,Sheet6!$C$5,IF(Tim!FY26=Sheet6!$C$6,Sheet6!$C$6,IF(Tim!FY26=Sheet6!$C$7,Sheet6!$C$7,IF(Tim!FY26=Sheet6!$C$8,Sheet6!$C$8,"")))))))</f>
        <v/>
      </c>
      <c r="BV24" s="54" t="str">
        <f>IF(Tim!FZ26=Sheet6!$C$2,Sheet6!$C$2,IF(Tim!FZ26=Sheet6!$C$3,Sheet6!$C$3,IF(Tim!FZ26=Sheet6!$C$4,Sheet6!$C$4,IF(Tim!FZ26=Sheet6!$C$5,Sheet6!$C$5,IF(Tim!FZ26=Sheet6!$C$6,Sheet6!$C$6,IF(Tim!FZ26=Sheet6!$C$7,Sheet6!$C$7,IF(Tim!FZ26=Sheet6!$C$8,Sheet6!$C$8,"")))))))</f>
        <v/>
      </c>
      <c r="BW24" s="54" t="str">
        <f>IF(Tim!GA26=Sheet6!$C$2,Sheet6!$C$2,IF(Tim!GA26=Sheet6!$C$3,Sheet6!$C$3,IF(Tim!GA26=Sheet6!$C$4,Sheet6!$C$4,IF(Tim!GA26=Sheet6!$C$5,Sheet6!$C$5,IF(Tim!GA26=Sheet6!$C$6,Sheet6!$C$6,IF(Tim!GA26=Sheet6!$C$7,Sheet6!$C$7,IF(Tim!GA26=Sheet6!$C$8,Sheet6!$C$8,"")))))))</f>
        <v/>
      </c>
      <c r="BX24" s="54" t="str">
        <f>IF(Tim!GB26=Sheet6!$C$2,Sheet6!$C$2,IF(Tim!GB26=Sheet6!$C$3,Sheet6!$C$3,IF(Tim!GB26=Sheet6!$C$4,Sheet6!$C$4,IF(Tim!GB26=Sheet6!$C$5,Sheet6!$C$5,IF(Tim!GB26=Sheet6!$C$6,Sheet6!$C$6,IF(Tim!GB26=Sheet6!$C$7,Sheet6!$C$7,IF(Tim!GB26=Sheet6!$C$8,Sheet6!$C$8,"")))))))</f>
        <v/>
      </c>
      <c r="BY24" s="55" t="str">
        <f>IF(Tim!GC26=Sheet6!$C$2,Sheet6!$C$2,IF(Tim!GC26=Sheet6!$C$3,Sheet6!$C$3,IF(Tim!GC26=Sheet6!$C$4,Sheet6!$C$4,IF(Tim!GC26=Sheet6!$C$5,Sheet6!$C$5,IF(Tim!GC26=Sheet6!$C$6,Sheet6!$C$6,IF(Tim!GC26=Sheet6!$C$7,Sheet6!$C$7,IF(Tim!GC26=Sheet6!$C$8,Sheet6!$C$8,"")))))))</f>
        <v/>
      </c>
      <c r="BZ24" s="53" t="str">
        <f>IF(Tim!GD26=Sheet6!$C$2,Sheet6!$C$2,IF(Tim!GD26=Sheet6!$C$3,Sheet6!$C$3,IF(Tim!GD26=Sheet6!$C$4,Sheet6!$C$4,IF(Tim!GD26=Sheet6!$C$5,Sheet6!$C$5,IF(Tim!GD26=Sheet6!$C$6,Sheet6!$C$6,IF(Tim!GD26=Sheet6!$C$7,Sheet6!$C$7,IF(Tim!GD26=Sheet6!$C$8,Sheet6!$C$8,"")))))))</f>
        <v/>
      </c>
      <c r="CA24" s="53" t="str">
        <f>IF(Tim!GE26=Sheet6!$C$2,Sheet6!$C$2,IF(Tim!GE26=Sheet6!$C$3,Sheet6!$C$3,IF(Tim!GE26=Sheet6!$C$4,Sheet6!$C$4,IF(Tim!GE26=Sheet6!$C$5,Sheet6!$C$5,IF(Tim!GE26=Sheet6!$C$6,Sheet6!$C$6,IF(Tim!GE26=Sheet6!$C$7,Sheet6!$C$7,IF(Tim!GE26=Sheet6!$C$8,Sheet6!$C$8,"")))))))</f>
        <v/>
      </c>
      <c r="CB24" s="53" t="str">
        <f>IF(Tim!GI26=Sheet6!$C$2,Sheet6!$C$2,IF(Tim!GI26=Sheet6!$C$3,Sheet6!$C$3,IF(Tim!GI26=Sheet6!$C$4,Sheet6!$C$4,IF(Tim!GI26=Sheet6!$C$5,Sheet6!$C$5,IF(Tim!GI26=Sheet6!$C$6,Sheet6!$C$6,IF(Tim!GI26=Sheet6!$C$7,Sheet6!$C$7,IF(Tim!GI26=Sheet6!$C$8,Sheet6!$C$8,"")))))))</f>
        <v/>
      </c>
      <c r="CC24" s="57" t="str">
        <f>IF(Tim!GJ26=Sheet6!$C$2,Sheet6!$C$2,IF(Tim!GJ26=Sheet6!$C$3,Sheet6!$C$3,IF(Tim!GJ26=Sheet6!$C$4,Sheet6!$C$4,IF(Tim!GJ26=Sheet6!$C$5,Sheet6!$C$5,IF(Tim!GJ26=Sheet6!$C$6,Sheet6!$C$6,IF(Tim!GJ26=Sheet6!$C$7,Sheet6!$C$7,IF(Tim!GJ26=Sheet6!$C$8,Sheet6!$C$8,"")))))))</f>
        <v/>
      </c>
      <c r="CD24" s="57" t="str">
        <f>IF(Tim!GN26=Sheet6!$C$2,Sheet6!$C$2,IF(Tim!GN26=Sheet6!$C$3,Sheet6!$C$3,IF(Tim!GN26=Sheet6!$C$4,Sheet6!$C$4,IF(Tim!GN26=Sheet6!$C$5,Sheet6!$C$5,IF(Tim!GN26=Sheet6!$C$6,Sheet6!$C$6,IF(Tim!GN26=Sheet6!$C$7,Sheet6!$C$7,IF(Tim!GN26=Sheet6!$C$8,Sheet6!$C$8,"")))))))</f>
        <v/>
      </c>
      <c r="CE24" s="53" t="str">
        <f>IF(Tim!GY26=Sheet6!$C$2,Sheet6!$C$2,IF(Tim!GY26=Sheet6!$C$3,Sheet6!$C$3,IF(Tim!GY26=Sheet6!$C$4,Sheet6!$C$4,IF(Tim!GY26=Sheet6!$C$5,Sheet6!$C$5,IF(Tim!GY26=Sheet6!$C$6,Sheet6!$C$6,IF(Tim!GY26=Sheet6!$C$7,Sheet6!$C$7,IF(Tim!GY26=Sheet6!$C$8,Sheet6!$C$8,"")))))))</f>
        <v/>
      </c>
      <c r="CF24" s="181" t="str">
        <f>IF(Tim!GZ26=Sheet6!$C$2,Sheet6!$C$2,IF(Tim!GZ26=Sheet6!$C$3,Sheet6!$C$3,IF(Tim!GZ26=Sheet6!$C$4,Sheet6!$C$4,IF(Tim!GZ26=Sheet6!$C$5,Sheet6!$C$5,IF(Tim!GZ26=Sheet6!$C$6,Sheet6!$C$6,IF(Tim!GZ26=Sheet6!$C$7,Sheet6!$C$7,IF(Tim!GZ26=Sheet6!$C$8,Sheet6!$C$8,"")))))))</f>
        <v/>
      </c>
      <c r="CG24" s="181" t="str">
        <f>IF(Tim!HH26=Sheet6!$C$2,Sheet6!$C$2,IF(Tim!HH26=Sheet6!$C$3,Sheet6!$C$3,IF(Tim!HH26=Sheet6!$C$4,Sheet6!$C$4,IF(Tim!HH26=Sheet6!$C$5,Sheet6!$C$5,IF(Tim!HH26=Sheet6!$C$6,Sheet6!$C$6,IF(Tim!HH26=Sheet6!$C$7,Sheet6!$C$7,IF(Tim!HH26=Sheet6!$C$8,Sheet6!$C$8,"")))))))</f>
        <v/>
      </c>
      <c r="CH24" s="181" t="str">
        <f>IF(Tim!HI26=Sheet6!$C$2,Sheet6!$C$2,IF(Tim!HI26=Sheet6!$C$3,Sheet6!$C$3,IF(Tim!HI26=Sheet6!$C$4,Sheet6!$C$4,IF(Tim!HI26=Sheet6!$C$5,Sheet6!$C$5,IF(Tim!HI26=Sheet6!$C$6,Sheet6!$C$6,IF(Tim!HI26=Sheet6!$C$7,Sheet6!$C$7,IF(Tim!HI26=Sheet6!$C$8,Sheet6!$C$8,"")))))))</f>
        <v/>
      </c>
      <c r="CI24" s="53" t="str">
        <f>IF(Tim!HJ26=Sheet6!$C$2,Sheet6!$C$2,IF(Tim!HJ26=Sheet6!$C$3,Sheet6!$C$3,IF(Tim!HJ26=Sheet6!$C$4,Sheet6!$C$4,IF(Tim!HJ26=Sheet6!$C$5,Sheet6!$C$5,IF(Tim!HJ26=Sheet6!$C$6,Sheet6!$C$6,IF(Tim!HJ26=Sheet6!$C$7,Sheet6!$C$7,IF(Tim!HJ26=Sheet6!$C$8,Sheet6!$C$8,"")))))))</f>
        <v/>
      </c>
      <c r="CJ24" s="53" t="str">
        <f>IF(Tim!HK26=Sheet6!$C$2,Sheet6!$C$2,IF(Tim!HK26=Sheet6!$C$3,Sheet6!$C$3,IF(Tim!HK26=Sheet6!$C$4,Sheet6!$C$4,IF(Tim!HK26=Sheet6!$C$5,Sheet6!$C$5,IF(Tim!HK26=Sheet6!$C$6,Sheet6!$C$6,IF(Tim!HK26=Sheet6!$C$7,Sheet6!$C$7,IF(Tim!HK26=Sheet6!$C$8,Sheet6!$C$8,"")))))))</f>
        <v/>
      </c>
      <c r="CK24" s="53" t="str">
        <f>IF(Tim!HL26=Sheet6!$C$2,Sheet6!$C$2,IF(Tim!HL26=Sheet6!$C$3,Sheet6!$C$3,IF(Tim!HL26=Sheet6!$C$4,Sheet6!$C$4,IF(Tim!HL26=Sheet6!$C$5,Sheet6!$C$5,IF(Tim!HL26=Sheet6!$C$6,Sheet6!$C$6,IF(Tim!HL26=Sheet6!$C$7,Sheet6!$C$7,IF(Tim!HL26=Sheet6!$C$8,Sheet6!$C$8,"")))))))</f>
        <v/>
      </c>
      <c r="CL24" s="53" t="str">
        <f>IF(Tim!HM26=Sheet6!$C$2,Sheet6!$C$2,IF(Tim!HM26=Sheet6!$C$3,Sheet6!$C$3,IF(Tim!HM26=Sheet6!$C$4,Sheet6!$C$4,IF(Tim!HM26=Sheet6!$C$5,Sheet6!$C$5,IF(Tim!HM26=Sheet6!$C$6,Sheet6!$C$6,IF(Tim!HM26=Sheet6!$C$7,Sheet6!$C$7,IF(Tim!HM26=Sheet6!$C$8,Sheet6!$C$8,"")))))))</f>
        <v/>
      </c>
      <c r="CM24" s="53" t="str">
        <f>IF(Tim!HQ26=Sheet6!$C$2,Sheet6!$C$2,IF(Tim!HQ26=Sheet6!$C$3,Sheet6!$C$3,IF(Tim!HQ26=Sheet6!$C$4,Sheet6!$C$4,IF(Tim!HQ26=Sheet6!$C$5,Sheet6!$C$5,IF(Tim!HQ26=Sheet6!$C$6,Sheet6!$C$6,IF(Tim!HQ26=Sheet6!$C$7,Sheet6!$C$7,IF(Tim!HQ26=Sheet6!$C$8,Sheet6!$C$8,"")))))))</f>
        <v/>
      </c>
      <c r="CN24" s="54" t="str">
        <f>IF(Tim!HR26=Sheet6!$C$2,Sheet6!$C$2,IF(Tim!HR26=Sheet6!$C$3,Sheet6!$C$3,IF(Tim!HR26=Sheet6!$C$4,Sheet6!$C$4,IF(Tim!HR26=Sheet6!$C$5,Sheet6!$C$5,IF(Tim!HR26=Sheet6!$C$6,Sheet6!$C$6,IF(Tim!HR26=Sheet6!$C$7,Sheet6!$C$7,IF(Tim!HR26=Sheet6!$C$8,Sheet6!$C$8,"")))))))</f>
        <v/>
      </c>
      <c r="CO24" s="54" t="str">
        <f>IF(Tim!HS26=Sheet6!$C$2,Sheet6!$C$2,IF(Tim!HS26=Sheet6!$C$3,Sheet6!$C$3,IF(Tim!HS26=Sheet6!$C$4,Sheet6!$C$4,IF(Tim!HS26=Sheet6!$C$5,Sheet6!$C$5,IF(Tim!HS26=Sheet6!$C$6,Sheet6!$C$6,IF(Tim!HS26=Sheet6!$C$7,Sheet6!$C$7,IF(Tim!HS26=Sheet6!$C$8,Sheet6!$C$8,"")))))))</f>
        <v/>
      </c>
      <c r="CP24" s="54" t="str">
        <f>IF(Tim!HT26=Sheet6!$C$2,Sheet6!$C$2,IF(Tim!HT26=Sheet6!$C$3,Sheet6!$C$3,IF(Tim!HT26=Sheet6!$C$4,Sheet6!$C$4,IF(Tim!HT26=Sheet6!$C$5,Sheet6!$C$5,IF(Tim!HT26=Sheet6!$C$6,Sheet6!$C$6,IF(Tim!HT26=Sheet6!$C$7,Sheet6!$C$7,IF(Tim!HT26=Sheet6!$C$8,Sheet6!$C$8,"")))))))</f>
        <v/>
      </c>
      <c r="CQ24" s="55" t="str">
        <f>IF(Tim!HU26=Sheet6!$C$2,Sheet6!$C$2,IF(Tim!HU26=Sheet6!$C$3,Sheet6!$C$3,IF(Tim!HU26=Sheet6!$C$4,Sheet6!$C$4,IF(Tim!HU26=Sheet6!$C$5,Sheet6!$C$5,IF(Tim!HU26=Sheet6!$C$6,Sheet6!$C$6,IF(Tim!HU26=Sheet6!$C$7,Sheet6!$C$7,IF(Tim!HU26=Sheet6!$C$8,Sheet6!$C$8,"")))))))</f>
        <v/>
      </c>
      <c r="CR24" s="56" t="str">
        <f>IF(Tim!HV26=Sheet6!$C$2,Sheet6!$C$2,IF(Tim!HV26=Sheet6!$C$3,Sheet6!$C$3,IF(Tim!HV26=Sheet6!$C$4,Sheet6!$C$4,IF(Tim!HV26=Sheet6!$C$5,Sheet6!$C$5,IF(Tim!HV26=Sheet6!$C$6,Sheet6!$C$6,IF(Tim!HV26=Sheet6!$C$7,Sheet6!$C$7,IF(Tim!HV26=Sheet6!$C$8,Sheet6!$C$8,"")))))))</f>
        <v/>
      </c>
      <c r="CS24" s="57" t="str">
        <f>IF(Tim!IB26=Sheet6!$C$2,Sheet6!$C$2,IF(Tim!IB26=Sheet6!$C$3,Sheet6!$C$3,IF(Tim!IB26=Sheet6!$C$4,Sheet6!$C$4,IF(Tim!IB26=Sheet6!$C$5,Sheet6!$C$5,IF(Tim!IB26=Sheet6!$C$6,Sheet6!$C$6,IF(Tim!IB26=Sheet6!$C$7,Sheet6!$C$7,IF(Tim!IB26=Sheet6!$C$8,Sheet6!$C$8,"")))))))</f>
        <v/>
      </c>
      <c r="CT24" s="57" t="str">
        <f>IF(Tim!IJ26=Sheet6!$C$2,Sheet6!$C$2,IF(Tim!IJ26=Sheet6!$C$3,Sheet6!$C$3,IF(Tim!IJ26=Sheet6!$C$4,Sheet6!$C$4,IF(Tim!IJ26=Sheet6!$C$5,Sheet6!$C$5,IF(Tim!IJ26=Sheet6!$C$6,Sheet6!$C$6,IF(Tim!IJ26=Sheet6!$C$7,Sheet6!$C$7,IF(Tim!IJ26=Sheet6!$C$8,Sheet6!$C$8,"")))))))</f>
        <v/>
      </c>
      <c r="CU24" s="53" t="str">
        <f>IF(Tim!IQ26=Sheet6!$C$2,Sheet6!$C$2,IF(Tim!IQ26=Sheet6!$C$3,Sheet6!$C$3,IF(Tim!IQ26=Sheet6!$C$4,Sheet6!$C$4,IF(Tim!IQ26=Sheet6!$C$5,Sheet6!$C$5,IF(Tim!IQ26=Sheet6!$C$6,Sheet6!$C$6,IF(Tim!IQ26=Sheet6!$C$7,Sheet6!$C$7,IF(Tim!IQ26=Sheet6!$C$8,Sheet6!$C$8,"")))))))</f>
        <v/>
      </c>
      <c r="CV24" s="53" t="str">
        <f>IF(Tim!IR26=Sheet6!$C$2,Sheet6!$C$2,IF(Tim!IR26=Sheet6!$C$3,Sheet6!$C$3,IF(Tim!IR26=Sheet6!$C$4,Sheet6!$C$4,IF(Tim!IR26=Sheet6!$C$5,Sheet6!$C$5,IF(Tim!IR26=Sheet6!$C$6,Sheet6!$C$6,IF(Tim!IR26=Sheet6!$C$7,Sheet6!$C$7,IF(Tim!IR26=Sheet6!$C$8,Sheet6!$C$8,"")))))))</f>
        <v/>
      </c>
      <c r="CW24" s="53" t="str">
        <f>IF(Tim!IZ26=Sheet6!$C$2,Sheet6!$C$2,IF(Tim!IZ26=Sheet6!$C$3,Sheet6!$C$3,IF(Tim!IZ26=Sheet6!$C$4,Sheet6!$C$4,IF(Tim!IZ26=Sheet6!$C$5,Sheet6!$C$5,IF(Tim!IZ26=Sheet6!$C$6,Sheet6!$C$6,IF(Tim!IZ26=Sheet6!$C$7,Sheet6!$C$7,IF(Tim!IZ26=Sheet6!$C$8,Sheet6!$C$8,"")))))))</f>
        <v/>
      </c>
      <c r="CX24" s="53" t="str">
        <f>IF(Tim!JA26=Sheet6!$C$2,Sheet6!$C$2,IF(Tim!JA26=Sheet6!$C$3,Sheet6!$C$3,IF(Tim!JA26=Sheet6!$C$4,Sheet6!$C$4,IF(Tim!JA26=Sheet6!$C$5,Sheet6!$C$5,IF(Tim!JA26=Sheet6!$C$6,Sheet6!$C$6,IF(Tim!JA26=Sheet6!$C$7,Sheet6!$C$7,IF(Tim!JA26=Sheet6!$C$8,Sheet6!$C$8,"")))))))</f>
        <v/>
      </c>
      <c r="CY24" s="53" t="str">
        <f>IF(Tim!JB26=Sheet6!$C$2,Sheet6!$C$2,IF(Tim!JB26=Sheet6!$C$3,Sheet6!$C$3,IF(Tim!JB26=Sheet6!$C$4,Sheet6!$C$4,IF(Tim!JB26=Sheet6!$C$5,Sheet6!$C$5,IF(Tim!JB26=Sheet6!$C$6,Sheet6!$C$6,IF(Tim!JB26=Sheet6!$C$7,Sheet6!$C$7,IF(Tim!JB26=Sheet6!$C$8,Sheet6!$C$8,"")))))))</f>
        <v/>
      </c>
      <c r="CZ24" s="53" t="str">
        <f>IF(Tim!JC26=Sheet6!$C$2,Sheet6!$C$2,IF(Tim!JC26=Sheet6!$C$3,Sheet6!$C$3,IF(Tim!JC26=Sheet6!$C$4,Sheet6!$C$4,IF(Tim!JC26=Sheet6!$C$5,Sheet6!$C$5,IF(Tim!JC26=Sheet6!$C$6,Sheet6!$C$6,IF(Tim!JC26=Sheet6!$C$7,Sheet6!$C$7,IF(Tim!JC26=Sheet6!$C$8,Sheet6!$C$8,"")))))))</f>
        <v/>
      </c>
      <c r="DA24" s="53" t="str">
        <f>IF(Tim!JD26=Sheet6!$C$2,Sheet6!$C$2,IF(Tim!JD26=Sheet6!$C$3,Sheet6!$C$3,IF(Tim!JD26=Sheet6!$C$4,Sheet6!$C$4,IF(Tim!JD26=Sheet6!$C$5,Sheet6!$C$5,IF(Tim!JD26=Sheet6!$C$6,Sheet6!$C$6,IF(Tim!JD26=Sheet6!$C$7,Sheet6!$C$7,IF(Tim!JD26=Sheet6!$C$8,Sheet6!$C$8,"")))))))</f>
        <v/>
      </c>
      <c r="DB24" s="53" t="str">
        <f>IF(Tim!JE26=Sheet6!$C$2,Sheet6!$C$2,IF(Tim!JE26=Sheet6!$C$3,Sheet6!$C$3,IF(Tim!JE26=Sheet6!$C$4,Sheet6!$C$4,IF(Tim!JE26=Sheet6!$C$5,Sheet6!$C$5,IF(Tim!JE26=Sheet6!$C$6,Sheet6!$C$6,IF(Tim!JE26=Sheet6!$C$7,Sheet6!$C$7,IF(Tim!JE26=Sheet6!$C$8,Sheet6!$C$8,"")))))))</f>
        <v/>
      </c>
      <c r="DC24" s="53" t="str">
        <f>IF(Tim!JI26=Sheet6!$C$2,Sheet6!$C$2,IF(Tim!JI26=Sheet6!$C$3,Sheet6!$C$3,IF(Tim!JI26=Sheet6!$C$4,Sheet6!$C$4,IF(Tim!JI26=Sheet6!$C$5,Sheet6!$C$5,IF(Tim!JI26=Sheet6!$C$6,Sheet6!$C$6,IF(Tim!JI26=Sheet6!$C$7,Sheet6!$C$7,IF(Tim!JI26=Sheet6!$C$8,Sheet6!$C$8,"")))))))</f>
        <v/>
      </c>
      <c r="DD24" s="54" t="str">
        <f>IF(Tim!JJ26=Sheet6!$C$2,Sheet6!$C$2,IF(Tim!JJ26=Sheet6!$C$3,Sheet6!$C$3,IF(Tim!JJ26=Sheet6!$C$4,Sheet6!$C$4,IF(Tim!JJ26=Sheet6!$C$5,Sheet6!$C$5,IF(Tim!JJ26=Sheet6!$C$6,Sheet6!$C$6,IF(Tim!JJ26=Sheet6!$C$7,Sheet6!$C$7,IF(Tim!JJ26=Sheet6!$C$8,Sheet6!$C$8,"")))))))</f>
        <v/>
      </c>
      <c r="DE24" s="54" t="str">
        <f>IF(Tim!JK26=Sheet6!$C$2,Sheet6!$C$2,IF(Tim!JK26=Sheet6!$C$3,Sheet6!$C$3,IF(Tim!JK26=Sheet6!$C$4,Sheet6!$C$4,IF(Tim!JK26=Sheet6!$C$5,Sheet6!$C$5,IF(Tim!JK26=Sheet6!$C$6,Sheet6!$C$6,IF(Tim!JK26=Sheet6!$C$7,Sheet6!$C$7,IF(Tim!JK26=Sheet6!$C$8,Sheet6!$C$8,"")))))))</f>
        <v/>
      </c>
      <c r="DF24" s="54" t="str">
        <f>IF(Tim!JL26=Sheet6!$C$2,Sheet6!$C$2,IF(Tim!JL26=Sheet6!$C$3,Sheet6!$C$3,IF(Tim!JL26=Sheet6!$C$4,Sheet6!$C$4,IF(Tim!JL26=Sheet6!$C$5,Sheet6!$C$5,IF(Tim!JL26=Sheet6!$C$6,Sheet6!$C$6,IF(Tim!JL26=Sheet6!$C$7,Sheet6!$C$7,IF(Tim!JL26=Sheet6!$C$8,Sheet6!$C$8,"")))))))</f>
        <v/>
      </c>
      <c r="DG24" s="55" t="str">
        <f>IF(Tim!JM26=Sheet6!$C$2,Sheet6!$C$2,IF(Tim!JM26=Sheet6!$C$3,Sheet6!$C$3,IF(Tim!JM26=Sheet6!$C$4,Sheet6!$C$4,IF(Tim!JM26=Sheet6!$C$5,Sheet6!$C$5,IF(Tim!JM26=Sheet6!$C$6,Sheet6!$C$6,IF(Tim!JM26=Sheet6!$C$7,Sheet6!$C$7,IF(Tim!JM26=Sheet6!$C$8,Sheet6!$C$8,"")))))))</f>
        <v/>
      </c>
      <c r="DH24" s="56" t="str">
        <f>IF(Tim!JN26=Sheet6!$C$2,Sheet6!$C$2,IF(Tim!JN26=Sheet6!$C$3,Sheet6!$C$3,IF(Tim!JN26=Sheet6!$C$4,Sheet6!$C$4,IF(Tim!JN26=Sheet6!$C$5,Sheet6!$C$5,IF(Tim!JN26=Sheet6!$C$6,Sheet6!$C$6,IF(Tim!JN26=Sheet6!$C$7,Sheet6!$C$7,IF(Tim!JN26=Sheet6!$C$8,Sheet6!$C$8,"")))))))</f>
        <v/>
      </c>
      <c r="DI24" s="57" t="str">
        <f>IF(Tim!JS26=Sheet6!$C$2,Sheet6!$C$2,IF(Tim!JS26=Sheet6!$C$3,Sheet6!$C$3,IF(Tim!JS26=Sheet6!$C$4,Sheet6!$C$4,IF(Tim!JS26=Sheet6!$C$5,Sheet6!$C$5,IF(Tim!JS26=Sheet6!$C$6,Sheet6!$C$6,IF(Tim!JS26=Sheet6!$C$7,Sheet6!$C$7,IF(Tim!JS26=Sheet6!$C$8,Sheet6!$C$8,"")))))))</f>
        <v/>
      </c>
      <c r="DJ24" s="57" t="str">
        <f>IF(Tim!KB26=Sheet6!$C$2,Sheet6!$C$2,IF(Tim!KB26=Sheet6!$C$3,Sheet6!$C$3,IF(Tim!KB26=Sheet6!$C$4,Sheet6!$C$4,IF(Tim!KB26=Sheet6!$C$5,Sheet6!$C$5,IF(Tim!KB26=Sheet6!$C$6,Sheet6!$C$6,IF(Tim!KB26=Sheet6!$C$7,Sheet6!$C$7,IF(Tim!KB26=Sheet6!$C$8,Sheet6!$C$8,"")))))))</f>
        <v/>
      </c>
      <c r="DK24" s="53" t="str">
        <f>IF(Tim!KI26=Sheet6!$C$2,Sheet6!$C$2,IF(Tim!KI26=Sheet6!$C$3,Sheet6!$C$3,IF(Tim!KI26=Sheet6!$C$4,Sheet6!$C$4,IF(Tim!KI26=Sheet6!$C$5,Sheet6!$C$5,IF(Tim!KI26=Sheet6!$C$6,Sheet6!$C$6,IF(Tim!KI26=Sheet6!$C$7,Sheet6!$C$7,IF(Tim!KI26=Sheet6!$C$8,Sheet6!$C$8,"")))))))</f>
        <v/>
      </c>
      <c r="DL24" s="53" t="str">
        <f>IF(Tim!KJ26=Sheet6!$C$2,Sheet6!$C$2,IF(Tim!KJ26=Sheet6!$C$3,Sheet6!$C$3,IF(Tim!KJ26=Sheet6!$C$4,Sheet6!$C$4,IF(Tim!KJ26=Sheet6!$C$5,Sheet6!$C$5,IF(Tim!KJ26=Sheet6!$C$6,Sheet6!$C$6,IF(Tim!KJ26=Sheet6!$C$7,Sheet6!$C$7,IF(Tim!KJ26=Sheet6!$C$8,Sheet6!$C$8,"")))))))</f>
        <v/>
      </c>
      <c r="DM24" s="53" t="str">
        <f>IF(Tim!KR26=Sheet6!$C$2,Sheet6!$C$2,IF(Tim!KR26=Sheet6!$C$3,Sheet6!$C$3,IF(Tim!KR26=Sheet6!$C$4,Sheet6!$C$4,IF(Tim!KR26=Sheet6!$C$5,Sheet6!$C$5,IF(Tim!KR26=Sheet6!$C$6,Sheet6!$C$6,IF(Tim!KR26=Sheet6!$C$7,Sheet6!$C$7,IF(Tim!KR26=Sheet6!$C$8,Sheet6!$C$8,"")))))))</f>
        <v/>
      </c>
      <c r="DN24" s="53" t="str">
        <f>IF(Tim!KS26=Sheet6!$C$2,Sheet6!$C$2,IF(Tim!KS26=Sheet6!$C$3,Sheet6!$C$3,IF(Tim!KS26=Sheet6!$C$4,Sheet6!$C$4,IF(Tim!KS26=Sheet6!$C$5,Sheet6!$C$5,IF(Tim!KS26=Sheet6!$C$6,Sheet6!$C$6,IF(Tim!KS26=Sheet6!$C$7,Sheet6!$C$7,IF(Tim!KS26=Sheet6!$C$8,Sheet6!$C$8,"")))))))</f>
        <v/>
      </c>
      <c r="DO24" s="53" t="str">
        <f>IF(Tim!KT26=Sheet6!$C$2,Sheet6!$C$2,IF(Tim!KT26=Sheet6!$C$3,Sheet6!$C$3,IF(Tim!KT26=Sheet6!$C$4,Sheet6!$C$4,IF(Tim!KT26=Sheet6!$C$5,Sheet6!$C$5,IF(Tim!KT26=Sheet6!$C$6,Sheet6!$C$6,IF(Tim!KT26=Sheet6!$C$7,Sheet6!$C$7,IF(Tim!KT26=Sheet6!$C$8,Sheet6!$C$8,"")))))))</f>
        <v/>
      </c>
      <c r="DP24" s="53" t="str">
        <f>IF(Tim!KU26=Sheet6!$C$2,Sheet6!$C$2,IF(Tim!KU26=Sheet6!$C$3,Sheet6!$C$3,IF(Tim!KU26=Sheet6!$C$4,Sheet6!$C$4,IF(Tim!KU26=Sheet6!$C$5,Sheet6!$C$5,IF(Tim!KU26=Sheet6!$C$6,Sheet6!$C$6,IF(Tim!KU26=Sheet6!$C$7,Sheet6!$C$7,IF(Tim!KU26=Sheet6!$C$8,Sheet6!$C$8,"")))))))</f>
        <v/>
      </c>
      <c r="DQ24" s="53" t="str">
        <f>IF(Tim!KV26=Sheet6!$C$2,Sheet6!$C$2,IF(Tim!KV26=Sheet6!$C$3,Sheet6!$C$3,IF(Tim!KV26=Sheet6!$C$4,Sheet6!$C$4,IF(Tim!KV26=Sheet6!$C$5,Sheet6!$C$5,IF(Tim!KV26=Sheet6!$C$6,Sheet6!$C$6,IF(Tim!KV26=Sheet6!$C$7,Sheet6!$C$7,IF(Tim!KV26=Sheet6!$C$8,Sheet6!$C$8,"")))))))</f>
        <v/>
      </c>
      <c r="DR24" s="53" t="str">
        <f>IF(Tim!KW26=Sheet6!$C$2,Sheet6!$C$2,IF(Tim!KW26=Sheet6!$C$3,Sheet6!$C$3,IF(Tim!KW26=Sheet6!$C$4,Sheet6!$C$4,IF(Tim!KW26=Sheet6!$C$5,Sheet6!$C$5,IF(Tim!KW26=Sheet6!$C$6,Sheet6!$C$6,IF(Tim!KW26=Sheet6!$C$7,Sheet6!$C$7,IF(Tim!KW26=Sheet6!$C$8,Sheet6!$C$8,"")))))))</f>
        <v/>
      </c>
      <c r="DS24" s="53" t="str">
        <f>IF(Tim!LA26=Sheet6!$C$2,Sheet6!$C$2,IF(Tim!LA26=Sheet6!$C$3,Sheet6!$C$3,IF(Tim!LA26=Sheet6!$C$4,Sheet6!$C$4,IF(Tim!LA26=Sheet6!$C$5,Sheet6!$C$5,IF(Tim!LA26=Sheet6!$C$6,Sheet6!$C$6,IF(Tim!LA26=Sheet6!$C$7,Sheet6!$C$7,IF(Tim!LA26=Sheet6!$C$8,Sheet6!$C$8,"")))))))</f>
        <v/>
      </c>
      <c r="DT24" s="54" t="str">
        <f>IF(Tim!LB26=Sheet6!$C$2,Sheet6!$C$2,IF(Tim!LB26=Sheet6!$C$3,Sheet6!$C$3,IF(Tim!LB26=Sheet6!$C$4,Sheet6!$C$4,IF(Tim!LB26=Sheet6!$C$5,Sheet6!$C$5,IF(Tim!LB26=Sheet6!$C$6,Sheet6!$C$6,IF(Tim!LB26=Sheet6!$C$7,Sheet6!$C$7,IF(Tim!LB26=Sheet6!$C$8,Sheet6!$C$8,"")))))))</f>
        <v/>
      </c>
      <c r="DU24" s="54" t="str">
        <f>IF(Tim!LC26=Sheet6!$C$2,Sheet6!$C$2,IF(Tim!LC26=Sheet6!$C$3,Sheet6!$C$3,IF(Tim!LC26=Sheet6!$C$4,Sheet6!$C$4,IF(Tim!LC26=Sheet6!$C$5,Sheet6!$C$5,IF(Tim!LC26=Sheet6!$C$6,Sheet6!$C$6,IF(Tim!LC26=Sheet6!$C$7,Sheet6!$C$7,IF(Tim!LC26=Sheet6!$C$8,Sheet6!$C$8,"")))))))</f>
        <v/>
      </c>
      <c r="DV24" s="54" t="str">
        <f>IF(Tim!LD26=Sheet6!$C$2,Sheet6!$C$2,IF(Tim!LD26=Sheet6!$C$3,Sheet6!$C$3,IF(Tim!LD26=Sheet6!$C$4,Sheet6!$C$4,IF(Tim!LD26=Sheet6!$C$5,Sheet6!$C$5,IF(Tim!LD26=Sheet6!$C$6,Sheet6!$C$6,IF(Tim!LD26=Sheet6!$C$7,Sheet6!$C$7,IF(Tim!LD26=Sheet6!$C$8,Sheet6!$C$8,"")))))))</f>
        <v/>
      </c>
      <c r="DW24" s="55" t="str">
        <f>IF(Tim!LE26=Sheet6!$C$2,Sheet6!$C$2,IF(Tim!LE26=Sheet6!$C$3,Sheet6!$C$3,IF(Tim!LE26=Sheet6!$C$4,Sheet6!$C$4,IF(Tim!LE26=Sheet6!$C$5,Sheet6!$C$5,IF(Tim!LE26=Sheet6!$C$6,Sheet6!$C$6,IF(Tim!LE26=Sheet6!$C$7,Sheet6!$C$7,IF(Tim!LE26=Sheet6!$C$8,Sheet6!$C$8,"")))))))</f>
        <v/>
      </c>
      <c r="DX24" s="52">
        <v>0.48958333333333298</v>
      </c>
    </row>
    <row r="25" spans="2:128" ht="10.5" customHeight="1">
      <c r="B25" s="51">
        <v>0.25</v>
      </c>
      <c r="C25" s="51">
        <v>0.25</v>
      </c>
      <c r="D25" s="51">
        <v>0.25</v>
      </c>
      <c r="E25" s="52">
        <v>0.5</v>
      </c>
      <c r="F25" s="53" t="str">
        <f>IF(Tim!F27=Sheet6!$C$2,Sheet6!$C$2,IF(Tim!F27=Sheet6!$C$3,Sheet6!$C$3,IF(Tim!F27=Sheet6!$C$4,Sheet6!$C$4,IF(Tim!F27=Sheet6!$C$5,Sheet6!$C$5,IF(Tim!F27=Sheet6!$C$6,Sheet6!$C$6,IF(Tim!F27=Sheet6!$C$7,Sheet6!$C$7,IF(Tim!F27=Sheet6!$C$8,Sheet6!$C$8,"")))))))</f>
        <v/>
      </c>
      <c r="G25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H25" s="53" t="str">
        <f>IF(Tim!H27=Sheet6!$C$2,Sheet6!$C$2,IF(Tim!H27=Sheet6!$C$3,Sheet6!$C$3,IF(Tim!H27=Sheet6!$C$4,Sheet6!$C$4,IF(Tim!H27=Sheet6!$C$5,Sheet6!$C$5,IF(Tim!H27=Sheet6!$C$6,Sheet6!$C$6,IF(Tim!H27=Sheet6!$C$7,Sheet6!$C$7,IF(Tim!H27=Sheet6!$C$8,Sheet6!$C$8,"")))))))</f>
        <v/>
      </c>
      <c r="I25" s="53" t="str">
        <f>IF(Tim!L27=Sheet6!$C$2,Sheet6!$C$2,IF(Tim!L27=Sheet6!$C$3,Sheet6!$C$3,IF(Tim!L27=Sheet6!$C$4,Sheet6!$C$4,IF(Tim!L27=Sheet6!$C$5,Sheet6!$C$5,IF(Tim!L27=Sheet6!$C$6,Sheet6!$C$6,IF(Tim!L27=Sheet6!$C$7,Sheet6!$C$7,IF(Tim!L27=Sheet6!$C$8,Sheet6!$C$8,"")))))))</f>
        <v/>
      </c>
      <c r="J25" s="53" t="str">
        <f>IF(Tim!T27=Sheet6!$C$2,Sheet6!$C$2,IF(Tim!T27=Sheet6!$C$3,Sheet6!$C$3,IF(Tim!T27=Sheet6!$C$4,Sheet6!$C$4,IF(Tim!T27=Sheet6!$C$5,Sheet6!$C$5,IF(Tim!T27=Sheet6!$C$6,Sheet6!$C$6,IF(Tim!T27=Sheet6!$C$7,Sheet6!$C$7,IF(Tim!T27=Sheet6!$C$8,Sheet6!$C$8,"")))))))</f>
        <v/>
      </c>
      <c r="K25" s="53" t="str">
        <f>IF(Tim!AB27=Sheet6!$C$2,Sheet6!$C$2,IF(Tim!AB27=Sheet6!$C$3,Sheet6!$C$3,IF(Tim!AB27=Sheet6!$C$4,Sheet6!$C$4,IF(Tim!AB27=Sheet6!$C$5,Sheet6!$C$5,IF(Tim!AB27=Sheet6!$C$6,Sheet6!$C$6,IF(Tim!AB27=Sheet6!$C$7,Sheet6!$C$7,IF(Tim!AB27=Sheet6!$C$8,Sheet6!$C$8,"")))))))</f>
        <v/>
      </c>
      <c r="L25" s="181" t="str">
        <f>IF(Tim!AC27=Sheet6!$C$2,Sheet6!$C$2,IF(Tim!AC27=Sheet6!$C$3,Sheet6!$C$3,IF(Tim!AC27=Sheet6!$C$4,Sheet6!$C$4,IF(Tim!AC27=Sheet6!$C$5,Sheet6!$C$5,IF(Tim!AC27=Sheet6!$C$6,Sheet6!$C$6,IF(Tim!AC27=Sheet6!$C$7,Sheet6!$C$7,IF(Tim!AC27=Sheet6!$C$8,Sheet6!$C$8,"")))))))</f>
        <v/>
      </c>
      <c r="M25" s="53" t="str">
        <f>IF(Tim!AJ27=Sheet6!$C$2,Sheet6!$C$2,IF(Tim!AJ27=Sheet6!$C$3,Sheet6!$C$3,IF(Tim!AJ27=Sheet6!$C$4,Sheet6!$C$4,IF(Tim!AJ27=Sheet6!$C$5,Sheet6!$C$5,IF(Tim!AJ27=Sheet6!$C$6,Sheet6!$C$6,IF(Tim!AJ27=Sheet6!$C$7,Sheet6!$C$7,IF(Tim!AJ27=Sheet6!$C$8,Sheet6!$C$8,"")))))))</f>
        <v/>
      </c>
      <c r="N25" s="53" t="str">
        <f>IF(Tim!AK27=Sheet6!$C$2,Sheet6!$C$2,IF(Tim!AK27=Sheet6!$C$3,Sheet6!$C$3,IF(Tim!AK27=Sheet6!$C$4,Sheet6!$C$4,IF(Tim!AK27=Sheet6!$C$5,Sheet6!$C$5,IF(Tim!AK27=Sheet6!$C$6,Sheet6!$C$6,IF(Tim!AK27=Sheet6!$C$7,Sheet6!$C$7,IF(Tim!AK27=Sheet6!$C$8,Sheet6!$C$8,"")))))))</f>
        <v/>
      </c>
      <c r="O25" s="53" t="str">
        <f>IF(Tim!AL27=Sheet6!$C$2,Sheet6!$C$2,IF(Tim!AL27=Sheet6!$C$3,Sheet6!$C$3,IF(Tim!AL27=Sheet6!$C$4,Sheet6!$C$4,IF(Tim!AL27=Sheet6!$C$5,Sheet6!$C$5,IF(Tim!AL27=Sheet6!$C$6,Sheet6!$C$6,IF(Tim!AL27=Sheet6!$C$7,Sheet6!$C$7,IF(Tim!AL27=Sheet6!$C$8,Sheet6!$C$8,"")))))))</f>
        <v/>
      </c>
      <c r="P25" s="53" t="str">
        <f>IF(Tim!AN27=Sheet6!$C$2,Sheet6!$C$2,IF(Tim!AN27=Sheet6!$C$3,Sheet6!$C$3,IF(Tim!AN27=Sheet6!$C$4,Sheet6!$C$4,IF(Tim!AN27=Sheet6!$C$5,Sheet6!$C$5,IF(Tim!AN27=Sheet6!$C$6,Sheet6!$C$6,IF(Tim!AN27=Sheet6!$C$7,Sheet6!$C$7,IF(Tim!AN27=Sheet6!$C$8,Sheet6!$C$8,"")))))))</f>
        <v/>
      </c>
      <c r="Q25" s="53" t="str">
        <f>IF(Tim!AO27=Sheet6!$C$2,Sheet6!$C$2,IF(Tim!AO27=Sheet6!$C$3,Sheet6!$C$3,IF(Tim!AO27=Sheet6!$C$4,Sheet6!$C$4,IF(Tim!AO27=Sheet6!$C$5,Sheet6!$C$5,IF(Tim!AO27=Sheet6!$C$6,Sheet6!$C$6,IF(Tim!AO27=Sheet6!$C$7,Sheet6!$C$7,IF(Tim!AO27=Sheet6!$C$8,Sheet6!$C$8,"")))))))</f>
        <v/>
      </c>
      <c r="R25" s="53" t="str">
        <f>IF(Tim!AP27=Sheet6!$C$2,Sheet6!$C$2,IF(Tim!AP27=Sheet6!$C$3,Sheet6!$C$3,IF(Tim!AP27=Sheet6!$C$4,Sheet6!$C$4,IF(Tim!AP27=Sheet6!$C$5,Sheet6!$C$5,IF(Tim!AP27=Sheet6!$C$6,Sheet6!$C$6,IF(Tim!AP27=Sheet6!$C$7,Sheet6!$C$7,IF(Tim!AP27=Sheet6!$C$8,Sheet6!$C$8,"")))))))</f>
        <v/>
      </c>
      <c r="S25" s="183" t="str">
        <f>IF(Tim!AT27=Sheet6!$C$2,Sheet6!$C$2,IF(Tim!AT27=Sheet6!$C$3,Sheet6!$C$3,IF(Tim!AT27=Sheet6!$C$4,Sheet6!$C$4,IF(Tim!AT27=Sheet6!$C$5,Sheet6!$C$5,IF(Tim!AT27=Sheet6!$C$6,Sheet6!$C$6,IF(Tim!AT27=Sheet6!$C$7,Sheet6!$C$7,IF(Tim!AT27=Sheet6!$C$8,Sheet6!$C$8,"")))))))</f>
        <v/>
      </c>
      <c r="T25" s="54" t="str">
        <f>IF(Tim!AU27=Sheet6!$C$2,Sheet6!$C$2,IF(Tim!AU27=Sheet6!$C$3,Sheet6!$C$3,IF(Tim!AU27=Sheet6!$C$4,Sheet6!$C$4,IF(Tim!AU27=Sheet6!$C$5,Sheet6!$C$5,IF(Tim!AU27=Sheet6!$C$6,Sheet6!$C$6,IF(Tim!AU27=Sheet6!$C$7,Sheet6!$C$7,IF(Tim!AU27=Sheet6!$C$8,Sheet6!$C$8,"")))))))</f>
        <v/>
      </c>
      <c r="U25" s="54" t="str">
        <f>IF(Tim!AV27=Sheet6!$C$2,Sheet6!$C$2,IF(Tim!AV27=Sheet6!$C$3,Sheet6!$C$3,IF(Tim!AV27=Sheet6!$C$4,Sheet6!$C$4,IF(Tim!AV27=Sheet6!$C$5,Sheet6!$C$5,IF(Tim!AV27=Sheet6!$C$6,Sheet6!$C$6,IF(Tim!AV27=Sheet6!$C$7,Sheet6!$C$7,IF(Tim!AV27=Sheet6!$C$8,Sheet6!$C$8,"")))))))</f>
        <v/>
      </c>
      <c r="V25" s="54" t="str">
        <f>IF(Tim!AW27=Sheet6!$C$2,Sheet6!$C$2,IF(Tim!AW27=Sheet6!$C$3,Sheet6!$C$3,IF(Tim!AW27=Sheet6!$C$4,Sheet6!$C$4,IF(Tim!AW27=Sheet6!$C$5,Sheet6!$C$5,IF(Tim!AW27=Sheet6!$C$6,Sheet6!$C$6,IF(Tim!AW27=Sheet6!$C$7,Sheet6!$C$7,IF(Tim!AW27=Sheet6!$C$8,Sheet6!$C$8,"")))))))</f>
        <v/>
      </c>
      <c r="W25" s="55" t="str">
        <f>IF(Tim!AX27=Sheet6!$C$2,Sheet6!$C$2,IF(Tim!AX27=Sheet6!$C$3,Sheet6!$C$3,IF(Tim!AX27=Sheet6!$C$4,Sheet6!$C$4,IF(Tim!AX27=Sheet6!$C$5,Sheet6!$C$5,IF(Tim!AX27=Sheet6!$C$6,Sheet6!$C$6,IF(Tim!AX27=Sheet6!$C$7,Sheet6!$C$7,IF(Tim!AX27=Sheet6!$C$8,Sheet6!$C$8,"")))))))</f>
        <v/>
      </c>
      <c r="X25" s="53" t="str">
        <f>IF(Tim!AY27=Sheet6!$C$2,Sheet6!$C$2,IF(Tim!AY27=Sheet6!$C$3,Sheet6!$C$3,IF(Tim!AY27=Sheet6!$C$4,Sheet6!$C$4,IF(Tim!AY27=Sheet6!$C$5,Sheet6!$C$5,IF(Tim!AY27=Sheet6!$C$6,Sheet6!$C$6,IF(Tim!AY27=Sheet6!$C$7,Sheet6!$C$7,IF(Tim!AY27=Sheet6!$C$8,Sheet6!$C$8,"")))))))</f>
        <v/>
      </c>
      <c r="Y25" s="53" t="str">
        <f>IF(Tim!AZ27=Sheet6!$C$2,Sheet6!$C$2,IF(Tim!AZ27=Sheet6!$C$3,Sheet6!$C$3,IF(Tim!AZ27=Sheet6!$C$4,Sheet6!$C$4,IF(Tim!AZ27=Sheet6!$C$5,Sheet6!$C$5,IF(Tim!AZ27=Sheet6!$C$6,Sheet6!$C$6,IF(Tim!AZ27=Sheet6!$C$7,Sheet6!$C$7,IF(Tim!AZ27=Sheet6!$C$8,Sheet6!$C$8,"")))))))</f>
        <v/>
      </c>
      <c r="Z25" s="57" t="str">
        <f>IF(Tim!BD27=Sheet6!$C$2,Sheet6!$C$2,IF(Tim!BD27=Sheet6!$C$3,Sheet6!$C$3,IF(Tim!BD27=Sheet6!$C$4,Sheet6!$C$4,IF(Tim!BD27=Sheet6!$C$5,Sheet6!$C$5,IF(Tim!BD27=Sheet6!$C$6,Sheet6!$C$6,IF(Tim!BD27=Sheet6!$C$7,Sheet6!$C$7,IF(Tim!BD27=Sheet6!$C$8,Sheet6!$C$8,"")))))))</f>
        <v/>
      </c>
      <c r="AA25" s="53" t="str">
        <f>IF(Tim!BE27=Sheet6!$C$2,Sheet6!$C$2,IF(Tim!BE27=Sheet6!$C$3,Sheet6!$C$3,IF(Tim!BE27=Sheet6!$C$4,Sheet6!$C$4,IF(Tim!BE27=Sheet6!$C$5,Sheet6!$C$5,IF(Tim!BE27=Sheet6!$C$6,Sheet6!$C$6,IF(Tim!BE27=Sheet6!$C$7,Sheet6!$C$7,IF(Tim!BE27=Sheet6!$C$8,Sheet6!$C$8,"")))))))</f>
        <v/>
      </c>
      <c r="AB25" s="53" t="str">
        <f>IF(Tim!BL27=Sheet6!$C$2,Sheet6!$C$2,IF(Tim!BL27=Sheet6!$C$3,Sheet6!$C$3,IF(Tim!BL27=Sheet6!$C$4,Sheet6!$C$4,IF(Tim!BL27=Sheet6!$C$5,Sheet6!$C$5,IF(Tim!BL27=Sheet6!$C$6,Sheet6!$C$6,IF(Tim!BL27=Sheet6!$C$7,Sheet6!$C$7,IF(Tim!BL27=Sheet6!$C$8,Sheet6!$C$8,"")))))))</f>
        <v/>
      </c>
      <c r="AC25" s="53" t="str">
        <f>IF(Tim!BT27=Sheet6!$C$2,Sheet6!$C$2,IF(Tim!BT27=Sheet6!$C$3,Sheet6!$C$3,IF(Tim!BT27=Sheet6!$C$4,Sheet6!$C$4,IF(Tim!BT27=Sheet6!$C$5,Sheet6!$C$5,IF(Tim!BT27=Sheet6!$C$6,Sheet6!$C$6,IF(Tim!BT27=Sheet6!$C$7,Sheet6!$C$7,IF(Tim!BT27=Sheet6!$C$8,Sheet6!$C$8,"")))))))</f>
        <v/>
      </c>
      <c r="AD25" s="181" t="str">
        <f>IF(Tim!BU27=Sheet6!$C$2,Sheet6!$C$2,IF(Tim!BU27=Sheet6!$C$3,Sheet6!$C$3,IF(Tim!BU27=Sheet6!$C$4,Sheet6!$C$4,IF(Tim!BU27=Sheet6!$C$5,Sheet6!$C$5,IF(Tim!BU27=Sheet6!$C$6,Sheet6!$C$6,IF(Tim!BU27=Sheet6!$C$7,Sheet6!$C$7,IF(Tim!BU27=Sheet6!$C$8,Sheet6!$C$8,"")))))))</f>
        <v/>
      </c>
      <c r="AE25" s="181" t="str">
        <f>IF(Tim!CB27=Sheet6!$C$2,Sheet6!$C$2,IF(Tim!CB27=Sheet6!$C$3,Sheet6!$C$3,IF(Tim!CB27=Sheet6!$C$4,Sheet6!$C$4,IF(Tim!CB27=Sheet6!$C$5,Sheet6!$C$5,IF(Tim!CB27=Sheet6!$C$6,Sheet6!$C$6,IF(Tim!CB27=Sheet6!$C$7,Sheet6!$C$7,IF(Tim!CB27=Sheet6!$C$8,Sheet6!$C$8,"")))))))</f>
        <v/>
      </c>
      <c r="AF25" s="181" t="str">
        <f>IF(Tim!CD27=Sheet6!$C$2,Sheet6!$C$2,IF(Tim!CD27=Sheet6!$C$3,Sheet6!$C$3,IF(Tim!CD27=Sheet6!$C$4,Sheet6!$C$4,IF(Tim!CD27=Sheet6!$C$5,Sheet6!$C$5,IF(Tim!CD27=Sheet6!$C$6,Sheet6!$C$6,IF(Tim!CD27=Sheet6!$C$7,Sheet6!$C$7,IF(Tim!CD27=Sheet6!$C$8,Sheet6!$C$8,"")))))))</f>
        <v/>
      </c>
      <c r="AG25" s="53" t="str">
        <f>IF(Tim!CE27=Sheet6!$C$2,Sheet6!$C$2,IF(Tim!CE27=Sheet6!$C$3,Sheet6!$C$3,IF(Tim!CE27=Sheet6!$C$4,Sheet6!$C$4,IF(Tim!CE27=Sheet6!$C$5,Sheet6!$C$5,IF(Tim!CE27=Sheet6!$C$6,Sheet6!$C$6,IF(Tim!CE27=Sheet6!$C$7,Sheet6!$C$7,IF(Tim!CE27=Sheet6!$C$8,Sheet6!$C$8,"")))))))</f>
        <v/>
      </c>
      <c r="AH25" s="53" t="str">
        <f>IF(Tim!CF27=Sheet6!$C$2,Sheet6!$C$2,IF(Tim!CF27=Sheet6!$C$3,Sheet6!$C$3,IF(Tim!CF27=Sheet6!$C$4,Sheet6!$C$4,IF(Tim!CF27=Sheet6!$C$5,Sheet6!$C$5,IF(Tim!CF27=Sheet6!$C$6,Sheet6!$C$6,IF(Tim!CF27=Sheet6!$C$7,Sheet6!$C$7,IF(Tim!CF27=Sheet6!$C$8,Sheet6!$C$8,"")))))))</f>
        <v/>
      </c>
      <c r="AI25" s="176" t="str">
        <f>IF(Tim!CG27=Sheet6!$C$2,Sheet6!$C$2,IF(Tim!CG27=Sheet6!$C$3,Sheet6!$C$3,IF(Tim!CG27=Sheet6!$C$4,Sheet6!$C$4,IF(Tim!CG27=Sheet6!$C$5,Sheet6!$C$5,IF(Tim!CG27=Sheet6!$C$6,Sheet6!$C$6,IF(Tim!CG27=Sheet6!$C$7,Sheet6!$C$7,IF(Tim!CG27=Sheet6!$C$8,Sheet6!$C$8,"")))))))</f>
        <v/>
      </c>
      <c r="AJ25" s="53" t="str">
        <f>IF(Tim!CH27=Sheet6!$C$2,Sheet6!$C$2,IF(Tim!CH27=Sheet6!$C$3,Sheet6!$C$3,IF(Tim!CH27=Sheet6!$C$4,Sheet6!$C$4,IF(Tim!CH27=Sheet6!$C$5,Sheet6!$C$5,IF(Tim!CH27=Sheet6!$C$6,Sheet6!$C$6,IF(Tim!CH27=Sheet6!$C$7,Sheet6!$C$7,IF(Tim!CH27=Sheet6!$C$8,Sheet6!$C$8,"")))))))</f>
        <v/>
      </c>
      <c r="AK25" s="53" t="str">
        <f>IF(Tim!CL27=Sheet6!$C$2,Sheet6!$C$2,IF(Tim!CL27=Sheet6!$C$3,Sheet6!$C$3,IF(Tim!CL27=Sheet6!$C$4,Sheet6!$C$4,IF(Tim!CL27=Sheet6!$C$5,Sheet6!$C$5,IF(Tim!CL27=Sheet6!$C$6,Sheet6!$C$6,IF(Tim!CL27=Sheet6!$C$7,Sheet6!$C$7,IF(Tim!CL27=Sheet6!$C$8,Sheet6!$C$8,"")))))))</f>
        <v/>
      </c>
      <c r="AL25" s="54" t="str">
        <f>IF(Tim!CM27=Sheet6!$C$2,Sheet6!$C$2,IF(Tim!CM27=Sheet6!$C$3,Sheet6!$C$3,IF(Tim!CM27=Sheet6!$C$4,Sheet6!$C$4,IF(Tim!CM27=Sheet6!$C$5,Sheet6!$C$5,IF(Tim!CM27=Sheet6!$C$6,Sheet6!$C$6,IF(Tim!CM27=Sheet6!$C$7,Sheet6!$C$7,IF(Tim!CM27=Sheet6!$C$8,Sheet6!$C$8,"")))))))</f>
        <v/>
      </c>
      <c r="AM25" s="54" t="str">
        <f>IF(Tim!CN27=Sheet6!$C$2,Sheet6!$C$2,IF(Tim!CN27=Sheet6!$C$3,Sheet6!$C$3,IF(Tim!CN27=Sheet6!$C$4,Sheet6!$C$4,IF(Tim!CN27=Sheet6!$C$5,Sheet6!$C$5,IF(Tim!CN27=Sheet6!$C$6,Sheet6!$C$6,IF(Tim!CN27=Sheet6!$C$7,Sheet6!$C$7,IF(Tim!CN27=Sheet6!$C$8,Sheet6!$C$8,"")))))))</f>
        <v/>
      </c>
      <c r="AN25" s="54" t="str">
        <f>IF(Tim!CO27=Sheet6!$C$2,Sheet6!$C$2,IF(Tim!CO27=Sheet6!$C$3,Sheet6!$C$3,IF(Tim!CO27=Sheet6!$C$4,Sheet6!$C$4,IF(Tim!CO27=Sheet6!$C$5,Sheet6!$C$5,IF(Tim!CO27=Sheet6!$C$6,Sheet6!$C$6,IF(Tim!CO27=Sheet6!$C$7,Sheet6!$C$7,IF(Tim!CO27=Sheet6!$C$8,Sheet6!$C$8,"")))))))</f>
        <v/>
      </c>
      <c r="AO25" s="55" t="str">
        <f>IF(Tim!CP27=Sheet6!$C$2,Sheet6!$C$2,IF(Tim!CP27=Sheet6!$C$3,Sheet6!$C$3,IF(Tim!CP27=Sheet6!$C$4,Sheet6!$C$4,IF(Tim!CP27=Sheet6!$C$5,Sheet6!$C$5,IF(Tim!CP27=Sheet6!$C$6,Sheet6!$C$6,IF(Tim!CP27=Sheet6!$C$7,Sheet6!$C$7,IF(Tim!CP27=Sheet6!$C$8,Sheet6!$C$8,"")))))))</f>
        <v/>
      </c>
      <c r="AP25" s="53" t="str">
        <f>IF(Tim!CQ27=Sheet6!$C$2,Sheet6!$C$2,IF(Tim!CQ27=Sheet6!$C$3,Sheet6!$C$3,IF(Tim!CQ27=Sheet6!$C$4,Sheet6!$C$4,IF(Tim!CQ27=Sheet6!$C$5,Sheet6!$C$5,IF(Tim!CQ27=Sheet6!$C$6,Sheet6!$C$6,IF(Tim!CQ27=Sheet6!$C$7,Sheet6!$C$7,IF(Tim!CQ27=Sheet6!$C$8,Sheet6!$C$8,"")))))))</f>
        <v/>
      </c>
      <c r="AQ25" s="53" t="str">
        <f>IF(Tim!CR27=Sheet6!$C$2,Sheet6!$C$2,IF(Tim!CR27=Sheet6!$C$3,Sheet6!$C$3,IF(Tim!CR27=Sheet6!$C$4,Sheet6!$C$4,IF(Tim!CR27=Sheet6!$C$5,Sheet6!$C$5,IF(Tim!CR27=Sheet6!$C$6,Sheet6!$C$6,IF(Tim!CR27=Sheet6!$C$7,Sheet6!$C$7,IF(Tim!CR27=Sheet6!$C$8,Sheet6!$C$8,"")))))))</f>
        <v/>
      </c>
      <c r="AR25" s="57" t="str">
        <f>IF(Tim!CV27=Sheet6!$C$2,Sheet6!$C$2,IF(Tim!CV27=Sheet6!$C$3,Sheet6!$C$3,IF(Tim!CV27=Sheet6!$C$4,Sheet6!$C$4,IF(Tim!CV27=Sheet6!$C$5,Sheet6!$C$5,IF(Tim!CV27=Sheet6!$C$6,Sheet6!$C$6,IF(Tim!CV27=Sheet6!$C$7,Sheet6!$C$7,IF(Tim!CV27=Sheet6!$C$8,Sheet6!$C$8,"")))))))</f>
        <v/>
      </c>
      <c r="AS25" s="57" t="str">
        <f>IF(Tim!CW27=Sheet6!$C$2,Sheet6!$C$2,IF(Tim!CW27=Sheet6!$C$3,Sheet6!$C$3,IF(Tim!CW27=Sheet6!$C$4,Sheet6!$C$4,IF(Tim!CW27=Sheet6!$C$5,Sheet6!$C$5,IF(Tim!CW27=Sheet6!$C$6,Sheet6!$C$6,IF(Tim!CW27=Sheet6!$C$7,Sheet6!$C$7,IF(Tim!CW27=Sheet6!$C$8,Sheet6!$C$8,"")))))))</f>
        <v/>
      </c>
      <c r="AT25" s="57" t="str">
        <f>IF(Tim!DA27=Sheet6!$C$2,Sheet6!$C$2,IF(Tim!DA27=Sheet6!$C$3,Sheet6!$C$3,IF(Tim!DA27=Sheet6!$C$4,Sheet6!$C$4,IF(Tim!DA27=Sheet6!$C$5,Sheet6!$C$5,IF(Tim!DA27=Sheet6!$C$6,Sheet6!$C$6,IF(Tim!DA27=Sheet6!$C$7,Sheet6!$C$7,IF(Tim!DA27=Sheet6!$C$8,Sheet6!$C$8,"")))))))</f>
        <v/>
      </c>
      <c r="AU25" s="53" t="str">
        <f>IF(Tim!DO27=Sheet6!$C$2,Sheet6!$C$2,IF(Tim!DO27=Sheet6!$C$3,Sheet6!$C$3,IF(Tim!DO27=Sheet6!$C$4,Sheet6!$C$4,IF(Tim!DO27=Sheet6!$C$5,Sheet6!$C$5,IF(Tim!DO27=Sheet6!$C$6,Sheet6!$C$6,IF(Tim!DO27=Sheet6!$C$7,Sheet6!$C$7,IF(Tim!DO27=Sheet6!$C$8,Sheet6!$C$8,"")))))))</f>
        <v/>
      </c>
      <c r="AV25" s="181" t="str">
        <f>IF(Tim!DP27=Sheet6!$C$2,Sheet6!$C$2,IF(Tim!DP27=Sheet6!$C$3,Sheet6!$C$3,IF(Tim!DP27=Sheet6!$C$4,Sheet6!$C$4,IF(Tim!DP27=Sheet6!$C$5,Sheet6!$C$5,IF(Tim!DP27=Sheet6!$C$6,Sheet6!$C$6,IF(Tim!DP27=Sheet6!$C$7,Sheet6!$C$7,IF(Tim!DP27=Sheet6!$C$8,Sheet6!$C$8,"")))))))</f>
        <v/>
      </c>
      <c r="AW25" s="181" t="str">
        <f>IF(Tim!DX27=Sheet6!$C$2,Sheet6!$C$2,IF(Tim!DX27=Sheet6!$C$3,Sheet6!$C$3,IF(Tim!DX27=Sheet6!$C$4,Sheet6!$C$4,IF(Tim!DX27=Sheet6!$C$5,Sheet6!$C$5,IF(Tim!DX27=Sheet6!$C$6,Sheet6!$C$6,IF(Tim!DX27=Sheet6!$C$7,Sheet6!$C$7,IF(Tim!DX27=Sheet6!$C$8,Sheet6!$C$8,"")))))))</f>
        <v/>
      </c>
      <c r="AX25" s="181" t="str">
        <f>IF(Tim!DY27=Sheet6!$C$2,Sheet6!$C$2,IF(Tim!DY27=Sheet6!$C$3,Sheet6!$C$3,IF(Tim!DY27=Sheet6!$C$4,Sheet6!$C$4,IF(Tim!DY27=Sheet6!$C$5,Sheet6!$C$5,IF(Tim!DY27=Sheet6!$C$6,Sheet6!$C$6,IF(Tim!DY27=Sheet6!$C$7,Sheet6!$C$7,IF(Tim!DY27=Sheet6!$C$8,Sheet6!$C$8,"")))))))</f>
        <v/>
      </c>
      <c r="AY25" s="53" t="str">
        <f>IF(Tim!DZ27=Sheet6!$C$2,Sheet6!$C$2,IF(Tim!DZ27=Sheet6!$C$3,Sheet6!$C$3,IF(Tim!DZ27=Sheet6!$C$4,Sheet6!$C$4,IF(Tim!DZ27=Sheet6!$C$5,Sheet6!$C$5,IF(Tim!DZ27=Sheet6!$C$6,Sheet6!$C$6,IF(Tim!DZ27=Sheet6!$C$7,Sheet6!$C$7,IF(Tim!DZ27=Sheet6!$C$8,Sheet6!$C$8,"")))))))</f>
        <v/>
      </c>
      <c r="AZ25" s="53" t="str">
        <f>IF(Tim!EA27=Sheet6!$C$2,Sheet6!$C$2,IF(Tim!EA27=Sheet6!$C$3,Sheet6!$C$3,IF(Tim!EA27=Sheet6!$C$4,Sheet6!$C$4,IF(Tim!EA27=Sheet6!$C$5,Sheet6!$C$5,IF(Tim!EA27=Sheet6!$C$6,Sheet6!$C$6,IF(Tim!EA27=Sheet6!$C$7,Sheet6!$C$7,IF(Tim!EA27=Sheet6!$C$8,Sheet6!$C$8,"")))))))</f>
        <v/>
      </c>
      <c r="BA25" s="176" t="str">
        <f>IF(Tim!EB27=Sheet6!$C$2,Sheet6!$C$2,IF(Tim!EB27=Sheet6!$C$3,Sheet6!$C$3,IF(Tim!EB27=Sheet6!$C$4,Sheet6!$C$4,IF(Tim!EB27=Sheet6!$C$5,Sheet6!$C$5,IF(Tim!EB27=Sheet6!$C$6,Sheet6!$C$6,IF(Tim!EB27=Sheet6!$C$7,Sheet6!$C$7,IF(Tim!EB27=Sheet6!$C$8,Sheet6!$C$8,"")))))))</f>
        <v/>
      </c>
      <c r="BB25" s="53" t="str">
        <f>IF(Tim!EC27=Sheet6!$C$2,Sheet6!$C$2,IF(Tim!EC27=Sheet6!$C$3,Sheet6!$C$3,IF(Tim!EC27=Sheet6!$C$4,Sheet6!$C$4,IF(Tim!EC27=Sheet6!$C$5,Sheet6!$C$5,IF(Tim!EC27=Sheet6!$C$6,Sheet6!$C$6,IF(Tim!EC27=Sheet6!$C$7,Sheet6!$C$7,IF(Tim!EC27=Sheet6!$C$8,Sheet6!$C$8,"")))))))</f>
        <v/>
      </c>
      <c r="BC25" s="53" t="str">
        <f>IF(Tim!EG27=Sheet6!$C$2,Sheet6!$C$2,IF(Tim!EG27=Sheet6!$C$3,Sheet6!$C$3,IF(Tim!EG27=Sheet6!$C$4,Sheet6!$C$4,IF(Tim!EG27=Sheet6!$C$5,Sheet6!$C$5,IF(Tim!EG27=Sheet6!$C$6,Sheet6!$C$6,IF(Tim!EG27=Sheet6!$C$7,Sheet6!$C$7,IF(Tim!EG27=Sheet6!$C$8,Sheet6!$C$8,"")))))))</f>
        <v/>
      </c>
      <c r="BD25" s="54" t="str">
        <f>IF(Tim!EH27=Sheet6!$C$2,Sheet6!$C$2,IF(Tim!EH27=Sheet6!$C$3,Sheet6!$C$3,IF(Tim!EH27=Sheet6!$C$4,Sheet6!$C$4,IF(Tim!EH27=Sheet6!$C$5,Sheet6!$C$5,IF(Tim!EH27=Sheet6!$C$6,Sheet6!$C$6,IF(Tim!EH27=Sheet6!$C$7,Sheet6!$C$7,IF(Tim!EH27=Sheet6!$C$8,Sheet6!$C$8,"")))))))</f>
        <v/>
      </c>
      <c r="BE25" s="54" t="str">
        <f>IF(Tim!EI27=Sheet6!$C$2,Sheet6!$C$2,IF(Tim!EI27=Sheet6!$C$3,Sheet6!$C$3,IF(Tim!EI27=Sheet6!$C$4,Sheet6!$C$4,IF(Tim!EI27=Sheet6!$C$5,Sheet6!$C$5,IF(Tim!EI27=Sheet6!$C$6,Sheet6!$C$6,IF(Tim!EI27=Sheet6!$C$7,Sheet6!$C$7,IF(Tim!EI27=Sheet6!$C$8,Sheet6!$C$8,"")))))))</f>
        <v/>
      </c>
      <c r="BF25" s="54" t="str">
        <f>IF(Tim!EJ27=Sheet6!$C$2,Sheet6!$C$2,IF(Tim!EJ27=Sheet6!$C$3,Sheet6!$C$3,IF(Tim!EJ27=Sheet6!$C$4,Sheet6!$C$4,IF(Tim!EJ27=Sheet6!$C$5,Sheet6!$C$5,IF(Tim!EJ27=Sheet6!$C$6,Sheet6!$C$6,IF(Tim!EJ27=Sheet6!$C$7,Sheet6!$C$7,IF(Tim!EJ27=Sheet6!$C$8,Sheet6!$C$8,"")))))))</f>
        <v/>
      </c>
      <c r="BG25" s="55" t="str">
        <f>IF(Tim!EK27=Sheet6!$C$2,Sheet6!$C$2,IF(Tim!EK27=Sheet6!$C$3,Sheet6!$C$3,IF(Tim!EK27=Sheet6!$C$4,Sheet6!$C$4,IF(Tim!EK27=Sheet6!$C$5,Sheet6!$C$5,IF(Tim!EK27=Sheet6!$C$6,Sheet6!$C$6,IF(Tim!EK27=Sheet6!$C$7,Sheet6!$C$7,IF(Tim!EK27=Sheet6!$C$8,Sheet6!$C$8,"")))))))</f>
        <v/>
      </c>
      <c r="BH25" s="57" t="str">
        <f>IF(Tim!EL27=Sheet6!$C$2,Sheet6!$C$2,IF(Tim!EL27=Sheet6!$C$3,Sheet6!$C$3,IF(Tim!EL27=Sheet6!$C$4,Sheet6!$C$4,IF(Tim!EL27=Sheet6!$C$5,Sheet6!$C$5,IF(Tim!EL27=Sheet6!$C$6,Sheet6!$C$6,IF(Tim!EL27=Sheet6!$C$7,Sheet6!$C$7,IF(Tim!EL27=Sheet6!$C$8,Sheet6!$C$8,"")))))))</f>
        <v/>
      </c>
      <c r="BI25" s="57" t="str">
        <f>IF(Tim!EM27=Sheet6!$C$2,Sheet6!$C$2,IF(Tim!EM27=Sheet6!$C$3,Sheet6!$C$3,IF(Tim!EM27=Sheet6!$C$4,Sheet6!$C$4,IF(Tim!EM27=Sheet6!$C$5,Sheet6!$C$5,IF(Tim!EM27=Sheet6!$C$6,Sheet6!$C$6,IF(Tim!EM27=Sheet6!$C$7,Sheet6!$C$7,IF(Tim!EM27=Sheet6!$C$8,Sheet6!$C$8,"")))))))</f>
        <v/>
      </c>
      <c r="BJ25" s="57" t="str">
        <f>IF(Tim!EQ27=Sheet6!$C$2,Sheet6!$C$2,IF(Tim!EQ27=Sheet6!$C$3,Sheet6!$C$3,IF(Tim!EQ27=Sheet6!$C$4,Sheet6!$C$4,IF(Tim!EQ27=Sheet6!$C$5,Sheet6!$C$5,IF(Tim!EQ27=Sheet6!$C$6,Sheet6!$C$6,IF(Tim!EQ27=Sheet6!$C$7,Sheet6!$C$7,IF(Tim!EQ27=Sheet6!$C$8,Sheet6!$C$8,"")))))))</f>
        <v/>
      </c>
      <c r="BK25" s="57" t="str">
        <f>IF(Tim!ER27=Sheet6!$C$2,Sheet6!$C$2,IF(Tim!ER27=Sheet6!$C$3,Sheet6!$C$3,IF(Tim!ER27=Sheet6!$C$4,Sheet6!$C$4,IF(Tim!ER27=Sheet6!$C$5,Sheet6!$C$5,IF(Tim!ER27=Sheet6!$C$6,Sheet6!$C$6,IF(Tim!ER27=Sheet6!$C$7,Sheet6!$C$7,IF(Tim!ER27=Sheet6!$C$8,Sheet6!$C$8,"")))))))</f>
        <v/>
      </c>
      <c r="BL25" s="57" t="str">
        <f>IF(Tim!EZ27=Sheet6!$C$2,Sheet6!$C$2,IF(Tim!EZ27=Sheet6!$C$3,Sheet6!$C$3,IF(Tim!EZ27=Sheet6!$C$4,Sheet6!$C$4,IF(Tim!EZ27=Sheet6!$C$5,Sheet6!$C$5,IF(Tim!EZ27=Sheet6!$C$6,Sheet6!$C$6,IF(Tim!EZ27=Sheet6!$C$7,Sheet6!$C$7,IF(Tim!EZ27=Sheet6!$C$8,Sheet6!$C$8,"")))))))</f>
        <v/>
      </c>
      <c r="BM25" s="53" t="str">
        <f>IF(Tim!FG27=Sheet6!$C$2,Sheet6!$C$2,IF(Tim!FG27=Sheet6!$C$3,Sheet6!$C$3,IF(Tim!FG27=Sheet6!$C$4,Sheet6!$C$4,IF(Tim!FG27=Sheet6!$C$5,Sheet6!$C$5,IF(Tim!FG27=Sheet6!$C$6,Sheet6!$C$6,IF(Tim!FG27=Sheet6!$C$7,Sheet6!$C$7,IF(Tim!FG27=Sheet6!$C$8,Sheet6!$C$8,"")))))))</f>
        <v/>
      </c>
      <c r="BN25" s="181" t="str">
        <f>IF(Tim!FH27=Sheet6!$C$2,Sheet6!$C$2,IF(Tim!FH27=Sheet6!$C$3,Sheet6!$C$3,IF(Tim!FH27=Sheet6!$C$4,Sheet6!$C$4,IF(Tim!FH27=Sheet6!$C$5,Sheet6!$C$5,IF(Tim!FH27=Sheet6!$C$6,Sheet6!$C$6,IF(Tim!FH27=Sheet6!$C$7,Sheet6!$C$7,IF(Tim!FH27=Sheet6!$C$8,Sheet6!$C$8,"")))))))</f>
        <v/>
      </c>
      <c r="BO25" s="181" t="str">
        <f>IF(Tim!FP27=Sheet6!$C$2,Sheet6!$C$2,IF(Tim!FP27=Sheet6!$C$3,Sheet6!$C$3,IF(Tim!FP27=Sheet6!$C$4,Sheet6!$C$4,IF(Tim!FP27=Sheet6!$C$5,Sheet6!$C$5,IF(Tim!FP27=Sheet6!$C$6,Sheet6!$C$6,IF(Tim!FP27=Sheet6!$C$7,Sheet6!$C$7,IF(Tim!FP27=Sheet6!$C$8,Sheet6!$C$8,"")))))))</f>
        <v/>
      </c>
      <c r="BP25" s="181" t="str">
        <f>IF(Tim!FQ27=Sheet6!$C$2,Sheet6!$C$2,IF(Tim!FQ27=Sheet6!$C$3,Sheet6!$C$3,IF(Tim!FQ27=Sheet6!$C$4,Sheet6!$C$4,IF(Tim!FQ27=Sheet6!$C$5,Sheet6!$C$5,IF(Tim!FQ27=Sheet6!$C$6,Sheet6!$C$6,IF(Tim!FQ27=Sheet6!$C$7,Sheet6!$C$7,IF(Tim!FQ27=Sheet6!$C$8,Sheet6!$C$8,"")))))))</f>
        <v/>
      </c>
      <c r="BQ25" s="53" t="str">
        <f>IF(Tim!FR27=Sheet6!$C$2,Sheet6!$C$2,IF(Tim!FR27=Sheet6!$C$3,Sheet6!$C$3,IF(Tim!FR27=Sheet6!$C$4,Sheet6!$C$4,IF(Tim!FR27=Sheet6!$C$5,Sheet6!$C$5,IF(Tim!FR27=Sheet6!$C$6,Sheet6!$C$6,IF(Tim!FR27=Sheet6!$C$7,Sheet6!$C$7,IF(Tim!FR27=Sheet6!$C$8,Sheet6!$C$8,"")))))))</f>
        <v/>
      </c>
      <c r="BR25" s="53" t="str">
        <f>IF(Tim!FS27=Sheet6!$C$2,Sheet6!$C$2,IF(Tim!FS27=Sheet6!$C$3,Sheet6!$C$3,IF(Tim!FS27=Sheet6!$C$4,Sheet6!$C$4,IF(Tim!FS27=Sheet6!$C$5,Sheet6!$C$5,IF(Tim!FS27=Sheet6!$C$6,Sheet6!$C$6,IF(Tim!FS27=Sheet6!$C$7,Sheet6!$C$7,IF(Tim!FS27=Sheet6!$C$8,Sheet6!$C$8,"")))))))</f>
        <v/>
      </c>
      <c r="BS25" s="53" t="str">
        <f>IF(Tim!FT27=Sheet6!$C$2,Sheet6!$C$2,IF(Tim!FT27=Sheet6!$C$3,Sheet6!$C$3,IF(Tim!FT27=Sheet6!$C$4,Sheet6!$C$4,IF(Tim!FT27=Sheet6!$C$5,Sheet6!$C$5,IF(Tim!FT27=Sheet6!$C$6,Sheet6!$C$6,IF(Tim!FT27=Sheet6!$C$7,Sheet6!$C$7,IF(Tim!FT27=Sheet6!$C$8,Sheet6!$C$8,"")))))))</f>
        <v/>
      </c>
      <c r="BT25" s="53" t="str">
        <f>IF(Tim!FU27=Sheet6!$C$2,Sheet6!$C$2,IF(Tim!FU27=Sheet6!$C$3,Sheet6!$C$3,IF(Tim!FU27=Sheet6!$C$4,Sheet6!$C$4,IF(Tim!FU27=Sheet6!$C$5,Sheet6!$C$5,IF(Tim!FU27=Sheet6!$C$6,Sheet6!$C$6,IF(Tim!FU27=Sheet6!$C$7,Sheet6!$C$7,IF(Tim!FU27=Sheet6!$C$8,Sheet6!$C$8,"")))))))</f>
        <v/>
      </c>
      <c r="BU25" s="53" t="str">
        <f>IF(Tim!FY27=Sheet6!$C$2,Sheet6!$C$2,IF(Tim!FY27=Sheet6!$C$3,Sheet6!$C$3,IF(Tim!FY27=Sheet6!$C$4,Sheet6!$C$4,IF(Tim!FY27=Sheet6!$C$5,Sheet6!$C$5,IF(Tim!FY27=Sheet6!$C$6,Sheet6!$C$6,IF(Tim!FY27=Sheet6!$C$7,Sheet6!$C$7,IF(Tim!FY27=Sheet6!$C$8,Sheet6!$C$8,"")))))))</f>
        <v/>
      </c>
      <c r="BV25" s="54" t="str">
        <f>IF(Tim!FZ27=Sheet6!$C$2,Sheet6!$C$2,IF(Tim!FZ27=Sheet6!$C$3,Sheet6!$C$3,IF(Tim!FZ27=Sheet6!$C$4,Sheet6!$C$4,IF(Tim!FZ27=Sheet6!$C$5,Sheet6!$C$5,IF(Tim!FZ27=Sheet6!$C$6,Sheet6!$C$6,IF(Tim!FZ27=Sheet6!$C$7,Sheet6!$C$7,IF(Tim!FZ27=Sheet6!$C$8,Sheet6!$C$8,"")))))))</f>
        <v/>
      </c>
      <c r="BW25" s="54" t="str">
        <f>IF(Tim!GA27=Sheet6!$C$2,Sheet6!$C$2,IF(Tim!GA27=Sheet6!$C$3,Sheet6!$C$3,IF(Tim!GA27=Sheet6!$C$4,Sheet6!$C$4,IF(Tim!GA27=Sheet6!$C$5,Sheet6!$C$5,IF(Tim!GA27=Sheet6!$C$6,Sheet6!$C$6,IF(Tim!GA27=Sheet6!$C$7,Sheet6!$C$7,IF(Tim!GA27=Sheet6!$C$8,Sheet6!$C$8,"")))))))</f>
        <v/>
      </c>
      <c r="BX25" s="54" t="str">
        <f>IF(Tim!GB27=Sheet6!$C$2,Sheet6!$C$2,IF(Tim!GB27=Sheet6!$C$3,Sheet6!$C$3,IF(Tim!GB27=Sheet6!$C$4,Sheet6!$C$4,IF(Tim!GB27=Sheet6!$C$5,Sheet6!$C$5,IF(Tim!GB27=Sheet6!$C$6,Sheet6!$C$6,IF(Tim!GB27=Sheet6!$C$7,Sheet6!$C$7,IF(Tim!GB27=Sheet6!$C$8,Sheet6!$C$8,"")))))))</f>
        <v/>
      </c>
      <c r="BY25" s="55" t="str">
        <f>IF(Tim!GC27=Sheet6!$C$2,Sheet6!$C$2,IF(Tim!GC27=Sheet6!$C$3,Sheet6!$C$3,IF(Tim!GC27=Sheet6!$C$4,Sheet6!$C$4,IF(Tim!GC27=Sheet6!$C$5,Sheet6!$C$5,IF(Tim!GC27=Sheet6!$C$6,Sheet6!$C$6,IF(Tim!GC27=Sheet6!$C$7,Sheet6!$C$7,IF(Tim!GC27=Sheet6!$C$8,Sheet6!$C$8,"")))))))</f>
        <v/>
      </c>
      <c r="BZ25" s="53" t="str">
        <f>IF(Tim!GD27=Sheet6!$C$2,Sheet6!$C$2,IF(Tim!GD27=Sheet6!$C$3,Sheet6!$C$3,IF(Tim!GD27=Sheet6!$C$4,Sheet6!$C$4,IF(Tim!GD27=Sheet6!$C$5,Sheet6!$C$5,IF(Tim!GD27=Sheet6!$C$6,Sheet6!$C$6,IF(Tim!GD27=Sheet6!$C$7,Sheet6!$C$7,IF(Tim!GD27=Sheet6!$C$8,Sheet6!$C$8,"")))))))</f>
        <v/>
      </c>
      <c r="CA25" s="53" t="str">
        <f>IF(Tim!GE27=Sheet6!$C$2,Sheet6!$C$2,IF(Tim!GE27=Sheet6!$C$3,Sheet6!$C$3,IF(Tim!GE27=Sheet6!$C$4,Sheet6!$C$4,IF(Tim!GE27=Sheet6!$C$5,Sheet6!$C$5,IF(Tim!GE27=Sheet6!$C$6,Sheet6!$C$6,IF(Tim!GE27=Sheet6!$C$7,Sheet6!$C$7,IF(Tim!GE27=Sheet6!$C$8,Sheet6!$C$8,"")))))))</f>
        <v/>
      </c>
      <c r="CB25" s="53" t="str">
        <f>IF(Tim!GI27=Sheet6!$C$2,Sheet6!$C$2,IF(Tim!GI27=Sheet6!$C$3,Sheet6!$C$3,IF(Tim!GI27=Sheet6!$C$4,Sheet6!$C$4,IF(Tim!GI27=Sheet6!$C$5,Sheet6!$C$5,IF(Tim!GI27=Sheet6!$C$6,Sheet6!$C$6,IF(Tim!GI27=Sheet6!$C$7,Sheet6!$C$7,IF(Tim!GI27=Sheet6!$C$8,Sheet6!$C$8,"")))))))</f>
        <v/>
      </c>
      <c r="CC25" s="57" t="str">
        <f>IF(Tim!GJ27=Sheet6!$C$2,Sheet6!$C$2,IF(Tim!GJ27=Sheet6!$C$3,Sheet6!$C$3,IF(Tim!GJ27=Sheet6!$C$4,Sheet6!$C$4,IF(Tim!GJ27=Sheet6!$C$5,Sheet6!$C$5,IF(Tim!GJ27=Sheet6!$C$6,Sheet6!$C$6,IF(Tim!GJ27=Sheet6!$C$7,Sheet6!$C$7,IF(Tim!GJ27=Sheet6!$C$8,Sheet6!$C$8,"")))))))</f>
        <v/>
      </c>
      <c r="CD25" s="57" t="str">
        <f>IF(Tim!GN27=Sheet6!$C$2,Sheet6!$C$2,IF(Tim!GN27=Sheet6!$C$3,Sheet6!$C$3,IF(Tim!GN27=Sheet6!$C$4,Sheet6!$C$4,IF(Tim!GN27=Sheet6!$C$5,Sheet6!$C$5,IF(Tim!GN27=Sheet6!$C$6,Sheet6!$C$6,IF(Tim!GN27=Sheet6!$C$7,Sheet6!$C$7,IF(Tim!GN27=Sheet6!$C$8,Sheet6!$C$8,"")))))))</f>
        <v/>
      </c>
      <c r="CE25" s="53" t="str">
        <f>IF(Tim!GY27=Sheet6!$C$2,Sheet6!$C$2,IF(Tim!GY27=Sheet6!$C$3,Sheet6!$C$3,IF(Tim!GY27=Sheet6!$C$4,Sheet6!$C$4,IF(Tim!GY27=Sheet6!$C$5,Sheet6!$C$5,IF(Tim!GY27=Sheet6!$C$6,Sheet6!$C$6,IF(Tim!GY27=Sheet6!$C$7,Sheet6!$C$7,IF(Tim!GY27=Sheet6!$C$8,Sheet6!$C$8,"")))))))</f>
        <v/>
      </c>
      <c r="CF25" s="181" t="str">
        <f>IF(Tim!GZ27=Sheet6!$C$2,Sheet6!$C$2,IF(Tim!GZ27=Sheet6!$C$3,Sheet6!$C$3,IF(Tim!GZ27=Sheet6!$C$4,Sheet6!$C$4,IF(Tim!GZ27=Sheet6!$C$5,Sheet6!$C$5,IF(Tim!GZ27=Sheet6!$C$6,Sheet6!$C$6,IF(Tim!GZ27=Sheet6!$C$7,Sheet6!$C$7,IF(Tim!GZ27=Sheet6!$C$8,Sheet6!$C$8,"")))))))</f>
        <v/>
      </c>
      <c r="CG25" s="181" t="str">
        <f>IF(Tim!HH27=Sheet6!$C$2,Sheet6!$C$2,IF(Tim!HH27=Sheet6!$C$3,Sheet6!$C$3,IF(Tim!HH27=Sheet6!$C$4,Sheet6!$C$4,IF(Tim!HH27=Sheet6!$C$5,Sheet6!$C$5,IF(Tim!HH27=Sheet6!$C$6,Sheet6!$C$6,IF(Tim!HH27=Sheet6!$C$7,Sheet6!$C$7,IF(Tim!HH27=Sheet6!$C$8,Sheet6!$C$8,"")))))))</f>
        <v/>
      </c>
      <c r="CH25" s="181" t="str">
        <f>IF(Tim!HI27=Sheet6!$C$2,Sheet6!$C$2,IF(Tim!HI27=Sheet6!$C$3,Sheet6!$C$3,IF(Tim!HI27=Sheet6!$C$4,Sheet6!$C$4,IF(Tim!HI27=Sheet6!$C$5,Sheet6!$C$5,IF(Tim!HI27=Sheet6!$C$6,Sheet6!$C$6,IF(Tim!HI27=Sheet6!$C$7,Sheet6!$C$7,IF(Tim!HI27=Sheet6!$C$8,Sheet6!$C$8,"")))))))</f>
        <v/>
      </c>
      <c r="CI25" s="181" t="str">
        <f>IF(Tim!HJ27=Sheet6!$C$2,Sheet6!$C$2,IF(Tim!HJ27=Sheet6!$C$3,Sheet6!$C$3,IF(Tim!HJ27=Sheet6!$C$4,Sheet6!$C$4,IF(Tim!HJ27=Sheet6!$C$5,Sheet6!$C$5,IF(Tim!HJ27=Sheet6!$C$6,Sheet6!$C$6,IF(Tim!HJ27=Sheet6!$C$7,Sheet6!$C$7,IF(Tim!HJ27=Sheet6!$C$8,Sheet6!$C$8,"")))))))</f>
        <v/>
      </c>
      <c r="CJ25" s="53" t="str">
        <f>IF(Tim!HK27=Sheet6!$C$2,Sheet6!$C$2,IF(Tim!HK27=Sheet6!$C$3,Sheet6!$C$3,IF(Tim!HK27=Sheet6!$C$4,Sheet6!$C$4,IF(Tim!HK27=Sheet6!$C$5,Sheet6!$C$5,IF(Tim!HK27=Sheet6!$C$6,Sheet6!$C$6,IF(Tim!HK27=Sheet6!$C$7,Sheet6!$C$7,IF(Tim!HK27=Sheet6!$C$8,Sheet6!$C$8,"")))))))</f>
        <v/>
      </c>
      <c r="CK25" s="53" t="str">
        <f>IF(Tim!HL27=Sheet6!$C$2,Sheet6!$C$2,IF(Tim!HL27=Sheet6!$C$3,Sheet6!$C$3,IF(Tim!HL27=Sheet6!$C$4,Sheet6!$C$4,IF(Tim!HL27=Sheet6!$C$5,Sheet6!$C$5,IF(Tim!HL27=Sheet6!$C$6,Sheet6!$C$6,IF(Tim!HL27=Sheet6!$C$7,Sheet6!$C$7,IF(Tim!HL27=Sheet6!$C$8,Sheet6!$C$8,"")))))))</f>
        <v/>
      </c>
      <c r="CL25" s="53" t="str">
        <f>IF(Tim!HM27=Sheet6!$C$2,Sheet6!$C$2,IF(Tim!HM27=Sheet6!$C$3,Sheet6!$C$3,IF(Tim!HM27=Sheet6!$C$4,Sheet6!$C$4,IF(Tim!HM27=Sheet6!$C$5,Sheet6!$C$5,IF(Tim!HM27=Sheet6!$C$6,Sheet6!$C$6,IF(Tim!HM27=Sheet6!$C$7,Sheet6!$C$7,IF(Tim!HM27=Sheet6!$C$8,Sheet6!$C$8,"")))))))</f>
        <v/>
      </c>
      <c r="CM25" s="53" t="str">
        <f>IF(Tim!HQ27=Sheet6!$C$2,Sheet6!$C$2,IF(Tim!HQ27=Sheet6!$C$3,Sheet6!$C$3,IF(Tim!HQ27=Sheet6!$C$4,Sheet6!$C$4,IF(Tim!HQ27=Sheet6!$C$5,Sheet6!$C$5,IF(Tim!HQ27=Sheet6!$C$6,Sheet6!$C$6,IF(Tim!HQ27=Sheet6!$C$7,Sheet6!$C$7,IF(Tim!HQ27=Sheet6!$C$8,Sheet6!$C$8,"")))))))</f>
        <v/>
      </c>
      <c r="CN25" s="54" t="str">
        <f>IF(Tim!HR27=Sheet6!$C$2,Sheet6!$C$2,IF(Tim!HR27=Sheet6!$C$3,Sheet6!$C$3,IF(Tim!HR27=Sheet6!$C$4,Sheet6!$C$4,IF(Tim!HR27=Sheet6!$C$5,Sheet6!$C$5,IF(Tim!HR27=Sheet6!$C$6,Sheet6!$C$6,IF(Tim!HR27=Sheet6!$C$7,Sheet6!$C$7,IF(Tim!HR27=Sheet6!$C$8,Sheet6!$C$8,"")))))))</f>
        <v/>
      </c>
      <c r="CO25" s="54" t="str">
        <f>IF(Tim!HS27=Sheet6!$C$2,Sheet6!$C$2,IF(Tim!HS27=Sheet6!$C$3,Sheet6!$C$3,IF(Tim!HS27=Sheet6!$C$4,Sheet6!$C$4,IF(Tim!HS27=Sheet6!$C$5,Sheet6!$C$5,IF(Tim!HS27=Sheet6!$C$6,Sheet6!$C$6,IF(Tim!HS27=Sheet6!$C$7,Sheet6!$C$7,IF(Tim!HS27=Sheet6!$C$8,Sheet6!$C$8,"")))))))</f>
        <v/>
      </c>
      <c r="CP25" s="54" t="str">
        <f>IF(Tim!HT27=Sheet6!$C$2,Sheet6!$C$2,IF(Tim!HT27=Sheet6!$C$3,Sheet6!$C$3,IF(Tim!HT27=Sheet6!$C$4,Sheet6!$C$4,IF(Tim!HT27=Sheet6!$C$5,Sheet6!$C$5,IF(Tim!HT27=Sheet6!$C$6,Sheet6!$C$6,IF(Tim!HT27=Sheet6!$C$7,Sheet6!$C$7,IF(Tim!HT27=Sheet6!$C$8,Sheet6!$C$8,"")))))))</f>
        <v/>
      </c>
      <c r="CQ25" s="55" t="str">
        <f>IF(Tim!HU27=Sheet6!$C$2,Sheet6!$C$2,IF(Tim!HU27=Sheet6!$C$3,Sheet6!$C$3,IF(Tim!HU27=Sheet6!$C$4,Sheet6!$C$4,IF(Tim!HU27=Sheet6!$C$5,Sheet6!$C$5,IF(Tim!HU27=Sheet6!$C$6,Sheet6!$C$6,IF(Tim!HU27=Sheet6!$C$7,Sheet6!$C$7,IF(Tim!HU27=Sheet6!$C$8,Sheet6!$C$8,"")))))))</f>
        <v/>
      </c>
      <c r="CR25" s="56" t="str">
        <f>IF(Tim!HV27=Sheet6!$C$2,Sheet6!$C$2,IF(Tim!HV27=Sheet6!$C$3,Sheet6!$C$3,IF(Tim!HV27=Sheet6!$C$4,Sheet6!$C$4,IF(Tim!HV27=Sheet6!$C$5,Sheet6!$C$5,IF(Tim!HV27=Sheet6!$C$6,Sheet6!$C$6,IF(Tim!HV27=Sheet6!$C$7,Sheet6!$C$7,IF(Tim!HV27=Sheet6!$C$8,Sheet6!$C$8,"")))))))</f>
        <v/>
      </c>
      <c r="CS25" s="57" t="str">
        <f>IF(Tim!IB27=Sheet6!$C$2,Sheet6!$C$2,IF(Tim!IB27=Sheet6!$C$3,Sheet6!$C$3,IF(Tim!IB27=Sheet6!$C$4,Sheet6!$C$4,IF(Tim!IB27=Sheet6!$C$5,Sheet6!$C$5,IF(Tim!IB27=Sheet6!$C$6,Sheet6!$C$6,IF(Tim!IB27=Sheet6!$C$7,Sheet6!$C$7,IF(Tim!IB27=Sheet6!$C$8,Sheet6!$C$8,"")))))))</f>
        <v/>
      </c>
      <c r="CT25" s="57" t="str">
        <f>IF(Tim!IJ27=Sheet6!$C$2,Sheet6!$C$2,IF(Tim!IJ27=Sheet6!$C$3,Sheet6!$C$3,IF(Tim!IJ27=Sheet6!$C$4,Sheet6!$C$4,IF(Tim!IJ27=Sheet6!$C$5,Sheet6!$C$5,IF(Tim!IJ27=Sheet6!$C$6,Sheet6!$C$6,IF(Tim!IJ27=Sheet6!$C$7,Sheet6!$C$7,IF(Tim!IJ27=Sheet6!$C$8,Sheet6!$C$8,"")))))))</f>
        <v/>
      </c>
      <c r="CU25" s="53" t="str">
        <f>IF(Tim!IQ27=Sheet6!$C$2,Sheet6!$C$2,IF(Tim!IQ27=Sheet6!$C$3,Sheet6!$C$3,IF(Tim!IQ27=Sheet6!$C$4,Sheet6!$C$4,IF(Tim!IQ27=Sheet6!$C$5,Sheet6!$C$5,IF(Tim!IQ27=Sheet6!$C$6,Sheet6!$C$6,IF(Tim!IQ27=Sheet6!$C$7,Sheet6!$C$7,IF(Tim!IQ27=Sheet6!$C$8,Sheet6!$C$8,"")))))))</f>
        <v/>
      </c>
      <c r="CV25" s="53" t="str">
        <f>IF(Tim!IR27=Sheet6!$C$2,Sheet6!$C$2,IF(Tim!IR27=Sheet6!$C$3,Sheet6!$C$3,IF(Tim!IR27=Sheet6!$C$4,Sheet6!$C$4,IF(Tim!IR27=Sheet6!$C$5,Sheet6!$C$5,IF(Tim!IR27=Sheet6!$C$6,Sheet6!$C$6,IF(Tim!IR27=Sheet6!$C$7,Sheet6!$C$7,IF(Tim!IR27=Sheet6!$C$8,Sheet6!$C$8,"")))))))</f>
        <v/>
      </c>
      <c r="CW25" s="53" t="str">
        <f>IF(Tim!IZ27=Sheet6!$C$2,Sheet6!$C$2,IF(Tim!IZ27=Sheet6!$C$3,Sheet6!$C$3,IF(Tim!IZ27=Sheet6!$C$4,Sheet6!$C$4,IF(Tim!IZ27=Sheet6!$C$5,Sheet6!$C$5,IF(Tim!IZ27=Sheet6!$C$6,Sheet6!$C$6,IF(Tim!IZ27=Sheet6!$C$7,Sheet6!$C$7,IF(Tim!IZ27=Sheet6!$C$8,Sheet6!$C$8,"")))))))</f>
        <v/>
      </c>
      <c r="CX25" s="53" t="str">
        <f>IF(Tim!JA27=Sheet6!$C$2,Sheet6!$C$2,IF(Tim!JA27=Sheet6!$C$3,Sheet6!$C$3,IF(Tim!JA27=Sheet6!$C$4,Sheet6!$C$4,IF(Tim!JA27=Sheet6!$C$5,Sheet6!$C$5,IF(Tim!JA27=Sheet6!$C$6,Sheet6!$C$6,IF(Tim!JA27=Sheet6!$C$7,Sheet6!$C$7,IF(Tim!JA27=Sheet6!$C$8,Sheet6!$C$8,"")))))))</f>
        <v/>
      </c>
      <c r="CY25" s="53" t="str">
        <f>IF(Tim!JB27=Sheet6!$C$2,Sheet6!$C$2,IF(Tim!JB27=Sheet6!$C$3,Sheet6!$C$3,IF(Tim!JB27=Sheet6!$C$4,Sheet6!$C$4,IF(Tim!JB27=Sheet6!$C$5,Sheet6!$C$5,IF(Tim!JB27=Sheet6!$C$6,Sheet6!$C$6,IF(Tim!JB27=Sheet6!$C$7,Sheet6!$C$7,IF(Tim!JB27=Sheet6!$C$8,Sheet6!$C$8,"")))))))</f>
        <v/>
      </c>
      <c r="CZ25" s="53" t="str">
        <f>IF(Tim!JC27=Sheet6!$C$2,Sheet6!$C$2,IF(Tim!JC27=Sheet6!$C$3,Sheet6!$C$3,IF(Tim!JC27=Sheet6!$C$4,Sheet6!$C$4,IF(Tim!JC27=Sheet6!$C$5,Sheet6!$C$5,IF(Tim!JC27=Sheet6!$C$6,Sheet6!$C$6,IF(Tim!JC27=Sheet6!$C$7,Sheet6!$C$7,IF(Tim!JC27=Sheet6!$C$8,Sheet6!$C$8,"")))))))</f>
        <v/>
      </c>
      <c r="DA25" s="53" t="str">
        <f>IF(Tim!JD27=Sheet6!$C$2,Sheet6!$C$2,IF(Tim!JD27=Sheet6!$C$3,Sheet6!$C$3,IF(Tim!JD27=Sheet6!$C$4,Sheet6!$C$4,IF(Tim!JD27=Sheet6!$C$5,Sheet6!$C$5,IF(Tim!JD27=Sheet6!$C$6,Sheet6!$C$6,IF(Tim!JD27=Sheet6!$C$7,Sheet6!$C$7,IF(Tim!JD27=Sheet6!$C$8,Sheet6!$C$8,"")))))))</f>
        <v/>
      </c>
      <c r="DB25" s="53" t="str">
        <f>IF(Tim!JE27=Sheet6!$C$2,Sheet6!$C$2,IF(Tim!JE27=Sheet6!$C$3,Sheet6!$C$3,IF(Tim!JE27=Sheet6!$C$4,Sheet6!$C$4,IF(Tim!JE27=Sheet6!$C$5,Sheet6!$C$5,IF(Tim!JE27=Sheet6!$C$6,Sheet6!$C$6,IF(Tim!JE27=Sheet6!$C$7,Sheet6!$C$7,IF(Tim!JE27=Sheet6!$C$8,Sheet6!$C$8,"")))))))</f>
        <v/>
      </c>
      <c r="DC25" s="53" t="str">
        <f>IF(Tim!JI27=Sheet6!$C$2,Sheet6!$C$2,IF(Tim!JI27=Sheet6!$C$3,Sheet6!$C$3,IF(Tim!JI27=Sheet6!$C$4,Sheet6!$C$4,IF(Tim!JI27=Sheet6!$C$5,Sheet6!$C$5,IF(Tim!JI27=Sheet6!$C$6,Sheet6!$C$6,IF(Tim!JI27=Sheet6!$C$7,Sheet6!$C$7,IF(Tim!JI27=Sheet6!$C$8,Sheet6!$C$8,"")))))))</f>
        <v/>
      </c>
      <c r="DD25" s="54" t="str">
        <f>IF(Tim!JJ27=Sheet6!$C$2,Sheet6!$C$2,IF(Tim!JJ27=Sheet6!$C$3,Sheet6!$C$3,IF(Tim!JJ27=Sheet6!$C$4,Sheet6!$C$4,IF(Tim!JJ27=Sheet6!$C$5,Sheet6!$C$5,IF(Tim!JJ27=Sheet6!$C$6,Sheet6!$C$6,IF(Tim!JJ27=Sheet6!$C$7,Sheet6!$C$7,IF(Tim!JJ27=Sheet6!$C$8,Sheet6!$C$8,"")))))))</f>
        <v/>
      </c>
      <c r="DE25" s="54" t="str">
        <f>IF(Tim!JK27=Sheet6!$C$2,Sheet6!$C$2,IF(Tim!JK27=Sheet6!$C$3,Sheet6!$C$3,IF(Tim!JK27=Sheet6!$C$4,Sheet6!$C$4,IF(Tim!JK27=Sheet6!$C$5,Sheet6!$C$5,IF(Tim!JK27=Sheet6!$C$6,Sheet6!$C$6,IF(Tim!JK27=Sheet6!$C$7,Sheet6!$C$7,IF(Tim!JK27=Sheet6!$C$8,Sheet6!$C$8,"")))))))</f>
        <v/>
      </c>
      <c r="DF25" s="54" t="str">
        <f>IF(Tim!JL27=Sheet6!$C$2,Sheet6!$C$2,IF(Tim!JL27=Sheet6!$C$3,Sheet6!$C$3,IF(Tim!JL27=Sheet6!$C$4,Sheet6!$C$4,IF(Tim!JL27=Sheet6!$C$5,Sheet6!$C$5,IF(Tim!JL27=Sheet6!$C$6,Sheet6!$C$6,IF(Tim!JL27=Sheet6!$C$7,Sheet6!$C$7,IF(Tim!JL27=Sheet6!$C$8,Sheet6!$C$8,"")))))))</f>
        <v/>
      </c>
      <c r="DG25" s="55" t="str">
        <f>IF(Tim!JM27=Sheet6!$C$2,Sheet6!$C$2,IF(Tim!JM27=Sheet6!$C$3,Sheet6!$C$3,IF(Tim!JM27=Sheet6!$C$4,Sheet6!$C$4,IF(Tim!JM27=Sheet6!$C$5,Sheet6!$C$5,IF(Tim!JM27=Sheet6!$C$6,Sheet6!$C$6,IF(Tim!JM27=Sheet6!$C$7,Sheet6!$C$7,IF(Tim!JM27=Sheet6!$C$8,Sheet6!$C$8,"")))))))</f>
        <v/>
      </c>
      <c r="DH25" s="57" t="str">
        <f>IF(Tim!JN27=Sheet6!$C$2,Sheet6!$C$2,IF(Tim!JN27=Sheet6!$C$3,Sheet6!$C$3,IF(Tim!JN27=Sheet6!$C$4,Sheet6!$C$4,IF(Tim!JN27=Sheet6!$C$5,Sheet6!$C$5,IF(Tim!JN27=Sheet6!$C$6,Sheet6!$C$6,IF(Tim!JN27=Sheet6!$C$7,Sheet6!$C$7,IF(Tim!JN27=Sheet6!$C$8,Sheet6!$C$8,"")))))))</f>
        <v/>
      </c>
      <c r="DI25" s="57" t="str">
        <f>IF(Tim!JS27=Sheet6!$C$2,Sheet6!$C$2,IF(Tim!JS27=Sheet6!$C$3,Sheet6!$C$3,IF(Tim!JS27=Sheet6!$C$4,Sheet6!$C$4,IF(Tim!JS27=Sheet6!$C$5,Sheet6!$C$5,IF(Tim!JS27=Sheet6!$C$6,Sheet6!$C$6,IF(Tim!JS27=Sheet6!$C$7,Sheet6!$C$7,IF(Tim!JS27=Sheet6!$C$8,Sheet6!$C$8,"")))))))</f>
        <v/>
      </c>
      <c r="DJ25" s="57" t="str">
        <f>IF(Tim!KB27=Sheet6!$C$2,Sheet6!$C$2,IF(Tim!KB27=Sheet6!$C$3,Sheet6!$C$3,IF(Tim!KB27=Sheet6!$C$4,Sheet6!$C$4,IF(Tim!KB27=Sheet6!$C$5,Sheet6!$C$5,IF(Tim!KB27=Sheet6!$C$6,Sheet6!$C$6,IF(Tim!KB27=Sheet6!$C$7,Sheet6!$C$7,IF(Tim!KB27=Sheet6!$C$8,Sheet6!$C$8,"")))))))</f>
        <v/>
      </c>
      <c r="DK25" s="53" t="str">
        <f>IF(Tim!KI27=Sheet6!$C$2,Sheet6!$C$2,IF(Tim!KI27=Sheet6!$C$3,Sheet6!$C$3,IF(Tim!KI27=Sheet6!$C$4,Sheet6!$C$4,IF(Tim!KI27=Sheet6!$C$5,Sheet6!$C$5,IF(Tim!KI27=Sheet6!$C$6,Sheet6!$C$6,IF(Tim!KI27=Sheet6!$C$7,Sheet6!$C$7,IF(Tim!KI27=Sheet6!$C$8,Sheet6!$C$8,"")))))))</f>
        <v/>
      </c>
      <c r="DL25" s="53" t="str">
        <f>IF(Tim!KJ27=Sheet6!$C$2,Sheet6!$C$2,IF(Tim!KJ27=Sheet6!$C$3,Sheet6!$C$3,IF(Tim!KJ27=Sheet6!$C$4,Sheet6!$C$4,IF(Tim!KJ27=Sheet6!$C$5,Sheet6!$C$5,IF(Tim!KJ27=Sheet6!$C$6,Sheet6!$C$6,IF(Tim!KJ27=Sheet6!$C$7,Sheet6!$C$7,IF(Tim!KJ27=Sheet6!$C$8,Sheet6!$C$8,"")))))))</f>
        <v/>
      </c>
      <c r="DM25" s="53" t="str">
        <f>IF(Tim!KR27=Sheet6!$C$2,Sheet6!$C$2,IF(Tim!KR27=Sheet6!$C$3,Sheet6!$C$3,IF(Tim!KR27=Sheet6!$C$4,Sheet6!$C$4,IF(Tim!KR27=Sheet6!$C$5,Sheet6!$C$5,IF(Tim!KR27=Sheet6!$C$6,Sheet6!$C$6,IF(Tim!KR27=Sheet6!$C$7,Sheet6!$C$7,IF(Tim!KR27=Sheet6!$C$8,Sheet6!$C$8,"")))))))</f>
        <v/>
      </c>
      <c r="DN25" s="53" t="str">
        <f>IF(Tim!KS27=Sheet6!$C$2,Sheet6!$C$2,IF(Tim!KS27=Sheet6!$C$3,Sheet6!$C$3,IF(Tim!KS27=Sheet6!$C$4,Sheet6!$C$4,IF(Tim!KS27=Sheet6!$C$5,Sheet6!$C$5,IF(Tim!KS27=Sheet6!$C$6,Sheet6!$C$6,IF(Tim!KS27=Sheet6!$C$7,Sheet6!$C$7,IF(Tim!KS27=Sheet6!$C$8,Sheet6!$C$8,"")))))))</f>
        <v/>
      </c>
      <c r="DO25" s="53" t="str">
        <f>IF(Tim!KT27=Sheet6!$C$2,Sheet6!$C$2,IF(Tim!KT27=Sheet6!$C$3,Sheet6!$C$3,IF(Tim!KT27=Sheet6!$C$4,Sheet6!$C$4,IF(Tim!KT27=Sheet6!$C$5,Sheet6!$C$5,IF(Tim!KT27=Sheet6!$C$6,Sheet6!$C$6,IF(Tim!KT27=Sheet6!$C$7,Sheet6!$C$7,IF(Tim!KT27=Sheet6!$C$8,Sheet6!$C$8,"")))))))</f>
        <v/>
      </c>
      <c r="DP25" s="53" t="str">
        <f>IF(Tim!KU27=Sheet6!$C$2,Sheet6!$C$2,IF(Tim!KU27=Sheet6!$C$3,Sheet6!$C$3,IF(Tim!KU27=Sheet6!$C$4,Sheet6!$C$4,IF(Tim!KU27=Sheet6!$C$5,Sheet6!$C$5,IF(Tim!KU27=Sheet6!$C$6,Sheet6!$C$6,IF(Tim!KU27=Sheet6!$C$7,Sheet6!$C$7,IF(Tim!KU27=Sheet6!$C$8,Sheet6!$C$8,"")))))))</f>
        <v/>
      </c>
      <c r="DQ25" s="53" t="str">
        <f>IF(Tim!KV27=Sheet6!$C$2,Sheet6!$C$2,IF(Tim!KV27=Sheet6!$C$3,Sheet6!$C$3,IF(Tim!KV27=Sheet6!$C$4,Sheet6!$C$4,IF(Tim!KV27=Sheet6!$C$5,Sheet6!$C$5,IF(Tim!KV27=Sheet6!$C$6,Sheet6!$C$6,IF(Tim!KV27=Sheet6!$C$7,Sheet6!$C$7,IF(Tim!KV27=Sheet6!$C$8,Sheet6!$C$8,"")))))))</f>
        <v/>
      </c>
      <c r="DR25" s="53" t="str">
        <f>IF(Tim!KW27=Sheet6!$C$2,Sheet6!$C$2,IF(Tim!KW27=Sheet6!$C$3,Sheet6!$C$3,IF(Tim!KW27=Sheet6!$C$4,Sheet6!$C$4,IF(Tim!KW27=Sheet6!$C$5,Sheet6!$C$5,IF(Tim!KW27=Sheet6!$C$6,Sheet6!$C$6,IF(Tim!KW27=Sheet6!$C$7,Sheet6!$C$7,IF(Tim!KW27=Sheet6!$C$8,Sheet6!$C$8,"")))))))</f>
        <v/>
      </c>
      <c r="DS25" s="53" t="str">
        <f>IF(Tim!LA27=Sheet6!$C$2,Sheet6!$C$2,IF(Tim!LA27=Sheet6!$C$3,Sheet6!$C$3,IF(Tim!LA27=Sheet6!$C$4,Sheet6!$C$4,IF(Tim!LA27=Sheet6!$C$5,Sheet6!$C$5,IF(Tim!LA27=Sheet6!$C$6,Sheet6!$C$6,IF(Tim!LA27=Sheet6!$C$7,Sheet6!$C$7,IF(Tim!LA27=Sheet6!$C$8,Sheet6!$C$8,"")))))))</f>
        <v/>
      </c>
      <c r="DT25" s="54" t="str">
        <f>IF(Tim!LB27=Sheet6!$C$2,Sheet6!$C$2,IF(Tim!LB27=Sheet6!$C$3,Sheet6!$C$3,IF(Tim!LB27=Sheet6!$C$4,Sheet6!$C$4,IF(Tim!LB27=Sheet6!$C$5,Sheet6!$C$5,IF(Tim!LB27=Sheet6!$C$6,Sheet6!$C$6,IF(Tim!LB27=Sheet6!$C$7,Sheet6!$C$7,IF(Tim!LB27=Sheet6!$C$8,Sheet6!$C$8,"")))))))</f>
        <v/>
      </c>
      <c r="DU25" s="54" t="str">
        <f>IF(Tim!LC27=Sheet6!$C$2,Sheet6!$C$2,IF(Tim!LC27=Sheet6!$C$3,Sheet6!$C$3,IF(Tim!LC27=Sheet6!$C$4,Sheet6!$C$4,IF(Tim!LC27=Sheet6!$C$5,Sheet6!$C$5,IF(Tim!LC27=Sheet6!$C$6,Sheet6!$C$6,IF(Tim!LC27=Sheet6!$C$7,Sheet6!$C$7,IF(Tim!LC27=Sheet6!$C$8,Sheet6!$C$8,"")))))))</f>
        <v/>
      </c>
      <c r="DV25" s="54" t="str">
        <f>IF(Tim!LD27=Sheet6!$C$2,Sheet6!$C$2,IF(Tim!LD27=Sheet6!$C$3,Sheet6!$C$3,IF(Tim!LD27=Sheet6!$C$4,Sheet6!$C$4,IF(Tim!LD27=Sheet6!$C$5,Sheet6!$C$5,IF(Tim!LD27=Sheet6!$C$6,Sheet6!$C$6,IF(Tim!LD27=Sheet6!$C$7,Sheet6!$C$7,IF(Tim!LD27=Sheet6!$C$8,Sheet6!$C$8,"")))))))</f>
        <v/>
      </c>
      <c r="DW25" s="55" t="str">
        <f>IF(Tim!LE27=Sheet6!$C$2,Sheet6!$C$2,IF(Tim!LE27=Sheet6!$C$3,Sheet6!$C$3,IF(Tim!LE27=Sheet6!$C$4,Sheet6!$C$4,IF(Tim!LE27=Sheet6!$C$5,Sheet6!$C$5,IF(Tim!LE27=Sheet6!$C$6,Sheet6!$C$6,IF(Tim!LE27=Sheet6!$C$7,Sheet6!$C$7,IF(Tim!LE27=Sheet6!$C$8,Sheet6!$C$8,"")))))))</f>
        <v/>
      </c>
      <c r="DX25" s="52">
        <v>0.5</v>
      </c>
    </row>
    <row r="26" spans="2:128" ht="10.5" customHeight="1">
      <c r="B26" s="51">
        <v>0.25</v>
      </c>
      <c r="C26" s="51">
        <v>0.25</v>
      </c>
      <c r="D26" s="51">
        <v>0.25</v>
      </c>
      <c r="E26" s="52">
        <v>0.51041666666666596</v>
      </c>
      <c r="F26" s="53" t="str">
        <f>IF(Tim!F28=Sheet6!$C$2,Sheet6!$C$2,IF(Tim!F28=Sheet6!$C$3,Sheet6!$C$3,IF(Tim!F28=Sheet6!$C$4,Sheet6!$C$4,IF(Tim!F28=Sheet6!$C$5,Sheet6!$C$5,IF(Tim!F28=Sheet6!$C$6,Sheet6!$C$6,IF(Tim!F28=Sheet6!$C$7,Sheet6!$C$7,IF(Tim!F28=Sheet6!$C$8,Sheet6!$C$8,"")))))))</f>
        <v/>
      </c>
      <c r="G26" s="53" t="str">
        <f>IF(Tim!G28=Sheet6!$C$2,Sheet6!$C$2,IF(Tim!G28=Sheet6!$C$3,Sheet6!$C$3,IF(Tim!G28=Sheet6!$C$4,Sheet6!$C$4,IF(Tim!G28=Sheet6!$C$5,Sheet6!$C$5,IF(Tim!G28=Sheet6!$C$6,Sheet6!$C$6,IF(Tim!G28=Sheet6!$C$7,Sheet6!$C$7,IF(Tim!G28=Sheet6!$C$8,Sheet6!$C$8,"")))))))</f>
        <v/>
      </c>
      <c r="H26" s="53" t="str">
        <f>IF(Tim!H28=Sheet6!$C$2,Sheet6!$C$2,IF(Tim!H28=Sheet6!$C$3,Sheet6!$C$3,IF(Tim!H28=Sheet6!$C$4,Sheet6!$C$4,IF(Tim!H28=Sheet6!$C$5,Sheet6!$C$5,IF(Tim!H28=Sheet6!$C$6,Sheet6!$C$6,IF(Tim!H28=Sheet6!$C$7,Sheet6!$C$7,IF(Tim!H28=Sheet6!$C$8,Sheet6!$C$8,"")))))))</f>
        <v/>
      </c>
      <c r="I26" s="53" t="str">
        <f>IF(Tim!L28=Sheet6!$C$2,Sheet6!$C$2,IF(Tim!L28=Sheet6!$C$3,Sheet6!$C$3,IF(Tim!L28=Sheet6!$C$4,Sheet6!$C$4,IF(Tim!L28=Sheet6!$C$5,Sheet6!$C$5,IF(Tim!L28=Sheet6!$C$6,Sheet6!$C$6,IF(Tim!L28=Sheet6!$C$7,Sheet6!$C$7,IF(Tim!L28=Sheet6!$C$8,Sheet6!$C$8,"")))))))</f>
        <v/>
      </c>
      <c r="J26" s="53" t="str">
        <f>IF(Tim!T28=Sheet6!$C$2,Sheet6!$C$2,IF(Tim!T28=Sheet6!$C$3,Sheet6!$C$3,IF(Tim!T28=Sheet6!$C$4,Sheet6!$C$4,IF(Tim!T28=Sheet6!$C$5,Sheet6!$C$5,IF(Tim!T28=Sheet6!$C$6,Sheet6!$C$6,IF(Tim!T28=Sheet6!$C$7,Sheet6!$C$7,IF(Tim!T28=Sheet6!$C$8,Sheet6!$C$8,"")))))))</f>
        <v/>
      </c>
      <c r="K26" s="53" t="str">
        <f>IF(Tim!AB28=Sheet6!$C$2,Sheet6!$C$2,IF(Tim!AB28=Sheet6!$C$3,Sheet6!$C$3,IF(Tim!AB28=Sheet6!$C$4,Sheet6!$C$4,IF(Tim!AB28=Sheet6!$C$5,Sheet6!$C$5,IF(Tim!AB28=Sheet6!$C$6,Sheet6!$C$6,IF(Tim!AB28=Sheet6!$C$7,Sheet6!$C$7,IF(Tim!AB28=Sheet6!$C$8,Sheet6!$C$8,"")))))))</f>
        <v/>
      </c>
      <c r="L26" s="181" t="str">
        <f>IF(Tim!AC28=Sheet6!$C$2,Sheet6!$C$2,IF(Tim!AC28=Sheet6!$C$3,Sheet6!$C$3,IF(Tim!AC28=Sheet6!$C$4,Sheet6!$C$4,IF(Tim!AC28=Sheet6!$C$5,Sheet6!$C$5,IF(Tim!AC28=Sheet6!$C$6,Sheet6!$C$6,IF(Tim!AC28=Sheet6!$C$7,Sheet6!$C$7,IF(Tim!AC28=Sheet6!$C$8,Sheet6!$C$8,"")))))))</f>
        <v/>
      </c>
      <c r="M26" s="53" t="str">
        <f>IF(Tim!AJ28=Sheet6!$C$2,Sheet6!$C$2,IF(Tim!AJ28=Sheet6!$C$3,Sheet6!$C$3,IF(Tim!AJ28=Sheet6!$C$4,Sheet6!$C$4,IF(Tim!AJ28=Sheet6!$C$5,Sheet6!$C$5,IF(Tim!AJ28=Sheet6!$C$6,Sheet6!$C$6,IF(Tim!AJ28=Sheet6!$C$7,Sheet6!$C$7,IF(Tim!AJ28=Sheet6!$C$8,Sheet6!$C$8,"")))))))</f>
        <v/>
      </c>
      <c r="N26" s="53" t="str">
        <f>IF(Tim!AK28=Sheet6!$C$2,Sheet6!$C$2,IF(Tim!AK28=Sheet6!$C$3,Sheet6!$C$3,IF(Tim!AK28=Sheet6!$C$4,Sheet6!$C$4,IF(Tim!AK28=Sheet6!$C$5,Sheet6!$C$5,IF(Tim!AK28=Sheet6!$C$6,Sheet6!$C$6,IF(Tim!AK28=Sheet6!$C$7,Sheet6!$C$7,IF(Tim!AK28=Sheet6!$C$8,Sheet6!$C$8,"")))))))</f>
        <v/>
      </c>
      <c r="O26" s="53" t="str">
        <f>IF(Tim!AL28=Sheet6!$C$2,Sheet6!$C$2,IF(Tim!AL28=Sheet6!$C$3,Sheet6!$C$3,IF(Tim!AL28=Sheet6!$C$4,Sheet6!$C$4,IF(Tim!AL28=Sheet6!$C$5,Sheet6!$C$5,IF(Tim!AL28=Sheet6!$C$6,Sheet6!$C$6,IF(Tim!AL28=Sheet6!$C$7,Sheet6!$C$7,IF(Tim!AL28=Sheet6!$C$8,Sheet6!$C$8,"")))))))</f>
        <v/>
      </c>
      <c r="P26" s="53" t="str">
        <f>IF(Tim!AN28=Sheet6!$C$2,Sheet6!$C$2,IF(Tim!AN28=Sheet6!$C$3,Sheet6!$C$3,IF(Tim!AN28=Sheet6!$C$4,Sheet6!$C$4,IF(Tim!AN28=Sheet6!$C$5,Sheet6!$C$5,IF(Tim!AN28=Sheet6!$C$6,Sheet6!$C$6,IF(Tim!AN28=Sheet6!$C$7,Sheet6!$C$7,IF(Tim!AN28=Sheet6!$C$8,Sheet6!$C$8,"")))))))</f>
        <v/>
      </c>
      <c r="Q26" s="53" t="str">
        <f>IF(Tim!AO28=Sheet6!$C$2,Sheet6!$C$2,IF(Tim!AO28=Sheet6!$C$3,Sheet6!$C$3,IF(Tim!AO28=Sheet6!$C$4,Sheet6!$C$4,IF(Tim!AO28=Sheet6!$C$5,Sheet6!$C$5,IF(Tim!AO28=Sheet6!$C$6,Sheet6!$C$6,IF(Tim!AO28=Sheet6!$C$7,Sheet6!$C$7,IF(Tim!AO28=Sheet6!$C$8,Sheet6!$C$8,"")))))))</f>
        <v/>
      </c>
      <c r="R26" s="53" t="str">
        <f>IF(Tim!AP28=Sheet6!$C$2,Sheet6!$C$2,IF(Tim!AP28=Sheet6!$C$3,Sheet6!$C$3,IF(Tim!AP28=Sheet6!$C$4,Sheet6!$C$4,IF(Tim!AP28=Sheet6!$C$5,Sheet6!$C$5,IF(Tim!AP28=Sheet6!$C$6,Sheet6!$C$6,IF(Tim!AP28=Sheet6!$C$7,Sheet6!$C$7,IF(Tim!AP28=Sheet6!$C$8,Sheet6!$C$8,"")))))))</f>
        <v/>
      </c>
      <c r="S26" s="53" t="str">
        <f>IF(Tim!AT28=Sheet6!$C$2,Sheet6!$C$2,IF(Tim!AT28=Sheet6!$C$3,Sheet6!$C$3,IF(Tim!AT28=Sheet6!$C$4,Sheet6!$C$4,IF(Tim!AT28=Sheet6!$C$5,Sheet6!$C$5,IF(Tim!AT28=Sheet6!$C$6,Sheet6!$C$6,IF(Tim!AT28=Sheet6!$C$7,Sheet6!$C$7,IF(Tim!AT28=Sheet6!$C$8,Sheet6!$C$8,"")))))))</f>
        <v/>
      </c>
      <c r="T26" s="54" t="str">
        <f>IF(Tim!AU28=Sheet6!$C$2,Sheet6!$C$2,IF(Tim!AU28=Sheet6!$C$3,Sheet6!$C$3,IF(Tim!AU28=Sheet6!$C$4,Sheet6!$C$4,IF(Tim!AU28=Sheet6!$C$5,Sheet6!$C$5,IF(Tim!AU28=Sheet6!$C$6,Sheet6!$C$6,IF(Tim!AU28=Sheet6!$C$7,Sheet6!$C$7,IF(Tim!AU28=Sheet6!$C$8,Sheet6!$C$8,"")))))))</f>
        <v/>
      </c>
      <c r="U26" s="54" t="str">
        <f>IF(Tim!AV28=Sheet6!$C$2,Sheet6!$C$2,IF(Tim!AV28=Sheet6!$C$3,Sheet6!$C$3,IF(Tim!AV28=Sheet6!$C$4,Sheet6!$C$4,IF(Tim!AV28=Sheet6!$C$5,Sheet6!$C$5,IF(Tim!AV28=Sheet6!$C$6,Sheet6!$C$6,IF(Tim!AV28=Sheet6!$C$7,Sheet6!$C$7,IF(Tim!AV28=Sheet6!$C$8,Sheet6!$C$8,"")))))))</f>
        <v/>
      </c>
      <c r="V26" s="54" t="str">
        <f>IF(Tim!AW28=Sheet6!$C$2,Sheet6!$C$2,IF(Tim!AW28=Sheet6!$C$3,Sheet6!$C$3,IF(Tim!AW28=Sheet6!$C$4,Sheet6!$C$4,IF(Tim!AW28=Sheet6!$C$5,Sheet6!$C$5,IF(Tim!AW28=Sheet6!$C$6,Sheet6!$C$6,IF(Tim!AW28=Sheet6!$C$7,Sheet6!$C$7,IF(Tim!AW28=Sheet6!$C$8,Sheet6!$C$8,"")))))))</f>
        <v/>
      </c>
      <c r="W26" s="55" t="str">
        <f>IF(Tim!AX28=Sheet6!$C$2,Sheet6!$C$2,IF(Tim!AX28=Sheet6!$C$3,Sheet6!$C$3,IF(Tim!AX28=Sheet6!$C$4,Sheet6!$C$4,IF(Tim!AX28=Sheet6!$C$5,Sheet6!$C$5,IF(Tim!AX28=Sheet6!$C$6,Sheet6!$C$6,IF(Tim!AX28=Sheet6!$C$7,Sheet6!$C$7,IF(Tim!AX28=Sheet6!$C$8,Sheet6!$C$8,"")))))))</f>
        <v/>
      </c>
      <c r="X26" s="53" t="str">
        <f>IF(Tim!AY28=Sheet6!$C$2,Sheet6!$C$2,IF(Tim!AY28=Sheet6!$C$3,Sheet6!$C$3,IF(Tim!AY28=Sheet6!$C$4,Sheet6!$C$4,IF(Tim!AY28=Sheet6!$C$5,Sheet6!$C$5,IF(Tim!AY28=Sheet6!$C$6,Sheet6!$C$6,IF(Tim!AY28=Sheet6!$C$7,Sheet6!$C$7,IF(Tim!AY28=Sheet6!$C$8,Sheet6!$C$8,"")))))))</f>
        <v/>
      </c>
      <c r="Y26" s="53" t="str">
        <f>IF(Tim!AZ28=Sheet6!$C$2,Sheet6!$C$2,IF(Tim!AZ28=Sheet6!$C$3,Sheet6!$C$3,IF(Tim!AZ28=Sheet6!$C$4,Sheet6!$C$4,IF(Tim!AZ28=Sheet6!$C$5,Sheet6!$C$5,IF(Tim!AZ28=Sheet6!$C$6,Sheet6!$C$6,IF(Tim!AZ28=Sheet6!$C$7,Sheet6!$C$7,IF(Tim!AZ28=Sheet6!$C$8,Sheet6!$C$8,"")))))))</f>
        <v/>
      </c>
      <c r="Z26" s="57" t="str">
        <f>IF(Tim!BD28=Sheet6!$C$2,Sheet6!$C$2,IF(Tim!BD28=Sheet6!$C$3,Sheet6!$C$3,IF(Tim!BD28=Sheet6!$C$4,Sheet6!$C$4,IF(Tim!BD28=Sheet6!$C$5,Sheet6!$C$5,IF(Tim!BD28=Sheet6!$C$6,Sheet6!$C$6,IF(Tim!BD28=Sheet6!$C$7,Sheet6!$C$7,IF(Tim!BD28=Sheet6!$C$8,Sheet6!$C$8,"")))))))</f>
        <v/>
      </c>
      <c r="AA26" s="53" t="str">
        <f>IF(Tim!BE28=Sheet6!$C$2,Sheet6!$C$2,IF(Tim!BE28=Sheet6!$C$3,Sheet6!$C$3,IF(Tim!BE28=Sheet6!$C$4,Sheet6!$C$4,IF(Tim!BE28=Sheet6!$C$5,Sheet6!$C$5,IF(Tim!BE28=Sheet6!$C$6,Sheet6!$C$6,IF(Tim!BE28=Sheet6!$C$7,Sheet6!$C$7,IF(Tim!BE28=Sheet6!$C$8,Sheet6!$C$8,"")))))))</f>
        <v/>
      </c>
      <c r="AB26" s="53" t="str">
        <f>IF(Tim!BL28=Sheet6!$C$2,Sheet6!$C$2,IF(Tim!BL28=Sheet6!$C$3,Sheet6!$C$3,IF(Tim!BL28=Sheet6!$C$4,Sheet6!$C$4,IF(Tim!BL28=Sheet6!$C$5,Sheet6!$C$5,IF(Tim!BL28=Sheet6!$C$6,Sheet6!$C$6,IF(Tim!BL28=Sheet6!$C$7,Sheet6!$C$7,IF(Tim!BL28=Sheet6!$C$8,Sheet6!$C$8,"")))))))</f>
        <v/>
      </c>
      <c r="AC26" s="53" t="str">
        <f>IF(Tim!BT28=Sheet6!$C$2,Sheet6!$C$2,IF(Tim!BT28=Sheet6!$C$3,Sheet6!$C$3,IF(Tim!BT28=Sheet6!$C$4,Sheet6!$C$4,IF(Tim!BT28=Sheet6!$C$5,Sheet6!$C$5,IF(Tim!BT28=Sheet6!$C$6,Sheet6!$C$6,IF(Tim!BT28=Sheet6!$C$7,Sheet6!$C$7,IF(Tim!BT28=Sheet6!$C$8,Sheet6!$C$8,"")))))))</f>
        <v/>
      </c>
      <c r="AD26" s="181" t="str">
        <f>IF(Tim!BU28=Sheet6!$C$2,Sheet6!$C$2,IF(Tim!BU28=Sheet6!$C$3,Sheet6!$C$3,IF(Tim!BU28=Sheet6!$C$4,Sheet6!$C$4,IF(Tim!BU28=Sheet6!$C$5,Sheet6!$C$5,IF(Tim!BU28=Sheet6!$C$6,Sheet6!$C$6,IF(Tim!BU28=Sheet6!$C$7,Sheet6!$C$7,IF(Tim!BU28=Sheet6!$C$8,Sheet6!$C$8,"")))))))</f>
        <v/>
      </c>
      <c r="AE26" s="181" t="str">
        <f>IF(Tim!CB28=Sheet6!$C$2,Sheet6!$C$2,IF(Tim!CB28=Sheet6!$C$3,Sheet6!$C$3,IF(Tim!CB28=Sheet6!$C$4,Sheet6!$C$4,IF(Tim!CB28=Sheet6!$C$5,Sheet6!$C$5,IF(Tim!CB28=Sheet6!$C$6,Sheet6!$C$6,IF(Tim!CB28=Sheet6!$C$7,Sheet6!$C$7,IF(Tim!CB28=Sheet6!$C$8,Sheet6!$C$8,"")))))))</f>
        <v/>
      </c>
      <c r="AF26" s="181" t="str">
        <f>IF(Tim!CD28=Sheet6!$C$2,Sheet6!$C$2,IF(Tim!CD28=Sheet6!$C$3,Sheet6!$C$3,IF(Tim!CD28=Sheet6!$C$4,Sheet6!$C$4,IF(Tim!CD28=Sheet6!$C$5,Sheet6!$C$5,IF(Tim!CD28=Sheet6!$C$6,Sheet6!$C$6,IF(Tim!CD28=Sheet6!$C$7,Sheet6!$C$7,IF(Tim!CD28=Sheet6!$C$8,Sheet6!$C$8,"")))))))</f>
        <v/>
      </c>
      <c r="AG26" s="53" t="str">
        <f>IF(Tim!CE28=Sheet6!$C$2,Sheet6!$C$2,IF(Tim!CE28=Sheet6!$C$3,Sheet6!$C$3,IF(Tim!CE28=Sheet6!$C$4,Sheet6!$C$4,IF(Tim!CE28=Sheet6!$C$5,Sheet6!$C$5,IF(Tim!CE28=Sheet6!$C$6,Sheet6!$C$6,IF(Tim!CE28=Sheet6!$C$7,Sheet6!$C$7,IF(Tim!CE28=Sheet6!$C$8,Sheet6!$C$8,"")))))))</f>
        <v/>
      </c>
      <c r="AH26" s="53" t="str">
        <f>IF(Tim!CF28=Sheet6!$C$2,Sheet6!$C$2,IF(Tim!CF28=Sheet6!$C$3,Sheet6!$C$3,IF(Tim!CF28=Sheet6!$C$4,Sheet6!$C$4,IF(Tim!CF28=Sheet6!$C$5,Sheet6!$C$5,IF(Tim!CF28=Sheet6!$C$6,Sheet6!$C$6,IF(Tim!CF28=Sheet6!$C$7,Sheet6!$C$7,IF(Tim!CF28=Sheet6!$C$8,Sheet6!$C$8,"")))))))</f>
        <v/>
      </c>
      <c r="AI26" s="176" t="str">
        <f>IF(Tim!CG28=Sheet6!$C$2,Sheet6!$C$2,IF(Tim!CG28=Sheet6!$C$3,Sheet6!$C$3,IF(Tim!CG28=Sheet6!$C$4,Sheet6!$C$4,IF(Tim!CG28=Sheet6!$C$5,Sheet6!$C$5,IF(Tim!CG28=Sheet6!$C$6,Sheet6!$C$6,IF(Tim!CG28=Sheet6!$C$7,Sheet6!$C$7,IF(Tim!CG28=Sheet6!$C$8,Sheet6!$C$8,"")))))))</f>
        <v/>
      </c>
      <c r="AJ26" s="53" t="str">
        <f>IF(Tim!CH28=Sheet6!$C$2,Sheet6!$C$2,IF(Tim!CH28=Sheet6!$C$3,Sheet6!$C$3,IF(Tim!CH28=Sheet6!$C$4,Sheet6!$C$4,IF(Tim!CH28=Sheet6!$C$5,Sheet6!$C$5,IF(Tim!CH28=Sheet6!$C$6,Sheet6!$C$6,IF(Tim!CH28=Sheet6!$C$7,Sheet6!$C$7,IF(Tim!CH28=Sheet6!$C$8,Sheet6!$C$8,"")))))))</f>
        <v/>
      </c>
      <c r="AK26" s="53" t="str">
        <f>IF(Tim!CL28=Sheet6!$C$2,Sheet6!$C$2,IF(Tim!CL28=Sheet6!$C$3,Sheet6!$C$3,IF(Tim!CL28=Sheet6!$C$4,Sheet6!$C$4,IF(Tim!CL28=Sheet6!$C$5,Sheet6!$C$5,IF(Tim!CL28=Sheet6!$C$6,Sheet6!$C$6,IF(Tim!CL28=Sheet6!$C$7,Sheet6!$C$7,IF(Tim!CL28=Sheet6!$C$8,Sheet6!$C$8,"")))))))</f>
        <v/>
      </c>
      <c r="AL26" s="54" t="str">
        <f>IF(Tim!CM28=Sheet6!$C$2,Sheet6!$C$2,IF(Tim!CM28=Sheet6!$C$3,Sheet6!$C$3,IF(Tim!CM28=Sheet6!$C$4,Sheet6!$C$4,IF(Tim!CM28=Sheet6!$C$5,Sheet6!$C$5,IF(Tim!CM28=Sheet6!$C$6,Sheet6!$C$6,IF(Tim!CM28=Sheet6!$C$7,Sheet6!$C$7,IF(Tim!CM28=Sheet6!$C$8,Sheet6!$C$8,"")))))))</f>
        <v/>
      </c>
      <c r="AM26" s="54" t="str">
        <f>IF(Tim!CN28=Sheet6!$C$2,Sheet6!$C$2,IF(Tim!CN28=Sheet6!$C$3,Sheet6!$C$3,IF(Tim!CN28=Sheet6!$C$4,Sheet6!$C$4,IF(Tim!CN28=Sheet6!$C$5,Sheet6!$C$5,IF(Tim!CN28=Sheet6!$C$6,Sheet6!$C$6,IF(Tim!CN28=Sheet6!$C$7,Sheet6!$C$7,IF(Tim!CN28=Sheet6!$C$8,Sheet6!$C$8,"")))))))</f>
        <v/>
      </c>
      <c r="AN26" s="54" t="str">
        <f>IF(Tim!CO28=Sheet6!$C$2,Sheet6!$C$2,IF(Tim!CO28=Sheet6!$C$3,Sheet6!$C$3,IF(Tim!CO28=Sheet6!$C$4,Sheet6!$C$4,IF(Tim!CO28=Sheet6!$C$5,Sheet6!$C$5,IF(Tim!CO28=Sheet6!$C$6,Sheet6!$C$6,IF(Tim!CO28=Sheet6!$C$7,Sheet6!$C$7,IF(Tim!CO28=Sheet6!$C$8,Sheet6!$C$8,"")))))))</f>
        <v/>
      </c>
      <c r="AO26" s="55" t="str">
        <f>IF(Tim!CP28=Sheet6!$C$2,Sheet6!$C$2,IF(Tim!CP28=Sheet6!$C$3,Sheet6!$C$3,IF(Tim!CP28=Sheet6!$C$4,Sheet6!$C$4,IF(Tim!CP28=Sheet6!$C$5,Sheet6!$C$5,IF(Tim!CP28=Sheet6!$C$6,Sheet6!$C$6,IF(Tim!CP28=Sheet6!$C$7,Sheet6!$C$7,IF(Tim!CP28=Sheet6!$C$8,Sheet6!$C$8,"")))))))</f>
        <v/>
      </c>
      <c r="AP26" s="53" t="str">
        <f>IF(Tim!CQ28=Sheet6!$C$2,Sheet6!$C$2,IF(Tim!CQ28=Sheet6!$C$3,Sheet6!$C$3,IF(Tim!CQ28=Sheet6!$C$4,Sheet6!$C$4,IF(Tim!CQ28=Sheet6!$C$5,Sheet6!$C$5,IF(Tim!CQ28=Sheet6!$C$6,Sheet6!$C$6,IF(Tim!CQ28=Sheet6!$C$7,Sheet6!$C$7,IF(Tim!CQ28=Sheet6!$C$8,Sheet6!$C$8,"")))))))</f>
        <v/>
      </c>
      <c r="AQ26" s="53" t="str">
        <f>IF(Tim!CR28=Sheet6!$C$2,Sheet6!$C$2,IF(Tim!CR28=Sheet6!$C$3,Sheet6!$C$3,IF(Tim!CR28=Sheet6!$C$4,Sheet6!$C$4,IF(Tim!CR28=Sheet6!$C$5,Sheet6!$C$5,IF(Tim!CR28=Sheet6!$C$6,Sheet6!$C$6,IF(Tim!CR28=Sheet6!$C$7,Sheet6!$C$7,IF(Tim!CR28=Sheet6!$C$8,Sheet6!$C$8,"")))))))</f>
        <v/>
      </c>
      <c r="AR26" s="57" t="str">
        <f>IF(Tim!CV28=Sheet6!$C$2,Sheet6!$C$2,IF(Tim!CV28=Sheet6!$C$3,Sheet6!$C$3,IF(Tim!CV28=Sheet6!$C$4,Sheet6!$C$4,IF(Tim!CV28=Sheet6!$C$5,Sheet6!$C$5,IF(Tim!CV28=Sheet6!$C$6,Sheet6!$C$6,IF(Tim!CV28=Sheet6!$C$7,Sheet6!$C$7,IF(Tim!CV28=Sheet6!$C$8,Sheet6!$C$8,"")))))))</f>
        <v/>
      </c>
      <c r="AS26" s="57" t="str">
        <f>IF(Tim!CW28=Sheet6!$C$2,Sheet6!$C$2,IF(Tim!CW28=Sheet6!$C$3,Sheet6!$C$3,IF(Tim!CW28=Sheet6!$C$4,Sheet6!$C$4,IF(Tim!CW28=Sheet6!$C$5,Sheet6!$C$5,IF(Tim!CW28=Sheet6!$C$6,Sheet6!$C$6,IF(Tim!CW28=Sheet6!$C$7,Sheet6!$C$7,IF(Tim!CW28=Sheet6!$C$8,Sheet6!$C$8,"")))))))</f>
        <v/>
      </c>
      <c r="AT26" s="57" t="str">
        <f>IF(Tim!DA28=Sheet6!$C$2,Sheet6!$C$2,IF(Tim!DA28=Sheet6!$C$3,Sheet6!$C$3,IF(Tim!DA28=Sheet6!$C$4,Sheet6!$C$4,IF(Tim!DA28=Sheet6!$C$5,Sheet6!$C$5,IF(Tim!DA28=Sheet6!$C$6,Sheet6!$C$6,IF(Tim!DA28=Sheet6!$C$7,Sheet6!$C$7,IF(Tim!DA28=Sheet6!$C$8,Sheet6!$C$8,"")))))))</f>
        <v/>
      </c>
      <c r="AU26" s="53" t="str">
        <f>IF(Tim!DO28=Sheet6!$C$2,Sheet6!$C$2,IF(Tim!DO28=Sheet6!$C$3,Sheet6!$C$3,IF(Tim!DO28=Sheet6!$C$4,Sheet6!$C$4,IF(Tim!DO28=Sheet6!$C$5,Sheet6!$C$5,IF(Tim!DO28=Sheet6!$C$6,Sheet6!$C$6,IF(Tim!DO28=Sheet6!$C$7,Sheet6!$C$7,IF(Tim!DO28=Sheet6!$C$8,Sheet6!$C$8,"")))))))</f>
        <v/>
      </c>
      <c r="AV26" s="181" t="str">
        <f>IF(Tim!DP28=Sheet6!$C$2,Sheet6!$C$2,IF(Tim!DP28=Sheet6!$C$3,Sheet6!$C$3,IF(Tim!DP28=Sheet6!$C$4,Sheet6!$C$4,IF(Tim!DP28=Sheet6!$C$5,Sheet6!$C$5,IF(Tim!DP28=Sheet6!$C$6,Sheet6!$C$6,IF(Tim!DP28=Sheet6!$C$7,Sheet6!$C$7,IF(Tim!DP28=Sheet6!$C$8,Sheet6!$C$8,"")))))))</f>
        <v/>
      </c>
      <c r="AW26" s="181" t="str">
        <f>IF(Tim!DX28=Sheet6!$C$2,Sheet6!$C$2,IF(Tim!DX28=Sheet6!$C$3,Sheet6!$C$3,IF(Tim!DX28=Sheet6!$C$4,Sheet6!$C$4,IF(Tim!DX28=Sheet6!$C$5,Sheet6!$C$5,IF(Tim!DX28=Sheet6!$C$6,Sheet6!$C$6,IF(Tim!DX28=Sheet6!$C$7,Sheet6!$C$7,IF(Tim!DX28=Sheet6!$C$8,Sheet6!$C$8,"")))))))</f>
        <v/>
      </c>
      <c r="AX26" s="181" t="str">
        <f>IF(Tim!DY28=Sheet6!$C$2,Sheet6!$C$2,IF(Tim!DY28=Sheet6!$C$3,Sheet6!$C$3,IF(Tim!DY28=Sheet6!$C$4,Sheet6!$C$4,IF(Tim!DY28=Sheet6!$C$5,Sheet6!$C$5,IF(Tim!DY28=Sheet6!$C$6,Sheet6!$C$6,IF(Tim!DY28=Sheet6!$C$7,Sheet6!$C$7,IF(Tim!DY28=Sheet6!$C$8,Sheet6!$C$8,"")))))))</f>
        <v/>
      </c>
      <c r="AY26" s="53" t="str">
        <f>IF(Tim!DZ28=Sheet6!$C$2,Sheet6!$C$2,IF(Tim!DZ28=Sheet6!$C$3,Sheet6!$C$3,IF(Tim!DZ28=Sheet6!$C$4,Sheet6!$C$4,IF(Tim!DZ28=Sheet6!$C$5,Sheet6!$C$5,IF(Tim!DZ28=Sheet6!$C$6,Sheet6!$C$6,IF(Tim!DZ28=Sheet6!$C$7,Sheet6!$C$7,IF(Tim!DZ28=Sheet6!$C$8,Sheet6!$C$8,"")))))))</f>
        <v/>
      </c>
      <c r="AZ26" s="53" t="str">
        <f>IF(Tim!EA28=Sheet6!$C$2,Sheet6!$C$2,IF(Tim!EA28=Sheet6!$C$3,Sheet6!$C$3,IF(Tim!EA28=Sheet6!$C$4,Sheet6!$C$4,IF(Tim!EA28=Sheet6!$C$5,Sheet6!$C$5,IF(Tim!EA28=Sheet6!$C$6,Sheet6!$C$6,IF(Tim!EA28=Sheet6!$C$7,Sheet6!$C$7,IF(Tim!EA28=Sheet6!$C$8,Sheet6!$C$8,"")))))))</f>
        <v/>
      </c>
      <c r="BA26" s="176" t="str">
        <f>IF(Tim!EB28=Sheet6!$C$2,Sheet6!$C$2,IF(Tim!EB28=Sheet6!$C$3,Sheet6!$C$3,IF(Tim!EB28=Sheet6!$C$4,Sheet6!$C$4,IF(Tim!EB28=Sheet6!$C$5,Sheet6!$C$5,IF(Tim!EB28=Sheet6!$C$6,Sheet6!$C$6,IF(Tim!EB28=Sheet6!$C$7,Sheet6!$C$7,IF(Tim!EB28=Sheet6!$C$8,Sheet6!$C$8,"")))))))</f>
        <v/>
      </c>
      <c r="BB26" s="53" t="str">
        <f>IF(Tim!EC28=Sheet6!$C$2,Sheet6!$C$2,IF(Tim!EC28=Sheet6!$C$3,Sheet6!$C$3,IF(Tim!EC28=Sheet6!$C$4,Sheet6!$C$4,IF(Tim!EC28=Sheet6!$C$5,Sheet6!$C$5,IF(Tim!EC28=Sheet6!$C$6,Sheet6!$C$6,IF(Tim!EC28=Sheet6!$C$7,Sheet6!$C$7,IF(Tim!EC28=Sheet6!$C$8,Sheet6!$C$8,"")))))))</f>
        <v/>
      </c>
      <c r="BC26" s="53" t="str">
        <f>IF(Tim!EG28=Sheet6!$C$2,Sheet6!$C$2,IF(Tim!EG28=Sheet6!$C$3,Sheet6!$C$3,IF(Tim!EG28=Sheet6!$C$4,Sheet6!$C$4,IF(Tim!EG28=Sheet6!$C$5,Sheet6!$C$5,IF(Tim!EG28=Sheet6!$C$6,Sheet6!$C$6,IF(Tim!EG28=Sheet6!$C$7,Sheet6!$C$7,IF(Tim!EG28=Sheet6!$C$8,Sheet6!$C$8,"")))))))</f>
        <v/>
      </c>
      <c r="BD26" s="54" t="str">
        <f>IF(Tim!EH28=Sheet6!$C$2,Sheet6!$C$2,IF(Tim!EH28=Sheet6!$C$3,Sheet6!$C$3,IF(Tim!EH28=Sheet6!$C$4,Sheet6!$C$4,IF(Tim!EH28=Sheet6!$C$5,Sheet6!$C$5,IF(Tim!EH28=Sheet6!$C$6,Sheet6!$C$6,IF(Tim!EH28=Sheet6!$C$7,Sheet6!$C$7,IF(Tim!EH28=Sheet6!$C$8,Sheet6!$C$8,"")))))))</f>
        <v/>
      </c>
      <c r="BE26" s="54" t="str">
        <f>IF(Tim!EI28=Sheet6!$C$2,Sheet6!$C$2,IF(Tim!EI28=Sheet6!$C$3,Sheet6!$C$3,IF(Tim!EI28=Sheet6!$C$4,Sheet6!$C$4,IF(Tim!EI28=Sheet6!$C$5,Sheet6!$C$5,IF(Tim!EI28=Sheet6!$C$6,Sheet6!$C$6,IF(Tim!EI28=Sheet6!$C$7,Sheet6!$C$7,IF(Tim!EI28=Sheet6!$C$8,Sheet6!$C$8,"")))))))</f>
        <v/>
      </c>
      <c r="BF26" s="54" t="str">
        <f>IF(Tim!EJ28=Sheet6!$C$2,Sheet6!$C$2,IF(Tim!EJ28=Sheet6!$C$3,Sheet6!$C$3,IF(Tim!EJ28=Sheet6!$C$4,Sheet6!$C$4,IF(Tim!EJ28=Sheet6!$C$5,Sheet6!$C$5,IF(Tim!EJ28=Sheet6!$C$6,Sheet6!$C$6,IF(Tim!EJ28=Sheet6!$C$7,Sheet6!$C$7,IF(Tim!EJ28=Sheet6!$C$8,Sheet6!$C$8,"")))))))</f>
        <v/>
      </c>
      <c r="BG26" s="55" t="str">
        <f>IF(Tim!EK28=Sheet6!$C$2,Sheet6!$C$2,IF(Tim!EK28=Sheet6!$C$3,Sheet6!$C$3,IF(Tim!EK28=Sheet6!$C$4,Sheet6!$C$4,IF(Tim!EK28=Sheet6!$C$5,Sheet6!$C$5,IF(Tim!EK28=Sheet6!$C$6,Sheet6!$C$6,IF(Tim!EK28=Sheet6!$C$7,Sheet6!$C$7,IF(Tim!EK28=Sheet6!$C$8,Sheet6!$C$8,"")))))))</f>
        <v/>
      </c>
      <c r="BH26" s="53" t="str">
        <f>IF(Tim!EL28=Sheet6!$C$2,Sheet6!$C$2,IF(Tim!EL28=Sheet6!$C$3,Sheet6!$C$3,IF(Tim!EL28=Sheet6!$C$4,Sheet6!$C$4,IF(Tim!EL28=Sheet6!$C$5,Sheet6!$C$5,IF(Tim!EL28=Sheet6!$C$6,Sheet6!$C$6,IF(Tim!EL28=Sheet6!$C$7,Sheet6!$C$7,IF(Tim!EL28=Sheet6!$C$8,Sheet6!$C$8,"")))))))</f>
        <v/>
      </c>
      <c r="BI26" s="57" t="str">
        <f>IF(Tim!EM28=Sheet6!$C$2,Sheet6!$C$2,IF(Tim!EM28=Sheet6!$C$3,Sheet6!$C$3,IF(Tim!EM28=Sheet6!$C$4,Sheet6!$C$4,IF(Tim!EM28=Sheet6!$C$5,Sheet6!$C$5,IF(Tim!EM28=Sheet6!$C$6,Sheet6!$C$6,IF(Tim!EM28=Sheet6!$C$7,Sheet6!$C$7,IF(Tim!EM28=Sheet6!$C$8,Sheet6!$C$8,"")))))))</f>
        <v/>
      </c>
      <c r="BJ26" s="57" t="str">
        <f>IF(Tim!EQ28=Sheet6!$C$2,Sheet6!$C$2,IF(Tim!EQ28=Sheet6!$C$3,Sheet6!$C$3,IF(Tim!EQ28=Sheet6!$C$4,Sheet6!$C$4,IF(Tim!EQ28=Sheet6!$C$5,Sheet6!$C$5,IF(Tim!EQ28=Sheet6!$C$6,Sheet6!$C$6,IF(Tim!EQ28=Sheet6!$C$7,Sheet6!$C$7,IF(Tim!EQ28=Sheet6!$C$8,Sheet6!$C$8,"")))))))</f>
        <v/>
      </c>
      <c r="BK26" s="57" t="str">
        <f>IF(Tim!ER28=Sheet6!$C$2,Sheet6!$C$2,IF(Tim!ER28=Sheet6!$C$3,Sheet6!$C$3,IF(Tim!ER28=Sheet6!$C$4,Sheet6!$C$4,IF(Tim!ER28=Sheet6!$C$5,Sheet6!$C$5,IF(Tim!ER28=Sheet6!$C$6,Sheet6!$C$6,IF(Tim!ER28=Sheet6!$C$7,Sheet6!$C$7,IF(Tim!ER28=Sheet6!$C$8,Sheet6!$C$8,"")))))))</f>
        <v/>
      </c>
      <c r="BL26" s="57" t="str">
        <f>IF(Tim!EZ28=Sheet6!$C$2,Sheet6!$C$2,IF(Tim!EZ28=Sheet6!$C$3,Sheet6!$C$3,IF(Tim!EZ28=Sheet6!$C$4,Sheet6!$C$4,IF(Tim!EZ28=Sheet6!$C$5,Sheet6!$C$5,IF(Tim!EZ28=Sheet6!$C$6,Sheet6!$C$6,IF(Tim!EZ28=Sheet6!$C$7,Sheet6!$C$7,IF(Tim!EZ28=Sheet6!$C$8,Sheet6!$C$8,"")))))))</f>
        <v/>
      </c>
      <c r="BM26" s="53" t="str">
        <f>IF(Tim!FG28=Sheet6!$C$2,Sheet6!$C$2,IF(Tim!FG28=Sheet6!$C$3,Sheet6!$C$3,IF(Tim!FG28=Sheet6!$C$4,Sheet6!$C$4,IF(Tim!FG28=Sheet6!$C$5,Sheet6!$C$5,IF(Tim!FG28=Sheet6!$C$6,Sheet6!$C$6,IF(Tim!FG28=Sheet6!$C$7,Sheet6!$C$7,IF(Tim!FG28=Sheet6!$C$8,Sheet6!$C$8,"")))))))</f>
        <v/>
      </c>
      <c r="BN26" s="181" t="str">
        <f>IF(Tim!FH28=Sheet6!$C$2,Sheet6!$C$2,IF(Tim!FH28=Sheet6!$C$3,Sheet6!$C$3,IF(Tim!FH28=Sheet6!$C$4,Sheet6!$C$4,IF(Tim!FH28=Sheet6!$C$5,Sheet6!$C$5,IF(Tim!FH28=Sheet6!$C$6,Sheet6!$C$6,IF(Tim!FH28=Sheet6!$C$7,Sheet6!$C$7,IF(Tim!FH28=Sheet6!$C$8,Sheet6!$C$8,"")))))))</f>
        <v/>
      </c>
      <c r="BO26" s="181" t="str">
        <f>IF(Tim!FP28=Sheet6!$C$2,Sheet6!$C$2,IF(Tim!FP28=Sheet6!$C$3,Sheet6!$C$3,IF(Tim!FP28=Sheet6!$C$4,Sheet6!$C$4,IF(Tim!FP28=Sheet6!$C$5,Sheet6!$C$5,IF(Tim!FP28=Sheet6!$C$6,Sheet6!$C$6,IF(Tim!FP28=Sheet6!$C$7,Sheet6!$C$7,IF(Tim!FP28=Sheet6!$C$8,Sheet6!$C$8,"")))))))</f>
        <v/>
      </c>
      <c r="BP26" s="181" t="str">
        <f>IF(Tim!FQ28=Sheet6!$C$2,Sheet6!$C$2,IF(Tim!FQ28=Sheet6!$C$3,Sheet6!$C$3,IF(Tim!FQ28=Sheet6!$C$4,Sheet6!$C$4,IF(Tim!FQ28=Sheet6!$C$5,Sheet6!$C$5,IF(Tim!FQ28=Sheet6!$C$6,Sheet6!$C$6,IF(Tim!FQ28=Sheet6!$C$7,Sheet6!$C$7,IF(Tim!FQ28=Sheet6!$C$8,Sheet6!$C$8,"")))))))</f>
        <v/>
      </c>
      <c r="BQ26" s="53" t="str">
        <f>IF(Tim!FR28=Sheet6!$C$2,Sheet6!$C$2,IF(Tim!FR28=Sheet6!$C$3,Sheet6!$C$3,IF(Tim!FR28=Sheet6!$C$4,Sheet6!$C$4,IF(Tim!FR28=Sheet6!$C$5,Sheet6!$C$5,IF(Tim!FR28=Sheet6!$C$6,Sheet6!$C$6,IF(Tim!FR28=Sheet6!$C$7,Sheet6!$C$7,IF(Tim!FR28=Sheet6!$C$8,Sheet6!$C$8,"")))))))</f>
        <v/>
      </c>
      <c r="BR26" s="53" t="str">
        <f>IF(Tim!FS28=Sheet6!$C$2,Sheet6!$C$2,IF(Tim!FS28=Sheet6!$C$3,Sheet6!$C$3,IF(Tim!FS28=Sheet6!$C$4,Sheet6!$C$4,IF(Tim!FS28=Sheet6!$C$5,Sheet6!$C$5,IF(Tim!FS28=Sheet6!$C$6,Sheet6!$C$6,IF(Tim!FS28=Sheet6!$C$7,Sheet6!$C$7,IF(Tim!FS28=Sheet6!$C$8,Sheet6!$C$8,"")))))))</f>
        <v/>
      </c>
      <c r="BS26" s="53" t="str">
        <f>IF(Tim!FT28=Sheet6!$C$2,Sheet6!$C$2,IF(Tim!FT28=Sheet6!$C$3,Sheet6!$C$3,IF(Tim!FT28=Sheet6!$C$4,Sheet6!$C$4,IF(Tim!FT28=Sheet6!$C$5,Sheet6!$C$5,IF(Tim!FT28=Sheet6!$C$6,Sheet6!$C$6,IF(Tim!FT28=Sheet6!$C$7,Sheet6!$C$7,IF(Tim!FT28=Sheet6!$C$8,Sheet6!$C$8,"")))))))</f>
        <v/>
      </c>
      <c r="BT26" s="53" t="str">
        <f>IF(Tim!FU28=Sheet6!$C$2,Sheet6!$C$2,IF(Tim!FU28=Sheet6!$C$3,Sheet6!$C$3,IF(Tim!FU28=Sheet6!$C$4,Sheet6!$C$4,IF(Tim!FU28=Sheet6!$C$5,Sheet6!$C$5,IF(Tim!FU28=Sheet6!$C$6,Sheet6!$C$6,IF(Tim!FU28=Sheet6!$C$7,Sheet6!$C$7,IF(Tim!FU28=Sheet6!$C$8,Sheet6!$C$8,"")))))))</f>
        <v/>
      </c>
      <c r="BU26" s="53" t="str">
        <f>IF(Tim!FY28=Sheet6!$C$2,Sheet6!$C$2,IF(Tim!FY28=Sheet6!$C$3,Sheet6!$C$3,IF(Tim!FY28=Sheet6!$C$4,Sheet6!$C$4,IF(Tim!FY28=Sheet6!$C$5,Sheet6!$C$5,IF(Tim!FY28=Sheet6!$C$6,Sheet6!$C$6,IF(Tim!FY28=Sheet6!$C$7,Sheet6!$C$7,IF(Tim!FY28=Sheet6!$C$8,Sheet6!$C$8,"")))))))</f>
        <v/>
      </c>
      <c r="BV26" s="54" t="str">
        <f>IF(Tim!FZ28=Sheet6!$C$2,Sheet6!$C$2,IF(Tim!FZ28=Sheet6!$C$3,Sheet6!$C$3,IF(Tim!FZ28=Sheet6!$C$4,Sheet6!$C$4,IF(Tim!FZ28=Sheet6!$C$5,Sheet6!$C$5,IF(Tim!FZ28=Sheet6!$C$6,Sheet6!$C$6,IF(Tim!FZ28=Sheet6!$C$7,Sheet6!$C$7,IF(Tim!FZ28=Sheet6!$C$8,Sheet6!$C$8,"")))))))</f>
        <v/>
      </c>
      <c r="BW26" s="54" t="str">
        <f>IF(Tim!GA28=Sheet6!$C$2,Sheet6!$C$2,IF(Tim!GA28=Sheet6!$C$3,Sheet6!$C$3,IF(Tim!GA28=Sheet6!$C$4,Sheet6!$C$4,IF(Tim!GA28=Sheet6!$C$5,Sheet6!$C$5,IF(Tim!GA28=Sheet6!$C$6,Sheet6!$C$6,IF(Tim!GA28=Sheet6!$C$7,Sheet6!$C$7,IF(Tim!GA28=Sheet6!$C$8,Sheet6!$C$8,"")))))))</f>
        <v/>
      </c>
      <c r="BX26" s="54" t="str">
        <f>IF(Tim!GB28=Sheet6!$C$2,Sheet6!$C$2,IF(Tim!GB28=Sheet6!$C$3,Sheet6!$C$3,IF(Tim!GB28=Sheet6!$C$4,Sheet6!$C$4,IF(Tim!GB28=Sheet6!$C$5,Sheet6!$C$5,IF(Tim!GB28=Sheet6!$C$6,Sheet6!$C$6,IF(Tim!GB28=Sheet6!$C$7,Sheet6!$C$7,IF(Tim!GB28=Sheet6!$C$8,Sheet6!$C$8,"")))))))</f>
        <v/>
      </c>
      <c r="BY26" s="55" t="str">
        <f>IF(Tim!GC28=Sheet6!$C$2,Sheet6!$C$2,IF(Tim!GC28=Sheet6!$C$3,Sheet6!$C$3,IF(Tim!GC28=Sheet6!$C$4,Sheet6!$C$4,IF(Tim!GC28=Sheet6!$C$5,Sheet6!$C$5,IF(Tim!GC28=Sheet6!$C$6,Sheet6!$C$6,IF(Tim!GC28=Sheet6!$C$7,Sheet6!$C$7,IF(Tim!GC28=Sheet6!$C$8,Sheet6!$C$8,"")))))))</f>
        <v/>
      </c>
      <c r="BZ26" s="53" t="str">
        <f>IF(Tim!GD28=Sheet6!$C$2,Sheet6!$C$2,IF(Tim!GD28=Sheet6!$C$3,Sheet6!$C$3,IF(Tim!GD28=Sheet6!$C$4,Sheet6!$C$4,IF(Tim!GD28=Sheet6!$C$5,Sheet6!$C$5,IF(Tim!GD28=Sheet6!$C$6,Sheet6!$C$6,IF(Tim!GD28=Sheet6!$C$7,Sheet6!$C$7,IF(Tim!GD28=Sheet6!$C$8,Sheet6!$C$8,"")))))))</f>
        <v/>
      </c>
      <c r="CA26" s="53" t="str">
        <f>IF(Tim!GE28=Sheet6!$C$2,Sheet6!$C$2,IF(Tim!GE28=Sheet6!$C$3,Sheet6!$C$3,IF(Tim!GE28=Sheet6!$C$4,Sheet6!$C$4,IF(Tim!GE28=Sheet6!$C$5,Sheet6!$C$5,IF(Tim!GE28=Sheet6!$C$6,Sheet6!$C$6,IF(Tim!GE28=Sheet6!$C$7,Sheet6!$C$7,IF(Tim!GE28=Sheet6!$C$8,Sheet6!$C$8,"")))))))</f>
        <v/>
      </c>
      <c r="CB26" s="53" t="str">
        <f>IF(Tim!GI28=Sheet6!$C$2,Sheet6!$C$2,IF(Tim!GI28=Sheet6!$C$3,Sheet6!$C$3,IF(Tim!GI28=Sheet6!$C$4,Sheet6!$C$4,IF(Tim!GI28=Sheet6!$C$5,Sheet6!$C$5,IF(Tim!GI28=Sheet6!$C$6,Sheet6!$C$6,IF(Tim!GI28=Sheet6!$C$7,Sheet6!$C$7,IF(Tim!GI28=Sheet6!$C$8,Sheet6!$C$8,"")))))))</f>
        <v/>
      </c>
      <c r="CC26" s="53" t="str">
        <f>IF(Tim!GJ28=Sheet6!$C$2,Sheet6!$C$2,IF(Tim!GJ28=Sheet6!$C$3,Sheet6!$C$3,IF(Tim!GJ28=Sheet6!$C$4,Sheet6!$C$4,IF(Tim!GJ28=Sheet6!$C$5,Sheet6!$C$5,IF(Tim!GJ28=Sheet6!$C$6,Sheet6!$C$6,IF(Tim!GJ28=Sheet6!$C$7,Sheet6!$C$7,IF(Tim!GJ28=Sheet6!$C$8,Sheet6!$C$8,"")))))))</f>
        <v/>
      </c>
      <c r="CD26" s="57" t="str">
        <f>IF(Tim!GN28=Sheet6!$C$2,Sheet6!$C$2,IF(Tim!GN28=Sheet6!$C$3,Sheet6!$C$3,IF(Tim!GN28=Sheet6!$C$4,Sheet6!$C$4,IF(Tim!GN28=Sheet6!$C$5,Sheet6!$C$5,IF(Tim!GN28=Sheet6!$C$6,Sheet6!$C$6,IF(Tim!GN28=Sheet6!$C$7,Sheet6!$C$7,IF(Tim!GN28=Sheet6!$C$8,Sheet6!$C$8,"")))))))</f>
        <v/>
      </c>
      <c r="CE26" s="53" t="str">
        <f>IF(Tim!GY28=Sheet6!$C$2,Sheet6!$C$2,IF(Tim!GY28=Sheet6!$C$3,Sheet6!$C$3,IF(Tim!GY28=Sheet6!$C$4,Sheet6!$C$4,IF(Tim!GY28=Sheet6!$C$5,Sheet6!$C$5,IF(Tim!GY28=Sheet6!$C$6,Sheet6!$C$6,IF(Tim!GY28=Sheet6!$C$7,Sheet6!$C$7,IF(Tim!GY28=Sheet6!$C$8,Sheet6!$C$8,"")))))))</f>
        <v/>
      </c>
      <c r="CF26" s="181" t="str">
        <f>IF(Tim!GZ28=Sheet6!$C$2,Sheet6!$C$2,IF(Tim!GZ28=Sheet6!$C$3,Sheet6!$C$3,IF(Tim!GZ28=Sheet6!$C$4,Sheet6!$C$4,IF(Tim!GZ28=Sheet6!$C$5,Sheet6!$C$5,IF(Tim!GZ28=Sheet6!$C$6,Sheet6!$C$6,IF(Tim!GZ28=Sheet6!$C$7,Sheet6!$C$7,IF(Tim!GZ28=Sheet6!$C$8,Sheet6!$C$8,"")))))))</f>
        <v/>
      </c>
      <c r="CG26" s="181" t="str">
        <f>IF(Tim!HH28=Sheet6!$C$2,Sheet6!$C$2,IF(Tim!HH28=Sheet6!$C$3,Sheet6!$C$3,IF(Tim!HH28=Sheet6!$C$4,Sheet6!$C$4,IF(Tim!HH28=Sheet6!$C$5,Sheet6!$C$5,IF(Tim!HH28=Sheet6!$C$6,Sheet6!$C$6,IF(Tim!HH28=Sheet6!$C$7,Sheet6!$C$7,IF(Tim!HH28=Sheet6!$C$8,Sheet6!$C$8,"")))))))</f>
        <v/>
      </c>
      <c r="CH26" s="181" t="str">
        <f>IF(Tim!HI28=Sheet6!$C$2,Sheet6!$C$2,IF(Tim!HI28=Sheet6!$C$3,Sheet6!$C$3,IF(Tim!HI28=Sheet6!$C$4,Sheet6!$C$4,IF(Tim!HI28=Sheet6!$C$5,Sheet6!$C$5,IF(Tim!HI28=Sheet6!$C$6,Sheet6!$C$6,IF(Tim!HI28=Sheet6!$C$7,Sheet6!$C$7,IF(Tim!HI28=Sheet6!$C$8,Sheet6!$C$8,"")))))))</f>
        <v/>
      </c>
      <c r="CI26" s="181" t="str">
        <f>IF(Tim!HJ28=Sheet6!$C$2,Sheet6!$C$2,IF(Tim!HJ28=Sheet6!$C$3,Sheet6!$C$3,IF(Tim!HJ28=Sheet6!$C$4,Sheet6!$C$4,IF(Tim!HJ28=Sheet6!$C$5,Sheet6!$C$5,IF(Tim!HJ28=Sheet6!$C$6,Sheet6!$C$6,IF(Tim!HJ28=Sheet6!$C$7,Sheet6!$C$7,IF(Tim!HJ28=Sheet6!$C$8,Sheet6!$C$8,"")))))))</f>
        <v/>
      </c>
      <c r="CJ26" s="53" t="str">
        <f>IF(Tim!HK28=Sheet6!$C$2,Sheet6!$C$2,IF(Tim!HK28=Sheet6!$C$3,Sheet6!$C$3,IF(Tim!HK28=Sheet6!$C$4,Sheet6!$C$4,IF(Tim!HK28=Sheet6!$C$5,Sheet6!$C$5,IF(Tim!HK28=Sheet6!$C$6,Sheet6!$C$6,IF(Tim!HK28=Sheet6!$C$7,Sheet6!$C$7,IF(Tim!HK28=Sheet6!$C$8,Sheet6!$C$8,"")))))))</f>
        <v/>
      </c>
      <c r="CK26" s="53" t="str">
        <f>IF(Tim!HL28=Sheet6!$C$2,Sheet6!$C$2,IF(Tim!HL28=Sheet6!$C$3,Sheet6!$C$3,IF(Tim!HL28=Sheet6!$C$4,Sheet6!$C$4,IF(Tim!HL28=Sheet6!$C$5,Sheet6!$C$5,IF(Tim!HL28=Sheet6!$C$6,Sheet6!$C$6,IF(Tim!HL28=Sheet6!$C$7,Sheet6!$C$7,IF(Tim!HL28=Sheet6!$C$8,Sheet6!$C$8,"")))))))</f>
        <v/>
      </c>
      <c r="CL26" s="53" t="str">
        <f>IF(Tim!HM28=Sheet6!$C$2,Sheet6!$C$2,IF(Tim!HM28=Sheet6!$C$3,Sheet6!$C$3,IF(Tim!HM28=Sheet6!$C$4,Sheet6!$C$4,IF(Tim!HM28=Sheet6!$C$5,Sheet6!$C$5,IF(Tim!HM28=Sheet6!$C$6,Sheet6!$C$6,IF(Tim!HM28=Sheet6!$C$7,Sheet6!$C$7,IF(Tim!HM28=Sheet6!$C$8,Sheet6!$C$8,"")))))))</f>
        <v/>
      </c>
      <c r="CM26" s="53" t="str">
        <f>IF(Tim!HQ28=Sheet6!$C$2,Sheet6!$C$2,IF(Tim!HQ28=Sheet6!$C$3,Sheet6!$C$3,IF(Tim!HQ28=Sheet6!$C$4,Sheet6!$C$4,IF(Tim!HQ28=Sheet6!$C$5,Sheet6!$C$5,IF(Tim!HQ28=Sheet6!$C$6,Sheet6!$C$6,IF(Tim!HQ28=Sheet6!$C$7,Sheet6!$C$7,IF(Tim!HQ28=Sheet6!$C$8,Sheet6!$C$8,"")))))))</f>
        <v/>
      </c>
      <c r="CN26" s="54" t="str">
        <f>IF(Tim!HR28=Sheet6!$C$2,Sheet6!$C$2,IF(Tim!HR28=Sheet6!$C$3,Sheet6!$C$3,IF(Tim!HR28=Sheet6!$C$4,Sheet6!$C$4,IF(Tim!HR28=Sheet6!$C$5,Sheet6!$C$5,IF(Tim!HR28=Sheet6!$C$6,Sheet6!$C$6,IF(Tim!HR28=Sheet6!$C$7,Sheet6!$C$7,IF(Tim!HR28=Sheet6!$C$8,Sheet6!$C$8,"")))))))</f>
        <v/>
      </c>
      <c r="CO26" s="54" t="str">
        <f>IF(Tim!HS28=Sheet6!$C$2,Sheet6!$C$2,IF(Tim!HS28=Sheet6!$C$3,Sheet6!$C$3,IF(Tim!HS28=Sheet6!$C$4,Sheet6!$C$4,IF(Tim!HS28=Sheet6!$C$5,Sheet6!$C$5,IF(Tim!HS28=Sheet6!$C$6,Sheet6!$C$6,IF(Tim!HS28=Sheet6!$C$7,Sheet6!$C$7,IF(Tim!HS28=Sheet6!$C$8,Sheet6!$C$8,"")))))))</f>
        <v/>
      </c>
      <c r="CP26" s="54" t="str">
        <f>IF(Tim!HT28=Sheet6!$C$2,Sheet6!$C$2,IF(Tim!HT28=Sheet6!$C$3,Sheet6!$C$3,IF(Tim!HT28=Sheet6!$C$4,Sheet6!$C$4,IF(Tim!HT28=Sheet6!$C$5,Sheet6!$C$5,IF(Tim!HT28=Sheet6!$C$6,Sheet6!$C$6,IF(Tim!HT28=Sheet6!$C$7,Sheet6!$C$7,IF(Tim!HT28=Sheet6!$C$8,Sheet6!$C$8,"")))))))</f>
        <v/>
      </c>
      <c r="CQ26" s="55" t="str">
        <f>IF(Tim!HU28=Sheet6!$C$2,Sheet6!$C$2,IF(Tim!HU28=Sheet6!$C$3,Sheet6!$C$3,IF(Tim!HU28=Sheet6!$C$4,Sheet6!$C$4,IF(Tim!HU28=Sheet6!$C$5,Sheet6!$C$5,IF(Tim!HU28=Sheet6!$C$6,Sheet6!$C$6,IF(Tim!HU28=Sheet6!$C$7,Sheet6!$C$7,IF(Tim!HU28=Sheet6!$C$8,Sheet6!$C$8,"")))))))</f>
        <v/>
      </c>
      <c r="CR26" s="56" t="str">
        <f>IF(Tim!HV28=Sheet6!$C$2,Sheet6!$C$2,IF(Tim!HV28=Sheet6!$C$3,Sheet6!$C$3,IF(Tim!HV28=Sheet6!$C$4,Sheet6!$C$4,IF(Tim!HV28=Sheet6!$C$5,Sheet6!$C$5,IF(Tim!HV28=Sheet6!$C$6,Sheet6!$C$6,IF(Tim!HV28=Sheet6!$C$7,Sheet6!$C$7,IF(Tim!HV28=Sheet6!$C$8,Sheet6!$C$8,"")))))))</f>
        <v/>
      </c>
      <c r="CS26" s="57" t="str">
        <f>IF(Tim!IB28=Sheet6!$C$2,Sheet6!$C$2,IF(Tim!IB28=Sheet6!$C$3,Sheet6!$C$3,IF(Tim!IB28=Sheet6!$C$4,Sheet6!$C$4,IF(Tim!IB28=Sheet6!$C$5,Sheet6!$C$5,IF(Tim!IB28=Sheet6!$C$6,Sheet6!$C$6,IF(Tim!IB28=Sheet6!$C$7,Sheet6!$C$7,IF(Tim!IB28=Sheet6!$C$8,Sheet6!$C$8,"")))))))</f>
        <v/>
      </c>
      <c r="CT26" s="57" t="str">
        <f>IF(Tim!IJ28=Sheet6!$C$2,Sheet6!$C$2,IF(Tim!IJ28=Sheet6!$C$3,Sheet6!$C$3,IF(Tim!IJ28=Sheet6!$C$4,Sheet6!$C$4,IF(Tim!IJ28=Sheet6!$C$5,Sheet6!$C$5,IF(Tim!IJ28=Sheet6!$C$6,Sheet6!$C$6,IF(Tim!IJ28=Sheet6!$C$7,Sheet6!$C$7,IF(Tim!IJ28=Sheet6!$C$8,Sheet6!$C$8,"")))))))</f>
        <v/>
      </c>
      <c r="CU26" s="53" t="str">
        <f>IF(Tim!IQ28=Sheet6!$C$2,Sheet6!$C$2,IF(Tim!IQ28=Sheet6!$C$3,Sheet6!$C$3,IF(Tim!IQ28=Sheet6!$C$4,Sheet6!$C$4,IF(Tim!IQ28=Sheet6!$C$5,Sheet6!$C$5,IF(Tim!IQ28=Sheet6!$C$6,Sheet6!$C$6,IF(Tim!IQ28=Sheet6!$C$7,Sheet6!$C$7,IF(Tim!IQ28=Sheet6!$C$8,Sheet6!$C$8,"")))))))</f>
        <v/>
      </c>
      <c r="CV26" s="53" t="str">
        <f>IF(Tim!IR28=Sheet6!$C$2,Sheet6!$C$2,IF(Tim!IR28=Sheet6!$C$3,Sheet6!$C$3,IF(Tim!IR28=Sheet6!$C$4,Sheet6!$C$4,IF(Tim!IR28=Sheet6!$C$5,Sheet6!$C$5,IF(Tim!IR28=Sheet6!$C$6,Sheet6!$C$6,IF(Tim!IR28=Sheet6!$C$7,Sheet6!$C$7,IF(Tim!IR28=Sheet6!$C$8,Sheet6!$C$8,"")))))))</f>
        <v/>
      </c>
      <c r="CW26" s="53" t="str">
        <f>IF(Tim!IZ28=Sheet6!$C$2,Sheet6!$C$2,IF(Tim!IZ28=Sheet6!$C$3,Sheet6!$C$3,IF(Tim!IZ28=Sheet6!$C$4,Sheet6!$C$4,IF(Tim!IZ28=Sheet6!$C$5,Sheet6!$C$5,IF(Tim!IZ28=Sheet6!$C$6,Sheet6!$C$6,IF(Tim!IZ28=Sheet6!$C$7,Sheet6!$C$7,IF(Tim!IZ28=Sheet6!$C$8,Sheet6!$C$8,"")))))))</f>
        <v/>
      </c>
      <c r="CX26" s="53" t="str">
        <f>IF(Tim!JA28=Sheet6!$C$2,Sheet6!$C$2,IF(Tim!JA28=Sheet6!$C$3,Sheet6!$C$3,IF(Tim!JA28=Sheet6!$C$4,Sheet6!$C$4,IF(Tim!JA28=Sheet6!$C$5,Sheet6!$C$5,IF(Tim!JA28=Sheet6!$C$6,Sheet6!$C$6,IF(Tim!JA28=Sheet6!$C$7,Sheet6!$C$7,IF(Tim!JA28=Sheet6!$C$8,Sheet6!$C$8,"")))))))</f>
        <v/>
      </c>
      <c r="CY26" s="53" t="str">
        <f>IF(Tim!JB28=Sheet6!$C$2,Sheet6!$C$2,IF(Tim!JB28=Sheet6!$C$3,Sheet6!$C$3,IF(Tim!JB28=Sheet6!$C$4,Sheet6!$C$4,IF(Tim!JB28=Sheet6!$C$5,Sheet6!$C$5,IF(Tim!JB28=Sheet6!$C$6,Sheet6!$C$6,IF(Tim!JB28=Sheet6!$C$7,Sheet6!$C$7,IF(Tim!JB28=Sheet6!$C$8,Sheet6!$C$8,"")))))))</f>
        <v/>
      </c>
      <c r="CZ26" s="53" t="str">
        <f>IF(Tim!JC28=Sheet6!$C$2,Sheet6!$C$2,IF(Tim!JC28=Sheet6!$C$3,Sheet6!$C$3,IF(Tim!JC28=Sheet6!$C$4,Sheet6!$C$4,IF(Tim!JC28=Sheet6!$C$5,Sheet6!$C$5,IF(Tim!JC28=Sheet6!$C$6,Sheet6!$C$6,IF(Tim!JC28=Sheet6!$C$7,Sheet6!$C$7,IF(Tim!JC28=Sheet6!$C$8,Sheet6!$C$8,"")))))))</f>
        <v/>
      </c>
      <c r="DA26" s="53" t="str">
        <f>IF(Tim!JD28=Sheet6!$C$2,Sheet6!$C$2,IF(Tim!JD28=Sheet6!$C$3,Sheet6!$C$3,IF(Tim!JD28=Sheet6!$C$4,Sheet6!$C$4,IF(Tim!JD28=Sheet6!$C$5,Sheet6!$C$5,IF(Tim!JD28=Sheet6!$C$6,Sheet6!$C$6,IF(Tim!JD28=Sheet6!$C$7,Sheet6!$C$7,IF(Tim!JD28=Sheet6!$C$8,Sheet6!$C$8,"")))))))</f>
        <v/>
      </c>
      <c r="DB26" s="53" t="str">
        <f>IF(Tim!JE28=Sheet6!$C$2,Sheet6!$C$2,IF(Tim!JE28=Sheet6!$C$3,Sheet6!$C$3,IF(Tim!JE28=Sheet6!$C$4,Sheet6!$C$4,IF(Tim!JE28=Sheet6!$C$5,Sheet6!$C$5,IF(Tim!JE28=Sheet6!$C$6,Sheet6!$C$6,IF(Tim!JE28=Sheet6!$C$7,Sheet6!$C$7,IF(Tim!JE28=Sheet6!$C$8,Sheet6!$C$8,"")))))))</f>
        <v/>
      </c>
      <c r="DC26" s="53" t="str">
        <f>IF(Tim!JI28=Sheet6!$C$2,Sheet6!$C$2,IF(Tim!JI28=Sheet6!$C$3,Sheet6!$C$3,IF(Tim!JI28=Sheet6!$C$4,Sheet6!$C$4,IF(Tim!JI28=Sheet6!$C$5,Sheet6!$C$5,IF(Tim!JI28=Sheet6!$C$6,Sheet6!$C$6,IF(Tim!JI28=Sheet6!$C$7,Sheet6!$C$7,IF(Tim!JI28=Sheet6!$C$8,Sheet6!$C$8,"")))))))</f>
        <v/>
      </c>
      <c r="DD26" s="54" t="str">
        <f>IF(Tim!JJ28=Sheet6!$C$2,Sheet6!$C$2,IF(Tim!JJ28=Sheet6!$C$3,Sheet6!$C$3,IF(Tim!JJ28=Sheet6!$C$4,Sheet6!$C$4,IF(Tim!JJ28=Sheet6!$C$5,Sheet6!$C$5,IF(Tim!JJ28=Sheet6!$C$6,Sheet6!$C$6,IF(Tim!JJ28=Sheet6!$C$7,Sheet6!$C$7,IF(Tim!JJ28=Sheet6!$C$8,Sheet6!$C$8,"")))))))</f>
        <v/>
      </c>
      <c r="DE26" s="54" t="str">
        <f>IF(Tim!JK28=Sheet6!$C$2,Sheet6!$C$2,IF(Tim!JK28=Sheet6!$C$3,Sheet6!$C$3,IF(Tim!JK28=Sheet6!$C$4,Sheet6!$C$4,IF(Tim!JK28=Sheet6!$C$5,Sheet6!$C$5,IF(Tim!JK28=Sheet6!$C$6,Sheet6!$C$6,IF(Tim!JK28=Sheet6!$C$7,Sheet6!$C$7,IF(Tim!JK28=Sheet6!$C$8,Sheet6!$C$8,"")))))))</f>
        <v/>
      </c>
      <c r="DF26" s="54" t="str">
        <f>IF(Tim!JL28=Sheet6!$C$2,Sheet6!$C$2,IF(Tim!JL28=Sheet6!$C$3,Sheet6!$C$3,IF(Tim!JL28=Sheet6!$C$4,Sheet6!$C$4,IF(Tim!JL28=Sheet6!$C$5,Sheet6!$C$5,IF(Tim!JL28=Sheet6!$C$6,Sheet6!$C$6,IF(Tim!JL28=Sheet6!$C$7,Sheet6!$C$7,IF(Tim!JL28=Sheet6!$C$8,Sheet6!$C$8,"")))))))</f>
        <v/>
      </c>
      <c r="DG26" s="55" t="str">
        <f>IF(Tim!JM28=Sheet6!$C$2,Sheet6!$C$2,IF(Tim!JM28=Sheet6!$C$3,Sheet6!$C$3,IF(Tim!JM28=Sheet6!$C$4,Sheet6!$C$4,IF(Tim!JM28=Sheet6!$C$5,Sheet6!$C$5,IF(Tim!JM28=Sheet6!$C$6,Sheet6!$C$6,IF(Tim!JM28=Sheet6!$C$7,Sheet6!$C$7,IF(Tim!JM28=Sheet6!$C$8,Sheet6!$C$8,"")))))))</f>
        <v/>
      </c>
      <c r="DH26" s="57" t="str">
        <f>IF(Tim!JN28=Sheet6!$C$2,Sheet6!$C$2,IF(Tim!JN28=Sheet6!$C$3,Sheet6!$C$3,IF(Tim!JN28=Sheet6!$C$4,Sheet6!$C$4,IF(Tim!JN28=Sheet6!$C$5,Sheet6!$C$5,IF(Tim!JN28=Sheet6!$C$6,Sheet6!$C$6,IF(Tim!JN28=Sheet6!$C$7,Sheet6!$C$7,IF(Tim!JN28=Sheet6!$C$8,Sheet6!$C$8,"")))))))</f>
        <v/>
      </c>
      <c r="DI26" s="57" t="str">
        <f>IF(Tim!JS28=Sheet6!$C$2,Sheet6!$C$2,IF(Tim!JS28=Sheet6!$C$3,Sheet6!$C$3,IF(Tim!JS28=Sheet6!$C$4,Sheet6!$C$4,IF(Tim!JS28=Sheet6!$C$5,Sheet6!$C$5,IF(Tim!JS28=Sheet6!$C$6,Sheet6!$C$6,IF(Tim!JS28=Sheet6!$C$7,Sheet6!$C$7,IF(Tim!JS28=Sheet6!$C$8,Sheet6!$C$8,"")))))))</f>
        <v/>
      </c>
      <c r="DJ26" s="57" t="str">
        <f>IF(Tim!KB28=Sheet6!$C$2,Sheet6!$C$2,IF(Tim!KB28=Sheet6!$C$3,Sheet6!$C$3,IF(Tim!KB28=Sheet6!$C$4,Sheet6!$C$4,IF(Tim!KB28=Sheet6!$C$5,Sheet6!$C$5,IF(Tim!KB28=Sheet6!$C$6,Sheet6!$C$6,IF(Tim!KB28=Sheet6!$C$7,Sheet6!$C$7,IF(Tim!KB28=Sheet6!$C$8,Sheet6!$C$8,"")))))))</f>
        <v/>
      </c>
      <c r="DK26" s="53" t="str">
        <f>IF(Tim!KI28=Sheet6!$C$2,Sheet6!$C$2,IF(Tim!KI28=Sheet6!$C$3,Sheet6!$C$3,IF(Tim!KI28=Sheet6!$C$4,Sheet6!$C$4,IF(Tim!KI28=Sheet6!$C$5,Sheet6!$C$5,IF(Tim!KI28=Sheet6!$C$6,Sheet6!$C$6,IF(Tim!KI28=Sheet6!$C$7,Sheet6!$C$7,IF(Tim!KI28=Sheet6!$C$8,Sheet6!$C$8,"")))))))</f>
        <v/>
      </c>
      <c r="DL26" s="53" t="str">
        <f>IF(Tim!KJ28=Sheet6!$C$2,Sheet6!$C$2,IF(Tim!KJ28=Sheet6!$C$3,Sheet6!$C$3,IF(Tim!KJ28=Sheet6!$C$4,Sheet6!$C$4,IF(Tim!KJ28=Sheet6!$C$5,Sheet6!$C$5,IF(Tim!KJ28=Sheet6!$C$6,Sheet6!$C$6,IF(Tim!KJ28=Sheet6!$C$7,Sheet6!$C$7,IF(Tim!KJ28=Sheet6!$C$8,Sheet6!$C$8,"")))))))</f>
        <v/>
      </c>
      <c r="DM26" s="53" t="str">
        <f>IF(Tim!KR28=Sheet6!$C$2,Sheet6!$C$2,IF(Tim!KR28=Sheet6!$C$3,Sheet6!$C$3,IF(Tim!KR28=Sheet6!$C$4,Sheet6!$C$4,IF(Tim!KR28=Sheet6!$C$5,Sheet6!$C$5,IF(Tim!KR28=Sheet6!$C$6,Sheet6!$C$6,IF(Tim!KR28=Sheet6!$C$7,Sheet6!$C$7,IF(Tim!KR28=Sheet6!$C$8,Sheet6!$C$8,"")))))))</f>
        <v/>
      </c>
      <c r="DN26" s="53" t="str">
        <f>IF(Tim!KS28=Sheet6!$C$2,Sheet6!$C$2,IF(Tim!KS28=Sheet6!$C$3,Sheet6!$C$3,IF(Tim!KS28=Sheet6!$C$4,Sheet6!$C$4,IF(Tim!KS28=Sheet6!$C$5,Sheet6!$C$5,IF(Tim!KS28=Sheet6!$C$6,Sheet6!$C$6,IF(Tim!KS28=Sheet6!$C$7,Sheet6!$C$7,IF(Tim!KS28=Sheet6!$C$8,Sheet6!$C$8,"")))))))</f>
        <v/>
      </c>
      <c r="DO26" s="53" t="str">
        <f>IF(Tim!KT28=Sheet6!$C$2,Sheet6!$C$2,IF(Tim!KT28=Sheet6!$C$3,Sheet6!$C$3,IF(Tim!KT28=Sheet6!$C$4,Sheet6!$C$4,IF(Tim!KT28=Sheet6!$C$5,Sheet6!$C$5,IF(Tim!KT28=Sheet6!$C$6,Sheet6!$C$6,IF(Tim!KT28=Sheet6!$C$7,Sheet6!$C$7,IF(Tim!KT28=Sheet6!$C$8,Sheet6!$C$8,"")))))))</f>
        <v/>
      </c>
      <c r="DP26" s="53" t="str">
        <f>IF(Tim!KU28=Sheet6!$C$2,Sheet6!$C$2,IF(Tim!KU28=Sheet6!$C$3,Sheet6!$C$3,IF(Tim!KU28=Sheet6!$C$4,Sheet6!$C$4,IF(Tim!KU28=Sheet6!$C$5,Sheet6!$C$5,IF(Tim!KU28=Sheet6!$C$6,Sheet6!$C$6,IF(Tim!KU28=Sheet6!$C$7,Sheet6!$C$7,IF(Tim!KU28=Sheet6!$C$8,Sheet6!$C$8,"")))))))</f>
        <v/>
      </c>
      <c r="DQ26" s="53" t="str">
        <f>IF(Tim!KV28=Sheet6!$C$2,Sheet6!$C$2,IF(Tim!KV28=Sheet6!$C$3,Sheet6!$C$3,IF(Tim!KV28=Sheet6!$C$4,Sheet6!$C$4,IF(Tim!KV28=Sheet6!$C$5,Sheet6!$C$5,IF(Tim!KV28=Sheet6!$C$6,Sheet6!$C$6,IF(Tim!KV28=Sheet6!$C$7,Sheet6!$C$7,IF(Tim!KV28=Sheet6!$C$8,Sheet6!$C$8,"")))))))</f>
        <v/>
      </c>
      <c r="DR26" s="53" t="str">
        <f>IF(Tim!KW28=Sheet6!$C$2,Sheet6!$C$2,IF(Tim!KW28=Sheet6!$C$3,Sheet6!$C$3,IF(Tim!KW28=Sheet6!$C$4,Sheet6!$C$4,IF(Tim!KW28=Sheet6!$C$5,Sheet6!$C$5,IF(Tim!KW28=Sheet6!$C$6,Sheet6!$C$6,IF(Tim!KW28=Sheet6!$C$7,Sheet6!$C$7,IF(Tim!KW28=Sheet6!$C$8,Sheet6!$C$8,"")))))))</f>
        <v/>
      </c>
      <c r="DS26" s="53" t="str">
        <f>IF(Tim!LA28=Sheet6!$C$2,Sheet6!$C$2,IF(Tim!LA28=Sheet6!$C$3,Sheet6!$C$3,IF(Tim!LA28=Sheet6!$C$4,Sheet6!$C$4,IF(Tim!LA28=Sheet6!$C$5,Sheet6!$C$5,IF(Tim!LA28=Sheet6!$C$6,Sheet6!$C$6,IF(Tim!LA28=Sheet6!$C$7,Sheet6!$C$7,IF(Tim!LA28=Sheet6!$C$8,Sheet6!$C$8,"")))))))</f>
        <v/>
      </c>
      <c r="DT26" s="54" t="str">
        <f>IF(Tim!LB28=Sheet6!$C$2,Sheet6!$C$2,IF(Tim!LB28=Sheet6!$C$3,Sheet6!$C$3,IF(Tim!LB28=Sheet6!$C$4,Sheet6!$C$4,IF(Tim!LB28=Sheet6!$C$5,Sheet6!$C$5,IF(Tim!LB28=Sheet6!$C$6,Sheet6!$C$6,IF(Tim!LB28=Sheet6!$C$7,Sheet6!$C$7,IF(Tim!LB28=Sheet6!$C$8,Sheet6!$C$8,"")))))))</f>
        <v/>
      </c>
      <c r="DU26" s="54" t="str">
        <f>IF(Tim!LC28=Sheet6!$C$2,Sheet6!$C$2,IF(Tim!LC28=Sheet6!$C$3,Sheet6!$C$3,IF(Tim!LC28=Sheet6!$C$4,Sheet6!$C$4,IF(Tim!LC28=Sheet6!$C$5,Sheet6!$C$5,IF(Tim!LC28=Sheet6!$C$6,Sheet6!$C$6,IF(Tim!LC28=Sheet6!$C$7,Sheet6!$C$7,IF(Tim!LC28=Sheet6!$C$8,Sheet6!$C$8,"")))))))</f>
        <v/>
      </c>
      <c r="DV26" s="54" t="str">
        <f>IF(Tim!LD28=Sheet6!$C$2,Sheet6!$C$2,IF(Tim!LD28=Sheet6!$C$3,Sheet6!$C$3,IF(Tim!LD28=Sheet6!$C$4,Sheet6!$C$4,IF(Tim!LD28=Sheet6!$C$5,Sheet6!$C$5,IF(Tim!LD28=Sheet6!$C$6,Sheet6!$C$6,IF(Tim!LD28=Sheet6!$C$7,Sheet6!$C$7,IF(Tim!LD28=Sheet6!$C$8,Sheet6!$C$8,"")))))))</f>
        <v/>
      </c>
      <c r="DW26" s="55" t="str">
        <f>IF(Tim!LE28=Sheet6!$C$2,Sheet6!$C$2,IF(Tim!LE28=Sheet6!$C$3,Sheet6!$C$3,IF(Tim!LE28=Sheet6!$C$4,Sheet6!$C$4,IF(Tim!LE28=Sheet6!$C$5,Sheet6!$C$5,IF(Tim!LE28=Sheet6!$C$6,Sheet6!$C$6,IF(Tim!LE28=Sheet6!$C$7,Sheet6!$C$7,IF(Tim!LE28=Sheet6!$C$8,Sheet6!$C$8,"")))))))</f>
        <v/>
      </c>
      <c r="DX26" s="52">
        <v>0.51041666666666596</v>
      </c>
    </row>
    <row r="27" spans="2:128" ht="10.5" customHeight="1">
      <c r="B27" s="51">
        <v>0.25</v>
      </c>
      <c r="C27" s="51">
        <v>0.25</v>
      </c>
      <c r="D27" s="51">
        <v>0.25</v>
      </c>
      <c r="E27" s="52">
        <v>0.52083333333333304</v>
      </c>
      <c r="F27" s="53" t="str">
        <f>IF(Tim!F29=Sheet6!$C$2,Sheet6!$C$2,IF(Tim!F29=Sheet6!$C$3,Sheet6!$C$3,IF(Tim!F29=Sheet6!$C$4,Sheet6!$C$4,IF(Tim!F29=Sheet6!$C$5,Sheet6!$C$5,IF(Tim!F29=Sheet6!$C$6,Sheet6!$C$6,IF(Tim!F29=Sheet6!$C$7,Sheet6!$C$7,IF(Tim!F29=Sheet6!$C$8,Sheet6!$C$8,"")))))))</f>
        <v/>
      </c>
      <c r="G27" s="53" t="str">
        <f>IF(Tim!G29=Sheet6!$C$2,Sheet6!$C$2,IF(Tim!G29=Sheet6!$C$3,Sheet6!$C$3,IF(Tim!G29=Sheet6!$C$4,Sheet6!$C$4,IF(Tim!G29=Sheet6!$C$5,Sheet6!$C$5,IF(Tim!G29=Sheet6!$C$6,Sheet6!$C$6,IF(Tim!G29=Sheet6!$C$7,Sheet6!$C$7,IF(Tim!G29=Sheet6!$C$8,Sheet6!$C$8,"")))))))</f>
        <v/>
      </c>
      <c r="H27" s="53" t="str">
        <f>IF(Tim!H29=Sheet6!$C$2,Sheet6!$C$2,IF(Tim!H29=Sheet6!$C$3,Sheet6!$C$3,IF(Tim!H29=Sheet6!$C$4,Sheet6!$C$4,IF(Tim!H29=Sheet6!$C$5,Sheet6!$C$5,IF(Tim!H29=Sheet6!$C$6,Sheet6!$C$6,IF(Tim!H29=Sheet6!$C$7,Sheet6!$C$7,IF(Tim!H29=Sheet6!$C$8,Sheet6!$C$8,"")))))))</f>
        <v/>
      </c>
      <c r="I27" s="53" t="str">
        <f>IF(Tim!L29=Sheet6!$C$2,Sheet6!$C$2,IF(Tim!L29=Sheet6!$C$3,Sheet6!$C$3,IF(Tim!L29=Sheet6!$C$4,Sheet6!$C$4,IF(Tim!L29=Sheet6!$C$5,Sheet6!$C$5,IF(Tim!L29=Sheet6!$C$6,Sheet6!$C$6,IF(Tim!L29=Sheet6!$C$7,Sheet6!$C$7,IF(Tim!L29=Sheet6!$C$8,Sheet6!$C$8,"")))))))</f>
        <v/>
      </c>
      <c r="J27" s="53" t="str">
        <f>IF(Tim!T29=Sheet6!$C$2,Sheet6!$C$2,IF(Tim!T29=Sheet6!$C$3,Sheet6!$C$3,IF(Tim!T29=Sheet6!$C$4,Sheet6!$C$4,IF(Tim!T29=Sheet6!$C$5,Sheet6!$C$5,IF(Tim!T29=Sheet6!$C$6,Sheet6!$C$6,IF(Tim!T29=Sheet6!$C$7,Sheet6!$C$7,IF(Tim!T29=Sheet6!$C$8,Sheet6!$C$8,"")))))))</f>
        <v/>
      </c>
      <c r="K27" s="53" t="str">
        <f>IF(Tim!AB29=Sheet6!$C$2,Sheet6!$C$2,IF(Tim!AB29=Sheet6!$C$3,Sheet6!$C$3,IF(Tim!AB29=Sheet6!$C$4,Sheet6!$C$4,IF(Tim!AB29=Sheet6!$C$5,Sheet6!$C$5,IF(Tim!AB29=Sheet6!$C$6,Sheet6!$C$6,IF(Tim!AB29=Sheet6!$C$7,Sheet6!$C$7,IF(Tim!AB29=Sheet6!$C$8,Sheet6!$C$8,"")))))))</f>
        <v/>
      </c>
      <c r="L27" s="181" t="str">
        <f>IF(Tim!AC29=Sheet6!$C$2,Sheet6!$C$2,IF(Tim!AC29=Sheet6!$C$3,Sheet6!$C$3,IF(Tim!AC29=Sheet6!$C$4,Sheet6!$C$4,IF(Tim!AC29=Sheet6!$C$5,Sheet6!$C$5,IF(Tim!AC29=Sheet6!$C$6,Sheet6!$C$6,IF(Tim!AC29=Sheet6!$C$7,Sheet6!$C$7,IF(Tim!AC29=Sheet6!$C$8,Sheet6!$C$8,"")))))))</f>
        <v/>
      </c>
      <c r="M27" s="53" t="str">
        <f>IF(Tim!AJ29=Sheet6!$C$2,Sheet6!$C$2,IF(Tim!AJ29=Sheet6!$C$3,Sheet6!$C$3,IF(Tim!AJ29=Sheet6!$C$4,Sheet6!$C$4,IF(Tim!AJ29=Sheet6!$C$5,Sheet6!$C$5,IF(Tim!AJ29=Sheet6!$C$6,Sheet6!$C$6,IF(Tim!AJ29=Sheet6!$C$7,Sheet6!$C$7,IF(Tim!AJ29=Sheet6!$C$8,Sheet6!$C$8,"")))))))</f>
        <v/>
      </c>
      <c r="N27" s="53" t="str">
        <f>IF(Tim!AK29=Sheet6!$C$2,Sheet6!$C$2,IF(Tim!AK29=Sheet6!$C$3,Sheet6!$C$3,IF(Tim!AK29=Sheet6!$C$4,Sheet6!$C$4,IF(Tim!AK29=Sheet6!$C$5,Sheet6!$C$5,IF(Tim!AK29=Sheet6!$C$6,Sheet6!$C$6,IF(Tim!AK29=Sheet6!$C$7,Sheet6!$C$7,IF(Tim!AK29=Sheet6!$C$8,Sheet6!$C$8,"")))))))</f>
        <v/>
      </c>
      <c r="O27" s="53" t="str">
        <f>IF(Tim!AL29=Sheet6!$C$2,Sheet6!$C$2,IF(Tim!AL29=Sheet6!$C$3,Sheet6!$C$3,IF(Tim!AL29=Sheet6!$C$4,Sheet6!$C$4,IF(Tim!AL29=Sheet6!$C$5,Sheet6!$C$5,IF(Tim!AL29=Sheet6!$C$6,Sheet6!$C$6,IF(Tim!AL29=Sheet6!$C$7,Sheet6!$C$7,IF(Tim!AL29=Sheet6!$C$8,Sheet6!$C$8,"")))))))</f>
        <v/>
      </c>
      <c r="P27" s="53" t="str">
        <f>IF(Tim!AN29=Sheet6!$C$2,Sheet6!$C$2,IF(Tim!AN29=Sheet6!$C$3,Sheet6!$C$3,IF(Tim!AN29=Sheet6!$C$4,Sheet6!$C$4,IF(Tim!AN29=Sheet6!$C$5,Sheet6!$C$5,IF(Tim!AN29=Sheet6!$C$6,Sheet6!$C$6,IF(Tim!AN29=Sheet6!$C$7,Sheet6!$C$7,IF(Tim!AN29=Sheet6!$C$8,Sheet6!$C$8,"")))))))</f>
        <v/>
      </c>
      <c r="Q27" s="53" t="str">
        <f>IF(Tim!AO29=Sheet6!$C$2,Sheet6!$C$2,IF(Tim!AO29=Sheet6!$C$3,Sheet6!$C$3,IF(Tim!AO29=Sheet6!$C$4,Sheet6!$C$4,IF(Tim!AO29=Sheet6!$C$5,Sheet6!$C$5,IF(Tim!AO29=Sheet6!$C$6,Sheet6!$C$6,IF(Tim!AO29=Sheet6!$C$7,Sheet6!$C$7,IF(Tim!AO29=Sheet6!$C$8,Sheet6!$C$8,"")))))))</f>
        <v/>
      </c>
      <c r="R27" s="53" t="str">
        <f>IF(Tim!AP29=Sheet6!$C$2,Sheet6!$C$2,IF(Tim!AP29=Sheet6!$C$3,Sheet6!$C$3,IF(Tim!AP29=Sheet6!$C$4,Sheet6!$C$4,IF(Tim!AP29=Sheet6!$C$5,Sheet6!$C$5,IF(Tim!AP29=Sheet6!$C$6,Sheet6!$C$6,IF(Tim!AP29=Sheet6!$C$7,Sheet6!$C$7,IF(Tim!AP29=Sheet6!$C$8,Sheet6!$C$8,"")))))))</f>
        <v/>
      </c>
      <c r="S27" s="53" t="str">
        <f>IF(Tim!AT29=Sheet6!$C$2,Sheet6!$C$2,IF(Tim!AT29=Sheet6!$C$3,Sheet6!$C$3,IF(Tim!AT29=Sheet6!$C$4,Sheet6!$C$4,IF(Tim!AT29=Sheet6!$C$5,Sheet6!$C$5,IF(Tim!AT29=Sheet6!$C$6,Sheet6!$C$6,IF(Tim!AT29=Sheet6!$C$7,Sheet6!$C$7,IF(Tim!AT29=Sheet6!$C$8,Sheet6!$C$8,"")))))))</f>
        <v/>
      </c>
      <c r="T27" s="54" t="str">
        <f>IF(Tim!AU29=Sheet6!$C$2,Sheet6!$C$2,IF(Tim!AU29=Sheet6!$C$3,Sheet6!$C$3,IF(Tim!AU29=Sheet6!$C$4,Sheet6!$C$4,IF(Tim!AU29=Sheet6!$C$5,Sheet6!$C$5,IF(Tim!AU29=Sheet6!$C$6,Sheet6!$C$6,IF(Tim!AU29=Sheet6!$C$7,Sheet6!$C$7,IF(Tim!AU29=Sheet6!$C$8,Sheet6!$C$8,"")))))))</f>
        <v/>
      </c>
      <c r="U27" s="54" t="str">
        <f>IF(Tim!AV29=Sheet6!$C$2,Sheet6!$C$2,IF(Tim!AV29=Sheet6!$C$3,Sheet6!$C$3,IF(Tim!AV29=Sheet6!$C$4,Sheet6!$C$4,IF(Tim!AV29=Sheet6!$C$5,Sheet6!$C$5,IF(Tim!AV29=Sheet6!$C$6,Sheet6!$C$6,IF(Tim!AV29=Sheet6!$C$7,Sheet6!$C$7,IF(Tim!AV29=Sheet6!$C$8,Sheet6!$C$8,"")))))))</f>
        <v/>
      </c>
      <c r="V27" s="54" t="str">
        <f>IF(Tim!AW29=Sheet6!$C$2,Sheet6!$C$2,IF(Tim!AW29=Sheet6!$C$3,Sheet6!$C$3,IF(Tim!AW29=Sheet6!$C$4,Sheet6!$C$4,IF(Tim!AW29=Sheet6!$C$5,Sheet6!$C$5,IF(Tim!AW29=Sheet6!$C$6,Sheet6!$C$6,IF(Tim!AW29=Sheet6!$C$7,Sheet6!$C$7,IF(Tim!AW29=Sheet6!$C$8,Sheet6!$C$8,"")))))))</f>
        <v/>
      </c>
      <c r="W27" s="55" t="str">
        <f>IF(Tim!AX29=Sheet6!$C$2,Sheet6!$C$2,IF(Tim!AX29=Sheet6!$C$3,Sheet6!$C$3,IF(Tim!AX29=Sheet6!$C$4,Sheet6!$C$4,IF(Tim!AX29=Sheet6!$C$5,Sheet6!$C$5,IF(Tim!AX29=Sheet6!$C$6,Sheet6!$C$6,IF(Tim!AX29=Sheet6!$C$7,Sheet6!$C$7,IF(Tim!AX29=Sheet6!$C$8,Sheet6!$C$8,"")))))))</f>
        <v/>
      </c>
      <c r="X27" s="53" t="str">
        <f>IF(Tim!AY29=Sheet6!$C$2,Sheet6!$C$2,IF(Tim!AY29=Sheet6!$C$3,Sheet6!$C$3,IF(Tim!AY29=Sheet6!$C$4,Sheet6!$C$4,IF(Tim!AY29=Sheet6!$C$5,Sheet6!$C$5,IF(Tim!AY29=Sheet6!$C$6,Sheet6!$C$6,IF(Tim!AY29=Sheet6!$C$7,Sheet6!$C$7,IF(Tim!AY29=Sheet6!$C$8,Sheet6!$C$8,"")))))))</f>
        <v/>
      </c>
      <c r="Y27" s="57" t="str">
        <f>IF(Tim!AZ29=Sheet6!$C$2,Sheet6!$C$2,IF(Tim!AZ29=Sheet6!$C$3,Sheet6!$C$3,IF(Tim!AZ29=Sheet6!$C$4,Sheet6!$C$4,IF(Tim!AZ29=Sheet6!$C$5,Sheet6!$C$5,IF(Tim!AZ29=Sheet6!$C$6,Sheet6!$C$6,IF(Tim!AZ29=Sheet6!$C$7,Sheet6!$C$7,IF(Tim!AZ29=Sheet6!$C$8,Sheet6!$C$8,"")))))))</f>
        <v/>
      </c>
      <c r="Z27" s="53" t="str">
        <f>IF(Tim!BD29=Sheet6!$C$2,Sheet6!$C$2,IF(Tim!BD29=Sheet6!$C$3,Sheet6!$C$3,IF(Tim!BD29=Sheet6!$C$4,Sheet6!$C$4,IF(Tim!BD29=Sheet6!$C$5,Sheet6!$C$5,IF(Tim!BD29=Sheet6!$C$6,Sheet6!$C$6,IF(Tim!BD29=Sheet6!$C$7,Sheet6!$C$7,IF(Tim!BD29=Sheet6!$C$8,Sheet6!$C$8,"")))))))</f>
        <v/>
      </c>
      <c r="AA27" s="53" t="str">
        <f>IF(Tim!BE29=Sheet6!$C$2,Sheet6!$C$2,IF(Tim!BE29=Sheet6!$C$3,Sheet6!$C$3,IF(Tim!BE29=Sheet6!$C$4,Sheet6!$C$4,IF(Tim!BE29=Sheet6!$C$5,Sheet6!$C$5,IF(Tim!BE29=Sheet6!$C$6,Sheet6!$C$6,IF(Tim!BE29=Sheet6!$C$7,Sheet6!$C$7,IF(Tim!BE29=Sheet6!$C$8,Sheet6!$C$8,"")))))))</f>
        <v/>
      </c>
      <c r="AB27" s="57" t="str">
        <f>IF(Tim!BL29=Sheet6!$C$2,Sheet6!$C$2,IF(Tim!BL29=Sheet6!$C$3,Sheet6!$C$3,IF(Tim!BL29=Sheet6!$C$4,Sheet6!$C$4,IF(Tim!BL29=Sheet6!$C$5,Sheet6!$C$5,IF(Tim!BL29=Sheet6!$C$6,Sheet6!$C$6,IF(Tim!BL29=Sheet6!$C$7,Sheet6!$C$7,IF(Tim!BL29=Sheet6!$C$8,Sheet6!$C$8,"")))))))</f>
        <v/>
      </c>
      <c r="AC27" s="53" t="str">
        <f>IF(Tim!BT29=Sheet6!$C$2,Sheet6!$C$2,IF(Tim!BT29=Sheet6!$C$3,Sheet6!$C$3,IF(Tim!BT29=Sheet6!$C$4,Sheet6!$C$4,IF(Tim!BT29=Sheet6!$C$5,Sheet6!$C$5,IF(Tim!BT29=Sheet6!$C$6,Sheet6!$C$6,IF(Tim!BT29=Sheet6!$C$7,Sheet6!$C$7,IF(Tim!BT29=Sheet6!$C$8,Sheet6!$C$8,"")))))))</f>
        <v/>
      </c>
      <c r="AD27" s="181" t="str">
        <f>IF(Tim!BU29=Sheet6!$C$2,Sheet6!$C$2,IF(Tim!BU29=Sheet6!$C$3,Sheet6!$C$3,IF(Tim!BU29=Sheet6!$C$4,Sheet6!$C$4,IF(Tim!BU29=Sheet6!$C$5,Sheet6!$C$5,IF(Tim!BU29=Sheet6!$C$6,Sheet6!$C$6,IF(Tim!BU29=Sheet6!$C$7,Sheet6!$C$7,IF(Tim!BU29=Sheet6!$C$8,Sheet6!$C$8,"")))))))</f>
        <v/>
      </c>
      <c r="AE27" s="181" t="str">
        <f>IF(Tim!CB29=Sheet6!$C$2,Sheet6!$C$2,IF(Tim!CB29=Sheet6!$C$3,Sheet6!$C$3,IF(Tim!CB29=Sheet6!$C$4,Sheet6!$C$4,IF(Tim!CB29=Sheet6!$C$5,Sheet6!$C$5,IF(Tim!CB29=Sheet6!$C$6,Sheet6!$C$6,IF(Tim!CB29=Sheet6!$C$7,Sheet6!$C$7,IF(Tim!CB29=Sheet6!$C$8,Sheet6!$C$8,"")))))))</f>
        <v/>
      </c>
      <c r="AF27" s="181" t="str">
        <f>IF(Tim!CD29=Sheet6!$C$2,Sheet6!$C$2,IF(Tim!CD29=Sheet6!$C$3,Sheet6!$C$3,IF(Tim!CD29=Sheet6!$C$4,Sheet6!$C$4,IF(Tim!CD29=Sheet6!$C$5,Sheet6!$C$5,IF(Tim!CD29=Sheet6!$C$6,Sheet6!$C$6,IF(Tim!CD29=Sheet6!$C$7,Sheet6!$C$7,IF(Tim!CD29=Sheet6!$C$8,Sheet6!$C$8,"")))))))</f>
        <v/>
      </c>
      <c r="AG27" s="53" t="str">
        <f>IF(Tim!CE29=Sheet6!$C$2,Sheet6!$C$2,IF(Tim!CE29=Sheet6!$C$3,Sheet6!$C$3,IF(Tim!CE29=Sheet6!$C$4,Sheet6!$C$4,IF(Tim!CE29=Sheet6!$C$5,Sheet6!$C$5,IF(Tim!CE29=Sheet6!$C$6,Sheet6!$C$6,IF(Tim!CE29=Sheet6!$C$7,Sheet6!$C$7,IF(Tim!CE29=Sheet6!$C$8,Sheet6!$C$8,"")))))))</f>
        <v/>
      </c>
      <c r="AH27" s="53" t="str">
        <f>IF(Tim!CF29=Sheet6!$C$2,Sheet6!$C$2,IF(Tim!CF29=Sheet6!$C$3,Sheet6!$C$3,IF(Tim!CF29=Sheet6!$C$4,Sheet6!$C$4,IF(Tim!CF29=Sheet6!$C$5,Sheet6!$C$5,IF(Tim!CF29=Sheet6!$C$6,Sheet6!$C$6,IF(Tim!CF29=Sheet6!$C$7,Sheet6!$C$7,IF(Tim!CF29=Sheet6!$C$8,Sheet6!$C$8,"")))))))</f>
        <v/>
      </c>
      <c r="AI27" s="176" t="str">
        <f>IF(Tim!CG29=Sheet6!$C$2,Sheet6!$C$2,IF(Tim!CG29=Sheet6!$C$3,Sheet6!$C$3,IF(Tim!CG29=Sheet6!$C$4,Sheet6!$C$4,IF(Tim!CG29=Sheet6!$C$5,Sheet6!$C$5,IF(Tim!CG29=Sheet6!$C$6,Sheet6!$C$6,IF(Tim!CG29=Sheet6!$C$7,Sheet6!$C$7,IF(Tim!CG29=Sheet6!$C$8,Sheet6!$C$8,"")))))))</f>
        <v/>
      </c>
      <c r="AJ27" s="53" t="str">
        <f>IF(Tim!CH29=Sheet6!$C$2,Sheet6!$C$2,IF(Tim!CH29=Sheet6!$C$3,Sheet6!$C$3,IF(Tim!CH29=Sheet6!$C$4,Sheet6!$C$4,IF(Tim!CH29=Sheet6!$C$5,Sheet6!$C$5,IF(Tim!CH29=Sheet6!$C$6,Sheet6!$C$6,IF(Tim!CH29=Sheet6!$C$7,Sheet6!$C$7,IF(Tim!CH29=Sheet6!$C$8,Sheet6!$C$8,"")))))))</f>
        <v/>
      </c>
      <c r="AK27" s="53" t="str">
        <f>IF(Tim!CL29=Sheet6!$C$2,Sheet6!$C$2,IF(Tim!CL29=Sheet6!$C$3,Sheet6!$C$3,IF(Tim!CL29=Sheet6!$C$4,Sheet6!$C$4,IF(Tim!CL29=Sheet6!$C$5,Sheet6!$C$5,IF(Tim!CL29=Sheet6!$C$6,Sheet6!$C$6,IF(Tim!CL29=Sheet6!$C$7,Sheet6!$C$7,IF(Tim!CL29=Sheet6!$C$8,Sheet6!$C$8,"")))))))</f>
        <v/>
      </c>
      <c r="AL27" s="54" t="str">
        <f>IF(Tim!CM29=Sheet6!$C$2,Sheet6!$C$2,IF(Tim!CM29=Sheet6!$C$3,Sheet6!$C$3,IF(Tim!CM29=Sheet6!$C$4,Sheet6!$C$4,IF(Tim!CM29=Sheet6!$C$5,Sheet6!$C$5,IF(Tim!CM29=Sheet6!$C$6,Sheet6!$C$6,IF(Tim!CM29=Sheet6!$C$7,Sheet6!$C$7,IF(Tim!CM29=Sheet6!$C$8,Sheet6!$C$8,"")))))))</f>
        <v/>
      </c>
      <c r="AM27" s="54" t="str">
        <f>IF(Tim!CN29=Sheet6!$C$2,Sheet6!$C$2,IF(Tim!CN29=Sheet6!$C$3,Sheet6!$C$3,IF(Tim!CN29=Sheet6!$C$4,Sheet6!$C$4,IF(Tim!CN29=Sheet6!$C$5,Sheet6!$C$5,IF(Tim!CN29=Sheet6!$C$6,Sheet6!$C$6,IF(Tim!CN29=Sheet6!$C$7,Sheet6!$C$7,IF(Tim!CN29=Sheet6!$C$8,Sheet6!$C$8,"")))))))</f>
        <v/>
      </c>
      <c r="AN27" s="54" t="str">
        <f>IF(Tim!CO29=Sheet6!$C$2,Sheet6!$C$2,IF(Tim!CO29=Sheet6!$C$3,Sheet6!$C$3,IF(Tim!CO29=Sheet6!$C$4,Sheet6!$C$4,IF(Tim!CO29=Sheet6!$C$5,Sheet6!$C$5,IF(Tim!CO29=Sheet6!$C$6,Sheet6!$C$6,IF(Tim!CO29=Sheet6!$C$7,Sheet6!$C$7,IF(Tim!CO29=Sheet6!$C$8,Sheet6!$C$8,"")))))))</f>
        <v/>
      </c>
      <c r="AO27" s="55" t="str">
        <f>IF(Tim!CP29=Sheet6!$C$2,Sheet6!$C$2,IF(Tim!CP29=Sheet6!$C$3,Sheet6!$C$3,IF(Tim!CP29=Sheet6!$C$4,Sheet6!$C$4,IF(Tim!CP29=Sheet6!$C$5,Sheet6!$C$5,IF(Tim!CP29=Sheet6!$C$6,Sheet6!$C$6,IF(Tim!CP29=Sheet6!$C$7,Sheet6!$C$7,IF(Tim!CP29=Sheet6!$C$8,Sheet6!$C$8,"")))))))</f>
        <v/>
      </c>
      <c r="AP27" s="53" t="str">
        <f>IF(Tim!CQ29=Sheet6!$C$2,Sheet6!$C$2,IF(Tim!CQ29=Sheet6!$C$3,Sheet6!$C$3,IF(Tim!CQ29=Sheet6!$C$4,Sheet6!$C$4,IF(Tim!CQ29=Sheet6!$C$5,Sheet6!$C$5,IF(Tim!CQ29=Sheet6!$C$6,Sheet6!$C$6,IF(Tim!CQ29=Sheet6!$C$7,Sheet6!$C$7,IF(Tim!CQ29=Sheet6!$C$8,Sheet6!$C$8,"")))))))</f>
        <v/>
      </c>
      <c r="AQ27" s="53" t="str">
        <f>IF(Tim!CR29=Sheet6!$C$2,Sheet6!$C$2,IF(Tim!CR29=Sheet6!$C$3,Sheet6!$C$3,IF(Tim!CR29=Sheet6!$C$4,Sheet6!$C$4,IF(Tim!CR29=Sheet6!$C$5,Sheet6!$C$5,IF(Tim!CR29=Sheet6!$C$6,Sheet6!$C$6,IF(Tim!CR29=Sheet6!$C$7,Sheet6!$C$7,IF(Tim!CR29=Sheet6!$C$8,Sheet6!$C$8,"")))))))</f>
        <v/>
      </c>
      <c r="AR27" s="57" t="str">
        <f>IF(Tim!CV29=Sheet6!$C$2,Sheet6!$C$2,IF(Tim!CV29=Sheet6!$C$3,Sheet6!$C$3,IF(Tim!CV29=Sheet6!$C$4,Sheet6!$C$4,IF(Tim!CV29=Sheet6!$C$5,Sheet6!$C$5,IF(Tim!CV29=Sheet6!$C$6,Sheet6!$C$6,IF(Tim!CV29=Sheet6!$C$7,Sheet6!$C$7,IF(Tim!CV29=Sheet6!$C$8,Sheet6!$C$8,"")))))))</f>
        <v/>
      </c>
      <c r="AS27" s="57" t="str">
        <f>IF(Tim!CW29=Sheet6!$C$2,Sheet6!$C$2,IF(Tim!CW29=Sheet6!$C$3,Sheet6!$C$3,IF(Tim!CW29=Sheet6!$C$4,Sheet6!$C$4,IF(Tim!CW29=Sheet6!$C$5,Sheet6!$C$5,IF(Tim!CW29=Sheet6!$C$6,Sheet6!$C$6,IF(Tim!CW29=Sheet6!$C$7,Sheet6!$C$7,IF(Tim!CW29=Sheet6!$C$8,Sheet6!$C$8,"")))))))</f>
        <v/>
      </c>
      <c r="AT27" s="57" t="str">
        <f>IF(Tim!DA29=Sheet6!$C$2,Sheet6!$C$2,IF(Tim!DA29=Sheet6!$C$3,Sheet6!$C$3,IF(Tim!DA29=Sheet6!$C$4,Sheet6!$C$4,IF(Tim!DA29=Sheet6!$C$5,Sheet6!$C$5,IF(Tim!DA29=Sheet6!$C$6,Sheet6!$C$6,IF(Tim!DA29=Sheet6!$C$7,Sheet6!$C$7,IF(Tim!DA29=Sheet6!$C$8,Sheet6!$C$8,"")))))))</f>
        <v/>
      </c>
      <c r="AU27" s="53" t="str">
        <f>IF(Tim!DO29=Sheet6!$C$2,Sheet6!$C$2,IF(Tim!DO29=Sheet6!$C$3,Sheet6!$C$3,IF(Tim!DO29=Sheet6!$C$4,Sheet6!$C$4,IF(Tim!DO29=Sheet6!$C$5,Sheet6!$C$5,IF(Tim!DO29=Sheet6!$C$6,Sheet6!$C$6,IF(Tim!DO29=Sheet6!$C$7,Sheet6!$C$7,IF(Tim!DO29=Sheet6!$C$8,Sheet6!$C$8,"")))))))</f>
        <v/>
      </c>
      <c r="AV27" s="181" t="str">
        <f>IF(Tim!DP29=Sheet6!$C$2,Sheet6!$C$2,IF(Tim!DP29=Sheet6!$C$3,Sheet6!$C$3,IF(Tim!DP29=Sheet6!$C$4,Sheet6!$C$4,IF(Tim!DP29=Sheet6!$C$5,Sheet6!$C$5,IF(Tim!DP29=Sheet6!$C$6,Sheet6!$C$6,IF(Tim!DP29=Sheet6!$C$7,Sheet6!$C$7,IF(Tim!DP29=Sheet6!$C$8,Sheet6!$C$8,"")))))))</f>
        <v/>
      </c>
      <c r="AW27" s="181" t="str">
        <f>IF(Tim!DX29=Sheet6!$C$2,Sheet6!$C$2,IF(Tim!DX29=Sheet6!$C$3,Sheet6!$C$3,IF(Tim!DX29=Sheet6!$C$4,Sheet6!$C$4,IF(Tim!DX29=Sheet6!$C$5,Sheet6!$C$5,IF(Tim!DX29=Sheet6!$C$6,Sheet6!$C$6,IF(Tim!DX29=Sheet6!$C$7,Sheet6!$C$7,IF(Tim!DX29=Sheet6!$C$8,Sheet6!$C$8,"")))))))</f>
        <v/>
      </c>
      <c r="AX27" s="181" t="str">
        <f>IF(Tim!DY29=Sheet6!$C$2,Sheet6!$C$2,IF(Tim!DY29=Sheet6!$C$3,Sheet6!$C$3,IF(Tim!DY29=Sheet6!$C$4,Sheet6!$C$4,IF(Tim!DY29=Sheet6!$C$5,Sheet6!$C$5,IF(Tim!DY29=Sheet6!$C$6,Sheet6!$C$6,IF(Tim!DY29=Sheet6!$C$7,Sheet6!$C$7,IF(Tim!DY29=Sheet6!$C$8,Sheet6!$C$8,"")))))))</f>
        <v/>
      </c>
      <c r="AY27" s="53" t="str">
        <f>IF(Tim!DZ29=Sheet6!$C$2,Sheet6!$C$2,IF(Tim!DZ29=Sheet6!$C$3,Sheet6!$C$3,IF(Tim!DZ29=Sheet6!$C$4,Sheet6!$C$4,IF(Tim!DZ29=Sheet6!$C$5,Sheet6!$C$5,IF(Tim!DZ29=Sheet6!$C$6,Sheet6!$C$6,IF(Tim!DZ29=Sheet6!$C$7,Sheet6!$C$7,IF(Tim!DZ29=Sheet6!$C$8,Sheet6!$C$8,"")))))))</f>
        <v/>
      </c>
      <c r="AZ27" s="53" t="str">
        <f>IF(Tim!EA29=Sheet6!$C$2,Sheet6!$C$2,IF(Tim!EA29=Sheet6!$C$3,Sheet6!$C$3,IF(Tim!EA29=Sheet6!$C$4,Sheet6!$C$4,IF(Tim!EA29=Sheet6!$C$5,Sheet6!$C$5,IF(Tim!EA29=Sheet6!$C$6,Sheet6!$C$6,IF(Tim!EA29=Sheet6!$C$7,Sheet6!$C$7,IF(Tim!EA29=Sheet6!$C$8,Sheet6!$C$8,"")))))))</f>
        <v/>
      </c>
      <c r="BA27" s="176" t="str">
        <f>IF(Tim!EB29=Sheet6!$C$2,Sheet6!$C$2,IF(Tim!EB29=Sheet6!$C$3,Sheet6!$C$3,IF(Tim!EB29=Sheet6!$C$4,Sheet6!$C$4,IF(Tim!EB29=Sheet6!$C$5,Sheet6!$C$5,IF(Tim!EB29=Sheet6!$C$6,Sheet6!$C$6,IF(Tim!EB29=Sheet6!$C$7,Sheet6!$C$7,IF(Tim!EB29=Sheet6!$C$8,Sheet6!$C$8,"")))))))</f>
        <v/>
      </c>
      <c r="BB27" s="53" t="str">
        <f>IF(Tim!EC29=Sheet6!$C$2,Sheet6!$C$2,IF(Tim!EC29=Sheet6!$C$3,Sheet6!$C$3,IF(Tim!EC29=Sheet6!$C$4,Sheet6!$C$4,IF(Tim!EC29=Sheet6!$C$5,Sheet6!$C$5,IF(Tim!EC29=Sheet6!$C$6,Sheet6!$C$6,IF(Tim!EC29=Sheet6!$C$7,Sheet6!$C$7,IF(Tim!EC29=Sheet6!$C$8,Sheet6!$C$8,"")))))))</f>
        <v/>
      </c>
      <c r="BC27" s="53" t="str">
        <f>IF(Tim!EG29=Sheet6!$C$2,Sheet6!$C$2,IF(Tim!EG29=Sheet6!$C$3,Sheet6!$C$3,IF(Tim!EG29=Sheet6!$C$4,Sheet6!$C$4,IF(Tim!EG29=Sheet6!$C$5,Sheet6!$C$5,IF(Tim!EG29=Sheet6!$C$6,Sheet6!$C$6,IF(Tim!EG29=Sheet6!$C$7,Sheet6!$C$7,IF(Tim!EG29=Sheet6!$C$8,Sheet6!$C$8,"")))))))</f>
        <v/>
      </c>
      <c r="BD27" s="54" t="str">
        <f>IF(Tim!EH29=Sheet6!$C$2,Sheet6!$C$2,IF(Tim!EH29=Sheet6!$C$3,Sheet6!$C$3,IF(Tim!EH29=Sheet6!$C$4,Sheet6!$C$4,IF(Tim!EH29=Sheet6!$C$5,Sheet6!$C$5,IF(Tim!EH29=Sheet6!$C$6,Sheet6!$C$6,IF(Tim!EH29=Sheet6!$C$7,Sheet6!$C$7,IF(Tim!EH29=Sheet6!$C$8,Sheet6!$C$8,"")))))))</f>
        <v/>
      </c>
      <c r="BE27" s="54" t="str">
        <f>IF(Tim!EI29=Sheet6!$C$2,Sheet6!$C$2,IF(Tim!EI29=Sheet6!$C$3,Sheet6!$C$3,IF(Tim!EI29=Sheet6!$C$4,Sheet6!$C$4,IF(Tim!EI29=Sheet6!$C$5,Sheet6!$C$5,IF(Tim!EI29=Sheet6!$C$6,Sheet6!$C$6,IF(Tim!EI29=Sheet6!$C$7,Sheet6!$C$7,IF(Tim!EI29=Sheet6!$C$8,Sheet6!$C$8,"")))))))</f>
        <v/>
      </c>
      <c r="BF27" s="54" t="str">
        <f>IF(Tim!EJ29=Sheet6!$C$2,Sheet6!$C$2,IF(Tim!EJ29=Sheet6!$C$3,Sheet6!$C$3,IF(Tim!EJ29=Sheet6!$C$4,Sheet6!$C$4,IF(Tim!EJ29=Sheet6!$C$5,Sheet6!$C$5,IF(Tim!EJ29=Sheet6!$C$6,Sheet6!$C$6,IF(Tim!EJ29=Sheet6!$C$7,Sheet6!$C$7,IF(Tim!EJ29=Sheet6!$C$8,Sheet6!$C$8,"")))))))</f>
        <v/>
      </c>
      <c r="BG27" s="55" t="str">
        <f>IF(Tim!EK29=Sheet6!$C$2,Sheet6!$C$2,IF(Tim!EK29=Sheet6!$C$3,Sheet6!$C$3,IF(Tim!EK29=Sheet6!$C$4,Sheet6!$C$4,IF(Tim!EK29=Sheet6!$C$5,Sheet6!$C$5,IF(Tim!EK29=Sheet6!$C$6,Sheet6!$C$6,IF(Tim!EK29=Sheet6!$C$7,Sheet6!$C$7,IF(Tim!EK29=Sheet6!$C$8,Sheet6!$C$8,"")))))))</f>
        <v/>
      </c>
      <c r="BH27" s="53" t="str">
        <f>IF(Tim!EL29=Sheet6!$C$2,Sheet6!$C$2,IF(Tim!EL29=Sheet6!$C$3,Sheet6!$C$3,IF(Tim!EL29=Sheet6!$C$4,Sheet6!$C$4,IF(Tim!EL29=Sheet6!$C$5,Sheet6!$C$5,IF(Tim!EL29=Sheet6!$C$6,Sheet6!$C$6,IF(Tim!EL29=Sheet6!$C$7,Sheet6!$C$7,IF(Tim!EL29=Sheet6!$C$8,Sheet6!$C$8,"")))))))</f>
        <v/>
      </c>
      <c r="BI27" s="57" t="str">
        <f>IF(Tim!EM29=Sheet6!$C$2,Sheet6!$C$2,IF(Tim!EM29=Sheet6!$C$3,Sheet6!$C$3,IF(Tim!EM29=Sheet6!$C$4,Sheet6!$C$4,IF(Tim!EM29=Sheet6!$C$5,Sheet6!$C$5,IF(Tim!EM29=Sheet6!$C$6,Sheet6!$C$6,IF(Tim!EM29=Sheet6!$C$7,Sheet6!$C$7,IF(Tim!EM29=Sheet6!$C$8,Sheet6!$C$8,"")))))))</f>
        <v/>
      </c>
      <c r="BJ27" s="57" t="str">
        <f>IF(Tim!EQ29=Sheet6!$C$2,Sheet6!$C$2,IF(Tim!EQ29=Sheet6!$C$3,Sheet6!$C$3,IF(Tim!EQ29=Sheet6!$C$4,Sheet6!$C$4,IF(Tim!EQ29=Sheet6!$C$5,Sheet6!$C$5,IF(Tim!EQ29=Sheet6!$C$6,Sheet6!$C$6,IF(Tim!EQ29=Sheet6!$C$7,Sheet6!$C$7,IF(Tim!EQ29=Sheet6!$C$8,Sheet6!$C$8,"")))))))</f>
        <v/>
      </c>
      <c r="BK27" s="57" t="str">
        <f>IF(Tim!ER29=Sheet6!$C$2,Sheet6!$C$2,IF(Tim!ER29=Sheet6!$C$3,Sheet6!$C$3,IF(Tim!ER29=Sheet6!$C$4,Sheet6!$C$4,IF(Tim!ER29=Sheet6!$C$5,Sheet6!$C$5,IF(Tim!ER29=Sheet6!$C$6,Sheet6!$C$6,IF(Tim!ER29=Sheet6!$C$7,Sheet6!$C$7,IF(Tim!ER29=Sheet6!$C$8,Sheet6!$C$8,"")))))))</f>
        <v/>
      </c>
      <c r="BL27" s="57" t="str">
        <f>IF(Tim!EZ29=Sheet6!$C$2,Sheet6!$C$2,IF(Tim!EZ29=Sheet6!$C$3,Sheet6!$C$3,IF(Tim!EZ29=Sheet6!$C$4,Sheet6!$C$4,IF(Tim!EZ29=Sheet6!$C$5,Sheet6!$C$5,IF(Tim!EZ29=Sheet6!$C$6,Sheet6!$C$6,IF(Tim!EZ29=Sheet6!$C$7,Sheet6!$C$7,IF(Tim!EZ29=Sheet6!$C$8,Sheet6!$C$8,"")))))))</f>
        <v/>
      </c>
      <c r="BM27" s="53" t="str">
        <f>IF(Tim!FG29=Sheet6!$C$2,Sheet6!$C$2,IF(Tim!FG29=Sheet6!$C$3,Sheet6!$C$3,IF(Tim!FG29=Sheet6!$C$4,Sheet6!$C$4,IF(Tim!FG29=Sheet6!$C$5,Sheet6!$C$5,IF(Tim!FG29=Sheet6!$C$6,Sheet6!$C$6,IF(Tim!FG29=Sheet6!$C$7,Sheet6!$C$7,IF(Tim!FG29=Sheet6!$C$8,Sheet6!$C$8,"")))))))</f>
        <v/>
      </c>
      <c r="BN27" s="181" t="str">
        <f>IF(Tim!FH29=Sheet6!$C$2,Sheet6!$C$2,IF(Tim!FH29=Sheet6!$C$3,Sheet6!$C$3,IF(Tim!FH29=Sheet6!$C$4,Sheet6!$C$4,IF(Tim!FH29=Sheet6!$C$5,Sheet6!$C$5,IF(Tim!FH29=Sheet6!$C$6,Sheet6!$C$6,IF(Tim!FH29=Sheet6!$C$7,Sheet6!$C$7,IF(Tim!FH29=Sheet6!$C$8,Sheet6!$C$8,"")))))))</f>
        <v/>
      </c>
      <c r="BO27" s="181" t="str">
        <f>IF(Tim!FP29=Sheet6!$C$2,Sheet6!$C$2,IF(Tim!FP29=Sheet6!$C$3,Sheet6!$C$3,IF(Tim!FP29=Sheet6!$C$4,Sheet6!$C$4,IF(Tim!FP29=Sheet6!$C$5,Sheet6!$C$5,IF(Tim!FP29=Sheet6!$C$6,Sheet6!$C$6,IF(Tim!FP29=Sheet6!$C$7,Sheet6!$C$7,IF(Tim!FP29=Sheet6!$C$8,Sheet6!$C$8,"")))))))</f>
        <v/>
      </c>
      <c r="BP27" s="181" t="str">
        <f>IF(Tim!FQ29=Sheet6!$C$2,Sheet6!$C$2,IF(Tim!FQ29=Sheet6!$C$3,Sheet6!$C$3,IF(Tim!FQ29=Sheet6!$C$4,Sheet6!$C$4,IF(Tim!FQ29=Sheet6!$C$5,Sheet6!$C$5,IF(Tim!FQ29=Sheet6!$C$6,Sheet6!$C$6,IF(Tim!FQ29=Sheet6!$C$7,Sheet6!$C$7,IF(Tim!FQ29=Sheet6!$C$8,Sheet6!$C$8,"")))))))</f>
        <v/>
      </c>
      <c r="BQ27" s="53" t="str">
        <f>IF(Tim!FR29=Sheet6!$C$2,Sheet6!$C$2,IF(Tim!FR29=Sheet6!$C$3,Sheet6!$C$3,IF(Tim!FR29=Sheet6!$C$4,Sheet6!$C$4,IF(Tim!FR29=Sheet6!$C$5,Sheet6!$C$5,IF(Tim!FR29=Sheet6!$C$6,Sheet6!$C$6,IF(Tim!FR29=Sheet6!$C$7,Sheet6!$C$7,IF(Tim!FR29=Sheet6!$C$8,Sheet6!$C$8,"")))))))</f>
        <v/>
      </c>
      <c r="BR27" s="53" t="str">
        <f>IF(Tim!FS29=Sheet6!$C$2,Sheet6!$C$2,IF(Tim!FS29=Sheet6!$C$3,Sheet6!$C$3,IF(Tim!FS29=Sheet6!$C$4,Sheet6!$C$4,IF(Tim!FS29=Sheet6!$C$5,Sheet6!$C$5,IF(Tim!FS29=Sheet6!$C$6,Sheet6!$C$6,IF(Tim!FS29=Sheet6!$C$7,Sheet6!$C$7,IF(Tim!FS29=Sheet6!$C$8,Sheet6!$C$8,"")))))))</f>
        <v/>
      </c>
      <c r="BS27" s="53" t="str">
        <f>IF(Tim!FT29=Sheet6!$C$2,Sheet6!$C$2,IF(Tim!FT29=Sheet6!$C$3,Sheet6!$C$3,IF(Tim!FT29=Sheet6!$C$4,Sheet6!$C$4,IF(Tim!FT29=Sheet6!$C$5,Sheet6!$C$5,IF(Tim!FT29=Sheet6!$C$6,Sheet6!$C$6,IF(Tim!FT29=Sheet6!$C$7,Sheet6!$C$7,IF(Tim!FT29=Sheet6!$C$8,Sheet6!$C$8,"")))))))</f>
        <v/>
      </c>
      <c r="BT27" s="53" t="str">
        <f>IF(Tim!FU29=Sheet6!$C$2,Sheet6!$C$2,IF(Tim!FU29=Sheet6!$C$3,Sheet6!$C$3,IF(Tim!FU29=Sheet6!$C$4,Sheet6!$C$4,IF(Tim!FU29=Sheet6!$C$5,Sheet6!$C$5,IF(Tim!FU29=Sheet6!$C$6,Sheet6!$C$6,IF(Tim!FU29=Sheet6!$C$7,Sheet6!$C$7,IF(Tim!FU29=Sheet6!$C$8,Sheet6!$C$8,"")))))))</f>
        <v/>
      </c>
      <c r="BU27" s="53" t="str">
        <f>IF(Tim!FY29=Sheet6!$C$2,Sheet6!$C$2,IF(Tim!FY29=Sheet6!$C$3,Sheet6!$C$3,IF(Tim!FY29=Sheet6!$C$4,Sheet6!$C$4,IF(Tim!FY29=Sheet6!$C$5,Sheet6!$C$5,IF(Tim!FY29=Sheet6!$C$6,Sheet6!$C$6,IF(Tim!FY29=Sheet6!$C$7,Sheet6!$C$7,IF(Tim!FY29=Sheet6!$C$8,Sheet6!$C$8,"")))))))</f>
        <v/>
      </c>
      <c r="BV27" s="54" t="str">
        <f>IF(Tim!FZ29=Sheet6!$C$2,Sheet6!$C$2,IF(Tim!FZ29=Sheet6!$C$3,Sheet6!$C$3,IF(Tim!FZ29=Sheet6!$C$4,Sheet6!$C$4,IF(Tim!FZ29=Sheet6!$C$5,Sheet6!$C$5,IF(Tim!FZ29=Sheet6!$C$6,Sheet6!$C$6,IF(Tim!FZ29=Sheet6!$C$7,Sheet6!$C$7,IF(Tim!FZ29=Sheet6!$C$8,Sheet6!$C$8,"")))))))</f>
        <v/>
      </c>
      <c r="BW27" s="54" t="str">
        <f>IF(Tim!GA29=Sheet6!$C$2,Sheet6!$C$2,IF(Tim!GA29=Sheet6!$C$3,Sheet6!$C$3,IF(Tim!GA29=Sheet6!$C$4,Sheet6!$C$4,IF(Tim!GA29=Sheet6!$C$5,Sheet6!$C$5,IF(Tim!GA29=Sheet6!$C$6,Sheet6!$C$6,IF(Tim!GA29=Sheet6!$C$7,Sheet6!$C$7,IF(Tim!GA29=Sheet6!$C$8,Sheet6!$C$8,"")))))))</f>
        <v/>
      </c>
      <c r="BX27" s="54" t="str">
        <f>IF(Tim!GB29=Sheet6!$C$2,Sheet6!$C$2,IF(Tim!GB29=Sheet6!$C$3,Sheet6!$C$3,IF(Tim!GB29=Sheet6!$C$4,Sheet6!$C$4,IF(Tim!GB29=Sheet6!$C$5,Sheet6!$C$5,IF(Tim!GB29=Sheet6!$C$6,Sheet6!$C$6,IF(Tim!GB29=Sheet6!$C$7,Sheet6!$C$7,IF(Tim!GB29=Sheet6!$C$8,Sheet6!$C$8,"")))))))</f>
        <v/>
      </c>
      <c r="BY27" s="55" t="str">
        <f>IF(Tim!GC29=Sheet6!$C$2,Sheet6!$C$2,IF(Tim!GC29=Sheet6!$C$3,Sheet6!$C$3,IF(Tim!GC29=Sheet6!$C$4,Sheet6!$C$4,IF(Tim!GC29=Sheet6!$C$5,Sheet6!$C$5,IF(Tim!GC29=Sheet6!$C$6,Sheet6!$C$6,IF(Tim!GC29=Sheet6!$C$7,Sheet6!$C$7,IF(Tim!GC29=Sheet6!$C$8,Sheet6!$C$8,"")))))))</f>
        <v/>
      </c>
      <c r="BZ27" s="53" t="str">
        <f>IF(Tim!GD29=Sheet6!$C$2,Sheet6!$C$2,IF(Tim!GD29=Sheet6!$C$3,Sheet6!$C$3,IF(Tim!GD29=Sheet6!$C$4,Sheet6!$C$4,IF(Tim!GD29=Sheet6!$C$5,Sheet6!$C$5,IF(Tim!GD29=Sheet6!$C$6,Sheet6!$C$6,IF(Tim!GD29=Sheet6!$C$7,Sheet6!$C$7,IF(Tim!GD29=Sheet6!$C$8,Sheet6!$C$8,"")))))))</f>
        <v/>
      </c>
      <c r="CA27" s="53" t="str">
        <f>IF(Tim!GE29=Sheet6!$C$2,Sheet6!$C$2,IF(Tim!GE29=Sheet6!$C$3,Sheet6!$C$3,IF(Tim!GE29=Sheet6!$C$4,Sheet6!$C$4,IF(Tim!GE29=Sheet6!$C$5,Sheet6!$C$5,IF(Tim!GE29=Sheet6!$C$6,Sheet6!$C$6,IF(Tim!GE29=Sheet6!$C$7,Sheet6!$C$7,IF(Tim!GE29=Sheet6!$C$8,Sheet6!$C$8,"")))))))</f>
        <v/>
      </c>
      <c r="CB27" s="53" t="str">
        <f>IF(Tim!GI29=Sheet6!$C$2,Sheet6!$C$2,IF(Tim!GI29=Sheet6!$C$3,Sheet6!$C$3,IF(Tim!GI29=Sheet6!$C$4,Sheet6!$C$4,IF(Tim!GI29=Sheet6!$C$5,Sheet6!$C$5,IF(Tim!GI29=Sheet6!$C$6,Sheet6!$C$6,IF(Tim!GI29=Sheet6!$C$7,Sheet6!$C$7,IF(Tim!GI29=Sheet6!$C$8,Sheet6!$C$8,"")))))))</f>
        <v/>
      </c>
      <c r="CC27" s="53" t="str">
        <f>IF(Tim!GJ29=Sheet6!$C$2,Sheet6!$C$2,IF(Tim!GJ29=Sheet6!$C$3,Sheet6!$C$3,IF(Tim!GJ29=Sheet6!$C$4,Sheet6!$C$4,IF(Tim!GJ29=Sheet6!$C$5,Sheet6!$C$5,IF(Tim!GJ29=Sheet6!$C$6,Sheet6!$C$6,IF(Tim!GJ29=Sheet6!$C$7,Sheet6!$C$7,IF(Tim!GJ29=Sheet6!$C$8,Sheet6!$C$8,"")))))))</f>
        <v/>
      </c>
      <c r="CD27" s="53" t="str">
        <f>IF(Tim!GN29=Sheet6!$C$2,Sheet6!$C$2,IF(Tim!GN29=Sheet6!$C$3,Sheet6!$C$3,IF(Tim!GN29=Sheet6!$C$4,Sheet6!$C$4,IF(Tim!GN29=Sheet6!$C$5,Sheet6!$C$5,IF(Tim!GN29=Sheet6!$C$6,Sheet6!$C$6,IF(Tim!GN29=Sheet6!$C$7,Sheet6!$C$7,IF(Tim!GN29=Sheet6!$C$8,Sheet6!$C$8,"")))))))</f>
        <v/>
      </c>
      <c r="CE27" s="53" t="str">
        <f>IF(Tim!GY29=Sheet6!$C$2,Sheet6!$C$2,IF(Tim!GY29=Sheet6!$C$3,Sheet6!$C$3,IF(Tim!GY29=Sheet6!$C$4,Sheet6!$C$4,IF(Tim!GY29=Sheet6!$C$5,Sheet6!$C$5,IF(Tim!GY29=Sheet6!$C$6,Sheet6!$C$6,IF(Tim!GY29=Sheet6!$C$7,Sheet6!$C$7,IF(Tim!GY29=Sheet6!$C$8,Sheet6!$C$8,"")))))))</f>
        <v/>
      </c>
      <c r="CF27" s="181" t="str">
        <f>IF(Tim!GZ29=Sheet6!$C$2,Sheet6!$C$2,IF(Tim!GZ29=Sheet6!$C$3,Sheet6!$C$3,IF(Tim!GZ29=Sheet6!$C$4,Sheet6!$C$4,IF(Tim!GZ29=Sheet6!$C$5,Sheet6!$C$5,IF(Tim!GZ29=Sheet6!$C$6,Sheet6!$C$6,IF(Tim!GZ29=Sheet6!$C$7,Sheet6!$C$7,IF(Tim!GZ29=Sheet6!$C$8,Sheet6!$C$8,"")))))))</f>
        <v/>
      </c>
      <c r="CG27" s="181" t="str">
        <f>IF(Tim!HH29=Sheet6!$C$2,Sheet6!$C$2,IF(Tim!HH29=Sheet6!$C$3,Sheet6!$C$3,IF(Tim!HH29=Sheet6!$C$4,Sheet6!$C$4,IF(Tim!HH29=Sheet6!$C$5,Sheet6!$C$5,IF(Tim!HH29=Sheet6!$C$6,Sheet6!$C$6,IF(Tim!HH29=Sheet6!$C$7,Sheet6!$C$7,IF(Tim!HH29=Sheet6!$C$8,Sheet6!$C$8,"")))))))</f>
        <v/>
      </c>
      <c r="CH27" s="181" t="str">
        <f>IF(Tim!HI29=Sheet6!$C$2,Sheet6!$C$2,IF(Tim!HI29=Sheet6!$C$3,Sheet6!$C$3,IF(Tim!HI29=Sheet6!$C$4,Sheet6!$C$4,IF(Tim!HI29=Sheet6!$C$5,Sheet6!$C$5,IF(Tim!HI29=Sheet6!$C$6,Sheet6!$C$6,IF(Tim!HI29=Sheet6!$C$7,Sheet6!$C$7,IF(Tim!HI29=Sheet6!$C$8,Sheet6!$C$8,"")))))))</f>
        <v/>
      </c>
      <c r="CI27" s="181" t="str">
        <f>IF(Tim!HJ29=Sheet6!$C$2,Sheet6!$C$2,IF(Tim!HJ29=Sheet6!$C$3,Sheet6!$C$3,IF(Tim!HJ29=Sheet6!$C$4,Sheet6!$C$4,IF(Tim!HJ29=Sheet6!$C$5,Sheet6!$C$5,IF(Tim!HJ29=Sheet6!$C$6,Sheet6!$C$6,IF(Tim!HJ29=Sheet6!$C$7,Sheet6!$C$7,IF(Tim!HJ29=Sheet6!$C$8,Sheet6!$C$8,"")))))))</f>
        <v/>
      </c>
      <c r="CJ27" s="53" t="str">
        <f>IF(Tim!HK29=Sheet6!$C$2,Sheet6!$C$2,IF(Tim!HK29=Sheet6!$C$3,Sheet6!$C$3,IF(Tim!HK29=Sheet6!$C$4,Sheet6!$C$4,IF(Tim!HK29=Sheet6!$C$5,Sheet6!$C$5,IF(Tim!HK29=Sheet6!$C$6,Sheet6!$C$6,IF(Tim!HK29=Sheet6!$C$7,Sheet6!$C$7,IF(Tim!HK29=Sheet6!$C$8,Sheet6!$C$8,"")))))))</f>
        <v/>
      </c>
      <c r="CK27" s="53" t="str">
        <f>IF(Tim!HL29=Sheet6!$C$2,Sheet6!$C$2,IF(Tim!HL29=Sheet6!$C$3,Sheet6!$C$3,IF(Tim!HL29=Sheet6!$C$4,Sheet6!$C$4,IF(Tim!HL29=Sheet6!$C$5,Sheet6!$C$5,IF(Tim!HL29=Sheet6!$C$6,Sheet6!$C$6,IF(Tim!HL29=Sheet6!$C$7,Sheet6!$C$7,IF(Tim!HL29=Sheet6!$C$8,Sheet6!$C$8,"")))))))</f>
        <v/>
      </c>
      <c r="CL27" s="53" t="str">
        <f>IF(Tim!HM29=Sheet6!$C$2,Sheet6!$C$2,IF(Tim!HM29=Sheet6!$C$3,Sheet6!$C$3,IF(Tim!HM29=Sheet6!$C$4,Sheet6!$C$4,IF(Tim!HM29=Sheet6!$C$5,Sheet6!$C$5,IF(Tim!HM29=Sheet6!$C$6,Sheet6!$C$6,IF(Tim!HM29=Sheet6!$C$7,Sheet6!$C$7,IF(Tim!HM29=Sheet6!$C$8,Sheet6!$C$8,"")))))))</f>
        <v/>
      </c>
      <c r="CM27" s="53" t="str">
        <f>IF(Tim!HQ29=Sheet6!$C$2,Sheet6!$C$2,IF(Tim!HQ29=Sheet6!$C$3,Sheet6!$C$3,IF(Tim!HQ29=Sheet6!$C$4,Sheet6!$C$4,IF(Tim!HQ29=Sheet6!$C$5,Sheet6!$C$5,IF(Tim!HQ29=Sheet6!$C$6,Sheet6!$C$6,IF(Tim!HQ29=Sheet6!$C$7,Sheet6!$C$7,IF(Tim!HQ29=Sheet6!$C$8,Sheet6!$C$8,"")))))))</f>
        <v/>
      </c>
      <c r="CN27" s="54" t="str">
        <f>IF(Tim!HR29=Sheet6!$C$2,Sheet6!$C$2,IF(Tim!HR29=Sheet6!$C$3,Sheet6!$C$3,IF(Tim!HR29=Sheet6!$C$4,Sheet6!$C$4,IF(Tim!HR29=Sheet6!$C$5,Sheet6!$C$5,IF(Tim!HR29=Sheet6!$C$6,Sheet6!$C$6,IF(Tim!HR29=Sheet6!$C$7,Sheet6!$C$7,IF(Tim!HR29=Sheet6!$C$8,Sheet6!$C$8,"")))))))</f>
        <v/>
      </c>
      <c r="CO27" s="54" t="str">
        <f>IF(Tim!HS29=Sheet6!$C$2,Sheet6!$C$2,IF(Tim!HS29=Sheet6!$C$3,Sheet6!$C$3,IF(Tim!HS29=Sheet6!$C$4,Sheet6!$C$4,IF(Tim!HS29=Sheet6!$C$5,Sheet6!$C$5,IF(Tim!HS29=Sheet6!$C$6,Sheet6!$C$6,IF(Tim!HS29=Sheet6!$C$7,Sheet6!$C$7,IF(Tim!HS29=Sheet6!$C$8,Sheet6!$C$8,"")))))))</f>
        <v/>
      </c>
      <c r="CP27" s="54" t="str">
        <f>IF(Tim!HT29=Sheet6!$C$2,Sheet6!$C$2,IF(Tim!HT29=Sheet6!$C$3,Sheet6!$C$3,IF(Tim!HT29=Sheet6!$C$4,Sheet6!$C$4,IF(Tim!HT29=Sheet6!$C$5,Sheet6!$C$5,IF(Tim!HT29=Sheet6!$C$6,Sheet6!$C$6,IF(Tim!HT29=Sheet6!$C$7,Sheet6!$C$7,IF(Tim!HT29=Sheet6!$C$8,Sheet6!$C$8,"")))))))</f>
        <v/>
      </c>
      <c r="CQ27" s="55" t="str">
        <f>IF(Tim!HU29=Sheet6!$C$2,Sheet6!$C$2,IF(Tim!HU29=Sheet6!$C$3,Sheet6!$C$3,IF(Tim!HU29=Sheet6!$C$4,Sheet6!$C$4,IF(Tim!HU29=Sheet6!$C$5,Sheet6!$C$5,IF(Tim!HU29=Sheet6!$C$6,Sheet6!$C$6,IF(Tim!HU29=Sheet6!$C$7,Sheet6!$C$7,IF(Tim!HU29=Sheet6!$C$8,Sheet6!$C$8,"")))))))</f>
        <v/>
      </c>
      <c r="CR27" s="56" t="str">
        <f>IF(Tim!HV29=Sheet6!$C$2,Sheet6!$C$2,IF(Tim!HV29=Sheet6!$C$3,Sheet6!$C$3,IF(Tim!HV29=Sheet6!$C$4,Sheet6!$C$4,IF(Tim!HV29=Sheet6!$C$5,Sheet6!$C$5,IF(Tim!HV29=Sheet6!$C$6,Sheet6!$C$6,IF(Tim!HV29=Sheet6!$C$7,Sheet6!$C$7,IF(Tim!HV29=Sheet6!$C$8,Sheet6!$C$8,"")))))))</f>
        <v/>
      </c>
      <c r="CS27" s="57" t="str">
        <f>IF(Tim!IB29=Sheet6!$C$2,Sheet6!$C$2,IF(Tim!IB29=Sheet6!$C$3,Sheet6!$C$3,IF(Tim!IB29=Sheet6!$C$4,Sheet6!$C$4,IF(Tim!IB29=Sheet6!$C$5,Sheet6!$C$5,IF(Tim!IB29=Sheet6!$C$6,Sheet6!$C$6,IF(Tim!IB29=Sheet6!$C$7,Sheet6!$C$7,IF(Tim!IB29=Sheet6!$C$8,Sheet6!$C$8,"")))))))</f>
        <v/>
      </c>
      <c r="CT27" s="57" t="str">
        <f>IF(Tim!IJ29=Sheet6!$C$2,Sheet6!$C$2,IF(Tim!IJ29=Sheet6!$C$3,Sheet6!$C$3,IF(Tim!IJ29=Sheet6!$C$4,Sheet6!$C$4,IF(Tim!IJ29=Sheet6!$C$5,Sheet6!$C$5,IF(Tim!IJ29=Sheet6!$C$6,Sheet6!$C$6,IF(Tim!IJ29=Sheet6!$C$7,Sheet6!$C$7,IF(Tim!IJ29=Sheet6!$C$8,Sheet6!$C$8,"")))))))</f>
        <v/>
      </c>
      <c r="CU27" s="53" t="str">
        <f>IF(Tim!IQ29=Sheet6!$C$2,Sheet6!$C$2,IF(Tim!IQ29=Sheet6!$C$3,Sheet6!$C$3,IF(Tim!IQ29=Sheet6!$C$4,Sheet6!$C$4,IF(Tim!IQ29=Sheet6!$C$5,Sheet6!$C$5,IF(Tim!IQ29=Sheet6!$C$6,Sheet6!$C$6,IF(Tim!IQ29=Sheet6!$C$7,Sheet6!$C$7,IF(Tim!IQ29=Sheet6!$C$8,Sheet6!$C$8,"")))))))</f>
        <v/>
      </c>
      <c r="CV27" s="53" t="str">
        <f>IF(Tim!IR29=Sheet6!$C$2,Sheet6!$C$2,IF(Tim!IR29=Sheet6!$C$3,Sheet6!$C$3,IF(Tim!IR29=Sheet6!$C$4,Sheet6!$C$4,IF(Tim!IR29=Sheet6!$C$5,Sheet6!$C$5,IF(Tim!IR29=Sheet6!$C$6,Sheet6!$C$6,IF(Tim!IR29=Sheet6!$C$7,Sheet6!$C$7,IF(Tim!IR29=Sheet6!$C$8,Sheet6!$C$8,"")))))))</f>
        <v/>
      </c>
      <c r="CW27" s="53" t="str">
        <f>IF(Tim!IZ29=Sheet6!$C$2,Sheet6!$C$2,IF(Tim!IZ29=Sheet6!$C$3,Sheet6!$C$3,IF(Tim!IZ29=Sheet6!$C$4,Sheet6!$C$4,IF(Tim!IZ29=Sheet6!$C$5,Sheet6!$C$5,IF(Tim!IZ29=Sheet6!$C$6,Sheet6!$C$6,IF(Tim!IZ29=Sheet6!$C$7,Sheet6!$C$7,IF(Tim!IZ29=Sheet6!$C$8,Sheet6!$C$8,"")))))))</f>
        <v/>
      </c>
      <c r="CX27" s="53" t="str">
        <f>IF(Tim!JA29=Sheet6!$C$2,Sheet6!$C$2,IF(Tim!JA29=Sheet6!$C$3,Sheet6!$C$3,IF(Tim!JA29=Sheet6!$C$4,Sheet6!$C$4,IF(Tim!JA29=Sheet6!$C$5,Sheet6!$C$5,IF(Tim!JA29=Sheet6!$C$6,Sheet6!$C$6,IF(Tim!JA29=Sheet6!$C$7,Sheet6!$C$7,IF(Tim!JA29=Sheet6!$C$8,Sheet6!$C$8,"")))))))</f>
        <v/>
      </c>
      <c r="CY27" s="53" t="str">
        <f>IF(Tim!JB29=Sheet6!$C$2,Sheet6!$C$2,IF(Tim!JB29=Sheet6!$C$3,Sheet6!$C$3,IF(Tim!JB29=Sheet6!$C$4,Sheet6!$C$4,IF(Tim!JB29=Sheet6!$C$5,Sheet6!$C$5,IF(Tim!JB29=Sheet6!$C$6,Sheet6!$C$6,IF(Tim!JB29=Sheet6!$C$7,Sheet6!$C$7,IF(Tim!JB29=Sheet6!$C$8,Sheet6!$C$8,"")))))))</f>
        <v/>
      </c>
      <c r="CZ27" s="53" t="str">
        <f>IF(Tim!JC29=Sheet6!$C$2,Sheet6!$C$2,IF(Tim!JC29=Sheet6!$C$3,Sheet6!$C$3,IF(Tim!JC29=Sheet6!$C$4,Sheet6!$C$4,IF(Tim!JC29=Sheet6!$C$5,Sheet6!$C$5,IF(Tim!JC29=Sheet6!$C$6,Sheet6!$C$6,IF(Tim!JC29=Sheet6!$C$7,Sheet6!$C$7,IF(Tim!JC29=Sheet6!$C$8,Sheet6!$C$8,"")))))))</f>
        <v/>
      </c>
      <c r="DA27" s="53" t="str">
        <f>IF(Tim!JD29=Sheet6!$C$2,Sheet6!$C$2,IF(Tim!JD29=Sheet6!$C$3,Sheet6!$C$3,IF(Tim!JD29=Sheet6!$C$4,Sheet6!$C$4,IF(Tim!JD29=Sheet6!$C$5,Sheet6!$C$5,IF(Tim!JD29=Sheet6!$C$6,Sheet6!$C$6,IF(Tim!JD29=Sheet6!$C$7,Sheet6!$C$7,IF(Tim!JD29=Sheet6!$C$8,Sheet6!$C$8,"")))))))</f>
        <v/>
      </c>
      <c r="DB27" s="53" t="str">
        <f>IF(Tim!JE29=Sheet6!$C$2,Sheet6!$C$2,IF(Tim!JE29=Sheet6!$C$3,Sheet6!$C$3,IF(Tim!JE29=Sheet6!$C$4,Sheet6!$C$4,IF(Tim!JE29=Sheet6!$C$5,Sheet6!$C$5,IF(Tim!JE29=Sheet6!$C$6,Sheet6!$C$6,IF(Tim!JE29=Sheet6!$C$7,Sheet6!$C$7,IF(Tim!JE29=Sheet6!$C$8,Sheet6!$C$8,"")))))))</f>
        <v/>
      </c>
      <c r="DC27" s="53" t="str">
        <f>IF(Tim!JI29=Sheet6!$C$2,Sheet6!$C$2,IF(Tim!JI29=Sheet6!$C$3,Sheet6!$C$3,IF(Tim!JI29=Sheet6!$C$4,Sheet6!$C$4,IF(Tim!JI29=Sheet6!$C$5,Sheet6!$C$5,IF(Tim!JI29=Sheet6!$C$6,Sheet6!$C$6,IF(Tim!JI29=Sheet6!$C$7,Sheet6!$C$7,IF(Tim!JI29=Sheet6!$C$8,Sheet6!$C$8,"")))))))</f>
        <v/>
      </c>
      <c r="DD27" s="54" t="str">
        <f>IF(Tim!JJ29=Sheet6!$C$2,Sheet6!$C$2,IF(Tim!JJ29=Sheet6!$C$3,Sheet6!$C$3,IF(Tim!JJ29=Sheet6!$C$4,Sheet6!$C$4,IF(Tim!JJ29=Sheet6!$C$5,Sheet6!$C$5,IF(Tim!JJ29=Sheet6!$C$6,Sheet6!$C$6,IF(Tim!JJ29=Sheet6!$C$7,Sheet6!$C$7,IF(Tim!JJ29=Sheet6!$C$8,Sheet6!$C$8,"")))))))</f>
        <v/>
      </c>
      <c r="DE27" s="54" t="str">
        <f>IF(Tim!JK29=Sheet6!$C$2,Sheet6!$C$2,IF(Tim!JK29=Sheet6!$C$3,Sheet6!$C$3,IF(Tim!JK29=Sheet6!$C$4,Sheet6!$C$4,IF(Tim!JK29=Sheet6!$C$5,Sheet6!$C$5,IF(Tim!JK29=Sheet6!$C$6,Sheet6!$C$6,IF(Tim!JK29=Sheet6!$C$7,Sheet6!$C$7,IF(Tim!JK29=Sheet6!$C$8,Sheet6!$C$8,"")))))))</f>
        <v/>
      </c>
      <c r="DF27" s="54" t="str">
        <f>IF(Tim!JL29=Sheet6!$C$2,Sheet6!$C$2,IF(Tim!JL29=Sheet6!$C$3,Sheet6!$C$3,IF(Tim!JL29=Sheet6!$C$4,Sheet6!$C$4,IF(Tim!JL29=Sheet6!$C$5,Sheet6!$C$5,IF(Tim!JL29=Sheet6!$C$6,Sheet6!$C$6,IF(Tim!JL29=Sheet6!$C$7,Sheet6!$C$7,IF(Tim!JL29=Sheet6!$C$8,Sheet6!$C$8,"")))))))</f>
        <v/>
      </c>
      <c r="DG27" s="55" t="str">
        <f>IF(Tim!JM29=Sheet6!$C$2,Sheet6!$C$2,IF(Tim!JM29=Sheet6!$C$3,Sheet6!$C$3,IF(Tim!JM29=Sheet6!$C$4,Sheet6!$C$4,IF(Tim!JM29=Sheet6!$C$5,Sheet6!$C$5,IF(Tim!JM29=Sheet6!$C$6,Sheet6!$C$6,IF(Tim!JM29=Sheet6!$C$7,Sheet6!$C$7,IF(Tim!JM29=Sheet6!$C$8,Sheet6!$C$8,"")))))))</f>
        <v/>
      </c>
      <c r="DH27" s="57" t="str">
        <f>IF(Tim!JN29=Sheet6!$C$2,Sheet6!$C$2,IF(Tim!JN29=Sheet6!$C$3,Sheet6!$C$3,IF(Tim!JN29=Sheet6!$C$4,Sheet6!$C$4,IF(Tim!JN29=Sheet6!$C$5,Sheet6!$C$5,IF(Tim!JN29=Sheet6!$C$6,Sheet6!$C$6,IF(Tim!JN29=Sheet6!$C$7,Sheet6!$C$7,IF(Tim!JN29=Sheet6!$C$8,Sheet6!$C$8,"")))))))</f>
        <v/>
      </c>
      <c r="DI27" s="57" t="str">
        <f>IF(Tim!JS29=Sheet6!$C$2,Sheet6!$C$2,IF(Tim!JS29=Sheet6!$C$3,Sheet6!$C$3,IF(Tim!JS29=Sheet6!$C$4,Sheet6!$C$4,IF(Tim!JS29=Sheet6!$C$5,Sheet6!$C$5,IF(Tim!JS29=Sheet6!$C$6,Sheet6!$C$6,IF(Tim!JS29=Sheet6!$C$7,Sheet6!$C$7,IF(Tim!JS29=Sheet6!$C$8,Sheet6!$C$8,"")))))))</f>
        <v/>
      </c>
      <c r="DJ27" s="57" t="str">
        <f>IF(Tim!KB29=Sheet6!$C$2,Sheet6!$C$2,IF(Tim!KB29=Sheet6!$C$3,Sheet6!$C$3,IF(Tim!KB29=Sheet6!$C$4,Sheet6!$C$4,IF(Tim!KB29=Sheet6!$C$5,Sheet6!$C$5,IF(Tim!KB29=Sheet6!$C$6,Sheet6!$C$6,IF(Tim!KB29=Sheet6!$C$7,Sheet6!$C$7,IF(Tim!KB29=Sheet6!$C$8,Sheet6!$C$8,"")))))))</f>
        <v/>
      </c>
      <c r="DK27" s="53" t="str">
        <f>IF(Tim!KI29=Sheet6!$C$2,Sheet6!$C$2,IF(Tim!KI29=Sheet6!$C$3,Sheet6!$C$3,IF(Tim!KI29=Sheet6!$C$4,Sheet6!$C$4,IF(Tim!KI29=Sheet6!$C$5,Sheet6!$C$5,IF(Tim!KI29=Sheet6!$C$6,Sheet6!$C$6,IF(Tim!KI29=Sheet6!$C$7,Sheet6!$C$7,IF(Tim!KI29=Sheet6!$C$8,Sheet6!$C$8,"")))))))</f>
        <v/>
      </c>
      <c r="DL27" s="53" t="str">
        <f>IF(Tim!KJ29=Sheet6!$C$2,Sheet6!$C$2,IF(Tim!KJ29=Sheet6!$C$3,Sheet6!$C$3,IF(Tim!KJ29=Sheet6!$C$4,Sheet6!$C$4,IF(Tim!KJ29=Sheet6!$C$5,Sheet6!$C$5,IF(Tim!KJ29=Sheet6!$C$6,Sheet6!$C$6,IF(Tim!KJ29=Sheet6!$C$7,Sheet6!$C$7,IF(Tim!KJ29=Sheet6!$C$8,Sheet6!$C$8,"")))))))</f>
        <v/>
      </c>
      <c r="DM27" s="53" t="str">
        <f>IF(Tim!KR29=Sheet6!$C$2,Sheet6!$C$2,IF(Tim!KR29=Sheet6!$C$3,Sheet6!$C$3,IF(Tim!KR29=Sheet6!$C$4,Sheet6!$C$4,IF(Tim!KR29=Sheet6!$C$5,Sheet6!$C$5,IF(Tim!KR29=Sheet6!$C$6,Sheet6!$C$6,IF(Tim!KR29=Sheet6!$C$7,Sheet6!$C$7,IF(Tim!KR29=Sheet6!$C$8,Sheet6!$C$8,"")))))))</f>
        <v/>
      </c>
      <c r="DN27" s="53" t="str">
        <f>IF(Tim!KS29=Sheet6!$C$2,Sheet6!$C$2,IF(Tim!KS29=Sheet6!$C$3,Sheet6!$C$3,IF(Tim!KS29=Sheet6!$C$4,Sheet6!$C$4,IF(Tim!KS29=Sheet6!$C$5,Sheet6!$C$5,IF(Tim!KS29=Sheet6!$C$6,Sheet6!$C$6,IF(Tim!KS29=Sheet6!$C$7,Sheet6!$C$7,IF(Tim!KS29=Sheet6!$C$8,Sheet6!$C$8,"")))))))</f>
        <v/>
      </c>
      <c r="DO27" s="53" t="str">
        <f>IF(Tim!KT29=Sheet6!$C$2,Sheet6!$C$2,IF(Tim!KT29=Sheet6!$C$3,Sheet6!$C$3,IF(Tim!KT29=Sheet6!$C$4,Sheet6!$C$4,IF(Tim!KT29=Sheet6!$C$5,Sheet6!$C$5,IF(Tim!KT29=Sheet6!$C$6,Sheet6!$C$6,IF(Tim!KT29=Sheet6!$C$7,Sheet6!$C$7,IF(Tim!KT29=Sheet6!$C$8,Sheet6!$C$8,"")))))))</f>
        <v/>
      </c>
      <c r="DP27" s="53" t="str">
        <f>IF(Tim!KU29=Sheet6!$C$2,Sheet6!$C$2,IF(Tim!KU29=Sheet6!$C$3,Sheet6!$C$3,IF(Tim!KU29=Sheet6!$C$4,Sheet6!$C$4,IF(Tim!KU29=Sheet6!$C$5,Sheet6!$C$5,IF(Tim!KU29=Sheet6!$C$6,Sheet6!$C$6,IF(Tim!KU29=Sheet6!$C$7,Sheet6!$C$7,IF(Tim!KU29=Sheet6!$C$8,Sheet6!$C$8,"")))))))</f>
        <v/>
      </c>
      <c r="DQ27" s="53" t="str">
        <f>IF(Tim!KV29=Sheet6!$C$2,Sheet6!$C$2,IF(Tim!KV29=Sheet6!$C$3,Sheet6!$C$3,IF(Tim!KV29=Sheet6!$C$4,Sheet6!$C$4,IF(Tim!KV29=Sheet6!$C$5,Sheet6!$C$5,IF(Tim!KV29=Sheet6!$C$6,Sheet6!$C$6,IF(Tim!KV29=Sheet6!$C$7,Sheet6!$C$7,IF(Tim!KV29=Sheet6!$C$8,Sheet6!$C$8,"")))))))</f>
        <v/>
      </c>
      <c r="DR27" s="53" t="str">
        <f>IF(Tim!KW29=Sheet6!$C$2,Sheet6!$C$2,IF(Tim!KW29=Sheet6!$C$3,Sheet6!$C$3,IF(Tim!KW29=Sheet6!$C$4,Sheet6!$C$4,IF(Tim!KW29=Sheet6!$C$5,Sheet6!$C$5,IF(Tim!KW29=Sheet6!$C$6,Sheet6!$C$6,IF(Tim!KW29=Sheet6!$C$7,Sheet6!$C$7,IF(Tim!KW29=Sheet6!$C$8,Sheet6!$C$8,"")))))))</f>
        <v/>
      </c>
      <c r="DS27" s="53" t="str">
        <f>IF(Tim!LA29=Sheet6!$C$2,Sheet6!$C$2,IF(Tim!LA29=Sheet6!$C$3,Sheet6!$C$3,IF(Tim!LA29=Sheet6!$C$4,Sheet6!$C$4,IF(Tim!LA29=Sheet6!$C$5,Sheet6!$C$5,IF(Tim!LA29=Sheet6!$C$6,Sheet6!$C$6,IF(Tim!LA29=Sheet6!$C$7,Sheet6!$C$7,IF(Tim!LA29=Sheet6!$C$8,Sheet6!$C$8,"")))))))</f>
        <v/>
      </c>
      <c r="DT27" s="54" t="str">
        <f>IF(Tim!LB29=Sheet6!$C$2,Sheet6!$C$2,IF(Tim!LB29=Sheet6!$C$3,Sheet6!$C$3,IF(Tim!LB29=Sheet6!$C$4,Sheet6!$C$4,IF(Tim!LB29=Sheet6!$C$5,Sheet6!$C$5,IF(Tim!LB29=Sheet6!$C$6,Sheet6!$C$6,IF(Tim!LB29=Sheet6!$C$7,Sheet6!$C$7,IF(Tim!LB29=Sheet6!$C$8,Sheet6!$C$8,"")))))))</f>
        <v/>
      </c>
      <c r="DU27" s="54" t="str">
        <f>IF(Tim!LC29=Sheet6!$C$2,Sheet6!$C$2,IF(Tim!LC29=Sheet6!$C$3,Sheet6!$C$3,IF(Tim!LC29=Sheet6!$C$4,Sheet6!$C$4,IF(Tim!LC29=Sheet6!$C$5,Sheet6!$C$5,IF(Tim!LC29=Sheet6!$C$6,Sheet6!$C$6,IF(Tim!LC29=Sheet6!$C$7,Sheet6!$C$7,IF(Tim!LC29=Sheet6!$C$8,Sheet6!$C$8,"")))))))</f>
        <v/>
      </c>
      <c r="DV27" s="54" t="str">
        <f>IF(Tim!LD29=Sheet6!$C$2,Sheet6!$C$2,IF(Tim!LD29=Sheet6!$C$3,Sheet6!$C$3,IF(Tim!LD29=Sheet6!$C$4,Sheet6!$C$4,IF(Tim!LD29=Sheet6!$C$5,Sheet6!$C$5,IF(Tim!LD29=Sheet6!$C$6,Sheet6!$C$6,IF(Tim!LD29=Sheet6!$C$7,Sheet6!$C$7,IF(Tim!LD29=Sheet6!$C$8,Sheet6!$C$8,"")))))))</f>
        <v/>
      </c>
      <c r="DW27" s="55" t="str">
        <f>IF(Tim!LE29=Sheet6!$C$2,Sheet6!$C$2,IF(Tim!LE29=Sheet6!$C$3,Sheet6!$C$3,IF(Tim!LE29=Sheet6!$C$4,Sheet6!$C$4,IF(Tim!LE29=Sheet6!$C$5,Sheet6!$C$5,IF(Tim!LE29=Sheet6!$C$6,Sheet6!$C$6,IF(Tim!LE29=Sheet6!$C$7,Sheet6!$C$7,IF(Tim!LE29=Sheet6!$C$8,Sheet6!$C$8,"")))))))</f>
        <v/>
      </c>
      <c r="DX27" s="52">
        <v>0.52083333333333304</v>
      </c>
    </row>
    <row r="28" spans="2:128" ht="10.5" customHeight="1">
      <c r="B28" s="51">
        <v>0.25</v>
      </c>
      <c r="C28" s="51">
        <v>0.25</v>
      </c>
      <c r="D28" s="51">
        <v>0.25</v>
      </c>
      <c r="E28" s="52">
        <v>0.531249999999999</v>
      </c>
      <c r="F28" s="53" t="str">
        <f>IF(Tim!F30=Sheet6!$C$2,Sheet6!$C$2,IF(Tim!F30=Sheet6!$C$3,Sheet6!$C$3,IF(Tim!F30=Sheet6!$C$4,Sheet6!$C$4,IF(Tim!F30=Sheet6!$C$5,Sheet6!$C$5,IF(Tim!F30=Sheet6!$C$6,Sheet6!$C$6,IF(Tim!F30=Sheet6!$C$7,Sheet6!$C$7,IF(Tim!F30=Sheet6!$C$8,Sheet6!$C$8,"")))))))</f>
        <v/>
      </c>
      <c r="G28" s="53" t="str">
        <f>IF(Tim!G30=Sheet6!$C$2,Sheet6!$C$2,IF(Tim!G30=Sheet6!$C$3,Sheet6!$C$3,IF(Tim!G30=Sheet6!$C$4,Sheet6!$C$4,IF(Tim!G30=Sheet6!$C$5,Sheet6!$C$5,IF(Tim!G30=Sheet6!$C$6,Sheet6!$C$6,IF(Tim!G30=Sheet6!$C$7,Sheet6!$C$7,IF(Tim!G30=Sheet6!$C$8,Sheet6!$C$8,"")))))))</f>
        <v/>
      </c>
      <c r="H28" s="53" t="str">
        <f>IF(Tim!H30=Sheet6!$C$2,Sheet6!$C$2,IF(Tim!H30=Sheet6!$C$3,Sheet6!$C$3,IF(Tim!H30=Sheet6!$C$4,Sheet6!$C$4,IF(Tim!H30=Sheet6!$C$5,Sheet6!$C$5,IF(Tim!H30=Sheet6!$C$6,Sheet6!$C$6,IF(Tim!H30=Sheet6!$C$7,Sheet6!$C$7,IF(Tim!H30=Sheet6!$C$8,Sheet6!$C$8,"")))))))</f>
        <v/>
      </c>
      <c r="I28" s="53" t="str">
        <f>IF(Tim!L30=Sheet6!$C$2,Sheet6!$C$2,IF(Tim!L30=Sheet6!$C$3,Sheet6!$C$3,IF(Tim!L30=Sheet6!$C$4,Sheet6!$C$4,IF(Tim!L30=Sheet6!$C$5,Sheet6!$C$5,IF(Tim!L30=Sheet6!$C$6,Sheet6!$C$6,IF(Tim!L30=Sheet6!$C$7,Sheet6!$C$7,IF(Tim!L30=Sheet6!$C$8,Sheet6!$C$8,"")))))))</f>
        <v/>
      </c>
      <c r="J28" s="53" t="str">
        <f>IF(Tim!T30=Sheet6!$C$2,Sheet6!$C$2,IF(Tim!T30=Sheet6!$C$3,Sheet6!$C$3,IF(Tim!T30=Sheet6!$C$4,Sheet6!$C$4,IF(Tim!T30=Sheet6!$C$5,Sheet6!$C$5,IF(Tim!T30=Sheet6!$C$6,Sheet6!$C$6,IF(Tim!T30=Sheet6!$C$7,Sheet6!$C$7,IF(Tim!T30=Sheet6!$C$8,Sheet6!$C$8,"")))))))</f>
        <v/>
      </c>
      <c r="K28" s="53" t="str">
        <f>IF(Tim!AB30=Sheet6!$C$2,Sheet6!$C$2,IF(Tim!AB30=Sheet6!$C$3,Sheet6!$C$3,IF(Tim!AB30=Sheet6!$C$4,Sheet6!$C$4,IF(Tim!AB30=Sheet6!$C$5,Sheet6!$C$5,IF(Tim!AB30=Sheet6!$C$6,Sheet6!$C$6,IF(Tim!AB30=Sheet6!$C$7,Sheet6!$C$7,IF(Tim!AB30=Sheet6!$C$8,Sheet6!$C$8,"")))))))</f>
        <v/>
      </c>
      <c r="L28" s="181" t="str">
        <f>IF(Tim!AC30=Sheet6!$C$2,Sheet6!$C$2,IF(Tim!AC30=Sheet6!$C$3,Sheet6!$C$3,IF(Tim!AC30=Sheet6!$C$4,Sheet6!$C$4,IF(Tim!AC30=Sheet6!$C$5,Sheet6!$C$5,IF(Tim!AC30=Sheet6!$C$6,Sheet6!$C$6,IF(Tim!AC30=Sheet6!$C$7,Sheet6!$C$7,IF(Tim!AC30=Sheet6!$C$8,Sheet6!$C$8,"")))))))</f>
        <v/>
      </c>
      <c r="M28" s="53" t="str">
        <f>IF(Tim!AJ30=Sheet6!$C$2,Sheet6!$C$2,IF(Tim!AJ30=Sheet6!$C$3,Sheet6!$C$3,IF(Tim!AJ30=Sheet6!$C$4,Sheet6!$C$4,IF(Tim!AJ30=Sheet6!$C$5,Sheet6!$C$5,IF(Tim!AJ30=Sheet6!$C$6,Sheet6!$C$6,IF(Tim!AJ30=Sheet6!$C$7,Sheet6!$C$7,IF(Tim!AJ30=Sheet6!$C$8,Sheet6!$C$8,"")))))))</f>
        <v/>
      </c>
      <c r="N28" s="53" t="str">
        <f>IF(Tim!AK30=Sheet6!$C$2,Sheet6!$C$2,IF(Tim!AK30=Sheet6!$C$3,Sheet6!$C$3,IF(Tim!AK30=Sheet6!$C$4,Sheet6!$C$4,IF(Tim!AK30=Sheet6!$C$5,Sheet6!$C$5,IF(Tim!AK30=Sheet6!$C$6,Sheet6!$C$6,IF(Tim!AK30=Sheet6!$C$7,Sheet6!$C$7,IF(Tim!AK30=Sheet6!$C$8,Sheet6!$C$8,"")))))))</f>
        <v/>
      </c>
      <c r="O28" s="53" t="str">
        <f>IF(Tim!AL30=Sheet6!$C$2,Sheet6!$C$2,IF(Tim!AL30=Sheet6!$C$3,Sheet6!$C$3,IF(Tim!AL30=Sheet6!$C$4,Sheet6!$C$4,IF(Tim!AL30=Sheet6!$C$5,Sheet6!$C$5,IF(Tim!AL30=Sheet6!$C$6,Sheet6!$C$6,IF(Tim!AL30=Sheet6!$C$7,Sheet6!$C$7,IF(Tim!AL30=Sheet6!$C$8,Sheet6!$C$8,"")))))))</f>
        <v/>
      </c>
      <c r="P28" s="53" t="str">
        <f>IF(Tim!AN30=Sheet6!$C$2,Sheet6!$C$2,IF(Tim!AN30=Sheet6!$C$3,Sheet6!$C$3,IF(Tim!AN30=Sheet6!$C$4,Sheet6!$C$4,IF(Tim!AN30=Sheet6!$C$5,Sheet6!$C$5,IF(Tim!AN30=Sheet6!$C$6,Sheet6!$C$6,IF(Tim!AN30=Sheet6!$C$7,Sheet6!$C$7,IF(Tim!AN30=Sheet6!$C$8,Sheet6!$C$8,"")))))))</f>
        <v/>
      </c>
      <c r="Q28" s="53" t="str">
        <f>IF(Tim!AO30=Sheet6!$C$2,Sheet6!$C$2,IF(Tim!AO30=Sheet6!$C$3,Sheet6!$C$3,IF(Tim!AO30=Sheet6!$C$4,Sheet6!$C$4,IF(Tim!AO30=Sheet6!$C$5,Sheet6!$C$5,IF(Tim!AO30=Sheet6!$C$6,Sheet6!$C$6,IF(Tim!AO30=Sheet6!$C$7,Sheet6!$C$7,IF(Tim!AO30=Sheet6!$C$8,Sheet6!$C$8,"")))))))</f>
        <v/>
      </c>
      <c r="R28" s="53" t="str">
        <f>IF(Tim!AP30=Sheet6!$C$2,Sheet6!$C$2,IF(Tim!AP30=Sheet6!$C$3,Sheet6!$C$3,IF(Tim!AP30=Sheet6!$C$4,Sheet6!$C$4,IF(Tim!AP30=Sheet6!$C$5,Sheet6!$C$5,IF(Tim!AP30=Sheet6!$C$6,Sheet6!$C$6,IF(Tim!AP30=Sheet6!$C$7,Sheet6!$C$7,IF(Tim!AP30=Sheet6!$C$8,Sheet6!$C$8,"")))))))</f>
        <v/>
      </c>
      <c r="S28" s="53" t="str">
        <f>IF(Tim!AT30=Sheet6!$C$2,Sheet6!$C$2,IF(Tim!AT30=Sheet6!$C$3,Sheet6!$C$3,IF(Tim!AT30=Sheet6!$C$4,Sheet6!$C$4,IF(Tim!AT30=Sheet6!$C$5,Sheet6!$C$5,IF(Tim!AT30=Sheet6!$C$6,Sheet6!$C$6,IF(Tim!AT30=Sheet6!$C$7,Sheet6!$C$7,IF(Tim!AT30=Sheet6!$C$8,Sheet6!$C$8,"")))))))</f>
        <v/>
      </c>
      <c r="T28" s="54" t="str">
        <f>IF(Tim!AU30=Sheet6!$C$2,Sheet6!$C$2,IF(Tim!AU30=Sheet6!$C$3,Sheet6!$C$3,IF(Tim!AU30=Sheet6!$C$4,Sheet6!$C$4,IF(Tim!AU30=Sheet6!$C$5,Sheet6!$C$5,IF(Tim!AU30=Sheet6!$C$6,Sheet6!$C$6,IF(Tim!AU30=Sheet6!$C$7,Sheet6!$C$7,IF(Tim!AU30=Sheet6!$C$8,Sheet6!$C$8,"")))))))</f>
        <v/>
      </c>
      <c r="U28" s="54" t="str">
        <f>IF(Tim!AV30=Sheet6!$C$2,Sheet6!$C$2,IF(Tim!AV30=Sheet6!$C$3,Sheet6!$C$3,IF(Tim!AV30=Sheet6!$C$4,Sheet6!$C$4,IF(Tim!AV30=Sheet6!$C$5,Sheet6!$C$5,IF(Tim!AV30=Sheet6!$C$6,Sheet6!$C$6,IF(Tim!AV30=Sheet6!$C$7,Sheet6!$C$7,IF(Tim!AV30=Sheet6!$C$8,Sheet6!$C$8,"")))))))</f>
        <v/>
      </c>
      <c r="V28" s="54" t="str">
        <f>IF(Tim!AW30=Sheet6!$C$2,Sheet6!$C$2,IF(Tim!AW30=Sheet6!$C$3,Sheet6!$C$3,IF(Tim!AW30=Sheet6!$C$4,Sheet6!$C$4,IF(Tim!AW30=Sheet6!$C$5,Sheet6!$C$5,IF(Tim!AW30=Sheet6!$C$6,Sheet6!$C$6,IF(Tim!AW30=Sheet6!$C$7,Sheet6!$C$7,IF(Tim!AW30=Sheet6!$C$8,Sheet6!$C$8,"")))))))</f>
        <v/>
      </c>
      <c r="W28" s="55" t="str">
        <f>IF(Tim!AX30=Sheet6!$C$2,Sheet6!$C$2,IF(Tim!AX30=Sheet6!$C$3,Sheet6!$C$3,IF(Tim!AX30=Sheet6!$C$4,Sheet6!$C$4,IF(Tim!AX30=Sheet6!$C$5,Sheet6!$C$5,IF(Tim!AX30=Sheet6!$C$6,Sheet6!$C$6,IF(Tim!AX30=Sheet6!$C$7,Sheet6!$C$7,IF(Tim!AX30=Sheet6!$C$8,Sheet6!$C$8,"")))))))</f>
        <v/>
      </c>
      <c r="X28" s="53" t="str">
        <f>IF(Tim!AY30=Sheet6!$C$2,Sheet6!$C$2,IF(Tim!AY30=Sheet6!$C$3,Sheet6!$C$3,IF(Tim!AY30=Sheet6!$C$4,Sheet6!$C$4,IF(Tim!AY30=Sheet6!$C$5,Sheet6!$C$5,IF(Tim!AY30=Sheet6!$C$6,Sheet6!$C$6,IF(Tim!AY30=Sheet6!$C$7,Sheet6!$C$7,IF(Tim!AY30=Sheet6!$C$8,Sheet6!$C$8,"")))))))</f>
        <v/>
      </c>
      <c r="Y28" s="57" t="str">
        <f>IF(Tim!AZ30=Sheet6!$C$2,Sheet6!$C$2,IF(Tim!AZ30=Sheet6!$C$3,Sheet6!$C$3,IF(Tim!AZ30=Sheet6!$C$4,Sheet6!$C$4,IF(Tim!AZ30=Sheet6!$C$5,Sheet6!$C$5,IF(Tim!AZ30=Sheet6!$C$6,Sheet6!$C$6,IF(Tim!AZ30=Sheet6!$C$7,Sheet6!$C$7,IF(Tim!AZ30=Sheet6!$C$8,Sheet6!$C$8,"")))))))</f>
        <v/>
      </c>
      <c r="Z28" s="53" t="str">
        <f>IF(Tim!BD30=Sheet6!$C$2,Sheet6!$C$2,IF(Tim!BD30=Sheet6!$C$3,Sheet6!$C$3,IF(Tim!BD30=Sheet6!$C$4,Sheet6!$C$4,IF(Tim!BD30=Sheet6!$C$5,Sheet6!$C$5,IF(Tim!BD30=Sheet6!$C$6,Sheet6!$C$6,IF(Tim!BD30=Sheet6!$C$7,Sheet6!$C$7,IF(Tim!BD30=Sheet6!$C$8,Sheet6!$C$8,"")))))))</f>
        <v/>
      </c>
      <c r="AA28" s="53" t="str">
        <f>IF(Tim!BE30=Sheet6!$C$2,Sheet6!$C$2,IF(Tim!BE30=Sheet6!$C$3,Sheet6!$C$3,IF(Tim!BE30=Sheet6!$C$4,Sheet6!$C$4,IF(Tim!BE30=Sheet6!$C$5,Sheet6!$C$5,IF(Tim!BE30=Sheet6!$C$6,Sheet6!$C$6,IF(Tim!BE30=Sheet6!$C$7,Sheet6!$C$7,IF(Tim!BE30=Sheet6!$C$8,Sheet6!$C$8,"")))))))</f>
        <v/>
      </c>
      <c r="AB28" s="57" t="str">
        <f>IF(Tim!BL30=Sheet6!$C$2,Sheet6!$C$2,IF(Tim!BL30=Sheet6!$C$3,Sheet6!$C$3,IF(Tim!BL30=Sheet6!$C$4,Sheet6!$C$4,IF(Tim!BL30=Sheet6!$C$5,Sheet6!$C$5,IF(Tim!BL30=Sheet6!$C$6,Sheet6!$C$6,IF(Tim!BL30=Sheet6!$C$7,Sheet6!$C$7,IF(Tim!BL30=Sheet6!$C$8,Sheet6!$C$8,"")))))))</f>
        <v/>
      </c>
      <c r="AC28" s="53" t="str">
        <f>IF(Tim!BT30=Sheet6!$C$2,Sheet6!$C$2,IF(Tim!BT30=Sheet6!$C$3,Sheet6!$C$3,IF(Tim!BT30=Sheet6!$C$4,Sheet6!$C$4,IF(Tim!BT30=Sheet6!$C$5,Sheet6!$C$5,IF(Tim!BT30=Sheet6!$C$6,Sheet6!$C$6,IF(Tim!BT30=Sheet6!$C$7,Sheet6!$C$7,IF(Tim!BT30=Sheet6!$C$8,Sheet6!$C$8,"")))))))</f>
        <v/>
      </c>
      <c r="AD28" s="181" t="str">
        <f>IF(Tim!BU30=Sheet6!$C$2,Sheet6!$C$2,IF(Tim!BU30=Sheet6!$C$3,Sheet6!$C$3,IF(Tim!BU30=Sheet6!$C$4,Sheet6!$C$4,IF(Tim!BU30=Sheet6!$C$5,Sheet6!$C$5,IF(Tim!BU30=Sheet6!$C$6,Sheet6!$C$6,IF(Tim!BU30=Sheet6!$C$7,Sheet6!$C$7,IF(Tim!BU30=Sheet6!$C$8,Sheet6!$C$8,"")))))))</f>
        <v/>
      </c>
      <c r="AE28" s="181" t="str">
        <f>IF(Tim!CB30=Sheet6!$C$2,Sheet6!$C$2,IF(Tim!CB30=Sheet6!$C$3,Sheet6!$C$3,IF(Tim!CB30=Sheet6!$C$4,Sheet6!$C$4,IF(Tim!CB30=Sheet6!$C$5,Sheet6!$C$5,IF(Tim!CB30=Sheet6!$C$6,Sheet6!$C$6,IF(Tim!CB30=Sheet6!$C$7,Sheet6!$C$7,IF(Tim!CB30=Sheet6!$C$8,Sheet6!$C$8,"")))))))</f>
        <v/>
      </c>
      <c r="AF28" s="181" t="str">
        <f>IF(Tim!CD30=Sheet6!$C$2,Sheet6!$C$2,IF(Tim!CD30=Sheet6!$C$3,Sheet6!$C$3,IF(Tim!CD30=Sheet6!$C$4,Sheet6!$C$4,IF(Tim!CD30=Sheet6!$C$5,Sheet6!$C$5,IF(Tim!CD30=Sheet6!$C$6,Sheet6!$C$6,IF(Tim!CD30=Sheet6!$C$7,Sheet6!$C$7,IF(Tim!CD30=Sheet6!$C$8,Sheet6!$C$8,"")))))))</f>
        <v/>
      </c>
      <c r="AG28" s="53" t="str">
        <f>IF(Tim!CE30=Sheet6!$C$2,Sheet6!$C$2,IF(Tim!CE30=Sheet6!$C$3,Sheet6!$C$3,IF(Tim!CE30=Sheet6!$C$4,Sheet6!$C$4,IF(Tim!CE30=Sheet6!$C$5,Sheet6!$C$5,IF(Tim!CE30=Sheet6!$C$6,Sheet6!$C$6,IF(Tim!CE30=Sheet6!$C$7,Sheet6!$C$7,IF(Tim!CE30=Sheet6!$C$8,Sheet6!$C$8,"")))))))</f>
        <v/>
      </c>
      <c r="AH28" s="53" t="str">
        <f>IF(Tim!CF30=Sheet6!$C$2,Sheet6!$C$2,IF(Tim!CF30=Sheet6!$C$3,Sheet6!$C$3,IF(Tim!CF30=Sheet6!$C$4,Sheet6!$C$4,IF(Tim!CF30=Sheet6!$C$5,Sheet6!$C$5,IF(Tim!CF30=Sheet6!$C$6,Sheet6!$C$6,IF(Tim!CF30=Sheet6!$C$7,Sheet6!$C$7,IF(Tim!CF30=Sheet6!$C$8,Sheet6!$C$8,"")))))))</f>
        <v/>
      </c>
      <c r="AI28" s="176" t="str">
        <f>IF(Tim!CG30=Sheet6!$C$2,Sheet6!$C$2,IF(Tim!CG30=Sheet6!$C$3,Sheet6!$C$3,IF(Tim!CG30=Sheet6!$C$4,Sheet6!$C$4,IF(Tim!CG30=Sheet6!$C$5,Sheet6!$C$5,IF(Tim!CG30=Sheet6!$C$6,Sheet6!$C$6,IF(Tim!CG30=Sheet6!$C$7,Sheet6!$C$7,IF(Tim!CG30=Sheet6!$C$8,Sheet6!$C$8,"")))))))</f>
        <v/>
      </c>
      <c r="AJ28" s="53" t="str">
        <f>IF(Tim!CH30=Sheet6!$C$2,Sheet6!$C$2,IF(Tim!CH30=Sheet6!$C$3,Sheet6!$C$3,IF(Tim!CH30=Sheet6!$C$4,Sheet6!$C$4,IF(Tim!CH30=Sheet6!$C$5,Sheet6!$C$5,IF(Tim!CH30=Sheet6!$C$6,Sheet6!$C$6,IF(Tim!CH30=Sheet6!$C$7,Sheet6!$C$7,IF(Tim!CH30=Sheet6!$C$8,Sheet6!$C$8,"")))))))</f>
        <v/>
      </c>
      <c r="AK28" s="53" t="str">
        <f>IF(Tim!CL30=Sheet6!$C$2,Sheet6!$C$2,IF(Tim!CL30=Sheet6!$C$3,Sheet6!$C$3,IF(Tim!CL30=Sheet6!$C$4,Sheet6!$C$4,IF(Tim!CL30=Sheet6!$C$5,Sheet6!$C$5,IF(Tim!CL30=Sheet6!$C$6,Sheet6!$C$6,IF(Tim!CL30=Sheet6!$C$7,Sheet6!$C$7,IF(Tim!CL30=Sheet6!$C$8,Sheet6!$C$8,"")))))))</f>
        <v/>
      </c>
      <c r="AL28" s="54" t="str">
        <f>IF(Tim!CM30=Sheet6!$C$2,Sheet6!$C$2,IF(Tim!CM30=Sheet6!$C$3,Sheet6!$C$3,IF(Tim!CM30=Sheet6!$C$4,Sheet6!$C$4,IF(Tim!CM30=Sheet6!$C$5,Sheet6!$C$5,IF(Tim!CM30=Sheet6!$C$6,Sheet6!$C$6,IF(Tim!CM30=Sheet6!$C$7,Sheet6!$C$7,IF(Tim!CM30=Sheet6!$C$8,Sheet6!$C$8,"")))))))</f>
        <v/>
      </c>
      <c r="AM28" s="54" t="str">
        <f>IF(Tim!CN30=Sheet6!$C$2,Sheet6!$C$2,IF(Tim!CN30=Sheet6!$C$3,Sheet6!$C$3,IF(Tim!CN30=Sheet6!$C$4,Sheet6!$C$4,IF(Tim!CN30=Sheet6!$C$5,Sheet6!$C$5,IF(Tim!CN30=Sheet6!$C$6,Sheet6!$C$6,IF(Tim!CN30=Sheet6!$C$7,Sheet6!$C$7,IF(Tim!CN30=Sheet6!$C$8,Sheet6!$C$8,"")))))))</f>
        <v/>
      </c>
      <c r="AN28" s="54" t="str">
        <f>IF(Tim!CO30=Sheet6!$C$2,Sheet6!$C$2,IF(Tim!CO30=Sheet6!$C$3,Sheet6!$C$3,IF(Tim!CO30=Sheet6!$C$4,Sheet6!$C$4,IF(Tim!CO30=Sheet6!$C$5,Sheet6!$C$5,IF(Tim!CO30=Sheet6!$C$6,Sheet6!$C$6,IF(Tim!CO30=Sheet6!$C$7,Sheet6!$C$7,IF(Tim!CO30=Sheet6!$C$8,Sheet6!$C$8,"")))))))</f>
        <v/>
      </c>
      <c r="AO28" s="55" t="str">
        <f>IF(Tim!CP30=Sheet6!$C$2,Sheet6!$C$2,IF(Tim!CP30=Sheet6!$C$3,Sheet6!$C$3,IF(Tim!CP30=Sheet6!$C$4,Sheet6!$C$4,IF(Tim!CP30=Sheet6!$C$5,Sheet6!$C$5,IF(Tim!CP30=Sheet6!$C$6,Sheet6!$C$6,IF(Tim!CP30=Sheet6!$C$7,Sheet6!$C$7,IF(Tim!CP30=Sheet6!$C$8,Sheet6!$C$8,"")))))))</f>
        <v/>
      </c>
      <c r="AP28" s="53" t="str">
        <f>IF(Tim!CQ30=Sheet6!$C$2,Sheet6!$C$2,IF(Tim!CQ30=Sheet6!$C$3,Sheet6!$C$3,IF(Tim!CQ30=Sheet6!$C$4,Sheet6!$C$4,IF(Tim!CQ30=Sheet6!$C$5,Sheet6!$C$5,IF(Tim!CQ30=Sheet6!$C$6,Sheet6!$C$6,IF(Tim!CQ30=Sheet6!$C$7,Sheet6!$C$7,IF(Tim!CQ30=Sheet6!$C$8,Sheet6!$C$8,"")))))))</f>
        <v/>
      </c>
      <c r="AQ28" s="53" t="str">
        <f>IF(Tim!CR30=Sheet6!$C$2,Sheet6!$C$2,IF(Tim!CR30=Sheet6!$C$3,Sheet6!$C$3,IF(Tim!CR30=Sheet6!$C$4,Sheet6!$C$4,IF(Tim!CR30=Sheet6!$C$5,Sheet6!$C$5,IF(Tim!CR30=Sheet6!$C$6,Sheet6!$C$6,IF(Tim!CR30=Sheet6!$C$7,Sheet6!$C$7,IF(Tim!CR30=Sheet6!$C$8,Sheet6!$C$8,"")))))))</f>
        <v/>
      </c>
      <c r="AR28" s="57" t="str">
        <f>IF(Tim!CV30=Sheet6!$C$2,Sheet6!$C$2,IF(Tim!CV30=Sheet6!$C$3,Sheet6!$C$3,IF(Tim!CV30=Sheet6!$C$4,Sheet6!$C$4,IF(Tim!CV30=Sheet6!$C$5,Sheet6!$C$5,IF(Tim!CV30=Sheet6!$C$6,Sheet6!$C$6,IF(Tim!CV30=Sheet6!$C$7,Sheet6!$C$7,IF(Tim!CV30=Sheet6!$C$8,Sheet6!$C$8,"")))))))</f>
        <v/>
      </c>
      <c r="AS28" s="57" t="str">
        <f>IF(Tim!CW30=Sheet6!$C$2,Sheet6!$C$2,IF(Tim!CW30=Sheet6!$C$3,Sheet6!$C$3,IF(Tim!CW30=Sheet6!$C$4,Sheet6!$C$4,IF(Tim!CW30=Sheet6!$C$5,Sheet6!$C$5,IF(Tim!CW30=Sheet6!$C$6,Sheet6!$C$6,IF(Tim!CW30=Sheet6!$C$7,Sheet6!$C$7,IF(Tim!CW30=Sheet6!$C$8,Sheet6!$C$8,"")))))))</f>
        <v/>
      </c>
      <c r="AT28" s="57" t="str">
        <f>IF(Tim!DA30=Sheet6!$C$2,Sheet6!$C$2,IF(Tim!DA30=Sheet6!$C$3,Sheet6!$C$3,IF(Tim!DA30=Sheet6!$C$4,Sheet6!$C$4,IF(Tim!DA30=Sheet6!$C$5,Sheet6!$C$5,IF(Tim!DA30=Sheet6!$C$6,Sheet6!$C$6,IF(Tim!DA30=Sheet6!$C$7,Sheet6!$C$7,IF(Tim!DA30=Sheet6!$C$8,Sheet6!$C$8,"")))))))</f>
        <v/>
      </c>
      <c r="AU28" s="53" t="str">
        <f>IF(Tim!DO30=Sheet6!$C$2,Sheet6!$C$2,IF(Tim!DO30=Sheet6!$C$3,Sheet6!$C$3,IF(Tim!DO30=Sheet6!$C$4,Sheet6!$C$4,IF(Tim!DO30=Sheet6!$C$5,Sheet6!$C$5,IF(Tim!DO30=Sheet6!$C$6,Sheet6!$C$6,IF(Tim!DO30=Sheet6!$C$7,Sheet6!$C$7,IF(Tim!DO30=Sheet6!$C$8,Sheet6!$C$8,"")))))))</f>
        <v/>
      </c>
      <c r="AV28" s="181" t="str">
        <f>IF(Tim!DP30=Sheet6!$C$2,Sheet6!$C$2,IF(Tim!DP30=Sheet6!$C$3,Sheet6!$C$3,IF(Tim!DP30=Sheet6!$C$4,Sheet6!$C$4,IF(Tim!DP30=Sheet6!$C$5,Sheet6!$C$5,IF(Tim!DP30=Sheet6!$C$6,Sheet6!$C$6,IF(Tim!DP30=Sheet6!$C$7,Sheet6!$C$7,IF(Tim!DP30=Sheet6!$C$8,Sheet6!$C$8,"")))))))</f>
        <v/>
      </c>
      <c r="AW28" s="181" t="str">
        <f>IF(Tim!DX30=Sheet6!$C$2,Sheet6!$C$2,IF(Tim!DX30=Sheet6!$C$3,Sheet6!$C$3,IF(Tim!DX30=Sheet6!$C$4,Sheet6!$C$4,IF(Tim!DX30=Sheet6!$C$5,Sheet6!$C$5,IF(Tim!DX30=Sheet6!$C$6,Sheet6!$C$6,IF(Tim!DX30=Sheet6!$C$7,Sheet6!$C$7,IF(Tim!DX30=Sheet6!$C$8,Sheet6!$C$8,"")))))))</f>
        <v/>
      </c>
      <c r="AX28" s="181" t="str">
        <f>IF(Tim!DY30=Sheet6!$C$2,Sheet6!$C$2,IF(Tim!DY30=Sheet6!$C$3,Sheet6!$C$3,IF(Tim!DY30=Sheet6!$C$4,Sheet6!$C$4,IF(Tim!DY30=Sheet6!$C$5,Sheet6!$C$5,IF(Tim!DY30=Sheet6!$C$6,Sheet6!$C$6,IF(Tim!DY30=Sheet6!$C$7,Sheet6!$C$7,IF(Tim!DY30=Sheet6!$C$8,Sheet6!$C$8,"")))))))</f>
        <v/>
      </c>
      <c r="AY28" s="53" t="str">
        <f>IF(Tim!DZ30=Sheet6!$C$2,Sheet6!$C$2,IF(Tim!DZ30=Sheet6!$C$3,Sheet6!$C$3,IF(Tim!DZ30=Sheet6!$C$4,Sheet6!$C$4,IF(Tim!DZ30=Sheet6!$C$5,Sheet6!$C$5,IF(Tim!DZ30=Sheet6!$C$6,Sheet6!$C$6,IF(Tim!DZ30=Sheet6!$C$7,Sheet6!$C$7,IF(Tim!DZ30=Sheet6!$C$8,Sheet6!$C$8,"")))))))</f>
        <v/>
      </c>
      <c r="AZ28" s="53" t="str">
        <f>IF(Tim!EA30=Sheet6!$C$2,Sheet6!$C$2,IF(Tim!EA30=Sheet6!$C$3,Sheet6!$C$3,IF(Tim!EA30=Sheet6!$C$4,Sheet6!$C$4,IF(Tim!EA30=Sheet6!$C$5,Sheet6!$C$5,IF(Tim!EA30=Sheet6!$C$6,Sheet6!$C$6,IF(Tim!EA30=Sheet6!$C$7,Sheet6!$C$7,IF(Tim!EA30=Sheet6!$C$8,Sheet6!$C$8,"")))))))</f>
        <v/>
      </c>
      <c r="BA28" s="176" t="str">
        <f>IF(Tim!EB30=Sheet6!$C$2,Sheet6!$C$2,IF(Tim!EB30=Sheet6!$C$3,Sheet6!$C$3,IF(Tim!EB30=Sheet6!$C$4,Sheet6!$C$4,IF(Tim!EB30=Sheet6!$C$5,Sheet6!$C$5,IF(Tim!EB30=Sheet6!$C$6,Sheet6!$C$6,IF(Tim!EB30=Sheet6!$C$7,Sheet6!$C$7,IF(Tim!EB30=Sheet6!$C$8,Sheet6!$C$8,"")))))))</f>
        <v/>
      </c>
      <c r="BB28" s="53" t="str">
        <f>IF(Tim!EC30=Sheet6!$C$2,Sheet6!$C$2,IF(Tim!EC30=Sheet6!$C$3,Sheet6!$C$3,IF(Tim!EC30=Sheet6!$C$4,Sheet6!$C$4,IF(Tim!EC30=Sheet6!$C$5,Sheet6!$C$5,IF(Tim!EC30=Sheet6!$C$6,Sheet6!$C$6,IF(Tim!EC30=Sheet6!$C$7,Sheet6!$C$7,IF(Tim!EC30=Sheet6!$C$8,Sheet6!$C$8,"")))))))</f>
        <v/>
      </c>
      <c r="BC28" s="53" t="str">
        <f>IF(Tim!EG30=Sheet6!$C$2,Sheet6!$C$2,IF(Tim!EG30=Sheet6!$C$3,Sheet6!$C$3,IF(Tim!EG30=Sheet6!$C$4,Sheet6!$C$4,IF(Tim!EG30=Sheet6!$C$5,Sheet6!$C$5,IF(Tim!EG30=Sheet6!$C$6,Sheet6!$C$6,IF(Tim!EG30=Sheet6!$C$7,Sheet6!$C$7,IF(Tim!EG30=Sheet6!$C$8,Sheet6!$C$8,"")))))))</f>
        <v/>
      </c>
      <c r="BD28" s="54" t="str">
        <f>IF(Tim!EH30=Sheet6!$C$2,Sheet6!$C$2,IF(Tim!EH30=Sheet6!$C$3,Sheet6!$C$3,IF(Tim!EH30=Sheet6!$C$4,Sheet6!$C$4,IF(Tim!EH30=Sheet6!$C$5,Sheet6!$C$5,IF(Tim!EH30=Sheet6!$C$6,Sheet6!$C$6,IF(Tim!EH30=Sheet6!$C$7,Sheet6!$C$7,IF(Tim!EH30=Sheet6!$C$8,Sheet6!$C$8,"")))))))</f>
        <v/>
      </c>
      <c r="BE28" s="54" t="str">
        <f>IF(Tim!EI30=Sheet6!$C$2,Sheet6!$C$2,IF(Tim!EI30=Sheet6!$C$3,Sheet6!$C$3,IF(Tim!EI30=Sheet6!$C$4,Sheet6!$C$4,IF(Tim!EI30=Sheet6!$C$5,Sheet6!$C$5,IF(Tim!EI30=Sheet6!$C$6,Sheet6!$C$6,IF(Tim!EI30=Sheet6!$C$7,Sheet6!$C$7,IF(Tim!EI30=Sheet6!$C$8,Sheet6!$C$8,"")))))))</f>
        <v/>
      </c>
      <c r="BF28" s="54" t="str">
        <f>IF(Tim!EJ30=Sheet6!$C$2,Sheet6!$C$2,IF(Tim!EJ30=Sheet6!$C$3,Sheet6!$C$3,IF(Tim!EJ30=Sheet6!$C$4,Sheet6!$C$4,IF(Tim!EJ30=Sheet6!$C$5,Sheet6!$C$5,IF(Tim!EJ30=Sheet6!$C$6,Sheet6!$C$6,IF(Tim!EJ30=Sheet6!$C$7,Sheet6!$C$7,IF(Tim!EJ30=Sheet6!$C$8,Sheet6!$C$8,"")))))))</f>
        <v/>
      </c>
      <c r="BG28" s="55" t="str">
        <f>IF(Tim!EK30=Sheet6!$C$2,Sheet6!$C$2,IF(Tim!EK30=Sheet6!$C$3,Sheet6!$C$3,IF(Tim!EK30=Sheet6!$C$4,Sheet6!$C$4,IF(Tim!EK30=Sheet6!$C$5,Sheet6!$C$5,IF(Tim!EK30=Sheet6!$C$6,Sheet6!$C$6,IF(Tim!EK30=Sheet6!$C$7,Sheet6!$C$7,IF(Tim!EK30=Sheet6!$C$8,Sheet6!$C$8,"")))))))</f>
        <v/>
      </c>
      <c r="BH28" s="57" t="str">
        <f>IF(Tim!EL30=Sheet6!$C$2,Sheet6!$C$2,IF(Tim!EL30=Sheet6!$C$3,Sheet6!$C$3,IF(Tim!EL30=Sheet6!$C$4,Sheet6!$C$4,IF(Tim!EL30=Sheet6!$C$5,Sheet6!$C$5,IF(Tim!EL30=Sheet6!$C$6,Sheet6!$C$6,IF(Tim!EL30=Sheet6!$C$7,Sheet6!$C$7,IF(Tim!EL30=Sheet6!$C$8,Sheet6!$C$8,"")))))))</f>
        <v/>
      </c>
      <c r="BI28" s="57" t="str">
        <f>IF(Tim!EM30=Sheet6!$C$2,Sheet6!$C$2,IF(Tim!EM30=Sheet6!$C$3,Sheet6!$C$3,IF(Tim!EM30=Sheet6!$C$4,Sheet6!$C$4,IF(Tim!EM30=Sheet6!$C$5,Sheet6!$C$5,IF(Tim!EM30=Sheet6!$C$6,Sheet6!$C$6,IF(Tim!EM30=Sheet6!$C$7,Sheet6!$C$7,IF(Tim!EM30=Sheet6!$C$8,Sheet6!$C$8,"")))))))</f>
        <v/>
      </c>
      <c r="BJ28" s="57" t="str">
        <f>IF(Tim!EQ30=Sheet6!$C$2,Sheet6!$C$2,IF(Tim!EQ30=Sheet6!$C$3,Sheet6!$C$3,IF(Tim!EQ30=Sheet6!$C$4,Sheet6!$C$4,IF(Tim!EQ30=Sheet6!$C$5,Sheet6!$C$5,IF(Tim!EQ30=Sheet6!$C$6,Sheet6!$C$6,IF(Tim!EQ30=Sheet6!$C$7,Sheet6!$C$7,IF(Tim!EQ30=Sheet6!$C$8,Sheet6!$C$8,"")))))))</f>
        <v/>
      </c>
      <c r="BK28" s="57" t="str">
        <f>IF(Tim!ER30=Sheet6!$C$2,Sheet6!$C$2,IF(Tim!ER30=Sheet6!$C$3,Sheet6!$C$3,IF(Tim!ER30=Sheet6!$C$4,Sheet6!$C$4,IF(Tim!ER30=Sheet6!$C$5,Sheet6!$C$5,IF(Tim!ER30=Sheet6!$C$6,Sheet6!$C$6,IF(Tim!ER30=Sheet6!$C$7,Sheet6!$C$7,IF(Tim!ER30=Sheet6!$C$8,Sheet6!$C$8,"")))))))</f>
        <v/>
      </c>
      <c r="BL28" s="57" t="str">
        <f>IF(Tim!EZ30=Sheet6!$C$2,Sheet6!$C$2,IF(Tim!EZ30=Sheet6!$C$3,Sheet6!$C$3,IF(Tim!EZ30=Sheet6!$C$4,Sheet6!$C$4,IF(Tim!EZ30=Sheet6!$C$5,Sheet6!$C$5,IF(Tim!EZ30=Sheet6!$C$6,Sheet6!$C$6,IF(Tim!EZ30=Sheet6!$C$7,Sheet6!$C$7,IF(Tim!EZ30=Sheet6!$C$8,Sheet6!$C$8,"")))))))</f>
        <v/>
      </c>
      <c r="BM28" s="53" t="str">
        <f>IF(Tim!FG30=Sheet6!$C$2,Sheet6!$C$2,IF(Tim!FG30=Sheet6!$C$3,Sheet6!$C$3,IF(Tim!FG30=Sheet6!$C$4,Sheet6!$C$4,IF(Tim!FG30=Sheet6!$C$5,Sheet6!$C$5,IF(Tim!FG30=Sheet6!$C$6,Sheet6!$C$6,IF(Tim!FG30=Sheet6!$C$7,Sheet6!$C$7,IF(Tim!FG30=Sheet6!$C$8,Sheet6!$C$8,"")))))))</f>
        <v/>
      </c>
      <c r="BN28" s="181" t="str">
        <f>IF(Tim!FH30=Sheet6!$C$2,Sheet6!$C$2,IF(Tim!FH30=Sheet6!$C$3,Sheet6!$C$3,IF(Tim!FH30=Sheet6!$C$4,Sheet6!$C$4,IF(Tim!FH30=Sheet6!$C$5,Sheet6!$C$5,IF(Tim!FH30=Sheet6!$C$6,Sheet6!$C$6,IF(Tim!FH30=Sheet6!$C$7,Sheet6!$C$7,IF(Tim!FH30=Sheet6!$C$8,Sheet6!$C$8,"")))))))</f>
        <v/>
      </c>
      <c r="BO28" s="181" t="str">
        <f>IF(Tim!FP30=Sheet6!$C$2,Sheet6!$C$2,IF(Tim!FP30=Sheet6!$C$3,Sheet6!$C$3,IF(Tim!FP30=Sheet6!$C$4,Sheet6!$C$4,IF(Tim!FP30=Sheet6!$C$5,Sheet6!$C$5,IF(Tim!FP30=Sheet6!$C$6,Sheet6!$C$6,IF(Tim!FP30=Sheet6!$C$7,Sheet6!$C$7,IF(Tim!FP30=Sheet6!$C$8,Sheet6!$C$8,"")))))))</f>
        <v/>
      </c>
      <c r="BP28" s="181" t="str">
        <f>IF(Tim!FQ30=Sheet6!$C$2,Sheet6!$C$2,IF(Tim!FQ30=Sheet6!$C$3,Sheet6!$C$3,IF(Tim!FQ30=Sheet6!$C$4,Sheet6!$C$4,IF(Tim!FQ30=Sheet6!$C$5,Sheet6!$C$5,IF(Tim!FQ30=Sheet6!$C$6,Sheet6!$C$6,IF(Tim!FQ30=Sheet6!$C$7,Sheet6!$C$7,IF(Tim!FQ30=Sheet6!$C$8,Sheet6!$C$8,"")))))))</f>
        <v/>
      </c>
      <c r="BQ28" s="53" t="str">
        <f>IF(Tim!FR30=Sheet6!$C$2,Sheet6!$C$2,IF(Tim!FR30=Sheet6!$C$3,Sheet6!$C$3,IF(Tim!FR30=Sheet6!$C$4,Sheet6!$C$4,IF(Tim!FR30=Sheet6!$C$5,Sheet6!$C$5,IF(Tim!FR30=Sheet6!$C$6,Sheet6!$C$6,IF(Tim!FR30=Sheet6!$C$7,Sheet6!$C$7,IF(Tim!FR30=Sheet6!$C$8,Sheet6!$C$8,"")))))))</f>
        <v/>
      </c>
      <c r="BR28" s="53" t="str">
        <f>IF(Tim!FS30=Sheet6!$C$2,Sheet6!$C$2,IF(Tim!FS30=Sheet6!$C$3,Sheet6!$C$3,IF(Tim!FS30=Sheet6!$C$4,Sheet6!$C$4,IF(Tim!FS30=Sheet6!$C$5,Sheet6!$C$5,IF(Tim!FS30=Sheet6!$C$6,Sheet6!$C$6,IF(Tim!FS30=Sheet6!$C$7,Sheet6!$C$7,IF(Tim!FS30=Sheet6!$C$8,Sheet6!$C$8,"")))))))</f>
        <v/>
      </c>
      <c r="BS28" s="53" t="str">
        <f>IF(Tim!FT30=Sheet6!$C$2,Sheet6!$C$2,IF(Tim!FT30=Sheet6!$C$3,Sheet6!$C$3,IF(Tim!FT30=Sheet6!$C$4,Sheet6!$C$4,IF(Tim!FT30=Sheet6!$C$5,Sheet6!$C$5,IF(Tim!FT30=Sheet6!$C$6,Sheet6!$C$6,IF(Tim!FT30=Sheet6!$C$7,Sheet6!$C$7,IF(Tim!FT30=Sheet6!$C$8,Sheet6!$C$8,"")))))))</f>
        <v/>
      </c>
      <c r="BT28" s="53" t="str">
        <f>IF(Tim!FU30=Sheet6!$C$2,Sheet6!$C$2,IF(Tim!FU30=Sheet6!$C$3,Sheet6!$C$3,IF(Tim!FU30=Sheet6!$C$4,Sheet6!$C$4,IF(Tim!FU30=Sheet6!$C$5,Sheet6!$C$5,IF(Tim!FU30=Sheet6!$C$6,Sheet6!$C$6,IF(Tim!FU30=Sheet6!$C$7,Sheet6!$C$7,IF(Tim!FU30=Sheet6!$C$8,Sheet6!$C$8,"")))))))</f>
        <v/>
      </c>
      <c r="BU28" s="53" t="str">
        <f>IF(Tim!FY30=Sheet6!$C$2,Sheet6!$C$2,IF(Tim!FY30=Sheet6!$C$3,Sheet6!$C$3,IF(Tim!FY30=Sheet6!$C$4,Sheet6!$C$4,IF(Tim!FY30=Sheet6!$C$5,Sheet6!$C$5,IF(Tim!FY30=Sheet6!$C$6,Sheet6!$C$6,IF(Tim!FY30=Sheet6!$C$7,Sheet6!$C$7,IF(Tim!FY30=Sheet6!$C$8,Sheet6!$C$8,"")))))))</f>
        <v/>
      </c>
      <c r="BV28" s="54" t="str">
        <f>IF(Tim!FZ30=Sheet6!$C$2,Sheet6!$C$2,IF(Tim!FZ30=Sheet6!$C$3,Sheet6!$C$3,IF(Tim!FZ30=Sheet6!$C$4,Sheet6!$C$4,IF(Tim!FZ30=Sheet6!$C$5,Sheet6!$C$5,IF(Tim!FZ30=Sheet6!$C$6,Sheet6!$C$6,IF(Tim!FZ30=Sheet6!$C$7,Sheet6!$C$7,IF(Tim!FZ30=Sheet6!$C$8,Sheet6!$C$8,"")))))))</f>
        <v/>
      </c>
      <c r="BW28" s="54" t="str">
        <f>IF(Tim!GA30=Sheet6!$C$2,Sheet6!$C$2,IF(Tim!GA30=Sheet6!$C$3,Sheet6!$C$3,IF(Tim!GA30=Sheet6!$C$4,Sheet6!$C$4,IF(Tim!GA30=Sheet6!$C$5,Sheet6!$C$5,IF(Tim!GA30=Sheet6!$C$6,Sheet6!$C$6,IF(Tim!GA30=Sheet6!$C$7,Sheet6!$C$7,IF(Tim!GA30=Sheet6!$C$8,Sheet6!$C$8,"")))))))</f>
        <v/>
      </c>
      <c r="BX28" s="54" t="str">
        <f>IF(Tim!GB30=Sheet6!$C$2,Sheet6!$C$2,IF(Tim!GB30=Sheet6!$C$3,Sheet6!$C$3,IF(Tim!GB30=Sheet6!$C$4,Sheet6!$C$4,IF(Tim!GB30=Sheet6!$C$5,Sheet6!$C$5,IF(Tim!GB30=Sheet6!$C$6,Sheet6!$C$6,IF(Tim!GB30=Sheet6!$C$7,Sheet6!$C$7,IF(Tim!GB30=Sheet6!$C$8,Sheet6!$C$8,"")))))))</f>
        <v/>
      </c>
      <c r="BY28" s="55" t="str">
        <f>IF(Tim!GC30=Sheet6!$C$2,Sheet6!$C$2,IF(Tim!GC30=Sheet6!$C$3,Sheet6!$C$3,IF(Tim!GC30=Sheet6!$C$4,Sheet6!$C$4,IF(Tim!GC30=Sheet6!$C$5,Sheet6!$C$5,IF(Tim!GC30=Sheet6!$C$6,Sheet6!$C$6,IF(Tim!GC30=Sheet6!$C$7,Sheet6!$C$7,IF(Tim!GC30=Sheet6!$C$8,Sheet6!$C$8,"")))))))</f>
        <v/>
      </c>
      <c r="BZ28" s="53" t="str">
        <f>IF(Tim!GD30=Sheet6!$C$2,Sheet6!$C$2,IF(Tim!GD30=Sheet6!$C$3,Sheet6!$C$3,IF(Tim!GD30=Sheet6!$C$4,Sheet6!$C$4,IF(Tim!GD30=Sheet6!$C$5,Sheet6!$C$5,IF(Tim!GD30=Sheet6!$C$6,Sheet6!$C$6,IF(Tim!GD30=Sheet6!$C$7,Sheet6!$C$7,IF(Tim!GD30=Sheet6!$C$8,Sheet6!$C$8,"")))))))</f>
        <v/>
      </c>
      <c r="CA28" s="53" t="str">
        <f>IF(Tim!GE30=Sheet6!$C$2,Sheet6!$C$2,IF(Tim!GE30=Sheet6!$C$3,Sheet6!$C$3,IF(Tim!GE30=Sheet6!$C$4,Sheet6!$C$4,IF(Tim!GE30=Sheet6!$C$5,Sheet6!$C$5,IF(Tim!GE30=Sheet6!$C$6,Sheet6!$C$6,IF(Tim!GE30=Sheet6!$C$7,Sheet6!$C$7,IF(Tim!GE30=Sheet6!$C$8,Sheet6!$C$8,"")))))))</f>
        <v/>
      </c>
      <c r="CB28" s="53" t="str">
        <f>IF(Tim!GI30=Sheet6!$C$2,Sheet6!$C$2,IF(Tim!GI30=Sheet6!$C$3,Sheet6!$C$3,IF(Tim!GI30=Sheet6!$C$4,Sheet6!$C$4,IF(Tim!GI30=Sheet6!$C$5,Sheet6!$C$5,IF(Tim!GI30=Sheet6!$C$6,Sheet6!$C$6,IF(Tim!GI30=Sheet6!$C$7,Sheet6!$C$7,IF(Tim!GI30=Sheet6!$C$8,Sheet6!$C$8,"")))))))</f>
        <v/>
      </c>
      <c r="CC28" s="53" t="str">
        <f>IF(Tim!GJ30=Sheet6!$C$2,Sheet6!$C$2,IF(Tim!GJ30=Sheet6!$C$3,Sheet6!$C$3,IF(Tim!GJ30=Sheet6!$C$4,Sheet6!$C$4,IF(Tim!GJ30=Sheet6!$C$5,Sheet6!$C$5,IF(Tim!GJ30=Sheet6!$C$6,Sheet6!$C$6,IF(Tim!GJ30=Sheet6!$C$7,Sheet6!$C$7,IF(Tim!GJ30=Sheet6!$C$8,Sheet6!$C$8,"")))))))</f>
        <v/>
      </c>
      <c r="CD28" s="53" t="str">
        <f>IF(Tim!GN30=Sheet6!$C$2,Sheet6!$C$2,IF(Tim!GN30=Sheet6!$C$3,Sheet6!$C$3,IF(Tim!GN30=Sheet6!$C$4,Sheet6!$C$4,IF(Tim!GN30=Sheet6!$C$5,Sheet6!$C$5,IF(Tim!GN30=Sheet6!$C$6,Sheet6!$C$6,IF(Tim!GN30=Sheet6!$C$7,Sheet6!$C$7,IF(Tim!GN30=Sheet6!$C$8,Sheet6!$C$8,"")))))))</f>
        <v/>
      </c>
      <c r="CE28" s="53" t="str">
        <f>IF(Tim!GY30=Sheet6!$C$2,Sheet6!$C$2,IF(Tim!GY30=Sheet6!$C$3,Sheet6!$C$3,IF(Tim!GY30=Sheet6!$C$4,Sheet6!$C$4,IF(Tim!GY30=Sheet6!$C$5,Sheet6!$C$5,IF(Tim!GY30=Sheet6!$C$6,Sheet6!$C$6,IF(Tim!GY30=Sheet6!$C$7,Sheet6!$C$7,IF(Tim!GY30=Sheet6!$C$8,Sheet6!$C$8,"")))))))</f>
        <v/>
      </c>
      <c r="CF28" s="181" t="str">
        <f>IF(Tim!GZ30=Sheet6!$C$2,Sheet6!$C$2,IF(Tim!GZ30=Sheet6!$C$3,Sheet6!$C$3,IF(Tim!GZ30=Sheet6!$C$4,Sheet6!$C$4,IF(Tim!GZ30=Sheet6!$C$5,Sheet6!$C$5,IF(Tim!GZ30=Sheet6!$C$6,Sheet6!$C$6,IF(Tim!GZ30=Sheet6!$C$7,Sheet6!$C$7,IF(Tim!GZ30=Sheet6!$C$8,Sheet6!$C$8,"")))))))</f>
        <v/>
      </c>
      <c r="CG28" s="181" t="str">
        <f>IF(Tim!HH30=Sheet6!$C$2,Sheet6!$C$2,IF(Tim!HH30=Sheet6!$C$3,Sheet6!$C$3,IF(Tim!HH30=Sheet6!$C$4,Sheet6!$C$4,IF(Tim!HH30=Sheet6!$C$5,Sheet6!$C$5,IF(Tim!HH30=Sheet6!$C$6,Sheet6!$C$6,IF(Tim!HH30=Sheet6!$C$7,Sheet6!$C$7,IF(Tim!HH30=Sheet6!$C$8,Sheet6!$C$8,"")))))))</f>
        <v/>
      </c>
      <c r="CH28" s="181" t="str">
        <f>IF(Tim!HI30=Sheet6!$C$2,Sheet6!$C$2,IF(Tim!HI30=Sheet6!$C$3,Sheet6!$C$3,IF(Tim!HI30=Sheet6!$C$4,Sheet6!$C$4,IF(Tim!HI30=Sheet6!$C$5,Sheet6!$C$5,IF(Tim!HI30=Sheet6!$C$6,Sheet6!$C$6,IF(Tim!HI30=Sheet6!$C$7,Sheet6!$C$7,IF(Tim!HI30=Sheet6!$C$8,Sheet6!$C$8,"")))))))</f>
        <v/>
      </c>
      <c r="CI28" s="53" t="str">
        <f>IF(Tim!HJ30=Sheet6!$C$2,Sheet6!$C$2,IF(Tim!HJ30=Sheet6!$C$3,Sheet6!$C$3,IF(Tim!HJ30=Sheet6!$C$4,Sheet6!$C$4,IF(Tim!HJ30=Sheet6!$C$5,Sheet6!$C$5,IF(Tim!HJ30=Sheet6!$C$6,Sheet6!$C$6,IF(Tim!HJ30=Sheet6!$C$7,Sheet6!$C$7,IF(Tim!HJ30=Sheet6!$C$8,Sheet6!$C$8,"")))))))</f>
        <v/>
      </c>
      <c r="CJ28" s="53" t="str">
        <f>IF(Tim!HK30=Sheet6!$C$2,Sheet6!$C$2,IF(Tim!HK30=Sheet6!$C$3,Sheet6!$C$3,IF(Tim!HK30=Sheet6!$C$4,Sheet6!$C$4,IF(Tim!HK30=Sheet6!$C$5,Sheet6!$C$5,IF(Tim!HK30=Sheet6!$C$6,Sheet6!$C$6,IF(Tim!HK30=Sheet6!$C$7,Sheet6!$C$7,IF(Tim!HK30=Sheet6!$C$8,Sheet6!$C$8,"")))))))</f>
        <v/>
      </c>
      <c r="CK28" s="53" t="str">
        <f>IF(Tim!HL30=Sheet6!$C$2,Sheet6!$C$2,IF(Tim!HL30=Sheet6!$C$3,Sheet6!$C$3,IF(Tim!HL30=Sheet6!$C$4,Sheet6!$C$4,IF(Tim!HL30=Sheet6!$C$5,Sheet6!$C$5,IF(Tim!HL30=Sheet6!$C$6,Sheet6!$C$6,IF(Tim!HL30=Sheet6!$C$7,Sheet6!$C$7,IF(Tim!HL30=Sheet6!$C$8,Sheet6!$C$8,"")))))))</f>
        <v/>
      </c>
      <c r="CL28" s="53" t="str">
        <f>IF(Tim!HM30=Sheet6!$C$2,Sheet6!$C$2,IF(Tim!HM30=Sheet6!$C$3,Sheet6!$C$3,IF(Tim!HM30=Sheet6!$C$4,Sheet6!$C$4,IF(Tim!HM30=Sheet6!$C$5,Sheet6!$C$5,IF(Tim!HM30=Sheet6!$C$6,Sheet6!$C$6,IF(Tim!HM30=Sheet6!$C$7,Sheet6!$C$7,IF(Tim!HM30=Sheet6!$C$8,Sheet6!$C$8,"")))))))</f>
        <v/>
      </c>
      <c r="CM28" s="53" t="str">
        <f>IF(Tim!HQ30=Sheet6!$C$2,Sheet6!$C$2,IF(Tim!HQ30=Sheet6!$C$3,Sheet6!$C$3,IF(Tim!HQ30=Sheet6!$C$4,Sheet6!$C$4,IF(Tim!HQ30=Sheet6!$C$5,Sheet6!$C$5,IF(Tim!HQ30=Sheet6!$C$6,Sheet6!$C$6,IF(Tim!HQ30=Sheet6!$C$7,Sheet6!$C$7,IF(Tim!HQ30=Sheet6!$C$8,Sheet6!$C$8,"")))))))</f>
        <v/>
      </c>
      <c r="CN28" s="54" t="str">
        <f>IF(Tim!HR30=Sheet6!$C$2,Sheet6!$C$2,IF(Tim!HR30=Sheet6!$C$3,Sheet6!$C$3,IF(Tim!HR30=Sheet6!$C$4,Sheet6!$C$4,IF(Tim!HR30=Sheet6!$C$5,Sheet6!$C$5,IF(Tim!HR30=Sheet6!$C$6,Sheet6!$C$6,IF(Tim!HR30=Sheet6!$C$7,Sheet6!$C$7,IF(Tim!HR30=Sheet6!$C$8,Sheet6!$C$8,"")))))))</f>
        <v/>
      </c>
      <c r="CO28" s="54" t="str">
        <f>IF(Tim!HS30=Sheet6!$C$2,Sheet6!$C$2,IF(Tim!HS30=Sheet6!$C$3,Sheet6!$C$3,IF(Tim!HS30=Sheet6!$C$4,Sheet6!$C$4,IF(Tim!HS30=Sheet6!$C$5,Sheet6!$C$5,IF(Tim!HS30=Sheet6!$C$6,Sheet6!$C$6,IF(Tim!HS30=Sheet6!$C$7,Sheet6!$C$7,IF(Tim!HS30=Sheet6!$C$8,Sheet6!$C$8,"")))))))</f>
        <v/>
      </c>
      <c r="CP28" s="54" t="str">
        <f>IF(Tim!HT30=Sheet6!$C$2,Sheet6!$C$2,IF(Tim!HT30=Sheet6!$C$3,Sheet6!$C$3,IF(Tim!HT30=Sheet6!$C$4,Sheet6!$C$4,IF(Tim!HT30=Sheet6!$C$5,Sheet6!$C$5,IF(Tim!HT30=Sheet6!$C$6,Sheet6!$C$6,IF(Tim!HT30=Sheet6!$C$7,Sheet6!$C$7,IF(Tim!HT30=Sheet6!$C$8,Sheet6!$C$8,"")))))))</f>
        <v/>
      </c>
      <c r="CQ28" s="55" t="str">
        <f>IF(Tim!HU30=Sheet6!$C$2,Sheet6!$C$2,IF(Tim!HU30=Sheet6!$C$3,Sheet6!$C$3,IF(Tim!HU30=Sheet6!$C$4,Sheet6!$C$4,IF(Tim!HU30=Sheet6!$C$5,Sheet6!$C$5,IF(Tim!HU30=Sheet6!$C$6,Sheet6!$C$6,IF(Tim!HU30=Sheet6!$C$7,Sheet6!$C$7,IF(Tim!HU30=Sheet6!$C$8,Sheet6!$C$8,"")))))))</f>
        <v/>
      </c>
      <c r="CR28" s="56" t="str">
        <f>IF(Tim!HV30=Sheet6!$C$2,Sheet6!$C$2,IF(Tim!HV30=Sheet6!$C$3,Sheet6!$C$3,IF(Tim!HV30=Sheet6!$C$4,Sheet6!$C$4,IF(Tim!HV30=Sheet6!$C$5,Sheet6!$C$5,IF(Tim!HV30=Sheet6!$C$6,Sheet6!$C$6,IF(Tim!HV30=Sheet6!$C$7,Sheet6!$C$7,IF(Tim!HV30=Sheet6!$C$8,Sheet6!$C$8,"")))))))</f>
        <v/>
      </c>
      <c r="CS28" s="57" t="str">
        <f>IF(Tim!IB30=Sheet6!$C$2,Sheet6!$C$2,IF(Tim!IB30=Sheet6!$C$3,Sheet6!$C$3,IF(Tim!IB30=Sheet6!$C$4,Sheet6!$C$4,IF(Tim!IB30=Sheet6!$C$5,Sheet6!$C$5,IF(Tim!IB30=Sheet6!$C$6,Sheet6!$C$6,IF(Tim!IB30=Sheet6!$C$7,Sheet6!$C$7,IF(Tim!IB30=Sheet6!$C$8,Sheet6!$C$8,"")))))))</f>
        <v/>
      </c>
      <c r="CT28" s="57" t="str">
        <f>IF(Tim!IJ30=Sheet6!$C$2,Sheet6!$C$2,IF(Tim!IJ30=Sheet6!$C$3,Sheet6!$C$3,IF(Tim!IJ30=Sheet6!$C$4,Sheet6!$C$4,IF(Tim!IJ30=Sheet6!$C$5,Sheet6!$C$5,IF(Tim!IJ30=Sheet6!$C$6,Sheet6!$C$6,IF(Tim!IJ30=Sheet6!$C$7,Sheet6!$C$7,IF(Tim!IJ30=Sheet6!$C$8,Sheet6!$C$8,"")))))))</f>
        <v/>
      </c>
      <c r="CU28" s="53" t="str">
        <f>IF(Tim!IQ30=Sheet6!$C$2,Sheet6!$C$2,IF(Tim!IQ30=Sheet6!$C$3,Sheet6!$C$3,IF(Tim!IQ30=Sheet6!$C$4,Sheet6!$C$4,IF(Tim!IQ30=Sheet6!$C$5,Sheet6!$C$5,IF(Tim!IQ30=Sheet6!$C$6,Sheet6!$C$6,IF(Tim!IQ30=Sheet6!$C$7,Sheet6!$C$7,IF(Tim!IQ30=Sheet6!$C$8,Sheet6!$C$8,"")))))))</f>
        <v/>
      </c>
      <c r="CV28" s="53" t="str">
        <f>IF(Tim!IR30=Sheet6!$C$2,Sheet6!$C$2,IF(Tim!IR30=Sheet6!$C$3,Sheet6!$C$3,IF(Tim!IR30=Sheet6!$C$4,Sheet6!$C$4,IF(Tim!IR30=Sheet6!$C$5,Sheet6!$C$5,IF(Tim!IR30=Sheet6!$C$6,Sheet6!$C$6,IF(Tim!IR30=Sheet6!$C$7,Sheet6!$C$7,IF(Tim!IR30=Sheet6!$C$8,Sheet6!$C$8,"")))))))</f>
        <v/>
      </c>
      <c r="CW28" s="53" t="str">
        <f>IF(Tim!IZ30=Sheet6!$C$2,Sheet6!$C$2,IF(Tim!IZ30=Sheet6!$C$3,Sheet6!$C$3,IF(Tim!IZ30=Sheet6!$C$4,Sheet6!$C$4,IF(Tim!IZ30=Sheet6!$C$5,Sheet6!$C$5,IF(Tim!IZ30=Sheet6!$C$6,Sheet6!$C$6,IF(Tim!IZ30=Sheet6!$C$7,Sheet6!$C$7,IF(Tim!IZ30=Sheet6!$C$8,Sheet6!$C$8,"")))))))</f>
        <v/>
      </c>
      <c r="CX28" s="53" t="str">
        <f>IF(Tim!JA30=Sheet6!$C$2,Sheet6!$C$2,IF(Tim!JA30=Sheet6!$C$3,Sheet6!$C$3,IF(Tim!JA30=Sheet6!$C$4,Sheet6!$C$4,IF(Tim!JA30=Sheet6!$C$5,Sheet6!$C$5,IF(Tim!JA30=Sheet6!$C$6,Sheet6!$C$6,IF(Tim!JA30=Sheet6!$C$7,Sheet6!$C$7,IF(Tim!JA30=Sheet6!$C$8,Sheet6!$C$8,"")))))))</f>
        <v/>
      </c>
      <c r="CY28" s="53" t="str">
        <f>IF(Tim!JB30=Sheet6!$C$2,Sheet6!$C$2,IF(Tim!JB30=Sheet6!$C$3,Sheet6!$C$3,IF(Tim!JB30=Sheet6!$C$4,Sheet6!$C$4,IF(Tim!JB30=Sheet6!$C$5,Sheet6!$C$5,IF(Tim!JB30=Sheet6!$C$6,Sheet6!$C$6,IF(Tim!JB30=Sheet6!$C$7,Sheet6!$C$7,IF(Tim!JB30=Sheet6!$C$8,Sheet6!$C$8,"")))))))</f>
        <v/>
      </c>
      <c r="CZ28" s="53" t="str">
        <f>IF(Tim!JC30=Sheet6!$C$2,Sheet6!$C$2,IF(Tim!JC30=Sheet6!$C$3,Sheet6!$C$3,IF(Tim!JC30=Sheet6!$C$4,Sheet6!$C$4,IF(Tim!JC30=Sheet6!$C$5,Sheet6!$C$5,IF(Tim!JC30=Sheet6!$C$6,Sheet6!$C$6,IF(Tim!JC30=Sheet6!$C$7,Sheet6!$C$7,IF(Tim!JC30=Sheet6!$C$8,Sheet6!$C$8,"")))))))</f>
        <v/>
      </c>
      <c r="DA28" s="176" t="str">
        <f>IF(Tim!JD30=Sheet6!$C$2,Sheet6!$C$2,IF(Tim!JD30=Sheet6!$C$3,Sheet6!$C$3,IF(Tim!JD30=Sheet6!$C$4,Sheet6!$C$4,IF(Tim!JD30=Sheet6!$C$5,Sheet6!$C$5,IF(Tim!JD30=Sheet6!$C$6,Sheet6!$C$6,IF(Tim!JD30=Sheet6!$C$7,Sheet6!$C$7,IF(Tim!JD30=Sheet6!$C$8,Sheet6!$C$8,"")))))))</f>
        <v/>
      </c>
      <c r="DB28" s="176" t="str">
        <f>IF(Tim!JE30=Sheet6!$C$2,Sheet6!$C$2,IF(Tim!JE30=Sheet6!$C$3,Sheet6!$C$3,IF(Tim!JE30=Sheet6!$C$4,Sheet6!$C$4,IF(Tim!JE30=Sheet6!$C$5,Sheet6!$C$5,IF(Tim!JE30=Sheet6!$C$6,Sheet6!$C$6,IF(Tim!JE30=Sheet6!$C$7,Sheet6!$C$7,IF(Tim!JE30=Sheet6!$C$8,Sheet6!$C$8,"")))))))</f>
        <v/>
      </c>
      <c r="DC28" s="53" t="str">
        <f>IF(Tim!JI30=Sheet6!$C$2,Sheet6!$C$2,IF(Tim!JI30=Sheet6!$C$3,Sheet6!$C$3,IF(Tim!JI30=Sheet6!$C$4,Sheet6!$C$4,IF(Tim!JI30=Sheet6!$C$5,Sheet6!$C$5,IF(Tim!JI30=Sheet6!$C$6,Sheet6!$C$6,IF(Tim!JI30=Sheet6!$C$7,Sheet6!$C$7,IF(Tim!JI30=Sheet6!$C$8,Sheet6!$C$8,"")))))))</f>
        <v/>
      </c>
      <c r="DD28" s="54" t="str">
        <f>IF(Tim!JJ30=Sheet6!$C$2,Sheet6!$C$2,IF(Tim!JJ30=Sheet6!$C$3,Sheet6!$C$3,IF(Tim!JJ30=Sheet6!$C$4,Sheet6!$C$4,IF(Tim!JJ30=Sheet6!$C$5,Sheet6!$C$5,IF(Tim!JJ30=Sheet6!$C$6,Sheet6!$C$6,IF(Tim!JJ30=Sheet6!$C$7,Sheet6!$C$7,IF(Tim!JJ30=Sheet6!$C$8,Sheet6!$C$8,"")))))))</f>
        <v/>
      </c>
      <c r="DE28" s="54" t="str">
        <f>IF(Tim!JK30=Sheet6!$C$2,Sheet6!$C$2,IF(Tim!JK30=Sheet6!$C$3,Sheet6!$C$3,IF(Tim!JK30=Sheet6!$C$4,Sheet6!$C$4,IF(Tim!JK30=Sheet6!$C$5,Sheet6!$C$5,IF(Tim!JK30=Sheet6!$C$6,Sheet6!$C$6,IF(Tim!JK30=Sheet6!$C$7,Sheet6!$C$7,IF(Tim!JK30=Sheet6!$C$8,Sheet6!$C$8,"")))))))</f>
        <v/>
      </c>
      <c r="DF28" s="54" t="str">
        <f>IF(Tim!JL30=Sheet6!$C$2,Sheet6!$C$2,IF(Tim!JL30=Sheet6!$C$3,Sheet6!$C$3,IF(Tim!JL30=Sheet6!$C$4,Sheet6!$C$4,IF(Tim!JL30=Sheet6!$C$5,Sheet6!$C$5,IF(Tim!JL30=Sheet6!$C$6,Sheet6!$C$6,IF(Tim!JL30=Sheet6!$C$7,Sheet6!$C$7,IF(Tim!JL30=Sheet6!$C$8,Sheet6!$C$8,"")))))))</f>
        <v/>
      </c>
      <c r="DG28" s="55" t="str">
        <f>IF(Tim!JM30=Sheet6!$C$2,Sheet6!$C$2,IF(Tim!JM30=Sheet6!$C$3,Sheet6!$C$3,IF(Tim!JM30=Sheet6!$C$4,Sheet6!$C$4,IF(Tim!JM30=Sheet6!$C$5,Sheet6!$C$5,IF(Tim!JM30=Sheet6!$C$6,Sheet6!$C$6,IF(Tim!JM30=Sheet6!$C$7,Sheet6!$C$7,IF(Tim!JM30=Sheet6!$C$8,Sheet6!$C$8,"")))))))</f>
        <v/>
      </c>
      <c r="DH28" s="57" t="str">
        <f>IF(Tim!JN30=Sheet6!$C$2,Sheet6!$C$2,IF(Tim!JN30=Sheet6!$C$3,Sheet6!$C$3,IF(Tim!JN30=Sheet6!$C$4,Sheet6!$C$4,IF(Tim!JN30=Sheet6!$C$5,Sheet6!$C$5,IF(Tim!JN30=Sheet6!$C$6,Sheet6!$C$6,IF(Tim!JN30=Sheet6!$C$7,Sheet6!$C$7,IF(Tim!JN30=Sheet6!$C$8,Sheet6!$C$8,"")))))))</f>
        <v/>
      </c>
      <c r="DI28" s="57" t="str">
        <f>IF(Tim!JS30=Sheet6!$C$2,Sheet6!$C$2,IF(Tim!JS30=Sheet6!$C$3,Sheet6!$C$3,IF(Tim!JS30=Sheet6!$C$4,Sheet6!$C$4,IF(Tim!JS30=Sheet6!$C$5,Sheet6!$C$5,IF(Tim!JS30=Sheet6!$C$6,Sheet6!$C$6,IF(Tim!JS30=Sheet6!$C$7,Sheet6!$C$7,IF(Tim!JS30=Sheet6!$C$8,Sheet6!$C$8,"")))))))</f>
        <v/>
      </c>
      <c r="DJ28" s="57" t="str">
        <f>IF(Tim!KB30=Sheet6!$C$2,Sheet6!$C$2,IF(Tim!KB30=Sheet6!$C$3,Sheet6!$C$3,IF(Tim!KB30=Sheet6!$C$4,Sheet6!$C$4,IF(Tim!KB30=Sheet6!$C$5,Sheet6!$C$5,IF(Tim!KB30=Sheet6!$C$6,Sheet6!$C$6,IF(Tim!KB30=Sheet6!$C$7,Sheet6!$C$7,IF(Tim!KB30=Sheet6!$C$8,Sheet6!$C$8,"")))))))</f>
        <v/>
      </c>
      <c r="DK28" s="53" t="str">
        <f>IF(Tim!KI30=Sheet6!$C$2,Sheet6!$C$2,IF(Tim!KI30=Sheet6!$C$3,Sheet6!$C$3,IF(Tim!KI30=Sheet6!$C$4,Sheet6!$C$4,IF(Tim!KI30=Sheet6!$C$5,Sheet6!$C$5,IF(Tim!KI30=Sheet6!$C$6,Sheet6!$C$6,IF(Tim!KI30=Sheet6!$C$7,Sheet6!$C$7,IF(Tim!KI30=Sheet6!$C$8,Sheet6!$C$8,"")))))))</f>
        <v/>
      </c>
      <c r="DL28" s="53" t="str">
        <f>IF(Tim!KJ30=Sheet6!$C$2,Sheet6!$C$2,IF(Tim!KJ30=Sheet6!$C$3,Sheet6!$C$3,IF(Tim!KJ30=Sheet6!$C$4,Sheet6!$C$4,IF(Tim!KJ30=Sheet6!$C$5,Sheet6!$C$5,IF(Tim!KJ30=Sheet6!$C$6,Sheet6!$C$6,IF(Tim!KJ30=Sheet6!$C$7,Sheet6!$C$7,IF(Tim!KJ30=Sheet6!$C$8,Sheet6!$C$8,"")))))))</f>
        <v/>
      </c>
      <c r="DM28" s="53" t="str">
        <f>IF(Tim!KR30=Sheet6!$C$2,Sheet6!$C$2,IF(Tim!KR30=Sheet6!$C$3,Sheet6!$C$3,IF(Tim!KR30=Sheet6!$C$4,Sheet6!$C$4,IF(Tim!KR30=Sheet6!$C$5,Sheet6!$C$5,IF(Tim!KR30=Sheet6!$C$6,Sheet6!$C$6,IF(Tim!KR30=Sheet6!$C$7,Sheet6!$C$7,IF(Tim!KR30=Sheet6!$C$8,Sheet6!$C$8,"")))))))</f>
        <v/>
      </c>
      <c r="DN28" s="53" t="str">
        <f>IF(Tim!KS30=Sheet6!$C$2,Sheet6!$C$2,IF(Tim!KS30=Sheet6!$C$3,Sheet6!$C$3,IF(Tim!KS30=Sheet6!$C$4,Sheet6!$C$4,IF(Tim!KS30=Sheet6!$C$5,Sheet6!$C$5,IF(Tim!KS30=Sheet6!$C$6,Sheet6!$C$6,IF(Tim!KS30=Sheet6!$C$7,Sheet6!$C$7,IF(Tim!KS30=Sheet6!$C$8,Sheet6!$C$8,"")))))))</f>
        <v/>
      </c>
      <c r="DO28" s="53" t="str">
        <f>IF(Tim!KT30=Sheet6!$C$2,Sheet6!$C$2,IF(Tim!KT30=Sheet6!$C$3,Sheet6!$C$3,IF(Tim!KT30=Sheet6!$C$4,Sheet6!$C$4,IF(Tim!KT30=Sheet6!$C$5,Sheet6!$C$5,IF(Tim!KT30=Sheet6!$C$6,Sheet6!$C$6,IF(Tim!KT30=Sheet6!$C$7,Sheet6!$C$7,IF(Tim!KT30=Sheet6!$C$8,Sheet6!$C$8,"")))))))</f>
        <v/>
      </c>
      <c r="DP28" s="53" t="str">
        <f>IF(Tim!KU30=Sheet6!$C$2,Sheet6!$C$2,IF(Tim!KU30=Sheet6!$C$3,Sheet6!$C$3,IF(Tim!KU30=Sheet6!$C$4,Sheet6!$C$4,IF(Tim!KU30=Sheet6!$C$5,Sheet6!$C$5,IF(Tim!KU30=Sheet6!$C$6,Sheet6!$C$6,IF(Tim!KU30=Sheet6!$C$7,Sheet6!$C$7,IF(Tim!KU30=Sheet6!$C$8,Sheet6!$C$8,"")))))))</f>
        <v/>
      </c>
      <c r="DQ28" s="53" t="str">
        <f>IF(Tim!KV30=Sheet6!$C$2,Sheet6!$C$2,IF(Tim!KV30=Sheet6!$C$3,Sheet6!$C$3,IF(Tim!KV30=Sheet6!$C$4,Sheet6!$C$4,IF(Tim!KV30=Sheet6!$C$5,Sheet6!$C$5,IF(Tim!KV30=Sheet6!$C$6,Sheet6!$C$6,IF(Tim!KV30=Sheet6!$C$7,Sheet6!$C$7,IF(Tim!KV30=Sheet6!$C$8,Sheet6!$C$8,"")))))))</f>
        <v/>
      </c>
      <c r="DR28" s="53" t="str">
        <f>IF(Tim!KW30=Sheet6!$C$2,Sheet6!$C$2,IF(Tim!KW30=Sheet6!$C$3,Sheet6!$C$3,IF(Tim!KW30=Sheet6!$C$4,Sheet6!$C$4,IF(Tim!KW30=Sheet6!$C$5,Sheet6!$C$5,IF(Tim!KW30=Sheet6!$C$6,Sheet6!$C$6,IF(Tim!KW30=Sheet6!$C$7,Sheet6!$C$7,IF(Tim!KW30=Sheet6!$C$8,Sheet6!$C$8,"")))))))</f>
        <v/>
      </c>
      <c r="DS28" s="53" t="str">
        <f>IF(Tim!LA30=Sheet6!$C$2,Sheet6!$C$2,IF(Tim!LA30=Sheet6!$C$3,Sheet6!$C$3,IF(Tim!LA30=Sheet6!$C$4,Sheet6!$C$4,IF(Tim!LA30=Sheet6!$C$5,Sheet6!$C$5,IF(Tim!LA30=Sheet6!$C$6,Sheet6!$C$6,IF(Tim!LA30=Sheet6!$C$7,Sheet6!$C$7,IF(Tim!LA30=Sheet6!$C$8,Sheet6!$C$8,"")))))))</f>
        <v/>
      </c>
      <c r="DT28" s="54" t="str">
        <f>IF(Tim!LB30=Sheet6!$C$2,Sheet6!$C$2,IF(Tim!LB30=Sheet6!$C$3,Sheet6!$C$3,IF(Tim!LB30=Sheet6!$C$4,Sheet6!$C$4,IF(Tim!LB30=Sheet6!$C$5,Sheet6!$C$5,IF(Tim!LB30=Sheet6!$C$6,Sheet6!$C$6,IF(Tim!LB30=Sheet6!$C$7,Sheet6!$C$7,IF(Tim!LB30=Sheet6!$C$8,Sheet6!$C$8,"")))))))</f>
        <v/>
      </c>
      <c r="DU28" s="54" t="str">
        <f>IF(Tim!LC30=Sheet6!$C$2,Sheet6!$C$2,IF(Tim!LC30=Sheet6!$C$3,Sheet6!$C$3,IF(Tim!LC30=Sheet6!$C$4,Sheet6!$C$4,IF(Tim!LC30=Sheet6!$C$5,Sheet6!$C$5,IF(Tim!LC30=Sheet6!$C$6,Sheet6!$C$6,IF(Tim!LC30=Sheet6!$C$7,Sheet6!$C$7,IF(Tim!LC30=Sheet6!$C$8,Sheet6!$C$8,"")))))))</f>
        <v/>
      </c>
      <c r="DV28" s="54" t="str">
        <f>IF(Tim!LD30=Sheet6!$C$2,Sheet6!$C$2,IF(Tim!LD30=Sheet6!$C$3,Sheet6!$C$3,IF(Tim!LD30=Sheet6!$C$4,Sheet6!$C$4,IF(Tim!LD30=Sheet6!$C$5,Sheet6!$C$5,IF(Tim!LD30=Sheet6!$C$6,Sheet6!$C$6,IF(Tim!LD30=Sheet6!$C$7,Sheet6!$C$7,IF(Tim!LD30=Sheet6!$C$8,Sheet6!$C$8,"")))))))</f>
        <v/>
      </c>
      <c r="DW28" s="55" t="str">
        <f>IF(Tim!LE30=Sheet6!$C$2,Sheet6!$C$2,IF(Tim!LE30=Sheet6!$C$3,Sheet6!$C$3,IF(Tim!LE30=Sheet6!$C$4,Sheet6!$C$4,IF(Tim!LE30=Sheet6!$C$5,Sheet6!$C$5,IF(Tim!LE30=Sheet6!$C$6,Sheet6!$C$6,IF(Tim!LE30=Sheet6!$C$7,Sheet6!$C$7,IF(Tim!LE30=Sheet6!$C$8,Sheet6!$C$8,"")))))))</f>
        <v/>
      </c>
      <c r="DX28" s="52">
        <v>0.531249999999999</v>
      </c>
    </row>
    <row r="29" spans="2:128" ht="10.5" customHeight="1">
      <c r="B29" s="51">
        <v>0.25</v>
      </c>
      <c r="C29" s="51">
        <v>0.25</v>
      </c>
      <c r="D29" s="51">
        <v>0.25</v>
      </c>
      <c r="E29" s="52">
        <v>0.54166666666666596</v>
      </c>
      <c r="F29" s="53" t="str">
        <f>IF(Tim!F31=Sheet6!$C$2,Sheet6!$C$2,IF(Tim!F31=Sheet6!$C$3,Sheet6!$C$3,IF(Tim!F31=Sheet6!$C$4,Sheet6!$C$4,IF(Tim!F31=Sheet6!$C$5,Sheet6!$C$5,IF(Tim!F31=Sheet6!$C$6,Sheet6!$C$6,IF(Tim!F31=Sheet6!$C$7,Sheet6!$C$7,IF(Tim!F31=Sheet6!$C$8,Sheet6!$C$8,"")))))))</f>
        <v/>
      </c>
      <c r="G29" s="53" t="str">
        <f>IF(Tim!G31=Sheet6!$C$2,Sheet6!$C$2,IF(Tim!G31=Sheet6!$C$3,Sheet6!$C$3,IF(Tim!G31=Sheet6!$C$4,Sheet6!$C$4,IF(Tim!G31=Sheet6!$C$5,Sheet6!$C$5,IF(Tim!G31=Sheet6!$C$6,Sheet6!$C$6,IF(Tim!G31=Sheet6!$C$7,Sheet6!$C$7,IF(Tim!G31=Sheet6!$C$8,Sheet6!$C$8,"")))))))</f>
        <v/>
      </c>
      <c r="H29" s="53" t="str">
        <f>IF(Tim!H31=Sheet6!$C$2,Sheet6!$C$2,IF(Tim!H31=Sheet6!$C$3,Sheet6!$C$3,IF(Tim!H31=Sheet6!$C$4,Sheet6!$C$4,IF(Tim!H31=Sheet6!$C$5,Sheet6!$C$5,IF(Tim!H31=Sheet6!$C$6,Sheet6!$C$6,IF(Tim!H31=Sheet6!$C$7,Sheet6!$C$7,IF(Tim!H31=Sheet6!$C$8,Sheet6!$C$8,"")))))))</f>
        <v/>
      </c>
      <c r="I29" s="53" t="str">
        <f>IF(Tim!L31=Sheet6!$C$2,Sheet6!$C$2,IF(Tim!L31=Sheet6!$C$3,Sheet6!$C$3,IF(Tim!L31=Sheet6!$C$4,Sheet6!$C$4,IF(Tim!L31=Sheet6!$C$5,Sheet6!$C$5,IF(Tim!L31=Sheet6!$C$6,Sheet6!$C$6,IF(Tim!L31=Sheet6!$C$7,Sheet6!$C$7,IF(Tim!L31=Sheet6!$C$8,Sheet6!$C$8,"")))))))</f>
        <v/>
      </c>
      <c r="J29" s="53" t="str">
        <f>IF(Tim!T31=Sheet6!$C$2,Sheet6!$C$2,IF(Tim!T31=Sheet6!$C$3,Sheet6!$C$3,IF(Tim!T31=Sheet6!$C$4,Sheet6!$C$4,IF(Tim!T31=Sheet6!$C$5,Sheet6!$C$5,IF(Tim!T31=Sheet6!$C$6,Sheet6!$C$6,IF(Tim!T31=Sheet6!$C$7,Sheet6!$C$7,IF(Tim!T31=Sheet6!$C$8,Sheet6!$C$8,"")))))))</f>
        <v/>
      </c>
      <c r="K29" s="53" t="str">
        <f>IF(Tim!AB31=Sheet6!$C$2,Sheet6!$C$2,IF(Tim!AB31=Sheet6!$C$3,Sheet6!$C$3,IF(Tim!AB31=Sheet6!$C$4,Sheet6!$C$4,IF(Tim!AB31=Sheet6!$C$5,Sheet6!$C$5,IF(Tim!AB31=Sheet6!$C$6,Sheet6!$C$6,IF(Tim!AB31=Sheet6!$C$7,Sheet6!$C$7,IF(Tim!AB31=Sheet6!$C$8,Sheet6!$C$8,"")))))))</f>
        <v/>
      </c>
      <c r="L29" s="181" t="str">
        <f>IF(Tim!AC31=Sheet6!$C$2,Sheet6!$C$2,IF(Tim!AC31=Sheet6!$C$3,Sheet6!$C$3,IF(Tim!AC31=Sheet6!$C$4,Sheet6!$C$4,IF(Tim!AC31=Sheet6!$C$5,Sheet6!$C$5,IF(Tim!AC31=Sheet6!$C$6,Sheet6!$C$6,IF(Tim!AC31=Sheet6!$C$7,Sheet6!$C$7,IF(Tim!AC31=Sheet6!$C$8,Sheet6!$C$8,"")))))))</f>
        <v/>
      </c>
      <c r="M29" s="53" t="str">
        <f>IF(Tim!AJ31=Sheet6!$C$2,Sheet6!$C$2,IF(Tim!AJ31=Sheet6!$C$3,Sheet6!$C$3,IF(Tim!AJ31=Sheet6!$C$4,Sheet6!$C$4,IF(Tim!AJ31=Sheet6!$C$5,Sheet6!$C$5,IF(Tim!AJ31=Sheet6!$C$6,Sheet6!$C$6,IF(Tim!AJ31=Sheet6!$C$7,Sheet6!$C$7,IF(Tim!AJ31=Sheet6!$C$8,Sheet6!$C$8,"")))))))</f>
        <v/>
      </c>
      <c r="N29" s="53" t="str">
        <f>IF(Tim!AK31=Sheet6!$C$2,Sheet6!$C$2,IF(Tim!AK31=Sheet6!$C$3,Sheet6!$C$3,IF(Tim!AK31=Sheet6!$C$4,Sheet6!$C$4,IF(Tim!AK31=Sheet6!$C$5,Sheet6!$C$5,IF(Tim!AK31=Sheet6!$C$6,Sheet6!$C$6,IF(Tim!AK31=Sheet6!$C$7,Sheet6!$C$7,IF(Tim!AK31=Sheet6!$C$8,Sheet6!$C$8,"")))))))</f>
        <v/>
      </c>
      <c r="O29" s="53" t="str">
        <f>IF(Tim!AL31=Sheet6!$C$2,Sheet6!$C$2,IF(Tim!AL31=Sheet6!$C$3,Sheet6!$C$3,IF(Tim!AL31=Sheet6!$C$4,Sheet6!$C$4,IF(Tim!AL31=Sheet6!$C$5,Sheet6!$C$5,IF(Tim!AL31=Sheet6!$C$6,Sheet6!$C$6,IF(Tim!AL31=Sheet6!$C$7,Sheet6!$C$7,IF(Tim!AL31=Sheet6!$C$8,Sheet6!$C$8,"")))))))</f>
        <v/>
      </c>
      <c r="P29" s="53" t="str">
        <f>IF(Tim!AN31=Sheet6!$C$2,Sheet6!$C$2,IF(Tim!AN31=Sheet6!$C$3,Sheet6!$C$3,IF(Tim!AN31=Sheet6!$C$4,Sheet6!$C$4,IF(Tim!AN31=Sheet6!$C$5,Sheet6!$C$5,IF(Tim!AN31=Sheet6!$C$6,Sheet6!$C$6,IF(Tim!AN31=Sheet6!$C$7,Sheet6!$C$7,IF(Tim!AN31=Sheet6!$C$8,Sheet6!$C$8,"")))))))</f>
        <v/>
      </c>
      <c r="Q29" s="53" t="str">
        <f>IF(Tim!AO31=Sheet6!$C$2,Sheet6!$C$2,IF(Tim!AO31=Sheet6!$C$3,Sheet6!$C$3,IF(Tim!AO31=Sheet6!$C$4,Sheet6!$C$4,IF(Tim!AO31=Sheet6!$C$5,Sheet6!$C$5,IF(Tim!AO31=Sheet6!$C$6,Sheet6!$C$6,IF(Tim!AO31=Sheet6!$C$7,Sheet6!$C$7,IF(Tim!AO31=Sheet6!$C$8,Sheet6!$C$8,"")))))))</f>
        <v/>
      </c>
      <c r="R29" s="53" t="str">
        <f>IF(Tim!AP31=Sheet6!$C$2,Sheet6!$C$2,IF(Tim!AP31=Sheet6!$C$3,Sheet6!$C$3,IF(Tim!AP31=Sheet6!$C$4,Sheet6!$C$4,IF(Tim!AP31=Sheet6!$C$5,Sheet6!$C$5,IF(Tim!AP31=Sheet6!$C$6,Sheet6!$C$6,IF(Tim!AP31=Sheet6!$C$7,Sheet6!$C$7,IF(Tim!AP31=Sheet6!$C$8,Sheet6!$C$8,"")))))))</f>
        <v/>
      </c>
      <c r="S29" s="53" t="str">
        <f>IF(Tim!AT31=Sheet6!$C$2,Sheet6!$C$2,IF(Tim!AT31=Sheet6!$C$3,Sheet6!$C$3,IF(Tim!AT31=Sheet6!$C$4,Sheet6!$C$4,IF(Tim!AT31=Sheet6!$C$5,Sheet6!$C$5,IF(Tim!AT31=Sheet6!$C$6,Sheet6!$C$6,IF(Tim!AT31=Sheet6!$C$7,Sheet6!$C$7,IF(Tim!AT31=Sheet6!$C$8,Sheet6!$C$8,"")))))))</f>
        <v/>
      </c>
      <c r="T29" s="54" t="str">
        <f>IF(Tim!AU31=Sheet6!$C$2,Sheet6!$C$2,IF(Tim!AU31=Sheet6!$C$3,Sheet6!$C$3,IF(Tim!AU31=Sheet6!$C$4,Sheet6!$C$4,IF(Tim!AU31=Sheet6!$C$5,Sheet6!$C$5,IF(Tim!AU31=Sheet6!$C$6,Sheet6!$C$6,IF(Tim!AU31=Sheet6!$C$7,Sheet6!$C$7,IF(Tim!AU31=Sheet6!$C$8,Sheet6!$C$8,"")))))))</f>
        <v/>
      </c>
      <c r="U29" s="54" t="str">
        <f>IF(Tim!AV31=Sheet6!$C$2,Sheet6!$C$2,IF(Tim!AV31=Sheet6!$C$3,Sheet6!$C$3,IF(Tim!AV31=Sheet6!$C$4,Sheet6!$C$4,IF(Tim!AV31=Sheet6!$C$5,Sheet6!$C$5,IF(Tim!AV31=Sheet6!$C$6,Sheet6!$C$6,IF(Tim!AV31=Sheet6!$C$7,Sheet6!$C$7,IF(Tim!AV31=Sheet6!$C$8,Sheet6!$C$8,"")))))))</f>
        <v/>
      </c>
      <c r="V29" s="54" t="str">
        <f>IF(Tim!AW31=Sheet6!$C$2,Sheet6!$C$2,IF(Tim!AW31=Sheet6!$C$3,Sheet6!$C$3,IF(Tim!AW31=Sheet6!$C$4,Sheet6!$C$4,IF(Tim!AW31=Sheet6!$C$5,Sheet6!$C$5,IF(Tim!AW31=Sheet6!$C$6,Sheet6!$C$6,IF(Tim!AW31=Sheet6!$C$7,Sheet6!$C$7,IF(Tim!AW31=Sheet6!$C$8,Sheet6!$C$8,"")))))))</f>
        <v/>
      </c>
      <c r="W29" s="55" t="str">
        <f>IF(Tim!AX31=Sheet6!$C$2,Sheet6!$C$2,IF(Tim!AX31=Sheet6!$C$3,Sheet6!$C$3,IF(Tim!AX31=Sheet6!$C$4,Sheet6!$C$4,IF(Tim!AX31=Sheet6!$C$5,Sheet6!$C$5,IF(Tim!AX31=Sheet6!$C$6,Sheet6!$C$6,IF(Tim!AX31=Sheet6!$C$7,Sheet6!$C$7,IF(Tim!AX31=Sheet6!$C$8,Sheet6!$C$8,"")))))))</f>
        <v/>
      </c>
      <c r="X29" s="53" t="str">
        <f>IF(Tim!AY31=Sheet6!$C$2,Sheet6!$C$2,IF(Tim!AY31=Sheet6!$C$3,Sheet6!$C$3,IF(Tim!AY31=Sheet6!$C$4,Sheet6!$C$4,IF(Tim!AY31=Sheet6!$C$5,Sheet6!$C$5,IF(Tim!AY31=Sheet6!$C$6,Sheet6!$C$6,IF(Tim!AY31=Sheet6!$C$7,Sheet6!$C$7,IF(Tim!AY31=Sheet6!$C$8,Sheet6!$C$8,"")))))))</f>
        <v/>
      </c>
      <c r="Y29" s="57" t="str">
        <f>IF(Tim!AZ31=Sheet6!$C$2,Sheet6!$C$2,IF(Tim!AZ31=Sheet6!$C$3,Sheet6!$C$3,IF(Tim!AZ31=Sheet6!$C$4,Sheet6!$C$4,IF(Tim!AZ31=Sheet6!$C$5,Sheet6!$C$5,IF(Tim!AZ31=Sheet6!$C$6,Sheet6!$C$6,IF(Tim!AZ31=Sheet6!$C$7,Sheet6!$C$7,IF(Tim!AZ31=Sheet6!$C$8,Sheet6!$C$8,"")))))))</f>
        <v/>
      </c>
      <c r="Z29" s="53" t="str">
        <f>IF(Tim!BD31=Sheet6!$C$2,Sheet6!$C$2,IF(Tim!BD31=Sheet6!$C$3,Sheet6!$C$3,IF(Tim!BD31=Sheet6!$C$4,Sheet6!$C$4,IF(Tim!BD31=Sheet6!$C$5,Sheet6!$C$5,IF(Tim!BD31=Sheet6!$C$6,Sheet6!$C$6,IF(Tim!BD31=Sheet6!$C$7,Sheet6!$C$7,IF(Tim!BD31=Sheet6!$C$8,Sheet6!$C$8,"")))))))</f>
        <v/>
      </c>
      <c r="AA29" s="53" t="str">
        <f>IF(Tim!BE31=Sheet6!$C$2,Sheet6!$C$2,IF(Tim!BE31=Sheet6!$C$3,Sheet6!$C$3,IF(Tim!BE31=Sheet6!$C$4,Sheet6!$C$4,IF(Tim!BE31=Sheet6!$C$5,Sheet6!$C$5,IF(Tim!BE31=Sheet6!$C$6,Sheet6!$C$6,IF(Tim!BE31=Sheet6!$C$7,Sheet6!$C$7,IF(Tim!BE31=Sheet6!$C$8,Sheet6!$C$8,"")))))))</f>
        <v/>
      </c>
      <c r="AB29" s="57" t="str">
        <f>IF(Tim!BL31=Sheet6!$C$2,Sheet6!$C$2,IF(Tim!BL31=Sheet6!$C$3,Sheet6!$C$3,IF(Tim!BL31=Sheet6!$C$4,Sheet6!$C$4,IF(Tim!BL31=Sheet6!$C$5,Sheet6!$C$5,IF(Tim!BL31=Sheet6!$C$6,Sheet6!$C$6,IF(Tim!BL31=Sheet6!$C$7,Sheet6!$C$7,IF(Tim!BL31=Sheet6!$C$8,Sheet6!$C$8,"")))))))</f>
        <v/>
      </c>
      <c r="AC29" s="53" t="str">
        <f>IF(Tim!BT31=Sheet6!$C$2,Sheet6!$C$2,IF(Tim!BT31=Sheet6!$C$3,Sheet6!$C$3,IF(Tim!BT31=Sheet6!$C$4,Sheet6!$C$4,IF(Tim!BT31=Sheet6!$C$5,Sheet6!$C$5,IF(Tim!BT31=Sheet6!$C$6,Sheet6!$C$6,IF(Tim!BT31=Sheet6!$C$7,Sheet6!$C$7,IF(Tim!BT31=Sheet6!$C$8,Sheet6!$C$8,"")))))))</f>
        <v/>
      </c>
      <c r="AD29" s="181" t="str">
        <f>IF(Tim!BU31=Sheet6!$C$2,Sheet6!$C$2,IF(Tim!BU31=Sheet6!$C$3,Sheet6!$C$3,IF(Tim!BU31=Sheet6!$C$4,Sheet6!$C$4,IF(Tim!BU31=Sheet6!$C$5,Sheet6!$C$5,IF(Tim!BU31=Sheet6!$C$6,Sheet6!$C$6,IF(Tim!BU31=Sheet6!$C$7,Sheet6!$C$7,IF(Tim!BU31=Sheet6!$C$8,Sheet6!$C$8,"")))))))</f>
        <v/>
      </c>
      <c r="AE29" s="181" t="str">
        <f>IF(Tim!CB31=Sheet6!$C$2,Sheet6!$C$2,IF(Tim!CB31=Sheet6!$C$3,Sheet6!$C$3,IF(Tim!CB31=Sheet6!$C$4,Sheet6!$C$4,IF(Tim!CB31=Sheet6!$C$5,Sheet6!$C$5,IF(Tim!CB31=Sheet6!$C$6,Sheet6!$C$6,IF(Tim!CB31=Sheet6!$C$7,Sheet6!$C$7,IF(Tim!CB31=Sheet6!$C$8,Sheet6!$C$8,"")))))))</f>
        <v/>
      </c>
      <c r="AF29" s="181" t="str">
        <f>IF(Tim!CD31=Sheet6!$C$2,Sheet6!$C$2,IF(Tim!CD31=Sheet6!$C$3,Sheet6!$C$3,IF(Tim!CD31=Sheet6!$C$4,Sheet6!$C$4,IF(Tim!CD31=Sheet6!$C$5,Sheet6!$C$5,IF(Tim!CD31=Sheet6!$C$6,Sheet6!$C$6,IF(Tim!CD31=Sheet6!$C$7,Sheet6!$C$7,IF(Tim!CD31=Sheet6!$C$8,Sheet6!$C$8,"")))))))</f>
        <v/>
      </c>
      <c r="AG29" s="53" t="str">
        <f>IF(Tim!CE31=Sheet6!$C$2,Sheet6!$C$2,IF(Tim!CE31=Sheet6!$C$3,Sheet6!$C$3,IF(Tim!CE31=Sheet6!$C$4,Sheet6!$C$4,IF(Tim!CE31=Sheet6!$C$5,Sheet6!$C$5,IF(Tim!CE31=Sheet6!$C$6,Sheet6!$C$6,IF(Tim!CE31=Sheet6!$C$7,Sheet6!$C$7,IF(Tim!CE31=Sheet6!$C$8,Sheet6!$C$8,"")))))))</f>
        <v/>
      </c>
      <c r="AH29" s="53" t="str">
        <f>IF(Tim!CF31=Sheet6!$C$2,Sheet6!$C$2,IF(Tim!CF31=Sheet6!$C$3,Sheet6!$C$3,IF(Tim!CF31=Sheet6!$C$4,Sheet6!$C$4,IF(Tim!CF31=Sheet6!$C$5,Sheet6!$C$5,IF(Tim!CF31=Sheet6!$C$6,Sheet6!$C$6,IF(Tim!CF31=Sheet6!$C$7,Sheet6!$C$7,IF(Tim!CF31=Sheet6!$C$8,Sheet6!$C$8,"")))))))</f>
        <v/>
      </c>
      <c r="AI29" s="176" t="str">
        <f>IF(Tim!CG31=Sheet6!$C$2,Sheet6!$C$2,IF(Tim!CG31=Sheet6!$C$3,Sheet6!$C$3,IF(Tim!CG31=Sheet6!$C$4,Sheet6!$C$4,IF(Tim!CG31=Sheet6!$C$5,Sheet6!$C$5,IF(Tim!CG31=Sheet6!$C$6,Sheet6!$C$6,IF(Tim!CG31=Sheet6!$C$7,Sheet6!$C$7,IF(Tim!CG31=Sheet6!$C$8,Sheet6!$C$8,"")))))))</f>
        <v/>
      </c>
      <c r="AJ29" s="53" t="str">
        <f>IF(Tim!CH31=Sheet6!$C$2,Sheet6!$C$2,IF(Tim!CH31=Sheet6!$C$3,Sheet6!$C$3,IF(Tim!CH31=Sheet6!$C$4,Sheet6!$C$4,IF(Tim!CH31=Sheet6!$C$5,Sheet6!$C$5,IF(Tim!CH31=Sheet6!$C$6,Sheet6!$C$6,IF(Tim!CH31=Sheet6!$C$7,Sheet6!$C$7,IF(Tim!CH31=Sheet6!$C$8,Sheet6!$C$8,"")))))))</f>
        <v/>
      </c>
      <c r="AK29" s="53" t="str">
        <f>IF(Tim!CL31=Sheet6!$C$2,Sheet6!$C$2,IF(Tim!CL31=Sheet6!$C$3,Sheet6!$C$3,IF(Tim!CL31=Sheet6!$C$4,Sheet6!$C$4,IF(Tim!CL31=Sheet6!$C$5,Sheet6!$C$5,IF(Tim!CL31=Sheet6!$C$6,Sheet6!$C$6,IF(Tim!CL31=Sheet6!$C$7,Sheet6!$C$7,IF(Tim!CL31=Sheet6!$C$8,Sheet6!$C$8,"")))))))</f>
        <v/>
      </c>
      <c r="AL29" s="54" t="str">
        <f>IF(Tim!CM31=Sheet6!$C$2,Sheet6!$C$2,IF(Tim!CM31=Sheet6!$C$3,Sheet6!$C$3,IF(Tim!CM31=Sheet6!$C$4,Sheet6!$C$4,IF(Tim!CM31=Sheet6!$C$5,Sheet6!$C$5,IF(Tim!CM31=Sheet6!$C$6,Sheet6!$C$6,IF(Tim!CM31=Sheet6!$C$7,Sheet6!$C$7,IF(Tim!CM31=Sheet6!$C$8,Sheet6!$C$8,"")))))))</f>
        <v/>
      </c>
      <c r="AM29" s="54" t="str">
        <f>IF(Tim!CN31=Sheet6!$C$2,Sheet6!$C$2,IF(Tim!CN31=Sheet6!$C$3,Sheet6!$C$3,IF(Tim!CN31=Sheet6!$C$4,Sheet6!$C$4,IF(Tim!CN31=Sheet6!$C$5,Sheet6!$C$5,IF(Tim!CN31=Sheet6!$C$6,Sheet6!$C$6,IF(Tim!CN31=Sheet6!$C$7,Sheet6!$C$7,IF(Tim!CN31=Sheet6!$C$8,Sheet6!$C$8,"")))))))</f>
        <v/>
      </c>
      <c r="AN29" s="54" t="str">
        <f>IF(Tim!CO31=Sheet6!$C$2,Sheet6!$C$2,IF(Tim!CO31=Sheet6!$C$3,Sheet6!$C$3,IF(Tim!CO31=Sheet6!$C$4,Sheet6!$C$4,IF(Tim!CO31=Sheet6!$C$5,Sheet6!$C$5,IF(Tim!CO31=Sheet6!$C$6,Sheet6!$C$6,IF(Tim!CO31=Sheet6!$C$7,Sheet6!$C$7,IF(Tim!CO31=Sheet6!$C$8,Sheet6!$C$8,"")))))))</f>
        <v/>
      </c>
      <c r="AO29" s="55" t="str">
        <f>IF(Tim!CP31=Sheet6!$C$2,Sheet6!$C$2,IF(Tim!CP31=Sheet6!$C$3,Sheet6!$C$3,IF(Tim!CP31=Sheet6!$C$4,Sheet6!$C$4,IF(Tim!CP31=Sheet6!$C$5,Sheet6!$C$5,IF(Tim!CP31=Sheet6!$C$6,Sheet6!$C$6,IF(Tim!CP31=Sheet6!$C$7,Sheet6!$C$7,IF(Tim!CP31=Sheet6!$C$8,Sheet6!$C$8,"")))))))</f>
        <v/>
      </c>
      <c r="AP29" s="53" t="str">
        <f>IF(Tim!CQ31=Sheet6!$C$2,Sheet6!$C$2,IF(Tim!CQ31=Sheet6!$C$3,Sheet6!$C$3,IF(Tim!CQ31=Sheet6!$C$4,Sheet6!$C$4,IF(Tim!CQ31=Sheet6!$C$5,Sheet6!$C$5,IF(Tim!CQ31=Sheet6!$C$6,Sheet6!$C$6,IF(Tim!CQ31=Sheet6!$C$7,Sheet6!$C$7,IF(Tim!CQ31=Sheet6!$C$8,Sheet6!$C$8,"")))))))</f>
        <v/>
      </c>
      <c r="AQ29" s="53" t="str">
        <f>IF(Tim!CR31=Sheet6!$C$2,Sheet6!$C$2,IF(Tim!CR31=Sheet6!$C$3,Sheet6!$C$3,IF(Tim!CR31=Sheet6!$C$4,Sheet6!$C$4,IF(Tim!CR31=Sheet6!$C$5,Sheet6!$C$5,IF(Tim!CR31=Sheet6!$C$6,Sheet6!$C$6,IF(Tim!CR31=Sheet6!$C$7,Sheet6!$C$7,IF(Tim!CR31=Sheet6!$C$8,Sheet6!$C$8,"")))))))</f>
        <v/>
      </c>
      <c r="AR29" s="57" t="str">
        <f>IF(Tim!CV31=Sheet6!$C$2,Sheet6!$C$2,IF(Tim!CV31=Sheet6!$C$3,Sheet6!$C$3,IF(Tim!CV31=Sheet6!$C$4,Sheet6!$C$4,IF(Tim!CV31=Sheet6!$C$5,Sheet6!$C$5,IF(Tim!CV31=Sheet6!$C$6,Sheet6!$C$6,IF(Tim!CV31=Sheet6!$C$7,Sheet6!$C$7,IF(Tim!CV31=Sheet6!$C$8,Sheet6!$C$8,"")))))))</f>
        <v/>
      </c>
      <c r="AS29" s="57" t="str">
        <f>IF(Tim!CW31=Sheet6!$C$2,Sheet6!$C$2,IF(Tim!CW31=Sheet6!$C$3,Sheet6!$C$3,IF(Tim!CW31=Sheet6!$C$4,Sheet6!$C$4,IF(Tim!CW31=Sheet6!$C$5,Sheet6!$C$5,IF(Tim!CW31=Sheet6!$C$6,Sheet6!$C$6,IF(Tim!CW31=Sheet6!$C$7,Sheet6!$C$7,IF(Tim!CW31=Sheet6!$C$8,Sheet6!$C$8,"")))))))</f>
        <v/>
      </c>
      <c r="AT29" s="57" t="str">
        <f>IF(Tim!DA31=Sheet6!$C$2,Sheet6!$C$2,IF(Tim!DA31=Sheet6!$C$3,Sheet6!$C$3,IF(Tim!DA31=Sheet6!$C$4,Sheet6!$C$4,IF(Tim!DA31=Sheet6!$C$5,Sheet6!$C$5,IF(Tim!DA31=Sheet6!$C$6,Sheet6!$C$6,IF(Tim!DA31=Sheet6!$C$7,Sheet6!$C$7,IF(Tim!DA31=Sheet6!$C$8,Sheet6!$C$8,"")))))))</f>
        <v/>
      </c>
      <c r="AU29" s="53" t="str">
        <f>IF(Tim!DO31=Sheet6!$C$2,Sheet6!$C$2,IF(Tim!DO31=Sheet6!$C$3,Sheet6!$C$3,IF(Tim!DO31=Sheet6!$C$4,Sheet6!$C$4,IF(Tim!DO31=Sheet6!$C$5,Sheet6!$C$5,IF(Tim!DO31=Sheet6!$C$6,Sheet6!$C$6,IF(Tim!DO31=Sheet6!$C$7,Sheet6!$C$7,IF(Tim!DO31=Sheet6!$C$8,Sheet6!$C$8,"")))))))</f>
        <v/>
      </c>
      <c r="AV29" s="181" t="str">
        <f>IF(Tim!DP31=Sheet6!$C$2,Sheet6!$C$2,IF(Tim!DP31=Sheet6!$C$3,Sheet6!$C$3,IF(Tim!DP31=Sheet6!$C$4,Sheet6!$C$4,IF(Tim!DP31=Sheet6!$C$5,Sheet6!$C$5,IF(Tim!DP31=Sheet6!$C$6,Sheet6!$C$6,IF(Tim!DP31=Sheet6!$C$7,Sheet6!$C$7,IF(Tim!DP31=Sheet6!$C$8,Sheet6!$C$8,"")))))))</f>
        <v/>
      </c>
      <c r="AW29" s="181" t="str">
        <f>IF(Tim!DX31=Sheet6!$C$2,Sheet6!$C$2,IF(Tim!DX31=Sheet6!$C$3,Sheet6!$C$3,IF(Tim!DX31=Sheet6!$C$4,Sheet6!$C$4,IF(Tim!DX31=Sheet6!$C$5,Sheet6!$C$5,IF(Tim!DX31=Sheet6!$C$6,Sheet6!$C$6,IF(Tim!DX31=Sheet6!$C$7,Sheet6!$C$7,IF(Tim!DX31=Sheet6!$C$8,Sheet6!$C$8,"")))))))</f>
        <v/>
      </c>
      <c r="AX29" s="181" t="str">
        <f>IF(Tim!DY31=Sheet6!$C$2,Sheet6!$C$2,IF(Tim!DY31=Sheet6!$C$3,Sheet6!$C$3,IF(Tim!DY31=Sheet6!$C$4,Sheet6!$C$4,IF(Tim!DY31=Sheet6!$C$5,Sheet6!$C$5,IF(Tim!DY31=Sheet6!$C$6,Sheet6!$C$6,IF(Tim!DY31=Sheet6!$C$7,Sheet6!$C$7,IF(Tim!DY31=Sheet6!$C$8,Sheet6!$C$8,"")))))))</f>
        <v/>
      </c>
      <c r="AY29" s="53" t="str">
        <f>IF(Tim!DZ31=Sheet6!$C$2,Sheet6!$C$2,IF(Tim!DZ31=Sheet6!$C$3,Sheet6!$C$3,IF(Tim!DZ31=Sheet6!$C$4,Sheet6!$C$4,IF(Tim!DZ31=Sheet6!$C$5,Sheet6!$C$5,IF(Tim!DZ31=Sheet6!$C$6,Sheet6!$C$6,IF(Tim!DZ31=Sheet6!$C$7,Sheet6!$C$7,IF(Tim!DZ31=Sheet6!$C$8,Sheet6!$C$8,"")))))))</f>
        <v/>
      </c>
      <c r="AZ29" s="53" t="str">
        <f>IF(Tim!EA31=Sheet6!$C$2,Sheet6!$C$2,IF(Tim!EA31=Sheet6!$C$3,Sheet6!$C$3,IF(Tim!EA31=Sheet6!$C$4,Sheet6!$C$4,IF(Tim!EA31=Sheet6!$C$5,Sheet6!$C$5,IF(Tim!EA31=Sheet6!$C$6,Sheet6!$C$6,IF(Tim!EA31=Sheet6!$C$7,Sheet6!$C$7,IF(Tim!EA31=Sheet6!$C$8,Sheet6!$C$8,"")))))))</f>
        <v/>
      </c>
      <c r="BA29" s="176" t="str">
        <f>IF(Tim!EB31=Sheet6!$C$2,Sheet6!$C$2,IF(Tim!EB31=Sheet6!$C$3,Sheet6!$C$3,IF(Tim!EB31=Sheet6!$C$4,Sheet6!$C$4,IF(Tim!EB31=Sheet6!$C$5,Sheet6!$C$5,IF(Tim!EB31=Sheet6!$C$6,Sheet6!$C$6,IF(Tim!EB31=Sheet6!$C$7,Sheet6!$C$7,IF(Tim!EB31=Sheet6!$C$8,Sheet6!$C$8,"")))))))</f>
        <v/>
      </c>
      <c r="BB29" s="53" t="str">
        <f>IF(Tim!EC31=Sheet6!$C$2,Sheet6!$C$2,IF(Tim!EC31=Sheet6!$C$3,Sheet6!$C$3,IF(Tim!EC31=Sheet6!$C$4,Sheet6!$C$4,IF(Tim!EC31=Sheet6!$C$5,Sheet6!$C$5,IF(Tim!EC31=Sheet6!$C$6,Sheet6!$C$6,IF(Tim!EC31=Sheet6!$C$7,Sheet6!$C$7,IF(Tim!EC31=Sheet6!$C$8,Sheet6!$C$8,"")))))))</f>
        <v/>
      </c>
      <c r="BC29" s="53" t="str">
        <f>IF(Tim!EG31=Sheet6!$C$2,Sheet6!$C$2,IF(Tim!EG31=Sheet6!$C$3,Sheet6!$C$3,IF(Tim!EG31=Sheet6!$C$4,Sheet6!$C$4,IF(Tim!EG31=Sheet6!$C$5,Sheet6!$C$5,IF(Tim!EG31=Sheet6!$C$6,Sheet6!$C$6,IF(Tim!EG31=Sheet6!$C$7,Sheet6!$C$7,IF(Tim!EG31=Sheet6!$C$8,Sheet6!$C$8,"")))))))</f>
        <v/>
      </c>
      <c r="BD29" s="54" t="str">
        <f>IF(Tim!EH31=Sheet6!$C$2,Sheet6!$C$2,IF(Tim!EH31=Sheet6!$C$3,Sheet6!$C$3,IF(Tim!EH31=Sheet6!$C$4,Sheet6!$C$4,IF(Tim!EH31=Sheet6!$C$5,Sheet6!$C$5,IF(Tim!EH31=Sheet6!$C$6,Sheet6!$C$6,IF(Tim!EH31=Sheet6!$C$7,Sheet6!$C$7,IF(Tim!EH31=Sheet6!$C$8,Sheet6!$C$8,"")))))))</f>
        <v/>
      </c>
      <c r="BE29" s="54" t="str">
        <f>IF(Tim!EI31=Sheet6!$C$2,Sheet6!$C$2,IF(Tim!EI31=Sheet6!$C$3,Sheet6!$C$3,IF(Tim!EI31=Sheet6!$C$4,Sheet6!$C$4,IF(Tim!EI31=Sheet6!$C$5,Sheet6!$C$5,IF(Tim!EI31=Sheet6!$C$6,Sheet6!$C$6,IF(Tim!EI31=Sheet6!$C$7,Sheet6!$C$7,IF(Tim!EI31=Sheet6!$C$8,Sheet6!$C$8,"")))))))</f>
        <v/>
      </c>
      <c r="BF29" s="54" t="str">
        <f>IF(Tim!EJ31=Sheet6!$C$2,Sheet6!$C$2,IF(Tim!EJ31=Sheet6!$C$3,Sheet6!$C$3,IF(Tim!EJ31=Sheet6!$C$4,Sheet6!$C$4,IF(Tim!EJ31=Sheet6!$C$5,Sheet6!$C$5,IF(Tim!EJ31=Sheet6!$C$6,Sheet6!$C$6,IF(Tim!EJ31=Sheet6!$C$7,Sheet6!$C$7,IF(Tim!EJ31=Sheet6!$C$8,Sheet6!$C$8,"")))))))</f>
        <v/>
      </c>
      <c r="BG29" s="55" t="str">
        <f>IF(Tim!EK31=Sheet6!$C$2,Sheet6!$C$2,IF(Tim!EK31=Sheet6!$C$3,Sheet6!$C$3,IF(Tim!EK31=Sheet6!$C$4,Sheet6!$C$4,IF(Tim!EK31=Sheet6!$C$5,Sheet6!$C$5,IF(Tim!EK31=Sheet6!$C$6,Sheet6!$C$6,IF(Tim!EK31=Sheet6!$C$7,Sheet6!$C$7,IF(Tim!EK31=Sheet6!$C$8,Sheet6!$C$8,"")))))))</f>
        <v/>
      </c>
      <c r="BH29" s="53" t="str">
        <f>IF(Tim!EL31=Sheet6!$C$2,Sheet6!$C$2,IF(Tim!EL31=Sheet6!$C$3,Sheet6!$C$3,IF(Tim!EL31=Sheet6!$C$4,Sheet6!$C$4,IF(Tim!EL31=Sheet6!$C$5,Sheet6!$C$5,IF(Tim!EL31=Sheet6!$C$6,Sheet6!$C$6,IF(Tim!EL31=Sheet6!$C$7,Sheet6!$C$7,IF(Tim!EL31=Sheet6!$C$8,Sheet6!$C$8,"")))))))</f>
        <v/>
      </c>
      <c r="BI29" s="57" t="str">
        <f>IF(Tim!EM31=Sheet6!$C$2,Sheet6!$C$2,IF(Tim!EM31=Sheet6!$C$3,Sheet6!$C$3,IF(Tim!EM31=Sheet6!$C$4,Sheet6!$C$4,IF(Tim!EM31=Sheet6!$C$5,Sheet6!$C$5,IF(Tim!EM31=Sheet6!$C$6,Sheet6!$C$6,IF(Tim!EM31=Sheet6!$C$7,Sheet6!$C$7,IF(Tim!EM31=Sheet6!$C$8,Sheet6!$C$8,"")))))))</f>
        <v/>
      </c>
      <c r="BJ29" s="57" t="str">
        <f>IF(Tim!EQ31=Sheet6!$C$2,Sheet6!$C$2,IF(Tim!EQ31=Sheet6!$C$3,Sheet6!$C$3,IF(Tim!EQ31=Sheet6!$C$4,Sheet6!$C$4,IF(Tim!EQ31=Sheet6!$C$5,Sheet6!$C$5,IF(Tim!EQ31=Sheet6!$C$6,Sheet6!$C$6,IF(Tim!EQ31=Sheet6!$C$7,Sheet6!$C$7,IF(Tim!EQ31=Sheet6!$C$8,Sheet6!$C$8,"")))))))</f>
        <v/>
      </c>
      <c r="BK29" s="57" t="str">
        <f>IF(Tim!ER31=Sheet6!$C$2,Sheet6!$C$2,IF(Tim!ER31=Sheet6!$C$3,Sheet6!$C$3,IF(Tim!ER31=Sheet6!$C$4,Sheet6!$C$4,IF(Tim!ER31=Sheet6!$C$5,Sheet6!$C$5,IF(Tim!ER31=Sheet6!$C$6,Sheet6!$C$6,IF(Tim!ER31=Sheet6!$C$7,Sheet6!$C$7,IF(Tim!ER31=Sheet6!$C$8,Sheet6!$C$8,"")))))))</f>
        <v/>
      </c>
      <c r="BL29" s="57" t="str">
        <f>IF(Tim!EZ31=Sheet6!$C$2,Sheet6!$C$2,IF(Tim!EZ31=Sheet6!$C$3,Sheet6!$C$3,IF(Tim!EZ31=Sheet6!$C$4,Sheet6!$C$4,IF(Tim!EZ31=Sheet6!$C$5,Sheet6!$C$5,IF(Tim!EZ31=Sheet6!$C$6,Sheet6!$C$6,IF(Tim!EZ31=Sheet6!$C$7,Sheet6!$C$7,IF(Tim!EZ31=Sheet6!$C$8,Sheet6!$C$8,"")))))))</f>
        <v/>
      </c>
      <c r="BM29" s="53" t="str">
        <f>IF(Tim!FG31=Sheet6!$C$2,Sheet6!$C$2,IF(Tim!FG31=Sheet6!$C$3,Sheet6!$C$3,IF(Tim!FG31=Sheet6!$C$4,Sheet6!$C$4,IF(Tim!FG31=Sheet6!$C$5,Sheet6!$C$5,IF(Tim!FG31=Sheet6!$C$6,Sheet6!$C$6,IF(Tim!FG31=Sheet6!$C$7,Sheet6!$C$7,IF(Tim!FG31=Sheet6!$C$8,Sheet6!$C$8,"")))))))</f>
        <v/>
      </c>
      <c r="BN29" s="181" t="str">
        <f>IF(Tim!FH31=Sheet6!$C$2,Sheet6!$C$2,IF(Tim!FH31=Sheet6!$C$3,Sheet6!$C$3,IF(Tim!FH31=Sheet6!$C$4,Sheet6!$C$4,IF(Tim!FH31=Sheet6!$C$5,Sheet6!$C$5,IF(Tim!FH31=Sheet6!$C$6,Sheet6!$C$6,IF(Tim!FH31=Sheet6!$C$7,Sheet6!$C$7,IF(Tim!FH31=Sheet6!$C$8,Sheet6!$C$8,"")))))))</f>
        <v/>
      </c>
      <c r="BO29" s="181" t="str">
        <f>IF(Tim!FP31=Sheet6!$C$2,Sheet6!$C$2,IF(Tim!FP31=Sheet6!$C$3,Sheet6!$C$3,IF(Tim!FP31=Sheet6!$C$4,Sheet6!$C$4,IF(Tim!FP31=Sheet6!$C$5,Sheet6!$C$5,IF(Tim!FP31=Sheet6!$C$6,Sheet6!$C$6,IF(Tim!FP31=Sheet6!$C$7,Sheet6!$C$7,IF(Tim!FP31=Sheet6!$C$8,Sheet6!$C$8,"")))))))</f>
        <v/>
      </c>
      <c r="BP29" s="181" t="str">
        <f>IF(Tim!FQ31=Sheet6!$C$2,Sheet6!$C$2,IF(Tim!FQ31=Sheet6!$C$3,Sheet6!$C$3,IF(Tim!FQ31=Sheet6!$C$4,Sheet6!$C$4,IF(Tim!FQ31=Sheet6!$C$5,Sheet6!$C$5,IF(Tim!FQ31=Sheet6!$C$6,Sheet6!$C$6,IF(Tim!FQ31=Sheet6!$C$7,Sheet6!$C$7,IF(Tim!FQ31=Sheet6!$C$8,Sheet6!$C$8,"")))))))</f>
        <v/>
      </c>
      <c r="BQ29" s="53" t="str">
        <f>IF(Tim!FR31=Sheet6!$C$2,Sheet6!$C$2,IF(Tim!FR31=Sheet6!$C$3,Sheet6!$C$3,IF(Tim!FR31=Sheet6!$C$4,Sheet6!$C$4,IF(Tim!FR31=Sheet6!$C$5,Sheet6!$C$5,IF(Tim!FR31=Sheet6!$C$6,Sheet6!$C$6,IF(Tim!FR31=Sheet6!$C$7,Sheet6!$C$7,IF(Tim!FR31=Sheet6!$C$8,Sheet6!$C$8,"")))))))</f>
        <v/>
      </c>
      <c r="BR29" s="53" t="str">
        <f>IF(Tim!FS31=Sheet6!$C$2,Sheet6!$C$2,IF(Tim!FS31=Sheet6!$C$3,Sheet6!$C$3,IF(Tim!FS31=Sheet6!$C$4,Sheet6!$C$4,IF(Tim!FS31=Sheet6!$C$5,Sheet6!$C$5,IF(Tim!FS31=Sheet6!$C$6,Sheet6!$C$6,IF(Tim!FS31=Sheet6!$C$7,Sheet6!$C$7,IF(Tim!FS31=Sheet6!$C$8,Sheet6!$C$8,"")))))))</f>
        <v/>
      </c>
      <c r="BS29" s="53" t="str">
        <f>IF(Tim!FT31=Sheet6!$C$2,Sheet6!$C$2,IF(Tim!FT31=Sheet6!$C$3,Sheet6!$C$3,IF(Tim!FT31=Sheet6!$C$4,Sheet6!$C$4,IF(Tim!FT31=Sheet6!$C$5,Sheet6!$C$5,IF(Tim!FT31=Sheet6!$C$6,Sheet6!$C$6,IF(Tim!FT31=Sheet6!$C$7,Sheet6!$C$7,IF(Tim!FT31=Sheet6!$C$8,Sheet6!$C$8,"")))))))</f>
        <v/>
      </c>
      <c r="BT29" s="53" t="str">
        <f>IF(Tim!FU31=Sheet6!$C$2,Sheet6!$C$2,IF(Tim!FU31=Sheet6!$C$3,Sheet6!$C$3,IF(Tim!FU31=Sheet6!$C$4,Sheet6!$C$4,IF(Tim!FU31=Sheet6!$C$5,Sheet6!$C$5,IF(Tim!FU31=Sheet6!$C$6,Sheet6!$C$6,IF(Tim!FU31=Sheet6!$C$7,Sheet6!$C$7,IF(Tim!FU31=Sheet6!$C$8,Sheet6!$C$8,"")))))))</f>
        <v/>
      </c>
      <c r="BU29" s="53" t="str">
        <f>IF(Tim!FY31=Sheet6!$C$2,Sheet6!$C$2,IF(Tim!FY31=Sheet6!$C$3,Sheet6!$C$3,IF(Tim!FY31=Sheet6!$C$4,Sheet6!$C$4,IF(Tim!FY31=Sheet6!$C$5,Sheet6!$C$5,IF(Tim!FY31=Sheet6!$C$6,Sheet6!$C$6,IF(Tim!FY31=Sheet6!$C$7,Sheet6!$C$7,IF(Tim!FY31=Sheet6!$C$8,Sheet6!$C$8,"")))))))</f>
        <v/>
      </c>
      <c r="BV29" s="54" t="str">
        <f>IF(Tim!FZ31=Sheet6!$C$2,Sheet6!$C$2,IF(Tim!FZ31=Sheet6!$C$3,Sheet6!$C$3,IF(Tim!FZ31=Sheet6!$C$4,Sheet6!$C$4,IF(Tim!FZ31=Sheet6!$C$5,Sheet6!$C$5,IF(Tim!FZ31=Sheet6!$C$6,Sheet6!$C$6,IF(Tim!FZ31=Sheet6!$C$7,Sheet6!$C$7,IF(Tim!FZ31=Sheet6!$C$8,Sheet6!$C$8,"")))))))</f>
        <v/>
      </c>
      <c r="BW29" s="54" t="str">
        <f>IF(Tim!GA31=Sheet6!$C$2,Sheet6!$C$2,IF(Tim!GA31=Sheet6!$C$3,Sheet6!$C$3,IF(Tim!GA31=Sheet6!$C$4,Sheet6!$C$4,IF(Tim!GA31=Sheet6!$C$5,Sheet6!$C$5,IF(Tim!GA31=Sheet6!$C$6,Sheet6!$C$6,IF(Tim!GA31=Sheet6!$C$7,Sheet6!$C$7,IF(Tim!GA31=Sheet6!$C$8,Sheet6!$C$8,"")))))))</f>
        <v/>
      </c>
      <c r="BX29" s="54" t="str">
        <f>IF(Tim!GB31=Sheet6!$C$2,Sheet6!$C$2,IF(Tim!GB31=Sheet6!$C$3,Sheet6!$C$3,IF(Tim!GB31=Sheet6!$C$4,Sheet6!$C$4,IF(Tim!GB31=Sheet6!$C$5,Sheet6!$C$5,IF(Tim!GB31=Sheet6!$C$6,Sheet6!$C$6,IF(Tim!GB31=Sheet6!$C$7,Sheet6!$C$7,IF(Tim!GB31=Sheet6!$C$8,Sheet6!$C$8,"")))))))</f>
        <v/>
      </c>
      <c r="BY29" s="55" t="str">
        <f>IF(Tim!GC31=Sheet6!$C$2,Sheet6!$C$2,IF(Tim!GC31=Sheet6!$C$3,Sheet6!$C$3,IF(Tim!GC31=Sheet6!$C$4,Sheet6!$C$4,IF(Tim!GC31=Sheet6!$C$5,Sheet6!$C$5,IF(Tim!GC31=Sheet6!$C$6,Sheet6!$C$6,IF(Tim!GC31=Sheet6!$C$7,Sheet6!$C$7,IF(Tim!GC31=Sheet6!$C$8,Sheet6!$C$8,"")))))))</f>
        <v/>
      </c>
      <c r="BZ29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CA29" s="53" t="str">
        <f>IF(Tim!GE31=Sheet6!$C$2,Sheet6!$C$2,IF(Tim!GE31=Sheet6!$C$3,Sheet6!$C$3,IF(Tim!GE31=Sheet6!$C$4,Sheet6!$C$4,IF(Tim!GE31=Sheet6!$C$5,Sheet6!$C$5,IF(Tim!GE31=Sheet6!$C$6,Sheet6!$C$6,IF(Tim!GE31=Sheet6!$C$7,Sheet6!$C$7,IF(Tim!GE31=Sheet6!$C$8,Sheet6!$C$8,"")))))))</f>
        <v/>
      </c>
      <c r="CB29" s="53" t="str">
        <f>IF(Tim!GI31=Sheet6!$C$2,Sheet6!$C$2,IF(Tim!GI31=Sheet6!$C$3,Sheet6!$C$3,IF(Tim!GI31=Sheet6!$C$4,Sheet6!$C$4,IF(Tim!GI31=Sheet6!$C$5,Sheet6!$C$5,IF(Tim!GI31=Sheet6!$C$6,Sheet6!$C$6,IF(Tim!GI31=Sheet6!$C$7,Sheet6!$C$7,IF(Tim!GI31=Sheet6!$C$8,Sheet6!$C$8,"")))))))</f>
        <v/>
      </c>
      <c r="CC29" s="53" t="str">
        <f>IF(Tim!GJ31=Sheet6!$C$2,Sheet6!$C$2,IF(Tim!GJ31=Sheet6!$C$3,Sheet6!$C$3,IF(Tim!GJ31=Sheet6!$C$4,Sheet6!$C$4,IF(Tim!GJ31=Sheet6!$C$5,Sheet6!$C$5,IF(Tim!GJ31=Sheet6!$C$6,Sheet6!$C$6,IF(Tim!GJ31=Sheet6!$C$7,Sheet6!$C$7,IF(Tim!GJ31=Sheet6!$C$8,Sheet6!$C$8,"")))))))</f>
        <v/>
      </c>
      <c r="CD29" s="53" t="str">
        <f>IF(Tim!GN31=Sheet6!$C$2,Sheet6!$C$2,IF(Tim!GN31=Sheet6!$C$3,Sheet6!$C$3,IF(Tim!GN31=Sheet6!$C$4,Sheet6!$C$4,IF(Tim!GN31=Sheet6!$C$5,Sheet6!$C$5,IF(Tim!GN31=Sheet6!$C$6,Sheet6!$C$6,IF(Tim!GN31=Sheet6!$C$7,Sheet6!$C$7,IF(Tim!GN31=Sheet6!$C$8,Sheet6!$C$8,"")))))))</f>
        <v/>
      </c>
      <c r="CE29" s="53" t="str">
        <f>IF(Tim!GY31=Sheet6!$C$2,Sheet6!$C$2,IF(Tim!GY31=Sheet6!$C$3,Sheet6!$C$3,IF(Tim!GY31=Sheet6!$C$4,Sheet6!$C$4,IF(Tim!GY31=Sheet6!$C$5,Sheet6!$C$5,IF(Tim!GY31=Sheet6!$C$6,Sheet6!$C$6,IF(Tim!GY31=Sheet6!$C$7,Sheet6!$C$7,IF(Tim!GY31=Sheet6!$C$8,Sheet6!$C$8,"")))))))</f>
        <v/>
      </c>
      <c r="CF29" s="181" t="str">
        <f>IF(Tim!GZ31=Sheet6!$C$2,Sheet6!$C$2,IF(Tim!GZ31=Sheet6!$C$3,Sheet6!$C$3,IF(Tim!GZ31=Sheet6!$C$4,Sheet6!$C$4,IF(Tim!GZ31=Sheet6!$C$5,Sheet6!$C$5,IF(Tim!GZ31=Sheet6!$C$6,Sheet6!$C$6,IF(Tim!GZ31=Sheet6!$C$7,Sheet6!$C$7,IF(Tim!GZ31=Sheet6!$C$8,Sheet6!$C$8,"")))))))</f>
        <v/>
      </c>
      <c r="CG29" s="181" t="str">
        <f>IF(Tim!HH31=Sheet6!$C$2,Sheet6!$C$2,IF(Tim!HH31=Sheet6!$C$3,Sheet6!$C$3,IF(Tim!HH31=Sheet6!$C$4,Sheet6!$C$4,IF(Tim!HH31=Sheet6!$C$5,Sheet6!$C$5,IF(Tim!HH31=Sheet6!$C$6,Sheet6!$C$6,IF(Tim!HH31=Sheet6!$C$7,Sheet6!$C$7,IF(Tim!HH31=Sheet6!$C$8,Sheet6!$C$8,"")))))))</f>
        <v/>
      </c>
      <c r="CH29" s="181" t="str">
        <f>IF(Tim!HI31=Sheet6!$C$2,Sheet6!$C$2,IF(Tim!HI31=Sheet6!$C$3,Sheet6!$C$3,IF(Tim!HI31=Sheet6!$C$4,Sheet6!$C$4,IF(Tim!HI31=Sheet6!$C$5,Sheet6!$C$5,IF(Tim!HI31=Sheet6!$C$6,Sheet6!$C$6,IF(Tim!HI31=Sheet6!$C$7,Sheet6!$C$7,IF(Tim!HI31=Sheet6!$C$8,Sheet6!$C$8,"")))))))</f>
        <v/>
      </c>
      <c r="CI29" s="53" t="str">
        <f>IF(Tim!HJ31=Sheet6!$C$2,Sheet6!$C$2,IF(Tim!HJ31=Sheet6!$C$3,Sheet6!$C$3,IF(Tim!HJ31=Sheet6!$C$4,Sheet6!$C$4,IF(Tim!HJ31=Sheet6!$C$5,Sheet6!$C$5,IF(Tim!HJ31=Sheet6!$C$6,Sheet6!$C$6,IF(Tim!HJ31=Sheet6!$C$7,Sheet6!$C$7,IF(Tim!HJ31=Sheet6!$C$8,Sheet6!$C$8,"")))))))</f>
        <v/>
      </c>
      <c r="CJ29" s="53" t="str">
        <f>IF(Tim!HK31=Sheet6!$C$2,Sheet6!$C$2,IF(Tim!HK31=Sheet6!$C$3,Sheet6!$C$3,IF(Tim!HK31=Sheet6!$C$4,Sheet6!$C$4,IF(Tim!HK31=Sheet6!$C$5,Sheet6!$C$5,IF(Tim!HK31=Sheet6!$C$6,Sheet6!$C$6,IF(Tim!HK31=Sheet6!$C$7,Sheet6!$C$7,IF(Tim!HK31=Sheet6!$C$8,Sheet6!$C$8,"")))))))</f>
        <v/>
      </c>
      <c r="CK29" s="53" t="str">
        <f>IF(Tim!HL31=Sheet6!$C$2,Sheet6!$C$2,IF(Tim!HL31=Sheet6!$C$3,Sheet6!$C$3,IF(Tim!HL31=Sheet6!$C$4,Sheet6!$C$4,IF(Tim!HL31=Sheet6!$C$5,Sheet6!$C$5,IF(Tim!HL31=Sheet6!$C$6,Sheet6!$C$6,IF(Tim!HL31=Sheet6!$C$7,Sheet6!$C$7,IF(Tim!HL31=Sheet6!$C$8,Sheet6!$C$8,"")))))))</f>
        <v/>
      </c>
      <c r="CL29" s="53" t="str">
        <f>IF(Tim!HM31=Sheet6!$C$2,Sheet6!$C$2,IF(Tim!HM31=Sheet6!$C$3,Sheet6!$C$3,IF(Tim!HM31=Sheet6!$C$4,Sheet6!$C$4,IF(Tim!HM31=Sheet6!$C$5,Sheet6!$C$5,IF(Tim!HM31=Sheet6!$C$6,Sheet6!$C$6,IF(Tim!HM31=Sheet6!$C$7,Sheet6!$C$7,IF(Tim!HM31=Sheet6!$C$8,Sheet6!$C$8,"")))))))</f>
        <v/>
      </c>
      <c r="CM29" s="53" t="str">
        <f>IF(Tim!HQ31=Sheet6!$C$2,Sheet6!$C$2,IF(Tim!HQ31=Sheet6!$C$3,Sheet6!$C$3,IF(Tim!HQ31=Sheet6!$C$4,Sheet6!$C$4,IF(Tim!HQ31=Sheet6!$C$5,Sheet6!$C$5,IF(Tim!HQ31=Sheet6!$C$6,Sheet6!$C$6,IF(Tim!HQ31=Sheet6!$C$7,Sheet6!$C$7,IF(Tim!HQ31=Sheet6!$C$8,Sheet6!$C$8,"")))))))</f>
        <v/>
      </c>
      <c r="CN29" s="54" t="str">
        <f>IF(Tim!HR31=Sheet6!$C$2,Sheet6!$C$2,IF(Tim!HR31=Sheet6!$C$3,Sheet6!$C$3,IF(Tim!HR31=Sheet6!$C$4,Sheet6!$C$4,IF(Tim!HR31=Sheet6!$C$5,Sheet6!$C$5,IF(Tim!HR31=Sheet6!$C$6,Sheet6!$C$6,IF(Tim!HR31=Sheet6!$C$7,Sheet6!$C$7,IF(Tim!HR31=Sheet6!$C$8,Sheet6!$C$8,"")))))))</f>
        <v/>
      </c>
      <c r="CO29" s="54" t="str">
        <f>IF(Tim!HS31=Sheet6!$C$2,Sheet6!$C$2,IF(Tim!HS31=Sheet6!$C$3,Sheet6!$C$3,IF(Tim!HS31=Sheet6!$C$4,Sheet6!$C$4,IF(Tim!HS31=Sheet6!$C$5,Sheet6!$C$5,IF(Tim!HS31=Sheet6!$C$6,Sheet6!$C$6,IF(Tim!HS31=Sheet6!$C$7,Sheet6!$C$7,IF(Tim!HS31=Sheet6!$C$8,Sheet6!$C$8,"")))))))</f>
        <v/>
      </c>
      <c r="CP29" s="54" t="str">
        <f>IF(Tim!HT31=Sheet6!$C$2,Sheet6!$C$2,IF(Tim!HT31=Sheet6!$C$3,Sheet6!$C$3,IF(Tim!HT31=Sheet6!$C$4,Sheet6!$C$4,IF(Tim!HT31=Sheet6!$C$5,Sheet6!$C$5,IF(Tim!HT31=Sheet6!$C$6,Sheet6!$C$6,IF(Tim!HT31=Sheet6!$C$7,Sheet6!$C$7,IF(Tim!HT31=Sheet6!$C$8,Sheet6!$C$8,"")))))))</f>
        <v/>
      </c>
      <c r="CQ29" s="55" t="str">
        <f>IF(Tim!HU31=Sheet6!$C$2,Sheet6!$C$2,IF(Tim!HU31=Sheet6!$C$3,Sheet6!$C$3,IF(Tim!HU31=Sheet6!$C$4,Sheet6!$C$4,IF(Tim!HU31=Sheet6!$C$5,Sheet6!$C$5,IF(Tim!HU31=Sheet6!$C$6,Sheet6!$C$6,IF(Tim!HU31=Sheet6!$C$7,Sheet6!$C$7,IF(Tim!HU31=Sheet6!$C$8,Sheet6!$C$8,"")))))))</f>
        <v/>
      </c>
      <c r="CR29" s="56" t="str">
        <f>IF(Tim!HV31=Sheet6!$C$2,Sheet6!$C$2,IF(Tim!HV31=Sheet6!$C$3,Sheet6!$C$3,IF(Tim!HV31=Sheet6!$C$4,Sheet6!$C$4,IF(Tim!HV31=Sheet6!$C$5,Sheet6!$C$5,IF(Tim!HV31=Sheet6!$C$6,Sheet6!$C$6,IF(Tim!HV31=Sheet6!$C$7,Sheet6!$C$7,IF(Tim!HV31=Sheet6!$C$8,Sheet6!$C$8,"")))))))</f>
        <v/>
      </c>
      <c r="CS29" s="57" t="str">
        <f>IF(Tim!IB31=Sheet6!$C$2,Sheet6!$C$2,IF(Tim!IB31=Sheet6!$C$3,Sheet6!$C$3,IF(Tim!IB31=Sheet6!$C$4,Sheet6!$C$4,IF(Tim!IB31=Sheet6!$C$5,Sheet6!$C$5,IF(Tim!IB31=Sheet6!$C$6,Sheet6!$C$6,IF(Tim!IB31=Sheet6!$C$7,Sheet6!$C$7,IF(Tim!IB31=Sheet6!$C$8,Sheet6!$C$8,"")))))))</f>
        <v/>
      </c>
      <c r="CT29" s="57" t="str">
        <f>IF(Tim!IJ31=Sheet6!$C$2,Sheet6!$C$2,IF(Tim!IJ31=Sheet6!$C$3,Sheet6!$C$3,IF(Tim!IJ31=Sheet6!$C$4,Sheet6!$C$4,IF(Tim!IJ31=Sheet6!$C$5,Sheet6!$C$5,IF(Tim!IJ31=Sheet6!$C$6,Sheet6!$C$6,IF(Tim!IJ31=Sheet6!$C$7,Sheet6!$C$7,IF(Tim!IJ31=Sheet6!$C$8,Sheet6!$C$8,"")))))))</f>
        <v/>
      </c>
      <c r="CU29" s="53" t="str">
        <f>IF(Tim!IQ31=Sheet6!$C$2,Sheet6!$C$2,IF(Tim!IQ31=Sheet6!$C$3,Sheet6!$C$3,IF(Tim!IQ31=Sheet6!$C$4,Sheet6!$C$4,IF(Tim!IQ31=Sheet6!$C$5,Sheet6!$C$5,IF(Tim!IQ31=Sheet6!$C$6,Sheet6!$C$6,IF(Tim!IQ31=Sheet6!$C$7,Sheet6!$C$7,IF(Tim!IQ31=Sheet6!$C$8,Sheet6!$C$8,"")))))))</f>
        <v/>
      </c>
      <c r="CV29" s="53" t="str">
        <f>IF(Tim!IR31=Sheet6!$C$2,Sheet6!$C$2,IF(Tim!IR31=Sheet6!$C$3,Sheet6!$C$3,IF(Tim!IR31=Sheet6!$C$4,Sheet6!$C$4,IF(Tim!IR31=Sheet6!$C$5,Sheet6!$C$5,IF(Tim!IR31=Sheet6!$C$6,Sheet6!$C$6,IF(Tim!IR31=Sheet6!$C$7,Sheet6!$C$7,IF(Tim!IR31=Sheet6!$C$8,Sheet6!$C$8,"")))))))</f>
        <v/>
      </c>
      <c r="CW29" s="53" t="str">
        <f>IF(Tim!IZ31=Sheet6!$C$2,Sheet6!$C$2,IF(Tim!IZ31=Sheet6!$C$3,Sheet6!$C$3,IF(Tim!IZ31=Sheet6!$C$4,Sheet6!$C$4,IF(Tim!IZ31=Sheet6!$C$5,Sheet6!$C$5,IF(Tim!IZ31=Sheet6!$C$6,Sheet6!$C$6,IF(Tim!IZ31=Sheet6!$C$7,Sheet6!$C$7,IF(Tim!IZ31=Sheet6!$C$8,Sheet6!$C$8,"")))))))</f>
        <v/>
      </c>
      <c r="CX29" s="53" t="str">
        <f>IF(Tim!JA31=Sheet6!$C$2,Sheet6!$C$2,IF(Tim!JA31=Sheet6!$C$3,Sheet6!$C$3,IF(Tim!JA31=Sheet6!$C$4,Sheet6!$C$4,IF(Tim!JA31=Sheet6!$C$5,Sheet6!$C$5,IF(Tim!JA31=Sheet6!$C$6,Sheet6!$C$6,IF(Tim!JA31=Sheet6!$C$7,Sheet6!$C$7,IF(Tim!JA31=Sheet6!$C$8,Sheet6!$C$8,"")))))))</f>
        <v/>
      </c>
      <c r="CY29" s="53" t="str">
        <f>IF(Tim!JB31=Sheet6!$C$2,Sheet6!$C$2,IF(Tim!JB31=Sheet6!$C$3,Sheet6!$C$3,IF(Tim!JB31=Sheet6!$C$4,Sheet6!$C$4,IF(Tim!JB31=Sheet6!$C$5,Sheet6!$C$5,IF(Tim!JB31=Sheet6!$C$6,Sheet6!$C$6,IF(Tim!JB31=Sheet6!$C$7,Sheet6!$C$7,IF(Tim!JB31=Sheet6!$C$8,Sheet6!$C$8,"")))))))</f>
        <v/>
      </c>
      <c r="CZ29" s="53" t="str">
        <f>IF(Tim!JC31=Sheet6!$C$2,Sheet6!$C$2,IF(Tim!JC31=Sheet6!$C$3,Sheet6!$C$3,IF(Tim!JC31=Sheet6!$C$4,Sheet6!$C$4,IF(Tim!JC31=Sheet6!$C$5,Sheet6!$C$5,IF(Tim!JC31=Sheet6!$C$6,Sheet6!$C$6,IF(Tim!JC31=Sheet6!$C$7,Sheet6!$C$7,IF(Tim!JC31=Sheet6!$C$8,Sheet6!$C$8,"")))))))</f>
        <v/>
      </c>
      <c r="DA29" s="176" t="str">
        <f>IF(Tim!JD31=Sheet6!$C$2,Sheet6!$C$2,IF(Tim!JD31=Sheet6!$C$3,Sheet6!$C$3,IF(Tim!JD31=Sheet6!$C$4,Sheet6!$C$4,IF(Tim!JD31=Sheet6!$C$5,Sheet6!$C$5,IF(Tim!JD31=Sheet6!$C$6,Sheet6!$C$6,IF(Tim!JD31=Sheet6!$C$7,Sheet6!$C$7,IF(Tim!JD31=Sheet6!$C$8,Sheet6!$C$8,"")))))))</f>
        <v/>
      </c>
      <c r="DB29" s="176" t="str">
        <f>IF(Tim!JE31=Sheet6!$C$2,Sheet6!$C$2,IF(Tim!JE31=Sheet6!$C$3,Sheet6!$C$3,IF(Tim!JE31=Sheet6!$C$4,Sheet6!$C$4,IF(Tim!JE31=Sheet6!$C$5,Sheet6!$C$5,IF(Tim!JE31=Sheet6!$C$6,Sheet6!$C$6,IF(Tim!JE31=Sheet6!$C$7,Sheet6!$C$7,IF(Tim!JE31=Sheet6!$C$8,Sheet6!$C$8,"")))))))</f>
        <v/>
      </c>
      <c r="DC29" s="53" t="str">
        <f>IF(Tim!JI31=Sheet6!$C$2,Sheet6!$C$2,IF(Tim!JI31=Sheet6!$C$3,Sheet6!$C$3,IF(Tim!JI31=Sheet6!$C$4,Sheet6!$C$4,IF(Tim!JI31=Sheet6!$C$5,Sheet6!$C$5,IF(Tim!JI31=Sheet6!$C$6,Sheet6!$C$6,IF(Tim!JI31=Sheet6!$C$7,Sheet6!$C$7,IF(Tim!JI31=Sheet6!$C$8,Sheet6!$C$8,"")))))))</f>
        <v/>
      </c>
      <c r="DD29" s="54" t="str">
        <f>IF(Tim!JJ31=Sheet6!$C$2,Sheet6!$C$2,IF(Tim!JJ31=Sheet6!$C$3,Sheet6!$C$3,IF(Tim!JJ31=Sheet6!$C$4,Sheet6!$C$4,IF(Tim!JJ31=Sheet6!$C$5,Sheet6!$C$5,IF(Tim!JJ31=Sheet6!$C$6,Sheet6!$C$6,IF(Tim!JJ31=Sheet6!$C$7,Sheet6!$C$7,IF(Tim!JJ31=Sheet6!$C$8,Sheet6!$C$8,"")))))))</f>
        <v/>
      </c>
      <c r="DE29" s="54" t="str">
        <f>IF(Tim!JK31=Sheet6!$C$2,Sheet6!$C$2,IF(Tim!JK31=Sheet6!$C$3,Sheet6!$C$3,IF(Tim!JK31=Sheet6!$C$4,Sheet6!$C$4,IF(Tim!JK31=Sheet6!$C$5,Sheet6!$C$5,IF(Tim!JK31=Sheet6!$C$6,Sheet6!$C$6,IF(Tim!JK31=Sheet6!$C$7,Sheet6!$C$7,IF(Tim!JK31=Sheet6!$C$8,Sheet6!$C$8,"")))))))</f>
        <v/>
      </c>
      <c r="DF29" s="54" t="str">
        <f>IF(Tim!JL31=Sheet6!$C$2,Sheet6!$C$2,IF(Tim!JL31=Sheet6!$C$3,Sheet6!$C$3,IF(Tim!JL31=Sheet6!$C$4,Sheet6!$C$4,IF(Tim!JL31=Sheet6!$C$5,Sheet6!$C$5,IF(Tim!JL31=Sheet6!$C$6,Sheet6!$C$6,IF(Tim!JL31=Sheet6!$C$7,Sheet6!$C$7,IF(Tim!JL31=Sheet6!$C$8,Sheet6!$C$8,"")))))))</f>
        <v/>
      </c>
      <c r="DG29" s="55" t="str">
        <f>IF(Tim!JM31=Sheet6!$C$2,Sheet6!$C$2,IF(Tim!JM31=Sheet6!$C$3,Sheet6!$C$3,IF(Tim!JM31=Sheet6!$C$4,Sheet6!$C$4,IF(Tim!JM31=Sheet6!$C$5,Sheet6!$C$5,IF(Tim!JM31=Sheet6!$C$6,Sheet6!$C$6,IF(Tim!JM31=Sheet6!$C$7,Sheet6!$C$7,IF(Tim!JM31=Sheet6!$C$8,Sheet6!$C$8,"")))))))</f>
        <v/>
      </c>
      <c r="DH29" s="56" t="str">
        <f>IF(Tim!JN31=Sheet6!$C$2,Sheet6!$C$2,IF(Tim!JN31=Sheet6!$C$3,Sheet6!$C$3,IF(Tim!JN31=Sheet6!$C$4,Sheet6!$C$4,IF(Tim!JN31=Sheet6!$C$5,Sheet6!$C$5,IF(Tim!JN31=Sheet6!$C$6,Sheet6!$C$6,IF(Tim!JN31=Sheet6!$C$7,Sheet6!$C$7,IF(Tim!JN31=Sheet6!$C$8,Sheet6!$C$8,"")))))))</f>
        <v/>
      </c>
      <c r="DI29" s="57" t="str">
        <f>IF(Tim!JS31=Sheet6!$C$2,Sheet6!$C$2,IF(Tim!JS31=Sheet6!$C$3,Sheet6!$C$3,IF(Tim!JS31=Sheet6!$C$4,Sheet6!$C$4,IF(Tim!JS31=Sheet6!$C$5,Sheet6!$C$5,IF(Tim!JS31=Sheet6!$C$6,Sheet6!$C$6,IF(Tim!JS31=Sheet6!$C$7,Sheet6!$C$7,IF(Tim!JS31=Sheet6!$C$8,Sheet6!$C$8,"")))))))</f>
        <v/>
      </c>
      <c r="DJ29" s="57" t="str">
        <f>IF(Tim!KB31=Sheet6!$C$2,Sheet6!$C$2,IF(Tim!KB31=Sheet6!$C$3,Sheet6!$C$3,IF(Tim!KB31=Sheet6!$C$4,Sheet6!$C$4,IF(Tim!KB31=Sheet6!$C$5,Sheet6!$C$5,IF(Tim!KB31=Sheet6!$C$6,Sheet6!$C$6,IF(Tim!KB31=Sheet6!$C$7,Sheet6!$C$7,IF(Tim!KB31=Sheet6!$C$8,Sheet6!$C$8,"")))))))</f>
        <v/>
      </c>
      <c r="DK29" s="57" t="str">
        <f>IF(Tim!KI31=Sheet6!$C$2,Sheet6!$C$2,IF(Tim!KI31=Sheet6!$C$3,Sheet6!$C$3,IF(Tim!KI31=Sheet6!$C$4,Sheet6!$C$4,IF(Tim!KI31=Sheet6!$C$5,Sheet6!$C$5,IF(Tim!KI31=Sheet6!$C$6,Sheet6!$C$6,IF(Tim!KI31=Sheet6!$C$7,Sheet6!$C$7,IF(Tim!KI31=Sheet6!$C$8,Sheet6!$C$8,"")))))))</f>
        <v/>
      </c>
      <c r="DL29" s="53" t="str">
        <f>IF(Tim!KJ31=Sheet6!$C$2,Sheet6!$C$2,IF(Tim!KJ31=Sheet6!$C$3,Sheet6!$C$3,IF(Tim!KJ31=Sheet6!$C$4,Sheet6!$C$4,IF(Tim!KJ31=Sheet6!$C$5,Sheet6!$C$5,IF(Tim!KJ31=Sheet6!$C$6,Sheet6!$C$6,IF(Tim!KJ31=Sheet6!$C$7,Sheet6!$C$7,IF(Tim!KJ31=Sheet6!$C$8,Sheet6!$C$8,"")))))))</f>
        <v/>
      </c>
      <c r="DM29" s="53" t="str">
        <f>IF(Tim!KR31=Sheet6!$C$2,Sheet6!$C$2,IF(Tim!KR31=Sheet6!$C$3,Sheet6!$C$3,IF(Tim!KR31=Sheet6!$C$4,Sheet6!$C$4,IF(Tim!KR31=Sheet6!$C$5,Sheet6!$C$5,IF(Tim!KR31=Sheet6!$C$6,Sheet6!$C$6,IF(Tim!KR31=Sheet6!$C$7,Sheet6!$C$7,IF(Tim!KR31=Sheet6!$C$8,Sheet6!$C$8,"")))))))</f>
        <v/>
      </c>
      <c r="DN29" s="53" t="str">
        <f>IF(Tim!KS31=Sheet6!$C$2,Sheet6!$C$2,IF(Tim!KS31=Sheet6!$C$3,Sheet6!$C$3,IF(Tim!KS31=Sheet6!$C$4,Sheet6!$C$4,IF(Tim!KS31=Sheet6!$C$5,Sheet6!$C$5,IF(Tim!KS31=Sheet6!$C$6,Sheet6!$C$6,IF(Tim!KS31=Sheet6!$C$7,Sheet6!$C$7,IF(Tim!KS31=Sheet6!$C$8,Sheet6!$C$8,"")))))))</f>
        <v/>
      </c>
      <c r="DO29" s="53" t="str">
        <f>IF(Tim!KT31=Sheet6!$C$2,Sheet6!$C$2,IF(Tim!KT31=Sheet6!$C$3,Sheet6!$C$3,IF(Tim!KT31=Sheet6!$C$4,Sheet6!$C$4,IF(Tim!KT31=Sheet6!$C$5,Sheet6!$C$5,IF(Tim!KT31=Sheet6!$C$6,Sheet6!$C$6,IF(Tim!KT31=Sheet6!$C$7,Sheet6!$C$7,IF(Tim!KT31=Sheet6!$C$8,Sheet6!$C$8,"")))))))</f>
        <v/>
      </c>
      <c r="DP29" s="53" t="str">
        <f>IF(Tim!KU31=Sheet6!$C$2,Sheet6!$C$2,IF(Tim!KU31=Sheet6!$C$3,Sheet6!$C$3,IF(Tim!KU31=Sheet6!$C$4,Sheet6!$C$4,IF(Tim!KU31=Sheet6!$C$5,Sheet6!$C$5,IF(Tim!KU31=Sheet6!$C$6,Sheet6!$C$6,IF(Tim!KU31=Sheet6!$C$7,Sheet6!$C$7,IF(Tim!KU31=Sheet6!$C$8,Sheet6!$C$8,"")))))))</f>
        <v/>
      </c>
      <c r="DQ29" s="53" t="str">
        <f>IF(Tim!KV31=Sheet6!$C$2,Sheet6!$C$2,IF(Tim!KV31=Sheet6!$C$3,Sheet6!$C$3,IF(Tim!KV31=Sheet6!$C$4,Sheet6!$C$4,IF(Tim!KV31=Sheet6!$C$5,Sheet6!$C$5,IF(Tim!KV31=Sheet6!$C$6,Sheet6!$C$6,IF(Tim!KV31=Sheet6!$C$7,Sheet6!$C$7,IF(Tim!KV31=Sheet6!$C$8,Sheet6!$C$8,"")))))))</f>
        <v/>
      </c>
      <c r="DR29" s="53" t="str">
        <f>IF(Tim!KW31=Sheet6!$C$2,Sheet6!$C$2,IF(Tim!KW31=Sheet6!$C$3,Sheet6!$C$3,IF(Tim!KW31=Sheet6!$C$4,Sheet6!$C$4,IF(Tim!KW31=Sheet6!$C$5,Sheet6!$C$5,IF(Tim!KW31=Sheet6!$C$6,Sheet6!$C$6,IF(Tim!KW31=Sheet6!$C$7,Sheet6!$C$7,IF(Tim!KW31=Sheet6!$C$8,Sheet6!$C$8,"")))))))</f>
        <v/>
      </c>
      <c r="DS29" s="53" t="str">
        <f>IF(Tim!LA31=Sheet6!$C$2,Sheet6!$C$2,IF(Tim!LA31=Sheet6!$C$3,Sheet6!$C$3,IF(Tim!LA31=Sheet6!$C$4,Sheet6!$C$4,IF(Tim!LA31=Sheet6!$C$5,Sheet6!$C$5,IF(Tim!LA31=Sheet6!$C$6,Sheet6!$C$6,IF(Tim!LA31=Sheet6!$C$7,Sheet6!$C$7,IF(Tim!LA31=Sheet6!$C$8,Sheet6!$C$8,"")))))))</f>
        <v/>
      </c>
      <c r="DT29" s="54" t="str">
        <f>IF(Tim!LB31=Sheet6!$C$2,Sheet6!$C$2,IF(Tim!LB31=Sheet6!$C$3,Sheet6!$C$3,IF(Tim!LB31=Sheet6!$C$4,Sheet6!$C$4,IF(Tim!LB31=Sheet6!$C$5,Sheet6!$C$5,IF(Tim!LB31=Sheet6!$C$6,Sheet6!$C$6,IF(Tim!LB31=Sheet6!$C$7,Sheet6!$C$7,IF(Tim!LB31=Sheet6!$C$8,Sheet6!$C$8,"")))))))</f>
        <v/>
      </c>
      <c r="DU29" s="54" t="str">
        <f>IF(Tim!LC31=Sheet6!$C$2,Sheet6!$C$2,IF(Tim!LC31=Sheet6!$C$3,Sheet6!$C$3,IF(Tim!LC31=Sheet6!$C$4,Sheet6!$C$4,IF(Tim!LC31=Sheet6!$C$5,Sheet6!$C$5,IF(Tim!LC31=Sheet6!$C$6,Sheet6!$C$6,IF(Tim!LC31=Sheet6!$C$7,Sheet6!$C$7,IF(Tim!LC31=Sheet6!$C$8,Sheet6!$C$8,"")))))))</f>
        <v/>
      </c>
      <c r="DV29" s="54" t="str">
        <f>IF(Tim!LD31=Sheet6!$C$2,Sheet6!$C$2,IF(Tim!LD31=Sheet6!$C$3,Sheet6!$C$3,IF(Tim!LD31=Sheet6!$C$4,Sheet6!$C$4,IF(Tim!LD31=Sheet6!$C$5,Sheet6!$C$5,IF(Tim!LD31=Sheet6!$C$6,Sheet6!$C$6,IF(Tim!LD31=Sheet6!$C$7,Sheet6!$C$7,IF(Tim!LD31=Sheet6!$C$8,Sheet6!$C$8,"")))))))</f>
        <v/>
      </c>
      <c r="DW29" s="55" t="str">
        <f>IF(Tim!LE31=Sheet6!$C$2,Sheet6!$C$2,IF(Tim!LE31=Sheet6!$C$3,Sheet6!$C$3,IF(Tim!LE31=Sheet6!$C$4,Sheet6!$C$4,IF(Tim!LE31=Sheet6!$C$5,Sheet6!$C$5,IF(Tim!LE31=Sheet6!$C$6,Sheet6!$C$6,IF(Tim!LE31=Sheet6!$C$7,Sheet6!$C$7,IF(Tim!LE31=Sheet6!$C$8,Sheet6!$C$8,"")))))))</f>
        <v/>
      </c>
      <c r="DX29" s="52">
        <v>0.54166666666666596</v>
      </c>
    </row>
    <row r="30" spans="2:128" ht="10.5" customHeight="1">
      <c r="B30" s="51">
        <v>0.25</v>
      </c>
      <c r="C30" s="51">
        <v>0.25</v>
      </c>
      <c r="D30" s="51">
        <v>0.25</v>
      </c>
      <c r="E30" s="52">
        <v>0.55208333333333304</v>
      </c>
      <c r="F30" s="53" t="str">
        <f>IF(Tim!F32=Sheet6!$C$2,Sheet6!$C$2,IF(Tim!F32=Sheet6!$C$3,Sheet6!$C$3,IF(Tim!F32=Sheet6!$C$4,Sheet6!$C$4,IF(Tim!F32=Sheet6!$C$5,Sheet6!$C$5,IF(Tim!F32=Sheet6!$C$6,Sheet6!$C$6,IF(Tim!F32=Sheet6!$C$7,Sheet6!$C$7,IF(Tim!F32=Sheet6!$C$8,Sheet6!$C$8,"")))))))</f>
        <v/>
      </c>
      <c r="G30" s="53" t="str">
        <f>IF(Tim!G32=Sheet6!$C$2,Sheet6!$C$2,IF(Tim!G32=Sheet6!$C$3,Sheet6!$C$3,IF(Tim!G32=Sheet6!$C$4,Sheet6!$C$4,IF(Tim!G32=Sheet6!$C$5,Sheet6!$C$5,IF(Tim!G32=Sheet6!$C$6,Sheet6!$C$6,IF(Tim!G32=Sheet6!$C$7,Sheet6!$C$7,IF(Tim!G32=Sheet6!$C$8,Sheet6!$C$8,"")))))))</f>
        <v/>
      </c>
      <c r="H30" s="53" t="str">
        <f>IF(Tim!H32=Sheet6!$C$2,Sheet6!$C$2,IF(Tim!H32=Sheet6!$C$3,Sheet6!$C$3,IF(Tim!H32=Sheet6!$C$4,Sheet6!$C$4,IF(Tim!H32=Sheet6!$C$5,Sheet6!$C$5,IF(Tim!H32=Sheet6!$C$6,Sheet6!$C$6,IF(Tim!H32=Sheet6!$C$7,Sheet6!$C$7,IF(Tim!H32=Sheet6!$C$8,Sheet6!$C$8,"")))))))</f>
        <v/>
      </c>
      <c r="I30" s="53" t="str">
        <f>IF(Tim!L32=Sheet6!$C$2,Sheet6!$C$2,IF(Tim!L32=Sheet6!$C$3,Sheet6!$C$3,IF(Tim!L32=Sheet6!$C$4,Sheet6!$C$4,IF(Tim!L32=Sheet6!$C$5,Sheet6!$C$5,IF(Tim!L32=Sheet6!$C$6,Sheet6!$C$6,IF(Tim!L32=Sheet6!$C$7,Sheet6!$C$7,IF(Tim!L32=Sheet6!$C$8,Sheet6!$C$8,"")))))))</f>
        <v/>
      </c>
      <c r="J30" s="53" t="str">
        <f>IF(Tim!T32=Sheet6!$C$2,Sheet6!$C$2,IF(Tim!T32=Sheet6!$C$3,Sheet6!$C$3,IF(Tim!T32=Sheet6!$C$4,Sheet6!$C$4,IF(Tim!T32=Sheet6!$C$5,Sheet6!$C$5,IF(Tim!T32=Sheet6!$C$6,Sheet6!$C$6,IF(Tim!T32=Sheet6!$C$7,Sheet6!$C$7,IF(Tim!T32=Sheet6!$C$8,Sheet6!$C$8,"")))))))</f>
        <v/>
      </c>
      <c r="K30" s="53" t="str">
        <f>IF(Tim!AB32=Sheet6!$C$2,Sheet6!$C$2,IF(Tim!AB32=Sheet6!$C$3,Sheet6!$C$3,IF(Tim!AB32=Sheet6!$C$4,Sheet6!$C$4,IF(Tim!AB32=Sheet6!$C$5,Sheet6!$C$5,IF(Tim!AB32=Sheet6!$C$6,Sheet6!$C$6,IF(Tim!AB32=Sheet6!$C$7,Sheet6!$C$7,IF(Tim!AB32=Sheet6!$C$8,Sheet6!$C$8,"")))))))</f>
        <v/>
      </c>
      <c r="L30" s="181" t="str">
        <f>IF(Tim!AC32=Sheet6!$C$2,Sheet6!$C$2,IF(Tim!AC32=Sheet6!$C$3,Sheet6!$C$3,IF(Tim!AC32=Sheet6!$C$4,Sheet6!$C$4,IF(Tim!AC32=Sheet6!$C$5,Sheet6!$C$5,IF(Tim!AC32=Sheet6!$C$6,Sheet6!$C$6,IF(Tim!AC32=Sheet6!$C$7,Sheet6!$C$7,IF(Tim!AC32=Sheet6!$C$8,Sheet6!$C$8,"")))))))</f>
        <v/>
      </c>
      <c r="M30" s="53" t="str">
        <f>IF(Tim!AJ32=Sheet6!$C$2,Sheet6!$C$2,IF(Tim!AJ32=Sheet6!$C$3,Sheet6!$C$3,IF(Tim!AJ32=Sheet6!$C$4,Sheet6!$C$4,IF(Tim!AJ32=Sheet6!$C$5,Sheet6!$C$5,IF(Tim!AJ32=Sheet6!$C$6,Sheet6!$C$6,IF(Tim!AJ32=Sheet6!$C$7,Sheet6!$C$7,IF(Tim!AJ32=Sheet6!$C$8,Sheet6!$C$8,"")))))))</f>
        <v/>
      </c>
      <c r="N30" s="53" t="str">
        <f>IF(Tim!AK32=Sheet6!$C$2,Sheet6!$C$2,IF(Tim!AK32=Sheet6!$C$3,Sheet6!$C$3,IF(Tim!AK32=Sheet6!$C$4,Sheet6!$C$4,IF(Tim!AK32=Sheet6!$C$5,Sheet6!$C$5,IF(Tim!AK32=Sheet6!$C$6,Sheet6!$C$6,IF(Tim!AK32=Sheet6!$C$7,Sheet6!$C$7,IF(Tim!AK32=Sheet6!$C$8,Sheet6!$C$8,"")))))))</f>
        <v/>
      </c>
      <c r="O30" s="53" t="str">
        <f>IF(Tim!AL32=Sheet6!$C$2,Sheet6!$C$2,IF(Tim!AL32=Sheet6!$C$3,Sheet6!$C$3,IF(Tim!AL32=Sheet6!$C$4,Sheet6!$C$4,IF(Tim!AL32=Sheet6!$C$5,Sheet6!$C$5,IF(Tim!AL32=Sheet6!$C$6,Sheet6!$C$6,IF(Tim!AL32=Sheet6!$C$7,Sheet6!$C$7,IF(Tim!AL32=Sheet6!$C$8,Sheet6!$C$8,"")))))))</f>
        <v/>
      </c>
      <c r="P30" s="53" t="str">
        <f>IF(Tim!AN32=Sheet6!$C$2,Sheet6!$C$2,IF(Tim!AN32=Sheet6!$C$3,Sheet6!$C$3,IF(Tim!AN32=Sheet6!$C$4,Sheet6!$C$4,IF(Tim!AN32=Sheet6!$C$5,Sheet6!$C$5,IF(Tim!AN32=Sheet6!$C$6,Sheet6!$C$6,IF(Tim!AN32=Sheet6!$C$7,Sheet6!$C$7,IF(Tim!AN32=Sheet6!$C$8,Sheet6!$C$8,"")))))))</f>
        <v/>
      </c>
      <c r="Q30" s="53" t="str">
        <f>IF(Tim!AO32=Sheet6!$C$2,Sheet6!$C$2,IF(Tim!AO32=Sheet6!$C$3,Sheet6!$C$3,IF(Tim!AO32=Sheet6!$C$4,Sheet6!$C$4,IF(Tim!AO32=Sheet6!$C$5,Sheet6!$C$5,IF(Tim!AO32=Sheet6!$C$6,Sheet6!$C$6,IF(Tim!AO32=Sheet6!$C$7,Sheet6!$C$7,IF(Tim!AO32=Sheet6!$C$8,Sheet6!$C$8,"")))))))</f>
        <v/>
      </c>
      <c r="R30" s="53" t="str">
        <f>IF(Tim!AP32=Sheet6!$C$2,Sheet6!$C$2,IF(Tim!AP32=Sheet6!$C$3,Sheet6!$C$3,IF(Tim!AP32=Sheet6!$C$4,Sheet6!$C$4,IF(Tim!AP32=Sheet6!$C$5,Sheet6!$C$5,IF(Tim!AP32=Sheet6!$C$6,Sheet6!$C$6,IF(Tim!AP32=Sheet6!$C$7,Sheet6!$C$7,IF(Tim!AP32=Sheet6!$C$8,Sheet6!$C$8,"")))))))</f>
        <v/>
      </c>
      <c r="S30" s="53" t="str">
        <f>IF(Tim!AT32=Sheet6!$C$2,Sheet6!$C$2,IF(Tim!AT32=Sheet6!$C$3,Sheet6!$C$3,IF(Tim!AT32=Sheet6!$C$4,Sheet6!$C$4,IF(Tim!AT32=Sheet6!$C$5,Sheet6!$C$5,IF(Tim!AT32=Sheet6!$C$6,Sheet6!$C$6,IF(Tim!AT32=Sheet6!$C$7,Sheet6!$C$7,IF(Tim!AT32=Sheet6!$C$8,Sheet6!$C$8,"")))))))</f>
        <v/>
      </c>
      <c r="T30" s="54" t="str">
        <f>IF(Tim!AU32=Sheet6!$C$2,Sheet6!$C$2,IF(Tim!AU32=Sheet6!$C$3,Sheet6!$C$3,IF(Tim!AU32=Sheet6!$C$4,Sheet6!$C$4,IF(Tim!AU32=Sheet6!$C$5,Sheet6!$C$5,IF(Tim!AU32=Sheet6!$C$6,Sheet6!$C$6,IF(Tim!AU32=Sheet6!$C$7,Sheet6!$C$7,IF(Tim!AU32=Sheet6!$C$8,Sheet6!$C$8,"")))))))</f>
        <v/>
      </c>
      <c r="U30" s="54" t="str">
        <f>IF(Tim!AV32=Sheet6!$C$2,Sheet6!$C$2,IF(Tim!AV32=Sheet6!$C$3,Sheet6!$C$3,IF(Tim!AV32=Sheet6!$C$4,Sheet6!$C$4,IF(Tim!AV32=Sheet6!$C$5,Sheet6!$C$5,IF(Tim!AV32=Sheet6!$C$6,Sheet6!$C$6,IF(Tim!AV32=Sheet6!$C$7,Sheet6!$C$7,IF(Tim!AV32=Sheet6!$C$8,Sheet6!$C$8,"")))))))</f>
        <v/>
      </c>
      <c r="V30" s="54" t="str">
        <f>IF(Tim!AW32=Sheet6!$C$2,Sheet6!$C$2,IF(Tim!AW32=Sheet6!$C$3,Sheet6!$C$3,IF(Tim!AW32=Sheet6!$C$4,Sheet6!$C$4,IF(Tim!AW32=Sheet6!$C$5,Sheet6!$C$5,IF(Tim!AW32=Sheet6!$C$6,Sheet6!$C$6,IF(Tim!AW32=Sheet6!$C$7,Sheet6!$C$7,IF(Tim!AW32=Sheet6!$C$8,Sheet6!$C$8,"")))))))</f>
        <v/>
      </c>
      <c r="W30" s="55" t="str">
        <f>IF(Tim!AX32=Sheet6!$C$2,Sheet6!$C$2,IF(Tim!AX32=Sheet6!$C$3,Sheet6!$C$3,IF(Tim!AX32=Sheet6!$C$4,Sheet6!$C$4,IF(Tim!AX32=Sheet6!$C$5,Sheet6!$C$5,IF(Tim!AX32=Sheet6!$C$6,Sheet6!$C$6,IF(Tim!AX32=Sheet6!$C$7,Sheet6!$C$7,IF(Tim!AX32=Sheet6!$C$8,Sheet6!$C$8,"")))))))</f>
        <v/>
      </c>
      <c r="X30" s="53" t="str">
        <f>IF(Tim!AY32=Sheet6!$C$2,Sheet6!$C$2,IF(Tim!AY32=Sheet6!$C$3,Sheet6!$C$3,IF(Tim!AY32=Sheet6!$C$4,Sheet6!$C$4,IF(Tim!AY32=Sheet6!$C$5,Sheet6!$C$5,IF(Tim!AY32=Sheet6!$C$6,Sheet6!$C$6,IF(Tim!AY32=Sheet6!$C$7,Sheet6!$C$7,IF(Tim!AY32=Sheet6!$C$8,Sheet6!$C$8,"")))))))</f>
        <v/>
      </c>
      <c r="Y30" s="57" t="str">
        <f>IF(Tim!AZ32=Sheet6!$C$2,Sheet6!$C$2,IF(Tim!AZ32=Sheet6!$C$3,Sheet6!$C$3,IF(Tim!AZ32=Sheet6!$C$4,Sheet6!$C$4,IF(Tim!AZ32=Sheet6!$C$5,Sheet6!$C$5,IF(Tim!AZ32=Sheet6!$C$6,Sheet6!$C$6,IF(Tim!AZ32=Sheet6!$C$7,Sheet6!$C$7,IF(Tim!AZ32=Sheet6!$C$8,Sheet6!$C$8,"")))))))</f>
        <v/>
      </c>
      <c r="Z30" s="53" t="str">
        <f>IF(Tim!BD32=Sheet6!$C$2,Sheet6!$C$2,IF(Tim!BD32=Sheet6!$C$3,Sheet6!$C$3,IF(Tim!BD32=Sheet6!$C$4,Sheet6!$C$4,IF(Tim!BD32=Sheet6!$C$5,Sheet6!$C$5,IF(Tim!BD32=Sheet6!$C$6,Sheet6!$C$6,IF(Tim!BD32=Sheet6!$C$7,Sheet6!$C$7,IF(Tim!BD32=Sheet6!$C$8,Sheet6!$C$8,"")))))))</f>
        <v/>
      </c>
      <c r="AA30" s="53" t="str">
        <f>IF(Tim!BE32=Sheet6!$C$2,Sheet6!$C$2,IF(Tim!BE32=Sheet6!$C$3,Sheet6!$C$3,IF(Tim!BE32=Sheet6!$C$4,Sheet6!$C$4,IF(Tim!BE32=Sheet6!$C$5,Sheet6!$C$5,IF(Tim!BE32=Sheet6!$C$6,Sheet6!$C$6,IF(Tim!BE32=Sheet6!$C$7,Sheet6!$C$7,IF(Tim!BE32=Sheet6!$C$8,Sheet6!$C$8,"")))))))</f>
        <v/>
      </c>
      <c r="AB30" s="57" t="str">
        <f>IF(Tim!BL32=Sheet6!$C$2,Sheet6!$C$2,IF(Tim!BL32=Sheet6!$C$3,Sheet6!$C$3,IF(Tim!BL32=Sheet6!$C$4,Sheet6!$C$4,IF(Tim!BL32=Sheet6!$C$5,Sheet6!$C$5,IF(Tim!BL32=Sheet6!$C$6,Sheet6!$C$6,IF(Tim!BL32=Sheet6!$C$7,Sheet6!$C$7,IF(Tim!BL32=Sheet6!$C$8,Sheet6!$C$8,"")))))))</f>
        <v/>
      </c>
      <c r="AC30" s="53" t="str">
        <f>IF(Tim!BT32=Sheet6!$C$2,Sheet6!$C$2,IF(Tim!BT32=Sheet6!$C$3,Sheet6!$C$3,IF(Tim!BT32=Sheet6!$C$4,Sheet6!$C$4,IF(Tim!BT32=Sheet6!$C$5,Sheet6!$C$5,IF(Tim!BT32=Sheet6!$C$6,Sheet6!$C$6,IF(Tim!BT32=Sheet6!$C$7,Sheet6!$C$7,IF(Tim!BT32=Sheet6!$C$8,Sheet6!$C$8,"")))))))</f>
        <v/>
      </c>
      <c r="AD30" s="181" t="str">
        <f>IF(Tim!BU32=Sheet6!$C$2,Sheet6!$C$2,IF(Tim!BU32=Sheet6!$C$3,Sheet6!$C$3,IF(Tim!BU32=Sheet6!$C$4,Sheet6!$C$4,IF(Tim!BU32=Sheet6!$C$5,Sheet6!$C$5,IF(Tim!BU32=Sheet6!$C$6,Sheet6!$C$6,IF(Tim!BU32=Sheet6!$C$7,Sheet6!$C$7,IF(Tim!BU32=Sheet6!$C$8,Sheet6!$C$8,"")))))))</f>
        <v/>
      </c>
      <c r="AE30" s="181" t="str">
        <f>IF(Tim!CB32=Sheet6!$C$2,Sheet6!$C$2,IF(Tim!CB32=Sheet6!$C$3,Sheet6!$C$3,IF(Tim!CB32=Sheet6!$C$4,Sheet6!$C$4,IF(Tim!CB32=Sheet6!$C$5,Sheet6!$C$5,IF(Tim!CB32=Sheet6!$C$6,Sheet6!$C$6,IF(Tim!CB32=Sheet6!$C$7,Sheet6!$C$7,IF(Tim!CB32=Sheet6!$C$8,Sheet6!$C$8,"")))))))</f>
        <v/>
      </c>
      <c r="AF30" s="181" t="str">
        <f>IF(Tim!CD32=Sheet6!$C$2,Sheet6!$C$2,IF(Tim!CD32=Sheet6!$C$3,Sheet6!$C$3,IF(Tim!CD32=Sheet6!$C$4,Sheet6!$C$4,IF(Tim!CD32=Sheet6!$C$5,Sheet6!$C$5,IF(Tim!CD32=Sheet6!$C$6,Sheet6!$C$6,IF(Tim!CD32=Sheet6!$C$7,Sheet6!$C$7,IF(Tim!CD32=Sheet6!$C$8,Sheet6!$C$8,"")))))))</f>
        <v/>
      </c>
      <c r="AG30" s="53" t="str">
        <f>IF(Tim!CE32=Sheet6!$C$2,Sheet6!$C$2,IF(Tim!CE32=Sheet6!$C$3,Sheet6!$C$3,IF(Tim!CE32=Sheet6!$C$4,Sheet6!$C$4,IF(Tim!CE32=Sheet6!$C$5,Sheet6!$C$5,IF(Tim!CE32=Sheet6!$C$6,Sheet6!$C$6,IF(Tim!CE32=Sheet6!$C$7,Sheet6!$C$7,IF(Tim!CE32=Sheet6!$C$8,Sheet6!$C$8,"")))))))</f>
        <v/>
      </c>
      <c r="AH30" s="53" t="str">
        <f>IF(Tim!CF32=Sheet6!$C$2,Sheet6!$C$2,IF(Tim!CF32=Sheet6!$C$3,Sheet6!$C$3,IF(Tim!CF32=Sheet6!$C$4,Sheet6!$C$4,IF(Tim!CF32=Sheet6!$C$5,Sheet6!$C$5,IF(Tim!CF32=Sheet6!$C$6,Sheet6!$C$6,IF(Tim!CF32=Sheet6!$C$7,Sheet6!$C$7,IF(Tim!CF32=Sheet6!$C$8,Sheet6!$C$8,"")))))))</f>
        <v/>
      </c>
      <c r="AI30" s="176" t="str">
        <f>IF(Tim!CG32=Sheet6!$C$2,Sheet6!$C$2,IF(Tim!CG32=Sheet6!$C$3,Sheet6!$C$3,IF(Tim!CG32=Sheet6!$C$4,Sheet6!$C$4,IF(Tim!CG32=Sheet6!$C$5,Sheet6!$C$5,IF(Tim!CG32=Sheet6!$C$6,Sheet6!$C$6,IF(Tim!CG32=Sheet6!$C$7,Sheet6!$C$7,IF(Tim!CG32=Sheet6!$C$8,Sheet6!$C$8,"")))))))</f>
        <v/>
      </c>
      <c r="AJ30" s="53" t="str">
        <f>IF(Tim!CH32=Sheet6!$C$2,Sheet6!$C$2,IF(Tim!CH32=Sheet6!$C$3,Sheet6!$C$3,IF(Tim!CH32=Sheet6!$C$4,Sheet6!$C$4,IF(Tim!CH32=Sheet6!$C$5,Sheet6!$C$5,IF(Tim!CH32=Sheet6!$C$6,Sheet6!$C$6,IF(Tim!CH32=Sheet6!$C$7,Sheet6!$C$7,IF(Tim!CH32=Sheet6!$C$8,Sheet6!$C$8,"")))))))</f>
        <v/>
      </c>
      <c r="AK30" s="53" t="str">
        <f>IF(Tim!CL32=Sheet6!$C$2,Sheet6!$C$2,IF(Tim!CL32=Sheet6!$C$3,Sheet6!$C$3,IF(Tim!CL32=Sheet6!$C$4,Sheet6!$C$4,IF(Tim!CL32=Sheet6!$C$5,Sheet6!$C$5,IF(Tim!CL32=Sheet6!$C$6,Sheet6!$C$6,IF(Tim!CL32=Sheet6!$C$7,Sheet6!$C$7,IF(Tim!CL32=Sheet6!$C$8,Sheet6!$C$8,"")))))))</f>
        <v/>
      </c>
      <c r="AL30" s="54" t="str">
        <f>IF(Tim!CM32=Sheet6!$C$2,Sheet6!$C$2,IF(Tim!CM32=Sheet6!$C$3,Sheet6!$C$3,IF(Tim!CM32=Sheet6!$C$4,Sheet6!$C$4,IF(Tim!CM32=Sheet6!$C$5,Sheet6!$C$5,IF(Tim!CM32=Sheet6!$C$6,Sheet6!$C$6,IF(Tim!CM32=Sheet6!$C$7,Sheet6!$C$7,IF(Tim!CM32=Sheet6!$C$8,Sheet6!$C$8,"")))))))</f>
        <v/>
      </c>
      <c r="AM30" s="54" t="str">
        <f>IF(Tim!CN32=Sheet6!$C$2,Sheet6!$C$2,IF(Tim!CN32=Sheet6!$C$3,Sheet6!$C$3,IF(Tim!CN32=Sheet6!$C$4,Sheet6!$C$4,IF(Tim!CN32=Sheet6!$C$5,Sheet6!$C$5,IF(Tim!CN32=Sheet6!$C$6,Sheet6!$C$6,IF(Tim!CN32=Sheet6!$C$7,Sheet6!$C$7,IF(Tim!CN32=Sheet6!$C$8,Sheet6!$C$8,"")))))))</f>
        <v/>
      </c>
      <c r="AN30" s="54" t="str">
        <f>IF(Tim!CO32=Sheet6!$C$2,Sheet6!$C$2,IF(Tim!CO32=Sheet6!$C$3,Sheet6!$C$3,IF(Tim!CO32=Sheet6!$C$4,Sheet6!$C$4,IF(Tim!CO32=Sheet6!$C$5,Sheet6!$C$5,IF(Tim!CO32=Sheet6!$C$6,Sheet6!$C$6,IF(Tim!CO32=Sheet6!$C$7,Sheet6!$C$7,IF(Tim!CO32=Sheet6!$C$8,Sheet6!$C$8,"")))))))</f>
        <v/>
      </c>
      <c r="AO30" s="55" t="str">
        <f>IF(Tim!CP32=Sheet6!$C$2,Sheet6!$C$2,IF(Tim!CP32=Sheet6!$C$3,Sheet6!$C$3,IF(Tim!CP32=Sheet6!$C$4,Sheet6!$C$4,IF(Tim!CP32=Sheet6!$C$5,Sheet6!$C$5,IF(Tim!CP32=Sheet6!$C$6,Sheet6!$C$6,IF(Tim!CP32=Sheet6!$C$7,Sheet6!$C$7,IF(Tim!CP32=Sheet6!$C$8,Sheet6!$C$8,"")))))))</f>
        <v/>
      </c>
      <c r="AP30" s="53" t="str">
        <f>IF(Tim!CQ32=Sheet6!$C$2,Sheet6!$C$2,IF(Tim!CQ32=Sheet6!$C$3,Sheet6!$C$3,IF(Tim!CQ32=Sheet6!$C$4,Sheet6!$C$4,IF(Tim!CQ32=Sheet6!$C$5,Sheet6!$C$5,IF(Tim!CQ32=Sheet6!$C$6,Sheet6!$C$6,IF(Tim!CQ32=Sheet6!$C$7,Sheet6!$C$7,IF(Tim!CQ32=Sheet6!$C$8,Sheet6!$C$8,"")))))))</f>
        <v/>
      </c>
      <c r="AQ30" s="57" t="str">
        <f>IF(Tim!CR32=Sheet6!$C$2,Sheet6!$C$2,IF(Tim!CR32=Sheet6!$C$3,Sheet6!$C$3,IF(Tim!CR32=Sheet6!$C$4,Sheet6!$C$4,IF(Tim!CR32=Sheet6!$C$5,Sheet6!$C$5,IF(Tim!CR32=Sheet6!$C$6,Sheet6!$C$6,IF(Tim!CR32=Sheet6!$C$7,Sheet6!$C$7,IF(Tim!CR32=Sheet6!$C$8,Sheet6!$C$8,"")))))))</f>
        <v/>
      </c>
      <c r="AR30" s="57" t="str">
        <f>IF(Tim!CV32=Sheet6!$C$2,Sheet6!$C$2,IF(Tim!CV32=Sheet6!$C$3,Sheet6!$C$3,IF(Tim!CV32=Sheet6!$C$4,Sheet6!$C$4,IF(Tim!CV32=Sheet6!$C$5,Sheet6!$C$5,IF(Tim!CV32=Sheet6!$C$6,Sheet6!$C$6,IF(Tim!CV32=Sheet6!$C$7,Sheet6!$C$7,IF(Tim!CV32=Sheet6!$C$8,Sheet6!$C$8,"")))))))</f>
        <v/>
      </c>
      <c r="AS30" s="57" t="str">
        <f>IF(Tim!CW32=Sheet6!$C$2,Sheet6!$C$2,IF(Tim!CW32=Sheet6!$C$3,Sheet6!$C$3,IF(Tim!CW32=Sheet6!$C$4,Sheet6!$C$4,IF(Tim!CW32=Sheet6!$C$5,Sheet6!$C$5,IF(Tim!CW32=Sheet6!$C$6,Sheet6!$C$6,IF(Tim!CW32=Sheet6!$C$7,Sheet6!$C$7,IF(Tim!CW32=Sheet6!$C$8,Sheet6!$C$8,"")))))))</f>
        <v/>
      </c>
      <c r="AT30" s="57" t="str">
        <f>IF(Tim!DA32=Sheet6!$C$2,Sheet6!$C$2,IF(Tim!DA32=Sheet6!$C$3,Sheet6!$C$3,IF(Tim!DA32=Sheet6!$C$4,Sheet6!$C$4,IF(Tim!DA32=Sheet6!$C$5,Sheet6!$C$5,IF(Tim!DA32=Sheet6!$C$6,Sheet6!$C$6,IF(Tim!DA32=Sheet6!$C$7,Sheet6!$C$7,IF(Tim!DA32=Sheet6!$C$8,Sheet6!$C$8,"")))))))</f>
        <v/>
      </c>
      <c r="AU30" s="53" t="str">
        <f>IF(Tim!DO32=Sheet6!$C$2,Sheet6!$C$2,IF(Tim!DO32=Sheet6!$C$3,Sheet6!$C$3,IF(Tim!DO32=Sheet6!$C$4,Sheet6!$C$4,IF(Tim!DO32=Sheet6!$C$5,Sheet6!$C$5,IF(Tim!DO32=Sheet6!$C$6,Sheet6!$C$6,IF(Tim!DO32=Sheet6!$C$7,Sheet6!$C$7,IF(Tim!DO32=Sheet6!$C$8,Sheet6!$C$8,"")))))))</f>
        <v/>
      </c>
      <c r="AV30" s="181" t="str">
        <f>IF(Tim!DP32=Sheet6!$C$2,Sheet6!$C$2,IF(Tim!DP32=Sheet6!$C$3,Sheet6!$C$3,IF(Tim!DP32=Sheet6!$C$4,Sheet6!$C$4,IF(Tim!DP32=Sheet6!$C$5,Sheet6!$C$5,IF(Tim!DP32=Sheet6!$C$6,Sheet6!$C$6,IF(Tim!DP32=Sheet6!$C$7,Sheet6!$C$7,IF(Tim!DP32=Sheet6!$C$8,Sheet6!$C$8,"")))))))</f>
        <v/>
      </c>
      <c r="AW30" s="181" t="str">
        <f>IF(Tim!DX32=Sheet6!$C$2,Sheet6!$C$2,IF(Tim!DX32=Sheet6!$C$3,Sheet6!$C$3,IF(Tim!DX32=Sheet6!$C$4,Sheet6!$C$4,IF(Tim!DX32=Sheet6!$C$5,Sheet6!$C$5,IF(Tim!DX32=Sheet6!$C$6,Sheet6!$C$6,IF(Tim!DX32=Sheet6!$C$7,Sheet6!$C$7,IF(Tim!DX32=Sheet6!$C$8,Sheet6!$C$8,"")))))))</f>
        <v/>
      </c>
      <c r="AX30" s="181" t="str">
        <f>IF(Tim!DY32=Sheet6!$C$2,Sheet6!$C$2,IF(Tim!DY32=Sheet6!$C$3,Sheet6!$C$3,IF(Tim!DY32=Sheet6!$C$4,Sheet6!$C$4,IF(Tim!DY32=Sheet6!$C$5,Sheet6!$C$5,IF(Tim!DY32=Sheet6!$C$6,Sheet6!$C$6,IF(Tim!DY32=Sheet6!$C$7,Sheet6!$C$7,IF(Tim!DY32=Sheet6!$C$8,Sheet6!$C$8,"")))))))</f>
        <v/>
      </c>
      <c r="AY30" s="53" t="str">
        <f>IF(Tim!DZ32=Sheet6!$C$2,Sheet6!$C$2,IF(Tim!DZ32=Sheet6!$C$3,Sheet6!$C$3,IF(Tim!DZ32=Sheet6!$C$4,Sheet6!$C$4,IF(Tim!DZ32=Sheet6!$C$5,Sheet6!$C$5,IF(Tim!DZ32=Sheet6!$C$6,Sheet6!$C$6,IF(Tim!DZ32=Sheet6!$C$7,Sheet6!$C$7,IF(Tim!DZ32=Sheet6!$C$8,Sheet6!$C$8,"")))))))</f>
        <v/>
      </c>
      <c r="AZ30" s="53" t="str">
        <f>IF(Tim!EA32=Sheet6!$C$2,Sheet6!$C$2,IF(Tim!EA32=Sheet6!$C$3,Sheet6!$C$3,IF(Tim!EA32=Sheet6!$C$4,Sheet6!$C$4,IF(Tim!EA32=Sheet6!$C$5,Sheet6!$C$5,IF(Tim!EA32=Sheet6!$C$6,Sheet6!$C$6,IF(Tim!EA32=Sheet6!$C$7,Sheet6!$C$7,IF(Tim!EA32=Sheet6!$C$8,Sheet6!$C$8,"")))))))</f>
        <v/>
      </c>
      <c r="BA30" s="176" t="str">
        <f>IF(Tim!EB32=Sheet6!$C$2,Sheet6!$C$2,IF(Tim!EB32=Sheet6!$C$3,Sheet6!$C$3,IF(Tim!EB32=Sheet6!$C$4,Sheet6!$C$4,IF(Tim!EB32=Sheet6!$C$5,Sheet6!$C$5,IF(Tim!EB32=Sheet6!$C$6,Sheet6!$C$6,IF(Tim!EB32=Sheet6!$C$7,Sheet6!$C$7,IF(Tim!EB32=Sheet6!$C$8,Sheet6!$C$8,"")))))))</f>
        <v/>
      </c>
      <c r="BB30" s="53" t="str">
        <f>IF(Tim!EC32=Sheet6!$C$2,Sheet6!$C$2,IF(Tim!EC32=Sheet6!$C$3,Sheet6!$C$3,IF(Tim!EC32=Sheet6!$C$4,Sheet6!$C$4,IF(Tim!EC32=Sheet6!$C$5,Sheet6!$C$5,IF(Tim!EC32=Sheet6!$C$6,Sheet6!$C$6,IF(Tim!EC32=Sheet6!$C$7,Sheet6!$C$7,IF(Tim!EC32=Sheet6!$C$8,Sheet6!$C$8,"")))))))</f>
        <v/>
      </c>
      <c r="BC30" s="53" t="str">
        <f>IF(Tim!EG32=Sheet6!$C$2,Sheet6!$C$2,IF(Tim!EG32=Sheet6!$C$3,Sheet6!$C$3,IF(Tim!EG32=Sheet6!$C$4,Sheet6!$C$4,IF(Tim!EG32=Sheet6!$C$5,Sheet6!$C$5,IF(Tim!EG32=Sheet6!$C$6,Sheet6!$C$6,IF(Tim!EG32=Sheet6!$C$7,Sheet6!$C$7,IF(Tim!EG32=Sheet6!$C$8,Sheet6!$C$8,"")))))))</f>
        <v/>
      </c>
      <c r="BD30" s="54" t="str">
        <f>IF(Tim!EH32=Sheet6!$C$2,Sheet6!$C$2,IF(Tim!EH32=Sheet6!$C$3,Sheet6!$C$3,IF(Tim!EH32=Sheet6!$C$4,Sheet6!$C$4,IF(Tim!EH32=Sheet6!$C$5,Sheet6!$C$5,IF(Tim!EH32=Sheet6!$C$6,Sheet6!$C$6,IF(Tim!EH32=Sheet6!$C$7,Sheet6!$C$7,IF(Tim!EH32=Sheet6!$C$8,Sheet6!$C$8,"")))))))</f>
        <v/>
      </c>
      <c r="BE30" s="54" t="str">
        <f>IF(Tim!EI32=Sheet6!$C$2,Sheet6!$C$2,IF(Tim!EI32=Sheet6!$C$3,Sheet6!$C$3,IF(Tim!EI32=Sheet6!$C$4,Sheet6!$C$4,IF(Tim!EI32=Sheet6!$C$5,Sheet6!$C$5,IF(Tim!EI32=Sheet6!$C$6,Sheet6!$C$6,IF(Tim!EI32=Sheet6!$C$7,Sheet6!$C$7,IF(Tim!EI32=Sheet6!$C$8,Sheet6!$C$8,"")))))))</f>
        <v/>
      </c>
      <c r="BF30" s="54" t="str">
        <f>IF(Tim!EJ32=Sheet6!$C$2,Sheet6!$C$2,IF(Tim!EJ32=Sheet6!$C$3,Sheet6!$C$3,IF(Tim!EJ32=Sheet6!$C$4,Sheet6!$C$4,IF(Tim!EJ32=Sheet6!$C$5,Sheet6!$C$5,IF(Tim!EJ32=Sheet6!$C$6,Sheet6!$C$6,IF(Tim!EJ32=Sheet6!$C$7,Sheet6!$C$7,IF(Tim!EJ32=Sheet6!$C$8,Sheet6!$C$8,"")))))))</f>
        <v/>
      </c>
      <c r="BG30" s="55" t="str">
        <f>IF(Tim!EK32=Sheet6!$C$2,Sheet6!$C$2,IF(Tim!EK32=Sheet6!$C$3,Sheet6!$C$3,IF(Tim!EK32=Sheet6!$C$4,Sheet6!$C$4,IF(Tim!EK32=Sheet6!$C$5,Sheet6!$C$5,IF(Tim!EK32=Sheet6!$C$6,Sheet6!$C$6,IF(Tim!EK32=Sheet6!$C$7,Sheet6!$C$7,IF(Tim!EK32=Sheet6!$C$8,Sheet6!$C$8,"")))))))</f>
        <v/>
      </c>
      <c r="BH30" s="53" t="str">
        <f>IF(Tim!EL32=Sheet6!$C$2,Sheet6!$C$2,IF(Tim!EL32=Sheet6!$C$3,Sheet6!$C$3,IF(Tim!EL32=Sheet6!$C$4,Sheet6!$C$4,IF(Tim!EL32=Sheet6!$C$5,Sheet6!$C$5,IF(Tim!EL32=Sheet6!$C$6,Sheet6!$C$6,IF(Tim!EL32=Sheet6!$C$7,Sheet6!$C$7,IF(Tim!EL32=Sheet6!$C$8,Sheet6!$C$8,"")))))))</f>
        <v/>
      </c>
      <c r="BI30" s="53" t="str">
        <f>IF(Tim!EM32=Sheet6!$C$2,Sheet6!$C$2,IF(Tim!EM32=Sheet6!$C$3,Sheet6!$C$3,IF(Tim!EM32=Sheet6!$C$4,Sheet6!$C$4,IF(Tim!EM32=Sheet6!$C$5,Sheet6!$C$5,IF(Tim!EM32=Sheet6!$C$6,Sheet6!$C$6,IF(Tim!EM32=Sheet6!$C$7,Sheet6!$C$7,IF(Tim!EM32=Sheet6!$C$8,Sheet6!$C$8,"")))))))</f>
        <v/>
      </c>
      <c r="BJ30" s="57" t="str">
        <f>IF(Tim!EQ32=Sheet6!$C$2,Sheet6!$C$2,IF(Tim!EQ32=Sheet6!$C$3,Sheet6!$C$3,IF(Tim!EQ32=Sheet6!$C$4,Sheet6!$C$4,IF(Tim!EQ32=Sheet6!$C$5,Sheet6!$C$5,IF(Tim!EQ32=Sheet6!$C$6,Sheet6!$C$6,IF(Tim!EQ32=Sheet6!$C$7,Sheet6!$C$7,IF(Tim!EQ32=Sheet6!$C$8,Sheet6!$C$8,"")))))))</f>
        <v/>
      </c>
      <c r="BK30" s="57" t="str">
        <f>IF(Tim!ER32=Sheet6!$C$2,Sheet6!$C$2,IF(Tim!ER32=Sheet6!$C$3,Sheet6!$C$3,IF(Tim!ER32=Sheet6!$C$4,Sheet6!$C$4,IF(Tim!ER32=Sheet6!$C$5,Sheet6!$C$5,IF(Tim!ER32=Sheet6!$C$6,Sheet6!$C$6,IF(Tim!ER32=Sheet6!$C$7,Sheet6!$C$7,IF(Tim!ER32=Sheet6!$C$8,Sheet6!$C$8,"")))))))</f>
        <v/>
      </c>
      <c r="BL30" s="57" t="str">
        <f>IF(Tim!EZ32=Sheet6!$C$2,Sheet6!$C$2,IF(Tim!EZ32=Sheet6!$C$3,Sheet6!$C$3,IF(Tim!EZ32=Sheet6!$C$4,Sheet6!$C$4,IF(Tim!EZ32=Sheet6!$C$5,Sheet6!$C$5,IF(Tim!EZ32=Sheet6!$C$6,Sheet6!$C$6,IF(Tim!EZ32=Sheet6!$C$7,Sheet6!$C$7,IF(Tim!EZ32=Sheet6!$C$8,Sheet6!$C$8,"")))))))</f>
        <v/>
      </c>
      <c r="BM30" s="53" t="str">
        <f>IF(Tim!FG32=Sheet6!$C$2,Sheet6!$C$2,IF(Tim!FG32=Sheet6!$C$3,Sheet6!$C$3,IF(Tim!FG32=Sheet6!$C$4,Sheet6!$C$4,IF(Tim!FG32=Sheet6!$C$5,Sheet6!$C$5,IF(Tim!FG32=Sheet6!$C$6,Sheet6!$C$6,IF(Tim!FG32=Sheet6!$C$7,Sheet6!$C$7,IF(Tim!FG32=Sheet6!$C$8,Sheet6!$C$8,"")))))))</f>
        <v/>
      </c>
      <c r="BN30" s="181" t="str">
        <f>IF(Tim!FH32=Sheet6!$C$2,Sheet6!$C$2,IF(Tim!FH32=Sheet6!$C$3,Sheet6!$C$3,IF(Tim!FH32=Sheet6!$C$4,Sheet6!$C$4,IF(Tim!FH32=Sheet6!$C$5,Sheet6!$C$5,IF(Tim!FH32=Sheet6!$C$6,Sheet6!$C$6,IF(Tim!FH32=Sheet6!$C$7,Sheet6!$C$7,IF(Tim!FH32=Sheet6!$C$8,Sheet6!$C$8,"")))))))</f>
        <v/>
      </c>
      <c r="BO30" s="181" t="str">
        <f>IF(Tim!FP32=Sheet6!$C$2,Sheet6!$C$2,IF(Tim!FP32=Sheet6!$C$3,Sheet6!$C$3,IF(Tim!FP32=Sheet6!$C$4,Sheet6!$C$4,IF(Tim!FP32=Sheet6!$C$5,Sheet6!$C$5,IF(Tim!FP32=Sheet6!$C$6,Sheet6!$C$6,IF(Tim!FP32=Sheet6!$C$7,Sheet6!$C$7,IF(Tim!FP32=Sheet6!$C$8,Sheet6!$C$8,"")))))))</f>
        <v/>
      </c>
      <c r="BP30" s="181" t="str">
        <f>IF(Tim!FQ32=Sheet6!$C$2,Sheet6!$C$2,IF(Tim!FQ32=Sheet6!$C$3,Sheet6!$C$3,IF(Tim!FQ32=Sheet6!$C$4,Sheet6!$C$4,IF(Tim!FQ32=Sheet6!$C$5,Sheet6!$C$5,IF(Tim!FQ32=Sheet6!$C$6,Sheet6!$C$6,IF(Tim!FQ32=Sheet6!$C$7,Sheet6!$C$7,IF(Tim!FQ32=Sheet6!$C$8,Sheet6!$C$8,"")))))))</f>
        <v/>
      </c>
      <c r="BQ30" s="53" t="str">
        <f>IF(Tim!FR32=Sheet6!$C$2,Sheet6!$C$2,IF(Tim!FR32=Sheet6!$C$3,Sheet6!$C$3,IF(Tim!FR32=Sheet6!$C$4,Sheet6!$C$4,IF(Tim!FR32=Sheet6!$C$5,Sheet6!$C$5,IF(Tim!FR32=Sheet6!$C$6,Sheet6!$C$6,IF(Tim!FR32=Sheet6!$C$7,Sheet6!$C$7,IF(Tim!FR32=Sheet6!$C$8,Sheet6!$C$8,"")))))))</f>
        <v/>
      </c>
      <c r="BR30" s="53" t="str">
        <f>IF(Tim!FS32=Sheet6!$C$2,Sheet6!$C$2,IF(Tim!FS32=Sheet6!$C$3,Sheet6!$C$3,IF(Tim!FS32=Sheet6!$C$4,Sheet6!$C$4,IF(Tim!FS32=Sheet6!$C$5,Sheet6!$C$5,IF(Tim!FS32=Sheet6!$C$6,Sheet6!$C$6,IF(Tim!FS32=Sheet6!$C$7,Sheet6!$C$7,IF(Tim!FS32=Sheet6!$C$8,Sheet6!$C$8,"")))))))</f>
        <v/>
      </c>
      <c r="BS30" s="53" t="str">
        <f>IF(Tim!FT32=Sheet6!$C$2,Sheet6!$C$2,IF(Tim!FT32=Sheet6!$C$3,Sheet6!$C$3,IF(Tim!FT32=Sheet6!$C$4,Sheet6!$C$4,IF(Tim!FT32=Sheet6!$C$5,Sheet6!$C$5,IF(Tim!FT32=Sheet6!$C$6,Sheet6!$C$6,IF(Tim!FT32=Sheet6!$C$7,Sheet6!$C$7,IF(Tim!FT32=Sheet6!$C$8,Sheet6!$C$8,"")))))))</f>
        <v/>
      </c>
      <c r="BT30" s="53" t="str">
        <f>IF(Tim!FU32=Sheet6!$C$2,Sheet6!$C$2,IF(Tim!FU32=Sheet6!$C$3,Sheet6!$C$3,IF(Tim!FU32=Sheet6!$C$4,Sheet6!$C$4,IF(Tim!FU32=Sheet6!$C$5,Sheet6!$C$5,IF(Tim!FU32=Sheet6!$C$6,Sheet6!$C$6,IF(Tim!FU32=Sheet6!$C$7,Sheet6!$C$7,IF(Tim!FU32=Sheet6!$C$8,Sheet6!$C$8,"")))))))</f>
        <v/>
      </c>
      <c r="BU30" s="53" t="str">
        <f>IF(Tim!FY32=Sheet6!$C$2,Sheet6!$C$2,IF(Tim!FY32=Sheet6!$C$3,Sheet6!$C$3,IF(Tim!FY32=Sheet6!$C$4,Sheet6!$C$4,IF(Tim!FY32=Sheet6!$C$5,Sheet6!$C$5,IF(Tim!FY32=Sheet6!$C$6,Sheet6!$C$6,IF(Tim!FY32=Sheet6!$C$7,Sheet6!$C$7,IF(Tim!FY32=Sheet6!$C$8,Sheet6!$C$8,"")))))))</f>
        <v/>
      </c>
      <c r="BV30" s="54" t="str">
        <f>IF(Tim!FZ32=Sheet6!$C$2,Sheet6!$C$2,IF(Tim!FZ32=Sheet6!$C$3,Sheet6!$C$3,IF(Tim!FZ32=Sheet6!$C$4,Sheet6!$C$4,IF(Tim!FZ32=Sheet6!$C$5,Sheet6!$C$5,IF(Tim!FZ32=Sheet6!$C$6,Sheet6!$C$6,IF(Tim!FZ32=Sheet6!$C$7,Sheet6!$C$7,IF(Tim!FZ32=Sheet6!$C$8,Sheet6!$C$8,"")))))))</f>
        <v/>
      </c>
      <c r="BW30" s="54" t="str">
        <f>IF(Tim!GA32=Sheet6!$C$2,Sheet6!$C$2,IF(Tim!GA32=Sheet6!$C$3,Sheet6!$C$3,IF(Tim!GA32=Sheet6!$C$4,Sheet6!$C$4,IF(Tim!GA32=Sheet6!$C$5,Sheet6!$C$5,IF(Tim!GA32=Sheet6!$C$6,Sheet6!$C$6,IF(Tim!GA32=Sheet6!$C$7,Sheet6!$C$7,IF(Tim!GA32=Sheet6!$C$8,Sheet6!$C$8,"")))))))</f>
        <v/>
      </c>
      <c r="BX30" s="54" t="str">
        <f>IF(Tim!GB32=Sheet6!$C$2,Sheet6!$C$2,IF(Tim!GB32=Sheet6!$C$3,Sheet6!$C$3,IF(Tim!GB32=Sheet6!$C$4,Sheet6!$C$4,IF(Tim!GB32=Sheet6!$C$5,Sheet6!$C$5,IF(Tim!GB32=Sheet6!$C$6,Sheet6!$C$6,IF(Tim!GB32=Sheet6!$C$7,Sheet6!$C$7,IF(Tim!GB32=Sheet6!$C$8,Sheet6!$C$8,"")))))))</f>
        <v/>
      </c>
      <c r="BY30" s="55" t="str">
        <f>IF(Tim!GC32=Sheet6!$C$2,Sheet6!$C$2,IF(Tim!GC32=Sheet6!$C$3,Sheet6!$C$3,IF(Tim!GC32=Sheet6!$C$4,Sheet6!$C$4,IF(Tim!GC32=Sheet6!$C$5,Sheet6!$C$5,IF(Tim!GC32=Sheet6!$C$6,Sheet6!$C$6,IF(Tim!GC32=Sheet6!$C$7,Sheet6!$C$7,IF(Tim!GC32=Sheet6!$C$8,Sheet6!$C$8,"")))))))</f>
        <v/>
      </c>
      <c r="BZ30" s="53" t="str">
        <f>IF(Tim!GD32=Sheet6!$C$2,Sheet6!$C$2,IF(Tim!GD32=Sheet6!$C$3,Sheet6!$C$3,IF(Tim!GD32=Sheet6!$C$4,Sheet6!$C$4,IF(Tim!GD32=Sheet6!$C$5,Sheet6!$C$5,IF(Tim!GD32=Sheet6!$C$6,Sheet6!$C$6,IF(Tim!GD32=Sheet6!$C$7,Sheet6!$C$7,IF(Tim!GD32=Sheet6!$C$8,Sheet6!$C$8,"")))))))</f>
        <v/>
      </c>
      <c r="CA30" s="53" t="str">
        <f>IF(Tim!GE32=Sheet6!$C$2,Sheet6!$C$2,IF(Tim!GE32=Sheet6!$C$3,Sheet6!$C$3,IF(Tim!GE32=Sheet6!$C$4,Sheet6!$C$4,IF(Tim!GE32=Sheet6!$C$5,Sheet6!$C$5,IF(Tim!GE32=Sheet6!$C$6,Sheet6!$C$6,IF(Tim!GE32=Sheet6!$C$7,Sheet6!$C$7,IF(Tim!GE32=Sheet6!$C$8,Sheet6!$C$8,"")))))))</f>
        <v/>
      </c>
      <c r="CB30" s="53" t="str">
        <f>IF(Tim!GI32=Sheet6!$C$2,Sheet6!$C$2,IF(Tim!GI32=Sheet6!$C$3,Sheet6!$C$3,IF(Tim!GI32=Sheet6!$C$4,Sheet6!$C$4,IF(Tim!GI32=Sheet6!$C$5,Sheet6!$C$5,IF(Tim!GI32=Sheet6!$C$6,Sheet6!$C$6,IF(Tim!GI32=Sheet6!$C$7,Sheet6!$C$7,IF(Tim!GI32=Sheet6!$C$8,Sheet6!$C$8,"")))))))</f>
        <v/>
      </c>
      <c r="CC30" s="53" t="str">
        <f>IF(Tim!GJ32=Sheet6!$C$2,Sheet6!$C$2,IF(Tim!GJ32=Sheet6!$C$3,Sheet6!$C$3,IF(Tim!GJ32=Sheet6!$C$4,Sheet6!$C$4,IF(Tim!GJ32=Sheet6!$C$5,Sheet6!$C$5,IF(Tim!GJ32=Sheet6!$C$6,Sheet6!$C$6,IF(Tim!GJ32=Sheet6!$C$7,Sheet6!$C$7,IF(Tim!GJ32=Sheet6!$C$8,Sheet6!$C$8,"")))))))</f>
        <v/>
      </c>
      <c r="CD30" s="53" t="str">
        <f>IF(Tim!GN32=Sheet6!$C$2,Sheet6!$C$2,IF(Tim!GN32=Sheet6!$C$3,Sheet6!$C$3,IF(Tim!GN32=Sheet6!$C$4,Sheet6!$C$4,IF(Tim!GN32=Sheet6!$C$5,Sheet6!$C$5,IF(Tim!GN32=Sheet6!$C$6,Sheet6!$C$6,IF(Tim!GN32=Sheet6!$C$7,Sheet6!$C$7,IF(Tim!GN32=Sheet6!$C$8,Sheet6!$C$8,"")))))))</f>
        <v/>
      </c>
      <c r="CE30" s="53" t="str">
        <f>IF(Tim!GY32=Sheet6!$C$2,Sheet6!$C$2,IF(Tim!GY32=Sheet6!$C$3,Sheet6!$C$3,IF(Tim!GY32=Sheet6!$C$4,Sheet6!$C$4,IF(Tim!GY32=Sheet6!$C$5,Sheet6!$C$5,IF(Tim!GY32=Sheet6!$C$6,Sheet6!$C$6,IF(Tim!GY32=Sheet6!$C$7,Sheet6!$C$7,IF(Tim!GY32=Sheet6!$C$8,Sheet6!$C$8,"")))))))</f>
        <v/>
      </c>
      <c r="CF30" s="181" t="str">
        <f>IF(Tim!GZ32=Sheet6!$C$2,Sheet6!$C$2,IF(Tim!GZ32=Sheet6!$C$3,Sheet6!$C$3,IF(Tim!GZ32=Sheet6!$C$4,Sheet6!$C$4,IF(Tim!GZ32=Sheet6!$C$5,Sheet6!$C$5,IF(Tim!GZ32=Sheet6!$C$6,Sheet6!$C$6,IF(Tim!GZ32=Sheet6!$C$7,Sheet6!$C$7,IF(Tim!GZ32=Sheet6!$C$8,Sheet6!$C$8,"")))))))</f>
        <v/>
      </c>
      <c r="CG30" s="181" t="str">
        <f>IF(Tim!HH32=Sheet6!$C$2,Sheet6!$C$2,IF(Tim!HH32=Sheet6!$C$3,Sheet6!$C$3,IF(Tim!HH32=Sheet6!$C$4,Sheet6!$C$4,IF(Tim!HH32=Sheet6!$C$5,Sheet6!$C$5,IF(Tim!HH32=Sheet6!$C$6,Sheet6!$C$6,IF(Tim!HH32=Sheet6!$C$7,Sheet6!$C$7,IF(Tim!HH32=Sheet6!$C$8,Sheet6!$C$8,"")))))))</f>
        <v/>
      </c>
      <c r="CH30" s="181" t="str">
        <f>IF(Tim!HI32=Sheet6!$C$2,Sheet6!$C$2,IF(Tim!HI32=Sheet6!$C$3,Sheet6!$C$3,IF(Tim!HI32=Sheet6!$C$4,Sheet6!$C$4,IF(Tim!HI32=Sheet6!$C$5,Sheet6!$C$5,IF(Tim!HI32=Sheet6!$C$6,Sheet6!$C$6,IF(Tim!HI32=Sheet6!$C$7,Sheet6!$C$7,IF(Tim!HI32=Sheet6!$C$8,Sheet6!$C$8,"")))))))</f>
        <v/>
      </c>
      <c r="CI30" s="53" t="str">
        <f>IF(Tim!HJ32=Sheet6!$C$2,Sheet6!$C$2,IF(Tim!HJ32=Sheet6!$C$3,Sheet6!$C$3,IF(Tim!HJ32=Sheet6!$C$4,Sheet6!$C$4,IF(Tim!HJ32=Sheet6!$C$5,Sheet6!$C$5,IF(Tim!HJ32=Sheet6!$C$6,Sheet6!$C$6,IF(Tim!HJ32=Sheet6!$C$7,Sheet6!$C$7,IF(Tim!HJ32=Sheet6!$C$8,Sheet6!$C$8,"")))))))</f>
        <v/>
      </c>
      <c r="CJ30" s="53" t="str">
        <f>IF(Tim!HK32=Sheet6!$C$2,Sheet6!$C$2,IF(Tim!HK32=Sheet6!$C$3,Sheet6!$C$3,IF(Tim!HK32=Sheet6!$C$4,Sheet6!$C$4,IF(Tim!HK32=Sheet6!$C$5,Sheet6!$C$5,IF(Tim!HK32=Sheet6!$C$6,Sheet6!$C$6,IF(Tim!HK32=Sheet6!$C$7,Sheet6!$C$7,IF(Tim!HK32=Sheet6!$C$8,Sheet6!$C$8,"")))))))</f>
        <v/>
      </c>
      <c r="CK30" s="53" t="str">
        <f>IF(Tim!HL32=Sheet6!$C$2,Sheet6!$C$2,IF(Tim!HL32=Sheet6!$C$3,Sheet6!$C$3,IF(Tim!HL32=Sheet6!$C$4,Sheet6!$C$4,IF(Tim!HL32=Sheet6!$C$5,Sheet6!$C$5,IF(Tim!HL32=Sheet6!$C$6,Sheet6!$C$6,IF(Tim!HL32=Sheet6!$C$7,Sheet6!$C$7,IF(Tim!HL32=Sheet6!$C$8,Sheet6!$C$8,"")))))))</f>
        <v/>
      </c>
      <c r="CL30" s="53" t="str">
        <f>IF(Tim!HM32=Sheet6!$C$2,Sheet6!$C$2,IF(Tim!HM32=Sheet6!$C$3,Sheet6!$C$3,IF(Tim!HM32=Sheet6!$C$4,Sheet6!$C$4,IF(Tim!HM32=Sheet6!$C$5,Sheet6!$C$5,IF(Tim!HM32=Sheet6!$C$6,Sheet6!$C$6,IF(Tim!HM32=Sheet6!$C$7,Sheet6!$C$7,IF(Tim!HM32=Sheet6!$C$8,Sheet6!$C$8,"")))))))</f>
        <v/>
      </c>
      <c r="CM30" s="53" t="str">
        <f>IF(Tim!HQ32=Sheet6!$C$2,Sheet6!$C$2,IF(Tim!HQ32=Sheet6!$C$3,Sheet6!$C$3,IF(Tim!HQ32=Sheet6!$C$4,Sheet6!$C$4,IF(Tim!HQ32=Sheet6!$C$5,Sheet6!$C$5,IF(Tim!HQ32=Sheet6!$C$6,Sheet6!$C$6,IF(Tim!HQ32=Sheet6!$C$7,Sheet6!$C$7,IF(Tim!HQ32=Sheet6!$C$8,Sheet6!$C$8,"")))))))</f>
        <v/>
      </c>
      <c r="CN30" s="54" t="str">
        <f>IF(Tim!HR32=Sheet6!$C$2,Sheet6!$C$2,IF(Tim!HR32=Sheet6!$C$3,Sheet6!$C$3,IF(Tim!HR32=Sheet6!$C$4,Sheet6!$C$4,IF(Tim!HR32=Sheet6!$C$5,Sheet6!$C$5,IF(Tim!HR32=Sheet6!$C$6,Sheet6!$C$6,IF(Tim!HR32=Sheet6!$C$7,Sheet6!$C$7,IF(Tim!HR32=Sheet6!$C$8,Sheet6!$C$8,"")))))))</f>
        <v/>
      </c>
      <c r="CO30" s="54" t="str">
        <f>IF(Tim!HS32=Sheet6!$C$2,Sheet6!$C$2,IF(Tim!HS32=Sheet6!$C$3,Sheet6!$C$3,IF(Tim!HS32=Sheet6!$C$4,Sheet6!$C$4,IF(Tim!HS32=Sheet6!$C$5,Sheet6!$C$5,IF(Tim!HS32=Sheet6!$C$6,Sheet6!$C$6,IF(Tim!HS32=Sheet6!$C$7,Sheet6!$C$7,IF(Tim!HS32=Sheet6!$C$8,Sheet6!$C$8,"")))))))</f>
        <v/>
      </c>
      <c r="CP30" s="54" t="str">
        <f>IF(Tim!HT32=Sheet6!$C$2,Sheet6!$C$2,IF(Tim!HT32=Sheet6!$C$3,Sheet6!$C$3,IF(Tim!HT32=Sheet6!$C$4,Sheet6!$C$4,IF(Tim!HT32=Sheet6!$C$5,Sheet6!$C$5,IF(Tim!HT32=Sheet6!$C$6,Sheet6!$C$6,IF(Tim!HT32=Sheet6!$C$7,Sheet6!$C$7,IF(Tim!HT32=Sheet6!$C$8,Sheet6!$C$8,"")))))))</f>
        <v/>
      </c>
      <c r="CQ30" s="55" t="str">
        <f>IF(Tim!HU32=Sheet6!$C$2,Sheet6!$C$2,IF(Tim!HU32=Sheet6!$C$3,Sheet6!$C$3,IF(Tim!HU32=Sheet6!$C$4,Sheet6!$C$4,IF(Tim!HU32=Sheet6!$C$5,Sheet6!$C$5,IF(Tim!HU32=Sheet6!$C$6,Sheet6!$C$6,IF(Tim!HU32=Sheet6!$C$7,Sheet6!$C$7,IF(Tim!HU32=Sheet6!$C$8,Sheet6!$C$8,"")))))))</f>
        <v/>
      </c>
      <c r="CR30" s="56" t="str">
        <f>IF(Tim!HV32=Sheet6!$C$2,Sheet6!$C$2,IF(Tim!HV32=Sheet6!$C$3,Sheet6!$C$3,IF(Tim!HV32=Sheet6!$C$4,Sheet6!$C$4,IF(Tim!HV32=Sheet6!$C$5,Sheet6!$C$5,IF(Tim!HV32=Sheet6!$C$6,Sheet6!$C$6,IF(Tim!HV32=Sheet6!$C$7,Sheet6!$C$7,IF(Tim!HV32=Sheet6!$C$8,Sheet6!$C$8,"")))))))</f>
        <v/>
      </c>
      <c r="CS30" s="57" t="str">
        <f>IF(Tim!IB32=Sheet6!$C$2,Sheet6!$C$2,IF(Tim!IB32=Sheet6!$C$3,Sheet6!$C$3,IF(Tim!IB32=Sheet6!$C$4,Sheet6!$C$4,IF(Tim!IB32=Sheet6!$C$5,Sheet6!$C$5,IF(Tim!IB32=Sheet6!$C$6,Sheet6!$C$6,IF(Tim!IB32=Sheet6!$C$7,Sheet6!$C$7,IF(Tim!IB32=Sheet6!$C$8,Sheet6!$C$8,"")))))))</f>
        <v/>
      </c>
      <c r="CT30" s="57" t="str">
        <f>IF(Tim!IJ32=Sheet6!$C$2,Sheet6!$C$2,IF(Tim!IJ32=Sheet6!$C$3,Sheet6!$C$3,IF(Tim!IJ32=Sheet6!$C$4,Sheet6!$C$4,IF(Tim!IJ32=Sheet6!$C$5,Sheet6!$C$5,IF(Tim!IJ32=Sheet6!$C$6,Sheet6!$C$6,IF(Tim!IJ32=Sheet6!$C$7,Sheet6!$C$7,IF(Tim!IJ32=Sheet6!$C$8,Sheet6!$C$8,"")))))))</f>
        <v/>
      </c>
      <c r="CU30" s="53" t="str">
        <f>IF(Tim!IQ32=Sheet6!$C$2,Sheet6!$C$2,IF(Tim!IQ32=Sheet6!$C$3,Sheet6!$C$3,IF(Tim!IQ32=Sheet6!$C$4,Sheet6!$C$4,IF(Tim!IQ32=Sheet6!$C$5,Sheet6!$C$5,IF(Tim!IQ32=Sheet6!$C$6,Sheet6!$C$6,IF(Tim!IQ32=Sheet6!$C$7,Sheet6!$C$7,IF(Tim!IQ32=Sheet6!$C$8,Sheet6!$C$8,"")))))))</f>
        <v/>
      </c>
      <c r="CV30" s="53" t="str">
        <f>IF(Tim!IR32=Sheet6!$C$2,Sheet6!$C$2,IF(Tim!IR32=Sheet6!$C$3,Sheet6!$C$3,IF(Tim!IR32=Sheet6!$C$4,Sheet6!$C$4,IF(Tim!IR32=Sheet6!$C$5,Sheet6!$C$5,IF(Tim!IR32=Sheet6!$C$6,Sheet6!$C$6,IF(Tim!IR32=Sheet6!$C$7,Sheet6!$C$7,IF(Tim!IR32=Sheet6!$C$8,Sheet6!$C$8,"")))))))</f>
        <v/>
      </c>
      <c r="CW30" s="53" t="str">
        <f>IF(Tim!IZ32=Sheet6!$C$2,Sheet6!$C$2,IF(Tim!IZ32=Sheet6!$C$3,Sheet6!$C$3,IF(Tim!IZ32=Sheet6!$C$4,Sheet6!$C$4,IF(Tim!IZ32=Sheet6!$C$5,Sheet6!$C$5,IF(Tim!IZ32=Sheet6!$C$6,Sheet6!$C$6,IF(Tim!IZ32=Sheet6!$C$7,Sheet6!$C$7,IF(Tim!IZ32=Sheet6!$C$8,Sheet6!$C$8,"")))))))</f>
        <v/>
      </c>
      <c r="CX30" s="53" t="str">
        <f>IF(Tim!JA32=Sheet6!$C$2,Sheet6!$C$2,IF(Tim!JA32=Sheet6!$C$3,Sheet6!$C$3,IF(Tim!JA32=Sheet6!$C$4,Sheet6!$C$4,IF(Tim!JA32=Sheet6!$C$5,Sheet6!$C$5,IF(Tim!JA32=Sheet6!$C$6,Sheet6!$C$6,IF(Tim!JA32=Sheet6!$C$7,Sheet6!$C$7,IF(Tim!JA32=Sheet6!$C$8,Sheet6!$C$8,"")))))))</f>
        <v/>
      </c>
      <c r="CY30" s="53" t="str">
        <f>IF(Tim!JB32=Sheet6!$C$2,Sheet6!$C$2,IF(Tim!JB32=Sheet6!$C$3,Sheet6!$C$3,IF(Tim!JB32=Sheet6!$C$4,Sheet6!$C$4,IF(Tim!JB32=Sheet6!$C$5,Sheet6!$C$5,IF(Tim!JB32=Sheet6!$C$6,Sheet6!$C$6,IF(Tim!JB32=Sheet6!$C$7,Sheet6!$C$7,IF(Tim!JB32=Sheet6!$C$8,Sheet6!$C$8,"")))))))</f>
        <v/>
      </c>
      <c r="CZ30" s="53" t="str">
        <f>IF(Tim!JC32=Sheet6!$C$2,Sheet6!$C$2,IF(Tim!JC32=Sheet6!$C$3,Sheet6!$C$3,IF(Tim!JC32=Sheet6!$C$4,Sheet6!$C$4,IF(Tim!JC32=Sheet6!$C$5,Sheet6!$C$5,IF(Tim!JC32=Sheet6!$C$6,Sheet6!$C$6,IF(Tim!JC32=Sheet6!$C$7,Sheet6!$C$7,IF(Tim!JC32=Sheet6!$C$8,Sheet6!$C$8,"")))))))</f>
        <v/>
      </c>
      <c r="DA30" s="176" t="str">
        <f>IF(Tim!JD32=Sheet6!$C$2,Sheet6!$C$2,IF(Tim!JD32=Sheet6!$C$3,Sheet6!$C$3,IF(Tim!JD32=Sheet6!$C$4,Sheet6!$C$4,IF(Tim!JD32=Sheet6!$C$5,Sheet6!$C$5,IF(Tim!JD32=Sheet6!$C$6,Sheet6!$C$6,IF(Tim!JD32=Sheet6!$C$7,Sheet6!$C$7,IF(Tim!JD32=Sheet6!$C$8,Sheet6!$C$8,"")))))))</f>
        <v/>
      </c>
      <c r="DB30" s="176" t="str">
        <f>IF(Tim!JE32=Sheet6!$C$2,Sheet6!$C$2,IF(Tim!JE32=Sheet6!$C$3,Sheet6!$C$3,IF(Tim!JE32=Sheet6!$C$4,Sheet6!$C$4,IF(Tim!JE32=Sheet6!$C$5,Sheet6!$C$5,IF(Tim!JE32=Sheet6!$C$6,Sheet6!$C$6,IF(Tim!JE32=Sheet6!$C$7,Sheet6!$C$7,IF(Tim!JE32=Sheet6!$C$8,Sheet6!$C$8,"")))))))</f>
        <v/>
      </c>
      <c r="DC30" s="53" t="str">
        <f>IF(Tim!JI32=Sheet6!$C$2,Sheet6!$C$2,IF(Tim!JI32=Sheet6!$C$3,Sheet6!$C$3,IF(Tim!JI32=Sheet6!$C$4,Sheet6!$C$4,IF(Tim!JI32=Sheet6!$C$5,Sheet6!$C$5,IF(Tim!JI32=Sheet6!$C$6,Sheet6!$C$6,IF(Tim!JI32=Sheet6!$C$7,Sheet6!$C$7,IF(Tim!JI32=Sheet6!$C$8,Sheet6!$C$8,"")))))))</f>
        <v/>
      </c>
      <c r="DD30" s="54" t="str">
        <f>IF(Tim!JJ32=Sheet6!$C$2,Sheet6!$C$2,IF(Tim!JJ32=Sheet6!$C$3,Sheet6!$C$3,IF(Tim!JJ32=Sheet6!$C$4,Sheet6!$C$4,IF(Tim!JJ32=Sheet6!$C$5,Sheet6!$C$5,IF(Tim!JJ32=Sheet6!$C$6,Sheet6!$C$6,IF(Tim!JJ32=Sheet6!$C$7,Sheet6!$C$7,IF(Tim!JJ32=Sheet6!$C$8,Sheet6!$C$8,"")))))))</f>
        <v/>
      </c>
      <c r="DE30" s="54" t="str">
        <f>IF(Tim!JK32=Sheet6!$C$2,Sheet6!$C$2,IF(Tim!JK32=Sheet6!$C$3,Sheet6!$C$3,IF(Tim!JK32=Sheet6!$C$4,Sheet6!$C$4,IF(Tim!JK32=Sheet6!$C$5,Sheet6!$C$5,IF(Tim!JK32=Sheet6!$C$6,Sheet6!$C$6,IF(Tim!JK32=Sheet6!$C$7,Sheet6!$C$7,IF(Tim!JK32=Sheet6!$C$8,Sheet6!$C$8,"")))))))</f>
        <v/>
      </c>
      <c r="DF30" s="54" t="str">
        <f>IF(Tim!JL32=Sheet6!$C$2,Sheet6!$C$2,IF(Tim!JL32=Sheet6!$C$3,Sheet6!$C$3,IF(Tim!JL32=Sheet6!$C$4,Sheet6!$C$4,IF(Tim!JL32=Sheet6!$C$5,Sheet6!$C$5,IF(Tim!JL32=Sheet6!$C$6,Sheet6!$C$6,IF(Tim!JL32=Sheet6!$C$7,Sheet6!$C$7,IF(Tim!JL32=Sheet6!$C$8,Sheet6!$C$8,"")))))))</f>
        <v/>
      </c>
      <c r="DG30" s="55" t="str">
        <f>IF(Tim!JM32=Sheet6!$C$2,Sheet6!$C$2,IF(Tim!JM32=Sheet6!$C$3,Sheet6!$C$3,IF(Tim!JM32=Sheet6!$C$4,Sheet6!$C$4,IF(Tim!JM32=Sheet6!$C$5,Sheet6!$C$5,IF(Tim!JM32=Sheet6!$C$6,Sheet6!$C$6,IF(Tim!JM32=Sheet6!$C$7,Sheet6!$C$7,IF(Tim!JM32=Sheet6!$C$8,Sheet6!$C$8,"")))))))</f>
        <v/>
      </c>
      <c r="DH30" s="56" t="str">
        <f>IF(Tim!JN32=Sheet6!$C$2,Sheet6!$C$2,IF(Tim!JN32=Sheet6!$C$3,Sheet6!$C$3,IF(Tim!JN32=Sheet6!$C$4,Sheet6!$C$4,IF(Tim!JN32=Sheet6!$C$5,Sheet6!$C$5,IF(Tim!JN32=Sheet6!$C$6,Sheet6!$C$6,IF(Tim!JN32=Sheet6!$C$7,Sheet6!$C$7,IF(Tim!JN32=Sheet6!$C$8,Sheet6!$C$8,"")))))))</f>
        <v/>
      </c>
      <c r="DI30" s="57" t="str">
        <f>IF(Tim!JS32=Sheet6!$C$2,Sheet6!$C$2,IF(Tim!JS32=Sheet6!$C$3,Sheet6!$C$3,IF(Tim!JS32=Sheet6!$C$4,Sheet6!$C$4,IF(Tim!JS32=Sheet6!$C$5,Sheet6!$C$5,IF(Tim!JS32=Sheet6!$C$6,Sheet6!$C$6,IF(Tim!JS32=Sheet6!$C$7,Sheet6!$C$7,IF(Tim!JS32=Sheet6!$C$8,Sheet6!$C$8,"")))))))</f>
        <v/>
      </c>
      <c r="DJ30" s="57" t="str">
        <f>IF(Tim!KB32=Sheet6!$C$2,Sheet6!$C$2,IF(Tim!KB32=Sheet6!$C$3,Sheet6!$C$3,IF(Tim!KB32=Sheet6!$C$4,Sheet6!$C$4,IF(Tim!KB32=Sheet6!$C$5,Sheet6!$C$5,IF(Tim!KB32=Sheet6!$C$6,Sheet6!$C$6,IF(Tim!KB32=Sheet6!$C$7,Sheet6!$C$7,IF(Tim!KB32=Sheet6!$C$8,Sheet6!$C$8,"")))))))</f>
        <v/>
      </c>
      <c r="DK30" s="57" t="str">
        <f>IF(Tim!KI32=Sheet6!$C$2,Sheet6!$C$2,IF(Tim!KI32=Sheet6!$C$3,Sheet6!$C$3,IF(Tim!KI32=Sheet6!$C$4,Sheet6!$C$4,IF(Tim!KI32=Sheet6!$C$5,Sheet6!$C$5,IF(Tim!KI32=Sheet6!$C$6,Sheet6!$C$6,IF(Tim!KI32=Sheet6!$C$7,Sheet6!$C$7,IF(Tim!KI32=Sheet6!$C$8,Sheet6!$C$8,"")))))))</f>
        <v/>
      </c>
      <c r="DL30" s="53" t="str">
        <f>IF(Tim!KJ32=Sheet6!$C$2,Sheet6!$C$2,IF(Tim!KJ32=Sheet6!$C$3,Sheet6!$C$3,IF(Tim!KJ32=Sheet6!$C$4,Sheet6!$C$4,IF(Tim!KJ32=Sheet6!$C$5,Sheet6!$C$5,IF(Tim!KJ32=Sheet6!$C$6,Sheet6!$C$6,IF(Tim!KJ32=Sheet6!$C$7,Sheet6!$C$7,IF(Tim!KJ32=Sheet6!$C$8,Sheet6!$C$8,"")))))))</f>
        <v/>
      </c>
      <c r="DM30" s="53" t="str">
        <f>IF(Tim!KR32=Sheet6!$C$2,Sheet6!$C$2,IF(Tim!KR32=Sheet6!$C$3,Sheet6!$C$3,IF(Tim!KR32=Sheet6!$C$4,Sheet6!$C$4,IF(Tim!KR32=Sheet6!$C$5,Sheet6!$C$5,IF(Tim!KR32=Sheet6!$C$6,Sheet6!$C$6,IF(Tim!KR32=Sheet6!$C$7,Sheet6!$C$7,IF(Tim!KR32=Sheet6!$C$8,Sheet6!$C$8,"")))))))</f>
        <v/>
      </c>
      <c r="DN30" s="53" t="str">
        <f>IF(Tim!KS32=Sheet6!$C$2,Sheet6!$C$2,IF(Tim!KS32=Sheet6!$C$3,Sheet6!$C$3,IF(Tim!KS32=Sheet6!$C$4,Sheet6!$C$4,IF(Tim!KS32=Sheet6!$C$5,Sheet6!$C$5,IF(Tim!KS32=Sheet6!$C$6,Sheet6!$C$6,IF(Tim!KS32=Sheet6!$C$7,Sheet6!$C$7,IF(Tim!KS32=Sheet6!$C$8,Sheet6!$C$8,"")))))))</f>
        <v/>
      </c>
      <c r="DO30" s="53" t="str">
        <f>IF(Tim!KT32=Sheet6!$C$2,Sheet6!$C$2,IF(Tim!KT32=Sheet6!$C$3,Sheet6!$C$3,IF(Tim!KT32=Sheet6!$C$4,Sheet6!$C$4,IF(Tim!KT32=Sheet6!$C$5,Sheet6!$C$5,IF(Tim!KT32=Sheet6!$C$6,Sheet6!$C$6,IF(Tim!KT32=Sheet6!$C$7,Sheet6!$C$7,IF(Tim!KT32=Sheet6!$C$8,Sheet6!$C$8,"")))))))</f>
        <v/>
      </c>
      <c r="DP30" s="53" t="str">
        <f>IF(Tim!KU32=Sheet6!$C$2,Sheet6!$C$2,IF(Tim!KU32=Sheet6!$C$3,Sheet6!$C$3,IF(Tim!KU32=Sheet6!$C$4,Sheet6!$C$4,IF(Tim!KU32=Sheet6!$C$5,Sheet6!$C$5,IF(Tim!KU32=Sheet6!$C$6,Sheet6!$C$6,IF(Tim!KU32=Sheet6!$C$7,Sheet6!$C$7,IF(Tim!KU32=Sheet6!$C$8,Sheet6!$C$8,"")))))))</f>
        <v/>
      </c>
      <c r="DQ30" s="53" t="str">
        <f>IF(Tim!KV32=Sheet6!$C$2,Sheet6!$C$2,IF(Tim!KV32=Sheet6!$C$3,Sheet6!$C$3,IF(Tim!KV32=Sheet6!$C$4,Sheet6!$C$4,IF(Tim!KV32=Sheet6!$C$5,Sheet6!$C$5,IF(Tim!KV32=Sheet6!$C$6,Sheet6!$C$6,IF(Tim!KV32=Sheet6!$C$7,Sheet6!$C$7,IF(Tim!KV32=Sheet6!$C$8,Sheet6!$C$8,"")))))))</f>
        <v/>
      </c>
      <c r="DR30" s="53" t="str">
        <f>IF(Tim!KW32=Sheet6!$C$2,Sheet6!$C$2,IF(Tim!KW32=Sheet6!$C$3,Sheet6!$C$3,IF(Tim!KW32=Sheet6!$C$4,Sheet6!$C$4,IF(Tim!KW32=Sheet6!$C$5,Sheet6!$C$5,IF(Tim!KW32=Sheet6!$C$6,Sheet6!$C$6,IF(Tim!KW32=Sheet6!$C$7,Sheet6!$C$7,IF(Tim!KW32=Sheet6!$C$8,Sheet6!$C$8,"")))))))</f>
        <v/>
      </c>
      <c r="DS30" s="53" t="str">
        <f>IF(Tim!LA32=Sheet6!$C$2,Sheet6!$C$2,IF(Tim!LA32=Sheet6!$C$3,Sheet6!$C$3,IF(Tim!LA32=Sheet6!$C$4,Sheet6!$C$4,IF(Tim!LA32=Sheet6!$C$5,Sheet6!$C$5,IF(Tim!LA32=Sheet6!$C$6,Sheet6!$C$6,IF(Tim!LA32=Sheet6!$C$7,Sheet6!$C$7,IF(Tim!LA32=Sheet6!$C$8,Sheet6!$C$8,"")))))))</f>
        <v/>
      </c>
      <c r="DT30" s="54" t="str">
        <f>IF(Tim!LB32=Sheet6!$C$2,Sheet6!$C$2,IF(Tim!LB32=Sheet6!$C$3,Sheet6!$C$3,IF(Tim!LB32=Sheet6!$C$4,Sheet6!$C$4,IF(Tim!LB32=Sheet6!$C$5,Sheet6!$C$5,IF(Tim!LB32=Sheet6!$C$6,Sheet6!$C$6,IF(Tim!LB32=Sheet6!$C$7,Sheet6!$C$7,IF(Tim!LB32=Sheet6!$C$8,Sheet6!$C$8,"")))))))</f>
        <v/>
      </c>
      <c r="DU30" s="54" t="str">
        <f>IF(Tim!LC32=Sheet6!$C$2,Sheet6!$C$2,IF(Tim!LC32=Sheet6!$C$3,Sheet6!$C$3,IF(Tim!LC32=Sheet6!$C$4,Sheet6!$C$4,IF(Tim!LC32=Sheet6!$C$5,Sheet6!$C$5,IF(Tim!LC32=Sheet6!$C$6,Sheet6!$C$6,IF(Tim!LC32=Sheet6!$C$7,Sheet6!$C$7,IF(Tim!LC32=Sheet6!$C$8,Sheet6!$C$8,"")))))))</f>
        <v/>
      </c>
      <c r="DV30" s="54" t="str">
        <f>IF(Tim!LD32=Sheet6!$C$2,Sheet6!$C$2,IF(Tim!LD32=Sheet6!$C$3,Sheet6!$C$3,IF(Tim!LD32=Sheet6!$C$4,Sheet6!$C$4,IF(Tim!LD32=Sheet6!$C$5,Sheet6!$C$5,IF(Tim!LD32=Sheet6!$C$6,Sheet6!$C$6,IF(Tim!LD32=Sheet6!$C$7,Sheet6!$C$7,IF(Tim!LD32=Sheet6!$C$8,Sheet6!$C$8,"")))))))</f>
        <v/>
      </c>
      <c r="DW30" s="55" t="str">
        <f>IF(Tim!LE32=Sheet6!$C$2,Sheet6!$C$2,IF(Tim!LE32=Sheet6!$C$3,Sheet6!$C$3,IF(Tim!LE32=Sheet6!$C$4,Sheet6!$C$4,IF(Tim!LE32=Sheet6!$C$5,Sheet6!$C$5,IF(Tim!LE32=Sheet6!$C$6,Sheet6!$C$6,IF(Tim!LE32=Sheet6!$C$7,Sheet6!$C$7,IF(Tim!LE32=Sheet6!$C$8,Sheet6!$C$8,"")))))))</f>
        <v/>
      </c>
      <c r="DX30" s="52">
        <v>0.55208333333333304</v>
      </c>
    </row>
    <row r="31" spans="2:128" ht="10.5" customHeight="1">
      <c r="B31" s="51">
        <v>0.25</v>
      </c>
      <c r="C31" s="51">
        <v>0.25</v>
      </c>
      <c r="D31" s="51">
        <v>0.25</v>
      </c>
      <c r="E31" s="52">
        <v>0.562499999999999</v>
      </c>
      <c r="F31" s="53" t="str">
        <f>IF(Tim!F33=Sheet6!$C$2,Sheet6!$C$2,IF(Tim!F33=Sheet6!$C$3,Sheet6!$C$3,IF(Tim!F33=Sheet6!$C$4,Sheet6!$C$4,IF(Tim!F33=Sheet6!$C$5,Sheet6!$C$5,IF(Tim!F33=Sheet6!$C$6,Sheet6!$C$6,IF(Tim!F33=Sheet6!$C$7,Sheet6!$C$7,IF(Tim!F33=Sheet6!$C$8,Sheet6!$C$8,"")))))))</f>
        <v/>
      </c>
      <c r="G31" s="53" t="str">
        <f>IF(Tim!G33=Sheet6!$C$2,Sheet6!$C$2,IF(Tim!G33=Sheet6!$C$3,Sheet6!$C$3,IF(Tim!G33=Sheet6!$C$4,Sheet6!$C$4,IF(Tim!G33=Sheet6!$C$5,Sheet6!$C$5,IF(Tim!G33=Sheet6!$C$6,Sheet6!$C$6,IF(Tim!G33=Sheet6!$C$7,Sheet6!$C$7,IF(Tim!G33=Sheet6!$C$8,Sheet6!$C$8,"")))))))</f>
        <v/>
      </c>
      <c r="H31" s="53" t="str">
        <f>IF(Tim!H33=Sheet6!$C$2,Sheet6!$C$2,IF(Tim!H33=Sheet6!$C$3,Sheet6!$C$3,IF(Tim!H33=Sheet6!$C$4,Sheet6!$C$4,IF(Tim!H33=Sheet6!$C$5,Sheet6!$C$5,IF(Tim!H33=Sheet6!$C$6,Sheet6!$C$6,IF(Tim!H33=Sheet6!$C$7,Sheet6!$C$7,IF(Tim!H33=Sheet6!$C$8,Sheet6!$C$8,"")))))))</f>
        <v/>
      </c>
      <c r="I31" s="53" t="str">
        <f>IF(Tim!L33=Sheet6!$C$2,Sheet6!$C$2,IF(Tim!L33=Sheet6!$C$3,Sheet6!$C$3,IF(Tim!L33=Sheet6!$C$4,Sheet6!$C$4,IF(Tim!L33=Sheet6!$C$5,Sheet6!$C$5,IF(Tim!L33=Sheet6!$C$6,Sheet6!$C$6,IF(Tim!L33=Sheet6!$C$7,Sheet6!$C$7,IF(Tim!L33=Sheet6!$C$8,Sheet6!$C$8,"")))))))</f>
        <v/>
      </c>
      <c r="J31" s="53" t="str">
        <f>IF(Tim!T33=Sheet6!$C$2,Sheet6!$C$2,IF(Tim!T33=Sheet6!$C$3,Sheet6!$C$3,IF(Tim!T33=Sheet6!$C$4,Sheet6!$C$4,IF(Tim!T33=Sheet6!$C$5,Sheet6!$C$5,IF(Tim!T33=Sheet6!$C$6,Sheet6!$C$6,IF(Tim!T33=Sheet6!$C$7,Sheet6!$C$7,IF(Tim!T33=Sheet6!$C$8,Sheet6!$C$8,"")))))))</f>
        <v/>
      </c>
      <c r="K31" s="53" t="str">
        <f>IF(Tim!AB33=Sheet6!$C$2,Sheet6!$C$2,IF(Tim!AB33=Sheet6!$C$3,Sheet6!$C$3,IF(Tim!AB33=Sheet6!$C$4,Sheet6!$C$4,IF(Tim!AB33=Sheet6!$C$5,Sheet6!$C$5,IF(Tim!AB33=Sheet6!$C$6,Sheet6!$C$6,IF(Tim!AB33=Sheet6!$C$7,Sheet6!$C$7,IF(Tim!AB33=Sheet6!$C$8,Sheet6!$C$8,"")))))))</f>
        <v/>
      </c>
      <c r="L31" s="181" t="str">
        <f>IF(Tim!AC33=Sheet6!$C$2,Sheet6!$C$2,IF(Tim!AC33=Sheet6!$C$3,Sheet6!$C$3,IF(Tim!AC33=Sheet6!$C$4,Sheet6!$C$4,IF(Tim!AC33=Sheet6!$C$5,Sheet6!$C$5,IF(Tim!AC33=Sheet6!$C$6,Sheet6!$C$6,IF(Tim!AC33=Sheet6!$C$7,Sheet6!$C$7,IF(Tim!AC33=Sheet6!$C$8,Sheet6!$C$8,"")))))))</f>
        <v/>
      </c>
      <c r="M31" s="53" t="str">
        <f>IF(Tim!AJ33=Sheet6!$C$2,Sheet6!$C$2,IF(Tim!AJ33=Sheet6!$C$3,Sheet6!$C$3,IF(Tim!AJ33=Sheet6!$C$4,Sheet6!$C$4,IF(Tim!AJ33=Sheet6!$C$5,Sheet6!$C$5,IF(Tim!AJ33=Sheet6!$C$6,Sheet6!$C$6,IF(Tim!AJ33=Sheet6!$C$7,Sheet6!$C$7,IF(Tim!AJ33=Sheet6!$C$8,Sheet6!$C$8,"")))))))</f>
        <v/>
      </c>
      <c r="N31" s="53" t="str">
        <f>IF(Tim!AK33=Sheet6!$C$2,Sheet6!$C$2,IF(Tim!AK33=Sheet6!$C$3,Sheet6!$C$3,IF(Tim!AK33=Sheet6!$C$4,Sheet6!$C$4,IF(Tim!AK33=Sheet6!$C$5,Sheet6!$C$5,IF(Tim!AK33=Sheet6!$C$6,Sheet6!$C$6,IF(Tim!AK33=Sheet6!$C$7,Sheet6!$C$7,IF(Tim!AK33=Sheet6!$C$8,Sheet6!$C$8,"")))))))</f>
        <v/>
      </c>
      <c r="O31" s="53" t="str">
        <f>IF(Tim!AL33=Sheet6!$C$2,Sheet6!$C$2,IF(Tim!AL33=Sheet6!$C$3,Sheet6!$C$3,IF(Tim!AL33=Sheet6!$C$4,Sheet6!$C$4,IF(Tim!AL33=Sheet6!$C$5,Sheet6!$C$5,IF(Tim!AL33=Sheet6!$C$6,Sheet6!$C$6,IF(Tim!AL33=Sheet6!$C$7,Sheet6!$C$7,IF(Tim!AL33=Sheet6!$C$8,Sheet6!$C$8,"")))))))</f>
        <v/>
      </c>
      <c r="P31" s="53" t="str">
        <f>IF(Tim!AN33=Sheet6!$C$2,Sheet6!$C$2,IF(Tim!AN33=Sheet6!$C$3,Sheet6!$C$3,IF(Tim!AN33=Sheet6!$C$4,Sheet6!$C$4,IF(Tim!AN33=Sheet6!$C$5,Sheet6!$C$5,IF(Tim!AN33=Sheet6!$C$6,Sheet6!$C$6,IF(Tim!AN33=Sheet6!$C$7,Sheet6!$C$7,IF(Tim!AN33=Sheet6!$C$8,Sheet6!$C$8,"")))))))</f>
        <v/>
      </c>
      <c r="Q31" s="53" t="str">
        <f>IF(Tim!AO33=Sheet6!$C$2,Sheet6!$C$2,IF(Tim!AO33=Sheet6!$C$3,Sheet6!$C$3,IF(Tim!AO33=Sheet6!$C$4,Sheet6!$C$4,IF(Tim!AO33=Sheet6!$C$5,Sheet6!$C$5,IF(Tim!AO33=Sheet6!$C$6,Sheet6!$C$6,IF(Tim!AO33=Sheet6!$C$7,Sheet6!$C$7,IF(Tim!AO33=Sheet6!$C$8,Sheet6!$C$8,"")))))))</f>
        <v/>
      </c>
      <c r="R31" s="53" t="str">
        <f>IF(Tim!AP33=Sheet6!$C$2,Sheet6!$C$2,IF(Tim!AP33=Sheet6!$C$3,Sheet6!$C$3,IF(Tim!AP33=Sheet6!$C$4,Sheet6!$C$4,IF(Tim!AP33=Sheet6!$C$5,Sheet6!$C$5,IF(Tim!AP33=Sheet6!$C$6,Sheet6!$C$6,IF(Tim!AP33=Sheet6!$C$7,Sheet6!$C$7,IF(Tim!AP33=Sheet6!$C$8,Sheet6!$C$8,"")))))))</f>
        <v/>
      </c>
      <c r="S31" s="53" t="str">
        <f>IF(Tim!AT33=Sheet6!$C$2,Sheet6!$C$2,IF(Tim!AT33=Sheet6!$C$3,Sheet6!$C$3,IF(Tim!AT33=Sheet6!$C$4,Sheet6!$C$4,IF(Tim!AT33=Sheet6!$C$5,Sheet6!$C$5,IF(Tim!AT33=Sheet6!$C$6,Sheet6!$C$6,IF(Tim!AT33=Sheet6!$C$7,Sheet6!$C$7,IF(Tim!AT33=Sheet6!$C$8,Sheet6!$C$8,"")))))))</f>
        <v/>
      </c>
      <c r="T31" s="54" t="str">
        <f>IF(Tim!AU33=Sheet6!$C$2,Sheet6!$C$2,IF(Tim!AU33=Sheet6!$C$3,Sheet6!$C$3,IF(Tim!AU33=Sheet6!$C$4,Sheet6!$C$4,IF(Tim!AU33=Sheet6!$C$5,Sheet6!$C$5,IF(Tim!AU33=Sheet6!$C$6,Sheet6!$C$6,IF(Tim!AU33=Sheet6!$C$7,Sheet6!$C$7,IF(Tim!AU33=Sheet6!$C$8,Sheet6!$C$8,"")))))))</f>
        <v/>
      </c>
      <c r="U31" s="54" t="str">
        <f>IF(Tim!AV33=Sheet6!$C$2,Sheet6!$C$2,IF(Tim!AV33=Sheet6!$C$3,Sheet6!$C$3,IF(Tim!AV33=Sheet6!$C$4,Sheet6!$C$4,IF(Tim!AV33=Sheet6!$C$5,Sheet6!$C$5,IF(Tim!AV33=Sheet6!$C$6,Sheet6!$C$6,IF(Tim!AV33=Sheet6!$C$7,Sheet6!$C$7,IF(Tim!AV33=Sheet6!$C$8,Sheet6!$C$8,"")))))))</f>
        <v/>
      </c>
      <c r="V31" s="54" t="str">
        <f>IF(Tim!AW33=Sheet6!$C$2,Sheet6!$C$2,IF(Tim!AW33=Sheet6!$C$3,Sheet6!$C$3,IF(Tim!AW33=Sheet6!$C$4,Sheet6!$C$4,IF(Tim!AW33=Sheet6!$C$5,Sheet6!$C$5,IF(Tim!AW33=Sheet6!$C$6,Sheet6!$C$6,IF(Tim!AW33=Sheet6!$C$7,Sheet6!$C$7,IF(Tim!AW33=Sheet6!$C$8,Sheet6!$C$8,"")))))))</f>
        <v/>
      </c>
      <c r="W31" s="55" t="str">
        <f>IF(Tim!AX33=Sheet6!$C$2,Sheet6!$C$2,IF(Tim!AX33=Sheet6!$C$3,Sheet6!$C$3,IF(Tim!AX33=Sheet6!$C$4,Sheet6!$C$4,IF(Tim!AX33=Sheet6!$C$5,Sheet6!$C$5,IF(Tim!AX33=Sheet6!$C$6,Sheet6!$C$6,IF(Tim!AX33=Sheet6!$C$7,Sheet6!$C$7,IF(Tim!AX33=Sheet6!$C$8,Sheet6!$C$8,"")))))))</f>
        <v/>
      </c>
      <c r="X31" s="53" t="str">
        <f>IF(Tim!AY33=Sheet6!$C$2,Sheet6!$C$2,IF(Tim!AY33=Sheet6!$C$3,Sheet6!$C$3,IF(Tim!AY33=Sheet6!$C$4,Sheet6!$C$4,IF(Tim!AY33=Sheet6!$C$5,Sheet6!$C$5,IF(Tim!AY33=Sheet6!$C$6,Sheet6!$C$6,IF(Tim!AY33=Sheet6!$C$7,Sheet6!$C$7,IF(Tim!AY33=Sheet6!$C$8,Sheet6!$C$8,"")))))))</f>
        <v/>
      </c>
      <c r="Y31" s="57" t="str">
        <f>IF(Tim!AZ33=Sheet6!$C$2,Sheet6!$C$2,IF(Tim!AZ33=Sheet6!$C$3,Sheet6!$C$3,IF(Tim!AZ33=Sheet6!$C$4,Sheet6!$C$4,IF(Tim!AZ33=Sheet6!$C$5,Sheet6!$C$5,IF(Tim!AZ33=Sheet6!$C$6,Sheet6!$C$6,IF(Tim!AZ33=Sheet6!$C$7,Sheet6!$C$7,IF(Tim!AZ33=Sheet6!$C$8,Sheet6!$C$8,"")))))))</f>
        <v/>
      </c>
      <c r="Z31" s="53" t="str">
        <f>IF(Tim!BD33=Sheet6!$C$2,Sheet6!$C$2,IF(Tim!BD33=Sheet6!$C$3,Sheet6!$C$3,IF(Tim!BD33=Sheet6!$C$4,Sheet6!$C$4,IF(Tim!BD33=Sheet6!$C$5,Sheet6!$C$5,IF(Tim!BD33=Sheet6!$C$6,Sheet6!$C$6,IF(Tim!BD33=Sheet6!$C$7,Sheet6!$C$7,IF(Tim!BD33=Sheet6!$C$8,Sheet6!$C$8,"")))))))</f>
        <v/>
      </c>
      <c r="AA31" s="53" t="str">
        <f>IF(Tim!BE33=Sheet6!$C$2,Sheet6!$C$2,IF(Tim!BE33=Sheet6!$C$3,Sheet6!$C$3,IF(Tim!BE33=Sheet6!$C$4,Sheet6!$C$4,IF(Tim!BE33=Sheet6!$C$5,Sheet6!$C$5,IF(Tim!BE33=Sheet6!$C$6,Sheet6!$C$6,IF(Tim!BE33=Sheet6!$C$7,Sheet6!$C$7,IF(Tim!BE33=Sheet6!$C$8,Sheet6!$C$8,"")))))))</f>
        <v/>
      </c>
      <c r="AB31" s="57" t="str">
        <f>IF(Tim!BL33=Sheet6!$C$2,Sheet6!$C$2,IF(Tim!BL33=Sheet6!$C$3,Sheet6!$C$3,IF(Tim!BL33=Sheet6!$C$4,Sheet6!$C$4,IF(Tim!BL33=Sheet6!$C$5,Sheet6!$C$5,IF(Tim!BL33=Sheet6!$C$6,Sheet6!$C$6,IF(Tim!BL33=Sheet6!$C$7,Sheet6!$C$7,IF(Tim!BL33=Sheet6!$C$8,Sheet6!$C$8,"")))))))</f>
        <v/>
      </c>
      <c r="AC31" s="53" t="str">
        <f>IF(Tim!BT33=Sheet6!$C$2,Sheet6!$C$2,IF(Tim!BT33=Sheet6!$C$3,Sheet6!$C$3,IF(Tim!BT33=Sheet6!$C$4,Sheet6!$C$4,IF(Tim!BT33=Sheet6!$C$5,Sheet6!$C$5,IF(Tim!BT33=Sheet6!$C$6,Sheet6!$C$6,IF(Tim!BT33=Sheet6!$C$7,Sheet6!$C$7,IF(Tim!BT33=Sheet6!$C$8,Sheet6!$C$8,"")))))))</f>
        <v/>
      </c>
      <c r="AD31" s="181" t="str">
        <f>IF(Tim!BU33=Sheet6!$C$2,Sheet6!$C$2,IF(Tim!BU33=Sheet6!$C$3,Sheet6!$C$3,IF(Tim!BU33=Sheet6!$C$4,Sheet6!$C$4,IF(Tim!BU33=Sheet6!$C$5,Sheet6!$C$5,IF(Tim!BU33=Sheet6!$C$6,Sheet6!$C$6,IF(Tim!BU33=Sheet6!$C$7,Sheet6!$C$7,IF(Tim!BU33=Sheet6!$C$8,Sheet6!$C$8,"")))))))</f>
        <v/>
      </c>
      <c r="AE31" s="181" t="str">
        <f>IF(Tim!CB33=Sheet6!$C$2,Sheet6!$C$2,IF(Tim!CB33=Sheet6!$C$3,Sheet6!$C$3,IF(Tim!CB33=Sheet6!$C$4,Sheet6!$C$4,IF(Tim!CB33=Sheet6!$C$5,Sheet6!$C$5,IF(Tim!CB33=Sheet6!$C$6,Sheet6!$C$6,IF(Tim!CB33=Sheet6!$C$7,Sheet6!$C$7,IF(Tim!CB33=Sheet6!$C$8,Sheet6!$C$8,"")))))))</f>
        <v/>
      </c>
      <c r="AF31" s="181" t="str">
        <f>IF(Tim!CD33=Sheet6!$C$2,Sheet6!$C$2,IF(Tim!CD33=Sheet6!$C$3,Sheet6!$C$3,IF(Tim!CD33=Sheet6!$C$4,Sheet6!$C$4,IF(Tim!CD33=Sheet6!$C$5,Sheet6!$C$5,IF(Tim!CD33=Sheet6!$C$6,Sheet6!$C$6,IF(Tim!CD33=Sheet6!$C$7,Sheet6!$C$7,IF(Tim!CD33=Sheet6!$C$8,Sheet6!$C$8,"")))))))</f>
        <v/>
      </c>
      <c r="AG31" s="63" t="str">
        <f>IF(Tim!CE33=Sheet6!$C$2,Sheet6!$C$2,IF(Tim!CE33=Sheet6!$C$3,Sheet6!$C$3,IF(Tim!CE33=Sheet6!$C$4,Sheet6!$C$4,IF(Tim!CE33=Sheet6!$C$5,Sheet6!$C$5,IF(Tim!CE33=Sheet6!$C$6,Sheet6!$C$6,IF(Tim!CE33=Sheet6!$C$7,Sheet6!$C$7,IF(Tim!CE33=Sheet6!$C$8,Sheet6!$C$8,"")))))))</f>
        <v/>
      </c>
      <c r="AH31" s="63" t="str">
        <f>IF(Tim!CF33=Sheet6!$C$2,Sheet6!$C$2,IF(Tim!CF33=Sheet6!$C$3,Sheet6!$C$3,IF(Tim!CF33=Sheet6!$C$4,Sheet6!$C$4,IF(Tim!CF33=Sheet6!$C$5,Sheet6!$C$5,IF(Tim!CF33=Sheet6!$C$6,Sheet6!$C$6,IF(Tim!CF33=Sheet6!$C$7,Sheet6!$C$7,IF(Tim!CF33=Sheet6!$C$8,Sheet6!$C$8,"")))))))</f>
        <v/>
      </c>
      <c r="AI31" s="178" t="str">
        <f>IF(Tim!CG33=Sheet6!$C$2,Sheet6!$C$2,IF(Tim!CG33=Sheet6!$C$3,Sheet6!$C$3,IF(Tim!CG33=Sheet6!$C$4,Sheet6!$C$4,IF(Tim!CG33=Sheet6!$C$5,Sheet6!$C$5,IF(Tim!CG33=Sheet6!$C$6,Sheet6!$C$6,IF(Tim!CG33=Sheet6!$C$7,Sheet6!$C$7,IF(Tim!CG33=Sheet6!$C$8,Sheet6!$C$8,"")))))))</f>
        <v/>
      </c>
      <c r="AJ31" s="53" t="str">
        <f>IF(Tim!CH33=Sheet6!$C$2,Sheet6!$C$2,IF(Tim!CH33=Sheet6!$C$3,Sheet6!$C$3,IF(Tim!CH33=Sheet6!$C$4,Sheet6!$C$4,IF(Tim!CH33=Sheet6!$C$5,Sheet6!$C$5,IF(Tim!CH33=Sheet6!$C$6,Sheet6!$C$6,IF(Tim!CH33=Sheet6!$C$7,Sheet6!$C$7,IF(Tim!CH33=Sheet6!$C$8,Sheet6!$C$8,"")))))))</f>
        <v/>
      </c>
      <c r="AK31" s="53" t="str">
        <f>IF(Tim!CL33=Sheet6!$C$2,Sheet6!$C$2,IF(Tim!CL33=Sheet6!$C$3,Sheet6!$C$3,IF(Tim!CL33=Sheet6!$C$4,Sheet6!$C$4,IF(Tim!CL33=Sheet6!$C$5,Sheet6!$C$5,IF(Tim!CL33=Sheet6!$C$6,Sheet6!$C$6,IF(Tim!CL33=Sheet6!$C$7,Sheet6!$C$7,IF(Tim!CL33=Sheet6!$C$8,Sheet6!$C$8,"")))))))</f>
        <v/>
      </c>
      <c r="AL31" s="54" t="str">
        <f>IF(Tim!CM33=Sheet6!$C$2,Sheet6!$C$2,IF(Tim!CM33=Sheet6!$C$3,Sheet6!$C$3,IF(Tim!CM33=Sheet6!$C$4,Sheet6!$C$4,IF(Tim!CM33=Sheet6!$C$5,Sheet6!$C$5,IF(Tim!CM33=Sheet6!$C$6,Sheet6!$C$6,IF(Tim!CM33=Sheet6!$C$7,Sheet6!$C$7,IF(Tim!CM33=Sheet6!$C$8,Sheet6!$C$8,"")))))))</f>
        <v/>
      </c>
      <c r="AM31" s="54" t="str">
        <f>IF(Tim!CN33=Sheet6!$C$2,Sheet6!$C$2,IF(Tim!CN33=Sheet6!$C$3,Sheet6!$C$3,IF(Tim!CN33=Sheet6!$C$4,Sheet6!$C$4,IF(Tim!CN33=Sheet6!$C$5,Sheet6!$C$5,IF(Tim!CN33=Sheet6!$C$6,Sheet6!$C$6,IF(Tim!CN33=Sheet6!$C$7,Sheet6!$C$7,IF(Tim!CN33=Sheet6!$C$8,Sheet6!$C$8,"")))))))</f>
        <v/>
      </c>
      <c r="AN31" s="54" t="str">
        <f>IF(Tim!CO33=Sheet6!$C$2,Sheet6!$C$2,IF(Tim!CO33=Sheet6!$C$3,Sheet6!$C$3,IF(Tim!CO33=Sheet6!$C$4,Sheet6!$C$4,IF(Tim!CO33=Sheet6!$C$5,Sheet6!$C$5,IF(Tim!CO33=Sheet6!$C$6,Sheet6!$C$6,IF(Tim!CO33=Sheet6!$C$7,Sheet6!$C$7,IF(Tim!CO33=Sheet6!$C$8,Sheet6!$C$8,"")))))))</f>
        <v/>
      </c>
      <c r="AO31" s="55" t="str">
        <f>IF(Tim!CP33=Sheet6!$C$2,Sheet6!$C$2,IF(Tim!CP33=Sheet6!$C$3,Sheet6!$C$3,IF(Tim!CP33=Sheet6!$C$4,Sheet6!$C$4,IF(Tim!CP33=Sheet6!$C$5,Sheet6!$C$5,IF(Tim!CP33=Sheet6!$C$6,Sheet6!$C$6,IF(Tim!CP33=Sheet6!$C$7,Sheet6!$C$7,IF(Tim!CP33=Sheet6!$C$8,Sheet6!$C$8,"")))))))</f>
        <v/>
      </c>
      <c r="AP31" s="53" t="str">
        <f>IF(Tim!CQ33=Sheet6!$C$2,Sheet6!$C$2,IF(Tim!CQ33=Sheet6!$C$3,Sheet6!$C$3,IF(Tim!CQ33=Sheet6!$C$4,Sheet6!$C$4,IF(Tim!CQ33=Sheet6!$C$5,Sheet6!$C$5,IF(Tim!CQ33=Sheet6!$C$6,Sheet6!$C$6,IF(Tim!CQ33=Sheet6!$C$7,Sheet6!$C$7,IF(Tim!CQ33=Sheet6!$C$8,Sheet6!$C$8,"")))))))</f>
        <v/>
      </c>
      <c r="AQ31" s="57" t="str">
        <f>IF(Tim!CR33=Sheet6!$C$2,Sheet6!$C$2,IF(Tim!CR33=Sheet6!$C$3,Sheet6!$C$3,IF(Tim!CR33=Sheet6!$C$4,Sheet6!$C$4,IF(Tim!CR33=Sheet6!$C$5,Sheet6!$C$5,IF(Tim!CR33=Sheet6!$C$6,Sheet6!$C$6,IF(Tim!CR33=Sheet6!$C$7,Sheet6!$C$7,IF(Tim!CR33=Sheet6!$C$8,Sheet6!$C$8,"")))))))</f>
        <v/>
      </c>
      <c r="AR31" s="57" t="str">
        <f>IF(Tim!CV33=Sheet6!$C$2,Sheet6!$C$2,IF(Tim!CV33=Sheet6!$C$3,Sheet6!$C$3,IF(Tim!CV33=Sheet6!$C$4,Sheet6!$C$4,IF(Tim!CV33=Sheet6!$C$5,Sheet6!$C$5,IF(Tim!CV33=Sheet6!$C$6,Sheet6!$C$6,IF(Tim!CV33=Sheet6!$C$7,Sheet6!$C$7,IF(Tim!CV33=Sheet6!$C$8,Sheet6!$C$8,"")))))))</f>
        <v/>
      </c>
      <c r="AS31" s="57" t="str">
        <f>IF(Tim!CW33=Sheet6!$C$2,Sheet6!$C$2,IF(Tim!CW33=Sheet6!$C$3,Sheet6!$C$3,IF(Tim!CW33=Sheet6!$C$4,Sheet6!$C$4,IF(Tim!CW33=Sheet6!$C$5,Sheet6!$C$5,IF(Tim!CW33=Sheet6!$C$6,Sheet6!$C$6,IF(Tim!CW33=Sheet6!$C$7,Sheet6!$C$7,IF(Tim!CW33=Sheet6!$C$8,Sheet6!$C$8,"")))))))</f>
        <v/>
      </c>
      <c r="AT31" s="57" t="str">
        <f>IF(Tim!DA33=Sheet6!$C$2,Sheet6!$C$2,IF(Tim!DA33=Sheet6!$C$3,Sheet6!$C$3,IF(Tim!DA33=Sheet6!$C$4,Sheet6!$C$4,IF(Tim!DA33=Sheet6!$C$5,Sheet6!$C$5,IF(Tim!DA33=Sheet6!$C$6,Sheet6!$C$6,IF(Tim!DA33=Sheet6!$C$7,Sheet6!$C$7,IF(Tim!DA33=Sheet6!$C$8,Sheet6!$C$8,"")))))))</f>
        <v/>
      </c>
      <c r="AU31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V31" s="181" t="str">
        <f>IF(Tim!DP33=Sheet6!$C$2,Sheet6!$C$2,IF(Tim!DP33=Sheet6!$C$3,Sheet6!$C$3,IF(Tim!DP33=Sheet6!$C$4,Sheet6!$C$4,IF(Tim!DP33=Sheet6!$C$5,Sheet6!$C$5,IF(Tim!DP33=Sheet6!$C$6,Sheet6!$C$6,IF(Tim!DP33=Sheet6!$C$7,Sheet6!$C$7,IF(Tim!DP33=Sheet6!$C$8,Sheet6!$C$8,"")))))))</f>
        <v/>
      </c>
      <c r="AW31" s="181" t="str">
        <f>IF(Tim!DX33=Sheet6!$C$2,Sheet6!$C$2,IF(Tim!DX33=Sheet6!$C$3,Sheet6!$C$3,IF(Tim!DX33=Sheet6!$C$4,Sheet6!$C$4,IF(Tim!DX33=Sheet6!$C$5,Sheet6!$C$5,IF(Tim!DX33=Sheet6!$C$6,Sheet6!$C$6,IF(Tim!DX33=Sheet6!$C$7,Sheet6!$C$7,IF(Tim!DX33=Sheet6!$C$8,Sheet6!$C$8,"")))))))</f>
        <v/>
      </c>
      <c r="AX31" s="181" t="str">
        <f>IF(Tim!DY33=Sheet6!$C$2,Sheet6!$C$2,IF(Tim!DY33=Sheet6!$C$3,Sheet6!$C$3,IF(Tim!DY33=Sheet6!$C$4,Sheet6!$C$4,IF(Tim!DY33=Sheet6!$C$5,Sheet6!$C$5,IF(Tim!DY33=Sheet6!$C$6,Sheet6!$C$6,IF(Tim!DY33=Sheet6!$C$7,Sheet6!$C$7,IF(Tim!DY33=Sheet6!$C$8,Sheet6!$C$8,"")))))))</f>
        <v/>
      </c>
      <c r="AY31" s="63" t="str">
        <f>IF(Tim!DZ33=Sheet6!$C$2,Sheet6!$C$2,IF(Tim!DZ33=Sheet6!$C$3,Sheet6!$C$3,IF(Tim!DZ33=Sheet6!$C$4,Sheet6!$C$4,IF(Tim!DZ33=Sheet6!$C$5,Sheet6!$C$5,IF(Tim!DZ33=Sheet6!$C$6,Sheet6!$C$6,IF(Tim!DZ33=Sheet6!$C$7,Sheet6!$C$7,IF(Tim!DZ33=Sheet6!$C$8,Sheet6!$C$8,"")))))))</f>
        <v/>
      </c>
      <c r="AZ31" s="63" t="str">
        <f>IF(Tim!EA33=Sheet6!$C$2,Sheet6!$C$2,IF(Tim!EA33=Sheet6!$C$3,Sheet6!$C$3,IF(Tim!EA33=Sheet6!$C$4,Sheet6!$C$4,IF(Tim!EA33=Sheet6!$C$5,Sheet6!$C$5,IF(Tim!EA33=Sheet6!$C$6,Sheet6!$C$6,IF(Tim!EA33=Sheet6!$C$7,Sheet6!$C$7,IF(Tim!EA33=Sheet6!$C$8,Sheet6!$C$8,"")))))))</f>
        <v/>
      </c>
      <c r="BA31" s="178" t="str">
        <f>IF(Tim!EB33=Sheet6!$C$2,Sheet6!$C$2,IF(Tim!EB33=Sheet6!$C$3,Sheet6!$C$3,IF(Tim!EB33=Sheet6!$C$4,Sheet6!$C$4,IF(Tim!EB33=Sheet6!$C$5,Sheet6!$C$5,IF(Tim!EB33=Sheet6!$C$6,Sheet6!$C$6,IF(Tim!EB33=Sheet6!$C$7,Sheet6!$C$7,IF(Tim!EB33=Sheet6!$C$8,Sheet6!$C$8,"")))))))</f>
        <v/>
      </c>
      <c r="BB31" s="53" t="str">
        <f>IF(Tim!EC33=Sheet6!$C$2,Sheet6!$C$2,IF(Tim!EC33=Sheet6!$C$3,Sheet6!$C$3,IF(Tim!EC33=Sheet6!$C$4,Sheet6!$C$4,IF(Tim!EC33=Sheet6!$C$5,Sheet6!$C$5,IF(Tim!EC33=Sheet6!$C$6,Sheet6!$C$6,IF(Tim!EC33=Sheet6!$C$7,Sheet6!$C$7,IF(Tim!EC33=Sheet6!$C$8,Sheet6!$C$8,"")))))))</f>
        <v/>
      </c>
      <c r="BC31" s="53" t="str">
        <f>IF(Tim!EG33=Sheet6!$C$2,Sheet6!$C$2,IF(Tim!EG33=Sheet6!$C$3,Sheet6!$C$3,IF(Tim!EG33=Sheet6!$C$4,Sheet6!$C$4,IF(Tim!EG33=Sheet6!$C$5,Sheet6!$C$5,IF(Tim!EG33=Sheet6!$C$6,Sheet6!$C$6,IF(Tim!EG33=Sheet6!$C$7,Sheet6!$C$7,IF(Tim!EG33=Sheet6!$C$8,Sheet6!$C$8,"")))))))</f>
        <v/>
      </c>
      <c r="BD31" s="54" t="str">
        <f>IF(Tim!EH33=Sheet6!$C$2,Sheet6!$C$2,IF(Tim!EH33=Sheet6!$C$3,Sheet6!$C$3,IF(Tim!EH33=Sheet6!$C$4,Sheet6!$C$4,IF(Tim!EH33=Sheet6!$C$5,Sheet6!$C$5,IF(Tim!EH33=Sheet6!$C$6,Sheet6!$C$6,IF(Tim!EH33=Sheet6!$C$7,Sheet6!$C$7,IF(Tim!EH33=Sheet6!$C$8,Sheet6!$C$8,"")))))))</f>
        <v/>
      </c>
      <c r="BE31" s="54" t="str">
        <f>IF(Tim!EI33=Sheet6!$C$2,Sheet6!$C$2,IF(Tim!EI33=Sheet6!$C$3,Sheet6!$C$3,IF(Tim!EI33=Sheet6!$C$4,Sheet6!$C$4,IF(Tim!EI33=Sheet6!$C$5,Sheet6!$C$5,IF(Tim!EI33=Sheet6!$C$6,Sheet6!$C$6,IF(Tim!EI33=Sheet6!$C$7,Sheet6!$C$7,IF(Tim!EI33=Sheet6!$C$8,Sheet6!$C$8,"")))))))</f>
        <v/>
      </c>
      <c r="BF31" s="54" t="str">
        <f>IF(Tim!EJ33=Sheet6!$C$2,Sheet6!$C$2,IF(Tim!EJ33=Sheet6!$C$3,Sheet6!$C$3,IF(Tim!EJ33=Sheet6!$C$4,Sheet6!$C$4,IF(Tim!EJ33=Sheet6!$C$5,Sheet6!$C$5,IF(Tim!EJ33=Sheet6!$C$6,Sheet6!$C$6,IF(Tim!EJ33=Sheet6!$C$7,Sheet6!$C$7,IF(Tim!EJ33=Sheet6!$C$8,Sheet6!$C$8,"")))))))</f>
        <v/>
      </c>
      <c r="BG31" s="55" t="str">
        <f>IF(Tim!EK33=Sheet6!$C$2,Sheet6!$C$2,IF(Tim!EK33=Sheet6!$C$3,Sheet6!$C$3,IF(Tim!EK33=Sheet6!$C$4,Sheet6!$C$4,IF(Tim!EK33=Sheet6!$C$5,Sheet6!$C$5,IF(Tim!EK33=Sheet6!$C$6,Sheet6!$C$6,IF(Tim!EK33=Sheet6!$C$7,Sheet6!$C$7,IF(Tim!EK33=Sheet6!$C$8,Sheet6!$C$8,"")))))))</f>
        <v/>
      </c>
      <c r="BH31" s="53" t="str">
        <f>IF(Tim!EL33=Sheet6!$C$2,Sheet6!$C$2,IF(Tim!EL33=Sheet6!$C$3,Sheet6!$C$3,IF(Tim!EL33=Sheet6!$C$4,Sheet6!$C$4,IF(Tim!EL33=Sheet6!$C$5,Sheet6!$C$5,IF(Tim!EL33=Sheet6!$C$6,Sheet6!$C$6,IF(Tim!EL33=Sheet6!$C$7,Sheet6!$C$7,IF(Tim!EL33=Sheet6!$C$8,Sheet6!$C$8,"")))))))</f>
        <v/>
      </c>
      <c r="BI31" s="53" t="str">
        <f>IF(Tim!EM33=Sheet6!$C$2,Sheet6!$C$2,IF(Tim!EM33=Sheet6!$C$3,Sheet6!$C$3,IF(Tim!EM33=Sheet6!$C$4,Sheet6!$C$4,IF(Tim!EM33=Sheet6!$C$5,Sheet6!$C$5,IF(Tim!EM33=Sheet6!$C$6,Sheet6!$C$6,IF(Tim!EM33=Sheet6!$C$7,Sheet6!$C$7,IF(Tim!EM33=Sheet6!$C$8,Sheet6!$C$8,"")))))))</f>
        <v/>
      </c>
      <c r="BJ31" s="57" t="str">
        <f>IF(Tim!EQ33=Sheet6!$C$2,Sheet6!$C$2,IF(Tim!EQ33=Sheet6!$C$3,Sheet6!$C$3,IF(Tim!EQ33=Sheet6!$C$4,Sheet6!$C$4,IF(Tim!EQ33=Sheet6!$C$5,Sheet6!$C$5,IF(Tim!EQ33=Sheet6!$C$6,Sheet6!$C$6,IF(Tim!EQ33=Sheet6!$C$7,Sheet6!$C$7,IF(Tim!EQ33=Sheet6!$C$8,Sheet6!$C$8,"")))))))</f>
        <v/>
      </c>
      <c r="BK31" s="57" t="str">
        <f>IF(Tim!ER33=Sheet6!$C$2,Sheet6!$C$2,IF(Tim!ER33=Sheet6!$C$3,Sheet6!$C$3,IF(Tim!ER33=Sheet6!$C$4,Sheet6!$C$4,IF(Tim!ER33=Sheet6!$C$5,Sheet6!$C$5,IF(Tim!ER33=Sheet6!$C$6,Sheet6!$C$6,IF(Tim!ER33=Sheet6!$C$7,Sheet6!$C$7,IF(Tim!ER33=Sheet6!$C$8,Sheet6!$C$8,"")))))))</f>
        <v/>
      </c>
      <c r="BL31" s="57" t="str">
        <f>IF(Tim!EZ33=Sheet6!$C$2,Sheet6!$C$2,IF(Tim!EZ33=Sheet6!$C$3,Sheet6!$C$3,IF(Tim!EZ33=Sheet6!$C$4,Sheet6!$C$4,IF(Tim!EZ33=Sheet6!$C$5,Sheet6!$C$5,IF(Tim!EZ33=Sheet6!$C$6,Sheet6!$C$6,IF(Tim!EZ33=Sheet6!$C$7,Sheet6!$C$7,IF(Tim!EZ33=Sheet6!$C$8,Sheet6!$C$8,"")))))))</f>
        <v/>
      </c>
      <c r="BM31" s="53" t="str">
        <f>IF(Tim!FG33=Sheet6!$C$2,Sheet6!$C$2,IF(Tim!FG33=Sheet6!$C$3,Sheet6!$C$3,IF(Tim!FG33=Sheet6!$C$4,Sheet6!$C$4,IF(Tim!FG33=Sheet6!$C$5,Sheet6!$C$5,IF(Tim!FG33=Sheet6!$C$6,Sheet6!$C$6,IF(Tim!FG33=Sheet6!$C$7,Sheet6!$C$7,IF(Tim!FG33=Sheet6!$C$8,Sheet6!$C$8,"")))))))</f>
        <v/>
      </c>
      <c r="BN31" s="181" t="str">
        <f>IF(Tim!FH33=Sheet6!$C$2,Sheet6!$C$2,IF(Tim!FH33=Sheet6!$C$3,Sheet6!$C$3,IF(Tim!FH33=Sheet6!$C$4,Sheet6!$C$4,IF(Tim!FH33=Sheet6!$C$5,Sheet6!$C$5,IF(Tim!FH33=Sheet6!$C$6,Sheet6!$C$6,IF(Tim!FH33=Sheet6!$C$7,Sheet6!$C$7,IF(Tim!FH33=Sheet6!$C$8,Sheet6!$C$8,"")))))))</f>
        <v/>
      </c>
      <c r="BO31" s="181" t="str">
        <f>IF(Tim!FP33=Sheet6!$C$2,Sheet6!$C$2,IF(Tim!FP33=Sheet6!$C$3,Sheet6!$C$3,IF(Tim!FP33=Sheet6!$C$4,Sheet6!$C$4,IF(Tim!FP33=Sheet6!$C$5,Sheet6!$C$5,IF(Tim!FP33=Sheet6!$C$6,Sheet6!$C$6,IF(Tim!FP33=Sheet6!$C$7,Sheet6!$C$7,IF(Tim!FP33=Sheet6!$C$8,Sheet6!$C$8,"")))))))</f>
        <v/>
      </c>
      <c r="BP31" s="181" t="str">
        <f>IF(Tim!FQ33=Sheet6!$C$2,Sheet6!$C$2,IF(Tim!FQ33=Sheet6!$C$3,Sheet6!$C$3,IF(Tim!FQ33=Sheet6!$C$4,Sheet6!$C$4,IF(Tim!FQ33=Sheet6!$C$5,Sheet6!$C$5,IF(Tim!FQ33=Sheet6!$C$6,Sheet6!$C$6,IF(Tim!FQ33=Sheet6!$C$7,Sheet6!$C$7,IF(Tim!FQ33=Sheet6!$C$8,Sheet6!$C$8,"")))))))</f>
        <v/>
      </c>
      <c r="BQ31" s="63" t="str">
        <f>IF(Tim!FR33=Sheet6!$C$2,Sheet6!$C$2,IF(Tim!FR33=Sheet6!$C$3,Sheet6!$C$3,IF(Tim!FR33=Sheet6!$C$4,Sheet6!$C$4,IF(Tim!FR33=Sheet6!$C$5,Sheet6!$C$5,IF(Tim!FR33=Sheet6!$C$6,Sheet6!$C$6,IF(Tim!FR33=Sheet6!$C$7,Sheet6!$C$7,IF(Tim!FR33=Sheet6!$C$8,Sheet6!$C$8,"")))))))</f>
        <v/>
      </c>
      <c r="BR31" s="63" t="str">
        <f>IF(Tim!FS33=Sheet6!$C$2,Sheet6!$C$2,IF(Tim!FS33=Sheet6!$C$3,Sheet6!$C$3,IF(Tim!FS33=Sheet6!$C$4,Sheet6!$C$4,IF(Tim!FS33=Sheet6!$C$5,Sheet6!$C$5,IF(Tim!FS33=Sheet6!$C$6,Sheet6!$C$6,IF(Tim!FS33=Sheet6!$C$7,Sheet6!$C$7,IF(Tim!FS33=Sheet6!$C$8,Sheet6!$C$8,"")))))))</f>
        <v/>
      </c>
      <c r="BS31" s="63" t="str">
        <f>IF(Tim!FT33=Sheet6!$C$2,Sheet6!$C$2,IF(Tim!FT33=Sheet6!$C$3,Sheet6!$C$3,IF(Tim!FT33=Sheet6!$C$4,Sheet6!$C$4,IF(Tim!FT33=Sheet6!$C$5,Sheet6!$C$5,IF(Tim!FT33=Sheet6!$C$6,Sheet6!$C$6,IF(Tim!FT33=Sheet6!$C$7,Sheet6!$C$7,IF(Tim!FT33=Sheet6!$C$8,Sheet6!$C$8,"")))))))</f>
        <v/>
      </c>
      <c r="BT31" s="53" t="str">
        <f>IF(Tim!FU33=Sheet6!$C$2,Sheet6!$C$2,IF(Tim!FU33=Sheet6!$C$3,Sheet6!$C$3,IF(Tim!FU33=Sheet6!$C$4,Sheet6!$C$4,IF(Tim!FU33=Sheet6!$C$5,Sheet6!$C$5,IF(Tim!FU33=Sheet6!$C$6,Sheet6!$C$6,IF(Tim!FU33=Sheet6!$C$7,Sheet6!$C$7,IF(Tim!FU33=Sheet6!$C$8,Sheet6!$C$8,"")))))))</f>
        <v/>
      </c>
      <c r="BU31" s="53" t="str">
        <f>IF(Tim!FY33=Sheet6!$C$2,Sheet6!$C$2,IF(Tim!FY33=Sheet6!$C$3,Sheet6!$C$3,IF(Tim!FY33=Sheet6!$C$4,Sheet6!$C$4,IF(Tim!FY33=Sheet6!$C$5,Sheet6!$C$5,IF(Tim!FY33=Sheet6!$C$6,Sheet6!$C$6,IF(Tim!FY33=Sheet6!$C$7,Sheet6!$C$7,IF(Tim!FY33=Sheet6!$C$8,Sheet6!$C$8,"")))))))</f>
        <v/>
      </c>
      <c r="BV31" s="54" t="str">
        <f>IF(Tim!FZ33=Sheet6!$C$2,Sheet6!$C$2,IF(Tim!FZ33=Sheet6!$C$3,Sheet6!$C$3,IF(Tim!FZ33=Sheet6!$C$4,Sheet6!$C$4,IF(Tim!FZ33=Sheet6!$C$5,Sheet6!$C$5,IF(Tim!FZ33=Sheet6!$C$6,Sheet6!$C$6,IF(Tim!FZ33=Sheet6!$C$7,Sheet6!$C$7,IF(Tim!FZ33=Sheet6!$C$8,Sheet6!$C$8,"")))))))</f>
        <v/>
      </c>
      <c r="BW31" s="54" t="str">
        <f>IF(Tim!GA33=Sheet6!$C$2,Sheet6!$C$2,IF(Tim!GA33=Sheet6!$C$3,Sheet6!$C$3,IF(Tim!GA33=Sheet6!$C$4,Sheet6!$C$4,IF(Tim!GA33=Sheet6!$C$5,Sheet6!$C$5,IF(Tim!GA33=Sheet6!$C$6,Sheet6!$C$6,IF(Tim!GA33=Sheet6!$C$7,Sheet6!$C$7,IF(Tim!GA33=Sheet6!$C$8,Sheet6!$C$8,"")))))))</f>
        <v/>
      </c>
      <c r="BX31" s="54" t="str">
        <f>IF(Tim!GB33=Sheet6!$C$2,Sheet6!$C$2,IF(Tim!GB33=Sheet6!$C$3,Sheet6!$C$3,IF(Tim!GB33=Sheet6!$C$4,Sheet6!$C$4,IF(Tim!GB33=Sheet6!$C$5,Sheet6!$C$5,IF(Tim!GB33=Sheet6!$C$6,Sheet6!$C$6,IF(Tim!GB33=Sheet6!$C$7,Sheet6!$C$7,IF(Tim!GB33=Sheet6!$C$8,Sheet6!$C$8,"")))))))</f>
        <v/>
      </c>
      <c r="BY31" s="55" t="str">
        <f>IF(Tim!GC33=Sheet6!$C$2,Sheet6!$C$2,IF(Tim!GC33=Sheet6!$C$3,Sheet6!$C$3,IF(Tim!GC33=Sheet6!$C$4,Sheet6!$C$4,IF(Tim!GC33=Sheet6!$C$5,Sheet6!$C$5,IF(Tim!GC33=Sheet6!$C$6,Sheet6!$C$6,IF(Tim!GC33=Sheet6!$C$7,Sheet6!$C$7,IF(Tim!GC33=Sheet6!$C$8,Sheet6!$C$8,"")))))))</f>
        <v/>
      </c>
      <c r="BZ31" s="53" t="str">
        <f>IF(Tim!GD33=Sheet6!$C$2,Sheet6!$C$2,IF(Tim!GD33=Sheet6!$C$3,Sheet6!$C$3,IF(Tim!GD33=Sheet6!$C$4,Sheet6!$C$4,IF(Tim!GD33=Sheet6!$C$5,Sheet6!$C$5,IF(Tim!GD33=Sheet6!$C$6,Sheet6!$C$6,IF(Tim!GD33=Sheet6!$C$7,Sheet6!$C$7,IF(Tim!GD33=Sheet6!$C$8,Sheet6!$C$8,"")))))))</f>
        <v/>
      </c>
      <c r="CA31" s="53" t="str">
        <f>IF(Tim!GE33=Sheet6!$C$2,Sheet6!$C$2,IF(Tim!GE33=Sheet6!$C$3,Sheet6!$C$3,IF(Tim!GE33=Sheet6!$C$4,Sheet6!$C$4,IF(Tim!GE33=Sheet6!$C$5,Sheet6!$C$5,IF(Tim!GE33=Sheet6!$C$6,Sheet6!$C$6,IF(Tim!GE33=Sheet6!$C$7,Sheet6!$C$7,IF(Tim!GE33=Sheet6!$C$8,Sheet6!$C$8,"")))))))</f>
        <v/>
      </c>
      <c r="CB31" s="53" t="str">
        <f>IF(Tim!GI33=Sheet6!$C$2,Sheet6!$C$2,IF(Tim!GI33=Sheet6!$C$3,Sheet6!$C$3,IF(Tim!GI33=Sheet6!$C$4,Sheet6!$C$4,IF(Tim!GI33=Sheet6!$C$5,Sheet6!$C$5,IF(Tim!GI33=Sheet6!$C$6,Sheet6!$C$6,IF(Tim!GI33=Sheet6!$C$7,Sheet6!$C$7,IF(Tim!GI33=Sheet6!$C$8,Sheet6!$C$8,"")))))))</f>
        <v/>
      </c>
      <c r="CC31" s="57" t="str">
        <f>IF(Tim!GJ33=Sheet6!$C$2,Sheet6!$C$2,IF(Tim!GJ33=Sheet6!$C$3,Sheet6!$C$3,IF(Tim!GJ33=Sheet6!$C$4,Sheet6!$C$4,IF(Tim!GJ33=Sheet6!$C$5,Sheet6!$C$5,IF(Tim!GJ33=Sheet6!$C$6,Sheet6!$C$6,IF(Tim!GJ33=Sheet6!$C$7,Sheet6!$C$7,IF(Tim!GJ33=Sheet6!$C$8,Sheet6!$C$8,"")))))))</f>
        <v/>
      </c>
      <c r="CD31" s="57" t="str">
        <f>IF(Tim!GN33=Sheet6!$C$2,Sheet6!$C$2,IF(Tim!GN33=Sheet6!$C$3,Sheet6!$C$3,IF(Tim!GN33=Sheet6!$C$4,Sheet6!$C$4,IF(Tim!GN33=Sheet6!$C$5,Sheet6!$C$5,IF(Tim!GN33=Sheet6!$C$6,Sheet6!$C$6,IF(Tim!GN33=Sheet6!$C$7,Sheet6!$C$7,IF(Tim!GN33=Sheet6!$C$8,Sheet6!$C$8,"")))))))</f>
        <v/>
      </c>
      <c r="CE31" s="53" t="str">
        <f>IF(Tim!GY33=Sheet6!$C$2,Sheet6!$C$2,IF(Tim!GY33=Sheet6!$C$3,Sheet6!$C$3,IF(Tim!GY33=Sheet6!$C$4,Sheet6!$C$4,IF(Tim!GY33=Sheet6!$C$5,Sheet6!$C$5,IF(Tim!GY33=Sheet6!$C$6,Sheet6!$C$6,IF(Tim!GY33=Sheet6!$C$7,Sheet6!$C$7,IF(Tim!GY33=Sheet6!$C$8,Sheet6!$C$8,"")))))))</f>
        <v/>
      </c>
      <c r="CF31" s="181" t="str">
        <f>IF(Tim!GZ33=Sheet6!$C$2,Sheet6!$C$2,IF(Tim!GZ33=Sheet6!$C$3,Sheet6!$C$3,IF(Tim!GZ33=Sheet6!$C$4,Sheet6!$C$4,IF(Tim!GZ33=Sheet6!$C$5,Sheet6!$C$5,IF(Tim!GZ33=Sheet6!$C$6,Sheet6!$C$6,IF(Tim!GZ33=Sheet6!$C$7,Sheet6!$C$7,IF(Tim!GZ33=Sheet6!$C$8,Sheet6!$C$8,"")))))))</f>
        <v/>
      </c>
      <c r="CG31" s="181" t="str">
        <f>IF(Tim!HH33=Sheet6!$C$2,Sheet6!$C$2,IF(Tim!HH33=Sheet6!$C$3,Sheet6!$C$3,IF(Tim!HH33=Sheet6!$C$4,Sheet6!$C$4,IF(Tim!HH33=Sheet6!$C$5,Sheet6!$C$5,IF(Tim!HH33=Sheet6!$C$6,Sheet6!$C$6,IF(Tim!HH33=Sheet6!$C$7,Sheet6!$C$7,IF(Tim!HH33=Sheet6!$C$8,Sheet6!$C$8,"")))))))</f>
        <v/>
      </c>
      <c r="CH31" s="181" t="str">
        <f>IF(Tim!HI33=Sheet6!$C$2,Sheet6!$C$2,IF(Tim!HI33=Sheet6!$C$3,Sheet6!$C$3,IF(Tim!HI33=Sheet6!$C$4,Sheet6!$C$4,IF(Tim!HI33=Sheet6!$C$5,Sheet6!$C$5,IF(Tim!HI33=Sheet6!$C$6,Sheet6!$C$6,IF(Tim!HI33=Sheet6!$C$7,Sheet6!$C$7,IF(Tim!HI33=Sheet6!$C$8,Sheet6!$C$8,"")))))))</f>
        <v/>
      </c>
      <c r="CI31" s="63" t="str">
        <f>IF(Tim!HJ33=Sheet6!$C$2,Sheet6!$C$2,IF(Tim!HJ33=Sheet6!$C$3,Sheet6!$C$3,IF(Tim!HJ33=Sheet6!$C$4,Sheet6!$C$4,IF(Tim!HJ33=Sheet6!$C$5,Sheet6!$C$5,IF(Tim!HJ33=Sheet6!$C$6,Sheet6!$C$6,IF(Tim!HJ33=Sheet6!$C$7,Sheet6!$C$7,IF(Tim!HJ33=Sheet6!$C$8,Sheet6!$C$8,"")))))))</f>
        <v/>
      </c>
      <c r="CJ31" s="63" t="str">
        <f>IF(Tim!HK33=Sheet6!$C$2,Sheet6!$C$2,IF(Tim!HK33=Sheet6!$C$3,Sheet6!$C$3,IF(Tim!HK33=Sheet6!$C$4,Sheet6!$C$4,IF(Tim!HK33=Sheet6!$C$5,Sheet6!$C$5,IF(Tim!HK33=Sheet6!$C$6,Sheet6!$C$6,IF(Tim!HK33=Sheet6!$C$7,Sheet6!$C$7,IF(Tim!HK33=Sheet6!$C$8,Sheet6!$C$8,"")))))))</f>
        <v/>
      </c>
      <c r="CK31" s="63" t="str">
        <f>IF(Tim!HL33=Sheet6!$C$2,Sheet6!$C$2,IF(Tim!HL33=Sheet6!$C$3,Sheet6!$C$3,IF(Tim!HL33=Sheet6!$C$4,Sheet6!$C$4,IF(Tim!HL33=Sheet6!$C$5,Sheet6!$C$5,IF(Tim!HL33=Sheet6!$C$6,Sheet6!$C$6,IF(Tim!HL33=Sheet6!$C$7,Sheet6!$C$7,IF(Tim!HL33=Sheet6!$C$8,Sheet6!$C$8,"")))))))</f>
        <v/>
      </c>
      <c r="CL31" s="53" t="str">
        <f>IF(Tim!HM33=Sheet6!$C$2,Sheet6!$C$2,IF(Tim!HM33=Sheet6!$C$3,Sheet6!$C$3,IF(Tim!HM33=Sheet6!$C$4,Sheet6!$C$4,IF(Tim!HM33=Sheet6!$C$5,Sheet6!$C$5,IF(Tim!HM33=Sheet6!$C$6,Sheet6!$C$6,IF(Tim!HM33=Sheet6!$C$7,Sheet6!$C$7,IF(Tim!HM33=Sheet6!$C$8,Sheet6!$C$8,"")))))))</f>
        <v/>
      </c>
      <c r="CM31" s="53" t="str">
        <f>IF(Tim!HQ33=Sheet6!$C$2,Sheet6!$C$2,IF(Tim!HQ33=Sheet6!$C$3,Sheet6!$C$3,IF(Tim!HQ33=Sheet6!$C$4,Sheet6!$C$4,IF(Tim!HQ33=Sheet6!$C$5,Sheet6!$C$5,IF(Tim!HQ33=Sheet6!$C$6,Sheet6!$C$6,IF(Tim!HQ33=Sheet6!$C$7,Sheet6!$C$7,IF(Tim!HQ33=Sheet6!$C$8,Sheet6!$C$8,"")))))))</f>
        <v/>
      </c>
      <c r="CN31" s="54" t="str">
        <f>IF(Tim!HR33=Sheet6!$C$2,Sheet6!$C$2,IF(Tim!HR33=Sheet6!$C$3,Sheet6!$C$3,IF(Tim!HR33=Sheet6!$C$4,Sheet6!$C$4,IF(Tim!HR33=Sheet6!$C$5,Sheet6!$C$5,IF(Tim!HR33=Sheet6!$C$6,Sheet6!$C$6,IF(Tim!HR33=Sheet6!$C$7,Sheet6!$C$7,IF(Tim!HR33=Sheet6!$C$8,Sheet6!$C$8,"")))))))</f>
        <v/>
      </c>
      <c r="CO31" s="54" t="str">
        <f>IF(Tim!HS33=Sheet6!$C$2,Sheet6!$C$2,IF(Tim!HS33=Sheet6!$C$3,Sheet6!$C$3,IF(Tim!HS33=Sheet6!$C$4,Sheet6!$C$4,IF(Tim!HS33=Sheet6!$C$5,Sheet6!$C$5,IF(Tim!HS33=Sheet6!$C$6,Sheet6!$C$6,IF(Tim!HS33=Sheet6!$C$7,Sheet6!$C$7,IF(Tim!HS33=Sheet6!$C$8,Sheet6!$C$8,"")))))))</f>
        <v/>
      </c>
      <c r="CP31" s="54" t="str">
        <f>IF(Tim!HT33=Sheet6!$C$2,Sheet6!$C$2,IF(Tim!HT33=Sheet6!$C$3,Sheet6!$C$3,IF(Tim!HT33=Sheet6!$C$4,Sheet6!$C$4,IF(Tim!HT33=Sheet6!$C$5,Sheet6!$C$5,IF(Tim!HT33=Sheet6!$C$6,Sheet6!$C$6,IF(Tim!HT33=Sheet6!$C$7,Sheet6!$C$7,IF(Tim!HT33=Sheet6!$C$8,Sheet6!$C$8,"")))))))</f>
        <v/>
      </c>
      <c r="CQ31" s="55" t="str">
        <f>IF(Tim!HU33=Sheet6!$C$2,Sheet6!$C$2,IF(Tim!HU33=Sheet6!$C$3,Sheet6!$C$3,IF(Tim!HU33=Sheet6!$C$4,Sheet6!$C$4,IF(Tim!HU33=Sheet6!$C$5,Sheet6!$C$5,IF(Tim!HU33=Sheet6!$C$6,Sheet6!$C$6,IF(Tim!HU33=Sheet6!$C$7,Sheet6!$C$7,IF(Tim!HU33=Sheet6!$C$8,Sheet6!$C$8,"")))))))</f>
        <v/>
      </c>
      <c r="CR31" s="56" t="str">
        <f>IF(Tim!HV33=Sheet6!$C$2,Sheet6!$C$2,IF(Tim!HV33=Sheet6!$C$3,Sheet6!$C$3,IF(Tim!HV33=Sheet6!$C$4,Sheet6!$C$4,IF(Tim!HV33=Sheet6!$C$5,Sheet6!$C$5,IF(Tim!HV33=Sheet6!$C$6,Sheet6!$C$6,IF(Tim!HV33=Sheet6!$C$7,Sheet6!$C$7,IF(Tim!HV33=Sheet6!$C$8,Sheet6!$C$8,"")))))))</f>
        <v/>
      </c>
      <c r="CS31" s="57" t="str">
        <f>IF(Tim!IB33=Sheet6!$C$2,Sheet6!$C$2,IF(Tim!IB33=Sheet6!$C$3,Sheet6!$C$3,IF(Tim!IB33=Sheet6!$C$4,Sheet6!$C$4,IF(Tim!IB33=Sheet6!$C$5,Sheet6!$C$5,IF(Tim!IB33=Sheet6!$C$6,Sheet6!$C$6,IF(Tim!IB33=Sheet6!$C$7,Sheet6!$C$7,IF(Tim!IB33=Sheet6!$C$8,Sheet6!$C$8,"")))))))</f>
        <v/>
      </c>
      <c r="CT31" s="57" t="str">
        <f>IF(Tim!IJ33=Sheet6!$C$2,Sheet6!$C$2,IF(Tim!IJ33=Sheet6!$C$3,Sheet6!$C$3,IF(Tim!IJ33=Sheet6!$C$4,Sheet6!$C$4,IF(Tim!IJ33=Sheet6!$C$5,Sheet6!$C$5,IF(Tim!IJ33=Sheet6!$C$6,Sheet6!$C$6,IF(Tim!IJ33=Sheet6!$C$7,Sheet6!$C$7,IF(Tim!IJ33=Sheet6!$C$8,Sheet6!$C$8,"")))))))</f>
        <v/>
      </c>
      <c r="CU31" s="53" t="str">
        <f>IF(Tim!IQ33=Sheet6!$C$2,Sheet6!$C$2,IF(Tim!IQ33=Sheet6!$C$3,Sheet6!$C$3,IF(Tim!IQ33=Sheet6!$C$4,Sheet6!$C$4,IF(Tim!IQ33=Sheet6!$C$5,Sheet6!$C$5,IF(Tim!IQ33=Sheet6!$C$6,Sheet6!$C$6,IF(Tim!IQ33=Sheet6!$C$7,Sheet6!$C$7,IF(Tim!IQ33=Sheet6!$C$8,Sheet6!$C$8,"")))))))</f>
        <v/>
      </c>
      <c r="CV31" s="53" t="str">
        <f>IF(Tim!IR33=Sheet6!$C$2,Sheet6!$C$2,IF(Tim!IR33=Sheet6!$C$3,Sheet6!$C$3,IF(Tim!IR33=Sheet6!$C$4,Sheet6!$C$4,IF(Tim!IR33=Sheet6!$C$5,Sheet6!$C$5,IF(Tim!IR33=Sheet6!$C$6,Sheet6!$C$6,IF(Tim!IR33=Sheet6!$C$7,Sheet6!$C$7,IF(Tim!IR33=Sheet6!$C$8,Sheet6!$C$8,"")))))))</f>
        <v/>
      </c>
      <c r="CW31" s="53" t="str">
        <f>IF(Tim!IZ33=Sheet6!$C$2,Sheet6!$C$2,IF(Tim!IZ33=Sheet6!$C$3,Sheet6!$C$3,IF(Tim!IZ33=Sheet6!$C$4,Sheet6!$C$4,IF(Tim!IZ33=Sheet6!$C$5,Sheet6!$C$5,IF(Tim!IZ33=Sheet6!$C$6,Sheet6!$C$6,IF(Tim!IZ33=Sheet6!$C$7,Sheet6!$C$7,IF(Tim!IZ33=Sheet6!$C$8,Sheet6!$C$8,"")))))))</f>
        <v/>
      </c>
      <c r="CX31" s="53" t="str">
        <f>IF(Tim!JA33=Sheet6!$C$2,Sheet6!$C$2,IF(Tim!JA33=Sheet6!$C$3,Sheet6!$C$3,IF(Tim!JA33=Sheet6!$C$4,Sheet6!$C$4,IF(Tim!JA33=Sheet6!$C$5,Sheet6!$C$5,IF(Tim!JA33=Sheet6!$C$6,Sheet6!$C$6,IF(Tim!JA33=Sheet6!$C$7,Sheet6!$C$7,IF(Tim!JA33=Sheet6!$C$8,Sheet6!$C$8,"")))))))</f>
        <v/>
      </c>
      <c r="CY31" s="53" t="str">
        <f>IF(Tim!JB33=Sheet6!$C$2,Sheet6!$C$2,IF(Tim!JB33=Sheet6!$C$3,Sheet6!$C$3,IF(Tim!JB33=Sheet6!$C$4,Sheet6!$C$4,IF(Tim!JB33=Sheet6!$C$5,Sheet6!$C$5,IF(Tim!JB33=Sheet6!$C$6,Sheet6!$C$6,IF(Tim!JB33=Sheet6!$C$7,Sheet6!$C$7,IF(Tim!JB33=Sheet6!$C$8,Sheet6!$C$8,"")))))))</f>
        <v/>
      </c>
      <c r="CZ31" s="53" t="str">
        <f>IF(Tim!JC33=Sheet6!$C$2,Sheet6!$C$2,IF(Tim!JC33=Sheet6!$C$3,Sheet6!$C$3,IF(Tim!JC33=Sheet6!$C$4,Sheet6!$C$4,IF(Tim!JC33=Sheet6!$C$5,Sheet6!$C$5,IF(Tim!JC33=Sheet6!$C$6,Sheet6!$C$6,IF(Tim!JC33=Sheet6!$C$7,Sheet6!$C$7,IF(Tim!JC33=Sheet6!$C$8,Sheet6!$C$8,"")))))))</f>
        <v/>
      </c>
      <c r="DA31" s="176" t="str">
        <f>IF(Tim!JD33=Sheet6!$C$2,Sheet6!$C$2,IF(Tim!JD33=Sheet6!$C$3,Sheet6!$C$3,IF(Tim!JD33=Sheet6!$C$4,Sheet6!$C$4,IF(Tim!JD33=Sheet6!$C$5,Sheet6!$C$5,IF(Tim!JD33=Sheet6!$C$6,Sheet6!$C$6,IF(Tim!JD33=Sheet6!$C$7,Sheet6!$C$7,IF(Tim!JD33=Sheet6!$C$8,Sheet6!$C$8,"")))))))</f>
        <v/>
      </c>
      <c r="DB31" s="176" t="str">
        <f>IF(Tim!JE33=Sheet6!$C$2,Sheet6!$C$2,IF(Tim!JE33=Sheet6!$C$3,Sheet6!$C$3,IF(Tim!JE33=Sheet6!$C$4,Sheet6!$C$4,IF(Tim!JE33=Sheet6!$C$5,Sheet6!$C$5,IF(Tim!JE33=Sheet6!$C$6,Sheet6!$C$6,IF(Tim!JE33=Sheet6!$C$7,Sheet6!$C$7,IF(Tim!JE33=Sheet6!$C$8,Sheet6!$C$8,"")))))))</f>
        <v/>
      </c>
      <c r="DC31" s="53" t="str">
        <f>IF(Tim!JI33=Sheet6!$C$2,Sheet6!$C$2,IF(Tim!JI33=Sheet6!$C$3,Sheet6!$C$3,IF(Tim!JI33=Sheet6!$C$4,Sheet6!$C$4,IF(Tim!JI33=Sheet6!$C$5,Sheet6!$C$5,IF(Tim!JI33=Sheet6!$C$6,Sheet6!$C$6,IF(Tim!JI33=Sheet6!$C$7,Sheet6!$C$7,IF(Tim!JI33=Sheet6!$C$8,Sheet6!$C$8,"")))))))</f>
        <v/>
      </c>
      <c r="DD31" s="54" t="str">
        <f>IF(Tim!JJ33=Sheet6!$C$2,Sheet6!$C$2,IF(Tim!JJ33=Sheet6!$C$3,Sheet6!$C$3,IF(Tim!JJ33=Sheet6!$C$4,Sheet6!$C$4,IF(Tim!JJ33=Sheet6!$C$5,Sheet6!$C$5,IF(Tim!JJ33=Sheet6!$C$6,Sheet6!$C$6,IF(Tim!JJ33=Sheet6!$C$7,Sheet6!$C$7,IF(Tim!JJ33=Sheet6!$C$8,Sheet6!$C$8,"")))))))</f>
        <v/>
      </c>
      <c r="DE31" s="54" t="str">
        <f>IF(Tim!JK33=Sheet6!$C$2,Sheet6!$C$2,IF(Tim!JK33=Sheet6!$C$3,Sheet6!$C$3,IF(Tim!JK33=Sheet6!$C$4,Sheet6!$C$4,IF(Tim!JK33=Sheet6!$C$5,Sheet6!$C$5,IF(Tim!JK33=Sheet6!$C$6,Sheet6!$C$6,IF(Tim!JK33=Sheet6!$C$7,Sheet6!$C$7,IF(Tim!JK33=Sheet6!$C$8,Sheet6!$C$8,"")))))))</f>
        <v/>
      </c>
      <c r="DF31" s="54" t="str">
        <f>IF(Tim!JL33=Sheet6!$C$2,Sheet6!$C$2,IF(Tim!JL33=Sheet6!$C$3,Sheet6!$C$3,IF(Tim!JL33=Sheet6!$C$4,Sheet6!$C$4,IF(Tim!JL33=Sheet6!$C$5,Sheet6!$C$5,IF(Tim!JL33=Sheet6!$C$6,Sheet6!$C$6,IF(Tim!JL33=Sheet6!$C$7,Sheet6!$C$7,IF(Tim!JL33=Sheet6!$C$8,Sheet6!$C$8,"")))))))</f>
        <v/>
      </c>
      <c r="DG31" s="55" t="str">
        <f>IF(Tim!JM33=Sheet6!$C$2,Sheet6!$C$2,IF(Tim!JM33=Sheet6!$C$3,Sheet6!$C$3,IF(Tim!JM33=Sheet6!$C$4,Sheet6!$C$4,IF(Tim!JM33=Sheet6!$C$5,Sheet6!$C$5,IF(Tim!JM33=Sheet6!$C$6,Sheet6!$C$6,IF(Tim!JM33=Sheet6!$C$7,Sheet6!$C$7,IF(Tim!JM33=Sheet6!$C$8,Sheet6!$C$8,"")))))))</f>
        <v/>
      </c>
      <c r="DH31" s="56" t="str">
        <f>IF(Tim!JN33=Sheet6!$C$2,Sheet6!$C$2,IF(Tim!JN33=Sheet6!$C$3,Sheet6!$C$3,IF(Tim!JN33=Sheet6!$C$4,Sheet6!$C$4,IF(Tim!JN33=Sheet6!$C$5,Sheet6!$C$5,IF(Tim!JN33=Sheet6!$C$6,Sheet6!$C$6,IF(Tim!JN33=Sheet6!$C$7,Sheet6!$C$7,IF(Tim!JN33=Sheet6!$C$8,Sheet6!$C$8,"")))))))</f>
        <v/>
      </c>
      <c r="DI31" s="57" t="str">
        <f>IF(Tim!JS33=Sheet6!$C$2,Sheet6!$C$2,IF(Tim!JS33=Sheet6!$C$3,Sheet6!$C$3,IF(Tim!JS33=Sheet6!$C$4,Sheet6!$C$4,IF(Tim!JS33=Sheet6!$C$5,Sheet6!$C$5,IF(Tim!JS33=Sheet6!$C$6,Sheet6!$C$6,IF(Tim!JS33=Sheet6!$C$7,Sheet6!$C$7,IF(Tim!JS33=Sheet6!$C$8,Sheet6!$C$8,"")))))))</f>
        <v/>
      </c>
      <c r="DJ31" s="57" t="str">
        <f>IF(Tim!KB33=Sheet6!$C$2,Sheet6!$C$2,IF(Tim!KB33=Sheet6!$C$3,Sheet6!$C$3,IF(Tim!KB33=Sheet6!$C$4,Sheet6!$C$4,IF(Tim!KB33=Sheet6!$C$5,Sheet6!$C$5,IF(Tim!KB33=Sheet6!$C$6,Sheet6!$C$6,IF(Tim!KB33=Sheet6!$C$7,Sheet6!$C$7,IF(Tim!KB33=Sheet6!$C$8,Sheet6!$C$8,"")))))))</f>
        <v/>
      </c>
      <c r="DK31" s="57" t="str">
        <f>IF(Tim!KI33=Sheet6!$C$2,Sheet6!$C$2,IF(Tim!KI33=Sheet6!$C$3,Sheet6!$C$3,IF(Tim!KI33=Sheet6!$C$4,Sheet6!$C$4,IF(Tim!KI33=Sheet6!$C$5,Sheet6!$C$5,IF(Tim!KI33=Sheet6!$C$6,Sheet6!$C$6,IF(Tim!KI33=Sheet6!$C$7,Sheet6!$C$7,IF(Tim!KI33=Sheet6!$C$8,Sheet6!$C$8,"")))))))</f>
        <v/>
      </c>
      <c r="DL31" s="53" t="str">
        <f>IF(Tim!KJ33=Sheet6!$C$2,Sheet6!$C$2,IF(Tim!KJ33=Sheet6!$C$3,Sheet6!$C$3,IF(Tim!KJ33=Sheet6!$C$4,Sheet6!$C$4,IF(Tim!KJ33=Sheet6!$C$5,Sheet6!$C$5,IF(Tim!KJ33=Sheet6!$C$6,Sheet6!$C$6,IF(Tim!KJ33=Sheet6!$C$7,Sheet6!$C$7,IF(Tim!KJ33=Sheet6!$C$8,Sheet6!$C$8,"")))))))</f>
        <v/>
      </c>
      <c r="DM31" s="53" t="str">
        <f>IF(Tim!KR33=Sheet6!$C$2,Sheet6!$C$2,IF(Tim!KR33=Sheet6!$C$3,Sheet6!$C$3,IF(Tim!KR33=Sheet6!$C$4,Sheet6!$C$4,IF(Tim!KR33=Sheet6!$C$5,Sheet6!$C$5,IF(Tim!KR33=Sheet6!$C$6,Sheet6!$C$6,IF(Tim!KR33=Sheet6!$C$7,Sheet6!$C$7,IF(Tim!KR33=Sheet6!$C$8,Sheet6!$C$8,"")))))))</f>
        <v/>
      </c>
      <c r="DN31" s="53" t="str">
        <f>IF(Tim!KS33=Sheet6!$C$2,Sheet6!$C$2,IF(Tim!KS33=Sheet6!$C$3,Sheet6!$C$3,IF(Tim!KS33=Sheet6!$C$4,Sheet6!$C$4,IF(Tim!KS33=Sheet6!$C$5,Sheet6!$C$5,IF(Tim!KS33=Sheet6!$C$6,Sheet6!$C$6,IF(Tim!KS33=Sheet6!$C$7,Sheet6!$C$7,IF(Tim!KS33=Sheet6!$C$8,Sheet6!$C$8,"")))))))</f>
        <v/>
      </c>
      <c r="DO31" s="53" t="str">
        <f>IF(Tim!KT33=Sheet6!$C$2,Sheet6!$C$2,IF(Tim!KT33=Sheet6!$C$3,Sheet6!$C$3,IF(Tim!KT33=Sheet6!$C$4,Sheet6!$C$4,IF(Tim!KT33=Sheet6!$C$5,Sheet6!$C$5,IF(Tim!KT33=Sheet6!$C$6,Sheet6!$C$6,IF(Tim!KT33=Sheet6!$C$7,Sheet6!$C$7,IF(Tim!KT33=Sheet6!$C$8,Sheet6!$C$8,"")))))))</f>
        <v/>
      </c>
      <c r="DP31" s="53" t="str">
        <f>IF(Tim!KU33=Sheet6!$C$2,Sheet6!$C$2,IF(Tim!KU33=Sheet6!$C$3,Sheet6!$C$3,IF(Tim!KU33=Sheet6!$C$4,Sheet6!$C$4,IF(Tim!KU33=Sheet6!$C$5,Sheet6!$C$5,IF(Tim!KU33=Sheet6!$C$6,Sheet6!$C$6,IF(Tim!KU33=Sheet6!$C$7,Sheet6!$C$7,IF(Tim!KU33=Sheet6!$C$8,Sheet6!$C$8,"")))))))</f>
        <v/>
      </c>
      <c r="DQ31" s="53" t="str">
        <f>IF(Tim!KV33=Sheet6!$C$2,Sheet6!$C$2,IF(Tim!KV33=Sheet6!$C$3,Sheet6!$C$3,IF(Tim!KV33=Sheet6!$C$4,Sheet6!$C$4,IF(Tim!KV33=Sheet6!$C$5,Sheet6!$C$5,IF(Tim!KV33=Sheet6!$C$6,Sheet6!$C$6,IF(Tim!KV33=Sheet6!$C$7,Sheet6!$C$7,IF(Tim!KV33=Sheet6!$C$8,Sheet6!$C$8,"")))))))</f>
        <v/>
      </c>
      <c r="DR31" s="53" t="str">
        <f>IF(Tim!KW33=Sheet6!$C$2,Sheet6!$C$2,IF(Tim!KW33=Sheet6!$C$3,Sheet6!$C$3,IF(Tim!KW33=Sheet6!$C$4,Sheet6!$C$4,IF(Tim!KW33=Sheet6!$C$5,Sheet6!$C$5,IF(Tim!KW33=Sheet6!$C$6,Sheet6!$C$6,IF(Tim!KW33=Sheet6!$C$7,Sheet6!$C$7,IF(Tim!KW33=Sheet6!$C$8,Sheet6!$C$8,"")))))))</f>
        <v/>
      </c>
      <c r="DS31" s="53" t="str">
        <f>IF(Tim!LA33=Sheet6!$C$2,Sheet6!$C$2,IF(Tim!LA33=Sheet6!$C$3,Sheet6!$C$3,IF(Tim!LA33=Sheet6!$C$4,Sheet6!$C$4,IF(Tim!LA33=Sheet6!$C$5,Sheet6!$C$5,IF(Tim!LA33=Sheet6!$C$6,Sheet6!$C$6,IF(Tim!LA33=Sheet6!$C$7,Sheet6!$C$7,IF(Tim!LA33=Sheet6!$C$8,Sheet6!$C$8,"")))))))</f>
        <v/>
      </c>
      <c r="DT31" s="54" t="str">
        <f>IF(Tim!LB33=Sheet6!$C$2,Sheet6!$C$2,IF(Tim!LB33=Sheet6!$C$3,Sheet6!$C$3,IF(Tim!LB33=Sheet6!$C$4,Sheet6!$C$4,IF(Tim!LB33=Sheet6!$C$5,Sheet6!$C$5,IF(Tim!LB33=Sheet6!$C$6,Sheet6!$C$6,IF(Tim!LB33=Sheet6!$C$7,Sheet6!$C$7,IF(Tim!LB33=Sheet6!$C$8,Sheet6!$C$8,"")))))))</f>
        <v/>
      </c>
      <c r="DU31" s="54" t="str">
        <f>IF(Tim!LC33=Sheet6!$C$2,Sheet6!$C$2,IF(Tim!LC33=Sheet6!$C$3,Sheet6!$C$3,IF(Tim!LC33=Sheet6!$C$4,Sheet6!$C$4,IF(Tim!LC33=Sheet6!$C$5,Sheet6!$C$5,IF(Tim!LC33=Sheet6!$C$6,Sheet6!$C$6,IF(Tim!LC33=Sheet6!$C$7,Sheet6!$C$7,IF(Tim!LC33=Sheet6!$C$8,Sheet6!$C$8,"")))))))</f>
        <v/>
      </c>
      <c r="DV31" s="54" t="str">
        <f>IF(Tim!LD33=Sheet6!$C$2,Sheet6!$C$2,IF(Tim!LD33=Sheet6!$C$3,Sheet6!$C$3,IF(Tim!LD33=Sheet6!$C$4,Sheet6!$C$4,IF(Tim!LD33=Sheet6!$C$5,Sheet6!$C$5,IF(Tim!LD33=Sheet6!$C$6,Sheet6!$C$6,IF(Tim!LD33=Sheet6!$C$7,Sheet6!$C$7,IF(Tim!LD33=Sheet6!$C$8,Sheet6!$C$8,"")))))))</f>
        <v/>
      </c>
      <c r="DW31" s="55" t="str">
        <f>IF(Tim!LE33=Sheet6!$C$2,Sheet6!$C$2,IF(Tim!LE33=Sheet6!$C$3,Sheet6!$C$3,IF(Tim!LE33=Sheet6!$C$4,Sheet6!$C$4,IF(Tim!LE33=Sheet6!$C$5,Sheet6!$C$5,IF(Tim!LE33=Sheet6!$C$6,Sheet6!$C$6,IF(Tim!LE33=Sheet6!$C$7,Sheet6!$C$7,IF(Tim!LE33=Sheet6!$C$8,Sheet6!$C$8,"")))))))</f>
        <v/>
      </c>
      <c r="DX31" s="52">
        <v>0.562499999999999</v>
      </c>
    </row>
    <row r="32" spans="2:128" ht="10.5" customHeight="1">
      <c r="B32" s="51">
        <v>0.25</v>
      </c>
      <c r="C32" s="51">
        <v>0.25</v>
      </c>
      <c r="D32" s="51">
        <v>0.25</v>
      </c>
      <c r="E32" s="52">
        <v>0.57291666666666596</v>
      </c>
      <c r="F32" s="53" t="str">
        <f>IF(Tim!F34=Sheet6!$C$2,Sheet6!$C$2,IF(Tim!F34=Sheet6!$C$3,Sheet6!$C$3,IF(Tim!F34=Sheet6!$C$4,Sheet6!$C$4,IF(Tim!F34=Sheet6!$C$5,Sheet6!$C$5,IF(Tim!F34=Sheet6!$C$6,Sheet6!$C$6,IF(Tim!F34=Sheet6!$C$7,Sheet6!$C$7,IF(Tim!F34=Sheet6!$C$8,Sheet6!$C$8,"")))))))</f>
        <v/>
      </c>
      <c r="G32" s="53" t="str">
        <f>IF(Tim!G34=Sheet6!$C$2,Sheet6!$C$2,IF(Tim!G34=Sheet6!$C$3,Sheet6!$C$3,IF(Tim!G34=Sheet6!$C$4,Sheet6!$C$4,IF(Tim!G34=Sheet6!$C$5,Sheet6!$C$5,IF(Tim!G34=Sheet6!$C$6,Sheet6!$C$6,IF(Tim!G34=Sheet6!$C$7,Sheet6!$C$7,IF(Tim!G34=Sheet6!$C$8,Sheet6!$C$8,"")))))))</f>
        <v/>
      </c>
      <c r="H32" s="53" t="str">
        <f>IF(Tim!H34=Sheet6!$C$2,Sheet6!$C$2,IF(Tim!H34=Sheet6!$C$3,Sheet6!$C$3,IF(Tim!H34=Sheet6!$C$4,Sheet6!$C$4,IF(Tim!H34=Sheet6!$C$5,Sheet6!$C$5,IF(Tim!H34=Sheet6!$C$6,Sheet6!$C$6,IF(Tim!H34=Sheet6!$C$7,Sheet6!$C$7,IF(Tim!H34=Sheet6!$C$8,Sheet6!$C$8,"")))))))</f>
        <v/>
      </c>
      <c r="I32" s="53" t="str">
        <f>IF(Tim!L34=Sheet6!$C$2,Sheet6!$C$2,IF(Tim!L34=Sheet6!$C$3,Sheet6!$C$3,IF(Tim!L34=Sheet6!$C$4,Sheet6!$C$4,IF(Tim!L34=Sheet6!$C$5,Sheet6!$C$5,IF(Tim!L34=Sheet6!$C$6,Sheet6!$C$6,IF(Tim!L34=Sheet6!$C$7,Sheet6!$C$7,IF(Tim!L34=Sheet6!$C$8,Sheet6!$C$8,"")))))))</f>
        <v/>
      </c>
      <c r="J32" s="53" t="str">
        <f>IF(Tim!T34=Sheet6!$C$2,Sheet6!$C$2,IF(Tim!T34=Sheet6!$C$3,Sheet6!$C$3,IF(Tim!T34=Sheet6!$C$4,Sheet6!$C$4,IF(Tim!T34=Sheet6!$C$5,Sheet6!$C$5,IF(Tim!T34=Sheet6!$C$6,Sheet6!$C$6,IF(Tim!T34=Sheet6!$C$7,Sheet6!$C$7,IF(Tim!T34=Sheet6!$C$8,Sheet6!$C$8,"")))))))</f>
        <v/>
      </c>
      <c r="K32" s="53" t="str">
        <f>IF(Tim!AB34=Sheet6!$C$2,Sheet6!$C$2,IF(Tim!AB34=Sheet6!$C$3,Sheet6!$C$3,IF(Tim!AB34=Sheet6!$C$4,Sheet6!$C$4,IF(Tim!AB34=Sheet6!$C$5,Sheet6!$C$5,IF(Tim!AB34=Sheet6!$C$6,Sheet6!$C$6,IF(Tim!AB34=Sheet6!$C$7,Sheet6!$C$7,IF(Tim!AB34=Sheet6!$C$8,Sheet6!$C$8,"")))))))</f>
        <v/>
      </c>
      <c r="L32" s="181" t="str">
        <f>IF(Tim!AC34=Sheet6!$C$2,Sheet6!$C$2,IF(Tim!AC34=Sheet6!$C$3,Sheet6!$C$3,IF(Tim!AC34=Sheet6!$C$4,Sheet6!$C$4,IF(Tim!AC34=Sheet6!$C$5,Sheet6!$C$5,IF(Tim!AC34=Sheet6!$C$6,Sheet6!$C$6,IF(Tim!AC34=Sheet6!$C$7,Sheet6!$C$7,IF(Tim!AC34=Sheet6!$C$8,Sheet6!$C$8,"")))))))</f>
        <v/>
      </c>
      <c r="M32" s="181" t="str">
        <f>IF(Tim!AJ34=Sheet6!$C$2,Sheet6!$C$2,IF(Tim!AJ34=Sheet6!$C$3,Sheet6!$C$3,IF(Tim!AJ34=Sheet6!$C$4,Sheet6!$C$4,IF(Tim!AJ34=Sheet6!$C$5,Sheet6!$C$5,IF(Tim!AJ34=Sheet6!$C$6,Sheet6!$C$6,IF(Tim!AJ34=Sheet6!$C$7,Sheet6!$C$7,IF(Tim!AJ34=Sheet6!$C$8,Sheet6!$C$8,"")))))))</f>
        <v/>
      </c>
      <c r="N32" s="181" t="str">
        <f>IF(Tim!AK34=Sheet6!$C$2,Sheet6!$C$2,IF(Tim!AK34=Sheet6!$C$3,Sheet6!$C$3,IF(Tim!AK34=Sheet6!$C$4,Sheet6!$C$4,IF(Tim!AK34=Sheet6!$C$5,Sheet6!$C$5,IF(Tim!AK34=Sheet6!$C$6,Sheet6!$C$6,IF(Tim!AK34=Sheet6!$C$7,Sheet6!$C$7,IF(Tim!AK34=Sheet6!$C$8,Sheet6!$C$8,"")))))))</f>
        <v/>
      </c>
      <c r="O32" s="53" t="str">
        <f>IF(Tim!AL34=Sheet6!$C$2,Sheet6!$C$2,IF(Tim!AL34=Sheet6!$C$3,Sheet6!$C$3,IF(Tim!AL34=Sheet6!$C$4,Sheet6!$C$4,IF(Tim!AL34=Sheet6!$C$5,Sheet6!$C$5,IF(Tim!AL34=Sheet6!$C$6,Sheet6!$C$6,IF(Tim!AL34=Sheet6!$C$7,Sheet6!$C$7,IF(Tim!AL34=Sheet6!$C$8,Sheet6!$C$8,"")))))))</f>
        <v/>
      </c>
      <c r="P32" s="53" t="str">
        <f>IF(Tim!AN34=Sheet6!$C$2,Sheet6!$C$2,IF(Tim!AN34=Sheet6!$C$3,Sheet6!$C$3,IF(Tim!AN34=Sheet6!$C$4,Sheet6!$C$4,IF(Tim!AN34=Sheet6!$C$5,Sheet6!$C$5,IF(Tim!AN34=Sheet6!$C$6,Sheet6!$C$6,IF(Tim!AN34=Sheet6!$C$7,Sheet6!$C$7,IF(Tim!AN34=Sheet6!$C$8,Sheet6!$C$8,"")))))))</f>
        <v/>
      </c>
      <c r="Q32" s="53" t="str">
        <f>IF(Tim!AO34=Sheet6!$C$2,Sheet6!$C$2,IF(Tim!AO34=Sheet6!$C$3,Sheet6!$C$3,IF(Tim!AO34=Sheet6!$C$4,Sheet6!$C$4,IF(Tim!AO34=Sheet6!$C$5,Sheet6!$C$5,IF(Tim!AO34=Sheet6!$C$6,Sheet6!$C$6,IF(Tim!AO34=Sheet6!$C$7,Sheet6!$C$7,IF(Tim!AO34=Sheet6!$C$8,Sheet6!$C$8,"")))))))</f>
        <v/>
      </c>
      <c r="R32" s="53" t="str">
        <f>IF(Tim!AP34=Sheet6!$C$2,Sheet6!$C$2,IF(Tim!AP34=Sheet6!$C$3,Sheet6!$C$3,IF(Tim!AP34=Sheet6!$C$4,Sheet6!$C$4,IF(Tim!AP34=Sheet6!$C$5,Sheet6!$C$5,IF(Tim!AP34=Sheet6!$C$6,Sheet6!$C$6,IF(Tim!AP34=Sheet6!$C$7,Sheet6!$C$7,IF(Tim!AP34=Sheet6!$C$8,Sheet6!$C$8,"")))))))</f>
        <v/>
      </c>
      <c r="S32" s="53" t="str">
        <f>IF(Tim!AT34=Sheet6!$C$2,Sheet6!$C$2,IF(Tim!AT34=Sheet6!$C$3,Sheet6!$C$3,IF(Tim!AT34=Sheet6!$C$4,Sheet6!$C$4,IF(Tim!AT34=Sheet6!$C$5,Sheet6!$C$5,IF(Tim!AT34=Sheet6!$C$6,Sheet6!$C$6,IF(Tim!AT34=Sheet6!$C$7,Sheet6!$C$7,IF(Tim!AT34=Sheet6!$C$8,Sheet6!$C$8,"")))))))</f>
        <v/>
      </c>
      <c r="T32" s="54" t="str">
        <f>IF(Tim!AU34=Sheet6!$C$2,Sheet6!$C$2,IF(Tim!AU34=Sheet6!$C$3,Sheet6!$C$3,IF(Tim!AU34=Sheet6!$C$4,Sheet6!$C$4,IF(Tim!AU34=Sheet6!$C$5,Sheet6!$C$5,IF(Tim!AU34=Sheet6!$C$6,Sheet6!$C$6,IF(Tim!AU34=Sheet6!$C$7,Sheet6!$C$7,IF(Tim!AU34=Sheet6!$C$8,Sheet6!$C$8,"")))))))</f>
        <v/>
      </c>
      <c r="U32" s="54" t="str">
        <f>IF(Tim!AV34=Sheet6!$C$2,Sheet6!$C$2,IF(Tim!AV34=Sheet6!$C$3,Sheet6!$C$3,IF(Tim!AV34=Sheet6!$C$4,Sheet6!$C$4,IF(Tim!AV34=Sheet6!$C$5,Sheet6!$C$5,IF(Tim!AV34=Sheet6!$C$6,Sheet6!$C$6,IF(Tim!AV34=Sheet6!$C$7,Sheet6!$C$7,IF(Tim!AV34=Sheet6!$C$8,Sheet6!$C$8,"")))))))</f>
        <v/>
      </c>
      <c r="V32" s="54" t="str">
        <f>IF(Tim!AW34=Sheet6!$C$2,Sheet6!$C$2,IF(Tim!AW34=Sheet6!$C$3,Sheet6!$C$3,IF(Tim!AW34=Sheet6!$C$4,Sheet6!$C$4,IF(Tim!AW34=Sheet6!$C$5,Sheet6!$C$5,IF(Tim!AW34=Sheet6!$C$6,Sheet6!$C$6,IF(Tim!AW34=Sheet6!$C$7,Sheet6!$C$7,IF(Tim!AW34=Sheet6!$C$8,Sheet6!$C$8,"")))))))</f>
        <v/>
      </c>
      <c r="W32" s="55" t="str">
        <f>IF(Tim!AX34=Sheet6!$C$2,Sheet6!$C$2,IF(Tim!AX34=Sheet6!$C$3,Sheet6!$C$3,IF(Tim!AX34=Sheet6!$C$4,Sheet6!$C$4,IF(Tim!AX34=Sheet6!$C$5,Sheet6!$C$5,IF(Tim!AX34=Sheet6!$C$6,Sheet6!$C$6,IF(Tim!AX34=Sheet6!$C$7,Sheet6!$C$7,IF(Tim!AX34=Sheet6!$C$8,Sheet6!$C$8,"")))))))</f>
        <v/>
      </c>
      <c r="X32" s="53" t="str">
        <f>IF(Tim!AY34=Sheet6!$C$2,Sheet6!$C$2,IF(Tim!AY34=Sheet6!$C$3,Sheet6!$C$3,IF(Tim!AY34=Sheet6!$C$4,Sheet6!$C$4,IF(Tim!AY34=Sheet6!$C$5,Sheet6!$C$5,IF(Tim!AY34=Sheet6!$C$6,Sheet6!$C$6,IF(Tim!AY34=Sheet6!$C$7,Sheet6!$C$7,IF(Tim!AY34=Sheet6!$C$8,Sheet6!$C$8,"")))))))</f>
        <v/>
      </c>
      <c r="Y32" s="57" t="str">
        <f>IF(Tim!AZ34=Sheet6!$C$2,Sheet6!$C$2,IF(Tim!AZ34=Sheet6!$C$3,Sheet6!$C$3,IF(Tim!AZ34=Sheet6!$C$4,Sheet6!$C$4,IF(Tim!AZ34=Sheet6!$C$5,Sheet6!$C$5,IF(Tim!AZ34=Sheet6!$C$6,Sheet6!$C$6,IF(Tim!AZ34=Sheet6!$C$7,Sheet6!$C$7,IF(Tim!AZ34=Sheet6!$C$8,Sheet6!$C$8,"")))))))</f>
        <v/>
      </c>
      <c r="Z32" s="53" t="str">
        <f>IF(Tim!BD34=Sheet6!$C$2,Sheet6!$C$2,IF(Tim!BD34=Sheet6!$C$3,Sheet6!$C$3,IF(Tim!BD34=Sheet6!$C$4,Sheet6!$C$4,IF(Tim!BD34=Sheet6!$C$5,Sheet6!$C$5,IF(Tim!BD34=Sheet6!$C$6,Sheet6!$C$6,IF(Tim!BD34=Sheet6!$C$7,Sheet6!$C$7,IF(Tim!BD34=Sheet6!$C$8,Sheet6!$C$8,"")))))))</f>
        <v/>
      </c>
      <c r="AA32" s="53" t="str">
        <f>IF(Tim!BE34=Sheet6!$C$2,Sheet6!$C$2,IF(Tim!BE34=Sheet6!$C$3,Sheet6!$C$3,IF(Tim!BE34=Sheet6!$C$4,Sheet6!$C$4,IF(Tim!BE34=Sheet6!$C$5,Sheet6!$C$5,IF(Tim!BE34=Sheet6!$C$6,Sheet6!$C$6,IF(Tim!BE34=Sheet6!$C$7,Sheet6!$C$7,IF(Tim!BE34=Sheet6!$C$8,Sheet6!$C$8,"")))))))</f>
        <v/>
      </c>
      <c r="AB32" s="57" t="str">
        <f>IF(Tim!BL34=Sheet6!$C$2,Sheet6!$C$2,IF(Tim!BL34=Sheet6!$C$3,Sheet6!$C$3,IF(Tim!BL34=Sheet6!$C$4,Sheet6!$C$4,IF(Tim!BL34=Sheet6!$C$5,Sheet6!$C$5,IF(Tim!BL34=Sheet6!$C$6,Sheet6!$C$6,IF(Tim!BL34=Sheet6!$C$7,Sheet6!$C$7,IF(Tim!BL34=Sheet6!$C$8,Sheet6!$C$8,"")))))))</f>
        <v/>
      </c>
      <c r="AC32" s="53" t="str">
        <f>IF(Tim!BT34=Sheet6!$C$2,Sheet6!$C$2,IF(Tim!BT34=Sheet6!$C$3,Sheet6!$C$3,IF(Tim!BT34=Sheet6!$C$4,Sheet6!$C$4,IF(Tim!BT34=Sheet6!$C$5,Sheet6!$C$5,IF(Tim!BT34=Sheet6!$C$6,Sheet6!$C$6,IF(Tim!BT34=Sheet6!$C$7,Sheet6!$C$7,IF(Tim!BT34=Sheet6!$C$8,Sheet6!$C$8,"")))))))</f>
        <v/>
      </c>
      <c r="AD32" s="181" t="str">
        <f>IF(Tim!BU34=Sheet6!$C$2,Sheet6!$C$2,IF(Tim!BU34=Sheet6!$C$3,Sheet6!$C$3,IF(Tim!BU34=Sheet6!$C$4,Sheet6!$C$4,IF(Tim!BU34=Sheet6!$C$5,Sheet6!$C$5,IF(Tim!BU34=Sheet6!$C$6,Sheet6!$C$6,IF(Tim!BU34=Sheet6!$C$7,Sheet6!$C$7,IF(Tim!BU34=Sheet6!$C$8,Sheet6!$C$8,"")))))))</f>
        <v/>
      </c>
      <c r="AE32" s="181" t="str">
        <f>IF(Tim!CB34=Sheet6!$C$2,Sheet6!$C$2,IF(Tim!CB34=Sheet6!$C$3,Sheet6!$C$3,IF(Tim!CB34=Sheet6!$C$4,Sheet6!$C$4,IF(Tim!CB34=Sheet6!$C$5,Sheet6!$C$5,IF(Tim!CB34=Sheet6!$C$6,Sheet6!$C$6,IF(Tim!CB34=Sheet6!$C$7,Sheet6!$C$7,IF(Tim!CB34=Sheet6!$C$8,Sheet6!$C$8,"")))))))</f>
        <v/>
      </c>
      <c r="AF32" s="181" t="str">
        <f>IF(Tim!CD34=Sheet6!$C$2,Sheet6!$C$2,IF(Tim!CD34=Sheet6!$C$3,Sheet6!$C$3,IF(Tim!CD34=Sheet6!$C$4,Sheet6!$C$4,IF(Tim!CD34=Sheet6!$C$5,Sheet6!$C$5,IF(Tim!CD34=Sheet6!$C$6,Sheet6!$C$6,IF(Tim!CD34=Sheet6!$C$7,Sheet6!$C$7,IF(Tim!CD34=Sheet6!$C$8,Sheet6!$C$8,"")))))))</f>
        <v/>
      </c>
      <c r="AG32" s="63" t="str">
        <f>IF(Tim!CE34=Sheet6!$C$2,Sheet6!$C$2,IF(Tim!CE34=Sheet6!$C$3,Sheet6!$C$3,IF(Tim!CE34=Sheet6!$C$4,Sheet6!$C$4,IF(Tim!CE34=Sheet6!$C$5,Sheet6!$C$5,IF(Tim!CE34=Sheet6!$C$6,Sheet6!$C$6,IF(Tim!CE34=Sheet6!$C$7,Sheet6!$C$7,IF(Tim!CE34=Sheet6!$C$8,Sheet6!$C$8,"")))))))</f>
        <v/>
      </c>
      <c r="AH32" s="63" t="str">
        <f>IF(Tim!CF34=Sheet6!$C$2,Sheet6!$C$2,IF(Tim!CF34=Sheet6!$C$3,Sheet6!$C$3,IF(Tim!CF34=Sheet6!$C$4,Sheet6!$C$4,IF(Tim!CF34=Sheet6!$C$5,Sheet6!$C$5,IF(Tim!CF34=Sheet6!$C$6,Sheet6!$C$6,IF(Tim!CF34=Sheet6!$C$7,Sheet6!$C$7,IF(Tim!CF34=Sheet6!$C$8,Sheet6!$C$8,"")))))))</f>
        <v/>
      </c>
      <c r="AI32" s="178" t="str">
        <f>IF(Tim!CG34=Sheet6!$C$2,Sheet6!$C$2,IF(Tim!CG34=Sheet6!$C$3,Sheet6!$C$3,IF(Tim!CG34=Sheet6!$C$4,Sheet6!$C$4,IF(Tim!CG34=Sheet6!$C$5,Sheet6!$C$5,IF(Tim!CG34=Sheet6!$C$6,Sheet6!$C$6,IF(Tim!CG34=Sheet6!$C$7,Sheet6!$C$7,IF(Tim!CG34=Sheet6!$C$8,Sheet6!$C$8,"")))))))</f>
        <v/>
      </c>
      <c r="AJ32" s="53" t="str">
        <f>IF(Tim!CH34=Sheet6!$C$2,Sheet6!$C$2,IF(Tim!CH34=Sheet6!$C$3,Sheet6!$C$3,IF(Tim!CH34=Sheet6!$C$4,Sheet6!$C$4,IF(Tim!CH34=Sheet6!$C$5,Sheet6!$C$5,IF(Tim!CH34=Sheet6!$C$6,Sheet6!$C$6,IF(Tim!CH34=Sheet6!$C$7,Sheet6!$C$7,IF(Tim!CH34=Sheet6!$C$8,Sheet6!$C$8,"")))))))</f>
        <v/>
      </c>
      <c r="AK32" s="53" t="str">
        <f>IF(Tim!CL34=Sheet6!$C$2,Sheet6!$C$2,IF(Tim!CL34=Sheet6!$C$3,Sheet6!$C$3,IF(Tim!CL34=Sheet6!$C$4,Sheet6!$C$4,IF(Tim!CL34=Sheet6!$C$5,Sheet6!$C$5,IF(Tim!CL34=Sheet6!$C$6,Sheet6!$C$6,IF(Tim!CL34=Sheet6!$C$7,Sheet6!$C$7,IF(Tim!CL34=Sheet6!$C$8,Sheet6!$C$8,"")))))))</f>
        <v/>
      </c>
      <c r="AL32" s="54" t="str">
        <f>IF(Tim!CM34=Sheet6!$C$2,Sheet6!$C$2,IF(Tim!CM34=Sheet6!$C$3,Sheet6!$C$3,IF(Tim!CM34=Sheet6!$C$4,Sheet6!$C$4,IF(Tim!CM34=Sheet6!$C$5,Sheet6!$C$5,IF(Tim!CM34=Sheet6!$C$6,Sheet6!$C$6,IF(Tim!CM34=Sheet6!$C$7,Sheet6!$C$7,IF(Tim!CM34=Sheet6!$C$8,Sheet6!$C$8,"")))))))</f>
        <v/>
      </c>
      <c r="AM32" s="54" t="str">
        <f>IF(Tim!CN34=Sheet6!$C$2,Sheet6!$C$2,IF(Tim!CN34=Sheet6!$C$3,Sheet6!$C$3,IF(Tim!CN34=Sheet6!$C$4,Sheet6!$C$4,IF(Tim!CN34=Sheet6!$C$5,Sheet6!$C$5,IF(Tim!CN34=Sheet6!$C$6,Sheet6!$C$6,IF(Tim!CN34=Sheet6!$C$7,Sheet6!$C$7,IF(Tim!CN34=Sheet6!$C$8,Sheet6!$C$8,"")))))))</f>
        <v/>
      </c>
      <c r="AN32" s="54" t="str">
        <f>IF(Tim!CO34=Sheet6!$C$2,Sheet6!$C$2,IF(Tim!CO34=Sheet6!$C$3,Sheet6!$C$3,IF(Tim!CO34=Sheet6!$C$4,Sheet6!$C$4,IF(Tim!CO34=Sheet6!$C$5,Sheet6!$C$5,IF(Tim!CO34=Sheet6!$C$6,Sheet6!$C$6,IF(Tim!CO34=Sheet6!$C$7,Sheet6!$C$7,IF(Tim!CO34=Sheet6!$C$8,Sheet6!$C$8,"")))))))</f>
        <v/>
      </c>
      <c r="AO32" s="55" t="str">
        <f>IF(Tim!CP34=Sheet6!$C$2,Sheet6!$C$2,IF(Tim!CP34=Sheet6!$C$3,Sheet6!$C$3,IF(Tim!CP34=Sheet6!$C$4,Sheet6!$C$4,IF(Tim!CP34=Sheet6!$C$5,Sheet6!$C$5,IF(Tim!CP34=Sheet6!$C$6,Sheet6!$C$6,IF(Tim!CP34=Sheet6!$C$7,Sheet6!$C$7,IF(Tim!CP34=Sheet6!$C$8,Sheet6!$C$8,"")))))))</f>
        <v/>
      </c>
      <c r="AP32" s="53" t="str">
        <f>IF(Tim!CQ34=Sheet6!$C$2,Sheet6!$C$2,IF(Tim!CQ34=Sheet6!$C$3,Sheet6!$C$3,IF(Tim!CQ34=Sheet6!$C$4,Sheet6!$C$4,IF(Tim!CQ34=Sheet6!$C$5,Sheet6!$C$5,IF(Tim!CQ34=Sheet6!$C$6,Sheet6!$C$6,IF(Tim!CQ34=Sheet6!$C$7,Sheet6!$C$7,IF(Tim!CQ34=Sheet6!$C$8,Sheet6!$C$8,"")))))))</f>
        <v/>
      </c>
      <c r="AQ32" s="57" t="str">
        <f>IF(Tim!CR34=Sheet6!$C$2,Sheet6!$C$2,IF(Tim!CR34=Sheet6!$C$3,Sheet6!$C$3,IF(Tim!CR34=Sheet6!$C$4,Sheet6!$C$4,IF(Tim!CR34=Sheet6!$C$5,Sheet6!$C$5,IF(Tim!CR34=Sheet6!$C$6,Sheet6!$C$6,IF(Tim!CR34=Sheet6!$C$7,Sheet6!$C$7,IF(Tim!CR34=Sheet6!$C$8,Sheet6!$C$8,"")))))))</f>
        <v/>
      </c>
      <c r="AR32" s="57" t="str">
        <f>IF(Tim!CV34=Sheet6!$C$2,Sheet6!$C$2,IF(Tim!CV34=Sheet6!$C$3,Sheet6!$C$3,IF(Tim!CV34=Sheet6!$C$4,Sheet6!$C$4,IF(Tim!CV34=Sheet6!$C$5,Sheet6!$C$5,IF(Tim!CV34=Sheet6!$C$6,Sheet6!$C$6,IF(Tim!CV34=Sheet6!$C$7,Sheet6!$C$7,IF(Tim!CV34=Sheet6!$C$8,Sheet6!$C$8,"")))))))</f>
        <v/>
      </c>
      <c r="AS32" s="57" t="str">
        <f>IF(Tim!CW34=Sheet6!$C$2,Sheet6!$C$2,IF(Tim!CW34=Sheet6!$C$3,Sheet6!$C$3,IF(Tim!CW34=Sheet6!$C$4,Sheet6!$C$4,IF(Tim!CW34=Sheet6!$C$5,Sheet6!$C$5,IF(Tim!CW34=Sheet6!$C$6,Sheet6!$C$6,IF(Tim!CW34=Sheet6!$C$7,Sheet6!$C$7,IF(Tim!CW34=Sheet6!$C$8,Sheet6!$C$8,"")))))))</f>
        <v/>
      </c>
      <c r="AT32" s="57" t="str">
        <f>IF(Tim!DA34=Sheet6!$C$2,Sheet6!$C$2,IF(Tim!DA34=Sheet6!$C$3,Sheet6!$C$3,IF(Tim!DA34=Sheet6!$C$4,Sheet6!$C$4,IF(Tim!DA34=Sheet6!$C$5,Sheet6!$C$5,IF(Tim!DA34=Sheet6!$C$6,Sheet6!$C$6,IF(Tim!DA34=Sheet6!$C$7,Sheet6!$C$7,IF(Tim!DA34=Sheet6!$C$8,Sheet6!$C$8,"")))))))</f>
        <v/>
      </c>
      <c r="AU32" s="53" t="str">
        <f>IF(Tim!DO33=Sheet6!$C$2,Sheet6!$C$2,IF(Tim!DO33=Sheet6!$C$3,Sheet6!$C$3,IF(Tim!DO33=Sheet6!$C$4,Sheet6!$C$4,IF(Tim!DO33=Sheet6!$C$5,Sheet6!$C$5,IF(Tim!DO33=Sheet6!$C$6,Sheet6!$C$6,IF(Tim!DO33=Sheet6!$C$7,Sheet6!$C$7,IF(Tim!DO33=Sheet6!$C$8,Sheet6!$C$8,"")))))))</f>
        <v/>
      </c>
      <c r="AV32" s="181" t="str">
        <f>IF(Tim!DP34=Sheet6!$C$2,Sheet6!$C$2,IF(Tim!DP34=Sheet6!$C$3,Sheet6!$C$3,IF(Tim!DP34=Sheet6!$C$4,Sheet6!$C$4,IF(Tim!DP34=Sheet6!$C$5,Sheet6!$C$5,IF(Tim!DP34=Sheet6!$C$6,Sheet6!$C$6,IF(Tim!DP34=Sheet6!$C$7,Sheet6!$C$7,IF(Tim!DP34=Sheet6!$C$8,Sheet6!$C$8,"")))))))</f>
        <v/>
      </c>
      <c r="AW32" s="181" t="str">
        <f>IF(Tim!DX34=Sheet6!$C$2,Sheet6!$C$2,IF(Tim!DX34=Sheet6!$C$3,Sheet6!$C$3,IF(Tim!DX34=Sheet6!$C$4,Sheet6!$C$4,IF(Tim!DX34=Sheet6!$C$5,Sheet6!$C$5,IF(Tim!DX34=Sheet6!$C$6,Sheet6!$C$6,IF(Tim!DX34=Sheet6!$C$7,Sheet6!$C$7,IF(Tim!DX34=Sheet6!$C$8,Sheet6!$C$8,"")))))))</f>
        <v/>
      </c>
      <c r="AX32" s="181" t="str">
        <f>IF(Tim!DY34=Sheet6!$C$2,Sheet6!$C$2,IF(Tim!DY34=Sheet6!$C$3,Sheet6!$C$3,IF(Tim!DY34=Sheet6!$C$4,Sheet6!$C$4,IF(Tim!DY34=Sheet6!$C$5,Sheet6!$C$5,IF(Tim!DY34=Sheet6!$C$6,Sheet6!$C$6,IF(Tim!DY34=Sheet6!$C$7,Sheet6!$C$7,IF(Tim!DY34=Sheet6!$C$8,Sheet6!$C$8,"")))))))</f>
        <v/>
      </c>
      <c r="AY32" s="63" t="str">
        <f>IF(Tim!DZ34=Sheet6!$C$2,Sheet6!$C$2,IF(Tim!DZ34=Sheet6!$C$3,Sheet6!$C$3,IF(Tim!DZ34=Sheet6!$C$4,Sheet6!$C$4,IF(Tim!DZ34=Sheet6!$C$5,Sheet6!$C$5,IF(Tim!DZ34=Sheet6!$C$6,Sheet6!$C$6,IF(Tim!DZ34=Sheet6!$C$7,Sheet6!$C$7,IF(Tim!DZ34=Sheet6!$C$8,Sheet6!$C$8,"")))))))</f>
        <v/>
      </c>
      <c r="AZ32" s="63" t="str">
        <f>IF(Tim!EA34=Sheet6!$C$2,Sheet6!$C$2,IF(Tim!EA34=Sheet6!$C$3,Sheet6!$C$3,IF(Tim!EA34=Sheet6!$C$4,Sheet6!$C$4,IF(Tim!EA34=Sheet6!$C$5,Sheet6!$C$5,IF(Tim!EA34=Sheet6!$C$6,Sheet6!$C$6,IF(Tim!EA34=Sheet6!$C$7,Sheet6!$C$7,IF(Tim!EA34=Sheet6!$C$8,Sheet6!$C$8,"")))))))</f>
        <v/>
      </c>
      <c r="BA32" s="178" t="str">
        <f>IF(Tim!EB34=Sheet6!$C$2,Sheet6!$C$2,IF(Tim!EB34=Sheet6!$C$3,Sheet6!$C$3,IF(Tim!EB34=Sheet6!$C$4,Sheet6!$C$4,IF(Tim!EB34=Sheet6!$C$5,Sheet6!$C$5,IF(Tim!EB34=Sheet6!$C$6,Sheet6!$C$6,IF(Tim!EB34=Sheet6!$C$7,Sheet6!$C$7,IF(Tim!EB34=Sheet6!$C$8,Sheet6!$C$8,"")))))))</f>
        <v/>
      </c>
      <c r="BB32" s="53" t="str">
        <f>IF(Tim!EC34=Sheet6!$C$2,Sheet6!$C$2,IF(Tim!EC34=Sheet6!$C$3,Sheet6!$C$3,IF(Tim!EC34=Sheet6!$C$4,Sheet6!$C$4,IF(Tim!EC34=Sheet6!$C$5,Sheet6!$C$5,IF(Tim!EC34=Sheet6!$C$6,Sheet6!$C$6,IF(Tim!EC34=Sheet6!$C$7,Sheet6!$C$7,IF(Tim!EC34=Sheet6!$C$8,Sheet6!$C$8,"")))))))</f>
        <v/>
      </c>
      <c r="BC32" s="53" t="str">
        <f>IF(Tim!EG34=Sheet6!$C$2,Sheet6!$C$2,IF(Tim!EG34=Sheet6!$C$3,Sheet6!$C$3,IF(Tim!EG34=Sheet6!$C$4,Sheet6!$C$4,IF(Tim!EG34=Sheet6!$C$5,Sheet6!$C$5,IF(Tim!EG34=Sheet6!$C$6,Sheet6!$C$6,IF(Tim!EG34=Sheet6!$C$7,Sheet6!$C$7,IF(Tim!EG34=Sheet6!$C$8,Sheet6!$C$8,"")))))))</f>
        <v/>
      </c>
      <c r="BD32" s="54" t="str">
        <f>IF(Tim!EH34=Sheet6!$C$2,Sheet6!$C$2,IF(Tim!EH34=Sheet6!$C$3,Sheet6!$C$3,IF(Tim!EH34=Sheet6!$C$4,Sheet6!$C$4,IF(Tim!EH34=Sheet6!$C$5,Sheet6!$C$5,IF(Tim!EH34=Sheet6!$C$6,Sheet6!$C$6,IF(Tim!EH34=Sheet6!$C$7,Sheet6!$C$7,IF(Tim!EH34=Sheet6!$C$8,Sheet6!$C$8,"")))))))</f>
        <v/>
      </c>
      <c r="BE32" s="54" t="str">
        <f>IF(Tim!EI34=Sheet6!$C$2,Sheet6!$C$2,IF(Tim!EI34=Sheet6!$C$3,Sheet6!$C$3,IF(Tim!EI34=Sheet6!$C$4,Sheet6!$C$4,IF(Tim!EI34=Sheet6!$C$5,Sheet6!$C$5,IF(Tim!EI34=Sheet6!$C$6,Sheet6!$C$6,IF(Tim!EI34=Sheet6!$C$7,Sheet6!$C$7,IF(Tim!EI34=Sheet6!$C$8,Sheet6!$C$8,"")))))))</f>
        <v/>
      </c>
      <c r="BF32" s="54" t="str">
        <f>IF(Tim!EJ34=Sheet6!$C$2,Sheet6!$C$2,IF(Tim!EJ34=Sheet6!$C$3,Sheet6!$C$3,IF(Tim!EJ34=Sheet6!$C$4,Sheet6!$C$4,IF(Tim!EJ34=Sheet6!$C$5,Sheet6!$C$5,IF(Tim!EJ34=Sheet6!$C$6,Sheet6!$C$6,IF(Tim!EJ34=Sheet6!$C$7,Sheet6!$C$7,IF(Tim!EJ34=Sheet6!$C$8,Sheet6!$C$8,"")))))))</f>
        <v/>
      </c>
      <c r="BG32" s="55" t="str">
        <f>IF(Tim!EK34=Sheet6!$C$2,Sheet6!$C$2,IF(Tim!EK34=Sheet6!$C$3,Sheet6!$C$3,IF(Tim!EK34=Sheet6!$C$4,Sheet6!$C$4,IF(Tim!EK34=Sheet6!$C$5,Sheet6!$C$5,IF(Tim!EK34=Sheet6!$C$6,Sheet6!$C$6,IF(Tim!EK34=Sheet6!$C$7,Sheet6!$C$7,IF(Tim!EK34=Sheet6!$C$8,Sheet6!$C$8,"")))))))</f>
        <v/>
      </c>
      <c r="BH32" s="53" t="str">
        <f>IF(Tim!EL34=Sheet6!$C$2,Sheet6!$C$2,IF(Tim!EL34=Sheet6!$C$3,Sheet6!$C$3,IF(Tim!EL34=Sheet6!$C$4,Sheet6!$C$4,IF(Tim!EL34=Sheet6!$C$5,Sheet6!$C$5,IF(Tim!EL34=Sheet6!$C$6,Sheet6!$C$6,IF(Tim!EL34=Sheet6!$C$7,Sheet6!$C$7,IF(Tim!EL34=Sheet6!$C$8,Sheet6!$C$8,"")))))))</f>
        <v/>
      </c>
      <c r="BI32" s="53" t="str">
        <f>IF(Tim!EM34=Sheet6!$C$2,Sheet6!$C$2,IF(Tim!EM34=Sheet6!$C$3,Sheet6!$C$3,IF(Tim!EM34=Sheet6!$C$4,Sheet6!$C$4,IF(Tim!EM34=Sheet6!$C$5,Sheet6!$C$5,IF(Tim!EM34=Sheet6!$C$6,Sheet6!$C$6,IF(Tim!EM34=Sheet6!$C$7,Sheet6!$C$7,IF(Tim!EM34=Sheet6!$C$8,Sheet6!$C$8,"")))))))</f>
        <v/>
      </c>
      <c r="BJ32" s="57" t="str">
        <f>IF(Tim!EQ34=Sheet6!$C$2,Sheet6!$C$2,IF(Tim!EQ34=Sheet6!$C$3,Sheet6!$C$3,IF(Tim!EQ34=Sheet6!$C$4,Sheet6!$C$4,IF(Tim!EQ34=Sheet6!$C$5,Sheet6!$C$5,IF(Tim!EQ34=Sheet6!$C$6,Sheet6!$C$6,IF(Tim!EQ34=Sheet6!$C$7,Sheet6!$C$7,IF(Tim!EQ34=Sheet6!$C$8,Sheet6!$C$8,"")))))))</f>
        <v/>
      </c>
      <c r="BK32" s="57" t="str">
        <f>IF(Tim!ER34=Sheet6!$C$2,Sheet6!$C$2,IF(Tim!ER34=Sheet6!$C$3,Sheet6!$C$3,IF(Tim!ER34=Sheet6!$C$4,Sheet6!$C$4,IF(Tim!ER34=Sheet6!$C$5,Sheet6!$C$5,IF(Tim!ER34=Sheet6!$C$6,Sheet6!$C$6,IF(Tim!ER34=Sheet6!$C$7,Sheet6!$C$7,IF(Tim!ER34=Sheet6!$C$8,Sheet6!$C$8,"")))))))</f>
        <v/>
      </c>
      <c r="BL32" s="57" t="str">
        <f>IF(Tim!EZ34=Sheet6!$C$2,Sheet6!$C$2,IF(Tim!EZ34=Sheet6!$C$3,Sheet6!$C$3,IF(Tim!EZ34=Sheet6!$C$4,Sheet6!$C$4,IF(Tim!EZ34=Sheet6!$C$5,Sheet6!$C$5,IF(Tim!EZ34=Sheet6!$C$6,Sheet6!$C$6,IF(Tim!EZ34=Sheet6!$C$7,Sheet6!$C$7,IF(Tim!EZ34=Sheet6!$C$8,Sheet6!$C$8,"")))))))</f>
        <v/>
      </c>
      <c r="BM32" s="53" t="str">
        <f>IF(Tim!FG34=Sheet6!$C$2,Sheet6!$C$2,IF(Tim!FG34=Sheet6!$C$3,Sheet6!$C$3,IF(Tim!FG34=Sheet6!$C$4,Sheet6!$C$4,IF(Tim!FG34=Sheet6!$C$5,Sheet6!$C$5,IF(Tim!FG34=Sheet6!$C$6,Sheet6!$C$6,IF(Tim!FG34=Sheet6!$C$7,Sheet6!$C$7,IF(Tim!FG34=Sheet6!$C$8,Sheet6!$C$8,"")))))))</f>
        <v/>
      </c>
      <c r="BN32" s="181" t="str">
        <f>IF(Tim!FH34=Sheet6!$C$2,Sheet6!$C$2,IF(Tim!FH34=Sheet6!$C$3,Sheet6!$C$3,IF(Tim!FH34=Sheet6!$C$4,Sheet6!$C$4,IF(Tim!FH34=Sheet6!$C$5,Sheet6!$C$5,IF(Tim!FH34=Sheet6!$C$6,Sheet6!$C$6,IF(Tim!FH34=Sheet6!$C$7,Sheet6!$C$7,IF(Tim!FH34=Sheet6!$C$8,Sheet6!$C$8,"")))))))</f>
        <v/>
      </c>
      <c r="BO32" s="181" t="str">
        <f>IF(Tim!FP34=Sheet6!$C$2,Sheet6!$C$2,IF(Tim!FP34=Sheet6!$C$3,Sheet6!$C$3,IF(Tim!FP34=Sheet6!$C$4,Sheet6!$C$4,IF(Tim!FP34=Sheet6!$C$5,Sheet6!$C$5,IF(Tim!FP34=Sheet6!$C$6,Sheet6!$C$6,IF(Tim!FP34=Sheet6!$C$7,Sheet6!$C$7,IF(Tim!FP34=Sheet6!$C$8,Sheet6!$C$8,"")))))))</f>
        <v/>
      </c>
      <c r="BP32" s="181" t="str">
        <f>IF(Tim!FQ34=Sheet6!$C$2,Sheet6!$C$2,IF(Tim!FQ34=Sheet6!$C$3,Sheet6!$C$3,IF(Tim!FQ34=Sheet6!$C$4,Sheet6!$C$4,IF(Tim!FQ34=Sheet6!$C$5,Sheet6!$C$5,IF(Tim!FQ34=Sheet6!$C$6,Sheet6!$C$6,IF(Tim!FQ34=Sheet6!$C$7,Sheet6!$C$7,IF(Tim!FQ34=Sheet6!$C$8,Sheet6!$C$8,"")))))))</f>
        <v/>
      </c>
      <c r="BQ32" s="63" t="str">
        <f>IF(Tim!FR34=Sheet6!$C$2,Sheet6!$C$2,IF(Tim!FR34=Sheet6!$C$3,Sheet6!$C$3,IF(Tim!FR34=Sheet6!$C$4,Sheet6!$C$4,IF(Tim!FR34=Sheet6!$C$5,Sheet6!$C$5,IF(Tim!FR34=Sheet6!$C$6,Sheet6!$C$6,IF(Tim!FR34=Sheet6!$C$7,Sheet6!$C$7,IF(Tim!FR34=Sheet6!$C$8,Sheet6!$C$8,"")))))))</f>
        <v/>
      </c>
      <c r="BR32" s="63" t="str">
        <f>IF(Tim!FS34=Sheet6!$C$2,Sheet6!$C$2,IF(Tim!FS34=Sheet6!$C$3,Sheet6!$C$3,IF(Tim!FS34=Sheet6!$C$4,Sheet6!$C$4,IF(Tim!FS34=Sheet6!$C$5,Sheet6!$C$5,IF(Tim!FS34=Sheet6!$C$6,Sheet6!$C$6,IF(Tim!FS34=Sheet6!$C$7,Sheet6!$C$7,IF(Tim!FS34=Sheet6!$C$8,Sheet6!$C$8,"")))))))</f>
        <v/>
      </c>
      <c r="BS32" s="63" t="str">
        <f>IF(Tim!FT34=Sheet6!$C$2,Sheet6!$C$2,IF(Tim!FT34=Sheet6!$C$3,Sheet6!$C$3,IF(Tim!FT34=Sheet6!$C$4,Sheet6!$C$4,IF(Tim!FT34=Sheet6!$C$5,Sheet6!$C$5,IF(Tim!FT34=Sheet6!$C$6,Sheet6!$C$6,IF(Tim!FT34=Sheet6!$C$7,Sheet6!$C$7,IF(Tim!FT34=Sheet6!$C$8,Sheet6!$C$8,"")))))))</f>
        <v/>
      </c>
      <c r="BT32" s="53" t="str">
        <f>IF(Tim!FU34=Sheet6!$C$2,Sheet6!$C$2,IF(Tim!FU34=Sheet6!$C$3,Sheet6!$C$3,IF(Tim!FU34=Sheet6!$C$4,Sheet6!$C$4,IF(Tim!FU34=Sheet6!$C$5,Sheet6!$C$5,IF(Tim!FU34=Sheet6!$C$6,Sheet6!$C$6,IF(Tim!FU34=Sheet6!$C$7,Sheet6!$C$7,IF(Tim!FU34=Sheet6!$C$8,Sheet6!$C$8,"")))))))</f>
        <v/>
      </c>
      <c r="BU32" s="53" t="str">
        <f>IF(Tim!FY34=Sheet6!$C$2,Sheet6!$C$2,IF(Tim!FY34=Sheet6!$C$3,Sheet6!$C$3,IF(Tim!FY34=Sheet6!$C$4,Sheet6!$C$4,IF(Tim!FY34=Sheet6!$C$5,Sheet6!$C$5,IF(Tim!FY34=Sheet6!$C$6,Sheet6!$C$6,IF(Tim!FY34=Sheet6!$C$7,Sheet6!$C$7,IF(Tim!FY34=Sheet6!$C$8,Sheet6!$C$8,"")))))))</f>
        <v/>
      </c>
      <c r="BV32" s="54" t="str">
        <f>IF(Tim!FZ34=Sheet6!$C$2,Sheet6!$C$2,IF(Tim!FZ34=Sheet6!$C$3,Sheet6!$C$3,IF(Tim!FZ34=Sheet6!$C$4,Sheet6!$C$4,IF(Tim!FZ34=Sheet6!$C$5,Sheet6!$C$5,IF(Tim!FZ34=Sheet6!$C$6,Sheet6!$C$6,IF(Tim!FZ34=Sheet6!$C$7,Sheet6!$C$7,IF(Tim!FZ34=Sheet6!$C$8,Sheet6!$C$8,"")))))))</f>
        <v/>
      </c>
      <c r="BW32" s="54" t="str">
        <f>IF(Tim!GA34=Sheet6!$C$2,Sheet6!$C$2,IF(Tim!GA34=Sheet6!$C$3,Sheet6!$C$3,IF(Tim!GA34=Sheet6!$C$4,Sheet6!$C$4,IF(Tim!GA34=Sheet6!$C$5,Sheet6!$C$5,IF(Tim!GA34=Sheet6!$C$6,Sheet6!$C$6,IF(Tim!GA34=Sheet6!$C$7,Sheet6!$C$7,IF(Tim!GA34=Sheet6!$C$8,Sheet6!$C$8,"")))))))</f>
        <v/>
      </c>
      <c r="BX32" s="54" t="str">
        <f>IF(Tim!GB34=Sheet6!$C$2,Sheet6!$C$2,IF(Tim!GB34=Sheet6!$C$3,Sheet6!$C$3,IF(Tim!GB34=Sheet6!$C$4,Sheet6!$C$4,IF(Tim!GB34=Sheet6!$C$5,Sheet6!$C$5,IF(Tim!GB34=Sheet6!$C$6,Sheet6!$C$6,IF(Tim!GB34=Sheet6!$C$7,Sheet6!$C$7,IF(Tim!GB34=Sheet6!$C$8,Sheet6!$C$8,"")))))))</f>
        <v/>
      </c>
      <c r="BY32" s="55" t="str">
        <f>IF(Tim!GC34=Sheet6!$C$2,Sheet6!$C$2,IF(Tim!GC34=Sheet6!$C$3,Sheet6!$C$3,IF(Tim!GC34=Sheet6!$C$4,Sheet6!$C$4,IF(Tim!GC34=Sheet6!$C$5,Sheet6!$C$5,IF(Tim!GC34=Sheet6!$C$6,Sheet6!$C$6,IF(Tim!GC34=Sheet6!$C$7,Sheet6!$C$7,IF(Tim!GC34=Sheet6!$C$8,Sheet6!$C$8,"")))))))</f>
        <v/>
      </c>
      <c r="BZ32" s="53" t="str">
        <f>IF(Tim!GD34=Sheet6!$C$2,Sheet6!$C$2,IF(Tim!GD34=Sheet6!$C$3,Sheet6!$C$3,IF(Tim!GD34=Sheet6!$C$4,Sheet6!$C$4,IF(Tim!GD34=Sheet6!$C$5,Sheet6!$C$5,IF(Tim!GD34=Sheet6!$C$6,Sheet6!$C$6,IF(Tim!GD34=Sheet6!$C$7,Sheet6!$C$7,IF(Tim!GD34=Sheet6!$C$8,Sheet6!$C$8,"")))))))</f>
        <v/>
      </c>
      <c r="CA32" s="53" t="str">
        <f>IF(Tim!GE34=Sheet6!$C$2,Sheet6!$C$2,IF(Tim!GE34=Sheet6!$C$3,Sheet6!$C$3,IF(Tim!GE34=Sheet6!$C$4,Sheet6!$C$4,IF(Tim!GE34=Sheet6!$C$5,Sheet6!$C$5,IF(Tim!GE34=Sheet6!$C$6,Sheet6!$C$6,IF(Tim!GE34=Sheet6!$C$7,Sheet6!$C$7,IF(Tim!GE34=Sheet6!$C$8,Sheet6!$C$8,"")))))))</f>
        <v/>
      </c>
      <c r="CB32" s="57" t="str">
        <f>IF(Tim!GI34=Sheet6!$C$2,Sheet6!$C$2,IF(Tim!GI34=Sheet6!$C$3,Sheet6!$C$3,IF(Tim!GI34=Sheet6!$C$4,Sheet6!$C$4,IF(Tim!GI34=Sheet6!$C$5,Sheet6!$C$5,IF(Tim!GI34=Sheet6!$C$6,Sheet6!$C$6,IF(Tim!GI34=Sheet6!$C$7,Sheet6!$C$7,IF(Tim!GI34=Sheet6!$C$8,Sheet6!$C$8,"")))))))</f>
        <v/>
      </c>
      <c r="CC32" s="57" t="str">
        <f>IF(Tim!GJ34=Sheet6!$C$2,Sheet6!$C$2,IF(Tim!GJ34=Sheet6!$C$3,Sheet6!$C$3,IF(Tim!GJ34=Sheet6!$C$4,Sheet6!$C$4,IF(Tim!GJ34=Sheet6!$C$5,Sheet6!$C$5,IF(Tim!GJ34=Sheet6!$C$6,Sheet6!$C$6,IF(Tim!GJ34=Sheet6!$C$7,Sheet6!$C$7,IF(Tim!GJ34=Sheet6!$C$8,Sheet6!$C$8,"")))))))</f>
        <v/>
      </c>
      <c r="CD32" s="57" t="str">
        <f>IF(Tim!GN34=Sheet6!$C$2,Sheet6!$C$2,IF(Tim!GN34=Sheet6!$C$3,Sheet6!$C$3,IF(Tim!GN34=Sheet6!$C$4,Sheet6!$C$4,IF(Tim!GN34=Sheet6!$C$5,Sheet6!$C$5,IF(Tim!GN34=Sheet6!$C$6,Sheet6!$C$6,IF(Tim!GN34=Sheet6!$C$7,Sheet6!$C$7,IF(Tim!GN34=Sheet6!$C$8,Sheet6!$C$8,"")))))))</f>
        <v/>
      </c>
      <c r="CE32" s="53" t="str">
        <f>IF(Tim!GY34=Sheet6!$C$2,Sheet6!$C$2,IF(Tim!GY34=Sheet6!$C$3,Sheet6!$C$3,IF(Tim!GY34=Sheet6!$C$4,Sheet6!$C$4,IF(Tim!GY34=Sheet6!$C$5,Sheet6!$C$5,IF(Tim!GY34=Sheet6!$C$6,Sheet6!$C$6,IF(Tim!GY34=Sheet6!$C$7,Sheet6!$C$7,IF(Tim!GY34=Sheet6!$C$8,Sheet6!$C$8,"")))))))</f>
        <v/>
      </c>
      <c r="CF32" s="181" t="str">
        <f>IF(Tim!GZ34=Sheet6!$C$2,Sheet6!$C$2,IF(Tim!GZ34=Sheet6!$C$3,Sheet6!$C$3,IF(Tim!GZ34=Sheet6!$C$4,Sheet6!$C$4,IF(Tim!GZ34=Sheet6!$C$5,Sheet6!$C$5,IF(Tim!GZ34=Sheet6!$C$6,Sheet6!$C$6,IF(Tim!GZ34=Sheet6!$C$7,Sheet6!$C$7,IF(Tim!GZ34=Sheet6!$C$8,Sheet6!$C$8,"")))))))</f>
        <v/>
      </c>
      <c r="CG32" s="181" t="str">
        <f>IF(Tim!HH34=Sheet6!$C$2,Sheet6!$C$2,IF(Tim!HH34=Sheet6!$C$3,Sheet6!$C$3,IF(Tim!HH34=Sheet6!$C$4,Sheet6!$C$4,IF(Tim!HH34=Sheet6!$C$5,Sheet6!$C$5,IF(Tim!HH34=Sheet6!$C$6,Sheet6!$C$6,IF(Tim!HH34=Sheet6!$C$7,Sheet6!$C$7,IF(Tim!HH34=Sheet6!$C$8,Sheet6!$C$8,"")))))))</f>
        <v/>
      </c>
      <c r="CH32" s="181" t="str">
        <f>IF(Tim!HI34=Sheet6!$C$2,Sheet6!$C$2,IF(Tim!HI34=Sheet6!$C$3,Sheet6!$C$3,IF(Tim!HI34=Sheet6!$C$4,Sheet6!$C$4,IF(Tim!HI34=Sheet6!$C$5,Sheet6!$C$5,IF(Tim!HI34=Sheet6!$C$6,Sheet6!$C$6,IF(Tim!HI34=Sheet6!$C$7,Sheet6!$C$7,IF(Tim!HI34=Sheet6!$C$8,Sheet6!$C$8,"")))))))</f>
        <v/>
      </c>
      <c r="CI32" s="63" t="str">
        <f>IF(Tim!HJ34=Sheet6!$C$2,Sheet6!$C$2,IF(Tim!HJ34=Sheet6!$C$3,Sheet6!$C$3,IF(Tim!HJ34=Sheet6!$C$4,Sheet6!$C$4,IF(Tim!HJ34=Sheet6!$C$5,Sheet6!$C$5,IF(Tim!HJ34=Sheet6!$C$6,Sheet6!$C$6,IF(Tim!HJ34=Sheet6!$C$7,Sheet6!$C$7,IF(Tim!HJ34=Sheet6!$C$8,Sheet6!$C$8,"")))))))</f>
        <v/>
      </c>
      <c r="CJ32" s="63" t="str">
        <f>IF(Tim!HK34=Sheet6!$C$2,Sheet6!$C$2,IF(Tim!HK34=Sheet6!$C$3,Sheet6!$C$3,IF(Tim!HK34=Sheet6!$C$4,Sheet6!$C$4,IF(Tim!HK34=Sheet6!$C$5,Sheet6!$C$5,IF(Tim!HK34=Sheet6!$C$6,Sheet6!$C$6,IF(Tim!HK34=Sheet6!$C$7,Sheet6!$C$7,IF(Tim!HK34=Sheet6!$C$8,Sheet6!$C$8,"")))))))</f>
        <v/>
      </c>
      <c r="CK32" s="63" t="str">
        <f>IF(Tim!HL34=Sheet6!$C$2,Sheet6!$C$2,IF(Tim!HL34=Sheet6!$C$3,Sheet6!$C$3,IF(Tim!HL34=Sheet6!$C$4,Sheet6!$C$4,IF(Tim!HL34=Sheet6!$C$5,Sheet6!$C$5,IF(Tim!HL34=Sheet6!$C$6,Sheet6!$C$6,IF(Tim!HL34=Sheet6!$C$7,Sheet6!$C$7,IF(Tim!HL34=Sheet6!$C$8,Sheet6!$C$8,"")))))))</f>
        <v/>
      </c>
      <c r="CL32" s="53" t="str">
        <f>IF(Tim!HM34=Sheet6!$C$2,Sheet6!$C$2,IF(Tim!HM34=Sheet6!$C$3,Sheet6!$C$3,IF(Tim!HM34=Sheet6!$C$4,Sheet6!$C$4,IF(Tim!HM34=Sheet6!$C$5,Sheet6!$C$5,IF(Tim!HM34=Sheet6!$C$6,Sheet6!$C$6,IF(Tim!HM34=Sheet6!$C$7,Sheet6!$C$7,IF(Tim!HM34=Sheet6!$C$8,Sheet6!$C$8,"")))))))</f>
        <v/>
      </c>
      <c r="CM32" s="53" t="str">
        <f>IF(Tim!HQ34=Sheet6!$C$2,Sheet6!$C$2,IF(Tim!HQ34=Sheet6!$C$3,Sheet6!$C$3,IF(Tim!HQ34=Sheet6!$C$4,Sheet6!$C$4,IF(Tim!HQ34=Sheet6!$C$5,Sheet6!$C$5,IF(Tim!HQ34=Sheet6!$C$6,Sheet6!$C$6,IF(Tim!HQ34=Sheet6!$C$7,Sheet6!$C$7,IF(Tim!HQ34=Sheet6!$C$8,Sheet6!$C$8,"")))))))</f>
        <v/>
      </c>
      <c r="CN32" s="54" t="str">
        <f>IF(Tim!HR34=Sheet6!$C$2,Sheet6!$C$2,IF(Tim!HR34=Sheet6!$C$3,Sheet6!$C$3,IF(Tim!HR34=Sheet6!$C$4,Sheet6!$C$4,IF(Tim!HR34=Sheet6!$C$5,Sheet6!$C$5,IF(Tim!HR34=Sheet6!$C$6,Sheet6!$C$6,IF(Tim!HR34=Sheet6!$C$7,Sheet6!$C$7,IF(Tim!HR34=Sheet6!$C$8,Sheet6!$C$8,"")))))))</f>
        <v/>
      </c>
      <c r="CO32" s="54" t="str">
        <f>IF(Tim!HS34=Sheet6!$C$2,Sheet6!$C$2,IF(Tim!HS34=Sheet6!$C$3,Sheet6!$C$3,IF(Tim!HS34=Sheet6!$C$4,Sheet6!$C$4,IF(Tim!HS34=Sheet6!$C$5,Sheet6!$C$5,IF(Tim!HS34=Sheet6!$C$6,Sheet6!$C$6,IF(Tim!HS34=Sheet6!$C$7,Sheet6!$C$7,IF(Tim!HS34=Sheet6!$C$8,Sheet6!$C$8,"")))))))</f>
        <v/>
      </c>
      <c r="CP32" s="54" t="str">
        <f>IF(Tim!HT34=Sheet6!$C$2,Sheet6!$C$2,IF(Tim!HT34=Sheet6!$C$3,Sheet6!$C$3,IF(Tim!HT34=Sheet6!$C$4,Sheet6!$C$4,IF(Tim!HT34=Sheet6!$C$5,Sheet6!$C$5,IF(Tim!HT34=Sheet6!$C$6,Sheet6!$C$6,IF(Tim!HT34=Sheet6!$C$7,Sheet6!$C$7,IF(Tim!HT34=Sheet6!$C$8,Sheet6!$C$8,"")))))))</f>
        <v/>
      </c>
      <c r="CQ32" s="55" t="str">
        <f>IF(Tim!HU34=Sheet6!$C$2,Sheet6!$C$2,IF(Tim!HU34=Sheet6!$C$3,Sheet6!$C$3,IF(Tim!HU34=Sheet6!$C$4,Sheet6!$C$4,IF(Tim!HU34=Sheet6!$C$5,Sheet6!$C$5,IF(Tim!HU34=Sheet6!$C$6,Sheet6!$C$6,IF(Tim!HU34=Sheet6!$C$7,Sheet6!$C$7,IF(Tim!HU34=Sheet6!$C$8,Sheet6!$C$8,"")))))))</f>
        <v/>
      </c>
      <c r="CR32" s="56" t="str">
        <f>IF(Tim!HV34=Sheet6!$C$2,Sheet6!$C$2,IF(Tim!HV34=Sheet6!$C$3,Sheet6!$C$3,IF(Tim!HV34=Sheet6!$C$4,Sheet6!$C$4,IF(Tim!HV34=Sheet6!$C$5,Sheet6!$C$5,IF(Tim!HV34=Sheet6!$C$6,Sheet6!$C$6,IF(Tim!HV34=Sheet6!$C$7,Sheet6!$C$7,IF(Tim!HV34=Sheet6!$C$8,Sheet6!$C$8,"")))))))</f>
        <v/>
      </c>
      <c r="CS32" s="57" t="str">
        <f>IF(Tim!IB34=Sheet6!$C$2,Sheet6!$C$2,IF(Tim!IB34=Sheet6!$C$3,Sheet6!$C$3,IF(Tim!IB34=Sheet6!$C$4,Sheet6!$C$4,IF(Tim!IB34=Sheet6!$C$5,Sheet6!$C$5,IF(Tim!IB34=Sheet6!$C$6,Sheet6!$C$6,IF(Tim!IB34=Sheet6!$C$7,Sheet6!$C$7,IF(Tim!IB34=Sheet6!$C$8,Sheet6!$C$8,"")))))))</f>
        <v/>
      </c>
      <c r="CT32" s="57" t="str">
        <f>IF(Tim!IJ34=Sheet6!$C$2,Sheet6!$C$2,IF(Tim!IJ34=Sheet6!$C$3,Sheet6!$C$3,IF(Tim!IJ34=Sheet6!$C$4,Sheet6!$C$4,IF(Tim!IJ34=Sheet6!$C$5,Sheet6!$C$5,IF(Tim!IJ34=Sheet6!$C$6,Sheet6!$C$6,IF(Tim!IJ34=Sheet6!$C$7,Sheet6!$C$7,IF(Tim!IJ34=Sheet6!$C$8,Sheet6!$C$8,"")))))))</f>
        <v/>
      </c>
      <c r="CU32" s="53" t="str">
        <f>IF(Tim!IQ34=Sheet6!$C$2,Sheet6!$C$2,IF(Tim!IQ34=Sheet6!$C$3,Sheet6!$C$3,IF(Tim!IQ34=Sheet6!$C$4,Sheet6!$C$4,IF(Tim!IQ34=Sheet6!$C$5,Sheet6!$C$5,IF(Tim!IQ34=Sheet6!$C$6,Sheet6!$C$6,IF(Tim!IQ34=Sheet6!$C$7,Sheet6!$C$7,IF(Tim!IQ34=Sheet6!$C$8,Sheet6!$C$8,"")))))))</f>
        <v/>
      </c>
      <c r="CV32" s="53" t="str">
        <f>IF(Tim!IR34=Sheet6!$C$2,Sheet6!$C$2,IF(Tim!IR34=Sheet6!$C$3,Sheet6!$C$3,IF(Tim!IR34=Sheet6!$C$4,Sheet6!$C$4,IF(Tim!IR34=Sheet6!$C$5,Sheet6!$C$5,IF(Tim!IR34=Sheet6!$C$6,Sheet6!$C$6,IF(Tim!IR34=Sheet6!$C$7,Sheet6!$C$7,IF(Tim!IR34=Sheet6!$C$8,Sheet6!$C$8,"")))))))</f>
        <v/>
      </c>
      <c r="CW32" s="53" t="str">
        <f>IF(Tim!IZ34=Sheet6!$C$2,Sheet6!$C$2,IF(Tim!IZ34=Sheet6!$C$3,Sheet6!$C$3,IF(Tim!IZ34=Sheet6!$C$4,Sheet6!$C$4,IF(Tim!IZ34=Sheet6!$C$5,Sheet6!$C$5,IF(Tim!IZ34=Sheet6!$C$6,Sheet6!$C$6,IF(Tim!IZ34=Sheet6!$C$7,Sheet6!$C$7,IF(Tim!IZ34=Sheet6!$C$8,Sheet6!$C$8,"")))))))</f>
        <v/>
      </c>
      <c r="CX32" s="53" t="str">
        <f>IF(Tim!JA34=Sheet6!$C$2,Sheet6!$C$2,IF(Tim!JA34=Sheet6!$C$3,Sheet6!$C$3,IF(Tim!JA34=Sheet6!$C$4,Sheet6!$C$4,IF(Tim!JA34=Sheet6!$C$5,Sheet6!$C$5,IF(Tim!JA34=Sheet6!$C$6,Sheet6!$C$6,IF(Tim!JA34=Sheet6!$C$7,Sheet6!$C$7,IF(Tim!JA34=Sheet6!$C$8,Sheet6!$C$8,"")))))))</f>
        <v/>
      </c>
      <c r="CY32" s="53" t="str">
        <f>IF(Tim!JB34=Sheet6!$C$2,Sheet6!$C$2,IF(Tim!JB34=Sheet6!$C$3,Sheet6!$C$3,IF(Tim!JB34=Sheet6!$C$4,Sheet6!$C$4,IF(Tim!JB34=Sheet6!$C$5,Sheet6!$C$5,IF(Tim!JB34=Sheet6!$C$6,Sheet6!$C$6,IF(Tim!JB34=Sheet6!$C$7,Sheet6!$C$7,IF(Tim!JB34=Sheet6!$C$8,Sheet6!$C$8,"")))))))</f>
        <v/>
      </c>
      <c r="CZ32" s="53" t="str">
        <f>IF(Tim!JC34=Sheet6!$C$2,Sheet6!$C$2,IF(Tim!JC34=Sheet6!$C$3,Sheet6!$C$3,IF(Tim!JC34=Sheet6!$C$4,Sheet6!$C$4,IF(Tim!JC34=Sheet6!$C$5,Sheet6!$C$5,IF(Tim!JC34=Sheet6!$C$6,Sheet6!$C$6,IF(Tim!JC34=Sheet6!$C$7,Sheet6!$C$7,IF(Tim!JC34=Sheet6!$C$8,Sheet6!$C$8,"")))))))</f>
        <v/>
      </c>
      <c r="DA32" s="176" t="str">
        <f>IF(Tim!JD34=Sheet6!$C$2,Sheet6!$C$2,IF(Tim!JD34=Sheet6!$C$3,Sheet6!$C$3,IF(Tim!JD34=Sheet6!$C$4,Sheet6!$C$4,IF(Tim!JD34=Sheet6!$C$5,Sheet6!$C$5,IF(Tim!JD34=Sheet6!$C$6,Sheet6!$C$6,IF(Tim!JD34=Sheet6!$C$7,Sheet6!$C$7,IF(Tim!JD34=Sheet6!$C$8,Sheet6!$C$8,"")))))))</f>
        <v/>
      </c>
      <c r="DB32" s="176" t="str">
        <f>IF(Tim!JE34=Sheet6!$C$2,Sheet6!$C$2,IF(Tim!JE34=Sheet6!$C$3,Sheet6!$C$3,IF(Tim!JE34=Sheet6!$C$4,Sheet6!$C$4,IF(Tim!JE34=Sheet6!$C$5,Sheet6!$C$5,IF(Tim!JE34=Sheet6!$C$6,Sheet6!$C$6,IF(Tim!JE34=Sheet6!$C$7,Sheet6!$C$7,IF(Tim!JE34=Sheet6!$C$8,Sheet6!$C$8,"")))))))</f>
        <v/>
      </c>
      <c r="DC32" s="53" t="str">
        <f>IF(Tim!JI34=Sheet6!$C$2,Sheet6!$C$2,IF(Tim!JI34=Sheet6!$C$3,Sheet6!$C$3,IF(Tim!JI34=Sheet6!$C$4,Sheet6!$C$4,IF(Tim!JI34=Sheet6!$C$5,Sheet6!$C$5,IF(Tim!JI34=Sheet6!$C$6,Sheet6!$C$6,IF(Tim!JI34=Sheet6!$C$7,Sheet6!$C$7,IF(Tim!JI34=Sheet6!$C$8,Sheet6!$C$8,"")))))))</f>
        <v/>
      </c>
      <c r="DD32" s="54" t="str">
        <f>IF(Tim!JJ34=Sheet6!$C$2,Sheet6!$C$2,IF(Tim!JJ34=Sheet6!$C$3,Sheet6!$C$3,IF(Tim!JJ34=Sheet6!$C$4,Sheet6!$C$4,IF(Tim!JJ34=Sheet6!$C$5,Sheet6!$C$5,IF(Tim!JJ34=Sheet6!$C$6,Sheet6!$C$6,IF(Tim!JJ34=Sheet6!$C$7,Sheet6!$C$7,IF(Tim!JJ34=Sheet6!$C$8,Sheet6!$C$8,"")))))))</f>
        <v/>
      </c>
      <c r="DE32" s="54" t="str">
        <f>IF(Tim!JK34=Sheet6!$C$2,Sheet6!$C$2,IF(Tim!JK34=Sheet6!$C$3,Sheet6!$C$3,IF(Tim!JK34=Sheet6!$C$4,Sheet6!$C$4,IF(Tim!JK34=Sheet6!$C$5,Sheet6!$C$5,IF(Tim!JK34=Sheet6!$C$6,Sheet6!$C$6,IF(Tim!JK34=Sheet6!$C$7,Sheet6!$C$7,IF(Tim!JK34=Sheet6!$C$8,Sheet6!$C$8,"")))))))</f>
        <v/>
      </c>
      <c r="DF32" s="54" t="str">
        <f>IF(Tim!JL34=Sheet6!$C$2,Sheet6!$C$2,IF(Tim!JL34=Sheet6!$C$3,Sheet6!$C$3,IF(Tim!JL34=Sheet6!$C$4,Sheet6!$C$4,IF(Tim!JL34=Sheet6!$C$5,Sheet6!$C$5,IF(Tim!JL34=Sheet6!$C$6,Sheet6!$C$6,IF(Tim!JL34=Sheet6!$C$7,Sheet6!$C$7,IF(Tim!JL34=Sheet6!$C$8,Sheet6!$C$8,"")))))))</f>
        <v/>
      </c>
      <c r="DG32" s="55" t="str">
        <f>IF(Tim!JM34=Sheet6!$C$2,Sheet6!$C$2,IF(Tim!JM34=Sheet6!$C$3,Sheet6!$C$3,IF(Tim!JM34=Sheet6!$C$4,Sheet6!$C$4,IF(Tim!JM34=Sheet6!$C$5,Sheet6!$C$5,IF(Tim!JM34=Sheet6!$C$6,Sheet6!$C$6,IF(Tim!JM34=Sheet6!$C$7,Sheet6!$C$7,IF(Tim!JM34=Sheet6!$C$8,Sheet6!$C$8,"")))))))</f>
        <v/>
      </c>
      <c r="DH32" s="56" t="str">
        <f>IF(Tim!JN34=Sheet6!$C$2,Sheet6!$C$2,IF(Tim!JN34=Sheet6!$C$3,Sheet6!$C$3,IF(Tim!JN34=Sheet6!$C$4,Sheet6!$C$4,IF(Tim!JN34=Sheet6!$C$5,Sheet6!$C$5,IF(Tim!JN34=Sheet6!$C$6,Sheet6!$C$6,IF(Tim!JN34=Sheet6!$C$7,Sheet6!$C$7,IF(Tim!JN34=Sheet6!$C$8,Sheet6!$C$8,"")))))))</f>
        <v/>
      </c>
      <c r="DI32" s="57" t="str">
        <f>IF(Tim!JS34=Sheet6!$C$2,Sheet6!$C$2,IF(Tim!JS34=Sheet6!$C$3,Sheet6!$C$3,IF(Tim!JS34=Sheet6!$C$4,Sheet6!$C$4,IF(Tim!JS34=Sheet6!$C$5,Sheet6!$C$5,IF(Tim!JS34=Sheet6!$C$6,Sheet6!$C$6,IF(Tim!JS34=Sheet6!$C$7,Sheet6!$C$7,IF(Tim!JS34=Sheet6!$C$8,Sheet6!$C$8,"")))))))</f>
        <v/>
      </c>
      <c r="DJ32" s="57" t="str">
        <f>IF(Tim!KB34=Sheet6!$C$2,Sheet6!$C$2,IF(Tim!KB34=Sheet6!$C$3,Sheet6!$C$3,IF(Tim!KB34=Sheet6!$C$4,Sheet6!$C$4,IF(Tim!KB34=Sheet6!$C$5,Sheet6!$C$5,IF(Tim!KB34=Sheet6!$C$6,Sheet6!$C$6,IF(Tim!KB34=Sheet6!$C$7,Sheet6!$C$7,IF(Tim!KB34=Sheet6!$C$8,Sheet6!$C$8,"")))))))</f>
        <v/>
      </c>
      <c r="DK32" s="57" t="str">
        <f>IF(Tim!KI34=Sheet6!$C$2,Sheet6!$C$2,IF(Tim!KI34=Sheet6!$C$3,Sheet6!$C$3,IF(Tim!KI34=Sheet6!$C$4,Sheet6!$C$4,IF(Tim!KI34=Sheet6!$C$5,Sheet6!$C$5,IF(Tim!KI34=Sheet6!$C$6,Sheet6!$C$6,IF(Tim!KI34=Sheet6!$C$7,Sheet6!$C$7,IF(Tim!KI34=Sheet6!$C$8,Sheet6!$C$8,"")))))))</f>
        <v/>
      </c>
      <c r="DL32" s="53" t="str">
        <f>IF(Tim!KJ34=Sheet6!$C$2,Sheet6!$C$2,IF(Tim!KJ34=Sheet6!$C$3,Sheet6!$C$3,IF(Tim!KJ34=Sheet6!$C$4,Sheet6!$C$4,IF(Tim!KJ34=Sheet6!$C$5,Sheet6!$C$5,IF(Tim!KJ34=Sheet6!$C$6,Sheet6!$C$6,IF(Tim!KJ34=Sheet6!$C$7,Sheet6!$C$7,IF(Tim!KJ34=Sheet6!$C$8,Sheet6!$C$8,"")))))))</f>
        <v/>
      </c>
      <c r="DM32" s="53" t="str">
        <f>IF(Tim!KR34=Sheet6!$C$2,Sheet6!$C$2,IF(Tim!KR34=Sheet6!$C$3,Sheet6!$C$3,IF(Tim!KR34=Sheet6!$C$4,Sheet6!$C$4,IF(Tim!KR34=Sheet6!$C$5,Sheet6!$C$5,IF(Tim!KR34=Sheet6!$C$6,Sheet6!$C$6,IF(Tim!KR34=Sheet6!$C$7,Sheet6!$C$7,IF(Tim!KR34=Sheet6!$C$8,Sheet6!$C$8,"")))))))</f>
        <v/>
      </c>
      <c r="DN32" s="53" t="str">
        <f>IF(Tim!KS34=Sheet6!$C$2,Sheet6!$C$2,IF(Tim!KS34=Sheet6!$C$3,Sheet6!$C$3,IF(Tim!KS34=Sheet6!$C$4,Sheet6!$C$4,IF(Tim!KS34=Sheet6!$C$5,Sheet6!$C$5,IF(Tim!KS34=Sheet6!$C$6,Sheet6!$C$6,IF(Tim!KS34=Sheet6!$C$7,Sheet6!$C$7,IF(Tim!KS34=Sheet6!$C$8,Sheet6!$C$8,"")))))))</f>
        <v/>
      </c>
      <c r="DO32" s="53" t="str">
        <f>IF(Tim!KT34=Sheet6!$C$2,Sheet6!$C$2,IF(Tim!KT34=Sheet6!$C$3,Sheet6!$C$3,IF(Tim!KT34=Sheet6!$C$4,Sheet6!$C$4,IF(Tim!KT34=Sheet6!$C$5,Sheet6!$C$5,IF(Tim!KT34=Sheet6!$C$6,Sheet6!$C$6,IF(Tim!KT34=Sheet6!$C$7,Sheet6!$C$7,IF(Tim!KT34=Sheet6!$C$8,Sheet6!$C$8,"")))))))</f>
        <v/>
      </c>
      <c r="DP32" s="53" t="str">
        <f>IF(Tim!KU34=Sheet6!$C$2,Sheet6!$C$2,IF(Tim!KU34=Sheet6!$C$3,Sheet6!$C$3,IF(Tim!KU34=Sheet6!$C$4,Sheet6!$C$4,IF(Tim!KU34=Sheet6!$C$5,Sheet6!$C$5,IF(Tim!KU34=Sheet6!$C$6,Sheet6!$C$6,IF(Tim!KU34=Sheet6!$C$7,Sheet6!$C$7,IF(Tim!KU34=Sheet6!$C$8,Sheet6!$C$8,"")))))))</f>
        <v/>
      </c>
      <c r="DQ32" s="53" t="str">
        <f>IF(Tim!KV34=Sheet6!$C$2,Sheet6!$C$2,IF(Tim!KV34=Sheet6!$C$3,Sheet6!$C$3,IF(Tim!KV34=Sheet6!$C$4,Sheet6!$C$4,IF(Tim!KV34=Sheet6!$C$5,Sheet6!$C$5,IF(Tim!KV34=Sheet6!$C$6,Sheet6!$C$6,IF(Tim!KV34=Sheet6!$C$7,Sheet6!$C$7,IF(Tim!KV34=Sheet6!$C$8,Sheet6!$C$8,"")))))))</f>
        <v/>
      </c>
      <c r="DR32" s="53" t="str">
        <f>IF(Tim!KW34=Sheet6!$C$2,Sheet6!$C$2,IF(Tim!KW34=Sheet6!$C$3,Sheet6!$C$3,IF(Tim!KW34=Sheet6!$C$4,Sheet6!$C$4,IF(Tim!KW34=Sheet6!$C$5,Sheet6!$C$5,IF(Tim!KW34=Sheet6!$C$6,Sheet6!$C$6,IF(Tim!KW34=Sheet6!$C$7,Sheet6!$C$7,IF(Tim!KW34=Sheet6!$C$8,Sheet6!$C$8,"")))))))</f>
        <v/>
      </c>
      <c r="DS32" s="53" t="str">
        <f>IF(Tim!LA34=Sheet6!$C$2,Sheet6!$C$2,IF(Tim!LA34=Sheet6!$C$3,Sheet6!$C$3,IF(Tim!LA34=Sheet6!$C$4,Sheet6!$C$4,IF(Tim!LA34=Sheet6!$C$5,Sheet6!$C$5,IF(Tim!LA34=Sheet6!$C$6,Sheet6!$C$6,IF(Tim!LA34=Sheet6!$C$7,Sheet6!$C$7,IF(Tim!LA34=Sheet6!$C$8,Sheet6!$C$8,"")))))))</f>
        <v/>
      </c>
      <c r="DT32" s="54" t="str">
        <f>IF(Tim!LB34=Sheet6!$C$2,Sheet6!$C$2,IF(Tim!LB34=Sheet6!$C$3,Sheet6!$C$3,IF(Tim!LB34=Sheet6!$C$4,Sheet6!$C$4,IF(Tim!LB34=Sheet6!$C$5,Sheet6!$C$5,IF(Tim!LB34=Sheet6!$C$6,Sheet6!$C$6,IF(Tim!LB34=Sheet6!$C$7,Sheet6!$C$7,IF(Tim!LB34=Sheet6!$C$8,Sheet6!$C$8,"")))))))</f>
        <v/>
      </c>
      <c r="DU32" s="54" t="str">
        <f>IF(Tim!LC34=Sheet6!$C$2,Sheet6!$C$2,IF(Tim!LC34=Sheet6!$C$3,Sheet6!$C$3,IF(Tim!LC34=Sheet6!$C$4,Sheet6!$C$4,IF(Tim!LC34=Sheet6!$C$5,Sheet6!$C$5,IF(Tim!LC34=Sheet6!$C$6,Sheet6!$C$6,IF(Tim!LC34=Sheet6!$C$7,Sheet6!$C$7,IF(Tim!LC34=Sheet6!$C$8,Sheet6!$C$8,"")))))))</f>
        <v/>
      </c>
      <c r="DV32" s="54" t="str">
        <f>IF(Tim!LD34=Sheet6!$C$2,Sheet6!$C$2,IF(Tim!LD34=Sheet6!$C$3,Sheet6!$C$3,IF(Tim!LD34=Sheet6!$C$4,Sheet6!$C$4,IF(Tim!LD34=Sheet6!$C$5,Sheet6!$C$5,IF(Tim!LD34=Sheet6!$C$6,Sheet6!$C$6,IF(Tim!LD34=Sheet6!$C$7,Sheet6!$C$7,IF(Tim!LD34=Sheet6!$C$8,Sheet6!$C$8,"")))))))</f>
        <v/>
      </c>
      <c r="DW32" s="55" t="str">
        <f>IF(Tim!LE34=Sheet6!$C$2,Sheet6!$C$2,IF(Tim!LE34=Sheet6!$C$3,Sheet6!$C$3,IF(Tim!LE34=Sheet6!$C$4,Sheet6!$C$4,IF(Tim!LE34=Sheet6!$C$5,Sheet6!$C$5,IF(Tim!LE34=Sheet6!$C$6,Sheet6!$C$6,IF(Tim!LE34=Sheet6!$C$7,Sheet6!$C$7,IF(Tim!LE34=Sheet6!$C$8,Sheet6!$C$8,"")))))))</f>
        <v/>
      </c>
      <c r="DX32" s="52">
        <v>0.57291666666666596</v>
      </c>
    </row>
    <row r="33" spans="2:128" ht="10.5" customHeight="1">
      <c r="B33" s="51">
        <v>0.25</v>
      </c>
      <c r="C33" s="51">
        <v>0.25</v>
      </c>
      <c r="D33" s="51">
        <v>0.25</v>
      </c>
      <c r="E33" s="52">
        <v>0.58333333333333304</v>
      </c>
      <c r="F33" s="53" t="str">
        <f>IF(Tim!F35=Sheet6!$C$2,Sheet6!$C$2,IF(Tim!F35=Sheet6!$C$3,Sheet6!$C$3,IF(Tim!F35=Sheet6!$C$4,Sheet6!$C$4,IF(Tim!F35=Sheet6!$C$5,Sheet6!$C$5,IF(Tim!F35=Sheet6!$C$6,Sheet6!$C$6,IF(Tim!F35=Sheet6!$C$7,Sheet6!$C$7,IF(Tim!F35=Sheet6!$C$8,Sheet6!$C$8,"")))))))</f>
        <v/>
      </c>
      <c r="G33" s="53" t="str">
        <f>IF(Tim!G35=Sheet6!$C$2,Sheet6!$C$2,IF(Tim!G35=Sheet6!$C$3,Sheet6!$C$3,IF(Tim!G35=Sheet6!$C$4,Sheet6!$C$4,IF(Tim!G35=Sheet6!$C$5,Sheet6!$C$5,IF(Tim!G35=Sheet6!$C$6,Sheet6!$C$6,IF(Tim!G35=Sheet6!$C$7,Sheet6!$C$7,IF(Tim!G35=Sheet6!$C$8,Sheet6!$C$8,"")))))))</f>
        <v/>
      </c>
      <c r="H33" s="53" t="str">
        <f>IF(Tim!H35=Sheet6!$C$2,Sheet6!$C$2,IF(Tim!H35=Sheet6!$C$3,Sheet6!$C$3,IF(Tim!H35=Sheet6!$C$4,Sheet6!$C$4,IF(Tim!H35=Sheet6!$C$5,Sheet6!$C$5,IF(Tim!H35=Sheet6!$C$6,Sheet6!$C$6,IF(Tim!H35=Sheet6!$C$7,Sheet6!$C$7,IF(Tim!H35=Sheet6!$C$8,Sheet6!$C$8,"")))))))</f>
        <v/>
      </c>
      <c r="I33" s="53" t="str">
        <f>IF(Tim!L35=Sheet6!$C$2,Sheet6!$C$2,IF(Tim!L35=Sheet6!$C$3,Sheet6!$C$3,IF(Tim!L35=Sheet6!$C$4,Sheet6!$C$4,IF(Tim!L35=Sheet6!$C$5,Sheet6!$C$5,IF(Tim!L35=Sheet6!$C$6,Sheet6!$C$6,IF(Tim!L35=Sheet6!$C$7,Sheet6!$C$7,IF(Tim!L35=Sheet6!$C$8,Sheet6!$C$8,"")))))))</f>
        <v/>
      </c>
      <c r="J33" s="53" t="str">
        <f>IF(Tim!T35=Sheet6!$C$2,Sheet6!$C$2,IF(Tim!T35=Sheet6!$C$3,Sheet6!$C$3,IF(Tim!T35=Sheet6!$C$4,Sheet6!$C$4,IF(Tim!T35=Sheet6!$C$5,Sheet6!$C$5,IF(Tim!T35=Sheet6!$C$6,Sheet6!$C$6,IF(Tim!T35=Sheet6!$C$7,Sheet6!$C$7,IF(Tim!T35=Sheet6!$C$8,Sheet6!$C$8,"")))))))</f>
        <v/>
      </c>
      <c r="K33" s="53" t="str">
        <f>IF(Tim!AB35=Sheet6!$C$2,Sheet6!$C$2,IF(Tim!AB35=Sheet6!$C$3,Sheet6!$C$3,IF(Tim!AB35=Sheet6!$C$4,Sheet6!$C$4,IF(Tim!AB35=Sheet6!$C$5,Sheet6!$C$5,IF(Tim!AB35=Sheet6!$C$6,Sheet6!$C$6,IF(Tim!AB35=Sheet6!$C$7,Sheet6!$C$7,IF(Tim!AB35=Sheet6!$C$8,Sheet6!$C$8,"")))))))</f>
        <v/>
      </c>
      <c r="L33" s="181" t="str">
        <f>IF(Tim!AC35=Sheet6!$C$2,Sheet6!$C$2,IF(Tim!AC35=Sheet6!$C$3,Sheet6!$C$3,IF(Tim!AC35=Sheet6!$C$4,Sheet6!$C$4,IF(Tim!AC35=Sheet6!$C$5,Sheet6!$C$5,IF(Tim!AC35=Sheet6!$C$6,Sheet6!$C$6,IF(Tim!AC35=Sheet6!$C$7,Sheet6!$C$7,IF(Tim!AC35=Sheet6!$C$8,Sheet6!$C$8,"")))))))</f>
        <v/>
      </c>
      <c r="M33" s="181" t="str">
        <f>IF(Tim!AJ35=Sheet6!$C$2,Sheet6!$C$2,IF(Tim!AJ35=Sheet6!$C$3,Sheet6!$C$3,IF(Tim!AJ35=Sheet6!$C$4,Sheet6!$C$4,IF(Tim!AJ35=Sheet6!$C$5,Sheet6!$C$5,IF(Tim!AJ35=Sheet6!$C$6,Sheet6!$C$6,IF(Tim!AJ35=Sheet6!$C$7,Sheet6!$C$7,IF(Tim!AJ35=Sheet6!$C$8,Sheet6!$C$8,"")))))))</f>
        <v/>
      </c>
      <c r="N33" s="181" t="str">
        <f>IF(Tim!AK35=Sheet6!$C$2,Sheet6!$C$2,IF(Tim!AK35=Sheet6!$C$3,Sheet6!$C$3,IF(Tim!AK35=Sheet6!$C$4,Sheet6!$C$4,IF(Tim!AK35=Sheet6!$C$5,Sheet6!$C$5,IF(Tim!AK35=Sheet6!$C$6,Sheet6!$C$6,IF(Tim!AK35=Sheet6!$C$7,Sheet6!$C$7,IF(Tim!AK35=Sheet6!$C$8,Sheet6!$C$8,"")))))))</f>
        <v/>
      </c>
      <c r="O33" s="53" t="str">
        <f>IF(Tim!AL35=Sheet6!$C$2,Sheet6!$C$2,IF(Tim!AL35=Sheet6!$C$3,Sheet6!$C$3,IF(Tim!AL35=Sheet6!$C$4,Sheet6!$C$4,IF(Tim!AL35=Sheet6!$C$5,Sheet6!$C$5,IF(Tim!AL35=Sheet6!$C$6,Sheet6!$C$6,IF(Tim!AL35=Sheet6!$C$7,Sheet6!$C$7,IF(Tim!AL35=Sheet6!$C$8,Sheet6!$C$8,"")))))))</f>
        <v/>
      </c>
      <c r="P33" s="53" t="str">
        <f>IF(Tim!AN35=Sheet6!$C$2,Sheet6!$C$2,IF(Tim!AN35=Sheet6!$C$3,Sheet6!$C$3,IF(Tim!AN35=Sheet6!$C$4,Sheet6!$C$4,IF(Tim!AN35=Sheet6!$C$5,Sheet6!$C$5,IF(Tim!AN35=Sheet6!$C$6,Sheet6!$C$6,IF(Tim!AN35=Sheet6!$C$7,Sheet6!$C$7,IF(Tim!AN35=Sheet6!$C$8,Sheet6!$C$8,"")))))))</f>
        <v/>
      </c>
      <c r="Q33" s="53" t="str">
        <f>IF(Tim!AO35=Sheet6!$C$2,Sheet6!$C$2,IF(Tim!AO35=Sheet6!$C$3,Sheet6!$C$3,IF(Tim!AO35=Sheet6!$C$4,Sheet6!$C$4,IF(Tim!AO35=Sheet6!$C$5,Sheet6!$C$5,IF(Tim!AO35=Sheet6!$C$6,Sheet6!$C$6,IF(Tim!AO35=Sheet6!$C$7,Sheet6!$C$7,IF(Tim!AO35=Sheet6!$C$8,Sheet6!$C$8,"")))))))</f>
        <v/>
      </c>
      <c r="R33" s="53" t="str">
        <f>IF(Tim!AP35=Sheet6!$C$2,Sheet6!$C$2,IF(Tim!AP35=Sheet6!$C$3,Sheet6!$C$3,IF(Tim!AP35=Sheet6!$C$4,Sheet6!$C$4,IF(Tim!AP35=Sheet6!$C$5,Sheet6!$C$5,IF(Tim!AP35=Sheet6!$C$6,Sheet6!$C$6,IF(Tim!AP35=Sheet6!$C$7,Sheet6!$C$7,IF(Tim!AP35=Sheet6!$C$8,Sheet6!$C$8,"")))))))</f>
        <v/>
      </c>
      <c r="S33" s="53" t="str">
        <f>IF(Tim!AT35=Sheet6!$C$2,Sheet6!$C$2,IF(Tim!AT35=Sheet6!$C$3,Sheet6!$C$3,IF(Tim!AT35=Sheet6!$C$4,Sheet6!$C$4,IF(Tim!AT35=Sheet6!$C$5,Sheet6!$C$5,IF(Tim!AT35=Sheet6!$C$6,Sheet6!$C$6,IF(Tim!AT35=Sheet6!$C$7,Sheet6!$C$7,IF(Tim!AT35=Sheet6!$C$8,Sheet6!$C$8,"")))))))</f>
        <v/>
      </c>
      <c r="T33" s="54" t="str">
        <f>IF(Tim!AU35=Sheet6!$C$2,Sheet6!$C$2,IF(Tim!AU35=Sheet6!$C$3,Sheet6!$C$3,IF(Tim!AU35=Sheet6!$C$4,Sheet6!$C$4,IF(Tim!AU35=Sheet6!$C$5,Sheet6!$C$5,IF(Tim!AU35=Sheet6!$C$6,Sheet6!$C$6,IF(Tim!AU35=Sheet6!$C$7,Sheet6!$C$7,IF(Tim!AU35=Sheet6!$C$8,Sheet6!$C$8,"")))))))</f>
        <v/>
      </c>
      <c r="U33" s="54" t="str">
        <f>IF(Tim!AV35=Sheet6!$C$2,Sheet6!$C$2,IF(Tim!AV35=Sheet6!$C$3,Sheet6!$C$3,IF(Tim!AV35=Sheet6!$C$4,Sheet6!$C$4,IF(Tim!AV35=Sheet6!$C$5,Sheet6!$C$5,IF(Tim!AV35=Sheet6!$C$6,Sheet6!$C$6,IF(Tim!AV35=Sheet6!$C$7,Sheet6!$C$7,IF(Tim!AV35=Sheet6!$C$8,Sheet6!$C$8,"")))))))</f>
        <v/>
      </c>
      <c r="V33" s="54" t="str">
        <f>IF(Tim!AW35=Sheet6!$C$2,Sheet6!$C$2,IF(Tim!AW35=Sheet6!$C$3,Sheet6!$C$3,IF(Tim!AW35=Sheet6!$C$4,Sheet6!$C$4,IF(Tim!AW35=Sheet6!$C$5,Sheet6!$C$5,IF(Tim!AW35=Sheet6!$C$6,Sheet6!$C$6,IF(Tim!AW35=Sheet6!$C$7,Sheet6!$C$7,IF(Tim!AW35=Sheet6!$C$8,Sheet6!$C$8,"")))))))</f>
        <v/>
      </c>
      <c r="W33" s="55" t="str">
        <f>IF(Tim!AX35=Sheet6!$C$2,Sheet6!$C$2,IF(Tim!AX35=Sheet6!$C$3,Sheet6!$C$3,IF(Tim!AX35=Sheet6!$C$4,Sheet6!$C$4,IF(Tim!AX35=Sheet6!$C$5,Sheet6!$C$5,IF(Tim!AX35=Sheet6!$C$6,Sheet6!$C$6,IF(Tim!AX35=Sheet6!$C$7,Sheet6!$C$7,IF(Tim!AX35=Sheet6!$C$8,Sheet6!$C$8,"")))))))</f>
        <v/>
      </c>
      <c r="X33" s="53" t="str">
        <f>IF(Tim!AY35=Sheet6!$C$2,Sheet6!$C$2,IF(Tim!AY35=Sheet6!$C$3,Sheet6!$C$3,IF(Tim!AY35=Sheet6!$C$4,Sheet6!$C$4,IF(Tim!AY35=Sheet6!$C$5,Sheet6!$C$5,IF(Tim!AY35=Sheet6!$C$6,Sheet6!$C$6,IF(Tim!AY35=Sheet6!$C$7,Sheet6!$C$7,IF(Tim!AY35=Sheet6!$C$8,Sheet6!$C$8,"")))))))</f>
        <v/>
      </c>
      <c r="Y33" s="57" t="str">
        <f>IF(Tim!AZ35=Sheet6!$C$2,Sheet6!$C$2,IF(Tim!AZ35=Sheet6!$C$3,Sheet6!$C$3,IF(Tim!AZ35=Sheet6!$C$4,Sheet6!$C$4,IF(Tim!AZ35=Sheet6!$C$5,Sheet6!$C$5,IF(Tim!AZ35=Sheet6!$C$6,Sheet6!$C$6,IF(Tim!AZ35=Sheet6!$C$7,Sheet6!$C$7,IF(Tim!AZ35=Sheet6!$C$8,Sheet6!$C$8,"")))))))</f>
        <v/>
      </c>
      <c r="Z33" s="57" t="str">
        <f>IF(Tim!BD35=Sheet6!$C$2,Sheet6!$C$2,IF(Tim!BD35=Sheet6!$C$3,Sheet6!$C$3,IF(Tim!BD35=Sheet6!$C$4,Sheet6!$C$4,IF(Tim!BD35=Sheet6!$C$5,Sheet6!$C$5,IF(Tim!BD35=Sheet6!$C$6,Sheet6!$C$6,IF(Tim!BD35=Sheet6!$C$7,Sheet6!$C$7,IF(Tim!BD35=Sheet6!$C$8,Sheet6!$C$8,"")))))))</f>
        <v/>
      </c>
      <c r="AA33" s="57" t="str">
        <f>IF(Tim!BE35=Sheet6!$C$2,Sheet6!$C$2,IF(Tim!BE35=Sheet6!$C$3,Sheet6!$C$3,IF(Tim!BE35=Sheet6!$C$4,Sheet6!$C$4,IF(Tim!BE35=Sheet6!$C$5,Sheet6!$C$5,IF(Tim!BE35=Sheet6!$C$6,Sheet6!$C$6,IF(Tim!BE35=Sheet6!$C$7,Sheet6!$C$7,IF(Tim!BE35=Sheet6!$C$8,Sheet6!$C$8,"")))))))</f>
        <v/>
      </c>
      <c r="AB33" s="57" t="str">
        <f>IF(Tim!BL35=Sheet6!$C$2,Sheet6!$C$2,IF(Tim!BL35=Sheet6!$C$3,Sheet6!$C$3,IF(Tim!BL35=Sheet6!$C$4,Sheet6!$C$4,IF(Tim!BL35=Sheet6!$C$5,Sheet6!$C$5,IF(Tim!BL35=Sheet6!$C$6,Sheet6!$C$6,IF(Tim!BL35=Sheet6!$C$7,Sheet6!$C$7,IF(Tim!BL35=Sheet6!$C$8,Sheet6!$C$8,"")))))))</f>
        <v/>
      </c>
      <c r="AC33" s="53" t="str">
        <f>IF(Tim!BT35=Sheet6!$C$2,Sheet6!$C$2,IF(Tim!BT35=Sheet6!$C$3,Sheet6!$C$3,IF(Tim!BT35=Sheet6!$C$4,Sheet6!$C$4,IF(Tim!BT35=Sheet6!$C$5,Sheet6!$C$5,IF(Tim!BT35=Sheet6!$C$6,Sheet6!$C$6,IF(Tim!BT35=Sheet6!$C$7,Sheet6!$C$7,IF(Tim!BT35=Sheet6!$C$8,Sheet6!$C$8,"")))))))</f>
        <v/>
      </c>
      <c r="AD33" s="181" t="str">
        <f>IF(Tim!BU35=Sheet6!$C$2,Sheet6!$C$2,IF(Tim!BU35=Sheet6!$C$3,Sheet6!$C$3,IF(Tim!BU35=Sheet6!$C$4,Sheet6!$C$4,IF(Tim!BU35=Sheet6!$C$5,Sheet6!$C$5,IF(Tim!BU35=Sheet6!$C$6,Sheet6!$C$6,IF(Tim!BU35=Sheet6!$C$7,Sheet6!$C$7,IF(Tim!BU35=Sheet6!$C$8,Sheet6!$C$8,"")))))))</f>
        <v/>
      </c>
      <c r="AE33" s="181" t="str">
        <f>IF(Tim!CB35=Sheet6!$C$2,Sheet6!$C$2,IF(Tim!CB35=Sheet6!$C$3,Sheet6!$C$3,IF(Tim!CB35=Sheet6!$C$4,Sheet6!$C$4,IF(Tim!CB35=Sheet6!$C$5,Sheet6!$C$5,IF(Tim!CB35=Sheet6!$C$6,Sheet6!$C$6,IF(Tim!CB35=Sheet6!$C$7,Sheet6!$C$7,IF(Tim!CB35=Sheet6!$C$8,Sheet6!$C$8,"")))))))</f>
        <v/>
      </c>
      <c r="AF33" s="181" t="str">
        <f>IF(Tim!CD35=Sheet6!$C$2,Sheet6!$C$2,IF(Tim!CD35=Sheet6!$C$3,Sheet6!$C$3,IF(Tim!CD35=Sheet6!$C$4,Sheet6!$C$4,IF(Tim!CD35=Sheet6!$C$5,Sheet6!$C$5,IF(Tim!CD35=Sheet6!$C$6,Sheet6!$C$6,IF(Tim!CD35=Sheet6!$C$7,Sheet6!$C$7,IF(Tim!CD35=Sheet6!$C$8,Sheet6!$C$8,"")))))))</f>
        <v/>
      </c>
      <c r="AG33" s="53" t="str">
        <f>IF(Tim!CE35=Sheet6!$C$2,Sheet6!$C$2,IF(Tim!CE35=Sheet6!$C$3,Sheet6!$C$3,IF(Tim!CE35=Sheet6!$C$4,Sheet6!$C$4,IF(Tim!CE35=Sheet6!$C$5,Sheet6!$C$5,IF(Tim!CE35=Sheet6!$C$6,Sheet6!$C$6,IF(Tim!CE35=Sheet6!$C$7,Sheet6!$C$7,IF(Tim!CE35=Sheet6!$C$8,Sheet6!$C$8,"")))))))</f>
        <v/>
      </c>
      <c r="AH33" s="53" t="str">
        <f>IF(Tim!CF35=Sheet6!$C$2,Sheet6!$C$2,IF(Tim!CF35=Sheet6!$C$3,Sheet6!$C$3,IF(Tim!CF35=Sheet6!$C$4,Sheet6!$C$4,IF(Tim!CF35=Sheet6!$C$5,Sheet6!$C$5,IF(Tim!CF35=Sheet6!$C$6,Sheet6!$C$6,IF(Tim!CF35=Sheet6!$C$7,Sheet6!$C$7,IF(Tim!CF35=Sheet6!$C$8,Sheet6!$C$8,"")))))))</f>
        <v/>
      </c>
      <c r="AI33" s="176" t="str">
        <f>IF(Tim!CG35=Sheet6!$C$2,Sheet6!$C$2,IF(Tim!CG35=Sheet6!$C$3,Sheet6!$C$3,IF(Tim!CG35=Sheet6!$C$4,Sheet6!$C$4,IF(Tim!CG35=Sheet6!$C$5,Sheet6!$C$5,IF(Tim!CG35=Sheet6!$C$6,Sheet6!$C$6,IF(Tim!CG35=Sheet6!$C$7,Sheet6!$C$7,IF(Tim!CG35=Sheet6!$C$8,Sheet6!$C$8,"")))))))</f>
        <v/>
      </c>
      <c r="AJ33" s="53" t="str">
        <f>IF(Tim!CH35=Sheet6!$C$2,Sheet6!$C$2,IF(Tim!CH35=Sheet6!$C$3,Sheet6!$C$3,IF(Tim!CH35=Sheet6!$C$4,Sheet6!$C$4,IF(Tim!CH35=Sheet6!$C$5,Sheet6!$C$5,IF(Tim!CH35=Sheet6!$C$6,Sheet6!$C$6,IF(Tim!CH35=Sheet6!$C$7,Sheet6!$C$7,IF(Tim!CH35=Sheet6!$C$8,Sheet6!$C$8,"")))))))</f>
        <v/>
      </c>
      <c r="AK33" s="53" t="str">
        <f>IF(Tim!CL35=Sheet6!$C$2,Sheet6!$C$2,IF(Tim!CL35=Sheet6!$C$3,Sheet6!$C$3,IF(Tim!CL35=Sheet6!$C$4,Sheet6!$C$4,IF(Tim!CL35=Sheet6!$C$5,Sheet6!$C$5,IF(Tim!CL35=Sheet6!$C$6,Sheet6!$C$6,IF(Tim!CL35=Sheet6!$C$7,Sheet6!$C$7,IF(Tim!CL35=Sheet6!$C$8,Sheet6!$C$8,"")))))))</f>
        <v/>
      </c>
      <c r="AL33" s="54" t="str">
        <f>IF(Tim!CM35=Sheet6!$C$2,Sheet6!$C$2,IF(Tim!CM35=Sheet6!$C$3,Sheet6!$C$3,IF(Tim!CM35=Sheet6!$C$4,Sheet6!$C$4,IF(Tim!CM35=Sheet6!$C$5,Sheet6!$C$5,IF(Tim!CM35=Sheet6!$C$6,Sheet6!$C$6,IF(Tim!CM35=Sheet6!$C$7,Sheet6!$C$7,IF(Tim!CM35=Sheet6!$C$8,Sheet6!$C$8,"")))))))</f>
        <v/>
      </c>
      <c r="AM33" s="54" t="str">
        <f>IF(Tim!CN35=Sheet6!$C$2,Sheet6!$C$2,IF(Tim!CN35=Sheet6!$C$3,Sheet6!$C$3,IF(Tim!CN35=Sheet6!$C$4,Sheet6!$C$4,IF(Tim!CN35=Sheet6!$C$5,Sheet6!$C$5,IF(Tim!CN35=Sheet6!$C$6,Sheet6!$C$6,IF(Tim!CN35=Sheet6!$C$7,Sheet6!$C$7,IF(Tim!CN35=Sheet6!$C$8,Sheet6!$C$8,"")))))))</f>
        <v/>
      </c>
      <c r="AN33" s="54" t="str">
        <f>IF(Tim!CO35=Sheet6!$C$2,Sheet6!$C$2,IF(Tim!CO35=Sheet6!$C$3,Sheet6!$C$3,IF(Tim!CO35=Sheet6!$C$4,Sheet6!$C$4,IF(Tim!CO35=Sheet6!$C$5,Sheet6!$C$5,IF(Tim!CO35=Sheet6!$C$6,Sheet6!$C$6,IF(Tim!CO35=Sheet6!$C$7,Sheet6!$C$7,IF(Tim!CO35=Sheet6!$C$8,Sheet6!$C$8,"")))))))</f>
        <v/>
      </c>
      <c r="AO33" s="55" t="str">
        <f>IF(Tim!CP35=Sheet6!$C$2,Sheet6!$C$2,IF(Tim!CP35=Sheet6!$C$3,Sheet6!$C$3,IF(Tim!CP35=Sheet6!$C$4,Sheet6!$C$4,IF(Tim!CP35=Sheet6!$C$5,Sheet6!$C$5,IF(Tim!CP35=Sheet6!$C$6,Sheet6!$C$6,IF(Tim!CP35=Sheet6!$C$7,Sheet6!$C$7,IF(Tim!CP35=Sheet6!$C$8,Sheet6!$C$8,"")))))))</f>
        <v/>
      </c>
      <c r="AP33" s="53" t="str">
        <f>IF(Tim!CQ35=Sheet6!$C$2,Sheet6!$C$2,IF(Tim!CQ35=Sheet6!$C$3,Sheet6!$C$3,IF(Tim!CQ35=Sheet6!$C$4,Sheet6!$C$4,IF(Tim!CQ35=Sheet6!$C$5,Sheet6!$C$5,IF(Tim!CQ35=Sheet6!$C$6,Sheet6!$C$6,IF(Tim!CQ35=Sheet6!$C$7,Sheet6!$C$7,IF(Tim!CQ35=Sheet6!$C$8,Sheet6!$C$8,"")))))))</f>
        <v/>
      </c>
      <c r="AQ33" s="57" t="str">
        <f>IF(Tim!CR35=Sheet6!$C$2,Sheet6!$C$2,IF(Tim!CR35=Sheet6!$C$3,Sheet6!$C$3,IF(Tim!CR35=Sheet6!$C$4,Sheet6!$C$4,IF(Tim!CR35=Sheet6!$C$5,Sheet6!$C$5,IF(Tim!CR35=Sheet6!$C$6,Sheet6!$C$6,IF(Tim!CR35=Sheet6!$C$7,Sheet6!$C$7,IF(Tim!CR35=Sheet6!$C$8,Sheet6!$C$8,"")))))))</f>
        <v/>
      </c>
      <c r="AR33" s="57" t="str">
        <f>IF(Tim!CV35=Sheet6!$C$2,Sheet6!$C$2,IF(Tim!CV35=Sheet6!$C$3,Sheet6!$C$3,IF(Tim!CV35=Sheet6!$C$4,Sheet6!$C$4,IF(Tim!CV35=Sheet6!$C$5,Sheet6!$C$5,IF(Tim!CV35=Sheet6!$C$6,Sheet6!$C$6,IF(Tim!CV35=Sheet6!$C$7,Sheet6!$C$7,IF(Tim!CV35=Sheet6!$C$8,Sheet6!$C$8,"")))))))</f>
        <v/>
      </c>
      <c r="AS33" s="57" t="str">
        <f>IF(Tim!CW35=Sheet6!$C$2,Sheet6!$C$2,IF(Tim!CW35=Sheet6!$C$3,Sheet6!$C$3,IF(Tim!CW35=Sheet6!$C$4,Sheet6!$C$4,IF(Tim!CW35=Sheet6!$C$5,Sheet6!$C$5,IF(Tim!CW35=Sheet6!$C$6,Sheet6!$C$6,IF(Tim!CW35=Sheet6!$C$7,Sheet6!$C$7,IF(Tim!CW35=Sheet6!$C$8,Sheet6!$C$8,"")))))))</f>
        <v/>
      </c>
      <c r="AT33" s="57" t="str">
        <f>IF(Tim!DA35=Sheet6!$C$2,Sheet6!$C$2,IF(Tim!DA35=Sheet6!$C$3,Sheet6!$C$3,IF(Tim!DA35=Sheet6!$C$4,Sheet6!$C$4,IF(Tim!DA35=Sheet6!$C$5,Sheet6!$C$5,IF(Tim!DA35=Sheet6!$C$6,Sheet6!$C$6,IF(Tim!DA35=Sheet6!$C$7,Sheet6!$C$7,IF(Tim!DA35=Sheet6!$C$8,Sheet6!$C$8,"")))))))</f>
        <v/>
      </c>
      <c r="AU33" s="53" t="str">
        <f>IF(Tim!DO35=Sheet6!$C$2,Sheet6!$C$2,IF(Tim!DO35=Sheet6!$C$3,Sheet6!$C$3,IF(Tim!DO35=Sheet6!$C$4,Sheet6!$C$4,IF(Tim!DO35=Sheet6!$C$5,Sheet6!$C$5,IF(Tim!DO35=Sheet6!$C$6,Sheet6!$C$6,IF(Tim!DO35=Sheet6!$C$7,Sheet6!$C$7,IF(Tim!DO35=Sheet6!$C$8,Sheet6!$C$8,"")))))))</f>
        <v/>
      </c>
      <c r="AV33" s="181" t="str">
        <f>IF(Tim!DP35=Sheet6!$C$2,Sheet6!$C$2,IF(Tim!DP35=Sheet6!$C$3,Sheet6!$C$3,IF(Tim!DP35=Sheet6!$C$4,Sheet6!$C$4,IF(Tim!DP35=Sheet6!$C$5,Sheet6!$C$5,IF(Tim!DP35=Sheet6!$C$6,Sheet6!$C$6,IF(Tim!DP35=Sheet6!$C$7,Sheet6!$C$7,IF(Tim!DP35=Sheet6!$C$8,Sheet6!$C$8,"")))))))</f>
        <v/>
      </c>
      <c r="AW33" s="181" t="str">
        <f>IF(Tim!DX35=Sheet6!$C$2,Sheet6!$C$2,IF(Tim!DX35=Sheet6!$C$3,Sheet6!$C$3,IF(Tim!DX35=Sheet6!$C$4,Sheet6!$C$4,IF(Tim!DX35=Sheet6!$C$5,Sheet6!$C$5,IF(Tim!DX35=Sheet6!$C$6,Sheet6!$C$6,IF(Tim!DX35=Sheet6!$C$7,Sheet6!$C$7,IF(Tim!DX35=Sheet6!$C$8,Sheet6!$C$8,"")))))))</f>
        <v/>
      </c>
      <c r="AX33" s="181" t="str">
        <f>IF(Tim!DY35=Sheet6!$C$2,Sheet6!$C$2,IF(Tim!DY35=Sheet6!$C$3,Sheet6!$C$3,IF(Tim!DY35=Sheet6!$C$4,Sheet6!$C$4,IF(Tim!DY35=Sheet6!$C$5,Sheet6!$C$5,IF(Tim!DY35=Sheet6!$C$6,Sheet6!$C$6,IF(Tim!DY35=Sheet6!$C$7,Sheet6!$C$7,IF(Tim!DY35=Sheet6!$C$8,Sheet6!$C$8,"")))))))</f>
        <v/>
      </c>
      <c r="AY33" s="53" t="str">
        <f>IF(Tim!DZ35=Sheet6!$C$2,Sheet6!$C$2,IF(Tim!DZ35=Sheet6!$C$3,Sheet6!$C$3,IF(Tim!DZ35=Sheet6!$C$4,Sheet6!$C$4,IF(Tim!DZ35=Sheet6!$C$5,Sheet6!$C$5,IF(Tim!DZ35=Sheet6!$C$6,Sheet6!$C$6,IF(Tim!DZ35=Sheet6!$C$7,Sheet6!$C$7,IF(Tim!DZ35=Sheet6!$C$8,Sheet6!$C$8,"")))))))</f>
        <v/>
      </c>
      <c r="AZ33" s="53" t="str">
        <f>IF(Tim!EA35=Sheet6!$C$2,Sheet6!$C$2,IF(Tim!EA35=Sheet6!$C$3,Sheet6!$C$3,IF(Tim!EA35=Sheet6!$C$4,Sheet6!$C$4,IF(Tim!EA35=Sheet6!$C$5,Sheet6!$C$5,IF(Tim!EA35=Sheet6!$C$6,Sheet6!$C$6,IF(Tim!EA35=Sheet6!$C$7,Sheet6!$C$7,IF(Tim!EA35=Sheet6!$C$8,Sheet6!$C$8,"")))))))</f>
        <v/>
      </c>
      <c r="BA33" s="176" t="str">
        <f>IF(Tim!EB35=Sheet6!$C$2,Sheet6!$C$2,IF(Tim!EB35=Sheet6!$C$3,Sheet6!$C$3,IF(Tim!EB35=Sheet6!$C$4,Sheet6!$C$4,IF(Tim!EB35=Sheet6!$C$5,Sheet6!$C$5,IF(Tim!EB35=Sheet6!$C$6,Sheet6!$C$6,IF(Tim!EB35=Sheet6!$C$7,Sheet6!$C$7,IF(Tim!EB35=Sheet6!$C$8,Sheet6!$C$8,"")))))))</f>
        <v/>
      </c>
      <c r="BB33" s="53" t="str">
        <f>IF(Tim!EC35=Sheet6!$C$2,Sheet6!$C$2,IF(Tim!EC35=Sheet6!$C$3,Sheet6!$C$3,IF(Tim!EC35=Sheet6!$C$4,Sheet6!$C$4,IF(Tim!EC35=Sheet6!$C$5,Sheet6!$C$5,IF(Tim!EC35=Sheet6!$C$6,Sheet6!$C$6,IF(Tim!EC35=Sheet6!$C$7,Sheet6!$C$7,IF(Tim!EC35=Sheet6!$C$8,Sheet6!$C$8,"")))))))</f>
        <v/>
      </c>
      <c r="BC33" s="53" t="str">
        <f>IF(Tim!EG35=Sheet6!$C$2,Sheet6!$C$2,IF(Tim!EG35=Sheet6!$C$3,Sheet6!$C$3,IF(Tim!EG35=Sheet6!$C$4,Sheet6!$C$4,IF(Tim!EG35=Sheet6!$C$5,Sheet6!$C$5,IF(Tim!EG35=Sheet6!$C$6,Sheet6!$C$6,IF(Tim!EG35=Sheet6!$C$7,Sheet6!$C$7,IF(Tim!EG35=Sheet6!$C$8,Sheet6!$C$8,"")))))))</f>
        <v/>
      </c>
      <c r="BD33" s="54" t="str">
        <f>IF(Tim!EH35=Sheet6!$C$2,Sheet6!$C$2,IF(Tim!EH35=Sheet6!$C$3,Sheet6!$C$3,IF(Tim!EH35=Sheet6!$C$4,Sheet6!$C$4,IF(Tim!EH35=Sheet6!$C$5,Sheet6!$C$5,IF(Tim!EH35=Sheet6!$C$6,Sheet6!$C$6,IF(Tim!EH35=Sheet6!$C$7,Sheet6!$C$7,IF(Tim!EH35=Sheet6!$C$8,Sheet6!$C$8,"")))))))</f>
        <v/>
      </c>
      <c r="BE33" s="54" t="str">
        <f>IF(Tim!EI35=Sheet6!$C$2,Sheet6!$C$2,IF(Tim!EI35=Sheet6!$C$3,Sheet6!$C$3,IF(Tim!EI35=Sheet6!$C$4,Sheet6!$C$4,IF(Tim!EI35=Sheet6!$C$5,Sheet6!$C$5,IF(Tim!EI35=Sheet6!$C$6,Sheet6!$C$6,IF(Tim!EI35=Sheet6!$C$7,Sheet6!$C$7,IF(Tim!EI35=Sheet6!$C$8,Sheet6!$C$8,"")))))))</f>
        <v/>
      </c>
      <c r="BF33" s="54" t="str">
        <f>IF(Tim!EJ35=Sheet6!$C$2,Sheet6!$C$2,IF(Tim!EJ35=Sheet6!$C$3,Sheet6!$C$3,IF(Tim!EJ35=Sheet6!$C$4,Sheet6!$C$4,IF(Tim!EJ35=Sheet6!$C$5,Sheet6!$C$5,IF(Tim!EJ35=Sheet6!$C$6,Sheet6!$C$6,IF(Tim!EJ35=Sheet6!$C$7,Sheet6!$C$7,IF(Tim!EJ35=Sheet6!$C$8,Sheet6!$C$8,"")))))))</f>
        <v/>
      </c>
      <c r="BG33" s="55" t="str">
        <f>IF(Tim!EK35=Sheet6!$C$2,Sheet6!$C$2,IF(Tim!EK35=Sheet6!$C$3,Sheet6!$C$3,IF(Tim!EK35=Sheet6!$C$4,Sheet6!$C$4,IF(Tim!EK35=Sheet6!$C$5,Sheet6!$C$5,IF(Tim!EK35=Sheet6!$C$6,Sheet6!$C$6,IF(Tim!EK35=Sheet6!$C$7,Sheet6!$C$7,IF(Tim!EK35=Sheet6!$C$8,Sheet6!$C$8,"")))))))</f>
        <v/>
      </c>
      <c r="BH33" s="53" t="str">
        <f>IF(Tim!EL35=Sheet6!$C$2,Sheet6!$C$2,IF(Tim!EL35=Sheet6!$C$3,Sheet6!$C$3,IF(Tim!EL35=Sheet6!$C$4,Sheet6!$C$4,IF(Tim!EL35=Sheet6!$C$5,Sheet6!$C$5,IF(Tim!EL35=Sheet6!$C$6,Sheet6!$C$6,IF(Tim!EL35=Sheet6!$C$7,Sheet6!$C$7,IF(Tim!EL35=Sheet6!$C$8,Sheet6!$C$8,"")))))))</f>
        <v/>
      </c>
      <c r="BI33" s="53" t="str">
        <f>IF(Tim!EM35=Sheet6!$C$2,Sheet6!$C$2,IF(Tim!EM35=Sheet6!$C$3,Sheet6!$C$3,IF(Tim!EM35=Sheet6!$C$4,Sheet6!$C$4,IF(Tim!EM35=Sheet6!$C$5,Sheet6!$C$5,IF(Tim!EM35=Sheet6!$C$6,Sheet6!$C$6,IF(Tim!EM35=Sheet6!$C$7,Sheet6!$C$7,IF(Tim!EM35=Sheet6!$C$8,Sheet6!$C$8,"")))))))</f>
        <v/>
      </c>
      <c r="BJ33" s="53" t="str">
        <f>IF(Tim!EQ35=Sheet6!$C$2,Sheet6!$C$2,IF(Tim!EQ35=Sheet6!$C$3,Sheet6!$C$3,IF(Tim!EQ35=Sheet6!$C$4,Sheet6!$C$4,IF(Tim!EQ35=Sheet6!$C$5,Sheet6!$C$5,IF(Tim!EQ35=Sheet6!$C$6,Sheet6!$C$6,IF(Tim!EQ35=Sheet6!$C$7,Sheet6!$C$7,IF(Tim!EQ35=Sheet6!$C$8,Sheet6!$C$8,"")))))))</f>
        <v/>
      </c>
      <c r="BK33" s="57" t="str">
        <f>IF(Tim!ER35=Sheet6!$C$2,Sheet6!$C$2,IF(Tim!ER35=Sheet6!$C$3,Sheet6!$C$3,IF(Tim!ER35=Sheet6!$C$4,Sheet6!$C$4,IF(Tim!ER35=Sheet6!$C$5,Sheet6!$C$5,IF(Tim!ER35=Sheet6!$C$6,Sheet6!$C$6,IF(Tim!ER35=Sheet6!$C$7,Sheet6!$C$7,IF(Tim!ER35=Sheet6!$C$8,Sheet6!$C$8,"")))))))</f>
        <v/>
      </c>
      <c r="BL33" s="53" t="str">
        <f>IF(Tim!EZ35=Sheet6!$C$2,Sheet6!$C$2,IF(Tim!EZ35=Sheet6!$C$3,Sheet6!$C$3,IF(Tim!EZ35=Sheet6!$C$4,Sheet6!$C$4,IF(Tim!EZ35=Sheet6!$C$5,Sheet6!$C$5,IF(Tim!EZ35=Sheet6!$C$6,Sheet6!$C$6,IF(Tim!EZ35=Sheet6!$C$7,Sheet6!$C$7,IF(Tim!EZ35=Sheet6!$C$8,Sheet6!$C$8,"")))))))</f>
        <v/>
      </c>
      <c r="BM33" s="53" t="str">
        <f>IF(Tim!FG35=Sheet6!$C$2,Sheet6!$C$2,IF(Tim!FG35=Sheet6!$C$3,Sheet6!$C$3,IF(Tim!FG35=Sheet6!$C$4,Sheet6!$C$4,IF(Tim!FG35=Sheet6!$C$5,Sheet6!$C$5,IF(Tim!FG35=Sheet6!$C$6,Sheet6!$C$6,IF(Tim!FG35=Sheet6!$C$7,Sheet6!$C$7,IF(Tim!FG35=Sheet6!$C$8,Sheet6!$C$8,"")))))))</f>
        <v/>
      </c>
      <c r="BN33" s="181" t="str">
        <f>IF(Tim!FH35=Sheet6!$C$2,Sheet6!$C$2,IF(Tim!FH35=Sheet6!$C$3,Sheet6!$C$3,IF(Tim!FH35=Sheet6!$C$4,Sheet6!$C$4,IF(Tim!FH35=Sheet6!$C$5,Sheet6!$C$5,IF(Tim!FH35=Sheet6!$C$6,Sheet6!$C$6,IF(Tim!FH35=Sheet6!$C$7,Sheet6!$C$7,IF(Tim!FH35=Sheet6!$C$8,Sheet6!$C$8,"")))))))</f>
        <v/>
      </c>
      <c r="BO33" s="181" t="str">
        <f>IF(Tim!FP35=Sheet6!$C$2,Sheet6!$C$2,IF(Tim!FP35=Sheet6!$C$3,Sheet6!$C$3,IF(Tim!FP35=Sheet6!$C$4,Sheet6!$C$4,IF(Tim!FP35=Sheet6!$C$5,Sheet6!$C$5,IF(Tim!FP35=Sheet6!$C$6,Sheet6!$C$6,IF(Tim!FP35=Sheet6!$C$7,Sheet6!$C$7,IF(Tim!FP35=Sheet6!$C$8,Sheet6!$C$8,"")))))))</f>
        <v/>
      </c>
      <c r="BP33" s="181" t="str">
        <f>IF(Tim!FQ35=Sheet6!$C$2,Sheet6!$C$2,IF(Tim!FQ35=Sheet6!$C$3,Sheet6!$C$3,IF(Tim!FQ35=Sheet6!$C$4,Sheet6!$C$4,IF(Tim!FQ35=Sheet6!$C$5,Sheet6!$C$5,IF(Tim!FQ35=Sheet6!$C$6,Sheet6!$C$6,IF(Tim!FQ35=Sheet6!$C$7,Sheet6!$C$7,IF(Tim!FQ35=Sheet6!$C$8,Sheet6!$C$8,"")))))))</f>
        <v/>
      </c>
      <c r="BQ33" s="53" t="str">
        <f>IF(Tim!FR35=Sheet6!$C$2,Sheet6!$C$2,IF(Tim!FR35=Sheet6!$C$3,Sheet6!$C$3,IF(Tim!FR35=Sheet6!$C$4,Sheet6!$C$4,IF(Tim!FR35=Sheet6!$C$5,Sheet6!$C$5,IF(Tim!FR35=Sheet6!$C$6,Sheet6!$C$6,IF(Tim!FR35=Sheet6!$C$7,Sheet6!$C$7,IF(Tim!FR35=Sheet6!$C$8,Sheet6!$C$8,"")))))))</f>
        <v/>
      </c>
      <c r="BR33" s="53" t="str">
        <f>IF(Tim!FS35=Sheet6!$C$2,Sheet6!$C$2,IF(Tim!FS35=Sheet6!$C$3,Sheet6!$C$3,IF(Tim!FS35=Sheet6!$C$4,Sheet6!$C$4,IF(Tim!FS35=Sheet6!$C$5,Sheet6!$C$5,IF(Tim!FS35=Sheet6!$C$6,Sheet6!$C$6,IF(Tim!FS35=Sheet6!$C$7,Sheet6!$C$7,IF(Tim!FS35=Sheet6!$C$8,Sheet6!$C$8,"")))))))</f>
        <v/>
      </c>
      <c r="BS33" s="53" t="str">
        <f>IF(Tim!FT35=Sheet6!$C$2,Sheet6!$C$2,IF(Tim!FT35=Sheet6!$C$3,Sheet6!$C$3,IF(Tim!FT35=Sheet6!$C$4,Sheet6!$C$4,IF(Tim!FT35=Sheet6!$C$5,Sheet6!$C$5,IF(Tim!FT35=Sheet6!$C$6,Sheet6!$C$6,IF(Tim!FT35=Sheet6!$C$7,Sheet6!$C$7,IF(Tim!FT35=Sheet6!$C$8,Sheet6!$C$8,"")))))))</f>
        <v/>
      </c>
      <c r="BT33" s="53" t="str">
        <f>IF(Tim!FU35=Sheet6!$C$2,Sheet6!$C$2,IF(Tim!FU35=Sheet6!$C$3,Sheet6!$C$3,IF(Tim!FU35=Sheet6!$C$4,Sheet6!$C$4,IF(Tim!FU35=Sheet6!$C$5,Sheet6!$C$5,IF(Tim!FU35=Sheet6!$C$6,Sheet6!$C$6,IF(Tim!FU35=Sheet6!$C$7,Sheet6!$C$7,IF(Tim!FU35=Sheet6!$C$8,Sheet6!$C$8,"")))))))</f>
        <v/>
      </c>
      <c r="BU33" s="53" t="str">
        <f>IF(Tim!FY35=Sheet6!$C$2,Sheet6!$C$2,IF(Tim!FY35=Sheet6!$C$3,Sheet6!$C$3,IF(Tim!FY35=Sheet6!$C$4,Sheet6!$C$4,IF(Tim!FY35=Sheet6!$C$5,Sheet6!$C$5,IF(Tim!FY35=Sheet6!$C$6,Sheet6!$C$6,IF(Tim!FY35=Sheet6!$C$7,Sheet6!$C$7,IF(Tim!FY35=Sheet6!$C$8,Sheet6!$C$8,"")))))))</f>
        <v/>
      </c>
      <c r="BV33" s="54" t="str">
        <f>IF(Tim!FZ35=Sheet6!$C$2,Sheet6!$C$2,IF(Tim!FZ35=Sheet6!$C$3,Sheet6!$C$3,IF(Tim!FZ35=Sheet6!$C$4,Sheet6!$C$4,IF(Tim!FZ35=Sheet6!$C$5,Sheet6!$C$5,IF(Tim!FZ35=Sheet6!$C$6,Sheet6!$C$6,IF(Tim!FZ35=Sheet6!$C$7,Sheet6!$C$7,IF(Tim!FZ35=Sheet6!$C$8,Sheet6!$C$8,"")))))))</f>
        <v/>
      </c>
      <c r="BW33" s="54" t="str">
        <f>IF(Tim!GA35=Sheet6!$C$2,Sheet6!$C$2,IF(Tim!GA35=Sheet6!$C$3,Sheet6!$C$3,IF(Tim!GA35=Sheet6!$C$4,Sheet6!$C$4,IF(Tim!GA35=Sheet6!$C$5,Sheet6!$C$5,IF(Tim!GA35=Sheet6!$C$6,Sheet6!$C$6,IF(Tim!GA35=Sheet6!$C$7,Sheet6!$C$7,IF(Tim!GA35=Sheet6!$C$8,Sheet6!$C$8,"")))))))</f>
        <v/>
      </c>
      <c r="BX33" s="54" t="str">
        <f>IF(Tim!GB35=Sheet6!$C$2,Sheet6!$C$2,IF(Tim!GB35=Sheet6!$C$3,Sheet6!$C$3,IF(Tim!GB35=Sheet6!$C$4,Sheet6!$C$4,IF(Tim!GB35=Sheet6!$C$5,Sheet6!$C$5,IF(Tim!GB35=Sheet6!$C$6,Sheet6!$C$6,IF(Tim!GB35=Sheet6!$C$7,Sheet6!$C$7,IF(Tim!GB35=Sheet6!$C$8,Sheet6!$C$8,"")))))))</f>
        <v/>
      </c>
      <c r="BY33" s="55" t="str">
        <f>IF(Tim!GC35=Sheet6!$C$2,Sheet6!$C$2,IF(Tim!GC35=Sheet6!$C$3,Sheet6!$C$3,IF(Tim!GC35=Sheet6!$C$4,Sheet6!$C$4,IF(Tim!GC35=Sheet6!$C$5,Sheet6!$C$5,IF(Tim!GC35=Sheet6!$C$6,Sheet6!$C$6,IF(Tim!GC35=Sheet6!$C$7,Sheet6!$C$7,IF(Tim!GC35=Sheet6!$C$8,Sheet6!$C$8,"")))))))</f>
        <v/>
      </c>
      <c r="BZ33" s="53" t="str">
        <f>IF(Tim!GD35=Sheet6!$C$2,Sheet6!$C$2,IF(Tim!GD35=Sheet6!$C$3,Sheet6!$C$3,IF(Tim!GD35=Sheet6!$C$4,Sheet6!$C$4,IF(Tim!GD35=Sheet6!$C$5,Sheet6!$C$5,IF(Tim!GD35=Sheet6!$C$6,Sheet6!$C$6,IF(Tim!GD35=Sheet6!$C$7,Sheet6!$C$7,IF(Tim!GD35=Sheet6!$C$8,Sheet6!$C$8,"")))))))</f>
        <v/>
      </c>
      <c r="CA33" s="53" t="str">
        <f>IF(Tim!GE35=Sheet6!$C$2,Sheet6!$C$2,IF(Tim!GE35=Sheet6!$C$3,Sheet6!$C$3,IF(Tim!GE35=Sheet6!$C$4,Sheet6!$C$4,IF(Tim!GE35=Sheet6!$C$5,Sheet6!$C$5,IF(Tim!GE35=Sheet6!$C$6,Sheet6!$C$6,IF(Tim!GE35=Sheet6!$C$7,Sheet6!$C$7,IF(Tim!GE35=Sheet6!$C$8,Sheet6!$C$8,"")))))))</f>
        <v/>
      </c>
      <c r="CB33" s="57" t="str">
        <f>IF(Tim!GI35=Sheet6!$C$2,Sheet6!$C$2,IF(Tim!GI35=Sheet6!$C$3,Sheet6!$C$3,IF(Tim!GI35=Sheet6!$C$4,Sheet6!$C$4,IF(Tim!GI35=Sheet6!$C$5,Sheet6!$C$5,IF(Tim!GI35=Sheet6!$C$6,Sheet6!$C$6,IF(Tim!GI35=Sheet6!$C$7,Sheet6!$C$7,IF(Tim!GI35=Sheet6!$C$8,Sheet6!$C$8,"")))))))</f>
        <v/>
      </c>
      <c r="CC33" s="57" t="str">
        <f>IF(Tim!GJ35=Sheet6!$C$2,Sheet6!$C$2,IF(Tim!GJ35=Sheet6!$C$3,Sheet6!$C$3,IF(Tim!GJ35=Sheet6!$C$4,Sheet6!$C$4,IF(Tim!GJ35=Sheet6!$C$5,Sheet6!$C$5,IF(Tim!GJ35=Sheet6!$C$6,Sheet6!$C$6,IF(Tim!GJ35=Sheet6!$C$7,Sheet6!$C$7,IF(Tim!GJ35=Sheet6!$C$8,Sheet6!$C$8,"")))))))</f>
        <v/>
      </c>
      <c r="CD33" s="57" t="str">
        <f>IF(Tim!GN35=Sheet6!$C$2,Sheet6!$C$2,IF(Tim!GN35=Sheet6!$C$3,Sheet6!$C$3,IF(Tim!GN35=Sheet6!$C$4,Sheet6!$C$4,IF(Tim!GN35=Sheet6!$C$5,Sheet6!$C$5,IF(Tim!GN35=Sheet6!$C$6,Sheet6!$C$6,IF(Tim!GN35=Sheet6!$C$7,Sheet6!$C$7,IF(Tim!GN35=Sheet6!$C$8,Sheet6!$C$8,"")))))))</f>
        <v/>
      </c>
      <c r="CE33" s="53" t="str">
        <f>IF(Tim!GY35=Sheet6!$C$2,Sheet6!$C$2,IF(Tim!GY35=Sheet6!$C$3,Sheet6!$C$3,IF(Tim!GY35=Sheet6!$C$4,Sheet6!$C$4,IF(Tim!GY35=Sheet6!$C$5,Sheet6!$C$5,IF(Tim!GY35=Sheet6!$C$6,Sheet6!$C$6,IF(Tim!GY35=Sheet6!$C$7,Sheet6!$C$7,IF(Tim!GY35=Sheet6!$C$8,Sheet6!$C$8,"")))))))</f>
        <v/>
      </c>
      <c r="CF33" s="181" t="str">
        <f>IF(Tim!GZ35=Sheet6!$C$2,Sheet6!$C$2,IF(Tim!GZ35=Sheet6!$C$3,Sheet6!$C$3,IF(Tim!GZ35=Sheet6!$C$4,Sheet6!$C$4,IF(Tim!GZ35=Sheet6!$C$5,Sheet6!$C$5,IF(Tim!GZ35=Sheet6!$C$6,Sheet6!$C$6,IF(Tim!GZ35=Sheet6!$C$7,Sheet6!$C$7,IF(Tim!GZ35=Sheet6!$C$8,Sheet6!$C$8,"")))))))</f>
        <v/>
      </c>
      <c r="CG33" s="181" t="str">
        <f>IF(Tim!HH35=Sheet6!$C$2,Sheet6!$C$2,IF(Tim!HH35=Sheet6!$C$3,Sheet6!$C$3,IF(Tim!HH35=Sheet6!$C$4,Sheet6!$C$4,IF(Tim!HH35=Sheet6!$C$5,Sheet6!$C$5,IF(Tim!HH35=Sheet6!$C$6,Sheet6!$C$6,IF(Tim!HH35=Sheet6!$C$7,Sheet6!$C$7,IF(Tim!HH35=Sheet6!$C$8,Sheet6!$C$8,"")))))))</f>
        <v/>
      </c>
      <c r="CH33" s="181" t="str">
        <f>IF(Tim!HI35=Sheet6!$C$2,Sheet6!$C$2,IF(Tim!HI35=Sheet6!$C$3,Sheet6!$C$3,IF(Tim!HI35=Sheet6!$C$4,Sheet6!$C$4,IF(Tim!HI35=Sheet6!$C$5,Sheet6!$C$5,IF(Tim!HI35=Sheet6!$C$6,Sheet6!$C$6,IF(Tim!HI35=Sheet6!$C$7,Sheet6!$C$7,IF(Tim!HI35=Sheet6!$C$8,Sheet6!$C$8,"")))))))</f>
        <v/>
      </c>
      <c r="CI33" s="53" t="str">
        <f>IF(Tim!HJ35=Sheet6!$C$2,Sheet6!$C$2,IF(Tim!HJ35=Sheet6!$C$3,Sheet6!$C$3,IF(Tim!HJ35=Sheet6!$C$4,Sheet6!$C$4,IF(Tim!HJ35=Sheet6!$C$5,Sheet6!$C$5,IF(Tim!HJ35=Sheet6!$C$6,Sheet6!$C$6,IF(Tim!HJ35=Sheet6!$C$7,Sheet6!$C$7,IF(Tim!HJ35=Sheet6!$C$8,Sheet6!$C$8,"")))))))</f>
        <v/>
      </c>
      <c r="CJ33" s="53" t="str">
        <f>IF(Tim!HK35=Sheet6!$C$2,Sheet6!$C$2,IF(Tim!HK35=Sheet6!$C$3,Sheet6!$C$3,IF(Tim!HK35=Sheet6!$C$4,Sheet6!$C$4,IF(Tim!HK35=Sheet6!$C$5,Sheet6!$C$5,IF(Tim!HK35=Sheet6!$C$6,Sheet6!$C$6,IF(Tim!HK35=Sheet6!$C$7,Sheet6!$C$7,IF(Tim!HK35=Sheet6!$C$8,Sheet6!$C$8,"")))))))</f>
        <v/>
      </c>
      <c r="CK33" s="53" t="str">
        <f>IF(Tim!HL35=Sheet6!$C$2,Sheet6!$C$2,IF(Tim!HL35=Sheet6!$C$3,Sheet6!$C$3,IF(Tim!HL35=Sheet6!$C$4,Sheet6!$C$4,IF(Tim!HL35=Sheet6!$C$5,Sheet6!$C$5,IF(Tim!HL35=Sheet6!$C$6,Sheet6!$C$6,IF(Tim!HL35=Sheet6!$C$7,Sheet6!$C$7,IF(Tim!HL35=Sheet6!$C$8,Sheet6!$C$8,"")))))))</f>
        <v/>
      </c>
      <c r="CL33" s="53" t="str">
        <f>IF(Tim!HM35=Sheet6!$C$2,Sheet6!$C$2,IF(Tim!HM35=Sheet6!$C$3,Sheet6!$C$3,IF(Tim!HM35=Sheet6!$C$4,Sheet6!$C$4,IF(Tim!HM35=Sheet6!$C$5,Sheet6!$C$5,IF(Tim!HM35=Sheet6!$C$6,Sheet6!$C$6,IF(Tim!HM35=Sheet6!$C$7,Sheet6!$C$7,IF(Tim!HM35=Sheet6!$C$8,Sheet6!$C$8,"")))))))</f>
        <v/>
      </c>
      <c r="CM33" s="53" t="str">
        <f>IF(Tim!HQ35=Sheet6!$C$2,Sheet6!$C$2,IF(Tim!HQ35=Sheet6!$C$3,Sheet6!$C$3,IF(Tim!HQ35=Sheet6!$C$4,Sheet6!$C$4,IF(Tim!HQ35=Sheet6!$C$5,Sheet6!$C$5,IF(Tim!HQ35=Sheet6!$C$6,Sheet6!$C$6,IF(Tim!HQ35=Sheet6!$C$7,Sheet6!$C$7,IF(Tim!HQ35=Sheet6!$C$8,Sheet6!$C$8,"")))))))</f>
        <v/>
      </c>
      <c r="CN33" s="54" t="str">
        <f>IF(Tim!HR35=Sheet6!$C$2,Sheet6!$C$2,IF(Tim!HR35=Sheet6!$C$3,Sheet6!$C$3,IF(Tim!HR35=Sheet6!$C$4,Sheet6!$C$4,IF(Tim!HR35=Sheet6!$C$5,Sheet6!$C$5,IF(Tim!HR35=Sheet6!$C$6,Sheet6!$C$6,IF(Tim!HR35=Sheet6!$C$7,Sheet6!$C$7,IF(Tim!HR35=Sheet6!$C$8,Sheet6!$C$8,"")))))))</f>
        <v/>
      </c>
      <c r="CO33" s="54" t="str">
        <f>IF(Tim!HS35=Sheet6!$C$2,Sheet6!$C$2,IF(Tim!HS35=Sheet6!$C$3,Sheet6!$C$3,IF(Tim!HS35=Sheet6!$C$4,Sheet6!$C$4,IF(Tim!HS35=Sheet6!$C$5,Sheet6!$C$5,IF(Tim!HS35=Sheet6!$C$6,Sheet6!$C$6,IF(Tim!HS35=Sheet6!$C$7,Sheet6!$C$7,IF(Tim!HS35=Sheet6!$C$8,Sheet6!$C$8,"")))))))</f>
        <v/>
      </c>
      <c r="CP33" s="54" t="str">
        <f>IF(Tim!HT35=Sheet6!$C$2,Sheet6!$C$2,IF(Tim!HT35=Sheet6!$C$3,Sheet6!$C$3,IF(Tim!HT35=Sheet6!$C$4,Sheet6!$C$4,IF(Tim!HT35=Sheet6!$C$5,Sheet6!$C$5,IF(Tim!HT35=Sheet6!$C$6,Sheet6!$C$6,IF(Tim!HT35=Sheet6!$C$7,Sheet6!$C$7,IF(Tim!HT35=Sheet6!$C$8,Sheet6!$C$8,"")))))))</f>
        <v/>
      </c>
      <c r="CQ33" s="55" t="str">
        <f>IF(Tim!HU35=Sheet6!$C$2,Sheet6!$C$2,IF(Tim!HU35=Sheet6!$C$3,Sheet6!$C$3,IF(Tim!HU35=Sheet6!$C$4,Sheet6!$C$4,IF(Tim!HU35=Sheet6!$C$5,Sheet6!$C$5,IF(Tim!HU35=Sheet6!$C$6,Sheet6!$C$6,IF(Tim!HU35=Sheet6!$C$7,Sheet6!$C$7,IF(Tim!HU35=Sheet6!$C$8,Sheet6!$C$8,"")))))))</f>
        <v/>
      </c>
      <c r="CR33" s="56" t="str">
        <f>IF(Tim!HV35=Sheet6!$C$2,Sheet6!$C$2,IF(Tim!HV35=Sheet6!$C$3,Sheet6!$C$3,IF(Tim!HV35=Sheet6!$C$4,Sheet6!$C$4,IF(Tim!HV35=Sheet6!$C$5,Sheet6!$C$5,IF(Tim!HV35=Sheet6!$C$6,Sheet6!$C$6,IF(Tim!HV35=Sheet6!$C$7,Sheet6!$C$7,IF(Tim!HV35=Sheet6!$C$8,Sheet6!$C$8,"")))))))</f>
        <v/>
      </c>
      <c r="CS33" s="57" t="str">
        <f>IF(Tim!IB35=Sheet6!$C$2,Sheet6!$C$2,IF(Tim!IB35=Sheet6!$C$3,Sheet6!$C$3,IF(Tim!IB35=Sheet6!$C$4,Sheet6!$C$4,IF(Tim!IB35=Sheet6!$C$5,Sheet6!$C$5,IF(Tim!IB35=Sheet6!$C$6,Sheet6!$C$6,IF(Tim!IB35=Sheet6!$C$7,Sheet6!$C$7,IF(Tim!IB35=Sheet6!$C$8,Sheet6!$C$8,"")))))))</f>
        <v/>
      </c>
      <c r="CT33" s="57" t="str">
        <f>IF(Tim!IJ35=Sheet6!$C$2,Sheet6!$C$2,IF(Tim!IJ35=Sheet6!$C$3,Sheet6!$C$3,IF(Tim!IJ35=Sheet6!$C$4,Sheet6!$C$4,IF(Tim!IJ35=Sheet6!$C$5,Sheet6!$C$5,IF(Tim!IJ35=Sheet6!$C$6,Sheet6!$C$6,IF(Tim!IJ35=Sheet6!$C$7,Sheet6!$C$7,IF(Tim!IJ35=Sheet6!$C$8,Sheet6!$C$8,"")))))))</f>
        <v/>
      </c>
      <c r="CU33" s="57" t="str">
        <f>IF(Tim!IQ35=Sheet6!$C$2,Sheet6!$C$2,IF(Tim!IQ35=Sheet6!$C$3,Sheet6!$C$3,IF(Tim!IQ35=Sheet6!$C$4,Sheet6!$C$4,IF(Tim!IQ35=Sheet6!$C$5,Sheet6!$C$5,IF(Tim!IQ35=Sheet6!$C$6,Sheet6!$C$6,IF(Tim!IQ35=Sheet6!$C$7,Sheet6!$C$7,IF(Tim!IQ35=Sheet6!$C$8,Sheet6!$C$8,"")))))))</f>
        <v/>
      </c>
      <c r="CV33" s="53" t="str">
        <f>IF(Tim!IR35=Sheet6!$C$2,Sheet6!$C$2,IF(Tim!IR35=Sheet6!$C$3,Sheet6!$C$3,IF(Tim!IR35=Sheet6!$C$4,Sheet6!$C$4,IF(Tim!IR35=Sheet6!$C$5,Sheet6!$C$5,IF(Tim!IR35=Sheet6!$C$6,Sheet6!$C$6,IF(Tim!IR35=Sheet6!$C$7,Sheet6!$C$7,IF(Tim!IR35=Sheet6!$C$8,Sheet6!$C$8,"")))))))</f>
        <v/>
      </c>
      <c r="CW33" s="53" t="str">
        <f>IF(Tim!IZ35=Sheet6!$C$2,Sheet6!$C$2,IF(Tim!IZ35=Sheet6!$C$3,Sheet6!$C$3,IF(Tim!IZ35=Sheet6!$C$4,Sheet6!$C$4,IF(Tim!IZ35=Sheet6!$C$5,Sheet6!$C$5,IF(Tim!IZ35=Sheet6!$C$6,Sheet6!$C$6,IF(Tim!IZ35=Sheet6!$C$7,Sheet6!$C$7,IF(Tim!IZ35=Sheet6!$C$8,Sheet6!$C$8,"")))))))</f>
        <v/>
      </c>
      <c r="CX33" s="53" t="str">
        <f>IF(Tim!JA35=Sheet6!$C$2,Sheet6!$C$2,IF(Tim!JA35=Sheet6!$C$3,Sheet6!$C$3,IF(Tim!JA35=Sheet6!$C$4,Sheet6!$C$4,IF(Tim!JA35=Sheet6!$C$5,Sheet6!$C$5,IF(Tim!JA35=Sheet6!$C$6,Sheet6!$C$6,IF(Tim!JA35=Sheet6!$C$7,Sheet6!$C$7,IF(Tim!JA35=Sheet6!$C$8,Sheet6!$C$8,"")))))))</f>
        <v/>
      </c>
      <c r="CY33" s="53" t="str">
        <f>IF(Tim!JB35=Sheet6!$C$2,Sheet6!$C$2,IF(Tim!JB35=Sheet6!$C$3,Sheet6!$C$3,IF(Tim!JB35=Sheet6!$C$4,Sheet6!$C$4,IF(Tim!JB35=Sheet6!$C$5,Sheet6!$C$5,IF(Tim!JB35=Sheet6!$C$6,Sheet6!$C$6,IF(Tim!JB35=Sheet6!$C$7,Sheet6!$C$7,IF(Tim!JB35=Sheet6!$C$8,Sheet6!$C$8,"")))))))</f>
        <v/>
      </c>
      <c r="CZ33" s="53" t="str">
        <f>IF(Tim!JC35=Sheet6!$C$2,Sheet6!$C$2,IF(Tim!JC35=Sheet6!$C$3,Sheet6!$C$3,IF(Tim!JC35=Sheet6!$C$4,Sheet6!$C$4,IF(Tim!JC35=Sheet6!$C$5,Sheet6!$C$5,IF(Tim!JC35=Sheet6!$C$6,Sheet6!$C$6,IF(Tim!JC35=Sheet6!$C$7,Sheet6!$C$7,IF(Tim!JC35=Sheet6!$C$8,Sheet6!$C$8,"")))))))</f>
        <v/>
      </c>
      <c r="DA33" s="53" t="str">
        <f>IF(Tim!JD35=Sheet6!$C$2,Sheet6!$C$2,IF(Tim!JD35=Sheet6!$C$3,Sheet6!$C$3,IF(Tim!JD35=Sheet6!$C$4,Sheet6!$C$4,IF(Tim!JD35=Sheet6!$C$5,Sheet6!$C$5,IF(Tim!JD35=Sheet6!$C$6,Sheet6!$C$6,IF(Tim!JD35=Sheet6!$C$7,Sheet6!$C$7,IF(Tim!JD35=Sheet6!$C$8,Sheet6!$C$8,"")))))))</f>
        <v/>
      </c>
      <c r="DB33" s="53" t="str">
        <f>IF(Tim!JE35=Sheet6!$C$2,Sheet6!$C$2,IF(Tim!JE35=Sheet6!$C$3,Sheet6!$C$3,IF(Tim!JE35=Sheet6!$C$4,Sheet6!$C$4,IF(Tim!JE35=Sheet6!$C$5,Sheet6!$C$5,IF(Tim!JE35=Sheet6!$C$6,Sheet6!$C$6,IF(Tim!JE35=Sheet6!$C$7,Sheet6!$C$7,IF(Tim!JE35=Sheet6!$C$8,Sheet6!$C$8,"")))))))</f>
        <v/>
      </c>
      <c r="DC33" s="53" t="str">
        <f>IF(Tim!JI35=Sheet6!$C$2,Sheet6!$C$2,IF(Tim!JI35=Sheet6!$C$3,Sheet6!$C$3,IF(Tim!JI35=Sheet6!$C$4,Sheet6!$C$4,IF(Tim!JI35=Sheet6!$C$5,Sheet6!$C$5,IF(Tim!JI35=Sheet6!$C$6,Sheet6!$C$6,IF(Tim!JI35=Sheet6!$C$7,Sheet6!$C$7,IF(Tim!JI35=Sheet6!$C$8,Sheet6!$C$8,"")))))))</f>
        <v/>
      </c>
      <c r="DD33" s="54" t="str">
        <f>IF(Tim!JJ35=Sheet6!$C$2,Sheet6!$C$2,IF(Tim!JJ35=Sheet6!$C$3,Sheet6!$C$3,IF(Tim!JJ35=Sheet6!$C$4,Sheet6!$C$4,IF(Tim!JJ35=Sheet6!$C$5,Sheet6!$C$5,IF(Tim!JJ35=Sheet6!$C$6,Sheet6!$C$6,IF(Tim!JJ35=Sheet6!$C$7,Sheet6!$C$7,IF(Tim!JJ35=Sheet6!$C$8,Sheet6!$C$8,"")))))))</f>
        <v/>
      </c>
      <c r="DE33" s="54" t="str">
        <f>IF(Tim!JK35=Sheet6!$C$2,Sheet6!$C$2,IF(Tim!JK35=Sheet6!$C$3,Sheet6!$C$3,IF(Tim!JK35=Sheet6!$C$4,Sheet6!$C$4,IF(Tim!JK35=Sheet6!$C$5,Sheet6!$C$5,IF(Tim!JK35=Sheet6!$C$6,Sheet6!$C$6,IF(Tim!JK35=Sheet6!$C$7,Sheet6!$C$7,IF(Tim!JK35=Sheet6!$C$8,Sheet6!$C$8,"")))))))</f>
        <v/>
      </c>
      <c r="DF33" s="54" t="str">
        <f>IF(Tim!JL35=Sheet6!$C$2,Sheet6!$C$2,IF(Tim!JL35=Sheet6!$C$3,Sheet6!$C$3,IF(Tim!JL35=Sheet6!$C$4,Sheet6!$C$4,IF(Tim!JL35=Sheet6!$C$5,Sheet6!$C$5,IF(Tim!JL35=Sheet6!$C$6,Sheet6!$C$6,IF(Tim!JL35=Sheet6!$C$7,Sheet6!$C$7,IF(Tim!JL35=Sheet6!$C$8,Sheet6!$C$8,"")))))))</f>
        <v/>
      </c>
      <c r="DG33" s="55" t="str">
        <f>IF(Tim!JM35=Sheet6!$C$2,Sheet6!$C$2,IF(Tim!JM35=Sheet6!$C$3,Sheet6!$C$3,IF(Tim!JM35=Sheet6!$C$4,Sheet6!$C$4,IF(Tim!JM35=Sheet6!$C$5,Sheet6!$C$5,IF(Tim!JM35=Sheet6!$C$6,Sheet6!$C$6,IF(Tim!JM35=Sheet6!$C$7,Sheet6!$C$7,IF(Tim!JM35=Sheet6!$C$8,Sheet6!$C$8,"")))))))</f>
        <v/>
      </c>
      <c r="DH33" s="56" t="str">
        <f>IF(Tim!JN35=Sheet6!$C$2,Sheet6!$C$2,IF(Tim!JN35=Sheet6!$C$3,Sheet6!$C$3,IF(Tim!JN35=Sheet6!$C$4,Sheet6!$C$4,IF(Tim!JN35=Sheet6!$C$5,Sheet6!$C$5,IF(Tim!JN35=Sheet6!$C$6,Sheet6!$C$6,IF(Tim!JN35=Sheet6!$C$7,Sheet6!$C$7,IF(Tim!JN35=Sheet6!$C$8,Sheet6!$C$8,"")))))))</f>
        <v/>
      </c>
      <c r="DI33" s="57" t="str">
        <f>IF(Tim!JS35=Sheet6!$C$2,Sheet6!$C$2,IF(Tim!JS35=Sheet6!$C$3,Sheet6!$C$3,IF(Tim!JS35=Sheet6!$C$4,Sheet6!$C$4,IF(Tim!JS35=Sheet6!$C$5,Sheet6!$C$5,IF(Tim!JS35=Sheet6!$C$6,Sheet6!$C$6,IF(Tim!JS35=Sheet6!$C$7,Sheet6!$C$7,IF(Tim!JS35=Sheet6!$C$8,Sheet6!$C$8,"")))))))</f>
        <v/>
      </c>
      <c r="DJ33" s="57" t="str">
        <f>IF(Tim!KB35=Sheet6!$C$2,Sheet6!$C$2,IF(Tim!KB35=Sheet6!$C$3,Sheet6!$C$3,IF(Tim!KB35=Sheet6!$C$4,Sheet6!$C$4,IF(Tim!KB35=Sheet6!$C$5,Sheet6!$C$5,IF(Tim!KB35=Sheet6!$C$6,Sheet6!$C$6,IF(Tim!KB35=Sheet6!$C$7,Sheet6!$C$7,IF(Tim!KB35=Sheet6!$C$8,Sheet6!$C$8,"")))))))</f>
        <v/>
      </c>
      <c r="DK33" s="53" t="str">
        <f>IF(Tim!KI35=Sheet6!$C$2,Sheet6!$C$2,IF(Tim!KI35=Sheet6!$C$3,Sheet6!$C$3,IF(Tim!KI35=Sheet6!$C$4,Sheet6!$C$4,IF(Tim!KI35=Sheet6!$C$5,Sheet6!$C$5,IF(Tim!KI35=Sheet6!$C$6,Sheet6!$C$6,IF(Tim!KI35=Sheet6!$C$7,Sheet6!$C$7,IF(Tim!KI35=Sheet6!$C$8,Sheet6!$C$8,"")))))))</f>
        <v/>
      </c>
      <c r="DL33" s="53" t="str">
        <f>IF(Tim!KJ35=Sheet6!$C$2,Sheet6!$C$2,IF(Tim!KJ35=Sheet6!$C$3,Sheet6!$C$3,IF(Tim!KJ35=Sheet6!$C$4,Sheet6!$C$4,IF(Tim!KJ35=Sheet6!$C$5,Sheet6!$C$5,IF(Tim!KJ35=Sheet6!$C$6,Sheet6!$C$6,IF(Tim!KJ35=Sheet6!$C$7,Sheet6!$C$7,IF(Tim!KJ35=Sheet6!$C$8,Sheet6!$C$8,"")))))))</f>
        <v/>
      </c>
      <c r="DM33" s="53" t="str">
        <f>IF(Tim!KR35=Sheet6!$C$2,Sheet6!$C$2,IF(Tim!KR35=Sheet6!$C$3,Sheet6!$C$3,IF(Tim!KR35=Sheet6!$C$4,Sheet6!$C$4,IF(Tim!KR35=Sheet6!$C$5,Sheet6!$C$5,IF(Tim!KR35=Sheet6!$C$6,Sheet6!$C$6,IF(Tim!KR35=Sheet6!$C$7,Sheet6!$C$7,IF(Tim!KR35=Sheet6!$C$8,Sheet6!$C$8,"")))))))</f>
        <v/>
      </c>
      <c r="DN33" s="53" t="str">
        <f>IF(Tim!KS35=Sheet6!$C$2,Sheet6!$C$2,IF(Tim!KS35=Sheet6!$C$3,Sheet6!$C$3,IF(Tim!KS35=Sheet6!$C$4,Sheet6!$C$4,IF(Tim!KS35=Sheet6!$C$5,Sheet6!$C$5,IF(Tim!KS35=Sheet6!$C$6,Sheet6!$C$6,IF(Tim!KS35=Sheet6!$C$7,Sheet6!$C$7,IF(Tim!KS35=Sheet6!$C$8,Sheet6!$C$8,"")))))))</f>
        <v/>
      </c>
      <c r="DO33" s="53" t="str">
        <f>IF(Tim!KT35=Sheet6!$C$2,Sheet6!$C$2,IF(Tim!KT35=Sheet6!$C$3,Sheet6!$C$3,IF(Tim!KT35=Sheet6!$C$4,Sheet6!$C$4,IF(Tim!KT35=Sheet6!$C$5,Sheet6!$C$5,IF(Tim!KT35=Sheet6!$C$6,Sheet6!$C$6,IF(Tim!KT35=Sheet6!$C$7,Sheet6!$C$7,IF(Tim!KT35=Sheet6!$C$8,Sheet6!$C$8,"")))))))</f>
        <v/>
      </c>
      <c r="DP33" s="53" t="str">
        <f>IF(Tim!KU35=Sheet6!$C$2,Sheet6!$C$2,IF(Tim!KU35=Sheet6!$C$3,Sheet6!$C$3,IF(Tim!KU35=Sheet6!$C$4,Sheet6!$C$4,IF(Tim!KU35=Sheet6!$C$5,Sheet6!$C$5,IF(Tim!KU35=Sheet6!$C$6,Sheet6!$C$6,IF(Tim!KU35=Sheet6!$C$7,Sheet6!$C$7,IF(Tim!KU35=Sheet6!$C$8,Sheet6!$C$8,"")))))))</f>
        <v/>
      </c>
      <c r="DQ33" s="53" t="str">
        <f>IF(Tim!KV35=Sheet6!$C$2,Sheet6!$C$2,IF(Tim!KV35=Sheet6!$C$3,Sheet6!$C$3,IF(Tim!KV35=Sheet6!$C$4,Sheet6!$C$4,IF(Tim!KV35=Sheet6!$C$5,Sheet6!$C$5,IF(Tim!KV35=Sheet6!$C$6,Sheet6!$C$6,IF(Tim!KV35=Sheet6!$C$7,Sheet6!$C$7,IF(Tim!KV35=Sheet6!$C$8,Sheet6!$C$8,"")))))))</f>
        <v/>
      </c>
      <c r="DR33" s="53" t="str">
        <f>IF(Tim!KW35=Sheet6!$C$2,Sheet6!$C$2,IF(Tim!KW35=Sheet6!$C$3,Sheet6!$C$3,IF(Tim!KW35=Sheet6!$C$4,Sheet6!$C$4,IF(Tim!KW35=Sheet6!$C$5,Sheet6!$C$5,IF(Tim!KW35=Sheet6!$C$6,Sheet6!$C$6,IF(Tim!KW35=Sheet6!$C$7,Sheet6!$C$7,IF(Tim!KW35=Sheet6!$C$8,Sheet6!$C$8,"")))))))</f>
        <v/>
      </c>
      <c r="DS33" s="53" t="str">
        <f>IF(Tim!LA35=Sheet6!$C$2,Sheet6!$C$2,IF(Tim!LA35=Sheet6!$C$3,Sheet6!$C$3,IF(Tim!LA35=Sheet6!$C$4,Sheet6!$C$4,IF(Tim!LA35=Sheet6!$C$5,Sheet6!$C$5,IF(Tim!LA35=Sheet6!$C$6,Sheet6!$C$6,IF(Tim!LA35=Sheet6!$C$7,Sheet6!$C$7,IF(Tim!LA35=Sheet6!$C$8,Sheet6!$C$8,"")))))))</f>
        <v/>
      </c>
      <c r="DT33" s="54" t="str">
        <f>IF(Tim!LB35=Sheet6!$C$2,Sheet6!$C$2,IF(Tim!LB35=Sheet6!$C$3,Sheet6!$C$3,IF(Tim!LB35=Sheet6!$C$4,Sheet6!$C$4,IF(Tim!LB35=Sheet6!$C$5,Sheet6!$C$5,IF(Tim!LB35=Sheet6!$C$6,Sheet6!$C$6,IF(Tim!LB35=Sheet6!$C$7,Sheet6!$C$7,IF(Tim!LB35=Sheet6!$C$8,Sheet6!$C$8,"")))))))</f>
        <v/>
      </c>
      <c r="DU33" s="54" t="str">
        <f>IF(Tim!LC35=Sheet6!$C$2,Sheet6!$C$2,IF(Tim!LC35=Sheet6!$C$3,Sheet6!$C$3,IF(Tim!LC35=Sheet6!$C$4,Sheet6!$C$4,IF(Tim!LC35=Sheet6!$C$5,Sheet6!$C$5,IF(Tim!LC35=Sheet6!$C$6,Sheet6!$C$6,IF(Tim!LC35=Sheet6!$C$7,Sheet6!$C$7,IF(Tim!LC35=Sheet6!$C$8,Sheet6!$C$8,"")))))))</f>
        <v/>
      </c>
      <c r="DV33" s="54" t="str">
        <f>IF(Tim!LD35=Sheet6!$C$2,Sheet6!$C$2,IF(Tim!LD35=Sheet6!$C$3,Sheet6!$C$3,IF(Tim!LD35=Sheet6!$C$4,Sheet6!$C$4,IF(Tim!LD35=Sheet6!$C$5,Sheet6!$C$5,IF(Tim!LD35=Sheet6!$C$6,Sheet6!$C$6,IF(Tim!LD35=Sheet6!$C$7,Sheet6!$C$7,IF(Tim!LD35=Sheet6!$C$8,Sheet6!$C$8,"")))))))</f>
        <v/>
      </c>
      <c r="DW33" s="55" t="str">
        <f>IF(Tim!LE35=Sheet6!$C$2,Sheet6!$C$2,IF(Tim!LE35=Sheet6!$C$3,Sheet6!$C$3,IF(Tim!LE35=Sheet6!$C$4,Sheet6!$C$4,IF(Tim!LE35=Sheet6!$C$5,Sheet6!$C$5,IF(Tim!LE35=Sheet6!$C$6,Sheet6!$C$6,IF(Tim!LE35=Sheet6!$C$7,Sheet6!$C$7,IF(Tim!LE35=Sheet6!$C$8,Sheet6!$C$8,"")))))))</f>
        <v/>
      </c>
      <c r="DX33" s="52">
        <v>0.58333333333333304</v>
      </c>
    </row>
    <row r="34" spans="2:128" ht="10.5" customHeight="1">
      <c r="B34" s="51">
        <v>0.25</v>
      </c>
      <c r="C34" s="51">
        <v>0.25</v>
      </c>
      <c r="D34" s="51">
        <v>0.25</v>
      </c>
      <c r="E34" s="52">
        <v>0.593749999999999</v>
      </c>
      <c r="F34" s="53" t="str">
        <f>IF(Tim!F36=Sheet6!$C$2,Sheet6!$C$2,IF(Tim!F36=Sheet6!$C$3,Sheet6!$C$3,IF(Tim!F36=Sheet6!$C$4,Sheet6!$C$4,IF(Tim!F36=Sheet6!$C$5,Sheet6!$C$5,IF(Tim!F36=Sheet6!$C$6,Sheet6!$C$6,IF(Tim!F36=Sheet6!$C$7,Sheet6!$C$7,IF(Tim!F36=Sheet6!$C$8,Sheet6!$C$8,"")))))))</f>
        <v/>
      </c>
      <c r="G34" s="53" t="str">
        <f>IF(Tim!G36=Sheet6!$C$2,Sheet6!$C$2,IF(Tim!G36=Sheet6!$C$3,Sheet6!$C$3,IF(Tim!G36=Sheet6!$C$4,Sheet6!$C$4,IF(Tim!G36=Sheet6!$C$5,Sheet6!$C$5,IF(Tim!G36=Sheet6!$C$6,Sheet6!$C$6,IF(Tim!G36=Sheet6!$C$7,Sheet6!$C$7,IF(Tim!G36=Sheet6!$C$8,Sheet6!$C$8,"")))))))</f>
        <v/>
      </c>
      <c r="H34" s="53" t="str">
        <f>IF(Tim!H36=Sheet6!$C$2,Sheet6!$C$2,IF(Tim!H36=Sheet6!$C$3,Sheet6!$C$3,IF(Tim!H36=Sheet6!$C$4,Sheet6!$C$4,IF(Tim!H36=Sheet6!$C$5,Sheet6!$C$5,IF(Tim!H36=Sheet6!$C$6,Sheet6!$C$6,IF(Tim!H36=Sheet6!$C$7,Sheet6!$C$7,IF(Tim!H36=Sheet6!$C$8,Sheet6!$C$8,"")))))))</f>
        <v/>
      </c>
      <c r="I34" s="53" t="str">
        <f>IF(Tim!L36=Sheet6!$C$2,Sheet6!$C$2,IF(Tim!L36=Sheet6!$C$3,Sheet6!$C$3,IF(Tim!L36=Sheet6!$C$4,Sheet6!$C$4,IF(Tim!L36=Sheet6!$C$5,Sheet6!$C$5,IF(Tim!L36=Sheet6!$C$6,Sheet6!$C$6,IF(Tim!L36=Sheet6!$C$7,Sheet6!$C$7,IF(Tim!L36=Sheet6!$C$8,Sheet6!$C$8,"")))))))</f>
        <v/>
      </c>
      <c r="J34" s="53" t="str">
        <f>IF(Tim!T36=Sheet6!$C$2,Sheet6!$C$2,IF(Tim!T36=Sheet6!$C$3,Sheet6!$C$3,IF(Tim!T36=Sheet6!$C$4,Sheet6!$C$4,IF(Tim!T36=Sheet6!$C$5,Sheet6!$C$5,IF(Tim!T36=Sheet6!$C$6,Sheet6!$C$6,IF(Tim!T36=Sheet6!$C$7,Sheet6!$C$7,IF(Tim!T36=Sheet6!$C$8,Sheet6!$C$8,"")))))))</f>
        <v/>
      </c>
      <c r="K34" s="53" t="str">
        <f>IF(Tim!AB36=Sheet6!$C$2,Sheet6!$C$2,IF(Tim!AB36=Sheet6!$C$3,Sheet6!$C$3,IF(Tim!AB36=Sheet6!$C$4,Sheet6!$C$4,IF(Tim!AB36=Sheet6!$C$5,Sheet6!$C$5,IF(Tim!AB36=Sheet6!$C$6,Sheet6!$C$6,IF(Tim!AB36=Sheet6!$C$7,Sheet6!$C$7,IF(Tim!AB36=Sheet6!$C$8,Sheet6!$C$8,"")))))))</f>
        <v/>
      </c>
      <c r="L34" s="181" t="str">
        <f>IF(Tim!AC36=Sheet6!$C$2,Sheet6!$C$2,IF(Tim!AC36=Sheet6!$C$3,Sheet6!$C$3,IF(Tim!AC36=Sheet6!$C$4,Sheet6!$C$4,IF(Tim!AC36=Sheet6!$C$5,Sheet6!$C$5,IF(Tim!AC36=Sheet6!$C$6,Sheet6!$C$6,IF(Tim!AC36=Sheet6!$C$7,Sheet6!$C$7,IF(Tim!AC36=Sheet6!$C$8,Sheet6!$C$8,"")))))))</f>
        <v/>
      </c>
      <c r="M34" s="181" t="str">
        <f>IF(Tim!AJ36=Sheet6!$C$2,Sheet6!$C$2,IF(Tim!AJ36=Sheet6!$C$3,Sheet6!$C$3,IF(Tim!AJ36=Sheet6!$C$4,Sheet6!$C$4,IF(Tim!AJ36=Sheet6!$C$5,Sheet6!$C$5,IF(Tim!AJ36=Sheet6!$C$6,Sheet6!$C$6,IF(Tim!AJ36=Sheet6!$C$7,Sheet6!$C$7,IF(Tim!AJ36=Sheet6!$C$8,Sheet6!$C$8,"")))))))</f>
        <v/>
      </c>
      <c r="N34" s="181" t="str">
        <f>IF(Tim!AK36=Sheet6!$C$2,Sheet6!$C$2,IF(Tim!AK36=Sheet6!$C$3,Sheet6!$C$3,IF(Tim!AK36=Sheet6!$C$4,Sheet6!$C$4,IF(Tim!AK36=Sheet6!$C$5,Sheet6!$C$5,IF(Tim!AK36=Sheet6!$C$6,Sheet6!$C$6,IF(Tim!AK36=Sheet6!$C$7,Sheet6!$C$7,IF(Tim!AK36=Sheet6!$C$8,Sheet6!$C$8,"")))))))</f>
        <v/>
      </c>
      <c r="O34" s="53" t="str">
        <f>IF(Tim!AL36=Sheet6!$C$2,Sheet6!$C$2,IF(Tim!AL36=Sheet6!$C$3,Sheet6!$C$3,IF(Tim!AL36=Sheet6!$C$4,Sheet6!$C$4,IF(Tim!AL36=Sheet6!$C$5,Sheet6!$C$5,IF(Tim!AL36=Sheet6!$C$6,Sheet6!$C$6,IF(Tim!AL36=Sheet6!$C$7,Sheet6!$C$7,IF(Tim!AL36=Sheet6!$C$8,Sheet6!$C$8,"")))))))</f>
        <v/>
      </c>
      <c r="P34" s="53" t="str">
        <f>IF(Tim!AN36=Sheet6!$C$2,Sheet6!$C$2,IF(Tim!AN36=Sheet6!$C$3,Sheet6!$C$3,IF(Tim!AN36=Sheet6!$C$4,Sheet6!$C$4,IF(Tim!AN36=Sheet6!$C$5,Sheet6!$C$5,IF(Tim!AN36=Sheet6!$C$6,Sheet6!$C$6,IF(Tim!AN36=Sheet6!$C$7,Sheet6!$C$7,IF(Tim!AN36=Sheet6!$C$8,Sheet6!$C$8,"")))))))</f>
        <v/>
      </c>
      <c r="Q34" s="53" t="str">
        <f>IF(Tim!AO36=Sheet6!$C$2,Sheet6!$C$2,IF(Tim!AO36=Sheet6!$C$3,Sheet6!$C$3,IF(Tim!AO36=Sheet6!$C$4,Sheet6!$C$4,IF(Tim!AO36=Sheet6!$C$5,Sheet6!$C$5,IF(Tim!AO36=Sheet6!$C$6,Sheet6!$C$6,IF(Tim!AO36=Sheet6!$C$7,Sheet6!$C$7,IF(Tim!AO36=Sheet6!$C$8,Sheet6!$C$8,"")))))))</f>
        <v/>
      </c>
      <c r="R34" s="53" t="str">
        <f>IF(Tim!AP36=Sheet6!$C$2,Sheet6!$C$2,IF(Tim!AP36=Sheet6!$C$3,Sheet6!$C$3,IF(Tim!AP36=Sheet6!$C$4,Sheet6!$C$4,IF(Tim!AP36=Sheet6!$C$5,Sheet6!$C$5,IF(Tim!AP36=Sheet6!$C$6,Sheet6!$C$6,IF(Tim!AP36=Sheet6!$C$7,Sheet6!$C$7,IF(Tim!AP36=Sheet6!$C$8,Sheet6!$C$8,"")))))))</f>
        <v/>
      </c>
      <c r="S34" s="53" t="str">
        <f>IF(Tim!AT36=Sheet6!$C$2,Sheet6!$C$2,IF(Tim!AT36=Sheet6!$C$3,Sheet6!$C$3,IF(Tim!AT36=Sheet6!$C$4,Sheet6!$C$4,IF(Tim!AT36=Sheet6!$C$5,Sheet6!$C$5,IF(Tim!AT36=Sheet6!$C$6,Sheet6!$C$6,IF(Tim!AT36=Sheet6!$C$7,Sheet6!$C$7,IF(Tim!AT36=Sheet6!$C$8,Sheet6!$C$8,"")))))))</f>
        <v/>
      </c>
      <c r="T34" s="54" t="str">
        <f>IF(Tim!AU36=Sheet6!$C$2,Sheet6!$C$2,IF(Tim!AU36=Sheet6!$C$3,Sheet6!$C$3,IF(Tim!AU36=Sheet6!$C$4,Sheet6!$C$4,IF(Tim!AU36=Sheet6!$C$5,Sheet6!$C$5,IF(Tim!AU36=Sheet6!$C$6,Sheet6!$C$6,IF(Tim!AU36=Sheet6!$C$7,Sheet6!$C$7,IF(Tim!AU36=Sheet6!$C$8,Sheet6!$C$8,"")))))))</f>
        <v/>
      </c>
      <c r="U34" s="54" t="str">
        <f>IF(Tim!AV36=Sheet6!$C$2,Sheet6!$C$2,IF(Tim!AV36=Sheet6!$C$3,Sheet6!$C$3,IF(Tim!AV36=Sheet6!$C$4,Sheet6!$C$4,IF(Tim!AV36=Sheet6!$C$5,Sheet6!$C$5,IF(Tim!AV36=Sheet6!$C$6,Sheet6!$C$6,IF(Tim!AV36=Sheet6!$C$7,Sheet6!$C$7,IF(Tim!AV36=Sheet6!$C$8,Sheet6!$C$8,"")))))))</f>
        <v/>
      </c>
      <c r="V34" s="54" t="str">
        <f>IF(Tim!AW36=Sheet6!$C$2,Sheet6!$C$2,IF(Tim!AW36=Sheet6!$C$3,Sheet6!$C$3,IF(Tim!AW36=Sheet6!$C$4,Sheet6!$C$4,IF(Tim!AW36=Sheet6!$C$5,Sheet6!$C$5,IF(Tim!AW36=Sheet6!$C$6,Sheet6!$C$6,IF(Tim!AW36=Sheet6!$C$7,Sheet6!$C$7,IF(Tim!AW36=Sheet6!$C$8,Sheet6!$C$8,"")))))))</f>
        <v/>
      </c>
      <c r="W34" s="55" t="str">
        <f>IF(Tim!AX36=Sheet6!$C$2,Sheet6!$C$2,IF(Tim!AX36=Sheet6!$C$3,Sheet6!$C$3,IF(Tim!AX36=Sheet6!$C$4,Sheet6!$C$4,IF(Tim!AX36=Sheet6!$C$5,Sheet6!$C$5,IF(Tim!AX36=Sheet6!$C$6,Sheet6!$C$6,IF(Tim!AX36=Sheet6!$C$7,Sheet6!$C$7,IF(Tim!AX36=Sheet6!$C$8,Sheet6!$C$8,"")))))))</f>
        <v/>
      </c>
      <c r="X34" s="53" t="str">
        <f>IF(Tim!AY36=Sheet6!$C$2,Sheet6!$C$2,IF(Tim!AY36=Sheet6!$C$3,Sheet6!$C$3,IF(Tim!AY36=Sheet6!$C$4,Sheet6!$C$4,IF(Tim!AY36=Sheet6!$C$5,Sheet6!$C$5,IF(Tim!AY36=Sheet6!$C$6,Sheet6!$C$6,IF(Tim!AY36=Sheet6!$C$7,Sheet6!$C$7,IF(Tim!AY36=Sheet6!$C$8,Sheet6!$C$8,"")))))))</f>
        <v/>
      </c>
      <c r="Y34" s="57" t="str">
        <f>IF(Tim!AZ36=Sheet6!$C$2,Sheet6!$C$2,IF(Tim!AZ36=Sheet6!$C$3,Sheet6!$C$3,IF(Tim!AZ36=Sheet6!$C$4,Sheet6!$C$4,IF(Tim!AZ36=Sheet6!$C$5,Sheet6!$C$5,IF(Tim!AZ36=Sheet6!$C$6,Sheet6!$C$6,IF(Tim!AZ36=Sheet6!$C$7,Sheet6!$C$7,IF(Tim!AZ36=Sheet6!$C$8,Sheet6!$C$8,"")))))))</f>
        <v/>
      </c>
      <c r="Z34" s="57" t="str">
        <f>IF(Tim!BD36=Sheet6!$C$2,Sheet6!$C$2,IF(Tim!BD36=Sheet6!$C$3,Sheet6!$C$3,IF(Tim!BD36=Sheet6!$C$4,Sheet6!$C$4,IF(Tim!BD36=Sheet6!$C$5,Sheet6!$C$5,IF(Tim!BD36=Sheet6!$C$6,Sheet6!$C$6,IF(Tim!BD36=Sheet6!$C$7,Sheet6!$C$7,IF(Tim!BD36=Sheet6!$C$8,Sheet6!$C$8,"")))))))</f>
        <v/>
      </c>
      <c r="AA34" s="57" t="str">
        <f>IF(Tim!BE36=Sheet6!$C$2,Sheet6!$C$2,IF(Tim!BE36=Sheet6!$C$3,Sheet6!$C$3,IF(Tim!BE36=Sheet6!$C$4,Sheet6!$C$4,IF(Tim!BE36=Sheet6!$C$5,Sheet6!$C$5,IF(Tim!BE36=Sheet6!$C$6,Sheet6!$C$6,IF(Tim!BE36=Sheet6!$C$7,Sheet6!$C$7,IF(Tim!BE36=Sheet6!$C$8,Sheet6!$C$8,"")))))))</f>
        <v/>
      </c>
      <c r="AB34" s="57" t="str">
        <f>IF(Tim!BL36=Sheet6!$C$2,Sheet6!$C$2,IF(Tim!BL36=Sheet6!$C$3,Sheet6!$C$3,IF(Tim!BL36=Sheet6!$C$4,Sheet6!$C$4,IF(Tim!BL36=Sheet6!$C$5,Sheet6!$C$5,IF(Tim!BL36=Sheet6!$C$6,Sheet6!$C$6,IF(Tim!BL36=Sheet6!$C$7,Sheet6!$C$7,IF(Tim!BL36=Sheet6!$C$8,Sheet6!$C$8,"")))))))</f>
        <v/>
      </c>
      <c r="AC34" s="53" t="str">
        <f>IF(Tim!BT36=Sheet6!$C$2,Sheet6!$C$2,IF(Tim!BT36=Sheet6!$C$3,Sheet6!$C$3,IF(Tim!BT36=Sheet6!$C$4,Sheet6!$C$4,IF(Tim!BT36=Sheet6!$C$5,Sheet6!$C$5,IF(Tim!BT36=Sheet6!$C$6,Sheet6!$C$6,IF(Tim!BT36=Sheet6!$C$7,Sheet6!$C$7,IF(Tim!BT36=Sheet6!$C$8,Sheet6!$C$8,"")))))))</f>
        <v/>
      </c>
      <c r="AD34" s="181" t="str">
        <f>IF(Tim!BU36=Sheet6!$C$2,Sheet6!$C$2,IF(Tim!BU36=Sheet6!$C$3,Sheet6!$C$3,IF(Tim!BU36=Sheet6!$C$4,Sheet6!$C$4,IF(Tim!BU36=Sheet6!$C$5,Sheet6!$C$5,IF(Tim!BU36=Sheet6!$C$6,Sheet6!$C$6,IF(Tim!BU36=Sheet6!$C$7,Sheet6!$C$7,IF(Tim!BU36=Sheet6!$C$8,Sheet6!$C$8,"")))))))</f>
        <v/>
      </c>
      <c r="AE34" s="181" t="str">
        <f>IF(Tim!CB36=Sheet6!$C$2,Sheet6!$C$2,IF(Tim!CB36=Sheet6!$C$3,Sheet6!$C$3,IF(Tim!CB36=Sheet6!$C$4,Sheet6!$C$4,IF(Tim!CB36=Sheet6!$C$5,Sheet6!$C$5,IF(Tim!CB36=Sheet6!$C$6,Sheet6!$C$6,IF(Tim!CB36=Sheet6!$C$7,Sheet6!$C$7,IF(Tim!CB36=Sheet6!$C$8,Sheet6!$C$8,"")))))))</f>
        <v/>
      </c>
      <c r="AF34" s="181" t="str">
        <f>IF(Tim!CD36=Sheet6!$C$2,Sheet6!$C$2,IF(Tim!CD36=Sheet6!$C$3,Sheet6!$C$3,IF(Tim!CD36=Sheet6!$C$4,Sheet6!$C$4,IF(Tim!CD36=Sheet6!$C$5,Sheet6!$C$5,IF(Tim!CD36=Sheet6!$C$6,Sheet6!$C$6,IF(Tim!CD36=Sheet6!$C$7,Sheet6!$C$7,IF(Tim!CD36=Sheet6!$C$8,Sheet6!$C$8,"")))))))</f>
        <v/>
      </c>
      <c r="AG34" s="53" t="str">
        <f>IF(Tim!CE36=Sheet6!$C$2,Sheet6!$C$2,IF(Tim!CE36=Sheet6!$C$3,Sheet6!$C$3,IF(Tim!CE36=Sheet6!$C$4,Sheet6!$C$4,IF(Tim!CE36=Sheet6!$C$5,Sheet6!$C$5,IF(Tim!CE36=Sheet6!$C$6,Sheet6!$C$6,IF(Tim!CE36=Sheet6!$C$7,Sheet6!$C$7,IF(Tim!CE36=Sheet6!$C$8,Sheet6!$C$8,"")))))))</f>
        <v/>
      </c>
      <c r="AH34" s="53" t="str">
        <f>IF(Tim!CF36=Sheet6!$C$2,Sheet6!$C$2,IF(Tim!CF36=Sheet6!$C$3,Sheet6!$C$3,IF(Tim!CF36=Sheet6!$C$4,Sheet6!$C$4,IF(Tim!CF36=Sheet6!$C$5,Sheet6!$C$5,IF(Tim!CF36=Sheet6!$C$6,Sheet6!$C$6,IF(Tim!CF36=Sheet6!$C$7,Sheet6!$C$7,IF(Tim!CF36=Sheet6!$C$8,Sheet6!$C$8,"")))))))</f>
        <v/>
      </c>
      <c r="AI34" s="53" t="str">
        <f>IF(Tim!CG36=Sheet6!$C$2,Sheet6!$C$2,IF(Tim!CG36=Sheet6!$C$3,Sheet6!$C$3,IF(Tim!CG36=Sheet6!$C$4,Sheet6!$C$4,IF(Tim!CG36=Sheet6!$C$5,Sheet6!$C$5,IF(Tim!CG36=Sheet6!$C$6,Sheet6!$C$6,IF(Tim!CG36=Sheet6!$C$7,Sheet6!$C$7,IF(Tim!CG36=Sheet6!$C$8,Sheet6!$C$8,"")))))))</f>
        <v/>
      </c>
      <c r="AJ34" s="53" t="str">
        <f>IF(Tim!CH36=Sheet6!$C$2,Sheet6!$C$2,IF(Tim!CH36=Sheet6!$C$3,Sheet6!$C$3,IF(Tim!CH36=Sheet6!$C$4,Sheet6!$C$4,IF(Tim!CH36=Sheet6!$C$5,Sheet6!$C$5,IF(Tim!CH36=Sheet6!$C$6,Sheet6!$C$6,IF(Tim!CH36=Sheet6!$C$7,Sheet6!$C$7,IF(Tim!CH36=Sheet6!$C$8,Sheet6!$C$8,"")))))))</f>
        <v/>
      </c>
      <c r="AK34" s="53" t="str">
        <f>IF(Tim!CL36=Sheet6!$C$2,Sheet6!$C$2,IF(Tim!CL36=Sheet6!$C$3,Sheet6!$C$3,IF(Tim!CL36=Sheet6!$C$4,Sheet6!$C$4,IF(Tim!CL36=Sheet6!$C$5,Sheet6!$C$5,IF(Tim!CL36=Sheet6!$C$6,Sheet6!$C$6,IF(Tim!CL36=Sheet6!$C$7,Sheet6!$C$7,IF(Tim!CL36=Sheet6!$C$8,Sheet6!$C$8,"")))))))</f>
        <v/>
      </c>
      <c r="AL34" s="54" t="str">
        <f>IF(Tim!CM36=Sheet6!$C$2,Sheet6!$C$2,IF(Tim!CM36=Sheet6!$C$3,Sheet6!$C$3,IF(Tim!CM36=Sheet6!$C$4,Sheet6!$C$4,IF(Tim!CM36=Sheet6!$C$5,Sheet6!$C$5,IF(Tim!CM36=Sheet6!$C$6,Sheet6!$C$6,IF(Tim!CM36=Sheet6!$C$7,Sheet6!$C$7,IF(Tim!CM36=Sheet6!$C$8,Sheet6!$C$8,"")))))))</f>
        <v/>
      </c>
      <c r="AM34" s="54" t="str">
        <f>IF(Tim!CN36=Sheet6!$C$2,Sheet6!$C$2,IF(Tim!CN36=Sheet6!$C$3,Sheet6!$C$3,IF(Tim!CN36=Sheet6!$C$4,Sheet6!$C$4,IF(Tim!CN36=Sheet6!$C$5,Sheet6!$C$5,IF(Tim!CN36=Sheet6!$C$6,Sheet6!$C$6,IF(Tim!CN36=Sheet6!$C$7,Sheet6!$C$7,IF(Tim!CN36=Sheet6!$C$8,Sheet6!$C$8,"")))))))</f>
        <v/>
      </c>
      <c r="AN34" s="54" t="str">
        <f>IF(Tim!CO36=Sheet6!$C$2,Sheet6!$C$2,IF(Tim!CO36=Sheet6!$C$3,Sheet6!$C$3,IF(Tim!CO36=Sheet6!$C$4,Sheet6!$C$4,IF(Tim!CO36=Sheet6!$C$5,Sheet6!$C$5,IF(Tim!CO36=Sheet6!$C$6,Sheet6!$C$6,IF(Tim!CO36=Sheet6!$C$7,Sheet6!$C$7,IF(Tim!CO36=Sheet6!$C$8,Sheet6!$C$8,"")))))))</f>
        <v/>
      </c>
      <c r="AO34" s="55" t="str">
        <f>IF(Tim!CP36=Sheet6!$C$2,Sheet6!$C$2,IF(Tim!CP36=Sheet6!$C$3,Sheet6!$C$3,IF(Tim!CP36=Sheet6!$C$4,Sheet6!$C$4,IF(Tim!CP36=Sheet6!$C$5,Sheet6!$C$5,IF(Tim!CP36=Sheet6!$C$6,Sheet6!$C$6,IF(Tim!CP36=Sheet6!$C$7,Sheet6!$C$7,IF(Tim!CP36=Sheet6!$C$8,Sheet6!$C$8,"")))))))</f>
        <v/>
      </c>
      <c r="AP34" s="53" t="str">
        <f>IF(Tim!CQ36=Sheet6!$C$2,Sheet6!$C$2,IF(Tim!CQ36=Sheet6!$C$3,Sheet6!$C$3,IF(Tim!CQ36=Sheet6!$C$4,Sheet6!$C$4,IF(Tim!CQ36=Sheet6!$C$5,Sheet6!$C$5,IF(Tim!CQ36=Sheet6!$C$6,Sheet6!$C$6,IF(Tim!CQ36=Sheet6!$C$7,Sheet6!$C$7,IF(Tim!CQ36=Sheet6!$C$8,Sheet6!$C$8,"")))))))</f>
        <v/>
      </c>
      <c r="AQ34" s="57" t="str">
        <f>IF(Tim!CR36=Sheet6!$C$2,Sheet6!$C$2,IF(Tim!CR36=Sheet6!$C$3,Sheet6!$C$3,IF(Tim!CR36=Sheet6!$C$4,Sheet6!$C$4,IF(Tim!CR36=Sheet6!$C$5,Sheet6!$C$5,IF(Tim!CR36=Sheet6!$C$6,Sheet6!$C$6,IF(Tim!CR36=Sheet6!$C$7,Sheet6!$C$7,IF(Tim!CR36=Sheet6!$C$8,Sheet6!$C$8,"")))))))</f>
        <v/>
      </c>
      <c r="AR34" s="57" t="str">
        <f>IF(Tim!CV36=Sheet6!$C$2,Sheet6!$C$2,IF(Tim!CV36=Sheet6!$C$3,Sheet6!$C$3,IF(Tim!CV36=Sheet6!$C$4,Sheet6!$C$4,IF(Tim!CV36=Sheet6!$C$5,Sheet6!$C$5,IF(Tim!CV36=Sheet6!$C$6,Sheet6!$C$6,IF(Tim!CV36=Sheet6!$C$7,Sheet6!$C$7,IF(Tim!CV36=Sheet6!$C$8,Sheet6!$C$8,"")))))))</f>
        <v/>
      </c>
      <c r="AS34" s="57" t="str">
        <f>IF(Tim!CW36=Sheet6!$C$2,Sheet6!$C$2,IF(Tim!CW36=Sheet6!$C$3,Sheet6!$C$3,IF(Tim!CW36=Sheet6!$C$4,Sheet6!$C$4,IF(Tim!CW36=Sheet6!$C$5,Sheet6!$C$5,IF(Tim!CW36=Sheet6!$C$6,Sheet6!$C$6,IF(Tim!CW36=Sheet6!$C$7,Sheet6!$C$7,IF(Tim!CW36=Sheet6!$C$8,Sheet6!$C$8,"")))))))</f>
        <v/>
      </c>
      <c r="AT34" s="57" t="str">
        <f>IF(Tim!DA36=Sheet6!$C$2,Sheet6!$C$2,IF(Tim!DA36=Sheet6!$C$3,Sheet6!$C$3,IF(Tim!DA36=Sheet6!$C$4,Sheet6!$C$4,IF(Tim!DA36=Sheet6!$C$5,Sheet6!$C$5,IF(Tim!DA36=Sheet6!$C$6,Sheet6!$C$6,IF(Tim!DA36=Sheet6!$C$7,Sheet6!$C$7,IF(Tim!DA36=Sheet6!$C$8,Sheet6!$C$8,"")))))))</f>
        <v/>
      </c>
      <c r="AU34" s="53" t="str">
        <f>IF(Tim!DO36=Sheet6!$C$2,Sheet6!$C$2,IF(Tim!DO36=Sheet6!$C$3,Sheet6!$C$3,IF(Tim!DO36=Sheet6!$C$4,Sheet6!$C$4,IF(Tim!DO36=Sheet6!$C$5,Sheet6!$C$5,IF(Tim!DO36=Sheet6!$C$6,Sheet6!$C$6,IF(Tim!DO36=Sheet6!$C$7,Sheet6!$C$7,IF(Tim!DO36=Sheet6!$C$8,Sheet6!$C$8,"")))))))</f>
        <v/>
      </c>
      <c r="AV34" s="181" t="str">
        <f>IF(Tim!DP36=Sheet6!$C$2,Sheet6!$C$2,IF(Tim!DP36=Sheet6!$C$3,Sheet6!$C$3,IF(Tim!DP36=Sheet6!$C$4,Sheet6!$C$4,IF(Tim!DP36=Sheet6!$C$5,Sheet6!$C$5,IF(Tim!DP36=Sheet6!$C$6,Sheet6!$C$6,IF(Tim!DP36=Sheet6!$C$7,Sheet6!$C$7,IF(Tim!DP36=Sheet6!$C$8,Sheet6!$C$8,"")))))))</f>
        <v/>
      </c>
      <c r="AW34" s="181" t="str">
        <f>IF(Tim!DX36=Sheet6!$C$2,Sheet6!$C$2,IF(Tim!DX36=Sheet6!$C$3,Sheet6!$C$3,IF(Tim!DX36=Sheet6!$C$4,Sheet6!$C$4,IF(Tim!DX36=Sheet6!$C$5,Sheet6!$C$5,IF(Tim!DX36=Sheet6!$C$6,Sheet6!$C$6,IF(Tim!DX36=Sheet6!$C$7,Sheet6!$C$7,IF(Tim!DX36=Sheet6!$C$8,Sheet6!$C$8,"")))))))</f>
        <v/>
      </c>
      <c r="AX34" s="181" t="str">
        <f>IF(Tim!DY36=Sheet6!$C$2,Sheet6!$C$2,IF(Tim!DY36=Sheet6!$C$3,Sheet6!$C$3,IF(Tim!DY36=Sheet6!$C$4,Sheet6!$C$4,IF(Tim!DY36=Sheet6!$C$5,Sheet6!$C$5,IF(Tim!DY36=Sheet6!$C$6,Sheet6!$C$6,IF(Tim!DY36=Sheet6!$C$7,Sheet6!$C$7,IF(Tim!DY36=Sheet6!$C$8,Sheet6!$C$8,"")))))))</f>
        <v/>
      </c>
      <c r="AY34" s="53" t="str">
        <f>IF(Tim!DZ36=Sheet6!$C$2,Sheet6!$C$2,IF(Tim!DZ36=Sheet6!$C$3,Sheet6!$C$3,IF(Tim!DZ36=Sheet6!$C$4,Sheet6!$C$4,IF(Tim!DZ36=Sheet6!$C$5,Sheet6!$C$5,IF(Tim!DZ36=Sheet6!$C$6,Sheet6!$C$6,IF(Tim!DZ36=Sheet6!$C$7,Sheet6!$C$7,IF(Tim!DZ36=Sheet6!$C$8,Sheet6!$C$8,"")))))))</f>
        <v/>
      </c>
      <c r="AZ34" s="53" t="str">
        <f>IF(Tim!EA36=Sheet6!$C$2,Sheet6!$C$2,IF(Tim!EA36=Sheet6!$C$3,Sheet6!$C$3,IF(Tim!EA36=Sheet6!$C$4,Sheet6!$C$4,IF(Tim!EA36=Sheet6!$C$5,Sheet6!$C$5,IF(Tim!EA36=Sheet6!$C$6,Sheet6!$C$6,IF(Tim!EA36=Sheet6!$C$7,Sheet6!$C$7,IF(Tim!EA36=Sheet6!$C$8,Sheet6!$C$8,"")))))))</f>
        <v/>
      </c>
      <c r="BA34" s="176" t="str">
        <f>IF(Tim!EB36=Sheet6!$C$2,Sheet6!$C$2,IF(Tim!EB36=Sheet6!$C$3,Sheet6!$C$3,IF(Tim!EB36=Sheet6!$C$4,Sheet6!$C$4,IF(Tim!EB36=Sheet6!$C$5,Sheet6!$C$5,IF(Tim!EB36=Sheet6!$C$6,Sheet6!$C$6,IF(Tim!EB36=Sheet6!$C$7,Sheet6!$C$7,IF(Tim!EB36=Sheet6!$C$8,Sheet6!$C$8,"")))))))</f>
        <v/>
      </c>
      <c r="BB34" s="53" t="str">
        <f>IF(Tim!EC36=Sheet6!$C$2,Sheet6!$C$2,IF(Tim!EC36=Sheet6!$C$3,Sheet6!$C$3,IF(Tim!EC36=Sheet6!$C$4,Sheet6!$C$4,IF(Tim!EC36=Sheet6!$C$5,Sheet6!$C$5,IF(Tim!EC36=Sheet6!$C$6,Sheet6!$C$6,IF(Tim!EC36=Sheet6!$C$7,Sheet6!$C$7,IF(Tim!EC36=Sheet6!$C$8,Sheet6!$C$8,"")))))))</f>
        <v/>
      </c>
      <c r="BC34" s="53" t="str">
        <f>IF(Tim!EG36=Sheet6!$C$2,Sheet6!$C$2,IF(Tim!EG36=Sheet6!$C$3,Sheet6!$C$3,IF(Tim!EG36=Sheet6!$C$4,Sheet6!$C$4,IF(Tim!EG36=Sheet6!$C$5,Sheet6!$C$5,IF(Tim!EG36=Sheet6!$C$6,Sheet6!$C$6,IF(Tim!EG36=Sheet6!$C$7,Sheet6!$C$7,IF(Tim!EG36=Sheet6!$C$8,Sheet6!$C$8,"")))))))</f>
        <v/>
      </c>
      <c r="BD34" s="54" t="str">
        <f>IF(Tim!EH36=Sheet6!$C$2,Sheet6!$C$2,IF(Tim!EH36=Sheet6!$C$3,Sheet6!$C$3,IF(Tim!EH36=Sheet6!$C$4,Sheet6!$C$4,IF(Tim!EH36=Sheet6!$C$5,Sheet6!$C$5,IF(Tim!EH36=Sheet6!$C$6,Sheet6!$C$6,IF(Tim!EH36=Sheet6!$C$7,Sheet6!$C$7,IF(Tim!EH36=Sheet6!$C$8,Sheet6!$C$8,"")))))))</f>
        <v/>
      </c>
      <c r="BE34" s="54" t="str">
        <f>IF(Tim!EI36=Sheet6!$C$2,Sheet6!$C$2,IF(Tim!EI36=Sheet6!$C$3,Sheet6!$C$3,IF(Tim!EI36=Sheet6!$C$4,Sheet6!$C$4,IF(Tim!EI36=Sheet6!$C$5,Sheet6!$C$5,IF(Tim!EI36=Sheet6!$C$6,Sheet6!$C$6,IF(Tim!EI36=Sheet6!$C$7,Sheet6!$C$7,IF(Tim!EI36=Sheet6!$C$8,Sheet6!$C$8,"")))))))</f>
        <v/>
      </c>
      <c r="BF34" s="54" t="str">
        <f>IF(Tim!EJ36=Sheet6!$C$2,Sheet6!$C$2,IF(Tim!EJ36=Sheet6!$C$3,Sheet6!$C$3,IF(Tim!EJ36=Sheet6!$C$4,Sheet6!$C$4,IF(Tim!EJ36=Sheet6!$C$5,Sheet6!$C$5,IF(Tim!EJ36=Sheet6!$C$6,Sheet6!$C$6,IF(Tim!EJ36=Sheet6!$C$7,Sheet6!$C$7,IF(Tim!EJ36=Sheet6!$C$8,Sheet6!$C$8,"")))))))</f>
        <v/>
      </c>
      <c r="BG34" s="55" t="str">
        <f>IF(Tim!EK36=Sheet6!$C$2,Sheet6!$C$2,IF(Tim!EK36=Sheet6!$C$3,Sheet6!$C$3,IF(Tim!EK36=Sheet6!$C$4,Sheet6!$C$4,IF(Tim!EK36=Sheet6!$C$5,Sheet6!$C$5,IF(Tim!EK36=Sheet6!$C$6,Sheet6!$C$6,IF(Tim!EK36=Sheet6!$C$7,Sheet6!$C$7,IF(Tim!EK36=Sheet6!$C$8,Sheet6!$C$8,"")))))))</f>
        <v/>
      </c>
      <c r="BH34" s="53" t="str">
        <f>IF(Tim!EL36=Sheet6!$C$2,Sheet6!$C$2,IF(Tim!EL36=Sheet6!$C$3,Sheet6!$C$3,IF(Tim!EL36=Sheet6!$C$4,Sheet6!$C$4,IF(Tim!EL36=Sheet6!$C$5,Sheet6!$C$5,IF(Tim!EL36=Sheet6!$C$6,Sheet6!$C$6,IF(Tim!EL36=Sheet6!$C$7,Sheet6!$C$7,IF(Tim!EL36=Sheet6!$C$8,Sheet6!$C$8,"")))))))</f>
        <v/>
      </c>
      <c r="BI34" s="53" t="str">
        <f>IF(Tim!EM36=Sheet6!$C$2,Sheet6!$C$2,IF(Tim!EM36=Sheet6!$C$3,Sheet6!$C$3,IF(Tim!EM36=Sheet6!$C$4,Sheet6!$C$4,IF(Tim!EM36=Sheet6!$C$5,Sheet6!$C$5,IF(Tim!EM36=Sheet6!$C$6,Sheet6!$C$6,IF(Tim!EM36=Sheet6!$C$7,Sheet6!$C$7,IF(Tim!EM36=Sheet6!$C$8,Sheet6!$C$8,"")))))))</f>
        <v/>
      </c>
      <c r="BJ34" s="53" t="str">
        <f>IF(Tim!EQ36=Sheet6!$C$2,Sheet6!$C$2,IF(Tim!EQ36=Sheet6!$C$3,Sheet6!$C$3,IF(Tim!EQ36=Sheet6!$C$4,Sheet6!$C$4,IF(Tim!EQ36=Sheet6!$C$5,Sheet6!$C$5,IF(Tim!EQ36=Sheet6!$C$6,Sheet6!$C$6,IF(Tim!EQ36=Sheet6!$C$7,Sheet6!$C$7,IF(Tim!EQ36=Sheet6!$C$8,Sheet6!$C$8,"")))))))</f>
        <v/>
      </c>
      <c r="BK34" s="57" t="str">
        <f>IF(Tim!ER36=Sheet6!$C$2,Sheet6!$C$2,IF(Tim!ER36=Sheet6!$C$3,Sheet6!$C$3,IF(Tim!ER36=Sheet6!$C$4,Sheet6!$C$4,IF(Tim!ER36=Sheet6!$C$5,Sheet6!$C$5,IF(Tim!ER36=Sheet6!$C$6,Sheet6!$C$6,IF(Tim!ER36=Sheet6!$C$7,Sheet6!$C$7,IF(Tim!ER36=Sheet6!$C$8,Sheet6!$C$8,"")))))))</f>
        <v/>
      </c>
      <c r="BL34" s="53" t="str">
        <f>IF(Tim!EZ36=Sheet6!$C$2,Sheet6!$C$2,IF(Tim!EZ36=Sheet6!$C$3,Sheet6!$C$3,IF(Tim!EZ36=Sheet6!$C$4,Sheet6!$C$4,IF(Tim!EZ36=Sheet6!$C$5,Sheet6!$C$5,IF(Tim!EZ36=Sheet6!$C$6,Sheet6!$C$6,IF(Tim!EZ36=Sheet6!$C$7,Sheet6!$C$7,IF(Tim!EZ36=Sheet6!$C$8,Sheet6!$C$8,"")))))))</f>
        <v/>
      </c>
      <c r="BM34" s="53" t="str">
        <f>IF(Tim!FG36=Sheet6!$C$2,Sheet6!$C$2,IF(Tim!FG36=Sheet6!$C$3,Sheet6!$C$3,IF(Tim!FG36=Sheet6!$C$4,Sheet6!$C$4,IF(Tim!FG36=Sheet6!$C$5,Sheet6!$C$5,IF(Tim!FG36=Sheet6!$C$6,Sheet6!$C$6,IF(Tim!FG36=Sheet6!$C$7,Sheet6!$C$7,IF(Tim!FG36=Sheet6!$C$8,Sheet6!$C$8,"")))))))</f>
        <v/>
      </c>
      <c r="BN34" s="181" t="str">
        <f>IF(Tim!FH36=Sheet6!$C$2,Sheet6!$C$2,IF(Tim!FH36=Sheet6!$C$3,Sheet6!$C$3,IF(Tim!FH36=Sheet6!$C$4,Sheet6!$C$4,IF(Tim!FH36=Sheet6!$C$5,Sheet6!$C$5,IF(Tim!FH36=Sheet6!$C$6,Sheet6!$C$6,IF(Tim!FH36=Sheet6!$C$7,Sheet6!$C$7,IF(Tim!FH36=Sheet6!$C$8,Sheet6!$C$8,"")))))))</f>
        <v/>
      </c>
      <c r="BO34" s="181" t="str">
        <f>IF(Tim!FP36=Sheet6!$C$2,Sheet6!$C$2,IF(Tim!FP36=Sheet6!$C$3,Sheet6!$C$3,IF(Tim!FP36=Sheet6!$C$4,Sheet6!$C$4,IF(Tim!FP36=Sheet6!$C$5,Sheet6!$C$5,IF(Tim!FP36=Sheet6!$C$6,Sheet6!$C$6,IF(Tim!FP36=Sheet6!$C$7,Sheet6!$C$7,IF(Tim!FP36=Sheet6!$C$8,Sheet6!$C$8,"")))))))</f>
        <v/>
      </c>
      <c r="BP34" s="181" t="str">
        <f>IF(Tim!FQ36=Sheet6!$C$2,Sheet6!$C$2,IF(Tim!FQ36=Sheet6!$C$3,Sheet6!$C$3,IF(Tim!FQ36=Sheet6!$C$4,Sheet6!$C$4,IF(Tim!FQ36=Sheet6!$C$5,Sheet6!$C$5,IF(Tim!FQ36=Sheet6!$C$6,Sheet6!$C$6,IF(Tim!FQ36=Sheet6!$C$7,Sheet6!$C$7,IF(Tim!FQ36=Sheet6!$C$8,Sheet6!$C$8,"")))))))</f>
        <v/>
      </c>
      <c r="BQ34" s="53" t="str">
        <f>IF(Tim!FR36=Sheet6!$C$2,Sheet6!$C$2,IF(Tim!FR36=Sheet6!$C$3,Sheet6!$C$3,IF(Tim!FR36=Sheet6!$C$4,Sheet6!$C$4,IF(Tim!FR36=Sheet6!$C$5,Sheet6!$C$5,IF(Tim!FR36=Sheet6!$C$6,Sheet6!$C$6,IF(Tim!FR36=Sheet6!$C$7,Sheet6!$C$7,IF(Tim!FR36=Sheet6!$C$8,Sheet6!$C$8,"")))))))</f>
        <v/>
      </c>
      <c r="BR34" s="53" t="str">
        <f>IF(Tim!FS36=Sheet6!$C$2,Sheet6!$C$2,IF(Tim!FS36=Sheet6!$C$3,Sheet6!$C$3,IF(Tim!FS36=Sheet6!$C$4,Sheet6!$C$4,IF(Tim!FS36=Sheet6!$C$5,Sheet6!$C$5,IF(Tim!FS36=Sheet6!$C$6,Sheet6!$C$6,IF(Tim!FS36=Sheet6!$C$7,Sheet6!$C$7,IF(Tim!FS36=Sheet6!$C$8,Sheet6!$C$8,"")))))))</f>
        <v/>
      </c>
      <c r="BS34" s="53" t="str">
        <f>IF(Tim!FT36=Sheet6!$C$2,Sheet6!$C$2,IF(Tim!FT36=Sheet6!$C$3,Sheet6!$C$3,IF(Tim!FT36=Sheet6!$C$4,Sheet6!$C$4,IF(Tim!FT36=Sheet6!$C$5,Sheet6!$C$5,IF(Tim!FT36=Sheet6!$C$6,Sheet6!$C$6,IF(Tim!FT36=Sheet6!$C$7,Sheet6!$C$7,IF(Tim!FT36=Sheet6!$C$8,Sheet6!$C$8,"")))))))</f>
        <v/>
      </c>
      <c r="BT34" s="53" t="str">
        <f>IF(Tim!FU36=Sheet6!$C$2,Sheet6!$C$2,IF(Tim!FU36=Sheet6!$C$3,Sheet6!$C$3,IF(Tim!FU36=Sheet6!$C$4,Sheet6!$C$4,IF(Tim!FU36=Sheet6!$C$5,Sheet6!$C$5,IF(Tim!FU36=Sheet6!$C$6,Sheet6!$C$6,IF(Tim!FU36=Sheet6!$C$7,Sheet6!$C$7,IF(Tim!FU36=Sheet6!$C$8,Sheet6!$C$8,"")))))))</f>
        <v/>
      </c>
      <c r="BU34" s="53" t="str">
        <f>IF(Tim!FY36=Sheet6!$C$2,Sheet6!$C$2,IF(Tim!FY36=Sheet6!$C$3,Sheet6!$C$3,IF(Tim!FY36=Sheet6!$C$4,Sheet6!$C$4,IF(Tim!FY36=Sheet6!$C$5,Sheet6!$C$5,IF(Tim!FY36=Sheet6!$C$6,Sheet6!$C$6,IF(Tim!FY36=Sheet6!$C$7,Sheet6!$C$7,IF(Tim!FY36=Sheet6!$C$8,Sheet6!$C$8,"")))))))</f>
        <v/>
      </c>
      <c r="BV34" s="54" t="str">
        <f>IF(Tim!FZ36=Sheet6!$C$2,Sheet6!$C$2,IF(Tim!FZ36=Sheet6!$C$3,Sheet6!$C$3,IF(Tim!FZ36=Sheet6!$C$4,Sheet6!$C$4,IF(Tim!FZ36=Sheet6!$C$5,Sheet6!$C$5,IF(Tim!FZ36=Sheet6!$C$6,Sheet6!$C$6,IF(Tim!FZ36=Sheet6!$C$7,Sheet6!$C$7,IF(Tim!FZ36=Sheet6!$C$8,Sheet6!$C$8,"")))))))</f>
        <v/>
      </c>
      <c r="BW34" s="54" t="str">
        <f>IF(Tim!GA36=Sheet6!$C$2,Sheet6!$C$2,IF(Tim!GA36=Sheet6!$C$3,Sheet6!$C$3,IF(Tim!GA36=Sheet6!$C$4,Sheet6!$C$4,IF(Tim!GA36=Sheet6!$C$5,Sheet6!$C$5,IF(Tim!GA36=Sheet6!$C$6,Sheet6!$C$6,IF(Tim!GA36=Sheet6!$C$7,Sheet6!$C$7,IF(Tim!GA36=Sheet6!$C$8,Sheet6!$C$8,"")))))))</f>
        <v/>
      </c>
      <c r="BX34" s="54" t="str">
        <f>IF(Tim!GB36=Sheet6!$C$2,Sheet6!$C$2,IF(Tim!GB36=Sheet6!$C$3,Sheet6!$C$3,IF(Tim!GB36=Sheet6!$C$4,Sheet6!$C$4,IF(Tim!GB36=Sheet6!$C$5,Sheet6!$C$5,IF(Tim!GB36=Sheet6!$C$6,Sheet6!$C$6,IF(Tim!GB36=Sheet6!$C$7,Sheet6!$C$7,IF(Tim!GB36=Sheet6!$C$8,Sheet6!$C$8,"")))))))</f>
        <v/>
      </c>
      <c r="BY34" s="55" t="str">
        <f>IF(Tim!GC36=Sheet6!$C$2,Sheet6!$C$2,IF(Tim!GC36=Sheet6!$C$3,Sheet6!$C$3,IF(Tim!GC36=Sheet6!$C$4,Sheet6!$C$4,IF(Tim!GC36=Sheet6!$C$5,Sheet6!$C$5,IF(Tim!GC36=Sheet6!$C$6,Sheet6!$C$6,IF(Tim!GC36=Sheet6!$C$7,Sheet6!$C$7,IF(Tim!GC36=Sheet6!$C$8,Sheet6!$C$8,"")))))))</f>
        <v/>
      </c>
      <c r="BZ34" s="53" t="str">
        <f>IF(Tim!GD36=Sheet6!$C$2,Sheet6!$C$2,IF(Tim!GD36=Sheet6!$C$3,Sheet6!$C$3,IF(Tim!GD36=Sheet6!$C$4,Sheet6!$C$4,IF(Tim!GD36=Sheet6!$C$5,Sheet6!$C$5,IF(Tim!GD36=Sheet6!$C$6,Sheet6!$C$6,IF(Tim!GD36=Sheet6!$C$7,Sheet6!$C$7,IF(Tim!GD36=Sheet6!$C$8,Sheet6!$C$8,"")))))))</f>
        <v/>
      </c>
      <c r="CA34" s="53" t="str">
        <f>IF(Tim!GE36=Sheet6!$C$2,Sheet6!$C$2,IF(Tim!GE36=Sheet6!$C$3,Sheet6!$C$3,IF(Tim!GE36=Sheet6!$C$4,Sheet6!$C$4,IF(Tim!GE36=Sheet6!$C$5,Sheet6!$C$5,IF(Tim!GE36=Sheet6!$C$6,Sheet6!$C$6,IF(Tim!GE36=Sheet6!$C$7,Sheet6!$C$7,IF(Tim!GE36=Sheet6!$C$8,Sheet6!$C$8,"")))))))</f>
        <v/>
      </c>
      <c r="CB34" s="57" t="str">
        <f>IF(Tim!GI36=Sheet6!$C$2,Sheet6!$C$2,IF(Tim!GI36=Sheet6!$C$3,Sheet6!$C$3,IF(Tim!GI36=Sheet6!$C$4,Sheet6!$C$4,IF(Tim!GI36=Sheet6!$C$5,Sheet6!$C$5,IF(Tim!GI36=Sheet6!$C$6,Sheet6!$C$6,IF(Tim!GI36=Sheet6!$C$7,Sheet6!$C$7,IF(Tim!GI36=Sheet6!$C$8,Sheet6!$C$8,"")))))))</f>
        <v/>
      </c>
      <c r="CC34" s="57" t="str">
        <f>IF(Tim!GJ36=Sheet6!$C$2,Sheet6!$C$2,IF(Tim!GJ36=Sheet6!$C$3,Sheet6!$C$3,IF(Tim!GJ36=Sheet6!$C$4,Sheet6!$C$4,IF(Tim!GJ36=Sheet6!$C$5,Sheet6!$C$5,IF(Tim!GJ36=Sheet6!$C$6,Sheet6!$C$6,IF(Tim!GJ36=Sheet6!$C$7,Sheet6!$C$7,IF(Tim!GJ36=Sheet6!$C$8,Sheet6!$C$8,"")))))))</f>
        <v/>
      </c>
      <c r="CD34" s="57" t="str">
        <f>IF(Tim!GN36=Sheet6!$C$2,Sheet6!$C$2,IF(Tim!GN36=Sheet6!$C$3,Sheet6!$C$3,IF(Tim!GN36=Sheet6!$C$4,Sheet6!$C$4,IF(Tim!GN36=Sheet6!$C$5,Sheet6!$C$5,IF(Tim!GN36=Sheet6!$C$6,Sheet6!$C$6,IF(Tim!GN36=Sheet6!$C$7,Sheet6!$C$7,IF(Tim!GN36=Sheet6!$C$8,Sheet6!$C$8,"")))))))</f>
        <v/>
      </c>
      <c r="CE34" s="53" t="str">
        <f>IF(Tim!GY36=Sheet6!$C$2,Sheet6!$C$2,IF(Tim!GY36=Sheet6!$C$3,Sheet6!$C$3,IF(Tim!GY36=Sheet6!$C$4,Sheet6!$C$4,IF(Tim!GY36=Sheet6!$C$5,Sheet6!$C$5,IF(Tim!GY36=Sheet6!$C$6,Sheet6!$C$6,IF(Tim!GY36=Sheet6!$C$7,Sheet6!$C$7,IF(Tim!GY36=Sheet6!$C$8,Sheet6!$C$8,"")))))))</f>
        <v/>
      </c>
      <c r="CF34" s="181" t="str">
        <f>IF(Tim!GZ36=Sheet6!$C$2,Sheet6!$C$2,IF(Tim!GZ36=Sheet6!$C$3,Sheet6!$C$3,IF(Tim!GZ36=Sheet6!$C$4,Sheet6!$C$4,IF(Tim!GZ36=Sheet6!$C$5,Sheet6!$C$5,IF(Tim!GZ36=Sheet6!$C$6,Sheet6!$C$6,IF(Tim!GZ36=Sheet6!$C$7,Sheet6!$C$7,IF(Tim!GZ36=Sheet6!$C$8,Sheet6!$C$8,"")))))))</f>
        <v/>
      </c>
      <c r="CG34" s="181" t="str">
        <f>IF(Tim!HH36=Sheet6!$C$2,Sheet6!$C$2,IF(Tim!HH36=Sheet6!$C$3,Sheet6!$C$3,IF(Tim!HH36=Sheet6!$C$4,Sheet6!$C$4,IF(Tim!HH36=Sheet6!$C$5,Sheet6!$C$5,IF(Tim!HH36=Sheet6!$C$6,Sheet6!$C$6,IF(Tim!HH36=Sheet6!$C$7,Sheet6!$C$7,IF(Tim!HH36=Sheet6!$C$8,Sheet6!$C$8,"")))))))</f>
        <v/>
      </c>
      <c r="CH34" s="181" t="str">
        <f>IF(Tim!HI36=Sheet6!$C$2,Sheet6!$C$2,IF(Tim!HI36=Sheet6!$C$3,Sheet6!$C$3,IF(Tim!HI36=Sheet6!$C$4,Sheet6!$C$4,IF(Tim!HI36=Sheet6!$C$5,Sheet6!$C$5,IF(Tim!HI36=Sheet6!$C$6,Sheet6!$C$6,IF(Tim!HI36=Sheet6!$C$7,Sheet6!$C$7,IF(Tim!HI36=Sheet6!$C$8,Sheet6!$C$8,"")))))))</f>
        <v/>
      </c>
      <c r="CI34" s="53" t="str">
        <f>IF(Tim!HJ36=Sheet6!$C$2,Sheet6!$C$2,IF(Tim!HJ36=Sheet6!$C$3,Sheet6!$C$3,IF(Tim!HJ36=Sheet6!$C$4,Sheet6!$C$4,IF(Tim!HJ36=Sheet6!$C$5,Sheet6!$C$5,IF(Tim!HJ36=Sheet6!$C$6,Sheet6!$C$6,IF(Tim!HJ36=Sheet6!$C$7,Sheet6!$C$7,IF(Tim!HJ36=Sheet6!$C$8,Sheet6!$C$8,"")))))))</f>
        <v/>
      </c>
      <c r="CJ34" s="53" t="str">
        <f>IF(Tim!HK36=Sheet6!$C$2,Sheet6!$C$2,IF(Tim!HK36=Sheet6!$C$3,Sheet6!$C$3,IF(Tim!HK36=Sheet6!$C$4,Sheet6!$C$4,IF(Tim!HK36=Sheet6!$C$5,Sheet6!$C$5,IF(Tim!HK36=Sheet6!$C$6,Sheet6!$C$6,IF(Tim!HK36=Sheet6!$C$7,Sheet6!$C$7,IF(Tim!HK36=Sheet6!$C$8,Sheet6!$C$8,"")))))))</f>
        <v/>
      </c>
      <c r="CK34" s="53" t="str">
        <f>IF(Tim!HL36=Sheet6!$C$2,Sheet6!$C$2,IF(Tim!HL36=Sheet6!$C$3,Sheet6!$C$3,IF(Tim!HL36=Sheet6!$C$4,Sheet6!$C$4,IF(Tim!HL36=Sheet6!$C$5,Sheet6!$C$5,IF(Tim!HL36=Sheet6!$C$6,Sheet6!$C$6,IF(Tim!HL36=Sheet6!$C$7,Sheet6!$C$7,IF(Tim!HL36=Sheet6!$C$8,Sheet6!$C$8,"")))))))</f>
        <v/>
      </c>
      <c r="CL34" s="53" t="str">
        <f>IF(Tim!HM36=Sheet6!$C$2,Sheet6!$C$2,IF(Tim!HM36=Sheet6!$C$3,Sheet6!$C$3,IF(Tim!HM36=Sheet6!$C$4,Sheet6!$C$4,IF(Tim!HM36=Sheet6!$C$5,Sheet6!$C$5,IF(Tim!HM36=Sheet6!$C$6,Sheet6!$C$6,IF(Tim!HM36=Sheet6!$C$7,Sheet6!$C$7,IF(Tim!HM36=Sheet6!$C$8,Sheet6!$C$8,"")))))))</f>
        <v/>
      </c>
      <c r="CM34" s="53" t="str">
        <f>IF(Tim!HQ36=Sheet6!$C$2,Sheet6!$C$2,IF(Tim!HQ36=Sheet6!$C$3,Sheet6!$C$3,IF(Tim!HQ36=Sheet6!$C$4,Sheet6!$C$4,IF(Tim!HQ36=Sheet6!$C$5,Sheet6!$C$5,IF(Tim!HQ36=Sheet6!$C$6,Sheet6!$C$6,IF(Tim!HQ36=Sheet6!$C$7,Sheet6!$C$7,IF(Tim!HQ36=Sheet6!$C$8,Sheet6!$C$8,"")))))))</f>
        <v/>
      </c>
      <c r="CN34" s="54" t="str">
        <f>IF(Tim!HR36=Sheet6!$C$2,Sheet6!$C$2,IF(Tim!HR36=Sheet6!$C$3,Sheet6!$C$3,IF(Tim!HR36=Sheet6!$C$4,Sheet6!$C$4,IF(Tim!HR36=Sheet6!$C$5,Sheet6!$C$5,IF(Tim!HR36=Sheet6!$C$6,Sheet6!$C$6,IF(Tim!HR36=Sheet6!$C$7,Sheet6!$C$7,IF(Tim!HR36=Sheet6!$C$8,Sheet6!$C$8,"")))))))</f>
        <v/>
      </c>
      <c r="CO34" s="54" t="str">
        <f>IF(Tim!HS36=Sheet6!$C$2,Sheet6!$C$2,IF(Tim!HS36=Sheet6!$C$3,Sheet6!$C$3,IF(Tim!HS36=Sheet6!$C$4,Sheet6!$C$4,IF(Tim!HS36=Sheet6!$C$5,Sheet6!$C$5,IF(Tim!HS36=Sheet6!$C$6,Sheet6!$C$6,IF(Tim!HS36=Sheet6!$C$7,Sheet6!$C$7,IF(Tim!HS36=Sheet6!$C$8,Sheet6!$C$8,"")))))))</f>
        <v/>
      </c>
      <c r="CP34" s="54" t="str">
        <f>IF(Tim!HT36=Sheet6!$C$2,Sheet6!$C$2,IF(Tim!HT36=Sheet6!$C$3,Sheet6!$C$3,IF(Tim!HT36=Sheet6!$C$4,Sheet6!$C$4,IF(Tim!HT36=Sheet6!$C$5,Sheet6!$C$5,IF(Tim!HT36=Sheet6!$C$6,Sheet6!$C$6,IF(Tim!HT36=Sheet6!$C$7,Sheet6!$C$7,IF(Tim!HT36=Sheet6!$C$8,Sheet6!$C$8,"")))))))</f>
        <v/>
      </c>
      <c r="CQ34" s="55" t="str">
        <f>IF(Tim!HU36=Sheet6!$C$2,Sheet6!$C$2,IF(Tim!HU36=Sheet6!$C$3,Sheet6!$C$3,IF(Tim!HU36=Sheet6!$C$4,Sheet6!$C$4,IF(Tim!HU36=Sheet6!$C$5,Sheet6!$C$5,IF(Tim!HU36=Sheet6!$C$6,Sheet6!$C$6,IF(Tim!HU36=Sheet6!$C$7,Sheet6!$C$7,IF(Tim!HU36=Sheet6!$C$8,Sheet6!$C$8,"")))))))</f>
        <v/>
      </c>
      <c r="CR34" s="56" t="str">
        <f>IF(Tim!HV36=Sheet6!$C$2,Sheet6!$C$2,IF(Tim!HV36=Sheet6!$C$3,Sheet6!$C$3,IF(Tim!HV36=Sheet6!$C$4,Sheet6!$C$4,IF(Tim!HV36=Sheet6!$C$5,Sheet6!$C$5,IF(Tim!HV36=Sheet6!$C$6,Sheet6!$C$6,IF(Tim!HV36=Sheet6!$C$7,Sheet6!$C$7,IF(Tim!HV36=Sheet6!$C$8,Sheet6!$C$8,"")))))))</f>
        <v/>
      </c>
      <c r="CS34" s="57" t="str">
        <f>IF(Tim!IB36=Sheet6!$C$2,Sheet6!$C$2,IF(Tim!IB36=Sheet6!$C$3,Sheet6!$C$3,IF(Tim!IB36=Sheet6!$C$4,Sheet6!$C$4,IF(Tim!IB36=Sheet6!$C$5,Sheet6!$C$5,IF(Tim!IB36=Sheet6!$C$6,Sheet6!$C$6,IF(Tim!IB36=Sheet6!$C$7,Sheet6!$C$7,IF(Tim!IB36=Sheet6!$C$8,Sheet6!$C$8,"")))))))</f>
        <v/>
      </c>
      <c r="CT34" s="57" t="str">
        <f>IF(Tim!IJ36=Sheet6!$C$2,Sheet6!$C$2,IF(Tim!IJ36=Sheet6!$C$3,Sheet6!$C$3,IF(Tim!IJ36=Sheet6!$C$4,Sheet6!$C$4,IF(Tim!IJ36=Sheet6!$C$5,Sheet6!$C$5,IF(Tim!IJ36=Sheet6!$C$6,Sheet6!$C$6,IF(Tim!IJ36=Sheet6!$C$7,Sheet6!$C$7,IF(Tim!IJ36=Sheet6!$C$8,Sheet6!$C$8,"")))))))</f>
        <v/>
      </c>
      <c r="CU34" s="57" t="str">
        <f>IF(Tim!IQ36=Sheet6!$C$2,Sheet6!$C$2,IF(Tim!IQ36=Sheet6!$C$3,Sheet6!$C$3,IF(Tim!IQ36=Sheet6!$C$4,Sheet6!$C$4,IF(Tim!IQ36=Sheet6!$C$5,Sheet6!$C$5,IF(Tim!IQ36=Sheet6!$C$6,Sheet6!$C$6,IF(Tim!IQ36=Sheet6!$C$7,Sheet6!$C$7,IF(Tim!IQ36=Sheet6!$C$8,Sheet6!$C$8,"")))))))</f>
        <v/>
      </c>
      <c r="CV34" s="53" t="str">
        <f>IF(Tim!IR36=Sheet6!$C$2,Sheet6!$C$2,IF(Tim!IR36=Sheet6!$C$3,Sheet6!$C$3,IF(Tim!IR36=Sheet6!$C$4,Sheet6!$C$4,IF(Tim!IR36=Sheet6!$C$5,Sheet6!$C$5,IF(Tim!IR36=Sheet6!$C$6,Sheet6!$C$6,IF(Tim!IR36=Sheet6!$C$7,Sheet6!$C$7,IF(Tim!IR36=Sheet6!$C$8,Sheet6!$C$8,"")))))))</f>
        <v/>
      </c>
      <c r="CW34" s="53" t="str">
        <f>IF(Tim!IZ36=Sheet6!$C$2,Sheet6!$C$2,IF(Tim!IZ36=Sheet6!$C$3,Sheet6!$C$3,IF(Tim!IZ36=Sheet6!$C$4,Sheet6!$C$4,IF(Tim!IZ36=Sheet6!$C$5,Sheet6!$C$5,IF(Tim!IZ36=Sheet6!$C$6,Sheet6!$C$6,IF(Tim!IZ36=Sheet6!$C$7,Sheet6!$C$7,IF(Tim!IZ36=Sheet6!$C$8,Sheet6!$C$8,"")))))))</f>
        <v/>
      </c>
      <c r="CX34" s="53" t="str">
        <f>IF(Tim!JA36=Sheet6!$C$2,Sheet6!$C$2,IF(Tim!JA36=Sheet6!$C$3,Sheet6!$C$3,IF(Tim!JA36=Sheet6!$C$4,Sheet6!$C$4,IF(Tim!JA36=Sheet6!$C$5,Sheet6!$C$5,IF(Tim!JA36=Sheet6!$C$6,Sheet6!$C$6,IF(Tim!JA36=Sheet6!$C$7,Sheet6!$C$7,IF(Tim!JA36=Sheet6!$C$8,Sheet6!$C$8,"")))))))</f>
        <v/>
      </c>
      <c r="CY34" s="53" t="str">
        <f>IF(Tim!JB36=Sheet6!$C$2,Sheet6!$C$2,IF(Tim!JB36=Sheet6!$C$3,Sheet6!$C$3,IF(Tim!JB36=Sheet6!$C$4,Sheet6!$C$4,IF(Tim!JB36=Sheet6!$C$5,Sheet6!$C$5,IF(Tim!JB36=Sheet6!$C$6,Sheet6!$C$6,IF(Tim!JB36=Sheet6!$C$7,Sheet6!$C$7,IF(Tim!JB36=Sheet6!$C$8,Sheet6!$C$8,"")))))))</f>
        <v/>
      </c>
      <c r="CZ34" s="53" t="str">
        <f>IF(Tim!JC36=Sheet6!$C$2,Sheet6!$C$2,IF(Tim!JC36=Sheet6!$C$3,Sheet6!$C$3,IF(Tim!JC36=Sheet6!$C$4,Sheet6!$C$4,IF(Tim!JC36=Sheet6!$C$5,Sheet6!$C$5,IF(Tim!JC36=Sheet6!$C$6,Sheet6!$C$6,IF(Tim!JC36=Sheet6!$C$7,Sheet6!$C$7,IF(Tim!JC36=Sheet6!$C$8,Sheet6!$C$8,"")))))))</f>
        <v/>
      </c>
      <c r="DA34" s="53" t="str">
        <f>IF(Tim!JD36=Sheet6!$C$2,Sheet6!$C$2,IF(Tim!JD36=Sheet6!$C$3,Sheet6!$C$3,IF(Tim!JD36=Sheet6!$C$4,Sheet6!$C$4,IF(Tim!JD36=Sheet6!$C$5,Sheet6!$C$5,IF(Tim!JD36=Sheet6!$C$6,Sheet6!$C$6,IF(Tim!JD36=Sheet6!$C$7,Sheet6!$C$7,IF(Tim!JD36=Sheet6!$C$8,Sheet6!$C$8,"")))))))</f>
        <v/>
      </c>
      <c r="DB34" s="53" t="str">
        <f>IF(Tim!JE36=Sheet6!$C$2,Sheet6!$C$2,IF(Tim!JE36=Sheet6!$C$3,Sheet6!$C$3,IF(Tim!JE36=Sheet6!$C$4,Sheet6!$C$4,IF(Tim!JE36=Sheet6!$C$5,Sheet6!$C$5,IF(Tim!JE36=Sheet6!$C$6,Sheet6!$C$6,IF(Tim!JE36=Sheet6!$C$7,Sheet6!$C$7,IF(Tim!JE36=Sheet6!$C$8,Sheet6!$C$8,"")))))))</f>
        <v/>
      </c>
      <c r="DC34" s="53" t="str">
        <f>IF(Tim!JI36=Sheet6!$C$2,Sheet6!$C$2,IF(Tim!JI36=Sheet6!$C$3,Sheet6!$C$3,IF(Tim!JI36=Sheet6!$C$4,Sheet6!$C$4,IF(Tim!JI36=Sheet6!$C$5,Sheet6!$C$5,IF(Tim!JI36=Sheet6!$C$6,Sheet6!$C$6,IF(Tim!JI36=Sheet6!$C$7,Sheet6!$C$7,IF(Tim!JI36=Sheet6!$C$8,Sheet6!$C$8,"")))))))</f>
        <v/>
      </c>
      <c r="DD34" s="54" t="str">
        <f>IF(Tim!JJ36=Sheet6!$C$2,Sheet6!$C$2,IF(Tim!JJ36=Sheet6!$C$3,Sheet6!$C$3,IF(Tim!JJ36=Sheet6!$C$4,Sheet6!$C$4,IF(Tim!JJ36=Sheet6!$C$5,Sheet6!$C$5,IF(Tim!JJ36=Sheet6!$C$6,Sheet6!$C$6,IF(Tim!JJ36=Sheet6!$C$7,Sheet6!$C$7,IF(Tim!JJ36=Sheet6!$C$8,Sheet6!$C$8,"")))))))</f>
        <v/>
      </c>
      <c r="DE34" s="54" t="str">
        <f>IF(Tim!JK36=Sheet6!$C$2,Sheet6!$C$2,IF(Tim!JK36=Sheet6!$C$3,Sheet6!$C$3,IF(Tim!JK36=Sheet6!$C$4,Sheet6!$C$4,IF(Tim!JK36=Sheet6!$C$5,Sheet6!$C$5,IF(Tim!JK36=Sheet6!$C$6,Sheet6!$C$6,IF(Tim!JK36=Sheet6!$C$7,Sheet6!$C$7,IF(Tim!JK36=Sheet6!$C$8,Sheet6!$C$8,"")))))))</f>
        <v/>
      </c>
      <c r="DF34" s="54" t="str">
        <f>IF(Tim!JL36=Sheet6!$C$2,Sheet6!$C$2,IF(Tim!JL36=Sheet6!$C$3,Sheet6!$C$3,IF(Tim!JL36=Sheet6!$C$4,Sheet6!$C$4,IF(Tim!JL36=Sheet6!$C$5,Sheet6!$C$5,IF(Tim!JL36=Sheet6!$C$6,Sheet6!$C$6,IF(Tim!JL36=Sheet6!$C$7,Sheet6!$C$7,IF(Tim!JL36=Sheet6!$C$8,Sheet6!$C$8,"")))))))</f>
        <v/>
      </c>
      <c r="DG34" s="55" t="str">
        <f>IF(Tim!JM36=Sheet6!$C$2,Sheet6!$C$2,IF(Tim!JM36=Sheet6!$C$3,Sheet6!$C$3,IF(Tim!JM36=Sheet6!$C$4,Sheet6!$C$4,IF(Tim!JM36=Sheet6!$C$5,Sheet6!$C$5,IF(Tim!JM36=Sheet6!$C$6,Sheet6!$C$6,IF(Tim!JM36=Sheet6!$C$7,Sheet6!$C$7,IF(Tim!JM36=Sheet6!$C$8,Sheet6!$C$8,"")))))))</f>
        <v/>
      </c>
      <c r="DH34" s="56" t="str">
        <f>IF(Tim!JN36=Sheet6!$C$2,Sheet6!$C$2,IF(Tim!JN36=Sheet6!$C$3,Sheet6!$C$3,IF(Tim!JN36=Sheet6!$C$4,Sheet6!$C$4,IF(Tim!JN36=Sheet6!$C$5,Sheet6!$C$5,IF(Tim!JN36=Sheet6!$C$6,Sheet6!$C$6,IF(Tim!JN36=Sheet6!$C$7,Sheet6!$C$7,IF(Tim!JN36=Sheet6!$C$8,Sheet6!$C$8,"")))))))</f>
        <v/>
      </c>
      <c r="DI34" s="57" t="str">
        <f>IF(Tim!JS36=Sheet6!$C$2,Sheet6!$C$2,IF(Tim!JS36=Sheet6!$C$3,Sheet6!$C$3,IF(Tim!JS36=Sheet6!$C$4,Sheet6!$C$4,IF(Tim!JS36=Sheet6!$C$5,Sheet6!$C$5,IF(Tim!JS36=Sheet6!$C$6,Sheet6!$C$6,IF(Tim!JS36=Sheet6!$C$7,Sheet6!$C$7,IF(Tim!JS36=Sheet6!$C$8,Sheet6!$C$8,"")))))))</f>
        <v/>
      </c>
      <c r="DJ34" s="57" t="str">
        <f>IF(Tim!KB36=Sheet6!$C$2,Sheet6!$C$2,IF(Tim!KB36=Sheet6!$C$3,Sheet6!$C$3,IF(Tim!KB36=Sheet6!$C$4,Sheet6!$C$4,IF(Tim!KB36=Sheet6!$C$5,Sheet6!$C$5,IF(Tim!KB36=Sheet6!$C$6,Sheet6!$C$6,IF(Tim!KB36=Sheet6!$C$7,Sheet6!$C$7,IF(Tim!KB36=Sheet6!$C$8,Sheet6!$C$8,"")))))))</f>
        <v/>
      </c>
      <c r="DK34" s="53" t="str">
        <f>IF(Tim!KI36=Sheet6!$C$2,Sheet6!$C$2,IF(Tim!KI36=Sheet6!$C$3,Sheet6!$C$3,IF(Tim!KI36=Sheet6!$C$4,Sheet6!$C$4,IF(Tim!KI36=Sheet6!$C$5,Sheet6!$C$5,IF(Tim!KI36=Sheet6!$C$6,Sheet6!$C$6,IF(Tim!KI36=Sheet6!$C$7,Sheet6!$C$7,IF(Tim!KI36=Sheet6!$C$8,Sheet6!$C$8,"")))))))</f>
        <v/>
      </c>
      <c r="DL34" s="53" t="str">
        <f>IF(Tim!KJ36=Sheet6!$C$2,Sheet6!$C$2,IF(Tim!KJ36=Sheet6!$C$3,Sheet6!$C$3,IF(Tim!KJ36=Sheet6!$C$4,Sheet6!$C$4,IF(Tim!KJ36=Sheet6!$C$5,Sheet6!$C$5,IF(Tim!KJ36=Sheet6!$C$6,Sheet6!$C$6,IF(Tim!KJ36=Sheet6!$C$7,Sheet6!$C$7,IF(Tim!KJ36=Sheet6!$C$8,Sheet6!$C$8,"")))))))</f>
        <v/>
      </c>
      <c r="DM34" s="53" t="str">
        <f>IF(Tim!KR36=Sheet6!$C$2,Sheet6!$C$2,IF(Tim!KR36=Sheet6!$C$3,Sheet6!$C$3,IF(Tim!KR36=Sheet6!$C$4,Sheet6!$C$4,IF(Tim!KR36=Sheet6!$C$5,Sheet6!$C$5,IF(Tim!KR36=Sheet6!$C$6,Sheet6!$C$6,IF(Tim!KR36=Sheet6!$C$7,Sheet6!$C$7,IF(Tim!KR36=Sheet6!$C$8,Sheet6!$C$8,"")))))))</f>
        <v/>
      </c>
      <c r="DN34" s="53" t="str">
        <f>IF(Tim!KS36=Sheet6!$C$2,Sheet6!$C$2,IF(Tim!KS36=Sheet6!$C$3,Sheet6!$C$3,IF(Tim!KS36=Sheet6!$C$4,Sheet6!$C$4,IF(Tim!KS36=Sheet6!$C$5,Sheet6!$C$5,IF(Tim!KS36=Sheet6!$C$6,Sheet6!$C$6,IF(Tim!KS36=Sheet6!$C$7,Sheet6!$C$7,IF(Tim!KS36=Sheet6!$C$8,Sheet6!$C$8,"")))))))</f>
        <v/>
      </c>
      <c r="DO34" s="53" t="str">
        <f>IF(Tim!KT36=Sheet6!$C$2,Sheet6!$C$2,IF(Tim!KT36=Sheet6!$C$3,Sheet6!$C$3,IF(Tim!KT36=Sheet6!$C$4,Sheet6!$C$4,IF(Tim!KT36=Sheet6!$C$5,Sheet6!$C$5,IF(Tim!KT36=Sheet6!$C$6,Sheet6!$C$6,IF(Tim!KT36=Sheet6!$C$7,Sheet6!$C$7,IF(Tim!KT36=Sheet6!$C$8,Sheet6!$C$8,"")))))))</f>
        <v/>
      </c>
      <c r="DP34" s="53" t="str">
        <f>IF(Tim!KU36=Sheet6!$C$2,Sheet6!$C$2,IF(Tim!KU36=Sheet6!$C$3,Sheet6!$C$3,IF(Tim!KU36=Sheet6!$C$4,Sheet6!$C$4,IF(Tim!KU36=Sheet6!$C$5,Sheet6!$C$5,IF(Tim!KU36=Sheet6!$C$6,Sheet6!$C$6,IF(Tim!KU36=Sheet6!$C$7,Sheet6!$C$7,IF(Tim!KU36=Sheet6!$C$8,Sheet6!$C$8,"")))))))</f>
        <v/>
      </c>
      <c r="DQ34" s="53" t="str">
        <f>IF(Tim!KV36=Sheet6!$C$2,Sheet6!$C$2,IF(Tim!KV36=Sheet6!$C$3,Sheet6!$C$3,IF(Tim!KV36=Sheet6!$C$4,Sheet6!$C$4,IF(Tim!KV36=Sheet6!$C$5,Sheet6!$C$5,IF(Tim!KV36=Sheet6!$C$6,Sheet6!$C$6,IF(Tim!KV36=Sheet6!$C$7,Sheet6!$C$7,IF(Tim!KV36=Sheet6!$C$8,Sheet6!$C$8,"")))))))</f>
        <v/>
      </c>
      <c r="DR34" s="53" t="str">
        <f>IF(Tim!KW36=Sheet6!$C$2,Sheet6!$C$2,IF(Tim!KW36=Sheet6!$C$3,Sheet6!$C$3,IF(Tim!KW36=Sheet6!$C$4,Sheet6!$C$4,IF(Tim!KW36=Sheet6!$C$5,Sheet6!$C$5,IF(Tim!KW36=Sheet6!$C$6,Sheet6!$C$6,IF(Tim!KW36=Sheet6!$C$7,Sheet6!$C$7,IF(Tim!KW36=Sheet6!$C$8,Sheet6!$C$8,"")))))))</f>
        <v/>
      </c>
      <c r="DS34" s="53" t="str">
        <f>IF(Tim!LA36=Sheet6!$C$2,Sheet6!$C$2,IF(Tim!LA36=Sheet6!$C$3,Sheet6!$C$3,IF(Tim!LA36=Sheet6!$C$4,Sheet6!$C$4,IF(Tim!LA36=Sheet6!$C$5,Sheet6!$C$5,IF(Tim!LA36=Sheet6!$C$6,Sheet6!$C$6,IF(Tim!LA36=Sheet6!$C$7,Sheet6!$C$7,IF(Tim!LA36=Sheet6!$C$8,Sheet6!$C$8,"")))))))</f>
        <v/>
      </c>
      <c r="DT34" s="54" t="str">
        <f>IF(Tim!LB36=Sheet6!$C$2,Sheet6!$C$2,IF(Tim!LB36=Sheet6!$C$3,Sheet6!$C$3,IF(Tim!LB36=Sheet6!$C$4,Sheet6!$C$4,IF(Tim!LB36=Sheet6!$C$5,Sheet6!$C$5,IF(Tim!LB36=Sheet6!$C$6,Sheet6!$C$6,IF(Tim!LB36=Sheet6!$C$7,Sheet6!$C$7,IF(Tim!LB36=Sheet6!$C$8,Sheet6!$C$8,"")))))))</f>
        <v/>
      </c>
      <c r="DU34" s="54" t="str">
        <f>IF(Tim!LC36=Sheet6!$C$2,Sheet6!$C$2,IF(Tim!LC36=Sheet6!$C$3,Sheet6!$C$3,IF(Tim!LC36=Sheet6!$C$4,Sheet6!$C$4,IF(Tim!LC36=Sheet6!$C$5,Sheet6!$C$5,IF(Tim!LC36=Sheet6!$C$6,Sheet6!$C$6,IF(Tim!LC36=Sheet6!$C$7,Sheet6!$C$7,IF(Tim!LC36=Sheet6!$C$8,Sheet6!$C$8,"")))))))</f>
        <v/>
      </c>
      <c r="DV34" s="54" t="str">
        <f>IF(Tim!LD36=Sheet6!$C$2,Sheet6!$C$2,IF(Tim!LD36=Sheet6!$C$3,Sheet6!$C$3,IF(Tim!LD36=Sheet6!$C$4,Sheet6!$C$4,IF(Tim!LD36=Sheet6!$C$5,Sheet6!$C$5,IF(Tim!LD36=Sheet6!$C$6,Sheet6!$C$6,IF(Tim!LD36=Sheet6!$C$7,Sheet6!$C$7,IF(Tim!LD36=Sheet6!$C$8,Sheet6!$C$8,"")))))))</f>
        <v/>
      </c>
      <c r="DW34" s="55" t="str">
        <f>IF(Tim!LE36=Sheet6!$C$2,Sheet6!$C$2,IF(Tim!LE36=Sheet6!$C$3,Sheet6!$C$3,IF(Tim!LE36=Sheet6!$C$4,Sheet6!$C$4,IF(Tim!LE36=Sheet6!$C$5,Sheet6!$C$5,IF(Tim!LE36=Sheet6!$C$6,Sheet6!$C$6,IF(Tim!LE36=Sheet6!$C$7,Sheet6!$C$7,IF(Tim!LE36=Sheet6!$C$8,Sheet6!$C$8,"")))))))</f>
        <v/>
      </c>
      <c r="DX34" s="52">
        <v>0.593749999999999</v>
      </c>
    </row>
    <row r="35" spans="2:128" ht="10.5" customHeight="1">
      <c r="B35" s="51">
        <v>0.25</v>
      </c>
      <c r="C35" s="51">
        <v>0.25</v>
      </c>
      <c r="D35" s="51">
        <v>0.25</v>
      </c>
      <c r="E35" s="52">
        <v>0.60416666666666596</v>
      </c>
      <c r="F35" s="53" t="str">
        <f>IF(Tim!F37=Sheet6!$C$2,Sheet6!$C$2,IF(Tim!F37=Sheet6!$C$3,Sheet6!$C$3,IF(Tim!F37=Sheet6!$C$4,Sheet6!$C$4,IF(Tim!F37=Sheet6!$C$5,Sheet6!$C$5,IF(Tim!F37=Sheet6!$C$6,Sheet6!$C$6,IF(Tim!F37=Sheet6!$C$7,Sheet6!$C$7,IF(Tim!F37=Sheet6!$C$8,Sheet6!$C$8,"")))))))</f>
        <v/>
      </c>
      <c r="G35" s="53" t="str">
        <f>IF(Tim!G37=Sheet6!$C$2,Sheet6!$C$2,IF(Tim!G37=Sheet6!$C$3,Sheet6!$C$3,IF(Tim!G37=Sheet6!$C$4,Sheet6!$C$4,IF(Tim!G37=Sheet6!$C$5,Sheet6!$C$5,IF(Tim!G37=Sheet6!$C$6,Sheet6!$C$6,IF(Tim!G37=Sheet6!$C$7,Sheet6!$C$7,IF(Tim!G37=Sheet6!$C$8,Sheet6!$C$8,"")))))))</f>
        <v/>
      </c>
      <c r="H35" s="53" t="str">
        <f>IF(Tim!H37=Sheet6!$C$2,Sheet6!$C$2,IF(Tim!H37=Sheet6!$C$3,Sheet6!$C$3,IF(Tim!H37=Sheet6!$C$4,Sheet6!$C$4,IF(Tim!H37=Sheet6!$C$5,Sheet6!$C$5,IF(Tim!H37=Sheet6!$C$6,Sheet6!$C$6,IF(Tim!H37=Sheet6!$C$7,Sheet6!$C$7,IF(Tim!H37=Sheet6!$C$8,Sheet6!$C$8,"")))))))</f>
        <v/>
      </c>
      <c r="I35" s="53" t="str">
        <f>IF(Tim!L37=Sheet6!$C$2,Sheet6!$C$2,IF(Tim!L37=Sheet6!$C$3,Sheet6!$C$3,IF(Tim!L37=Sheet6!$C$4,Sheet6!$C$4,IF(Tim!L37=Sheet6!$C$5,Sheet6!$C$5,IF(Tim!L37=Sheet6!$C$6,Sheet6!$C$6,IF(Tim!L37=Sheet6!$C$7,Sheet6!$C$7,IF(Tim!L37=Sheet6!$C$8,Sheet6!$C$8,"")))))))</f>
        <v/>
      </c>
      <c r="J35" s="53" t="str">
        <f>IF(Tim!T37=Sheet6!$C$2,Sheet6!$C$2,IF(Tim!T37=Sheet6!$C$3,Sheet6!$C$3,IF(Tim!T37=Sheet6!$C$4,Sheet6!$C$4,IF(Tim!T37=Sheet6!$C$5,Sheet6!$C$5,IF(Tim!T37=Sheet6!$C$6,Sheet6!$C$6,IF(Tim!T37=Sheet6!$C$7,Sheet6!$C$7,IF(Tim!T37=Sheet6!$C$8,Sheet6!$C$8,"")))))))</f>
        <v/>
      </c>
      <c r="K35" s="53" t="str">
        <f>IF(Tim!AB37=Sheet6!$C$2,Sheet6!$C$2,IF(Tim!AB37=Sheet6!$C$3,Sheet6!$C$3,IF(Tim!AB37=Sheet6!$C$4,Sheet6!$C$4,IF(Tim!AB37=Sheet6!$C$5,Sheet6!$C$5,IF(Tim!AB37=Sheet6!$C$6,Sheet6!$C$6,IF(Tim!AB37=Sheet6!$C$7,Sheet6!$C$7,IF(Tim!AB37=Sheet6!$C$8,Sheet6!$C$8,"")))))))</f>
        <v/>
      </c>
      <c r="L35" s="181" t="str">
        <f>IF(Tim!AC37=Sheet6!$C$2,Sheet6!$C$2,IF(Tim!AC37=Sheet6!$C$3,Sheet6!$C$3,IF(Tim!AC37=Sheet6!$C$4,Sheet6!$C$4,IF(Tim!AC37=Sheet6!$C$5,Sheet6!$C$5,IF(Tim!AC37=Sheet6!$C$6,Sheet6!$C$6,IF(Tim!AC37=Sheet6!$C$7,Sheet6!$C$7,IF(Tim!AC37=Sheet6!$C$8,Sheet6!$C$8,"")))))))</f>
        <v/>
      </c>
      <c r="M35" s="181" t="str">
        <f>IF(Tim!AJ37=Sheet6!$C$2,Sheet6!$C$2,IF(Tim!AJ37=Sheet6!$C$3,Sheet6!$C$3,IF(Tim!AJ37=Sheet6!$C$4,Sheet6!$C$4,IF(Tim!AJ37=Sheet6!$C$5,Sheet6!$C$5,IF(Tim!AJ37=Sheet6!$C$6,Sheet6!$C$6,IF(Tim!AJ37=Sheet6!$C$7,Sheet6!$C$7,IF(Tim!AJ37=Sheet6!$C$8,Sheet6!$C$8,"")))))))</f>
        <v/>
      </c>
      <c r="N35" s="181" t="str">
        <f>IF(Tim!AK37=Sheet6!$C$2,Sheet6!$C$2,IF(Tim!AK37=Sheet6!$C$3,Sheet6!$C$3,IF(Tim!AK37=Sheet6!$C$4,Sheet6!$C$4,IF(Tim!AK37=Sheet6!$C$5,Sheet6!$C$5,IF(Tim!AK37=Sheet6!$C$6,Sheet6!$C$6,IF(Tim!AK37=Sheet6!$C$7,Sheet6!$C$7,IF(Tim!AK37=Sheet6!$C$8,Sheet6!$C$8,"")))))))</f>
        <v/>
      </c>
      <c r="O35" s="53" t="str">
        <f>IF(Tim!AL37=Sheet6!$C$2,Sheet6!$C$2,IF(Tim!AL37=Sheet6!$C$3,Sheet6!$C$3,IF(Tim!AL37=Sheet6!$C$4,Sheet6!$C$4,IF(Tim!AL37=Sheet6!$C$5,Sheet6!$C$5,IF(Tim!AL37=Sheet6!$C$6,Sheet6!$C$6,IF(Tim!AL37=Sheet6!$C$7,Sheet6!$C$7,IF(Tim!AL37=Sheet6!$C$8,Sheet6!$C$8,"")))))))</f>
        <v/>
      </c>
      <c r="P35" s="53" t="str">
        <f>IF(Tim!AN37=Sheet6!$C$2,Sheet6!$C$2,IF(Tim!AN37=Sheet6!$C$3,Sheet6!$C$3,IF(Tim!AN37=Sheet6!$C$4,Sheet6!$C$4,IF(Tim!AN37=Sheet6!$C$5,Sheet6!$C$5,IF(Tim!AN37=Sheet6!$C$6,Sheet6!$C$6,IF(Tim!AN37=Sheet6!$C$7,Sheet6!$C$7,IF(Tim!AN37=Sheet6!$C$8,Sheet6!$C$8,"")))))))</f>
        <v/>
      </c>
      <c r="Q35" s="53" t="str">
        <f>IF(Tim!AO37=Sheet6!$C$2,Sheet6!$C$2,IF(Tim!AO37=Sheet6!$C$3,Sheet6!$C$3,IF(Tim!AO37=Sheet6!$C$4,Sheet6!$C$4,IF(Tim!AO37=Sheet6!$C$5,Sheet6!$C$5,IF(Tim!AO37=Sheet6!$C$6,Sheet6!$C$6,IF(Tim!AO37=Sheet6!$C$7,Sheet6!$C$7,IF(Tim!AO37=Sheet6!$C$8,Sheet6!$C$8,"")))))))</f>
        <v/>
      </c>
      <c r="R35" s="53" t="str">
        <f>IF(Tim!AP37=Sheet6!$C$2,Sheet6!$C$2,IF(Tim!AP37=Sheet6!$C$3,Sheet6!$C$3,IF(Tim!AP37=Sheet6!$C$4,Sheet6!$C$4,IF(Tim!AP37=Sheet6!$C$5,Sheet6!$C$5,IF(Tim!AP37=Sheet6!$C$6,Sheet6!$C$6,IF(Tim!AP37=Sheet6!$C$7,Sheet6!$C$7,IF(Tim!AP37=Sheet6!$C$8,Sheet6!$C$8,"")))))))</f>
        <v/>
      </c>
      <c r="S35" s="53" t="str">
        <f>IF(Tim!AT37=Sheet6!$C$2,Sheet6!$C$2,IF(Tim!AT37=Sheet6!$C$3,Sheet6!$C$3,IF(Tim!AT37=Sheet6!$C$4,Sheet6!$C$4,IF(Tim!AT37=Sheet6!$C$5,Sheet6!$C$5,IF(Tim!AT37=Sheet6!$C$6,Sheet6!$C$6,IF(Tim!AT37=Sheet6!$C$7,Sheet6!$C$7,IF(Tim!AT37=Sheet6!$C$8,Sheet6!$C$8,"")))))))</f>
        <v/>
      </c>
      <c r="T35" s="54" t="str">
        <f>IF(Tim!AU37=Sheet6!$C$2,Sheet6!$C$2,IF(Tim!AU37=Sheet6!$C$3,Sheet6!$C$3,IF(Tim!AU37=Sheet6!$C$4,Sheet6!$C$4,IF(Tim!AU37=Sheet6!$C$5,Sheet6!$C$5,IF(Tim!AU37=Sheet6!$C$6,Sheet6!$C$6,IF(Tim!AU37=Sheet6!$C$7,Sheet6!$C$7,IF(Tim!AU37=Sheet6!$C$8,Sheet6!$C$8,"")))))))</f>
        <v/>
      </c>
      <c r="U35" s="54" t="str">
        <f>IF(Tim!AV37=Sheet6!$C$2,Sheet6!$C$2,IF(Tim!AV37=Sheet6!$C$3,Sheet6!$C$3,IF(Tim!AV37=Sheet6!$C$4,Sheet6!$C$4,IF(Tim!AV37=Sheet6!$C$5,Sheet6!$C$5,IF(Tim!AV37=Sheet6!$C$6,Sheet6!$C$6,IF(Tim!AV37=Sheet6!$C$7,Sheet6!$C$7,IF(Tim!AV37=Sheet6!$C$8,Sheet6!$C$8,"")))))))</f>
        <v/>
      </c>
      <c r="V35" s="54" t="str">
        <f>IF(Tim!AW37=Sheet6!$C$2,Sheet6!$C$2,IF(Tim!AW37=Sheet6!$C$3,Sheet6!$C$3,IF(Tim!AW37=Sheet6!$C$4,Sheet6!$C$4,IF(Tim!AW37=Sheet6!$C$5,Sheet6!$C$5,IF(Tim!AW37=Sheet6!$C$6,Sheet6!$C$6,IF(Tim!AW37=Sheet6!$C$7,Sheet6!$C$7,IF(Tim!AW37=Sheet6!$C$8,Sheet6!$C$8,"")))))))</f>
        <v/>
      </c>
      <c r="W35" s="55" t="str">
        <f>IF(Tim!AX37=Sheet6!$C$2,Sheet6!$C$2,IF(Tim!AX37=Sheet6!$C$3,Sheet6!$C$3,IF(Tim!AX37=Sheet6!$C$4,Sheet6!$C$4,IF(Tim!AX37=Sheet6!$C$5,Sheet6!$C$5,IF(Tim!AX37=Sheet6!$C$6,Sheet6!$C$6,IF(Tim!AX37=Sheet6!$C$7,Sheet6!$C$7,IF(Tim!AX37=Sheet6!$C$8,Sheet6!$C$8,"")))))))</f>
        <v/>
      </c>
      <c r="X35" s="53" t="str">
        <f>IF(Tim!AY37=Sheet6!$C$2,Sheet6!$C$2,IF(Tim!AY37=Sheet6!$C$3,Sheet6!$C$3,IF(Tim!AY37=Sheet6!$C$4,Sheet6!$C$4,IF(Tim!AY37=Sheet6!$C$5,Sheet6!$C$5,IF(Tim!AY37=Sheet6!$C$6,Sheet6!$C$6,IF(Tim!AY37=Sheet6!$C$7,Sheet6!$C$7,IF(Tim!AY37=Sheet6!$C$8,Sheet6!$C$8,"")))))))</f>
        <v/>
      </c>
      <c r="Y35" s="57" t="str">
        <f>IF(Tim!AZ37=Sheet6!$C$2,Sheet6!$C$2,IF(Tim!AZ37=Sheet6!$C$3,Sheet6!$C$3,IF(Tim!AZ37=Sheet6!$C$4,Sheet6!$C$4,IF(Tim!AZ37=Sheet6!$C$5,Sheet6!$C$5,IF(Tim!AZ37=Sheet6!$C$6,Sheet6!$C$6,IF(Tim!AZ37=Sheet6!$C$7,Sheet6!$C$7,IF(Tim!AZ37=Sheet6!$C$8,Sheet6!$C$8,"")))))))</f>
        <v/>
      </c>
      <c r="Z35" s="57" t="str">
        <f>IF(Tim!BD37=Sheet6!$C$2,Sheet6!$C$2,IF(Tim!BD37=Sheet6!$C$3,Sheet6!$C$3,IF(Tim!BD37=Sheet6!$C$4,Sheet6!$C$4,IF(Tim!BD37=Sheet6!$C$5,Sheet6!$C$5,IF(Tim!BD37=Sheet6!$C$6,Sheet6!$C$6,IF(Tim!BD37=Sheet6!$C$7,Sheet6!$C$7,IF(Tim!BD37=Sheet6!$C$8,Sheet6!$C$8,"")))))))</f>
        <v/>
      </c>
      <c r="AA35" s="57" t="str">
        <f>IF(Tim!BE37=Sheet6!$C$2,Sheet6!$C$2,IF(Tim!BE37=Sheet6!$C$3,Sheet6!$C$3,IF(Tim!BE37=Sheet6!$C$4,Sheet6!$C$4,IF(Tim!BE37=Sheet6!$C$5,Sheet6!$C$5,IF(Tim!BE37=Sheet6!$C$6,Sheet6!$C$6,IF(Tim!BE37=Sheet6!$C$7,Sheet6!$C$7,IF(Tim!BE37=Sheet6!$C$8,Sheet6!$C$8,"")))))))</f>
        <v/>
      </c>
      <c r="AB35" s="57" t="str">
        <f>IF(Tim!BL37=Sheet6!$C$2,Sheet6!$C$2,IF(Tim!BL37=Sheet6!$C$3,Sheet6!$C$3,IF(Tim!BL37=Sheet6!$C$4,Sheet6!$C$4,IF(Tim!BL37=Sheet6!$C$5,Sheet6!$C$5,IF(Tim!BL37=Sheet6!$C$6,Sheet6!$C$6,IF(Tim!BL37=Sheet6!$C$7,Sheet6!$C$7,IF(Tim!BL37=Sheet6!$C$8,Sheet6!$C$8,"")))))))</f>
        <v/>
      </c>
      <c r="AC35" s="53" t="str">
        <f>IF(Tim!BT37=Sheet6!$C$2,Sheet6!$C$2,IF(Tim!BT37=Sheet6!$C$3,Sheet6!$C$3,IF(Tim!BT37=Sheet6!$C$4,Sheet6!$C$4,IF(Tim!BT37=Sheet6!$C$5,Sheet6!$C$5,IF(Tim!BT37=Sheet6!$C$6,Sheet6!$C$6,IF(Tim!BT37=Sheet6!$C$7,Sheet6!$C$7,IF(Tim!BT37=Sheet6!$C$8,Sheet6!$C$8,"")))))))</f>
        <v/>
      </c>
      <c r="AD35" s="181" t="str">
        <f>IF(Tim!BU37=Sheet6!$C$2,Sheet6!$C$2,IF(Tim!BU37=Sheet6!$C$3,Sheet6!$C$3,IF(Tim!BU37=Sheet6!$C$4,Sheet6!$C$4,IF(Tim!BU37=Sheet6!$C$5,Sheet6!$C$5,IF(Tim!BU37=Sheet6!$C$6,Sheet6!$C$6,IF(Tim!BU37=Sheet6!$C$7,Sheet6!$C$7,IF(Tim!BU37=Sheet6!$C$8,Sheet6!$C$8,"")))))))</f>
        <v/>
      </c>
      <c r="AE35" s="181" t="str">
        <f>IF(Tim!CB37=Sheet6!$C$2,Sheet6!$C$2,IF(Tim!CB37=Sheet6!$C$3,Sheet6!$C$3,IF(Tim!CB37=Sheet6!$C$4,Sheet6!$C$4,IF(Tim!CB37=Sheet6!$C$5,Sheet6!$C$5,IF(Tim!CB37=Sheet6!$C$6,Sheet6!$C$6,IF(Tim!CB37=Sheet6!$C$7,Sheet6!$C$7,IF(Tim!CB37=Sheet6!$C$8,Sheet6!$C$8,"")))))))</f>
        <v/>
      </c>
      <c r="AF35" s="181" t="str">
        <f>IF(Tim!CD37=Sheet6!$C$2,Sheet6!$C$2,IF(Tim!CD37=Sheet6!$C$3,Sheet6!$C$3,IF(Tim!CD37=Sheet6!$C$4,Sheet6!$C$4,IF(Tim!CD37=Sheet6!$C$5,Sheet6!$C$5,IF(Tim!CD37=Sheet6!$C$6,Sheet6!$C$6,IF(Tim!CD37=Sheet6!$C$7,Sheet6!$C$7,IF(Tim!CD37=Sheet6!$C$8,Sheet6!$C$8,"")))))))</f>
        <v/>
      </c>
      <c r="AG35" s="53" t="str">
        <f>IF(Tim!CE37=Sheet6!$C$2,Sheet6!$C$2,IF(Tim!CE37=Sheet6!$C$3,Sheet6!$C$3,IF(Tim!CE37=Sheet6!$C$4,Sheet6!$C$4,IF(Tim!CE37=Sheet6!$C$5,Sheet6!$C$5,IF(Tim!CE37=Sheet6!$C$6,Sheet6!$C$6,IF(Tim!CE37=Sheet6!$C$7,Sheet6!$C$7,IF(Tim!CE37=Sheet6!$C$8,Sheet6!$C$8,"")))))))</f>
        <v/>
      </c>
      <c r="AH35" s="53" t="str">
        <f>IF(Tim!CF37=Sheet6!$C$2,Sheet6!$C$2,IF(Tim!CF37=Sheet6!$C$3,Sheet6!$C$3,IF(Tim!CF37=Sheet6!$C$4,Sheet6!$C$4,IF(Tim!CF37=Sheet6!$C$5,Sheet6!$C$5,IF(Tim!CF37=Sheet6!$C$6,Sheet6!$C$6,IF(Tim!CF37=Sheet6!$C$7,Sheet6!$C$7,IF(Tim!CF37=Sheet6!$C$8,Sheet6!$C$8,"")))))))</f>
        <v/>
      </c>
      <c r="AI35" s="53" t="str">
        <f>IF(Tim!CG37=Sheet6!$C$2,Sheet6!$C$2,IF(Tim!CG37=Sheet6!$C$3,Sheet6!$C$3,IF(Tim!CG37=Sheet6!$C$4,Sheet6!$C$4,IF(Tim!CG37=Sheet6!$C$5,Sheet6!$C$5,IF(Tim!CG37=Sheet6!$C$6,Sheet6!$C$6,IF(Tim!CG37=Sheet6!$C$7,Sheet6!$C$7,IF(Tim!CG37=Sheet6!$C$8,Sheet6!$C$8,"")))))))</f>
        <v/>
      </c>
      <c r="AJ35" s="53" t="str">
        <f>IF(Tim!CH37=Sheet6!$C$2,Sheet6!$C$2,IF(Tim!CH37=Sheet6!$C$3,Sheet6!$C$3,IF(Tim!CH37=Sheet6!$C$4,Sheet6!$C$4,IF(Tim!CH37=Sheet6!$C$5,Sheet6!$C$5,IF(Tim!CH37=Sheet6!$C$6,Sheet6!$C$6,IF(Tim!CH37=Sheet6!$C$7,Sheet6!$C$7,IF(Tim!CH37=Sheet6!$C$8,Sheet6!$C$8,"")))))))</f>
        <v/>
      </c>
      <c r="AK35" s="53" t="str">
        <f>IF(Tim!CL37=Sheet6!$C$2,Sheet6!$C$2,IF(Tim!CL37=Sheet6!$C$3,Sheet6!$C$3,IF(Tim!CL37=Sheet6!$C$4,Sheet6!$C$4,IF(Tim!CL37=Sheet6!$C$5,Sheet6!$C$5,IF(Tim!CL37=Sheet6!$C$6,Sheet6!$C$6,IF(Tim!CL37=Sheet6!$C$7,Sheet6!$C$7,IF(Tim!CL37=Sheet6!$C$8,Sheet6!$C$8,"")))))))</f>
        <v/>
      </c>
      <c r="AL35" s="54" t="str">
        <f>IF(Tim!CM37=Sheet6!$C$2,Sheet6!$C$2,IF(Tim!CM37=Sheet6!$C$3,Sheet6!$C$3,IF(Tim!CM37=Sheet6!$C$4,Sheet6!$C$4,IF(Tim!CM37=Sheet6!$C$5,Sheet6!$C$5,IF(Tim!CM37=Sheet6!$C$6,Sheet6!$C$6,IF(Tim!CM37=Sheet6!$C$7,Sheet6!$C$7,IF(Tim!CM37=Sheet6!$C$8,Sheet6!$C$8,"")))))))</f>
        <v/>
      </c>
      <c r="AM35" s="54" t="str">
        <f>IF(Tim!CN37=Sheet6!$C$2,Sheet6!$C$2,IF(Tim!CN37=Sheet6!$C$3,Sheet6!$C$3,IF(Tim!CN37=Sheet6!$C$4,Sheet6!$C$4,IF(Tim!CN37=Sheet6!$C$5,Sheet6!$C$5,IF(Tim!CN37=Sheet6!$C$6,Sheet6!$C$6,IF(Tim!CN37=Sheet6!$C$7,Sheet6!$C$7,IF(Tim!CN37=Sheet6!$C$8,Sheet6!$C$8,"")))))))</f>
        <v/>
      </c>
      <c r="AN35" s="54" t="str">
        <f>IF(Tim!CO37=Sheet6!$C$2,Sheet6!$C$2,IF(Tim!CO37=Sheet6!$C$3,Sheet6!$C$3,IF(Tim!CO37=Sheet6!$C$4,Sheet6!$C$4,IF(Tim!CO37=Sheet6!$C$5,Sheet6!$C$5,IF(Tim!CO37=Sheet6!$C$6,Sheet6!$C$6,IF(Tim!CO37=Sheet6!$C$7,Sheet6!$C$7,IF(Tim!CO37=Sheet6!$C$8,Sheet6!$C$8,"")))))))</f>
        <v/>
      </c>
      <c r="AO35" s="55" t="str">
        <f>IF(Tim!CP37=Sheet6!$C$2,Sheet6!$C$2,IF(Tim!CP37=Sheet6!$C$3,Sheet6!$C$3,IF(Tim!CP37=Sheet6!$C$4,Sheet6!$C$4,IF(Tim!CP37=Sheet6!$C$5,Sheet6!$C$5,IF(Tim!CP37=Sheet6!$C$6,Sheet6!$C$6,IF(Tim!CP37=Sheet6!$C$7,Sheet6!$C$7,IF(Tim!CP37=Sheet6!$C$8,Sheet6!$C$8,"")))))))</f>
        <v/>
      </c>
      <c r="AP35" s="53" t="str">
        <f>IF(Tim!CQ37=Sheet6!$C$2,Sheet6!$C$2,IF(Tim!CQ37=Sheet6!$C$3,Sheet6!$C$3,IF(Tim!CQ37=Sheet6!$C$4,Sheet6!$C$4,IF(Tim!CQ37=Sheet6!$C$5,Sheet6!$C$5,IF(Tim!CQ37=Sheet6!$C$6,Sheet6!$C$6,IF(Tim!CQ37=Sheet6!$C$7,Sheet6!$C$7,IF(Tim!CQ37=Sheet6!$C$8,Sheet6!$C$8,"")))))))</f>
        <v/>
      </c>
      <c r="AQ35" s="57" t="str">
        <f>IF(Tim!CR37=Sheet6!$C$2,Sheet6!$C$2,IF(Tim!CR37=Sheet6!$C$3,Sheet6!$C$3,IF(Tim!CR37=Sheet6!$C$4,Sheet6!$C$4,IF(Tim!CR37=Sheet6!$C$5,Sheet6!$C$5,IF(Tim!CR37=Sheet6!$C$6,Sheet6!$C$6,IF(Tim!CR37=Sheet6!$C$7,Sheet6!$C$7,IF(Tim!CR37=Sheet6!$C$8,Sheet6!$C$8,"")))))))</f>
        <v/>
      </c>
      <c r="AR35" s="57" t="str">
        <f>IF(Tim!CV37=Sheet6!$C$2,Sheet6!$C$2,IF(Tim!CV37=Sheet6!$C$3,Sheet6!$C$3,IF(Tim!CV37=Sheet6!$C$4,Sheet6!$C$4,IF(Tim!CV37=Sheet6!$C$5,Sheet6!$C$5,IF(Tim!CV37=Sheet6!$C$6,Sheet6!$C$6,IF(Tim!CV37=Sheet6!$C$7,Sheet6!$C$7,IF(Tim!CV37=Sheet6!$C$8,Sheet6!$C$8,"")))))))</f>
        <v/>
      </c>
      <c r="AS35" s="57" t="str">
        <f>IF(Tim!CW37=Sheet6!$C$2,Sheet6!$C$2,IF(Tim!CW37=Sheet6!$C$3,Sheet6!$C$3,IF(Tim!CW37=Sheet6!$C$4,Sheet6!$C$4,IF(Tim!CW37=Sheet6!$C$5,Sheet6!$C$5,IF(Tim!CW37=Sheet6!$C$6,Sheet6!$C$6,IF(Tim!CW37=Sheet6!$C$7,Sheet6!$C$7,IF(Tim!CW37=Sheet6!$C$8,Sheet6!$C$8,"")))))))</f>
        <v/>
      </c>
      <c r="AT35" s="57" t="str">
        <f>IF(Tim!DA37=Sheet6!$C$2,Sheet6!$C$2,IF(Tim!DA37=Sheet6!$C$3,Sheet6!$C$3,IF(Tim!DA37=Sheet6!$C$4,Sheet6!$C$4,IF(Tim!DA37=Sheet6!$C$5,Sheet6!$C$5,IF(Tim!DA37=Sheet6!$C$6,Sheet6!$C$6,IF(Tim!DA37=Sheet6!$C$7,Sheet6!$C$7,IF(Tim!DA37=Sheet6!$C$8,Sheet6!$C$8,"")))))))</f>
        <v/>
      </c>
      <c r="AU35" s="57" t="str">
        <f>IF(Tim!DO37=Sheet6!$C$2,Sheet6!$C$2,IF(Tim!DO37=Sheet6!$C$3,Sheet6!$C$3,IF(Tim!DO37=Sheet6!$C$4,Sheet6!$C$4,IF(Tim!DO37=Sheet6!$C$5,Sheet6!$C$5,IF(Tim!DO37=Sheet6!$C$6,Sheet6!$C$6,IF(Tim!DO37=Sheet6!$C$7,Sheet6!$C$7,IF(Tim!DO37=Sheet6!$C$8,Sheet6!$C$8,"")))))))</f>
        <v/>
      </c>
      <c r="AV35" s="181" t="str">
        <f>IF(Tim!DP37=Sheet6!$C$2,Sheet6!$C$2,IF(Tim!DP37=Sheet6!$C$3,Sheet6!$C$3,IF(Tim!DP37=Sheet6!$C$4,Sheet6!$C$4,IF(Tim!DP37=Sheet6!$C$5,Sheet6!$C$5,IF(Tim!DP37=Sheet6!$C$6,Sheet6!$C$6,IF(Tim!DP37=Sheet6!$C$7,Sheet6!$C$7,IF(Tim!DP37=Sheet6!$C$8,Sheet6!$C$8,"")))))))</f>
        <v/>
      </c>
      <c r="AW35" s="181" t="str">
        <f>IF(Tim!DX37=Sheet6!$C$2,Sheet6!$C$2,IF(Tim!DX37=Sheet6!$C$3,Sheet6!$C$3,IF(Tim!DX37=Sheet6!$C$4,Sheet6!$C$4,IF(Tim!DX37=Sheet6!$C$5,Sheet6!$C$5,IF(Tim!DX37=Sheet6!$C$6,Sheet6!$C$6,IF(Tim!DX37=Sheet6!$C$7,Sheet6!$C$7,IF(Tim!DX37=Sheet6!$C$8,Sheet6!$C$8,"")))))))</f>
        <v/>
      </c>
      <c r="AX35" s="181" t="str">
        <f>IF(Tim!DY37=Sheet6!$C$2,Sheet6!$C$2,IF(Tim!DY37=Sheet6!$C$3,Sheet6!$C$3,IF(Tim!DY37=Sheet6!$C$4,Sheet6!$C$4,IF(Tim!DY37=Sheet6!$C$5,Sheet6!$C$5,IF(Tim!DY37=Sheet6!$C$6,Sheet6!$C$6,IF(Tim!DY37=Sheet6!$C$7,Sheet6!$C$7,IF(Tim!DY37=Sheet6!$C$8,Sheet6!$C$8,"")))))))</f>
        <v/>
      </c>
      <c r="AY35" s="53" t="str">
        <f>IF(Tim!DZ37=Sheet6!$C$2,Sheet6!$C$2,IF(Tim!DZ37=Sheet6!$C$3,Sheet6!$C$3,IF(Tim!DZ37=Sheet6!$C$4,Sheet6!$C$4,IF(Tim!DZ37=Sheet6!$C$5,Sheet6!$C$5,IF(Tim!DZ37=Sheet6!$C$6,Sheet6!$C$6,IF(Tim!DZ37=Sheet6!$C$7,Sheet6!$C$7,IF(Tim!DZ37=Sheet6!$C$8,Sheet6!$C$8,"")))))))</f>
        <v/>
      </c>
      <c r="AZ35" s="53" t="str">
        <f>IF(Tim!EA37=Sheet6!$C$2,Sheet6!$C$2,IF(Tim!EA37=Sheet6!$C$3,Sheet6!$C$3,IF(Tim!EA37=Sheet6!$C$4,Sheet6!$C$4,IF(Tim!EA37=Sheet6!$C$5,Sheet6!$C$5,IF(Tim!EA37=Sheet6!$C$6,Sheet6!$C$6,IF(Tim!EA37=Sheet6!$C$7,Sheet6!$C$7,IF(Tim!EA37=Sheet6!$C$8,Sheet6!$C$8,"")))))))</f>
        <v/>
      </c>
      <c r="BA35" s="176" t="str">
        <f>IF(Tim!EB37=Sheet6!$C$2,Sheet6!$C$2,IF(Tim!EB37=Sheet6!$C$3,Sheet6!$C$3,IF(Tim!EB37=Sheet6!$C$4,Sheet6!$C$4,IF(Tim!EB37=Sheet6!$C$5,Sheet6!$C$5,IF(Tim!EB37=Sheet6!$C$6,Sheet6!$C$6,IF(Tim!EB37=Sheet6!$C$7,Sheet6!$C$7,IF(Tim!EB37=Sheet6!$C$8,Sheet6!$C$8,"")))))))</f>
        <v/>
      </c>
      <c r="BB35" s="53" t="str">
        <f>IF(Tim!EC37=Sheet6!$C$2,Sheet6!$C$2,IF(Tim!EC37=Sheet6!$C$3,Sheet6!$C$3,IF(Tim!EC37=Sheet6!$C$4,Sheet6!$C$4,IF(Tim!EC37=Sheet6!$C$5,Sheet6!$C$5,IF(Tim!EC37=Sheet6!$C$6,Sheet6!$C$6,IF(Tim!EC37=Sheet6!$C$7,Sheet6!$C$7,IF(Tim!EC37=Sheet6!$C$8,Sheet6!$C$8,"")))))))</f>
        <v/>
      </c>
      <c r="BC35" s="53" t="str">
        <f>IF(Tim!EG37=Sheet6!$C$2,Sheet6!$C$2,IF(Tim!EG37=Sheet6!$C$3,Sheet6!$C$3,IF(Tim!EG37=Sheet6!$C$4,Sheet6!$C$4,IF(Tim!EG37=Sheet6!$C$5,Sheet6!$C$5,IF(Tim!EG37=Sheet6!$C$6,Sheet6!$C$6,IF(Tim!EG37=Sheet6!$C$7,Sheet6!$C$7,IF(Tim!EG37=Sheet6!$C$8,Sheet6!$C$8,"")))))))</f>
        <v/>
      </c>
      <c r="BD35" s="54" t="str">
        <f>IF(Tim!EH37=Sheet6!$C$2,Sheet6!$C$2,IF(Tim!EH37=Sheet6!$C$3,Sheet6!$C$3,IF(Tim!EH37=Sheet6!$C$4,Sheet6!$C$4,IF(Tim!EH37=Sheet6!$C$5,Sheet6!$C$5,IF(Tim!EH37=Sheet6!$C$6,Sheet6!$C$6,IF(Tim!EH37=Sheet6!$C$7,Sheet6!$C$7,IF(Tim!EH37=Sheet6!$C$8,Sheet6!$C$8,"")))))))</f>
        <v/>
      </c>
      <c r="BE35" s="54" t="str">
        <f>IF(Tim!EI37=Sheet6!$C$2,Sheet6!$C$2,IF(Tim!EI37=Sheet6!$C$3,Sheet6!$C$3,IF(Tim!EI37=Sheet6!$C$4,Sheet6!$C$4,IF(Tim!EI37=Sheet6!$C$5,Sheet6!$C$5,IF(Tim!EI37=Sheet6!$C$6,Sheet6!$C$6,IF(Tim!EI37=Sheet6!$C$7,Sheet6!$C$7,IF(Tim!EI37=Sheet6!$C$8,Sheet6!$C$8,"")))))))</f>
        <v/>
      </c>
      <c r="BF35" s="54" t="str">
        <f>IF(Tim!EJ37=Sheet6!$C$2,Sheet6!$C$2,IF(Tim!EJ37=Sheet6!$C$3,Sheet6!$C$3,IF(Tim!EJ37=Sheet6!$C$4,Sheet6!$C$4,IF(Tim!EJ37=Sheet6!$C$5,Sheet6!$C$5,IF(Tim!EJ37=Sheet6!$C$6,Sheet6!$C$6,IF(Tim!EJ37=Sheet6!$C$7,Sheet6!$C$7,IF(Tim!EJ37=Sheet6!$C$8,Sheet6!$C$8,"")))))))</f>
        <v/>
      </c>
      <c r="BG35" s="55" t="str">
        <f>IF(Tim!EK37=Sheet6!$C$2,Sheet6!$C$2,IF(Tim!EK37=Sheet6!$C$3,Sheet6!$C$3,IF(Tim!EK37=Sheet6!$C$4,Sheet6!$C$4,IF(Tim!EK37=Sheet6!$C$5,Sheet6!$C$5,IF(Tim!EK37=Sheet6!$C$6,Sheet6!$C$6,IF(Tim!EK37=Sheet6!$C$7,Sheet6!$C$7,IF(Tim!EK37=Sheet6!$C$8,Sheet6!$C$8,"")))))))</f>
        <v/>
      </c>
      <c r="BH35" s="53" t="str">
        <f>IF(Tim!EL37=Sheet6!$C$2,Sheet6!$C$2,IF(Tim!EL37=Sheet6!$C$3,Sheet6!$C$3,IF(Tim!EL37=Sheet6!$C$4,Sheet6!$C$4,IF(Tim!EL37=Sheet6!$C$5,Sheet6!$C$5,IF(Tim!EL37=Sheet6!$C$6,Sheet6!$C$6,IF(Tim!EL37=Sheet6!$C$7,Sheet6!$C$7,IF(Tim!EL37=Sheet6!$C$8,Sheet6!$C$8,"")))))))</f>
        <v/>
      </c>
      <c r="BI35" s="53" t="str">
        <f>IF(Tim!EM37=Sheet6!$C$2,Sheet6!$C$2,IF(Tim!EM37=Sheet6!$C$3,Sheet6!$C$3,IF(Tim!EM37=Sheet6!$C$4,Sheet6!$C$4,IF(Tim!EM37=Sheet6!$C$5,Sheet6!$C$5,IF(Tim!EM37=Sheet6!$C$6,Sheet6!$C$6,IF(Tim!EM37=Sheet6!$C$7,Sheet6!$C$7,IF(Tim!EM37=Sheet6!$C$8,Sheet6!$C$8,"")))))))</f>
        <v/>
      </c>
      <c r="BJ35" s="57" t="str">
        <f>IF(Tim!EQ37=Sheet6!$C$2,Sheet6!$C$2,IF(Tim!EQ37=Sheet6!$C$3,Sheet6!$C$3,IF(Tim!EQ37=Sheet6!$C$4,Sheet6!$C$4,IF(Tim!EQ37=Sheet6!$C$5,Sheet6!$C$5,IF(Tim!EQ37=Sheet6!$C$6,Sheet6!$C$6,IF(Tim!EQ37=Sheet6!$C$7,Sheet6!$C$7,IF(Tim!EQ37=Sheet6!$C$8,Sheet6!$C$8,"")))))))</f>
        <v/>
      </c>
      <c r="BK35" s="57" t="str">
        <f>IF(Tim!ER37=Sheet6!$C$2,Sheet6!$C$2,IF(Tim!ER37=Sheet6!$C$3,Sheet6!$C$3,IF(Tim!ER37=Sheet6!$C$4,Sheet6!$C$4,IF(Tim!ER37=Sheet6!$C$5,Sheet6!$C$5,IF(Tim!ER37=Sheet6!$C$6,Sheet6!$C$6,IF(Tim!ER37=Sheet6!$C$7,Sheet6!$C$7,IF(Tim!ER37=Sheet6!$C$8,Sheet6!$C$8,"")))))))</f>
        <v/>
      </c>
      <c r="BL35" s="57" t="str">
        <f>IF(Tim!EZ37=Sheet6!$C$2,Sheet6!$C$2,IF(Tim!EZ37=Sheet6!$C$3,Sheet6!$C$3,IF(Tim!EZ37=Sheet6!$C$4,Sheet6!$C$4,IF(Tim!EZ37=Sheet6!$C$5,Sheet6!$C$5,IF(Tim!EZ37=Sheet6!$C$6,Sheet6!$C$6,IF(Tim!EZ37=Sheet6!$C$7,Sheet6!$C$7,IF(Tim!EZ37=Sheet6!$C$8,Sheet6!$C$8,"")))))))</f>
        <v/>
      </c>
      <c r="BM35" s="53" t="str">
        <f>IF(Tim!FG37=Sheet6!$C$2,Sheet6!$C$2,IF(Tim!FG37=Sheet6!$C$3,Sheet6!$C$3,IF(Tim!FG37=Sheet6!$C$4,Sheet6!$C$4,IF(Tim!FG37=Sheet6!$C$5,Sheet6!$C$5,IF(Tim!FG37=Sheet6!$C$6,Sheet6!$C$6,IF(Tim!FG37=Sheet6!$C$7,Sheet6!$C$7,IF(Tim!FG37=Sheet6!$C$8,Sheet6!$C$8,"")))))))</f>
        <v/>
      </c>
      <c r="BN35" s="181" t="str">
        <f>IF(Tim!FH37=Sheet6!$C$2,Sheet6!$C$2,IF(Tim!FH37=Sheet6!$C$3,Sheet6!$C$3,IF(Tim!FH37=Sheet6!$C$4,Sheet6!$C$4,IF(Tim!FH37=Sheet6!$C$5,Sheet6!$C$5,IF(Tim!FH37=Sheet6!$C$6,Sheet6!$C$6,IF(Tim!FH37=Sheet6!$C$7,Sheet6!$C$7,IF(Tim!FH37=Sheet6!$C$8,Sheet6!$C$8,"")))))))</f>
        <v/>
      </c>
      <c r="BO35" s="181" t="str">
        <f>IF(Tim!FP37=Sheet6!$C$2,Sheet6!$C$2,IF(Tim!FP37=Sheet6!$C$3,Sheet6!$C$3,IF(Tim!FP37=Sheet6!$C$4,Sheet6!$C$4,IF(Tim!FP37=Sheet6!$C$5,Sheet6!$C$5,IF(Tim!FP37=Sheet6!$C$6,Sheet6!$C$6,IF(Tim!FP37=Sheet6!$C$7,Sheet6!$C$7,IF(Tim!FP37=Sheet6!$C$8,Sheet6!$C$8,"")))))))</f>
        <v/>
      </c>
      <c r="BP35" s="181" t="str">
        <f>IF(Tim!FQ37=Sheet6!$C$2,Sheet6!$C$2,IF(Tim!FQ37=Sheet6!$C$3,Sheet6!$C$3,IF(Tim!FQ37=Sheet6!$C$4,Sheet6!$C$4,IF(Tim!FQ37=Sheet6!$C$5,Sheet6!$C$5,IF(Tim!FQ37=Sheet6!$C$6,Sheet6!$C$6,IF(Tim!FQ37=Sheet6!$C$7,Sheet6!$C$7,IF(Tim!FQ37=Sheet6!$C$8,Sheet6!$C$8,"")))))))</f>
        <v/>
      </c>
      <c r="BQ35" s="53" t="str">
        <f>IF(Tim!FR37=Sheet6!$C$2,Sheet6!$C$2,IF(Tim!FR37=Sheet6!$C$3,Sheet6!$C$3,IF(Tim!FR37=Sheet6!$C$4,Sheet6!$C$4,IF(Tim!FR37=Sheet6!$C$5,Sheet6!$C$5,IF(Tim!FR37=Sheet6!$C$6,Sheet6!$C$6,IF(Tim!FR37=Sheet6!$C$7,Sheet6!$C$7,IF(Tim!FR37=Sheet6!$C$8,Sheet6!$C$8,"")))))))</f>
        <v/>
      </c>
      <c r="BR35" s="53" t="str">
        <f>IF(Tim!FS37=Sheet6!$C$2,Sheet6!$C$2,IF(Tim!FS37=Sheet6!$C$3,Sheet6!$C$3,IF(Tim!FS37=Sheet6!$C$4,Sheet6!$C$4,IF(Tim!FS37=Sheet6!$C$5,Sheet6!$C$5,IF(Tim!FS37=Sheet6!$C$6,Sheet6!$C$6,IF(Tim!FS37=Sheet6!$C$7,Sheet6!$C$7,IF(Tim!FS37=Sheet6!$C$8,Sheet6!$C$8,"")))))))</f>
        <v/>
      </c>
      <c r="BS35" s="53" t="str">
        <f>IF(Tim!FT37=Sheet6!$C$2,Sheet6!$C$2,IF(Tim!FT37=Sheet6!$C$3,Sheet6!$C$3,IF(Tim!FT37=Sheet6!$C$4,Sheet6!$C$4,IF(Tim!FT37=Sheet6!$C$5,Sheet6!$C$5,IF(Tim!FT37=Sheet6!$C$6,Sheet6!$C$6,IF(Tim!FT37=Sheet6!$C$7,Sheet6!$C$7,IF(Tim!FT37=Sheet6!$C$8,Sheet6!$C$8,"")))))))</f>
        <v/>
      </c>
      <c r="BT35" s="53" t="str">
        <f>IF(Tim!FU37=Sheet6!$C$2,Sheet6!$C$2,IF(Tim!FU37=Sheet6!$C$3,Sheet6!$C$3,IF(Tim!FU37=Sheet6!$C$4,Sheet6!$C$4,IF(Tim!FU37=Sheet6!$C$5,Sheet6!$C$5,IF(Tim!FU37=Sheet6!$C$6,Sheet6!$C$6,IF(Tim!FU37=Sheet6!$C$7,Sheet6!$C$7,IF(Tim!FU37=Sheet6!$C$8,Sheet6!$C$8,"")))))))</f>
        <v/>
      </c>
      <c r="BU35" s="53" t="str">
        <f>IF(Tim!FY37=Sheet6!$C$2,Sheet6!$C$2,IF(Tim!FY37=Sheet6!$C$3,Sheet6!$C$3,IF(Tim!FY37=Sheet6!$C$4,Sheet6!$C$4,IF(Tim!FY37=Sheet6!$C$5,Sheet6!$C$5,IF(Tim!FY37=Sheet6!$C$6,Sheet6!$C$6,IF(Tim!FY37=Sheet6!$C$7,Sheet6!$C$7,IF(Tim!FY37=Sheet6!$C$8,Sheet6!$C$8,"")))))))</f>
        <v/>
      </c>
      <c r="BV35" s="54" t="str">
        <f>IF(Tim!FZ37=Sheet6!$C$2,Sheet6!$C$2,IF(Tim!FZ37=Sheet6!$C$3,Sheet6!$C$3,IF(Tim!FZ37=Sheet6!$C$4,Sheet6!$C$4,IF(Tim!FZ37=Sheet6!$C$5,Sheet6!$C$5,IF(Tim!FZ37=Sheet6!$C$6,Sheet6!$C$6,IF(Tim!FZ37=Sheet6!$C$7,Sheet6!$C$7,IF(Tim!FZ37=Sheet6!$C$8,Sheet6!$C$8,"")))))))</f>
        <v/>
      </c>
      <c r="BW35" s="54" t="str">
        <f>IF(Tim!GA37=Sheet6!$C$2,Sheet6!$C$2,IF(Tim!GA37=Sheet6!$C$3,Sheet6!$C$3,IF(Tim!GA37=Sheet6!$C$4,Sheet6!$C$4,IF(Tim!GA37=Sheet6!$C$5,Sheet6!$C$5,IF(Tim!GA37=Sheet6!$C$6,Sheet6!$C$6,IF(Tim!GA37=Sheet6!$C$7,Sheet6!$C$7,IF(Tim!GA37=Sheet6!$C$8,Sheet6!$C$8,"")))))))</f>
        <v/>
      </c>
      <c r="BX35" s="54" t="str">
        <f>IF(Tim!GB37=Sheet6!$C$2,Sheet6!$C$2,IF(Tim!GB37=Sheet6!$C$3,Sheet6!$C$3,IF(Tim!GB37=Sheet6!$C$4,Sheet6!$C$4,IF(Tim!GB37=Sheet6!$C$5,Sheet6!$C$5,IF(Tim!GB37=Sheet6!$C$6,Sheet6!$C$6,IF(Tim!GB37=Sheet6!$C$7,Sheet6!$C$7,IF(Tim!GB37=Sheet6!$C$8,Sheet6!$C$8,"")))))))</f>
        <v/>
      </c>
      <c r="BY35" s="55" t="str">
        <f>IF(Tim!GC37=Sheet6!$C$2,Sheet6!$C$2,IF(Tim!GC37=Sheet6!$C$3,Sheet6!$C$3,IF(Tim!GC37=Sheet6!$C$4,Sheet6!$C$4,IF(Tim!GC37=Sheet6!$C$5,Sheet6!$C$5,IF(Tim!GC37=Sheet6!$C$6,Sheet6!$C$6,IF(Tim!GC37=Sheet6!$C$7,Sheet6!$C$7,IF(Tim!GC37=Sheet6!$C$8,Sheet6!$C$8,"")))))))</f>
        <v/>
      </c>
      <c r="BZ35" s="53" t="str">
        <f>IF(Tim!GD37=Sheet6!$C$2,Sheet6!$C$2,IF(Tim!GD37=Sheet6!$C$3,Sheet6!$C$3,IF(Tim!GD37=Sheet6!$C$4,Sheet6!$C$4,IF(Tim!GD37=Sheet6!$C$5,Sheet6!$C$5,IF(Tim!GD37=Sheet6!$C$6,Sheet6!$C$6,IF(Tim!GD37=Sheet6!$C$7,Sheet6!$C$7,IF(Tim!GD37=Sheet6!$C$8,Sheet6!$C$8,"")))))))</f>
        <v/>
      </c>
      <c r="CA35" s="53" t="str">
        <f>IF(Tim!GE37=Sheet6!$C$2,Sheet6!$C$2,IF(Tim!GE37=Sheet6!$C$3,Sheet6!$C$3,IF(Tim!GE37=Sheet6!$C$4,Sheet6!$C$4,IF(Tim!GE37=Sheet6!$C$5,Sheet6!$C$5,IF(Tim!GE37=Sheet6!$C$6,Sheet6!$C$6,IF(Tim!GE37=Sheet6!$C$7,Sheet6!$C$7,IF(Tim!GE37=Sheet6!$C$8,Sheet6!$C$8,"")))))))</f>
        <v/>
      </c>
      <c r="CB35" s="57" t="str">
        <f>IF(Tim!GI37=Sheet6!$C$2,Sheet6!$C$2,IF(Tim!GI37=Sheet6!$C$3,Sheet6!$C$3,IF(Tim!GI37=Sheet6!$C$4,Sheet6!$C$4,IF(Tim!GI37=Sheet6!$C$5,Sheet6!$C$5,IF(Tim!GI37=Sheet6!$C$6,Sheet6!$C$6,IF(Tim!GI37=Sheet6!$C$7,Sheet6!$C$7,IF(Tim!GI37=Sheet6!$C$8,Sheet6!$C$8,"")))))))</f>
        <v/>
      </c>
      <c r="CC35" s="57" t="str">
        <f>IF(Tim!GJ37=Sheet6!$C$2,Sheet6!$C$2,IF(Tim!GJ37=Sheet6!$C$3,Sheet6!$C$3,IF(Tim!GJ37=Sheet6!$C$4,Sheet6!$C$4,IF(Tim!GJ37=Sheet6!$C$5,Sheet6!$C$5,IF(Tim!GJ37=Sheet6!$C$6,Sheet6!$C$6,IF(Tim!GJ37=Sheet6!$C$7,Sheet6!$C$7,IF(Tim!GJ37=Sheet6!$C$8,Sheet6!$C$8,"")))))))</f>
        <v/>
      </c>
      <c r="CD35" s="57" t="str">
        <f>IF(Tim!GN37=Sheet6!$C$2,Sheet6!$C$2,IF(Tim!GN37=Sheet6!$C$3,Sheet6!$C$3,IF(Tim!GN37=Sheet6!$C$4,Sheet6!$C$4,IF(Tim!GN37=Sheet6!$C$5,Sheet6!$C$5,IF(Tim!GN37=Sheet6!$C$6,Sheet6!$C$6,IF(Tim!GN37=Sheet6!$C$7,Sheet6!$C$7,IF(Tim!GN37=Sheet6!$C$8,Sheet6!$C$8,"")))))))</f>
        <v/>
      </c>
      <c r="CE35" s="53" t="str">
        <f>IF(Tim!GY37=Sheet6!$C$2,Sheet6!$C$2,IF(Tim!GY37=Sheet6!$C$3,Sheet6!$C$3,IF(Tim!GY37=Sheet6!$C$4,Sheet6!$C$4,IF(Tim!GY37=Sheet6!$C$5,Sheet6!$C$5,IF(Tim!GY37=Sheet6!$C$6,Sheet6!$C$6,IF(Tim!GY37=Sheet6!$C$7,Sheet6!$C$7,IF(Tim!GY37=Sheet6!$C$8,Sheet6!$C$8,"")))))))</f>
        <v/>
      </c>
      <c r="CF35" s="181" t="str">
        <f>IF(Tim!GZ37=Sheet6!$C$2,Sheet6!$C$2,IF(Tim!GZ37=Sheet6!$C$3,Sheet6!$C$3,IF(Tim!GZ37=Sheet6!$C$4,Sheet6!$C$4,IF(Tim!GZ37=Sheet6!$C$5,Sheet6!$C$5,IF(Tim!GZ37=Sheet6!$C$6,Sheet6!$C$6,IF(Tim!GZ37=Sheet6!$C$7,Sheet6!$C$7,IF(Tim!GZ37=Sheet6!$C$8,Sheet6!$C$8,"")))))))</f>
        <v/>
      </c>
      <c r="CG35" s="181" t="str">
        <f>IF(Tim!HH37=Sheet6!$C$2,Sheet6!$C$2,IF(Tim!HH37=Sheet6!$C$3,Sheet6!$C$3,IF(Tim!HH37=Sheet6!$C$4,Sheet6!$C$4,IF(Tim!HH37=Sheet6!$C$5,Sheet6!$C$5,IF(Tim!HH37=Sheet6!$C$6,Sheet6!$C$6,IF(Tim!HH37=Sheet6!$C$7,Sheet6!$C$7,IF(Tim!HH37=Sheet6!$C$8,Sheet6!$C$8,"")))))))</f>
        <v/>
      </c>
      <c r="CH35" s="181" t="str">
        <f>IF(Tim!HI37=Sheet6!$C$2,Sheet6!$C$2,IF(Tim!HI37=Sheet6!$C$3,Sheet6!$C$3,IF(Tim!HI37=Sheet6!$C$4,Sheet6!$C$4,IF(Tim!HI37=Sheet6!$C$5,Sheet6!$C$5,IF(Tim!HI37=Sheet6!$C$6,Sheet6!$C$6,IF(Tim!HI37=Sheet6!$C$7,Sheet6!$C$7,IF(Tim!HI37=Sheet6!$C$8,Sheet6!$C$8,"")))))))</f>
        <v/>
      </c>
      <c r="CI35" s="53" t="str">
        <f>IF(Tim!HJ37=Sheet6!$C$2,Sheet6!$C$2,IF(Tim!HJ37=Sheet6!$C$3,Sheet6!$C$3,IF(Tim!HJ37=Sheet6!$C$4,Sheet6!$C$4,IF(Tim!HJ37=Sheet6!$C$5,Sheet6!$C$5,IF(Tim!HJ37=Sheet6!$C$6,Sheet6!$C$6,IF(Tim!HJ37=Sheet6!$C$7,Sheet6!$C$7,IF(Tim!HJ37=Sheet6!$C$8,Sheet6!$C$8,"")))))))</f>
        <v/>
      </c>
      <c r="CJ35" s="53" t="str">
        <f>IF(Tim!HK37=Sheet6!$C$2,Sheet6!$C$2,IF(Tim!HK37=Sheet6!$C$3,Sheet6!$C$3,IF(Tim!HK37=Sheet6!$C$4,Sheet6!$C$4,IF(Tim!HK37=Sheet6!$C$5,Sheet6!$C$5,IF(Tim!HK37=Sheet6!$C$6,Sheet6!$C$6,IF(Tim!HK37=Sheet6!$C$7,Sheet6!$C$7,IF(Tim!HK37=Sheet6!$C$8,Sheet6!$C$8,"")))))))</f>
        <v/>
      </c>
      <c r="CK35" s="53" t="str">
        <f>IF(Tim!HL37=Sheet6!$C$2,Sheet6!$C$2,IF(Tim!HL37=Sheet6!$C$3,Sheet6!$C$3,IF(Tim!HL37=Sheet6!$C$4,Sheet6!$C$4,IF(Tim!HL37=Sheet6!$C$5,Sheet6!$C$5,IF(Tim!HL37=Sheet6!$C$6,Sheet6!$C$6,IF(Tim!HL37=Sheet6!$C$7,Sheet6!$C$7,IF(Tim!HL37=Sheet6!$C$8,Sheet6!$C$8,"")))))))</f>
        <v/>
      </c>
      <c r="CL35" s="53" t="str">
        <f>IF(Tim!HM37=Sheet6!$C$2,Sheet6!$C$2,IF(Tim!HM37=Sheet6!$C$3,Sheet6!$C$3,IF(Tim!HM37=Sheet6!$C$4,Sheet6!$C$4,IF(Tim!HM37=Sheet6!$C$5,Sheet6!$C$5,IF(Tim!HM37=Sheet6!$C$6,Sheet6!$C$6,IF(Tim!HM37=Sheet6!$C$7,Sheet6!$C$7,IF(Tim!HM37=Sheet6!$C$8,Sheet6!$C$8,"")))))))</f>
        <v/>
      </c>
      <c r="CM35" s="53" t="str">
        <f>IF(Tim!HQ37=Sheet6!$C$2,Sheet6!$C$2,IF(Tim!HQ37=Sheet6!$C$3,Sheet6!$C$3,IF(Tim!HQ37=Sheet6!$C$4,Sheet6!$C$4,IF(Tim!HQ37=Sheet6!$C$5,Sheet6!$C$5,IF(Tim!HQ37=Sheet6!$C$6,Sheet6!$C$6,IF(Tim!HQ37=Sheet6!$C$7,Sheet6!$C$7,IF(Tim!HQ37=Sheet6!$C$8,Sheet6!$C$8,"")))))))</f>
        <v/>
      </c>
      <c r="CN35" s="54" t="str">
        <f>IF(Tim!HR37=Sheet6!$C$2,Sheet6!$C$2,IF(Tim!HR37=Sheet6!$C$3,Sheet6!$C$3,IF(Tim!HR37=Sheet6!$C$4,Sheet6!$C$4,IF(Tim!HR37=Sheet6!$C$5,Sheet6!$C$5,IF(Tim!HR37=Sheet6!$C$6,Sheet6!$C$6,IF(Tim!HR37=Sheet6!$C$7,Sheet6!$C$7,IF(Tim!HR37=Sheet6!$C$8,Sheet6!$C$8,"")))))))</f>
        <v/>
      </c>
      <c r="CO35" s="54" t="str">
        <f>IF(Tim!HS37=Sheet6!$C$2,Sheet6!$C$2,IF(Tim!HS37=Sheet6!$C$3,Sheet6!$C$3,IF(Tim!HS37=Sheet6!$C$4,Sheet6!$C$4,IF(Tim!HS37=Sheet6!$C$5,Sheet6!$C$5,IF(Tim!HS37=Sheet6!$C$6,Sheet6!$C$6,IF(Tim!HS37=Sheet6!$C$7,Sheet6!$C$7,IF(Tim!HS37=Sheet6!$C$8,Sheet6!$C$8,"")))))))</f>
        <v/>
      </c>
      <c r="CP35" s="54" t="str">
        <f>IF(Tim!HT37=Sheet6!$C$2,Sheet6!$C$2,IF(Tim!HT37=Sheet6!$C$3,Sheet6!$C$3,IF(Tim!HT37=Sheet6!$C$4,Sheet6!$C$4,IF(Tim!HT37=Sheet6!$C$5,Sheet6!$C$5,IF(Tim!HT37=Sheet6!$C$6,Sheet6!$C$6,IF(Tim!HT37=Sheet6!$C$7,Sheet6!$C$7,IF(Tim!HT37=Sheet6!$C$8,Sheet6!$C$8,"")))))))</f>
        <v/>
      </c>
      <c r="CQ35" s="55" t="str">
        <f>IF(Tim!HU37=Sheet6!$C$2,Sheet6!$C$2,IF(Tim!HU37=Sheet6!$C$3,Sheet6!$C$3,IF(Tim!HU37=Sheet6!$C$4,Sheet6!$C$4,IF(Tim!HU37=Sheet6!$C$5,Sheet6!$C$5,IF(Tim!HU37=Sheet6!$C$6,Sheet6!$C$6,IF(Tim!HU37=Sheet6!$C$7,Sheet6!$C$7,IF(Tim!HU37=Sheet6!$C$8,Sheet6!$C$8,"")))))))</f>
        <v/>
      </c>
      <c r="CR35" s="56" t="str">
        <f>IF(Tim!HV37=Sheet6!$C$2,Sheet6!$C$2,IF(Tim!HV37=Sheet6!$C$3,Sheet6!$C$3,IF(Tim!HV37=Sheet6!$C$4,Sheet6!$C$4,IF(Tim!HV37=Sheet6!$C$5,Sheet6!$C$5,IF(Tim!HV37=Sheet6!$C$6,Sheet6!$C$6,IF(Tim!HV37=Sheet6!$C$7,Sheet6!$C$7,IF(Tim!HV37=Sheet6!$C$8,Sheet6!$C$8,"")))))))</f>
        <v/>
      </c>
      <c r="CS35" s="57" t="str">
        <f>IF(Tim!IB37=Sheet6!$C$2,Sheet6!$C$2,IF(Tim!IB37=Sheet6!$C$3,Sheet6!$C$3,IF(Tim!IB37=Sheet6!$C$4,Sheet6!$C$4,IF(Tim!IB37=Sheet6!$C$5,Sheet6!$C$5,IF(Tim!IB37=Sheet6!$C$6,Sheet6!$C$6,IF(Tim!IB37=Sheet6!$C$7,Sheet6!$C$7,IF(Tim!IB37=Sheet6!$C$8,Sheet6!$C$8,"")))))))</f>
        <v/>
      </c>
      <c r="CT35" s="57" t="str">
        <f>IF(Tim!IJ37=Sheet6!$C$2,Sheet6!$C$2,IF(Tim!IJ37=Sheet6!$C$3,Sheet6!$C$3,IF(Tim!IJ37=Sheet6!$C$4,Sheet6!$C$4,IF(Tim!IJ37=Sheet6!$C$5,Sheet6!$C$5,IF(Tim!IJ37=Sheet6!$C$6,Sheet6!$C$6,IF(Tim!IJ37=Sheet6!$C$7,Sheet6!$C$7,IF(Tim!IJ37=Sheet6!$C$8,Sheet6!$C$8,"")))))))</f>
        <v/>
      </c>
      <c r="CU35" s="57" t="str">
        <f>IF(Tim!IQ37=Sheet6!$C$2,Sheet6!$C$2,IF(Tim!IQ37=Sheet6!$C$3,Sheet6!$C$3,IF(Tim!IQ37=Sheet6!$C$4,Sheet6!$C$4,IF(Tim!IQ37=Sheet6!$C$5,Sheet6!$C$5,IF(Tim!IQ37=Sheet6!$C$6,Sheet6!$C$6,IF(Tim!IQ37=Sheet6!$C$7,Sheet6!$C$7,IF(Tim!IQ37=Sheet6!$C$8,Sheet6!$C$8,"")))))))</f>
        <v/>
      </c>
      <c r="CV35" s="53" t="str">
        <f>IF(Tim!IR37=Sheet6!$C$2,Sheet6!$C$2,IF(Tim!IR37=Sheet6!$C$3,Sheet6!$C$3,IF(Tim!IR37=Sheet6!$C$4,Sheet6!$C$4,IF(Tim!IR37=Sheet6!$C$5,Sheet6!$C$5,IF(Tim!IR37=Sheet6!$C$6,Sheet6!$C$6,IF(Tim!IR37=Sheet6!$C$7,Sheet6!$C$7,IF(Tim!IR37=Sheet6!$C$8,Sheet6!$C$8,"")))))))</f>
        <v/>
      </c>
      <c r="CW35" s="53" t="str">
        <f>IF(Tim!IZ37=Sheet6!$C$2,Sheet6!$C$2,IF(Tim!IZ37=Sheet6!$C$3,Sheet6!$C$3,IF(Tim!IZ37=Sheet6!$C$4,Sheet6!$C$4,IF(Tim!IZ37=Sheet6!$C$5,Sheet6!$C$5,IF(Tim!IZ37=Sheet6!$C$6,Sheet6!$C$6,IF(Tim!IZ37=Sheet6!$C$7,Sheet6!$C$7,IF(Tim!IZ37=Sheet6!$C$8,Sheet6!$C$8,"")))))))</f>
        <v/>
      </c>
      <c r="CX35" s="53" t="str">
        <f>IF(Tim!JA37=Sheet6!$C$2,Sheet6!$C$2,IF(Tim!JA37=Sheet6!$C$3,Sheet6!$C$3,IF(Tim!JA37=Sheet6!$C$4,Sheet6!$C$4,IF(Tim!JA37=Sheet6!$C$5,Sheet6!$C$5,IF(Tim!JA37=Sheet6!$C$6,Sheet6!$C$6,IF(Tim!JA37=Sheet6!$C$7,Sheet6!$C$7,IF(Tim!JA37=Sheet6!$C$8,Sheet6!$C$8,"")))))))</f>
        <v/>
      </c>
      <c r="CY35" s="53" t="str">
        <f>IF(Tim!JB37=Sheet6!$C$2,Sheet6!$C$2,IF(Tim!JB37=Sheet6!$C$3,Sheet6!$C$3,IF(Tim!JB37=Sheet6!$C$4,Sheet6!$C$4,IF(Tim!JB37=Sheet6!$C$5,Sheet6!$C$5,IF(Tim!JB37=Sheet6!$C$6,Sheet6!$C$6,IF(Tim!JB37=Sheet6!$C$7,Sheet6!$C$7,IF(Tim!JB37=Sheet6!$C$8,Sheet6!$C$8,"")))))))</f>
        <v/>
      </c>
      <c r="CZ35" s="53" t="str">
        <f>IF(Tim!JC37=Sheet6!$C$2,Sheet6!$C$2,IF(Tim!JC37=Sheet6!$C$3,Sheet6!$C$3,IF(Tim!JC37=Sheet6!$C$4,Sheet6!$C$4,IF(Tim!JC37=Sheet6!$C$5,Sheet6!$C$5,IF(Tim!JC37=Sheet6!$C$6,Sheet6!$C$6,IF(Tim!JC37=Sheet6!$C$7,Sheet6!$C$7,IF(Tim!JC37=Sheet6!$C$8,Sheet6!$C$8,"")))))))</f>
        <v/>
      </c>
      <c r="DA35" s="53" t="str">
        <f>IF(Tim!JD37=Sheet6!$C$2,Sheet6!$C$2,IF(Tim!JD37=Sheet6!$C$3,Sheet6!$C$3,IF(Tim!JD37=Sheet6!$C$4,Sheet6!$C$4,IF(Tim!JD37=Sheet6!$C$5,Sheet6!$C$5,IF(Tim!JD37=Sheet6!$C$6,Sheet6!$C$6,IF(Tim!JD37=Sheet6!$C$7,Sheet6!$C$7,IF(Tim!JD37=Sheet6!$C$8,Sheet6!$C$8,"")))))))</f>
        <v/>
      </c>
      <c r="DB35" s="53" t="str">
        <f>IF(Tim!JE37=Sheet6!$C$2,Sheet6!$C$2,IF(Tim!JE37=Sheet6!$C$3,Sheet6!$C$3,IF(Tim!JE37=Sheet6!$C$4,Sheet6!$C$4,IF(Tim!JE37=Sheet6!$C$5,Sheet6!$C$5,IF(Tim!JE37=Sheet6!$C$6,Sheet6!$C$6,IF(Tim!JE37=Sheet6!$C$7,Sheet6!$C$7,IF(Tim!JE37=Sheet6!$C$8,Sheet6!$C$8,"")))))))</f>
        <v/>
      </c>
      <c r="DC35" s="53" t="str">
        <f>IF(Tim!JI37=Sheet6!$C$2,Sheet6!$C$2,IF(Tim!JI37=Sheet6!$C$3,Sheet6!$C$3,IF(Tim!JI37=Sheet6!$C$4,Sheet6!$C$4,IF(Tim!JI37=Sheet6!$C$5,Sheet6!$C$5,IF(Tim!JI37=Sheet6!$C$6,Sheet6!$C$6,IF(Tim!JI37=Sheet6!$C$7,Sheet6!$C$7,IF(Tim!JI37=Sheet6!$C$8,Sheet6!$C$8,"")))))))</f>
        <v/>
      </c>
      <c r="DD35" s="54" t="str">
        <f>IF(Tim!JJ37=Sheet6!$C$2,Sheet6!$C$2,IF(Tim!JJ37=Sheet6!$C$3,Sheet6!$C$3,IF(Tim!JJ37=Sheet6!$C$4,Sheet6!$C$4,IF(Tim!JJ37=Sheet6!$C$5,Sheet6!$C$5,IF(Tim!JJ37=Sheet6!$C$6,Sheet6!$C$6,IF(Tim!JJ37=Sheet6!$C$7,Sheet6!$C$7,IF(Tim!JJ37=Sheet6!$C$8,Sheet6!$C$8,"")))))))</f>
        <v/>
      </c>
      <c r="DE35" s="54" t="str">
        <f>IF(Tim!JK37=Sheet6!$C$2,Sheet6!$C$2,IF(Tim!JK37=Sheet6!$C$3,Sheet6!$C$3,IF(Tim!JK37=Sheet6!$C$4,Sheet6!$C$4,IF(Tim!JK37=Sheet6!$C$5,Sheet6!$C$5,IF(Tim!JK37=Sheet6!$C$6,Sheet6!$C$6,IF(Tim!JK37=Sheet6!$C$7,Sheet6!$C$7,IF(Tim!JK37=Sheet6!$C$8,Sheet6!$C$8,"")))))))</f>
        <v/>
      </c>
      <c r="DF35" s="54" t="str">
        <f>IF(Tim!JL37=Sheet6!$C$2,Sheet6!$C$2,IF(Tim!JL37=Sheet6!$C$3,Sheet6!$C$3,IF(Tim!JL37=Sheet6!$C$4,Sheet6!$C$4,IF(Tim!JL37=Sheet6!$C$5,Sheet6!$C$5,IF(Tim!JL37=Sheet6!$C$6,Sheet6!$C$6,IF(Tim!JL37=Sheet6!$C$7,Sheet6!$C$7,IF(Tim!JL37=Sheet6!$C$8,Sheet6!$C$8,"")))))))</f>
        <v/>
      </c>
      <c r="DG35" s="55" t="str">
        <f>IF(Tim!JM37=Sheet6!$C$2,Sheet6!$C$2,IF(Tim!JM37=Sheet6!$C$3,Sheet6!$C$3,IF(Tim!JM37=Sheet6!$C$4,Sheet6!$C$4,IF(Tim!JM37=Sheet6!$C$5,Sheet6!$C$5,IF(Tim!JM37=Sheet6!$C$6,Sheet6!$C$6,IF(Tim!JM37=Sheet6!$C$7,Sheet6!$C$7,IF(Tim!JM37=Sheet6!$C$8,Sheet6!$C$8,"")))))))</f>
        <v/>
      </c>
      <c r="DH35" s="56" t="str">
        <f>IF(Tim!JN37=Sheet6!$C$2,Sheet6!$C$2,IF(Tim!JN37=Sheet6!$C$3,Sheet6!$C$3,IF(Tim!JN37=Sheet6!$C$4,Sheet6!$C$4,IF(Tim!JN37=Sheet6!$C$5,Sheet6!$C$5,IF(Tim!JN37=Sheet6!$C$6,Sheet6!$C$6,IF(Tim!JN37=Sheet6!$C$7,Sheet6!$C$7,IF(Tim!JN37=Sheet6!$C$8,Sheet6!$C$8,"")))))))</f>
        <v/>
      </c>
      <c r="DI35" s="57" t="str">
        <f>IF(Tim!JS37=Sheet6!$C$2,Sheet6!$C$2,IF(Tim!JS37=Sheet6!$C$3,Sheet6!$C$3,IF(Tim!JS37=Sheet6!$C$4,Sheet6!$C$4,IF(Tim!JS37=Sheet6!$C$5,Sheet6!$C$5,IF(Tim!JS37=Sheet6!$C$6,Sheet6!$C$6,IF(Tim!JS37=Sheet6!$C$7,Sheet6!$C$7,IF(Tim!JS37=Sheet6!$C$8,Sheet6!$C$8,"")))))))</f>
        <v/>
      </c>
      <c r="DJ35" s="57" t="str">
        <f>IF(Tim!KB37=Sheet6!$C$2,Sheet6!$C$2,IF(Tim!KB37=Sheet6!$C$3,Sheet6!$C$3,IF(Tim!KB37=Sheet6!$C$4,Sheet6!$C$4,IF(Tim!KB37=Sheet6!$C$5,Sheet6!$C$5,IF(Tim!KB37=Sheet6!$C$6,Sheet6!$C$6,IF(Tim!KB37=Sheet6!$C$7,Sheet6!$C$7,IF(Tim!KB37=Sheet6!$C$8,Sheet6!$C$8,"")))))))</f>
        <v/>
      </c>
      <c r="DK35" s="53" t="str">
        <f>IF(Tim!KI37=Sheet6!$C$2,Sheet6!$C$2,IF(Tim!KI37=Sheet6!$C$3,Sheet6!$C$3,IF(Tim!KI37=Sheet6!$C$4,Sheet6!$C$4,IF(Tim!KI37=Sheet6!$C$5,Sheet6!$C$5,IF(Tim!KI37=Sheet6!$C$6,Sheet6!$C$6,IF(Tim!KI37=Sheet6!$C$7,Sheet6!$C$7,IF(Tim!KI37=Sheet6!$C$8,Sheet6!$C$8,"")))))))</f>
        <v/>
      </c>
      <c r="DL35" s="53" t="str">
        <f>IF(Tim!KJ37=Sheet6!$C$2,Sheet6!$C$2,IF(Tim!KJ37=Sheet6!$C$3,Sheet6!$C$3,IF(Tim!KJ37=Sheet6!$C$4,Sheet6!$C$4,IF(Tim!KJ37=Sheet6!$C$5,Sheet6!$C$5,IF(Tim!KJ37=Sheet6!$C$6,Sheet6!$C$6,IF(Tim!KJ37=Sheet6!$C$7,Sheet6!$C$7,IF(Tim!KJ37=Sheet6!$C$8,Sheet6!$C$8,"")))))))</f>
        <v/>
      </c>
      <c r="DM35" s="53" t="str">
        <f>IF(Tim!KR37=Sheet6!$C$2,Sheet6!$C$2,IF(Tim!KR37=Sheet6!$C$3,Sheet6!$C$3,IF(Tim!KR37=Sheet6!$C$4,Sheet6!$C$4,IF(Tim!KR37=Sheet6!$C$5,Sheet6!$C$5,IF(Tim!KR37=Sheet6!$C$6,Sheet6!$C$6,IF(Tim!KR37=Sheet6!$C$7,Sheet6!$C$7,IF(Tim!KR37=Sheet6!$C$8,Sheet6!$C$8,"")))))))</f>
        <v/>
      </c>
      <c r="DN35" s="53" t="str">
        <f>IF(Tim!KS37=Sheet6!$C$2,Sheet6!$C$2,IF(Tim!KS37=Sheet6!$C$3,Sheet6!$C$3,IF(Tim!KS37=Sheet6!$C$4,Sheet6!$C$4,IF(Tim!KS37=Sheet6!$C$5,Sheet6!$C$5,IF(Tim!KS37=Sheet6!$C$6,Sheet6!$C$6,IF(Tim!KS37=Sheet6!$C$7,Sheet6!$C$7,IF(Tim!KS37=Sheet6!$C$8,Sheet6!$C$8,"")))))))</f>
        <v/>
      </c>
      <c r="DO35" s="53" t="str">
        <f>IF(Tim!KT37=Sheet6!$C$2,Sheet6!$C$2,IF(Tim!KT37=Sheet6!$C$3,Sheet6!$C$3,IF(Tim!KT37=Sheet6!$C$4,Sheet6!$C$4,IF(Tim!KT37=Sheet6!$C$5,Sheet6!$C$5,IF(Tim!KT37=Sheet6!$C$6,Sheet6!$C$6,IF(Tim!KT37=Sheet6!$C$7,Sheet6!$C$7,IF(Tim!KT37=Sheet6!$C$8,Sheet6!$C$8,"")))))))</f>
        <v/>
      </c>
      <c r="DP35" s="53" t="str">
        <f>IF(Tim!KU37=Sheet6!$C$2,Sheet6!$C$2,IF(Tim!KU37=Sheet6!$C$3,Sheet6!$C$3,IF(Tim!KU37=Sheet6!$C$4,Sheet6!$C$4,IF(Tim!KU37=Sheet6!$C$5,Sheet6!$C$5,IF(Tim!KU37=Sheet6!$C$6,Sheet6!$C$6,IF(Tim!KU37=Sheet6!$C$7,Sheet6!$C$7,IF(Tim!KU37=Sheet6!$C$8,Sheet6!$C$8,"")))))))</f>
        <v/>
      </c>
      <c r="DQ35" s="53" t="str">
        <f>IF(Tim!KV37=Sheet6!$C$2,Sheet6!$C$2,IF(Tim!KV37=Sheet6!$C$3,Sheet6!$C$3,IF(Tim!KV37=Sheet6!$C$4,Sheet6!$C$4,IF(Tim!KV37=Sheet6!$C$5,Sheet6!$C$5,IF(Tim!KV37=Sheet6!$C$6,Sheet6!$C$6,IF(Tim!KV37=Sheet6!$C$7,Sheet6!$C$7,IF(Tim!KV37=Sheet6!$C$8,Sheet6!$C$8,"")))))))</f>
        <v/>
      </c>
      <c r="DR35" s="53" t="str">
        <f>IF(Tim!KW37=Sheet6!$C$2,Sheet6!$C$2,IF(Tim!KW37=Sheet6!$C$3,Sheet6!$C$3,IF(Tim!KW37=Sheet6!$C$4,Sheet6!$C$4,IF(Tim!KW37=Sheet6!$C$5,Sheet6!$C$5,IF(Tim!KW37=Sheet6!$C$6,Sheet6!$C$6,IF(Tim!KW37=Sheet6!$C$7,Sheet6!$C$7,IF(Tim!KW37=Sheet6!$C$8,Sheet6!$C$8,"")))))))</f>
        <v/>
      </c>
      <c r="DS35" s="53" t="str">
        <f>IF(Tim!LA37=Sheet6!$C$2,Sheet6!$C$2,IF(Tim!LA37=Sheet6!$C$3,Sheet6!$C$3,IF(Tim!LA37=Sheet6!$C$4,Sheet6!$C$4,IF(Tim!LA37=Sheet6!$C$5,Sheet6!$C$5,IF(Tim!LA37=Sheet6!$C$6,Sheet6!$C$6,IF(Tim!LA37=Sheet6!$C$7,Sheet6!$C$7,IF(Tim!LA37=Sheet6!$C$8,Sheet6!$C$8,"")))))))</f>
        <v/>
      </c>
      <c r="DT35" s="54" t="str">
        <f>IF(Tim!LB37=Sheet6!$C$2,Sheet6!$C$2,IF(Tim!LB37=Sheet6!$C$3,Sheet6!$C$3,IF(Tim!LB37=Sheet6!$C$4,Sheet6!$C$4,IF(Tim!LB37=Sheet6!$C$5,Sheet6!$C$5,IF(Tim!LB37=Sheet6!$C$6,Sheet6!$C$6,IF(Tim!LB37=Sheet6!$C$7,Sheet6!$C$7,IF(Tim!LB37=Sheet6!$C$8,Sheet6!$C$8,"")))))))</f>
        <v/>
      </c>
      <c r="DU35" s="54" t="str">
        <f>IF(Tim!LC37=Sheet6!$C$2,Sheet6!$C$2,IF(Tim!LC37=Sheet6!$C$3,Sheet6!$C$3,IF(Tim!LC37=Sheet6!$C$4,Sheet6!$C$4,IF(Tim!LC37=Sheet6!$C$5,Sheet6!$C$5,IF(Tim!LC37=Sheet6!$C$6,Sheet6!$C$6,IF(Tim!LC37=Sheet6!$C$7,Sheet6!$C$7,IF(Tim!LC37=Sheet6!$C$8,Sheet6!$C$8,"")))))))</f>
        <v/>
      </c>
      <c r="DV35" s="54" t="str">
        <f>IF(Tim!LD37=Sheet6!$C$2,Sheet6!$C$2,IF(Tim!LD37=Sheet6!$C$3,Sheet6!$C$3,IF(Tim!LD37=Sheet6!$C$4,Sheet6!$C$4,IF(Tim!LD37=Sheet6!$C$5,Sheet6!$C$5,IF(Tim!LD37=Sheet6!$C$6,Sheet6!$C$6,IF(Tim!LD37=Sheet6!$C$7,Sheet6!$C$7,IF(Tim!LD37=Sheet6!$C$8,Sheet6!$C$8,"")))))))</f>
        <v/>
      </c>
      <c r="DW35" s="55" t="str">
        <f>IF(Tim!LE37=Sheet6!$C$2,Sheet6!$C$2,IF(Tim!LE37=Sheet6!$C$3,Sheet6!$C$3,IF(Tim!LE37=Sheet6!$C$4,Sheet6!$C$4,IF(Tim!LE37=Sheet6!$C$5,Sheet6!$C$5,IF(Tim!LE37=Sheet6!$C$6,Sheet6!$C$6,IF(Tim!LE37=Sheet6!$C$7,Sheet6!$C$7,IF(Tim!LE37=Sheet6!$C$8,Sheet6!$C$8,"")))))))</f>
        <v/>
      </c>
      <c r="DX35" s="52">
        <v>0.60416666666666596</v>
      </c>
    </row>
    <row r="36" spans="2:128" ht="10.5" customHeight="1">
      <c r="B36" s="51">
        <v>0.25</v>
      </c>
      <c r="C36" s="51">
        <v>0.25</v>
      </c>
      <c r="D36" s="51">
        <v>0.25</v>
      </c>
      <c r="E36" s="52">
        <v>0.61458333333333304</v>
      </c>
      <c r="F36" s="53" t="str">
        <f>IF(Tim!F38=Sheet6!$C$2,Sheet6!$C$2,IF(Tim!F38=Sheet6!$C$3,Sheet6!$C$3,IF(Tim!F38=Sheet6!$C$4,Sheet6!$C$4,IF(Tim!F38=Sheet6!$C$5,Sheet6!$C$5,IF(Tim!F38=Sheet6!$C$6,Sheet6!$C$6,IF(Tim!F38=Sheet6!$C$7,Sheet6!$C$7,IF(Tim!F38=Sheet6!$C$8,Sheet6!$C$8,"")))))))</f>
        <v/>
      </c>
      <c r="G36" s="53" t="str">
        <f>IF(Tim!G38=Sheet6!$C$2,Sheet6!$C$2,IF(Tim!G38=Sheet6!$C$3,Sheet6!$C$3,IF(Tim!G38=Sheet6!$C$4,Sheet6!$C$4,IF(Tim!G38=Sheet6!$C$5,Sheet6!$C$5,IF(Tim!G38=Sheet6!$C$6,Sheet6!$C$6,IF(Tim!G38=Sheet6!$C$7,Sheet6!$C$7,IF(Tim!G38=Sheet6!$C$8,Sheet6!$C$8,"")))))))</f>
        <v/>
      </c>
      <c r="H36" s="53" t="str">
        <f>IF(Tim!H38=Sheet6!$C$2,Sheet6!$C$2,IF(Tim!H38=Sheet6!$C$3,Sheet6!$C$3,IF(Tim!H38=Sheet6!$C$4,Sheet6!$C$4,IF(Tim!H38=Sheet6!$C$5,Sheet6!$C$5,IF(Tim!H38=Sheet6!$C$6,Sheet6!$C$6,IF(Tim!H38=Sheet6!$C$7,Sheet6!$C$7,IF(Tim!H38=Sheet6!$C$8,Sheet6!$C$8,"")))))))</f>
        <v/>
      </c>
      <c r="I36" s="53" t="str">
        <f>IF(Tim!L38=Sheet6!$C$2,Sheet6!$C$2,IF(Tim!L38=Sheet6!$C$3,Sheet6!$C$3,IF(Tim!L38=Sheet6!$C$4,Sheet6!$C$4,IF(Tim!L38=Sheet6!$C$5,Sheet6!$C$5,IF(Tim!L38=Sheet6!$C$6,Sheet6!$C$6,IF(Tim!L38=Sheet6!$C$7,Sheet6!$C$7,IF(Tim!L38=Sheet6!$C$8,Sheet6!$C$8,"")))))))</f>
        <v/>
      </c>
      <c r="J36" s="53" t="str">
        <f>IF(Tim!T38=Sheet6!$C$2,Sheet6!$C$2,IF(Tim!T38=Sheet6!$C$3,Sheet6!$C$3,IF(Tim!T38=Sheet6!$C$4,Sheet6!$C$4,IF(Tim!T38=Sheet6!$C$5,Sheet6!$C$5,IF(Tim!T38=Sheet6!$C$6,Sheet6!$C$6,IF(Tim!T38=Sheet6!$C$7,Sheet6!$C$7,IF(Tim!T38=Sheet6!$C$8,Sheet6!$C$8,"")))))))</f>
        <v/>
      </c>
      <c r="K36" s="53" t="str">
        <f>IF(Tim!AB38=Sheet6!$C$2,Sheet6!$C$2,IF(Tim!AB38=Sheet6!$C$3,Sheet6!$C$3,IF(Tim!AB38=Sheet6!$C$4,Sheet6!$C$4,IF(Tim!AB38=Sheet6!$C$5,Sheet6!$C$5,IF(Tim!AB38=Sheet6!$C$6,Sheet6!$C$6,IF(Tim!AB38=Sheet6!$C$7,Sheet6!$C$7,IF(Tim!AB38=Sheet6!$C$8,Sheet6!$C$8,"")))))))</f>
        <v/>
      </c>
      <c r="L36" s="181" t="str">
        <f>IF(Tim!AC38=Sheet6!$C$2,Sheet6!$C$2,IF(Tim!AC38=Sheet6!$C$3,Sheet6!$C$3,IF(Tim!AC38=Sheet6!$C$4,Sheet6!$C$4,IF(Tim!AC38=Sheet6!$C$5,Sheet6!$C$5,IF(Tim!AC38=Sheet6!$C$6,Sheet6!$C$6,IF(Tim!AC38=Sheet6!$C$7,Sheet6!$C$7,IF(Tim!AC38=Sheet6!$C$8,Sheet6!$C$8,"")))))))</f>
        <v/>
      </c>
      <c r="M36" s="181" t="str">
        <f>IF(Tim!AJ38=Sheet6!$C$2,Sheet6!$C$2,IF(Tim!AJ38=Sheet6!$C$3,Sheet6!$C$3,IF(Tim!AJ38=Sheet6!$C$4,Sheet6!$C$4,IF(Tim!AJ38=Sheet6!$C$5,Sheet6!$C$5,IF(Tim!AJ38=Sheet6!$C$6,Sheet6!$C$6,IF(Tim!AJ38=Sheet6!$C$7,Sheet6!$C$7,IF(Tim!AJ38=Sheet6!$C$8,Sheet6!$C$8,"")))))))</f>
        <v/>
      </c>
      <c r="N36" s="181" t="str">
        <f>IF(Tim!AK38=Sheet6!$C$2,Sheet6!$C$2,IF(Tim!AK38=Sheet6!$C$3,Sheet6!$C$3,IF(Tim!AK38=Sheet6!$C$4,Sheet6!$C$4,IF(Tim!AK38=Sheet6!$C$5,Sheet6!$C$5,IF(Tim!AK38=Sheet6!$C$6,Sheet6!$C$6,IF(Tim!AK38=Sheet6!$C$7,Sheet6!$C$7,IF(Tim!AK38=Sheet6!$C$8,Sheet6!$C$8,"")))))))</f>
        <v/>
      </c>
      <c r="O36" s="53" t="str">
        <f>IF(Tim!AL38=Sheet6!$C$2,Sheet6!$C$2,IF(Tim!AL38=Sheet6!$C$3,Sheet6!$C$3,IF(Tim!AL38=Sheet6!$C$4,Sheet6!$C$4,IF(Tim!AL38=Sheet6!$C$5,Sheet6!$C$5,IF(Tim!AL38=Sheet6!$C$6,Sheet6!$C$6,IF(Tim!AL38=Sheet6!$C$7,Sheet6!$C$7,IF(Tim!AL38=Sheet6!$C$8,Sheet6!$C$8,"")))))))</f>
        <v/>
      </c>
      <c r="P36" s="53" t="str">
        <f>IF(Tim!AN38=Sheet6!$C$2,Sheet6!$C$2,IF(Tim!AN38=Sheet6!$C$3,Sheet6!$C$3,IF(Tim!AN38=Sheet6!$C$4,Sheet6!$C$4,IF(Tim!AN38=Sheet6!$C$5,Sheet6!$C$5,IF(Tim!AN38=Sheet6!$C$6,Sheet6!$C$6,IF(Tim!AN38=Sheet6!$C$7,Sheet6!$C$7,IF(Tim!AN38=Sheet6!$C$8,Sheet6!$C$8,"")))))))</f>
        <v/>
      </c>
      <c r="Q36" s="53" t="str">
        <f>IF(Tim!AO38=Sheet6!$C$2,Sheet6!$C$2,IF(Tim!AO38=Sheet6!$C$3,Sheet6!$C$3,IF(Tim!AO38=Sheet6!$C$4,Sheet6!$C$4,IF(Tim!AO38=Sheet6!$C$5,Sheet6!$C$5,IF(Tim!AO38=Sheet6!$C$6,Sheet6!$C$6,IF(Tim!AO38=Sheet6!$C$7,Sheet6!$C$7,IF(Tim!AO38=Sheet6!$C$8,Sheet6!$C$8,"")))))))</f>
        <v/>
      </c>
      <c r="R36" s="53" t="str">
        <f>IF(Tim!AP38=Sheet6!$C$2,Sheet6!$C$2,IF(Tim!AP38=Sheet6!$C$3,Sheet6!$C$3,IF(Tim!AP38=Sheet6!$C$4,Sheet6!$C$4,IF(Tim!AP38=Sheet6!$C$5,Sheet6!$C$5,IF(Tim!AP38=Sheet6!$C$6,Sheet6!$C$6,IF(Tim!AP38=Sheet6!$C$7,Sheet6!$C$7,IF(Tim!AP38=Sheet6!$C$8,Sheet6!$C$8,"")))))))</f>
        <v/>
      </c>
      <c r="S36" s="53" t="str">
        <f>IF(Tim!AT38=Sheet6!$C$2,Sheet6!$C$2,IF(Tim!AT38=Sheet6!$C$3,Sheet6!$C$3,IF(Tim!AT38=Sheet6!$C$4,Sheet6!$C$4,IF(Tim!AT38=Sheet6!$C$5,Sheet6!$C$5,IF(Tim!AT38=Sheet6!$C$6,Sheet6!$C$6,IF(Tim!AT38=Sheet6!$C$7,Sheet6!$C$7,IF(Tim!AT38=Sheet6!$C$8,Sheet6!$C$8,"")))))))</f>
        <v/>
      </c>
      <c r="T36" s="54" t="str">
        <f>IF(Tim!AU38=Sheet6!$C$2,Sheet6!$C$2,IF(Tim!AU38=Sheet6!$C$3,Sheet6!$C$3,IF(Tim!AU38=Sheet6!$C$4,Sheet6!$C$4,IF(Tim!AU38=Sheet6!$C$5,Sheet6!$C$5,IF(Tim!AU38=Sheet6!$C$6,Sheet6!$C$6,IF(Tim!AU38=Sheet6!$C$7,Sheet6!$C$7,IF(Tim!AU38=Sheet6!$C$8,Sheet6!$C$8,"")))))))</f>
        <v/>
      </c>
      <c r="U36" s="54" t="str">
        <f>IF(Tim!AV38=Sheet6!$C$2,Sheet6!$C$2,IF(Tim!AV38=Sheet6!$C$3,Sheet6!$C$3,IF(Tim!AV38=Sheet6!$C$4,Sheet6!$C$4,IF(Tim!AV38=Sheet6!$C$5,Sheet6!$C$5,IF(Tim!AV38=Sheet6!$C$6,Sheet6!$C$6,IF(Tim!AV38=Sheet6!$C$7,Sheet6!$C$7,IF(Tim!AV38=Sheet6!$C$8,Sheet6!$C$8,"")))))))</f>
        <v/>
      </c>
      <c r="V36" s="54" t="str">
        <f>IF(Tim!AW38=Sheet6!$C$2,Sheet6!$C$2,IF(Tim!AW38=Sheet6!$C$3,Sheet6!$C$3,IF(Tim!AW38=Sheet6!$C$4,Sheet6!$C$4,IF(Tim!AW38=Sheet6!$C$5,Sheet6!$C$5,IF(Tim!AW38=Sheet6!$C$6,Sheet6!$C$6,IF(Tim!AW38=Sheet6!$C$7,Sheet6!$C$7,IF(Tim!AW38=Sheet6!$C$8,Sheet6!$C$8,"")))))))</f>
        <v/>
      </c>
      <c r="W36" s="55" t="str">
        <f>IF(Tim!AX38=Sheet6!$C$2,Sheet6!$C$2,IF(Tim!AX38=Sheet6!$C$3,Sheet6!$C$3,IF(Tim!AX38=Sheet6!$C$4,Sheet6!$C$4,IF(Tim!AX38=Sheet6!$C$5,Sheet6!$C$5,IF(Tim!AX38=Sheet6!$C$6,Sheet6!$C$6,IF(Tim!AX38=Sheet6!$C$7,Sheet6!$C$7,IF(Tim!AX38=Sheet6!$C$8,Sheet6!$C$8,"")))))))</f>
        <v/>
      </c>
      <c r="X36" s="53" t="str">
        <f>IF(Tim!AY38=Sheet6!$C$2,Sheet6!$C$2,IF(Tim!AY38=Sheet6!$C$3,Sheet6!$C$3,IF(Tim!AY38=Sheet6!$C$4,Sheet6!$C$4,IF(Tim!AY38=Sheet6!$C$5,Sheet6!$C$5,IF(Tim!AY38=Sheet6!$C$6,Sheet6!$C$6,IF(Tim!AY38=Sheet6!$C$7,Sheet6!$C$7,IF(Tim!AY38=Sheet6!$C$8,Sheet6!$C$8,"")))))))</f>
        <v/>
      </c>
      <c r="Y36" s="57" t="str">
        <f>IF(Tim!AZ38=Sheet6!$C$2,Sheet6!$C$2,IF(Tim!AZ38=Sheet6!$C$3,Sheet6!$C$3,IF(Tim!AZ38=Sheet6!$C$4,Sheet6!$C$4,IF(Tim!AZ38=Sheet6!$C$5,Sheet6!$C$5,IF(Tim!AZ38=Sheet6!$C$6,Sheet6!$C$6,IF(Tim!AZ38=Sheet6!$C$7,Sheet6!$C$7,IF(Tim!AZ38=Sheet6!$C$8,Sheet6!$C$8,"")))))))</f>
        <v/>
      </c>
      <c r="Z36" s="57" t="str">
        <f>IF(Tim!BD38=Sheet6!$C$2,Sheet6!$C$2,IF(Tim!BD38=Sheet6!$C$3,Sheet6!$C$3,IF(Tim!BD38=Sheet6!$C$4,Sheet6!$C$4,IF(Tim!BD38=Sheet6!$C$5,Sheet6!$C$5,IF(Tim!BD38=Sheet6!$C$6,Sheet6!$C$6,IF(Tim!BD38=Sheet6!$C$7,Sheet6!$C$7,IF(Tim!BD38=Sheet6!$C$8,Sheet6!$C$8,"")))))))</f>
        <v/>
      </c>
      <c r="AA36" s="57" t="str">
        <f>IF(Tim!BE38=Sheet6!$C$2,Sheet6!$C$2,IF(Tim!BE38=Sheet6!$C$3,Sheet6!$C$3,IF(Tim!BE38=Sheet6!$C$4,Sheet6!$C$4,IF(Tim!BE38=Sheet6!$C$5,Sheet6!$C$5,IF(Tim!BE38=Sheet6!$C$6,Sheet6!$C$6,IF(Tim!BE38=Sheet6!$C$7,Sheet6!$C$7,IF(Tim!BE38=Sheet6!$C$8,Sheet6!$C$8,"")))))))</f>
        <v/>
      </c>
      <c r="AB36" s="57" t="str">
        <f>IF(Tim!BL38=Sheet6!$C$2,Sheet6!$C$2,IF(Tim!BL38=Sheet6!$C$3,Sheet6!$C$3,IF(Tim!BL38=Sheet6!$C$4,Sheet6!$C$4,IF(Tim!BL38=Sheet6!$C$5,Sheet6!$C$5,IF(Tim!BL38=Sheet6!$C$6,Sheet6!$C$6,IF(Tim!BL38=Sheet6!$C$7,Sheet6!$C$7,IF(Tim!BL38=Sheet6!$C$8,Sheet6!$C$8,"")))))))</f>
        <v/>
      </c>
      <c r="AC36" s="53" t="str">
        <f>IF(Tim!BT38=Sheet6!$C$2,Sheet6!$C$2,IF(Tim!BT38=Sheet6!$C$3,Sheet6!$C$3,IF(Tim!BT38=Sheet6!$C$4,Sheet6!$C$4,IF(Tim!BT38=Sheet6!$C$5,Sheet6!$C$5,IF(Tim!BT38=Sheet6!$C$6,Sheet6!$C$6,IF(Tim!BT38=Sheet6!$C$7,Sheet6!$C$7,IF(Tim!BT38=Sheet6!$C$8,Sheet6!$C$8,"")))))))</f>
        <v/>
      </c>
      <c r="AD36" s="181" t="str">
        <f>IF(Tim!BU38=Sheet6!$C$2,Sheet6!$C$2,IF(Tim!BU38=Sheet6!$C$3,Sheet6!$C$3,IF(Tim!BU38=Sheet6!$C$4,Sheet6!$C$4,IF(Tim!BU38=Sheet6!$C$5,Sheet6!$C$5,IF(Tim!BU38=Sheet6!$C$6,Sheet6!$C$6,IF(Tim!BU38=Sheet6!$C$7,Sheet6!$C$7,IF(Tim!BU38=Sheet6!$C$8,Sheet6!$C$8,"")))))))</f>
        <v/>
      </c>
      <c r="AE36" s="181" t="str">
        <f>IF(Tim!CB38=Sheet6!$C$2,Sheet6!$C$2,IF(Tim!CB38=Sheet6!$C$3,Sheet6!$C$3,IF(Tim!CB38=Sheet6!$C$4,Sheet6!$C$4,IF(Tim!CB38=Sheet6!$C$5,Sheet6!$C$5,IF(Tim!CB38=Sheet6!$C$6,Sheet6!$C$6,IF(Tim!CB38=Sheet6!$C$7,Sheet6!$C$7,IF(Tim!CB38=Sheet6!$C$8,Sheet6!$C$8,"")))))))</f>
        <v/>
      </c>
      <c r="AF36" s="181" t="str">
        <f>IF(Tim!CD38=Sheet6!$C$2,Sheet6!$C$2,IF(Tim!CD38=Sheet6!$C$3,Sheet6!$C$3,IF(Tim!CD38=Sheet6!$C$4,Sheet6!$C$4,IF(Tim!CD38=Sheet6!$C$5,Sheet6!$C$5,IF(Tim!CD38=Sheet6!$C$6,Sheet6!$C$6,IF(Tim!CD38=Sheet6!$C$7,Sheet6!$C$7,IF(Tim!CD38=Sheet6!$C$8,Sheet6!$C$8,"")))))))</f>
        <v/>
      </c>
      <c r="AG36" s="53" t="str">
        <f>IF(Tim!CE38=Sheet6!$C$2,Sheet6!$C$2,IF(Tim!CE38=Sheet6!$C$3,Sheet6!$C$3,IF(Tim!CE38=Sheet6!$C$4,Sheet6!$C$4,IF(Tim!CE38=Sheet6!$C$5,Sheet6!$C$5,IF(Tim!CE38=Sheet6!$C$6,Sheet6!$C$6,IF(Tim!CE38=Sheet6!$C$7,Sheet6!$C$7,IF(Tim!CE38=Sheet6!$C$8,Sheet6!$C$8,"")))))))</f>
        <v/>
      </c>
      <c r="AH36" s="53" t="str">
        <f>IF(Tim!CF38=Sheet6!$C$2,Sheet6!$C$2,IF(Tim!CF38=Sheet6!$C$3,Sheet6!$C$3,IF(Tim!CF38=Sheet6!$C$4,Sheet6!$C$4,IF(Tim!CF38=Sheet6!$C$5,Sheet6!$C$5,IF(Tim!CF38=Sheet6!$C$6,Sheet6!$C$6,IF(Tim!CF38=Sheet6!$C$7,Sheet6!$C$7,IF(Tim!CF38=Sheet6!$C$8,Sheet6!$C$8,"")))))))</f>
        <v/>
      </c>
      <c r="AI36" s="53" t="str">
        <f>IF(Tim!CG38=Sheet6!$C$2,Sheet6!$C$2,IF(Tim!CG38=Sheet6!$C$3,Sheet6!$C$3,IF(Tim!CG38=Sheet6!$C$4,Sheet6!$C$4,IF(Tim!CG38=Sheet6!$C$5,Sheet6!$C$5,IF(Tim!CG38=Sheet6!$C$6,Sheet6!$C$6,IF(Tim!CG38=Sheet6!$C$7,Sheet6!$C$7,IF(Tim!CG38=Sheet6!$C$8,Sheet6!$C$8,"")))))))</f>
        <v/>
      </c>
      <c r="AJ36" s="53" t="str">
        <f>IF(Tim!CH38=Sheet6!$C$2,Sheet6!$C$2,IF(Tim!CH38=Sheet6!$C$3,Sheet6!$C$3,IF(Tim!CH38=Sheet6!$C$4,Sheet6!$C$4,IF(Tim!CH38=Sheet6!$C$5,Sheet6!$C$5,IF(Tim!CH38=Sheet6!$C$6,Sheet6!$C$6,IF(Tim!CH38=Sheet6!$C$7,Sheet6!$C$7,IF(Tim!CH38=Sheet6!$C$8,Sheet6!$C$8,"")))))))</f>
        <v/>
      </c>
      <c r="AK36" s="53" t="str">
        <f>IF(Tim!CL38=Sheet6!$C$2,Sheet6!$C$2,IF(Tim!CL38=Sheet6!$C$3,Sheet6!$C$3,IF(Tim!CL38=Sheet6!$C$4,Sheet6!$C$4,IF(Tim!CL38=Sheet6!$C$5,Sheet6!$C$5,IF(Tim!CL38=Sheet6!$C$6,Sheet6!$C$6,IF(Tim!CL38=Sheet6!$C$7,Sheet6!$C$7,IF(Tim!CL38=Sheet6!$C$8,Sheet6!$C$8,"")))))))</f>
        <v/>
      </c>
      <c r="AL36" s="54" t="str">
        <f>IF(Tim!CM38=Sheet6!$C$2,Sheet6!$C$2,IF(Tim!CM38=Sheet6!$C$3,Sheet6!$C$3,IF(Tim!CM38=Sheet6!$C$4,Sheet6!$C$4,IF(Tim!CM38=Sheet6!$C$5,Sheet6!$C$5,IF(Tim!CM38=Sheet6!$C$6,Sheet6!$C$6,IF(Tim!CM38=Sheet6!$C$7,Sheet6!$C$7,IF(Tim!CM38=Sheet6!$C$8,Sheet6!$C$8,"")))))))</f>
        <v/>
      </c>
      <c r="AM36" s="54" t="str">
        <f>IF(Tim!CN38=Sheet6!$C$2,Sheet6!$C$2,IF(Tim!CN38=Sheet6!$C$3,Sheet6!$C$3,IF(Tim!CN38=Sheet6!$C$4,Sheet6!$C$4,IF(Tim!CN38=Sheet6!$C$5,Sheet6!$C$5,IF(Tim!CN38=Sheet6!$C$6,Sheet6!$C$6,IF(Tim!CN38=Sheet6!$C$7,Sheet6!$C$7,IF(Tim!CN38=Sheet6!$C$8,Sheet6!$C$8,"")))))))</f>
        <v/>
      </c>
      <c r="AN36" s="54" t="str">
        <f>IF(Tim!CO38=Sheet6!$C$2,Sheet6!$C$2,IF(Tim!CO38=Sheet6!$C$3,Sheet6!$C$3,IF(Tim!CO38=Sheet6!$C$4,Sheet6!$C$4,IF(Tim!CO38=Sheet6!$C$5,Sheet6!$C$5,IF(Tim!CO38=Sheet6!$C$6,Sheet6!$C$6,IF(Tim!CO38=Sheet6!$C$7,Sheet6!$C$7,IF(Tim!CO38=Sheet6!$C$8,Sheet6!$C$8,"")))))))</f>
        <v/>
      </c>
      <c r="AO36" s="55" t="str">
        <f>IF(Tim!CP38=Sheet6!$C$2,Sheet6!$C$2,IF(Tim!CP38=Sheet6!$C$3,Sheet6!$C$3,IF(Tim!CP38=Sheet6!$C$4,Sheet6!$C$4,IF(Tim!CP38=Sheet6!$C$5,Sheet6!$C$5,IF(Tim!CP38=Sheet6!$C$6,Sheet6!$C$6,IF(Tim!CP38=Sheet6!$C$7,Sheet6!$C$7,IF(Tim!CP38=Sheet6!$C$8,Sheet6!$C$8,"")))))))</f>
        <v/>
      </c>
      <c r="AP36" s="53" t="str">
        <f>IF(Tim!CQ38=Sheet6!$C$2,Sheet6!$C$2,IF(Tim!CQ38=Sheet6!$C$3,Sheet6!$C$3,IF(Tim!CQ38=Sheet6!$C$4,Sheet6!$C$4,IF(Tim!CQ38=Sheet6!$C$5,Sheet6!$C$5,IF(Tim!CQ38=Sheet6!$C$6,Sheet6!$C$6,IF(Tim!CQ38=Sheet6!$C$7,Sheet6!$C$7,IF(Tim!CQ38=Sheet6!$C$8,Sheet6!$C$8,"")))))))</f>
        <v/>
      </c>
      <c r="AQ36" s="57" t="str">
        <f>IF(Tim!CR38=Sheet6!$C$2,Sheet6!$C$2,IF(Tim!CR38=Sheet6!$C$3,Sheet6!$C$3,IF(Tim!CR38=Sheet6!$C$4,Sheet6!$C$4,IF(Tim!CR38=Sheet6!$C$5,Sheet6!$C$5,IF(Tim!CR38=Sheet6!$C$6,Sheet6!$C$6,IF(Tim!CR38=Sheet6!$C$7,Sheet6!$C$7,IF(Tim!CR38=Sheet6!$C$8,Sheet6!$C$8,"")))))))</f>
        <v/>
      </c>
      <c r="AR36" s="57" t="str">
        <f>IF(Tim!CV38=Sheet6!$C$2,Sheet6!$C$2,IF(Tim!CV38=Sheet6!$C$3,Sheet6!$C$3,IF(Tim!CV38=Sheet6!$C$4,Sheet6!$C$4,IF(Tim!CV38=Sheet6!$C$5,Sheet6!$C$5,IF(Tim!CV38=Sheet6!$C$6,Sheet6!$C$6,IF(Tim!CV38=Sheet6!$C$7,Sheet6!$C$7,IF(Tim!CV38=Sheet6!$C$8,Sheet6!$C$8,"")))))))</f>
        <v/>
      </c>
      <c r="AS36" s="57" t="str">
        <f>IF(Tim!CW38=Sheet6!$C$2,Sheet6!$C$2,IF(Tim!CW38=Sheet6!$C$3,Sheet6!$C$3,IF(Tim!CW38=Sheet6!$C$4,Sheet6!$C$4,IF(Tim!CW38=Sheet6!$C$5,Sheet6!$C$5,IF(Tim!CW38=Sheet6!$C$6,Sheet6!$C$6,IF(Tim!CW38=Sheet6!$C$7,Sheet6!$C$7,IF(Tim!CW38=Sheet6!$C$8,Sheet6!$C$8,"")))))))</f>
        <v/>
      </c>
      <c r="AT36" s="57" t="str">
        <f>IF(Tim!DA38=Sheet6!$C$2,Sheet6!$C$2,IF(Tim!DA38=Sheet6!$C$3,Sheet6!$C$3,IF(Tim!DA38=Sheet6!$C$4,Sheet6!$C$4,IF(Tim!DA38=Sheet6!$C$5,Sheet6!$C$5,IF(Tim!DA38=Sheet6!$C$6,Sheet6!$C$6,IF(Tim!DA38=Sheet6!$C$7,Sheet6!$C$7,IF(Tim!DA38=Sheet6!$C$8,Sheet6!$C$8,"")))))))</f>
        <v/>
      </c>
      <c r="AU36" s="53" t="str">
        <f>IF(Tim!DO38=Sheet6!$C$2,Sheet6!$C$2,IF(Tim!DO38=Sheet6!$C$3,Sheet6!$C$3,IF(Tim!DO38=Sheet6!$C$4,Sheet6!$C$4,IF(Tim!DO38=Sheet6!$C$5,Sheet6!$C$5,IF(Tim!DO38=Sheet6!$C$6,Sheet6!$C$6,IF(Tim!DO38=Sheet6!$C$7,Sheet6!$C$7,IF(Tim!DO38=Sheet6!$C$8,Sheet6!$C$8,"")))))))</f>
        <v/>
      </c>
      <c r="AV36" s="181" t="str">
        <f>IF(Tim!DP38=Sheet6!$C$2,Sheet6!$C$2,IF(Tim!DP38=Sheet6!$C$3,Sheet6!$C$3,IF(Tim!DP38=Sheet6!$C$4,Sheet6!$C$4,IF(Tim!DP38=Sheet6!$C$5,Sheet6!$C$5,IF(Tim!DP38=Sheet6!$C$6,Sheet6!$C$6,IF(Tim!DP38=Sheet6!$C$7,Sheet6!$C$7,IF(Tim!DP38=Sheet6!$C$8,Sheet6!$C$8,"")))))))</f>
        <v/>
      </c>
      <c r="AW36" s="181" t="str">
        <f>IF(Tim!DX38=Sheet6!$C$2,Sheet6!$C$2,IF(Tim!DX38=Sheet6!$C$3,Sheet6!$C$3,IF(Tim!DX38=Sheet6!$C$4,Sheet6!$C$4,IF(Tim!DX38=Sheet6!$C$5,Sheet6!$C$5,IF(Tim!DX38=Sheet6!$C$6,Sheet6!$C$6,IF(Tim!DX38=Sheet6!$C$7,Sheet6!$C$7,IF(Tim!DX38=Sheet6!$C$8,Sheet6!$C$8,"")))))))</f>
        <v/>
      </c>
      <c r="AX36" s="181" t="str">
        <f>IF(Tim!DY38=Sheet6!$C$2,Sheet6!$C$2,IF(Tim!DY38=Sheet6!$C$3,Sheet6!$C$3,IF(Tim!DY38=Sheet6!$C$4,Sheet6!$C$4,IF(Tim!DY38=Sheet6!$C$5,Sheet6!$C$5,IF(Tim!DY38=Sheet6!$C$6,Sheet6!$C$6,IF(Tim!DY38=Sheet6!$C$7,Sheet6!$C$7,IF(Tim!DY38=Sheet6!$C$8,Sheet6!$C$8,"")))))))</f>
        <v/>
      </c>
      <c r="AY36" s="53" t="str">
        <f>IF(Tim!DZ38=Sheet6!$C$2,Sheet6!$C$2,IF(Tim!DZ38=Sheet6!$C$3,Sheet6!$C$3,IF(Tim!DZ38=Sheet6!$C$4,Sheet6!$C$4,IF(Tim!DZ38=Sheet6!$C$5,Sheet6!$C$5,IF(Tim!DZ38=Sheet6!$C$6,Sheet6!$C$6,IF(Tim!DZ38=Sheet6!$C$7,Sheet6!$C$7,IF(Tim!DZ38=Sheet6!$C$8,Sheet6!$C$8,"")))))))</f>
        <v/>
      </c>
      <c r="AZ36" s="53" t="str">
        <f>IF(Tim!EA38=Sheet6!$C$2,Sheet6!$C$2,IF(Tim!EA38=Sheet6!$C$3,Sheet6!$C$3,IF(Tim!EA38=Sheet6!$C$4,Sheet6!$C$4,IF(Tim!EA38=Sheet6!$C$5,Sheet6!$C$5,IF(Tim!EA38=Sheet6!$C$6,Sheet6!$C$6,IF(Tim!EA38=Sheet6!$C$7,Sheet6!$C$7,IF(Tim!EA38=Sheet6!$C$8,Sheet6!$C$8,"")))))))</f>
        <v/>
      </c>
      <c r="BA36" s="53" t="str">
        <f>IF(Tim!EB38=Sheet6!$C$2,Sheet6!$C$2,IF(Tim!EB38=Sheet6!$C$3,Sheet6!$C$3,IF(Tim!EB38=Sheet6!$C$4,Sheet6!$C$4,IF(Tim!EB38=Sheet6!$C$5,Sheet6!$C$5,IF(Tim!EB38=Sheet6!$C$6,Sheet6!$C$6,IF(Tim!EB38=Sheet6!$C$7,Sheet6!$C$7,IF(Tim!EB38=Sheet6!$C$8,Sheet6!$C$8,"")))))))</f>
        <v/>
      </c>
      <c r="BB36" s="53" t="str">
        <f>IF(Tim!EC38=Sheet6!$C$2,Sheet6!$C$2,IF(Tim!EC38=Sheet6!$C$3,Sheet6!$C$3,IF(Tim!EC38=Sheet6!$C$4,Sheet6!$C$4,IF(Tim!EC38=Sheet6!$C$5,Sheet6!$C$5,IF(Tim!EC38=Sheet6!$C$6,Sheet6!$C$6,IF(Tim!EC38=Sheet6!$C$7,Sheet6!$C$7,IF(Tim!EC38=Sheet6!$C$8,Sheet6!$C$8,"")))))))</f>
        <v/>
      </c>
      <c r="BC36" s="53" t="str">
        <f>IF(Tim!EG38=Sheet6!$C$2,Sheet6!$C$2,IF(Tim!EG38=Sheet6!$C$3,Sheet6!$C$3,IF(Tim!EG38=Sheet6!$C$4,Sheet6!$C$4,IF(Tim!EG38=Sheet6!$C$5,Sheet6!$C$5,IF(Tim!EG38=Sheet6!$C$6,Sheet6!$C$6,IF(Tim!EG38=Sheet6!$C$7,Sheet6!$C$7,IF(Tim!EG38=Sheet6!$C$8,Sheet6!$C$8,"")))))))</f>
        <v/>
      </c>
      <c r="BD36" s="54" t="str">
        <f>IF(Tim!EH38=Sheet6!$C$2,Sheet6!$C$2,IF(Tim!EH38=Sheet6!$C$3,Sheet6!$C$3,IF(Tim!EH38=Sheet6!$C$4,Sheet6!$C$4,IF(Tim!EH38=Sheet6!$C$5,Sheet6!$C$5,IF(Tim!EH38=Sheet6!$C$6,Sheet6!$C$6,IF(Tim!EH38=Sheet6!$C$7,Sheet6!$C$7,IF(Tim!EH38=Sheet6!$C$8,Sheet6!$C$8,"")))))))</f>
        <v/>
      </c>
      <c r="BE36" s="54" t="str">
        <f>IF(Tim!EI38=Sheet6!$C$2,Sheet6!$C$2,IF(Tim!EI38=Sheet6!$C$3,Sheet6!$C$3,IF(Tim!EI38=Sheet6!$C$4,Sheet6!$C$4,IF(Tim!EI38=Sheet6!$C$5,Sheet6!$C$5,IF(Tim!EI38=Sheet6!$C$6,Sheet6!$C$6,IF(Tim!EI38=Sheet6!$C$7,Sheet6!$C$7,IF(Tim!EI38=Sheet6!$C$8,Sheet6!$C$8,"")))))))</f>
        <v/>
      </c>
      <c r="BF36" s="54" t="str">
        <f>IF(Tim!EJ38=Sheet6!$C$2,Sheet6!$C$2,IF(Tim!EJ38=Sheet6!$C$3,Sheet6!$C$3,IF(Tim!EJ38=Sheet6!$C$4,Sheet6!$C$4,IF(Tim!EJ38=Sheet6!$C$5,Sheet6!$C$5,IF(Tim!EJ38=Sheet6!$C$6,Sheet6!$C$6,IF(Tim!EJ38=Sheet6!$C$7,Sheet6!$C$7,IF(Tim!EJ38=Sheet6!$C$8,Sheet6!$C$8,"")))))))</f>
        <v/>
      </c>
      <c r="BG36" s="55" t="str">
        <f>IF(Tim!EK38=Sheet6!$C$2,Sheet6!$C$2,IF(Tim!EK38=Sheet6!$C$3,Sheet6!$C$3,IF(Tim!EK38=Sheet6!$C$4,Sheet6!$C$4,IF(Tim!EK38=Sheet6!$C$5,Sheet6!$C$5,IF(Tim!EK38=Sheet6!$C$6,Sheet6!$C$6,IF(Tim!EK38=Sheet6!$C$7,Sheet6!$C$7,IF(Tim!EK38=Sheet6!$C$8,Sheet6!$C$8,"")))))))</f>
        <v/>
      </c>
      <c r="BH36" s="53" t="str">
        <f>IF(Tim!EL38=Sheet6!$C$2,Sheet6!$C$2,IF(Tim!EL38=Sheet6!$C$3,Sheet6!$C$3,IF(Tim!EL38=Sheet6!$C$4,Sheet6!$C$4,IF(Tim!EL38=Sheet6!$C$5,Sheet6!$C$5,IF(Tim!EL38=Sheet6!$C$6,Sheet6!$C$6,IF(Tim!EL38=Sheet6!$C$7,Sheet6!$C$7,IF(Tim!EL38=Sheet6!$C$8,Sheet6!$C$8,"")))))))</f>
        <v/>
      </c>
      <c r="BI36" s="53" t="str">
        <f>IF(Tim!EM38=Sheet6!$C$2,Sheet6!$C$2,IF(Tim!EM38=Sheet6!$C$3,Sheet6!$C$3,IF(Tim!EM38=Sheet6!$C$4,Sheet6!$C$4,IF(Tim!EM38=Sheet6!$C$5,Sheet6!$C$5,IF(Tim!EM38=Sheet6!$C$6,Sheet6!$C$6,IF(Tim!EM38=Sheet6!$C$7,Sheet6!$C$7,IF(Tim!EM38=Sheet6!$C$8,Sheet6!$C$8,"")))))))</f>
        <v/>
      </c>
      <c r="BJ36" s="57" t="str">
        <f>IF(Tim!EQ38=Sheet6!$C$2,Sheet6!$C$2,IF(Tim!EQ38=Sheet6!$C$3,Sheet6!$C$3,IF(Tim!EQ38=Sheet6!$C$4,Sheet6!$C$4,IF(Tim!EQ38=Sheet6!$C$5,Sheet6!$C$5,IF(Tim!EQ38=Sheet6!$C$6,Sheet6!$C$6,IF(Tim!EQ38=Sheet6!$C$7,Sheet6!$C$7,IF(Tim!EQ38=Sheet6!$C$8,Sheet6!$C$8,"")))))))</f>
        <v/>
      </c>
      <c r="BK36" s="57" t="str">
        <f>IF(Tim!ER38=Sheet6!$C$2,Sheet6!$C$2,IF(Tim!ER38=Sheet6!$C$3,Sheet6!$C$3,IF(Tim!ER38=Sheet6!$C$4,Sheet6!$C$4,IF(Tim!ER38=Sheet6!$C$5,Sheet6!$C$5,IF(Tim!ER38=Sheet6!$C$6,Sheet6!$C$6,IF(Tim!ER38=Sheet6!$C$7,Sheet6!$C$7,IF(Tim!ER38=Sheet6!$C$8,Sheet6!$C$8,"")))))))</f>
        <v/>
      </c>
      <c r="BL36" s="57" t="str">
        <f>IF(Tim!EZ38=Sheet6!$C$2,Sheet6!$C$2,IF(Tim!EZ38=Sheet6!$C$3,Sheet6!$C$3,IF(Tim!EZ38=Sheet6!$C$4,Sheet6!$C$4,IF(Tim!EZ38=Sheet6!$C$5,Sheet6!$C$5,IF(Tim!EZ38=Sheet6!$C$6,Sheet6!$C$6,IF(Tim!EZ38=Sheet6!$C$7,Sheet6!$C$7,IF(Tim!EZ38=Sheet6!$C$8,Sheet6!$C$8,"")))))))</f>
        <v/>
      </c>
      <c r="BM36" s="53" t="str">
        <f>IF(Tim!FG38=Sheet6!$C$2,Sheet6!$C$2,IF(Tim!FG38=Sheet6!$C$3,Sheet6!$C$3,IF(Tim!FG38=Sheet6!$C$4,Sheet6!$C$4,IF(Tim!FG38=Sheet6!$C$5,Sheet6!$C$5,IF(Tim!FG38=Sheet6!$C$6,Sheet6!$C$6,IF(Tim!FG38=Sheet6!$C$7,Sheet6!$C$7,IF(Tim!FG38=Sheet6!$C$8,Sheet6!$C$8,"")))))))</f>
        <v/>
      </c>
      <c r="BN36" s="181" t="str">
        <f>IF(Tim!FH38=Sheet6!$C$2,Sheet6!$C$2,IF(Tim!FH38=Sheet6!$C$3,Sheet6!$C$3,IF(Tim!FH38=Sheet6!$C$4,Sheet6!$C$4,IF(Tim!FH38=Sheet6!$C$5,Sheet6!$C$5,IF(Tim!FH38=Sheet6!$C$6,Sheet6!$C$6,IF(Tim!FH38=Sheet6!$C$7,Sheet6!$C$7,IF(Tim!FH38=Sheet6!$C$8,Sheet6!$C$8,"")))))))</f>
        <v/>
      </c>
      <c r="BO36" s="181" t="str">
        <f>IF(Tim!FP38=Sheet6!$C$2,Sheet6!$C$2,IF(Tim!FP38=Sheet6!$C$3,Sheet6!$C$3,IF(Tim!FP38=Sheet6!$C$4,Sheet6!$C$4,IF(Tim!FP38=Sheet6!$C$5,Sheet6!$C$5,IF(Tim!FP38=Sheet6!$C$6,Sheet6!$C$6,IF(Tim!FP38=Sheet6!$C$7,Sheet6!$C$7,IF(Tim!FP38=Sheet6!$C$8,Sheet6!$C$8,"")))))))</f>
        <v/>
      </c>
      <c r="BP36" s="181" t="str">
        <f>IF(Tim!FQ38=Sheet6!$C$2,Sheet6!$C$2,IF(Tim!FQ38=Sheet6!$C$3,Sheet6!$C$3,IF(Tim!FQ38=Sheet6!$C$4,Sheet6!$C$4,IF(Tim!FQ38=Sheet6!$C$5,Sheet6!$C$5,IF(Tim!FQ38=Sheet6!$C$6,Sheet6!$C$6,IF(Tim!FQ38=Sheet6!$C$7,Sheet6!$C$7,IF(Tim!FQ38=Sheet6!$C$8,Sheet6!$C$8,"")))))))</f>
        <v/>
      </c>
      <c r="BQ36" s="53" t="str">
        <f>IF(Tim!FR38=Sheet6!$C$2,Sheet6!$C$2,IF(Tim!FR38=Sheet6!$C$3,Sheet6!$C$3,IF(Tim!FR38=Sheet6!$C$4,Sheet6!$C$4,IF(Tim!FR38=Sheet6!$C$5,Sheet6!$C$5,IF(Tim!FR38=Sheet6!$C$6,Sheet6!$C$6,IF(Tim!FR38=Sheet6!$C$7,Sheet6!$C$7,IF(Tim!FR38=Sheet6!$C$8,Sheet6!$C$8,"")))))))</f>
        <v/>
      </c>
      <c r="BR36" s="53" t="str">
        <f>IF(Tim!FS38=Sheet6!$C$2,Sheet6!$C$2,IF(Tim!FS38=Sheet6!$C$3,Sheet6!$C$3,IF(Tim!FS38=Sheet6!$C$4,Sheet6!$C$4,IF(Tim!FS38=Sheet6!$C$5,Sheet6!$C$5,IF(Tim!FS38=Sheet6!$C$6,Sheet6!$C$6,IF(Tim!FS38=Sheet6!$C$7,Sheet6!$C$7,IF(Tim!FS38=Sheet6!$C$8,Sheet6!$C$8,"")))))))</f>
        <v/>
      </c>
      <c r="BS36" s="53" t="str">
        <f>IF(Tim!FT38=Sheet6!$C$2,Sheet6!$C$2,IF(Tim!FT38=Sheet6!$C$3,Sheet6!$C$3,IF(Tim!FT38=Sheet6!$C$4,Sheet6!$C$4,IF(Tim!FT38=Sheet6!$C$5,Sheet6!$C$5,IF(Tim!FT38=Sheet6!$C$6,Sheet6!$C$6,IF(Tim!FT38=Sheet6!$C$7,Sheet6!$C$7,IF(Tim!FT38=Sheet6!$C$8,Sheet6!$C$8,"")))))))</f>
        <v/>
      </c>
      <c r="BT36" s="53" t="str">
        <f>IF(Tim!FU38=Sheet6!$C$2,Sheet6!$C$2,IF(Tim!FU38=Sheet6!$C$3,Sheet6!$C$3,IF(Tim!FU38=Sheet6!$C$4,Sheet6!$C$4,IF(Tim!FU38=Sheet6!$C$5,Sheet6!$C$5,IF(Tim!FU38=Sheet6!$C$6,Sheet6!$C$6,IF(Tim!FU38=Sheet6!$C$7,Sheet6!$C$7,IF(Tim!FU38=Sheet6!$C$8,Sheet6!$C$8,"")))))))</f>
        <v/>
      </c>
      <c r="BU36" s="53" t="str">
        <f>IF(Tim!FY38=Sheet6!$C$2,Sheet6!$C$2,IF(Tim!FY38=Sheet6!$C$3,Sheet6!$C$3,IF(Tim!FY38=Sheet6!$C$4,Sheet6!$C$4,IF(Tim!FY38=Sheet6!$C$5,Sheet6!$C$5,IF(Tim!FY38=Sheet6!$C$6,Sheet6!$C$6,IF(Tim!FY38=Sheet6!$C$7,Sheet6!$C$7,IF(Tim!FY38=Sheet6!$C$8,Sheet6!$C$8,"")))))))</f>
        <v/>
      </c>
      <c r="BV36" s="54" t="str">
        <f>IF(Tim!FZ38=Sheet6!$C$2,Sheet6!$C$2,IF(Tim!FZ38=Sheet6!$C$3,Sheet6!$C$3,IF(Tim!FZ38=Sheet6!$C$4,Sheet6!$C$4,IF(Tim!FZ38=Sheet6!$C$5,Sheet6!$C$5,IF(Tim!FZ38=Sheet6!$C$6,Sheet6!$C$6,IF(Tim!FZ38=Sheet6!$C$7,Sheet6!$C$7,IF(Tim!FZ38=Sheet6!$C$8,Sheet6!$C$8,"")))))))</f>
        <v/>
      </c>
      <c r="BW36" s="54" t="str">
        <f>IF(Tim!GA38=Sheet6!$C$2,Sheet6!$C$2,IF(Tim!GA38=Sheet6!$C$3,Sheet6!$C$3,IF(Tim!GA38=Sheet6!$C$4,Sheet6!$C$4,IF(Tim!GA38=Sheet6!$C$5,Sheet6!$C$5,IF(Tim!GA38=Sheet6!$C$6,Sheet6!$C$6,IF(Tim!GA38=Sheet6!$C$7,Sheet6!$C$7,IF(Tim!GA38=Sheet6!$C$8,Sheet6!$C$8,"")))))))</f>
        <v/>
      </c>
      <c r="BX36" s="54" t="str">
        <f>IF(Tim!GB38=Sheet6!$C$2,Sheet6!$C$2,IF(Tim!GB38=Sheet6!$C$3,Sheet6!$C$3,IF(Tim!GB38=Sheet6!$C$4,Sheet6!$C$4,IF(Tim!GB38=Sheet6!$C$5,Sheet6!$C$5,IF(Tim!GB38=Sheet6!$C$6,Sheet6!$C$6,IF(Tim!GB38=Sheet6!$C$7,Sheet6!$C$7,IF(Tim!GB38=Sheet6!$C$8,Sheet6!$C$8,"")))))))</f>
        <v/>
      </c>
      <c r="BY36" s="55" t="str">
        <f>IF(Tim!GC38=Sheet6!$C$2,Sheet6!$C$2,IF(Tim!GC38=Sheet6!$C$3,Sheet6!$C$3,IF(Tim!GC38=Sheet6!$C$4,Sheet6!$C$4,IF(Tim!GC38=Sheet6!$C$5,Sheet6!$C$5,IF(Tim!GC38=Sheet6!$C$6,Sheet6!$C$6,IF(Tim!GC38=Sheet6!$C$7,Sheet6!$C$7,IF(Tim!GC38=Sheet6!$C$8,Sheet6!$C$8,"")))))))</f>
        <v/>
      </c>
      <c r="BZ36" s="53" t="str">
        <f>IF(Tim!GD38=Sheet6!$C$2,Sheet6!$C$2,IF(Tim!GD38=Sheet6!$C$3,Sheet6!$C$3,IF(Tim!GD38=Sheet6!$C$4,Sheet6!$C$4,IF(Tim!GD38=Sheet6!$C$5,Sheet6!$C$5,IF(Tim!GD38=Sheet6!$C$6,Sheet6!$C$6,IF(Tim!GD38=Sheet6!$C$7,Sheet6!$C$7,IF(Tim!GD38=Sheet6!$C$8,Sheet6!$C$8,"")))))))</f>
        <v/>
      </c>
      <c r="CA36" s="53" t="str">
        <f>IF(Tim!GE38=Sheet6!$C$2,Sheet6!$C$2,IF(Tim!GE38=Sheet6!$C$3,Sheet6!$C$3,IF(Tim!GE38=Sheet6!$C$4,Sheet6!$C$4,IF(Tim!GE38=Sheet6!$C$5,Sheet6!$C$5,IF(Tim!GE38=Sheet6!$C$6,Sheet6!$C$6,IF(Tim!GE38=Sheet6!$C$7,Sheet6!$C$7,IF(Tim!GE38=Sheet6!$C$8,Sheet6!$C$8,"")))))))</f>
        <v/>
      </c>
      <c r="CB36" s="57" t="str">
        <f>IF(Tim!GI38=Sheet6!$C$2,Sheet6!$C$2,IF(Tim!GI38=Sheet6!$C$3,Sheet6!$C$3,IF(Tim!GI38=Sheet6!$C$4,Sheet6!$C$4,IF(Tim!GI38=Sheet6!$C$5,Sheet6!$C$5,IF(Tim!GI38=Sheet6!$C$6,Sheet6!$C$6,IF(Tim!GI38=Sheet6!$C$7,Sheet6!$C$7,IF(Tim!GI38=Sheet6!$C$8,Sheet6!$C$8,"")))))))</f>
        <v/>
      </c>
      <c r="CC36" s="57" t="str">
        <f>IF(Tim!GJ38=Sheet6!$C$2,Sheet6!$C$2,IF(Tim!GJ38=Sheet6!$C$3,Sheet6!$C$3,IF(Tim!GJ38=Sheet6!$C$4,Sheet6!$C$4,IF(Tim!GJ38=Sheet6!$C$5,Sheet6!$C$5,IF(Tim!GJ38=Sheet6!$C$6,Sheet6!$C$6,IF(Tim!GJ38=Sheet6!$C$7,Sheet6!$C$7,IF(Tim!GJ38=Sheet6!$C$8,Sheet6!$C$8,"")))))))</f>
        <v/>
      </c>
      <c r="CD36" s="57" t="str">
        <f>IF(Tim!GN38=Sheet6!$C$2,Sheet6!$C$2,IF(Tim!GN38=Sheet6!$C$3,Sheet6!$C$3,IF(Tim!GN38=Sheet6!$C$4,Sheet6!$C$4,IF(Tim!GN38=Sheet6!$C$5,Sheet6!$C$5,IF(Tim!GN38=Sheet6!$C$6,Sheet6!$C$6,IF(Tim!GN38=Sheet6!$C$7,Sheet6!$C$7,IF(Tim!GN38=Sheet6!$C$8,Sheet6!$C$8,"")))))))</f>
        <v/>
      </c>
      <c r="CE36" s="53" t="str">
        <f>IF(Tim!GY38=Sheet6!$C$2,Sheet6!$C$2,IF(Tim!GY38=Sheet6!$C$3,Sheet6!$C$3,IF(Tim!GY38=Sheet6!$C$4,Sheet6!$C$4,IF(Tim!GY38=Sheet6!$C$5,Sheet6!$C$5,IF(Tim!GY38=Sheet6!$C$6,Sheet6!$C$6,IF(Tim!GY38=Sheet6!$C$7,Sheet6!$C$7,IF(Tim!GY38=Sheet6!$C$8,Sheet6!$C$8,"")))))))</f>
        <v/>
      </c>
      <c r="CF36" s="181" t="str">
        <f>IF(Tim!GZ38=Sheet6!$C$2,Sheet6!$C$2,IF(Tim!GZ38=Sheet6!$C$3,Sheet6!$C$3,IF(Tim!GZ38=Sheet6!$C$4,Sheet6!$C$4,IF(Tim!GZ38=Sheet6!$C$5,Sheet6!$C$5,IF(Tim!GZ38=Sheet6!$C$6,Sheet6!$C$6,IF(Tim!GZ38=Sheet6!$C$7,Sheet6!$C$7,IF(Tim!GZ38=Sheet6!$C$8,Sheet6!$C$8,"")))))))</f>
        <v/>
      </c>
      <c r="CG36" s="181" t="str">
        <f>IF(Tim!HH38=Sheet6!$C$2,Sheet6!$C$2,IF(Tim!HH38=Sheet6!$C$3,Sheet6!$C$3,IF(Tim!HH38=Sheet6!$C$4,Sheet6!$C$4,IF(Tim!HH38=Sheet6!$C$5,Sheet6!$C$5,IF(Tim!HH38=Sheet6!$C$6,Sheet6!$C$6,IF(Tim!HH38=Sheet6!$C$7,Sheet6!$C$7,IF(Tim!HH38=Sheet6!$C$8,Sheet6!$C$8,"")))))))</f>
        <v/>
      </c>
      <c r="CH36" s="181" t="str">
        <f>IF(Tim!HI38=Sheet6!$C$2,Sheet6!$C$2,IF(Tim!HI38=Sheet6!$C$3,Sheet6!$C$3,IF(Tim!HI38=Sheet6!$C$4,Sheet6!$C$4,IF(Tim!HI38=Sheet6!$C$5,Sheet6!$C$5,IF(Tim!HI38=Sheet6!$C$6,Sheet6!$C$6,IF(Tim!HI38=Sheet6!$C$7,Sheet6!$C$7,IF(Tim!HI38=Sheet6!$C$8,Sheet6!$C$8,"")))))))</f>
        <v/>
      </c>
      <c r="CI36" s="53" t="str">
        <f>IF(Tim!HJ38=Sheet6!$C$2,Sheet6!$C$2,IF(Tim!HJ38=Sheet6!$C$3,Sheet6!$C$3,IF(Tim!HJ38=Sheet6!$C$4,Sheet6!$C$4,IF(Tim!HJ38=Sheet6!$C$5,Sheet6!$C$5,IF(Tim!HJ38=Sheet6!$C$6,Sheet6!$C$6,IF(Tim!HJ38=Sheet6!$C$7,Sheet6!$C$7,IF(Tim!HJ38=Sheet6!$C$8,Sheet6!$C$8,"")))))))</f>
        <v/>
      </c>
      <c r="CJ36" s="53" t="str">
        <f>IF(Tim!HK38=Sheet6!$C$2,Sheet6!$C$2,IF(Tim!HK38=Sheet6!$C$3,Sheet6!$C$3,IF(Tim!HK38=Sheet6!$C$4,Sheet6!$C$4,IF(Tim!HK38=Sheet6!$C$5,Sheet6!$C$5,IF(Tim!HK38=Sheet6!$C$6,Sheet6!$C$6,IF(Tim!HK38=Sheet6!$C$7,Sheet6!$C$7,IF(Tim!HK38=Sheet6!$C$8,Sheet6!$C$8,"")))))))</f>
        <v/>
      </c>
      <c r="CK36" s="53" t="str">
        <f>IF(Tim!HL38=Sheet6!$C$2,Sheet6!$C$2,IF(Tim!HL38=Sheet6!$C$3,Sheet6!$C$3,IF(Tim!HL38=Sheet6!$C$4,Sheet6!$C$4,IF(Tim!HL38=Sheet6!$C$5,Sheet6!$C$5,IF(Tim!HL38=Sheet6!$C$6,Sheet6!$C$6,IF(Tim!HL38=Sheet6!$C$7,Sheet6!$C$7,IF(Tim!HL38=Sheet6!$C$8,Sheet6!$C$8,"")))))))</f>
        <v/>
      </c>
      <c r="CL36" s="53" t="str">
        <f>IF(Tim!HM38=Sheet6!$C$2,Sheet6!$C$2,IF(Tim!HM38=Sheet6!$C$3,Sheet6!$C$3,IF(Tim!HM38=Sheet6!$C$4,Sheet6!$C$4,IF(Tim!HM38=Sheet6!$C$5,Sheet6!$C$5,IF(Tim!HM38=Sheet6!$C$6,Sheet6!$C$6,IF(Tim!HM38=Sheet6!$C$7,Sheet6!$C$7,IF(Tim!HM38=Sheet6!$C$8,Sheet6!$C$8,"")))))))</f>
        <v/>
      </c>
      <c r="CM36" s="53" t="str">
        <f>IF(Tim!HQ38=Sheet6!$C$2,Sheet6!$C$2,IF(Tim!HQ38=Sheet6!$C$3,Sheet6!$C$3,IF(Tim!HQ38=Sheet6!$C$4,Sheet6!$C$4,IF(Tim!HQ38=Sheet6!$C$5,Sheet6!$C$5,IF(Tim!HQ38=Sheet6!$C$6,Sheet6!$C$6,IF(Tim!HQ38=Sheet6!$C$7,Sheet6!$C$7,IF(Tim!HQ38=Sheet6!$C$8,Sheet6!$C$8,"")))))))</f>
        <v/>
      </c>
      <c r="CN36" s="54" t="str">
        <f>IF(Tim!HR38=Sheet6!$C$2,Sheet6!$C$2,IF(Tim!HR38=Sheet6!$C$3,Sheet6!$C$3,IF(Tim!HR38=Sheet6!$C$4,Sheet6!$C$4,IF(Tim!HR38=Sheet6!$C$5,Sheet6!$C$5,IF(Tim!HR38=Sheet6!$C$6,Sheet6!$C$6,IF(Tim!HR38=Sheet6!$C$7,Sheet6!$C$7,IF(Tim!HR38=Sheet6!$C$8,Sheet6!$C$8,"")))))))</f>
        <v/>
      </c>
      <c r="CO36" s="54" t="str">
        <f>IF(Tim!HS38=Sheet6!$C$2,Sheet6!$C$2,IF(Tim!HS38=Sheet6!$C$3,Sheet6!$C$3,IF(Tim!HS38=Sheet6!$C$4,Sheet6!$C$4,IF(Tim!HS38=Sheet6!$C$5,Sheet6!$C$5,IF(Tim!HS38=Sheet6!$C$6,Sheet6!$C$6,IF(Tim!HS38=Sheet6!$C$7,Sheet6!$C$7,IF(Tim!HS38=Sheet6!$C$8,Sheet6!$C$8,"")))))))</f>
        <v/>
      </c>
      <c r="CP36" s="54" t="str">
        <f>IF(Tim!HT38=Sheet6!$C$2,Sheet6!$C$2,IF(Tim!HT38=Sheet6!$C$3,Sheet6!$C$3,IF(Tim!HT38=Sheet6!$C$4,Sheet6!$C$4,IF(Tim!HT38=Sheet6!$C$5,Sheet6!$C$5,IF(Tim!HT38=Sheet6!$C$6,Sheet6!$C$6,IF(Tim!HT38=Sheet6!$C$7,Sheet6!$C$7,IF(Tim!HT38=Sheet6!$C$8,Sheet6!$C$8,"")))))))</f>
        <v/>
      </c>
      <c r="CQ36" s="55" t="str">
        <f>IF(Tim!HU38=Sheet6!$C$2,Sheet6!$C$2,IF(Tim!HU38=Sheet6!$C$3,Sheet6!$C$3,IF(Tim!HU38=Sheet6!$C$4,Sheet6!$C$4,IF(Tim!HU38=Sheet6!$C$5,Sheet6!$C$5,IF(Tim!HU38=Sheet6!$C$6,Sheet6!$C$6,IF(Tim!HU38=Sheet6!$C$7,Sheet6!$C$7,IF(Tim!HU38=Sheet6!$C$8,Sheet6!$C$8,"")))))))</f>
        <v/>
      </c>
      <c r="CR36" s="56" t="str">
        <f>IF(Tim!HV38=Sheet6!$C$2,Sheet6!$C$2,IF(Tim!HV38=Sheet6!$C$3,Sheet6!$C$3,IF(Tim!HV38=Sheet6!$C$4,Sheet6!$C$4,IF(Tim!HV38=Sheet6!$C$5,Sheet6!$C$5,IF(Tim!HV38=Sheet6!$C$6,Sheet6!$C$6,IF(Tim!HV38=Sheet6!$C$7,Sheet6!$C$7,IF(Tim!HV38=Sheet6!$C$8,Sheet6!$C$8,"")))))))</f>
        <v/>
      </c>
      <c r="CS36" s="57" t="str">
        <f>IF(Tim!IB38=Sheet6!$C$2,Sheet6!$C$2,IF(Tim!IB38=Sheet6!$C$3,Sheet6!$C$3,IF(Tim!IB38=Sheet6!$C$4,Sheet6!$C$4,IF(Tim!IB38=Sheet6!$C$5,Sheet6!$C$5,IF(Tim!IB38=Sheet6!$C$6,Sheet6!$C$6,IF(Tim!IB38=Sheet6!$C$7,Sheet6!$C$7,IF(Tim!IB38=Sheet6!$C$8,Sheet6!$C$8,"")))))))</f>
        <v/>
      </c>
      <c r="CT36" s="57" t="str">
        <f>IF(Tim!IJ38=Sheet6!$C$2,Sheet6!$C$2,IF(Tim!IJ38=Sheet6!$C$3,Sheet6!$C$3,IF(Tim!IJ38=Sheet6!$C$4,Sheet6!$C$4,IF(Tim!IJ38=Sheet6!$C$5,Sheet6!$C$5,IF(Tim!IJ38=Sheet6!$C$6,Sheet6!$C$6,IF(Tim!IJ38=Sheet6!$C$7,Sheet6!$C$7,IF(Tim!IJ38=Sheet6!$C$8,Sheet6!$C$8,"")))))))</f>
        <v/>
      </c>
      <c r="CU36" s="57" t="str">
        <f>IF(Tim!IQ38=Sheet6!$C$2,Sheet6!$C$2,IF(Tim!IQ38=Sheet6!$C$3,Sheet6!$C$3,IF(Tim!IQ38=Sheet6!$C$4,Sheet6!$C$4,IF(Tim!IQ38=Sheet6!$C$5,Sheet6!$C$5,IF(Tim!IQ38=Sheet6!$C$6,Sheet6!$C$6,IF(Tim!IQ38=Sheet6!$C$7,Sheet6!$C$7,IF(Tim!IQ38=Sheet6!$C$8,Sheet6!$C$8,"")))))))</f>
        <v/>
      </c>
      <c r="CV36" s="53" t="str">
        <f>IF(Tim!IR38=Sheet6!$C$2,Sheet6!$C$2,IF(Tim!IR38=Sheet6!$C$3,Sheet6!$C$3,IF(Tim!IR38=Sheet6!$C$4,Sheet6!$C$4,IF(Tim!IR38=Sheet6!$C$5,Sheet6!$C$5,IF(Tim!IR38=Sheet6!$C$6,Sheet6!$C$6,IF(Tim!IR38=Sheet6!$C$7,Sheet6!$C$7,IF(Tim!IR38=Sheet6!$C$8,Sheet6!$C$8,"")))))))</f>
        <v/>
      </c>
      <c r="CW36" s="53" t="str">
        <f>IF(Tim!IZ38=Sheet6!$C$2,Sheet6!$C$2,IF(Tim!IZ38=Sheet6!$C$3,Sheet6!$C$3,IF(Tim!IZ38=Sheet6!$C$4,Sheet6!$C$4,IF(Tim!IZ38=Sheet6!$C$5,Sheet6!$C$5,IF(Tim!IZ38=Sheet6!$C$6,Sheet6!$C$6,IF(Tim!IZ38=Sheet6!$C$7,Sheet6!$C$7,IF(Tim!IZ38=Sheet6!$C$8,Sheet6!$C$8,"")))))))</f>
        <v/>
      </c>
      <c r="CX36" s="53" t="str">
        <f>IF(Tim!JA38=Sheet6!$C$2,Sheet6!$C$2,IF(Tim!JA38=Sheet6!$C$3,Sheet6!$C$3,IF(Tim!JA38=Sheet6!$C$4,Sheet6!$C$4,IF(Tim!JA38=Sheet6!$C$5,Sheet6!$C$5,IF(Tim!JA38=Sheet6!$C$6,Sheet6!$C$6,IF(Tim!JA38=Sheet6!$C$7,Sheet6!$C$7,IF(Tim!JA38=Sheet6!$C$8,Sheet6!$C$8,"")))))))</f>
        <v/>
      </c>
      <c r="CY36" s="53" t="str">
        <f>IF(Tim!JB38=Sheet6!$C$2,Sheet6!$C$2,IF(Tim!JB38=Sheet6!$C$3,Sheet6!$C$3,IF(Tim!JB38=Sheet6!$C$4,Sheet6!$C$4,IF(Tim!JB38=Sheet6!$C$5,Sheet6!$C$5,IF(Tim!JB38=Sheet6!$C$6,Sheet6!$C$6,IF(Tim!JB38=Sheet6!$C$7,Sheet6!$C$7,IF(Tim!JB38=Sheet6!$C$8,Sheet6!$C$8,"")))))))</f>
        <v/>
      </c>
      <c r="CZ36" s="53" t="str">
        <f>IF(Tim!JC38=Sheet6!$C$2,Sheet6!$C$2,IF(Tim!JC38=Sheet6!$C$3,Sheet6!$C$3,IF(Tim!JC38=Sheet6!$C$4,Sheet6!$C$4,IF(Tim!JC38=Sheet6!$C$5,Sheet6!$C$5,IF(Tim!JC38=Sheet6!$C$6,Sheet6!$C$6,IF(Tim!JC38=Sheet6!$C$7,Sheet6!$C$7,IF(Tim!JC38=Sheet6!$C$8,Sheet6!$C$8,"")))))))</f>
        <v/>
      </c>
      <c r="DA36" s="53" t="str">
        <f>IF(Tim!JD38=Sheet6!$C$2,Sheet6!$C$2,IF(Tim!JD38=Sheet6!$C$3,Sheet6!$C$3,IF(Tim!JD38=Sheet6!$C$4,Sheet6!$C$4,IF(Tim!JD38=Sheet6!$C$5,Sheet6!$C$5,IF(Tim!JD38=Sheet6!$C$6,Sheet6!$C$6,IF(Tim!JD38=Sheet6!$C$7,Sheet6!$C$7,IF(Tim!JD38=Sheet6!$C$8,Sheet6!$C$8,"")))))))</f>
        <v/>
      </c>
      <c r="DB36" s="53" t="str">
        <f>IF(Tim!JE38=Sheet6!$C$2,Sheet6!$C$2,IF(Tim!JE38=Sheet6!$C$3,Sheet6!$C$3,IF(Tim!JE38=Sheet6!$C$4,Sheet6!$C$4,IF(Tim!JE38=Sheet6!$C$5,Sheet6!$C$5,IF(Tim!JE38=Sheet6!$C$6,Sheet6!$C$6,IF(Tim!JE38=Sheet6!$C$7,Sheet6!$C$7,IF(Tim!JE38=Sheet6!$C$8,Sheet6!$C$8,"")))))))</f>
        <v/>
      </c>
      <c r="DC36" s="53" t="str">
        <f>IF(Tim!JI38=Sheet6!$C$2,Sheet6!$C$2,IF(Tim!JI38=Sheet6!$C$3,Sheet6!$C$3,IF(Tim!JI38=Sheet6!$C$4,Sheet6!$C$4,IF(Tim!JI38=Sheet6!$C$5,Sheet6!$C$5,IF(Tim!JI38=Sheet6!$C$6,Sheet6!$C$6,IF(Tim!JI38=Sheet6!$C$7,Sheet6!$C$7,IF(Tim!JI38=Sheet6!$C$8,Sheet6!$C$8,"")))))))</f>
        <v/>
      </c>
      <c r="DD36" s="54" t="str">
        <f>IF(Tim!JJ38=Sheet6!$C$2,Sheet6!$C$2,IF(Tim!JJ38=Sheet6!$C$3,Sheet6!$C$3,IF(Tim!JJ38=Sheet6!$C$4,Sheet6!$C$4,IF(Tim!JJ38=Sheet6!$C$5,Sheet6!$C$5,IF(Tim!JJ38=Sheet6!$C$6,Sheet6!$C$6,IF(Tim!JJ38=Sheet6!$C$7,Sheet6!$C$7,IF(Tim!JJ38=Sheet6!$C$8,Sheet6!$C$8,"")))))))</f>
        <v/>
      </c>
      <c r="DE36" s="54" t="str">
        <f>IF(Tim!JK38=Sheet6!$C$2,Sheet6!$C$2,IF(Tim!JK38=Sheet6!$C$3,Sheet6!$C$3,IF(Tim!JK38=Sheet6!$C$4,Sheet6!$C$4,IF(Tim!JK38=Sheet6!$C$5,Sheet6!$C$5,IF(Tim!JK38=Sheet6!$C$6,Sheet6!$C$6,IF(Tim!JK38=Sheet6!$C$7,Sheet6!$C$7,IF(Tim!JK38=Sheet6!$C$8,Sheet6!$C$8,"")))))))</f>
        <v/>
      </c>
      <c r="DF36" s="54" t="str">
        <f>IF(Tim!JL38=Sheet6!$C$2,Sheet6!$C$2,IF(Tim!JL38=Sheet6!$C$3,Sheet6!$C$3,IF(Tim!JL38=Sheet6!$C$4,Sheet6!$C$4,IF(Tim!JL38=Sheet6!$C$5,Sheet6!$C$5,IF(Tim!JL38=Sheet6!$C$6,Sheet6!$C$6,IF(Tim!JL38=Sheet6!$C$7,Sheet6!$C$7,IF(Tim!JL38=Sheet6!$C$8,Sheet6!$C$8,"")))))))</f>
        <v/>
      </c>
      <c r="DG36" s="55" t="str">
        <f>IF(Tim!JM38=Sheet6!$C$2,Sheet6!$C$2,IF(Tim!JM38=Sheet6!$C$3,Sheet6!$C$3,IF(Tim!JM38=Sheet6!$C$4,Sheet6!$C$4,IF(Tim!JM38=Sheet6!$C$5,Sheet6!$C$5,IF(Tim!JM38=Sheet6!$C$6,Sheet6!$C$6,IF(Tim!JM38=Sheet6!$C$7,Sheet6!$C$7,IF(Tim!JM38=Sheet6!$C$8,Sheet6!$C$8,"")))))))</f>
        <v/>
      </c>
      <c r="DH36" s="56" t="str">
        <f>IF(Tim!JN38=Sheet6!$C$2,Sheet6!$C$2,IF(Tim!JN38=Sheet6!$C$3,Sheet6!$C$3,IF(Tim!JN38=Sheet6!$C$4,Sheet6!$C$4,IF(Tim!JN38=Sheet6!$C$5,Sheet6!$C$5,IF(Tim!JN38=Sheet6!$C$6,Sheet6!$C$6,IF(Tim!JN38=Sheet6!$C$7,Sheet6!$C$7,IF(Tim!JN38=Sheet6!$C$8,Sheet6!$C$8,"")))))))</f>
        <v/>
      </c>
      <c r="DI36" s="57" t="str">
        <f>IF(Tim!JS38=Sheet6!$C$2,Sheet6!$C$2,IF(Tim!JS38=Sheet6!$C$3,Sheet6!$C$3,IF(Tim!JS38=Sheet6!$C$4,Sheet6!$C$4,IF(Tim!JS38=Sheet6!$C$5,Sheet6!$C$5,IF(Tim!JS38=Sheet6!$C$6,Sheet6!$C$6,IF(Tim!JS38=Sheet6!$C$7,Sheet6!$C$7,IF(Tim!JS38=Sheet6!$C$8,Sheet6!$C$8,"")))))))</f>
        <v/>
      </c>
      <c r="DJ36" s="57" t="str">
        <f>IF(Tim!KB38=Sheet6!$C$2,Sheet6!$C$2,IF(Tim!KB38=Sheet6!$C$3,Sheet6!$C$3,IF(Tim!KB38=Sheet6!$C$4,Sheet6!$C$4,IF(Tim!KB38=Sheet6!$C$5,Sheet6!$C$5,IF(Tim!KB38=Sheet6!$C$6,Sheet6!$C$6,IF(Tim!KB38=Sheet6!$C$7,Sheet6!$C$7,IF(Tim!KB38=Sheet6!$C$8,Sheet6!$C$8,"")))))))</f>
        <v/>
      </c>
      <c r="DK36" s="53" t="str">
        <f>IF(Tim!KI38=Sheet6!$C$2,Sheet6!$C$2,IF(Tim!KI38=Sheet6!$C$3,Sheet6!$C$3,IF(Tim!KI38=Sheet6!$C$4,Sheet6!$C$4,IF(Tim!KI38=Sheet6!$C$5,Sheet6!$C$5,IF(Tim!KI38=Sheet6!$C$6,Sheet6!$C$6,IF(Tim!KI38=Sheet6!$C$7,Sheet6!$C$7,IF(Tim!KI38=Sheet6!$C$8,Sheet6!$C$8,"")))))))</f>
        <v/>
      </c>
      <c r="DL36" s="53" t="str">
        <f>IF(Tim!KJ38=Sheet6!$C$2,Sheet6!$C$2,IF(Tim!KJ38=Sheet6!$C$3,Sheet6!$C$3,IF(Tim!KJ38=Sheet6!$C$4,Sheet6!$C$4,IF(Tim!KJ38=Sheet6!$C$5,Sheet6!$C$5,IF(Tim!KJ38=Sheet6!$C$6,Sheet6!$C$6,IF(Tim!KJ38=Sheet6!$C$7,Sheet6!$C$7,IF(Tim!KJ38=Sheet6!$C$8,Sheet6!$C$8,"")))))))</f>
        <v/>
      </c>
      <c r="DM36" s="53" t="str">
        <f>IF(Tim!KR38=Sheet6!$C$2,Sheet6!$C$2,IF(Tim!KR38=Sheet6!$C$3,Sheet6!$C$3,IF(Tim!KR38=Sheet6!$C$4,Sheet6!$C$4,IF(Tim!KR38=Sheet6!$C$5,Sheet6!$C$5,IF(Tim!KR38=Sheet6!$C$6,Sheet6!$C$6,IF(Tim!KR38=Sheet6!$C$7,Sheet6!$C$7,IF(Tim!KR38=Sheet6!$C$8,Sheet6!$C$8,"")))))))</f>
        <v/>
      </c>
      <c r="DN36" s="53" t="str">
        <f>IF(Tim!KS38=Sheet6!$C$2,Sheet6!$C$2,IF(Tim!KS38=Sheet6!$C$3,Sheet6!$C$3,IF(Tim!KS38=Sheet6!$C$4,Sheet6!$C$4,IF(Tim!KS38=Sheet6!$C$5,Sheet6!$C$5,IF(Tim!KS38=Sheet6!$C$6,Sheet6!$C$6,IF(Tim!KS38=Sheet6!$C$7,Sheet6!$C$7,IF(Tim!KS38=Sheet6!$C$8,Sheet6!$C$8,"")))))))</f>
        <v/>
      </c>
      <c r="DO36" s="53" t="str">
        <f>IF(Tim!KT38=Sheet6!$C$2,Sheet6!$C$2,IF(Tim!KT38=Sheet6!$C$3,Sheet6!$C$3,IF(Tim!KT38=Sheet6!$C$4,Sheet6!$C$4,IF(Tim!KT38=Sheet6!$C$5,Sheet6!$C$5,IF(Tim!KT38=Sheet6!$C$6,Sheet6!$C$6,IF(Tim!KT38=Sheet6!$C$7,Sheet6!$C$7,IF(Tim!KT38=Sheet6!$C$8,Sheet6!$C$8,"")))))))</f>
        <v/>
      </c>
      <c r="DP36" s="53" t="str">
        <f>IF(Tim!KU38=Sheet6!$C$2,Sheet6!$C$2,IF(Tim!KU38=Sheet6!$C$3,Sheet6!$C$3,IF(Tim!KU38=Sheet6!$C$4,Sheet6!$C$4,IF(Tim!KU38=Sheet6!$C$5,Sheet6!$C$5,IF(Tim!KU38=Sheet6!$C$6,Sheet6!$C$6,IF(Tim!KU38=Sheet6!$C$7,Sheet6!$C$7,IF(Tim!KU38=Sheet6!$C$8,Sheet6!$C$8,"")))))))</f>
        <v/>
      </c>
      <c r="DQ36" s="53" t="str">
        <f>IF(Tim!KV38=Sheet6!$C$2,Sheet6!$C$2,IF(Tim!KV38=Sheet6!$C$3,Sheet6!$C$3,IF(Tim!KV38=Sheet6!$C$4,Sheet6!$C$4,IF(Tim!KV38=Sheet6!$C$5,Sheet6!$C$5,IF(Tim!KV38=Sheet6!$C$6,Sheet6!$C$6,IF(Tim!KV38=Sheet6!$C$7,Sheet6!$C$7,IF(Tim!KV38=Sheet6!$C$8,Sheet6!$C$8,"")))))))</f>
        <v/>
      </c>
      <c r="DR36" s="53" t="str">
        <f>IF(Tim!KW38=Sheet6!$C$2,Sheet6!$C$2,IF(Tim!KW38=Sheet6!$C$3,Sheet6!$C$3,IF(Tim!KW38=Sheet6!$C$4,Sheet6!$C$4,IF(Tim!KW38=Sheet6!$C$5,Sheet6!$C$5,IF(Tim!KW38=Sheet6!$C$6,Sheet6!$C$6,IF(Tim!KW38=Sheet6!$C$7,Sheet6!$C$7,IF(Tim!KW38=Sheet6!$C$8,Sheet6!$C$8,"")))))))</f>
        <v/>
      </c>
      <c r="DS36" s="53" t="str">
        <f>IF(Tim!LA38=Sheet6!$C$2,Sheet6!$C$2,IF(Tim!LA38=Sheet6!$C$3,Sheet6!$C$3,IF(Tim!LA38=Sheet6!$C$4,Sheet6!$C$4,IF(Tim!LA38=Sheet6!$C$5,Sheet6!$C$5,IF(Tim!LA38=Sheet6!$C$6,Sheet6!$C$6,IF(Tim!LA38=Sheet6!$C$7,Sheet6!$C$7,IF(Tim!LA38=Sheet6!$C$8,Sheet6!$C$8,"")))))))</f>
        <v/>
      </c>
      <c r="DT36" s="54" t="str">
        <f>IF(Tim!LB38=Sheet6!$C$2,Sheet6!$C$2,IF(Tim!LB38=Sheet6!$C$3,Sheet6!$C$3,IF(Tim!LB38=Sheet6!$C$4,Sheet6!$C$4,IF(Tim!LB38=Sheet6!$C$5,Sheet6!$C$5,IF(Tim!LB38=Sheet6!$C$6,Sheet6!$C$6,IF(Tim!LB38=Sheet6!$C$7,Sheet6!$C$7,IF(Tim!LB38=Sheet6!$C$8,Sheet6!$C$8,"")))))))</f>
        <v/>
      </c>
      <c r="DU36" s="54" t="str">
        <f>IF(Tim!LC38=Sheet6!$C$2,Sheet6!$C$2,IF(Tim!LC38=Sheet6!$C$3,Sheet6!$C$3,IF(Tim!LC38=Sheet6!$C$4,Sheet6!$C$4,IF(Tim!LC38=Sheet6!$C$5,Sheet6!$C$5,IF(Tim!LC38=Sheet6!$C$6,Sheet6!$C$6,IF(Tim!LC38=Sheet6!$C$7,Sheet6!$C$7,IF(Tim!LC38=Sheet6!$C$8,Sheet6!$C$8,"")))))))</f>
        <v/>
      </c>
      <c r="DV36" s="54" t="str">
        <f>IF(Tim!LD38=Sheet6!$C$2,Sheet6!$C$2,IF(Tim!LD38=Sheet6!$C$3,Sheet6!$C$3,IF(Tim!LD38=Sheet6!$C$4,Sheet6!$C$4,IF(Tim!LD38=Sheet6!$C$5,Sheet6!$C$5,IF(Tim!LD38=Sheet6!$C$6,Sheet6!$C$6,IF(Tim!LD38=Sheet6!$C$7,Sheet6!$C$7,IF(Tim!LD38=Sheet6!$C$8,Sheet6!$C$8,"")))))))</f>
        <v/>
      </c>
      <c r="DW36" s="55" t="str">
        <f>IF(Tim!LE38=Sheet6!$C$2,Sheet6!$C$2,IF(Tim!LE38=Sheet6!$C$3,Sheet6!$C$3,IF(Tim!LE38=Sheet6!$C$4,Sheet6!$C$4,IF(Tim!LE38=Sheet6!$C$5,Sheet6!$C$5,IF(Tim!LE38=Sheet6!$C$6,Sheet6!$C$6,IF(Tim!LE38=Sheet6!$C$7,Sheet6!$C$7,IF(Tim!LE38=Sheet6!$C$8,Sheet6!$C$8,"")))))))</f>
        <v/>
      </c>
      <c r="DX36" s="52">
        <v>0.61458333333333304</v>
      </c>
    </row>
    <row r="37" spans="2:128" ht="10.5" customHeight="1">
      <c r="B37" s="51">
        <v>0.25</v>
      </c>
      <c r="C37" s="51">
        <v>0.25</v>
      </c>
      <c r="D37" s="51">
        <v>0.25</v>
      </c>
      <c r="E37" s="52">
        <v>0.624999999999999</v>
      </c>
      <c r="F37" s="53" t="str">
        <f>IF(Tim!F39=Sheet6!$C$2,Sheet6!$C$2,IF(Tim!F39=Sheet6!$C$3,Sheet6!$C$3,IF(Tim!F39=Sheet6!$C$4,Sheet6!$C$4,IF(Tim!F39=Sheet6!$C$5,Sheet6!$C$5,IF(Tim!F39=Sheet6!$C$6,Sheet6!$C$6,IF(Tim!F39=Sheet6!$C$7,Sheet6!$C$7,IF(Tim!F39=Sheet6!$C$8,Sheet6!$C$8,"")))))))</f>
        <v/>
      </c>
      <c r="G37" s="53" t="str">
        <f>IF(Tim!G39=Sheet6!$C$2,Sheet6!$C$2,IF(Tim!G39=Sheet6!$C$3,Sheet6!$C$3,IF(Tim!G39=Sheet6!$C$4,Sheet6!$C$4,IF(Tim!G39=Sheet6!$C$5,Sheet6!$C$5,IF(Tim!G39=Sheet6!$C$6,Sheet6!$C$6,IF(Tim!G39=Sheet6!$C$7,Sheet6!$C$7,IF(Tim!G39=Sheet6!$C$8,Sheet6!$C$8,"")))))))</f>
        <v/>
      </c>
      <c r="H37" s="53" t="str">
        <f>IF(Tim!H39=Sheet6!$C$2,Sheet6!$C$2,IF(Tim!H39=Sheet6!$C$3,Sheet6!$C$3,IF(Tim!H39=Sheet6!$C$4,Sheet6!$C$4,IF(Tim!H39=Sheet6!$C$5,Sheet6!$C$5,IF(Tim!H39=Sheet6!$C$6,Sheet6!$C$6,IF(Tim!H39=Sheet6!$C$7,Sheet6!$C$7,IF(Tim!H39=Sheet6!$C$8,Sheet6!$C$8,"")))))))</f>
        <v/>
      </c>
      <c r="I37" s="53" t="str">
        <f>IF(Tim!L39=Sheet6!$C$2,Sheet6!$C$2,IF(Tim!L39=Sheet6!$C$3,Sheet6!$C$3,IF(Tim!L39=Sheet6!$C$4,Sheet6!$C$4,IF(Tim!L39=Sheet6!$C$5,Sheet6!$C$5,IF(Tim!L39=Sheet6!$C$6,Sheet6!$C$6,IF(Tim!L39=Sheet6!$C$7,Sheet6!$C$7,IF(Tim!L39=Sheet6!$C$8,Sheet6!$C$8,"")))))))</f>
        <v/>
      </c>
      <c r="J37" s="53" t="str">
        <f>IF(Tim!T39=Sheet6!$C$2,Sheet6!$C$2,IF(Tim!T39=Sheet6!$C$3,Sheet6!$C$3,IF(Tim!T39=Sheet6!$C$4,Sheet6!$C$4,IF(Tim!T39=Sheet6!$C$5,Sheet6!$C$5,IF(Tim!T39=Sheet6!$C$6,Sheet6!$C$6,IF(Tim!T39=Sheet6!$C$7,Sheet6!$C$7,IF(Tim!T39=Sheet6!$C$8,Sheet6!$C$8,"")))))))</f>
        <v/>
      </c>
      <c r="K37" s="53" t="str">
        <f>IF(Tim!AB39=Sheet6!$C$2,Sheet6!$C$2,IF(Tim!AB39=Sheet6!$C$3,Sheet6!$C$3,IF(Tim!AB39=Sheet6!$C$4,Sheet6!$C$4,IF(Tim!AB39=Sheet6!$C$5,Sheet6!$C$5,IF(Tim!AB39=Sheet6!$C$6,Sheet6!$C$6,IF(Tim!AB39=Sheet6!$C$7,Sheet6!$C$7,IF(Tim!AB39=Sheet6!$C$8,Sheet6!$C$8,"")))))))</f>
        <v/>
      </c>
      <c r="L37" s="181" t="str">
        <f>IF(Tim!AC39=Sheet6!$C$2,Sheet6!$C$2,IF(Tim!AC39=Sheet6!$C$3,Sheet6!$C$3,IF(Tim!AC39=Sheet6!$C$4,Sheet6!$C$4,IF(Tim!AC39=Sheet6!$C$5,Sheet6!$C$5,IF(Tim!AC39=Sheet6!$C$6,Sheet6!$C$6,IF(Tim!AC39=Sheet6!$C$7,Sheet6!$C$7,IF(Tim!AC39=Sheet6!$C$8,Sheet6!$C$8,"")))))))</f>
        <v/>
      </c>
      <c r="M37" s="181" t="str">
        <f>IF(Tim!AJ39=Sheet6!$C$2,Sheet6!$C$2,IF(Tim!AJ39=Sheet6!$C$3,Sheet6!$C$3,IF(Tim!AJ39=Sheet6!$C$4,Sheet6!$C$4,IF(Tim!AJ39=Sheet6!$C$5,Sheet6!$C$5,IF(Tim!AJ39=Sheet6!$C$6,Sheet6!$C$6,IF(Tim!AJ39=Sheet6!$C$7,Sheet6!$C$7,IF(Tim!AJ39=Sheet6!$C$8,Sheet6!$C$8,"")))))))</f>
        <v/>
      </c>
      <c r="N37" s="181" t="str">
        <f>IF(Tim!AK39=Sheet6!$C$2,Sheet6!$C$2,IF(Tim!AK39=Sheet6!$C$3,Sheet6!$C$3,IF(Tim!AK39=Sheet6!$C$4,Sheet6!$C$4,IF(Tim!AK39=Sheet6!$C$5,Sheet6!$C$5,IF(Tim!AK39=Sheet6!$C$6,Sheet6!$C$6,IF(Tim!AK39=Sheet6!$C$7,Sheet6!$C$7,IF(Tim!AK39=Sheet6!$C$8,Sheet6!$C$8,"")))))))</f>
        <v/>
      </c>
      <c r="O37" s="53" t="str">
        <f>IF(Tim!AL39=Sheet6!$C$2,Sheet6!$C$2,IF(Tim!AL39=Sheet6!$C$3,Sheet6!$C$3,IF(Tim!AL39=Sheet6!$C$4,Sheet6!$C$4,IF(Tim!AL39=Sheet6!$C$5,Sheet6!$C$5,IF(Tim!AL39=Sheet6!$C$6,Sheet6!$C$6,IF(Tim!AL39=Sheet6!$C$7,Sheet6!$C$7,IF(Tim!AL39=Sheet6!$C$8,Sheet6!$C$8,"")))))))</f>
        <v/>
      </c>
      <c r="P37" s="53" t="str">
        <f>IF(Tim!AN39=Sheet6!$C$2,Sheet6!$C$2,IF(Tim!AN39=Sheet6!$C$3,Sheet6!$C$3,IF(Tim!AN39=Sheet6!$C$4,Sheet6!$C$4,IF(Tim!AN39=Sheet6!$C$5,Sheet6!$C$5,IF(Tim!AN39=Sheet6!$C$6,Sheet6!$C$6,IF(Tim!AN39=Sheet6!$C$7,Sheet6!$C$7,IF(Tim!AN39=Sheet6!$C$8,Sheet6!$C$8,"")))))))</f>
        <v/>
      </c>
      <c r="Q37" s="53" t="str">
        <f>IF(Tim!AO39=Sheet6!$C$2,Sheet6!$C$2,IF(Tim!AO39=Sheet6!$C$3,Sheet6!$C$3,IF(Tim!AO39=Sheet6!$C$4,Sheet6!$C$4,IF(Tim!AO39=Sheet6!$C$5,Sheet6!$C$5,IF(Tim!AO39=Sheet6!$C$6,Sheet6!$C$6,IF(Tim!AO39=Sheet6!$C$7,Sheet6!$C$7,IF(Tim!AO39=Sheet6!$C$8,Sheet6!$C$8,"")))))))</f>
        <v/>
      </c>
      <c r="R37" s="53" t="str">
        <f>IF(Tim!AP39=Sheet6!$C$2,Sheet6!$C$2,IF(Tim!AP39=Sheet6!$C$3,Sheet6!$C$3,IF(Tim!AP39=Sheet6!$C$4,Sheet6!$C$4,IF(Tim!AP39=Sheet6!$C$5,Sheet6!$C$5,IF(Tim!AP39=Sheet6!$C$6,Sheet6!$C$6,IF(Tim!AP39=Sheet6!$C$7,Sheet6!$C$7,IF(Tim!AP39=Sheet6!$C$8,Sheet6!$C$8,"")))))))</f>
        <v/>
      </c>
      <c r="S37" s="53" t="str">
        <f>IF(Tim!AT39=Sheet6!$C$2,Sheet6!$C$2,IF(Tim!AT39=Sheet6!$C$3,Sheet6!$C$3,IF(Tim!AT39=Sheet6!$C$4,Sheet6!$C$4,IF(Tim!AT39=Sheet6!$C$5,Sheet6!$C$5,IF(Tim!AT39=Sheet6!$C$6,Sheet6!$C$6,IF(Tim!AT39=Sheet6!$C$7,Sheet6!$C$7,IF(Tim!AT39=Sheet6!$C$8,Sheet6!$C$8,"")))))))</f>
        <v/>
      </c>
      <c r="T37" s="54" t="str">
        <f>IF(Tim!AU39=Sheet6!$C$2,Sheet6!$C$2,IF(Tim!AU39=Sheet6!$C$3,Sheet6!$C$3,IF(Tim!AU39=Sheet6!$C$4,Sheet6!$C$4,IF(Tim!AU39=Sheet6!$C$5,Sheet6!$C$5,IF(Tim!AU39=Sheet6!$C$6,Sheet6!$C$6,IF(Tim!AU39=Sheet6!$C$7,Sheet6!$C$7,IF(Tim!AU39=Sheet6!$C$8,Sheet6!$C$8,"")))))))</f>
        <v/>
      </c>
      <c r="U37" s="54" t="str">
        <f>IF(Tim!AV39=Sheet6!$C$2,Sheet6!$C$2,IF(Tim!AV39=Sheet6!$C$3,Sheet6!$C$3,IF(Tim!AV39=Sheet6!$C$4,Sheet6!$C$4,IF(Tim!AV39=Sheet6!$C$5,Sheet6!$C$5,IF(Tim!AV39=Sheet6!$C$6,Sheet6!$C$6,IF(Tim!AV39=Sheet6!$C$7,Sheet6!$C$7,IF(Tim!AV39=Sheet6!$C$8,Sheet6!$C$8,"")))))))</f>
        <v/>
      </c>
      <c r="V37" s="54" t="str">
        <f>IF(Tim!AW39=Sheet6!$C$2,Sheet6!$C$2,IF(Tim!AW39=Sheet6!$C$3,Sheet6!$C$3,IF(Tim!AW39=Sheet6!$C$4,Sheet6!$C$4,IF(Tim!AW39=Sheet6!$C$5,Sheet6!$C$5,IF(Tim!AW39=Sheet6!$C$6,Sheet6!$C$6,IF(Tim!AW39=Sheet6!$C$7,Sheet6!$C$7,IF(Tim!AW39=Sheet6!$C$8,Sheet6!$C$8,"")))))))</f>
        <v/>
      </c>
      <c r="W37" s="55" t="str">
        <f>IF(Tim!AX39=Sheet6!$C$2,Sheet6!$C$2,IF(Tim!AX39=Sheet6!$C$3,Sheet6!$C$3,IF(Tim!AX39=Sheet6!$C$4,Sheet6!$C$4,IF(Tim!AX39=Sheet6!$C$5,Sheet6!$C$5,IF(Tim!AX39=Sheet6!$C$6,Sheet6!$C$6,IF(Tim!AX39=Sheet6!$C$7,Sheet6!$C$7,IF(Tim!AX39=Sheet6!$C$8,Sheet6!$C$8,"")))))))</f>
        <v/>
      </c>
      <c r="X37" s="53" t="str">
        <f>IF(Tim!AY39=Sheet6!$C$2,Sheet6!$C$2,IF(Tim!AY39=Sheet6!$C$3,Sheet6!$C$3,IF(Tim!AY39=Sheet6!$C$4,Sheet6!$C$4,IF(Tim!AY39=Sheet6!$C$5,Sheet6!$C$5,IF(Tim!AY39=Sheet6!$C$6,Sheet6!$C$6,IF(Tim!AY39=Sheet6!$C$7,Sheet6!$C$7,IF(Tim!AY39=Sheet6!$C$8,Sheet6!$C$8,"")))))))</f>
        <v/>
      </c>
      <c r="Y37" s="57" t="str">
        <f>IF(Tim!AZ39=Sheet6!$C$2,Sheet6!$C$2,IF(Tim!AZ39=Sheet6!$C$3,Sheet6!$C$3,IF(Tim!AZ39=Sheet6!$C$4,Sheet6!$C$4,IF(Tim!AZ39=Sheet6!$C$5,Sheet6!$C$5,IF(Tim!AZ39=Sheet6!$C$6,Sheet6!$C$6,IF(Tim!AZ39=Sheet6!$C$7,Sheet6!$C$7,IF(Tim!AZ39=Sheet6!$C$8,Sheet6!$C$8,"")))))))</f>
        <v/>
      </c>
      <c r="Z37" s="57" t="str">
        <f>IF(Tim!BD39=Sheet6!$C$2,Sheet6!$C$2,IF(Tim!BD39=Sheet6!$C$3,Sheet6!$C$3,IF(Tim!BD39=Sheet6!$C$4,Sheet6!$C$4,IF(Tim!BD39=Sheet6!$C$5,Sheet6!$C$5,IF(Tim!BD39=Sheet6!$C$6,Sheet6!$C$6,IF(Tim!BD39=Sheet6!$C$7,Sheet6!$C$7,IF(Tim!BD39=Sheet6!$C$8,Sheet6!$C$8,"")))))))</f>
        <v/>
      </c>
      <c r="AA37" s="57" t="str">
        <f>IF(Tim!BE39=Sheet6!$C$2,Sheet6!$C$2,IF(Tim!BE39=Sheet6!$C$3,Sheet6!$C$3,IF(Tim!BE39=Sheet6!$C$4,Sheet6!$C$4,IF(Tim!BE39=Sheet6!$C$5,Sheet6!$C$5,IF(Tim!BE39=Sheet6!$C$6,Sheet6!$C$6,IF(Tim!BE39=Sheet6!$C$7,Sheet6!$C$7,IF(Tim!BE39=Sheet6!$C$8,Sheet6!$C$8,"")))))))</f>
        <v/>
      </c>
      <c r="AB37" s="57" t="str">
        <f>IF(Tim!BL39=Sheet6!$C$2,Sheet6!$C$2,IF(Tim!BL39=Sheet6!$C$3,Sheet6!$C$3,IF(Tim!BL39=Sheet6!$C$4,Sheet6!$C$4,IF(Tim!BL39=Sheet6!$C$5,Sheet6!$C$5,IF(Tim!BL39=Sheet6!$C$6,Sheet6!$C$6,IF(Tim!BL39=Sheet6!$C$7,Sheet6!$C$7,IF(Tim!BL39=Sheet6!$C$8,Sheet6!$C$8,"")))))))</f>
        <v/>
      </c>
      <c r="AC37" s="53" t="str">
        <f>IF(Tim!BT39=Sheet6!$C$2,Sheet6!$C$2,IF(Tim!BT39=Sheet6!$C$3,Sheet6!$C$3,IF(Tim!BT39=Sheet6!$C$4,Sheet6!$C$4,IF(Tim!BT39=Sheet6!$C$5,Sheet6!$C$5,IF(Tim!BT39=Sheet6!$C$6,Sheet6!$C$6,IF(Tim!BT39=Sheet6!$C$7,Sheet6!$C$7,IF(Tim!BT39=Sheet6!$C$8,Sheet6!$C$8,"")))))))</f>
        <v/>
      </c>
      <c r="AD37" s="181" t="str">
        <f>IF(Tim!BU39=Sheet6!$C$2,Sheet6!$C$2,IF(Tim!BU39=Sheet6!$C$3,Sheet6!$C$3,IF(Tim!BU39=Sheet6!$C$4,Sheet6!$C$4,IF(Tim!BU39=Sheet6!$C$5,Sheet6!$C$5,IF(Tim!BU39=Sheet6!$C$6,Sheet6!$C$6,IF(Tim!BU39=Sheet6!$C$7,Sheet6!$C$7,IF(Tim!BU39=Sheet6!$C$8,Sheet6!$C$8,"")))))))</f>
        <v/>
      </c>
      <c r="AE37" s="181" t="str">
        <f>IF(Tim!CB39=Sheet6!$C$2,Sheet6!$C$2,IF(Tim!CB39=Sheet6!$C$3,Sheet6!$C$3,IF(Tim!CB39=Sheet6!$C$4,Sheet6!$C$4,IF(Tim!CB39=Sheet6!$C$5,Sheet6!$C$5,IF(Tim!CB39=Sheet6!$C$6,Sheet6!$C$6,IF(Tim!CB39=Sheet6!$C$7,Sheet6!$C$7,IF(Tim!CB39=Sheet6!$C$8,Sheet6!$C$8,"")))))))</f>
        <v/>
      </c>
      <c r="AF37" s="181" t="str">
        <f>IF(Tim!CD39=Sheet6!$C$2,Sheet6!$C$2,IF(Tim!CD39=Sheet6!$C$3,Sheet6!$C$3,IF(Tim!CD39=Sheet6!$C$4,Sheet6!$C$4,IF(Tim!CD39=Sheet6!$C$5,Sheet6!$C$5,IF(Tim!CD39=Sheet6!$C$6,Sheet6!$C$6,IF(Tim!CD39=Sheet6!$C$7,Sheet6!$C$7,IF(Tim!CD39=Sheet6!$C$8,Sheet6!$C$8,"")))))))</f>
        <v/>
      </c>
      <c r="AG37" s="53" t="str">
        <f>IF(Tim!CE39=Sheet6!$C$2,Sheet6!$C$2,IF(Tim!CE39=Sheet6!$C$3,Sheet6!$C$3,IF(Tim!CE39=Sheet6!$C$4,Sheet6!$C$4,IF(Tim!CE39=Sheet6!$C$5,Sheet6!$C$5,IF(Tim!CE39=Sheet6!$C$6,Sheet6!$C$6,IF(Tim!CE39=Sheet6!$C$7,Sheet6!$C$7,IF(Tim!CE39=Sheet6!$C$8,Sheet6!$C$8,"")))))))</f>
        <v/>
      </c>
      <c r="AH37" s="53" t="str">
        <f>IF(Tim!CF39=Sheet6!$C$2,Sheet6!$C$2,IF(Tim!CF39=Sheet6!$C$3,Sheet6!$C$3,IF(Tim!CF39=Sheet6!$C$4,Sheet6!$C$4,IF(Tim!CF39=Sheet6!$C$5,Sheet6!$C$5,IF(Tim!CF39=Sheet6!$C$6,Sheet6!$C$6,IF(Tim!CF39=Sheet6!$C$7,Sheet6!$C$7,IF(Tim!CF39=Sheet6!$C$8,Sheet6!$C$8,"")))))))</f>
        <v/>
      </c>
      <c r="AI37" s="53" t="str">
        <f>IF(Tim!CG39=Sheet6!$C$2,Sheet6!$C$2,IF(Tim!CG39=Sheet6!$C$3,Sheet6!$C$3,IF(Tim!CG39=Sheet6!$C$4,Sheet6!$C$4,IF(Tim!CG39=Sheet6!$C$5,Sheet6!$C$5,IF(Tim!CG39=Sheet6!$C$6,Sheet6!$C$6,IF(Tim!CG39=Sheet6!$C$7,Sheet6!$C$7,IF(Tim!CG39=Sheet6!$C$8,Sheet6!$C$8,"")))))))</f>
        <v/>
      </c>
      <c r="AJ37" s="53" t="str">
        <f>IF(Tim!CH39=Sheet6!$C$2,Sheet6!$C$2,IF(Tim!CH39=Sheet6!$C$3,Sheet6!$C$3,IF(Tim!CH39=Sheet6!$C$4,Sheet6!$C$4,IF(Tim!CH39=Sheet6!$C$5,Sheet6!$C$5,IF(Tim!CH39=Sheet6!$C$6,Sheet6!$C$6,IF(Tim!CH39=Sheet6!$C$7,Sheet6!$C$7,IF(Tim!CH39=Sheet6!$C$8,Sheet6!$C$8,"")))))))</f>
        <v/>
      </c>
      <c r="AK37" s="53" t="str">
        <f>IF(Tim!CL39=Sheet6!$C$2,Sheet6!$C$2,IF(Tim!CL39=Sheet6!$C$3,Sheet6!$C$3,IF(Tim!CL39=Sheet6!$C$4,Sheet6!$C$4,IF(Tim!CL39=Sheet6!$C$5,Sheet6!$C$5,IF(Tim!CL39=Sheet6!$C$6,Sheet6!$C$6,IF(Tim!CL39=Sheet6!$C$7,Sheet6!$C$7,IF(Tim!CL39=Sheet6!$C$8,Sheet6!$C$8,"")))))))</f>
        <v/>
      </c>
      <c r="AL37" s="54" t="str">
        <f>IF(Tim!CM39=Sheet6!$C$2,Sheet6!$C$2,IF(Tim!CM39=Sheet6!$C$3,Sheet6!$C$3,IF(Tim!CM39=Sheet6!$C$4,Sheet6!$C$4,IF(Tim!CM39=Sheet6!$C$5,Sheet6!$C$5,IF(Tim!CM39=Sheet6!$C$6,Sheet6!$C$6,IF(Tim!CM39=Sheet6!$C$7,Sheet6!$C$7,IF(Tim!CM39=Sheet6!$C$8,Sheet6!$C$8,"")))))))</f>
        <v/>
      </c>
      <c r="AM37" s="54" t="str">
        <f>IF(Tim!CN39=Sheet6!$C$2,Sheet6!$C$2,IF(Tim!CN39=Sheet6!$C$3,Sheet6!$C$3,IF(Tim!CN39=Sheet6!$C$4,Sheet6!$C$4,IF(Tim!CN39=Sheet6!$C$5,Sheet6!$C$5,IF(Tim!CN39=Sheet6!$C$6,Sheet6!$C$6,IF(Tim!CN39=Sheet6!$C$7,Sheet6!$C$7,IF(Tim!CN39=Sheet6!$C$8,Sheet6!$C$8,"")))))))</f>
        <v/>
      </c>
      <c r="AN37" s="54" t="str">
        <f>IF(Tim!CO39=Sheet6!$C$2,Sheet6!$C$2,IF(Tim!CO39=Sheet6!$C$3,Sheet6!$C$3,IF(Tim!CO39=Sheet6!$C$4,Sheet6!$C$4,IF(Tim!CO39=Sheet6!$C$5,Sheet6!$C$5,IF(Tim!CO39=Sheet6!$C$6,Sheet6!$C$6,IF(Tim!CO39=Sheet6!$C$7,Sheet6!$C$7,IF(Tim!CO39=Sheet6!$C$8,Sheet6!$C$8,"")))))))</f>
        <v/>
      </c>
      <c r="AO37" s="55" t="str">
        <f>IF(Tim!CP39=Sheet6!$C$2,Sheet6!$C$2,IF(Tim!CP39=Sheet6!$C$3,Sheet6!$C$3,IF(Tim!CP39=Sheet6!$C$4,Sheet6!$C$4,IF(Tim!CP39=Sheet6!$C$5,Sheet6!$C$5,IF(Tim!CP39=Sheet6!$C$6,Sheet6!$C$6,IF(Tim!CP39=Sheet6!$C$7,Sheet6!$C$7,IF(Tim!CP39=Sheet6!$C$8,Sheet6!$C$8,"")))))))</f>
        <v/>
      </c>
      <c r="AP37" s="53" t="str">
        <f>IF(Tim!CQ39=Sheet6!$C$2,Sheet6!$C$2,IF(Tim!CQ39=Sheet6!$C$3,Sheet6!$C$3,IF(Tim!CQ39=Sheet6!$C$4,Sheet6!$C$4,IF(Tim!CQ39=Sheet6!$C$5,Sheet6!$C$5,IF(Tim!CQ39=Sheet6!$C$6,Sheet6!$C$6,IF(Tim!CQ39=Sheet6!$C$7,Sheet6!$C$7,IF(Tim!CQ39=Sheet6!$C$8,Sheet6!$C$8,"")))))))</f>
        <v/>
      </c>
      <c r="AQ37" s="57" t="str">
        <f>IF(Tim!CR39=Sheet6!$C$2,Sheet6!$C$2,IF(Tim!CR39=Sheet6!$C$3,Sheet6!$C$3,IF(Tim!CR39=Sheet6!$C$4,Sheet6!$C$4,IF(Tim!CR39=Sheet6!$C$5,Sheet6!$C$5,IF(Tim!CR39=Sheet6!$C$6,Sheet6!$C$6,IF(Tim!CR39=Sheet6!$C$7,Sheet6!$C$7,IF(Tim!CR39=Sheet6!$C$8,Sheet6!$C$8,"")))))))</f>
        <v/>
      </c>
      <c r="AR37" s="57" t="str">
        <f>IF(Tim!CV39=Sheet6!$C$2,Sheet6!$C$2,IF(Tim!CV39=Sheet6!$C$3,Sheet6!$C$3,IF(Tim!CV39=Sheet6!$C$4,Sheet6!$C$4,IF(Tim!CV39=Sheet6!$C$5,Sheet6!$C$5,IF(Tim!CV39=Sheet6!$C$6,Sheet6!$C$6,IF(Tim!CV39=Sheet6!$C$7,Sheet6!$C$7,IF(Tim!CV39=Sheet6!$C$8,Sheet6!$C$8,"")))))))</f>
        <v/>
      </c>
      <c r="AS37" s="57" t="str">
        <f>IF(Tim!CW39=Sheet6!$C$2,Sheet6!$C$2,IF(Tim!CW39=Sheet6!$C$3,Sheet6!$C$3,IF(Tim!CW39=Sheet6!$C$4,Sheet6!$C$4,IF(Tim!CW39=Sheet6!$C$5,Sheet6!$C$5,IF(Tim!CW39=Sheet6!$C$6,Sheet6!$C$6,IF(Tim!CW39=Sheet6!$C$7,Sheet6!$C$7,IF(Tim!CW39=Sheet6!$C$8,Sheet6!$C$8,"")))))))</f>
        <v/>
      </c>
      <c r="AT37" s="57" t="str">
        <f>IF(Tim!DA39=Sheet6!$C$2,Sheet6!$C$2,IF(Tim!DA39=Sheet6!$C$3,Sheet6!$C$3,IF(Tim!DA39=Sheet6!$C$4,Sheet6!$C$4,IF(Tim!DA39=Sheet6!$C$5,Sheet6!$C$5,IF(Tim!DA39=Sheet6!$C$6,Sheet6!$C$6,IF(Tim!DA39=Sheet6!$C$7,Sheet6!$C$7,IF(Tim!DA39=Sheet6!$C$8,Sheet6!$C$8,"")))))))</f>
        <v/>
      </c>
      <c r="AU37" s="53" t="str">
        <f>IF(Tim!DO39=Sheet6!$C$2,Sheet6!$C$2,IF(Tim!DO39=Sheet6!$C$3,Sheet6!$C$3,IF(Tim!DO39=Sheet6!$C$4,Sheet6!$C$4,IF(Tim!DO39=Sheet6!$C$5,Sheet6!$C$5,IF(Tim!DO39=Sheet6!$C$6,Sheet6!$C$6,IF(Tim!DO39=Sheet6!$C$7,Sheet6!$C$7,IF(Tim!DO39=Sheet6!$C$8,Sheet6!$C$8,"")))))))</f>
        <v/>
      </c>
      <c r="AV37" s="181" t="str">
        <f>IF(Tim!DP39=Sheet6!$C$2,Sheet6!$C$2,IF(Tim!DP39=Sheet6!$C$3,Sheet6!$C$3,IF(Tim!DP39=Sheet6!$C$4,Sheet6!$C$4,IF(Tim!DP39=Sheet6!$C$5,Sheet6!$C$5,IF(Tim!DP39=Sheet6!$C$6,Sheet6!$C$6,IF(Tim!DP39=Sheet6!$C$7,Sheet6!$C$7,IF(Tim!DP39=Sheet6!$C$8,Sheet6!$C$8,"")))))))</f>
        <v/>
      </c>
      <c r="AW37" s="181" t="str">
        <f>IF(Tim!DX39=Sheet6!$C$2,Sheet6!$C$2,IF(Tim!DX39=Sheet6!$C$3,Sheet6!$C$3,IF(Tim!DX39=Sheet6!$C$4,Sheet6!$C$4,IF(Tim!DX39=Sheet6!$C$5,Sheet6!$C$5,IF(Tim!DX39=Sheet6!$C$6,Sheet6!$C$6,IF(Tim!DX39=Sheet6!$C$7,Sheet6!$C$7,IF(Tim!DX39=Sheet6!$C$8,Sheet6!$C$8,"")))))))</f>
        <v/>
      </c>
      <c r="AX37" s="181" t="str">
        <f>IF(Tim!DY39=Sheet6!$C$2,Sheet6!$C$2,IF(Tim!DY39=Sheet6!$C$3,Sheet6!$C$3,IF(Tim!DY39=Sheet6!$C$4,Sheet6!$C$4,IF(Tim!DY39=Sheet6!$C$5,Sheet6!$C$5,IF(Tim!DY39=Sheet6!$C$6,Sheet6!$C$6,IF(Tim!DY39=Sheet6!$C$7,Sheet6!$C$7,IF(Tim!DY39=Sheet6!$C$8,Sheet6!$C$8,"")))))))</f>
        <v/>
      </c>
      <c r="AY37" s="53" t="str">
        <f>IF(Tim!DZ39=Sheet6!$C$2,Sheet6!$C$2,IF(Tim!DZ39=Sheet6!$C$3,Sheet6!$C$3,IF(Tim!DZ39=Sheet6!$C$4,Sheet6!$C$4,IF(Tim!DZ39=Sheet6!$C$5,Sheet6!$C$5,IF(Tim!DZ39=Sheet6!$C$6,Sheet6!$C$6,IF(Tim!DZ39=Sheet6!$C$7,Sheet6!$C$7,IF(Tim!DZ39=Sheet6!$C$8,Sheet6!$C$8,"")))))))</f>
        <v/>
      </c>
      <c r="AZ37" s="53" t="str">
        <f>IF(Tim!EA39=Sheet6!$C$2,Sheet6!$C$2,IF(Tim!EA39=Sheet6!$C$3,Sheet6!$C$3,IF(Tim!EA39=Sheet6!$C$4,Sheet6!$C$4,IF(Tim!EA39=Sheet6!$C$5,Sheet6!$C$5,IF(Tim!EA39=Sheet6!$C$6,Sheet6!$C$6,IF(Tim!EA39=Sheet6!$C$7,Sheet6!$C$7,IF(Tim!EA39=Sheet6!$C$8,Sheet6!$C$8,"")))))))</f>
        <v/>
      </c>
      <c r="BA37" s="53" t="str">
        <f>IF(Tim!EB39=Sheet6!$C$2,Sheet6!$C$2,IF(Tim!EB39=Sheet6!$C$3,Sheet6!$C$3,IF(Tim!EB39=Sheet6!$C$4,Sheet6!$C$4,IF(Tim!EB39=Sheet6!$C$5,Sheet6!$C$5,IF(Tim!EB39=Sheet6!$C$6,Sheet6!$C$6,IF(Tim!EB39=Sheet6!$C$7,Sheet6!$C$7,IF(Tim!EB39=Sheet6!$C$8,Sheet6!$C$8,"")))))))</f>
        <v/>
      </c>
      <c r="BB37" s="53" t="str">
        <f>IF(Tim!EC39=Sheet6!$C$2,Sheet6!$C$2,IF(Tim!EC39=Sheet6!$C$3,Sheet6!$C$3,IF(Tim!EC39=Sheet6!$C$4,Sheet6!$C$4,IF(Tim!EC39=Sheet6!$C$5,Sheet6!$C$5,IF(Tim!EC39=Sheet6!$C$6,Sheet6!$C$6,IF(Tim!EC39=Sheet6!$C$7,Sheet6!$C$7,IF(Tim!EC39=Sheet6!$C$8,Sheet6!$C$8,"")))))))</f>
        <v/>
      </c>
      <c r="BC37" s="53" t="str">
        <f>IF(Tim!EG39=Sheet6!$C$2,Sheet6!$C$2,IF(Tim!EG39=Sheet6!$C$3,Sheet6!$C$3,IF(Tim!EG39=Sheet6!$C$4,Sheet6!$C$4,IF(Tim!EG39=Sheet6!$C$5,Sheet6!$C$5,IF(Tim!EG39=Sheet6!$C$6,Sheet6!$C$6,IF(Tim!EG39=Sheet6!$C$7,Sheet6!$C$7,IF(Tim!EG39=Sheet6!$C$8,Sheet6!$C$8,"")))))))</f>
        <v/>
      </c>
      <c r="BD37" s="54" t="str">
        <f>IF(Tim!EH39=Sheet6!$C$2,Sheet6!$C$2,IF(Tim!EH39=Sheet6!$C$3,Sheet6!$C$3,IF(Tim!EH39=Sheet6!$C$4,Sheet6!$C$4,IF(Tim!EH39=Sheet6!$C$5,Sheet6!$C$5,IF(Tim!EH39=Sheet6!$C$6,Sheet6!$C$6,IF(Tim!EH39=Sheet6!$C$7,Sheet6!$C$7,IF(Tim!EH39=Sheet6!$C$8,Sheet6!$C$8,"")))))))</f>
        <v/>
      </c>
      <c r="BE37" s="54" t="str">
        <f>IF(Tim!EI39=Sheet6!$C$2,Sheet6!$C$2,IF(Tim!EI39=Sheet6!$C$3,Sheet6!$C$3,IF(Tim!EI39=Sheet6!$C$4,Sheet6!$C$4,IF(Tim!EI39=Sheet6!$C$5,Sheet6!$C$5,IF(Tim!EI39=Sheet6!$C$6,Sheet6!$C$6,IF(Tim!EI39=Sheet6!$C$7,Sheet6!$C$7,IF(Tim!EI39=Sheet6!$C$8,Sheet6!$C$8,"")))))))</f>
        <v/>
      </c>
      <c r="BF37" s="54" t="str">
        <f>IF(Tim!EJ39=Sheet6!$C$2,Sheet6!$C$2,IF(Tim!EJ39=Sheet6!$C$3,Sheet6!$C$3,IF(Tim!EJ39=Sheet6!$C$4,Sheet6!$C$4,IF(Tim!EJ39=Sheet6!$C$5,Sheet6!$C$5,IF(Tim!EJ39=Sheet6!$C$6,Sheet6!$C$6,IF(Tim!EJ39=Sheet6!$C$7,Sheet6!$C$7,IF(Tim!EJ39=Sheet6!$C$8,Sheet6!$C$8,"")))))))</f>
        <v/>
      </c>
      <c r="BG37" s="55" t="str">
        <f>IF(Tim!EK39=Sheet6!$C$2,Sheet6!$C$2,IF(Tim!EK39=Sheet6!$C$3,Sheet6!$C$3,IF(Tim!EK39=Sheet6!$C$4,Sheet6!$C$4,IF(Tim!EK39=Sheet6!$C$5,Sheet6!$C$5,IF(Tim!EK39=Sheet6!$C$6,Sheet6!$C$6,IF(Tim!EK39=Sheet6!$C$7,Sheet6!$C$7,IF(Tim!EK39=Sheet6!$C$8,Sheet6!$C$8,"")))))))</f>
        <v/>
      </c>
      <c r="BH37" s="53" t="str">
        <f>IF(Tim!EL39=Sheet6!$C$2,Sheet6!$C$2,IF(Tim!EL39=Sheet6!$C$3,Sheet6!$C$3,IF(Tim!EL39=Sheet6!$C$4,Sheet6!$C$4,IF(Tim!EL39=Sheet6!$C$5,Sheet6!$C$5,IF(Tim!EL39=Sheet6!$C$6,Sheet6!$C$6,IF(Tim!EL39=Sheet6!$C$7,Sheet6!$C$7,IF(Tim!EL39=Sheet6!$C$8,Sheet6!$C$8,"")))))))</f>
        <v/>
      </c>
      <c r="BI37" s="57" t="str">
        <f>IF(Tim!EM39=Sheet6!$C$2,Sheet6!$C$2,IF(Tim!EM39=Sheet6!$C$3,Sheet6!$C$3,IF(Tim!EM39=Sheet6!$C$4,Sheet6!$C$4,IF(Tim!EM39=Sheet6!$C$5,Sheet6!$C$5,IF(Tim!EM39=Sheet6!$C$6,Sheet6!$C$6,IF(Tim!EM39=Sheet6!$C$7,Sheet6!$C$7,IF(Tim!EM39=Sheet6!$C$8,Sheet6!$C$8,"")))))))</f>
        <v/>
      </c>
      <c r="BJ37" s="57" t="str">
        <f>IF(Tim!EQ39=Sheet6!$C$2,Sheet6!$C$2,IF(Tim!EQ39=Sheet6!$C$3,Sheet6!$C$3,IF(Tim!EQ39=Sheet6!$C$4,Sheet6!$C$4,IF(Tim!EQ39=Sheet6!$C$5,Sheet6!$C$5,IF(Tim!EQ39=Sheet6!$C$6,Sheet6!$C$6,IF(Tim!EQ39=Sheet6!$C$7,Sheet6!$C$7,IF(Tim!EQ39=Sheet6!$C$8,Sheet6!$C$8,"")))))))</f>
        <v/>
      </c>
      <c r="BK37" s="57" t="str">
        <f>IF(Tim!ER39=Sheet6!$C$2,Sheet6!$C$2,IF(Tim!ER39=Sheet6!$C$3,Sheet6!$C$3,IF(Tim!ER39=Sheet6!$C$4,Sheet6!$C$4,IF(Tim!ER39=Sheet6!$C$5,Sheet6!$C$5,IF(Tim!ER39=Sheet6!$C$6,Sheet6!$C$6,IF(Tim!ER39=Sheet6!$C$7,Sheet6!$C$7,IF(Tim!ER39=Sheet6!$C$8,Sheet6!$C$8,"")))))))</f>
        <v/>
      </c>
      <c r="BL37" s="57" t="str">
        <f>IF(Tim!EZ39=Sheet6!$C$2,Sheet6!$C$2,IF(Tim!EZ39=Sheet6!$C$3,Sheet6!$C$3,IF(Tim!EZ39=Sheet6!$C$4,Sheet6!$C$4,IF(Tim!EZ39=Sheet6!$C$5,Sheet6!$C$5,IF(Tim!EZ39=Sheet6!$C$6,Sheet6!$C$6,IF(Tim!EZ39=Sheet6!$C$7,Sheet6!$C$7,IF(Tim!EZ39=Sheet6!$C$8,Sheet6!$C$8,"")))))))</f>
        <v/>
      </c>
      <c r="BM37" s="53" t="str">
        <f>IF(Tim!FG39=Sheet6!$C$2,Sheet6!$C$2,IF(Tim!FG39=Sheet6!$C$3,Sheet6!$C$3,IF(Tim!FG39=Sheet6!$C$4,Sheet6!$C$4,IF(Tim!FG39=Sheet6!$C$5,Sheet6!$C$5,IF(Tim!FG39=Sheet6!$C$6,Sheet6!$C$6,IF(Tim!FG39=Sheet6!$C$7,Sheet6!$C$7,IF(Tim!FG39=Sheet6!$C$8,Sheet6!$C$8,"")))))))</f>
        <v/>
      </c>
      <c r="BN37" s="181" t="str">
        <f>IF(Tim!FH39=Sheet6!$C$2,Sheet6!$C$2,IF(Tim!FH39=Sheet6!$C$3,Sheet6!$C$3,IF(Tim!FH39=Sheet6!$C$4,Sheet6!$C$4,IF(Tim!FH39=Sheet6!$C$5,Sheet6!$C$5,IF(Tim!FH39=Sheet6!$C$6,Sheet6!$C$6,IF(Tim!FH39=Sheet6!$C$7,Sheet6!$C$7,IF(Tim!FH39=Sheet6!$C$8,Sheet6!$C$8,"")))))))</f>
        <v/>
      </c>
      <c r="BO37" s="181" t="str">
        <f>IF(Tim!FP39=Sheet6!$C$2,Sheet6!$C$2,IF(Tim!FP39=Sheet6!$C$3,Sheet6!$C$3,IF(Tim!FP39=Sheet6!$C$4,Sheet6!$C$4,IF(Tim!FP39=Sheet6!$C$5,Sheet6!$C$5,IF(Tim!FP39=Sheet6!$C$6,Sheet6!$C$6,IF(Tim!FP39=Sheet6!$C$7,Sheet6!$C$7,IF(Tim!FP39=Sheet6!$C$8,Sheet6!$C$8,"")))))))</f>
        <v/>
      </c>
      <c r="BP37" s="181" t="str">
        <f>IF(Tim!FQ39=Sheet6!$C$2,Sheet6!$C$2,IF(Tim!FQ39=Sheet6!$C$3,Sheet6!$C$3,IF(Tim!FQ39=Sheet6!$C$4,Sheet6!$C$4,IF(Tim!FQ39=Sheet6!$C$5,Sheet6!$C$5,IF(Tim!FQ39=Sheet6!$C$6,Sheet6!$C$6,IF(Tim!FQ39=Sheet6!$C$7,Sheet6!$C$7,IF(Tim!FQ39=Sheet6!$C$8,Sheet6!$C$8,"")))))))</f>
        <v/>
      </c>
      <c r="BQ37" s="53" t="str">
        <f>IF(Tim!FR39=Sheet6!$C$2,Sheet6!$C$2,IF(Tim!FR39=Sheet6!$C$3,Sheet6!$C$3,IF(Tim!FR39=Sheet6!$C$4,Sheet6!$C$4,IF(Tim!FR39=Sheet6!$C$5,Sheet6!$C$5,IF(Tim!FR39=Sheet6!$C$6,Sheet6!$C$6,IF(Tim!FR39=Sheet6!$C$7,Sheet6!$C$7,IF(Tim!FR39=Sheet6!$C$8,Sheet6!$C$8,"")))))))</f>
        <v/>
      </c>
      <c r="BR37" s="53" t="str">
        <f>IF(Tim!FS39=Sheet6!$C$2,Sheet6!$C$2,IF(Tim!FS39=Sheet6!$C$3,Sheet6!$C$3,IF(Tim!FS39=Sheet6!$C$4,Sheet6!$C$4,IF(Tim!FS39=Sheet6!$C$5,Sheet6!$C$5,IF(Tim!FS39=Sheet6!$C$6,Sheet6!$C$6,IF(Tim!FS39=Sheet6!$C$7,Sheet6!$C$7,IF(Tim!FS39=Sheet6!$C$8,Sheet6!$C$8,"")))))))</f>
        <v/>
      </c>
      <c r="BS37" s="53" t="str">
        <f>IF(Tim!FT39=Sheet6!$C$2,Sheet6!$C$2,IF(Tim!FT39=Sheet6!$C$3,Sheet6!$C$3,IF(Tim!FT39=Sheet6!$C$4,Sheet6!$C$4,IF(Tim!FT39=Sheet6!$C$5,Sheet6!$C$5,IF(Tim!FT39=Sheet6!$C$6,Sheet6!$C$6,IF(Tim!FT39=Sheet6!$C$7,Sheet6!$C$7,IF(Tim!FT39=Sheet6!$C$8,Sheet6!$C$8,"")))))))</f>
        <v/>
      </c>
      <c r="BT37" s="53" t="str">
        <f>IF(Tim!FU39=Sheet6!$C$2,Sheet6!$C$2,IF(Tim!FU39=Sheet6!$C$3,Sheet6!$C$3,IF(Tim!FU39=Sheet6!$C$4,Sheet6!$C$4,IF(Tim!FU39=Sheet6!$C$5,Sheet6!$C$5,IF(Tim!FU39=Sheet6!$C$6,Sheet6!$C$6,IF(Tim!FU39=Sheet6!$C$7,Sheet6!$C$7,IF(Tim!FU39=Sheet6!$C$8,Sheet6!$C$8,"")))))))</f>
        <v/>
      </c>
      <c r="BU37" s="53" t="str">
        <f>IF(Tim!FY39=Sheet6!$C$2,Sheet6!$C$2,IF(Tim!FY39=Sheet6!$C$3,Sheet6!$C$3,IF(Tim!FY39=Sheet6!$C$4,Sheet6!$C$4,IF(Tim!FY39=Sheet6!$C$5,Sheet6!$C$5,IF(Tim!FY39=Sheet6!$C$6,Sheet6!$C$6,IF(Tim!FY39=Sheet6!$C$7,Sheet6!$C$7,IF(Tim!FY39=Sheet6!$C$8,Sheet6!$C$8,"")))))))</f>
        <v/>
      </c>
      <c r="BV37" s="54" t="str">
        <f>IF(Tim!FZ39=Sheet6!$C$2,Sheet6!$C$2,IF(Tim!FZ39=Sheet6!$C$3,Sheet6!$C$3,IF(Tim!FZ39=Sheet6!$C$4,Sheet6!$C$4,IF(Tim!FZ39=Sheet6!$C$5,Sheet6!$C$5,IF(Tim!FZ39=Sheet6!$C$6,Sheet6!$C$6,IF(Tim!FZ39=Sheet6!$C$7,Sheet6!$C$7,IF(Tim!FZ39=Sheet6!$C$8,Sheet6!$C$8,"")))))))</f>
        <v/>
      </c>
      <c r="BW37" s="54" t="str">
        <f>IF(Tim!GA39=Sheet6!$C$2,Sheet6!$C$2,IF(Tim!GA39=Sheet6!$C$3,Sheet6!$C$3,IF(Tim!GA39=Sheet6!$C$4,Sheet6!$C$4,IF(Tim!GA39=Sheet6!$C$5,Sheet6!$C$5,IF(Tim!GA39=Sheet6!$C$6,Sheet6!$C$6,IF(Tim!GA39=Sheet6!$C$7,Sheet6!$C$7,IF(Tim!GA39=Sheet6!$C$8,Sheet6!$C$8,"")))))))</f>
        <v/>
      </c>
      <c r="BX37" s="54" t="str">
        <f>IF(Tim!GB39=Sheet6!$C$2,Sheet6!$C$2,IF(Tim!GB39=Sheet6!$C$3,Sheet6!$C$3,IF(Tim!GB39=Sheet6!$C$4,Sheet6!$C$4,IF(Tim!GB39=Sheet6!$C$5,Sheet6!$C$5,IF(Tim!GB39=Sheet6!$C$6,Sheet6!$C$6,IF(Tim!GB39=Sheet6!$C$7,Sheet6!$C$7,IF(Tim!GB39=Sheet6!$C$8,Sheet6!$C$8,"")))))))</f>
        <v/>
      </c>
      <c r="BY37" s="55" t="str">
        <f>IF(Tim!GC39=Sheet6!$C$2,Sheet6!$C$2,IF(Tim!GC39=Sheet6!$C$3,Sheet6!$C$3,IF(Tim!GC39=Sheet6!$C$4,Sheet6!$C$4,IF(Tim!GC39=Sheet6!$C$5,Sheet6!$C$5,IF(Tim!GC39=Sheet6!$C$6,Sheet6!$C$6,IF(Tim!GC39=Sheet6!$C$7,Sheet6!$C$7,IF(Tim!GC39=Sheet6!$C$8,Sheet6!$C$8,"")))))))</f>
        <v/>
      </c>
      <c r="BZ37" s="53" t="str">
        <f>IF(Tim!GD39=Sheet6!$C$2,Sheet6!$C$2,IF(Tim!GD39=Sheet6!$C$3,Sheet6!$C$3,IF(Tim!GD39=Sheet6!$C$4,Sheet6!$C$4,IF(Tim!GD39=Sheet6!$C$5,Sheet6!$C$5,IF(Tim!GD39=Sheet6!$C$6,Sheet6!$C$6,IF(Tim!GD39=Sheet6!$C$7,Sheet6!$C$7,IF(Tim!GD39=Sheet6!$C$8,Sheet6!$C$8,"")))))))</f>
        <v/>
      </c>
      <c r="CA37" s="53" t="str">
        <f>IF(Tim!GE39=Sheet6!$C$2,Sheet6!$C$2,IF(Tim!GE39=Sheet6!$C$3,Sheet6!$C$3,IF(Tim!GE39=Sheet6!$C$4,Sheet6!$C$4,IF(Tim!GE39=Sheet6!$C$5,Sheet6!$C$5,IF(Tim!GE39=Sheet6!$C$6,Sheet6!$C$6,IF(Tim!GE39=Sheet6!$C$7,Sheet6!$C$7,IF(Tim!GE39=Sheet6!$C$8,Sheet6!$C$8,"")))))))</f>
        <v/>
      </c>
      <c r="CB37" s="57" t="str">
        <f>IF(Tim!GI39=Sheet6!$C$2,Sheet6!$C$2,IF(Tim!GI39=Sheet6!$C$3,Sheet6!$C$3,IF(Tim!GI39=Sheet6!$C$4,Sheet6!$C$4,IF(Tim!GI39=Sheet6!$C$5,Sheet6!$C$5,IF(Tim!GI39=Sheet6!$C$6,Sheet6!$C$6,IF(Tim!GI39=Sheet6!$C$7,Sheet6!$C$7,IF(Tim!GI39=Sheet6!$C$8,Sheet6!$C$8,"")))))))</f>
        <v/>
      </c>
      <c r="CC37" s="57" t="str">
        <f>IF(Tim!GJ39=Sheet6!$C$2,Sheet6!$C$2,IF(Tim!GJ39=Sheet6!$C$3,Sheet6!$C$3,IF(Tim!GJ39=Sheet6!$C$4,Sheet6!$C$4,IF(Tim!GJ39=Sheet6!$C$5,Sheet6!$C$5,IF(Tim!GJ39=Sheet6!$C$6,Sheet6!$C$6,IF(Tim!GJ39=Sheet6!$C$7,Sheet6!$C$7,IF(Tim!GJ39=Sheet6!$C$8,Sheet6!$C$8,"")))))))</f>
        <v/>
      </c>
      <c r="CD37" s="57" t="str">
        <f>IF(Tim!GN39=Sheet6!$C$2,Sheet6!$C$2,IF(Tim!GN39=Sheet6!$C$3,Sheet6!$C$3,IF(Tim!GN39=Sheet6!$C$4,Sheet6!$C$4,IF(Tim!GN39=Sheet6!$C$5,Sheet6!$C$5,IF(Tim!GN39=Sheet6!$C$6,Sheet6!$C$6,IF(Tim!GN39=Sheet6!$C$7,Sheet6!$C$7,IF(Tim!GN39=Sheet6!$C$8,Sheet6!$C$8,"")))))))</f>
        <v/>
      </c>
      <c r="CE37" s="53" t="str">
        <f>IF(Tim!GY39=Sheet6!$C$2,Sheet6!$C$2,IF(Tim!GY39=Sheet6!$C$3,Sheet6!$C$3,IF(Tim!GY39=Sheet6!$C$4,Sheet6!$C$4,IF(Tim!GY39=Sheet6!$C$5,Sheet6!$C$5,IF(Tim!GY39=Sheet6!$C$6,Sheet6!$C$6,IF(Tim!GY39=Sheet6!$C$7,Sheet6!$C$7,IF(Tim!GY39=Sheet6!$C$8,Sheet6!$C$8,"")))))))</f>
        <v/>
      </c>
      <c r="CF37" s="181" t="str">
        <f>IF(Tim!GZ39=Sheet6!$C$2,Sheet6!$C$2,IF(Tim!GZ39=Sheet6!$C$3,Sheet6!$C$3,IF(Tim!GZ39=Sheet6!$C$4,Sheet6!$C$4,IF(Tim!GZ39=Sheet6!$C$5,Sheet6!$C$5,IF(Tim!GZ39=Sheet6!$C$6,Sheet6!$C$6,IF(Tim!GZ39=Sheet6!$C$7,Sheet6!$C$7,IF(Tim!GZ39=Sheet6!$C$8,Sheet6!$C$8,"")))))))</f>
        <v/>
      </c>
      <c r="CG37" s="181" t="str">
        <f>IF(Tim!HH39=Sheet6!$C$2,Sheet6!$C$2,IF(Tim!HH39=Sheet6!$C$3,Sheet6!$C$3,IF(Tim!HH39=Sheet6!$C$4,Sheet6!$C$4,IF(Tim!HH39=Sheet6!$C$5,Sheet6!$C$5,IF(Tim!HH39=Sheet6!$C$6,Sheet6!$C$6,IF(Tim!HH39=Sheet6!$C$7,Sheet6!$C$7,IF(Tim!HH39=Sheet6!$C$8,Sheet6!$C$8,"")))))))</f>
        <v/>
      </c>
      <c r="CH37" s="181" t="str">
        <f>IF(Tim!HI39=Sheet6!$C$2,Sheet6!$C$2,IF(Tim!HI39=Sheet6!$C$3,Sheet6!$C$3,IF(Tim!HI39=Sheet6!$C$4,Sheet6!$C$4,IF(Tim!HI39=Sheet6!$C$5,Sheet6!$C$5,IF(Tim!HI39=Sheet6!$C$6,Sheet6!$C$6,IF(Tim!HI39=Sheet6!$C$7,Sheet6!$C$7,IF(Tim!HI39=Sheet6!$C$8,Sheet6!$C$8,"")))))))</f>
        <v/>
      </c>
      <c r="CI37" s="53" t="str">
        <f>IF(Tim!HJ39=Sheet6!$C$2,Sheet6!$C$2,IF(Tim!HJ39=Sheet6!$C$3,Sheet6!$C$3,IF(Tim!HJ39=Sheet6!$C$4,Sheet6!$C$4,IF(Tim!HJ39=Sheet6!$C$5,Sheet6!$C$5,IF(Tim!HJ39=Sheet6!$C$6,Sheet6!$C$6,IF(Tim!HJ39=Sheet6!$C$7,Sheet6!$C$7,IF(Tim!HJ39=Sheet6!$C$8,Sheet6!$C$8,"")))))))</f>
        <v/>
      </c>
      <c r="CJ37" s="53" t="str">
        <f>IF(Tim!HK39=Sheet6!$C$2,Sheet6!$C$2,IF(Tim!HK39=Sheet6!$C$3,Sheet6!$C$3,IF(Tim!HK39=Sheet6!$C$4,Sheet6!$C$4,IF(Tim!HK39=Sheet6!$C$5,Sheet6!$C$5,IF(Tim!HK39=Sheet6!$C$6,Sheet6!$C$6,IF(Tim!HK39=Sheet6!$C$7,Sheet6!$C$7,IF(Tim!HK39=Sheet6!$C$8,Sheet6!$C$8,"")))))))</f>
        <v/>
      </c>
      <c r="CK37" s="53" t="str">
        <f>IF(Tim!HL39=Sheet6!$C$2,Sheet6!$C$2,IF(Tim!HL39=Sheet6!$C$3,Sheet6!$C$3,IF(Tim!HL39=Sheet6!$C$4,Sheet6!$C$4,IF(Tim!HL39=Sheet6!$C$5,Sheet6!$C$5,IF(Tim!HL39=Sheet6!$C$6,Sheet6!$C$6,IF(Tim!HL39=Sheet6!$C$7,Sheet6!$C$7,IF(Tim!HL39=Sheet6!$C$8,Sheet6!$C$8,"")))))))</f>
        <v/>
      </c>
      <c r="CL37" s="53" t="str">
        <f>IF(Tim!HM39=Sheet6!$C$2,Sheet6!$C$2,IF(Tim!HM39=Sheet6!$C$3,Sheet6!$C$3,IF(Tim!HM39=Sheet6!$C$4,Sheet6!$C$4,IF(Tim!HM39=Sheet6!$C$5,Sheet6!$C$5,IF(Tim!HM39=Sheet6!$C$6,Sheet6!$C$6,IF(Tim!HM39=Sheet6!$C$7,Sheet6!$C$7,IF(Tim!HM39=Sheet6!$C$8,Sheet6!$C$8,"")))))))</f>
        <v/>
      </c>
      <c r="CM37" s="53" t="str">
        <f>IF(Tim!HQ39=Sheet6!$C$2,Sheet6!$C$2,IF(Tim!HQ39=Sheet6!$C$3,Sheet6!$C$3,IF(Tim!HQ39=Sheet6!$C$4,Sheet6!$C$4,IF(Tim!HQ39=Sheet6!$C$5,Sheet6!$C$5,IF(Tim!HQ39=Sheet6!$C$6,Sheet6!$C$6,IF(Tim!HQ39=Sheet6!$C$7,Sheet6!$C$7,IF(Tim!HQ39=Sheet6!$C$8,Sheet6!$C$8,"")))))))</f>
        <v/>
      </c>
      <c r="CN37" s="54" t="str">
        <f>IF(Tim!HR39=Sheet6!$C$2,Sheet6!$C$2,IF(Tim!HR39=Sheet6!$C$3,Sheet6!$C$3,IF(Tim!HR39=Sheet6!$C$4,Sheet6!$C$4,IF(Tim!HR39=Sheet6!$C$5,Sheet6!$C$5,IF(Tim!HR39=Sheet6!$C$6,Sheet6!$C$6,IF(Tim!HR39=Sheet6!$C$7,Sheet6!$C$7,IF(Tim!HR39=Sheet6!$C$8,Sheet6!$C$8,"")))))))</f>
        <v/>
      </c>
      <c r="CO37" s="54" t="str">
        <f>IF(Tim!HS39=Sheet6!$C$2,Sheet6!$C$2,IF(Tim!HS39=Sheet6!$C$3,Sheet6!$C$3,IF(Tim!HS39=Sheet6!$C$4,Sheet6!$C$4,IF(Tim!HS39=Sheet6!$C$5,Sheet6!$C$5,IF(Tim!HS39=Sheet6!$C$6,Sheet6!$C$6,IF(Tim!HS39=Sheet6!$C$7,Sheet6!$C$7,IF(Tim!HS39=Sheet6!$C$8,Sheet6!$C$8,"")))))))</f>
        <v/>
      </c>
      <c r="CP37" s="54" t="str">
        <f>IF(Tim!HT39=Sheet6!$C$2,Sheet6!$C$2,IF(Tim!HT39=Sheet6!$C$3,Sheet6!$C$3,IF(Tim!HT39=Sheet6!$C$4,Sheet6!$C$4,IF(Tim!HT39=Sheet6!$C$5,Sheet6!$C$5,IF(Tim!HT39=Sheet6!$C$6,Sheet6!$C$6,IF(Tim!HT39=Sheet6!$C$7,Sheet6!$C$7,IF(Tim!HT39=Sheet6!$C$8,Sheet6!$C$8,"")))))))</f>
        <v/>
      </c>
      <c r="CQ37" s="55" t="str">
        <f>IF(Tim!HU39=Sheet6!$C$2,Sheet6!$C$2,IF(Tim!HU39=Sheet6!$C$3,Sheet6!$C$3,IF(Tim!HU39=Sheet6!$C$4,Sheet6!$C$4,IF(Tim!HU39=Sheet6!$C$5,Sheet6!$C$5,IF(Tim!HU39=Sheet6!$C$6,Sheet6!$C$6,IF(Tim!HU39=Sheet6!$C$7,Sheet6!$C$7,IF(Tim!HU39=Sheet6!$C$8,Sheet6!$C$8,"")))))))</f>
        <v/>
      </c>
      <c r="CR37" s="56" t="str">
        <f>IF(Tim!HV39=Sheet6!$C$2,Sheet6!$C$2,IF(Tim!HV39=Sheet6!$C$3,Sheet6!$C$3,IF(Tim!HV39=Sheet6!$C$4,Sheet6!$C$4,IF(Tim!HV39=Sheet6!$C$5,Sheet6!$C$5,IF(Tim!HV39=Sheet6!$C$6,Sheet6!$C$6,IF(Tim!HV39=Sheet6!$C$7,Sheet6!$C$7,IF(Tim!HV39=Sheet6!$C$8,Sheet6!$C$8,"")))))))</f>
        <v/>
      </c>
      <c r="CS37" s="57" t="str">
        <f>IF(Tim!IB39=Sheet6!$C$2,Sheet6!$C$2,IF(Tim!IB39=Sheet6!$C$3,Sheet6!$C$3,IF(Tim!IB39=Sheet6!$C$4,Sheet6!$C$4,IF(Tim!IB39=Sheet6!$C$5,Sheet6!$C$5,IF(Tim!IB39=Sheet6!$C$6,Sheet6!$C$6,IF(Tim!IB39=Sheet6!$C$7,Sheet6!$C$7,IF(Tim!IB39=Sheet6!$C$8,Sheet6!$C$8,"")))))))</f>
        <v/>
      </c>
      <c r="CT37" s="57" t="str">
        <f>IF(Tim!IJ39=Sheet6!$C$2,Sheet6!$C$2,IF(Tim!IJ39=Sheet6!$C$3,Sheet6!$C$3,IF(Tim!IJ39=Sheet6!$C$4,Sheet6!$C$4,IF(Tim!IJ39=Sheet6!$C$5,Sheet6!$C$5,IF(Tim!IJ39=Sheet6!$C$6,Sheet6!$C$6,IF(Tim!IJ39=Sheet6!$C$7,Sheet6!$C$7,IF(Tim!IJ39=Sheet6!$C$8,Sheet6!$C$8,"")))))))</f>
        <v/>
      </c>
      <c r="CU37" s="57" t="str">
        <f>IF(Tim!IQ39=Sheet6!$C$2,Sheet6!$C$2,IF(Tim!IQ39=Sheet6!$C$3,Sheet6!$C$3,IF(Tim!IQ39=Sheet6!$C$4,Sheet6!$C$4,IF(Tim!IQ39=Sheet6!$C$5,Sheet6!$C$5,IF(Tim!IQ39=Sheet6!$C$6,Sheet6!$C$6,IF(Tim!IQ39=Sheet6!$C$7,Sheet6!$C$7,IF(Tim!IQ39=Sheet6!$C$8,Sheet6!$C$8,"")))))))</f>
        <v/>
      </c>
      <c r="CV37" s="53" t="str">
        <f>IF(Tim!IR39=Sheet6!$C$2,Sheet6!$C$2,IF(Tim!IR39=Sheet6!$C$3,Sheet6!$C$3,IF(Tim!IR39=Sheet6!$C$4,Sheet6!$C$4,IF(Tim!IR39=Sheet6!$C$5,Sheet6!$C$5,IF(Tim!IR39=Sheet6!$C$6,Sheet6!$C$6,IF(Tim!IR39=Sheet6!$C$7,Sheet6!$C$7,IF(Tim!IR39=Sheet6!$C$8,Sheet6!$C$8,"")))))))</f>
        <v/>
      </c>
      <c r="CW37" s="53" t="str">
        <f>IF(Tim!IZ39=Sheet6!$C$2,Sheet6!$C$2,IF(Tim!IZ39=Sheet6!$C$3,Sheet6!$C$3,IF(Tim!IZ39=Sheet6!$C$4,Sheet6!$C$4,IF(Tim!IZ39=Sheet6!$C$5,Sheet6!$C$5,IF(Tim!IZ39=Sheet6!$C$6,Sheet6!$C$6,IF(Tim!IZ39=Sheet6!$C$7,Sheet6!$C$7,IF(Tim!IZ39=Sheet6!$C$8,Sheet6!$C$8,"")))))))</f>
        <v/>
      </c>
      <c r="CX37" s="53" t="str">
        <f>IF(Tim!JA39=Sheet6!$C$2,Sheet6!$C$2,IF(Tim!JA39=Sheet6!$C$3,Sheet6!$C$3,IF(Tim!JA39=Sheet6!$C$4,Sheet6!$C$4,IF(Tim!JA39=Sheet6!$C$5,Sheet6!$C$5,IF(Tim!JA39=Sheet6!$C$6,Sheet6!$C$6,IF(Tim!JA39=Sheet6!$C$7,Sheet6!$C$7,IF(Tim!JA39=Sheet6!$C$8,Sheet6!$C$8,"")))))))</f>
        <v/>
      </c>
      <c r="CY37" s="53" t="str">
        <f>IF(Tim!JB39=Sheet6!$C$2,Sheet6!$C$2,IF(Tim!JB39=Sheet6!$C$3,Sheet6!$C$3,IF(Tim!JB39=Sheet6!$C$4,Sheet6!$C$4,IF(Tim!JB39=Sheet6!$C$5,Sheet6!$C$5,IF(Tim!JB39=Sheet6!$C$6,Sheet6!$C$6,IF(Tim!JB39=Sheet6!$C$7,Sheet6!$C$7,IF(Tim!JB39=Sheet6!$C$8,Sheet6!$C$8,"")))))))</f>
        <v/>
      </c>
      <c r="CZ37" s="53" t="str">
        <f>IF(Tim!JC39=Sheet6!$C$2,Sheet6!$C$2,IF(Tim!JC39=Sheet6!$C$3,Sheet6!$C$3,IF(Tim!JC39=Sheet6!$C$4,Sheet6!$C$4,IF(Tim!JC39=Sheet6!$C$5,Sheet6!$C$5,IF(Tim!JC39=Sheet6!$C$6,Sheet6!$C$6,IF(Tim!JC39=Sheet6!$C$7,Sheet6!$C$7,IF(Tim!JC39=Sheet6!$C$8,Sheet6!$C$8,"")))))))</f>
        <v/>
      </c>
      <c r="DA37" s="53" t="str">
        <f>IF(Tim!JD39=Sheet6!$C$2,Sheet6!$C$2,IF(Tim!JD39=Sheet6!$C$3,Sheet6!$C$3,IF(Tim!JD39=Sheet6!$C$4,Sheet6!$C$4,IF(Tim!JD39=Sheet6!$C$5,Sheet6!$C$5,IF(Tim!JD39=Sheet6!$C$6,Sheet6!$C$6,IF(Tim!JD39=Sheet6!$C$7,Sheet6!$C$7,IF(Tim!JD39=Sheet6!$C$8,Sheet6!$C$8,"")))))))</f>
        <v/>
      </c>
      <c r="DB37" s="53" t="str">
        <f>IF(Tim!JE39=Sheet6!$C$2,Sheet6!$C$2,IF(Tim!JE39=Sheet6!$C$3,Sheet6!$C$3,IF(Tim!JE39=Sheet6!$C$4,Sheet6!$C$4,IF(Tim!JE39=Sheet6!$C$5,Sheet6!$C$5,IF(Tim!JE39=Sheet6!$C$6,Sheet6!$C$6,IF(Tim!JE39=Sheet6!$C$7,Sheet6!$C$7,IF(Tim!JE39=Sheet6!$C$8,Sheet6!$C$8,"")))))))</f>
        <v/>
      </c>
      <c r="DC37" s="53" t="str">
        <f>IF(Tim!JI39=Sheet6!$C$2,Sheet6!$C$2,IF(Tim!JI39=Sheet6!$C$3,Sheet6!$C$3,IF(Tim!JI39=Sheet6!$C$4,Sheet6!$C$4,IF(Tim!JI39=Sheet6!$C$5,Sheet6!$C$5,IF(Tim!JI39=Sheet6!$C$6,Sheet6!$C$6,IF(Tim!JI39=Sheet6!$C$7,Sheet6!$C$7,IF(Tim!JI39=Sheet6!$C$8,Sheet6!$C$8,"")))))))</f>
        <v/>
      </c>
      <c r="DD37" s="54" t="str">
        <f>IF(Tim!JJ39=Sheet6!$C$2,Sheet6!$C$2,IF(Tim!JJ39=Sheet6!$C$3,Sheet6!$C$3,IF(Tim!JJ39=Sheet6!$C$4,Sheet6!$C$4,IF(Tim!JJ39=Sheet6!$C$5,Sheet6!$C$5,IF(Tim!JJ39=Sheet6!$C$6,Sheet6!$C$6,IF(Tim!JJ39=Sheet6!$C$7,Sheet6!$C$7,IF(Tim!JJ39=Sheet6!$C$8,Sheet6!$C$8,"")))))))</f>
        <v/>
      </c>
      <c r="DE37" s="54" t="str">
        <f>IF(Tim!JK39=Sheet6!$C$2,Sheet6!$C$2,IF(Tim!JK39=Sheet6!$C$3,Sheet6!$C$3,IF(Tim!JK39=Sheet6!$C$4,Sheet6!$C$4,IF(Tim!JK39=Sheet6!$C$5,Sheet6!$C$5,IF(Tim!JK39=Sheet6!$C$6,Sheet6!$C$6,IF(Tim!JK39=Sheet6!$C$7,Sheet6!$C$7,IF(Tim!JK39=Sheet6!$C$8,Sheet6!$C$8,"")))))))</f>
        <v/>
      </c>
      <c r="DF37" s="54" t="str">
        <f>IF(Tim!JL39=Sheet6!$C$2,Sheet6!$C$2,IF(Tim!JL39=Sheet6!$C$3,Sheet6!$C$3,IF(Tim!JL39=Sheet6!$C$4,Sheet6!$C$4,IF(Tim!JL39=Sheet6!$C$5,Sheet6!$C$5,IF(Tim!JL39=Sheet6!$C$6,Sheet6!$C$6,IF(Tim!JL39=Sheet6!$C$7,Sheet6!$C$7,IF(Tim!JL39=Sheet6!$C$8,Sheet6!$C$8,"")))))))</f>
        <v/>
      </c>
      <c r="DG37" s="55" t="str">
        <f>IF(Tim!JM39=Sheet6!$C$2,Sheet6!$C$2,IF(Tim!JM39=Sheet6!$C$3,Sheet6!$C$3,IF(Tim!JM39=Sheet6!$C$4,Sheet6!$C$4,IF(Tim!JM39=Sheet6!$C$5,Sheet6!$C$5,IF(Tim!JM39=Sheet6!$C$6,Sheet6!$C$6,IF(Tim!JM39=Sheet6!$C$7,Sheet6!$C$7,IF(Tim!JM39=Sheet6!$C$8,Sheet6!$C$8,"")))))))</f>
        <v/>
      </c>
      <c r="DH37" s="56" t="str">
        <f>IF(Tim!JN39=Sheet6!$C$2,Sheet6!$C$2,IF(Tim!JN39=Sheet6!$C$3,Sheet6!$C$3,IF(Tim!JN39=Sheet6!$C$4,Sheet6!$C$4,IF(Tim!JN39=Sheet6!$C$5,Sheet6!$C$5,IF(Tim!JN39=Sheet6!$C$6,Sheet6!$C$6,IF(Tim!JN39=Sheet6!$C$7,Sheet6!$C$7,IF(Tim!JN39=Sheet6!$C$8,Sheet6!$C$8,"")))))))</f>
        <v/>
      </c>
      <c r="DI37" s="57" t="str">
        <f>IF(Tim!JS39=Sheet6!$C$2,Sheet6!$C$2,IF(Tim!JS39=Sheet6!$C$3,Sheet6!$C$3,IF(Tim!JS39=Sheet6!$C$4,Sheet6!$C$4,IF(Tim!JS39=Sheet6!$C$5,Sheet6!$C$5,IF(Tim!JS39=Sheet6!$C$6,Sheet6!$C$6,IF(Tim!JS39=Sheet6!$C$7,Sheet6!$C$7,IF(Tim!JS39=Sheet6!$C$8,Sheet6!$C$8,"")))))))</f>
        <v/>
      </c>
      <c r="DJ37" s="57" t="str">
        <f>IF(Tim!KB39=Sheet6!$C$2,Sheet6!$C$2,IF(Tim!KB39=Sheet6!$C$3,Sheet6!$C$3,IF(Tim!KB39=Sheet6!$C$4,Sheet6!$C$4,IF(Tim!KB39=Sheet6!$C$5,Sheet6!$C$5,IF(Tim!KB39=Sheet6!$C$6,Sheet6!$C$6,IF(Tim!KB39=Sheet6!$C$7,Sheet6!$C$7,IF(Tim!KB39=Sheet6!$C$8,Sheet6!$C$8,"")))))))</f>
        <v/>
      </c>
      <c r="DK37" s="53" t="str">
        <f>IF(Tim!KI39=Sheet6!$C$2,Sheet6!$C$2,IF(Tim!KI39=Sheet6!$C$3,Sheet6!$C$3,IF(Tim!KI39=Sheet6!$C$4,Sheet6!$C$4,IF(Tim!KI39=Sheet6!$C$5,Sheet6!$C$5,IF(Tim!KI39=Sheet6!$C$6,Sheet6!$C$6,IF(Tim!KI39=Sheet6!$C$7,Sheet6!$C$7,IF(Tim!KI39=Sheet6!$C$8,Sheet6!$C$8,"")))))))</f>
        <v/>
      </c>
      <c r="DL37" s="53" t="str">
        <f>IF(Tim!KJ39=Sheet6!$C$2,Sheet6!$C$2,IF(Tim!KJ39=Sheet6!$C$3,Sheet6!$C$3,IF(Tim!KJ39=Sheet6!$C$4,Sheet6!$C$4,IF(Tim!KJ39=Sheet6!$C$5,Sheet6!$C$5,IF(Tim!KJ39=Sheet6!$C$6,Sheet6!$C$6,IF(Tim!KJ39=Sheet6!$C$7,Sheet6!$C$7,IF(Tim!KJ39=Sheet6!$C$8,Sheet6!$C$8,"")))))))</f>
        <v/>
      </c>
      <c r="DM37" s="53" t="str">
        <f>IF(Tim!KR39=Sheet6!$C$2,Sheet6!$C$2,IF(Tim!KR39=Sheet6!$C$3,Sheet6!$C$3,IF(Tim!KR39=Sheet6!$C$4,Sheet6!$C$4,IF(Tim!KR39=Sheet6!$C$5,Sheet6!$C$5,IF(Tim!KR39=Sheet6!$C$6,Sheet6!$C$6,IF(Tim!KR39=Sheet6!$C$7,Sheet6!$C$7,IF(Tim!KR39=Sheet6!$C$8,Sheet6!$C$8,"")))))))</f>
        <v/>
      </c>
      <c r="DN37" s="53" t="str">
        <f>IF(Tim!KS39=Sheet6!$C$2,Sheet6!$C$2,IF(Tim!KS39=Sheet6!$C$3,Sheet6!$C$3,IF(Tim!KS39=Sheet6!$C$4,Sheet6!$C$4,IF(Tim!KS39=Sheet6!$C$5,Sheet6!$C$5,IF(Tim!KS39=Sheet6!$C$6,Sheet6!$C$6,IF(Tim!KS39=Sheet6!$C$7,Sheet6!$C$7,IF(Tim!KS39=Sheet6!$C$8,Sheet6!$C$8,"")))))))</f>
        <v/>
      </c>
      <c r="DO37" s="53" t="str">
        <f>IF(Tim!KT39=Sheet6!$C$2,Sheet6!$C$2,IF(Tim!KT39=Sheet6!$C$3,Sheet6!$C$3,IF(Tim!KT39=Sheet6!$C$4,Sheet6!$C$4,IF(Tim!KT39=Sheet6!$C$5,Sheet6!$C$5,IF(Tim!KT39=Sheet6!$C$6,Sheet6!$C$6,IF(Tim!KT39=Sheet6!$C$7,Sheet6!$C$7,IF(Tim!KT39=Sheet6!$C$8,Sheet6!$C$8,"")))))))</f>
        <v/>
      </c>
      <c r="DP37" s="53" t="str">
        <f>IF(Tim!KU39=Sheet6!$C$2,Sheet6!$C$2,IF(Tim!KU39=Sheet6!$C$3,Sheet6!$C$3,IF(Tim!KU39=Sheet6!$C$4,Sheet6!$C$4,IF(Tim!KU39=Sheet6!$C$5,Sheet6!$C$5,IF(Tim!KU39=Sheet6!$C$6,Sheet6!$C$6,IF(Tim!KU39=Sheet6!$C$7,Sheet6!$C$7,IF(Tim!KU39=Sheet6!$C$8,Sheet6!$C$8,"")))))))</f>
        <v/>
      </c>
      <c r="DQ37" s="53" t="str">
        <f>IF(Tim!KV39=Sheet6!$C$2,Sheet6!$C$2,IF(Tim!KV39=Sheet6!$C$3,Sheet6!$C$3,IF(Tim!KV39=Sheet6!$C$4,Sheet6!$C$4,IF(Tim!KV39=Sheet6!$C$5,Sheet6!$C$5,IF(Tim!KV39=Sheet6!$C$6,Sheet6!$C$6,IF(Tim!KV39=Sheet6!$C$7,Sheet6!$C$7,IF(Tim!KV39=Sheet6!$C$8,Sheet6!$C$8,"")))))))</f>
        <v/>
      </c>
      <c r="DR37" s="53" t="str">
        <f>IF(Tim!KW39=Sheet6!$C$2,Sheet6!$C$2,IF(Tim!KW39=Sheet6!$C$3,Sheet6!$C$3,IF(Tim!KW39=Sheet6!$C$4,Sheet6!$C$4,IF(Tim!KW39=Sheet6!$C$5,Sheet6!$C$5,IF(Tim!KW39=Sheet6!$C$6,Sheet6!$C$6,IF(Tim!KW39=Sheet6!$C$7,Sheet6!$C$7,IF(Tim!KW39=Sheet6!$C$8,Sheet6!$C$8,"")))))))</f>
        <v/>
      </c>
      <c r="DS37" s="53" t="str">
        <f>IF(Tim!LA39=Sheet6!$C$2,Sheet6!$C$2,IF(Tim!LA39=Sheet6!$C$3,Sheet6!$C$3,IF(Tim!LA39=Sheet6!$C$4,Sheet6!$C$4,IF(Tim!LA39=Sheet6!$C$5,Sheet6!$C$5,IF(Tim!LA39=Sheet6!$C$6,Sheet6!$C$6,IF(Tim!LA39=Sheet6!$C$7,Sheet6!$C$7,IF(Tim!LA39=Sheet6!$C$8,Sheet6!$C$8,"")))))))</f>
        <v/>
      </c>
      <c r="DT37" s="54" t="str">
        <f>IF(Tim!LB39=Sheet6!$C$2,Sheet6!$C$2,IF(Tim!LB39=Sheet6!$C$3,Sheet6!$C$3,IF(Tim!LB39=Sheet6!$C$4,Sheet6!$C$4,IF(Tim!LB39=Sheet6!$C$5,Sheet6!$C$5,IF(Tim!LB39=Sheet6!$C$6,Sheet6!$C$6,IF(Tim!LB39=Sheet6!$C$7,Sheet6!$C$7,IF(Tim!LB39=Sheet6!$C$8,Sheet6!$C$8,"")))))))</f>
        <v/>
      </c>
      <c r="DU37" s="54" t="str">
        <f>IF(Tim!LC39=Sheet6!$C$2,Sheet6!$C$2,IF(Tim!LC39=Sheet6!$C$3,Sheet6!$C$3,IF(Tim!LC39=Sheet6!$C$4,Sheet6!$C$4,IF(Tim!LC39=Sheet6!$C$5,Sheet6!$C$5,IF(Tim!LC39=Sheet6!$C$6,Sheet6!$C$6,IF(Tim!LC39=Sheet6!$C$7,Sheet6!$C$7,IF(Tim!LC39=Sheet6!$C$8,Sheet6!$C$8,"")))))))</f>
        <v/>
      </c>
      <c r="DV37" s="54" t="str">
        <f>IF(Tim!LD39=Sheet6!$C$2,Sheet6!$C$2,IF(Tim!LD39=Sheet6!$C$3,Sheet6!$C$3,IF(Tim!LD39=Sheet6!$C$4,Sheet6!$C$4,IF(Tim!LD39=Sheet6!$C$5,Sheet6!$C$5,IF(Tim!LD39=Sheet6!$C$6,Sheet6!$C$6,IF(Tim!LD39=Sheet6!$C$7,Sheet6!$C$7,IF(Tim!LD39=Sheet6!$C$8,Sheet6!$C$8,"")))))))</f>
        <v/>
      </c>
      <c r="DW37" s="55" t="str">
        <f>IF(Tim!LE39=Sheet6!$C$2,Sheet6!$C$2,IF(Tim!LE39=Sheet6!$C$3,Sheet6!$C$3,IF(Tim!LE39=Sheet6!$C$4,Sheet6!$C$4,IF(Tim!LE39=Sheet6!$C$5,Sheet6!$C$5,IF(Tim!LE39=Sheet6!$C$6,Sheet6!$C$6,IF(Tim!LE39=Sheet6!$C$7,Sheet6!$C$7,IF(Tim!LE39=Sheet6!$C$8,Sheet6!$C$8,"")))))))</f>
        <v/>
      </c>
      <c r="DX37" s="52">
        <v>0.624999999999999</v>
      </c>
    </row>
    <row r="38" spans="2:128" ht="10.5" customHeight="1">
      <c r="B38" s="51">
        <v>0.25</v>
      </c>
      <c r="C38" s="51">
        <v>0.25</v>
      </c>
      <c r="D38" s="51">
        <v>0.25</v>
      </c>
      <c r="E38" s="52">
        <v>0.63541666666666596</v>
      </c>
      <c r="F38" s="53" t="str">
        <f>IF(Tim!F40=Sheet6!$C$2,Sheet6!$C$2,IF(Tim!F40=Sheet6!$C$3,Sheet6!$C$3,IF(Tim!F40=Sheet6!$C$4,Sheet6!$C$4,IF(Tim!F40=Sheet6!$C$5,Sheet6!$C$5,IF(Tim!F40=Sheet6!$C$6,Sheet6!$C$6,IF(Tim!F40=Sheet6!$C$7,Sheet6!$C$7,IF(Tim!F40=Sheet6!$C$8,Sheet6!$C$8,"")))))))</f>
        <v/>
      </c>
      <c r="G38" s="53" t="str">
        <f>IF(Tim!G40=Sheet6!$C$2,Sheet6!$C$2,IF(Tim!G40=Sheet6!$C$3,Sheet6!$C$3,IF(Tim!G40=Sheet6!$C$4,Sheet6!$C$4,IF(Tim!G40=Sheet6!$C$5,Sheet6!$C$5,IF(Tim!G40=Sheet6!$C$6,Sheet6!$C$6,IF(Tim!G40=Sheet6!$C$7,Sheet6!$C$7,IF(Tim!G40=Sheet6!$C$8,Sheet6!$C$8,"")))))))</f>
        <v/>
      </c>
      <c r="H38" s="53" t="str">
        <f>IF(Tim!H40=Sheet6!$C$2,Sheet6!$C$2,IF(Tim!H40=Sheet6!$C$3,Sheet6!$C$3,IF(Tim!H40=Sheet6!$C$4,Sheet6!$C$4,IF(Tim!H40=Sheet6!$C$5,Sheet6!$C$5,IF(Tim!H40=Sheet6!$C$6,Sheet6!$C$6,IF(Tim!H40=Sheet6!$C$7,Sheet6!$C$7,IF(Tim!H40=Sheet6!$C$8,Sheet6!$C$8,"")))))))</f>
        <v/>
      </c>
      <c r="I38" s="53" t="str">
        <f>IF(Tim!L40=Sheet6!$C$2,Sheet6!$C$2,IF(Tim!L40=Sheet6!$C$3,Sheet6!$C$3,IF(Tim!L40=Sheet6!$C$4,Sheet6!$C$4,IF(Tim!L40=Sheet6!$C$5,Sheet6!$C$5,IF(Tim!L40=Sheet6!$C$6,Sheet6!$C$6,IF(Tim!L40=Sheet6!$C$7,Sheet6!$C$7,IF(Tim!L40=Sheet6!$C$8,Sheet6!$C$8,"")))))))</f>
        <v/>
      </c>
      <c r="J38" s="53" t="str">
        <f>IF(Tim!T40=Sheet6!$C$2,Sheet6!$C$2,IF(Tim!T40=Sheet6!$C$3,Sheet6!$C$3,IF(Tim!T40=Sheet6!$C$4,Sheet6!$C$4,IF(Tim!T40=Sheet6!$C$5,Sheet6!$C$5,IF(Tim!T40=Sheet6!$C$6,Sheet6!$C$6,IF(Tim!T40=Sheet6!$C$7,Sheet6!$C$7,IF(Tim!T40=Sheet6!$C$8,Sheet6!$C$8,"")))))))</f>
        <v/>
      </c>
      <c r="K38" s="53" t="str">
        <f>IF(Tim!AB40=Sheet6!$C$2,Sheet6!$C$2,IF(Tim!AB40=Sheet6!$C$3,Sheet6!$C$3,IF(Tim!AB40=Sheet6!$C$4,Sheet6!$C$4,IF(Tim!AB40=Sheet6!$C$5,Sheet6!$C$5,IF(Tim!AB40=Sheet6!$C$6,Sheet6!$C$6,IF(Tim!AB40=Sheet6!$C$7,Sheet6!$C$7,IF(Tim!AB40=Sheet6!$C$8,Sheet6!$C$8,"")))))))</f>
        <v/>
      </c>
      <c r="L38" s="181" t="str">
        <f>IF(Tim!AC40=Sheet6!$C$2,Sheet6!$C$2,IF(Tim!AC40=Sheet6!$C$3,Sheet6!$C$3,IF(Tim!AC40=Sheet6!$C$4,Sheet6!$C$4,IF(Tim!AC40=Sheet6!$C$5,Sheet6!$C$5,IF(Tim!AC40=Sheet6!$C$6,Sheet6!$C$6,IF(Tim!AC40=Sheet6!$C$7,Sheet6!$C$7,IF(Tim!AC40=Sheet6!$C$8,Sheet6!$C$8,"")))))))</f>
        <v/>
      </c>
      <c r="M38" s="181" t="str">
        <f>IF(Tim!AJ40=Sheet6!$C$2,Sheet6!$C$2,IF(Tim!AJ40=Sheet6!$C$3,Sheet6!$C$3,IF(Tim!AJ40=Sheet6!$C$4,Sheet6!$C$4,IF(Tim!AJ40=Sheet6!$C$5,Sheet6!$C$5,IF(Tim!AJ40=Sheet6!$C$6,Sheet6!$C$6,IF(Tim!AJ40=Sheet6!$C$7,Sheet6!$C$7,IF(Tim!AJ40=Sheet6!$C$8,Sheet6!$C$8,"")))))))</f>
        <v/>
      </c>
      <c r="N38" s="181" t="str">
        <f>IF(Tim!AK40=Sheet6!$C$2,Sheet6!$C$2,IF(Tim!AK40=Sheet6!$C$3,Sheet6!$C$3,IF(Tim!AK40=Sheet6!$C$4,Sheet6!$C$4,IF(Tim!AK40=Sheet6!$C$5,Sheet6!$C$5,IF(Tim!AK40=Sheet6!$C$6,Sheet6!$C$6,IF(Tim!AK40=Sheet6!$C$7,Sheet6!$C$7,IF(Tim!AK40=Sheet6!$C$8,Sheet6!$C$8,"")))))))</f>
        <v/>
      </c>
      <c r="O38" s="53" t="str">
        <f>IF(Tim!AL40=Sheet6!$C$2,Sheet6!$C$2,IF(Tim!AL40=Sheet6!$C$3,Sheet6!$C$3,IF(Tim!AL40=Sheet6!$C$4,Sheet6!$C$4,IF(Tim!AL40=Sheet6!$C$5,Sheet6!$C$5,IF(Tim!AL40=Sheet6!$C$6,Sheet6!$C$6,IF(Tim!AL40=Sheet6!$C$7,Sheet6!$C$7,IF(Tim!AL40=Sheet6!$C$8,Sheet6!$C$8,"")))))))</f>
        <v/>
      </c>
      <c r="P38" s="53" t="str">
        <f>IF(Tim!AN40=Sheet6!$C$2,Sheet6!$C$2,IF(Tim!AN40=Sheet6!$C$3,Sheet6!$C$3,IF(Tim!AN40=Sheet6!$C$4,Sheet6!$C$4,IF(Tim!AN40=Sheet6!$C$5,Sheet6!$C$5,IF(Tim!AN40=Sheet6!$C$6,Sheet6!$C$6,IF(Tim!AN40=Sheet6!$C$7,Sheet6!$C$7,IF(Tim!AN40=Sheet6!$C$8,Sheet6!$C$8,"")))))))</f>
        <v/>
      </c>
      <c r="Q38" s="53" t="str">
        <f>IF(Tim!AO40=Sheet6!$C$2,Sheet6!$C$2,IF(Tim!AO40=Sheet6!$C$3,Sheet6!$C$3,IF(Tim!AO40=Sheet6!$C$4,Sheet6!$C$4,IF(Tim!AO40=Sheet6!$C$5,Sheet6!$C$5,IF(Tim!AO40=Sheet6!$C$6,Sheet6!$C$6,IF(Tim!AO40=Sheet6!$C$7,Sheet6!$C$7,IF(Tim!AO40=Sheet6!$C$8,Sheet6!$C$8,"")))))))</f>
        <v/>
      </c>
      <c r="R38" s="53" t="str">
        <f>IF(Tim!AP40=Sheet6!$C$2,Sheet6!$C$2,IF(Tim!AP40=Sheet6!$C$3,Sheet6!$C$3,IF(Tim!AP40=Sheet6!$C$4,Sheet6!$C$4,IF(Tim!AP40=Sheet6!$C$5,Sheet6!$C$5,IF(Tim!AP40=Sheet6!$C$6,Sheet6!$C$6,IF(Tim!AP40=Sheet6!$C$7,Sheet6!$C$7,IF(Tim!AP40=Sheet6!$C$8,Sheet6!$C$8,"")))))))</f>
        <v/>
      </c>
      <c r="S38" s="53" t="str">
        <f>IF(Tim!AT40=Sheet6!$C$2,Sheet6!$C$2,IF(Tim!AT40=Sheet6!$C$3,Sheet6!$C$3,IF(Tim!AT40=Sheet6!$C$4,Sheet6!$C$4,IF(Tim!AT40=Sheet6!$C$5,Sheet6!$C$5,IF(Tim!AT40=Sheet6!$C$6,Sheet6!$C$6,IF(Tim!AT40=Sheet6!$C$7,Sheet6!$C$7,IF(Tim!AT40=Sheet6!$C$8,Sheet6!$C$8,"")))))))</f>
        <v/>
      </c>
      <c r="T38" s="54" t="str">
        <f>IF(Tim!AU40=Sheet6!$C$2,Sheet6!$C$2,IF(Tim!AU40=Sheet6!$C$3,Sheet6!$C$3,IF(Tim!AU40=Sheet6!$C$4,Sheet6!$C$4,IF(Tim!AU40=Sheet6!$C$5,Sheet6!$C$5,IF(Tim!AU40=Sheet6!$C$6,Sheet6!$C$6,IF(Tim!AU40=Sheet6!$C$7,Sheet6!$C$7,IF(Tim!AU40=Sheet6!$C$8,Sheet6!$C$8,"")))))))</f>
        <v/>
      </c>
      <c r="U38" s="54" t="str">
        <f>IF(Tim!AV40=Sheet6!$C$2,Sheet6!$C$2,IF(Tim!AV40=Sheet6!$C$3,Sheet6!$C$3,IF(Tim!AV40=Sheet6!$C$4,Sheet6!$C$4,IF(Tim!AV40=Sheet6!$C$5,Sheet6!$C$5,IF(Tim!AV40=Sheet6!$C$6,Sheet6!$C$6,IF(Tim!AV40=Sheet6!$C$7,Sheet6!$C$7,IF(Tim!AV40=Sheet6!$C$8,Sheet6!$C$8,"")))))))</f>
        <v/>
      </c>
      <c r="V38" s="54" t="str">
        <f>IF(Tim!AW40=Sheet6!$C$2,Sheet6!$C$2,IF(Tim!AW40=Sheet6!$C$3,Sheet6!$C$3,IF(Tim!AW40=Sheet6!$C$4,Sheet6!$C$4,IF(Tim!AW40=Sheet6!$C$5,Sheet6!$C$5,IF(Tim!AW40=Sheet6!$C$6,Sheet6!$C$6,IF(Tim!AW40=Sheet6!$C$7,Sheet6!$C$7,IF(Tim!AW40=Sheet6!$C$8,Sheet6!$C$8,"")))))))</f>
        <v/>
      </c>
      <c r="W38" s="55" t="str">
        <f>IF(Tim!AX40=Sheet6!$C$2,Sheet6!$C$2,IF(Tim!AX40=Sheet6!$C$3,Sheet6!$C$3,IF(Tim!AX40=Sheet6!$C$4,Sheet6!$C$4,IF(Tim!AX40=Sheet6!$C$5,Sheet6!$C$5,IF(Tim!AX40=Sheet6!$C$6,Sheet6!$C$6,IF(Tim!AX40=Sheet6!$C$7,Sheet6!$C$7,IF(Tim!AX40=Sheet6!$C$8,Sheet6!$C$8,"")))))))</f>
        <v/>
      </c>
      <c r="X38" s="53" t="str">
        <f>IF(Tim!AY40=Sheet6!$C$2,Sheet6!$C$2,IF(Tim!AY40=Sheet6!$C$3,Sheet6!$C$3,IF(Tim!AY40=Sheet6!$C$4,Sheet6!$C$4,IF(Tim!AY40=Sheet6!$C$5,Sheet6!$C$5,IF(Tim!AY40=Sheet6!$C$6,Sheet6!$C$6,IF(Tim!AY40=Sheet6!$C$7,Sheet6!$C$7,IF(Tim!AY40=Sheet6!$C$8,Sheet6!$C$8,"")))))))</f>
        <v/>
      </c>
      <c r="Y38" s="57" t="str">
        <f>IF(Tim!AZ40=Sheet6!$C$2,Sheet6!$C$2,IF(Tim!AZ40=Sheet6!$C$3,Sheet6!$C$3,IF(Tim!AZ40=Sheet6!$C$4,Sheet6!$C$4,IF(Tim!AZ40=Sheet6!$C$5,Sheet6!$C$5,IF(Tim!AZ40=Sheet6!$C$6,Sheet6!$C$6,IF(Tim!AZ40=Sheet6!$C$7,Sheet6!$C$7,IF(Tim!AZ40=Sheet6!$C$8,Sheet6!$C$8,"")))))))</f>
        <v/>
      </c>
      <c r="Z38" s="57" t="str">
        <f>IF(Tim!BD40=Sheet6!$C$2,Sheet6!$C$2,IF(Tim!BD40=Sheet6!$C$3,Sheet6!$C$3,IF(Tim!BD40=Sheet6!$C$4,Sheet6!$C$4,IF(Tim!BD40=Sheet6!$C$5,Sheet6!$C$5,IF(Tim!BD40=Sheet6!$C$6,Sheet6!$C$6,IF(Tim!BD40=Sheet6!$C$7,Sheet6!$C$7,IF(Tim!BD40=Sheet6!$C$8,Sheet6!$C$8,"")))))))</f>
        <v/>
      </c>
      <c r="AA38" s="57" t="str">
        <f>IF(Tim!BE40=Sheet6!$C$2,Sheet6!$C$2,IF(Tim!BE40=Sheet6!$C$3,Sheet6!$C$3,IF(Tim!BE40=Sheet6!$C$4,Sheet6!$C$4,IF(Tim!BE40=Sheet6!$C$5,Sheet6!$C$5,IF(Tim!BE40=Sheet6!$C$6,Sheet6!$C$6,IF(Tim!BE40=Sheet6!$C$7,Sheet6!$C$7,IF(Tim!BE40=Sheet6!$C$8,Sheet6!$C$8,"")))))))</f>
        <v/>
      </c>
      <c r="AB38" s="57" t="str">
        <f>IF(Tim!BL40=Sheet6!$C$2,Sheet6!$C$2,IF(Tim!BL40=Sheet6!$C$3,Sheet6!$C$3,IF(Tim!BL40=Sheet6!$C$4,Sheet6!$C$4,IF(Tim!BL40=Sheet6!$C$5,Sheet6!$C$5,IF(Tim!BL40=Sheet6!$C$6,Sheet6!$C$6,IF(Tim!BL40=Sheet6!$C$7,Sheet6!$C$7,IF(Tim!BL40=Sheet6!$C$8,Sheet6!$C$8,"")))))))</f>
        <v/>
      </c>
      <c r="AC38" s="53" t="str">
        <f>IF(Tim!BT40=Sheet6!$C$2,Sheet6!$C$2,IF(Tim!BT40=Sheet6!$C$3,Sheet6!$C$3,IF(Tim!BT40=Sheet6!$C$4,Sheet6!$C$4,IF(Tim!BT40=Sheet6!$C$5,Sheet6!$C$5,IF(Tim!BT40=Sheet6!$C$6,Sheet6!$C$6,IF(Tim!BT40=Sheet6!$C$7,Sheet6!$C$7,IF(Tim!BT40=Sheet6!$C$8,Sheet6!$C$8,"")))))))</f>
        <v/>
      </c>
      <c r="AD38" s="181" t="str">
        <f>IF(Tim!BU40=Sheet6!$C$2,Sheet6!$C$2,IF(Tim!BU40=Sheet6!$C$3,Sheet6!$C$3,IF(Tim!BU40=Sheet6!$C$4,Sheet6!$C$4,IF(Tim!BU40=Sheet6!$C$5,Sheet6!$C$5,IF(Tim!BU40=Sheet6!$C$6,Sheet6!$C$6,IF(Tim!BU40=Sheet6!$C$7,Sheet6!$C$7,IF(Tim!BU40=Sheet6!$C$8,Sheet6!$C$8,"")))))))</f>
        <v/>
      </c>
      <c r="AE38" s="181" t="str">
        <f>IF(Tim!CB40=Sheet6!$C$2,Sheet6!$C$2,IF(Tim!CB40=Sheet6!$C$3,Sheet6!$C$3,IF(Tim!CB40=Sheet6!$C$4,Sheet6!$C$4,IF(Tim!CB40=Sheet6!$C$5,Sheet6!$C$5,IF(Tim!CB40=Sheet6!$C$6,Sheet6!$C$6,IF(Tim!CB40=Sheet6!$C$7,Sheet6!$C$7,IF(Tim!CB40=Sheet6!$C$8,Sheet6!$C$8,"")))))))</f>
        <v/>
      </c>
      <c r="AF38" s="181" t="str">
        <f>IF(Tim!CD40=Sheet6!$C$2,Sheet6!$C$2,IF(Tim!CD40=Sheet6!$C$3,Sheet6!$C$3,IF(Tim!CD40=Sheet6!$C$4,Sheet6!$C$4,IF(Tim!CD40=Sheet6!$C$5,Sheet6!$C$5,IF(Tim!CD40=Sheet6!$C$6,Sheet6!$C$6,IF(Tim!CD40=Sheet6!$C$7,Sheet6!$C$7,IF(Tim!CD40=Sheet6!$C$8,Sheet6!$C$8,"")))))))</f>
        <v/>
      </c>
      <c r="AG38" s="53" t="str">
        <f>IF(Tim!CE40=Sheet6!$C$2,Sheet6!$C$2,IF(Tim!CE40=Sheet6!$C$3,Sheet6!$C$3,IF(Tim!CE40=Sheet6!$C$4,Sheet6!$C$4,IF(Tim!CE40=Sheet6!$C$5,Sheet6!$C$5,IF(Tim!CE40=Sheet6!$C$6,Sheet6!$C$6,IF(Tim!CE40=Sheet6!$C$7,Sheet6!$C$7,IF(Tim!CE40=Sheet6!$C$8,Sheet6!$C$8,"")))))))</f>
        <v/>
      </c>
      <c r="AH38" s="53" t="str">
        <f>IF(Tim!CF40=Sheet6!$C$2,Sheet6!$C$2,IF(Tim!CF40=Sheet6!$C$3,Sheet6!$C$3,IF(Tim!CF40=Sheet6!$C$4,Sheet6!$C$4,IF(Tim!CF40=Sheet6!$C$5,Sheet6!$C$5,IF(Tim!CF40=Sheet6!$C$6,Sheet6!$C$6,IF(Tim!CF40=Sheet6!$C$7,Sheet6!$C$7,IF(Tim!CF40=Sheet6!$C$8,Sheet6!$C$8,"")))))))</f>
        <v/>
      </c>
      <c r="AI38" s="53" t="str">
        <f>IF(Tim!CG40=Sheet6!$C$2,Sheet6!$C$2,IF(Tim!CG40=Sheet6!$C$3,Sheet6!$C$3,IF(Tim!CG40=Sheet6!$C$4,Sheet6!$C$4,IF(Tim!CG40=Sheet6!$C$5,Sheet6!$C$5,IF(Tim!CG40=Sheet6!$C$6,Sheet6!$C$6,IF(Tim!CG40=Sheet6!$C$7,Sheet6!$C$7,IF(Tim!CG40=Sheet6!$C$8,Sheet6!$C$8,"")))))))</f>
        <v/>
      </c>
      <c r="AJ38" s="53" t="str">
        <f>IF(Tim!CH40=Sheet6!$C$2,Sheet6!$C$2,IF(Tim!CH40=Sheet6!$C$3,Sheet6!$C$3,IF(Tim!CH40=Sheet6!$C$4,Sheet6!$C$4,IF(Tim!CH40=Sheet6!$C$5,Sheet6!$C$5,IF(Tim!CH40=Sheet6!$C$6,Sheet6!$C$6,IF(Tim!CH40=Sheet6!$C$7,Sheet6!$C$7,IF(Tim!CH40=Sheet6!$C$8,Sheet6!$C$8,"")))))))</f>
        <v/>
      </c>
      <c r="AK38" s="53" t="str">
        <f>IF(Tim!CL40=Sheet6!$C$2,Sheet6!$C$2,IF(Tim!CL40=Sheet6!$C$3,Sheet6!$C$3,IF(Tim!CL40=Sheet6!$C$4,Sheet6!$C$4,IF(Tim!CL40=Sheet6!$C$5,Sheet6!$C$5,IF(Tim!CL40=Sheet6!$C$6,Sheet6!$C$6,IF(Tim!CL40=Sheet6!$C$7,Sheet6!$C$7,IF(Tim!CL40=Sheet6!$C$8,Sheet6!$C$8,"")))))))</f>
        <v/>
      </c>
      <c r="AL38" s="54" t="str">
        <f>IF(Tim!CM40=Sheet6!$C$2,Sheet6!$C$2,IF(Tim!CM40=Sheet6!$C$3,Sheet6!$C$3,IF(Tim!CM40=Sheet6!$C$4,Sheet6!$C$4,IF(Tim!CM40=Sheet6!$C$5,Sheet6!$C$5,IF(Tim!CM40=Sheet6!$C$6,Sheet6!$C$6,IF(Tim!CM40=Sheet6!$C$7,Sheet6!$C$7,IF(Tim!CM40=Sheet6!$C$8,Sheet6!$C$8,"")))))))</f>
        <v/>
      </c>
      <c r="AM38" s="54" t="str">
        <f>IF(Tim!CN40=Sheet6!$C$2,Sheet6!$C$2,IF(Tim!CN40=Sheet6!$C$3,Sheet6!$C$3,IF(Tim!CN40=Sheet6!$C$4,Sheet6!$C$4,IF(Tim!CN40=Sheet6!$C$5,Sheet6!$C$5,IF(Tim!CN40=Sheet6!$C$6,Sheet6!$C$6,IF(Tim!CN40=Sheet6!$C$7,Sheet6!$C$7,IF(Tim!CN40=Sheet6!$C$8,Sheet6!$C$8,"")))))))</f>
        <v/>
      </c>
      <c r="AN38" s="54" t="str">
        <f>IF(Tim!CO40=Sheet6!$C$2,Sheet6!$C$2,IF(Tim!CO40=Sheet6!$C$3,Sheet6!$C$3,IF(Tim!CO40=Sheet6!$C$4,Sheet6!$C$4,IF(Tim!CO40=Sheet6!$C$5,Sheet6!$C$5,IF(Tim!CO40=Sheet6!$C$6,Sheet6!$C$6,IF(Tim!CO40=Sheet6!$C$7,Sheet6!$C$7,IF(Tim!CO40=Sheet6!$C$8,Sheet6!$C$8,"")))))))</f>
        <v/>
      </c>
      <c r="AO38" s="55" t="str">
        <f>IF(Tim!CP40=Sheet6!$C$2,Sheet6!$C$2,IF(Tim!CP40=Sheet6!$C$3,Sheet6!$C$3,IF(Tim!CP40=Sheet6!$C$4,Sheet6!$C$4,IF(Tim!CP40=Sheet6!$C$5,Sheet6!$C$5,IF(Tim!CP40=Sheet6!$C$6,Sheet6!$C$6,IF(Tim!CP40=Sheet6!$C$7,Sheet6!$C$7,IF(Tim!CP40=Sheet6!$C$8,Sheet6!$C$8,"")))))))</f>
        <v/>
      </c>
      <c r="AP38" s="53" t="str">
        <f>IF(Tim!CQ40=Sheet6!$C$2,Sheet6!$C$2,IF(Tim!CQ40=Sheet6!$C$3,Sheet6!$C$3,IF(Tim!CQ40=Sheet6!$C$4,Sheet6!$C$4,IF(Tim!CQ40=Sheet6!$C$5,Sheet6!$C$5,IF(Tim!CQ40=Sheet6!$C$6,Sheet6!$C$6,IF(Tim!CQ40=Sheet6!$C$7,Sheet6!$C$7,IF(Tim!CQ40=Sheet6!$C$8,Sheet6!$C$8,"")))))))</f>
        <v/>
      </c>
      <c r="AQ38" s="57" t="str">
        <f>IF(Tim!CR40=Sheet6!$C$2,Sheet6!$C$2,IF(Tim!CR40=Sheet6!$C$3,Sheet6!$C$3,IF(Tim!CR40=Sheet6!$C$4,Sheet6!$C$4,IF(Tim!CR40=Sheet6!$C$5,Sheet6!$C$5,IF(Tim!CR40=Sheet6!$C$6,Sheet6!$C$6,IF(Tim!CR40=Sheet6!$C$7,Sheet6!$C$7,IF(Tim!CR40=Sheet6!$C$8,Sheet6!$C$8,"")))))))</f>
        <v/>
      </c>
      <c r="AR38" s="57" t="str">
        <f>IF(Tim!CV40=Sheet6!$C$2,Sheet6!$C$2,IF(Tim!CV40=Sheet6!$C$3,Sheet6!$C$3,IF(Tim!CV40=Sheet6!$C$4,Sheet6!$C$4,IF(Tim!CV40=Sheet6!$C$5,Sheet6!$C$5,IF(Tim!CV40=Sheet6!$C$6,Sheet6!$C$6,IF(Tim!CV40=Sheet6!$C$7,Sheet6!$C$7,IF(Tim!CV40=Sheet6!$C$8,Sheet6!$C$8,"")))))))</f>
        <v/>
      </c>
      <c r="AS38" s="57" t="str">
        <f>IF(Tim!CW40=Sheet6!$C$2,Sheet6!$C$2,IF(Tim!CW40=Sheet6!$C$3,Sheet6!$C$3,IF(Tim!CW40=Sheet6!$C$4,Sheet6!$C$4,IF(Tim!CW40=Sheet6!$C$5,Sheet6!$C$5,IF(Tim!CW40=Sheet6!$C$6,Sheet6!$C$6,IF(Tim!CW40=Sheet6!$C$7,Sheet6!$C$7,IF(Tim!CW40=Sheet6!$C$8,Sheet6!$C$8,"")))))))</f>
        <v/>
      </c>
      <c r="AT38" s="57" t="str">
        <f>IF(Tim!DA40=Sheet6!$C$2,Sheet6!$C$2,IF(Tim!DA40=Sheet6!$C$3,Sheet6!$C$3,IF(Tim!DA40=Sheet6!$C$4,Sheet6!$C$4,IF(Tim!DA40=Sheet6!$C$5,Sheet6!$C$5,IF(Tim!DA40=Sheet6!$C$6,Sheet6!$C$6,IF(Tim!DA40=Sheet6!$C$7,Sheet6!$C$7,IF(Tim!DA40=Sheet6!$C$8,Sheet6!$C$8,"")))))))</f>
        <v/>
      </c>
      <c r="AU38" s="53" t="str">
        <f>IF(Tim!DO40=Sheet6!$C$2,Sheet6!$C$2,IF(Tim!DO40=Sheet6!$C$3,Sheet6!$C$3,IF(Tim!DO40=Sheet6!$C$4,Sheet6!$C$4,IF(Tim!DO40=Sheet6!$C$5,Sheet6!$C$5,IF(Tim!DO40=Sheet6!$C$6,Sheet6!$C$6,IF(Tim!DO40=Sheet6!$C$7,Sheet6!$C$7,IF(Tim!DO40=Sheet6!$C$8,Sheet6!$C$8,"")))))))</f>
        <v/>
      </c>
      <c r="AV38" s="181" t="str">
        <f>IF(Tim!DP40=Sheet6!$C$2,Sheet6!$C$2,IF(Tim!DP40=Sheet6!$C$3,Sheet6!$C$3,IF(Tim!DP40=Sheet6!$C$4,Sheet6!$C$4,IF(Tim!DP40=Sheet6!$C$5,Sheet6!$C$5,IF(Tim!DP40=Sheet6!$C$6,Sheet6!$C$6,IF(Tim!DP40=Sheet6!$C$7,Sheet6!$C$7,IF(Tim!DP40=Sheet6!$C$8,Sheet6!$C$8,"")))))))</f>
        <v/>
      </c>
      <c r="AW38" s="181" t="str">
        <f>IF(Tim!DX40=Sheet6!$C$2,Sheet6!$C$2,IF(Tim!DX40=Sheet6!$C$3,Sheet6!$C$3,IF(Tim!DX40=Sheet6!$C$4,Sheet6!$C$4,IF(Tim!DX40=Sheet6!$C$5,Sheet6!$C$5,IF(Tim!DX40=Sheet6!$C$6,Sheet6!$C$6,IF(Tim!DX40=Sheet6!$C$7,Sheet6!$C$7,IF(Tim!DX40=Sheet6!$C$8,Sheet6!$C$8,"")))))))</f>
        <v/>
      </c>
      <c r="AX38" s="181" t="str">
        <f>IF(Tim!DY40=Sheet6!$C$2,Sheet6!$C$2,IF(Tim!DY40=Sheet6!$C$3,Sheet6!$C$3,IF(Tim!DY40=Sheet6!$C$4,Sheet6!$C$4,IF(Tim!DY40=Sheet6!$C$5,Sheet6!$C$5,IF(Tim!DY40=Sheet6!$C$6,Sheet6!$C$6,IF(Tim!DY40=Sheet6!$C$7,Sheet6!$C$7,IF(Tim!DY40=Sheet6!$C$8,Sheet6!$C$8,"")))))))</f>
        <v/>
      </c>
      <c r="AY38" s="53" t="str">
        <f>IF(Tim!DZ40=Sheet6!$C$2,Sheet6!$C$2,IF(Tim!DZ40=Sheet6!$C$3,Sheet6!$C$3,IF(Tim!DZ40=Sheet6!$C$4,Sheet6!$C$4,IF(Tim!DZ40=Sheet6!$C$5,Sheet6!$C$5,IF(Tim!DZ40=Sheet6!$C$6,Sheet6!$C$6,IF(Tim!DZ40=Sheet6!$C$7,Sheet6!$C$7,IF(Tim!DZ40=Sheet6!$C$8,Sheet6!$C$8,"")))))))</f>
        <v/>
      </c>
      <c r="AZ38" s="53" t="str">
        <f>IF(Tim!EA40=Sheet6!$C$2,Sheet6!$C$2,IF(Tim!EA40=Sheet6!$C$3,Sheet6!$C$3,IF(Tim!EA40=Sheet6!$C$4,Sheet6!$C$4,IF(Tim!EA40=Sheet6!$C$5,Sheet6!$C$5,IF(Tim!EA40=Sheet6!$C$6,Sheet6!$C$6,IF(Tim!EA40=Sheet6!$C$7,Sheet6!$C$7,IF(Tim!EA40=Sheet6!$C$8,Sheet6!$C$8,"")))))))</f>
        <v/>
      </c>
      <c r="BA38" s="53" t="str">
        <f>IF(Tim!EB40=Sheet6!$C$2,Sheet6!$C$2,IF(Tim!EB40=Sheet6!$C$3,Sheet6!$C$3,IF(Tim!EB40=Sheet6!$C$4,Sheet6!$C$4,IF(Tim!EB40=Sheet6!$C$5,Sheet6!$C$5,IF(Tim!EB40=Sheet6!$C$6,Sheet6!$C$6,IF(Tim!EB40=Sheet6!$C$7,Sheet6!$C$7,IF(Tim!EB40=Sheet6!$C$8,Sheet6!$C$8,"")))))))</f>
        <v/>
      </c>
      <c r="BB38" s="53" t="str">
        <f>IF(Tim!EC40=Sheet6!$C$2,Sheet6!$C$2,IF(Tim!EC40=Sheet6!$C$3,Sheet6!$C$3,IF(Tim!EC40=Sheet6!$C$4,Sheet6!$C$4,IF(Tim!EC40=Sheet6!$C$5,Sheet6!$C$5,IF(Tim!EC40=Sheet6!$C$6,Sheet6!$C$6,IF(Tim!EC40=Sheet6!$C$7,Sheet6!$C$7,IF(Tim!EC40=Sheet6!$C$8,Sheet6!$C$8,"")))))))</f>
        <v/>
      </c>
      <c r="BC38" s="53" t="str">
        <f>IF(Tim!EG40=Sheet6!$C$2,Sheet6!$C$2,IF(Tim!EG40=Sheet6!$C$3,Sheet6!$C$3,IF(Tim!EG40=Sheet6!$C$4,Sheet6!$C$4,IF(Tim!EG40=Sheet6!$C$5,Sheet6!$C$5,IF(Tim!EG40=Sheet6!$C$6,Sheet6!$C$6,IF(Tim!EG40=Sheet6!$C$7,Sheet6!$C$7,IF(Tim!EG40=Sheet6!$C$8,Sheet6!$C$8,"")))))))</f>
        <v/>
      </c>
      <c r="BD38" s="54" t="str">
        <f>IF(Tim!EH40=Sheet6!$C$2,Sheet6!$C$2,IF(Tim!EH40=Sheet6!$C$3,Sheet6!$C$3,IF(Tim!EH40=Sheet6!$C$4,Sheet6!$C$4,IF(Tim!EH40=Sheet6!$C$5,Sheet6!$C$5,IF(Tim!EH40=Sheet6!$C$6,Sheet6!$C$6,IF(Tim!EH40=Sheet6!$C$7,Sheet6!$C$7,IF(Tim!EH40=Sheet6!$C$8,Sheet6!$C$8,"")))))))</f>
        <v/>
      </c>
      <c r="BE38" s="54" t="str">
        <f>IF(Tim!EI40=Sheet6!$C$2,Sheet6!$C$2,IF(Tim!EI40=Sheet6!$C$3,Sheet6!$C$3,IF(Tim!EI40=Sheet6!$C$4,Sheet6!$C$4,IF(Tim!EI40=Sheet6!$C$5,Sheet6!$C$5,IF(Tim!EI40=Sheet6!$C$6,Sheet6!$C$6,IF(Tim!EI40=Sheet6!$C$7,Sheet6!$C$7,IF(Tim!EI40=Sheet6!$C$8,Sheet6!$C$8,"")))))))</f>
        <v/>
      </c>
      <c r="BF38" s="54" t="str">
        <f>IF(Tim!EJ40=Sheet6!$C$2,Sheet6!$C$2,IF(Tim!EJ40=Sheet6!$C$3,Sheet6!$C$3,IF(Tim!EJ40=Sheet6!$C$4,Sheet6!$C$4,IF(Tim!EJ40=Sheet6!$C$5,Sheet6!$C$5,IF(Tim!EJ40=Sheet6!$C$6,Sheet6!$C$6,IF(Tim!EJ40=Sheet6!$C$7,Sheet6!$C$7,IF(Tim!EJ40=Sheet6!$C$8,Sheet6!$C$8,"")))))))</f>
        <v/>
      </c>
      <c r="BG38" s="55" t="str">
        <f>IF(Tim!EK40=Sheet6!$C$2,Sheet6!$C$2,IF(Tim!EK40=Sheet6!$C$3,Sheet6!$C$3,IF(Tim!EK40=Sheet6!$C$4,Sheet6!$C$4,IF(Tim!EK40=Sheet6!$C$5,Sheet6!$C$5,IF(Tim!EK40=Sheet6!$C$6,Sheet6!$C$6,IF(Tim!EK40=Sheet6!$C$7,Sheet6!$C$7,IF(Tim!EK40=Sheet6!$C$8,Sheet6!$C$8,"")))))))</f>
        <v/>
      </c>
      <c r="BH38" s="53" t="str">
        <f>IF(Tim!EL40=Sheet6!$C$2,Sheet6!$C$2,IF(Tim!EL40=Sheet6!$C$3,Sheet6!$C$3,IF(Tim!EL40=Sheet6!$C$4,Sheet6!$C$4,IF(Tim!EL40=Sheet6!$C$5,Sheet6!$C$5,IF(Tim!EL40=Sheet6!$C$6,Sheet6!$C$6,IF(Tim!EL40=Sheet6!$C$7,Sheet6!$C$7,IF(Tim!EL40=Sheet6!$C$8,Sheet6!$C$8,"")))))))</f>
        <v/>
      </c>
      <c r="BI38" s="57" t="str">
        <f>IF(Tim!EM40=Sheet6!$C$2,Sheet6!$C$2,IF(Tim!EM40=Sheet6!$C$3,Sheet6!$C$3,IF(Tim!EM40=Sheet6!$C$4,Sheet6!$C$4,IF(Tim!EM40=Sheet6!$C$5,Sheet6!$C$5,IF(Tim!EM40=Sheet6!$C$6,Sheet6!$C$6,IF(Tim!EM40=Sheet6!$C$7,Sheet6!$C$7,IF(Tim!EM40=Sheet6!$C$8,Sheet6!$C$8,"")))))))</f>
        <v/>
      </c>
      <c r="BJ38" s="57" t="str">
        <f>IF(Tim!EQ40=Sheet6!$C$2,Sheet6!$C$2,IF(Tim!EQ40=Sheet6!$C$3,Sheet6!$C$3,IF(Tim!EQ40=Sheet6!$C$4,Sheet6!$C$4,IF(Tim!EQ40=Sheet6!$C$5,Sheet6!$C$5,IF(Tim!EQ40=Sheet6!$C$6,Sheet6!$C$6,IF(Tim!EQ40=Sheet6!$C$7,Sheet6!$C$7,IF(Tim!EQ40=Sheet6!$C$8,Sheet6!$C$8,"")))))))</f>
        <v/>
      </c>
      <c r="BK38" s="57" t="str">
        <f>IF(Tim!ER40=Sheet6!$C$2,Sheet6!$C$2,IF(Tim!ER40=Sheet6!$C$3,Sheet6!$C$3,IF(Tim!ER40=Sheet6!$C$4,Sheet6!$C$4,IF(Tim!ER40=Sheet6!$C$5,Sheet6!$C$5,IF(Tim!ER40=Sheet6!$C$6,Sheet6!$C$6,IF(Tim!ER40=Sheet6!$C$7,Sheet6!$C$7,IF(Tim!ER40=Sheet6!$C$8,Sheet6!$C$8,"")))))))</f>
        <v/>
      </c>
      <c r="BL38" s="57" t="str">
        <f>IF(Tim!EZ40=Sheet6!$C$2,Sheet6!$C$2,IF(Tim!EZ40=Sheet6!$C$3,Sheet6!$C$3,IF(Tim!EZ40=Sheet6!$C$4,Sheet6!$C$4,IF(Tim!EZ40=Sheet6!$C$5,Sheet6!$C$5,IF(Tim!EZ40=Sheet6!$C$6,Sheet6!$C$6,IF(Tim!EZ40=Sheet6!$C$7,Sheet6!$C$7,IF(Tim!EZ40=Sheet6!$C$8,Sheet6!$C$8,"")))))))</f>
        <v/>
      </c>
      <c r="BM38" s="53" t="str">
        <f>IF(Tim!FG40=Sheet6!$C$2,Sheet6!$C$2,IF(Tim!FG40=Sheet6!$C$3,Sheet6!$C$3,IF(Tim!FG40=Sheet6!$C$4,Sheet6!$C$4,IF(Tim!FG40=Sheet6!$C$5,Sheet6!$C$5,IF(Tim!FG40=Sheet6!$C$6,Sheet6!$C$6,IF(Tim!FG40=Sheet6!$C$7,Sheet6!$C$7,IF(Tim!FG40=Sheet6!$C$8,Sheet6!$C$8,"")))))))</f>
        <v/>
      </c>
      <c r="BN38" s="181" t="str">
        <f>IF(Tim!FH40=Sheet6!$C$2,Sheet6!$C$2,IF(Tim!FH40=Sheet6!$C$3,Sheet6!$C$3,IF(Tim!FH40=Sheet6!$C$4,Sheet6!$C$4,IF(Tim!FH40=Sheet6!$C$5,Sheet6!$C$5,IF(Tim!FH40=Sheet6!$C$6,Sheet6!$C$6,IF(Tim!FH40=Sheet6!$C$7,Sheet6!$C$7,IF(Tim!FH40=Sheet6!$C$8,Sheet6!$C$8,"")))))))</f>
        <v/>
      </c>
      <c r="BO38" s="181" t="str">
        <f>IF(Tim!FP40=Sheet6!$C$2,Sheet6!$C$2,IF(Tim!FP40=Sheet6!$C$3,Sheet6!$C$3,IF(Tim!FP40=Sheet6!$C$4,Sheet6!$C$4,IF(Tim!FP40=Sheet6!$C$5,Sheet6!$C$5,IF(Tim!FP40=Sheet6!$C$6,Sheet6!$C$6,IF(Tim!FP40=Sheet6!$C$7,Sheet6!$C$7,IF(Tim!FP40=Sheet6!$C$8,Sheet6!$C$8,"")))))))</f>
        <v/>
      </c>
      <c r="BP38" s="181" t="str">
        <f>IF(Tim!FQ40=Sheet6!$C$2,Sheet6!$C$2,IF(Tim!FQ40=Sheet6!$C$3,Sheet6!$C$3,IF(Tim!FQ40=Sheet6!$C$4,Sheet6!$C$4,IF(Tim!FQ40=Sheet6!$C$5,Sheet6!$C$5,IF(Tim!FQ40=Sheet6!$C$6,Sheet6!$C$6,IF(Tim!FQ40=Sheet6!$C$7,Sheet6!$C$7,IF(Tim!FQ40=Sheet6!$C$8,Sheet6!$C$8,"")))))))</f>
        <v/>
      </c>
      <c r="BQ38" s="53" t="str">
        <f>IF(Tim!FR40=Sheet6!$C$2,Sheet6!$C$2,IF(Tim!FR40=Sheet6!$C$3,Sheet6!$C$3,IF(Tim!FR40=Sheet6!$C$4,Sheet6!$C$4,IF(Tim!FR40=Sheet6!$C$5,Sheet6!$C$5,IF(Tim!FR40=Sheet6!$C$6,Sheet6!$C$6,IF(Tim!FR40=Sheet6!$C$7,Sheet6!$C$7,IF(Tim!FR40=Sheet6!$C$8,Sheet6!$C$8,"")))))))</f>
        <v/>
      </c>
      <c r="BR38" s="53" t="str">
        <f>IF(Tim!FS40=Sheet6!$C$2,Sheet6!$C$2,IF(Tim!FS40=Sheet6!$C$3,Sheet6!$C$3,IF(Tim!FS40=Sheet6!$C$4,Sheet6!$C$4,IF(Tim!FS40=Sheet6!$C$5,Sheet6!$C$5,IF(Tim!FS40=Sheet6!$C$6,Sheet6!$C$6,IF(Tim!FS40=Sheet6!$C$7,Sheet6!$C$7,IF(Tim!FS40=Sheet6!$C$8,Sheet6!$C$8,"")))))))</f>
        <v/>
      </c>
      <c r="BS38" s="53" t="str">
        <f>IF(Tim!FT40=Sheet6!$C$2,Sheet6!$C$2,IF(Tim!FT40=Sheet6!$C$3,Sheet6!$C$3,IF(Tim!FT40=Sheet6!$C$4,Sheet6!$C$4,IF(Tim!FT40=Sheet6!$C$5,Sheet6!$C$5,IF(Tim!FT40=Sheet6!$C$6,Sheet6!$C$6,IF(Tim!FT40=Sheet6!$C$7,Sheet6!$C$7,IF(Tim!FT40=Sheet6!$C$8,Sheet6!$C$8,"")))))))</f>
        <v/>
      </c>
      <c r="BT38" s="53" t="str">
        <f>IF(Tim!FU40=Sheet6!$C$2,Sheet6!$C$2,IF(Tim!FU40=Sheet6!$C$3,Sheet6!$C$3,IF(Tim!FU40=Sheet6!$C$4,Sheet6!$C$4,IF(Tim!FU40=Sheet6!$C$5,Sheet6!$C$5,IF(Tim!FU40=Sheet6!$C$6,Sheet6!$C$6,IF(Tim!FU40=Sheet6!$C$7,Sheet6!$C$7,IF(Tim!FU40=Sheet6!$C$8,Sheet6!$C$8,"")))))))</f>
        <v/>
      </c>
      <c r="BU38" s="53" t="str">
        <f>IF(Tim!FY40=Sheet6!$C$2,Sheet6!$C$2,IF(Tim!FY40=Sheet6!$C$3,Sheet6!$C$3,IF(Tim!FY40=Sheet6!$C$4,Sheet6!$C$4,IF(Tim!FY40=Sheet6!$C$5,Sheet6!$C$5,IF(Tim!FY40=Sheet6!$C$6,Sheet6!$C$6,IF(Tim!FY40=Sheet6!$C$7,Sheet6!$C$7,IF(Tim!FY40=Sheet6!$C$8,Sheet6!$C$8,"")))))))</f>
        <v/>
      </c>
      <c r="BV38" s="54" t="str">
        <f>IF(Tim!FZ40=Sheet6!$C$2,Sheet6!$C$2,IF(Tim!FZ40=Sheet6!$C$3,Sheet6!$C$3,IF(Tim!FZ40=Sheet6!$C$4,Sheet6!$C$4,IF(Tim!FZ40=Sheet6!$C$5,Sheet6!$C$5,IF(Tim!FZ40=Sheet6!$C$6,Sheet6!$C$6,IF(Tim!FZ40=Sheet6!$C$7,Sheet6!$C$7,IF(Tim!FZ40=Sheet6!$C$8,Sheet6!$C$8,"")))))))</f>
        <v/>
      </c>
      <c r="BW38" s="54" t="str">
        <f>IF(Tim!GA40=Sheet6!$C$2,Sheet6!$C$2,IF(Tim!GA40=Sheet6!$C$3,Sheet6!$C$3,IF(Tim!GA40=Sheet6!$C$4,Sheet6!$C$4,IF(Tim!GA40=Sheet6!$C$5,Sheet6!$C$5,IF(Tim!GA40=Sheet6!$C$6,Sheet6!$C$6,IF(Tim!GA40=Sheet6!$C$7,Sheet6!$C$7,IF(Tim!GA40=Sheet6!$C$8,Sheet6!$C$8,"")))))))</f>
        <v/>
      </c>
      <c r="BX38" s="54" t="str">
        <f>IF(Tim!GB40=Sheet6!$C$2,Sheet6!$C$2,IF(Tim!GB40=Sheet6!$C$3,Sheet6!$C$3,IF(Tim!GB40=Sheet6!$C$4,Sheet6!$C$4,IF(Tim!GB40=Sheet6!$C$5,Sheet6!$C$5,IF(Tim!GB40=Sheet6!$C$6,Sheet6!$C$6,IF(Tim!GB40=Sheet6!$C$7,Sheet6!$C$7,IF(Tim!GB40=Sheet6!$C$8,Sheet6!$C$8,"")))))))</f>
        <v/>
      </c>
      <c r="BY38" s="55" t="str">
        <f>IF(Tim!GC40=Sheet6!$C$2,Sheet6!$C$2,IF(Tim!GC40=Sheet6!$C$3,Sheet6!$C$3,IF(Tim!GC40=Sheet6!$C$4,Sheet6!$C$4,IF(Tim!GC40=Sheet6!$C$5,Sheet6!$C$5,IF(Tim!GC40=Sheet6!$C$6,Sheet6!$C$6,IF(Tim!GC40=Sheet6!$C$7,Sheet6!$C$7,IF(Tim!GC40=Sheet6!$C$8,Sheet6!$C$8,"")))))))</f>
        <v/>
      </c>
      <c r="BZ38" s="53" t="str">
        <f>IF(Tim!GD40=Sheet6!$C$2,Sheet6!$C$2,IF(Tim!GD40=Sheet6!$C$3,Sheet6!$C$3,IF(Tim!GD40=Sheet6!$C$4,Sheet6!$C$4,IF(Tim!GD40=Sheet6!$C$5,Sheet6!$C$5,IF(Tim!GD40=Sheet6!$C$6,Sheet6!$C$6,IF(Tim!GD40=Sheet6!$C$7,Sheet6!$C$7,IF(Tim!GD40=Sheet6!$C$8,Sheet6!$C$8,"")))))))</f>
        <v/>
      </c>
      <c r="CA38" s="53" t="str">
        <f>IF(Tim!GE40=Sheet6!$C$2,Sheet6!$C$2,IF(Tim!GE40=Sheet6!$C$3,Sheet6!$C$3,IF(Tim!GE40=Sheet6!$C$4,Sheet6!$C$4,IF(Tim!GE40=Sheet6!$C$5,Sheet6!$C$5,IF(Tim!GE40=Sheet6!$C$6,Sheet6!$C$6,IF(Tim!GE40=Sheet6!$C$7,Sheet6!$C$7,IF(Tim!GE40=Sheet6!$C$8,Sheet6!$C$8,"")))))))</f>
        <v/>
      </c>
      <c r="CB38" s="57" t="str">
        <f>IF(Tim!GI40=Sheet6!$C$2,Sheet6!$C$2,IF(Tim!GI40=Sheet6!$C$3,Sheet6!$C$3,IF(Tim!GI40=Sheet6!$C$4,Sheet6!$C$4,IF(Tim!GI40=Sheet6!$C$5,Sheet6!$C$5,IF(Tim!GI40=Sheet6!$C$6,Sheet6!$C$6,IF(Tim!GI40=Sheet6!$C$7,Sheet6!$C$7,IF(Tim!GI40=Sheet6!$C$8,Sheet6!$C$8,"")))))))</f>
        <v/>
      </c>
      <c r="CC38" s="57" t="str">
        <f>IF(Tim!GJ40=Sheet6!$C$2,Sheet6!$C$2,IF(Tim!GJ40=Sheet6!$C$3,Sheet6!$C$3,IF(Tim!GJ40=Sheet6!$C$4,Sheet6!$C$4,IF(Tim!GJ40=Sheet6!$C$5,Sheet6!$C$5,IF(Tim!GJ40=Sheet6!$C$6,Sheet6!$C$6,IF(Tim!GJ40=Sheet6!$C$7,Sheet6!$C$7,IF(Tim!GJ40=Sheet6!$C$8,Sheet6!$C$8,"")))))))</f>
        <v/>
      </c>
      <c r="CD38" s="57" t="str">
        <f>IF(Tim!GN40=Sheet6!$C$2,Sheet6!$C$2,IF(Tim!GN40=Sheet6!$C$3,Sheet6!$C$3,IF(Tim!GN40=Sheet6!$C$4,Sheet6!$C$4,IF(Tim!GN40=Sheet6!$C$5,Sheet6!$C$5,IF(Tim!GN40=Sheet6!$C$6,Sheet6!$C$6,IF(Tim!GN40=Sheet6!$C$7,Sheet6!$C$7,IF(Tim!GN40=Sheet6!$C$8,Sheet6!$C$8,"")))))))</f>
        <v/>
      </c>
      <c r="CE38" s="53" t="str">
        <f>IF(Tim!GY40=Sheet6!$C$2,Sheet6!$C$2,IF(Tim!GY40=Sheet6!$C$3,Sheet6!$C$3,IF(Tim!GY40=Sheet6!$C$4,Sheet6!$C$4,IF(Tim!GY40=Sheet6!$C$5,Sheet6!$C$5,IF(Tim!GY40=Sheet6!$C$6,Sheet6!$C$6,IF(Tim!GY40=Sheet6!$C$7,Sheet6!$C$7,IF(Tim!GY40=Sheet6!$C$8,Sheet6!$C$8,"")))))))</f>
        <v/>
      </c>
      <c r="CF38" s="181" t="str">
        <f>IF(Tim!GZ40=Sheet6!$C$2,Sheet6!$C$2,IF(Tim!GZ40=Sheet6!$C$3,Sheet6!$C$3,IF(Tim!GZ40=Sheet6!$C$4,Sheet6!$C$4,IF(Tim!GZ40=Sheet6!$C$5,Sheet6!$C$5,IF(Tim!GZ40=Sheet6!$C$6,Sheet6!$C$6,IF(Tim!GZ40=Sheet6!$C$7,Sheet6!$C$7,IF(Tim!GZ40=Sheet6!$C$8,Sheet6!$C$8,"")))))))</f>
        <v/>
      </c>
      <c r="CG38" s="181" t="str">
        <f>IF(Tim!HH40=Sheet6!$C$2,Sheet6!$C$2,IF(Tim!HH40=Sheet6!$C$3,Sheet6!$C$3,IF(Tim!HH40=Sheet6!$C$4,Sheet6!$C$4,IF(Tim!HH40=Sheet6!$C$5,Sheet6!$C$5,IF(Tim!HH40=Sheet6!$C$6,Sheet6!$C$6,IF(Tim!HH40=Sheet6!$C$7,Sheet6!$C$7,IF(Tim!HH40=Sheet6!$C$8,Sheet6!$C$8,"")))))))</f>
        <v/>
      </c>
      <c r="CH38" s="181" t="str">
        <f>IF(Tim!HI40=Sheet6!$C$2,Sheet6!$C$2,IF(Tim!HI40=Sheet6!$C$3,Sheet6!$C$3,IF(Tim!HI40=Sheet6!$C$4,Sheet6!$C$4,IF(Tim!HI40=Sheet6!$C$5,Sheet6!$C$5,IF(Tim!HI40=Sheet6!$C$6,Sheet6!$C$6,IF(Tim!HI40=Sheet6!$C$7,Sheet6!$C$7,IF(Tim!HI40=Sheet6!$C$8,Sheet6!$C$8,"")))))))</f>
        <v/>
      </c>
      <c r="CI38" s="53" t="str">
        <f>IF(Tim!HJ40=Sheet6!$C$2,Sheet6!$C$2,IF(Tim!HJ40=Sheet6!$C$3,Sheet6!$C$3,IF(Tim!HJ40=Sheet6!$C$4,Sheet6!$C$4,IF(Tim!HJ40=Sheet6!$C$5,Sheet6!$C$5,IF(Tim!HJ40=Sheet6!$C$6,Sheet6!$C$6,IF(Tim!HJ40=Sheet6!$C$7,Sheet6!$C$7,IF(Tim!HJ40=Sheet6!$C$8,Sheet6!$C$8,"")))))))</f>
        <v/>
      </c>
      <c r="CJ38" s="53" t="str">
        <f>IF(Tim!HK40=Sheet6!$C$2,Sheet6!$C$2,IF(Tim!HK40=Sheet6!$C$3,Sheet6!$C$3,IF(Tim!HK40=Sheet6!$C$4,Sheet6!$C$4,IF(Tim!HK40=Sheet6!$C$5,Sheet6!$C$5,IF(Tim!HK40=Sheet6!$C$6,Sheet6!$C$6,IF(Tim!HK40=Sheet6!$C$7,Sheet6!$C$7,IF(Tim!HK40=Sheet6!$C$8,Sheet6!$C$8,"")))))))</f>
        <v/>
      </c>
      <c r="CK38" s="53" t="str">
        <f>IF(Tim!HL40=Sheet6!$C$2,Sheet6!$C$2,IF(Tim!HL40=Sheet6!$C$3,Sheet6!$C$3,IF(Tim!HL40=Sheet6!$C$4,Sheet6!$C$4,IF(Tim!HL40=Sheet6!$C$5,Sheet6!$C$5,IF(Tim!HL40=Sheet6!$C$6,Sheet6!$C$6,IF(Tim!HL40=Sheet6!$C$7,Sheet6!$C$7,IF(Tim!HL40=Sheet6!$C$8,Sheet6!$C$8,"")))))))</f>
        <v/>
      </c>
      <c r="CL38" s="53" t="str">
        <f>IF(Tim!HM40=Sheet6!$C$2,Sheet6!$C$2,IF(Tim!HM40=Sheet6!$C$3,Sheet6!$C$3,IF(Tim!HM40=Sheet6!$C$4,Sheet6!$C$4,IF(Tim!HM40=Sheet6!$C$5,Sheet6!$C$5,IF(Tim!HM40=Sheet6!$C$6,Sheet6!$C$6,IF(Tim!HM40=Sheet6!$C$7,Sheet6!$C$7,IF(Tim!HM40=Sheet6!$C$8,Sheet6!$C$8,"")))))))</f>
        <v/>
      </c>
      <c r="CM38" s="53" t="str">
        <f>IF(Tim!HQ40=Sheet6!$C$2,Sheet6!$C$2,IF(Tim!HQ40=Sheet6!$C$3,Sheet6!$C$3,IF(Tim!HQ40=Sheet6!$C$4,Sheet6!$C$4,IF(Tim!HQ40=Sheet6!$C$5,Sheet6!$C$5,IF(Tim!HQ40=Sheet6!$C$6,Sheet6!$C$6,IF(Tim!HQ40=Sheet6!$C$7,Sheet6!$C$7,IF(Tim!HQ40=Sheet6!$C$8,Sheet6!$C$8,"")))))))</f>
        <v/>
      </c>
      <c r="CN38" s="54" t="str">
        <f>IF(Tim!HR40=Sheet6!$C$2,Sheet6!$C$2,IF(Tim!HR40=Sheet6!$C$3,Sheet6!$C$3,IF(Tim!HR40=Sheet6!$C$4,Sheet6!$C$4,IF(Tim!HR40=Sheet6!$C$5,Sheet6!$C$5,IF(Tim!HR40=Sheet6!$C$6,Sheet6!$C$6,IF(Tim!HR40=Sheet6!$C$7,Sheet6!$C$7,IF(Tim!HR40=Sheet6!$C$8,Sheet6!$C$8,"")))))))</f>
        <v/>
      </c>
      <c r="CO38" s="54" t="str">
        <f>IF(Tim!HS40=Sheet6!$C$2,Sheet6!$C$2,IF(Tim!HS40=Sheet6!$C$3,Sheet6!$C$3,IF(Tim!HS40=Sheet6!$C$4,Sheet6!$C$4,IF(Tim!HS40=Sheet6!$C$5,Sheet6!$C$5,IF(Tim!HS40=Sheet6!$C$6,Sheet6!$C$6,IF(Tim!HS40=Sheet6!$C$7,Sheet6!$C$7,IF(Tim!HS40=Sheet6!$C$8,Sheet6!$C$8,"")))))))</f>
        <v/>
      </c>
      <c r="CP38" s="54" t="str">
        <f>IF(Tim!HT40=Sheet6!$C$2,Sheet6!$C$2,IF(Tim!HT40=Sheet6!$C$3,Sheet6!$C$3,IF(Tim!HT40=Sheet6!$C$4,Sheet6!$C$4,IF(Tim!HT40=Sheet6!$C$5,Sheet6!$C$5,IF(Tim!HT40=Sheet6!$C$6,Sheet6!$C$6,IF(Tim!HT40=Sheet6!$C$7,Sheet6!$C$7,IF(Tim!HT40=Sheet6!$C$8,Sheet6!$C$8,"")))))))</f>
        <v/>
      </c>
      <c r="CQ38" s="55" t="str">
        <f>IF(Tim!HU40=Sheet6!$C$2,Sheet6!$C$2,IF(Tim!HU40=Sheet6!$C$3,Sheet6!$C$3,IF(Tim!HU40=Sheet6!$C$4,Sheet6!$C$4,IF(Tim!HU40=Sheet6!$C$5,Sheet6!$C$5,IF(Tim!HU40=Sheet6!$C$6,Sheet6!$C$6,IF(Tim!HU40=Sheet6!$C$7,Sheet6!$C$7,IF(Tim!HU40=Sheet6!$C$8,Sheet6!$C$8,"")))))))</f>
        <v/>
      </c>
      <c r="CR38" s="56" t="str">
        <f>IF(Tim!HV40=Sheet6!$C$2,Sheet6!$C$2,IF(Tim!HV40=Sheet6!$C$3,Sheet6!$C$3,IF(Tim!HV40=Sheet6!$C$4,Sheet6!$C$4,IF(Tim!HV40=Sheet6!$C$5,Sheet6!$C$5,IF(Tim!HV40=Sheet6!$C$6,Sheet6!$C$6,IF(Tim!HV40=Sheet6!$C$7,Sheet6!$C$7,IF(Tim!HV40=Sheet6!$C$8,Sheet6!$C$8,"")))))))</f>
        <v/>
      </c>
      <c r="CS38" s="57" t="str">
        <f>IF(Tim!IB40=Sheet6!$C$2,Sheet6!$C$2,IF(Tim!IB40=Sheet6!$C$3,Sheet6!$C$3,IF(Tim!IB40=Sheet6!$C$4,Sheet6!$C$4,IF(Tim!IB40=Sheet6!$C$5,Sheet6!$C$5,IF(Tim!IB40=Sheet6!$C$6,Sheet6!$C$6,IF(Tim!IB40=Sheet6!$C$7,Sheet6!$C$7,IF(Tim!IB40=Sheet6!$C$8,Sheet6!$C$8,"")))))))</f>
        <v/>
      </c>
      <c r="CT38" s="57" t="str">
        <f>IF(Tim!IJ40=Sheet6!$C$2,Sheet6!$C$2,IF(Tim!IJ40=Sheet6!$C$3,Sheet6!$C$3,IF(Tim!IJ40=Sheet6!$C$4,Sheet6!$C$4,IF(Tim!IJ40=Sheet6!$C$5,Sheet6!$C$5,IF(Tim!IJ40=Sheet6!$C$6,Sheet6!$C$6,IF(Tim!IJ40=Sheet6!$C$7,Sheet6!$C$7,IF(Tim!IJ40=Sheet6!$C$8,Sheet6!$C$8,"")))))))</f>
        <v/>
      </c>
      <c r="CU38" s="57" t="str">
        <f>IF(Tim!IQ40=Sheet6!$C$2,Sheet6!$C$2,IF(Tim!IQ40=Sheet6!$C$3,Sheet6!$C$3,IF(Tim!IQ40=Sheet6!$C$4,Sheet6!$C$4,IF(Tim!IQ40=Sheet6!$C$5,Sheet6!$C$5,IF(Tim!IQ40=Sheet6!$C$6,Sheet6!$C$6,IF(Tim!IQ40=Sheet6!$C$7,Sheet6!$C$7,IF(Tim!IQ40=Sheet6!$C$8,Sheet6!$C$8,"")))))))</f>
        <v/>
      </c>
      <c r="CV38" s="53" t="str">
        <f>IF(Tim!IR40=Sheet6!$C$2,Sheet6!$C$2,IF(Tim!IR40=Sheet6!$C$3,Sheet6!$C$3,IF(Tim!IR40=Sheet6!$C$4,Sheet6!$C$4,IF(Tim!IR40=Sheet6!$C$5,Sheet6!$C$5,IF(Tim!IR40=Sheet6!$C$6,Sheet6!$C$6,IF(Tim!IR40=Sheet6!$C$7,Sheet6!$C$7,IF(Tim!IR40=Sheet6!$C$8,Sheet6!$C$8,"")))))))</f>
        <v/>
      </c>
      <c r="CW38" s="53" t="str">
        <f>IF(Tim!IZ40=Sheet6!$C$2,Sheet6!$C$2,IF(Tim!IZ40=Sheet6!$C$3,Sheet6!$C$3,IF(Tim!IZ40=Sheet6!$C$4,Sheet6!$C$4,IF(Tim!IZ40=Sheet6!$C$5,Sheet6!$C$5,IF(Tim!IZ40=Sheet6!$C$6,Sheet6!$C$6,IF(Tim!IZ40=Sheet6!$C$7,Sheet6!$C$7,IF(Tim!IZ40=Sheet6!$C$8,Sheet6!$C$8,"")))))))</f>
        <v/>
      </c>
      <c r="CX38" s="53" t="str">
        <f>IF(Tim!JA40=Sheet6!$C$2,Sheet6!$C$2,IF(Tim!JA40=Sheet6!$C$3,Sheet6!$C$3,IF(Tim!JA40=Sheet6!$C$4,Sheet6!$C$4,IF(Tim!JA40=Sheet6!$C$5,Sheet6!$C$5,IF(Tim!JA40=Sheet6!$C$6,Sheet6!$C$6,IF(Tim!JA40=Sheet6!$C$7,Sheet6!$C$7,IF(Tim!JA40=Sheet6!$C$8,Sheet6!$C$8,"")))))))</f>
        <v/>
      </c>
      <c r="CY38" s="53" t="str">
        <f>IF(Tim!JB40=Sheet6!$C$2,Sheet6!$C$2,IF(Tim!JB40=Sheet6!$C$3,Sheet6!$C$3,IF(Tim!JB40=Sheet6!$C$4,Sheet6!$C$4,IF(Tim!JB40=Sheet6!$C$5,Sheet6!$C$5,IF(Tim!JB40=Sheet6!$C$6,Sheet6!$C$6,IF(Tim!JB40=Sheet6!$C$7,Sheet6!$C$7,IF(Tim!JB40=Sheet6!$C$8,Sheet6!$C$8,"")))))))</f>
        <v/>
      </c>
      <c r="CZ38" s="53" t="str">
        <f>IF(Tim!JC40=Sheet6!$C$2,Sheet6!$C$2,IF(Tim!JC40=Sheet6!$C$3,Sheet6!$C$3,IF(Tim!JC40=Sheet6!$C$4,Sheet6!$C$4,IF(Tim!JC40=Sheet6!$C$5,Sheet6!$C$5,IF(Tim!JC40=Sheet6!$C$6,Sheet6!$C$6,IF(Tim!JC40=Sheet6!$C$7,Sheet6!$C$7,IF(Tim!JC40=Sheet6!$C$8,Sheet6!$C$8,"")))))))</f>
        <v/>
      </c>
      <c r="DA38" s="53" t="str">
        <f>IF(Tim!JD40=Sheet6!$C$2,Sheet6!$C$2,IF(Tim!JD40=Sheet6!$C$3,Sheet6!$C$3,IF(Tim!JD40=Sheet6!$C$4,Sheet6!$C$4,IF(Tim!JD40=Sheet6!$C$5,Sheet6!$C$5,IF(Tim!JD40=Sheet6!$C$6,Sheet6!$C$6,IF(Tim!JD40=Sheet6!$C$7,Sheet6!$C$7,IF(Tim!JD40=Sheet6!$C$8,Sheet6!$C$8,"")))))))</f>
        <v/>
      </c>
      <c r="DB38" s="53" t="str">
        <f>IF(Tim!JE40=Sheet6!$C$2,Sheet6!$C$2,IF(Tim!JE40=Sheet6!$C$3,Sheet6!$C$3,IF(Tim!JE40=Sheet6!$C$4,Sheet6!$C$4,IF(Tim!JE40=Sheet6!$C$5,Sheet6!$C$5,IF(Tim!JE40=Sheet6!$C$6,Sheet6!$C$6,IF(Tim!JE40=Sheet6!$C$7,Sheet6!$C$7,IF(Tim!JE40=Sheet6!$C$8,Sheet6!$C$8,"")))))))</f>
        <v/>
      </c>
      <c r="DC38" s="53" t="str">
        <f>IF(Tim!JI40=Sheet6!$C$2,Sheet6!$C$2,IF(Tim!JI40=Sheet6!$C$3,Sheet6!$C$3,IF(Tim!JI40=Sheet6!$C$4,Sheet6!$C$4,IF(Tim!JI40=Sheet6!$C$5,Sheet6!$C$5,IF(Tim!JI40=Sheet6!$C$6,Sheet6!$C$6,IF(Tim!JI40=Sheet6!$C$7,Sheet6!$C$7,IF(Tim!JI40=Sheet6!$C$8,Sheet6!$C$8,"")))))))</f>
        <v/>
      </c>
      <c r="DD38" s="54" t="str">
        <f>IF(Tim!JJ40=Sheet6!$C$2,Sheet6!$C$2,IF(Tim!JJ40=Sheet6!$C$3,Sheet6!$C$3,IF(Tim!JJ40=Sheet6!$C$4,Sheet6!$C$4,IF(Tim!JJ40=Sheet6!$C$5,Sheet6!$C$5,IF(Tim!JJ40=Sheet6!$C$6,Sheet6!$C$6,IF(Tim!JJ40=Sheet6!$C$7,Sheet6!$C$7,IF(Tim!JJ40=Sheet6!$C$8,Sheet6!$C$8,"")))))))</f>
        <v/>
      </c>
      <c r="DE38" s="54" t="str">
        <f>IF(Tim!JK40=Sheet6!$C$2,Sheet6!$C$2,IF(Tim!JK40=Sheet6!$C$3,Sheet6!$C$3,IF(Tim!JK40=Sheet6!$C$4,Sheet6!$C$4,IF(Tim!JK40=Sheet6!$C$5,Sheet6!$C$5,IF(Tim!JK40=Sheet6!$C$6,Sheet6!$C$6,IF(Tim!JK40=Sheet6!$C$7,Sheet6!$C$7,IF(Tim!JK40=Sheet6!$C$8,Sheet6!$C$8,"")))))))</f>
        <v/>
      </c>
      <c r="DF38" s="54" t="str">
        <f>IF(Tim!JL40=Sheet6!$C$2,Sheet6!$C$2,IF(Tim!JL40=Sheet6!$C$3,Sheet6!$C$3,IF(Tim!JL40=Sheet6!$C$4,Sheet6!$C$4,IF(Tim!JL40=Sheet6!$C$5,Sheet6!$C$5,IF(Tim!JL40=Sheet6!$C$6,Sheet6!$C$6,IF(Tim!JL40=Sheet6!$C$7,Sheet6!$C$7,IF(Tim!JL40=Sheet6!$C$8,Sheet6!$C$8,"")))))))</f>
        <v/>
      </c>
      <c r="DG38" s="55" t="str">
        <f>IF(Tim!JM40=Sheet6!$C$2,Sheet6!$C$2,IF(Tim!JM40=Sheet6!$C$3,Sheet6!$C$3,IF(Tim!JM40=Sheet6!$C$4,Sheet6!$C$4,IF(Tim!JM40=Sheet6!$C$5,Sheet6!$C$5,IF(Tim!JM40=Sheet6!$C$6,Sheet6!$C$6,IF(Tim!JM40=Sheet6!$C$7,Sheet6!$C$7,IF(Tim!JM40=Sheet6!$C$8,Sheet6!$C$8,"")))))))</f>
        <v/>
      </c>
      <c r="DH38" s="56" t="str">
        <f>IF(Tim!JN40=Sheet6!$C$2,Sheet6!$C$2,IF(Tim!JN40=Sheet6!$C$3,Sheet6!$C$3,IF(Tim!JN40=Sheet6!$C$4,Sheet6!$C$4,IF(Tim!JN40=Sheet6!$C$5,Sheet6!$C$5,IF(Tim!JN40=Sheet6!$C$6,Sheet6!$C$6,IF(Tim!JN40=Sheet6!$C$7,Sheet6!$C$7,IF(Tim!JN40=Sheet6!$C$8,Sheet6!$C$8,"")))))))</f>
        <v/>
      </c>
      <c r="DI38" s="57" t="str">
        <f>IF(Tim!JS40=Sheet6!$C$2,Sheet6!$C$2,IF(Tim!JS40=Sheet6!$C$3,Sheet6!$C$3,IF(Tim!JS40=Sheet6!$C$4,Sheet6!$C$4,IF(Tim!JS40=Sheet6!$C$5,Sheet6!$C$5,IF(Tim!JS40=Sheet6!$C$6,Sheet6!$C$6,IF(Tim!JS40=Sheet6!$C$7,Sheet6!$C$7,IF(Tim!JS40=Sheet6!$C$8,Sheet6!$C$8,"")))))))</f>
        <v/>
      </c>
      <c r="DJ38" s="57" t="str">
        <f>IF(Tim!KB40=Sheet6!$C$2,Sheet6!$C$2,IF(Tim!KB40=Sheet6!$C$3,Sheet6!$C$3,IF(Tim!KB40=Sheet6!$C$4,Sheet6!$C$4,IF(Tim!KB40=Sheet6!$C$5,Sheet6!$C$5,IF(Tim!KB40=Sheet6!$C$6,Sheet6!$C$6,IF(Tim!KB40=Sheet6!$C$7,Sheet6!$C$7,IF(Tim!KB40=Sheet6!$C$8,Sheet6!$C$8,"")))))))</f>
        <v/>
      </c>
      <c r="DK38" s="53" t="str">
        <f>IF(Tim!KI40=Sheet6!$C$2,Sheet6!$C$2,IF(Tim!KI40=Sheet6!$C$3,Sheet6!$C$3,IF(Tim!KI40=Sheet6!$C$4,Sheet6!$C$4,IF(Tim!KI40=Sheet6!$C$5,Sheet6!$C$5,IF(Tim!KI40=Sheet6!$C$6,Sheet6!$C$6,IF(Tim!KI40=Sheet6!$C$7,Sheet6!$C$7,IF(Tim!KI40=Sheet6!$C$8,Sheet6!$C$8,"")))))))</f>
        <v/>
      </c>
      <c r="DL38" s="53" t="str">
        <f>IF(Tim!KJ40=Sheet6!$C$2,Sheet6!$C$2,IF(Tim!KJ40=Sheet6!$C$3,Sheet6!$C$3,IF(Tim!KJ40=Sheet6!$C$4,Sheet6!$C$4,IF(Tim!KJ40=Sheet6!$C$5,Sheet6!$C$5,IF(Tim!KJ40=Sheet6!$C$6,Sheet6!$C$6,IF(Tim!KJ40=Sheet6!$C$7,Sheet6!$C$7,IF(Tim!KJ40=Sheet6!$C$8,Sheet6!$C$8,"")))))))</f>
        <v/>
      </c>
      <c r="DM38" s="53" t="str">
        <f>IF(Tim!KR40=Sheet6!$C$2,Sheet6!$C$2,IF(Tim!KR40=Sheet6!$C$3,Sheet6!$C$3,IF(Tim!KR40=Sheet6!$C$4,Sheet6!$C$4,IF(Tim!KR40=Sheet6!$C$5,Sheet6!$C$5,IF(Tim!KR40=Sheet6!$C$6,Sheet6!$C$6,IF(Tim!KR40=Sheet6!$C$7,Sheet6!$C$7,IF(Tim!KR40=Sheet6!$C$8,Sheet6!$C$8,"")))))))</f>
        <v/>
      </c>
      <c r="DN38" s="53" t="str">
        <f>IF(Tim!KS40=Sheet6!$C$2,Sheet6!$C$2,IF(Tim!KS40=Sheet6!$C$3,Sheet6!$C$3,IF(Tim!KS40=Sheet6!$C$4,Sheet6!$C$4,IF(Tim!KS40=Sheet6!$C$5,Sheet6!$C$5,IF(Tim!KS40=Sheet6!$C$6,Sheet6!$C$6,IF(Tim!KS40=Sheet6!$C$7,Sheet6!$C$7,IF(Tim!KS40=Sheet6!$C$8,Sheet6!$C$8,"")))))))</f>
        <v/>
      </c>
      <c r="DO38" s="53" t="str">
        <f>IF(Tim!KT40=Sheet6!$C$2,Sheet6!$C$2,IF(Tim!KT40=Sheet6!$C$3,Sheet6!$C$3,IF(Tim!KT40=Sheet6!$C$4,Sheet6!$C$4,IF(Tim!KT40=Sheet6!$C$5,Sheet6!$C$5,IF(Tim!KT40=Sheet6!$C$6,Sheet6!$C$6,IF(Tim!KT40=Sheet6!$C$7,Sheet6!$C$7,IF(Tim!KT40=Sheet6!$C$8,Sheet6!$C$8,"")))))))</f>
        <v/>
      </c>
      <c r="DP38" s="53" t="str">
        <f>IF(Tim!KU40=Sheet6!$C$2,Sheet6!$C$2,IF(Tim!KU40=Sheet6!$C$3,Sheet6!$C$3,IF(Tim!KU40=Sheet6!$C$4,Sheet6!$C$4,IF(Tim!KU40=Sheet6!$C$5,Sheet6!$C$5,IF(Tim!KU40=Sheet6!$C$6,Sheet6!$C$6,IF(Tim!KU40=Sheet6!$C$7,Sheet6!$C$7,IF(Tim!KU40=Sheet6!$C$8,Sheet6!$C$8,"")))))))</f>
        <v/>
      </c>
      <c r="DQ38" s="53" t="str">
        <f>IF(Tim!KV40=Sheet6!$C$2,Sheet6!$C$2,IF(Tim!KV40=Sheet6!$C$3,Sheet6!$C$3,IF(Tim!KV40=Sheet6!$C$4,Sheet6!$C$4,IF(Tim!KV40=Sheet6!$C$5,Sheet6!$C$5,IF(Tim!KV40=Sheet6!$C$6,Sheet6!$C$6,IF(Tim!KV40=Sheet6!$C$7,Sheet6!$C$7,IF(Tim!KV40=Sheet6!$C$8,Sheet6!$C$8,"")))))))</f>
        <v/>
      </c>
      <c r="DR38" s="53" t="str">
        <f>IF(Tim!KW40=Sheet6!$C$2,Sheet6!$C$2,IF(Tim!KW40=Sheet6!$C$3,Sheet6!$C$3,IF(Tim!KW40=Sheet6!$C$4,Sheet6!$C$4,IF(Tim!KW40=Sheet6!$C$5,Sheet6!$C$5,IF(Tim!KW40=Sheet6!$C$6,Sheet6!$C$6,IF(Tim!KW40=Sheet6!$C$7,Sheet6!$C$7,IF(Tim!KW40=Sheet6!$C$8,Sheet6!$C$8,"")))))))</f>
        <v/>
      </c>
      <c r="DS38" s="53" t="str">
        <f>IF(Tim!LA40=Sheet6!$C$2,Sheet6!$C$2,IF(Tim!LA40=Sheet6!$C$3,Sheet6!$C$3,IF(Tim!LA40=Sheet6!$C$4,Sheet6!$C$4,IF(Tim!LA40=Sheet6!$C$5,Sheet6!$C$5,IF(Tim!LA40=Sheet6!$C$6,Sheet6!$C$6,IF(Tim!LA40=Sheet6!$C$7,Sheet6!$C$7,IF(Tim!LA40=Sheet6!$C$8,Sheet6!$C$8,"")))))))</f>
        <v/>
      </c>
      <c r="DT38" s="54" t="str">
        <f>IF(Tim!LB40=Sheet6!$C$2,Sheet6!$C$2,IF(Tim!LB40=Sheet6!$C$3,Sheet6!$C$3,IF(Tim!LB40=Sheet6!$C$4,Sheet6!$C$4,IF(Tim!LB40=Sheet6!$C$5,Sheet6!$C$5,IF(Tim!LB40=Sheet6!$C$6,Sheet6!$C$6,IF(Tim!LB40=Sheet6!$C$7,Sheet6!$C$7,IF(Tim!LB40=Sheet6!$C$8,Sheet6!$C$8,"")))))))</f>
        <v/>
      </c>
      <c r="DU38" s="54" t="str">
        <f>IF(Tim!LC40=Sheet6!$C$2,Sheet6!$C$2,IF(Tim!LC40=Sheet6!$C$3,Sheet6!$C$3,IF(Tim!LC40=Sheet6!$C$4,Sheet6!$C$4,IF(Tim!LC40=Sheet6!$C$5,Sheet6!$C$5,IF(Tim!LC40=Sheet6!$C$6,Sheet6!$C$6,IF(Tim!LC40=Sheet6!$C$7,Sheet6!$C$7,IF(Tim!LC40=Sheet6!$C$8,Sheet6!$C$8,"")))))))</f>
        <v/>
      </c>
      <c r="DV38" s="54" t="str">
        <f>IF(Tim!LD40=Sheet6!$C$2,Sheet6!$C$2,IF(Tim!LD40=Sheet6!$C$3,Sheet6!$C$3,IF(Tim!LD40=Sheet6!$C$4,Sheet6!$C$4,IF(Tim!LD40=Sheet6!$C$5,Sheet6!$C$5,IF(Tim!LD40=Sheet6!$C$6,Sheet6!$C$6,IF(Tim!LD40=Sheet6!$C$7,Sheet6!$C$7,IF(Tim!LD40=Sheet6!$C$8,Sheet6!$C$8,"")))))))</f>
        <v/>
      </c>
      <c r="DW38" s="55" t="str">
        <f>IF(Tim!LE40=Sheet6!$C$2,Sheet6!$C$2,IF(Tim!LE40=Sheet6!$C$3,Sheet6!$C$3,IF(Tim!LE40=Sheet6!$C$4,Sheet6!$C$4,IF(Tim!LE40=Sheet6!$C$5,Sheet6!$C$5,IF(Tim!LE40=Sheet6!$C$6,Sheet6!$C$6,IF(Tim!LE40=Sheet6!$C$7,Sheet6!$C$7,IF(Tim!LE40=Sheet6!$C$8,Sheet6!$C$8,"")))))))</f>
        <v/>
      </c>
      <c r="DX38" s="52">
        <v>0.63541666666666596</v>
      </c>
    </row>
    <row r="39" spans="2:128" ht="10.5" customHeight="1">
      <c r="B39" s="51">
        <v>0.25</v>
      </c>
      <c r="C39" s="51">
        <v>0.25</v>
      </c>
      <c r="D39" s="51">
        <v>0.25</v>
      </c>
      <c r="E39" s="52">
        <v>0.64583333333333204</v>
      </c>
      <c r="F39" s="53" t="str">
        <f>IF(Tim!F41=Sheet6!$C$2,Sheet6!$C$2,IF(Tim!F41=Sheet6!$C$3,Sheet6!$C$3,IF(Tim!F41=Sheet6!$C$4,Sheet6!$C$4,IF(Tim!F41=Sheet6!$C$5,Sheet6!$C$5,IF(Tim!F41=Sheet6!$C$6,Sheet6!$C$6,IF(Tim!F41=Sheet6!$C$7,Sheet6!$C$7,IF(Tim!F41=Sheet6!$C$8,Sheet6!$C$8,"")))))))</f>
        <v/>
      </c>
      <c r="G39" s="53" t="str">
        <f>IF(Tim!G41=Sheet6!$C$2,Sheet6!$C$2,IF(Tim!G41=Sheet6!$C$3,Sheet6!$C$3,IF(Tim!G41=Sheet6!$C$4,Sheet6!$C$4,IF(Tim!G41=Sheet6!$C$5,Sheet6!$C$5,IF(Tim!G41=Sheet6!$C$6,Sheet6!$C$6,IF(Tim!G41=Sheet6!$C$7,Sheet6!$C$7,IF(Tim!G41=Sheet6!$C$8,Sheet6!$C$8,"")))))))</f>
        <v/>
      </c>
      <c r="H39" s="53" t="str">
        <f>IF(Tim!H41=Sheet6!$C$2,Sheet6!$C$2,IF(Tim!H41=Sheet6!$C$3,Sheet6!$C$3,IF(Tim!H41=Sheet6!$C$4,Sheet6!$C$4,IF(Tim!H41=Sheet6!$C$5,Sheet6!$C$5,IF(Tim!H41=Sheet6!$C$6,Sheet6!$C$6,IF(Tim!H41=Sheet6!$C$7,Sheet6!$C$7,IF(Tim!H41=Sheet6!$C$8,Sheet6!$C$8,"")))))))</f>
        <v/>
      </c>
      <c r="I39" s="53" t="str">
        <f>IF(Tim!L41=Sheet6!$C$2,Sheet6!$C$2,IF(Tim!L41=Sheet6!$C$3,Sheet6!$C$3,IF(Tim!L41=Sheet6!$C$4,Sheet6!$C$4,IF(Tim!L41=Sheet6!$C$5,Sheet6!$C$5,IF(Tim!L41=Sheet6!$C$6,Sheet6!$C$6,IF(Tim!L41=Sheet6!$C$7,Sheet6!$C$7,IF(Tim!L41=Sheet6!$C$8,Sheet6!$C$8,"")))))))</f>
        <v/>
      </c>
      <c r="J39" s="53" t="str">
        <f>IF(Tim!T41=Sheet6!$C$2,Sheet6!$C$2,IF(Tim!T41=Sheet6!$C$3,Sheet6!$C$3,IF(Tim!T41=Sheet6!$C$4,Sheet6!$C$4,IF(Tim!T41=Sheet6!$C$5,Sheet6!$C$5,IF(Tim!T41=Sheet6!$C$6,Sheet6!$C$6,IF(Tim!T41=Sheet6!$C$7,Sheet6!$C$7,IF(Tim!T41=Sheet6!$C$8,Sheet6!$C$8,"")))))))</f>
        <v/>
      </c>
      <c r="K39" s="53" t="str">
        <f>IF(Tim!AB41=Sheet6!$C$2,Sheet6!$C$2,IF(Tim!AB41=Sheet6!$C$3,Sheet6!$C$3,IF(Tim!AB41=Sheet6!$C$4,Sheet6!$C$4,IF(Tim!AB41=Sheet6!$C$5,Sheet6!$C$5,IF(Tim!AB41=Sheet6!$C$6,Sheet6!$C$6,IF(Tim!AB41=Sheet6!$C$7,Sheet6!$C$7,IF(Tim!AB41=Sheet6!$C$8,Sheet6!$C$8,"")))))))</f>
        <v/>
      </c>
      <c r="L39" s="181" t="str">
        <f>IF(Tim!AC41=Sheet6!$C$2,Sheet6!$C$2,IF(Tim!AC41=Sheet6!$C$3,Sheet6!$C$3,IF(Tim!AC41=Sheet6!$C$4,Sheet6!$C$4,IF(Tim!AC41=Sheet6!$C$5,Sheet6!$C$5,IF(Tim!AC41=Sheet6!$C$6,Sheet6!$C$6,IF(Tim!AC41=Sheet6!$C$7,Sheet6!$C$7,IF(Tim!AC41=Sheet6!$C$8,Sheet6!$C$8,"")))))))</f>
        <v/>
      </c>
      <c r="M39" s="181" t="str">
        <f>IF(Tim!AJ41=Sheet6!$C$2,Sheet6!$C$2,IF(Tim!AJ41=Sheet6!$C$3,Sheet6!$C$3,IF(Tim!AJ41=Sheet6!$C$4,Sheet6!$C$4,IF(Tim!AJ41=Sheet6!$C$5,Sheet6!$C$5,IF(Tim!AJ41=Sheet6!$C$6,Sheet6!$C$6,IF(Tim!AJ41=Sheet6!$C$7,Sheet6!$C$7,IF(Tim!AJ41=Sheet6!$C$8,Sheet6!$C$8,"")))))))</f>
        <v/>
      </c>
      <c r="N39" s="181" t="str">
        <f>IF(Tim!AK41=Sheet6!$C$2,Sheet6!$C$2,IF(Tim!AK41=Sheet6!$C$3,Sheet6!$C$3,IF(Tim!AK41=Sheet6!$C$4,Sheet6!$C$4,IF(Tim!AK41=Sheet6!$C$5,Sheet6!$C$5,IF(Tim!AK41=Sheet6!$C$6,Sheet6!$C$6,IF(Tim!AK41=Sheet6!$C$7,Sheet6!$C$7,IF(Tim!AK41=Sheet6!$C$8,Sheet6!$C$8,"")))))))</f>
        <v/>
      </c>
      <c r="O39" s="53" t="str">
        <f>IF(Tim!AL41=Sheet6!$C$2,Sheet6!$C$2,IF(Tim!AL41=Sheet6!$C$3,Sheet6!$C$3,IF(Tim!AL41=Sheet6!$C$4,Sheet6!$C$4,IF(Tim!AL41=Sheet6!$C$5,Sheet6!$C$5,IF(Tim!AL41=Sheet6!$C$6,Sheet6!$C$6,IF(Tim!AL41=Sheet6!$C$7,Sheet6!$C$7,IF(Tim!AL41=Sheet6!$C$8,Sheet6!$C$8,"")))))))</f>
        <v/>
      </c>
      <c r="P39" s="53" t="str">
        <f>IF(Tim!AN41=Sheet6!$C$2,Sheet6!$C$2,IF(Tim!AN41=Sheet6!$C$3,Sheet6!$C$3,IF(Tim!AN41=Sheet6!$C$4,Sheet6!$C$4,IF(Tim!AN41=Sheet6!$C$5,Sheet6!$C$5,IF(Tim!AN41=Sheet6!$C$6,Sheet6!$C$6,IF(Tim!AN41=Sheet6!$C$7,Sheet6!$C$7,IF(Tim!AN41=Sheet6!$C$8,Sheet6!$C$8,"")))))))</f>
        <v/>
      </c>
      <c r="Q39" s="53" t="str">
        <f>IF(Tim!AO41=Sheet6!$C$2,Sheet6!$C$2,IF(Tim!AO41=Sheet6!$C$3,Sheet6!$C$3,IF(Tim!AO41=Sheet6!$C$4,Sheet6!$C$4,IF(Tim!AO41=Sheet6!$C$5,Sheet6!$C$5,IF(Tim!AO41=Sheet6!$C$6,Sheet6!$C$6,IF(Tim!AO41=Sheet6!$C$7,Sheet6!$C$7,IF(Tim!AO41=Sheet6!$C$8,Sheet6!$C$8,"")))))))</f>
        <v/>
      </c>
      <c r="R39" s="53" t="str">
        <f>IF(Tim!AP41=Sheet6!$C$2,Sheet6!$C$2,IF(Tim!AP41=Sheet6!$C$3,Sheet6!$C$3,IF(Tim!AP41=Sheet6!$C$4,Sheet6!$C$4,IF(Tim!AP41=Sheet6!$C$5,Sheet6!$C$5,IF(Tim!AP41=Sheet6!$C$6,Sheet6!$C$6,IF(Tim!AP41=Sheet6!$C$7,Sheet6!$C$7,IF(Tim!AP41=Sheet6!$C$8,Sheet6!$C$8,"")))))))</f>
        <v/>
      </c>
      <c r="S39" s="53" t="str">
        <f>IF(Tim!AT41=Sheet6!$C$2,Sheet6!$C$2,IF(Tim!AT41=Sheet6!$C$3,Sheet6!$C$3,IF(Tim!AT41=Sheet6!$C$4,Sheet6!$C$4,IF(Tim!AT41=Sheet6!$C$5,Sheet6!$C$5,IF(Tim!AT41=Sheet6!$C$6,Sheet6!$C$6,IF(Tim!AT41=Sheet6!$C$7,Sheet6!$C$7,IF(Tim!AT41=Sheet6!$C$8,Sheet6!$C$8,"")))))))</f>
        <v/>
      </c>
      <c r="T39" s="54" t="str">
        <f>IF(Tim!AU41=Sheet6!$C$2,Sheet6!$C$2,IF(Tim!AU41=Sheet6!$C$3,Sheet6!$C$3,IF(Tim!AU41=Sheet6!$C$4,Sheet6!$C$4,IF(Tim!AU41=Sheet6!$C$5,Sheet6!$C$5,IF(Tim!AU41=Sheet6!$C$6,Sheet6!$C$6,IF(Tim!AU41=Sheet6!$C$7,Sheet6!$C$7,IF(Tim!AU41=Sheet6!$C$8,Sheet6!$C$8,"")))))))</f>
        <v/>
      </c>
      <c r="U39" s="54" t="str">
        <f>IF(Tim!AV41=Sheet6!$C$2,Sheet6!$C$2,IF(Tim!AV41=Sheet6!$C$3,Sheet6!$C$3,IF(Tim!AV41=Sheet6!$C$4,Sheet6!$C$4,IF(Tim!AV41=Sheet6!$C$5,Sheet6!$C$5,IF(Tim!AV41=Sheet6!$C$6,Sheet6!$C$6,IF(Tim!AV41=Sheet6!$C$7,Sheet6!$C$7,IF(Tim!AV41=Sheet6!$C$8,Sheet6!$C$8,"")))))))</f>
        <v/>
      </c>
      <c r="V39" s="54" t="str">
        <f>IF(Tim!AW41=Sheet6!$C$2,Sheet6!$C$2,IF(Tim!AW41=Sheet6!$C$3,Sheet6!$C$3,IF(Tim!AW41=Sheet6!$C$4,Sheet6!$C$4,IF(Tim!AW41=Sheet6!$C$5,Sheet6!$C$5,IF(Tim!AW41=Sheet6!$C$6,Sheet6!$C$6,IF(Tim!AW41=Sheet6!$C$7,Sheet6!$C$7,IF(Tim!AW41=Sheet6!$C$8,Sheet6!$C$8,"")))))))</f>
        <v/>
      </c>
      <c r="W39" s="55" t="str">
        <f>IF(Tim!AX41=Sheet6!$C$2,Sheet6!$C$2,IF(Tim!AX41=Sheet6!$C$3,Sheet6!$C$3,IF(Tim!AX41=Sheet6!$C$4,Sheet6!$C$4,IF(Tim!AX41=Sheet6!$C$5,Sheet6!$C$5,IF(Tim!AX41=Sheet6!$C$6,Sheet6!$C$6,IF(Tim!AX41=Sheet6!$C$7,Sheet6!$C$7,IF(Tim!AX41=Sheet6!$C$8,Sheet6!$C$8,"")))))))</f>
        <v/>
      </c>
      <c r="X39" s="53" t="str">
        <f>IF(Tim!AY41=Sheet6!$C$2,Sheet6!$C$2,IF(Tim!AY41=Sheet6!$C$3,Sheet6!$C$3,IF(Tim!AY41=Sheet6!$C$4,Sheet6!$C$4,IF(Tim!AY41=Sheet6!$C$5,Sheet6!$C$5,IF(Tim!AY41=Sheet6!$C$6,Sheet6!$C$6,IF(Tim!AY41=Sheet6!$C$7,Sheet6!$C$7,IF(Tim!AY41=Sheet6!$C$8,Sheet6!$C$8,"")))))))</f>
        <v/>
      </c>
      <c r="Y39" s="57" t="str">
        <f>IF(Tim!AZ41=Sheet6!$C$2,Sheet6!$C$2,IF(Tim!AZ41=Sheet6!$C$3,Sheet6!$C$3,IF(Tim!AZ41=Sheet6!$C$4,Sheet6!$C$4,IF(Tim!AZ41=Sheet6!$C$5,Sheet6!$C$5,IF(Tim!AZ41=Sheet6!$C$6,Sheet6!$C$6,IF(Tim!AZ41=Sheet6!$C$7,Sheet6!$C$7,IF(Tim!AZ41=Sheet6!$C$8,Sheet6!$C$8,"")))))))</f>
        <v/>
      </c>
      <c r="Z39" s="57" t="str">
        <f>IF(Tim!BD41=Sheet6!$C$2,Sheet6!$C$2,IF(Tim!BD41=Sheet6!$C$3,Sheet6!$C$3,IF(Tim!BD41=Sheet6!$C$4,Sheet6!$C$4,IF(Tim!BD41=Sheet6!$C$5,Sheet6!$C$5,IF(Tim!BD41=Sheet6!$C$6,Sheet6!$C$6,IF(Tim!BD41=Sheet6!$C$7,Sheet6!$C$7,IF(Tim!BD41=Sheet6!$C$8,Sheet6!$C$8,"")))))))</f>
        <v/>
      </c>
      <c r="AA39" s="57" t="str">
        <f>IF(Tim!BE41=Sheet6!$C$2,Sheet6!$C$2,IF(Tim!BE41=Sheet6!$C$3,Sheet6!$C$3,IF(Tim!BE41=Sheet6!$C$4,Sheet6!$C$4,IF(Tim!BE41=Sheet6!$C$5,Sheet6!$C$5,IF(Tim!BE41=Sheet6!$C$6,Sheet6!$C$6,IF(Tim!BE41=Sheet6!$C$7,Sheet6!$C$7,IF(Tim!BE41=Sheet6!$C$8,Sheet6!$C$8,"")))))))</f>
        <v/>
      </c>
      <c r="AB39" s="57" t="str">
        <f>IF(Tim!BL41=Sheet6!$C$2,Sheet6!$C$2,IF(Tim!BL41=Sheet6!$C$3,Sheet6!$C$3,IF(Tim!BL41=Sheet6!$C$4,Sheet6!$C$4,IF(Tim!BL41=Sheet6!$C$5,Sheet6!$C$5,IF(Tim!BL41=Sheet6!$C$6,Sheet6!$C$6,IF(Tim!BL41=Sheet6!$C$7,Sheet6!$C$7,IF(Tim!BL41=Sheet6!$C$8,Sheet6!$C$8,"")))))))</f>
        <v/>
      </c>
      <c r="AC39" s="53" t="str">
        <f>IF(Tim!BT41=Sheet6!$C$2,Sheet6!$C$2,IF(Tim!BT41=Sheet6!$C$3,Sheet6!$C$3,IF(Tim!BT41=Sheet6!$C$4,Sheet6!$C$4,IF(Tim!BT41=Sheet6!$C$5,Sheet6!$C$5,IF(Tim!BT41=Sheet6!$C$6,Sheet6!$C$6,IF(Tim!BT41=Sheet6!$C$7,Sheet6!$C$7,IF(Tim!BT41=Sheet6!$C$8,Sheet6!$C$8,"")))))))</f>
        <v/>
      </c>
      <c r="AD39" s="181" t="str">
        <f>IF(Tim!BU41=Sheet6!$C$2,Sheet6!$C$2,IF(Tim!BU41=Sheet6!$C$3,Sheet6!$C$3,IF(Tim!BU41=Sheet6!$C$4,Sheet6!$C$4,IF(Tim!BU41=Sheet6!$C$5,Sheet6!$C$5,IF(Tim!BU41=Sheet6!$C$6,Sheet6!$C$6,IF(Tim!BU41=Sheet6!$C$7,Sheet6!$C$7,IF(Tim!BU41=Sheet6!$C$8,Sheet6!$C$8,"")))))))</f>
        <v/>
      </c>
      <c r="AE39" s="181" t="str">
        <f>IF(Tim!CB41=Sheet6!$C$2,Sheet6!$C$2,IF(Tim!CB41=Sheet6!$C$3,Sheet6!$C$3,IF(Tim!CB41=Sheet6!$C$4,Sheet6!$C$4,IF(Tim!CB41=Sheet6!$C$5,Sheet6!$C$5,IF(Tim!CB41=Sheet6!$C$6,Sheet6!$C$6,IF(Tim!CB41=Sheet6!$C$7,Sheet6!$C$7,IF(Tim!CB41=Sheet6!$C$8,Sheet6!$C$8,"")))))))</f>
        <v/>
      </c>
      <c r="AF39" s="181" t="str">
        <f>IF(Tim!CD41=Sheet6!$C$2,Sheet6!$C$2,IF(Tim!CD41=Sheet6!$C$3,Sheet6!$C$3,IF(Tim!CD41=Sheet6!$C$4,Sheet6!$C$4,IF(Tim!CD41=Sheet6!$C$5,Sheet6!$C$5,IF(Tim!CD41=Sheet6!$C$6,Sheet6!$C$6,IF(Tim!CD41=Sheet6!$C$7,Sheet6!$C$7,IF(Tim!CD41=Sheet6!$C$8,Sheet6!$C$8,"")))))))</f>
        <v/>
      </c>
      <c r="AG39" s="53" t="str">
        <f>IF(Tim!CE41=Sheet6!$C$2,Sheet6!$C$2,IF(Tim!CE41=Sheet6!$C$3,Sheet6!$C$3,IF(Tim!CE41=Sheet6!$C$4,Sheet6!$C$4,IF(Tim!CE41=Sheet6!$C$5,Sheet6!$C$5,IF(Tim!CE41=Sheet6!$C$6,Sheet6!$C$6,IF(Tim!CE41=Sheet6!$C$7,Sheet6!$C$7,IF(Tim!CE41=Sheet6!$C$8,Sheet6!$C$8,"")))))))</f>
        <v/>
      </c>
      <c r="AH39" s="53" t="str">
        <f>IF(Tim!CF41=Sheet6!$C$2,Sheet6!$C$2,IF(Tim!CF41=Sheet6!$C$3,Sheet6!$C$3,IF(Tim!CF41=Sheet6!$C$4,Sheet6!$C$4,IF(Tim!CF41=Sheet6!$C$5,Sheet6!$C$5,IF(Tim!CF41=Sheet6!$C$6,Sheet6!$C$6,IF(Tim!CF41=Sheet6!$C$7,Sheet6!$C$7,IF(Tim!CF41=Sheet6!$C$8,Sheet6!$C$8,"")))))))</f>
        <v/>
      </c>
      <c r="AI39" s="53" t="str">
        <f>IF(Tim!CG41=Sheet6!$C$2,Sheet6!$C$2,IF(Tim!CG41=Sheet6!$C$3,Sheet6!$C$3,IF(Tim!CG41=Sheet6!$C$4,Sheet6!$C$4,IF(Tim!CG41=Sheet6!$C$5,Sheet6!$C$5,IF(Tim!CG41=Sheet6!$C$6,Sheet6!$C$6,IF(Tim!CG41=Sheet6!$C$7,Sheet6!$C$7,IF(Tim!CG41=Sheet6!$C$8,Sheet6!$C$8,"")))))))</f>
        <v/>
      </c>
      <c r="AJ39" s="53" t="str">
        <f>IF(Tim!CH41=Sheet6!$C$2,Sheet6!$C$2,IF(Tim!CH41=Sheet6!$C$3,Sheet6!$C$3,IF(Tim!CH41=Sheet6!$C$4,Sheet6!$C$4,IF(Tim!CH41=Sheet6!$C$5,Sheet6!$C$5,IF(Tim!CH41=Sheet6!$C$6,Sheet6!$C$6,IF(Tim!CH41=Sheet6!$C$7,Sheet6!$C$7,IF(Tim!CH41=Sheet6!$C$8,Sheet6!$C$8,"")))))))</f>
        <v/>
      </c>
      <c r="AK39" s="53" t="str">
        <f>IF(Tim!CL41=Sheet6!$C$2,Sheet6!$C$2,IF(Tim!CL41=Sheet6!$C$3,Sheet6!$C$3,IF(Tim!CL41=Sheet6!$C$4,Sheet6!$C$4,IF(Tim!CL41=Sheet6!$C$5,Sheet6!$C$5,IF(Tim!CL41=Sheet6!$C$6,Sheet6!$C$6,IF(Tim!CL41=Sheet6!$C$7,Sheet6!$C$7,IF(Tim!CL41=Sheet6!$C$8,Sheet6!$C$8,"")))))))</f>
        <v/>
      </c>
      <c r="AL39" s="54" t="str">
        <f>IF(Tim!CM41=Sheet6!$C$2,Sheet6!$C$2,IF(Tim!CM41=Sheet6!$C$3,Sheet6!$C$3,IF(Tim!CM41=Sheet6!$C$4,Sheet6!$C$4,IF(Tim!CM41=Sheet6!$C$5,Sheet6!$C$5,IF(Tim!CM41=Sheet6!$C$6,Sheet6!$C$6,IF(Tim!CM41=Sheet6!$C$7,Sheet6!$C$7,IF(Tim!CM41=Sheet6!$C$8,Sheet6!$C$8,"")))))))</f>
        <v/>
      </c>
      <c r="AM39" s="54" t="str">
        <f>IF(Tim!CN41=Sheet6!$C$2,Sheet6!$C$2,IF(Tim!CN41=Sheet6!$C$3,Sheet6!$C$3,IF(Tim!CN41=Sheet6!$C$4,Sheet6!$C$4,IF(Tim!CN41=Sheet6!$C$5,Sheet6!$C$5,IF(Tim!CN41=Sheet6!$C$6,Sheet6!$C$6,IF(Tim!CN41=Sheet6!$C$7,Sheet6!$C$7,IF(Tim!CN41=Sheet6!$C$8,Sheet6!$C$8,"")))))))</f>
        <v/>
      </c>
      <c r="AN39" s="54" t="str">
        <f>IF(Tim!CO41=Sheet6!$C$2,Sheet6!$C$2,IF(Tim!CO41=Sheet6!$C$3,Sheet6!$C$3,IF(Tim!CO41=Sheet6!$C$4,Sheet6!$C$4,IF(Tim!CO41=Sheet6!$C$5,Sheet6!$C$5,IF(Tim!CO41=Sheet6!$C$6,Sheet6!$C$6,IF(Tim!CO41=Sheet6!$C$7,Sheet6!$C$7,IF(Tim!CO41=Sheet6!$C$8,Sheet6!$C$8,"")))))))</f>
        <v/>
      </c>
      <c r="AO39" s="55" t="str">
        <f>IF(Tim!CP41=Sheet6!$C$2,Sheet6!$C$2,IF(Tim!CP41=Sheet6!$C$3,Sheet6!$C$3,IF(Tim!CP41=Sheet6!$C$4,Sheet6!$C$4,IF(Tim!CP41=Sheet6!$C$5,Sheet6!$C$5,IF(Tim!CP41=Sheet6!$C$6,Sheet6!$C$6,IF(Tim!CP41=Sheet6!$C$7,Sheet6!$C$7,IF(Tim!CP41=Sheet6!$C$8,Sheet6!$C$8,"")))))))</f>
        <v/>
      </c>
      <c r="AP39" s="53" t="str">
        <f>IF(Tim!CQ41=Sheet6!$C$2,Sheet6!$C$2,IF(Tim!CQ41=Sheet6!$C$3,Sheet6!$C$3,IF(Tim!CQ41=Sheet6!$C$4,Sheet6!$C$4,IF(Tim!CQ41=Sheet6!$C$5,Sheet6!$C$5,IF(Tim!CQ41=Sheet6!$C$6,Sheet6!$C$6,IF(Tim!CQ41=Sheet6!$C$7,Sheet6!$C$7,IF(Tim!CQ41=Sheet6!$C$8,Sheet6!$C$8,"")))))))</f>
        <v/>
      </c>
      <c r="AQ39" s="57" t="str">
        <f>IF(Tim!CR41=Sheet6!$C$2,Sheet6!$C$2,IF(Tim!CR41=Sheet6!$C$3,Sheet6!$C$3,IF(Tim!CR41=Sheet6!$C$4,Sheet6!$C$4,IF(Tim!CR41=Sheet6!$C$5,Sheet6!$C$5,IF(Tim!CR41=Sheet6!$C$6,Sheet6!$C$6,IF(Tim!CR41=Sheet6!$C$7,Sheet6!$C$7,IF(Tim!CR41=Sheet6!$C$8,Sheet6!$C$8,"")))))))</f>
        <v/>
      </c>
      <c r="AR39" s="57" t="str">
        <f>IF(Tim!CV41=Sheet6!$C$2,Sheet6!$C$2,IF(Tim!CV41=Sheet6!$C$3,Sheet6!$C$3,IF(Tim!CV41=Sheet6!$C$4,Sheet6!$C$4,IF(Tim!CV41=Sheet6!$C$5,Sheet6!$C$5,IF(Tim!CV41=Sheet6!$C$6,Sheet6!$C$6,IF(Tim!CV41=Sheet6!$C$7,Sheet6!$C$7,IF(Tim!CV41=Sheet6!$C$8,Sheet6!$C$8,"")))))))</f>
        <v/>
      </c>
      <c r="AS39" s="57" t="str">
        <f>IF(Tim!CW41=Sheet6!$C$2,Sheet6!$C$2,IF(Tim!CW41=Sheet6!$C$3,Sheet6!$C$3,IF(Tim!CW41=Sheet6!$C$4,Sheet6!$C$4,IF(Tim!CW41=Sheet6!$C$5,Sheet6!$C$5,IF(Tim!CW41=Sheet6!$C$6,Sheet6!$C$6,IF(Tim!CW41=Sheet6!$C$7,Sheet6!$C$7,IF(Tim!CW41=Sheet6!$C$8,Sheet6!$C$8,"")))))))</f>
        <v/>
      </c>
      <c r="AT39" s="57" t="str">
        <f>IF(Tim!DA41=Sheet6!$C$2,Sheet6!$C$2,IF(Tim!DA41=Sheet6!$C$3,Sheet6!$C$3,IF(Tim!DA41=Sheet6!$C$4,Sheet6!$C$4,IF(Tim!DA41=Sheet6!$C$5,Sheet6!$C$5,IF(Tim!DA41=Sheet6!$C$6,Sheet6!$C$6,IF(Tim!DA41=Sheet6!$C$7,Sheet6!$C$7,IF(Tim!DA41=Sheet6!$C$8,Sheet6!$C$8,"")))))))</f>
        <v/>
      </c>
      <c r="AU39" s="53" t="str">
        <f>IF(Tim!DO41=Sheet6!$C$2,Sheet6!$C$2,IF(Tim!DO41=Sheet6!$C$3,Sheet6!$C$3,IF(Tim!DO41=Sheet6!$C$4,Sheet6!$C$4,IF(Tim!DO41=Sheet6!$C$5,Sheet6!$C$5,IF(Tim!DO41=Sheet6!$C$6,Sheet6!$C$6,IF(Tim!DO41=Sheet6!$C$7,Sheet6!$C$7,IF(Tim!DO41=Sheet6!$C$8,Sheet6!$C$8,"")))))))</f>
        <v/>
      </c>
      <c r="AV39" s="181" t="str">
        <f>IF(Tim!DP41=Sheet6!$C$2,Sheet6!$C$2,IF(Tim!DP41=Sheet6!$C$3,Sheet6!$C$3,IF(Tim!DP41=Sheet6!$C$4,Sheet6!$C$4,IF(Tim!DP41=Sheet6!$C$5,Sheet6!$C$5,IF(Tim!DP41=Sheet6!$C$6,Sheet6!$C$6,IF(Tim!DP41=Sheet6!$C$7,Sheet6!$C$7,IF(Tim!DP41=Sheet6!$C$8,Sheet6!$C$8,"")))))))</f>
        <v/>
      </c>
      <c r="AW39" s="181" t="str">
        <f>IF(Tim!DX41=Sheet6!$C$2,Sheet6!$C$2,IF(Tim!DX41=Sheet6!$C$3,Sheet6!$C$3,IF(Tim!DX41=Sheet6!$C$4,Sheet6!$C$4,IF(Tim!DX41=Sheet6!$C$5,Sheet6!$C$5,IF(Tim!DX41=Sheet6!$C$6,Sheet6!$C$6,IF(Tim!DX41=Sheet6!$C$7,Sheet6!$C$7,IF(Tim!DX41=Sheet6!$C$8,Sheet6!$C$8,"")))))))</f>
        <v/>
      </c>
      <c r="AX39" s="181" t="str">
        <f>IF(Tim!DY41=Sheet6!$C$2,Sheet6!$C$2,IF(Tim!DY41=Sheet6!$C$3,Sheet6!$C$3,IF(Tim!DY41=Sheet6!$C$4,Sheet6!$C$4,IF(Tim!DY41=Sheet6!$C$5,Sheet6!$C$5,IF(Tim!DY41=Sheet6!$C$6,Sheet6!$C$6,IF(Tim!DY41=Sheet6!$C$7,Sheet6!$C$7,IF(Tim!DY41=Sheet6!$C$8,Sheet6!$C$8,"")))))))</f>
        <v/>
      </c>
      <c r="AY39" s="53" t="str">
        <f>IF(Tim!DZ41=Sheet6!$C$2,Sheet6!$C$2,IF(Tim!DZ41=Sheet6!$C$3,Sheet6!$C$3,IF(Tim!DZ41=Sheet6!$C$4,Sheet6!$C$4,IF(Tim!DZ41=Sheet6!$C$5,Sheet6!$C$5,IF(Tim!DZ41=Sheet6!$C$6,Sheet6!$C$6,IF(Tim!DZ41=Sheet6!$C$7,Sheet6!$C$7,IF(Tim!DZ41=Sheet6!$C$8,Sheet6!$C$8,"")))))))</f>
        <v/>
      </c>
      <c r="AZ39" s="53" t="str">
        <f>IF(Tim!EA41=Sheet6!$C$2,Sheet6!$C$2,IF(Tim!EA41=Sheet6!$C$3,Sheet6!$C$3,IF(Tim!EA41=Sheet6!$C$4,Sheet6!$C$4,IF(Tim!EA41=Sheet6!$C$5,Sheet6!$C$5,IF(Tim!EA41=Sheet6!$C$6,Sheet6!$C$6,IF(Tim!EA41=Sheet6!$C$7,Sheet6!$C$7,IF(Tim!EA41=Sheet6!$C$8,Sheet6!$C$8,"")))))))</f>
        <v/>
      </c>
      <c r="BA39" s="53" t="str">
        <f>IF(Tim!EB41=Sheet6!$C$2,Sheet6!$C$2,IF(Tim!EB41=Sheet6!$C$3,Sheet6!$C$3,IF(Tim!EB41=Sheet6!$C$4,Sheet6!$C$4,IF(Tim!EB41=Sheet6!$C$5,Sheet6!$C$5,IF(Tim!EB41=Sheet6!$C$6,Sheet6!$C$6,IF(Tim!EB41=Sheet6!$C$7,Sheet6!$C$7,IF(Tim!EB41=Sheet6!$C$8,Sheet6!$C$8,"")))))))</f>
        <v/>
      </c>
      <c r="BB39" s="53" t="str">
        <f>IF(Tim!EC41=Sheet6!$C$2,Sheet6!$C$2,IF(Tim!EC41=Sheet6!$C$3,Sheet6!$C$3,IF(Tim!EC41=Sheet6!$C$4,Sheet6!$C$4,IF(Tim!EC41=Sheet6!$C$5,Sheet6!$C$5,IF(Tim!EC41=Sheet6!$C$6,Sheet6!$C$6,IF(Tim!EC41=Sheet6!$C$7,Sheet6!$C$7,IF(Tim!EC41=Sheet6!$C$8,Sheet6!$C$8,"")))))))</f>
        <v/>
      </c>
      <c r="BC39" s="53" t="str">
        <f>IF(Tim!EG41=Sheet6!$C$2,Sheet6!$C$2,IF(Tim!EG41=Sheet6!$C$3,Sheet6!$C$3,IF(Tim!EG41=Sheet6!$C$4,Sheet6!$C$4,IF(Tim!EG41=Sheet6!$C$5,Sheet6!$C$5,IF(Tim!EG41=Sheet6!$C$6,Sheet6!$C$6,IF(Tim!EG41=Sheet6!$C$7,Sheet6!$C$7,IF(Tim!EG41=Sheet6!$C$8,Sheet6!$C$8,"")))))))</f>
        <v/>
      </c>
      <c r="BD39" s="54" t="str">
        <f>IF(Tim!EH41=Sheet6!$C$2,Sheet6!$C$2,IF(Tim!EH41=Sheet6!$C$3,Sheet6!$C$3,IF(Tim!EH41=Sheet6!$C$4,Sheet6!$C$4,IF(Tim!EH41=Sheet6!$C$5,Sheet6!$C$5,IF(Tim!EH41=Sheet6!$C$6,Sheet6!$C$6,IF(Tim!EH41=Sheet6!$C$7,Sheet6!$C$7,IF(Tim!EH41=Sheet6!$C$8,Sheet6!$C$8,"")))))))</f>
        <v/>
      </c>
      <c r="BE39" s="54" t="str">
        <f>IF(Tim!EI41=Sheet6!$C$2,Sheet6!$C$2,IF(Tim!EI41=Sheet6!$C$3,Sheet6!$C$3,IF(Tim!EI41=Sheet6!$C$4,Sheet6!$C$4,IF(Tim!EI41=Sheet6!$C$5,Sheet6!$C$5,IF(Tim!EI41=Sheet6!$C$6,Sheet6!$C$6,IF(Tim!EI41=Sheet6!$C$7,Sheet6!$C$7,IF(Tim!EI41=Sheet6!$C$8,Sheet6!$C$8,"")))))))</f>
        <v/>
      </c>
      <c r="BF39" s="54" t="str">
        <f>IF(Tim!EJ41=Sheet6!$C$2,Sheet6!$C$2,IF(Tim!EJ41=Sheet6!$C$3,Sheet6!$C$3,IF(Tim!EJ41=Sheet6!$C$4,Sheet6!$C$4,IF(Tim!EJ41=Sheet6!$C$5,Sheet6!$C$5,IF(Tim!EJ41=Sheet6!$C$6,Sheet6!$C$6,IF(Tim!EJ41=Sheet6!$C$7,Sheet6!$C$7,IF(Tim!EJ41=Sheet6!$C$8,Sheet6!$C$8,"")))))))</f>
        <v/>
      </c>
      <c r="BG39" s="55" t="str">
        <f>IF(Tim!EK41=Sheet6!$C$2,Sheet6!$C$2,IF(Tim!EK41=Sheet6!$C$3,Sheet6!$C$3,IF(Tim!EK41=Sheet6!$C$4,Sheet6!$C$4,IF(Tim!EK41=Sheet6!$C$5,Sheet6!$C$5,IF(Tim!EK41=Sheet6!$C$6,Sheet6!$C$6,IF(Tim!EK41=Sheet6!$C$7,Sheet6!$C$7,IF(Tim!EK41=Sheet6!$C$8,Sheet6!$C$8,"")))))))</f>
        <v/>
      </c>
      <c r="BH39" s="53" t="str">
        <f>IF(Tim!EL41=Sheet6!$C$2,Sheet6!$C$2,IF(Tim!EL41=Sheet6!$C$3,Sheet6!$C$3,IF(Tim!EL41=Sheet6!$C$4,Sheet6!$C$4,IF(Tim!EL41=Sheet6!$C$5,Sheet6!$C$5,IF(Tim!EL41=Sheet6!$C$6,Sheet6!$C$6,IF(Tim!EL41=Sheet6!$C$7,Sheet6!$C$7,IF(Tim!EL41=Sheet6!$C$8,Sheet6!$C$8,"")))))))</f>
        <v/>
      </c>
      <c r="BI39" s="57" t="str">
        <f>IF(Tim!EM41=Sheet6!$C$2,Sheet6!$C$2,IF(Tim!EM41=Sheet6!$C$3,Sheet6!$C$3,IF(Tim!EM41=Sheet6!$C$4,Sheet6!$C$4,IF(Tim!EM41=Sheet6!$C$5,Sheet6!$C$5,IF(Tim!EM41=Sheet6!$C$6,Sheet6!$C$6,IF(Tim!EM41=Sheet6!$C$7,Sheet6!$C$7,IF(Tim!EM41=Sheet6!$C$8,Sheet6!$C$8,"")))))))</f>
        <v/>
      </c>
      <c r="BJ39" s="57" t="str">
        <f>IF(Tim!EQ41=Sheet6!$C$2,Sheet6!$C$2,IF(Tim!EQ41=Sheet6!$C$3,Sheet6!$C$3,IF(Tim!EQ41=Sheet6!$C$4,Sheet6!$C$4,IF(Tim!EQ41=Sheet6!$C$5,Sheet6!$C$5,IF(Tim!EQ41=Sheet6!$C$6,Sheet6!$C$6,IF(Tim!EQ41=Sheet6!$C$7,Sheet6!$C$7,IF(Tim!EQ41=Sheet6!$C$8,Sheet6!$C$8,"")))))))</f>
        <v/>
      </c>
      <c r="BK39" s="57" t="str">
        <f>IF(Tim!ER41=Sheet6!$C$2,Sheet6!$C$2,IF(Tim!ER41=Sheet6!$C$3,Sheet6!$C$3,IF(Tim!ER41=Sheet6!$C$4,Sheet6!$C$4,IF(Tim!ER41=Sheet6!$C$5,Sheet6!$C$5,IF(Tim!ER41=Sheet6!$C$6,Sheet6!$C$6,IF(Tim!ER41=Sheet6!$C$7,Sheet6!$C$7,IF(Tim!ER41=Sheet6!$C$8,Sheet6!$C$8,"")))))))</f>
        <v/>
      </c>
      <c r="BL39" s="57" t="str">
        <f>IF(Tim!EZ41=Sheet6!$C$2,Sheet6!$C$2,IF(Tim!EZ41=Sheet6!$C$3,Sheet6!$C$3,IF(Tim!EZ41=Sheet6!$C$4,Sheet6!$C$4,IF(Tim!EZ41=Sheet6!$C$5,Sheet6!$C$5,IF(Tim!EZ41=Sheet6!$C$6,Sheet6!$C$6,IF(Tim!EZ41=Sheet6!$C$7,Sheet6!$C$7,IF(Tim!EZ41=Sheet6!$C$8,Sheet6!$C$8,"")))))))</f>
        <v/>
      </c>
      <c r="BM39" s="53" t="str">
        <f>IF(Tim!FG41=Sheet6!$C$2,Sheet6!$C$2,IF(Tim!FG41=Sheet6!$C$3,Sheet6!$C$3,IF(Tim!FG41=Sheet6!$C$4,Sheet6!$C$4,IF(Tim!FG41=Sheet6!$C$5,Sheet6!$C$5,IF(Tim!FG41=Sheet6!$C$6,Sheet6!$C$6,IF(Tim!FG41=Sheet6!$C$7,Sheet6!$C$7,IF(Tim!FG41=Sheet6!$C$8,Sheet6!$C$8,"")))))))</f>
        <v/>
      </c>
      <c r="BN39" s="181" t="str">
        <f>IF(Tim!FH41=Sheet6!$C$2,Sheet6!$C$2,IF(Tim!FH41=Sheet6!$C$3,Sheet6!$C$3,IF(Tim!FH41=Sheet6!$C$4,Sheet6!$C$4,IF(Tim!FH41=Sheet6!$C$5,Sheet6!$C$5,IF(Tim!FH41=Sheet6!$C$6,Sheet6!$C$6,IF(Tim!FH41=Sheet6!$C$7,Sheet6!$C$7,IF(Tim!FH41=Sheet6!$C$8,Sheet6!$C$8,"")))))))</f>
        <v/>
      </c>
      <c r="BO39" s="181" t="str">
        <f>IF(Tim!FP41=Sheet6!$C$2,Sheet6!$C$2,IF(Tim!FP41=Sheet6!$C$3,Sheet6!$C$3,IF(Tim!FP41=Sheet6!$C$4,Sheet6!$C$4,IF(Tim!FP41=Sheet6!$C$5,Sheet6!$C$5,IF(Tim!FP41=Sheet6!$C$6,Sheet6!$C$6,IF(Tim!FP41=Sheet6!$C$7,Sheet6!$C$7,IF(Tim!FP41=Sheet6!$C$8,Sheet6!$C$8,"")))))))</f>
        <v/>
      </c>
      <c r="BP39" s="181" t="str">
        <f>IF(Tim!FQ41=Sheet6!$C$2,Sheet6!$C$2,IF(Tim!FQ41=Sheet6!$C$3,Sheet6!$C$3,IF(Tim!FQ41=Sheet6!$C$4,Sheet6!$C$4,IF(Tim!FQ41=Sheet6!$C$5,Sheet6!$C$5,IF(Tim!FQ41=Sheet6!$C$6,Sheet6!$C$6,IF(Tim!FQ41=Sheet6!$C$7,Sheet6!$C$7,IF(Tim!FQ41=Sheet6!$C$8,Sheet6!$C$8,"")))))))</f>
        <v/>
      </c>
      <c r="BQ39" s="53" t="str">
        <f>IF(Tim!FR41=Sheet6!$C$2,Sheet6!$C$2,IF(Tim!FR41=Sheet6!$C$3,Sheet6!$C$3,IF(Tim!FR41=Sheet6!$C$4,Sheet6!$C$4,IF(Tim!FR41=Sheet6!$C$5,Sheet6!$C$5,IF(Tim!FR41=Sheet6!$C$6,Sheet6!$C$6,IF(Tim!FR41=Sheet6!$C$7,Sheet6!$C$7,IF(Tim!FR41=Sheet6!$C$8,Sheet6!$C$8,"")))))))</f>
        <v/>
      </c>
      <c r="BR39" s="53" t="str">
        <f>IF(Tim!FS41=Sheet6!$C$2,Sheet6!$C$2,IF(Tim!FS41=Sheet6!$C$3,Sheet6!$C$3,IF(Tim!FS41=Sheet6!$C$4,Sheet6!$C$4,IF(Tim!FS41=Sheet6!$C$5,Sheet6!$C$5,IF(Tim!FS41=Sheet6!$C$6,Sheet6!$C$6,IF(Tim!FS41=Sheet6!$C$7,Sheet6!$C$7,IF(Tim!FS41=Sheet6!$C$8,Sheet6!$C$8,"")))))))</f>
        <v/>
      </c>
      <c r="BS39" s="53" t="str">
        <f>IF(Tim!FT41=Sheet6!$C$2,Sheet6!$C$2,IF(Tim!FT41=Sheet6!$C$3,Sheet6!$C$3,IF(Tim!FT41=Sheet6!$C$4,Sheet6!$C$4,IF(Tim!FT41=Sheet6!$C$5,Sheet6!$C$5,IF(Tim!FT41=Sheet6!$C$6,Sheet6!$C$6,IF(Tim!FT41=Sheet6!$C$7,Sheet6!$C$7,IF(Tim!FT41=Sheet6!$C$8,Sheet6!$C$8,"")))))))</f>
        <v/>
      </c>
      <c r="BT39" s="53" t="str">
        <f>IF(Tim!FU41=Sheet6!$C$2,Sheet6!$C$2,IF(Tim!FU41=Sheet6!$C$3,Sheet6!$C$3,IF(Tim!FU41=Sheet6!$C$4,Sheet6!$C$4,IF(Tim!FU41=Sheet6!$C$5,Sheet6!$C$5,IF(Tim!FU41=Sheet6!$C$6,Sheet6!$C$6,IF(Tim!FU41=Sheet6!$C$7,Sheet6!$C$7,IF(Tim!FU41=Sheet6!$C$8,Sheet6!$C$8,"")))))))</f>
        <v/>
      </c>
      <c r="BU39" s="53" t="str">
        <f>IF(Tim!FY41=Sheet6!$C$2,Sheet6!$C$2,IF(Tim!FY41=Sheet6!$C$3,Sheet6!$C$3,IF(Tim!FY41=Sheet6!$C$4,Sheet6!$C$4,IF(Tim!FY41=Sheet6!$C$5,Sheet6!$C$5,IF(Tim!FY41=Sheet6!$C$6,Sheet6!$C$6,IF(Tim!FY41=Sheet6!$C$7,Sheet6!$C$7,IF(Tim!FY41=Sheet6!$C$8,Sheet6!$C$8,"")))))))</f>
        <v/>
      </c>
      <c r="BV39" s="54" t="str">
        <f>IF(Tim!FZ41=Sheet6!$C$2,Sheet6!$C$2,IF(Tim!FZ41=Sheet6!$C$3,Sheet6!$C$3,IF(Tim!FZ41=Sheet6!$C$4,Sheet6!$C$4,IF(Tim!FZ41=Sheet6!$C$5,Sheet6!$C$5,IF(Tim!FZ41=Sheet6!$C$6,Sheet6!$C$6,IF(Tim!FZ41=Sheet6!$C$7,Sheet6!$C$7,IF(Tim!FZ41=Sheet6!$C$8,Sheet6!$C$8,"")))))))</f>
        <v/>
      </c>
      <c r="BW39" s="54" t="str">
        <f>IF(Tim!GA41=Sheet6!$C$2,Sheet6!$C$2,IF(Tim!GA41=Sheet6!$C$3,Sheet6!$C$3,IF(Tim!GA41=Sheet6!$C$4,Sheet6!$C$4,IF(Tim!GA41=Sheet6!$C$5,Sheet6!$C$5,IF(Tim!GA41=Sheet6!$C$6,Sheet6!$C$6,IF(Tim!GA41=Sheet6!$C$7,Sheet6!$C$7,IF(Tim!GA41=Sheet6!$C$8,Sheet6!$C$8,"")))))))</f>
        <v/>
      </c>
      <c r="BX39" s="54" t="str">
        <f>IF(Tim!GB41=Sheet6!$C$2,Sheet6!$C$2,IF(Tim!GB41=Sheet6!$C$3,Sheet6!$C$3,IF(Tim!GB41=Sheet6!$C$4,Sheet6!$C$4,IF(Tim!GB41=Sheet6!$C$5,Sheet6!$C$5,IF(Tim!GB41=Sheet6!$C$6,Sheet6!$C$6,IF(Tim!GB41=Sheet6!$C$7,Sheet6!$C$7,IF(Tim!GB41=Sheet6!$C$8,Sheet6!$C$8,"")))))))</f>
        <v/>
      </c>
      <c r="BY39" s="55" t="str">
        <f>IF(Tim!GC41=Sheet6!$C$2,Sheet6!$C$2,IF(Tim!GC41=Sheet6!$C$3,Sheet6!$C$3,IF(Tim!GC41=Sheet6!$C$4,Sheet6!$C$4,IF(Tim!GC41=Sheet6!$C$5,Sheet6!$C$5,IF(Tim!GC41=Sheet6!$C$6,Sheet6!$C$6,IF(Tim!GC41=Sheet6!$C$7,Sheet6!$C$7,IF(Tim!GC41=Sheet6!$C$8,Sheet6!$C$8,"")))))))</f>
        <v/>
      </c>
      <c r="BZ39" s="53" t="str">
        <f>IF(Tim!GD41=Sheet6!$C$2,Sheet6!$C$2,IF(Tim!GD41=Sheet6!$C$3,Sheet6!$C$3,IF(Tim!GD41=Sheet6!$C$4,Sheet6!$C$4,IF(Tim!GD41=Sheet6!$C$5,Sheet6!$C$5,IF(Tim!GD41=Sheet6!$C$6,Sheet6!$C$6,IF(Tim!GD41=Sheet6!$C$7,Sheet6!$C$7,IF(Tim!GD41=Sheet6!$C$8,Sheet6!$C$8,"")))))))</f>
        <v/>
      </c>
      <c r="CA39" s="53" t="str">
        <f>IF(Tim!GE41=Sheet6!$C$2,Sheet6!$C$2,IF(Tim!GE41=Sheet6!$C$3,Sheet6!$C$3,IF(Tim!GE41=Sheet6!$C$4,Sheet6!$C$4,IF(Tim!GE41=Sheet6!$C$5,Sheet6!$C$5,IF(Tim!GE41=Sheet6!$C$6,Sheet6!$C$6,IF(Tim!GE41=Sheet6!$C$7,Sheet6!$C$7,IF(Tim!GE41=Sheet6!$C$8,Sheet6!$C$8,"")))))))</f>
        <v/>
      </c>
      <c r="CB39" s="57" t="str">
        <f>IF(Tim!GI41=Sheet6!$C$2,Sheet6!$C$2,IF(Tim!GI41=Sheet6!$C$3,Sheet6!$C$3,IF(Tim!GI41=Sheet6!$C$4,Sheet6!$C$4,IF(Tim!GI41=Sheet6!$C$5,Sheet6!$C$5,IF(Tim!GI41=Sheet6!$C$6,Sheet6!$C$6,IF(Tim!GI41=Sheet6!$C$7,Sheet6!$C$7,IF(Tim!GI41=Sheet6!$C$8,Sheet6!$C$8,"")))))))</f>
        <v/>
      </c>
      <c r="CC39" s="57" t="str">
        <f>IF(Tim!GJ41=Sheet6!$C$2,Sheet6!$C$2,IF(Tim!GJ41=Sheet6!$C$3,Sheet6!$C$3,IF(Tim!GJ41=Sheet6!$C$4,Sheet6!$C$4,IF(Tim!GJ41=Sheet6!$C$5,Sheet6!$C$5,IF(Tim!GJ41=Sheet6!$C$6,Sheet6!$C$6,IF(Tim!GJ41=Sheet6!$C$7,Sheet6!$C$7,IF(Tim!GJ41=Sheet6!$C$8,Sheet6!$C$8,"")))))))</f>
        <v/>
      </c>
      <c r="CD39" s="57" t="str">
        <f>IF(Tim!GN41=Sheet6!$C$2,Sheet6!$C$2,IF(Tim!GN41=Sheet6!$C$3,Sheet6!$C$3,IF(Tim!GN41=Sheet6!$C$4,Sheet6!$C$4,IF(Tim!GN41=Sheet6!$C$5,Sheet6!$C$5,IF(Tim!GN41=Sheet6!$C$6,Sheet6!$C$6,IF(Tim!GN41=Sheet6!$C$7,Sheet6!$C$7,IF(Tim!GN41=Sheet6!$C$8,Sheet6!$C$8,"")))))))</f>
        <v/>
      </c>
      <c r="CE39" s="53" t="str">
        <f>IF(Tim!GY41=Sheet6!$C$2,Sheet6!$C$2,IF(Tim!GY41=Sheet6!$C$3,Sheet6!$C$3,IF(Tim!GY41=Sheet6!$C$4,Sheet6!$C$4,IF(Tim!GY41=Sheet6!$C$5,Sheet6!$C$5,IF(Tim!GY41=Sheet6!$C$6,Sheet6!$C$6,IF(Tim!GY41=Sheet6!$C$7,Sheet6!$C$7,IF(Tim!GY41=Sheet6!$C$8,Sheet6!$C$8,"")))))))</f>
        <v/>
      </c>
      <c r="CF39" s="181" t="str">
        <f>IF(Tim!GZ41=Sheet6!$C$2,Sheet6!$C$2,IF(Tim!GZ41=Sheet6!$C$3,Sheet6!$C$3,IF(Tim!GZ41=Sheet6!$C$4,Sheet6!$C$4,IF(Tim!GZ41=Sheet6!$C$5,Sheet6!$C$5,IF(Tim!GZ41=Sheet6!$C$6,Sheet6!$C$6,IF(Tim!GZ41=Sheet6!$C$7,Sheet6!$C$7,IF(Tim!GZ41=Sheet6!$C$8,Sheet6!$C$8,"")))))))</f>
        <v/>
      </c>
      <c r="CG39" s="181" t="str">
        <f>IF(Tim!HH41=Sheet6!$C$2,Sheet6!$C$2,IF(Tim!HH41=Sheet6!$C$3,Sheet6!$C$3,IF(Tim!HH41=Sheet6!$C$4,Sheet6!$C$4,IF(Tim!HH41=Sheet6!$C$5,Sheet6!$C$5,IF(Tim!HH41=Sheet6!$C$6,Sheet6!$C$6,IF(Tim!HH41=Sheet6!$C$7,Sheet6!$C$7,IF(Tim!HH41=Sheet6!$C$8,Sheet6!$C$8,"")))))))</f>
        <v/>
      </c>
      <c r="CH39" s="181" t="str">
        <f>IF(Tim!HI41=Sheet6!$C$2,Sheet6!$C$2,IF(Tim!HI41=Sheet6!$C$3,Sheet6!$C$3,IF(Tim!HI41=Sheet6!$C$4,Sheet6!$C$4,IF(Tim!HI41=Sheet6!$C$5,Sheet6!$C$5,IF(Tim!HI41=Sheet6!$C$6,Sheet6!$C$6,IF(Tim!HI41=Sheet6!$C$7,Sheet6!$C$7,IF(Tim!HI41=Sheet6!$C$8,Sheet6!$C$8,"")))))))</f>
        <v/>
      </c>
      <c r="CI39" s="53" t="str">
        <f>IF(Tim!HJ41=Sheet6!$C$2,Sheet6!$C$2,IF(Tim!HJ41=Sheet6!$C$3,Sheet6!$C$3,IF(Tim!HJ41=Sheet6!$C$4,Sheet6!$C$4,IF(Tim!HJ41=Sheet6!$C$5,Sheet6!$C$5,IF(Tim!HJ41=Sheet6!$C$6,Sheet6!$C$6,IF(Tim!HJ41=Sheet6!$C$7,Sheet6!$C$7,IF(Tim!HJ41=Sheet6!$C$8,Sheet6!$C$8,"")))))))</f>
        <v/>
      </c>
      <c r="CJ39" s="53" t="str">
        <f>IF(Tim!HK41=Sheet6!$C$2,Sheet6!$C$2,IF(Tim!HK41=Sheet6!$C$3,Sheet6!$C$3,IF(Tim!HK41=Sheet6!$C$4,Sheet6!$C$4,IF(Tim!HK41=Sheet6!$C$5,Sheet6!$C$5,IF(Tim!HK41=Sheet6!$C$6,Sheet6!$C$6,IF(Tim!HK41=Sheet6!$C$7,Sheet6!$C$7,IF(Tim!HK41=Sheet6!$C$8,Sheet6!$C$8,"")))))))</f>
        <v/>
      </c>
      <c r="CK39" s="53" t="str">
        <f>IF(Tim!HL41=Sheet6!$C$2,Sheet6!$C$2,IF(Tim!HL41=Sheet6!$C$3,Sheet6!$C$3,IF(Tim!HL41=Sheet6!$C$4,Sheet6!$C$4,IF(Tim!HL41=Sheet6!$C$5,Sheet6!$C$5,IF(Tim!HL41=Sheet6!$C$6,Sheet6!$C$6,IF(Tim!HL41=Sheet6!$C$7,Sheet6!$C$7,IF(Tim!HL41=Sheet6!$C$8,Sheet6!$C$8,"")))))))</f>
        <v/>
      </c>
      <c r="CL39" s="53" t="str">
        <f>IF(Tim!HM41=Sheet6!$C$2,Sheet6!$C$2,IF(Tim!HM41=Sheet6!$C$3,Sheet6!$C$3,IF(Tim!HM41=Sheet6!$C$4,Sheet6!$C$4,IF(Tim!HM41=Sheet6!$C$5,Sheet6!$C$5,IF(Tim!HM41=Sheet6!$C$6,Sheet6!$C$6,IF(Tim!HM41=Sheet6!$C$7,Sheet6!$C$7,IF(Tim!HM41=Sheet6!$C$8,Sheet6!$C$8,"")))))))</f>
        <v/>
      </c>
      <c r="CM39" s="53" t="str">
        <f>IF(Tim!HQ41=Sheet6!$C$2,Sheet6!$C$2,IF(Tim!HQ41=Sheet6!$C$3,Sheet6!$C$3,IF(Tim!HQ41=Sheet6!$C$4,Sheet6!$C$4,IF(Tim!HQ41=Sheet6!$C$5,Sheet6!$C$5,IF(Tim!HQ41=Sheet6!$C$6,Sheet6!$C$6,IF(Tim!HQ41=Sheet6!$C$7,Sheet6!$C$7,IF(Tim!HQ41=Sheet6!$C$8,Sheet6!$C$8,"")))))))</f>
        <v/>
      </c>
      <c r="CN39" s="54" t="str">
        <f>IF(Tim!HR41=Sheet6!$C$2,Sheet6!$C$2,IF(Tim!HR41=Sheet6!$C$3,Sheet6!$C$3,IF(Tim!HR41=Sheet6!$C$4,Sheet6!$C$4,IF(Tim!HR41=Sheet6!$C$5,Sheet6!$C$5,IF(Tim!HR41=Sheet6!$C$6,Sheet6!$C$6,IF(Tim!HR41=Sheet6!$C$7,Sheet6!$C$7,IF(Tim!HR41=Sheet6!$C$8,Sheet6!$C$8,"")))))))</f>
        <v/>
      </c>
      <c r="CO39" s="54" t="str">
        <f>IF(Tim!HS41=Sheet6!$C$2,Sheet6!$C$2,IF(Tim!HS41=Sheet6!$C$3,Sheet6!$C$3,IF(Tim!HS41=Sheet6!$C$4,Sheet6!$C$4,IF(Tim!HS41=Sheet6!$C$5,Sheet6!$C$5,IF(Tim!HS41=Sheet6!$C$6,Sheet6!$C$6,IF(Tim!HS41=Sheet6!$C$7,Sheet6!$C$7,IF(Tim!HS41=Sheet6!$C$8,Sheet6!$C$8,"")))))))</f>
        <v/>
      </c>
      <c r="CP39" s="54" t="str">
        <f>IF(Tim!HT41=Sheet6!$C$2,Sheet6!$C$2,IF(Tim!HT41=Sheet6!$C$3,Sheet6!$C$3,IF(Tim!HT41=Sheet6!$C$4,Sheet6!$C$4,IF(Tim!HT41=Sheet6!$C$5,Sheet6!$C$5,IF(Tim!HT41=Sheet6!$C$6,Sheet6!$C$6,IF(Tim!HT41=Sheet6!$C$7,Sheet6!$C$7,IF(Tim!HT41=Sheet6!$C$8,Sheet6!$C$8,"")))))))</f>
        <v/>
      </c>
      <c r="CQ39" s="55" t="str">
        <f>IF(Tim!HU41=Sheet6!$C$2,Sheet6!$C$2,IF(Tim!HU41=Sheet6!$C$3,Sheet6!$C$3,IF(Tim!HU41=Sheet6!$C$4,Sheet6!$C$4,IF(Tim!HU41=Sheet6!$C$5,Sheet6!$C$5,IF(Tim!HU41=Sheet6!$C$6,Sheet6!$C$6,IF(Tim!HU41=Sheet6!$C$7,Sheet6!$C$7,IF(Tim!HU41=Sheet6!$C$8,Sheet6!$C$8,"")))))))</f>
        <v/>
      </c>
      <c r="CR39" s="56" t="str">
        <f>IF(Tim!HV41=Sheet6!$C$2,Sheet6!$C$2,IF(Tim!HV41=Sheet6!$C$3,Sheet6!$C$3,IF(Tim!HV41=Sheet6!$C$4,Sheet6!$C$4,IF(Tim!HV41=Sheet6!$C$5,Sheet6!$C$5,IF(Tim!HV41=Sheet6!$C$6,Sheet6!$C$6,IF(Tim!HV41=Sheet6!$C$7,Sheet6!$C$7,IF(Tim!HV41=Sheet6!$C$8,Sheet6!$C$8,"")))))))</f>
        <v/>
      </c>
      <c r="CS39" s="57" t="str">
        <f>IF(Tim!IB41=Sheet6!$C$2,Sheet6!$C$2,IF(Tim!IB41=Sheet6!$C$3,Sheet6!$C$3,IF(Tim!IB41=Sheet6!$C$4,Sheet6!$C$4,IF(Tim!IB41=Sheet6!$C$5,Sheet6!$C$5,IF(Tim!IB41=Sheet6!$C$6,Sheet6!$C$6,IF(Tim!IB41=Sheet6!$C$7,Sheet6!$C$7,IF(Tim!IB41=Sheet6!$C$8,Sheet6!$C$8,"")))))))</f>
        <v/>
      </c>
      <c r="CT39" s="57" t="str">
        <f>IF(Tim!IJ41=Sheet6!$C$2,Sheet6!$C$2,IF(Tim!IJ41=Sheet6!$C$3,Sheet6!$C$3,IF(Tim!IJ41=Sheet6!$C$4,Sheet6!$C$4,IF(Tim!IJ41=Sheet6!$C$5,Sheet6!$C$5,IF(Tim!IJ41=Sheet6!$C$6,Sheet6!$C$6,IF(Tim!IJ41=Sheet6!$C$7,Sheet6!$C$7,IF(Tim!IJ41=Sheet6!$C$8,Sheet6!$C$8,"")))))))</f>
        <v/>
      </c>
      <c r="CU39" s="57" t="str">
        <f>IF(Tim!IQ41=Sheet6!$C$2,Sheet6!$C$2,IF(Tim!IQ41=Sheet6!$C$3,Sheet6!$C$3,IF(Tim!IQ41=Sheet6!$C$4,Sheet6!$C$4,IF(Tim!IQ41=Sheet6!$C$5,Sheet6!$C$5,IF(Tim!IQ41=Sheet6!$C$6,Sheet6!$C$6,IF(Tim!IQ41=Sheet6!$C$7,Sheet6!$C$7,IF(Tim!IQ41=Sheet6!$C$8,Sheet6!$C$8,"")))))))</f>
        <v/>
      </c>
      <c r="CV39" s="53" t="str">
        <f>IF(Tim!IR41=Sheet6!$C$2,Sheet6!$C$2,IF(Tim!IR41=Sheet6!$C$3,Sheet6!$C$3,IF(Tim!IR41=Sheet6!$C$4,Sheet6!$C$4,IF(Tim!IR41=Sheet6!$C$5,Sheet6!$C$5,IF(Tim!IR41=Sheet6!$C$6,Sheet6!$C$6,IF(Tim!IR41=Sheet6!$C$7,Sheet6!$C$7,IF(Tim!IR41=Sheet6!$C$8,Sheet6!$C$8,"")))))))</f>
        <v/>
      </c>
      <c r="CW39" s="53" t="str">
        <f>IF(Tim!IZ41=Sheet6!$C$2,Sheet6!$C$2,IF(Tim!IZ41=Sheet6!$C$3,Sheet6!$C$3,IF(Tim!IZ41=Sheet6!$C$4,Sheet6!$C$4,IF(Tim!IZ41=Sheet6!$C$5,Sheet6!$C$5,IF(Tim!IZ41=Sheet6!$C$6,Sheet6!$C$6,IF(Tim!IZ41=Sheet6!$C$7,Sheet6!$C$7,IF(Tim!IZ41=Sheet6!$C$8,Sheet6!$C$8,"")))))))</f>
        <v/>
      </c>
      <c r="CX39" s="53" t="str">
        <f>IF(Tim!JA41=Sheet6!$C$2,Sheet6!$C$2,IF(Tim!JA41=Sheet6!$C$3,Sheet6!$C$3,IF(Tim!JA41=Sheet6!$C$4,Sheet6!$C$4,IF(Tim!JA41=Sheet6!$C$5,Sheet6!$C$5,IF(Tim!JA41=Sheet6!$C$6,Sheet6!$C$6,IF(Tim!JA41=Sheet6!$C$7,Sheet6!$C$7,IF(Tim!JA41=Sheet6!$C$8,Sheet6!$C$8,"")))))))</f>
        <v/>
      </c>
      <c r="CY39" s="53" t="str">
        <f>IF(Tim!JB41=Sheet6!$C$2,Sheet6!$C$2,IF(Tim!JB41=Sheet6!$C$3,Sheet6!$C$3,IF(Tim!JB41=Sheet6!$C$4,Sheet6!$C$4,IF(Tim!JB41=Sheet6!$C$5,Sheet6!$C$5,IF(Tim!JB41=Sheet6!$C$6,Sheet6!$C$6,IF(Tim!JB41=Sheet6!$C$7,Sheet6!$C$7,IF(Tim!JB41=Sheet6!$C$8,Sheet6!$C$8,"")))))))</f>
        <v/>
      </c>
      <c r="CZ39" s="53" t="str">
        <f>IF(Tim!JC41=Sheet6!$C$2,Sheet6!$C$2,IF(Tim!JC41=Sheet6!$C$3,Sheet6!$C$3,IF(Tim!JC41=Sheet6!$C$4,Sheet6!$C$4,IF(Tim!JC41=Sheet6!$C$5,Sheet6!$C$5,IF(Tim!JC41=Sheet6!$C$6,Sheet6!$C$6,IF(Tim!JC41=Sheet6!$C$7,Sheet6!$C$7,IF(Tim!JC41=Sheet6!$C$8,Sheet6!$C$8,"")))))))</f>
        <v/>
      </c>
      <c r="DA39" s="53" t="str">
        <f>IF(Tim!JD41=Sheet6!$C$2,Sheet6!$C$2,IF(Tim!JD41=Sheet6!$C$3,Sheet6!$C$3,IF(Tim!JD41=Sheet6!$C$4,Sheet6!$C$4,IF(Tim!JD41=Sheet6!$C$5,Sheet6!$C$5,IF(Tim!JD41=Sheet6!$C$6,Sheet6!$C$6,IF(Tim!JD41=Sheet6!$C$7,Sheet6!$C$7,IF(Tim!JD41=Sheet6!$C$8,Sheet6!$C$8,"")))))))</f>
        <v/>
      </c>
      <c r="DB39" s="53" t="str">
        <f>IF(Tim!JE41=Sheet6!$C$2,Sheet6!$C$2,IF(Tim!JE41=Sheet6!$C$3,Sheet6!$C$3,IF(Tim!JE41=Sheet6!$C$4,Sheet6!$C$4,IF(Tim!JE41=Sheet6!$C$5,Sheet6!$C$5,IF(Tim!JE41=Sheet6!$C$6,Sheet6!$C$6,IF(Tim!JE41=Sheet6!$C$7,Sheet6!$C$7,IF(Tim!JE41=Sheet6!$C$8,Sheet6!$C$8,"")))))))</f>
        <v/>
      </c>
      <c r="DC39" s="53" t="str">
        <f>IF(Tim!JI41=Sheet6!$C$2,Sheet6!$C$2,IF(Tim!JI41=Sheet6!$C$3,Sheet6!$C$3,IF(Tim!JI41=Sheet6!$C$4,Sheet6!$C$4,IF(Tim!JI41=Sheet6!$C$5,Sheet6!$C$5,IF(Tim!JI41=Sheet6!$C$6,Sheet6!$C$6,IF(Tim!JI41=Sheet6!$C$7,Sheet6!$C$7,IF(Tim!JI41=Sheet6!$C$8,Sheet6!$C$8,"")))))))</f>
        <v/>
      </c>
      <c r="DD39" s="54" t="str">
        <f>IF(Tim!JJ41=Sheet6!$C$2,Sheet6!$C$2,IF(Tim!JJ41=Sheet6!$C$3,Sheet6!$C$3,IF(Tim!JJ41=Sheet6!$C$4,Sheet6!$C$4,IF(Tim!JJ41=Sheet6!$C$5,Sheet6!$C$5,IF(Tim!JJ41=Sheet6!$C$6,Sheet6!$C$6,IF(Tim!JJ41=Sheet6!$C$7,Sheet6!$C$7,IF(Tim!JJ41=Sheet6!$C$8,Sheet6!$C$8,"")))))))</f>
        <v/>
      </c>
      <c r="DE39" s="54" t="str">
        <f>IF(Tim!JK41=Sheet6!$C$2,Sheet6!$C$2,IF(Tim!JK41=Sheet6!$C$3,Sheet6!$C$3,IF(Tim!JK41=Sheet6!$C$4,Sheet6!$C$4,IF(Tim!JK41=Sheet6!$C$5,Sheet6!$C$5,IF(Tim!JK41=Sheet6!$C$6,Sheet6!$C$6,IF(Tim!JK41=Sheet6!$C$7,Sheet6!$C$7,IF(Tim!JK41=Sheet6!$C$8,Sheet6!$C$8,"")))))))</f>
        <v/>
      </c>
      <c r="DF39" s="54" t="str">
        <f>IF(Tim!JL41=Sheet6!$C$2,Sheet6!$C$2,IF(Tim!JL41=Sheet6!$C$3,Sheet6!$C$3,IF(Tim!JL41=Sheet6!$C$4,Sheet6!$C$4,IF(Tim!JL41=Sheet6!$C$5,Sheet6!$C$5,IF(Tim!JL41=Sheet6!$C$6,Sheet6!$C$6,IF(Tim!JL41=Sheet6!$C$7,Sheet6!$C$7,IF(Tim!JL41=Sheet6!$C$8,Sheet6!$C$8,"")))))))</f>
        <v/>
      </c>
      <c r="DG39" s="55" t="str">
        <f>IF(Tim!JM41=Sheet6!$C$2,Sheet6!$C$2,IF(Tim!JM41=Sheet6!$C$3,Sheet6!$C$3,IF(Tim!JM41=Sheet6!$C$4,Sheet6!$C$4,IF(Tim!JM41=Sheet6!$C$5,Sheet6!$C$5,IF(Tim!JM41=Sheet6!$C$6,Sheet6!$C$6,IF(Tim!JM41=Sheet6!$C$7,Sheet6!$C$7,IF(Tim!JM41=Sheet6!$C$8,Sheet6!$C$8,"")))))))</f>
        <v/>
      </c>
      <c r="DH39" s="56" t="str">
        <f>IF(Tim!JN41=Sheet6!$C$2,Sheet6!$C$2,IF(Tim!JN41=Sheet6!$C$3,Sheet6!$C$3,IF(Tim!JN41=Sheet6!$C$4,Sheet6!$C$4,IF(Tim!JN41=Sheet6!$C$5,Sheet6!$C$5,IF(Tim!JN41=Sheet6!$C$6,Sheet6!$C$6,IF(Tim!JN41=Sheet6!$C$7,Sheet6!$C$7,IF(Tim!JN41=Sheet6!$C$8,Sheet6!$C$8,"")))))))</f>
        <v/>
      </c>
      <c r="DI39" s="57" t="str">
        <f>IF(Tim!JS41=Sheet6!$C$2,Sheet6!$C$2,IF(Tim!JS41=Sheet6!$C$3,Sheet6!$C$3,IF(Tim!JS41=Sheet6!$C$4,Sheet6!$C$4,IF(Tim!JS41=Sheet6!$C$5,Sheet6!$C$5,IF(Tim!JS41=Sheet6!$C$6,Sheet6!$C$6,IF(Tim!JS41=Sheet6!$C$7,Sheet6!$C$7,IF(Tim!JS41=Sheet6!$C$8,Sheet6!$C$8,"")))))))</f>
        <v/>
      </c>
      <c r="DJ39" s="57" t="str">
        <f>IF(Tim!KB41=Sheet6!$C$2,Sheet6!$C$2,IF(Tim!KB41=Sheet6!$C$3,Sheet6!$C$3,IF(Tim!KB41=Sheet6!$C$4,Sheet6!$C$4,IF(Tim!KB41=Sheet6!$C$5,Sheet6!$C$5,IF(Tim!KB41=Sheet6!$C$6,Sheet6!$C$6,IF(Tim!KB41=Sheet6!$C$7,Sheet6!$C$7,IF(Tim!KB41=Sheet6!$C$8,Sheet6!$C$8,"")))))))</f>
        <v/>
      </c>
      <c r="DK39" s="53" t="str">
        <f>IF(Tim!KI41=Sheet6!$C$2,Sheet6!$C$2,IF(Tim!KI41=Sheet6!$C$3,Sheet6!$C$3,IF(Tim!KI41=Sheet6!$C$4,Sheet6!$C$4,IF(Tim!KI41=Sheet6!$C$5,Sheet6!$C$5,IF(Tim!KI41=Sheet6!$C$6,Sheet6!$C$6,IF(Tim!KI41=Sheet6!$C$7,Sheet6!$C$7,IF(Tim!KI41=Sheet6!$C$8,Sheet6!$C$8,"")))))))</f>
        <v/>
      </c>
      <c r="DL39" s="53" t="str">
        <f>IF(Tim!KJ41=Sheet6!$C$2,Sheet6!$C$2,IF(Tim!KJ41=Sheet6!$C$3,Sheet6!$C$3,IF(Tim!KJ41=Sheet6!$C$4,Sheet6!$C$4,IF(Tim!KJ41=Sheet6!$C$5,Sheet6!$C$5,IF(Tim!KJ41=Sheet6!$C$6,Sheet6!$C$6,IF(Tim!KJ41=Sheet6!$C$7,Sheet6!$C$7,IF(Tim!KJ41=Sheet6!$C$8,Sheet6!$C$8,"")))))))</f>
        <v/>
      </c>
      <c r="DM39" s="53" t="str">
        <f>IF(Tim!KR41=Sheet6!$C$2,Sheet6!$C$2,IF(Tim!KR41=Sheet6!$C$3,Sheet6!$C$3,IF(Tim!KR41=Sheet6!$C$4,Sheet6!$C$4,IF(Tim!KR41=Sheet6!$C$5,Sheet6!$C$5,IF(Tim!KR41=Sheet6!$C$6,Sheet6!$C$6,IF(Tim!KR41=Sheet6!$C$7,Sheet6!$C$7,IF(Tim!KR41=Sheet6!$C$8,Sheet6!$C$8,"")))))))</f>
        <v/>
      </c>
      <c r="DN39" s="53" t="str">
        <f>IF(Tim!KS41=Sheet6!$C$2,Sheet6!$C$2,IF(Tim!KS41=Sheet6!$C$3,Sheet6!$C$3,IF(Tim!KS41=Sheet6!$C$4,Sheet6!$C$4,IF(Tim!KS41=Sheet6!$C$5,Sheet6!$C$5,IF(Tim!KS41=Sheet6!$C$6,Sheet6!$C$6,IF(Tim!KS41=Sheet6!$C$7,Sheet6!$C$7,IF(Tim!KS41=Sheet6!$C$8,Sheet6!$C$8,"")))))))</f>
        <v/>
      </c>
      <c r="DO39" s="53" t="str">
        <f>IF(Tim!KT41=Sheet6!$C$2,Sheet6!$C$2,IF(Tim!KT41=Sheet6!$C$3,Sheet6!$C$3,IF(Tim!KT41=Sheet6!$C$4,Sheet6!$C$4,IF(Tim!KT41=Sheet6!$C$5,Sheet6!$C$5,IF(Tim!KT41=Sheet6!$C$6,Sheet6!$C$6,IF(Tim!KT41=Sheet6!$C$7,Sheet6!$C$7,IF(Tim!KT41=Sheet6!$C$8,Sheet6!$C$8,"")))))))</f>
        <v/>
      </c>
      <c r="DP39" s="53" t="str">
        <f>IF(Tim!KU41=Sheet6!$C$2,Sheet6!$C$2,IF(Tim!KU41=Sheet6!$C$3,Sheet6!$C$3,IF(Tim!KU41=Sheet6!$C$4,Sheet6!$C$4,IF(Tim!KU41=Sheet6!$C$5,Sheet6!$C$5,IF(Tim!KU41=Sheet6!$C$6,Sheet6!$C$6,IF(Tim!KU41=Sheet6!$C$7,Sheet6!$C$7,IF(Tim!KU41=Sheet6!$C$8,Sheet6!$C$8,"")))))))</f>
        <v/>
      </c>
      <c r="DQ39" s="53" t="str">
        <f>IF(Tim!KV41=Sheet6!$C$2,Sheet6!$C$2,IF(Tim!KV41=Sheet6!$C$3,Sheet6!$C$3,IF(Tim!KV41=Sheet6!$C$4,Sheet6!$C$4,IF(Tim!KV41=Sheet6!$C$5,Sheet6!$C$5,IF(Tim!KV41=Sheet6!$C$6,Sheet6!$C$6,IF(Tim!KV41=Sheet6!$C$7,Sheet6!$C$7,IF(Tim!KV41=Sheet6!$C$8,Sheet6!$C$8,"")))))))</f>
        <v/>
      </c>
      <c r="DR39" s="53" t="str">
        <f>IF(Tim!KW41=Sheet6!$C$2,Sheet6!$C$2,IF(Tim!KW41=Sheet6!$C$3,Sheet6!$C$3,IF(Tim!KW41=Sheet6!$C$4,Sheet6!$C$4,IF(Tim!KW41=Sheet6!$C$5,Sheet6!$C$5,IF(Tim!KW41=Sheet6!$C$6,Sheet6!$C$6,IF(Tim!KW41=Sheet6!$C$7,Sheet6!$C$7,IF(Tim!KW41=Sheet6!$C$8,Sheet6!$C$8,"")))))))</f>
        <v/>
      </c>
      <c r="DS39" s="53" t="str">
        <f>IF(Tim!LA41=Sheet6!$C$2,Sheet6!$C$2,IF(Tim!LA41=Sheet6!$C$3,Sheet6!$C$3,IF(Tim!LA41=Sheet6!$C$4,Sheet6!$C$4,IF(Tim!LA41=Sheet6!$C$5,Sheet6!$C$5,IF(Tim!LA41=Sheet6!$C$6,Sheet6!$C$6,IF(Tim!LA41=Sheet6!$C$7,Sheet6!$C$7,IF(Tim!LA41=Sheet6!$C$8,Sheet6!$C$8,"")))))))</f>
        <v/>
      </c>
      <c r="DT39" s="54" t="str">
        <f>IF(Tim!LB41=Sheet6!$C$2,Sheet6!$C$2,IF(Tim!LB41=Sheet6!$C$3,Sheet6!$C$3,IF(Tim!LB41=Sheet6!$C$4,Sheet6!$C$4,IF(Tim!LB41=Sheet6!$C$5,Sheet6!$C$5,IF(Tim!LB41=Sheet6!$C$6,Sheet6!$C$6,IF(Tim!LB41=Sheet6!$C$7,Sheet6!$C$7,IF(Tim!LB41=Sheet6!$C$8,Sheet6!$C$8,"")))))))</f>
        <v/>
      </c>
      <c r="DU39" s="54" t="str">
        <f>IF(Tim!LC41=Sheet6!$C$2,Sheet6!$C$2,IF(Tim!LC41=Sheet6!$C$3,Sheet6!$C$3,IF(Tim!LC41=Sheet6!$C$4,Sheet6!$C$4,IF(Tim!LC41=Sheet6!$C$5,Sheet6!$C$5,IF(Tim!LC41=Sheet6!$C$6,Sheet6!$C$6,IF(Tim!LC41=Sheet6!$C$7,Sheet6!$C$7,IF(Tim!LC41=Sheet6!$C$8,Sheet6!$C$8,"")))))))</f>
        <v/>
      </c>
      <c r="DV39" s="54" t="str">
        <f>IF(Tim!LD41=Sheet6!$C$2,Sheet6!$C$2,IF(Tim!LD41=Sheet6!$C$3,Sheet6!$C$3,IF(Tim!LD41=Sheet6!$C$4,Sheet6!$C$4,IF(Tim!LD41=Sheet6!$C$5,Sheet6!$C$5,IF(Tim!LD41=Sheet6!$C$6,Sheet6!$C$6,IF(Tim!LD41=Sheet6!$C$7,Sheet6!$C$7,IF(Tim!LD41=Sheet6!$C$8,Sheet6!$C$8,"")))))))</f>
        <v/>
      </c>
      <c r="DW39" s="55" t="str">
        <f>IF(Tim!LE41=Sheet6!$C$2,Sheet6!$C$2,IF(Tim!LE41=Sheet6!$C$3,Sheet6!$C$3,IF(Tim!LE41=Sheet6!$C$4,Sheet6!$C$4,IF(Tim!LE41=Sheet6!$C$5,Sheet6!$C$5,IF(Tim!LE41=Sheet6!$C$6,Sheet6!$C$6,IF(Tim!LE41=Sheet6!$C$7,Sheet6!$C$7,IF(Tim!LE41=Sheet6!$C$8,Sheet6!$C$8,"")))))))</f>
        <v/>
      </c>
      <c r="DX39" s="52">
        <v>0.64583333333333204</v>
      </c>
    </row>
    <row r="40" spans="2:128" ht="10.5" customHeight="1">
      <c r="B40" s="51">
        <v>0.25</v>
      </c>
      <c r="C40" s="51">
        <v>0.25</v>
      </c>
      <c r="D40" s="51">
        <v>0.25</v>
      </c>
      <c r="E40" s="52">
        <v>0.656249999999999</v>
      </c>
      <c r="F40" s="53" t="str">
        <f>IF(Tim!F42=Sheet6!$C$2,Sheet6!$C$2,IF(Tim!F42=Sheet6!$C$3,Sheet6!$C$3,IF(Tim!F42=Sheet6!$C$4,Sheet6!$C$4,IF(Tim!F42=Sheet6!$C$5,Sheet6!$C$5,IF(Tim!F42=Sheet6!$C$6,Sheet6!$C$6,IF(Tim!F42=Sheet6!$C$7,Sheet6!$C$7,IF(Tim!F42=Sheet6!$C$8,Sheet6!$C$8,"")))))))</f>
        <v/>
      </c>
      <c r="G40" s="53" t="str">
        <f>IF(Tim!G42=Sheet6!$C$2,Sheet6!$C$2,IF(Tim!G42=Sheet6!$C$3,Sheet6!$C$3,IF(Tim!G42=Sheet6!$C$4,Sheet6!$C$4,IF(Tim!G42=Sheet6!$C$5,Sheet6!$C$5,IF(Tim!G42=Sheet6!$C$6,Sheet6!$C$6,IF(Tim!G42=Sheet6!$C$7,Sheet6!$C$7,IF(Tim!G42=Sheet6!$C$8,Sheet6!$C$8,"")))))))</f>
        <v/>
      </c>
      <c r="H40" s="53" t="str">
        <f>IF(Tim!H42=Sheet6!$C$2,Sheet6!$C$2,IF(Tim!H42=Sheet6!$C$3,Sheet6!$C$3,IF(Tim!H42=Sheet6!$C$4,Sheet6!$C$4,IF(Tim!H42=Sheet6!$C$5,Sheet6!$C$5,IF(Tim!H42=Sheet6!$C$6,Sheet6!$C$6,IF(Tim!H42=Sheet6!$C$7,Sheet6!$C$7,IF(Tim!H42=Sheet6!$C$8,Sheet6!$C$8,"")))))))</f>
        <v/>
      </c>
      <c r="I40" s="53" t="str">
        <f>IF(Tim!L42=Sheet6!$C$2,Sheet6!$C$2,IF(Tim!L42=Sheet6!$C$3,Sheet6!$C$3,IF(Tim!L42=Sheet6!$C$4,Sheet6!$C$4,IF(Tim!L42=Sheet6!$C$5,Sheet6!$C$5,IF(Tim!L42=Sheet6!$C$6,Sheet6!$C$6,IF(Tim!L42=Sheet6!$C$7,Sheet6!$C$7,IF(Tim!L42=Sheet6!$C$8,Sheet6!$C$8,"")))))))</f>
        <v/>
      </c>
      <c r="J40" s="53" t="str">
        <f>IF(Tim!T42=Sheet6!$C$2,Sheet6!$C$2,IF(Tim!T42=Sheet6!$C$3,Sheet6!$C$3,IF(Tim!T42=Sheet6!$C$4,Sheet6!$C$4,IF(Tim!T42=Sheet6!$C$5,Sheet6!$C$5,IF(Tim!T42=Sheet6!$C$6,Sheet6!$C$6,IF(Tim!T42=Sheet6!$C$7,Sheet6!$C$7,IF(Tim!T42=Sheet6!$C$8,Sheet6!$C$8,"")))))))</f>
        <v/>
      </c>
      <c r="K40" s="53" t="str">
        <f>IF(Tim!AB42=Sheet6!$C$2,Sheet6!$C$2,IF(Tim!AB42=Sheet6!$C$3,Sheet6!$C$3,IF(Tim!AB42=Sheet6!$C$4,Sheet6!$C$4,IF(Tim!AB42=Sheet6!$C$5,Sheet6!$C$5,IF(Tim!AB42=Sheet6!$C$6,Sheet6!$C$6,IF(Tim!AB42=Sheet6!$C$7,Sheet6!$C$7,IF(Tim!AB42=Sheet6!$C$8,Sheet6!$C$8,"")))))))</f>
        <v/>
      </c>
      <c r="L40" s="181" t="str">
        <f>IF(Tim!AC42=Sheet6!$C$2,Sheet6!$C$2,IF(Tim!AC42=Sheet6!$C$3,Sheet6!$C$3,IF(Tim!AC42=Sheet6!$C$4,Sheet6!$C$4,IF(Tim!AC42=Sheet6!$C$5,Sheet6!$C$5,IF(Tim!AC42=Sheet6!$C$6,Sheet6!$C$6,IF(Tim!AC42=Sheet6!$C$7,Sheet6!$C$7,IF(Tim!AC42=Sheet6!$C$8,Sheet6!$C$8,"")))))))</f>
        <v/>
      </c>
      <c r="M40" s="181" t="str">
        <f>IF(Tim!AJ42=Sheet6!$C$2,Sheet6!$C$2,IF(Tim!AJ42=Sheet6!$C$3,Sheet6!$C$3,IF(Tim!AJ42=Sheet6!$C$4,Sheet6!$C$4,IF(Tim!AJ42=Sheet6!$C$5,Sheet6!$C$5,IF(Tim!AJ42=Sheet6!$C$6,Sheet6!$C$6,IF(Tim!AJ42=Sheet6!$C$7,Sheet6!$C$7,IF(Tim!AJ42=Sheet6!$C$8,Sheet6!$C$8,"")))))))</f>
        <v/>
      </c>
      <c r="N40" s="181" t="str">
        <f>IF(Tim!AK42=Sheet6!$C$2,Sheet6!$C$2,IF(Tim!AK42=Sheet6!$C$3,Sheet6!$C$3,IF(Tim!AK42=Sheet6!$C$4,Sheet6!$C$4,IF(Tim!AK42=Sheet6!$C$5,Sheet6!$C$5,IF(Tim!AK42=Sheet6!$C$6,Sheet6!$C$6,IF(Tim!AK42=Sheet6!$C$7,Sheet6!$C$7,IF(Tim!AK42=Sheet6!$C$8,Sheet6!$C$8,"")))))))</f>
        <v/>
      </c>
      <c r="O40" s="53" t="str">
        <f>IF(Tim!AL42=Sheet6!$C$2,Sheet6!$C$2,IF(Tim!AL42=Sheet6!$C$3,Sheet6!$C$3,IF(Tim!AL42=Sheet6!$C$4,Sheet6!$C$4,IF(Tim!AL42=Sheet6!$C$5,Sheet6!$C$5,IF(Tim!AL42=Sheet6!$C$6,Sheet6!$C$6,IF(Tim!AL42=Sheet6!$C$7,Sheet6!$C$7,IF(Tim!AL42=Sheet6!$C$8,Sheet6!$C$8,"")))))))</f>
        <v/>
      </c>
      <c r="P40" s="53" t="str">
        <f>IF(Tim!AN42=Sheet6!$C$2,Sheet6!$C$2,IF(Tim!AN42=Sheet6!$C$3,Sheet6!$C$3,IF(Tim!AN42=Sheet6!$C$4,Sheet6!$C$4,IF(Tim!AN42=Sheet6!$C$5,Sheet6!$C$5,IF(Tim!AN42=Sheet6!$C$6,Sheet6!$C$6,IF(Tim!AN42=Sheet6!$C$7,Sheet6!$C$7,IF(Tim!AN42=Sheet6!$C$8,Sheet6!$C$8,"")))))))</f>
        <v/>
      </c>
      <c r="Q40" s="53" t="str">
        <f>IF(Tim!AO42=Sheet6!$C$2,Sheet6!$C$2,IF(Tim!AO42=Sheet6!$C$3,Sheet6!$C$3,IF(Tim!AO42=Sheet6!$C$4,Sheet6!$C$4,IF(Tim!AO42=Sheet6!$C$5,Sheet6!$C$5,IF(Tim!AO42=Sheet6!$C$6,Sheet6!$C$6,IF(Tim!AO42=Sheet6!$C$7,Sheet6!$C$7,IF(Tim!AO42=Sheet6!$C$8,Sheet6!$C$8,"")))))))</f>
        <v/>
      </c>
      <c r="R40" s="53" t="str">
        <f>IF(Tim!AP42=Sheet6!$C$2,Sheet6!$C$2,IF(Tim!AP42=Sheet6!$C$3,Sheet6!$C$3,IF(Tim!AP42=Sheet6!$C$4,Sheet6!$C$4,IF(Tim!AP42=Sheet6!$C$5,Sheet6!$C$5,IF(Tim!AP42=Sheet6!$C$6,Sheet6!$C$6,IF(Tim!AP42=Sheet6!$C$7,Sheet6!$C$7,IF(Tim!AP42=Sheet6!$C$8,Sheet6!$C$8,"")))))))</f>
        <v/>
      </c>
      <c r="S40" s="53" t="str">
        <f>IF(Tim!AT42=Sheet6!$C$2,Sheet6!$C$2,IF(Tim!AT42=Sheet6!$C$3,Sheet6!$C$3,IF(Tim!AT42=Sheet6!$C$4,Sheet6!$C$4,IF(Tim!AT42=Sheet6!$C$5,Sheet6!$C$5,IF(Tim!AT42=Sheet6!$C$6,Sheet6!$C$6,IF(Tim!AT42=Sheet6!$C$7,Sheet6!$C$7,IF(Tim!AT42=Sheet6!$C$8,Sheet6!$C$8,"")))))))</f>
        <v/>
      </c>
      <c r="T40" s="54" t="str">
        <f>IF(Tim!AU42=Sheet6!$C$2,Sheet6!$C$2,IF(Tim!AU42=Sheet6!$C$3,Sheet6!$C$3,IF(Tim!AU42=Sheet6!$C$4,Sheet6!$C$4,IF(Tim!AU42=Sheet6!$C$5,Sheet6!$C$5,IF(Tim!AU42=Sheet6!$C$6,Sheet6!$C$6,IF(Tim!AU42=Sheet6!$C$7,Sheet6!$C$7,IF(Tim!AU42=Sheet6!$C$8,Sheet6!$C$8,"")))))))</f>
        <v/>
      </c>
      <c r="U40" s="54" t="str">
        <f>IF(Tim!AV42=Sheet6!$C$2,Sheet6!$C$2,IF(Tim!AV42=Sheet6!$C$3,Sheet6!$C$3,IF(Tim!AV42=Sheet6!$C$4,Sheet6!$C$4,IF(Tim!AV42=Sheet6!$C$5,Sheet6!$C$5,IF(Tim!AV42=Sheet6!$C$6,Sheet6!$C$6,IF(Tim!AV42=Sheet6!$C$7,Sheet6!$C$7,IF(Tim!AV42=Sheet6!$C$8,Sheet6!$C$8,"")))))))</f>
        <v/>
      </c>
      <c r="V40" s="54" t="str">
        <f>IF(Tim!AW42=Sheet6!$C$2,Sheet6!$C$2,IF(Tim!AW42=Sheet6!$C$3,Sheet6!$C$3,IF(Tim!AW42=Sheet6!$C$4,Sheet6!$C$4,IF(Tim!AW42=Sheet6!$C$5,Sheet6!$C$5,IF(Tim!AW42=Sheet6!$C$6,Sheet6!$C$6,IF(Tim!AW42=Sheet6!$C$7,Sheet6!$C$7,IF(Tim!AW42=Sheet6!$C$8,Sheet6!$C$8,"")))))))</f>
        <v/>
      </c>
      <c r="W40" s="55" t="str">
        <f>IF(Tim!AX42=Sheet6!$C$2,Sheet6!$C$2,IF(Tim!AX42=Sheet6!$C$3,Sheet6!$C$3,IF(Tim!AX42=Sheet6!$C$4,Sheet6!$C$4,IF(Tim!AX42=Sheet6!$C$5,Sheet6!$C$5,IF(Tim!AX42=Sheet6!$C$6,Sheet6!$C$6,IF(Tim!AX42=Sheet6!$C$7,Sheet6!$C$7,IF(Tim!AX42=Sheet6!$C$8,Sheet6!$C$8,"")))))))</f>
        <v/>
      </c>
      <c r="X40" s="53" t="str">
        <f>IF(Tim!AY42=Sheet6!$C$2,Sheet6!$C$2,IF(Tim!AY42=Sheet6!$C$3,Sheet6!$C$3,IF(Tim!AY42=Sheet6!$C$4,Sheet6!$C$4,IF(Tim!AY42=Sheet6!$C$5,Sheet6!$C$5,IF(Tim!AY42=Sheet6!$C$6,Sheet6!$C$6,IF(Tim!AY42=Sheet6!$C$7,Sheet6!$C$7,IF(Tim!AY42=Sheet6!$C$8,Sheet6!$C$8,"")))))))</f>
        <v/>
      </c>
      <c r="Y40" s="57" t="str">
        <f>IF(Tim!AZ42=Sheet6!$C$2,Sheet6!$C$2,IF(Tim!AZ42=Sheet6!$C$3,Sheet6!$C$3,IF(Tim!AZ42=Sheet6!$C$4,Sheet6!$C$4,IF(Tim!AZ42=Sheet6!$C$5,Sheet6!$C$5,IF(Tim!AZ42=Sheet6!$C$6,Sheet6!$C$6,IF(Tim!AZ42=Sheet6!$C$7,Sheet6!$C$7,IF(Tim!AZ42=Sheet6!$C$8,Sheet6!$C$8,"")))))))</f>
        <v/>
      </c>
      <c r="Z40" s="57" t="str">
        <f>IF(Tim!BD42=Sheet6!$C$2,Sheet6!$C$2,IF(Tim!BD42=Sheet6!$C$3,Sheet6!$C$3,IF(Tim!BD42=Sheet6!$C$4,Sheet6!$C$4,IF(Tim!BD42=Sheet6!$C$5,Sheet6!$C$5,IF(Tim!BD42=Sheet6!$C$6,Sheet6!$C$6,IF(Tim!BD42=Sheet6!$C$7,Sheet6!$C$7,IF(Tim!BD42=Sheet6!$C$8,Sheet6!$C$8,"")))))))</f>
        <v/>
      </c>
      <c r="AA40" s="57" t="str">
        <f>IF(Tim!BE42=Sheet6!$C$2,Sheet6!$C$2,IF(Tim!BE42=Sheet6!$C$3,Sheet6!$C$3,IF(Tim!BE42=Sheet6!$C$4,Sheet6!$C$4,IF(Tim!BE42=Sheet6!$C$5,Sheet6!$C$5,IF(Tim!BE42=Sheet6!$C$6,Sheet6!$C$6,IF(Tim!BE42=Sheet6!$C$7,Sheet6!$C$7,IF(Tim!BE42=Sheet6!$C$8,Sheet6!$C$8,"")))))))</f>
        <v/>
      </c>
      <c r="AB40" s="57" t="str">
        <f>IF(Tim!BL42=Sheet6!$C$2,Sheet6!$C$2,IF(Tim!BL42=Sheet6!$C$3,Sheet6!$C$3,IF(Tim!BL42=Sheet6!$C$4,Sheet6!$C$4,IF(Tim!BL42=Sheet6!$C$5,Sheet6!$C$5,IF(Tim!BL42=Sheet6!$C$6,Sheet6!$C$6,IF(Tim!BL42=Sheet6!$C$7,Sheet6!$C$7,IF(Tim!BL42=Sheet6!$C$8,Sheet6!$C$8,"")))))))</f>
        <v/>
      </c>
      <c r="AC40" s="53" t="str">
        <f>IF(Tim!BT42=Sheet6!$C$2,Sheet6!$C$2,IF(Tim!BT42=Sheet6!$C$3,Sheet6!$C$3,IF(Tim!BT42=Sheet6!$C$4,Sheet6!$C$4,IF(Tim!BT42=Sheet6!$C$5,Sheet6!$C$5,IF(Tim!BT42=Sheet6!$C$6,Sheet6!$C$6,IF(Tim!BT42=Sheet6!$C$7,Sheet6!$C$7,IF(Tim!BT42=Sheet6!$C$8,Sheet6!$C$8,"")))))))</f>
        <v/>
      </c>
      <c r="AD40" s="181" t="str">
        <f>IF(Tim!BU42=Sheet6!$C$2,Sheet6!$C$2,IF(Tim!BU42=Sheet6!$C$3,Sheet6!$C$3,IF(Tim!BU42=Sheet6!$C$4,Sheet6!$C$4,IF(Tim!BU42=Sheet6!$C$5,Sheet6!$C$5,IF(Tim!BU42=Sheet6!$C$6,Sheet6!$C$6,IF(Tim!BU42=Sheet6!$C$7,Sheet6!$C$7,IF(Tim!BU42=Sheet6!$C$8,Sheet6!$C$8,"")))))))</f>
        <v/>
      </c>
      <c r="AE40" s="181" t="str">
        <f>IF(Tim!CB42=Sheet6!$C$2,Sheet6!$C$2,IF(Tim!CB42=Sheet6!$C$3,Sheet6!$C$3,IF(Tim!CB42=Sheet6!$C$4,Sheet6!$C$4,IF(Tim!CB42=Sheet6!$C$5,Sheet6!$C$5,IF(Tim!CB42=Sheet6!$C$6,Sheet6!$C$6,IF(Tim!CB42=Sheet6!$C$7,Sheet6!$C$7,IF(Tim!CB42=Sheet6!$C$8,Sheet6!$C$8,"")))))))</f>
        <v/>
      </c>
      <c r="AF40" s="181" t="str">
        <f>IF(Tim!CD42=Sheet6!$C$2,Sheet6!$C$2,IF(Tim!CD42=Sheet6!$C$3,Sheet6!$C$3,IF(Tim!CD42=Sheet6!$C$4,Sheet6!$C$4,IF(Tim!CD42=Sheet6!$C$5,Sheet6!$C$5,IF(Tim!CD42=Sheet6!$C$6,Sheet6!$C$6,IF(Tim!CD42=Sheet6!$C$7,Sheet6!$C$7,IF(Tim!CD42=Sheet6!$C$8,Sheet6!$C$8,"")))))))</f>
        <v/>
      </c>
      <c r="AG40" s="53" t="str">
        <f>IF(Tim!CE42=Sheet6!$C$2,Sheet6!$C$2,IF(Tim!CE42=Sheet6!$C$3,Sheet6!$C$3,IF(Tim!CE42=Sheet6!$C$4,Sheet6!$C$4,IF(Tim!CE42=Sheet6!$C$5,Sheet6!$C$5,IF(Tim!CE42=Sheet6!$C$6,Sheet6!$C$6,IF(Tim!CE42=Sheet6!$C$7,Sheet6!$C$7,IF(Tim!CE42=Sheet6!$C$8,Sheet6!$C$8,"")))))))</f>
        <v/>
      </c>
      <c r="AH40" s="53" t="str">
        <f>IF(Tim!CF42=Sheet6!$C$2,Sheet6!$C$2,IF(Tim!CF42=Sheet6!$C$3,Sheet6!$C$3,IF(Tim!CF42=Sheet6!$C$4,Sheet6!$C$4,IF(Tim!CF42=Sheet6!$C$5,Sheet6!$C$5,IF(Tim!CF42=Sheet6!$C$6,Sheet6!$C$6,IF(Tim!CF42=Sheet6!$C$7,Sheet6!$C$7,IF(Tim!CF42=Sheet6!$C$8,Sheet6!$C$8,"")))))))</f>
        <v/>
      </c>
      <c r="AI40" s="53" t="str">
        <f>IF(Tim!CG42=Sheet6!$C$2,Sheet6!$C$2,IF(Tim!CG42=Sheet6!$C$3,Sheet6!$C$3,IF(Tim!CG42=Sheet6!$C$4,Sheet6!$C$4,IF(Tim!CG42=Sheet6!$C$5,Sheet6!$C$5,IF(Tim!CG42=Sheet6!$C$6,Sheet6!$C$6,IF(Tim!CG42=Sheet6!$C$7,Sheet6!$C$7,IF(Tim!CG42=Sheet6!$C$8,Sheet6!$C$8,"")))))))</f>
        <v/>
      </c>
      <c r="AJ40" s="53" t="str">
        <f>IF(Tim!CH42=Sheet6!$C$2,Sheet6!$C$2,IF(Tim!CH42=Sheet6!$C$3,Sheet6!$C$3,IF(Tim!CH42=Sheet6!$C$4,Sheet6!$C$4,IF(Tim!CH42=Sheet6!$C$5,Sheet6!$C$5,IF(Tim!CH42=Sheet6!$C$6,Sheet6!$C$6,IF(Tim!CH42=Sheet6!$C$7,Sheet6!$C$7,IF(Tim!CH42=Sheet6!$C$8,Sheet6!$C$8,"")))))))</f>
        <v/>
      </c>
      <c r="AK40" s="53" t="str">
        <f>IF(Tim!CL42=Sheet6!$C$2,Sheet6!$C$2,IF(Tim!CL42=Sheet6!$C$3,Sheet6!$C$3,IF(Tim!CL42=Sheet6!$C$4,Sheet6!$C$4,IF(Tim!CL42=Sheet6!$C$5,Sheet6!$C$5,IF(Tim!CL42=Sheet6!$C$6,Sheet6!$C$6,IF(Tim!CL42=Sheet6!$C$7,Sheet6!$C$7,IF(Tim!CL42=Sheet6!$C$8,Sheet6!$C$8,"")))))))</f>
        <v/>
      </c>
      <c r="AL40" s="54" t="str">
        <f>IF(Tim!CM42=Sheet6!$C$2,Sheet6!$C$2,IF(Tim!CM42=Sheet6!$C$3,Sheet6!$C$3,IF(Tim!CM42=Sheet6!$C$4,Sheet6!$C$4,IF(Tim!CM42=Sheet6!$C$5,Sheet6!$C$5,IF(Tim!CM42=Sheet6!$C$6,Sheet6!$C$6,IF(Tim!CM42=Sheet6!$C$7,Sheet6!$C$7,IF(Tim!CM42=Sheet6!$C$8,Sheet6!$C$8,"")))))))</f>
        <v/>
      </c>
      <c r="AM40" s="54" t="str">
        <f>IF(Tim!CN42=Sheet6!$C$2,Sheet6!$C$2,IF(Tim!CN42=Sheet6!$C$3,Sheet6!$C$3,IF(Tim!CN42=Sheet6!$C$4,Sheet6!$C$4,IF(Tim!CN42=Sheet6!$C$5,Sheet6!$C$5,IF(Tim!CN42=Sheet6!$C$6,Sheet6!$C$6,IF(Tim!CN42=Sheet6!$C$7,Sheet6!$C$7,IF(Tim!CN42=Sheet6!$C$8,Sheet6!$C$8,"")))))))</f>
        <v/>
      </c>
      <c r="AN40" s="54" t="str">
        <f>IF(Tim!CO42=Sheet6!$C$2,Sheet6!$C$2,IF(Tim!CO42=Sheet6!$C$3,Sheet6!$C$3,IF(Tim!CO42=Sheet6!$C$4,Sheet6!$C$4,IF(Tim!CO42=Sheet6!$C$5,Sheet6!$C$5,IF(Tim!CO42=Sheet6!$C$6,Sheet6!$C$6,IF(Tim!CO42=Sheet6!$C$7,Sheet6!$C$7,IF(Tim!CO42=Sheet6!$C$8,Sheet6!$C$8,"")))))))</f>
        <v/>
      </c>
      <c r="AO40" s="55" t="str">
        <f>IF(Tim!CP42=Sheet6!$C$2,Sheet6!$C$2,IF(Tim!CP42=Sheet6!$C$3,Sheet6!$C$3,IF(Tim!CP42=Sheet6!$C$4,Sheet6!$C$4,IF(Tim!CP42=Sheet6!$C$5,Sheet6!$C$5,IF(Tim!CP42=Sheet6!$C$6,Sheet6!$C$6,IF(Tim!CP42=Sheet6!$C$7,Sheet6!$C$7,IF(Tim!CP42=Sheet6!$C$8,Sheet6!$C$8,"")))))))</f>
        <v/>
      </c>
      <c r="AP40" s="53" t="str">
        <f>IF(Tim!CQ42=Sheet6!$C$2,Sheet6!$C$2,IF(Tim!CQ42=Sheet6!$C$3,Sheet6!$C$3,IF(Tim!CQ42=Sheet6!$C$4,Sheet6!$C$4,IF(Tim!CQ42=Sheet6!$C$5,Sheet6!$C$5,IF(Tim!CQ42=Sheet6!$C$6,Sheet6!$C$6,IF(Tim!CQ42=Sheet6!$C$7,Sheet6!$C$7,IF(Tim!CQ42=Sheet6!$C$8,Sheet6!$C$8,"")))))))</f>
        <v/>
      </c>
      <c r="AQ40" s="57" t="str">
        <f>IF(Tim!CR42=Sheet6!$C$2,Sheet6!$C$2,IF(Tim!CR42=Sheet6!$C$3,Sheet6!$C$3,IF(Tim!CR42=Sheet6!$C$4,Sheet6!$C$4,IF(Tim!CR42=Sheet6!$C$5,Sheet6!$C$5,IF(Tim!CR42=Sheet6!$C$6,Sheet6!$C$6,IF(Tim!CR42=Sheet6!$C$7,Sheet6!$C$7,IF(Tim!CR42=Sheet6!$C$8,Sheet6!$C$8,"")))))))</f>
        <v/>
      </c>
      <c r="AR40" s="57" t="str">
        <f>IF(Tim!CV42=Sheet6!$C$2,Sheet6!$C$2,IF(Tim!CV42=Sheet6!$C$3,Sheet6!$C$3,IF(Tim!CV42=Sheet6!$C$4,Sheet6!$C$4,IF(Tim!CV42=Sheet6!$C$5,Sheet6!$C$5,IF(Tim!CV42=Sheet6!$C$6,Sheet6!$C$6,IF(Tim!CV42=Sheet6!$C$7,Sheet6!$C$7,IF(Tim!CV42=Sheet6!$C$8,Sheet6!$C$8,"")))))))</f>
        <v/>
      </c>
      <c r="AS40" s="57" t="str">
        <f>IF(Tim!CW42=Sheet6!$C$2,Sheet6!$C$2,IF(Tim!CW42=Sheet6!$C$3,Sheet6!$C$3,IF(Tim!CW42=Sheet6!$C$4,Sheet6!$C$4,IF(Tim!CW42=Sheet6!$C$5,Sheet6!$C$5,IF(Tim!CW42=Sheet6!$C$6,Sheet6!$C$6,IF(Tim!CW42=Sheet6!$C$7,Sheet6!$C$7,IF(Tim!CW42=Sheet6!$C$8,Sheet6!$C$8,"")))))))</f>
        <v/>
      </c>
      <c r="AT40" s="57" t="str">
        <f>IF(Tim!DA42=Sheet6!$C$2,Sheet6!$C$2,IF(Tim!DA42=Sheet6!$C$3,Sheet6!$C$3,IF(Tim!DA42=Sheet6!$C$4,Sheet6!$C$4,IF(Tim!DA42=Sheet6!$C$5,Sheet6!$C$5,IF(Tim!DA42=Sheet6!$C$6,Sheet6!$C$6,IF(Tim!DA42=Sheet6!$C$7,Sheet6!$C$7,IF(Tim!DA42=Sheet6!$C$8,Sheet6!$C$8,"")))))))</f>
        <v/>
      </c>
      <c r="AU40" s="53" t="str">
        <f>IF(Tim!DO42=Sheet6!$C$2,Sheet6!$C$2,IF(Tim!DO42=Sheet6!$C$3,Sheet6!$C$3,IF(Tim!DO42=Sheet6!$C$4,Sheet6!$C$4,IF(Tim!DO42=Sheet6!$C$5,Sheet6!$C$5,IF(Tim!DO42=Sheet6!$C$6,Sheet6!$C$6,IF(Tim!DO42=Sheet6!$C$7,Sheet6!$C$7,IF(Tim!DO42=Sheet6!$C$8,Sheet6!$C$8,"")))))))</f>
        <v/>
      </c>
      <c r="AV40" s="181" t="str">
        <f>IF(Tim!DP42=Sheet6!$C$2,Sheet6!$C$2,IF(Tim!DP42=Sheet6!$C$3,Sheet6!$C$3,IF(Tim!DP42=Sheet6!$C$4,Sheet6!$C$4,IF(Tim!DP42=Sheet6!$C$5,Sheet6!$C$5,IF(Tim!DP42=Sheet6!$C$6,Sheet6!$C$6,IF(Tim!DP42=Sheet6!$C$7,Sheet6!$C$7,IF(Tim!DP42=Sheet6!$C$8,Sheet6!$C$8,"")))))))</f>
        <v/>
      </c>
      <c r="AW40" s="181" t="str">
        <f>IF(Tim!DX42=Sheet6!$C$2,Sheet6!$C$2,IF(Tim!DX42=Sheet6!$C$3,Sheet6!$C$3,IF(Tim!DX42=Sheet6!$C$4,Sheet6!$C$4,IF(Tim!DX42=Sheet6!$C$5,Sheet6!$C$5,IF(Tim!DX42=Sheet6!$C$6,Sheet6!$C$6,IF(Tim!DX42=Sheet6!$C$7,Sheet6!$C$7,IF(Tim!DX42=Sheet6!$C$8,Sheet6!$C$8,"")))))))</f>
        <v/>
      </c>
      <c r="AX40" s="181" t="str">
        <f>IF(Tim!DY42=Sheet6!$C$2,Sheet6!$C$2,IF(Tim!DY42=Sheet6!$C$3,Sheet6!$C$3,IF(Tim!DY42=Sheet6!$C$4,Sheet6!$C$4,IF(Tim!DY42=Sheet6!$C$5,Sheet6!$C$5,IF(Tim!DY42=Sheet6!$C$6,Sheet6!$C$6,IF(Tim!DY42=Sheet6!$C$7,Sheet6!$C$7,IF(Tim!DY42=Sheet6!$C$8,Sheet6!$C$8,"")))))))</f>
        <v/>
      </c>
      <c r="AY40" s="53" t="str">
        <f>IF(Tim!DZ42=Sheet6!$C$2,Sheet6!$C$2,IF(Tim!DZ42=Sheet6!$C$3,Sheet6!$C$3,IF(Tim!DZ42=Sheet6!$C$4,Sheet6!$C$4,IF(Tim!DZ42=Sheet6!$C$5,Sheet6!$C$5,IF(Tim!DZ42=Sheet6!$C$6,Sheet6!$C$6,IF(Tim!DZ42=Sheet6!$C$7,Sheet6!$C$7,IF(Tim!DZ42=Sheet6!$C$8,Sheet6!$C$8,"")))))))</f>
        <v/>
      </c>
      <c r="AZ40" s="53" t="str">
        <f>IF(Tim!EA42=Sheet6!$C$2,Sheet6!$C$2,IF(Tim!EA42=Sheet6!$C$3,Sheet6!$C$3,IF(Tim!EA42=Sheet6!$C$4,Sheet6!$C$4,IF(Tim!EA42=Sheet6!$C$5,Sheet6!$C$5,IF(Tim!EA42=Sheet6!$C$6,Sheet6!$C$6,IF(Tim!EA42=Sheet6!$C$7,Sheet6!$C$7,IF(Tim!EA42=Sheet6!$C$8,Sheet6!$C$8,"")))))))</f>
        <v/>
      </c>
      <c r="BA40" s="53" t="str">
        <f>IF(Tim!EB42=Sheet6!$C$2,Sheet6!$C$2,IF(Tim!EB42=Sheet6!$C$3,Sheet6!$C$3,IF(Tim!EB42=Sheet6!$C$4,Sheet6!$C$4,IF(Tim!EB42=Sheet6!$C$5,Sheet6!$C$5,IF(Tim!EB42=Sheet6!$C$6,Sheet6!$C$6,IF(Tim!EB42=Sheet6!$C$7,Sheet6!$C$7,IF(Tim!EB42=Sheet6!$C$8,Sheet6!$C$8,"")))))))</f>
        <v/>
      </c>
      <c r="BB40" s="53" t="str">
        <f>IF(Tim!EC42=Sheet6!$C$2,Sheet6!$C$2,IF(Tim!EC42=Sheet6!$C$3,Sheet6!$C$3,IF(Tim!EC42=Sheet6!$C$4,Sheet6!$C$4,IF(Tim!EC42=Sheet6!$C$5,Sheet6!$C$5,IF(Tim!EC42=Sheet6!$C$6,Sheet6!$C$6,IF(Tim!EC42=Sheet6!$C$7,Sheet6!$C$7,IF(Tim!EC42=Sheet6!$C$8,Sheet6!$C$8,"")))))))</f>
        <v/>
      </c>
      <c r="BC40" s="53" t="str">
        <f>IF(Tim!EG42=Sheet6!$C$2,Sheet6!$C$2,IF(Tim!EG42=Sheet6!$C$3,Sheet6!$C$3,IF(Tim!EG42=Sheet6!$C$4,Sheet6!$C$4,IF(Tim!EG42=Sheet6!$C$5,Sheet6!$C$5,IF(Tim!EG42=Sheet6!$C$6,Sheet6!$C$6,IF(Tim!EG42=Sheet6!$C$7,Sheet6!$C$7,IF(Tim!EG42=Sheet6!$C$8,Sheet6!$C$8,"")))))))</f>
        <v/>
      </c>
      <c r="BD40" s="54" t="str">
        <f>IF(Tim!EH42=Sheet6!$C$2,Sheet6!$C$2,IF(Tim!EH42=Sheet6!$C$3,Sheet6!$C$3,IF(Tim!EH42=Sheet6!$C$4,Sheet6!$C$4,IF(Tim!EH42=Sheet6!$C$5,Sheet6!$C$5,IF(Tim!EH42=Sheet6!$C$6,Sheet6!$C$6,IF(Tim!EH42=Sheet6!$C$7,Sheet6!$C$7,IF(Tim!EH42=Sheet6!$C$8,Sheet6!$C$8,"")))))))</f>
        <v/>
      </c>
      <c r="BE40" s="54" t="str">
        <f>IF(Tim!EI42=Sheet6!$C$2,Sheet6!$C$2,IF(Tim!EI42=Sheet6!$C$3,Sheet6!$C$3,IF(Tim!EI42=Sheet6!$C$4,Sheet6!$C$4,IF(Tim!EI42=Sheet6!$C$5,Sheet6!$C$5,IF(Tim!EI42=Sheet6!$C$6,Sheet6!$C$6,IF(Tim!EI42=Sheet6!$C$7,Sheet6!$C$7,IF(Tim!EI42=Sheet6!$C$8,Sheet6!$C$8,"")))))))</f>
        <v/>
      </c>
      <c r="BF40" s="54" t="str">
        <f>IF(Tim!EJ42=Sheet6!$C$2,Sheet6!$C$2,IF(Tim!EJ42=Sheet6!$C$3,Sheet6!$C$3,IF(Tim!EJ42=Sheet6!$C$4,Sheet6!$C$4,IF(Tim!EJ42=Sheet6!$C$5,Sheet6!$C$5,IF(Tim!EJ42=Sheet6!$C$6,Sheet6!$C$6,IF(Tim!EJ42=Sheet6!$C$7,Sheet6!$C$7,IF(Tim!EJ42=Sheet6!$C$8,Sheet6!$C$8,"")))))))</f>
        <v/>
      </c>
      <c r="BG40" s="55" t="str">
        <f>IF(Tim!EK42=Sheet6!$C$2,Sheet6!$C$2,IF(Tim!EK42=Sheet6!$C$3,Sheet6!$C$3,IF(Tim!EK42=Sheet6!$C$4,Sheet6!$C$4,IF(Tim!EK42=Sheet6!$C$5,Sheet6!$C$5,IF(Tim!EK42=Sheet6!$C$6,Sheet6!$C$6,IF(Tim!EK42=Sheet6!$C$7,Sheet6!$C$7,IF(Tim!EK42=Sheet6!$C$8,Sheet6!$C$8,"")))))))</f>
        <v/>
      </c>
      <c r="BH40" s="53" t="str">
        <f>IF(Tim!EL42=Sheet6!$C$2,Sheet6!$C$2,IF(Tim!EL42=Sheet6!$C$3,Sheet6!$C$3,IF(Tim!EL42=Sheet6!$C$4,Sheet6!$C$4,IF(Tim!EL42=Sheet6!$C$5,Sheet6!$C$5,IF(Tim!EL42=Sheet6!$C$6,Sheet6!$C$6,IF(Tim!EL42=Sheet6!$C$7,Sheet6!$C$7,IF(Tim!EL42=Sheet6!$C$8,Sheet6!$C$8,"")))))))</f>
        <v/>
      </c>
      <c r="BI40" s="53" t="str">
        <f>IF(Tim!EM42=Sheet6!$C$2,Sheet6!$C$2,IF(Tim!EM42=Sheet6!$C$3,Sheet6!$C$3,IF(Tim!EM42=Sheet6!$C$4,Sheet6!$C$4,IF(Tim!EM42=Sheet6!$C$5,Sheet6!$C$5,IF(Tim!EM42=Sheet6!$C$6,Sheet6!$C$6,IF(Tim!EM42=Sheet6!$C$7,Sheet6!$C$7,IF(Tim!EM42=Sheet6!$C$8,Sheet6!$C$8,"")))))))</f>
        <v/>
      </c>
      <c r="BJ40" s="57" t="str">
        <f>IF(Tim!EQ42=Sheet6!$C$2,Sheet6!$C$2,IF(Tim!EQ42=Sheet6!$C$3,Sheet6!$C$3,IF(Tim!EQ42=Sheet6!$C$4,Sheet6!$C$4,IF(Tim!EQ42=Sheet6!$C$5,Sheet6!$C$5,IF(Tim!EQ42=Sheet6!$C$6,Sheet6!$C$6,IF(Tim!EQ42=Sheet6!$C$7,Sheet6!$C$7,IF(Tim!EQ42=Sheet6!$C$8,Sheet6!$C$8,"")))))))</f>
        <v/>
      </c>
      <c r="BK40" s="57" t="str">
        <f>IF(Tim!ER42=Sheet6!$C$2,Sheet6!$C$2,IF(Tim!ER42=Sheet6!$C$3,Sheet6!$C$3,IF(Tim!ER42=Sheet6!$C$4,Sheet6!$C$4,IF(Tim!ER42=Sheet6!$C$5,Sheet6!$C$5,IF(Tim!ER42=Sheet6!$C$6,Sheet6!$C$6,IF(Tim!ER42=Sheet6!$C$7,Sheet6!$C$7,IF(Tim!ER42=Sheet6!$C$8,Sheet6!$C$8,"")))))))</f>
        <v/>
      </c>
      <c r="BL40" s="57" t="str">
        <f>IF(Tim!EZ42=Sheet6!$C$2,Sheet6!$C$2,IF(Tim!EZ42=Sheet6!$C$3,Sheet6!$C$3,IF(Tim!EZ42=Sheet6!$C$4,Sheet6!$C$4,IF(Tim!EZ42=Sheet6!$C$5,Sheet6!$C$5,IF(Tim!EZ42=Sheet6!$C$6,Sheet6!$C$6,IF(Tim!EZ42=Sheet6!$C$7,Sheet6!$C$7,IF(Tim!EZ42=Sheet6!$C$8,Sheet6!$C$8,"")))))))</f>
        <v/>
      </c>
      <c r="BM40" s="53" t="str">
        <f>IF(Tim!FG42=Sheet6!$C$2,Sheet6!$C$2,IF(Tim!FG42=Sheet6!$C$3,Sheet6!$C$3,IF(Tim!FG42=Sheet6!$C$4,Sheet6!$C$4,IF(Tim!FG42=Sheet6!$C$5,Sheet6!$C$5,IF(Tim!FG42=Sheet6!$C$6,Sheet6!$C$6,IF(Tim!FG42=Sheet6!$C$7,Sheet6!$C$7,IF(Tim!FG42=Sheet6!$C$8,Sheet6!$C$8,"")))))))</f>
        <v/>
      </c>
      <c r="BN40" s="181" t="str">
        <f>IF(Tim!FH42=Sheet6!$C$2,Sheet6!$C$2,IF(Tim!FH42=Sheet6!$C$3,Sheet6!$C$3,IF(Tim!FH42=Sheet6!$C$4,Sheet6!$C$4,IF(Tim!FH42=Sheet6!$C$5,Sheet6!$C$5,IF(Tim!FH42=Sheet6!$C$6,Sheet6!$C$6,IF(Tim!FH42=Sheet6!$C$7,Sheet6!$C$7,IF(Tim!FH42=Sheet6!$C$8,Sheet6!$C$8,"")))))))</f>
        <v/>
      </c>
      <c r="BO40" s="181" t="str">
        <f>IF(Tim!FP42=Sheet6!$C$2,Sheet6!$C$2,IF(Tim!FP42=Sheet6!$C$3,Sheet6!$C$3,IF(Tim!FP42=Sheet6!$C$4,Sheet6!$C$4,IF(Tim!FP42=Sheet6!$C$5,Sheet6!$C$5,IF(Tim!FP42=Sheet6!$C$6,Sheet6!$C$6,IF(Tim!FP42=Sheet6!$C$7,Sheet6!$C$7,IF(Tim!FP42=Sheet6!$C$8,Sheet6!$C$8,"")))))))</f>
        <v/>
      </c>
      <c r="BP40" s="181" t="str">
        <f>IF(Tim!FQ42=Sheet6!$C$2,Sheet6!$C$2,IF(Tim!FQ42=Sheet6!$C$3,Sheet6!$C$3,IF(Tim!FQ42=Sheet6!$C$4,Sheet6!$C$4,IF(Tim!FQ42=Sheet6!$C$5,Sheet6!$C$5,IF(Tim!FQ42=Sheet6!$C$6,Sheet6!$C$6,IF(Tim!FQ42=Sheet6!$C$7,Sheet6!$C$7,IF(Tim!FQ42=Sheet6!$C$8,Sheet6!$C$8,"")))))))</f>
        <v/>
      </c>
      <c r="BQ40" s="53" t="str">
        <f>IF(Tim!FR42=Sheet6!$C$2,Sheet6!$C$2,IF(Tim!FR42=Sheet6!$C$3,Sheet6!$C$3,IF(Tim!FR42=Sheet6!$C$4,Sheet6!$C$4,IF(Tim!FR42=Sheet6!$C$5,Sheet6!$C$5,IF(Tim!FR42=Sheet6!$C$6,Sheet6!$C$6,IF(Tim!FR42=Sheet6!$C$7,Sheet6!$C$7,IF(Tim!FR42=Sheet6!$C$8,Sheet6!$C$8,"")))))))</f>
        <v/>
      </c>
      <c r="BR40" s="53" t="str">
        <f>IF(Tim!FS42=Sheet6!$C$2,Sheet6!$C$2,IF(Tim!FS42=Sheet6!$C$3,Sheet6!$C$3,IF(Tim!FS42=Sheet6!$C$4,Sheet6!$C$4,IF(Tim!FS42=Sheet6!$C$5,Sheet6!$C$5,IF(Tim!FS42=Sheet6!$C$6,Sheet6!$C$6,IF(Tim!FS42=Sheet6!$C$7,Sheet6!$C$7,IF(Tim!FS42=Sheet6!$C$8,Sheet6!$C$8,"")))))))</f>
        <v/>
      </c>
      <c r="BS40" s="53" t="str">
        <f>IF(Tim!FT42=Sheet6!$C$2,Sheet6!$C$2,IF(Tim!FT42=Sheet6!$C$3,Sheet6!$C$3,IF(Tim!FT42=Sheet6!$C$4,Sheet6!$C$4,IF(Tim!FT42=Sheet6!$C$5,Sheet6!$C$5,IF(Tim!FT42=Sheet6!$C$6,Sheet6!$C$6,IF(Tim!FT42=Sheet6!$C$7,Sheet6!$C$7,IF(Tim!FT42=Sheet6!$C$8,Sheet6!$C$8,"")))))))</f>
        <v/>
      </c>
      <c r="BT40" s="53" t="str">
        <f>IF(Tim!FU42=Sheet6!$C$2,Sheet6!$C$2,IF(Tim!FU42=Sheet6!$C$3,Sheet6!$C$3,IF(Tim!FU42=Sheet6!$C$4,Sheet6!$C$4,IF(Tim!FU42=Sheet6!$C$5,Sheet6!$C$5,IF(Tim!FU42=Sheet6!$C$6,Sheet6!$C$6,IF(Tim!FU42=Sheet6!$C$7,Sheet6!$C$7,IF(Tim!FU42=Sheet6!$C$8,Sheet6!$C$8,"")))))))</f>
        <v/>
      </c>
      <c r="BU40" s="53" t="str">
        <f>IF(Tim!FY42=Sheet6!$C$2,Sheet6!$C$2,IF(Tim!FY42=Sheet6!$C$3,Sheet6!$C$3,IF(Tim!FY42=Sheet6!$C$4,Sheet6!$C$4,IF(Tim!FY42=Sheet6!$C$5,Sheet6!$C$5,IF(Tim!FY42=Sheet6!$C$6,Sheet6!$C$6,IF(Tim!FY42=Sheet6!$C$7,Sheet6!$C$7,IF(Tim!FY42=Sheet6!$C$8,Sheet6!$C$8,"")))))))</f>
        <v/>
      </c>
      <c r="BV40" s="54" t="str">
        <f>IF(Tim!FZ42=Sheet6!$C$2,Sheet6!$C$2,IF(Tim!FZ42=Sheet6!$C$3,Sheet6!$C$3,IF(Tim!FZ42=Sheet6!$C$4,Sheet6!$C$4,IF(Tim!FZ42=Sheet6!$C$5,Sheet6!$C$5,IF(Tim!FZ42=Sheet6!$C$6,Sheet6!$C$6,IF(Tim!FZ42=Sheet6!$C$7,Sheet6!$C$7,IF(Tim!FZ42=Sheet6!$C$8,Sheet6!$C$8,"")))))))</f>
        <v/>
      </c>
      <c r="BW40" s="54" t="str">
        <f>IF(Tim!GA42=Sheet6!$C$2,Sheet6!$C$2,IF(Tim!GA42=Sheet6!$C$3,Sheet6!$C$3,IF(Tim!GA42=Sheet6!$C$4,Sheet6!$C$4,IF(Tim!GA42=Sheet6!$C$5,Sheet6!$C$5,IF(Tim!GA42=Sheet6!$C$6,Sheet6!$C$6,IF(Tim!GA42=Sheet6!$C$7,Sheet6!$C$7,IF(Tim!GA42=Sheet6!$C$8,Sheet6!$C$8,"")))))))</f>
        <v/>
      </c>
      <c r="BX40" s="54" t="str">
        <f>IF(Tim!GB42=Sheet6!$C$2,Sheet6!$C$2,IF(Tim!GB42=Sheet6!$C$3,Sheet6!$C$3,IF(Tim!GB42=Sheet6!$C$4,Sheet6!$C$4,IF(Tim!GB42=Sheet6!$C$5,Sheet6!$C$5,IF(Tim!GB42=Sheet6!$C$6,Sheet6!$C$6,IF(Tim!GB42=Sheet6!$C$7,Sheet6!$C$7,IF(Tim!GB42=Sheet6!$C$8,Sheet6!$C$8,"")))))))</f>
        <v/>
      </c>
      <c r="BY40" s="55" t="str">
        <f>IF(Tim!GC42=Sheet6!$C$2,Sheet6!$C$2,IF(Tim!GC42=Sheet6!$C$3,Sheet6!$C$3,IF(Tim!GC42=Sheet6!$C$4,Sheet6!$C$4,IF(Tim!GC42=Sheet6!$C$5,Sheet6!$C$5,IF(Tim!GC42=Sheet6!$C$6,Sheet6!$C$6,IF(Tim!GC42=Sheet6!$C$7,Sheet6!$C$7,IF(Tim!GC42=Sheet6!$C$8,Sheet6!$C$8,"")))))))</f>
        <v/>
      </c>
      <c r="BZ40" s="53" t="str">
        <f>IF(Tim!GD42=Sheet6!$C$2,Sheet6!$C$2,IF(Tim!GD42=Sheet6!$C$3,Sheet6!$C$3,IF(Tim!GD42=Sheet6!$C$4,Sheet6!$C$4,IF(Tim!GD42=Sheet6!$C$5,Sheet6!$C$5,IF(Tim!GD42=Sheet6!$C$6,Sheet6!$C$6,IF(Tim!GD42=Sheet6!$C$7,Sheet6!$C$7,IF(Tim!GD42=Sheet6!$C$8,Sheet6!$C$8,"")))))))</f>
        <v/>
      </c>
      <c r="CA40" s="53" t="str">
        <f>IF(Tim!GE42=Sheet6!$C$2,Sheet6!$C$2,IF(Tim!GE42=Sheet6!$C$3,Sheet6!$C$3,IF(Tim!GE42=Sheet6!$C$4,Sheet6!$C$4,IF(Tim!GE42=Sheet6!$C$5,Sheet6!$C$5,IF(Tim!GE42=Sheet6!$C$6,Sheet6!$C$6,IF(Tim!GE42=Sheet6!$C$7,Sheet6!$C$7,IF(Tim!GE42=Sheet6!$C$8,Sheet6!$C$8,"")))))))</f>
        <v/>
      </c>
      <c r="CB40" s="57" t="str">
        <f>IF(Tim!GI42=Sheet6!$C$2,Sheet6!$C$2,IF(Tim!GI42=Sheet6!$C$3,Sheet6!$C$3,IF(Tim!GI42=Sheet6!$C$4,Sheet6!$C$4,IF(Tim!GI42=Sheet6!$C$5,Sheet6!$C$5,IF(Tim!GI42=Sheet6!$C$6,Sheet6!$C$6,IF(Tim!GI42=Sheet6!$C$7,Sheet6!$C$7,IF(Tim!GI42=Sheet6!$C$8,Sheet6!$C$8,"")))))))</f>
        <v/>
      </c>
      <c r="CC40" s="57" t="str">
        <f>IF(Tim!GJ42=Sheet6!$C$2,Sheet6!$C$2,IF(Tim!GJ42=Sheet6!$C$3,Sheet6!$C$3,IF(Tim!GJ42=Sheet6!$C$4,Sheet6!$C$4,IF(Tim!GJ42=Sheet6!$C$5,Sheet6!$C$5,IF(Tim!GJ42=Sheet6!$C$6,Sheet6!$C$6,IF(Tim!GJ42=Sheet6!$C$7,Sheet6!$C$7,IF(Tim!GJ42=Sheet6!$C$8,Sheet6!$C$8,"")))))))</f>
        <v/>
      </c>
      <c r="CD40" s="57" t="str">
        <f>IF(Tim!GN42=Sheet6!$C$2,Sheet6!$C$2,IF(Tim!GN42=Sheet6!$C$3,Sheet6!$C$3,IF(Tim!GN42=Sheet6!$C$4,Sheet6!$C$4,IF(Tim!GN42=Sheet6!$C$5,Sheet6!$C$5,IF(Tim!GN42=Sheet6!$C$6,Sheet6!$C$6,IF(Tim!GN42=Sheet6!$C$7,Sheet6!$C$7,IF(Tim!GN42=Sheet6!$C$8,Sheet6!$C$8,"")))))))</f>
        <v/>
      </c>
      <c r="CE40" s="53" t="str">
        <f>IF(Tim!GY42=Sheet6!$C$2,Sheet6!$C$2,IF(Tim!GY42=Sheet6!$C$3,Sheet6!$C$3,IF(Tim!GY42=Sheet6!$C$4,Sheet6!$C$4,IF(Tim!GY42=Sheet6!$C$5,Sheet6!$C$5,IF(Tim!GY42=Sheet6!$C$6,Sheet6!$C$6,IF(Tim!GY42=Sheet6!$C$7,Sheet6!$C$7,IF(Tim!GY42=Sheet6!$C$8,Sheet6!$C$8,"")))))))</f>
        <v/>
      </c>
      <c r="CF40" s="181" t="str">
        <f>IF(Tim!GZ42=Sheet6!$C$2,Sheet6!$C$2,IF(Tim!GZ42=Sheet6!$C$3,Sheet6!$C$3,IF(Tim!GZ42=Sheet6!$C$4,Sheet6!$C$4,IF(Tim!GZ42=Sheet6!$C$5,Sheet6!$C$5,IF(Tim!GZ42=Sheet6!$C$6,Sheet6!$C$6,IF(Tim!GZ42=Sheet6!$C$7,Sheet6!$C$7,IF(Tim!GZ42=Sheet6!$C$8,Sheet6!$C$8,"")))))))</f>
        <v/>
      </c>
      <c r="CG40" s="181" t="str">
        <f>IF(Tim!HH42=Sheet6!$C$2,Sheet6!$C$2,IF(Tim!HH42=Sheet6!$C$3,Sheet6!$C$3,IF(Tim!HH42=Sheet6!$C$4,Sheet6!$C$4,IF(Tim!HH42=Sheet6!$C$5,Sheet6!$C$5,IF(Tim!HH42=Sheet6!$C$6,Sheet6!$C$6,IF(Tim!HH42=Sheet6!$C$7,Sheet6!$C$7,IF(Tim!HH42=Sheet6!$C$8,Sheet6!$C$8,"")))))))</f>
        <v/>
      </c>
      <c r="CH40" s="181" t="str">
        <f>IF(Tim!HI42=Sheet6!$C$2,Sheet6!$C$2,IF(Tim!HI42=Sheet6!$C$3,Sheet6!$C$3,IF(Tim!HI42=Sheet6!$C$4,Sheet6!$C$4,IF(Tim!HI42=Sheet6!$C$5,Sheet6!$C$5,IF(Tim!HI42=Sheet6!$C$6,Sheet6!$C$6,IF(Tim!HI42=Sheet6!$C$7,Sheet6!$C$7,IF(Tim!HI42=Sheet6!$C$8,Sheet6!$C$8,"")))))))</f>
        <v/>
      </c>
      <c r="CI40" s="53" t="str">
        <f>IF(Tim!HJ42=Sheet6!$C$2,Sheet6!$C$2,IF(Tim!HJ42=Sheet6!$C$3,Sheet6!$C$3,IF(Tim!HJ42=Sheet6!$C$4,Sheet6!$C$4,IF(Tim!HJ42=Sheet6!$C$5,Sheet6!$C$5,IF(Tim!HJ42=Sheet6!$C$6,Sheet6!$C$6,IF(Tim!HJ42=Sheet6!$C$7,Sheet6!$C$7,IF(Tim!HJ42=Sheet6!$C$8,Sheet6!$C$8,"")))))))</f>
        <v/>
      </c>
      <c r="CJ40" s="53" t="str">
        <f>IF(Tim!HK42=Sheet6!$C$2,Sheet6!$C$2,IF(Tim!HK42=Sheet6!$C$3,Sheet6!$C$3,IF(Tim!HK42=Sheet6!$C$4,Sheet6!$C$4,IF(Tim!HK42=Sheet6!$C$5,Sheet6!$C$5,IF(Tim!HK42=Sheet6!$C$6,Sheet6!$C$6,IF(Tim!HK42=Sheet6!$C$7,Sheet6!$C$7,IF(Tim!HK42=Sheet6!$C$8,Sheet6!$C$8,"")))))))</f>
        <v/>
      </c>
      <c r="CK40" s="53" t="str">
        <f>IF(Tim!HL42=Sheet6!$C$2,Sheet6!$C$2,IF(Tim!HL42=Sheet6!$C$3,Sheet6!$C$3,IF(Tim!HL42=Sheet6!$C$4,Sheet6!$C$4,IF(Tim!HL42=Sheet6!$C$5,Sheet6!$C$5,IF(Tim!HL42=Sheet6!$C$6,Sheet6!$C$6,IF(Tim!HL42=Sheet6!$C$7,Sheet6!$C$7,IF(Tim!HL42=Sheet6!$C$8,Sheet6!$C$8,"")))))))</f>
        <v/>
      </c>
      <c r="CL40" s="53" t="str">
        <f>IF(Tim!HM42=Sheet6!$C$2,Sheet6!$C$2,IF(Tim!HM42=Sheet6!$C$3,Sheet6!$C$3,IF(Tim!HM42=Sheet6!$C$4,Sheet6!$C$4,IF(Tim!HM42=Sheet6!$C$5,Sheet6!$C$5,IF(Tim!HM42=Sheet6!$C$6,Sheet6!$C$6,IF(Tim!HM42=Sheet6!$C$7,Sheet6!$C$7,IF(Tim!HM42=Sheet6!$C$8,Sheet6!$C$8,"")))))))</f>
        <v/>
      </c>
      <c r="CM40" s="53" t="str">
        <f>IF(Tim!HQ42=Sheet6!$C$2,Sheet6!$C$2,IF(Tim!HQ42=Sheet6!$C$3,Sheet6!$C$3,IF(Tim!HQ42=Sheet6!$C$4,Sheet6!$C$4,IF(Tim!HQ42=Sheet6!$C$5,Sheet6!$C$5,IF(Tim!HQ42=Sheet6!$C$6,Sheet6!$C$6,IF(Tim!HQ42=Sheet6!$C$7,Sheet6!$C$7,IF(Tim!HQ42=Sheet6!$C$8,Sheet6!$C$8,"")))))))</f>
        <v/>
      </c>
      <c r="CN40" s="54" t="str">
        <f>IF(Tim!HR42=Sheet6!$C$2,Sheet6!$C$2,IF(Tim!HR42=Sheet6!$C$3,Sheet6!$C$3,IF(Tim!HR42=Sheet6!$C$4,Sheet6!$C$4,IF(Tim!HR42=Sheet6!$C$5,Sheet6!$C$5,IF(Tim!HR42=Sheet6!$C$6,Sheet6!$C$6,IF(Tim!HR42=Sheet6!$C$7,Sheet6!$C$7,IF(Tim!HR42=Sheet6!$C$8,Sheet6!$C$8,"")))))))</f>
        <v/>
      </c>
      <c r="CO40" s="54" t="str">
        <f>IF(Tim!HS42=Sheet6!$C$2,Sheet6!$C$2,IF(Tim!HS42=Sheet6!$C$3,Sheet6!$C$3,IF(Tim!HS42=Sheet6!$C$4,Sheet6!$C$4,IF(Tim!HS42=Sheet6!$C$5,Sheet6!$C$5,IF(Tim!HS42=Sheet6!$C$6,Sheet6!$C$6,IF(Tim!HS42=Sheet6!$C$7,Sheet6!$C$7,IF(Tim!HS42=Sheet6!$C$8,Sheet6!$C$8,"")))))))</f>
        <v/>
      </c>
      <c r="CP40" s="54" t="str">
        <f>IF(Tim!HT42=Sheet6!$C$2,Sheet6!$C$2,IF(Tim!HT42=Sheet6!$C$3,Sheet6!$C$3,IF(Tim!HT42=Sheet6!$C$4,Sheet6!$C$4,IF(Tim!HT42=Sheet6!$C$5,Sheet6!$C$5,IF(Tim!HT42=Sheet6!$C$6,Sheet6!$C$6,IF(Tim!HT42=Sheet6!$C$7,Sheet6!$C$7,IF(Tim!HT42=Sheet6!$C$8,Sheet6!$C$8,"")))))))</f>
        <v/>
      </c>
      <c r="CQ40" s="55" t="str">
        <f>IF(Tim!HU42=Sheet6!$C$2,Sheet6!$C$2,IF(Tim!HU42=Sheet6!$C$3,Sheet6!$C$3,IF(Tim!HU42=Sheet6!$C$4,Sheet6!$C$4,IF(Tim!HU42=Sheet6!$C$5,Sheet6!$C$5,IF(Tim!HU42=Sheet6!$C$6,Sheet6!$C$6,IF(Tim!HU42=Sheet6!$C$7,Sheet6!$C$7,IF(Tim!HU42=Sheet6!$C$8,Sheet6!$C$8,"")))))))</f>
        <v/>
      </c>
      <c r="CR40" s="56" t="str">
        <f>IF(Tim!HV42=Sheet6!$C$2,Sheet6!$C$2,IF(Tim!HV42=Sheet6!$C$3,Sheet6!$C$3,IF(Tim!HV42=Sheet6!$C$4,Sheet6!$C$4,IF(Tim!HV42=Sheet6!$C$5,Sheet6!$C$5,IF(Tim!HV42=Sheet6!$C$6,Sheet6!$C$6,IF(Tim!HV42=Sheet6!$C$7,Sheet6!$C$7,IF(Tim!HV42=Sheet6!$C$8,Sheet6!$C$8,"")))))))</f>
        <v/>
      </c>
      <c r="CS40" s="57" t="str">
        <f>IF(Tim!IB42=Sheet6!$C$2,Sheet6!$C$2,IF(Tim!IB42=Sheet6!$C$3,Sheet6!$C$3,IF(Tim!IB42=Sheet6!$C$4,Sheet6!$C$4,IF(Tim!IB42=Sheet6!$C$5,Sheet6!$C$5,IF(Tim!IB42=Sheet6!$C$6,Sheet6!$C$6,IF(Tim!IB42=Sheet6!$C$7,Sheet6!$C$7,IF(Tim!IB42=Sheet6!$C$8,Sheet6!$C$8,"")))))))</f>
        <v/>
      </c>
      <c r="CT40" s="57" t="str">
        <f>IF(Tim!IJ42=Sheet6!$C$2,Sheet6!$C$2,IF(Tim!IJ42=Sheet6!$C$3,Sheet6!$C$3,IF(Tim!IJ42=Sheet6!$C$4,Sheet6!$C$4,IF(Tim!IJ42=Sheet6!$C$5,Sheet6!$C$5,IF(Tim!IJ42=Sheet6!$C$6,Sheet6!$C$6,IF(Tim!IJ42=Sheet6!$C$7,Sheet6!$C$7,IF(Tim!IJ42=Sheet6!$C$8,Sheet6!$C$8,"")))))))</f>
        <v/>
      </c>
      <c r="CU40" s="57" t="str">
        <f>IF(Tim!IQ42=Sheet6!$C$2,Sheet6!$C$2,IF(Tim!IQ42=Sheet6!$C$3,Sheet6!$C$3,IF(Tim!IQ42=Sheet6!$C$4,Sheet6!$C$4,IF(Tim!IQ42=Sheet6!$C$5,Sheet6!$C$5,IF(Tim!IQ42=Sheet6!$C$6,Sheet6!$C$6,IF(Tim!IQ42=Sheet6!$C$7,Sheet6!$C$7,IF(Tim!IQ42=Sheet6!$C$8,Sheet6!$C$8,"")))))))</f>
        <v/>
      </c>
      <c r="CV40" s="53" t="str">
        <f>IF(Tim!IR42=Sheet6!$C$2,Sheet6!$C$2,IF(Tim!IR42=Sheet6!$C$3,Sheet6!$C$3,IF(Tim!IR42=Sheet6!$C$4,Sheet6!$C$4,IF(Tim!IR42=Sheet6!$C$5,Sheet6!$C$5,IF(Tim!IR42=Sheet6!$C$6,Sheet6!$C$6,IF(Tim!IR42=Sheet6!$C$7,Sheet6!$C$7,IF(Tim!IR42=Sheet6!$C$8,Sheet6!$C$8,"")))))))</f>
        <v/>
      </c>
      <c r="CW40" s="53" t="str">
        <f>IF(Tim!IZ42=Sheet6!$C$2,Sheet6!$C$2,IF(Tim!IZ42=Sheet6!$C$3,Sheet6!$C$3,IF(Tim!IZ42=Sheet6!$C$4,Sheet6!$C$4,IF(Tim!IZ42=Sheet6!$C$5,Sheet6!$C$5,IF(Tim!IZ42=Sheet6!$C$6,Sheet6!$C$6,IF(Tim!IZ42=Sheet6!$C$7,Sheet6!$C$7,IF(Tim!IZ42=Sheet6!$C$8,Sheet6!$C$8,"")))))))</f>
        <v/>
      </c>
      <c r="CX40" s="53" t="str">
        <f>IF(Tim!JA42=Sheet6!$C$2,Sheet6!$C$2,IF(Tim!JA42=Sheet6!$C$3,Sheet6!$C$3,IF(Tim!JA42=Sheet6!$C$4,Sheet6!$C$4,IF(Tim!JA42=Sheet6!$C$5,Sheet6!$C$5,IF(Tim!JA42=Sheet6!$C$6,Sheet6!$C$6,IF(Tim!JA42=Sheet6!$C$7,Sheet6!$C$7,IF(Tim!JA42=Sheet6!$C$8,Sheet6!$C$8,"")))))))</f>
        <v/>
      </c>
      <c r="CY40" s="53" t="str">
        <f>IF(Tim!JB42=Sheet6!$C$2,Sheet6!$C$2,IF(Tim!JB42=Sheet6!$C$3,Sheet6!$C$3,IF(Tim!JB42=Sheet6!$C$4,Sheet6!$C$4,IF(Tim!JB42=Sheet6!$C$5,Sheet6!$C$5,IF(Tim!JB42=Sheet6!$C$6,Sheet6!$C$6,IF(Tim!JB42=Sheet6!$C$7,Sheet6!$C$7,IF(Tim!JB42=Sheet6!$C$8,Sheet6!$C$8,"")))))))</f>
        <v/>
      </c>
      <c r="CZ40" s="53" t="str">
        <f>IF(Tim!JC42=Sheet6!$C$2,Sheet6!$C$2,IF(Tim!JC42=Sheet6!$C$3,Sheet6!$C$3,IF(Tim!JC42=Sheet6!$C$4,Sheet6!$C$4,IF(Tim!JC42=Sheet6!$C$5,Sheet6!$C$5,IF(Tim!JC42=Sheet6!$C$6,Sheet6!$C$6,IF(Tim!JC42=Sheet6!$C$7,Sheet6!$C$7,IF(Tim!JC42=Sheet6!$C$8,Sheet6!$C$8,"")))))))</f>
        <v/>
      </c>
      <c r="DA40" s="53" t="str">
        <f>IF(Tim!JD42=Sheet6!$C$2,Sheet6!$C$2,IF(Tim!JD42=Sheet6!$C$3,Sheet6!$C$3,IF(Tim!JD42=Sheet6!$C$4,Sheet6!$C$4,IF(Tim!JD42=Sheet6!$C$5,Sheet6!$C$5,IF(Tim!JD42=Sheet6!$C$6,Sheet6!$C$6,IF(Tim!JD42=Sheet6!$C$7,Sheet6!$C$7,IF(Tim!JD42=Sheet6!$C$8,Sheet6!$C$8,"")))))))</f>
        <v/>
      </c>
      <c r="DB40" s="53" t="str">
        <f>IF(Tim!JE42=Sheet6!$C$2,Sheet6!$C$2,IF(Tim!JE42=Sheet6!$C$3,Sheet6!$C$3,IF(Tim!JE42=Sheet6!$C$4,Sheet6!$C$4,IF(Tim!JE42=Sheet6!$C$5,Sheet6!$C$5,IF(Tim!JE42=Sheet6!$C$6,Sheet6!$C$6,IF(Tim!JE42=Sheet6!$C$7,Sheet6!$C$7,IF(Tim!JE42=Sheet6!$C$8,Sheet6!$C$8,"")))))))</f>
        <v/>
      </c>
      <c r="DC40" s="53" t="str">
        <f>IF(Tim!JI42=Sheet6!$C$2,Sheet6!$C$2,IF(Tim!JI42=Sheet6!$C$3,Sheet6!$C$3,IF(Tim!JI42=Sheet6!$C$4,Sheet6!$C$4,IF(Tim!JI42=Sheet6!$C$5,Sheet6!$C$5,IF(Tim!JI42=Sheet6!$C$6,Sheet6!$C$6,IF(Tim!JI42=Sheet6!$C$7,Sheet6!$C$7,IF(Tim!JI42=Sheet6!$C$8,Sheet6!$C$8,"")))))))</f>
        <v/>
      </c>
      <c r="DD40" s="54" t="str">
        <f>IF(Tim!JJ42=Sheet6!$C$2,Sheet6!$C$2,IF(Tim!JJ42=Sheet6!$C$3,Sheet6!$C$3,IF(Tim!JJ42=Sheet6!$C$4,Sheet6!$C$4,IF(Tim!JJ42=Sheet6!$C$5,Sheet6!$C$5,IF(Tim!JJ42=Sheet6!$C$6,Sheet6!$C$6,IF(Tim!JJ42=Sheet6!$C$7,Sheet6!$C$7,IF(Tim!JJ42=Sheet6!$C$8,Sheet6!$C$8,"")))))))</f>
        <v/>
      </c>
      <c r="DE40" s="54" t="str">
        <f>IF(Tim!JK42=Sheet6!$C$2,Sheet6!$C$2,IF(Tim!JK42=Sheet6!$C$3,Sheet6!$C$3,IF(Tim!JK42=Sheet6!$C$4,Sheet6!$C$4,IF(Tim!JK42=Sheet6!$C$5,Sheet6!$C$5,IF(Tim!JK42=Sheet6!$C$6,Sheet6!$C$6,IF(Tim!JK42=Sheet6!$C$7,Sheet6!$C$7,IF(Tim!JK42=Sheet6!$C$8,Sheet6!$C$8,"")))))))</f>
        <v/>
      </c>
      <c r="DF40" s="54" t="str">
        <f>IF(Tim!JL42=Sheet6!$C$2,Sheet6!$C$2,IF(Tim!JL42=Sheet6!$C$3,Sheet6!$C$3,IF(Tim!JL42=Sheet6!$C$4,Sheet6!$C$4,IF(Tim!JL42=Sheet6!$C$5,Sheet6!$C$5,IF(Tim!JL42=Sheet6!$C$6,Sheet6!$C$6,IF(Tim!JL42=Sheet6!$C$7,Sheet6!$C$7,IF(Tim!JL42=Sheet6!$C$8,Sheet6!$C$8,"")))))))</f>
        <v/>
      </c>
      <c r="DG40" s="55" t="str">
        <f>IF(Tim!JM42=Sheet6!$C$2,Sheet6!$C$2,IF(Tim!JM42=Sheet6!$C$3,Sheet6!$C$3,IF(Tim!JM42=Sheet6!$C$4,Sheet6!$C$4,IF(Tim!JM42=Sheet6!$C$5,Sheet6!$C$5,IF(Tim!JM42=Sheet6!$C$6,Sheet6!$C$6,IF(Tim!JM42=Sheet6!$C$7,Sheet6!$C$7,IF(Tim!JM42=Sheet6!$C$8,Sheet6!$C$8,"")))))))</f>
        <v/>
      </c>
      <c r="DH40" s="56" t="str">
        <f>IF(Tim!JN42=Sheet6!$C$2,Sheet6!$C$2,IF(Tim!JN42=Sheet6!$C$3,Sheet6!$C$3,IF(Tim!JN42=Sheet6!$C$4,Sheet6!$C$4,IF(Tim!JN42=Sheet6!$C$5,Sheet6!$C$5,IF(Tim!JN42=Sheet6!$C$6,Sheet6!$C$6,IF(Tim!JN42=Sheet6!$C$7,Sheet6!$C$7,IF(Tim!JN42=Sheet6!$C$8,Sheet6!$C$8,"")))))))</f>
        <v/>
      </c>
      <c r="DI40" s="57" t="str">
        <f>IF(Tim!JS42=Sheet6!$C$2,Sheet6!$C$2,IF(Tim!JS42=Sheet6!$C$3,Sheet6!$C$3,IF(Tim!JS42=Sheet6!$C$4,Sheet6!$C$4,IF(Tim!JS42=Sheet6!$C$5,Sheet6!$C$5,IF(Tim!JS42=Sheet6!$C$6,Sheet6!$C$6,IF(Tim!JS42=Sheet6!$C$7,Sheet6!$C$7,IF(Tim!JS42=Sheet6!$C$8,Sheet6!$C$8,"")))))))</f>
        <v/>
      </c>
      <c r="DJ40" s="57" t="str">
        <f>IF(Tim!KB42=Sheet6!$C$2,Sheet6!$C$2,IF(Tim!KB42=Sheet6!$C$3,Sheet6!$C$3,IF(Tim!KB42=Sheet6!$C$4,Sheet6!$C$4,IF(Tim!KB42=Sheet6!$C$5,Sheet6!$C$5,IF(Tim!KB42=Sheet6!$C$6,Sheet6!$C$6,IF(Tim!KB42=Sheet6!$C$7,Sheet6!$C$7,IF(Tim!KB42=Sheet6!$C$8,Sheet6!$C$8,"")))))))</f>
        <v/>
      </c>
      <c r="DK40" s="53" t="str">
        <f>IF(Tim!KI42=Sheet6!$C$2,Sheet6!$C$2,IF(Tim!KI42=Sheet6!$C$3,Sheet6!$C$3,IF(Tim!KI42=Sheet6!$C$4,Sheet6!$C$4,IF(Tim!KI42=Sheet6!$C$5,Sheet6!$C$5,IF(Tim!KI42=Sheet6!$C$6,Sheet6!$C$6,IF(Tim!KI42=Sheet6!$C$7,Sheet6!$C$7,IF(Tim!KI42=Sheet6!$C$8,Sheet6!$C$8,"")))))))</f>
        <v/>
      </c>
      <c r="DL40" s="53" t="str">
        <f>IF(Tim!KJ42=Sheet6!$C$2,Sheet6!$C$2,IF(Tim!KJ42=Sheet6!$C$3,Sheet6!$C$3,IF(Tim!KJ42=Sheet6!$C$4,Sheet6!$C$4,IF(Tim!KJ42=Sheet6!$C$5,Sheet6!$C$5,IF(Tim!KJ42=Sheet6!$C$6,Sheet6!$C$6,IF(Tim!KJ42=Sheet6!$C$7,Sheet6!$C$7,IF(Tim!KJ42=Sheet6!$C$8,Sheet6!$C$8,"")))))))</f>
        <v/>
      </c>
      <c r="DM40" s="53" t="str">
        <f>IF(Tim!KR42=Sheet6!$C$2,Sheet6!$C$2,IF(Tim!KR42=Sheet6!$C$3,Sheet6!$C$3,IF(Tim!KR42=Sheet6!$C$4,Sheet6!$C$4,IF(Tim!KR42=Sheet6!$C$5,Sheet6!$C$5,IF(Tim!KR42=Sheet6!$C$6,Sheet6!$C$6,IF(Tim!KR42=Sheet6!$C$7,Sheet6!$C$7,IF(Tim!KR42=Sheet6!$C$8,Sheet6!$C$8,"")))))))</f>
        <v/>
      </c>
      <c r="DN40" s="53" t="str">
        <f>IF(Tim!KS42=Sheet6!$C$2,Sheet6!$C$2,IF(Tim!KS42=Sheet6!$C$3,Sheet6!$C$3,IF(Tim!KS42=Sheet6!$C$4,Sheet6!$C$4,IF(Tim!KS42=Sheet6!$C$5,Sheet6!$C$5,IF(Tim!KS42=Sheet6!$C$6,Sheet6!$C$6,IF(Tim!KS42=Sheet6!$C$7,Sheet6!$C$7,IF(Tim!KS42=Sheet6!$C$8,Sheet6!$C$8,"")))))))</f>
        <v/>
      </c>
      <c r="DO40" s="53" t="str">
        <f>IF(Tim!KT42=Sheet6!$C$2,Sheet6!$C$2,IF(Tim!KT42=Sheet6!$C$3,Sheet6!$C$3,IF(Tim!KT42=Sheet6!$C$4,Sheet6!$C$4,IF(Tim!KT42=Sheet6!$C$5,Sheet6!$C$5,IF(Tim!KT42=Sheet6!$C$6,Sheet6!$C$6,IF(Tim!KT42=Sheet6!$C$7,Sheet6!$C$7,IF(Tim!KT42=Sheet6!$C$8,Sheet6!$C$8,"")))))))</f>
        <v/>
      </c>
      <c r="DP40" s="53" t="str">
        <f>IF(Tim!KU42=Sheet6!$C$2,Sheet6!$C$2,IF(Tim!KU42=Sheet6!$C$3,Sheet6!$C$3,IF(Tim!KU42=Sheet6!$C$4,Sheet6!$C$4,IF(Tim!KU42=Sheet6!$C$5,Sheet6!$C$5,IF(Tim!KU42=Sheet6!$C$6,Sheet6!$C$6,IF(Tim!KU42=Sheet6!$C$7,Sheet6!$C$7,IF(Tim!KU42=Sheet6!$C$8,Sheet6!$C$8,"")))))))</f>
        <v/>
      </c>
      <c r="DQ40" s="53" t="str">
        <f>IF(Tim!KV42=Sheet6!$C$2,Sheet6!$C$2,IF(Tim!KV42=Sheet6!$C$3,Sheet6!$C$3,IF(Tim!KV42=Sheet6!$C$4,Sheet6!$C$4,IF(Tim!KV42=Sheet6!$C$5,Sheet6!$C$5,IF(Tim!KV42=Sheet6!$C$6,Sheet6!$C$6,IF(Tim!KV42=Sheet6!$C$7,Sheet6!$C$7,IF(Tim!KV42=Sheet6!$C$8,Sheet6!$C$8,"")))))))</f>
        <v/>
      </c>
      <c r="DR40" s="53" t="str">
        <f>IF(Tim!KW42=Sheet6!$C$2,Sheet6!$C$2,IF(Tim!KW42=Sheet6!$C$3,Sheet6!$C$3,IF(Tim!KW42=Sheet6!$C$4,Sheet6!$C$4,IF(Tim!KW42=Sheet6!$C$5,Sheet6!$C$5,IF(Tim!KW42=Sheet6!$C$6,Sheet6!$C$6,IF(Tim!KW42=Sheet6!$C$7,Sheet6!$C$7,IF(Tim!KW42=Sheet6!$C$8,Sheet6!$C$8,"")))))))</f>
        <v/>
      </c>
      <c r="DS40" s="53" t="str">
        <f>IF(Tim!LA42=Sheet6!$C$2,Sheet6!$C$2,IF(Tim!LA42=Sheet6!$C$3,Sheet6!$C$3,IF(Tim!LA42=Sheet6!$C$4,Sheet6!$C$4,IF(Tim!LA42=Sheet6!$C$5,Sheet6!$C$5,IF(Tim!LA42=Sheet6!$C$6,Sheet6!$C$6,IF(Tim!LA42=Sheet6!$C$7,Sheet6!$C$7,IF(Tim!LA42=Sheet6!$C$8,Sheet6!$C$8,"")))))))</f>
        <v/>
      </c>
      <c r="DT40" s="54" t="str">
        <f>IF(Tim!LB42=Sheet6!$C$2,Sheet6!$C$2,IF(Tim!LB42=Sheet6!$C$3,Sheet6!$C$3,IF(Tim!LB42=Sheet6!$C$4,Sheet6!$C$4,IF(Tim!LB42=Sheet6!$C$5,Sheet6!$C$5,IF(Tim!LB42=Sheet6!$C$6,Sheet6!$C$6,IF(Tim!LB42=Sheet6!$C$7,Sheet6!$C$7,IF(Tim!LB42=Sheet6!$C$8,Sheet6!$C$8,"")))))))</f>
        <v/>
      </c>
      <c r="DU40" s="54" t="str">
        <f>IF(Tim!LC42=Sheet6!$C$2,Sheet6!$C$2,IF(Tim!LC42=Sheet6!$C$3,Sheet6!$C$3,IF(Tim!LC42=Sheet6!$C$4,Sheet6!$C$4,IF(Tim!LC42=Sheet6!$C$5,Sheet6!$C$5,IF(Tim!LC42=Sheet6!$C$6,Sheet6!$C$6,IF(Tim!LC42=Sheet6!$C$7,Sheet6!$C$7,IF(Tim!LC42=Sheet6!$C$8,Sheet6!$C$8,"")))))))</f>
        <v/>
      </c>
      <c r="DV40" s="54" t="str">
        <f>IF(Tim!LD42=Sheet6!$C$2,Sheet6!$C$2,IF(Tim!LD42=Sheet6!$C$3,Sheet6!$C$3,IF(Tim!LD42=Sheet6!$C$4,Sheet6!$C$4,IF(Tim!LD42=Sheet6!$C$5,Sheet6!$C$5,IF(Tim!LD42=Sheet6!$C$6,Sheet6!$C$6,IF(Tim!LD42=Sheet6!$C$7,Sheet6!$C$7,IF(Tim!LD42=Sheet6!$C$8,Sheet6!$C$8,"")))))))</f>
        <v/>
      </c>
      <c r="DW40" s="55" t="str">
        <f>IF(Tim!LE42=Sheet6!$C$2,Sheet6!$C$2,IF(Tim!LE42=Sheet6!$C$3,Sheet6!$C$3,IF(Tim!LE42=Sheet6!$C$4,Sheet6!$C$4,IF(Tim!LE42=Sheet6!$C$5,Sheet6!$C$5,IF(Tim!LE42=Sheet6!$C$6,Sheet6!$C$6,IF(Tim!LE42=Sheet6!$C$7,Sheet6!$C$7,IF(Tim!LE42=Sheet6!$C$8,Sheet6!$C$8,"")))))))</f>
        <v/>
      </c>
      <c r="DX40" s="52">
        <v>0.656249999999999</v>
      </c>
    </row>
    <row r="41" spans="2:128" ht="10.5" customHeight="1">
      <c r="B41" s="51">
        <v>0.25</v>
      </c>
      <c r="C41" s="51">
        <v>0.25</v>
      </c>
      <c r="D41" s="51">
        <v>0.25</v>
      </c>
      <c r="E41" s="52">
        <v>0.66666666666666596</v>
      </c>
      <c r="F41" s="53" t="str">
        <f>IF(Tim!F43=Sheet6!$C$2,Sheet6!$C$2,IF(Tim!F43=Sheet6!$C$3,Sheet6!$C$3,IF(Tim!F43=Sheet6!$C$4,Sheet6!$C$4,IF(Tim!F43=Sheet6!$C$5,Sheet6!$C$5,IF(Tim!F43=Sheet6!$C$6,Sheet6!$C$6,IF(Tim!F43=Sheet6!$C$7,Sheet6!$C$7,IF(Tim!F43=Sheet6!$C$8,Sheet6!$C$8,"")))))))</f>
        <v/>
      </c>
      <c r="G41" s="53" t="str">
        <f>IF(Tim!G43=Sheet6!$C$2,Sheet6!$C$2,IF(Tim!G43=Sheet6!$C$3,Sheet6!$C$3,IF(Tim!G43=Sheet6!$C$4,Sheet6!$C$4,IF(Tim!G43=Sheet6!$C$5,Sheet6!$C$5,IF(Tim!G43=Sheet6!$C$6,Sheet6!$C$6,IF(Tim!G43=Sheet6!$C$7,Sheet6!$C$7,IF(Tim!G43=Sheet6!$C$8,Sheet6!$C$8,"")))))))</f>
        <v/>
      </c>
      <c r="H41" s="53" t="str">
        <f>IF(Tim!H43=Sheet6!$C$2,Sheet6!$C$2,IF(Tim!H43=Sheet6!$C$3,Sheet6!$C$3,IF(Tim!H43=Sheet6!$C$4,Sheet6!$C$4,IF(Tim!H43=Sheet6!$C$5,Sheet6!$C$5,IF(Tim!H43=Sheet6!$C$6,Sheet6!$C$6,IF(Tim!H43=Sheet6!$C$7,Sheet6!$C$7,IF(Tim!H43=Sheet6!$C$8,Sheet6!$C$8,"")))))))</f>
        <v/>
      </c>
      <c r="I41" s="53" t="str">
        <f>IF(Tim!L43=Sheet6!$C$2,Sheet6!$C$2,IF(Tim!L43=Sheet6!$C$3,Sheet6!$C$3,IF(Tim!L43=Sheet6!$C$4,Sheet6!$C$4,IF(Tim!L43=Sheet6!$C$5,Sheet6!$C$5,IF(Tim!L43=Sheet6!$C$6,Sheet6!$C$6,IF(Tim!L43=Sheet6!$C$7,Sheet6!$C$7,IF(Tim!L43=Sheet6!$C$8,Sheet6!$C$8,"")))))))</f>
        <v/>
      </c>
      <c r="J41" s="53" t="str">
        <f>IF(Tim!T43=Sheet6!$C$2,Sheet6!$C$2,IF(Tim!T43=Sheet6!$C$3,Sheet6!$C$3,IF(Tim!T43=Sheet6!$C$4,Sheet6!$C$4,IF(Tim!T43=Sheet6!$C$5,Sheet6!$C$5,IF(Tim!T43=Sheet6!$C$6,Sheet6!$C$6,IF(Tim!T43=Sheet6!$C$7,Sheet6!$C$7,IF(Tim!T43=Sheet6!$C$8,Sheet6!$C$8,"")))))))</f>
        <v/>
      </c>
      <c r="K41" s="53" t="str">
        <f>IF(Tim!AB43=Sheet6!$C$2,Sheet6!$C$2,IF(Tim!AB43=Sheet6!$C$3,Sheet6!$C$3,IF(Tim!AB43=Sheet6!$C$4,Sheet6!$C$4,IF(Tim!AB43=Sheet6!$C$5,Sheet6!$C$5,IF(Tim!AB43=Sheet6!$C$6,Sheet6!$C$6,IF(Tim!AB43=Sheet6!$C$7,Sheet6!$C$7,IF(Tim!AB43=Sheet6!$C$8,Sheet6!$C$8,"")))))))</f>
        <v/>
      </c>
      <c r="L41" s="53" t="str">
        <f>IF(Tim!AC43=Sheet6!$C$2,Sheet6!$C$2,IF(Tim!AC43=Sheet6!$C$3,Sheet6!$C$3,IF(Tim!AC43=Sheet6!$C$4,Sheet6!$C$4,IF(Tim!AC43=Sheet6!$C$5,Sheet6!$C$5,IF(Tim!AC43=Sheet6!$C$6,Sheet6!$C$6,IF(Tim!AC43=Sheet6!$C$7,Sheet6!$C$7,IF(Tim!AC43=Sheet6!$C$8,Sheet6!$C$8,"")))))))</f>
        <v/>
      </c>
      <c r="M41" s="53" t="str">
        <f>IF(Tim!AJ43=Sheet6!$C$2,Sheet6!$C$2,IF(Tim!AJ43=Sheet6!$C$3,Sheet6!$C$3,IF(Tim!AJ43=Sheet6!$C$4,Sheet6!$C$4,IF(Tim!AJ43=Sheet6!$C$5,Sheet6!$C$5,IF(Tim!AJ43=Sheet6!$C$6,Sheet6!$C$6,IF(Tim!AJ43=Sheet6!$C$7,Sheet6!$C$7,IF(Tim!AJ43=Sheet6!$C$8,Sheet6!$C$8,"")))))))</f>
        <v/>
      </c>
      <c r="N41" s="53" t="str">
        <f>IF(Tim!AK43=Sheet6!$C$2,Sheet6!$C$2,IF(Tim!AK43=Sheet6!$C$3,Sheet6!$C$3,IF(Tim!AK43=Sheet6!$C$4,Sheet6!$C$4,IF(Tim!AK43=Sheet6!$C$5,Sheet6!$C$5,IF(Tim!AK43=Sheet6!$C$6,Sheet6!$C$6,IF(Tim!AK43=Sheet6!$C$7,Sheet6!$C$7,IF(Tim!AK43=Sheet6!$C$8,Sheet6!$C$8,"")))))))</f>
        <v/>
      </c>
      <c r="O41" s="53" t="str">
        <f>IF(Tim!AL43=Sheet6!$C$2,Sheet6!$C$2,IF(Tim!AL43=Sheet6!$C$3,Sheet6!$C$3,IF(Tim!AL43=Sheet6!$C$4,Sheet6!$C$4,IF(Tim!AL43=Sheet6!$C$5,Sheet6!$C$5,IF(Tim!AL43=Sheet6!$C$6,Sheet6!$C$6,IF(Tim!AL43=Sheet6!$C$7,Sheet6!$C$7,IF(Tim!AL43=Sheet6!$C$8,Sheet6!$C$8,"")))))))</f>
        <v/>
      </c>
      <c r="P41" s="53" t="str">
        <f>IF(Tim!AN43=Sheet6!$C$2,Sheet6!$C$2,IF(Tim!AN43=Sheet6!$C$3,Sheet6!$C$3,IF(Tim!AN43=Sheet6!$C$4,Sheet6!$C$4,IF(Tim!AN43=Sheet6!$C$5,Sheet6!$C$5,IF(Tim!AN43=Sheet6!$C$6,Sheet6!$C$6,IF(Tim!AN43=Sheet6!$C$7,Sheet6!$C$7,IF(Tim!AN43=Sheet6!$C$8,Sheet6!$C$8,"")))))))</f>
        <v/>
      </c>
      <c r="Q41" s="53" t="str">
        <f>IF(Tim!AO43=Sheet6!$C$2,Sheet6!$C$2,IF(Tim!AO43=Sheet6!$C$3,Sheet6!$C$3,IF(Tim!AO43=Sheet6!$C$4,Sheet6!$C$4,IF(Tim!AO43=Sheet6!$C$5,Sheet6!$C$5,IF(Tim!AO43=Sheet6!$C$6,Sheet6!$C$6,IF(Tim!AO43=Sheet6!$C$7,Sheet6!$C$7,IF(Tim!AO43=Sheet6!$C$8,Sheet6!$C$8,"")))))))</f>
        <v/>
      </c>
      <c r="R41" s="53" t="str">
        <f>IF(Tim!AP43=Sheet6!$C$2,Sheet6!$C$2,IF(Tim!AP43=Sheet6!$C$3,Sheet6!$C$3,IF(Tim!AP43=Sheet6!$C$4,Sheet6!$C$4,IF(Tim!AP43=Sheet6!$C$5,Sheet6!$C$5,IF(Tim!AP43=Sheet6!$C$6,Sheet6!$C$6,IF(Tim!AP43=Sheet6!$C$7,Sheet6!$C$7,IF(Tim!AP43=Sheet6!$C$8,Sheet6!$C$8,"")))))))</f>
        <v/>
      </c>
      <c r="S41" s="53" t="str">
        <f>IF(Tim!AT43=Sheet6!$C$2,Sheet6!$C$2,IF(Tim!AT43=Sheet6!$C$3,Sheet6!$C$3,IF(Tim!AT43=Sheet6!$C$4,Sheet6!$C$4,IF(Tim!AT43=Sheet6!$C$5,Sheet6!$C$5,IF(Tim!AT43=Sheet6!$C$6,Sheet6!$C$6,IF(Tim!AT43=Sheet6!$C$7,Sheet6!$C$7,IF(Tim!AT43=Sheet6!$C$8,Sheet6!$C$8,"")))))))</f>
        <v/>
      </c>
      <c r="T41" s="54" t="str">
        <f>IF(Tim!AU43=Sheet6!$C$2,Sheet6!$C$2,IF(Tim!AU43=Sheet6!$C$3,Sheet6!$C$3,IF(Tim!AU43=Sheet6!$C$4,Sheet6!$C$4,IF(Tim!AU43=Sheet6!$C$5,Sheet6!$C$5,IF(Tim!AU43=Sheet6!$C$6,Sheet6!$C$6,IF(Tim!AU43=Sheet6!$C$7,Sheet6!$C$7,IF(Tim!AU43=Sheet6!$C$8,Sheet6!$C$8,"")))))))</f>
        <v/>
      </c>
      <c r="U41" s="54" t="str">
        <f>IF(Tim!AV43=Sheet6!$C$2,Sheet6!$C$2,IF(Tim!AV43=Sheet6!$C$3,Sheet6!$C$3,IF(Tim!AV43=Sheet6!$C$4,Sheet6!$C$4,IF(Tim!AV43=Sheet6!$C$5,Sheet6!$C$5,IF(Tim!AV43=Sheet6!$C$6,Sheet6!$C$6,IF(Tim!AV43=Sheet6!$C$7,Sheet6!$C$7,IF(Tim!AV43=Sheet6!$C$8,Sheet6!$C$8,"")))))))</f>
        <v/>
      </c>
      <c r="V41" s="54" t="str">
        <f>IF(Tim!AW43=Sheet6!$C$2,Sheet6!$C$2,IF(Tim!AW43=Sheet6!$C$3,Sheet6!$C$3,IF(Tim!AW43=Sheet6!$C$4,Sheet6!$C$4,IF(Tim!AW43=Sheet6!$C$5,Sheet6!$C$5,IF(Tim!AW43=Sheet6!$C$6,Sheet6!$C$6,IF(Tim!AW43=Sheet6!$C$7,Sheet6!$C$7,IF(Tim!AW43=Sheet6!$C$8,Sheet6!$C$8,"")))))))</f>
        <v/>
      </c>
      <c r="W41" s="55" t="str">
        <f>IF(Tim!AX43=Sheet6!$C$2,Sheet6!$C$2,IF(Tim!AX43=Sheet6!$C$3,Sheet6!$C$3,IF(Tim!AX43=Sheet6!$C$4,Sheet6!$C$4,IF(Tim!AX43=Sheet6!$C$5,Sheet6!$C$5,IF(Tim!AX43=Sheet6!$C$6,Sheet6!$C$6,IF(Tim!AX43=Sheet6!$C$7,Sheet6!$C$7,IF(Tim!AX43=Sheet6!$C$8,Sheet6!$C$8,"")))))))</f>
        <v/>
      </c>
      <c r="X41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Y41" s="57" t="str">
        <f>IF(Tim!AY43=Sheet6!$C$2,Sheet6!$C$2,IF(Tim!AY43=Sheet6!$C$3,Sheet6!$C$3,IF(Tim!AY43=Sheet6!$C$4,Sheet6!$C$4,IF(Tim!AY43=Sheet6!$C$5,Sheet6!$C$5,IF(Tim!AY43=Sheet6!$C$6,Sheet6!$C$6,IF(Tim!AY43=Sheet6!$C$7,Sheet6!$C$7,IF(Tim!AY43=Sheet6!$C$8,Sheet6!$C$8,"")))))))</f>
        <v/>
      </c>
      <c r="Z41" s="57" t="str">
        <f>IF(Tim!BD43=Sheet6!$C$2,Sheet6!$C$2,IF(Tim!BD43=Sheet6!$C$3,Sheet6!$C$3,IF(Tim!BD43=Sheet6!$C$4,Sheet6!$C$4,IF(Tim!BD43=Sheet6!$C$5,Sheet6!$C$5,IF(Tim!BD43=Sheet6!$C$6,Sheet6!$C$6,IF(Tim!BD43=Sheet6!$C$7,Sheet6!$C$7,IF(Tim!BD43=Sheet6!$C$8,Sheet6!$C$8,"")))))))</f>
        <v/>
      </c>
      <c r="AA41" s="57" t="str">
        <f>IF(Tim!BE43=Sheet6!$C$2,Sheet6!$C$2,IF(Tim!BE43=Sheet6!$C$3,Sheet6!$C$3,IF(Tim!BE43=Sheet6!$C$4,Sheet6!$C$4,IF(Tim!BE43=Sheet6!$C$5,Sheet6!$C$5,IF(Tim!BE43=Sheet6!$C$6,Sheet6!$C$6,IF(Tim!BE43=Sheet6!$C$7,Sheet6!$C$7,IF(Tim!BE43=Sheet6!$C$8,Sheet6!$C$8,"")))))))</f>
        <v/>
      </c>
      <c r="AB41" s="57" t="str">
        <f>IF(Tim!BL43=Sheet6!$C$2,Sheet6!$C$2,IF(Tim!BL43=Sheet6!$C$3,Sheet6!$C$3,IF(Tim!BL43=Sheet6!$C$4,Sheet6!$C$4,IF(Tim!BL43=Sheet6!$C$5,Sheet6!$C$5,IF(Tim!BL43=Sheet6!$C$6,Sheet6!$C$6,IF(Tim!BL43=Sheet6!$C$7,Sheet6!$C$7,IF(Tim!BL43=Sheet6!$C$8,Sheet6!$C$8,"")))))))</f>
        <v/>
      </c>
      <c r="AC41" s="53" t="str">
        <f>IF(Tim!BT43=Sheet6!$C$2,Sheet6!$C$2,IF(Tim!BT43=Sheet6!$C$3,Sheet6!$C$3,IF(Tim!BT43=Sheet6!$C$4,Sheet6!$C$4,IF(Tim!BT43=Sheet6!$C$5,Sheet6!$C$5,IF(Tim!BT43=Sheet6!$C$6,Sheet6!$C$6,IF(Tim!BT43=Sheet6!$C$7,Sheet6!$C$7,IF(Tim!BT43=Sheet6!$C$8,Sheet6!$C$8,"")))))))</f>
        <v/>
      </c>
      <c r="AD41" s="53" t="str">
        <f>IF(Tim!BU43=Sheet6!$C$2,Sheet6!$C$2,IF(Tim!BU43=Sheet6!$C$3,Sheet6!$C$3,IF(Tim!BU43=Sheet6!$C$4,Sheet6!$C$4,IF(Tim!BU43=Sheet6!$C$5,Sheet6!$C$5,IF(Tim!BU43=Sheet6!$C$6,Sheet6!$C$6,IF(Tim!BU43=Sheet6!$C$7,Sheet6!$C$7,IF(Tim!BU43=Sheet6!$C$8,Sheet6!$C$8,"")))))))</f>
        <v/>
      </c>
      <c r="AE41" s="53" t="str">
        <f>IF(Tim!CB43=Sheet6!$C$2,Sheet6!$C$2,IF(Tim!CB43=Sheet6!$C$3,Sheet6!$C$3,IF(Tim!CB43=Sheet6!$C$4,Sheet6!$C$4,IF(Tim!CB43=Sheet6!$C$5,Sheet6!$C$5,IF(Tim!CB43=Sheet6!$C$6,Sheet6!$C$6,IF(Tim!CB43=Sheet6!$C$7,Sheet6!$C$7,IF(Tim!CB43=Sheet6!$C$8,Sheet6!$C$8,"")))))))</f>
        <v/>
      </c>
      <c r="AF41" s="53" t="str">
        <f>IF(Tim!CD43=Sheet6!$C$2,Sheet6!$C$2,IF(Tim!CD43=Sheet6!$C$3,Sheet6!$C$3,IF(Tim!CD43=Sheet6!$C$4,Sheet6!$C$4,IF(Tim!CD43=Sheet6!$C$5,Sheet6!$C$5,IF(Tim!CD43=Sheet6!$C$6,Sheet6!$C$6,IF(Tim!CD43=Sheet6!$C$7,Sheet6!$C$7,IF(Tim!CD43=Sheet6!$C$8,Sheet6!$C$8,"")))))))</f>
        <v/>
      </c>
      <c r="AG41" s="53" t="str">
        <f>IF(Tim!CE43=Sheet6!$C$2,Sheet6!$C$2,IF(Tim!CE43=Sheet6!$C$3,Sheet6!$C$3,IF(Tim!CE43=Sheet6!$C$4,Sheet6!$C$4,IF(Tim!CE43=Sheet6!$C$5,Sheet6!$C$5,IF(Tim!CE43=Sheet6!$C$6,Sheet6!$C$6,IF(Tim!CE43=Sheet6!$C$7,Sheet6!$C$7,IF(Tim!CE43=Sheet6!$C$8,Sheet6!$C$8,"")))))))</f>
        <v/>
      </c>
      <c r="AH41" s="53" t="str">
        <f>IF(Tim!CF43=Sheet6!$C$2,Sheet6!$C$2,IF(Tim!CF43=Sheet6!$C$3,Sheet6!$C$3,IF(Tim!CF43=Sheet6!$C$4,Sheet6!$C$4,IF(Tim!CF43=Sheet6!$C$5,Sheet6!$C$5,IF(Tim!CF43=Sheet6!$C$6,Sheet6!$C$6,IF(Tim!CF43=Sheet6!$C$7,Sheet6!$C$7,IF(Tim!CF43=Sheet6!$C$8,Sheet6!$C$8,"")))))))</f>
        <v/>
      </c>
      <c r="AI41" s="53" t="str">
        <f>IF(Tim!CG43=Sheet6!$C$2,Sheet6!$C$2,IF(Tim!CG43=Sheet6!$C$3,Sheet6!$C$3,IF(Tim!CG43=Sheet6!$C$4,Sheet6!$C$4,IF(Tim!CG43=Sheet6!$C$5,Sheet6!$C$5,IF(Tim!CG43=Sheet6!$C$6,Sheet6!$C$6,IF(Tim!CG43=Sheet6!$C$7,Sheet6!$C$7,IF(Tim!CG43=Sheet6!$C$8,Sheet6!$C$8,"")))))))</f>
        <v/>
      </c>
      <c r="AJ41" s="53" t="str">
        <f>IF(Tim!CH43=Sheet6!$C$2,Sheet6!$C$2,IF(Tim!CH43=Sheet6!$C$3,Sheet6!$C$3,IF(Tim!CH43=Sheet6!$C$4,Sheet6!$C$4,IF(Tim!CH43=Sheet6!$C$5,Sheet6!$C$5,IF(Tim!CH43=Sheet6!$C$6,Sheet6!$C$6,IF(Tim!CH43=Sheet6!$C$7,Sheet6!$C$7,IF(Tim!CH43=Sheet6!$C$8,Sheet6!$C$8,"")))))))</f>
        <v/>
      </c>
      <c r="AK41" s="53" t="str">
        <f>IF(Tim!CL43=Sheet6!$C$2,Sheet6!$C$2,IF(Tim!CL43=Sheet6!$C$3,Sheet6!$C$3,IF(Tim!CL43=Sheet6!$C$4,Sheet6!$C$4,IF(Tim!CL43=Sheet6!$C$5,Sheet6!$C$5,IF(Tim!CL43=Sheet6!$C$6,Sheet6!$C$6,IF(Tim!CL43=Sheet6!$C$7,Sheet6!$C$7,IF(Tim!CL43=Sheet6!$C$8,Sheet6!$C$8,"")))))))</f>
        <v/>
      </c>
      <c r="AL41" s="54" t="str">
        <f>IF(Tim!CM43=Sheet6!$C$2,Sheet6!$C$2,IF(Tim!CM43=Sheet6!$C$3,Sheet6!$C$3,IF(Tim!CM43=Sheet6!$C$4,Sheet6!$C$4,IF(Tim!CM43=Sheet6!$C$5,Sheet6!$C$5,IF(Tim!CM43=Sheet6!$C$6,Sheet6!$C$6,IF(Tim!CM43=Sheet6!$C$7,Sheet6!$C$7,IF(Tim!CM43=Sheet6!$C$8,Sheet6!$C$8,"")))))))</f>
        <v/>
      </c>
      <c r="AM41" s="54" t="str">
        <f>IF(Tim!CN43=Sheet6!$C$2,Sheet6!$C$2,IF(Tim!CN43=Sheet6!$C$3,Sheet6!$C$3,IF(Tim!CN43=Sheet6!$C$4,Sheet6!$C$4,IF(Tim!CN43=Sheet6!$C$5,Sheet6!$C$5,IF(Tim!CN43=Sheet6!$C$6,Sheet6!$C$6,IF(Tim!CN43=Sheet6!$C$7,Sheet6!$C$7,IF(Tim!CN43=Sheet6!$C$8,Sheet6!$C$8,"")))))))</f>
        <v/>
      </c>
      <c r="AN41" s="54" t="str">
        <f>IF(Tim!CO43=Sheet6!$C$2,Sheet6!$C$2,IF(Tim!CO43=Sheet6!$C$3,Sheet6!$C$3,IF(Tim!CO43=Sheet6!$C$4,Sheet6!$C$4,IF(Tim!CO43=Sheet6!$C$5,Sheet6!$C$5,IF(Tim!CO43=Sheet6!$C$6,Sheet6!$C$6,IF(Tim!CO43=Sheet6!$C$7,Sheet6!$C$7,IF(Tim!CO43=Sheet6!$C$8,Sheet6!$C$8,"")))))))</f>
        <v/>
      </c>
      <c r="AO41" s="55" t="str">
        <f>IF(Tim!CP43=Sheet6!$C$2,Sheet6!$C$2,IF(Tim!CP43=Sheet6!$C$3,Sheet6!$C$3,IF(Tim!CP43=Sheet6!$C$4,Sheet6!$C$4,IF(Tim!CP43=Sheet6!$C$5,Sheet6!$C$5,IF(Tim!CP43=Sheet6!$C$6,Sheet6!$C$6,IF(Tim!CP43=Sheet6!$C$7,Sheet6!$C$7,IF(Tim!CP43=Sheet6!$C$8,Sheet6!$C$8,"")))))))</f>
        <v/>
      </c>
      <c r="AP41" s="53" t="str">
        <f>IF(Tim!CQ43=Sheet6!$C$2,Sheet6!$C$2,IF(Tim!CQ43=Sheet6!$C$3,Sheet6!$C$3,IF(Tim!CQ43=Sheet6!$C$4,Sheet6!$C$4,IF(Tim!CQ43=Sheet6!$C$5,Sheet6!$C$5,IF(Tim!CQ43=Sheet6!$C$6,Sheet6!$C$6,IF(Tim!CQ43=Sheet6!$C$7,Sheet6!$C$7,IF(Tim!CQ43=Sheet6!$C$8,Sheet6!$C$8,"")))))))</f>
        <v/>
      </c>
      <c r="AQ41" s="57" t="str">
        <f>IF(Tim!CR43=Sheet6!$C$2,Sheet6!$C$2,IF(Tim!CR43=Sheet6!$C$3,Sheet6!$C$3,IF(Tim!CR43=Sheet6!$C$4,Sheet6!$C$4,IF(Tim!CR43=Sheet6!$C$5,Sheet6!$C$5,IF(Tim!CR43=Sheet6!$C$6,Sheet6!$C$6,IF(Tim!CR43=Sheet6!$C$7,Sheet6!$C$7,IF(Tim!CR43=Sheet6!$C$8,Sheet6!$C$8,"")))))))</f>
        <v/>
      </c>
      <c r="AR41" s="57" t="str">
        <f>IF(Tim!CV43=Sheet6!$C$2,Sheet6!$C$2,IF(Tim!CV43=Sheet6!$C$3,Sheet6!$C$3,IF(Tim!CV43=Sheet6!$C$4,Sheet6!$C$4,IF(Tim!CV43=Sheet6!$C$5,Sheet6!$C$5,IF(Tim!CV43=Sheet6!$C$6,Sheet6!$C$6,IF(Tim!CV43=Sheet6!$C$7,Sheet6!$C$7,IF(Tim!CV43=Sheet6!$C$8,Sheet6!$C$8,"")))))))</f>
        <v/>
      </c>
      <c r="AS41" s="57" t="str">
        <f>IF(Tim!CW43=Sheet6!$C$2,Sheet6!$C$2,IF(Tim!CW43=Sheet6!$C$3,Sheet6!$C$3,IF(Tim!CW43=Sheet6!$C$4,Sheet6!$C$4,IF(Tim!CW43=Sheet6!$C$5,Sheet6!$C$5,IF(Tim!CW43=Sheet6!$C$6,Sheet6!$C$6,IF(Tim!CW43=Sheet6!$C$7,Sheet6!$C$7,IF(Tim!CW43=Sheet6!$C$8,Sheet6!$C$8,"")))))))</f>
        <v/>
      </c>
      <c r="AT41" s="57" t="str">
        <f>IF(Tim!DA43=Sheet6!$C$2,Sheet6!$C$2,IF(Tim!DA43=Sheet6!$C$3,Sheet6!$C$3,IF(Tim!DA43=Sheet6!$C$4,Sheet6!$C$4,IF(Tim!DA43=Sheet6!$C$5,Sheet6!$C$5,IF(Tim!DA43=Sheet6!$C$6,Sheet6!$C$6,IF(Tim!DA43=Sheet6!$C$7,Sheet6!$C$7,IF(Tim!DA43=Sheet6!$C$8,Sheet6!$C$8,"")))))))</f>
        <v/>
      </c>
      <c r="AU41" s="53" t="str">
        <f>IF(Tim!DO43=Sheet6!$C$2,Sheet6!$C$2,IF(Tim!DO43=Sheet6!$C$3,Sheet6!$C$3,IF(Tim!DO43=Sheet6!$C$4,Sheet6!$C$4,IF(Tim!DO43=Sheet6!$C$5,Sheet6!$C$5,IF(Tim!DO43=Sheet6!$C$6,Sheet6!$C$6,IF(Tim!DO43=Sheet6!$C$7,Sheet6!$C$7,IF(Tim!DO43=Sheet6!$C$8,Sheet6!$C$8,"")))))))</f>
        <v/>
      </c>
      <c r="AV41" s="53" t="str">
        <f>IF(Tim!DP43=Sheet6!$C$2,Sheet6!$C$2,IF(Tim!DP43=Sheet6!$C$3,Sheet6!$C$3,IF(Tim!DP43=Sheet6!$C$4,Sheet6!$C$4,IF(Tim!DP43=Sheet6!$C$5,Sheet6!$C$5,IF(Tim!DP43=Sheet6!$C$6,Sheet6!$C$6,IF(Tim!DP43=Sheet6!$C$7,Sheet6!$C$7,IF(Tim!DP43=Sheet6!$C$8,Sheet6!$C$8,"")))))))</f>
        <v/>
      </c>
      <c r="AW41" s="53" t="str">
        <f>IF(Tim!DX43=Sheet6!$C$2,Sheet6!$C$2,IF(Tim!DX43=Sheet6!$C$3,Sheet6!$C$3,IF(Tim!DX43=Sheet6!$C$4,Sheet6!$C$4,IF(Tim!DX43=Sheet6!$C$5,Sheet6!$C$5,IF(Tim!DX43=Sheet6!$C$6,Sheet6!$C$6,IF(Tim!DX43=Sheet6!$C$7,Sheet6!$C$7,IF(Tim!DX43=Sheet6!$C$8,Sheet6!$C$8,"")))))))</f>
        <v/>
      </c>
      <c r="AX41" s="53" t="str">
        <f>IF(Tim!DY43=Sheet6!$C$2,Sheet6!$C$2,IF(Tim!DY43=Sheet6!$C$3,Sheet6!$C$3,IF(Tim!DY43=Sheet6!$C$4,Sheet6!$C$4,IF(Tim!DY43=Sheet6!$C$5,Sheet6!$C$5,IF(Tim!DY43=Sheet6!$C$6,Sheet6!$C$6,IF(Tim!DY43=Sheet6!$C$7,Sheet6!$C$7,IF(Tim!DY43=Sheet6!$C$8,Sheet6!$C$8,"")))))))</f>
        <v/>
      </c>
      <c r="AY41" s="53" t="str">
        <f>IF(Tim!DZ43=Sheet6!$C$2,Sheet6!$C$2,IF(Tim!DZ43=Sheet6!$C$3,Sheet6!$C$3,IF(Tim!DZ43=Sheet6!$C$4,Sheet6!$C$4,IF(Tim!DZ43=Sheet6!$C$5,Sheet6!$C$5,IF(Tim!DZ43=Sheet6!$C$6,Sheet6!$C$6,IF(Tim!DZ43=Sheet6!$C$7,Sheet6!$C$7,IF(Tim!DZ43=Sheet6!$C$8,Sheet6!$C$8,"")))))))</f>
        <v/>
      </c>
      <c r="AZ41" s="53" t="str">
        <f>IF(Tim!EA43=Sheet6!$C$2,Sheet6!$C$2,IF(Tim!EA43=Sheet6!$C$3,Sheet6!$C$3,IF(Tim!EA43=Sheet6!$C$4,Sheet6!$C$4,IF(Tim!EA43=Sheet6!$C$5,Sheet6!$C$5,IF(Tim!EA43=Sheet6!$C$6,Sheet6!$C$6,IF(Tim!EA43=Sheet6!$C$7,Sheet6!$C$7,IF(Tim!EA43=Sheet6!$C$8,Sheet6!$C$8,"")))))))</f>
        <v/>
      </c>
      <c r="BA41" s="53" t="str">
        <f>IF(Tim!EB43=Sheet6!$C$2,Sheet6!$C$2,IF(Tim!EB43=Sheet6!$C$3,Sheet6!$C$3,IF(Tim!EB43=Sheet6!$C$4,Sheet6!$C$4,IF(Tim!EB43=Sheet6!$C$5,Sheet6!$C$5,IF(Tim!EB43=Sheet6!$C$6,Sheet6!$C$6,IF(Tim!EB43=Sheet6!$C$7,Sheet6!$C$7,IF(Tim!EB43=Sheet6!$C$8,Sheet6!$C$8,"")))))))</f>
        <v/>
      </c>
      <c r="BB41" s="53" t="str">
        <f>IF(Tim!EC43=Sheet6!$C$2,Sheet6!$C$2,IF(Tim!EC43=Sheet6!$C$3,Sheet6!$C$3,IF(Tim!EC43=Sheet6!$C$4,Sheet6!$C$4,IF(Tim!EC43=Sheet6!$C$5,Sheet6!$C$5,IF(Tim!EC43=Sheet6!$C$6,Sheet6!$C$6,IF(Tim!EC43=Sheet6!$C$7,Sheet6!$C$7,IF(Tim!EC43=Sheet6!$C$8,Sheet6!$C$8,"")))))))</f>
        <v/>
      </c>
      <c r="BC41" s="53" t="str">
        <f>IF(Tim!EG43=Sheet6!$C$2,Sheet6!$C$2,IF(Tim!EG43=Sheet6!$C$3,Sheet6!$C$3,IF(Tim!EG43=Sheet6!$C$4,Sheet6!$C$4,IF(Tim!EG43=Sheet6!$C$5,Sheet6!$C$5,IF(Tim!EG43=Sheet6!$C$6,Sheet6!$C$6,IF(Tim!EG43=Sheet6!$C$7,Sheet6!$C$7,IF(Tim!EG43=Sheet6!$C$8,Sheet6!$C$8,"")))))))</f>
        <v/>
      </c>
      <c r="BD41" s="54" t="str">
        <f>IF(Tim!EH43=Sheet6!$C$2,Sheet6!$C$2,IF(Tim!EH43=Sheet6!$C$3,Sheet6!$C$3,IF(Tim!EH43=Sheet6!$C$4,Sheet6!$C$4,IF(Tim!EH43=Sheet6!$C$5,Sheet6!$C$5,IF(Tim!EH43=Sheet6!$C$6,Sheet6!$C$6,IF(Tim!EH43=Sheet6!$C$7,Sheet6!$C$7,IF(Tim!EH43=Sheet6!$C$8,Sheet6!$C$8,"")))))))</f>
        <v/>
      </c>
      <c r="BE41" s="54" t="str">
        <f>IF(Tim!EI43=Sheet6!$C$2,Sheet6!$C$2,IF(Tim!EI43=Sheet6!$C$3,Sheet6!$C$3,IF(Tim!EI43=Sheet6!$C$4,Sheet6!$C$4,IF(Tim!EI43=Sheet6!$C$5,Sheet6!$C$5,IF(Tim!EI43=Sheet6!$C$6,Sheet6!$C$6,IF(Tim!EI43=Sheet6!$C$7,Sheet6!$C$7,IF(Tim!EI43=Sheet6!$C$8,Sheet6!$C$8,"")))))))</f>
        <v/>
      </c>
      <c r="BF41" s="54" t="str">
        <f>IF(Tim!EJ43=Sheet6!$C$2,Sheet6!$C$2,IF(Tim!EJ43=Sheet6!$C$3,Sheet6!$C$3,IF(Tim!EJ43=Sheet6!$C$4,Sheet6!$C$4,IF(Tim!EJ43=Sheet6!$C$5,Sheet6!$C$5,IF(Tim!EJ43=Sheet6!$C$6,Sheet6!$C$6,IF(Tim!EJ43=Sheet6!$C$7,Sheet6!$C$7,IF(Tim!EJ43=Sheet6!$C$8,Sheet6!$C$8,"")))))))</f>
        <v/>
      </c>
      <c r="BG41" s="55" t="str">
        <f>IF(Tim!EK43=Sheet6!$C$2,Sheet6!$C$2,IF(Tim!EK43=Sheet6!$C$3,Sheet6!$C$3,IF(Tim!EK43=Sheet6!$C$4,Sheet6!$C$4,IF(Tim!EK43=Sheet6!$C$5,Sheet6!$C$5,IF(Tim!EK43=Sheet6!$C$6,Sheet6!$C$6,IF(Tim!EK43=Sheet6!$C$7,Sheet6!$C$7,IF(Tim!EK43=Sheet6!$C$8,Sheet6!$C$8,"")))))))</f>
        <v/>
      </c>
      <c r="BH41" s="53" t="str">
        <f>IF(Tim!EL43=Sheet6!$C$2,Sheet6!$C$2,IF(Tim!EL43=Sheet6!$C$3,Sheet6!$C$3,IF(Tim!EL43=Sheet6!$C$4,Sheet6!$C$4,IF(Tim!EL43=Sheet6!$C$5,Sheet6!$C$5,IF(Tim!EL43=Sheet6!$C$6,Sheet6!$C$6,IF(Tim!EL43=Sheet6!$C$7,Sheet6!$C$7,IF(Tim!EL43=Sheet6!$C$8,Sheet6!$C$8,"")))))))</f>
        <v/>
      </c>
      <c r="BI41" s="57" t="str">
        <f>IF(Tim!EM43=Sheet6!$C$2,Sheet6!$C$2,IF(Tim!EM43=Sheet6!$C$3,Sheet6!$C$3,IF(Tim!EM43=Sheet6!$C$4,Sheet6!$C$4,IF(Tim!EM43=Sheet6!$C$5,Sheet6!$C$5,IF(Tim!EM43=Sheet6!$C$6,Sheet6!$C$6,IF(Tim!EM43=Sheet6!$C$7,Sheet6!$C$7,IF(Tim!EM43=Sheet6!$C$8,Sheet6!$C$8,"")))))))</f>
        <v/>
      </c>
      <c r="BJ41" s="57" t="str">
        <f>IF(Tim!EQ43=Sheet6!$C$2,Sheet6!$C$2,IF(Tim!EQ43=Sheet6!$C$3,Sheet6!$C$3,IF(Tim!EQ43=Sheet6!$C$4,Sheet6!$C$4,IF(Tim!EQ43=Sheet6!$C$5,Sheet6!$C$5,IF(Tim!EQ43=Sheet6!$C$6,Sheet6!$C$6,IF(Tim!EQ43=Sheet6!$C$7,Sheet6!$C$7,IF(Tim!EQ43=Sheet6!$C$8,Sheet6!$C$8,"")))))))</f>
        <v/>
      </c>
      <c r="BK41" s="57" t="str">
        <f>IF(Tim!ER43=Sheet6!$C$2,Sheet6!$C$2,IF(Tim!ER43=Sheet6!$C$3,Sheet6!$C$3,IF(Tim!ER43=Sheet6!$C$4,Sheet6!$C$4,IF(Tim!ER43=Sheet6!$C$5,Sheet6!$C$5,IF(Tim!ER43=Sheet6!$C$6,Sheet6!$C$6,IF(Tim!ER43=Sheet6!$C$7,Sheet6!$C$7,IF(Tim!ER43=Sheet6!$C$8,Sheet6!$C$8,"")))))))</f>
        <v/>
      </c>
      <c r="BL41" s="57" t="str">
        <f>IF(Tim!EZ43=Sheet6!$C$2,Sheet6!$C$2,IF(Tim!EZ43=Sheet6!$C$3,Sheet6!$C$3,IF(Tim!EZ43=Sheet6!$C$4,Sheet6!$C$4,IF(Tim!EZ43=Sheet6!$C$5,Sheet6!$C$5,IF(Tim!EZ43=Sheet6!$C$6,Sheet6!$C$6,IF(Tim!EZ43=Sheet6!$C$7,Sheet6!$C$7,IF(Tim!EZ43=Sheet6!$C$8,Sheet6!$C$8,"")))))))</f>
        <v/>
      </c>
      <c r="BM41" s="53" t="str">
        <f>IF(Tim!FG43=Sheet6!$C$2,Sheet6!$C$2,IF(Tim!FG43=Sheet6!$C$3,Sheet6!$C$3,IF(Tim!FG43=Sheet6!$C$4,Sheet6!$C$4,IF(Tim!FG43=Sheet6!$C$5,Sheet6!$C$5,IF(Tim!FG43=Sheet6!$C$6,Sheet6!$C$6,IF(Tim!FG43=Sheet6!$C$7,Sheet6!$C$7,IF(Tim!FG43=Sheet6!$C$8,Sheet6!$C$8,"")))))))</f>
        <v/>
      </c>
      <c r="BN41" s="53" t="str">
        <f>IF(Tim!FH43=Sheet6!$C$2,Sheet6!$C$2,IF(Tim!FH43=Sheet6!$C$3,Sheet6!$C$3,IF(Tim!FH43=Sheet6!$C$4,Sheet6!$C$4,IF(Tim!FH43=Sheet6!$C$5,Sheet6!$C$5,IF(Tim!FH43=Sheet6!$C$6,Sheet6!$C$6,IF(Tim!FH43=Sheet6!$C$7,Sheet6!$C$7,IF(Tim!FH43=Sheet6!$C$8,Sheet6!$C$8,"")))))))</f>
        <v/>
      </c>
      <c r="BO41" s="53" t="str">
        <f>IF(Tim!FP43=Sheet6!$C$2,Sheet6!$C$2,IF(Tim!FP43=Sheet6!$C$3,Sheet6!$C$3,IF(Tim!FP43=Sheet6!$C$4,Sheet6!$C$4,IF(Tim!FP43=Sheet6!$C$5,Sheet6!$C$5,IF(Tim!FP43=Sheet6!$C$6,Sheet6!$C$6,IF(Tim!FP43=Sheet6!$C$7,Sheet6!$C$7,IF(Tim!FP43=Sheet6!$C$8,Sheet6!$C$8,"")))))))</f>
        <v/>
      </c>
      <c r="BP41" s="53" t="str">
        <f>IF(Tim!FQ43=Sheet6!$C$2,Sheet6!$C$2,IF(Tim!FQ43=Sheet6!$C$3,Sheet6!$C$3,IF(Tim!FQ43=Sheet6!$C$4,Sheet6!$C$4,IF(Tim!FQ43=Sheet6!$C$5,Sheet6!$C$5,IF(Tim!FQ43=Sheet6!$C$6,Sheet6!$C$6,IF(Tim!FQ43=Sheet6!$C$7,Sheet6!$C$7,IF(Tim!FQ43=Sheet6!$C$8,Sheet6!$C$8,"")))))))</f>
        <v/>
      </c>
      <c r="BQ41" s="53" t="str">
        <f>IF(Tim!FR43=Sheet6!$C$2,Sheet6!$C$2,IF(Tim!FR43=Sheet6!$C$3,Sheet6!$C$3,IF(Tim!FR43=Sheet6!$C$4,Sheet6!$C$4,IF(Tim!FR43=Sheet6!$C$5,Sheet6!$C$5,IF(Tim!FR43=Sheet6!$C$6,Sheet6!$C$6,IF(Tim!FR43=Sheet6!$C$7,Sheet6!$C$7,IF(Tim!FR43=Sheet6!$C$8,Sheet6!$C$8,"")))))))</f>
        <v/>
      </c>
      <c r="BR41" s="53" t="str">
        <f>IF(Tim!FS43=Sheet6!$C$2,Sheet6!$C$2,IF(Tim!FS43=Sheet6!$C$3,Sheet6!$C$3,IF(Tim!FS43=Sheet6!$C$4,Sheet6!$C$4,IF(Tim!FS43=Sheet6!$C$5,Sheet6!$C$5,IF(Tim!FS43=Sheet6!$C$6,Sheet6!$C$6,IF(Tim!FS43=Sheet6!$C$7,Sheet6!$C$7,IF(Tim!FS43=Sheet6!$C$8,Sheet6!$C$8,"")))))))</f>
        <v/>
      </c>
      <c r="BS41" s="53" t="str">
        <f>IF(Tim!FT43=Sheet6!$C$2,Sheet6!$C$2,IF(Tim!FT43=Sheet6!$C$3,Sheet6!$C$3,IF(Tim!FT43=Sheet6!$C$4,Sheet6!$C$4,IF(Tim!FT43=Sheet6!$C$5,Sheet6!$C$5,IF(Tim!FT43=Sheet6!$C$6,Sheet6!$C$6,IF(Tim!FT43=Sheet6!$C$7,Sheet6!$C$7,IF(Tim!FT43=Sheet6!$C$8,Sheet6!$C$8,"")))))))</f>
        <v/>
      </c>
      <c r="BT41" s="53" t="str">
        <f>IF(Tim!FU43=Sheet6!$C$2,Sheet6!$C$2,IF(Tim!FU43=Sheet6!$C$3,Sheet6!$C$3,IF(Tim!FU43=Sheet6!$C$4,Sheet6!$C$4,IF(Tim!FU43=Sheet6!$C$5,Sheet6!$C$5,IF(Tim!FU43=Sheet6!$C$6,Sheet6!$C$6,IF(Tim!FU43=Sheet6!$C$7,Sheet6!$C$7,IF(Tim!FU43=Sheet6!$C$8,Sheet6!$C$8,"")))))))</f>
        <v/>
      </c>
      <c r="BU41" s="53" t="str">
        <f>IF(Tim!FY43=Sheet6!$C$2,Sheet6!$C$2,IF(Tim!FY43=Sheet6!$C$3,Sheet6!$C$3,IF(Tim!FY43=Sheet6!$C$4,Sheet6!$C$4,IF(Tim!FY43=Sheet6!$C$5,Sheet6!$C$5,IF(Tim!FY43=Sheet6!$C$6,Sheet6!$C$6,IF(Tim!FY43=Sheet6!$C$7,Sheet6!$C$7,IF(Tim!FY43=Sheet6!$C$8,Sheet6!$C$8,"")))))))</f>
        <v/>
      </c>
      <c r="BV41" s="54" t="str">
        <f>IF(Tim!FZ43=Sheet6!$C$2,Sheet6!$C$2,IF(Tim!FZ43=Sheet6!$C$3,Sheet6!$C$3,IF(Tim!FZ43=Sheet6!$C$4,Sheet6!$C$4,IF(Tim!FZ43=Sheet6!$C$5,Sheet6!$C$5,IF(Tim!FZ43=Sheet6!$C$6,Sheet6!$C$6,IF(Tim!FZ43=Sheet6!$C$7,Sheet6!$C$7,IF(Tim!FZ43=Sheet6!$C$8,Sheet6!$C$8,"")))))))</f>
        <v/>
      </c>
      <c r="BW41" s="54" t="str">
        <f>IF(Tim!GA43=Sheet6!$C$2,Sheet6!$C$2,IF(Tim!GA43=Sheet6!$C$3,Sheet6!$C$3,IF(Tim!GA43=Sheet6!$C$4,Sheet6!$C$4,IF(Tim!GA43=Sheet6!$C$5,Sheet6!$C$5,IF(Tim!GA43=Sheet6!$C$6,Sheet6!$C$6,IF(Tim!GA43=Sheet6!$C$7,Sheet6!$C$7,IF(Tim!GA43=Sheet6!$C$8,Sheet6!$C$8,"")))))))</f>
        <v/>
      </c>
      <c r="BX41" s="54" t="str">
        <f>IF(Tim!GB43=Sheet6!$C$2,Sheet6!$C$2,IF(Tim!GB43=Sheet6!$C$3,Sheet6!$C$3,IF(Tim!GB43=Sheet6!$C$4,Sheet6!$C$4,IF(Tim!GB43=Sheet6!$C$5,Sheet6!$C$5,IF(Tim!GB43=Sheet6!$C$6,Sheet6!$C$6,IF(Tim!GB43=Sheet6!$C$7,Sheet6!$C$7,IF(Tim!GB43=Sheet6!$C$8,Sheet6!$C$8,"")))))))</f>
        <v/>
      </c>
      <c r="BY41" s="55" t="str">
        <f>IF(Tim!GC43=Sheet6!$C$2,Sheet6!$C$2,IF(Tim!GC43=Sheet6!$C$3,Sheet6!$C$3,IF(Tim!GC43=Sheet6!$C$4,Sheet6!$C$4,IF(Tim!GC43=Sheet6!$C$5,Sheet6!$C$5,IF(Tim!GC43=Sheet6!$C$6,Sheet6!$C$6,IF(Tim!GC43=Sheet6!$C$7,Sheet6!$C$7,IF(Tim!GC43=Sheet6!$C$8,Sheet6!$C$8,"")))))))</f>
        <v/>
      </c>
      <c r="BZ41" s="53" t="str">
        <f>IF(Tim!GD43=Sheet6!$C$2,Sheet6!$C$2,IF(Tim!GD43=Sheet6!$C$3,Sheet6!$C$3,IF(Tim!GD43=Sheet6!$C$4,Sheet6!$C$4,IF(Tim!GD43=Sheet6!$C$5,Sheet6!$C$5,IF(Tim!GD43=Sheet6!$C$6,Sheet6!$C$6,IF(Tim!GD43=Sheet6!$C$7,Sheet6!$C$7,IF(Tim!GD43=Sheet6!$C$8,Sheet6!$C$8,"")))))))</f>
        <v/>
      </c>
      <c r="CA41" s="53" t="str">
        <f>IF(Tim!GE43=Sheet6!$C$2,Sheet6!$C$2,IF(Tim!GE43=Sheet6!$C$3,Sheet6!$C$3,IF(Tim!GE43=Sheet6!$C$4,Sheet6!$C$4,IF(Tim!GE43=Sheet6!$C$5,Sheet6!$C$5,IF(Tim!GE43=Sheet6!$C$6,Sheet6!$C$6,IF(Tim!GE43=Sheet6!$C$7,Sheet6!$C$7,IF(Tim!GE43=Sheet6!$C$8,Sheet6!$C$8,"")))))))</f>
        <v/>
      </c>
      <c r="CB41" s="57" t="str">
        <f>IF(Tim!GI43=Sheet6!$C$2,Sheet6!$C$2,IF(Tim!GI43=Sheet6!$C$3,Sheet6!$C$3,IF(Tim!GI43=Sheet6!$C$4,Sheet6!$C$4,IF(Tim!GI43=Sheet6!$C$5,Sheet6!$C$5,IF(Tim!GI43=Sheet6!$C$6,Sheet6!$C$6,IF(Tim!GI43=Sheet6!$C$7,Sheet6!$C$7,IF(Tim!GI43=Sheet6!$C$8,Sheet6!$C$8,"")))))))</f>
        <v/>
      </c>
      <c r="CC41" s="57" t="str">
        <f>IF(Tim!GJ43=Sheet6!$C$2,Sheet6!$C$2,IF(Tim!GJ43=Sheet6!$C$3,Sheet6!$C$3,IF(Tim!GJ43=Sheet6!$C$4,Sheet6!$C$4,IF(Tim!GJ43=Sheet6!$C$5,Sheet6!$C$5,IF(Tim!GJ43=Sheet6!$C$6,Sheet6!$C$6,IF(Tim!GJ43=Sheet6!$C$7,Sheet6!$C$7,IF(Tim!GJ43=Sheet6!$C$8,Sheet6!$C$8,"")))))))</f>
        <v/>
      </c>
      <c r="CD41" s="57" t="str">
        <f>IF(Tim!GO43=Sheet6!$C$2,Sheet6!$C$2,IF(Tim!GO43=Sheet6!$C$3,Sheet6!$C$3,IF(Tim!GO43=Sheet6!$C$4,Sheet6!$C$4,IF(Tim!GO43=Sheet6!$C$5,Sheet6!$C$5,IF(Tim!GO43=Sheet6!$C$6,Sheet6!$C$6,IF(Tim!GO43=Sheet6!$C$7,Sheet6!$C$7,IF(Tim!GO43=Sheet6!$C$8,Sheet6!$C$8,"")))))))</f>
        <v/>
      </c>
      <c r="CE41" s="53" t="str">
        <f>IF(Tim!GY43=Sheet6!$C$2,Sheet6!$C$2,IF(Tim!GY43=Sheet6!$C$3,Sheet6!$C$3,IF(Tim!GY43=Sheet6!$C$4,Sheet6!$C$4,IF(Tim!GY43=Sheet6!$C$5,Sheet6!$C$5,IF(Tim!GY43=Sheet6!$C$6,Sheet6!$C$6,IF(Tim!GY43=Sheet6!$C$7,Sheet6!$C$7,IF(Tim!GY43=Sheet6!$C$8,Sheet6!$C$8,"")))))))</f>
        <v/>
      </c>
      <c r="CF41" s="53" t="str">
        <f>IF(Tim!GZ43=Sheet6!$C$2,Sheet6!$C$2,IF(Tim!GZ43=Sheet6!$C$3,Sheet6!$C$3,IF(Tim!GZ43=Sheet6!$C$4,Sheet6!$C$4,IF(Tim!GZ43=Sheet6!$C$5,Sheet6!$C$5,IF(Tim!GZ43=Sheet6!$C$6,Sheet6!$C$6,IF(Tim!GZ43=Sheet6!$C$7,Sheet6!$C$7,IF(Tim!GZ43=Sheet6!$C$8,Sheet6!$C$8,"")))))))</f>
        <v/>
      </c>
      <c r="CG41" s="53" t="str">
        <f>IF(Tim!HH43=Sheet6!$C$2,Sheet6!$C$2,IF(Tim!HH43=Sheet6!$C$3,Sheet6!$C$3,IF(Tim!HH43=Sheet6!$C$4,Sheet6!$C$4,IF(Tim!HH43=Sheet6!$C$5,Sheet6!$C$5,IF(Tim!HH43=Sheet6!$C$6,Sheet6!$C$6,IF(Tim!HH43=Sheet6!$C$7,Sheet6!$C$7,IF(Tim!HH43=Sheet6!$C$8,Sheet6!$C$8,"")))))))</f>
        <v/>
      </c>
      <c r="CH41" s="53" t="str">
        <f>IF(Tim!HI43=Sheet6!$C$2,Sheet6!$C$2,IF(Tim!HI43=Sheet6!$C$3,Sheet6!$C$3,IF(Tim!HI43=Sheet6!$C$4,Sheet6!$C$4,IF(Tim!HI43=Sheet6!$C$5,Sheet6!$C$5,IF(Tim!HI43=Sheet6!$C$6,Sheet6!$C$6,IF(Tim!HI43=Sheet6!$C$7,Sheet6!$C$7,IF(Tim!HI43=Sheet6!$C$8,Sheet6!$C$8,"")))))))</f>
        <v/>
      </c>
      <c r="CI41" s="53" t="str">
        <f>IF(Tim!HJ43=Sheet6!$C$2,Sheet6!$C$2,IF(Tim!HJ43=Sheet6!$C$3,Sheet6!$C$3,IF(Tim!HJ43=Sheet6!$C$4,Sheet6!$C$4,IF(Tim!HJ43=Sheet6!$C$5,Sheet6!$C$5,IF(Tim!HJ43=Sheet6!$C$6,Sheet6!$C$6,IF(Tim!HJ43=Sheet6!$C$7,Sheet6!$C$7,IF(Tim!HJ43=Sheet6!$C$8,Sheet6!$C$8,"")))))))</f>
        <v/>
      </c>
      <c r="CJ41" s="53" t="str">
        <f>IF(Tim!HK43=Sheet6!$C$2,Sheet6!$C$2,IF(Tim!HK43=Sheet6!$C$3,Sheet6!$C$3,IF(Tim!HK43=Sheet6!$C$4,Sheet6!$C$4,IF(Tim!HK43=Sheet6!$C$5,Sheet6!$C$5,IF(Tim!HK43=Sheet6!$C$6,Sheet6!$C$6,IF(Tim!HK43=Sheet6!$C$7,Sheet6!$C$7,IF(Tim!HK43=Sheet6!$C$8,Sheet6!$C$8,"")))))))</f>
        <v/>
      </c>
      <c r="CK41" s="53" t="str">
        <f>IF(Tim!HL43=Sheet6!$C$2,Sheet6!$C$2,IF(Tim!HL43=Sheet6!$C$3,Sheet6!$C$3,IF(Tim!HL43=Sheet6!$C$4,Sheet6!$C$4,IF(Tim!HL43=Sheet6!$C$5,Sheet6!$C$5,IF(Tim!HL43=Sheet6!$C$6,Sheet6!$C$6,IF(Tim!HL43=Sheet6!$C$7,Sheet6!$C$7,IF(Tim!HL43=Sheet6!$C$8,Sheet6!$C$8,"")))))))</f>
        <v/>
      </c>
      <c r="CL41" s="53" t="str">
        <f>IF(Tim!HM43=Sheet6!$C$2,Sheet6!$C$2,IF(Tim!HM43=Sheet6!$C$3,Sheet6!$C$3,IF(Tim!HM43=Sheet6!$C$4,Sheet6!$C$4,IF(Tim!HM43=Sheet6!$C$5,Sheet6!$C$5,IF(Tim!HM43=Sheet6!$C$6,Sheet6!$C$6,IF(Tim!HM43=Sheet6!$C$7,Sheet6!$C$7,IF(Tim!HM43=Sheet6!$C$8,Sheet6!$C$8,"")))))))</f>
        <v/>
      </c>
      <c r="CM41" s="53" t="str">
        <f>IF(Tim!HQ43=Sheet6!$C$2,Sheet6!$C$2,IF(Tim!HQ43=Sheet6!$C$3,Sheet6!$C$3,IF(Tim!HQ43=Sheet6!$C$4,Sheet6!$C$4,IF(Tim!HQ43=Sheet6!$C$5,Sheet6!$C$5,IF(Tim!HQ43=Sheet6!$C$6,Sheet6!$C$6,IF(Tim!HQ43=Sheet6!$C$7,Sheet6!$C$7,IF(Tim!HQ43=Sheet6!$C$8,Sheet6!$C$8,"")))))))</f>
        <v/>
      </c>
      <c r="CN41" s="54" t="str">
        <f>IF(Tim!HR43=Sheet6!$C$2,Sheet6!$C$2,IF(Tim!HR43=Sheet6!$C$3,Sheet6!$C$3,IF(Tim!HR43=Sheet6!$C$4,Sheet6!$C$4,IF(Tim!HR43=Sheet6!$C$5,Sheet6!$C$5,IF(Tim!HR43=Sheet6!$C$6,Sheet6!$C$6,IF(Tim!HR43=Sheet6!$C$7,Sheet6!$C$7,IF(Tim!HR43=Sheet6!$C$8,Sheet6!$C$8,"")))))))</f>
        <v/>
      </c>
      <c r="CO41" s="54" t="str">
        <f>IF(Tim!HS43=Sheet6!$C$2,Sheet6!$C$2,IF(Tim!HS43=Sheet6!$C$3,Sheet6!$C$3,IF(Tim!HS43=Sheet6!$C$4,Sheet6!$C$4,IF(Tim!HS43=Sheet6!$C$5,Sheet6!$C$5,IF(Tim!HS43=Sheet6!$C$6,Sheet6!$C$6,IF(Tim!HS43=Sheet6!$C$7,Sheet6!$C$7,IF(Tim!HS43=Sheet6!$C$8,Sheet6!$C$8,"")))))))</f>
        <v/>
      </c>
      <c r="CP41" s="54" t="str">
        <f>IF(Tim!HT43=Sheet6!$C$2,Sheet6!$C$2,IF(Tim!HT43=Sheet6!$C$3,Sheet6!$C$3,IF(Tim!HT43=Sheet6!$C$4,Sheet6!$C$4,IF(Tim!HT43=Sheet6!$C$5,Sheet6!$C$5,IF(Tim!HT43=Sheet6!$C$6,Sheet6!$C$6,IF(Tim!HT43=Sheet6!$C$7,Sheet6!$C$7,IF(Tim!HT43=Sheet6!$C$8,Sheet6!$C$8,"")))))))</f>
        <v/>
      </c>
      <c r="CQ41" s="55" t="str">
        <f>IF(Tim!HU43=Sheet6!$C$2,Sheet6!$C$2,IF(Tim!HU43=Sheet6!$C$3,Sheet6!$C$3,IF(Tim!HU43=Sheet6!$C$4,Sheet6!$C$4,IF(Tim!HU43=Sheet6!$C$5,Sheet6!$C$5,IF(Tim!HU43=Sheet6!$C$6,Sheet6!$C$6,IF(Tim!HU43=Sheet6!$C$7,Sheet6!$C$7,IF(Tim!HU43=Sheet6!$C$8,Sheet6!$C$8,"")))))))</f>
        <v/>
      </c>
      <c r="CR41" s="56" t="str">
        <f>IF(Tim!HV43=Sheet6!$C$2,Sheet6!$C$2,IF(Tim!HV43=Sheet6!$C$3,Sheet6!$C$3,IF(Tim!HV43=Sheet6!$C$4,Sheet6!$C$4,IF(Tim!HV43=Sheet6!$C$5,Sheet6!$C$5,IF(Tim!HV43=Sheet6!$C$6,Sheet6!$C$6,IF(Tim!HV43=Sheet6!$C$7,Sheet6!$C$7,IF(Tim!HV43=Sheet6!$C$8,Sheet6!$C$8,"")))))))</f>
        <v/>
      </c>
      <c r="CS41" s="57" t="str">
        <f>IF(Tim!IB43=Sheet6!$C$2,Sheet6!$C$2,IF(Tim!IB43=Sheet6!$C$3,Sheet6!$C$3,IF(Tim!IB43=Sheet6!$C$4,Sheet6!$C$4,IF(Tim!IB43=Sheet6!$C$5,Sheet6!$C$5,IF(Tim!IB43=Sheet6!$C$6,Sheet6!$C$6,IF(Tim!IB43=Sheet6!$C$7,Sheet6!$C$7,IF(Tim!IB43=Sheet6!$C$8,Sheet6!$C$8,"")))))))</f>
        <v/>
      </c>
      <c r="CT41" s="65" t="str">
        <f>IF(Tim!IJ43=Sheet6!$C$2,Sheet6!$C$2,IF(Tim!IJ43=Sheet6!$C$3,Sheet6!$C$3,IF(Tim!IJ43=Sheet6!$C$4,Sheet6!$C$4,IF(Tim!IJ43=Sheet6!$C$5,Sheet6!$C$5,IF(Tim!IJ43=Sheet6!$C$6,Sheet6!$C$6,IF(Tim!IJ43=Sheet6!$C$7,Sheet6!$C$7,IF(Tim!IJ43=Sheet6!$C$8,Sheet6!$C$8,"")))))))</f>
        <v/>
      </c>
      <c r="CU41" s="65" t="str">
        <f>IF(Tim!IQ43=Sheet6!$C$2,Sheet6!$C$2,IF(Tim!IQ43=Sheet6!$C$3,Sheet6!$C$3,IF(Tim!IQ43=Sheet6!$C$4,Sheet6!$C$4,IF(Tim!IQ43=Sheet6!$C$5,Sheet6!$C$5,IF(Tim!IQ43=Sheet6!$C$6,Sheet6!$C$6,IF(Tim!IQ43=Sheet6!$C$7,Sheet6!$C$7,IF(Tim!IQ43=Sheet6!$C$8,Sheet6!$C$8,"")))))))</f>
        <v/>
      </c>
      <c r="CV41" s="53" t="str">
        <f>IF(Tim!IR43=Sheet6!$C$2,Sheet6!$C$2,IF(Tim!IR43=Sheet6!$C$3,Sheet6!$C$3,IF(Tim!IR43=Sheet6!$C$4,Sheet6!$C$4,IF(Tim!IR43=Sheet6!$C$5,Sheet6!$C$5,IF(Tim!IR43=Sheet6!$C$6,Sheet6!$C$6,IF(Tim!IR43=Sheet6!$C$7,Sheet6!$C$7,IF(Tim!IR43=Sheet6!$C$8,Sheet6!$C$8,"")))))))</f>
        <v/>
      </c>
      <c r="CW41" s="53" t="str">
        <f>IF(Tim!IZ43=Sheet6!$C$2,Sheet6!$C$2,IF(Tim!IZ43=Sheet6!$C$3,Sheet6!$C$3,IF(Tim!IZ43=Sheet6!$C$4,Sheet6!$C$4,IF(Tim!IZ43=Sheet6!$C$5,Sheet6!$C$5,IF(Tim!IZ43=Sheet6!$C$6,Sheet6!$C$6,IF(Tim!IZ43=Sheet6!$C$7,Sheet6!$C$7,IF(Tim!IZ43=Sheet6!$C$8,Sheet6!$C$8,"")))))))</f>
        <v/>
      </c>
      <c r="CX41" s="53" t="str">
        <f>IF(Tim!JA43=Sheet6!$C$2,Sheet6!$C$2,IF(Tim!JA43=Sheet6!$C$3,Sheet6!$C$3,IF(Tim!JA43=Sheet6!$C$4,Sheet6!$C$4,IF(Tim!JA43=Sheet6!$C$5,Sheet6!$C$5,IF(Tim!JA43=Sheet6!$C$6,Sheet6!$C$6,IF(Tim!JA43=Sheet6!$C$7,Sheet6!$C$7,IF(Tim!JA43=Sheet6!$C$8,Sheet6!$C$8,"")))))))</f>
        <v/>
      </c>
      <c r="CY41" s="53" t="str">
        <f>IF(Tim!JB43=Sheet6!$C$2,Sheet6!$C$2,IF(Tim!JB43=Sheet6!$C$3,Sheet6!$C$3,IF(Tim!JB43=Sheet6!$C$4,Sheet6!$C$4,IF(Tim!JB43=Sheet6!$C$5,Sheet6!$C$5,IF(Tim!JB43=Sheet6!$C$6,Sheet6!$C$6,IF(Tim!JB43=Sheet6!$C$7,Sheet6!$C$7,IF(Tim!JB43=Sheet6!$C$8,Sheet6!$C$8,"")))))))</f>
        <v/>
      </c>
      <c r="CZ41" s="53" t="str">
        <f>IF(Tim!JC43=Sheet6!$C$2,Sheet6!$C$2,IF(Tim!JC43=Sheet6!$C$3,Sheet6!$C$3,IF(Tim!JC43=Sheet6!$C$4,Sheet6!$C$4,IF(Tim!JC43=Sheet6!$C$5,Sheet6!$C$5,IF(Tim!JC43=Sheet6!$C$6,Sheet6!$C$6,IF(Tim!JC43=Sheet6!$C$7,Sheet6!$C$7,IF(Tim!JC43=Sheet6!$C$8,Sheet6!$C$8,"")))))))</f>
        <v/>
      </c>
      <c r="DA41" s="53" t="str">
        <f>IF(Tim!JD43=Sheet6!$C$2,Sheet6!$C$2,IF(Tim!JD43=Sheet6!$C$3,Sheet6!$C$3,IF(Tim!JD43=Sheet6!$C$4,Sheet6!$C$4,IF(Tim!JD43=Sheet6!$C$5,Sheet6!$C$5,IF(Tim!JD43=Sheet6!$C$6,Sheet6!$C$6,IF(Tim!JD43=Sheet6!$C$7,Sheet6!$C$7,IF(Tim!JD43=Sheet6!$C$8,Sheet6!$C$8,"")))))))</f>
        <v/>
      </c>
      <c r="DB41" s="53" t="str">
        <f>IF(Tim!JE43=Sheet6!$C$2,Sheet6!$C$2,IF(Tim!JE43=Sheet6!$C$3,Sheet6!$C$3,IF(Tim!JE43=Sheet6!$C$4,Sheet6!$C$4,IF(Tim!JE43=Sheet6!$C$5,Sheet6!$C$5,IF(Tim!JE43=Sheet6!$C$6,Sheet6!$C$6,IF(Tim!JE43=Sheet6!$C$7,Sheet6!$C$7,IF(Tim!JE43=Sheet6!$C$8,Sheet6!$C$8,"")))))))</f>
        <v/>
      </c>
      <c r="DC41" s="53" t="str">
        <f>IF(Tim!JI43=Sheet6!$C$2,Sheet6!$C$2,IF(Tim!JI43=Sheet6!$C$3,Sheet6!$C$3,IF(Tim!JI43=Sheet6!$C$4,Sheet6!$C$4,IF(Tim!JI43=Sheet6!$C$5,Sheet6!$C$5,IF(Tim!JI43=Sheet6!$C$6,Sheet6!$C$6,IF(Tim!JI43=Sheet6!$C$7,Sheet6!$C$7,IF(Tim!JI43=Sheet6!$C$8,Sheet6!$C$8,"")))))))</f>
        <v/>
      </c>
      <c r="DD41" s="54" t="str">
        <f>IF(Tim!JJ43=Sheet6!$C$2,Sheet6!$C$2,IF(Tim!JJ43=Sheet6!$C$3,Sheet6!$C$3,IF(Tim!JJ43=Sheet6!$C$4,Sheet6!$C$4,IF(Tim!JJ43=Sheet6!$C$5,Sheet6!$C$5,IF(Tim!JJ43=Sheet6!$C$6,Sheet6!$C$6,IF(Tim!JJ43=Sheet6!$C$7,Sheet6!$C$7,IF(Tim!JJ43=Sheet6!$C$8,Sheet6!$C$8,"")))))))</f>
        <v/>
      </c>
      <c r="DE41" s="54" t="str">
        <f>IF(Tim!JK43=Sheet6!$C$2,Sheet6!$C$2,IF(Tim!JK43=Sheet6!$C$3,Sheet6!$C$3,IF(Tim!JK43=Sheet6!$C$4,Sheet6!$C$4,IF(Tim!JK43=Sheet6!$C$5,Sheet6!$C$5,IF(Tim!JK43=Sheet6!$C$6,Sheet6!$C$6,IF(Tim!JK43=Sheet6!$C$7,Sheet6!$C$7,IF(Tim!JK43=Sheet6!$C$8,Sheet6!$C$8,"")))))))</f>
        <v/>
      </c>
      <c r="DF41" s="54" t="str">
        <f>IF(Tim!JL43=Sheet6!$C$2,Sheet6!$C$2,IF(Tim!JL43=Sheet6!$C$3,Sheet6!$C$3,IF(Tim!JL43=Sheet6!$C$4,Sheet6!$C$4,IF(Tim!JL43=Sheet6!$C$5,Sheet6!$C$5,IF(Tim!JL43=Sheet6!$C$6,Sheet6!$C$6,IF(Tim!JL43=Sheet6!$C$7,Sheet6!$C$7,IF(Tim!JL43=Sheet6!$C$8,Sheet6!$C$8,"")))))))</f>
        <v/>
      </c>
      <c r="DG41" s="55" t="str">
        <f>IF(Tim!JM43=Sheet6!$C$2,Sheet6!$C$2,IF(Tim!JM43=Sheet6!$C$3,Sheet6!$C$3,IF(Tim!JM43=Sheet6!$C$4,Sheet6!$C$4,IF(Tim!JM43=Sheet6!$C$5,Sheet6!$C$5,IF(Tim!JM43=Sheet6!$C$6,Sheet6!$C$6,IF(Tim!JM43=Sheet6!$C$7,Sheet6!$C$7,IF(Tim!JM43=Sheet6!$C$8,Sheet6!$C$8,"")))))))</f>
        <v/>
      </c>
      <c r="DH41" s="56" t="str">
        <f>IF(Tim!JN43=Sheet6!$C$2,Sheet6!$C$2,IF(Tim!JN43=Sheet6!$C$3,Sheet6!$C$3,IF(Tim!JN43=Sheet6!$C$4,Sheet6!$C$4,IF(Tim!JN43=Sheet6!$C$5,Sheet6!$C$5,IF(Tim!JN43=Sheet6!$C$6,Sheet6!$C$6,IF(Tim!JN43=Sheet6!$C$7,Sheet6!$C$7,IF(Tim!JN43=Sheet6!$C$8,Sheet6!$C$8,"")))))))</f>
        <v/>
      </c>
      <c r="DI41" s="57" t="str">
        <f>IF(Tim!JS43=Sheet6!$C$2,Sheet6!$C$2,IF(Tim!JS43=Sheet6!$C$3,Sheet6!$C$3,IF(Tim!JS43=Sheet6!$C$4,Sheet6!$C$4,IF(Tim!JS43=Sheet6!$C$5,Sheet6!$C$5,IF(Tim!JS43=Sheet6!$C$6,Sheet6!$C$6,IF(Tim!JS43=Sheet6!$C$7,Sheet6!$C$7,IF(Tim!JS43=Sheet6!$C$8,Sheet6!$C$8,"")))))))</f>
        <v/>
      </c>
      <c r="DJ41" s="57" t="str">
        <f>IF(Tim!KB43=Sheet6!$C$2,Sheet6!$C$2,IF(Tim!KB43=Sheet6!$C$3,Sheet6!$C$3,IF(Tim!KB43=Sheet6!$C$4,Sheet6!$C$4,IF(Tim!KB43=Sheet6!$C$5,Sheet6!$C$5,IF(Tim!KB43=Sheet6!$C$6,Sheet6!$C$6,IF(Tim!KB43=Sheet6!$C$7,Sheet6!$C$7,IF(Tim!KB43=Sheet6!$C$8,Sheet6!$C$8,"")))))))</f>
        <v/>
      </c>
      <c r="DK41" s="53" t="str">
        <f>IF(Tim!KI43=Sheet6!$C$2,Sheet6!$C$2,IF(Tim!KI43=Sheet6!$C$3,Sheet6!$C$3,IF(Tim!KI43=Sheet6!$C$4,Sheet6!$C$4,IF(Tim!KI43=Sheet6!$C$5,Sheet6!$C$5,IF(Tim!KI43=Sheet6!$C$6,Sheet6!$C$6,IF(Tim!KI43=Sheet6!$C$7,Sheet6!$C$7,IF(Tim!KI43=Sheet6!$C$8,Sheet6!$C$8,"")))))))</f>
        <v/>
      </c>
      <c r="DL41" s="53" t="str">
        <f>IF(Tim!KJ43=Sheet6!$C$2,Sheet6!$C$2,IF(Tim!KJ43=Sheet6!$C$3,Sheet6!$C$3,IF(Tim!KJ43=Sheet6!$C$4,Sheet6!$C$4,IF(Tim!KJ43=Sheet6!$C$5,Sheet6!$C$5,IF(Tim!KJ43=Sheet6!$C$6,Sheet6!$C$6,IF(Tim!KJ43=Sheet6!$C$7,Sheet6!$C$7,IF(Tim!KJ43=Sheet6!$C$8,Sheet6!$C$8,"")))))))</f>
        <v/>
      </c>
      <c r="DM41" s="53" t="str">
        <f>IF(Tim!KR43=Sheet6!$C$2,Sheet6!$C$2,IF(Tim!KR43=Sheet6!$C$3,Sheet6!$C$3,IF(Tim!KR43=Sheet6!$C$4,Sheet6!$C$4,IF(Tim!KR43=Sheet6!$C$5,Sheet6!$C$5,IF(Tim!KR43=Sheet6!$C$6,Sheet6!$C$6,IF(Tim!KR43=Sheet6!$C$7,Sheet6!$C$7,IF(Tim!KR43=Sheet6!$C$8,Sheet6!$C$8,"")))))))</f>
        <v/>
      </c>
      <c r="DN41" s="53" t="str">
        <f>IF(Tim!KS43=Sheet6!$C$2,Sheet6!$C$2,IF(Tim!KS43=Sheet6!$C$3,Sheet6!$C$3,IF(Tim!KS43=Sheet6!$C$4,Sheet6!$C$4,IF(Tim!KS43=Sheet6!$C$5,Sheet6!$C$5,IF(Tim!KS43=Sheet6!$C$6,Sheet6!$C$6,IF(Tim!KS43=Sheet6!$C$7,Sheet6!$C$7,IF(Tim!KS43=Sheet6!$C$8,Sheet6!$C$8,"")))))))</f>
        <v/>
      </c>
      <c r="DO41" s="53" t="str">
        <f>IF(Tim!KT43=Sheet6!$C$2,Sheet6!$C$2,IF(Tim!KT43=Sheet6!$C$3,Sheet6!$C$3,IF(Tim!KT43=Sheet6!$C$4,Sheet6!$C$4,IF(Tim!KT43=Sheet6!$C$5,Sheet6!$C$5,IF(Tim!KT43=Sheet6!$C$6,Sheet6!$C$6,IF(Tim!KT43=Sheet6!$C$7,Sheet6!$C$7,IF(Tim!KT43=Sheet6!$C$8,Sheet6!$C$8,"")))))))</f>
        <v/>
      </c>
      <c r="DP41" s="53" t="str">
        <f>IF(Tim!KU43=Sheet6!$C$2,Sheet6!$C$2,IF(Tim!KU43=Sheet6!$C$3,Sheet6!$C$3,IF(Tim!KU43=Sheet6!$C$4,Sheet6!$C$4,IF(Tim!KU43=Sheet6!$C$5,Sheet6!$C$5,IF(Tim!KU43=Sheet6!$C$6,Sheet6!$C$6,IF(Tim!KU43=Sheet6!$C$7,Sheet6!$C$7,IF(Tim!KU43=Sheet6!$C$8,Sheet6!$C$8,"")))))))</f>
        <v/>
      </c>
      <c r="DQ41" s="53" t="str">
        <f>IF(Tim!KV43=Sheet6!$C$2,Sheet6!$C$2,IF(Tim!KV43=Sheet6!$C$3,Sheet6!$C$3,IF(Tim!KV43=Sheet6!$C$4,Sheet6!$C$4,IF(Tim!KV43=Sheet6!$C$5,Sheet6!$C$5,IF(Tim!KV43=Sheet6!$C$6,Sheet6!$C$6,IF(Tim!KV43=Sheet6!$C$7,Sheet6!$C$7,IF(Tim!KV43=Sheet6!$C$8,Sheet6!$C$8,"")))))))</f>
        <v/>
      </c>
      <c r="DR41" s="53" t="str">
        <f>IF(Tim!KW43=Sheet6!$C$2,Sheet6!$C$2,IF(Tim!KW43=Sheet6!$C$3,Sheet6!$C$3,IF(Tim!KW43=Sheet6!$C$4,Sheet6!$C$4,IF(Tim!KW43=Sheet6!$C$5,Sheet6!$C$5,IF(Tim!KW43=Sheet6!$C$6,Sheet6!$C$6,IF(Tim!KW43=Sheet6!$C$7,Sheet6!$C$7,IF(Tim!KW43=Sheet6!$C$8,Sheet6!$C$8,"")))))))</f>
        <v/>
      </c>
      <c r="DS41" s="53" t="str">
        <f>IF(Tim!LA43=Sheet6!$C$2,Sheet6!$C$2,IF(Tim!LA43=Sheet6!$C$3,Sheet6!$C$3,IF(Tim!LA43=Sheet6!$C$4,Sheet6!$C$4,IF(Tim!LA43=Sheet6!$C$5,Sheet6!$C$5,IF(Tim!LA43=Sheet6!$C$6,Sheet6!$C$6,IF(Tim!LA43=Sheet6!$C$7,Sheet6!$C$7,IF(Tim!LA43=Sheet6!$C$8,Sheet6!$C$8,"")))))))</f>
        <v/>
      </c>
      <c r="DT41" s="54" t="str">
        <f>IF(Tim!LB43=Sheet6!$C$2,Sheet6!$C$2,IF(Tim!LB43=Sheet6!$C$3,Sheet6!$C$3,IF(Tim!LB43=Sheet6!$C$4,Sheet6!$C$4,IF(Tim!LB43=Sheet6!$C$5,Sheet6!$C$5,IF(Tim!LB43=Sheet6!$C$6,Sheet6!$C$6,IF(Tim!LB43=Sheet6!$C$7,Sheet6!$C$7,IF(Tim!LB43=Sheet6!$C$8,Sheet6!$C$8,"")))))))</f>
        <v/>
      </c>
      <c r="DU41" s="54" t="str">
        <f>IF(Tim!LC43=Sheet6!$C$2,Sheet6!$C$2,IF(Tim!LC43=Sheet6!$C$3,Sheet6!$C$3,IF(Tim!LC43=Sheet6!$C$4,Sheet6!$C$4,IF(Tim!LC43=Sheet6!$C$5,Sheet6!$C$5,IF(Tim!LC43=Sheet6!$C$6,Sheet6!$C$6,IF(Tim!LC43=Sheet6!$C$7,Sheet6!$C$7,IF(Tim!LC43=Sheet6!$C$8,Sheet6!$C$8,"")))))))</f>
        <v/>
      </c>
      <c r="DV41" s="54" t="str">
        <f>IF(Tim!LD43=Sheet6!$C$2,Sheet6!$C$2,IF(Tim!LD43=Sheet6!$C$3,Sheet6!$C$3,IF(Tim!LD43=Sheet6!$C$4,Sheet6!$C$4,IF(Tim!LD43=Sheet6!$C$5,Sheet6!$C$5,IF(Tim!LD43=Sheet6!$C$6,Sheet6!$C$6,IF(Tim!LD43=Sheet6!$C$7,Sheet6!$C$7,IF(Tim!LD43=Sheet6!$C$8,Sheet6!$C$8,"")))))))</f>
        <v/>
      </c>
      <c r="DW41" s="55" t="str">
        <f>IF(Tim!LE43=Sheet6!$C$2,Sheet6!$C$2,IF(Tim!LE43=Sheet6!$C$3,Sheet6!$C$3,IF(Tim!LE43=Sheet6!$C$4,Sheet6!$C$4,IF(Tim!LE43=Sheet6!$C$5,Sheet6!$C$5,IF(Tim!LE43=Sheet6!$C$6,Sheet6!$C$6,IF(Tim!LE43=Sheet6!$C$7,Sheet6!$C$7,IF(Tim!LE43=Sheet6!$C$8,Sheet6!$C$8,"")))))))</f>
        <v/>
      </c>
      <c r="DX41" s="52">
        <v>0.66666666666666596</v>
      </c>
    </row>
    <row r="42" spans="2:128" ht="10.5" customHeight="1">
      <c r="B42" s="51">
        <v>0.25</v>
      </c>
      <c r="C42" s="51">
        <v>0.25</v>
      </c>
      <c r="D42" s="51">
        <v>0.25</v>
      </c>
      <c r="E42" s="52">
        <v>0.67708333333333204</v>
      </c>
      <c r="F42" s="53" t="str">
        <f>IF(Tim!F44=Sheet6!$C$2,Sheet6!$C$2,IF(Tim!F44=Sheet6!$C$3,Sheet6!$C$3,IF(Tim!F44=Sheet6!$C$4,Sheet6!$C$4,IF(Tim!F44=Sheet6!$C$5,Sheet6!$C$5,IF(Tim!F44=Sheet6!$C$6,Sheet6!$C$6,IF(Tim!F44=Sheet6!$C$7,Sheet6!$C$7,IF(Tim!F44=Sheet6!$C$8,Sheet6!$C$8,"")))))))</f>
        <v/>
      </c>
      <c r="G42" s="53" t="str">
        <f>IF(Tim!G44=Sheet6!$C$2,Sheet6!$C$2,IF(Tim!G44=Sheet6!$C$3,Sheet6!$C$3,IF(Tim!G44=Sheet6!$C$4,Sheet6!$C$4,IF(Tim!G44=Sheet6!$C$5,Sheet6!$C$5,IF(Tim!G44=Sheet6!$C$6,Sheet6!$C$6,IF(Tim!G44=Sheet6!$C$7,Sheet6!$C$7,IF(Tim!G44=Sheet6!$C$8,Sheet6!$C$8,"")))))))</f>
        <v/>
      </c>
      <c r="H42" s="53" t="str">
        <f>IF(Tim!H44=Sheet6!$C$2,Sheet6!$C$2,IF(Tim!H44=Sheet6!$C$3,Sheet6!$C$3,IF(Tim!H44=Sheet6!$C$4,Sheet6!$C$4,IF(Tim!H44=Sheet6!$C$5,Sheet6!$C$5,IF(Tim!H44=Sheet6!$C$6,Sheet6!$C$6,IF(Tim!H44=Sheet6!$C$7,Sheet6!$C$7,IF(Tim!H44=Sheet6!$C$8,Sheet6!$C$8,"")))))))</f>
        <v/>
      </c>
      <c r="I42" s="53" t="str">
        <f>IF(Tim!L44=Sheet6!$C$2,Sheet6!$C$2,IF(Tim!L44=Sheet6!$C$3,Sheet6!$C$3,IF(Tim!L44=Sheet6!$C$4,Sheet6!$C$4,IF(Tim!L44=Sheet6!$C$5,Sheet6!$C$5,IF(Tim!L44=Sheet6!$C$6,Sheet6!$C$6,IF(Tim!L44=Sheet6!$C$7,Sheet6!$C$7,IF(Tim!L44=Sheet6!$C$8,Sheet6!$C$8,"")))))))</f>
        <v/>
      </c>
      <c r="J42" s="53" t="str">
        <f>IF(Tim!T44=Sheet6!$C$2,Sheet6!$C$2,IF(Tim!T44=Sheet6!$C$3,Sheet6!$C$3,IF(Tim!T44=Sheet6!$C$4,Sheet6!$C$4,IF(Tim!T44=Sheet6!$C$5,Sheet6!$C$5,IF(Tim!T44=Sheet6!$C$6,Sheet6!$C$6,IF(Tim!T44=Sheet6!$C$7,Sheet6!$C$7,IF(Tim!T44=Sheet6!$C$8,Sheet6!$C$8,"")))))))</f>
        <v/>
      </c>
      <c r="K42" s="53" t="str">
        <f>IF(Tim!AB44=Sheet6!$C$2,Sheet6!$C$2,IF(Tim!AB44=Sheet6!$C$3,Sheet6!$C$3,IF(Tim!AB44=Sheet6!$C$4,Sheet6!$C$4,IF(Tim!AB44=Sheet6!$C$5,Sheet6!$C$5,IF(Tim!AB44=Sheet6!$C$6,Sheet6!$C$6,IF(Tim!AB44=Sheet6!$C$7,Sheet6!$C$7,IF(Tim!AB44=Sheet6!$C$8,Sheet6!$C$8,"")))))))</f>
        <v/>
      </c>
      <c r="L42" s="53" t="str">
        <f>IF(Tim!AC44=Sheet6!$C$2,Sheet6!$C$2,IF(Tim!AC44=Sheet6!$C$3,Sheet6!$C$3,IF(Tim!AC44=Sheet6!$C$4,Sheet6!$C$4,IF(Tim!AC44=Sheet6!$C$5,Sheet6!$C$5,IF(Tim!AC44=Sheet6!$C$6,Sheet6!$C$6,IF(Tim!AC44=Sheet6!$C$7,Sheet6!$C$7,IF(Tim!AC44=Sheet6!$C$8,Sheet6!$C$8,"")))))))</f>
        <v/>
      </c>
      <c r="M42" s="53" t="str">
        <f>IF(Tim!AJ44=Sheet6!$C$2,Sheet6!$C$2,IF(Tim!AJ44=Sheet6!$C$3,Sheet6!$C$3,IF(Tim!AJ44=Sheet6!$C$4,Sheet6!$C$4,IF(Tim!AJ44=Sheet6!$C$5,Sheet6!$C$5,IF(Tim!AJ44=Sheet6!$C$6,Sheet6!$C$6,IF(Tim!AJ44=Sheet6!$C$7,Sheet6!$C$7,IF(Tim!AJ44=Sheet6!$C$8,Sheet6!$C$8,"")))))))</f>
        <v/>
      </c>
      <c r="N42" s="53" t="str">
        <f>IF(Tim!AK44=Sheet6!$C$2,Sheet6!$C$2,IF(Tim!AK44=Sheet6!$C$3,Sheet6!$C$3,IF(Tim!AK44=Sheet6!$C$4,Sheet6!$C$4,IF(Tim!AK44=Sheet6!$C$5,Sheet6!$C$5,IF(Tim!AK44=Sheet6!$C$6,Sheet6!$C$6,IF(Tim!AK44=Sheet6!$C$7,Sheet6!$C$7,IF(Tim!AK44=Sheet6!$C$8,Sheet6!$C$8,"")))))))</f>
        <v/>
      </c>
      <c r="O42" s="53" t="str">
        <f>IF(Tim!AL44=Sheet6!$C$2,Sheet6!$C$2,IF(Tim!AL44=Sheet6!$C$3,Sheet6!$C$3,IF(Tim!AL44=Sheet6!$C$4,Sheet6!$C$4,IF(Tim!AL44=Sheet6!$C$5,Sheet6!$C$5,IF(Tim!AL44=Sheet6!$C$6,Sheet6!$C$6,IF(Tim!AL44=Sheet6!$C$7,Sheet6!$C$7,IF(Tim!AL44=Sheet6!$C$8,Sheet6!$C$8,"")))))))</f>
        <v/>
      </c>
      <c r="P42" s="53" t="str">
        <f>IF(Tim!AN44=Sheet6!$C$2,Sheet6!$C$2,IF(Tim!AN44=Sheet6!$C$3,Sheet6!$C$3,IF(Tim!AN44=Sheet6!$C$4,Sheet6!$C$4,IF(Tim!AN44=Sheet6!$C$5,Sheet6!$C$5,IF(Tim!AN44=Sheet6!$C$6,Sheet6!$C$6,IF(Tim!AN44=Sheet6!$C$7,Sheet6!$C$7,IF(Tim!AN44=Sheet6!$C$8,Sheet6!$C$8,"")))))))</f>
        <v/>
      </c>
      <c r="Q42" s="53" t="str">
        <f>IF(Tim!AO44=Sheet6!$C$2,Sheet6!$C$2,IF(Tim!AO44=Sheet6!$C$3,Sheet6!$C$3,IF(Tim!AO44=Sheet6!$C$4,Sheet6!$C$4,IF(Tim!AO44=Sheet6!$C$5,Sheet6!$C$5,IF(Tim!AO44=Sheet6!$C$6,Sheet6!$C$6,IF(Tim!AO44=Sheet6!$C$7,Sheet6!$C$7,IF(Tim!AO44=Sheet6!$C$8,Sheet6!$C$8,"")))))))</f>
        <v/>
      </c>
      <c r="R42" s="53" t="str">
        <f>IF(Tim!AP44=Sheet6!$C$2,Sheet6!$C$2,IF(Tim!AP44=Sheet6!$C$3,Sheet6!$C$3,IF(Tim!AP44=Sheet6!$C$4,Sheet6!$C$4,IF(Tim!AP44=Sheet6!$C$5,Sheet6!$C$5,IF(Tim!AP44=Sheet6!$C$6,Sheet6!$C$6,IF(Tim!AP44=Sheet6!$C$7,Sheet6!$C$7,IF(Tim!AP44=Sheet6!$C$8,Sheet6!$C$8,"")))))))</f>
        <v/>
      </c>
      <c r="S42" s="53" t="str">
        <f>IF(Tim!AT44=Sheet6!$C$2,Sheet6!$C$2,IF(Tim!AT44=Sheet6!$C$3,Sheet6!$C$3,IF(Tim!AT44=Sheet6!$C$4,Sheet6!$C$4,IF(Tim!AT44=Sheet6!$C$5,Sheet6!$C$5,IF(Tim!AT44=Sheet6!$C$6,Sheet6!$C$6,IF(Tim!AT44=Sheet6!$C$7,Sheet6!$C$7,IF(Tim!AT44=Sheet6!$C$8,Sheet6!$C$8,"")))))))</f>
        <v/>
      </c>
      <c r="T42" s="54" t="str">
        <f>IF(Tim!AU44=Sheet6!$C$2,Sheet6!$C$2,IF(Tim!AU44=Sheet6!$C$3,Sheet6!$C$3,IF(Tim!AU44=Sheet6!$C$4,Sheet6!$C$4,IF(Tim!AU44=Sheet6!$C$5,Sheet6!$C$5,IF(Tim!AU44=Sheet6!$C$6,Sheet6!$C$6,IF(Tim!AU44=Sheet6!$C$7,Sheet6!$C$7,IF(Tim!AU44=Sheet6!$C$8,Sheet6!$C$8,"")))))))</f>
        <v/>
      </c>
      <c r="U42" s="54" t="str">
        <f>IF(Tim!AV44=Sheet6!$C$2,Sheet6!$C$2,IF(Tim!AV44=Sheet6!$C$3,Sheet6!$C$3,IF(Tim!AV44=Sheet6!$C$4,Sheet6!$C$4,IF(Tim!AV44=Sheet6!$C$5,Sheet6!$C$5,IF(Tim!AV44=Sheet6!$C$6,Sheet6!$C$6,IF(Tim!AV44=Sheet6!$C$7,Sheet6!$C$7,IF(Tim!AV44=Sheet6!$C$8,Sheet6!$C$8,"")))))))</f>
        <v/>
      </c>
      <c r="V42" s="54" t="str">
        <f>IF(Tim!AW44=Sheet6!$C$2,Sheet6!$C$2,IF(Tim!AW44=Sheet6!$C$3,Sheet6!$C$3,IF(Tim!AW44=Sheet6!$C$4,Sheet6!$C$4,IF(Tim!AW44=Sheet6!$C$5,Sheet6!$C$5,IF(Tim!AW44=Sheet6!$C$6,Sheet6!$C$6,IF(Tim!AW44=Sheet6!$C$7,Sheet6!$C$7,IF(Tim!AW44=Sheet6!$C$8,Sheet6!$C$8,"")))))))</f>
        <v/>
      </c>
      <c r="W42" s="55" t="str">
        <f>IF(Tim!AX44=Sheet6!$C$2,Sheet6!$C$2,IF(Tim!AX44=Sheet6!$C$3,Sheet6!$C$3,IF(Tim!AX44=Sheet6!$C$4,Sheet6!$C$4,IF(Tim!AX44=Sheet6!$C$5,Sheet6!$C$5,IF(Tim!AX44=Sheet6!$C$6,Sheet6!$C$6,IF(Tim!AX44=Sheet6!$C$7,Sheet6!$C$7,IF(Tim!AX44=Sheet6!$C$8,Sheet6!$C$8,"")))))))</f>
        <v/>
      </c>
      <c r="X42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Y42" s="57" t="str">
        <f>IF(Tim!AY44=Sheet6!$C$2,Sheet6!$C$2,IF(Tim!AY44=Sheet6!$C$3,Sheet6!$C$3,IF(Tim!AY44=Sheet6!$C$4,Sheet6!$C$4,IF(Tim!AY44=Sheet6!$C$5,Sheet6!$C$5,IF(Tim!AY44=Sheet6!$C$6,Sheet6!$C$6,IF(Tim!AY44=Sheet6!$C$7,Sheet6!$C$7,IF(Tim!AY44=Sheet6!$C$8,Sheet6!$C$8,"")))))))</f>
        <v/>
      </c>
      <c r="Z42" s="57" t="str">
        <f>IF(Tim!BD44=Sheet6!$C$2,Sheet6!$C$2,IF(Tim!BD44=Sheet6!$C$3,Sheet6!$C$3,IF(Tim!BD44=Sheet6!$C$4,Sheet6!$C$4,IF(Tim!BD44=Sheet6!$C$5,Sheet6!$C$5,IF(Tim!BD44=Sheet6!$C$6,Sheet6!$C$6,IF(Tim!BD44=Sheet6!$C$7,Sheet6!$C$7,IF(Tim!BD44=Sheet6!$C$8,Sheet6!$C$8,"")))))))</f>
        <v/>
      </c>
      <c r="AA42" s="57" t="str">
        <f>IF(Tim!BE44=Sheet6!$C$2,Sheet6!$C$2,IF(Tim!BE44=Sheet6!$C$3,Sheet6!$C$3,IF(Tim!BE44=Sheet6!$C$4,Sheet6!$C$4,IF(Tim!BE44=Sheet6!$C$5,Sheet6!$C$5,IF(Tim!BE44=Sheet6!$C$6,Sheet6!$C$6,IF(Tim!BE44=Sheet6!$C$7,Sheet6!$C$7,IF(Tim!BE44=Sheet6!$C$8,Sheet6!$C$8,"")))))))</f>
        <v/>
      </c>
      <c r="AB42" s="57" t="str">
        <f>IF(Tim!BL44=Sheet6!$C$2,Sheet6!$C$2,IF(Tim!BL44=Sheet6!$C$3,Sheet6!$C$3,IF(Tim!BL44=Sheet6!$C$4,Sheet6!$C$4,IF(Tim!BL44=Sheet6!$C$5,Sheet6!$C$5,IF(Tim!BL44=Sheet6!$C$6,Sheet6!$C$6,IF(Tim!BL44=Sheet6!$C$7,Sheet6!$C$7,IF(Tim!BL44=Sheet6!$C$8,Sheet6!$C$8,"")))))))</f>
        <v/>
      </c>
      <c r="AC42" s="53" t="str">
        <f>IF(Tim!BT44=Sheet6!$C$2,Sheet6!$C$2,IF(Tim!BT44=Sheet6!$C$3,Sheet6!$C$3,IF(Tim!BT44=Sheet6!$C$4,Sheet6!$C$4,IF(Tim!BT44=Sheet6!$C$5,Sheet6!$C$5,IF(Tim!BT44=Sheet6!$C$6,Sheet6!$C$6,IF(Tim!BT44=Sheet6!$C$7,Sheet6!$C$7,IF(Tim!BT44=Sheet6!$C$8,Sheet6!$C$8,"")))))))</f>
        <v/>
      </c>
      <c r="AD42" s="53" t="str">
        <f>IF(Tim!BU44=Sheet6!$C$2,Sheet6!$C$2,IF(Tim!BU44=Sheet6!$C$3,Sheet6!$C$3,IF(Tim!BU44=Sheet6!$C$4,Sheet6!$C$4,IF(Tim!BU44=Sheet6!$C$5,Sheet6!$C$5,IF(Tim!BU44=Sheet6!$C$6,Sheet6!$C$6,IF(Tim!BU44=Sheet6!$C$7,Sheet6!$C$7,IF(Tim!BU44=Sheet6!$C$8,Sheet6!$C$8,"")))))))</f>
        <v/>
      </c>
      <c r="AE42" s="53" t="str">
        <f>IF(Tim!CB44=Sheet6!$C$2,Sheet6!$C$2,IF(Tim!CB44=Sheet6!$C$3,Sheet6!$C$3,IF(Tim!CB44=Sheet6!$C$4,Sheet6!$C$4,IF(Tim!CB44=Sheet6!$C$5,Sheet6!$C$5,IF(Tim!CB44=Sheet6!$C$6,Sheet6!$C$6,IF(Tim!CB44=Sheet6!$C$7,Sheet6!$C$7,IF(Tim!CB44=Sheet6!$C$8,Sheet6!$C$8,"")))))))</f>
        <v/>
      </c>
      <c r="AF42" s="53" t="str">
        <f>IF(Tim!CD44=Sheet6!$C$2,Sheet6!$C$2,IF(Tim!CD44=Sheet6!$C$3,Sheet6!$C$3,IF(Tim!CD44=Sheet6!$C$4,Sheet6!$C$4,IF(Tim!CD44=Sheet6!$C$5,Sheet6!$C$5,IF(Tim!CD44=Sheet6!$C$6,Sheet6!$C$6,IF(Tim!CD44=Sheet6!$C$7,Sheet6!$C$7,IF(Tim!CD44=Sheet6!$C$8,Sheet6!$C$8,"")))))))</f>
        <v/>
      </c>
      <c r="AG42" s="53" t="str">
        <f>IF(Tim!CE44=Sheet6!$C$2,Sheet6!$C$2,IF(Tim!CE44=Sheet6!$C$3,Sheet6!$C$3,IF(Tim!CE44=Sheet6!$C$4,Sheet6!$C$4,IF(Tim!CE44=Sheet6!$C$5,Sheet6!$C$5,IF(Tim!CE44=Sheet6!$C$6,Sheet6!$C$6,IF(Tim!CE44=Sheet6!$C$7,Sheet6!$C$7,IF(Tim!CE44=Sheet6!$C$8,Sheet6!$C$8,"")))))))</f>
        <v/>
      </c>
      <c r="AH42" s="53" t="str">
        <f>IF(Tim!CF44=Sheet6!$C$2,Sheet6!$C$2,IF(Tim!CF44=Sheet6!$C$3,Sheet6!$C$3,IF(Tim!CF44=Sheet6!$C$4,Sheet6!$C$4,IF(Tim!CF44=Sheet6!$C$5,Sheet6!$C$5,IF(Tim!CF44=Sheet6!$C$6,Sheet6!$C$6,IF(Tim!CF44=Sheet6!$C$7,Sheet6!$C$7,IF(Tim!CF44=Sheet6!$C$8,Sheet6!$C$8,"")))))))</f>
        <v/>
      </c>
      <c r="AI42" s="53" t="str">
        <f>IF(Tim!CG44=Sheet6!$C$2,Sheet6!$C$2,IF(Tim!CG44=Sheet6!$C$3,Sheet6!$C$3,IF(Tim!CG44=Sheet6!$C$4,Sheet6!$C$4,IF(Tim!CG44=Sheet6!$C$5,Sheet6!$C$5,IF(Tim!CG44=Sheet6!$C$6,Sheet6!$C$6,IF(Tim!CG44=Sheet6!$C$7,Sheet6!$C$7,IF(Tim!CG44=Sheet6!$C$8,Sheet6!$C$8,"")))))))</f>
        <v/>
      </c>
      <c r="AJ42" s="53" t="str">
        <f>IF(Tim!CH44=Sheet6!$C$2,Sheet6!$C$2,IF(Tim!CH44=Sheet6!$C$3,Sheet6!$C$3,IF(Tim!CH44=Sheet6!$C$4,Sheet6!$C$4,IF(Tim!CH44=Sheet6!$C$5,Sheet6!$C$5,IF(Tim!CH44=Sheet6!$C$6,Sheet6!$C$6,IF(Tim!CH44=Sheet6!$C$7,Sheet6!$C$7,IF(Tim!CH44=Sheet6!$C$8,Sheet6!$C$8,"")))))))</f>
        <v/>
      </c>
      <c r="AK42" s="53" t="str">
        <f>IF(Tim!CL44=Sheet6!$C$2,Sheet6!$C$2,IF(Tim!CL44=Sheet6!$C$3,Sheet6!$C$3,IF(Tim!CL44=Sheet6!$C$4,Sheet6!$C$4,IF(Tim!CL44=Sheet6!$C$5,Sheet6!$C$5,IF(Tim!CL44=Sheet6!$C$6,Sheet6!$C$6,IF(Tim!CL44=Sheet6!$C$7,Sheet6!$C$7,IF(Tim!CL44=Sheet6!$C$8,Sheet6!$C$8,"")))))))</f>
        <v/>
      </c>
      <c r="AL42" s="54" t="str">
        <f>IF(Tim!CM44=Sheet6!$C$2,Sheet6!$C$2,IF(Tim!CM44=Sheet6!$C$3,Sheet6!$C$3,IF(Tim!CM44=Sheet6!$C$4,Sheet6!$C$4,IF(Tim!CM44=Sheet6!$C$5,Sheet6!$C$5,IF(Tim!CM44=Sheet6!$C$6,Sheet6!$C$6,IF(Tim!CM44=Sheet6!$C$7,Sheet6!$C$7,IF(Tim!CM44=Sheet6!$C$8,Sheet6!$C$8,"")))))))</f>
        <v/>
      </c>
      <c r="AM42" s="54" t="str">
        <f>IF(Tim!CN44=Sheet6!$C$2,Sheet6!$C$2,IF(Tim!CN44=Sheet6!$C$3,Sheet6!$C$3,IF(Tim!CN44=Sheet6!$C$4,Sheet6!$C$4,IF(Tim!CN44=Sheet6!$C$5,Sheet6!$C$5,IF(Tim!CN44=Sheet6!$C$6,Sheet6!$C$6,IF(Tim!CN44=Sheet6!$C$7,Sheet6!$C$7,IF(Tim!CN44=Sheet6!$C$8,Sheet6!$C$8,"")))))))</f>
        <v/>
      </c>
      <c r="AN42" s="54" t="str">
        <f>IF(Tim!CO44=Sheet6!$C$2,Sheet6!$C$2,IF(Tim!CO44=Sheet6!$C$3,Sheet6!$C$3,IF(Tim!CO44=Sheet6!$C$4,Sheet6!$C$4,IF(Tim!CO44=Sheet6!$C$5,Sheet6!$C$5,IF(Tim!CO44=Sheet6!$C$6,Sheet6!$C$6,IF(Tim!CO44=Sheet6!$C$7,Sheet6!$C$7,IF(Tim!CO44=Sheet6!$C$8,Sheet6!$C$8,"")))))))</f>
        <v/>
      </c>
      <c r="AO42" s="55" t="str">
        <f>IF(Tim!CP44=Sheet6!$C$2,Sheet6!$C$2,IF(Tim!CP44=Sheet6!$C$3,Sheet6!$C$3,IF(Tim!CP44=Sheet6!$C$4,Sheet6!$C$4,IF(Tim!CP44=Sheet6!$C$5,Sheet6!$C$5,IF(Tim!CP44=Sheet6!$C$6,Sheet6!$C$6,IF(Tim!CP44=Sheet6!$C$7,Sheet6!$C$7,IF(Tim!CP44=Sheet6!$C$8,Sheet6!$C$8,"")))))))</f>
        <v/>
      </c>
      <c r="AP42" s="53" t="str">
        <f>IF(Tim!CQ44=Sheet6!$C$2,Sheet6!$C$2,IF(Tim!CQ44=Sheet6!$C$3,Sheet6!$C$3,IF(Tim!CQ44=Sheet6!$C$4,Sheet6!$C$4,IF(Tim!CQ44=Sheet6!$C$5,Sheet6!$C$5,IF(Tim!CQ44=Sheet6!$C$6,Sheet6!$C$6,IF(Tim!CQ44=Sheet6!$C$7,Sheet6!$C$7,IF(Tim!CQ44=Sheet6!$C$8,Sheet6!$C$8,"")))))))</f>
        <v/>
      </c>
      <c r="AQ42" s="57" t="str">
        <f>IF(Tim!CR44=Sheet6!$C$2,Sheet6!$C$2,IF(Tim!CR44=Sheet6!$C$3,Sheet6!$C$3,IF(Tim!CR44=Sheet6!$C$4,Sheet6!$C$4,IF(Tim!CR44=Sheet6!$C$5,Sheet6!$C$5,IF(Tim!CR44=Sheet6!$C$6,Sheet6!$C$6,IF(Tim!CR44=Sheet6!$C$7,Sheet6!$C$7,IF(Tim!CR44=Sheet6!$C$8,Sheet6!$C$8,"")))))))</f>
        <v/>
      </c>
      <c r="AR42" s="57" t="str">
        <f>IF(Tim!CV44=Sheet6!$C$2,Sheet6!$C$2,IF(Tim!CV44=Sheet6!$C$3,Sheet6!$C$3,IF(Tim!CV44=Sheet6!$C$4,Sheet6!$C$4,IF(Tim!CV44=Sheet6!$C$5,Sheet6!$C$5,IF(Tim!CV44=Sheet6!$C$6,Sheet6!$C$6,IF(Tim!CV44=Sheet6!$C$7,Sheet6!$C$7,IF(Tim!CV44=Sheet6!$C$8,Sheet6!$C$8,"")))))))</f>
        <v/>
      </c>
      <c r="AS42" s="57" t="str">
        <f>IF(Tim!CW44=Sheet6!$C$2,Sheet6!$C$2,IF(Tim!CW44=Sheet6!$C$3,Sheet6!$C$3,IF(Tim!CW44=Sheet6!$C$4,Sheet6!$C$4,IF(Tim!CW44=Sheet6!$C$5,Sheet6!$C$5,IF(Tim!CW44=Sheet6!$C$6,Sheet6!$C$6,IF(Tim!CW44=Sheet6!$C$7,Sheet6!$C$7,IF(Tim!CW44=Sheet6!$C$8,Sheet6!$C$8,"")))))))</f>
        <v/>
      </c>
      <c r="AT42" s="57" t="str">
        <f>IF(Tim!DA44=Sheet6!$C$2,Sheet6!$C$2,IF(Tim!DA44=Sheet6!$C$3,Sheet6!$C$3,IF(Tim!DA44=Sheet6!$C$4,Sheet6!$C$4,IF(Tim!DA44=Sheet6!$C$5,Sheet6!$C$5,IF(Tim!DA44=Sheet6!$C$6,Sheet6!$C$6,IF(Tim!DA44=Sheet6!$C$7,Sheet6!$C$7,IF(Tim!DA44=Sheet6!$C$8,Sheet6!$C$8,"")))))))</f>
        <v/>
      </c>
      <c r="AU42" s="53" t="str">
        <f>IF(Tim!DO44=Sheet6!$C$2,Sheet6!$C$2,IF(Tim!DO44=Sheet6!$C$3,Sheet6!$C$3,IF(Tim!DO44=Sheet6!$C$4,Sheet6!$C$4,IF(Tim!DO44=Sheet6!$C$5,Sheet6!$C$5,IF(Tim!DO44=Sheet6!$C$6,Sheet6!$C$6,IF(Tim!DO44=Sheet6!$C$7,Sheet6!$C$7,IF(Tim!DO44=Sheet6!$C$8,Sheet6!$C$8,"")))))))</f>
        <v/>
      </c>
      <c r="AV42" s="53" t="str">
        <f>IF(Tim!DP44=Sheet6!$C$2,Sheet6!$C$2,IF(Tim!DP44=Sheet6!$C$3,Sheet6!$C$3,IF(Tim!DP44=Sheet6!$C$4,Sheet6!$C$4,IF(Tim!DP44=Sheet6!$C$5,Sheet6!$C$5,IF(Tim!DP44=Sheet6!$C$6,Sheet6!$C$6,IF(Tim!DP44=Sheet6!$C$7,Sheet6!$C$7,IF(Tim!DP44=Sheet6!$C$8,Sheet6!$C$8,"")))))))</f>
        <v/>
      </c>
      <c r="AW42" s="53" t="str">
        <f>IF(Tim!DX44=Sheet6!$C$2,Sheet6!$C$2,IF(Tim!DX44=Sheet6!$C$3,Sheet6!$C$3,IF(Tim!DX44=Sheet6!$C$4,Sheet6!$C$4,IF(Tim!DX44=Sheet6!$C$5,Sheet6!$C$5,IF(Tim!DX44=Sheet6!$C$6,Sheet6!$C$6,IF(Tim!DX44=Sheet6!$C$7,Sheet6!$C$7,IF(Tim!DX44=Sheet6!$C$8,Sheet6!$C$8,"")))))))</f>
        <v/>
      </c>
      <c r="AX42" s="53" t="str">
        <f>IF(Tim!DY44=Sheet6!$C$2,Sheet6!$C$2,IF(Tim!DY44=Sheet6!$C$3,Sheet6!$C$3,IF(Tim!DY44=Sheet6!$C$4,Sheet6!$C$4,IF(Tim!DY44=Sheet6!$C$5,Sheet6!$C$5,IF(Tim!DY44=Sheet6!$C$6,Sheet6!$C$6,IF(Tim!DY44=Sheet6!$C$7,Sheet6!$C$7,IF(Tim!DY44=Sheet6!$C$8,Sheet6!$C$8,"")))))))</f>
        <v/>
      </c>
      <c r="AY42" s="53" t="str">
        <f>IF(Tim!DZ44=Sheet6!$C$2,Sheet6!$C$2,IF(Tim!DZ44=Sheet6!$C$3,Sheet6!$C$3,IF(Tim!DZ44=Sheet6!$C$4,Sheet6!$C$4,IF(Tim!DZ44=Sheet6!$C$5,Sheet6!$C$5,IF(Tim!DZ44=Sheet6!$C$6,Sheet6!$C$6,IF(Tim!DZ44=Sheet6!$C$7,Sheet6!$C$7,IF(Tim!DZ44=Sheet6!$C$8,Sheet6!$C$8,"")))))))</f>
        <v/>
      </c>
      <c r="AZ42" s="53" t="str">
        <f>IF(Tim!EA44=Sheet6!$C$2,Sheet6!$C$2,IF(Tim!EA44=Sheet6!$C$3,Sheet6!$C$3,IF(Tim!EA44=Sheet6!$C$4,Sheet6!$C$4,IF(Tim!EA44=Sheet6!$C$5,Sheet6!$C$5,IF(Tim!EA44=Sheet6!$C$6,Sheet6!$C$6,IF(Tim!EA44=Sheet6!$C$7,Sheet6!$C$7,IF(Tim!EA44=Sheet6!$C$8,Sheet6!$C$8,"")))))))</f>
        <v/>
      </c>
      <c r="BA42" s="53" t="str">
        <f>IF(Tim!EB44=Sheet6!$C$2,Sheet6!$C$2,IF(Tim!EB44=Sheet6!$C$3,Sheet6!$C$3,IF(Tim!EB44=Sheet6!$C$4,Sheet6!$C$4,IF(Tim!EB44=Sheet6!$C$5,Sheet6!$C$5,IF(Tim!EB44=Sheet6!$C$6,Sheet6!$C$6,IF(Tim!EB44=Sheet6!$C$7,Sheet6!$C$7,IF(Tim!EB44=Sheet6!$C$8,Sheet6!$C$8,"")))))))</f>
        <v/>
      </c>
      <c r="BB42" s="53" t="str">
        <f>IF(Tim!EC44=Sheet6!$C$2,Sheet6!$C$2,IF(Tim!EC44=Sheet6!$C$3,Sheet6!$C$3,IF(Tim!EC44=Sheet6!$C$4,Sheet6!$C$4,IF(Tim!EC44=Sheet6!$C$5,Sheet6!$C$5,IF(Tim!EC44=Sheet6!$C$6,Sheet6!$C$6,IF(Tim!EC44=Sheet6!$C$7,Sheet6!$C$7,IF(Tim!EC44=Sheet6!$C$8,Sheet6!$C$8,"")))))))</f>
        <v/>
      </c>
      <c r="BC42" s="53" t="str">
        <f>IF(Tim!EG44=Sheet6!$C$2,Sheet6!$C$2,IF(Tim!EG44=Sheet6!$C$3,Sheet6!$C$3,IF(Tim!EG44=Sheet6!$C$4,Sheet6!$C$4,IF(Tim!EG44=Sheet6!$C$5,Sheet6!$C$5,IF(Tim!EG44=Sheet6!$C$6,Sheet6!$C$6,IF(Tim!EG44=Sheet6!$C$7,Sheet6!$C$7,IF(Tim!EG44=Sheet6!$C$8,Sheet6!$C$8,"")))))))</f>
        <v/>
      </c>
      <c r="BD42" s="54" t="str">
        <f>IF(Tim!EH44=Sheet6!$C$2,Sheet6!$C$2,IF(Tim!EH44=Sheet6!$C$3,Sheet6!$C$3,IF(Tim!EH44=Sheet6!$C$4,Sheet6!$C$4,IF(Tim!EH44=Sheet6!$C$5,Sheet6!$C$5,IF(Tim!EH44=Sheet6!$C$6,Sheet6!$C$6,IF(Tim!EH44=Sheet6!$C$7,Sheet6!$C$7,IF(Tim!EH44=Sheet6!$C$8,Sheet6!$C$8,"")))))))</f>
        <v/>
      </c>
      <c r="BE42" s="54" t="str">
        <f>IF(Tim!EI44=Sheet6!$C$2,Sheet6!$C$2,IF(Tim!EI44=Sheet6!$C$3,Sheet6!$C$3,IF(Tim!EI44=Sheet6!$C$4,Sheet6!$C$4,IF(Tim!EI44=Sheet6!$C$5,Sheet6!$C$5,IF(Tim!EI44=Sheet6!$C$6,Sheet6!$C$6,IF(Tim!EI44=Sheet6!$C$7,Sheet6!$C$7,IF(Tim!EI44=Sheet6!$C$8,Sheet6!$C$8,"")))))))</f>
        <v/>
      </c>
      <c r="BF42" s="54" t="str">
        <f>IF(Tim!EJ44=Sheet6!$C$2,Sheet6!$C$2,IF(Tim!EJ44=Sheet6!$C$3,Sheet6!$C$3,IF(Tim!EJ44=Sheet6!$C$4,Sheet6!$C$4,IF(Tim!EJ44=Sheet6!$C$5,Sheet6!$C$5,IF(Tim!EJ44=Sheet6!$C$6,Sheet6!$C$6,IF(Tim!EJ44=Sheet6!$C$7,Sheet6!$C$7,IF(Tim!EJ44=Sheet6!$C$8,Sheet6!$C$8,"")))))))</f>
        <v/>
      </c>
      <c r="BG42" s="55" t="str">
        <f>IF(Tim!EK44=Sheet6!$C$2,Sheet6!$C$2,IF(Tim!EK44=Sheet6!$C$3,Sheet6!$C$3,IF(Tim!EK44=Sheet6!$C$4,Sheet6!$C$4,IF(Tim!EK44=Sheet6!$C$5,Sheet6!$C$5,IF(Tim!EK44=Sheet6!$C$6,Sheet6!$C$6,IF(Tim!EK44=Sheet6!$C$7,Sheet6!$C$7,IF(Tim!EK44=Sheet6!$C$8,Sheet6!$C$8,"")))))))</f>
        <v/>
      </c>
      <c r="BH42" s="53" t="str">
        <f>IF(Tim!EL44=Sheet6!$C$2,Sheet6!$C$2,IF(Tim!EL44=Sheet6!$C$3,Sheet6!$C$3,IF(Tim!EL44=Sheet6!$C$4,Sheet6!$C$4,IF(Tim!EL44=Sheet6!$C$5,Sheet6!$C$5,IF(Tim!EL44=Sheet6!$C$6,Sheet6!$C$6,IF(Tim!EL44=Sheet6!$C$7,Sheet6!$C$7,IF(Tim!EL44=Sheet6!$C$8,Sheet6!$C$8,"")))))))</f>
        <v/>
      </c>
      <c r="BI42" s="57" t="str">
        <f>IF(Tim!EM44=Sheet6!$C$2,Sheet6!$C$2,IF(Tim!EM44=Sheet6!$C$3,Sheet6!$C$3,IF(Tim!EM44=Sheet6!$C$4,Sheet6!$C$4,IF(Tim!EM44=Sheet6!$C$5,Sheet6!$C$5,IF(Tim!EM44=Sheet6!$C$6,Sheet6!$C$6,IF(Tim!EM44=Sheet6!$C$7,Sheet6!$C$7,IF(Tim!EM44=Sheet6!$C$8,Sheet6!$C$8,"")))))))</f>
        <v/>
      </c>
      <c r="BJ42" s="57" t="str">
        <f>IF(Tim!EQ44=Sheet6!$C$2,Sheet6!$C$2,IF(Tim!EQ44=Sheet6!$C$3,Sheet6!$C$3,IF(Tim!EQ44=Sheet6!$C$4,Sheet6!$C$4,IF(Tim!EQ44=Sheet6!$C$5,Sheet6!$C$5,IF(Tim!EQ44=Sheet6!$C$6,Sheet6!$C$6,IF(Tim!EQ44=Sheet6!$C$7,Sheet6!$C$7,IF(Tim!EQ44=Sheet6!$C$8,Sheet6!$C$8,"")))))))</f>
        <v/>
      </c>
      <c r="BK42" s="57" t="str">
        <f>IF(Tim!ER44=Sheet6!$C$2,Sheet6!$C$2,IF(Tim!ER44=Sheet6!$C$3,Sheet6!$C$3,IF(Tim!ER44=Sheet6!$C$4,Sheet6!$C$4,IF(Tim!ER44=Sheet6!$C$5,Sheet6!$C$5,IF(Tim!ER44=Sheet6!$C$6,Sheet6!$C$6,IF(Tim!ER44=Sheet6!$C$7,Sheet6!$C$7,IF(Tim!ER44=Sheet6!$C$8,Sheet6!$C$8,"")))))))</f>
        <v/>
      </c>
      <c r="BL42" s="57" t="str">
        <f>IF(Tim!EZ44=Sheet6!$C$2,Sheet6!$C$2,IF(Tim!EZ44=Sheet6!$C$3,Sheet6!$C$3,IF(Tim!EZ44=Sheet6!$C$4,Sheet6!$C$4,IF(Tim!EZ44=Sheet6!$C$5,Sheet6!$C$5,IF(Tim!EZ44=Sheet6!$C$6,Sheet6!$C$6,IF(Tim!EZ44=Sheet6!$C$7,Sheet6!$C$7,IF(Tim!EZ44=Sheet6!$C$8,Sheet6!$C$8,"")))))))</f>
        <v/>
      </c>
      <c r="BM42" s="53" t="str">
        <f>IF(Tim!FG44=Sheet6!$C$2,Sheet6!$C$2,IF(Tim!FG44=Sheet6!$C$3,Sheet6!$C$3,IF(Tim!FG44=Sheet6!$C$4,Sheet6!$C$4,IF(Tim!FG44=Sheet6!$C$5,Sheet6!$C$5,IF(Tim!FG44=Sheet6!$C$6,Sheet6!$C$6,IF(Tim!FG44=Sheet6!$C$7,Sheet6!$C$7,IF(Tim!FG44=Sheet6!$C$8,Sheet6!$C$8,"")))))))</f>
        <v/>
      </c>
      <c r="BN42" s="53" t="str">
        <f>IF(Tim!FH44=Sheet6!$C$2,Sheet6!$C$2,IF(Tim!FH44=Sheet6!$C$3,Sheet6!$C$3,IF(Tim!FH44=Sheet6!$C$4,Sheet6!$C$4,IF(Tim!FH44=Sheet6!$C$5,Sheet6!$C$5,IF(Tim!FH44=Sheet6!$C$6,Sheet6!$C$6,IF(Tim!FH44=Sheet6!$C$7,Sheet6!$C$7,IF(Tim!FH44=Sheet6!$C$8,Sheet6!$C$8,"")))))))</f>
        <v/>
      </c>
      <c r="BO42" s="53" t="str">
        <f>IF(Tim!FP44=Sheet6!$C$2,Sheet6!$C$2,IF(Tim!FP44=Sheet6!$C$3,Sheet6!$C$3,IF(Tim!FP44=Sheet6!$C$4,Sheet6!$C$4,IF(Tim!FP44=Sheet6!$C$5,Sheet6!$C$5,IF(Tim!FP44=Sheet6!$C$6,Sheet6!$C$6,IF(Tim!FP44=Sheet6!$C$7,Sheet6!$C$7,IF(Tim!FP44=Sheet6!$C$8,Sheet6!$C$8,"")))))))</f>
        <v/>
      </c>
      <c r="BP42" s="53" t="str">
        <f>IF(Tim!FQ44=Sheet6!$C$2,Sheet6!$C$2,IF(Tim!FQ44=Sheet6!$C$3,Sheet6!$C$3,IF(Tim!FQ44=Sheet6!$C$4,Sheet6!$C$4,IF(Tim!FQ44=Sheet6!$C$5,Sheet6!$C$5,IF(Tim!FQ44=Sheet6!$C$6,Sheet6!$C$6,IF(Tim!FQ44=Sheet6!$C$7,Sheet6!$C$7,IF(Tim!FQ44=Sheet6!$C$8,Sheet6!$C$8,"")))))))</f>
        <v/>
      </c>
      <c r="BQ42" s="53" t="str">
        <f>IF(Tim!FR44=Sheet6!$C$2,Sheet6!$C$2,IF(Tim!FR44=Sheet6!$C$3,Sheet6!$C$3,IF(Tim!FR44=Sheet6!$C$4,Sheet6!$C$4,IF(Tim!FR44=Sheet6!$C$5,Sheet6!$C$5,IF(Tim!FR44=Sheet6!$C$6,Sheet6!$C$6,IF(Tim!FR44=Sheet6!$C$7,Sheet6!$C$7,IF(Tim!FR44=Sheet6!$C$8,Sheet6!$C$8,"")))))))</f>
        <v/>
      </c>
      <c r="BR42" s="53" t="str">
        <f>IF(Tim!FS44=Sheet6!$C$2,Sheet6!$C$2,IF(Tim!FS44=Sheet6!$C$3,Sheet6!$C$3,IF(Tim!FS44=Sheet6!$C$4,Sheet6!$C$4,IF(Tim!FS44=Sheet6!$C$5,Sheet6!$C$5,IF(Tim!FS44=Sheet6!$C$6,Sheet6!$C$6,IF(Tim!FS44=Sheet6!$C$7,Sheet6!$C$7,IF(Tim!FS44=Sheet6!$C$8,Sheet6!$C$8,"")))))))</f>
        <v/>
      </c>
      <c r="BS42" s="53" t="str">
        <f>IF(Tim!FT44=Sheet6!$C$2,Sheet6!$C$2,IF(Tim!FT44=Sheet6!$C$3,Sheet6!$C$3,IF(Tim!FT44=Sheet6!$C$4,Sheet6!$C$4,IF(Tim!FT44=Sheet6!$C$5,Sheet6!$C$5,IF(Tim!FT44=Sheet6!$C$6,Sheet6!$C$6,IF(Tim!FT44=Sheet6!$C$7,Sheet6!$C$7,IF(Tim!FT44=Sheet6!$C$8,Sheet6!$C$8,"")))))))</f>
        <v/>
      </c>
      <c r="BT42" s="53" t="str">
        <f>IF(Tim!FU44=Sheet6!$C$2,Sheet6!$C$2,IF(Tim!FU44=Sheet6!$C$3,Sheet6!$C$3,IF(Tim!FU44=Sheet6!$C$4,Sheet6!$C$4,IF(Tim!FU44=Sheet6!$C$5,Sheet6!$C$5,IF(Tim!FU44=Sheet6!$C$6,Sheet6!$C$6,IF(Tim!FU44=Sheet6!$C$7,Sheet6!$C$7,IF(Tim!FU44=Sheet6!$C$8,Sheet6!$C$8,"")))))))</f>
        <v/>
      </c>
      <c r="BU42" s="53" t="str">
        <f>IF(Tim!FY44=Sheet6!$C$2,Sheet6!$C$2,IF(Tim!FY44=Sheet6!$C$3,Sheet6!$C$3,IF(Tim!FY44=Sheet6!$C$4,Sheet6!$C$4,IF(Tim!FY44=Sheet6!$C$5,Sheet6!$C$5,IF(Tim!FY44=Sheet6!$C$6,Sheet6!$C$6,IF(Tim!FY44=Sheet6!$C$7,Sheet6!$C$7,IF(Tim!FY44=Sheet6!$C$8,Sheet6!$C$8,"")))))))</f>
        <v/>
      </c>
      <c r="BV42" s="54" t="str">
        <f>IF(Tim!FZ44=Sheet6!$C$2,Sheet6!$C$2,IF(Tim!FZ44=Sheet6!$C$3,Sheet6!$C$3,IF(Tim!FZ44=Sheet6!$C$4,Sheet6!$C$4,IF(Tim!FZ44=Sheet6!$C$5,Sheet6!$C$5,IF(Tim!FZ44=Sheet6!$C$6,Sheet6!$C$6,IF(Tim!FZ44=Sheet6!$C$7,Sheet6!$C$7,IF(Tim!FZ44=Sheet6!$C$8,Sheet6!$C$8,"")))))))</f>
        <v/>
      </c>
      <c r="BW42" s="54" t="str">
        <f>IF(Tim!GA44=Sheet6!$C$2,Sheet6!$C$2,IF(Tim!GA44=Sheet6!$C$3,Sheet6!$C$3,IF(Tim!GA44=Sheet6!$C$4,Sheet6!$C$4,IF(Tim!GA44=Sheet6!$C$5,Sheet6!$C$5,IF(Tim!GA44=Sheet6!$C$6,Sheet6!$C$6,IF(Tim!GA44=Sheet6!$C$7,Sheet6!$C$7,IF(Tim!GA44=Sheet6!$C$8,Sheet6!$C$8,"")))))))</f>
        <v/>
      </c>
      <c r="BX42" s="54" t="str">
        <f>IF(Tim!GB44=Sheet6!$C$2,Sheet6!$C$2,IF(Tim!GB44=Sheet6!$C$3,Sheet6!$C$3,IF(Tim!GB44=Sheet6!$C$4,Sheet6!$C$4,IF(Tim!GB44=Sheet6!$C$5,Sheet6!$C$5,IF(Tim!GB44=Sheet6!$C$6,Sheet6!$C$6,IF(Tim!GB44=Sheet6!$C$7,Sheet6!$C$7,IF(Tim!GB44=Sheet6!$C$8,Sheet6!$C$8,"")))))))</f>
        <v/>
      </c>
      <c r="BY42" s="55" t="str">
        <f>IF(Tim!GC44=Sheet6!$C$2,Sheet6!$C$2,IF(Tim!GC44=Sheet6!$C$3,Sheet6!$C$3,IF(Tim!GC44=Sheet6!$C$4,Sheet6!$C$4,IF(Tim!GC44=Sheet6!$C$5,Sheet6!$C$5,IF(Tim!GC44=Sheet6!$C$6,Sheet6!$C$6,IF(Tim!GC44=Sheet6!$C$7,Sheet6!$C$7,IF(Tim!GC44=Sheet6!$C$8,Sheet6!$C$8,"")))))))</f>
        <v/>
      </c>
      <c r="BZ42" s="53" t="str">
        <f>IF(Tim!GD44=Sheet6!$C$2,Sheet6!$C$2,IF(Tim!GD44=Sheet6!$C$3,Sheet6!$C$3,IF(Tim!GD44=Sheet6!$C$4,Sheet6!$C$4,IF(Tim!GD44=Sheet6!$C$5,Sheet6!$C$5,IF(Tim!GD44=Sheet6!$C$6,Sheet6!$C$6,IF(Tim!GD44=Sheet6!$C$7,Sheet6!$C$7,IF(Tim!GD44=Sheet6!$C$8,Sheet6!$C$8,"")))))))</f>
        <v/>
      </c>
      <c r="CA42" s="53" t="str">
        <f>IF(Tim!GE44=Sheet6!$C$2,Sheet6!$C$2,IF(Tim!GE44=Sheet6!$C$3,Sheet6!$C$3,IF(Tim!GE44=Sheet6!$C$4,Sheet6!$C$4,IF(Tim!GE44=Sheet6!$C$5,Sheet6!$C$5,IF(Tim!GE44=Sheet6!$C$6,Sheet6!$C$6,IF(Tim!GE44=Sheet6!$C$7,Sheet6!$C$7,IF(Tim!GE44=Sheet6!$C$8,Sheet6!$C$8,"")))))))</f>
        <v/>
      </c>
      <c r="CB42" s="57" t="str">
        <f>IF(Tim!GI44=Sheet6!$C$2,Sheet6!$C$2,IF(Tim!GI44=Sheet6!$C$3,Sheet6!$C$3,IF(Tim!GI44=Sheet6!$C$4,Sheet6!$C$4,IF(Tim!GI44=Sheet6!$C$5,Sheet6!$C$5,IF(Tim!GI44=Sheet6!$C$6,Sheet6!$C$6,IF(Tim!GI44=Sheet6!$C$7,Sheet6!$C$7,IF(Tim!GI44=Sheet6!$C$8,Sheet6!$C$8,"")))))))</f>
        <v/>
      </c>
      <c r="CC42" s="57" t="str">
        <f>IF(Tim!GJ44=Sheet6!$C$2,Sheet6!$C$2,IF(Tim!GJ44=Sheet6!$C$3,Sheet6!$C$3,IF(Tim!GJ44=Sheet6!$C$4,Sheet6!$C$4,IF(Tim!GJ44=Sheet6!$C$5,Sheet6!$C$5,IF(Tim!GJ44=Sheet6!$C$6,Sheet6!$C$6,IF(Tim!GJ44=Sheet6!$C$7,Sheet6!$C$7,IF(Tim!GJ44=Sheet6!$C$8,Sheet6!$C$8,"")))))))</f>
        <v/>
      </c>
      <c r="CD42" s="57" t="str">
        <f>IF(Tim!GO44=Sheet6!$C$2,Sheet6!$C$2,IF(Tim!GO44=Sheet6!$C$3,Sheet6!$C$3,IF(Tim!GO44=Sheet6!$C$4,Sheet6!$C$4,IF(Tim!GO44=Sheet6!$C$5,Sheet6!$C$5,IF(Tim!GO44=Sheet6!$C$6,Sheet6!$C$6,IF(Tim!GO44=Sheet6!$C$7,Sheet6!$C$7,IF(Tim!GO44=Sheet6!$C$8,Sheet6!$C$8,"")))))))</f>
        <v/>
      </c>
      <c r="CE42" s="53" t="str">
        <f>IF(Tim!GY44=Sheet6!$C$2,Sheet6!$C$2,IF(Tim!GY44=Sheet6!$C$3,Sheet6!$C$3,IF(Tim!GY44=Sheet6!$C$4,Sheet6!$C$4,IF(Tim!GY44=Sheet6!$C$5,Sheet6!$C$5,IF(Tim!GY44=Sheet6!$C$6,Sheet6!$C$6,IF(Tim!GY44=Sheet6!$C$7,Sheet6!$C$7,IF(Tim!GY44=Sheet6!$C$8,Sheet6!$C$8,"")))))))</f>
        <v/>
      </c>
      <c r="CF42" s="53" t="str">
        <f>IF(Tim!GZ44=Sheet6!$C$2,Sheet6!$C$2,IF(Tim!GZ44=Sheet6!$C$3,Sheet6!$C$3,IF(Tim!GZ44=Sheet6!$C$4,Sheet6!$C$4,IF(Tim!GZ44=Sheet6!$C$5,Sheet6!$C$5,IF(Tim!GZ44=Sheet6!$C$6,Sheet6!$C$6,IF(Tim!GZ44=Sheet6!$C$7,Sheet6!$C$7,IF(Tim!GZ44=Sheet6!$C$8,Sheet6!$C$8,"")))))))</f>
        <v/>
      </c>
      <c r="CG42" s="53" t="str">
        <f>IF(Tim!HH44=Sheet6!$C$2,Sheet6!$C$2,IF(Tim!HH44=Sheet6!$C$3,Sheet6!$C$3,IF(Tim!HH44=Sheet6!$C$4,Sheet6!$C$4,IF(Tim!HH44=Sheet6!$C$5,Sheet6!$C$5,IF(Tim!HH44=Sheet6!$C$6,Sheet6!$C$6,IF(Tim!HH44=Sheet6!$C$7,Sheet6!$C$7,IF(Tim!HH44=Sheet6!$C$8,Sheet6!$C$8,"")))))))</f>
        <v/>
      </c>
      <c r="CH42" s="53" t="str">
        <f>IF(Tim!HI44=Sheet6!$C$2,Sheet6!$C$2,IF(Tim!HI44=Sheet6!$C$3,Sheet6!$C$3,IF(Tim!HI44=Sheet6!$C$4,Sheet6!$C$4,IF(Tim!HI44=Sheet6!$C$5,Sheet6!$C$5,IF(Tim!HI44=Sheet6!$C$6,Sheet6!$C$6,IF(Tim!HI44=Sheet6!$C$7,Sheet6!$C$7,IF(Tim!HI44=Sheet6!$C$8,Sheet6!$C$8,"")))))))</f>
        <v/>
      </c>
      <c r="CI42" s="53" t="str">
        <f>IF(Tim!HJ44=Sheet6!$C$2,Sheet6!$C$2,IF(Tim!HJ44=Sheet6!$C$3,Sheet6!$C$3,IF(Tim!HJ44=Sheet6!$C$4,Sheet6!$C$4,IF(Tim!HJ44=Sheet6!$C$5,Sheet6!$C$5,IF(Tim!HJ44=Sheet6!$C$6,Sheet6!$C$6,IF(Tim!HJ44=Sheet6!$C$7,Sheet6!$C$7,IF(Tim!HJ44=Sheet6!$C$8,Sheet6!$C$8,"")))))))</f>
        <v/>
      </c>
      <c r="CJ42" s="53" t="str">
        <f>IF(Tim!HK44=Sheet6!$C$2,Sheet6!$C$2,IF(Tim!HK44=Sheet6!$C$3,Sheet6!$C$3,IF(Tim!HK44=Sheet6!$C$4,Sheet6!$C$4,IF(Tim!HK44=Sheet6!$C$5,Sheet6!$C$5,IF(Tim!HK44=Sheet6!$C$6,Sheet6!$C$6,IF(Tim!HK44=Sheet6!$C$7,Sheet6!$C$7,IF(Tim!HK44=Sheet6!$C$8,Sheet6!$C$8,"")))))))</f>
        <v/>
      </c>
      <c r="CK42" s="53" t="str">
        <f>IF(Tim!HL44=Sheet6!$C$2,Sheet6!$C$2,IF(Tim!HL44=Sheet6!$C$3,Sheet6!$C$3,IF(Tim!HL44=Sheet6!$C$4,Sheet6!$C$4,IF(Tim!HL44=Sheet6!$C$5,Sheet6!$C$5,IF(Tim!HL44=Sheet6!$C$6,Sheet6!$C$6,IF(Tim!HL44=Sheet6!$C$7,Sheet6!$C$7,IF(Tim!HL44=Sheet6!$C$8,Sheet6!$C$8,"")))))))</f>
        <v/>
      </c>
      <c r="CL42" s="53" t="str">
        <f>IF(Tim!HM44=Sheet6!$C$2,Sheet6!$C$2,IF(Tim!HM44=Sheet6!$C$3,Sheet6!$C$3,IF(Tim!HM44=Sheet6!$C$4,Sheet6!$C$4,IF(Tim!HM44=Sheet6!$C$5,Sheet6!$C$5,IF(Tim!HM44=Sheet6!$C$6,Sheet6!$C$6,IF(Tim!HM44=Sheet6!$C$7,Sheet6!$C$7,IF(Tim!HM44=Sheet6!$C$8,Sheet6!$C$8,"")))))))</f>
        <v/>
      </c>
      <c r="CM42" s="53" t="str">
        <f>IF(Tim!HQ44=Sheet6!$C$2,Sheet6!$C$2,IF(Tim!HQ44=Sheet6!$C$3,Sheet6!$C$3,IF(Tim!HQ44=Sheet6!$C$4,Sheet6!$C$4,IF(Tim!HQ44=Sheet6!$C$5,Sheet6!$C$5,IF(Tim!HQ44=Sheet6!$C$6,Sheet6!$C$6,IF(Tim!HQ44=Sheet6!$C$7,Sheet6!$C$7,IF(Tim!HQ44=Sheet6!$C$8,Sheet6!$C$8,"")))))))</f>
        <v/>
      </c>
      <c r="CN42" s="54" t="str">
        <f>IF(Tim!HR44=Sheet6!$C$2,Sheet6!$C$2,IF(Tim!HR44=Sheet6!$C$3,Sheet6!$C$3,IF(Tim!HR44=Sheet6!$C$4,Sheet6!$C$4,IF(Tim!HR44=Sheet6!$C$5,Sheet6!$C$5,IF(Tim!HR44=Sheet6!$C$6,Sheet6!$C$6,IF(Tim!HR44=Sheet6!$C$7,Sheet6!$C$7,IF(Tim!HR44=Sheet6!$C$8,Sheet6!$C$8,"")))))))</f>
        <v/>
      </c>
      <c r="CO42" s="54" t="str">
        <f>IF(Tim!HS44=Sheet6!$C$2,Sheet6!$C$2,IF(Tim!HS44=Sheet6!$C$3,Sheet6!$C$3,IF(Tim!HS44=Sheet6!$C$4,Sheet6!$C$4,IF(Tim!HS44=Sheet6!$C$5,Sheet6!$C$5,IF(Tim!HS44=Sheet6!$C$6,Sheet6!$C$6,IF(Tim!HS44=Sheet6!$C$7,Sheet6!$C$7,IF(Tim!HS44=Sheet6!$C$8,Sheet6!$C$8,"")))))))</f>
        <v/>
      </c>
      <c r="CP42" s="54" t="str">
        <f>IF(Tim!HT44=Sheet6!$C$2,Sheet6!$C$2,IF(Tim!HT44=Sheet6!$C$3,Sheet6!$C$3,IF(Tim!HT44=Sheet6!$C$4,Sheet6!$C$4,IF(Tim!HT44=Sheet6!$C$5,Sheet6!$C$5,IF(Tim!HT44=Sheet6!$C$6,Sheet6!$C$6,IF(Tim!HT44=Sheet6!$C$7,Sheet6!$C$7,IF(Tim!HT44=Sheet6!$C$8,Sheet6!$C$8,"")))))))</f>
        <v/>
      </c>
      <c r="CQ42" s="55" t="str">
        <f>IF(Tim!HU44=Sheet6!$C$2,Sheet6!$C$2,IF(Tim!HU44=Sheet6!$C$3,Sheet6!$C$3,IF(Tim!HU44=Sheet6!$C$4,Sheet6!$C$4,IF(Tim!HU44=Sheet6!$C$5,Sheet6!$C$5,IF(Tim!HU44=Sheet6!$C$6,Sheet6!$C$6,IF(Tim!HU44=Sheet6!$C$7,Sheet6!$C$7,IF(Tim!HU44=Sheet6!$C$8,Sheet6!$C$8,"")))))))</f>
        <v/>
      </c>
      <c r="CR42" s="56" t="str">
        <f>IF(Tim!HV44=Sheet6!$C$2,Sheet6!$C$2,IF(Tim!HV44=Sheet6!$C$3,Sheet6!$C$3,IF(Tim!HV44=Sheet6!$C$4,Sheet6!$C$4,IF(Tim!HV44=Sheet6!$C$5,Sheet6!$C$5,IF(Tim!HV44=Sheet6!$C$6,Sheet6!$C$6,IF(Tim!HV44=Sheet6!$C$7,Sheet6!$C$7,IF(Tim!HV44=Sheet6!$C$8,Sheet6!$C$8,"")))))))</f>
        <v/>
      </c>
      <c r="CS42" s="57" t="str">
        <f>IF(Tim!IB44=Sheet6!$C$2,Sheet6!$C$2,IF(Tim!IB44=Sheet6!$C$3,Sheet6!$C$3,IF(Tim!IB44=Sheet6!$C$4,Sheet6!$C$4,IF(Tim!IB44=Sheet6!$C$5,Sheet6!$C$5,IF(Tim!IB44=Sheet6!$C$6,Sheet6!$C$6,IF(Tim!IB44=Sheet6!$C$7,Sheet6!$C$7,IF(Tim!IB44=Sheet6!$C$8,Sheet6!$C$8,"")))))))</f>
        <v/>
      </c>
      <c r="CT42" s="65" t="str">
        <f>IF(Tim!IJ44=Sheet6!$C$2,Sheet6!$C$2,IF(Tim!IJ44=Sheet6!$C$3,Sheet6!$C$3,IF(Tim!IJ44=Sheet6!$C$4,Sheet6!$C$4,IF(Tim!IJ44=Sheet6!$C$5,Sheet6!$C$5,IF(Tim!IJ44=Sheet6!$C$6,Sheet6!$C$6,IF(Tim!IJ44=Sheet6!$C$7,Sheet6!$C$7,IF(Tim!IJ44=Sheet6!$C$8,Sheet6!$C$8,"")))))))</f>
        <v/>
      </c>
      <c r="CU42" s="65" t="str">
        <f>IF(Tim!IQ44=Sheet6!$C$2,Sheet6!$C$2,IF(Tim!IQ44=Sheet6!$C$3,Sheet6!$C$3,IF(Tim!IQ44=Sheet6!$C$4,Sheet6!$C$4,IF(Tim!IQ44=Sheet6!$C$5,Sheet6!$C$5,IF(Tim!IQ44=Sheet6!$C$6,Sheet6!$C$6,IF(Tim!IQ44=Sheet6!$C$7,Sheet6!$C$7,IF(Tim!IQ44=Sheet6!$C$8,Sheet6!$C$8,"")))))))</f>
        <v/>
      </c>
      <c r="CV42" s="53" t="str">
        <f>IF(Tim!IR44=Sheet6!$C$2,Sheet6!$C$2,IF(Tim!IR44=Sheet6!$C$3,Sheet6!$C$3,IF(Tim!IR44=Sheet6!$C$4,Sheet6!$C$4,IF(Tim!IR44=Sheet6!$C$5,Sheet6!$C$5,IF(Tim!IR44=Sheet6!$C$6,Sheet6!$C$6,IF(Tim!IR44=Sheet6!$C$7,Sheet6!$C$7,IF(Tim!IR44=Sheet6!$C$8,Sheet6!$C$8,"")))))))</f>
        <v/>
      </c>
      <c r="CW42" s="53" t="str">
        <f>IF(Tim!IZ44=Sheet6!$C$2,Sheet6!$C$2,IF(Tim!IZ44=Sheet6!$C$3,Sheet6!$C$3,IF(Tim!IZ44=Sheet6!$C$4,Sheet6!$C$4,IF(Tim!IZ44=Sheet6!$C$5,Sheet6!$C$5,IF(Tim!IZ44=Sheet6!$C$6,Sheet6!$C$6,IF(Tim!IZ44=Sheet6!$C$7,Sheet6!$C$7,IF(Tim!IZ44=Sheet6!$C$8,Sheet6!$C$8,"")))))))</f>
        <v/>
      </c>
      <c r="CX42" s="53" t="str">
        <f>IF(Tim!JA44=Sheet6!$C$2,Sheet6!$C$2,IF(Tim!JA44=Sheet6!$C$3,Sheet6!$C$3,IF(Tim!JA44=Sheet6!$C$4,Sheet6!$C$4,IF(Tim!JA44=Sheet6!$C$5,Sheet6!$C$5,IF(Tim!JA44=Sheet6!$C$6,Sheet6!$C$6,IF(Tim!JA44=Sheet6!$C$7,Sheet6!$C$7,IF(Tim!JA44=Sheet6!$C$8,Sheet6!$C$8,"")))))))</f>
        <v/>
      </c>
      <c r="CY42" s="53" t="str">
        <f>IF(Tim!JB44=Sheet6!$C$2,Sheet6!$C$2,IF(Tim!JB44=Sheet6!$C$3,Sheet6!$C$3,IF(Tim!JB44=Sheet6!$C$4,Sheet6!$C$4,IF(Tim!JB44=Sheet6!$C$5,Sheet6!$C$5,IF(Tim!JB44=Sheet6!$C$6,Sheet6!$C$6,IF(Tim!JB44=Sheet6!$C$7,Sheet6!$C$7,IF(Tim!JB44=Sheet6!$C$8,Sheet6!$C$8,"")))))))</f>
        <v/>
      </c>
      <c r="CZ42" s="53" t="str">
        <f>IF(Tim!JC44=Sheet6!$C$2,Sheet6!$C$2,IF(Tim!JC44=Sheet6!$C$3,Sheet6!$C$3,IF(Tim!JC44=Sheet6!$C$4,Sheet6!$C$4,IF(Tim!JC44=Sheet6!$C$5,Sheet6!$C$5,IF(Tim!JC44=Sheet6!$C$6,Sheet6!$C$6,IF(Tim!JC44=Sheet6!$C$7,Sheet6!$C$7,IF(Tim!JC44=Sheet6!$C$8,Sheet6!$C$8,"")))))))</f>
        <v/>
      </c>
      <c r="DA42" s="53" t="str">
        <f>IF(Tim!JD44=Sheet6!$C$2,Sheet6!$C$2,IF(Tim!JD44=Sheet6!$C$3,Sheet6!$C$3,IF(Tim!JD44=Sheet6!$C$4,Sheet6!$C$4,IF(Tim!JD44=Sheet6!$C$5,Sheet6!$C$5,IF(Tim!JD44=Sheet6!$C$6,Sheet6!$C$6,IF(Tim!JD44=Sheet6!$C$7,Sheet6!$C$7,IF(Tim!JD44=Sheet6!$C$8,Sheet6!$C$8,"")))))))</f>
        <v/>
      </c>
      <c r="DB42" s="53" t="str">
        <f>IF(Tim!JE44=Sheet6!$C$2,Sheet6!$C$2,IF(Tim!JE44=Sheet6!$C$3,Sheet6!$C$3,IF(Tim!JE44=Sheet6!$C$4,Sheet6!$C$4,IF(Tim!JE44=Sheet6!$C$5,Sheet6!$C$5,IF(Tim!JE44=Sheet6!$C$6,Sheet6!$C$6,IF(Tim!JE44=Sheet6!$C$7,Sheet6!$C$7,IF(Tim!JE44=Sheet6!$C$8,Sheet6!$C$8,"")))))))</f>
        <v/>
      </c>
      <c r="DC42" s="184" t="str">
        <f>IF(Tim!JI44=Sheet6!$C$2,Sheet6!$C$2,IF(Tim!JI44=Sheet6!$C$3,Sheet6!$C$3,IF(Tim!JI44=Sheet6!$C$4,Sheet6!$C$4,IF(Tim!JI44=Sheet6!$C$5,Sheet6!$C$5,IF(Tim!JI44=Sheet6!$C$6,Sheet6!$C$6,IF(Tim!JI44=Sheet6!$C$7,Sheet6!$C$7,IF(Tim!JI44=Sheet6!$C$8,Sheet6!$C$8,"")))))))</f>
        <v/>
      </c>
      <c r="DD42" s="54" t="str">
        <f>IF(Tim!JJ44=Sheet6!$C$2,Sheet6!$C$2,IF(Tim!JJ44=Sheet6!$C$3,Sheet6!$C$3,IF(Tim!JJ44=Sheet6!$C$4,Sheet6!$C$4,IF(Tim!JJ44=Sheet6!$C$5,Sheet6!$C$5,IF(Tim!JJ44=Sheet6!$C$6,Sheet6!$C$6,IF(Tim!JJ44=Sheet6!$C$7,Sheet6!$C$7,IF(Tim!JJ44=Sheet6!$C$8,Sheet6!$C$8,"")))))))</f>
        <v/>
      </c>
      <c r="DE42" s="54" t="str">
        <f>IF(Tim!JK44=Sheet6!$C$2,Sheet6!$C$2,IF(Tim!JK44=Sheet6!$C$3,Sheet6!$C$3,IF(Tim!JK44=Sheet6!$C$4,Sheet6!$C$4,IF(Tim!JK44=Sheet6!$C$5,Sheet6!$C$5,IF(Tim!JK44=Sheet6!$C$6,Sheet6!$C$6,IF(Tim!JK44=Sheet6!$C$7,Sheet6!$C$7,IF(Tim!JK44=Sheet6!$C$8,Sheet6!$C$8,"")))))))</f>
        <v/>
      </c>
      <c r="DF42" s="54" t="str">
        <f>IF(Tim!JL44=Sheet6!$C$2,Sheet6!$C$2,IF(Tim!JL44=Sheet6!$C$3,Sheet6!$C$3,IF(Tim!JL44=Sheet6!$C$4,Sheet6!$C$4,IF(Tim!JL44=Sheet6!$C$5,Sheet6!$C$5,IF(Tim!JL44=Sheet6!$C$6,Sheet6!$C$6,IF(Tim!JL44=Sheet6!$C$7,Sheet6!$C$7,IF(Tim!JL44=Sheet6!$C$8,Sheet6!$C$8,"")))))))</f>
        <v/>
      </c>
      <c r="DG42" s="55" t="str">
        <f>IF(Tim!JM44=Sheet6!$C$2,Sheet6!$C$2,IF(Tim!JM44=Sheet6!$C$3,Sheet6!$C$3,IF(Tim!JM44=Sheet6!$C$4,Sheet6!$C$4,IF(Tim!JM44=Sheet6!$C$5,Sheet6!$C$5,IF(Tim!JM44=Sheet6!$C$6,Sheet6!$C$6,IF(Tim!JM44=Sheet6!$C$7,Sheet6!$C$7,IF(Tim!JM44=Sheet6!$C$8,Sheet6!$C$8,"")))))))</f>
        <v/>
      </c>
      <c r="DH42" s="56" t="str">
        <f>IF(Tim!JN44=Sheet6!$C$2,Sheet6!$C$2,IF(Tim!JN44=Sheet6!$C$3,Sheet6!$C$3,IF(Tim!JN44=Sheet6!$C$4,Sheet6!$C$4,IF(Tim!JN44=Sheet6!$C$5,Sheet6!$C$5,IF(Tim!JN44=Sheet6!$C$6,Sheet6!$C$6,IF(Tim!JN44=Sheet6!$C$7,Sheet6!$C$7,IF(Tim!JN44=Sheet6!$C$8,Sheet6!$C$8,"")))))))</f>
        <v/>
      </c>
      <c r="DI42" s="57" t="str">
        <f>IF(Tim!JS44=Sheet6!$C$2,Sheet6!$C$2,IF(Tim!JS44=Sheet6!$C$3,Sheet6!$C$3,IF(Tim!JS44=Sheet6!$C$4,Sheet6!$C$4,IF(Tim!JS44=Sheet6!$C$5,Sheet6!$C$5,IF(Tim!JS44=Sheet6!$C$6,Sheet6!$C$6,IF(Tim!JS44=Sheet6!$C$7,Sheet6!$C$7,IF(Tim!JS44=Sheet6!$C$8,Sheet6!$C$8,"")))))))</f>
        <v/>
      </c>
      <c r="DJ42" s="57" t="str">
        <f>IF(Tim!KB44=Sheet6!$C$2,Sheet6!$C$2,IF(Tim!KB44=Sheet6!$C$3,Sheet6!$C$3,IF(Tim!KB44=Sheet6!$C$4,Sheet6!$C$4,IF(Tim!KB44=Sheet6!$C$5,Sheet6!$C$5,IF(Tim!KB44=Sheet6!$C$6,Sheet6!$C$6,IF(Tim!KB44=Sheet6!$C$7,Sheet6!$C$7,IF(Tim!KB44=Sheet6!$C$8,Sheet6!$C$8,"")))))))</f>
        <v/>
      </c>
      <c r="DK42" s="53" t="str">
        <f>IF(Tim!KI44=Sheet6!$C$2,Sheet6!$C$2,IF(Tim!KI44=Sheet6!$C$3,Sheet6!$C$3,IF(Tim!KI44=Sheet6!$C$4,Sheet6!$C$4,IF(Tim!KI44=Sheet6!$C$5,Sheet6!$C$5,IF(Tim!KI44=Sheet6!$C$6,Sheet6!$C$6,IF(Tim!KI44=Sheet6!$C$7,Sheet6!$C$7,IF(Tim!KI44=Sheet6!$C$8,Sheet6!$C$8,"")))))))</f>
        <v/>
      </c>
      <c r="DL42" s="53" t="str">
        <f>IF(Tim!KJ44=Sheet6!$C$2,Sheet6!$C$2,IF(Tim!KJ44=Sheet6!$C$3,Sheet6!$C$3,IF(Tim!KJ44=Sheet6!$C$4,Sheet6!$C$4,IF(Tim!KJ44=Sheet6!$C$5,Sheet6!$C$5,IF(Tim!KJ44=Sheet6!$C$6,Sheet6!$C$6,IF(Tim!KJ44=Sheet6!$C$7,Sheet6!$C$7,IF(Tim!KJ44=Sheet6!$C$8,Sheet6!$C$8,"")))))))</f>
        <v/>
      </c>
      <c r="DM42" s="53" t="str">
        <f>IF(Tim!KR44=Sheet6!$C$2,Sheet6!$C$2,IF(Tim!KR44=Sheet6!$C$3,Sheet6!$C$3,IF(Tim!KR44=Sheet6!$C$4,Sheet6!$C$4,IF(Tim!KR44=Sheet6!$C$5,Sheet6!$C$5,IF(Tim!KR44=Sheet6!$C$6,Sheet6!$C$6,IF(Tim!KR44=Sheet6!$C$7,Sheet6!$C$7,IF(Tim!KR44=Sheet6!$C$8,Sheet6!$C$8,"")))))))</f>
        <v/>
      </c>
      <c r="DN42" s="53" t="str">
        <f>IF(Tim!KS44=Sheet6!$C$2,Sheet6!$C$2,IF(Tim!KS44=Sheet6!$C$3,Sheet6!$C$3,IF(Tim!KS44=Sheet6!$C$4,Sheet6!$C$4,IF(Tim!KS44=Sheet6!$C$5,Sheet6!$C$5,IF(Tim!KS44=Sheet6!$C$6,Sheet6!$C$6,IF(Tim!KS44=Sheet6!$C$7,Sheet6!$C$7,IF(Tim!KS44=Sheet6!$C$8,Sheet6!$C$8,"")))))))</f>
        <v/>
      </c>
      <c r="DO42" s="53" t="str">
        <f>IF(Tim!KT44=Sheet6!$C$2,Sheet6!$C$2,IF(Tim!KT44=Sheet6!$C$3,Sheet6!$C$3,IF(Tim!KT44=Sheet6!$C$4,Sheet6!$C$4,IF(Tim!KT44=Sheet6!$C$5,Sheet6!$C$5,IF(Tim!KT44=Sheet6!$C$6,Sheet6!$C$6,IF(Tim!KT44=Sheet6!$C$7,Sheet6!$C$7,IF(Tim!KT44=Sheet6!$C$8,Sheet6!$C$8,"")))))))</f>
        <v/>
      </c>
      <c r="DP42" s="53" t="str">
        <f>IF(Tim!KU44=Sheet6!$C$2,Sheet6!$C$2,IF(Tim!KU44=Sheet6!$C$3,Sheet6!$C$3,IF(Tim!KU44=Sheet6!$C$4,Sheet6!$C$4,IF(Tim!KU44=Sheet6!$C$5,Sheet6!$C$5,IF(Tim!KU44=Sheet6!$C$6,Sheet6!$C$6,IF(Tim!KU44=Sheet6!$C$7,Sheet6!$C$7,IF(Tim!KU44=Sheet6!$C$8,Sheet6!$C$8,"")))))))</f>
        <v/>
      </c>
      <c r="DQ42" s="53" t="str">
        <f>IF(Tim!KV44=Sheet6!$C$2,Sheet6!$C$2,IF(Tim!KV44=Sheet6!$C$3,Sheet6!$C$3,IF(Tim!KV44=Sheet6!$C$4,Sheet6!$C$4,IF(Tim!KV44=Sheet6!$C$5,Sheet6!$C$5,IF(Tim!KV44=Sheet6!$C$6,Sheet6!$C$6,IF(Tim!KV44=Sheet6!$C$7,Sheet6!$C$7,IF(Tim!KV44=Sheet6!$C$8,Sheet6!$C$8,"")))))))</f>
        <v/>
      </c>
      <c r="DR42" s="53" t="str">
        <f>IF(Tim!KW44=Sheet6!$C$2,Sheet6!$C$2,IF(Tim!KW44=Sheet6!$C$3,Sheet6!$C$3,IF(Tim!KW44=Sheet6!$C$4,Sheet6!$C$4,IF(Tim!KW44=Sheet6!$C$5,Sheet6!$C$5,IF(Tim!KW44=Sheet6!$C$6,Sheet6!$C$6,IF(Tim!KW44=Sheet6!$C$7,Sheet6!$C$7,IF(Tim!KW44=Sheet6!$C$8,Sheet6!$C$8,"")))))))</f>
        <v/>
      </c>
      <c r="DS42" s="53" t="str">
        <f>IF(Tim!LA44=Sheet6!$C$2,Sheet6!$C$2,IF(Tim!LA44=Sheet6!$C$3,Sheet6!$C$3,IF(Tim!LA44=Sheet6!$C$4,Sheet6!$C$4,IF(Tim!LA44=Sheet6!$C$5,Sheet6!$C$5,IF(Tim!LA44=Sheet6!$C$6,Sheet6!$C$6,IF(Tim!LA44=Sheet6!$C$7,Sheet6!$C$7,IF(Tim!LA44=Sheet6!$C$8,Sheet6!$C$8,"")))))))</f>
        <v/>
      </c>
      <c r="DT42" s="54" t="str">
        <f>IF(Tim!LB44=Sheet6!$C$2,Sheet6!$C$2,IF(Tim!LB44=Sheet6!$C$3,Sheet6!$C$3,IF(Tim!LB44=Sheet6!$C$4,Sheet6!$C$4,IF(Tim!LB44=Sheet6!$C$5,Sheet6!$C$5,IF(Tim!LB44=Sheet6!$C$6,Sheet6!$C$6,IF(Tim!LB44=Sheet6!$C$7,Sheet6!$C$7,IF(Tim!LB44=Sheet6!$C$8,Sheet6!$C$8,"")))))))</f>
        <v/>
      </c>
      <c r="DU42" s="54" t="str">
        <f>IF(Tim!LC44=Sheet6!$C$2,Sheet6!$C$2,IF(Tim!LC44=Sheet6!$C$3,Sheet6!$C$3,IF(Tim!LC44=Sheet6!$C$4,Sheet6!$C$4,IF(Tim!LC44=Sheet6!$C$5,Sheet6!$C$5,IF(Tim!LC44=Sheet6!$C$6,Sheet6!$C$6,IF(Tim!LC44=Sheet6!$C$7,Sheet6!$C$7,IF(Tim!LC44=Sheet6!$C$8,Sheet6!$C$8,"")))))))</f>
        <v/>
      </c>
      <c r="DV42" s="54" t="str">
        <f>IF(Tim!LD44=Sheet6!$C$2,Sheet6!$C$2,IF(Tim!LD44=Sheet6!$C$3,Sheet6!$C$3,IF(Tim!LD44=Sheet6!$C$4,Sheet6!$C$4,IF(Tim!LD44=Sheet6!$C$5,Sheet6!$C$5,IF(Tim!LD44=Sheet6!$C$6,Sheet6!$C$6,IF(Tim!LD44=Sheet6!$C$7,Sheet6!$C$7,IF(Tim!LD44=Sheet6!$C$8,Sheet6!$C$8,"")))))))</f>
        <v/>
      </c>
      <c r="DW42" s="55" t="str">
        <f>IF(Tim!LE44=Sheet6!$C$2,Sheet6!$C$2,IF(Tim!LE44=Sheet6!$C$3,Sheet6!$C$3,IF(Tim!LE44=Sheet6!$C$4,Sheet6!$C$4,IF(Tim!LE44=Sheet6!$C$5,Sheet6!$C$5,IF(Tim!LE44=Sheet6!$C$6,Sheet6!$C$6,IF(Tim!LE44=Sheet6!$C$7,Sheet6!$C$7,IF(Tim!LE44=Sheet6!$C$8,Sheet6!$C$8,"")))))))</f>
        <v/>
      </c>
      <c r="DX42" s="52">
        <v>0.67708333333333204</v>
      </c>
    </row>
    <row r="43" spans="2:128" ht="10.5" customHeight="1">
      <c r="B43" s="51">
        <v>0.25</v>
      </c>
      <c r="C43" s="51">
        <v>0.25</v>
      </c>
      <c r="D43" s="51">
        <v>0.25</v>
      </c>
      <c r="E43" s="52">
        <v>0.687499999999999</v>
      </c>
      <c r="F43" s="53" t="str">
        <f>IF(Tim!F45=Sheet6!$C$2,Sheet6!$C$2,IF(Tim!F45=Sheet6!$C$3,Sheet6!$C$3,IF(Tim!F45=Sheet6!$C$4,Sheet6!$C$4,IF(Tim!F45=Sheet6!$C$5,Sheet6!$C$5,IF(Tim!F45=Sheet6!$C$6,Sheet6!$C$6,IF(Tim!F45=Sheet6!$C$7,Sheet6!$C$7,IF(Tim!F45=Sheet6!$C$8,Sheet6!$C$8,"")))))))</f>
        <v/>
      </c>
      <c r="G43" s="53" t="str">
        <f>IF(Tim!G45=Sheet6!$C$2,Sheet6!$C$2,IF(Tim!G45=Sheet6!$C$3,Sheet6!$C$3,IF(Tim!G45=Sheet6!$C$4,Sheet6!$C$4,IF(Tim!G45=Sheet6!$C$5,Sheet6!$C$5,IF(Tim!G45=Sheet6!$C$6,Sheet6!$C$6,IF(Tim!G45=Sheet6!$C$7,Sheet6!$C$7,IF(Tim!G45=Sheet6!$C$8,Sheet6!$C$8,"")))))))</f>
        <v/>
      </c>
      <c r="H43" s="53" t="str">
        <f>IF(Tim!H45=Sheet6!$C$2,Sheet6!$C$2,IF(Tim!H45=Sheet6!$C$3,Sheet6!$C$3,IF(Tim!H45=Sheet6!$C$4,Sheet6!$C$4,IF(Tim!H45=Sheet6!$C$5,Sheet6!$C$5,IF(Tim!H45=Sheet6!$C$6,Sheet6!$C$6,IF(Tim!H45=Sheet6!$C$7,Sheet6!$C$7,IF(Tim!H45=Sheet6!$C$8,Sheet6!$C$8,"")))))))</f>
        <v/>
      </c>
      <c r="I43" s="53" t="str">
        <f>IF(Tim!L45=Sheet6!$C$2,Sheet6!$C$2,IF(Tim!L45=Sheet6!$C$3,Sheet6!$C$3,IF(Tim!L45=Sheet6!$C$4,Sheet6!$C$4,IF(Tim!L45=Sheet6!$C$5,Sheet6!$C$5,IF(Tim!L45=Sheet6!$C$6,Sheet6!$C$6,IF(Tim!L45=Sheet6!$C$7,Sheet6!$C$7,IF(Tim!L45=Sheet6!$C$8,Sheet6!$C$8,"")))))))</f>
        <v/>
      </c>
      <c r="J43" s="53" t="str">
        <f>IF(Tim!T45=Sheet6!$C$2,Sheet6!$C$2,IF(Tim!T45=Sheet6!$C$3,Sheet6!$C$3,IF(Tim!T45=Sheet6!$C$4,Sheet6!$C$4,IF(Tim!T45=Sheet6!$C$5,Sheet6!$C$5,IF(Tim!T45=Sheet6!$C$6,Sheet6!$C$6,IF(Tim!T45=Sheet6!$C$7,Sheet6!$C$7,IF(Tim!T45=Sheet6!$C$8,Sheet6!$C$8,"")))))))</f>
        <v/>
      </c>
      <c r="K43" s="53" t="str">
        <f>IF(Tim!AB45=Sheet6!$C$2,Sheet6!$C$2,IF(Tim!AB45=Sheet6!$C$3,Sheet6!$C$3,IF(Tim!AB45=Sheet6!$C$4,Sheet6!$C$4,IF(Tim!AB45=Sheet6!$C$5,Sheet6!$C$5,IF(Tim!AB45=Sheet6!$C$6,Sheet6!$C$6,IF(Tim!AB45=Sheet6!$C$7,Sheet6!$C$7,IF(Tim!AB45=Sheet6!$C$8,Sheet6!$C$8,"")))))))</f>
        <v/>
      </c>
      <c r="L43" s="53" t="str">
        <f>IF(Tim!AC45=Sheet6!$C$2,Sheet6!$C$2,IF(Tim!AC45=Sheet6!$C$3,Sheet6!$C$3,IF(Tim!AC45=Sheet6!$C$4,Sheet6!$C$4,IF(Tim!AC45=Sheet6!$C$5,Sheet6!$C$5,IF(Tim!AC45=Sheet6!$C$6,Sheet6!$C$6,IF(Tim!AC45=Sheet6!$C$7,Sheet6!$C$7,IF(Tim!AC45=Sheet6!$C$8,Sheet6!$C$8,"")))))))</f>
        <v/>
      </c>
      <c r="M43" s="53" t="str">
        <f>IF(Tim!AJ46=Sheet6!$C$2,Sheet6!$C$2,IF(Tim!AJ46=Sheet6!$C$3,Sheet6!$C$3,IF(Tim!AJ46=Sheet6!$C$4,Sheet6!$C$4,IF(Tim!AJ46=Sheet6!$C$5,Sheet6!$C$5,IF(Tim!AJ46=Sheet6!$C$6,Sheet6!$C$6,IF(Tim!AJ46=Sheet6!$C$7,Sheet6!$C$7,IF(Tim!AJ46=Sheet6!$C$8,Sheet6!$C$8,"")))))))</f>
        <v/>
      </c>
      <c r="N43" s="53" t="str">
        <f>IF(Tim!AK45=Sheet6!$C$2,Sheet6!$C$2,IF(Tim!AK45=Sheet6!$C$3,Sheet6!$C$3,IF(Tim!AK45=Sheet6!$C$4,Sheet6!$C$4,IF(Tim!AK45=Sheet6!$C$5,Sheet6!$C$5,IF(Tim!AK45=Sheet6!$C$6,Sheet6!$C$6,IF(Tim!AK45=Sheet6!$C$7,Sheet6!$C$7,IF(Tim!AK45=Sheet6!$C$8,Sheet6!$C$8,"")))))))</f>
        <v/>
      </c>
      <c r="O43" s="53" t="str">
        <f>IF(Tim!AL45=Sheet6!$C$2,Sheet6!$C$2,IF(Tim!AL45=Sheet6!$C$3,Sheet6!$C$3,IF(Tim!AL45=Sheet6!$C$4,Sheet6!$C$4,IF(Tim!AL45=Sheet6!$C$5,Sheet6!$C$5,IF(Tim!AL45=Sheet6!$C$6,Sheet6!$C$6,IF(Tim!AL45=Sheet6!$C$7,Sheet6!$C$7,IF(Tim!AL45=Sheet6!$C$8,Sheet6!$C$8,"")))))))</f>
        <v/>
      </c>
      <c r="P43" s="53" t="str">
        <f>IF(Tim!AN45=Sheet6!$C$2,Sheet6!$C$2,IF(Tim!AN45=Sheet6!$C$3,Sheet6!$C$3,IF(Tim!AN45=Sheet6!$C$4,Sheet6!$C$4,IF(Tim!AN45=Sheet6!$C$5,Sheet6!$C$5,IF(Tim!AN45=Sheet6!$C$6,Sheet6!$C$6,IF(Tim!AN45=Sheet6!$C$7,Sheet6!$C$7,IF(Tim!AN45=Sheet6!$C$8,Sheet6!$C$8,"")))))))</f>
        <v/>
      </c>
      <c r="Q43" s="53" t="str">
        <f>IF(Tim!AO45=Sheet6!$C$2,Sheet6!$C$2,IF(Tim!AO45=Sheet6!$C$3,Sheet6!$C$3,IF(Tim!AO45=Sheet6!$C$4,Sheet6!$C$4,IF(Tim!AO45=Sheet6!$C$5,Sheet6!$C$5,IF(Tim!AO45=Sheet6!$C$6,Sheet6!$C$6,IF(Tim!AO45=Sheet6!$C$7,Sheet6!$C$7,IF(Tim!AO45=Sheet6!$C$8,Sheet6!$C$8,"")))))))</f>
        <v/>
      </c>
      <c r="R43" s="53" t="str">
        <f>IF(Tim!AP45=Sheet6!$C$2,Sheet6!$C$2,IF(Tim!AP45=Sheet6!$C$3,Sheet6!$C$3,IF(Tim!AP45=Sheet6!$C$4,Sheet6!$C$4,IF(Tim!AP45=Sheet6!$C$5,Sheet6!$C$5,IF(Tim!AP45=Sheet6!$C$6,Sheet6!$C$6,IF(Tim!AP45=Sheet6!$C$7,Sheet6!$C$7,IF(Tim!AP45=Sheet6!$C$8,Sheet6!$C$8,"")))))))</f>
        <v/>
      </c>
      <c r="S43" s="53" t="str">
        <f>IF(Tim!AT45=Sheet6!$C$2,Sheet6!$C$2,IF(Tim!AT45=Sheet6!$C$3,Sheet6!$C$3,IF(Tim!AT45=Sheet6!$C$4,Sheet6!$C$4,IF(Tim!AT45=Sheet6!$C$5,Sheet6!$C$5,IF(Tim!AT45=Sheet6!$C$6,Sheet6!$C$6,IF(Tim!AT45=Sheet6!$C$7,Sheet6!$C$7,IF(Tim!AT45=Sheet6!$C$8,Sheet6!$C$8,"")))))))</f>
        <v/>
      </c>
      <c r="T43" s="54" t="str">
        <f>IF(Tim!AU45=Sheet6!$C$2,Sheet6!$C$2,IF(Tim!AU45=Sheet6!$C$3,Sheet6!$C$3,IF(Tim!AU45=Sheet6!$C$4,Sheet6!$C$4,IF(Tim!AU45=Sheet6!$C$5,Sheet6!$C$5,IF(Tim!AU45=Sheet6!$C$6,Sheet6!$C$6,IF(Tim!AU45=Sheet6!$C$7,Sheet6!$C$7,IF(Tim!AU45=Sheet6!$C$8,Sheet6!$C$8,"")))))))</f>
        <v/>
      </c>
      <c r="U43" s="54" t="str">
        <f>IF(Tim!AV45=Sheet6!$C$2,Sheet6!$C$2,IF(Tim!AV45=Sheet6!$C$3,Sheet6!$C$3,IF(Tim!AV45=Sheet6!$C$4,Sheet6!$C$4,IF(Tim!AV45=Sheet6!$C$5,Sheet6!$C$5,IF(Tim!AV45=Sheet6!$C$6,Sheet6!$C$6,IF(Tim!AV45=Sheet6!$C$7,Sheet6!$C$7,IF(Tim!AV45=Sheet6!$C$8,Sheet6!$C$8,"")))))))</f>
        <v/>
      </c>
      <c r="V43" s="54" t="str">
        <f>IF(Tim!AW45=Sheet6!$C$2,Sheet6!$C$2,IF(Tim!AW45=Sheet6!$C$3,Sheet6!$C$3,IF(Tim!AW45=Sheet6!$C$4,Sheet6!$C$4,IF(Tim!AW45=Sheet6!$C$5,Sheet6!$C$5,IF(Tim!AW45=Sheet6!$C$6,Sheet6!$C$6,IF(Tim!AW45=Sheet6!$C$7,Sheet6!$C$7,IF(Tim!AW45=Sheet6!$C$8,Sheet6!$C$8,"")))))))</f>
        <v/>
      </c>
      <c r="W43" s="55" t="str">
        <f>IF(Tim!AX45=Sheet6!$C$2,Sheet6!$C$2,IF(Tim!AX45=Sheet6!$C$3,Sheet6!$C$3,IF(Tim!AX45=Sheet6!$C$4,Sheet6!$C$4,IF(Tim!AX45=Sheet6!$C$5,Sheet6!$C$5,IF(Tim!AX45=Sheet6!$C$6,Sheet6!$C$6,IF(Tim!AX45=Sheet6!$C$7,Sheet6!$C$7,IF(Tim!AX45=Sheet6!$C$8,Sheet6!$C$8,"")))))))</f>
        <v/>
      </c>
      <c r="X43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Y43" s="57" t="str">
        <f>IF(Tim!AY45=Sheet6!$C$2,Sheet6!$C$2,IF(Tim!AY45=Sheet6!$C$3,Sheet6!$C$3,IF(Tim!AY45=Sheet6!$C$4,Sheet6!$C$4,IF(Tim!AY45=Sheet6!$C$5,Sheet6!$C$5,IF(Tim!AY45=Sheet6!$C$6,Sheet6!$C$6,IF(Tim!AY45=Sheet6!$C$7,Sheet6!$C$7,IF(Tim!AY45=Sheet6!$C$8,Sheet6!$C$8,"")))))))</f>
        <v/>
      </c>
      <c r="Z43" s="57" t="str">
        <f>IF(Tim!BD45=Sheet6!$C$2,Sheet6!$C$2,IF(Tim!BD45=Sheet6!$C$3,Sheet6!$C$3,IF(Tim!BD45=Sheet6!$C$4,Sheet6!$C$4,IF(Tim!BD45=Sheet6!$C$5,Sheet6!$C$5,IF(Tim!BD45=Sheet6!$C$6,Sheet6!$C$6,IF(Tim!BD45=Sheet6!$C$7,Sheet6!$C$7,IF(Tim!BD45=Sheet6!$C$8,Sheet6!$C$8,"")))))))</f>
        <v/>
      </c>
      <c r="AA43" s="57" t="str">
        <f>IF(Tim!BE45=Sheet6!$C$2,Sheet6!$C$2,IF(Tim!BE45=Sheet6!$C$3,Sheet6!$C$3,IF(Tim!BE45=Sheet6!$C$4,Sheet6!$C$4,IF(Tim!BE45=Sheet6!$C$5,Sheet6!$C$5,IF(Tim!BE45=Sheet6!$C$6,Sheet6!$C$6,IF(Tim!BE45=Sheet6!$C$7,Sheet6!$C$7,IF(Tim!BE45=Sheet6!$C$8,Sheet6!$C$8,"")))))))</f>
        <v/>
      </c>
      <c r="AB43" s="57" t="str">
        <f>IF(Tim!BL45=Sheet6!$C$2,Sheet6!$C$2,IF(Tim!BL45=Sheet6!$C$3,Sheet6!$C$3,IF(Tim!BL45=Sheet6!$C$4,Sheet6!$C$4,IF(Tim!BL45=Sheet6!$C$5,Sheet6!$C$5,IF(Tim!BL45=Sheet6!$C$6,Sheet6!$C$6,IF(Tim!BL45=Sheet6!$C$7,Sheet6!$C$7,IF(Tim!BL45=Sheet6!$C$8,Sheet6!$C$8,"")))))))</f>
        <v/>
      </c>
      <c r="AC43" s="53" t="str">
        <f>IF(Tim!BT45=Sheet6!$C$2,Sheet6!$C$2,IF(Tim!BT45=Sheet6!$C$3,Sheet6!$C$3,IF(Tim!BT45=Sheet6!$C$4,Sheet6!$C$4,IF(Tim!BT45=Sheet6!$C$5,Sheet6!$C$5,IF(Tim!BT45=Sheet6!$C$6,Sheet6!$C$6,IF(Tim!BT45=Sheet6!$C$7,Sheet6!$C$7,IF(Tim!BT45=Sheet6!$C$8,Sheet6!$C$8,"")))))))</f>
        <v/>
      </c>
      <c r="AD43" s="53" t="str">
        <f>IF(Tim!BU45=Sheet6!$C$2,Sheet6!$C$2,IF(Tim!BU45=Sheet6!$C$3,Sheet6!$C$3,IF(Tim!BU45=Sheet6!$C$4,Sheet6!$C$4,IF(Tim!BU45=Sheet6!$C$5,Sheet6!$C$5,IF(Tim!BU45=Sheet6!$C$6,Sheet6!$C$6,IF(Tim!BU45=Sheet6!$C$7,Sheet6!$C$7,IF(Tim!BU45=Sheet6!$C$8,Sheet6!$C$8,"")))))))</f>
        <v/>
      </c>
      <c r="AE43" s="53" t="str">
        <f>IF(Tim!CB45=Sheet6!$C$2,Sheet6!$C$2,IF(Tim!CB45=Sheet6!$C$3,Sheet6!$C$3,IF(Tim!CB45=Sheet6!$C$4,Sheet6!$C$4,IF(Tim!CB45=Sheet6!$C$5,Sheet6!$C$5,IF(Tim!CB45=Sheet6!$C$6,Sheet6!$C$6,IF(Tim!CB45=Sheet6!$C$7,Sheet6!$C$7,IF(Tim!CB45=Sheet6!$C$8,Sheet6!$C$8,"")))))))</f>
        <v/>
      </c>
      <c r="AF43" s="53" t="str">
        <f>IF(Tim!CD45=Sheet6!$C$2,Sheet6!$C$2,IF(Tim!CD45=Sheet6!$C$3,Sheet6!$C$3,IF(Tim!CD45=Sheet6!$C$4,Sheet6!$C$4,IF(Tim!CD45=Sheet6!$C$5,Sheet6!$C$5,IF(Tim!CD45=Sheet6!$C$6,Sheet6!$C$6,IF(Tim!CD45=Sheet6!$C$7,Sheet6!$C$7,IF(Tim!CD45=Sheet6!$C$8,Sheet6!$C$8,"")))))))</f>
        <v/>
      </c>
      <c r="AG43" s="53" t="str">
        <f>IF(Tim!CE45=Sheet6!$C$2,Sheet6!$C$2,IF(Tim!CE45=Sheet6!$C$3,Sheet6!$C$3,IF(Tim!CE45=Sheet6!$C$4,Sheet6!$C$4,IF(Tim!CE45=Sheet6!$C$5,Sheet6!$C$5,IF(Tim!CE45=Sheet6!$C$6,Sheet6!$C$6,IF(Tim!CE45=Sheet6!$C$7,Sheet6!$C$7,IF(Tim!CE45=Sheet6!$C$8,Sheet6!$C$8,"")))))))</f>
        <v/>
      </c>
      <c r="AH43" s="53" t="str">
        <f>IF(Tim!CF45=Sheet6!$C$2,Sheet6!$C$2,IF(Tim!CF45=Sheet6!$C$3,Sheet6!$C$3,IF(Tim!CF45=Sheet6!$C$4,Sheet6!$C$4,IF(Tim!CF45=Sheet6!$C$5,Sheet6!$C$5,IF(Tim!CF45=Sheet6!$C$6,Sheet6!$C$6,IF(Tim!CF45=Sheet6!$C$7,Sheet6!$C$7,IF(Tim!CF45=Sheet6!$C$8,Sheet6!$C$8,"")))))))</f>
        <v/>
      </c>
      <c r="AI43" s="53" t="str">
        <f>IF(Tim!CG45=Sheet6!$C$2,Sheet6!$C$2,IF(Tim!CG45=Sheet6!$C$3,Sheet6!$C$3,IF(Tim!CG45=Sheet6!$C$4,Sheet6!$C$4,IF(Tim!CG45=Sheet6!$C$5,Sheet6!$C$5,IF(Tim!CG45=Sheet6!$C$6,Sheet6!$C$6,IF(Tim!CG45=Sheet6!$C$7,Sheet6!$C$7,IF(Tim!CG45=Sheet6!$C$8,Sheet6!$C$8,"")))))))</f>
        <v/>
      </c>
      <c r="AJ43" s="53" t="str">
        <f>IF(Tim!CH45=Sheet6!$C$2,Sheet6!$C$2,IF(Tim!CH45=Sheet6!$C$3,Sheet6!$C$3,IF(Tim!CH45=Sheet6!$C$4,Sheet6!$C$4,IF(Tim!CH45=Sheet6!$C$5,Sheet6!$C$5,IF(Tim!CH45=Sheet6!$C$6,Sheet6!$C$6,IF(Tim!CH45=Sheet6!$C$7,Sheet6!$C$7,IF(Tim!CH45=Sheet6!$C$8,Sheet6!$C$8,"")))))))</f>
        <v/>
      </c>
      <c r="AK43" s="53" t="str">
        <f>IF(Tim!CL45=Sheet6!$C$2,Sheet6!$C$2,IF(Tim!CL45=Sheet6!$C$3,Sheet6!$C$3,IF(Tim!CL45=Sheet6!$C$4,Sheet6!$C$4,IF(Tim!CL45=Sheet6!$C$5,Sheet6!$C$5,IF(Tim!CL45=Sheet6!$C$6,Sheet6!$C$6,IF(Tim!CL45=Sheet6!$C$7,Sheet6!$C$7,IF(Tim!CL45=Sheet6!$C$8,Sheet6!$C$8,"")))))))</f>
        <v/>
      </c>
      <c r="AL43" s="54" t="str">
        <f>IF(Tim!CM45=Sheet6!$C$2,Sheet6!$C$2,IF(Tim!CM45=Sheet6!$C$3,Sheet6!$C$3,IF(Tim!CM45=Sheet6!$C$4,Sheet6!$C$4,IF(Tim!CM45=Sheet6!$C$5,Sheet6!$C$5,IF(Tim!CM45=Sheet6!$C$6,Sheet6!$C$6,IF(Tim!CM45=Sheet6!$C$7,Sheet6!$C$7,IF(Tim!CM45=Sheet6!$C$8,Sheet6!$C$8,"")))))))</f>
        <v/>
      </c>
      <c r="AM43" s="54" t="str">
        <f>IF(Tim!CN45=Sheet6!$C$2,Sheet6!$C$2,IF(Tim!CN45=Sheet6!$C$3,Sheet6!$C$3,IF(Tim!CN45=Sheet6!$C$4,Sheet6!$C$4,IF(Tim!CN45=Sheet6!$C$5,Sheet6!$C$5,IF(Tim!CN45=Sheet6!$C$6,Sheet6!$C$6,IF(Tim!CN45=Sheet6!$C$7,Sheet6!$C$7,IF(Tim!CN45=Sheet6!$C$8,Sheet6!$C$8,"")))))))</f>
        <v/>
      </c>
      <c r="AN43" s="54" t="str">
        <f>IF(Tim!CO45=Sheet6!$C$2,Sheet6!$C$2,IF(Tim!CO45=Sheet6!$C$3,Sheet6!$C$3,IF(Tim!CO45=Sheet6!$C$4,Sheet6!$C$4,IF(Tim!CO45=Sheet6!$C$5,Sheet6!$C$5,IF(Tim!CO45=Sheet6!$C$6,Sheet6!$C$6,IF(Tim!CO45=Sheet6!$C$7,Sheet6!$C$7,IF(Tim!CO45=Sheet6!$C$8,Sheet6!$C$8,"")))))))</f>
        <v/>
      </c>
      <c r="AO43" s="55" t="str">
        <f>IF(Tim!CP45=Sheet6!$C$2,Sheet6!$C$2,IF(Tim!CP45=Sheet6!$C$3,Sheet6!$C$3,IF(Tim!CP45=Sheet6!$C$4,Sheet6!$C$4,IF(Tim!CP45=Sheet6!$C$5,Sheet6!$C$5,IF(Tim!CP45=Sheet6!$C$6,Sheet6!$C$6,IF(Tim!CP45=Sheet6!$C$7,Sheet6!$C$7,IF(Tim!CP45=Sheet6!$C$8,Sheet6!$C$8,"")))))))</f>
        <v/>
      </c>
      <c r="AP43" s="53" t="str">
        <f>IF(Tim!CQ45=Sheet6!$C$2,Sheet6!$C$2,IF(Tim!CQ45=Sheet6!$C$3,Sheet6!$C$3,IF(Tim!CQ45=Sheet6!$C$4,Sheet6!$C$4,IF(Tim!CQ45=Sheet6!$C$5,Sheet6!$C$5,IF(Tim!CQ45=Sheet6!$C$6,Sheet6!$C$6,IF(Tim!CQ45=Sheet6!$C$7,Sheet6!$C$7,IF(Tim!CQ45=Sheet6!$C$8,Sheet6!$C$8,"")))))))</f>
        <v/>
      </c>
      <c r="AQ43" s="57" t="str">
        <f>IF(Tim!CR45=Sheet6!$C$2,Sheet6!$C$2,IF(Tim!CR45=Sheet6!$C$3,Sheet6!$C$3,IF(Tim!CR45=Sheet6!$C$4,Sheet6!$C$4,IF(Tim!CR45=Sheet6!$C$5,Sheet6!$C$5,IF(Tim!CR45=Sheet6!$C$6,Sheet6!$C$6,IF(Tim!CR45=Sheet6!$C$7,Sheet6!$C$7,IF(Tim!CR45=Sheet6!$C$8,Sheet6!$C$8,"")))))))</f>
        <v/>
      </c>
      <c r="AR43" s="57" t="str">
        <f>IF(Tim!CV45=Sheet6!$C$2,Sheet6!$C$2,IF(Tim!CV45=Sheet6!$C$3,Sheet6!$C$3,IF(Tim!CV45=Sheet6!$C$4,Sheet6!$C$4,IF(Tim!CV45=Sheet6!$C$5,Sheet6!$C$5,IF(Tim!CV45=Sheet6!$C$6,Sheet6!$C$6,IF(Tim!CV45=Sheet6!$C$7,Sheet6!$C$7,IF(Tim!CV45=Sheet6!$C$8,Sheet6!$C$8,"")))))))</f>
        <v/>
      </c>
      <c r="AS43" s="57" t="str">
        <f>IF(Tim!CW45=Sheet6!$C$2,Sheet6!$C$2,IF(Tim!CW45=Sheet6!$C$3,Sheet6!$C$3,IF(Tim!CW45=Sheet6!$C$4,Sheet6!$C$4,IF(Tim!CW45=Sheet6!$C$5,Sheet6!$C$5,IF(Tim!CW45=Sheet6!$C$6,Sheet6!$C$6,IF(Tim!CW45=Sheet6!$C$7,Sheet6!$C$7,IF(Tim!CW45=Sheet6!$C$8,Sheet6!$C$8,"")))))))</f>
        <v/>
      </c>
      <c r="AT43" s="57" t="str">
        <f>IF(Tim!DA45=Sheet6!$C$2,Sheet6!$C$2,IF(Tim!DA45=Sheet6!$C$3,Sheet6!$C$3,IF(Tim!DA45=Sheet6!$C$4,Sheet6!$C$4,IF(Tim!DA45=Sheet6!$C$5,Sheet6!$C$5,IF(Tim!DA45=Sheet6!$C$6,Sheet6!$C$6,IF(Tim!DA45=Sheet6!$C$7,Sheet6!$C$7,IF(Tim!DA45=Sheet6!$C$8,Sheet6!$C$8,"")))))))</f>
        <v/>
      </c>
      <c r="AU43" s="184" t="str">
        <f>IF(Tim!DO45=Sheet6!$C$2,Sheet6!$C$2,IF(Tim!DO45=Sheet6!$C$3,Sheet6!$C$3,IF(Tim!DO45=Sheet6!$C$4,Sheet6!$C$4,IF(Tim!DO45=Sheet6!$C$5,Sheet6!$C$5,IF(Tim!DO45=Sheet6!$C$6,Sheet6!$C$6,IF(Tim!DO45=Sheet6!$C$7,Sheet6!$C$7,IF(Tim!DO45=Sheet6!$C$8,Sheet6!$C$8,"")))))))</f>
        <v/>
      </c>
      <c r="AV43" s="53" t="str">
        <f>IF(Tim!DP45=Sheet6!$C$2,Sheet6!$C$2,IF(Tim!DP45=Sheet6!$C$3,Sheet6!$C$3,IF(Tim!DP45=Sheet6!$C$4,Sheet6!$C$4,IF(Tim!DP45=Sheet6!$C$5,Sheet6!$C$5,IF(Tim!DP45=Sheet6!$C$6,Sheet6!$C$6,IF(Tim!DP45=Sheet6!$C$7,Sheet6!$C$7,IF(Tim!DP45=Sheet6!$C$8,Sheet6!$C$8,"")))))))</f>
        <v/>
      </c>
      <c r="AW43" s="53" t="str">
        <f>IF(Tim!DX45=Sheet6!$C$2,Sheet6!$C$2,IF(Tim!DX45=Sheet6!$C$3,Sheet6!$C$3,IF(Tim!DX45=Sheet6!$C$4,Sheet6!$C$4,IF(Tim!DX45=Sheet6!$C$5,Sheet6!$C$5,IF(Tim!DX45=Sheet6!$C$6,Sheet6!$C$6,IF(Tim!DX45=Sheet6!$C$7,Sheet6!$C$7,IF(Tim!DX45=Sheet6!$C$8,Sheet6!$C$8,"")))))))</f>
        <v/>
      </c>
      <c r="AX43" s="53" t="str">
        <f>IF(Tim!DY45=Sheet6!$C$2,Sheet6!$C$2,IF(Tim!DY45=Sheet6!$C$3,Sheet6!$C$3,IF(Tim!DY45=Sheet6!$C$4,Sheet6!$C$4,IF(Tim!DY45=Sheet6!$C$5,Sheet6!$C$5,IF(Tim!DY45=Sheet6!$C$6,Sheet6!$C$6,IF(Tim!DY45=Sheet6!$C$7,Sheet6!$C$7,IF(Tim!DY45=Sheet6!$C$8,Sheet6!$C$8,"")))))))</f>
        <v/>
      </c>
      <c r="AY43" s="53" t="str">
        <f>IF(Tim!DZ45=Sheet6!$C$2,Sheet6!$C$2,IF(Tim!DZ45=Sheet6!$C$3,Sheet6!$C$3,IF(Tim!DZ45=Sheet6!$C$4,Sheet6!$C$4,IF(Tim!DZ45=Sheet6!$C$5,Sheet6!$C$5,IF(Tim!DZ45=Sheet6!$C$6,Sheet6!$C$6,IF(Tim!DZ45=Sheet6!$C$7,Sheet6!$C$7,IF(Tim!DZ45=Sheet6!$C$8,Sheet6!$C$8,"")))))))</f>
        <v/>
      </c>
      <c r="AZ43" s="53" t="str">
        <f>IF(Tim!EA45=Sheet6!$C$2,Sheet6!$C$2,IF(Tim!EA45=Sheet6!$C$3,Sheet6!$C$3,IF(Tim!EA45=Sheet6!$C$4,Sheet6!$C$4,IF(Tim!EA45=Sheet6!$C$5,Sheet6!$C$5,IF(Tim!EA45=Sheet6!$C$6,Sheet6!$C$6,IF(Tim!EA45=Sheet6!$C$7,Sheet6!$C$7,IF(Tim!EA45=Sheet6!$C$8,Sheet6!$C$8,"")))))))</f>
        <v/>
      </c>
      <c r="BA43" s="53" t="str">
        <f>IF(Tim!EB45=Sheet6!$C$2,Sheet6!$C$2,IF(Tim!EB45=Sheet6!$C$3,Sheet6!$C$3,IF(Tim!EB45=Sheet6!$C$4,Sheet6!$C$4,IF(Tim!EB45=Sheet6!$C$5,Sheet6!$C$5,IF(Tim!EB45=Sheet6!$C$6,Sheet6!$C$6,IF(Tim!EB45=Sheet6!$C$7,Sheet6!$C$7,IF(Tim!EB45=Sheet6!$C$8,Sheet6!$C$8,"")))))))</f>
        <v/>
      </c>
      <c r="BB43" s="53" t="str">
        <f>IF(Tim!EC45=Sheet6!$C$2,Sheet6!$C$2,IF(Tim!EC45=Sheet6!$C$3,Sheet6!$C$3,IF(Tim!EC45=Sheet6!$C$4,Sheet6!$C$4,IF(Tim!EC45=Sheet6!$C$5,Sheet6!$C$5,IF(Tim!EC45=Sheet6!$C$6,Sheet6!$C$6,IF(Tim!EC45=Sheet6!$C$7,Sheet6!$C$7,IF(Tim!EC45=Sheet6!$C$8,Sheet6!$C$8,"")))))))</f>
        <v/>
      </c>
      <c r="BC43" s="53" t="str">
        <f>IF(Tim!EG45=Sheet6!$C$2,Sheet6!$C$2,IF(Tim!EG45=Sheet6!$C$3,Sheet6!$C$3,IF(Tim!EG45=Sheet6!$C$4,Sheet6!$C$4,IF(Tim!EG45=Sheet6!$C$5,Sheet6!$C$5,IF(Tim!EG45=Sheet6!$C$6,Sheet6!$C$6,IF(Tim!EG45=Sheet6!$C$7,Sheet6!$C$7,IF(Tim!EG45=Sheet6!$C$8,Sheet6!$C$8,"")))))))</f>
        <v/>
      </c>
      <c r="BD43" s="54" t="str">
        <f>IF(Tim!EH45=Sheet6!$C$2,Sheet6!$C$2,IF(Tim!EH45=Sheet6!$C$3,Sheet6!$C$3,IF(Tim!EH45=Sheet6!$C$4,Sheet6!$C$4,IF(Tim!EH45=Sheet6!$C$5,Sheet6!$C$5,IF(Tim!EH45=Sheet6!$C$6,Sheet6!$C$6,IF(Tim!EH45=Sheet6!$C$7,Sheet6!$C$7,IF(Tim!EH45=Sheet6!$C$8,Sheet6!$C$8,"")))))))</f>
        <v/>
      </c>
      <c r="BE43" s="54" t="str">
        <f>IF(Tim!EI45=Sheet6!$C$2,Sheet6!$C$2,IF(Tim!EI45=Sheet6!$C$3,Sheet6!$C$3,IF(Tim!EI45=Sheet6!$C$4,Sheet6!$C$4,IF(Tim!EI45=Sheet6!$C$5,Sheet6!$C$5,IF(Tim!EI45=Sheet6!$C$6,Sheet6!$C$6,IF(Tim!EI45=Sheet6!$C$7,Sheet6!$C$7,IF(Tim!EI45=Sheet6!$C$8,Sheet6!$C$8,"")))))))</f>
        <v/>
      </c>
      <c r="BF43" s="54" t="str">
        <f>IF(Tim!EJ45=Sheet6!$C$2,Sheet6!$C$2,IF(Tim!EJ45=Sheet6!$C$3,Sheet6!$C$3,IF(Tim!EJ45=Sheet6!$C$4,Sheet6!$C$4,IF(Tim!EJ45=Sheet6!$C$5,Sheet6!$C$5,IF(Tim!EJ45=Sheet6!$C$6,Sheet6!$C$6,IF(Tim!EJ45=Sheet6!$C$7,Sheet6!$C$7,IF(Tim!EJ45=Sheet6!$C$8,Sheet6!$C$8,"")))))))</f>
        <v/>
      </c>
      <c r="BG43" s="55" t="str">
        <f>IF(Tim!EK45=Sheet6!$C$2,Sheet6!$C$2,IF(Tim!EK45=Sheet6!$C$3,Sheet6!$C$3,IF(Tim!EK45=Sheet6!$C$4,Sheet6!$C$4,IF(Tim!EK45=Sheet6!$C$5,Sheet6!$C$5,IF(Tim!EK45=Sheet6!$C$6,Sheet6!$C$6,IF(Tim!EK45=Sheet6!$C$7,Sheet6!$C$7,IF(Tim!EK45=Sheet6!$C$8,Sheet6!$C$8,"")))))))</f>
        <v/>
      </c>
      <c r="BH43" s="53" t="str">
        <f>IF(Tim!EL45=Sheet6!$C$2,Sheet6!$C$2,IF(Tim!EL45=Sheet6!$C$3,Sheet6!$C$3,IF(Tim!EL45=Sheet6!$C$4,Sheet6!$C$4,IF(Tim!EL45=Sheet6!$C$5,Sheet6!$C$5,IF(Tim!EL45=Sheet6!$C$6,Sheet6!$C$6,IF(Tim!EL45=Sheet6!$C$7,Sheet6!$C$7,IF(Tim!EL45=Sheet6!$C$8,Sheet6!$C$8,"")))))))</f>
        <v/>
      </c>
      <c r="BI43" s="57" t="str">
        <f>IF(Tim!EM45=Sheet6!$C$2,Sheet6!$C$2,IF(Tim!EM45=Sheet6!$C$3,Sheet6!$C$3,IF(Tim!EM45=Sheet6!$C$4,Sheet6!$C$4,IF(Tim!EM45=Sheet6!$C$5,Sheet6!$C$5,IF(Tim!EM45=Sheet6!$C$6,Sheet6!$C$6,IF(Tim!EM45=Sheet6!$C$7,Sheet6!$C$7,IF(Tim!EM45=Sheet6!$C$8,Sheet6!$C$8,"")))))))</f>
        <v/>
      </c>
      <c r="BJ43" s="57" t="str">
        <f>IF(Tim!EQ45=Sheet6!$C$2,Sheet6!$C$2,IF(Tim!EQ45=Sheet6!$C$3,Sheet6!$C$3,IF(Tim!EQ45=Sheet6!$C$4,Sheet6!$C$4,IF(Tim!EQ45=Sheet6!$C$5,Sheet6!$C$5,IF(Tim!EQ45=Sheet6!$C$6,Sheet6!$C$6,IF(Tim!EQ45=Sheet6!$C$7,Sheet6!$C$7,IF(Tim!EQ45=Sheet6!$C$8,Sheet6!$C$8,"")))))))</f>
        <v/>
      </c>
      <c r="BK43" s="57" t="str">
        <f>IF(Tim!ER45=Sheet6!$C$2,Sheet6!$C$2,IF(Tim!ER45=Sheet6!$C$3,Sheet6!$C$3,IF(Tim!ER45=Sheet6!$C$4,Sheet6!$C$4,IF(Tim!ER45=Sheet6!$C$5,Sheet6!$C$5,IF(Tim!ER45=Sheet6!$C$6,Sheet6!$C$6,IF(Tim!ER45=Sheet6!$C$7,Sheet6!$C$7,IF(Tim!ER45=Sheet6!$C$8,Sheet6!$C$8,"")))))))</f>
        <v/>
      </c>
      <c r="BL43" s="57" t="str">
        <f>IF(Tim!EZ45=Sheet6!$C$2,Sheet6!$C$2,IF(Tim!EZ45=Sheet6!$C$3,Sheet6!$C$3,IF(Tim!EZ45=Sheet6!$C$4,Sheet6!$C$4,IF(Tim!EZ45=Sheet6!$C$5,Sheet6!$C$5,IF(Tim!EZ45=Sheet6!$C$6,Sheet6!$C$6,IF(Tim!EZ45=Sheet6!$C$7,Sheet6!$C$7,IF(Tim!EZ45=Sheet6!$C$8,Sheet6!$C$8,"")))))))</f>
        <v/>
      </c>
      <c r="BM43" s="53" t="str">
        <f>IF(Tim!FG45=Sheet6!$C$2,Sheet6!$C$2,IF(Tim!FG45=Sheet6!$C$3,Sheet6!$C$3,IF(Tim!FG45=Sheet6!$C$4,Sheet6!$C$4,IF(Tim!FG45=Sheet6!$C$5,Sheet6!$C$5,IF(Tim!FG45=Sheet6!$C$6,Sheet6!$C$6,IF(Tim!FG45=Sheet6!$C$7,Sheet6!$C$7,IF(Tim!FG45=Sheet6!$C$8,Sheet6!$C$8,"")))))))</f>
        <v/>
      </c>
      <c r="BN43" s="53" t="str">
        <f>IF(Tim!FH45=Sheet6!$C$2,Sheet6!$C$2,IF(Tim!FH45=Sheet6!$C$3,Sheet6!$C$3,IF(Tim!FH45=Sheet6!$C$4,Sheet6!$C$4,IF(Tim!FH45=Sheet6!$C$5,Sheet6!$C$5,IF(Tim!FH45=Sheet6!$C$6,Sheet6!$C$6,IF(Tim!FH45=Sheet6!$C$7,Sheet6!$C$7,IF(Tim!FH45=Sheet6!$C$8,Sheet6!$C$8,"")))))))</f>
        <v/>
      </c>
      <c r="BO43" s="53" t="str">
        <f>IF(Tim!FP45=Sheet6!$C$2,Sheet6!$C$2,IF(Tim!FP45=Sheet6!$C$3,Sheet6!$C$3,IF(Tim!FP45=Sheet6!$C$4,Sheet6!$C$4,IF(Tim!FP45=Sheet6!$C$5,Sheet6!$C$5,IF(Tim!FP45=Sheet6!$C$6,Sheet6!$C$6,IF(Tim!FP45=Sheet6!$C$7,Sheet6!$C$7,IF(Tim!FP45=Sheet6!$C$8,Sheet6!$C$8,"")))))))</f>
        <v/>
      </c>
      <c r="BP43" s="53" t="str">
        <f>IF(Tim!FQ45=Sheet6!$C$2,Sheet6!$C$2,IF(Tim!FQ45=Sheet6!$C$3,Sheet6!$C$3,IF(Tim!FQ45=Sheet6!$C$4,Sheet6!$C$4,IF(Tim!FQ45=Sheet6!$C$5,Sheet6!$C$5,IF(Tim!FQ45=Sheet6!$C$6,Sheet6!$C$6,IF(Tim!FQ45=Sheet6!$C$7,Sheet6!$C$7,IF(Tim!FQ45=Sheet6!$C$8,Sheet6!$C$8,"")))))))</f>
        <v/>
      </c>
      <c r="BQ43" s="53" t="str">
        <f>IF(Tim!FR45=Sheet6!$C$2,Sheet6!$C$2,IF(Tim!FR45=Sheet6!$C$3,Sheet6!$C$3,IF(Tim!FR45=Sheet6!$C$4,Sheet6!$C$4,IF(Tim!FR45=Sheet6!$C$5,Sheet6!$C$5,IF(Tim!FR45=Sheet6!$C$6,Sheet6!$C$6,IF(Tim!FR45=Sheet6!$C$7,Sheet6!$C$7,IF(Tim!FR45=Sheet6!$C$8,Sheet6!$C$8,"")))))))</f>
        <v/>
      </c>
      <c r="BR43" s="53" t="str">
        <f>IF(Tim!FS45=Sheet6!$C$2,Sheet6!$C$2,IF(Tim!FS45=Sheet6!$C$3,Sheet6!$C$3,IF(Tim!FS45=Sheet6!$C$4,Sheet6!$C$4,IF(Tim!FS45=Sheet6!$C$5,Sheet6!$C$5,IF(Tim!FS45=Sheet6!$C$6,Sheet6!$C$6,IF(Tim!FS45=Sheet6!$C$7,Sheet6!$C$7,IF(Tim!FS45=Sheet6!$C$8,Sheet6!$C$8,"")))))))</f>
        <v/>
      </c>
      <c r="BS43" s="53" t="str">
        <f>IF(Tim!FT45=Sheet6!$C$2,Sheet6!$C$2,IF(Tim!FT45=Sheet6!$C$3,Sheet6!$C$3,IF(Tim!FT45=Sheet6!$C$4,Sheet6!$C$4,IF(Tim!FT45=Sheet6!$C$5,Sheet6!$C$5,IF(Tim!FT45=Sheet6!$C$6,Sheet6!$C$6,IF(Tim!FT45=Sheet6!$C$7,Sheet6!$C$7,IF(Tim!FT45=Sheet6!$C$8,Sheet6!$C$8,"")))))))</f>
        <v/>
      </c>
      <c r="BT43" s="53" t="str">
        <f>IF(Tim!FU45=Sheet6!$C$2,Sheet6!$C$2,IF(Tim!FU45=Sheet6!$C$3,Sheet6!$C$3,IF(Tim!FU45=Sheet6!$C$4,Sheet6!$C$4,IF(Tim!FU45=Sheet6!$C$5,Sheet6!$C$5,IF(Tim!FU45=Sheet6!$C$6,Sheet6!$C$6,IF(Tim!FU45=Sheet6!$C$7,Sheet6!$C$7,IF(Tim!FU45=Sheet6!$C$8,Sheet6!$C$8,"")))))))</f>
        <v/>
      </c>
      <c r="BU43" s="53" t="str">
        <f>IF(Tim!FY45=Sheet6!$C$2,Sheet6!$C$2,IF(Tim!FY45=Sheet6!$C$3,Sheet6!$C$3,IF(Tim!FY45=Sheet6!$C$4,Sheet6!$C$4,IF(Tim!FY45=Sheet6!$C$5,Sheet6!$C$5,IF(Tim!FY45=Sheet6!$C$6,Sheet6!$C$6,IF(Tim!FY45=Sheet6!$C$7,Sheet6!$C$7,IF(Tim!FY45=Sheet6!$C$8,Sheet6!$C$8,"")))))))</f>
        <v/>
      </c>
      <c r="BV43" s="54" t="str">
        <f>IF(Tim!FZ45=Sheet6!$C$2,Sheet6!$C$2,IF(Tim!FZ45=Sheet6!$C$3,Sheet6!$C$3,IF(Tim!FZ45=Sheet6!$C$4,Sheet6!$C$4,IF(Tim!FZ45=Sheet6!$C$5,Sheet6!$C$5,IF(Tim!FZ45=Sheet6!$C$6,Sheet6!$C$6,IF(Tim!FZ45=Sheet6!$C$7,Sheet6!$C$7,IF(Tim!FZ45=Sheet6!$C$8,Sheet6!$C$8,"")))))))</f>
        <v/>
      </c>
      <c r="BW43" s="54" t="str">
        <f>IF(Tim!GA45=Sheet6!$C$2,Sheet6!$C$2,IF(Tim!GA45=Sheet6!$C$3,Sheet6!$C$3,IF(Tim!GA45=Sheet6!$C$4,Sheet6!$C$4,IF(Tim!GA45=Sheet6!$C$5,Sheet6!$C$5,IF(Tim!GA45=Sheet6!$C$6,Sheet6!$C$6,IF(Tim!GA45=Sheet6!$C$7,Sheet6!$C$7,IF(Tim!GA45=Sheet6!$C$8,Sheet6!$C$8,"")))))))</f>
        <v/>
      </c>
      <c r="BX43" s="54" t="str">
        <f>IF(Tim!GB45=Sheet6!$C$2,Sheet6!$C$2,IF(Tim!GB45=Sheet6!$C$3,Sheet6!$C$3,IF(Tim!GB45=Sheet6!$C$4,Sheet6!$C$4,IF(Tim!GB45=Sheet6!$C$5,Sheet6!$C$5,IF(Tim!GB45=Sheet6!$C$6,Sheet6!$C$6,IF(Tim!GB45=Sheet6!$C$7,Sheet6!$C$7,IF(Tim!GB45=Sheet6!$C$8,Sheet6!$C$8,"")))))))</f>
        <v/>
      </c>
      <c r="BY43" s="55" t="str">
        <f>IF(Tim!GC45=Sheet6!$C$2,Sheet6!$C$2,IF(Tim!GC45=Sheet6!$C$3,Sheet6!$C$3,IF(Tim!GC45=Sheet6!$C$4,Sheet6!$C$4,IF(Tim!GC45=Sheet6!$C$5,Sheet6!$C$5,IF(Tim!GC45=Sheet6!$C$6,Sheet6!$C$6,IF(Tim!GC45=Sheet6!$C$7,Sheet6!$C$7,IF(Tim!GC45=Sheet6!$C$8,Sheet6!$C$8,"")))))))</f>
        <v/>
      </c>
      <c r="BZ43" s="53" t="str">
        <f>IF(Tim!GD45=Sheet6!$C$2,Sheet6!$C$2,IF(Tim!GD45=Sheet6!$C$3,Sheet6!$C$3,IF(Tim!GD45=Sheet6!$C$4,Sheet6!$C$4,IF(Tim!GD45=Sheet6!$C$5,Sheet6!$C$5,IF(Tim!GD45=Sheet6!$C$6,Sheet6!$C$6,IF(Tim!GD45=Sheet6!$C$7,Sheet6!$C$7,IF(Tim!GD45=Sheet6!$C$8,Sheet6!$C$8,"")))))))</f>
        <v/>
      </c>
      <c r="CA43" s="57" t="str">
        <f>IF(Tim!GE45=Sheet6!$C$2,Sheet6!$C$2,IF(Tim!GE45=Sheet6!$C$3,Sheet6!$C$3,IF(Tim!GE45=Sheet6!$C$4,Sheet6!$C$4,IF(Tim!GE45=Sheet6!$C$5,Sheet6!$C$5,IF(Tim!GE45=Sheet6!$C$6,Sheet6!$C$6,IF(Tim!GE45=Sheet6!$C$7,Sheet6!$C$7,IF(Tim!GE45=Sheet6!$C$8,Sheet6!$C$8,"")))))))</f>
        <v/>
      </c>
      <c r="CB43" s="57" t="str">
        <f>IF(Tim!GI45=Sheet6!$C$2,Sheet6!$C$2,IF(Tim!GI45=Sheet6!$C$3,Sheet6!$C$3,IF(Tim!GI45=Sheet6!$C$4,Sheet6!$C$4,IF(Tim!GI45=Sheet6!$C$5,Sheet6!$C$5,IF(Tim!GI45=Sheet6!$C$6,Sheet6!$C$6,IF(Tim!GI45=Sheet6!$C$7,Sheet6!$C$7,IF(Tim!GI45=Sheet6!$C$8,Sheet6!$C$8,"")))))))</f>
        <v/>
      </c>
      <c r="CC43" s="57" t="str">
        <f>IF(Tim!GJ45=Sheet6!$C$2,Sheet6!$C$2,IF(Tim!GJ45=Sheet6!$C$3,Sheet6!$C$3,IF(Tim!GJ45=Sheet6!$C$4,Sheet6!$C$4,IF(Tim!GJ45=Sheet6!$C$5,Sheet6!$C$5,IF(Tim!GJ45=Sheet6!$C$6,Sheet6!$C$6,IF(Tim!GJ45=Sheet6!$C$7,Sheet6!$C$7,IF(Tim!GJ45=Sheet6!$C$8,Sheet6!$C$8,"")))))))</f>
        <v/>
      </c>
      <c r="CD43" s="57" t="str">
        <f>IF(Tim!GO45=Sheet6!$C$2,Sheet6!$C$2,IF(Tim!GO45=Sheet6!$C$3,Sheet6!$C$3,IF(Tim!GO45=Sheet6!$C$4,Sheet6!$C$4,IF(Tim!GO45=Sheet6!$C$5,Sheet6!$C$5,IF(Tim!GO45=Sheet6!$C$6,Sheet6!$C$6,IF(Tim!GO45=Sheet6!$C$7,Sheet6!$C$7,IF(Tim!GO45=Sheet6!$C$8,Sheet6!$C$8,"")))))))</f>
        <v/>
      </c>
      <c r="CE43" s="53" t="str">
        <f>IF(Tim!GY45=Sheet6!$C$2,Sheet6!$C$2,IF(Tim!GY45=Sheet6!$C$3,Sheet6!$C$3,IF(Tim!GY45=Sheet6!$C$4,Sheet6!$C$4,IF(Tim!GY45=Sheet6!$C$5,Sheet6!$C$5,IF(Tim!GY45=Sheet6!$C$6,Sheet6!$C$6,IF(Tim!GY45=Sheet6!$C$7,Sheet6!$C$7,IF(Tim!GY45=Sheet6!$C$8,Sheet6!$C$8,"")))))))</f>
        <v/>
      </c>
      <c r="CF43" s="53" t="str">
        <f>IF(Tim!GZ45=Sheet6!$C$2,Sheet6!$C$2,IF(Tim!GZ45=Sheet6!$C$3,Sheet6!$C$3,IF(Tim!GZ45=Sheet6!$C$4,Sheet6!$C$4,IF(Tim!GZ45=Sheet6!$C$5,Sheet6!$C$5,IF(Tim!GZ45=Sheet6!$C$6,Sheet6!$C$6,IF(Tim!GZ45=Sheet6!$C$7,Sheet6!$C$7,IF(Tim!GZ45=Sheet6!$C$8,Sheet6!$C$8,"")))))))</f>
        <v/>
      </c>
      <c r="CG43" s="53" t="str">
        <f>IF(Tim!HH45=Sheet6!$C$2,Sheet6!$C$2,IF(Tim!HH45=Sheet6!$C$3,Sheet6!$C$3,IF(Tim!HH45=Sheet6!$C$4,Sheet6!$C$4,IF(Tim!HH45=Sheet6!$C$5,Sheet6!$C$5,IF(Tim!HH45=Sheet6!$C$6,Sheet6!$C$6,IF(Tim!HH45=Sheet6!$C$7,Sheet6!$C$7,IF(Tim!HH45=Sheet6!$C$8,Sheet6!$C$8,"")))))))</f>
        <v/>
      </c>
      <c r="CH43" s="53" t="str">
        <f>IF(Tim!HI45=Sheet6!$C$2,Sheet6!$C$2,IF(Tim!HI45=Sheet6!$C$3,Sheet6!$C$3,IF(Tim!HI45=Sheet6!$C$4,Sheet6!$C$4,IF(Tim!HI45=Sheet6!$C$5,Sheet6!$C$5,IF(Tim!HI45=Sheet6!$C$6,Sheet6!$C$6,IF(Tim!HI45=Sheet6!$C$7,Sheet6!$C$7,IF(Tim!HI45=Sheet6!$C$8,Sheet6!$C$8,"")))))))</f>
        <v/>
      </c>
      <c r="CI43" s="53" t="str">
        <f>IF(Tim!HJ45=Sheet6!$C$2,Sheet6!$C$2,IF(Tim!HJ45=Sheet6!$C$3,Sheet6!$C$3,IF(Tim!HJ45=Sheet6!$C$4,Sheet6!$C$4,IF(Tim!HJ45=Sheet6!$C$5,Sheet6!$C$5,IF(Tim!HJ45=Sheet6!$C$6,Sheet6!$C$6,IF(Tim!HJ45=Sheet6!$C$7,Sheet6!$C$7,IF(Tim!HJ45=Sheet6!$C$8,Sheet6!$C$8,"")))))))</f>
        <v/>
      </c>
      <c r="CJ43" s="53" t="str">
        <f>IF(Tim!HK45=Sheet6!$C$2,Sheet6!$C$2,IF(Tim!HK45=Sheet6!$C$3,Sheet6!$C$3,IF(Tim!HK45=Sheet6!$C$4,Sheet6!$C$4,IF(Tim!HK45=Sheet6!$C$5,Sheet6!$C$5,IF(Tim!HK45=Sheet6!$C$6,Sheet6!$C$6,IF(Tim!HK45=Sheet6!$C$7,Sheet6!$C$7,IF(Tim!HK45=Sheet6!$C$8,Sheet6!$C$8,"")))))))</f>
        <v/>
      </c>
      <c r="CK43" s="53" t="str">
        <f>IF(Tim!HL45=Sheet6!$C$2,Sheet6!$C$2,IF(Tim!HL45=Sheet6!$C$3,Sheet6!$C$3,IF(Tim!HL45=Sheet6!$C$4,Sheet6!$C$4,IF(Tim!HL45=Sheet6!$C$5,Sheet6!$C$5,IF(Tim!HL45=Sheet6!$C$6,Sheet6!$C$6,IF(Tim!HL45=Sheet6!$C$7,Sheet6!$C$7,IF(Tim!HL45=Sheet6!$C$8,Sheet6!$C$8,"")))))))</f>
        <v/>
      </c>
      <c r="CL43" s="53" t="str">
        <f>IF(Tim!HM45=Sheet6!$C$2,Sheet6!$C$2,IF(Tim!HM45=Sheet6!$C$3,Sheet6!$C$3,IF(Tim!HM45=Sheet6!$C$4,Sheet6!$C$4,IF(Tim!HM45=Sheet6!$C$5,Sheet6!$C$5,IF(Tim!HM45=Sheet6!$C$6,Sheet6!$C$6,IF(Tim!HM45=Sheet6!$C$7,Sheet6!$C$7,IF(Tim!HM45=Sheet6!$C$8,Sheet6!$C$8,"")))))))</f>
        <v/>
      </c>
      <c r="CM43" s="53" t="str">
        <f>IF(Tim!HQ45=Sheet6!$C$2,Sheet6!$C$2,IF(Tim!HQ45=Sheet6!$C$3,Sheet6!$C$3,IF(Tim!HQ45=Sheet6!$C$4,Sheet6!$C$4,IF(Tim!HQ45=Sheet6!$C$5,Sheet6!$C$5,IF(Tim!HQ45=Sheet6!$C$6,Sheet6!$C$6,IF(Tim!HQ45=Sheet6!$C$7,Sheet6!$C$7,IF(Tim!HQ45=Sheet6!$C$8,Sheet6!$C$8,"")))))))</f>
        <v/>
      </c>
      <c r="CN43" s="54" t="str">
        <f>IF(Tim!HR45=Sheet6!$C$2,Sheet6!$C$2,IF(Tim!HR45=Sheet6!$C$3,Sheet6!$C$3,IF(Tim!HR45=Sheet6!$C$4,Sheet6!$C$4,IF(Tim!HR45=Sheet6!$C$5,Sheet6!$C$5,IF(Tim!HR45=Sheet6!$C$6,Sheet6!$C$6,IF(Tim!HR45=Sheet6!$C$7,Sheet6!$C$7,IF(Tim!HR45=Sheet6!$C$8,Sheet6!$C$8,"")))))))</f>
        <v/>
      </c>
      <c r="CO43" s="54" t="str">
        <f>IF(Tim!HS45=Sheet6!$C$2,Sheet6!$C$2,IF(Tim!HS45=Sheet6!$C$3,Sheet6!$C$3,IF(Tim!HS45=Sheet6!$C$4,Sheet6!$C$4,IF(Tim!HS45=Sheet6!$C$5,Sheet6!$C$5,IF(Tim!HS45=Sheet6!$C$6,Sheet6!$C$6,IF(Tim!HS45=Sheet6!$C$7,Sheet6!$C$7,IF(Tim!HS45=Sheet6!$C$8,Sheet6!$C$8,"")))))))</f>
        <v/>
      </c>
      <c r="CP43" s="54" t="str">
        <f>IF(Tim!HT45=Sheet6!$C$2,Sheet6!$C$2,IF(Tim!HT45=Sheet6!$C$3,Sheet6!$C$3,IF(Tim!HT45=Sheet6!$C$4,Sheet6!$C$4,IF(Tim!HT45=Sheet6!$C$5,Sheet6!$C$5,IF(Tim!HT45=Sheet6!$C$6,Sheet6!$C$6,IF(Tim!HT45=Sheet6!$C$7,Sheet6!$C$7,IF(Tim!HT45=Sheet6!$C$8,Sheet6!$C$8,"")))))))</f>
        <v/>
      </c>
      <c r="CQ43" s="55" t="str">
        <f>IF(Tim!HU45=Sheet6!$C$2,Sheet6!$C$2,IF(Tim!HU45=Sheet6!$C$3,Sheet6!$C$3,IF(Tim!HU45=Sheet6!$C$4,Sheet6!$C$4,IF(Tim!HU45=Sheet6!$C$5,Sheet6!$C$5,IF(Tim!HU45=Sheet6!$C$6,Sheet6!$C$6,IF(Tim!HU45=Sheet6!$C$7,Sheet6!$C$7,IF(Tim!HU45=Sheet6!$C$8,Sheet6!$C$8,"")))))))</f>
        <v/>
      </c>
      <c r="CR43" s="56" t="str">
        <f>IF(Tim!HV45=Sheet6!$C$2,Sheet6!$C$2,IF(Tim!HV45=Sheet6!$C$3,Sheet6!$C$3,IF(Tim!HV45=Sheet6!$C$4,Sheet6!$C$4,IF(Tim!HV45=Sheet6!$C$5,Sheet6!$C$5,IF(Tim!HV45=Sheet6!$C$6,Sheet6!$C$6,IF(Tim!HV45=Sheet6!$C$7,Sheet6!$C$7,IF(Tim!HV45=Sheet6!$C$8,Sheet6!$C$8,"")))))))</f>
        <v/>
      </c>
      <c r="CS43" s="57" t="str">
        <f>IF(Tim!IB45=Sheet6!$C$2,Sheet6!$C$2,IF(Tim!IB45=Sheet6!$C$3,Sheet6!$C$3,IF(Tim!IB45=Sheet6!$C$4,Sheet6!$C$4,IF(Tim!IB45=Sheet6!$C$5,Sheet6!$C$5,IF(Tim!IB45=Sheet6!$C$6,Sheet6!$C$6,IF(Tim!IB45=Sheet6!$C$7,Sheet6!$C$7,IF(Tim!IB45=Sheet6!$C$8,Sheet6!$C$8,"")))))))</f>
        <v/>
      </c>
      <c r="CT43" s="65" t="str">
        <f>IF(Tim!IJ45=Sheet6!$C$2,Sheet6!$C$2,IF(Tim!IJ45=Sheet6!$C$3,Sheet6!$C$3,IF(Tim!IJ45=Sheet6!$C$4,Sheet6!$C$4,IF(Tim!IJ45=Sheet6!$C$5,Sheet6!$C$5,IF(Tim!IJ45=Sheet6!$C$6,Sheet6!$C$6,IF(Tim!IJ45=Sheet6!$C$7,Sheet6!$C$7,IF(Tim!IJ45=Sheet6!$C$8,Sheet6!$C$8,"")))))))</f>
        <v/>
      </c>
      <c r="CU43" s="65" t="str">
        <f>IF(Tim!IQ45=Sheet6!$C$2,Sheet6!$C$2,IF(Tim!IQ45=Sheet6!$C$3,Sheet6!$C$3,IF(Tim!IQ45=Sheet6!$C$4,Sheet6!$C$4,IF(Tim!IQ45=Sheet6!$C$5,Sheet6!$C$5,IF(Tim!IQ45=Sheet6!$C$6,Sheet6!$C$6,IF(Tim!IQ45=Sheet6!$C$7,Sheet6!$C$7,IF(Tim!IQ45=Sheet6!$C$8,Sheet6!$C$8,"")))))))</f>
        <v/>
      </c>
      <c r="CV43" s="53" t="str">
        <f>IF(Tim!IR45=Sheet6!$C$2,Sheet6!$C$2,IF(Tim!IR45=Sheet6!$C$3,Sheet6!$C$3,IF(Tim!IR45=Sheet6!$C$4,Sheet6!$C$4,IF(Tim!IR45=Sheet6!$C$5,Sheet6!$C$5,IF(Tim!IR45=Sheet6!$C$6,Sheet6!$C$6,IF(Tim!IR45=Sheet6!$C$7,Sheet6!$C$7,IF(Tim!IR45=Sheet6!$C$8,Sheet6!$C$8,"")))))))</f>
        <v/>
      </c>
      <c r="CW43" s="53" t="str">
        <f>IF(Tim!IZ45=Sheet6!$C$2,Sheet6!$C$2,IF(Tim!IZ45=Sheet6!$C$3,Sheet6!$C$3,IF(Tim!IZ45=Sheet6!$C$4,Sheet6!$C$4,IF(Tim!IZ45=Sheet6!$C$5,Sheet6!$C$5,IF(Tim!IZ45=Sheet6!$C$6,Sheet6!$C$6,IF(Tim!IZ45=Sheet6!$C$7,Sheet6!$C$7,IF(Tim!IZ45=Sheet6!$C$8,Sheet6!$C$8,"")))))))</f>
        <v/>
      </c>
      <c r="CX43" s="53" t="str">
        <f>IF(Tim!JA45=Sheet6!$C$2,Sheet6!$C$2,IF(Tim!JA45=Sheet6!$C$3,Sheet6!$C$3,IF(Tim!JA45=Sheet6!$C$4,Sheet6!$C$4,IF(Tim!JA45=Sheet6!$C$5,Sheet6!$C$5,IF(Tim!JA45=Sheet6!$C$6,Sheet6!$C$6,IF(Tim!JA45=Sheet6!$C$7,Sheet6!$C$7,IF(Tim!JA45=Sheet6!$C$8,Sheet6!$C$8,"")))))))</f>
        <v/>
      </c>
      <c r="CY43" s="53" t="str">
        <f>IF(Tim!JB45=Sheet6!$C$2,Sheet6!$C$2,IF(Tim!JB45=Sheet6!$C$3,Sheet6!$C$3,IF(Tim!JB45=Sheet6!$C$4,Sheet6!$C$4,IF(Tim!JB45=Sheet6!$C$5,Sheet6!$C$5,IF(Tim!JB45=Sheet6!$C$6,Sheet6!$C$6,IF(Tim!JB45=Sheet6!$C$7,Sheet6!$C$7,IF(Tim!JB45=Sheet6!$C$8,Sheet6!$C$8,"")))))))</f>
        <v/>
      </c>
      <c r="CZ43" s="53" t="str">
        <f>IF(Tim!JC45=Sheet6!$C$2,Sheet6!$C$2,IF(Tim!JC45=Sheet6!$C$3,Sheet6!$C$3,IF(Tim!JC45=Sheet6!$C$4,Sheet6!$C$4,IF(Tim!JC45=Sheet6!$C$5,Sheet6!$C$5,IF(Tim!JC45=Sheet6!$C$6,Sheet6!$C$6,IF(Tim!JC45=Sheet6!$C$7,Sheet6!$C$7,IF(Tim!JC45=Sheet6!$C$8,Sheet6!$C$8,"")))))))</f>
        <v/>
      </c>
      <c r="DA43" s="53" t="str">
        <f>IF(Tim!JD45=Sheet6!$C$2,Sheet6!$C$2,IF(Tim!JD45=Sheet6!$C$3,Sheet6!$C$3,IF(Tim!JD45=Sheet6!$C$4,Sheet6!$C$4,IF(Tim!JD45=Sheet6!$C$5,Sheet6!$C$5,IF(Tim!JD45=Sheet6!$C$6,Sheet6!$C$6,IF(Tim!JD45=Sheet6!$C$7,Sheet6!$C$7,IF(Tim!JD45=Sheet6!$C$8,Sheet6!$C$8,"")))))))</f>
        <v/>
      </c>
      <c r="DB43" s="53" t="str">
        <f>IF(Tim!JE45=Sheet6!$C$2,Sheet6!$C$2,IF(Tim!JE45=Sheet6!$C$3,Sheet6!$C$3,IF(Tim!JE45=Sheet6!$C$4,Sheet6!$C$4,IF(Tim!JE45=Sheet6!$C$5,Sheet6!$C$5,IF(Tim!JE45=Sheet6!$C$6,Sheet6!$C$6,IF(Tim!JE45=Sheet6!$C$7,Sheet6!$C$7,IF(Tim!JE45=Sheet6!$C$8,Sheet6!$C$8,"")))))))</f>
        <v/>
      </c>
      <c r="DC43" s="184" t="str">
        <f>IF(Tim!JI45=Sheet6!$C$2,Sheet6!$C$2,IF(Tim!JI45=Sheet6!$C$3,Sheet6!$C$3,IF(Tim!JI45=Sheet6!$C$4,Sheet6!$C$4,IF(Tim!JI45=Sheet6!$C$5,Sheet6!$C$5,IF(Tim!JI45=Sheet6!$C$6,Sheet6!$C$6,IF(Tim!JI45=Sheet6!$C$7,Sheet6!$C$7,IF(Tim!JI45=Sheet6!$C$8,Sheet6!$C$8,"")))))))</f>
        <v/>
      </c>
      <c r="DD43" s="54" t="str">
        <f>IF(Tim!JJ45=Sheet6!$C$2,Sheet6!$C$2,IF(Tim!JJ45=Sheet6!$C$3,Sheet6!$C$3,IF(Tim!JJ45=Sheet6!$C$4,Sheet6!$C$4,IF(Tim!JJ45=Sheet6!$C$5,Sheet6!$C$5,IF(Tim!JJ45=Sheet6!$C$6,Sheet6!$C$6,IF(Tim!JJ45=Sheet6!$C$7,Sheet6!$C$7,IF(Tim!JJ45=Sheet6!$C$8,Sheet6!$C$8,"")))))))</f>
        <v/>
      </c>
      <c r="DE43" s="54" t="str">
        <f>IF(Tim!JK45=Sheet6!$C$2,Sheet6!$C$2,IF(Tim!JK45=Sheet6!$C$3,Sheet6!$C$3,IF(Tim!JK45=Sheet6!$C$4,Sheet6!$C$4,IF(Tim!JK45=Sheet6!$C$5,Sheet6!$C$5,IF(Tim!JK45=Sheet6!$C$6,Sheet6!$C$6,IF(Tim!JK45=Sheet6!$C$7,Sheet6!$C$7,IF(Tim!JK45=Sheet6!$C$8,Sheet6!$C$8,"")))))))</f>
        <v/>
      </c>
      <c r="DF43" s="54" t="str">
        <f>IF(Tim!JL45=Sheet6!$C$2,Sheet6!$C$2,IF(Tim!JL45=Sheet6!$C$3,Sheet6!$C$3,IF(Tim!JL45=Sheet6!$C$4,Sheet6!$C$4,IF(Tim!JL45=Sheet6!$C$5,Sheet6!$C$5,IF(Tim!JL45=Sheet6!$C$6,Sheet6!$C$6,IF(Tim!JL45=Sheet6!$C$7,Sheet6!$C$7,IF(Tim!JL45=Sheet6!$C$8,Sheet6!$C$8,"")))))))</f>
        <v/>
      </c>
      <c r="DG43" s="55" t="str">
        <f>IF(Tim!JM45=Sheet6!$C$2,Sheet6!$C$2,IF(Tim!JM45=Sheet6!$C$3,Sheet6!$C$3,IF(Tim!JM45=Sheet6!$C$4,Sheet6!$C$4,IF(Tim!JM45=Sheet6!$C$5,Sheet6!$C$5,IF(Tim!JM45=Sheet6!$C$6,Sheet6!$C$6,IF(Tim!JM45=Sheet6!$C$7,Sheet6!$C$7,IF(Tim!JM45=Sheet6!$C$8,Sheet6!$C$8,"")))))))</f>
        <v/>
      </c>
      <c r="DH43" s="56" t="str">
        <f>IF(Tim!JN45=Sheet6!$C$2,Sheet6!$C$2,IF(Tim!JN45=Sheet6!$C$3,Sheet6!$C$3,IF(Tim!JN45=Sheet6!$C$4,Sheet6!$C$4,IF(Tim!JN45=Sheet6!$C$5,Sheet6!$C$5,IF(Tim!JN45=Sheet6!$C$6,Sheet6!$C$6,IF(Tim!JN45=Sheet6!$C$7,Sheet6!$C$7,IF(Tim!JN45=Sheet6!$C$8,Sheet6!$C$8,"")))))))</f>
        <v/>
      </c>
      <c r="DI43" s="57" t="str">
        <f>IF(Tim!JS45=Sheet6!$C$2,Sheet6!$C$2,IF(Tim!JS45=Sheet6!$C$3,Sheet6!$C$3,IF(Tim!JS45=Sheet6!$C$4,Sheet6!$C$4,IF(Tim!JS45=Sheet6!$C$5,Sheet6!$C$5,IF(Tim!JS45=Sheet6!$C$6,Sheet6!$C$6,IF(Tim!JS45=Sheet6!$C$7,Sheet6!$C$7,IF(Tim!JS45=Sheet6!$C$8,Sheet6!$C$8,"")))))))</f>
        <v/>
      </c>
      <c r="DJ43" s="57" t="str">
        <f>IF(Tim!KB45=Sheet6!$C$2,Sheet6!$C$2,IF(Tim!KB45=Sheet6!$C$3,Sheet6!$C$3,IF(Tim!KB45=Sheet6!$C$4,Sheet6!$C$4,IF(Tim!KB45=Sheet6!$C$5,Sheet6!$C$5,IF(Tim!KB45=Sheet6!$C$6,Sheet6!$C$6,IF(Tim!KB45=Sheet6!$C$7,Sheet6!$C$7,IF(Tim!KB45=Sheet6!$C$8,Sheet6!$C$8,"")))))))</f>
        <v/>
      </c>
      <c r="DK43" s="53" t="str">
        <f>IF(Tim!KI45=Sheet6!$C$2,Sheet6!$C$2,IF(Tim!KI45=Sheet6!$C$3,Sheet6!$C$3,IF(Tim!KI45=Sheet6!$C$4,Sheet6!$C$4,IF(Tim!KI45=Sheet6!$C$5,Sheet6!$C$5,IF(Tim!KI45=Sheet6!$C$6,Sheet6!$C$6,IF(Tim!KI45=Sheet6!$C$7,Sheet6!$C$7,IF(Tim!KI45=Sheet6!$C$8,Sheet6!$C$8,"")))))))</f>
        <v/>
      </c>
      <c r="DL43" s="53" t="str">
        <f>IF(Tim!KJ45=Sheet6!$C$2,Sheet6!$C$2,IF(Tim!KJ45=Sheet6!$C$3,Sheet6!$C$3,IF(Tim!KJ45=Sheet6!$C$4,Sheet6!$C$4,IF(Tim!KJ45=Sheet6!$C$5,Sheet6!$C$5,IF(Tim!KJ45=Sheet6!$C$6,Sheet6!$C$6,IF(Tim!KJ45=Sheet6!$C$7,Sheet6!$C$7,IF(Tim!KJ45=Sheet6!$C$8,Sheet6!$C$8,"")))))))</f>
        <v/>
      </c>
      <c r="DM43" s="53" t="str">
        <f>IF(Tim!KR45=Sheet6!$C$2,Sheet6!$C$2,IF(Tim!KR45=Sheet6!$C$3,Sheet6!$C$3,IF(Tim!KR45=Sheet6!$C$4,Sheet6!$C$4,IF(Tim!KR45=Sheet6!$C$5,Sheet6!$C$5,IF(Tim!KR45=Sheet6!$C$6,Sheet6!$C$6,IF(Tim!KR45=Sheet6!$C$7,Sheet6!$C$7,IF(Tim!KR45=Sheet6!$C$8,Sheet6!$C$8,"")))))))</f>
        <v/>
      </c>
      <c r="DN43" s="53" t="str">
        <f>IF(Tim!KS45=Sheet6!$C$2,Sheet6!$C$2,IF(Tim!KS45=Sheet6!$C$3,Sheet6!$C$3,IF(Tim!KS45=Sheet6!$C$4,Sheet6!$C$4,IF(Tim!KS45=Sheet6!$C$5,Sheet6!$C$5,IF(Tim!KS45=Sheet6!$C$6,Sheet6!$C$6,IF(Tim!KS45=Sheet6!$C$7,Sheet6!$C$7,IF(Tim!KS45=Sheet6!$C$8,Sheet6!$C$8,"")))))))</f>
        <v/>
      </c>
      <c r="DO43" s="53" t="str">
        <f>IF(Tim!KT45=Sheet6!$C$2,Sheet6!$C$2,IF(Tim!KT45=Sheet6!$C$3,Sheet6!$C$3,IF(Tim!KT45=Sheet6!$C$4,Sheet6!$C$4,IF(Tim!KT45=Sheet6!$C$5,Sheet6!$C$5,IF(Tim!KT45=Sheet6!$C$6,Sheet6!$C$6,IF(Tim!KT45=Sheet6!$C$7,Sheet6!$C$7,IF(Tim!KT45=Sheet6!$C$8,Sheet6!$C$8,"")))))))</f>
        <v/>
      </c>
      <c r="DP43" s="53" t="str">
        <f>IF(Tim!KU45=Sheet6!$C$2,Sheet6!$C$2,IF(Tim!KU45=Sheet6!$C$3,Sheet6!$C$3,IF(Tim!KU45=Sheet6!$C$4,Sheet6!$C$4,IF(Tim!KU45=Sheet6!$C$5,Sheet6!$C$5,IF(Tim!KU45=Sheet6!$C$6,Sheet6!$C$6,IF(Tim!KU45=Sheet6!$C$7,Sheet6!$C$7,IF(Tim!KU45=Sheet6!$C$8,Sheet6!$C$8,"")))))))</f>
        <v/>
      </c>
      <c r="DQ43" s="53" t="str">
        <f>IF(Tim!KV45=Sheet6!$C$2,Sheet6!$C$2,IF(Tim!KV45=Sheet6!$C$3,Sheet6!$C$3,IF(Tim!KV45=Sheet6!$C$4,Sheet6!$C$4,IF(Tim!KV45=Sheet6!$C$5,Sheet6!$C$5,IF(Tim!KV45=Sheet6!$C$6,Sheet6!$C$6,IF(Tim!KV45=Sheet6!$C$7,Sheet6!$C$7,IF(Tim!KV45=Sheet6!$C$8,Sheet6!$C$8,"")))))))</f>
        <v/>
      </c>
      <c r="DR43" s="53" t="str">
        <f>IF(Tim!KW45=Sheet6!$C$2,Sheet6!$C$2,IF(Tim!KW45=Sheet6!$C$3,Sheet6!$C$3,IF(Tim!KW45=Sheet6!$C$4,Sheet6!$C$4,IF(Tim!KW45=Sheet6!$C$5,Sheet6!$C$5,IF(Tim!KW45=Sheet6!$C$6,Sheet6!$C$6,IF(Tim!KW45=Sheet6!$C$7,Sheet6!$C$7,IF(Tim!KW45=Sheet6!$C$8,Sheet6!$C$8,"")))))))</f>
        <v/>
      </c>
      <c r="DS43" s="53" t="str">
        <f>IF(Tim!LA45=Sheet6!$C$2,Sheet6!$C$2,IF(Tim!LA45=Sheet6!$C$3,Sheet6!$C$3,IF(Tim!LA45=Sheet6!$C$4,Sheet6!$C$4,IF(Tim!LA45=Sheet6!$C$5,Sheet6!$C$5,IF(Tim!LA45=Sheet6!$C$6,Sheet6!$C$6,IF(Tim!LA45=Sheet6!$C$7,Sheet6!$C$7,IF(Tim!LA45=Sheet6!$C$8,Sheet6!$C$8,"")))))))</f>
        <v/>
      </c>
      <c r="DT43" s="54" t="str">
        <f>IF(Tim!LB45=Sheet6!$C$2,Sheet6!$C$2,IF(Tim!LB45=Sheet6!$C$3,Sheet6!$C$3,IF(Tim!LB45=Sheet6!$C$4,Sheet6!$C$4,IF(Tim!LB45=Sheet6!$C$5,Sheet6!$C$5,IF(Tim!LB45=Sheet6!$C$6,Sheet6!$C$6,IF(Tim!LB45=Sheet6!$C$7,Sheet6!$C$7,IF(Tim!LB45=Sheet6!$C$8,Sheet6!$C$8,"")))))))</f>
        <v/>
      </c>
      <c r="DU43" s="54" t="str">
        <f>IF(Tim!LC45=Sheet6!$C$2,Sheet6!$C$2,IF(Tim!LC45=Sheet6!$C$3,Sheet6!$C$3,IF(Tim!LC45=Sheet6!$C$4,Sheet6!$C$4,IF(Tim!LC45=Sheet6!$C$5,Sheet6!$C$5,IF(Tim!LC45=Sheet6!$C$6,Sheet6!$C$6,IF(Tim!LC45=Sheet6!$C$7,Sheet6!$C$7,IF(Tim!LC45=Sheet6!$C$8,Sheet6!$C$8,"")))))))</f>
        <v/>
      </c>
      <c r="DV43" s="54" t="str">
        <f>IF(Tim!LD45=Sheet6!$C$2,Sheet6!$C$2,IF(Tim!LD45=Sheet6!$C$3,Sheet6!$C$3,IF(Tim!LD45=Sheet6!$C$4,Sheet6!$C$4,IF(Tim!LD45=Sheet6!$C$5,Sheet6!$C$5,IF(Tim!LD45=Sheet6!$C$6,Sheet6!$C$6,IF(Tim!LD45=Sheet6!$C$7,Sheet6!$C$7,IF(Tim!LD45=Sheet6!$C$8,Sheet6!$C$8,"")))))))</f>
        <v/>
      </c>
      <c r="DW43" s="55" t="str">
        <f>IF(Tim!LE45=Sheet6!$C$2,Sheet6!$C$2,IF(Tim!LE45=Sheet6!$C$3,Sheet6!$C$3,IF(Tim!LE45=Sheet6!$C$4,Sheet6!$C$4,IF(Tim!LE45=Sheet6!$C$5,Sheet6!$C$5,IF(Tim!LE45=Sheet6!$C$6,Sheet6!$C$6,IF(Tim!LE45=Sheet6!$C$7,Sheet6!$C$7,IF(Tim!LE45=Sheet6!$C$8,Sheet6!$C$8,"")))))))</f>
        <v/>
      </c>
      <c r="DX43" s="52">
        <v>0.687499999999999</v>
      </c>
    </row>
    <row r="44" spans="2:128" ht="10.5" customHeight="1">
      <c r="B44" s="51">
        <v>0.25</v>
      </c>
      <c r="C44" s="51">
        <v>0.25</v>
      </c>
      <c r="D44" s="51">
        <v>0.25</v>
      </c>
      <c r="E44" s="52">
        <v>0.69791666666666596</v>
      </c>
      <c r="F44" s="53" t="str">
        <f>IF(Tim!F46=Sheet6!$C$2,Sheet6!$C$2,IF(Tim!F46=Sheet6!$C$3,Sheet6!$C$3,IF(Tim!F46=Sheet6!$C$4,Sheet6!$C$4,IF(Tim!F46=Sheet6!$C$5,Sheet6!$C$5,IF(Tim!F46=Sheet6!$C$6,Sheet6!$C$6,IF(Tim!F46=Sheet6!$C$7,Sheet6!$C$7,IF(Tim!F46=Sheet6!$C$8,Sheet6!$C$8,"")))))))</f>
        <v/>
      </c>
      <c r="G44" s="53" t="str">
        <f>IF(Tim!G46=Sheet6!$C$2,Sheet6!$C$2,IF(Tim!G46=Sheet6!$C$3,Sheet6!$C$3,IF(Tim!G46=Sheet6!$C$4,Sheet6!$C$4,IF(Tim!G46=Sheet6!$C$5,Sheet6!$C$5,IF(Tim!G46=Sheet6!$C$6,Sheet6!$C$6,IF(Tim!G46=Sheet6!$C$7,Sheet6!$C$7,IF(Tim!G46=Sheet6!$C$8,Sheet6!$C$8,"")))))))</f>
        <v/>
      </c>
      <c r="H44" s="53" t="str">
        <f>IF(Tim!H46=Sheet6!$C$2,Sheet6!$C$2,IF(Tim!H46=Sheet6!$C$3,Sheet6!$C$3,IF(Tim!H46=Sheet6!$C$4,Sheet6!$C$4,IF(Tim!H46=Sheet6!$C$5,Sheet6!$C$5,IF(Tim!H46=Sheet6!$C$6,Sheet6!$C$6,IF(Tim!H46=Sheet6!$C$7,Sheet6!$C$7,IF(Tim!H46=Sheet6!$C$8,Sheet6!$C$8,"")))))))</f>
        <v/>
      </c>
      <c r="I44" s="53" t="str">
        <f>IF(Tim!L46=Sheet6!$C$2,Sheet6!$C$2,IF(Tim!L46=Sheet6!$C$3,Sheet6!$C$3,IF(Tim!L46=Sheet6!$C$4,Sheet6!$C$4,IF(Tim!L46=Sheet6!$C$5,Sheet6!$C$5,IF(Tim!L46=Sheet6!$C$6,Sheet6!$C$6,IF(Tim!L46=Sheet6!$C$7,Sheet6!$C$7,IF(Tim!L46=Sheet6!$C$8,Sheet6!$C$8,"")))))))</f>
        <v/>
      </c>
      <c r="J44" s="53" t="str">
        <f>IF(Tim!T46=Sheet6!$C$2,Sheet6!$C$2,IF(Tim!T46=Sheet6!$C$3,Sheet6!$C$3,IF(Tim!T46=Sheet6!$C$4,Sheet6!$C$4,IF(Tim!T46=Sheet6!$C$5,Sheet6!$C$5,IF(Tim!T46=Sheet6!$C$6,Sheet6!$C$6,IF(Tim!T46=Sheet6!$C$7,Sheet6!$C$7,IF(Tim!T46=Sheet6!$C$8,Sheet6!$C$8,"")))))))</f>
        <v/>
      </c>
      <c r="K44" s="53" t="str">
        <f>IF(Tim!AB46=Sheet6!$C$2,Sheet6!$C$2,IF(Tim!AB46=Sheet6!$C$3,Sheet6!$C$3,IF(Tim!AB46=Sheet6!$C$4,Sheet6!$C$4,IF(Tim!AB46=Sheet6!$C$5,Sheet6!$C$5,IF(Tim!AB46=Sheet6!$C$6,Sheet6!$C$6,IF(Tim!AB46=Sheet6!$C$7,Sheet6!$C$7,IF(Tim!AB46=Sheet6!$C$8,Sheet6!$C$8,"")))))))</f>
        <v/>
      </c>
      <c r="L44" s="53" t="str">
        <f>IF(Tim!AC46=Sheet6!$C$2,Sheet6!$C$2,IF(Tim!AC46=Sheet6!$C$3,Sheet6!$C$3,IF(Tim!AC46=Sheet6!$C$4,Sheet6!$C$4,IF(Tim!AC46=Sheet6!$C$5,Sheet6!$C$5,IF(Tim!AC46=Sheet6!$C$6,Sheet6!$C$6,IF(Tim!AC46=Sheet6!$C$7,Sheet6!$C$7,IF(Tim!AC46=Sheet6!$C$8,Sheet6!$C$8,"")))))))</f>
        <v/>
      </c>
      <c r="M44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N44" s="53" t="str">
        <f>IF(Tim!AK46=Sheet6!$C$2,Sheet6!$C$2,IF(Tim!AK46=Sheet6!$C$3,Sheet6!$C$3,IF(Tim!AK46=Sheet6!$C$4,Sheet6!$C$4,IF(Tim!AK46=Sheet6!$C$5,Sheet6!$C$5,IF(Tim!AK46=Sheet6!$C$6,Sheet6!$C$6,IF(Tim!AK46=Sheet6!$C$7,Sheet6!$C$7,IF(Tim!AK46=Sheet6!$C$8,Sheet6!$C$8,"")))))))</f>
        <v/>
      </c>
      <c r="O44" s="53" t="str">
        <f>IF(Tim!AL46=Sheet6!$C$2,Sheet6!$C$2,IF(Tim!AL46=Sheet6!$C$3,Sheet6!$C$3,IF(Tim!AL46=Sheet6!$C$4,Sheet6!$C$4,IF(Tim!AL46=Sheet6!$C$5,Sheet6!$C$5,IF(Tim!AL46=Sheet6!$C$6,Sheet6!$C$6,IF(Tim!AL46=Sheet6!$C$7,Sheet6!$C$7,IF(Tim!AL46=Sheet6!$C$8,Sheet6!$C$8,"")))))))</f>
        <v/>
      </c>
      <c r="P44" s="53" t="str">
        <f>IF(Tim!AN46=Sheet6!$C$2,Sheet6!$C$2,IF(Tim!AN46=Sheet6!$C$3,Sheet6!$C$3,IF(Tim!AN46=Sheet6!$C$4,Sheet6!$C$4,IF(Tim!AN46=Sheet6!$C$5,Sheet6!$C$5,IF(Tim!AN46=Sheet6!$C$6,Sheet6!$C$6,IF(Tim!AN46=Sheet6!$C$7,Sheet6!$C$7,IF(Tim!AN46=Sheet6!$C$8,Sheet6!$C$8,"")))))))</f>
        <v/>
      </c>
      <c r="Q44" s="53" t="str">
        <f>IF(Tim!AO46=Sheet6!$C$2,Sheet6!$C$2,IF(Tim!AO46=Sheet6!$C$3,Sheet6!$C$3,IF(Tim!AO46=Sheet6!$C$4,Sheet6!$C$4,IF(Tim!AO46=Sheet6!$C$5,Sheet6!$C$5,IF(Tim!AO46=Sheet6!$C$6,Sheet6!$C$6,IF(Tim!AO46=Sheet6!$C$7,Sheet6!$C$7,IF(Tim!AO46=Sheet6!$C$8,Sheet6!$C$8,"")))))))</f>
        <v/>
      </c>
      <c r="R44" s="53" t="str">
        <f>IF(Tim!AP46=Sheet6!$C$2,Sheet6!$C$2,IF(Tim!AP46=Sheet6!$C$3,Sheet6!$C$3,IF(Tim!AP46=Sheet6!$C$4,Sheet6!$C$4,IF(Tim!AP46=Sheet6!$C$5,Sheet6!$C$5,IF(Tim!AP46=Sheet6!$C$6,Sheet6!$C$6,IF(Tim!AP46=Sheet6!$C$7,Sheet6!$C$7,IF(Tim!AP46=Sheet6!$C$8,Sheet6!$C$8,"")))))))</f>
        <v/>
      </c>
      <c r="S44" s="53" t="str">
        <f>IF(Tim!AT46=Sheet6!$C$2,Sheet6!$C$2,IF(Tim!AT46=Sheet6!$C$3,Sheet6!$C$3,IF(Tim!AT46=Sheet6!$C$4,Sheet6!$C$4,IF(Tim!AT46=Sheet6!$C$5,Sheet6!$C$5,IF(Tim!AT46=Sheet6!$C$6,Sheet6!$C$6,IF(Tim!AT46=Sheet6!$C$7,Sheet6!$C$7,IF(Tim!AT46=Sheet6!$C$8,Sheet6!$C$8,"")))))))</f>
        <v/>
      </c>
      <c r="T44" s="54" t="str">
        <f>IF(Tim!AU46=Sheet6!$C$2,Sheet6!$C$2,IF(Tim!AU46=Sheet6!$C$3,Sheet6!$C$3,IF(Tim!AU46=Sheet6!$C$4,Sheet6!$C$4,IF(Tim!AU46=Sheet6!$C$5,Sheet6!$C$5,IF(Tim!AU46=Sheet6!$C$6,Sheet6!$C$6,IF(Tim!AU46=Sheet6!$C$7,Sheet6!$C$7,IF(Tim!AU46=Sheet6!$C$8,Sheet6!$C$8,"")))))))</f>
        <v/>
      </c>
      <c r="U44" s="54" t="str">
        <f>IF(Tim!AV46=Sheet6!$C$2,Sheet6!$C$2,IF(Tim!AV46=Sheet6!$C$3,Sheet6!$C$3,IF(Tim!AV46=Sheet6!$C$4,Sheet6!$C$4,IF(Tim!AV46=Sheet6!$C$5,Sheet6!$C$5,IF(Tim!AV46=Sheet6!$C$6,Sheet6!$C$6,IF(Tim!AV46=Sheet6!$C$7,Sheet6!$C$7,IF(Tim!AV46=Sheet6!$C$8,Sheet6!$C$8,"")))))))</f>
        <v/>
      </c>
      <c r="V44" s="54" t="str">
        <f>IF(Tim!AW46=Sheet6!$C$2,Sheet6!$C$2,IF(Tim!AW46=Sheet6!$C$3,Sheet6!$C$3,IF(Tim!AW46=Sheet6!$C$4,Sheet6!$C$4,IF(Tim!AW46=Sheet6!$C$5,Sheet6!$C$5,IF(Tim!AW46=Sheet6!$C$6,Sheet6!$C$6,IF(Tim!AW46=Sheet6!$C$7,Sheet6!$C$7,IF(Tim!AW46=Sheet6!$C$8,Sheet6!$C$8,"")))))))</f>
        <v/>
      </c>
      <c r="W44" s="55" t="str">
        <f>IF(Tim!AX46=Sheet6!$C$2,Sheet6!$C$2,IF(Tim!AX46=Sheet6!$C$3,Sheet6!$C$3,IF(Tim!AX46=Sheet6!$C$4,Sheet6!$C$4,IF(Tim!AX46=Sheet6!$C$5,Sheet6!$C$5,IF(Tim!AX46=Sheet6!$C$6,Sheet6!$C$6,IF(Tim!AX46=Sheet6!$C$7,Sheet6!$C$7,IF(Tim!AX46=Sheet6!$C$8,Sheet6!$C$8,"")))))))</f>
        <v/>
      </c>
      <c r="X44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Y44" s="57" t="str">
        <f>IF(Tim!AY46=Sheet6!$C$2,Sheet6!$C$2,IF(Tim!AY46=Sheet6!$C$3,Sheet6!$C$3,IF(Tim!AY46=Sheet6!$C$4,Sheet6!$C$4,IF(Tim!AY46=Sheet6!$C$5,Sheet6!$C$5,IF(Tim!AY46=Sheet6!$C$6,Sheet6!$C$6,IF(Tim!AY46=Sheet6!$C$7,Sheet6!$C$7,IF(Tim!AY46=Sheet6!$C$8,Sheet6!$C$8,"")))))))</f>
        <v/>
      </c>
      <c r="Z44" s="57" t="str">
        <f>IF(Tim!BD46=Sheet6!$C$2,Sheet6!$C$2,IF(Tim!BD46=Sheet6!$C$3,Sheet6!$C$3,IF(Tim!BD46=Sheet6!$C$4,Sheet6!$C$4,IF(Tim!BD46=Sheet6!$C$5,Sheet6!$C$5,IF(Tim!BD46=Sheet6!$C$6,Sheet6!$C$6,IF(Tim!BD46=Sheet6!$C$7,Sheet6!$C$7,IF(Tim!BD46=Sheet6!$C$8,Sheet6!$C$8,"")))))))</f>
        <v/>
      </c>
      <c r="AA44" s="57" t="str">
        <f>IF(Tim!BE46=Sheet6!$C$2,Sheet6!$C$2,IF(Tim!BE46=Sheet6!$C$3,Sheet6!$C$3,IF(Tim!BE46=Sheet6!$C$4,Sheet6!$C$4,IF(Tim!BE46=Sheet6!$C$5,Sheet6!$C$5,IF(Tim!BE46=Sheet6!$C$6,Sheet6!$C$6,IF(Tim!BE46=Sheet6!$C$7,Sheet6!$C$7,IF(Tim!BE46=Sheet6!$C$8,Sheet6!$C$8,"")))))))</f>
        <v/>
      </c>
      <c r="AB44" s="57" t="str">
        <f>IF(Tim!BL46=Sheet6!$C$2,Sheet6!$C$2,IF(Tim!BL46=Sheet6!$C$3,Sheet6!$C$3,IF(Tim!BL46=Sheet6!$C$4,Sheet6!$C$4,IF(Tim!BL46=Sheet6!$C$5,Sheet6!$C$5,IF(Tim!BL46=Sheet6!$C$6,Sheet6!$C$6,IF(Tim!BL46=Sheet6!$C$7,Sheet6!$C$7,IF(Tim!BL46=Sheet6!$C$8,Sheet6!$C$8,"")))))))</f>
        <v/>
      </c>
      <c r="AC44" s="53" t="str">
        <f>IF(Tim!BT46=Sheet6!$C$2,Sheet6!$C$2,IF(Tim!BT46=Sheet6!$C$3,Sheet6!$C$3,IF(Tim!BT46=Sheet6!$C$4,Sheet6!$C$4,IF(Tim!BT46=Sheet6!$C$5,Sheet6!$C$5,IF(Tim!BT46=Sheet6!$C$6,Sheet6!$C$6,IF(Tim!BT46=Sheet6!$C$7,Sheet6!$C$7,IF(Tim!BT46=Sheet6!$C$8,Sheet6!$C$8,"")))))))</f>
        <v/>
      </c>
      <c r="AD44" s="53" t="str">
        <f>IF(Tim!BU46=Sheet6!$C$2,Sheet6!$C$2,IF(Tim!BU46=Sheet6!$C$3,Sheet6!$C$3,IF(Tim!BU46=Sheet6!$C$4,Sheet6!$C$4,IF(Tim!BU46=Sheet6!$C$5,Sheet6!$C$5,IF(Tim!BU46=Sheet6!$C$6,Sheet6!$C$6,IF(Tim!BU46=Sheet6!$C$7,Sheet6!$C$7,IF(Tim!BU46=Sheet6!$C$8,Sheet6!$C$8,"")))))))</f>
        <v/>
      </c>
      <c r="AE44" s="53" t="str">
        <f>IF(Tim!CB46=Sheet6!$C$2,Sheet6!$C$2,IF(Tim!CB46=Sheet6!$C$3,Sheet6!$C$3,IF(Tim!CB46=Sheet6!$C$4,Sheet6!$C$4,IF(Tim!CB46=Sheet6!$C$5,Sheet6!$C$5,IF(Tim!CB46=Sheet6!$C$6,Sheet6!$C$6,IF(Tim!CB46=Sheet6!$C$7,Sheet6!$C$7,IF(Tim!CB46=Sheet6!$C$8,Sheet6!$C$8,"")))))))</f>
        <v/>
      </c>
      <c r="AF44" s="53" t="str">
        <f>IF(Tim!CD46=Sheet6!$C$2,Sheet6!$C$2,IF(Tim!CD46=Sheet6!$C$3,Sheet6!$C$3,IF(Tim!CD46=Sheet6!$C$4,Sheet6!$C$4,IF(Tim!CD46=Sheet6!$C$5,Sheet6!$C$5,IF(Tim!CD46=Sheet6!$C$6,Sheet6!$C$6,IF(Tim!CD46=Sheet6!$C$7,Sheet6!$C$7,IF(Tim!CD46=Sheet6!$C$8,Sheet6!$C$8,"")))))))</f>
        <v/>
      </c>
      <c r="AG44" s="53" t="str">
        <f>IF(Tim!CE46=Sheet6!$C$2,Sheet6!$C$2,IF(Tim!CE46=Sheet6!$C$3,Sheet6!$C$3,IF(Tim!CE46=Sheet6!$C$4,Sheet6!$C$4,IF(Tim!CE46=Sheet6!$C$5,Sheet6!$C$5,IF(Tim!CE46=Sheet6!$C$6,Sheet6!$C$6,IF(Tim!CE46=Sheet6!$C$7,Sheet6!$C$7,IF(Tim!CE46=Sheet6!$C$8,Sheet6!$C$8,"")))))))</f>
        <v/>
      </c>
      <c r="AH44" s="53" t="str">
        <f>IF(Tim!CF46=Sheet6!$C$2,Sheet6!$C$2,IF(Tim!CF46=Sheet6!$C$3,Sheet6!$C$3,IF(Tim!CF46=Sheet6!$C$4,Sheet6!$C$4,IF(Tim!CF46=Sheet6!$C$5,Sheet6!$C$5,IF(Tim!CF46=Sheet6!$C$6,Sheet6!$C$6,IF(Tim!CF46=Sheet6!$C$7,Sheet6!$C$7,IF(Tim!CF46=Sheet6!$C$8,Sheet6!$C$8,"")))))))</f>
        <v/>
      </c>
      <c r="AI44" s="53" t="str">
        <f>IF(Tim!CG46=Sheet6!$C$2,Sheet6!$C$2,IF(Tim!CG46=Sheet6!$C$3,Sheet6!$C$3,IF(Tim!CG46=Sheet6!$C$4,Sheet6!$C$4,IF(Tim!CG46=Sheet6!$C$5,Sheet6!$C$5,IF(Tim!CG46=Sheet6!$C$6,Sheet6!$C$6,IF(Tim!CG46=Sheet6!$C$7,Sheet6!$C$7,IF(Tim!CG46=Sheet6!$C$8,Sheet6!$C$8,"")))))))</f>
        <v/>
      </c>
      <c r="AJ44" s="53" t="str">
        <f>IF(Tim!CH46=Sheet6!$C$2,Sheet6!$C$2,IF(Tim!CH46=Sheet6!$C$3,Sheet6!$C$3,IF(Tim!CH46=Sheet6!$C$4,Sheet6!$C$4,IF(Tim!CH46=Sheet6!$C$5,Sheet6!$C$5,IF(Tim!CH46=Sheet6!$C$6,Sheet6!$C$6,IF(Tim!CH46=Sheet6!$C$7,Sheet6!$C$7,IF(Tim!CH46=Sheet6!$C$8,Sheet6!$C$8,"")))))))</f>
        <v/>
      </c>
      <c r="AK44" s="53" t="str">
        <f>IF(Tim!CL46=Sheet6!$C$2,Sheet6!$C$2,IF(Tim!CL46=Sheet6!$C$3,Sheet6!$C$3,IF(Tim!CL46=Sheet6!$C$4,Sheet6!$C$4,IF(Tim!CL46=Sheet6!$C$5,Sheet6!$C$5,IF(Tim!CL46=Sheet6!$C$6,Sheet6!$C$6,IF(Tim!CL46=Sheet6!$C$7,Sheet6!$C$7,IF(Tim!CL46=Sheet6!$C$8,Sheet6!$C$8,"")))))))</f>
        <v/>
      </c>
      <c r="AL44" s="54" t="str">
        <f>IF(Tim!CM46=Sheet6!$C$2,Sheet6!$C$2,IF(Tim!CM46=Sheet6!$C$3,Sheet6!$C$3,IF(Tim!CM46=Sheet6!$C$4,Sheet6!$C$4,IF(Tim!CM46=Sheet6!$C$5,Sheet6!$C$5,IF(Tim!CM46=Sheet6!$C$6,Sheet6!$C$6,IF(Tim!CM46=Sheet6!$C$7,Sheet6!$C$7,IF(Tim!CM46=Sheet6!$C$8,Sheet6!$C$8,"")))))))</f>
        <v/>
      </c>
      <c r="AM44" s="54" t="str">
        <f>IF(Tim!CN46=Sheet6!$C$2,Sheet6!$C$2,IF(Tim!CN46=Sheet6!$C$3,Sheet6!$C$3,IF(Tim!CN46=Sheet6!$C$4,Sheet6!$C$4,IF(Tim!CN46=Sheet6!$C$5,Sheet6!$C$5,IF(Tim!CN46=Sheet6!$C$6,Sheet6!$C$6,IF(Tim!CN46=Sheet6!$C$7,Sheet6!$C$7,IF(Tim!CN46=Sheet6!$C$8,Sheet6!$C$8,"")))))))</f>
        <v/>
      </c>
      <c r="AN44" s="54" t="str">
        <f>IF(Tim!CO46=Sheet6!$C$2,Sheet6!$C$2,IF(Tim!CO46=Sheet6!$C$3,Sheet6!$C$3,IF(Tim!CO46=Sheet6!$C$4,Sheet6!$C$4,IF(Tim!CO46=Sheet6!$C$5,Sheet6!$C$5,IF(Tim!CO46=Sheet6!$C$6,Sheet6!$C$6,IF(Tim!CO46=Sheet6!$C$7,Sheet6!$C$7,IF(Tim!CO46=Sheet6!$C$8,Sheet6!$C$8,"")))))))</f>
        <v/>
      </c>
      <c r="AO44" s="55" t="str">
        <f>IF(Tim!CP46=Sheet6!$C$2,Sheet6!$C$2,IF(Tim!CP46=Sheet6!$C$3,Sheet6!$C$3,IF(Tim!CP46=Sheet6!$C$4,Sheet6!$C$4,IF(Tim!CP46=Sheet6!$C$5,Sheet6!$C$5,IF(Tim!CP46=Sheet6!$C$6,Sheet6!$C$6,IF(Tim!CP46=Sheet6!$C$7,Sheet6!$C$7,IF(Tim!CP46=Sheet6!$C$8,Sheet6!$C$8,"")))))))</f>
        <v/>
      </c>
      <c r="AP44" s="53" t="str">
        <f>IF(Tim!CQ46=Sheet6!$C$2,Sheet6!$C$2,IF(Tim!CQ46=Sheet6!$C$3,Sheet6!$C$3,IF(Tim!CQ46=Sheet6!$C$4,Sheet6!$C$4,IF(Tim!CQ46=Sheet6!$C$5,Sheet6!$C$5,IF(Tim!CQ46=Sheet6!$C$6,Sheet6!$C$6,IF(Tim!CQ46=Sheet6!$C$7,Sheet6!$C$7,IF(Tim!CQ46=Sheet6!$C$8,Sheet6!$C$8,"")))))))</f>
        <v/>
      </c>
      <c r="AQ44" s="57" t="str">
        <f>IF(Tim!CR46=Sheet6!$C$2,Sheet6!$C$2,IF(Tim!CR46=Sheet6!$C$3,Sheet6!$C$3,IF(Tim!CR46=Sheet6!$C$4,Sheet6!$C$4,IF(Tim!CR46=Sheet6!$C$5,Sheet6!$C$5,IF(Tim!CR46=Sheet6!$C$6,Sheet6!$C$6,IF(Tim!CR46=Sheet6!$C$7,Sheet6!$C$7,IF(Tim!CR46=Sheet6!$C$8,Sheet6!$C$8,"")))))))</f>
        <v/>
      </c>
      <c r="AR44" s="57" t="str">
        <f>IF(Tim!CV46=Sheet6!$C$2,Sheet6!$C$2,IF(Tim!CV46=Sheet6!$C$3,Sheet6!$C$3,IF(Tim!CV46=Sheet6!$C$4,Sheet6!$C$4,IF(Tim!CV46=Sheet6!$C$5,Sheet6!$C$5,IF(Tim!CV46=Sheet6!$C$6,Sheet6!$C$6,IF(Tim!CV46=Sheet6!$C$7,Sheet6!$C$7,IF(Tim!CV46=Sheet6!$C$8,Sheet6!$C$8,"")))))))</f>
        <v/>
      </c>
      <c r="AS44" s="57" t="str">
        <f>IF(Tim!CW46=Sheet6!$C$2,Sheet6!$C$2,IF(Tim!CW46=Sheet6!$C$3,Sheet6!$C$3,IF(Tim!CW46=Sheet6!$C$4,Sheet6!$C$4,IF(Tim!CW46=Sheet6!$C$5,Sheet6!$C$5,IF(Tim!CW46=Sheet6!$C$6,Sheet6!$C$6,IF(Tim!CW46=Sheet6!$C$7,Sheet6!$C$7,IF(Tim!CW46=Sheet6!$C$8,Sheet6!$C$8,"")))))))</f>
        <v/>
      </c>
      <c r="AT44" s="57" t="str">
        <f>IF(Tim!DA46=Sheet6!$C$2,Sheet6!$C$2,IF(Tim!DA46=Sheet6!$C$3,Sheet6!$C$3,IF(Tim!DA46=Sheet6!$C$4,Sheet6!$C$4,IF(Tim!DA46=Sheet6!$C$5,Sheet6!$C$5,IF(Tim!DA46=Sheet6!$C$6,Sheet6!$C$6,IF(Tim!DA46=Sheet6!$C$7,Sheet6!$C$7,IF(Tim!DA46=Sheet6!$C$8,Sheet6!$C$8,"")))))))</f>
        <v/>
      </c>
      <c r="AU44" s="53" t="str">
        <f>IF(Tim!DO46=Sheet6!$C$2,Sheet6!$C$2,IF(Tim!DO46=Sheet6!$C$3,Sheet6!$C$3,IF(Tim!DO46=Sheet6!$C$4,Sheet6!$C$4,IF(Tim!DO46=Sheet6!$C$5,Sheet6!$C$5,IF(Tim!DO46=Sheet6!$C$6,Sheet6!$C$6,IF(Tim!DO46=Sheet6!$C$7,Sheet6!$C$7,IF(Tim!DO46=Sheet6!$C$8,Sheet6!$C$8,"")))))))</f>
        <v/>
      </c>
      <c r="AV44" s="53" t="str">
        <f>IF(Tim!DP46=Sheet6!$C$2,Sheet6!$C$2,IF(Tim!DP46=Sheet6!$C$3,Sheet6!$C$3,IF(Tim!DP46=Sheet6!$C$4,Sheet6!$C$4,IF(Tim!DP46=Sheet6!$C$5,Sheet6!$C$5,IF(Tim!DP46=Sheet6!$C$6,Sheet6!$C$6,IF(Tim!DP46=Sheet6!$C$7,Sheet6!$C$7,IF(Tim!DP46=Sheet6!$C$8,Sheet6!$C$8,"")))))))</f>
        <v/>
      </c>
      <c r="AW44" s="53" t="str">
        <f>IF(Tim!DX46=Sheet6!$C$2,Sheet6!$C$2,IF(Tim!DX46=Sheet6!$C$3,Sheet6!$C$3,IF(Tim!DX46=Sheet6!$C$4,Sheet6!$C$4,IF(Tim!DX46=Sheet6!$C$5,Sheet6!$C$5,IF(Tim!DX46=Sheet6!$C$6,Sheet6!$C$6,IF(Tim!DX46=Sheet6!$C$7,Sheet6!$C$7,IF(Tim!DX46=Sheet6!$C$8,Sheet6!$C$8,"")))))))</f>
        <v/>
      </c>
      <c r="AX44" s="53" t="str">
        <f>IF(Tim!DY46=Sheet6!$C$2,Sheet6!$C$2,IF(Tim!DY46=Sheet6!$C$3,Sheet6!$C$3,IF(Tim!DY46=Sheet6!$C$4,Sheet6!$C$4,IF(Tim!DY46=Sheet6!$C$5,Sheet6!$C$5,IF(Tim!DY46=Sheet6!$C$6,Sheet6!$C$6,IF(Tim!DY46=Sheet6!$C$7,Sheet6!$C$7,IF(Tim!DY46=Sheet6!$C$8,Sheet6!$C$8,"")))))))</f>
        <v/>
      </c>
      <c r="AY44" s="53" t="str">
        <f>IF(Tim!DZ46=Sheet6!$C$2,Sheet6!$C$2,IF(Tim!DZ46=Sheet6!$C$3,Sheet6!$C$3,IF(Tim!DZ46=Sheet6!$C$4,Sheet6!$C$4,IF(Tim!DZ46=Sheet6!$C$5,Sheet6!$C$5,IF(Tim!DZ46=Sheet6!$C$6,Sheet6!$C$6,IF(Tim!DZ46=Sheet6!$C$7,Sheet6!$C$7,IF(Tim!DZ46=Sheet6!$C$8,Sheet6!$C$8,"")))))))</f>
        <v/>
      </c>
      <c r="AZ44" s="53" t="str">
        <f>IF(Tim!EA46=Sheet6!$C$2,Sheet6!$C$2,IF(Tim!EA46=Sheet6!$C$3,Sheet6!$C$3,IF(Tim!EA46=Sheet6!$C$4,Sheet6!$C$4,IF(Tim!EA46=Sheet6!$C$5,Sheet6!$C$5,IF(Tim!EA46=Sheet6!$C$6,Sheet6!$C$6,IF(Tim!EA46=Sheet6!$C$7,Sheet6!$C$7,IF(Tim!EA46=Sheet6!$C$8,Sheet6!$C$8,"")))))))</f>
        <v/>
      </c>
      <c r="BA44" s="53" t="str">
        <f>IF(Tim!EB46=Sheet6!$C$2,Sheet6!$C$2,IF(Tim!EB46=Sheet6!$C$3,Sheet6!$C$3,IF(Tim!EB46=Sheet6!$C$4,Sheet6!$C$4,IF(Tim!EB46=Sheet6!$C$5,Sheet6!$C$5,IF(Tim!EB46=Sheet6!$C$6,Sheet6!$C$6,IF(Tim!EB46=Sheet6!$C$7,Sheet6!$C$7,IF(Tim!EB46=Sheet6!$C$8,Sheet6!$C$8,"")))))))</f>
        <v/>
      </c>
      <c r="BB44" s="53" t="str">
        <f>IF(Tim!EC46=Sheet6!$C$2,Sheet6!$C$2,IF(Tim!EC46=Sheet6!$C$3,Sheet6!$C$3,IF(Tim!EC46=Sheet6!$C$4,Sheet6!$C$4,IF(Tim!EC46=Sheet6!$C$5,Sheet6!$C$5,IF(Tim!EC46=Sheet6!$C$6,Sheet6!$C$6,IF(Tim!EC46=Sheet6!$C$7,Sheet6!$C$7,IF(Tim!EC46=Sheet6!$C$8,Sheet6!$C$8,"")))))))</f>
        <v/>
      </c>
      <c r="BC44" s="53" t="str">
        <f>IF(Tim!EG46=Sheet6!$C$2,Sheet6!$C$2,IF(Tim!EG46=Sheet6!$C$3,Sheet6!$C$3,IF(Tim!EG46=Sheet6!$C$4,Sheet6!$C$4,IF(Tim!EG46=Sheet6!$C$5,Sheet6!$C$5,IF(Tim!EG46=Sheet6!$C$6,Sheet6!$C$6,IF(Tim!EG46=Sheet6!$C$7,Sheet6!$C$7,IF(Tim!EG46=Sheet6!$C$8,Sheet6!$C$8,"")))))))</f>
        <v/>
      </c>
      <c r="BD44" s="54" t="str">
        <f>IF(Tim!EH46=Sheet6!$C$2,Sheet6!$C$2,IF(Tim!EH46=Sheet6!$C$3,Sheet6!$C$3,IF(Tim!EH46=Sheet6!$C$4,Sheet6!$C$4,IF(Tim!EH46=Sheet6!$C$5,Sheet6!$C$5,IF(Tim!EH46=Sheet6!$C$6,Sheet6!$C$6,IF(Tim!EH46=Sheet6!$C$7,Sheet6!$C$7,IF(Tim!EH46=Sheet6!$C$8,Sheet6!$C$8,"")))))))</f>
        <v/>
      </c>
      <c r="BE44" s="54" t="str">
        <f>IF(Tim!EI46=Sheet6!$C$2,Sheet6!$C$2,IF(Tim!EI46=Sheet6!$C$3,Sheet6!$C$3,IF(Tim!EI46=Sheet6!$C$4,Sheet6!$C$4,IF(Tim!EI46=Sheet6!$C$5,Sheet6!$C$5,IF(Tim!EI46=Sheet6!$C$6,Sheet6!$C$6,IF(Tim!EI46=Sheet6!$C$7,Sheet6!$C$7,IF(Tim!EI46=Sheet6!$C$8,Sheet6!$C$8,"")))))))</f>
        <v/>
      </c>
      <c r="BF44" s="54" t="str">
        <f>IF(Tim!EJ46=Sheet6!$C$2,Sheet6!$C$2,IF(Tim!EJ46=Sheet6!$C$3,Sheet6!$C$3,IF(Tim!EJ46=Sheet6!$C$4,Sheet6!$C$4,IF(Tim!EJ46=Sheet6!$C$5,Sheet6!$C$5,IF(Tim!EJ46=Sheet6!$C$6,Sheet6!$C$6,IF(Tim!EJ46=Sheet6!$C$7,Sheet6!$C$7,IF(Tim!EJ46=Sheet6!$C$8,Sheet6!$C$8,"")))))))</f>
        <v/>
      </c>
      <c r="BG44" s="55" t="str">
        <f>IF(Tim!EK46=Sheet6!$C$2,Sheet6!$C$2,IF(Tim!EK46=Sheet6!$C$3,Sheet6!$C$3,IF(Tim!EK46=Sheet6!$C$4,Sheet6!$C$4,IF(Tim!EK46=Sheet6!$C$5,Sheet6!$C$5,IF(Tim!EK46=Sheet6!$C$6,Sheet6!$C$6,IF(Tim!EK46=Sheet6!$C$7,Sheet6!$C$7,IF(Tim!EK46=Sheet6!$C$8,Sheet6!$C$8,"")))))))</f>
        <v/>
      </c>
      <c r="BH44" s="53" t="str">
        <f>IF(Tim!EL46=Sheet6!$C$2,Sheet6!$C$2,IF(Tim!EL46=Sheet6!$C$3,Sheet6!$C$3,IF(Tim!EL46=Sheet6!$C$4,Sheet6!$C$4,IF(Tim!EL46=Sheet6!$C$5,Sheet6!$C$5,IF(Tim!EL46=Sheet6!$C$6,Sheet6!$C$6,IF(Tim!EL46=Sheet6!$C$7,Sheet6!$C$7,IF(Tim!EL46=Sheet6!$C$8,Sheet6!$C$8,"")))))))</f>
        <v/>
      </c>
      <c r="BI44" s="57" t="str">
        <f>IF(Tim!EM46=Sheet6!$C$2,Sheet6!$C$2,IF(Tim!EM46=Sheet6!$C$3,Sheet6!$C$3,IF(Tim!EM46=Sheet6!$C$4,Sheet6!$C$4,IF(Tim!EM46=Sheet6!$C$5,Sheet6!$C$5,IF(Tim!EM46=Sheet6!$C$6,Sheet6!$C$6,IF(Tim!EM46=Sheet6!$C$7,Sheet6!$C$7,IF(Tim!EM46=Sheet6!$C$8,Sheet6!$C$8,"")))))))</f>
        <v/>
      </c>
      <c r="BJ44" s="57" t="str">
        <f>IF(Tim!EQ46=Sheet6!$C$2,Sheet6!$C$2,IF(Tim!EQ46=Sheet6!$C$3,Sheet6!$C$3,IF(Tim!EQ46=Sheet6!$C$4,Sheet6!$C$4,IF(Tim!EQ46=Sheet6!$C$5,Sheet6!$C$5,IF(Tim!EQ46=Sheet6!$C$6,Sheet6!$C$6,IF(Tim!EQ46=Sheet6!$C$7,Sheet6!$C$7,IF(Tim!EQ46=Sheet6!$C$8,Sheet6!$C$8,"")))))))</f>
        <v/>
      </c>
      <c r="BK44" s="57" t="str">
        <f>IF(Tim!ER46=Sheet6!$C$2,Sheet6!$C$2,IF(Tim!ER46=Sheet6!$C$3,Sheet6!$C$3,IF(Tim!ER46=Sheet6!$C$4,Sheet6!$C$4,IF(Tim!ER46=Sheet6!$C$5,Sheet6!$C$5,IF(Tim!ER46=Sheet6!$C$6,Sheet6!$C$6,IF(Tim!ER46=Sheet6!$C$7,Sheet6!$C$7,IF(Tim!ER46=Sheet6!$C$8,Sheet6!$C$8,"")))))))</f>
        <v/>
      </c>
      <c r="BL44" s="57" t="str">
        <f>IF(Tim!EZ46=Sheet6!$C$2,Sheet6!$C$2,IF(Tim!EZ46=Sheet6!$C$3,Sheet6!$C$3,IF(Tim!EZ46=Sheet6!$C$4,Sheet6!$C$4,IF(Tim!EZ46=Sheet6!$C$5,Sheet6!$C$5,IF(Tim!EZ46=Sheet6!$C$6,Sheet6!$C$6,IF(Tim!EZ46=Sheet6!$C$7,Sheet6!$C$7,IF(Tim!EZ46=Sheet6!$C$8,Sheet6!$C$8,"")))))))</f>
        <v/>
      </c>
      <c r="BM44" s="53" t="str">
        <f>IF(Tim!FG46=Sheet6!$C$2,Sheet6!$C$2,IF(Tim!FG46=Sheet6!$C$3,Sheet6!$C$3,IF(Tim!FG46=Sheet6!$C$4,Sheet6!$C$4,IF(Tim!FG46=Sheet6!$C$5,Sheet6!$C$5,IF(Tim!FG46=Sheet6!$C$6,Sheet6!$C$6,IF(Tim!FG46=Sheet6!$C$7,Sheet6!$C$7,IF(Tim!FG46=Sheet6!$C$8,Sheet6!$C$8,"")))))))</f>
        <v/>
      </c>
      <c r="BN44" s="53" t="str">
        <f>IF(Tim!FH46=Sheet6!$C$2,Sheet6!$C$2,IF(Tim!FH46=Sheet6!$C$3,Sheet6!$C$3,IF(Tim!FH46=Sheet6!$C$4,Sheet6!$C$4,IF(Tim!FH46=Sheet6!$C$5,Sheet6!$C$5,IF(Tim!FH46=Sheet6!$C$6,Sheet6!$C$6,IF(Tim!FH46=Sheet6!$C$7,Sheet6!$C$7,IF(Tim!FH46=Sheet6!$C$8,Sheet6!$C$8,"")))))))</f>
        <v/>
      </c>
      <c r="BO44" s="53" t="str">
        <f>IF(Tim!FP46=Sheet6!$C$2,Sheet6!$C$2,IF(Tim!FP46=Sheet6!$C$3,Sheet6!$C$3,IF(Tim!FP46=Sheet6!$C$4,Sheet6!$C$4,IF(Tim!FP46=Sheet6!$C$5,Sheet6!$C$5,IF(Tim!FP46=Sheet6!$C$6,Sheet6!$C$6,IF(Tim!FP46=Sheet6!$C$7,Sheet6!$C$7,IF(Tim!FP46=Sheet6!$C$8,Sheet6!$C$8,"")))))))</f>
        <v/>
      </c>
      <c r="BP44" s="53" t="str">
        <f>IF(Tim!FQ46=Sheet6!$C$2,Sheet6!$C$2,IF(Tim!FQ46=Sheet6!$C$3,Sheet6!$C$3,IF(Tim!FQ46=Sheet6!$C$4,Sheet6!$C$4,IF(Tim!FQ46=Sheet6!$C$5,Sheet6!$C$5,IF(Tim!FQ46=Sheet6!$C$6,Sheet6!$C$6,IF(Tim!FQ46=Sheet6!$C$7,Sheet6!$C$7,IF(Tim!FQ46=Sheet6!$C$8,Sheet6!$C$8,"")))))))</f>
        <v/>
      </c>
      <c r="BQ44" s="53" t="str">
        <f>IF(Tim!FR46=Sheet6!$C$2,Sheet6!$C$2,IF(Tim!FR46=Sheet6!$C$3,Sheet6!$C$3,IF(Tim!FR46=Sheet6!$C$4,Sheet6!$C$4,IF(Tim!FR46=Sheet6!$C$5,Sheet6!$C$5,IF(Tim!FR46=Sheet6!$C$6,Sheet6!$C$6,IF(Tim!FR46=Sheet6!$C$7,Sheet6!$C$7,IF(Tim!FR46=Sheet6!$C$8,Sheet6!$C$8,"")))))))</f>
        <v/>
      </c>
      <c r="BR44" s="53" t="str">
        <f>IF(Tim!FS46=Sheet6!$C$2,Sheet6!$C$2,IF(Tim!FS46=Sheet6!$C$3,Sheet6!$C$3,IF(Tim!FS46=Sheet6!$C$4,Sheet6!$C$4,IF(Tim!FS46=Sheet6!$C$5,Sheet6!$C$5,IF(Tim!FS46=Sheet6!$C$6,Sheet6!$C$6,IF(Tim!FS46=Sheet6!$C$7,Sheet6!$C$7,IF(Tim!FS46=Sheet6!$C$8,Sheet6!$C$8,"")))))))</f>
        <v/>
      </c>
      <c r="BS44" s="53" t="str">
        <f>IF(Tim!FT46=Sheet6!$C$2,Sheet6!$C$2,IF(Tim!FT46=Sheet6!$C$3,Sheet6!$C$3,IF(Tim!FT46=Sheet6!$C$4,Sheet6!$C$4,IF(Tim!FT46=Sheet6!$C$5,Sheet6!$C$5,IF(Tim!FT46=Sheet6!$C$6,Sheet6!$C$6,IF(Tim!FT46=Sheet6!$C$7,Sheet6!$C$7,IF(Tim!FT46=Sheet6!$C$8,Sheet6!$C$8,"")))))))</f>
        <v/>
      </c>
      <c r="BT44" s="53" t="str">
        <f>IF(Tim!FU46=Sheet6!$C$2,Sheet6!$C$2,IF(Tim!FU46=Sheet6!$C$3,Sheet6!$C$3,IF(Tim!FU46=Sheet6!$C$4,Sheet6!$C$4,IF(Tim!FU46=Sheet6!$C$5,Sheet6!$C$5,IF(Tim!FU46=Sheet6!$C$6,Sheet6!$C$6,IF(Tim!FU46=Sheet6!$C$7,Sheet6!$C$7,IF(Tim!FU46=Sheet6!$C$8,Sheet6!$C$8,"")))))))</f>
        <v/>
      </c>
      <c r="BU44" s="53" t="str">
        <f>IF(Tim!FY46=Sheet6!$C$2,Sheet6!$C$2,IF(Tim!FY46=Sheet6!$C$3,Sheet6!$C$3,IF(Tim!FY46=Sheet6!$C$4,Sheet6!$C$4,IF(Tim!FY46=Sheet6!$C$5,Sheet6!$C$5,IF(Tim!FY46=Sheet6!$C$6,Sheet6!$C$6,IF(Tim!FY46=Sheet6!$C$7,Sheet6!$C$7,IF(Tim!FY46=Sheet6!$C$8,Sheet6!$C$8,"")))))))</f>
        <v/>
      </c>
      <c r="BV44" s="54" t="str">
        <f>IF(Tim!FZ46=Sheet6!$C$2,Sheet6!$C$2,IF(Tim!FZ46=Sheet6!$C$3,Sheet6!$C$3,IF(Tim!FZ46=Sheet6!$C$4,Sheet6!$C$4,IF(Tim!FZ46=Sheet6!$C$5,Sheet6!$C$5,IF(Tim!FZ46=Sheet6!$C$6,Sheet6!$C$6,IF(Tim!FZ46=Sheet6!$C$7,Sheet6!$C$7,IF(Tim!FZ46=Sheet6!$C$8,Sheet6!$C$8,"")))))))</f>
        <v/>
      </c>
      <c r="BW44" s="54" t="str">
        <f>IF(Tim!GA46=Sheet6!$C$2,Sheet6!$C$2,IF(Tim!GA46=Sheet6!$C$3,Sheet6!$C$3,IF(Tim!GA46=Sheet6!$C$4,Sheet6!$C$4,IF(Tim!GA46=Sheet6!$C$5,Sheet6!$C$5,IF(Tim!GA46=Sheet6!$C$6,Sheet6!$C$6,IF(Tim!GA46=Sheet6!$C$7,Sheet6!$C$7,IF(Tim!GA46=Sheet6!$C$8,Sheet6!$C$8,"")))))))</f>
        <v/>
      </c>
      <c r="BX44" s="54" t="str">
        <f>IF(Tim!GB46=Sheet6!$C$2,Sheet6!$C$2,IF(Tim!GB46=Sheet6!$C$3,Sheet6!$C$3,IF(Tim!GB46=Sheet6!$C$4,Sheet6!$C$4,IF(Tim!GB46=Sheet6!$C$5,Sheet6!$C$5,IF(Tim!GB46=Sheet6!$C$6,Sheet6!$C$6,IF(Tim!GB46=Sheet6!$C$7,Sheet6!$C$7,IF(Tim!GB46=Sheet6!$C$8,Sheet6!$C$8,"")))))))</f>
        <v/>
      </c>
      <c r="BY44" s="55" t="str">
        <f>IF(Tim!GC46=Sheet6!$C$2,Sheet6!$C$2,IF(Tim!GC46=Sheet6!$C$3,Sheet6!$C$3,IF(Tim!GC46=Sheet6!$C$4,Sheet6!$C$4,IF(Tim!GC46=Sheet6!$C$5,Sheet6!$C$5,IF(Tim!GC46=Sheet6!$C$6,Sheet6!$C$6,IF(Tim!GC46=Sheet6!$C$7,Sheet6!$C$7,IF(Tim!GC46=Sheet6!$C$8,Sheet6!$C$8,"")))))))</f>
        <v/>
      </c>
      <c r="BZ44" s="53" t="str">
        <f>IF(Tim!GD46=Sheet6!$C$2,Sheet6!$C$2,IF(Tim!GD46=Sheet6!$C$3,Sheet6!$C$3,IF(Tim!GD46=Sheet6!$C$4,Sheet6!$C$4,IF(Tim!GD46=Sheet6!$C$5,Sheet6!$C$5,IF(Tim!GD46=Sheet6!$C$6,Sheet6!$C$6,IF(Tim!GD46=Sheet6!$C$7,Sheet6!$C$7,IF(Tim!GD46=Sheet6!$C$8,Sheet6!$C$8,"")))))))</f>
        <v/>
      </c>
      <c r="CA44" s="57" t="str">
        <f>IF(Tim!GE46=Sheet6!$C$2,Sheet6!$C$2,IF(Tim!GE46=Sheet6!$C$3,Sheet6!$C$3,IF(Tim!GE46=Sheet6!$C$4,Sheet6!$C$4,IF(Tim!GE46=Sheet6!$C$5,Sheet6!$C$5,IF(Tim!GE46=Sheet6!$C$6,Sheet6!$C$6,IF(Tim!GE46=Sheet6!$C$7,Sheet6!$C$7,IF(Tim!GE46=Sheet6!$C$8,Sheet6!$C$8,"")))))))</f>
        <v/>
      </c>
      <c r="CB44" s="57" t="str">
        <f>IF(Tim!GI46=Sheet6!$C$2,Sheet6!$C$2,IF(Tim!GI46=Sheet6!$C$3,Sheet6!$C$3,IF(Tim!GI46=Sheet6!$C$4,Sheet6!$C$4,IF(Tim!GI46=Sheet6!$C$5,Sheet6!$C$5,IF(Tim!GI46=Sheet6!$C$6,Sheet6!$C$6,IF(Tim!GI46=Sheet6!$C$7,Sheet6!$C$7,IF(Tim!GI46=Sheet6!$C$8,Sheet6!$C$8,"")))))))</f>
        <v/>
      </c>
      <c r="CC44" s="57" t="str">
        <f>IF(Tim!GJ46=Sheet6!$C$2,Sheet6!$C$2,IF(Tim!GJ46=Sheet6!$C$3,Sheet6!$C$3,IF(Tim!GJ46=Sheet6!$C$4,Sheet6!$C$4,IF(Tim!GJ46=Sheet6!$C$5,Sheet6!$C$5,IF(Tim!GJ46=Sheet6!$C$6,Sheet6!$C$6,IF(Tim!GJ46=Sheet6!$C$7,Sheet6!$C$7,IF(Tim!GJ46=Sheet6!$C$8,Sheet6!$C$8,"")))))))</f>
        <v/>
      </c>
      <c r="CD44" s="57" t="str">
        <f>IF(Tim!GO46=Sheet6!$C$2,Sheet6!$C$2,IF(Tim!GO46=Sheet6!$C$3,Sheet6!$C$3,IF(Tim!GO46=Sheet6!$C$4,Sheet6!$C$4,IF(Tim!GO46=Sheet6!$C$5,Sheet6!$C$5,IF(Tim!GO46=Sheet6!$C$6,Sheet6!$C$6,IF(Tim!GO46=Sheet6!$C$7,Sheet6!$C$7,IF(Tim!GO46=Sheet6!$C$8,Sheet6!$C$8,"")))))))</f>
        <v/>
      </c>
      <c r="CE44" s="53" t="str">
        <f>IF(Tim!GY46=Sheet6!$C$2,Sheet6!$C$2,IF(Tim!GY46=Sheet6!$C$3,Sheet6!$C$3,IF(Tim!GY46=Sheet6!$C$4,Sheet6!$C$4,IF(Tim!GY46=Sheet6!$C$5,Sheet6!$C$5,IF(Tim!GY46=Sheet6!$C$6,Sheet6!$C$6,IF(Tim!GY46=Sheet6!$C$7,Sheet6!$C$7,IF(Tim!GY46=Sheet6!$C$8,Sheet6!$C$8,"")))))))</f>
        <v/>
      </c>
      <c r="CF44" s="53" t="str">
        <f>IF(Tim!GZ46=Sheet6!$C$2,Sheet6!$C$2,IF(Tim!GZ46=Sheet6!$C$3,Sheet6!$C$3,IF(Tim!GZ46=Sheet6!$C$4,Sheet6!$C$4,IF(Tim!GZ46=Sheet6!$C$5,Sheet6!$C$5,IF(Tim!GZ46=Sheet6!$C$6,Sheet6!$C$6,IF(Tim!GZ46=Sheet6!$C$7,Sheet6!$C$7,IF(Tim!GZ46=Sheet6!$C$8,Sheet6!$C$8,"")))))))</f>
        <v/>
      </c>
      <c r="CG44" s="53" t="str">
        <f>IF(Tim!HH46=Sheet6!$C$2,Sheet6!$C$2,IF(Tim!HH46=Sheet6!$C$3,Sheet6!$C$3,IF(Tim!HH46=Sheet6!$C$4,Sheet6!$C$4,IF(Tim!HH46=Sheet6!$C$5,Sheet6!$C$5,IF(Tim!HH46=Sheet6!$C$6,Sheet6!$C$6,IF(Tim!HH46=Sheet6!$C$7,Sheet6!$C$7,IF(Tim!HH46=Sheet6!$C$8,Sheet6!$C$8,"")))))))</f>
        <v/>
      </c>
      <c r="CH44" s="53" t="str">
        <f>IF(Tim!HI46=Sheet6!$C$2,Sheet6!$C$2,IF(Tim!HI46=Sheet6!$C$3,Sheet6!$C$3,IF(Tim!HI46=Sheet6!$C$4,Sheet6!$C$4,IF(Tim!HI46=Sheet6!$C$5,Sheet6!$C$5,IF(Tim!HI46=Sheet6!$C$6,Sheet6!$C$6,IF(Tim!HI46=Sheet6!$C$7,Sheet6!$C$7,IF(Tim!HI46=Sheet6!$C$8,Sheet6!$C$8,"")))))))</f>
        <v/>
      </c>
      <c r="CI44" s="53" t="str">
        <f>IF(Tim!HJ46=Sheet6!$C$2,Sheet6!$C$2,IF(Tim!HJ46=Sheet6!$C$3,Sheet6!$C$3,IF(Tim!HJ46=Sheet6!$C$4,Sheet6!$C$4,IF(Tim!HJ46=Sheet6!$C$5,Sheet6!$C$5,IF(Tim!HJ46=Sheet6!$C$6,Sheet6!$C$6,IF(Tim!HJ46=Sheet6!$C$7,Sheet6!$C$7,IF(Tim!HJ46=Sheet6!$C$8,Sheet6!$C$8,"")))))))</f>
        <v/>
      </c>
      <c r="CJ44" s="53" t="str">
        <f>IF(Tim!HK46=Sheet6!$C$2,Sheet6!$C$2,IF(Tim!HK46=Sheet6!$C$3,Sheet6!$C$3,IF(Tim!HK46=Sheet6!$C$4,Sheet6!$C$4,IF(Tim!HK46=Sheet6!$C$5,Sheet6!$C$5,IF(Tim!HK46=Sheet6!$C$6,Sheet6!$C$6,IF(Tim!HK46=Sheet6!$C$7,Sheet6!$C$7,IF(Tim!HK46=Sheet6!$C$8,Sheet6!$C$8,"")))))))</f>
        <v/>
      </c>
      <c r="CK44" s="53" t="str">
        <f>IF(Tim!HL46=Sheet6!$C$2,Sheet6!$C$2,IF(Tim!HL46=Sheet6!$C$3,Sheet6!$C$3,IF(Tim!HL46=Sheet6!$C$4,Sheet6!$C$4,IF(Tim!HL46=Sheet6!$C$5,Sheet6!$C$5,IF(Tim!HL46=Sheet6!$C$6,Sheet6!$C$6,IF(Tim!HL46=Sheet6!$C$7,Sheet6!$C$7,IF(Tim!HL46=Sheet6!$C$8,Sheet6!$C$8,"")))))))</f>
        <v/>
      </c>
      <c r="CL44" s="53" t="str">
        <f>IF(Tim!HM46=Sheet6!$C$2,Sheet6!$C$2,IF(Tim!HM46=Sheet6!$C$3,Sheet6!$C$3,IF(Tim!HM46=Sheet6!$C$4,Sheet6!$C$4,IF(Tim!HM46=Sheet6!$C$5,Sheet6!$C$5,IF(Tim!HM46=Sheet6!$C$6,Sheet6!$C$6,IF(Tim!HM46=Sheet6!$C$7,Sheet6!$C$7,IF(Tim!HM46=Sheet6!$C$8,Sheet6!$C$8,"")))))))</f>
        <v/>
      </c>
      <c r="CM44" s="53" t="str">
        <f>IF(Tim!HQ46=Sheet6!$C$2,Sheet6!$C$2,IF(Tim!HQ46=Sheet6!$C$3,Sheet6!$C$3,IF(Tim!HQ46=Sheet6!$C$4,Sheet6!$C$4,IF(Tim!HQ46=Sheet6!$C$5,Sheet6!$C$5,IF(Tim!HQ46=Sheet6!$C$6,Sheet6!$C$6,IF(Tim!HQ46=Sheet6!$C$7,Sheet6!$C$7,IF(Tim!HQ46=Sheet6!$C$8,Sheet6!$C$8,"")))))))</f>
        <v/>
      </c>
      <c r="CN44" s="54" t="str">
        <f>IF(Tim!HR46=Sheet6!$C$2,Sheet6!$C$2,IF(Tim!HR46=Sheet6!$C$3,Sheet6!$C$3,IF(Tim!HR46=Sheet6!$C$4,Sheet6!$C$4,IF(Tim!HR46=Sheet6!$C$5,Sheet6!$C$5,IF(Tim!HR46=Sheet6!$C$6,Sheet6!$C$6,IF(Tim!HR46=Sheet6!$C$7,Sheet6!$C$7,IF(Tim!HR46=Sheet6!$C$8,Sheet6!$C$8,"")))))))</f>
        <v/>
      </c>
      <c r="CO44" s="54" t="str">
        <f>IF(Tim!HS46=Sheet6!$C$2,Sheet6!$C$2,IF(Tim!HS46=Sheet6!$C$3,Sheet6!$C$3,IF(Tim!HS46=Sheet6!$C$4,Sheet6!$C$4,IF(Tim!HS46=Sheet6!$C$5,Sheet6!$C$5,IF(Tim!HS46=Sheet6!$C$6,Sheet6!$C$6,IF(Tim!HS46=Sheet6!$C$7,Sheet6!$C$7,IF(Tim!HS46=Sheet6!$C$8,Sheet6!$C$8,"")))))))</f>
        <v/>
      </c>
      <c r="CP44" s="54" t="str">
        <f>IF(Tim!HT46=Sheet6!$C$2,Sheet6!$C$2,IF(Tim!HT46=Sheet6!$C$3,Sheet6!$C$3,IF(Tim!HT46=Sheet6!$C$4,Sheet6!$C$4,IF(Tim!HT46=Sheet6!$C$5,Sheet6!$C$5,IF(Tim!HT46=Sheet6!$C$6,Sheet6!$C$6,IF(Tim!HT46=Sheet6!$C$7,Sheet6!$C$7,IF(Tim!HT46=Sheet6!$C$8,Sheet6!$C$8,"")))))))</f>
        <v/>
      </c>
      <c r="CQ44" s="55" t="str">
        <f>IF(Tim!HU46=Sheet6!$C$2,Sheet6!$C$2,IF(Tim!HU46=Sheet6!$C$3,Sheet6!$C$3,IF(Tim!HU46=Sheet6!$C$4,Sheet6!$C$4,IF(Tim!HU46=Sheet6!$C$5,Sheet6!$C$5,IF(Tim!HU46=Sheet6!$C$6,Sheet6!$C$6,IF(Tim!HU46=Sheet6!$C$7,Sheet6!$C$7,IF(Tim!HU46=Sheet6!$C$8,Sheet6!$C$8,"")))))))</f>
        <v/>
      </c>
      <c r="CR44" s="56" t="str">
        <f>IF(Tim!HV46=Sheet6!$C$2,Sheet6!$C$2,IF(Tim!HV46=Sheet6!$C$3,Sheet6!$C$3,IF(Tim!HV46=Sheet6!$C$4,Sheet6!$C$4,IF(Tim!HV46=Sheet6!$C$5,Sheet6!$C$5,IF(Tim!HV46=Sheet6!$C$6,Sheet6!$C$6,IF(Tim!HV46=Sheet6!$C$7,Sheet6!$C$7,IF(Tim!HV46=Sheet6!$C$8,Sheet6!$C$8,"")))))))</f>
        <v/>
      </c>
      <c r="CS44" s="57" t="str">
        <f>IF(Tim!IB46=Sheet6!$C$2,Sheet6!$C$2,IF(Tim!IB46=Sheet6!$C$3,Sheet6!$C$3,IF(Tim!IB46=Sheet6!$C$4,Sheet6!$C$4,IF(Tim!IB46=Sheet6!$C$5,Sheet6!$C$5,IF(Tim!IB46=Sheet6!$C$6,Sheet6!$C$6,IF(Tim!IB46=Sheet6!$C$7,Sheet6!$C$7,IF(Tim!IB46=Sheet6!$C$8,Sheet6!$C$8,"")))))))</f>
        <v/>
      </c>
      <c r="CT44" s="65" t="str">
        <f>IF(Tim!IJ46=Sheet6!$C$2,Sheet6!$C$2,IF(Tim!IJ46=Sheet6!$C$3,Sheet6!$C$3,IF(Tim!IJ46=Sheet6!$C$4,Sheet6!$C$4,IF(Tim!IJ46=Sheet6!$C$5,Sheet6!$C$5,IF(Tim!IJ46=Sheet6!$C$6,Sheet6!$C$6,IF(Tim!IJ46=Sheet6!$C$7,Sheet6!$C$7,IF(Tim!IJ46=Sheet6!$C$8,Sheet6!$C$8,"")))))))</f>
        <v/>
      </c>
      <c r="CU44" s="65" t="str">
        <f>IF(Tim!IQ46=Sheet6!$C$2,Sheet6!$C$2,IF(Tim!IQ46=Sheet6!$C$3,Sheet6!$C$3,IF(Tim!IQ46=Sheet6!$C$4,Sheet6!$C$4,IF(Tim!IQ46=Sheet6!$C$5,Sheet6!$C$5,IF(Tim!IQ46=Sheet6!$C$6,Sheet6!$C$6,IF(Tim!IQ46=Sheet6!$C$7,Sheet6!$C$7,IF(Tim!IQ46=Sheet6!$C$8,Sheet6!$C$8,"")))))))</f>
        <v/>
      </c>
      <c r="CV44" s="53" t="str">
        <f>IF(Tim!IR46=Sheet6!$C$2,Sheet6!$C$2,IF(Tim!IR46=Sheet6!$C$3,Sheet6!$C$3,IF(Tim!IR46=Sheet6!$C$4,Sheet6!$C$4,IF(Tim!IR46=Sheet6!$C$5,Sheet6!$C$5,IF(Tim!IR46=Sheet6!$C$6,Sheet6!$C$6,IF(Tim!IR46=Sheet6!$C$7,Sheet6!$C$7,IF(Tim!IR46=Sheet6!$C$8,Sheet6!$C$8,"")))))))</f>
        <v/>
      </c>
      <c r="CW44" s="53" t="str">
        <f>IF(Tim!IZ46=Sheet6!$C$2,Sheet6!$C$2,IF(Tim!IZ46=Sheet6!$C$3,Sheet6!$C$3,IF(Tim!IZ46=Sheet6!$C$4,Sheet6!$C$4,IF(Tim!IZ46=Sheet6!$C$5,Sheet6!$C$5,IF(Tim!IZ46=Sheet6!$C$6,Sheet6!$C$6,IF(Tim!IZ46=Sheet6!$C$7,Sheet6!$C$7,IF(Tim!IZ46=Sheet6!$C$8,Sheet6!$C$8,"")))))))</f>
        <v/>
      </c>
      <c r="CX44" s="53" t="str">
        <f>IF(Tim!JA46=Sheet6!$C$2,Sheet6!$C$2,IF(Tim!JA46=Sheet6!$C$3,Sheet6!$C$3,IF(Tim!JA46=Sheet6!$C$4,Sheet6!$C$4,IF(Tim!JA46=Sheet6!$C$5,Sheet6!$C$5,IF(Tim!JA46=Sheet6!$C$6,Sheet6!$C$6,IF(Tim!JA46=Sheet6!$C$7,Sheet6!$C$7,IF(Tim!JA46=Sheet6!$C$8,Sheet6!$C$8,"")))))))</f>
        <v/>
      </c>
      <c r="CY44" s="53" t="str">
        <f>IF(Tim!JB46=Sheet6!$C$2,Sheet6!$C$2,IF(Tim!JB46=Sheet6!$C$3,Sheet6!$C$3,IF(Tim!JB46=Sheet6!$C$4,Sheet6!$C$4,IF(Tim!JB46=Sheet6!$C$5,Sheet6!$C$5,IF(Tim!JB46=Sheet6!$C$6,Sheet6!$C$6,IF(Tim!JB46=Sheet6!$C$7,Sheet6!$C$7,IF(Tim!JB46=Sheet6!$C$8,Sheet6!$C$8,"")))))))</f>
        <v/>
      </c>
      <c r="CZ44" s="53" t="str">
        <f>IF(Tim!JC46=Sheet6!$C$2,Sheet6!$C$2,IF(Tim!JC46=Sheet6!$C$3,Sheet6!$C$3,IF(Tim!JC46=Sheet6!$C$4,Sheet6!$C$4,IF(Tim!JC46=Sheet6!$C$5,Sheet6!$C$5,IF(Tim!JC46=Sheet6!$C$6,Sheet6!$C$6,IF(Tim!JC46=Sheet6!$C$7,Sheet6!$C$7,IF(Tim!JC46=Sheet6!$C$8,Sheet6!$C$8,"")))))))</f>
        <v/>
      </c>
      <c r="DA44" s="53" t="str">
        <f>IF(Tim!JD46=Sheet6!$C$2,Sheet6!$C$2,IF(Tim!JD46=Sheet6!$C$3,Sheet6!$C$3,IF(Tim!JD46=Sheet6!$C$4,Sheet6!$C$4,IF(Tim!JD46=Sheet6!$C$5,Sheet6!$C$5,IF(Tim!JD46=Sheet6!$C$6,Sheet6!$C$6,IF(Tim!JD46=Sheet6!$C$7,Sheet6!$C$7,IF(Tim!JD46=Sheet6!$C$8,Sheet6!$C$8,"")))))))</f>
        <v/>
      </c>
      <c r="DB44" s="53" t="str">
        <f>IF(Tim!JE46=Sheet6!$C$2,Sheet6!$C$2,IF(Tim!JE46=Sheet6!$C$3,Sheet6!$C$3,IF(Tim!JE46=Sheet6!$C$4,Sheet6!$C$4,IF(Tim!JE46=Sheet6!$C$5,Sheet6!$C$5,IF(Tim!JE46=Sheet6!$C$6,Sheet6!$C$6,IF(Tim!JE46=Sheet6!$C$7,Sheet6!$C$7,IF(Tim!JE46=Sheet6!$C$8,Sheet6!$C$8,"")))))))</f>
        <v/>
      </c>
      <c r="DC44" s="53" t="str">
        <f>IF(Tim!JI46=Sheet6!$C$2,Sheet6!$C$2,IF(Tim!JI46=Sheet6!$C$3,Sheet6!$C$3,IF(Tim!JI46=Sheet6!$C$4,Sheet6!$C$4,IF(Tim!JI46=Sheet6!$C$5,Sheet6!$C$5,IF(Tim!JI46=Sheet6!$C$6,Sheet6!$C$6,IF(Tim!JI46=Sheet6!$C$7,Sheet6!$C$7,IF(Tim!JI46=Sheet6!$C$8,Sheet6!$C$8,"")))))))</f>
        <v/>
      </c>
      <c r="DD44" s="54" t="str">
        <f>IF(Tim!JJ46=Sheet6!$C$2,Sheet6!$C$2,IF(Tim!JJ46=Sheet6!$C$3,Sheet6!$C$3,IF(Tim!JJ46=Sheet6!$C$4,Sheet6!$C$4,IF(Tim!JJ46=Sheet6!$C$5,Sheet6!$C$5,IF(Tim!JJ46=Sheet6!$C$6,Sheet6!$C$6,IF(Tim!JJ46=Sheet6!$C$7,Sheet6!$C$7,IF(Tim!JJ46=Sheet6!$C$8,Sheet6!$C$8,"")))))))</f>
        <v/>
      </c>
      <c r="DE44" s="54" t="str">
        <f>IF(Tim!JK46=Sheet6!$C$2,Sheet6!$C$2,IF(Tim!JK46=Sheet6!$C$3,Sheet6!$C$3,IF(Tim!JK46=Sheet6!$C$4,Sheet6!$C$4,IF(Tim!JK46=Sheet6!$C$5,Sheet6!$C$5,IF(Tim!JK46=Sheet6!$C$6,Sheet6!$C$6,IF(Tim!JK46=Sheet6!$C$7,Sheet6!$C$7,IF(Tim!JK46=Sheet6!$C$8,Sheet6!$C$8,"")))))))</f>
        <v/>
      </c>
      <c r="DF44" s="54" t="str">
        <f>IF(Tim!JL46=Sheet6!$C$2,Sheet6!$C$2,IF(Tim!JL46=Sheet6!$C$3,Sheet6!$C$3,IF(Tim!JL46=Sheet6!$C$4,Sheet6!$C$4,IF(Tim!JL46=Sheet6!$C$5,Sheet6!$C$5,IF(Tim!JL46=Sheet6!$C$6,Sheet6!$C$6,IF(Tim!JL46=Sheet6!$C$7,Sheet6!$C$7,IF(Tim!JL46=Sheet6!$C$8,Sheet6!$C$8,"")))))))</f>
        <v/>
      </c>
      <c r="DG44" s="55" t="str">
        <f>IF(Tim!JM46=Sheet6!$C$2,Sheet6!$C$2,IF(Tim!JM46=Sheet6!$C$3,Sheet6!$C$3,IF(Tim!JM46=Sheet6!$C$4,Sheet6!$C$4,IF(Tim!JM46=Sheet6!$C$5,Sheet6!$C$5,IF(Tim!JM46=Sheet6!$C$6,Sheet6!$C$6,IF(Tim!JM46=Sheet6!$C$7,Sheet6!$C$7,IF(Tim!JM46=Sheet6!$C$8,Sheet6!$C$8,"")))))))</f>
        <v/>
      </c>
      <c r="DH44" s="56" t="str">
        <f>IF(Tim!JN46=Sheet6!$C$2,Sheet6!$C$2,IF(Tim!JN46=Sheet6!$C$3,Sheet6!$C$3,IF(Tim!JN46=Sheet6!$C$4,Sheet6!$C$4,IF(Tim!JN46=Sheet6!$C$5,Sheet6!$C$5,IF(Tim!JN46=Sheet6!$C$6,Sheet6!$C$6,IF(Tim!JN46=Sheet6!$C$7,Sheet6!$C$7,IF(Tim!JN46=Sheet6!$C$8,Sheet6!$C$8,"")))))))</f>
        <v/>
      </c>
      <c r="DI44" s="57" t="str">
        <f>IF(Tim!JS46=Sheet6!$C$2,Sheet6!$C$2,IF(Tim!JS46=Sheet6!$C$3,Sheet6!$C$3,IF(Tim!JS46=Sheet6!$C$4,Sheet6!$C$4,IF(Tim!JS46=Sheet6!$C$5,Sheet6!$C$5,IF(Tim!JS46=Sheet6!$C$6,Sheet6!$C$6,IF(Tim!JS46=Sheet6!$C$7,Sheet6!$C$7,IF(Tim!JS46=Sheet6!$C$8,Sheet6!$C$8,"")))))))</f>
        <v/>
      </c>
      <c r="DJ44" s="57" t="str">
        <f>IF(Tim!KB46=Sheet6!$C$2,Sheet6!$C$2,IF(Tim!KB46=Sheet6!$C$3,Sheet6!$C$3,IF(Tim!KB46=Sheet6!$C$4,Sheet6!$C$4,IF(Tim!KB46=Sheet6!$C$5,Sheet6!$C$5,IF(Tim!KB46=Sheet6!$C$6,Sheet6!$C$6,IF(Tim!KB46=Sheet6!$C$7,Sheet6!$C$7,IF(Tim!KB46=Sheet6!$C$8,Sheet6!$C$8,"")))))))</f>
        <v/>
      </c>
      <c r="DK44" s="53" t="str">
        <f>IF(Tim!KI46=Sheet6!$C$2,Sheet6!$C$2,IF(Tim!KI46=Sheet6!$C$3,Sheet6!$C$3,IF(Tim!KI46=Sheet6!$C$4,Sheet6!$C$4,IF(Tim!KI46=Sheet6!$C$5,Sheet6!$C$5,IF(Tim!KI46=Sheet6!$C$6,Sheet6!$C$6,IF(Tim!KI46=Sheet6!$C$7,Sheet6!$C$7,IF(Tim!KI46=Sheet6!$C$8,Sheet6!$C$8,"")))))))</f>
        <v/>
      </c>
      <c r="DL44" s="53" t="str">
        <f>IF(Tim!KJ46=Sheet6!$C$2,Sheet6!$C$2,IF(Tim!KJ46=Sheet6!$C$3,Sheet6!$C$3,IF(Tim!KJ46=Sheet6!$C$4,Sheet6!$C$4,IF(Tim!KJ46=Sheet6!$C$5,Sheet6!$C$5,IF(Tim!KJ46=Sheet6!$C$6,Sheet6!$C$6,IF(Tim!KJ46=Sheet6!$C$7,Sheet6!$C$7,IF(Tim!KJ46=Sheet6!$C$8,Sheet6!$C$8,"")))))))</f>
        <v/>
      </c>
      <c r="DM44" s="53" t="str">
        <f>IF(Tim!KR46=Sheet6!$C$2,Sheet6!$C$2,IF(Tim!KR46=Sheet6!$C$3,Sheet6!$C$3,IF(Tim!KR46=Sheet6!$C$4,Sheet6!$C$4,IF(Tim!KR46=Sheet6!$C$5,Sheet6!$C$5,IF(Tim!KR46=Sheet6!$C$6,Sheet6!$C$6,IF(Tim!KR46=Sheet6!$C$7,Sheet6!$C$7,IF(Tim!KR46=Sheet6!$C$8,Sheet6!$C$8,"")))))))</f>
        <v/>
      </c>
      <c r="DN44" s="53" t="str">
        <f>IF(Tim!KS46=Sheet6!$C$2,Sheet6!$C$2,IF(Tim!KS46=Sheet6!$C$3,Sheet6!$C$3,IF(Tim!KS46=Sheet6!$C$4,Sheet6!$C$4,IF(Tim!KS46=Sheet6!$C$5,Sheet6!$C$5,IF(Tim!KS46=Sheet6!$C$6,Sheet6!$C$6,IF(Tim!KS46=Sheet6!$C$7,Sheet6!$C$7,IF(Tim!KS46=Sheet6!$C$8,Sheet6!$C$8,"")))))))</f>
        <v/>
      </c>
      <c r="DO44" s="53" t="str">
        <f>IF(Tim!KT46=Sheet6!$C$2,Sheet6!$C$2,IF(Tim!KT46=Sheet6!$C$3,Sheet6!$C$3,IF(Tim!KT46=Sheet6!$C$4,Sheet6!$C$4,IF(Tim!KT46=Sheet6!$C$5,Sheet6!$C$5,IF(Tim!KT46=Sheet6!$C$6,Sheet6!$C$6,IF(Tim!KT46=Sheet6!$C$7,Sheet6!$C$7,IF(Tim!KT46=Sheet6!$C$8,Sheet6!$C$8,"")))))))</f>
        <v/>
      </c>
      <c r="DP44" s="53" t="str">
        <f>IF(Tim!KU46=Sheet6!$C$2,Sheet6!$C$2,IF(Tim!KU46=Sheet6!$C$3,Sheet6!$C$3,IF(Tim!KU46=Sheet6!$C$4,Sheet6!$C$4,IF(Tim!KU46=Sheet6!$C$5,Sheet6!$C$5,IF(Tim!KU46=Sheet6!$C$6,Sheet6!$C$6,IF(Tim!KU46=Sheet6!$C$7,Sheet6!$C$7,IF(Tim!KU46=Sheet6!$C$8,Sheet6!$C$8,"")))))))</f>
        <v/>
      </c>
      <c r="DQ44" s="53" t="str">
        <f>IF(Tim!KV46=Sheet6!$C$2,Sheet6!$C$2,IF(Tim!KV46=Sheet6!$C$3,Sheet6!$C$3,IF(Tim!KV46=Sheet6!$C$4,Sheet6!$C$4,IF(Tim!KV46=Sheet6!$C$5,Sheet6!$C$5,IF(Tim!KV46=Sheet6!$C$6,Sheet6!$C$6,IF(Tim!KV46=Sheet6!$C$7,Sheet6!$C$7,IF(Tim!KV46=Sheet6!$C$8,Sheet6!$C$8,"")))))))</f>
        <v/>
      </c>
      <c r="DR44" s="53" t="str">
        <f>IF(Tim!KW46=Sheet6!$C$2,Sheet6!$C$2,IF(Tim!KW46=Sheet6!$C$3,Sheet6!$C$3,IF(Tim!KW46=Sheet6!$C$4,Sheet6!$C$4,IF(Tim!KW46=Sheet6!$C$5,Sheet6!$C$5,IF(Tim!KW46=Sheet6!$C$6,Sheet6!$C$6,IF(Tim!KW46=Sheet6!$C$7,Sheet6!$C$7,IF(Tim!KW46=Sheet6!$C$8,Sheet6!$C$8,"")))))))</f>
        <v/>
      </c>
      <c r="DS44" s="53" t="str">
        <f>IF(Tim!LA46=Sheet6!$C$2,Sheet6!$C$2,IF(Tim!LA46=Sheet6!$C$3,Sheet6!$C$3,IF(Tim!LA46=Sheet6!$C$4,Sheet6!$C$4,IF(Tim!LA46=Sheet6!$C$5,Sheet6!$C$5,IF(Tim!LA46=Sheet6!$C$6,Sheet6!$C$6,IF(Tim!LA46=Sheet6!$C$7,Sheet6!$C$7,IF(Tim!LA46=Sheet6!$C$8,Sheet6!$C$8,"")))))))</f>
        <v/>
      </c>
      <c r="DT44" s="54" t="str">
        <f>IF(Tim!LB46=Sheet6!$C$2,Sheet6!$C$2,IF(Tim!LB46=Sheet6!$C$3,Sheet6!$C$3,IF(Tim!LB46=Sheet6!$C$4,Sheet6!$C$4,IF(Tim!LB46=Sheet6!$C$5,Sheet6!$C$5,IF(Tim!LB46=Sheet6!$C$6,Sheet6!$C$6,IF(Tim!LB46=Sheet6!$C$7,Sheet6!$C$7,IF(Tim!LB46=Sheet6!$C$8,Sheet6!$C$8,"")))))))</f>
        <v/>
      </c>
      <c r="DU44" s="54" t="str">
        <f>IF(Tim!LC46=Sheet6!$C$2,Sheet6!$C$2,IF(Tim!LC46=Sheet6!$C$3,Sheet6!$C$3,IF(Tim!LC46=Sheet6!$C$4,Sheet6!$C$4,IF(Tim!LC46=Sheet6!$C$5,Sheet6!$C$5,IF(Tim!LC46=Sheet6!$C$6,Sheet6!$C$6,IF(Tim!LC46=Sheet6!$C$7,Sheet6!$C$7,IF(Tim!LC46=Sheet6!$C$8,Sheet6!$C$8,"")))))))</f>
        <v/>
      </c>
      <c r="DV44" s="54" t="str">
        <f>IF(Tim!LD46=Sheet6!$C$2,Sheet6!$C$2,IF(Tim!LD46=Sheet6!$C$3,Sheet6!$C$3,IF(Tim!LD46=Sheet6!$C$4,Sheet6!$C$4,IF(Tim!LD46=Sheet6!$C$5,Sheet6!$C$5,IF(Tim!LD46=Sheet6!$C$6,Sheet6!$C$6,IF(Tim!LD46=Sheet6!$C$7,Sheet6!$C$7,IF(Tim!LD46=Sheet6!$C$8,Sheet6!$C$8,"")))))))</f>
        <v/>
      </c>
      <c r="DW44" s="55" t="str">
        <f>IF(Tim!LE46=Sheet6!$C$2,Sheet6!$C$2,IF(Tim!LE46=Sheet6!$C$3,Sheet6!$C$3,IF(Tim!LE46=Sheet6!$C$4,Sheet6!$C$4,IF(Tim!LE46=Sheet6!$C$5,Sheet6!$C$5,IF(Tim!LE46=Sheet6!$C$6,Sheet6!$C$6,IF(Tim!LE46=Sheet6!$C$7,Sheet6!$C$7,IF(Tim!LE46=Sheet6!$C$8,Sheet6!$C$8,"")))))))</f>
        <v/>
      </c>
      <c r="DX44" s="52">
        <v>0.69791666666666596</v>
      </c>
    </row>
    <row r="45" spans="2:128" ht="10.5" customHeight="1">
      <c r="B45" s="51">
        <v>0.25</v>
      </c>
      <c r="C45" s="51">
        <v>0.25</v>
      </c>
      <c r="D45" s="51">
        <v>0.25</v>
      </c>
      <c r="E45" s="52">
        <v>0.70833333333333204</v>
      </c>
      <c r="F45" s="53" t="str">
        <f>IF(Tim!F47=Sheet6!$C$2,Sheet6!$C$2,IF(Tim!F47=Sheet6!$C$3,Sheet6!$C$3,IF(Tim!F47=Sheet6!$C$4,Sheet6!$C$4,IF(Tim!F47=Sheet6!$C$5,Sheet6!$C$5,IF(Tim!F47=Sheet6!$C$6,Sheet6!$C$6,IF(Tim!F47=Sheet6!$C$7,Sheet6!$C$7,IF(Tim!F47=Sheet6!$C$8,Sheet6!$C$8,"")))))))</f>
        <v/>
      </c>
      <c r="G45" s="53" t="str">
        <f>IF(Tim!G47=Sheet6!$C$2,Sheet6!$C$2,IF(Tim!G47=Sheet6!$C$3,Sheet6!$C$3,IF(Tim!G47=Sheet6!$C$4,Sheet6!$C$4,IF(Tim!G47=Sheet6!$C$5,Sheet6!$C$5,IF(Tim!G47=Sheet6!$C$6,Sheet6!$C$6,IF(Tim!G47=Sheet6!$C$7,Sheet6!$C$7,IF(Tim!G47=Sheet6!$C$8,Sheet6!$C$8,"")))))))</f>
        <v/>
      </c>
      <c r="H45" s="53" t="str">
        <f>IF(Tim!H47=Sheet6!$C$2,Sheet6!$C$2,IF(Tim!H47=Sheet6!$C$3,Sheet6!$C$3,IF(Tim!H47=Sheet6!$C$4,Sheet6!$C$4,IF(Tim!H47=Sheet6!$C$5,Sheet6!$C$5,IF(Tim!H47=Sheet6!$C$6,Sheet6!$C$6,IF(Tim!H47=Sheet6!$C$7,Sheet6!$C$7,IF(Tim!H47=Sheet6!$C$8,Sheet6!$C$8,"")))))))</f>
        <v/>
      </c>
      <c r="I45" s="53" t="str">
        <f>IF(Tim!L47=Sheet6!$C$2,Sheet6!$C$2,IF(Tim!L47=Sheet6!$C$3,Sheet6!$C$3,IF(Tim!L47=Sheet6!$C$4,Sheet6!$C$4,IF(Tim!L47=Sheet6!$C$5,Sheet6!$C$5,IF(Tim!L47=Sheet6!$C$6,Sheet6!$C$6,IF(Tim!L47=Sheet6!$C$7,Sheet6!$C$7,IF(Tim!L47=Sheet6!$C$8,Sheet6!$C$8,"")))))))</f>
        <v/>
      </c>
      <c r="J45" s="53" t="str">
        <f>IF(Tim!T47=Sheet6!$C$2,Sheet6!$C$2,IF(Tim!T47=Sheet6!$C$3,Sheet6!$C$3,IF(Tim!T47=Sheet6!$C$4,Sheet6!$C$4,IF(Tim!T47=Sheet6!$C$5,Sheet6!$C$5,IF(Tim!T47=Sheet6!$C$6,Sheet6!$C$6,IF(Tim!T47=Sheet6!$C$7,Sheet6!$C$7,IF(Tim!T47=Sheet6!$C$8,Sheet6!$C$8,"")))))))</f>
        <v/>
      </c>
      <c r="K45" s="53" t="str">
        <f>IF(Tim!AB47=Sheet6!$C$2,Sheet6!$C$2,IF(Tim!AB47=Sheet6!$C$3,Sheet6!$C$3,IF(Tim!AB47=Sheet6!$C$4,Sheet6!$C$4,IF(Tim!AB47=Sheet6!$C$5,Sheet6!$C$5,IF(Tim!AB47=Sheet6!$C$6,Sheet6!$C$6,IF(Tim!AB47=Sheet6!$C$7,Sheet6!$C$7,IF(Tim!AB47=Sheet6!$C$8,Sheet6!$C$8,"")))))))</f>
        <v/>
      </c>
      <c r="L45" s="53" t="str">
        <f>IF(Tim!AC47=Sheet6!$C$2,Sheet6!$C$2,IF(Tim!AC47=Sheet6!$C$3,Sheet6!$C$3,IF(Tim!AC47=Sheet6!$C$4,Sheet6!$C$4,IF(Tim!AC47=Sheet6!$C$5,Sheet6!$C$5,IF(Tim!AC47=Sheet6!$C$6,Sheet6!$C$6,IF(Tim!AC47=Sheet6!$C$7,Sheet6!$C$7,IF(Tim!AC47=Sheet6!$C$8,Sheet6!$C$8,"")))))))</f>
        <v/>
      </c>
      <c r="M45" s="53" t="str">
        <f>IF(Tim!AJ47=Sheet6!$C$2,Sheet6!$C$2,IF(Tim!AJ47=Sheet6!$C$3,Sheet6!$C$3,IF(Tim!AJ47=Sheet6!$C$4,Sheet6!$C$4,IF(Tim!AJ47=Sheet6!$C$5,Sheet6!$C$5,IF(Tim!AJ47=Sheet6!$C$6,Sheet6!$C$6,IF(Tim!AJ47=Sheet6!$C$7,Sheet6!$C$7,IF(Tim!AJ47=Sheet6!$C$8,Sheet6!$C$8,"")))))))</f>
        <v/>
      </c>
      <c r="N45" s="53" t="str">
        <f>IF(Tim!AK47=Sheet6!$C$2,Sheet6!$C$2,IF(Tim!AK47=Sheet6!$C$3,Sheet6!$C$3,IF(Tim!AK47=Sheet6!$C$4,Sheet6!$C$4,IF(Tim!AK47=Sheet6!$C$5,Sheet6!$C$5,IF(Tim!AK47=Sheet6!$C$6,Sheet6!$C$6,IF(Tim!AK47=Sheet6!$C$7,Sheet6!$C$7,IF(Tim!AK47=Sheet6!$C$8,Sheet6!$C$8,"")))))))</f>
        <v/>
      </c>
      <c r="O45" s="53" t="str">
        <f>IF(Tim!AL47=Sheet6!$C$2,Sheet6!$C$2,IF(Tim!AL47=Sheet6!$C$3,Sheet6!$C$3,IF(Tim!AL47=Sheet6!$C$4,Sheet6!$C$4,IF(Tim!AL47=Sheet6!$C$5,Sheet6!$C$5,IF(Tim!AL47=Sheet6!$C$6,Sheet6!$C$6,IF(Tim!AL47=Sheet6!$C$7,Sheet6!$C$7,IF(Tim!AL47=Sheet6!$C$8,Sheet6!$C$8,"")))))))</f>
        <v/>
      </c>
      <c r="P45" s="53" t="str">
        <f>IF(Tim!AN47=Sheet6!$C$2,Sheet6!$C$2,IF(Tim!AN47=Sheet6!$C$3,Sheet6!$C$3,IF(Tim!AN47=Sheet6!$C$4,Sheet6!$C$4,IF(Tim!AN47=Sheet6!$C$5,Sheet6!$C$5,IF(Tim!AN47=Sheet6!$C$6,Sheet6!$C$6,IF(Tim!AN47=Sheet6!$C$7,Sheet6!$C$7,IF(Tim!AN47=Sheet6!$C$8,Sheet6!$C$8,"")))))))</f>
        <v/>
      </c>
      <c r="Q45" s="53" t="str">
        <f>IF(Tim!AO47=Sheet6!$C$2,Sheet6!$C$2,IF(Tim!AO47=Sheet6!$C$3,Sheet6!$C$3,IF(Tim!AO47=Sheet6!$C$4,Sheet6!$C$4,IF(Tim!AO47=Sheet6!$C$5,Sheet6!$C$5,IF(Tim!AO47=Sheet6!$C$6,Sheet6!$C$6,IF(Tim!AO47=Sheet6!$C$7,Sheet6!$C$7,IF(Tim!AO47=Sheet6!$C$8,Sheet6!$C$8,"")))))))</f>
        <v/>
      </c>
      <c r="R45" s="53" t="str">
        <f>IF(Tim!AP47=Sheet6!$C$2,Sheet6!$C$2,IF(Tim!AP47=Sheet6!$C$3,Sheet6!$C$3,IF(Tim!AP47=Sheet6!$C$4,Sheet6!$C$4,IF(Tim!AP47=Sheet6!$C$5,Sheet6!$C$5,IF(Tim!AP47=Sheet6!$C$6,Sheet6!$C$6,IF(Tim!AP47=Sheet6!$C$7,Sheet6!$C$7,IF(Tim!AP47=Sheet6!$C$8,Sheet6!$C$8,"")))))))</f>
        <v/>
      </c>
      <c r="S45" s="53" t="str">
        <f>IF(Tim!AT47=Sheet6!$C$2,Sheet6!$C$2,IF(Tim!AT47=Sheet6!$C$3,Sheet6!$C$3,IF(Tim!AT47=Sheet6!$C$4,Sheet6!$C$4,IF(Tim!AT47=Sheet6!$C$5,Sheet6!$C$5,IF(Tim!AT47=Sheet6!$C$6,Sheet6!$C$6,IF(Tim!AT47=Sheet6!$C$7,Sheet6!$C$7,IF(Tim!AT47=Sheet6!$C$8,Sheet6!$C$8,"")))))))</f>
        <v/>
      </c>
      <c r="T45" s="54" t="str">
        <f>IF(Tim!AU47=Sheet6!$C$2,Sheet6!$C$2,IF(Tim!AU47=Sheet6!$C$3,Sheet6!$C$3,IF(Tim!AU47=Sheet6!$C$4,Sheet6!$C$4,IF(Tim!AU47=Sheet6!$C$5,Sheet6!$C$5,IF(Tim!AU47=Sheet6!$C$6,Sheet6!$C$6,IF(Tim!AU47=Sheet6!$C$7,Sheet6!$C$7,IF(Tim!AU47=Sheet6!$C$8,Sheet6!$C$8,"")))))))</f>
        <v/>
      </c>
      <c r="U45" s="54" t="str">
        <f>IF(Tim!AV47=Sheet6!$C$2,Sheet6!$C$2,IF(Tim!AV47=Sheet6!$C$3,Sheet6!$C$3,IF(Tim!AV47=Sheet6!$C$4,Sheet6!$C$4,IF(Tim!AV47=Sheet6!$C$5,Sheet6!$C$5,IF(Tim!AV47=Sheet6!$C$6,Sheet6!$C$6,IF(Tim!AV47=Sheet6!$C$7,Sheet6!$C$7,IF(Tim!AV47=Sheet6!$C$8,Sheet6!$C$8,"")))))))</f>
        <v/>
      </c>
      <c r="V45" s="54" t="str">
        <f>IF(Tim!AW47=Sheet6!$C$2,Sheet6!$C$2,IF(Tim!AW47=Sheet6!$C$3,Sheet6!$C$3,IF(Tim!AW47=Sheet6!$C$4,Sheet6!$C$4,IF(Tim!AW47=Sheet6!$C$5,Sheet6!$C$5,IF(Tim!AW47=Sheet6!$C$6,Sheet6!$C$6,IF(Tim!AW47=Sheet6!$C$7,Sheet6!$C$7,IF(Tim!AW47=Sheet6!$C$8,Sheet6!$C$8,"")))))))</f>
        <v/>
      </c>
      <c r="W45" s="55" t="str">
        <f>IF(Tim!AX47=Sheet6!$C$2,Sheet6!$C$2,IF(Tim!AX47=Sheet6!$C$3,Sheet6!$C$3,IF(Tim!AX47=Sheet6!$C$4,Sheet6!$C$4,IF(Tim!AX47=Sheet6!$C$5,Sheet6!$C$5,IF(Tim!AX47=Sheet6!$C$6,Sheet6!$C$6,IF(Tim!AX47=Sheet6!$C$7,Sheet6!$C$7,IF(Tim!AX47=Sheet6!$C$8,Sheet6!$C$8,"")))))))</f>
        <v/>
      </c>
      <c r="X45" s="53" t="str">
        <f>IF(Tim!AY47=Sheet6!$C$2,Sheet6!$C$2,IF(Tim!AY47=Sheet6!$C$3,Sheet6!$C$3,IF(Tim!AY47=Sheet6!$C$4,Sheet6!$C$4,IF(Tim!AY47=Sheet6!$C$5,Sheet6!$C$5,IF(Tim!AY47=Sheet6!$C$6,Sheet6!$C$6,IF(Tim!AY47=Sheet6!$C$7,Sheet6!$C$7,IF(Tim!AY47=Sheet6!$C$8,Sheet6!$C$8,"")))))))</f>
        <v/>
      </c>
      <c r="Y45" s="53" t="str">
        <f>IF(Tim!AZ47=Sheet6!$C$2,Sheet6!$C$2,IF(Tim!AZ47=Sheet6!$C$3,Sheet6!$C$3,IF(Tim!AZ47=Sheet6!$C$4,Sheet6!$C$4,IF(Tim!AZ47=Sheet6!$C$5,Sheet6!$C$5,IF(Tim!AZ47=Sheet6!$C$6,Sheet6!$C$6,IF(Tim!AZ47=Sheet6!$C$7,Sheet6!$C$7,IF(Tim!AZ47=Sheet6!$C$8,Sheet6!$C$8,"")))))))</f>
        <v/>
      </c>
      <c r="Z45" s="57" t="str">
        <f>IF(Tim!BD47=Sheet6!$C$2,Sheet6!$C$2,IF(Tim!BD47=Sheet6!$C$3,Sheet6!$C$3,IF(Tim!BD47=Sheet6!$C$4,Sheet6!$C$4,IF(Tim!BD47=Sheet6!$C$5,Sheet6!$C$5,IF(Tim!BD47=Sheet6!$C$6,Sheet6!$C$6,IF(Tim!BD47=Sheet6!$C$7,Sheet6!$C$7,IF(Tim!BD47=Sheet6!$C$8,Sheet6!$C$8,"")))))))</f>
        <v/>
      </c>
      <c r="AA45" s="57" t="str">
        <f>IF(Tim!BE47=Sheet6!$C$2,Sheet6!$C$2,IF(Tim!BE47=Sheet6!$C$3,Sheet6!$C$3,IF(Tim!BE47=Sheet6!$C$4,Sheet6!$C$4,IF(Tim!BE47=Sheet6!$C$5,Sheet6!$C$5,IF(Tim!BE47=Sheet6!$C$6,Sheet6!$C$6,IF(Tim!BE47=Sheet6!$C$7,Sheet6!$C$7,IF(Tim!BE47=Sheet6!$C$8,Sheet6!$C$8,"")))))))</f>
        <v/>
      </c>
      <c r="AB45" s="57" t="str">
        <f>IF(Tim!BL47=Sheet6!$C$2,Sheet6!$C$2,IF(Tim!BL47=Sheet6!$C$3,Sheet6!$C$3,IF(Tim!BL47=Sheet6!$C$4,Sheet6!$C$4,IF(Tim!BL47=Sheet6!$C$5,Sheet6!$C$5,IF(Tim!BL47=Sheet6!$C$6,Sheet6!$C$6,IF(Tim!BL47=Sheet6!$C$7,Sheet6!$C$7,IF(Tim!BL47=Sheet6!$C$8,Sheet6!$C$8,"")))))))</f>
        <v/>
      </c>
      <c r="AC45" s="53" t="str">
        <f>IF(Tim!BT47=Sheet6!$C$2,Sheet6!$C$2,IF(Tim!BT47=Sheet6!$C$3,Sheet6!$C$3,IF(Tim!BT47=Sheet6!$C$4,Sheet6!$C$4,IF(Tim!BT47=Sheet6!$C$5,Sheet6!$C$5,IF(Tim!BT47=Sheet6!$C$6,Sheet6!$C$6,IF(Tim!BT47=Sheet6!$C$7,Sheet6!$C$7,IF(Tim!BT47=Sheet6!$C$8,Sheet6!$C$8,"")))))))</f>
        <v/>
      </c>
      <c r="AD45" s="53" t="str">
        <f>IF(Tim!BU47=Sheet6!$C$2,Sheet6!$C$2,IF(Tim!BU47=Sheet6!$C$3,Sheet6!$C$3,IF(Tim!BU47=Sheet6!$C$4,Sheet6!$C$4,IF(Tim!BU47=Sheet6!$C$5,Sheet6!$C$5,IF(Tim!BU47=Sheet6!$C$6,Sheet6!$C$6,IF(Tim!BU47=Sheet6!$C$7,Sheet6!$C$7,IF(Tim!BU47=Sheet6!$C$8,Sheet6!$C$8,"")))))))</f>
        <v/>
      </c>
      <c r="AE45" s="53" t="str">
        <f>IF(Tim!CB47=Sheet6!$C$2,Sheet6!$C$2,IF(Tim!CB47=Sheet6!$C$3,Sheet6!$C$3,IF(Tim!CB47=Sheet6!$C$4,Sheet6!$C$4,IF(Tim!CB47=Sheet6!$C$5,Sheet6!$C$5,IF(Tim!CB47=Sheet6!$C$6,Sheet6!$C$6,IF(Tim!CB47=Sheet6!$C$7,Sheet6!$C$7,IF(Tim!CB47=Sheet6!$C$8,Sheet6!$C$8,"")))))))</f>
        <v/>
      </c>
      <c r="AF45" s="53" t="str">
        <f>IF(Tim!CD47=Sheet6!$C$2,Sheet6!$C$2,IF(Tim!CD47=Sheet6!$C$3,Sheet6!$C$3,IF(Tim!CD47=Sheet6!$C$4,Sheet6!$C$4,IF(Tim!CD47=Sheet6!$C$5,Sheet6!$C$5,IF(Tim!CD47=Sheet6!$C$6,Sheet6!$C$6,IF(Tim!CD47=Sheet6!$C$7,Sheet6!$C$7,IF(Tim!CD47=Sheet6!$C$8,Sheet6!$C$8,"")))))))</f>
        <v/>
      </c>
      <c r="AG45" s="53" t="str">
        <f>IF(Tim!CE47=Sheet6!$C$2,Sheet6!$C$2,IF(Tim!CE47=Sheet6!$C$3,Sheet6!$C$3,IF(Tim!CE47=Sheet6!$C$4,Sheet6!$C$4,IF(Tim!CE47=Sheet6!$C$5,Sheet6!$C$5,IF(Tim!CE47=Sheet6!$C$6,Sheet6!$C$6,IF(Tim!CE47=Sheet6!$C$7,Sheet6!$C$7,IF(Tim!CE47=Sheet6!$C$8,Sheet6!$C$8,"")))))))</f>
        <v/>
      </c>
      <c r="AH45" s="53" t="str">
        <f>IF(Tim!CF47=Sheet6!$C$2,Sheet6!$C$2,IF(Tim!CF47=Sheet6!$C$3,Sheet6!$C$3,IF(Tim!CF47=Sheet6!$C$4,Sheet6!$C$4,IF(Tim!CF47=Sheet6!$C$5,Sheet6!$C$5,IF(Tim!CF47=Sheet6!$C$6,Sheet6!$C$6,IF(Tim!CF47=Sheet6!$C$7,Sheet6!$C$7,IF(Tim!CF47=Sheet6!$C$8,Sheet6!$C$8,"")))))))</f>
        <v/>
      </c>
      <c r="AI45" s="53" t="str">
        <f>IF(Tim!CG47=Sheet6!$C$2,Sheet6!$C$2,IF(Tim!CG47=Sheet6!$C$3,Sheet6!$C$3,IF(Tim!CG47=Sheet6!$C$4,Sheet6!$C$4,IF(Tim!CG47=Sheet6!$C$5,Sheet6!$C$5,IF(Tim!CG47=Sheet6!$C$6,Sheet6!$C$6,IF(Tim!CG47=Sheet6!$C$7,Sheet6!$C$7,IF(Tim!CG47=Sheet6!$C$8,Sheet6!$C$8,"")))))))</f>
        <v/>
      </c>
      <c r="AJ45" s="53" t="str">
        <f>IF(Tim!CH47=Sheet6!$C$2,Sheet6!$C$2,IF(Tim!CH47=Sheet6!$C$3,Sheet6!$C$3,IF(Tim!CH47=Sheet6!$C$4,Sheet6!$C$4,IF(Tim!CH47=Sheet6!$C$5,Sheet6!$C$5,IF(Tim!CH47=Sheet6!$C$6,Sheet6!$C$6,IF(Tim!CH47=Sheet6!$C$7,Sheet6!$C$7,IF(Tim!CH47=Sheet6!$C$8,Sheet6!$C$8,"")))))))</f>
        <v/>
      </c>
      <c r="AK45" s="53" t="str">
        <f>IF(Tim!CL47=Sheet6!$C$2,Sheet6!$C$2,IF(Tim!CL47=Sheet6!$C$3,Sheet6!$C$3,IF(Tim!CL47=Sheet6!$C$4,Sheet6!$C$4,IF(Tim!CL47=Sheet6!$C$5,Sheet6!$C$5,IF(Tim!CL47=Sheet6!$C$6,Sheet6!$C$6,IF(Tim!CL47=Sheet6!$C$7,Sheet6!$C$7,IF(Tim!CL47=Sheet6!$C$8,Sheet6!$C$8,"")))))))</f>
        <v/>
      </c>
      <c r="AL45" s="54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M45" s="54" t="str">
        <f>IF(Tim!CM47=Sheet6!$C$2,Sheet6!$C$2,IF(Tim!CM47=Sheet6!$C$3,Sheet6!$C$3,IF(Tim!CM47=Sheet6!$C$4,Sheet6!$C$4,IF(Tim!CM47=Sheet6!$C$5,Sheet6!$C$5,IF(Tim!CM47=Sheet6!$C$6,Sheet6!$C$6,IF(Tim!CM47=Sheet6!$C$7,Sheet6!$C$7,IF(Tim!CM47=Sheet6!$C$8,Sheet6!$C$8,"")))))))</f>
        <v/>
      </c>
      <c r="AN45" s="54" t="str">
        <f>IF(Tim!CO47=Sheet6!$C$2,Sheet6!$C$2,IF(Tim!CO47=Sheet6!$C$3,Sheet6!$C$3,IF(Tim!CO47=Sheet6!$C$4,Sheet6!$C$4,IF(Tim!CO47=Sheet6!$C$5,Sheet6!$C$5,IF(Tim!CO47=Sheet6!$C$6,Sheet6!$C$6,IF(Tim!CO47=Sheet6!$C$7,Sheet6!$C$7,IF(Tim!CO47=Sheet6!$C$8,Sheet6!$C$8,"")))))))</f>
        <v/>
      </c>
      <c r="AO45" s="55" t="str">
        <f>IF(Tim!CP47=Sheet6!$C$2,Sheet6!$C$2,IF(Tim!CP47=Sheet6!$C$3,Sheet6!$C$3,IF(Tim!CP47=Sheet6!$C$4,Sheet6!$C$4,IF(Tim!CP47=Sheet6!$C$5,Sheet6!$C$5,IF(Tim!CP47=Sheet6!$C$6,Sheet6!$C$6,IF(Tim!CP47=Sheet6!$C$7,Sheet6!$C$7,IF(Tim!CP47=Sheet6!$C$8,Sheet6!$C$8,"")))))))</f>
        <v/>
      </c>
      <c r="AP45" s="57" t="str">
        <f>IF(Tim!CQ47=Sheet6!$C$2,Sheet6!$C$2,IF(Tim!CQ47=Sheet6!$C$3,Sheet6!$C$3,IF(Tim!CQ47=Sheet6!$C$4,Sheet6!$C$4,IF(Tim!CQ47=Sheet6!$C$5,Sheet6!$C$5,IF(Tim!CQ47=Sheet6!$C$6,Sheet6!$C$6,IF(Tim!CQ47=Sheet6!$C$7,Sheet6!$C$7,IF(Tim!CQ47=Sheet6!$C$8,Sheet6!$C$8,"")))))))</f>
        <v/>
      </c>
      <c r="AQ45" s="57" t="str">
        <f>IF(Tim!CR47=Sheet6!$C$2,Sheet6!$C$2,IF(Tim!CR47=Sheet6!$C$3,Sheet6!$C$3,IF(Tim!CR47=Sheet6!$C$4,Sheet6!$C$4,IF(Tim!CR47=Sheet6!$C$5,Sheet6!$C$5,IF(Tim!CR47=Sheet6!$C$6,Sheet6!$C$6,IF(Tim!CR47=Sheet6!$C$7,Sheet6!$C$7,IF(Tim!CR47=Sheet6!$C$8,Sheet6!$C$8,"")))))))</f>
        <v/>
      </c>
      <c r="AR45" s="57" t="str">
        <f>IF(Tim!CV47=Sheet6!$C$2,Sheet6!$C$2,IF(Tim!CV47=Sheet6!$C$3,Sheet6!$C$3,IF(Tim!CV47=Sheet6!$C$4,Sheet6!$C$4,IF(Tim!CV47=Sheet6!$C$5,Sheet6!$C$5,IF(Tim!CV47=Sheet6!$C$6,Sheet6!$C$6,IF(Tim!CV47=Sheet6!$C$7,Sheet6!$C$7,IF(Tim!CV47=Sheet6!$C$8,Sheet6!$C$8,"")))))))</f>
        <v/>
      </c>
      <c r="AS45" s="57" t="str">
        <f>IF(Tim!CW47=Sheet6!$C$2,Sheet6!$C$2,IF(Tim!CW47=Sheet6!$C$3,Sheet6!$C$3,IF(Tim!CW47=Sheet6!$C$4,Sheet6!$C$4,IF(Tim!CW47=Sheet6!$C$5,Sheet6!$C$5,IF(Tim!CW47=Sheet6!$C$6,Sheet6!$C$6,IF(Tim!CW47=Sheet6!$C$7,Sheet6!$C$7,IF(Tim!CW47=Sheet6!$C$8,Sheet6!$C$8,"")))))))</f>
        <v/>
      </c>
      <c r="AT45" s="57" t="str">
        <f>IF(Tim!DA47=Sheet6!$C$2,Sheet6!$C$2,IF(Tim!DA47=Sheet6!$C$3,Sheet6!$C$3,IF(Tim!DA47=Sheet6!$C$4,Sheet6!$C$4,IF(Tim!DA47=Sheet6!$C$5,Sheet6!$C$5,IF(Tim!DA47=Sheet6!$C$6,Sheet6!$C$6,IF(Tim!DA47=Sheet6!$C$7,Sheet6!$C$7,IF(Tim!DA47=Sheet6!$C$8,Sheet6!$C$8,"")))))))</f>
        <v/>
      </c>
      <c r="AU45" s="53" t="str">
        <f>IF(Tim!DO47=Sheet6!$C$2,Sheet6!$C$2,IF(Tim!DO47=Sheet6!$C$3,Sheet6!$C$3,IF(Tim!DO47=Sheet6!$C$4,Sheet6!$C$4,IF(Tim!DO47=Sheet6!$C$5,Sheet6!$C$5,IF(Tim!DO47=Sheet6!$C$6,Sheet6!$C$6,IF(Tim!DO47=Sheet6!$C$7,Sheet6!$C$7,IF(Tim!DO47=Sheet6!$C$8,Sheet6!$C$8,"")))))))</f>
        <v/>
      </c>
      <c r="AV45" s="53" t="str">
        <f>IF(Tim!DP47=Sheet6!$C$2,Sheet6!$C$2,IF(Tim!DP47=Sheet6!$C$3,Sheet6!$C$3,IF(Tim!DP47=Sheet6!$C$4,Sheet6!$C$4,IF(Tim!DP47=Sheet6!$C$5,Sheet6!$C$5,IF(Tim!DP47=Sheet6!$C$6,Sheet6!$C$6,IF(Tim!DP47=Sheet6!$C$7,Sheet6!$C$7,IF(Tim!DP47=Sheet6!$C$8,Sheet6!$C$8,"")))))))</f>
        <v/>
      </c>
      <c r="AW45" s="53" t="str">
        <f>IF(Tim!DX47=Sheet6!$C$2,Sheet6!$C$2,IF(Tim!DX47=Sheet6!$C$3,Sheet6!$C$3,IF(Tim!DX47=Sheet6!$C$4,Sheet6!$C$4,IF(Tim!DX47=Sheet6!$C$5,Sheet6!$C$5,IF(Tim!DX47=Sheet6!$C$6,Sheet6!$C$6,IF(Tim!DX47=Sheet6!$C$7,Sheet6!$C$7,IF(Tim!DX47=Sheet6!$C$8,Sheet6!$C$8,"")))))))</f>
        <v/>
      </c>
      <c r="AX45" s="53" t="str">
        <f>IF(Tim!DY47=Sheet6!$C$2,Sheet6!$C$2,IF(Tim!DY47=Sheet6!$C$3,Sheet6!$C$3,IF(Tim!DY47=Sheet6!$C$4,Sheet6!$C$4,IF(Tim!DY47=Sheet6!$C$5,Sheet6!$C$5,IF(Tim!DY47=Sheet6!$C$6,Sheet6!$C$6,IF(Tim!DY47=Sheet6!$C$7,Sheet6!$C$7,IF(Tim!DY47=Sheet6!$C$8,Sheet6!$C$8,"")))))))</f>
        <v/>
      </c>
      <c r="AY45" s="53" t="str">
        <f>IF(Tim!DZ47=Sheet6!$C$2,Sheet6!$C$2,IF(Tim!DZ47=Sheet6!$C$3,Sheet6!$C$3,IF(Tim!DZ47=Sheet6!$C$4,Sheet6!$C$4,IF(Tim!DZ47=Sheet6!$C$5,Sheet6!$C$5,IF(Tim!DZ47=Sheet6!$C$6,Sheet6!$C$6,IF(Tim!DZ47=Sheet6!$C$7,Sheet6!$C$7,IF(Tim!DZ47=Sheet6!$C$8,Sheet6!$C$8,"")))))))</f>
        <v/>
      </c>
      <c r="AZ45" s="53" t="str">
        <f>IF(Tim!EA47=Sheet6!$C$2,Sheet6!$C$2,IF(Tim!EA47=Sheet6!$C$3,Sheet6!$C$3,IF(Tim!EA47=Sheet6!$C$4,Sheet6!$C$4,IF(Tim!EA47=Sheet6!$C$5,Sheet6!$C$5,IF(Tim!EA47=Sheet6!$C$6,Sheet6!$C$6,IF(Tim!EA47=Sheet6!$C$7,Sheet6!$C$7,IF(Tim!EA47=Sheet6!$C$8,Sheet6!$C$8,"")))))))</f>
        <v/>
      </c>
      <c r="BA45" s="53" t="str">
        <f>IF(Tim!EB47=Sheet6!$C$2,Sheet6!$C$2,IF(Tim!EB47=Sheet6!$C$3,Sheet6!$C$3,IF(Tim!EB47=Sheet6!$C$4,Sheet6!$C$4,IF(Tim!EB47=Sheet6!$C$5,Sheet6!$C$5,IF(Tim!EB47=Sheet6!$C$6,Sheet6!$C$6,IF(Tim!EB47=Sheet6!$C$7,Sheet6!$C$7,IF(Tim!EB47=Sheet6!$C$8,Sheet6!$C$8,"")))))))</f>
        <v/>
      </c>
      <c r="BB45" s="53" t="str">
        <f>IF(Tim!EC47=Sheet6!$C$2,Sheet6!$C$2,IF(Tim!EC47=Sheet6!$C$3,Sheet6!$C$3,IF(Tim!EC47=Sheet6!$C$4,Sheet6!$C$4,IF(Tim!EC47=Sheet6!$C$5,Sheet6!$C$5,IF(Tim!EC47=Sheet6!$C$6,Sheet6!$C$6,IF(Tim!EC47=Sheet6!$C$7,Sheet6!$C$7,IF(Tim!EC47=Sheet6!$C$8,Sheet6!$C$8,"")))))))</f>
        <v/>
      </c>
      <c r="BC45" s="53" t="str">
        <f>IF(Tim!EG47=Sheet6!$C$2,Sheet6!$C$2,IF(Tim!EG47=Sheet6!$C$3,Sheet6!$C$3,IF(Tim!EG47=Sheet6!$C$4,Sheet6!$C$4,IF(Tim!EG47=Sheet6!$C$5,Sheet6!$C$5,IF(Tim!EG47=Sheet6!$C$6,Sheet6!$C$6,IF(Tim!EG47=Sheet6!$C$7,Sheet6!$C$7,IF(Tim!EG47=Sheet6!$C$8,Sheet6!$C$8,"")))))))</f>
        <v/>
      </c>
      <c r="BD45" s="54" t="str">
        <f>IF(Tim!EH47=Sheet6!$C$2,Sheet6!$C$2,IF(Tim!EH47=Sheet6!$C$3,Sheet6!$C$3,IF(Tim!EH47=Sheet6!$C$4,Sheet6!$C$4,IF(Tim!EH47=Sheet6!$C$5,Sheet6!$C$5,IF(Tim!EH47=Sheet6!$C$6,Sheet6!$C$6,IF(Tim!EH47=Sheet6!$C$7,Sheet6!$C$7,IF(Tim!EH47=Sheet6!$C$8,Sheet6!$C$8,"")))))))</f>
        <v/>
      </c>
      <c r="BE45" s="54" t="str">
        <f>IF(Tim!EI47=Sheet6!$C$2,Sheet6!$C$2,IF(Tim!EI47=Sheet6!$C$3,Sheet6!$C$3,IF(Tim!EI47=Sheet6!$C$4,Sheet6!$C$4,IF(Tim!EI47=Sheet6!$C$5,Sheet6!$C$5,IF(Tim!EI47=Sheet6!$C$6,Sheet6!$C$6,IF(Tim!EI47=Sheet6!$C$7,Sheet6!$C$7,IF(Tim!EI47=Sheet6!$C$8,Sheet6!$C$8,"")))))))</f>
        <v/>
      </c>
      <c r="BF45" s="54" t="str">
        <f>IF(Tim!EJ47=Sheet6!$C$2,Sheet6!$C$2,IF(Tim!EJ47=Sheet6!$C$3,Sheet6!$C$3,IF(Tim!EJ47=Sheet6!$C$4,Sheet6!$C$4,IF(Tim!EJ47=Sheet6!$C$5,Sheet6!$C$5,IF(Tim!EJ47=Sheet6!$C$6,Sheet6!$C$6,IF(Tim!EJ47=Sheet6!$C$7,Sheet6!$C$7,IF(Tim!EJ47=Sheet6!$C$8,Sheet6!$C$8,"")))))))</f>
        <v/>
      </c>
      <c r="BG45" s="55" t="str">
        <f>IF(Tim!EK47=Sheet6!$C$2,Sheet6!$C$2,IF(Tim!EK47=Sheet6!$C$3,Sheet6!$C$3,IF(Tim!EK47=Sheet6!$C$4,Sheet6!$C$4,IF(Tim!EK47=Sheet6!$C$5,Sheet6!$C$5,IF(Tim!EK47=Sheet6!$C$6,Sheet6!$C$6,IF(Tim!EK47=Sheet6!$C$7,Sheet6!$C$7,IF(Tim!EK47=Sheet6!$C$8,Sheet6!$C$8,"")))))))</f>
        <v/>
      </c>
      <c r="BH45" s="53" t="str">
        <f>IF(Tim!EL47=Sheet6!$C$2,Sheet6!$C$2,IF(Tim!EL47=Sheet6!$C$3,Sheet6!$C$3,IF(Tim!EL47=Sheet6!$C$4,Sheet6!$C$4,IF(Tim!EL47=Sheet6!$C$5,Sheet6!$C$5,IF(Tim!EL47=Sheet6!$C$6,Sheet6!$C$6,IF(Tim!EL47=Sheet6!$C$7,Sheet6!$C$7,IF(Tim!EL47=Sheet6!$C$8,Sheet6!$C$8,"")))))))</f>
        <v/>
      </c>
      <c r="BI45" s="57" t="str">
        <f>IF(Tim!EM47=Sheet6!$C$2,Sheet6!$C$2,IF(Tim!EM47=Sheet6!$C$3,Sheet6!$C$3,IF(Tim!EM47=Sheet6!$C$4,Sheet6!$C$4,IF(Tim!EM47=Sheet6!$C$5,Sheet6!$C$5,IF(Tim!EM47=Sheet6!$C$6,Sheet6!$C$6,IF(Tim!EM47=Sheet6!$C$7,Sheet6!$C$7,IF(Tim!EM47=Sheet6!$C$8,Sheet6!$C$8,"")))))))</f>
        <v/>
      </c>
      <c r="BJ45" s="57" t="str">
        <f>IF(Tim!EQ47=Sheet6!$C$2,Sheet6!$C$2,IF(Tim!EQ47=Sheet6!$C$3,Sheet6!$C$3,IF(Tim!EQ47=Sheet6!$C$4,Sheet6!$C$4,IF(Tim!EQ47=Sheet6!$C$5,Sheet6!$C$5,IF(Tim!EQ47=Sheet6!$C$6,Sheet6!$C$6,IF(Tim!EQ47=Sheet6!$C$7,Sheet6!$C$7,IF(Tim!EQ47=Sheet6!$C$8,Sheet6!$C$8,"")))))))</f>
        <v/>
      </c>
      <c r="BK45" s="57" t="str">
        <f>IF(Tim!ER47=Sheet6!$C$2,Sheet6!$C$2,IF(Tim!ER47=Sheet6!$C$3,Sheet6!$C$3,IF(Tim!ER47=Sheet6!$C$4,Sheet6!$C$4,IF(Tim!ER47=Sheet6!$C$5,Sheet6!$C$5,IF(Tim!ER47=Sheet6!$C$6,Sheet6!$C$6,IF(Tim!ER47=Sheet6!$C$7,Sheet6!$C$7,IF(Tim!ER47=Sheet6!$C$8,Sheet6!$C$8,"")))))))</f>
        <v/>
      </c>
      <c r="BL45" s="57" t="str">
        <f>IF(Tim!EZ47=Sheet6!$C$2,Sheet6!$C$2,IF(Tim!EZ47=Sheet6!$C$3,Sheet6!$C$3,IF(Tim!EZ47=Sheet6!$C$4,Sheet6!$C$4,IF(Tim!EZ47=Sheet6!$C$5,Sheet6!$C$5,IF(Tim!EZ47=Sheet6!$C$6,Sheet6!$C$6,IF(Tim!EZ47=Sheet6!$C$7,Sheet6!$C$7,IF(Tim!EZ47=Sheet6!$C$8,Sheet6!$C$8,"")))))))</f>
        <v/>
      </c>
      <c r="BM45" s="53" t="str">
        <f>IF(Tim!FG47=Sheet6!$C$2,Sheet6!$C$2,IF(Tim!FG47=Sheet6!$C$3,Sheet6!$C$3,IF(Tim!FG47=Sheet6!$C$4,Sheet6!$C$4,IF(Tim!FG47=Sheet6!$C$5,Sheet6!$C$5,IF(Tim!FG47=Sheet6!$C$6,Sheet6!$C$6,IF(Tim!FG47=Sheet6!$C$7,Sheet6!$C$7,IF(Tim!FG47=Sheet6!$C$8,Sheet6!$C$8,"")))))))</f>
        <v/>
      </c>
      <c r="BN45" s="53" t="str">
        <f>IF(Tim!FH47=Sheet6!$C$2,Sheet6!$C$2,IF(Tim!FH47=Sheet6!$C$3,Sheet6!$C$3,IF(Tim!FH47=Sheet6!$C$4,Sheet6!$C$4,IF(Tim!FH47=Sheet6!$C$5,Sheet6!$C$5,IF(Tim!FH47=Sheet6!$C$6,Sheet6!$C$6,IF(Tim!FH47=Sheet6!$C$7,Sheet6!$C$7,IF(Tim!FH47=Sheet6!$C$8,Sheet6!$C$8,"")))))))</f>
        <v/>
      </c>
      <c r="BO45" s="53" t="str">
        <f>IF(Tim!FP47=Sheet6!$C$2,Sheet6!$C$2,IF(Tim!FP47=Sheet6!$C$3,Sheet6!$C$3,IF(Tim!FP47=Sheet6!$C$4,Sheet6!$C$4,IF(Tim!FP47=Sheet6!$C$5,Sheet6!$C$5,IF(Tim!FP47=Sheet6!$C$6,Sheet6!$C$6,IF(Tim!FP47=Sheet6!$C$7,Sheet6!$C$7,IF(Tim!FP47=Sheet6!$C$8,Sheet6!$C$8,"")))))))</f>
        <v/>
      </c>
      <c r="BP45" s="53" t="str">
        <f>IF(Tim!FQ47=Sheet6!$C$2,Sheet6!$C$2,IF(Tim!FQ47=Sheet6!$C$3,Sheet6!$C$3,IF(Tim!FQ47=Sheet6!$C$4,Sheet6!$C$4,IF(Tim!FQ47=Sheet6!$C$5,Sheet6!$C$5,IF(Tim!FQ47=Sheet6!$C$6,Sheet6!$C$6,IF(Tim!FQ47=Sheet6!$C$7,Sheet6!$C$7,IF(Tim!FQ47=Sheet6!$C$8,Sheet6!$C$8,"")))))))</f>
        <v/>
      </c>
      <c r="BQ45" s="53" t="str">
        <f>IF(Tim!FR47=Sheet6!$C$2,Sheet6!$C$2,IF(Tim!FR47=Sheet6!$C$3,Sheet6!$C$3,IF(Tim!FR47=Sheet6!$C$4,Sheet6!$C$4,IF(Tim!FR47=Sheet6!$C$5,Sheet6!$C$5,IF(Tim!FR47=Sheet6!$C$6,Sheet6!$C$6,IF(Tim!FR47=Sheet6!$C$7,Sheet6!$C$7,IF(Tim!FR47=Sheet6!$C$8,Sheet6!$C$8,"")))))))</f>
        <v/>
      </c>
      <c r="BR45" s="53" t="str">
        <f>IF(Tim!FS47=Sheet6!$C$2,Sheet6!$C$2,IF(Tim!FS47=Sheet6!$C$3,Sheet6!$C$3,IF(Tim!FS47=Sheet6!$C$4,Sheet6!$C$4,IF(Tim!FS47=Sheet6!$C$5,Sheet6!$C$5,IF(Tim!FS47=Sheet6!$C$6,Sheet6!$C$6,IF(Tim!FS47=Sheet6!$C$7,Sheet6!$C$7,IF(Tim!FS47=Sheet6!$C$8,Sheet6!$C$8,"")))))))</f>
        <v/>
      </c>
      <c r="BS45" s="53" t="str">
        <f>IF(Tim!FT47=Sheet6!$C$2,Sheet6!$C$2,IF(Tim!FT47=Sheet6!$C$3,Sheet6!$C$3,IF(Tim!FT47=Sheet6!$C$4,Sheet6!$C$4,IF(Tim!FT47=Sheet6!$C$5,Sheet6!$C$5,IF(Tim!FT47=Sheet6!$C$6,Sheet6!$C$6,IF(Tim!FT47=Sheet6!$C$7,Sheet6!$C$7,IF(Tim!FT47=Sheet6!$C$8,Sheet6!$C$8,"")))))))</f>
        <v/>
      </c>
      <c r="BT45" s="53" t="str">
        <f>IF(Tim!FU47=Sheet6!$C$2,Sheet6!$C$2,IF(Tim!FU47=Sheet6!$C$3,Sheet6!$C$3,IF(Tim!FU47=Sheet6!$C$4,Sheet6!$C$4,IF(Tim!FU47=Sheet6!$C$5,Sheet6!$C$5,IF(Tim!FU47=Sheet6!$C$6,Sheet6!$C$6,IF(Tim!FU47=Sheet6!$C$7,Sheet6!$C$7,IF(Tim!FU47=Sheet6!$C$8,Sheet6!$C$8,"")))))))</f>
        <v/>
      </c>
      <c r="BU45" s="53" t="str">
        <f>IF(Tim!FY47=Sheet6!$C$2,Sheet6!$C$2,IF(Tim!FY47=Sheet6!$C$3,Sheet6!$C$3,IF(Tim!FY47=Sheet6!$C$4,Sheet6!$C$4,IF(Tim!FY47=Sheet6!$C$5,Sheet6!$C$5,IF(Tim!FY47=Sheet6!$C$6,Sheet6!$C$6,IF(Tim!FY47=Sheet6!$C$7,Sheet6!$C$7,IF(Tim!FY47=Sheet6!$C$8,Sheet6!$C$8,"")))))))</f>
        <v/>
      </c>
      <c r="BV45" s="54" t="str">
        <f>IF(Tim!FZ47=Sheet6!$C$2,Sheet6!$C$2,IF(Tim!FZ47=Sheet6!$C$3,Sheet6!$C$3,IF(Tim!FZ47=Sheet6!$C$4,Sheet6!$C$4,IF(Tim!FZ47=Sheet6!$C$5,Sheet6!$C$5,IF(Tim!FZ47=Sheet6!$C$6,Sheet6!$C$6,IF(Tim!FZ47=Sheet6!$C$7,Sheet6!$C$7,IF(Tim!FZ47=Sheet6!$C$8,Sheet6!$C$8,"")))))))</f>
        <v/>
      </c>
      <c r="BW45" s="54" t="str">
        <f>IF(Tim!GA47=Sheet6!$C$2,Sheet6!$C$2,IF(Tim!GA47=Sheet6!$C$3,Sheet6!$C$3,IF(Tim!GA47=Sheet6!$C$4,Sheet6!$C$4,IF(Tim!GA47=Sheet6!$C$5,Sheet6!$C$5,IF(Tim!GA47=Sheet6!$C$6,Sheet6!$C$6,IF(Tim!GA47=Sheet6!$C$7,Sheet6!$C$7,IF(Tim!GA47=Sheet6!$C$8,Sheet6!$C$8,"")))))))</f>
        <v/>
      </c>
      <c r="BX45" s="54" t="str">
        <f>IF(Tim!GB47=Sheet6!$C$2,Sheet6!$C$2,IF(Tim!GB47=Sheet6!$C$3,Sheet6!$C$3,IF(Tim!GB47=Sheet6!$C$4,Sheet6!$C$4,IF(Tim!GB47=Sheet6!$C$5,Sheet6!$C$5,IF(Tim!GB47=Sheet6!$C$6,Sheet6!$C$6,IF(Tim!GB47=Sheet6!$C$7,Sheet6!$C$7,IF(Tim!GB47=Sheet6!$C$8,Sheet6!$C$8,"")))))))</f>
        <v/>
      </c>
      <c r="BY45" s="55" t="str">
        <f>IF(Tim!GC47=Sheet6!$C$2,Sheet6!$C$2,IF(Tim!GC47=Sheet6!$C$3,Sheet6!$C$3,IF(Tim!GC47=Sheet6!$C$4,Sheet6!$C$4,IF(Tim!GC47=Sheet6!$C$5,Sheet6!$C$5,IF(Tim!GC47=Sheet6!$C$6,Sheet6!$C$6,IF(Tim!GC47=Sheet6!$C$7,Sheet6!$C$7,IF(Tim!GC47=Sheet6!$C$8,Sheet6!$C$8,"")))))))</f>
        <v/>
      </c>
      <c r="BZ45" s="53" t="str">
        <f>IF(Tim!GD47=Sheet6!$C$2,Sheet6!$C$2,IF(Tim!GD47=Sheet6!$C$3,Sheet6!$C$3,IF(Tim!GD47=Sheet6!$C$4,Sheet6!$C$4,IF(Tim!GD47=Sheet6!$C$5,Sheet6!$C$5,IF(Tim!GD47=Sheet6!$C$6,Sheet6!$C$6,IF(Tim!GD47=Sheet6!$C$7,Sheet6!$C$7,IF(Tim!GD47=Sheet6!$C$8,Sheet6!$C$8,"")))))))</f>
        <v/>
      </c>
      <c r="CA45" s="53" t="str">
        <f>IF(Tim!GE47=Sheet6!$C$2,Sheet6!$C$2,IF(Tim!GE47=Sheet6!$C$3,Sheet6!$C$3,IF(Tim!GE47=Sheet6!$C$4,Sheet6!$C$4,IF(Tim!GE47=Sheet6!$C$5,Sheet6!$C$5,IF(Tim!GE47=Sheet6!$C$6,Sheet6!$C$6,IF(Tim!GE47=Sheet6!$C$7,Sheet6!$C$7,IF(Tim!GE47=Sheet6!$C$8,Sheet6!$C$8,"")))))))</f>
        <v/>
      </c>
      <c r="CB45" s="57" t="str">
        <f>IF(Tim!GI47=Sheet6!$C$2,Sheet6!$C$2,IF(Tim!GI47=Sheet6!$C$3,Sheet6!$C$3,IF(Tim!GI47=Sheet6!$C$4,Sheet6!$C$4,IF(Tim!GI47=Sheet6!$C$5,Sheet6!$C$5,IF(Tim!GI47=Sheet6!$C$6,Sheet6!$C$6,IF(Tim!GI47=Sheet6!$C$7,Sheet6!$C$7,IF(Tim!GI47=Sheet6!$C$8,Sheet6!$C$8,"")))))))</f>
        <v/>
      </c>
      <c r="CC45" s="57" t="str">
        <f>IF(Tim!GJ47=Sheet6!$C$2,Sheet6!$C$2,IF(Tim!GJ47=Sheet6!$C$3,Sheet6!$C$3,IF(Tim!GJ47=Sheet6!$C$4,Sheet6!$C$4,IF(Tim!GJ47=Sheet6!$C$5,Sheet6!$C$5,IF(Tim!GJ47=Sheet6!$C$6,Sheet6!$C$6,IF(Tim!GJ47=Sheet6!$C$7,Sheet6!$C$7,IF(Tim!GJ47=Sheet6!$C$8,Sheet6!$C$8,"")))))))</f>
        <v/>
      </c>
      <c r="CD45" s="57" t="str">
        <f>IF(Tim!GN47=Sheet6!$C$2,Sheet6!$C$2,IF(Tim!GN47=Sheet6!$C$3,Sheet6!$C$3,IF(Tim!GN47=Sheet6!$C$4,Sheet6!$C$4,IF(Tim!GN47=Sheet6!$C$5,Sheet6!$C$5,IF(Tim!GN47=Sheet6!$C$6,Sheet6!$C$6,IF(Tim!GN47=Sheet6!$C$7,Sheet6!$C$7,IF(Tim!GN47=Sheet6!$C$8,Sheet6!$C$8,"")))))))</f>
        <v/>
      </c>
      <c r="CE45" s="53" t="str">
        <f>IF(Tim!GY47=Sheet6!$C$2,Sheet6!$C$2,IF(Tim!GY47=Sheet6!$C$3,Sheet6!$C$3,IF(Tim!GY47=Sheet6!$C$4,Sheet6!$C$4,IF(Tim!GY47=Sheet6!$C$5,Sheet6!$C$5,IF(Tim!GY47=Sheet6!$C$6,Sheet6!$C$6,IF(Tim!GY47=Sheet6!$C$7,Sheet6!$C$7,IF(Tim!GY47=Sheet6!$C$8,Sheet6!$C$8,"")))))))</f>
        <v/>
      </c>
      <c r="CF45" s="53" t="str">
        <f>IF(Tim!GZ47=Sheet6!$C$2,Sheet6!$C$2,IF(Tim!GZ47=Sheet6!$C$3,Sheet6!$C$3,IF(Tim!GZ47=Sheet6!$C$4,Sheet6!$C$4,IF(Tim!GZ47=Sheet6!$C$5,Sheet6!$C$5,IF(Tim!GZ47=Sheet6!$C$6,Sheet6!$C$6,IF(Tim!GZ47=Sheet6!$C$7,Sheet6!$C$7,IF(Tim!GZ47=Sheet6!$C$8,Sheet6!$C$8,"")))))))</f>
        <v/>
      </c>
      <c r="CG45" s="53" t="str">
        <f>IF(Tim!HH47=Sheet6!$C$2,Sheet6!$C$2,IF(Tim!HH47=Sheet6!$C$3,Sheet6!$C$3,IF(Tim!HH47=Sheet6!$C$4,Sheet6!$C$4,IF(Tim!HH47=Sheet6!$C$5,Sheet6!$C$5,IF(Tim!HH47=Sheet6!$C$6,Sheet6!$C$6,IF(Tim!HH47=Sheet6!$C$7,Sheet6!$C$7,IF(Tim!HH47=Sheet6!$C$8,Sheet6!$C$8,"")))))))</f>
        <v/>
      </c>
      <c r="CH45" s="53" t="str">
        <f>IF(Tim!HI47=Sheet6!$C$2,Sheet6!$C$2,IF(Tim!HI47=Sheet6!$C$3,Sheet6!$C$3,IF(Tim!HI47=Sheet6!$C$4,Sheet6!$C$4,IF(Tim!HI47=Sheet6!$C$5,Sheet6!$C$5,IF(Tim!HI47=Sheet6!$C$6,Sheet6!$C$6,IF(Tim!HI47=Sheet6!$C$7,Sheet6!$C$7,IF(Tim!HI47=Sheet6!$C$8,Sheet6!$C$8,"")))))))</f>
        <v/>
      </c>
      <c r="CI45" s="53" t="str">
        <f>IF(Tim!HJ47=Sheet6!$C$2,Sheet6!$C$2,IF(Tim!HJ47=Sheet6!$C$3,Sheet6!$C$3,IF(Tim!HJ47=Sheet6!$C$4,Sheet6!$C$4,IF(Tim!HJ47=Sheet6!$C$5,Sheet6!$C$5,IF(Tim!HJ47=Sheet6!$C$6,Sheet6!$C$6,IF(Tim!HJ47=Sheet6!$C$7,Sheet6!$C$7,IF(Tim!HJ47=Sheet6!$C$8,Sheet6!$C$8,"")))))))</f>
        <v/>
      </c>
      <c r="CJ45" s="53" t="str">
        <f>IF(Tim!HK47=Sheet6!$C$2,Sheet6!$C$2,IF(Tim!HK47=Sheet6!$C$3,Sheet6!$C$3,IF(Tim!HK47=Sheet6!$C$4,Sheet6!$C$4,IF(Tim!HK47=Sheet6!$C$5,Sheet6!$C$5,IF(Tim!HK47=Sheet6!$C$6,Sheet6!$C$6,IF(Tim!HK47=Sheet6!$C$7,Sheet6!$C$7,IF(Tim!HK47=Sheet6!$C$8,Sheet6!$C$8,"")))))))</f>
        <v/>
      </c>
      <c r="CK45" s="53" t="str">
        <f>IF(Tim!HL47=Sheet6!$C$2,Sheet6!$C$2,IF(Tim!HL47=Sheet6!$C$3,Sheet6!$C$3,IF(Tim!HL47=Sheet6!$C$4,Sheet6!$C$4,IF(Tim!HL47=Sheet6!$C$5,Sheet6!$C$5,IF(Tim!HL47=Sheet6!$C$6,Sheet6!$C$6,IF(Tim!HL47=Sheet6!$C$7,Sheet6!$C$7,IF(Tim!HL47=Sheet6!$C$8,Sheet6!$C$8,"")))))))</f>
        <v/>
      </c>
      <c r="CL45" s="53" t="str">
        <f>IF(Tim!HM47=Sheet6!$C$2,Sheet6!$C$2,IF(Tim!HM47=Sheet6!$C$3,Sheet6!$C$3,IF(Tim!HM47=Sheet6!$C$4,Sheet6!$C$4,IF(Tim!HM47=Sheet6!$C$5,Sheet6!$C$5,IF(Tim!HM47=Sheet6!$C$6,Sheet6!$C$6,IF(Tim!HM47=Sheet6!$C$7,Sheet6!$C$7,IF(Tim!HM47=Sheet6!$C$8,Sheet6!$C$8,"")))))))</f>
        <v/>
      </c>
      <c r="CM45" s="53" t="str">
        <f>IF(Tim!HQ47=Sheet6!$C$2,Sheet6!$C$2,IF(Tim!HQ47=Sheet6!$C$3,Sheet6!$C$3,IF(Tim!HQ47=Sheet6!$C$4,Sheet6!$C$4,IF(Tim!HQ47=Sheet6!$C$5,Sheet6!$C$5,IF(Tim!HQ47=Sheet6!$C$6,Sheet6!$C$6,IF(Tim!HQ47=Sheet6!$C$7,Sheet6!$C$7,IF(Tim!HQ47=Sheet6!$C$8,Sheet6!$C$8,"")))))))</f>
        <v/>
      </c>
      <c r="CN45" s="54" t="str">
        <f>IF(Tim!HR47=Sheet6!$C$2,Sheet6!$C$2,IF(Tim!HR47=Sheet6!$C$3,Sheet6!$C$3,IF(Tim!HR47=Sheet6!$C$4,Sheet6!$C$4,IF(Tim!HR47=Sheet6!$C$5,Sheet6!$C$5,IF(Tim!HR47=Sheet6!$C$6,Sheet6!$C$6,IF(Tim!HR47=Sheet6!$C$7,Sheet6!$C$7,IF(Tim!HR47=Sheet6!$C$8,Sheet6!$C$8,"")))))))</f>
        <v/>
      </c>
      <c r="CO45" s="54" t="str">
        <f>IF(Tim!HS47=Sheet6!$C$2,Sheet6!$C$2,IF(Tim!HS47=Sheet6!$C$3,Sheet6!$C$3,IF(Tim!HS47=Sheet6!$C$4,Sheet6!$C$4,IF(Tim!HS47=Sheet6!$C$5,Sheet6!$C$5,IF(Tim!HS47=Sheet6!$C$6,Sheet6!$C$6,IF(Tim!HS47=Sheet6!$C$7,Sheet6!$C$7,IF(Tim!HS47=Sheet6!$C$8,Sheet6!$C$8,"")))))))</f>
        <v/>
      </c>
      <c r="CP45" s="54" t="str">
        <f>IF(Tim!HT47=Sheet6!$C$2,Sheet6!$C$2,IF(Tim!HT47=Sheet6!$C$3,Sheet6!$C$3,IF(Tim!HT47=Sheet6!$C$4,Sheet6!$C$4,IF(Tim!HT47=Sheet6!$C$5,Sheet6!$C$5,IF(Tim!HT47=Sheet6!$C$6,Sheet6!$C$6,IF(Tim!HT47=Sheet6!$C$7,Sheet6!$C$7,IF(Tim!HT47=Sheet6!$C$8,Sheet6!$C$8,"")))))))</f>
        <v/>
      </c>
      <c r="CQ45" s="55" t="str">
        <f>IF(Tim!HU47=Sheet6!$C$2,Sheet6!$C$2,IF(Tim!HU47=Sheet6!$C$3,Sheet6!$C$3,IF(Tim!HU47=Sheet6!$C$4,Sheet6!$C$4,IF(Tim!HU47=Sheet6!$C$5,Sheet6!$C$5,IF(Tim!HU47=Sheet6!$C$6,Sheet6!$C$6,IF(Tim!HU47=Sheet6!$C$7,Sheet6!$C$7,IF(Tim!HU47=Sheet6!$C$8,Sheet6!$C$8,"")))))))</f>
        <v/>
      </c>
      <c r="CR45" s="56" t="str">
        <f>IF(Tim!HV47=Sheet6!$C$2,Sheet6!$C$2,IF(Tim!HV47=Sheet6!$C$3,Sheet6!$C$3,IF(Tim!HV47=Sheet6!$C$4,Sheet6!$C$4,IF(Tim!HV47=Sheet6!$C$5,Sheet6!$C$5,IF(Tim!HV47=Sheet6!$C$6,Sheet6!$C$6,IF(Tim!HV47=Sheet6!$C$7,Sheet6!$C$7,IF(Tim!HV47=Sheet6!$C$8,Sheet6!$C$8,"")))))))</f>
        <v/>
      </c>
      <c r="CS45" s="57" t="str">
        <f>IF(Tim!IB47=Sheet6!$C$2,Sheet6!$C$2,IF(Tim!IB47=Sheet6!$C$3,Sheet6!$C$3,IF(Tim!IB47=Sheet6!$C$4,Sheet6!$C$4,IF(Tim!IB47=Sheet6!$C$5,Sheet6!$C$5,IF(Tim!IB47=Sheet6!$C$6,Sheet6!$C$6,IF(Tim!IB47=Sheet6!$C$7,Sheet6!$C$7,IF(Tim!IB47=Sheet6!$C$8,Sheet6!$C$8,"")))))))</f>
        <v/>
      </c>
      <c r="CT45" s="65" t="str">
        <f>IF(Tim!IJ47=Sheet6!$C$2,Sheet6!$C$2,IF(Tim!IJ47=Sheet6!$C$3,Sheet6!$C$3,IF(Tim!IJ47=Sheet6!$C$4,Sheet6!$C$4,IF(Tim!IJ47=Sheet6!$C$5,Sheet6!$C$5,IF(Tim!IJ47=Sheet6!$C$6,Sheet6!$C$6,IF(Tim!IJ47=Sheet6!$C$7,Sheet6!$C$7,IF(Tim!IJ47=Sheet6!$C$8,Sheet6!$C$8,"")))))))</f>
        <v/>
      </c>
      <c r="CU45" s="65" t="str">
        <f>IF(Tim!IQ47=Sheet6!$C$2,Sheet6!$C$2,IF(Tim!IQ47=Sheet6!$C$3,Sheet6!$C$3,IF(Tim!IQ47=Sheet6!$C$4,Sheet6!$C$4,IF(Tim!IQ47=Sheet6!$C$5,Sheet6!$C$5,IF(Tim!IQ47=Sheet6!$C$6,Sheet6!$C$6,IF(Tim!IQ47=Sheet6!$C$7,Sheet6!$C$7,IF(Tim!IQ47=Sheet6!$C$8,Sheet6!$C$8,"")))))))</f>
        <v/>
      </c>
      <c r="CV45" s="53" t="str">
        <f>IF(Tim!IR47=Sheet6!$C$2,Sheet6!$C$2,IF(Tim!IR47=Sheet6!$C$3,Sheet6!$C$3,IF(Tim!IR47=Sheet6!$C$4,Sheet6!$C$4,IF(Tim!IR47=Sheet6!$C$5,Sheet6!$C$5,IF(Tim!IR47=Sheet6!$C$6,Sheet6!$C$6,IF(Tim!IR47=Sheet6!$C$7,Sheet6!$C$7,IF(Tim!IR47=Sheet6!$C$8,Sheet6!$C$8,"")))))))</f>
        <v/>
      </c>
      <c r="CW45" s="53" t="str">
        <f>IF(Tim!IZ47=Sheet6!$C$2,Sheet6!$C$2,IF(Tim!IZ47=Sheet6!$C$3,Sheet6!$C$3,IF(Tim!IZ47=Sheet6!$C$4,Sheet6!$C$4,IF(Tim!IZ47=Sheet6!$C$5,Sheet6!$C$5,IF(Tim!IZ47=Sheet6!$C$6,Sheet6!$C$6,IF(Tim!IZ47=Sheet6!$C$7,Sheet6!$C$7,IF(Tim!IZ47=Sheet6!$C$8,Sheet6!$C$8,"")))))))</f>
        <v/>
      </c>
      <c r="CX45" s="53" t="str">
        <f>IF(Tim!JA47=Sheet6!$C$2,Sheet6!$C$2,IF(Tim!JA47=Sheet6!$C$3,Sheet6!$C$3,IF(Tim!JA47=Sheet6!$C$4,Sheet6!$C$4,IF(Tim!JA47=Sheet6!$C$5,Sheet6!$C$5,IF(Tim!JA47=Sheet6!$C$6,Sheet6!$C$6,IF(Tim!JA47=Sheet6!$C$7,Sheet6!$C$7,IF(Tim!JA47=Sheet6!$C$8,Sheet6!$C$8,"")))))))</f>
        <v/>
      </c>
      <c r="CY45" s="53" t="str">
        <f>IF(Tim!JB47=Sheet6!$C$2,Sheet6!$C$2,IF(Tim!JB47=Sheet6!$C$3,Sheet6!$C$3,IF(Tim!JB47=Sheet6!$C$4,Sheet6!$C$4,IF(Tim!JB47=Sheet6!$C$5,Sheet6!$C$5,IF(Tim!JB47=Sheet6!$C$6,Sheet6!$C$6,IF(Tim!JB47=Sheet6!$C$7,Sheet6!$C$7,IF(Tim!JB47=Sheet6!$C$8,Sheet6!$C$8,"")))))))</f>
        <v/>
      </c>
      <c r="CZ45" s="53" t="str">
        <f>IF(Tim!JC47=Sheet6!$C$2,Sheet6!$C$2,IF(Tim!JC47=Sheet6!$C$3,Sheet6!$C$3,IF(Tim!JC47=Sheet6!$C$4,Sheet6!$C$4,IF(Tim!JC47=Sheet6!$C$5,Sheet6!$C$5,IF(Tim!JC47=Sheet6!$C$6,Sheet6!$C$6,IF(Tim!JC47=Sheet6!$C$7,Sheet6!$C$7,IF(Tim!JC47=Sheet6!$C$8,Sheet6!$C$8,"")))))))</f>
        <v/>
      </c>
      <c r="DA45" s="53" t="str">
        <f>IF(Tim!JD47=Sheet6!$C$2,Sheet6!$C$2,IF(Tim!JD47=Sheet6!$C$3,Sheet6!$C$3,IF(Tim!JD47=Sheet6!$C$4,Sheet6!$C$4,IF(Tim!JD47=Sheet6!$C$5,Sheet6!$C$5,IF(Tim!JD47=Sheet6!$C$6,Sheet6!$C$6,IF(Tim!JD47=Sheet6!$C$7,Sheet6!$C$7,IF(Tim!JD47=Sheet6!$C$8,Sheet6!$C$8,"")))))))</f>
        <v/>
      </c>
      <c r="DB45" s="53" t="str">
        <f>IF(Tim!JE47=Sheet6!$C$2,Sheet6!$C$2,IF(Tim!JE47=Sheet6!$C$3,Sheet6!$C$3,IF(Tim!JE47=Sheet6!$C$4,Sheet6!$C$4,IF(Tim!JE47=Sheet6!$C$5,Sheet6!$C$5,IF(Tim!JE47=Sheet6!$C$6,Sheet6!$C$6,IF(Tim!JE47=Sheet6!$C$7,Sheet6!$C$7,IF(Tim!JE47=Sheet6!$C$8,Sheet6!$C$8,"")))))))</f>
        <v/>
      </c>
      <c r="DC45" s="53" t="str">
        <f>IF(Tim!JI47=Sheet6!$C$2,Sheet6!$C$2,IF(Tim!JI47=Sheet6!$C$3,Sheet6!$C$3,IF(Tim!JI47=Sheet6!$C$4,Sheet6!$C$4,IF(Tim!JI47=Sheet6!$C$5,Sheet6!$C$5,IF(Tim!JI47=Sheet6!$C$6,Sheet6!$C$6,IF(Tim!JI47=Sheet6!$C$7,Sheet6!$C$7,IF(Tim!JI47=Sheet6!$C$8,Sheet6!$C$8,"")))))))</f>
        <v/>
      </c>
      <c r="DD45" s="54" t="str">
        <f>IF(Tim!JJ47=Sheet6!$C$2,Sheet6!$C$2,IF(Tim!JJ47=Sheet6!$C$3,Sheet6!$C$3,IF(Tim!JJ47=Sheet6!$C$4,Sheet6!$C$4,IF(Tim!JJ47=Sheet6!$C$5,Sheet6!$C$5,IF(Tim!JJ47=Sheet6!$C$6,Sheet6!$C$6,IF(Tim!JJ47=Sheet6!$C$7,Sheet6!$C$7,IF(Tim!JJ47=Sheet6!$C$8,Sheet6!$C$8,"")))))))</f>
        <v/>
      </c>
      <c r="DE45" s="54" t="str">
        <f>IF(Tim!JK47=Sheet6!$C$2,Sheet6!$C$2,IF(Tim!JK47=Sheet6!$C$3,Sheet6!$C$3,IF(Tim!JK47=Sheet6!$C$4,Sheet6!$C$4,IF(Tim!JK47=Sheet6!$C$5,Sheet6!$C$5,IF(Tim!JK47=Sheet6!$C$6,Sheet6!$C$6,IF(Tim!JK47=Sheet6!$C$7,Sheet6!$C$7,IF(Tim!JK47=Sheet6!$C$8,Sheet6!$C$8,"")))))))</f>
        <v/>
      </c>
      <c r="DF45" s="54" t="str">
        <f>IF(Tim!JL47=Sheet6!$C$2,Sheet6!$C$2,IF(Tim!JL47=Sheet6!$C$3,Sheet6!$C$3,IF(Tim!JL47=Sheet6!$C$4,Sheet6!$C$4,IF(Tim!JL47=Sheet6!$C$5,Sheet6!$C$5,IF(Tim!JL47=Sheet6!$C$6,Sheet6!$C$6,IF(Tim!JL47=Sheet6!$C$7,Sheet6!$C$7,IF(Tim!JL47=Sheet6!$C$8,Sheet6!$C$8,"")))))))</f>
        <v/>
      </c>
      <c r="DG45" s="55" t="str">
        <f>IF(Tim!JM47=Sheet6!$C$2,Sheet6!$C$2,IF(Tim!JM47=Sheet6!$C$3,Sheet6!$C$3,IF(Tim!JM47=Sheet6!$C$4,Sheet6!$C$4,IF(Tim!JM47=Sheet6!$C$5,Sheet6!$C$5,IF(Tim!JM47=Sheet6!$C$6,Sheet6!$C$6,IF(Tim!JM47=Sheet6!$C$7,Sheet6!$C$7,IF(Tim!JM47=Sheet6!$C$8,Sheet6!$C$8,"")))))))</f>
        <v/>
      </c>
      <c r="DH45" s="56" t="str">
        <f>IF(Tim!JN47=Sheet6!$C$2,Sheet6!$C$2,IF(Tim!JN47=Sheet6!$C$3,Sheet6!$C$3,IF(Tim!JN47=Sheet6!$C$4,Sheet6!$C$4,IF(Tim!JN47=Sheet6!$C$5,Sheet6!$C$5,IF(Tim!JN47=Sheet6!$C$6,Sheet6!$C$6,IF(Tim!JN47=Sheet6!$C$7,Sheet6!$C$7,IF(Tim!JN47=Sheet6!$C$8,Sheet6!$C$8,"")))))))</f>
        <v/>
      </c>
      <c r="DI45" s="57" t="str">
        <f>IF(Tim!JS47=Sheet6!$C$2,Sheet6!$C$2,IF(Tim!JS47=Sheet6!$C$3,Sheet6!$C$3,IF(Tim!JS47=Sheet6!$C$4,Sheet6!$C$4,IF(Tim!JS47=Sheet6!$C$5,Sheet6!$C$5,IF(Tim!JS47=Sheet6!$C$6,Sheet6!$C$6,IF(Tim!JS47=Sheet6!$C$7,Sheet6!$C$7,IF(Tim!JS47=Sheet6!$C$8,Sheet6!$C$8,"")))))))</f>
        <v/>
      </c>
      <c r="DJ45" s="57" t="str">
        <f>IF(Tim!KB47=Sheet6!$C$2,Sheet6!$C$2,IF(Tim!KB47=Sheet6!$C$3,Sheet6!$C$3,IF(Tim!KB47=Sheet6!$C$4,Sheet6!$C$4,IF(Tim!KB47=Sheet6!$C$5,Sheet6!$C$5,IF(Tim!KB47=Sheet6!$C$6,Sheet6!$C$6,IF(Tim!KB47=Sheet6!$C$7,Sheet6!$C$7,IF(Tim!KB47=Sheet6!$C$8,Sheet6!$C$8,"")))))))</f>
        <v/>
      </c>
      <c r="DK45" s="53" t="str">
        <f>IF(Tim!KI47=Sheet6!$C$2,Sheet6!$C$2,IF(Tim!KI47=Sheet6!$C$3,Sheet6!$C$3,IF(Tim!KI47=Sheet6!$C$4,Sheet6!$C$4,IF(Tim!KI47=Sheet6!$C$5,Sheet6!$C$5,IF(Tim!KI47=Sheet6!$C$6,Sheet6!$C$6,IF(Tim!KI47=Sheet6!$C$7,Sheet6!$C$7,IF(Tim!KI47=Sheet6!$C$8,Sheet6!$C$8,"")))))))</f>
        <v/>
      </c>
      <c r="DL45" s="53" t="str">
        <f>IF(Tim!KJ47=Sheet6!$C$2,Sheet6!$C$2,IF(Tim!KJ47=Sheet6!$C$3,Sheet6!$C$3,IF(Tim!KJ47=Sheet6!$C$4,Sheet6!$C$4,IF(Tim!KJ47=Sheet6!$C$5,Sheet6!$C$5,IF(Tim!KJ47=Sheet6!$C$6,Sheet6!$C$6,IF(Tim!KJ47=Sheet6!$C$7,Sheet6!$C$7,IF(Tim!KJ47=Sheet6!$C$8,Sheet6!$C$8,"")))))))</f>
        <v/>
      </c>
      <c r="DM45" s="53" t="str">
        <f>IF(Tim!KR47=Sheet6!$C$2,Sheet6!$C$2,IF(Tim!KR47=Sheet6!$C$3,Sheet6!$C$3,IF(Tim!KR47=Sheet6!$C$4,Sheet6!$C$4,IF(Tim!KR47=Sheet6!$C$5,Sheet6!$C$5,IF(Tim!KR47=Sheet6!$C$6,Sheet6!$C$6,IF(Tim!KR47=Sheet6!$C$7,Sheet6!$C$7,IF(Tim!KR47=Sheet6!$C$8,Sheet6!$C$8,"")))))))</f>
        <v/>
      </c>
      <c r="DN45" s="53" t="str">
        <f>IF(Tim!KS47=Sheet6!$C$2,Sheet6!$C$2,IF(Tim!KS47=Sheet6!$C$3,Sheet6!$C$3,IF(Tim!KS47=Sheet6!$C$4,Sheet6!$C$4,IF(Tim!KS47=Sheet6!$C$5,Sheet6!$C$5,IF(Tim!KS47=Sheet6!$C$6,Sheet6!$C$6,IF(Tim!KS47=Sheet6!$C$7,Sheet6!$C$7,IF(Tim!KS47=Sheet6!$C$8,Sheet6!$C$8,"")))))))</f>
        <v/>
      </c>
      <c r="DO45" s="53" t="str">
        <f>IF(Tim!KT47=Sheet6!$C$2,Sheet6!$C$2,IF(Tim!KT47=Sheet6!$C$3,Sheet6!$C$3,IF(Tim!KT47=Sheet6!$C$4,Sheet6!$C$4,IF(Tim!KT47=Sheet6!$C$5,Sheet6!$C$5,IF(Tim!KT47=Sheet6!$C$6,Sheet6!$C$6,IF(Tim!KT47=Sheet6!$C$7,Sheet6!$C$7,IF(Tim!KT47=Sheet6!$C$8,Sheet6!$C$8,"")))))))</f>
        <v/>
      </c>
      <c r="DP45" s="53" t="str">
        <f>IF(Tim!KU47=Sheet6!$C$2,Sheet6!$C$2,IF(Tim!KU47=Sheet6!$C$3,Sheet6!$C$3,IF(Tim!KU47=Sheet6!$C$4,Sheet6!$C$4,IF(Tim!KU47=Sheet6!$C$5,Sheet6!$C$5,IF(Tim!KU47=Sheet6!$C$6,Sheet6!$C$6,IF(Tim!KU47=Sheet6!$C$7,Sheet6!$C$7,IF(Tim!KU47=Sheet6!$C$8,Sheet6!$C$8,"")))))))</f>
        <v/>
      </c>
      <c r="DQ45" s="53" t="str">
        <f>IF(Tim!KV47=Sheet6!$C$2,Sheet6!$C$2,IF(Tim!KV47=Sheet6!$C$3,Sheet6!$C$3,IF(Tim!KV47=Sheet6!$C$4,Sheet6!$C$4,IF(Tim!KV47=Sheet6!$C$5,Sheet6!$C$5,IF(Tim!KV47=Sheet6!$C$6,Sheet6!$C$6,IF(Tim!KV47=Sheet6!$C$7,Sheet6!$C$7,IF(Tim!KV47=Sheet6!$C$8,Sheet6!$C$8,"")))))))</f>
        <v/>
      </c>
      <c r="DR45" s="53" t="str">
        <f>IF(Tim!KW47=Sheet6!$C$2,Sheet6!$C$2,IF(Tim!KW47=Sheet6!$C$3,Sheet6!$C$3,IF(Tim!KW47=Sheet6!$C$4,Sheet6!$C$4,IF(Tim!KW47=Sheet6!$C$5,Sheet6!$C$5,IF(Tim!KW47=Sheet6!$C$6,Sheet6!$C$6,IF(Tim!KW47=Sheet6!$C$7,Sheet6!$C$7,IF(Tim!KW47=Sheet6!$C$8,Sheet6!$C$8,"")))))))</f>
        <v/>
      </c>
      <c r="DS45" s="53" t="str">
        <f>IF(Tim!LA47=Sheet6!$C$2,Sheet6!$C$2,IF(Tim!LA47=Sheet6!$C$3,Sheet6!$C$3,IF(Tim!LA47=Sheet6!$C$4,Sheet6!$C$4,IF(Tim!LA47=Sheet6!$C$5,Sheet6!$C$5,IF(Tim!LA47=Sheet6!$C$6,Sheet6!$C$6,IF(Tim!LA47=Sheet6!$C$7,Sheet6!$C$7,IF(Tim!LA47=Sheet6!$C$8,Sheet6!$C$8,"")))))))</f>
        <v/>
      </c>
      <c r="DT45" s="54" t="str">
        <f>IF(Tim!LB47=Sheet6!$C$2,Sheet6!$C$2,IF(Tim!LB47=Sheet6!$C$3,Sheet6!$C$3,IF(Tim!LB47=Sheet6!$C$4,Sheet6!$C$4,IF(Tim!LB47=Sheet6!$C$5,Sheet6!$C$5,IF(Tim!LB47=Sheet6!$C$6,Sheet6!$C$6,IF(Tim!LB47=Sheet6!$C$7,Sheet6!$C$7,IF(Tim!LB47=Sheet6!$C$8,Sheet6!$C$8,"")))))))</f>
        <v/>
      </c>
      <c r="DU45" s="54" t="str">
        <f>IF(Tim!LC47=Sheet6!$C$2,Sheet6!$C$2,IF(Tim!LC47=Sheet6!$C$3,Sheet6!$C$3,IF(Tim!LC47=Sheet6!$C$4,Sheet6!$C$4,IF(Tim!LC47=Sheet6!$C$5,Sheet6!$C$5,IF(Tim!LC47=Sheet6!$C$6,Sheet6!$C$6,IF(Tim!LC47=Sheet6!$C$7,Sheet6!$C$7,IF(Tim!LC47=Sheet6!$C$8,Sheet6!$C$8,"")))))))</f>
        <v/>
      </c>
      <c r="DV45" s="54" t="str">
        <f>IF(Tim!LD47=Sheet6!$C$2,Sheet6!$C$2,IF(Tim!LD47=Sheet6!$C$3,Sheet6!$C$3,IF(Tim!LD47=Sheet6!$C$4,Sheet6!$C$4,IF(Tim!LD47=Sheet6!$C$5,Sheet6!$C$5,IF(Tim!LD47=Sheet6!$C$6,Sheet6!$C$6,IF(Tim!LD47=Sheet6!$C$7,Sheet6!$C$7,IF(Tim!LD47=Sheet6!$C$8,Sheet6!$C$8,"")))))))</f>
        <v/>
      </c>
      <c r="DW45" s="55" t="str">
        <f>IF(Tim!LE47=Sheet6!$C$2,Sheet6!$C$2,IF(Tim!LE47=Sheet6!$C$3,Sheet6!$C$3,IF(Tim!LE47=Sheet6!$C$4,Sheet6!$C$4,IF(Tim!LE47=Sheet6!$C$5,Sheet6!$C$5,IF(Tim!LE47=Sheet6!$C$6,Sheet6!$C$6,IF(Tim!LE47=Sheet6!$C$7,Sheet6!$C$7,IF(Tim!LE47=Sheet6!$C$8,Sheet6!$C$8,"")))))))</f>
        <v/>
      </c>
      <c r="DX45" s="52">
        <v>0.70833333333333204</v>
      </c>
    </row>
    <row r="46" spans="2:128" ht="10.5" customHeight="1">
      <c r="B46" s="51">
        <v>0.25</v>
      </c>
      <c r="C46" s="51">
        <v>0.25</v>
      </c>
      <c r="D46" s="51">
        <v>0.25</v>
      </c>
      <c r="E46" s="52">
        <v>0.718749999999999</v>
      </c>
      <c r="F46" s="53" t="str">
        <f>IF(Tim!F48=Sheet6!$C$2,Sheet6!$C$2,IF(Tim!F48=Sheet6!$C$3,Sheet6!$C$3,IF(Tim!F48=Sheet6!$C$4,Sheet6!$C$4,IF(Tim!F48=Sheet6!$C$5,Sheet6!$C$5,IF(Tim!F48=Sheet6!$C$6,Sheet6!$C$6,IF(Tim!F48=Sheet6!$C$7,Sheet6!$C$7,IF(Tim!F48=Sheet6!$C$8,Sheet6!$C$8,"")))))))</f>
        <v/>
      </c>
      <c r="G46" s="53" t="str">
        <f>IF(Tim!G48=Sheet6!$C$2,Sheet6!$C$2,IF(Tim!G48=Sheet6!$C$3,Sheet6!$C$3,IF(Tim!G48=Sheet6!$C$4,Sheet6!$C$4,IF(Tim!G48=Sheet6!$C$5,Sheet6!$C$5,IF(Tim!G48=Sheet6!$C$6,Sheet6!$C$6,IF(Tim!G48=Sheet6!$C$7,Sheet6!$C$7,IF(Tim!G48=Sheet6!$C$8,Sheet6!$C$8,"")))))))</f>
        <v/>
      </c>
      <c r="H46" s="53" t="str">
        <f>IF(Tim!H48=Sheet6!$C$2,Sheet6!$C$2,IF(Tim!H48=Sheet6!$C$3,Sheet6!$C$3,IF(Tim!H48=Sheet6!$C$4,Sheet6!$C$4,IF(Tim!H48=Sheet6!$C$5,Sheet6!$C$5,IF(Tim!H48=Sheet6!$C$6,Sheet6!$C$6,IF(Tim!H48=Sheet6!$C$7,Sheet6!$C$7,IF(Tim!H48=Sheet6!$C$8,Sheet6!$C$8,"")))))))</f>
        <v/>
      </c>
      <c r="I46" s="53" t="str">
        <f>IF(Tim!L48=Sheet6!$C$2,Sheet6!$C$2,IF(Tim!L48=Sheet6!$C$3,Sheet6!$C$3,IF(Tim!L48=Sheet6!$C$4,Sheet6!$C$4,IF(Tim!L48=Sheet6!$C$5,Sheet6!$C$5,IF(Tim!L48=Sheet6!$C$6,Sheet6!$C$6,IF(Tim!L48=Sheet6!$C$7,Sheet6!$C$7,IF(Tim!L48=Sheet6!$C$8,Sheet6!$C$8,"")))))))</f>
        <v/>
      </c>
      <c r="J46" s="53" t="str">
        <f>IF(Tim!T48=Sheet6!$C$2,Sheet6!$C$2,IF(Tim!T48=Sheet6!$C$3,Sheet6!$C$3,IF(Tim!T48=Sheet6!$C$4,Sheet6!$C$4,IF(Tim!T48=Sheet6!$C$5,Sheet6!$C$5,IF(Tim!T48=Sheet6!$C$6,Sheet6!$C$6,IF(Tim!T48=Sheet6!$C$7,Sheet6!$C$7,IF(Tim!T48=Sheet6!$C$8,Sheet6!$C$8,"")))))))</f>
        <v/>
      </c>
      <c r="K46" s="53" t="str">
        <f>IF(Tim!AB48=Sheet6!$C$2,Sheet6!$C$2,IF(Tim!AB48=Sheet6!$C$3,Sheet6!$C$3,IF(Tim!AB48=Sheet6!$C$4,Sheet6!$C$4,IF(Tim!AB48=Sheet6!$C$5,Sheet6!$C$5,IF(Tim!AB48=Sheet6!$C$6,Sheet6!$C$6,IF(Tim!AB48=Sheet6!$C$7,Sheet6!$C$7,IF(Tim!AB48=Sheet6!$C$8,Sheet6!$C$8,"")))))))</f>
        <v/>
      </c>
      <c r="L46" s="53" t="str">
        <f>IF(Tim!AC48=Sheet6!$C$2,Sheet6!$C$2,IF(Tim!AC48=Sheet6!$C$3,Sheet6!$C$3,IF(Tim!AC48=Sheet6!$C$4,Sheet6!$C$4,IF(Tim!AC48=Sheet6!$C$5,Sheet6!$C$5,IF(Tim!AC48=Sheet6!$C$6,Sheet6!$C$6,IF(Tim!AC48=Sheet6!$C$7,Sheet6!$C$7,IF(Tim!AC48=Sheet6!$C$8,Sheet6!$C$8,"")))))))</f>
        <v/>
      </c>
      <c r="M46" s="53" t="str">
        <f>IF(Tim!AJ48=Sheet6!$C$2,Sheet6!$C$2,IF(Tim!AJ48=Sheet6!$C$3,Sheet6!$C$3,IF(Tim!AJ48=Sheet6!$C$4,Sheet6!$C$4,IF(Tim!AJ48=Sheet6!$C$5,Sheet6!$C$5,IF(Tim!AJ48=Sheet6!$C$6,Sheet6!$C$6,IF(Tim!AJ48=Sheet6!$C$7,Sheet6!$C$7,IF(Tim!AJ48=Sheet6!$C$8,Sheet6!$C$8,"")))))))</f>
        <v/>
      </c>
      <c r="N46" s="53" t="str">
        <f>IF(Tim!AK48=Sheet6!$C$2,Sheet6!$C$2,IF(Tim!AK48=Sheet6!$C$3,Sheet6!$C$3,IF(Tim!AK48=Sheet6!$C$4,Sheet6!$C$4,IF(Tim!AK48=Sheet6!$C$5,Sheet6!$C$5,IF(Tim!AK48=Sheet6!$C$6,Sheet6!$C$6,IF(Tim!AK48=Sheet6!$C$7,Sheet6!$C$7,IF(Tim!AK48=Sheet6!$C$8,Sheet6!$C$8,"")))))))</f>
        <v/>
      </c>
      <c r="O46" s="53" t="str">
        <f>IF(Tim!AL48=Sheet6!$C$2,Sheet6!$C$2,IF(Tim!AL48=Sheet6!$C$3,Sheet6!$C$3,IF(Tim!AL48=Sheet6!$C$4,Sheet6!$C$4,IF(Tim!AL48=Sheet6!$C$5,Sheet6!$C$5,IF(Tim!AL48=Sheet6!$C$6,Sheet6!$C$6,IF(Tim!AL48=Sheet6!$C$7,Sheet6!$C$7,IF(Tim!AL48=Sheet6!$C$8,Sheet6!$C$8,"")))))))</f>
        <v/>
      </c>
      <c r="P46" s="53" t="str">
        <f>IF(Tim!AN48=Sheet6!$C$2,Sheet6!$C$2,IF(Tim!AN48=Sheet6!$C$3,Sheet6!$C$3,IF(Tim!AN48=Sheet6!$C$4,Sheet6!$C$4,IF(Tim!AN48=Sheet6!$C$5,Sheet6!$C$5,IF(Tim!AN48=Sheet6!$C$6,Sheet6!$C$6,IF(Tim!AN48=Sheet6!$C$7,Sheet6!$C$7,IF(Tim!AN48=Sheet6!$C$8,Sheet6!$C$8,"")))))))</f>
        <v/>
      </c>
      <c r="Q46" s="176" t="str">
        <f>IF(Tim!AO48=Sheet6!$C$2,Sheet6!$C$2,IF(Tim!AO48=Sheet6!$C$3,Sheet6!$C$3,IF(Tim!AO48=Sheet6!$C$4,Sheet6!$C$4,IF(Tim!AO48=Sheet6!$C$5,Sheet6!$C$5,IF(Tim!AO48=Sheet6!$C$6,Sheet6!$C$6,IF(Tim!AO48=Sheet6!$C$7,Sheet6!$C$7,IF(Tim!AO48=Sheet6!$C$8,Sheet6!$C$8,"")))))))</f>
        <v/>
      </c>
      <c r="R46" s="53" t="str">
        <f>IF(Tim!AP48=Sheet6!$C$2,Sheet6!$C$2,IF(Tim!AP48=Sheet6!$C$3,Sheet6!$C$3,IF(Tim!AP48=Sheet6!$C$4,Sheet6!$C$4,IF(Tim!AP48=Sheet6!$C$5,Sheet6!$C$5,IF(Tim!AP48=Sheet6!$C$6,Sheet6!$C$6,IF(Tim!AP48=Sheet6!$C$7,Sheet6!$C$7,IF(Tim!AP48=Sheet6!$C$8,Sheet6!$C$8,"")))))))</f>
        <v/>
      </c>
      <c r="S46" s="53" t="str">
        <f>IF(Tim!AT48=Sheet6!$C$2,Sheet6!$C$2,IF(Tim!AT48=Sheet6!$C$3,Sheet6!$C$3,IF(Tim!AT48=Sheet6!$C$4,Sheet6!$C$4,IF(Tim!AT48=Sheet6!$C$5,Sheet6!$C$5,IF(Tim!AT48=Sheet6!$C$6,Sheet6!$C$6,IF(Tim!AT48=Sheet6!$C$7,Sheet6!$C$7,IF(Tim!AT48=Sheet6!$C$8,Sheet6!$C$8,"")))))))</f>
        <v/>
      </c>
      <c r="T46" s="54" t="str">
        <f>IF(Tim!AU48=Sheet6!$C$2,Sheet6!$C$2,IF(Tim!AU48=Sheet6!$C$3,Sheet6!$C$3,IF(Tim!AU48=Sheet6!$C$4,Sheet6!$C$4,IF(Tim!AU48=Sheet6!$C$5,Sheet6!$C$5,IF(Tim!AU48=Sheet6!$C$6,Sheet6!$C$6,IF(Tim!AU48=Sheet6!$C$7,Sheet6!$C$7,IF(Tim!AU48=Sheet6!$C$8,Sheet6!$C$8,"")))))))</f>
        <v/>
      </c>
      <c r="U46" s="54" t="str">
        <f>IF(Tim!AV48=Sheet6!$C$2,Sheet6!$C$2,IF(Tim!AV48=Sheet6!$C$3,Sheet6!$C$3,IF(Tim!AV48=Sheet6!$C$4,Sheet6!$C$4,IF(Tim!AV48=Sheet6!$C$5,Sheet6!$C$5,IF(Tim!AV48=Sheet6!$C$6,Sheet6!$C$6,IF(Tim!AV48=Sheet6!$C$7,Sheet6!$C$7,IF(Tim!AV48=Sheet6!$C$8,Sheet6!$C$8,"")))))))</f>
        <v/>
      </c>
      <c r="V46" s="54" t="str">
        <f>IF(Tim!AW48=Sheet6!$C$2,Sheet6!$C$2,IF(Tim!AW48=Sheet6!$C$3,Sheet6!$C$3,IF(Tim!AW48=Sheet6!$C$4,Sheet6!$C$4,IF(Tim!AW48=Sheet6!$C$5,Sheet6!$C$5,IF(Tim!AW48=Sheet6!$C$6,Sheet6!$C$6,IF(Tim!AW48=Sheet6!$C$7,Sheet6!$C$7,IF(Tim!AW48=Sheet6!$C$8,Sheet6!$C$8,"")))))))</f>
        <v/>
      </c>
      <c r="W46" s="55" t="str">
        <f>IF(Tim!AX48=Sheet6!$C$2,Sheet6!$C$2,IF(Tim!AX48=Sheet6!$C$3,Sheet6!$C$3,IF(Tim!AX48=Sheet6!$C$4,Sheet6!$C$4,IF(Tim!AX48=Sheet6!$C$5,Sheet6!$C$5,IF(Tim!AX48=Sheet6!$C$6,Sheet6!$C$6,IF(Tim!AX48=Sheet6!$C$7,Sheet6!$C$7,IF(Tim!AX48=Sheet6!$C$8,Sheet6!$C$8,"")))))))</f>
        <v/>
      </c>
      <c r="X46" s="53" t="str">
        <f>IF(Tim!AY48=Sheet6!$C$2,Sheet6!$C$2,IF(Tim!AY48=Sheet6!$C$3,Sheet6!$C$3,IF(Tim!AY48=Sheet6!$C$4,Sheet6!$C$4,IF(Tim!AY48=Sheet6!$C$5,Sheet6!$C$5,IF(Tim!AY48=Sheet6!$C$6,Sheet6!$C$6,IF(Tim!AY48=Sheet6!$C$7,Sheet6!$C$7,IF(Tim!AY48=Sheet6!$C$8,Sheet6!$C$8,"")))))))</f>
        <v/>
      </c>
      <c r="Y46" s="53" t="str">
        <f>IF(Tim!AZ48=Sheet6!$C$2,Sheet6!$C$2,IF(Tim!AZ48=Sheet6!$C$3,Sheet6!$C$3,IF(Tim!AZ48=Sheet6!$C$4,Sheet6!$C$4,IF(Tim!AZ48=Sheet6!$C$5,Sheet6!$C$5,IF(Tim!AZ48=Sheet6!$C$6,Sheet6!$C$6,IF(Tim!AZ48=Sheet6!$C$7,Sheet6!$C$7,IF(Tim!AZ48=Sheet6!$C$8,Sheet6!$C$8,"")))))))</f>
        <v/>
      </c>
      <c r="Z46" s="57" t="str">
        <f>IF(Tim!BD48=Sheet6!$C$2,Sheet6!$C$2,IF(Tim!BD48=Sheet6!$C$3,Sheet6!$C$3,IF(Tim!BD48=Sheet6!$C$4,Sheet6!$C$4,IF(Tim!BD48=Sheet6!$C$5,Sheet6!$C$5,IF(Tim!BD48=Sheet6!$C$6,Sheet6!$C$6,IF(Tim!BD48=Sheet6!$C$7,Sheet6!$C$7,IF(Tim!BD48=Sheet6!$C$8,Sheet6!$C$8,"")))))))</f>
        <v/>
      </c>
      <c r="AA46" s="57" t="str">
        <f>IF(Tim!BE48=Sheet6!$C$2,Sheet6!$C$2,IF(Tim!BE48=Sheet6!$C$3,Sheet6!$C$3,IF(Tim!BE48=Sheet6!$C$4,Sheet6!$C$4,IF(Tim!BE48=Sheet6!$C$5,Sheet6!$C$5,IF(Tim!BE48=Sheet6!$C$6,Sheet6!$C$6,IF(Tim!BE48=Sheet6!$C$7,Sheet6!$C$7,IF(Tim!BE48=Sheet6!$C$8,Sheet6!$C$8,"")))))))</f>
        <v/>
      </c>
      <c r="AB46" s="57" t="str">
        <f>IF(Tim!BL48=Sheet6!$C$2,Sheet6!$C$2,IF(Tim!BL48=Sheet6!$C$3,Sheet6!$C$3,IF(Tim!BL48=Sheet6!$C$4,Sheet6!$C$4,IF(Tim!BL48=Sheet6!$C$5,Sheet6!$C$5,IF(Tim!BL48=Sheet6!$C$6,Sheet6!$C$6,IF(Tim!BL48=Sheet6!$C$7,Sheet6!$C$7,IF(Tim!BL48=Sheet6!$C$8,Sheet6!$C$8,"")))))))</f>
        <v/>
      </c>
      <c r="AC46" s="53" t="str">
        <f>IF(Tim!BT48=Sheet6!$C$2,Sheet6!$C$2,IF(Tim!BT48=Sheet6!$C$3,Sheet6!$C$3,IF(Tim!BT48=Sheet6!$C$4,Sheet6!$C$4,IF(Tim!BT48=Sheet6!$C$5,Sheet6!$C$5,IF(Tim!BT48=Sheet6!$C$6,Sheet6!$C$6,IF(Tim!BT48=Sheet6!$C$7,Sheet6!$C$7,IF(Tim!BT48=Sheet6!$C$8,Sheet6!$C$8,"")))))))</f>
        <v/>
      </c>
      <c r="AD46" s="53" t="str">
        <f>IF(Tim!BU48=Sheet6!$C$2,Sheet6!$C$2,IF(Tim!BU48=Sheet6!$C$3,Sheet6!$C$3,IF(Tim!BU48=Sheet6!$C$4,Sheet6!$C$4,IF(Tim!BU48=Sheet6!$C$5,Sheet6!$C$5,IF(Tim!BU48=Sheet6!$C$6,Sheet6!$C$6,IF(Tim!BU48=Sheet6!$C$7,Sheet6!$C$7,IF(Tim!BU48=Sheet6!$C$8,Sheet6!$C$8,"")))))))</f>
        <v/>
      </c>
      <c r="AE46" s="53" t="str">
        <f>IF(Tim!CB48=Sheet6!$C$2,Sheet6!$C$2,IF(Tim!CB48=Sheet6!$C$3,Sheet6!$C$3,IF(Tim!CB48=Sheet6!$C$4,Sheet6!$C$4,IF(Tim!CB48=Sheet6!$C$5,Sheet6!$C$5,IF(Tim!CB48=Sheet6!$C$6,Sheet6!$C$6,IF(Tim!CB48=Sheet6!$C$7,Sheet6!$C$7,IF(Tim!CB48=Sheet6!$C$8,Sheet6!$C$8,"")))))))</f>
        <v/>
      </c>
      <c r="AF46" s="53" t="str">
        <f>IF(Tim!CD48=Sheet6!$C$2,Sheet6!$C$2,IF(Tim!CD48=Sheet6!$C$3,Sheet6!$C$3,IF(Tim!CD48=Sheet6!$C$4,Sheet6!$C$4,IF(Tim!CD48=Sheet6!$C$5,Sheet6!$C$5,IF(Tim!CD48=Sheet6!$C$6,Sheet6!$C$6,IF(Tim!CD48=Sheet6!$C$7,Sheet6!$C$7,IF(Tim!CD48=Sheet6!$C$8,Sheet6!$C$8,"")))))))</f>
        <v/>
      </c>
      <c r="AG46" s="53" t="str">
        <f>IF(Tim!CE48=Sheet6!$C$2,Sheet6!$C$2,IF(Tim!CE48=Sheet6!$C$3,Sheet6!$C$3,IF(Tim!CE48=Sheet6!$C$4,Sheet6!$C$4,IF(Tim!CE48=Sheet6!$C$5,Sheet6!$C$5,IF(Tim!CE48=Sheet6!$C$6,Sheet6!$C$6,IF(Tim!CE48=Sheet6!$C$7,Sheet6!$C$7,IF(Tim!CE48=Sheet6!$C$8,Sheet6!$C$8,"")))))))</f>
        <v/>
      </c>
      <c r="AH46" s="176" t="str">
        <f>IF(Tim!CF48=Sheet6!$C$2,Sheet6!$C$2,IF(Tim!CF48=Sheet6!$C$3,Sheet6!$C$3,IF(Tim!CF48=Sheet6!$C$4,Sheet6!$C$4,IF(Tim!CF48=Sheet6!$C$5,Sheet6!$C$5,IF(Tim!CF48=Sheet6!$C$6,Sheet6!$C$6,IF(Tim!CF48=Sheet6!$C$7,Sheet6!$C$7,IF(Tim!CF48=Sheet6!$C$8,Sheet6!$C$8,"")))))))</f>
        <v/>
      </c>
      <c r="AI46" s="176" t="str">
        <f>IF(Tim!CG48=Sheet6!$C$2,Sheet6!$C$2,IF(Tim!CG48=Sheet6!$C$3,Sheet6!$C$3,IF(Tim!CG48=Sheet6!$C$4,Sheet6!$C$4,IF(Tim!CG48=Sheet6!$C$5,Sheet6!$C$5,IF(Tim!CG48=Sheet6!$C$6,Sheet6!$C$6,IF(Tim!CG48=Sheet6!$C$7,Sheet6!$C$7,IF(Tim!CG48=Sheet6!$C$8,Sheet6!$C$8,"")))))))</f>
        <v/>
      </c>
      <c r="AJ46" s="53" t="str">
        <f>IF(Tim!CH48=Sheet6!$C$2,Sheet6!$C$2,IF(Tim!CH48=Sheet6!$C$3,Sheet6!$C$3,IF(Tim!CH48=Sheet6!$C$4,Sheet6!$C$4,IF(Tim!CH48=Sheet6!$C$5,Sheet6!$C$5,IF(Tim!CH48=Sheet6!$C$6,Sheet6!$C$6,IF(Tim!CH48=Sheet6!$C$7,Sheet6!$C$7,IF(Tim!CH48=Sheet6!$C$8,Sheet6!$C$8,"")))))))</f>
        <v/>
      </c>
      <c r="AK46" s="53" t="str">
        <f>IF(Tim!CL48=Sheet6!$C$2,Sheet6!$C$2,IF(Tim!CL48=Sheet6!$C$3,Sheet6!$C$3,IF(Tim!CL48=Sheet6!$C$4,Sheet6!$C$4,IF(Tim!CL48=Sheet6!$C$5,Sheet6!$C$5,IF(Tim!CL48=Sheet6!$C$6,Sheet6!$C$6,IF(Tim!CL48=Sheet6!$C$7,Sheet6!$C$7,IF(Tim!CL48=Sheet6!$C$8,Sheet6!$C$8,"")))))))</f>
        <v/>
      </c>
      <c r="AL46" s="54" t="str">
        <f>IF(Tim!CM48=Sheet6!$C$2,Sheet6!$C$2,IF(Tim!CM48=Sheet6!$C$3,Sheet6!$C$3,IF(Tim!CM48=Sheet6!$C$4,Sheet6!$C$4,IF(Tim!CM48=Sheet6!$C$5,Sheet6!$C$5,IF(Tim!CM48=Sheet6!$C$6,Sheet6!$C$6,IF(Tim!CM48=Sheet6!$C$7,Sheet6!$C$7,IF(Tim!CM48=Sheet6!$C$8,Sheet6!$C$8,"")))))))</f>
        <v/>
      </c>
      <c r="AM46" s="54" t="str">
        <f>IF(Tim!CN48=Sheet6!$C$2,Sheet6!$C$2,IF(Tim!CN48=Sheet6!$C$3,Sheet6!$C$3,IF(Tim!CN48=Sheet6!$C$4,Sheet6!$C$4,IF(Tim!CN48=Sheet6!$C$5,Sheet6!$C$5,IF(Tim!CN48=Sheet6!$C$6,Sheet6!$C$6,IF(Tim!CN48=Sheet6!$C$7,Sheet6!$C$7,IF(Tim!CN48=Sheet6!$C$8,Sheet6!$C$8,"")))))))</f>
        <v/>
      </c>
      <c r="AN46" s="54" t="str">
        <f>IF(Tim!CO48=Sheet6!$C$2,Sheet6!$C$2,IF(Tim!CO48=Sheet6!$C$3,Sheet6!$C$3,IF(Tim!CO48=Sheet6!$C$4,Sheet6!$C$4,IF(Tim!CO48=Sheet6!$C$5,Sheet6!$C$5,IF(Tim!CO48=Sheet6!$C$6,Sheet6!$C$6,IF(Tim!CO48=Sheet6!$C$7,Sheet6!$C$7,IF(Tim!CO48=Sheet6!$C$8,Sheet6!$C$8,"")))))))</f>
        <v/>
      </c>
      <c r="AO46" s="177" t="str">
        <f>IF(Tim!CP48=Sheet6!$C$2,Sheet6!$C$2,IF(Tim!CP48=Sheet6!$C$3,Sheet6!$C$3,IF(Tim!CP48=Sheet6!$C$4,Sheet6!$C$4,IF(Tim!CP48=Sheet6!$C$5,Sheet6!$C$5,IF(Tim!CP48=Sheet6!$C$6,Sheet6!$C$6,IF(Tim!CP48=Sheet6!$C$7,Sheet6!$C$7,IF(Tim!CP48=Sheet6!$C$8,Sheet6!$C$8,"")))))))</f>
        <v/>
      </c>
      <c r="AP46" s="57" t="str">
        <f>IF(Tim!CQ48=Sheet6!$C$2,Sheet6!$C$2,IF(Tim!CQ48=Sheet6!$C$3,Sheet6!$C$3,IF(Tim!CQ48=Sheet6!$C$4,Sheet6!$C$4,IF(Tim!CQ48=Sheet6!$C$5,Sheet6!$C$5,IF(Tim!CQ48=Sheet6!$C$6,Sheet6!$C$6,IF(Tim!CQ48=Sheet6!$C$7,Sheet6!$C$7,IF(Tim!CQ48=Sheet6!$C$8,Sheet6!$C$8,"")))))))</f>
        <v/>
      </c>
      <c r="AQ46" s="57" t="str">
        <f>IF(Tim!CR48=Sheet6!$C$2,Sheet6!$C$2,IF(Tim!CR48=Sheet6!$C$3,Sheet6!$C$3,IF(Tim!CR48=Sheet6!$C$4,Sheet6!$C$4,IF(Tim!CR48=Sheet6!$C$5,Sheet6!$C$5,IF(Tim!CR48=Sheet6!$C$6,Sheet6!$C$6,IF(Tim!CR48=Sheet6!$C$7,Sheet6!$C$7,IF(Tim!CR48=Sheet6!$C$8,Sheet6!$C$8,"")))))))</f>
        <v/>
      </c>
      <c r="AR46" s="57" t="str">
        <f>IF(Tim!CV48=Sheet6!$C$2,Sheet6!$C$2,IF(Tim!CV48=Sheet6!$C$3,Sheet6!$C$3,IF(Tim!CV48=Sheet6!$C$4,Sheet6!$C$4,IF(Tim!CV48=Sheet6!$C$5,Sheet6!$C$5,IF(Tim!CV48=Sheet6!$C$6,Sheet6!$C$6,IF(Tim!CV48=Sheet6!$C$7,Sheet6!$C$7,IF(Tim!CV48=Sheet6!$C$8,Sheet6!$C$8,"")))))))</f>
        <v/>
      </c>
      <c r="AS46" s="57" t="str">
        <f>IF(Tim!CW48=Sheet6!$C$2,Sheet6!$C$2,IF(Tim!CW48=Sheet6!$C$3,Sheet6!$C$3,IF(Tim!CW48=Sheet6!$C$4,Sheet6!$C$4,IF(Tim!CW48=Sheet6!$C$5,Sheet6!$C$5,IF(Tim!CW48=Sheet6!$C$6,Sheet6!$C$6,IF(Tim!CW48=Sheet6!$C$7,Sheet6!$C$7,IF(Tim!CW48=Sheet6!$C$8,Sheet6!$C$8,"")))))))</f>
        <v/>
      </c>
      <c r="AT46" s="57" t="str">
        <f>IF(Tim!DA48=Sheet6!$C$2,Sheet6!$C$2,IF(Tim!DA48=Sheet6!$C$3,Sheet6!$C$3,IF(Tim!DA48=Sheet6!$C$4,Sheet6!$C$4,IF(Tim!DA48=Sheet6!$C$5,Sheet6!$C$5,IF(Tim!DA48=Sheet6!$C$6,Sheet6!$C$6,IF(Tim!DA48=Sheet6!$C$7,Sheet6!$C$7,IF(Tim!DA48=Sheet6!$C$8,Sheet6!$C$8,"")))))))</f>
        <v/>
      </c>
      <c r="AU46" s="53" t="str">
        <f>IF(Tim!DO48=Sheet6!$C$2,Sheet6!$C$2,IF(Tim!DO48=Sheet6!$C$3,Sheet6!$C$3,IF(Tim!DO48=Sheet6!$C$4,Sheet6!$C$4,IF(Tim!DO48=Sheet6!$C$5,Sheet6!$C$5,IF(Tim!DO48=Sheet6!$C$6,Sheet6!$C$6,IF(Tim!DO48=Sheet6!$C$7,Sheet6!$C$7,IF(Tim!DO48=Sheet6!$C$8,Sheet6!$C$8,"")))))))</f>
        <v/>
      </c>
      <c r="AV46" s="53" t="str">
        <f>IF(Tim!DP48=Sheet6!$C$2,Sheet6!$C$2,IF(Tim!DP48=Sheet6!$C$3,Sheet6!$C$3,IF(Tim!DP48=Sheet6!$C$4,Sheet6!$C$4,IF(Tim!DP48=Sheet6!$C$5,Sheet6!$C$5,IF(Tim!DP48=Sheet6!$C$6,Sheet6!$C$6,IF(Tim!DP48=Sheet6!$C$7,Sheet6!$C$7,IF(Tim!DP48=Sheet6!$C$8,Sheet6!$C$8,"")))))))</f>
        <v/>
      </c>
      <c r="AW46" s="53" t="str">
        <f>IF(Tim!DX48=Sheet6!$C$2,Sheet6!$C$2,IF(Tim!DX48=Sheet6!$C$3,Sheet6!$C$3,IF(Tim!DX48=Sheet6!$C$4,Sheet6!$C$4,IF(Tim!DX48=Sheet6!$C$5,Sheet6!$C$5,IF(Tim!DX48=Sheet6!$C$6,Sheet6!$C$6,IF(Tim!DX48=Sheet6!$C$7,Sheet6!$C$7,IF(Tim!DX48=Sheet6!$C$8,Sheet6!$C$8,"")))))))</f>
        <v/>
      </c>
      <c r="AX46" s="53" t="str">
        <f>IF(Tim!DY48=Sheet6!$C$2,Sheet6!$C$2,IF(Tim!DY48=Sheet6!$C$3,Sheet6!$C$3,IF(Tim!DY48=Sheet6!$C$4,Sheet6!$C$4,IF(Tim!DY48=Sheet6!$C$5,Sheet6!$C$5,IF(Tim!DY48=Sheet6!$C$6,Sheet6!$C$6,IF(Tim!DY48=Sheet6!$C$7,Sheet6!$C$7,IF(Tim!DY48=Sheet6!$C$8,Sheet6!$C$8,"")))))))</f>
        <v/>
      </c>
      <c r="AY46" s="53" t="str">
        <f>IF(Tim!DZ48=Sheet6!$C$2,Sheet6!$C$2,IF(Tim!DZ48=Sheet6!$C$3,Sheet6!$C$3,IF(Tim!DZ48=Sheet6!$C$4,Sheet6!$C$4,IF(Tim!DZ48=Sheet6!$C$5,Sheet6!$C$5,IF(Tim!DZ48=Sheet6!$C$6,Sheet6!$C$6,IF(Tim!DZ48=Sheet6!$C$7,Sheet6!$C$7,IF(Tim!DZ48=Sheet6!$C$8,Sheet6!$C$8,"")))))))</f>
        <v/>
      </c>
      <c r="AZ46" s="53" t="str">
        <f>IF(Tim!EA48=Sheet6!$C$2,Sheet6!$C$2,IF(Tim!EA48=Sheet6!$C$3,Sheet6!$C$3,IF(Tim!EA48=Sheet6!$C$4,Sheet6!$C$4,IF(Tim!EA48=Sheet6!$C$5,Sheet6!$C$5,IF(Tim!EA48=Sheet6!$C$6,Sheet6!$C$6,IF(Tim!EA48=Sheet6!$C$7,Sheet6!$C$7,IF(Tim!EA48=Sheet6!$C$8,Sheet6!$C$8,"")))))))</f>
        <v/>
      </c>
      <c r="BA46" s="176" t="str">
        <f>IF(Tim!EB48=Sheet6!$C$2,Sheet6!$C$2,IF(Tim!EB48=Sheet6!$C$3,Sheet6!$C$3,IF(Tim!EB48=Sheet6!$C$4,Sheet6!$C$4,IF(Tim!EB48=Sheet6!$C$5,Sheet6!$C$5,IF(Tim!EB48=Sheet6!$C$6,Sheet6!$C$6,IF(Tim!EB48=Sheet6!$C$7,Sheet6!$C$7,IF(Tim!EB48=Sheet6!$C$8,Sheet6!$C$8,"")))))))</f>
        <v/>
      </c>
      <c r="BB46" s="53" t="str">
        <f>IF(Tim!EC48=Sheet6!$C$2,Sheet6!$C$2,IF(Tim!EC48=Sheet6!$C$3,Sheet6!$C$3,IF(Tim!EC48=Sheet6!$C$4,Sheet6!$C$4,IF(Tim!EC48=Sheet6!$C$5,Sheet6!$C$5,IF(Tim!EC48=Sheet6!$C$6,Sheet6!$C$6,IF(Tim!EC48=Sheet6!$C$7,Sheet6!$C$7,IF(Tim!EC48=Sheet6!$C$8,Sheet6!$C$8,"")))))))</f>
        <v/>
      </c>
      <c r="BC46" s="53" t="str">
        <f>IF(Tim!EG48=Sheet6!$C$2,Sheet6!$C$2,IF(Tim!EG48=Sheet6!$C$3,Sheet6!$C$3,IF(Tim!EG48=Sheet6!$C$4,Sheet6!$C$4,IF(Tim!EG48=Sheet6!$C$5,Sheet6!$C$5,IF(Tim!EG48=Sheet6!$C$6,Sheet6!$C$6,IF(Tim!EG48=Sheet6!$C$7,Sheet6!$C$7,IF(Tim!EG48=Sheet6!$C$8,Sheet6!$C$8,"")))))))</f>
        <v/>
      </c>
      <c r="BD46" s="54" t="str">
        <f>IF(Tim!EH48=Sheet6!$C$2,Sheet6!$C$2,IF(Tim!EH48=Sheet6!$C$3,Sheet6!$C$3,IF(Tim!EH48=Sheet6!$C$4,Sheet6!$C$4,IF(Tim!EH48=Sheet6!$C$5,Sheet6!$C$5,IF(Tim!EH48=Sheet6!$C$6,Sheet6!$C$6,IF(Tim!EH48=Sheet6!$C$7,Sheet6!$C$7,IF(Tim!EH48=Sheet6!$C$8,Sheet6!$C$8,"")))))))</f>
        <v/>
      </c>
      <c r="BE46" s="54" t="str">
        <f>IF(Tim!EI48=Sheet6!$C$2,Sheet6!$C$2,IF(Tim!EI48=Sheet6!$C$3,Sheet6!$C$3,IF(Tim!EI48=Sheet6!$C$4,Sheet6!$C$4,IF(Tim!EI48=Sheet6!$C$5,Sheet6!$C$5,IF(Tim!EI48=Sheet6!$C$6,Sheet6!$C$6,IF(Tim!EI48=Sheet6!$C$7,Sheet6!$C$7,IF(Tim!EI48=Sheet6!$C$8,Sheet6!$C$8,"")))))))</f>
        <v/>
      </c>
      <c r="BF46" s="54" t="str">
        <f>IF(Tim!EJ48=Sheet6!$C$2,Sheet6!$C$2,IF(Tim!EJ48=Sheet6!$C$3,Sheet6!$C$3,IF(Tim!EJ48=Sheet6!$C$4,Sheet6!$C$4,IF(Tim!EJ48=Sheet6!$C$5,Sheet6!$C$5,IF(Tim!EJ48=Sheet6!$C$6,Sheet6!$C$6,IF(Tim!EJ48=Sheet6!$C$7,Sheet6!$C$7,IF(Tim!EJ48=Sheet6!$C$8,Sheet6!$C$8,"")))))))</f>
        <v/>
      </c>
      <c r="BG46" s="55" t="str">
        <f>IF(Tim!EK48=Sheet6!$C$2,Sheet6!$C$2,IF(Tim!EK48=Sheet6!$C$3,Sheet6!$C$3,IF(Tim!EK48=Sheet6!$C$4,Sheet6!$C$4,IF(Tim!EK48=Sheet6!$C$5,Sheet6!$C$5,IF(Tim!EK48=Sheet6!$C$6,Sheet6!$C$6,IF(Tim!EK48=Sheet6!$C$7,Sheet6!$C$7,IF(Tim!EK48=Sheet6!$C$8,Sheet6!$C$8,"")))))))</f>
        <v/>
      </c>
      <c r="BH46" s="53" t="str">
        <f>IF(Tim!EL48=Sheet6!$C$2,Sheet6!$C$2,IF(Tim!EL48=Sheet6!$C$3,Sheet6!$C$3,IF(Tim!EL48=Sheet6!$C$4,Sheet6!$C$4,IF(Tim!EL48=Sheet6!$C$5,Sheet6!$C$5,IF(Tim!EL48=Sheet6!$C$6,Sheet6!$C$6,IF(Tim!EL48=Sheet6!$C$7,Sheet6!$C$7,IF(Tim!EL48=Sheet6!$C$8,Sheet6!$C$8,"")))))))</f>
        <v/>
      </c>
      <c r="BI46" s="57" t="str">
        <f>IF(Tim!EM48=Sheet6!$C$2,Sheet6!$C$2,IF(Tim!EM48=Sheet6!$C$3,Sheet6!$C$3,IF(Tim!EM48=Sheet6!$C$4,Sheet6!$C$4,IF(Tim!EM48=Sheet6!$C$5,Sheet6!$C$5,IF(Tim!EM48=Sheet6!$C$6,Sheet6!$C$6,IF(Tim!EM48=Sheet6!$C$7,Sheet6!$C$7,IF(Tim!EM48=Sheet6!$C$8,Sheet6!$C$8,"")))))))</f>
        <v/>
      </c>
      <c r="BJ46" s="57" t="str">
        <f>IF(Tim!EQ48=Sheet6!$C$2,Sheet6!$C$2,IF(Tim!EQ48=Sheet6!$C$3,Sheet6!$C$3,IF(Tim!EQ48=Sheet6!$C$4,Sheet6!$C$4,IF(Tim!EQ48=Sheet6!$C$5,Sheet6!$C$5,IF(Tim!EQ48=Sheet6!$C$6,Sheet6!$C$6,IF(Tim!EQ48=Sheet6!$C$7,Sheet6!$C$7,IF(Tim!EQ48=Sheet6!$C$8,Sheet6!$C$8,"")))))))</f>
        <v/>
      </c>
      <c r="BK46" s="57" t="str">
        <f>IF(Tim!ER48=Sheet6!$C$2,Sheet6!$C$2,IF(Tim!ER48=Sheet6!$C$3,Sheet6!$C$3,IF(Tim!ER48=Sheet6!$C$4,Sheet6!$C$4,IF(Tim!ER48=Sheet6!$C$5,Sheet6!$C$5,IF(Tim!ER48=Sheet6!$C$6,Sheet6!$C$6,IF(Tim!ER48=Sheet6!$C$7,Sheet6!$C$7,IF(Tim!ER48=Sheet6!$C$8,Sheet6!$C$8,"")))))))</f>
        <v/>
      </c>
      <c r="BL46" s="57" t="str">
        <f>IF(Tim!EZ48=Sheet6!$C$2,Sheet6!$C$2,IF(Tim!EZ48=Sheet6!$C$3,Sheet6!$C$3,IF(Tim!EZ48=Sheet6!$C$4,Sheet6!$C$4,IF(Tim!EZ48=Sheet6!$C$5,Sheet6!$C$5,IF(Tim!EZ48=Sheet6!$C$6,Sheet6!$C$6,IF(Tim!EZ48=Sheet6!$C$7,Sheet6!$C$7,IF(Tim!EZ48=Sheet6!$C$8,Sheet6!$C$8,"")))))))</f>
        <v/>
      </c>
      <c r="BM46" s="53" t="str">
        <f>IF(Tim!FG48=Sheet6!$C$2,Sheet6!$C$2,IF(Tim!FG48=Sheet6!$C$3,Sheet6!$C$3,IF(Tim!FG48=Sheet6!$C$4,Sheet6!$C$4,IF(Tim!FG48=Sheet6!$C$5,Sheet6!$C$5,IF(Tim!FG48=Sheet6!$C$6,Sheet6!$C$6,IF(Tim!FG48=Sheet6!$C$7,Sheet6!$C$7,IF(Tim!FG48=Sheet6!$C$8,Sheet6!$C$8,"")))))))</f>
        <v/>
      </c>
      <c r="BN46" s="53" t="str">
        <f>IF(Tim!FH48=Sheet6!$C$2,Sheet6!$C$2,IF(Tim!FH48=Sheet6!$C$3,Sheet6!$C$3,IF(Tim!FH48=Sheet6!$C$4,Sheet6!$C$4,IF(Tim!FH48=Sheet6!$C$5,Sheet6!$C$5,IF(Tim!FH48=Sheet6!$C$6,Sheet6!$C$6,IF(Tim!FH48=Sheet6!$C$7,Sheet6!$C$7,IF(Tim!FH48=Sheet6!$C$8,Sheet6!$C$8,"")))))))</f>
        <v/>
      </c>
      <c r="BO46" s="53" t="str">
        <f>IF(Tim!FP48=Sheet6!$C$2,Sheet6!$C$2,IF(Tim!FP48=Sheet6!$C$3,Sheet6!$C$3,IF(Tim!FP48=Sheet6!$C$4,Sheet6!$C$4,IF(Tim!FP48=Sheet6!$C$5,Sheet6!$C$5,IF(Tim!FP48=Sheet6!$C$6,Sheet6!$C$6,IF(Tim!FP48=Sheet6!$C$7,Sheet6!$C$7,IF(Tim!FP48=Sheet6!$C$8,Sheet6!$C$8,"")))))))</f>
        <v/>
      </c>
      <c r="BP46" s="53" t="str">
        <f>IF(Tim!FQ48=Sheet6!$C$2,Sheet6!$C$2,IF(Tim!FQ48=Sheet6!$C$3,Sheet6!$C$3,IF(Tim!FQ48=Sheet6!$C$4,Sheet6!$C$4,IF(Tim!FQ48=Sheet6!$C$5,Sheet6!$C$5,IF(Tim!FQ48=Sheet6!$C$6,Sheet6!$C$6,IF(Tim!FQ48=Sheet6!$C$7,Sheet6!$C$7,IF(Tim!FQ48=Sheet6!$C$8,Sheet6!$C$8,"")))))))</f>
        <v/>
      </c>
      <c r="BQ46" s="53" t="str">
        <f>IF(Tim!FR48=Sheet6!$C$2,Sheet6!$C$2,IF(Tim!FR48=Sheet6!$C$3,Sheet6!$C$3,IF(Tim!FR48=Sheet6!$C$4,Sheet6!$C$4,IF(Tim!FR48=Sheet6!$C$5,Sheet6!$C$5,IF(Tim!FR48=Sheet6!$C$6,Sheet6!$C$6,IF(Tim!FR48=Sheet6!$C$7,Sheet6!$C$7,IF(Tim!FR48=Sheet6!$C$8,Sheet6!$C$8,"")))))))</f>
        <v/>
      </c>
      <c r="BR46" s="53" t="str">
        <f>IF(Tim!FS48=Sheet6!$C$2,Sheet6!$C$2,IF(Tim!FS48=Sheet6!$C$3,Sheet6!$C$3,IF(Tim!FS48=Sheet6!$C$4,Sheet6!$C$4,IF(Tim!FS48=Sheet6!$C$5,Sheet6!$C$5,IF(Tim!FS48=Sheet6!$C$6,Sheet6!$C$6,IF(Tim!FS48=Sheet6!$C$7,Sheet6!$C$7,IF(Tim!FS48=Sheet6!$C$8,Sheet6!$C$8,"")))))))</f>
        <v/>
      </c>
      <c r="BS46" s="53" t="str">
        <f>IF(Tim!FT48=Sheet6!$C$2,Sheet6!$C$2,IF(Tim!FT48=Sheet6!$C$3,Sheet6!$C$3,IF(Tim!FT48=Sheet6!$C$4,Sheet6!$C$4,IF(Tim!FT48=Sheet6!$C$5,Sheet6!$C$5,IF(Tim!FT48=Sheet6!$C$6,Sheet6!$C$6,IF(Tim!FT48=Sheet6!$C$7,Sheet6!$C$7,IF(Tim!FT48=Sheet6!$C$8,Sheet6!$C$8,"")))))))</f>
        <v/>
      </c>
      <c r="BT46" s="53" t="str">
        <f>IF(Tim!FU48=Sheet6!$C$2,Sheet6!$C$2,IF(Tim!FU48=Sheet6!$C$3,Sheet6!$C$3,IF(Tim!FU48=Sheet6!$C$4,Sheet6!$C$4,IF(Tim!FU48=Sheet6!$C$5,Sheet6!$C$5,IF(Tim!FU48=Sheet6!$C$6,Sheet6!$C$6,IF(Tim!FU48=Sheet6!$C$7,Sheet6!$C$7,IF(Tim!FU48=Sheet6!$C$8,Sheet6!$C$8,"")))))))</f>
        <v/>
      </c>
      <c r="BU46" s="53" t="str">
        <f>IF(Tim!FY48=Sheet6!$C$2,Sheet6!$C$2,IF(Tim!FY48=Sheet6!$C$3,Sheet6!$C$3,IF(Tim!FY48=Sheet6!$C$4,Sheet6!$C$4,IF(Tim!FY48=Sheet6!$C$5,Sheet6!$C$5,IF(Tim!FY48=Sheet6!$C$6,Sheet6!$C$6,IF(Tim!FY48=Sheet6!$C$7,Sheet6!$C$7,IF(Tim!FY48=Sheet6!$C$8,Sheet6!$C$8,"")))))))</f>
        <v/>
      </c>
      <c r="BV46" s="54" t="str">
        <f>IF(Tim!FZ48=Sheet6!$C$2,Sheet6!$C$2,IF(Tim!FZ48=Sheet6!$C$3,Sheet6!$C$3,IF(Tim!FZ48=Sheet6!$C$4,Sheet6!$C$4,IF(Tim!FZ48=Sheet6!$C$5,Sheet6!$C$5,IF(Tim!FZ48=Sheet6!$C$6,Sheet6!$C$6,IF(Tim!FZ48=Sheet6!$C$7,Sheet6!$C$7,IF(Tim!FZ48=Sheet6!$C$8,Sheet6!$C$8,"")))))))</f>
        <v/>
      </c>
      <c r="BW46" s="54" t="str">
        <f>IF(Tim!GA48=Sheet6!$C$2,Sheet6!$C$2,IF(Tim!GA48=Sheet6!$C$3,Sheet6!$C$3,IF(Tim!GA48=Sheet6!$C$4,Sheet6!$C$4,IF(Tim!GA48=Sheet6!$C$5,Sheet6!$C$5,IF(Tim!GA48=Sheet6!$C$6,Sheet6!$C$6,IF(Tim!GA48=Sheet6!$C$7,Sheet6!$C$7,IF(Tim!GA48=Sheet6!$C$8,Sheet6!$C$8,"")))))))</f>
        <v/>
      </c>
      <c r="BX46" s="54" t="str">
        <f>IF(Tim!GB48=Sheet6!$C$2,Sheet6!$C$2,IF(Tim!GB48=Sheet6!$C$3,Sheet6!$C$3,IF(Tim!GB48=Sheet6!$C$4,Sheet6!$C$4,IF(Tim!GB48=Sheet6!$C$5,Sheet6!$C$5,IF(Tim!GB48=Sheet6!$C$6,Sheet6!$C$6,IF(Tim!GB48=Sheet6!$C$7,Sheet6!$C$7,IF(Tim!GB48=Sheet6!$C$8,Sheet6!$C$8,"")))))))</f>
        <v/>
      </c>
      <c r="BY46" s="55" t="str">
        <f>IF(Tim!GC48=Sheet6!$C$2,Sheet6!$C$2,IF(Tim!GC48=Sheet6!$C$3,Sheet6!$C$3,IF(Tim!GC48=Sheet6!$C$4,Sheet6!$C$4,IF(Tim!GC48=Sheet6!$C$5,Sheet6!$C$5,IF(Tim!GC48=Sheet6!$C$6,Sheet6!$C$6,IF(Tim!GC48=Sheet6!$C$7,Sheet6!$C$7,IF(Tim!GC48=Sheet6!$C$8,Sheet6!$C$8,"")))))))</f>
        <v/>
      </c>
      <c r="BZ46" s="53" t="str">
        <f>IF(Tim!GD48=Sheet6!$C$2,Sheet6!$C$2,IF(Tim!GD48=Sheet6!$C$3,Sheet6!$C$3,IF(Tim!GD48=Sheet6!$C$4,Sheet6!$C$4,IF(Tim!GD48=Sheet6!$C$5,Sheet6!$C$5,IF(Tim!GD48=Sheet6!$C$6,Sheet6!$C$6,IF(Tim!GD48=Sheet6!$C$7,Sheet6!$C$7,IF(Tim!GD48=Sheet6!$C$8,Sheet6!$C$8,"")))))))</f>
        <v/>
      </c>
      <c r="CA46" s="53" t="str">
        <f>IF(Tim!GE48=Sheet6!$C$2,Sheet6!$C$2,IF(Tim!GE48=Sheet6!$C$3,Sheet6!$C$3,IF(Tim!GE48=Sheet6!$C$4,Sheet6!$C$4,IF(Tim!GE48=Sheet6!$C$5,Sheet6!$C$5,IF(Tim!GE48=Sheet6!$C$6,Sheet6!$C$6,IF(Tim!GE48=Sheet6!$C$7,Sheet6!$C$7,IF(Tim!GE48=Sheet6!$C$8,Sheet6!$C$8,"")))))))</f>
        <v/>
      </c>
      <c r="CB46" s="57" t="str">
        <f>IF(Tim!GI48=Sheet6!$C$2,Sheet6!$C$2,IF(Tim!GI48=Sheet6!$C$3,Sheet6!$C$3,IF(Tim!GI48=Sheet6!$C$4,Sheet6!$C$4,IF(Tim!GI48=Sheet6!$C$5,Sheet6!$C$5,IF(Tim!GI48=Sheet6!$C$6,Sheet6!$C$6,IF(Tim!GI48=Sheet6!$C$7,Sheet6!$C$7,IF(Tim!GI48=Sheet6!$C$8,Sheet6!$C$8,"")))))))</f>
        <v/>
      </c>
      <c r="CC46" s="57" t="str">
        <f>IF(Tim!GJ48=Sheet6!$C$2,Sheet6!$C$2,IF(Tim!GJ48=Sheet6!$C$3,Sheet6!$C$3,IF(Tim!GJ48=Sheet6!$C$4,Sheet6!$C$4,IF(Tim!GJ48=Sheet6!$C$5,Sheet6!$C$5,IF(Tim!GJ48=Sheet6!$C$6,Sheet6!$C$6,IF(Tim!GJ48=Sheet6!$C$7,Sheet6!$C$7,IF(Tim!GJ48=Sheet6!$C$8,Sheet6!$C$8,"")))))))</f>
        <v/>
      </c>
      <c r="CD46" s="57" t="str">
        <f>IF(Tim!GN48=Sheet6!$C$2,Sheet6!$C$2,IF(Tim!GN48=Sheet6!$C$3,Sheet6!$C$3,IF(Tim!GN48=Sheet6!$C$4,Sheet6!$C$4,IF(Tim!GN48=Sheet6!$C$5,Sheet6!$C$5,IF(Tim!GN48=Sheet6!$C$6,Sheet6!$C$6,IF(Tim!GN48=Sheet6!$C$7,Sheet6!$C$7,IF(Tim!GN48=Sheet6!$C$8,Sheet6!$C$8,"")))))))</f>
        <v/>
      </c>
      <c r="CE46" s="53" t="str">
        <f>IF(Tim!GY48=Sheet6!$C$2,Sheet6!$C$2,IF(Tim!GY48=Sheet6!$C$3,Sheet6!$C$3,IF(Tim!GY48=Sheet6!$C$4,Sheet6!$C$4,IF(Tim!GY48=Sheet6!$C$5,Sheet6!$C$5,IF(Tim!GY48=Sheet6!$C$6,Sheet6!$C$6,IF(Tim!GY48=Sheet6!$C$7,Sheet6!$C$7,IF(Tim!GY48=Sheet6!$C$8,Sheet6!$C$8,"")))))))</f>
        <v/>
      </c>
      <c r="CF46" s="53" t="str">
        <f>IF(Tim!GZ48=Sheet6!$C$2,Sheet6!$C$2,IF(Tim!GZ48=Sheet6!$C$3,Sheet6!$C$3,IF(Tim!GZ48=Sheet6!$C$4,Sheet6!$C$4,IF(Tim!GZ48=Sheet6!$C$5,Sheet6!$C$5,IF(Tim!GZ48=Sheet6!$C$6,Sheet6!$C$6,IF(Tim!GZ48=Sheet6!$C$7,Sheet6!$C$7,IF(Tim!GZ48=Sheet6!$C$8,Sheet6!$C$8,"")))))))</f>
        <v/>
      </c>
      <c r="CG46" s="53" t="str">
        <f>IF(Tim!HH48=Sheet6!$C$2,Sheet6!$C$2,IF(Tim!HH48=Sheet6!$C$3,Sheet6!$C$3,IF(Tim!HH48=Sheet6!$C$4,Sheet6!$C$4,IF(Tim!HH48=Sheet6!$C$5,Sheet6!$C$5,IF(Tim!HH48=Sheet6!$C$6,Sheet6!$C$6,IF(Tim!HH48=Sheet6!$C$7,Sheet6!$C$7,IF(Tim!HH48=Sheet6!$C$8,Sheet6!$C$8,"")))))))</f>
        <v/>
      </c>
      <c r="CH46" s="53" t="str">
        <f>IF(Tim!HI48=Sheet6!$C$2,Sheet6!$C$2,IF(Tim!HI48=Sheet6!$C$3,Sheet6!$C$3,IF(Tim!HI48=Sheet6!$C$4,Sheet6!$C$4,IF(Tim!HI48=Sheet6!$C$5,Sheet6!$C$5,IF(Tim!HI48=Sheet6!$C$6,Sheet6!$C$6,IF(Tim!HI48=Sheet6!$C$7,Sheet6!$C$7,IF(Tim!HI48=Sheet6!$C$8,Sheet6!$C$8,"")))))))</f>
        <v/>
      </c>
      <c r="CI46" s="53" t="str">
        <f>IF(Tim!HJ48=Sheet6!$C$2,Sheet6!$C$2,IF(Tim!HJ48=Sheet6!$C$3,Sheet6!$C$3,IF(Tim!HJ48=Sheet6!$C$4,Sheet6!$C$4,IF(Tim!HJ48=Sheet6!$C$5,Sheet6!$C$5,IF(Tim!HJ48=Sheet6!$C$6,Sheet6!$C$6,IF(Tim!HJ48=Sheet6!$C$7,Sheet6!$C$7,IF(Tim!HJ48=Sheet6!$C$8,Sheet6!$C$8,"")))))))</f>
        <v/>
      </c>
      <c r="CJ46" s="53" t="str">
        <f>IF(Tim!HK48=Sheet6!$C$2,Sheet6!$C$2,IF(Tim!HK48=Sheet6!$C$3,Sheet6!$C$3,IF(Tim!HK48=Sheet6!$C$4,Sheet6!$C$4,IF(Tim!HK48=Sheet6!$C$5,Sheet6!$C$5,IF(Tim!HK48=Sheet6!$C$6,Sheet6!$C$6,IF(Tim!HK48=Sheet6!$C$7,Sheet6!$C$7,IF(Tim!HK48=Sheet6!$C$8,Sheet6!$C$8,"")))))))</f>
        <v/>
      </c>
      <c r="CK46" s="53" t="str">
        <f>IF(Tim!HL48=Sheet6!$C$2,Sheet6!$C$2,IF(Tim!HL48=Sheet6!$C$3,Sheet6!$C$3,IF(Tim!HL48=Sheet6!$C$4,Sheet6!$C$4,IF(Tim!HL48=Sheet6!$C$5,Sheet6!$C$5,IF(Tim!HL48=Sheet6!$C$6,Sheet6!$C$6,IF(Tim!HL48=Sheet6!$C$7,Sheet6!$C$7,IF(Tim!HL48=Sheet6!$C$8,Sheet6!$C$8,"")))))))</f>
        <v/>
      </c>
      <c r="CL46" s="53" t="str">
        <f>IF(Tim!HM48=Sheet6!$C$2,Sheet6!$C$2,IF(Tim!HM48=Sheet6!$C$3,Sheet6!$C$3,IF(Tim!HM48=Sheet6!$C$4,Sheet6!$C$4,IF(Tim!HM48=Sheet6!$C$5,Sheet6!$C$5,IF(Tim!HM48=Sheet6!$C$6,Sheet6!$C$6,IF(Tim!HM48=Sheet6!$C$7,Sheet6!$C$7,IF(Tim!HM48=Sheet6!$C$8,Sheet6!$C$8,"")))))))</f>
        <v/>
      </c>
      <c r="CM46" s="53" t="str">
        <f>IF(Tim!HQ48=Sheet6!$C$2,Sheet6!$C$2,IF(Tim!HQ48=Sheet6!$C$3,Sheet6!$C$3,IF(Tim!HQ48=Sheet6!$C$4,Sheet6!$C$4,IF(Tim!HQ48=Sheet6!$C$5,Sheet6!$C$5,IF(Tim!HQ48=Sheet6!$C$6,Sheet6!$C$6,IF(Tim!HQ48=Sheet6!$C$7,Sheet6!$C$7,IF(Tim!HQ48=Sheet6!$C$8,Sheet6!$C$8,"")))))))</f>
        <v/>
      </c>
      <c r="CN46" s="54" t="str">
        <f>IF(Tim!HR48=Sheet6!$C$2,Sheet6!$C$2,IF(Tim!HR48=Sheet6!$C$3,Sheet6!$C$3,IF(Tim!HR48=Sheet6!$C$4,Sheet6!$C$4,IF(Tim!HR48=Sheet6!$C$5,Sheet6!$C$5,IF(Tim!HR48=Sheet6!$C$6,Sheet6!$C$6,IF(Tim!HR48=Sheet6!$C$7,Sheet6!$C$7,IF(Tim!HR48=Sheet6!$C$8,Sheet6!$C$8,"")))))))</f>
        <v/>
      </c>
      <c r="CO46" s="54" t="str">
        <f>IF(Tim!HS48=Sheet6!$C$2,Sheet6!$C$2,IF(Tim!HS48=Sheet6!$C$3,Sheet6!$C$3,IF(Tim!HS48=Sheet6!$C$4,Sheet6!$C$4,IF(Tim!HS48=Sheet6!$C$5,Sheet6!$C$5,IF(Tim!HS48=Sheet6!$C$6,Sheet6!$C$6,IF(Tim!HS48=Sheet6!$C$7,Sheet6!$C$7,IF(Tim!HS48=Sheet6!$C$8,Sheet6!$C$8,"")))))))</f>
        <v/>
      </c>
      <c r="CP46" s="54" t="str">
        <f>IF(Tim!HT48=Sheet6!$C$2,Sheet6!$C$2,IF(Tim!HT48=Sheet6!$C$3,Sheet6!$C$3,IF(Tim!HT48=Sheet6!$C$4,Sheet6!$C$4,IF(Tim!HT48=Sheet6!$C$5,Sheet6!$C$5,IF(Tim!HT48=Sheet6!$C$6,Sheet6!$C$6,IF(Tim!HT48=Sheet6!$C$7,Sheet6!$C$7,IF(Tim!HT48=Sheet6!$C$8,Sheet6!$C$8,"")))))))</f>
        <v/>
      </c>
      <c r="CQ46" s="55" t="str">
        <f>IF(Tim!HU48=Sheet6!$C$2,Sheet6!$C$2,IF(Tim!HU48=Sheet6!$C$3,Sheet6!$C$3,IF(Tim!HU48=Sheet6!$C$4,Sheet6!$C$4,IF(Tim!HU48=Sheet6!$C$5,Sheet6!$C$5,IF(Tim!HU48=Sheet6!$C$6,Sheet6!$C$6,IF(Tim!HU48=Sheet6!$C$7,Sheet6!$C$7,IF(Tim!HU48=Sheet6!$C$8,Sheet6!$C$8,"")))))))</f>
        <v/>
      </c>
      <c r="CR46" s="56" t="str">
        <f>IF(Tim!HV48=Sheet6!$C$2,Sheet6!$C$2,IF(Tim!HV48=Sheet6!$C$3,Sheet6!$C$3,IF(Tim!HV48=Sheet6!$C$4,Sheet6!$C$4,IF(Tim!HV48=Sheet6!$C$5,Sheet6!$C$5,IF(Tim!HV48=Sheet6!$C$6,Sheet6!$C$6,IF(Tim!HV48=Sheet6!$C$7,Sheet6!$C$7,IF(Tim!HV48=Sheet6!$C$8,Sheet6!$C$8,"")))))))</f>
        <v/>
      </c>
      <c r="CS46" s="57" t="str">
        <f>IF(Tim!IB48=Sheet6!$C$2,Sheet6!$C$2,IF(Tim!IB48=Sheet6!$C$3,Sheet6!$C$3,IF(Tim!IB48=Sheet6!$C$4,Sheet6!$C$4,IF(Tim!IB48=Sheet6!$C$5,Sheet6!$C$5,IF(Tim!IB48=Sheet6!$C$6,Sheet6!$C$6,IF(Tim!IB48=Sheet6!$C$7,Sheet6!$C$7,IF(Tim!IB48=Sheet6!$C$8,Sheet6!$C$8,"")))))))</f>
        <v/>
      </c>
      <c r="CT46" s="65" t="str">
        <f>IF(Tim!IJ48=Sheet6!$C$2,Sheet6!$C$2,IF(Tim!IJ48=Sheet6!$C$3,Sheet6!$C$3,IF(Tim!IJ48=Sheet6!$C$4,Sheet6!$C$4,IF(Tim!IJ48=Sheet6!$C$5,Sheet6!$C$5,IF(Tim!IJ48=Sheet6!$C$6,Sheet6!$C$6,IF(Tim!IJ48=Sheet6!$C$7,Sheet6!$C$7,IF(Tim!IJ48=Sheet6!$C$8,Sheet6!$C$8,"")))))))</f>
        <v/>
      </c>
      <c r="CU46" s="65" t="str">
        <f>IF(Tim!IQ48=Sheet6!$C$2,Sheet6!$C$2,IF(Tim!IQ48=Sheet6!$C$3,Sheet6!$C$3,IF(Tim!IQ48=Sheet6!$C$4,Sheet6!$C$4,IF(Tim!IQ48=Sheet6!$C$5,Sheet6!$C$5,IF(Tim!IQ48=Sheet6!$C$6,Sheet6!$C$6,IF(Tim!IQ48=Sheet6!$C$7,Sheet6!$C$7,IF(Tim!IQ48=Sheet6!$C$8,Sheet6!$C$8,"")))))))</f>
        <v/>
      </c>
      <c r="CV46" s="53" t="str">
        <f>IF(Tim!IR48=Sheet6!$C$2,Sheet6!$C$2,IF(Tim!IR48=Sheet6!$C$3,Sheet6!$C$3,IF(Tim!IR48=Sheet6!$C$4,Sheet6!$C$4,IF(Tim!IR48=Sheet6!$C$5,Sheet6!$C$5,IF(Tim!IR48=Sheet6!$C$6,Sheet6!$C$6,IF(Tim!IR48=Sheet6!$C$7,Sheet6!$C$7,IF(Tim!IR48=Sheet6!$C$8,Sheet6!$C$8,"")))))))</f>
        <v/>
      </c>
      <c r="CW46" s="53" t="str">
        <f>IF(Tim!IZ48=Sheet6!$C$2,Sheet6!$C$2,IF(Tim!IZ48=Sheet6!$C$3,Sheet6!$C$3,IF(Tim!IZ48=Sheet6!$C$4,Sheet6!$C$4,IF(Tim!IZ48=Sheet6!$C$5,Sheet6!$C$5,IF(Tim!IZ48=Sheet6!$C$6,Sheet6!$C$6,IF(Tim!IZ48=Sheet6!$C$7,Sheet6!$C$7,IF(Tim!IZ48=Sheet6!$C$8,Sheet6!$C$8,"")))))))</f>
        <v/>
      </c>
      <c r="CX46" s="53" t="str">
        <f>IF(Tim!JA48=Sheet6!$C$2,Sheet6!$C$2,IF(Tim!JA48=Sheet6!$C$3,Sheet6!$C$3,IF(Tim!JA48=Sheet6!$C$4,Sheet6!$C$4,IF(Tim!JA48=Sheet6!$C$5,Sheet6!$C$5,IF(Tim!JA48=Sheet6!$C$6,Sheet6!$C$6,IF(Tim!JA48=Sheet6!$C$7,Sheet6!$C$7,IF(Tim!JA48=Sheet6!$C$8,Sheet6!$C$8,"")))))))</f>
        <v/>
      </c>
      <c r="CY46" s="53" t="str">
        <f>IF(Tim!JB48=Sheet6!$C$2,Sheet6!$C$2,IF(Tim!JB48=Sheet6!$C$3,Sheet6!$C$3,IF(Tim!JB48=Sheet6!$C$4,Sheet6!$C$4,IF(Tim!JB48=Sheet6!$C$5,Sheet6!$C$5,IF(Tim!JB48=Sheet6!$C$6,Sheet6!$C$6,IF(Tim!JB48=Sheet6!$C$7,Sheet6!$C$7,IF(Tim!JB48=Sheet6!$C$8,Sheet6!$C$8,"")))))))</f>
        <v/>
      </c>
      <c r="CZ46" s="53" t="str">
        <f>IF(Tim!JC48=Sheet6!$C$2,Sheet6!$C$2,IF(Tim!JC48=Sheet6!$C$3,Sheet6!$C$3,IF(Tim!JC48=Sheet6!$C$4,Sheet6!$C$4,IF(Tim!JC48=Sheet6!$C$5,Sheet6!$C$5,IF(Tim!JC48=Sheet6!$C$6,Sheet6!$C$6,IF(Tim!JC48=Sheet6!$C$7,Sheet6!$C$7,IF(Tim!JC48=Sheet6!$C$8,Sheet6!$C$8,"")))))))</f>
        <v/>
      </c>
      <c r="DA46" s="53" t="str">
        <f>IF(Tim!JD48=Sheet6!$C$2,Sheet6!$C$2,IF(Tim!JD48=Sheet6!$C$3,Sheet6!$C$3,IF(Tim!JD48=Sheet6!$C$4,Sheet6!$C$4,IF(Tim!JD48=Sheet6!$C$5,Sheet6!$C$5,IF(Tim!JD48=Sheet6!$C$6,Sheet6!$C$6,IF(Tim!JD48=Sheet6!$C$7,Sheet6!$C$7,IF(Tim!JD48=Sheet6!$C$8,Sheet6!$C$8,"")))))))</f>
        <v/>
      </c>
      <c r="DB46" s="53" t="str">
        <f>IF(Tim!JE48=Sheet6!$C$2,Sheet6!$C$2,IF(Tim!JE48=Sheet6!$C$3,Sheet6!$C$3,IF(Tim!JE48=Sheet6!$C$4,Sheet6!$C$4,IF(Tim!JE48=Sheet6!$C$5,Sheet6!$C$5,IF(Tim!JE48=Sheet6!$C$6,Sheet6!$C$6,IF(Tim!JE48=Sheet6!$C$7,Sheet6!$C$7,IF(Tim!JE48=Sheet6!$C$8,Sheet6!$C$8,"")))))))</f>
        <v/>
      </c>
      <c r="DC46" s="53" t="str">
        <f>IF(Tim!JI48=Sheet6!$C$2,Sheet6!$C$2,IF(Tim!JI48=Sheet6!$C$3,Sheet6!$C$3,IF(Tim!JI48=Sheet6!$C$4,Sheet6!$C$4,IF(Tim!JI48=Sheet6!$C$5,Sheet6!$C$5,IF(Tim!JI48=Sheet6!$C$6,Sheet6!$C$6,IF(Tim!JI48=Sheet6!$C$7,Sheet6!$C$7,IF(Tim!JI48=Sheet6!$C$8,Sheet6!$C$8,"")))))))</f>
        <v/>
      </c>
      <c r="DD46" s="54" t="str">
        <f>IF(Tim!JJ48=Sheet6!$C$2,Sheet6!$C$2,IF(Tim!JJ48=Sheet6!$C$3,Sheet6!$C$3,IF(Tim!JJ48=Sheet6!$C$4,Sheet6!$C$4,IF(Tim!JJ48=Sheet6!$C$5,Sheet6!$C$5,IF(Tim!JJ48=Sheet6!$C$6,Sheet6!$C$6,IF(Tim!JJ48=Sheet6!$C$7,Sheet6!$C$7,IF(Tim!JJ48=Sheet6!$C$8,Sheet6!$C$8,"")))))))</f>
        <v/>
      </c>
      <c r="DE46" s="54" t="str">
        <f>IF(Tim!JK48=Sheet6!$C$2,Sheet6!$C$2,IF(Tim!JK48=Sheet6!$C$3,Sheet6!$C$3,IF(Tim!JK48=Sheet6!$C$4,Sheet6!$C$4,IF(Tim!JK48=Sheet6!$C$5,Sheet6!$C$5,IF(Tim!JK48=Sheet6!$C$6,Sheet6!$C$6,IF(Tim!JK48=Sheet6!$C$7,Sheet6!$C$7,IF(Tim!JK48=Sheet6!$C$8,Sheet6!$C$8,"")))))))</f>
        <v/>
      </c>
      <c r="DF46" s="54" t="str">
        <f>IF(Tim!JL48=Sheet6!$C$2,Sheet6!$C$2,IF(Tim!JL48=Sheet6!$C$3,Sheet6!$C$3,IF(Tim!JL48=Sheet6!$C$4,Sheet6!$C$4,IF(Tim!JL48=Sheet6!$C$5,Sheet6!$C$5,IF(Tim!JL48=Sheet6!$C$6,Sheet6!$C$6,IF(Tim!JL48=Sheet6!$C$7,Sheet6!$C$7,IF(Tim!JL48=Sheet6!$C$8,Sheet6!$C$8,"")))))))</f>
        <v/>
      </c>
      <c r="DG46" s="55" t="str">
        <f>IF(Tim!JM48=Sheet6!$C$2,Sheet6!$C$2,IF(Tim!JM48=Sheet6!$C$3,Sheet6!$C$3,IF(Tim!JM48=Sheet6!$C$4,Sheet6!$C$4,IF(Tim!JM48=Sheet6!$C$5,Sheet6!$C$5,IF(Tim!JM48=Sheet6!$C$6,Sheet6!$C$6,IF(Tim!JM48=Sheet6!$C$7,Sheet6!$C$7,IF(Tim!JM48=Sheet6!$C$8,Sheet6!$C$8,"")))))))</f>
        <v/>
      </c>
      <c r="DH46" s="56" t="str">
        <f>IF(Tim!JN48=Sheet6!$C$2,Sheet6!$C$2,IF(Tim!JN48=Sheet6!$C$3,Sheet6!$C$3,IF(Tim!JN48=Sheet6!$C$4,Sheet6!$C$4,IF(Tim!JN48=Sheet6!$C$5,Sheet6!$C$5,IF(Tim!JN48=Sheet6!$C$6,Sheet6!$C$6,IF(Tim!JN48=Sheet6!$C$7,Sheet6!$C$7,IF(Tim!JN48=Sheet6!$C$8,Sheet6!$C$8,"")))))))</f>
        <v/>
      </c>
      <c r="DI46" s="57" t="str">
        <f>IF(Tim!JS48=Sheet6!$C$2,Sheet6!$C$2,IF(Tim!JS48=Sheet6!$C$3,Sheet6!$C$3,IF(Tim!JS48=Sheet6!$C$4,Sheet6!$C$4,IF(Tim!JS48=Sheet6!$C$5,Sheet6!$C$5,IF(Tim!JS48=Sheet6!$C$6,Sheet6!$C$6,IF(Tim!JS48=Sheet6!$C$7,Sheet6!$C$7,IF(Tim!JS48=Sheet6!$C$8,Sheet6!$C$8,"")))))))</f>
        <v/>
      </c>
      <c r="DJ46" s="57" t="str">
        <f>IF(Tim!KB48=Sheet6!$C$2,Sheet6!$C$2,IF(Tim!KB48=Sheet6!$C$3,Sheet6!$C$3,IF(Tim!KB48=Sheet6!$C$4,Sheet6!$C$4,IF(Tim!KB48=Sheet6!$C$5,Sheet6!$C$5,IF(Tim!KB48=Sheet6!$C$6,Sheet6!$C$6,IF(Tim!KB48=Sheet6!$C$7,Sheet6!$C$7,IF(Tim!KB48=Sheet6!$C$8,Sheet6!$C$8,"")))))))</f>
        <v/>
      </c>
      <c r="DK46" s="53" t="str">
        <f>IF(Tim!KI48=Sheet6!$C$2,Sheet6!$C$2,IF(Tim!KI48=Sheet6!$C$3,Sheet6!$C$3,IF(Tim!KI48=Sheet6!$C$4,Sheet6!$C$4,IF(Tim!KI48=Sheet6!$C$5,Sheet6!$C$5,IF(Tim!KI48=Sheet6!$C$6,Sheet6!$C$6,IF(Tim!KI48=Sheet6!$C$7,Sheet6!$C$7,IF(Tim!KI48=Sheet6!$C$8,Sheet6!$C$8,"")))))))</f>
        <v/>
      </c>
      <c r="DL46" s="53" t="str">
        <f>IF(Tim!KJ48=Sheet6!$C$2,Sheet6!$C$2,IF(Tim!KJ48=Sheet6!$C$3,Sheet6!$C$3,IF(Tim!KJ48=Sheet6!$C$4,Sheet6!$C$4,IF(Tim!KJ48=Sheet6!$C$5,Sheet6!$C$5,IF(Tim!KJ48=Sheet6!$C$6,Sheet6!$C$6,IF(Tim!KJ48=Sheet6!$C$7,Sheet6!$C$7,IF(Tim!KJ48=Sheet6!$C$8,Sheet6!$C$8,"")))))))</f>
        <v/>
      </c>
      <c r="DM46" s="53" t="str">
        <f>IF(Tim!KR48=Sheet6!$C$2,Sheet6!$C$2,IF(Tim!KR48=Sheet6!$C$3,Sheet6!$C$3,IF(Tim!KR48=Sheet6!$C$4,Sheet6!$C$4,IF(Tim!KR48=Sheet6!$C$5,Sheet6!$C$5,IF(Tim!KR48=Sheet6!$C$6,Sheet6!$C$6,IF(Tim!KR48=Sheet6!$C$7,Sheet6!$C$7,IF(Tim!KR48=Sheet6!$C$8,Sheet6!$C$8,"")))))))</f>
        <v/>
      </c>
      <c r="DN46" s="53" t="str">
        <f>IF(Tim!KS48=Sheet6!$C$2,Sheet6!$C$2,IF(Tim!KS48=Sheet6!$C$3,Sheet6!$C$3,IF(Tim!KS48=Sheet6!$C$4,Sheet6!$C$4,IF(Tim!KS48=Sheet6!$C$5,Sheet6!$C$5,IF(Tim!KS48=Sheet6!$C$6,Sheet6!$C$6,IF(Tim!KS48=Sheet6!$C$7,Sheet6!$C$7,IF(Tim!KS48=Sheet6!$C$8,Sheet6!$C$8,"")))))))</f>
        <v/>
      </c>
      <c r="DO46" s="53" t="str">
        <f>IF(Tim!KT48=Sheet6!$C$2,Sheet6!$C$2,IF(Tim!KT48=Sheet6!$C$3,Sheet6!$C$3,IF(Tim!KT48=Sheet6!$C$4,Sheet6!$C$4,IF(Tim!KT48=Sheet6!$C$5,Sheet6!$C$5,IF(Tim!KT48=Sheet6!$C$6,Sheet6!$C$6,IF(Tim!KT48=Sheet6!$C$7,Sheet6!$C$7,IF(Tim!KT48=Sheet6!$C$8,Sheet6!$C$8,"")))))))</f>
        <v/>
      </c>
      <c r="DP46" s="53" t="str">
        <f>IF(Tim!KU48=Sheet6!$C$2,Sheet6!$C$2,IF(Tim!KU48=Sheet6!$C$3,Sheet6!$C$3,IF(Tim!KU48=Sheet6!$C$4,Sheet6!$C$4,IF(Tim!KU48=Sheet6!$C$5,Sheet6!$C$5,IF(Tim!KU48=Sheet6!$C$6,Sheet6!$C$6,IF(Tim!KU48=Sheet6!$C$7,Sheet6!$C$7,IF(Tim!KU48=Sheet6!$C$8,Sheet6!$C$8,"")))))))</f>
        <v/>
      </c>
      <c r="DQ46" s="53" t="str">
        <f>IF(Tim!KV48=Sheet6!$C$2,Sheet6!$C$2,IF(Tim!KV48=Sheet6!$C$3,Sheet6!$C$3,IF(Tim!KV48=Sheet6!$C$4,Sheet6!$C$4,IF(Tim!KV48=Sheet6!$C$5,Sheet6!$C$5,IF(Tim!KV48=Sheet6!$C$6,Sheet6!$C$6,IF(Tim!KV48=Sheet6!$C$7,Sheet6!$C$7,IF(Tim!KV48=Sheet6!$C$8,Sheet6!$C$8,"")))))))</f>
        <v/>
      </c>
      <c r="DR46" s="53" t="str">
        <f>IF(Tim!KW48=Sheet6!$C$2,Sheet6!$C$2,IF(Tim!KW48=Sheet6!$C$3,Sheet6!$C$3,IF(Tim!KW48=Sheet6!$C$4,Sheet6!$C$4,IF(Tim!KW48=Sheet6!$C$5,Sheet6!$C$5,IF(Tim!KW48=Sheet6!$C$6,Sheet6!$C$6,IF(Tim!KW48=Sheet6!$C$7,Sheet6!$C$7,IF(Tim!KW48=Sheet6!$C$8,Sheet6!$C$8,"")))))))</f>
        <v/>
      </c>
      <c r="DS46" s="53" t="str">
        <f>IF(Tim!LA48=Sheet6!$C$2,Sheet6!$C$2,IF(Tim!LA48=Sheet6!$C$3,Sheet6!$C$3,IF(Tim!LA48=Sheet6!$C$4,Sheet6!$C$4,IF(Tim!LA48=Sheet6!$C$5,Sheet6!$C$5,IF(Tim!LA48=Sheet6!$C$6,Sheet6!$C$6,IF(Tim!LA48=Sheet6!$C$7,Sheet6!$C$7,IF(Tim!LA48=Sheet6!$C$8,Sheet6!$C$8,"")))))))</f>
        <v/>
      </c>
      <c r="DT46" s="54" t="str">
        <f>IF(Tim!LB48=Sheet6!$C$2,Sheet6!$C$2,IF(Tim!LB48=Sheet6!$C$3,Sheet6!$C$3,IF(Tim!LB48=Sheet6!$C$4,Sheet6!$C$4,IF(Tim!LB48=Sheet6!$C$5,Sheet6!$C$5,IF(Tim!LB48=Sheet6!$C$6,Sheet6!$C$6,IF(Tim!LB48=Sheet6!$C$7,Sheet6!$C$7,IF(Tim!LB48=Sheet6!$C$8,Sheet6!$C$8,"")))))))</f>
        <v/>
      </c>
      <c r="DU46" s="54" t="str">
        <f>IF(Tim!LC48=Sheet6!$C$2,Sheet6!$C$2,IF(Tim!LC48=Sheet6!$C$3,Sheet6!$C$3,IF(Tim!LC48=Sheet6!$C$4,Sheet6!$C$4,IF(Tim!LC48=Sheet6!$C$5,Sheet6!$C$5,IF(Tim!LC48=Sheet6!$C$6,Sheet6!$C$6,IF(Tim!LC48=Sheet6!$C$7,Sheet6!$C$7,IF(Tim!LC48=Sheet6!$C$8,Sheet6!$C$8,"")))))))</f>
        <v/>
      </c>
      <c r="DV46" s="54" t="str">
        <f>IF(Tim!LD48=Sheet6!$C$2,Sheet6!$C$2,IF(Tim!LD48=Sheet6!$C$3,Sheet6!$C$3,IF(Tim!LD48=Sheet6!$C$4,Sheet6!$C$4,IF(Tim!LD48=Sheet6!$C$5,Sheet6!$C$5,IF(Tim!LD48=Sheet6!$C$6,Sheet6!$C$6,IF(Tim!LD48=Sheet6!$C$7,Sheet6!$C$7,IF(Tim!LD48=Sheet6!$C$8,Sheet6!$C$8,"")))))))</f>
        <v/>
      </c>
      <c r="DW46" s="55" t="str">
        <f>IF(Tim!LE48=Sheet6!$C$2,Sheet6!$C$2,IF(Tim!LE48=Sheet6!$C$3,Sheet6!$C$3,IF(Tim!LE48=Sheet6!$C$4,Sheet6!$C$4,IF(Tim!LE48=Sheet6!$C$5,Sheet6!$C$5,IF(Tim!LE48=Sheet6!$C$6,Sheet6!$C$6,IF(Tim!LE48=Sheet6!$C$7,Sheet6!$C$7,IF(Tim!LE48=Sheet6!$C$8,Sheet6!$C$8,"")))))))</f>
        <v/>
      </c>
      <c r="DX46" s="52">
        <v>0.718749999999999</v>
      </c>
    </row>
    <row r="47" spans="2:128" ht="10.5" customHeight="1">
      <c r="B47" s="51">
        <v>0.25</v>
      </c>
      <c r="C47" s="51">
        <v>0.25</v>
      </c>
      <c r="D47" s="51">
        <v>0.25</v>
      </c>
      <c r="E47" s="52">
        <v>0.72916666666666496</v>
      </c>
      <c r="F47" s="53" t="str">
        <f>IF(Tim!F49=Sheet6!$C$2,Sheet6!$C$2,IF(Tim!F49=Sheet6!$C$3,Sheet6!$C$3,IF(Tim!F49=Sheet6!$C$4,Sheet6!$C$4,IF(Tim!F49=Sheet6!$C$5,Sheet6!$C$5,IF(Tim!F49=Sheet6!$C$6,Sheet6!$C$6,IF(Tim!F49=Sheet6!$C$7,Sheet6!$C$7,IF(Tim!F49=Sheet6!$C$8,Sheet6!$C$8,"")))))))</f>
        <v/>
      </c>
      <c r="G47" s="53" t="str">
        <f>IF(Tim!G49=Sheet6!$C$2,Sheet6!$C$2,IF(Tim!G49=Sheet6!$C$3,Sheet6!$C$3,IF(Tim!G49=Sheet6!$C$4,Sheet6!$C$4,IF(Tim!G49=Sheet6!$C$5,Sheet6!$C$5,IF(Tim!G49=Sheet6!$C$6,Sheet6!$C$6,IF(Tim!G49=Sheet6!$C$7,Sheet6!$C$7,IF(Tim!G49=Sheet6!$C$8,Sheet6!$C$8,"")))))))</f>
        <v/>
      </c>
      <c r="H47" s="53" t="str">
        <f>IF(Tim!H49=Sheet6!$C$2,Sheet6!$C$2,IF(Tim!H49=Sheet6!$C$3,Sheet6!$C$3,IF(Tim!H49=Sheet6!$C$4,Sheet6!$C$4,IF(Tim!H49=Sheet6!$C$5,Sheet6!$C$5,IF(Tim!H49=Sheet6!$C$6,Sheet6!$C$6,IF(Tim!H49=Sheet6!$C$7,Sheet6!$C$7,IF(Tim!H49=Sheet6!$C$8,Sheet6!$C$8,"")))))))</f>
        <v/>
      </c>
      <c r="I47" s="53" t="str">
        <f>IF(Tim!L49=Sheet6!$C$2,Sheet6!$C$2,IF(Tim!L49=Sheet6!$C$3,Sheet6!$C$3,IF(Tim!L49=Sheet6!$C$4,Sheet6!$C$4,IF(Tim!L49=Sheet6!$C$5,Sheet6!$C$5,IF(Tim!L49=Sheet6!$C$6,Sheet6!$C$6,IF(Tim!L49=Sheet6!$C$7,Sheet6!$C$7,IF(Tim!L49=Sheet6!$C$8,Sheet6!$C$8,"")))))))</f>
        <v/>
      </c>
      <c r="J47" s="53" t="str">
        <f>IF(Tim!T49=Sheet6!$C$2,Sheet6!$C$2,IF(Tim!T49=Sheet6!$C$3,Sheet6!$C$3,IF(Tim!T49=Sheet6!$C$4,Sheet6!$C$4,IF(Tim!T49=Sheet6!$C$5,Sheet6!$C$5,IF(Tim!T49=Sheet6!$C$6,Sheet6!$C$6,IF(Tim!T49=Sheet6!$C$7,Sheet6!$C$7,IF(Tim!T49=Sheet6!$C$8,Sheet6!$C$8,"")))))))</f>
        <v/>
      </c>
      <c r="K47" s="53" t="str">
        <f>IF(Tim!AB49=Sheet6!$C$2,Sheet6!$C$2,IF(Tim!AB49=Sheet6!$C$3,Sheet6!$C$3,IF(Tim!AB49=Sheet6!$C$4,Sheet6!$C$4,IF(Tim!AB49=Sheet6!$C$5,Sheet6!$C$5,IF(Tim!AB49=Sheet6!$C$6,Sheet6!$C$6,IF(Tim!AB49=Sheet6!$C$7,Sheet6!$C$7,IF(Tim!AB49=Sheet6!$C$8,Sheet6!$C$8,"")))))))</f>
        <v/>
      </c>
      <c r="L47" s="53" t="str">
        <f>IF(Tim!AC49=Sheet6!$C$2,Sheet6!$C$2,IF(Tim!AC49=Sheet6!$C$3,Sheet6!$C$3,IF(Tim!AC49=Sheet6!$C$4,Sheet6!$C$4,IF(Tim!AC49=Sheet6!$C$5,Sheet6!$C$5,IF(Tim!AC49=Sheet6!$C$6,Sheet6!$C$6,IF(Tim!AC49=Sheet6!$C$7,Sheet6!$C$7,IF(Tim!AC49=Sheet6!$C$8,Sheet6!$C$8,"")))))))</f>
        <v/>
      </c>
      <c r="M47" s="53" t="str">
        <f>IF(Tim!AJ49=Sheet6!$C$2,Sheet6!$C$2,IF(Tim!AJ49=Sheet6!$C$3,Sheet6!$C$3,IF(Tim!AJ49=Sheet6!$C$4,Sheet6!$C$4,IF(Tim!AJ49=Sheet6!$C$5,Sheet6!$C$5,IF(Tim!AJ49=Sheet6!$C$6,Sheet6!$C$6,IF(Tim!AJ49=Sheet6!$C$7,Sheet6!$C$7,IF(Tim!AJ49=Sheet6!$C$8,Sheet6!$C$8,"")))))))</f>
        <v/>
      </c>
      <c r="N47" s="53" t="str">
        <f>IF(Tim!AK49=Sheet6!$C$2,Sheet6!$C$2,IF(Tim!AK49=Sheet6!$C$3,Sheet6!$C$3,IF(Tim!AK49=Sheet6!$C$4,Sheet6!$C$4,IF(Tim!AK49=Sheet6!$C$5,Sheet6!$C$5,IF(Tim!AK49=Sheet6!$C$6,Sheet6!$C$6,IF(Tim!AK49=Sheet6!$C$7,Sheet6!$C$7,IF(Tim!AK49=Sheet6!$C$8,Sheet6!$C$8,"")))))))</f>
        <v/>
      </c>
      <c r="O47" s="53" t="str">
        <f>IF(Tim!AL49=Sheet6!$C$2,Sheet6!$C$2,IF(Tim!AL49=Sheet6!$C$3,Sheet6!$C$3,IF(Tim!AL49=Sheet6!$C$4,Sheet6!$C$4,IF(Tim!AL49=Sheet6!$C$5,Sheet6!$C$5,IF(Tim!AL49=Sheet6!$C$6,Sheet6!$C$6,IF(Tim!AL49=Sheet6!$C$7,Sheet6!$C$7,IF(Tim!AL49=Sheet6!$C$8,Sheet6!$C$8,"")))))))</f>
        <v/>
      </c>
      <c r="P47" s="53" t="str">
        <f>IF(Tim!AN49=Sheet6!$C$2,Sheet6!$C$2,IF(Tim!AN49=Sheet6!$C$3,Sheet6!$C$3,IF(Tim!AN49=Sheet6!$C$4,Sheet6!$C$4,IF(Tim!AN49=Sheet6!$C$5,Sheet6!$C$5,IF(Tim!AN49=Sheet6!$C$6,Sheet6!$C$6,IF(Tim!AN49=Sheet6!$C$7,Sheet6!$C$7,IF(Tim!AN49=Sheet6!$C$8,Sheet6!$C$8,"")))))))</f>
        <v/>
      </c>
      <c r="Q47" s="176" t="str">
        <f>IF(Tim!AO49=Sheet6!$C$2,Sheet6!$C$2,IF(Tim!AO49=Sheet6!$C$3,Sheet6!$C$3,IF(Tim!AO49=Sheet6!$C$4,Sheet6!$C$4,IF(Tim!AO49=Sheet6!$C$5,Sheet6!$C$5,IF(Tim!AO49=Sheet6!$C$6,Sheet6!$C$6,IF(Tim!AO49=Sheet6!$C$7,Sheet6!$C$7,IF(Tim!AO49=Sheet6!$C$8,Sheet6!$C$8,"")))))))</f>
        <v/>
      </c>
      <c r="R47" s="53" t="str">
        <f>IF(Tim!AP49=Sheet6!$C$2,Sheet6!$C$2,IF(Tim!AP49=Sheet6!$C$3,Sheet6!$C$3,IF(Tim!AP49=Sheet6!$C$4,Sheet6!$C$4,IF(Tim!AP49=Sheet6!$C$5,Sheet6!$C$5,IF(Tim!AP49=Sheet6!$C$6,Sheet6!$C$6,IF(Tim!AP49=Sheet6!$C$7,Sheet6!$C$7,IF(Tim!AP49=Sheet6!$C$8,Sheet6!$C$8,"")))))))</f>
        <v/>
      </c>
      <c r="S47" s="53" t="str">
        <f>IF(Tim!AT49=Sheet6!$C$2,Sheet6!$C$2,IF(Tim!AT49=Sheet6!$C$3,Sheet6!$C$3,IF(Tim!AT49=Sheet6!$C$4,Sheet6!$C$4,IF(Tim!AT49=Sheet6!$C$5,Sheet6!$C$5,IF(Tim!AT49=Sheet6!$C$6,Sheet6!$C$6,IF(Tim!AT49=Sheet6!$C$7,Sheet6!$C$7,IF(Tim!AT49=Sheet6!$C$8,Sheet6!$C$8,"")))))))</f>
        <v/>
      </c>
      <c r="T47" s="54" t="str">
        <f>IF(Tim!AU49=Sheet6!$C$2,Sheet6!$C$2,IF(Tim!AU49=Sheet6!$C$3,Sheet6!$C$3,IF(Tim!AU49=Sheet6!$C$4,Sheet6!$C$4,IF(Tim!AU49=Sheet6!$C$5,Sheet6!$C$5,IF(Tim!AU49=Sheet6!$C$6,Sheet6!$C$6,IF(Tim!AU49=Sheet6!$C$7,Sheet6!$C$7,IF(Tim!AU49=Sheet6!$C$8,Sheet6!$C$8,"")))))))</f>
        <v/>
      </c>
      <c r="U47" s="54" t="str">
        <f>IF(Tim!AV49=Sheet6!$C$2,Sheet6!$C$2,IF(Tim!AV49=Sheet6!$C$3,Sheet6!$C$3,IF(Tim!AV49=Sheet6!$C$4,Sheet6!$C$4,IF(Tim!AV49=Sheet6!$C$5,Sheet6!$C$5,IF(Tim!AV49=Sheet6!$C$6,Sheet6!$C$6,IF(Tim!AV49=Sheet6!$C$7,Sheet6!$C$7,IF(Tim!AV49=Sheet6!$C$8,Sheet6!$C$8,"")))))))</f>
        <v/>
      </c>
      <c r="V47" s="54" t="str">
        <f>IF(Tim!AW49=Sheet6!$C$2,Sheet6!$C$2,IF(Tim!AW49=Sheet6!$C$3,Sheet6!$C$3,IF(Tim!AW49=Sheet6!$C$4,Sheet6!$C$4,IF(Tim!AW49=Sheet6!$C$5,Sheet6!$C$5,IF(Tim!AW49=Sheet6!$C$6,Sheet6!$C$6,IF(Tim!AW49=Sheet6!$C$7,Sheet6!$C$7,IF(Tim!AW49=Sheet6!$C$8,Sheet6!$C$8,"")))))))</f>
        <v/>
      </c>
      <c r="W47" s="55" t="str">
        <f>IF(Tim!AX49=Sheet6!$C$2,Sheet6!$C$2,IF(Tim!AX49=Sheet6!$C$3,Sheet6!$C$3,IF(Tim!AX49=Sheet6!$C$4,Sheet6!$C$4,IF(Tim!AX49=Sheet6!$C$5,Sheet6!$C$5,IF(Tim!AX49=Sheet6!$C$6,Sheet6!$C$6,IF(Tim!AX49=Sheet6!$C$7,Sheet6!$C$7,IF(Tim!AX49=Sheet6!$C$8,Sheet6!$C$8,"")))))))</f>
        <v/>
      </c>
      <c r="X47" s="53" t="str">
        <f>IF(Tim!AY49=Sheet6!$C$2,Sheet6!$C$2,IF(Tim!AY49=Sheet6!$C$3,Sheet6!$C$3,IF(Tim!AY49=Sheet6!$C$4,Sheet6!$C$4,IF(Tim!AY49=Sheet6!$C$5,Sheet6!$C$5,IF(Tim!AY49=Sheet6!$C$6,Sheet6!$C$6,IF(Tim!AY49=Sheet6!$C$7,Sheet6!$C$7,IF(Tim!AY49=Sheet6!$C$8,Sheet6!$C$8,"")))))))</f>
        <v/>
      </c>
      <c r="Y47" s="53" t="str">
        <f>IF(Tim!AZ49=Sheet6!$C$2,Sheet6!$C$2,IF(Tim!AZ49=Sheet6!$C$3,Sheet6!$C$3,IF(Tim!AZ49=Sheet6!$C$4,Sheet6!$C$4,IF(Tim!AZ49=Sheet6!$C$5,Sheet6!$C$5,IF(Tim!AZ49=Sheet6!$C$6,Sheet6!$C$6,IF(Tim!AZ49=Sheet6!$C$7,Sheet6!$C$7,IF(Tim!AZ49=Sheet6!$C$8,Sheet6!$C$8,"")))))))</f>
        <v/>
      </c>
      <c r="Z47" s="57" t="str">
        <f>IF(Tim!BD49=Sheet6!$C$2,Sheet6!$C$2,IF(Tim!BD49=Sheet6!$C$3,Sheet6!$C$3,IF(Tim!BD49=Sheet6!$C$4,Sheet6!$C$4,IF(Tim!BD49=Sheet6!$C$5,Sheet6!$C$5,IF(Tim!BD49=Sheet6!$C$6,Sheet6!$C$6,IF(Tim!BD49=Sheet6!$C$7,Sheet6!$C$7,IF(Tim!BD49=Sheet6!$C$8,Sheet6!$C$8,"")))))))</f>
        <v/>
      </c>
      <c r="AA47" s="57" t="str">
        <f>IF(Tim!BE49=Sheet6!$C$2,Sheet6!$C$2,IF(Tim!BE49=Sheet6!$C$3,Sheet6!$C$3,IF(Tim!BE49=Sheet6!$C$4,Sheet6!$C$4,IF(Tim!BE49=Sheet6!$C$5,Sheet6!$C$5,IF(Tim!BE49=Sheet6!$C$6,Sheet6!$C$6,IF(Tim!BE49=Sheet6!$C$7,Sheet6!$C$7,IF(Tim!BE49=Sheet6!$C$8,Sheet6!$C$8,"")))))))</f>
        <v/>
      </c>
      <c r="AB47" s="57" t="str">
        <f>IF(Tim!BL49=Sheet6!$C$2,Sheet6!$C$2,IF(Tim!BL49=Sheet6!$C$3,Sheet6!$C$3,IF(Tim!BL49=Sheet6!$C$4,Sheet6!$C$4,IF(Tim!BL49=Sheet6!$C$5,Sheet6!$C$5,IF(Tim!BL49=Sheet6!$C$6,Sheet6!$C$6,IF(Tim!BL49=Sheet6!$C$7,Sheet6!$C$7,IF(Tim!BL49=Sheet6!$C$8,Sheet6!$C$8,"")))))))</f>
        <v/>
      </c>
      <c r="AC47" s="53" t="str">
        <f>IF(Tim!BT49=Sheet6!$C$2,Sheet6!$C$2,IF(Tim!BT49=Sheet6!$C$3,Sheet6!$C$3,IF(Tim!BT49=Sheet6!$C$4,Sheet6!$C$4,IF(Tim!BT49=Sheet6!$C$5,Sheet6!$C$5,IF(Tim!BT49=Sheet6!$C$6,Sheet6!$C$6,IF(Tim!BT49=Sheet6!$C$7,Sheet6!$C$7,IF(Tim!BT49=Sheet6!$C$8,Sheet6!$C$8,"")))))))</f>
        <v/>
      </c>
      <c r="AD47" s="53" t="str">
        <f>IF(Tim!BU49=Sheet6!$C$2,Sheet6!$C$2,IF(Tim!BU49=Sheet6!$C$3,Sheet6!$C$3,IF(Tim!BU49=Sheet6!$C$4,Sheet6!$C$4,IF(Tim!BU49=Sheet6!$C$5,Sheet6!$C$5,IF(Tim!BU49=Sheet6!$C$6,Sheet6!$C$6,IF(Tim!BU49=Sheet6!$C$7,Sheet6!$C$7,IF(Tim!BU49=Sheet6!$C$8,Sheet6!$C$8,"")))))))</f>
        <v/>
      </c>
      <c r="AE47" s="53" t="str">
        <f>IF(Tim!CB49=Sheet6!$C$2,Sheet6!$C$2,IF(Tim!CB49=Sheet6!$C$3,Sheet6!$C$3,IF(Tim!CB49=Sheet6!$C$4,Sheet6!$C$4,IF(Tim!CB49=Sheet6!$C$5,Sheet6!$C$5,IF(Tim!CB49=Sheet6!$C$6,Sheet6!$C$6,IF(Tim!CB49=Sheet6!$C$7,Sheet6!$C$7,IF(Tim!CB49=Sheet6!$C$8,Sheet6!$C$8,"")))))))</f>
        <v/>
      </c>
      <c r="AF47" s="53" t="str">
        <f>IF(Tim!CD49=Sheet6!$C$2,Sheet6!$C$2,IF(Tim!CD49=Sheet6!$C$3,Sheet6!$C$3,IF(Tim!CD49=Sheet6!$C$4,Sheet6!$C$4,IF(Tim!CD49=Sheet6!$C$5,Sheet6!$C$5,IF(Tim!CD49=Sheet6!$C$6,Sheet6!$C$6,IF(Tim!CD49=Sheet6!$C$7,Sheet6!$C$7,IF(Tim!CD49=Sheet6!$C$8,Sheet6!$C$8,"")))))))</f>
        <v/>
      </c>
      <c r="AG47" s="53" t="str">
        <f>IF(Tim!CE49=Sheet6!$C$2,Sheet6!$C$2,IF(Tim!CE49=Sheet6!$C$3,Sheet6!$C$3,IF(Tim!CE49=Sheet6!$C$4,Sheet6!$C$4,IF(Tim!CE49=Sheet6!$C$5,Sheet6!$C$5,IF(Tim!CE49=Sheet6!$C$6,Sheet6!$C$6,IF(Tim!CE49=Sheet6!$C$7,Sheet6!$C$7,IF(Tim!CE49=Sheet6!$C$8,Sheet6!$C$8,"")))))))</f>
        <v/>
      </c>
      <c r="AH47" s="53" t="str">
        <f>IF(Tim!CF49=Sheet6!$C$2,Sheet6!$C$2,IF(Tim!CF49=Sheet6!$C$3,Sheet6!$C$3,IF(Tim!CF49=Sheet6!$C$4,Sheet6!$C$4,IF(Tim!CF49=Sheet6!$C$5,Sheet6!$C$5,IF(Tim!CF49=Sheet6!$C$6,Sheet6!$C$6,IF(Tim!CF49=Sheet6!$C$7,Sheet6!$C$7,IF(Tim!CF49=Sheet6!$C$8,Sheet6!$C$8,"")))))))</f>
        <v/>
      </c>
      <c r="AI47" s="176" t="str">
        <f>IF(Tim!CG49=Sheet6!$C$2,Sheet6!$C$2,IF(Tim!CG49=Sheet6!$C$3,Sheet6!$C$3,IF(Tim!CG49=Sheet6!$C$4,Sheet6!$C$4,IF(Tim!CG49=Sheet6!$C$5,Sheet6!$C$5,IF(Tim!CG49=Sheet6!$C$6,Sheet6!$C$6,IF(Tim!CG49=Sheet6!$C$7,Sheet6!$C$7,IF(Tim!CG49=Sheet6!$C$8,Sheet6!$C$8,"")))))))</f>
        <v/>
      </c>
      <c r="AJ47" s="53" t="str">
        <f>IF(Tim!CH49=Sheet6!$C$2,Sheet6!$C$2,IF(Tim!CH49=Sheet6!$C$3,Sheet6!$C$3,IF(Tim!CH49=Sheet6!$C$4,Sheet6!$C$4,IF(Tim!CH49=Sheet6!$C$5,Sheet6!$C$5,IF(Tim!CH49=Sheet6!$C$6,Sheet6!$C$6,IF(Tim!CH49=Sheet6!$C$7,Sheet6!$C$7,IF(Tim!CH49=Sheet6!$C$8,Sheet6!$C$8,"")))))))</f>
        <v/>
      </c>
      <c r="AK47" s="53" t="str">
        <f>IF(Tim!CL49=Sheet6!$C$2,Sheet6!$C$2,IF(Tim!CL49=Sheet6!$C$3,Sheet6!$C$3,IF(Tim!CL49=Sheet6!$C$4,Sheet6!$C$4,IF(Tim!CL49=Sheet6!$C$5,Sheet6!$C$5,IF(Tim!CL49=Sheet6!$C$6,Sheet6!$C$6,IF(Tim!CL49=Sheet6!$C$7,Sheet6!$C$7,IF(Tim!CL49=Sheet6!$C$8,Sheet6!$C$8,"")))))))</f>
        <v/>
      </c>
      <c r="AL47" s="54" t="str">
        <f>IF(Tim!CM49=Sheet6!$C$2,Sheet6!$C$2,IF(Tim!CM49=Sheet6!$C$3,Sheet6!$C$3,IF(Tim!CM49=Sheet6!$C$4,Sheet6!$C$4,IF(Tim!CM49=Sheet6!$C$5,Sheet6!$C$5,IF(Tim!CM49=Sheet6!$C$6,Sheet6!$C$6,IF(Tim!CM49=Sheet6!$C$7,Sheet6!$C$7,IF(Tim!CM49=Sheet6!$C$8,Sheet6!$C$8,"")))))))</f>
        <v/>
      </c>
      <c r="AM47" s="54" t="str">
        <f>IF(Tim!CN49=Sheet6!$C$2,Sheet6!$C$2,IF(Tim!CN49=Sheet6!$C$3,Sheet6!$C$3,IF(Tim!CN49=Sheet6!$C$4,Sheet6!$C$4,IF(Tim!CN49=Sheet6!$C$5,Sheet6!$C$5,IF(Tim!CN49=Sheet6!$C$6,Sheet6!$C$6,IF(Tim!CN49=Sheet6!$C$7,Sheet6!$C$7,IF(Tim!CN49=Sheet6!$C$8,Sheet6!$C$8,"")))))))</f>
        <v/>
      </c>
      <c r="AN47" s="54" t="str">
        <f>IF(Tim!CO49=Sheet6!$C$2,Sheet6!$C$2,IF(Tim!CO49=Sheet6!$C$3,Sheet6!$C$3,IF(Tim!CO49=Sheet6!$C$4,Sheet6!$C$4,IF(Tim!CO49=Sheet6!$C$5,Sheet6!$C$5,IF(Tim!CO49=Sheet6!$C$6,Sheet6!$C$6,IF(Tim!CO49=Sheet6!$C$7,Sheet6!$C$7,IF(Tim!CO49=Sheet6!$C$8,Sheet6!$C$8,"")))))))</f>
        <v/>
      </c>
      <c r="AO47" s="177" t="str">
        <f>IF(Tim!CP49=Sheet6!$C$2,Sheet6!$C$2,IF(Tim!CP49=Sheet6!$C$3,Sheet6!$C$3,IF(Tim!CP49=Sheet6!$C$4,Sheet6!$C$4,IF(Tim!CP49=Sheet6!$C$5,Sheet6!$C$5,IF(Tim!CP49=Sheet6!$C$6,Sheet6!$C$6,IF(Tim!CP49=Sheet6!$C$7,Sheet6!$C$7,IF(Tim!CP49=Sheet6!$C$8,Sheet6!$C$8,"")))))))</f>
        <v/>
      </c>
      <c r="AP47" s="57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Q47" s="57" t="str">
        <f>IF(Tim!CQ49=Sheet6!$C$2,Sheet6!$C$2,IF(Tim!CQ49=Sheet6!$C$3,Sheet6!$C$3,IF(Tim!CQ49=Sheet6!$C$4,Sheet6!$C$4,IF(Tim!CQ49=Sheet6!$C$5,Sheet6!$C$5,IF(Tim!CQ49=Sheet6!$C$6,Sheet6!$C$6,IF(Tim!CQ49=Sheet6!$C$7,Sheet6!$C$7,IF(Tim!CQ49=Sheet6!$C$8,Sheet6!$C$8,"")))))))</f>
        <v/>
      </c>
      <c r="AR47" s="57" t="str">
        <f>IF(Tim!CU49=Sheet6!$C$2,Sheet6!$C$2,IF(Tim!CU49=Sheet6!$C$3,Sheet6!$C$3,IF(Tim!CU49=Sheet6!$C$4,Sheet6!$C$4,IF(Tim!CU49=Sheet6!$C$5,Sheet6!$C$5,IF(Tim!CU49=Sheet6!$C$6,Sheet6!$C$6,IF(Tim!CU49=Sheet6!$C$7,Sheet6!$C$7,IF(Tim!CU49=Sheet6!$C$8,Sheet6!$C$8,"")))))))</f>
        <v/>
      </c>
      <c r="AS47" s="57" t="str">
        <f>IF(Tim!CV49=Sheet6!$C$2,Sheet6!$C$2,IF(Tim!CV49=Sheet6!$C$3,Sheet6!$C$3,IF(Tim!CV49=Sheet6!$C$4,Sheet6!$C$4,IF(Tim!CV49=Sheet6!$C$5,Sheet6!$C$5,IF(Tim!CV49=Sheet6!$C$6,Sheet6!$C$6,IF(Tim!CV49=Sheet6!$C$7,Sheet6!$C$7,IF(Tim!CV49=Sheet6!$C$8,Sheet6!$C$8,"")))))))</f>
        <v/>
      </c>
      <c r="AT47" s="57" t="str">
        <f>IF(Tim!DA49=Sheet6!$C$2,Sheet6!$C$2,IF(Tim!DA49=Sheet6!$C$3,Sheet6!$C$3,IF(Tim!DA49=Sheet6!$C$4,Sheet6!$C$4,IF(Tim!DA49=Sheet6!$C$5,Sheet6!$C$5,IF(Tim!DA49=Sheet6!$C$6,Sheet6!$C$6,IF(Tim!DA49=Sheet6!$C$7,Sheet6!$C$7,IF(Tim!DA49=Sheet6!$C$8,Sheet6!$C$8,"")))))))</f>
        <v/>
      </c>
      <c r="AU47" s="53" t="str">
        <f>IF(Tim!DO49=Sheet6!$C$2,Sheet6!$C$2,IF(Tim!DO49=Sheet6!$C$3,Sheet6!$C$3,IF(Tim!DO49=Sheet6!$C$4,Sheet6!$C$4,IF(Tim!DO49=Sheet6!$C$5,Sheet6!$C$5,IF(Tim!DO49=Sheet6!$C$6,Sheet6!$C$6,IF(Tim!DO49=Sheet6!$C$7,Sheet6!$C$7,IF(Tim!DO49=Sheet6!$C$8,Sheet6!$C$8,"")))))))</f>
        <v/>
      </c>
      <c r="AV47" s="53" t="str">
        <f>IF(Tim!DP49=Sheet6!$C$2,Sheet6!$C$2,IF(Tim!DP49=Sheet6!$C$3,Sheet6!$C$3,IF(Tim!DP49=Sheet6!$C$4,Sheet6!$C$4,IF(Tim!DP49=Sheet6!$C$5,Sheet6!$C$5,IF(Tim!DP49=Sheet6!$C$6,Sheet6!$C$6,IF(Tim!DP49=Sheet6!$C$7,Sheet6!$C$7,IF(Tim!DP49=Sheet6!$C$8,Sheet6!$C$8,"")))))))</f>
        <v/>
      </c>
      <c r="AW47" s="53" t="str">
        <f>IF(Tim!DX49=Sheet6!$C$2,Sheet6!$C$2,IF(Tim!DX49=Sheet6!$C$3,Sheet6!$C$3,IF(Tim!DX49=Sheet6!$C$4,Sheet6!$C$4,IF(Tim!DX49=Sheet6!$C$5,Sheet6!$C$5,IF(Tim!DX49=Sheet6!$C$6,Sheet6!$C$6,IF(Tim!DX49=Sheet6!$C$7,Sheet6!$C$7,IF(Tim!DX49=Sheet6!$C$8,Sheet6!$C$8,"")))))))</f>
        <v/>
      </c>
      <c r="AX47" s="53" t="str">
        <f>IF(Tim!DY49=Sheet6!$C$2,Sheet6!$C$2,IF(Tim!DY49=Sheet6!$C$3,Sheet6!$C$3,IF(Tim!DY49=Sheet6!$C$4,Sheet6!$C$4,IF(Tim!DY49=Sheet6!$C$5,Sheet6!$C$5,IF(Tim!DY49=Sheet6!$C$6,Sheet6!$C$6,IF(Tim!DY49=Sheet6!$C$7,Sheet6!$C$7,IF(Tim!DY49=Sheet6!$C$8,Sheet6!$C$8,"")))))))</f>
        <v/>
      </c>
      <c r="AY47" s="53" t="str">
        <f>IF(Tim!DZ49=Sheet6!$C$2,Sheet6!$C$2,IF(Tim!DZ49=Sheet6!$C$3,Sheet6!$C$3,IF(Tim!DZ49=Sheet6!$C$4,Sheet6!$C$4,IF(Tim!DZ49=Sheet6!$C$5,Sheet6!$C$5,IF(Tim!DZ49=Sheet6!$C$6,Sheet6!$C$6,IF(Tim!DZ49=Sheet6!$C$7,Sheet6!$C$7,IF(Tim!DZ49=Sheet6!$C$8,Sheet6!$C$8,"")))))))</f>
        <v/>
      </c>
      <c r="AZ47" s="53" t="str">
        <f>IF(Tim!EA49=Sheet6!$C$2,Sheet6!$C$2,IF(Tim!EA49=Sheet6!$C$3,Sheet6!$C$3,IF(Tim!EA49=Sheet6!$C$4,Sheet6!$C$4,IF(Tim!EA49=Sheet6!$C$5,Sheet6!$C$5,IF(Tim!EA49=Sheet6!$C$6,Sheet6!$C$6,IF(Tim!EA49=Sheet6!$C$7,Sheet6!$C$7,IF(Tim!EA49=Sheet6!$C$8,Sheet6!$C$8,"")))))))</f>
        <v/>
      </c>
      <c r="BA47" s="176" t="str">
        <f>IF(Tim!EB49=Sheet6!$C$2,Sheet6!$C$2,IF(Tim!EB49=Sheet6!$C$3,Sheet6!$C$3,IF(Tim!EB49=Sheet6!$C$4,Sheet6!$C$4,IF(Tim!EB49=Sheet6!$C$5,Sheet6!$C$5,IF(Tim!EB49=Sheet6!$C$6,Sheet6!$C$6,IF(Tim!EB49=Sheet6!$C$7,Sheet6!$C$7,IF(Tim!EB49=Sheet6!$C$8,Sheet6!$C$8,"")))))))</f>
        <v/>
      </c>
      <c r="BB47" s="53" t="str">
        <f>IF(Tim!EC49=Sheet6!$C$2,Sheet6!$C$2,IF(Tim!EC49=Sheet6!$C$3,Sheet6!$C$3,IF(Tim!EC49=Sheet6!$C$4,Sheet6!$C$4,IF(Tim!EC49=Sheet6!$C$5,Sheet6!$C$5,IF(Tim!EC49=Sheet6!$C$6,Sheet6!$C$6,IF(Tim!EC49=Sheet6!$C$7,Sheet6!$C$7,IF(Tim!EC49=Sheet6!$C$8,Sheet6!$C$8,"")))))))</f>
        <v/>
      </c>
      <c r="BC47" s="53" t="str">
        <f>IF(Tim!EG49=Sheet6!$C$2,Sheet6!$C$2,IF(Tim!EG49=Sheet6!$C$3,Sheet6!$C$3,IF(Tim!EG49=Sheet6!$C$4,Sheet6!$C$4,IF(Tim!EG49=Sheet6!$C$5,Sheet6!$C$5,IF(Tim!EG49=Sheet6!$C$6,Sheet6!$C$6,IF(Tim!EG49=Sheet6!$C$7,Sheet6!$C$7,IF(Tim!EG49=Sheet6!$C$8,Sheet6!$C$8,"")))))))</f>
        <v/>
      </c>
      <c r="BD47" s="54" t="str">
        <f>IF(Tim!EH49=Sheet6!$C$2,Sheet6!$C$2,IF(Tim!EH49=Sheet6!$C$3,Sheet6!$C$3,IF(Tim!EH49=Sheet6!$C$4,Sheet6!$C$4,IF(Tim!EH49=Sheet6!$C$5,Sheet6!$C$5,IF(Tim!EH49=Sheet6!$C$6,Sheet6!$C$6,IF(Tim!EH49=Sheet6!$C$7,Sheet6!$C$7,IF(Tim!EH49=Sheet6!$C$8,Sheet6!$C$8,"")))))))</f>
        <v/>
      </c>
      <c r="BE47" s="54" t="str">
        <f>IF(Tim!EI49=Sheet6!$C$2,Sheet6!$C$2,IF(Tim!EI49=Sheet6!$C$3,Sheet6!$C$3,IF(Tim!EI49=Sheet6!$C$4,Sheet6!$C$4,IF(Tim!EI49=Sheet6!$C$5,Sheet6!$C$5,IF(Tim!EI49=Sheet6!$C$6,Sheet6!$C$6,IF(Tim!EI49=Sheet6!$C$7,Sheet6!$C$7,IF(Tim!EI49=Sheet6!$C$8,Sheet6!$C$8,"")))))))</f>
        <v/>
      </c>
      <c r="BF47" s="54" t="str">
        <f>IF(Tim!EJ49=Sheet6!$C$2,Sheet6!$C$2,IF(Tim!EJ49=Sheet6!$C$3,Sheet6!$C$3,IF(Tim!EJ49=Sheet6!$C$4,Sheet6!$C$4,IF(Tim!EJ49=Sheet6!$C$5,Sheet6!$C$5,IF(Tim!EJ49=Sheet6!$C$6,Sheet6!$C$6,IF(Tim!EJ49=Sheet6!$C$7,Sheet6!$C$7,IF(Tim!EJ49=Sheet6!$C$8,Sheet6!$C$8,"")))))))</f>
        <v/>
      </c>
      <c r="BG47" s="55" t="str">
        <f>IF(Tim!EK49=Sheet6!$C$2,Sheet6!$C$2,IF(Tim!EK49=Sheet6!$C$3,Sheet6!$C$3,IF(Tim!EK49=Sheet6!$C$4,Sheet6!$C$4,IF(Tim!EK49=Sheet6!$C$5,Sheet6!$C$5,IF(Tim!EK49=Sheet6!$C$6,Sheet6!$C$6,IF(Tim!EK49=Sheet6!$C$7,Sheet6!$C$7,IF(Tim!EK49=Sheet6!$C$8,Sheet6!$C$8,"")))))))</f>
        <v/>
      </c>
      <c r="BH47" s="53" t="str">
        <f>IF(Tim!EL49=Sheet6!$C$2,Sheet6!$C$2,IF(Tim!EL49=Sheet6!$C$3,Sheet6!$C$3,IF(Tim!EL49=Sheet6!$C$4,Sheet6!$C$4,IF(Tim!EL49=Sheet6!$C$5,Sheet6!$C$5,IF(Tim!EL49=Sheet6!$C$6,Sheet6!$C$6,IF(Tim!EL49=Sheet6!$C$7,Sheet6!$C$7,IF(Tim!EL49=Sheet6!$C$8,Sheet6!$C$8,"")))))))</f>
        <v/>
      </c>
      <c r="BI47" s="57" t="str">
        <f>IF(Tim!EM49=Sheet6!$C$2,Sheet6!$C$2,IF(Tim!EM49=Sheet6!$C$3,Sheet6!$C$3,IF(Tim!EM49=Sheet6!$C$4,Sheet6!$C$4,IF(Tim!EM49=Sheet6!$C$5,Sheet6!$C$5,IF(Tim!EM49=Sheet6!$C$6,Sheet6!$C$6,IF(Tim!EM49=Sheet6!$C$7,Sheet6!$C$7,IF(Tim!EM49=Sheet6!$C$8,Sheet6!$C$8,"")))))))</f>
        <v/>
      </c>
      <c r="BJ47" s="57" t="str">
        <f>IF(Tim!EQ49=Sheet6!$C$2,Sheet6!$C$2,IF(Tim!EQ49=Sheet6!$C$3,Sheet6!$C$3,IF(Tim!EQ49=Sheet6!$C$4,Sheet6!$C$4,IF(Tim!EQ49=Sheet6!$C$5,Sheet6!$C$5,IF(Tim!EQ49=Sheet6!$C$6,Sheet6!$C$6,IF(Tim!EQ49=Sheet6!$C$7,Sheet6!$C$7,IF(Tim!EQ49=Sheet6!$C$8,Sheet6!$C$8,"")))))))</f>
        <v/>
      </c>
      <c r="BK47" s="57" t="str">
        <f>IF(Tim!ER49=Sheet6!$C$2,Sheet6!$C$2,IF(Tim!ER49=Sheet6!$C$3,Sheet6!$C$3,IF(Tim!ER49=Sheet6!$C$4,Sheet6!$C$4,IF(Tim!ER49=Sheet6!$C$5,Sheet6!$C$5,IF(Tim!ER49=Sheet6!$C$6,Sheet6!$C$6,IF(Tim!ER49=Sheet6!$C$7,Sheet6!$C$7,IF(Tim!ER49=Sheet6!$C$8,Sheet6!$C$8,"")))))))</f>
        <v/>
      </c>
      <c r="BL47" s="57" t="str">
        <f>IF(Tim!EZ49=Sheet6!$C$2,Sheet6!$C$2,IF(Tim!EZ49=Sheet6!$C$3,Sheet6!$C$3,IF(Tim!EZ49=Sheet6!$C$4,Sheet6!$C$4,IF(Tim!EZ49=Sheet6!$C$5,Sheet6!$C$5,IF(Tim!EZ49=Sheet6!$C$6,Sheet6!$C$6,IF(Tim!EZ49=Sheet6!$C$7,Sheet6!$C$7,IF(Tim!EZ49=Sheet6!$C$8,Sheet6!$C$8,"")))))))</f>
        <v/>
      </c>
      <c r="BM47" s="53" t="str">
        <f>IF(Tim!FG49=Sheet6!$C$2,Sheet6!$C$2,IF(Tim!FG49=Sheet6!$C$3,Sheet6!$C$3,IF(Tim!FG49=Sheet6!$C$4,Sheet6!$C$4,IF(Tim!FG49=Sheet6!$C$5,Sheet6!$C$5,IF(Tim!FG49=Sheet6!$C$6,Sheet6!$C$6,IF(Tim!FG49=Sheet6!$C$7,Sheet6!$C$7,IF(Tim!FG49=Sheet6!$C$8,Sheet6!$C$8,"")))))))</f>
        <v/>
      </c>
      <c r="BN47" s="53" t="str">
        <f>IF(Tim!FH49=Sheet6!$C$2,Sheet6!$C$2,IF(Tim!FH49=Sheet6!$C$3,Sheet6!$C$3,IF(Tim!FH49=Sheet6!$C$4,Sheet6!$C$4,IF(Tim!FH49=Sheet6!$C$5,Sheet6!$C$5,IF(Tim!FH49=Sheet6!$C$6,Sheet6!$C$6,IF(Tim!FH49=Sheet6!$C$7,Sheet6!$C$7,IF(Tim!FH49=Sheet6!$C$8,Sheet6!$C$8,"")))))))</f>
        <v/>
      </c>
      <c r="BO47" s="53" t="str">
        <f>IF(Tim!FP49=Sheet6!$C$2,Sheet6!$C$2,IF(Tim!FP49=Sheet6!$C$3,Sheet6!$C$3,IF(Tim!FP49=Sheet6!$C$4,Sheet6!$C$4,IF(Tim!FP49=Sheet6!$C$5,Sheet6!$C$5,IF(Tim!FP49=Sheet6!$C$6,Sheet6!$C$6,IF(Tim!FP49=Sheet6!$C$7,Sheet6!$C$7,IF(Tim!FP49=Sheet6!$C$8,Sheet6!$C$8,"")))))))</f>
        <v/>
      </c>
      <c r="BP47" s="53" t="str">
        <f>IF(Tim!FQ49=Sheet6!$C$2,Sheet6!$C$2,IF(Tim!FQ49=Sheet6!$C$3,Sheet6!$C$3,IF(Tim!FQ49=Sheet6!$C$4,Sheet6!$C$4,IF(Tim!FQ49=Sheet6!$C$5,Sheet6!$C$5,IF(Tim!FQ49=Sheet6!$C$6,Sheet6!$C$6,IF(Tim!FQ49=Sheet6!$C$7,Sheet6!$C$7,IF(Tim!FQ49=Sheet6!$C$8,Sheet6!$C$8,"")))))))</f>
        <v/>
      </c>
      <c r="BQ47" s="53" t="str">
        <f>IF(Tim!FR49=Sheet6!$C$2,Sheet6!$C$2,IF(Tim!FR49=Sheet6!$C$3,Sheet6!$C$3,IF(Tim!FR49=Sheet6!$C$4,Sheet6!$C$4,IF(Tim!FR49=Sheet6!$C$5,Sheet6!$C$5,IF(Tim!FR49=Sheet6!$C$6,Sheet6!$C$6,IF(Tim!FR49=Sheet6!$C$7,Sheet6!$C$7,IF(Tim!FR49=Sheet6!$C$8,Sheet6!$C$8,"")))))))</f>
        <v/>
      </c>
      <c r="BR47" s="53" t="str">
        <f>IF(Tim!FS49=Sheet6!$C$2,Sheet6!$C$2,IF(Tim!FS49=Sheet6!$C$3,Sheet6!$C$3,IF(Tim!FS49=Sheet6!$C$4,Sheet6!$C$4,IF(Tim!FS49=Sheet6!$C$5,Sheet6!$C$5,IF(Tim!FS49=Sheet6!$C$6,Sheet6!$C$6,IF(Tim!FS49=Sheet6!$C$7,Sheet6!$C$7,IF(Tim!FS49=Sheet6!$C$8,Sheet6!$C$8,"")))))))</f>
        <v/>
      </c>
      <c r="BS47" s="53" t="str">
        <f>IF(Tim!FT49=Sheet6!$C$2,Sheet6!$C$2,IF(Tim!FT49=Sheet6!$C$3,Sheet6!$C$3,IF(Tim!FT49=Sheet6!$C$4,Sheet6!$C$4,IF(Tim!FT49=Sheet6!$C$5,Sheet6!$C$5,IF(Tim!FT49=Sheet6!$C$6,Sheet6!$C$6,IF(Tim!FT49=Sheet6!$C$7,Sheet6!$C$7,IF(Tim!FT49=Sheet6!$C$8,Sheet6!$C$8,"")))))))</f>
        <v/>
      </c>
      <c r="BT47" s="53" t="str">
        <f>IF(Tim!FU49=Sheet6!$C$2,Sheet6!$C$2,IF(Tim!FU49=Sheet6!$C$3,Sheet6!$C$3,IF(Tim!FU49=Sheet6!$C$4,Sheet6!$C$4,IF(Tim!FU49=Sheet6!$C$5,Sheet6!$C$5,IF(Tim!FU49=Sheet6!$C$6,Sheet6!$C$6,IF(Tim!FU49=Sheet6!$C$7,Sheet6!$C$7,IF(Tim!FU49=Sheet6!$C$8,Sheet6!$C$8,"")))))))</f>
        <v/>
      </c>
      <c r="BU47" s="53" t="str">
        <f>IF(Tim!FY49=Sheet6!$C$2,Sheet6!$C$2,IF(Tim!FY49=Sheet6!$C$3,Sheet6!$C$3,IF(Tim!FY49=Sheet6!$C$4,Sheet6!$C$4,IF(Tim!FY49=Sheet6!$C$5,Sheet6!$C$5,IF(Tim!FY49=Sheet6!$C$6,Sheet6!$C$6,IF(Tim!FY49=Sheet6!$C$7,Sheet6!$C$7,IF(Tim!FY49=Sheet6!$C$8,Sheet6!$C$8,"")))))))</f>
        <v/>
      </c>
      <c r="BV47" s="54" t="str">
        <f>IF(Tim!FZ49=Sheet6!$C$2,Sheet6!$C$2,IF(Tim!FZ49=Sheet6!$C$3,Sheet6!$C$3,IF(Tim!FZ49=Sheet6!$C$4,Sheet6!$C$4,IF(Tim!FZ49=Sheet6!$C$5,Sheet6!$C$5,IF(Tim!FZ49=Sheet6!$C$6,Sheet6!$C$6,IF(Tim!FZ49=Sheet6!$C$7,Sheet6!$C$7,IF(Tim!FZ49=Sheet6!$C$8,Sheet6!$C$8,"")))))))</f>
        <v/>
      </c>
      <c r="BW47" s="54" t="str">
        <f>IF(Tim!GA49=Sheet6!$C$2,Sheet6!$C$2,IF(Tim!GA49=Sheet6!$C$3,Sheet6!$C$3,IF(Tim!GA49=Sheet6!$C$4,Sheet6!$C$4,IF(Tim!GA49=Sheet6!$C$5,Sheet6!$C$5,IF(Tim!GA49=Sheet6!$C$6,Sheet6!$C$6,IF(Tim!GA49=Sheet6!$C$7,Sheet6!$C$7,IF(Tim!GA49=Sheet6!$C$8,Sheet6!$C$8,"")))))))</f>
        <v/>
      </c>
      <c r="BX47" s="54" t="str">
        <f>IF(Tim!GB49=Sheet6!$C$2,Sheet6!$C$2,IF(Tim!GB49=Sheet6!$C$3,Sheet6!$C$3,IF(Tim!GB49=Sheet6!$C$4,Sheet6!$C$4,IF(Tim!GB49=Sheet6!$C$5,Sheet6!$C$5,IF(Tim!GB49=Sheet6!$C$6,Sheet6!$C$6,IF(Tim!GB49=Sheet6!$C$7,Sheet6!$C$7,IF(Tim!GB49=Sheet6!$C$8,Sheet6!$C$8,"")))))))</f>
        <v/>
      </c>
      <c r="BY47" s="55" t="str">
        <f>IF(Tim!GC49=Sheet6!$C$2,Sheet6!$C$2,IF(Tim!GC49=Sheet6!$C$3,Sheet6!$C$3,IF(Tim!GC49=Sheet6!$C$4,Sheet6!$C$4,IF(Tim!GC49=Sheet6!$C$5,Sheet6!$C$5,IF(Tim!GC49=Sheet6!$C$6,Sheet6!$C$6,IF(Tim!GC49=Sheet6!$C$7,Sheet6!$C$7,IF(Tim!GC49=Sheet6!$C$8,Sheet6!$C$8,"")))))))</f>
        <v/>
      </c>
      <c r="BZ47" s="53" t="str">
        <f>IF(Tim!GD49=Sheet6!$C$2,Sheet6!$C$2,IF(Tim!GD49=Sheet6!$C$3,Sheet6!$C$3,IF(Tim!GD49=Sheet6!$C$4,Sheet6!$C$4,IF(Tim!GD49=Sheet6!$C$5,Sheet6!$C$5,IF(Tim!GD49=Sheet6!$C$6,Sheet6!$C$6,IF(Tim!GD49=Sheet6!$C$7,Sheet6!$C$7,IF(Tim!GD49=Sheet6!$C$8,Sheet6!$C$8,"")))))))</f>
        <v/>
      </c>
      <c r="CA47" s="53" t="str">
        <f>IF(Tim!GE49=Sheet6!$C$2,Sheet6!$C$2,IF(Tim!GE49=Sheet6!$C$3,Sheet6!$C$3,IF(Tim!GE49=Sheet6!$C$4,Sheet6!$C$4,IF(Tim!GE49=Sheet6!$C$5,Sheet6!$C$5,IF(Tim!GE49=Sheet6!$C$6,Sheet6!$C$6,IF(Tim!GE49=Sheet6!$C$7,Sheet6!$C$7,IF(Tim!GE49=Sheet6!$C$8,Sheet6!$C$8,"")))))))</f>
        <v/>
      </c>
      <c r="CB47" s="57" t="str">
        <f>IF(Tim!GI49=Sheet6!$C$2,Sheet6!$C$2,IF(Tim!GI49=Sheet6!$C$3,Sheet6!$C$3,IF(Tim!GI49=Sheet6!$C$4,Sheet6!$C$4,IF(Tim!GI49=Sheet6!$C$5,Sheet6!$C$5,IF(Tim!GI49=Sheet6!$C$6,Sheet6!$C$6,IF(Tim!GI49=Sheet6!$C$7,Sheet6!$C$7,IF(Tim!GI49=Sheet6!$C$8,Sheet6!$C$8,"")))))))</f>
        <v/>
      </c>
      <c r="CC47" s="57" t="str">
        <f>IF(Tim!GJ49=Sheet6!$C$2,Sheet6!$C$2,IF(Tim!GJ49=Sheet6!$C$3,Sheet6!$C$3,IF(Tim!GJ49=Sheet6!$C$4,Sheet6!$C$4,IF(Tim!GJ49=Sheet6!$C$5,Sheet6!$C$5,IF(Tim!GJ49=Sheet6!$C$6,Sheet6!$C$6,IF(Tim!GJ49=Sheet6!$C$7,Sheet6!$C$7,IF(Tim!GJ49=Sheet6!$C$8,Sheet6!$C$8,"")))))))</f>
        <v/>
      </c>
      <c r="CD47" s="57" t="str">
        <f>IF(Tim!GN49=Sheet6!$C$2,Sheet6!$C$2,IF(Tim!GN49=Sheet6!$C$3,Sheet6!$C$3,IF(Tim!GN49=Sheet6!$C$4,Sheet6!$C$4,IF(Tim!GN49=Sheet6!$C$5,Sheet6!$C$5,IF(Tim!GN49=Sheet6!$C$6,Sheet6!$C$6,IF(Tim!GN49=Sheet6!$C$7,Sheet6!$C$7,IF(Tim!GN49=Sheet6!$C$8,Sheet6!$C$8,"")))))))</f>
        <v/>
      </c>
      <c r="CE47" s="53" t="str">
        <f>IF(Tim!GY49=Sheet6!$C$2,Sheet6!$C$2,IF(Tim!GY49=Sheet6!$C$3,Sheet6!$C$3,IF(Tim!GY49=Sheet6!$C$4,Sheet6!$C$4,IF(Tim!GY49=Sheet6!$C$5,Sheet6!$C$5,IF(Tim!GY49=Sheet6!$C$6,Sheet6!$C$6,IF(Tim!GY49=Sheet6!$C$7,Sheet6!$C$7,IF(Tim!GY49=Sheet6!$C$8,Sheet6!$C$8,"")))))))</f>
        <v/>
      </c>
      <c r="CF47" s="53" t="str">
        <f>IF(Tim!GZ49=Sheet6!$C$2,Sheet6!$C$2,IF(Tim!GZ49=Sheet6!$C$3,Sheet6!$C$3,IF(Tim!GZ49=Sheet6!$C$4,Sheet6!$C$4,IF(Tim!GZ49=Sheet6!$C$5,Sheet6!$C$5,IF(Tim!GZ49=Sheet6!$C$6,Sheet6!$C$6,IF(Tim!GZ49=Sheet6!$C$7,Sheet6!$C$7,IF(Tim!GZ49=Sheet6!$C$8,Sheet6!$C$8,"")))))))</f>
        <v/>
      </c>
      <c r="CG47" s="53" t="str">
        <f>IF(Tim!HH49=Sheet6!$C$2,Sheet6!$C$2,IF(Tim!HH49=Sheet6!$C$3,Sheet6!$C$3,IF(Tim!HH49=Sheet6!$C$4,Sheet6!$C$4,IF(Tim!HH49=Sheet6!$C$5,Sheet6!$C$5,IF(Tim!HH49=Sheet6!$C$6,Sheet6!$C$6,IF(Tim!HH49=Sheet6!$C$7,Sheet6!$C$7,IF(Tim!HH49=Sheet6!$C$8,Sheet6!$C$8,"")))))))</f>
        <v/>
      </c>
      <c r="CH47" s="53" t="str">
        <f>IF(Tim!HI49=Sheet6!$C$2,Sheet6!$C$2,IF(Tim!HI49=Sheet6!$C$3,Sheet6!$C$3,IF(Tim!HI49=Sheet6!$C$4,Sheet6!$C$4,IF(Tim!HI49=Sheet6!$C$5,Sheet6!$C$5,IF(Tim!HI49=Sheet6!$C$6,Sheet6!$C$6,IF(Tim!HI49=Sheet6!$C$7,Sheet6!$C$7,IF(Tim!HI49=Sheet6!$C$8,Sheet6!$C$8,"")))))))</f>
        <v/>
      </c>
      <c r="CI47" s="53" t="str">
        <f>IF(Tim!HJ49=Sheet6!$C$2,Sheet6!$C$2,IF(Tim!HJ49=Sheet6!$C$3,Sheet6!$C$3,IF(Tim!HJ49=Sheet6!$C$4,Sheet6!$C$4,IF(Tim!HJ49=Sheet6!$C$5,Sheet6!$C$5,IF(Tim!HJ49=Sheet6!$C$6,Sheet6!$C$6,IF(Tim!HJ49=Sheet6!$C$7,Sheet6!$C$7,IF(Tim!HJ49=Sheet6!$C$8,Sheet6!$C$8,"")))))))</f>
        <v/>
      </c>
      <c r="CJ47" s="53" t="str">
        <f>IF(Tim!HK49=Sheet6!$C$2,Sheet6!$C$2,IF(Tim!HK49=Sheet6!$C$3,Sheet6!$C$3,IF(Tim!HK49=Sheet6!$C$4,Sheet6!$C$4,IF(Tim!HK49=Sheet6!$C$5,Sheet6!$C$5,IF(Tim!HK49=Sheet6!$C$6,Sheet6!$C$6,IF(Tim!HK49=Sheet6!$C$7,Sheet6!$C$7,IF(Tim!HK49=Sheet6!$C$8,Sheet6!$C$8,"")))))))</f>
        <v/>
      </c>
      <c r="CK47" s="53" t="str">
        <f>IF(Tim!HL49=Sheet6!$C$2,Sheet6!$C$2,IF(Tim!HL49=Sheet6!$C$3,Sheet6!$C$3,IF(Tim!HL49=Sheet6!$C$4,Sheet6!$C$4,IF(Tim!HL49=Sheet6!$C$5,Sheet6!$C$5,IF(Tim!HL49=Sheet6!$C$6,Sheet6!$C$6,IF(Tim!HL49=Sheet6!$C$7,Sheet6!$C$7,IF(Tim!HL49=Sheet6!$C$8,Sheet6!$C$8,"")))))))</f>
        <v/>
      </c>
      <c r="CL47" s="53" t="str">
        <f>IF(Tim!HM49=Sheet6!$C$2,Sheet6!$C$2,IF(Tim!HM49=Sheet6!$C$3,Sheet6!$C$3,IF(Tim!HM49=Sheet6!$C$4,Sheet6!$C$4,IF(Tim!HM49=Sheet6!$C$5,Sheet6!$C$5,IF(Tim!HM49=Sheet6!$C$6,Sheet6!$C$6,IF(Tim!HM49=Sheet6!$C$7,Sheet6!$C$7,IF(Tim!HM49=Sheet6!$C$8,Sheet6!$C$8,"")))))))</f>
        <v/>
      </c>
      <c r="CM47" s="53" t="str">
        <f>IF(Tim!HQ49=Sheet6!$C$2,Sheet6!$C$2,IF(Tim!HQ49=Sheet6!$C$3,Sheet6!$C$3,IF(Tim!HQ49=Sheet6!$C$4,Sheet6!$C$4,IF(Tim!HQ49=Sheet6!$C$5,Sheet6!$C$5,IF(Tim!HQ49=Sheet6!$C$6,Sheet6!$C$6,IF(Tim!HQ49=Sheet6!$C$7,Sheet6!$C$7,IF(Tim!HQ49=Sheet6!$C$8,Sheet6!$C$8,"")))))))</f>
        <v/>
      </c>
      <c r="CN47" s="54" t="str">
        <f>IF(Tim!HR49=Sheet6!$C$2,Sheet6!$C$2,IF(Tim!HR49=Sheet6!$C$3,Sheet6!$C$3,IF(Tim!HR49=Sheet6!$C$4,Sheet6!$C$4,IF(Tim!HR49=Sheet6!$C$5,Sheet6!$C$5,IF(Tim!HR49=Sheet6!$C$6,Sheet6!$C$6,IF(Tim!HR49=Sheet6!$C$7,Sheet6!$C$7,IF(Tim!HR49=Sheet6!$C$8,Sheet6!$C$8,"")))))))</f>
        <v/>
      </c>
      <c r="CO47" s="54" t="str">
        <f>IF(Tim!HS49=Sheet6!$C$2,Sheet6!$C$2,IF(Tim!HS49=Sheet6!$C$3,Sheet6!$C$3,IF(Tim!HS49=Sheet6!$C$4,Sheet6!$C$4,IF(Tim!HS49=Sheet6!$C$5,Sheet6!$C$5,IF(Tim!HS49=Sheet6!$C$6,Sheet6!$C$6,IF(Tim!HS49=Sheet6!$C$7,Sheet6!$C$7,IF(Tim!HS49=Sheet6!$C$8,Sheet6!$C$8,"")))))))</f>
        <v/>
      </c>
      <c r="CP47" s="54" t="str">
        <f>IF(Tim!HT49=Sheet6!$C$2,Sheet6!$C$2,IF(Tim!HT49=Sheet6!$C$3,Sheet6!$C$3,IF(Tim!HT49=Sheet6!$C$4,Sheet6!$C$4,IF(Tim!HT49=Sheet6!$C$5,Sheet6!$C$5,IF(Tim!HT49=Sheet6!$C$6,Sheet6!$C$6,IF(Tim!HT49=Sheet6!$C$7,Sheet6!$C$7,IF(Tim!HT49=Sheet6!$C$8,Sheet6!$C$8,"")))))))</f>
        <v/>
      </c>
      <c r="CQ47" s="55" t="str">
        <f>IF(Tim!HU49=Sheet6!$C$2,Sheet6!$C$2,IF(Tim!HU49=Sheet6!$C$3,Sheet6!$C$3,IF(Tim!HU49=Sheet6!$C$4,Sheet6!$C$4,IF(Tim!HU49=Sheet6!$C$5,Sheet6!$C$5,IF(Tim!HU49=Sheet6!$C$6,Sheet6!$C$6,IF(Tim!HU49=Sheet6!$C$7,Sheet6!$C$7,IF(Tim!HU49=Sheet6!$C$8,Sheet6!$C$8,"")))))))</f>
        <v/>
      </c>
      <c r="CR47" s="56" t="str">
        <f>IF(Tim!HV49=Sheet6!$C$2,Sheet6!$C$2,IF(Tim!HV49=Sheet6!$C$3,Sheet6!$C$3,IF(Tim!HV49=Sheet6!$C$4,Sheet6!$C$4,IF(Tim!HV49=Sheet6!$C$5,Sheet6!$C$5,IF(Tim!HV49=Sheet6!$C$6,Sheet6!$C$6,IF(Tim!HV49=Sheet6!$C$7,Sheet6!$C$7,IF(Tim!HV49=Sheet6!$C$8,Sheet6!$C$8,"")))))))</f>
        <v/>
      </c>
      <c r="CS47" s="57" t="str">
        <f>IF(Tim!IB49=Sheet6!$C$2,Sheet6!$C$2,IF(Tim!IB49=Sheet6!$C$3,Sheet6!$C$3,IF(Tim!IB49=Sheet6!$C$4,Sheet6!$C$4,IF(Tim!IB49=Sheet6!$C$5,Sheet6!$C$5,IF(Tim!IB49=Sheet6!$C$6,Sheet6!$C$6,IF(Tim!IB49=Sheet6!$C$7,Sheet6!$C$7,IF(Tim!IB49=Sheet6!$C$8,Sheet6!$C$8,"")))))))</f>
        <v/>
      </c>
      <c r="CT47" s="65" t="str">
        <f>IF(Tim!IJ49=Sheet6!$C$2,Sheet6!$C$2,IF(Tim!IJ49=Sheet6!$C$3,Sheet6!$C$3,IF(Tim!IJ49=Sheet6!$C$4,Sheet6!$C$4,IF(Tim!IJ49=Sheet6!$C$5,Sheet6!$C$5,IF(Tim!IJ49=Sheet6!$C$6,Sheet6!$C$6,IF(Tim!IJ49=Sheet6!$C$7,Sheet6!$C$7,IF(Tim!IJ49=Sheet6!$C$8,Sheet6!$C$8,"")))))))</f>
        <v/>
      </c>
      <c r="CU47" s="65" t="str">
        <f>IF(Tim!IQ49=Sheet6!$C$2,Sheet6!$C$2,IF(Tim!IQ49=Sheet6!$C$3,Sheet6!$C$3,IF(Tim!IQ49=Sheet6!$C$4,Sheet6!$C$4,IF(Tim!IQ49=Sheet6!$C$5,Sheet6!$C$5,IF(Tim!IQ49=Sheet6!$C$6,Sheet6!$C$6,IF(Tim!IQ49=Sheet6!$C$7,Sheet6!$C$7,IF(Tim!IQ49=Sheet6!$C$8,Sheet6!$C$8,"")))))))</f>
        <v/>
      </c>
      <c r="CV47" s="53" t="str">
        <f>IF(Tim!IR49=Sheet6!$C$2,Sheet6!$C$2,IF(Tim!IR49=Sheet6!$C$3,Sheet6!$C$3,IF(Tim!IR49=Sheet6!$C$4,Sheet6!$C$4,IF(Tim!IR49=Sheet6!$C$5,Sheet6!$C$5,IF(Tim!IR49=Sheet6!$C$6,Sheet6!$C$6,IF(Tim!IR49=Sheet6!$C$7,Sheet6!$C$7,IF(Tim!IR49=Sheet6!$C$8,Sheet6!$C$8,"")))))))</f>
        <v/>
      </c>
      <c r="CW47" s="53" t="str">
        <f>IF(Tim!IZ49=Sheet6!$C$2,Sheet6!$C$2,IF(Tim!IZ49=Sheet6!$C$3,Sheet6!$C$3,IF(Tim!IZ49=Sheet6!$C$4,Sheet6!$C$4,IF(Tim!IZ49=Sheet6!$C$5,Sheet6!$C$5,IF(Tim!IZ49=Sheet6!$C$6,Sheet6!$C$6,IF(Tim!IZ49=Sheet6!$C$7,Sheet6!$C$7,IF(Tim!IZ49=Sheet6!$C$8,Sheet6!$C$8,"")))))))</f>
        <v/>
      </c>
      <c r="CX47" s="53" t="str">
        <f>IF(Tim!JA49=Sheet6!$C$2,Sheet6!$C$2,IF(Tim!JA49=Sheet6!$C$3,Sheet6!$C$3,IF(Tim!JA49=Sheet6!$C$4,Sheet6!$C$4,IF(Tim!JA49=Sheet6!$C$5,Sheet6!$C$5,IF(Tim!JA49=Sheet6!$C$6,Sheet6!$C$6,IF(Tim!JA49=Sheet6!$C$7,Sheet6!$C$7,IF(Tim!JA49=Sheet6!$C$8,Sheet6!$C$8,"")))))))</f>
        <v/>
      </c>
      <c r="CY47" s="53" t="str">
        <f>IF(Tim!JB49=Sheet6!$C$2,Sheet6!$C$2,IF(Tim!JB49=Sheet6!$C$3,Sheet6!$C$3,IF(Tim!JB49=Sheet6!$C$4,Sheet6!$C$4,IF(Tim!JB49=Sheet6!$C$5,Sheet6!$C$5,IF(Tim!JB49=Sheet6!$C$6,Sheet6!$C$6,IF(Tim!JB49=Sheet6!$C$7,Sheet6!$C$7,IF(Tim!JB49=Sheet6!$C$8,Sheet6!$C$8,"")))))))</f>
        <v/>
      </c>
      <c r="CZ47" s="53" t="str">
        <f>IF(Tim!JC49=Sheet6!$C$2,Sheet6!$C$2,IF(Tim!JC49=Sheet6!$C$3,Sheet6!$C$3,IF(Tim!JC49=Sheet6!$C$4,Sheet6!$C$4,IF(Tim!JC49=Sheet6!$C$5,Sheet6!$C$5,IF(Tim!JC49=Sheet6!$C$6,Sheet6!$C$6,IF(Tim!JC49=Sheet6!$C$7,Sheet6!$C$7,IF(Tim!JC49=Sheet6!$C$8,Sheet6!$C$8,"")))))))</f>
        <v/>
      </c>
      <c r="DA47" s="53" t="str">
        <f>IF(Tim!JD49=Sheet6!$C$2,Sheet6!$C$2,IF(Tim!JD49=Sheet6!$C$3,Sheet6!$C$3,IF(Tim!JD49=Sheet6!$C$4,Sheet6!$C$4,IF(Tim!JD49=Sheet6!$C$5,Sheet6!$C$5,IF(Tim!JD49=Sheet6!$C$6,Sheet6!$C$6,IF(Tim!JD49=Sheet6!$C$7,Sheet6!$C$7,IF(Tim!JD49=Sheet6!$C$8,Sheet6!$C$8,"")))))))</f>
        <v/>
      </c>
      <c r="DB47" s="53" t="str">
        <f>IF(Tim!JE49=Sheet6!$C$2,Sheet6!$C$2,IF(Tim!JE49=Sheet6!$C$3,Sheet6!$C$3,IF(Tim!JE49=Sheet6!$C$4,Sheet6!$C$4,IF(Tim!JE49=Sheet6!$C$5,Sheet6!$C$5,IF(Tim!JE49=Sheet6!$C$6,Sheet6!$C$6,IF(Tim!JE49=Sheet6!$C$7,Sheet6!$C$7,IF(Tim!JE49=Sheet6!$C$8,Sheet6!$C$8,"")))))))</f>
        <v/>
      </c>
      <c r="DC47" s="53" t="str">
        <f>IF(Tim!JI55=Sheet6!$C$2,Sheet6!$C$2,IF(Tim!JI55=Sheet6!$C$3,Sheet6!$C$3,IF(Tim!JI55=Sheet6!$C$4,Sheet6!$C$4,IF(Tim!JI55=Sheet6!$C$5,Sheet6!$C$5,IF(Tim!JI55=Sheet6!$C$6,Sheet6!$C$6,IF(Tim!JI55=Sheet6!$C$7,Sheet6!$C$7,IF(Tim!JI55=Sheet6!$C$8,Sheet6!$C$8,"")))))))</f>
        <v/>
      </c>
      <c r="DD47" s="54" t="str">
        <f>IF(Tim!JJ49=Sheet6!$C$2,Sheet6!$C$2,IF(Tim!JJ49=Sheet6!$C$3,Sheet6!$C$3,IF(Tim!JJ49=Sheet6!$C$4,Sheet6!$C$4,IF(Tim!JJ49=Sheet6!$C$5,Sheet6!$C$5,IF(Tim!JJ49=Sheet6!$C$6,Sheet6!$C$6,IF(Tim!JJ49=Sheet6!$C$7,Sheet6!$C$7,IF(Tim!JJ49=Sheet6!$C$8,Sheet6!$C$8,"")))))))</f>
        <v/>
      </c>
      <c r="DE47" s="54" t="str">
        <f>IF(Tim!JK49=Sheet6!$C$2,Sheet6!$C$2,IF(Tim!JK49=Sheet6!$C$3,Sheet6!$C$3,IF(Tim!JK49=Sheet6!$C$4,Sheet6!$C$4,IF(Tim!JK49=Sheet6!$C$5,Sheet6!$C$5,IF(Tim!JK49=Sheet6!$C$6,Sheet6!$C$6,IF(Tim!JK49=Sheet6!$C$7,Sheet6!$C$7,IF(Tim!JK49=Sheet6!$C$8,Sheet6!$C$8,"")))))))</f>
        <v/>
      </c>
      <c r="DF47" s="54" t="str">
        <f>IF(Tim!JL49=Sheet6!$C$2,Sheet6!$C$2,IF(Tim!JL49=Sheet6!$C$3,Sheet6!$C$3,IF(Tim!JL49=Sheet6!$C$4,Sheet6!$C$4,IF(Tim!JL49=Sheet6!$C$5,Sheet6!$C$5,IF(Tim!JL49=Sheet6!$C$6,Sheet6!$C$6,IF(Tim!JL49=Sheet6!$C$7,Sheet6!$C$7,IF(Tim!JL49=Sheet6!$C$8,Sheet6!$C$8,"")))))))</f>
        <v/>
      </c>
      <c r="DG47" s="55" t="str">
        <f>IF(Tim!JM49=Sheet6!$C$2,Sheet6!$C$2,IF(Tim!JM49=Sheet6!$C$3,Sheet6!$C$3,IF(Tim!JM49=Sheet6!$C$4,Sheet6!$C$4,IF(Tim!JM49=Sheet6!$C$5,Sheet6!$C$5,IF(Tim!JM49=Sheet6!$C$6,Sheet6!$C$6,IF(Tim!JM49=Sheet6!$C$7,Sheet6!$C$7,IF(Tim!JM49=Sheet6!$C$8,Sheet6!$C$8,"")))))))</f>
        <v/>
      </c>
      <c r="DH47" s="56" t="str">
        <f>IF(Tim!JN49=Sheet6!$C$2,Sheet6!$C$2,IF(Tim!JN49=Sheet6!$C$3,Sheet6!$C$3,IF(Tim!JN49=Sheet6!$C$4,Sheet6!$C$4,IF(Tim!JN49=Sheet6!$C$5,Sheet6!$C$5,IF(Tim!JN49=Sheet6!$C$6,Sheet6!$C$6,IF(Tim!JN49=Sheet6!$C$7,Sheet6!$C$7,IF(Tim!JN49=Sheet6!$C$8,Sheet6!$C$8,"")))))))</f>
        <v/>
      </c>
      <c r="DI47" s="57" t="str">
        <f>IF(Tim!JS49=Sheet6!$C$2,Sheet6!$C$2,IF(Tim!JS49=Sheet6!$C$3,Sheet6!$C$3,IF(Tim!JS49=Sheet6!$C$4,Sheet6!$C$4,IF(Tim!JS49=Sheet6!$C$5,Sheet6!$C$5,IF(Tim!JS49=Sheet6!$C$6,Sheet6!$C$6,IF(Tim!JS49=Sheet6!$C$7,Sheet6!$C$7,IF(Tim!JS49=Sheet6!$C$8,Sheet6!$C$8,"")))))))</f>
        <v/>
      </c>
      <c r="DJ47" s="57" t="str">
        <f>IF(Tim!KB49=Sheet6!$C$2,Sheet6!$C$2,IF(Tim!KB49=Sheet6!$C$3,Sheet6!$C$3,IF(Tim!KB49=Sheet6!$C$4,Sheet6!$C$4,IF(Tim!KB49=Sheet6!$C$5,Sheet6!$C$5,IF(Tim!KB49=Sheet6!$C$6,Sheet6!$C$6,IF(Tim!KB49=Sheet6!$C$7,Sheet6!$C$7,IF(Tim!KB49=Sheet6!$C$8,Sheet6!$C$8,"")))))))</f>
        <v/>
      </c>
      <c r="DK47" s="53" t="str">
        <f>IF(Tim!KI49=Sheet6!$C$2,Sheet6!$C$2,IF(Tim!KI49=Sheet6!$C$3,Sheet6!$C$3,IF(Tim!KI49=Sheet6!$C$4,Sheet6!$C$4,IF(Tim!KI49=Sheet6!$C$5,Sheet6!$C$5,IF(Tim!KI49=Sheet6!$C$6,Sheet6!$C$6,IF(Tim!KI49=Sheet6!$C$7,Sheet6!$C$7,IF(Tim!KI49=Sheet6!$C$8,Sheet6!$C$8,"")))))))</f>
        <v/>
      </c>
      <c r="DL47" s="53" t="str">
        <f>IF(Tim!KJ49=Sheet6!$C$2,Sheet6!$C$2,IF(Tim!KJ49=Sheet6!$C$3,Sheet6!$C$3,IF(Tim!KJ49=Sheet6!$C$4,Sheet6!$C$4,IF(Tim!KJ49=Sheet6!$C$5,Sheet6!$C$5,IF(Tim!KJ49=Sheet6!$C$6,Sheet6!$C$6,IF(Tim!KJ49=Sheet6!$C$7,Sheet6!$C$7,IF(Tim!KJ49=Sheet6!$C$8,Sheet6!$C$8,"")))))))</f>
        <v/>
      </c>
      <c r="DM47" s="53" t="str">
        <f>IF(Tim!KR49=Sheet6!$C$2,Sheet6!$C$2,IF(Tim!KR49=Sheet6!$C$3,Sheet6!$C$3,IF(Tim!KR49=Sheet6!$C$4,Sheet6!$C$4,IF(Tim!KR49=Sheet6!$C$5,Sheet6!$C$5,IF(Tim!KR49=Sheet6!$C$6,Sheet6!$C$6,IF(Tim!KR49=Sheet6!$C$7,Sheet6!$C$7,IF(Tim!KR49=Sheet6!$C$8,Sheet6!$C$8,"")))))))</f>
        <v/>
      </c>
      <c r="DN47" s="53" t="str">
        <f>IF(Tim!KS49=Sheet6!$C$2,Sheet6!$C$2,IF(Tim!KS49=Sheet6!$C$3,Sheet6!$C$3,IF(Tim!KS49=Sheet6!$C$4,Sheet6!$C$4,IF(Tim!KS49=Sheet6!$C$5,Sheet6!$C$5,IF(Tim!KS49=Sheet6!$C$6,Sheet6!$C$6,IF(Tim!KS49=Sheet6!$C$7,Sheet6!$C$7,IF(Tim!KS49=Sheet6!$C$8,Sheet6!$C$8,"")))))))</f>
        <v/>
      </c>
      <c r="DO47" s="53" t="str">
        <f>IF(Tim!KT49=Sheet6!$C$2,Sheet6!$C$2,IF(Tim!KT49=Sheet6!$C$3,Sheet6!$C$3,IF(Tim!KT49=Sheet6!$C$4,Sheet6!$C$4,IF(Tim!KT49=Sheet6!$C$5,Sheet6!$C$5,IF(Tim!KT49=Sheet6!$C$6,Sheet6!$C$6,IF(Tim!KT49=Sheet6!$C$7,Sheet6!$C$7,IF(Tim!KT49=Sheet6!$C$8,Sheet6!$C$8,"")))))))</f>
        <v/>
      </c>
      <c r="DP47" s="53" t="str">
        <f>IF(Tim!KU49=Sheet6!$C$2,Sheet6!$C$2,IF(Tim!KU49=Sheet6!$C$3,Sheet6!$C$3,IF(Tim!KU49=Sheet6!$C$4,Sheet6!$C$4,IF(Tim!KU49=Sheet6!$C$5,Sheet6!$C$5,IF(Tim!KU49=Sheet6!$C$6,Sheet6!$C$6,IF(Tim!KU49=Sheet6!$C$7,Sheet6!$C$7,IF(Tim!KU49=Sheet6!$C$8,Sheet6!$C$8,"")))))))</f>
        <v/>
      </c>
      <c r="DQ47" s="53" t="str">
        <f>IF(Tim!KV49=Sheet6!$C$2,Sheet6!$C$2,IF(Tim!KV49=Sheet6!$C$3,Sheet6!$C$3,IF(Tim!KV49=Sheet6!$C$4,Sheet6!$C$4,IF(Tim!KV49=Sheet6!$C$5,Sheet6!$C$5,IF(Tim!KV49=Sheet6!$C$6,Sheet6!$C$6,IF(Tim!KV49=Sheet6!$C$7,Sheet6!$C$7,IF(Tim!KV49=Sheet6!$C$8,Sheet6!$C$8,"")))))))</f>
        <v/>
      </c>
      <c r="DR47" s="53" t="str">
        <f>IF(Tim!KW49=Sheet6!$C$2,Sheet6!$C$2,IF(Tim!KW49=Sheet6!$C$3,Sheet6!$C$3,IF(Tim!KW49=Sheet6!$C$4,Sheet6!$C$4,IF(Tim!KW49=Sheet6!$C$5,Sheet6!$C$5,IF(Tim!KW49=Sheet6!$C$6,Sheet6!$C$6,IF(Tim!KW49=Sheet6!$C$7,Sheet6!$C$7,IF(Tim!KW49=Sheet6!$C$8,Sheet6!$C$8,"")))))))</f>
        <v/>
      </c>
      <c r="DS47" s="53" t="str">
        <f>IF(Tim!LA49=Sheet6!$C$2,Sheet6!$C$2,IF(Tim!LA49=Sheet6!$C$3,Sheet6!$C$3,IF(Tim!LA49=Sheet6!$C$4,Sheet6!$C$4,IF(Tim!LA49=Sheet6!$C$5,Sheet6!$C$5,IF(Tim!LA49=Sheet6!$C$6,Sheet6!$C$6,IF(Tim!LA49=Sheet6!$C$7,Sheet6!$C$7,IF(Tim!LA49=Sheet6!$C$8,Sheet6!$C$8,"")))))))</f>
        <v/>
      </c>
      <c r="DT47" s="54" t="str">
        <f>IF(Tim!LB49=Sheet6!$C$2,Sheet6!$C$2,IF(Tim!LB49=Sheet6!$C$3,Sheet6!$C$3,IF(Tim!LB49=Sheet6!$C$4,Sheet6!$C$4,IF(Tim!LB49=Sheet6!$C$5,Sheet6!$C$5,IF(Tim!LB49=Sheet6!$C$6,Sheet6!$C$6,IF(Tim!LB49=Sheet6!$C$7,Sheet6!$C$7,IF(Tim!LB49=Sheet6!$C$8,Sheet6!$C$8,"")))))))</f>
        <v/>
      </c>
      <c r="DU47" s="54" t="str">
        <f>IF(Tim!LC49=Sheet6!$C$2,Sheet6!$C$2,IF(Tim!LC49=Sheet6!$C$3,Sheet6!$C$3,IF(Tim!LC49=Sheet6!$C$4,Sheet6!$C$4,IF(Tim!LC49=Sheet6!$C$5,Sheet6!$C$5,IF(Tim!LC49=Sheet6!$C$6,Sheet6!$C$6,IF(Tim!LC49=Sheet6!$C$7,Sheet6!$C$7,IF(Tim!LC49=Sheet6!$C$8,Sheet6!$C$8,"")))))))</f>
        <v/>
      </c>
      <c r="DV47" s="54" t="str">
        <f>IF(Tim!LD49=Sheet6!$C$2,Sheet6!$C$2,IF(Tim!LD49=Sheet6!$C$3,Sheet6!$C$3,IF(Tim!LD49=Sheet6!$C$4,Sheet6!$C$4,IF(Tim!LD49=Sheet6!$C$5,Sheet6!$C$5,IF(Tim!LD49=Sheet6!$C$6,Sheet6!$C$6,IF(Tim!LD49=Sheet6!$C$7,Sheet6!$C$7,IF(Tim!LD49=Sheet6!$C$8,Sheet6!$C$8,"")))))))</f>
        <v/>
      </c>
      <c r="DW47" s="55" t="str">
        <f>IF(Tim!LE49=Sheet6!$C$2,Sheet6!$C$2,IF(Tim!LE49=Sheet6!$C$3,Sheet6!$C$3,IF(Tim!LE49=Sheet6!$C$4,Sheet6!$C$4,IF(Tim!LE49=Sheet6!$C$5,Sheet6!$C$5,IF(Tim!LE49=Sheet6!$C$6,Sheet6!$C$6,IF(Tim!LE49=Sheet6!$C$7,Sheet6!$C$7,IF(Tim!LE49=Sheet6!$C$8,Sheet6!$C$8,"")))))))</f>
        <v/>
      </c>
      <c r="DX47" s="52">
        <v>0.72916666666666496</v>
      </c>
    </row>
    <row r="48" spans="2:128" ht="10.5" customHeight="1" thickBot="1">
      <c r="B48" s="51">
        <v>0.25</v>
      </c>
      <c r="C48" s="51">
        <v>0.25</v>
      </c>
      <c r="D48" s="51">
        <v>0.25</v>
      </c>
      <c r="E48" s="52">
        <v>0.73958333333333204</v>
      </c>
      <c r="F48" s="53" t="str">
        <f>IF(Tim!F50=Sheet6!$C$2,Sheet6!$C$2,IF(Tim!F50=Sheet6!$C$3,Sheet6!$C$3,IF(Tim!F50=Sheet6!$C$4,Sheet6!$C$4,IF(Tim!F50=Sheet6!$C$5,Sheet6!$C$5,IF(Tim!F50=Sheet6!$C$6,Sheet6!$C$6,IF(Tim!F50=Sheet6!$C$7,Sheet6!$C$7,IF(Tim!F50=Sheet6!$C$8,Sheet6!$C$8,"")))))))</f>
        <v/>
      </c>
      <c r="G48" s="53" t="str">
        <f>IF(Tim!G50=Sheet6!$C$2,Sheet6!$C$2,IF(Tim!G50=Sheet6!$C$3,Sheet6!$C$3,IF(Tim!G50=Sheet6!$C$4,Sheet6!$C$4,IF(Tim!G50=Sheet6!$C$5,Sheet6!$C$5,IF(Tim!G50=Sheet6!$C$6,Sheet6!$C$6,IF(Tim!G50=Sheet6!$C$7,Sheet6!$C$7,IF(Tim!G50=Sheet6!$C$8,Sheet6!$C$8,"")))))))</f>
        <v/>
      </c>
      <c r="H48" s="53" t="str">
        <f>IF(Tim!H50=Sheet6!$C$2,Sheet6!$C$2,IF(Tim!H50=Sheet6!$C$3,Sheet6!$C$3,IF(Tim!H50=Sheet6!$C$4,Sheet6!$C$4,IF(Tim!H50=Sheet6!$C$5,Sheet6!$C$5,IF(Tim!H50=Sheet6!$C$6,Sheet6!$C$6,IF(Tim!H50=Sheet6!$C$7,Sheet6!$C$7,IF(Tim!H50=Sheet6!$C$8,Sheet6!$C$8,"")))))))</f>
        <v/>
      </c>
      <c r="I48" s="53" t="str">
        <f>IF(Tim!L50=Sheet6!$C$2,Sheet6!$C$2,IF(Tim!L50=Sheet6!$C$3,Sheet6!$C$3,IF(Tim!L50=Sheet6!$C$4,Sheet6!$C$4,IF(Tim!L50=Sheet6!$C$5,Sheet6!$C$5,IF(Tim!L50=Sheet6!$C$6,Sheet6!$C$6,IF(Tim!L50=Sheet6!$C$7,Sheet6!$C$7,IF(Tim!L50=Sheet6!$C$8,Sheet6!$C$8,"")))))))</f>
        <v/>
      </c>
      <c r="J48" s="53" t="str">
        <f>IF(Tim!T50=Sheet6!$C$2,Sheet6!$C$2,IF(Tim!T50=Sheet6!$C$3,Sheet6!$C$3,IF(Tim!T50=Sheet6!$C$4,Sheet6!$C$4,IF(Tim!T50=Sheet6!$C$5,Sheet6!$C$5,IF(Tim!T50=Sheet6!$C$6,Sheet6!$C$6,IF(Tim!T50=Sheet6!$C$7,Sheet6!$C$7,IF(Tim!T50=Sheet6!$C$8,Sheet6!$C$8,"")))))))</f>
        <v/>
      </c>
      <c r="K48" s="53" t="str">
        <f>IF(Tim!AB50=Sheet6!$C$2,Sheet6!$C$2,IF(Tim!AB50=Sheet6!$C$3,Sheet6!$C$3,IF(Tim!AB50=Sheet6!$C$4,Sheet6!$C$4,IF(Tim!AB50=Sheet6!$C$5,Sheet6!$C$5,IF(Tim!AB50=Sheet6!$C$6,Sheet6!$C$6,IF(Tim!AB50=Sheet6!$C$7,Sheet6!$C$7,IF(Tim!AB50=Sheet6!$C$8,Sheet6!$C$8,"")))))))</f>
        <v/>
      </c>
      <c r="L48" s="53" t="str">
        <f>IF(Tim!AC50=Sheet6!$C$2,Sheet6!$C$2,IF(Tim!AC50=Sheet6!$C$3,Sheet6!$C$3,IF(Tim!AC50=Sheet6!$C$4,Sheet6!$C$4,IF(Tim!AC50=Sheet6!$C$5,Sheet6!$C$5,IF(Tim!AC50=Sheet6!$C$6,Sheet6!$C$6,IF(Tim!AC50=Sheet6!$C$7,Sheet6!$C$7,IF(Tim!AC50=Sheet6!$C$8,Sheet6!$C$8,"")))))))</f>
        <v/>
      </c>
      <c r="M48" s="53" t="str">
        <f>IF(Tim!AJ50=Sheet6!$C$2,Sheet6!$C$2,IF(Tim!AJ50=Sheet6!$C$3,Sheet6!$C$3,IF(Tim!AJ50=Sheet6!$C$4,Sheet6!$C$4,IF(Tim!AJ50=Sheet6!$C$5,Sheet6!$C$5,IF(Tim!AJ50=Sheet6!$C$6,Sheet6!$C$6,IF(Tim!AJ50=Sheet6!$C$7,Sheet6!$C$7,IF(Tim!AJ50=Sheet6!$C$8,Sheet6!$C$8,"")))))))</f>
        <v/>
      </c>
      <c r="N48" s="53" t="str">
        <f>IF(Tim!AK50=Sheet6!$C$2,Sheet6!$C$2,IF(Tim!AK50=Sheet6!$C$3,Sheet6!$C$3,IF(Tim!AK50=Sheet6!$C$4,Sheet6!$C$4,IF(Tim!AK50=Sheet6!$C$5,Sheet6!$C$5,IF(Tim!AK50=Sheet6!$C$6,Sheet6!$C$6,IF(Tim!AK50=Sheet6!$C$7,Sheet6!$C$7,IF(Tim!AK50=Sheet6!$C$8,Sheet6!$C$8,"")))))))</f>
        <v/>
      </c>
      <c r="O48" s="53" t="str">
        <f>IF(Tim!AL50=Sheet6!$C$2,Sheet6!$C$2,IF(Tim!AL50=Sheet6!$C$3,Sheet6!$C$3,IF(Tim!AL50=Sheet6!$C$4,Sheet6!$C$4,IF(Tim!AL50=Sheet6!$C$5,Sheet6!$C$5,IF(Tim!AL50=Sheet6!$C$6,Sheet6!$C$6,IF(Tim!AL50=Sheet6!$C$7,Sheet6!$C$7,IF(Tim!AL50=Sheet6!$C$8,Sheet6!$C$8,"")))))))</f>
        <v/>
      </c>
      <c r="P48" s="53" t="str">
        <f>IF(Tim!AN50=Sheet6!$C$2,Sheet6!$C$2,IF(Tim!AN50=Sheet6!$C$3,Sheet6!$C$3,IF(Tim!AN50=Sheet6!$C$4,Sheet6!$C$4,IF(Tim!AN50=Sheet6!$C$5,Sheet6!$C$5,IF(Tim!AN50=Sheet6!$C$6,Sheet6!$C$6,IF(Tim!AN50=Sheet6!$C$7,Sheet6!$C$7,IF(Tim!AN50=Sheet6!$C$8,Sheet6!$C$8,"")))))))</f>
        <v/>
      </c>
      <c r="Q48" s="176" t="str">
        <f>IF(Tim!AO50=Sheet6!$C$2,Sheet6!$C$2,IF(Tim!AO50=Sheet6!$C$3,Sheet6!$C$3,IF(Tim!AO50=Sheet6!$C$4,Sheet6!$C$4,IF(Tim!AO50=Sheet6!$C$5,Sheet6!$C$5,IF(Tim!AO50=Sheet6!$C$6,Sheet6!$C$6,IF(Tim!AO50=Sheet6!$C$7,Sheet6!$C$7,IF(Tim!AO50=Sheet6!$C$8,Sheet6!$C$8,"")))))))</f>
        <v/>
      </c>
      <c r="R48" s="53" t="str">
        <f>IF(Tim!AP50=Sheet6!$C$2,Sheet6!$C$2,IF(Tim!AP50=Sheet6!$C$3,Sheet6!$C$3,IF(Tim!AP50=Sheet6!$C$4,Sheet6!$C$4,IF(Tim!AP50=Sheet6!$C$5,Sheet6!$C$5,IF(Tim!AP50=Sheet6!$C$6,Sheet6!$C$6,IF(Tim!AP50=Sheet6!$C$7,Sheet6!$C$7,IF(Tim!AP50=Sheet6!$C$8,Sheet6!$C$8,"")))))))</f>
        <v/>
      </c>
      <c r="S48" s="53" t="str">
        <f>IF(Tim!AT50=Sheet6!$C$2,Sheet6!$C$2,IF(Tim!AT50=Sheet6!$C$3,Sheet6!$C$3,IF(Tim!AT50=Sheet6!$C$4,Sheet6!$C$4,IF(Tim!AT50=Sheet6!$C$5,Sheet6!$C$5,IF(Tim!AT50=Sheet6!$C$6,Sheet6!$C$6,IF(Tim!AT50=Sheet6!$C$7,Sheet6!$C$7,IF(Tim!AT50=Sheet6!$C$8,Sheet6!$C$8,"")))))))</f>
        <v/>
      </c>
      <c r="T48" s="54" t="str">
        <f>IF(Tim!AU50=Sheet6!$C$2,Sheet6!$C$2,IF(Tim!AU50=Sheet6!$C$3,Sheet6!$C$3,IF(Tim!AU50=Sheet6!$C$4,Sheet6!$C$4,IF(Tim!AU50=Sheet6!$C$5,Sheet6!$C$5,IF(Tim!AU50=Sheet6!$C$6,Sheet6!$C$6,IF(Tim!AU50=Sheet6!$C$7,Sheet6!$C$7,IF(Tim!AU50=Sheet6!$C$8,Sheet6!$C$8,"")))))))</f>
        <v/>
      </c>
      <c r="U48" s="54" t="str">
        <f>IF(Tim!AV50=Sheet6!$C$2,Sheet6!$C$2,IF(Tim!AV50=Sheet6!$C$3,Sheet6!$C$3,IF(Tim!AV50=Sheet6!$C$4,Sheet6!$C$4,IF(Tim!AV50=Sheet6!$C$5,Sheet6!$C$5,IF(Tim!AV50=Sheet6!$C$6,Sheet6!$C$6,IF(Tim!AV50=Sheet6!$C$7,Sheet6!$C$7,IF(Tim!AV50=Sheet6!$C$8,Sheet6!$C$8,"")))))))</f>
        <v/>
      </c>
      <c r="V48" s="54" t="str">
        <f>IF(Tim!AW50=Sheet6!$C$2,Sheet6!$C$2,IF(Tim!AW50=Sheet6!$C$3,Sheet6!$C$3,IF(Tim!AW50=Sheet6!$C$4,Sheet6!$C$4,IF(Tim!AW50=Sheet6!$C$5,Sheet6!$C$5,IF(Tim!AW50=Sheet6!$C$6,Sheet6!$C$6,IF(Tim!AW50=Sheet6!$C$7,Sheet6!$C$7,IF(Tim!AW50=Sheet6!$C$8,Sheet6!$C$8,"")))))))</f>
        <v/>
      </c>
      <c r="W48" s="55" t="str">
        <f>IF(Tim!AX50=Sheet6!$C$2,Sheet6!$C$2,IF(Tim!AX50=Sheet6!$C$3,Sheet6!$C$3,IF(Tim!AX50=Sheet6!$C$4,Sheet6!$C$4,IF(Tim!AX50=Sheet6!$C$5,Sheet6!$C$5,IF(Tim!AX50=Sheet6!$C$6,Sheet6!$C$6,IF(Tim!AX50=Sheet6!$C$7,Sheet6!$C$7,IF(Tim!AX50=Sheet6!$C$8,Sheet6!$C$8,"")))))))</f>
        <v/>
      </c>
      <c r="X48" s="53" t="str">
        <f>IF(Tim!AY50=Sheet6!$C$2,Sheet6!$C$2,IF(Tim!AY50=Sheet6!$C$3,Sheet6!$C$3,IF(Tim!AY50=Sheet6!$C$4,Sheet6!$C$4,IF(Tim!AY50=Sheet6!$C$5,Sheet6!$C$5,IF(Tim!AY50=Sheet6!$C$6,Sheet6!$C$6,IF(Tim!AY50=Sheet6!$C$7,Sheet6!$C$7,IF(Tim!AY50=Sheet6!$C$8,Sheet6!$C$8,"")))))))</f>
        <v/>
      </c>
      <c r="Y48" s="53" t="str">
        <f>IF(Tim!AZ50=Sheet6!$C$2,Sheet6!$C$2,IF(Tim!AZ50=Sheet6!$C$3,Sheet6!$C$3,IF(Tim!AZ50=Sheet6!$C$4,Sheet6!$C$4,IF(Tim!AZ50=Sheet6!$C$5,Sheet6!$C$5,IF(Tim!AZ50=Sheet6!$C$6,Sheet6!$C$6,IF(Tim!AZ50=Sheet6!$C$7,Sheet6!$C$7,IF(Tim!AZ50=Sheet6!$C$8,Sheet6!$C$8,"")))))))</f>
        <v/>
      </c>
      <c r="Z48" s="57" t="str">
        <f>IF(Tim!BD50=Sheet6!$C$2,Sheet6!$C$2,IF(Tim!BD50=Sheet6!$C$3,Sheet6!$C$3,IF(Tim!BD50=Sheet6!$C$4,Sheet6!$C$4,IF(Tim!BD50=Sheet6!$C$5,Sheet6!$C$5,IF(Tim!BD50=Sheet6!$C$6,Sheet6!$C$6,IF(Tim!BD50=Sheet6!$C$7,Sheet6!$C$7,IF(Tim!BD50=Sheet6!$C$8,Sheet6!$C$8,"")))))))</f>
        <v/>
      </c>
      <c r="AA48" s="57" t="str">
        <f>IF(Tim!BE50=Sheet6!$C$2,Sheet6!$C$2,IF(Tim!BE50=Sheet6!$C$3,Sheet6!$C$3,IF(Tim!BE50=Sheet6!$C$4,Sheet6!$C$4,IF(Tim!BE50=Sheet6!$C$5,Sheet6!$C$5,IF(Tim!BE50=Sheet6!$C$6,Sheet6!$C$6,IF(Tim!BE50=Sheet6!$C$7,Sheet6!$C$7,IF(Tim!BE50=Sheet6!$C$8,Sheet6!$C$8,"")))))))</f>
        <v/>
      </c>
      <c r="AB48" s="57" t="str">
        <f>IF(Tim!BL50=Sheet6!$C$2,Sheet6!$C$2,IF(Tim!BL50=Sheet6!$C$3,Sheet6!$C$3,IF(Tim!BL50=Sheet6!$C$4,Sheet6!$C$4,IF(Tim!BL50=Sheet6!$C$5,Sheet6!$C$5,IF(Tim!BL50=Sheet6!$C$6,Sheet6!$C$6,IF(Tim!BL50=Sheet6!$C$7,Sheet6!$C$7,IF(Tim!BL50=Sheet6!$C$8,Sheet6!$C$8,"")))))))</f>
        <v/>
      </c>
      <c r="AC48" s="53" t="str">
        <f>IF(Tim!BT50=Sheet6!$C$2,Sheet6!$C$2,IF(Tim!BT50=Sheet6!$C$3,Sheet6!$C$3,IF(Tim!BT50=Sheet6!$C$4,Sheet6!$C$4,IF(Tim!BT50=Sheet6!$C$5,Sheet6!$C$5,IF(Tim!BT50=Sheet6!$C$6,Sheet6!$C$6,IF(Tim!BT50=Sheet6!$C$7,Sheet6!$C$7,IF(Tim!BT50=Sheet6!$C$8,Sheet6!$C$8,"")))))))</f>
        <v/>
      </c>
      <c r="AD48" s="53" t="str">
        <f>IF(Tim!BU50=Sheet6!$C$2,Sheet6!$C$2,IF(Tim!BU50=Sheet6!$C$3,Sheet6!$C$3,IF(Tim!BU50=Sheet6!$C$4,Sheet6!$C$4,IF(Tim!BU50=Sheet6!$C$5,Sheet6!$C$5,IF(Tim!BU50=Sheet6!$C$6,Sheet6!$C$6,IF(Tim!BU50=Sheet6!$C$7,Sheet6!$C$7,IF(Tim!BU50=Sheet6!$C$8,Sheet6!$C$8,"")))))))</f>
        <v/>
      </c>
      <c r="AE48" s="53" t="str">
        <f>IF(Tim!CB50=Sheet6!$C$2,Sheet6!$C$2,IF(Tim!CB50=Sheet6!$C$3,Sheet6!$C$3,IF(Tim!CB50=Sheet6!$C$4,Sheet6!$C$4,IF(Tim!CB50=Sheet6!$C$5,Sheet6!$C$5,IF(Tim!CB50=Sheet6!$C$6,Sheet6!$C$6,IF(Tim!CB50=Sheet6!$C$7,Sheet6!$C$7,IF(Tim!CB50=Sheet6!$C$8,Sheet6!$C$8,"")))))))</f>
        <v/>
      </c>
      <c r="AF48" s="53" t="str">
        <f>IF(Tim!CD50=Sheet6!$C$2,Sheet6!$C$2,IF(Tim!CD50=Sheet6!$C$3,Sheet6!$C$3,IF(Tim!CD50=Sheet6!$C$4,Sheet6!$C$4,IF(Tim!CD50=Sheet6!$C$5,Sheet6!$C$5,IF(Tim!CD50=Sheet6!$C$6,Sheet6!$C$6,IF(Tim!CD50=Sheet6!$C$7,Sheet6!$C$7,IF(Tim!CD50=Sheet6!$C$8,Sheet6!$C$8,"")))))))</f>
        <v/>
      </c>
      <c r="AG48" s="53" t="str">
        <f>IF(Tim!CE50=Sheet6!$C$2,Sheet6!$C$2,IF(Tim!CE50=Sheet6!$C$3,Sheet6!$C$3,IF(Tim!CE50=Sheet6!$C$4,Sheet6!$C$4,IF(Tim!CE50=Sheet6!$C$5,Sheet6!$C$5,IF(Tim!CE50=Sheet6!$C$6,Sheet6!$C$6,IF(Tim!CE50=Sheet6!$C$7,Sheet6!$C$7,IF(Tim!CE50=Sheet6!$C$8,Sheet6!$C$8,"")))))))</f>
        <v/>
      </c>
      <c r="AH48" s="53" t="str">
        <f>IF(Tim!CF50=Sheet6!$C$2,Sheet6!$C$2,IF(Tim!CF50=Sheet6!$C$3,Sheet6!$C$3,IF(Tim!CF50=Sheet6!$C$4,Sheet6!$C$4,IF(Tim!CF50=Sheet6!$C$5,Sheet6!$C$5,IF(Tim!CF50=Sheet6!$C$6,Sheet6!$C$6,IF(Tim!CF50=Sheet6!$C$7,Sheet6!$C$7,IF(Tim!CF50=Sheet6!$C$8,Sheet6!$C$8,"")))))))</f>
        <v/>
      </c>
      <c r="AI48" s="176" t="str">
        <f>IF(Tim!CG50=Sheet6!$C$2,Sheet6!$C$2,IF(Tim!CG50=Sheet6!$C$3,Sheet6!$C$3,IF(Tim!CG50=Sheet6!$C$4,Sheet6!$C$4,IF(Tim!CG50=Sheet6!$C$5,Sheet6!$C$5,IF(Tim!CG50=Sheet6!$C$6,Sheet6!$C$6,IF(Tim!CG50=Sheet6!$C$7,Sheet6!$C$7,IF(Tim!CG50=Sheet6!$C$8,Sheet6!$C$8,"")))))))</f>
        <v/>
      </c>
      <c r="AJ48" s="53" t="str">
        <f>IF(Tim!CH50=Sheet6!$C$2,Sheet6!$C$2,IF(Tim!CH50=Sheet6!$C$3,Sheet6!$C$3,IF(Tim!CH50=Sheet6!$C$4,Sheet6!$C$4,IF(Tim!CH50=Sheet6!$C$5,Sheet6!$C$5,IF(Tim!CH50=Sheet6!$C$6,Sheet6!$C$6,IF(Tim!CH50=Sheet6!$C$7,Sheet6!$C$7,IF(Tim!CH50=Sheet6!$C$8,Sheet6!$C$8,"")))))))</f>
        <v/>
      </c>
      <c r="AK48" s="53" t="str">
        <f>IF(Tim!CL50=Sheet6!$C$2,Sheet6!$C$2,IF(Tim!CL50=Sheet6!$C$3,Sheet6!$C$3,IF(Tim!CL50=Sheet6!$C$4,Sheet6!$C$4,IF(Tim!CL50=Sheet6!$C$5,Sheet6!$C$5,IF(Tim!CL50=Sheet6!$C$6,Sheet6!$C$6,IF(Tim!CL50=Sheet6!$C$7,Sheet6!$C$7,IF(Tim!CL50=Sheet6!$C$8,Sheet6!$C$8,"")))))))</f>
        <v/>
      </c>
      <c r="AL48" s="54" t="str">
        <f>IF(Tim!CM50=Sheet6!$C$2,Sheet6!$C$2,IF(Tim!CM50=Sheet6!$C$3,Sheet6!$C$3,IF(Tim!CM50=Sheet6!$C$4,Sheet6!$C$4,IF(Tim!CM50=Sheet6!$C$5,Sheet6!$C$5,IF(Tim!CM50=Sheet6!$C$6,Sheet6!$C$6,IF(Tim!CM50=Sheet6!$C$7,Sheet6!$C$7,IF(Tim!CM50=Sheet6!$C$8,Sheet6!$C$8,"")))))))</f>
        <v/>
      </c>
      <c r="AM48" s="54" t="str">
        <f>IF(Tim!CN50=Sheet6!$C$2,Sheet6!$C$2,IF(Tim!CN50=Sheet6!$C$3,Sheet6!$C$3,IF(Tim!CN50=Sheet6!$C$4,Sheet6!$C$4,IF(Tim!CN50=Sheet6!$C$5,Sheet6!$C$5,IF(Tim!CN50=Sheet6!$C$6,Sheet6!$C$6,IF(Tim!CN50=Sheet6!$C$7,Sheet6!$C$7,IF(Tim!CN50=Sheet6!$C$8,Sheet6!$C$8,"")))))))</f>
        <v/>
      </c>
      <c r="AN48" s="54" t="str">
        <f>IF(Tim!CO50=Sheet6!$C$2,Sheet6!$C$2,IF(Tim!CO50=Sheet6!$C$3,Sheet6!$C$3,IF(Tim!CO50=Sheet6!$C$4,Sheet6!$C$4,IF(Tim!CO50=Sheet6!$C$5,Sheet6!$C$5,IF(Tim!CO50=Sheet6!$C$6,Sheet6!$C$6,IF(Tim!CO50=Sheet6!$C$7,Sheet6!$C$7,IF(Tim!CO50=Sheet6!$C$8,Sheet6!$C$8,"")))))))</f>
        <v/>
      </c>
      <c r="AO48" s="177" t="str">
        <f>IF(Tim!CP50=Sheet6!$C$2,Sheet6!$C$2,IF(Tim!CP50=Sheet6!$C$3,Sheet6!$C$3,IF(Tim!CP50=Sheet6!$C$4,Sheet6!$C$4,IF(Tim!CP50=Sheet6!$C$5,Sheet6!$C$5,IF(Tim!CP50=Sheet6!$C$6,Sheet6!$C$6,IF(Tim!CP50=Sheet6!$C$7,Sheet6!$C$7,IF(Tim!CP50=Sheet6!$C$8,Sheet6!$C$8,"")))))))</f>
        <v/>
      </c>
      <c r="AP48" s="57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Q48" s="57" t="str">
        <f>IF(Tim!CQ50=Sheet6!$C$2,Sheet6!$C$2,IF(Tim!CQ50=Sheet6!$C$3,Sheet6!$C$3,IF(Tim!CQ50=Sheet6!$C$4,Sheet6!$C$4,IF(Tim!CQ50=Sheet6!$C$5,Sheet6!$C$5,IF(Tim!CQ50=Sheet6!$C$6,Sheet6!$C$6,IF(Tim!CQ50=Sheet6!$C$7,Sheet6!$C$7,IF(Tim!CQ50=Sheet6!$C$8,Sheet6!$C$8,"")))))))</f>
        <v/>
      </c>
      <c r="AR48" s="57" t="str">
        <f>IF(Tim!CU50=Sheet6!$C$2,Sheet6!$C$2,IF(Tim!CU50=Sheet6!$C$3,Sheet6!$C$3,IF(Tim!CU50=Sheet6!$C$4,Sheet6!$C$4,IF(Tim!CU50=Sheet6!$C$5,Sheet6!$C$5,IF(Tim!CU50=Sheet6!$C$6,Sheet6!$C$6,IF(Tim!CU50=Sheet6!$C$7,Sheet6!$C$7,IF(Tim!CU50=Sheet6!$C$8,Sheet6!$C$8,"")))))))</f>
        <v/>
      </c>
      <c r="AS48" s="57" t="str">
        <f>IF(Tim!CV50=Sheet6!$C$2,Sheet6!$C$2,IF(Tim!CV50=Sheet6!$C$3,Sheet6!$C$3,IF(Tim!CV50=Sheet6!$C$4,Sheet6!$C$4,IF(Tim!CV50=Sheet6!$C$5,Sheet6!$C$5,IF(Tim!CV50=Sheet6!$C$6,Sheet6!$C$6,IF(Tim!CV50=Sheet6!$C$7,Sheet6!$C$7,IF(Tim!CV50=Sheet6!$C$8,Sheet6!$C$8,"")))))))</f>
        <v/>
      </c>
      <c r="AT48" s="57" t="str">
        <f>IF(Tim!DA50=Sheet6!$C$2,Sheet6!$C$2,IF(Tim!DA50=Sheet6!$C$3,Sheet6!$C$3,IF(Tim!DA50=Sheet6!$C$4,Sheet6!$C$4,IF(Tim!DA50=Sheet6!$C$5,Sheet6!$C$5,IF(Tim!DA50=Sheet6!$C$6,Sheet6!$C$6,IF(Tim!DA50=Sheet6!$C$7,Sheet6!$C$7,IF(Tim!DA50=Sheet6!$C$8,Sheet6!$C$8,"")))))))</f>
        <v/>
      </c>
      <c r="AU48" s="53" t="str">
        <f>IF(Tim!DO50=Sheet6!$C$2,Sheet6!$C$2,IF(Tim!DO50=Sheet6!$C$3,Sheet6!$C$3,IF(Tim!DO50=Sheet6!$C$4,Sheet6!$C$4,IF(Tim!DO50=Sheet6!$C$5,Sheet6!$C$5,IF(Tim!DO50=Sheet6!$C$6,Sheet6!$C$6,IF(Tim!DO50=Sheet6!$C$7,Sheet6!$C$7,IF(Tim!DO50=Sheet6!$C$8,Sheet6!$C$8,"")))))))</f>
        <v/>
      </c>
      <c r="AV48" s="53" t="str">
        <f>IF(Tim!DP50=Sheet6!$C$2,Sheet6!$C$2,IF(Tim!DP50=Sheet6!$C$3,Sheet6!$C$3,IF(Tim!DP50=Sheet6!$C$4,Sheet6!$C$4,IF(Tim!DP50=Sheet6!$C$5,Sheet6!$C$5,IF(Tim!DP50=Sheet6!$C$6,Sheet6!$C$6,IF(Tim!DP50=Sheet6!$C$7,Sheet6!$C$7,IF(Tim!DP50=Sheet6!$C$8,Sheet6!$C$8,"")))))))</f>
        <v/>
      </c>
      <c r="AW48" s="53" t="str">
        <f>IF(Tim!DX50=Sheet6!$C$2,Sheet6!$C$2,IF(Tim!DX50=Sheet6!$C$3,Sheet6!$C$3,IF(Tim!DX50=Sheet6!$C$4,Sheet6!$C$4,IF(Tim!DX50=Sheet6!$C$5,Sheet6!$C$5,IF(Tim!DX50=Sheet6!$C$6,Sheet6!$C$6,IF(Tim!DX50=Sheet6!$C$7,Sheet6!$C$7,IF(Tim!DX50=Sheet6!$C$8,Sheet6!$C$8,"")))))))</f>
        <v/>
      </c>
      <c r="AX48" s="53" t="str">
        <f>IF(Tim!DY50=Sheet6!$C$2,Sheet6!$C$2,IF(Tim!DY50=Sheet6!$C$3,Sheet6!$C$3,IF(Tim!DY50=Sheet6!$C$4,Sheet6!$C$4,IF(Tim!DY50=Sheet6!$C$5,Sheet6!$C$5,IF(Tim!DY50=Sheet6!$C$6,Sheet6!$C$6,IF(Tim!DY50=Sheet6!$C$7,Sheet6!$C$7,IF(Tim!DY50=Sheet6!$C$8,Sheet6!$C$8,"")))))))</f>
        <v/>
      </c>
      <c r="AY48" s="53" t="str">
        <f>IF(Tim!DZ50=Sheet6!$C$2,Sheet6!$C$2,IF(Tim!DZ50=Sheet6!$C$3,Sheet6!$C$3,IF(Tim!DZ50=Sheet6!$C$4,Sheet6!$C$4,IF(Tim!DZ50=Sheet6!$C$5,Sheet6!$C$5,IF(Tim!DZ50=Sheet6!$C$6,Sheet6!$C$6,IF(Tim!DZ50=Sheet6!$C$7,Sheet6!$C$7,IF(Tim!DZ50=Sheet6!$C$8,Sheet6!$C$8,"")))))))</f>
        <v/>
      </c>
      <c r="AZ48" s="53" t="str">
        <f>IF(Tim!EA50=Sheet6!$C$2,Sheet6!$C$2,IF(Tim!EA50=Sheet6!$C$3,Sheet6!$C$3,IF(Tim!EA50=Sheet6!$C$4,Sheet6!$C$4,IF(Tim!EA50=Sheet6!$C$5,Sheet6!$C$5,IF(Tim!EA50=Sheet6!$C$6,Sheet6!$C$6,IF(Tim!EA50=Sheet6!$C$7,Sheet6!$C$7,IF(Tim!EA50=Sheet6!$C$8,Sheet6!$C$8,"")))))))</f>
        <v/>
      </c>
      <c r="BA48" s="176" t="str">
        <f>IF(Tim!EB50=Sheet6!$C$2,Sheet6!$C$2,IF(Tim!EB50=Sheet6!$C$3,Sheet6!$C$3,IF(Tim!EB50=Sheet6!$C$4,Sheet6!$C$4,IF(Tim!EB50=Sheet6!$C$5,Sheet6!$C$5,IF(Tim!EB50=Sheet6!$C$6,Sheet6!$C$6,IF(Tim!EB50=Sheet6!$C$7,Sheet6!$C$7,IF(Tim!EB50=Sheet6!$C$8,Sheet6!$C$8,"")))))))</f>
        <v/>
      </c>
      <c r="BB48" s="53" t="str">
        <f>IF(Tim!EC50=Sheet6!$C$2,Sheet6!$C$2,IF(Tim!EC50=Sheet6!$C$3,Sheet6!$C$3,IF(Tim!EC50=Sheet6!$C$4,Sheet6!$C$4,IF(Tim!EC50=Sheet6!$C$5,Sheet6!$C$5,IF(Tim!EC50=Sheet6!$C$6,Sheet6!$C$6,IF(Tim!EC50=Sheet6!$C$7,Sheet6!$C$7,IF(Tim!EC50=Sheet6!$C$8,Sheet6!$C$8,"")))))))</f>
        <v/>
      </c>
      <c r="BC48" s="53" t="str">
        <f>IF(Tim!EG50=Sheet6!$C$2,Sheet6!$C$2,IF(Tim!EG50=Sheet6!$C$3,Sheet6!$C$3,IF(Tim!EG50=Sheet6!$C$4,Sheet6!$C$4,IF(Tim!EG50=Sheet6!$C$5,Sheet6!$C$5,IF(Tim!EG50=Sheet6!$C$6,Sheet6!$C$6,IF(Tim!EG50=Sheet6!$C$7,Sheet6!$C$7,IF(Tim!EG50=Sheet6!$C$8,Sheet6!$C$8,"")))))))</f>
        <v/>
      </c>
      <c r="BD48" s="54" t="str">
        <f>IF(Tim!EH50=Sheet6!$C$2,Sheet6!$C$2,IF(Tim!EH50=Sheet6!$C$3,Sheet6!$C$3,IF(Tim!EH50=Sheet6!$C$4,Sheet6!$C$4,IF(Tim!EH50=Sheet6!$C$5,Sheet6!$C$5,IF(Tim!EH50=Sheet6!$C$6,Sheet6!$C$6,IF(Tim!EH50=Sheet6!$C$7,Sheet6!$C$7,IF(Tim!EH50=Sheet6!$C$8,Sheet6!$C$8,"")))))))</f>
        <v/>
      </c>
      <c r="BE48" s="54" t="str">
        <f>IF(Tim!EI50=Sheet6!$C$2,Sheet6!$C$2,IF(Tim!EI50=Sheet6!$C$3,Sheet6!$C$3,IF(Tim!EI50=Sheet6!$C$4,Sheet6!$C$4,IF(Tim!EI50=Sheet6!$C$5,Sheet6!$C$5,IF(Tim!EI50=Sheet6!$C$6,Sheet6!$C$6,IF(Tim!EI50=Sheet6!$C$7,Sheet6!$C$7,IF(Tim!EI50=Sheet6!$C$8,Sheet6!$C$8,"")))))))</f>
        <v/>
      </c>
      <c r="BF48" s="54" t="str">
        <f>IF(Tim!EJ50=Sheet6!$C$2,Sheet6!$C$2,IF(Tim!EJ50=Sheet6!$C$3,Sheet6!$C$3,IF(Tim!EJ50=Sheet6!$C$4,Sheet6!$C$4,IF(Tim!EJ50=Sheet6!$C$5,Sheet6!$C$5,IF(Tim!EJ50=Sheet6!$C$6,Sheet6!$C$6,IF(Tim!EJ50=Sheet6!$C$7,Sheet6!$C$7,IF(Tim!EJ50=Sheet6!$C$8,Sheet6!$C$8,"")))))))</f>
        <v/>
      </c>
      <c r="BG48" s="55" t="str">
        <f>IF(Tim!EK50=Sheet6!$C$2,Sheet6!$C$2,IF(Tim!EK50=Sheet6!$C$3,Sheet6!$C$3,IF(Tim!EK50=Sheet6!$C$4,Sheet6!$C$4,IF(Tim!EK50=Sheet6!$C$5,Sheet6!$C$5,IF(Tim!EK50=Sheet6!$C$6,Sheet6!$C$6,IF(Tim!EK50=Sheet6!$C$7,Sheet6!$C$7,IF(Tim!EK50=Sheet6!$C$8,Sheet6!$C$8,"")))))))</f>
        <v/>
      </c>
      <c r="BH48" s="53" t="str">
        <f>IF(Tim!EL50=Sheet6!$C$2,Sheet6!$C$2,IF(Tim!EL50=Sheet6!$C$3,Sheet6!$C$3,IF(Tim!EL50=Sheet6!$C$4,Sheet6!$C$4,IF(Tim!EL50=Sheet6!$C$5,Sheet6!$C$5,IF(Tim!EL50=Sheet6!$C$6,Sheet6!$C$6,IF(Tim!EL50=Sheet6!$C$7,Sheet6!$C$7,IF(Tim!EL50=Sheet6!$C$8,Sheet6!$C$8,"")))))))</f>
        <v/>
      </c>
      <c r="BI48" s="57" t="str">
        <f>IF(Tim!EM50=Sheet6!$C$2,Sheet6!$C$2,IF(Tim!EM50=Sheet6!$C$3,Sheet6!$C$3,IF(Tim!EM50=Sheet6!$C$4,Sheet6!$C$4,IF(Tim!EM50=Sheet6!$C$5,Sheet6!$C$5,IF(Tim!EM50=Sheet6!$C$6,Sheet6!$C$6,IF(Tim!EM50=Sheet6!$C$7,Sheet6!$C$7,IF(Tim!EM50=Sheet6!$C$8,Sheet6!$C$8,"")))))))</f>
        <v/>
      </c>
      <c r="BJ48" s="57" t="str">
        <f>IF(Tim!EQ50=Sheet6!$C$2,Sheet6!$C$2,IF(Tim!EQ50=Sheet6!$C$3,Sheet6!$C$3,IF(Tim!EQ50=Sheet6!$C$4,Sheet6!$C$4,IF(Tim!EQ50=Sheet6!$C$5,Sheet6!$C$5,IF(Tim!EQ50=Sheet6!$C$6,Sheet6!$C$6,IF(Tim!EQ50=Sheet6!$C$7,Sheet6!$C$7,IF(Tim!EQ50=Sheet6!$C$8,Sheet6!$C$8,"")))))))</f>
        <v/>
      </c>
      <c r="BK48" s="57" t="str">
        <f>IF(Tim!ER50=Sheet6!$C$2,Sheet6!$C$2,IF(Tim!ER50=Sheet6!$C$3,Sheet6!$C$3,IF(Tim!ER50=Sheet6!$C$4,Sheet6!$C$4,IF(Tim!ER50=Sheet6!$C$5,Sheet6!$C$5,IF(Tim!ER50=Sheet6!$C$6,Sheet6!$C$6,IF(Tim!ER50=Sheet6!$C$7,Sheet6!$C$7,IF(Tim!ER50=Sheet6!$C$8,Sheet6!$C$8,"")))))))</f>
        <v/>
      </c>
      <c r="BL48" s="57" t="str">
        <f>IF(Tim!EZ50=Sheet6!$C$2,Sheet6!$C$2,IF(Tim!EZ50=Sheet6!$C$3,Sheet6!$C$3,IF(Tim!EZ50=Sheet6!$C$4,Sheet6!$C$4,IF(Tim!EZ50=Sheet6!$C$5,Sheet6!$C$5,IF(Tim!EZ50=Sheet6!$C$6,Sheet6!$C$6,IF(Tim!EZ50=Sheet6!$C$7,Sheet6!$C$7,IF(Tim!EZ50=Sheet6!$C$8,Sheet6!$C$8,"")))))))</f>
        <v/>
      </c>
      <c r="BM48" s="53" t="str">
        <f>IF(Tim!FG50=Sheet6!$C$2,Sheet6!$C$2,IF(Tim!FG50=Sheet6!$C$3,Sheet6!$C$3,IF(Tim!FG50=Sheet6!$C$4,Sheet6!$C$4,IF(Tim!FG50=Sheet6!$C$5,Sheet6!$C$5,IF(Tim!FG50=Sheet6!$C$6,Sheet6!$C$6,IF(Tim!FG50=Sheet6!$C$7,Sheet6!$C$7,IF(Tim!FG50=Sheet6!$C$8,Sheet6!$C$8,"")))))))</f>
        <v/>
      </c>
      <c r="BN48" s="53" t="str">
        <f>IF(Tim!FH50=Sheet6!$C$2,Sheet6!$C$2,IF(Tim!FH50=Sheet6!$C$3,Sheet6!$C$3,IF(Tim!FH50=Sheet6!$C$4,Sheet6!$C$4,IF(Tim!FH50=Sheet6!$C$5,Sheet6!$C$5,IF(Tim!FH50=Sheet6!$C$6,Sheet6!$C$6,IF(Tim!FH50=Sheet6!$C$7,Sheet6!$C$7,IF(Tim!FH50=Sheet6!$C$8,Sheet6!$C$8,"")))))))</f>
        <v/>
      </c>
      <c r="BO48" s="53" t="str">
        <f>IF(Tim!FP50=Sheet6!$C$2,Sheet6!$C$2,IF(Tim!FP50=Sheet6!$C$3,Sheet6!$C$3,IF(Tim!FP50=Sheet6!$C$4,Sheet6!$C$4,IF(Tim!FP50=Sheet6!$C$5,Sheet6!$C$5,IF(Tim!FP50=Sheet6!$C$6,Sheet6!$C$6,IF(Tim!FP50=Sheet6!$C$7,Sheet6!$C$7,IF(Tim!FP50=Sheet6!$C$8,Sheet6!$C$8,"")))))))</f>
        <v/>
      </c>
      <c r="BP48" s="53" t="str">
        <f>IF(Tim!FQ50=Sheet6!$C$2,Sheet6!$C$2,IF(Tim!FQ50=Sheet6!$C$3,Sheet6!$C$3,IF(Tim!FQ50=Sheet6!$C$4,Sheet6!$C$4,IF(Tim!FQ50=Sheet6!$C$5,Sheet6!$C$5,IF(Tim!FQ50=Sheet6!$C$6,Sheet6!$C$6,IF(Tim!FQ50=Sheet6!$C$7,Sheet6!$C$7,IF(Tim!FQ50=Sheet6!$C$8,Sheet6!$C$8,"")))))))</f>
        <v/>
      </c>
      <c r="BQ48" s="53" t="str">
        <f>IF(Tim!FR50=Sheet6!$C$2,Sheet6!$C$2,IF(Tim!FR50=Sheet6!$C$3,Sheet6!$C$3,IF(Tim!FR50=Sheet6!$C$4,Sheet6!$C$4,IF(Tim!FR50=Sheet6!$C$5,Sheet6!$C$5,IF(Tim!FR50=Sheet6!$C$6,Sheet6!$C$6,IF(Tim!FR50=Sheet6!$C$7,Sheet6!$C$7,IF(Tim!FR50=Sheet6!$C$8,Sheet6!$C$8,"")))))))</f>
        <v/>
      </c>
      <c r="BR48" s="53" t="str">
        <f>IF(Tim!FS50=Sheet6!$C$2,Sheet6!$C$2,IF(Tim!FS50=Sheet6!$C$3,Sheet6!$C$3,IF(Tim!FS50=Sheet6!$C$4,Sheet6!$C$4,IF(Tim!FS50=Sheet6!$C$5,Sheet6!$C$5,IF(Tim!FS50=Sheet6!$C$6,Sheet6!$C$6,IF(Tim!FS50=Sheet6!$C$7,Sheet6!$C$7,IF(Tim!FS50=Sheet6!$C$8,Sheet6!$C$8,"")))))))</f>
        <v/>
      </c>
      <c r="BS48" s="53" t="str">
        <f>IF(Tim!FT50=Sheet6!$C$2,Sheet6!$C$2,IF(Tim!FT50=Sheet6!$C$3,Sheet6!$C$3,IF(Tim!FT50=Sheet6!$C$4,Sheet6!$C$4,IF(Tim!FT50=Sheet6!$C$5,Sheet6!$C$5,IF(Tim!FT50=Sheet6!$C$6,Sheet6!$C$6,IF(Tim!FT50=Sheet6!$C$7,Sheet6!$C$7,IF(Tim!FT50=Sheet6!$C$8,Sheet6!$C$8,"")))))))</f>
        <v/>
      </c>
      <c r="BT48" s="53" t="str">
        <f>IF(Tim!FU50=Sheet6!$C$2,Sheet6!$C$2,IF(Tim!FU50=Sheet6!$C$3,Sheet6!$C$3,IF(Tim!FU50=Sheet6!$C$4,Sheet6!$C$4,IF(Tim!FU50=Sheet6!$C$5,Sheet6!$C$5,IF(Tim!FU50=Sheet6!$C$6,Sheet6!$C$6,IF(Tim!FU50=Sheet6!$C$7,Sheet6!$C$7,IF(Tim!FU50=Sheet6!$C$8,Sheet6!$C$8,"")))))))</f>
        <v/>
      </c>
      <c r="BU48" s="53" t="str">
        <f>IF(Tim!FY50=Sheet6!$C$2,Sheet6!$C$2,IF(Tim!FY50=Sheet6!$C$3,Sheet6!$C$3,IF(Tim!FY50=Sheet6!$C$4,Sheet6!$C$4,IF(Tim!FY50=Sheet6!$C$5,Sheet6!$C$5,IF(Tim!FY50=Sheet6!$C$6,Sheet6!$C$6,IF(Tim!FY50=Sheet6!$C$7,Sheet6!$C$7,IF(Tim!FY50=Sheet6!$C$8,Sheet6!$C$8,"")))))))</f>
        <v/>
      </c>
      <c r="BV48" s="54" t="str">
        <f>IF(Tim!FZ50=Sheet6!$C$2,Sheet6!$C$2,IF(Tim!FZ50=Sheet6!$C$3,Sheet6!$C$3,IF(Tim!FZ50=Sheet6!$C$4,Sheet6!$C$4,IF(Tim!FZ50=Sheet6!$C$5,Sheet6!$C$5,IF(Tim!FZ50=Sheet6!$C$6,Sheet6!$C$6,IF(Tim!FZ50=Sheet6!$C$7,Sheet6!$C$7,IF(Tim!FZ50=Sheet6!$C$8,Sheet6!$C$8,"")))))))</f>
        <v/>
      </c>
      <c r="BW48" s="54" t="str">
        <f>IF(Tim!GA50=Sheet6!$C$2,Sheet6!$C$2,IF(Tim!GA50=Sheet6!$C$3,Sheet6!$C$3,IF(Tim!GA50=Sheet6!$C$4,Sheet6!$C$4,IF(Tim!GA50=Sheet6!$C$5,Sheet6!$C$5,IF(Tim!GA50=Sheet6!$C$6,Sheet6!$C$6,IF(Tim!GA50=Sheet6!$C$7,Sheet6!$C$7,IF(Tim!GA50=Sheet6!$C$8,Sheet6!$C$8,"")))))))</f>
        <v/>
      </c>
      <c r="BX48" s="54" t="str">
        <f>IF(Tim!GB50=Sheet6!$C$2,Sheet6!$C$2,IF(Tim!GB50=Sheet6!$C$3,Sheet6!$C$3,IF(Tim!GB50=Sheet6!$C$4,Sheet6!$C$4,IF(Tim!GB50=Sheet6!$C$5,Sheet6!$C$5,IF(Tim!GB50=Sheet6!$C$6,Sheet6!$C$6,IF(Tim!GB50=Sheet6!$C$7,Sheet6!$C$7,IF(Tim!GB50=Sheet6!$C$8,Sheet6!$C$8,"")))))))</f>
        <v/>
      </c>
      <c r="BY48" s="55" t="str">
        <f>IF(Tim!GC50=Sheet6!$C$2,Sheet6!$C$2,IF(Tim!GC50=Sheet6!$C$3,Sheet6!$C$3,IF(Tim!GC50=Sheet6!$C$4,Sheet6!$C$4,IF(Tim!GC50=Sheet6!$C$5,Sheet6!$C$5,IF(Tim!GC50=Sheet6!$C$6,Sheet6!$C$6,IF(Tim!GC50=Sheet6!$C$7,Sheet6!$C$7,IF(Tim!GC50=Sheet6!$C$8,Sheet6!$C$8,"")))))))</f>
        <v/>
      </c>
      <c r="BZ48" s="53" t="str">
        <f>IF(Tim!GD50=Sheet6!$C$2,Sheet6!$C$2,IF(Tim!GD50=Sheet6!$C$3,Sheet6!$C$3,IF(Tim!GD50=Sheet6!$C$4,Sheet6!$C$4,IF(Tim!GD50=Sheet6!$C$5,Sheet6!$C$5,IF(Tim!GD50=Sheet6!$C$6,Sheet6!$C$6,IF(Tim!GD50=Sheet6!$C$7,Sheet6!$C$7,IF(Tim!GD50=Sheet6!$C$8,Sheet6!$C$8,"")))))))</f>
        <v/>
      </c>
      <c r="CA48" s="53" t="str">
        <f>IF(Tim!GE50=Sheet6!$C$2,Sheet6!$C$2,IF(Tim!GE50=Sheet6!$C$3,Sheet6!$C$3,IF(Tim!GE50=Sheet6!$C$4,Sheet6!$C$4,IF(Tim!GE50=Sheet6!$C$5,Sheet6!$C$5,IF(Tim!GE50=Sheet6!$C$6,Sheet6!$C$6,IF(Tim!GE50=Sheet6!$C$7,Sheet6!$C$7,IF(Tim!GE50=Sheet6!$C$8,Sheet6!$C$8,"")))))))</f>
        <v/>
      </c>
      <c r="CB48" s="57" t="str">
        <f>IF(Tim!GI50=Sheet6!$C$2,Sheet6!$C$2,IF(Tim!GI50=Sheet6!$C$3,Sheet6!$C$3,IF(Tim!GI50=Sheet6!$C$4,Sheet6!$C$4,IF(Tim!GI50=Sheet6!$C$5,Sheet6!$C$5,IF(Tim!GI50=Sheet6!$C$6,Sheet6!$C$6,IF(Tim!GI50=Sheet6!$C$7,Sheet6!$C$7,IF(Tim!GI50=Sheet6!$C$8,Sheet6!$C$8,"")))))))</f>
        <v/>
      </c>
      <c r="CC48" s="57" t="str">
        <f>IF(Tim!GJ50=Sheet6!$C$2,Sheet6!$C$2,IF(Tim!GJ50=Sheet6!$C$3,Sheet6!$C$3,IF(Tim!GJ50=Sheet6!$C$4,Sheet6!$C$4,IF(Tim!GJ50=Sheet6!$C$5,Sheet6!$C$5,IF(Tim!GJ50=Sheet6!$C$6,Sheet6!$C$6,IF(Tim!GJ50=Sheet6!$C$7,Sheet6!$C$7,IF(Tim!GJ50=Sheet6!$C$8,Sheet6!$C$8,"")))))))</f>
        <v/>
      </c>
      <c r="CD48" s="57" t="str">
        <f>IF(Tim!GN50=Sheet6!$C$2,Sheet6!$C$2,IF(Tim!GN50=Sheet6!$C$3,Sheet6!$C$3,IF(Tim!GN50=Sheet6!$C$4,Sheet6!$C$4,IF(Tim!GN50=Sheet6!$C$5,Sheet6!$C$5,IF(Tim!GN50=Sheet6!$C$6,Sheet6!$C$6,IF(Tim!GN50=Sheet6!$C$7,Sheet6!$C$7,IF(Tim!GN50=Sheet6!$C$8,Sheet6!$C$8,"")))))))</f>
        <v/>
      </c>
      <c r="CE48" s="53" t="str">
        <f>IF(Tim!GY50=Sheet6!$C$2,Sheet6!$C$2,IF(Tim!GY50=Sheet6!$C$3,Sheet6!$C$3,IF(Tim!GY50=Sheet6!$C$4,Sheet6!$C$4,IF(Tim!GY50=Sheet6!$C$5,Sheet6!$C$5,IF(Tim!GY50=Sheet6!$C$6,Sheet6!$C$6,IF(Tim!GY50=Sheet6!$C$7,Sheet6!$C$7,IF(Tim!GY50=Sheet6!$C$8,Sheet6!$C$8,"")))))))</f>
        <v/>
      </c>
      <c r="CF48" s="53" t="str">
        <f>IF(Tim!GZ50=Sheet6!$C$2,Sheet6!$C$2,IF(Tim!GZ50=Sheet6!$C$3,Sheet6!$C$3,IF(Tim!GZ50=Sheet6!$C$4,Sheet6!$C$4,IF(Tim!GZ50=Sheet6!$C$5,Sheet6!$C$5,IF(Tim!GZ50=Sheet6!$C$6,Sheet6!$C$6,IF(Tim!GZ50=Sheet6!$C$7,Sheet6!$C$7,IF(Tim!GZ50=Sheet6!$C$8,Sheet6!$C$8,"")))))))</f>
        <v/>
      </c>
      <c r="CG48" s="53" t="str">
        <f>IF(Tim!HH50=Sheet6!$C$2,Sheet6!$C$2,IF(Tim!HH50=Sheet6!$C$3,Sheet6!$C$3,IF(Tim!HH50=Sheet6!$C$4,Sheet6!$C$4,IF(Tim!HH50=Sheet6!$C$5,Sheet6!$C$5,IF(Tim!HH50=Sheet6!$C$6,Sheet6!$C$6,IF(Tim!HH50=Sheet6!$C$7,Sheet6!$C$7,IF(Tim!HH50=Sheet6!$C$8,Sheet6!$C$8,"")))))))</f>
        <v/>
      </c>
      <c r="CH48" s="53" t="str">
        <f>IF(Tim!HI50=Sheet6!$C$2,Sheet6!$C$2,IF(Tim!HI50=Sheet6!$C$3,Sheet6!$C$3,IF(Tim!HI50=Sheet6!$C$4,Sheet6!$C$4,IF(Tim!HI50=Sheet6!$C$5,Sheet6!$C$5,IF(Tim!HI50=Sheet6!$C$6,Sheet6!$C$6,IF(Tim!HI50=Sheet6!$C$7,Sheet6!$C$7,IF(Tim!HI50=Sheet6!$C$8,Sheet6!$C$8,"")))))))</f>
        <v/>
      </c>
      <c r="CI48" s="53" t="str">
        <f>IF(Tim!HJ50=Sheet6!$C$2,Sheet6!$C$2,IF(Tim!HJ50=Sheet6!$C$3,Sheet6!$C$3,IF(Tim!HJ50=Sheet6!$C$4,Sheet6!$C$4,IF(Tim!HJ50=Sheet6!$C$5,Sheet6!$C$5,IF(Tim!HJ50=Sheet6!$C$6,Sheet6!$C$6,IF(Tim!HJ50=Sheet6!$C$7,Sheet6!$C$7,IF(Tim!HJ50=Sheet6!$C$8,Sheet6!$C$8,"")))))))</f>
        <v/>
      </c>
      <c r="CJ48" s="53" t="str">
        <f>IF(Tim!HK50=Sheet6!$C$2,Sheet6!$C$2,IF(Tim!HK50=Sheet6!$C$3,Sheet6!$C$3,IF(Tim!HK50=Sheet6!$C$4,Sheet6!$C$4,IF(Tim!HK50=Sheet6!$C$5,Sheet6!$C$5,IF(Tim!HK50=Sheet6!$C$6,Sheet6!$C$6,IF(Tim!HK50=Sheet6!$C$7,Sheet6!$C$7,IF(Tim!HK50=Sheet6!$C$8,Sheet6!$C$8,"")))))))</f>
        <v/>
      </c>
      <c r="CK48" s="53" t="str">
        <f>IF(Tim!HL50=Sheet6!$C$2,Sheet6!$C$2,IF(Tim!HL50=Sheet6!$C$3,Sheet6!$C$3,IF(Tim!HL50=Sheet6!$C$4,Sheet6!$C$4,IF(Tim!HL50=Sheet6!$C$5,Sheet6!$C$5,IF(Tim!HL50=Sheet6!$C$6,Sheet6!$C$6,IF(Tim!HL50=Sheet6!$C$7,Sheet6!$C$7,IF(Tim!HL50=Sheet6!$C$8,Sheet6!$C$8,"")))))))</f>
        <v/>
      </c>
      <c r="CL48" s="53" t="str">
        <f>IF(Tim!HM50=Sheet6!$C$2,Sheet6!$C$2,IF(Tim!HM50=Sheet6!$C$3,Sheet6!$C$3,IF(Tim!HM50=Sheet6!$C$4,Sheet6!$C$4,IF(Tim!HM50=Sheet6!$C$5,Sheet6!$C$5,IF(Tim!HM50=Sheet6!$C$6,Sheet6!$C$6,IF(Tim!HM50=Sheet6!$C$7,Sheet6!$C$7,IF(Tim!HM50=Sheet6!$C$8,Sheet6!$C$8,"")))))))</f>
        <v/>
      </c>
      <c r="CM48" s="53" t="str">
        <f>IF(Tim!HQ50=Sheet6!$C$2,Sheet6!$C$2,IF(Tim!HQ50=Sheet6!$C$3,Sheet6!$C$3,IF(Tim!HQ50=Sheet6!$C$4,Sheet6!$C$4,IF(Tim!HQ50=Sheet6!$C$5,Sheet6!$C$5,IF(Tim!HQ50=Sheet6!$C$6,Sheet6!$C$6,IF(Tim!HQ50=Sheet6!$C$7,Sheet6!$C$7,IF(Tim!HQ50=Sheet6!$C$8,Sheet6!$C$8,"")))))))</f>
        <v/>
      </c>
      <c r="CN48" s="54" t="str">
        <f>IF(Tim!HR50=Sheet6!$C$2,Sheet6!$C$2,IF(Tim!HR50=Sheet6!$C$3,Sheet6!$C$3,IF(Tim!HR50=Sheet6!$C$4,Sheet6!$C$4,IF(Tim!HR50=Sheet6!$C$5,Sheet6!$C$5,IF(Tim!HR50=Sheet6!$C$6,Sheet6!$C$6,IF(Tim!HR50=Sheet6!$C$7,Sheet6!$C$7,IF(Tim!HR50=Sheet6!$C$8,Sheet6!$C$8,"")))))))</f>
        <v/>
      </c>
      <c r="CO48" s="54" t="str">
        <f>IF(Tim!HS50=Sheet6!$C$2,Sheet6!$C$2,IF(Tim!HS50=Sheet6!$C$3,Sheet6!$C$3,IF(Tim!HS50=Sheet6!$C$4,Sheet6!$C$4,IF(Tim!HS50=Sheet6!$C$5,Sheet6!$C$5,IF(Tim!HS50=Sheet6!$C$6,Sheet6!$C$6,IF(Tim!HS50=Sheet6!$C$7,Sheet6!$C$7,IF(Tim!HS50=Sheet6!$C$8,Sheet6!$C$8,"")))))))</f>
        <v/>
      </c>
      <c r="CP48" s="54" t="str">
        <f>IF(Tim!HT50=Sheet6!$C$2,Sheet6!$C$2,IF(Tim!HT50=Sheet6!$C$3,Sheet6!$C$3,IF(Tim!HT50=Sheet6!$C$4,Sheet6!$C$4,IF(Tim!HT50=Sheet6!$C$5,Sheet6!$C$5,IF(Tim!HT50=Sheet6!$C$6,Sheet6!$C$6,IF(Tim!HT50=Sheet6!$C$7,Sheet6!$C$7,IF(Tim!HT50=Sheet6!$C$8,Sheet6!$C$8,"")))))))</f>
        <v/>
      </c>
      <c r="CQ48" s="55" t="str">
        <f>IF(Tim!HU50=Sheet6!$C$2,Sheet6!$C$2,IF(Tim!HU50=Sheet6!$C$3,Sheet6!$C$3,IF(Tim!HU50=Sheet6!$C$4,Sheet6!$C$4,IF(Tim!HU50=Sheet6!$C$5,Sheet6!$C$5,IF(Tim!HU50=Sheet6!$C$6,Sheet6!$C$6,IF(Tim!HU50=Sheet6!$C$7,Sheet6!$C$7,IF(Tim!HU50=Sheet6!$C$8,Sheet6!$C$8,"")))))))</f>
        <v/>
      </c>
      <c r="CR48" s="56" t="str">
        <f>IF(Tim!HV50=Sheet6!$C$2,Sheet6!$C$2,IF(Tim!HV50=Sheet6!$C$3,Sheet6!$C$3,IF(Tim!HV50=Sheet6!$C$4,Sheet6!$C$4,IF(Tim!HV50=Sheet6!$C$5,Sheet6!$C$5,IF(Tim!HV50=Sheet6!$C$6,Sheet6!$C$6,IF(Tim!HV50=Sheet6!$C$7,Sheet6!$C$7,IF(Tim!HV50=Sheet6!$C$8,Sheet6!$C$8,"")))))))</f>
        <v/>
      </c>
      <c r="CS48" s="57" t="str">
        <f>IF(Tim!IB50=Sheet6!$C$2,Sheet6!$C$2,IF(Tim!IB50=Sheet6!$C$3,Sheet6!$C$3,IF(Tim!IB50=Sheet6!$C$4,Sheet6!$C$4,IF(Tim!IB50=Sheet6!$C$5,Sheet6!$C$5,IF(Tim!IB50=Sheet6!$C$6,Sheet6!$C$6,IF(Tim!IB50=Sheet6!$C$7,Sheet6!$C$7,IF(Tim!IB50=Sheet6!$C$8,Sheet6!$C$8,"")))))))</f>
        <v/>
      </c>
      <c r="CT48" s="65" t="str">
        <f>IF(Tim!IJ50=Sheet6!$C$2,Sheet6!$C$2,IF(Tim!IJ50=Sheet6!$C$3,Sheet6!$C$3,IF(Tim!IJ50=Sheet6!$C$4,Sheet6!$C$4,IF(Tim!IJ50=Sheet6!$C$5,Sheet6!$C$5,IF(Tim!IJ50=Sheet6!$C$6,Sheet6!$C$6,IF(Tim!IJ50=Sheet6!$C$7,Sheet6!$C$7,IF(Tim!IJ50=Sheet6!$C$8,Sheet6!$C$8,"")))))))</f>
        <v/>
      </c>
      <c r="CU48" s="65" t="str">
        <f>IF(Tim!IQ50=Sheet6!$C$2,Sheet6!$C$2,IF(Tim!IQ50=Sheet6!$C$3,Sheet6!$C$3,IF(Tim!IQ50=Sheet6!$C$4,Sheet6!$C$4,IF(Tim!IQ50=Sheet6!$C$5,Sheet6!$C$5,IF(Tim!IQ50=Sheet6!$C$6,Sheet6!$C$6,IF(Tim!IQ50=Sheet6!$C$7,Sheet6!$C$7,IF(Tim!IQ50=Sheet6!$C$8,Sheet6!$C$8,"")))))))</f>
        <v/>
      </c>
      <c r="CV48" s="53" t="str">
        <f>IF(Tim!IR50=Sheet6!$C$2,Sheet6!$C$2,IF(Tim!IR50=Sheet6!$C$3,Sheet6!$C$3,IF(Tim!IR50=Sheet6!$C$4,Sheet6!$C$4,IF(Tim!IR50=Sheet6!$C$5,Sheet6!$C$5,IF(Tim!IR50=Sheet6!$C$6,Sheet6!$C$6,IF(Tim!IR50=Sheet6!$C$7,Sheet6!$C$7,IF(Tim!IR50=Sheet6!$C$8,Sheet6!$C$8,"")))))))</f>
        <v/>
      </c>
      <c r="CW48" s="53" t="str">
        <f>IF(Tim!IZ50=Sheet6!$C$2,Sheet6!$C$2,IF(Tim!IZ50=Sheet6!$C$3,Sheet6!$C$3,IF(Tim!IZ50=Sheet6!$C$4,Sheet6!$C$4,IF(Tim!IZ50=Sheet6!$C$5,Sheet6!$C$5,IF(Tim!IZ50=Sheet6!$C$6,Sheet6!$C$6,IF(Tim!IZ50=Sheet6!$C$7,Sheet6!$C$7,IF(Tim!IZ50=Sheet6!$C$8,Sheet6!$C$8,"")))))))</f>
        <v/>
      </c>
      <c r="CX48" s="53" t="str">
        <f>IF(Tim!JA50=Sheet6!$C$2,Sheet6!$C$2,IF(Tim!JA50=Sheet6!$C$3,Sheet6!$C$3,IF(Tim!JA50=Sheet6!$C$4,Sheet6!$C$4,IF(Tim!JA50=Sheet6!$C$5,Sheet6!$C$5,IF(Tim!JA50=Sheet6!$C$6,Sheet6!$C$6,IF(Tim!JA50=Sheet6!$C$7,Sheet6!$C$7,IF(Tim!JA50=Sheet6!$C$8,Sheet6!$C$8,"")))))))</f>
        <v/>
      </c>
      <c r="CY48" s="53" t="str">
        <f>IF(Tim!JB50=Sheet6!$C$2,Sheet6!$C$2,IF(Tim!JB50=Sheet6!$C$3,Sheet6!$C$3,IF(Tim!JB50=Sheet6!$C$4,Sheet6!$C$4,IF(Tim!JB50=Sheet6!$C$5,Sheet6!$C$5,IF(Tim!JB50=Sheet6!$C$6,Sheet6!$C$6,IF(Tim!JB50=Sheet6!$C$7,Sheet6!$C$7,IF(Tim!JB50=Sheet6!$C$8,Sheet6!$C$8,"")))))))</f>
        <v/>
      </c>
      <c r="CZ48" s="53" t="str">
        <f>IF(Tim!JC50=Sheet6!$C$2,Sheet6!$C$2,IF(Tim!JC50=Sheet6!$C$3,Sheet6!$C$3,IF(Tim!JC50=Sheet6!$C$4,Sheet6!$C$4,IF(Tim!JC50=Sheet6!$C$5,Sheet6!$C$5,IF(Tim!JC50=Sheet6!$C$6,Sheet6!$C$6,IF(Tim!JC50=Sheet6!$C$7,Sheet6!$C$7,IF(Tim!JC50=Sheet6!$C$8,Sheet6!$C$8,"")))))))</f>
        <v/>
      </c>
      <c r="DA48" s="53" t="str">
        <f>IF(Tim!JD50=Sheet6!$C$2,Sheet6!$C$2,IF(Tim!JD50=Sheet6!$C$3,Sheet6!$C$3,IF(Tim!JD50=Sheet6!$C$4,Sheet6!$C$4,IF(Tim!JD50=Sheet6!$C$5,Sheet6!$C$5,IF(Tim!JD50=Sheet6!$C$6,Sheet6!$C$6,IF(Tim!JD50=Sheet6!$C$7,Sheet6!$C$7,IF(Tim!JD50=Sheet6!$C$8,Sheet6!$C$8,"")))))))</f>
        <v/>
      </c>
      <c r="DB48" s="53" t="str">
        <f>IF(Tim!JE50=Sheet6!$C$2,Sheet6!$C$2,IF(Tim!JE50=Sheet6!$C$3,Sheet6!$C$3,IF(Tim!JE50=Sheet6!$C$4,Sheet6!$C$4,IF(Tim!JE50=Sheet6!$C$5,Sheet6!$C$5,IF(Tim!JE50=Sheet6!$C$6,Sheet6!$C$6,IF(Tim!JE50=Sheet6!$C$7,Sheet6!$C$7,IF(Tim!JE50=Sheet6!$C$8,Sheet6!$C$8,"")))))))</f>
        <v/>
      </c>
      <c r="DC48" s="53" t="str">
        <f>IF(Tim!JI50=Sheet6!$C$2,Sheet6!$C$2,IF(Tim!JI50=Sheet6!$C$3,Sheet6!$C$3,IF(Tim!JI50=Sheet6!$C$4,Sheet6!$C$4,IF(Tim!JI50=Sheet6!$C$5,Sheet6!$C$5,IF(Tim!JI50=Sheet6!$C$6,Sheet6!$C$6,IF(Tim!JI50=Sheet6!$C$7,Sheet6!$C$7,IF(Tim!JI50=Sheet6!$C$8,Sheet6!$C$8,"")))))))</f>
        <v/>
      </c>
      <c r="DD48" s="54" t="str">
        <f>IF(Tim!JJ50=Sheet6!$C$2,Sheet6!$C$2,IF(Tim!JJ50=Sheet6!$C$3,Sheet6!$C$3,IF(Tim!JJ50=Sheet6!$C$4,Sheet6!$C$4,IF(Tim!JJ50=Sheet6!$C$5,Sheet6!$C$5,IF(Tim!JJ50=Sheet6!$C$6,Sheet6!$C$6,IF(Tim!JJ50=Sheet6!$C$7,Sheet6!$C$7,IF(Tim!JJ50=Sheet6!$C$8,Sheet6!$C$8,"")))))))</f>
        <v/>
      </c>
      <c r="DE48" s="54" t="str">
        <f>IF(Tim!JK50=Sheet6!$C$2,Sheet6!$C$2,IF(Tim!JK50=Sheet6!$C$3,Sheet6!$C$3,IF(Tim!JK50=Sheet6!$C$4,Sheet6!$C$4,IF(Tim!JK50=Sheet6!$C$5,Sheet6!$C$5,IF(Tim!JK50=Sheet6!$C$6,Sheet6!$C$6,IF(Tim!JK50=Sheet6!$C$7,Sheet6!$C$7,IF(Tim!JK50=Sheet6!$C$8,Sheet6!$C$8,"")))))))</f>
        <v/>
      </c>
      <c r="DF48" s="54" t="str">
        <f>IF(Tim!JL50=Sheet6!$C$2,Sheet6!$C$2,IF(Tim!JL50=Sheet6!$C$3,Sheet6!$C$3,IF(Tim!JL50=Sheet6!$C$4,Sheet6!$C$4,IF(Tim!JL50=Sheet6!$C$5,Sheet6!$C$5,IF(Tim!JL50=Sheet6!$C$6,Sheet6!$C$6,IF(Tim!JL50=Sheet6!$C$7,Sheet6!$C$7,IF(Tim!JL50=Sheet6!$C$8,Sheet6!$C$8,"")))))))</f>
        <v/>
      </c>
      <c r="DG48" s="55" t="str">
        <f>IF(Tim!JM50=Sheet6!$C$2,Sheet6!$C$2,IF(Tim!JM50=Sheet6!$C$3,Sheet6!$C$3,IF(Tim!JM50=Sheet6!$C$4,Sheet6!$C$4,IF(Tim!JM50=Sheet6!$C$5,Sheet6!$C$5,IF(Tim!JM50=Sheet6!$C$6,Sheet6!$C$6,IF(Tim!JM50=Sheet6!$C$7,Sheet6!$C$7,IF(Tim!JM50=Sheet6!$C$8,Sheet6!$C$8,"")))))))</f>
        <v/>
      </c>
      <c r="DH48" s="56" t="str">
        <f>IF(Tim!JN50=Sheet6!$C$2,Sheet6!$C$2,IF(Tim!JN50=Sheet6!$C$3,Sheet6!$C$3,IF(Tim!JN50=Sheet6!$C$4,Sheet6!$C$4,IF(Tim!JN50=Sheet6!$C$5,Sheet6!$C$5,IF(Tim!JN50=Sheet6!$C$6,Sheet6!$C$6,IF(Tim!JN50=Sheet6!$C$7,Sheet6!$C$7,IF(Tim!JN50=Sheet6!$C$8,Sheet6!$C$8,"")))))))</f>
        <v/>
      </c>
      <c r="DI48" s="57" t="str">
        <f>IF(Tim!JS50=Sheet6!$C$2,Sheet6!$C$2,IF(Tim!JS50=Sheet6!$C$3,Sheet6!$C$3,IF(Tim!JS50=Sheet6!$C$4,Sheet6!$C$4,IF(Tim!JS50=Sheet6!$C$5,Sheet6!$C$5,IF(Tim!JS50=Sheet6!$C$6,Sheet6!$C$6,IF(Tim!JS50=Sheet6!$C$7,Sheet6!$C$7,IF(Tim!JS50=Sheet6!$C$8,Sheet6!$C$8,"")))))))</f>
        <v/>
      </c>
      <c r="DJ48" s="57" t="str">
        <f>IF(Tim!KB50=Sheet6!$C$2,Sheet6!$C$2,IF(Tim!KB50=Sheet6!$C$3,Sheet6!$C$3,IF(Tim!KB50=Sheet6!$C$4,Sheet6!$C$4,IF(Tim!KB50=Sheet6!$C$5,Sheet6!$C$5,IF(Tim!KB50=Sheet6!$C$6,Sheet6!$C$6,IF(Tim!KB50=Sheet6!$C$7,Sheet6!$C$7,IF(Tim!KB50=Sheet6!$C$8,Sheet6!$C$8,"")))))))</f>
        <v/>
      </c>
      <c r="DK48" s="66" t="str">
        <f>IF(Tim!KI50=Sheet6!$C$2,Sheet6!$C$2,IF(Tim!KI50=Sheet6!$C$3,Sheet6!$C$3,IF(Tim!KI50=Sheet6!$C$4,Sheet6!$C$4,IF(Tim!KI50=Sheet6!$C$5,Sheet6!$C$5,IF(Tim!KI50=Sheet6!$C$6,Sheet6!$C$6,IF(Tim!KI50=Sheet6!$C$7,Sheet6!$C$7,IF(Tim!KI50=Sheet6!$C$8,Sheet6!$C$8,"")))))))</f>
        <v/>
      </c>
      <c r="DL48" s="66" t="str">
        <f>IF(Tim!KJ50=Sheet6!$C$2,Sheet6!$C$2,IF(Tim!KJ50=Sheet6!$C$3,Sheet6!$C$3,IF(Tim!KJ50=Sheet6!$C$4,Sheet6!$C$4,IF(Tim!KJ50=Sheet6!$C$5,Sheet6!$C$5,IF(Tim!KJ50=Sheet6!$C$6,Sheet6!$C$6,IF(Tim!KJ50=Sheet6!$C$7,Sheet6!$C$7,IF(Tim!KJ50=Sheet6!$C$8,Sheet6!$C$8,"")))))))</f>
        <v/>
      </c>
      <c r="DM48" s="66" t="str">
        <f>IF(Tim!KR50=Sheet6!$C$2,Sheet6!$C$2,IF(Tim!KR50=Sheet6!$C$3,Sheet6!$C$3,IF(Tim!KR50=Sheet6!$C$4,Sheet6!$C$4,IF(Tim!KR50=Sheet6!$C$5,Sheet6!$C$5,IF(Tim!KR50=Sheet6!$C$6,Sheet6!$C$6,IF(Tim!KR50=Sheet6!$C$7,Sheet6!$C$7,IF(Tim!KR50=Sheet6!$C$8,Sheet6!$C$8,"")))))))</f>
        <v/>
      </c>
      <c r="DN48" s="66" t="str">
        <f>IF(Tim!KS50=Sheet6!$C$2,Sheet6!$C$2,IF(Tim!KS50=Sheet6!$C$3,Sheet6!$C$3,IF(Tim!KS50=Sheet6!$C$4,Sheet6!$C$4,IF(Tim!KS50=Sheet6!$C$5,Sheet6!$C$5,IF(Tim!KS50=Sheet6!$C$6,Sheet6!$C$6,IF(Tim!KS50=Sheet6!$C$7,Sheet6!$C$7,IF(Tim!KS50=Sheet6!$C$8,Sheet6!$C$8,"")))))))</f>
        <v/>
      </c>
      <c r="DO48" s="66" t="str">
        <f>IF(Tim!KT50=Sheet6!$C$2,Sheet6!$C$2,IF(Tim!KT50=Sheet6!$C$3,Sheet6!$C$3,IF(Tim!KT50=Sheet6!$C$4,Sheet6!$C$4,IF(Tim!KT50=Sheet6!$C$5,Sheet6!$C$5,IF(Tim!KT50=Sheet6!$C$6,Sheet6!$C$6,IF(Tim!KT50=Sheet6!$C$7,Sheet6!$C$7,IF(Tim!KT50=Sheet6!$C$8,Sheet6!$C$8,"")))))))</f>
        <v/>
      </c>
      <c r="DP48" s="66" t="str">
        <f>IF(Tim!KU50=Sheet6!$C$2,Sheet6!$C$2,IF(Tim!KU50=Sheet6!$C$3,Sheet6!$C$3,IF(Tim!KU50=Sheet6!$C$4,Sheet6!$C$4,IF(Tim!KU50=Sheet6!$C$5,Sheet6!$C$5,IF(Tim!KU50=Sheet6!$C$6,Sheet6!$C$6,IF(Tim!KU50=Sheet6!$C$7,Sheet6!$C$7,IF(Tim!KU50=Sheet6!$C$8,Sheet6!$C$8,"")))))))</f>
        <v/>
      </c>
      <c r="DQ48" s="66" t="str">
        <f>IF(Tim!KV50=Sheet6!$C$2,Sheet6!$C$2,IF(Tim!KV50=Sheet6!$C$3,Sheet6!$C$3,IF(Tim!KV50=Sheet6!$C$4,Sheet6!$C$4,IF(Tim!KV50=Sheet6!$C$5,Sheet6!$C$5,IF(Tim!KV50=Sheet6!$C$6,Sheet6!$C$6,IF(Tim!KV50=Sheet6!$C$7,Sheet6!$C$7,IF(Tim!KV50=Sheet6!$C$8,Sheet6!$C$8,"")))))))</f>
        <v/>
      </c>
      <c r="DR48" s="66" t="str">
        <f>IF(Tim!KW50=Sheet6!$C$2,Sheet6!$C$2,IF(Tim!KW50=Sheet6!$C$3,Sheet6!$C$3,IF(Tim!KW50=Sheet6!$C$4,Sheet6!$C$4,IF(Tim!KW50=Sheet6!$C$5,Sheet6!$C$5,IF(Tim!KW50=Sheet6!$C$6,Sheet6!$C$6,IF(Tim!KW50=Sheet6!$C$7,Sheet6!$C$7,IF(Tim!KW50=Sheet6!$C$8,Sheet6!$C$8,"")))))))</f>
        <v/>
      </c>
      <c r="DS48" s="66" t="str">
        <f>IF(Tim!LA50=Sheet6!$C$2,Sheet6!$C$2,IF(Tim!LA50=Sheet6!$C$3,Sheet6!$C$3,IF(Tim!LA50=Sheet6!$C$4,Sheet6!$C$4,IF(Tim!LA50=Sheet6!$C$5,Sheet6!$C$5,IF(Tim!LA50=Sheet6!$C$6,Sheet6!$C$6,IF(Tim!LA50=Sheet6!$C$7,Sheet6!$C$7,IF(Tim!LA50=Sheet6!$C$8,Sheet6!$C$8,"")))))))</f>
        <v/>
      </c>
      <c r="DT48" s="67" t="str">
        <f>IF(Tim!LB50=Sheet6!$C$2,Sheet6!$C$2,IF(Tim!LB50=Sheet6!$C$3,Sheet6!$C$3,IF(Tim!LB50=Sheet6!$C$4,Sheet6!$C$4,IF(Tim!LB50=Sheet6!$C$5,Sheet6!$C$5,IF(Tim!LB50=Sheet6!$C$6,Sheet6!$C$6,IF(Tim!LB50=Sheet6!$C$7,Sheet6!$C$7,IF(Tim!LB50=Sheet6!$C$8,Sheet6!$C$8,"")))))))</f>
        <v/>
      </c>
      <c r="DU48" s="67" t="str">
        <f>IF(Tim!LC50=Sheet6!$C$2,Sheet6!$C$2,IF(Tim!LC50=Sheet6!$C$3,Sheet6!$C$3,IF(Tim!LC50=Sheet6!$C$4,Sheet6!$C$4,IF(Tim!LC50=Sheet6!$C$5,Sheet6!$C$5,IF(Tim!LC50=Sheet6!$C$6,Sheet6!$C$6,IF(Tim!LC50=Sheet6!$C$7,Sheet6!$C$7,IF(Tim!LC50=Sheet6!$C$8,Sheet6!$C$8,"")))))))</f>
        <v/>
      </c>
      <c r="DV48" s="67" t="str">
        <f>IF(Tim!LD50=Sheet6!$C$2,Sheet6!$C$2,IF(Tim!LD50=Sheet6!$C$3,Sheet6!$C$3,IF(Tim!LD50=Sheet6!$C$4,Sheet6!$C$4,IF(Tim!LD50=Sheet6!$C$5,Sheet6!$C$5,IF(Tim!LD50=Sheet6!$C$6,Sheet6!$C$6,IF(Tim!LD50=Sheet6!$C$7,Sheet6!$C$7,IF(Tim!LD50=Sheet6!$C$8,Sheet6!$C$8,"")))))))</f>
        <v/>
      </c>
      <c r="DW48" s="68" t="str">
        <f>IF(Tim!LE50=Sheet6!$C$2,Sheet6!$C$2,IF(Tim!LE50=Sheet6!$C$3,Sheet6!$C$3,IF(Tim!LE50=Sheet6!$C$4,Sheet6!$C$4,IF(Tim!LE50=Sheet6!$C$5,Sheet6!$C$5,IF(Tim!LE50=Sheet6!$C$6,Sheet6!$C$6,IF(Tim!LE50=Sheet6!$C$7,Sheet6!$C$7,IF(Tim!LE50=Sheet6!$C$8,Sheet6!$C$8,"")))))))</f>
        <v/>
      </c>
      <c r="DX48" s="52">
        <v>0.73958333333333204</v>
      </c>
    </row>
    <row r="49" spans="2:128" ht="10.5" customHeight="1">
      <c r="B49" s="51">
        <v>0.25</v>
      </c>
      <c r="C49" s="51">
        <v>0.25</v>
      </c>
      <c r="D49" s="51">
        <v>0.25</v>
      </c>
      <c r="E49" s="52">
        <v>0.749999999999999</v>
      </c>
      <c r="F49" s="53" t="str">
        <f>IF(Tim!F51=Sheet6!$C$2,Sheet6!$C$2,IF(Tim!F51=Sheet6!$C$3,Sheet6!$C$3,IF(Tim!F51=Sheet6!$C$4,Sheet6!$C$4,IF(Tim!F51=Sheet6!$C$5,Sheet6!$C$5,IF(Tim!F51=Sheet6!$C$6,Sheet6!$C$6,IF(Tim!F51=Sheet6!$C$7,Sheet6!$C$7,IF(Tim!F51=Sheet6!$C$8,Sheet6!$C$8,"")))))))</f>
        <v/>
      </c>
      <c r="G49" s="53" t="str">
        <f>IF(Tim!G51=Sheet6!$C$2,Sheet6!$C$2,IF(Tim!G51=Sheet6!$C$3,Sheet6!$C$3,IF(Tim!G51=Sheet6!$C$4,Sheet6!$C$4,IF(Tim!G51=Sheet6!$C$5,Sheet6!$C$5,IF(Tim!G51=Sheet6!$C$6,Sheet6!$C$6,IF(Tim!G51=Sheet6!$C$7,Sheet6!$C$7,IF(Tim!G51=Sheet6!$C$8,Sheet6!$C$8,"")))))))</f>
        <v/>
      </c>
      <c r="H49" s="53" t="str">
        <f>IF(Tim!H51=Sheet6!$C$2,Sheet6!$C$2,IF(Tim!H51=Sheet6!$C$3,Sheet6!$C$3,IF(Tim!H51=Sheet6!$C$4,Sheet6!$C$4,IF(Tim!H51=Sheet6!$C$5,Sheet6!$C$5,IF(Tim!H51=Sheet6!$C$6,Sheet6!$C$6,IF(Tim!H51=Sheet6!$C$7,Sheet6!$C$7,IF(Tim!H51=Sheet6!$C$8,Sheet6!$C$8,"")))))))</f>
        <v/>
      </c>
      <c r="I49" s="53" t="str">
        <f>IF(Tim!L51=Sheet6!$C$2,Sheet6!$C$2,IF(Tim!L51=Sheet6!$C$3,Sheet6!$C$3,IF(Tim!L51=Sheet6!$C$4,Sheet6!$C$4,IF(Tim!L51=Sheet6!$C$5,Sheet6!$C$5,IF(Tim!L51=Sheet6!$C$6,Sheet6!$C$6,IF(Tim!L51=Sheet6!$C$7,Sheet6!$C$7,IF(Tim!L51=Sheet6!$C$8,Sheet6!$C$8,"")))))))</f>
        <v/>
      </c>
      <c r="J49" s="53" t="str">
        <f>IF(Tim!T51=Sheet6!$C$2,Sheet6!$C$2,IF(Tim!T51=Sheet6!$C$3,Sheet6!$C$3,IF(Tim!T51=Sheet6!$C$4,Sheet6!$C$4,IF(Tim!T51=Sheet6!$C$5,Sheet6!$C$5,IF(Tim!T51=Sheet6!$C$6,Sheet6!$C$6,IF(Tim!T51=Sheet6!$C$7,Sheet6!$C$7,IF(Tim!T51=Sheet6!$C$8,Sheet6!$C$8,"")))))))</f>
        <v/>
      </c>
      <c r="K49" s="53" t="str">
        <f>IF(Tim!AB51=Sheet6!$C$2,Sheet6!$C$2,IF(Tim!AB51=Sheet6!$C$3,Sheet6!$C$3,IF(Tim!AB51=Sheet6!$C$4,Sheet6!$C$4,IF(Tim!AB51=Sheet6!$C$5,Sheet6!$C$5,IF(Tim!AB51=Sheet6!$C$6,Sheet6!$C$6,IF(Tim!AB51=Sheet6!$C$7,Sheet6!$C$7,IF(Tim!AB51=Sheet6!$C$8,Sheet6!$C$8,"")))))))</f>
        <v/>
      </c>
      <c r="L49" s="53" t="str">
        <f>IF(Tim!AC51=Sheet6!$C$2,Sheet6!$C$2,IF(Tim!AC51=Sheet6!$C$3,Sheet6!$C$3,IF(Tim!AC51=Sheet6!$C$4,Sheet6!$C$4,IF(Tim!AC51=Sheet6!$C$5,Sheet6!$C$5,IF(Tim!AC51=Sheet6!$C$6,Sheet6!$C$6,IF(Tim!AC51=Sheet6!$C$7,Sheet6!$C$7,IF(Tim!AC51=Sheet6!$C$8,Sheet6!$C$8,"")))))))</f>
        <v/>
      </c>
      <c r="M49" s="53" t="str">
        <f>IF(Tim!AJ51=Sheet6!$C$2,Sheet6!$C$2,IF(Tim!AJ51=Sheet6!$C$3,Sheet6!$C$3,IF(Tim!AJ51=Sheet6!$C$4,Sheet6!$C$4,IF(Tim!AJ51=Sheet6!$C$5,Sheet6!$C$5,IF(Tim!AJ51=Sheet6!$C$6,Sheet6!$C$6,IF(Tim!AJ51=Sheet6!$C$7,Sheet6!$C$7,IF(Tim!AJ51=Sheet6!$C$8,Sheet6!$C$8,"")))))))</f>
        <v/>
      </c>
      <c r="N49" s="53" t="str">
        <f>IF(Tim!AK51=Sheet6!$C$2,Sheet6!$C$2,IF(Tim!AK51=Sheet6!$C$3,Sheet6!$C$3,IF(Tim!AK51=Sheet6!$C$4,Sheet6!$C$4,IF(Tim!AK51=Sheet6!$C$5,Sheet6!$C$5,IF(Tim!AK51=Sheet6!$C$6,Sheet6!$C$6,IF(Tim!AK51=Sheet6!$C$7,Sheet6!$C$7,IF(Tim!AK51=Sheet6!$C$8,Sheet6!$C$8,"")))))))</f>
        <v/>
      </c>
      <c r="O49" s="53" t="str">
        <f>IF(Tim!AL51=Sheet6!$C$2,Sheet6!$C$2,IF(Tim!AL51=Sheet6!$C$3,Sheet6!$C$3,IF(Tim!AL51=Sheet6!$C$4,Sheet6!$C$4,IF(Tim!AL51=Sheet6!$C$5,Sheet6!$C$5,IF(Tim!AL51=Sheet6!$C$6,Sheet6!$C$6,IF(Tim!AL51=Sheet6!$C$7,Sheet6!$C$7,IF(Tim!AL51=Sheet6!$C$8,Sheet6!$C$8,"")))))))</f>
        <v/>
      </c>
      <c r="P49" s="53" t="str">
        <f>IF(Tim!AN51=Sheet6!$C$2,Sheet6!$C$2,IF(Tim!AN51=Sheet6!$C$3,Sheet6!$C$3,IF(Tim!AN51=Sheet6!$C$4,Sheet6!$C$4,IF(Tim!AN51=Sheet6!$C$5,Sheet6!$C$5,IF(Tim!AN51=Sheet6!$C$6,Sheet6!$C$6,IF(Tim!AN51=Sheet6!$C$7,Sheet6!$C$7,IF(Tim!AN51=Sheet6!$C$8,Sheet6!$C$8,"")))))))</f>
        <v/>
      </c>
      <c r="Q49" s="176" t="str">
        <f>IF(Tim!AO51=Sheet6!$C$2,Sheet6!$C$2,IF(Tim!AO51=Sheet6!$C$3,Sheet6!$C$3,IF(Tim!AO51=Sheet6!$C$4,Sheet6!$C$4,IF(Tim!AO51=Sheet6!$C$5,Sheet6!$C$5,IF(Tim!AO51=Sheet6!$C$6,Sheet6!$C$6,IF(Tim!AO51=Sheet6!$C$7,Sheet6!$C$7,IF(Tim!AO51=Sheet6!$C$8,Sheet6!$C$8,"")))))))</f>
        <v/>
      </c>
      <c r="R49" s="53" t="str">
        <f>IF(Tim!AP51=Sheet6!$C$2,Sheet6!$C$2,IF(Tim!AP51=Sheet6!$C$3,Sheet6!$C$3,IF(Tim!AP51=Sheet6!$C$4,Sheet6!$C$4,IF(Tim!AP51=Sheet6!$C$5,Sheet6!$C$5,IF(Tim!AP51=Sheet6!$C$6,Sheet6!$C$6,IF(Tim!AP51=Sheet6!$C$7,Sheet6!$C$7,IF(Tim!AP51=Sheet6!$C$8,Sheet6!$C$8,"")))))))</f>
        <v/>
      </c>
      <c r="S49" s="53" t="str">
        <f>IF(Tim!AT51=Sheet6!$C$2,Sheet6!$C$2,IF(Tim!AT51=Sheet6!$C$3,Sheet6!$C$3,IF(Tim!AT51=Sheet6!$C$4,Sheet6!$C$4,IF(Tim!AT51=Sheet6!$C$5,Sheet6!$C$5,IF(Tim!AT51=Sheet6!$C$6,Sheet6!$C$6,IF(Tim!AT51=Sheet6!$C$7,Sheet6!$C$7,IF(Tim!AT51=Sheet6!$C$8,Sheet6!$C$8,"")))))))</f>
        <v/>
      </c>
      <c r="T49" s="54" t="str">
        <f>IF(Tim!AU51=Sheet6!$C$2,Sheet6!$C$2,IF(Tim!AU51=Sheet6!$C$3,Sheet6!$C$3,IF(Tim!AU51=Sheet6!$C$4,Sheet6!$C$4,IF(Tim!AU51=Sheet6!$C$5,Sheet6!$C$5,IF(Tim!AU51=Sheet6!$C$6,Sheet6!$C$6,IF(Tim!AU51=Sheet6!$C$7,Sheet6!$C$7,IF(Tim!AU51=Sheet6!$C$8,Sheet6!$C$8,"")))))))</f>
        <v/>
      </c>
      <c r="U49" s="54" t="str">
        <f>IF(Tim!AV51=Sheet6!$C$2,Sheet6!$C$2,IF(Tim!AV51=Sheet6!$C$3,Sheet6!$C$3,IF(Tim!AV51=Sheet6!$C$4,Sheet6!$C$4,IF(Tim!AV51=Sheet6!$C$5,Sheet6!$C$5,IF(Tim!AV51=Sheet6!$C$6,Sheet6!$C$6,IF(Tim!AV51=Sheet6!$C$7,Sheet6!$C$7,IF(Tim!AV51=Sheet6!$C$8,Sheet6!$C$8,"")))))))</f>
        <v/>
      </c>
      <c r="V49" s="54" t="str">
        <f>IF(Tim!AW51=Sheet6!$C$2,Sheet6!$C$2,IF(Tim!AW51=Sheet6!$C$3,Sheet6!$C$3,IF(Tim!AW51=Sheet6!$C$4,Sheet6!$C$4,IF(Tim!AW51=Sheet6!$C$5,Sheet6!$C$5,IF(Tim!AW51=Sheet6!$C$6,Sheet6!$C$6,IF(Tim!AW51=Sheet6!$C$7,Sheet6!$C$7,IF(Tim!AW51=Sheet6!$C$8,Sheet6!$C$8,"")))))))</f>
        <v/>
      </c>
      <c r="W49" s="55" t="str">
        <f>IF(Tim!AX51=Sheet6!$C$2,Sheet6!$C$2,IF(Tim!AX51=Sheet6!$C$3,Sheet6!$C$3,IF(Tim!AX51=Sheet6!$C$4,Sheet6!$C$4,IF(Tim!AX51=Sheet6!$C$5,Sheet6!$C$5,IF(Tim!AX51=Sheet6!$C$6,Sheet6!$C$6,IF(Tim!AX51=Sheet6!$C$7,Sheet6!$C$7,IF(Tim!AX51=Sheet6!$C$8,Sheet6!$C$8,"")))))))</f>
        <v/>
      </c>
      <c r="X49" s="53" t="str">
        <f>IF(Tim!AY51=Sheet6!$C$2,Sheet6!$C$2,IF(Tim!AY51=Sheet6!$C$3,Sheet6!$C$3,IF(Tim!AY51=Sheet6!$C$4,Sheet6!$C$4,IF(Tim!AY51=Sheet6!$C$5,Sheet6!$C$5,IF(Tim!AY51=Sheet6!$C$6,Sheet6!$C$6,IF(Tim!AY51=Sheet6!$C$7,Sheet6!$C$7,IF(Tim!AY51=Sheet6!$C$8,Sheet6!$C$8,"")))))))</f>
        <v/>
      </c>
      <c r="Y49" s="57" t="str">
        <f>IF(Tim!AZ51=Sheet6!$C$2,Sheet6!$C$2,IF(Tim!AZ51=Sheet6!$C$3,Sheet6!$C$3,IF(Tim!AZ51=Sheet6!$C$4,Sheet6!$C$4,IF(Tim!AZ51=Sheet6!$C$5,Sheet6!$C$5,IF(Tim!AZ51=Sheet6!$C$6,Sheet6!$C$6,IF(Tim!AZ51=Sheet6!$C$7,Sheet6!$C$7,IF(Tim!AZ51=Sheet6!$C$8,Sheet6!$C$8,"")))))))</f>
        <v/>
      </c>
      <c r="Z49" s="57" t="str">
        <f>IF(Tim!BE51=Sheet6!$C$2,Sheet6!$C$2,IF(Tim!BE51=Sheet6!$C$3,Sheet6!$C$3,IF(Tim!BE51=Sheet6!$C$4,Sheet6!$C$4,IF(Tim!BE51=Sheet6!$C$5,Sheet6!$C$5,IF(Tim!BE51=Sheet6!$C$6,Sheet6!$C$6,IF(Tim!BE51=Sheet6!$C$7,Sheet6!$C$7,IF(Tim!BE51=Sheet6!$C$8,Sheet6!$C$8,"")))))))</f>
        <v/>
      </c>
      <c r="AA49" s="57" t="str">
        <f>IF(Tim!BF51=Sheet6!$C$2,Sheet6!$C$2,IF(Tim!BF51=Sheet6!$C$3,Sheet6!$C$3,IF(Tim!BF51=Sheet6!$C$4,Sheet6!$C$4,IF(Tim!BF51=Sheet6!$C$5,Sheet6!$C$5,IF(Tim!BF51=Sheet6!$C$6,Sheet6!$C$6,IF(Tim!BF51=Sheet6!$C$7,Sheet6!$C$7,IF(Tim!BF51=Sheet6!$C$8,Sheet6!$C$8,"")))))))</f>
        <v/>
      </c>
      <c r="AB49" s="57" t="str">
        <f>IF(Tim!BL51=Sheet6!$C$2,Sheet6!$C$2,IF(Tim!BL51=Sheet6!$C$3,Sheet6!$C$3,IF(Tim!BL51=Sheet6!$C$4,Sheet6!$C$4,IF(Tim!BL51=Sheet6!$C$5,Sheet6!$C$5,IF(Tim!BL51=Sheet6!$C$6,Sheet6!$C$6,IF(Tim!BL51=Sheet6!$C$7,Sheet6!$C$7,IF(Tim!BL51=Sheet6!$C$8,Sheet6!$C$8,"")))))))</f>
        <v/>
      </c>
      <c r="AC49" s="53" t="str">
        <f>IF(Tim!BT51=Sheet6!$C$2,Sheet6!$C$2,IF(Tim!BT51=Sheet6!$C$3,Sheet6!$C$3,IF(Tim!BT51=Sheet6!$C$4,Sheet6!$C$4,IF(Tim!BT51=Sheet6!$C$5,Sheet6!$C$5,IF(Tim!BT51=Sheet6!$C$6,Sheet6!$C$6,IF(Tim!BT51=Sheet6!$C$7,Sheet6!$C$7,IF(Tim!BT51=Sheet6!$C$8,Sheet6!$C$8,"")))))))</f>
        <v/>
      </c>
      <c r="AD49" s="53" t="str">
        <f>IF(Tim!BU51=Sheet6!$C$2,Sheet6!$C$2,IF(Tim!BU51=Sheet6!$C$3,Sheet6!$C$3,IF(Tim!BU51=Sheet6!$C$4,Sheet6!$C$4,IF(Tim!BU51=Sheet6!$C$5,Sheet6!$C$5,IF(Tim!BU51=Sheet6!$C$6,Sheet6!$C$6,IF(Tim!BU51=Sheet6!$C$7,Sheet6!$C$7,IF(Tim!BU51=Sheet6!$C$8,Sheet6!$C$8,"")))))))</f>
        <v/>
      </c>
      <c r="AE49" s="53" t="str">
        <f>IF(Tim!CB51=Sheet6!$C$2,Sheet6!$C$2,IF(Tim!CB51=Sheet6!$C$3,Sheet6!$C$3,IF(Tim!CB51=Sheet6!$C$4,Sheet6!$C$4,IF(Tim!CB51=Sheet6!$C$5,Sheet6!$C$5,IF(Tim!CB51=Sheet6!$C$6,Sheet6!$C$6,IF(Tim!CB51=Sheet6!$C$7,Sheet6!$C$7,IF(Tim!CB51=Sheet6!$C$8,Sheet6!$C$8,"")))))))</f>
        <v/>
      </c>
      <c r="AF49" s="53" t="str">
        <f>IF(Tim!CD51=Sheet6!$C$2,Sheet6!$C$2,IF(Tim!CD51=Sheet6!$C$3,Sheet6!$C$3,IF(Tim!CD51=Sheet6!$C$4,Sheet6!$C$4,IF(Tim!CD51=Sheet6!$C$5,Sheet6!$C$5,IF(Tim!CD51=Sheet6!$C$6,Sheet6!$C$6,IF(Tim!CD51=Sheet6!$C$7,Sheet6!$C$7,IF(Tim!CD51=Sheet6!$C$8,Sheet6!$C$8,"")))))))</f>
        <v/>
      </c>
      <c r="AG49" s="53" t="str">
        <f>IF(Tim!CE51=Sheet6!$C$2,Sheet6!$C$2,IF(Tim!CE51=Sheet6!$C$3,Sheet6!$C$3,IF(Tim!CE51=Sheet6!$C$4,Sheet6!$C$4,IF(Tim!CE51=Sheet6!$C$5,Sheet6!$C$5,IF(Tim!CE51=Sheet6!$C$6,Sheet6!$C$6,IF(Tim!CE51=Sheet6!$C$7,Sheet6!$C$7,IF(Tim!CE51=Sheet6!$C$8,Sheet6!$C$8,"")))))))</f>
        <v/>
      </c>
      <c r="AH49" s="53" t="str">
        <f>IF(Tim!CF51=Sheet6!$C$2,Sheet6!$C$2,IF(Tim!CF51=Sheet6!$C$3,Sheet6!$C$3,IF(Tim!CF51=Sheet6!$C$4,Sheet6!$C$4,IF(Tim!CF51=Sheet6!$C$5,Sheet6!$C$5,IF(Tim!CF51=Sheet6!$C$6,Sheet6!$C$6,IF(Tim!CF51=Sheet6!$C$7,Sheet6!$C$7,IF(Tim!CF51=Sheet6!$C$8,Sheet6!$C$8,"")))))))</f>
        <v/>
      </c>
      <c r="AI49" s="176" t="str">
        <f>IF(Tim!CG51=Sheet6!$C$2,Sheet6!$C$2,IF(Tim!CG51=Sheet6!$C$3,Sheet6!$C$3,IF(Tim!CG51=Sheet6!$C$4,Sheet6!$C$4,IF(Tim!CG51=Sheet6!$C$5,Sheet6!$C$5,IF(Tim!CG51=Sheet6!$C$6,Sheet6!$C$6,IF(Tim!CG51=Sheet6!$C$7,Sheet6!$C$7,IF(Tim!CG51=Sheet6!$C$8,Sheet6!$C$8,"")))))))</f>
        <v/>
      </c>
      <c r="AJ49" s="53" t="str">
        <f>IF(Tim!CH51=Sheet6!$C$2,Sheet6!$C$2,IF(Tim!CH51=Sheet6!$C$3,Sheet6!$C$3,IF(Tim!CH51=Sheet6!$C$4,Sheet6!$C$4,IF(Tim!CH51=Sheet6!$C$5,Sheet6!$C$5,IF(Tim!CH51=Sheet6!$C$6,Sheet6!$C$6,IF(Tim!CH51=Sheet6!$C$7,Sheet6!$C$7,IF(Tim!CH51=Sheet6!$C$8,Sheet6!$C$8,"")))))))</f>
        <v/>
      </c>
      <c r="AK49" s="53" t="str">
        <f>IF(Tim!CL51=Sheet6!$C$2,Sheet6!$C$2,IF(Tim!CL51=Sheet6!$C$3,Sheet6!$C$3,IF(Tim!CL51=Sheet6!$C$4,Sheet6!$C$4,IF(Tim!CL51=Sheet6!$C$5,Sheet6!$C$5,IF(Tim!CL51=Sheet6!$C$6,Sheet6!$C$6,IF(Tim!CL51=Sheet6!$C$7,Sheet6!$C$7,IF(Tim!CL51=Sheet6!$C$8,Sheet6!$C$8,"")))))))</f>
        <v/>
      </c>
      <c r="AL49" s="54" t="str">
        <f>IF(Tim!CM51=Sheet6!$C$2,Sheet6!$C$2,IF(Tim!CM51=Sheet6!$C$3,Sheet6!$C$3,IF(Tim!CM51=Sheet6!$C$4,Sheet6!$C$4,IF(Tim!CM51=Sheet6!$C$5,Sheet6!$C$5,IF(Tim!CM51=Sheet6!$C$6,Sheet6!$C$6,IF(Tim!CM51=Sheet6!$C$7,Sheet6!$C$7,IF(Tim!CM51=Sheet6!$C$8,Sheet6!$C$8,"")))))))</f>
        <v/>
      </c>
      <c r="AM49" s="54" t="str">
        <f>IF(Tim!CN51=Sheet6!$C$2,Sheet6!$C$2,IF(Tim!CN51=Sheet6!$C$3,Sheet6!$C$3,IF(Tim!CN51=Sheet6!$C$4,Sheet6!$C$4,IF(Tim!CN51=Sheet6!$C$5,Sheet6!$C$5,IF(Tim!CN51=Sheet6!$C$6,Sheet6!$C$6,IF(Tim!CN51=Sheet6!$C$7,Sheet6!$C$7,IF(Tim!CN51=Sheet6!$C$8,Sheet6!$C$8,"")))))))</f>
        <v/>
      </c>
      <c r="AN49" s="54" t="str">
        <f>IF(Tim!CO51=Sheet6!$C$2,Sheet6!$C$2,IF(Tim!CO51=Sheet6!$C$3,Sheet6!$C$3,IF(Tim!CO51=Sheet6!$C$4,Sheet6!$C$4,IF(Tim!CO51=Sheet6!$C$5,Sheet6!$C$5,IF(Tim!CO51=Sheet6!$C$6,Sheet6!$C$6,IF(Tim!CO51=Sheet6!$C$7,Sheet6!$C$7,IF(Tim!CO51=Sheet6!$C$8,Sheet6!$C$8,"")))))))</f>
        <v/>
      </c>
      <c r="AO49" s="177" t="str">
        <f>IF(Tim!CP51=Sheet6!$C$2,Sheet6!$C$2,IF(Tim!CP51=Sheet6!$C$3,Sheet6!$C$3,IF(Tim!CP51=Sheet6!$C$4,Sheet6!$C$4,IF(Tim!CP51=Sheet6!$C$5,Sheet6!$C$5,IF(Tim!CP51=Sheet6!$C$6,Sheet6!$C$6,IF(Tim!CP51=Sheet6!$C$7,Sheet6!$C$7,IF(Tim!CP51=Sheet6!$C$8,Sheet6!$C$8,"")))))))</f>
        <v/>
      </c>
      <c r="AP49" s="57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Q49" s="57" t="str">
        <f>IF(Tim!CQ51=Sheet6!$C$2,Sheet6!$C$2,IF(Tim!CQ51=Sheet6!$C$3,Sheet6!$C$3,IF(Tim!CQ51=Sheet6!$C$4,Sheet6!$C$4,IF(Tim!CQ51=Sheet6!$C$5,Sheet6!$C$5,IF(Tim!CQ51=Sheet6!$C$6,Sheet6!$C$6,IF(Tim!CQ51=Sheet6!$C$7,Sheet6!$C$7,IF(Tim!CQ51=Sheet6!$C$8,Sheet6!$C$8,"")))))))</f>
        <v/>
      </c>
      <c r="AR49" s="57" t="str">
        <f>IF(Tim!CU51=Sheet6!$C$2,Sheet6!$C$2,IF(Tim!CU51=Sheet6!$C$3,Sheet6!$C$3,IF(Tim!CU51=Sheet6!$C$4,Sheet6!$C$4,IF(Tim!CU51=Sheet6!$C$5,Sheet6!$C$5,IF(Tim!CU51=Sheet6!$C$6,Sheet6!$C$6,IF(Tim!CU51=Sheet6!$C$7,Sheet6!$C$7,IF(Tim!CU51=Sheet6!$C$8,Sheet6!$C$8,"")))))))</f>
        <v/>
      </c>
      <c r="AS49" s="57" t="str">
        <f>IF(Tim!CV51=Sheet6!$C$2,Sheet6!$C$2,IF(Tim!CV51=Sheet6!$C$3,Sheet6!$C$3,IF(Tim!CV51=Sheet6!$C$4,Sheet6!$C$4,IF(Tim!CV51=Sheet6!$C$5,Sheet6!$C$5,IF(Tim!CV51=Sheet6!$C$6,Sheet6!$C$6,IF(Tim!CV51=Sheet6!$C$7,Sheet6!$C$7,IF(Tim!CV51=Sheet6!$C$8,Sheet6!$C$8,"")))))))</f>
        <v/>
      </c>
      <c r="AT49" s="57" t="str">
        <f>IF(Tim!DA51=Sheet6!$C$2,Sheet6!$C$2,IF(Tim!DA51=Sheet6!$C$3,Sheet6!$C$3,IF(Tim!DA51=Sheet6!$C$4,Sheet6!$C$4,IF(Tim!DA51=Sheet6!$C$5,Sheet6!$C$5,IF(Tim!DA51=Sheet6!$C$6,Sheet6!$C$6,IF(Tim!DA51=Sheet6!$C$7,Sheet6!$C$7,IF(Tim!DA51=Sheet6!$C$8,Sheet6!$C$8,"")))))))</f>
        <v/>
      </c>
      <c r="AU49" s="53" t="str">
        <f>IF(Tim!DO51=Sheet6!$C$2,Sheet6!$C$2,IF(Tim!DO51=Sheet6!$C$3,Sheet6!$C$3,IF(Tim!DO51=Sheet6!$C$4,Sheet6!$C$4,IF(Tim!DO51=Sheet6!$C$5,Sheet6!$C$5,IF(Tim!DO51=Sheet6!$C$6,Sheet6!$C$6,IF(Tim!DO51=Sheet6!$C$7,Sheet6!$C$7,IF(Tim!DO51=Sheet6!$C$8,Sheet6!$C$8,"")))))))</f>
        <v/>
      </c>
      <c r="AV49" s="53" t="str">
        <f>IF(Tim!DP51=Sheet6!$C$2,Sheet6!$C$2,IF(Tim!DP51=Sheet6!$C$3,Sheet6!$C$3,IF(Tim!DP51=Sheet6!$C$4,Sheet6!$C$4,IF(Tim!DP51=Sheet6!$C$5,Sheet6!$C$5,IF(Tim!DP51=Sheet6!$C$6,Sheet6!$C$6,IF(Tim!DP51=Sheet6!$C$7,Sheet6!$C$7,IF(Tim!DP51=Sheet6!$C$8,Sheet6!$C$8,"")))))))</f>
        <v/>
      </c>
      <c r="AW49" s="53" t="str">
        <f>IF(Tim!DX51=Sheet6!$C$2,Sheet6!$C$2,IF(Tim!DX51=Sheet6!$C$3,Sheet6!$C$3,IF(Tim!DX51=Sheet6!$C$4,Sheet6!$C$4,IF(Tim!DX51=Sheet6!$C$5,Sheet6!$C$5,IF(Tim!DX51=Sheet6!$C$6,Sheet6!$C$6,IF(Tim!DX51=Sheet6!$C$7,Sheet6!$C$7,IF(Tim!DX51=Sheet6!$C$8,Sheet6!$C$8,"")))))))</f>
        <v/>
      </c>
      <c r="AX49" s="53" t="str">
        <f>IF(Tim!DY51=Sheet6!$C$2,Sheet6!$C$2,IF(Tim!DY51=Sheet6!$C$3,Sheet6!$C$3,IF(Tim!DY51=Sheet6!$C$4,Sheet6!$C$4,IF(Tim!DY51=Sheet6!$C$5,Sheet6!$C$5,IF(Tim!DY51=Sheet6!$C$6,Sheet6!$C$6,IF(Tim!DY51=Sheet6!$C$7,Sheet6!$C$7,IF(Tim!DY51=Sheet6!$C$8,Sheet6!$C$8,"")))))))</f>
        <v/>
      </c>
      <c r="AY49" s="53" t="str">
        <f>IF(Tim!DZ51=Sheet6!$C$2,Sheet6!$C$2,IF(Tim!DZ51=Sheet6!$C$3,Sheet6!$C$3,IF(Tim!DZ51=Sheet6!$C$4,Sheet6!$C$4,IF(Tim!DZ51=Sheet6!$C$5,Sheet6!$C$5,IF(Tim!DZ51=Sheet6!$C$6,Sheet6!$C$6,IF(Tim!DZ51=Sheet6!$C$7,Sheet6!$C$7,IF(Tim!DZ51=Sheet6!$C$8,Sheet6!$C$8,"")))))))</f>
        <v/>
      </c>
      <c r="AZ49" s="53" t="str">
        <f>IF(Tim!EA51=Sheet6!$C$2,Sheet6!$C$2,IF(Tim!EA51=Sheet6!$C$3,Sheet6!$C$3,IF(Tim!EA51=Sheet6!$C$4,Sheet6!$C$4,IF(Tim!EA51=Sheet6!$C$5,Sheet6!$C$5,IF(Tim!EA51=Sheet6!$C$6,Sheet6!$C$6,IF(Tim!EA51=Sheet6!$C$7,Sheet6!$C$7,IF(Tim!EA51=Sheet6!$C$8,Sheet6!$C$8,"")))))))</f>
        <v/>
      </c>
      <c r="BA49" s="176" t="str">
        <f>IF(Tim!EB51=Sheet6!$C$2,Sheet6!$C$2,IF(Tim!EB51=Sheet6!$C$3,Sheet6!$C$3,IF(Tim!EB51=Sheet6!$C$4,Sheet6!$C$4,IF(Tim!EB51=Sheet6!$C$5,Sheet6!$C$5,IF(Tim!EB51=Sheet6!$C$6,Sheet6!$C$6,IF(Tim!EB51=Sheet6!$C$7,Sheet6!$C$7,IF(Tim!EB51=Sheet6!$C$8,Sheet6!$C$8,"")))))))</f>
        <v/>
      </c>
      <c r="BB49" s="53" t="str">
        <f>IF(Tim!EC51=Sheet6!$C$2,Sheet6!$C$2,IF(Tim!EC51=Sheet6!$C$3,Sheet6!$C$3,IF(Tim!EC51=Sheet6!$C$4,Sheet6!$C$4,IF(Tim!EC51=Sheet6!$C$5,Sheet6!$C$5,IF(Tim!EC51=Sheet6!$C$6,Sheet6!$C$6,IF(Tim!EC51=Sheet6!$C$7,Sheet6!$C$7,IF(Tim!EC51=Sheet6!$C$8,Sheet6!$C$8,"")))))))</f>
        <v/>
      </c>
      <c r="BC49" s="53" t="str">
        <f>IF(Tim!EG51=Sheet6!$C$2,Sheet6!$C$2,IF(Tim!EG51=Sheet6!$C$3,Sheet6!$C$3,IF(Tim!EG51=Sheet6!$C$4,Sheet6!$C$4,IF(Tim!EG51=Sheet6!$C$5,Sheet6!$C$5,IF(Tim!EG51=Sheet6!$C$6,Sheet6!$C$6,IF(Tim!EG51=Sheet6!$C$7,Sheet6!$C$7,IF(Tim!EG51=Sheet6!$C$8,Sheet6!$C$8,"")))))))</f>
        <v/>
      </c>
      <c r="BD49" s="54" t="str">
        <f>IF(Tim!EH51=Sheet6!$C$2,Sheet6!$C$2,IF(Tim!EH51=Sheet6!$C$3,Sheet6!$C$3,IF(Tim!EH51=Sheet6!$C$4,Sheet6!$C$4,IF(Tim!EH51=Sheet6!$C$5,Sheet6!$C$5,IF(Tim!EH51=Sheet6!$C$6,Sheet6!$C$6,IF(Tim!EH51=Sheet6!$C$7,Sheet6!$C$7,IF(Tim!EH51=Sheet6!$C$8,Sheet6!$C$8,"")))))))</f>
        <v/>
      </c>
      <c r="BE49" s="54" t="str">
        <f>IF(Tim!EI51=Sheet6!$C$2,Sheet6!$C$2,IF(Tim!EI51=Sheet6!$C$3,Sheet6!$C$3,IF(Tim!EI51=Sheet6!$C$4,Sheet6!$C$4,IF(Tim!EI51=Sheet6!$C$5,Sheet6!$C$5,IF(Tim!EI51=Sheet6!$C$6,Sheet6!$C$6,IF(Tim!EI51=Sheet6!$C$7,Sheet6!$C$7,IF(Tim!EI51=Sheet6!$C$8,Sheet6!$C$8,"")))))))</f>
        <v/>
      </c>
      <c r="BF49" s="54" t="str">
        <f>IF(Tim!EJ51=Sheet6!$C$2,Sheet6!$C$2,IF(Tim!EJ51=Sheet6!$C$3,Sheet6!$C$3,IF(Tim!EJ51=Sheet6!$C$4,Sheet6!$C$4,IF(Tim!EJ51=Sheet6!$C$5,Sheet6!$C$5,IF(Tim!EJ51=Sheet6!$C$6,Sheet6!$C$6,IF(Tim!EJ51=Sheet6!$C$7,Sheet6!$C$7,IF(Tim!EJ51=Sheet6!$C$8,Sheet6!$C$8,"")))))))</f>
        <v/>
      </c>
      <c r="BG49" s="55" t="str">
        <f>IF(Tim!EK51=Sheet6!$C$2,Sheet6!$C$2,IF(Tim!EK51=Sheet6!$C$3,Sheet6!$C$3,IF(Tim!EK51=Sheet6!$C$4,Sheet6!$C$4,IF(Tim!EK51=Sheet6!$C$5,Sheet6!$C$5,IF(Tim!EK51=Sheet6!$C$6,Sheet6!$C$6,IF(Tim!EK51=Sheet6!$C$7,Sheet6!$C$7,IF(Tim!EK51=Sheet6!$C$8,Sheet6!$C$8,"")))))))</f>
        <v/>
      </c>
      <c r="BH49" s="57" t="str">
        <f>IF(Tim!EL51=Sheet6!$C$2,Sheet6!$C$2,IF(Tim!EL51=Sheet6!$C$3,Sheet6!$C$3,IF(Tim!EL51=Sheet6!$C$4,Sheet6!$C$4,IF(Tim!EL51=Sheet6!$C$5,Sheet6!$C$5,IF(Tim!EL51=Sheet6!$C$6,Sheet6!$C$6,IF(Tim!EL51=Sheet6!$C$7,Sheet6!$C$7,IF(Tim!EL51=Sheet6!$C$8,Sheet6!$C$8,"")))))))</f>
        <v/>
      </c>
      <c r="BI49" s="57" t="str">
        <f>IF(Tim!EM51=Sheet6!$C$2,Sheet6!$C$2,IF(Tim!EM51=Sheet6!$C$3,Sheet6!$C$3,IF(Tim!EM51=Sheet6!$C$4,Sheet6!$C$4,IF(Tim!EM51=Sheet6!$C$5,Sheet6!$C$5,IF(Tim!EM51=Sheet6!$C$6,Sheet6!$C$6,IF(Tim!EM51=Sheet6!$C$7,Sheet6!$C$7,IF(Tim!EM51=Sheet6!$C$8,Sheet6!$C$8,"")))))))</f>
        <v/>
      </c>
      <c r="BJ49" s="57" t="str">
        <f>IF(Tim!EQ51=Sheet6!$C$2,Sheet6!$C$2,IF(Tim!EQ51=Sheet6!$C$3,Sheet6!$C$3,IF(Tim!EQ51=Sheet6!$C$4,Sheet6!$C$4,IF(Tim!EQ51=Sheet6!$C$5,Sheet6!$C$5,IF(Tim!EQ51=Sheet6!$C$6,Sheet6!$C$6,IF(Tim!EQ51=Sheet6!$C$7,Sheet6!$C$7,IF(Tim!EQ51=Sheet6!$C$8,Sheet6!$C$8,"")))))))</f>
        <v/>
      </c>
      <c r="BK49" s="57" t="str">
        <f>IF(Tim!ER51=Sheet6!$C$2,Sheet6!$C$2,IF(Tim!ER51=Sheet6!$C$3,Sheet6!$C$3,IF(Tim!ER51=Sheet6!$C$4,Sheet6!$C$4,IF(Tim!ER51=Sheet6!$C$5,Sheet6!$C$5,IF(Tim!ER51=Sheet6!$C$6,Sheet6!$C$6,IF(Tim!ER51=Sheet6!$C$7,Sheet6!$C$7,IF(Tim!ER51=Sheet6!$C$8,Sheet6!$C$8,"")))))))</f>
        <v/>
      </c>
      <c r="BL49" s="57" t="str">
        <f>IF(Tim!EZ51=Sheet6!$C$2,Sheet6!$C$2,IF(Tim!EZ51=Sheet6!$C$3,Sheet6!$C$3,IF(Tim!EZ51=Sheet6!$C$4,Sheet6!$C$4,IF(Tim!EZ51=Sheet6!$C$5,Sheet6!$C$5,IF(Tim!EZ51=Sheet6!$C$6,Sheet6!$C$6,IF(Tim!EZ51=Sheet6!$C$7,Sheet6!$C$7,IF(Tim!EZ51=Sheet6!$C$8,Sheet6!$C$8,"")))))))</f>
        <v/>
      </c>
      <c r="BM49" s="53" t="str">
        <f>IF(Tim!FG51=Sheet6!$C$2,Sheet6!$C$2,IF(Tim!FG51=Sheet6!$C$3,Sheet6!$C$3,IF(Tim!FG51=Sheet6!$C$4,Sheet6!$C$4,IF(Tim!FG51=Sheet6!$C$5,Sheet6!$C$5,IF(Tim!FG51=Sheet6!$C$6,Sheet6!$C$6,IF(Tim!FG51=Sheet6!$C$7,Sheet6!$C$7,IF(Tim!FG51=Sheet6!$C$8,Sheet6!$C$8,"")))))))</f>
        <v/>
      </c>
      <c r="BN49" s="53" t="str">
        <f>IF(Tim!FH51=Sheet6!$C$2,Sheet6!$C$2,IF(Tim!FH51=Sheet6!$C$3,Sheet6!$C$3,IF(Tim!FH51=Sheet6!$C$4,Sheet6!$C$4,IF(Tim!FH51=Sheet6!$C$5,Sheet6!$C$5,IF(Tim!FH51=Sheet6!$C$6,Sheet6!$C$6,IF(Tim!FH51=Sheet6!$C$7,Sheet6!$C$7,IF(Tim!FH51=Sheet6!$C$8,Sheet6!$C$8,"")))))))</f>
        <v/>
      </c>
      <c r="BO49" s="53" t="str">
        <f>IF(Tim!FP51=Sheet6!$C$2,Sheet6!$C$2,IF(Tim!FP51=Sheet6!$C$3,Sheet6!$C$3,IF(Tim!FP51=Sheet6!$C$4,Sheet6!$C$4,IF(Tim!FP51=Sheet6!$C$5,Sheet6!$C$5,IF(Tim!FP51=Sheet6!$C$6,Sheet6!$C$6,IF(Tim!FP51=Sheet6!$C$7,Sheet6!$C$7,IF(Tim!FP51=Sheet6!$C$8,Sheet6!$C$8,"")))))))</f>
        <v/>
      </c>
      <c r="BP49" s="53" t="str">
        <f>IF(Tim!FQ51=Sheet6!$C$2,Sheet6!$C$2,IF(Tim!FQ51=Sheet6!$C$3,Sheet6!$C$3,IF(Tim!FQ51=Sheet6!$C$4,Sheet6!$C$4,IF(Tim!FQ51=Sheet6!$C$5,Sheet6!$C$5,IF(Tim!FQ51=Sheet6!$C$6,Sheet6!$C$6,IF(Tim!FQ51=Sheet6!$C$7,Sheet6!$C$7,IF(Tim!FQ51=Sheet6!$C$8,Sheet6!$C$8,"")))))))</f>
        <v/>
      </c>
      <c r="BQ49" s="53" t="str">
        <f>IF(Tim!FR51=Sheet6!$C$2,Sheet6!$C$2,IF(Tim!FR51=Sheet6!$C$3,Sheet6!$C$3,IF(Tim!FR51=Sheet6!$C$4,Sheet6!$C$4,IF(Tim!FR51=Sheet6!$C$5,Sheet6!$C$5,IF(Tim!FR51=Sheet6!$C$6,Sheet6!$C$6,IF(Tim!FR51=Sheet6!$C$7,Sheet6!$C$7,IF(Tim!FR51=Sheet6!$C$8,Sheet6!$C$8,"")))))))</f>
        <v/>
      </c>
      <c r="BR49" s="53" t="str">
        <f>IF(Tim!FS51=Sheet6!$C$2,Sheet6!$C$2,IF(Tim!FS51=Sheet6!$C$3,Sheet6!$C$3,IF(Tim!FS51=Sheet6!$C$4,Sheet6!$C$4,IF(Tim!FS51=Sheet6!$C$5,Sheet6!$C$5,IF(Tim!FS51=Sheet6!$C$6,Sheet6!$C$6,IF(Tim!FS51=Sheet6!$C$7,Sheet6!$C$7,IF(Tim!FS51=Sheet6!$C$8,Sheet6!$C$8,"")))))))</f>
        <v/>
      </c>
      <c r="BS49" s="53" t="str">
        <f>IF(Tim!FT51=Sheet6!$C$2,Sheet6!$C$2,IF(Tim!FT51=Sheet6!$C$3,Sheet6!$C$3,IF(Tim!FT51=Sheet6!$C$4,Sheet6!$C$4,IF(Tim!FT51=Sheet6!$C$5,Sheet6!$C$5,IF(Tim!FT51=Sheet6!$C$6,Sheet6!$C$6,IF(Tim!FT51=Sheet6!$C$7,Sheet6!$C$7,IF(Tim!FT51=Sheet6!$C$8,Sheet6!$C$8,"")))))))</f>
        <v/>
      </c>
      <c r="BT49" s="53" t="str">
        <f>IF(Tim!FU51=Sheet6!$C$2,Sheet6!$C$2,IF(Tim!FU51=Sheet6!$C$3,Sheet6!$C$3,IF(Tim!FU51=Sheet6!$C$4,Sheet6!$C$4,IF(Tim!FU51=Sheet6!$C$5,Sheet6!$C$5,IF(Tim!FU51=Sheet6!$C$6,Sheet6!$C$6,IF(Tim!FU51=Sheet6!$C$7,Sheet6!$C$7,IF(Tim!FU51=Sheet6!$C$8,Sheet6!$C$8,"")))))))</f>
        <v/>
      </c>
      <c r="BU49" s="53" t="str">
        <f>IF(Tim!FY51=Sheet6!$C$2,Sheet6!$C$2,IF(Tim!FY51=Sheet6!$C$3,Sheet6!$C$3,IF(Tim!FY51=Sheet6!$C$4,Sheet6!$C$4,IF(Tim!FY51=Sheet6!$C$5,Sheet6!$C$5,IF(Tim!FY51=Sheet6!$C$6,Sheet6!$C$6,IF(Tim!FY51=Sheet6!$C$7,Sheet6!$C$7,IF(Tim!FY51=Sheet6!$C$8,Sheet6!$C$8,"")))))))</f>
        <v/>
      </c>
      <c r="BV49" s="54" t="str">
        <f>IF(Tim!FZ51=Sheet6!$C$2,Sheet6!$C$2,IF(Tim!FZ51=Sheet6!$C$3,Sheet6!$C$3,IF(Tim!FZ51=Sheet6!$C$4,Sheet6!$C$4,IF(Tim!FZ51=Sheet6!$C$5,Sheet6!$C$5,IF(Tim!FZ51=Sheet6!$C$6,Sheet6!$C$6,IF(Tim!FZ51=Sheet6!$C$7,Sheet6!$C$7,IF(Tim!FZ51=Sheet6!$C$8,Sheet6!$C$8,"")))))))</f>
        <v/>
      </c>
      <c r="BW49" s="54" t="str">
        <f>IF(Tim!GA51=Sheet6!$C$2,Sheet6!$C$2,IF(Tim!GA51=Sheet6!$C$3,Sheet6!$C$3,IF(Tim!GA51=Sheet6!$C$4,Sheet6!$C$4,IF(Tim!GA51=Sheet6!$C$5,Sheet6!$C$5,IF(Tim!GA51=Sheet6!$C$6,Sheet6!$C$6,IF(Tim!GA51=Sheet6!$C$7,Sheet6!$C$7,IF(Tim!GA51=Sheet6!$C$8,Sheet6!$C$8,"")))))))</f>
        <v/>
      </c>
      <c r="BX49" s="54" t="str">
        <f>IF(Tim!GB51=Sheet6!$C$2,Sheet6!$C$2,IF(Tim!GB51=Sheet6!$C$3,Sheet6!$C$3,IF(Tim!GB51=Sheet6!$C$4,Sheet6!$C$4,IF(Tim!GB51=Sheet6!$C$5,Sheet6!$C$5,IF(Tim!GB51=Sheet6!$C$6,Sheet6!$C$6,IF(Tim!GB51=Sheet6!$C$7,Sheet6!$C$7,IF(Tim!GB51=Sheet6!$C$8,Sheet6!$C$8,"")))))))</f>
        <v/>
      </c>
      <c r="BY49" s="55" t="str">
        <f>IF(Tim!GC51=Sheet6!$C$2,Sheet6!$C$2,IF(Tim!GC51=Sheet6!$C$3,Sheet6!$C$3,IF(Tim!GC51=Sheet6!$C$4,Sheet6!$C$4,IF(Tim!GC51=Sheet6!$C$5,Sheet6!$C$5,IF(Tim!GC51=Sheet6!$C$6,Sheet6!$C$6,IF(Tim!GC51=Sheet6!$C$7,Sheet6!$C$7,IF(Tim!GC51=Sheet6!$C$8,Sheet6!$C$8,"")))))))</f>
        <v/>
      </c>
      <c r="BZ49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CA49" s="57" t="str">
        <f>IF(Tim!GD51=Sheet6!$C$2,Sheet6!$C$2,IF(Tim!GD51=Sheet6!$C$3,Sheet6!$C$3,IF(Tim!GD51=Sheet6!$C$4,Sheet6!$C$4,IF(Tim!GD51=Sheet6!$C$5,Sheet6!$C$5,IF(Tim!GD51=Sheet6!$C$6,Sheet6!$C$6,IF(Tim!GD51=Sheet6!$C$7,Sheet6!$C$7,IF(Tim!GD51=Sheet6!$C$8,Sheet6!$C$8,"")))))))</f>
        <v/>
      </c>
      <c r="CB49" s="57" t="str">
        <f>IF(Tim!GI51=Sheet6!$C$2,Sheet6!$C$2,IF(Tim!GI51=Sheet6!$C$3,Sheet6!$C$3,IF(Tim!GI51=Sheet6!$C$4,Sheet6!$C$4,IF(Tim!GI51=Sheet6!$C$5,Sheet6!$C$5,IF(Tim!GI51=Sheet6!$C$6,Sheet6!$C$6,IF(Tim!GI51=Sheet6!$C$7,Sheet6!$C$7,IF(Tim!GI51=Sheet6!$C$8,Sheet6!$C$8,"")))))))</f>
        <v/>
      </c>
      <c r="CC49" s="57" t="str">
        <f>IF(Tim!GJ51=Sheet6!$C$2,Sheet6!$C$2,IF(Tim!GJ51=Sheet6!$C$3,Sheet6!$C$3,IF(Tim!GJ51=Sheet6!$C$4,Sheet6!$C$4,IF(Tim!GJ51=Sheet6!$C$5,Sheet6!$C$5,IF(Tim!GJ51=Sheet6!$C$6,Sheet6!$C$6,IF(Tim!GJ51=Sheet6!$C$7,Sheet6!$C$7,IF(Tim!GJ51=Sheet6!$C$8,Sheet6!$C$8,"")))))))</f>
        <v/>
      </c>
      <c r="CD49" s="57" t="str">
        <f>IF(Tim!GN51=Sheet6!$C$2,Sheet6!$C$2,IF(Tim!GN51=Sheet6!$C$3,Sheet6!$C$3,IF(Tim!GN51=Sheet6!$C$4,Sheet6!$C$4,IF(Tim!GN51=Sheet6!$C$5,Sheet6!$C$5,IF(Tim!GN51=Sheet6!$C$6,Sheet6!$C$6,IF(Tim!GN51=Sheet6!$C$7,Sheet6!$C$7,IF(Tim!GN51=Sheet6!$C$8,Sheet6!$C$8,"")))))))</f>
        <v/>
      </c>
      <c r="CE49" s="53" t="str">
        <f>IF(Tim!GY51=Sheet6!$C$2,Sheet6!$C$2,IF(Tim!GY51=Sheet6!$C$3,Sheet6!$C$3,IF(Tim!GY51=Sheet6!$C$4,Sheet6!$C$4,IF(Tim!GY51=Sheet6!$C$5,Sheet6!$C$5,IF(Tim!GY51=Sheet6!$C$6,Sheet6!$C$6,IF(Tim!GY51=Sheet6!$C$7,Sheet6!$C$7,IF(Tim!GY51=Sheet6!$C$8,Sheet6!$C$8,"")))))))</f>
        <v/>
      </c>
      <c r="CF49" s="53" t="str">
        <f>IF(Tim!GZ51=Sheet6!$C$2,Sheet6!$C$2,IF(Tim!GZ51=Sheet6!$C$3,Sheet6!$C$3,IF(Tim!GZ51=Sheet6!$C$4,Sheet6!$C$4,IF(Tim!GZ51=Sheet6!$C$5,Sheet6!$C$5,IF(Tim!GZ51=Sheet6!$C$6,Sheet6!$C$6,IF(Tim!GZ51=Sheet6!$C$7,Sheet6!$C$7,IF(Tim!GZ51=Sheet6!$C$8,Sheet6!$C$8,"")))))))</f>
        <v/>
      </c>
      <c r="CG49" s="53" t="str">
        <f>IF(Tim!HH51=Sheet6!$C$2,Sheet6!$C$2,IF(Tim!HH51=Sheet6!$C$3,Sheet6!$C$3,IF(Tim!HH51=Sheet6!$C$4,Sheet6!$C$4,IF(Tim!HH51=Sheet6!$C$5,Sheet6!$C$5,IF(Tim!HH51=Sheet6!$C$6,Sheet6!$C$6,IF(Tim!HH51=Sheet6!$C$7,Sheet6!$C$7,IF(Tim!HH51=Sheet6!$C$8,Sheet6!$C$8,"")))))))</f>
        <v/>
      </c>
      <c r="CH49" s="53" t="str">
        <f>IF(Tim!HI51=Sheet6!$C$2,Sheet6!$C$2,IF(Tim!HI51=Sheet6!$C$3,Sheet6!$C$3,IF(Tim!HI51=Sheet6!$C$4,Sheet6!$C$4,IF(Tim!HI51=Sheet6!$C$5,Sheet6!$C$5,IF(Tim!HI51=Sheet6!$C$6,Sheet6!$C$6,IF(Tim!HI51=Sheet6!$C$7,Sheet6!$C$7,IF(Tim!HI51=Sheet6!$C$8,Sheet6!$C$8,"")))))))</f>
        <v/>
      </c>
      <c r="CI49" s="53" t="str">
        <f>IF(Tim!HJ51=Sheet6!$C$2,Sheet6!$C$2,IF(Tim!HJ51=Sheet6!$C$3,Sheet6!$C$3,IF(Tim!HJ51=Sheet6!$C$4,Sheet6!$C$4,IF(Tim!HJ51=Sheet6!$C$5,Sheet6!$C$5,IF(Tim!HJ51=Sheet6!$C$6,Sheet6!$C$6,IF(Tim!HJ51=Sheet6!$C$7,Sheet6!$C$7,IF(Tim!HJ51=Sheet6!$C$8,Sheet6!$C$8,"")))))))</f>
        <v/>
      </c>
      <c r="CJ49" s="53" t="str">
        <f>IF(Tim!HK51=Sheet6!$C$2,Sheet6!$C$2,IF(Tim!HK51=Sheet6!$C$3,Sheet6!$C$3,IF(Tim!HK51=Sheet6!$C$4,Sheet6!$C$4,IF(Tim!HK51=Sheet6!$C$5,Sheet6!$C$5,IF(Tim!HK51=Sheet6!$C$6,Sheet6!$C$6,IF(Tim!HK51=Sheet6!$C$7,Sheet6!$C$7,IF(Tim!HK51=Sheet6!$C$8,Sheet6!$C$8,"")))))))</f>
        <v/>
      </c>
      <c r="CK49" s="53" t="str">
        <f>IF(Tim!HL51=Sheet6!$C$2,Sheet6!$C$2,IF(Tim!HL51=Sheet6!$C$3,Sheet6!$C$3,IF(Tim!HL51=Sheet6!$C$4,Sheet6!$C$4,IF(Tim!HL51=Sheet6!$C$5,Sheet6!$C$5,IF(Tim!HL51=Sheet6!$C$6,Sheet6!$C$6,IF(Tim!HL51=Sheet6!$C$7,Sheet6!$C$7,IF(Tim!HL51=Sheet6!$C$8,Sheet6!$C$8,"")))))))</f>
        <v/>
      </c>
      <c r="CL49" s="53" t="str">
        <f>IF(Tim!HM51=Sheet6!$C$2,Sheet6!$C$2,IF(Tim!HM51=Sheet6!$C$3,Sheet6!$C$3,IF(Tim!HM51=Sheet6!$C$4,Sheet6!$C$4,IF(Tim!HM51=Sheet6!$C$5,Sheet6!$C$5,IF(Tim!HM51=Sheet6!$C$6,Sheet6!$C$6,IF(Tim!HM51=Sheet6!$C$7,Sheet6!$C$7,IF(Tim!HM51=Sheet6!$C$8,Sheet6!$C$8,"")))))))</f>
        <v/>
      </c>
      <c r="CM49" s="53" t="str">
        <f>IF(Tim!HQ51=Sheet6!$C$2,Sheet6!$C$2,IF(Tim!HQ51=Sheet6!$C$3,Sheet6!$C$3,IF(Tim!HQ51=Sheet6!$C$4,Sheet6!$C$4,IF(Tim!HQ51=Sheet6!$C$5,Sheet6!$C$5,IF(Tim!HQ51=Sheet6!$C$6,Sheet6!$C$6,IF(Tim!HQ51=Sheet6!$C$7,Sheet6!$C$7,IF(Tim!HQ51=Sheet6!$C$8,Sheet6!$C$8,"")))))))</f>
        <v/>
      </c>
      <c r="CN49" s="54" t="str">
        <f>IF(Tim!HR51=Sheet6!$C$2,Sheet6!$C$2,IF(Tim!HR51=Sheet6!$C$3,Sheet6!$C$3,IF(Tim!HR51=Sheet6!$C$4,Sheet6!$C$4,IF(Tim!HR51=Sheet6!$C$5,Sheet6!$C$5,IF(Tim!HR51=Sheet6!$C$6,Sheet6!$C$6,IF(Tim!HR51=Sheet6!$C$7,Sheet6!$C$7,IF(Tim!HR51=Sheet6!$C$8,Sheet6!$C$8,"")))))))</f>
        <v/>
      </c>
      <c r="CO49" s="54" t="str">
        <f>IF(Tim!HS51=Sheet6!$C$2,Sheet6!$C$2,IF(Tim!HS51=Sheet6!$C$3,Sheet6!$C$3,IF(Tim!HS51=Sheet6!$C$4,Sheet6!$C$4,IF(Tim!HS51=Sheet6!$C$5,Sheet6!$C$5,IF(Tim!HS51=Sheet6!$C$6,Sheet6!$C$6,IF(Tim!HS51=Sheet6!$C$7,Sheet6!$C$7,IF(Tim!HS51=Sheet6!$C$8,Sheet6!$C$8,"")))))))</f>
        <v/>
      </c>
      <c r="CP49" s="54" t="str">
        <f>IF(Tim!HT51=Sheet6!$C$2,Sheet6!$C$2,IF(Tim!HT51=Sheet6!$C$3,Sheet6!$C$3,IF(Tim!HT51=Sheet6!$C$4,Sheet6!$C$4,IF(Tim!HT51=Sheet6!$C$5,Sheet6!$C$5,IF(Tim!HT51=Sheet6!$C$6,Sheet6!$C$6,IF(Tim!HT51=Sheet6!$C$7,Sheet6!$C$7,IF(Tim!HT51=Sheet6!$C$8,Sheet6!$C$8,"")))))))</f>
        <v/>
      </c>
      <c r="CQ49" s="55" t="str">
        <f>IF(Tim!HU51=Sheet6!$C$2,Sheet6!$C$2,IF(Tim!HU51=Sheet6!$C$3,Sheet6!$C$3,IF(Tim!HU51=Sheet6!$C$4,Sheet6!$C$4,IF(Tim!HU51=Sheet6!$C$5,Sheet6!$C$5,IF(Tim!HU51=Sheet6!$C$6,Sheet6!$C$6,IF(Tim!HU51=Sheet6!$C$7,Sheet6!$C$7,IF(Tim!HU51=Sheet6!$C$8,Sheet6!$C$8,"")))))))</f>
        <v/>
      </c>
      <c r="CR49" s="56" t="str">
        <f>IF(Tim!HV51=Sheet6!$C$2,Sheet6!$C$2,IF(Tim!HV51=Sheet6!$C$3,Sheet6!$C$3,IF(Tim!HV51=Sheet6!$C$4,Sheet6!$C$4,IF(Tim!HV51=Sheet6!$C$5,Sheet6!$C$5,IF(Tim!HV51=Sheet6!$C$6,Sheet6!$C$6,IF(Tim!HV51=Sheet6!$C$7,Sheet6!$C$7,IF(Tim!HV51=Sheet6!$C$8,Sheet6!$C$8,"")))))))</f>
        <v/>
      </c>
      <c r="CS49" s="57" t="str">
        <f>IF(Tim!IB51=Sheet6!$C$2,Sheet6!$C$2,IF(Tim!IB51=Sheet6!$C$3,Sheet6!$C$3,IF(Tim!IB51=Sheet6!$C$4,Sheet6!$C$4,IF(Tim!IB51=Sheet6!$C$5,Sheet6!$C$5,IF(Tim!IB51=Sheet6!$C$6,Sheet6!$C$6,IF(Tim!IB51=Sheet6!$C$7,Sheet6!$C$7,IF(Tim!IB51=Sheet6!$C$8,Sheet6!$C$8,"")))))))</f>
        <v/>
      </c>
      <c r="CT49" s="65" t="str">
        <f>IF(Tim!IJ51=Sheet6!$C$2,Sheet6!$C$2,IF(Tim!IJ51=Sheet6!$C$3,Sheet6!$C$3,IF(Tim!IJ51=Sheet6!$C$4,Sheet6!$C$4,IF(Tim!IJ51=Sheet6!$C$5,Sheet6!$C$5,IF(Tim!IJ51=Sheet6!$C$6,Sheet6!$C$6,IF(Tim!IJ51=Sheet6!$C$7,Sheet6!$C$7,IF(Tim!IJ51=Sheet6!$C$8,Sheet6!$C$8,"")))))))</f>
        <v/>
      </c>
      <c r="CU49" s="65" t="str">
        <f>IF(Tim!IQ51=Sheet6!$C$2,Sheet6!$C$2,IF(Tim!IQ51=Sheet6!$C$3,Sheet6!$C$3,IF(Tim!IQ51=Sheet6!$C$4,Sheet6!$C$4,IF(Tim!IQ51=Sheet6!$C$5,Sheet6!$C$5,IF(Tim!IQ51=Sheet6!$C$6,Sheet6!$C$6,IF(Tim!IQ51=Sheet6!$C$7,Sheet6!$C$7,IF(Tim!IQ51=Sheet6!$C$8,Sheet6!$C$8,"")))))))</f>
        <v/>
      </c>
      <c r="CV49" s="53" t="str">
        <f>IF(Tim!IR51=Sheet6!$C$2,Sheet6!$C$2,IF(Tim!IR51=Sheet6!$C$3,Sheet6!$C$3,IF(Tim!IR51=Sheet6!$C$4,Sheet6!$C$4,IF(Tim!IR51=Sheet6!$C$5,Sheet6!$C$5,IF(Tim!IR51=Sheet6!$C$6,Sheet6!$C$6,IF(Tim!IR51=Sheet6!$C$7,Sheet6!$C$7,IF(Tim!IR51=Sheet6!$C$8,Sheet6!$C$8,"")))))))</f>
        <v/>
      </c>
      <c r="CW49" s="53" t="str">
        <f>IF(Tim!IZ51=Sheet6!$C$2,Sheet6!$C$2,IF(Tim!IZ51=Sheet6!$C$3,Sheet6!$C$3,IF(Tim!IZ51=Sheet6!$C$4,Sheet6!$C$4,IF(Tim!IZ51=Sheet6!$C$5,Sheet6!$C$5,IF(Tim!IZ51=Sheet6!$C$6,Sheet6!$C$6,IF(Tim!IZ51=Sheet6!$C$7,Sheet6!$C$7,IF(Tim!IZ51=Sheet6!$C$8,Sheet6!$C$8,"")))))))</f>
        <v/>
      </c>
      <c r="CX49" s="53" t="str">
        <f>IF(Tim!JA51=Sheet6!$C$2,Sheet6!$C$2,IF(Tim!JA51=Sheet6!$C$3,Sheet6!$C$3,IF(Tim!JA51=Sheet6!$C$4,Sheet6!$C$4,IF(Tim!JA51=Sheet6!$C$5,Sheet6!$C$5,IF(Tim!JA51=Sheet6!$C$6,Sheet6!$C$6,IF(Tim!JA51=Sheet6!$C$7,Sheet6!$C$7,IF(Tim!JA51=Sheet6!$C$8,Sheet6!$C$8,"")))))))</f>
        <v/>
      </c>
      <c r="CY49" s="53" t="str">
        <f>IF(Tim!JB51=Sheet6!$C$2,Sheet6!$C$2,IF(Tim!JB51=Sheet6!$C$3,Sheet6!$C$3,IF(Tim!JB51=Sheet6!$C$4,Sheet6!$C$4,IF(Tim!JB51=Sheet6!$C$5,Sheet6!$C$5,IF(Tim!JB51=Sheet6!$C$6,Sheet6!$C$6,IF(Tim!JB51=Sheet6!$C$7,Sheet6!$C$7,IF(Tim!JB51=Sheet6!$C$8,Sheet6!$C$8,"")))))))</f>
        <v/>
      </c>
      <c r="CZ49" s="53" t="str">
        <f>IF(Tim!JC51=Sheet6!$C$2,Sheet6!$C$2,IF(Tim!JC51=Sheet6!$C$3,Sheet6!$C$3,IF(Tim!JC51=Sheet6!$C$4,Sheet6!$C$4,IF(Tim!JC51=Sheet6!$C$5,Sheet6!$C$5,IF(Tim!JC51=Sheet6!$C$6,Sheet6!$C$6,IF(Tim!JC51=Sheet6!$C$7,Sheet6!$C$7,IF(Tim!JC51=Sheet6!$C$8,Sheet6!$C$8,"")))))))</f>
        <v/>
      </c>
      <c r="DA49" s="53" t="str">
        <f>IF(Tim!JD51=Sheet6!$C$2,Sheet6!$C$2,IF(Tim!JD51=Sheet6!$C$3,Sheet6!$C$3,IF(Tim!JD51=Sheet6!$C$4,Sheet6!$C$4,IF(Tim!JD51=Sheet6!$C$5,Sheet6!$C$5,IF(Tim!JD51=Sheet6!$C$6,Sheet6!$C$6,IF(Tim!JD51=Sheet6!$C$7,Sheet6!$C$7,IF(Tim!JD51=Sheet6!$C$8,Sheet6!$C$8,"")))))))</f>
        <v/>
      </c>
      <c r="DB49" s="53" t="str">
        <f>IF(Tim!JE51=Sheet6!$C$2,Sheet6!$C$2,IF(Tim!JE51=Sheet6!$C$3,Sheet6!$C$3,IF(Tim!JE51=Sheet6!$C$4,Sheet6!$C$4,IF(Tim!JE51=Sheet6!$C$5,Sheet6!$C$5,IF(Tim!JE51=Sheet6!$C$6,Sheet6!$C$6,IF(Tim!JE51=Sheet6!$C$7,Sheet6!$C$7,IF(Tim!JE51=Sheet6!$C$8,Sheet6!$C$8,"")))))))</f>
        <v/>
      </c>
      <c r="DC49" s="53" t="str">
        <f>IF(Tim!JI51=Sheet6!$C$2,Sheet6!$C$2,IF(Tim!JI51=Sheet6!$C$3,Sheet6!$C$3,IF(Tim!JI51=Sheet6!$C$4,Sheet6!$C$4,IF(Tim!JI51=Sheet6!$C$5,Sheet6!$C$5,IF(Tim!JI51=Sheet6!$C$6,Sheet6!$C$6,IF(Tim!JI51=Sheet6!$C$7,Sheet6!$C$7,IF(Tim!JI51=Sheet6!$C$8,Sheet6!$C$8,"")))))))</f>
        <v/>
      </c>
      <c r="DD49" s="54" t="str">
        <f>IF(Tim!JJ51=Sheet6!$C$2,Sheet6!$C$2,IF(Tim!JJ51=Sheet6!$C$3,Sheet6!$C$3,IF(Tim!JJ51=Sheet6!$C$4,Sheet6!$C$4,IF(Tim!JJ51=Sheet6!$C$5,Sheet6!$C$5,IF(Tim!JJ51=Sheet6!$C$6,Sheet6!$C$6,IF(Tim!JJ51=Sheet6!$C$7,Sheet6!$C$7,IF(Tim!JJ51=Sheet6!$C$8,Sheet6!$C$8,"")))))))</f>
        <v/>
      </c>
      <c r="DE49" s="54" t="str">
        <f>IF(Tim!JK51=Sheet6!$C$2,Sheet6!$C$2,IF(Tim!JK51=Sheet6!$C$3,Sheet6!$C$3,IF(Tim!JK51=Sheet6!$C$4,Sheet6!$C$4,IF(Tim!JK51=Sheet6!$C$5,Sheet6!$C$5,IF(Tim!JK51=Sheet6!$C$6,Sheet6!$C$6,IF(Tim!JK51=Sheet6!$C$7,Sheet6!$C$7,IF(Tim!JK51=Sheet6!$C$8,Sheet6!$C$8,"")))))))</f>
        <v/>
      </c>
      <c r="DF49" s="54" t="str">
        <f>IF(Tim!JL51=Sheet6!$C$2,Sheet6!$C$2,IF(Tim!JL51=Sheet6!$C$3,Sheet6!$C$3,IF(Tim!JL51=Sheet6!$C$4,Sheet6!$C$4,IF(Tim!JL51=Sheet6!$C$5,Sheet6!$C$5,IF(Tim!JL51=Sheet6!$C$6,Sheet6!$C$6,IF(Tim!JL51=Sheet6!$C$7,Sheet6!$C$7,IF(Tim!JL51=Sheet6!$C$8,Sheet6!$C$8,"")))))))</f>
        <v/>
      </c>
      <c r="DG49" s="55" t="str">
        <f>IF(Tim!JM51=Sheet6!$C$2,Sheet6!$C$2,IF(Tim!JM51=Sheet6!$C$3,Sheet6!$C$3,IF(Tim!JM51=Sheet6!$C$4,Sheet6!$C$4,IF(Tim!JM51=Sheet6!$C$5,Sheet6!$C$5,IF(Tim!JM51=Sheet6!$C$6,Sheet6!$C$6,IF(Tim!JM51=Sheet6!$C$7,Sheet6!$C$7,IF(Tim!JM51=Sheet6!$C$8,Sheet6!$C$8,"")))))))</f>
        <v/>
      </c>
      <c r="DH49" s="471"/>
      <c r="DI49" s="472"/>
      <c r="DJ49" s="472"/>
      <c r="DK49" s="472"/>
      <c r="DL49" s="472"/>
      <c r="DM49" s="472"/>
      <c r="DN49" s="472"/>
      <c r="DO49" s="472"/>
      <c r="DP49" s="472"/>
      <c r="DQ49" s="472"/>
      <c r="DR49" s="472"/>
      <c r="DS49" s="472"/>
      <c r="DT49" s="472"/>
      <c r="DU49" s="472"/>
      <c r="DV49" s="472"/>
      <c r="DW49" s="473"/>
      <c r="DX49" s="52">
        <v>0.749999999999999</v>
      </c>
    </row>
    <row r="50" spans="2:128" ht="10.5" customHeight="1">
      <c r="B50" s="51">
        <v>0.25</v>
      </c>
      <c r="C50" s="51">
        <v>0.25</v>
      </c>
      <c r="D50" s="51">
        <v>0.25</v>
      </c>
      <c r="E50" s="52">
        <v>0.76041666666666496</v>
      </c>
      <c r="F50" s="53" t="str">
        <f>IF(Tim!F52=Sheet6!$C$2,Sheet6!$C$2,IF(Tim!F52=Sheet6!$C$3,Sheet6!$C$3,IF(Tim!F52=Sheet6!$C$4,Sheet6!$C$4,IF(Tim!F52=Sheet6!$C$5,Sheet6!$C$5,IF(Tim!F52=Sheet6!$C$6,Sheet6!$C$6,IF(Tim!F52=Sheet6!$C$7,Sheet6!$C$7,IF(Tim!F52=Sheet6!$C$8,Sheet6!$C$8,"")))))))</f>
        <v/>
      </c>
      <c r="G50" s="53" t="str">
        <f>IF(Tim!G52=Sheet6!$C$2,Sheet6!$C$2,IF(Tim!G52=Sheet6!$C$3,Sheet6!$C$3,IF(Tim!G52=Sheet6!$C$4,Sheet6!$C$4,IF(Tim!G52=Sheet6!$C$5,Sheet6!$C$5,IF(Tim!G52=Sheet6!$C$6,Sheet6!$C$6,IF(Tim!G52=Sheet6!$C$7,Sheet6!$C$7,IF(Tim!G52=Sheet6!$C$8,Sheet6!$C$8,"")))))))</f>
        <v/>
      </c>
      <c r="H50" s="53" t="str">
        <f>IF(Tim!H52=Sheet6!$C$2,Sheet6!$C$2,IF(Tim!H52=Sheet6!$C$3,Sheet6!$C$3,IF(Tim!H52=Sheet6!$C$4,Sheet6!$C$4,IF(Tim!H52=Sheet6!$C$5,Sheet6!$C$5,IF(Tim!H52=Sheet6!$C$6,Sheet6!$C$6,IF(Tim!H52=Sheet6!$C$7,Sheet6!$C$7,IF(Tim!H52=Sheet6!$C$8,Sheet6!$C$8,"")))))))</f>
        <v/>
      </c>
      <c r="I50" s="53" t="str">
        <f>IF(Tim!L52=Sheet6!$C$2,Sheet6!$C$2,IF(Tim!L52=Sheet6!$C$3,Sheet6!$C$3,IF(Tim!L52=Sheet6!$C$4,Sheet6!$C$4,IF(Tim!L52=Sheet6!$C$5,Sheet6!$C$5,IF(Tim!L52=Sheet6!$C$6,Sheet6!$C$6,IF(Tim!L52=Sheet6!$C$7,Sheet6!$C$7,IF(Tim!L52=Sheet6!$C$8,Sheet6!$C$8,"")))))))</f>
        <v/>
      </c>
      <c r="J50" s="53" t="str">
        <f>IF(Tim!T52=Sheet6!$C$2,Sheet6!$C$2,IF(Tim!T52=Sheet6!$C$3,Sheet6!$C$3,IF(Tim!T52=Sheet6!$C$4,Sheet6!$C$4,IF(Tim!T52=Sheet6!$C$5,Sheet6!$C$5,IF(Tim!T52=Sheet6!$C$6,Sheet6!$C$6,IF(Tim!T52=Sheet6!$C$7,Sheet6!$C$7,IF(Tim!T52=Sheet6!$C$8,Sheet6!$C$8,"")))))))</f>
        <v/>
      </c>
      <c r="K50" s="53" t="str">
        <f>IF(Tim!AB52=Sheet6!$C$2,Sheet6!$C$2,IF(Tim!AB52=Sheet6!$C$3,Sheet6!$C$3,IF(Tim!AB52=Sheet6!$C$4,Sheet6!$C$4,IF(Tim!AB52=Sheet6!$C$5,Sheet6!$C$5,IF(Tim!AB52=Sheet6!$C$6,Sheet6!$C$6,IF(Tim!AB52=Sheet6!$C$7,Sheet6!$C$7,IF(Tim!AB52=Sheet6!$C$8,Sheet6!$C$8,"")))))))</f>
        <v/>
      </c>
      <c r="L50" s="53" t="str">
        <f>IF(Tim!AC52=Sheet6!$C$2,Sheet6!$C$2,IF(Tim!AC52=Sheet6!$C$3,Sheet6!$C$3,IF(Tim!AC52=Sheet6!$C$4,Sheet6!$C$4,IF(Tim!AC52=Sheet6!$C$5,Sheet6!$C$5,IF(Tim!AC52=Sheet6!$C$6,Sheet6!$C$6,IF(Tim!AC52=Sheet6!$C$7,Sheet6!$C$7,IF(Tim!AC52=Sheet6!$C$8,Sheet6!$C$8,"")))))))</f>
        <v/>
      </c>
      <c r="M50" s="53" t="str">
        <f>IF(Tim!AJ52=Sheet6!$C$2,Sheet6!$C$2,IF(Tim!AJ52=Sheet6!$C$3,Sheet6!$C$3,IF(Tim!AJ52=Sheet6!$C$4,Sheet6!$C$4,IF(Tim!AJ52=Sheet6!$C$5,Sheet6!$C$5,IF(Tim!AJ52=Sheet6!$C$6,Sheet6!$C$6,IF(Tim!AJ52=Sheet6!$C$7,Sheet6!$C$7,IF(Tim!AJ52=Sheet6!$C$8,Sheet6!$C$8,"")))))))</f>
        <v/>
      </c>
      <c r="N50" s="53" t="str">
        <f>IF(Tim!AK52=Sheet6!$C$2,Sheet6!$C$2,IF(Tim!AK52=Sheet6!$C$3,Sheet6!$C$3,IF(Tim!AK52=Sheet6!$C$4,Sheet6!$C$4,IF(Tim!AK52=Sheet6!$C$5,Sheet6!$C$5,IF(Tim!AK52=Sheet6!$C$6,Sheet6!$C$6,IF(Tim!AK52=Sheet6!$C$7,Sheet6!$C$7,IF(Tim!AK52=Sheet6!$C$8,Sheet6!$C$8,"")))))))</f>
        <v/>
      </c>
      <c r="O50" s="53" t="str">
        <f>IF(Tim!AL52=Sheet6!$C$2,Sheet6!$C$2,IF(Tim!AL52=Sheet6!$C$3,Sheet6!$C$3,IF(Tim!AL52=Sheet6!$C$4,Sheet6!$C$4,IF(Tim!AL52=Sheet6!$C$5,Sheet6!$C$5,IF(Tim!AL52=Sheet6!$C$6,Sheet6!$C$6,IF(Tim!AL52=Sheet6!$C$7,Sheet6!$C$7,IF(Tim!AL52=Sheet6!$C$8,Sheet6!$C$8,"")))))))</f>
        <v/>
      </c>
      <c r="P50" s="53" t="str">
        <f>IF(Tim!AN52=Sheet6!$C$2,Sheet6!$C$2,IF(Tim!AN52=Sheet6!$C$3,Sheet6!$C$3,IF(Tim!AN52=Sheet6!$C$4,Sheet6!$C$4,IF(Tim!AN52=Sheet6!$C$5,Sheet6!$C$5,IF(Tim!AN52=Sheet6!$C$6,Sheet6!$C$6,IF(Tim!AN52=Sheet6!$C$7,Sheet6!$C$7,IF(Tim!AN52=Sheet6!$C$8,Sheet6!$C$8,"")))))))</f>
        <v/>
      </c>
      <c r="Q50" s="176" t="str">
        <f>IF(Tim!AO52=Sheet6!$C$2,Sheet6!$C$2,IF(Tim!AO52=Sheet6!$C$3,Sheet6!$C$3,IF(Tim!AO52=Sheet6!$C$4,Sheet6!$C$4,IF(Tim!AO52=Sheet6!$C$5,Sheet6!$C$5,IF(Tim!AO52=Sheet6!$C$6,Sheet6!$C$6,IF(Tim!AO52=Sheet6!$C$7,Sheet6!$C$7,IF(Tim!AO52=Sheet6!$C$8,Sheet6!$C$8,"")))))))</f>
        <v/>
      </c>
      <c r="R50" s="53" t="str">
        <f>IF(Tim!AP52=Sheet6!$C$2,Sheet6!$C$2,IF(Tim!AP52=Sheet6!$C$3,Sheet6!$C$3,IF(Tim!AP52=Sheet6!$C$4,Sheet6!$C$4,IF(Tim!AP52=Sheet6!$C$5,Sheet6!$C$5,IF(Tim!AP52=Sheet6!$C$6,Sheet6!$C$6,IF(Tim!AP52=Sheet6!$C$7,Sheet6!$C$7,IF(Tim!AP52=Sheet6!$C$8,Sheet6!$C$8,"")))))))</f>
        <v/>
      </c>
      <c r="S50" s="53" t="str">
        <f>IF(Tim!AT52=Sheet6!$C$2,Sheet6!$C$2,IF(Tim!AT52=Sheet6!$C$3,Sheet6!$C$3,IF(Tim!AT52=Sheet6!$C$4,Sheet6!$C$4,IF(Tim!AT52=Sheet6!$C$5,Sheet6!$C$5,IF(Tim!AT52=Sheet6!$C$6,Sheet6!$C$6,IF(Tim!AT52=Sheet6!$C$7,Sheet6!$C$7,IF(Tim!AT52=Sheet6!$C$8,Sheet6!$C$8,"")))))))</f>
        <v/>
      </c>
      <c r="T50" s="54" t="str">
        <f>IF(Tim!AU52=Sheet6!$C$2,Sheet6!$C$2,IF(Tim!AU52=Sheet6!$C$3,Sheet6!$C$3,IF(Tim!AU52=Sheet6!$C$4,Sheet6!$C$4,IF(Tim!AU52=Sheet6!$C$5,Sheet6!$C$5,IF(Tim!AU52=Sheet6!$C$6,Sheet6!$C$6,IF(Tim!AU52=Sheet6!$C$7,Sheet6!$C$7,IF(Tim!AU52=Sheet6!$C$8,Sheet6!$C$8,"")))))))</f>
        <v/>
      </c>
      <c r="U50" s="54" t="str">
        <f>IF(Tim!AV52=Sheet6!$C$2,Sheet6!$C$2,IF(Tim!AV52=Sheet6!$C$3,Sheet6!$C$3,IF(Tim!AV52=Sheet6!$C$4,Sheet6!$C$4,IF(Tim!AV52=Sheet6!$C$5,Sheet6!$C$5,IF(Tim!AV52=Sheet6!$C$6,Sheet6!$C$6,IF(Tim!AV52=Sheet6!$C$7,Sheet6!$C$7,IF(Tim!AV52=Sheet6!$C$8,Sheet6!$C$8,"")))))))</f>
        <v/>
      </c>
      <c r="V50" s="54" t="str">
        <f>IF(Tim!AW52=Sheet6!$C$2,Sheet6!$C$2,IF(Tim!AW52=Sheet6!$C$3,Sheet6!$C$3,IF(Tim!AW52=Sheet6!$C$4,Sheet6!$C$4,IF(Tim!AW52=Sheet6!$C$5,Sheet6!$C$5,IF(Tim!AW52=Sheet6!$C$6,Sheet6!$C$6,IF(Tim!AW52=Sheet6!$C$7,Sheet6!$C$7,IF(Tim!AW52=Sheet6!$C$8,Sheet6!$C$8,"")))))))</f>
        <v/>
      </c>
      <c r="W50" s="55" t="str">
        <f>IF(Tim!AX52=Sheet6!$C$2,Sheet6!$C$2,IF(Tim!AX52=Sheet6!$C$3,Sheet6!$C$3,IF(Tim!AX52=Sheet6!$C$4,Sheet6!$C$4,IF(Tim!AX52=Sheet6!$C$5,Sheet6!$C$5,IF(Tim!AX52=Sheet6!$C$6,Sheet6!$C$6,IF(Tim!AX52=Sheet6!$C$7,Sheet6!$C$7,IF(Tim!AX52=Sheet6!$C$8,Sheet6!$C$8,"")))))))</f>
        <v/>
      </c>
      <c r="X50" s="53" t="str">
        <f>IF(Tim!AY52=Sheet6!$C$2,Sheet6!$C$2,IF(Tim!AY52=Sheet6!$C$3,Sheet6!$C$3,IF(Tim!AY52=Sheet6!$C$4,Sheet6!$C$4,IF(Tim!AY52=Sheet6!$C$5,Sheet6!$C$5,IF(Tim!AY52=Sheet6!$C$6,Sheet6!$C$6,IF(Tim!AY52=Sheet6!$C$7,Sheet6!$C$7,IF(Tim!AY52=Sheet6!$C$8,Sheet6!$C$8,"")))))))</f>
        <v/>
      </c>
      <c r="Y50" s="57" t="str">
        <f>IF(Tim!AZ52=Sheet6!$C$2,Sheet6!$C$2,IF(Tim!AZ52=Sheet6!$C$3,Sheet6!$C$3,IF(Tim!AZ52=Sheet6!$C$4,Sheet6!$C$4,IF(Tim!AZ52=Sheet6!$C$5,Sheet6!$C$5,IF(Tim!AZ52=Sheet6!$C$6,Sheet6!$C$6,IF(Tim!AZ52=Sheet6!$C$7,Sheet6!$C$7,IF(Tim!AZ52=Sheet6!$C$8,Sheet6!$C$8,"")))))))</f>
        <v/>
      </c>
      <c r="Z50" s="57" t="str">
        <f>IF(Tim!BE52=Sheet6!$C$2,Sheet6!$C$2,IF(Tim!BE52=Sheet6!$C$3,Sheet6!$C$3,IF(Tim!BE52=Sheet6!$C$4,Sheet6!$C$4,IF(Tim!BE52=Sheet6!$C$5,Sheet6!$C$5,IF(Tim!BE52=Sheet6!$C$6,Sheet6!$C$6,IF(Tim!BE52=Sheet6!$C$7,Sheet6!$C$7,IF(Tim!BE52=Sheet6!$C$8,Sheet6!$C$8,"")))))))</f>
        <v/>
      </c>
      <c r="AA50" s="57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B50" s="57" t="str">
        <f>IF(Tim!BL52=Sheet6!$C$2,Sheet6!$C$2,IF(Tim!BL52=Sheet6!$C$3,Sheet6!$C$3,IF(Tim!BL52=Sheet6!$C$4,Sheet6!$C$4,IF(Tim!BL52=Sheet6!$C$5,Sheet6!$C$5,IF(Tim!BL52=Sheet6!$C$6,Sheet6!$C$6,IF(Tim!BL52=Sheet6!$C$7,Sheet6!$C$7,IF(Tim!BL52=Sheet6!$C$8,Sheet6!$C$8,"")))))))</f>
        <v/>
      </c>
      <c r="AC50" s="53" t="str">
        <f>IF(Tim!BT52=Sheet6!$C$2,Sheet6!$C$2,IF(Tim!BT52=Sheet6!$C$3,Sheet6!$C$3,IF(Tim!BT52=Sheet6!$C$4,Sheet6!$C$4,IF(Tim!BT52=Sheet6!$C$5,Sheet6!$C$5,IF(Tim!BT52=Sheet6!$C$6,Sheet6!$C$6,IF(Tim!BT52=Sheet6!$C$7,Sheet6!$C$7,IF(Tim!BT52=Sheet6!$C$8,Sheet6!$C$8,"")))))))</f>
        <v/>
      </c>
      <c r="AD50" s="53" t="str">
        <f>IF(Tim!BU52=Sheet6!$C$2,Sheet6!$C$2,IF(Tim!BU52=Sheet6!$C$3,Sheet6!$C$3,IF(Tim!BU52=Sheet6!$C$4,Sheet6!$C$4,IF(Tim!BU52=Sheet6!$C$5,Sheet6!$C$5,IF(Tim!BU52=Sheet6!$C$6,Sheet6!$C$6,IF(Tim!BU52=Sheet6!$C$7,Sheet6!$C$7,IF(Tim!BU52=Sheet6!$C$8,Sheet6!$C$8,"")))))))</f>
        <v/>
      </c>
      <c r="AE50" s="53" t="str">
        <f>IF(Tim!CB52=Sheet6!$C$2,Sheet6!$C$2,IF(Tim!CB52=Sheet6!$C$3,Sheet6!$C$3,IF(Tim!CB52=Sheet6!$C$4,Sheet6!$C$4,IF(Tim!CB52=Sheet6!$C$5,Sheet6!$C$5,IF(Tim!CB52=Sheet6!$C$6,Sheet6!$C$6,IF(Tim!CB52=Sheet6!$C$7,Sheet6!$C$7,IF(Tim!CB52=Sheet6!$C$8,Sheet6!$C$8,"")))))))</f>
        <v/>
      </c>
      <c r="AF50" s="53" t="str">
        <f>IF(Tim!CD52=Sheet6!$C$2,Sheet6!$C$2,IF(Tim!CD52=Sheet6!$C$3,Sheet6!$C$3,IF(Tim!CD52=Sheet6!$C$4,Sheet6!$C$4,IF(Tim!CD52=Sheet6!$C$5,Sheet6!$C$5,IF(Tim!CD52=Sheet6!$C$6,Sheet6!$C$6,IF(Tim!CD52=Sheet6!$C$7,Sheet6!$C$7,IF(Tim!CD52=Sheet6!$C$8,Sheet6!$C$8,"")))))))</f>
        <v/>
      </c>
      <c r="AG50" s="53" t="str">
        <f>IF(Tim!CE52=Sheet6!$C$2,Sheet6!$C$2,IF(Tim!CE52=Sheet6!$C$3,Sheet6!$C$3,IF(Tim!CE52=Sheet6!$C$4,Sheet6!$C$4,IF(Tim!CE52=Sheet6!$C$5,Sheet6!$C$5,IF(Tim!CE52=Sheet6!$C$6,Sheet6!$C$6,IF(Tim!CE52=Sheet6!$C$7,Sheet6!$C$7,IF(Tim!CE52=Sheet6!$C$8,Sheet6!$C$8,"")))))))</f>
        <v/>
      </c>
      <c r="AH50" s="53" t="str">
        <f>IF(Tim!CF52=Sheet6!$C$2,Sheet6!$C$2,IF(Tim!CF52=Sheet6!$C$3,Sheet6!$C$3,IF(Tim!CF52=Sheet6!$C$4,Sheet6!$C$4,IF(Tim!CF52=Sheet6!$C$5,Sheet6!$C$5,IF(Tim!CF52=Sheet6!$C$6,Sheet6!$C$6,IF(Tim!CF52=Sheet6!$C$7,Sheet6!$C$7,IF(Tim!CF52=Sheet6!$C$8,Sheet6!$C$8,"")))))))</f>
        <v/>
      </c>
      <c r="AI50" s="176" t="str">
        <f>IF(Tim!CG52=Sheet6!$C$2,Sheet6!$C$2,IF(Tim!CG52=Sheet6!$C$3,Sheet6!$C$3,IF(Tim!CG52=Sheet6!$C$4,Sheet6!$C$4,IF(Tim!CG52=Sheet6!$C$5,Sheet6!$C$5,IF(Tim!CG52=Sheet6!$C$6,Sheet6!$C$6,IF(Tim!CG52=Sheet6!$C$7,Sheet6!$C$7,IF(Tim!CG52=Sheet6!$C$8,Sheet6!$C$8,"")))))))</f>
        <v/>
      </c>
      <c r="AJ50" s="53" t="str">
        <f>IF(Tim!CH52=Sheet6!$C$2,Sheet6!$C$2,IF(Tim!CH52=Sheet6!$C$3,Sheet6!$C$3,IF(Tim!CH52=Sheet6!$C$4,Sheet6!$C$4,IF(Tim!CH52=Sheet6!$C$5,Sheet6!$C$5,IF(Tim!CH52=Sheet6!$C$6,Sheet6!$C$6,IF(Tim!CH52=Sheet6!$C$7,Sheet6!$C$7,IF(Tim!CH52=Sheet6!$C$8,Sheet6!$C$8,"")))))))</f>
        <v/>
      </c>
      <c r="AK50" s="53" t="str">
        <f>IF(Tim!CL52=Sheet6!$C$2,Sheet6!$C$2,IF(Tim!CL52=Sheet6!$C$3,Sheet6!$C$3,IF(Tim!CL52=Sheet6!$C$4,Sheet6!$C$4,IF(Tim!CL52=Sheet6!$C$5,Sheet6!$C$5,IF(Tim!CL52=Sheet6!$C$6,Sheet6!$C$6,IF(Tim!CL52=Sheet6!$C$7,Sheet6!$C$7,IF(Tim!CL52=Sheet6!$C$8,Sheet6!$C$8,"")))))))</f>
        <v/>
      </c>
      <c r="AL50" s="54" t="str">
        <f>IF(Tim!CM52=Sheet6!$C$2,Sheet6!$C$2,IF(Tim!CM52=Sheet6!$C$3,Sheet6!$C$3,IF(Tim!CM52=Sheet6!$C$4,Sheet6!$C$4,IF(Tim!CM52=Sheet6!$C$5,Sheet6!$C$5,IF(Tim!CM52=Sheet6!$C$6,Sheet6!$C$6,IF(Tim!CM52=Sheet6!$C$7,Sheet6!$C$7,IF(Tim!CM52=Sheet6!$C$8,Sheet6!$C$8,"")))))))</f>
        <v/>
      </c>
      <c r="AM50" s="54" t="str">
        <f>IF(Tim!CN52=Sheet6!$C$2,Sheet6!$C$2,IF(Tim!CN52=Sheet6!$C$3,Sheet6!$C$3,IF(Tim!CN52=Sheet6!$C$4,Sheet6!$C$4,IF(Tim!CN52=Sheet6!$C$5,Sheet6!$C$5,IF(Tim!CN52=Sheet6!$C$6,Sheet6!$C$6,IF(Tim!CN52=Sheet6!$C$7,Sheet6!$C$7,IF(Tim!CN52=Sheet6!$C$8,Sheet6!$C$8,"")))))))</f>
        <v/>
      </c>
      <c r="AN50" s="54" t="str">
        <f>IF(Tim!CO52=Sheet6!$C$2,Sheet6!$C$2,IF(Tim!CO52=Sheet6!$C$3,Sheet6!$C$3,IF(Tim!CO52=Sheet6!$C$4,Sheet6!$C$4,IF(Tim!CO52=Sheet6!$C$5,Sheet6!$C$5,IF(Tim!CO52=Sheet6!$C$6,Sheet6!$C$6,IF(Tim!CO52=Sheet6!$C$7,Sheet6!$C$7,IF(Tim!CO52=Sheet6!$C$8,Sheet6!$C$8,"")))))))</f>
        <v/>
      </c>
      <c r="AO50" s="177" t="str">
        <f>IF(Tim!CP52=Sheet6!$C$2,Sheet6!$C$2,IF(Tim!CP52=Sheet6!$C$3,Sheet6!$C$3,IF(Tim!CP52=Sheet6!$C$4,Sheet6!$C$4,IF(Tim!CP52=Sheet6!$C$5,Sheet6!$C$5,IF(Tim!CP52=Sheet6!$C$6,Sheet6!$C$6,IF(Tim!CP52=Sheet6!$C$7,Sheet6!$C$7,IF(Tim!CP52=Sheet6!$C$8,Sheet6!$C$8,"")))))))</f>
        <v/>
      </c>
      <c r="AP50" s="57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Q50" s="57" t="str">
        <f>IF(Tim!CQ52=Sheet6!$C$2,Sheet6!$C$2,IF(Tim!CQ52=Sheet6!$C$3,Sheet6!$C$3,IF(Tim!CQ52=Sheet6!$C$4,Sheet6!$C$4,IF(Tim!CQ52=Sheet6!$C$5,Sheet6!$C$5,IF(Tim!CQ52=Sheet6!$C$6,Sheet6!$C$6,IF(Tim!CQ52=Sheet6!$C$7,Sheet6!$C$7,IF(Tim!CQ52=Sheet6!$C$8,Sheet6!$C$8,"")))))))</f>
        <v/>
      </c>
      <c r="AR50" s="57" t="str">
        <f>IF(Tim!CU52=Sheet6!$C$2,Sheet6!$C$2,IF(Tim!CU52=Sheet6!$C$3,Sheet6!$C$3,IF(Tim!CU52=Sheet6!$C$4,Sheet6!$C$4,IF(Tim!CU52=Sheet6!$C$5,Sheet6!$C$5,IF(Tim!CU52=Sheet6!$C$6,Sheet6!$C$6,IF(Tim!CU52=Sheet6!$C$7,Sheet6!$C$7,IF(Tim!CU52=Sheet6!$C$8,Sheet6!$C$8,"")))))))</f>
        <v/>
      </c>
      <c r="AS50" s="57" t="str">
        <f>IF(Tim!CV52=Sheet6!$C$2,Sheet6!$C$2,IF(Tim!CV52=Sheet6!$C$3,Sheet6!$C$3,IF(Tim!CV52=Sheet6!$C$4,Sheet6!$C$4,IF(Tim!CV52=Sheet6!$C$5,Sheet6!$C$5,IF(Tim!CV52=Sheet6!$C$6,Sheet6!$C$6,IF(Tim!CV52=Sheet6!$C$7,Sheet6!$C$7,IF(Tim!CV52=Sheet6!$C$8,Sheet6!$C$8,"")))))))</f>
        <v/>
      </c>
      <c r="AT50" s="57" t="str">
        <f>IF(Tim!DA52=Sheet6!$C$2,Sheet6!$C$2,IF(Tim!DA52=Sheet6!$C$3,Sheet6!$C$3,IF(Tim!DA52=Sheet6!$C$4,Sheet6!$C$4,IF(Tim!DA52=Sheet6!$C$5,Sheet6!$C$5,IF(Tim!DA52=Sheet6!$C$6,Sheet6!$C$6,IF(Tim!DA52=Sheet6!$C$7,Sheet6!$C$7,IF(Tim!DA52=Sheet6!$C$8,Sheet6!$C$8,"")))))))</f>
        <v/>
      </c>
      <c r="AU50" s="53" t="str">
        <f>IF(Tim!DO52=Sheet6!$C$2,Sheet6!$C$2,IF(Tim!DO52=Sheet6!$C$3,Sheet6!$C$3,IF(Tim!DO52=Sheet6!$C$4,Sheet6!$C$4,IF(Tim!DO52=Sheet6!$C$5,Sheet6!$C$5,IF(Tim!DO52=Sheet6!$C$6,Sheet6!$C$6,IF(Tim!DO52=Sheet6!$C$7,Sheet6!$C$7,IF(Tim!DO52=Sheet6!$C$8,Sheet6!$C$8,"")))))))</f>
        <v/>
      </c>
      <c r="AV50" s="53" t="str">
        <f>IF(Tim!DP52=Sheet6!$C$2,Sheet6!$C$2,IF(Tim!DP52=Sheet6!$C$3,Sheet6!$C$3,IF(Tim!DP52=Sheet6!$C$4,Sheet6!$C$4,IF(Tim!DP52=Sheet6!$C$5,Sheet6!$C$5,IF(Tim!DP52=Sheet6!$C$6,Sheet6!$C$6,IF(Tim!DP52=Sheet6!$C$7,Sheet6!$C$7,IF(Tim!DP52=Sheet6!$C$8,Sheet6!$C$8,"")))))))</f>
        <v/>
      </c>
      <c r="AW50" s="53" t="str">
        <f>IF(Tim!DX52=Sheet6!$C$2,Sheet6!$C$2,IF(Tim!DX52=Sheet6!$C$3,Sheet6!$C$3,IF(Tim!DX52=Sheet6!$C$4,Sheet6!$C$4,IF(Tim!DX52=Sheet6!$C$5,Sheet6!$C$5,IF(Tim!DX52=Sheet6!$C$6,Sheet6!$C$6,IF(Tim!DX52=Sheet6!$C$7,Sheet6!$C$7,IF(Tim!DX52=Sheet6!$C$8,Sheet6!$C$8,"")))))))</f>
        <v/>
      </c>
      <c r="AX50" s="53" t="str">
        <f>IF(Tim!DY52=Sheet6!$C$2,Sheet6!$C$2,IF(Tim!DY52=Sheet6!$C$3,Sheet6!$C$3,IF(Tim!DY52=Sheet6!$C$4,Sheet6!$C$4,IF(Tim!DY52=Sheet6!$C$5,Sheet6!$C$5,IF(Tim!DY52=Sheet6!$C$6,Sheet6!$C$6,IF(Tim!DY52=Sheet6!$C$7,Sheet6!$C$7,IF(Tim!DY52=Sheet6!$C$8,Sheet6!$C$8,"")))))))</f>
        <v/>
      </c>
      <c r="AY50" s="53" t="str">
        <f>IF(Tim!DZ52=Sheet6!$C$2,Sheet6!$C$2,IF(Tim!DZ52=Sheet6!$C$3,Sheet6!$C$3,IF(Tim!DZ52=Sheet6!$C$4,Sheet6!$C$4,IF(Tim!DZ52=Sheet6!$C$5,Sheet6!$C$5,IF(Tim!DZ52=Sheet6!$C$6,Sheet6!$C$6,IF(Tim!DZ52=Sheet6!$C$7,Sheet6!$C$7,IF(Tim!DZ52=Sheet6!$C$8,Sheet6!$C$8,"")))))))</f>
        <v/>
      </c>
      <c r="AZ50" s="53" t="str">
        <f>IF(Tim!EA52=Sheet6!$C$2,Sheet6!$C$2,IF(Tim!EA52=Sheet6!$C$3,Sheet6!$C$3,IF(Tim!EA52=Sheet6!$C$4,Sheet6!$C$4,IF(Tim!EA52=Sheet6!$C$5,Sheet6!$C$5,IF(Tim!EA52=Sheet6!$C$6,Sheet6!$C$6,IF(Tim!EA52=Sheet6!$C$7,Sheet6!$C$7,IF(Tim!EA52=Sheet6!$C$8,Sheet6!$C$8,"")))))))</f>
        <v/>
      </c>
      <c r="BA50" s="176" t="str">
        <f>IF(Tim!EB52=Sheet6!$C$2,Sheet6!$C$2,IF(Tim!EB52=Sheet6!$C$3,Sheet6!$C$3,IF(Tim!EB52=Sheet6!$C$4,Sheet6!$C$4,IF(Tim!EB52=Sheet6!$C$5,Sheet6!$C$5,IF(Tim!EB52=Sheet6!$C$6,Sheet6!$C$6,IF(Tim!EB52=Sheet6!$C$7,Sheet6!$C$7,IF(Tim!EB52=Sheet6!$C$8,Sheet6!$C$8,"")))))))</f>
        <v/>
      </c>
      <c r="BB50" s="53" t="str">
        <f>IF(Tim!EC52=Sheet6!$C$2,Sheet6!$C$2,IF(Tim!EC52=Sheet6!$C$3,Sheet6!$C$3,IF(Tim!EC52=Sheet6!$C$4,Sheet6!$C$4,IF(Tim!EC52=Sheet6!$C$5,Sheet6!$C$5,IF(Tim!EC52=Sheet6!$C$6,Sheet6!$C$6,IF(Tim!EC52=Sheet6!$C$7,Sheet6!$C$7,IF(Tim!EC52=Sheet6!$C$8,Sheet6!$C$8,"")))))))</f>
        <v/>
      </c>
      <c r="BC50" s="53" t="str">
        <f>IF(Tim!EG52=Sheet6!$C$2,Sheet6!$C$2,IF(Tim!EG52=Sheet6!$C$3,Sheet6!$C$3,IF(Tim!EG52=Sheet6!$C$4,Sheet6!$C$4,IF(Tim!EG52=Sheet6!$C$5,Sheet6!$C$5,IF(Tim!EG52=Sheet6!$C$6,Sheet6!$C$6,IF(Tim!EG52=Sheet6!$C$7,Sheet6!$C$7,IF(Tim!EG52=Sheet6!$C$8,Sheet6!$C$8,"")))))))</f>
        <v/>
      </c>
      <c r="BD50" s="54" t="str">
        <f>IF(Tim!EH52=Sheet6!$C$2,Sheet6!$C$2,IF(Tim!EH52=Sheet6!$C$3,Sheet6!$C$3,IF(Tim!EH52=Sheet6!$C$4,Sheet6!$C$4,IF(Tim!EH52=Sheet6!$C$5,Sheet6!$C$5,IF(Tim!EH52=Sheet6!$C$6,Sheet6!$C$6,IF(Tim!EH52=Sheet6!$C$7,Sheet6!$C$7,IF(Tim!EH52=Sheet6!$C$8,Sheet6!$C$8,"")))))))</f>
        <v/>
      </c>
      <c r="BE50" s="54" t="str">
        <f>IF(Tim!EI52=Sheet6!$C$2,Sheet6!$C$2,IF(Tim!EI52=Sheet6!$C$3,Sheet6!$C$3,IF(Tim!EI52=Sheet6!$C$4,Sheet6!$C$4,IF(Tim!EI52=Sheet6!$C$5,Sheet6!$C$5,IF(Tim!EI52=Sheet6!$C$6,Sheet6!$C$6,IF(Tim!EI52=Sheet6!$C$7,Sheet6!$C$7,IF(Tim!EI52=Sheet6!$C$8,Sheet6!$C$8,"")))))))</f>
        <v/>
      </c>
      <c r="BF50" s="54" t="str">
        <f>IF(Tim!EJ52=Sheet6!$C$2,Sheet6!$C$2,IF(Tim!EJ52=Sheet6!$C$3,Sheet6!$C$3,IF(Tim!EJ52=Sheet6!$C$4,Sheet6!$C$4,IF(Tim!EJ52=Sheet6!$C$5,Sheet6!$C$5,IF(Tim!EJ52=Sheet6!$C$6,Sheet6!$C$6,IF(Tim!EJ52=Sheet6!$C$7,Sheet6!$C$7,IF(Tim!EJ52=Sheet6!$C$8,Sheet6!$C$8,"")))))))</f>
        <v/>
      </c>
      <c r="BG50" s="55" t="str">
        <f>IF(Tim!EK52=Sheet6!$C$2,Sheet6!$C$2,IF(Tim!EK52=Sheet6!$C$3,Sheet6!$C$3,IF(Tim!EK52=Sheet6!$C$4,Sheet6!$C$4,IF(Tim!EK52=Sheet6!$C$5,Sheet6!$C$5,IF(Tim!EK52=Sheet6!$C$6,Sheet6!$C$6,IF(Tim!EK52=Sheet6!$C$7,Sheet6!$C$7,IF(Tim!EK52=Sheet6!$C$8,Sheet6!$C$8,"")))))))</f>
        <v/>
      </c>
      <c r="BH50" s="57" t="str">
        <f>IF(Tim!EL52=Sheet6!$C$2,Sheet6!$C$2,IF(Tim!EL52=Sheet6!$C$3,Sheet6!$C$3,IF(Tim!EL52=Sheet6!$C$4,Sheet6!$C$4,IF(Tim!EL52=Sheet6!$C$5,Sheet6!$C$5,IF(Tim!EL52=Sheet6!$C$6,Sheet6!$C$6,IF(Tim!EL52=Sheet6!$C$7,Sheet6!$C$7,IF(Tim!EL52=Sheet6!$C$8,Sheet6!$C$8,"")))))))</f>
        <v/>
      </c>
      <c r="BI50" s="57" t="str">
        <f>IF(Tim!EM52=Sheet6!$C$2,Sheet6!$C$2,IF(Tim!EM52=Sheet6!$C$3,Sheet6!$C$3,IF(Tim!EM52=Sheet6!$C$4,Sheet6!$C$4,IF(Tim!EM52=Sheet6!$C$5,Sheet6!$C$5,IF(Tim!EM52=Sheet6!$C$6,Sheet6!$C$6,IF(Tim!EM52=Sheet6!$C$7,Sheet6!$C$7,IF(Tim!EM52=Sheet6!$C$8,Sheet6!$C$8,"")))))))</f>
        <v/>
      </c>
      <c r="BJ50" s="57" t="str">
        <f>IF(Tim!EQ52=Sheet6!$C$2,Sheet6!$C$2,IF(Tim!EQ52=Sheet6!$C$3,Sheet6!$C$3,IF(Tim!EQ52=Sheet6!$C$4,Sheet6!$C$4,IF(Tim!EQ52=Sheet6!$C$5,Sheet6!$C$5,IF(Tim!EQ52=Sheet6!$C$6,Sheet6!$C$6,IF(Tim!EQ52=Sheet6!$C$7,Sheet6!$C$7,IF(Tim!EQ52=Sheet6!$C$8,Sheet6!$C$8,"")))))))</f>
        <v/>
      </c>
      <c r="BK50" s="57" t="str">
        <f>IF(Tim!ER52=Sheet6!$C$2,Sheet6!$C$2,IF(Tim!ER52=Sheet6!$C$3,Sheet6!$C$3,IF(Tim!ER52=Sheet6!$C$4,Sheet6!$C$4,IF(Tim!ER52=Sheet6!$C$5,Sheet6!$C$5,IF(Tim!ER52=Sheet6!$C$6,Sheet6!$C$6,IF(Tim!ER52=Sheet6!$C$7,Sheet6!$C$7,IF(Tim!ER52=Sheet6!$C$8,Sheet6!$C$8,"")))))))</f>
        <v/>
      </c>
      <c r="BL50" s="57" t="str">
        <f>IF(Tim!EZ52=Sheet6!$C$2,Sheet6!$C$2,IF(Tim!EZ52=Sheet6!$C$3,Sheet6!$C$3,IF(Tim!EZ52=Sheet6!$C$4,Sheet6!$C$4,IF(Tim!EZ52=Sheet6!$C$5,Sheet6!$C$5,IF(Tim!EZ52=Sheet6!$C$6,Sheet6!$C$6,IF(Tim!EZ52=Sheet6!$C$7,Sheet6!$C$7,IF(Tim!EZ52=Sheet6!$C$8,Sheet6!$C$8,"")))))))</f>
        <v/>
      </c>
      <c r="BM50" s="53" t="str">
        <f>IF(Tim!FG52=Sheet6!$C$2,Sheet6!$C$2,IF(Tim!FG52=Sheet6!$C$3,Sheet6!$C$3,IF(Tim!FG52=Sheet6!$C$4,Sheet6!$C$4,IF(Tim!FG52=Sheet6!$C$5,Sheet6!$C$5,IF(Tim!FG52=Sheet6!$C$6,Sheet6!$C$6,IF(Tim!FG52=Sheet6!$C$7,Sheet6!$C$7,IF(Tim!FG52=Sheet6!$C$8,Sheet6!$C$8,"")))))))</f>
        <v/>
      </c>
      <c r="BN50" s="53" t="str">
        <f>IF(Tim!FH52=Sheet6!$C$2,Sheet6!$C$2,IF(Tim!FH52=Sheet6!$C$3,Sheet6!$C$3,IF(Tim!FH52=Sheet6!$C$4,Sheet6!$C$4,IF(Tim!FH52=Sheet6!$C$5,Sheet6!$C$5,IF(Tim!FH52=Sheet6!$C$6,Sheet6!$C$6,IF(Tim!FH52=Sheet6!$C$7,Sheet6!$C$7,IF(Tim!FH52=Sheet6!$C$8,Sheet6!$C$8,"")))))))</f>
        <v/>
      </c>
      <c r="BO50" s="53" t="str">
        <f>IF(Tim!FP52=Sheet6!$C$2,Sheet6!$C$2,IF(Tim!FP52=Sheet6!$C$3,Sheet6!$C$3,IF(Tim!FP52=Sheet6!$C$4,Sheet6!$C$4,IF(Tim!FP52=Sheet6!$C$5,Sheet6!$C$5,IF(Tim!FP52=Sheet6!$C$6,Sheet6!$C$6,IF(Tim!FP52=Sheet6!$C$7,Sheet6!$C$7,IF(Tim!FP52=Sheet6!$C$8,Sheet6!$C$8,"")))))))</f>
        <v/>
      </c>
      <c r="BP50" s="53" t="str">
        <f>IF(Tim!FQ52=Sheet6!$C$2,Sheet6!$C$2,IF(Tim!FQ52=Sheet6!$C$3,Sheet6!$C$3,IF(Tim!FQ52=Sheet6!$C$4,Sheet6!$C$4,IF(Tim!FQ52=Sheet6!$C$5,Sheet6!$C$5,IF(Tim!FQ52=Sheet6!$C$6,Sheet6!$C$6,IF(Tim!FQ52=Sheet6!$C$7,Sheet6!$C$7,IF(Tim!FQ52=Sheet6!$C$8,Sheet6!$C$8,"")))))))</f>
        <v/>
      </c>
      <c r="BQ50" s="53" t="str">
        <f>IF(Tim!FR52=Sheet6!$C$2,Sheet6!$C$2,IF(Tim!FR52=Sheet6!$C$3,Sheet6!$C$3,IF(Tim!FR52=Sheet6!$C$4,Sheet6!$C$4,IF(Tim!FR52=Sheet6!$C$5,Sheet6!$C$5,IF(Tim!FR52=Sheet6!$C$6,Sheet6!$C$6,IF(Tim!FR52=Sheet6!$C$7,Sheet6!$C$7,IF(Tim!FR52=Sheet6!$C$8,Sheet6!$C$8,"")))))))</f>
        <v/>
      </c>
      <c r="BR50" s="53" t="str">
        <f>IF(Tim!FS52=Sheet6!$C$2,Sheet6!$C$2,IF(Tim!FS52=Sheet6!$C$3,Sheet6!$C$3,IF(Tim!FS52=Sheet6!$C$4,Sheet6!$C$4,IF(Tim!FS52=Sheet6!$C$5,Sheet6!$C$5,IF(Tim!FS52=Sheet6!$C$6,Sheet6!$C$6,IF(Tim!FS52=Sheet6!$C$7,Sheet6!$C$7,IF(Tim!FS52=Sheet6!$C$8,Sheet6!$C$8,"")))))))</f>
        <v/>
      </c>
      <c r="BS50" s="53" t="str">
        <f>IF(Tim!FT52=Sheet6!$C$2,Sheet6!$C$2,IF(Tim!FT52=Sheet6!$C$3,Sheet6!$C$3,IF(Tim!FT52=Sheet6!$C$4,Sheet6!$C$4,IF(Tim!FT52=Sheet6!$C$5,Sheet6!$C$5,IF(Tim!FT52=Sheet6!$C$6,Sheet6!$C$6,IF(Tim!FT52=Sheet6!$C$7,Sheet6!$C$7,IF(Tim!FT52=Sheet6!$C$8,Sheet6!$C$8,"")))))))</f>
        <v/>
      </c>
      <c r="BT50" s="53" t="str">
        <f>IF(Tim!FU52=Sheet6!$C$2,Sheet6!$C$2,IF(Tim!FU52=Sheet6!$C$3,Sheet6!$C$3,IF(Tim!FU52=Sheet6!$C$4,Sheet6!$C$4,IF(Tim!FU52=Sheet6!$C$5,Sheet6!$C$5,IF(Tim!FU52=Sheet6!$C$6,Sheet6!$C$6,IF(Tim!FU52=Sheet6!$C$7,Sheet6!$C$7,IF(Tim!FU52=Sheet6!$C$8,Sheet6!$C$8,"")))))))</f>
        <v/>
      </c>
      <c r="BU50" s="53" t="str">
        <f>IF(Tim!FY52=Sheet6!$C$2,Sheet6!$C$2,IF(Tim!FY52=Sheet6!$C$3,Sheet6!$C$3,IF(Tim!FY52=Sheet6!$C$4,Sheet6!$C$4,IF(Tim!FY52=Sheet6!$C$5,Sheet6!$C$5,IF(Tim!FY52=Sheet6!$C$6,Sheet6!$C$6,IF(Tim!FY52=Sheet6!$C$7,Sheet6!$C$7,IF(Tim!FY52=Sheet6!$C$8,Sheet6!$C$8,"")))))))</f>
        <v/>
      </c>
      <c r="BV50" s="54" t="str">
        <f>IF(Tim!FZ52=Sheet6!$C$2,Sheet6!$C$2,IF(Tim!FZ52=Sheet6!$C$3,Sheet6!$C$3,IF(Tim!FZ52=Sheet6!$C$4,Sheet6!$C$4,IF(Tim!FZ52=Sheet6!$C$5,Sheet6!$C$5,IF(Tim!FZ52=Sheet6!$C$6,Sheet6!$C$6,IF(Tim!FZ52=Sheet6!$C$7,Sheet6!$C$7,IF(Tim!FZ52=Sheet6!$C$8,Sheet6!$C$8,"")))))))</f>
        <v/>
      </c>
      <c r="BW50" s="54" t="str">
        <f>IF(Tim!GA52=Sheet6!$C$2,Sheet6!$C$2,IF(Tim!GA52=Sheet6!$C$3,Sheet6!$C$3,IF(Tim!GA52=Sheet6!$C$4,Sheet6!$C$4,IF(Tim!GA52=Sheet6!$C$5,Sheet6!$C$5,IF(Tim!GA52=Sheet6!$C$6,Sheet6!$C$6,IF(Tim!GA52=Sheet6!$C$7,Sheet6!$C$7,IF(Tim!GA52=Sheet6!$C$8,Sheet6!$C$8,"")))))))</f>
        <v/>
      </c>
      <c r="BX50" s="54" t="str">
        <f>IF(Tim!GB52=Sheet6!$C$2,Sheet6!$C$2,IF(Tim!GB52=Sheet6!$C$3,Sheet6!$C$3,IF(Tim!GB52=Sheet6!$C$4,Sheet6!$C$4,IF(Tim!GB52=Sheet6!$C$5,Sheet6!$C$5,IF(Tim!GB52=Sheet6!$C$6,Sheet6!$C$6,IF(Tim!GB52=Sheet6!$C$7,Sheet6!$C$7,IF(Tim!GB52=Sheet6!$C$8,Sheet6!$C$8,"")))))))</f>
        <v/>
      </c>
      <c r="BY50" s="55" t="str">
        <f>IF(Tim!GC52=Sheet6!$C$2,Sheet6!$C$2,IF(Tim!GC52=Sheet6!$C$3,Sheet6!$C$3,IF(Tim!GC52=Sheet6!$C$4,Sheet6!$C$4,IF(Tim!GC52=Sheet6!$C$5,Sheet6!$C$5,IF(Tim!GC52=Sheet6!$C$6,Sheet6!$C$6,IF(Tim!GC52=Sheet6!$C$7,Sheet6!$C$7,IF(Tim!GC52=Sheet6!$C$8,Sheet6!$C$8,"")))))))</f>
        <v/>
      </c>
      <c r="BZ50" s="53" t="str">
        <f>IF(Tim!GD52=Sheet6!$C$2,Sheet6!$C$2,IF(Tim!GD52=Sheet6!$C$3,Sheet6!$C$3,IF(Tim!GD52=Sheet6!$C$4,Sheet6!$C$4,IF(Tim!GD52=Sheet6!$C$5,Sheet6!$C$5,IF(Tim!GD52=Sheet6!$C$6,Sheet6!$C$6,IF(Tim!GD52=Sheet6!$C$7,Sheet6!$C$7,IF(Tim!GD52=Sheet6!$C$8,Sheet6!$C$8,"")))))))</f>
        <v/>
      </c>
      <c r="CA50" s="57" t="str">
        <f>IF(Tim!GE52=Sheet6!$C$2,Sheet6!$C$2,IF(Tim!GE52=Sheet6!$C$3,Sheet6!$C$3,IF(Tim!GE52=Sheet6!$C$4,Sheet6!$C$4,IF(Tim!GE52=Sheet6!$C$5,Sheet6!$C$5,IF(Tim!GE52=Sheet6!$C$6,Sheet6!$C$6,IF(Tim!GE52=Sheet6!$C$7,Sheet6!$C$7,IF(Tim!GE52=Sheet6!$C$8,Sheet6!$C$8,"")))))))</f>
        <v/>
      </c>
      <c r="CB50" s="57" t="str">
        <f>IF(Tim!GI52=Sheet6!$C$2,Sheet6!$C$2,IF(Tim!GI52=Sheet6!$C$3,Sheet6!$C$3,IF(Tim!GI52=Sheet6!$C$4,Sheet6!$C$4,IF(Tim!GI52=Sheet6!$C$5,Sheet6!$C$5,IF(Tim!GI52=Sheet6!$C$6,Sheet6!$C$6,IF(Tim!GI52=Sheet6!$C$7,Sheet6!$C$7,IF(Tim!GI52=Sheet6!$C$8,Sheet6!$C$8,"")))))))</f>
        <v/>
      </c>
      <c r="CC50" s="57" t="str">
        <f>IF(Tim!GJ52=Sheet6!$C$2,Sheet6!$C$2,IF(Tim!GJ52=Sheet6!$C$3,Sheet6!$C$3,IF(Tim!GJ52=Sheet6!$C$4,Sheet6!$C$4,IF(Tim!GJ52=Sheet6!$C$5,Sheet6!$C$5,IF(Tim!GJ52=Sheet6!$C$6,Sheet6!$C$6,IF(Tim!GJ52=Sheet6!$C$7,Sheet6!$C$7,IF(Tim!GJ52=Sheet6!$C$8,Sheet6!$C$8,"")))))))</f>
        <v/>
      </c>
      <c r="CD50" s="57" t="str">
        <f>IF(Tim!GN52=Sheet6!$C$2,Sheet6!$C$2,IF(Tim!GN52=Sheet6!$C$3,Sheet6!$C$3,IF(Tim!GN52=Sheet6!$C$4,Sheet6!$C$4,IF(Tim!GN52=Sheet6!$C$5,Sheet6!$C$5,IF(Tim!GN52=Sheet6!$C$6,Sheet6!$C$6,IF(Tim!GN52=Sheet6!$C$7,Sheet6!$C$7,IF(Tim!GN52=Sheet6!$C$8,Sheet6!$C$8,"")))))))</f>
        <v/>
      </c>
      <c r="CE50" s="53" t="str">
        <f>IF(Tim!GY52=Sheet6!$C$2,Sheet6!$C$2,IF(Tim!GY52=Sheet6!$C$3,Sheet6!$C$3,IF(Tim!GY52=Sheet6!$C$4,Sheet6!$C$4,IF(Tim!GY52=Sheet6!$C$5,Sheet6!$C$5,IF(Tim!GY52=Sheet6!$C$6,Sheet6!$C$6,IF(Tim!GY52=Sheet6!$C$7,Sheet6!$C$7,IF(Tim!GY52=Sheet6!$C$8,Sheet6!$C$8,"")))))))</f>
        <v/>
      </c>
      <c r="CF50" s="53" t="str">
        <f>IF(Tim!GZ52=Sheet6!$C$2,Sheet6!$C$2,IF(Tim!GZ52=Sheet6!$C$3,Sheet6!$C$3,IF(Tim!GZ52=Sheet6!$C$4,Sheet6!$C$4,IF(Tim!GZ52=Sheet6!$C$5,Sheet6!$C$5,IF(Tim!GZ52=Sheet6!$C$6,Sheet6!$C$6,IF(Tim!GZ52=Sheet6!$C$7,Sheet6!$C$7,IF(Tim!GZ52=Sheet6!$C$8,Sheet6!$C$8,"")))))))</f>
        <v/>
      </c>
      <c r="CG50" s="53" t="str">
        <f>IF(Tim!HH52=Sheet6!$C$2,Sheet6!$C$2,IF(Tim!HH52=Sheet6!$C$3,Sheet6!$C$3,IF(Tim!HH52=Sheet6!$C$4,Sheet6!$C$4,IF(Tim!HH52=Sheet6!$C$5,Sheet6!$C$5,IF(Tim!HH52=Sheet6!$C$6,Sheet6!$C$6,IF(Tim!HH52=Sheet6!$C$7,Sheet6!$C$7,IF(Tim!HH52=Sheet6!$C$8,Sheet6!$C$8,"")))))))</f>
        <v/>
      </c>
      <c r="CH50" s="53" t="str">
        <f>IF(Tim!HI52=Sheet6!$C$2,Sheet6!$C$2,IF(Tim!HI52=Sheet6!$C$3,Sheet6!$C$3,IF(Tim!HI52=Sheet6!$C$4,Sheet6!$C$4,IF(Tim!HI52=Sheet6!$C$5,Sheet6!$C$5,IF(Tim!HI52=Sheet6!$C$6,Sheet6!$C$6,IF(Tim!HI52=Sheet6!$C$7,Sheet6!$C$7,IF(Tim!HI52=Sheet6!$C$8,Sheet6!$C$8,"")))))))</f>
        <v/>
      </c>
      <c r="CI50" s="53" t="str">
        <f>IF(Tim!HJ52=Sheet6!$C$2,Sheet6!$C$2,IF(Tim!HJ52=Sheet6!$C$3,Sheet6!$C$3,IF(Tim!HJ52=Sheet6!$C$4,Sheet6!$C$4,IF(Tim!HJ52=Sheet6!$C$5,Sheet6!$C$5,IF(Tim!HJ52=Sheet6!$C$6,Sheet6!$C$6,IF(Tim!HJ52=Sheet6!$C$7,Sheet6!$C$7,IF(Tim!HJ52=Sheet6!$C$8,Sheet6!$C$8,"")))))))</f>
        <v/>
      </c>
      <c r="CJ50" s="53" t="str">
        <f>IF(Tim!HK52=Sheet6!$C$2,Sheet6!$C$2,IF(Tim!HK52=Sheet6!$C$3,Sheet6!$C$3,IF(Tim!HK52=Sheet6!$C$4,Sheet6!$C$4,IF(Tim!HK52=Sheet6!$C$5,Sheet6!$C$5,IF(Tim!HK52=Sheet6!$C$6,Sheet6!$C$6,IF(Tim!HK52=Sheet6!$C$7,Sheet6!$C$7,IF(Tim!HK52=Sheet6!$C$8,Sheet6!$C$8,"")))))))</f>
        <v/>
      </c>
      <c r="CK50" s="53" t="str">
        <f>IF(Tim!HL52=Sheet6!$C$2,Sheet6!$C$2,IF(Tim!HL52=Sheet6!$C$3,Sheet6!$C$3,IF(Tim!HL52=Sheet6!$C$4,Sheet6!$C$4,IF(Tim!HL52=Sheet6!$C$5,Sheet6!$C$5,IF(Tim!HL52=Sheet6!$C$6,Sheet6!$C$6,IF(Tim!HL52=Sheet6!$C$7,Sheet6!$C$7,IF(Tim!HL52=Sheet6!$C$8,Sheet6!$C$8,"")))))))</f>
        <v/>
      </c>
      <c r="CL50" s="53" t="str">
        <f>IF(Tim!HM52=Sheet6!$C$2,Sheet6!$C$2,IF(Tim!HM52=Sheet6!$C$3,Sheet6!$C$3,IF(Tim!HM52=Sheet6!$C$4,Sheet6!$C$4,IF(Tim!HM52=Sheet6!$C$5,Sheet6!$C$5,IF(Tim!HM52=Sheet6!$C$6,Sheet6!$C$6,IF(Tim!HM52=Sheet6!$C$7,Sheet6!$C$7,IF(Tim!HM52=Sheet6!$C$8,Sheet6!$C$8,"")))))))</f>
        <v/>
      </c>
      <c r="CM50" s="53" t="str">
        <f>IF(Tim!HQ52=Sheet6!$C$2,Sheet6!$C$2,IF(Tim!HQ52=Sheet6!$C$3,Sheet6!$C$3,IF(Tim!HQ52=Sheet6!$C$4,Sheet6!$C$4,IF(Tim!HQ52=Sheet6!$C$5,Sheet6!$C$5,IF(Tim!HQ52=Sheet6!$C$6,Sheet6!$C$6,IF(Tim!HQ52=Sheet6!$C$7,Sheet6!$C$7,IF(Tim!HQ52=Sheet6!$C$8,Sheet6!$C$8,"")))))))</f>
        <v/>
      </c>
      <c r="CN50" s="54" t="str">
        <f>IF(Tim!HR52=Sheet6!$C$2,Sheet6!$C$2,IF(Tim!HR52=Sheet6!$C$3,Sheet6!$C$3,IF(Tim!HR52=Sheet6!$C$4,Sheet6!$C$4,IF(Tim!HR52=Sheet6!$C$5,Sheet6!$C$5,IF(Tim!HR52=Sheet6!$C$6,Sheet6!$C$6,IF(Tim!HR52=Sheet6!$C$7,Sheet6!$C$7,IF(Tim!HR52=Sheet6!$C$8,Sheet6!$C$8,"")))))))</f>
        <v/>
      </c>
      <c r="CO50" s="54" t="str">
        <f>IF(Tim!HS52=Sheet6!$C$2,Sheet6!$C$2,IF(Tim!HS52=Sheet6!$C$3,Sheet6!$C$3,IF(Tim!HS52=Sheet6!$C$4,Sheet6!$C$4,IF(Tim!HS52=Sheet6!$C$5,Sheet6!$C$5,IF(Tim!HS52=Sheet6!$C$6,Sheet6!$C$6,IF(Tim!HS52=Sheet6!$C$7,Sheet6!$C$7,IF(Tim!HS52=Sheet6!$C$8,Sheet6!$C$8,"")))))))</f>
        <v/>
      </c>
      <c r="CP50" s="54" t="str">
        <f>IF(Tim!HT52=Sheet6!$C$2,Sheet6!$C$2,IF(Tim!HT52=Sheet6!$C$3,Sheet6!$C$3,IF(Tim!HT52=Sheet6!$C$4,Sheet6!$C$4,IF(Tim!HT52=Sheet6!$C$5,Sheet6!$C$5,IF(Tim!HT52=Sheet6!$C$6,Sheet6!$C$6,IF(Tim!HT52=Sheet6!$C$7,Sheet6!$C$7,IF(Tim!HT52=Sheet6!$C$8,Sheet6!$C$8,"")))))))</f>
        <v/>
      </c>
      <c r="CQ50" s="55" t="str">
        <f>IF(Tim!HU52=Sheet6!$C$2,Sheet6!$C$2,IF(Tim!HU52=Sheet6!$C$3,Sheet6!$C$3,IF(Tim!HU52=Sheet6!$C$4,Sheet6!$C$4,IF(Tim!HU52=Sheet6!$C$5,Sheet6!$C$5,IF(Tim!HU52=Sheet6!$C$6,Sheet6!$C$6,IF(Tim!HU52=Sheet6!$C$7,Sheet6!$C$7,IF(Tim!HU52=Sheet6!$C$8,Sheet6!$C$8,"")))))))</f>
        <v/>
      </c>
      <c r="CR50" s="56" t="str">
        <f>IF(Tim!HV52=Sheet6!$C$2,Sheet6!$C$2,IF(Tim!HV52=Sheet6!$C$3,Sheet6!$C$3,IF(Tim!HV52=Sheet6!$C$4,Sheet6!$C$4,IF(Tim!HV52=Sheet6!$C$5,Sheet6!$C$5,IF(Tim!HV52=Sheet6!$C$6,Sheet6!$C$6,IF(Tim!HV52=Sheet6!$C$7,Sheet6!$C$7,IF(Tim!HV52=Sheet6!$C$8,Sheet6!$C$8,"")))))))</f>
        <v/>
      </c>
      <c r="CS50" s="57" t="str">
        <f>IF(Tim!IB52=Sheet6!$C$2,Sheet6!$C$2,IF(Tim!IB52=Sheet6!$C$3,Sheet6!$C$3,IF(Tim!IB52=Sheet6!$C$4,Sheet6!$C$4,IF(Tim!IB52=Sheet6!$C$5,Sheet6!$C$5,IF(Tim!IB52=Sheet6!$C$6,Sheet6!$C$6,IF(Tim!IB52=Sheet6!$C$7,Sheet6!$C$7,IF(Tim!IB52=Sheet6!$C$8,Sheet6!$C$8,"")))))))</f>
        <v/>
      </c>
      <c r="CT50" s="65" t="str">
        <f>IF(Tim!IJ52=Sheet6!$C$2,Sheet6!$C$2,IF(Tim!IJ52=Sheet6!$C$3,Sheet6!$C$3,IF(Tim!IJ52=Sheet6!$C$4,Sheet6!$C$4,IF(Tim!IJ52=Sheet6!$C$5,Sheet6!$C$5,IF(Tim!IJ52=Sheet6!$C$6,Sheet6!$C$6,IF(Tim!IJ52=Sheet6!$C$7,Sheet6!$C$7,IF(Tim!IJ52=Sheet6!$C$8,Sheet6!$C$8,"")))))))</f>
        <v/>
      </c>
      <c r="CU50" s="65" t="str">
        <f>IF(Tim!IQ52=Sheet6!$C$2,Sheet6!$C$2,IF(Tim!IQ52=Sheet6!$C$3,Sheet6!$C$3,IF(Tim!IQ52=Sheet6!$C$4,Sheet6!$C$4,IF(Tim!IQ52=Sheet6!$C$5,Sheet6!$C$5,IF(Tim!IQ52=Sheet6!$C$6,Sheet6!$C$6,IF(Tim!IQ52=Sheet6!$C$7,Sheet6!$C$7,IF(Tim!IQ52=Sheet6!$C$8,Sheet6!$C$8,"")))))))</f>
        <v/>
      </c>
      <c r="CV50" s="53" t="str">
        <f>IF(Tim!IR52=Sheet6!$C$2,Sheet6!$C$2,IF(Tim!IR52=Sheet6!$C$3,Sheet6!$C$3,IF(Tim!IR52=Sheet6!$C$4,Sheet6!$C$4,IF(Tim!IR52=Sheet6!$C$5,Sheet6!$C$5,IF(Tim!IR52=Sheet6!$C$6,Sheet6!$C$6,IF(Tim!IR52=Sheet6!$C$7,Sheet6!$C$7,IF(Tim!IR52=Sheet6!$C$8,Sheet6!$C$8,"")))))))</f>
        <v/>
      </c>
      <c r="CW50" s="53" t="str">
        <f>IF(Tim!IZ52=Sheet6!$C$2,Sheet6!$C$2,IF(Tim!IZ52=Sheet6!$C$3,Sheet6!$C$3,IF(Tim!IZ52=Sheet6!$C$4,Sheet6!$C$4,IF(Tim!IZ52=Sheet6!$C$5,Sheet6!$C$5,IF(Tim!IZ52=Sheet6!$C$6,Sheet6!$C$6,IF(Tim!IZ52=Sheet6!$C$7,Sheet6!$C$7,IF(Tim!IZ52=Sheet6!$C$8,Sheet6!$C$8,"")))))))</f>
        <v/>
      </c>
      <c r="CX50" s="53" t="str">
        <f>IF(Tim!JA52=Sheet6!$C$2,Sheet6!$C$2,IF(Tim!JA52=Sheet6!$C$3,Sheet6!$C$3,IF(Tim!JA52=Sheet6!$C$4,Sheet6!$C$4,IF(Tim!JA52=Sheet6!$C$5,Sheet6!$C$5,IF(Tim!JA52=Sheet6!$C$6,Sheet6!$C$6,IF(Tim!JA52=Sheet6!$C$7,Sheet6!$C$7,IF(Tim!JA52=Sheet6!$C$8,Sheet6!$C$8,"")))))))</f>
        <v/>
      </c>
      <c r="CY50" s="53" t="str">
        <f>IF(Tim!JB52=Sheet6!$C$2,Sheet6!$C$2,IF(Tim!JB52=Sheet6!$C$3,Sheet6!$C$3,IF(Tim!JB52=Sheet6!$C$4,Sheet6!$C$4,IF(Tim!JB52=Sheet6!$C$5,Sheet6!$C$5,IF(Tim!JB52=Sheet6!$C$6,Sheet6!$C$6,IF(Tim!JB52=Sheet6!$C$7,Sheet6!$C$7,IF(Tim!JB52=Sheet6!$C$8,Sheet6!$C$8,"")))))))</f>
        <v/>
      </c>
      <c r="CZ50" s="53" t="str">
        <f>IF(Tim!JC52=Sheet6!$C$2,Sheet6!$C$2,IF(Tim!JC52=Sheet6!$C$3,Sheet6!$C$3,IF(Tim!JC52=Sheet6!$C$4,Sheet6!$C$4,IF(Tim!JC52=Sheet6!$C$5,Sheet6!$C$5,IF(Tim!JC52=Sheet6!$C$6,Sheet6!$C$6,IF(Tim!JC52=Sheet6!$C$7,Sheet6!$C$7,IF(Tim!JC52=Sheet6!$C$8,Sheet6!$C$8,"")))))))</f>
        <v/>
      </c>
      <c r="DA50" s="53" t="str">
        <f>IF(Tim!JD52=Sheet6!$C$2,Sheet6!$C$2,IF(Tim!JD52=Sheet6!$C$3,Sheet6!$C$3,IF(Tim!JD52=Sheet6!$C$4,Sheet6!$C$4,IF(Tim!JD52=Sheet6!$C$5,Sheet6!$C$5,IF(Tim!JD52=Sheet6!$C$6,Sheet6!$C$6,IF(Tim!JD52=Sheet6!$C$7,Sheet6!$C$7,IF(Tim!JD52=Sheet6!$C$8,Sheet6!$C$8,"")))))))</f>
        <v/>
      </c>
      <c r="DB50" s="53" t="str">
        <f>IF(Tim!JE52=Sheet6!$C$2,Sheet6!$C$2,IF(Tim!JE52=Sheet6!$C$3,Sheet6!$C$3,IF(Tim!JE52=Sheet6!$C$4,Sheet6!$C$4,IF(Tim!JE52=Sheet6!$C$5,Sheet6!$C$5,IF(Tim!JE52=Sheet6!$C$6,Sheet6!$C$6,IF(Tim!JE52=Sheet6!$C$7,Sheet6!$C$7,IF(Tim!JE52=Sheet6!$C$8,Sheet6!$C$8,"")))))))</f>
        <v/>
      </c>
      <c r="DC50" s="53" t="str">
        <f>IF(Tim!JI52=Sheet6!$C$2,Sheet6!$C$2,IF(Tim!JI52=Sheet6!$C$3,Sheet6!$C$3,IF(Tim!JI52=Sheet6!$C$4,Sheet6!$C$4,IF(Tim!JI52=Sheet6!$C$5,Sheet6!$C$5,IF(Tim!JI52=Sheet6!$C$6,Sheet6!$C$6,IF(Tim!JI52=Sheet6!$C$7,Sheet6!$C$7,IF(Tim!JI52=Sheet6!$C$8,Sheet6!$C$8,"")))))))</f>
        <v/>
      </c>
      <c r="DD50" s="54" t="str">
        <f>IF(Tim!JJ52=Sheet6!$C$2,Sheet6!$C$2,IF(Tim!JJ52=Sheet6!$C$3,Sheet6!$C$3,IF(Tim!JJ52=Sheet6!$C$4,Sheet6!$C$4,IF(Tim!JJ52=Sheet6!$C$5,Sheet6!$C$5,IF(Tim!JJ52=Sheet6!$C$6,Sheet6!$C$6,IF(Tim!JJ52=Sheet6!$C$7,Sheet6!$C$7,IF(Tim!JJ52=Sheet6!$C$8,Sheet6!$C$8,"")))))))</f>
        <v/>
      </c>
      <c r="DE50" s="54" t="str">
        <f>IF(Tim!JK52=Sheet6!$C$2,Sheet6!$C$2,IF(Tim!JK52=Sheet6!$C$3,Sheet6!$C$3,IF(Tim!JK52=Sheet6!$C$4,Sheet6!$C$4,IF(Tim!JK52=Sheet6!$C$5,Sheet6!$C$5,IF(Tim!JK52=Sheet6!$C$6,Sheet6!$C$6,IF(Tim!JK52=Sheet6!$C$7,Sheet6!$C$7,IF(Tim!JK52=Sheet6!$C$8,Sheet6!$C$8,"")))))))</f>
        <v/>
      </c>
      <c r="DF50" s="54" t="str">
        <f>IF(Tim!JL52=Sheet6!$C$2,Sheet6!$C$2,IF(Tim!JL52=Sheet6!$C$3,Sheet6!$C$3,IF(Tim!JL52=Sheet6!$C$4,Sheet6!$C$4,IF(Tim!JL52=Sheet6!$C$5,Sheet6!$C$5,IF(Tim!JL52=Sheet6!$C$6,Sheet6!$C$6,IF(Tim!JL52=Sheet6!$C$7,Sheet6!$C$7,IF(Tim!JL52=Sheet6!$C$8,Sheet6!$C$8,"")))))))</f>
        <v/>
      </c>
      <c r="DG50" s="55" t="str">
        <f>IF(Tim!JM52=Sheet6!$C$2,Sheet6!$C$2,IF(Tim!JM52=Sheet6!$C$3,Sheet6!$C$3,IF(Tim!JM52=Sheet6!$C$4,Sheet6!$C$4,IF(Tim!JM52=Sheet6!$C$5,Sheet6!$C$5,IF(Tim!JM52=Sheet6!$C$6,Sheet6!$C$6,IF(Tim!JM52=Sheet6!$C$7,Sheet6!$C$7,IF(Tim!JM52=Sheet6!$C$8,Sheet6!$C$8,"")))))))</f>
        <v/>
      </c>
      <c r="DH50" s="422"/>
      <c r="DI50" s="423"/>
      <c r="DJ50" s="423"/>
      <c r="DK50" s="423"/>
      <c r="DL50" s="423"/>
      <c r="DM50" s="423"/>
      <c r="DN50" s="423"/>
      <c r="DO50" s="423"/>
      <c r="DP50" s="423"/>
      <c r="DQ50" s="423"/>
      <c r="DR50" s="423"/>
      <c r="DS50" s="423"/>
      <c r="DT50" s="423"/>
      <c r="DU50" s="423"/>
      <c r="DV50" s="423"/>
      <c r="DW50" s="424"/>
      <c r="DX50" s="52">
        <v>0.76041666666666496</v>
      </c>
    </row>
    <row r="51" spans="2:128" ht="10.5" customHeight="1">
      <c r="B51" s="51">
        <v>0.25</v>
      </c>
      <c r="C51" s="51">
        <v>0.25</v>
      </c>
      <c r="D51" s="51">
        <v>0.25</v>
      </c>
      <c r="E51" s="52">
        <v>0.77083333333333204</v>
      </c>
      <c r="F51" s="53" t="str">
        <f>IF(Tim!F53=Sheet6!$C$2,Sheet6!$C$2,IF(Tim!F53=Sheet6!$C$3,Sheet6!$C$3,IF(Tim!F53=Sheet6!$C$4,Sheet6!$C$4,IF(Tim!F53=Sheet6!$C$5,Sheet6!$C$5,IF(Tim!F53=Sheet6!$C$6,Sheet6!$C$6,IF(Tim!F53=Sheet6!$C$7,Sheet6!$C$7,IF(Tim!F53=Sheet6!$C$8,Sheet6!$C$8,"")))))))</f>
        <v/>
      </c>
      <c r="G51" s="53" t="str">
        <f>IF(Tim!G53=Sheet6!$C$2,Sheet6!$C$2,IF(Tim!G53=Sheet6!$C$3,Sheet6!$C$3,IF(Tim!G53=Sheet6!$C$4,Sheet6!$C$4,IF(Tim!G53=Sheet6!$C$5,Sheet6!$C$5,IF(Tim!G53=Sheet6!$C$6,Sheet6!$C$6,IF(Tim!G53=Sheet6!$C$7,Sheet6!$C$7,IF(Tim!G53=Sheet6!$C$8,Sheet6!$C$8,"")))))))</f>
        <v/>
      </c>
      <c r="H51" s="53" t="str">
        <f>IF(Tim!H53=Sheet6!$C$2,Sheet6!$C$2,IF(Tim!H53=Sheet6!$C$3,Sheet6!$C$3,IF(Tim!H53=Sheet6!$C$4,Sheet6!$C$4,IF(Tim!H53=Sheet6!$C$5,Sheet6!$C$5,IF(Tim!H53=Sheet6!$C$6,Sheet6!$C$6,IF(Tim!H53=Sheet6!$C$7,Sheet6!$C$7,IF(Tim!H53=Sheet6!$C$8,Sheet6!$C$8,"")))))))</f>
        <v/>
      </c>
      <c r="I51" s="53" t="str">
        <f>IF(Tim!L53=Sheet6!$C$2,Sheet6!$C$2,IF(Tim!L53=Sheet6!$C$3,Sheet6!$C$3,IF(Tim!L53=Sheet6!$C$4,Sheet6!$C$4,IF(Tim!L53=Sheet6!$C$5,Sheet6!$C$5,IF(Tim!L53=Sheet6!$C$6,Sheet6!$C$6,IF(Tim!L53=Sheet6!$C$7,Sheet6!$C$7,IF(Tim!L53=Sheet6!$C$8,Sheet6!$C$8,"")))))))</f>
        <v/>
      </c>
      <c r="J51" s="53" t="str">
        <f>IF(Tim!T53=Sheet6!$C$2,Sheet6!$C$2,IF(Tim!T53=Sheet6!$C$3,Sheet6!$C$3,IF(Tim!T53=Sheet6!$C$4,Sheet6!$C$4,IF(Tim!T53=Sheet6!$C$5,Sheet6!$C$5,IF(Tim!T53=Sheet6!$C$6,Sheet6!$C$6,IF(Tim!T53=Sheet6!$C$7,Sheet6!$C$7,IF(Tim!T53=Sheet6!$C$8,Sheet6!$C$8,"")))))))</f>
        <v/>
      </c>
      <c r="K51" s="53" t="str">
        <f>IF(Tim!AB53=Sheet6!$C$2,Sheet6!$C$2,IF(Tim!AB53=Sheet6!$C$3,Sheet6!$C$3,IF(Tim!AB53=Sheet6!$C$4,Sheet6!$C$4,IF(Tim!AB53=Sheet6!$C$5,Sheet6!$C$5,IF(Tim!AB53=Sheet6!$C$6,Sheet6!$C$6,IF(Tim!AB53=Sheet6!$C$7,Sheet6!$C$7,IF(Tim!AB53=Sheet6!$C$8,Sheet6!$C$8,"")))))))</f>
        <v/>
      </c>
      <c r="L51" s="53" t="str">
        <f>IF(Tim!AC53=Sheet6!$C$2,Sheet6!$C$2,IF(Tim!AC53=Sheet6!$C$3,Sheet6!$C$3,IF(Tim!AC53=Sheet6!$C$4,Sheet6!$C$4,IF(Tim!AC53=Sheet6!$C$5,Sheet6!$C$5,IF(Tim!AC53=Sheet6!$C$6,Sheet6!$C$6,IF(Tim!AC53=Sheet6!$C$7,Sheet6!$C$7,IF(Tim!AC53=Sheet6!$C$8,Sheet6!$C$8,"")))))))</f>
        <v/>
      </c>
      <c r="M51" s="53" t="str">
        <f>IF(Tim!AJ53=Sheet6!$C$2,Sheet6!$C$2,IF(Tim!AJ53=Sheet6!$C$3,Sheet6!$C$3,IF(Tim!AJ53=Sheet6!$C$4,Sheet6!$C$4,IF(Tim!AJ53=Sheet6!$C$5,Sheet6!$C$5,IF(Tim!AJ53=Sheet6!$C$6,Sheet6!$C$6,IF(Tim!AJ53=Sheet6!$C$7,Sheet6!$C$7,IF(Tim!AJ53=Sheet6!$C$8,Sheet6!$C$8,"")))))))</f>
        <v/>
      </c>
      <c r="N51" s="53" t="str">
        <f>IF(Tim!AK53=Sheet6!$C$2,Sheet6!$C$2,IF(Tim!AK53=Sheet6!$C$3,Sheet6!$C$3,IF(Tim!AK53=Sheet6!$C$4,Sheet6!$C$4,IF(Tim!AK53=Sheet6!$C$5,Sheet6!$C$5,IF(Tim!AK53=Sheet6!$C$6,Sheet6!$C$6,IF(Tim!AK53=Sheet6!$C$7,Sheet6!$C$7,IF(Tim!AK53=Sheet6!$C$8,Sheet6!$C$8,"")))))))</f>
        <v/>
      </c>
      <c r="O51" s="53" t="str">
        <f>IF(Tim!AL53=Sheet6!$C$2,Sheet6!$C$2,IF(Tim!AL53=Sheet6!$C$3,Sheet6!$C$3,IF(Tim!AL53=Sheet6!$C$4,Sheet6!$C$4,IF(Tim!AL53=Sheet6!$C$5,Sheet6!$C$5,IF(Tim!AL53=Sheet6!$C$6,Sheet6!$C$6,IF(Tim!AL53=Sheet6!$C$7,Sheet6!$C$7,IF(Tim!AL53=Sheet6!$C$8,Sheet6!$C$8,"")))))))</f>
        <v/>
      </c>
      <c r="P51" s="53" t="str">
        <f>IF(Tim!AN53=Sheet6!$C$2,Sheet6!$C$2,IF(Tim!AN53=Sheet6!$C$3,Sheet6!$C$3,IF(Tim!AN53=Sheet6!$C$4,Sheet6!$C$4,IF(Tim!AN53=Sheet6!$C$5,Sheet6!$C$5,IF(Tim!AN53=Sheet6!$C$6,Sheet6!$C$6,IF(Tim!AN53=Sheet6!$C$7,Sheet6!$C$7,IF(Tim!AN53=Sheet6!$C$8,Sheet6!$C$8,"")))))))</f>
        <v/>
      </c>
      <c r="Q51" s="176" t="str">
        <f>IF(Tim!AO53=Sheet6!$C$2,Sheet6!$C$2,IF(Tim!AO53=Sheet6!$C$3,Sheet6!$C$3,IF(Tim!AO53=Sheet6!$C$4,Sheet6!$C$4,IF(Tim!AO53=Sheet6!$C$5,Sheet6!$C$5,IF(Tim!AO53=Sheet6!$C$6,Sheet6!$C$6,IF(Tim!AO53=Sheet6!$C$7,Sheet6!$C$7,IF(Tim!AO53=Sheet6!$C$8,Sheet6!$C$8,"")))))))</f>
        <v/>
      </c>
      <c r="R51" s="53" t="str">
        <f>IF(Tim!AP53=Sheet6!$C$2,Sheet6!$C$2,IF(Tim!AP53=Sheet6!$C$3,Sheet6!$C$3,IF(Tim!AP53=Sheet6!$C$4,Sheet6!$C$4,IF(Tim!AP53=Sheet6!$C$5,Sheet6!$C$5,IF(Tim!AP53=Sheet6!$C$6,Sheet6!$C$6,IF(Tim!AP53=Sheet6!$C$7,Sheet6!$C$7,IF(Tim!AP53=Sheet6!$C$8,Sheet6!$C$8,"")))))))</f>
        <v/>
      </c>
      <c r="S51" s="53" t="str">
        <f>IF(Tim!AT53=Sheet6!$C$2,Sheet6!$C$2,IF(Tim!AT53=Sheet6!$C$3,Sheet6!$C$3,IF(Tim!AT53=Sheet6!$C$4,Sheet6!$C$4,IF(Tim!AT53=Sheet6!$C$5,Sheet6!$C$5,IF(Tim!AT53=Sheet6!$C$6,Sheet6!$C$6,IF(Tim!AT53=Sheet6!$C$7,Sheet6!$C$7,IF(Tim!AT53=Sheet6!$C$8,Sheet6!$C$8,"")))))))</f>
        <v/>
      </c>
      <c r="T51" s="54" t="str">
        <f>IF(Tim!AU53=Sheet6!$C$2,Sheet6!$C$2,IF(Tim!AU53=Sheet6!$C$3,Sheet6!$C$3,IF(Tim!AU53=Sheet6!$C$4,Sheet6!$C$4,IF(Tim!AU53=Sheet6!$C$5,Sheet6!$C$5,IF(Tim!AU53=Sheet6!$C$6,Sheet6!$C$6,IF(Tim!AU53=Sheet6!$C$7,Sheet6!$C$7,IF(Tim!AU53=Sheet6!$C$8,Sheet6!$C$8,"")))))))</f>
        <v/>
      </c>
      <c r="U51" s="54" t="str">
        <f>IF(Tim!AV53=Sheet6!$C$2,Sheet6!$C$2,IF(Tim!AV53=Sheet6!$C$3,Sheet6!$C$3,IF(Tim!AV53=Sheet6!$C$4,Sheet6!$C$4,IF(Tim!AV53=Sheet6!$C$5,Sheet6!$C$5,IF(Tim!AV53=Sheet6!$C$6,Sheet6!$C$6,IF(Tim!AV53=Sheet6!$C$7,Sheet6!$C$7,IF(Tim!AV53=Sheet6!$C$8,Sheet6!$C$8,"")))))))</f>
        <v/>
      </c>
      <c r="V51" s="54" t="str">
        <f>IF(Tim!AW53=Sheet6!$C$2,Sheet6!$C$2,IF(Tim!AW53=Sheet6!$C$3,Sheet6!$C$3,IF(Tim!AW53=Sheet6!$C$4,Sheet6!$C$4,IF(Tim!AW53=Sheet6!$C$5,Sheet6!$C$5,IF(Tim!AW53=Sheet6!$C$6,Sheet6!$C$6,IF(Tim!AW53=Sheet6!$C$7,Sheet6!$C$7,IF(Tim!AW53=Sheet6!$C$8,Sheet6!$C$8,"")))))))</f>
        <v/>
      </c>
      <c r="W51" s="55" t="str">
        <f>IF(Tim!AX53=Sheet6!$C$2,Sheet6!$C$2,IF(Tim!AX53=Sheet6!$C$3,Sheet6!$C$3,IF(Tim!AX53=Sheet6!$C$4,Sheet6!$C$4,IF(Tim!AX53=Sheet6!$C$5,Sheet6!$C$5,IF(Tim!AX53=Sheet6!$C$6,Sheet6!$C$6,IF(Tim!AX53=Sheet6!$C$7,Sheet6!$C$7,IF(Tim!AX53=Sheet6!$C$8,Sheet6!$C$8,"")))))))</f>
        <v/>
      </c>
      <c r="X51" s="53" t="str">
        <f>IF(Tim!AY53=Sheet6!$C$2,Sheet6!$C$2,IF(Tim!AY53=Sheet6!$C$3,Sheet6!$C$3,IF(Tim!AY53=Sheet6!$C$4,Sheet6!$C$4,IF(Tim!AY53=Sheet6!$C$5,Sheet6!$C$5,IF(Tim!AY53=Sheet6!$C$6,Sheet6!$C$6,IF(Tim!AY53=Sheet6!$C$7,Sheet6!$C$7,IF(Tim!AY53=Sheet6!$C$8,Sheet6!$C$8,"")))))))</f>
        <v/>
      </c>
      <c r="Y51" s="57" t="str">
        <f>IF(Tim!AZ53=Sheet6!$C$2,Sheet6!$C$2,IF(Tim!AZ53=Sheet6!$C$3,Sheet6!$C$3,IF(Tim!AZ53=Sheet6!$C$4,Sheet6!$C$4,IF(Tim!AZ53=Sheet6!$C$5,Sheet6!$C$5,IF(Tim!AZ53=Sheet6!$C$6,Sheet6!$C$6,IF(Tim!AZ53=Sheet6!$C$7,Sheet6!$C$7,IF(Tim!AZ53=Sheet6!$C$8,Sheet6!$C$8,"")))))))</f>
        <v/>
      </c>
      <c r="Z51" s="57" t="str">
        <f>IF(Tim!BE53=Sheet6!$C$2,Sheet6!$C$2,IF(Tim!BE53=Sheet6!$C$3,Sheet6!$C$3,IF(Tim!BE53=Sheet6!$C$4,Sheet6!$C$4,IF(Tim!BE53=Sheet6!$C$5,Sheet6!$C$5,IF(Tim!BE53=Sheet6!$C$6,Sheet6!$C$6,IF(Tim!BE53=Sheet6!$C$7,Sheet6!$C$7,IF(Tim!BE53=Sheet6!$C$8,Sheet6!$C$8,"")))))))</f>
        <v/>
      </c>
      <c r="AA51" s="57" t="str">
        <f>IF(Tim!BF53=Sheet6!$C$2,Sheet6!$C$2,IF(Tim!BF53=Sheet6!$C$3,Sheet6!$C$3,IF(Tim!BF53=Sheet6!$C$4,Sheet6!$C$4,IF(Tim!BF53=Sheet6!$C$5,Sheet6!$C$5,IF(Tim!BF53=Sheet6!$C$6,Sheet6!$C$6,IF(Tim!BF53=Sheet6!$C$7,Sheet6!$C$7,IF(Tim!BF53=Sheet6!$C$8,Sheet6!$C$8,"")))))))</f>
        <v/>
      </c>
      <c r="AB51" s="57" t="str">
        <f>IF(Tim!BL53=Sheet6!$C$2,Sheet6!$C$2,IF(Tim!BL53=Sheet6!$C$3,Sheet6!$C$3,IF(Tim!BL53=Sheet6!$C$4,Sheet6!$C$4,IF(Tim!BL53=Sheet6!$C$5,Sheet6!$C$5,IF(Tim!BL53=Sheet6!$C$6,Sheet6!$C$6,IF(Tim!BL53=Sheet6!$C$7,Sheet6!$C$7,IF(Tim!BL53=Sheet6!$C$8,Sheet6!$C$8,"")))))))</f>
        <v/>
      </c>
      <c r="AC51" s="53" t="str">
        <f>IF(Tim!BT53=Sheet6!$C$2,Sheet6!$C$2,IF(Tim!BT53=Sheet6!$C$3,Sheet6!$C$3,IF(Tim!BT53=Sheet6!$C$4,Sheet6!$C$4,IF(Tim!BT53=Sheet6!$C$5,Sheet6!$C$5,IF(Tim!BT53=Sheet6!$C$6,Sheet6!$C$6,IF(Tim!BT53=Sheet6!$C$7,Sheet6!$C$7,IF(Tim!BT53=Sheet6!$C$8,Sheet6!$C$8,"")))))))</f>
        <v/>
      </c>
      <c r="AD51" s="53" t="str">
        <f>IF(Tim!BU53=Sheet6!$C$2,Sheet6!$C$2,IF(Tim!BU53=Sheet6!$C$3,Sheet6!$C$3,IF(Tim!BU53=Sheet6!$C$4,Sheet6!$C$4,IF(Tim!BU53=Sheet6!$C$5,Sheet6!$C$5,IF(Tim!BU53=Sheet6!$C$6,Sheet6!$C$6,IF(Tim!BU53=Sheet6!$C$7,Sheet6!$C$7,IF(Tim!BU53=Sheet6!$C$8,Sheet6!$C$8,"")))))))</f>
        <v/>
      </c>
      <c r="AE51" s="53" t="str">
        <f>IF(Tim!CB53=Sheet6!$C$2,Sheet6!$C$2,IF(Tim!CB53=Sheet6!$C$3,Sheet6!$C$3,IF(Tim!CB53=Sheet6!$C$4,Sheet6!$C$4,IF(Tim!CB53=Sheet6!$C$5,Sheet6!$C$5,IF(Tim!CB53=Sheet6!$C$6,Sheet6!$C$6,IF(Tim!CB53=Sheet6!$C$7,Sheet6!$C$7,IF(Tim!CB53=Sheet6!$C$8,Sheet6!$C$8,"")))))))</f>
        <v/>
      </c>
      <c r="AF51" s="53" t="str">
        <f>IF(Tim!CD53=Sheet6!$C$2,Sheet6!$C$2,IF(Tim!CD53=Sheet6!$C$3,Sheet6!$C$3,IF(Tim!CD53=Sheet6!$C$4,Sheet6!$C$4,IF(Tim!CD53=Sheet6!$C$5,Sheet6!$C$5,IF(Tim!CD53=Sheet6!$C$6,Sheet6!$C$6,IF(Tim!CD53=Sheet6!$C$7,Sheet6!$C$7,IF(Tim!CD53=Sheet6!$C$8,Sheet6!$C$8,"")))))))</f>
        <v/>
      </c>
      <c r="AG51" s="53" t="str">
        <f>IF(Tim!CE53=Sheet6!$C$2,Sheet6!$C$2,IF(Tim!CE53=Sheet6!$C$3,Sheet6!$C$3,IF(Tim!CE53=Sheet6!$C$4,Sheet6!$C$4,IF(Tim!CE53=Sheet6!$C$5,Sheet6!$C$5,IF(Tim!CE53=Sheet6!$C$6,Sheet6!$C$6,IF(Tim!CE53=Sheet6!$C$7,Sheet6!$C$7,IF(Tim!CE53=Sheet6!$C$8,Sheet6!$C$8,"")))))))</f>
        <v/>
      </c>
      <c r="AH51" s="53" t="str">
        <f>IF(Tim!CF53=Sheet6!$C$2,Sheet6!$C$2,IF(Tim!CF53=Sheet6!$C$3,Sheet6!$C$3,IF(Tim!CF53=Sheet6!$C$4,Sheet6!$C$4,IF(Tim!CF53=Sheet6!$C$5,Sheet6!$C$5,IF(Tim!CF53=Sheet6!$C$6,Sheet6!$C$6,IF(Tim!CF53=Sheet6!$C$7,Sheet6!$C$7,IF(Tim!CF53=Sheet6!$C$8,Sheet6!$C$8,"")))))))</f>
        <v/>
      </c>
      <c r="AI51" s="176" t="str">
        <f>IF(Tim!CG53=Sheet6!$C$2,Sheet6!$C$2,IF(Tim!CG53=Sheet6!$C$3,Sheet6!$C$3,IF(Tim!CG53=Sheet6!$C$4,Sheet6!$C$4,IF(Tim!CG53=Sheet6!$C$5,Sheet6!$C$5,IF(Tim!CG53=Sheet6!$C$6,Sheet6!$C$6,IF(Tim!CG53=Sheet6!$C$7,Sheet6!$C$7,IF(Tim!CG53=Sheet6!$C$8,Sheet6!$C$8,"")))))))</f>
        <v/>
      </c>
      <c r="AJ51" s="53" t="str">
        <f>IF(Tim!CH53=Sheet6!$C$2,Sheet6!$C$2,IF(Tim!CH53=Sheet6!$C$3,Sheet6!$C$3,IF(Tim!CH53=Sheet6!$C$4,Sheet6!$C$4,IF(Tim!CH53=Sheet6!$C$5,Sheet6!$C$5,IF(Tim!CH53=Sheet6!$C$6,Sheet6!$C$6,IF(Tim!CH53=Sheet6!$C$7,Sheet6!$C$7,IF(Tim!CH53=Sheet6!$C$8,Sheet6!$C$8,"")))))))</f>
        <v/>
      </c>
      <c r="AK51" s="53" t="str">
        <f>IF(Tim!CL53=Sheet6!$C$2,Sheet6!$C$2,IF(Tim!CL53=Sheet6!$C$3,Sheet6!$C$3,IF(Tim!CL53=Sheet6!$C$4,Sheet6!$C$4,IF(Tim!CL53=Sheet6!$C$5,Sheet6!$C$5,IF(Tim!CL53=Sheet6!$C$6,Sheet6!$C$6,IF(Tim!CL53=Sheet6!$C$7,Sheet6!$C$7,IF(Tim!CL53=Sheet6!$C$8,Sheet6!$C$8,"")))))))</f>
        <v/>
      </c>
      <c r="AL51" s="54" t="str">
        <f>IF(Tim!CM53=Sheet6!$C$2,Sheet6!$C$2,IF(Tim!CM53=Sheet6!$C$3,Sheet6!$C$3,IF(Tim!CM53=Sheet6!$C$4,Sheet6!$C$4,IF(Tim!CM53=Sheet6!$C$5,Sheet6!$C$5,IF(Tim!CM53=Sheet6!$C$6,Sheet6!$C$6,IF(Tim!CM53=Sheet6!$C$7,Sheet6!$C$7,IF(Tim!CM53=Sheet6!$C$8,Sheet6!$C$8,"")))))))</f>
        <v/>
      </c>
      <c r="AM51" s="54" t="str">
        <f>IF(Tim!CN53=Sheet6!$C$2,Sheet6!$C$2,IF(Tim!CN53=Sheet6!$C$3,Sheet6!$C$3,IF(Tim!CN53=Sheet6!$C$4,Sheet6!$C$4,IF(Tim!CN53=Sheet6!$C$5,Sheet6!$C$5,IF(Tim!CN53=Sheet6!$C$6,Sheet6!$C$6,IF(Tim!CN53=Sheet6!$C$7,Sheet6!$C$7,IF(Tim!CN53=Sheet6!$C$8,Sheet6!$C$8,"")))))))</f>
        <v/>
      </c>
      <c r="AN51" s="54" t="str">
        <f>IF(Tim!CO53=Sheet6!$C$2,Sheet6!$C$2,IF(Tim!CO53=Sheet6!$C$3,Sheet6!$C$3,IF(Tim!CO53=Sheet6!$C$4,Sheet6!$C$4,IF(Tim!CO53=Sheet6!$C$5,Sheet6!$C$5,IF(Tim!CO53=Sheet6!$C$6,Sheet6!$C$6,IF(Tim!CO53=Sheet6!$C$7,Sheet6!$C$7,IF(Tim!CO53=Sheet6!$C$8,Sheet6!$C$8,"")))))))</f>
        <v/>
      </c>
      <c r="AO51" s="177" t="str">
        <f>IF(Tim!CP53=Sheet6!$C$2,Sheet6!$C$2,IF(Tim!CP53=Sheet6!$C$3,Sheet6!$C$3,IF(Tim!CP53=Sheet6!$C$4,Sheet6!$C$4,IF(Tim!CP53=Sheet6!$C$5,Sheet6!$C$5,IF(Tim!CP53=Sheet6!$C$6,Sheet6!$C$6,IF(Tim!CP53=Sheet6!$C$7,Sheet6!$C$7,IF(Tim!CP53=Sheet6!$C$8,Sheet6!$C$8,"")))))))</f>
        <v/>
      </c>
      <c r="AP51" s="57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Q51" s="57" t="str">
        <f>IF(Tim!CQ53=Sheet6!$C$2,Sheet6!$C$2,IF(Tim!CQ53=Sheet6!$C$3,Sheet6!$C$3,IF(Tim!CQ53=Sheet6!$C$4,Sheet6!$C$4,IF(Tim!CQ53=Sheet6!$C$5,Sheet6!$C$5,IF(Tim!CQ53=Sheet6!$C$6,Sheet6!$C$6,IF(Tim!CQ53=Sheet6!$C$7,Sheet6!$C$7,IF(Tim!CQ53=Sheet6!$C$8,Sheet6!$C$8,"")))))))</f>
        <v/>
      </c>
      <c r="AR51" s="57" t="str">
        <f>IF(Tim!CU53=Sheet6!$C$2,Sheet6!$C$2,IF(Tim!CU53=Sheet6!$C$3,Sheet6!$C$3,IF(Tim!CU53=Sheet6!$C$4,Sheet6!$C$4,IF(Tim!CU53=Sheet6!$C$5,Sheet6!$C$5,IF(Tim!CU53=Sheet6!$C$6,Sheet6!$C$6,IF(Tim!CU53=Sheet6!$C$7,Sheet6!$C$7,IF(Tim!CU53=Sheet6!$C$8,Sheet6!$C$8,"")))))))</f>
        <v/>
      </c>
      <c r="AS51" s="57" t="str">
        <f>IF(Tim!CV53=Sheet6!$C$2,Sheet6!$C$2,IF(Tim!CV53=Sheet6!$C$3,Sheet6!$C$3,IF(Tim!CV53=Sheet6!$C$4,Sheet6!$C$4,IF(Tim!CV53=Sheet6!$C$5,Sheet6!$C$5,IF(Tim!CV53=Sheet6!$C$6,Sheet6!$C$6,IF(Tim!CV53=Sheet6!$C$7,Sheet6!$C$7,IF(Tim!CV53=Sheet6!$C$8,Sheet6!$C$8,"")))))))</f>
        <v/>
      </c>
      <c r="AT51" s="57" t="str">
        <f>IF(Tim!DA53=Sheet6!$C$2,Sheet6!$C$2,IF(Tim!DA53=Sheet6!$C$3,Sheet6!$C$3,IF(Tim!DA53=Sheet6!$C$4,Sheet6!$C$4,IF(Tim!DA53=Sheet6!$C$5,Sheet6!$C$5,IF(Tim!DA53=Sheet6!$C$6,Sheet6!$C$6,IF(Tim!DA53=Sheet6!$C$7,Sheet6!$C$7,IF(Tim!DA53=Sheet6!$C$8,Sheet6!$C$8,"")))))))</f>
        <v/>
      </c>
      <c r="AU51" s="53" t="str">
        <f>IF(Tim!DO53=Sheet6!$C$2,Sheet6!$C$2,IF(Tim!DO53=Sheet6!$C$3,Sheet6!$C$3,IF(Tim!DO53=Sheet6!$C$4,Sheet6!$C$4,IF(Tim!DO53=Sheet6!$C$5,Sheet6!$C$5,IF(Tim!DO53=Sheet6!$C$6,Sheet6!$C$6,IF(Tim!DO53=Sheet6!$C$7,Sheet6!$C$7,IF(Tim!DO53=Sheet6!$C$8,Sheet6!$C$8,"")))))))</f>
        <v/>
      </c>
      <c r="AV51" s="53" t="str">
        <f>IF(Tim!DP53=Sheet6!$C$2,Sheet6!$C$2,IF(Tim!DP53=Sheet6!$C$3,Sheet6!$C$3,IF(Tim!DP53=Sheet6!$C$4,Sheet6!$C$4,IF(Tim!DP53=Sheet6!$C$5,Sheet6!$C$5,IF(Tim!DP53=Sheet6!$C$6,Sheet6!$C$6,IF(Tim!DP53=Sheet6!$C$7,Sheet6!$C$7,IF(Tim!DP53=Sheet6!$C$8,Sheet6!$C$8,"")))))))</f>
        <v/>
      </c>
      <c r="AW51" s="53" t="str">
        <f>IF(Tim!DX53=Sheet6!$C$2,Sheet6!$C$2,IF(Tim!DX53=Sheet6!$C$3,Sheet6!$C$3,IF(Tim!DX53=Sheet6!$C$4,Sheet6!$C$4,IF(Tim!DX53=Sheet6!$C$5,Sheet6!$C$5,IF(Tim!DX53=Sheet6!$C$6,Sheet6!$C$6,IF(Tim!DX53=Sheet6!$C$7,Sheet6!$C$7,IF(Tim!DX53=Sheet6!$C$8,Sheet6!$C$8,"")))))))</f>
        <v/>
      </c>
      <c r="AX51" s="53" t="str">
        <f>IF(Tim!DY53=Sheet6!$C$2,Sheet6!$C$2,IF(Tim!DY53=Sheet6!$C$3,Sheet6!$C$3,IF(Tim!DY53=Sheet6!$C$4,Sheet6!$C$4,IF(Tim!DY53=Sheet6!$C$5,Sheet6!$C$5,IF(Tim!DY53=Sheet6!$C$6,Sheet6!$C$6,IF(Tim!DY53=Sheet6!$C$7,Sheet6!$C$7,IF(Tim!DY53=Sheet6!$C$8,Sheet6!$C$8,"")))))))</f>
        <v/>
      </c>
      <c r="AY51" s="53" t="str">
        <f>IF(Tim!DZ53=Sheet6!$C$2,Sheet6!$C$2,IF(Tim!DZ53=Sheet6!$C$3,Sheet6!$C$3,IF(Tim!DZ53=Sheet6!$C$4,Sheet6!$C$4,IF(Tim!DZ53=Sheet6!$C$5,Sheet6!$C$5,IF(Tim!DZ53=Sheet6!$C$6,Sheet6!$C$6,IF(Tim!DZ53=Sheet6!$C$7,Sheet6!$C$7,IF(Tim!DZ53=Sheet6!$C$8,Sheet6!$C$8,"")))))))</f>
        <v/>
      </c>
      <c r="AZ51" s="53" t="str">
        <f>IF(Tim!EA53=Sheet6!$C$2,Sheet6!$C$2,IF(Tim!EA53=Sheet6!$C$3,Sheet6!$C$3,IF(Tim!EA53=Sheet6!$C$4,Sheet6!$C$4,IF(Tim!EA53=Sheet6!$C$5,Sheet6!$C$5,IF(Tim!EA53=Sheet6!$C$6,Sheet6!$C$6,IF(Tim!EA53=Sheet6!$C$7,Sheet6!$C$7,IF(Tim!EA53=Sheet6!$C$8,Sheet6!$C$8,"")))))))</f>
        <v/>
      </c>
      <c r="BA51" s="176" t="str">
        <f>IF(Tim!EB53=Sheet6!$C$2,Sheet6!$C$2,IF(Tim!EB53=Sheet6!$C$3,Sheet6!$C$3,IF(Tim!EB53=Sheet6!$C$4,Sheet6!$C$4,IF(Tim!EB53=Sheet6!$C$5,Sheet6!$C$5,IF(Tim!EB53=Sheet6!$C$6,Sheet6!$C$6,IF(Tim!EB53=Sheet6!$C$7,Sheet6!$C$7,IF(Tim!EB53=Sheet6!$C$8,Sheet6!$C$8,"")))))))</f>
        <v/>
      </c>
      <c r="BB51" s="53" t="str">
        <f>IF(Tim!EC53=Sheet6!$C$2,Sheet6!$C$2,IF(Tim!EC53=Sheet6!$C$3,Sheet6!$C$3,IF(Tim!EC53=Sheet6!$C$4,Sheet6!$C$4,IF(Tim!EC53=Sheet6!$C$5,Sheet6!$C$5,IF(Tim!EC53=Sheet6!$C$6,Sheet6!$C$6,IF(Tim!EC53=Sheet6!$C$7,Sheet6!$C$7,IF(Tim!EC53=Sheet6!$C$8,Sheet6!$C$8,"")))))))</f>
        <v/>
      </c>
      <c r="BC51" s="53" t="str">
        <f>IF(Tim!EG53=Sheet6!$C$2,Sheet6!$C$2,IF(Tim!EG53=Sheet6!$C$3,Sheet6!$C$3,IF(Tim!EG53=Sheet6!$C$4,Sheet6!$C$4,IF(Tim!EG53=Sheet6!$C$5,Sheet6!$C$5,IF(Tim!EG53=Sheet6!$C$6,Sheet6!$C$6,IF(Tim!EG53=Sheet6!$C$7,Sheet6!$C$7,IF(Tim!EG53=Sheet6!$C$8,Sheet6!$C$8,"")))))))</f>
        <v/>
      </c>
      <c r="BD51" s="54" t="str">
        <f>IF(Tim!EH53=Sheet6!$C$2,Sheet6!$C$2,IF(Tim!EH53=Sheet6!$C$3,Sheet6!$C$3,IF(Tim!EH53=Sheet6!$C$4,Sheet6!$C$4,IF(Tim!EH53=Sheet6!$C$5,Sheet6!$C$5,IF(Tim!EH53=Sheet6!$C$6,Sheet6!$C$6,IF(Tim!EH53=Sheet6!$C$7,Sheet6!$C$7,IF(Tim!EH53=Sheet6!$C$8,Sheet6!$C$8,"")))))))</f>
        <v/>
      </c>
      <c r="BE51" s="54" t="str">
        <f>IF(Tim!EI53=Sheet6!$C$2,Sheet6!$C$2,IF(Tim!EI53=Sheet6!$C$3,Sheet6!$C$3,IF(Tim!EI53=Sheet6!$C$4,Sheet6!$C$4,IF(Tim!EI53=Sheet6!$C$5,Sheet6!$C$5,IF(Tim!EI53=Sheet6!$C$6,Sheet6!$C$6,IF(Tim!EI53=Sheet6!$C$7,Sheet6!$C$7,IF(Tim!EI53=Sheet6!$C$8,Sheet6!$C$8,"")))))))</f>
        <v/>
      </c>
      <c r="BF51" s="54" t="str">
        <f>IF(Tim!EJ53=Sheet6!$C$2,Sheet6!$C$2,IF(Tim!EJ53=Sheet6!$C$3,Sheet6!$C$3,IF(Tim!EJ53=Sheet6!$C$4,Sheet6!$C$4,IF(Tim!EJ53=Sheet6!$C$5,Sheet6!$C$5,IF(Tim!EJ53=Sheet6!$C$6,Sheet6!$C$6,IF(Tim!EJ53=Sheet6!$C$7,Sheet6!$C$7,IF(Tim!EJ53=Sheet6!$C$8,Sheet6!$C$8,"")))))))</f>
        <v/>
      </c>
      <c r="BG51" s="55" t="str">
        <f>IF(Tim!EK53=Sheet6!$C$2,Sheet6!$C$2,IF(Tim!EK53=Sheet6!$C$3,Sheet6!$C$3,IF(Tim!EK53=Sheet6!$C$4,Sheet6!$C$4,IF(Tim!EK53=Sheet6!$C$5,Sheet6!$C$5,IF(Tim!EK53=Sheet6!$C$6,Sheet6!$C$6,IF(Tim!EK53=Sheet6!$C$7,Sheet6!$C$7,IF(Tim!EK53=Sheet6!$C$8,Sheet6!$C$8,"")))))))</f>
        <v/>
      </c>
      <c r="BH51" s="57" t="str">
        <f>IF(Tim!EL53=Sheet6!$C$2,Sheet6!$C$2,IF(Tim!EL53=Sheet6!$C$3,Sheet6!$C$3,IF(Tim!EL53=Sheet6!$C$4,Sheet6!$C$4,IF(Tim!EL53=Sheet6!$C$5,Sheet6!$C$5,IF(Tim!EL53=Sheet6!$C$6,Sheet6!$C$6,IF(Tim!EL53=Sheet6!$C$7,Sheet6!$C$7,IF(Tim!EL53=Sheet6!$C$8,Sheet6!$C$8,"")))))))</f>
        <v/>
      </c>
      <c r="BI51" s="57" t="str">
        <f>IF(Tim!EM53=Sheet6!$C$2,Sheet6!$C$2,IF(Tim!EM53=Sheet6!$C$3,Sheet6!$C$3,IF(Tim!EM53=Sheet6!$C$4,Sheet6!$C$4,IF(Tim!EM53=Sheet6!$C$5,Sheet6!$C$5,IF(Tim!EM53=Sheet6!$C$6,Sheet6!$C$6,IF(Tim!EM53=Sheet6!$C$7,Sheet6!$C$7,IF(Tim!EM53=Sheet6!$C$8,Sheet6!$C$8,"")))))))</f>
        <v/>
      </c>
      <c r="BJ51" s="57" t="str">
        <f>IF(Tim!EQ53=Sheet6!$C$2,Sheet6!$C$2,IF(Tim!EQ53=Sheet6!$C$3,Sheet6!$C$3,IF(Tim!EQ53=Sheet6!$C$4,Sheet6!$C$4,IF(Tim!EQ53=Sheet6!$C$5,Sheet6!$C$5,IF(Tim!EQ53=Sheet6!$C$6,Sheet6!$C$6,IF(Tim!EQ53=Sheet6!$C$7,Sheet6!$C$7,IF(Tim!EQ53=Sheet6!$C$8,Sheet6!$C$8,"")))))))</f>
        <v/>
      </c>
      <c r="BK51" s="57" t="str">
        <f>IF(Tim!ER53=Sheet6!$C$2,Sheet6!$C$2,IF(Tim!ER53=Sheet6!$C$3,Sheet6!$C$3,IF(Tim!ER53=Sheet6!$C$4,Sheet6!$C$4,IF(Tim!ER53=Sheet6!$C$5,Sheet6!$C$5,IF(Tim!ER53=Sheet6!$C$6,Sheet6!$C$6,IF(Tim!ER53=Sheet6!$C$7,Sheet6!$C$7,IF(Tim!ER53=Sheet6!$C$8,Sheet6!$C$8,"")))))))</f>
        <v/>
      </c>
      <c r="BL51" s="57" t="str">
        <f>IF(Tim!EZ53=Sheet6!$C$2,Sheet6!$C$2,IF(Tim!EZ53=Sheet6!$C$3,Sheet6!$C$3,IF(Tim!EZ53=Sheet6!$C$4,Sheet6!$C$4,IF(Tim!EZ53=Sheet6!$C$5,Sheet6!$C$5,IF(Tim!EZ53=Sheet6!$C$6,Sheet6!$C$6,IF(Tim!EZ53=Sheet6!$C$7,Sheet6!$C$7,IF(Tim!EZ53=Sheet6!$C$8,Sheet6!$C$8,"")))))))</f>
        <v/>
      </c>
      <c r="BM51" s="53" t="str">
        <f>IF(Tim!FG53=Sheet6!$C$2,Sheet6!$C$2,IF(Tim!FG53=Sheet6!$C$3,Sheet6!$C$3,IF(Tim!FG53=Sheet6!$C$4,Sheet6!$C$4,IF(Tim!FG53=Sheet6!$C$5,Sheet6!$C$5,IF(Tim!FG53=Sheet6!$C$6,Sheet6!$C$6,IF(Tim!FG53=Sheet6!$C$7,Sheet6!$C$7,IF(Tim!FG53=Sheet6!$C$8,Sheet6!$C$8,"")))))))</f>
        <v/>
      </c>
      <c r="BN51" s="53" t="str">
        <f>IF(Tim!FH53=Sheet6!$C$2,Sheet6!$C$2,IF(Tim!FH53=Sheet6!$C$3,Sheet6!$C$3,IF(Tim!FH53=Sheet6!$C$4,Sheet6!$C$4,IF(Tim!FH53=Sheet6!$C$5,Sheet6!$C$5,IF(Tim!FH53=Sheet6!$C$6,Sheet6!$C$6,IF(Tim!FH53=Sheet6!$C$7,Sheet6!$C$7,IF(Tim!FH53=Sheet6!$C$8,Sheet6!$C$8,"")))))))</f>
        <v/>
      </c>
      <c r="BO51" s="53" t="str">
        <f>IF(Tim!FP53=Sheet6!$C$2,Sheet6!$C$2,IF(Tim!FP53=Sheet6!$C$3,Sheet6!$C$3,IF(Tim!FP53=Sheet6!$C$4,Sheet6!$C$4,IF(Tim!FP53=Sheet6!$C$5,Sheet6!$C$5,IF(Tim!FP53=Sheet6!$C$6,Sheet6!$C$6,IF(Tim!FP53=Sheet6!$C$7,Sheet6!$C$7,IF(Tim!FP53=Sheet6!$C$8,Sheet6!$C$8,"")))))))</f>
        <v/>
      </c>
      <c r="BP51" s="53" t="str">
        <f>IF(Tim!FQ53=Sheet6!$C$2,Sheet6!$C$2,IF(Tim!FQ53=Sheet6!$C$3,Sheet6!$C$3,IF(Tim!FQ53=Sheet6!$C$4,Sheet6!$C$4,IF(Tim!FQ53=Sheet6!$C$5,Sheet6!$C$5,IF(Tim!FQ53=Sheet6!$C$6,Sheet6!$C$6,IF(Tim!FQ53=Sheet6!$C$7,Sheet6!$C$7,IF(Tim!FQ53=Sheet6!$C$8,Sheet6!$C$8,"")))))))</f>
        <v/>
      </c>
      <c r="BQ51" s="53" t="str">
        <f>IF(Tim!FR53=Sheet6!$C$2,Sheet6!$C$2,IF(Tim!FR53=Sheet6!$C$3,Sheet6!$C$3,IF(Tim!FR53=Sheet6!$C$4,Sheet6!$C$4,IF(Tim!FR53=Sheet6!$C$5,Sheet6!$C$5,IF(Tim!FR53=Sheet6!$C$6,Sheet6!$C$6,IF(Tim!FR53=Sheet6!$C$7,Sheet6!$C$7,IF(Tim!FR53=Sheet6!$C$8,Sheet6!$C$8,"")))))))</f>
        <v/>
      </c>
      <c r="BR51" s="53" t="str">
        <f>IF(Tim!FS53=Sheet6!$C$2,Sheet6!$C$2,IF(Tim!FS53=Sheet6!$C$3,Sheet6!$C$3,IF(Tim!FS53=Sheet6!$C$4,Sheet6!$C$4,IF(Tim!FS53=Sheet6!$C$5,Sheet6!$C$5,IF(Tim!FS53=Sheet6!$C$6,Sheet6!$C$6,IF(Tim!FS53=Sheet6!$C$7,Sheet6!$C$7,IF(Tim!FS53=Sheet6!$C$8,Sheet6!$C$8,"")))))))</f>
        <v/>
      </c>
      <c r="BS51" s="53" t="str">
        <f>IF(Tim!FT53=Sheet6!$C$2,Sheet6!$C$2,IF(Tim!FT53=Sheet6!$C$3,Sheet6!$C$3,IF(Tim!FT53=Sheet6!$C$4,Sheet6!$C$4,IF(Tim!FT53=Sheet6!$C$5,Sheet6!$C$5,IF(Tim!FT53=Sheet6!$C$6,Sheet6!$C$6,IF(Tim!FT53=Sheet6!$C$7,Sheet6!$C$7,IF(Tim!FT53=Sheet6!$C$8,Sheet6!$C$8,"")))))))</f>
        <v/>
      </c>
      <c r="BT51" s="53" t="str">
        <f>IF(Tim!FU53=Sheet6!$C$2,Sheet6!$C$2,IF(Tim!FU53=Sheet6!$C$3,Sheet6!$C$3,IF(Tim!FU53=Sheet6!$C$4,Sheet6!$C$4,IF(Tim!FU53=Sheet6!$C$5,Sheet6!$C$5,IF(Tim!FU53=Sheet6!$C$6,Sheet6!$C$6,IF(Tim!FU53=Sheet6!$C$7,Sheet6!$C$7,IF(Tim!FU53=Sheet6!$C$8,Sheet6!$C$8,"")))))))</f>
        <v/>
      </c>
      <c r="BU51" s="53" t="str">
        <f>IF(Tim!FY53=Sheet6!$C$2,Sheet6!$C$2,IF(Tim!FY53=Sheet6!$C$3,Sheet6!$C$3,IF(Tim!FY53=Sheet6!$C$4,Sheet6!$C$4,IF(Tim!FY53=Sheet6!$C$5,Sheet6!$C$5,IF(Tim!FY53=Sheet6!$C$6,Sheet6!$C$6,IF(Tim!FY53=Sheet6!$C$7,Sheet6!$C$7,IF(Tim!FY53=Sheet6!$C$8,Sheet6!$C$8,"")))))))</f>
        <v/>
      </c>
      <c r="BV51" s="54" t="str">
        <f>IF(Tim!FZ53=Sheet6!$C$2,Sheet6!$C$2,IF(Tim!FZ53=Sheet6!$C$3,Sheet6!$C$3,IF(Tim!FZ53=Sheet6!$C$4,Sheet6!$C$4,IF(Tim!FZ53=Sheet6!$C$5,Sheet6!$C$5,IF(Tim!FZ53=Sheet6!$C$6,Sheet6!$C$6,IF(Tim!FZ53=Sheet6!$C$7,Sheet6!$C$7,IF(Tim!FZ53=Sheet6!$C$8,Sheet6!$C$8,"")))))))</f>
        <v/>
      </c>
      <c r="BW51" s="54" t="str">
        <f>IF(Tim!GA53=Sheet6!$C$2,Sheet6!$C$2,IF(Tim!GA53=Sheet6!$C$3,Sheet6!$C$3,IF(Tim!GA53=Sheet6!$C$4,Sheet6!$C$4,IF(Tim!GA53=Sheet6!$C$5,Sheet6!$C$5,IF(Tim!GA53=Sheet6!$C$6,Sheet6!$C$6,IF(Tim!GA53=Sheet6!$C$7,Sheet6!$C$7,IF(Tim!GA53=Sheet6!$C$8,Sheet6!$C$8,"")))))))</f>
        <v/>
      </c>
      <c r="BX51" s="54" t="str">
        <f>IF(Tim!GB53=Sheet6!$C$2,Sheet6!$C$2,IF(Tim!GB53=Sheet6!$C$3,Sheet6!$C$3,IF(Tim!GB53=Sheet6!$C$4,Sheet6!$C$4,IF(Tim!GB53=Sheet6!$C$5,Sheet6!$C$5,IF(Tim!GB53=Sheet6!$C$6,Sheet6!$C$6,IF(Tim!GB53=Sheet6!$C$7,Sheet6!$C$7,IF(Tim!GB53=Sheet6!$C$8,Sheet6!$C$8,"")))))))</f>
        <v/>
      </c>
      <c r="BY51" s="55" t="str">
        <f>IF(Tim!GC53=Sheet6!$C$2,Sheet6!$C$2,IF(Tim!GC53=Sheet6!$C$3,Sheet6!$C$3,IF(Tim!GC53=Sheet6!$C$4,Sheet6!$C$4,IF(Tim!GC53=Sheet6!$C$5,Sheet6!$C$5,IF(Tim!GC53=Sheet6!$C$6,Sheet6!$C$6,IF(Tim!GC53=Sheet6!$C$7,Sheet6!$C$7,IF(Tim!GC53=Sheet6!$C$8,Sheet6!$C$8,"")))))))</f>
        <v/>
      </c>
      <c r="BZ51" s="53" t="str">
        <f>IF(Tim!GD53=Sheet6!$C$2,Sheet6!$C$2,IF(Tim!GD53=Sheet6!$C$3,Sheet6!$C$3,IF(Tim!GD53=Sheet6!$C$4,Sheet6!$C$4,IF(Tim!GD53=Sheet6!$C$5,Sheet6!$C$5,IF(Tim!GD53=Sheet6!$C$6,Sheet6!$C$6,IF(Tim!GD53=Sheet6!$C$7,Sheet6!$C$7,IF(Tim!GD53=Sheet6!$C$8,Sheet6!$C$8,"")))))))</f>
        <v/>
      </c>
      <c r="CA51" s="57" t="str">
        <f>IF(Tim!GE53=Sheet6!$C$2,Sheet6!$C$2,IF(Tim!GE53=Sheet6!$C$3,Sheet6!$C$3,IF(Tim!GE53=Sheet6!$C$4,Sheet6!$C$4,IF(Tim!GE53=Sheet6!$C$5,Sheet6!$C$5,IF(Tim!GE53=Sheet6!$C$6,Sheet6!$C$6,IF(Tim!GE53=Sheet6!$C$7,Sheet6!$C$7,IF(Tim!GE53=Sheet6!$C$8,Sheet6!$C$8,"")))))))</f>
        <v/>
      </c>
      <c r="CB51" s="57" t="str">
        <f>IF(Tim!GI53=Sheet6!$C$2,Sheet6!$C$2,IF(Tim!GI53=Sheet6!$C$3,Sheet6!$C$3,IF(Tim!GI53=Sheet6!$C$4,Sheet6!$C$4,IF(Tim!GI53=Sheet6!$C$5,Sheet6!$C$5,IF(Tim!GI53=Sheet6!$C$6,Sheet6!$C$6,IF(Tim!GI53=Sheet6!$C$7,Sheet6!$C$7,IF(Tim!GI53=Sheet6!$C$8,Sheet6!$C$8,"")))))))</f>
        <v/>
      </c>
      <c r="CC51" s="57" t="str">
        <f>IF(Tim!GJ53=Sheet6!$C$2,Sheet6!$C$2,IF(Tim!GJ53=Sheet6!$C$3,Sheet6!$C$3,IF(Tim!GJ53=Sheet6!$C$4,Sheet6!$C$4,IF(Tim!GJ53=Sheet6!$C$5,Sheet6!$C$5,IF(Tim!GJ53=Sheet6!$C$6,Sheet6!$C$6,IF(Tim!GJ53=Sheet6!$C$7,Sheet6!$C$7,IF(Tim!GJ53=Sheet6!$C$8,Sheet6!$C$8,"")))))))</f>
        <v/>
      </c>
      <c r="CD51" s="57" t="str">
        <f>IF(Tim!GN53=Sheet6!$C$2,Sheet6!$C$2,IF(Tim!GN53=Sheet6!$C$3,Sheet6!$C$3,IF(Tim!GN53=Sheet6!$C$4,Sheet6!$C$4,IF(Tim!GN53=Sheet6!$C$5,Sheet6!$C$5,IF(Tim!GN53=Sheet6!$C$6,Sheet6!$C$6,IF(Tim!GN53=Sheet6!$C$7,Sheet6!$C$7,IF(Tim!GN53=Sheet6!$C$8,Sheet6!$C$8,"")))))))</f>
        <v/>
      </c>
      <c r="CE51" s="53" t="str">
        <f>IF(Tim!GY53=Sheet6!$C$2,Sheet6!$C$2,IF(Tim!GY53=Sheet6!$C$3,Sheet6!$C$3,IF(Tim!GY53=Sheet6!$C$4,Sheet6!$C$4,IF(Tim!GY53=Sheet6!$C$5,Sheet6!$C$5,IF(Tim!GY53=Sheet6!$C$6,Sheet6!$C$6,IF(Tim!GY53=Sheet6!$C$7,Sheet6!$C$7,IF(Tim!GY53=Sheet6!$C$8,Sheet6!$C$8,"")))))))</f>
        <v/>
      </c>
      <c r="CF51" s="53" t="str">
        <f>IF(Tim!GZ53=Sheet6!$C$2,Sheet6!$C$2,IF(Tim!GZ53=Sheet6!$C$3,Sheet6!$C$3,IF(Tim!GZ53=Sheet6!$C$4,Sheet6!$C$4,IF(Tim!GZ53=Sheet6!$C$5,Sheet6!$C$5,IF(Tim!GZ53=Sheet6!$C$6,Sheet6!$C$6,IF(Tim!GZ53=Sheet6!$C$7,Sheet6!$C$7,IF(Tim!GZ53=Sheet6!$C$8,Sheet6!$C$8,"")))))))</f>
        <v/>
      </c>
      <c r="CG51" s="53" t="str">
        <f>IF(Tim!HH53=Sheet6!$C$2,Sheet6!$C$2,IF(Tim!HH53=Sheet6!$C$3,Sheet6!$C$3,IF(Tim!HH53=Sheet6!$C$4,Sheet6!$C$4,IF(Tim!HH53=Sheet6!$C$5,Sheet6!$C$5,IF(Tim!HH53=Sheet6!$C$6,Sheet6!$C$6,IF(Tim!HH53=Sheet6!$C$7,Sheet6!$C$7,IF(Tim!HH53=Sheet6!$C$8,Sheet6!$C$8,"")))))))</f>
        <v/>
      </c>
      <c r="CH51" s="53" t="str">
        <f>IF(Tim!HI53=Sheet6!$C$2,Sheet6!$C$2,IF(Tim!HI53=Sheet6!$C$3,Sheet6!$C$3,IF(Tim!HI53=Sheet6!$C$4,Sheet6!$C$4,IF(Tim!HI53=Sheet6!$C$5,Sheet6!$C$5,IF(Tim!HI53=Sheet6!$C$6,Sheet6!$C$6,IF(Tim!HI53=Sheet6!$C$7,Sheet6!$C$7,IF(Tim!HI53=Sheet6!$C$8,Sheet6!$C$8,"")))))))</f>
        <v/>
      </c>
      <c r="CI51" s="53" t="str">
        <f>IF(Tim!HJ53=Sheet6!$C$2,Sheet6!$C$2,IF(Tim!HJ53=Sheet6!$C$3,Sheet6!$C$3,IF(Tim!HJ53=Sheet6!$C$4,Sheet6!$C$4,IF(Tim!HJ53=Sheet6!$C$5,Sheet6!$C$5,IF(Tim!HJ53=Sheet6!$C$6,Sheet6!$C$6,IF(Tim!HJ53=Sheet6!$C$7,Sheet6!$C$7,IF(Tim!HJ53=Sheet6!$C$8,Sheet6!$C$8,"")))))))</f>
        <v/>
      </c>
      <c r="CJ51" s="53" t="str">
        <f>IF(Tim!HK53=Sheet6!$C$2,Sheet6!$C$2,IF(Tim!HK53=Sheet6!$C$3,Sheet6!$C$3,IF(Tim!HK53=Sheet6!$C$4,Sheet6!$C$4,IF(Tim!HK53=Sheet6!$C$5,Sheet6!$C$5,IF(Tim!HK53=Sheet6!$C$6,Sheet6!$C$6,IF(Tim!HK53=Sheet6!$C$7,Sheet6!$C$7,IF(Tim!HK53=Sheet6!$C$8,Sheet6!$C$8,"")))))))</f>
        <v/>
      </c>
      <c r="CK51" s="53" t="str">
        <f>IF(Tim!HL53=Sheet6!$C$2,Sheet6!$C$2,IF(Tim!HL53=Sheet6!$C$3,Sheet6!$C$3,IF(Tim!HL53=Sheet6!$C$4,Sheet6!$C$4,IF(Tim!HL53=Sheet6!$C$5,Sheet6!$C$5,IF(Tim!HL53=Sheet6!$C$6,Sheet6!$C$6,IF(Tim!HL53=Sheet6!$C$7,Sheet6!$C$7,IF(Tim!HL53=Sheet6!$C$8,Sheet6!$C$8,"")))))))</f>
        <v/>
      </c>
      <c r="CL51" s="53" t="str">
        <f>IF(Tim!HM53=Sheet6!$C$2,Sheet6!$C$2,IF(Tim!HM53=Sheet6!$C$3,Sheet6!$C$3,IF(Tim!HM53=Sheet6!$C$4,Sheet6!$C$4,IF(Tim!HM53=Sheet6!$C$5,Sheet6!$C$5,IF(Tim!HM53=Sheet6!$C$6,Sheet6!$C$6,IF(Tim!HM53=Sheet6!$C$7,Sheet6!$C$7,IF(Tim!HM53=Sheet6!$C$8,Sheet6!$C$8,"")))))))</f>
        <v/>
      </c>
      <c r="CM51" s="53" t="str">
        <f>IF(Tim!HQ53=Sheet6!$C$2,Sheet6!$C$2,IF(Tim!HQ53=Sheet6!$C$3,Sheet6!$C$3,IF(Tim!HQ53=Sheet6!$C$4,Sheet6!$C$4,IF(Tim!HQ53=Sheet6!$C$5,Sheet6!$C$5,IF(Tim!HQ53=Sheet6!$C$6,Sheet6!$C$6,IF(Tim!HQ53=Sheet6!$C$7,Sheet6!$C$7,IF(Tim!HQ53=Sheet6!$C$8,Sheet6!$C$8,"")))))))</f>
        <v/>
      </c>
      <c r="CN51" s="54" t="str">
        <f>IF(Tim!HR53=Sheet6!$C$2,Sheet6!$C$2,IF(Tim!HR53=Sheet6!$C$3,Sheet6!$C$3,IF(Tim!HR53=Sheet6!$C$4,Sheet6!$C$4,IF(Tim!HR53=Sheet6!$C$5,Sheet6!$C$5,IF(Tim!HR53=Sheet6!$C$6,Sheet6!$C$6,IF(Tim!HR53=Sheet6!$C$7,Sheet6!$C$7,IF(Tim!HR53=Sheet6!$C$8,Sheet6!$C$8,"")))))))</f>
        <v/>
      </c>
      <c r="CO51" s="54" t="str">
        <f>IF(Tim!HS53=Sheet6!$C$2,Sheet6!$C$2,IF(Tim!HS53=Sheet6!$C$3,Sheet6!$C$3,IF(Tim!HS53=Sheet6!$C$4,Sheet6!$C$4,IF(Tim!HS53=Sheet6!$C$5,Sheet6!$C$5,IF(Tim!HS53=Sheet6!$C$6,Sheet6!$C$6,IF(Tim!HS53=Sheet6!$C$7,Sheet6!$C$7,IF(Tim!HS53=Sheet6!$C$8,Sheet6!$C$8,"")))))))</f>
        <v/>
      </c>
      <c r="CP51" s="54" t="str">
        <f>IF(Tim!HT53=Sheet6!$C$2,Sheet6!$C$2,IF(Tim!HT53=Sheet6!$C$3,Sheet6!$C$3,IF(Tim!HT53=Sheet6!$C$4,Sheet6!$C$4,IF(Tim!HT53=Sheet6!$C$5,Sheet6!$C$5,IF(Tim!HT53=Sheet6!$C$6,Sheet6!$C$6,IF(Tim!HT53=Sheet6!$C$7,Sheet6!$C$7,IF(Tim!HT53=Sheet6!$C$8,Sheet6!$C$8,"")))))))</f>
        <v/>
      </c>
      <c r="CQ51" s="55" t="str">
        <f>IF(Tim!HU53=Sheet6!$C$2,Sheet6!$C$2,IF(Tim!HU53=Sheet6!$C$3,Sheet6!$C$3,IF(Tim!HU53=Sheet6!$C$4,Sheet6!$C$4,IF(Tim!HU53=Sheet6!$C$5,Sheet6!$C$5,IF(Tim!HU53=Sheet6!$C$6,Sheet6!$C$6,IF(Tim!HU53=Sheet6!$C$7,Sheet6!$C$7,IF(Tim!HU53=Sheet6!$C$8,Sheet6!$C$8,"")))))))</f>
        <v/>
      </c>
      <c r="CR51" s="56" t="str">
        <f>IF(Tim!HV53=Sheet6!$C$2,Sheet6!$C$2,IF(Tim!HV53=Sheet6!$C$3,Sheet6!$C$3,IF(Tim!HV53=Sheet6!$C$4,Sheet6!$C$4,IF(Tim!HV53=Sheet6!$C$5,Sheet6!$C$5,IF(Tim!HV53=Sheet6!$C$6,Sheet6!$C$6,IF(Tim!HV53=Sheet6!$C$7,Sheet6!$C$7,IF(Tim!HV53=Sheet6!$C$8,Sheet6!$C$8,"")))))))</f>
        <v/>
      </c>
      <c r="CS51" s="57" t="str">
        <f>IF(Tim!IB53=Sheet6!$C$2,Sheet6!$C$2,IF(Tim!IB53=Sheet6!$C$3,Sheet6!$C$3,IF(Tim!IB53=Sheet6!$C$4,Sheet6!$C$4,IF(Tim!IB53=Sheet6!$C$5,Sheet6!$C$5,IF(Tim!IB53=Sheet6!$C$6,Sheet6!$C$6,IF(Tim!IB53=Sheet6!$C$7,Sheet6!$C$7,IF(Tim!IB53=Sheet6!$C$8,Sheet6!$C$8,"")))))))</f>
        <v/>
      </c>
      <c r="CT51" s="65" t="str">
        <f>IF(Tim!IJ53=Sheet6!$C$2,Sheet6!$C$2,IF(Tim!IJ53=Sheet6!$C$3,Sheet6!$C$3,IF(Tim!IJ53=Sheet6!$C$4,Sheet6!$C$4,IF(Tim!IJ53=Sheet6!$C$5,Sheet6!$C$5,IF(Tim!IJ53=Sheet6!$C$6,Sheet6!$C$6,IF(Tim!IJ53=Sheet6!$C$7,Sheet6!$C$7,IF(Tim!IJ53=Sheet6!$C$8,Sheet6!$C$8,"")))))))</f>
        <v/>
      </c>
      <c r="CU51" s="65" t="str">
        <f>IF(Tim!IQ53=Sheet6!$C$2,Sheet6!$C$2,IF(Tim!IQ53=Sheet6!$C$3,Sheet6!$C$3,IF(Tim!IQ53=Sheet6!$C$4,Sheet6!$C$4,IF(Tim!IQ53=Sheet6!$C$5,Sheet6!$C$5,IF(Tim!IQ53=Sheet6!$C$6,Sheet6!$C$6,IF(Tim!IQ53=Sheet6!$C$7,Sheet6!$C$7,IF(Tim!IQ53=Sheet6!$C$8,Sheet6!$C$8,"")))))))</f>
        <v/>
      </c>
      <c r="CV51" s="53" t="str">
        <f>IF(Tim!IR53=Sheet6!$C$2,Sheet6!$C$2,IF(Tim!IR53=Sheet6!$C$3,Sheet6!$C$3,IF(Tim!IR53=Sheet6!$C$4,Sheet6!$C$4,IF(Tim!IR53=Sheet6!$C$5,Sheet6!$C$5,IF(Tim!IR53=Sheet6!$C$6,Sheet6!$C$6,IF(Tim!IR53=Sheet6!$C$7,Sheet6!$C$7,IF(Tim!IR53=Sheet6!$C$8,Sheet6!$C$8,"")))))))</f>
        <v/>
      </c>
      <c r="CW51" s="53" t="str">
        <f>IF(Tim!IZ53=Sheet6!$C$2,Sheet6!$C$2,IF(Tim!IZ53=Sheet6!$C$3,Sheet6!$C$3,IF(Tim!IZ53=Sheet6!$C$4,Sheet6!$C$4,IF(Tim!IZ53=Sheet6!$C$5,Sheet6!$C$5,IF(Tim!IZ53=Sheet6!$C$6,Sheet6!$C$6,IF(Tim!IZ53=Sheet6!$C$7,Sheet6!$C$7,IF(Tim!IZ53=Sheet6!$C$8,Sheet6!$C$8,"")))))))</f>
        <v/>
      </c>
      <c r="CX51" s="53" t="str">
        <f>IF(Tim!JA53=Sheet6!$C$2,Sheet6!$C$2,IF(Tim!JA53=Sheet6!$C$3,Sheet6!$C$3,IF(Tim!JA53=Sheet6!$C$4,Sheet6!$C$4,IF(Tim!JA53=Sheet6!$C$5,Sheet6!$C$5,IF(Tim!JA53=Sheet6!$C$6,Sheet6!$C$6,IF(Tim!JA53=Sheet6!$C$7,Sheet6!$C$7,IF(Tim!JA53=Sheet6!$C$8,Sheet6!$C$8,"")))))))</f>
        <v/>
      </c>
      <c r="CY51" s="53" t="str">
        <f>IF(Tim!JB53=Sheet6!$C$2,Sheet6!$C$2,IF(Tim!JB53=Sheet6!$C$3,Sheet6!$C$3,IF(Tim!JB53=Sheet6!$C$4,Sheet6!$C$4,IF(Tim!JB53=Sheet6!$C$5,Sheet6!$C$5,IF(Tim!JB53=Sheet6!$C$6,Sheet6!$C$6,IF(Tim!JB53=Sheet6!$C$7,Sheet6!$C$7,IF(Tim!JB53=Sheet6!$C$8,Sheet6!$C$8,"")))))))</f>
        <v/>
      </c>
      <c r="CZ51" s="53" t="str">
        <f>IF(Tim!JC53=Sheet6!$C$2,Sheet6!$C$2,IF(Tim!JC53=Sheet6!$C$3,Sheet6!$C$3,IF(Tim!JC53=Sheet6!$C$4,Sheet6!$C$4,IF(Tim!JC53=Sheet6!$C$5,Sheet6!$C$5,IF(Tim!JC53=Sheet6!$C$6,Sheet6!$C$6,IF(Tim!JC53=Sheet6!$C$7,Sheet6!$C$7,IF(Tim!JC53=Sheet6!$C$8,Sheet6!$C$8,"")))))))</f>
        <v/>
      </c>
      <c r="DA51" s="53" t="str">
        <f>IF(Tim!JD53=Sheet6!$C$2,Sheet6!$C$2,IF(Tim!JD53=Sheet6!$C$3,Sheet6!$C$3,IF(Tim!JD53=Sheet6!$C$4,Sheet6!$C$4,IF(Tim!JD53=Sheet6!$C$5,Sheet6!$C$5,IF(Tim!JD53=Sheet6!$C$6,Sheet6!$C$6,IF(Tim!JD53=Sheet6!$C$7,Sheet6!$C$7,IF(Tim!JD53=Sheet6!$C$8,Sheet6!$C$8,"")))))))</f>
        <v/>
      </c>
      <c r="DB51" s="53" t="str">
        <f>IF(Tim!JE53=Sheet6!$C$2,Sheet6!$C$2,IF(Tim!JE53=Sheet6!$C$3,Sheet6!$C$3,IF(Tim!JE53=Sheet6!$C$4,Sheet6!$C$4,IF(Tim!JE53=Sheet6!$C$5,Sheet6!$C$5,IF(Tim!JE53=Sheet6!$C$6,Sheet6!$C$6,IF(Tim!JE53=Sheet6!$C$7,Sheet6!$C$7,IF(Tim!JE53=Sheet6!$C$8,Sheet6!$C$8,"")))))))</f>
        <v/>
      </c>
      <c r="DC51" s="53" t="str">
        <f>IF(Tim!JI53=Sheet6!$C$2,Sheet6!$C$2,IF(Tim!JI53=Sheet6!$C$3,Sheet6!$C$3,IF(Tim!JI53=Sheet6!$C$4,Sheet6!$C$4,IF(Tim!JI53=Sheet6!$C$5,Sheet6!$C$5,IF(Tim!JI53=Sheet6!$C$6,Sheet6!$C$6,IF(Tim!JI53=Sheet6!$C$7,Sheet6!$C$7,IF(Tim!JI53=Sheet6!$C$8,Sheet6!$C$8,"")))))))</f>
        <v/>
      </c>
      <c r="DD51" s="54" t="str">
        <f>IF(Tim!JJ53=Sheet6!$C$2,Sheet6!$C$2,IF(Tim!JJ53=Sheet6!$C$3,Sheet6!$C$3,IF(Tim!JJ53=Sheet6!$C$4,Sheet6!$C$4,IF(Tim!JJ53=Sheet6!$C$5,Sheet6!$C$5,IF(Tim!JJ53=Sheet6!$C$6,Sheet6!$C$6,IF(Tim!JJ53=Sheet6!$C$7,Sheet6!$C$7,IF(Tim!JJ53=Sheet6!$C$8,Sheet6!$C$8,"")))))))</f>
        <v/>
      </c>
      <c r="DE51" s="54" t="str">
        <f>IF(Tim!JK53=Sheet6!$C$2,Sheet6!$C$2,IF(Tim!JK53=Sheet6!$C$3,Sheet6!$C$3,IF(Tim!JK53=Sheet6!$C$4,Sheet6!$C$4,IF(Tim!JK53=Sheet6!$C$5,Sheet6!$C$5,IF(Tim!JK53=Sheet6!$C$6,Sheet6!$C$6,IF(Tim!JK53=Sheet6!$C$7,Sheet6!$C$7,IF(Tim!JK53=Sheet6!$C$8,Sheet6!$C$8,"")))))))</f>
        <v/>
      </c>
      <c r="DF51" s="54" t="str">
        <f>IF(Tim!JL53=Sheet6!$C$2,Sheet6!$C$2,IF(Tim!JL53=Sheet6!$C$3,Sheet6!$C$3,IF(Tim!JL53=Sheet6!$C$4,Sheet6!$C$4,IF(Tim!JL53=Sheet6!$C$5,Sheet6!$C$5,IF(Tim!JL53=Sheet6!$C$6,Sheet6!$C$6,IF(Tim!JL53=Sheet6!$C$7,Sheet6!$C$7,IF(Tim!JL53=Sheet6!$C$8,Sheet6!$C$8,"")))))))</f>
        <v/>
      </c>
      <c r="DG51" s="55" t="str">
        <f>IF(Tim!JM53=Sheet6!$C$2,Sheet6!$C$2,IF(Tim!JM53=Sheet6!$C$3,Sheet6!$C$3,IF(Tim!JM53=Sheet6!$C$4,Sheet6!$C$4,IF(Tim!JM53=Sheet6!$C$5,Sheet6!$C$5,IF(Tim!JM53=Sheet6!$C$6,Sheet6!$C$6,IF(Tim!JM53=Sheet6!$C$7,Sheet6!$C$7,IF(Tim!JM53=Sheet6!$C$8,Sheet6!$C$8,"")))))))</f>
        <v/>
      </c>
      <c r="DH51" s="422"/>
      <c r="DI51" s="423"/>
      <c r="DJ51" s="423"/>
      <c r="DK51" s="423"/>
      <c r="DL51" s="423"/>
      <c r="DM51" s="423"/>
      <c r="DN51" s="423"/>
      <c r="DO51" s="423"/>
      <c r="DP51" s="423"/>
      <c r="DQ51" s="423"/>
      <c r="DR51" s="423"/>
      <c r="DS51" s="423"/>
      <c r="DT51" s="423"/>
      <c r="DU51" s="423"/>
      <c r="DV51" s="423"/>
      <c r="DW51" s="424"/>
      <c r="DX51" s="52">
        <v>0.77083333333333204</v>
      </c>
    </row>
    <row r="52" spans="2:128" ht="10.5" customHeight="1">
      <c r="B52" s="51">
        <v>0.25</v>
      </c>
      <c r="C52" s="51">
        <v>0.25</v>
      </c>
      <c r="D52" s="51">
        <v>0.25</v>
      </c>
      <c r="E52" s="52">
        <v>0.781249999999999</v>
      </c>
      <c r="F52" s="53" t="str">
        <f>IF(Tim!F54=Sheet6!$C$2,Sheet6!$C$2,IF(Tim!F54=Sheet6!$C$3,Sheet6!$C$3,IF(Tim!F54=Sheet6!$C$4,Sheet6!$C$4,IF(Tim!F54=Sheet6!$C$5,Sheet6!$C$5,IF(Tim!F54=Sheet6!$C$6,Sheet6!$C$6,IF(Tim!F54=Sheet6!$C$7,Sheet6!$C$7,IF(Tim!F54=Sheet6!$C$8,Sheet6!$C$8,"")))))))</f>
        <v/>
      </c>
      <c r="G52" s="53" t="str">
        <f>IF(Tim!G54=Sheet6!$C$2,Sheet6!$C$2,IF(Tim!G54=Sheet6!$C$3,Sheet6!$C$3,IF(Tim!G54=Sheet6!$C$4,Sheet6!$C$4,IF(Tim!G54=Sheet6!$C$5,Sheet6!$C$5,IF(Tim!G54=Sheet6!$C$6,Sheet6!$C$6,IF(Tim!G54=Sheet6!$C$7,Sheet6!$C$7,IF(Tim!G54=Sheet6!$C$8,Sheet6!$C$8,"")))))))</f>
        <v/>
      </c>
      <c r="H52" s="53" t="str">
        <f>IF(Tim!L55=Sheet6!$C$2,Sheet6!$C$2,IF(Tim!L55=Sheet6!$C$3,Sheet6!$C$3,IF(Tim!L55=Sheet6!$C$4,Sheet6!$C$4,IF(Tim!L55=Sheet6!$C$5,Sheet6!$C$5,IF(Tim!L55=Sheet6!$C$6,Sheet6!$C$6,IF(Tim!L55=Sheet6!$C$7,Sheet6!$C$7,IF(Tim!L55=Sheet6!$C$8,Sheet6!$C$8,"")))))))</f>
        <v/>
      </c>
      <c r="I52" s="53" t="str">
        <f>IF(Tim!L54=Sheet6!$C$2,Sheet6!$C$2,IF(Tim!L54=Sheet6!$C$3,Sheet6!$C$3,IF(Tim!L54=Sheet6!$C$4,Sheet6!$C$4,IF(Tim!L54=Sheet6!$C$5,Sheet6!$C$5,IF(Tim!L54=Sheet6!$C$6,Sheet6!$C$6,IF(Tim!L54=Sheet6!$C$7,Sheet6!$C$7,IF(Tim!L54=Sheet6!$C$8,Sheet6!$C$8,"")))))))</f>
        <v/>
      </c>
      <c r="J52" s="53" t="str">
        <f>IF(Tim!T54=Sheet6!$C$2,Sheet6!$C$2,IF(Tim!T54=Sheet6!$C$3,Sheet6!$C$3,IF(Tim!T54=Sheet6!$C$4,Sheet6!$C$4,IF(Tim!T54=Sheet6!$C$5,Sheet6!$C$5,IF(Tim!T54=Sheet6!$C$6,Sheet6!$C$6,IF(Tim!T54=Sheet6!$C$7,Sheet6!$C$7,IF(Tim!T54=Sheet6!$C$8,Sheet6!$C$8,"")))))))</f>
        <v/>
      </c>
      <c r="K52" s="53" t="str">
        <f>IF(Tim!AB54=Sheet6!$C$2,Sheet6!$C$2,IF(Tim!AB54=Sheet6!$C$3,Sheet6!$C$3,IF(Tim!AB54=Sheet6!$C$4,Sheet6!$C$4,IF(Tim!AB54=Sheet6!$C$5,Sheet6!$C$5,IF(Tim!AB54=Sheet6!$C$6,Sheet6!$C$6,IF(Tim!AB54=Sheet6!$C$7,Sheet6!$C$7,IF(Tim!AB54=Sheet6!$C$8,Sheet6!$C$8,"")))))))</f>
        <v/>
      </c>
      <c r="L52" s="53" t="str">
        <f>IF(Tim!AC54=Sheet6!$C$2,Sheet6!$C$2,IF(Tim!AC54=Sheet6!$C$3,Sheet6!$C$3,IF(Tim!AC54=Sheet6!$C$4,Sheet6!$C$4,IF(Tim!AC54=Sheet6!$C$5,Sheet6!$C$5,IF(Tim!AC54=Sheet6!$C$6,Sheet6!$C$6,IF(Tim!AC54=Sheet6!$C$7,Sheet6!$C$7,IF(Tim!AC54=Sheet6!$C$8,Sheet6!$C$8,"")))))))</f>
        <v/>
      </c>
      <c r="M52" s="53" t="str">
        <f>IF(Tim!AJ54=Sheet6!$C$2,Sheet6!$C$2,IF(Tim!AJ54=Sheet6!$C$3,Sheet6!$C$3,IF(Tim!AJ54=Sheet6!$C$4,Sheet6!$C$4,IF(Tim!AJ54=Sheet6!$C$5,Sheet6!$C$5,IF(Tim!AJ54=Sheet6!$C$6,Sheet6!$C$6,IF(Tim!AJ54=Sheet6!$C$7,Sheet6!$C$7,IF(Tim!AJ54=Sheet6!$C$8,Sheet6!$C$8,"")))))))</f>
        <v/>
      </c>
      <c r="N52" s="53" t="str">
        <f>IF(Tim!AK54=Sheet6!$C$2,Sheet6!$C$2,IF(Tim!AK54=Sheet6!$C$3,Sheet6!$C$3,IF(Tim!AK54=Sheet6!$C$4,Sheet6!$C$4,IF(Tim!AK54=Sheet6!$C$5,Sheet6!$C$5,IF(Tim!AK54=Sheet6!$C$6,Sheet6!$C$6,IF(Tim!AK54=Sheet6!$C$7,Sheet6!$C$7,IF(Tim!AK54=Sheet6!$C$8,Sheet6!$C$8,"")))))))</f>
        <v/>
      </c>
      <c r="O52" s="53" t="str">
        <f>IF(Tim!AL54=Sheet6!$C$2,Sheet6!$C$2,IF(Tim!AL54=Sheet6!$C$3,Sheet6!$C$3,IF(Tim!AL54=Sheet6!$C$4,Sheet6!$C$4,IF(Tim!AL54=Sheet6!$C$5,Sheet6!$C$5,IF(Tim!AL54=Sheet6!$C$6,Sheet6!$C$6,IF(Tim!AL54=Sheet6!$C$7,Sheet6!$C$7,IF(Tim!AL54=Sheet6!$C$8,Sheet6!$C$8,"")))))))</f>
        <v/>
      </c>
      <c r="P52" s="53" t="str">
        <f>IF(Tim!AN54=Sheet6!$C$2,Sheet6!$C$2,IF(Tim!AN54=Sheet6!$C$3,Sheet6!$C$3,IF(Tim!AN54=Sheet6!$C$4,Sheet6!$C$4,IF(Tim!AN54=Sheet6!$C$5,Sheet6!$C$5,IF(Tim!AN54=Sheet6!$C$6,Sheet6!$C$6,IF(Tim!AN54=Sheet6!$C$7,Sheet6!$C$7,IF(Tim!AN54=Sheet6!$C$8,Sheet6!$C$8,"")))))))</f>
        <v/>
      </c>
      <c r="Q52" s="176" t="str">
        <f>IF(Tim!AO54=Sheet6!$C$2,Sheet6!$C$2,IF(Tim!AO54=Sheet6!$C$3,Sheet6!$C$3,IF(Tim!AO54=Sheet6!$C$4,Sheet6!$C$4,IF(Tim!AO54=Sheet6!$C$5,Sheet6!$C$5,IF(Tim!AO54=Sheet6!$C$6,Sheet6!$C$6,IF(Tim!AO54=Sheet6!$C$7,Sheet6!$C$7,IF(Tim!AO54=Sheet6!$C$8,Sheet6!$C$8,"")))))))</f>
        <v/>
      </c>
      <c r="R52" s="53" t="str">
        <f>IF(Tim!AP54=Sheet6!$C$2,Sheet6!$C$2,IF(Tim!AP54=Sheet6!$C$3,Sheet6!$C$3,IF(Tim!AP54=Sheet6!$C$4,Sheet6!$C$4,IF(Tim!AP54=Sheet6!$C$5,Sheet6!$C$5,IF(Tim!AP54=Sheet6!$C$6,Sheet6!$C$6,IF(Tim!AP54=Sheet6!$C$7,Sheet6!$C$7,IF(Tim!AP54=Sheet6!$C$8,Sheet6!$C$8,"")))))))</f>
        <v/>
      </c>
      <c r="S52" s="53" t="str">
        <f>IF(Tim!AT54=Sheet6!$C$2,Sheet6!$C$2,IF(Tim!AT54=Sheet6!$C$3,Sheet6!$C$3,IF(Tim!AT54=Sheet6!$C$4,Sheet6!$C$4,IF(Tim!AT54=Sheet6!$C$5,Sheet6!$C$5,IF(Tim!AT54=Sheet6!$C$6,Sheet6!$C$6,IF(Tim!AT54=Sheet6!$C$7,Sheet6!$C$7,IF(Tim!AT54=Sheet6!$C$8,Sheet6!$C$8,"")))))))</f>
        <v/>
      </c>
      <c r="T52" s="54" t="str">
        <f>IF(Tim!AU54=Sheet6!$C$2,Sheet6!$C$2,IF(Tim!AU54=Sheet6!$C$3,Sheet6!$C$3,IF(Tim!AU54=Sheet6!$C$4,Sheet6!$C$4,IF(Tim!AU54=Sheet6!$C$5,Sheet6!$C$5,IF(Tim!AU54=Sheet6!$C$6,Sheet6!$C$6,IF(Tim!AU54=Sheet6!$C$7,Sheet6!$C$7,IF(Tim!AU54=Sheet6!$C$8,Sheet6!$C$8,"")))))))</f>
        <v/>
      </c>
      <c r="U52" s="54" t="str">
        <f>IF(Tim!AV54=Sheet6!$C$2,Sheet6!$C$2,IF(Tim!AV54=Sheet6!$C$3,Sheet6!$C$3,IF(Tim!AV54=Sheet6!$C$4,Sheet6!$C$4,IF(Tim!AV54=Sheet6!$C$5,Sheet6!$C$5,IF(Tim!AV54=Sheet6!$C$6,Sheet6!$C$6,IF(Tim!AV54=Sheet6!$C$7,Sheet6!$C$7,IF(Tim!AV54=Sheet6!$C$8,Sheet6!$C$8,"")))))))</f>
        <v/>
      </c>
      <c r="V52" s="54" t="str">
        <f>IF(Tim!AW54=Sheet6!$C$2,Sheet6!$C$2,IF(Tim!AW54=Sheet6!$C$3,Sheet6!$C$3,IF(Tim!AW54=Sheet6!$C$4,Sheet6!$C$4,IF(Tim!AW54=Sheet6!$C$5,Sheet6!$C$5,IF(Tim!AW54=Sheet6!$C$6,Sheet6!$C$6,IF(Tim!AW54=Sheet6!$C$7,Sheet6!$C$7,IF(Tim!AW54=Sheet6!$C$8,Sheet6!$C$8,"")))))))</f>
        <v/>
      </c>
      <c r="W52" s="55" t="str">
        <f>IF(Tim!AX54=Sheet6!$C$2,Sheet6!$C$2,IF(Tim!AX54=Sheet6!$C$3,Sheet6!$C$3,IF(Tim!AX54=Sheet6!$C$4,Sheet6!$C$4,IF(Tim!AX54=Sheet6!$C$5,Sheet6!$C$5,IF(Tim!AX54=Sheet6!$C$6,Sheet6!$C$6,IF(Tim!AX54=Sheet6!$C$7,Sheet6!$C$7,IF(Tim!AX54=Sheet6!$C$8,Sheet6!$C$8,"")))))))</f>
        <v/>
      </c>
      <c r="X52" s="53" t="str">
        <f>IF(Tim!AY54=Sheet6!$C$2,Sheet6!$C$2,IF(Tim!AY54=Sheet6!$C$3,Sheet6!$C$3,IF(Tim!AY54=Sheet6!$C$4,Sheet6!$C$4,IF(Tim!AY54=Sheet6!$C$5,Sheet6!$C$5,IF(Tim!AY54=Sheet6!$C$6,Sheet6!$C$6,IF(Tim!AY54=Sheet6!$C$7,Sheet6!$C$7,IF(Tim!AY54=Sheet6!$C$8,Sheet6!$C$8,"")))))))</f>
        <v/>
      </c>
      <c r="Y52" s="57" t="str">
        <f>IF(Tim!AZ54=Sheet6!$C$2,Sheet6!$C$2,IF(Tim!AZ54=Sheet6!$C$3,Sheet6!$C$3,IF(Tim!AZ54=Sheet6!$C$4,Sheet6!$C$4,IF(Tim!AZ54=Sheet6!$C$5,Sheet6!$C$5,IF(Tim!AZ54=Sheet6!$C$6,Sheet6!$C$6,IF(Tim!AZ54=Sheet6!$C$7,Sheet6!$C$7,IF(Tim!AZ54=Sheet6!$C$8,Sheet6!$C$8,"")))))))</f>
        <v/>
      </c>
      <c r="Z52" s="57" t="str">
        <f>IF(Tim!BE54=Sheet6!$C$2,Sheet6!$C$2,IF(Tim!BE54=Sheet6!$C$3,Sheet6!$C$3,IF(Tim!BE54=Sheet6!$C$4,Sheet6!$C$4,IF(Tim!BE54=Sheet6!$C$5,Sheet6!$C$5,IF(Tim!BE54=Sheet6!$C$6,Sheet6!$C$6,IF(Tim!BE54=Sheet6!$C$7,Sheet6!$C$7,IF(Tim!BE54=Sheet6!$C$8,Sheet6!$C$8,"")))))))</f>
        <v/>
      </c>
      <c r="AA52" s="57" t="str">
        <f>IF(Tim!BF54=Sheet6!$C$2,Sheet6!$C$2,IF(Tim!BF54=Sheet6!$C$3,Sheet6!$C$3,IF(Tim!BF54=Sheet6!$C$4,Sheet6!$C$4,IF(Tim!BF54=Sheet6!$C$5,Sheet6!$C$5,IF(Tim!BF54=Sheet6!$C$6,Sheet6!$C$6,IF(Tim!BF54=Sheet6!$C$7,Sheet6!$C$7,IF(Tim!BF54=Sheet6!$C$8,Sheet6!$C$8,"")))))))</f>
        <v/>
      </c>
      <c r="AB52" s="57" t="str">
        <f>IF(Tim!BL54=Sheet6!$C$2,Sheet6!$C$2,IF(Tim!BL54=Sheet6!$C$3,Sheet6!$C$3,IF(Tim!BL54=Sheet6!$C$4,Sheet6!$C$4,IF(Tim!BL54=Sheet6!$C$5,Sheet6!$C$5,IF(Tim!BL54=Sheet6!$C$6,Sheet6!$C$6,IF(Tim!BL54=Sheet6!$C$7,Sheet6!$C$7,IF(Tim!BL54=Sheet6!$C$8,Sheet6!$C$8,"")))))))</f>
        <v/>
      </c>
      <c r="AC52" s="53" t="str">
        <f>IF(Tim!BT54=Sheet6!$C$2,Sheet6!$C$2,IF(Tim!BT54=Sheet6!$C$3,Sheet6!$C$3,IF(Tim!BT54=Sheet6!$C$4,Sheet6!$C$4,IF(Tim!BT54=Sheet6!$C$5,Sheet6!$C$5,IF(Tim!BT54=Sheet6!$C$6,Sheet6!$C$6,IF(Tim!BT54=Sheet6!$C$7,Sheet6!$C$7,IF(Tim!BT54=Sheet6!$C$8,Sheet6!$C$8,"")))))))</f>
        <v/>
      </c>
      <c r="AD52" s="53" t="str">
        <f>IF(Tim!BU54=Sheet6!$C$2,Sheet6!$C$2,IF(Tim!BU54=Sheet6!$C$3,Sheet6!$C$3,IF(Tim!BU54=Sheet6!$C$4,Sheet6!$C$4,IF(Tim!BU54=Sheet6!$C$5,Sheet6!$C$5,IF(Tim!BU54=Sheet6!$C$6,Sheet6!$C$6,IF(Tim!BU54=Sheet6!$C$7,Sheet6!$C$7,IF(Tim!BU54=Sheet6!$C$8,Sheet6!$C$8,"")))))))</f>
        <v/>
      </c>
      <c r="AE52" s="53" t="str">
        <f>IF(Tim!CB54=Sheet6!$C$2,Sheet6!$C$2,IF(Tim!CB54=Sheet6!$C$3,Sheet6!$C$3,IF(Tim!CB54=Sheet6!$C$4,Sheet6!$C$4,IF(Tim!CB54=Sheet6!$C$5,Sheet6!$C$5,IF(Tim!CB54=Sheet6!$C$6,Sheet6!$C$6,IF(Tim!CB54=Sheet6!$C$7,Sheet6!$C$7,IF(Tim!CB54=Sheet6!$C$8,Sheet6!$C$8,"")))))))</f>
        <v/>
      </c>
      <c r="AF52" s="53" t="str">
        <f>IF(Tim!CD54=Sheet6!$C$2,Sheet6!$C$2,IF(Tim!CD54=Sheet6!$C$3,Sheet6!$C$3,IF(Tim!CD54=Sheet6!$C$4,Sheet6!$C$4,IF(Tim!CD54=Sheet6!$C$5,Sheet6!$C$5,IF(Tim!CD54=Sheet6!$C$6,Sheet6!$C$6,IF(Tim!CD54=Sheet6!$C$7,Sheet6!$C$7,IF(Tim!CD54=Sheet6!$C$8,Sheet6!$C$8,"")))))))</f>
        <v/>
      </c>
      <c r="AG52" s="53" t="str">
        <f>IF(Tim!CE54=Sheet6!$C$2,Sheet6!$C$2,IF(Tim!CE54=Sheet6!$C$3,Sheet6!$C$3,IF(Tim!CE54=Sheet6!$C$4,Sheet6!$C$4,IF(Tim!CE54=Sheet6!$C$5,Sheet6!$C$5,IF(Tim!CE54=Sheet6!$C$6,Sheet6!$C$6,IF(Tim!CE54=Sheet6!$C$7,Sheet6!$C$7,IF(Tim!CE54=Sheet6!$C$8,Sheet6!$C$8,"")))))))</f>
        <v/>
      </c>
      <c r="AH52" s="53" t="str">
        <f>IF(Tim!CF54=Sheet6!$C$2,Sheet6!$C$2,IF(Tim!CF54=Sheet6!$C$3,Sheet6!$C$3,IF(Tim!CF54=Sheet6!$C$4,Sheet6!$C$4,IF(Tim!CF54=Sheet6!$C$5,Sheet6!$C$5,IF(Tim!CF54=Sheet6!$C$6,Sheet6!$C$6,IF(Tim!CF54=Sheet6!$C$7,Sheet6!$C$7,IF(Tim!CF54=Sheet6!$C$8,Sheet6!$C$8,"")))))))</f>
        <v/>
      </c>
      <c r="AI52" s="176" t="str">
        <f>IF(Tim!CG54=Sheet6!$C$2,Sheet6!$C$2,IF(Tim!CG54=Sheet6!$C$3,Sheet6!$C$3,IF(Tim!CG54=Sheet6!$C$4,Sheet6!$C$4,IF(Tim!CG54=Sheet6!$C$5,Sheet6!$C$5,IF(Tim!CG54=Sheet6!$C$6,Sheet6!$C$6,IF(Tim!CG54=Sheet6!$C$7,Sheet6!$C$7,IF(Tim!CG54=Sheet6!$C$8,Sheet6!$C$8,"")))))))</f>
        <v/>
      </c>
      <c r="AJ52" s="53" t="str">
        <f>IF(Tim!CH54=Sheet6!$C$2,Sheet6!$C$2,IF(Tim!CH54=Sheet6!$C$3,Sheet6!$C$3,IF(Tim!CH54=Sheet6!$C$4,Sheet6!$C$4,IF(Tim!CH54=Sheet6!$C$5,Sheet6!$C$5,IF(Tim!CH54=Sheet6!$C$6,Sheet6!$C$6,IF(Tim!CH54=Sheet6!$C$7,Sheet6!$C$7,IF(Tim!CH54=Sheet6!$C$8,Sheet6!$C$8,"")))))))</f>
        <v/>
      </c>
      <c r="AK52" s="53" t="str">
        <f>IF(Tim!CL54=Sheet6!$C$2,Sheet6!$C$2,IF(Tim!CL54=Sheet6!$C$3,Sheet6!$C$3,IF(Tim!CL54=Sheet6!$C$4,Sheet6!$C$4,IF(Tim!CL54=Sheet6!$C$5,Sheet6!$C$5,IF(Tim!CL54=Sheet6!$C$6,Sheet6!$C$6,IF(Tim!CL54=Sheet6!$C$7,Sheet6!$C$7,IF(Tim!CL54=Sheet6!$C$8,Sheet6!$C$8,"")))))))</f>
        <v/>
      </c>
      <c r="AL52" s="54" t="str">
        <f>IF(Tim!CM54=Sheet6!$C$2,Sheet6!$C$2,IF(Tim!CM54=Sheet6!$C$3,Sheet6!$C$3,IF(Tim!CM54=Sheet6!$C$4,Sheet6!$C$4,IF(Tim!CM54=Sheet6!$C$5,Sheet6!$C$5,IF(Tim!CM54=Sheet6!$C$6,Sheet6!$C$6,IF(Tim!CM54=Sheet6!$C$7,Sheet6!$C$7,IF(Tim!CM54=Sheet6!$C$8,Sheet6!$C$8,"")))))))</f>
        <v/>
      </c>
      <c r="AM52" s="54" t="str">
        <f>IF(Tim!CN54=Sheet6!$C$2,Sheet6!$C$2,IF(Tim!CN54=Sheet6!$C$3,Sheet6!$C$3,IF(Tim!CN54=Sheet6!$C$4,Sheet6!$C$4,IF(Tim!CN54=Sheet6!$C$5,Sheet6!$C$5,IF(Tim!CN54=Sheet6!$C$6,Sheet6!$C$6,IF(Tim!CN54=Sheet6!$C$7,Sheet6!$C$7,IF(Tim!CN54=Sheet6!$C$8,Sheet6!$C$8,"")))))))</f>
        <v/>
      </c>
      <c r="AN52" s="54" t="str">
        <f>IF(Tim!CO54=Sheet6!$C$2,Sheet6!$C$2,IF(Tim!CO54=Sheet6!$C$3,Sheet6!$C$3,IF(Tim!CO54=Sheet6!$C$4,Sheet6!$C$4,IF(Tim!CO54=Sheet6!$C$5,Sheet6!$C$5,IF(Tim!CO54=Sheet6!$C$6,Sheet6!$C$6,IF(Tim!CO54=Sheet6!$C$7,Sheet6!$C$7,IF(Tim!CO54=Sheet6!$C$8,Sheet6!$C$8,"")))))))</f>
        <v/>
      </c>
      <c r="AO52" s="177" t="str">
        <f>IF(Tim!CP54=Sheet6!$C$2,Sheet6!$C$2,IF(Tim!CP54=Sheet6!$C$3,Sheet6!$C$3,IF(Tim!CP54=Sheet6!$C$4,Sheet6!$C$4,IF(Tim!CP54=Sheet6!$C$5,Sheet6!$C$5,IF(Tim!CP54=Sheet6!$C$6,Sheet6!$C$6,IF(Tim!CP54=Sheet6!$C$7,Sheet6!$C$7,IF(Tim!CP54=Sheet6!$C$8,Sheet6!$C$8,"")))))))</f>
        <v/>
      </c>
      <c r="AP52" s="57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AQ52" s="57" t="str">
        <f>IF(Tim!CQ54=Sheet6!$C$2,Sheet6!$C$2,IF(Tim!CQ54=Sheet6!$C$3,Sheet6!$C$3,IF(Tim!CQ54=Sheet6!$C$4,Sheet6!$C$4,IF(Tim!CQ54=Sheet6!$C$5,Sheet6!$C$5,IF(Tim!CQ54=Sheet6!$C$6,Sheet6!$C$6,IF(Tim!CQ54=Sheet6!$C$7,Sheet6!$C$7,IF(Tim!CQ54=Sheet6!$C$8,Sheet6!$C$8,"")))))))</f>
        <v/>
      </c>
      <c r="AR52" s="57" t="str">
        <f>IF(Tim!CU54=Sheet6!$C$2,Sheet6!$C$2,IF(Tim!CU54=Sheet6!$C$3,Sheet6!$C$3,IF(Tim!CU54=Sheet6!$C$4,Sheet6!$C$4,IF(Tim!CU54=Sheet6!$C$5,Sheet6!$C$5,IF(Tim!CU54=Sheet6!$C$6,Sheet6!$C$6,IF(Tim!CU54=Sheet6!$C$7,Sheet6!$C$7,IF(Tim!CU54=Sheet6!$C$8,Sheet6!$C$8,"")))))))</f>
        <v/>
      </c>
      <c r="AS52" s="57" t="str">
        <f>IF(Tim!CV54=Sheet6!$C$2,Sheet6!$C$2,IF(Tim!CV54=Sheet6!$C$3,Sheet6!$C$3,IF(Tim!CV54=Sheet6!$C$4,Sheet6!$C$4,IF(Tim!CV54=Sheet6!$C$5,Sheet6!$C$5,IF(Tim!CV54=Sheet6!$C$6,Sheet6!$C$6,IF(Tim!CV54=Sheet6!$C$7,Sheet6!$C$7,IF(Tim!CV54=Sheet6!$C$8,Sheet6!$C$8,"")))))))</f>
        <v/>
      </c>
      <c r="AT52" s="57" t="str">
        <f>IF(Tim!DA54=Sheet6!$C$2,Sheet6!$C$2,IF(Tim!DA54=Sheet6!$C$3,Sheet6!$C$3,IF(Tim!DA54=Sheet6!$C$4,Sheet6!$C$4,IF(Tim!DA54=Sheet6!$C$5,Sheet6!$C$5,IF(Tim!DA54=Sheet6!$C$6,Sheet6!$C$6,IF(Tim!DA54=Sheet6!$C$7,Sheet6!$C$7,IF(Tim!DA54=Sheet6!$C$8,Sheet6!$C$8,"")))))))</f>
        <v/>
      </c>
      <c r="AU52" s="53" t="str">
        <f>IF(Tim!DO54=Sheet6!$C$2,Sheet6!$C$2,IF(Tim!DO54=Sheet6!$C$3,Sheet6!$C$3,IF(Tim!DO54=Sheet6!$C$4,Sheet6!$C$4,IF(Tim!DO54=Sheet6!$C$5,Sheet6!$C$5,IF(Tim!DO54=Sheet6!$C$6,Sheet6!$C$6,IF(Tim!DO54=Sheet6!$C$7,Sheet6!$C$7,IF(Tim!DO54=Sheet6!$C$8,Sheet6!$C$8,"")))))))</f>
        <v/>
      </c>
      <c r="AV52" s="53" t="str">
        <f>IF(Tim!DP54=Sheet6!$C$2,Sheet6!$C$2,IF(Tim!DP54=Sheet6!$C$3,Sheet6!$C$3,IF(Tim!DP54=Sheet6!$C$4,Sheet6!$C$4,IF(Tim!DP54=Sheet6!$C$5,Sheet6!$C$5,IF(Tim!DP54=Sheet6!$C$6,Sheet6!$C$6,IF(Tim!DP54=Sheet6!$C$7,Sheet6!$C$7,IF(Tim!DP54=Sheet6!$C$8,Sheet6!$C$8,"")))))))</f>
        <v/>
      </c>
      <c r="AW52" s="53" t="str">
        <f>IF(Tim!DX54=Sheet6!$C$2,Sheet6!$C$2,IF(Tim!DX54=Sheet6!$C$3,Sheet6!$C$3,IF(Tim!DX54=Sheet6!$C$4,Sheet6!$C$4,IF(Tim!DX54=Sheet6!$C$5,Sheet6!$C$5,IF(Tim!DX54=Sheet6!$C$6,Sheet6!$C$6,IF(Tim!DX54=Sheet6!$C$7,Sheet6!$C$7,IF(Tim!DX54=Sheet6!$C$8,Sheet6!$C$8,"")))))))</f>
        <v/>
      </c>
      <c r="AX52" s="53" t="str">
        <f>IF(Tim!DY54=Sheet6!$C$2,Sheet6!$C$2,IF(Tim!DY54=Sheet6!$C$3,Sheet6!$C$3,IF(Tim!DY54=Sheet6!$C$4,Sheet6!$C$4,IF(Tim!DY54=Sheet6!$C$5,Sheet6!$C$5,IF(Tim!DY54=Sheet6!$C$6,Sheet6!$C$6,IF(Tim!DY54=Sheet6!$C$7,Sheet6!$C$7,IF(Tim!DY54=Sheet6!$C$8,Sheet6!$C$8,"")))))))</f>
        <v/>
      </c>
      <c r="AY52" s="53" t="str">
        <f>IF(Tim!DZ54=Sheet6!$C$2,Sheet6!$C$2,IF(Tim!DZ54=Sheet6!$C$3,Sheet6!$C$3,IF(Tim!DZ54=Sheet6!$C$4,Sheet6!$C$4,IF(Tim!DZ54=Sheet6!$C$5,Sheet6!$C$5,IF(Tim!DZ54=Sheet6!$C$6,Sheet6!$C$6,IF(Tim!DZ54=Sheet6!$C$7,Sheet6!$C$7,IF(Tim!DZ54=Sheet6!$C$8,Sheet6!$C$8,"")))))))</f>
        <v/>
      </c>
      <c r="AZ52" s="53" t="str">
        <f>IF(Tim!EA54=Sheet6!$C$2,Sheet6!$C$2,IF(Tim!EA54=Sheet6!$C$3,Sheet6!$C$3,IF(Tim!EA54=Sheet6!$C$4,Sheet6!$C$4,IF(Tim!EA54=Sheet6!$C$5,Sheet6!$C$5,IF(Tim!EA54=Sheet6!$C$6,Sheet6!$C$6,IF(Tim!EA54=Sheet6!$C$7,Sheet6!$C$7,IF(Tim!EA54=Sheet6!$C$8,Sheet6!$C$8,"")))))))</f>
        <v/>
      </c>
      <c r="BA52" s="176" t="str">
        <f>IF(Tim!EB54=Sheet6!$C$2,Sheet6!$C$2,IF(Tim!EB54=Sheet6!$C$3,Sheet6!$C$3,IF(Tim!EB54=Sheet6!$C$4,Sheet6!$C$4,IF(Tim!EB54=Sheet6!$C$5,Sheet6!$C$5,IF(Tim!EB54=Sheet6!$C$6,Sheet6!$C$6,IF(Tim!EB54=Sheet6!$C$7,Sheet6!$C$7,IF(Tim!EB54=Sheet6!$C$8,Sheet6!$C$8,"")))))))</f>
        <v/>
      </c>
      <c r="BB52" s="53" t="str">
        <f>IF(Tim!EC54=Sheet6!$C$2,Sheet6!$C$2,IF(Tim!EC54=Sheet6!$C$3,Sheet6!$C$3,IF(Tim!EC54=Sheet6!$C$4,Sheet6!$C$4,IF(Tim!EC54=Sheet6!$C$5,Sheet6!$C$5,IF(Tim!EC54=Sheet6!$C$6,Sheet6!$C$6,IF(Tim!EC54=Sheet6!$C$7,Sheet6!$C$7,IF(Tim!EC54=Sheet6!$C$8,Sheet6!$C$8,"")))))))</f>
        <v/>
      </c>
      <c r="BC52" s="53" t="str">
        <f>IF(Tim!EG54=Sheet6!$C$2,Sheet6!$C$2,IF(Tim!EG54=Sheet6!$C$3,Sheet6!$C$3,IF(Tim!EG54=Sheet6!$C$4,Sheet6!$C$4,IF(Tim!EG54=Sheet6!$C$5,Sheet6!$C$5,IF(Tim!EG54=Sheet6!$C$6,Sheet6!$C$6,IF(Tim!EG54=Sheet6!$C$7,Sheet6!$C$7,IF(Tim!EG54=Sheet6!$C$8,Sheet6!$C$8,"")))))))</f>
        <v/>
      </c>
      <c r="BD52" s="54" t="str">
        <f>IF(Tim!EH54=Sheet6!$C$2,Sheet6!$C$2,IF(Tim!EH54=Sheet6!$C$3,Sheet6!$C$3,IF(Tim!EH54=Sheet6!$C$4,Sheet6!$C$4,IF(Tim!EH54=Sheet6!$C$5,Sheet6!$C$5,IF(Tim!EH54=Sheet6!$C$6,Sheet6!$C$6,IF(Tim!EH54=Sheet6!$C$7,Sheet6!$C$7,IF(Tim!EH54=Sheet6!$C$8,Sheet6!$C$8,"")))))))</f>
        <v/>
      </c>
      <c r="BE52" s="54" t="str">
        <f>IF(Tim!EI54=Sheet6!$C$2,Sheet6!$C$2,IF(Tim!EI54=Sheet6!$C$3,Sheet6!$C$3,IF(Tim!EI54=Sheet6!$C$4,Sheet6!$C$4,IF(Tim!EI54=Sheet6!$C$5,Sheet6!$C$5,IF(Tim!EI54=Sheet6!$C$6,Sheet6!$C$6,IF(Tim!EI54=Sheet6!$C$7,Sheet6!$C$7,IF(Tim!EI54=Sheet6!$C$8,Sheet6!$C$8,"")))))))</f>
        <v/>
      </c>
      <c r="BF52" s="54" t="str">
        <f>IF(Tim!EJ54=Sheet6!$C$2,Sheet6!$C$2,IF(Tim!EJ54=Sheet6!$C$3,Sheet6!$C$3,IF(Tim!EJ54=Sheet6!$C$4,Sheet6!$C$4,IF(Tim!EJ54=Sheet6!$C$5,Sheet6!$C$5,IF(Tim!EJ54=Sheet6!$C$6,Sheet6!$C$6,IF(Tim!EJ54=Sheet6!$C$7,Sheet6!$C$7,IF(Tim!EJ54=Sheet6!$C$8,Sheet6!$C$8,"")))))))</f>
        <v/>
      </c>
      <c r="BG52" s="55" t="str">
        <f>IF(Tim!EK54=Sheet6!$C$2,Sheet6!$C$2,IF(Tim!EK54=Sheet6!$C$3,Sheet6!$C$3,IF(Tim!EK54=Sheet6!$C$4,Sheet6!$C$4,IF(Tim!EK54=Sheet6!$C$5,Sheet6!$C$5,IF(Tim!EK54=Sheet6!$C$6,Sheet6!$C$6,IF(Tim!EK54=Sheet6!$C$7,Sheet6!$C$7,IF(Tim!EK54=Sheet6!$C$8,Sheet6!$C$8,"")))))))</f>
        <v/>
      </c>
      <c r="BH52" s="57" t="str">
        <f>IF(Tim!EL54=Sheet6!$C$2,Sheet6!$C$2,IF(Tim!EL54=Sheet6!$C$3,Sheet6!$C$3,IF(Tim!EL54=Sheet6!$C$4,Sheet6!$C$4,IF(Tim!EL54=Sheet6!$C$5,Sheet6!$C$5,IF(Tim!EL54=Sheet6!$C$6,Sheet6!$C$6,IF(Tim!EL54=Sheet6!$C$7,Sheet6!$C$7,IF(Tim!EL54=Sheet6!$C$8,Sheet6!$C$8,"")))))))</f>
        <v/>
      </c>
      <c r="BI52" s="57" t="str">
        <f>IF(Tim!EM54=Sheet6!$C$2,Sheet6!$C$2,IF(Tim!EM54=Sheet6!$C$3,Sheet6!$C$3,IF(Tim!EM54=Sheet6!$C$4,Sheet6!$C$4,IF(Tim!EM54=Sheet6!$C$5,Sheet6!$C$5,IF(Tim!EM54=Sheet6!$C$6,Sheet6!$C$6,IF(Tim!EM54=Sheet6!$C$7,Sheet6!$C$7,IF(Tim!EM54=Sheet6!$C$8,Sheet6!$C$8,"")))))))</f>
        <v/>
      </c>
      <c r="BJ52" s="57" t="str">
        <f>IF(Tim!EQ54=Sheet6!$C$2,Sheet6!$C$2,IF(Tim!EQ54=Sheet6!$C$3,Sheet6!$C$3,IF(Tim!EQ54=Sheet6!$C$4,Sheet6!$C$4,IF(Tim!EQ54=Sheet6!$C$5,Sheet6!$C$5,IF(Tim!EQ54=Sheet6!$C$6,Sheet6!$C$6,IF(Tim!EQ54=Sheet6!$C$7,Sheet6!$C$7,IF(Tim!EQ54=Sheet6!$C$8,Sheet6!$C$8,"")))))))</f>
        <v/>
      </c>
      <c r="BK52" s="57" t="str">
        <f>IF(Tim!ER54=Sheet6!$C$2,Sheet6!$C$2,IF(Tim!ER54=Sheet6!$C$3,Sheet6!$C$3,IF(Tim!ER54=Sheet6!$C$4,Sheet6!$C$4,IF(Tim!ER54=Sheet6!$C$5,Sheet6!$C$5,IF(Tim!ER54=Sheet6!$C$6,Sheet6!$C$6,IF(Tim!ER54=Sheet6!$C$7,Sheet6!$C$7,IF(Tim!ER54=Sheet6!$C$8,Sheet6!$C$8,"")))))))</f>
        <v/>
      </c>
      <c r="BL52" s="57" t="str">
        <f>IF(Tim!EZ54=Sheet6!$C$2,Sheet6!$C$2,IF(Tim!EZ54=Sheet6!$C$3,Sheet6!$C$3,IF(Tim!EZ54=Sheet6!$C$4,Sheet6!$C$4,IF(Tim!EZ54=Sheet6!$C$5,Sheet6!$C$5,IF(Tim!EZ54=Sheet6!$C$6,Sheet6!$C$6,IF(Tim!EZ54=Sheet6!$C$7,Sheet6!$C$7,IF(Tim!EZ54=Sheet6!$C$8,Sheet6!$C$8,"")))))))</f>
        <v/>
      </c>
      <c r="BM52" s="53" t="str">
        <f>IF(Tim!FG54=Sheet6!$C$2,Sheet6!$C$2,IF(Tim!FG54=Sheet6!$C$3,Sheet6!$C$3,IF(Tim!FG54=Sheet6!$C$4,Sheet6!$C$4,IF(Tim!FG54=Sheet6!$C$5,Sheet6!$C$5,IF(Tim!FG54=Sheet6!$C$6,Sheet6!$C$6,IF(Tim!FG54=Sheet6!$C$7,Sheet6!$C$7,IF(Tim!FG54=Sheet6!$C$8,Sheet6!$C$8,"")))))))</f>
        <v/>
      </c>
      <c r="BN52" s="53" t="str">
        <f>IF(Tim!FH54=Sheet6!$C$2,Sheet6!$C$2,IF(Tim!FH54=Sheet6!$C$3,Sheet6!$C$3,IF(Tim!FH54=Sheet6!$C$4,Sheet6!$C$4,IF(Tim!FH54=Sheet6!$C$5,Sheet6!$C$5,IF(Tim!FH54=Sheet6!$C$6,Sheet6!$C$6,IF(Tim!FH54=Sheet6!$C$7,Sheet6!$C$7,IF(Tim!FH54=Sheet6!$C$8,Sheet6!$C$8,"")))))))</f>
        <v/>
      </c>
      <c r="BO52" s="53" t="str">
        <f>IF(Tim!FP54=Sheet6!$C$2,Sheet6!$C$2,IF(Tim!FP54=Sheet6!$C$3,Sheet6!$C$3,IF(Tim!FP54=Sheet6!$C$4,Sheet6!$C$4,IF(Tim!FP54=Sheet6!$C$5,Sheet6!$C$5,IF(Tim!FP54=Sheet6!$C$6,Sheet6!$C$6,IF(Tim!FP54=Sheet6!$C$7,Sheet6!$C$7,IF(Tim!FP54=Sheet6!$C$8,Sheet6!$C$8,"")))))))</f>
        <v/>
      </c>
      <c r="BP52" s="53" t="str">
        <f>IF(Tim!FQ54=Sheet6!$C$2,Sheet6!$C$2,IF(Tim!FQ54=Sheet6!$C$3,Sheet6!$C$3,IF(Tim!FQ54=Sheet6!$C$4,Sheet6!$C$4,IF(Tim!FQ54=Sheet6!$C$5,Sheet6!$C$5,IF(Tim!FQ54=Sheet6!$C$6,Sheet6!$C$6,IF(Tim!FQ54=Sheet6!$C$7,Sheet6!$C$7,IF(Tim!FQ54=Sheet6!$C$8,Sheet6!$C$8,"")))))))</f>
        <v/>
      </c>
      <c r="BQ52" s="53" t="str">
        <f>IF(Tim!FR54=Sheet6!$C$2,Sheet6!$C$2,IF(Tim!FR54=Sheet6!$C$3,Sheet6!$C$3,IF(Tim!FR54=Sheet6!$C$4,Sheet6!$C$4,IF(Tim!FR54=Sheet6!$C$5,Sheet6!$C$5,IF(Tim!FR54=Sheet6!$C$6,Sheet6!$C$6,IF(Tim!FR54=Sheet6!$C$7,Sheet6!$C$7,IF(Tim!FR54=Sheet6!$C$8,Sheet6!$C$8,"")))))))</f>
        <v/>
      </c>
      <c r="BR52" s="53" t="str">
        <f>IF(Tim!FS54=Sheet6!$C$2,Sheet6!$C$2,IF(Tim!FS54=Sheet6!$C$3,Sheet6!$C$3,IF(Tim!FS54=Sheet6!$C$4,Sheet6!$C$4,IF(Tim!FS54=Sheet6!$C$5,Sheet6!$C$5,IF(Tim!FS54=Sheet6!$C$6,Sheet6!$C$6,IF(Tim!FS54=Sheet6!$C$7,Sheet6!$C$7,IF(Tim!FS54=Sheet6!$C$8,Sheet6!$C$8,"")))))))</f>
        <v/>
      </c>
      <c r="BS52" s="53" t="str">
        <f>IF(Tim!FT54=Sheet6!$C$2,Sheet6!$C$2,IF(Tim!FT54=Sheet6!$C$3,Sheet6!$C$3,IF(Tim!FT54=Sheet6!$C$4,Sheet6!$C$4,IF(Tim!FT54=Sheet6!$C$5,Sheet6!$C$5,IF(Tim!FT54=Sheet6!$C$6,Sheet6!$C$6,IF(Tim!FT54=Sheet6!$C$7,Sheet6!$C$7,IF(Tim!FT54=Sheet6!$C$8,Sheet6!$C$8,"")))))))</f>
        <v/>
      </c>
      <c r="BT52" s="53" t="str">
        <f>IF(Tim!FU54=Sheet6!$C$2,Sheet6!$C$2,IF(Tim!FU54=Sheet6!$C$3,Sheet6!$C$3,IF(Tim!FU54=Sheet6!$C$4,Sheet6!$C$4,IF(Tim!FU54=Sheet6!$C$5,Sheet6!$C$5,IF(Tim!FU54=Sheet6!$C$6,Sheet6!$C$6,IF(Tim!FU54=Sheet6!$C$7,Sheet6!$C$7,IF(Tim!FU54=Sheet6!$C$8,Sheet6!$C$8,"")))))))</f>
        <v/>
      </c>
      <c r="BU52" s="53" t="str">
        <f>IF(Tim!FY54=Sheet6!$C$2,Sheet6!$C$2,IF(Tim!FY54=Sheet6!$C$3,Sheet6!$C$3,IF(Tim!FY54=Sheet6!$C$4,Sheet6!$C$4,IF(Tim!FY54=Sheet6!$C$5,Sheet6!$C$5,IF(Tim!FY54=Sheet6!$C$6,Sheet6!$C$6,IF(Tim!FY54=Sheet6!$C$7,Sheet6!$C$7,IF(Tim!FY54=Sheet6!$C$8,Sheet6!$C$8,"")))))))</f>
        <v/>
      </c>
      <c r="BV52" s="54" t="str">
        <f>IF(Tim!FZ54=Sheet6!$C$2,Sheet6!$C$2,IF(Tim!FZ54=Sheet6!$C$3,Sheet6!$C$3,IF(Tim!FZ54=Sheet6!$C$4,Sheet6!$C$4,IF(Tim!FZ54=Sheet6!$C$5,Sheet6!$C$5,IF(Tim!FZ54=Sheet6!$C$6,Sheet6!$C$6,IF(Tim!FZ54=Sheet6!$C$7,Sheet6!$C$7,IF(Tim!FZ54=Sheet6!$C$8,Sheet6!$C$8,"")))))))</f>
        <v/>
      </c>
      <c r="BW52" s="54" t="str">
        <f>IF(Tim!GA54=Sheet6!$C$2,Sheet6!$C$2,IF(Tim!GA54=Sheet6!$C$3,Sheet6!$C$3,IF(Tim!GA54=Sheet6!$C$4,Sheet6!$C$4,IF(Tim!GA54=Sheet6!$C$5,Sheet6!$C$5,IF(Tim!GA54=Sheet6!$C$6,Sheet6!$C$6,IF(Tim!GA54=Sheet6!$C$7,Sheet6!$C$7,IF(Tim!GA54=Sheet6!$C$8,Sheet6!$C$8,"")))))))</f>
        <v/>
      </c>
      <c r="BX52" s="54" t="str">
        <f>IF(Tim!GB54=Sheet6!$C$2,Sheet6!$C$2,IF(Tim!GB54=Sheet6!$C$3,Sheet6!$C$3,IF(Tim!GB54=Sheet6!$C$4,Sheet6!$C$4,IF(Tim!GB54=Sheet6!$C$5,Sheet6!$C$5,IF(Tim!GB54=Sheet6!$C$6,Sheet6!$C$6,IF(Tim!GB54=Sheet6!$C$7,Sheet6!$C$7,IF(Tim!GB54=Sheet6!$C$8,Sheet6!$C$8,"")))))))</f>
        <v/>
      </c>
      <c r="BY52" s="55" t="str">
        <f>IF(Tim!GC54=Sheet6!$C$2,Sheet6!$C$2,IF(Tim!GC54=Sheet6!$C$3,Sheet6!$C$3,IF(Tim!GC54=Sheet6!$C$4,Sheet6!$C$4,IF(Tim!GC54=Sheet6!$C$5,Sheet6!$C$5,IF(Tim!GC54=Sheet6!$C$6,Sheet6!$C$6,IF(Tim!GC54=Sheet6!$C$7,Sheet6!$C$7,IF(Tim!GC54=Sheet6!$C$8,Sheet6!$C$8,"")))))))</f>
        <v/>
      </c>
      <c r="BZ52" s="53" t="str">
        <f>IF(Tim!GD54=Sheet6!$C$2,Sheet6!$C$2,IF(Tim!GD54=Sheet6!$C$3,Sheet6!$C$3,IF(Tim!GD54=Sheet6!$C$4,Sheet6!$C$4,IF(Tim!GD54=Sheet6!$C$5,Sheet6!$C$5,IF(Tim!GD54=Sheet6!$C$6,Sheet6!$C$6,IF(Tim!GD54=Sheet6!$C$7,Sheet6!$C$7,IF(Tim!GD54=Sheet6!$C$8,Sheet6!$C$8,"")))))))</f>
        <v/>
      </c>
      <c r="CA52" s="57" t="str">
        <f>IF(Tim!GE54=Sheet6!$C$2,Sheet6!$C$2,IF(Tim!GE54=Sheet6!$C$3,Sheet6!$C$3,IF(Tim!GE54=Sheet6!$C$4,Sheet6!$C$4,IF(Tim!GE54=Sheet6!$C$5,Sheet6!$C$5,IF(Tim!GE54=Sheet6!$C$6,Sheet6!$C$6,IF(Tim!GE54=Sheet6!$C$7,Sheet6!$C$7,IF(Tim!GE54=Sheet6!$C$8,Sheet6!$C$8,"")))))))</f>
        <v/>
      </c>
      <c r="CB52" s="57" t="str">
        <f>IF(Tim!GI54=Sheet6!$C$2,Sheet6!$C$2,IF(Tim!GI54=Sheet6!$C$3,Sheet6!$C$3,IF(Tim!GI54=Sheet6!$C$4,Sheet6!$C$4,IF(Tim!GI54=Sheet6!$C$5,Sheet6!$C$5,IF(Tim!GI54=Sheet6!$C$6,Sheet6!$C$6,IF(Tim!GI54=Sheet6!$C$7,Sheet6!$C$7,IF(Tim!GI54=Sheet6!$C$8,Sheet6!$C$8,"")))))))</f>
        <v/>
      </c>
      <c r="CC52" s="57" t="str">
        <f>IF(Tim!GJ54=Sheet6!$C$2,Sheet6!$C$2,IF(Tim!GJ54=Sheet6!$C$3,Sheet6!$C$3,IF(Tim!GJ54=Sheet6!$C$4,Sheet6!$C$4,IF(Tim!GJ54=Sheet6!$C$5,Sheet6!$C$5,IF(Tim!GJ54=Sheet6!$C$6,Sheet6!$C$6,IF(Tim!GJ54=Sheet6!$C$7,Sheet6!$C$7,IF(Tim!GJ54=Sheet6!$C$8,Sheet6!$C$8,"")))))))</f>
        <v/>
      </c>
      <c r="CD52" s="57" t="str">
        <f>IF(Tim!GN54=Sheet6!$C$2,Sheet6!$C$2,IF(Tim!GN54=Sheet6!$C$3,Sheet6!$C$3,IF(Tim!GN54=Sheet6!$C$4,Sheet6!$C$4,IF(Tim!GN54=Sheet6!$C$5,Sheet6!$C$5,IF(Tim!GN54=Sheet6!$C$6,Sheet6!$C$6,IF(Tim!GN54=Sheet6!$C$7,Sheet6!$C$7,IF(Tim!GN54=Sheet6!$C$8,Sheet6!$C$8,"")))))))</f>
        <v/>
      </c>
      <c r="CE52" s="53" t="str">
        <f>IF(Tim!GY54=Sheet6!$C$2,Sheet6!$C$2,IF(Tim!GY54=Sheet6!$C$3,Sheet6!$C$3,IF(Tim!GY54=Sheet6!$C$4,Sheet6!$C$4,IF(Tim!GY54=Sheet6!$C$5,Sheet6!$C$5,IF(Tim!GY54=Sheet6!$C$6,Sheet6!$C$6,IF(Tim!GY54=Sheet6!$C$7,Sheet6!$C$7,IF(Tim!GY54=Sheet6!$C$8,Sheet6!$C$8,"")))))))</f>
        <v/>
      </c>
      <c r="CF52" s="53" t="str">
        <f>IF(Tim!GZ54=Sheet6!$C$2,Sheet6!$C$2,IF(Tim!GZ54=Sheet6!$C$3,Sheet6!$C$3,IF(Tim!GZ54=Sheet6!$C$4,Sheet6!$C$4,IF(Tim!GZ54=Sheet6!$C$5,Sheet6!$C$5,IF(Tim!GZ54=Sheet6!$C$6,Sheet6!$C$6,IF(Tim!GZ54=Sheet6!$C$7,Sheet6!$C$7,IF(Tim!GZ54=Sheet6!$C$8,Sheet6!$C$8,"")))))))</f>
        <v/>
      </c>
      <c r="CG52" s="53" t="str">
        <f>IF(Tim!HH54=Sheet6!$C$2,Sheet6!$C$2,IF(Tim!HH54=Sheet6!$C$3,Sheet6!$C$3,IF(Tim!HH54=Sheet6!$C$4,Sheet6!$C$4,IF(Tim!HH54=Sheet6!$C$5,Sheet6!$C$5,IF(Tim!HH54=Sheet6!$C$6,Sheet6!$C$6,IF(Tim!HH54=Sheet6!$C$7,Sheet6!$C$7,IF(Tim!HH54=Sheet6!$C$8,Sheet6!$C$8,"")))))))</f>
        <v/>
      </c>
      <c r="CH52" s="53" t="str">
        <f>IF(Tim!HI54=Sheet6!$C$2,Sheet6!$C$2,IF(Tim!HI54=Sheet6!$C$3,Sheet6!$C$3,IF(Tim!HI54=Sheet6!$C$4,Sheet6!$C$4,IF(Tim!HI54=Sheet6!$C$5,Sheet6!$C$5,IF(Tim!HI54=Sheet6!$C$6,Sheet6!$C$6,IF(Tim!HI54=Sheet6!$C$7,Sheet6!$C$7,IF(Tim!HI54=Sheet6!$C$8,Sheet6!$C$8,"")))))))</f>
        <v/>
      </c>
      <c r="CI52" s="53" t="str">
        <f>IF(Tim!HJ54=Sheet6!$C$2,Sheet6!$C$2,IF(Tim!HJ54=Sheet6!$C$3,Sheet6!$C$3,IF(Tim!HJ54=Sheet6!$C$4,Sheet6!$C$4,IF(Tim!HJ54=Sheet6!$C$5,Sheet6!$C$5,IF(Tim!HJ54=Sheet6!$C$6,Sheet6!$C$6,IF(Tim!HJ54=Sheet6!$C$7,Sheet6!$C$7,IF(Tim!HJ54=Sheet6!$C$8,Sheet6!$C$8,"")))))))</f>
        <v/>
      </c>
      <c r="CJ52" s="53" t="str">
        <f>IF(Tim!HK54=Sheet6!$C$2,Sheet6!$C$2,IF(Tim!HK54=Sheet6!$C$3,Sheet6!$C$3,IF(Tim!HK54=Sheet6!$C$4,Sheet6!$C$4,IF(Tim!HK54=Sheet6!$C$5,Sheet6!$C$5,IF(Tim!HK54=Sheet6!$C$6,Sheet6!$C$6,IF(Tim!HK54=Sheet6!$C$7,Sheet6!$C$7,IF(Tim!HK54=Sheet6!$C$8,Sheet6!$C$8,"")))))))</f>
        <v/>
      </c>
      <c r="CK52" s="53" t="str">
        <f>IF(Tim!HL54=Sheet6!$C$2,Sheet6!$C$2,IF(Tim!HL54=Sheet6!$C$3,Sheet6!$C$3,IF(Tim!HL54=Sheet6!$C$4,Sheet6!$C$4,IF(Tim!HL54=Sheet6!$C$5,Sheet6!$C$5,IF(Tim!HL54=Sheet6!$C$6,Sheet6!$C$6,IF(Tim!HL54=Sheet6!$C$7,Sheet6!$C$7,IF(Tim!HL54=Sheet6!$C$8,Sheet6!$C$8,"")))))))</f>
        <v/>
      </c>
      <c r="CL52" s="53" t="str">
        <f>IF(Tim!HM54=Sheet6!$C$2,Sheet6!$C$2,IF(Tim!HM54=Sheet6!$C$3,Sheet6!$C$3,IF(Tim!HM54=Sheet6!$C$4,Sheet6!$C$4,IF(Tim!HM54=Sheet6!$C$5,Sheet6!$C$5,IF(Tim!HM54=Sheet6!$C$6,Sheet6!$C$6,IF(Tim!HM54=Sheet6!$C$7,Sheet6!$C$7,IF(Tim!HM54=Sheet6!$C$8,Sheet6!$C$8,"")))))))</f>
        <v/>
      </c>
      <c r="CM52" s="53" t="str">
        <f>IF(Tim!HQ54=Sheet6!$C$2,Sheet6!$C$2,IF(Tim!HQ54=Sheet6!$C$3,Sheet6!$C$3,IF(Tim!HQ54=Sheet6!$C$4,Sheet6!$C$4,IF(Tim!HQ54=Sheet6!$C$5,Sheet6!$C$5,IF(Tim!HQ54=Sheet6!$C$6,Sheet6!$C$6,IF(Tim!HQ54=Sheet6!$C$7,Sheet6!$C$7,IF(Tim!HQ54=Sheet6!$C$8,Sheet6!$C$8,"")))))))</f>
        <v/>
      </c>
      <c r="CN52" s="54" t="str">
        <f>IF(Tim!HR54=Sheet6!$C$2,Sheet6!$C$2,IF(Tim!HR54=Sheet6!$C$3,Sheet6!$C$3,IF(Tim!HR54=Sheet6!$C$4,Sheet6!$C$4,IF(Tim!HR54=Sheet6!$C$5,Sheet6!$C$5,IF(Tim!HR54=Sheet6!$C$6,Sheet6!$C$6,IF(Tim!HR54=Sheet6!$C$7,Sheet6!$C$7,IF(Tim!HR54=Sheet6!$C$8,Sheet6!$C$8,"")))))))</f>
        <v/>
      </c>
      <c r="CO52" s="54" t="str">
        <f>IF(Tim!HS54=Sheet6!$C$2,Sheet6!$C$2,IF(Tim!HS54=Sheet6!$C$3,Sheet6!$C$3,IF(Tim!HS54=Sheet6!$C$4,Sheet6!$C$4,IF(Tim!HS54=Sheet6!$C$5,Sheet6!$C$5,IF(Tim!HS54=Sheet6!$C$6,Sheet6!$C$6,IF(Tim!HS54=Sheet6!$C$7,Sheet6!$C$7,IF(Tim!HS54=Sheet6!$C$8,Sheet6!$C$8,"")))))))</f>
        <v/>
      </c>
      <c r="CP52" s="54" t="str">
        <f>IF(Tim!HT54=Sheet6!$C$2,Sheet6!$C$2,IF(Tim!HT54=Sheet6!$C$3,Sheet6!$C$3,IF(Tim!HT54=Sheet6!$C$4,Sheet6!$C$4,IF(Tim!HT54=Sheet6!$C$5,Sheet6!$C$5,IF(Tim!HT54=Sheet6!$C$6,Sheet6!$C$6,IF(Tim!HT54=Sheet6!$C$7,Sheet6!$C$7,IF(Tim!HT54=Sheet6!$C$8,Sheet6!$C$8,"")))))))</f>
        <v/>
      </c>
      <c r="CQ52" s="55" t="str">
        <f>IF(Tim!HU54=Sheet6!$C$2,Sheet6!$C$2,IF(Tim!HU54=Sheet6!$C$3,Sheet6!$C$3,IF(Tim!HU54=Sheet6!$C$4,Sheet6!$C$4,IF(Tim!HU54=Sheet6!$C$5,Sheet6!$C$5,IF(Tim!HU54=Sheet6!$C$6,Sheet6!$C$6,IF(Tim!HU54=Sheet6!$C$7,Sheet6!$C$7,IF(Tim!HU54=Sheet6!$C$8,Sheet6!$C$8,"")))))))</f>
        <v/>
      </c>
      <c r="CR52" s="56" t="str">
        <f>IF(Tim!HV54=Sheet6!$C$2,Sheet6!$C$2,IF(Tim!HV54=Sheet6!$C$3,Sheet6!$C$3,IF(Tim!HV54=Sheet6!$C$4,Sheet6!$C$4,IF(Tim!HV54=Sheet6!$C$5,Sheet6!$C$5,IF(Tim!HV54=Sheet6!$C$6,Sheet6!$C$6,IF(Tim!HV54=Sheet6!$C$7,Sheet6!$C$7,IF(Tim!HV54=Sheet6!$C$8,Sheet6!$C$8,"")))))))</f>
        <v/>
      </c>
      <c r="CS52" s="57" t="str">
        <f>IF(Tim!IB54=Sheet6!$C$2,Sheet6!$C$2,IF(Tim!IB54=Sheet6!$C$3,Sheet6!$C$3,IF(Tim!IB54=Sheet6!$C$4,Sheet6!$C$4,IF(Tim!IB54=Sheet6!$C$5,Sheet6!$C$5,IF(Tim!IB54=Sheet6!$C$6,Sheet6!$C$6,IF(Tim!IB54=Sheet6!$C$7,Sheet6!$C$7,IF(Tim!IB54=Sheet6!$C$8,Sheet6!$C$8,"")))))))</f>
        <v/>
      </c>
      <c r="CT52" s="65" t="str">
        <f>IF(Tim!IJ54=Sheet6!$C$2,Sheet6!$C$2,IF(Tim!IJ54=Sheet6!$C$3,Sheet6!$C$3,IF(Tim!IJ54=Sheet6!$C$4,Sheet6!$C$4,IF(Tim!IJ54=Sheet6!$C$5,Sheet6!$C$5,IF(Tim!IJ54=Sheet6!$C$6,Sheet6!$C$6,IF(Tim!IJ54=Sheet6!$C$7,Sheet6!$C$7,IF(Tim!IJ54=Sheet6!$C$8,Sheet6!$C$8,"")))))))</f>
        <v/>
      </c>
      <c r="CU52" s="65" t="str">
        <f>IF(Tim!IQ54=Sheet6!$C$2,Sheet6!$C$2,IF(Tim!IQ54=Sheet6!$C$3,Sheet6!$C$3,IF(Tim!IQ54=Sheet6!$C$4,Sheet6!$C$4,IF(Tim!IQ54=Sheet6!$C$5,Sheet6!$C$5,IF(Tim!IQ54=Sheet6!$C$6,Sheet6!$C$6,IF(Tim!IQ54=Sheet6!$C$7,Sheet6!$C$7,IF(Tim!IQ54=Sheet6!$C$8,Sheet6!$C$8,"")))))))</f>
        <v/>
      </c>
      <c r="CV52" s="53" t="str">
        <f>IF(Tim!IR54=Sheet6!$C$2,Sheet6!$C$2,IF(Tim!IR54=Sheet6!$C$3,Sheet6!$C$3,IF(Tim!IR54=Sheet6!$C$4,Sheet6!$C$4,IF(Tim!IR54=Sheet6!$C$5,Sheet6!$C$5,IF(Tim!IR54=Sheet6!$C$6,Sheet6!$C$6,IF(Tim!IR54=Sheet6!$C$7,Sheet6!$C$7,IF(Tim!IR54=Sheet6!$C$8,Sheet6!$C$8,"")))))))</f>
        <v/>
      </c>
      <c r="CW52" s="53" t="str">
        <f>IF(Tim!IZ54=Sheet6!$C$2,Sheet6!$C$2,IF(Tim!IZ54=Sheet6!$C$3,Sheet6!$C$3,IF(Tim!IZ54=Sheet6!$C$4,Sheet6!$C$4,IF(Tim!IZ54=Sheet6!$C$5,Sheet6!$C$5,IF(Tim!IZ54=Sheet6!$C$6,Sheet6!$C$6,IF(Tim!IZ54=Sheet6!$C$7,Sheet6!$C$7,IF(Tim!IZ54=Sheet6!$C$8,Sheet6!$C$8,"")))))))</f>
        <v/>
      </c>
      <c r="CX52" s="53" t="str">
        <f>IF(Tim!JA54=Sheet6!$C$2,Sheet6!$C$2,IF(Tim!JA54=Sheet6!$C$3,Sheet6!$C$3,IF(Tim!JA54=Sheet6!$C$4,Sheet6!$C$4,IF(Tim!JA54=Sheet6!$C$5,Sheet6!$C$5,IF(Tim!JA54=Sheet6!$C$6,Sheet6!$C$6,IF(Tim!JA54=Sheet6!$C$7,Sheet6!$C$7,IF(Tim!JA54=Sheet6!$C$8,Sheet6!$C$8,"")))))))</f>
        <v/>
      </c>
      <c r="CY52" s="53" t="str">
        <f>IF(Tim!JB54=Sheet6!$C$2,Sheet6!$C$2,IF(Tim!JB54=Sheet6!$C$3,Sheet6!$C$3,IF(Tim!JB54=Sheet6!$C$4,Sheet6!$C$4,IF(Tim!JB54=Sheet6!$C$5,Sheet6!$C$5,IF(Tim!JB54=Sheet6!$C$6,Sheet6!$C$6,IF(Tim!JB54=Sheet6!$C$7,Sheet6!$C$7,IF(Tim!JB54=Sheet6!$C$8,Sheet6!$C$8,"")))))))</f>
        <v/>
      </c>
      <c r="CZ52" s="53" t="str">
        <f>IF(Tim!JC54=Sheet6!$C$2,Sheet6!$C$2,IF(Tim!JC54=Sheet6!$C$3,Sheet6!$C$3,IF(Tim!JC54=Sheet6!$C$4,Sheet6!$C$4,IF(Tim!JC54=Sheet6!$C$5,Sheet6!$C$5,IF(Tim!JC54=Sheet6!$C$6,Sheet6!$C$6,IF(Tim!JC54=Sheet6!$C$7,Sheet6!$C$7,IF(Tim!JC54=Sheet6!$C$8,Sheet6!$C$8,"")))))))</f>
        <v/>
      </c>
      <c r="DA52" s="53" t="str">
        <f>IF(Tim!JD54=Sheet6!$C$2,Sheet6!$C$2,IF(Tim!JD54=Sheet6!$C$3,Sheet6!$C$3,IF(Tim!JD54=Sheet6!$C$4,Sheet6!$C$4,IF(Tim!JD54=Sheet6!$C$5,Sheet6!$C$5,IF(Tim!JD54=Sheet6!$C$6,Sheet6!$C$6,IF(Tim!JD54=Sheet6!$C$7,Sheet6!$C$7,IF(Tim!JD54=Sheet6!$C$8,Sheet6!$C$8,"")))))))</f>
        <v/>
      </c>
      <c r="DB52" s="53" t="str">
        <f>IF(Tim!JE54=Sheet6!$C$2,Sheet6!$C$2,IF(Tim!JE54=Sheet6!$C$3,Sheet6!$C$3,IF(Tim!JE54=Sheet6!$C$4,Sheet6!$C$4,IF(Tim!JE54=Sheet6!$C$5,Sheet6!$C$5,IF(Tim!JE54=Sheet6!$C$6,Sheet6!$C$6,IF(Tim!JE54=Sheet6!$C$7,Sheet6!$C$7,IF(Tim!JE54=Sheet6!$C$8,Sheet6!$C$8,"")))))))</f>
        <v/>
      </c>
      <c r="DC52" s="53" t="str">
        <f>IF(Tim!JI54=Sheet6!$C$2,Sheet6!$C$2,IF(Tim!JI54=Sheet6!$C$3,Sheet6!$C$3,IF(Tim!JI54=Sheet6!$C$4,Sheet6!$C$4,IF(Tim!JI54=Sheet6!$C$5,Sheet6!$C$5,IF(Tim!JI54=Sheet6!$C$6,Sheet6!$C$6,IF(Tim!JI54=Sheet6!$C$7,Sheet6!$C$7,IF(Tim!JI54=Sheet6!$C$8,Sheet6!$C$8,"")))))))</f>
        <v/>
      </c>
      <c r="DD52" s="54" t="str">
        <f>IF(Tim!JJ54=Sheet6!$C$2,Sheet6!$C$2,IF(Tim!JJ54=Sheet6!$C$3,Sheet6!$C$3,IF(Tim!JJ54=Sheet6!$C$4,Sheet6!$C$4,IF(Tim!JJ54=Sheet6!$C$5,Sheet6!$C$5,IF(Tim!JJ54=Sheet6!$C$6,Sheet6!$C$6,IF(Tim!JJ54=Sheet6!$C$7,Sheet6!$C$7,IF(Tim!JJ54=Sheet6!$C$8,Sheet6!$C$8,"")))))))</f>
        <v/>
      </c>
      <c r="DE52" s="54" t="str">
        <f>IF(Tim!JK54=Sheet6!$C$2,Sheet6!$C$2,IF(Tim!JK54=Sheet6!$C$3,Sheet6!$C$3,IF(Tim!JK54=Sheet6!$C$4,Sheet6!$C$4,IF(Tim!JK54=Sheet6!$C$5,Sheet6!$C$5,IF(Tim!JK54=Sheet6!$C$6,Sheet6!$C$6,IF(Tim!JK54=Sheet6!$C$7,Sheet6!$C$7,IF(Tim!JK54=Sheet6!$C$8,Sheet6!$C$8,"")))))))</f>
        <v/>
      </c>
      <c r="DF52" s="54" t="str">
        <f>IF(Tim!JL54=Sheet6!$C$2,Sheet6!$C$2,IF(Tim!JL54=Sheet6!$C$3,Sheet6!$C$3,IF(Tim!JL54=Sheet6!$C$4,Sheet6!$C$4,IF(Tim!JL54=Sheet6!$C$5,Sheet6!$C$5,IF(Tim!JL54=Sheet6!$C$6,Sheet6!$C$6,IF(Tim!JL54=Sheet6!$C$7,Sheet6!$C$7,IF(Tim!JL54=Sheet6!$C$8,Sheet6!$C$8,"")))))))</f>
        <v/>
      </c>
      <c r="DG52" s="55" t="str">
        <f>IF(Tim!JM54=Sheet6!$C$2,Sheet6!$C$2,IF(Tim!JM54=Sheet6!$C$3,Sheet6!$C$3,IF(Tim!JM54=Sheet6!$C$4,Sheet6!$C$4,IF(Tim!JM54=Sheet6!$C$5,Sheet6!$C$5,IF(Tim!JM54=Sheet6!$C$6,Sheet6!$C$6,IF(Tim!JM54=Sheet6!$C$7,Sheet6!$C$7,IF(Tim!JM54=Sheet6!$C$8,Sheet6!$C$8,"")))))))</f>
        <v/>
      </c>
      <c r="DH52" s="422"/>
      <c r="DI52" s="423"/>
      <c r="DJ52" s="423"/>
      <c r="DK52" s="423"/>
      <c r="DL52" s="423"/>
      <c r="DM52" s="423"/>
      <c r="DN52" s="423"/>
      <c r="DO52" s="423"/>
      <c r="DP52" s="423"/>
      <c r="DQ52" s="423"/>
      <c r="DR52" s="423"/>
      <c r="DS52" s="423"/>
      <c r="DT52" s="423"/>
      <c r="DU52" s="423"/>
      <c r="DV52" s="423"/>
      <c r="DW52" s="424"/>
      <c r="DX52" s="52">
        <v>0.781249999999999</v>
      </c>
    </row>
    <row r="53" spans="2:128" ht="10.5" customHeight="1">
      <c r="B53" s="51">
        <v>0.25</v>
      </c>
      <c r="C53" s="51">
        <v>0.25</v>
      </c>
      <c r="D53" s="51">
        <v>0.25</v>
      </c>
      <c r="E53" s="52">
        <v>0.79166666666666496</v>
      </c>
      <c r="F53" s="53" t="str">
        <f>IF(Tim!F55=Sheet6!$C$2,Sheet6!$C$2,IF(Tim!F55=Sheet6!$C$3,Sheet6!$C$3,IF(Tim!F55=Sheet6!$C$4,Sheet6!$C$4,IF(Tim!F55=Sheet6!$C$5,Sheet6!$C$5,IF(Tim!F55=Sheet6!$C$6,Sheet6!$C$6,IF(Tim!F55=Sheet6!$C$7,Sheet6!$C$7,IF(Tim!F55=Sheet6!$C$8,Sheet6!$C$8,"")))))))</f>
        <v/>
      </c>
      <c r="G53" s="53" t="str">
        <f>IF(Tim!M55=Sheet6!$C$2,Sheet6!$C$2,IF(Tim!M55=Sheet6!$C$3,Sheet6!$C$3,IF(Tim!M55=Sheet6!$C$4,Sheet6!$C$4,IF(Tim!M55=Sheet6!$C$5,Sheet6!$C$5,IF(Tim!M55=Sheet6!$C$6,Sheet6!$C$6,IF(Tim!M55=Sheet6!$C$7,Sheet6!$C$7,IF(Tim!M55=Sheet6!$C$8,Sheet6!$C$8,"")))))))</f>
        <v/>
      </c>
      <c r="H53" s="53" t="str">
        <f>IF(Tim!H55=Sheet6!$C$2,Sheet6!$C$2,IF(Tim!H55=Sheet6!$C$3,Sheet6!$C$3,IF(Tim!H55=Sheet6!$C$4,Sheet6!$C$4,IF(Tim!H55=Sheet6!$C$5,Sheet6!$C$5,IF(Tim!H55=Sheet6!$C$6,Sheet6!$C$6,IF(Tim!H55=Sheet6!$C$7,Sheet6!$C$7,IF(Tim!H55=Sheet6!$C$8,Sheet6!$C$8,"")))))))</f>
        <v/>
      </c>
      <c r="I53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J53" s="53" t="str">
        <f>IF(Tim!T55=Sheet6!$C$2,Sheet6!$C$2,IF(Tim!T55=Sheet6!$C$3,Sheet6!$C$3,IF(Tim!T55=Sheet6!$C$4,Sheet6!$C$4,IF(Tim!T55=Sheet6!$C$5,Sheet6!$C$5,IF(Tim!T55=Sheet6!$C$6,Sheet6!$C$6,IF(Tim!T55=Sheet6!$C$7,Sheet6!$C$7,IF(Tim!T55=Sheet6!$C$8,Sheet6!$C$8,"")))))))</f>
        <v/>
      </c>
      <c r="K53" s="53" t="str">
        <f>IF(Tim!AB55=Sheet6!$C$2,Sheet6!$C$2,IF(Tim!AB55=Sheet6!$C$3,Sheet6!$C$3,IF(Tim!AB55=Sheet6!$C$4,Sheet6!$C$4,IF(Tim!AB55=Sheet6!$C$5,Sheet6!$C$5,IF(Tim!AB55=Sheet6!$C$6,Sheet6!$C$6,IF(Tim!AB55=Sheet6!$C$7,Sheet6!$C$7,IF(Tim!AB55=Sheet6!$C$8,Sheet6!$C$8,"")))))))</f>
        <v/>
      </c>
      <c r="L53" s="53" t="str">
        <f>IF(Tim!AC55=Sheet6!$C$2,Sheet6!$C$2,IF(Tim!AC55=Sheet6!$C$3,Sheet6!$C$3,IF(Tim!AC55=Sheet6!$C$4,Sheet6!$C$4,IF(Tim!AC55=Sheet6!$C$5,Sheet6!$C$5,IF(Tim!AC55=Sheet6!$C$6,Sheet6!$C$6,IF(Tim!AC55=Sheet6!$C$7,Sheet6!$C$7,IF(Tim!AC55=Sheet6!$C$8,Sheet6!$C$8,"")))))))</f>
        <v/>
      </c>
      <c r="M53" s="53" t="str">
        <f>IF(Tim!AJ55=Sheet6!$C$2,Sheet6!$C$2,IF(Tim!AJ55=Sheet6!$C$3,Sheet6!$C$3,IF(Tim!AJ55=Sheet6!$C$4,Sheet6!$C$4,IF(Tim!AJ55=Sheet6!$C$5,Sheet6!$C$5,IF(Tim!AJ55=Sheet6!$C$6,Sheet6!$C$6,IF(Tim!AJ55=Sheet6!$C$7,Sheet6!$C$7,IF(Tim!AJ55=Sheet6!$C$8,Sheet6!$C$8,"")))))))</f>
        <v/>
      </c>
      <c r="N53" s="53" t="str">
        <f>IF(Tim!AK55=Sheet6!$C$2,Sheet6!$C$2,IF(Tim!AK55=Sheet6!$C$3,Sheet6!$C$3,IF(Tim!AK55=Sheet6!$C$4,Sheet6!$C$4,IF(Tim!AK55=Sheet6!$C$5,Sheet6!$C$5,IF(Tim!AK55=Sheet6!$C$6,Sheet6!$C$6,IF(Tim!AK55=Sheet6!$C$7,Sheet6!$C$7,IF(Tim!AK55=Sheet6!$C$8,Sheet6!$C$8,"")))))))</f>
        <v/>
      </c>
      <c r="O53" s="53" t="str">
        <f>IF(Tim!AL55=Sheet6!$C$2,Sheet6!$C$2,IF(Tim!AL55=Sheet6!$C$3,Sheet6!$C$3,IF(Tim!AL55=Sheet6!$C$4,Sheet6!$C$4,IF(Tim!AL55=Sheet6!$C$5,Sheet6!$C$5,IF(Tim!AL55=Sheet6!$C$6,Sheet6!$C$6,IF(Tim!AL55=Sheet6!$C$7,Sheet6!$C$7,IF(Tim!AL55=Sheet6!$C$8,Sheet6!$C$8,"")))))))</f>
        <v/>
      </c>
      <c r="P53" s="53" t="str">
        <f>IF(Tim!AN55=Sheet6!$C$2,Sheet6!$C$2,IF(Tim!AN55=Sheet6!$C$3,Sheet6!$C$3,IF(Tim!AN55=Sheet6!$C$4,Sheet6!$C$4,IF(Tim!AN55=Sheet6!$C$5,Sheet6!$C$5,IF(Tim!AN55=Sheet6!$C$6,Sheet6!$C$6,IF(Tim!AN55=Sheet6!$C$7,Sheet6!$C$7,IF(Tim!AN55=Sheet6!$C$8,Sheet6!$C$8,"")))))))</f>
        <v/>
      </c>
      <c r="Q53" s="176" t="str">
        <f>IF(Tim!AO55=Sheet6!$C$2,Sheet6!$C$2,IF(Tim!AO55=Sheet6!$C$3,Sheet6!$C$3,IF(Tim!AO55=Sheet6!$C$4,Sheet6!$C$4,IF(Tim!AO55=Sheet6!$C$5,Sheet6!$C$5,IF(Tim!AO55=Sheet6!$C$6,Sheet6!$C$6,IF(Tim!AO55=Sheet6!$C$7,Sheet6!$C$7,IF(Tim!AO55=Sheet6!$C$8,Sheet6!$C$8,"")))))))</f>
        <v/>
      </c>
      <c r="R53" s="53" t="str">
        <f>IF(Tim!AP55=Sheet6!$C$2,Sheet6!$C$2,IF(Tim!AP55=Sheet6!$C$3,Sheet6!$C$3,IF(Tim!AP55=Sheet6!$C$4,Sheet6!$C$4,IF(Tim!AP55=Sheet6!$C$5,Sheet6!$C$5,IF(Tim!AP55=Sheet6!$C$6,Sheet6!$C$6,IF(Tim!AP55=Sheet6!$C$7,Sheet6!$C$7,IF(Tim!AP55=Sheet6!$C$8,Sheet6!$C$8,"")))))))</f>
        <v/>
      </c>
      <c r="S53" s="53" t="str">
        <f>IF(Tim!AT55=Sheet6!$C$2,Sheet6!$C$2,IF(Tim!AT55=Sheet6!$C$3,Sheet6!$C$3,IF(Tim!AT55=Sheet6!$C$4,Sheet6!$C$4,IF(Tim!AT55=Sheet6!$C$5,Sheet6!$C$5,IF(Tim!AT55=Sheet6!$C$6,Sheet6!$C$6,IF(Tim!AT55=Sheet6!$C$7,Sheet6!$C$7,IF(Tim!AT55=Sheet6!$C$8,Sheet6!$C$8,"")))))))</f>
        <v/>
      </c>
      <c r="T53" s="54" t="str">
        <f>IF(Tim!AU55=Sheet6!$C$2,Sheet6!$C$2,IF(Tim!AU55=Sheet6!$C$3,Sheet6!$C$3,IF(Tim!AU55=Sheet6!$C$4,Sheet6!$C$4,IF(Tim!AU55=Sheet6!$C$5,Sheet6!$C$5,IF(Tim!AU55=Sheet6!$C$6,Sheet6!$C$6,IF(Tim!AU55=Sheet6!$C$7,Sheet6!$C$7,IF(Tim!AU55=Sheet6!$C$8,Sheet6!$C$8,"")))))))</f>
        <v/>
      </c>
      <c r="U53" s="54" t="str">
        <f>IF(Tim!AV55=Sheet6!$C$2,Sheet6!$C$2,IF(Tim!AV55=Sheet6!$C$3,Sheet6!$C$3,IF(Tim!AV55=Sheet6!$C$4,Sheet6!$C$4,IF(Tim!AV55=Sheet6!$C$5,Sheet6!$C$5,IF(Tim!AV55=Sheet6!$C$6,Sheet6!$C$6,IF(Tim!AV55=Sheet6!$C$7,Sheet6!$C$7,IF(Tim!AV55=Sheet6!$C$8,Sheet6!$C$8,"")))))))</f>
        <v/>
      </c>
      <c r="V53" s="54" t="str">
        <f>IF(Tim!AW55=Sheet6!$C$2,Sheet6!$C$2,IF(Tim!AW55=Sheet6!$C$3,Sheet6!$C$3,IF(Tim!AW55=Sheet6!$C$4,Sheet6!$C$4,IF(Tim!AW55=Sheet6!$C$5,Sheet6!$C$5,IF(Tim!AW55=Sheet6!$C$6,Sheet6!$C$6,IF(Tim!AW55=Sheet6!$C$7,Sheet6!$C$7,IF(Tim!AW55=Sheet6!$C$8,Sheet6!$C$8,"")))))))</f>
        <v/>
      </c>
      <c r="W53" s="55" t="str">
        <f>IF(Tim!AX55=Sheet6!$C$2,Sheet6!$C$2,IF(Tim!AX55=Sheet6!$C$3,Sheet6!$C$3,IF(Tim!AX55=Sheet6!$C$4,Sheet6!$C$4,IF(Tim!AX55=Sheet6!$C$5,Sheet6!$C$5,IF(Tim!AX55=Sheet6!$C$6,Sheet6!$C$6,IF(Tim!AX55=Sheet6!$C$7,Sheet6!$C$7,IF(Tim!AX55=Sheet6!$C$8,Sheet6!$C$8,"")))))))</f>
        <v/>
      </c>
      <c r="X53" s="53" t="str">
        <f>IF(Tim!AY55=Sheet6!$C$2,Sheet6!$C$2,IF(Tim!AY55=Sheet6!$C$3,Sheet6!$C$3,IF(Tim!AY55=Sheet6!$C$4,Sheet6!$C$4,IF(Tim!AY55=Sheet6!$C$5,Sheet6!$C$5,IF(Tim!AY55=Sheet6!$C$6,Sheet6!$C$6,IF(Tim!AY55=Sheet6!$C$7,Sheet6!$C$7,IF(Tim!AY55=Sheet6!$C$8,Sheet6!$C$8,"")))))))</f>
        <v/>
      </c>
      <c r="Y53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Z53" s="57" t="str">
        <f>IF(Tim!BD55=Sheet6!$C$2,Sheet6!$C$2,IF(Tim!BD55=Sheet6!$C$3,Sheet6!$C$3,IF(Tim!BD55=Sheet6!$C$4,Sheet6!$C$4,IF(Tim!BD55=Sheet6!$C$5,Sheet6!$C$5,IF(Tim!BD55=Sheet6!$C$6,Sheet6!$C$6,IF(Tim!BD55=Sheet6!$C$7,Sheet6!$C$7,IF(Tim!BD55=Sheet6!$C$8,Sheet6!$C$8,"")))))))</f>
        <v/>
      </c>
      <c r="AA53" s="57" t="str">
        <f>IF(Tim!BF55=Sheet6!$C$2,Sheet6!$C$2,IF(Tim!BF55=Sheet6!$C$3,Sheet6!$C$3,IF(Tim!BF55=Sheet6!$C$4,Sheet6!$C$4,IF(Tim!BF55=Sheet6!$C$5,Sheet6!$C$5,IF(Tim!BF55=Sheet6!$C$6,Sheet6!$C$6,IF(Tim!BF55=Sheet6!$C$7,Sheet6!$C$7,IF(Tim!BF55=Sheet6!$C$8,Sheet6!$C$8,"")))))))</f>
        <v/>
      </c>
      <c r="AB53" s="57" t="str">
        <f>IF(Tim!BL55=Sheet6!$C$2,Sheet6!$C$2,IF(Tim!BL55=Sheet6!$C$3,Sheet6!$C$3,IF(Tim!BL55=Sheet6!$C$4,Sheet6!$C$4,IF(Tim!BL55=Sheet6!$C$5,Sheet6!$C$5,IF(Tim!BL55=Sheet6!$C$6,Sheet6!$C$6,IF(Tim!BL55=Sheet6!$C$7,Sheet6!$C$7,IF(Tim!BL55=Sheet6!$C$8,Sheet6!$C$8,"")))))))</f>
        <v/>
      </c>
      <c r="AC53" s="53" t="str">
        <f>IF(Tim!BT55=Sheet6!$C$2,Sheet6!$C$2,IF(Tim!BT55=Sheet6!$C$3,Sheet6!$C$3,IF(Tim!BT55=Sheet6!$C$4,Sheet6!$C$4,IF(Tim!BT55=Sheet6!$C$5,Sheet6!$C$5,IF(Tim!BT55=Sheet6!$C$6,Sheet6!$C$6,IF(Tim!BT55=Sheet6!$C$7,Sheet6!$C$7,IF(Tim!BT55=Sheet6!$C$8,Sheet6!$C$8,"")))))))</f>
        <v/>
      </c>
      <c r="AD53" s="53" t="str">
        <f>IF(Tim!BU55=Sheet6!$C$2,Sheet6!$C$2,IF(Tim!BU55=Sheet6!$C$3,Sheet6!$C$3,IF(Tim!BU55=Sheet6!$C$4,Sheet6!$C$4,IF(Tim!BU55=Sheet6!$C$5,Sheet6!$C$5,IF(Tim!BU55=Sheet6!$C$6,Sheet6!$C$6,IF(Tim!BU55=Sheet6!$C$7,Sheet6!$C$7,IF(Tim!BU55=Sheet6!$C$8,Sheet6!$C$8,"")))))))</f>
        <v/>
      </c>
      <c r="AE53" s="53" t="str">
        <f>IF(Tim!CB55=Sheet6!$C$2,Sheet6!$C$2,IF(Tim!CB55=Sheet6!$C$3,Sheet6!$C$3,IF(Tim!CB55=Sheet6!$C$4,Sheet6!$C$4,IF(Tim!CB55=Sheet6!$C$5,Sheet6!$C$5,IF(Tim!CB55=Sheet6!$C$6,Sheet6!$C$6,IF(Tim!CB55=Sheet6!$C$7,Sheet6!$C$7,IF(Tim!CB55=Sheet6!$C$8,Sheet6!$C$8,"")))))))</f>
        <v/>
      </c>
      <c r="AF53" s="53" t="str">
        <f>IF(Tim!CD55=Sheet6!$C$2,Sheet6!$C$2,IF(Tim!CD55=Sheet6!$C$3,Sheet6!$C$3,IF(Tim!CD55=Sheet6!$C$4,Sheet6!$C$4,IF(Tim!CD55=Sheet6!$C$5,Sheet6!$C$5,IF(Tim!CD55=Sheet6!$C$6,Sheet6!$C$6,IF(Tim!CD55=Sheet6!$C$7,Sheet6!$C$7,IF(Tim!CD55=Sheet6!$C$8,Sheet6!$C$8,"")))))))</f>
        <v/>
      </c>
      <c r="AG53" s="53" t="str">
        <f>IF(Tim!CE55=Sheet6!$C$2,Sheet6!$C$2,IF(Tim!CE55=Sheet6!$C$3,Sheet6!$C$3,IF(Tim!CE55=Sheet6!$C$4,Sheet6!$C$4,IF(Tim!CE55=Sheet6!$C$5,Sheet6!$C$5,IF(Tim!CE55=Sheet6!$C$6,Sheet6!$C$6,IF(Tim!CE55=Sheet6!$C$7,Sheet6!$C$7,IF(Tim!CE55=Sheet6!$C$8,Sheet6!$C$8,"")))))))</f>
        <v/>
      </c>
      <c r="AH53" s="53" t="str">
        <f>IF(Tim!CF55=Sheet6!$C$2,Sheet6!$C$2,IF(Tim!CF55=Sheet6!$C$3,Sheet6!$C$3,IF(Tim!CF55=Sheet6!$C$4,Sheet6!$C$4,IF(Tim!CF55=Sheet6!$C$5,Sheet6!$C$5,IF(Tim!CF55=Sheet6!$C$6,Sheet6!$C$6,IF(Tim!CF55=Sheet6!$C$7,Sheet6!$C$7,IF(Tim!CF55=Sheet6!$C$8,Sheet6!$C$8,"")))))))</f>
        <v/>
      </c>
      <c r="AI53" s="176" t="str">
        <f>IF(Tim!CG55=Sheet6!$C$2,Sheet6!$C$2,IF(Tim!CG55=Sheet6!$C$3,Sheet6!$C$3,IF(Tim!CG55=Sheet6!$C$4,Sheet6!$C$4,IF(Tim!CG55=Sheet6!$C$5,Sheet6!$C$5,IF(Tim!CG55=Sheet6!$C$6,Sheet6!$C$6,IF(Tim!CG55=Sheet6!$C$7,Sheet6!$C$7,IF(Tim!CG55=Sheet6!$C$8,Sheet6!$C$8,"")))))))</f>
        <v/>
      </c>
      <c r="AJ53" s="53" t="str">
        <f>IF(Tim!CH55=Sheet6!$C$2,Sheet6!$C$2,IF(Tim!CH55=Sheet6!$C$3,Sheet6!$C$3,IF(Tim!CH55=Sheet6!$C$4,Sheet6!$C$4,IF(Tim!CH55=Sheet6!$C$5,Sheet6!$C$5,IF(Tim!CH55=Sheet6!$C$6,Sheet6!$C$6,IF(Tim!CH55=Sheet6!$C$7,Sheet6!$C$7,IF(Tim!CH55=Sheet6!$C$8,Sheet6!$C$8,"")))))))</f>
        <v/>
      </c>
      <c r="AK53" s="53" t="str">
        <f>IF(Tim!CL55=Sheet6!$C$2,Sheet6!$C$2,IF(Tim!CL55=Sheet6!$C$3,Sheet6!$C$3,IF(Tim!CL55=Sheet6!$C$4,Sheet6!$C$4,IF(Tim!CL55=Sheet6!$C$5,Sheet6!$C$5,IF(Tim!CL55=Sheet6!$C$6,Sheet6!$C$6,IF(Tim!CL55=Sheet6!$C$7,Sheet6!$C$7,IF(Tim!CL55=Sheet6!$C$8,Sheet6!$C$8,"")))))))</f>
        <v/>
      </c>
      <c r="AL53" s="54" t="str">
        <f>IF(Tim!CM55=Sheet6!$C$2,Sheet6!$C$2,IF(Tim!CM55=Sheet6!$C$3,Sheet6!$C$3,IF(Tim!CM55=Sheet6!$C$4,Sheet6!$C$4,IF(Tim!CM55=Sheet6!$C$5,Sheet6!$C$5,IF(Tim!CM55=Sheet6!$C$6,Sheet6!$C$6,IF(Tim!CM55=Sheet6!$C$7,Sheet6!$C$7,IF(Tim!CM55=Sheet6!$C$8,Sheet6!$C$8,"")))))))</f>
        <v/>
      </c>
      <c r="AM53" s="54" t="str">
        <f>IF(Tim!CN55=Sheet6!$C$2,Sheet6!$C$2,IF(Tim!CN55=Sheet6!$C$3,Sheet6!$C$3,IF(Tim!CN55=Sheet6!$C$4,Sheet6!$C$4,IF(Tim!CN55=Sheet6!$C$5,Sheet6!$C$5,IF(Tim!CN55=Sheet6!$C$6,Sheet6!$C$6,IF(Tim!CN55=Sheet6!$C$7,Sheet6!$C$7,IF(Tim!CN55=Sheet6!$C$8,Sheet6!$C$8,"")))))))</f>
        <v/>
      </c>
      <c r="AN53" s="54" t="str">
        <f>IF(Tim!CO55=Sheet6!$C$2,Sheet6!$C$2,IF(Tim!CO55=Sheet6!$C$3,Sheet6!$C$3,IF(Tim!CO55=Sheet6!$C$4,Sheet6!$C$4,IF(Tim!CO55=Sheet6!$C$5,Sheet6!$C$5,IF(Tim!CO55=Sheet6!$C$6,Sheet6!$C$6,IF(Tim!CO55=Sheet6!$C$7,Sheet6!$C$7,IF(Tim!CO55=Sheet6!$C$8,Sheet6!$C$8,"")))))))</f>
        <v/>
      </c>
      <c r="AO53" s="177" t="str">
        <f>IF(Tim!CP55=Sheet6!$C$2,Sheet6!$C$2,IF(Tim!CP55=Sheet6!$C$3,Sheet6!$C$3,IF(Tim!CP55=Sheet6!$C$4,Sheet6!$C$4,IF(Tim!CP55=Sheet6!$C$5,Sheet6!$C$5,IF(Tim!CP55=Sheet6!$C$6,Sheet6!$C$6,IF(Tim!CP55=Sheet6!$C$7,Sheet6!$C$7,IF(Tim!CP55=Sheet6!$C$8,Sheet6!$C$8,"")))))))</f>
        <v/>
      </c>
      <c r="AP53" s="53" t="str">
        <f>IF(Tim!CQ55=Sheet6!$C$2,Sheet6!$C$2,IF(Tim!CQ55=Sheet6!$C$3,Sheet6!$C$3,IF(Tim!CQ55=Sheet6!$C$4,Sheet6!$C$4,IF(Tim!CQ55=Sheet6!$C$5,Sheet6!$C$5,IF(Tim!CQ55=Sheet6!$C$6,Sheet6!$C$6,IF(Tim!CQ55=Sheet6!$C$7,Sheet6!$C$7,IF(Tim!CQ55=Sheet6!$C$8,Sheet6!$C$8,"")))))))</f>
        <v/>
      </c>
      <c r="AQ53" s="53" t="str">
        <f>IF(Tim!CR55=Sheet6!$C$2,Sheet6!$C$2,IF(Tim!CR55=Sheet6!$C$3,Sheet6!$C$3,IF(Tim!CR55=Sheet6!$C$4,Sheet6!$C$4,IF(Tim!CR55=Sheet6!$C$5,Sheet6!$C$5,IF(Tim!CR55=Sheet6!$C$6,Sheet6!$C$6,IF(Tim!CR55=Sheet6!$C$7,Sheet6!$C$7,IF(Tim!CR55=Sheet6!$C$8,Sheet6!$C$8,"")))))))</f>
        <v/>
      </c>
      <c r="AR53" s="57" t="str">
        <f>IF(Tim!CV55=Sheet6!$C$2,Sheet6!$C$2,IF(Tim!CV55=Sheet6!$C$3,Sheet6!$C$3,IF(Tim!CV55=Sheet6!$C$4,Sheet6!$C$4,IF(Tim!CV55=Sheet6!$C$5,Sheet6!$C$5,IF(Tim!CV55=Sheet6!$C$6,Sheet6!$C$6,IF(Tim!CV55=Sheet6!$C$7,Sheet6!$C$7,IF(Tim!CV55=Sheet6!$C$8,Sheet6!$C$8,"")))))))</f>
        <v/>
      </c>
      <c r="AS53" s="57" t="str">
        <f>IF(Tim!CW55=Sheet6!$C$2,Sheet6!$C$2,IF(Tim!CW55=Sheet6!$C$3,Sheet6!$C$3,IF(Tim!CW55=Sheet6!$C$4,Sheet6!$C$4,IF(Tim!CW55=Sheet6!$C$5,Sheet6!$C$5,IF(Tim!CW55=Sheet6!$C$6,Sheet6!$C$6,IF(Tim!CW55=Sheet6!$C$7,Sheet6!$C$7,IF(Tim!CW55=Sheet6!$C$8,Sheet6!$C$8,"")))))))</f>
        <v/>
      </c>
      <c r="AT53" s="57" t="str">
        <f>IF(Tim!DA55=Sheet6!$C$2,Sheet6!$C$2,IF(Tim!DA55=Sheet6!$C$3,Sheet6!$C$3,IF(Tim!DA55=Sheet6!$C$4,Sheet6!$C$4,IF(Tim!DA55=Sheet6!$C$5,Sheet6!$C$5,IF(Tim!DA55=Sheet6!$C$6,Sheet6!$C$6,IF(Tim!DA55=Sheet6!$C$7,Sheet6!$C$7,IF(Tim!DA55=Sheet6!$C$8,Sheet6!$C$8,"")))))))</f>
        <v/>
      </c>
      <c r="AU53" s="53" t="str">
        <f>IF(Tim!DO55=Sheet6!$C$2,Sheet6!$C$2,IF(Tim!DO55=Sheet6!$C$3,Sheet6!$C$3,IF(Tim!DO55=Sheet6!$C$4,Sheet6!$C$4,IF(Tim!DO55=Sheet6!$C$5,Sheet6!$C$5,IF(Tim!DO55=Sheet6!$C$6,Sheet6!$C$6,IF(Tim!DO55=Sheet6!$C$7,Sheet6!$C$7,IF(Tim!DO55=Sheet6!$C$8,Sheet6!$C$8,"")))))))</f>
        <v/>
      </c>
      <c r="AV53" s="53" t="str">
        <f>IF(Tim!DP55=Sheet6!$C$2,Sheet6!$C$2,IF(Tim!DP55=Sheet6!$C$3,Sheet6!$C$3,IF(Tim!DP55=Sheet6!$C$4,Sheet6!$C$4,IF(Tim!DP55=Sheet6!$C$5,Sheet6!$C$5,IF(Tim!DP55=Sheet6!$C$6,Sheet6!$C$6,IF(Tim!DP55=Sheet6!$C$7,Sheet6!$C$7,IF(Tim!DP55=Sheet6!$C$8,Sheet6!$C$8,"")))))))</f>
        <v/>
      </c>
      <c r="AW53" s="53" t="str">
        <f>IF(Tim!DX55=Sheet6!$C$2,Sheet6!$C$2,IF(Tim!DX55=Sheet6!$C$3,Sheet6!$C$3,IF(Tim!DX55=Sheet6!$C$4,Sheet6!$C$4,IF(Tim!DX55=Sheet6!$C$5,Sheet6!$C$5,IF(Tim!DX55=Sheet6!$C$6,Sheet6!$C$6,IF(Tim!DX55=Sheet6!$C$7,Sheet6!$C$7,IF(Tim!DX55=Sheet6!$C$8,Sheet6!$C$8,"")))))))</f>
        <v/>
      </c>
      <c r="AX53" s="53" t="str">
        <f>IF(Tim!DY55=Sheet6!$C$2,Sheet6!$C$2,IF(Tim!DY55=Sheet6!$C$3,Sheet6!$C$3,IF(Tim!DY55=Sheet6!$C$4,Sheet6!$C$4,IF(Tim!DY55=Sheet6!$C$5,Sheet6!$C$5,IF(Tim!DY55=Sheet6!$C$6,Sheet6!$C$6,IF(Tim!DY55=Sheet6!$C$7,Sheet6!$C$7,IF(Tim!DY55=Sheet6!$C$8,Sheet6!$C$8,"")))))))</f>
        <v/>
      </c>
      <c r="AY53" s="53" t="str">
        <f>IF(Tim!DZ55=Sheet6!$C$2,Sheet6!$C$2,IF(Tim!DZ55=Sheet6!$C$3,Sheet6!$C$3,IF(Tim!DZ55=Sheet6!$C$4,Sheet6!$C$4,IF(Tim!DZ55=Sheet6!$C$5,Sheet6!$C$5,IF(Tim!DZ55=Sheet6!$C$6,Sheet6!$C$6,IF(Tim!DZ55=Sheet6!$C$7,Sheet6!$C$7,IF(Tim!DZ55=Sheet6!$C$8,Sheet6!$C$8,"")))))))</f>
        <v/>
      </c>
      <c r="AZ53" s="53" t="str">
        <f>IF(Tim!EA55=Sheet6!$C$2,Sheet6!$C$2,IF(Tim!EA55=Sheet6!$C$3,Sheet6!$C$3,IF(Tim!EA55=Sheet6!$C$4,Sheet6!$C$4,IF(Tim!EA55=Sheet6!$C$5,Sheet6!$C$5,IF(Tim!EA55=Sheet6!$C$6,Sheet6!$C$6,IF(Tim!EA55=Sheet6!$C$7,Sheet6!$C$7,IF(Tim!EA55=Sheet6!$C$8,Sheet6!$C$8,"")))))))</f>
        <v/>
      </c>
      <c r="BA53" s="176" t="str">
        <f>IF(Tim!EB55=Sheet6!$C$2,Sheet6!$C$2,IF(Tim!EB55=Sheet6!$C$3,Sheet6!$C$3,IF(Tim!EB55=Sheet6!$C$4,Sheet6!$C$4,IF(Tim!EB55=Sheet6!$C$5,Sheet6!$C$5,IF(Tim!EB55=Sheet6!$C$6,Sheet6!$C$6,IF(Tim!EB55=Sheet6!$C$7,Sheet6!$C$7,IF(Tim!EB55=Sheet6!$C$8,Sheet6!$C$8,"")))))))</f>
        <v/>
      </c>
      <c r="BB53" s="53" t="str">
        <f>IF(Tim!EC55=Sheet6!$C$2,Sheet6!$C$2,IF(Tim!EC55=Sheet6!$C$3,Sheet6!$C$3,IF(Tim!EC55=Sheet6!$C$4,Sheet6!$C$4,IF(Tim!EC55=Sheet6!$C$5,Sheet6!$C$5,IF(Tim!EC55=Sheet6!$C$6,Sheet6!$C$6,IF(Tim!EC55=Sheet6!$C$7,Sheet6!$C$7,IF(Tim!EC55=Sheet6!$C$8,Sheet6!$C$8,"")))))))</f>
        <v/>
      </c>
      <c r="BC53" s="53" t="str">
        <f>IF(Tim!EH55=Sheet6!$C$2,Sheet6!$C$2,IF(Tim!EH55=Sheet6!$C$3,Sheet6!$C$3,IF(Tim!EH55=Sheet6!$C$4,Sheet6!$C$4,IF(Tim!EH55=Sheet6!$C$5,Sheet6!$C$5,IF(Tim!EH55=Sheet6!$C$6,Sheet6!$C$6,IF(Tim!EH55=Sheet6!$C$7,Sheet6!$C$7,IF(Tim!EH55=Sheet6!$C$8,Sheet6!$C$8,"")))))))</f>
        <v/>
      </c>
      <c r="BD53" s="54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BE53" s="54" t="str">
        <f>IF(Tim!EI55=Sheet6!$C$2,Sheet6!$C$2,IF(Tim!EI55=Sheet6!$C$3,Sheet6!$C$3,IF(Tim!EI55=Sheet6!$C$4,Sheet6!$C$4,IF(Tim!EI55=Sheet6!$C$5,Sheet6!$C$5,IF(Tim!EI55=Sheet6!$C$6,Sheet6!$C$6,IF(Tim!EI55=Sheet6!$C$7,Sheet6!$C$7,IF(Tim!EI55=Sheet6!$C$8,Sheet6!$C$8,"")))))))</f>
        <v/>
      </c>
      <c r="BF53" s="54" t="str">
        <f>IF(Tim!EJ55=Sheet6!$C$2,Sheet6!$C$2,IF(Tim!EJ55=Sheet6!$C$3,Sheet6!$C$3,IF(Tim!EJ55=Sheet6!$C$4,Sheet6!$C$4,IF(Tim!EJ55=Sheet6!$C$5,Sheet6!$C$5,IF(Tim!EJ55=Sheet6!$C$6,Sheet6!$C$6,IF(Tim!EJ55=Sheet6!$C$7,Sheet6!$C$7,IF(Tim!EJ55=Sheet6!$C$8,Sheet6!$C$8,"")))))))</f>
        <v/>
      </c>
      <c r="BG53" s="55" t="str">
        <f>IF(Tim!EK55=Sheet6!$C$2,Sheet6!$C$2,IF(Tim!EK55=Sheet6!$C$3,Sheet6!$C$3,IF(Tim!EK55=Sheet6!$C$4,Sheet6!$C$4,IF(Tim!EK55=Sheet6!$C$5,Sheet6!$C$5,IF(Tim!EK55=Sheet6!$C$6,Sheet6!$C$6,IF(Tim!EK55=Sheet6!$C$7,Sheet6!$C$7,IF(Tim!EK55=Sheet6!$C$8,Sheet6!$C$8,"")))))))</f>
        <v/>
      </c>
      <c r="BH53" s="53" t="str">
        <f>IF(Tim!EL55=Sheet6!$C$2,Sheet6!$C$2,IF(Tim!EL55=Sheet6!$C$3,Sheet6!$C$3,IF(Tim!EL55=Sheet6!$C$4,Sheet6!$C$4,IF(Tim!EL55=Sheet6!$C$5,Sheet6!$C$5,IF(Tim!EL55=Sheet6!$C$6,Sheet6!$C$6,IF(Tim!EL55=Sheet6!$C$7,Sheet6!$C$7,IF(Tim!EL55=Sheet6!$C$8,Sheet6!$C$8,"")))))))</f>
        <v/>
      </c>
      <c r="BI53" s="57" t="str">
        <f>IF(Tim!EM55=Sheet6!$C$2,Sheet6!$C$2,IF(Tim!EM55=Sheet6!$C$3,Sheet6!$C$3,IF(Tim!EM55=Sheet6!$C$4,Sheet6!$C$4,IF(Tim!EM55=Sheet6!$C$5,Sheet6!$C$5,IF(Tim!EM55=Sheet6!$C$6,Sheet6!$C$6,IF(Tim!EM55=Sheet6!$C$7,Sheet6!$C$7,IF(Tim!EM55=Sheet6!$C$8,Sheet6!$C$8,"")))))))</f>
        <v/>
      </c>
      <c r="BJ53" s="57" t="str">
        <f>IF(Tim!EQ55=Sheet6!$C$2,Sheet6!$C$2,IF(Tim!EQ55=Sheet6!$C$3,Sheet6!$C$3,IF(Tim!EQ55=Sheet6!$C$4,Sheet6!$C$4,IF(Tim!EQ55=Sheet6!$C$5,Sheet6!$C$5,IF(Tim!EQ55=Sheet6!$C$6,Sheet6!$C$6,IF(Tim!EQ55=Sheet6!$C$7,Sheet6!$C$7,IF(Tim!EQ55=Sheet6!$C$8,Sheet6!$C$8,"")))))))</f>
        <v/>
      </c>
      <c r="BK53" s="57" t="str">
        <f>IF(Tim!ER55=Sheet6!$C$2,Sheet6!$C$2,IF(Tim!ER55=Sheet6!$C$3,Sheet6!$C$3,IF(Tim!ER55=Sheet6!$C$4,Sheet6!$C$4,IF(Tim!ER55=Sheet6!$C$5,Sheet6!$C$5,IF(Tim!ER55=Sheet6!$C$6,Sheet6!$C$6,IF(Tim!ER55=Sheet6!$C$7,Sheet6!$C$7,IF(Tim!ER55=Sheet6!$C$8,Sheet6!$C$8,"")))))))</f>
        <v/>
      </c>
      <c r="BL53" s="57" t="str">
        <f>IF(Tim!EZ55=Sheet6!$C$2,Sheet6!$C$2,IF(Tim!EZ55=Sheet6!$C$3,Sheet6!$C$3,IF(Tim!EZ55=Sheet6!$C$4,Sheet6!$C$4,IF(Tim!EZ55=Sheet6!$C$5,Sheet6!$C$5,IF(Tim!EZ55=Sheet6!$C$6,Sheet6!$C$6,IF(Tim!EZ55=Sheet6!$C$7,Sheet6!$C$7,IF(Tim!EZ55=Sheet6!$C$8,Sheet6!$C$8,"")))))))</f>
        <v/>
      </c>
      <c r="BM53" s="53" t="str">
        <f>IF(Tim!FG55=Sheet6!$C$2,Sheet6!$C$2,IF(Tim!FG55=Sheet6!$C$3,Sheet6!$C$3,IF(Tim!FG55=Sheet6!$C$4,Sheet6!$C$4,IF(Tim!FG55=Sheet6!$C$5,Sheet6!$C$5,IF(Tim!FG55=Sheet6!$C$6,Sheet6!$C$6,IF(Tim!FG55=Sheet6!$C$7,Sheet6!$C$7,IF(Tim!FG55=Sheet6!$C$8,Sheet6!$C$8,"")))))))</f>
        <v/>
      </c>
      <c r="BN53" s="53" t="str">
        <f>IF(Tim!FH55=Sheet6!$C$2,Sheet6!$C$2,IF(Tim!FH55=Sheet6!$C$3,Sheet6!$C$3,IF(Tim!FH55=Sheet6!$C$4,Sheet6!$C$4,IF(Tim!FH55=Sheet6!$C$5,Sheet6!$C$5,IF(Tim!FH55=Sheet6!$C$6,Sheet6!$C$6,IF(Tim!FH55=Sheet6!$C$7,Sheet6!$C$7,IF(Tim!FH55=Sheet6!$C$8,Sheet6!$C$8,"")))))))</f>
        <v/>
      </c>
      <c r="BO53" s="53" t="str">
        <f>IF(Tim!FP55=Sheet6!$C$2,Sheet6!$C$2,IF(Tim!FP55=Sheet6!$C$3,Sheet6!$C$3,IF(Tim!FP55=Sheet6!$C$4,Sheet6!$C$4,IF(Tim!FP55=Sheet6!$C$5,Sheet6!$C$5,IF(Tim!FP55=Sheet6!$C$6,Sheet6!$C$6,IF(Tim!FP55=Sheet6!$C$7,Sheet6!$C$7,IF(Tim!FP55=Sheet6!$C$8,Sheet6!$C$8,"")))))))</f>
        <v/>
      </c>
      <c r="BP53" s="53" t="str">
        <f>IF(Tim!FQ55=Sheet6!$C$2,Sheet6!$C$2,IF(Tim!FQ55=Sheet6!$C$3,Sheet6!$C$3,IF(Tim!FQ55=Sheet6!$C$4,Sheet6!$C$4,IF(Tim!FQ55=Sheet6!$C$5,Sheet6!$C$5,IF(Tim!FQ55=Sheet6!$C$6,Sheet6!$C$6,IF(Tim!FQ55=Sheet6!$C$7,Sheet6!$C$7,IF(Tim!FQ55=Sheet6!$C$8,Sheet6!$C$8,"")))))))</f>
        <v/>
      </c>
      <c r="BQ53" s="53" t="str">
        <f>IF(Tim!FR55=Sheet6!$C$2,Sheet6!$C$2,IF(Tim!FR55=Sheet6!$C$3,Sheet6!$C$3,IF(Tim!FR55=Sheet6!$C$4,Sheet6!$C$4,IF(Tim!FR55=Sheet6!$C$5,Sheet6!$C$5,IF(Tim!FR55=Sheet6!$C$6,Sheet6!$C$6,IF(Tim!FR55=Sheet6!$C$7,Sheet6!$C$7,IF(Tim!FR55=Sheet6!$C$8,Sheet6!$C$8,"")))))))</f>
        <v/>
      </c>
      <c r="BR53" s="53" t="str">
        <f>IF(Tim!FS55=Sheet6!$C$2,Sheet6!$C$2,IF(Tim!FS55=Sheet6!$C$3,Sheet6!$C$3,IF(Tim!FS55=Sheet6!$C$4,Sheet6!$C$4,IF(Tim!FS55=Sheet6!$C$5,Sheet6!$C$5,IF(Tim!FS55=Sheet6!$C$6,Sheet6!$C$6,IF(Tim!FS55=Sheet6!$C$7,Sheet6!$C$7,IF(Tim!FS55=Sheet6!$C$8,Sheet6!$C$8,"")))))))</f>
        <v/>
      </c>
      <c r="BS53" s="53" t="str">
        <f>IF(Tim!FT55=Sheet6!$C$2,Sheet6!$C$2,IF(Tim!FT55=Sheet6!$C$3,Sheet6!$C$3,IF(Tim!FT55=Sheet6!$C$4,Sheet6!$C$4,IF(Tim!FT55=Sheet6!$C$5,Sheet6!$C$5,IF(Tim!FT55=Sheet6!$C$6,Sheet6!$C$6,IF(Tim!FT55=Sheet6!$C$7,Sheet6!$C$7,IF(Tim!FT55=Sheet6!$C$8,Sheet6!$C$8,"")))))))</f>
        <v/>
      </c>
      <c r="BT53" s="53" t="str">
        <f>IF(Tim!FU55=Sheet6!$C$2,Sheet6!$C$2,IF(Tim!FU55=Sheet6!$C$3,Sheet6!$C$3,IF(Tim!FU55=Sheet6!$C$4,Sheet6!$C$4,IF(Tim!FU55=Sheet6!$C$5,Sheet6!$C$5,IF(Tim!FU55=Sheet6!$C$6,Sheet6!$C$6,IF(Tim!FU55=Sheet6!$C$7,Sheet6!$C$7,IF(Tim!FU55=Sheet6!$C$8,Sheet6!$C$8,"")))))))</f>
        <v/>
      </c>
      <c r="BU53" s="53" t="str">
        <f>IF(Tim!FY55=Sheet6!$C$2,Sheet6!$C$2,IF(Tim!FY55=Sheet6!$C$3,Sheet6!$C$3,IF(Tim!FY55=Sheet6!$C$4,Sheet6!$C$4,IF(Tim!FY55=Sheet6!$C$5,Sheet6!$C$5,IF(Tim!FY55=Sheet6!$C$6,Sheet6!$C$6,IF(Tim!FY55=Sheet6!$C$7,Sheet6!$C$7,IF(Tim!FY55=Sheet6!$C$8,Sheet6!$C$8,"")))))))</f>
        <v/>
      </c>
      <c r="BV53" s="54" t="str">
        <f>IF(Tim!FZ55=Sheet6!$C$2,Sheet6!$C$2,IF(Tim!FZ55=Sheet6!$C$3,Sheet6!$C$3,IF(Tim!FZ55=Sheet6!$C$4,Sheet6!$C$4,IF(Tim!FZ55=Sheet6!$C$5,Sheet6!$C$5,IF(Tim!FZ55=Sheet6!$C$6,Sheet6!$C$6,IF(Tim!FZ55=Sheet6!$C$7,Sheet6!$C$7,IF(Tim!FZ55=Sheet6!$C$8,Sheet6!$C$8,"")))))))</f>
        <v/>
      </c>
      <c r="BW53" s="54" t="str">
        <f>IF(Tim!GA55=Sheet6!$C$2,Sheet6!$C$2,IF(Tim!GA55=Sheet6!$C$3,Sheet6!$C$3,IF(Tim!GA55=Sheet6!$C$4,Sheet6!$C$4,IF(Tim!GA55=Sheet6!$C$5,Sheet6!$C$5,IF(Tim!GA55=Sheet6!$C$6,Sheet6!$C$6,IF(Tim!GA55=Sheet6!$C$7,Sheet6!$C$7,IF(Tim!GA55=Sheet6!$C$8,Sheet6!$C$8,"")))))))</f>
        <v/>
      </c>
      <c r="BX53" s="57" t="str">
        <f>IF(Tim!GB55=Sheet6!$C$2,Sheet6!$C$2,IF(Tim!GB55=Sheet6!$C$3,Sheet6!$C$3,IF(Tim!GB55=Sheet6!$C$4,Sheet6!$C$4,IF(Tim!GB55=Sheet6!$C$5,Sheet6!$C$5,IF(Tim!GB55=Sheet6!$C$6,Sheet6!$C$6,IF(Tim!GB55=Sheet6!$C$7,Sheet6!$C$7,IF(Tim!GB55=Sheet6!$C$8,Sheet6!$C$8,"")))))))</f>
        <v/>
      </c>
      <c r="BY53" s="55" t="str">
        <f>IF(Tim!GC55=Sheet6!$C$2,Sheet6!$C$2,IF(Tim!GC55=Sheet6!$C$3,Sheet6!$C$3,IF(Tim!GC55=Sheet6!$C$4,Sheet6!$C$4,IF(Tim!GC55=Sheet6!$C$5,Sheet6!$C$5,IF(Tim!GC55=Sheet6!$C$6,Sheet6!$C$6,IF(Tim!GC55=Sheet6!$C$7,Sheet6!$C$7,IF(Tim!GC55=Sheet6!$C$8,Sheet6!$C$8,"")))))))</f>
        <v/>
      </c>
      <c r="BZ53" s="53" t="str">
        <f>IF(Tim!GD55=Sheet6!$C$2,Sheet6!$C$2,IF(Tim!GD55=Sheet6!$C$3,Sheet6!$C$3,IF(Tim!GD55=Sheet6!$C$4,Sheet6!$C$4,IF(Tim!GD55=Sheet6!$C$5,Sheet6!$C$5,IF(Tim!GD55=Sheet6!$C$6,Sheet6!$C$6,IF(Tim!GD55=Sheet6!$C$7,Sheet6!$C$7,IF(Tim!GD55=Sheet6!$C$8,Sheet6!$C$8,"")))))))</f>
        <v/>
      </c>
      <c r="CA53" s="53" t="str">
        <f>IF(Tim!GE55=Sheet6!$C$2,Sheet6!$C$2,IF(Tim!GE55=Sheet6!$C$3,Sheet6!$C$3,IF(Tim!GE55=Sheet6!$C$4,Sheet6!$C$4,IF(Tim!GE55=Sheet6!$C$5,Sheet6!$C$5,IF(Tim!GE55=Sheet6!$C$6,Sheet6!$C$6,IF(Tim!GE55=Sheet6!$C$7,Sheet6!$C$7,IF(Tim!GE55=Sheet6!$C$8,Sheet6!$C$8,"")))))))</f>
        <v/>
      </c>
      <c r="CB53" s="57" t="str">
        <f>IF(Tim!GI55=Sheet6!$C$2,Sheet6!$C$2,IF(Tim!GI55=Sheet6!$C$3,Sheet6!$C$3,IF(Tim!GI55=Sheet6!$C$4,Sheet6!$C$4,IF(Tim!GI55=Sheet6!$C$5,Sheet6!$C$5,IF(Tim!GI55=Sheet6!$C$6,Sheet6!$C$6,IF(Tim!GI55=Sheet6!$C$7,Sheet6!$C$7,IF(Tim!GI55=Sheet6!$C$8,Sheet6!$C$8,"")))))))</f>
        <v/>
      </c>
      <c r="CC53" s="57" t="str">
        <f>IF(Tim!GJ55=Sheet6!$C$2,Sheet6!$C$2,IF(Tim!GJ55=Sheet6!$C$3,Sheet6!$C$3,IF(Tim!GJ55=Sheet6!$C$4,Sheet6!$C$4,IF(Tim!GJ55=Sheet6!$C$5,Sheet6!$C$5,IF(Tim!GJ55=Sheet6!$C$6,Sheet6!$C$6,IF(Tim!GJ55=Sheet6!$C$7,Sheet6!$C$7,IF(Tim!GJ55=Sheet6!$C$8,Sheet6!$C$8,"")))))))</f>
        <v/>
      </c>
      <c r="CD53" s="57" t="str">
        <f>IF(Tim!GN55=Sheet6!$C$2,Sheet6!$C$2,IF(Tim!GN55=Sheet6!$C$3,Sheet6!$C$3,IF(Tim!GN55=Sheet6!$C$4,Sheet6!$C$4,IF(Tim!GN55=Sheet6!$C$5,Sheet6!$C$5,IF(Tim!GN55=Sheet6!$C$6,Sheet6!$C$6,IF(Tim!GN55=Sheet6!$C$7,Sheet6!$C$7,IF(Tim!GN55=Sheet6!$C$8,Sheet6!$C$8,"")))))))</f>
        <v/>
      </c>
      <c r="CE53" s="53" t="str">
        <f>IF(Tim!GY55=Sheet6!$C$2,Sheet6!$C$2,IF(Tim!GY55=Sheet6!$C$3,Sheet6!$C$3,IF(Tim!GY55=Sheet6!$C$4,Sheet6!$C$4,IF(Tim!GY55=Sheet6!$C$5,Sheet6!$C$5,IF(Tim!GY55=Sheet6!$C$6,Sheet6!$C$6,IF(Tim!GY55=Sheet6!$C$7,Sheet6!$C$7,IF(Tim!GY55=Sheet6!$C$8,Sheet6!$C$8,"")))))))</f>
        <v/>
      </c>
      <c r="CF53" s="53" t="str">
        <f>IF(Tim!GZ55=Sheet6!$C$2,Sheet6!$C$2,IF(Tim!GZ55=Sheet6!$C$3,Sheet6!$C$3,IF(Tim!GZ55=Sheet6!$C$4,Sheet6!$C$4,IF(Tim!GZ55=Sheet6!$C$5,Sheet6!$C$5,IF(Tim!GZ55=Sheet6!$C$6,Sheet6!$C$6,IF(Tim!GZ55=Sheet6!$C$7,Sheet6!$C$7,IF(Tim!GZ55=Sheet6!$C$8,Sheet6!$C$8,"")))))))</f>
        <v/>
      </c>
      <c r="CG53" s="53" t="str">
        <f>IF(Tim!HH55=Sheet6!$C$2,Sheet6!$C$2,IF(Tim!HH55=Sheet6!$C$3,Sheet6!$C$3,IF(Tim!HH55=Sheet6!$C$4,Sheet6!$C$4,IF(Tim!HH55=Sheet6!$C$5,Sheet6!$C$5,IF(Tim!HH55=Sheet6!$C$6,Sheet6!$C$6,IF(Tim!HH55=Sheet6!$C$7,Sheet6!$C$7,IF(Tim!HH55=Sheet6!$C$8,Sheet6!$C$8,"")))))))</f>
        <v/>
      </c>
      <c r="CH53" s="53" t="str">
        <f>IF(Tim!HI55=Sheet6!$C$2,Sheet6!$C$2,IF(Tim!HI55=Sheet6!$C$3,Sheet6!$C$3,IF(Tim!HI55=Sheet6!$C$4,Sheet6!$C$4,IF(Tim!HI55=Sheet6!$C$5,Sheet6!$C$5,IF(Tim!HI55=Sheet6!$C$6,Sheet6!$C$6,IF(Tim!HI55=Sheet6!$C$7,Sheet6!$C$7,IF(Tim!HI55=Sheet6!$C$8,Sheet6!$C$8,"")))))))</f>
        <v/>
      </c>
      <c r="CI53" s="53" t="str">
        <f>IF(Tim!HJ55=Sheet6!$C$2,Sheet6!$C$2,IF(Tim!HJ55=Sheet6!$C$3,Sheet6!$C$3,IF(Tim!HJ55=Sheet6!$C$4,Sheet6!$C$4,IF(Tim!HJ55=Sheet6!$C$5,Sheet6!$C$5,IF(Tim!HJ55=Sheet6!$C$6,Sheet6!$C$6,IF(Tim!HJ55=Sheet6!$C$7,Sheet6!$C$7,IF(Tim!HJ55=Sheet6!$C$8,Sheet6!$C$8,"")))))))</f>
        <v/>
      </c>
      <c r="CJ53" s="53" t="str">
        <f>IF(Tim!HK55=Sheet6!$C$2,Sheet6!$C$2,IF(Tim!HK55=Sheet6!$C$3,Sheet6!$C$3,IF(Tim!HK55=Sheet6!$C$4,Sheet6!$C$4,IF(Tim!HK55=Sheet6!$C$5,Sheet6!$C$5,IF(Tim!HK55=Sheet6!$C$6,Sheet6!$C$6,IF(Tim!HK55=Sheet6!$C$7,Sheet6!$C$7,IF(Tim!HK55=Sheet6!$C$8,Sheet6!$C$8,"")))))))</f>
        <v/>
      </c>
      <c r="CK53" s="53" t="str">
        <f>IF(Tim!HL55=Sheet6!$C$2,Sheet6!$C$2,IF(Tim!HL55=Sheet6!$C$3,Sheet6!$C$3,IF(Tim!HL55=Sheet6!$C$4,Sheet6!$C$4,IF(Tim!HL55=Sheet6!$C$5,Sheet6!$C$5,IF(Tim!HL55=Sheet6!$C$6,Sheet6!$C$6,IF(Tim!HL55=Sheet6!$C$7,Sheet6!$C$7,IF(Tim!HL55=Sheet6!$C$8,Sheet6!$C$8,"")))))))</f>
        <v/>
      </c>
      <c r="CL53" s="53" t="str">
        <f>IF(Tim!HM55=Sheet6!$C$2,Sheet6!$C$2,IF(Tim!HM55=Sheet6!$C$3,Sheet6!$C$3,IF(Tim!HM55=Sheet6!$C$4,Sheet6!$C$4,IF(Tim!HM55=Sheet6!$C$5,Sheet6!$C$5,IF(Tim!HM55=Sheet6!$C$6,Sheet6!$C$6,IF(Tim!HM55=Sheet6!$C$7,Sheet6!$C$7,IF(Tim!HM55=Sheet6!$C$8,Sheet6!$C$8,"")))))))</f>
        <v/>
      </c>
      <c r="CM53" s="53" t="str">
        <f>IF(Tim!HQ55=Sheet6!$C$2,Sheet6!$C$2,IF(Tim!HQ55=Sheet6!$C$3,Sheet6!$C$3,IF(Tim!HQ55=Sheet6!$C$4,Sheet6!$C$4,IF(Tim!HQ55=Sheet6!$C$5,Sheet6!$C$5,IF(Tim!HQ55=Sheet6!$C$6,Sheet6!$C$6,IF(Tim!HQ55=Sheet6!$C$7,Sheet6!$C$7,IF(Tim!HQ55=Sheet6!$C$8,Sheet6!$C$8,"")))))))</f>
        <v/>
      </c>
      <c r="CN53" s="54" t="str">
        <f>IF(Tim!HR55=Sheet6!$C$2,Sheet6!$C$2,IF(Tim!HR55=Sheet6!$C$3,Sheet6!$C$3,IF(Tim!HR55=Sheet6!$C$4,Sheet6!$C$4,IF(Tim!HR55=Sheet6!$C$5,Sheet6!$C$5,IF(Tim!HR55=Sheet6!$C$6,Sheet6!$C$6,IF(Tim!HR55=Sheet6!$C$7,Sheet6!$C$7,IF(Tim!HR55=Sheet6!$C$8,Sheet6!$C$8,"")))))))</f>
        <v/>
      </c>
      <c r="CO53" s="54" t="str">
        <f>IF(Tim!HS55=Sheet6!$C$2,Sheet6!$C$2,IF(Tim!HS55=Sheet6!$C$3,Sheet6!$C$3,IF(Tim!HS55=Sheet6!$C$4,Sheet6!$C$4,IF(Tim!HS55=Sheet6!$C$5,Sheet6!$C$5,IF(Tim!HS55=Sheet6!$C$6,Sheet6!$C$6,IF(Tim!HS55=Sheet6!$C$7,Sheet6!$C$7,IF(Tim!HS55=Sheet6!$C$8,Sheet6!$C$8,"")))))))</f>
        <v/>
      </c>
      <c r="CP53" s="54" t="str">
        <f>IF(Tim!HT55=Sheet6!$C$2,Sheet6!$C$2,IF(Tim!HT55=Sheet6!$C$3,Sheet6!$C$3,IF(Tim!HT55=Sheet6!$C$4,Sheet6!$C$4,IF(Tim!HT55=Sheet6!$C$5,Sheet6!$C$5,IF(Tim!HT55=Sheet6!$C$6,Sheet6!$C$6,IF(Tim!HT55=Sheet6!$C$7,Sheet6!$C$7,IF(Tim!HT55=Sheet6!$C$8,Sheet6!$C$8,"")))))))</f>
        <v/>
      </c>
      <c r="CQ53" s="55" t="str">
        <f>IF(Tim!HU55=Sheet6!$C$2,Sheet6!$C$2,IF(Tim!HU55=Sheet6!$C$3,Sheet6!$C$3,IF(Tim!HU55=Sheet6!$C$4,Sheet6!$C$4,IF(Tim!HU55=Sheet6!$C$5,Sheet6!$C$5,IF(Tim!HU55=Sheet6!$C$6,Sheet6!$C$6,IF(Tim!HU55=Sheet6!$C$7,Sheet6!$C$7,IF(Tim!HU55=Sheet6!$C$8,Sheet6!$C$8,"")))))))</f>
        <v/>
      </c>
      <c r="CR53" s="56" t="str">
        <f>IF(Tim!HV55=Sheet6!$C$2,Sheet6!$C$2,IF(Tim!HV55=Sheet6!$C$3,Sheet6!$C$3,IF(Tim!HV55=Sheet6!$C$4,Sheet6!$C$4,IF(Tim!HV55=Sheet6!$C$5,Sheet6!$C$5,IF(Tim!HV55=Sheet6!$C$6,Sheet6!$C$6,IF(Tim!HV55=Sheet6!$C$7,Sheet6!$C$7,IF(Tim!HV55=Sheet6!$C$8,Sheet6!$C$8,"")))))))</f>
        <v/>
      </c>
      <c r="CS53" s="57" t="str">
        <f>IF(Tim!IB55=Sheet6!$C$2,Sheet6!$C$2,IF(Tim!IB55=Sheet6!$C$3,Sheet6!$C$3,IF(Tim!IB55=Sheet6!$C$4,Sheet6!$C$4,IF(Tim!IB55=Sheet6!$C$5,Sheet6!$C$5,IF(Tim!IB55=Sheet6!$C$6,Sheet6!$C$6,IF(Tim!IB55=Sheet6!$C$7,Sheet6!$C$7,IF(Tim!IB55=Sheet6!$C$8,Sheet6!$C$8,"")))))))</f>
        <v/>
      </c>
      <c r="CT53" s="65" t="str">
        <f>IF(Tim!IJ55=Sheet6!$C$2,Sheet6!$C$2,IF(Tim!IJ55=Sheet6!$C$3,Sheet6!$C$3,IF(Tim!IJ55=Sheet6!$C$4,Sheet6!$C$4,IF(Tim!IJ55=Sheet6!$C$5,Sheet6!$C$5,IF(Tim!IJ55=Sheet6!$C$6,Sheet6!$C$6,IF(Tim!IJ55=Sheet6!$C$7,Sheet6!$C$7,IF(Tim!IJ55=Sheet6!$C$8,Sheet6!$C$8,"")))))))</f>
        <v/>
      </c>
      <c r="CU53" s="65" t="str">
        <f>IF(Tim!IQ55=Sheet6!$C$2,Sheet6!$C$2,IF(Tim!IQ55=Sheet6!$C$3,Sheet6!$C$3,IF(Tim!IQ55=Sheet6!$C$4,Sheet6!$C$4,IF(Tim!IQ55=Sheet6!$C$5,Sheet6!$C$5,IF(Tim!IQ55=Sheet6!$C$6,Sheet6!$C$6,IF(Tim!IQ55=Sheet6!$C$7,Sheet6!$C$7,IF(Tim!IQ55=Sheet6!$C$8,Sheet6!$C$8,"")))))))</f>
        <v/>
      </c>
      <c r="CV53" s="53" t="str">
        <f>IF(Tim!IR55=Sheet6!$C$2,Sheet6!$C$2,IF(Tim!IR55=Sheet6!$C$3,Sheet6!$C$3,IF(Tim!IR55=Sheet6!$C$4,Sheet6!$C$4,IF(Tim!IR55=Sheet6!$C$5,Sheet6!$C$5,IF(Tim!IR55=Sheet6!$C$6,Sheet6!$C$6,IF(Tim!IR55=Sheet6!$C$7,Sheet6!$C$7,IF(Tim!IR55=Sheet6!$C$8,Sheet6!$C$8,"")))))))</f>
        <v/>
      </c>
      <c r="CW53" s="53" t="str">
        <f>IF(Tim!IZ55=Sheet6!$C$2,Sheet6!$C$2,IF(Tim!IZ55=Sheet6!$C$3,Sheet6!$C$3,IF(Tim!IZ55=Sheet6!$C$4,Sheet6!$C$4,IF(Tim!IZ55=Sheet6!$C$5,Sheet6!$C$5,IF(Tim!IZ55=Sheet6!$C$6,Sheet6!$C$6,IF(Tim!IZ55=Sheet6!$C$7,Sheet6!$C$7,IF(Tim!IZ55=Sheet6!$C$8,Sheet6!$C$8,"")))))))</f>
        <v/>
      </c>
      <c r="CX53" s="53" t="str">
        <f>IF(Tim!JA55=Sheet6!$C$2,Sheet6!$C$2,IF(Tim!JA55=Sheet6!$C$3,Sheet6!$C$3,IF(Tim!JA55=Sheet6!$C$4,Sheet6!$C$4,IF(Tim!JA55=Sheet6!$C$5,Sheet6!$C$5,IF(Tim!JA55=Sheet6!$C$6,Sheet6!$C$6,IF(Tim!JA55=Sheet6!$C$7,Sheet6!$C$7,IF(Tim!JA55=Sheet6!$C$8,Sheet6!$C$8,"")))))))</f>
        <v/>
      </c>
      <c r="CY53" s="53" t="str">
        <f>IF(Tim!JB55=Sheet6!$C$2,Sheet6!$C$2,IF(Tim!JB55=Sheet6!$C$3,Sheet6!$C$3,IF(Tim!JB55=Sheet6!$C$4,Sheet6!$C$4,IF(Tim!JB55=Sheet6!$C$5,Sheet6!$C$5,IF(Tim!JB55=Sheet6!$C$6,Sheet6!$C$6,IF(Tim!JB55=Sheet6!$C$7,Sheet6!$C$7,IF(Tim!JB55=Sheet6!$C$8,Sheet6!$C$8,"")))))))</f>
        <v/>
      </c>
      <c r="CZ53" s="53" t="str">
        <f>IF(Tim!JC55=Sheet6!$C$2,Sheet6!$C$2,IF(Tim!JC55=Sheet6!$C$3,Sheet6!$C$3,IF(Tim!JC55=Sheet6!$C$4,Sheet6!$C$4,IF(Tim!JC55=Sheet6!$C$5,Sheet6!$C$5,IF(Tim!JC55=Sheet6!$C$6,Sheet6!$C$6,IF(Tim!JC55=Sheet6!$C$7,Sheet6!$C$7,IF(Tim!JC55=Sheet6!$C$8,Sheet6!$C$8,"")))))))</f>
        <v/>
      </c>
      <c r="DA53" s="53" t="str">
        <f>IF(Tim!JD55=Sheet6!$C$2,Sheet6!$C$2,IF(Tim!JD55=Sheet6!$C$3,Sheet6!$C$3,IF(Tim!JD55=Sheet6!$C$4,Sheet6!$C$4,IF(Tim!JD55=Sheet6!$C$5,Sheet6!$C$5,IF(Tim!JD55=Sheet6!$C$6,Sheet6!$C$6,IF(Tim!JD55=Sheet6!$C$7,Sheet6!$C$7,IF(Tim!JD55=Sheet6!$C$8,Sheet6!$C$8,"")))))))</f>
        <v/>
      </c>
      <c r="DB53" s="53" t="str">
        <f>IF(Tim!JE55=Sheet6!$C$2,Sheet6!$C$2,IF(Tim!JE55=Sheet6!$C$3,Sheet6!$C$3,IF(Tim!JE55=Sheet6!$C$4,Sheet6!$C$4,IF(Tim!JE55=Sheet6!$C$5,Sheet6!$C$5,IF(Tim!JE55=Sheet6!$C$6,Sheet6!$C$6,IF(Tim!JE55=Sheet6!$C$7,Sheet6!$C$7,IF(Tim!JE55=Sheet6!$C$8,Sheet6!$C$8,"")))))))</f>
        <v/>
      </c>
      <c r="DC53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DD53" s="54" t="str">
        <f>IF(Tim!JJ55=Sheet6!$C$2,Sheet6!$C$2,IF(Tim!JJ55=Sheet6!$C$3,Sheet6!$C$3,IF(Tim!JJ55=Sheet6!$C$4,Sheet6!$C$4,IF(Tim!JJ55=Sheet6!$C$5,Sheet6!$C$5,IF(Tim!JJ55=Sheet6!$C$6,Sheet6!$C$6,IF(Tim!JJ55=Sheet6!$C$7,Sheet6!$C$7,IF(Tim!JJ55=Sheet6!$C$8,Sheet6!$C$8,"")))))))</f>
        <v/>
      </c>
      <c r="DE53" s="54" t="str">
        <f>IF(Tim!JK55=Sheet6!$C$2,Sheet6!$C$2,IF(Tim!JK55=Sheet6!$C$3,Sheet6!$C$3,IF(Tim!JK55=Sheet6!$C$4,Sheet6!$C$4,IF(Tim!JK55=Sheet6!$C$5,Sheet6!$C$5,IF(Tim!JK55=Sheet6!$C$6,Sheet6!$C$6,IF(Tim!JK55=Sheet6!$C$7,Sheet6!$C$7,IF(Tim!JK55=Sheet6!$C$8,Sheet6!$C$8,"")))))))</f>
        <v/>
      </c>
      <c r="DF53" s="54" t="str">
        <f>IF(Tim!JL55=Sheet6!$C$2,Sheet6!$C$2,IF(Tim!JL55=Sheet6!$C$3,Sheet6!$C$3,IF(Tim!JL55=Sheet6!$C$4,Sheet6!$C$4,IF(Tim!JL55=Sheet6!$C$5,Sheet6!$C$5,IF(Tim!JL55=Sheet6!$C$6,Sheet6!$C$6,IF(Tim!JL55=Sheet6!$C$7,Sheet6!$C$7,IF(Tim!JL55=Sheet6!$C$8,Sheet6!$C$8,"")))))))</f>
        <v/>
      </c>
      <c r="DG53" s="55" t="str">
        <f>IF(Tim!JM55=Sheet6!$C$2,Sheet6!$C$2,IF(Tim!JM55=Sheet6!$C$3,Sheet6!$C$3,IF(Tim!JM55=Sheet6!$C$4,Sheet6!$C$4,IF(Tim!JM55=Sheet6!$C$5,Sheet6!$C$5,IF(Tim!JM55=Sheet6!$C$6,Sheet6!$C$6,IF(Tim!JM55=Sheet6!$C$7,Sheet6!$C$7,IF(Tim!JM55=Sheet6!$C$8,Sheet6!$C$8,"")))))))</f>
        <v/>
      </c>
      <c r="DH53" s="422"/>
      <c r="DI53" s="423"/>
      <c r="DJ53" s="423"/>
      <c r="DK53" s="423"/>
      <c r="DL53" s="423"/>
      <c r="DM53" s="423"/>
      <c r="DN53" s="423"/>
      <c r="DO53" s="423"/>
      <c r="DP53" s="423"/>
      <c r="DQ53" s="423"/>
      <c r="DR53" s="423"/>
      <c r="DS53" s="423"/>
      <c r="DT53" s="423"/>
      <c r="DU53" s="423"/>
      <c r="DV53" s="423"/>
      <c r="DW53" s="424"/>
      <c r="DX53" s="52">
        <v>0.79166666666666496</v>
      </c>
    </row>
    <row r="54" spans="2:128" ht="10.5" customHeight="1">
      <c r="B54" s="51">
        <v>0.25</v>
      </c>
      <c r="C54" s="51">
        <v>0.25</v>
      </c>
      <c r="D54" s="51">
        <v>0.25</v>
      </c>
      <c r="E54" s="52">
        <v>0.80208333333333204</v>
      </c>
      <c r="F54" s="53" t="str">
        <f>IF(Tim!F56=Sheet6!$C$2,Sheet6!$C$2,IF(Tim!F56=Sheet6!$C$3,Sheet6!$C$3,IF(Tim!F56=Sheet6!$C$4,Sheet6!$C$4,IF(Tim!F56=Sheet6!$C$5,Sheet6!$C$5,IF(Tim!F56=Sheet6!$C$6,Sheet6!$C$6,IF(Tim!F56=Sheet6!$C$7,Sheet6!$C$7,IF(Tim!F56=Sheet6!$C$8,Sheet6!$C$8,"")))))))</f>
        <v/>
      </c>
      <c r="G54" s="53" t="str">
        <f>IF(Tim!M56=Sheet6!$C$2,Sheet6!$C$2,IF(Tim!M56=Sheet6!$C$3,Sheet6!$C$3,IF(Tim!M56=Sheet6!$C$4,Sheet6!$C$4,IF(Tim!M56=Sheet6!$C$5,Sheet6!$C$5,IF(Tim!M56=Sheet6!$C$6,Sheet6!$C$6,IF(Tim!M56=Sheet6!$C$7,Sheet6!$C$7,IF(Tim!M56=Sheet6!$C$8,Sheet6!$C$8,"")))))))</f>
        <v/>
      </c>
      <c r="H54" s="53" t="str">
        <f>IF(Tim!H56=Sheet6!$C$2,Sheet6!$C$2,IF(Tim!H56=Sheet6!$C$3,Sheet6!$C$3,IF(Tim!H56=Sheet6!$C$4,Sheet6!$C$4,IF(Tim!H56=Sheet6!$C$5,Sheet6!$C$5,IF(Tim!H56=Sheet6!$C$6,Sheet6!$C$6,IF(Tim!H56=Sheet6!$C$7,Sheet6!$C$7,IF(Tim!H56=Sheet6!$C$8,Sheet6!$C$8,"")))))))</f>
        <v/>
      </c>
      <c r="I54" s="53" t="str">
        <f>IF(Tim!L56=Sheet6!$C$2,Sheet6!$C$2,IF(Tim!L56=Sheet6!$C$3,Sheet6!$C$3,IF(Tim!L56=Sheet6!$C$4,Sheet6!$C$4,IF(Tim!L56=Sheet6!$C$5,Sheet6!$C$5,IF(Tim!L56=Sheet6!$C$6,Sheet6!$C$6,IF(Tim!L56=Sheet6!$C$7,Sheet6!$C$7,IF(Tim!L56=Sheet6!$C$8,Sheet6!$C$8,"")))))))</f>
        <v/>
      </c>
      <c r="J54" s="53" t="str">
        <f>IF(Tim!T56=Sheet6!$C$2,Sheet6!$C$2,IF(Tim!T56=Sheet6!$C$3,Sheet6!$C$3,IF(Tim!T56=Sheet6!$C$4,Sheet6!$C$4,IF(Tim!T56=Sheet6!$C$5,Sheet6!$C$5,IF(Tim!T56=Sheet6!$C$6,Sheet6!$C$6,IF(Tim!T56=Sheet6!$C$7,Sheet6!$C$7,IF(Tim!T56=Sheet6!$C$8,Sheet6!$C$8,"")))))))</f>
        <v/>
      </c>
      <c r="K54" s="53" t="str">
        <f>IF(Tim!AB56=Sheet6!$C$2,Sheet6!$C$2,IF(Tim!AB56=Sheet6!$C$3,Sheet6!$C$3,IF(Tim!AB56=Sheet6!$C$4,Sheet6!$C$4,IF(Tim!AB56=Sheet6!$C$5,Sheet6!$C$5,IF(Tim!AB56=Sheet6!$C$6,Sheet6!$C$6,IF(Tim!AB56=Sheet6!$C$7,Sheet6!$C$7,IF(Tim!AB56=Sheet6!$C$8,Sheet6!$C$8,"")))))))</f>
        <v/>
      </c>
      <c r="L54" s="53" t="str">
        <f>IF(Tim!AC56=Sheet6!$C$2,Sheet6!$C$2,IF(Tim!AC56=Sheet6!$C$3,Sheet6!$C$3,IF(Tim!AC56=Sheet6!$C$4,Sheet6!$C$4,IF(Tim!AC56=Sheet6!$C$5,Sheet6!$C$5,IF(Tim!AC56=Sheet6!$C$6,Sheet6!$C$6,IF(Tim!AC56=Sheet6!$C$7,Sheet6!$C$7,IF(Tim!AC56=Sheet6!$C$8,Sheet6!$C$8,"")))))))</f>
        <v/>
      </c>
      <c r="M54" s="53" t="str">
        <f>IF(Tim!AJ56=Sheet6!$C$2,Sheet6!$C$2,IF(Tim!AJ56=Sheet6!$C$3,Sheet6!$C$3,IF(Tim!AJ56=Sheet6!$C$4,Sheet6!$C$4,IF(Tim!AJ56=Sheet6!$C$5,Sheet6!$C$5,IF(Tim!AJ56=Sheet6!$C$6,Sheet6!$C$6,IF(Tim!AJ56=Sheet6!$C$7,Sheet6!$C$7,IF(Tim!AJ56=Sheet6!$C$8,Sheet6!$C$8,"")))))))</f>
        <v/>
      </c>
      <c r="N54" s="53" t="str">
        <f>IF(Tim!AK56=Sheet6!$C$2,Sheet6!$C$2,IF(Tim!AK56=Sheet6!$C$3,Sheet6!$C$3,IF(Tim!AK56=Sheet6!$C$4,Sheet6!$C$4,IF(Tim!AK56=Sheet6!$C$5,Sheet6!$C$5,IF(Tim!AK56=Sheet6!$C$6,Sheet6!$C$6,IF(Tim!AK56=Sheet6!$C$7,Sheet6!$C$7,IF(Tim!AK56=Sheet6!$C$8,Sheet6!$C$8,"")))))))</f>
        <v/>
      </c>
      <c r="O54" s="53" t="str">
        <f>IF(Tim!AL56=Sheet6!$C$2,Sheet6!$C$2,IF(Tim!AL56=Sheet6!$C$3,Sheet6!$C$3,IF(Tim!AL56=Sheet6!$C$4,Sheet6!$C$4,IF(Tim!AL56=Sheet6!$C$5,Sheet6!$C$5,IF(Tim!AL56=Sheet6!$C$6,Sheet6!$C$6,IF(Tim!AL56=Sheet6!$C$7,Sheet6!$C$7,IF(Tim!AL56=Sheet6!$C$8,Sheet6!$C$8,"")))))))</f>
        <v/>
      </c>
      <c r="P54" s="53" t="str">
        <f>IF(Tim!AN56=Sheet6!$C$2,Sheet6!$C$2,IF(Tim!AN56=Sheet6!$C$3,Sheet6!$C$3,IF(Tim!AN56=Sheet6!$C$4,Sheet6!$C$4,IF(Tim!AN56=Sheet6!$C$5,Sheet6!$C$5,IF(Tim!AN56=Sheet6!$C$6,Sheet6!$C$6,IF(Tim!AN56=Sheet6!$C$7,Sheet6!$C$7,IF(Tim!AN56=Sheet6!$C$8,Sheet6!$C$8,"")))))))</f>
        <v/>
      </c>
      <c r="Q54" s="176" t="str">
        <f>IF(Tim!AO56=Sheet6!$C$2,Sheet6!$C$2,IF(Tim!AO56=Sheet6!$C$3,Sheet6!$C$3,IF(Tim!AO56=Sheet6!$C$4,Sheet6!$C$4,IF(Tim!AO56=Sheet6!$C$5,Sheet6!$C$5,IF(Tim!AO56=Sheet6!$C$6,Sheet6!$C$6,IF(Tim!AO56=Sheet6!$C$7,Sheet6!$C$7,IF(Tim!AO56=Sheet6!$C$8,Sheet6!$C$8,"")))))))</f>
        <v/>
      </c>
      <c r="R54" s="53" t="str">
        <f>IF(Tim!AP56=Sheet6!$C$2,Sheet6!$C$2,IF(Tim!AP56=Sheet6!$C$3,Sheet6!$C$3,IF(Tim!AP56=Sheet6!$C$4,Sheet6!$C$4,IF(Tim!AP56=Sheet6!$C$5,Sheet6!$C$5,IF(Tim!AP56=Sheet6!$C$6,Sheet6!$C$6,IF(Tim!AP56=Sheet6!$C$7,Sheet6!$C$7,IF(Tim!AP56=Sheet6!$C$8,Sheet6!$C$8,"")))))))</f>
        <v/>
      </c>
      <c r="S54" s="53" t="str">
        <f>IF(Tim!AT56=Sheet6!$C$2,Sheet6!$C$2,IF(Tim!AT56=Sheet6!$C$3,Sheet6!$C$3,IF(Tim!AT56=Sheet6!$C$4,Sheet6!$C$4,IF(Tim!AT56=Sheet6!$C$5,Sheet6!$C$5,IF(Tim!AT56=Sheet6!$C$6,Sheet6!$C$6,IF(Tim!AT56=Sheet6!$C$7,Sheet6!$C$7,IF(Tim!AT56=Sheet6!$C$8,Sheet6!$C$8,"")))))))</f>
        <v/>
      </c>
      <c r="T54" s="54" t="str">
        <f>IF(Tim!AU56=Sheet6!$C$2,Sheet6!$C$2,IF(Tim!AU56=Sheet6!$C$3,Sheet6!$C$3,IF(Tim!AU56=Sheet6!$C$4,Sheet6!$C$4,IF(Tim!AU56=Sheet6!$C$5,Sheet6!$C$5,IF(Tim!AU56=Sheet6!$C$6,Sheet6!$C$6,IF(Tim!AU56=Sheet6!$C$7,Sheet6!$C$7,IF(Tim!AU56=Sheet6!$C$8,Sheet6!$C$8,"")))))))</f>
        <v/>
      </c>
      <c r="U54" s="54" t="str">
        <f>IF(Tim!AV56=Sheet6!$C$2,Sheet6!$C$2,IF(Tim!AV56=Sheet6!$C$3,Sheet6!$C$3,IF(Tim!AV56=Sheet6!$C$4,Sheet6!$C$4,IF(Tim!AV56=Sheet6!$C$5,Sheet6!$C$5,IF(Tim!AV56=Sheet6!$C$6,Sheet6!$C$6,IF(Tim!AV56=Sheet6!$C$7,Sheet6!$C$7,IF(Tim!AV56=Sheet6!$C$8,Sheet6!$C$8,"")))))))</f>
        <v/>
      </c>
      <c r="V54" s="54" t="str">
        <f>IF(Tim!AW56=Sheet6!$C$2,Sheet6!$C$2,IF(Tim!AW56=Sheet6!$C$3,Sheet6!$C$3,IF(Tim!AW56=Sheet6!$C$4,Sheet6!$C$4,IF(Tim!AW56=Sheet6!$C$5,Sheet6!$C$5,IF(Tim!AW56=Sheet6!$C$6,Sheet6!$C$6,IF(Tim!AW56=Sheet6!$C$7,Sheet6!$C$7,IF(Tim!AW56=Sheet6!$C$8,Sheet6!$C$8,"")))))))</f>
        <v/>
      </c>
      <c r="W54" s="55" t="str">
        <f>IF(Tim!AX56=Sheet6!$C$2,Sheet6!$C$2,IF(Tim!AX56=Sheet6!$C$3,Sheet6!$C$3,IF(Tim!AX56=Sheet6!$C$4,Sheet6!$C$4,IF(Tim!AX56=Sheet6!$C$5,Sheet6!$C$5,IF(Tim!AX56=Sheet6!$C$6,Sheet6!$C$6,IF(Tim!AX56=Sheet6!$C$7,Sheet6!$C$7,IF(Tim!AX56=Sheet6!$C$8,Sheet6!$C$8,"")))))))</f>
        <v/>
      </c>
      <c r="X54" s="53" t="str">
        <f>IF(Tim!AY56=Sheet6!$C$2,Sheet6!$C$2,IF(Tim!AY56=Sheet6!$C$3,Sheet6!$C$3,IF(Tim!AY56=Sheet6!$C$4,Sheet6!$C$4,IF(Tim!AY56=Sheet6!$C$5,Sheet6!$C$5,IF(Tim!AY56=Sheet6!$C$6,Sheet6!$C$6,IF(Tim!AY56=Sheet6!$C$7,Sheet6!$C$7,IF(Tim!AY56=Sheet6!$C$8,Sheet6!$C$8,"")))))))</f>
        <v/>
      </c>
      <c r="Y54" s="57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Z54" s="57" t="str">
        <f>IF(Tim!BC56=Sheet6!$C$2,Sheet6!$C$2,IF(Tim!BC56=Sheet6!$C$3,Sheet6!$C$3,IF(Tim!BC56=Sheet6!$C$4,Sheet6!$C$4,IF(Tim!BC56=Sheet6!$C$5,Sheet6!$C$5,IF(Tim!BC56=Sheet6!$C$6,Sheet6!$C$6,IF(Tim!BC56=Sheet6!$C$7,Sheet6!$C$7,IF(Tim!BC56=Sheet6!$C$8,Sheet6!$C$8,"")))))))</f>
        <v/>
      </c>
      <c r="AA54" s="57" t="str">
        <f>IF(Tim!BF56=Sheet6!$C$2,Sheet6!$C$2,IF(Tim!BF56=Sheet6!$C$3,Sheet6!$C$3,IF(Tim!BF56=Sheet6!$C$4,Sheet6!$C$4,IF(Tim!BF56=Sheet6!$C$5,Sheet6!$C$5,IF(Tim!BF56=Sheet6!$C$6,Sheet6!$C$6,IF(Tim!BF56=Sheet6!$C$7,Sheet6!$C$7,IF(Tim!BF56=Sheet6!$C$8,Sheet6!$C$8,"")))))))</f>
        <v/>
      </c>
      <c r="AB54" s="57" t="str">
        <f>IF(Tim!BL56=Sheet6!$C$2,Sheet6!$C$2,IF(Tim!BL56=Sheet6!$C$3,Sheet6!$C$3,IF(Tim!BL56=Sheet6!$C$4,Sheet6!$C$4,IF(Tim!BL56=Sheet6!$C$5,Sheet6!$C$5,IF(Tim!BL56=Sheet6!$C$6,Sheet6!$C$6,IF(Tim!BL56=Sheet6!$C$7,Sheet6!$C$7,IF(Tim!BL56=Sheet6!$C$8,Sheet6!$C$8,"")))))))</f>
        <v/>
      </c>
      <c r="AC54" s="53" t="str">
        <f>IF(Tim!BT56=Sheet6!$C$2,Sheet6!$C$2,IF(Tim!BT56=Sheet6!$C$3,Sheet6!$C$3,IF(Tim!BT56=Sheet6!$C$4,Sheet6!$C$4,IF(Tim!BT56=Sheet6!$C$5,Sheet6!$C$5,IF(Tim!BT56=Sheet6!$C$6,Sheet6!$C$6,IF(Tim!BT56=Sheet6!$C$7,Sheet6!$C$7,IF(Tim!BT56=Sheet6!$C$8,Sheet6!$C$8,"")))))))</f>
        <v/>
      </c>
      <c r="AD54" s="53" t="str">
        <f>IF(Tim!BU56=Sheet6!$C$2,Sheet6!$C$2,IF(Tim!BU56=Sheet6!$C$3,Sheet6!$C$3,IF(Tim!BU56=Sheet6!$C$4,Sheet6!$C$4,IF(Tim!BU56=Sheet6!$C$5,Sheet6!$C$5,IF(Tim!BU56=Sheet6!$C$6,Sheet6!$C$6,IF(Tim!BU56=Sheet6!$C$7,Sheet6!$C$7,IF(Tim!BU56=Sheet6!$C$8,Sheet6!$C$8,"")))))))</f>
        <v/>
      </c>
      <c r="AE54" s="53" t="str">
        <f>IF(Tim!CB56=Sheet6!$C$2,Sheet6!$C$2,IF(Tim!CB56=Sheet6!$C$3,Sheet6!$C$3,IF(Tim!CB56=Sheet6!$C$4,Sheet6!$C$4,IF(Tim!CB56=Sheet6!$C$5,Sheet6!$C$5,IF(Tim!CB56=Sheet6!$C$6,Sheet6!$C$6,IF(Tim!CB56=Sheet6!$C$7,Sheet6!$C$7,IF(Tim!CB56=Sheet6!$C$8,Sheet6!$C$8,"")))))))</f>
        <v/>
      </c>
      <c r="AF54" s="53" t="str">
        <f>IF(Tim!CD56=Sheet6!$C$2,Sheet6!$C$2,IF(Tim!CD56=Sheet6!$C$3,Sheet6!$C$3,IF(Tim!CD56=Sheet6!$C$4,Sheet6!$C$4,IF(Tim!CD56=Sheet6!$C$5,Sheet6!$C$5,IF(Tim!CD56=Sheet6!$C$6,Sheet6!$C$6,IF(Tim!CD56=Sheet6!$C$7,Sheet6!$C$7,IF(Tim!CD56=Sheet6!$C$8,Sheet6!$C$8,"")))))))</f>
        <v/>
      </c>
      <c r="AG54" s="53" t="str">
        <f>IF(Tim!CE56=Sheet6!$C$2,Sheet6!$C$2,IF(Tim!CE56=Sheet6!$C$3,Sheet6!$C$3,IF(Tim!CE56=Sheet6!$C$4,Sheet6!$C$4,IF(Tim!CE56=Sheet6!$C$5,Sheet6!$C$5,IF(Tim!CE56=Sheet6!$C$6,Sheet6!$C$6,IF(Tim!CE56=Sheet6!$C$7,Sheet6!$C$7,IF(Tim!CE56=Sheet6!$C$8,Sheet6!$C$8,"")))))))</f>
        <v/>
      </c>
      <c r="AH54" s="53" t="str">
        <f>IF(Tim!CF56=Sheet6!$C$2,Sheet6!$C$2,IF(Tim!CF56=Sheet6!$C$3,Sheet6!$C$3,IF(Tim!CF56=Sheet6!$C$4,Sheet6!$C$4,IF(Tim!CF56=Sheet6!$C$5,Sheet6!$C$5,IF(Tim!CF56=Sheet6!$C$6,Sheet6!$C$6,IF(Tim!CF56=Sheet6!$C$7,Sheet6!$C$7,IF(Tim!CF56=Sheet6!$C$8,Sheet6!$C$8,"")))))))</f>
        <v/>
      </c>
      <c r="AI54" s="176" t="str">
        <f>IF(Tim!CG56=Sheet6!$C$2,Sheet6!$C$2,IF(Tim!CG56=Sheet6!$C$3,Sheet6!$C$3,IF(Tim!CG56=Sheet6!$C$4,Sheet6!$C$4,IF(Tim!CG56=Sheet6!$C$5,Sheet6!$C$5,IF(Tim!CG56=Sheet6!$C$6,Sheet6!$C$6,IF(Tim!CG56=Sheet6!$C$7,Sheet6!$C$7,IF(Tim!CG56=Sheet6!$C$8,Sheet6!$C$8,"")))))))</f>
        <v/>
      </c>
      <c r="AJ54" s="53" t="str">
        <f>IF(Tim!CH56=Sheet6!$C$2,Sheet6!$C$2,IF(Tim!CH56=Sheet6!$C$3,Sheet6!$C$3,IF(Tim!CH56=Sheet6!$C$4,Sheet6!$C$4,IF(Tim!CH56=Sheet6!$C$5,Sheet6!$C$5,IF(Tim!CH56=Sheet6!$C$6,Sheet6!$C$6,IF(Tim!CH56=Sheet6!$C$7,Sheet6!$C$7,IF(Tim!CH56=Sheet6!$C$8,Sheet6!$C$8,"")))))))</f>
        <v/>
      </c>
      <c r="AK54" s="53" t="str">
        <f>IF(Tim!CL56=Sheet6!$C$2,Sheet6!$C$2,IF(Tim!CL56=Sheet6!$C$3,Sheet6!$C$3,IF(Tim!CL56=Sheet6!$C$4,Sheet6!$C$4,IF(Tim!CL56=Sheet6!$C$5,Sheet6!$C$5,IF(Tim!CL56=Sheet6!$C$6,Sheet6!$C$6,IF(Tim!CL56=Sheet6!$C$7,Sheet6!$C$7,IF(Tim!CL56=Sheet6!$C$8,Sheet6!$C$8,"")))))))</f>
        <v/>
      </c>
      <c r="AL54" s="54" t="str">
        <f>IF(Tim!CM56=Sheet6!$C$2,Sheet6!$C$2,IF(Tim!CM56=Sheet6!$C$3,Sheet6!$C$3,IF(Tim!CM56=Sheet6!$C$4,Sheet6!$C$4,IF(Tim!CM56=Sheet6!$C$5,Sheet6!$C$5,IF(Tim!CM56=Sheet6!$C$6,Sheet6!$C$6,IF(Tim!CM56=Sheet6!$C$7,Sheet6!$C$7,IF(Tim!CM56=Sheet6!$C$8,Sheet6!$C$8,"")))))))</f>
        <v/>
      </c>
      <c r="AM54" s="54" t="str">
        <f>IF(Tim!CN56=Sheet6!$C$2,Sheet6!$C$2,IF(Tim!CN56=Sheet6!$C$3,Sheet6!$C$3,IF(Tim!CN56=Sheet6!$C$4,Sheet6!$C$4,IF(Tim!CN56=Sheet6!$C$5,Sheet6!$C$5,IF(Tim!CN56=Sheet6!$C$6,Sheet6!$C$6,IF(Tim!CN56=Sheet6!$C$7,Sheet6!$C$7,IF(Tim!CN56=Sheet6!$C$8,Sheet6!$C$8,"")))))))</f>
        <v/>
      </c>
      <c r="AN54" s="54" t="str">
        <f>IF(Tim!CO56=Sheet6!$C$2,Sheet6!$C$2,IF(Tim!CO56=Sheet6!$C$3,Sheet6!$C$3,IF(Tim!CO56=Sheet6!$C$4,Sheet6!$C$4,IF(Tim!CO56=Sheet6!$C$5,Sheet6!$C$5,IF(Tim!CO56=Sheet6!$C$6,Sheet6!$C$6,IF(Tim!CO56=Sheet6!$C$7,Sheet6!$C$7,IF(Tim!CO56=Sheet6!$C$8,Sheet6!$C$8,"")))))))</f>
        <v/>
      </c>
      <c r="AO54" s="177" t="str">
        <f>IF(Tim!CP56=Sheet6!$C$2,Sheet6!$C$2,IF(Tim!CP56=Sheet6!$C$3,Sheet6!$C$3,IF(Tim!CP56=Sheet6!$C$4,Sheet6!$C$4,IF(Tim!CP56=Sheet6!$C$5,Sheet6!$C$5,IF(Tim!CP56=Sheet6!$C$6,Sheet6!$C$6,IF(Tim!CP56=Sheet6!$C$7,Sheet6!$C$7,IF(Tim!CP56=Sheet6!$C$8,Sheet6!$C$8,"")))))))</f>
        <v/>
      </c>
      <c r="AP54" s="53" t="str">
        <f>IF(Tim!CQ56=Sheet6!$C$2,Sheet6!$C$2,IF(Tim!CQ56=Sheet6!$C$3,Sheet6!$C$3,IF(Tim!CQ56=Sheet6!$C$4,Sheet6!$C$4,IF(Tim!CQ56=Sheet6!$C$5,Sheet6!$C$5,IF(Tim!CQ56=Sheet6!$C$6,Sheet6!$C$6,IF(Tim!CQ56=Sheet6!$C$7,Sheet6!$C$7,IF(Tim!CQ56=Sheet6!$C$8,Sheet6!$C$8,"")))))))</f>
        <v/>
      </c>
      <c r="AQ54" s="53" t="str">
        <f>IF(Tim!CR56=Sheet6!$C$2,Sheet6!$C$2,IF(Tim!CR56=Sheet6!$C$3,Sheet6!$C$3,IF(Tim!CR56=Sheet6!$C$4,Sheet6!$C$4,IF(Tim!CR56=Sheet6!$C$5,Sheet6!$C$5,IF(Tim!CR56=Sheet6!$C$6,Sheet6!$C$6,IF(Tim!CR56=Sheet6!$C$7,Sheet6!$C$7,IF(Tim!CR56=Sheet6!$C$8,Sheet6!$C$8,"")))))))</f>
        <v/>
      </c>
      <c r="AR54" s="57" t="str">
        <f>IF(Tim!CV56=Sheet6!$C$2,Sheet6!$C$2,IF(Tim!CV56=Sheet6!$C$3,Sheet6!$C$3,IF(Tim!CV56=Sheet6!$C$4,Sheet6!$C$4,IF(Tim!CV56=Sheet6!$C$5,Sheet6!$C$5,IF(Tim!CV56=Sheet6!$C$6,Sheet6!$C$6,IF(Tim!CV56=Sheet6!$C$7,Sheet6!$C$7,IF(Tim!CV56=Sheet6!$C$8,Sheet6!$C$8,"")))))))</f>
        <v/>
      </c>
      <c r="AS54" s="57" t="str">
        <f>IF(Tim!CW56=Sheet6!$C$2,Sheet6!$C$2,IF(Tim!CW56=Sheet6!$C$3,Sheet6!$C$3,IF(Tim!CW56=Sheet6!$C$4,Sheet6!$C$4,IF(Tim!CW56=Sheet6!$C$5,Sheet6!$C$5,IF(Tim!CW56=Sheet6!$C$6,Sheet6!$C$6,IF(Tim!CW56=Sheet6!$C$7,Sheet6!$C$7,IF(Tim!CW56=Sheet6!$C$8,Sheet6!$C$8,"")))))))</f>
        <v/>
      </c>
      <c r="AT54" s="57" t="str">
        <f>IF(Tim!DA56=Sheet6!$C$2,Sheet6!$C$2,IF(Tim!DA56=Sheet6!$C$3,Sheet6!$C$3,IF(Tim!DA56=Sheet6!$C$4,Sheet6!$C$4,IF(Tim!DA56=Sheet6!$C$5,Sheet6!$C$5,IF(Tim!DA56=Sheet6!$C$6,Sheet6!$C$6,IF(Tim!DA56=Sheet6!$C$7,Sheet6!$C$7,IF(Tim!DA56=Sheet6!$C$8,Sheet6!$C$8,"")))))))</f>
        <v/>
      </c>
      <c r="AU54" s="53" t="str">
        <f>IF(Tim!DO56=Sheet6!$C$2,Sheet6!$C$2,IF(Tim!DO56=Sheet6!$C$3,Sheet6!$C$3,IF(Tim!DO56=Sheet6!$C$4,Sheet6!$C$4,IF(Tim!DO56=Sheet6!$C$5,Sheet6!$C$5,IF(Tim!DO56=Sheet6!$C$6,Sheet6!$C$6,IF(Tim!DO56=Sheet6!$C$7,Sheet6!$C$7,IF(Tim!DO56=Sheet6!$C$8,Sheet6!$C$8,"")))))))</f>
        <v/>
      </c>
      <c r="AV54" s="53" t="str">
        <f>IF(Tim!DP56=Sheet6!$C$2,Sheet6!$C$2,IF(Tim!DP56=Sheet6!$C$3,Sheet6!$C$3,IF(Tim!DP56=Sheet6!$C$4,Sheet6!$C$4,IF(Tim!DP56=Sheet6!$C$5,Sheet6!$C$5,IF(Tim!DP56=Sheet6!$C$6,Sheet6!$C$6,IF(Tim!DP56=Sheet6!$C$7,Sheet6!$C$7,IF(Tim!DP56=Sheet6!$C$8,Sheet6!$C$8,"")))))))</f>
        <v/>
      </c>
      <c r="AW54" s="53" t="str">
        <f>IF(Tim!DX56=Sheet6!$C$2,Sheet6!$C$2,IF(Tim!DX56=Sheet6!$C$3,Sheet6!$C$3,IF(Tim!DX56=Sheet6!$C$4,Sheet6!$C$4,IF(Tim!DX56=Sheet6!$C$5,Sheet6!$C$5,IF(Tim!DX56=Sheet6!$C$6,Sheet6!$C$6,IF(Tim!DX56=Sheet6!$C$7,Sheet6!$C$7,IF(Tim!DX56=Sheet6!$C$8,Sheet6!$C$8,"")))))))</f>
        <v/>
      </c>
      <c r="AX54" s="53" t="str">
        <f>IF(Tim!DY56=Sheet6!$C$2,Sheet6!$C$2,IF(Tim!DY56=Sheet6!$C$3,Sheet6!$C$3,IF(Tim!DY56=Sheet6!$C$4,Sheet6!$C$4,IF(Tim!DY56=Sheet6!$C$5,Sheet6!$C$5,IF(Tim!DY56=Sheet6!$C$6,Sheet6!$C$6,IF(Tim!DY56=Sheet6!$C$7,Sheet6!$C$7,IF(Tim!DY56=Sheet6!$C$8,Sheet6!$C$8,"")))))))</f>
        <v/>
      </c>
      <c r="AY54" s="53" t="str">
        <f>IF(Tim!DZ56=Sheet6!$C$2,Sheet6!$C$2,IF(Tim!DZ56=Sheet6!$C$3,Sheet6!$C$3,IF(Tim!DZ56=Sheet6!$C$4,Sheet6!$C$4,IF(Tim!DZ56=Sheet6!$C$5,Sheet6!$C$5,IF(Tim!DZ56=Sheet6!$C$6,Sheet6!$C$6,IF(Tim!DZ56=Sheet6!$C$7,Sheet6!$C$7,IF(Tim!DZ56=Sheet6!$C$8,Sheet6!$C$8,"")))))))</f>
        <v/>
      </c>
      <c r="AZ54" s="53" t="str">
        <f>IF(Tim!EA56=Sheet6!$C$2,Sheet6!$C$2,IF(Tim!EA56=Sheet6!$C$3,Sheet6!$C$3,IF(Tim!EA56=Sheet6!$C$4,Sheet6!$C$4,IF(Tim!EA56=Sheet6!$C$5,Sheet6!$C$5,IF(Tim!EA56=Sheet6!$C$6,Sheet6!$C$6,IF(Tim!EA56=Sheet6!$C$7,Sheet6!$C$7,IF(Tim!EA56=Sheet6!$C$8,Sheet6!$C$8,"")))))))</f>
        <v/>
      </c>
      <c r="BA54" s="176" t="str">
        <f>IF(Tim!EB56=Sheet6!$C$2,Sheet6!$C$2,IF(Tim!EB56=Sheet6!$C$3,Sheet6!$C$3,IF(Tim!EB56=Sheet6!$C$4,Sheet6!$C$4,IF(Tim!EB56=Sheet6!$C$5,Sheet6!$C$5,IF(Tim!EB56=Sheet6!$C$6,Sheet6!$C$6,IF(Tim!EB56=Sheet6!$C$7,Sheet6!$C$7,IF(Tim!EB56=Sheet6!$C$8,Sheet6!$C$8,"")))))))</f>
        <v/>
      </c>
      <c r="BB54" s="53" t="str">
        <f>IF(Tim!EC56=Sheet6!$C$2,Sheet6!$C$2,IF(Tim!EC56=Sheet6!$C$3,Sheet6!$C$3,IF(Tim!EC56=Sheet6!$C$4,Sheet6!$C$4,IF(Tim!EC56=Sheet6!$C$5,Sheet6!$C$5,IF(Tim!EC56=Sheet6!$C$6,Sheet6!$C$6,IF(Tim!EC56=Sheet6!$C$7,Sheet6!$C$7,IF(Tim!EC56=Sheet6!$C$8,Sheet6!$C$8,"")))))))</f>
        <v/>
      </c>
      <c r="BC54" s="53" t="str">
        <f>IF(Tim!EH56=Sheet6!$C$2,Sheet6!$C$2,IF(Tim!EH56=Sheet6!$C$3,Sheet6!$C$3,IF(Tim!EH56=Sheet6!$C$4,Sheet6!$C$4,IF(Tim!EH56=Sheet6!$C$5,Sheet6!$C$5,IF(Tim!EH56=Sheet6!$C$6,Sheet6!$C$6,IF(Tim!EH56=Sheet6!$C$7,Sheet6!$C$7,IF(Tim!EH56=Sheet6!$C$8,Sheet6!$C$8,"")))))))</f>
        <v/>
      </c>
      <c r="BD54" s="54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BE54" s="54" t="str">
        <f>IF(Tim!EI56=Sheet6!$C$2,Sheet6!$C$2,IF(Tim!EI56=Sheet6!$C$3,Sheet6!$C$3,IF(Tim!EI56=Sheet6!$C$4,Sheet6!$C$4,IF(Tim!EI56=Sheet6!$C$5,Sheet6!$C$5,IF(Tim!EI56=Sheet6!$C$6,Sheet6!$C$6,IF(Tim!EI56=Sheet6!$C$7,Sheet6!$C$7,IF(Tim!EI56=Sheet6!$C$8,Sheet6!$C$8,"")))))))</f>
        <v/>
      </c>
      <c r="BF54" s="53" t="str">
        <f>IF(Tim!EJ56=Sheet6!$C$2,Sheet6!$C$2,IF(Tim!EJ56=Sheet6!$C$3,Sheet6!$C$3,IF(Tim!EJ56=Sheet6!$C$4,Sheet6!$C$4,IF(Tim!EJ56=Sheet6!$C$5,Sheet6!$C$5,IF(Tim!EJ56=Sheet6!$C$6,Sheet6!$C$6,IF(Tim!EJ56=Sheet6!$C$7,Sheet6!$C$7,IF(Tim!EJ56=Sheet6!$C$8,Sheet6!$C$8,"")))))))</f>
        <v/>
      </c>
      <c r="BG54" s="55" t="str">
        <f>IF(Tim!EK56=Sheet6!$C$2,Sheet6!$C$2,IF(Tim!EK56=Sheet6!$C$3,Sheet6!$C$3,IF(Tim!EK56=Sheet6!$C$4,Sheet6!$C$4,IF(Tim!EK56=Sheet6!$C$5,Sheet6!$C$5,IF(Tim!EK56=Sheet6!$C$6,Sheet6!$C$6,IF(Tim!EK56=Sheet6!$C$7,Sheet6!$C$7,IF(Tim!EK56=Sheet6!$C$8,Sheet6!$C$8,"")))))))</f>
        <v/>
      </c>
      <c r="BH54" s="53" t="str">
        <f>IF(Tim!EL56=Sheet6!$C$2,Sheet6!$C$2,IF(Tim!EL56=Sheet6!$C$3,Sheet6!$C$3,IF(Tim!EL56=Sheet6!$C$4,Sheet6!$C$4,IF(Tim!EL56=Sheet6!$C$5,Sheet6!$C$5,IF(Tim!EL56=Sheet6!$C$6,Sheet6!$C$6,IF(Tim!EL56=Sheet6!$C$7,Sheet6!$C$7,IF(Tim!EL56=Sheet6!$C$8,Sheet6!$C$8,"")))))))</f>
        <v/>
      </c>
      <c r="BI54" s="57" t="str">
        <f>IF(Tim!EM56=Sheet6!$C$2,Sheet6!$C$2,IF(Tim!EM56=Sheet6!$C$3,Sheet6!$C$3,IF(Tim!EM56=Sheet6!$C$4,Sheet6!$C$4,IF(Tim!EM56=Sheet6!$C$5,Sheet6!$C$5,IF(Tim!EM56=Sheet6!$C$6,Sheet6!$C$6,IF(Tim!EM56=Sheet6!$C$7,Sheet6!$C$7,IF(Tim!EM56=Sheet6!$C$8,Sheet6!$C$8,"")))))))</f>
        <v/>
      </c>
      <c r="BJ54" s="57" t="str">
        <f>IF(Tim!EQ56=Sheet6!$C$2,Sheet6!$C$2,IF(Tim!EQ56=Sheet6!$C$3,Sheet6!$C$3,IF(Tim!EQ56=Sheet6!$C$4,Sheet6!$C$4,IF(Tim!EQ56=Sheet6!$C$5,Sheet6!$C$5,IF(Tim!EQ56=Sheet6!$C$6,Sheet6!$C$6,IF(Tim!EQ56=Sheet6!$C$7,Sheet6!$C$7,IF(Tim!EQ56=Sheet6!$C$8,Sheet6!$C$8,"")))))))</f>
        <v/>
      </c>
      <c r="BK54" s="57" t="str">
        <f>IF(Tim!ER56=Sheet6!$C$2,Sheet6!$C$2,IF(Tim!ER56=Sheet6!$C$3,Sheet6!$C$3,IF(Tim!ER56=Sheet6!$C$4,Sheet6!$C$4,IF(Tim!ER56=Sheet6!$C$5,Sheet6!$C$5,IF(Tim!ER56=Sheet6!$C$6,Sheet6!$C$6,IF(Tim!ER56=Sheet6!$C$7,Sheet6!$C$7,IF(Tim!ER56=Sheet6!$C$8,Sheet6!$C$8,"")))))))</f>
        <v/>
      </c>
      <c r="BL54" s="57" t="str">
        <f>IF(Tim!EZ56=Sheet6!$C$2,Sheet6!$C$2,IF(Tim!EZ56=Sheet6!$C$3,Sheet6!$C$3,IF(Tim!EZ56=Sheet6!$C$4,Sheet6!$C$4,IF(Tim!EZ56=Sheet6!$C$5,Sheet6!$C$5,IF(Tim!EZ56=Sheet6!$C$6,Sheet6!$C$6,IF(Tim!EZ56=Sheet6!$C$7,Sheet6!$C$7,IF(Tim!EZ56=Sheet6!$C$8,Sheet6!$C$8,"")))))))</f>
        <v/>
      </c>
      <c r="BM54" s="53" t="str">
        <f>IF(Tim!FG56=Sheet6!$C$2,Sheet6!$C$2,IF(Tim!FG56=Sheet6!$C$3,Sheet6!$C$3,IF(Tim!FG56=Sheet6!$C$4,Sheet6!$C$4,IF(Tim!FG56=Sheet6!$C$5,Sheet6!$C$5,IF(Tim!FG56=Sheet6!$C$6,Sheet6!$C$6,IF(Tim!FG56=Sheet6!$C$7,Sheet6!$C$7,IF(Tim!FG56=Sheet6!$C$8,Sheet6!$C$8,"")))))))</f>
        <v/>
      </c>
      <c r="BN54" s="53" t="str">
        <f>IF(Tim!FH56=Sheet6!$C$2,Sheet6!$C$2,IF(Tim!FH56=Sheet6!$C$3,Sheet6!$C$3,IF(Tim!FH56=Sheet6!$C$4,Sheet6!$C$4,IF(Tim!FH56=Sheet6!$C$5,Sheet6!$C$5,IF(Tim!FH56=Sheet6!$C$6,Sheet6!$C$6,IF(Tim!FH56=Sheet6!$C$7,Sheet6!$C$7,IF(Tim!FH56=Sheet6!$C$8,Sheet6!$C$8,"")))))))</f>
        <v/>
      </c>
      <c r="BO54" s="53" t="str">
        <f>IF(Tim!FP56=Sheet6!$C$2,Sheet6!$C$2,IF(Tim!FP56=Sheet6!$C$3,Sheet6!$C$3,IF(Tim!FP56=Sheet6!$C$4,Sheet6!$C$4,IF(Tim!FP56=Sheet6!$C$5,Sheet6!$C$5,IF(Tim!FP56=Sheet6!$C$6,Sheet6!$C$6,IF(Tim!FP56=Sheet6!$C$7,Sheet6!$C$7,IF(Tim!FP56=Sheet6!$C$8,Sheet6!$C$8,"")))))))</f>
        <v/>
      </c>
      <c r="BP54" s="53" t="str">
        <f>IF(Tim!FQ56=Sheet6!$C$2,Sheet6!$C$2,IF(Tim!FQ56=Sheet6!$C$3,Sheet6!$C$3,IF(Tim!FQ56=Sheet6!$C$4,Sheet6!$C$4,IF(Tim!FQ56=Sheet6!$C$5,Sheet6!$C$5,IF(Tim!FQ56=Sheet6!$C$6,Sheet6!$C$6,IF(Tim!FQ56=Sheet6!$C$7,Sheet6!$C$7,IF(Tim!FQ56=Sheet6!$C$8,Sheet6!$C$8,"")))))))</f>
        <v/>
      </c>
      <c r="BQ54" s="53" t="str">
        <f>IF(Tim!FR56=Sheet6!$C$2,Sheet6!$C$2,IF(Tim!FR56=Sheet6!$C$3,Sheet6!$C$3,IF(Tim!FR56=Sheet6!$C$4,Sheet6!$C$4,IF(Tim!FR56=Sheet6!$C$5,Sheet6!$C$5,IF(Tim!FR56=Sheet6!$C$6,Sheet6!$C$6,IF(Tim!FR56=Sheet6!$C$7,Sheet6!$C$7,IF(Tim!FR56=Sheet6!$C$8,Sheet6!$C$8,"")))))))</f>
        <v/>
      </c>
      <c r="BR54" s="53" t="str">
        <f>IF(Tim!FS56=Sheet6!$C$2,Sheet6!$C$2,IF(Tim!FS56=Sheet6!$C$3,Sheet6!$C$3,IF(Tim!FS56=Sheet6!$C$4,Sheet6!$C$4,IF(Tim!FS56=Sheet6!$C$5,Sheet6!$C$5,IF(Tim!FS56=Sheet6!$C$6,Sheet6!$C$6,IF(Tim!FS56=Sheet6!$C$7,Sheet6!$C$7,IF(Tim!FS56=Sheet6!$C$8,Sheet6!$C$8,"")))))))</f>
        <v/>
      </c>
      <c r="BS54" s="53" t="str">
        <f>IF(Tim!FT56=Sheet6!$C$2,Sheet6!$C$2,IF(Tim!FT56=Sheet6!$C$3,Sheet6!$C$3,IF(Tim!FT56=Sheet6!$C$4,Sheet6!$C$4,IF(Tim!FT56=Sheet6!$C$5,Sheet6!$C$5,IF(Tim!FT56=Sheet6!$C$6,Sheet6!$C$6,IF(Tim!FT56=Sheet6!$C$7,Sheet6!$C$7,IF(Tim!FT56=Sheet6!$C$8,Sheet6!$C$8,"")))))))</f>
        <v/>
      </c>
      <c r="BT54" s="53" t="str">
        <f>IF(Tim!FU56=Sheet6!$C$2,Sheet6!$C$2,IF(Tim!FU56=Sheet6!$C$3,Sheet6!$C$3,IF(Tim!FU56=Sheet6!$C$4,Sheet6!$C$4,IF(Tim!FU56=Sheet6!$C$5,Sheet6!$C$5,IF(Tim!FU56=Sheet6!$C$6,Sheet6!$C$6,IF(Tim!FU56=Sheet6!$C$7,Sheet6!$C$7,IF(Tim!FU56=Sheet6!$C$8,Sheet6!$C$8,"")))))))</f>
        <v/>
      </c>
      <c r="BU54" s="53" t="str">
        <f>IF(Tim!FY56=Sheet6!$C$2,Sheet6!$C$2,IF(Tim!FY56=Sheet6!$C$3,Sheet6!$C$3,IF(Tim!FY56=Sheet6!$C$4,Sheet6!$C$4,IF(Tim!FY56=Sheet6!$C$5,Sheet6!$C$5,IF(Tim!FY56=Sheet6!$C$6,Sheet6!$C$6,IF(Tim!FY56=Sheet6!$C$7,Sheet6!$C$7,IF(Tim!FY56=Sheet6!$C$8,Sheet6!$C$8,"")))))))</f>
        <v/>
      </c>
      <c r="BV54" s="54" t="str">
        <f>IF(Tim!FZ56=Sheet6!$C$2,Sheet6!$C$2,IF(Tim!FZ56=Sheet6!$C$3,Sheet6!$C$3,IF(Tim!FZ56=Sheet6!$C$4,Sheet6!$C$4,IF(Tim!FZ56=Sheet6!$C$5,Sheet6!$C$5,IF(Tim!FZ56=Sheet6!$C$6,Sheet6!$C$6,IF(Tim!FZ56=Sheet6!$C$7,Sheet6!$C$7,IF(Tim!FZ56=Sheet6!$C$8,Sheet6!$C$8,"")))))))</f>
        <v/>
      </c>
      <c r="BW54" s="54" t="str">
        <f>IF(Tim!GA56=Sheet6!$C$2,Sheet6!$C$2,IF(Tim!GA56=Sheet6!$C$3,Sheet6!$C$3,IF(Tim!GA56=Sheet6!$C$4,Sheet6!$C$4,IF(Tim!GA56=Sheet6!$C$5,Sheet6!$C$5,IF(Tim!GA56=Sheet6!$C$6,Sheet6!$C$6,IF(Tim!GA56=Sheet6!$C$7,Sheet6!$C$7,IF(Tim!GA56=Sheet6!$C$8,Sheet6!$C$8,"")))))))</f>
        <v/>
      </c>
      <c r="BX54" s="57" t="str">
        <f>IF(Tim!GB56=Sheet6!$C$2,Sheet6!$C$2,IF(Tim!GB56=Sheet6!$C$3,Sheet6!$C$3,IF(Tim!GB56=Sheet6!$C$4,Sheet6!$C$4,IF(Tim!GB56=Sheet6!$C$5,Sheet6!$C$5,IF(Tim!GB56=Sheet6!$C$6,Sheet6!$C$6,IF(Tim!GB56=Sheet6!$C$7,Sheet6!$C$7,IF(Tim!GB56=Sheet6!$C$8,Sheet6!$C$8,"")))))))</f>
        <v/>
      </c>
      <c r="BY54" s="55" t="str">
        <f>IF(Tim!GC56=Sheet6!$C$2,Sheet6!$C$2,IF(Tim!GC56=Sheet6!$C$3,Sheet6!$C$3,IF(Tim!GC56=Sheet6!$C$4,Sheet6!$C$4,IF(Tim!GC56=Sheet6!$C$5,Sheet6!$C$5,IF(Tim!GC56=Sheet6!$C$6,Sheet6!$C$6,IF(Tim!GC56=Sheet6!$C$7,Sheet6!$C$7,IF(Tim!GC56=Sheet6!$C$8,Sheet6!$C$8,"")))))))</f>
        <v/>
      </c>
      <c r="BZ54" s="53" t="str">
        <f>IF(Tim!GD56=Sheet6!$C$2,Sheet6!$C$2,IF(Tim!GD56=Sheet6!$C$3,Sheet6!$C$3,IF(Tim!GD56=Sheet6!$C$4,Sheet6!$C$4,IF(Tim!GD56=Sheet6!$C$5,Sheet6!$C$5,IF(Tim!GD56=Sheet6!$C$6,Sheet6!$C$6,IF(Tim!GD56=Sheet6!$C$7,Sheet6!$C$7,IF(Tim!GD56=Sheet6!$C$8,Sheet6!$C$8,"")))))))</f>
        <v/>
      </c>
      <c r="CA54" s="53" t="str">
        <f>IF(Tim!GE56=Sheet6!$C$2,Sheet6!$C$2,IF(Tim!GE56=Sheet6!$C$3,Sheet6!$C$3,IF(Tim!GE56=Sheet6!$C$4,Sheet6!$C$4,IF(Tim!GE56=Sheet6!$C$5,Sheet6!$C$5,IF(Tim!GE56=Sheet6!$C$6,Sheet6!$C$6,IF(Tim!GE56=Sheet6!$C$7,Sheet6!$C$7,IF(Tim!GE56=Sheet6!$C$8,Sheet6!$C$8,"")))))))</f>
        <v/>
      </c>
      <c r="CB54" s="57" t="str">
        <f>IF(Tim!GI56=Sheet6!$C$2,Sheet6!$C$2,IF(Tim!GI56=Sheet6!$C$3,Sheet6!$C$3,IF(Tim!GI56=Sheet6!$C$4,Sheet6!$C$4,IF(Tim!GI56=Sheet6!$C$5,Sheet6!$C$5,IF(Tim!GI56=Sheet6!$C$6,Sheet6!$C$6,IF(Tim!GI56=Sheet6!$C$7,Sheet6!$C$7,IF(Tim!GI56=Sheet6!$C$8,Sheet6!$C$8,"")))))))</f>
        <v/>
      </c>
      <c r="CC54" s="57" t="str">
        <f>IF(Tim!GJ56=Sheet6!$C$2,Sheet6!$C$2,IF(Tim!GJ56=Sheet6!$C$3,Sheet6!$C$3,IF(Tim!GJ56=Sheet6!$C$4,Sheet6!$C$4,IF(Tim!GJ56=Sheet6!$C$5,Sheet6!$C$5,IF(Tim!GJ56=Sheet6!$C$6,Sheet6!$C$6,IF(Tim!GJ56=Sheet6!$C$7,Sheet6!$C$7,IF(Tim!GJ56=Sheet6!$C$8,Sheet6!$C$8,"")))))))</f>
        <v/>
      </c>
      <c r="CD54" s="57" t="str">
        <f>IF(Tim!GN56=Sheet6!$C$2,Sheet6!$C$2,IF(Tim!GN56=Sheet6!$C$3,Sheet6!$C$3,IF(Tim!GN56=Sheet6!$C$4,Sheet6!$C$4,IF(Tim!GN56=Sheet6!$C$5,Sheet6!$C$5,IF(Tim!GN56=Sheet6!$C$6,Sheet6!$C$6,IF(Tim!GN56=Sheet6!$C$7,Sheet6!$C$7,IF(Tim!GN56=Sheet6!$C$8,Sheet6!$C$8,"")))))))</f>
        <v/>
      </c>
      <c r="CE54" s="53" t="str">
        <f>IF(Tim!GY56=Sheet6!$C$2,Sheet6!$C$2,IF(Tim!GY56=Sheet6!$C$3,Sheet6!$C$3,IF(Tim!GY56=Sheet6!$C$4,Sheet6!$C$4,IF(Tim!GY56=Sheet6!$C$5,Sheet6!$C$5,IF(Tim!GY56=Sheet6!$C$6,Sheet6!$C$6,IF(Tim!GY56=Sheet6!$C$7,Sheet6!$C$7,IF(Tim!GY56=Sheet6!$C$8,Sheet6!$C$8,"")))))))</f>
        <v/>
      </c>
      <c r="CF54" s="53" t="str">
        <f>IF(Tim!GZ56=Sheet6!$C$2,Sheet6!$C$2,IF(Tim!GZ56=Sheet6!$C$3,Sheet6!$C$3,IF(Tim!GZ56=Sheet6!$C$4,Sheet6!$C$4,IF(Tim!GZ56=Sheet6!$C$5,Sheet6!$C$5,IF(Tim!GZ56=Sheet6!$C$6,Sheet6!$C$6,IF(Tim!GZ56=Sheet6!$C$7,Sheet6!$C$7,IF(Tim!GZ56=Sheet6!$C$8,Sheet6!$C$8,"")))))))</f>
        <v/>
      </c>
      <c r="CG54" s="53" t="str">
        <f>IF(Tim!HH56=Sheet6!$C$2,Sheet6!$C$2,IF(Tim!HH56=Sheet6!$C$3,Sheet6!$C$3,IF(Tim!HH56=Sheet6!$C$4,Sheet6!$C$4,IF(Tim!HH56=Sheet6!$C$5,Sheet6!$C$5,IF(Tim!HH56=Sheet6!$C$6,Sheet6!$C$6,IF(Tim!HH56=Sheet6!$C$7,Sheet6!$C$7,IF(Tim!HH56=Sheet6!$C$8,Sheet6!$C$8,"")))))))</f>
        <v/>
      </c>
      <c r="CH54" s="53" t="str">
        <f>IF(Tim!HI56=Sheet6!$C$2,Sheet6!$C$2,IF(Tim!HI56=Sheet6!$C$3,Sheet6!$C$3,IF(Tim!HI56=Sheet6!$C$4,Sheet6!$C$4,IF(Tim!HI56=Sheet6!$C$5,Sheet6!$C$5,IF(Tim!HI56=Sheet6!$C$6,Sheet6!$C$6,IF(Tim!HI56=Sheet6!$C$7,Sheet6!$C$7,IF(Tim!HI56=Sheet6!$C$8,Sheet6!$C$8,"")))))))</f>
        <v/>
      </c>
      <c r="CI54" s="53" t="str">
        <f>IF(Tim!HJ56=Sheet6!$C$2,Sheet6!$C$2,IF(Tim!HJ56=Sheet6!$C$3,Sheet6!$C$3,IF(Tim!HJ56=Sheet6!$C$4,Sheet6!$C$4,IF(Tim!HJ56=Sheet6!$C$5,Sheet6!$C$5,IF(Tim!HJ56=Sheet6!$C$6,Sheet6!$C$6,IF(Tim!HJ56=Sheet6!$C$7,Sheet6!$C$7,IF(Tim!HJ56=Sheet6!$C$8,Sheet6!$C$8,"")))))))</f>
        <v/>
      </c>
      <c r="CJ54" s="53" t="str">
        <f>IF(Tim!HK56=Sheet6!$C$2,Sheet6!$C$2,IF(Tim!HK56=Sheet6!$C$3,Sheet6!$C$3,IF(Tim!HK56=Sheet6!$C$4,Sheet6!$C$4,IF(Tim!HK56=Sheet6!$C$5,Sheet6!$C$5,IF(Tim!HK56=Sheet6!$C$6,Sheet6!$C$6,IF(Tim!HK56=Sheet6!$C$7,Sheet6!$C$7,IF(Tim!HK56=Sheet6!$C$8,Sheet6!$C$8,"")))))))</f>
        <v/>
      </c>
      <c r="CK54" s="53" t="str">
        <f>IF(Tim!HL56=Sheet6!$C$2,Sheet6!$C$2,IF(Tim!HL56=Sheet6!$C$3,Sheet6!$C$3,IF(Tim!HL56=Sheet6!$C$4,Sheet6!$C$4,IF(Tim!HL56=Sheet6!$C$5,Sheet6!$C$5,IF(Tim!HL56=Sheet6!$C$6,Sheet6!$C$6,IF(Tim!HL56=Sheet6!$C$7,Sheet6!$C$7,IF(Tim!HL56=Sheet6!$C$8,Sheet6!$C$8,"")))))))</f>
        <v/>
      </c>
      <c r="CL54" s="53" t="str">
        <f>IF(Tim!HM56=Sheet6!$C$2,Sheet6!$C$2,IF(Tim!HM56=Sheet6!$C$3,Sheet6!$C$3,IF(Tim!HM56=Sheet6!$C$4,Sheet6!$C$4,IF(Tim!HM56=Sheet6!$C$5,Sheet6!$C$5,IF(Tim!HM56=Sheet6!$C$6,Sheet6!$C$6,IF(Tim!HM56=Sheet6!$C$7,Sheet6!$C$7,IF(Tim!HM56=Sheet6!$C$8,Sheet6!$C$8,"")))))))</f>
        <v/>
      </c>
      <c r="CM54" s="53" t="str">
        <f>IF(Tim!HQ56=Sheet6!$C$2,Sheet6!$C$2,IF(Tim!HQ56=Sheet6!$C$3,Sheet6!$C$3,IF(Tim!HQ56=Sheet6!$C$4,Sheet6!$C$4,IF(Tim!HQ56=Sheet6!$C$5,Sheet6!$C$5,IF(Tim!HQ56=Sheet6!$C$6,Sheet6!$C$6,IF(Tim!HQ56=Sheet6!$C$7,Sheet6!$C$7,IF(Tim!HQ56=Sheet6!$C$8,Sheet6!$C$8,"")))))))</f>
        <v/>
      </c>
      <c r="CN54" s="54" t="str">
        <f>IF(Tim!HR56=Sheet6!$C$2,Sheet6!$C$2,IF(Tim!HR56=Sheet6!$C$3,Sheet6!$C$3,IF(Tim!HR56=Sheet6!$C$4,Sheet6!$C$4,IF(Tim!HR56=Sheet6!$C$5,Sheet6!$C$5,IF(Tim!HR56=Sheet6!$C$6,Sheet6!$C$6,IF(Tim!HR56=Sheet6!$C$7,Sheet6!$C$7,IF(Tim!HR56=Sheet6!$C$8,Sheet6!$C$8,"")))))))</f>
        <v/>
      </c>
      <c r="CO54" s="54" t="str">
        <f>IF(Tim!HS56=Sheet6!$C$2,Sheet6!$C$2,IF(Tim!HS56=Sheet6!$C$3,Sheet6!$C$3,IF(Tim!HS56=Sheet6!$C$4,Sheet6!$C$4,IF(Tim!HS56=Sheet6!$C$5,Sheet6!$C$5,IF(Tim!HS56=Sheet6!$C$6,Sheet6!$C$6,IF(Tim!HS56=Sheet6!$C$7,Sheet6!$C$7,IF(Tim!HS56=Sheet6!$C$8,Sheet6!$C$8,"")))))))</f>
        <v/>
      </c>
      <c r="CP54" s="54" t="str">
        <f>IF(Tim!HT56=Sheet6!$C$2,Sheet6!$C$2,IF(Tim!HT56=Sheet6!$C$3,Sheet6!$C$3,IF(Tim!HT56=Sheet6!$C$4,Sheet6!$C$4,IF(Tim!HT56=Sheet6!$C$5,Sheet6!$C$5,IF(Tim!HT56=Sheet6!$C$6,Sheet6!$C$6,IF(Tim!HT56=Sheet6!$C$7,Sheet6!$C$7,IF(Tim!HT56=Sheet6!$C$8,Sheet6!$C$8,"")))))))</f>
        <v/>
      </c>
      <c r="CQ54" s="55" t="str">
        <f>IF(Tim!HU56=Sheet6!$C$2,Sheet6!$C$2,IF(Tim!HU56=Sheet6!$C$3,Sheet6!$C$3,IF(Tim!HU56=Sheet6!$C$4,Sheet6!$C$4,IF(Tim!HU56=Sheet6!$C$5,Sheet6!$C$5,IF(Tim!HU56=Sheet6!$C$6,Sheet6!$C$6,IF(Tim!HU56=Sheet6!$C$7,Sheet6!$C$7,IF(Tim!HU56=Sheet6!$C$8,Sheet6!$C$8,"")))))))</f>
        <v/>
      </c>
      <c r="CR54" s="56" t="str">
        <f>IF(Tim!HV56=Sheet6!$C$2,Sheet6!$C$2,IF(Tim!HV56=Sheet6!$C$3,Sheet6!$C$3,IF(Tim!HV56=Sheet6!$C$4,Sheet6!$C$4,IF(Tim!HV56=Sheet6!$C$5,Sheet6!$C$5,IF(Tim!HV56=Sheet6!$C$6,Sheet6!$C$6,IF(Tim!HV56=Sheet6!$C$7,Sheet6!$C$7,IF(Tim!HV56=Sheet6!$C$8,Sheet6!$C$8,"")))))))</f>
        <v/>
      </c>
      <c r="CS54" s="57" t="str">
        <f>IF(Tim!IB56=Sheet6!$C$2,Sheet6!$C$2,IF(Tim!IB56=Sheet6!$C$3,Sheet6!$C$3,IF(Tim!IB56=Sheet6!$C$4,Sheet6!$C$4,IF(Tim!IB56=Sheet6!$C$5,Sheet6!$C$5,IF(Tim!IB56=Sheet6!$C$6,Sheet6!$C$6,IF(Tim!IB56=Sheet6!$C$7,Sheet6!$C$7,IF(Tim!IB56=Sheet6!$C$8,Sheet6!$C$8,"")))))))</f>
        <v/>
      </c>
      <c r="CT54" s="65" t="str">
        <f>IF(Tim!IJ56=Sheet6!$C$2,Sheet6!$C$2,IF(Tim!IJ56=Sheet6!$C$3,Sheet6!$C$3,IF(Tim!IJ56=Sheet6!$C$4,Sheet6!$C$4,IF(Tim!IJ56=Sheet6!$C$5,Sheet6!$C$5,IF(Tim!IJ56=Sheet6!$C$6,Sheet6!$C$6,IF(Tim!IJ56=Sheet6!$C$7,Sheet6!$C$7,IF(Tim!IJ56=Sheet6!$C$8,Sheet6!$C$8,"")))))))</f>
        <v/>
      </c>
      <c r="CU54" s="65" t="str">
        <f>IF(Tim!IQ56=Sheet6!$C$2,Sheet6!$C$2,IF(Tim!IQ56=Sheet6!$C$3,Sheet6!$C$3,IF(Tim!IQ56=Sheet6!$C$4,Sheet6!$C$4,IF(Tim!IQ56=Sheet6!$C$5,Sheet6!$C$5,IF(Tim!IQ56=Sheet6!$C$6,Sheet6!$C$6,IF(Tim!IQ56=Sheet6!$C$7,Sheet6!$C$7,IF(Tim!IQ56=Sheet6!$C$8,Sheet6!$C$8,"")))))))</f>
        <v/>
      </c>
      <c r="CV54" s="53" t="str">
        <f>IF(Tim!IR56=Sheet6!$C$2,Sheet6!$C$2,IF(Tim!IR56=Sheet6!$C$3,Sheet6!$C$3,IF(Tim!IR56=Sheet6!$C$4,Sheet6!$C$4,IF(Tim!IR56=Sheet6!$C$5,Sheet6!$C$5,IF(Tim!IR56=Sheet6!$C$6,Sheet6!$C$6,IF(Tim!IR56=Sheet6!$C$7,Sheet6!$C$7,IF(Tim!IR56=Sheet6!$C$8,Sheet6!$C$8,"")))))))</f>
        <v/>
      </c>
      <c r="CW54" s="53" t="str">
        <f>IF(Tim!IZ56=Sheet6!$C$2,Sheet6!$C$2,IF(Tim!IZ56=Sheet6!$C$3,Sheet6!$C$3,IF(Tim!IZ56=Sheet6!$C$4,Sheet6!$C$4,IF(Tim!IZ56=Sheet6!$C$5,Sheet6!$C$5,IF(Tim!IZ56=Sheet6!$C$6,Sheet6!$C$6,IF(Tim!IZ56=Sheet6!$C$7,Sheet6!$C$7,IF(Tim!IZ56=Sheet6!$C$8,Sheet6!$C$8,"")))))))</f>
        <v/>
      </c>
      <c r="CX54" s="53" t="str">
        <f>IF(Tim!JA56=Sheet6!$C$2,Sheet6!$C$2,IF(Tim!JA56=Sheet6!$C$3,Sheet6!$C$3,IF(Tim!JA56=Sheet6!$C$4,Sheet6!$C$4,IF(Tim!JA56=Sheet6!$C$5,Sheet6!$C$5,IF(Tim!JA56=Sheet6!$C$6,Sheet6!$C$6,IF(Tim!JA56=Sheet6!$C$7,Sheet6!$C$7,IF(Tim!JA56=Sheet6!$C$8,Sheet6!$C$8,"")))))))</f>
        <v/>
      </c>
      <c r="CY54" s="53" t="str">
        <f>IF(Tim!JB56=Sheet6!$C$2,Sheet6!$C$2,IF(Tim!JB56=Sheet6!$C$3,Sheet6!$C$3,IF(Tim!JB56=Sheet6!$C$4,Sheet6!$C$4,IF(Tim!JB56=Sheet6!$C$5,Sheet6!$C$5,IF(Tim!JB56=Sheet6!$C$6,Sheet6!$C$6,IF(Tim!JB56=Sheet6!$C$7,Sheet6!$C$7,IF(Tim!JB56=Sheet6!$C$8,Sheet6!$C$8,"")))))))</f>
        <v/>
      </c>
      <c r="CZ54" s="53" t="str">
        <f>IF(Tim!JC56=Sheet6!$C$2,Sheet6!$C$2,IF(Tim!JC56=Sheet6!$C$3,Sheet6!$C$3,IF(Tim!JC56=Sheet6!$C$4,Sheet6!$C$4,IF(Tim!JC56=Sheet6!$C$5,Sheet6!$C$5,IF(Tim!JC56=Sheet6!$C$6,Sheet6!$C$6,IF(Tim!JC56=Sheet6!$C$7,Sheet6!$C$7,IF(Tim!JC56=Sheet6!$C$8,Sheet6!$C$8,"")))))))</f>
        <v/>
      </c>
      <c r="DA54" s="53" t="str">
        <f>IF(Tim!JD56=Sheet6!$C$2,Sheet6!$C$2,IF(Tim!JD56=Sheet6!$C$3,Sheet6!$C$3,IF(Tim!JD56=Sheet6!$C$4,Sheet6!$C$4,IF(Tim!JD56=Sheet6!$C$5,Sheet6!$C$5,IF(Tim!JD56=Sheet6!$C$6,Sheet6!$C$6,IF(Tim!JD56=Sheet6!$C$7,Sheet6!$C$7,IF(Tim!JD56=Sheet6!$C$8,Sheet6!$C$8,"")))))))</f>
        <v/>
      </c>
      <c r="DB54" s="53" t="str">
        <f>IF(Tim!JE56=Sheet6!$C$2,Sheet6!$C$2,IF(Tim!JE56=Sheet6!$C$3,Sheet6!$C$3,IF(Tim!JE56=Sheet6!$C$4,Sheet6!$C$4,IF(Tim!JE56=Sheet6!$C$5,Sheet6!$C$5,IF(Tim!JE56=Sheet6!$C$6,Sheet6!$C$6,IF(Tim!JE56=Sheet6!$C$7,Sheet6!$C$7,IF(Tim!JE56=Sheet6!$C$8,Sheet6!$C$8,"")))))))</f>
        <v/>
      </c>
      <c r="DC54" s="53" t="str">
        <f>IF(Tim!JI56=Sheet6!$C$2,Sheet6!$C$2,IF(Tim!JI56=Sheet6!$C$3,Sheet6!$C$3,IF(Tim!JI56=Sheet6!$C$4,Sheet6!$C$4,IF(Tim!JI56=Sheet6!$C$5,Sheet6!$C$5,IF(Tim!JI56=Sheet6!$C$6,Sheet6!$C$6,IF(Tim!JI56=Sheet6!$C$7,Sheet6!$C$7,IF(Tim!JI56=Sheet6!$C$8,Sheet6!$C$8,"")))))))</f>
        <v/>
      </c>
      <c r="DD54" s="54" t="str">
        <f>IF(Tim!JJ56=Sheet6!$C$2,Sheet6!$C$2,IF(Tim!JJ56=Sheet6!$C$3,Sheet6!$C$3,IF(Tim!JJ56=Sheet6!$C$4,Sheet6!$C$4,IF(Tim!JJ56=Sheet6!$C$5,Sheet6!$C$5,IF(Tim!JJ56=Sheet6!$C$6,Sheet6!$C$6,IF(Tim!JJ56=Sheet6!$C$7,Sheet6!$C$7,IF(Tim!JJ56=Sheet6!$C$8,Sheet6!$C$8,"")))))))</f>
        <v/>
      </c>
      <c r="DE54" s="54" t="str">
        <f>IF(Tim!JK56=Sheet6!$C$2,Sheet6!$C$2,IF(Tim!JK56=Sheet6!$C$3,Sheet6!$C$3,IF(Tim!JK56=Sheet6!$C$4,Sheet6!$C$4,IF(Tim!JK56=Sheet6!$C$5,Sheet6!$C$5,IF(Tim!JK56=Sheet6!$C$6,Sheet6!$C$6,IF(Tim!JK56=Sheet6!$C$7,Sheet6!$C$7,IF(Tim!JK56=Sheet6!$C$8,Sheet6!$C$8,"")))))))</f>
        <v/>
      </c>
      <c r="DF54" s="54" t="str">
        <f>IF(Tim!JL56=Sheet6!$C$2,Sheet6!$C$2,IF(Tim!JL56=Sheet6!$C$3,Sheet6!$C$3,IF(Tim!JL56=Sheet6!$C$4,Sheet6!$C$4,IF(Tim!JL56=Sheet6!$C$5,Sheet6!$C$5,IF(Tim!JL56=Sheet6!$C$6,Sheet6!$C$6,IF(Tim!JL56=Sheet6!$C$7,Sheet6!$C$7,IF(Tim!JL56=Sheet6!$C$8,Sheet6!$C$8,"")))))))</f>
        <v/>
      </c>
      <c r="DG54" s="55" t="str">
        <f>IF(Tim!JM56=Sheet6!$C$2,Sheet6!$C$2,IF(Tim!JM56=Sheet6!$C$3,Sheet6!$C$3,IF(Tim!JM56=Sheet6!$C$4,Sheet6!$C$4,IF(Tim!JM56=Sheet6!$C$5,Sheet6!$C$5,IF(Tim!JM56=Sheet6!$C$6,Sheet6!$C$6,IF(Tim!JM56=Sheet6!$C$7,Sheet6!$C$7,IF(Tim!JM56=Sheet6!$C$8,Sheet6!$C$8,"")))))))</f>
        <v/>
      </c>
      <c r="DH54" s="422"/>
      <c r="DI54" s="423"/>
      <c r="DJ54" s="423"/>
      <c r="DK54" s="423"/>
      <c r="DL54" s="423"/>
      <c r="DM54" s="423"/>
      <c r="DN54" s="423"/>
      <c r="DO54" s="423"/>
      <c r="DP54" s="423"/>
      <c r="DQ54" s="423"/>
      <c r="DR54" s="423"/>
      <c r="DS54" s="423"/>
      <c r="DT54" s="423"/>
      <c r="DU54" s="423"/>
      <c r="DV54" s="423"/>
      <c r="DW54" s="424"/>
      <c r="DX54" s="52">
        <v>0.80208333333333204</v>
      </c>
    </row>
    <row r="55" spans="2:128" ht="10.5" customHeight="1">
      <c r="B55" s="51">
        <v>0.25</v>
      </c>
      <c r="C55" s="51">
        <v>0.25</v>
      </c>
      <c r="D55" s="51">
        <v>0.25</v>
      </c>
      <c r="E55" s="52">
        <v>0.812499999999998</v>
      </c>
      <c r="F55" s="53" t="str">
        <f>IF(Tim!F57=Sheet6!$C$2,Sheet6!$C$2,IF(Tim!F57=Sheet6!$C$3,Sheet6!$C$3,IF(Tim!F57=Sheet6!$C$4,Sheet6!$C$4,IF(Tim!F57=Sheet6!$C$5,Sheet6!$C$5,IF(Tim!F57=Sheet6!$C$6,Sheet6!$C$6,IF(Tim!F57=Sheet6!$C$7,Sheet6!$C$7,IF(Tim!F57=Sheet6!$C$8,Sheet6!$C$8,"")))))))</f>
        <v/>
      </c>
      <c r="G55" s="53" t="str">
        <f>IF(Tim!M57=Sheet6!$C$2,Sheet6!$C$2,IF(Tim!M57=Sheet6!$C$3,Sheet6!$C$3,IF(Tim!M57=Sheet6!$C$4,Sheet6!$C$4,IF(Tim!M57=Sheet6!$C$5,Sheet6!$C$5,IF(Tim!M57=Sheet6!$C$6,Sheet6!$C$6,IF(Tim!M57=Sheet6!$C$7,Sheet6!$C$7,IF(Tim!M57=Sheet6!$C$8,Sheet6!$C$8,"")))))))</f>
        <v/>
      </c>
      <c r="H55" s="53" t="str">
        <f>IF(Tim!H57=Sheet6!$C$2,Sheet6!$C$2,IF(Tim!H57=Sheet6!$C$3,Sheet6!$C$3,IF(Tim!H57=Sheet6!$C$4,Sheet6!$C$4,IF(Tim!H57=Sheet6!$C$5,Sheet6!$C$5,IF(Tim!H57=Sheet6!$C$6,Sheet6!$C$6,IF(Tim!H57=Sheet6!$C$7,Sheet6!$C$7,IF(Tim!H57=Sheet6!$C$8,Sheet6!$C$8,"")))))))</f>
        <v/>
      </c>
      <c r="I55" s="53" t="str">
        <f>IF(Tim!L57=Sheet6!$C$2,Sheet6!$C$2,IF(Tim!L57=Sheet6!$C$3,Sheet6!$C$3,IF(Tim!L57=Sheet6!$C$4,Sheet6!$C$4,IF(Tim!L57=Sheet6!$C$5,Sheet6!$C$5,IF(Tim!L57=Sheet6!$C$6,Sheet6!$C$6,IF(Tim!L57=Sheet6!$C$7,Sheet6!$C$7,IF(Tim!L57=Sheet6!$C$8,Sheet6!$C$8,"")))))))</f>
        <v/>
      </c>
      <c r="J55" s="53" t="str">
        <f>IF(Tim!T57=Sheet6!$C$2,Sheet6!$C$2,IF(Tim!T57=Sheet6!$C$3,Sheet6!$C$3,IF(Tim!T57=Sheet6!$C$4,Sheet6!$C$4,IF(Tim!T57=Sheet6!$C$5,Sheet6!$C$5,IF(Tim!T57=Sheet6!$C$6,Sheet6!$C$6,IF(Tim!T57=Sheet6!$C$7,Sheet6!$C$7,IF(Tim!T57=Sheet6!$C$8,Sheet6!$C$8,"")))))))</f>
        <v/>
      </c>
      <c r="K55" s="53" t="str">
        <f>IF(Tim!AB57=Sheet6!$C$2,Sheet6!$C$2,IF(Tim!AB57=Sheet6!$C$3,Sheet6!$C$3,IF(Tim!AB57=Sheet6!$C$4,Sheet6!$C$4,IF(Tim!AB57=Sheet6!$C$5,Sheet6!$C$5,IF(Tim!AB57=Sheet6!$C$6,Sheet6!$C$6,IF(Tim!AB57=Sheet6!$C$7,Sheet6!$C$7,IF(Tim!AB57=Sheet6!$C$8,Sheet6!$C$8,"")))))))</f>
        <v/>
      </c>
      <c r="L55" s="53" t="str">
        <f>IF(Tim!AC57=Sheet6!$C$2,Sheet6!$C$2,IF(Tim!AC57=Sheet6!$C$3,Sheet6!$C$3,IF(Tim!AC57=Sheet6!$C$4,Sheet6!$C$4,IF(Tim!AC57=Sheet6!$C$5,Sheet6!$C$5,IF(Tim!AC57=Sheet6!$C$6,Sheet6!$C$6,IF(Tim!AC57=Sheet6!$C$7,Sheet6!$C$7,IF(Tim!AC57=Sheet6!$C$8,Sheet6!$C$8,"")))))))</f>
        <v/>
      </c>
      <c r="M55" s="53" t="str">
        <f>IF(Tim!AJ57=Sheet6!$C$2,Sheet6!$C$2,IF(Tim!AJ57=Sheet6!$C$3,Sheet6!$C$3,IF(Tim!AJ57=Sheet6!$C$4,Sheet6!$C$4,IF(Tim!AJ57=Sheet6!$C$5,Sheet6!$C$5,IF(Tim!AJ57=Sheet6!$C$6,Sheet6!$C$6,IF(Tim!AJ57=Sheet6!$C$7,Sheet6!$C$7,IF(Tim!AJ57=Sheet6!$C$8,Sheet6!$C$8,"")))))))</f>
        <v/>
      </c>
      <c r="N55" s="53" t="str">
        <f>IF(Tim!AK57=Sheet6!$C$2,Sheet6!$C$2,IF(Tim!AK57=Sheet6!$C$3,Sheet6!$C$3,IF(Tim!AK57=Sheet6!$C$4,Sheet6!$C$4,IF(Tim!AK57=Sheet6!$C$5,Sheet6!$C$5,IF(Tim!AK57=Sheet6!$C$6,Sheet6!$C$6,IF(Tim!AK57=Sheet6!$C$7,Sheet6!$C$7,IF(Tim!AK57=Sheet6!$C$8,Sheet6!$C$8,"")))))))</f>
        <v/>
      </c>
      <c r="O55" s="53" t="str">
        <f>IF(Tim!AL57=Sheet6!$C$2,Sheet6!$C$2,IF(Tim!AL57=Sheet6!$C$3,Sheet6!$C$3,IF(Tim!AL57=Sheet6!$C$4,Sheet6!$C$4,IF(Tim!AL57=Sheet6!$C$5,Sheet6!$C$5,IF(Tim!AL57=Sheet6!$C$6,Sheet6!$C$6,IF(Tim!AL57=Sheet6!$C$7,Sheet6!$C$7,IF(Tim!AL57=Sheet6!$C$8,Sheet6!$C$8,"")))))))</f>
        <v/>
      </c>
      <c r="P55" s="53" t="str">
        <f>IF(Tim!AN57=Sheet6!$C$2,Sheet6!$C$2,IF(Tim!AN57=Sheet6!$C$3,Sheet6!$C$3,IF(Tim!AN57=Sheet6!$C$4,Sheet6!$C$4,IF(Tim!AN57=Sheet6!$C$5,Sheet6!$C$5,IF(Tim!AN57=Sheet6!$C$6,Sheet6!$C$6,IF(Tim!AN57=Sheet6!$C$7,Sheet6!$C$7,IF(Tim!AN57=Sheet6!$C$8,Sheet6!$C$8,"")))))))</f>
        <v/>
      </c>
      <c r="Q55" s="176" t="str">
        <f>IF(Tim!AO57=Sheet6!$C$2,Sheet6!$C$2,IF(Tim!AO57=Sheet6!$C$3,Sheet6!$C$3,IF(Tim!AO57=Sheet6!$C$4,Sheet6!$C$4,IF(Tim!AO57=Sheet6!$C$5,Sheet6!$C$5,IF(Tim!AO57=Sheet6!$C$6,Sheet6!$C$6,IF(Tim!AO57=Sheet6!$C$7,Sheet6!$C$7,IF(Tim!AO57=Sheet6!$C$8,Sheet6!$C$8,"")))))))</f>
        <v/>
      </c>
      <c r="R55" s="53" t="str">
        <f>IF(Tim!AP57=Sheet6!$C$2,Sheet6!$C$2,IF(Tim!AP57=Sheet6!$C$3,Sheet6!$C$3,IF(Tim!AP57=Sheet6!$C$4,Sheet6!$C$4,IF(Tim!AP57=Sheet6!$C$5,Sheet6!$C$5,IF(Tim!AP57=Sheet6!$C$6,Sheet6!$C$6,IF(Tim!AP57=Sheet6!$C$7,Sheet6!$C$7,IF(Tim!AP57=Sheet6!$C$8,Sheet6!$C$8,"")))))))</f>
        <v/>
      </c>
      <c r="S55" s="53" t="str">
        <f>IF(Tim!AT57=Sheet6!$C$2,Sheet6!$C$2,IF(Tim!AT57=Sheet6!$C$3,Sheet6!$C$3,IF(Tim!AT57=Sheet6!$C$4,Sheet6!$C$4,IF(Tim!AT57=Sheet6!$C$5,Sheet6!$C$5,IF(Tim!AT57=Sheet6!$C$6,Sheet6!$C$6,IF(Tim!AT57=Sheet6!$C$7,Sheet6!$C$7,IF(Tim!AT57=Sheet6!$C$8,Sheet6!$C$8,"")))))))</f>
        <v/>
      </c>
      <c r="T55" s="54" t="str">
        <f>IF(Tim!AU57=Sheet6!$C$2,Sheet6!$C$2,IF(Tim!AU57=Sheet6!$C$3,Sheet6!$C$3,IF(Tim!AU57=Sheet6!$C$4,Sheet6!$C$4,IF(Tim!AU57=Sheet6!$C$5,Sheet6!$C$5,IF(Tim!AU57=Sheet6!$C$6,Sheet6!$C$6,IF(Tim!AU57=Sheet6!$C$7,Sheet6!$C$7,IF(Tim!AU57=Sheet6!$C$8,Sheet6!$C$8,"")))))))</f>
        <v/>
      </c>
      <c r="U55" s="54" t="str">
        <f>IF(Tim!AV57=Sheet6!$C$2,Sheet6!$C$2,IF(Tim!AV57=Sheet6!$C$3,Sheet6!$C$3,IF(Tim!AV57=Sheet6!$C$4,Sheet6!$C$4,IF(Tim!AV57=Sheet6!$C$5,Sheet6!$C$5,IF(Tim!AV57=Sheet6!$C$6,Sheet6!$C$6,IF(Tim!AV57=Sheet6!$C$7,Sheet6!$C$7,IF(Tim!AV57=Sheet6!$C$8,Sheet6!$C$8,"")))))))</f>
        <v/>
      </c>
      <c r="V55" s="54" t="str">
        <f>IF(Tim!AW57=Sheet6!$C$2,Sheet6!$C$2,IF(Tim!AW57=Sheet6!$C$3,Sheet6!$C$3,IF(Tim!AW57=Sheet6!$C$4,Sheet6!$C$4,IF(Tim!AW57=Sheet6!$C$5,Sheet6!$C$5,IF(Tim!AW57=Sheet6!$C$6,Sheet6!$C$6,IF(Tim!AW57=Sheet6!$C$7,Sheet6!$C$7,IF(Tim!AW57=Sheet6!$C$8,Sheet6!$C$8,"")))))))</f>
        <v/>
      </c>
      <c r="W55" s="55" t="str">
        <f>IF(Tim!AX57=Sheet6!$C$2,Sheet6!$C$2,IF(Tim!AX57=Sheet6!$C$3,Sheet6!$C$3,IF(Tim!AX57=Sheet6!$C$4,Sheet6!$C$4,IF(Tim!AX57=Sheet6!$C$5,Sheet6!$C$5,IF(Tim!AX57=Sheet6!$C$6,Sheet6!$C$6,IF(Tim!AX57=Sheet6!$C$7,Sheet6!$C$7,IF(Tim!AX57=Sheet6!$C$8,Sheet6!$C$8,"")))))))</f>
        <v/>
      </c>
      <c r="X55" s="53" t="str">
        <f>IF(Tim!AY57=Sheet6!$C$2,Sheet6!$C$2,IF(Tim!AY57=Sheet6!$C$3,Sheet6!$C$3,IF(Tim!AY57=Sheet6!$C$4,Sheet6!$C$4,IF(Tim!AY57=Sheet6!$C$5,Sheet6!$C$5,IF(Tim!AY57=Sheet6!$C$6,Sheet6!$C$6,IF(Tim!AY57=Sheet6!$C$7,Sheet6!$C$7,IF(Tim!AY57=Sheet6!$C$8,Sheet6!$C$8,"")))))))</f>
        <v/>
      </c>
      <c r="Y55" s="57" t="str">
        <f>IF(Tim!AZ57=Sheet6!$C$2,Sheet6!$C$2,IF(Tim!AZ57=Sheet6!$C$3,Sheet6!$C$3,IF(Tim!AZ57=Sheet6!$C$4,Sheet6!$C$4,IF(Tim!AZ57=Sheet6!$C$5,Sheet6!$C$5,IF(Tim!AZ57=Sheet6!$C$6,Sheet6!$C$6,IF(Tim!AZ57=Sheet6!$C$7,Sheet6!$C$7,IF(Tim!AZ57=Sheet6!$C$8,Sheet6!$C$8,"")))))))</f>
        <v/>
      </c>
      <c r="Z55" s="57" t="str">
        <f>IF(Tim!BD57=Sheet6!$C$2,Sheet6!$C$2,IF(Tim!BD57=Sheet6!$C$3,Sheet6!$C$3,IF(Tim!BD57=Sheet6!$C$4,Sheet6!$C$4,IF(Tim!BD57=Sheet6!$C$5,Sheet6!$C$5,IF(Tim!BD57=Sheet6!$C$6,Sheet6!$C$6,IF(Tim!BD57=Sheet6!$C$7,Sheet6!$C$7,IF(Tim!BD57=Sheet6!$C$8,Sheet6!$C$8,"")))))))</f>
        <v/>
      </c>
      <c r="AA55" s="57" t="str">
        <f>IF(Tim!BE57=Sheet6!$C$2,Sheet6!$C$2,IF(Tim!BE57=Sheet6!$C$3,Sheet6!$C$3,IF(Tim!BE57=Sheet6!$C$4,Sheet6!$C$4,IF(Tim!BE57=Sheet6!$C$5,Sheet6!$C$5,IF(Tim!BE57=Sheet6!$C$6,Sheet6!$C$6,IF(Tim!BE57=Sheet6!$C$7,Sheet6!$C$7,IF(Tim!BE57=Sheet6!$C$8,Sheet6!$C$8,"")))))))</f>
        <v/>
      </c>
      <c r="AB55" s="57" t="str">
        <f>IF(Tim!BL57=Sheet6!$C$2,Sheet6!$C$2,IF(Tim!BL57=Sheet6!$C$3,Sheet6!$C$3,IF(Tim!BL57=Sheet6!$C$4,Sheet6!$C$4,IF(Tim!BL57=Sheet6!$C$5,Sheet6!$C$5,IF(Tim!BL57=Sheet6!$C$6,Sheet6!$C$6,IF(Tim!BL57=Sheet6!$C$7,Sheet6!$C$7,IF(Tim!BL57=Sheet6!$C$8,Sheet6!$C$8,"")))))))</f>
        <v/>
      </c>
      <c r="AC55" s="53" t="str">
        <f>IF(Tim!BT57=Sheet6!$C$2,Sheet6!$C$2,IF(Tim!BT57=Sheet6!$C$3,Sheet6!$C$3,IF(Tim!BT57=Sheet6!$C$4,Sheet6!$C$4,IF(Tim!BT57=Sheet6!$C$5,Sheet6!$C$5,IF(Tim!BT57=Sheet6!$C$6,Sheet6!$C$6,IF(Tim!BT57=Sheet6!$C$7,Sheet6!$C$7,IF(Tim!BT57=Sheet6!$C$8,Sheet6!$C$8,"")))))))</f>
        <v/>
      </c>
      <c r="AD55" s="53" t="str">
        <f>IF(Tim!BU57=Sheet6!$C$2,Sheet6!$C$2,IF(Tim!BU57=Sheet6!$C$3,Sheet6!$C$3,IF(Tim!BU57=Sheet6!$C$4,Sheet6!$C$4,IF(Tim!BU57=Sheet6!$C$5,Sheet6!$C$5,IF(Tim!BU57=Sheet6!$C$6,Sheet6!$C$6,IF(Tim!BU57=Sheet6!$C$7,Sheet6!$C$7,IF(Tim!BU57=Sheet6!$C$8,Sheet6!$C$8,"")))))))</f>
        <v/>
      </c>
      <c r="AE55" s="53" t="str">
        <f>IF(Tim!CB57=Sheet6!$C$2,Sheet6!$C$2,IF(Tim!CB57=Sheet6!$C$3,Sheet6!$C$3,IF(Tim!CB57=Sheet6!$C$4,Sheet6!$C$4,IF(Tim!CB57=Sheet6!$C$5,Sheet6!$C$5,IF(Tim!CB57=Sheet6!$C$6,Sheet6!$C$6,IF(Tim!CB57=Sheet6!$C$7,Sheet6!$C$7,IF(Tim!CB57=Sheet6!$C$8,Sheet6!$C$8,"")))))))</f>
        <v/>
      </c>
      <c r="AF55" s="53" t="str">
        <f>IF(Tim!CD57=Sheet6!$C$2,Sheet6!$C$2,IF(Tim!CD57=Sheet6!$C$3,Sheet6!$C$3,IF(Tim!CD57=Sheet6!$C$4,Sheet6!$C$4,IF(Tim!CD57=Sheet6!$C$5,Sheet6!$C$5,IF(Tim!CD57=Sheet6!$C$6,Sheet6!$C$6,IF(Tim!CD57=Sheet6!$C$7,Sheet6!$C$7,IF(Tim!CD57=Sheet6!$C$8,Sheet6!$C$8,"")))))))</f>
        <v/>
      </c>
      <c r="AG55" s="53" t="str">
        <f>IF(Tim!CE57=Sheet6!$C$2,Sheet6!$C$2,IF(Tim!CE57=Sheet6!$C$3,Sheet6!$C$3,IF(Tim!CE57=Sheet6!$C$4,Sheet6!$C$4,IF(Tim!CE57=Sheet6!$C$5,Sheet6!$C$5,IF(Tim!CE57=Sheet6!$C$6,Sheet6!$C$6,IF(Tim!CE57=Sheet6!$C$7,Sheet6!$C$7,IF(Tim!CE57=Sheet6!$C$8,Sheet6!$C$8,"")))))))</f>
        <v/>
      </c>
      <c r="AH55" s="53" t="str">
        <f>IF(Tim!CF57=Sheet6!$C$2,Sheet6!$C$2,IF(Tim!CF57=Sheet6!$C$3,Sheet6!$C$3,IF(Tim!CF57=Sheet6!$C$4,Sheet6!$C$4,IF(Tim!CF57=Sheet6!$C$5,Sheet6!$C$5,IF(Tim!CF57=Sheet6!$C$6,Sheet6!$C$6,IF(Tim!CF57=Sheet6!$C$7,Sheet6!$C$7,IF(Tim!CF57=Sheet6!$C$8,Sheet6!$C$8,"")))))))</f>
        <v/>
      </c>
      <c r="AI55" s="176" t="str">
        <f>IF(Tim!CG57=Sheet6!$C$2,Sheet6!$C$2,IF(Tim!CG57=Sheet6!$C$3,Sheet6!$C$3,IF(Tim!CG57=Sheet6!$C$4,Sheet6!$C$4,IF(Tim!CG57=Sheet6!$C$5,Sheet6!$C$5,IF(Tim!CG57=Sheet6!$C$6,Sheet6!$C$6,IF(Tim!CG57=Sheet6!$C$7,Sheet6!$C$7,IF(Tim!CG57=Sheet6!$C$8,Sheet6!$C$8,"")))))))</f>
        <v/>
      </c>
      <c r="AJ55" s="53" t="str">
        <f>IF(Tim!CH57=Sheet6!$C$2,Sheet6!$C$2,IF(Tim!CH57=Sheet6!$C$3,Sheet6!$C$3,IF(Tim!CH57=Sheet6!$C$4,Sheet6!$C$4,IF(Tim!CH57=Sheet6!$C$5,Sheet6!$C$5,IF(Tim!CH57=Sheet6!$C$6,Sheet6!$C$6,IF(Tim!CH57=Sheet6!$C$7,Sheet6!$C$7,IF(Tim!CH57=Sheet6!$C$8,Sheet6!$C$8,"")))))))</f>
        <v/>
      </c>
      <c r="AK55" s="53" t="str">
        <f>IF(Tim!CL57=Sheet6!$C$2,Sheet6!$C$2,IF(Tim!CL57=Sheet6!$C$3,Sheet6!$C$3,IF(Tim!CL57=Sheet6!$C$4,Sheet6!$C$4,IF(Tim!CL57=Sheet6!$C$5,Sheet6!$C$5,IF(Tim!CL57=Sheet6!$C$6,Sheet6!$C$6,IF(Tim!CL57=Sheet6!$C$7,Sheet6!$C$7,IF(Tim!CL57=Sheet6!$C$8,Sheet6!$C$8,"")))))))</f>
        <v/>
      </c>
      <c r="AL55" s="54" t="str">
        <f>IF(Tim!CM57=Sheet6!$C$2,Sheet6!$C$2,IF(Tim!CM57=Sheet6!$C$3,Sheet6!$C$3,IF(Tim!CM57=Sheet6!$C$4,Sheet6!$C$4,IF(Tim!CM57=Sheet6!$C$5,Sheet6!$C$5,IF(Tim!CM57=Sheet6!$C$6,Sheet6!$C$6,IF(Tim!CM57=Sheet6!$C$7,Sheet6!$C$7,IF(Tim!CM57=Sheet6!$C$8,Sheet6!$C$8,"")))))))</f>
        <v/>
      </c>
      <c r="AM55" s="54" t="str">
        <f>IF(Tim!CN57=Sheet6!$C$2,Sheet6!$C$2,IF(Tim!CN57=Sheet6!$C$3,Sheet6!$C$3,IF(Tim!CN57=Sheet6!$C$4,Sheet6!$C$4,IF(Tim!CN57=Sheet6!$C$5,Sheet6!$C$5,IF(Tim!CN57=Sheet6!$C$6,Sheet6!$C$6,IF(Tim!CN57=Sheet6!$C$7,Sheet6!$C$7,IF(Tim!CN57=Sheet6!$C$8,Sheet6!$C$8,"")))))))</f>
        <v/>
      </c>
      <c r="AN55" s="54" t="str">
        <f>IF(Tim!CO57=Sheet6!$C$2,Sheet6!$C$2,IF(Tim!CO57=Sheet6!$C$3,Sheet6!$C$3,IF(Tim!CO57=Sheet6!$C$4,Sheet6!$C$4,IF(Tim!CO57=Sheet6!$C$5,Sheet6!$C$5,IF(Tim!CO57=Sheet6!$C$6,Sheet6!$C$6,IF(Tim!CO57=Sheet6!$C$7,Sheet6!$C$7,IF(Tim!CO57=Sheet6!$C$8,Sheet6!$C$8,"")))))))</f>
        <v/>
      </c>
      <c r="AO55" s="177" t="str">
        <f>IF(Tim!CP57=Sheet6!$C$2,Sheet6!$C$2,IF(Tim!CP57=Sheet6!$C$3,Sheet6!$C$3,IF(Tim!CP57=Sheet6!$C$4,Sheet6!$C$4,IF(Tim!CP57=Sheet6!$C$5,Sheet6!$C$5,IF(Tim!CP57=Sheet6!$C$6,Sheet6!$C$6,IF(Tim!CP57=Sheet6!$C$7,Sheet6!$C$7,IF(Tim!CP57=Sheet6!$C$8,Sheet6!$C$8,"")))))))</f>
        <v/>
      </c>
      <c r="AP55" s="53" t="str">
        <f>IF(Tim!CQ57=Sheet6!$C$2,Sheet6!$C$2,IF(Tim!CQ57=Sheet6!$C$3,Sheet6!$C$3,IF(Tim!CQ57=Sheet6!$C$4,Sheet6!$C$4,IF(Tim!CQ57=Sheet6!$C$5,Sheet6!$C$5,IF(Tim!CQ57=Sheet6!$C$6,Sheet6!$C$6,IF(Tim!CQ57=Sheet6!$C$7,Sheet6!$C$7,IF(Tim!CQ57=Sheet6!$C$8,Sheet6!$C$8,"")))))))</f>
        <v/>
      </c>
      <c r="AQ55" s="53" t="str">
        <f>IF(Tim!CR57=Sheet6!$C$2,Sheet6!$C$2,IF(Tim!CR57=Sheet6!$C$3,Sheet6!$C$3,IF(Tim!CR57=Sheet6!$C$4,Sheet6!$C$4,IF(Tim!CR57=Sheet6!$C$5,Sheet6!$C$5,IF(Tim!CR57=Sheet6!$C$6,Sheet6!$C$6,IF(Tim!CR57=Sheet6!$C$7,Sheet6!$C$7,IF(Tim!CR57=Sheet6!$C$8,Sheet6!$C$8,"")))))))</f>
        <v/>
      </c>
      <c r="AR55" s="57" t="str">
        <f>IF(Tim!CV57=Sheet6!$C$2,Sheet6!$C$2,IF(Tim!CV57=Sheet6!$C$3,Sheet6!$C$3,IF(Tim!CV57=Sheet6!$C$4,Sheet6!$C$4,IF(Tim!CV57=Sheet6!$C$5,Sheet6!$C$5,IF(Tim!CV57=Sheet6!$C$6,Sheet6!$C$6,IF(Tim!CV57=Sheet6!$C$7,Sheet6!$C$7,IF(Tim!CV57=Sheet6!$C$8,Sheet6!$C$8,"")))))))</f>
        <v/>
      </c>
      <c r="AS55" s="57" t="str">
        <f>IF(Tim!CW57=Sheet6!$C$2,Sheet6!$C$2,IF(Tim!CW57=Sheet6!$C$3,Sheet6!$C$3,IF(Tim!CW57=Sheet6!$C$4,Sheet6!$C$4,IF(Tim!CW57=Sheet6!$C$5,Sheet6!$C$5,IF(Tim!CW57=Sheet6!$C$6,Sheet6!$C$6,IF(Tim!CW57=Sheet6!$C$7,Sheet6!$C$7,IF(Tim!CW57=Sheet6!$C$8,Sheet6!$C$8,"")))))))</f>
        <v/>
      </c>
      <c r="AT55" s="57" t="str">
        <f>IF(Tim!DA57=Sheet6!$C$2,Sheet6!$C$2,IF(Tim!DA57=Sheet6!$C$3,Sheet6!$C$3,IF(Tim!DA57=Sheet6!$C$4,Sheet6!$C$4,IF(Tim!DA57=Sheet6!$C$5,Sheet6!$C$5,IF(Tim!DA57=Sheet6!$C$6,Sheet6!$C$6,IF(Tim!DA57=Sheet6!$C$7,Sheet6!$C$7,IF(Tim!DA57=Sheet6!$C$8,Sheet6!$C$8,"")))))))</f>
        <v/>
      </c>
      <c r="AU55" s="53" t="str">
        <f>IF(Tim!DO57=Sheet6!$C$2,Sheet6!$C$2,IF(Tim!DO57=Sheet6!$C$3,Sheet6!$C$3,IF(Tim!DO57=Sheet6!$C$4,Sheet6!$C$4,IF(Tim!DO57=Sheet6!$C$5,Sheet6!$C$5,IF(Tim!DO57=Sheet6!$C$6,Sheet6!$C$6,IF(Tim!DO57=Sheet6!$C$7,Sheet6!$C$7,IF(Tim!DO57=Sheet6!$C$8,Sheet6!$C$8,"")))))))</f>
        <v/>
      </c>
      <c r="AV55" s="53" t="str">
        <f>IF(Tim!DP57=Sheet6!$C$2,Sheet6!$C$2,IF(Tim!DP57=Sheet6!$C$3,Sheet6!$C$3,IF(Tim!DP57=Sheet6!$C$4,Sheet6!$C$4,IF(Tim!DP57=Sheet6!$C$5,Sheet6!$C$5,IF(Tim!DP57=Sheet6!$C$6,Sheet6!$C$6,IF(Tim!DP57=Sheet6!$C$7,Sheet6!$C$7,IF(Tim!DP57=Sheet6!$C$8,Sheet6!$C$8,"")))))))</f>
        <v/>
      </c>
      <c r="AW55" s="53" t="str">
        <f>IF(Tim!DX57=Sheet6!$C$2,Sheet6!$C$2,IF(Tim!DX57=Sheet6!$C$3,Sheet6!$C$3,IF(Tim!DX57=Sheet6!$C$4,Sheet6!$C$4,IF(Tim!DX57=Sheet6!$C$5,Sheet6!$C$5,IF(Tim!DX57=Sheet6!$C$6,Sheet6!$C$6,IF(Tim!DX57=Sheet6!$C$7,Sheet6!$C$7,IF(Tim!DX57=Sheet6!$C$8,Sheet6!$C$8,"")))))))</f>
        <v/>
      </c>
      <c r="AX55" s="53" t="str">
        <f>IF(Tim!DY57=Sheet6!$C$2,Sheet6!$C$2,IF(Tim!DY57=Sheet6!$C$3,Sheet6!$C$3,IF(Tim!DY57=Sheet6!$C$4,Sheet6!$C$4,IF(Tim!DY57=Sheet6!$C$5,Sheet6!$C$5,IF(Tim!DY57=Sheet6!$C$6,Sheet6!$C$6,IF(Tim!DY57=Sheet6!$C$7,Sheet6!$C$7,IF(Tim!DY57=Sheet6!$C$8,Sheet6!$C$8,"")))))))</f>
        <v/>
      </c>
      <c r="AY55" s="53" t="str">
        <f>IF(Tim!DZ57=Sheet6!$C$2,Sheet6!$C$2,IF(Tim!DZ57=Sheet6!$C$3,Sheet6!$C$3,IF(Tim!DZ57=Sheet6!$C$4,Sheet6!$C$4,IF(Tim!DZ57=Sheet6!$C$5,Sheet6!$C$5,IF(Tim!DZ57=Sheet6!$C$6,Sheet6!$C$6,IF(Tim!DZ57=Sheet6!$C$7,Sheet6!$C$7,IF(Tim!DZ57=Sheet6!$C$8,Sheet6!$C$8,"")))))))</f>
        <v/>
      </c>
      <c r="AZ55" s="53" t="str">
        <f>IF(Tim!EA57=Sheet6!$C$2,Sheet6!$C$2,IF(Tim!EA57=Sheet6!$C$3,Sheet6!$C$3,IF(Tim!EA57=Sheet6!$C$4,Sheet6!$C$4,IF(Tim!EA57=Sheet6!$C$5,Sheet6!$C$5,IF(Tim!EA57=Sheet6!$C$6,Sheet6!$C$6,IF(Tim!EA57=Sheet6!$C$7,Sheet6!$C$7,IF(Tim!EA57=Sheet6!$C$8,Sheet6!$C$8,"")))))))</f>
        <v/>
      </c>
      <c r="BA55" s="176" t="str">
        <f>IF(Tim!EB57=Sheet6!$C$2,Sheet6!$C$2,IF(Tim!EB57=Sheet6!$C$3,Sheet6!$C$3,IF(Tim!EB57=Sheet6!$C$4,Sheet6!$C$4,IF(Tim!EB57=Sheet6!$C$5,Sheet6!$C$5,IF(Tim!EB57=Sheet6!$C$6,Sheet6!$C$6,IF(Tim!EB57=Sheet6!$C$7,Sheet6!$C$7,IF(Tim!EB57=Sheet6!$C$8,Sheet6!$C$8,"")))))))</f>
        <v/>
      </c>
      <c r="BB55" s="53" t="str">
        <f>IF(Tim!EC57=Sheet6!$C$2,Sheet6!$C$2,IF(Tim!EC57=Sheet6!$C$3,Sheet6!$C$3,IF(Tim!EC57=Sheet6!$C$4,Sheet6!$C$4,IF(Tim!EC57=Sheet6!$C$5,Sheet6!$C$5,IF(Tim!EC57=Sheet6!$C$6,Sheet6!$C$6,IF(Tim!EC57=Sheet6!$C$7,Sheet6!$C$7,IF(Tim!EC57=Sheet6!$C$8,Sheet6!$C$8,"")))))))</f>
        <v/>
      </c>
      <c r="BC55" s="53" t="str">
        <f>IF(Tim!EG57=Sheet6!$C$2,Sheet6!$C$2,IF(Tim!EG57=Sheet6!$C$3,Sheet6!$C$3,IF(Tim!EG57=Sheet6!$C$4,Sheet6!$C$4,IF(Tim!EG57=Sheet6!$C$5,Sheet6!$C$5,IF(Tim!EG57=Sheet6!$C$6,Sheet6!$C$6,IF(Tim!EG57=Sheet6!$C$7,Sheet6!$C$7,IF(Tim!EG57=Sheet6!$C$8,Sheet6!$C$8,"")))))))</f>
        <v/>
      </c>
      <c r="BD55" s="54" t="str">
        <f>IF(Tim!EH57=Sheet6!$C$2,Sheet6!$C$2,IF(Tim!EH57=Sheet6!$C$3,Sheet6!$C$3,IF(Tim!EH57=Sheet6!$C$4,Sheet6!$C$4,IF(Tim!EH57=Sheet6!$C$5,Sheet6!$C$5,IF(Tim!EH57=Sheet6!$C$6,Sheet6!$C$6,IF(Tim!EH57=Sheet6!$C$7,Sheet6!$C$7,IF(Tim!EH57=Sheet6!$C$8,Sheet6!$C$8,"")))))))</f>
        <v/>
      </c>
      <c r="BE55" s="54" t="str">
        <f>IF(Tim!EI57=Sheet6!$C$2,Sheet6!$C$2,IF(Tim!EI57=Sheet6!$C$3,Sheet6!$C$3,IF(Tim!EI57=Sheet6!$C$4,Sheet6!$C$4,IF(Tim!EI57=Sheet6!$C$5,Sheet6!$C$5,IF(Tim!EI57=Sheet6!$C$6,Sheet6!$C$6,IF(Tim!EI57=Sheet6!$C$7,Sheet6!$C$7,IF(Tim!EI57=Sheet6!$C$8,Sheet6!$C$8,"")))))))</f>
        <v/>
      </c>
      <c r="BF55" s="53" t="str">
        <f>IF(Tim!EJ57=Sheet6!$C$2,Sheet6!$C$2,IF(Tim!EJ57=Sheet6!$C$3,Sheet6!$C$3,IF(Tim!EJ57=Sheet6!$C$4,Sheet6!$C$4,IF(Tim!EJ57=Sheet6!$C$5,Sheet6!$C$5,IF(Tim!EJ57=Sheet6!$C$6,Sheet6!$C$6,IF(Tim!EJ57=Sheet6!$C$7,Sheet6!$C$7,IF(Tim!EJ57=Sheet6!$C$8,Sheet6!$C$8,"")))))))</f>
        <v/>
      </c>
      <c r="BG55" s="55" t="str">
        <f>IF(Tim!EK57=Sheet6!$C$2,Sheet6!$C$2,IF(Tim!EK57=Sheet6!$C$3,Sheet6!$C$3,IF(Tim!EK57=Sheet6!$C$4,Sheet6!$C$4,IF(Tim!EK57=Sheet6!$C$5,Sheet6!$C$5,IF(Tim!EK57=Sheet6!$C$6,Sheet6!$C$6,IF(Tim!EK57=Sheet6!$C$7,Sheet6!$C$7,IF(Tim!EK57=Sheet6!$C$8,Sheet6!$C$8,"")))))))</f>
        <v/>
      </c>
      <c r="BH55" s="53" t="e">
        <f>IF(Tim!#REF!=Sheet6!$C$2,Sheet6!$C$2,IF(Tim!#REF!=Sheet6!$C$3,Sheet6!$C$3,IF(Tim!#REF!=Sheet6!$C$4,Sheet6!$C$4,IF(Tim!#REF!=Sheet6!$C$5,Sheet6!$C$5,IF(Tim!#REF!=Sheet6!$C$6,Sheet6!$C$6,IF(Tim!#REF!=Sheet6!$C$7,Sheet6!$C$7,IF(Tim!#REF!=Sheet6!$C$8,Sheet6!$C$8,"")))))))</f>
        <v>#REF!</v>
      </c>
      <c r="BI55" s="57" t="str">
        <f>IF(Tim!EL57=Sheet6!$C$2,Sheet6!$C$2,IF(Tim!EL57=Sheet6!$C$3,Sheet6!$C$3,IF(Tim!EL57=Sheet6!$C$4,Sheet6!$C$4,IF(Tim!EL57=Sheet6!$C$5,Sheet6!$C$5,IF(Tim!EL57=Sheet6!$C$6,Sheet6!$C$6,IF(Tim!EL57=Sheet6!$C$7,Sheet6!$C$7,IF(Tim!EL57=Sheet6!$C$8,Sheet6!$C$8,"")))))))</f>
        <v/>
      </c>
      <c r="BJ55" s="57" t="str">
        <f>IF(Tim!EP57=Sheet6!$C$2,Sheet6!$C$2,IF(Tim!EP57=Sheet6!$C$3,Sheet6!$C$3,IF(Tim!EP57=Sheet6!$C$4,Sheet6!$C$4,IF(Tim!EP57=Sheet6!$C$5,Sheet6!$C$5,IF(Tim!EP57=Sheet6!$C$6,Sheet6!$C$6,IF(Tim!EP57=Sheet6!$C$7,Sheet6!$C$7,IF(Tim!EP57=Sheet6!$C$8,Sheet6!$C$8,"")))))))</f>
        <v/>
      </c>
      <c r="BK55" s="57" t="str">
        <f>IF(Tim!ER57=Sheet6!$C$2,Sheet6!$C$2,IF(Tim!ER57=Sheet6!$C$3,Sheet6!$C$3,IF(Tim!ER57=Sheet6!$C$4,Sheet6!$C$4,IF(Tim!ER57=Sheet6!$C$5,Sheet6!$C$5,IF(Tim!ER57=Sheet6!$C$6,Sheet6!$C$6,IF(Tim!ER57=Sheet6!$C$7,Sheet6!$C$7,IF(Tim!ER57=Sheet6!$C$8,Sheet6!$C$8,"")))))))</f>
        <v/>
      </c>
      <c r="BL55" s="57" t="str">
        <f>IF(Tim!EZ57=Sheet6!$C$2,Sheet6!$C$2,IF(Tim!EZ57=Sheet6!$C$3,Sheet6!$C$3,IF(Tim!EZ57=Sheet6!$C$4,Sheet6!$C$4,IF(Tim!EZ57=Sheet6!$C$5,Sheet6!$C$5,IF(Tim!EZ57=Sheet6!$C$6,Sheet6!$C$6,IF(Tim!EZ57=Sheet6!$C$7,Sheet6!$C$7,IF(Tim!EZ57=Sheet6!$C$8,Sheet6!$C$8,"")))))))</f>
        <v/>
      </c>
      <c r="BM55" s="53" t="str">
        <f>IF(Tim!FG57=Sheet6!$C$2,Sheet6!$C$2,IF(Tim!FG57=Sheet6!$C$3,Sheet6!$C$3,IF(Tim!FG57=Sheet6!$C$4,Sheet6!$C$4,IF(Tim!FG57=Sheet6!$C$5,Sheet6!$C$5,IF(Tim!FG57=Sheet6!$C$6,Sheet6!$C$6,IF(Tim!FG57=Sheet6!$C$7,Sheet6!$C$7,IF(Tim!FG57=Sheet6!$C$8,Sheet6!$C$8,"")))))))</f>
        <v/>
      </c>
      <c r="BN55" s="53" t="str">
        <f>IF(Tim!FH57=Sheet6!$C$2,Sheet6!$C$2,IF(Tim!FH57=Sheet6!$C$3,Sheet6!$C$3,IF(Tim!FH57=Sheet6!$C$4,Sheet6!$C$4,IF(Tim!FH57=Sheet6!$C$5,Sheet6!$C$5,IF(Tim!FH57=Sheet6!$C$6,Sheet6!$C$6,IF(Tim!FH57=Sheet6!$C$7,Sheet6!$C$7,IF(Tim!FH57=Sheet6!$C$8,Sheet6!$C$8,"")))))))</f>
        <v/>
      </c>
      <c r="BO55" s="53" t="str">
        <f>IF(Tim!FP57=Sheet6!$C$2,Sheet6!$C$2,IF(Tim!FP57=Sheet6!$C$3,Sheet6!$C$3,IF(Tim!FP57=Sheet6!$C$4,Sheet6!$C$4,IF(Tim!FP57=Sheet6!$C$5,Sheet6!$C$5,IF(Tim!FP57=Sheet6!$C$6,Sheet6!$C$6,IF(Tim!FP57=Sheet6!$C$7,Sheet6!$C$7,IF(Tim!FP57=Sheet6!$C$8,Sheet6!$C$8,"")))))))</f>
        <v/>
      </c>
      <c r="BP55" s="53" t="str">
        <f>IF(Tim!FQ57=Sheet6!$C$2,Sheet6!$C$2,IF(Tim!FQ57=Sheet6!$C$3,Sheet6!$C$3,IF(Tim!FQ57=Sheet6!$C$4,Sheet6!$C$4,IF(Tim!FQ57=Sheet6!$C$5,Sheet6!$C$5,IF(Tim!FQ57=Sheet6!$C$6,Sheet6!$C$6,IF(Tim!FQ57=Sheet6!$C$7,Sheet6!$C$7,IF(Tim!FQ57=Sheet6!$C$8,Sheet6!$C$8,"")))))))</f>
        <v/>
      </c>
      <c r="BQ55" s="53" t="str">
        <f>IF(Tim!FR57=Sheet6!$C$2,Sheet6!$C$2,IF(Tim!FR57=Sheet6!$C$3,Sheet6!$C$3,IF(Tim!FR57=Sheet6!$C$4,Sheet6!$C$4,IF(Tim!FR57=Sheet6!$C$5,Sheet6!$C$5,IF(Tim!FR57=Sheet6!$C$6,Sheet6!$C$6,IF(Tim!FR57=Sheet6!$C$7,Sheet6!$C$7,IF(Tim!FR57=Sheet6!$C$8,Sheet6!$C$8,"")))))))</f>
        <v/>
      </c>
      <c r="BR55" s="53" t="str">
        <f>IF(Tim!FS57=Sheet6!$C$2,Sheet6!$C$2,IF(Tim!FS57=Sheet6!$C$3,Sheet6!$C$3,IF(Tim!FS57=Sheet6!$C$4,Sheet6!$C$4,IF(Tim!FS57=Sheet6!$C$5,Sheet6!$C$5,IF(Tim!FS57=Sheet6!$C$6,Sheet6!$C$6,IF(Tim!FS57=Sheet6!$C$7,Sheet6!$C$7,IF(Tim!FS57=Sheet6!$C$8,Sheet6!$C$8,"")))))))</f>
        <v/>
      </c>
      <c r="BS55" s="53" t="str">
        <f>IF(Tim!FT57=Sheet6!$C$2,Sheet6!$C$2,IF(Tim!FT57=Sheet6!$C$3,Sheet6!$C$3,IF(Tim!FT57=Sheet6!$C$4,Sheet6!$C$4,IF(Tim!FT57=Sheet6!$C$5,Sheet6!$C$5,IF(Tim!FT57=Sheet6!$C$6,Sheet6!$C$6,IF(Tim!FT57=Sheet6!$C$7,Sheet6!$C$7,IF(Tim!FT57=Sheet6!$C$8,Sheet6!$C$8,"")))))))</f>
        <v/>
      </c>
      <c r="BT55" s="53" t="str">
        <f>IF(Tim!FU57=Sheet6!$C$2,Sheet6!$C$2,IF(Tim!FU57=Sheet6!$C$3,Sheet6!$C$3,IF(Tim!FU57=Sheet6!$C$4,Sheet6!$C$4,IF(Tim!FU57=Sheet6!$C$5,Sheet6!$C$5,IF(Tim!FU57=Sheet6!$C$6,Sheet6!$C$6,IF(Tim!FU57=Sheet6!$C$7,Sheet6!$C$7,IF(Tim!FU57=Sheet6!$C$8,Sheet6!$C$8,"")))))))</f>
        <v/>
      </c>
      <c r="BU55" s="53" t="str">
        <f>IF(Tim!FY57=Sheet6!$C$2,Sheet6!$C$2,IF(Tim!FY57=Sheet6!$C$3,Sheet6!$C$3,IF(Tim!FY57=Sheet6!$C$4,Sheet6!$C$4,IF(Tim!FY57=Sheet6!$C$5,Sheet6!$C$5,IF(Tim!FY57=Sheet6!$C$6,Sheet6!$C$6,IF(Tim!FY57=Sheet6!$C$7,Sheet6!$C$7,IF(Tim!FY57=Sheet6!$C$8,Sheet6!$C$8,"")))))))</f>
        <v/>
      </c>
      <c r="BV55" s="54" t="str">
        <f>IF(Tim!FZ57=Sheet6!$C$2,Sheet6!$C$2,IF(Tim!FZ57=Sheet6!$C$3,Sheet6!$C$3,IF(Tim!FZ57=Sheet6!$C$4,Sheet6!$C$4,IF(Tim!FZ57=Sheet6!$C$5,Sheet6!$C$5,IF(Tim!FZ57=Sheet6!$C$6,Sheet6!$C$6,IF(Tim!FZ57=Sheet6!$C$7,Sheet6!$C$7,IF(Tim!FZ57=Sheet6!$C$8,Sheet6!$C$8,"")))))))</f>
        <v/>
      </c>
      <c r="BW55" s="54" t="str">
        <f>IF(Tim!GA57=Sheet6!$C$2,Sheet6!$C$2,IF(Tim!GA57=Sheet6!$C$3,Sheet6!$C$3,IF(Tim!GA57=Sheet6!$C$4,Sheet6!$C$4,IF(Tim!GA57=Sheet6!$C$5,Sheet6!$C$5,IF(Tim!GA57=Sheet6!$C$6,Sheet6!$C$6,IF(Tim!GA57=Sheet6!$C$7,Sheet6!$C$7,IF(Tim!GA57=Sheet6!$C$8,Sheet6!$C$8,"")))))))</f>
        <v/>
      </c>
      <c r="BX55" s="57" t="str">
        <f>IF(Tim!GB57=Sheet6!$C$2,Sheet6!$C$2,IF(Tim!GB57=Sheet6!$C$3,Sheet6!$C$3,IF(Tim!GB57=Sheet6!$C$4,Sheet6!$C$4,IF(Tim!GB57=Sheet6!$C$5,Sheet6!$C$5,IF(Tim!GB57=Sheet6!$C$6,Sheet6!$C$6,IF(Tim!GB57=Sheet6!$C$7,Sheet6!$C$7,IF(Tim!GB57=Sheet6!$C$8,Sheet6!$C$8,"")))))))</f>
        <v/>
      </c>
      <c r="BY55" s="55" t="str">
        <f>IF(Tim!GC57=Sheet6!$C$2,Sheet6!$C$2,IF(Tim!GC57=Sheet6!$C$3,Sheet6!$C$3,IF(Tim!GC57=Sheet6!$C$4,Sheet6!$C$4,IF(Tim!GC57=Sheet6!$C$5,Sheet6!$C$5,IF(Tim!GC57=Sheet6!$C$6,Sheet6!$C$6,IF(Tim!GC57=Sheet6!$C$7,Sheet6!$C$7,IF(Tim!GC57=Sheet6!$C$8,Sheet6!$C$8,"")))))))</f>
        <v/>
      </c>
      <c r="BZ55" s="53" t="str">
        <f>IF(Tim!GD57=Sheet6!$C$2,Sheet6!$C$2,IF(Tim!GD57=Sheet6!$C$3,Sheet6!$C$3,IF(Tim!GD57=Sheet6!$C$4,Sheet6!$C$4,IF(Tim!GD57=Sheet6!$C$5,Sheet6!$C$5,IF(Tim!GD57=Sheet6!$C$6,Sheet6!$C$6,IF(Tim!GD57=Sheet6!$C$7,Sheet6!$C$7,IF(Tim!GD57=Sheet6!$C$8,Sheet6!$C$8,"")))))))</f>
        <v/>
      </c>
      <c r="CA55" s="53" t="str">
        <f>IF(Tim!GE57=Sheet6!$C$2,Sheet6!$C$2,IF(Tim!GE57=Sheet6!$C$3,Sheet6!$C$3,IF(Tim!GE57=Sheet6!$C$4,Sheet6!$C$4,IF(Tim!GE57=Sheet6!$C$5,Sheet6!$C$5,IF(Tim!GE57=Sheet6!$C$6,Sheet6!$C$6,IF(Tim!GE57=Sheet6!$C$7,Sheet6!$C$7,IF(Tim!GE57=Sheet6!$C$8,Sheet6!$C$8,"")))))))</f>
        <v/>
      </c>
      <c r="CB55" s="57" t="str">
        <f>IF(Tim!GI57=Sheet6!$C$2,Sheet6!$C$2,IF(Tim!GI57=Sheet6!$C$3,Sheet6!$C$3,IF(Tim!GI57=Sheet6!$C$4,Sheet6!$C$4,IF(Tim!GI57=Sheet6!$C$5,Sheet6!$C$5,IF(Tim!GI57=Sheet6!$C$6,Sheet6!$C$6,IF(Tim!GI57=Sheet6!$C$7,Sheet6!$C$7,IF(Tim!GI57=Sheet6!$C$8,Sheet6!$C$8,"")))))))</f>
        <v/>
      </c>
      <c r="CC55" s="57" t="str">
        <f>IF(Tim!GJ57=Sheet6!$C$2,Sheet6!$C$2,IF(Tim!GJ57=Sheet6!$C$3,Sheet6!$C$3,IF(Tim!GJ57=Sheet6!$C$4,Sheet6!$C$4,IF(Tim!GJ57=Sheet6!$C$5,Sheet6!$C$5,IF(Tim!GJ57=Sheet6!$C$6,Sheet6!$C$6,IF(Tim!GJ57=Sheet6!$C$7,Sheet6!$C$7,IF(Tim!GJ57=Sheet6!$C$8,Sheet6!$C$8,"")))))))</f>
        <v/>
      </c>
      <c r="CD55" s="57" t="str">
        <f>IF(Tim!GN57=Sheet6!$C$2,Sheet6!$C$2,IF(Tim!GN57=Sheet6!$C$3,Sheet6!$C$3,IF(Tim!GN57=Sheet6!$C$4,Sheet6!$C$4,IF(Tim!GN57=Sheet6!$C$5,Sheet6!$C$5,IF(Tim!GN57=Sheet6!$C$6,Sheet6!$C$6,IF(Tim!GN57=Sheet6!$C$7,Sheet6!$C$7,IF(Tim!GN57=Sheet6!$C$8,Sheet6!$C$8,"")))))))</f>
        <v/>
      </c>
      <c r="CE55" s="53" t="str">
        <f>IF(Tim!GY57=Sheet6!$C$2,Sheet6!$C$2,IF(Tim!GY57=Sheet6!$C$3,Sheet6!$C$3,IF(Tim!GY57=Sheet6!$C$4,Sheet6!$C$4,IF(Tim!GY57=Sheet6!$C$5,Sheet6!$C$5,IF(Tim!GY57=Sheet6!$C$6,Sheet6!$C$6,IF(Tim!GY57=Sheet6!$C$7,Sheet6!$C$7,IF(Tim!GY57=Sheet6!$C$8,Sheet6!$C$8,"")))))))</f>
        <v/>
      </c>
      <c r="CF55" s="53" t="str">
        <f>IF(Tim!GZ57=Sheet6!$C$2,Sheet6!$C$2,IF(Tim!GZ57=Sheet6!$C$3,Sheet6!$C$3,IF(Tim!GZ57=Sheet6!$C$4,Sheet6!$C$4,IF(Tim!GZ57=Sheet6!$C$5,Sheet6!$C$5,IF(Tim!GZ57=Sheet6!$C$6,Sheet6!$C$6,IF(Tim!GZ57=Sheet6!$C$7,Sheet6!$C$7,IF(Tim!GZ57=Sheet6!$C$8,Sheet6!$C$8,"")))))))</f>
        <v/>
      </c>
      <c r="CG55" s="53" t="str">
        <f>IF(Tim!HH57=Sheet6!$C$2,Sheet6!$C$2,IF(Tim!HH57=Sheet6!$C$3,Sheet6!$C$3,IF(Tim!HH57=Sheet6!$C$4,Sheet6!$C$4,IF(Tim!HH57=Sheet6!$C$5,Sheet6!$C$5,IF(Tim!HH57=Sheet6!$C$6,Sheet6!$C$6,IF(Tim!HH57=Sheet6!$C$7,Sheet6!$C$7,IF(Tim!HH57=Sheet6!$C$8,Sheet6!$C$8,"")))))))</f>
        <v/>
      </c>
      <c r="CH55" s="53" t="str">
        <f>IF(Tim!HI57=Sheet6!$C$2,Sheet6!$C$2,IF(Tim!HI57=Sheet6!$C$3,Sheet6!$C$3,IF(Tim!HI57=Sheet6!$C$4,Sheet6!$C$4,IF(Tim!HI57=Sheet6!$C$5,Sheet6!$C$5,IF(Tim!HI57=Sheet6!$C$6,Sheet6!$C$6,IF(Tim!HI57=Sheet6!$C$7,Sheet6!$C$7,IF(Tim!HI57=Sheet6!$C$8,Sheet6!$C$8,"")))))))</f>
        <v/>
      </c>
      <c r="CI55" s="53" t="str">
        <f>IF(Tim!HJ57=Sheet6!$C$2,Sheet6!$C$2,IF(Tim!HJ57=Sheet6!$C$3,Sheet6!$C$3,IF(Tim!HJ57=Sheet6!$C$4,Sheet6!$C$4,IF(Tim!HJ57=Sheet6!$C$5,Sheet6!$C$5,IF(Tim!HJ57=Sheet6!$C$6,Sheet6!$C$6,IF(Tim!HJ57=Sheet6!$C$7,Sheet6!$C$7,IF(Tim!HJ57=Sheet6!$C$8,Sheet6!$C$8,"")))))))</f>
        <v/>
      </c>
      <c r="CJ55" s="53" t="str">
        <f>IF(Tim!HK57=Sheet6!$C$2,Sheet6!$C$2,IF(Tim!HK57=Sheet6!$C$3,Sheet6!$C$3,IF(Tim!HK57=Sheet6!$C$4,Sheet6!$C$4,IF(Tim!HK57=Sheet6!$C$5,Sheet6!$C$5,IF(Tim!HK57=Sheet6!$C$6,Sheet6!$C$6,IF(Tim!HK57=Sheet6!$C$7,Sheet6!$C$7,IF(Tim!HK57=Sheet6!$C$8,Sheet6!$C$8,"")))))))</f>
        <v/>
      </c>
      <c r="CK55" s="53" t="str">
        <f>IF(Tim!HL57=Sheet6!$C$2,Sheet6!$C$2,IF(Tim!HL57=Sheet6!$C$3,Sheet6!$C$3,IF(Tim!HL57=Sheet6!$C$4,Sheet6!$C$4,IF(Tim!HL57=Sheet6!$C$5,Sheet6!$C$5,IF(Tim!HL57=Sheet6!$C$6,Sheet6!$C$6,IF(Tim!HL57=Sheet6!$C$7,Sheet6!$C$7,IF(Tim!HL57=Sheet6!$C$8,Sheet6!$C$8,"")))))))</f>
        <v/>
      </c>
      <c r="CL55" s="53" t="str">
        <f>IF(Tim!HM57=Sheet6!$C$2,Sheet6!$C$2,IF(Tim!HM57=Sheet6!$C$3,Sheet6!$C$3,IF(Tim!HM57=Sheet6!$C$4,Sheet6!$C$4,IF(Tim!HM57=Sheet6!$C$5,Sheet6!$C$5,IF(Tim!HM57=Sheet6!$C$6,Sheet6!$C$6,IF(Tim!HM57=Sheet6!$C$7,Sheet6!$C$7,IF(Tim!HM57=Sheet6!$C$8,Sheet6!$C$8,"")))))))</f>
        <v/>
      </c>
      <c r="CM55" s="53" t="str">
        <f>IF(Tim!HQ57=Sheet6!$C$2,Sheet6!$C$2,IF(Tim!HQ57=Sheet6!$C$3,Sheet6!$C$3,IF(Tim!HQ57=Sheet6!$C$4,Sheet6!$C$4,IF(Tim!HQ57=Sheet6!$C$5,Sheet6!$C$5,IF(Tim!HQ57=Sheet6!$C$6,Sheet6!$C$6,IF(Tim!HQ57=Sheet6!$C$7,Sheet6!$C$7,IF(Tim!HQ57=Sheet6!$C$8,Sheet6!$C$8,"")))))))</f>
        <v/>
      </c>
      <c r="CN55" s="54" t="str">
        <f>IF(Tim!HR57=Sheet6!$C$2,Sheet6!$C$2,IF(Tim!HR57=Sheet6!$C$3,Sheet6!$C$3,IF(Tim!HR57=Sheet6!$C$4,Sheet6!$C$4,IF(Tim!HR57=Sheet6!$C$5,Sheet6!$C$5,IF(Tim!HR57=Sheet6!$C$6,Sheet6!$C$6,IF(Tim!HR57=Sheet6!$C$7,Sheet6!$C$7,IF(Tim!HR57=Sheet6!$C$8,Sheet6!$C$8,"")))))))</f>
        <v/>
      </c>
      <c r="CO55" s="54" t="str">
        <f>IF(Tim!HS57=Sheet6!$C$2,Sheet6!$C$2,IF(Tim!HS57=Sheet6!$C$3,Sheet6!$C$3,IF(Tim!HS57=Sheet6!$C$4,Sheet6!$C$4,IF(Tim!HS57=Sheet6!$C$5,Sheet6!$C$5,IF(Tim!HS57=Sheet6!$C$6,Sheet6!$C$6,IF(Tim!HS57=Sheet6!$C$7,Sheet6!$C$7,IF(Tim!HS57=Sheet6!$C$8,Sheet6!$C$8,"")))))))</f>
        <v/>
      </c>
      <c r="CP55" s="54" t="str">
        <f>IF(Tim!HT57=Sheet6!$C$2,Sheet6!$C$2,IF(Tim!HT57=Sheet6!$C$3,Sheet6!$C$3,IF(Tim!HT57=Sheet6!$C$4,Sheet6!$C$4,IF(Tim!HT57=Sheet6!$C$5,Sheet6!$C$5,IF(Tim!HT57=Sheet6!$C$6,Sheet6!$C$6,IF(Tim!HT57=Sheet6!$C$7,Sheet6!$C$7,IF(Tim!HT57=Sheet6!$C$8,Sheet6!$C$8,"")))))))</f>
        <v/>
      </c>
      <c r="CQ55" s="55" t="str">
        <f>IF(Tim!HU57=Sheet6!$C$2,Sheet6!$C$2,IF(Tim!HU57=Sheet6!$C$3,Sheet6!$C$3,IF(Tim!HU57=Sheet6!$C$4,Sheet6!$C$4,IF(Tim!HU57=Sheet6!$C$5,Sheet6!$C$5,IF(Tim!HU57=Sheet6!$C$6,Sheet6!$C$6,IF(Tim!HU57=Sheet6!$C$7,Sheet6!$C$7,IF(Tim!HU57=Sheet6!$C$8,Sheet6!$C$8,"")))))))</f>
        <v/>
      </c>
      <c r="CR55" s="56" t="str">
        <f>IF(Tim!HV57=Sheet6!$C$2,Sheet6!$C$2,IF(Tim!HV57=Sheet6!$C$3,Sheet6!$C$3,IF(Tim!HV57=Sheet6!$C$4,Sheet6!$C$4,IF(Tim!HV57=Sheet6!$C$5,Sheet6!$C$5,IF(Tim!HV57=Sheet6!$C$6,Sheet6!$C$6,IF(Tim!HV57=Sheet6!$C$7,Sheet6!$C$7,IF(Tim!HV57=Sheet6!$C$8,Sheet6!$C$8,"")))))))</f>
        <v/>
      </c>
      <c r="CS55" s="57" t="str">
        <f>IF(Tim!IB57=Sheet6!$C$2,Sheet6!$C$2,IF(Tim!IB57=Sheet6!$C$3,Sheet6!$C$3,IF(Tim!IB57=Sheet6!$C$4,Sheet6!$C$4,IF(Tim!IB57=Sheet6!$C$5,Sheet6!$C$5,IF(Tim!IB57=Sheet6!$C$6,Sheet6!$C$6,IF(Tim!IB57=Sheet6!$C$7,Sheet6!$C$7,IF(Tim!IB57=Sheet6!$C$8,Sheet6!$C$8,"")))))))</f>
        <v/>
      </c>
      <c r="CT55" s="65" t="str">
        <f>IF(Tim!IJ57=Sheet6!$C$2,Sheet6!$C$2,IF(Tim!IJ57=Sheet6!$C$3,Sheet6!$C$3,IF(Tim!IJ57=Sheet6!$C$4,Sheet6!$C$4,IF(Tim!IJ57=Sheet6!$C$5,Sheet6!$C$5,IF(Tim!IJ57=Sheet6!$C$6,Sheet6!$C$6,IF(Tim!IJ57=Sheet6!$C$7,Sheet6!$C$7,IF(Tim!IJ57=Sheet6!$C$8,Sheet6!$C$8,"")))))))</f>
        <v/>
      </c>
      <c r="CU55" s="65" t="str">
        <f>IF(Tim!IQ57=Sheet6!$C$2,Sheet6!$C$2,IF(Tim!IQ57=Sheet6!$C$3,Sheet6!$C$3,IF(Tim!IQ57=Sheet6!$C$4,Sheet6!$C$4,IF(Tim!IQ57=Sheet6!$C$5,Sheet6!$C$5,IF(Tim!IQ57=Sheet6!$C$6,Sheet6!$C$6,IF(Tim!IQ57=Sheet6!$C$7,Sheet6!$C$7,IF(Tim!IQ57=Sheet6!$C$8,Sheet6!$C$8,"")))))))</f>
        <v/>
      </c>
      <c r="CV55" s="53" t="str">
        <f>IF(Tim!IR57=Sheet6!$C$2,Sheet6!$C$2,IF(Tim!IR57=Sheet6!$C$3,Sheet6!$C$3,IF(Tim!IR57=Sheet6!$C$4,Sheet6!$C$4,IF(Tim!IR57=Sheet6!$C$5,Sheet6!$C$5,IF(Tim!IR57=Sheet6!$C$6,Sheet6!$C$6,IF(Tim!IR57=Sheet6!$C$7,Sheet6!$C$7,IF(Tim!IR57=Sheet6!$C$8,Sheet6!$C$8,"")))))))</f>
        <v/>
      </c>
      <c r="CW55" s="53" t="str">
        <f>IF(Tim!IZ57=Sheet6!$C$2,Sheet6!$C$2,IF(Tim!IZ57=Sheet6!$C$3,Sheet6!$C$3,IF(Tim!IZ57=Sheet6!$C$4,Sheet6!$C$4,IF(Tim!IZ57=Sheet6!$C$5,Sheet6!$C$5,IF(Tim!IZ57=Sheet6!$C$6,Sheet6!$C$6,IF(Tim!IZ57=Sheet6!$C$7,Sheet6!$C$7,IF(Tim!IZ57=Sheet6!$C$8,Sheet6!$C$8,"")))))))</f>
        <v/>
      </c>
      <c r="CX55" s="53" t="str">
        <f>IF(Tim!JA57=Sheet6!$C$2,Sheet6!$C$2,IF(Tim!JA57=Sheet6!$C$3,Sheet6!$C$3,IF(Tim!JA57=Sheet6!$C$4,Sheet6!$C$4,IF(Tim!JA57=Sheet6!$C$5,Sheet6!$C$5,IF(Tim!JA57=Sheet6!$C$6,Sheet6!$C$6,IF(Tim!JA57=Sheet6!$C$7,Sheet6!$C$7,IF(Tim!JA57=Sheet6!$C$8,Sheet6!$C$8,"")))))))</f>
        <v/>
      </c>
      <c r="CY55" s="53" t="str">
        <f>IF(Tim!JB57=Sheet6!$C$2,Sheet6!$C$2,IF(Tim!JB57=Sheet6!$C$3,Sheet6!$C$3,IF(Tim!JB57=Sheet6!$C$4,Sheet6!$C$4,IF(Tim!JB57=Sheet6!$C$5,Sheet6!$C$5,IF(Tim!JB57=Sheet6!$C$6,Sheet6!$C$6,IF(Tim!JB57=Sheet6!$C$7,Sheet6!$C$7,IF(Tim!JB57=Sheet6!$C$8,Sheet6!$C$8,"")))))))</f>
        <v/>
      </c>
      <c r="CZ55" s="53" t="str">
        <f>IF(Tim!JC57=Sheet6!$C$2,Sheet6!$C$2,IF(Tim!JC57=Sheet6!$C$3,Sheet6!$C$3,IF(Tim!JC57=Sheet6!$C$4,Sheet6!$C$4,IF(Tim!JC57=Sheet6!$C$5,Sheet6!$C$5,IF(Tim!JC57=Sheet6!$C$6,Sheet6!$C$6,IF(Tim!JC57=Sheet6!$C$7,Sheet6!$C$7,IF(Tim!JC57=Sheet6!$C$8,Sheet6!$C$8,"")))))))</f>
        <v/>
      </c>
      <c r="DA55" s="53" t="str">
        <f>IF(Tim!JD57=Sheet6!$C$2,Sheet6!$C$2,IF(Tim!JD57=Sheet6!$C$3,Sheet6!$C$3,IF(Tim!JD57=Sheet6!$C$4,Sheet6!$C$4,IF(Tim!JD57=Sheet6!$C$5,Sheet6!$C$5,IF(Tim!JD57=Sheet6!$C$6,Sheet6!$C$6,IF(Tim!JD57=Sheet6!$C$7,Sheet6!$C$7,IF(Tim!JD57=Sheet6!$C$8,Sheet6!$C$8,"")))))))</f>
        <v/>
      </c>
      <c r="DB55" s="53" t="str">
        <f>IF(Tim!JE57=Sheet6!$C$2,Sheet6!$C$2,IF(Tim!JE57=Sheet6!$C$3,Sheet6!$C$3,IF(Tim!JE57=Sheet6!$C$4,Sheet6!$C$4,IF(Tim!JE57=Sheet6!$C$5,Sheet6!$C$5,IF(Tim!JE57=Sheet6!$C$6,Sheet6!$C$6,IF(Tim!JE57=Sheet6!$C$7,Sheet6!$C$7,IF(Tim!JE57=Sheet6!$C$8,Sheet6!$C$8,"")))))))</f>
        <v/>
      </c>
      <c r="DC55" s="53" t="str">
        <f>IF(Tim!JI57=Sheet6!$C$2,Sheet6!$C$2,IF(Tim!JI57=Sheet6!$C$3,Sheet6!$C$3,IF(Tim!JI57=Sheet6!$C$4,Sheet6!$C$4,IF(Tim!JI57=Sheet6!$C$5,Sheet6!$C$5,IF(Tim!JI57=Sheet6!$C$6,Sheet6!$C$6,IF(Tim!JI57=Sheet6!$C$7,Sheet6!$C$7,IF(Tim!JI57=Sheet6!$C$8,Sheet6!$C$8,"")))))))</f>
        <v/>
      </c>
      <c r="DD55" s="54" t="str">
        <f>IF(Tim!JJ57=Sheet6!$C$2,Sheet6!$C$2,IF(Tim!JJ57=Sheet6!$C$3,Sheet6!$C$3,IF(Tim!JJ57=Sheet6!$C$4,Sheet6!$C$4,IF(Tim!JJ57=Sheet6!$C$5,Sheet6!$C$5,IF(Tim!JJ57=Sheet6!$C$6,Sheet6!$C$6,IF(Tim!JJ57=Sheet6!$C$7,Sheet6!$C$7,IF(Tim!JJ57=Sheet6!$C$8,Sheet6!$C$8,"")))))))</f>
        <v/>
      </c>
      <c r="DE55" s="54" t="str">
        <f>IF(Tim!JK57=Sheet6!$C$2,Sheet6!$C$2,IF(Tim!JK57=Sheet6!$C$3,Sheet6!$C$3,IF(Tim!JK57=Sheet6!$C$4,Sheet6!$C$4,IF(Tim!JK57=Sheet6!$C$5,Sheet6!$C$5,IF(Tim!JK57=Sheet6!$C$6,Sheet6!$C$6,IF(Tim!JK57=Sheet6!$C$7,Sheet6!$C$7,IF(Tim!JK57=Sheet6!$C$8,Sheet6!$C$8,"")))))))</f>
        <v/>
      </c>
      <c r="DF55" s="54" t="str">
        <f>IF(Tim!JL57=Sheet6!$C$2,Sheet6!$C$2,IF(Tim!JL57=Sheet6!$C$3,Sheet6!$C$3,IF(Tim!JL57=Sheet6!$C$4,Sheet6!$C$4,IF(Tim!JL57=Sheet6!$C$5,Sheet6!$C$5,IF(Tim!JL57=Sheet6!$C$6,Sheet6!$C$6,IF(Tim!JL57=Sheet6!$C$7,Sheet6!$C$7,IF(Tim!JL57=Sheet6!$C$8,Sheet6!$C$8,"")))))))</f>
        <v/>
      </c>
      <c r="DG55" s="55" t="str">
        <f>IF(Tim!JM57=Sheet6!$C$2,Sheet6!$C$2,IF(Tim!JM57=Sheet6!$C$3,Sheet6!$C$3,IF(Tim!JM57=Sheet6!$C$4,Sheet6!$C$4,IF(Tim!JM57=Sheet6!$C$5,Sheet6!$C$5,IF(Tim!JM57=Sheet6!$C$6,Sheet6!$C$6,IF(Tim!JM57=Sheet6!$C$7,Sheet6!$C$7,IF(Tim!JM57=Sheet6!$C$8,Sheet6!$C$8,"")))))))</f>
        <v/>
      </c>
      <c r="DH55" s="422"/>
      <c r="DI55" s="423"/>
      <c r="DJ55" s="423"/>
      <c r="DK55" s="423"/>
      <c r="DL55" s="423"/>
      <c r="DM55" s="423"/>
      <c r="DN55" s="423"/>
      <c r="DO55" s="423"/>
      <c r="DP55" s="423"/>
      <c r="DQ55" s="423"/>
      <c r="DR55" s="423"/>
      <c r="DS55" s="423"/>
      <c r="DT55" s="423"/>
      <c r="DU55" s="423"/>
      <c r="DV55" s="423"/>
      <c r="DW55" s="424"/>
      <c r="DX55" s="52">
        <v>0.812499999999998</v>
      </c>
    </row>
    <row r="56" spans="2:128" ht="10.5" customHeight="1" thickBot="1">
      <c r="B56" s="51">
        <v>0.25</v>
      </c>
      <c r="C56" s="51">
        <v>0.25</v>
      </c>
      <c r="D56" s="51">
        <v>0.25</v>
      </c>
      <c r="E56" s="52">
        <v>0.82291666666666496</v>
      </c>
      <c r="F56" s="53" t="str">
        <f>IF(Tim!F58=Sheet6!$C$2,Sheet6!$C$2,IF(Tim!F58=Sheet6!$C$3,Sheet6!$C$3,IF(Tim!F58=Sheet6!$C$4,Sheet6!$C$4,IF(Tim!F58=Sheet6!$C$5,Sheet6!$C$5,IF(Tim!F58=Sheet6!$C$6,Sheet6!$C$6,IF(Tim!F58=Sheet6!$C$7,Sheet6!$C$7,IF(Tim!F58=Sheet6!$C$8,Sheet6!$C$8,"")))))))</f>
        <v/>
      </c>
      <c r="G56" s="53" t="str">
        <f>IF(Tim!M58=Sheet6!$C$2,Sheet6!$C$2,IF(Tim!M58=Sheet6!$C$3,Sheet6!$C$3,IF(Tim!M58=Sheet6!$C$4,Sheet6!$C$4,IF(Tim!M58=Sheet6!$C$5,Sheet6!$C$5,IF(Tim!M58=Sheet6!$C$6,Sheet6!$C$6,IF(Tim!M58=Sheet6!$C$7,Sheet6!$C$7,IF(Tim!M58=Sheet6!$C$8,Sheet6!$C$8,"")))))))</f>
        <v/>
      </c>
      <c r="H56" s="53" t="str">
        <f>IF(Tim!H58=Sheet6!$C$2,Sheet6!$C$2,IF(Tim!H58=Sheet6!$C$3,Sheet6!$C$3,IF(Tim!H58=Sheet6!$C$4,Sheet6!$C$4,IF(Tim!H58=Sheet6!$C$5,Sheet6!$C$5,IF(Tim!H58=Sheet6!$C$6,Sheet6!$C$6,IF(Tim!H58=Sheet6!$C$7,Sheet6!$C$7,IF(Tim!H58=Sheet6!$C$8,Sheet6!$C$8,"")))))))</f>
        <v/>
      </c>
      <c r="I56" s="53" t="str">
        <f>IF(Tim!L58=Sheet6!$C$2,Sheet6!$C$2,IF(Tim!L58=Sheet6!$C$3,Sheet6!$C$3,IF(Tim!L58=Sheet6!$C$4,Sheet6!$C$4,IF(Tim!L58=Sheet6!$C$5,Sheet6!$C$5,IF(Tim!L58=Sheet6!$C$6,Sheet6!$C$6,IF(Tim!L58=Sheet6!$C$7,Sheet6!$C$7,IF(Tim!L58=Sheet6!$C$8,Sheet6!$C$8,"")))))))</f>
        <v/>
      </c>
      <c r="J56" s="53" t="str">
        <f>IF(Tim!T58=Sheet6!$C$2,Sheet6!$C$2,IF(Tim!T58=Sheet6!$C$3,Sheet6!$C$3,IF(Tim!T58=Sheet6!$C$4,Sheet6!$C$4,IF(Tim!T58=Sheet6!$C$5,Sheet6!$C$5,IF(Tim!T58=Sheet6!$C$6,Sheet6!$C$6,IF(Tim!T58=Sheet6!$C$7,Sheet6!$C$7,IF(Tim!T58=Sheet6!$C$8,Sheet6!$C$8,"")))))))</f>
        <v/>
      </c>
      <c r="K56" s="53" t="str">
        <f>IF(Tim!AB58=Sheet6!$C$2,Sheet6!$C$2,IF(Tim!AB58=Sheet6!$C$3,Sheet6!$C$3,IF(Tim!AB58=Sheet6!$C$4,Sheet6!$C$4,IF(Tim!AB58=Sheet6!$C$5,Sheet6!$C$5,IF(Tim!AB58=Sheet6!$C$6,Sheet6!$C$6,IF(Tim!AB58=Sheet6!$C$7,Sheet6!$C$7,IF(Tim!AB58=Sheet6!$C$8,Sheet6!$C$8,"")))))))</f>
        <v/>
      </c>
      <c r="L56" s="53" t="str">
        <f>IF(Tim!AC58=Sheet6!$C$2,Sheet6!$C$2,IF(Tim!AC58=Sheet6!$C$3,Sheet6!$C$3,IF(Tim!AC58=Sheet6!$C$4,Sheet6!$C$4,IF(Tim!AC58=Sheet6!$C$5,Sheet6!$C$5,IF(Tim!AC58=Sheet6!$C$6,Sheet6!$C$6,IF(Tim!AC58=Sheet6!$C$7,Sheet6!$C$7,IF(Tim!AC58=Sheet6!$C$8,Sheet6!$C$8,"")))))))</f>
        <v/>
      </c>
      <c r="M56" s="53" t="str">
        <f>IF(Tim!AJ58=Sheet6!$C$2,Sheet6!$C$2,IF(Tim!AJ58=Sheet6!$C$3,Sheet6!$C$3,IF(Tim!AJ58=Sheet6!$C$4,Sheet6!$C$4,IF(Tim!AJ58=Sheet6!$C$5,Sheet6!$C$5,IF(Tim!AJ58=Sheet6!$C$6,Sheet6!$C$6,IF(Tim!AJ58=Sheet6!$C$7,Sheet6!$C$7,IF(Tim!AJ58=Sheet6!$C$8,Sheet6!$C$8,"")))))))</f>
        <v/>
      </c>
      <c r="N56" s="53" t="str">
        <f>IF(Tim!AK58=Sheet6!$C$2,Sheet6!$C$2,IF(Tim!AK58=Sheet6!$C$3,Sheet6!$C$3,IF(Tim!AK58=Sheet6!$C$4,Sheet6!$C$4,IF(Tim!AK58=Sheet6!$C$5,Sheet6!$C$5,IF(Tim!AK58=Sheet6!$C$6,Sheet6!$C$6,IF(Tim!AK58=Sheet6!$C$7,Sheet6!$C$7,IF(Tim!AK58=Sheet6!$C$8,Sheet6!$C$8,"")))))))</f>
        <v/>
      </c>
      <c r="O56" s="53" t="str">
        <f>IF(Tim!AL58=Sheet6!$C$2,Sheet6!$C$2,IF(Tim!AL58=Sheet6!$C$3,Sheet6!$C$3,IF(Tim!AL58=Sheet6!$C$4,Sheet6!$C$4,IF(Tim!AL58=Sheet6!$C$5,Sheet6!$C$5,IF(Tim!AL58=Sheet6!$C$6,Sheet6!$C$6,IF(Tim!AL58=Sheet6!$C$7,Sheet6!$C$7,IF(Tim!AL58=Sheet6!$C$8,Sheet6!$C$8,"")))))))</f>
        <v/>
      </c>
      <c r="P56" s="53" t="str">
        <f>IF(Tim!AN58=Sheet6!$C$2,Sheet6!$C$2,IF(Tim!AN58=Sheet6!$C$3,Sheet6!$C$3,IF(Tim!AN58=Sheet6!$C$4,Sheet6!$C$4,IF(Tim!AN58=Sheet6!$C$5,Sheet6!$C$5,IF(Tim!AN58=Sheet6!$C$6,Sheet6!$C$6,IF(Tim!AN58=Sheet6!$C$7,Sheet6!$C$7,IF(Tim!AN58=Sheet6!$C$8,Sheet6!$C$8,"")))))))</f>
        <v/>
      </c>
      <c r="Q56" s="176" t="str">
        <f>IF(Tim!AO58=Sheet6!$C$2,Sheet6!$C$2,IF(Tim!AO58=Sheet6!$C$3,Sheet6!$C$3,IF(Tim!AO58=Sheet6!$C$4,Sheet6!$C$4,IF(Tim!AO58=Sheet6!$C$5,Sheet6!$C$5,IF(Tim!AO58=Sheet6!$C$6,Sheet6!$C$6,IF(Tim!AO58=Sheet6!$C$7,Sheet6!$C$7,IF(Tim!AO58=Sheet6!$C$8,Sheet6!$C$8,"")))))))</f>
        <v/>
      </c>
      <c r="R56" s="53" t="str">
        <f>IF(Tim!AP58=Sheet6!$C$2,Sheet6!$C$2,IF(Tim!AP58=Sheet6!$C$3,Sheet6!$C$3,IF(Tim!AP58=Sheet6!$C$4,Sheet6!$C$4,IF(Tim!AP58=Sheet6!$C$5,Sheet6!$C$5,IF(Tim!AP58=Sheet6!$C$6,Sheet6!$C$6,IF(Tim!AP58=Sheet6!$C$7,Sheet6!$C$7,IF(Tim!AP58=Sheet6!$C$8,Sheet6!$C$8,"")))))))</f>
        <v/>
      </c>
      <c r="S56" s="53" t="str">
        <f>IF(Tim!AT58=Sheet6!$C$2,Sheet6!$C$2,IF(Tim!AT58=Sheet6!$C$3,Sheet6!$C$3,IF(Tim!AT58=Sheet6!$C$4,Sheet6!$C$4,IF(Tim!AT58=Sheet6!$C$5,Sheet6!$C$5,IF(Tim!AT58=Sheet6!$C$6,Sheet6!$C$6,IF(Tim!AT58=Sheet6!$C$7,Sheet6!$C$7,IF(Tim!AT58=Sheet6!$C$8,Sheet6!$C$8,"")))))))</f>
        <v/>
      </c>
      <c r="T56" s="54" t="str">
        <f>IF(Tim!AU58=Sheet6!$C$2,Sheet6!$C$2,IF(Tim!AU58=Sheet6!$C$3,Sheet6!$C$3,IF(Tim!AU58=Sheet6!$C$4,Sheet6!$C$4,IF(Tim!AU58=Sheet6!$C$5,Sheet6!$C$5,IF(Tim!AU58=Sheet6!$C$6,Sheet6!$C$6,IF(Tim!AU58=Sheet6!$C$7,Sheet6!$C$7,IF(Tim!AU58=Sheet6!$C$8,Sheet6!$C$8,"")))))))</f>
        <v/>
      </c>
      <c r="U56" s="54" t="str">
        <f>IF(Tim!AV58=Sheet6!$C$2,Sheet6!$C$2,IF(Tim!AV58=Sheet6!$C$3,Sheet6!$C$3,IF(Tim!AV58=Sheet6!$C$4,Sheet6!$C$4,IF(Tim!AV58=Sheet6!$C$5,Sheet6!$C$5,IF(Tim!AV58=Sheet6!$C$6,Sheet6!$C$6,IF(Tim!AV58=Sheet6!$C$7,Sheet6!$C$7,IF(Tim!AV58=Sheet6!$C$8,Sheet6!$C$8,"")))))))</f>
        <v/>
      </c>
      <c r="V56" s="54" t="str">
        <f>IF(Tim!AW58=Sheet6!$C$2,Sheet6!$C$2,IF(Tim!AW58=Sheet6!$C$3,Sheet6!$C$3,IF(Tim!AW58=Sheet6!$C$4,Sheet6!$C$4,IF(Tim!AW58=Sheet6!$C$5,Sheet6!$C$5,IF(Tim!AW58=Sheet6!$C$6,Sheet6!$C$6,IF(Tim!AW58=Sheet6!$C$7,Sheet6!$C$7,IF(Tim!AW58=Sheet6!$C$8,Sheet6!$C$8,"")))))))</f>
        <v/>
      </c>
      <c r="W56" s="55" t="str">
        <f>IF(Tim!AX58=Sheet6!$C$2,Sheet6!$C$2,IF(Tim!AX58=Sheet6!$C$3,Sheet6!$C$3,IF(Tim!AX58=Sheet6!$C$4,Sheet6!$C$4,IF(Tim!AX58=Sheet6!$C$5,Sheet6!$C$5,IF(Tim!AX58=Sheet6!$C$6,Sheet6!$C$6,IF(Tim!AX58=Sheet6!$C$7,Sheet6!$C$7,IF(Tim!AX58=Sheet6!$C$8,Sheet6!$C$8,"")))))))</f>
        <v/>
      </c>
      <c r="X56" s="53" t="str">
        <f>IF(Tim!AY58=Sheet6!$C$2,Sheet6!$C$2,IF(Tim!AY58=Sheet6!$C$3,Sheet6!$C$3,IF(Tim!AY58=Sheet6!$C$4,Sheet6!$C$4,IF(Tim!AY58=Sheet6!$C$5,Sheet6!$C$5,IF(Tim!AY58=Sheet6!$C$6,Sheet6!$C$6,IF(Tim!AY58=Sheet6!$C$7,Sheet6!$C$7,IF(Tim!AY58=Sheet6!$C$8,Sheet6!$C$8,"")))))))</f>
        <v/>
      </c>
      <c r="Y56" s="57" t="str">
        <f>IF(Tim!AZ58=Sheet6!$C$2,Sheet6!$C$2,IF(Tim!AZ58=Sheet6!$C$3,Sheet6!$C$3,IF(Tim!AZ58=Sheet6!$C$4,Sheet6!$C$4,IF(Tim!AZ58=Sheet6!$C$5,Sheet6!$C$5,IF(Tim!AZ58=Sheet6!$C$6,Sheet6!$C$6,IF(Tim!AZ58=Sheet6!$C$7,Sheet6!$C$7,IF(Tim!AZ58=Sheet6!$C$8,Sheet6!$C$8,"")))))))</f>
        <v/>
      </c>
      <c r="Z56" s="57" t="str">
        <f>IF(Tim!BD58=Sheet6!$C$2,Sheet6!$C$2,IF(Tim!BD58=Sheet6!$C$3,Sheet6!$C$3,IF(Tim!BD58=Sheet6!$C$4,Sheet6!$C$4,IF(Tim!BD58=Sheet6!$C$5,Sheet6!$C$5,IF(Tim!BD58=Sheet6!$C$6,Sheet6!$C$6,IF(Tim!BD58=Sheet6!$C$7,Sheet6!$C$7,IF(Tim!BD58=Sheet6!$C$8,Sheet6!$C$8,"")))))))</f>
        <v/>
      </c>
      <c r="AA56" s="57" t="str">
        <f>IF(Tim!BE58=Sheet6!$C$2,Sheet6!$C$2,IF(Tim!BE58=Sheet6!$C$3,Sheet6!$C$3,IF(Tim!BE58=Sheet6!$C$4,Sheet6!$C$4,IF(Tim!BE58=Sheet6!$C$5,Sheet6!$C$5,IF(Tim!BE58=Sheet6!$C$6,Sheet6!$C$6,IF(Tim!BE58=Sheet6!$C$7,Sheet6!$C$7,IF(Tim!BE58=Sheet6!$C$8,Sheet6!$C$8,"")))))))</f>
        <v/>
      </c>
      <c r="AB56" s="57" t="str">
        <f>IF(Tim!BL58=Sheet6!$C$2,Sheet6!$C$2,IF(Tim!BL58=Sheet6!$C$3,Sheet6!$C$3,IF(Tim!BL58=Sheet6!$C$4,Sheet6!$C$4,IF(Tim!BL58=Sheet6!$C$5,Sheet6!$C$5,IF(Tim!BL58=Sheet6!$C$6,Sheet6!$C$6,IF(Tim!BL58=Sheet6!$C$7,Sheet6!$C$7,IF(Tim!BL58=Sheet6!$C$8,Sheet6!$C$8,"")))))))</f>
        <v/>
      </c>
      <c r="AC56" s="53" t="str">
        <f>IF(Tim!BT58=Sheet6!$C$2,Sheet6!$C$2,IF(Tim!BT58=Sheet6!$C$3,Sheet6!$C$3,IF(Tim!BT58=Sheet6!$C$4,Sheet6!$C$4,IF(Tim!BT58=Sheet6!$C$5,Sheet6!$C$5,IF(Tim!BT58=Sheet6!$C$6,Sheet6!$C$6,IF(Tim!BT58=Sheet6!$C$7,Sheet6!$C$7,IF(Tim!BT58=Sheet6!$C$8,Sheet6!$C$8,"")))))))</f>
        <v/>
      </c>
      <c r="AD56" s="53" t="str">
        <f>IF(Tim!BU58=Sheet6!$C$2,Sheet6!$C$2,IF(Tim!BU58=Sheet6!$C$3,Sheet6!$C$3,IF(Tim!BU58=Sheet6!$C$4,Sheet6!$C$4,IF(Tim!BU58=Sheet6!$C$5,Sheet6!$C$5,IF(Tim!BU58=Sheet6!$C$6,Sheet6!$C$6,IF(Tim!BU58=Sheet6!$C$7,Sheet6!$C$7,IF(Tim!BU58=Sheet6!$C$8,Sheet6!$C$8,"")))))))</f>
        <v/>
      </c>
      <c r="AE56" s="53" t="str">
        <f>IF(Tim!CB58=Sheet6!$C$2,Sheet6!$C$2,IF(Tim!CB58=Sheet6!$C$3,Sheet6!$C$3,IF(Tim!CB58=Sheet6!$C$4,Sheet6!$C$4,IF(Tim!CB58=Sheet6!$C$5,Sheet6!$C$5,IF(Tim!CB58=Sheet6!$C$6,Sheet6!$C$6,IF(Tim!CB58=Sheet6!$C$7,Sheet6!$C$7,IF(Tim!CB58=Sheet6!$C$8,Sheet6!$C$8,"")))))))</f>
        <v/>
      </c>
      <c r="AF56" s="53" t="str">
        <f>IF(Tim!CD58=Sheet6!$C$2,Sheet6!$C$2,IF(Tim!CD58=Sheet6!$C$3,Sheet6!$C$3,IF(Tim!CD58=Sheet6!$C$4,Sheet6!$C$4,IF(Tim!CD58=Sheet6!$C$5,Sheet6!$C$5,IF(Tim!CD58=Sheet6!$C$6,Sheet6!$C$6,IF(Tim!CD58=Sheet6!$C$7,Sheet6!$C$7,IF(Tim!CD58=Sheet6!$C$8,Sheet6!$C$8,"")))))))</f>
        <v/>
      </c>
      <c r="AG56" s="53" t="str">
        <f>IF(Tim!CE58=Sheet6!$C$2,Sheet6!$C$2,IF(Tim!CE58=Sheet6!$C$3,Sheet6!$C$3,IF(Tim!CE58=Sheet6!$C$4,Sheet6!$C$4,IF(Tim!CE58=Sheet6!$C$5,Sheet6!$C$5,IF(Tim!CE58=Sheet6!$C$6,Sheet6!$C$6,IF(Tim!CE58=Sheet6!$C$7,Sheet6!$C$7,IF(Tim!CE58=Sheet6!$C$8,Sheet6!$C$8,"")))))))</f>
        <v/>
      </c>
      <c r="AH56" s="53" t="str">
        <f>IF(Tim!CF58=Sheet6!$C$2,Sheet6!$C$2,IF(Tim!CF58=Sheet6!$C$3,Sheet6!$C$3,IF(Tim!CF58=Sheet6!$C$4,Sheet6!$C$4,IF(Tim!CF58=Sheet6!$C$5,Sheet6!$C$5,IF(Tim!CF58=Sheet6!$C$6,Sheet6!$C$6,IF(Tim!CF58=Sheet6!$C$7,Sheet6!$C$7,IF(Tim!CF58=Sheet6!$C$8,Sheet6!$C$8,"")))))))</f>
        <v/>
      </c>
      <c r="AI56" s="176" t="str">
        <f>IF(Tim!CG58=Sheet6!$C$2,Sheet6!$C$2,IF(Tim!CG58=Sheet6!$C$3,Sheet6!$C$3,IF(Tim!CG58=Sheet6!$C$4,Sheet6!$C$4,IF(Tim!CG58=Sheet6!$C$5,Sheet6!$C$5,IF(Tim!CG58=Sheet6!$C$6,Sheet6!$C$6,IF(Tim!CG58=Sheet6!$C$7,Sheet6!$C$7,IF(Tim!CG58=Sheet6!$C$8,Sheet6!$C$8,"")))))))</f>
        <v/>
      </c>
      <c r="AJ56" s="53" t="str">
        <f>IF(Tim!CH58=Sheet6!$C$2,Sheet6!$C$2,IF(Tim!CH58=Sheet6!$C$3,Sheet6!$C$3,IF(Tim!CH58=Sheet6!$C$4,Sheet6!$C$4,IF(Tim!CH58=Sheet6!$C$5,Sheet6!$C$5,IF(Tim!CH58=Sheet6!$C$6,Sheet6!$C$6,IF(Tim!CH58=Sheet6!$C$7,Sheet6!$C$7,IF(Tim!CH58=Sheet6!$C$8,Sheet6!$C$8,"")))))))</f>
        <v/>
      </c>
      <c r="AK56" s="53" t="str">
        <f>IF(Tim!CL58=Sheet6!$C$2,Sheet6!$C$2,IF(Tim!CL58=Sheet6!$C$3,Sheet6!$C$3,IF(Tim!CL58=Sheet6!$C$4,Sheet6!$C$4,IF(Tim!CL58=Sheet6!$C$5,Sheet6!$C$5,IF(Tim!CL58=Sheet6!$C$6,Sheet6!$C$6,IF(Tim!CL58=Sheet6!$C$7,Sheet6!$C$7,IF(Tim!CL58=Sheet6!$C$8,Sheet6!$C$8,"")))))))</f>
        <v/>
      </c>
      <c r="AL56" s="54" t="str">
        <f>IF(Tim!CM58=Sheet6!$C$2,Sheet6!$C$2,IF(Tim!CM58=Sheet6!$C$3,Sheet6!$C$3,IF(Tim!CM58=Sheet6!$C$4,Sheet6!$C$4,IF(Tim!CM58=Sheet6!$C$5,Sheet6!$C$5,IF(Tim!CM58=Sheet6!$C$6,Sheet6!$C$6,IF(Tim!CM58=Sheet6!$C$7,Sheet6!$C$7,IF(Tim!CM58=Sheet6!$C$8,Sheet6!$C$8,"")))))))</f>
        <v/>
      </c>
      <c r="AM56" s="54" t="str">
        <f>IF(Tim!CN58=Sheet6!$C$2,Sheet6!$C$2,IF(Tim!CN58=Sheet6!$C$3,Sheet6!$C$3,IF(Tim!CN58=Sheet6!$C$4,Sheet6!$C$4,IF(Tim!CN58=Sheet6!$C$5,Sheet6!$C$5,IF(Tim!CN58=Sheet6!$C$6,Sheet6!$C$6,IF(Tim!CN58=Sheet6!$C$7,Sheet6!$C$7,IF(Tim!CN58=Sheet6!$C$8,Sheet6!$C$8,"")))))))</f>
        <v/>
      </c>
      <c r="AN56" s="54" t="str">
        <f>IF(Tim!CO58=Sheet6!$C$2,Sheet6!$C$2,IF(Tim!CO58=Sheet6!$C$3,Sheet6!$C$3,IF(Tim!CO58=Sheet6!$C$4,Sheet6!$C$4,IF(Tim!CO58=Sheet6!$C$5,Sheet6!$C$5,IF(Tim!CO58=Sheet6!$C$6,Sheet6!$C$6,IF(Tim!CO58=Sheet6!$C$7,Sheet6!$C$7,IF(Tim!CO58=Sheet6!$C$8,Sheet6!$C$8,"")))))))</f>
        <v/>
      </c>
      <c r="AO56" s="177" t="str">
        <f>IF(Tim!CP58=Sheet6!$C$2,Sheet6!$C$2,IF(Tim!CP58=Sheet6!$C$3,Sheet6!$C$3,IF(Tim!CP58=Sheet6!$C$4,Sheet6!$C$4,IF(Tim!CP58=Sheet6!$C$5,Sheet6!$C$5,IF(Tim!CP58=Sheet6!$C$6,Sheet6!$C$6,IF(Tim!CP58=Sheet6!$C$7,Sheet6!$C$7,IF(Tim!CP58=Sheet6!$C$8,Sheet6!$C$8,"")))))))</f>
        <v/>
      </c>
      <c r="AP56" s="53" t="str">
        <f>IF(Tim!CQ58=Sheet6!$C$2,Sheet6!$C$2,IF(Tim!CQ58=Sheet6!$C$3,Sheet6!$C$3,IF(Tim!CQ58=Sheet6!$C$4,Sheet6!$C$4,IF(Tim!CQ58=Sheet6!$C$5,Sheet6!$C$5,IF(Tim!CQ58=Sheet6!$C$6,Sheet6!$C$6,IF(Tim!CQ58=Sheet6!$C$7,Sheet6!$C$7,IF(Tim!CQ58=Sheet6!$C$8,Sheet6!$C$8,"")))))))</f>
        <v/>
      </c>
      <c r="AQ56" s="53" t="str">
        <f>IF(Tim!CR58=Sheet6!$C$2,Sheet6!$C$2,IF(Tim!CR58=Sheet6!$C$3,Sheet6!$C$3,IF(Tim!CR58=Sheet6!$C$4,Sheet6!$C$4,IF(Tim!CR58=Sheet6!$C$5,Sheet6!$C$5,IF(Tim!CR58=Sheet6!$C$6,Sheet6!$C$6,IF(Tim!CR58=Sheet6!$C$7,Sheet6!$C$7,IF(Tim!CR58=Sheet6!$C$8,Sheet6!$C$8,"")))))))</f>
        <v/>
      </c>
      <c r="AR56" s="57" t="str">
        <f>IF(Tim!CV58=Sheet6!$C$2,Sheet6!$C$2,IF(Tim!CV58=Sheet6!$C$3,Sheet6!$C$3,IF(Tim!CV58=Sheet6!$C$4,Sheet6!$C$4,IF(Tim!CV58=Sheet6!$C$5,Sheet6!$C$5,IF(Tim!CV58=Sheet6!$C$6,Sheet6!$C$6,IF(Tim!CV58=Sheet6!$C$7,Sheet6!$C$7,IF(Tim!CV58=Sheet6!$C$8,Sheet6!$C$8,"")))))))</f>
        <v/>
      </c>
      <c r="AS56" s="57" t="str">
        <f>IF(Tim!CW58=Sheet6!$C$2,Sheet6!$C$2,IF(Tim!CW58=Sheet6!$C$3,Sheet6!$C$3,IF(Tim!CW58=Sheet6!$C$4,Sheet6!$C$4,IF(Tim!CW58=Sheet6!$C$5,Sheet6!$C$5,IF(Tim!CW58=Sheet6!$C$6,Sheet6!$C$6,IF(Tim!CW58=Sheet6!$C$7,Sheet6!$C$7,IF(Tim!CW58=Sheet6!$C$8,Sheet6!$C$8,"")))))))</f>
        <v/>
      </c>
      <c r="AT56" s="57" t="str">
        <f>IF(Tim!DA58=Sheet6!$C$2,Sheet6!$C$2,IF(Tim!DA58=Sheet6!$C$3,Sheet6!$C$3,IF(Tim!DA58=Sheet6!$C$4,Sheet6!$C$4,IF(Tim!DA58=Sheet6!$C$5,Sheet6!$C$5,IF(Tim!DA58=Sheet6!$C$6,Sheet6!$C$6,IF(Tim!DA58=Sheet6!$C$7,Sheet6!$C$7,IF(Tim!DA58=Sheet6!$C$8,Sheet6!$C$8,"")))))))</f>
        <v/>
      </c>
      <c r="AU56" s="53" t="str">
        <f>IF(Tim!DO58=Sheet6!$C$2,Sheet6!$C$2,IF(Tim!DO58=Sheet6!$C$3,Sheet6!$C$3,IF(Tim!DO58=Sheet6!$C$4,Sheet6!$C$4,IF(Tim!DO58=Sheet6!$C$5,Sheet6!$C$5,IF(Tim!DO58=Sheet6!$C$6,Sheet6!$C$6,IF(Tim!DO58=Sheet6!$C$7,Sheet6!$C$7,IF(Tim!DO58=Sheet6!$C$8,Sheet6!$C$8,"")))))))</f>
        <v/>
      </c>
      <c r="AV56" s="53" t="str">
        <f>IF(Tim!DP58=Sheet6!$C$2,Sheet6!$C$2,IF(Tim!DP58=Sheet6!$C$3,Sheet6!$C$3,IF(Tim!DP58=Sheet6!$C$4,Sheet6!$C$4,IF(Tim!DP58=Sheet6!$C$5,Sheet6!$C$5,IF(Tim!DP58=Sheet6!$C$6,Sheet6!$C$6,IF(Tim!DP58=Sheet6!$C$7,Sheet6!$C$7,IF(Tim!DP58=Sheet6!$C$8,Sheet6!$C$8,"")))))))</f>
        <v/>
      </c>
      <c r="AW56" s="53" t="str">
        <f>IF(Tim!DX58=Sheet6!$C$2,Sheet6!$C$2,IF(Tim!DX58=Sheet6!$C$3,Sheet6!$C$3,IF(Tim!DX58=Sheet6!$C$4,Sheet6!$C$4,IF(Tim!DX58=Sheet6!$C$5,Sheet6!$C$5,IF(Tim!DX58=Sheet6!$C$6,Sheet6!$C$6,IF(Tim!DX58=Sheet6!$C$7,Sheet6!$C$7,IF(Tim!DX58=Sheet6!$C$8,Sheet6!$C$8,"")))))))</f>
        <v/>
      </c>
      <c r="AX56" s="53" t="str">
        <f>IF(Tim!DY58=Sheet6!$C$2,Sheet6!$C$2,IF(Tim!DY58=Sheet6!$C$3,Sheet6!$C$3,IF(Tim!DY58=Sheet6!$C$4,Sheet6!$C$4,IF(Tim!DY58=Sheet6!$C$5,Sheet6!$C$5,IF(Tim!DY58=Sheet6!$C$6,Sheet6!$C$6,IF(Tim!DY58=Sheet6!$C$7,Sheet6!$C$7,IF(Tim!DY58=Sheet6!$C$8,Sheet6!$C$8,"")))))))</f>
        <v/>
      </c>
      <c r="AY56" s="53" t="str">
        <f>IF(Tim!DZ58=Sheet6!$C$2,Sheet6!$C$2,IF(Tim!DZ58=Sheet6!$C$3,Sheet6!$C$3,IF(Tim!DZ58=Sheet6!$C$4,Sheet6!$C$4,IF(Tim!DZ58=Sheet6!$C$5,Sheet6!$C$5,IF(Tim!DZ58=Sheet6!$C$6,Sheet6!$C$6,IF(Tim!DZ58=Sheet6!$C$7,Sheet6!$C$7,IF(Tim!DZ58=Sheet6!$C$8,Sheet6!$C$8,"")))))))</f>
        <v/>
      </c>
      <c r="AZ56" s="53" t="str">
        <f>IF(Tim!EA58=Sheet6!$C$2,Sheet6!$C$2,IF(Tim!EA58=Sheet6!$C$3,Sheet6!$C$3,IF(Tim!EA58=Sheet6!$C$4,Sheet6!$C$4,IF(Tim!EA58=Sheet6!$C$5,Sheet6!$C$5,IF(Tim!EA58=Sheet6!$C$6,Sheet6!$C$6,IF(Tim!EA58=Sheet6!$C$7,Sheet6!$C$7,IF(Tim!EA58=Sheet6!$C$8,Sheet6!$C$8,"")))))))</f>
        <v/>
      </c>
      <c r="BA56" s="176" t="str">
        <f>IF(Tim!EB58=Sheet6!$C$2,Sheet6!$C$2,IF(Tim!EB58=Sheet6!$C$3,Sheet6!$C$3,IF(Tim!EB58=Sheet6!$C$4,Sheet6!$C$4,IF(Tim!EB58=Sheet6!$C$5,Sheet6!$C$5,IF(Tim!EB58=Sheet6!$C$6,Sheet6!$C$6,IF(Tim!EB58=Sheet6!$C$7,Sheet6!$C$7,IF(Tim!EB58=Sheet6!$C$8,Sheet6!$C$8,"")))))))</f>
        <v/>
      </c>
      <c r="BB56" s="53" t="str">
        <f>IF(Tim!EC58=Sheet6!$C$2,Sheet6!$C$2,IF(Tim!EC58=Sheet6!$C$3,Sheet6!$C$3,IF(Tim!EC58=Sheet6!$C$4,Sheet6!$C$4,IF(Tim!EC58=Sheet6!$C$5,Sheet6!$C$5,IF(Tim!EC58=Sheet6!$C$6,Sheet6!$C$6,IF(Tim!EC58=Sheet6!$C$7,Sheet6!$C$7,IF(Tim!EC58=Sheet6!$C$8,Sheet6!$C$8,"")))))))</f>
        <v/>
      </c>
      <c r="BC56" s="53" t="str">
        <f>IF(Tim!EG58=Sheet6!$C$2,Sheet6!$C$2,IF(Tim!EG58=Sheet6!$C$3,Sheet6!$C$3,IF(Tim!EG58=Sheet6!$C$4,Sheet6!$C$4,IF(Tim!EG58=Sheet6!$C$5,Sheet6!$C$5,IF(Tim!EG58=Sheet6!$C$6,Sheet6!$C$6,IF(Tim!EG58=Sheet6!$C$7,Sheet6!$C$7,IF(Tim!EG58=Sheet6!$C$8,Sheet6!$C$8,"")))))))</f>
        <v/>
      </c>
      <c r="BD56" s="54" t="str">
        <f>IF(Tim!EH58=Sheet6!$C$2,Sheet6!$C$2,IF(Tim!EH58=Sheet6!$C$3,Sheet6!$C$3,IF(Tim!EH58=Sheet6!$C$4,Sheet6!$C$4,IF(Tim!EH58=Sheet6!$C$5,Sheet6!$C$5,IF(Tim!EH58=Sheet6!$C$6,Sheet6!$C$6,IF(Tim!EH58=Sheet6!$C$7,Sheet6!$C$7,IF(Tim!EH58=Sheet6!$C$8,Sheet6!$C$8,"")))))))</f>
        <v/>
      </c>
      <c r="BE56" s="54" t="str">
        <f>IF(Tim!EI58=Sheet6!$C$2,Sheet6!$C$2,IF(Tim!EI58=Sheet6!$C$3,Sheet6!$C$3,IF(Tim!EI58=Sheet6!$C$4,Sheet6!$C$4,IF(Tim!EI58=Sheet6!$C$5,Sheet6!$C$5,IF(Tim!EI58=Sheet6!$C$6,Sheet6!$C$6,IF(Tim!EI58=Sheet6!$C$7,Sheet6!$C$7,IF(Tim!EI58=Sheet6!$C$8,Sheet6!$C$8,"")))))))</f>
        <v/>
      </c>
      <c r="BF56" s="53" t="str">
        <f>IF(Tim!EJ58=Sheet6!$C$2,Sheet6!$C$2,IF(Tim!EJ58=Sheet6!$C$3,Sheet6!$C$3,IF(Tim!EJ58=Sheet6!$C$4,Sheet6!$C$4,IF(Tim!EJ58=Sheet6!$C$5,Sheet6!$C$5,IF(Tim!EJ58=Sheet6!$C$6,Sheet6!$C$6,IF(Tim!EJ58=Sheet6!$C$7,Sheet6!$C$7,IF(Tim!EJ58=Sheet6!$C$8,Sheet6!$C$8,"")))))))</f>
        <v/>
      </c>
      <c r="BG56" s="55" t="str">
        <f>IF(Tim!EK58=Sheet6!$C$2,Sheet6!$C$2,IF(Tim!EK58=Sheet6!$C$3,Sheet6!$C$3,IF(Tim!EK58=Sheet6!$C$4,Sheet6!$C$4,IF(Tim!EK58=Sheet6!$C$5,Sheet6!$C$5,IF(Tim!EK58=Sheet6!$C$6,Sheet6!$C$6,IF(Tim!EK58=Sheet6!$C$7,Sheet6!$C$7,IF(Tim!EK58=Sheet6!$C$8,Sheet6!$C$8,"")))))))</f>
        <v/>
      </c>
      <c r="BH56" s="53" t="str">
        <f>IF(Tim!EL58=Sheet6!$C$2,Sheet6!$C$2,IF(Tim!EL58=Sheet6!$C$3,Sheet6!$C$3,IF(Tim!EL58=Sheet6!$C$4,Sheet6!$C$4,IF(Tim!EL58=Sheet6!$C$5,Sheet6!$C$5,IF(Tim!EL58=Sheet6!$C$6,Sheet6!$C$6,IF(Tim!EL58=Sheet6!$C$7,Sheet6!$C$7,IF(Tim!EL58=Sheet6!$C$8,Sheet6!$C$8,"")))))))</f>
        <v/>
      </c>
      <c r="BI56" s="57" t="str">
        <f>IF(Tim!EM58=Sheet6!$C$2,Sheet6!$C$2,IF(Tim!EM58=Sheet6!$C$3,Sheet6!$C$3,IF(Tim!EM58=Sheet6!$C$4,Sheet6!$C$4,IF(Tim!EM58=Sheet6!$C$5,Sheet6!$C$5,IF(Tim!EM58=Sheet6!$C$6,Sheet6!$C$6,IF(Tim!EM58=Sheet6!$C$7,Sheet6!$C$7,IF(Tim!EM58=Sheet6!$C$8,Sheet6!$C$8,"")))))))</f>
        <v/>
      </c>
      <c r="BJ56" s="57" t="str">
        <f>IF(Tim!EQ58=Sheet6!$C$2,Sheet6!$C$2,IF(Tim!EQ58=Sheet6!$C$3,Sheet6!$C$3,IF(Tim!EQ58=Sheet6!$C$4,Sheet6!$C$4,IF(Tim!EQ58=Sheet6!$C$5,Sheet6!$C$5,IF(Tim!EQ58=Sheet6!$C$6,Sheet6!$C$6,IF(Tim!EQ58=Sheet6!$C$7,Sheet6!$C$7,IF(Tim!EQ58=Sheet6!$C$8,Sheet6!$C$8,"")))))))</f>
        <v/>
      </c>
      <c r="BK56" s="57" t="str">
        <f>IF(Tim!ER58=Sheet6!$C$2,Sheet6!$C$2,IF(Tim!ER58=Sheet6!$C$3,Sheet6!$C$3,IF(Tim!ER58=Sheet6!$C$4,Sheet6!$C$4,IF(Tim!ER58=Sheet6!$C$5,Sheet6!$C$5,IF(Tim!ER58=Sheet6!$C$6,Sheet6!$C$6,IF(Tim!ER58=Sheet6!$C$7,Sheet6!$C$7,IF(Tim!ER58=Sheet6!$C$8,Sheet6!$C$8,"")))))))</f>
        <v/>
      </c>
      <c r="BL56" s="57" t="str">
        <f>IF(Tim!EZ58=Sheet6!$C$2,Sheet6!$C$2,IF(Tim!EZ58=Sheet6!$C$3,Sheet6!$C$3,IF(Tim!EZ58=Sheet6!$C$4,Sheet6!$C$4,IF(Tim!EZ58=Sheet6!$C$5,Sheet6!$C$5,IF(Tim!EZ58=Sheet6!$C$6,Sheet6!$C$6,IF(Tim!EZ58=Sheet6!$C$7,Sheet6!$C$7,IF(Tim!EZ58=Sheet6!$C$8,Sheet6!$C$8,"")))))))</f>
        <v/>
      </c>
      <c r="BM56" s="53" t="str">
        <f>IF(Tim!FG58=Sheet6!$C$2,Sheet6!$C$2,IF(Tim!FG58=Sheet6!$C$3,Sheet6!$C$3,IF(Tim!FG58=Sheet6!$C$4,Sheet6!$C$4,IF(Tim!FG58=Sheet6!$C$5,Sheet6!$C$5,IF(Tim!FG58=Sheet6!$C$6,Sheet6!$C$6,IF(Tim!FG58=Sheet6!$C$7,Sheet6!$C$7,IF(Tim!FG58=Sheet6!$C$8,Sheet6!$C$8,"")))))))</f>
        <v/>
      </c>
      <c r="BN56" s="53" t="str">
        <f>IF(Tim!FH58=Sheet6!$C$2,Sheet6!$C$2,IF(Tim!FH58=Sheet6!$C$3,Sheet6!$C$3,IF(Tim!FH58=Sheet6!$C$4,Sheet6!$C$4,IF(Tim!FH58=Sheet6!$C$5,Sheet6!$C$5,IF(Tim!FH58=Sheet6!$C$6,Sheet6!$C$6,IF(Tim!FH58=Sheet6!$C$7,Sheet6!$C$7,IF(Tim!FH58=Sheet6!$C$8,Sheet6!$C$8,"")))))))</f>
        <v/>
      </c>
      <c r="BO56" s="53" t="str">
        <f>IF(Tim!FP58=Sheet6!$C$2,Sheet6!$C$2,IF(Tim!FP58=Sheet6!$C$3,Sheet6!$C$3,IF(Tim!FP58=Sheet6!$C$4,Sheet6!$C$4,IF(Tim!FP58=Sheet6!$C$5,Sheet6!$C$5,IF(Tim!FP58=Sheet6!$C$6,Sheet6!$C$6,IF(Tim!FP58=Sheet6!$C$7,Sheet6!$C$7,IF(Tim!FP58=Sheet6!$C$8,Sheet6!$C$8,"")))))))</f>
        <v/>
      </c>
      <c r="BP56" s="53" t="str">
        <f>IF(Tim!FQ58=Sheet6!$C$2,Sheet6!$C$2,IF(Tim!FQ58=Sheet6!$C$3,Sheet6!$C$3,IF(Tim!FQ58=Sheet6!$C$4,Sheet6!$C$4,IF(Tim!FQ58=Sheet6!$C$5,Sheet6!$C$5,IF(Tim!FQ58=Sheet6!$C$6,Sheet6!$C$6,IF(Tim!FQ58=Sheet6!$C$7,Sheet6!$C$7,IF(Tim!FQ58=Sheet6!$C$8,Sheet6!$C$8,"")))))))</f>
        <v/>
      </c>
      <c r="BQ56" s="53" t="str">
        <f>IF(Tim!FR58=Sheet6!$C$2,Sheet6!$C$2,IF(Tim!FR58=Sheet6!$C$3,Sheet6!$C$3,IF(Tim!FR58=Sheet6!$C$4,Sheet6!$C$4,IF(Tim!FR58=Sheet6!$C$5,Sheet6!$C$5,IF(Tim!FR58=Sheet6!$C$6,Sheet6!$C$6,IF(Tim!FR58=Sheet6!$C$7,Sheet6!$C$7,IF(Tim!FR58=Sheet6!$C$8,Sheet6!$C$8,"")))))))</f>
        <v/>
      </c>
      <c r="BR56" s="53" t="str">
        <f>IF(Tim!FS58=Sheet6!$C$2,Sheet6!$C$2,IF(Tim!FS58=Sheet6!$C$3,Sheet6!$C$3,IF(Tim!FS58=Sheet6!$C$4,Sheet6!$C$4,IF(Tim!FS58=Sheet6!$C$5,Sheet6!$C$5,IF(Tim!FS58=Sheet6!$C$6,Sheet6!$C$6,IF(Tim!FS58=Sheet6!$C$7,Sheet6!$C$7,IF(Tim!FS58=Sheet6!$C$8,Sheet6!$C$8,"")))))))</f>
        <v/>
      </c>
      <c r="BS56" s="53" t="str">
        <f>IF(Tim!FT58=Sheet6!$C$2,Sheet6!$C$2,IF(Tim!FT58=Sheet6!$C$3,Sheet6!$C$3,IF(Tim!FT58=Sheet6!$C$4,Sheet6!$C$4,IF(Tim!FT58=Sheet6!$C$5,Sheet6!$C$5,IF(Tim!FT58=Sheet6!$C$6,Sheet6!$C$6,IF(Tim!FT58=Sheet6!$C$7,Sheet6!$C$7,IF(Tim!FT58=Sheet6!$C$8,Sheet6!$C$8,"")))))))</f>
        <v/>
      </c>
      <c r="BT56" s="53" t="str">
        <f>IF(Tim!FU58=Sheet6!$C$2,Sheet6!$C$2,IF(Tim!FU58=Sheet6!$C$3,Sheet6!$C$3,IF(Tim!FU58=Sheet6!$C$4,Sheet6!$C$4,IF(Tim!FU58=Sheet6!$C$5,Sheet6!$C$5,IF(Tim!FU58=Sheet6!$C$6,Sheet6!$C$6,IF(Tim!FU58=Sheet6!$C$7,Sheet6!$C$7,IF(Tim!FU58=Sheet6!$C$8,Sheet6!$C$8,"")))))))</f>
        <v/>
      </c>
      <c r="BU56" s="53" t="str">
        <f>IF(Tim!FY58=Sheet6!$C$2,Sheet6!$C$2,IF(Tim!FY58=Sheet6!$C$3,Sheet6!$C$3,IF(Tim!FY58=Sheet6!$C$4,Sheet6!$C$4,IF(Tim!FY58=Sheet6!$C$5,Sheet6!$C$5,IF(Tim!FY58=Sheet6!$C$6,Sheet6!$C$6,IF(Tim!FY58=Sheet6!$C$7,Sheet6!$C$7,IF(Tim!FY58=Sheet6!$C$8,Sheet6!$C$8,"")))))))</f>
        <v/>
      </c>
      <c r="BV56" s="54" t="str">
        <f>IF(Tim!FZ58=Sheet6!$C$2,Sheet6!$C$2,IF(Tim!FZ58=Sheet6!$C$3,Sheet6!$C$3,IF(Tim!FZ58=Sheet6!$C$4,Sheet6!$C$4,IF(Tim!FZ58=Sheet6!$C$5,Sheet6!$C$5,IF(Tim!FZ58=Sheet6!$C$6,Sheet6!$C$6,IF(Tim!FZ58=Sheet6!$C$7,Sheet6!$C$7,IF(Tim!FZ58=Sheet6!$C$8,Sheet6!$C$8,"")))))))</f>
        <v/>
      </c>
      <c r="BW56" s="54" t="str">
        <f>IF(Tim!GA58=Sheet6!$C$2,Sheet6!$C$2,IF(Tim!GA58=Sheet6!$C$3,Sheet6!$C$3,IF(Tim!GA58=Sheet6!$C$4,Sheet6!$C$4,IF(Tim!GA58=Sheet6!$C$5,Sheet6!$C$5,IF(Tim!GA58=Sheet6!$C$6,Sheet6!$C$6,IF(Tim!GA58=Sheet6!$C$7,Sheet6!$C$7,IF(Tim!GA58=Sheet6!$C$8,Sheet6!$C$8,"")))))))</f>
        <v/>
      </c>
      <c r="BX56" s="54" t="str">
        <f>IF(Tim!GB58=Sheet6!$C$2,Sheet6!$C$2,IF(Tim!GB58=Sheet6!$C$3,Sheet6!$C$3,IF(Tim!GB58=Sheet6!$C$4,Sheet6!$C$4,IF(Tim!GB58=Sheet6!$C$5,Sheet6!$C$5,IF(Tim!GB58=Sheet6!$C$6,Sheet6!$C$6,IF(Tim!GB58=Sheet6!$C$7,Sheet6!$C$7,IF(Tim!GB58=Sheet6!$C$8,Sheet6!$C$8,"")))))))</f>
        <v/>
      </c>
      <c r="BY56" s="55" t="str">
        <f>IF(Tim!GC58=Sheet6!$C$2,Sheet6!$C$2,IF(Tim!GC58=Sheet6!$C$3,Sheet6!$C$3,IF(Tim!GC58=Sheet6!$C$4,Sheet6!$C$4,IF(Tim!GC58=Sheet6!$C$5,Sheet6!$C$5,IF(Tim!GC58=Sheet6!$C$6,Sheet6!$C$6,IF(Tim!GC58=Sheet6!$C$7,Sheet6!$C$7,IF(Tim!GC58=Sheet6!$C$8,Sheet6!$C$8,"")))))))</f>
        <v/>
      </c>
      <c r="BZ56" s="53" t="str">
        <f>IF(Tim!GD58=Sheet6!$C$2,Sheet6!$C$2,IF(Tim!GD58=Sheet6!$C$3,Sheet6!$C$3,IF(Tim!GD58=Sheet6!$C$4,Sheet6!$C$4,IF(Tim!GD58=Sheet6!$C$5,Sheet6!$C$5,IF(Tim!GD58=Sheet6!$C$6,Sheet6!$C$6,IF(Tim!GD58=Sheet6!$C$7,Sheet6!$C$7,IF(Tim!GD58=Sheet6!$C$8,Sheet6!$C$8,"")))))))</f>
        <v/>
      </c>
      <c r="CA56" s="53" t="str">
        <f>IF(Tim!GE58=Sheet6!$C$2,Sheet6!$C$2,IF(Tim!GE58=Sheet6!$C$3,Sheet6!$C$3,IF(Tim!GE58=Sheet6!$C$4,Sheet6!$C$4,IF(Tim!GE58=Sheet6!$C$5,Sheet6!$C$5,IF(Tim!GE58=Sheet6!$C$6,Sheet6!$C$6,IF(Tim!GE58=Sheet6!$C$7,Sheet6!$C$7,IF(Tim!GE58=Sheet6!$C$8,Sheet6!$C$8,"")))))))</f>
        <v/>
      </c>
      <c r="CB56" s="57" t="str">
        <f>IF(Tim!GI58=Sheet6!$C$2,Sheet6!$C$2,IF(Tim!GI58=Sheet6!$C$3,Sheet6!$C$3,IF(Tim!GI58=Sheet6!$C$4,Sheet6!$C$4,IF(Tim!GI58=Sheet6!$C$5,Sheet6!$C$5,IF(Tim!GI58=Sheet6!$C$6,Sheet6!$C$6,IF(Tim!GI58=Sheet6!$C$7,Sheet6!$C$7,IF(Tim!GI58=Sheet6!$C$8,Sheet6!$C$8,"")))))))</f>
        <v/>
      </c>
      <c r="CC56" s="57" t="str">
        <f>IF(Tim!GJ58=Sheet6!$C$2,Sheet6!$C$2,IF(Tim!GJ58=Sheet6!$C$3,Sheet6!$C$3,IF(Tim!GJ58=Sheet6!$C$4,Sheet6!$C$4,IF(Tim!GJ58=Sheet6!$C$5,Sheet6!$C$5,IF(Tim!GJ58=Sheet6!$C$6,Sheet6!$C$6,IF(Tim!GJ58=Sheet6!$C$7,Sheet6!$C$7,IF(Tim!GJ58=Sheet6!$C$8,Sheet6!$C$8,"")))))))</f>
        <v/>
      </c>
      <c r="CD56" s="57" t="str">
        <f>IF(Tim!GN58=Sheet6!$C$2,Sheet6!$C$2,IF(Tim!GN58=Sheet6!$C$3,Sheet6!$C$3,IF(Tim!GN58=Sheet6!$C$4,Sheet6!$C$4,IF(Tim!GN58=Sheet6!$C$5,Sheet6!$C$5,IF(Tim!GN58=Sheet6!$C$6,Sheet6!$C$6,IF(Tim!GN58=Sheet6!$C$7,Sheet6!$C$7,IF(Tim!GN58=Sheet6!$C$8,Sheet6!$C$8,"")))))))</f>
        <v/>
      </c>
      <c r="CE56" s="53" t="str">
        <f>IF(Tim!GY58=Sheet6!$C$2,Sheet6!$C$2,IF(Tim!GY58=Sheet6!$C$3,Sheet6!$C$3,IF(Tim!GY58=Sheet6!$C$4,Sheet6!$C$4,IF(Tim!GY58=Sheet6!$C$5,Sheet6!$C$5,IF(Tim!GY58=Sheet6!$C$6,Sheet6!$C$6,IF(Tim!GY58=Sheet6!$C$7,Sheet6!$C$7,IF(Tim!GY58=Sheet6!$C$8,Sheet6!$C$8,"")))))))</f>
        <v/>
      </c>
      <c r="CF56" s="53" t="str">
        <f>IF(Tim!GZ58=Sheet6!$C$2,Sheet6!$C$2,IF(Tim!GZ58=Sheet6!$C$3,Sheet6!$C$3,IF(Tim!GZ58=Sheet6!$C$4,Sheet6!$C$4,IF(Tim!GZ58=Sheet6!$C$5,Sheet6!$C$5,IF(Tim!GZ58=Sheet6!$C$6,Sheet6!$C$6,IF(Tim!GZ58=Sheet6!$C$7,Sheet6!$C$7,IF(Tim!GZ58=Sheet6!$C$8,Sheet6!$C$8,"")))))))</f>
        <v/>
      </c>
      <c r="CG56" s="53" t="str">
        <f>IF(Tim!HH58=Sheet6!$C$2,Sheet6!$C$2,IF(Tim!HH58=Sheet6!$C$3,Sheet6!$C$3,IF(Tim!HH58=Sheet6!$C$4,Sheet6!$C$4,IF(Tim!HH58=Sheet6!$C$5,Sheet6!$C$5,IF(Tim!HH58=Sheet6!$C$6,Sheet6!$C$6,IF(Tim!HH58=Sheet6!$C$7,Sheet6!$C$7,IF(Tim!HH58=Sheet6!$C$8,Sheet6!$C$8,"")))))))</f>
        <v/>
      </c>
      <c r="CH56" s="53" t="str">
        <f>IF(Tim!HI58=Sheet6!$C$2,Sheet6!$C$2,IF(Tim!HI58=Sheet6!$C$3,Sheet6!$C$3,IF(Tim!HI58=Sheet6!$C$4,Sheet6!$C$4,IF(Tim!HI58=Sheet6!$C$5,Sheet6!$C$5,IF(Tim!HI58=Sheet6!$C$6,Sheet6!$C$6,IF(Tim!HI58=Sheet6!$C$7,Sheet6!$C$7,IF(Tim!HI58=Sheet6!$C$8,Sheet6!$C$8,"")))))))</f>
        <v/>
      </c>
      <c r="CI56" s="53" t="str">
        <f>IF(Tim!HJ58=Sheet6!$C$2,Sheet6!$C$2,IF(Tim!HJ58=Sheet6!$C$3,Sheet6!$C$3,IF(Tim!HJ58=Sheet6!$C$4,Sheet6!$C$4,IF(Tim!HJ58=Sheet6!$C$5,Sheet6!$C$5,IF(Tim!HJ58=Sheet6!$C$6,Sheet6!$C$6,IF(Tim!HJ58=Sheet6!$C$7,Sheet6!$C$7,IF(Tim!HJ58=Sheet6!$C$8,Sheet6!$C$8,"")))))))</f>
        <v/>
      </c>
      <c r="CJ56" s="53" t="str">
        <f>IF(Tim!HK58=Sheet6!$C$2,Sheet6!$C$2,IF(Tim!HK58=Sheet6!$C$3,Sheet6!$C$3,IF(Tim!HK58=Sheet6!$C$4,Sheet6!$C$4,IF(Tim!HK58=Sheet6!$C$5,Sheet6!$C$5,IF(Tim!HK58=Sheet6!$C$6,Sheet6!$C$6,IF(Tim!HK58=Sheet6!$C$7,Sheet6!$C$7,IF(Tim!HK58=Sheet6!$C$8,Sheet6!$C$8,"")))))))</f>
        <v/>
      </c>
      <c r="CK56" s="53" t="str">
        <f>IF(Tim!HL58=Sheet6!$C$2,Sheet6!$C$2,IF(Tim!HL58=Sheet6!$C$3,Sheet6!$C$3,IF(Tim!HL58=Sheet6!$C$4,Sheet6!$C$4,IF(Tim!HL58=Sheet6!$C$5,Sheet6!$C$5,IF(Tim!HL58=Sheet6!$C$6,Sheet6!$C$6,IF(Tim!HL58=Sheet6!$C$7,Sheet6!$C$7,IF(Tim!HL58=Sheet6!$C$8,Sheet6!$C$8,"")))))))</f>
        <v/>
      </c>
      <c r="CL56" s="53" t="str">
        <f>IF(Tim!HM58=Sheet6!$C$2,Sheet6!$C$2,IF(Tim!HM58=Sheet6!$C$3,Sheet6!$C$3,IF(Tim!HM58=Sheet6!$C$4,Sheet6!$C$4,IF(Tim!HM58=Sheet6!$C$5,Sheet6!$C$5,IF(Tim!HM58=Sheet6!$C$6,Sheet6!$C$6,IF(Tim!HM58=Sheet6!$C$7,Sheet6!$C$7,IF(Tim!HM58=Sheet6!$C$8,Sheet6!$C$8,"")))))))</f>
        <v/>
      </c>
      <c r="CM56" s="53" t="str">
        <f>IF(Tim!HQ58=Sheet6!$C$2,Sheet6!$C$2,IF(Tim!HQ58=Sheet6!$C$3,Sheet6!$C$3,IF(Tim!HQ58=Sheet6!$C$4,Sheet6!$C$4,IF(Tim!HQ58=Sheet6!$C$5,Sheet6!$C$5,IF(Tim!HQ58=Sheet6!$C$6,Sheet6!$C$6,IF(Tim!HQ58=Sheet6!$C$7,Sheet6!$C$7,IF(Tim!HQ58=Sheet6!$C$8,Sheet6!$C$8,"")))))))</f>
        <v/>
      </c>
      <c r="CN56" s="54" t="str">
        <f>IF(Tim!HR58=Sheet6!$C$2,Sheet6!$C$2,IF(Tim!HR58=Sheet6!$C$3,Sheet6!$C$3,IF(Tim!HR58=Sheet6!$C$4,Sheet6!$C$4,IF(Tim!HR58=Sheet6!$C$5,Sheet6!$C$5,IF(Tim!HR58=Sheet6!$C$6,Sheet6!$C$6,IF(Tim!HR58=Sheet6!$C$7,Sheet6!$C$7,IF(Tim!HR58=Sheet6!$C$8,Sheet6!$C$8,"")))))))</f>
        <v/>
      </c>
      <c r="CO56" s="54" t="str">
        <f>IF(Tim!HS58=Sheet6!$C$2,Sheet6!$C$2,IF(Tim!HS58=Sheet6!$C$3,Sheet6!$C$3,IF(Tim!HS58=Sheet6!$C$4,Sheet6!$C$4,IF(Tim!HS58=Sheet6!$C$5,Sheet6!$C$5,IF(Tim!HS58=Sheet6!$C$6,Sheet6!$C$6,IF(Tim!HS58=Sheet6!$C$7,Sheet6!$C$7,IF(Tim!HS58=Sheet6!$C$8,Sheet6!$C$8,"")))))))</f>
        <v/>
      </c>
      <c r="CP56" s="54" t="str">
        <f>IF(Tim!HT58=Sheet6!$C$2,Sheet6!$C$2,IF(Tim!HT58=Sheet6!$C$3,Sheet6!$C$3,IF(Tim!HT58=Sheet6!$C$4,Sheet6!$C$4,IF(Tim!HT58=Sheet6!$C$5,Sheet6!$C$5,IF(Tim!HT58=Sheet6!$C$6,Sheet6!$C$6,IF(Tim!HT58=Sheet6!$C$7,Sheet6!$C$7,IF(Tim!HT58=Sheet6!$C$8,Sheet6!$C$8,"")))))))</f>
        <v/>
      </c>
      <c r="CQ56" s="55" t="str">
        <f>IF(Tim!HU58=Sheet6!$C$2,Sheet6!$C$2,IF(Tim!HU58=Sheet6!$C$3,Sheet6!$C$3,IF(Tim!HU58=Sheet6!$C$4,Sheet6!$C$4,IF(Tim!HU58=Sheet6!$C$5,Sheet6!$C$5,IF(Tim!HU58=Sheet6!$C$6,Sheet6!$C$6,IF(Tim!HU58=Sheet6!$C$7,Sheet6!$C$7,IF(Tim!HU58=Sheet6!$C$8,Sheet6!$C$8,"")))))))</f>
        <v/>
      </c>
      <c r="CR56" s="64" t="str">
        <f>IF(Tim!HV58=Sheet6!$C$2,Sheet6!$C$2,IF(Tim!HV58=Sheet6!$C$3,Sheet6!$C$3,IF(Tim!HV58=Sheet6!$C$4,Sheet6!$C$4,IF(Tim!HV58=Sheet6!$C$5,Sheet6!$C$5,IF(Tim!HV58=Sheet6!$C$6,Sheet6!$C$6,IF(Tim!HV58=Sheet6!$C$7,Sheet6!$C$7,IF(Tim!HV58=Sheet6!$C$8,Sheet6!$C$8,"")))))))</f>
        <v/>
      </c>
      <c r="CS56" s="65" t="str">
        <f>IF(Tim!IB58=Sheet6!$C$2,Sheet6!$C$2,IF(Tim!IB58=Sheet6!$C$3,Sheet6!$C$3,IF(Tim!IB58=Sheet6!$C$4,Sheet6!$C$4,IF(Tim!IB58=Sheet6!$C$5,Sheet6!$C$5,IF(Tim!IB58=Sheet6!$C$6,Sheet6!$C$6,IF(Tim!IB58=Sheet6!$C$7,Sheet6!$C$7,IF(Tim!IB58=Sheet6!$C$8,Sheet6!$C$8,"")))))))</f>
        <v/>
      </c>
      <c r="CT56" s="65" t="str">
        <f>IF(Tim!IJ58=Sheet6!$C$2,Sheet6!$C$2,IF(Tim!IJ58=Sheet6!$C$3,Sheet6!$C$3,IF(Tim!IJ58=Sheet6!$C$4,Sheet6!$C$4,IF(Tim!IJ58=Sheet6!$C$5,Sheet6!$C$5,IF(Tim!IJ58=Sheet6!$C$6,Sheet6!$C$6,IF(Tim!IJ58=Sheet6!$C$7,Sheet6!$C$7,IF(Tim!IJ58=Sheet6!$C$8,Sheet6!$C$8,"")))))))</f>
        <v/>
      </c>
      <c r="CU56" s="65" t="str">
        <f>IF(Tim!IQ58=Sheet6!$C$2,Sheet6!$C$2,IF(Tim!IQ58=Sheet6!$C$3,Sheet6!$C$3,IF(Tim!IQ58=Sheet6!$C$4,Sheet6!$C$4,IF(Tim!IQ58=Sheet6!$C$5,Sheet6!$C$5,IF(Tim!IQ58=Sheet6!$C$6,Sheet6!$C$6,IF(Tim!IQ58=Sheet6!$C$7,Sheet6!$C$7,IF(Tim!IQ58=Sheet6!$C$8,Sheet6!$C$8,"")))))))</f>
        <v/>
      </c>
      <c r="CV56" s="66" t="str">
        <f>IF(Tim!IR58=Sheet6!$C$2,Sheet6!$C$2,IF(Tim!IR58=Sheet6!$C$3,Sheet6!$C$3,IF(Tim!IR58=Sheet6!$C$4,Sheet6!$C$4,IF(Tim!IR58=Sheet6!$C$5,Sheet6!$C$5,IF(Tim!IR58=Sheet6!$C$6,Sheet6!$C$6,IF(Tim!IR58=Sheet6!$C$7,Sheet6!$C$7,IF(Tim!IR58=Sheet6!$C$8,Sheet6!$C$8,"")))))))</f>
        <v/>
      </c>
      <c r="CW56" s="66" t="str">
        <f>IF(Tim!IZ58=Sheet6!$C$2,Sheet6!$C$2,IF(Tim!IZ58=Sheet6!$C$3,Sheet6!$C$3,IF(Tim!IZ58=Sheet6!$C$4,Sheet6!$C$4,IF(Tim!IZ58=Sheet6!$C$5,Sheet6!$C$5,IF(Tim!IZ58=Sheet6!$C$6,Sheet6!$C$6,IF(Tim!IZ58=Sheet6!$C$7,Sheet6!$C$7,IF(Tim!IZ58=Sheet6!$C$8,Sheet6!$C$8,"")))))))</f>
        <v/>
      </c>
      <c r="CX56" s="66" t="str">
        <f>IF(Tim!JA58=Sheet6!$C$2,Sheet6!$C$2,IF(Tim!JA58=Sheet6!$C$3,Sheet6!$C$3,IF(Tim!JA58=Sheet6!$C$4,Sheet6!$C$4,IF(Tim!JA58=Sheet6!$C$5,Sheet6!$C$5,IF(Tim!JA58=Sheet6!$C$6,Sheet6!$C$6,IF(Tim!JA58=Sheet6!$C$7,Sheet6!$C$7,IF(Tim!JA58=Sheet6!$C$8,Sheet6!$C$8,"")))))))</f>
        <v/>
      </c>
      <c r="CY56" s="66" t="str">
        <f>IF(Tim!JB58=Sheet6!$C$2,Sheet6!$C$2,IF(Tim!JB58=Sheet6!$C$3,Sheet6!$C$3,IF(Tim!JB58=Sheet6!$C$4,Sheet6!$C$4,IF(Tim!JB58=Sheet6!$C$5,Sheet6!$C$5,IF(Tim!JB58=Sheet6!$C$6,Sheet6!$C$6,IF(Tim!JB58=Sheet6!$C$7,Sheet6!$C$7,IF(Tim!JB58=Sheet6!$C$8,Sheet6!$C$8,"")))))))</f>
        <v/>
      </c>
      <c r="CZ56" s="66" t="str">
        <f>IF(Tim!JC58=Sheet6!$C$2,Sheet6!$C$2,IF(Tim!JC58=Sheet6!$C$3,Sheet6!$C$3,IF(Tim!JC58=Sheet6!$C$4,Sheet6!$C$4,IF(Tim!JC58=Sheet6!$C$5,Sheet6!$C$5,IF(Tim!JC58=Sheet6!$C$6,Sheet6!$C$6,IF(Tim!JC58=Sheet6!$C$7,Sheet6!$C$7,IF(Tim!JC58=Sheet6!$C$8,Sheet6!$C$8,"")))))))</f>
        <v/>
      </c>
      <c r="DA56" s="66" t="str">
        <f>IF(Tim!JD58=Sheet6!$C$2,Sheet6!$C$2,IF(Tim!JD58=Sheet6!$C$3,Sheet6!$C$3,IF(Tim!JD58=Sheet6!$C$4,Sheet6!$C$4,IF(Tim!JD58=Sheet6!$C$5,Sheet6!$C$5,IF(Tim!JD58=Sheet6!$C$6,Sheet6!$C$6,IF(Tim!JD58=Sheet6!$C$7,Sheet6!$C$7,IF(Tim!JD58=Sheet6!$C$8,Sheet6!$C$8,"")))))))</f>
        <v/>
      </c>
      <c r="DB56" s="66" t="str">
        <f>IF(Tim!JE58=Sheet6!$C$2,Sheet6!$C$2,IF(Tim!JE58=Sheet6!$C$3,Sheet6!$C$3,IF(Tim!JE58=Sheet6!$C$4,Sheet6!$C$4,IF(Tim!JE58=Sheet6!$C$5,Sheet6!$C$5,IF(Tim!JE58=Sheet6!$C$6,Sheet6!$C$6,IF(Tim!JE58=Sheet6!$C$7,Sheet6!$C$7,IF(Tim!JE58=Sheet6!$C$8,Sheet6!$C$8,"")))))))</f>
        <v/>
      </c>
      <c r="DC56" s="66" t="str">
        <f>IF(Tim!JI58=Sheet6!$C$2,Sheet6!$C$2,IF(Tim!JI58=Sheet6!$C$3,Sheet6!$C$3,IF(Tim!JI58=Sheet6!$C$4,Sheet6!$C$4,IF(Tim!JI58=Sheet6!$C$5,Sheet6!$C$5,IF(Tim!JI58=Sheet6!$C$6,Sheet6!$C$6,IF(Tim!JI58=Sheet6!$C$7,Sheet6!$C$7,IF(Tim!JI58=Sheet6!$C$8,Sheet6!$C$8,"")))))))</f>
        <v/>
      </c>
      <c r="DD56" s="67" t="str">
        <f>IF(Tim!JJ58=Sheet6!$C$2,Sheet6!$C$2,IF(Tim!JJ58=Sheet6!$C$3,Sheet6!$C$3,IF(Tim!JJ58=Sheet6!$C$4,Sheet6!$C$4,IF(Tim!JJ58=Sheet6!$C$5,Sheet6!$C$5,IF(Tim!JJ58=Sheet6!$C$6,Sheet6!$C$6,IF(Tim!JJ58=Sheet6!$C$7,Sheet6!$C$7,IF(Tim!JJ58=Sheet6!$C$8,Sheet6!$C$8,"")))))))</f>
        <v/>
      </c>
      <c r="DE56" s="67" t="str">
        <f>IF(Tim!JK58=Sheet6!$C$2,Sheet6!$C$2,IF(Tim!JK58=Sheet6!$C$3,Sheet6!$C$3,IF(Tim!JK58=Sheet6!$C$4,Sheet6!$C$4,IF(Tim!JK58=Sheet6!$C$5,Sheet6!$C$5,IF(Tim!JK58=Sheet6!$C$6,Sheet6!$C$6,IF(Tim!JK58=Sheet6!$C$7,Sheet6!$C$7,IF(Tim!JK58=Sheet6!$C$8,Sheet6!$C$8,"")))))))</f>
        <v/>
      </c>
      <c r="DF56" s="67" t="str">
        <f>IF(Tim!JL58=Sheet6!$C$2,Sheet6!$C$2,IF(Tim!JL58=Sheet6!$C$3,Sheet6!$C$3,IF(Tim!JL58=Sheet6!$C$4,Sheet6!$C$4,IF(Tim!JL58=Sheet6!$C$5,Sheet6!$C$5,IF(Tim!JL58=Sheet6!$C$6,Sheet6!$C$6,IF(Tim!JL58=Sheet6!$C$7,Sheet6!$C$7,IF(Tim!JL58=Sheet6!$C$8,Sheet6!$C$8,"")))))))</f>
        <v/>
      </c>
      <c r="DG56" s="68" t="str">
        <f>IF(Tim!JM58=Sheet6!$C$2,Sheet6!$C$2,IF(Tim!JM58=Sheet6!$C$3,Sheet6!$C$3,IF(Tim!JM58=Sheet6!$C$4,Sheet6!$C$4,IF(Tim!JM58=Sheet6!$C$5,Sheet6!$C$5,IF(Tim!JM58=Sheet6!$C$6,Sheet6!$C$6,IF(Tim!JM58=Sheet6!$C$7,Sheet6!$C$7,IF(Tim!JM58=Sheet6!$C$8,Sheet6!$C$8,"")))))))</f>
        <v/>
      </c>
      <c r="DH56" s="422"/>
      <c r="DI56" s="423"/>
      <c r="DJ56" s="423"/>
      <c r="DK56" s="423"/>
      <c r="DL56" s="423"/>
      <c r="DM56" s="423"/>
      <c r="DN56" s="423"/>
      <c r="DO56" s="423"/>
      <c r="DP56" s="423"/>
      <c r="DQ56" s="423"/>
      <c r="DR56" s="423"/>
      <c r="DS56" s="423"/>
      <c r="DT56" s="423"/>
      <c r="DU56" s="423"/>
      <c r="DV56" s="423"/>
      <c r="DW56" s="424"/>
      <c r="DX56" s="52">
        <v>0.82291666666666496</v>
      </c>
    </row>
    <row r="57" spans="2:128" ht="10.5" customHeight="1">
      <c r="B57" s="51">
        <v>0.25</v>
      </c>
      <c r="C57" s="51">
        <v>0.25</v>
      </c>
      <c r="D57" s="51">
        <v>0.25</v>
      </c>
      <c r="E57" s="52">
        <v>0.83333333333333204</v>
      </c>
      <c r="F57" s="53" t="str">
        <f>IF(Tim!F59=Sheet6!$C$2,Sheet6!$C$2,IF(Tim!F59=Sheet6!$C$3,Sheet6!$C$3,IF(Tim!F59=Sheet6!$C$4,Sheet6!$C$4,IF(Tim!F59=Sheet6!$C$5,Sheet6!$C$5,IF(Tim!F59=Sheet6!$C$6,Sheet6!$C$6,IF(Tim!F59=Sheet6!$C$7,Sheet6!$C$7,IF(Tim!F59=Sheet6!$C$8,Sheet6!$C$8,"")))))))</f>
        <v/>
      </c>
      <c r="G57" s="53" t="str">
        <f>IF(Tim!M59=Sheet6!$C$2,Sheet6!$C$2,IF(Tim!M59=Sheet6!$C$3,Sheet6!$C$3,IF(Tim!M59=Sheet6!$C$4,Sheet6!$C$4,IF(Tim!M59=Sheet6!$C$5,Sheet6!$C$5,IF(Tim!M59=Sheet6!$C$6,Sheet6!$C$6,IF(Tim!M59=Sheet6!$C$7,Sheet6!$C$7,IF(Tim!M59=Sheet6!$C$8,Sheet6!$C$8,"")))))))</f>
        <v/>
      </c>
      <c r="H57" s="53" t="str">
        <f>IF(Tim!H59=Sheet6!$C$2,Sheet6!$C$2,IF(Tim!H59=Sheet6!$C$3,Sheet6!$C$3,IF(Tim!H59=Sheet6!$C$4,Sheet6!$C$4,IF(Tim!H59=Sheet6!$C$5,Sheet6!$C$5,IF(Tim!H59=Sheet6!$C$6,Sheet6!$C$6,IF(Tim!H59=Sheet6!$C$7,Sheet6!$C$7,IF(Tim!H59=Sheet6!$C$8,Sheet6!$C$8,"")))))))</f>
        <v/>
      </c>
      <c r="I57" s="53" t="str">
        <f>IF(Tim!L59=Sheet6!$C$2,Sheet6!$C$2,IF(Tim!L59=Sheet6!$C$3,Sheet6!$C$3,IF(Tim!L59=Sheet6!$C$4,Sheet6!$C$4,IF(Tim!L59=Sheet6!$C$5,Sheet6!$C$5,IF(Tim!L59=Sheet6!$C$6,Sheet6!$C$6,IF(Tim!L59=Sheet6!$C$7,Sheet6!$C$7,IF(Tim!L59=Sheet6!$C$8,Sheet6!$C$8,"")))))))</f>
        <v/>
      </c>
      <c r="J57" s="53" t="str">
        <f>IF(Tim!T59=Sheet6!$C$2,Sheet6!$C$2,IF(Tim!T59=Sheet6!$C$3,Sheet6!$C$3,IF(Tim!T59=Sheet6!$C$4,Sheet6!$C$4,IF(Tim!T59=Sheet6!$C$5,Sheet6!$C$5,IF(Tim!T59=Sheet6!$C$6,Sheet6!$C$6,IF(Tim!T59=Sheet6!$C$7,Sheet6!$C$7,IF(Tim!T59=Sheet6!$C$8,Sheet6!$C$8,"")))))))</f>
        <v/>
      </c>
      <c r="K57" s="53" t="str">
        <f>IF(Tim!AB59=Sheet6!$C$2,Sheet6!$C$2,IF(Tim!AB59=Sheet6!$C$3,Sheet6!$C$3,IF(Tim!AB59=Sheet6!$C$4,Sheet6!$C$4,IF(Tim!AB59=Sheet6!$C$5,Sheet6!$C$5,IF(Tim!AB59=Sheet6!$C$6,Sheet6!$C$6,IF(Tim!AB59=Sheet6!$C$7,Sheet6!$C$7,IF(Tim!AB59=Sheet6!$C$8,Sheet6!$C$8,"")))))))</f>
        <v/>
      </c>
      <c r="L57" s="53" t="str">
        <f>IF(Tim!AC59=Sheet6!$C$2,Sheet6!$C$2,IF(Tim!AC59=Sheet6!$C$3,Sheet6!$C$3,IF(Tim!AC59=Sheet6!$C$4,Sheet6!$C$4,IF(Tim!AC59=Sheet6!$C$5,Sheet6!$C$5,IF(Tim!AC59=Sheet6!$C$6,Sheet6!$C$6,IF(Tim!AC59=Sheet6!$C$7,Sheet6!$C$7,IF(Tim!AC59=Sheet6!$C$8,Sheet6!$C$8,"")))))))</f>
        <v/>
      </c>
      <c r="M57" s="53" t="str">
        <f>IF(Tim!AJ59=Sheet6!$C$2,Sheet6!$C$2,IF(Tim!AJ59=Sheet6!$C$3,Sheet6!$C$3,IF(Tim!AJ59=Sheet6!$C$4,Sheet6!$C$4,IF(Tim!AJ59=Sheet6!$C$5,Sheet6!$C$5,IF(Tim!AJ59=Sheet6!$C$6,Sheet6!$C$6,IF(Tim!AJ59=Sheet6!$C$7,Sheet6!$C$7,IF(Tim!AJ59=Sheet6!$C$8,Sheet6!$C$8,"")))))))</f>
        <v/>
      </c>
      <c r="N57" s="53" t="str">
        <f>IF(Tim!AK59=Sheet6!$C$2,Sheet6!$C$2,IF(Tim!AK59=Sheet6!$C$3,Sheet6!$C$3,IF(Tim!AK59=Sheet6!$C$4,Sheet6!$C$4,IF(Tim!AK59=Sheet6!$C$5,Sheet6!$C$5,IF(Tim!AK59=Sheet6!$C$6,Sheet6!$C$6,IF(Tim!AK59=Sheet6!$C$7,Sheet6!$C$7,IF(Tim!AK59=Sheet6!$C$8,Sheet6!$C$8,"")))))))</f>
        <v/>
      </c>
      <c r="O57" s="53" t="str">
        <f>IF(Tim!AL59=Sheet6!$C$2,Sheet6!$C$2,IF(Tim!AL59=Sheet6!$C$3,Sheet6!$C$3,IF(Tim!AL59=Sheet6!$C$4,Sheet6!$C$4,IF(Tim!AL59=Sheet6!$C$5,Sheet6!$C$5,IF(Tim!AL59=Sheet6!$C$6,Sheet6!$C$6,IF(Tim!AL59=Sheet6!$C$7,Sheet6!$C$7,IF(Tim!AL59=Sheet6!$C$8,Sheet6!$C$8,"")))))))</f>
        <v/>
      </c>
      <c r="P57" s="53" t="str">
        <f>IF(Tim!AN59=Sheet6!$C$2,Sheet6!$C$2,IF(Tim!AN59=Sheet6!$C$3,Sheet6!$C$3,IF(Tim!AN59=Sheet6!$C$4,Sheet6!$C$4,IF(Tim!AN59=Sheet6!$C$5,Sheet6!$C$5,IF(Tim!AN59=Sheet6!$C$6,Sheet6!$C$6,IF(Tim!AN59=Sheet6!$C$7,Sheet6!$C$7,IF(Tim!AN59=Sheet6!$C$8,Sheet6!$C$8,"")))))))</f>
        <v/>
      </c>
      <c r="Q57" s="176" t="str">
        <f>IF(Tim!AO59=Sheet6!$C$2,Sheet6!$C$2,IF(Tim!AO59=Sheet6!$C$3,Sheet6!$C$3,IF(Tim!AO59=Sheet6!$C$4,Sheet6!$C$4,IF(Tim!AO59=Sheet6!$C$5,Sheet6!$C$5,IF(Tim!AO59=Sheet6!$C$6,Sheet6!$C$6,IF(Tim!AO59=Sheet6!$C$7,Sheet6!$C$7,IF(Tim!AO59=Sheet6!$C$8,Sheet6!$C$8,"")))))))</f>
        <v/>
      </c>
      <c r="R57" s="53" t="str">
        <f>IF(Tim!AP59=Sheet6!$C$2,Sheet6!$C$2,IF(Tim!AP59=Sheet6!$C$3,Sheet6!$C$3,IF(Tim!AP59=Sheet6!$C$4,Sheet6!$C$4,IF(Tim!AP59=Sheet6!$C$5,Sheet6!$C$5,IF(Tim!AP59=Sheet6!$C$6,Sheet6!$C$6,IF(Tim!AP59=Sheet6!$C$7,Sheet6!$C$7,IF(Tim!AP59=Sheet6!$C$8,Sheet6!$C$8,"")))))))</f>
        <v/>
      </c>
      <c r="S57" s="53" t="str">
        <f>IF(Tim!AT59=Sheet6!$C$2,Sheet6!$C$2,IF(Tim!AT59=Sheet6!$C$3,Sheet6!$C$3,IF(Tim!AT59=Sheet6!$C$4,Sheet6!$C$4,IF(Tim!AT59=Sheet6!$C$5,Sheet6!$C$5,IF(Tim!AT59=Sheet6!$C$6,Sheet6!$C$6,IF(Tim!AT59=Sheet6!$C$7,Sheet6!$C$7,IF(Tim!AT59=Sheet6!$C$8,Sheet6!$C$8,"")))))))</f>
        <v/>
      </c>
      <c r="T57" s="54" t="str">
        <f>IF(Tim!AU59=Sheet6!$C$2,Sheet6!$C$2,IF(Tim!AU59=Sheet6!$C$3,Sheet6!$C$3,IF(Tim!AU59=Sheet6!$C$4,Sheet6!$C$4,IF(Tim!AU59=Sheet6!$C$5,Sheet6!$C$5,IF(Tim!AU59=Sheet6!$C$6,Sheet6!$C$6,IF(Tim!AU59=Sheet6!$C$7,Sheet6!$C$7,IF(Tim!AU59=Sheet6!$C$8,Sheet6!$C$8,"")))))))</f>
        <v/>
      </c>
      <c r="U57" s="54" t="str">
        <f>IF(Tim!AV59=Sheet6!$C$2,Sheet6!$C$2,IF(Tim!AV59=Sheet6!$C$3,Sheet6!$C$3,IF(Tim!AV59=Sheet6!$C$4,Sheet6!$C$4,IF(Tim!AV59=Sheet6!$C$5,Sheet6!$C$5,IF(Tim!AV59=Sheet6!$C$6,Sheet6!$C$6,IF(Tim!AV59=Sheet6!$C$7,Sheet6!$C$7,IF(Tim!AV59=Sheet6!$C$8,Sheet6!$C$8,"")))))))</f>
        <v/>
      </c>
      <c r="V57" s="54" t="str">
        <f>IF(Tim!AW59=Sheet6!$C$2,Sheet6!$C$2,IF(Tim!AW59=Sheet6!$C$3,Sheet6!$C$3,IF(Tim!AW59=Sheet6!$C$4,Sheet6!$C$4,IF(Tim!AW59=Sheet6!$C$5,Sheet6!$C$5,IF(Tim!AW59=Sheet6!$C$6,Sheet6!$C$6,IF(Tim!AW59=Sheet6!$C$7,Sheet6!$C$7,IF(Tim!AW59=Sheet6!$C$8,Sheet6!$C$8,"")))))))</f>
        <v/>
      </c>
      <c r="W57" s="55" t="str">
        <f>IF(Tim!AX59=Sheet6!$C$2,Sheet6!$C$2,IF(Tim!AX59=Sheet6!$C$3,Sheet6!$C$3,IF(Tim!AX59=Sheet6!$C$4,Sheet6!$C$4,IF(Tim!AX59=Sheet6!$C$5,Sheet6!$C$5,IF(Tim!AX59=Sheet6!$C$6,Sheet6!$C$6,IF(Tim!AX59=Sheet6!$C$7,Sheet6!$C$7,IF(Tim!AX59=Sheet6!$C$8,Sheet6!$C$8,"")))))))</f>
        <v/>
      </c>
      <c r="X57" s="53" t="str">
        <f>IF(Tim!AY59=Sheet6!$C$2,Sheet6!$C$2,IF(Tim!AY59=Sheet6!$C$3,Sheet6!$C$3,IF(Tim!AY59=Sheet6!$C$4,Sheet6!$C$4,IF(Tim!AY59=Sheet6!$C$5,Sheet6!$C$5,IF(Tim!AY59=Sheet6!$C$6,Sheet6!$C$6,IF(Tim!AY59=Sheet6!$C$7,Sheet6!$C$7,IF(Tim!AY59=Sheet6!$C$8,Sheet6!$C$8,"")))))))</f>
        <v/>
      </c>
      <c r="Y57" s="53" t="str">
        <f>IF(Tim!AZ59=Sheet6!$C$2,Sheet6!$C$2,IF(Tim!AZ59=Sheet6!$C$3,Sheet6!$C$3,IF(Tim!AZ59=Sheet6!$C$4,Sheet6!$C$4,IF(Tim!AZ59=Sheet6!$C$5,Sheet6!$C$5,IF(Tim!AZ59=Sheet6!$C$6,Sheet6!$C$6,IF(Tim!AZ59=Sheet6!$C$7,Sheet6!$C$7,IF(Tim!AZ59=Sheet6!$C$8,Sheet6!$C$8,"")))))))</f>
        <v/>
      </c>
      <c r="Z57" s="57" t="str">
        <f>IF(Tim!BD59=Sheet6!$C$2,Sheet6!$C$2,IF(Tim!BD59=Sheet6!$C$3,Sheet6!$C$3,IF(Tim!BD59=Sheet6!$C$4,Sheet6!$C$4,IF(Tim!BD59=Sheet6!$C$5,Sheet6!$C$5,IF(Tim!BD59=Sheet6!$C$6,Sheet6!$C$6,IF(Tim!BD59=Sheet6!$C$7,Sheet6!$C$7,IF(Tim!BD59=Sheet6!$C$8,Sheet6!$C$8,"")))))))</f>
        <v/>
      </c>
      <c r="AA57" s="57" t="str">
        <f>IF(Tim!BE59=Sheet6!$C$2,Sheet6!$C$2,IF(Tim!BE59=Sheet6!$C$3,Sheet6!$C$3,IF(Tim!BE59=Sheet6!$C$4,Sheet6!$C$4,IF(Tim!BE59=Sheet6!$C$5,Sheet6!$C$5,IF(Tim!BE59=Sheet6!$C$6,Sheet6!$C$6,IF(Tim!BE59=Sheet6!$C$7,Sheet6!$C$7,IF(Tim!BE59=Sheet6!$C$8,Sheet6!$C$8,"")))))))</f>
        <v/>
      </c>
      <c r="AB57" s="57" t="str">
        <f>IF(Tim!BL59=Sheet6!$C$2,Sheet6!$C$2,IF(Tim!BL59=Sheet6!$C$3,Sheet6!$C$3,IF(Tim!BL59=Sheet6!$C$4,Sheet6!$C$4,IF(Tim!BL59=Sheet6!$C$5,Sheet6!$C$5,IF(Tim!BL59=Sheet6!$C$6,Sheet6!$C$6,IF(Tim!BL59=Sheet6!$C$7,Sheet6!$C$7,IF(Tim!BL59=Sheet6!$C$8,Sheet6!$C$8,"")))))))</f>
        <v/>
      </c>
      <c r="AC57" s="53" t="str">
        <f>IF(Tim!BT59=Sheet6!$C$2,Sheet6!$C$2,IF(Tim!BT59=Sheet6!$C$3,Sheet6!$C$3,IF(Tim!BT59=Sheet6!$C$4,Sheet6!$C$4,IF(Tim!BT59=Sheet6!$C$5,Sheet6!$C$5,IF(Tim!BT59=Sheet6!$C$6,Sheet6!$C$6,IF(Tim!BT59=Sheet6!$C$7,Sheet6!$C$7,IF(Tim!BT59=Sheet6!$C$8,Sheet6!$C$8,"")))))))</f>
        <v/>
      </c>
      <c r="AD57" s="53" t="str">
        <f>IF(Tim!BU59=Sheet6!$C$2,Sheet6!$C$2,IF(Tim!BU59=Sheet6!$C$3,Sheet6!$C$3,IF(Tim!BU59=Sheet6!$C$4,Sheet6!$C$4,IF(Tim!BU59=Sheet6!$C$5,Sheet6!$C$5,IF(Tim!BU59=Sheet6!$C$6,Sheet6!$C$6,IF(Tim!BU59=Sheet6!$C$7,Sheet6!$C$7,IF(Tim!BU59=Sheet6!$C$8,Sheet6!$C$8,"")))))))</f>
        <v/>
      </c>
      <c r="AE57" s="53" t="str">
        <f>IF(Tim!CB59=Sheet6!$C$2,Sheet6!$C$2,IF(Tim!CB59=Sheet6!$C$3,Sheet6!$C$3,IF(Tim!CB59=Sheet6!$C$4,Sheet6!$C$4,IF(Tim!CB59=Sheet6!$C$5,Sheet6!$C$5,IF(Tim!CB59=Sheet6!$C$6,Sheet6!$C$6,IF(Tim!CB59=Sheet6!$C$7,Sheet6!$C$7,IF(Tim!CB59=Sheet6!$C$8,Sheet6!$C$8,"")))))))</f>
        <v/>
      </c>
      <c r="AF57" s="53" t="str">
        <f>IF(Tim!CD59=Sheet6!$C$2,Sheet6!$C$2,IF(Tim!CD59=Sheet6!$C$3,Sheet6!$C$3,IF(Tim!CD59=Sheet6!$C$4,Sheet6!$C$4,IF(Tim!CD59=Sheet6!$C$5,Sheet6!$C$5,IF(Tim!CD59=Sheet6!$C$6,Sheet6!$C$6,IF(Tim!CD59=Sheet6!$C$7,Sheet6!$C$7,IF(Tim!CD59=Sheet6!$C$8,Sheet6!$C$8,"")))))))</f>
        <v/>
      </c>
      <c r="AG57" s="53" t="str">
        <f>IF(Tim!CE59=Sheet6!$C$2,Sheet6!$C$2,IF(Tim!CE59=Sheet6!$C$3,Sheet6!$C$3,IF(Tim!CE59=Sheet6!$C$4,Sheet6!$C$4,IF(Tim!CE59=Sheet6!$C$5,Sheet6!$C$5,IF(Tim!CE59=Sheet6!$C$6,Sheet6!$C$6,IF(Tim!CE59=Sheet6!$C$7,Sheet6!$C$7,IF(Tim!CE59=Sheet6!$C$8,Sheet6!$C$8,"")))))))</f>
        <v/>
      </c>
      <c r="AH57" s="53" t="str">
        <f>IF(Tim!CF59=Sheet6!$C$2,Sheet6!$C$2,IF(Tim!CF59=Sheet6!$C$3,Sheet6!$C$3,IF(Tim!CF59=Sheet6!$C$4,Sheet6!$C$4,IF(Tim!CF59=Sheet6!$C$5,Sheet6!$C$5,IF(Tim!CF59=Sheet6!$C$6,Sheet6!$C$6,IF(Tim!CF59=Sheet6!$C$7,Sheet6!$C$7,IF(Tim!CF59=Sheet6!$C$8,Sheet6!$C$8,"")))))))</f>
        <v/>
      </c>
      <c r="AI57" s="176" t="str">
        <f>IF(Tim!CG59=Sheet6!$C$2,Sheet6!$C$2,IF(Tim!CG59=Sheet6!$C$3,Sheet6!$C$3,IF(Tim!CG59=Sheet6!$C$4,Sheet6!$C$4,IF(Tim!CG59=Sheet6!$C$5,Sheet6!$C$5,IF(Tim!CG59=Sheet6!$C$6,Sheet6!$C$6,IF(Tim!CG59=Sheet6!$C$7,Sheet6!$C$7,IF(Tim!CG59=Sheet6!$C$8,Sheet6!$C$8,"")))))))</f>
        <v/>
      </c>
      <c r="AJ57" s="53" t="str">
        <f>IF(Tim!CH59=Sheet6!$C$2,Sheet6!$C$2,IF(Tim!CH59=Sheet6!$C$3,Sheet6!$C$3,IF(Tim!CH59=Sheet6!$C$4,Sheet6!$C$4,IF(Tim!CH59=Sheet6!$C$5,Sheet6!$C$5,IF(Tim!CH59=Sheet6!$C$6,Sheet6!$C$6,IF(Tim!CH59=Sheet6!$C$7,Sheet6!$C$7,IF(Tim!CH59=Sheet6!$C$8,Sheet6!$C$8,"")))))))</f>
        <v/>
      </c>
      <c r="AK57" s="53" t="str">
        <f>IF(Tim!CL59=Sheet6!$C$2,Sheet6!$C$2,IF(Tim!CL59=Sheet6!$C$3,Sheet6!$C$3,IF(Tim!CL59=Sheet6!$C$4,Sheet6!$C$4,IF(Tim!CL59=Sheet6!$C$5,Sheet6!$C$5,IF(Tim!CL59=Sheet6!$C$6,Sheet6!$C$6,IF(Tim!CL59=Sheet6!$C$7,Sheet6!$C$7,IF(Tim!CL59=Sheet6!$C$8,Sheet6!$C$8,"")))))))</f>
        <v/>
      </c>
      <c r="AL57" s="54" t="str">
        <f>IF(Tim!CM59=Sheet6!$C$2,Sheet6!$C$2,IF(Tim!CM59=Sheet6!$C$3,Sheet6!$C$3,IF(Tim!CM59=Sheet6!$C$4,Sheet6!$C$4,IF(Tim!CM59=Sheet6!$C$5,Sheet6!$C$5,IF(Tim!CM59=Sheet6!$C$6,Sheet6!$C$6,IF(Tim!CM59=Sheet6!$C$7,Sheet6!$C$7,IF(Tim!CM59=Sheet6!$C$8,Sheet6!$C$8,"")))))))</f>
        <v/>
      </c>
      <c r="AM57" s="54" t="str">
        <f>IF(Tim!CN59=Sheet6!$C$2,Sheet6!$C$2,IF(Tim!CN59=Sheet6!$C$3,Sheet6!$C$3,IF(Tim!CN59=Sheet6!$C$4,Sheet6!$C$4,IF(Tim!CN59=Sheet6!$C$5,Sheet6!$C$5,IF(Tim!CN59=Sheet6!$C$6,Sheet6!$C$6,IF(Tim!CN59=Sheet6!$C$7,Sheet6!$C$7,IF(Tim!CN59=Sheet6!$C$8,Sheet6!$C$8,"")))))))</f>
        <v/>
      </c>
      <c r="AN57" s="54" t="str">
        <f>IF(Tim!CO59=Sheet6!$C$2,Sheet6!$C$2,IF(Tim!CO59=Sheet6!$C$3,Sheet6!$C$3,IF(Tim!CO59=Sheet6!$C$4,Sheet6!$C$4,IF(Tim!CO59=Sheet6!$C$5,Sheet6!$C$5,IF(Tim!CO59=Sheet6!$C$6,Sheet6!$C$6,IF(Tim!CO59=Sheet6!$C$7,Sheet6!$C$7,IF(Tim!CO59=Sheet6!$C$8,Sheet6!$C$8,"")))))))</f>
        <v/>
      </c>
      <c r="AO57" s="177" t="str">
        <f>IF(Tim!CP59=Sheet6!$C$2,Sheet6!$C$2,IF(Tim!CP59=Sheet6!$C$3,Sheet6!$C$3,IF(Tim!CP59=Sheet6!$C$4,Sheet6!$C$4,IF(Tim!CP59=Sheet6!$C$5,Sheet6!$C$5,IF(Tim!CP59=Sheet6!$C$6,Sheet6!$C$6,IF(Tim!CP59=Sheet6!$C$7,Sheet6!$C$7,IF(Tim!CP59=Sheet6!$C$8,Sheet6!$C$8,"")))))))</f>
        <v/>
      </c>
      <c r="AP57" s="53" t="str">
        <f>IF(Tim!CQ59=Sheet6!$C$2,Sheet6!$C$2,IF(Tim!CQ59=Sheet6!$C$3,Sheet6!$C$3,IF(Tim!CQ59=Sheet6!$C$4,Sheet6!$C$4,IF(Tim!CQ59=Sheet6!$C$5,Sheet6!$C$5,IF(Tim!CQ59=Sheet6!$C$6,Sheet6!$C$6,IF(Tim!CQ59=Sheet6!$C$7,Sheet6!$C$7,IF(Tim!CQ59=Sheet6!$C$8,Sheet6!$C$8,"")))))))</f>
        <v/>
      </c>
      <c r="AQ57" s="53" t="str">
        <f>IF(Tim!CR59=Sheet6!$C$2,Sheet6!$C$2,IF(Tim!CR59=Sheet6!$C$3,Sheet6!$C$3,IF(Tim!CR59=Sheet6!$C$4,Sheet6!$C$4,IF(Tim!CR59=Sheet6!$C$5,Sheet6!$C$5,IF(Tim!CR59=Sheet6!$C$6,Sheet6!$C$6,IF(Tim!CR59=Sheet6!$C$7,Sheet6!$C$7,IF(Tim!CR59=Sheet6!$C$8,Sheet6!$C$8,"")))))))</f>
        <v/>
      </c>
      <c r="AR57" s="57" t="str">
        <f>IF(Tim!CV59=Sheet6!$C$2,Sheet6!$C$2,IF(Tim!CV59=Sheet6!$C$3,Sheet6!$C$3,IF(Tim!CV59=Sheet6!$C$4,Sheet6!$C$4,IF(Tim!CV59=Sheet6!$C$5,Sheet6!$C$5,IF(Tim!CV59=Sheet6!$C$6,Sheet6!$C$6,IF(Tim!CV59=Sheet6!$C$7,Sheet6!$C$7,IF(Tim!CV59=Sheet6!$C$8,Sheet6!$C$8,"")))))))</f>
        <v/>
      </c>
      <c r="AS57" s="57" t="str">
        <f>IF(Tim!CW59=Sheet6!$C$2,Sheet6!$C$2,IF(Tim!CW59=Sheet6!$C$3,Sheet6!$C$3,IF(Tim!CW59=Sheet6!$C$4,Sheet6!$C$4,IF(Tim!CW59=Sheet6!$C$5,Sheet6!$C$5,IF(Tim!CW59=Sheet6!$C$6,Sheet6!$C$6,IF(Tim!CW59=Sheet6!$C$7,Sheet6!$C$7,IF(Tim!CW59=Sheet6!$C$8,Sheet6!$C$8,"")))))))</f>
        <v/>
      </c>
      <c r="AT57" s="57" t="str">
        <f>IF(Tim!DA59=Sheet6!$C$2,Sheet6!$C$2,IF(Tim!DA59=Sheet6!$C$3,Sheet6!$C$3,IF(Tim!DA59=Sheet6!$C$4,Sheet6!$C$4,IF(Tim!DA59=Sheet6!$C$5,Sheet6!$C$5,IF(Tim!DA59=Sheet6!$C$6,Sheet6!$C$6,IF(Tim!DA59=Sheet6!$C$7,Sheet6!$C$7,IF(Tim!DA59=Sheet6!$C$8,Sheet6!$C$8,"")))))))</f>
        <v/>
      </c>
      <c r="AU57" s="53" t="str">
        <f>IF(Tim!DO59=Sheet6!$C$2,Sheet6!$C$2,IF(Tim!DO59=Sheet6!$C$3,Sheet6!$C$3,IF(Tim!DO59=Sheet6!$C$4,Sheet6!$C$4,IF(Tim!DO59=Sheet6!$C$5,Sheet6!$C$5,IF(Tim!DO59=Sheet6!$C$6,Sheet6!$C$6,IF(Tim!DO59=Sheet6!$C$7,Sheet6!$C$7,IF(Tim!DO59=Sheet6!$C$8,Sheet6!$C$8,"")))))))</f>
        <v/>
      </c>
      <c r="AV57" s="53" t="str">
        <f>IF(Tim!DP59=Sheet6!$C$2,Sheet6!$C$2,IF(Tim!DP59=Sheet6!$C$3,Sheet6!$C$3,IF(Tim!DP59=Sheet6!$C$4,Sheet6!$C$4,IF(Tim!DP59=Sheet6!$C$5,Sheet6!$C$5,IF(Tim!DP59=Sheet6!$C$6,Sheet6!$C$6,IF(Tim!DP59=Sheet6!$C$7,Sheet6!$C$7,IF(Tim!DP59=Sheet6!$C$8,Sheet6!$C$8,"")))))))</f>
        <v/>
      </c>
      <c r="AW57" s="53" t="str">
        <f>IF(Tim!DX59=Sheet6!$C$2,Sheet6!$C$2,IF(Tim!DX59=Sheet6!$C$3,Sheet6!$C$3,IF(Tim!DX59=Sheet6!$C$4,Sheet6!$C$4,IF(Tim!DX59=Sheet6!$C$5,Sheet6!$C$5,IF(Tim!DX59=Sheet6!$C$6,Sheet6!$C$6,IF(Tim!DX59=Sheet6!$C$7,Sheet6!$C$7,IF(Tim!DX59=Sheet6!$C$8,Sheet6!$C$8,"")))))))</f>
        <v/>
      </c>
      <c r="AX57" s="53" t="str">
        <f>IF(Tim!DY59=Sheet6!$C$2,Sheet6!$C$2,IF(Tim!DY59=Sheet6!$C$3,Sheet6!$C$3,IF(Tim!DY59=Sheet6!$C$4,Sheet6!$C$4,IF(Tim!DY59=Sheet6!$C$5,Sheet6!$C$5,IF(Tim!DY59=Sheet6!$C$6,Sheet6!$C$6,IF(Tim!DY59=Sheet6!$C$7,Sheet6!$C$7,IF(Tim!DY59=Sheet6!$C$8,Sheet6!$C$8,"")))))))</f>
        <v/>
      </c>
      <c r="AY57" s="53" t="str">
        <f>IF(Tim!DZ59=Sheet6!$C$2,Sheet6!$C$2,IF(Tim!DZ59=Sheet6!$C$3,Sheet6!$C$3,IF(Tim!DZ59=Sheet6!$C$4,Sheet6!$C$4,IF(Tim!DZ59=Sheet6!$C$5,Sheet6!$C$5,IF(Tim!DZ59=Sheet6!$C$6,Sheet6!$C$6,IF(Tim!DZ59=Sheet6!$C$7,Sheet6!$C$7,IF(Tim!DZ59=Sheet6!$C$8,Sheet6!$C$8,"")))))))</f>
        <v/>
      </c>
      <c r="AZ57" s="176" t="str">
        <f>IF(Tim!EA59=Sheet6!$C$2,Sheet6!$C$2,IF(Tim!EA59=Sheet6!$C$3,Sheet6!$C$3,IF(Tim!EA59=Sheet6!$C$4,Sheet6!$C$4,IF(Tim!EA59=Sheet6!$C$5,Sheet6!$C$5,IF(Tim!EA59=Sheet6!$C$6,Sheet6!$C$6,IF(Tim!EA59=Sheet6!$C$7,Sheet6!$C$7,IF(Tim!EA59=Sheet6!$C$8,Sheet6!$C$8,"")))))))</f>
        <v/>
      </c>
      <c r="BA57" s="176" t="str">
        <f>IF(Tim!EB59=Sheet6!$C$2,Sheet6!$C$2,IF(Tim!EB59=Sheet6!$C$3,Sheet6!$C$3,IF(Tim!EB59=Sheet6!$C$4,Sheet6!$C$4,IF(Tim!EB59=Sheet6!$C$5,Sheet6!$C$5,IF(Tim!EB59=Sheet6!$C$6,Sheet6!$C$6,IF(Tim!EB59=Sheet6!$C$7,Sheet6!$C$7,IF(Tim!EB59=Sheet6!$C$8,Sheet6!$C$8,"")))))))</f>
        <v/>
      </c>
      <c r="BB57" s="53" t="str">
        <f>IF(Tim!EC59=Sheet6!$C$2,Sheet6!$C$2,IF(Tim!EC59=Sheet6!$C$3,Sheet6!$C$3,IF(Tim!EC59=Sheet6!$C$4,Sheet6!$C$4,IF(Tim!EC59=Sheet6!$C$5,Sheet6!$C$5,IF(Tim!EC59=Sheet6!$C$6,Sheet6!$C$6,IF(Tim!EC59=Sheet6!$C$7,Sheet6!$C$7,IF(Tim!EC59=Sheet6!$C$8,Sheet6!$C$8,"")))))))</f>
        <v/>
      </c>
      <c r="BC57" s="53" t="str">
        <f>IF(Tim!EG59=Sheet6!$C$2,Sheet6!$C$2,IF(Tim!EG59=Sheet6!$C$3,Sheet6!$C$3,IF(Tim!EG59=Sheet6!$C$4,Sheet6!$C$4,IF(Tim!EG59=Sheet6!$C$5,Sheet6!$C$5,IF(Tim!EG59=Sheet6!$C$6,Sheet6!$C$6,IF(Tim!EG59=Sheet6!$C$7,Sheet6!$C$7,IF(Tim!EG59=Sheet6!$C$8,Sheet6!$C$8,"")))))))</f>
        <v/>
      </c>
      <c r="BD57" s="53" t="str">
        <f>IF(Tim!EH59=Sheet6!$C$2,Sheet6!$C$2,IF(Tim!EH59=Sheet6!$C$3,Sheet6!$C$3,IF(Tim!EH59=Sheet6!$C$4,Sheet6!$C$4,IF(Tim!EH59=Sheet6!$C$5,Sheet6!$C$5,IF(Tim!EH59=Sheet6!$C$6,Sheet6!$C$6,IF(Tim!EH59=Sheet6!$C$7,Sheet6!$C$7,IF(Tim!EH59=Sheet6!$C$8,Sheet6!$C$8,"")))))))</f>
        <v/>
      </c>
      <c r="BE57" s="54" t="str">
        <f>IF(Tim!EI59=Sheet6!$C$2,Sheet6!$C$2,IF(Tim!EI59=Sheet6!$C$3,Sheet6!$C$3,IF(Tim!EI59=Sheet6!$C$4,Sheet6!$C$4,IF(Tim!EI59=Sheet6!$C$5,Sheet6!$C$5,IF(Tim!EI59=Sheet6!$C$6,Sheet6!$C$6,IF(Tim!EI59=Sheet6!$C$7,Sheet6!$C$7,IF(Tim!EI59=Sheet6!$C$8,Sheet6!$C$8,"")))))))</f>
        <v/>
      </c>
      <c r="BF57" s="53" t="str">
        <f>IF(Tim!EJ59=Sheet6!$C$2,Sheet6!$C$2,IF(Tim!EJ59=Sheet6!$C$3,Sheet6!$C$3,IF(Tim!EJ59=Sheet6!$C$4,Sheet6!$C$4,IF(Tim!EJ59=Sheet6!$C$5,Sheet6!$C$5,IF(Tim!EJ59=Sheet6!$C$6,Sheet6!$C$6,IF(Tim!EJ59=Sheet6!$C$7,Sheet6!$C$7,IF(Tim!EJ59=Sheet6!$C$8,Sheet6!$C$8,"")))))))</f>
        <v/>
      </c>
      <c r="BG57" s="55" t="str">
        <f>IF(Tim!EK59=Sheet6!$C$2,Sheet6!$C$2,IF(Tim!EK59=Sheet6!$C$3,Sheet6!$C$3,IF(Tim!EK59=Sheet6!$C$4,Sheet6!$C$4,IF(Tim!EK59=Sheet6!$C$5,Sheet6!$C$5,IF(Tim!EK59=Sheet6!$C$6,Sheet6!$C$6,IF(Tim!EK59=Sheet6!$C$7,Sheet6!$C$7,IF(Tim!EK59=Sheet6!$C$8,Sheet6!$C$8,"")))))))</f>
        <v/>
      </c>
      <c r="BH57" s="57" t="str">
        <f>IF(Tim!EL59=Sheet6!$C$2,Sheet6!$C$2,IF(Tim!EL59=Sheet6!$C$3,Sheet6!$C$3,IF(Tim!EL59=Sheet6!$C$4,Sheet6!$C$4,IF(Tim!EL59=Sheet6!$C$5,Sheet6!$C$5,IF(Tim!EL59=Sheet6!$C$6,Sheet6!$C$6,IF(Tim!EL59=Sheet6!$C$7,Sheet6!$C$7,IF(Tim!EL59=Sheet6!$C$8,Sheet6!$C$8,"")))))))</f>
        <v/>
      </c>
      <c r="BI57" s="57" t="str">
        <f>IF(Tim!EM59=Sheet6!$C$2,Sheet6!$C$2,IF(Tim!EM59=Sheet6!$C$3,Sheet6!$C$3,IF(Tim!EM59=Sheet6!$C$4,Sheet6!$C$4,IF(Tim!EM59=Sheet6!$C$5,Sheet6!$C$5,IF(Tim!EM59=Sheet6!$C$6,Sheet6!$C$6,IF(Tim!EM59=Sheet6!$C$7,Sheet6!$C$7,IF(Tim!EM59=Sheet6!$C$8,Sheet6!$C$8,"")))))))</f>
        <v/>
      </c>
      <c r="BJ57" s="57" t="str">
        <f>IF(Tim!EQ59=Sheet6!$C$2,Sheet6!$C$2,IF(Tim!EQ59=Sheet6!$C$3,Sheet6!$C$3,IF(Tim!EQ59=Sheet6!$C$4,Sheet6!$C$4,IF(Tim!EQ59=Sheet6!$C$5,Sheet6!$C$5,IF(Tim!EQ59=Sheet6!$C$6,Sheet6!$C$6,IF(Tim!EQ59=Sheet6!$C$7,Sheet6!$C$7,IF(Tim!EQ59=Sheet6!$C$8,Sheet6!$C$8,"")))))))</f>
        <v/>
      </c>
      <c r="BK57" s="57" t="str">
        <f>IF(Tim!ER59=Sheet6!$C$2,Sheet6!$C$2,IF(Tim!ER59=Sheet6!$C$3,Sheet6!$C$3,IF(Tim!ER59=Sheet6!$C$4,Sheet6!$C$4,IF(Tim!ER59=Sheet6!$C$5,Sheet6!$C$5,IF(Tim!ER59=Sheet6!$C$6,Sheet6!$C$6,IF(Tim!ER59=Sheet6!$C$7,Sheet6!$C$7,IF(Tim!ER59=Sheet6!$C$8,Sheet6!$C$8,"")))))))</f>
        <v/>
      </c>
      <c r="BL57" s="57" t="str">
        <f>IF(Tim!EZ59=Sheet6!$C$2,Sheet6!$C$2,IF(Tim!EZ59=Sheet6!$C$3,Sheet6!$C$3,IF(Tim!EZ59=Sheet6!$C$4,Sheet6!$C$4,IF(Tim!EZ59=Sheet6!$C$5,Sheet6!$C$5,IF(Tim!EZ59=Sheet6!$C$6,Sheet6!$C$6,IF(Tim!EZ59=Sheet6!$C$7,Sheet6!$C$7,IF(Tim!EZ59=Sheet6!$C$8,Sheet6!$C$8,"")))))))</f>
        <v/>
      </c>
      <c r="BM57" s="53" t="str">
        <f>IF(Tim!FG59=Sheet6!$C$2,Sheet6!$C$2,IF(Tim!FG59=Sheet6!$C$3,Sheet6!$C$3,IF(Tim!FG59=Sheet6!$C$4,Sheet6!$C$4,IF(Tim!FG59=Sheet6!$C$5,Sheet6!$C$5,IF(Tim!FG59=Sheet6!$C$6,Sheet6!$C$6,IF(Tim!FG59=Sheet6!$C$7,Sheet6!$C$7,IF(Tim!FG59=Sheet6!$C$8,Sheet6!$C$8,"")))))))</f>
        <v/>
      </c>
      <c r="BN57" s="53" t="str">
        <f>IF(Tim!FH59=Sheet6!$C$2,Sheet6!$C$2,IF(Tim!FH59=Sheet6!$C$3,Sheet6!$C$3,IF(Tim!FH59=Sheet6!$C$4,Sheet6!$C$4,IF(Tim!FH59=Sheet6!$C$5,Sheet6!$C$5,IF(Tim!FH59=Sheet6!$C$6,Sheet6!$C$6,IF(Tim!FH59=Sheet6!$C$7,Sheet6!$C$7,IF(Tim!FH59=Sheet6!$C$8,Sheet6!$C$8,"")))))))</f>
        <v/>
      </c>
      <c r="BO57" s="53" t="str">
        <f>IF(Tim!FP59=Sheet6!$C$2,Sheet6!$C$2,IF(Tim!FP59=Sheet6!$C$3,Sheet6!$C$3,IF(Tim!FP59=Sheet6!$C$4,Sheet6!$C$4,IF(Tim!FP59=Sheet6!$C$5,Sheet6!$C$5,IF(Tim!FP59=Sheet6!$C$6,Sheet6!$C$6,IF(Tim!FP59=Sheet6!$C$7,Sheet6!$C$7,IF(Tim!FP59=Sheet6!$C$8,Sheet6!$C$8,"")))))))</f>
        <v/>
      </c>
      <c r="BP57" s="53" t="str">
        <f>IF(Tim!FQ59=Sheet6!$C$2,Sheet6!$C$2,IF(Tim!FQ59=Sheet6!$C$3,Sheet6!$C$3,IF(Tim!FQ59=Sheet6!$C$4,Sheet6!$C$4,IF(Tim!FQ59=Sheet6!$C$5,Sheet6!$C$5,IF(Tim!FQ59=Sheet6!$C$6,Sheet6!$C$6,IF(Tim!FQ59=Sheet6!$C$7,Sheet6!$C$7,IF(Tim!FQ59=Sheet6!$C$8,Sheet6!$C$8,"")))))))</f>
        <v/>
      </c>
      <c r="BQ57" s="53" t="str">
        <f>IF(Tim!FR59=Sheet6!$C$2,Sheet6!$C$2,IF(Tim!FR59=Sheet6!$C$3,Sheet6!$C$3,IF(Tim!FR59=Sheet6!$C$4,Sheet6!$C$4,IF(Tim!FR59=Sheet6!$C$5,Sheet6!$C$5,IF(Tim!FR59=Sheet6!$C$6,Sheet6!$C$6,IF(Tim!FR59=Sheet6!$C$7,Sheet6!$C$7,IF(Tim!FR59=Sheet6!$C$8,Sheet6!$C$8,"")))))))</f>
        <v/>
      </c>
      <c r="BR57" s="53" t="str">
        <f>IF(Tim!FS59=Sheet6!$C$2,Sheet6!$C$2,IF(Tim!FS59=Sheet6!$C$3,Sheet6!$C$3,IF(Tim!FS59=Sheet6!$C$4,Sheet6!$C$4,IF(Tim!FS59=Sheet6!$C$5,Sheet6!$C$5,IF(Tim!FS59=Sheet6!$C$6,Sheet6!$C$6,IF(Tim!FS59=Sheet6!$C$7,Sheet6!$C$7,IF(Tim!FS59=Sheet6!$C$8,Sheet6!$C$8,"")))))))</f>
        <v/>
      </c>
      <c r="BS57" s="53" t="str">
        <f>IF(Tim!FT59=Sheet6!$C$2,Sheet6!$C$2,IF(Tim!FT59=Sheet6!$C$3,Sheet6!$C$3,IF(Tim!FT59=Sheet6!$C$4,Sheet6!$C$4,IF(Tim!FT59=Sheet6!$C$5,Sheet6!$C$5,IF(Tim!FT59=Sheet6!$C$6,Sheet6!$C$6,IF(Tim!FT59=Sheet6!$C$7,Sheet6!$C$7,IF(Tim!FT59=Sheet6!$C$8,Sheet6!$C$8,"")))))))</f>
        <v/>
      </c>
      <c r="BT57" s="53" t="str">
        <f>IF(Tim!FU59=Sheet6!$C$2,Sheet6!$C$2,IF(Tim!FU59=Sheet6!$C$3,Sheet6!$C$3,IF(Tim!FU59=Sheet6!$C$4,Sheet6!$C$4,IF(Tim!FU59=Sheet6!$C$5,Sheet6!$C$5,IF(Tim!FU59=Sheet6!$C$6,Sheet6!$C$6,IF(Tim!FU59=Sheet6!$C$7,Sheet6!$C$7,IF(Tim!FU59=Sheet6!$C$8,Sheet6!$C$8,"")))))))</f>
        <v/>
      </c>
      <c r="BU57" s="53" t="str">
        <f>IF(Tim!FY59=Sheet6!$C$2,Sheet6!$C$2,IF(Tim!FY59=Sheet6!$C$3,Sheet6!$C$3,IF(Tim!FY59=Sheet6!$C$4,Sheet6!$C$4,IF(Tim!FY59=Sheet6!$C$5,Sheet6!$C$5,IF(Tim!FY59=Sheet6!$C$6,Sheet6!$C$6,IF(Tim!FY59=Sheet6!$C$7,Sheet6!$C$7,IF(Tim!FY59=Sheet6!$C$8,Sheet6!$C$8,"")))))))</f>
        <v/>
      </c>
      <c r="BV57" s="54" t="str">
        <f>IF(Tim!FZ59=Sheet6!$C$2,Sheet6!$C$2,IF(Tim!FZ59=Sheet6!$C$3,Sheet6!$C$3,IF(Tim!FZ59=Sheet6!$C$4,Sheet6!$C$4,IF(Tim!FZ59=Sheet6!$C$5,Sheet6!$C$5,IF(Tim!FZ59=Sheet6!$C$6,Sheet6!$C$6,IF(Tim!FZ59=Sheet6!$C$7,Sheet6!$C$7,IF(Tim!FZ59=Sheet6!$C$8,Sheet6!$C$8,"")))))))</f>
        <v/>
      </c>
      <c r="BW57" s="54" t="str">
        <f>IF(Tim!GA59=Sheet6!$C$2,Sheet6!$C$2,IF(Tim!GA59=Sheet6!$C$3,Sheet6!$C$3,IF(Tim!GA59=Sheet6!$C$4,Sheet6!$C$4,IF(Tim!GA59=Sheet6!$C$5,Sheet6!$C$5,IF(Tim!GA59=Sheet6!$C$6,Sheet6!$C$6,IF(Tim!GA59=Sheet6!$C$7,Sheet6!$C$7,IF(Tim!GA59=Sheet6!$C$8,Sheet6!$C$8,"")))))))</f>
        <v/>
      </c>
      <c r="BX57" s="54" t="str">
        <f>IF(Tim!GB59=Sheet6!$C$2,Sheet6!$C$2,IF(Tim!GB59=Sheet6!$C$3,Sheet6!$C$3,IF(Tim!GB59=Sheet6!$C$4,Sheet6!$C$4,IF(Tim!GB59=Sheet6!$C$5,Sheet6!$C$5,IF(Tim!GB59=Sheet6!$C$6,Sheet6!$C$6,IF(Tim!GB59=Sheet6!$C$7,Sheet6!$C$7,IF(Tim!GB59=Sheet6!$C$8,Sheet6!$C$8,"")))))))</f>
        <v/>
      </c>
      <c r="BY57" s="55" t="str">
        <f>IF(Tim!GC59=Sheet6!$C$2,Sheet6!$C$2,IF(Tim!GC59=Sheet6!$C$3,Sheet6!$C$3,IF(Tim!GC59=Sheet6!$C$4,Sheet6!$C$4,IF(Tim!GC59=Sheet6!$C$5,Sheet6!$C$5,IF(Tim!GC59=Sheet6!$C$6,Sheet6!$C$6,IF(Tim!GC59=Sheet6!$C$7,Sheet6!$C$7,IF(Tim!GC59=Sheet6!$C$8,Sheet6!$C$8,"")))))))</f>
        <v/>
      </c>
      <c r="BZ57" s="53" t="str">
        <f>IF(Tim!GD59=Sheet6!$C$2,Sheet6!$C$2,IF(Tim!GD59=Sheet6!$C$3,Sheet6!$C$3,IF(Tim!GD59=Sheet6!$C$4,Sheet6!$C$4,IF(Tim!GD59=Sheet6!$C$5,Sheet6!$C$5,IF(Tim!GD59=Sheet6!$C$6,Sheet6!$C$6,IF(Tim!GD59=Sheet6!$C$7,Sheet6!$C$7,IF(Tim!GD59=Sheet6!$C$8,Sheet6!$C$8,"")))))))</f>
        <v/>
      </c>
      <c r="CA57" s="53" t="str">
        <f>IF(Tim!GE59=Sheet6!$C$2,Sheet6!$C$2,IF(Tim!GE59=Sheet6!$C$3,Sheet6!$C$3,IF(Tim!GE59=Sheet6!$C$4,Sheet6!$C$4,IF(Tim!GE59=Sheet6!$C$5,Sheet6!$C$5,IF(Tim!GE59=Sheet6!$C$6,Sheet6!$C$6,IF(Tim!GE59=Sheet6!$C$7,Sheet6!$C$7,IF(Tim!GE59=Sheet6!$C$8,Sheet6!$C$8,"")))))))</f>
        <v/>
      </c>
      <c r="CB57" s="57" t="str">
        <f>IF(Tim!GI59=Sheet6!$C$2,Sheet6!$C$2,IF(Tim!GI59=Sheet6!$C$3,Sheet6!$C$3,IF(Tim!GI59=Sheet6!$C$4,Sheet6!$C$4,IF(Tim!GI59=Sheet6!$C$5,Sheet6!$C$5,IF(Tim!GI59=Sheet6!$C$6,Sheet6!$C$6,IF(Tim!GI59=Sheet6!$C$7,Sheet6!$C$7,IF(Tim!GI59=Sheet6!$C$8,Sheet6!$C$8,"")))))))</f>
        <v/>
      </c>
      <c r="CC57" s="57" t="str">
        <f>IF(Tim!GJ59=Sheet6!$C$2,Sheet6!$C$2,IF(Tim!GJ59=Sheet6!$C$3,Sheet6!$C$3,IF(Tim!GJ59=Sheet6!$C$4,Sheet6!$C$4,IF(Tim!GJ59=Sheet6!$C$5,Sheet6!$C$5,IF(Tim!GJ59=Sheet6!$C$6,Sheet6!$C$6,IF(Tim!GJ59=Sheet6!$C$7,Sheet6!$C$7,IF(Tim!GJ59=Sheet6!$C$8,Sheet6!$C$8,"")))))))</f>
        <v/>
      </c>
      <c r="CD57" s="57" t="str">
        <f>IF(Tim!GN59=Sheet6!$C$2,Sheet6!$C$2,IF(Tim!GN59=Sheet6!$C$3,Sheet6!$C$3,IF(Tim!GN59=Sheet6!$C$4,Sheet6!$C$4,IF(Tim!GN59=Sheet6!$C$5,Sheet6!$C$5,IF(Tim!GN59=Sheet6!$C$6,Sheet6!$C$6,IF(Tim!GN59=Sheet6!$C$7,Sheet6!$C$7,IF(Tim!GN59=Sheet6!$C$8,Sheet6!$C$8,"")))))))</f>
        <v/>
      </c>
      <c r="CE57" s="53" t="str">
        <f>IF(Tim!GY59=Sheet6!$C$2,Sheet6!$C$2,IF(Tim!GY59=Sheet6!$C$3,Sheet6!$C$3,IF(Tim!GY59=Sheet6!$C$4,Sheet6!$C$4,IF(Tim!GY59=Sheet6!$C$5,Sheet6!$C$5,IF(Tim!GY59=Sheet6!$C$6,Sheet6!$C$6,IF(Tim!GY59=Sheet6!$C$7,Sheet6!$C$7,IF(Tim!GY59=Sheet6!$C$8,Sheet6!$C$8,"")))))))</f>
        <v/>
      </c>
      <c r="CF57" s="53" t="str">
        <f>IF(Tim!GZ59=Sheet6!$C$2,Sheet6!$C$2,IF(Tim!GZ59=Sheet6!$C$3,Sheet6!$C$3,IF(Tim!GZ59=Sheet6!$C$4,Sheet6!$C$4,IF(Tim!GZ59=Sheet6!$C$5,Sheet6!$C$5,IF(Tim!GZ59=Sheet6!$C$6,Sheet6!$C$6,IF(Tim!GZ59=Sheet6!$C$7,Sheet6!$C$7,IF(Tim!GZ59=Sheet6!$C$8,Sheet6!$C$8,"")))))))</f>
        <v/>
      </c>
      <c r="CG57" s="53" t="str">
        <f>IF(Tim!HH59=Sheet6!$C$2,Sheet6!$C$2,IF(Tim!HH59=Sheet6!$C$3,Sheet6!$C$3,IF(Tim!HH59=Sheet6!$C$4,Sheet6!$C$4,IF(Tim!HH59=Sheet6!$C$5,Sheet6!$C$5,IF(Tim!HH59=Sheet6!$C$6,Sheet6!$C$6,IF(Tim!HH59=Sheet6!$C$7,Sheet6!$C$7,IF(Tim!HH59=Sheet6!$C$8,Sheet6!$C$8,"")))))))</f>
        <v/>
      </c>
      <c r="CH57" s="53" t="str">
        <f>IF(Tim!HI59=Sheet6!$C$2,Sheet6!$C$2,IF(Tim!HI59=Sheet6!$C$3,Sheet6!$C$3,IF(Tim!HI59=Sheet6!$C$4,Sheet6!$C$4,IF(Tim!HI59=Sheet6!$C$5,Sheet6!$C$5,IF(Tim!HI59=Sheet6!$C$6,Sheet6!$C$6,IF(Tim!HI59=Sheet6!$C$7,Sheet6!$C$7,IF(Tim!HI59=Sheet6!$C$8,Sheet6!$C$8,"")))))))</f>
        <v/>
      </c>
      <c r="CI57" s="53" t="str">
        <f>IF(Tim!HJ59=Sheet6!$C$2,Sheet6!$C$2,IF(Tim!HJ59=Sheet6!$C$3,Sheet6!$C$3,IF(Tim!HJ59=Sheet6!$C$4,Sheet6!$C$4,IF(Tim!HJ59=Sheet6!$C$5,Sheet6!$C$5,IF(Tim!HJ59=Sheet6!$C$6,Sheet6!$C$6,IF(Tim!HJ59=Sheet6!$C$7,Sheet6!$C$7,IF(Tim!HJ59=Sheet6!$C$8,Sheet6!$C$8,"")))))))</f>
        <v/>
      </c>
      <c r="CJ57" s="53" t="str">
        <f>IF(Tim!HK59=Sheet6!$C$2,Sheet6!$C$2,IF(Tim!HK59=Sheet6!$C$3,Sheet6!$C$3,IF(Tim!HK59=Sheet6!$C$4,Sheet6!$C$4,IF(Tim!HK59=Sheet6!$C$5,Sheet6!$C$5,IF(Tim!HK59=Sheet6!$C$6,Sheet6!$C$6,IF(Tim!HK59=Sheet6!$C$7,Sheet6!$C$7,IF(Tim!HK59=Sheet6!$C$8,Sheet6!$C$8,"")))))))</f>
        <v/>
      </c>
      <c r="CK57" s="53" t="str">
        <f>IF(Tim!HL59=Sheet6!$C$2,Sheet6!$C$2,IF(Tim!HL59=Sheet6!$C$3,Sheet6!$C$3,IF(Tim!HL59=Sheet6!$C$4,Sheet6!$C$4,IF(Tim!HL59=Sheet6!$C$5,Sheet6!$C$5,IF(Tim!HL59=Sheet6!$C$6,Sheet6!$C$6,IF(Tim!HL59=Sheet6!$C$7,Sheet6!$C$7,IF(Tim!HL59=Sheet6!$C$8,Sheet6!$C$8,"")))))))</f>
        <v/>
      </c>
      <c r="CL57" s="53" t="str">
        <f>IF(Tim!HM59=Sheet6!$C$2,Sheet6!$C$2,IF(Tim!HM59=Sheet6!$C$3,Sheet6!$C$3,IF(Tim!HM59=Sheet6!$C$4,Sheet6!$C$4,IF(Tim!HM59=Sheet6!$C$5,Sheet6!$C$5,IF(Tim!HM59=Sheet6!$C$6,Sheet6!$C$6,IF(Tim!HM59=Sheet6!$C$7,Sheet6!$C$7,IF(Tim!HM59=Sheet6!$C$8,Sheet6!$C$8,"")))))))</f>
        <v/>
      </c>
      <c r="CM57" s="53" t="str">
        <f>IF(Tim!HQ59=Sheet6!$C$2,Sheet6!$C$2,IF(Tim!HQ59=Sheet6!$C$3,Sheet6!$C$3,IF(Tim!HQ59=Sheet6!$C$4,Sheet6!$C$4,IF(Tim!HQ59=Sheet6!$C$5,Sheet6!$C$5,IF(Tim!HQ59=Sheet6!$C$6,Sheet6!$C$6,IF(Tim!HQ59=Sheet6!$C$7,Sheet6!$C$7,IF(Tim!HQ59=Sheet6!$C$8,Sheet6!$C$8,"")))))))</f>
        <v/>
      </c>
      <c r="CN57" s="54" t="str">
        <f>IF(Tim!HR59=Sheet6!$C$2,Sheet6!$C$2,IF(Tim!HR59=Sheet6!$C$3,Sheet6!$C$3,IF(Tim!HR59=Sheet6!$C$4,Sheet6!$C$4,IF(Tim!HR59=Sheet6!$C$5,Sheet6!$C$5,IF(Tim!HR59=Sheet6!$C$6,Sheet6!$C$6,IF(Tim!HR59=Sheet6!$C$7,Sheet6!$C$7,IF(Tim!HR59=Sheet6!$C$8,Sheet6!$C$8,"")))))))</f>
        <v/>
      </c>
      <c r="CO57" s="54" t="str">
        <f>IF(Tim!HS59=Sheet6!$C$2,Sheet6!$C$2,IF(Tim!HS59=Sheet6!$C$3,Sheet6!$C$3,IF(Tim!HS59=Sheet6!$C$4,Sheet6!$C$4,IF(Tim!HS59=Sheet6!$C$5,Sheet6!$C$5,IF(Tim!HS59=Sheet6!$C$6,Sheet6!$C$6,IF(Tim!HS59=Sheet6!$C$7,Sheet6!$C$7,IF(Tim!HS59=Sheet6!$C$8,Sheet6!$C$8,"")))))))</f>
        <v/>
      </c>
      <c r="CP57" s="54" t="str">
        <f>IF(Tim!HT59=Sheet6!$C$2,Sheet6!$C$2,IF(Tim!HT59=Sheet6!$C$3,Sheet6!$C$3,IF(Tim!HT59=Sheet6!$C$4,Sheet6!$C$4,IF(Tim!HT59=Sheet6!$C$5,Sheet6!$C$5,IF(Tim!HT59=Sheet6!$C$6,Sheet6!$C$6,IF(Tim!HT59=Sheet6!$C$7,Sheet6!$C$7,IF(Tim!HT59=Sheet6!$C$8,Sheet6!$C$8,"")))))))</f>
        <v/>
      </c>
      <c r="CQ57" s="55" t="str">
        <f>IF(Tim!HU59=Sheet6!$C$2,Sheet6!$C$2,IF(Tim!HU59=Sheet6!$C$3,Sheet6!$C$3,IF(Tim!HU59=Sheet6!$C$4,Sheet6!$C$4,IF(Tim!HU59=Sheet6!$C$5,Sheet6!$C$5,IF(Tim!HU59=Sheet6!$C$6,Sheet6!$C$6,IF(Tim!HU59=Sheet6!$C$7,Sheet6!$C$7,IF(Tim!HU59=Sheet6!$C$8,Sheet6!$C$8,"")))))))</f>
        <v/>
      </c>
      <c r="CR57" s="468"/>
      <c r="CS57" s="464"/>
      <c r="CT57" s="464"/>
      <c r="CU57" s="464"/>
      <c r="CV57" s="464"/>
      <c r="CW57" s="464"/>
      <c r="CX57" s="464"/>
      <c r="CY57" s="464"/>
      <c r="CZ57" s="464"/>
      <c r="DA57" s="464"/>
      <c r="DB57" s="464"/>
      <c r="DC57" s="464"/>
      <c r="DD57" s="464"/>
      <c r="DE57" s="464"/>
      <c r="DF57" s="464"/>
      <c r="DG57" s="466"/>
      <c r="DH57" s="422"/>
      <c r="DI57" s="423"/>
      <c r="DJ57" s="423"/>
      <c r="DK57" s="423"/>
      <c r="DL57" s="423"/>
      <c r="DM57" s="423"/>
      <c r="DN57" s="423"/>
      <c r="DO57" s="423"/>
      <c r="DP57" s="423"/>
      <c r="DQ57" s="423"/>
      <c r="DR57" s="423"/>
      <c r="DS57" s="423"/>
      <c r="DT57" s="423"/>
      <c r="DU57" s="423"/>
      <c r="DV57" s="423"/>
      <c r="DW57" s="424"/>
      <c r="DX57" s="52">
        <v>0.83333333333333204</v>
      </c>
    </row>
    <row r="58" spans="2:128" ht="10.5" customHeight="1">
      <c r="B58" s="51">
        <v>0.25</v>
      </c>
      <c r="C58" s="51">
        <v>0.25</v>
      </c>
      <c r="D58" s="51">
        <v>0.25</v>
      </c>
      <c r="E58" s="52">
        <v>0.843749999999998</v>
      </c>
      <c r="F58" s="53" t="str">
        <f>IF(Tim!F60=Sheet6!$C$2,Sheet6!$C$2,IF(Tim!F60=Sheet6!$C$3,Sheet6!$C$3,IF(Tim!F60=Sheet6!$C$4,Sheet6!$C$4,IF(Tim!F60=Sheet6!$C$5,Sheet6!$C$5,IF(Tim!F60=Sheet6!$C$6,Sheet6!$C$6,IF(Tim!F60=Sheet6!$C$7,Sheet6!$C$7,IF(Tim!F60=Sheet6!$C$8,Sheet6!$C$8,"")))))))</f>
        <v/>
      </c>
      <c r="G58" s="53" t="str">
        <f>IF(Tim!M60=Sheet6!$C$2,Sheet6!$C$2,IF(Tim!M60=Sheet6!$C$3,Sheet6!$C$3,IF(Tim!M60=Sheet6!$C$4,Sheet6!$C$4,IF(Tim!M60=Sheet6!$C$5,Sheet6!$C$5,IF(Tim!M60=Sheet6!$C$6,Sheet6!$C$6,IF(Tim!M60=Sheet6!$C$7,Sheet6!$C$7,IF(Tim!M60=Sheet6!$C$8,Sheet6!$C$8,"")))))))</f>
        <v/>
      </c>
      <c r="H58" s="53" t="str">
        <f>IF(Tim!H60=Sheet6!$C$2,Sheet6!$C$2,IF(Tim!H60=Sheet6!$C$3,Sheet6!$C$3,IF(Tim!H60=Sheet6!$C$4,Sheet6!$C$4,IF(Tim!H60=Sheet6!$C$5,Sheet6!$C$5,IF(Tim!H60=Sheet6!$C$6,Sheet6!$C$6,IF(Tim!H60=Sheet6!$C$7,Sheet6!$C$7,IF(Tim!H60=Sheet6!$C$8,Sheet6!$C$8,"")))))))</f>
        <v/>
      </c>
      <c r="I58" s="53" t="str">
        <f>IF(Tim!L60=Sheet6!$C$2,Sheet6!$C$2,IF(Tim!L60=Sheet6!$C$3,Sheet6!$C$3,IF(Tim!L60=Sheet6!$C$4,Sheet6!$C$4,IF(Tim!L60=Sheet6!$C$5,Sheet6!$C$5,IF(Tim!L60=Sheet6!$C$6,Sheet6!$C$6,IF(Tim!L60=Sheet6!$C$7,Sheet6!$C$7,IF(Tim!L60=Sheet6!$C$8,Sheet6!$C$8,"")))))))</f>
        <v/>
      </c>
      <c r="J58" s="53" t="str">
        <f>IF(Tim!T60=Sheet6!$C$2,Sheet6!$C$2,IF(Tim!T60=Sheet6!$C$3,Sheet6!$C$3,IF(Tim!T60=Sheet6!$C$4,Sheet6!$C$4,IF(Tim!T60=Sheet6!$C$5,Sheet6!$C$5,IF(Tim!T60=Sheet6!$C$6,Sheet6!$C$6,IF(Tim!T60=Sheet6!$C$7,Sheet6!$C$7,IF(Tim!T60=Sheet6!$C$8,Sheet6!$C$8,"")))))))</f>
        <v/>
      </c>
      <c r="K58" s="53" t="str">
        <f>IF(Tim!AB60=Sheet6!$C$2,Sheet6!$C$2,IF(Tim!AB60=Sheet6!$C$3,Sheet6!$C$3,IF(Tim!AB60=Sheet6!$C$4,Sheet6!$C$4,IF(Tim!AB60=Sheet6!$C$5,Sheet6!$C$5,IF(Tim!AB60=Sheet6!$C$6,Sheet6!$C$6,IF(Tim!AB60=Sheet6!$C$7,Sheet6!$C$7,IF(Tim!AB60=Sheet6!$C$8,Sheet6!$C$8,"")))))))</f>
        <v/>
      </c>
      <c r="L58" s="53" t="str">
        <f>IF(Tim!AC60=Sheet6!$C$2,Sheet6!$C$2,IF(Tim!AC60=Sheet6!$C$3,Sheet6!$C$3,IF(Tim!AC60=Sheet6!$C$4,Sheet6!$C$4,IF(Tim!AC60=Sheet6!$C$5,Sheet6!$C$5,IF(Tim!AC60=Sheet6!$C$6,Sheet6!$C$6,IF(Tim!AC60=Sheet6!$C$7,Sheet6!$C$7,IF(Tim!AC60=Sheet6!$C$8,Sheet6!$C$8,"")))))))</f>
        <v/>
      </c>
      <c r="M58" s="53" t="str">
        <f>IF(Tim!AJ60=Sheet6!$C$2,Sheet6!$C$2,IF(Tim!AJ60=Sheet6!$C$3,Sheet6!$C$3,IF(Tim!AJ60=Sheet6!$C$4,Sheet6!$C$4,IF(Tim!AJ60=Sheet6!$C$5,Sheet6!$C$5,IF(Tim!AJ60=Sheet6!$C$6,Sheet6!$C$6,IF(Tim!AJ60=Sheet6!$C$7,Sheet6!$C$7,IF(Tim!AJ60=Sheet6!$C$8,Sheet6!$C$8,"")))))))</f>
        <v/>
      </c>
      <c r="N58" s="53" t="str">
        <f>IF(Tim!AK60=Sheet6!$C$2,Sheet6!$C$2,IF(Tim!AK60=Sheet6!$C$3,Sheet6!$C$3,IF(Tim!AK60=Sheet6!$C$4,Sheet6!$C$4,IF(Tim!AK60=Sheet6!$C$5,Sheet6!$C$5,IF(Tim!AK60=Sheet6!$C$6,Sheet6!$C$6,IF(Tim!AK60=Sheet6!$C$7,Sheet6!$C$7,IF(Tim!AK60=Sheet6!$C$8,Sheet6!$C$8,"")))))))</f>
        <v/>
      </c>
      <c r="O58" s="53" t="str">
        <f>IF(Tim!AL60=Sheet6!$C$2,Sheet6!$C$2,IF(Tim!AL60=Sheet6!$C$3,Sheet6!$C$3,IF(Tim!AL60=Sheet6!$C$4,Sheet6!$C$4,IF(Tim!AL60=Sheet6!$C$5,Sheet6!$C$5,IF(Tim!AL60=Sheet6!$C$6,Sheet6!$C$6,IF(Tim!AL60=Sheet6!$C$7,Sheet6!$C$7,IF(Tim!AL60=Sheet6!$C$8,Sheet6!$C$8,"")))))))</f>
        <v/>
      </c>
      <c r="P58" s="53" t="str">
        <f>IF(Tim!AN60=Sheet6!$C$2,Sheet6!$C$2,IF(Tim!AN60=Sheet6!$C$3,Sheet6!$C$3,IF(Tim!AN60=Sheet6!$C$4,Sheet6!$C$4,IF(Tim!AN60=Sheet6!$C$5,Sheet6!$C$5,IF(Tim!AN60=Sheet6!$C$6,Sheet6!$C$6,IF(Tim!AN60=Sheet6!$C$7,Sheet6!$C$7,IF(Tim!AN60=Sheet6!$C$8,Sheet6!$C$8,"")))))))</f>
        <v/>
      </c>
      <c r="Q58" s="176" t="str">
        <f>IF(Tim!AO60=Sheet6!$C$2,Sheet6!$C$2,IF(Tim!AO60=Sheet6!$C$3,Sheet6!$C$3,IF(Tim!AO60=Sheet6!$C$4,Sheet6!$C$4,IF(Tim!AO60=Sheet6!$C$5,Sheet6!$C$5,IF(Tim!AO60=Sheet6!$C$6,Sheet6!$C$6,IF(Tim!AO60=Sheet6!$C$7,Sheet6!$C$7,IF(Tim!AO60=Sheet6!$C$8,Sheet6!$C$8,"")))))))</f>
        <v/>
      </c>
      <c r="R58" s="53" t="str">
        <f>IF(Tim!AP60=Sheet6!$C$2,Sheet6!$C$2,IF(Tim!AP60=Sheet6!$C$3,Sheet6!$C$3,IF(Tim!AP60=Sheet6!$C$4,Sheet6!$C$4,IF(Tim!AP60=Sheet6!$C$5,Sheet6!$C$5,IF(Tim!AP60=Sheet6!$C$6,Sheet6!$C$6,IF(Tim!AP60=Sheet6!$C$7,Sheet6!$C$7,IF(Tim!AP60=Sheet6!$C$8,Sheet6!$C$8,"")))))))</f>
        <v/>
      </c>
      <c r="S58" s="53" t="str">
        <f>IF(Tim!AT60=Sheet6!$C$2,Sheet6!$C$2,IF(Tim!AT60=Sheet6!$C$3,Sheet6!$C$3,IF(Tim!AT60=Sheet6!$C$4,Sheet6!$C$4,IF(Tim!AT60=Sheet6!$C$5,Sheet6!$C$5,IF(Tim!AT60=Sheet6!$C$6,Sheet6!$C$6,IF(Tim!AT60=Sheet6!$C$7,Sheet6!$C$7,IF(Tim!AT60=Sheet6!$C$8,Sheet6!$C$8,"")))))))</f>
        <v/>
      </c>
      <c r="T58" s="54" t="str">
        <f>IF(Tim!AU60=Sheet6!$C$2,Sheet6!$C$2,IF(Tim!AU60=Sheet6!$C$3,Sheet6!$C$3,IF(Tim!AU60=Sheet6!$C$4,Sheet6!$C$4,IF(Tim!AU60=Sheet6!$C$5,Sheet6!$C$5,IF(Tim!AU60=Sheet6!$C$6,Sheet6!$C$6,IF(Tim!AU60=Sheet6!$C$7,Sheet6!$C$7,IF(Tim!AU60=Sheet6!$C$8,Sheet6!$C$8,"")))))))</f>
        <v/>
      </c>
      <c r="U58" s="54" t="str">
        <f>IF(Tim!AV60=Sheet6!$C$2,Sheet6!$C$2,IF(Tim!AV60=Sheet6!$C$3,Sheet6!$C$3,IF(Tim!AV60=Sheet6!$C$4,Sheet6!$C$4,IF(Tim!AV60=Sheet6!$C$5,Sheet6!$C$5,IF(Tim!AV60=Sheet6!$C$6,Sheet6!$C$6,IF(Tim!AV60=Sheet6!$C$7,Sheet6!$C$7,IF(Tim!AV60=Sheet6!$C$8,Sheet6!$C$8,"")))))))</f>
        <v/>
      </c>
      <c r="V58" s="54" t="str">
        <f>IF(Tim!AW60=Sheet6!$C$2,Sheet6!$C$2,IF(Tim!AW60=Sheet6!$C$3,Sheet6!$C$3,IF(Tim!AW60=Sheet6!$C$4,Sheet6!$C$4,IF(Tim!AW60=Sheet6!$C$5,Sheet6!$C$5,IF(Tim!AW60=Sheet6!$C$6,Sheet6!$C$6,IF(Tim!AW60=Sheet6!$C$7,Sheet6!$C$7,IF(Tim!AW60=Sheet6!$C$8,Sheet6!$C$8,"")))))))</f>
        <v/>
      </c>
      <c r="W58" s="55" t="str">
        <f>IF(Tim!AX60=Sheet6!$C$2,Sheet6!$C$2,IF(Tim!AX60=Sheet6!$C$3,Sheet6!$C$3,IF(Tim!AX60=Sheet6!$C$4,Sheet6!$C$4,IF(Tim!AX60=Sheet6!$C$5,Sheet6!$C$5,IF(Tim!AX60=Sheet6!$C$6,Sheet6!$C$6,IF(Tim!AX60=Sheet6!$C$7,Sheet6!$C$7,IF(Tim!AX60=Sheet6!$C$8,Sheet6!$C$8,"")))))))</f>
        <v/>
      </c>
      <c r="X58" s="53" t="str">
        <f>IF(Tim!AY60=Sheet6!$C$2,Sheet6!$C$2,IF(Tim!AY60=Sheet6!$C$3,Sheet6!$C$3,IF(Tim!AY60=Sheet6!$C$4,Sheet6!$C$4,IF(Tim!AY60=Sheet6!$C$5,Sheet6!$C$5,IF(Tim!AY60=Sheet6!$C$6,Sheet6!$C$6,IF(Tim!AY60=Sheet6!$C$7,Sheet6!$C$7,IF(Tim!AY60=Sheet6!$C$8,Sheet6!$C$8,"")))))))</f>
        <v/>
      </c>
      <c r="Y58" s="53" t="str">
        <f>IF(Tim!AZ60=Sheet6!$C$2,Sheet6!$C$2,IF(Tim!AZ60=Sheet6!$C$3,Sheet6!$C$3,IF(Tim!AZ60=Sheet6!$C$4,Sheet6!$C$4,IF(Tim!AZ60=Sheet6!$C$5,Sheet6!$C$5,IF(Tim!AZ60=Sheet6!$C$6,Sheet6!$C$6,IF(Tim!AZ60=Sheet6!$C$7,Sheet6!$C$7,IF(Tim!AZ60=Sheet6!$C$8,Sheet6!$C$8,"")))))))</f>
        <v/>
      </c>
      <c r="Z58" s="57" t="str">
        <f>IF(Tim!BD60=Sheet6!$C$2,Sheet6!$C$2,IF(Tim!BD60=Sheet6!$C$3,Sheet6!$C$3,IF(Tim!BD60=Sheet6!$C$4,Sheet6!$C$4,IF(Tim!BD60=Sheet6!$C$5,Sheet6!$C$5,IF(Tim!BD60=Sheet6!$C$6,Sheet6!$C$6,IF(Tim!BD60=Sheet6!$C$7,Sheet6!$C$7,IF(Tim!BD60=Sheet6!$C$8,Sheet6!$C$8,"")))))))</f>
        <v/>
      </c>
      <c r="AA58" s="57" t="str">
        <f>IF(Tim!BE60=Sheet6!$C$2,Sheet6!$C$2,IF(Tim!BE60=Sheet6!$C$3,Sheet6!$C$3,IF(Tim!BE60=Sheet6!$C$4,Sheet6!$C$4,IF(Tim!BE60=Sheet6!$C$5,Sheet6!$C$5,IF(Tim!BE60=Sheet6!$C$6,Sheet6!$C$6,IF(Tim!BE60=Sheet6!$C$7,Sheet6!$C$7,IF(Tim!BE60=Sheet6!$C$8,Sheet6!$C$8,"")))))))</f>
        <v/>
      </c>
      <c r="AB58" s="57" t="str">
        <f>IF(Tim!BL60=Sheet6!$C$2,Sheet6!$C$2,IF(Tim!BL60=Sheet6!$C$3,Sheet6!$C$3,IF(Tim!BL60=Sheet6!$C$4,Sheet6!$C$4,IF(Tim!BL60=Sheet6!$C$5,Sheet6!$C$5,IF(Tim!BL60=Sheet6!$C$6,Sheet6!$C$6,IF(Tim!BL60=Sheet6!$C$7,Sheet6!$C$7,IF(Tim!BL60=Sheet6!$C$8,Sheet6!$C$8,"")))))))</f>
        <v/>
      </c>
      <c r="AC58" s="53" t="str">
        <f>IF(Tim!BT60=Sheet6!$C$2,Sheet6!$C$2,IF(Tim!BT60=Sheet6!$C$3,Sheet6!$C$3,IF(Tim!BT60=Sheet6!$C$4,Sheet6!$C$4,IF(Tim!BT60=Sheet6!$C$5,Sheet6!$C$5,IF(Tim!BT60=Sheet6!$C$6,Sheet6!$C$6,IF(Tim!BT60=Sheet6!$C$7,Sheet6!$C$7,IF(Tim!BT60=Sheet6!$C$8,Sheet6!$C$8,"")))))))</f>
        <v/>
      </c>
      <c r="AD58" s="53" t="str">
        <f>IF(Tim!BU60=Sheet6!$C$2,Sheet6!$C$2,IF(Tim!BU60=Sheet6!$C$3,Sheet6!$C$3,IF(Tim!BU60=Sheet6!$C$4,Sheet6!$C$4,IF(Tim!BU60=Sheet6!$C$5,Sheet6!$C$5,IF(Tim!BU60=Sheet6!$C$6,Sheet6!$C$6,IF(Tim!BU60=Sheet6!$C$7,Sheet6!$C$7,IF(Tim!BU60=Sheet6!$C$8,Sheet6!$C$8,"")))))))</f>
        <v/>
      </c>
      <c r="AE58" s="53" t="str">
        <f>IF(Tim!CB60=Sheet6!$C$2,Sheet6!$C$2,IF(Tim!CB60=Sheet6!$C$3,Sheet6!$C$3,IF(Tim!CB60=Sheet6!$C$4,Sheet6!$C$4,IF(Tim!CB60=Sheet6!$C$5,Sheet6!$C$5,IF(Tim!CB60=Sheet6!$C$6,Sheet6!$C$6,IF(Tim!CB60=Sheet6!$C$7,Sheet6!$C$7,IF(Tim!CB60=Sheet6!$C$8,Sheet6!$C$8,"")))))))</f>
        <v/>
      </c>
      <c r="AF58" s="53" t="str">
        <f>IF(Tim!CD60=Sheet6!$C$2,Sheet6!$C$2,IF(Tim!CD60=Sheet6!$C$3,Sheet6!$C$3,IF(Tim!CD60=Sheet6!$C$4,Sheet6!$C$4,IF(Tim!CD60=Sheet6!$C$5,Sheet6!$C$5,IF(Tim!CD60=Sheet6!$C$6,Sheet6!$C$6,IF(Tim!CD60=Sheet6!$C$7,Sheet6!$C$7,IF(Tim!CD60=Sheet6!$C$8,Sheet6!$C$8,"")))))))</f>
        <v/>
      </c>
      <c r="AG58" s="53" t="str">
        <f>IF(Tim!CE60=Sheet6!$C$2,Sheet6!$C$2,IF(Tim!CE60=Sheet6!$C$3,Sheet6!$C$3,IF(Tim!CE60=Sheet6!$C$4,Sheet6!$C$4,IF(Tim!CE60=Sheet6!$C$5,Sheet6!$C$5,IF(Tim!CE60=Sheet6!$C$6,Sheet6!$C$6,IF(Tim!CE60=Sheet6!$C$7,Sheet6!$C$7,IF(Tim!CE60=Sheet6!$C$8,Sheet6!$C$8,"")))))))</f>
        <v/>
      </c>
      <c r="AH58" s="53" t="str">
        <f>IF(Tim!CF60=Sheet6!$C$2,Sheet6!$C$2,IF(Tim!CF60=Sheet6!$C$3,Sheet6!$C$3,IF(Tim!CF60=Sheet6!$C$4,Sheet6!$C$4,IF(Tim!CF60=Sheet6!$C$5,Sheet6!$C$5,IF(Tim!CF60=Sheet6!$C$6,Sheet6!$C$6,IF(Tim!CF60=Sheet6!$C$7,Sheet6!$C$7,IF(Tim!CF60=Sheet6!$C$8,Sheet6!$C$8,"")))))))</f>
        <v/>
      </c>
      <c r="AI58" s="176" t="str">
        <f>IF(Tim!CG60=Sheet6!$C$2,Sheet6!$C$2,IF(Tim!CG60=Sheet6!$C$3,Sheet6!$C$3,IF(Tim!CG60=Sheet6!$C$4,Sheet6!$C$4,IF(Tim!CG60=Sheet6!$C$5,Sheet6!$C$5,IF(Tim!CG60=Sheet6!$C$6,Sheet6!$C$6,IF(Tim!CG60=Sheet6!$C$7,Sheet6!$C$7,IF(Tim!CG60=Sheet6!$C$8,Sheet6!$C$8,"")))))))</f>
        <v/>
      </c>
      <c r="AJ58" s="53" t="str">
        <f>IF(Tim!CH60=Sheet6!$C$2,Sheet6!$C$2,IF(Tim!CH60=Sheet6!$C$3,Sheet6!$C$3,IF(Tim!CH60=Sheet6!$C$4,Sheet6!$C$4,IF(Tim!CH60=Sheet6!$C$5,Sheet6!$C$5,IF(Tim!CH60=Sheet6!$C$6,Sheet6!$C$6,IF(Tim!CH60=Sheet6!$C$7,Sheet6!$C$7,IF(Tim!CH60=Sheet6!$C$8,Sheet6!$C$8,"")))))))</f>
        <v/>
      </c>
      <c r="AK58" s="53" t="str">
        <f>IF(Tim!CL60=Sheet6!$C$2,Sheet6!$C$2,IF(Tim!CL60=Sheet6!$C$3,Sheet6!$C$3,IF(Tim!CL60=Sheet6!$C$4,Sheet6!$C$4,IF(Tim!CL60=Sheet6!$C$5,Sheet6!$C$5,IF(Tim!CL60=Sheet6!$C$6,Sheet6!$C$6,IF(Tim!CL60=Sheet6!$C$7,Sheet6!$C$7,IF(Tim!CL60=Sheet6!$C$8,Sheet6!$C$8,"")))))))</f>
        <v/>
      </c>
      <c r="AL58" s="54" t="str">
        <f>IF(Tim!CM60=Sheet6!$C$2,Sheet6!$C$2,IF(Tim!CM60=Sheet6!$C$3,Sheet6!$C$3,IF(Tim!CM60=Sheet6!$C$4,Sheet6!$C$4,IF(Tim!CM60=Sheet6!$C$5,Sheet6!$C$5,IF(Tim!CM60=Sheet6!$C$6,Sheet6!$C$6,IF(Tim!CM60=Sheet6!$C$7,Sheet6!$C$7,IF(Tim!CM60=Sheet6!$C$8,Sheet6!$C$8,"")))))))</f>
        <v/>
      </c>
      <c r="AM58" s="54" t="str">
        <f>IF(Tim!CN60=Sheet6!$C$2,Sheet6!$C$2,IF(Tim!CN60=Sheet6!$C$3,Sheet6!$C$3,IF(Tim!CN60=Sheet6!$C$4,Sheet6!$C$4,IF(Tim!CN60=Sheet6!$C$5,Sheet6!$C$5,IF(Tim!CN60=Sheet6!$C$6,Sheet6!$C$6,IF(Tim!CN60=Sheet6!$C$7,Sheet6!$C$7,IF(Tim!CN60=Sheet6!$C$8,Sheet6!$C$8,"")))))))</f>
        <v/>
      </c>
      <c r="AN58" s="54" t="str">
        <f>IF(Tim!CO60=Sheet6!$C$2,Sheet6!$C$2,IF(Tim!CO60=Sheet6!$C$3,Sheet6!$C$3,IF(Tim!CO60=Sheet6!$C$4,Sheet6!$C$4,IF(Tim!CO60=Sheet6!$C$5,Sheet6!$C$5,IF(Tim!CO60=Sheet6!$C$6,Sheet6!$C$6,IF(Tim!CO60=Sheet6!$C$7,Sheet6!$C$7,IF(Tim!CO60=Sheet6!$C$8,Sheet6!$C$8,"")))))))</f>
        <v/>
      </c>
      <c r="AO58" s="177" t="str">
        <f>IF(Tim!CP60=Sheet6!$C$2,Sheet6!$C$2,IF(Tim!CP60=Sheet6!$C$3,Sheet6!$C$3,IF(Tim!CP60=Sheet6!$C$4,Sheet6!$C$4,IF(Tim!CP60=Sheet6!$C$5,Sheet6!$C$5,IF(Tim!CP60=Sheet6!$C$6,Sheet6!$C$6,IF(Tim!CP60=Sheet6!$C$7,Sheet6!$C$7,IF(Tim!CP60=Sheet6!$C$8,Sheet6!$C$8,"")))))))</f>
        <v/>
      </c>
      <c r="AP58" s="53" t="str">
        <f>IF(Tim!CQ60=Sheet6!$C$2,Sheet6!$C$2,IF(Tim!CQ60=Sheet6!$C$3,Sheet6!$C$3,IF(Tim!CQ60=Sheet6!$C$4,Sheet6!$C$4,IF(Tim!CQ60=Sheet6!$C$5,Sheet6!$C$5,IF(Tim!CQ60=Sheet6!$C$6,Sheet6!$C$6,IF(Tim!CQ60=Sheet6!$C$7,Sheet6!$C$7,IF(Tim!CQ60=Sheet6!$C$8,Sheet6!$C$8,"")))))))</f>
        <v/>
      </c>
      <c r="AQ58" s="53" t="str">
        <f>IF(Tim!CR60=Sheet6!$C$2,Sheet6!$C$2,IF(Tim!CR60=Sheet6!$C$3,Sheet6!$C$3,IF(Tim!CR60=Sheet6!$C$4,Sheet6!$C$4,IF(Tim!CR60=Sheet6!$C$5,Sheet6!$C$5,IF(Tim!CR60=Sheet6!$C$6,Sheet6!$C$6,IF(Tim!CR60=Sheet6!$C$7,Sheet6!$C$7,IF(Tim!CR60=Sheet6!$C$8,Sheet6!$C$8,"")))))))</f>
        <v/>
      </c>
      <c r="AR58" s="57" t="str">
        <f>IF(Tim!CV60=Sheet6!$C$2,Sheet6!$C$2,IF(Tim!CV60=Sheet6!$C$3,Sheet6!$C$3,IF(Tim!CV60=Sheet6!$C$4,Sheet6!$C$4,IF(Tim!CV60=Sheet6!$C$5,Sheet6!$C$5,IF(Tim!CV60=Sheet6!$C$6,Sheet6!$C$6,IF(Tim!CV60=Sheet6!$C$7,Sheet6!$C$7,IF(Tim!CV60=Sheet6!$C$8,Sheet6!$C$8,"")))))))</f>
        <v/>
      </c>
      <c r="AS58" s="57" t="str">
        <f>IF(Tim!CW60=Sheet6!$C$2,Sheet6!$C$2,IF(Tim!CW60=Sheet6!$C$3,Sheet6!$C$3,IF(Tim!CW60=Sheet6!$C$4,Sheet6!$C$4,IF(Tim!CW60=Sheet6!$C$5,Sheet6!$C$5,IF(Tim!CW60=Sheet6!$C$6,Sheet6!$C$6,IF(Tim!CW60=Sheet6!$C$7,Sheet6!$C$7,IF(Tim!CW60=Sheet6!$C$8,Sheet6!$C$8,"")))))))</f>
        <v/>
      </c>
      <c r="AT58" s="57" t="str">
        <f>IF(Tim!DA60=Sheet6!$C$2,Sheet6!$C$2,IF(Tim!DA60=Sheet6!$C$3,Sheet6!$C$3,IF(Tim!DA60=Sheet6!$C$4,Sheet6!$C$4,IF(Tim!DA60=Sheet6!$C$5,Sheet6!$C$5,IF(Tim!DA60=Sheet6!$C$6,Sheet6!$C$6,IF(Tim!DA60=Sheet6!$C$7,Sheet6!$C$7,IF(Tim!DA60=Sheet6!$C$8,Sheet6!$C$8,"")))))))</f>
        <v/>
      </c>
      <c r="AU58" s="53" t="str">
        <f>IF(Tim!DO60=Sheet6!$C$2,Sheet6!$C$2,IF(Tim!DO60=Sheet6!$C$3,Sheet6!$C$3,IF(Tim!DO60=Sheet6!$C$4,Sheet6!$C$4,IF(Tim!DO60=Sheet6!$C$5,Sheet6!$C$5,IF(Tim!DO60=Sheet6!$C$6,Sheet6!$C$6,IF(Tim!DO60=Sheet6!$C$7,Sheet6!$C$7,IF(Tim!DO60=Sheet6!$C$8,Sheet6!$C$8,"")))))))</f>
        <v/>
      </c>
      <c r="AV58" s="53" t="str">
        <f>IF(Tim!DP60=Sheet6!$C$2,Sheet6!$C$2,IF(Tim!DP60=Sheet6!$C$3,Sheet6!$C$3,IF(Tim!DP60=Sheet6!$C$4,Sheet6!$C$4,IF(Tim!DP60=Sheet6!$C$5,Sheet6!$C$5,IF(Tim!DP60=Sheet6!$C$6,Sheet6!$C$6,IF(Tim!DP60=Sheet6!$C$7,Sheet6!$C$7,IF(Tim!DP60=Sheet6!$C$8,Sheet6!$C$8,"")))))))</f>
        <v/>
      </c>
      <c r="AW58" s="53" t="str">
        <f>IF(Tim!DX60=Sheet6!$C$2,Sheet6!$C$2,IF(Tim!DX60=Sheet6!$C$3,Sheet6!$C$3,IF(Tim!DX60=Sheet6!$C$4,Sheet6!$C$4,IF(Tim!DX60=Sheet6!$C$5,Sheet6!$C$5,IF(Tim!DX60=Sheet6!$C$6,Sheet6!$C$6,IF(Tim!DX60=Sheet6!$C$7,Sheet6!$C$7,IF(Tim!DX60=Sheet6!$C$8,Sheet6!$C$8,"")))))))</f>
        <v/>
      </c>
      <c r="AX58" s="53" t="str">
        <f>IF(Tim!DY60=Sheet6!$C$2,Sheet6!$C$2,IF(Tim!DY60=Sheet6!$C$3,Sheet6!$C$3,IF(Tim!DY60=Sheet6!$C$4,Sheet6!$C$4,IF(Tim!DY60=Sheet6!$C$5,Sheet6!$C$5,IF(Tim!DY60=Sheet6!$C$6,Sheet6!$C$6,IF(Tim!DY60=Sheet6!$C$7,Sheet6!$C$7,IF(Tim!DY60=Sheet6!$C$8,Sheet6!$C$8,"")))))))</f>
        <v/>
      </c>
      <c r="AY58" s="53" t="str">
        <f>IF(Tim!DZ60=Sheet6!$C$2,Sheet6!$C$2,IF(Tim!DZ60=Sheet6!$C$3,Sheet6!$C$3,IF(Tim!DZ60=Sheet6!$C$4,Sheet6!$C$4,IF(Tim!DZ60=Sheet6!$C$5,Sheet6!$C$5,IF(Tim!DZ60=Sheet6!$C$6,Sheet6!$C$6,IF(Tim!DZ60=Sheet6!$C$7,Sheet6!$C$7,IF(Tim!DZ60=Sheet6!$C$8,Sheet6!$C$8,"")))))))</f>
        <v/>
      </c>
      <c r="AZ58" s="176" t="str">
        <f>IF(Tim!EA60=Sheet6!$C$2,Sheet6!$C$2,IF(Tim!EA60=Sheet6!$C$3,Sheet6!$C$3,IF(Tim!EA60=Sheet6!$C$4,Sheet6!$C$4,IF(Tim!EA60=Sheet6!$C$5,Sheet6!$C$5,IF(Tim!EA60=Sheet6!$C$6,Sheet6!$C$6,IF(Tim!EA60=Sheet6!$C$7,Sheet6!$C$7,IF(Tim!EA60=Sheet6!$C$8,Sheet6!$C$8,"")))))))</f>
        <v/>
      </c>
      <c r="BA58" s="176" t="str">
        <f>IF(Tim!EB60=Sheet6!$C$2,Sheet6!$C$2,IF(Tim!EB60=Sheet6!$C$3,Sheet6!$C$3,IF(Tim!EB60=Sheet6!$C$4,Sheet6!$C$4,IF(Tim!EB60=Sheet6!$C$5,Sheet6!$C$5,IF(Tim!EB60=Sheet6!$C$6,Sheet6!$C$6,IF(Tim!EB60=Sheet6!$C$7,Sheet6!$C$7,IF(Tim!EB60=Sheet6!$C$8,Sheet6!$C$8,"")))))))</f>
        <v/>
      </c>
      <c r="BB58" s="53" t="str">
        <f>IF(Tim!EC60=Sheet6!$C$2,Sheet6!$C$2,IF(Tim!EC60=Sheet6!$C$3,Sheet6!$C$3,IF(Tim!EC60=Sheet6!$C$4,Sheet6!$C$4,IF(Tim!EC60=Sheet6!$C$5,Sheet6!$C$5,IF(Tim!EC60=Sheet6!$C$6,Sheet6!$C$6,IF(Tim!EC60=Sheet6!$C$7,Sheet6!$C$7,IF(Tim!EC60=Sheet6!$C$8,Sheet6!$C$8,"")))))))</f>
        <v/>
      </c>
      <c r="BC58" s="53" t="str">
        <f>IF(Tim!EG60=Sheet6!$C$2,Sheet6!$C$2,IF(Tim!EG60=Sheet6!$C$3,Sheet6!$C$3,IF(Tim!EG60=Sheet6!$C$4,Sheet6!$C$4,IF(Tim!EG60=Sheet6!$C$5,Sheet6!$C$5,IF(Tim!EG60=Sheet6!$C$6,Sheet6!$C$6,IF(Tim!EG60=Sheet6!$C$7,Sheet6!$C$7,IF(Tim!EG60=Sheet6!$C$8,Sheet6!$C$8,"")))))))</f>
        <v/>
      </c>
      <c r="BD58" s="53" t="str">
        <f>IF(Tim!EH60=Sheet6!$C$2,Sheet6!$C$2,IF(Tim!EH60=Sheet6!$C$3,Sheet6!$C$3,IF(Tim!EH60=Sheet6!$C$4,Sheet6!$C$4,IF(Tim!EH60=Sheet6!$C$5,Sheet6!$C$5,IF(Tim!EH60=Sheet6!$C$6,Sheet6!$C$6,IF(Tim!EH60=Sheet6!$C$7,Sheet6!$C$7,IF(Tim!EH60=Sheet6!$C$8,Sheet6!$C$8,"")))))))</f>
        <v/>
      </c>
      <c r="BE58" s="54" t="str">
        <f>IF(Tim!EI60=Sheet6!$C$2,Sheet6!$C$2,IF(Tim!EI60=Sheet6!$C$3,Sheet6!$C$3,IF(Tim!EI60=Sheet6!$C$4,Sheet6!$C$4,IF(Tim!EI60=Sheet6!$C$5,Sheet6!$C$5,IF(Tim!EI60=Sheet6!$C$6,Sheet6!$C$6,IF(Tim!EI60=Sheet6!$C$7,Sheet6!$C$7,IF(Tim!EI60=Sheet6!$C$8,Sheet6!$C$8,"")))))))</f>
        <v/>
      </c>
      <c r="BF58" s="54" t="str">
        <f>IF(Tim!EJ60=Sheet6!$C$2,Sheet6!$C$2,IF(Tim!EJ60=Sheet6!$C$3,Sheet6!$C$3,IF(Tim!EJ60=Sheet6!$C$4,Sheet6!$C$4,IF(Tim!EJ60=Sheet6!$C$5,Sheet6!$C$5,IF(Tim!EJ60=Sheet6!$C$6,Sheet6!$C$6,IF(Tim!EJ60=Sheet6!$C$7,Sheet6!$C$7,IF(Tim!EJ60=Sheet6!$C$8,Sheet6!$C$8,"")))))))</f>
        <v/>
      </c>
      <c r="BG58" s="55" t="str">
        <f>IF(Tim!EK60=Sheet6!$C$2,Sheet6!$C$2,IF(Tim!EK60=Sheet6!$C$3,Sheet6!$C$3,IF(Tim!EK60=Sheet6!$C$4,Sheet6!$C$4,IF(Tim!EK60=Sheet6!$C$5,Sheet6!$C$5,IF(Tim!EK60=Sheet6!$C$6,Sheet6!$C$6,IF(Tim!EK60=Sheet6!$C$7,Sheet6!$C$7,IF(Tim!EK60=Sheet6!$C$8,Sheet6!$C$8,"")))))))</f>
        <v/>
      </c>
      <c r="BH58" s="57" t="str">
        <f>IF(Tim!EL60=Sheet6!$C$2,Sheet6!$C$2,IF(Tim!EL60=Sheet6!$C$3,Sheet6!$C$3,IF(Tim!EL60=Sheet6!$C$4,Sheet6!$C$4,IF(Tim!EL60=Sheet6!$C$5,Sheet6!$C$5,IF(Tim!EL60=Sheet6!$C$6,Sheet6!$C$6,IF(Tim!EL60=Sheet6!$C$7,Sheet6!$C$7,IF(Tim!EL60=Sheet6!$C$8,Sheet6!$C$8,"")))))))</f>
        <v/>
      </c>
      <c r="BI58" s="57" t="str">
        <f>IF(Tim!EM60=Sheet6!$C$2,Sheet6!$C$2,IF(Tim!EM60=Sheet6!$C$3,Sheet6!$C$3,IF(Tim!EM60=Sheet6!$C$4,Sheet6!$C$4,IF(Tim!EM60=Sheet6!$C$5,Sheet6!$C$5,IF(Tim!EM60=Sheet6!$C$6,Sheet6!$C$6,IF(Tim!EM60=Sheet6!$C$7,Sheet6!$C$7,IF(Tim!EM60=Sheet6!$C$8,Sheet6!$C$8,"")))))))</f>
        <v/>
      </c>
      <c r="BJ58" s="57" t="str">
        <f>IF(Tim!EQ60=Sheet6!$C$2,Sheet6!$C$2,IF(Tim!EQ60=Sheet6!$C$3,Sheet6!$C$3,IF(Tim!EQ60=Sheet6!$C$4,Sheet6!$C$4,IF(Tim!EQ60=Sheet6!$C$5,Sheet6!$C$5,IF(Tim!EQ60=Sheet6!$C$6,Sheet6!$C$6,IF(Tim!EQ60=Sheet6!$C$7,Sheet6!$C$7,IF(Tim!EQ60=Sheet6!$C$8,Sheet6!$C$8,"")))))))</f>
        <v/>
      </c>
      <c r="BK58" s="57" t="str">
        <f>IF(Tim!ER60=Sheet6!$C$2,Sheet6!$C$2,IF(Tim!ER60=Sheet6!$C$3,Sheet6!$C$3,IF(Tim!ER60=Sheet6!$C$4,Sheet6!$C$4,IF(Tim!ER60=Sheet6!$C$5,Sheet6!$C$5,IF(Tim!ER60=Sheet6!$C$6,Sheet6!$C$6,IF(Tim!ER60=Sheet6!$C$7,Sheet6!$C$7,IF(Tim!ER60=Sheet6!$C$8,Sheet6!$C$8,"")))))))</f>
        <v/>
      </c>
      <c r="BL58" s="57" t="str">
        <f>IF(Tim!EZ60=Sheet6!$C$2,Sheet6!$C$2,IF(Tim!EZ60=Sheet6!$C$3,Sheet6!$C$3,IF(Tim!EZ60=Sheet6!$C$4,Sheet6!$C$4,IF(Tim!EZ60=Sheet6!$C$5,Sheet6!$C$5,IF(Tim!EZ60=Sheet6!$C$6,Sheet6!$C$6,IF(Tim!EZ60=Sheet6!$C$7,Sheet6!$C$7,IF(Tim!EZ60=Sheet6!$C$8,Sheet6!$C$8,"")))))))</f>
        <v/>
      </c>
      <c r="BM58" s="53" t="str">
        <f>IF(Tim!FG60=Sheet6!$C$2,Sheet6!$C$2,IF(Tim!FG60=Sheet6!$C$3,Sheet6!$C$3,IF(Tim!FG60=Sheet6!$C$4,Sheet6!$C$4,IF(Tim!FG60=Sheet6!$C$5,Sheet6!$C$5,IF(Tim!FG60=Sheet6!$C$6,Sheet6!$C$6,IF(Tim!FG60=Sheet6!$C$7,Sheet6!$C$7,IF(Tim!FG60=Sheet6!$C$8,Sheet6!$C$8,"")))))))</f>
        <v/>
      </c>
      <c r="BN58" s="53" t="str">
        <f>IF(Tim!FH60=Sheet6!$C$2,Sheet6!$C$2,IF(Tim!FH60=Sheet6!$C$3,Sheet6!$C$3,IF(Tim!FH60=Sheet6!$C$4,Sheet6!$C$4,IF(Tim!FH60=Sheet6!$C$5,Sheet6!$C$5,IF(Tim!FH60=Sheet6!$C$6,Sheet6!$C$6,IF(Tim!FH60=Sheet6!$C$7,Sheet6!$C$7,IF(Tim!FH60=Sheet6!$C$8,Sheet6!$C$8,"")))))))</f>
        <v/>
      </c>
      <c r="BO58" s="53" t="str">
        <f>IF(Tim!FP60=Sheet6!$C$2,Sheet6!$C$2,IF(Tim!FP60=Sheet6!$C$3,Sheet6!$C$3,IF(Tim!FP60=Sheet6!$C$4,Sheet6!$C$4,IF(Tim!FP60=Sheet6!$C$5,Sheet6!$C$5,IF(Tim!FP60=Sheet6!$C$6,Sheet6!$C$6,IF(Tim!FP60=Sheet6!$C$7,Sheet6!$C$7,IF(Tim!FP60=Sheet6!$C$8,Sheet6!$C$8,"")))))))</f>
        <v/>
      </c>
      <c r="BP58" s="53" t="str">
        <f>IF(Tim!FQ60=Sheet6!$C$2,Sheet6!$C$2,IF(Tim!FQ60=Sheet6!$C$3,Sheet6!$C$3,IF(Tim!FQ60=Sheet6!$C$4,Sheet6!$C$4,IF(Tim!FQ60=Sheet6!$C$5,Sheet6!$C$5,IF(Tim!FQ60=Sheet6!$C$6,Sheet6!$C$6,IF(Tim!FQ60=Sheet6!$C$7,Sheet6!$C$7,IF(Tim!FQ60=Sheet6!$C$8,Sheet6!$C$8,"")))))))</f>
        <v/>
      </c>
      <c r="BQ58" s="53" t="str">
        <f>IF(Tim!FR60=Sheet6!$C$2,Sheet6!$C$2,IF(Tim!FR60=Sheet6!$C$3,Sheet6!$C$3,IF(Tim!FR60=Sheet6!$C$4,Sheet6!$C$4,IF(Tim!FR60=Sheet6!$C$5,Sheet6!$C$5,IF(Tim!FR60=Sheet6!$C$6,Sheet6!$C$6,IF(Tim!FR60=Sheet6!$C$7,Sheet6!$C$7,IF(Tim!FR60=Sheet6!$C$8,Sheet6!$C$8,"")))))))</f>
        <v/>
      </c>
      <c r="BR58" s="53" t="str">
        <f>IF(Tim!FS60=Sheet6!$C$2,Sheet6!$C$2,IF(Tim!FS60=Sheet6!$C$3,Sheet6!$C$3,IF(Tim!FS60=Sheet6!$C$4,Sheet6!$C$4,IF(Tim!FS60=Sheet6!$C$5,Sheet6!$C$5,IF(Tim!FS60=Sheet6!$C$6,Sheet6!$C$6,IF(Tim!FS60=Sheet6!$C$7,Sheet6!$C$7,IF(Tim!FS60=Sheet6!$C$8,Sheet6!$C$8,"")))))))</f>
        <v/>
      </c>
      <c r="BS58" s="53" t="str">
        <f>IF(Tim!FT60=Sheet6!$C$2,Sheet6!$C$2,IF(Tim!FT60=Sheet6!$C$3,Sheet6!$C$3,IF(Tim!FT60=Sheet6!$C$4,Sheet6!$C$4,IF(Tim!FT60=Sheet6!$C$5,Sheet6!$C$5,IF(Tim!FT60=Sheet6!$C$6,Sheet6!$C$6,IF(Tim!FT60=Sheet6!$C$7,Sheet6!$C$7,IF(Tim!FT60=Sheet6!$C$8,Sheet6!$C$8,"")))))))</f>
        <v/>
      </c>
      <c r="BT58" s="53" t="str">
        <f>IF(Tim!FU60=Sheet6!$C$2,Sheet6!$C$2,IF(Tim!FU60=Sheet6!$C$3,Sheet6!$C$3,IF(Tim!FU60=Sheet6!$C$4,Sheet6!$C$4,IF(Tim!FU60=Sheet6!$C$5,Sheet6!$C$5,IF(Tim!FU60=Sheet6!$C$6,Sheet6!$C$6,IF(Tim!FU60=Sheet6!$C$7,Sheet6!$C$7,IF(Tim!FU60=Sheet6!$C$8,Sheet6!$C$8,"")))))))</f>
        <v/>
      </c>
      <c r="BU58" s="53" t="str">
        <f>IF(Tim!FY60=Sheet6!$C$2,Sheet6!$C$2,IF(Tim!FY60=Sheet6!$C$3,Sheet6!$C$3,IF(Tim!FY60=Sheet6!$C$4,Sheet6!$C$4,IF(Tim!FY60=Sheet6!$C$5,Sheet6!$C$5,IF(Tim!FY60=Sheet6!$C$6,Sheet6!$C$6,IF(Tim!FY60=Sheet6!$C$7,Sheet6!$C$7,IF(Tim!FY60=Sheet6!$C$8,Sheet6!$C$8,"")))))))</f>
        <v/>
      </c>
      <c r="BV58" s="54" t="str">
        <f>IF(Tim!FZ60=Sheet6!$C$2,Sheet6!$C$2,IF(Tim!FZ60=Sheet6!$C$3,Sheet6!$C$3,IF(Tim!FZ60=Sheet6!$C$4,Sheet6!$C$4,IF(Tim!FZ60=Sheet6!$C$5,Sheet6!$C$5,IF(Tim!FZ60=Sheet6!$C$6,Sheet6!$C$6,IF(Tim!FZ60=Sheet6!$C$7,Sheet6!$C$7,IF(Tim!FZ60=Sheet6!$C$8,Sheet6!$C$8,"")))))))</f>
        <v/>
      </c>
      <c r="BW58" s="54" t="str">
        <f>IF(Tim!GA60=Sheet6!$C$2,Sheet6!$C$2,IF(Tim!GA60=Sheet6!$C$3,Sheet6!$C$3,IF(Tim!GA60=Sheet6!$C$4,Sheet6!$C$4,IF(Tim!GA60=Sheet6!$C$5,Sheet6!$C$5,IF(Tim!GA60=Sheet6!$C$6,Sheet6!$C$6,IF(Tim!GA60=Sheet6!$C$7,Sheet6!$C$7,IF(Tim!GA60=Sheet6!$C$8,Sheet6!$C$8,"")))))))</f>
        <v/>
      </c>
      <c r="BX58" s="54" t="str">
        <f>IF(Tim!GB60=Sheet6!$C$2,Sheet6!$C$2,IF(Tim!GB60=Sheet6!$C$3,Sheet6!$C$3,IF(Tim!GB60=Sheet6!$C$4,Sheet6!$C$4,IF(Tim!GB60=Sheet6!$C$5,Sheet6!$C$5,IF(Tim!GB60=Sheet6!$C$6,Sheet6!$C$6,IF(Tim!GB60=Sheet6!$C$7,Sheet6!$C$7,IF(Tim!GB60=Sheet6!$C$8,Sheet6!$C$8,"")))))))</f>
        <v/>
      </c>
      <c r="BY58" s="55" t="str">
        <f>IF(Tim!GC60=Sheet6!$C$2,Sheet6!$C$2,IF(Tim!GC60=Sheet6!$C$3,Sheet6!$C$3,IF(Tim!GC60=Sheet6!$C$4,Sheet6!$C$4,IF(Tim!GC60=Sheet6!$C$5,Sheet6!$C$5,IF(Tim!GC60=Sheet6!$C$6,Sheet6!$C$6,IF(Tim!GC60=Sheet6!$C$7,Sheet6!$C$7,IF(Tim!GC60=Sheet6!$C$8,Sheet6!$C$8,"")))))))</f>
        <v/>
      </c>
      <c r="BZ58" s="53" t="str">
        <f>IF(Tim!GD60=Sheet6!$C$2,Sheet6!$C$2,IF(Tim!GD60=Sheet6!$C$3,Sheet6!$C$3,IF(Tim!GD60=Sheet6!$C$4,Sheet6!$C$4,IF(Tim!GD60=Sheet6!$C$5,Sheet6!$C$5,IF(Tim!GD60=Sheet6!$C$6,Sheet6!$C$6,IF(Tim!GD60=Sheet6!$C$7,Sheet6!$C$7,IF(Tim!GD60=Sheet6!$C$8,Sheet6!$C$8,"")))))))</f>
        <v/>
      </c>
      <c r="CA58" s="53" t="str">
        <f>IF(Tim!GE60=Sheet6!$C$2,Sheet6!$C$2,IF(Tim!GE60=Sheet6!$C$3,Sheet6!$C$3,IF(Tim!GE60=Sheet6!$C$4,Sheet6!$C$4,IF(Tim!GE60=Sheet6!$C$5,Sheet6!$C$5,IF(Tim!GE60=Sheet6!$C$6,Sheet6!$C$6,IF(Tim!GE60=Sheet6!$C$7,Sheet6!$C$7,IF(Tim!GE60=Sheet6!$C$8,Sheet6!$C$8,"")))))))</f>
        <v/>
      </c>
      <c r="CB58" s="57" t="str">
        <f>IF(Tim!GI60=Sheet6!$C$2,Sheet6!$C$2,IF(Tim!GI60=Sheet6!$C$3,Sheet6!$C$3,IF(Tim!GI60=Sheet6!$C$4,Sheet6!$C$4,IF(Tim!GI60=Sheet6!$C$5,Sheet6!$C$5,IF(Tim!GI60=Sheet6!$C$6,Sheet6!$C$6,IF(Tim!GI60=Sheet6!$C$7,Sheet6!$C$7,IF(Tim!GI60=Sheet6!$C$8,Sheet6!$C$8,"")))))))</f>
        <v/>
      </c>
      <c r="CC58" s="57" t="str">
        <f>IF(Tim!GJ60=Sheet6!$C$2,Sheet6!$C$2,IF(Tim!GJ60=Sheet6!$C$3,Sheet6!$C$3,IF(Tim!GJ60=Sheet6!$C$4,Sheet6!$C$4,IF(Tim!GJ60=Sheet6!$C$5,Sheet6!$C$5,IF(Tim!GJ60=Sheet6!$C$6,Sheet6!$C$6,IF(Tim!GJ60=Sheet6!$C$7,Sheet6!$C$7,IF(Tim!GJ60=Sheet6!$C$8,Sheet6!$C$8,"")))))))</f>
        <v/>
      </c>
      <c r="CD58" s="57" t="str">
        <f>IF(Tim!GN60=Sheet6!$C$2,Sheet6!$C$2,IF(Tim!GN60=Sheet6!$C$3,Sheet6!$C$3,IF(Tim!GN60=Sheet6!$C$4,Sheet6!$C$4,IF(Tim!GN60=Sheet6!$C$5,Sheet6!$C$5,IF(Tim!GN60=Sheet6!$C$6,Sheet6!$C$6,IF(Tim!GN60=Sheet6!$C$7,Sheet6!$C$7,IF(Tim!GN60=Sheet6!$C$8,Sheet6!$C$8,"")))))))</f>
        <v/>
      </c>
      <c r="CE58" s="53" t="str">
        <f>IF(Tim!GY60=Sheet6!$C$2,Sheet6!$C$2,IF(Tim!GY60=Sheet6!$C$3,Sheet6!$C$3,IF(Tim!GY60=Sheet6!$C$4,Sheet6!$C$4,IF(Tim!GY60=Sheet6!$C$5,Sheet6!$C$5,IF(Tim!GY60=Sheet6!$C$6,Sheet6!$C$6,IF(Tim!GY60=Sheet6!$C$7,Sheet6!$C$7,IF(Tim!GY60=Sheet6!$C$8,Sheet6!$C$8,"")))))))</f>
        <v/>
      </c>
      <c r="CF58" s="53" t="str">
        <f>IF(Tim!GZ60=Sheet6!$C$2,Sheet6!$C$2,IF(Tim!GZ60=Sheet6!$C$3,Sheet6!$C$3,IF(Tim!GZ60=Sheet6!$C$4,Sheet6!$C$4,IF(Tim!GZ60=Sheet6!$C$5,Sheet6!$C$5,IF(Tim!GZ60=Sheet6!$C$6,Sheet6!$C$6,IF(Tim!GZ60=Sheet6!$C$7,Sheet6!$C$7,IF(Tim!GZ60=Sheet6!$C$8,Sheet6!$C$8,"")))))))</f>
        <v/>
      </c>
      <c r="CG58" s="53" t="str">
        <f>IF(Tim!HH60=Sheet6!$C$2,Sheet6!$C$2,IF(Tim!HH60=Sheet6!$C$3,Sheet6!$C$3,IF(Tim!HH60=Sheet6!$C$4,Sheet6!$C$4,IF(Tim!HH60=Sheet6!$C$5,Sheet6!$C$5,IF(Tim!HH60=Sheet6!$C$6,Sheet6!$C$6,IF(Tim!HH60=Sheet6!$C$7,Sheet6!$C$7,IF(Tim!HH60=Sheet6!$C$8,Sheet6!$C$8,"")))))))</f>
        <v/>
      </c>
      <c r="CH58" s="53" t="str">
        <f>IF(Tim!HI60=Sheet6!$C$2,Sheet6!$C$2,IF(Tim!HI60=Sheet6!$C$3,Sheet6!$C$3,IF(Tim!HI60=Sheet6!$C$4,Sheet6!$C$4,IF(Tim!HI60=Sheet6!$C$5,Sheet6!$C$5,IF(Tim!HI60=Sheet6!$C$6,Sheet6!$C$6,IF(Tim!HI60=Sheet6!$C$7,Sheet6!$C$7,IF(Tim!HI60=Sheet6!$C$8,Sheet6!$C$8,"")))))))</f>
        <v/>
      </c>
      <c r="CI58" s="53" t="str">
        <f>IF(Tim!HJ60=Sheet6!$C$2,Sheet6!$C$2,IF(Tim!HJ60=Sheet6!$C$3,Sheet6!$C$3,IF(Tim!HJ60=Sheet6!$C$4,Sheet6!$C$4,IF(Tim!HJ60=Sheet6!$C$5,Sheet6!$C$5,IF(Tim!HJ60=Sheet6!$C$6,Sheet6!$C$6,IF(Tim!HJ60=Sheet6!$C$7,Sheet6!$C$7,IF(Tim!HJ60=Sheet6!$C$8,Sheet6!$C$8,"")))))))</f>
        <v/>
      </c>
      <c r="CJ58" s="53" t="str">
        <f>IF(Tim!HK60=Sheet6!$C$2,Sheet6!$C$2,IF(Tim!HK60=Sheet6!$C$3,Sheet6!$C$3,IF(Tim!HK60=Sheet6!$C$4,Sheet6!$C$4,IF(Tim!HK60=Sheet6!$C$5,Sheet6!$C$5,IF(Tim!HK60=Sheet6!$C$6,Sheet6!$C$6,IF(Tim!HK60=Sheet6!$C$7,Sheet6!$C$7,IF(Tim!HK60=Sheet6!$C$8,Sheet6!$C$8,"")))))))</f>
        <v/>
      </c>
      <c r="CK58" s="53" t="str">
        <f>IF(Tim!HL60=Sheet6!$C$2,Sheet6!$C$2,IF(Tim!HL60=Sheet6!$C$3,Sheet6!$C$3,IF(Tim!HL60=Sheet6!$C$4,Sheet6!$C$4,IF(Tim!HL60=Sheet6!$C$5,Sheet6!$C$5,IF(Tim!HL60=Sheet6!$C$6,Sheet6!$C$6,IF(Tim!HL60=Sheet6!$C$7,Sheet6!$C$7,IF(Tim!HL60=Sheet6!$C$8,Sheet6!$C$8,"")))))))</f>
        <v/>
      </c>
      <c r="CL58" s="53" t="str">
        <f>IF(Tim!HM60=Sheet6!$C$2,Sheet6!$C$2,IF(Tim!HM60=Sheet6!$C$3,Sheet6!$C$3,IF(Tim!HM60=Sheet6!$C$4,Sheet6!$C$4,IF(Tim!HM60=Sheet6!$C$5,Sheet6!$C$5,IF(Tim!HM60=Sheet6!$C$6,Sheet6!$C$6,IF(Tim!HM60=Sheet6!$C$7,Sheet6!$C$7,IF(Tim!HM60=Sheet6!$C$8,Sheet6!$C$8,"")))))))</f>
        <v/>
      </c>
      <c r="CM58" s="53" t="str">
        <f>IF(Tim!HQ60=Sheet6!$C$2,Sheet6!$C$2,IF(Tim!HQ60=Sheet6!$C$3,Sheet6!$C$3,IF(Tim!HQ60=Sheet6!$C$4,Sheet6!$C$4,IF(Tim!HQ60=Sheet6!$C$5,Sheet6!$C$5,IF(Tim!HQ60=Sheet6!$C$6,Sheet6!$C$6,IF(Tim!HQ60=Sheet6!$C$7,Sheet6!$C$7,IF(Tim!HQ60=Sheet6!$C$8,Sheet6!$C$8,"")))))))</f>
        <v/>
      </c>
      <c r="CN58" s="54" t="str">
        <f>IF(Tim!HR60=Sheet6!$C$2,Sheet6!$C$2,IF(Tim!HR60=Sheet6!$C$3,Sheet6!$C$3,IF(Tim!HR60=Sheet6!$C$4,Sheet6!$C$4,IF(Tim!HR60=Sheet6!$C$5,Sheet6!$C$5,IF(Tim!HR60=Sheet6!$C$6,Sheet6!$C$6,IF(Tim!HR60=Sheet6!$C$7,Sheet6!$C$7,IF(Tim!HR60=Sheet6!$C$8,Sheet6!$C$8,"")))))))</f>
        <v/>
      </c>
      <c r="CO58" s="54" t="str">
        <f>IF(Tim!HS60=Sheet6!$C$2,Sheet6!$C$2,IF(Tim!HS60=Sheet6!$C$3,Sheet6!$C$3,IF(Tim!HS60=Sheet6!$C$4,Sheet6!$C$4,IF(Tim!HS60=Sheet6!$C$5,Sheet6!$C$5,IF(Tim!HS60=Sheet6!$C$6,Sheet6!$C$6,IF(Tim!HS60=Sheet6!$C$7,Sheet6!$C$7,IF(Tim!HS60=Sheet6!$C$8,Sheet6!$C$8,"")))))))</f>
        <v/>
      </c>
      <c r="CP58" s="54" t="str">
        <f>IF(Tim!HT60=Sheet6!$C$2,Sheet6!$C$2,IF(Tim!HT60=Sheet6!$C$3,Sheet6!$C$3,IF(Tim!HT60=Sheet6!$C$4,Sheet6!$C$4,IF(Tim!HT60=Sheet6!$C$5,Sheet6!$C$5,IF(Tim!HT60=Sheet6!$C$6,Sheet6!$C$6,IF(Tim!HT60=Sheet6!$C$7,Sheet6!$C$7,IF(Tim!HT60=Sheet6!$C$8,Sheet6!$C$8,"")))))))</f>
        <v/>
      </c>
      <c r="CQ58" s="55" t="str">
        <f>IF(Tim!HU60=Sheet6!$C$2,Sheet6!$C$2,IF(Tim!HU60=Sheet6!$C$3,Sheet6!$C$3,IF(Tim!HU60=Sheet6!$C$4,Sheet6!$C$4,IF(Tim!HU60=Sheet6!$C$5,Sheet6!$C$5,IF(Tim!HU60=Sheet6!$C$6,Sheet6!$C$6,IF(Tim!HU60=Sheet6!$C$7,Sheet6!$C$7,IF(Tim!HU60=Sheet6!$C$8,Sheet6!$C$8,"")))))))</f>
        <v/>
      </c>
      <c r="CR58" s="469"/>
      <c r="CS58" s="366"/>
      <c r="CT58" s="366"/>
      <c r="CU58" s="366"/>
      <c r="CV58" s="366"/>
      <c r="CW58" s="366"/>
      <c r="CX58" s="366"/>
      <c r="CY58" s="366"/>
      <c r="CZ58" s="366"/>
      <c r="DA58" s="366"/>
      <c r="DB58" s="366"/>
      <c r="DC58" s="366"/>
      <c r="DD58" s="366"/>
      <c r="DE58" s="366"/>
      <c r="DF58" s="366"/>
      <c r="DG58" s="428"/>
      <c r="DH58" s="422"/>
      <c r="DI58" s="423"/>
      <c r="DJ58" s="423"/>
      <c r="DK58" s="423"/>
      <c r="DL58" s="423"/>
      <c r="DM58" s="423"/>
      <c r="DN58" s="423"/>
      <c r="DO58" s="423"/>
      <c r="DP58" s="423"/>
      <c r="DQ58" s="423"/>
      <c r="DR58" s="423"/>
      <c r="DS58" s="423"/>
      <c r="DT58" s="423"/>
      <c r="DU58" s="423"/>
      <c r="DV58" s="423"/>
      <c r="DW58" s="424"/>
      <c r="DX58" s="52">
        <v>0.843749999999998</v>
      </c>
    </row>
    <row r="59" spans="2:128" ht="10.5" customHeight="1">
      <c r="B59" s="51">
        <v>0.25</v>
      </c>
      <c r="C59" s="51">
        <v>0.25</v>
      </c>
      <c r="D59" s="51">
        <v>0.25</v>
      </c>
      <c r="E59" s="52">
        <v>0.85416666666666496</v>
      </c>
      <c r="F59" s="53" t="str">
        <f>IF(Tim!F61=Sheet6!$C$2,Sheet6!$C$2,IF(Tim!F61=Sheet6!$C$3,Sheet6!$C$3,IF(Tim!F61=Sheet6!$C$4,Sheet6!$C$4,IF(Tim!F61=Sheet6!$C$5,Sheet6!$C$5,IF(Tim!F61=Sheet6!$C$6,Sheet6!$C$6,IF(Tim!F61=Sheet6!$C$7,Sheet6!$C$7,IF(Tim!F61=Sheet6!$C$8,Sheet6!$C$8,"")))))))</f>
        <v/>
      </c>
      <c r="G59" s="53" t="str">
        <f>IF(Tim!M61=Sheet6!$C$2,Sheet6!$C$2,IF(Tim!M61=Sheet6!$C$3,Sheet6!$C$3,IF(Tim!M61=Sheet6!$C$4,Sheet6!$C$4,IF(Tim!M61=Sheet6!$C$5,Sheet6!$C$5,IF(Tim!M61=Sheet6!$C$6,Sheet6!$C$6,IF(Tim!M61=Sheet6!$C$7,Sheet6!$C$7,IF(Tim!M61=Sheet6!$C$8,Sheet6!$C$8,"")))))))</f>
        <v/>
      </c>
      <c r="H59" s="53" t="str">
        <f>IF(Tim!H61=Sheet6!$C$2,Sheet6!$C$2,IF(Tim!H61=Sheet6!$C$3,Sheet6!$C$3,IF(Tim!H61=Sheet6!$C$4,Sheet6!$C$4,IF(Tim!H61=Sheet6!$C$5,Sheet6!$C$5,IF(Tim!H61=Sheet6!$C$6,Sheet6!$C$6,IF(Tim!H61=Sheet6!$C$7,Sheet6!$C$7,IF(Tim!H61=Sheet6!$C$8,Sheet6!$C$8,"")))))))</f>
        <v/>
      </c>
      <c r="I59" s="53" t="str">
        <f>IF(Tim!L61=Sheet6!$C$2,Sheet6!$C$2,IF(Tim!L61=Sheet6!$C$3,Sheet6!$C$3,IF(Tim!L61=Sheet6!$C$4,Sheet6!$C$4,IF(Tim!L61=Sheet6!$C$5,Sheet6!$C$5,IF(Tim!L61=Sheet6!$C$6,Sheet6!$C$6,IF(Tim!L61=Sheet6!$C$7,Sheet6!$C$7,IF(Tim!L61=Sheet6!$C$8,Sheet6!$C$8,"")))))))</f>
        <v/>
      </c>
      <c r="J59" s="53" t="str">
        <f>IF(Tim!T61=Sheet6!$C$2,Sheet6!$C$2,IF(Tim!T61=Sheet6!$C$3,Sheet6!$C$3,IF(Tim!T61=Sheet6!$C$4,Sheet6!$C$4,IF(Tim!T61=Sheet6!$C$5,Sheet6!$C$5,IF(Tim!T61=Sheet6!$C$6,Sheet6!$C$6,IF(Tim!T61=Sheet6!$C$7,Sheet6!$C$7,IF(Tim!T61=Sheet6!$C$8,Sheet6!$C$8,"")))))))</f>
        <v/>
      </c>
      <c r="K59" s="53" t="str">
        <f>IF(Tim!AB61=Sheet6!$C$2,Sheet6!$C$2,IF(Tim!AB61=Sheet6!$C$3,Sheet6!$C$3,IF(Tim!AB61=Sheet6!$C$4,Sheet6!$C$4,IF(Tim!AB61=Sheet6!$C$5,Sheet6!$C$5,IF(Tim!AB61=Sheet6!$C$6,Sheet6!$C$6,IF(Tim!AB61=Sheet6!$C$7,Sheet6!$C$7,IF(Tim!AB61=Sheet6!$C$8,Sheet6!$C$8,"")))))))</f>
        <v/>
      </c>
      <c r="L59" s="53" t="str">
        <f>IF(Tim!AC61=Sheet6!$C$2,Sheet6!$C$2,IF(Tim!AC61=Sheet6!$C$3,Sheet6!$C$3,IF(Tim!AC61=Sheet6!$C$4,Sheet6!$C$4,IF(Tim!AC61=Sheet6!$C$5,Sheet6!$C$5,IF(Tim!AC61=Sheet6!$C$6,Sheet6!$C$6,IF(Tim!AC61=Sheet6!$C$7,Sheet6!$C$7,IF(Tim!AC61=Sheet6!$C$8,Sheet6!$C$8,"")))))))</f>
        <v/>
      </c>
      <c r="M59" s="53" t="str">
        <f>IF(Tim!AJ61=Sheet6!$C$2,Sheet6!$C$2,IF(Tim!AJ61=Sheet6!$C$3,Sheet6!$C$3,IF(Tim!AJ61=Sheet6!$C$4,Sheet6!$C$4,IF(Tim!AJ61=Sheet6!$C$5,Sheet6!$C$5,IF(Tim!AJ61=Sheet6!$C$6,Sheet6!$C$6,IF(Tim!AJ61=Sheet6!$C$7,Sheet6!$C$7,IF(Tim!AJ61=Sheet6!$C$8,Sheet6!$C$8,"")))))))</f>
        <v/>
      </c>
      <c r="N59" s="53" t="str">
        <f>IF(Tim!AK61=Sheet6!$C$2,Sheet6!$C$2,IF(Tim!AK61=Sheet6!$C$3,Sheet6!$C$3,IF(Tim!AK61=Sheet6!$C$4,Sheet6!$C$4,IF(Tim!AK61=Sheet6!$C$5,Sheet6!$C$5,IF(Tim!AK61=Sheet6!$C$6,Sheet6!$C$6,IF(Tim!AK61=Sheet6!$C$7,Sheet6!$C$7,IF(Tim!AK61=Sheet6!$C$8,Sheet6!$C$8,"")))))))</f>
        <v/>
      </c>
      <c r="O59" s="53" t="str">
        <f>IF(Tim!AL61=Sheet6!$C$2,Sheet6!$C$2,IF(Tim!AL61=Sheet6!$C$3,Sheet6!$C$3,IF(Tim!AL61=Sheet6!$C$4,Sheet6!$C$4,IF(Tim!AL61=Sheet6!$C$5,Sheet6!$C$5,IF(Tim!AL61=Sheet6!$C$6,Sheet6!$C$6,IF(Tim!AL61=Sheet6!$C$7,Sheet6!$C$7,IF(Tim!AL61=Sheet6!$C$8,Sheet6!$C$8,"")))))))</f>
        <v/>
      </c>
      <c r="P59" s="53" t="str">
        <f>IF(Tim!AN61=Sheet6!$C$2,Sheet6!$C$2,IF(Tim!AN61=Sheet6!$C$3,Sheet6!$C$3,IF(Tim!AN61=Sheet6!$C$4,Sheet6!$C$4,IF(Tim!AN61=Sheet6!$C$5,Sheet6!$C$5,IF(Tim!AN61=Sheet6!$C$6,Sheet6!$C$6,IF(Tim!AN61=Sheet6!$C$7,Sheet6!$C$7,IF(Tim!AN61=Sheet6!$C$8,Sheet6!$C$8,"")))))))</f>
        <v/>
      </c>
      <c r="Q59" s="176" t="str">
        <f>IF(Tim!AO61=Sheet6!$C$2,Sheet6!$C$2,IF(Tim!AO61=Sheet6!$C$3,Sheet6!$C$3,IF(Tim!AO61=Sheet6!$C$4,Sheet6!$C$4,IF(Tim!AO61=Sheet6!$C$5,Sheet6!$C$5,IF(Tim!AO61=Sheet6!$C$6,Sheet6!$C$6,IF(Tim!AO61=Sheet6!$C$7,Sheet6!$C$7,IF(Tim!AO61=Sheet6!$C$8,Sheet6!$C$8,"")))))))</f>
        <v/>
      </c>
      <c r="R59" s="53" t="str">
        <f>IF(Tim!AP61=Sheet6!$C$2,Sheet6!$C$2,IF(Tim!AP61=Sheet6!$C$3,Sheet6!$C$3,IF(Tim!AP61=Sheet6!$C$4,Sheet6!$C$4,IF(Tim!AP61=Sheet6!$C$5,Sheet6!$C$5,IF(Tim!AP61=Sheet6!$C$6,Sheet6!$C$6,IF(Tim!AP61=Sheet6!$C$7,Sheet6!$C$7,IF(Tim!AP61=Sheet6!$C$8,Sheet6!$C$8,"")))))))</f>
        <v/>
      </c>
      <c r="S59" s="53" t="str">
        <f>IF(Tim!AT61=Sheet6!$C$2,Sheet6!$C$2,IF(Tim!AT61=Sheet6!$C$3,Sheet6!$C$3,IF(Tim!AT61=Sheet6!$C$4,Sheet6!$C$4,IF(Tim!AT61=Sheet6!$C$5,Sheet6!$C$5,IF(Tim!AT61=Sheet6!$C$6,Sheet6!$C$6,IF(Tim!AT61=Sheet6!$C$7,Sheet6!$C$7,IF(Tim!AT61=Sheet6!$C$8,Sheet6!$C$8,"")))))))</f>
        <v/>
      </c>
      <c r="T59" s="54" t="str">
        <f>IF(Tim!AU61=Sheet6!$C$2,Sheet6!$C$2,IF(Tim!AU61=Sheet6!$C$3,Sheet6!$C$3,IF(Tim!AU61=Sheet6!$C$4,Sheet6!$C$4,IF(Tim!AU61=Sheet6!$C$5,Sheet6!$C$5,IF(Tim!AU61=Sheet6!$C$6,Sheet6!$C$6,IF(Tim!AU61=Sheet6!$C$7,Sheet6!$C$7,IF(Tim!AU61=Sheet6!$C$8,Sheet6!$C$8,"")))))))</f>
        <v/>
      </c>
      <c r="U59" s="54" t="str">
        <f>IF(Tim!AV61=Sheet6!$C$2,Sheet6!$C$2,IF(Tim!AV61=Sheet6!$C$3,Sheet6!$C$3,IF(Tim!AV61=Sheet6!$C$4,Sheet6!$C$4,IF(Tim!AV61=Sheet6!$C$5,Sheet6!$C$5,IF(Tim!AV61=Sheet6!$C$6,Sheet6!$C$6,IF(Tim!AV61=Sheet6!$C$7,Sheet6!$C$7,IF(Tim!AV61=Sheet6!$C$8,Sheet6!$C$8,"")))))))</f>
        <v/>
      </c>
      <c r="V59" s="54" t="str">
        <f>IF(Tim!AW61=Sheet6!$C$2,Sheet6!$C$2,IF(Tim!AW61=Sheet6!$C$3,Sheet6!$C$3,IF(Tim!AW61=Sheet6!$C$4,Sheet6!$C$4,IF(Tim!AW61=Sheet6!$C$5,Sheet6!$C$5,IF(Tim!AW61=Sheet6!$C$6,Sheet6!$C$6,IF(Tim!AW61=Sheet6!$C$7,Sheet6!$C$7,IF(Tim!AW61=Sheet6!$C$8,Sheet6!$C$8,"")))))))</f>
        <v/>
      </c>
      <c r="W59" s="55" t="str">
        <f>IF(Tim!AX61=Sheet6!$C$2,Sheet6!$C$2,IF(Tim!AX61=Sheet6!$C$3,Sheet6!$C$3,IF(Tim!AX61=Sheet6!$C$4,Sheet6!$C$4,IF(Tim!AX61=Sheet6!$C$5,Sheet6!$C$5,IF(Tim!AX61=Sheet6!$C$6,Sheet6!$C$6,IF(Tim!AX61=Sheet6!$C$7,Sheet6!$C$7,IF(Tim!AX61=Sheet6!$C$8,Sheet6!$C$8,"")))))))</f>
        <v/>
      </c>
      <c r="X59" s="53" t="str">
        <f>IF(Tim!AY61=Sheet6!$C$2,Sheet6!$C$2,IF(Tim!AY61=Sheet6!$C$3,Sheet6!$C$3,IF(Tim!AY61=Sheet6!$C$4,Sheet6!$C$4,IF(Tim!AY61=Sheet6!$C$5,Sheet6!$C$5,IF(Tim!AY61=Sheet6!$C$6,Sheet6!$C$6,IF(Tim!AY61=Sheet6!$C$7,Sheet6!$C$7,IF(Tim!AY61=Sheet6!$C$8,Sheet6!$C$8,"")))))))</f>
        <v/>
      </c>
      <c r="Y59" s="53" t="str">
        <f>IF(Tim!AZ61=Sheet6!$C$2,Sheet6!$C$2,IF(Tim!AZ61=Sheet6!$C$3,Sheet6!$C$3,IF(Tim!AZ61=Sheet6!$C$4,Sheet6!$C$4,IF(Tim!AZ61=Sheet6!$C$5,Sheet6!$C$5,IF(Tim!AZ61=Sheet6!$C$6,Sheet6!$C$6,IF(Tim!AZ61=Sheet6!$C$7,Sheet6!$C$7,IF(Tim!AZ61=Sheet6!$C$8,Sheet6!$C$8,"")))))))</f>
        <v/>
      </c>
      <c r="Z59" s="57" t="str">
        <f>IF(Tim!BD61=Sheet6!$C$2,Sheet6!$C$2,IF(Tim!BD61=Sheet6!$C$3,Sheet6!$C$3,IF(Tim!BD61=Sheet6!$C$4,Sheet6!$C$4,IF(Tim!BD61=Sheet6!$C$5,Sheet6!$C$5,IF(Tim!BD61=Sheet6!$C$6,Sheet6!$C$6,IF(Tim!BD61=Sheet6!$C$7,Sheet6!$C$7,IF(Tim!BD61=Sheet6!$C$8,Sheet6!$C$8,"")))))))</f>
        <v/>
      </c>
      <c r="AA59" s="57" t="str">
        <f>IF(Tim!BE61=Sheet6!$C$2,Sheet6!$C$2,IF(Tim!BE61=Sheet6!$C$3,Sheet6!$C$3,IF(Tim!BE61=Sheet6!$C$4,Sheet6!$C$4,IF(Tim!BE61=Sheet6!$C$5,Sheet6!$C$5,IF(Tim!BE61=Sheet6!$C$6,Sheet6!$C$6,IF(Tim!BE61=Sheet6!$C$7,Sheet6!$C$7,IF(Tim!BE61=Sheet6!$C$8,Sheet6!$C$8,"")))))))</f>
        <v/>
      </c>
      <c r="AB59" s="57" t="str">
        <f>IF(Tim!BL61=Sheet6!$C$2,Sheet6!$C$2,IF(Tim!BL61=Sheet6!$C$3,Sheet6!$C$3,IF(Tim!BL61=Sheet6!$C$4,Sheet6!$C$4,IF(Tim!BL61=Sheet6!$C$5,Sheet6!$C$5,IF(Tim!BL61=Sheet6!$C$6,Sheet6!$C$6,IF(Tim!BL61=Sheet6!$C$7,Sheet6!$C$7,IF(Tim!BL61=Sheet6!$C$8,Sheet6!$C$8,"")))))))</f>
        <v/>
      </c>
      <c r="AC59" s="53" t="str">
        <f>IF(Tim!BT61=Sheet6!$C$2,Sheet6!$C$2,IF(Tim!BT61=Sheet6!$C$3,Sheet6!$C$3,IF(Tim!BT61=Sheet6!$C$4,Sheet6!$C$4,IF(Tim!BT61=Sheet6!$C$5,Sheet6!$C$5,IF(Tim!BT61=Sheet6!$C$6,Sheet6!$C$6,IF(Tim!BT61=Sheet6!$C$7,Sheet6!$C$7,IF(Tim!BT61=Sheet6!$C$8,Sheet6!$C$8,"")))))))</f>
        <v/>
      </c>
      <c r="AD59" s="181" t="str">
        <f>IF(Tim!BU61=Sheet6!$C$2,Sheet6!$C$2,IF(Tim!BU61=Sheet6!$C$3,Sheet6!$C$3,IF(Tim!BU61=Sheet6!$C$4,Sheet6!$C$4,IF(Tim!BU61=Sheet6!$C$5,Sheet6!$C$5,IF(Tim!BU61=Sheet6!$C$6,Sheet6!$C$6,IF(Tim!BU61=Sheet6!$C$7,Sheet6!$C$7,IF(Tim!BU61=Sheet6!$C$8,Sheet6!$C$8,"")))))))</f>
        <v/>
      </c>
      <c r="AE59" s="181" t="str">
        <f>IF(Tim!CB61=Sheet6!$C$2,Sheet6!$C$2,IF(Tim!CB61=Sheet6!$C$3,Sheet6!$C$3,IF(Tim!CB61=Sheet6!$C$4,Sheet6!$C$4,IF(Tim!CB61=Sheet6!$C$5,Sheet6!$C$5,IF(Tim!CB61=Sheet6!$C$6,Sheet6!$C$6,IF(Tim!CB61=Sheet6!$C$7,Sheet6!$C$7,IF(Tim!CB61=Sheet6!$C$8,Sheet6!$C$8,"")))))))</f>
        <v/>
      </c>
      <c r="AF59" s="181" t="str">
        <f>IF(Tim!CD61=Sheet6!$C$2,Sheet6!$C$2,IF(Tim!CD61=Sheet6!$C$3,Sheet6!$C$3,IF(Tim!CD61=Sheet6!$C$4,Sheet6!$C$4,IF(Tim!CD61=Sheet6!$C$5,Sheet6!$C$5,IF(Tim!CD61=Sheet6!$C$6,Sheet6!$C$6,IF(Tim!CD61=Sheet6!$C$7,Sheet6!$C$7,IF(Tim!CD61=Sheet6!$C$8,Sheet6!$C$8,"")))))))</f>
        <v/>
      </c>
      <c r="AG59" s="53" t="str">
        <f>IF(Tim!CE61=Sheet6!$C$2,Sheet6!$C$2,IF(Tim!CE61=Sheet6!$C$3,Sheet6!$C$3,IF(Tim!CE61=Sheet6!$C$4,Sheet6!$C$4,IF(Tim!CE61=Sheet6!$C$5,Sheet6!$C$5,IF(Tim!CE61=Sheet6!$C$6,Sheet6!$C$6,IF(Tim!CE61=Sheet6!$C$7,Sheet6!$C$7,IF(Tim!CE61=Sheet6!$C$8,Sheet6!$C$8,"")))))))</f>
        <v/>
      </c>
      <c r="AH59" s="176" t="str">
        <f>IF(Tim!CF61=Sheet6!$C$2,Sheet6!$C$2,IF(Tim!CF61=Sheet6!$C$3,Sheet6!$C$3,IF(Tim!CF61=Sheet6!$C$4,Sheet6!$C$4,IF(Tim!CF61=Sheet6!$C$5,Sheet6!$C$5,IF(Tim!CF61=Sheet6!$C$6,Sheet6!$C$6,IF(Tim!CF61=Sheet6!$C$7,Sheet6!$C$7,IF(Tim!CF61=Sheet6!$C$8,Sheet6!$C$8,"")))))))</f>
        <v/>
      </c>
      <c r="AI59" s="176" t="str">
        <f>IF(Tim!CG61=Sheet6!$C$2,Sheet6!$C$2,IF(Tim!CG61=Sheet6!$C$3,Sheet6!$C$3,IF(Tim!CG61=Sheet6!$C$4,Sheet6!$C$4,IF(Tim!CG61=Sheet6!$C$5,Sheet6!$C$5,IF(Tim!CG61=Sheet6!$C$6,Sheet6!$C$6,IF(Tim!CG61=Sheet6!$C$7,Sheet6!$C$7,IF(Tim!CG61=Sheet6!$C$8,Sheet6!$C$8,"")))))))</f>
        <v/>
      </c>
      <c r="AJ59" s="53" t="str">
        <f>IF(Tim!CH61=Sheet6!$C$2,Sheet6!$C$2,IF(Tim!CH61=Sheet6!$C$3,Sheet6!$C$3,IF(Tim!CH61=Sheet6!$C$4,Sheet6!$C$4,IF(Tim!CH61=Sheet6!$C$5,Sheet6!$C$5,IF(Tim!CH61=Sheet6!$C$6,Sheet6!$C$6,IF(Tim!CH61=Sheet6!$C$7,Sheet6!$C$7,IF(Tim!CH61=Sheet6!$C$8,Sheet6!$C$8,"")))))))</f>
        <v/>
      </c>
      <c r="AK59" s="53" t="str">
        <f>IF(Tim!CL61=Sheet6!$C$2,Sheet6!$C$2,IF(Tim!CL61=Sheet6!$C$3,Sheet6!$C$3,IF(Tim!CL61=Sheet6!$C$4,Sheet6!$C$4,IF(Tim!CL61=Sheet6!$C$5,Sheet6!$C$5,IF(Tim!CL61=Sheet6!$C$6,Sheet6!$C$6,IF(Tim!CL61=Sheet6!$C$7,Sheet6!$C$7,IF(Tim!CL61=Sheet6!$C$8,Sheet6!$C$8,"")))))))</f>
        <v/>
      </c>
      <c r="AL59" s="54" t="str">
        <f>IF(Tim!CM61=Sheet6!$C$2,Sheet6!$C$2,IF(Tim!CM61=Sheet6!$C$3,Sheet6!$C$3,IF(Tim!CM61=Sheet6!$C$4,Sheet6!$C$4,IF(Tim!CM61=Sheet6!$C$5,Sheet6!$C$5,IF(Tim!CM61=Sheet6!$C$6,Sheet6!$C$6,IF(Tim!CM61=Sheet6!$C$7,Sheet6!$C$7,IF(Tim!CM61=Sheet6!$C$8,Sheet6!$C$8,"")))))))</f>
        <v/>
      </c>
      <c r="AM59" s="54" t="str">
        <f>IF(Tim!CN61=Sheet6!$C$2,Sheet6!$C$2,IF(Tim!CN61=Sheet6!$C$3,Sheet6!$C$3,IF(Tim!CN61=Sheet6!$C$4,Sheet6!$C$4,IF(Tim!CN61=Sheet6!$C$5,Sheet6!$C$5,IF(Tim!CN61=Sheet6!$C$6,Sheet6!$C$6,IF(Tim!CN61=Sheet6!$C$7,Sheet6!$C$7,IF(Tim!CN61=Sheet6!$C$8,Sheet6!$C$8,"")))))))</f>
        <v/>
      </c>
      <c r="AN59" s="54" t="str">
        <f>IF(Tim!CO61=Sheet6!$C$2,Sheet6!$C$2,IF(Tim!CO61=Sheet6!$C$3,Sheet6!$C$3,IF(Tim!CO61=Sheet6!$C$4,Sheet6!$C$4,IF(Tim!CO61=Sheet6!$C$5,Sheet6!$C$5,IF(Tim!CO61=Sheet6!$C$6,Sheet6!$C$6,IF(Tim!CO61=Sheet6!$C$7,Sheet6!$C$7,IF(Tim!CO61=Sheet6!$C$8,Sheet6!$C$8,"")))))))</f>
        <v/>
      </c>
      <c r="AO59" s="177" t="str">
        <f>IF(Tim!CP61=Sheet6!$C$2,Sheet6!$C$2,IF(Tim!CP61=Sheet6!$C$3,Sheet6!$C$3,IF(Tim!CP61=Sheet6!$C$4,Sheet6!$C$4,IF(Tim!CP61=Sheet6!$C$5,Sheet6!$C$5,IF(Tim!CP61=Sheet6!$C$6,Sheet6!$C$6,IF(Tim!CP61=Sheet6!$C$7,Sheet6!$C$7,IF(Tim!CP61=Sheet6!$C$8,Sheet6!$C$8,"")))))))</f>
        <v/>
      </c>
      <c r="AP59" s="53" t="str">
        <f>IF(Tim!CQ61=Sheet6!$C$2,Sheet6!$C$2,IF(Tim!CQ61=Sheet6!$C$3,Sheet6!$C$3,IF(Tim!CQ61=Sheet6!$C$4,Sheet6!$C$4,IF(Tim!CQ61=Sheet6!$C$5,Sheet6!$C$5,IF(Tim!CQ61=Sheet6!$C$6,Sheet6!$C$6,IF(Tim!CQ61=Sheet6!$C$7,Sheet6!$C$7,IF(Tim!CQ61=Sheet6!$C$8,Sheet6!$C$8,"")))))))</f>
        <v/>
      </c>
      <c r="AQ59" s="57" t="str">
        <f>IF(Tim!CR61=Sheet6!$C$2,Sheet6!$C$2,IF(Tim!CR61=Sheet6!$C$3,Sheet6!$C$3,IF(Tim!CR61=Sheet6!$C$4,Sheet6!$C$4,IF(Tim!CR61=Sheet6!$C$5,Sheet6!$C$5,IF(Tim!CR61=Sheet6!$C$6,Sheet6!$C$6,IF(Tim!CR61=Sheet6!$C$7,Sheet6!$C$7,IF(Tim!CR61=Sheet6!$C$8,Sheet6!$C$8,"")))))))</f>
        <v/>
      </c>
      <c r="AR59" s="57" t="str">
        <f>IF(Tim!CV61=Sheet6!$C$2,Sheet6!$C$2,IF(Tim!CV61=Sheet6!$C$3,Sheet6!$C$3,IF(Tim!CV61=Sheet6!$C$4,Sheet6!$C$4,IF(Tim!CV61=Sheet6!$C$5,Sheet6!$C$5,IF(Tim!CV61=Sheet6!$C$6,Sheet6!$C$6,IF(Tim!CV61=Sheet6!$C$7,Sheet6!$C$7,IF(Tim!CV61=Sheet6!$C$8,Sheet6!$C$8,"")))))))</f>
        <v/>
      </c>
      <c r="AS59" s="57" t="str">
        <f>IF(Tim!CW61=Sheet6!$C$2,Sheet6!$C$2,IF(Tim!CW61=Sheet6!$C$3,Sheet6!$C$3,IF(Tim!CW61=Sheet6!$C$4,Sheet6!$C$4,IF(Tim!CW61=Sheet6!$C$5,Sheet6!$C$5,IF(Tim!CW61=Sheet6!$C$6,Sheet6!$C$6,IF(Tim!CW61=Sheet6!$C$7,Sheet6!$C$7,IF(Tim!CW61=Sheet6!$C$8,Sheet6!$C$8,"")))))))</f>
        <v/>
      </c>
      <c r="AT59" s="57" t="str">
        <f>IF(Tim!DA61=Sheet6!$C$2,Sheet6!$C$2,IF(Tim!DA61=Sheet6!$C$3,Sheet6!$C$3,IF(Tim!DA61=Sheet6!$C$4,Sheet6!$C$4,IF(Tim!DA61=Sheet6!$C$5,Sheet6!$C$5,IF(Tim!DA61=Sheet6!$C$6,Sheet6!$C$6,IF(Tim!DA61=Sheet6!$C$7,Sheet6!$C$7,IF(Tim!DA61=Sheet6!$C$8,Sheet6!$C$8,"")))))))</f>
        <v/>
      </c>
      <c r="AU59" s="53" t="str">
        <f>IF(Tim!DO61=Sheet6!$C$2,Sheet6!$C$2,IF(Tim!DO61=Sheet6!$C$3,Sheet6!$C$3,IF(Tim!DO61=Sheet6!$C$4,Sheet6!$C$4,IF(Tim!DO61=Sheet6!$C$5,Sheet6!$C$5,IF(Tim!DO61=Sheet6!$C$6,Sheet6!$C$6,IF(Tim!DO61=Sheet6!$C$7,Sheet6!$C$7,IF(Tim!DO61=Sheet6!$C$8,Sheet6!$C$8,"")))))))</f>
        <v/>
      </c>
      <c r="AV59" s="53" t="str">
        <f>IF(Tim!DP61=Sheet6!$C$2,Sheet6!$C$2,IF(Tim!DP61=Sheet6!$C$3,Sheet6!$C$3,IF(Tim!DP61=Sheet6!$C$4,Sheet6!$C$4,IF(Tim!DP61=Sheet6!$C$5,Sheet6!$C$5,IF(Tim!DP61=Sheet6!$C$6,Sheet6!$C$6,IF(Tim!DP61=Sheet6!$C$7,Sheet6!$C$7,IF(Tim!DP61=Sheet6!$C$8,Sheet6!$C$8,"")))))))</f>
        <v/>
      </c>
      <c r="AW59" s="53" t="str">
        <f>IF(Tim!DX61=Sheet6!$C$2,Sheet6!$C$2,IF(Tim!DX61=Sheet6!$C$3,Sheet6!$C$3,IF(Tim!DX61=Sheet6!$C$4,Sheet6!$C$4,IF(Tim!DX61=Sheet6!$C$5,Sheet6!$C$5,IF(Tim!DX61=Sheet6!$C$6,Sheet6!$C$6,IF(Tim!DX61=Sheet6!$C$7,Sheet6!$C$7,IF(Tim!DX61=Sheet6!$C$8,Sheet6!$C$8,"")))))))</f>
        <v/>
      </c>
      <c r="AX59" s="53" t="str">
        <f>IF(Tim!DY61=Sheet6!$C$2,Sheet6!$C$2,IF(Tim!DY61=Sheet6!$C$3,Sheet6!$C$3,IF(Tim!DY61=Sheet6!$C$4,Sheet6!$C$4,IF(Tim!DY61=Sheet6!$C$5,Sheet6!$C$5,IF(Tim!DY61=Sheet6!$C$6,Sheet6!$C$6,IF(Tim!DY61=Sheet6!$C$7,Sheet6!$C$7,IF(Tim!DY61=Sheet6!$C$8,Sheet6!$C$8,"")))))))</f>
        <v/>
      </c>
      <c r="AY59" s="53" t="str">
        <f>IF(Tim!DZ61=Sheet6!$C$2,Sheet6!$C$2,IF(Tim!DZ61=Sheet6!$C$3,Sheet6!$C$3,IF(Tim!DZ61=Sheet6!$C$4,Sheet6!$C$4,IF(Tim!DZ61=Sheet6!$C$5,Sheet6!$C$5,IF(Tim!DZ61=Sheet6!$C$6,Sheet6!$C$6,IF(Tim!DZ61=Sheet6!$C$7,Sheet6!$C$7,IF(Tim!DZ61=Sheet6!$C$8,Sheet6!$C$8,"")))))))</f>
        <v/>
      </c>
      <c r="AZ59" s="176" t="str">
        <f>IF(Tim!EA61=Sheet6!$C$2,Sheet6!$C$2,IF(Tim!EA61=Sheet6!$C$3,Sheet6!$C$3,IF(Tim!EA61=Sheet6!$C$4,Sheet6!$C$4,IF(Tim!EA61=Sheet6!$C$5,Sheet6!$C$5,IF(Tim!EA61=Sheet6!$C$6,Sheet6!$C$6,IF(Tim!EA61=Sheet6!$C$7,Sheet6!$C$7,IF(Tim!EA61=Sheet6!$C$8,Sheet6!$C$8,"")))))))</f>
        <v/>
      </c>
      <c r="BA59" s="176" t="str">
        <f>IF(Tim!EB61=Sheet6!$C$2,Sheet6!$C$2,IF(Tim!EB61=Sheet6!$C$3,Sheet6!$C$3,IF(Tim!EB61=Sheet6!$C$4,Sheet6!$C$4,IF(Tim!EB61=Sheet6!$C$5,Sheet6!$C$5,IF(Tim!EB61=Sheet6!$C$6,Sheet6!$C$6,IF(Tim!EB61=Sheet6!$C$7,Sheet6!$C$7,IF(Tim!EB61=Sheet6!$C$8,Sheet6!$C$8,"")))))))</f>
        <v/>
      </c>
      <c r="BB59" s="53" t="str">
        <f>IF(Tim!EC61=Sheet6!$C$2,Sheet6!$C$2,IF(Tim!EC61=Sheet6!$C$3,Sheet6!$C$3,IF(Tim!EC61=Sheet6!$C$4,Sheet6!$C$4,IF(Tim!EC61=Sheet6!$C$5,Sheet6!$C$5,IF(Tim!EC61=Sheet6!$C$6,Sheet6!$C$6,IF(Tim!EC61=Sheet6!$C$7,Sheet6!$C$7,IF(Tim!EC61=Sheet6!$C$8,Sheet6!$C$8,"")))))))</f>
        <v/>
      </c>
      <c r="BC59" s="53" t="str">
        <f>IF(Tim!EG61=Sheet6!$C$2,Sheet6!$C$2,IF(Tim!EG61=Sheet6!$C$3,Sheet6!$C$3,IF(Tim!EG61=Sheet6!$C$4,Sheet6!$C$4,IF(Tim!EG61=Sheet6!$C$5,Sheet6!$C$5,IF(Tim!EG61=Sheet6!$C$6,Sheet6!$C$6,IF(Tim!EG61=Sheet6!$C$7,Sheet6!$C$7,IF(Tim!EG61=Sheet6!$C$8,Sheet6!$C$8,"")))))))</f>
        <v/>
      </c>
      <c r="BD59" s="53" t="str">
        <f>IF(Tim!EH61=Sheet6!$C$2,Sheet6!$C$2,IF(Tim!EH61=Sheet6!$C$3,Sheet6!$C$3,IF(Tim!EH61=Sheet6!$C$4,Sheet6!$C$4,IF(Tim!EH61=Sheet6!$C$5,Sheet6!$C$5,IF(Tim!EH61=Sheet6!$C$6,Sheet6!$C$6,IF(Tim!EH61=Sheet6!$C$7,Sheet6!$C$7,IF(Tim!EH61=Sheet6!$C$8,Sheet6!$C$8,"")))))))</f>
        <v/>
      </c>
      <c r="BE59" s="54" t="str">
        <f>IF(Tim!EI61=Sheet6!$C$2,Sheet6!$C$2,IF(Tim!EI61=Sheet6!$C$3,Sheet6!$C$3,IF(Tim!EI61=Sheet6!$C$4,Sheet6!$C$4,IF(Tim!EI61=Sheet6!$C$5,Sheet6!$C$5,IF(Tim!EI61=Sheet6!$C$6,Sheet6!$C$6,IF(Tim!EI61=Sheet6!$C$7,Sheet6!$C$7,IF(Tim!EI61=Sheet6!$C$8,Sheet6!$C$8,"")))))))</f>
        <v/>
      </c>
      <c r="BF59" s="54" t="str">
        <f>IF(Tim!EJ61=Sheet6!$C$2,Sheet6!$C$2,IF(Tim!EJ61=Sheet6!$C$3,Sheet6!$C$3,IF(Tim!EJ61=Sheet6!$C$4,Sheet6!$C$4,IF(Tim!EJ61=Sheet6!$C$5,Sheet6!$C$5,IF(Tim!EJ61=Sheet6!$C$6,Sheet6!$C$6,IF(Tim!EJ61=Sheet6!$C$7,Sheet6!$C$7,IF(Tim!EJ61=Sheet6!$C$8,Sheet6!$C$8,"")))))))</f>
        <v/>
      </c>
      <c r="BG59" s="55" t="str">
        <f>IF(Tim!EK61=Sheet6!$C$2,Sheet6!$C$2,IF(Tim!EK61=Sheet6!$C$3,Sheet6!$C$3,IF(Tim!EK61=Sheet6!$C$4,Sheet6!$C$4,IF(Tim!EK61=Sheet6!$C$5,Sheet6!$C$5,IF(Tim!EK61=Sheet6!$C$6,Sheet6!$C$6,IF(Tim!EK61=Sheet6!$C$7,Sheet6!$C$7,IF(Tim!EK61=Sheet6!$C$8,Sheet6!$C$8,"")))))))</f>
        <v/>
      </c>
      <c r="BH59" s="57" t="str">
        <f>IF(Tim!EL61=Sheet6!$C$2,Sheet6!$C$2,IF(Tim!EL61=Sheet6!$C$3,Sheet6!$C$3,IF(Tim!EL61=Sheet6!$C$4,Sheet6!$C$4,IF(Tim!EL61=Sheet6!$C$5,Sheet6!$C$5,IF(Tim!EL61=Sheet6!$C$6,Sheet6!$C$6,IF(Tim!EL61=Sheet6!$C$7,Sheet6!$C$7,IF(Tim!EL61=Sheet6!$C$8,Sheet6!$C$8,"")))))))</f>
        <v/>
      </c>
      <c r="BI59" s="57" t="str">
        <f>IF(Tim!EM61=Sheet6!$C$2,Sheet6!$C$2,IF(Tim!EM61=Sheet6!$C$3,Sheet6!$C$3,IF(Tim!EM61=Sheet6!$C$4,Sheet6!$C$4,IF(Tim!EM61=Sheet6!$C$5,Sheet6!$C$5,IF(Tim!EM61=Sheet6!$C$6,Sheet6!$C$6,IF(Tim!EM61=Sheet6!$C$7,Sheet6!$C$7,IF(Tim!EM61=Sheet6!$C$8,Sheet6!$C$8,"")))))))</f>
        <v/>
      </c>
      <c r="BJ59" s="57" t="str">
        <f>IF(Tim!EQ61=Sheet6!$C$2,Sheet6!$C$2,IF(Tim!EQ61=Sheet6!$C$3,Sheet6!$C$3,IF(Tim!EQ61=Sheet6!$C$4,Sheet6!$C$4,IF(Tim!EQ61=Sheet6!$C$5,Sheet6!$C$5,IF(Tim!EQ61=Sheet6!$C$6,Sheet6!$C$6,IF(Tim!EQ61=Sheet6!$C$7,Sheet6!$C$7,IF(Tim!EQ61=Sheet6!$C$8,Sheet6!$C$8,"")))))))</f>
        <v/>
      </c>
      <c r="BK59" s="57" t="str">
        <f>IF(Tim!ER61=Sheet6!$C$2,Sheet6!$C$2,IF(Tim!ER61=Sheet6!$C$3,Sheet6!$C$3,IF(Tim!ER61=Sheet6!$C$4,Sheet6!$C$4,IF(Tim!ER61=Sheet6!$C$5,Sheet6!$C$5,IF(Tim!ER61=Sheet6!$C$6,Sheet6!$C$6,IF(Tim!ER61=Sheet6!$C$7,Sheet6!$C$7,IF(Tim!ER61=Sheet6!$C$8,Sheet6!$C$8,"")))))))</f>
        <v/>
      </c>
      <c r="BL59" s="57" t="str">
        <f>IF(Tim!EZ61=Sheet6!$C$2,Sheet6!$C$2,IF(Tim!EZ61=Sheet6!$C$3,Sheet6!$C$3,IF(Tim!EZ61=Sheet6!$C$4,Sheet6!$C$4,IF(Tim!EZ61=Sheet6!$C$5,Sheet6!$C$5,IF(Tim!EZ61=Sheet6!$C$6,Sheet6!$C$6,IF(Tim!EZ61=Sheet6!$C$7,Sheet6!$C$7,IF(Tim!EZ61=Sheet6!$C$8,Sheet6!$C$8,"")))))))</f>
        <v/>
      </c>
      <c r="BM59" s="53" t="str">
        <f>IF(Tim!FG61=Sheet6!$C$2,Sheet6!$C$2,IF(Tim!FG61=Sheet6!$C$3,Sheet6!$C$3,IF(Tim!FG61=Sheet6!$C$4,Sheet6!$C$4,IF(Tim!FG61=Sheet6!$C$5,Sheet6!$C$5,IF(Tim!FG61=Sheet6!$C$6,Sheet6!$C$6,IF(Tim!FG61=Sheet6!$C$7,Sheet6!$C$7,IF(Tim!FG61=Sheet6!$C$8,Sheet6!$C$8,"")))))))</f>
        <v/>
      </c>
      <c r="BN59" s="181" t="str">
        <f>IF(Tim!FH61=Sheet6!$C$2,Sheet6!$C$2,IF(Tim!FH61=Sheet6!$C$3,Sheet6!$C$3,IF(Tim!FH61=Sheet6!$C$4,Sheet6!$C$4,IF(Tim!FH61=Sheet6!$C$5,Sheet6!$C$5,IF(Tim!FH61=Sheet6!$C$6,Sheet6!$C$6,IF(Tim!FH61=Sheet6!$C$7,Sheet6!$C$7,IF(Tim!FH61=Sheet6!$C$8,Sheet6!$C$8,"")))))))</f>
        <v/>
      </c>
      <c r="BO59" s="181" t="str">
        <f>IF(Tim!FP61=Sheet6!$C$2,Sheet6!$C$2,IF(Tim!FP61=Sheet6!$C$3,Sheet6!$C$3,IF(Tim!FP61=Sheet6!$C$4,Sheet6!$C$4,IF(Tim!FP61=Sheet6!$C$5,Sheet6!$C$5,IF(Tim!FP61=Sheet6!$C$6,Sheet6!$C$6,IF(Tim!FP61=Sheet6!$C$7,Sheet6!$C$7,IF(Tim!FP61=Sheet6!$C$8,Sheet6!$C$8,"")))))))</f>
        <v/>
      </c>
      <c r="BP59" s="181" t="str">
        <f>IF(Tim!FQ61=Sheet6!$C$2,Sheet6!$C$2,IF(Tim!FQ61=Sheet6!$C$3,Sheet6!$C$3,IF(Tim!FQ61=Sheet6!$C$4,Sheet6!$C$4,IF(Tim!FQ61=Sheet6!$C$5,Sheet6!$C$5,IF(Tim!FQ61=Sheet6!$C$6,Sheet6!$C$6,IF(Tim!FQ61=Sheet6!$C$7,Sheet6!$C$7,IF(Tim!FQ61=Sheet6!$C$8,Sheet6!$C$8,"")))))))</f>
        <v/>
      </c>
      <c r="BQ59" s="53" t="str">
        <f>IF(Tim!FR61=Sheet6!$C$2,Sheet6!$C$2,IF(Tim!FR61=Sheet6!$C$3,Sheet6!$C$3,IF(Tim!FR61=Sheet6!$C$4,Sheet6!$C$4,IF(Tim!FR61=Sheet6!$C$5,Sheet6!$C$5,IF(Tim!FR61=Sheet6!$C$6,Sheet6!$C$6,IF(Tim!FR61=Sheet6!$C$7,Sheet6!$C$7,IF(Tim!FR61=Sheet6!$C$8,Sheet6!$C$8,"")))))))</f>
        <v/>
      </c>
      <c r="BR59" s="176" t="str">
        <f>IF(Tim!FS61=Sheet6!$C$2,Sheet6!$C$2,IF(Tim!FS61=Sheet6!$C$3,Sheet6!$C$3,IF(Tim!FS61=Sheet6!$C$4,Sheet6!$C$4,IF(Tim!FS61=Sheet6!$C$5,Sheet6!$C$5,IF(Tim!FS61=Sheet6!$C$6,Sheet6!$C$6,IF(Tim!FS61=Sheet6!$C$7,Sheet6!$C$7,IF(Tim!FS61=Sheet6!$C$8,Sheet6!$C$8,"")))))))</f>
        <v/>
      </c>
      <c r="BS59" s="176" t="str">
        <f>IF(Tim!FT61=Sheet6!$C$2,Sheet6!$C$2,IF(Tim!FT61=Sheet6!$C$3,Sheet6!$C$3,IF(Tim!FT61=Sheet6!$C$4,Sheet6!$C$4,IF(Tim!FT61=Sheet6!$C$5,Sheet6!$C$5,IF(Tim!FT61=Sheet6!$C$6,Sheet6!$C$6,IF(Tim!FT61=Sheet6!$C$7,Sheet6!$C$7,IF(Tim!FT61=Sheet6!$C$8,Sheet6!$C$8,"")))))))</f>
        <v/>
      </c>
      <c r="BT59" s="53" t="str">
        <f>IF(Tim!FU61=Sheet6!$C$2,Sheet6!$C$2,IF(Tim!FU61=Sheet6!$C$3,Sheet6!$C$3,IF(Tim!FU61=Sheet6!$C$4,Sheet6!$C$4,IF(Tim!FU61=Sheet6!$C$5,Sheet6!$C$5,IF(Tim!FU61=Sheet6!$C$6,Sheet6!$C$6,IF(Tim!FU61=Sheet6!$C$7,Sheet6!$C$7,IF(Tim!FU61=Sheet6!$C$8,Sheet6!$C$8,"")))))))</f>
        <v/>
      </c>
      <c r="BU59" s="53" t="str">
        <f>IF(Tim!FY61=Sheet6!$C$2,Sheet6!$C$2,IF(Tim!FY61=Sheet6!$C$3,Sheet6!$C$3,IF(Tim!FY61=Sheet6!$C$4,Sheet6!$C$4,IF(Tim!FY61=Sheet6!$C$5,Sheet6!$C$5,IF(Tim!FY61=Sheet6!$C$6,Sheet6!$C$6,IF(Tim!FY61=Sheet6!$C$7,Sheet6!$C$7,IF(Tim!FY61=Sheet6!$C$8,Sheet6!$C$8,"")))))))</f>
        <v/>
      </c>
      <c r="BV59" s="54" t="str">
        <f>IF(Tim!FZ61=Sheet6!$C$2,Sheet6!$C$2,IF(Tim!FZ61=Sheet6!$C$3,Sheet6!$C$3,IF(Tim!FZ61=Sheet6!$C$4,Sheet6!$C$4,IF(Tim!FZ61=Sheet6!$C$5,Sheet6!$C$5,IF(Tim!FZ61=Sheet6!$C$6,Sheet6!$C$6,IF(Tim!FZ61=Sheet6!$C$7,Sheet6!$C$7,IF(Tim!FZ61=Sheet6!$C$8,Sheet6!$C$8,"")))))))</f>
        <v/>
      </c>
      <c r="BW59" s="54" t="str">
        <f>IF(Tim!GA61=Sheet6!$C$2,Sheet6!$C$2,IF(Tim!GA61=Sheet6!$C$3,Sheet6!$C$3,IF(Tim!GA61=Sheet6!$C$4,Sheet6!$C$4,IF(Tim!GA61=Sheet6!$C$5,Sheet6!$C$5,IF(Tim!GA61=Sheet6!$C$6,Sheet6!$C$6,IF(Tim!GA61=Sheet6!$C$7,Sheet6!$C$7,IF(Tim!GA61=Sheet6!$C$8,Sheet6!$C$8,"")))))))</f>
        <v/>
      </c>
      <c r="BX59" s="54" t="str">
        <f>IF(Tim!GB61=Sheet6!$C$2,Sheet6!$C$2,IF(Tim!GB61=Sheet6!$C$3,Sheet6!$C$3,IF(Tim!GB61=Sheet6!$C$4,Sheet6!$C$4,IF(Tim!GB61=Sheet6!$C$5,Sheet6!$C$5,IF(Tim!GB61=Sheet6!$C$6,Sheet6!$C$6,IF(Tim!GB61=Sheet6!$C$7,Sheet6!$C$7,IF(Tim!GB61=Sheet6!$C$8,Sheet6!$C$8,"")))))))</f>
        <v/>
      </c>
      <c r="BY59" s="55" t="str">
        <f>IF(Tim!GC61=Sheet6!$C$2,Sheet6!$C$2,IF(Tim!GC61=Sheet6!$C$3,Sheet6!$C$3,IF(Tim!GC61=Sheet6!$C$4,Sheet6!$C$4,IF(Tim!GC61=Sheet6!$C$5,Sheet6!$C$5,IF(Tim!GC61=Sheet6!$C$6,Sheet6!$C$6,IF(Tim!GC61=Sheet6!$C$7,Sheet6!$C$7,IF(Tim!GC61=Sheet6!$C$8,Sheet6!$C$8,"")))))))</f>
        <v/>
      </c>
      <c r="BZ59" s="53" t="str">
        <f>IF(Tim!GD61=Sheet6!$C$2,Sheet6!$C$2,IF(Tim!GD61=Sheet6!$C$3,Sheet6!$C$3,IF(Tim!GD61=Sheet6!$C$4,Sheet6!$C$4,IF(Tim!GD61=Sheet6!$C$5,Sheet6!$C$5,IF(Tim!GD61=Sheet6!$C$6,Sheet6!$C$6,IF(Tim!GD61=Sheet6!$C$7,Sheet6!$C$7,IF(Tim!GD61=Sheet6!$C$8,Sheet6!$C$8,"")))))))</f>
        <v/>
      </c>
      <c r="CA59" s="53" t="str">
        <f>IF(Tim!GE61=Sheet6!$C$2,Sheet6!$C$2,IF(Tim!GE61=Sheet6!$C$3,Sheet6!$C$3,IF(Tim!GE61=Sheet6!$C$4,Sheet6!$C$4,IF(Tim!GE61=Sheet6!$C$5,Sheet6!$C$5,IF(Tim!GE61=Sheet6!$C$6,Sheet6!$C$6,IF(Tim!GE61=Sheet6!$C$7,Sheet6!$C$7,IF(Tim!GE61=Sheet6!$C$8,Sheet6!$C$8,"")))))))</f>
        <v/>
      </c>
      <c r="CB59" s="57" t="str">
        <f>IF(Tim!GI61=Sheet6!$C$2,Sheet6!$C$2,IF(Tim!GI61=Sheet6!$C$3,Sheet6!$C$3,IF(Tim!GI61=Sheet6!$C$4,Sheet6!$C$4,IF(Tim!GI61=Sheet6!$C$5,Sheet6!$C$5,IF(Tim!GI61=Sheet6!$C$6,Sheet6!$C$6,IF(Tim!GI61=Sheet6!$C$7,Sheet6!$C$7,IF(Tim!GI61=Sheet6!$C$8,Sheet6!$C$8,"")))))))</f>
        <v/>
      </c>
      <c r="CC59" s="57" t="str">
        <f>IF(Tim!GJ61=Sheet6!$C$2,Sheet6!$C$2,IF(Tim!GJ61=Sheet6!$C$3,Sheet6!$C$3,IF(Tim!GJ61=Sheet6!$C$4,Sheet6!$C$4,IF(Tim!GJ61=Sheet6!$C$5,Sheet6!$C$5,IF(Tim!GJ61=Sheet6!$C$6,Sheet6!$C$6,IF(Tim!GJ61=Sheet6!$C$7,Sheet6!$C$7,IF(Tim!GJ61=Sheet6!$C$8,Sheet6!$C$8,"")))))))</f>
        <v/>
      </c>
      <c r="CD59" s="57" t="str">
        <f>IF(Tim!GN61=Sheet6!$C$2,Sheet6!$C$2,IF(Tim!GN61=Sheet6!$C$3,Sheet6!$C$3,IF(Tim!GN61=Sheet6!$C$4,Sheet6!$C$4,IF(Tim!GN61=Sheet6!$C$5,Sheet6!$C$5,IF(Tim!GN61=Sheet6!$C$6,Sheet6!$C$6,IF(Tim!GN61=Sheet6!$C$7,Sheet6!$C$7,IF(Tim!GN61=Sheet6!$C$8,Sheet6!$C$8,"")))))))</f>
        <v/>
      </c>
      <c r="CE59" s="53" t="str">
        <f>IF(Tim!GY61=Sheet6!$C$2,Sheet6!$C$2,IF(Tim!GY61=Sheet6!$C$3,Sheet6!$C$3,IF(Tim!GY61=Sheet6!$C$4,Sheet6!$C$4,IF(Tim!GY61=Sheet6!$C$5,Sheet6!$C$5,IF(Tim!GY61=Sheet6!$C$6,Sheet6!$C$6,IF(Tim!GY61=Sheet6!$C$7,Sheet6!$C$7,IF(Tim!GY61=Sheet6!$C$8,Sheet6!$C$8,"")))))))</f>
        <v/>
      </c>
      <c r="CF59" s="53" t="str">
        <f>IF(Tim!GZ61=Sheet6!$C$2,Sheet6!$C$2,IF(Tim!GZ61=Sheet6!$C$3,Sheet6!$C$3,IF(Tim!GZ61=Sheet6!$C$4,Sheet6!$C$4,IF(Tim!GZ61=Sheet6!$C$5,Sheet6!$C$5,IF(Tim!GZ61=Sheet6!$C$6,Sheet6!$C$6,IF(Tim!GZ61=Sheet6!$C$7,Sheet6!$C$7,IF(Tim!GZ61=Sheet6!$C$8,Sheet6!$C$8,"")))))))</f>
        <v/>
      </c>
      <c r="CG59" s="53" t="str">
        <f>IF(Tim!HH61=Sheet6!$C$2,Sheet6!$C$2,IF(Tim!HH61=Sheet6!$C$3,Sheet6!$C$3,IF(Tim!HH61=Sheet6!$C$4,Sheet6!$C$4,IF(Tim!HH61=Sheet6!$C$5,Sheet6!$C$5,IF(Tim!HH61=Sheet6!$C$6,Sheet6!$C$6,IF(Tim!HH61=Sheet6!$C$7,Sheet6!$C$7,IF(Tim!HH61=Sheet6!$C$8,Sheet6!$C$8,"")))))))</f>
        <v/>
      </c>
      <c r="CH59" s="53" t="str">
        <f>IF(Tim!HI61=Sheet6!$C$2,Sheet6!$C$2,IF(Tim!HI61=Sheet6!$C$3,Sheet6!$C$3,IF(Tim!HI61=Sheet6!$C$4,Sheet6!$C$4,IF(Tim!HI61=Sheet6!$C$5,Sheet6!$C$5,IF(Tim!HI61=Sheet6!$C$6,Sheet6!$C$6,IF(Tim!HI61=Sheet6!$C$7,Sheet6!$C$7,IF(Tim!HI61=Sheet6!$C$8,Sheet6!$C$8,"")))))))</f>
        <v/>
      </c>
      <c r="CI59" s="53" t="str">
        <f>IF(Tim!HJ61=Sheet6!$C$2,Sheet6!$C$2,IF(Tim!HJ61=Sheet6!$C$3,Sheet6!$C$3,IF(Tim!HJ61=Sheet6!$C$4,Sheet6!$C$4,IF(Tim!HJ61=Sheet6!$C$5,Sheet6!$C$5,IF(Tim!HJ61=Sheet6!$C$6,Sheet6!$C$6,IF(Tim!HJ61=Sheet6!$C$7,Sheet6!$C$7,IF(Tim!HJ61=Sheet6!$C$8,Sheet6!$C$8,"")))))))</f>
        <v/>
      </c>
      <c r="CJ59" s="53" t="str">
        <f>IF(Tim!HK61=Sheet6!$C$2,Sheet6!$C$2,IF(Tim!HK61=Sheet6!$C$3,Sheet6!$C$3,IF(Tim!HK61=Sheet6!$C$4,Sheet6!$C$4,IF(Tim!HK61=Sheet6!$C$5,Sheet6!$C$5,IF(Tim!HK61=Sheet6!$C$6,Sheet6!$C$6,IF(Tim!HK61=Sheet6!$C$7,Sheet6!$C$7,IF(Tim!HK61=Sheet6!$C$8,Sheet6!$C$8,"")))))))</f>
        <v/>
      </c>
      <c r="CK59" s="53" t="str">
        <f>IF(Tim!HL61=Sheet6!$C$2,Sheet6!$C$2,IF(Tim!HL61=Sheet6!$C$3,Sheet6!$C$3,IF(Tim!HL61=Sheet6!$C$4,Sheet6!$C$4,IF(Tim!HL61=Sheet6!$C$5,Sheet6!$C$5,IF(Tim!HL61=Sheet6!$C$6,Sheet6!$C$6,IF(Tim!HL61=Sheet6!$C$7,Sheet6!$C$7,IF(Tim!HL61=Sheet6!$C$8,Sheet6!$C$8,"")))))))</f>
        <v/>
      </c>
      <c r="CL59" s="176" t="str">
        <f>IF(Tim!HM61=Sheet6!$C$2,Sheet6!$C$2,IF(Tim!HM61=Sheet6!$C$3,Sheet6!$C$3,IF(Tim!HM61=Sheet6!$C$4,Sheet6!$C$4,IF(Tim!HM61=Sheet6!$C$5,Sheet6!$C$5,IF(Tim!HM61=Sheet6!$C$6,Sheet6!$C$6,IF(Tim!HM61=Sheet6!$C$7,Sheet6!$C$7,IF(Tim!HM61=Sheet6!$C$8,Sheet6!$C$8,"")))))))</f>
        <v/>
      </c>
      <c r="CM59" s="53" t="str">
        <f>IF(Tim!HQ61=Sheet6!$C$2,Sheet6!$C$2,IF(Tim!HQ61=Sheet6!$C$3,Sheet6!$C$3,IF(Tim!HQ61=Sheet6!$C$4,Sheet6!$C$4,IF(Tim!HQ61=Sheet6!$C$5,Sheet6!$C$5,IF(Tim!HQ61=Sheet6!$C$6,Sheet6!$C$6,IF(Tim!HQ61=Sheet6!$C$7,Sheet6!$C$7,IF(Tim!HQ61=Sheet6!$C$8,Sheet6!$C$8,"")))))))</f>
        <v/>
      </c>
      <c r="CN59" s="54" t="str">
        <f>IF(Tim!HR61=Sheet6!$C$2,Sheet6!$C$2,IF(Tim!HR61=Sheet6!$C$3,Sheet6!$C$3,IF(Tim!HR61=Sheet6!$C$4,Sheet6!$C$4,IF(Tim!HR61=Sheet6!$C$5,Sheet6!$C$5,IF(Tim!HR61=Sheet6!$C$6,Sheet6!$C$6,IF(Tim!HR61=Sheet6!$C$7,Sheet6!$C$7,IF(Tim!HR61=Sheet6!$C$8,Sheet6!$C$8,"")))))))</f>
        <v/>
      </c>
      <c r="CO59" s="54" t="str">
        <f>IF(Tim!HS61=Sheet6!$C$2,Sheet6!$C$2,IF(Tim!HS61=Sheet6!$C$3,Sheet6!$C$3,IF(Tim!HS61=Sheet6!$C$4,Sheet6!$C$4,IF(Tim!HS61=Sheet6!$C$5,Sheet6!$C$5,IF(Tim!HS61=Sheet6!$C$6,Sheet6!$C$6,IF(Tim!HS61=Sheet6!$C$7,Sheet6!$C$7,IF(Tim!HS61=Sheet6!$C$8,Sheet6!$C$8,"")))))))</f>
        <v/>
      </c>
      <c r="CP59" s="54" t="str">
        <f>IF(Tim!HT61=Sheet6!$C$2,Sheet6!$C$2,IF(Tim!HT61=Sheet6!$C$3,Sheet6!$C$3,IF(Tim!HT61=Sheet6!$C$4,Sheet6!$C$4,IF(Tim!HT61=Sheet6!$C$5,Sheet6!$C$5,IF(Tim!HT61=Sheet6!$C$6,Sheet6!$C$6,IF(Tim!HT61=Sheet6!$C$7,Sheet6!$C$7,IF(Tim!HT61=Sheet6!$C$8,Sheet6!$C$8,"")))))))</f>
        <v/>
      </c>
      <c r="CQ59" s="55" t="str">
        <f>IF(Tim!HU61=Sheet6!$C$2,Sheet6!$C$2,IF(Tim!HU61=Sheet6!$C$3,Sheet6!$C$3,IF(Tim!HU61=Sheet6!$C$4,Sheet6!$C$4,IF(Tim!HU61=Sheet6!$C$5,Sheet6!$C$5,IF(Tim!HU61=Sheet6!$C$6,Sheet6!$C$6,IF(Tim!HU61=Sheet6!$C$7,Sheet6!$C$7,IF(Tim!HU61=Sheet6!$C$8,Sheet6!$C$8,"")))))))</f>
        <v/>
      </c>
      <c r="CR59" s="469"/>
      <c r="CS59" s="366"/>
      <c r="CT59" s="366"/>
      <c r="CU59" s="366"/>
      <c r="CV59" s="366"/>
      <c r="CW59" s="366"/>
      <c r="CX59" s="366"/>
      <c r="CY59" s="366"/>
      <c r="CZ59" s="366"/>
      <c r="DA59" s="366"/>
      <c r="DB59" s="366"/>
      <c r="DC59" s="366"/>
      <c r="DD59" s="366"/>
      <c r="DE59" s="366"/>
      <c r="DF59" s="366"/>
      <c r="DG59" s="428"/>
      <c r="DH59" s="422"/>
      <c r="DI59" s="423"/>
      <c r="DJ59" s="423"/>
      <c r="DK59" s="423"/>
      <c r="DL59" s="423"/>
      <c r="DM59" s="423"/>
      <c r="DN59" s="423"/>
      <c r="DO59" s="423"/>
      <c r="DP59" s="423"/>
      <c r="DQ59" s="423"/>
      <c r="DR59" s="423"/>
      <c r="DS59" s="423"/>
      <c r="DT59" s="423"/>
      <c r="DU59" s="423"/>
      <c r="DV59" s="423"/>
      <c r="DW59" s="424"/>
      <c r="DX59" s="52">
        <v>0.85416666666666496</v>
      </c>
    </row>
    <row r="60" spans="2:128" ht="10.5" customHeight="1">
      <c r="B60" s="51">
        <v>0.25</v>
      </c>
      <c r="C60" s="51">
        <v>0.25</v>
      </c>
      <c r="D60" s="51">
        <v>0.25</v>
      </c>
      <c r="E60" s="52">
        <v>0.86458333333333204</v>
      </c>
      <c r="F60" s="53" t="str">
        <f>IF(Tim!F62=Sheet6!$C$2,Sheet6!$C$2,IF(Tim!F62=Sheet6!$C$3,Sheet6!$C$3,IF(Tim!F62=Sheet6!$C$4,Sheet6!$C$4,IF(Tim!F62=Sheet6!$C$5,Sheet6!$C$5,IF(Tim!F62=Sheet6!$C$6,Sheet6!$C$6,IF(Tim!F62=Sheet6!$C$7,Sheet6!$C$7,IF(Tim!F62=Sheet6!$C$8,Sheet6!$C$8,"")))))))</f>
        <v/>
      </c>
      <c r="G60" s="53" t="str">
        <f>IF(Tim!M62=Sheet6!$C$2,Sheet6!$C$2,IF(Tim!M62=Sheet6!$C$3,Sheet6!$C$3,IF(Tim!M62=Sheet6!$C$4,Sheet6!$C$4,IF(Tim!M62=Sheet6!$C$5,Sheet6!$C$5,IF(Tim!M62=Sheet6!$C$6,Sheet6!$C$6,IF(Tim!M62=Sheet6!$C$7,Sheet6!$C$7,IF(Tim!M62=Sheet6!$C$8,Sheet6!$C$8,"")))))))</f>
        <v/>
      </c>
      <c r="H60" s="53" t="str">
        <f>IF(Tim!H62=Sheet6!$C$2,Sheet6!$C$2,IF(Tim!H62=Sheet6!$C$3,Sheet6!$C$3,IF(Tim!H62=Sheet6!$C$4,Sheet6!$C$4,IF(Tim!H62=Sheet6!$C$5,Sheet6!$C$5,IF(Tim!H62=Sheet6!$C$6,Sheet6!$C$6,IF(Tim!H62=Sheet6!$C$7,Sheet6!$C$7,IF(Tim!H62=Sheet6!$C$8,Sheet6!$C$8,"")))))))</f>
        <v/>
      </c>
      <c r="I60" s="53" t="str">
        <f>IF(Tim!L62=Sheet6!$C$2,Sheet6!$C$2,IF(Tim!L62=Sheet6!$C$3,Sheet6!$C$3,IF(Tim!L62=Sheet6!$C$4,Sheet6!$C$4,IF(Tim!L62=Sheet6!$C$5,Sheet6!$C$5,IF(Tim!L62=Sheet6!$C$6,Sheet6!$C$6,IF(Tim!L62=Sheet6!$C$7,Sheet6!$C$7,IF(Tim!L62=Sheet6!$C$8,Sheet6!$C$8,"")))))))</f>
        <v/>
      </c>
      <c r="J60" s="53" t="str">
        <f>IF(Tim!T62=Sheet6!$C$2,Sheet6!$C$2,IF(Tim!T62=Sheet6!$C$3,Sheet6!$C$3,IF(Tim!T62=Sheet6!$C$4,Sheet6!$C$4,IF(Tim!T62=Sheet6!$C$5,Sheet6!$C$5,IF(Tim!T62=Sheet6!$C$6,Sheet6!$C$6,IF(Tim!T62=Sheet6!$C$7,Sheet6!$C$7,IF(Tim!T62=Sheet6!$C$8,Sheet6!$C$8,"")))))))</f>
        <v/>
      </c>
      <c r="K60" s="53" t="str">
        <f>IF(Tim!AB62=Sheet6!$C$2,Sheet6!$C$2,IF(Tim!AB62=Sheet6!$C$3,Sheet6!$C$3,IF(Tim!AB62=Sheet6!$C$4,Sheet6!$C$4,IF(Tim!AB62=Sheet6!$C$5,Sheet6!$C$5,IF(Tim!AB62=Sheet6!$C$6,Sheet6!$C$6,IF(Tim!AB62=Sheet6!$C$7,Sheet6!$C$7,IF(Tim!AB62=Sheet6!$C$8,Sheet6!$C$8,"")))))))</f>
        <v/>
      </c>
      <c r="L60" s="53" t="str">
        <f>IF(Tim!AC62=Sheet6!$C$2,Sheet6!$C$2,IF(Tim!AC62=Sheet6!$C$3,Sheet6!$C$3,IF(Tim!AC62=Sheet6!$C$4,Sheet6!$C$4,IF(Tim!AC62=Sheet6!$C$5,Sheet6!$C$5,IF(Tim!AC62=Sheet6!$C$6,Sheet6!$C$6,IF(Tim!AC62=Sheet6!$C$7,Sheet6!$C$7,IF(Tim!AC62=Sheet6!$C$8,Sheet6!$C$8,"")))))))</f>
        <v/>
      </c>
      <c r="M60" s="53" t="str">
        <f>IF(Tim!AJ62=Sheet6!$C$2,Sheet6!$C$2,IF(Tim!AJ62=Sheet6!$C$3,Sheet6!$C$3,IF(Tim!AJ62=Sheet6!$C$4,Sheet6!$C$4,IF(Tim!AJ62=Sheet6!$C$5,Sheet6!$C$5,IF(Tim!AJ62=Sheet6!$C$6,Sheet6!$C$6,IF(Tim!AJ62=Sheet6!$C$7,Sheet6!$C$7,IF(Tim!AJ62=Sheet6!$C$8,Sheet6!$C$8,"")))))))</f>
        <v/>
      </c>
      <c r="N60" s="53" t="str">
        <f>IF(Tim!AK62=Sheet6!$C$2,Sheet6!$C$2,IF(Tim!AK62=Sheet6!$C$3,Sheet6!$C$3,IF(Tim!AK62=Sheet6!$C$4,Sheet6!$C$4,IF(Tim!AK62=Sheet6!$C$5,Sheet6!$C$5,IF(Tim!AK62=Sheet6!$C$6,Sheet6!$C$6,IF(Tim!AK62=Sheet6!$C$7,Sheet6!$C$7,IF(Tim!AK62=Sheet6!$C$8,Sheet6!$C$8,"")))))))</f>
        <v/>
      </c>
      <c r="O60" s="53" t="str">
        <f>IF(Tim!AL62=Sheet6!$C$2,Sheet6!$C$2,IF(Tim!AL62=Sheet6!$C$3,Sheet6!$C$3,IF(Tim!AL62=Sheet6!$C$4,Sheet6!$C$4,IF(Tim!AL62=Sheet6!$C$5,Sheet6!$C$5,IF(Tim!AL62=Sheet6!$C$6,Sheet6!$C$6,IF(Tim!AL62=Sheet6!$C$7,Sheet6!$C$7,IF(Tim!AL62=Sheet6!$C$8,Sheet6!$C$8,"")))))))</f>
        <v/>
      </c>
      <c r="P60" s="53" t="str">
        <f>IF(Tim!AN62=Sheet6!$C$2,Sheet6!$C$2,IF(Tim!AN62=Sheet6!$C$3,Sheet6!$C$3,IF(Tim!AN62=Sheet6!$C$4,Sheet6!$C$4,IF(Tim!AN62=Sheet6!$C$5,Sheet6!$C$5,IF(Tim!AN62=Sheet6!$C$6,Sheet6!$C$6,IF(Tim!AN62=Sheet6!$C$7,Sheet6!$C$7,IF(Tim!AN62=Sheet6!$C$8,Sheet6!$C$8,"")))))))</f>
        <v/>
      </c>
      <c r="Q60" s="176" t="str">
        <f>IF(Tim!AO62=Sheet6!$C$2,Sheet6!$C$2,IF(Tim!AO62=Sheet6!$C$3,Sheet6!$C$3,IF(Tim!AO62=Sheet6!$C$4,Sheet6!$C$4,IF(Tim!AO62=Sheet6!$C$5,Sheet6!$C$5,IF(Tim!AO62=Sheet6!$C$6,Sheet6!$C$6,IF(Tim!AO62=Sheet6!$C$7,Sheet6!$C$7,IF(Tim!AO62=Sheet6!$C$8,Sheet6!$C$8,"")))))))</f>
        <v/>
      </c>
      <c r="R60" s="53" t="str">
        <f>IF(Tim!AP62=Sheet6!$C$2,Sheet6!$C$2,IF(Tim!AP62=Sheet6!$C$3,Sheet6!$C$3,IF(Tim!AP62=Sheet6!$C$4,Sheet6!$C$4,IF(Tim!AP62=Sheet6!$C$5,Sheet6!$C$5,IF(Tim!AP62=Sheet6!$C$6,Sheet6!$C$6,IF(Tim!AP62=Sheet6!$C$7,Sheet6!$C$7,IF(Tim!AP62=Sheet6!$C$8,Sheet6!$C$8,"")))))))</f>
        <v/>
      </c>
      <c r="S60" s="53" t="str">
        <f>IF(Tim!AT62=Sheet6!$C$2,Sheet6!$C$2,IF(Tim!AT62=Sheet6!$C$3,Sheet6!$C$3,IF(Tim!AT62=Sheet6!$C$4,Sheet6!$C$4,IF(Tim!AT62=Sheet6!$C$5,Sheet6!$C$5,IF(Tim!AT62=Sheet6!$C$6,Sheet6!$C$6,IF(Tim!AT62=Sheet6!$C$7,Sheet6!$C$7,IF(Tim!AT62=Sheet6!$C$8,Sheet6!$C$8,"")))))))</f>
        <v/>
      </c>
      <c r="T60" s="54" t="str">
        <f>IF(Tim!AU62=Sheet6!$C$2,Sheet6!$C$2,IF(Tim!AU62=Sheet6!$C$3,Sheet6!$C$3,IF(Tim!AU62=Sheet6!$C$4,Sheet6!$C$4,IF(Tim!AU62=Sheet6!$C$5,Sheet6!$C$5,IF(Tim!AU62=Sheet6!$C$6,Sheet6!$C$6,IF(Tim!AU62=Sheet6!$C$7,Sheet6!$C$7,IF(Tim!AU62=Sheet6!$C$8,Sheet6!$C$8,"")))))))</f>
        <v/>
      </c>
      <c r="U60" s="54" t="str">
        <f>IF(Tim!AV62=Sheet6!$C$2,Sheet6!$C$2,IF(Tim!AV62=Sheet6!$C$3,Sheet6!$C$3,IF(Tim!AV62=Sheet6!$C$4,Sheet6!$C$4,IF(Tim!AV62=Sheet6!$C$5,Sheet6!$C$5,IF(Tim!AV62=Sheet6!$C$6,Sheet6!$C$6,IF(Tim!AV62=Sheet6!$C$7,Sheet6!$C$7,IF(Tim!AV62=Sheet6!$C$8,Sheet6!$C$8,"")))))))</f>
        <v/>
      </c>
      <c r="V60" s="54" t="str">
        <f>IF(Tim!AW62=Sheet6!$C$2,Sheet6!$C$2,IF(Tim!AW62=Sheet6!$C$3,Sheet6!$C$3,IF(Tim!AW62=Sheet6!$C$4,Sheet6!$C$4,IF(Tim!AW62=Sheet6!$C$5,Sheet6!$C$5,IF(Tim!AW62=Sheet6!$C$6,Sheet6!$C$6,IF(Tim!AW62=Sheet6!$C$7,Sheet6!$C$7,IF(Tim!AW62=Sheet6!$C$8,Sheet6!$C$8,"")))))))</f>
        <v/>
      </c>
      <c r="W60" s="55" t="str">
        <f>IF(Tim!AX62=Sheet6!$C$2,Sheet6!$C$2,IF(Tim!AX62=Sheet6!$C$3,Sheet6!$C$3,IF(Tim!AX62=Sheet6!$C$4,Sheet6!$C$4,IF(Tim!AX62=Sheet6!$C$5,Sheet6!$C$5,IF(Tim!AX62=Sheet6!$C$6,Sheet6!$C$6,IF(Tim!AX62=Sheet6!$C$7,Sheet6!$C$7,IF(Tim!AX62=Sheet6!$C$8,Sheet6!$C$8,"")))))))</f>
        <v/>
      </c>
      <c r="X60" s="53" t="str">
        <f>IF(Tim!AY62=Sheet6!$C$2,Sheet6!$C$2,IF(Tim!AY62=Sheet6!$C$3,Sheet6!$C$3,IF(Tim!AY62=Sheet6!$C$4,Sheet6!$C$4,IF(Tim!AY62=Sheet6!$C$5,Sheet6!$C$5,IF(Tim!AY62=Sheet6!$C$6,Sheet6!$C$6,IF(Tim!AY62=Sheet6!$C$7,Sheet6!$C$7,IF(Tim!AY62=Sheet6!$C$8,Sheet6!$C$8,"")))))))</f>
        <v/>
      </c>
      <c r="Y60" s="53" t="str">
        <f>IF(Tim!AZ62=Sheet6!$C$2,Sheet6!$C$2,IF(Tim!AZ62=Sheet6!$C$3,Sheet6!$C$3,IF(Tim!AZ62=Sheet6!$C$4,Sheet6!$C$4,IF(Tim!AZ62=Sheet6!$C$5,Sheet6!$C$5,IF(Tim!AZ62=Sheet6!$C$6,Sheet6!$C$6,IF(Tim!AZ62=Sheet6!$C$7,Sheet6!$C$7,IF(Tim!AZ62=Sheet6!$C$8,Sheet6!$C$8,"")))))))</f>
        <v/>
      </c>
      <c r="Z60" s="57" t="str">
        <f>IF(Tim!BD62=Sheet6!$C$2,Sheet6!$C$2,IF(Tim!BD62=Sheet6!$C$3,Sheet6!$C$3,IF(Tim!BD62=Sheet6!$C$4,Sheet6!$C$4,IF(Tim!BD62=Sheet6!$C$5,Sheet6!$C$5,IF(Tim!BD62=Sheet6!$C$6,Sheet6!$C$6,IF(Tim!BD62=Sheet6!$C$7,Sheet6!$C$7,IF(Tim!BD62=Sheet6!$C$8,Sheet6!$C$8,"")))))))</f>
        <v/>
      </c>
      <c r="AA60" s="57" t="str">
        <f>IF(Tim!BE62=Sheet6!$C$2,Sheet6!$C$2,IF(Tim!BE62=Sheet6!$C$3,Sheet6!$C$3,IF(Tim!BE62=Sheet6!$C$4,Sheet6!$C$4,IF(Tim!BE62=Sheet6!$C$5,Sheet6!$C$5,IF(Tim!BE62=Sheet6!$C$6,Sheet6!$C$6,IF(Tim!BE62=Sheet6!$C$7,Sheet6!$C$7,IF(Tim!BE62=Sheet6!$C$8,Sheet6!$C$8,"")))))))</f>
        <v/>
      </c>
      <c r="AB60" s="57" t="str">
        <f>IF(Tim!BL62=Sheet6!$C$2,Sheet6!$C$2,IF(Tim!BL62=Sheet6!$C$3,Sheet6!$C$3,IF(Tim!BL62=Sheet6!$C$4,Sheet6!$C$4,IF(Tim!BL62=Sheet6!$C$5,Sheet6!$C$5,IF(Tim!BL62=Sheet6!$C$6,Sheet6!$C$6,IF(Tim!BL62=Sheet6!$C$7,Sheet6!$C$7,IF(Tim!BL62=Sheet6!$C$8,Sheet6!$C$8,"")))))))</f>
        <v/>
      </c>
      <c r="AC60" s="53" t="str">
        <f>IF(Tim!BT62=Sheet6!$C$2,Sheet6!$C$2,IF(Tim!BT62=Sheet6!$C$3,Sheet6!$C$3,IF(Tim!BT62=Sheet6!$C$4,Sheet6!$C$4,IF(Tim!BT62=Sheet6!$C$5,Sheet6!$C$5,IF(Tim!BT62=Sheet6!$C$6,Sheet6!$C$6,IF(Tim!BT62=Sheet6!$C$7,Sheet6!$C$7,IF(Tim!BT62=Sheet6!$C$8,Sheet6!$C$8,"")))))))</f>
        <v/>
      </c>
      <c r="AD60" s="181" t="str">
        <f>IF(Tim!BU62=Sheet6!$C$2,Sheet6!$C$2,IF(Tim!BU62=Sheet6!$C$3,Sheet6!$C$3,IF(Tim!BU62=Sheet6!$C$4,Sheet6!$C$4,IF(Tim!BU62=Sheet6!$C$5,Sheet6!$C$5,IF(Tim!BU62=Sheet6!$C$6,Sheet6!$C$6,IF(Tim!BU62=Sheet6!$C$7,Sheet6!$C$7,IF(Tim!BU62=Sheet6!$C$8,Sheet6!$C$8,"")))))))</f>
        <v/>
      </c>
      <c r="AE60" s="181" t="str">
        <f>IF(Tim!CB62=Sheet6!$C$2,Sheet6!$C$2,IF(Tim!CB62=Sheet6!$C$3,Sheet6!$C$3,IF(Tim!CB62=Sheet6!$C$4,Sheet6!$C$4,IF(Tim!CB62=Sheet6!$C$5,Sheet6!$C$5,IF(Tim!CB62=Sheet6!$C$6,Sheet6!$C$6,IF(Tim!CB62=Sheet6!$C$7,Sheet6!$C$7,IF(Tim!CB62=Sheet6!$C$8,Sheet6!$C$8,"")))))))</f>
        <v/>
      </c>
      <c r="AF60" s="181" t="str">
        <f>IF(Tim!CD62=Sheet6!$C$2,Sheet6!$C$2,IF(Tim!CD62=Sheet6!$C$3,Sheet6!$C$3,IF(Tim!CD62=Sheet6!$C$4,Sheet6!$C$4,IF(Tim!CD62=Sheet6!$C$5,Sheet6!$C$5,IF(Tim!CD62=Sheet6!$C$6,Sheet6!$C$6,IF(Tim!CD62=Sheet6!$C$7,Sheet6!$C$7,IF(Tim!CD62=Sheet6!$C$8,Sheet6!$C$8,"")))))))</f>
        <v/>
      </c>
      <c r="AG60" s="53" t="str">
        <f>IF(Tim!CE62=Sheet6!$C$2,Sheet6!$C$2,IF(Tim!CE62=Sheet6!$C$3,Sheet6!$C$3,IF(Tim!CE62=Sheet6!$C$4,Sheet6!$C$4,IF(Tim!CE62=Sheet6!$C$5,Sheet6!$C$5,IF(Tim!CE62=Sheet6!$C$6,Sheet6!$C$6,IF(Tim!CE62=Sheet6!$C$7,Sheet6!$C$7,IF(Tim!CE62=Sheet6!$C$8,Sheet6!$C$8,"")))))))</f>
        <v/>
      </c>
      <c r="AH60" s="176" t="str">
        <f>IF(Tim!CF62=Sheet6!$C$2,Sheet6!$C$2,IF(Tim!CF62=Sheet6!$C$3,Sheet6!$C$3,IF(Tim!CF62=Sheet6!$C$4,Sheet6!$C$4,IF(Tim!CF62=Sheet6!$C$5,Sheet6!$C$5,IF(Tim!CF62=Sheet6!$C$6,Sheet6!$C$6,IF(Tim!CF62=Sheet6!$C$7,Sheet6!$C$7,IF(Tim!CF62=Sheet6!$C$8,Sheet6!$C$8,"")))))))</f>
        <v/>
      </c>
      <c r="AI60" s="176" t="str">
        <f>IF(Tim!CG62=Sheet6!$C$2,Sheet6!$C$2,IF(Tim!CG62=Sheet6!$C$3,Sheet6!$C$3,IF(Tim!CG62=Sheet6!$C$4,Sheet6!$C$4,IF(Tim!CG62=Sheet6!$C$5,Sheet6!$C$5,IF(Tim!CG62=Sheet6!$C$6,Sheet6!$C$6,IF(Tim!CG62=Sheet6!$C$7,Sheet6!$C$7,IF(Tim!CG62=Sheet6!$C$8,Sheet6!$C$8,"")))))))</f>
        <v/>
      </c>
      <c r="AJ60" s="53" t="str">
        <f>IF(Tim!CH62=Sheet6!$C$2,Sheet6!$C$2,IF(Tim!CH62=Sheet6!$C$3,Sheet6!$C$3,IF(Tim!CH62=Sheet6!$C$4,Sheet6!$C$4,IF(Tim!CH62=Sheet6!$C$5,Sheet6!$C$5,IF(Tim!CH62=Sheet6!$C$6,Sheet6!$C$6,IF(Tim!CH62=Sheet6!$C$7,Sheet6!$C$7,IF(Tim!CH62=Sheet6!$C$8,Sheet6!$C$8,"")))))))</f>
        <v/>
      </c>
      <c r="AK60" s="53" t="str">
        <f>IF(Tim!CL62=Sheet6!$C$2,Sheet6!$C$2,IF(Tim!CL62=Sheet6!$C$3,Sheet6!$C$3,IF(Tim!CL62=Sheet6!$C$4,Sheet6!$C$4,IF(Tim!CL62=Sheet6!$C$5,Sheet6!$C$5,IF(Tim!CL62=Sheet6!$C$6,Sheet6!$C$6,IF(Tim!CL62=Sheet6!$C$7,Sheet6!$C$7,IF(Tim!CL62=Sheet6!$C$8,Sheet6!$C$8,"")))))))</f>
        <v/>
      </c>
      <c r="AL60" s="54" t="str">
        <f>IF(Tim!CM62=Sheet6!$C$2,Sheet6!$C$2,IF(Tim!CM62=Sheet6!$C$3,Sheet6!$C$3,IF(Tim!CM62=Sheet6!$C$4,Sheet6!$C$4,IF(Tim!CM62=Sheet6!$C$5,Sheet6!$C$5,IF(Tim!CM62=Sheet6!$C$6,Sheet6!$C$6,IF(Tim!CM62=Sheet6!$C$7,Sheet6!$C$7,IF(Tim!CM62=Sheet6!$C$8,Sheet6!$C$8,"")))))))</f>
        <v/>
      </c>
      <c r="AM60" s="53" t="str">
        <f>IF(Tim!CN62=Sheet6!$C$2,Sheet6!$C$2,IF(Tim!CN62=Sheet6!$C$3,Sheet6!$C$3,IF(Tim!CN62=Sheet6!$C$4,Sheet6!$C$4,IF(Tim!CN62=Sheet6!$C$5,Sheet6!$C$5,IF(Tim!CN62=Sheet6!$C$6,Sheet6!$C$6,IF(Tim!CN62=Sheet6!$C$7,Sheet6!$C$7,IF(Tim!CN62=Sheet6!$C$8,Sheet6!$C$8,"")))))))</f>
        <v/>
      </c>
      <c r="AN60" s="54" t="str">
        <f>IF(Tim!CO62=Sheet6!$C$2,Sheet6!$C$2,IF(Tim!CO62=Sheet6!$C$3,Sheet6!$C$3,IF(Tim!CO62=Sheet6!$C$4,Sheet6!$C$4,IF(Tim!CO62=Sheet6!$C$5,Sheet6!$C$5,IF(Tim!CO62=Sheet6!$C$6,Sheet6!$C$6,IF(Tim!CO62=Sheet6!$C$7,Sheet6!$C$7,IF(Tim!CO62=Sheet6!$C$8,Sheet6!$C$8,"")))))))</f>
        <v/>
      </c>
      <c r="AO60" s="177" t="str">
        <f>IF(Tim!CP62=Sheet6!$C$2,Sheet6!$C$2,IF(Tim!CP62=Sheet6!$C$3,Sheet6!$C$3,IF(Tim!CP62=Sheet6!$C$4,Sheet6!$C$4,IF(Tim!CP62=Sheet6!$C$5,Sheet6!$C$5,IF(Tim!CP62=Sheet6!$C$6,Sheet6!$C$6,IF(Tim!CP62=Sheet6!$C$7,Sheet6!$C$7,IF(Tim!CP62=Sheet6!$C$8,Sheet6!$C$8,"")))))))</f>
        <v/>
      </c>
      <c r="AP60" s="53" t="str">
        <f>IF(Tim!CQ62=Sheet6!$C$2,Sheet6!$C$2,IF(Tim!CQ62=Sheet6!$C$3,Sheet6!$C$3,IF(Tim!CQ62=Sheet6!$C$4,Sheet6!$C$4,IF(Tim!CQ62=Sheet6!$C$5,Sheet6!$C$5,IF(Tim!CQ62=Sheet6!$C$6,Sheet6!$C$6,IF(Tim!CQ62=Sheet6!$C$7,Sheet6!$C$7,IF(Tim!CQ62=Sheet6!$C$8,Sheet6!$C$8,"")))))))</f>
        <v/>
      </c>
      <c r="AQ60" s="57" t="str">
        <f>IF(Tim!CR62=Sheet6!$C$2,Sheet6!$C$2,IF(Tim!CR62=Sheet6!$C$3,Sheet6!$C$3,IF(Tim!CR62=Sheet6!$C$4,Sheet6!$C$4,IF(Tim!CR62=Sheet6!$C$5,Sheet6!$C$5,IF(Tim!CR62=Sheet6!$C$6,Sheet6!$C$6,IF(Tim!CR62=Sheet6!$C$7,Sheet6!$C$7,IF(Tim!CR62=Sheet6!$C$8,Sheet6!$C$8,"")))))))</f>
        <v/>
      </c>
      <c r="AR60" s="57" t="str">
        <f>IF(Tim!CV62=Sheet6!$C$2,Sheet6!$C$2,IF(Tim!CV62=Sheet6!$C$3,Sheet6!$C$3,IF(Tim!CV62=Sheet6!$C$4,Sheet6!$C$4,IF(Tim!CV62=Sheet6!$C$5,Sheet6!$C$5,IF(Tim!CV62=Sheet6!$C$6,Sheet6!$C$6,IF(Tim!CV62=Sheet6!$C$7,Sheet6!$C$7,IF(Tim!CV62=Sheet6!$C$8,Sheet6!$C$8,"")))))))</f>
        <v/>
      </c>
      <c r="AS60" s="57" t="str">
        <f>IF(Tim!CW62=Sheet6!$C$2,Sheet6!$C$2,IF(Tim!CW62=Sheet6!$C$3,Sheet6!$C$3,IF(Tim!CW62=Sheet6!$C$4,Sheet6!$C$4,IF(Tim!CW62=Sheet6!$C$5,Sheet6!$C$5,IF(Tim!CW62=Sheet6!$C$6,Sheet6!$C$6,IF(Tim!CW62=Sheet6!$C$7,Sheet6!$C$7,IF(Tim!CW62=Sheet6!$C$8,Sheet6!$C$8,"")))))))</f>
        <v/>
      </c>
      <c r="AT60" s="57" t="str">
        <f>IF(Tim!DA62=Sheet6!$C$2,Sheet6!$C$2,IF(Tim!DA62=Sheet6!$C$3,Sheet6!$C$3,IF(Tim!DA62=Sheet6!$C$4,Sheet6!$C$4,IF(Tim!DA62=Sheet6!$C$5,Sheet6!$C$5,IF(Tim!DA62=Sheet6!$C$6,Sheet6!$C$6,IF(Tim!DA62=Sheet6!$C$7,Sheet6!$C$7,IF(Tim!DA62=Sheet6!$C$8,Sheet6!$C$8,"")))))))</f>
        <v/>
      </c>
      <c r="AU60" s="53" t="str">
        <f>IF(Tim!DO62=Sheet6!$C$2,Sheet6!$C$2,IF(Tim!DO62=Sheet6!$C$3,Sheet6!$C$3,IF(Tim!DO62=Sheet6!$C$4,Sheet6!$C$4,IF(Tim!DO62=Sheet6!$C$5,Sheet6!$C$5,IF(Tim!DO62=Sheet6!$C$6,Sheet6!$C$6,IF(Tim!DO62=Sheet6!$C$7,Sheet6!$C$7,IF(Tim!DO62=Sheet6!$C$8,Sheet6!$C$8,"")))))))</f>
        <v/>
      </c>
      <c r="AV60" s="53" t="str">
        <f>IF(Tim!DP62=Sheet6!$C$2,Sheet6!$C$2,IF(Tim!DP62=Sheet6!$C$3,Sheet6!$C$3,IF(Tim!DP62=Sheet6!$C$4,Sheet6!$C$4,IF(Tim!DP62=Sheet6!$C$5,Sheet6!$C$5,IF(Tim!DP62=Sheet6!$C$6,Sheet6!$C$6,IF(Tim!DP62=Sheet6!$C$7,Sheet6!$C$7,IF(Tim!DP62=Sheet6!$C$8,Sheet6!$C$8,"")))))))</f>
        <v/>
      </c>
      <c r="AW60" s="53" t="str">
        <f>IF(Tim!DX62=Sheet6!$C$2,Sheet6!$C$2,IF(Tim!DX62=Sheet6!$C$3,Sheet6!$C$3,IF(Tim!DX62=Sheet6!$C$4,Sheet6!$C$4,IF(Tim!DX62=Sheet6!$C$5,Sheet6!$C$5,IF(Tim!DX62=Sheet6!$C$6,Sheet6!$C$6,IF(Tim!DX62=Sheet6!$C$7,Sheet6!$C$7,IF(Tim!DX62=Sheet6!$C$8,Sheet6!$C$8,"")))))))</f>
        <v/>
      </c>
      <c r="AX60" s="53" t="str">
        <f>IF(Tim!DY62=Sheet6!$C$2,Sheet6!$C$2,IF(Tim!DY62=Sheet6!$C$3,Sheet6!$C$3,IF(Tim!DY62=Sheet6!$C$4,Sheet6!$C$4,IF(Tim!DY62=Sheet6!$C$5,Sheet6!$C$5,IF(Tim!DY62=Sheet6!$C$6,Sheet6!$C$6,IF(Tim!DY62=Sheet6!$C$7,Sheet6!$C$7,IF(Tim!DY62=Sheet6!$C$8,Sheet6!$C$8,"")))))))</f>
        <v/>
      </c>
      <c r="AY60" s="53" t="str">
        <f>IF(Tim!DZ62=Sheet6!$C$2,Sheet6!$C$2,IF(Tim!DZ62=Sheet6!$C$3,Sheet6!$C$3,IF(Tim!DZ62=Sheet6!$C$4,Sheet6!$C$4,IF(Tim!DZ62=Sheet6!$C$5,Sheet6!$C$5,IF(Tim!DZ62=Sheet6!$C$6,Sheet6!$C$6,IF(Tim!DZ62=Sheet6!$C$7,Sheet6!$C$7,IF(Tim!DZ62=Sheet6!$C$8,Sheet6!$C$8,"")))))))</f>
        <v/>
      </c>
      <c r="AZ60" s="176" t="str">
        <f>IF(Tim!EA62=Sheet6!$C$2,Sheet6!$C$2,IF(Tim!EA62=Sheet6!$C$3,Sheet6!$C$3,IF(Tim!EA62=Sheet6!$C$4,Sheet6!$C$4,IF(Tim!EA62=Sheet6!$C$5,Sheet6!$C$5,IF(Tim!EA62=Sheet6!$C$6,Sheet6!$C$6,IF(Tim!EA62=Sheet6!$C$7,Sheet6!$C$7,IF(Tim!EA62=Sheet6!$C$8,Sheet6!$C$8,"")))))))</f>
        <v/>
      </c>
      <c r="BA60" s="176" t="str">
        <f>IF(Tim!EB62=Sheet6!$C$2,Sheet6!$C$2,IF(Tim!EB62=Sheet6!$C$3,Sheet6!$C$3,IF(Tim!EB62=Sheet6!$C$4,Sheet6!$C$4,IF(Tim!EB62=Sheet6!$C$5,Sheet6!$C$5,IF(Tim!EB62=Sheet6!$C$6,Sheet6!$C$6,IF(Tim!EB62=Sheet6!$C$7,Sheet6!$C$7,IF(Tim!EB62=Sheet6!$C$8,Sheet6!$C$8,"")))))))</f>
        <v/>
      </c>
      <c r="BB60" s="53" t="str">
        <f>IF(Tim!EC62=Sheet6!$C$2,Sheet6!$C$2,IF(Tim!EC62=Sheet6!$C$3,Sheet6!$C$3,IF(Tim!EC62=Sheet6!$C$4,Sheet6!$C$4,IF(Tim!EC62=Sheet6!$C$5,Sheet6!$C$5,IF(Tim!EC62=Sheet6!$C$6,Sheet6!$C$6,IF(Tim!EC62=Sheet6!$C$7,Sheet6!$C$7,IF(Tim!EC62=Sheet6!$C$8,Sheet6!$C$8,"")))))))</f>
        <v/>
      </c>
      <c r="BC60" s="53" t="str">
        <f>IF(Tim!EG62=Sheet6!$C$2,Sheet6!$C$2,IF(Tim!EG62=Sheet6!$C$3,Sheet6!$C$3,IF(Tim!EG62=Sheet6!$C$4,Sheet6!$C$4,IF(Tim!EG62=Sheet6!$C$5,Sheet6!$C$5,IF(Tim!EG62=Sheet6!$C$6,Sheet6!$C$6,IF(Tim!EG62=Sheet6!$C$7,Sheet6!$C$7,IF(Tim!EG62=Sheet6!$C$8,Sheet6!$C$8,"")))))))</f>
        <v/>
      </c>
      <c r="BD60" s="53" t="str">
        <f>IF(Tim!EH62=Sheet6!$C$2,Sheet6!$C$2,IF(Tim!EH62=Sheet6!$C$3,Sheet6!$C$3,IF(Tim!EH62=Sheet6!$C$4,Sheet6!$C$4,IF(Tim!EH62=Sheet6!$C$5,Sheet6!$C$5,IF(Tim!EH62=Sheet6!$C$6,Sheet6!$C$6,IF(Tim!EH62=Sheet6!$C$7,Sheet6!$C$7,IF(Tim!EH62=Sheet6!$C$8,Sheet6!$C$8,"")))))))</f>
        <v/>
      </c>
      <c r="BE60" s="54" t="str">
        <f>IF(Tim!EI62=Sheet6!$C$2,Sheet6!$C$2,IF(Tim!EI62=Sheet6!$C$3,Sheet6!$C$3,IF(Tim!EI62=Sheet6!$C$4,Sheet6!$C$4,IF(Tim!EI62=Sheet6!$C$5,Sheet6!$C$5,IF(Tim!EI62=Sheet6!$C$6,Sheet6!$C$6,IF(Tim!EI62=Sheet6!$C$7,Sheet6!$C$7,IF(Tim!EI62=Sheet6!$C$8,Sheet6!$C$8,"")))))))</f>
        <v/>
      </c>
      <c r="BF60" s="54" t="str">
        <f>IF(Tim!EJ62=Sheet6!$C$2,Sheet6!$C$2,IF(Tim!EJ62=Sheet6!$C$3,Sheet6!$C$3,IF(Tim!EJ62=Sheet6!$C$4,Sheet6!$C$4,IF(Tim!EJ62=Sheet6!$C$5,Sheet6!$C$5,IF(Tim!EJ62=Sheet6!$C$6,Sheet6!$C$6,IF(Tim!EJ62=Sheet6!$C$7,Sheet6!$C$7,IF(Tim!EJ62=Sheet6!$C$8,Sheet6!$C$8,"")))))))</f>
        <v/>
      </c>
      <c r="BG60" s="55" t="str">
        <f>IF(Tim!EK62=Sheet6!$C$2,Sheet6!$C$2,IF(Tim!EK62=Sheet6!$C$3,Sheet6!$C$3,IF(Tim!EK62=Sheet6!$C$4,Sheet6!$C$4,IF(Tim!EK62=Sheet6!$C$5,Sheet6!$C$5,IF(Tim!EK62=Sheet6!$C$6,Sheet6!$C$6,IF(Tim!EK62=Sheet6!$C$7,Sheet6!$C$7,IF(Tim!EK62=Sheet6!$C$8,Sheet6!$C$8,"")))))))</f>
        <v/>
      </c>
      <c r="BH60" s="53" t="str">
        <f>IF(Tim!EL62=Sheet6!$C$2,Sheet6!$C$2,IF(Tim!EL62=Sheet6!$C$3,Sheet6!$C$3,IF(Tim!EL62=Sheet6!$C$4,Sheet6!$C$4,IF(Tim!EL62=Sheet6!$C$5,Sheet6!$C$5,IF(Tim!EL62=Sheet6!$C$6,Sheet6!$C$6,IF(Tim!EL62=Sheet6!$C$7,Sheet6!$C$7,IF(Tim!EL62=Sheet6!$C$8,Sheet6!$C$8,"")))))))</f>
        <v/>
      </c>
      <c r="BI60" s="53" t="str">
        <f>IF(Tim!EM62=Sheet6!$C$2,Sheet6!$C$2,IF(Tim!EM62=Sheet6!$C$3,Sheet6!$C$3,IF(Tim!EM62=Sheet6!$C$4,Sheet6!$C$4,IF(Tim!EM62=Sheet6!$C$5,Sheet6!$C$5,IF(Tim!EM62=Sheet6!$C$6,Sheet6!$C$6,IF(Tim!EM62=Sheet6!$C$7,Sheet6!$C$7,IF(Tim!EM62=Sheet6!$C$8,Sheet6!$C$8,"")))))))</f>
        <v/>
      </c>
      <c r="BJ60" s="57" t="str">
        <f>IF(Tim!EQ62=Sheet6!$C$2,Sheet6!$C$2,IF(Tim!EQ62=Sheet6!$C$3,Sheet6!$C$3,IF(Tim!EQ62=Sheet6!$C$4,Sheet6!$C$4,IF(Tim!EQ62=Sheet6!$C$5,Sheet6!$C$5,IF(Tim!EQ62=Sheet6!$C$6,Sheet6!$C$6,IF(Tim!EQ62=Sheet6!$C$7,Sheet6!$C$7,IF(Tim!EQ62=Sheet6!$C$8,Sheet6!$C$8,"")))))))</f>
        <v/>
      </c>
      <c r="BK60" s="57" t="str">
        <f>IF(Tim!ER62=Sheet6!$C$2,Sheet6!$C$2,IF(Tim!ER62=Sheet6!$C$3,Sheet6!$C$3,IF(Tim!ER62=Sheet6!$C$4,Sheet6!$C$4,IF(Tim!ER62=Sheet6!$C$5,Sheet6!$C$5,IF(Tim!ER62=Sheet6!$C$6,Sheet6!$C$6,IF(Tim!ER62=Sheet6!$C$7,Sheet6!$C$7,IF(Tim!ER62=Sheet6!$C$8,Sheet6!$C$8,"")))))))</f>
        <v/>
      </c>
      <c r="BL60" s="57" t="str">
        <f>IF(Tim!EZ62=Sheet6!$C$2,Sheet6!$C$2,IF(Tim!EZ62=Sheet6!$C$3,Sheet6!$C$3,IF(Tim!EZ62=Sheet6!$C$4,Sheet6!$C$4,IF(Tim!EZ62=Sheet6!$C$5,Sheet6!$C$5,IF(Tim!EZ62=Sheet6!$C$6,Sheet6!$C$6,IF(Tim!EZ62=Sheet6!$C$7,Sheet6!$C$7,IF(Tim!EZ62=Sheet6!$C$8,Sheet6!$C$8,"")))))))</f>
        <v/>
      </c>
      <c r="BM60" s="53" t="str">
        <f>IF(Tim!FG62=Sheet6!$C$2,Sheet6!$C$2,IF(Tim!FG62=Sheet6!$C$3,Sheet6!$C$3,IF(Tim!FG62=Sheet6!$C$4,Sheet6!$C$4,IF(Tim!FG62=Sheet6!$C$5,Sheet6!$C$5,IF(Tim!FG62=Sheet6!$C$6,Sheet6!$C$6,IF(Tim!FG62=Sheet6!$C$7,Sheet6!$C$7,IF(Tim!FG62=Sheet6!$C$8,Sheet6!$C$8,"")))))))</f>
        <v/>
      </c>
      <c r="BN60" s="181" t="str">
        <f>IF(Tim!FH62=Sheet6!$C$2,Sheet6!$C$2,IF(Tim!FH62=Sheet6!$C$3,Sheet6!$C$3,IF(Tim!FH62=Sheet6!$C$4,Sheet6!$C$4,IF(Tim!FH62=Sheet6!$C$5,Sheet6!$C$5,IF(Tim!FH62=Sheet6!$C$6,Sheet6!$C$6,IF(Tim!FH62=Sheet6!$C$7,Sheet6!$C$7,IF(Tim!FH62=Sheet6!$C$8,Sheet6!$C$8,"")))))))</f>
        <v/>
      </c>
      <c r="BO60" s="181" t="str">
        <f>IF(Tim!FP62=Sheet6!$C$2,Sheet6!$C$2,IF(Tim!FP62=Sheet6!$C$3,Sheet6!$C$3,IF(Tim!FP62=Sheet6!$C$4,Sheet6!$C$4,IF(Tim!FP62=Sheet6!$C$5,Sheet6!$C$5,IF(Tim!FP62=Sheet6!$C$6,Sheet6!$C$6,IF(Tim!FP62=Sheet6!$C$7,Sheet6!$C$7,IF(Tim!FP62=Sheet6!$C$8,Sheet6!$C$8,"")))))))</f>
        <v/>
      </c>
      <c r="BP60" s="181" t="str">
        <f>IF(Tim!FQ62=Sheet6!$C$2,Sheet6!$C$2,IF(Tim!FQ62=Sheet6!$C$3,Sheet6!$C$3,IF(Tim!FQ62=Sheet6!$C$4,Sheet6!$C$4,IF(Tim!FQ62=Sheet6!$C$5,Sheet6!$C$5,IF(Tim!FQ62=Sheet6!$C$6,Sheet6!$C$6,IF(Tim!FQ62=Sheet6!$C$7,Sheet6!$C$7,IF(Tim!FQ62=Sheet6!$C$8,Sheet6!$C$8,"")))))))</f>
        <v/>
      </c>
      <c r="BQ60" s="53" t="str">
        <f>IF(Tim!FR62=Sheet6!$C$2,Sheet6!$C$2,IF(Tim!FR62=Sheet6!$C$3,Sheet6!$C$3,IF(Tim!FR62=Sheet6!$C$4,Sheet6!$C$4,IF(Tim!FR62=Sheet6!$C$5,Sheet6!$C$5,IF(Tim!FR62=Sheet6!$C$6,Sheet6!$C$6,IF(Tim!FR62=Sheet6!$C$7,Sheet6!$C$7,IF(Tim!FR62=Sheet6!$C$8,Sheet6!$C$8,"")))))))</f>
        <v/>
      </c>
      <c r="BR60" s="176" t="str">
        <f>IF(Tim!FS62=Sheet6!$C$2,Sheet6!$C$2,IF(Tim!FS62=Sheet6!$C$3,Sheet6!$C$3,IF(Tim!FS62=Sheet6!$C$4,Sheet6!$C$4,IF(Tim!FS62=Sheet6!$C$5,Sheet6!$C$5,IF(Tim!FS62=Sheet6!$C$6,Sheet6!$C$6,IF(Tim!FS62=Sheet6!$C$7,Sheet6!$C$7,IF(Tim!FS62=Sheet6!$C$8,Sheet6!$C$8,"")))))))</f>
        <v/>
      </c>
      <c r="BS60" s="176" t="str">
        <f>IF(Tim!FT62=Sheet6!$C$2,Sheet6!$C$2,IF(Tim!FT62=Sheet6!$C$3,Sheet6!$C$3,IF(Tim!FT62=Sheet6!$C$4,Sheet6!$C$4,IF(Tim!FT62=Sheet6!$C$5,Sheet6!$C$5,IF(Tim!FT62=Sheet6!$C$6,Sheet6!$C$6,IF(Tim!FT62=Sheet6!$C$7,Sheet6!$C$7,IF(Tim!FT62=Sheet6!$C$8,Sheet6!$C$8,"")))))))</f>
        <v/>
      </c>
      <c r="BT60" s="53" t="str">
        <f>IF(Tim!FU62=Sheet6!$C$2,Sheet6!$C$2,IF(Tim!FU62=Sheet6!$C$3,Sheet6!$C$3,IF(Tim!FU62=Sheet6!$C$4,Sheet6!$C$4,IF(Tim!FU62=Sheet6!$C$5,Sheet6!$C$5,IF(Tim!FU62=Sheet6!$C$6,Sheet6!$C$6,IF(Tim!FU62=Sheet6!$C$7,Sheet6!$C$7,IF(Tim!FU62=Sheet6!$C$8,Sheet6!$C$8,"")))))))</f>
        <v/>
      </c>
      <c r="BU60" s="53" t="str">
        <f>IF(Tim!FY62=Sheet6!$C$2,Sheet6!$C$2,IF(Tim!FY62=Sheet6!$C$3,Sheet6!$C$3,IF(Tim!FY62=Sheet6!$C$4,Sheet6!$C$4,IF(Tim!FY62=Sheet6!$C$5,Sheet6!$C$5,IF(Tim!FY62=Sheet6!$C$6,Sheet6!$C$6,IF(Tim!FY62=Sheet6!$C$7,Sheet6!$C$7,IF(Tim!FY62=Sheet6!$C$8,Sheet6!$C$8,"")))))))</f>
        <v/>
      </c>
      <c r="BV60" s="54" t="str">
        <f>IF(Tim!FZ62=Sheet6!$C$2,Sheet6!$C$2,IF(Tim!FZ62=Sheet6!$C$3,Sheet6!$C$3,IF(Tim!FZ62=Sheet6!$C$4,Sheet6!$C$4,IF(Tim!FZ62=Sheet6!$C$5,Sheet6!$C$5,IF(Tim!FZ62=Sheet6!$C$6,Sheet6!$C$6,IF(Tim!FZ62=Sheet6!$C$7,Sheet6!$C$7,IF(Tim!FZ62=Sheet6!$C$8,Sheet6!$C$8,"")))))))</f>
        <v/>
      </c>
      <c r="BW60" s="54" t="str">
        <f>IF(Tim!GA62=Sheet6!$C$2,Sheet6!$C$2,IF(Tim!GA62=Sheet6!$C$3,Sheet6!$C$3,IF(Tim!GA62=Sheet6!$C$4,Sheet6!$C$4,IF(Tim!GA62=Sheet6!$C$5,Sheet6!$C$5,IF(Tim!GA62=Sheet6!$C$6,Sheet6!$C$6,IF(Tim!GA62=Sheet6!$C$7,Sheet6!$C$7,IF(Tim!GA62=Sheet6!$C$8,Sheet6!$C$8,"")))))))</f>
        <v/>
      </c>
      <c r="BX60" s="54" t="str">
        <f>IF(Tim!GB62=Sheet6!$C$2,Sheet6!$C$2,IF(Tim!GB62=Sheet6!$C$3,Sheet6!$C$3,IF(Tim!GB62=Sheet6!$C$4,Sheet6!$C$4,IF(Tim!GB62=Sheet6!$C$5,Sheet6!$C$5,IF(Tim!GB62=Sheet6!$C$6,Sheet6!$C$6,IF(Tim!GB62=Sheet6!$C$7,Sheet6!$C$7,IF(Tim!GB62=Sheet6!$C$8,Sheet6!$C$8,"")))))))</f>
        <v/>
      </c>
      <c r="BY60" s="55" t="str">
        <f>IF(Tim!GC62=Sheet6!$C$2,Sheet6!$C$2,IF(Tim!GC62=Sheet6!$C$3,Sheet6!$C$3,IF(Tim!GC62=Sheet6!$C$4,Sheet6!$C$4,IF(Tim!GC62=Sheet6!$C$5,Sheet6!$C$5,IF(Tim!GC62=Sheet6!$C$6,Sheet6!$C$6,IF(Tim!GC62=Sheet6!$C$7,Sheet6!$C$7,IF(Tim!GC62=Sheet6!$C$8,Sheet6!$C$8,"")))))))</f>
        <v/>
      </c>
      <c r="BZ60" s="53" t="str">
        <f>IF(Tim!GD62=Sheet6!$C$2,Sheet6!$C$2,IF(Tim!GD62=Sheet6!$C$3,Sheet6!$C$3,IF(Tim!GD62=Sheet6!$C$4,Sheet6!$C$4,IF(Tim!GD62=Sheet6!$C$5,Sheet6!$C$5,IF(Tim!GD62=Sheet6!$C$6,Sheet6!$C$6,IF(Tim!GD62=Sheet6!$C$7,Sheet6!$C$7,IF(Tim!GD62=Sheet6!$C$8,Sheet6!$C$8,"")))))))</f>
        <v/>
      </c>
      <c r="CA60" s="53" t="str">
        <f>IF(Tim!GE62=Sheet6!$C$2,Sheet6!$C$2,IF(Tim!GE62=Sheet6!$C$3,Sheet6!$C$3,IF(Tim!GE62=Sheet6!$C$4,Sheet6!$C$4,IF(Tim!GE62=Sheet6!$C$5,Sheet6!$C$5,IF(Tim!GE62=Sheet6!$C$6,Sheet6!$C$6,IF(Tim!GE62=Sheet6!$C$7,Sheet6!$C$7,IF(Tim!GE62=Sheet6!$C$8,Sheet6!$C$8,"")))))))</f>
        <v/>
      </c>
      <c r="CB60" s="57" t="str">
        <f>IF(Tim!GI62=Sheet6!$C$2,Sheet6!$C$2,IF(Tim!GI62=Sheet6!$C$3,Sheet6!$C$3,IF(Tim!GI62=Sheet6!$C$4,Sheet6!$C$4,IF(Tim!GI62=Sheet6!$C$5,Sheet6!$C$5,IF(Tim!GI62=Sheet6!$C$6,Sheet6!$C$6,IF(Tim!GI62=Sheet6!$C$7,Sheet6!$C$7,IF(Tim!GI62=Sheet6!$C$8,Sheet6!$C$8,"")))))))</f>
        <v/>
      </c>
      <c r="CC60" s="57" t="str">
        <f>IF(Tim!GJ62=Sheet6!$C$2,Sheet6!$C$2,IF(Tim!GJ62=Sheet6!$C$3,Sheet6!$C$3,IF(Tim!GJ62=Sheet6!$C$4,Sheet6!$C$4,IF(Tim!GJ62=Sheet6!$C$5,Sheet6!$C$5,IF(Tim!GJ62=Sheet6!$C$6,Sheet6!$C$6,IF(Tim!GJ62=Sheet6!$C$7,Sheet6!$C$7,IF(Tim!GJ62=Sheet6!$C$8,Sheet6!$C$8,"")))))))</f>
        <v/>
      </c>
      <c r="CD60" s="57" t="str">
        <f>IF(Tim!GN62=Sheet6!$C$2,Sheet6!$C$2,IF(Tim!GN62=Sheet6!$C$3,Sheet6!$C$3,IF(Tim!GN62=Sheet6!$C$4,Sheet6!$C$4,IF(Tim!GN62=Sheet6!$C$5,Sheet6!$C$5,IF(Tim!GN62=Sheet6!$C$6,Sheet6!$C$6,IF(Tim!GN62=Sheet6!$C$7,Sheet6!$C$7,IF(Tim!GN62=Sheet6!$C$8,Sheet6!$C$8,"")))))))</f>
        <v/>
      </c>
      <c r="CE60" s="53" t="str">
        <f>IF(Tim!GY62=Sheet6!$C$2,Sheet6!$C$2,IF(Tim!GY62=Sheet6!$C$3,Sheet6!$C$3,IF(Tim!GY62=Sheet6!$C$4,Sheet6!$C$4,IF(Tim!GY62=Sheet6!$C$5,Sheet6!$C$5,IF(Tim!GY62=Sheet6!$C$6,Sheet6!$C$6,IF(Tim!GY62=Sheet6!$C$7,Sheet6!$C$7,IF(Tim!GY62=Sheet6!$C$8,Sheet6!$C$8,"")))))))</f>
        <v/>
      </c>
      <c r="CF60" s="53" t="str">
        <f>IF(Tim!GZ62=Sheet6!$C$2,Sheet6!$C$2,IF(Tim!GZ62=Sheet6!$C$3,Sheet6!$C$3,IF(Tim!GZ62=Sheet6!$C$4,Sheet6!$C$4,IF(Tim!GZ62=Sheet6!$C$5,Sheet6!$C$5,IF(Tim!GZ62=Sheet6!$C$6,Sheet6!$C$6,IF(Tim!GZ62=Sheet6!$C$7,Sheet6!$C$7,IF(Tim!GZ62=Sheet6!$C$8,Sheet6!$C$8,"")))))))</f>
        <v/>
      </c>
      <c r="CG60" s="53" t="str">
        <f>IF(Tim!HH62=Sheet6!$C$2,Sheet6!$C$2,IF(Tim!HH62=Sheet6!$C$3,Sheet6!$C$3,IF(Tim!HH62=Sheet6!$C$4,Sheet6!$C$4,IF(Tim!HH62=Sheet6!$C$5,Sheet6!$C$5,IF(Tim!HH62=Sheet6!$C$6,Sheet6!$C$6,IF(Tim!HH62=Sheet6!$C$7,Sheet6!$C$7,IF(Tim!HH62=Sheet6!$C$8,Sheet6!$C$8,"")))))))</f>
        <v/>
      </c>
      <c r="CH60" s="53" t="str">
        <f>IF(Tim!HI62=Sheet6!$C$2,Sheet6!$C$2,IF(Tim!HI62=Sheet6!$C$3,Sheet6!$C$3,IF(Tim!HI62=Sheet6!$C$4,Sheet6!$C$4,IF(Tim!HI62=Sheet6!$C$5,Sheet6!$C$5,IF(Tim!HI62=Sheet6!$C$6,Sheet6!$C$6,IF(Tim!HI62=Sheet6!$C$7,Sheet6!$C$7,IF(Tim!HI62=Sheet6!$C$8,Sheet6!$C$8,"")))))))</f>
        <v/>
      </c>
      <c r="CI60" s="53" t="str">
        <f>IF(Tim!HJ62=Sheet6!$C$2,Sheet6!$C$2,IF(Tim!HJ62=Sheet6!$C$3,Sheet6!$C$3,IF(Tim!HJ62=Sheet6!$C$4,Sheet6!$C$4,IF(Tim!HJ62=Sheet6!$C$5,Sheet6!$C$5,IF(Tim!HJ62=Sheet6!$C$6,Sheet6!$C$6,IF(Tim!HJ62=Sheet6!$C$7,Sheet6!$C$7,IF(Tim!HJ62=Sheet6!$C$8,Sheet6!$C$8,"")))))))</f>
        <v/>
      </c>
      <c r="CJ60" s="53" t="str">
        <f>IF(Tim!HK62=Sheet6!$C$2,Sheet6!$C$2,IF(Tim!HK62=Sheet6!$C$3,Sheet6!$C$3,IF(Tim!HK62=Sheet6!$C$4,Sheet6!$C$4,IF(Tim!HK62=Sheet6!$C$5,Sheet6!$C$5,IF(Tim!HK62=Sheet6!$C$6,Sheet6!$C$6,IF(Tim!HK62=Sheet6!$C$7,Sheet6!$C$7,IF(Tim!HK62=Sheet6!$C$8,Sheet6!$C$8,"")))))))</f>
        <v/>
      </c>
      <c r="CK60" s="53" t="str">
        <f>IF(Tim!HL62=Sheet6!$C$2,Sheet6!$C$2,IF(Tim!HL62=Sheet6!$C$3,Sheet6!$C$3,IF(Tim!HL62=Sheet6!$C$4,Sheet6!$C$4,IF(Tim!HL62=Sheet6!$C$5,Sheet6!$C$5,IF(Tim!HL62=Sheet6!$C$6,Sheet6!$C$6,IF(Tim!HL62=Sheet6!$C$7,Sheet6!$C$7,IF(Tim!HL62=Sheet6!$C$8,Sheet6!$C$8,"")))))))</f>
        <v/>
      </c>
      <c r="CL60" s="176" t="str">
        <f>IF(Tim!HM62=Sheet6!$C$2,Sheet6!$C$2,IF(Tim!HM62=Sheet6!$C$3,Sheet6!$C$3,IF(Tim!HM62=Sheet6!$C$4,Sheet6!$C$4,IF(Tim!HM62=Sheet6!$C$5,Sheet6!$C$5,IF(Tim!HM62=Sheet6!$C$6,Sheet6!$C$6,IF(Tim!HM62=Sheet6!$C$7,Sheet6!$C$7,IF(Tim!HM62=Sheet6!$C$8,Sheet6!$C$8,"")))))))</f>
        <v/>
      </c>
      <c r="CM60" s="53" t="str">
        <f>IF(Tim!HQ62=Sheet6!$C$2,Sheet6!$C$2,IF(Tim!HQ62=Sheet6!$C$3,Sheet6!$C$3,IF(Tim!HQ62=Sheet6!$C$4,Sheet6!$C$4,IF(Tim!HQ62=Sheet6!$C$5,Sheet6!$C$5,IF(Tim!HQ62=Sheet6!$C$6,Sheet6!$C$6,IF(Tim!HQ62=Sheet6!$C$7,Sheet6!$C$7,IF(Tim!HQ62=Sheet6!$C$8,Sheet6!$C$8,"")))))))</f>
        <v/>
      </c>
      <c r="CN60" s="54" t="str">
        <f>IF(Tim!HR62=Sheet6!$C$2,Sheet6!$C$2,IF(Tim!HR62=Sheet6!$C$3,Sheet6!$C$3,IF(Tim!HR62=Sheet6!$C$4,Sheet6!$C$4,IF(Tim!HR62=Sheet6!$C$5,Sheet6!$C$5,IF(Tim!HR62=Sheet6!$C$6,Sheet6!$C$6,IF(Tim!HR62=Sheet6!$C$7,Sheet6!$C$7,IF(Tim!HR62=Sheet6!$C$8,Sheet6!$C$8,"")))))))</f>
        <v/>
      </c>
      <c r="CO60" s="54" t="str">
        <f>IF(Tim!HS62=Sheet6!$C$2,Sheet6!$C$2,IF(Tim!HS62=Sheet6!$C$3,Sheet6!$C$3,IF(Tim!HS62=Sheet6!$C$4,Sheet6!$C$4,IF(Tim!HS62=Sheet6!$C$5,Sheet6!$C$5,IF(Tim!HS62=Sheet6!$C$6,Sheet6!$C$6,IF(Tim!HS62=Sheet6!$C$7,Sheet6!$C$7,IF(Tim!HS62=Sheet6!$C$8,Sheet6!$C$8,"")))))))</f>
        <v/>
      </c>
      <c r="CP60" s="54" t="str">
        <f>IF(Tim!HT62=Sheet6!$C$2,Sheet6!$C$2,IF(Tim!HT62=Sheet6!$C$3,Sheet6!$C$3,IF(Tim!HT62=Sheet6!$C$4,Sheet6!$C$4,IF(Tim!HT62=Sheet6!$C$5,Sheet6!$C$5,IF(Tim!HT62=Sheet6!$C$6,Sheet6!$C$6,IF(Tim!HT62=Sheet6!$C$7,Sheet6!$C$7,IF(Tim!HT62=Sheet6!$C$8,Sheet6!$C$8,"")))))))</f>
        <v/>
      </c>
      <c r="CQ60" s="55" t="str">
        <f>IF(Tim!HU62=Sheet6!$C$2,Sheet6!$C$2,IF(Tim!HU62=Sheet6!$C$3,Sheet6!$C$3,IF(Tim!HU62=Sheet6!$C$4,Sheet6!$C$4,IF(Tim!HU62=Sheet6!$C$5,Sheet6!$C$5,IF(Tim!HU62=Sheet6!$C$6,Sheet6!$C$6,IF(Tim!HU62=Sheet6!$C$7,Sheet6!$C$7,IF(Tim!HU62=Sheet6!$C$8,Sheet6!$C$8,"")))))))</f>
        <v/>
      </c>
      <c r="CR60" s="469"/>
      <c r="CS60" s="366"/>
      <c r="CT60" s="366"/>
      <c r="CU60" s="366"/>
      <c r="CV60" s="366"/>
      <c r="CW60" s="366"/>
      <c r="CX60" s="366"/>
      <c r="CY60" s="366"/>
      <c r="CZ60" s="366"/>
      <c r="DA60" s="366"/>
      <c r="DB60" s="366"/>
      <c r="DC60" s="366"/>
      <c r="DD60" s="366"/>
      <c r="DE60" s="366"/>
      <c r="DF60" s="366"/>
      <c r="DG60" s="428"/>
      <c r="DH60" s="422"/>
      <c r="DI60" s="423"/>
      <c r="DJ60" s="423"/>
      <c r="DK60" s="423"/>
      <c r="DL60" s="423"/>
      <c r="DM60" s="423"/>
      <c r="DN60" s="423"/>
      <c r="DO60" s="423"/>
      <c r="DP60" s="423"/>
      <c r="DQ60" s="423"/>
      <c r="DR60" s="423"/>
      <c r="DS60" s="423"/>
      <c r="DT60" s="423"/>
      <c r="DU60" s="423"/>
      <c r="DV60" s="423"/>
      <c r="DW60" s="424"/>
      <c r="DX60" s="52">
        <v>0.86458333333333204</v>
      </c>
    </row>
    <row r="61" spans="2:128" ht="10.5" customHeight="1">
      <c r="B61" s="51">
        <v>0.25</v>
      </c>
      <c r="C61" s="51">
        <v>0.25</v>
      </c>
      <c r="D61" s="51">
        <v>0.25</v>
      </c>
      <c r="E61" s="52">
        <v>0.874999999999998</v>
      </c>
      <c r="F61" s="53" t="str">
        <f>IF(Tim!F63=Sheet6!$C$2,Sheet6!$C$2,IF(Tim!F63=Sheet6!$C$3,Sheet6!$C$3,IF(Tim!F63=Sheet6!$C$4,Sheet6!$C$4,IF(Tim!F63=Sheet6!$C$5,Sheet6!$C$5,IF(Tim!F63=Sheet6!$C$6,Sheet6!$C$6,IF(Tim!F63=Sheet6!$C$7,Sheet6!$C$7,IF(Tim!F63=Sheet6!$C$8,Sheet6!$C$8,"")))))))</f>
        <v/>
      </c>
      <c r="G61" s="53" t="str">
        <f>IF(Tim!G63=Sheet6!$C$2,Sheet6!$C$2,IF(Tim!G63=Sheet6!$C$3,Sheet6!$C$3,IF(Tim!G63=Sheet6!$C$4,Sheet6!$C$4,IF(Tim!G63=Sheet6!$C$5,Sheet6!$C$5,IF(Tim!G63=Sheet6!$C$6,Sheet6!$C$6,IF(Tim!G63=Sheet6!$C$7,Sheet6!$C$7,IF(Tim!G63=Sheet6!$C$8,Sheet6!$C$8,"")))))))</f>
        <v/>
      </c>
      <c r="H61" s="53" t="str">
        <f>IF(Tim!H63=Sheet6!$C$2,Sheet6!$C$2,IF(Tim!H63=Sheet6!$C$3,Sheet6!$C$3,IF(Tim!H63=Sheet6!$C$4,Sheet6!$C$4,IF(Tim!H63=Sheet6!$C$5,Sheet6!$C$5,IF(Tim!H63=Sheet6!$C$6,Sheet6!$C$6,IF(Tim!H63=Sheet6!$C$7,Sheet6!$C$7,IF(Tim!H63=Sheet6!$C$8,Sheet6!$C$8,"")))))))</f>
        <v/>
      </c>
      <c r="I61" s="53" t="str">
        <f>IF(Tim!L63=Sheet6!$C$2,Sheet6!$C$2,IF(Tim!L63=Sheet6!$C$3,Sheet6!$C$3,IF(Tim!L63=Sheet6!$C$4,Sheet6!$C$4,IF(Tim!L63=Sheet6!$C$5,Sheet6!$C$5,IF(Tim!L63=Sheet6!$C$6,Sheet6!$C$6,IF(Tim!L63=Sheet6!$C$7,Sheet6!$C$7,IF(Tim!L63=Sheet6!$C$8,Sheet6!$C$8,"")))))))</f>
        <v/>
      </c>
      <c r="J61" s="53" t="str">
        <f>IF(Tim!T63=Sheet6!$C$2,Sheet6!$C$2,IF(Tim!T63=Sheet6!$C$3,Sheet6!$C$3,IF(Tim!T63=Sheet6!$C$4,Sheet6!$C$4,IF(Tim!T63=Sheet6!$C$5,Sheet6!$C$5,IF(Tim!T63=Sheet6!$C$6,Sheet6!$C$6,IF(Tim!T63=Sheet6!$C$7,Sheet6!$C$7,IF(Tim!T63=Sheet6!$C$8,Sheet6!$C$8,"")))))))</f>
        <v/>
      </c>
      <c r="K61" s="53" t="str">
        <f>IF(Tim!AB63=Sheet6!$C$2,Sheet6!$C$2,IF(Tim!AB63=Sheet6!$C$3,Sheet6!$C$3,IF(Tim!AB63=Sheet6!$C$4,Sheet6!$C$4,IF(Tim!AB63=Sheet6!$C$5,Sheet6!$C$5,IF(Tim!AB63=Sheet6!$C$6,Sheet6!$C$6,IF(Tim!AB63=Sheet6!$C$7,Sheet6!$C$7,IF(Tim!AB63=Sheet6!$C$8,Sheet6!$C$8,"")))))))</f>
        <v/>
      </c>
      <c r="L61" s="53" t="str">
        <f>IF(Tim!AC63=Sheet6!$C$2,Sheet6!$C$2,IF(Tim!AC63=Sheet6!$C$3,Sheet6!$C$3,IF(Tim!AC63=Sheet6!$C$4,Sheet6!$C$4,IF(Tim!AC63=Sheet6!$C$5,Sheet6!$C$5,IF(Tim!AC63=Sheet6!$C$6,Sheet6!$C$6,IF(Tim!AC63=Sheet6!$C$7,Sheet6!$C$7,IF(Tim!AC63=Sheet6!$C$8,Sheet6!$C$8,"")))))))</f>
        <v/>
      </c>
      <c r="M61" s="53" t="str">
        <f>IF(Tim!AJ63=Sheet6!$C$2,Sheet6!$C$2,IF(Tim!AJ63=Sheet6!$C$3,Sheet6!$C$3,IF(Tim!AJ63=Sheet6!$C$4,Sheet6!$C$4,IF(Tim!AJ63=Sheet6!$C$5,Sheet6!$C$5,IF(Tim!AJ63=Sheet6!$C$6,Sheet6!$C$6,IF(Tim!AJ63=Sheet6!$C$7,Sheet6!$C$7,IF(Tim!AJ63=Sheet6!$C$8,Sheet6!$C$8,"")))))))</f>
        <v/>
      </c>
      <c r="N61" s="53" t="str">
        <f>IF(Tim!AK63=Sheet6!$C$2,Sheet6!$C$2,IF(Tim!AK63=Sheet6!$C$3,Sheet6!$C$3,IF(Tim!AK63=Sheet6!$C$4,Sheet6!$C$4,IF(Tim!AK63=Sheet6!$C$5,Sheet6!$C$5,IF(Tim!AK63=Sheet6!$C$6,Sheet6!$C$6,IF(Tim!AK63=Sheet6!$C$7,Sheet6!$C$7,IF(Tim!AK63=Sheet6!$C$8,Sheet6!$C$8,"")))))))</f>
        <v/>
      </c>
      <c r="O61" s="53" t="str">
        <f>IF(Tim!AL63=Sheet6!$C$2,Sheet6!$C$2,IF(Tim!AL63=Sheet6!$C$3,Sheet6!$C$3,IF(Tim!AL63=Sheet6!$C$4,Sheet6!$C$4,IF(Tim!AL63=Sheet6!$C$5,Sheet6!$C$5,IF(Tim!AL63=Sheet6!$C$6,Sheet6!$C$6,IF(Tim!AL63=Sheet6!$C$7,Sheet6!$C$7,IF(Tim!AL63=Sheet6!$C$8,Sheet6!$C$8,"")))))))</f>
        <v/>
      </c>
      <c r="P61" s="53" t="str">
        <f>IF(Tim!AN63=Sheet6!$C$2,Sheet6!$C$2,IF(Tim!AN63=Sheet6!$C$3,Sheet6!$C$3,IF(Tim!AN63=Sheet6!$C$4,Sheet6!$C$4,IF(Tim!AN63=Sheet6!$C$5,Sheet6!$C$5,IF(Tim!AN63=Sheet6!$C$6,Sheet6!$C$6,IF(Tim!AN63=Sheet6!$C$7,Sheet6!$C$7,IF(Tim!AN63=Sheet6!$C$8,Sheet6!$C$8,"")))))))</f>
        <v/>
      </c>
      <c r="Q61" s="176" t="str">
        <f>IF(Tim!AO63=Sheet6!$C$2,Sheet6!$C$2,IF(Tim!AO63=Sheet6!$C$3,Sheet6!$C$3,IF(Tim!AO63=Sheet6!$C$4,Sheet6!$C$4,IF(Tim!AO63=Sheet6!$C$5,Sheet6!$C$5,IF(Tim!AO63=Sheet6!$C$6,Sheet6!$C$6,IF(Tim!AO63=Sheet6!$C$7,Sheet6!$C$7,IF(Tim!AO63=Sheet6!$C$8,Sheet6!$C$8,"")))))))</f>
        <v/>
      </c>
      <c r="R61" s="53" t="str">
        <f>IF(Tim!AP63=Sheet6!$C$2,Sheet6!$C$2,IF(Tim!AP63=Sheet6!$C$3,Sheet6!$C$3,IF(Tim!AP63=Sheet6!$C$4,Sheet6!$C$4,IF(Tim!AP63=Sheet6!$C$5,Sheet6!$C$5,IF(Tim!AP63=Sheet6!$C$6,Sheet6!$C$6,IF(Tim!AP63=Sheet6!$C$7,Sheet6!$C$7,IF(Tim!AP63=Sheet6!$C$8,Sheet6!$C$8,"")))))))</f>
        <v/>
      </c>
      <c r="S61" s="53" t="str">
        <f>IF(Tim!AT63=Sheet6!$C$2,Sheet6!$C$2,IF(Tim!AT63=Sheet6!$C$3,Sheet6!$C$3,IF(Tim!AT63=Sheet6!$C$4,Sheet6!$C$4,IF(Tim!AT63=Sheet6!$C$5,Sheet6!$C$5,IF(Tim!AT63=Sheet6!$C$6,Sheet6!$C$6,IF(Tim!AT63=Sheet6!$C$7,Sheet6!$C$7,IF(Tim!AT63=Sheet6!$C$8,Sheet6!$C$8,"")))))))</f>
        <v/>
      </c>
      <c r="T61" s="54" t="str">
        <f>IF(Tim!AU63=Sheet6!$C$2,Sheet6!$C$2,IF(Tim!AU63=Sheet6!$C$3,Sheet6!$C$3,IF(Tim!AU63=Sheet6!$C$4,Sheet6!$C$4,IF(Tim!AU63=Sheet6!$C$5,Sheet6!$C$5,IF(Tim!AU63=Sheet6!$C$6,Sheet6!$C$6,IF(Tim!AU63=Sheet6!$C$7,Sheet6!$C$7,IF(Tim!AU63=Sheet6!$C$8,Sheet6!$C$8,"")))))))</f>
        <v/>
      </c>
      <c r="U61" s="54" t="str">
        <f>IF(Tim!AV63=Sheet6!$C$2,Sheet6!$C$2,IF(Tim!AV63=Sheet6!$C$3,Sheet6!$C$3,IF(Tim!AV63=Sheet6!$C$4,Sheet6!$C$4,IF(Tim!AV63=Sheet6!$C$5,Sheet6!$C$5,IF(Tim!AV63=Sheet6!$C$6,Sheet6!$C$6,IF(Tim!AV63=Sheet6!$C$7,Sheet6!$C$7,IF(Tim!AV63=Sheet6!$C$8,Sheet6!$C$8,"")))))))</f>
        <v/>
      </c>
      <c r="V61" s="54" t="str">
        <f>IF(Tim!AW63=Sheet6!$C$2,Sheet6!$C$2,IF(Tim!AW63=Sheet6!$C$3,Sheet6!$C$3,IF(Tim!AW63=Sheet6!$C$4,Sheet6!$C$4,IF(Tim!AW63=Sheet6!$C$5,Sheet6!$C$5,IF(Tim!AW63=Sheet6!$C$6,Sheet6!$C$6,IF(Tim!AW63=Sheet6!$C$7,Sheet6!$C$7,IF(Tim!AW63=Sheet6!$C$8,Sheet6!$C$8,"")))))))</f>
        <v/>
      </c>
      <c r="W61" s="55" t="str">
        <f>IF(Tim!AX63=Sheet6!$C$2,Sheet6!$C$2,IF(Tim!AX63=Sheet6!$C$3,Sheet6!$C$3,IF(Tim!AX63=Sheet6!$C$4,Sheet6!$C$4,IF(Tim!AX63=Sheet6!$C$5,Sheet6!$C$5,IF(Tim!AX63=Sheet6!$C$6,Sheet6!$C$6,IF(Tim!AX63=Sheet6!$C$7,Sheet6!$C$7,IF(Tim!AX63=Sheet6!$C$8,Sheet6!$C$8,"")))))))</f>
        <v/>
      </c>
      <c r="X61" s="53" t="str">
        <f>IF(Tim!AY63=Sheet6!$C$2,Sheet6!$C$2,IF(Tim!AY63=Sheet6!$C$3,Sheet6!$C$3,IF(Tim!AY63=Sheet6!$C$4,Sheet6!$C$4,IF(Tim!AY63=Sheet6!$C$5,Sheet6!$C$5,IF(Tim!AY63=Sheet6!$C$6,Sheet6!$C$6,IF(Tim!AY63=Sheet6!$C$7,Sheet6!$C$7,IF(Tim!AY63=Sheet6!$C$8,Sheet6!$C$8,"")))))))</f>
        <v/>
      </c>
      <c r="Y61" s="57" t="str">
        <f>IF(Tim!AZ63=Sheet6!$C$2,Sheet6!$C$2,IF(Tim!AZ63=Sheet6!$C$3,Sheet6!$C$3,IF(Tim!AZ63=Sheet6!$C$4,Sheet6!$C$4,IF(Tim!AZ63=Sheet6!$C$5,Sheet6!$C$5,IF(Tim!AZ63=Sheet6!$C$6,Sheet6!$C$6,IF(Tim!AZ63=Sheet6!$C$7,Sheet6!$C$7,IF(Tim!AZ63=Sheet6!$C$8,Sheet6!$C$8,"")))))))</f>
        <v/>
      </c>
      <c r="Z61" s="57" t="str">
        <f>IF(Tim!BD63=Sheet6!$C$2,Sheet6!$C$2,IF(Tim!BD63=Sheet6!$C$3,Sheet6!$C$3,IF(Tim!BD63=Sheet6!$C$4,Sheet6!$C$4,IF(Tim!BD63=Sheet6!$C$5,Sheet6!$C$5,IF(Tim!BD63=Sheet6!$C$6,Sheet6!$C$6,IF(Tim!BD63=Sheet6!$C$7,Sheet6!$C$7,IF(Tim!BD63=Sheet6!$C$8,Sheet6!$C$8,"")))))))</f>
        <v/>
      </c>
      <c r="AA61" s="57" t="str">
        <f>IF(Tim!BE63=Sheet6!$C$2,Sheet6!$C$2,IF(Tim!BE63=Sheet6!$C$3,Sheet6!$C$3,IF(Tim!BE63=Sheet6!$C$4,Sheet6!$C$4,IF(Tim!BE63=Sheet6!$C$5,Sheet6!$C$5,IF(Tim!BE63=Sheet6!$C$6,Sheet6!$C$6,IF(Tim!BE63=Sheet6!$C$7,Sheet6!$C$7,IF(Tim!BE63=Sheet6!$C$8,Sheet6!$C$8,"")))))))</f>
        <v/>
      </c>
      <c r="AB61" s="57" t="str">
        <f>IF(Tim!BL63=Sheet6!$C$2,Sheet6!$C$2,IF(Tim!BL63=Sheet6!$C$3,Sheet6!$C$3,IF(Tim!BL63=Sheet6!$C$4,Sheet6!$C$4,IF(Tim!BL63=Sheet6!$C$5,Sheet6!$C$5,IF(Tim!BL63=Sheet6!$C$6,Sheet6!$C$6,IF(Tim!BL63=Sheet6!$C$7,Sheet6!$C$7,IF(Tim!BL63=Sheet6!$C$8,Sheet6!$C$8,"")))))))</f>
        <v/>
      </c>
      <c r="AC61" s="53" t="str">
        <f>IF(Tim!BT63=Sheet6!$C$2,Sheet6!$C$2,IF(Tim!BT63=Sheet6!$C$3,Sheet6!$C$3,IF(Tim!BT63=Sheet6!$C$4,Sheet6!$C$4,IF(Tim!BT63=Sheet6!$C$5,Sheet6!$C$5,IF(Tim!BT63=Sheet6!$C$6,Sheet6!$C$6,IF(Tim!BT63=Sheet6!$C$7,Sheet6!$C$7,IF(Tim!BT63=Sheet6!$C$8,Sheet6!$C$8,"")))))))</f>
        <v/>
      </c>
      <c r="AD61" s="181" t="str">
        <f>IF(Tim!BU63=Sheet6!$C$2,Sheet6!$C$2,IF(Tim!BU63=Sheet6!$C$3,Sheet6!$C$3,IF(Tim!BU63=Sheet6!$C$4,Sheet6!$C$4,IF(Tim!BU63=Sheet6!$C$5,Sheet6!$C$5,IF(Tim!BU63=Sheet6!$C$6,Sheet6!$C$6,IF(Tim!BU63=Sheet6!$C$7,Sheet6!$C$7,IF(Tim!BU63=Sheet6!$C$8,Sheet6!$C$8,"")))))))</f>
        <v/>
      </c>
      <c r="AE61" s="53" t="str">
        <f>IF(Tim!CB63=Sheet6!$C$2,Sheet6!$C$2,IF(Tim!CB63=Sheet6!$C$3,Sheet6!$C$3,IF(Tim!CB63=Sheet6!$C$4,Sheet6!$C$4,IF(Tim!CB63=Sheet6!$C$5,Sheet6!$C$5,IF(Tim!CB63=Sheet6!$C$6,Sheet6!$C$6,IF(Tim!CB63=Sheet6!$C$7,Sheet6!$C$7,IF(Tim!CB63=Sheet6!$C$8,Sheet6!$C$8,"")))))))</f>
        <v/>
      </c>
      <c r="AF61" s="53" t="str">
        <f>IF(Tim!CD63=Sheet6!$C$2,Sheet6!$C$2,IF(Tim!CD63=Sheet6!$C$3,Sheet6!$C$3,IF(Tim!CD63=Sheet6!$C$4,Sheet6!$C$4,IF(Tim!CD63=Sheet6!$C$5,Sheet6!$C$5,IF(Tim!CD63=Sheet6!$C$6,Sheet6!$C$6,IF(Tim!CD63=Sheet6!$C$7,Sheet6!$C$7,IF(Tim!CD63=Sheet6!$C$8,Sheet6!$C$8,"")))))))</f>
        <v/>
      </c>
      <c r="AG61" s="53" t="str">
        <f>IF(Tim!CE63=Sheet6!$C$2,Sheet6!$C$2,IF(Tim!CE63=Sheet6!$C$3,Sheet6!$C$3,IF(Tim!CE63=Sheet6!$C$4,Sheet6!$C$4,IF(Tim!CE63=Sheet6!$C$5,Sheet6!$C$5,IF(Tim!CE63=Sheet6!$C$6,Sheet6!$C$6,IF(Tim!CE63=Sheet6!$C$7,Sheet6!$C$7,IF(Tim!CE63=Sheet6!$C$8,Sheet6!$C$8,"")))))))</f>
        <v/>
      </c>
      <c r="AH61" s="176" t="str">
        <f>IF(Tim!CF63=Sheet6!$C$2,Sheet6!$C$2,IF(Tim!CF63=Sheet6!$C$3,Sheet6!$C$3,IF(Tim!CF63=Sheet6!$C$4,Sheet6!$C$4,IF(Tim!CF63=Sheet6!$C$5,Sheet6!$C$5,IF(Tim!CF63=Sheet6!$C$6,Sheet6!$C$6,IF(Tim!CF63=Sheet6!$C$7,Sheet6!$C$7,IF(Tim!CF63=Sheet6!$C$8,Sheet6!$C$8,"")))))))</f>
        <v/>
      </c>
      <c r="AI61" s="176" t="str">
        <f>IF(Tim!CG63=Sheet6!$C$2,Sheet6!$C$2,IF(Tim!CG63=Sheet6!$C$3,Sheet6!$C$3,IF(Tim!CG63=Sheet6!$C$4,Sheet6!$C$4,IF(Tim!CG63=Sheet6!$C$5,Sheet6!$C$5,IF(Tim!CG63=Sheet6!$C$6,Sheet6!$C$6,IF(Tim!CG63=Sheet6!$C$7,Sheet6!$C$7,IF(Tim!CG63=Sheet6!$C$8,Sheet6!$C$8,"")))))))</f>
        <v/>
      </c>
      <c r="AJ61" s="53" t="str">
        <f>IF(Tim!CH63=Sheet6!$C$2,Sheet6!$C$2,IF(Tim!CH63=Sheet6!$C$3,Sheet6!$C$3,IF(Tim!CH63=Sheet6!$C$4,Sheet6!$C$4,IF(Tim!CH63=Sheet6!$C$5,Sheet6!$C$5,IF(Tim!CH63=Sheet6!$C$6,Sheet6!$C$6,IF(Tim!CH63=Sheet6!$C$7,Sheet6!$C$7,IF(Tim!CH63=Sheet6!$C$8,Sheet6!$C$8,"")))))))</f>
        <v/>
      </c>
      <c r="AK61" s="53" t="str">
        <f>IF(Tim!CL63=Sheet6!$C$2,Sheet6!$C$2,IF(Tim!CL63=Sheet6!$C$3,Sheet6!$C$3,IF(Tim!CL63=Sheet6!$C$4,Sheet6!$C$4,IF(Tim!CL63=Sheet6!$C$5,Sheet6!$C$5,IF(Tim!CL63=Sheet6!$C$6,Sheet6!$C$6,IF(Tim!CL63=Sheet6!$C$7,Sheet6!$C$7,IF(Tim!CL63=Sheet6!$C$8,Sheet6!$C$8,"")))))))</f>
        <v/>
      </c>
      <c r="AL61" s="54" t="str">
        <f>IF(Tim!CM63=Sheet6!$C$2,Sheet6!$C$2,IF(Tim!CM63=Sheet6!$C$3,Sheet6!$C$3,IF(Tim!CM63=Sheet6!$C$4,Sheet6!$C$4,IF(Tim!CM63=Sheet6!$C$5,Sheet6!$C$5,IF(Tim!CM63=Sheet6!$C$6,Sheet6!$C$6,IF(Tim!CM63=Sheet6!$C$7,Sheet6!$C$7,IF(Tim!CM63=Sheet6!$C$8,Sheet6!$C$8,"")))))))</f>
        <v/>
      </c>
      <c r="AM61" s="53" t="str">
        <f>IF(Tim!CN63=Sheet6!$C$2,Sheet6!$C$2,IF(Tim!CN63=Sheet6!$C$3,Sheet6!$C$3,IF(Tim!CN63=Sheet6!$C$4,Sheet6!$C$4,IF(Tim!CN63=Sheet6!$C$5,Sheet6!$C$5,IF(Tim!CN63=Sheet6!$C$6,Sheet6!$C$6,IF(Tim!CN63=Sheet6!$C$7,Sheet6!$C$7,IF(Tim!CN63=Sheet6!$C$8,Sheet6!$C$8,"")))))))</f>
        <v/>
      </c>
      <c r="AN61" s="54" t="str">
        <f>IF(Tim!CO63=Sheet6!$C$2,Sheet6!$C$2,IF(Tim!CO63=Sheet6!$C$3,Sheet6!$C$3,IF(Tim!CO63=Sheet6!$C$4,Sheet6!$C$4,IF(Tim!CO63=Sheet6!$C$5,Sheet6!$C$5,IF(Tim!CO63=Sheet6!$C$6,Sheet6!$C$6,IF(Tim!CO63=Sheet6!$C$7,Sheet6!$C$7,IF(Tim!CO63=Sheet6!$C$8,Sheet6!$C$8,"")))))))</f>
        <v/>
      </c>
      <c r="AO61" s="177" t="str">
        <f>IF(Tim!CP63=Sheet6!$C$2,Sheet6!$C$2,IF(Tim!CP63=Sheet6!$C$3,Sheet6!$C$3,IF(Tim!CP63=Sheet6!$C$4,Sheet6!$C$4,IF(Tim!CP63=Sheet6!$C$5,Sheet6!$C$5,IF(Tim!CP63=Sheet6!$C$6,Sheet6!$C$6,IF(Tim!CP63=Sheet6!$C$7,Sheet6!$C$7,IF(Tim!CP63=Sheet6!$C$8,Sheet6!$C$8,"")))))))</f>
        <v/>
      </c>
      <c r="AP61" s="53" t="str">
        <f>IF(Tim!CQ63=Sheet6!$C$2,Sheet6!$C$2,IF(Tim!CQ63=Sheet6!$C$3,Sheet6!$C$3,IF(Tim!CQ63=Sheet6!$C$4,Sheet6!$C$4,IF(Tim!CQ63=Sheet6!$C$5,Sheet6!$C$5,IF(Tim!CQ63=Sheet6!$C$6,Sheet6!$C$6,IF(Tim!CQ63=Sheet6!$C$7,Sheet6!$C$7,IF(Tim!CQ63=Sheet6!$C$8,Sheet6!$C$8,"")))))))</f>
        <v/>
      </c>
      <c r="AQ61" s="57" t="str">
        <f>IF(Tim!CR63=Sheet6!$C$2,Sheet6!$C$2,IF(Tim!CR63=Sheet6!$C$3,Sheet6!$C$3,IF(Tim!CR63=Sheet6!$C$4,Sheet6!$C$4,IF(Tim!CR63=Sheet6!$C$5,Sheet6!$C$5,IF(Tim!CR63=Sheet6!$C$6,Sheet6!$C$6,IF(Tim!CR63=Sheet6!$C$7,Sheet6!$C$7,IF(Tim!CR63=Sheet6!$C$8,Sheet6!$C$8,"")))))))</f>
        <v/>
      </c>
      <c r="AR61" s="57" t="str">
        <f>IF(Tim!CV63=Sheet6!$C$2,Sheet6!$C$2,IF(Tim!CV63=Sheet6!$C$3,Sheet6!$C$3,IF(Tim!CV63=Sheet6!$C$4,Sheet6!$C$4,IF(Tim!CV63=Sheet6!$C$5,Sheet6!$C$5,IF(Tim!CV63=Sheet6!$C$6,Sheet6!$C$6,IF(Tim!CV63=Sheet6!$C$7,Sheet6!$C$7,IF(Tim!CV63=Sheet6!$C$8,Sheet6!$C$8,"")))))))</f>
        <v/>
      </c>
      <c r="AS61" s="57" t="str">
        <f>IF(Tim!CW63=Sheet6!$C$2,Sheet6!$C$2,IF(Tim!CW63=Sheet6!$C$3,Sheet6!$C$3,IF(Tim!CW63=Sheet6!$C$4,Sheet6!$C$4,IF(Tim!CW63=Sheet6!$C$5,Sheet6!$C$5,IF(Tim!CW63=Sheet6!$C$6,Sheet6!$C$6,IF(Tim!CW63=Sheet6!$C$7,Sheet6!$C$7,IF(Tim!CW63=Sheet6!$C$8,Sheet6!$C$8,"")))))))</f>
        <v/>
      </c>
      <c r="AT61" s="57" t="str">
        <f>IF(Tim!DA63=Sheet6!$C$2,Sheet6!$C$2,IF(Tim!DA63=Sheet6!$C$3,Sheet6!$C$3,IF(Tim!DA63=Sheet6!$C$4,Sheet6!$C$4,IF(Tim!DA63=Sheet6!$C$5,Sheet6!$C$5,IF(Tim!DA63=Sheet6!$C$6,Sheet6!$C$6,IF(Tim!DA63=Sheet6!$C$7,Sheet6!$C$7,IF(Tim!DA63=Sheet6!$C$8,Sheet6!$C$8,"")))))))</f>
        <v/>
      </c>
      <c r="AU61" s="53" t="str">
        <f>IF(Tim!DO63=Sheet6!$C$2,Sheet6!$C$2,IF(Tim!DO63=Sheet6!$C$3,Sheet6!$C$3,IF(Tim!DO63=Sheet6!$C$4,Sheet6!$C$4,IF(Tim!DO63=Sheet6!$C$5,Sheet6!$C$5,IF(Tim!DO63=Sheet6!$C$6,Sheet6!$C$6,IF(Tim!DO63=Sheet6!$C$7,Sheet6!$C$7,IF(Tim!DO63=Sheet6!$C$8,Sheet6!$C$8,"")))))))</f>
        <v/>
      </c>
      <c r="AV61" s="53" t="str">
        <f>IF(Tim!DP63=Sheet6!$C$2,Sheet6!$C$2,IF(Tim!DP63=Sheet6!$C$3,Sheet6!$C$3,IF(Tim!DP63=Sheet6!$C$4,Sheet6!$C$4,IF(Tim!DP63=Sheet6!$C$5,Sheet6!$C$5,IF(Tim!DP63=Sheet6!$C$6,Sheet6!$C$6,IF(Tim!DP63=Sheet6!$C$7,Sheet6!$C$7,IF(Tim!DP63=Sheet6!$C$8,Sheet6!$C$8,"")))))))</f>
        <v/>
      </c>
      <c r="AW61" s="53" t="str">
        <f>IF(Tim!DX63=Sheet6!$C$2,Sheet6!$C$2,IF(Tim!DX63=Sheet6!$C$3,Sheet6!$C$3,IF(Tim!DX63=Sheet6!$C$4,Sheet6!$C$4,IF(Tim!DX63=Sheet6!$C$5,Sheet6!$C$5,IF(Tim!DX63=Sheet6!$C$6,Sheet6!$C$6,IF(Tim!DX63=Sheet6!$C$7,Sheet6!$C$7,IF(Tim!DX63=Sheet6!$C$8,Sheet6!$C$8,"")))))))</f>
        <v/>
      </c>
      <c r="AX61" s="53" t="str">
        <f>IF(Tim!DY63=Sheet6!$C$2,Sheet6!$C$2,IF(Tim!DY63=Sheet6!$C$3,Sheet6!$C$3,IF(Tim!DY63=Sheet6!$C$4,Sheet6!$C$4,IF(Tim!DY63=Sheet6!$C$5,Sheet6!$C$5,IF(Tim!DY63=Sheet6!$C$6,Sheet6!$C$6,IF(Tim!DY63=Sheet6!$C$7,Sheet6!$C$7,IF(Tim!DY63=Sheet6!$C$8,Sheet6!$C$8,"")))))))</f>
        <v/>
      </c>
      <c r="AY61" s="53" t="str">
        <f>IF(Tim!DZ63=Sheet6!$C$2,Sheet6!$C$2,IF(Tim!DZ63=Sheet6!$C$3,Sheet6!$C$3,IF(Tim!DZ63=Sheet6!$C$4,Sheet6!$C$4,IF(Tim!DZ63=Sheet6!$C$5,Sheet6!$C$5,IF(Tim!DZ63=Sheet6!$C$6,Sheet6!$C$6,IF(Tim!DZ63=Sheet6!$C$7,Sheet6!$C$7,IF(Tim!DZ63=Sheet6!$C$8,Sheet6!$C$8,"")))))))</f>
        <v/>
      </c>
      <c r="AZ61" s="176" t="str">
        <f>IF(Tim!EA63=Sheet6!$C$2,Sheet6!$C$2,IF(Tim!EA63=Sheet6!$C$3,Sheet6!$C$3,IF(Tim!EA63=Sheet6!$C$4,Sheet6!$C$4,IF(Tim!EA63=Sheet6!$C$5,Sheet6!$C$5,IF(Tim!EA63=Sheet6!$C$6,Sheet6!$C$6,IF(Tim!EA63=Sheet6!$C$7,Sheet6!$C$7,IF(Tim!EA63=Sheet6!$C$8,Sheet6!$C$8,"")))))))</f>
        <v/>
      </c>
      <c r="BA61" s="176" t="str">
        <f>IF(Tim!EB63=Sheet6!$C$2,Sheet6!$C$2,IF(Tim!EB63=Sheet6!$C$3,Sheet6!$C$3,IF(Tim!EB63=Sheet6!$C$4,Sheet6!$C$4,IF(Tim!EB63=Sheet6!$C$5,Sheet6!$C$5,IF(Tim!EB63=Sheet6!$C$6,Sheet6!$C$6,IF(Tim!EB63=Sheet6!$C$7,Sheet6!$C$7,IF(Tim!EB63=Sheet6!$C$8,Sheet6!$C$8,"")))))))</f>
        <v/>
      </c>
      <c r="BB61" s="53" t="str">
        <f>IF(Tim!EC63=Sheet6!$C$2,Sheet6!$C$2,IF(Tim!EC63=Sheet6!$C$3,Sheet6!$C$3,IF(Tim!EC63=Sheet6!$C$4,Sheet6!$C$4,IF(Tim!EC63=Sheet6!$C$5,Sheet6!$C$5,IF(Tim!EC63=Sheet6!$C$6,Sheet6!$C$6,IF(Tim!EC63=Sheet6!$C$7,Sheet6!$C$7,IF(Tim!EC63=Sheet6!$C$8,Sheet6!$C$8,"")))))))</f>
        <v/>
      </c>
      <c r="BC61" s="53" t="str">
        <f>IF(Tim!EG63=Sheet6!$C$2,Sheet6!$C$2,IF(Tim!EG63=Sheet6!$C$3,Sheet6!$C$3,IF(Tim!EG63=Sheet6!$C$4,Sheet6!$C$4,IF(Tim!EG63=Sheet6!$C$5,Sheet6!$C$5,IF(Tim!EG63=Sheet6!$C$6,Sheet6!$C$6,IF(Tim!EG63=Sheet6!$C$7,Sheet6!$C$7,IF(Tim!EG63=Sheet6!$C$8,Sheet6!$C$8,"")))))))</f>
        <v/>
      </c>
      <c r="BD61" s="53" t="str">
        <f>IF(Tim!EH63=Sheet6!$C$2,Sheet6!$C$2,IF(Tim!EH63=Sheet6!$C$3,Sheet6!$C$3,IF(Tim!EH63=Sheet6!$C$4,Sheet6!$C$4,IF(Tim!EH63=Sheet6!$C$5,Sheet6!$C$5,IF(Tim!EH63=Sheet6!$C$6,Sheet6!$C$6,IF(Tim!EH63=Sheet6!$C$7,Sheet6!$C$7,IF(Tim!EH63=Sheet6!$C$8,Sheet6!$C$8,"")))))))</f>
        <v/>
      </c>
      <c r="BE61" s="54" t="str">
        <f>IF(Tim!EI63=Sheet6!$C$2,Sheet6!$C$2,IF(Tim!EI63=Sheet6!$C$3,Sheet6!$C$3,IF(Tim!EI63=Sheet6!$C$4,Sheet6!$C$4,IF(Tim!EI63=Sheet6!$C$5,Sheet6!$C$5,IF(Tim!EI63=Sheet6!$C$6,Sheet6!$C$6,IF(Tim!EI63=Sheet6!$C$7,Sheet6!$C$7,IF(Tim!EI63=Sheet6!$C$8,Sheet6!$C$8,"")))))))</f>
        <v/>
      </c>
      <c r="BF61" s="54" t="str">
        <f>IF(Tim!EJ63=Sheet6!$C$2,Sheet6!$C$2,IF(Tim!EJ63=Sheet6!$C$3,Sheet6!$C$3,IF(Tim!EJ63=Sheet6!$C$4,Sheet6!$C$4,IF(Tim!EJ63=Sheet6!$C$5,Sheet6!$C$5,IF(Tim!EJ63=Sheet6!$C$6,Sheet6!$C$6,IF(Tim!EJ63=Sheet6!$C$7,Sheet6!$C$7,IF(Tim!EJ63=Sheet6!$C$8,Sheet6!$C$8,"")))))))</f>
        <v/>
      </c>
      <c r="BG61" s="55" t="str">
        <f>IF(Tim!EK63=Sheet6!$C$2,Sheet6!$C$2,IF(Tim!EK63=Sheet6!$C$3,Sheet6!$C$3,IF(Tim!EK63=Sheet6!$C$4,Sheet6!$C$4,IF(Tim!EK63=Sheet6!$C$5,Sheet6!$C$5,IF(Tim!EK63=Sheet6!$C$6,Sheet6!$C$6,IF(Tim!EK63=Sheet6!$C$7,Sheet6!$C$7,IF(Tim!EK63=Sheet6!$C$8,Sheet6!$C$8,"")))))))</f>
        <v/>
      </c>
      <c r="BH61" s="53" t="str">
        <f>IF(Tim!EL63=Sheet6!$C$2,Sheet6!$C$2,IF(Tim!EL63=Sheet6!$C$3,Sheet6!$C$3,IF(Tim!EL63=Sheet6!$C$4,Sheet6!$C$4,IF(Tim!EL63=Sheet6!$C$5,Sheet6!$C$5,IF(Tim!EL63=Sheet6!$C$6,Sheet6!$C$6,IF(Tim!EL63=Sheet6!$C$7,Sheet6!$C$7,IF(Tim!EL63=Sheet6!$C$8,Sheet6!$C$8,"")))))))</f>
        <v/>
      </c>
      <c r="BI61" s="57" t="str">
        <f>IF(Tim!EM63=Sheet6!$C$2,Sheet6!$C$2,IF(Tim!EM63=Sheet6!$C$3,Sheet6!$C$3,IF(Tim!EM63=Sheet6!$C$4,Sheet6!$C$4,IF(Tim!EM63=Sheet6!$C$5,Sheet6!$C$5,IF(Tim!EM63=Sheet6!$C$6,Sheet6!$C$6,IF(Tim!EM63=Sheet6!$C$7,Sheet6!$C$7,IF(Tim!EM63=Sheet6!$C$8,Sheet6!$C$8,"")))))))</f>
        <v/>
      </c>
      <c r="BJ61" s="57" t="str">
        <f>IF(Tim!EQ63=Sheet6!$C$2,Sheet6!$C$2,IF(Tim!EQ63=Sheet6!$C$3,Sheet6!$C$3,IF(Tim!EQ63=Sheet6!$C$4,Sheet6!$C$4,IF(Tim!EQ63=Sheet6!$C$5,Sheet6!$C$5,IF(Tim!EQ63=Sheet6!$C$6,Sheet6!$C$6,IF(Tim!EQ63=Sheet6!$C$7,Sheet6!$C$7,IF(Tim!EQ63=Sheet6!$C$8,Sheet6!$C$8,"")))))))</f>
        <v/>
      </c>
      <c r="BK61" s="57" t="str">
        <f>IF(Tim!ER63=Sheet6!$C$2,Sheet6!$C$2,IF(Tim!ER63=Sheet6!$C$3,Sheet6!$C$3,IF(Tim!ER63=Sheet6!$C$4,Sheet6!$C$4,IF(Tim!ER63=Sheet6!$C$5,Sheet6!$C$5,IF(Tim!ER63=Sheet6!$C$6,Sheet6!$C$6,IF(Tim!ER63=Sheet6!$C$7,Sheet6!$C$7,IF(Tim!ER63=Sheet6!$C$8,Sheet6!$C$8,"")))))))</f>
        <v/>
      </c>
      <c r="BL61" s="57" t="str">
        <f>IF(Tim!EZ63=Sheet6!$C$2,Sheet6!$C$2,IF(Tim!EZ63=Sheet6!$C$3,Sheet6!$C$3,IF(Tim!EZ63=Sheet6!$C$4,Sheet6!$C$4,IF(Tim!EZ63=Sheet6!$C$5,Sheet6!$C$5,IF(Tim!EZ63=Sheet6!$C$6,Sheet6!$C$6,IF(Tim!EZ63=Sheet6!$C$7,Sheet6!$C$7,IF(Tim!EZ63=Sheet6!$C$8,Sheet6!$C$8,"")))))))</f>
        <v/>
      </c>
      <c r="BM61" s="53" t="str">
        <f>IF(Tim!FG63=Sheet6!$C$2,Sheet6!$C$2,IF(Tim!FG63=Sheet6!$C$3,Sheet6!$C$3,IF(Tim!FG63=Sheet6!$C$4,Sheet6!$C$4,IF(Tim!FG63=Sheet6!$C$5,Sheet6!$C$5,IF(Tim!FG63=Sheet6!$C$6,Sheet6!$C$6,IF(Tim!FG63=Sheet6!$C$7,Sheet6!$C$7,IF(Tim!FG63=Sheet6!$C$8,Sheet6!$C$8,"")))))))</f>
        <v/>
      </c>
      <c r="BN61" s="181" t="str">
        <f>IF(Tim!FH63=Sheet6!$C$2,Sheet6!$C$2,IF(Tim!FH63=Sheet6!$C$3,Sheet6!$C$3,IF(Tim!FH63=Sheet6!$C$4,Sheet6!$C$4,IF(Tim!FH63=Sheet6!$C$5,Sheet6!$C$5,IF(Tim!FH63=Sheet6!$C$6,Sheet6!$C$6,IF(Tim!FH63=Sheet6!$C$7,Sheet6!$C$7,IF(Tim!FH63=Sheet6!$C$8,Sheet6!$C$8,"")))))))</f>
        <v/>
      </c>
      <c r="BO61" s="53" t="str">
        <f>IF(Tim!FP63=Sheet6!$C$2,Sheet6!$C$2,IF(Tim!FP63=Sheet6!$C$3,Sheet6!$C$3,IF(Tim!FP63=Sheet6!$C$4,Sheet6!$C$4,IF(Tim!FP63=Sheet6!$C$5,Sheet6!$C$5,IF(Tim!FP63=Sheet6!$C$6,Sheet6!$C$6,IF(Tim!FP63=Sheet6!$C$7,Sheet6!$C$7,IF(Tim!FP63=Sheet6!$C$8,Sheet6!$C$8,"")))))))</f>
        <v/>
      </c>
      <c r="BP61" s="53" t="str">
        <f>IF(Tim!FQ63=Sheet6!$C$2,Sheet6!$C$2,IF(Tim!FQ63=Sheet6!$C$3,Sheet6!$C$3,IF(Tim!FQ63=Sheet6!$C$4,Sheet6!$C$4,IF(Tim!FQ63=Sheet6!$C$5,Sheet6!$C$5,IF(Tim!FQ63=Sheet6!$C$6,Sheet6!$C$6,IF(Tim!FQ63=Sheet6!$C$7,Sheet6!$C$7,IF(Tim!FQ63=Sheet6!$C$8,Sheet6!$C$8,"")))))))</f>
        <v/>
      </c>
      <c r="BQ61" s="53" t="str">
        <f>IF(Tim!FR63=Sheet6!$C$2,Sheet6!$C$2,IF(Tim!FR63=Sheet6!$C$3,Sheet6!$C$3,IF(Tim!FR63=Sheet6!$C$4,Sheet6!$C$4,IF(Tim!FR63=Sheet6!$C$5,Sheet6!$C$5,IF(Tim!FR63=Sheet6!$C$6,Sheet6!$C$6,IF(Tim!FR63=Sheet6!$C$7,Sheet6!$C$7,IF(Tim!FR63=Sheet6!$C$8,Sheet6!$C$8,"")))))))</f>
        <v/>
      </c>
      <c r="BR61" s="176" t="str">
        <f>IF(Tim!FS63=Sheet6!$C$2,Sheet6!$C$2,IF(Tim!FS63=Sheet6!$C$3,Sheet6!$C$3,IF(Tim!FS63=Sheet6!$C$4,Sheet6!$C$4,IF(Tim!FS63=Sheet6!$C$5,Sheet6!$C$5,IF(Tim!FS63=Sheet6!$C$6,Sheet6!$C$6,IF(Tim!FS63=Sheet6!$C$7,Sheet6!$C$7,IF(Tim!FS63=Sheet6!$C$8,Sheet6!$C$8,"")))))))</f>
        <v/>
      </c>
      <c r="BS61" s="176" t="str">
        <f>IF(Tim!FT63=Sheet6!$C$2,Sheet6!$C$2,IF(Tim!FT63=Sheet6!$C$3,Sheet6!$C$3,IF(Tim!FT63=Sheet6!$C$4,Sheet6!$C$4,IF(Tim!FT63=Sheet6!$C$5,Sheet6!$C$5,IF(Tim!FT63=Sheet6!$C$6,Sheet6!$C$6,IF(Tim!FT63=Sheet6!$C$7,Sheet6!$C$7,IF(Tim!FT63=Sheet6!$C$8,Sheet6!$C$8,"")))))))</f>
        <v/>
      </c>
      <c r="BT61" s="53" t="str">
        <f>IF(Tim!FU63=Sheet6!$C$2,Sheet6!$C$2,IF(Tim!FU63=Sheet6!$C$3,Sheet6!$C$3,IF(Tim!FU63=Sheet6!$C$4,Sheet6!$C$4,IF(Tim!FU63=Sheet6!$C$5,Sheet6!$C$5,IF(Tim!FU63=Sheet6!$C$6,Sheet6!$C$6,IF(Tim!FU63=Sheet6!$C$7,Sheet6!$C$7,IF(Tim!FU63=Sheet6!$C$8,Sheet6!$C$8,"")))))))</f>
        <v/>
      </c>
      <c r="BU61" s="53" t="str">
        <f>IF(Tim!FY63=Sheet6!$C$2,Sheet6!$C$2,IF(Tim!FY63=Sheet6!$C$3,Sheet6!$C$3,IF(Tim!FY63=Sheet6!$C$4,Sheet6!$C$4,IF(Tim!FY63=Sheet6!$C$5,Sheet6!$C$5,IF(Tim!FY63=Sheet6!$C$6,Sheet6!$C$6,IF(Tim!FY63=Sheet6!$C$7,Sheet6!$C$7,IF(Tim!FY63=Sheet6!$C$8,Sheet6!$C$8,"")))))))</f>
        <v/>
      </c>
      <c r="BV61" s="54" t="str">
        <f>IF(Tim!FZ63=Sheet6!$C$2,Sheet6!$C$2,IF(Tim!FZ63=Sheet6!$C$3,Sheet6!$C$3,IF(Tim!FZ63=Sheet6!$C$4,Sheet6!$C$4,IF(Tim!FZ63=Sheet6!$C$5,Sheet6!$C$5,IF(Tim!FZ63=Sheet6!$C$6,Sheet6!$C$6,IF(Tim!FZ63=Sheet6!$C$7,Sheet6!$C$7,IF(Tim!FZ63=Sheet6!$C$8,Sheet6!$C$8,"")))))))</f>
        <v/>
      </c>
      <c r="BW61" s="54" t="str">
        <f>IF(Tim!GA63=Sheet6!$C$2,Sheet6!$C$2,IF(Tim!GA63=Sheet6!$C$3,Sheet6!$C$3,IF(Tim!GA63=Sheet6!$C$4,Sheet6!$C$4,IF(Tim!GA63=Sheet6!$C$5,Sheet6!$C$5,IF(Tim!GA63=Sheet6!$C$6,Sheet6!$C$6,IF(Tim!GA63=Sheet6!$C$7,Sheet6!$C$7,IF(Tim!GA63=Sheet6!$C$8,Sheet6!$C$8,"")))))))</f>
        <v/>
      </c>
      <c r="BX61" s="54" t="str">
        <f>IF(Tim!GB63=Sheet6!$C$2,Sheet6!$C$2,IF(Tim!GB63=Sheet6!$C$3,Sheet6!$C$3,IF(Tim!GB63=Sheet6!$C$4,Sheet6!$C$4,IF(Tim!GB63=Sheet6!$C$5,Sheet6!$C$5,IF(Tim!GB63=Sheet6!$C$6,Sheet6!$C$6,IF(Tim!GB63=Sheet6!$C$7,Sheet6!$C$7,IF(Tim!GB63=Sheet6!$C$8,Sheet6!$C$8,"")))))))</f>
        <v/>
      </c>
      <c r="BY61" s="55" t="str">
        <f>IF(Tim!GC63=Sheet6!$C$2,Sheet6!$C$2,IF(Tim!GC63=Sheet6!$C$3,Sheet6!$C$3,IF(Tim!GC63=Sheet6!$C$4,Sheet6!$C$4,IF(Tim!GC63=Sheet6!$C$5,Sheet6!$C$5,IF(Tim!GC63=Sheet6!$C$6,Sheet6!$C$6,IF(Tim!GC63=Sheet6!$C$7,Sheet6!$C$7,IF(Tim!GC63=Sheet6!$C$8,Sheet6!$C$8,"")))))))</f>
        <v/>
      </c>
      <c r="BZ61" s="53" t="str">
        <f>IF(Tim!GD63=Sheet6!$C$2,Sheet6!$C$2,IF(Tim!GD63=Sheet6!$C$3,Sheet6!$C$3,IF(Tim!GD63=Sheet6!$C$4,Sheet6!$C$4,IF(Tim!GD63=Sheet6!$C$5,Sheet6!$C$5,IF(Tim!GD63=Sheet6!$C$6,Sheet6!$C$6,IF(Tim!GD63=Sheet6!$C$7,Sheet6!$C$7,IF(Tim!GD63=Sheet6!$C$8,Sheet6!$C$8,"")))))))</f>
        <v/>
      </c>
      <c r="CA61" s="57" t="str">
        <f>IF(Tim!GE63=Sheet6!$C$2,Sheet6!$C$2,IF(Tim!GE63=Sheet6!$C$3,Sheet6!$C$3,IF(Tim!GE63=Sheet6!$C$4,Sheet6!$C$4,IF(Tim!GE63=Sheet6!$C$5,Sheet6!$C$5,IF(Tim!GE63=Sheet6!$C$6,Sheet6!$C$6,IF(Tim!GE63=Sheet6!$C$7,Sheet6!$C$7,IF(Tim!GE63=Sheet6!$C$8,Sheet6!$C$8,"")))))))</f>
        <v/>
      </c>
      <c r="CB61" s="57" t="str">
        <f>IF(Tim!GI63=Sheet6!$C$2,Sheet6!$C$2,IF(Tim!GI63=Sheet6!$C$3,Sheet6!$C$3,IF(Tim!GI63=Sheet6!$C$4,Sheet6!$C$4,IF(Tim!GI63=Sheet6!$C$5,Sheet6!$C$5,IF(Tim!GI63=Sheet6!$C$6,Sheet6!$C$6,IF(Tim!GI63=Sheet6!$C$7,Sheet6!$C$7,IF(Tim!GI63=Sheet6!$C$8,Sheet6!$C$8,"")))))))</f>
        <v/>
      </c>
      <c r="CC61" s="57" t="str">
        <f>IF(Tim!GJ63=Sheet6!$C$2,Sheet6!$C$2,IF(Tim!GJ63=Sheet6!$C$3,Sheet6!$C$3,IF(Tim!GJ63=Sheet6!$C$4,Sheet6!$C$4,IF(Tim!GJ63=Sheet6!$C$5,Sheet6!$C$5,IF(Tim!GJ63=Sheet6!$C$6,Sheet6!$C$6,IF(Tim!GJ63=Sheet6!$C$7,Sheet6!$C$7,IF(Tim!GJ63=Sheet6!$C$8,Sheet6!$C$8,"")))))))</f>
        <v/>
      </c>
      <c r="CD61" s="57" t="str">
        <f>IF(Tim!GN63=Sheet6!$C$2,Sheet6!$C$2,IF(Tim!GN63=Sheet6!$C$3,Sheet6!$C$3,IF(Tim!GN63=Sheet6!$C$4,Sheet6!$C$4,IF(Tim!GN63=Sheet6!$C$5,Sheet6!$C$5,IF(Tim!GN63=Sheet6!$C$6,Sheet6!$C$6,IF(Tim!GN63=Sheet6!$C$7,Sheet6!$C$7,IF(Tim!GN63=Sheet6!$C$8,Sheet6!$C$8,"")))))))</f>
        <v/>
      </c>
      <c r="CE61" s="53" t="str">
        <f>IF(Tim!GY63=Sheet6!$C$2,Sheet6!$C$2,IF(Tim!GY63=Sheet6!$C$3,Sheet6!$C$3,IF(Tim!GY63=Sheet6!$C$4,Sheet6!$C$4,IF(Tim!GY63=Sheet6!$C$5,Sheet6!$C$5,IF(Tim!GY63=Sheet6!$C$6,Sheet6!$C$6,IF(Tim!GY63=Sheet6!$C$7,Sheet6!$C$7,IF(Tim!GY63=Sheet6!$C$8,Sheet6!$C$8,"")))))))</f>
        <v/>
      </c>
      <c r="CF61" s="53" t="str">
        <f>IF(Tim!GZ63=Sheet6!$C$2,Sheet6!$C$2,IF(Tim!GZ63=Sheet6!$C$3,Sheet6!$C$3,IF(Tim!GZ63=Sheet6!$C$4,Sheet6!$C$4,IF(Tim!GZ63=Sheet6!$C$5,Sheet6!$C$5,IF(Tim!GZ63=Sheet6!$C$6,Sheet6!$C$6,IF(Tim!GZ63=Sheet6!$C$7,Sheet6!$C$7,IF(Tim!GZ63=Sheet6!$C$8,Sheet6!$C$8,"")))))))</f>
        <v/>
      </c>
      <c r="CG61" s="53" t="str">
        <f>IF(Tim!HH63=Sheet6!$C$2,Sheet6!$C$2,IF(Tim!HH63=Sheet6!$C$3,Sheet6!$C$3,IF(Tim!HH63=Sheet6!$C$4,Sheet6!$C$4,IF(Tim!HH63=Sheet6!$C$5,Sheet6!$C$5,IF(Tim!HH63=Sheet6!$C$6,Sheet6!$C$6,IF(Tim!HH63=Sheet6!$C$7,Sheet6!$C$7,IF(Tim!HH63=Sheet6!$C$8,Sheet6!$C$8,"")))))))</f>
        <v/>
      </c>
      <c r="CH61" s="53" t="str">
        <f>IF(Tim!HI63=Sheet6!$C$2,Sheet6!$C$2,IF(Tim!HI63=Sheet6!$C$3,Sheet6!$C$3,IF(Tim!HI63=Sheet6!$C$4,Sheet6!$C$4,IF(Tim!HI63=Sheet6!$C$5,Sheet6!$C$5,IF(Tim!HI63=Sheet6!$C$6,Sheet6!$C$6,IF(Tim!HI63=Sheet6!$C$7,Sheet6!$C$7,IF(Tim!HI63=Sheet6!$C$8,Sheet6!$C$8,"")))))))</f>
        <v/>
      </c>
      <c r="CI61" s="53" t="str">
        <f>IF(Tim!HJ63=Sheet6!$C$2,Sheet6!$C$2,IF(Tim!HJ63=Sheet6!$C$3,Sheet6!$C$3,IF(Tim!HJ63=Sheet6!$C$4,Sheet6!$C$4,IF(Tim!HJ63=Sheet6!$C$5,Sheet6!$C$5,IF(Tim!HJ63=Sheet6!$C$6,Sheet6!$C$6,IF(Tim!HJ63=Sheet6!$C$7,Sheet6!$C$7,IF(Tim!HJ63=Sheet6!$C$8,Sheet6!$C$8,"")))))))</f>
        <v/>
      </c>
      <c r="CJ61" s="53" t="str">
        <f>IF(Tim!HK63=Sheet6!$C$2,Sheet6!$C$2,IF(Tim!HK63=Sheet6!$C$3,Sheet6!$C$3,IF(Tim!HK63=Sheet6!$C$4,Sheet6!$C$4,IF(Tim!HK63=Sheet6!$C$5,Sheet6!$C$5,IF(Tim!HK63=Sheet6!$C$6,Sheet6!$C$6,IF(Tim!HK63=Sheet6!$C$7,Sheet6!$C$7,IF(Tim!HK63=Sheet6!$C$8,Sheet6!$C$8,"")))))))</f>
        <v/>
      </c>
      <c r="CK61" s="53" t="str">
        <f>IF(Tim!HL63=Sheet6!$C$2,Sheet6!$C$2,IF(Tim!HL63=Sheet6!$C$3,Sheet6!$C$3,IF(Tim!HL63=Sheet6!$C$4,Sheet6!$C$4,IF(Tim!HL63=Sheet6!$C$5,Sheet6!$C$5,IF(Tim!HL63=Sheet6!$C$6,Sheet6!$C$6,IF(Tim!HL63=Sheet6!$C$7,Sheet6!$C$7,IF(Tim!HL63=Sheet6!$C$8,Sheet6!$C$8,"")))))))</f>
        <v/>
      </c>
      <c r="CL61" s="176" t="str">
        <f>IF(Tim!HM63=Sheet6!$C$2,Sheet6!$C$2,IF(Tim!HM63=Sheet6!$C$3,Sheet6!$C$3,IF(Tim!HM63=Sheet6!$C$4,Sheet6!$C$4,IF(Tim!HM63=Sheet6!$C$5,Sheet6!$C$5,IF(Tim!HM63=Sheet6!$C$6,Sheet6!$C$6,IF(Tim!HM63=Sheet6!$C$7,Sheet6!$C$7,IF(Tim!HM63=Sheet6!$C$8,Sheet6!$C$8,"")))))))</f>
        <v/>
      </c>
      <c r="CM61" s="53" t="str">
        <f>IF(Tim!HQ63=Sheet6!$C$2,Sheet6!$C$2,IF(Tim!HQ63=Sheet6!$C$3,Sheet6!$C$3,IF(Tim!HQ63=Sheet6!$C$4,Sheet6!$C$4,IF(Tim!HQ63=Sheet6!$C$5,Sheet6!$C$5,IF(Tim!HQ63=Sheet6!$C$6,Sheet6!$C$6,IF(Tim!HQ63=Sheet6!$C$7,Sheet6!$C$7,IF(Tim!HQ63=Sheet6!$C$8,Sheet6!$C$8,"")))))))</f>
        <v/>
      </c>
      <c r="CN61" s="54" t="str">
        <f>IF(Tim!HR63=Sheet6!$C$2,Sheet6!$C$2,IF(Tim!HR63=Sheet6!$C$3,Sheet6!$C$3,IF(Tim!HR63=Sheet6!$C$4,Sheet6!$C$4,IF(Tim!HR63=Sheet6!$C$5,Sheet6!$C$5,IF(Tim!HR63=Sheet6!$C$6,Sheet6!$C$6,IF(Tim!HR63=Sheet6!$C$7,Sheet6!$C$7,IF(Tim!HR63=Sheet6!$C$8,Sheet6!$C$8,"")))))))</f>
        <v/>
      </c>
      <c r="CO61" s="54" t="str">
        <f>IF(Tim!HS63=Sheet6!$C$2,Sheet6!$C$2,IF(Tim!HS63=Sheet6!$C$3,Sheet6!$C$3,IF(Tim!HS63=Sheet6!$C$4,Sheet6!$C$4,IF(Tim!HS63=Sheet6!$C$5,Sheet6!$C$5,IF(Tim!HS63=Sheet6!$C$6,Sheet6!$C$6,IF(Tim!HS63=Sheet6!$C$7,Sheet6!$C$7,IF(Tim!HS63=Sheet6!$C$8,Sheet6!$C$8,"")))))))</f>
        <v/>
      </c>
      <c r="CP61" s="54" t="str">
        <f>IF(Tim!HT63=Sheet6!$C$2,Sheet6!$C$2,IF(Tim!HT63=Sheet6!$C$3,Sheet6!$C$3,IF(Tim!HT63=Sheet6!$C$4,Sheet6!$C$4,IF(Tim!HT63=Sheet6!$C$5,Sheet6!$C$5,IF(Tim!HT63=Sheet6!$C$6,Sheet6!$C$6,IF(Tim!HT63=Sheet6!$C$7,Sheet6!$C$7,IF(Tim!HT63=Sheet6!$C$8,Sheet6!$C$8,"")))))))</f>
        <v/>
      </c>
      <c r="CQ61" s="55" t="str">
        <f>IF(Tim!HU63=Sheet6!$C$2,Sheet6!$C$2,IF(Tim!HU63=Sheet6!$C$3,Sheet6!$C$3,IF(Tim!HU63=Sheet6!$C$4,Sheet6!$C$4,IF(Tim!HU63=Sheet6!$C$5,Sheet6!$C$5,IF(Tim!HU63=Sheet6!$C$6,Sheet6!$C$6,IF(Tim!HU63=Sheet6!$C$7,Sheet6!$C$7,IF(Tim!HU63=Sheet6!$C$8,Sheet6!$C$8,"")))))))</f>
        <v/>
      </c>
      <c r="CR61" s="469"/>
      <c r="CS61" s="366"/>
      <c r="CT61" s="366"/>
      <c r="CU61" s="366"/>
      <c r="CV61" s="366"/>
      <c r="CW61" s="366"/>
      <c r="CX61" s="366"/>
      <c r="CY61" s="366"/>
      <c r="CZ61" s="366"/>
      <c r="DA61" s="366"/>
      <c r="DB61" s="366"/>
      <c r="DC61" s="366"/>
      <c r="DD61" s="366"/>
      <c r="DE61" s="366"/>
      <c r="DF61" s="366"/>
      <c r="DG61" s="428"/>
      <c r="DH61" s="422"/>
      <c r="DI61" s="423"/>
      <c r="DJ61" s="423"/>
      <c r="DK61" s="423"/>
      <c r="DL61" s="423"/>
      <c r="DM61" s="423"/>
      <c r="DN61" s="423"/>
      <c r="DO61" s="423"/>
      <c r="DP61" s="423"/>
      <c r="DQ61" s="423"/>
      <c r="DR61" s="423"/>
      <c r="DS61" s="423"/>
      <c r="DT61" s="423"/>
      <c r="DU61" s="423"/>
      <c r="DV61" s="423"/>
      <c r="DW61" s="424"/>
      <c r="DX61" s="52">
        <v>0.874999999999998</v>
      </c>
    </row>
    <row r="62" spans="2:128" ht="10.5" customHeight="1">
      <c r="B62" s="51">
        <v>0.25</v>
      </c>
      <c r="C62" s="51">
        <v>0.25</v>
      </c>
      <c r="D62" s="51">
        <v>0.25</v>
      </c>
      <c r="E62" s="52">
        <v>0.88541666666666496</v>
      </c>
      <c r="F62" s="53" t="str">
        <f>IF(Tim!F64=Sheet6!$C$2,Sheet6!$C$2,IF(Tim!F64=Sheet6!$C$3,Sheet6!$C$3,IF(Tim!F64=Sheet6!$C$4,Sheet6!$C$4,IF(Tim!F64=Sheet6!$C$5,Sheet6!$C$5,IF(Tim!F64=Sheet6!$C$6,Sheet6!$C$6,IF(Tim!F64=Sheet6!$C$7,Sheet6!$C$7,IF(Tim!F64=Sheet6!$C$8,Sheet6!$C$8,"")))))))</f>
        <v/>
      </c>
      <c r="G62" s="53" t="str">
        <f>IF(Tim!G64=Sheet6!$C$2,Sheet6!$C$2,IF(Tim!G64=Sheet6!$C$3,Sheet6!$C$3,IF(Tim!G64=Sheet6!$C$4,Sheet6!$C$4,IF(Tim!G64=Sheet6!$C$5,Sheet6!$C$5,IF(Tim!G64=Sheet6!$C$6,Sheet6!$C$6,IF(Tim!G64=Sheet6!$C$7,Sheet6!$C$7,IF(Tim!G64=Sheet6!$C$8,Sheet6!$C$8,"")))))))</f>
        <v/>
      </c>
      <c r="H62" s="53" t="str">
        <f>IF(Tim!H64=Sheet6!$C$2,Sheet6!$C$2,IF(Tim!H64=Sheet6!$C$3,Sheet6!$C$3,IF(Tim!H64=Sheet6!$C$4,Sheet6!$C$4,IF(Tim!H64=Sheet6!$C$5,Sheet6!$C$5,IF(Tim!H64=Sheet6!$C$6,Sheet6!$C$6,IF(Tim!H64=Sheet6!$C$7,Sheet6!$C$7,IF(Tim!H64=Sheet6!$C$8,Sheet6!$C$8,"")))))))</f>
        <v/>
      </c>
      <c r="I62" s="53" t="str">
        <f>IF(Tim!L64=Sheet6!$C$2,Sheet6!$C$2,IF(Tim!L64=Sheet6!$C$3,Sheet6!$C$3,IF(Tim!L64=Sheet6!$C$4,Sheet6!$C$4,IF(Tim!L64=Sheet6!$C$5,Sheet6!$C$5,IF(Tim!L64=Sheet6!$C$6,Sheet6!$C$6,IF(Tim!L64=Sheet6!$C$7,Sheet6!$C$7,IF(Tim!L64=Sheet6!$C$8,Sheet6!$C$8,"")))))))</f>
        <v/>
      </c>
      <c r="J62" s="53" t="str">
        <f>IF(Tim!T64=Sheet6!$C$2,Sheet6!$C$2,IF(Tim!T64=Sheet6!$C$3,Sheet6!$C$3,IF(Tim!T64=Sheet6!$C$4,Sheet6!$C$4,IF(Tim!T64=Sheet6!$C$5,Sheet6!$C$5,IF(Tim!T64=Sheet6!$C$6,Sheet6!$C$6,IF(Tim!T64=Sheet6!$C$7,Sheet6!$C$7,IF(Tim!T64=Sheet6!$C$8,Sheet6!$C$8,"")))))))</f>
        <v/>
      </c>
      <c r="K62" s="53" t="str">
        <f>IF(Tim!AB64=Sheet6!$C$2,Sheet6!$C$2,IF(Tim!AB64=Sheet6!$C$3,Sheet6!$C$3,IF(Tim!AB64=Sheet6!$C$4,Sheet6!$C$4,IF(Tim!AB64=Sheet6!$C$5,Sheet6!$C$5,IF(Tim!AB64=Sheet6!$C$6,Sheet6!$C$6,IF(Tim!AB64=Sheet6!$C$7,Sheet6!$C$7,IF(Tim!AB64=Sheet6!$C$8,Sheet6!$C$8,"")))))))</f>
        <v/>
      </c>
      <c r="L62" s="53" t="str">
        <f>IF(Tim!AC64=Sheet6!$C$2,Sheet6!$C$2,IF(Tim!AC64=Sheet6!$C$3,Sheet6!$C$3,IF(Tim!AC64=Sheet6!$C$4,Sheet6!$C$4,IF(Tim!AC64=Sheet6!$C$5,Sheet6!$C$5,IF(Tim!AC64=Sheet6!$C$6,Sheet6!$C$6,IF(Tim!AC64=Sheet6!$C$7,Sheet6!$C$7,IF(Tim!AC64=Sheet6!$C$8,Sheet6!$C$8,"")))))))</f>
        <v/>
      </c>
      <c r="M62" s="53" t="str">
        <f>IF(Tim!AJ64=Sheet6!$C$2,Sheet6!$C$2,IF(Tim!AJ64=Sheet6!$C$3,Sheet6!$C$3,IF(Tim!AJ64=Sheet6!$C$4,Sheet6!$C$4,IF(Tim!AJ64=Sheet6!$C$5,Sheet6!$C$5,IF(Tim!AJ64=Sheet6!$C$6,Sheet6!$C$6,IF(Tim!AJ64=Sheet6!$C$7,Sheet6!$C$7,IF(Tim!AJ64=Sheet6!$C$8,Sheet6!$C$8,"")))))))</f>
        <v/>
      </c>
      <c r="N62" s="53" t="str">
        <f>IF(Tim!AK64=Sheet6!$C$2,Sheet6!$C$2,IF(Tim!AK64=Sheet6!$C$3,Sheet6!$C$3,IF(Tim!AK64=Sheet6!$C$4,Sheet6!$C$4,IF(Tim!AK64=Sheet6!$C$5,Sheet6!$C$5,IF(Tim!AK64=Sheet6!$C$6,Sheet6!$C$6,IF(Tim!AK64=Sheet6!$C$7,Sheet6!$C$7,IF(Tim!AK64=Sheet6!$C$8,Sheet6!$C$8,"")))))))</f>
        <v/>
      </c>
      <c r="O62" s="53" t="str">
        <f>IF(Tim!AL64=Sheet6!$C$2,Sheet6!$C$2,IF(Tim!AL64=Sheet6!$C$3,Sheet6!$C$3,IF(Tim!AL64=Sheet6!$C$4,Sheet6!$C$4,IF(Tim!AL64=Sheet6!$C$5,Sheet6!$C$5,IF(Tim!AL64=Sheet6!$C$6,Sheet6!$C$6,IF(Tim!AL64=Sheet6!$C$7,Sheet6!$C$7,IF(Tim!AL64=Sheet6!$C$8,Sheet6!$C$8,"")))))))</f>
        <v/>
      </c>
      <c r="P62" s="53" t="str">
        <f>IF(Tim!AN64=Sheet6!$C$2,Sheet6!$C$2,IF(Tim!AN64=Sheet6!$C$3,Sheet6!$C$3,IF(Tim!AN64=Sheet6!$C$4,Sheet6!$C$4,IF(Tim!AN64=Sheet6!$C$5,Sheet6!$C$5,IF(Tim!AN64=Sheet6!$C$6,Sheet6!$C$6,IF(Tim!AN64=Sheet6!$C$7,Sheet6!$C$7,IF(Tim!AN64=Sheet6!$C$8,Sheet6!$C$8,"")))))))</f>
        <v/>
      </c>
      <c r="Q62" s="176" t="str">
        <f>IF(Tim!AO64=Sheet6!$C$2,Sheet6!$C$2,IF(Tim!AO64=Sheet6!$C$3,Sheet6!$C$3,IF(Tim!AO64=Sheet6!$C$4,Sheet6!$C$4,IF(Tim!AO64=Sheet6!$C$5,Sheet6!$C$5,IF(Tim!AO64=Sheet6!$C$6,Sheet6!$C$6,IF(Tim!AO64=Sheet6!$C$7,Sheet6!$C$7,IF(Tim!AO64=Sheet6!$C$8,Sheet6!$C$8,"")))))))</f>
        <v/>
      </c>
      <c r="R62" s="53" t="str">
        <f>IF(Tim!AP64=Sheet6!$C$2,Sheet6!$C$2,IF(Tim!AP64=Sheet6!$C$3,Sheet6!$C$3,IF(Tim!AP64=Sheet6!$C$4,Sheet6!$C$4,IF(Tim!AP64=Sheet6!$C$5,Sheet6!$C$5,IF(Tim!AP64=Sheet6!$C$6,Sheet6!$C$6,IF(Tim!AP64=Sheet6!$C$7,Sheet6!$C$7,IF(Tim!AP64=Sheet6!$C$8,Sheet6!$C$8,"")))))))</f>
        <v/>
      </c>
      <c r="S62" s="53" t="str">
        <f>IF(Tim!AT64=Sheet6!$C$2,Sheet6!$C$2,IF(Tim!AT64=Sheet6!$C$3,Sheet6!$C$3,IF(Tim!AT64=Sheet6!$C$4,Sheet6!$C$4,IF(Tim!AT64=Sheet6!$C$5,Sheet6!$C$5,IF(Tim!AT64=Sheet6!$C$6,Sheet6!$C$6,IF(Tim!AT64=Sheet6!$C$7,Sheet6!$C$7,IF(Tim!AT64=Sheet6!$C$8,Sheet6!$C$8,"")))))))</f>
        <v/>
      </c>
      <c r="T62" s="54" t="str">
        <f>IF(Tim!AU64=Sheet6!$C$2,Sheet6!$C$2,IF(Tim!AU64=Sheet6!$C$3,Sheet6!$C$3,IF(Tim!AU64=Sheet6!$C$4,Sheet6!$C$4,IF(Tim!AU64=Sheet6!$C$5,Sheet6!$C$5,IF(Tim!AU64=Sheet6!$C$6,Sheet6!$C$6,IF(Tim!AU64=Sheet6!$C$7,Sheet6!$C$7,IF(Tim!AU64=Sheet6!$C$8,Sheet6!$C$8,"")))))))</f>
        <v/>
      </c>
      <c r="U62" s="54" t="str">
        <f>IF(Tim!AV64=Sheet6!$C$2,Sheet6!$C$2,IF(Tim!AV64=Sheet6!$C$3,Sheet6!$C$3,IF(Tim!AV64=Sheet6!$C$4,Sheet6!$C$4,IF(Tim!AV64=Sheet6!$C$5,Sheet6!$C$5,IF(Tim!AV64=Sheet6!$C$6,Sheet6!$C$6,IF(Tim!AV64=Sheet6!$C$7,Sheet6!$C$7,IF(Tim!AV64=Sheet6!$C$8,Sheet6!$C$8,"")))))))</f>
        <v/>
      </c>
      <c r="V62" s="54" t="str">
        <f>IF(Tim!AW64=Sheet6!$C$2,Sheet6!$C$2,IF(Tim!AW64=Sheet6!$C$3,Sheet6!$C$3,IF(Tim!AW64=Sheet6!$C$4,Sheet6!$C$4,IF(Tim!AW64=Sheet6!$C$5,Sheet6!$C$5,IF(Tim!AW64=Sheet6!$C$6,Sheet6!$C$6,IF(Tim!AW64=Sheet6!$C$7,Sheet6!$C$7,IF(Tim!AW64=Sheet6!$C$8,Sheet6!$C$8,"")))))))</f>
        <v/>
      </c>
      <c r="W62" s="55" t="str">
        <f>IF(Tim!AX64=Sheet6!$C$2,Sheet6!$C$2,IF(Tim!AX64=Sheet6!$C$3,Sheet6!$C$3,IF(Tim!AX64=Sheet6!$C$4,Sheet6!$C$4,IF(Tim!AX64=Sheet6!$C$5,Sheet6!$C$5,IF(Tim!AX64=Sheet6!$C$6,Sheet6!$C$6,IF(Tim!AX64=Sheet6!$C$7,Sheet6!$C$7,IF(Tim!AX64=Sheet6!$C$8,Sheet6!$C$8,"")))))))</f>
        <v/>
      </c>
      <c r="X62" s="53" t="str">
        <f>IF(Tim!AY64=Sheet6!$C$2,Sheet6!$C$2,IF(Tim!AY64=Sheet6!$C$3,Sheet6!$C$3,IF(Tim!AY64=Sheet6!$C$4,Sheet6!$C$4,IF(Tim!AY64=Sheet6!$C$5,Sheet6!$C$5,IF(Tim!AY64=Sheet6!$C$6,Sheet6!$C$6,IF(Tim!AY64=Sheet6!$C$7,Sheet6!$C$7,IF(Tim!AY64=Sheet6!$C$8,Sheet6!$C$8,"")))))))</f>
        <v/>
      </c>
      <c r="Y62" s="57" t="str">
        <f>IF(Tim!AZ64=Sheet6!$C$2,Sheet6!$C$2,IF(Tim!AZ64=Sheet6!$C$3,Sheet6!$C$3,IF(Tim!AZ64=Sheet6!$C$4,Sheet6!$C$4,IF(Tim!AZ64=Sheet6!$C$5,Sheet6!$C$5,IF(Tim!AZ64=Sheet6!$C$6,Sheet6!$C$6,IF(Tim!AZ64=Sheet6!$C$7,Sheet6!$C$7,IF(Tim!AZ64=Sheet6!$C$8,Sheet6!$C$8,"")))))))</f>
        <v/>
      </c>
      <c r="Z62" s="57" t="str">
        <f>IF(Tim!BD64=Sheet6!$C$2,Sheet6!$C$2,IF(Tim!BD64=Sheet6!$C$3,Sheet6!$C$3,IF(Tim!BD64=Sheet6!$C$4,Sheet6!$C$4,IF(Tim!BD64=Sheet6!$C$5,Sheet6!$C$5,IF(Tim!BD64=Sheet6!$C$6,Sheet6!$C$6,IF(Tim!BD64=Sheet6!$C$7,Sheet6!$C$7,IF(Tim!BD64=Sheet6!$C$8,Sheet6!$C$8,"")))))))</f>
        <v/>
      </c>
      <c r="AA62" s="57" t="str">
        <f>IF(Tim!BE64=Sheet6!$C$2,Sheet6!$C$2,IF(Tim!BE64=Sheet6!$C$3,Sheet6!$C$3,IF(Tim!BE64=Sheet6!$C$4,Sheet6!$C$4,IF(Tim!BE64=Sheet6!$C$5,Sheet6!$C$5,IF(Tim!BE64=Sheet6!$C$6,Sheet6!$C$6,IF(Tim!BE64=Sheet6!$C$7,Sheet6!$C$7,IF(Tim!BE64=Sheet6!$C$8,Sheet6!$C$8,"")))))))</f>
        <v/>
      </c>
      <c r="AB62" s="57" t="str">
        <f>IF(Tim!BL64=Sheet6!$C$2,Sheet6!$C$2,IF(Tim!BL64=Sheet6!$C$3,Sheet6!$C$3,IF(Tim!BL64=Sheet6!$C$4,Sheet6!$C$4,IF(Tim!BL64=Sheet6!$C$5,Sheet6!$C$5,IF(Tim!BL64=Sheet6!$C$6,Sheet6!$C$6,IF(Tim!BL64=Sheet6!$C$7,Sheet6!$C$7,IF(Tim!BL64=Sheet6!$C$8,Sheet6!$C$8,"")))))))</f>
        <v/>
      </c>
      <c r="AC62" s="53" t="str">
        <f>IF(Tim!BT64=Sheet6!$C$2,Sheet6!$C$2,IF(Tim!BT64=Sheet6!$C$3,Sheet6!$C$3,IF(Tim!BT64=Sheet6!$C$4,Sheet6!$C$4,IF(Tim!BT64=Sheet6!$C$5,Sheet6!$C$5,IF(Tim!BT64=Sheet6!$C$6,Sheet6!$C$6,IF(Tim!BT64=Sheet6!$C$7,Sheet6!$C$7,IF(Tim!BT64=Sheet6!$C$8,Sheet6!$C$8,"")))))))</f>
        <v/>
      </c>
      <c r="AD62" s="181" t="str">
        <f>IF(Tim!BU64=Sheet6!$C$2,Sheet6!$C$2,IF(Tim!BU64=Sheet6!$C$3,Sheet6!$C$3,IF(Tim!BU64=Sheet6!$C$4,Sheet6!$C$4,IF(Tim!BU64=Sheet6!$C$5,Sheet6!$C$5,IF(Tim!BU64=Sheet6!$C$6,Sheet6!$C$6,IF(Tim!BU64=Sheet6!$C$7,Sheet6!$C$7,IF(Tim!BU64=Sheet6!$C$8,Sheet6!$C$8,"")))))))</f>
        <v/>
      </c>
      <c r="AE62" s="53" t="str">
        <f>IF(Tim!CB64=Sheet6!$C$2,Sheet6!$C$2,IF(Tim!CB64=Sheet6!$C$3,Sheet6!$C$3,IF(Tim!CB64=Sheet6!$C$4,Sheet6!$C$4,IF(Tim!CB64=Sheet6!$C$5,Sheet6!$C$5,IF(Tim!CB64=Sheet6!$C$6,Sheet6!$C$6,IF(Tim!CB64=Sheet6!$C$7,Sheet6!$C$7,IF(Tim!CB64=Sheet6!$C$8,Sheet6!$C$8,"")))))))</f>
        <v/>
      </c>
      <c r="AF62" s="53" t="str">
        <f>IF(Tim!CD64=Sheet6!$C$2,Sheet6!$C$2,IF(Tim!CD64=Sheet6!$C$3,Sheet6!$C$3,IF(Tim!CD64=Sheet6!$C$4,Sheet6!$C$4,IF(Tim!CD64=Sheet6!$C$5,Sheet6!$C$5,IF(Tim!CD64=Sheet6!$C$6,Sheet6!$C$6,IF(Tim!CD64=Sheet6!$C$7,Sheet6!$C$7,IF(Tim!CD64=Sheet6!$C$8,Sheet6!$C$8,"")))))))</f>
        <v/>
      </c>
      <c r="AG62" s="53" t="str">
        <f>IF(Tim!CE64=Sheet6!$C$2,Sheet6!$C$2,IF(Tim!CE64=Sheet6!$C$3,Sheet6!$C$3,IF(Tim!CE64=Sheet6!$C$4,Sheet6!$C$4,IF(Tim!CE64=Sheet6!$C$5,Sheet6!$C$5,IF(Tim!CE64=Sheet6!$C$6,Sheet6!$C$6,IF(Tim!CE64=Sheet6!$C$7,Sheet6!$C$7,IF(Tim!CE64=Sheet6!$C$8,Sheet6!$C$8,"")))))))</f>
        <v/>
      </c>
      <c r="AH62" s="176" t="str">
        <f>IF(Tim!CF64=Sheet6!$C$2,Sheet6!$C$2,IF(Tim!CF64=Sheet6!$C$3,Sheet6!$C$3,IF(Tim!CF64=Sheet6!$C$4,Sheet6!$C$4,IF(Tim!CF64=Sheet6!$C$5,Sheet6!$C$5,IF(Tim!CF64=Sheet6!$C$6,Sheet6!$C$6,IF(Tim!CF64=Sheet6!$C$7,Sheet6!$C$7,IF(Tim!CF64=Sheet6!$C$8,Sheet6!$C$8,"")))))))</f>
        <v/>
      </c>
      <c r="AI62" s="176" t="str">
        <f>IF(Tim!CG64=Sheet6!$C$2,Sheet6!$C$2,IF(Tim!CG64=Sheet6!$C$3,Sheet6!$C$3,IF(Tim!CG64=Sheet6!$C$4,Sheet6!$C$4,IF(Tim!CG64=Sheet6!$C$5,Sheet6!$C$5,IF(Tim!CG64=Sheet6!$C$6,Sheet6!$C$6,IF(Tim!CG64=Sheet6!$C$7,Sheet6!$C$7,IF(Tim!CG64=Sheet6!$C$8,Sheet6!$C$8,"")))))))</f>
        <v/>
      </c>
      <c r="AJ62" s="53" t="str">
        <f>IF(Tim!CH64=Sheet6!$C$2,Sheet6!$C$2,IF(Tim!CH64=Sheet6!$C$3,Sheet6!$C$3,IF(Tim!CH64=Sheet6!$C$4,Sheet6!$C$4,IF(Tim!CH64=Sheet6!$C$5,Sheet6!$C$5,IF(Tim!CH64=Sheet6!$C$6,Sheet6!$C$6,IF(Tim!CH64=Sheet6!$C$7,Sheet6!$C$7,IF(Tim!CH64=Sheet6!$C$8,Sheet6!$C$8,"")))))))</f>
        <v/>
      </c>
      <c r="AK62" s="53" t="str">
        <f>IF(Tim!CL64=Sheet6!$C$2,Sheet6!$C$2,IF(Tim!CL64=Sheet6!$C$3,Sheet6!$C$3,IF(Tim!CL64=Sheet6!$C$4,Sheet6!$C$4,IF(Tim!CL64=Sheet6!$C$5,Sheet6!$C$5,IF(Tim!CL64=Sheet6!$C$6,Sheet6!$C$6,IF(Tim!CL64=Sheet6!$C$7,Sheet6!$C$7,IF(Tim!CL64=Sheet6!$C$8,Sheet6!$C$8,"")))))))</f>
        <v/>
      </c>
      <c r="AL62" s="54" t="str">
        <f>IF(Tim!CM64=Sheet6!$C$2,Sheet6!$C$2,IF(Tim!CM64=Sheet6!$C$3,Sheet6!$C$3,IF(Tim!CM64=Sheet6!$C$4,Sheet6!$C$4,IF(Tim!CM64=Sheet6!$C$5,Sheet6!$C$5,IF(Tim!CM64=Sheet6!$C$6,Sheet6!$C$6,IF(Tim!CM64=Sheet6!$C$7,Sheet6!$C$7,IF(Tim!CM64=Sheet6!$C$8,Sheet6!$C$8,"")))))))</f>
        <v/>
      </c>
      <c r="AM62" s="53" t="str">
        <f>IF(Tim!CN64=Sheet6!$C$2,Sheet6!$C$2,IF(Tim!CN64=Sheet6!$C$3,Sheet6!$C$3,IF(Tim!CN64=Sheet6!$C$4,Sheet6!$C$4,IF(Tim!CN64=Sheet6!$C$5,Sheet6!$C$5,IF(Tim!CN64=Sheet6!$C$6,Sheet6!$C$6,IF(Tim!CN64=Sheet6!$C$7,Sheet6!$C$7,IF(Tim!CN64=Sheet6!$C$8,Sheet6!$C$8,"")))))))</f>
        <v/>
      </c>
      <c r="AN62" s="54" t="str">
        <f>IF(Tim!CO64=Sheet6!$C$2,Sheet6!$C$2,IF(Tim!CO64=Sheet6!$C$3,Sheet6!$C$3,IF(Tim!CO64=Sheet6!$C$4,Sheet6!$C$4,IF(Tim!CO64=Sheet6!$C$5,Sheet6!$C$5,IF(Tim!CO64=Sheet6!$C$6,Sheet6!$C$6,IF(Tim!CO64=Sheet6!$C$7,Sheet6!$C$7,IF(Tim!CO64=Sheet6!$C$8,Sheet6!$C$8,"")))))))</f>
        <v/>
      </c>
      <c r="AO62" s="177" t="str">
        <f>IF(Tim!CP64=Sheet6!$C$2,Sheet6!$C$2,IF(Tim!CP64=Sheet6!$C$3,Sheet6!$C$3,IF(Tim!CP64=Sheet6!$C$4,Sheet6!$C$4,IF(Tim!CP64=Sheet6!$C$5,Sheet6!$C$5,IF(Tim!CP64=Sheet6!$C$6,Sheet6!$C$6,IF(Tim!CP64=Sheet6!$C$7,Sheet6!$C$7,IF(Tim!CP64=Sheet6!$C$8,Sheet6!$C$8,"")))))))</f>
        <v/>
      </c>
      <c r="AP62" s="53" t="str">
        <f>IF(Tim!CQ64=Sheet6!$C$2,Sheet6!$C$2,IF(Tim!CQ64=Sheet6!$C$3,Sheet6!$C$3,IF(Tim!CQ64=Sheet6!$C$4,Sheet6!$C$4,IF(Tim!CQ64=Sheet6!$C$5,Sheet6!$C$5,IF(Tim!CQ64=Sheet6!$C$6,Sheet6!$C$6,IF(Tim!CQ64=Sheet6!$C$7,Sheet6!$C$7,IF(Tim!CQ64=Sheet6!$C$8,Sheet6!$C$8,"")))))))</f>
        <v/>
      </c>
      <c r="AQ62" s="57" t="str">
        <f>IF(Tim!CR64=Sheet6!$C$2,Sheet6!$C$2,IF(Tim!CR64=Sheet6!$C$3,Sheet6!$C$3,IF(Tim!CR64=Sheet6!$C$4,Sheet6!$C$4,IF(Tim!CR64=Sheet6!$C$5,Sheet6!$C$5,IF(Tim!CR64=Sheet6!$C$6,Sheet6!$C$6,IF(Tim!CR64=Sheet6!$C$7,Sheet6!$C$7,IF(Tim!CR64=Sheet6!$C$8,Sheet6!$C$8,"")))))))</f>
        <v/>
      </c>
      <c r="AR62" s="57" t="str">
        <f>IF(Tim!CV64=Sheet6!$C$2,Sheet6!$C$2,IF(Tim!CV64=Sheet6!$C$3,Sheet6!$C$3,IF(Tim!CV64=Sheet6!$C$4,Sheet6!$C$4,IF(Tim!CV64=Sheet6!$C$5,Sheet6!$C$5,IF(Tim!CV64=Sheet6!$C$6,Sheet6!$C$6,IF(Tim!CV64=Sheet6!$C$7,Sheet6!$C$7,IF(Tim!CV64=Sheet6!$C$8,Sheet6!$C$8,"")))))))</f>
        <v/>
      </c>
      <c r="AS62" s="57" t="str">
        <f>IF(Tim!CW64=Sheet6!$C$2,Sheet6!$C$2,IF(Tim!CW64=Sheet6!$C$3,Sheet6!$C$3,IF(Tim!CW64=Sheet6!$C$4,Sheet6!$C$4,IF(Tim!CW64=Sheet6!$C$5,Sheet6!$C$5,IF(Tim!CW64=Sheet6!$C$6,Sheet6!$C$6,IF(Tim!CW64=Sheet6!$C$7,Sheet6!$C$7,IF(Tim!CW64=Sheet6!$C$8,Sheet6!$C$8,"")))))))</f>
        <v/>
      </c>
      <c r="AT62" s="57" t="str">
        <f>IF(Tim!DA64=Sheet6!$C$2,Sheet6!$C$2,IF(Tim!DA64=Sheet6!$C$3,Sheet6!$C$3,IF(Tim!DA64=Sheet6!$C$4,Sheet6!$C$4,IF(Tim!DA64=Sheet6!$C$5,Sheet6!$C$5,IF(Tim!DA64=Sheet6!$C$6,Sheet6!$C$6,IF(Tim!DA64=Sheet6!$C$7,Sheet6!$C$7,IF(Tim!DA64=Sheet6!$C$8,Sheet6!$C$8,"")))))))</f>
        <v/>
      </c>
      <c r="AU62" s="53" t="str">
        <f>IF(Tim!DO64=Sheet6!$C$2,Sheet6!$C$2,IF(Tim!DO64=Sheet6!$C$3,Sheet6!$C$3,IF(Tim!DO64=Sheet6!$C$4,Sheet6!$C$4,IF(Tim!DO64=Sheet6!$C$5,Sheet6!$C$5,IF(Tim!DO64=Sheet6!$C$6,Sheet6!$C$6,IF(Tim!DO64=Sheet6!$C$7,Sheet6!$C$7,IF(Tim!DO64=Sheet6!$C$8,Sheet6!$C$8,"")))))))</f>
        <v/>
      </c>
      <c r="AV62" s="53" t="str">
        <f>IF(Tim!DP64=Sheet6!$C$2,Sheet6!$C$2,IF(Tim!DP64=Sheet6!$C$3,Sheet6!$C$3,IF(Tim!DP64=Sheet6!$C$4,Sheet6!$C$4,IF(Tim!DP64=Sheet6!$C$5,Sheet6!$C$5,IF(Tim!DP64=Sheet6!$C$6,Sheet6!$C$6,IF(Tim!DP64=Sheet6!$C$7,Sheet6!$C$7,IF(Tim!DP64=Sheet6!$C$8,Sheet6!$C$8,"")))))))</f>
        <v/>
      </c>
      <c r="AW62" s="53" t="str">
        <f>IF(Tim!DX64=Sheet6!$C$2,Sheet6!$C$2,IF(Tim!DX64=Sheet6!$C$3,Sheet6!$C$3,IF(Tim!DX64=Sheet6!$C$4,Sheet6!$C$4,IF(Tim!DX64=Sheet6!$C$5,Sheet6!$C$5,IF(Tim!DX64=Sheet6!$C$6,Sheet6!$C$6,IF(Tim!DX64=Sheet6!$C$7,Sheet6!$C$7,IF(Tim!DX64=Sheet6!$C$8,Sheet6!$C$8,"")))))))</f>
        <v/>
      </c>
      <c r="AX62" s="53" t="str">
        <f>IF(Tim!DY64=Sheet6!$C$2,Sheet6!$C$2,IF(Tim!DY64=Sheet6!$C$3,Sheet6!$C$3,IF(Tim!DY64=Sheet6!$C$4,Sheet6!$C$4,IF(Tim!DY64=Sheet6!$C$5,Sheet6!$C$5,IF(Tim!DY64=Sheet6!$C$6,Sheet6!$C$6,IF(Tim!DY64=Sheet6!$C$7,Sheet6!$C$7,IF(Tim!DY64=Sheet6!$C$8,Sheet6!$C$8,"")))))))</f>
        <v/>
      </c>
      <c r="AY62" s="53" t="str">
        <f>IF(Tim!DZ64=Sheet6!$C$2,Sheet6!$C$2,IF(Tim!DZ64=Sheet6!$C$3,Sheet6!$C$3,IF(Tim!DZ64=Sheet6!$C$4,Sheet6!$C$4,IF(Tim!DZ64=Sheet6!$C$5,Sheet6!$C$5,IF(Tim!DZ64=Sheet6!$C$6,Sheet6!$C$6,IF(Tim!DZ64=Sheet6!$C$7,Sheet6!$C$7,IF(Tim!DZ64=Sheet6!$C$8,Sheet6!$C$8,"")))))))</f>
        <v/>
      </c>
      <c r="AZ62" s="176" t="str">
        <f>IF(Tim!EA64=Sheet6!$C$2,Sheet6!$C$2,IF(Tim!EA64=Sheet6!$C$3,Sheet6!$C$3,IF(Tim!EA64=Sheet6!$C$4,Sheet6!$C$4,IF(Tim!EA64=Sheet6!$C$5,Sheet6!$C$5,IF(Tim!EA64=Sheet6!$C$6,Sheet6!$C$6,IF(Tim!EA64=Sheet6!$C$7,Sheet6!$C$7,IF(Tim!EA64=Sheet6!$C$8,Sheet6!$C$8,"")))))))</f>
        <v/>
      </c>
      <c r="BA62" s="176" t="str">
        <f>IF(Tim!EB64=Sheet6!$C$2,Sheet6!$C$2,IF(Tim!EB64=Sheet6!$C$3,Sheet6!$C$3,IF(Tim!EB64=Sheet6!$C$4,Sheet6!$C$4,IF(Tim!EB64=Sheet6!$C$5,Sheet6!$C$5,IF(Tim!EB64=Sheet6!$C$6,Sheet6!$C$6,IF(Tim!EB64=Sheet6!$C$7,Sheet6!$C$7,IF(Tim!EB64=Sheet6!$C$8,Sheet6!$C$8,"")))))))</f>
        <v/>
      </c>
      <c r="BB62" s="53" t="str">
        <f>IF(Tim!EC64=Sheet6!$C$2,Sheet6!$C$2,IF(Tim!EC64=Sheet6!$C$3,Sheet6!$C$3,IF(Tim!EC64=Sheet6!$C$4,Sheet6!$C$4,IF(Tim!EC64=Sheet6!$C$5,Sheet6!$C$5,IF(Tim!EC64=Sheet6!$C$6,Sheet6!$C$6,IF(Tim!EC64=Sheet6!$C$7,Sheet6!$C$7,IF(Tim!EC64=Sheet6!$C$8,Sheet6!$C$8,"")))))))</f>
        <v/>
      </c>
      <c r="BC62" s="53" t="str">
        <f>IF(Tim!EG64=Sheet6!$C$2,Sheet6!$C$2,IF(Tim!EG64=Sheet6!$C$3,Sheet6!$C$3,IF(Tim!EG64=Sheet6!$C$4,Sheet6!$C$4,IF(Tim!EG64=Sheet6!$C$5,Sheet6!$C$5,IF(Tim!EG64=Sheet6!$C$6,Sheet6!$C$6,IF(Tim!EG64=Sheet6!$C$7,Sheet6!$C$7,IF(Tim!EG64=Sheet6!$C$8,Sheet6!$C$8,"")))))))</f>
        <v/>
      </c>
      <c r="BD62" s="53" t="str">
        <f>IF(Tim!EH64=Sheet6!$C$2,Sheet6!$C$2,IF(Tim!EH64=Sheet6!$C$3,Sheet6!$C$3,IF(Tim!EH64=Sheet6!$C$4,Sheet6!$C$4,IF(Tim!EH64=Sheet6!$C$5,Sheet6!$C$5,IF(Tim!EH64=Sheet6!$C$6,Sheet6!$C$6,IF(Tim!EH64=Sheet6!$C$7,Sheet6!$C$7,IF(Tim!EH64=Sheet6!$C$8,Sheet6!$C$8,"")))))))</f>
        <v/>
      </c>
      <c r="BE62" s="54" t="str">
        <f>IF(Tim!EI64=Sheet6!$C$2,Sheet6!$C$2,IF(Tim!EI64=Sheet6!$C$3,Sheet6!$C$3,IF(Tim!EI64=Sheet6!$C$4,Sheet6!$C$4,IF(Tim!EI64=Sheet6!$C$5,Sheet6!$C$5,IF(Tim!EI64=Sheet6!$C$6,Sheet6!$C$6,IF(Tim!EI64=Sheet6!$C$7,Sheet6!$C$7,IF(Tim!EI64=Sheet6!$C$8,Sheet6!$C$8,"")))))))</f>
        <v/>
      </c>
      <c r="BF62" s="54" t="str">
        <f>IF(Tim!EJ64=Sheet6!$C$2,Sheet6!$C$2,IF(Tim!EJ64=Sheet6!$C$3,Sheet6!$C$3,IF(Tim!EJ64=Sheet6!$C$4,Sheet6!$C$4,IF(Tim!EJ64=Sheet6!$C$5,Sheet6!$C$5,IF(Tim!EJ64=Sheet6!$C$6,Sheet6!$C$6,IF(Tim!EJ64=Sheet6!$C$7,Sheet6!$C$7,IF(Tim!EJ64=Sheet6!$C$8,Sheet6!$C$8,"")))))))</f>
        <v/>
      </c>
      <c r="BG62" s="55" t="str">
        <f>IF(Tim!EK64=Sheet6!$C$2,Sheet6!$C$2,IF(Tim!EK64=Sheet6!$C$3,Sheet6!$C$3,IF(Tim!EK64=Sheet6!$C$4,Sheet6!$C$4,IF(Tim!EK64=Sheet6!$C$5,Sheet6!$C$5,IF(Tim!EK64=Sheet6!$C$6,Sheet6!$C$6,IF(Tim!EK64=Sheet6!$C$7,Sheet6!$C$7,IF(Tim!EK64=Sheet6!$C$8,Sheet6!$C$8,"")))))))</f>
        <v/>
      </c>
      <c r="BH62" s="53" t="str">
        <f>IF(Tim!EL64=Sheet6!$C$2,Sheet6!$C$2,IF(Tim!EL64=Sheet6!$C$3,Sheet6!$C$3,IF(Tim!EL64=Sheet6!$C$4,Sheet6!$C$4,IF(Tim!EL64=Sheet6!$C$5,Sheet6!$C$5,IF(Tim!EL64=Sheet6!$C$6,Sheet6!$C$6,IF(Tim!EL64=Sheet6!$C$7,Sheet6!$C$7,IF(Tim!EL64=Sheet6!$C$8,Sheet6!$C$8,"")))))))</f>
        <v/>
      </c>
      <c r="BI62" s="57" t="str">
        <f>IF(Tim!EM64=Sheet6!$C$2,Sheet6!$C$2,IF(Tim!EM64=Sheet6!$C$3,Sheet6!$C$3,IF(Tim!EM64=Sheet6!$C$4,Sheet6!$C$4,IF(Tim!EM64=Sheet6!$C$5,Sheet6!$C$5,IF(Tim!EM64=Sheet6!$C$6,Sheet6!$C$6,IF(Tim!EM64=Sheet6!$C$7,Sheet6!$C$7,IF(Tim!EM64=Sheet6!$C$8,Sheet6!$C$8,"")))))))</f>
        <v/>
      </c>
      <c r="BJ62" s="57" t="str">
        <f>IF(Tim!EQ64=Sheet6!$C$2,Sheet6!$C$2,IF(Tim!EQ64=Sheet6!$C$3,Sheet6!$C$3,IF(Tim!EQ64=Sheet6!$C$4,Sheet6!$C$4,IF(Tim!EQ64=Sheet6!$C$5,Sheet6!$C$5,IF(Tim!EQ64=Sheet6!$C$6,Sheet6!$C$6,IF(Tim!EQ64=Sheet6!$C$7,Sheet6!$C$7,IF(Tim!EQ64=Sheet6!$C$8,Sheet6!$C$8,"")))))))</f>
        <v/>
      </c>
      <c r="BK62" s="57" t="str">
        <f>IF(Tim!ER64=Sheet6!$C$2,Sheet6!$C$2,IF(Tim!ER64=Sheet6!$C$3,Sheet6!$C$3,IF(Tim!ER64=Sheet6!$C$4,Sheet6!$C$4,IF(Tim!ER64=Sheet6!$C$5,Sheet6!$C$5,IF(Tim!ER64=Sheet6!$C$6,Sheet6!$C$6,IF(Tim!ER64=Sheet6!$C$7,Sheet6!$C$7,IF(Tim!ER64=Sheet6!$C$8,Sheet6!$C$8,"")))))))</f>
        <v/>
      </c>
      <c r="BL62" s="57" t="str">
        <f>IF(Tim!EZ64=Sheet6!$C$2,Sheet6!$C$2,IF(Tim!EZ64=Sheet6!$C$3,Sheet6!$C$3,IF(Tim!EZ64=Sheet6!$C$4,Sheet6!$C$4,IF(Tim!EZ64=Sheet6!$C$5,Sheet6!$C$5,IF(Tim!EZ64=Sheet6!$C$6,Sheet6!$C$6,IF(Tim!EZ64=Sheet6!$C$7,Sheet6!$C$7,IF(Tim!EZ64=Sheet6!$C$8,Sheet6!$C$8,"")))))))</f>
        <v/>
      </c>
      <c r="BM62" s="53" t="str">
        <f>IF(Tim!FG64=Sheet6!$C$2,Sheet6!$C$2,IF(Tim!FG64=Sheet6!$C$3,Sheet6!$C$3,IF(Tim!FG64=Sheet6!$C$4,Sheet6!$C$4,IF(Tim!FG64=Sheet6!$C$5,Sheet6!$C$5,IF(Tim!FG64=Sheet6!$C$6,Sheet6!$C$6,IF(Tim!FG64=Sheet6!$C$7,Sheet6!$C$7,IF(Tim!FG64=Sheet6!$C$8,Sheet6!$C$8,"")))))))</f>
        <v/>
      </c>
      <c r="BN62" s="181" t="str">
        <f>IF(Tim!FH64=Sheet6!$C$2,Sheet6!$C$2,IF(Tim!FH64=Sheet6!$C$3,Sheet6!$C$3,IF(Tim!FH64=Sheet6!$C$4,Sheet6!$C$4,IF(Tim!FH64=Sheet6!$C$5,Sheet6!$C$5,IF(Tim!FH64=Sheet6!$C$6,Sheet6!$C$6,IF(Tim!FH64=Sheet6!$C$7,Sheet6!$C$7,IF(Tim!FH64=Sheet6!$C$8,Sheet6!$C$8,"")))))))</f>
        <v/>
      </c>
      <c r="BO62" s="53" t="str">
        <f>IF(Tim!FP64=Sheet6!$C$2,Sheet6!$C$2,IF(Tim!FP64=Sheet6!$C$3,Sheet6!$C$3,IF(Tim!FP64=Sheet6!$C$4,Sheet6!$C$4,IF(Tim!FP64=Sheet6!$C$5,Sheet6!$C$5,IF(Tim!FP64=Sheet6!$C$6,Sheet6!$C$6,IF(Tim!FP64=Sheet6!$C$7,Sheet6!$C$7,IF(Tim!FP64=Sheet6!$C$8,Sheet6!$C$8,"")))))))</f>
        <v/>
      </c>
      <c r="BP62" s="53" t="str">
        <f>IF(Tim!FQ64=Sheet6!$C$2,Sheet6!$C$2,IF(Tim!FQ64=Sheet6!$C$3,Sheet6!$C$3,IF(Tim!FQ64=Sheet6!$C$4,Sheet6!$C$4,IF(Tim!FQ64=Sheet6!$C$5,Sheet6!$C$5,IF(Tim!FQ64=Sheet6!$C$6,Sheet6!$C$6,IF(Tim!FQ64=Sheet6!$C$7,Sheet6!$C$7,IF(Tim!FQ64=Sheet6!$C$8,Sheet6!$C$8,"")))))))</f>
        <v/>
      </c>
      <c r="BQ62" s="53" t="str">
        <f>IF(Tim!FR64=Sheet6!$C$2,Sheet6!$C$2,IF(Tim!FR64=Sheet6!$C$3,Sheet6!$C$3,IF(Tim!FR64=Sheet6!$C$4,Sheet6!$C$4,IF(Tim!FR64=Sheet6!$C$5,Sheet6!$C$5,IF(Tim!FR64=Sheet6!$C$6,Sheet6!$C$6,IF(Tim!FR64=Sheet6!$C$7,Sheet6!$C$7,IF(Tim!FR64=Sheet6!$C$8,Sheet6!$C$8,"")))))))</f>
        <v/>
      </c>
      <c r="BR62" s="176" t="str">
        <f>IF(Tim!FS64=Sheet6!$C$2,Sheet6!$C$2,IF(Tim!FS64=Sheet6!$C$3,Sheet6!$C$3,IF(Tim!FS64=Sheet6!$C$4,Sheet6!$C$4,IF(Tim!FS64=Sheet6!$C$5,Sheet6!$C$5,IF(Tim!FS64=Sheet6!$C$6,Sheet6!$C$6,IF(Tim!FS64=Sheet6!$C$7,Sheet6!$C$7,IF(Tim!FS64=Sheet6!$C$8,Sheet6!$C$8,"")))))))</f>
        <v/>
      </c>
      <c r="BS62" s="176" t="str">
        <f>IF(Tim!FT64=Sheet6!$C$2,Sheet6!$C$2,IF(Tim!FT64=Sheet6!$C$3,Sheet6!$C$3,IF(Tim!FT64=Sheet6!$C$4,Sheet6!$C$4,IF(Tim!FT64=Sheet6!$C$5,Sheet6!$C$5,IF(Tim!FT64=Sheet6!$C$6,Sheet6!$C$6,IF(Tim!FT64=Sheet6!$C$7,Sheet6!$C$7,IF(Tim!FT64=Sheet6!$C$8,Sheet6!$C$8,"")))))))</f>
        <v/>
      </c>
      <c r="BT62" s="53" t="str">
        <f>IF(Tim!FU64=Sheet6!$C$2,Sheet6!$C$2,IF(Tim!FU64=Sheet6!$C$3,Sheet6!$C$3,IF(Tim!FU64=Sheet6!$C$4,Sheet6!$C$4,IF(Tim!FU64=Sheet6!$C$5,Sheet6!$C$5,IF(Tim!FU64=Sheet6!$C$6,Sheet6!$C$6,IF(Tim!FU64=Sheet6!$C$7,Sheet6!$C$7,IF(Tim!FU64=Sheet6!$C$8,Sheet6!$C$8,"")))))))</f>
        <v/>
      </c>
      <c r="BU62" s="53" t="str">
        <f>IF(Tim!FY64=Sheet6!$C$2,Sheet6!$C$2,IF(Tim!FY64=Sheet6!$C$3,Sheet6!$C$3,IF(Tim!FY64=Sheet6!$C$4,Sheet6!$C$4,IF(Tim!FY64=Sheet6!$C$5,Sheet6!$C$5,IF(Tim!FY64=Sheet6!$C$6,Sheet6!$C$6,IF(Tim!FY64=Sheet6!$C$7,Sheet6!$C$7,IF(Tim!FY64=Sheet6!$C$8,Sheet6!$C$8,"")))))))</f>
        <v/>
      </c>
      <c r="BV62" s="54" t="str">
        <f>IF(Tim!FZ64=Sheet6!$C$2,Sheet6!$C$2,IF(Tim!FZ64=Sheet6!$C$3,Sheet6!$C$3,IF(Tim!FZ64=Sheet6!$C$4,Sheet6!$C$4,IF(Tim!FZ64=Sheet6!$C$5,Sheet6!$C$5,IF(Tim!FZ64=Sheet6!$C$6,Sheet6!$C$6,IF(Tim!FZ64=Sheet6!$C$7,Sheet6!$C$7,IF(Tim!FZ64=Sheet6!$C$8,Sheet6!$C$8,"")))))))</f>
        <v/>
      </c>
      <c r="BW62" s="54" t="str">
        <f>IF(Tim!GA64=Sheet6!$C$2,Sheet6!$C$2,IF(Tim!GA64=Sheet6!$C$3,Sheet6!$C$3,IF(Tim!GA64=Sheet6!$C$4,Sheet6!$C$4,IF(Tim!GA64=Sheet6!$C$5,Sheet6!$C$5,IF(Tim!GA64=Sheet6!$C$6,Sheet6!$C$6,IF(Tim!GA64=Sheet6!$C$7,Sheet6!$C$7,IF(Tim!GA64=Sheet6!$C$8,Sheet6!$C$8,"")))))))</f>
        <v/>
      </c>
      <c r="BX62" s="54" t="str">
        <f>IF(Tim!GB64=Sheet6!$C$2,Sheet6!$C$2,IF(Tim!GB64=Sheet6!$C$3,Sheet6!$C$3,IF(Tim!GB64=Sheet6!$C$4,Sheet6!$C$4,IF(Tim!GB64=Sheet6!$C$5,Sheet6!$C$5,IF(Tim!GB64=Sheet6!$C$6,Sheet6!$C$6,IF(Tim!GB64=Sheet6!$C$7,Sheet6!$C$7,IF(Tim!GB64=Sheet6!$C$8,Sheet6!$C$8,"")))))))</f>
        <v/>
      </c>
      <c r="BY62" s="55" t="str">
        <f>IF(Tim!GC64=Sheet6!$C$2,Sheet6!$C$2,IF(Tim!GC64=Sheet6!$C$3,Sheet6!$C$3,IF(Tim!GC64=Sheet6!$C$4,Sheet6!$C$4,IF(Tim!GC64=Sheet6!$C$5,Sheet6!$C$5,IF(Tim!GC64=Sheet6!$C$6,Sheet6!$C$6,IF(Tim!GC64=Sheet6!$C$7,Sheet6!$C$7,IF(Tim!GC64=Sheet6!$C$8,Sheet6!$C$8,"")))))))</f>
        <v/>
      </c>
      <c r="BZ62" s="53" t="str">
        <f>IF(Tim!GD64=Sheet6!$C$2,Sheet6!$C$2,IF(Tim!GD64=Sheet6!$C$3,Sheet6!$C$3,IF(Tim!GD64=Sheet6!$C$4,Sheet6!$C$4,IF(Tim!GD64=Sheet6!$C$5,Sheet6!$C$5,IF(Tim!GD64=Sheet6!$C$6,Sheet6!$C$6,IF(Tim!GD64=Sheet6!$C$7,Sheet6!$C$7,IF(Tim!GD64=Sheet6!$C$8,Sheet6!$C$8,"")))))))</f>
        <v/>
      </c>
      <c r="CA62" s="57" t="str">
        <f>IF(Tim!GE64=Sheet6!$C$2,Sheet6!$C$2,IF(Tim!GE64=Sheet6!$C$3,Sheet6!$C$3,IF(Tim!GE64=Sheet6!$C$4,Sheet6!$C$4,IF(Tim!GE64=Sheet6!$C$5,Sheet6!$C$5,IF(Tim!GE64=Sheet6!$C$6,Sheet6!$C$6,IF(Tim!GE64=Sheet6!$C$7,Sheet6!$C$7,IF(Tim!GE64=Sheet6!$C$8,Sheet6!$C$8,"")))))))</f>
        <v/>
      </c>
      <c r="CB62" s="57" t="str">
        <f>IF(Tim!GI64=Sheet6!$C$2,Sheet6!$C$2,IF(Tim!GI64=Sheet6!$C$3,Sheet6!$C$3,IF(Tim!GI64=Sheet6!$C$4,Sheet6!$C$4,IF(Tim!GI64=Sheet6!$C$5,Sheet6!$C$5,IF(Tim!GI64=Sheet6!$C$6,Sheet6!$C$6,IF(Tim!GI64=Sheet6!$C$7,Sheet6!$C$7,IF(Tim!GI64=Sheet6!$C$8,Sheet6!$C$8,"")))))))</f>
        <v/>
      </c>
      <c r="CC62" s="57" t="str">
        <f>IF(Tim!GJ64=Sheet6!$C$2,Sheet6!$C$2,IF(Tim!GJ64=Sheet6!$C$3,Sheet6!$C$3,IF(Tim!GJ64=Sheet6!$C$4,Sheet6!$C$4,IF(Tim!GJ64=Sheet6!$C$5,Sheet6!$C$5,IF(Tim!GJ64=Sheet6!$C$6,Sheet6!$C$6,IF(Tim!GJ64=Sheet6!$C$7,Sheet6!$C$7,IF(Tim!GJ64=Sheet6!$C$8,Sheet6!$C$8,"")))))))</f>
        <v/>
      </c>
      <c r="CD62" s="57" t="str">
        <f>IF(Tim!GN64=Sheet6!$C$2,Sheet6!$C$2,IF(Tim!GN64=Sheet6!$C$3,Sheet6!$C$3,IF(Tim!GN64=Sheet6!$C$4,Sheet6!$C$4,IF(Tim!GN64=Sheet6!$C$5,Sheet6!$C$5,IF(Tim!GN64=Sheet6!$C$6,Sheet6!$C$6,IF(Tim!GN64=Sheet6!$C$7,Sheet6!$C$7,IF(Tim!GN64=Sheet6!$C$8,Sheet6!$C$8,"")))))))</f>
        <v/>
      </c>
      <c r="CE62" s="53" t="str">
        <f>IF(Tim!GY64=Sheet6!$C$2,Sheet6!$C$2,IF(Tim!GY64=Sheet6!$C$3,Sheet6!$C$3,IF(Tim!GY64=Sheet6!$C$4,Sheet6!$C$4,IF(Tim!GY64=Sheet6!$C$5,Sheet6!$C$5,IF(Tim!GY64=Sheet6!$C$6,Sheet6!$C$6,IF(Tim!GY64=Sheet6!$C$7,Sheet6!$C$7,IF(Tim!GY64=Sheet6!$C$8,Sheet6!$C$8,"")))))))</f>
        <v/>
      </c>
      <c r="CF62" s="53" t="str">
        <f>IF(Tim!GZ64=Sheet6!$C$2,Sheet6!$C$2,IF(Tim!GZ64=Sheet6!$C$3,Sheet6!$C$3,IF(Tim!GZ64=Sheet6!$C$4,Sheet6!$C$4,IF(Tim!GZ64=Sheet6!$C$5,Sheet6!$C$5,IF(Tim!GZ64=Sheet6!$C$6,Sheet6!$C$6,IF(Tim!GZ64=Sheet6!$C$7,Sheet6!$C$7,IF(Tim!GZ64=Sheet6!$C$8,Sheet6!$C$8,"")))))))</f>
        <v/>
      </c>
      <c r="CG62" s="53" t="str">
        <f>IF(Tim!HH64=Sheet6!$C$2,Sheet6!$C$2,IF(Tim!HH64=Sheet6!$C$3,Sheet6!$C$3,IF(Tim!HH64=Sheet6!$C$4,Sheet6!$C$4,IF(Tim!HH64=Sheet6!$C$5,Sheet6!$C$5,IF(Tim!HH64=Sheet6!$C$6,Sheet6!$C$6,IF(Tim!HH64=Sheet6!$C$7,Sheet6!$C$7,IF(Tim!HH64=Sheet6!$C$8,Sheet6!$C$8,"")))))))</f>
        <v/>
      </c>
      <c r="CH62" s="53" t="str">
        <f>IF(Tim!HI64=Sheet6!$C$2,Sheet6!$C$2,IF(Tim!HI64=Sheet6!$C$3,Sheet6!$C$3,IF(Tim!HI64=Sheet6!$C$4,Sheet6!$C$4,IF(Tim!HI64=Sheet6!$C$5,Sheet6!$C$5,IF(Tim!HI64=Sheet6!$C$6,Sheet6!$C$6,IF(Tim!HI64=Sheet6!$C$7,Sheet6!$C$7,IF(Tim!HI64=Sheet6!$C$8,Sheet6!$C$8,"")))))))</f>
        <v/>
      </c>
      <c r="CI62" s="53" t="str">
        <f>IF(Tim!HJ64=Sheet6!$C$2,Sheet6!$C$2,IF(Tim!HJ64=Sheet6!$C$3,Sheet6!$C$3,IF(Tim!HJ64=Sheet6!$C$4,Sheet6!$C$4,IF(Tim!HJ64=Sheet6!$C$5,Sheet6!$C$5,IF(Tim!HJ64=Sheet6!$C$6,Sheet6!$C$6,IF(Tim!HJ64=Sheet6!$C$7,Sheet6!$C$7,IF(Tim!HJ64=Sheet6!$C$8,Sheet6!$C$8,"")))))))</f>
        <v/>
      </c>
      <c r="CJ62" s="53" t="str">
        <f>IF(Tim!HK64=Sheet6!$C$2,Sheet6!$C$2,IF(Tim!HK64=Sheet6!$C$3,Sheet6!$C$3,IF(Tim!HK64=Sheet6!$C$4,Sheet6!$C$4,IF(Tim!HK64=Sheet6!$C$5,Sheet6!$C$5,IF(Tim!HK64=Sheet6!$C$6,Sheet6!$C$6,IF(Tim!HK64=Sheet6!$C$7,Sheet6!$C$7,IF(Tim!HK64=Sheet6!$C$8,Sheet6!$C$8,"")))))))</f>
        <v/>
      </c>
      <c r="CK62" s="53" t="str">
        <f>IF(Tim!HL64=Sheet6!$C$2,Sheet6!$C$2,IF(Tim!HL64=Sheet6!$C$3,Sheet6!$C$3,IF(Tim!HL64=Sheet6!$C$4,Sheet6!$C$4,IF(Tim!HL64=Sheet6!$C$5,Sheet6!$C$5,IF(Tim!HL64=Sheet6!$C$6,Sheet6!$C$6,IF(Tim!HL64=Sheet6!$C$7,Sheet6!$C$7,IF(Tim!HL64=Sheet6!$C$8,Sheet6!$C$8,"")))))))</f>
        <v/>
      </c>
      <c r="CL62" s="176" t="str">
        <f>IF(Tim!HM64=Sheet6!$C$2,Sheet6!$C$2,IF(Tim!HM64=Sheet6!$C$3,Sheet6!$C$3,IF(Tim!HM64=Sheet6!$C$4,Sheet6!$C$4,IF(Tim!HM64=Sheet6!$C$5,Sheet6!$C$5,IF(Tim!HM64=Sheet6!$C$6,Sheet6!$C$6,IF(Tim!HM64=Sheet6!$C$7,Sheet6!$C$7,IF(Tim!HM64=Sheet6!$C$8,Sheet6!$C$8,"")))))))</f>
        <v/>
      </c>
      <c r="CM62" s="53" t="str">
        <f>IF(Tim!HQ64=Sheet6!$C$2,Sheet6!$C$2,IF(Tim!HQ64=Sheet6!$C$3,Sheet6!$C$3,IF(Tim!HQ64=Sheet6!$C$4,Sheet6!$C$4,IF(Tim!HQ64=Sheet6!$C$5,Sheet6!$C$5,IF(Tim!HQ64=Sheet6!$C$6,Sheet6!$C$6,IF(Tim!HQ64=Sheet6!$C$7,Sheet6!$C$7,IF(Tim!HQ64=Sheet6!$C$8,Sheet6!$C$8,"")))))))</f>
        <v/>
      </c>
      <c r="CN62" s="54" t="str">
        <f>IF(Tim!HR64=Sheet6!$C$2,Sheet6!$C$2,IF(Tim!HR64=Sheet6!$C$3,Sheet6!$C$3,IF(Tim!HR64=Sheet6!$C$4,Sheet6!$C$4,IF(Tim!HR64=Sheet6!$C$5,Sheet6!$C$5,IF(Tim!HR64=Sheet6!$C$6,Sheet6!$C$6,IF(Tim!HR64=Sheet6!$C$7,Sheet6!$C$7,IF(Tim!HR64=Sheet6!$C$8,Sheet6!$C$8,"")))))))</f>
        <v/>
      </c>
      <c r="CO62" s="54" t="str">
        <f>IF(Tim!HS64=Sheet6!$C$2,Sheet6!$C$2,IF(Tim!HS64=Sheet6!$C$3,Sheet6!$C$3,IF(Tim!HS64=Sheet6!$C$4,Sheet6!$C$4,IF(Tim!HS64=Sheet6!$C$5,Sheet6!$C$5,IF(Tim!HS64=Sheet6!$C$6,Sheet6!$C$6,IF(Tim!HS64=Sheet6!$C$7,Sheet6!$C$7,IF(Tim!HS64=Sheet6!$C$8,Sheet6!$C$8,"")))))))</f>
        <v/>
      </c>
      <c r="CP62" s="54" t="str">
        <f>IF(Tim!HT64=Sheet6!$C$2,Sheet6!$C$2,IF(Tim!HT64=Sheet6!$C$3,Sheet6!$C$3,IF(Tim!HT64=Sheet6!$C$4,Sheet6!$C$4,IF(Tim!HT64=Sheet6!$C$5,Sheet6!$C$5,IF(Tim!HT64=Sheet6!$C$6,Sheet6!$C$6,IF(Tim!HT64=Sheet6!$C$7,Sheet6!$C$7,IF(Tim!HT64=Sheet6!$C$8,Sheet6!$C$8,"")))))))</f>
        <v/>
      </c>
      <c r="CQ62" s="55" t="str">
        <f>IF(Tim!HU64=Sheet6!$C$2,Sheet6!$C$2,IF(Tim!HU64=Sheet6!$C$3,Sheet6!$C$3,IF(Tim!HU64=Sheet6!$C$4,Sheet6!$C$4,IF(Tim!HU64=Sheet6!$C$5,Sheet6!$C$5,IF(Tim!HU64=Sheet6!$C$6,Sheet6!$C$6,IF(Tim!HU64=Sheet6!$C$7,Sheet6!$C$7,IF(Tim!HU64=Sheet6!$C$8,Sheet6!$C$8,"")))))))</f>
        <v/>
      </c>
      <c r="CR62" s="469"/>
      <c r="CS62" s="366"/>
      <c r="CT62" s="366"/>
      <c r="CU62" s="366"/>
      <c r="CV62" s="366"/>
      <c r="CW62" s="366"/>
      <c r="CX62" s="366"/>
      <c r="CY62" s="366"/>
      <c r="CZ62" s="366"/>
      <c r="DA62" s="366"/>
      <c r="DB62" s="366"/>
      <c r="DC62" s="366"/>
      <c r="DD62" s="366"/>
      <c r="DE62" s="366"/>
      <c r="DF62" s="366"/>
      <c r="DG62" s="428"/>
      <c r="DH62" s="422"/>
      <c r="DI62" s="423"/>
      <c r="DJ62" s="423"/>
      <c r="DK62" s="423"/>
      <c r="DL62" s="423"/>
      <c r="DM62" s="423"/>
      <c r="DN62" s="423"/>
      <c r="DO62" s="423"/>
      <c r="DP62" s="423"/>
      <c r="DQ62" s="423"/>
      <c r="DR62" s="423"/>
      <c r="DS62" s="423"/>
      <c r="DT62" s="423"/>
      <c r="DU62" s="423"/>
      <c r="DV62" s="423"/>
      <c r="DW62" s="424"/>
      <c r="DX62" s="52">
        <v>0.88541666666666496</v>
      </c>
    </row>
    <row r="63" spans="2:128" ht="10.5" customHeight="1">
      <c r="B63" s="51">
        <v>0.25</v>
      </c>
      <c r="C63" s="51">
        <v>0.25</v>
      </c>
      <c r="D63" s="51">
        <v>0.25</v>
      </c>
      <c r="E63" s="52">
        <v>0.89583333333333204</v>
      </c>
      <c r="F63" s="53" t="str">
        <f>IF(Tim!F65=Sheet6!$C$2,Sheet6!$C$2,IF(Tim!F65=Sheet6!$C$3,Sheet6!$C$3,IF(Tim!F65=Sheet6!$C$4,Sheet6!$C$4,IF(Tim!F65=Sheet6!$C$5,Sheet6!$C$5,IF(Tim!F65=Sheet6!$C$6,Sheet6!$C$6,IF(Tim!F65=Sheet6!$C$7,Sheet6!$C$7,IF(Tim!F65=Sheet6!$C$8,Sheet6!$C$8,"")))))))</f>
        <v/>
      </c>
      <c r="G63" s="53" t="str">
        <f>IF(Tim!G65=Sheet6!$C$2,Sheet6!$C$2,IF(Tim!G65=Sheet6!$C$3,Sheet6!$C$3,IF(Tim!G65=Sheet6!$C$4,Sheet6!$C$4,IF(Tim!G65=Sheet6!$C$5,Sheet6!$C$5,IF(Tim!G65=Sheet6!$C$6,Sheet6!$C$6,IF(Tim!G65=Sheet6!$C$7,Sheet6!$C$7,IF(Tim!G65=Sheet6!$C$8,Sheet6!$C$8,"")))))))</f>
        <v/>
      </c>
      <c r="H63" s="53" t="str">
        <f>IF(Tim!H65=Sheet6!$C$2,Sheet6!$C$2,IF(Tim!H65=Sheet6!$C$3,Sheet6!$C$3,IF(Tim!H65=Sheet6!$C$4,Sheet6!$C$4,IF(Tim!H65=Sheet6!$C$5,Sheet6!$C$5,IF(Tim!H65=Sheet6!$C$6,Sheet6!$C$6,IF(Tim!H65=Sheet6!$C$7,Sheet6!$C$7,IF(Tim!H65=Sheet6!$C$8,Sheet6!$C$8,"")))))))</f>
        <v/>
      </c>
      <c r="I63" s="53" t="str">
        <f>IF(Tim!L65=Sheet6!$C$2,Sheet6!$C$2,IF(Tim!L65=Sheet6!$C$3,Sheet6!$C$3,IF(Tim!L65=Sheet6!$C$4,Sheet6!$C$4,IF(Tim!L65=Sheet6!$C$5,Sheet6!$C$5,IF(Tim!L65=Sheet6!$C$6,Sheet6!$C$6,IF(Tim!L65=Sheet6!$C$7,Sheet6!$C$7,IF(Tim!L65=Sheet6!$C$8,Sheet6!$C$8,"")))))))</f>
        <v/>
      </c>
      <c r="J63" s="53" t="str">
        <f>IF(Tim!T65=Sheet6!$C$2,Sheet6!$C$2,IF(Tim!T65=Sheet6!$C$3,Sheet6!$C$3,IF(Tim!T65=Sheet6!$C$4,Sheet6!$C$4,IF(Tim!T65=Sheet6!$C$5,Sheet6!$C$5,IF(Tim!T65=Sheet6!$C$6,Sheet6!$C$6,IF(Tim!T65=Sheet6!$C$7,Sheet6!$C$7,IF(Tim!T65=Sheet6!$C$8,Sheet6!$C$8,"")))))))</f>
        <v/>
      </c>
      <c r="K63" s="53" t="str">
        <f>IF(Tim!AB65=Sheet6!$C$2,Sheet6!$C$2,IF(Tim!AB65=Sheet6!$C$3,Sheet6!$C$3,IF(Tim!AB65=Sheet6!$C$4,Sheet6!$C$4,IF(Tim!AB65=Sheet6!$C$5,Sheet6!$C$5,IF(Tim!AB65=Sheet6!$C$6,Sheet6!$C$6,IF(Tim!AB65=Sheet6!$C$7,Sheet6!$C$7,IF(Tim!AB65=Sheet6!$C$8,Sheet6!$C$8,"")))))))</f>
        <v/>
      </c>
      <c r="L63" s="53" t="str">
        <f>IF(Tim!AC65=Sheet6!$C$2,Sheet6!$C$2,IF(Tim!AC65=Sheet6!$C$3,Sheet6!$C$3,IF(Tim!AC65=Sheet6!$C$4,Sheet6!$C$4,IF(Tim!AC65=Sheet6!$C$5,Sheet6!$C$5,IF(Tim!AC65=Sheet6!$C$6,Sheet6!$C$6,IF(Tim!AC65=Sheet6!$C$7,Sheet6!$C$7,IF(Tim!AC65=Sheet6!$C$8,Sheet6!$C$8,"")))))))</f>
        <v/>
      </c>
      <c r="M63" s="53" t="str">
        <f>IF(Tim!AJ65=Sheet6!$C$2,Sheet6!$C$2,IF(Tim!AJ65=Sheet6!$C$3,Sheet6!$C$3,IF(Tim!AJ65=Sheet6!$C$4,Sheet6!$C$4,IF(Tim!AJ65=Sheet6!$C$5,Sheet6!$C$5,IF(Tim!AJ65=Sheet6!$C$6,Sheet6!$C$6,IF(Tim!AJ65=Sheet6!$C$7,Sheet6!$C$7,IF(Tim!AJ65=Sheet6!$C$8,Sheet6!$C$8,"")))))))</f>
        <v/>
      </c>
      <c r="N63" s="53" t="str">
        <f>IF(Tim!AK65=Sheet6!$C$2,Sheet6!$C$2,IF(Tim!AK65=Sheet6!$C$3,Sheet6!$C$3,IF(Tim!AK65=Sheet6!$C$4,Sheet6!$C$4,IF(Tim!AK65=Sheet6!$C$5,Sheet6!$C$5,IF(Tim!AK65=Sheet6!$C$6,Sheet6!$C$6,IF(Tim!AK65=Sheet6!$C$7,Sheet6!$C$7,IF(Tim!AK65=Sheet6!$C$8,Sheet6!$C$8,"")))))))</f>
        <v/>
      </c>
      <c r="O63" s="53" t="str">
        <f>IF(Tim!AL65=Sheet6!$C$2,Sheet6!$C$2,IF(Tim!AL65=Sheet6!$C$3,Sheet6!$C$3,IF(Tim!AL65=Sheet6!$C$4,Sheet6!$C$4,IF(Tim!AL65=Sheet6!$C$5,Sheet6!$C$5,IF(Tim!AL65=Sheet6!$C$6,Sheet6!$C$6,IF(Tim!AL65=Sheet6!$C$7,Sheet6!$C$7,IF(Tim!AL65=Sheet6!$C$8,Sheet6!$C$8,"")))))))</f>
        <v/>
      </c>
      <c r="P63" s="53" t="str">
        <f>IF(Tim!AN65=Sheet6!$C$2,Sheet6!$C$2,IF(Tim!AN65=Sheet6!$C$3,Sheet6!$C$3,IF(Tim!AN65=Sheet6!$C$4,Sheet6!$C$4,IF(Tim!AN65=Sheet6!$C$5,Sheet6!$C$5,IF(Tim!AN65=Sheet6!$C$6,Sheet6!$C$6,IF(Tim!AN65=Sheet6!$C$7,Sheet6!$C$7,IF(Tim!AN65=Sheet6!$C$8,Sheet6!$C$8,"")))))))</f>
        <v/>
      </c>
      <c r="Q63" s="53" t="str">
        <f>IF(Tim!AO65=Sheet6!$C$2,Sheet6!$C$2,IF(Tim!AO65=Sheet6!$C$3,Sheet6!$C$3,IF(Tim!AO65=Sheet6!$C$4,Sheet6!$C$4,IF(Tim!AO65=Sheet6!$C$5,Sheet6!$C$5,IF(Tim!AO65=Sheet6!$C$6,Sheet6!$C$6,IF(Tim!AO65=Sheet6!$C$7,Sheet6!$C$7,IF(Tim!AO65=Sheet6!$C$8,Sheet6!$C$8,"")))))))</f>
        <v/>
      </c>
      <c r="R63" s="53" t="str">
        <f>IF(Tim!AP65=Sheet6!$C$2,Sheet6!$C$2,IF(Tim!AP65=Sheet6!$C$3,Sheet6!$C$3,IF(Tim!AP65=Sheet6!$C$4,Sheet6!$C$4,IF(Tim!AP65=Sheet6!$C$5,Sheet6!$C$5,IF(Tim!AP65=Sheet6!$C$6,Sheet6!$C$6,IF(Tim!AP65=Sheet6!$C$7,Sheet6!$C$7,IF(Tim!AP65=Sheet6!$C$8,Sheet6!$C$8,"")))))))</f>
        <v/>
      </c>
      <c r="S63" s="53" t="str">
        <f>IF(Tim!AT65=Sheet6!$C$2,Sheet6!$C$2,IF(Tim!AT65=Sheet6!$C$3,Sheet6!$C$3,IF(Tim!AT65=Sheet6!$C$4,Sheet6!$C$4,IF(Tim!AT65=Sheet6!$C$5,Sheet6!$C$5,IF(Tim!AT65=Sheet6!$C$6,Sheet6!$C$6,IF(Tim!AT65=Sheet6!$C$7,Sheet6!$C$7,IF(Tim!AT65=Sheet6!$C$8,Sheet6!$C$8,"")))))))</f>
        <v/>
      </c>
      <c r="T63" s="54" t="str">
        <f>IF(Tim!AU65=Sheet6!$C$2,Sheet6!$C$2,IF(Tim!AU65=Sheet6!$C$3,Sheet6!$C$3,IF(Tim!AU65=Sheet6!$C$4,Sheet6!$C$4,IF(Tim!AU65=Sheet6!$C$5,Sheet6!$C$5,IF(Tim!AU65=Sheet6!$C$6,Sheet6!$C$6,IF(Tim!AU65=Sheet6!$C$7,Sheet6!$C$7,IF(Tim!AU65=Sheet6!$C$8,Sheet6!$C$8,"")))))))</f>
        <v/>
      </c>
      <c r="U63" s="54" t="str">
        <f>IF(Tim!AV65=Sheet6!$C$2,Sheet6!$C$2,IF(Tim!AV65=Sheet6!$C$3,Sheet6!$C$3,IF(Tim!AV65=Sheet6!$C$4,Sheet6!$C$4,IF(Tim!AV65=Sheet6!$C$5,Sheet6!$C$5,IF(Tim!AV65=Sheet6!$C$6,Sheet6!$C$6,IF(Tim!AV65=Sheet6!$C$7,Sheet6!$C$7,IF(Tim!AV65=Sheet6!$C$8,Sheet6!$C$8,"")))))))</f>
        <v/>
      </c>
      <c r="V63" s="54" t="str">
        <f>IF(Tim!AW65=Sheet6!$C$2,Sheet6!$C$2,IF(Tim!AW65=Sheet6!$C$3,Sheet6!$C$3,IF(Tim!AW65=Sheet6!$C$4,Sheet6!$C$4,IF(Tim!AW65=Sheet6!$C$5,Sheet6!$C$5,IF(Tim!AW65=Sheet6!$C$6,Sheet6!$C$6,IF(Tim!AW65=Sheet6!$C$7,Sheet6!$C$7,IF(Tim!AW65=Sheet6!$C$8,Sheet6!$C$8,"")))))))</f>
        <v/>
      </c>
      <c r="W63" s="55" t="str">
        <f>IF(Tim!AX65=Sheet6!$C$2,Sheet6!$C$2,IF(Tim!AX65=Sheet6!$C$3,Sheet6!$C$3,IF(Tim!AX65=Sheet6!$C$4,Sheet6!$C$4,IF(Tim!AX65=Sheet6!$C$5,Sheet6!$C$5,IF(Tim!AX65=Sheet6!$C$6,Sheet6!$C$6,IF(Tim!AX65=Sheet6!$C$7,Sheet6!$C$7,IF(Tim!AX65=Sheet6!$C$8,Sheet6!$C$8,"")))))))</f>
        <v/>
      </c>
      <c r="X63" s="53" t="str">
        <f>IF(Tim!AY65=Sheet6!$C$2,Sheet6!$C$2,IF(Tim!AY65=Sheet6!$C$3,Sheet6!$C$3,IF(Tim!AY65=Sheet6!$C$4,Sheet6!$C$4,IF(Tim!AY65=Sheet6!$C$5,Sheet6!$C$5,IF(Tim!AY65=Sheet6!$C$6,Sheet6!$C$6,IF(Tim!AY65=Sheet6!$C$7,Sheet6!$C$7,IF(Tim!AY65=Sheet6!$C$8,Sheet6!$C$8,"")))))))</f>
        <v/>
      </c>
      <c r="Y63" s="57" t="str">
        <f>IF(Tim!AZ65=Sheet6!$C$2,Sheet6!$C$2,IF(Tim!AZ65=Sheet6!$C$3,Sheet6!$C$3,IF(Tim!AZ65=Sheet6!$C$4,Sheet6!$C$4,IF(Tim!AZ65=Sheet6!$C$5,Sheet6!$C$5,IF(Tim!AZ65=Sheet6!$C$6,Sheet6!$C$6,IF(Tim!AZ65=Sheet6!$C$7,Sheet6!$C$7,IF(Tim!AZ65=Sheet6!$C$8,Sheet6!$C$8,"")))))))</f>
        <v/>
      </c>
      <c r="Z63" s="57" t="str">
        <f>IF(Tim!BD65=Sheet6!$C$2,Sheet6!$C$2,IF(Tim!BD65=Sheet6!$C$3,Sheet6!$C$3,IF(Tim!BD65=Sheet6!$C$4,Sheet6!$C$4,IF(Tim!BD65=Sheet6!$C$5,Sheet6!$C$5,IF(Tim!BD65=Sheet6!$C$6,Sheet6!$C$6,IF(Tim!BD65=Sheet6!$C$7,Sheet6!$C$7,IF(Tim!BD65=Sheet6!$C$8,Sheet6!$C$8,"")))))))</f>
        <v/>
      </c>
      <c r="AA63" s="57" t="str">
        <f>IF(Tim!BE65=Sheet6!$C$2,Sheet6!$C$2,IF(Tim!BE65=Sheet6!$C$3,Sheet6!$C$3,IF(Tim!BE65=Sheet6!$C$4,Sheet6!$C$4,IF(Tim!BE65=Sheet6!$C$5,Sheet6!$C$5,IF(Tim!BE65=Sheet6!$C$6,Sheet6!$C$6,IF(Tim!BE65=Sheet6!$C$7,Sheet6!$C$7,IF(Tim!BE65=Sheet6!$C$8,Sheet6!$C$8,"")))))))</f>
        <v/>
      </c>
      <c r="AB63" s="57" t="str">
        <f>IF(Tim!BL65=Sheet6!$C$2,Sheet6!$C$2,IF(Tim!BL65=Sheet6!$C$3,Sheet6!$C$3,IF(Tim!BL65=Sheet6!$C$4,Sheet6!$C$4,IF(Tim!BL65=Sheet6!$C$5,Sheet6!$C$5,IF(Tim!BL65=Sheet6!$C$6,Sheet6!$C$6,IF(Tim!BL65=Sheet6!$C$7,Sheet6!$C$7,IF(Tim!BL65=Sheet6!$C$8,Sheet6!$C$8,"")))))))</f>
        <v/>
      </c>
      <c r="AC63" s="53" t="str">
        <f>IF(Tim!BT65=Sheet6!$C$2,Sheet6!$C$2,IF(Tim!BT65=Sheet6!$C$3,Sheet6!$C$3,IF(Tim!BT65=Sheet6!$C$4,Sheet6!$C$4,IF(Tim!BT65=Sheet6!$C$5,Sheet6!$C$5,IF(Tim!BT65=Sheet6!$C$6,Sheet6!$C$6,IF(Tim!BT65=Sheet6!$C$7,Sheet6!$C$7,IF(Tim!BT65=Sheet6!$C$8,Sheet6!$C$8,"")))))))</f>
        <v/>
      </c>
      <c r="AD63" s="181" t="str">
        <f>IF(Tim!BU65=Sheet6!$C$2,Sheet6!$C$2,IF(Tim!BU65=Sheet6!$C$3,Sheet6!$C$3,IF(Tim!BU65=Sheet6!$C$4,Sheet6!$C$4,IF(Tim!BU65=Sheet6!$C$5,Sheet6!$C$5,IF(Tim!BU65=Sheet6!$C$6,Sheet6!$C$6,IF(Tim!BU65=Sheet6!$C$7,Sheet6!$C$7,IF(Tim!BU65=Sheet6!$C$8,Sheet6!$C$8,"")))))))</f>
        <v/>
      </c>
      <c r="AE63" s="53" t="str">
        <f>IF(Tim!CB65=Sheet6!$C$2,Sheet6!$C$2,IF(Tim!CB65=Sheet6!$C$3,Sheet6!$C$3,IF(Tim!CB65=Sheet6!$C$4,Sheet6!$C$4,IF(Tim!CB65=Sheet6!$C$5,Sheet6!$C$5,IF(Tim!CB65=Sheet6!$C$6,Sheet6!$C$6,IF(Tim!CB65=Sheet6!$C$7,Sheet6!$C$7,IF(Tim!CB65=Sheet6!$C$8,Sheet6!$C$8,"")))))))</f>
        <v/>
      </c>
      <c r="AF63" s="53" t="str">
        <f>IF(Tim!CD65=Sheet6!$C$2,Sheet6!$C$2,IF(Tim!CD65=Sheet6!$C$3,Sheet6!$C$3,IF(Tim!CD65=Sheet6!$C$4,Sheet6!$C$4,IF(Tim!CD65=Sheet6!$C$5,Sheet6!$C$5,IF(Tim!CD65=Sheet6!$C$6,Sheet6!$C$6,IF(Tim!CD65=Sheet6!$C$7,Sheet6!$C$7,IF(Tim!CD65=Sheet6!$C$8,Sheet6!$C$8,"")))))))</f>
        <v/>
      </c>
      <c r="AG63" s="53" t="str">
        <f>IF(Tim!CE65=Sheet6!$C$2,Sheet6!$C$2,IF(Tim!CE65=Sheet6!$C$3,Sheet6!$C$3,IF(Tim!CE65=Sheet6!$C$4,Sheet6!$C$4,IF(Tim!CE65=Sheet6!$C$5,Sheet6!$C$5,IF(Tim!CE65=Sheet6!$C$6,Sheet6!$C$6,IF(Tim!CE65=Sheet6!$C$7,Sheet6!$C$7,IF(Tim!CE65=Sheet6!$C$8,Sheet6!$C$8,"")))))))</f>
        <v/>
      </c>
      <c r="AH63" s="176" t="str">
        <f>IF(Tim!CF65=Sheet6!$C$2,Sheet6!$C$2,IF(Tim!CF65=Sheet6!$C$3,Sheet6!$C$3,IF(Tim!CF65=Sheet6!$C$4,Sheet6!$C$4,IF(Tim!CF65=Sheet6!$C$5,Sheet6!$C$5,IF(Tim!CF65=Sheet6!$C$6,Sheet6!$C$6,IF(Tim!CF65=Sheet6!$C$7,Sheet6!$C$7,IF(Tim!CF65=Sheet6!$C$8,Sheet6!$C$8,"")))))))</f>
        <v/>
      </c>
      <c r="AI63" s="176" t="str">
        <f>IF(Tim!CG65=Sheet6!$C$2,Sheet6!$C$2,IF(Tim!CG65=Sheet6!$C$3,Sheet6!$C$3,IF(Tim!CG65=Sheet6!$C$4,Sheet6!$C$4,IF(Tim!CG65=Sheet6!$C$5,Sheet6!$C$5,IF(Tim!CG65=Sheet6!$C$6,Sheet6!$C$6,IF(Tim!CG65=Sheet6!$C$7,Sheet6!$C$7,IF(Tim!CG65=Sheet6!$C$8,Sheet6!$C$8,"")))))))</f>
        <v/>
      </c>
      <c r="AJ63" s="53" t="str">
        <f>IF(Tim!CH65=Sheet6!$C$2,Sheet6!$C$2,IF(Tim!CH65=Sheet6!$C$3,Sheet6!$C$3,IF(Tim!CH65=Sheet6!$C$4,Sheet6!$C$4,IF(Tim!CH65=Sheet6!$C$5,Sheet6!$C$5,IF(Tim!CH65=Sheet6!$C$6,Sheet6!$C$6,IF(Tim!CH65=Sheet6!$C$7,Sheet6!$C$7,IF(Tim!CH65=Sheet6!$C$8,Sheet6!$C$8,"")))))))</f>
        <v/>
      </c>
      <c r="AK63" s="53" t="str">
        <f>IF(Tim!CL65=Sheet6!$C$2,Sheet6!$C$2,IF(Tim!CL65=Sheet6!$C$3,Sheet6!$C$3,IF(Tim!CL65=Sheet6!$C$4,Sheet6!$C$4,IF(Tim!CL65=Sheet6!$C$5,Sheet6!$C$5,IF(Tim!CL65=Sheet6!$C$6,Sheet6!$C$6,IF(Tim!CL65=Sheet6!$C$7,Sheet6!$C$7,IF(Tim!CL65=Sheet6!$C$8,Sheet6!$C$8,"")))))))</f>
        <v/>
      </c>
      <c r="AL63" s="54" t="str">
        <f>IF(Tim!CM65=Sheet6!$C$2,Sheet6!$C$2,IF(Tim!CM65=Sheet6!$C$3,Sheet6!$C$3,IF(Tim!CM65=Sheet6!$C$4,Sheet6!$C$4,IF(Tim!CM65=Sheet6!$C$5,Sheet6!$C$5,IF(Tim!CM65=Sheet6!$C$6,Sheet6!$C$6,IF(Tim!CM65=Sheet6!$C$7,Sheet6!$C$7,IF(Tim!CM65=Sheet6!$C$8,Sheet6!$C$8,"")))))))</f>
        <v/>
      </c>
      <c r="AM63" s="53" t="str">
        <f>IF(Tim!CN65=Sheet6!$C$2,Sheet6!$C$2,IF(Tim!CN65=Sheet6!$C$3,Sheet6!$C$3,IF(Tim!CN65=Sheet6!$C$4,Sheet6!$C$4,IF(Tim!CN65=Sheet6!$C$5,Sheet6!$C$5,IF(Tim!CN65=Sheet6!$C$6,Sheet6!$C$6,IF(Tim!CN65=Sheet6!$C$7,Sheet6!$C$7,IF(Tim!CN65=Sheet6!$C$8,Sheet6!$C$8,"")))))))</f>
        <v/>
      </c>
      <c r="AN63" s="54" t="str">
        <f>IF(Tim!CO65=Sheet6!$C$2,Sheet6!$C$2,IF(Tim!CO65=Sheet6!$C$3,Sheet6!$C$3,IF(Tim!CO65=Sheet6!$C$4,Sheet6!$C$4,IF(Tim!CO65=Sheet6!$C$5,Sheet6!$C$5,IF(Tim!CO65=Sheet6!$C$6,Sheet6!$C$6,IF(Tim!CO65=Sheet6!$C$7,Sheet6!$C$7,IF(Tim!CO65=Sheet6!$C$8,Sheet6!$C$8,"")))))))</f>
        <v/>
      </c>
      <c r="AO63" s="177" t="str">
        <f>IF(Tim!CP65=Sheet6!$C$2,Sheet6!$C$2,IF(Tim!CP65=Sheet6!$C$3,Sheet6!$C$3,IF(Tim!CP65=Sheet6!$C$4,Sheet6!$C$4,IF(Tim!CP65=Sheet6!$C$5,Sheet6!$C$5,IF(Tim!CP65=Sheet6!$C$6,Sheet6!$C$6,IF(Tim!CP65=Sheet6!$C$7,Sheet6!$C$7,IF(Tim!CP65=Sheet6!$C$8,Sheet6!$C$8,"")))))))</f>
        <v/>
      </c>
      <c r="AP63" s="53" t="str">
        <f>IF(Tim!CQ65=Sheet6!$C$2,Sheet6!$C$2,IF(Tim!CQ65=Sheet6!$C$3,Sheet6!$C$3,IF(Tim!CQ65=Sheet6!$C$4,Sheet6!$C$4,IF(Tim!CQ65=Sheet6!$C$5,Sheet6!$C$5,IF(Tim!CQ65=Sheet6!$C$6,Sheet6!$C$6,IF(Tim!CQ65=Sheet6!$C$7,Sheet6!$C$7,IF(Tim!CQ65=Sheet6!$C$8,Sheet6!$C$8,"")))))))</f>
        <v/>
      </c>
      <c r="AQ63" s="57" t="str">
        <f>IF(Tim!CR65=Sheet6!$C$2,Sheet6!$C$2,IF(Tim!CR65=Sheet6!$C$3,Sheet6!$C$3,IF(Tim!CR65=Sheet6!$C$4,Sheet6!$C$4,IF(Tim!CR65=Sheet6!$C$5,Sheet6!$C$5,IF(Tim!CR65=Sheet6!$C$6,Sheet6!$C$6,IF(Tim!CR65=Sheet6!$C$7,Sheet6!$C$7,IF(Tim!CR65=Sheet6!$C$8,Sheet6!$C$8,"")))))))</f>
        <v/>
      </c>
      <c r="AR63" s="57" t="str">
        <f>IF(Tim!CV65=Sheet6!$C$2,Sheet6!$C$2,IF(Tim!CV65=Sheet6!$C$3,Sheet6!$C$3,IF(Tim!CV65=Sheet6!$C$4,Sheet6!$C$4,IF(Tim!CV65=Sheet6!$C$5,Sheet6!$C$5,IF(Tim!CV65=Sheet6!$C$6,Sheet6!$C$6,IF(Tim!CV65=Sheet6!$C$7,Sheet6!$C$7,IF(Tim!CV65=Sheet6!$C$8,Sheet6!$C$8,"")))))))</f>
        <v/>
      </c>
      <c r="AS63" s="57" t="str">
        <f>IF(Tim!CW65=Sheet6!$C$2,Sheet6!$C$2,IF(Tim!CW65=Sheet6!$C$3,Sheet6!$C$3,IF(Tim!CW65=Sheet6!$C$4,Sheet6!$C$4,IF(Tim!CW65=Sheet6!$C$5,Sheet6!$C$5,IF(Tim!CW65=Sheet6!$C$6,Sheet6!$C$6,IF(Tim!CW65=Sheet6!$C$7,Sheet6!$C$7,IF(Tim!CW65=Sheet6!$C$8,Sheet6!$C$8,"")))))))</f>
        <v/>
      </c>
      <c r="AT63" s="57" t="str">
        <f>IF(Tim!DA65=Sheet6!$C$2,Sheet6!$C$2,IF(Tim!DA65=Sheet6!$C$3,Sheet6!$C$3,IF(Tim!DA65=Sheet6!$C$4,Sheet6!$C$4,IF(Tim!DA65=Sheet6!$C$5,Sheet6!$C$5,IF(Tim!DA65=Sheet6!$C$6,Sheet6!$C$6,IF(Tim!DA65=Sheet6!$C$7,Sheet6!$C$7,IF(Tim!DA65=Sheet6!$C$8,Sheet6!$C$8,"")))))))</f>
        <v/>
      </c>
      <c r="AU63" s="53" t="str">
        <f>IF(Tim!DO65=Sheet6!$C$2,Sheet6!$C$2,IF(Tim!DO65=Sheet6!$C$3,Sheet6!$C$3,IF(Tim!DO65=Sheet6!$C$4,Sheet6!$C$4,IF(Tim!DO65=Sheet6!$C$5,Sheet6!$C$5,IF(Tim!DO65=Sheet6!$C$6,Sheet6!$C$6,IF(Tim!DO65=Sheet6!$C$7,Sheet6!$C$7,IF(Tim!DO65=Sheet6!$C$8,Sheet6!$C$8,"")))))))</f>
        <v/>
      </c>
      <c r="AV63" s="53" t="str">
        <f>IF(Tim!DP65=Sheet6!$C$2,Sheet6!$C$2,IF(Tim!DP65=Sheet6!$C$3,Sheet6!$C$3,IF(Tim!DP65=Sheet6!$C$4,Sheet6!$C$4,IF(Tim!DP65=Sheet6!$C$5,Sheet6!$C$5,IF(Tim!DP65=Sheet6!$C$6,Sheet6!$C$6,IF(Tim!DP65=Sheet6!$C$7,Sheet6!$C$7,IF(Tim!DP65=Sheet6!$C$8,Sheet6!$C$8,"")))))))</f>
        <v/>
      </c>
      <c r="AW63" s="53" t="str">
        <f>IF(Tim!DX65=Sheet6!$C$2,Sheet6!$C$2,IF(Tim!DX65=Sheet6!$C$3,Sheet6!$C$3,IF(Tim!DX65=Sheet6!$C$4,Sheet6!$C$4,IF(Tim!DX65=Sheet6!$C$5,Sheet6!$C$5,IF(Tim!DX65=Sheet6!$C$6,Sheet6!$C$6,IF(Tim!DX65=Sheet6!$C$7,Sheet6!$C$7,IF(Tim!DX65=Sheet6!$C$8,Sheet6!$C$8,"")))))))</f>
        <v/>
      </c>
      <c r="AX63" s="53" t="str">
        <f>IF(Tim!DY65=Sheet6!$C$2,Sheet6!$C$2,IF(Tim!DY65=Sheet6!$C$3,Sheet6!$C$3,IF(Tim!DY65=Sheet6!$C$4,Sheet6!$C$4,IF(Tim!DY65=Sheet6!$C$5,Sheet6!$C$5,IF(Tim!DY65=Sheet6!$C$6,Sheet6!$C$6,IF(Tim!DY65=Sheet6!$C$7,Sheet6!$C$7,IF(Tim!DY65=Sheet6!$C$8,Sheet6!$C$8,"")))))))</f>
        <v/>
      </c>
      <c r="AY63" s="53" t="str">
        <f>IF(Tim!DZ65=Sheet6!$C$2,Sheet6!$C$2,IF(Tim!DZ65=Sheet6!$C$3,Sheet6!$C$3,IF(Tim!DZ65=Sheet6!$C$4,Sheet6!$C$4,IF(Tim!DZ65=Sheet6!$C$5,Sheet6!$C$5,IF(Tim!DZ65=Sheet6!$C$6,Sheet6!$C$6,IF(Tim!DZ65=Sheet6!$C$7,Sheet6!$C$7,IF(Tim!DZ65=Sheet6!$C$8,Sheet6!$C$8,"")))))))</f>
        <v/>
      </c>
      <c r="AZ63" s="176" t="str">
        <f>IF(Tim!EA65=Sheet6!$C$2,Sheet6!$C$2,IF(Tim!EA65=Sheet6!$C$3,Sheet6!$C$3,IF(Tim!EA65=Sheet6!$C$4,Sheet6!$C$4,IF(Tim!EA65=Sheet6!$C$5,Sheet6!$C$5,IF(Tim!EA65=Sheet6!$C$6,Sheet6!$C$6,IF(Tim!EA65=Sheet6!$C$7,Sheet6!$C$7,IF(Tim!EA65=Sheet6!$C$8,Sheet6!$C$8,"")))))))</f>
        <v/>
      </c>
      <c r="BA63" s="176" t="str">
        <f>IF(Tim!EB65=Sheet6!$C$2,Sheet6!$C$2,IF(Tim!EB65=Sheet6!$C$3,Sheet6!$C$3,IF(Tim!EB65=Sheet6!$C$4,Sheet6!$C$4,IF(Tim!EB65=Sheet6!$C$5,Sheet6!$C$5,IF(Tim!EB65=Sheet6!$C$6,Sheet6!$C$6,IF(Tim!EB65=Sheet6!$C$7,Sheet6!$C$7,IF(Tim!EB65=Sheet6!$C$8,Sheet6!$C$8,"")))))))</f>
        <v/>
      </c>
      <c r="BB63" s="53" t="str">
        <f>IF(Tim!EC65=Sheet6!$C$2,Sheet6!$C$2,IF(Tim!EC65=Sheet6!$C$3,Sheet6!$C$3,IF(Tim!EC65=Sheet6!$C$4,Sheet6!$C$4,IF(Tim!EC65=Sheet6!$C$5,Sheet6!$C$5,IF(Tim!EC65=Sheet6!$C$6,Sheet6!$C$6,IF(Tim!EC65=Sheet6!$C$7,Sheet6!$C$7,IF(Tim!EC65=Sheet6!$C$8,Sheet6!$C$8,"")))))))</f>
        <v/>
      </c>
      <c r="BC63" s="53" t="str">
        <f>IF(Tim!EG65=Sheet6!$C$2,Sheet6!$C$2,IF(Tim!EG65=Sheet6!$C$3,Sheet6!$C$3,IF(Tim!EG65=Sheet6!$C$4,Sheet6!$C$4,IF(Tim!EG65=Sheet6!$C$5,Sheet6!$C$5,IF(Tim!EG65=Sheet6!$C$6,Sheet6!$C$6,IF(Tim!EG65=Sheet6!$C$7,Sheet6!$C$7,IF(Tim!EG65=Sheet6!$C$8,Sheet6!$C$8,"")))))))</f>
        <v/>
      </c>
      <c r="BD63" s="54" t="str">
        <f>IF(Tim!EH65=Sheet6!$C$2,Sheet6!$C$2,IF(Tim!EH65=Sheet6!$C$3,Sheet6!$C$3,IF(Tim!EH65=Sheet6!$C$4,Sheet6!$C$4,IF(Tim!EH65=Sheet6!$C$5,Sheet6!$C$5,IF(Tim!EH65=Sheet6!$C$6,Sheet6!$C$6,IF(Tim!EH65=Sheet6!$C$7,Sheet6!$C$7,IF(Tim!EH65=Sheet6!$C$8,Sheet6!$C$8,"")))))))</f>
        <v/>
      </c>
      <c r="BE63" s="54" t="str">
        <f>IF(Tim!EI65=Sheet6!$C$2,Sheet6!$C$2,IF(Tim!EI65=Sheet6!$C$3,Sheet6!$C$3,IF(Tim!EI65=Sheet6!$C$4,Sheet6!$C$4,IF(Tim!EI65=Sheet6!$C$5,Sheet6!$C$5,IF(Tim!EI65=Sheet6!$C$6,Sheet6!$C$6,IF(Tim!EI65=Sheet6!$C$7,Sheet6!$C$7,IF(Tim!EI65=Sheet6!$C$8,Sheet6!$C$8,"")))))))</f>
        <v/>
      </c>
      <c r="BF63" s="54" t="str">
        <f>IF(Tim!EJ65=Sheet6!$C$2,Sheet6!$C$2,IF(Tim!EJ65=Sheet6!$C$3,Sheet6!$C$3,IF(Tim!EJ65=Sheet6!$C$4,Sheet6!$C$4,IF(Tim!EJ65=Sheet6!$C$5,Sheet6!$C$5,IF(Tim!EJ65=Sheet6!$C$6,Sheet6!$C$6,IF(Tim!EJ65=Sheet6!$C$7,Sheet6!$C$7,IF(Tim!EJ65=Sheet6!$C$8,Sheet6!$C$8,"")))))))</f>
        <v/>
      </c>
      <c r="BG63" s="55" t="str">
        <f>IF(Tim!EK65=Sheet6!$C$2,Sheet6!$C$2,IF(Tim!EK65=Sheet6!$C$3,Sheet6!$C$3,IF(Tim!EK65=Sheet6!$C$4,Sheet6!$C$4,IF(Tim!EK65=Sheet6!$C$5,Sheet6!$C$5,IF(Tim!EK65=Sheet6!$C$6,Sheet6!$C$6,IF(Tim!EK65=Sheet6!$C$7,Sheet6!$C$7,IF(Tim!EK65=Sheet6!$C$8,Sheet6!$C$8,"")))))))</f>
        <v/>
      </c>
      <c r="BH63" s="53" t="str">
        <f>IF(Tim!EL65=Sheet6!$C$2,Sheet6!$C$2,IF(Tim!EL65=Sheet6!$C$3,Sheet6!$C$3,IF(Tim!EL65=Sheet6!$C$4,Sheet6!$C$4,IF(Tim!EL65=Sheet6!$C$5,Sheet6!$C$5,IF(Tim!EL65=Sheet6!$C$6,Sheet6!$C$6,IF(Tim!EL65=Sheet6!$C$7,Sheet6!$C$7,IF(Tim!EL65=Sheet6!$C$8,Sheet6!$C$8,"")))))))</f>
        <v/>
      </c>
      <c r="BI63" s="57" t="str">
        <f>IF(Tim!EM65=Sheet6!$C$2,Sheet6!$C$2,IF(Tim!EM65=Sheet6!$C$3,Sheet6!$C$3,IF(Tim!EM65=Sheet6!$C$4,Sheet6!$C$4,IF(Tim!EM65=Sheet6!$C$5,Sheet6!$C$5,IF(Tim!EM65=Sheet6!$C$6,Sheet6!$C$6,IF(Tim!EM65=Sheet6!$C$7,Sheet6!$C$7,IF(Tim!EM65=Sheet6!$C$8,Sheet6!$C$8,"")))))))</f>
        <v/>
      </c>
      <c r="BJ63" s="57" t="str">
        <f>IF(Tim!EQ65=Sheet6!$C$2,Sheet6!$C$2,IF(Tim!EQ65=Sheet6!$C$3,Sheet6!$C$3,IF(Tim!EQ65=Sheet6!$C$4,Sheet6!$C$4,IF(Tim!EQ65=Sheet6!$C$5,Sheet6!$C$5,IF(Tim!EQ65=Sheet6!$C$6,Sheet6!$C$6,IF(Tim!EQ65=Sheet6!$C$7,Sheet6!$C$7,IF(Tim!EQ65=Sheet6!$C$8,Sheet6!$C$8,"")))))))</f>
        <v/>
      </c>
      <c r="BK63" s="57" t="str">
        <f>IF(Tim!ER65=Sheet6!$C$2,Sheet6!$C$2,IF(Tim!ER65=Sheet6!$C$3,Sheet6!$C$3,IF(Tim!ER65=Sheet6!$C$4,Sheet6!$C$4,IF(Tim!ER65=Sheet6!$C$5,Sheet6!$C$5,IF(Tim!ER65=Sheet6!$C$6,Sheet6!$C$6,IF(Tim!ER65=Sheet6!$C$7,Sheet6!$C$7,IF(Tim!ER65=Sheet6!$C$8,Sheet6!$C$8,"")))))))</f>
        <v/>
      </c>
      <c r="BL63" s="57" t="str">
        <f>IF(Tim!EZ65=Sheet6!$C$2,Sheet6!$C$2,IF(Tim!EZ65=Sheet6!$C$3,Sheet6!$C$3,IF(Tim!EZ65=Sheet6!$C$4,Sheet6!$C$4,IF(Tim!EZ65=Sheet6!$C$5,Sheet6!$C$5,IF(Tim!EZ65=Sheet6!$C$6,Sheet6!$C$6,IF(Tim!EZ65=Sheet6!$C$7,Sheet6!$C$7,IF(Tim!EZ65=Sheet6!$C$8,Sheet6!$C$8,"")))))))</f>
        <v/>
      </c>
      <c r="BM63" s="53" t="str">
        <f>IF(Tim!FG65=Sheet6!$C$2,Sheet6!$C$2,IF(Tim!FG65=Sheet6!$C$3,Sheet6!$C$3,IF(Tim!FG65=Sheet6!$C$4,Sheet6!$C$4,IF(Tim!FG65=Sheet6!$C$5,Sheet6!$C$5,IF(Tim!FG65=Sheet6!$C$6,Sheet6!$C$6,IF(Tim!FG65=Sheet6!$C$7,Sheet6!$C$7,IF(Tim!FG65=Sheet6!$C$8,Sheet6!$C$8,"")))))))</f>
        <v/>
      </c>
      <c r="BN63" s="181" t="str">
        <f>IF(Tim!FH65=Sheet6!$C$2,Sheet6!$C$2,IF(Tim!FH65=Sheet6!$C$3,Sheet6!$C$3,IF(Tim!FH65=Sheet6!$C$4,Sheet6!$C$4,IF(Tim!FH65=Sheet6!$C$5,Sheet6!$C$5,IF(Tim!FH65=Sheet6!$C$6,Sheet6!$C$6,IF(Tim!FH65=Sheet6!$C$7,Sheet6!$C$7,IF(Tim!FH65=Sheet6!$C$8,Sheet6!$C$8,"")))))))</f>
        <v/>
      </c>
      <c r="BO63" s="53" t="str">
        <f>IF(Tim!FP65=Sheet6!$C$2,Sheet6!$C$2,IF(Tim!FP65=Sheet6!$C$3,Sheet6!$C$3,IF(Tim!FP65=Sheet6!$C$4,Sheet6!$C$4,IF(Tim!FP65=Sheet6!$C$5,Sheet6!$C$5,IF(Tim!FP65=Sheet6!$C$6,Sheet6!$C$6,IF(Tim!FP65=Sheet6!$C$7,Sheet6!$C$7,IF(Tim!FP65=Sheet6!$C$8,Sheet6!$C$8,"")))))))</f>
        <v/>
      </c>
      <c r="BP63" s="53" t="str">
        <f>IF(Tim!FQ65=Sheet6!$C$2,Sheet6!$C$2,IF(Tim!FQ65=Sheet6!$C$3,Sheet6!$C$3,IF(Tim!FQ65=Sheet6!$C$4,Sheet6!$C$4,IF(Tim!FQ65=Sheet6!$C$5,Sheet6!$C$5,IF(Tim!FQ65=Sheet6!$C$6,Sheet6!$C$6,IF(Tim!FQ65=Sheet6!$C$7,Sheet6!$C$7,IF(Tim!FQ65=Sheet6!$C$8,Sheet6!$C$8,"")))))))</f>
        <v/>
      </c>
      <c r="BQ63" s="53" t="str">
        <f>IF(Tim!FR65=Sheet6!$C$2,Sheet6!$C$2,IF(Tim!FR65=Sheet6!$C$3,Sheet6!$C$3,IF(Tim!FR65=Sheet6!$C$4,Sheet6!$C$4,IF(Tim!FR65=Sheet6!$C$5,Sheet6!$C$5,IF(Tim!FR65=Sheet6!$C$6,Sheet6!$C$6,IF(Tim!FR65=Sheet6!$C$7,Sheet6!$C$7,IF(Tim!FR65=Sheet6!$C$8,Sheet6!$C$8,"")))))))</f>
        <v/>
      </c>
      <c r="BR63" s="176" t="str">
        <f>IF(Tim!FS65=Sheet6!$C$2,Sheet6!$C$2,IF(Tim!FS65=Sheet6!$C$3,Sheet6!$C$3,IF(Tim!FS65=Sheet6!$C$4,Sheet6!$C$4,IF(Tim!FS65=Sheet6!$C$5,Sheet6!$C$5,IF(Tim!FS65=Sheet6!$C$6,Sheet6!$C$6,IF(Tim!FS65=Sheet6!$C$7,Sheet6!$C$7,IF(Tim!FS65=Sheet6!$C$8,Sheet6!$C$8,"")))))))</f>
        <v/>
      </c>
      <c r="BS63" s="176" t="str">
        <f>IF(Tim!FT65=Sheet6!$C$2,Sheet6!$C$2,IF(Tim!FT65=Sheet6!$C$3,Sheet6!$C$3,IF(Tim!FT65=Sheet6!$C$4,Sheet6!$C$4,IF(Tim!FT65=Sheet6!$C$5,Sheet6!$C$5,IF(Tim!FT65=Sheet6!$C$6,Sheet6!$C$6,IF(Tim!FT65=Sheet6!$C$7,Sheet6!$C$7,IF(Tim!FT65=Sheet6!$C$8,Sheet6!$C$8,"")))))))</f>
        <v/>
      </c>
      <c r="BT63" s="53" t="str">
        <f>IF(Tim!FU65=Sheet6!$C$2,Sheet6!$C$2,IF(Tim!FU65=Sheet6!$C$3,Sheet6!$C$3,IF(Tim!FU65=Sheet6!$C$4,Sheet6!$C$4,IF(Tim!FU65=Sheet6!$C$5,Sheet6!$C$5,IF(Tim!FU65=Sheet6!$C$6,Sheet6!$C$6,IF(Tim!FU65=Sheet6!$C$7,Sheet6!$C$7,IF(Tim!FU65=Sheet6!$C$8,Sheet6!$C$8,"")))))))</f>
        <v/>
      </c>
      <c r="BU63" s="53" t="str">
        <f>IF(Tim!FY65=Sheet6!$C$2,Sheet6!$C$2,IF(Tim!FY65=Sheet6!$C$3,Sheet6!$C$3,IF(Tim!FY65=Sheet6!$C$4,Sheet6!$C$4,IF(Tim!FY65=Sheet6!$C$5,Sheet6!$C$5,IF(Tim!FY65=Sheet6!$C$6,Sheet6!$C$6,IF(Tim!FY65=Sheet6!$C$7,Sheet6!$C$7,IF(Tim!FY65=Sheet6!$C$8,Sheet6!$C$8,"")))))))</f>
        <v/>
      </c>
      <c r="BV63" s="54" t="str">
        <f>IF(Tim!FZ65=Sheet6!$C$2,Sheet6!$C$2,IF(Tim!FZ65=Sheet6!$C$3,Sheet6!$C$3,IF(Tim!FZ65=Sheet6!$C$4,Sheet6!$C$4,IF(Tim!FZ65=Sheet6!$C$5,Sheet6!$C$5,IF(Tim!FZ65=Sheet6!$C$6,Sheet6!$C$6,IF(Tim!FZ65=Sheet6!$C$7,Sheet6!$C$7,IF(Tim!FZ65=Sheet6!$C$8,Sheet6!$C$8,"")))))))</f>
        <v/>
      </c>
      <c r="BW63" s="54" t="str">
        <f>IF(Tim!GA65=Sheet6!$C$2,Sheet6!$C$2,IF(Tim!GA65=Sheet6!$C$3,Sheet6!$C$3,IF(Tim!GA65=Sheet6!$C$4,Sheet6!$C$4,IF(Tim!GA65=Sheet6!$C$5,Sheet6!$C$5,IF(Tim!GA65=Sheet6!$C$6,Sheet6!$C$6,IF(Tim!GA65=Sheet6!$C$7,Sheet6!$C$7,IF(Tim!GA65=Sheet6!$C$8,Sheet6!$C$8,"")))))))</f>
        <v/>
      </c>
      <c r="BX63" s="54" t="str">
        <f>IF(Tim!GB65=Sheet6!$C$2,Sheet6!$C$2,IF(Tim!GB65=Sheet6!$C$3,Sheet6!$C$3,IF(Tim!GB65=Sheet6!$C$4,Sheet6!$C$4,IF(Tim!GB65=Sheet6!$C$5,Sheet6!$C$5,IF(Tim!GB65=Sheet6!$C$6,Sheet6!$C$6,IF(Tim!GB65=Sheet6!$C$7,Sheet6!$C$7,IF(Tim!GB65=Sheet6!$C$8,Sheet6!$C$8,"")))))))</f>
        <v/>
      </c>
      <c r="BY63" s="55" t="str">
        <f>IF(Tim!GC65=Sheet6!$C$2,Sheet6!$C$2,IF(Tim!GC65=Sheet6!$C$3,Sheet6!$C$3,IF(Tim!GC65=Sheet6!$C$4,Sheet6!$C$4,IF(Tim!GC65=Sheet6!$C$5,Sheet6!$C$5,IF(Tim!GC65=Sheet6!$C$6,Sheet6!$C$6,IF(Tim!GC65=Sheet6!$C$7,Sheet6!$C$7,IF(Tim!GC65=Sheet6!$C$8,Sheet6!$C$8,"")))))))</f>
        <v/>
      </c>
      <c r="BZ63" s="53" t="str">
        <f>IF(Tim!GD65=Sheet6!$C$2,Sheet6!$C$2,IF(Tim!GD65=Sheet6!$C$3,Sheet6!$C$3,IF(Tim!GD65=Sheet6!$C$4,Sheet6!$C$4,IF(Tim!GD65=Sheet6!$C$5,Sheet6!$C$5,IF(Tim!GD65=Sheet6!$C$6,Sheet6!$C$6,IF(Tim!GD65=Sheet6!$C$7,Sheet6!$C$7,IF(Tim!GD65=Sheet6!$C$8,Sheet6!$C$8,"")))))))</f>
        <v/>
      </c>
      <c r="CA63" s="57" t="str">
        <f>IF(Tim!GE65=Sheet6!$C$2,Sheet6!$C$2,IF(Tim!GE65=Sheet6!$C$3,Sheet6!$C$3,IF(Tim!GE65=Sheet6!$C$4,Sheet6!$C$4,IF(Tim!GE65=Sheet6!$C$5,Sheet6!$C$5,IF(Tim!GE65=Sheet6!$C$6,Sheet6!$C$6,IF(Tim!GE65=Sheet6!$C$7,Sheet6!$C$7,IF(Tim!GE65=Sheet6!$C$8,Sheet6!$C$8,"")))))))</f>
        <v/>
      </c>
      <c r="CB63" s="57" t="str">
        <f>IF(Tim!GI65=Sheet6!$C$2,Sheet6!$C$2,IF(Tim!GI65=Sheet6!$C$3,Sheet6!$C$3,IF(Tim!GI65=Sheet6!$C$4,Sheet6!$C$4,IF(Tim!GI65=Sheet6!$C$5,Sheet6!$C$5,IF(Tim!GI65=Sheet6!$C$6,Sheet6!$C$6,IF(Tim!GI65=Sheet6!$C$7,Sheet6!$C$7,IF(Tim!GI65=Sheet6!$C$8,Sheet6!$C$8,"")))))))</f>
        <v/>
      </c>
      <c r="CC63" s="57" t="str">
        <f>IF(Tim!GJ65=Sheet6!$C$2,Sheet6!$C$2,IF(Tim!GJ65=Sheet6!$C$3,Sheet6!$C$3,IF(Tim!GJ65=Sheet6!$C$4,Sheet6!$C$4,IF(Tim!GJ65=Sheet6!$C$5,Sheet6!$C$5,IF(Tim!GJ65=Sheet6!$C$6,Sheet6!$C$6,IF(Tim!GJ65=Sheet6!$C$7,Sheet6!$C$7,IF(Tim!GJ65=Sheet6!$C$8,Sheet6!$C$8,"")))))))</f>
        <v/>
      </c>
      <c r="CD63" s="57" t="str">
        <f>IF(Tim!GN65=Sheet6!$C$2,Sheet6!$C$2,IF(Tim!GN65=Sheet6!$C$3,Sheet6!$C$3,IF(Tim!GN65=Sheet6!$C$4,Sheet6!$C$4,IF(Tim!GN65=Sheet6!$C$5,Sheet6!$C$5,IF(Tim!GN65=Sheet6!$C$6,Sheet6!$C$6,IF(Tim!GN65=Sheet6!$C$7,Sheet6!$C$7,IF(Tim!GN65=Sheet6!$C$8,Sheet6!$C$8,"")))))))</f>
        <v/>
      </c>
      <c r="CE63" s="53" t="str">
        <f>IF(Tim!GY65=Sheet6!$C$2,Sheet6!$C$2,IF(Tim!GY65=Sheet6!$C$3,Sheet6!$C$3,IF(Tim!GY65=Sheet6!$C$4,Sheet6!$C$4,IF(Tim!GY65=Sheet6!$C$5,Sheet6!$C$5,IF(Tim!GY65=Sheet6!$C$6,Sheet6!$C$6,IF(Tim!GY65=Sheet6!$C$7,Sheet6!$C$7,IF(Tim!GY65=Sheet6!$C$8,Sheet6!$C$8,"")))))))</f>
        <v/>
      </c>
      <c r="CF63" s="53" t="str">
        <f>IF(Tim!GZ65=Sheet6!$C$2,Sheet6!$C$2,IF(Tim!GZ65=Sheet6!$C$3,Sheet6!$C$3,IF(Tim!GZ65=Sheet6!$C$4,Sheet6!$C$4,IF(Tim!GZ65=Sheet6!$C$5,Sheet6!$C$5,IF(Tim!GZ65=Sheet6!$C$6,Sheet6!$C$6,IF(Tim!GZ65=Sheet6!$C$7,Sheet6!$C$7,IF(Tim!GZ65=Sheet6!$C$8,Sheet6!$C$8,"")))))))</f>
        <v/>
      </c>
      <c r="CG63" s="53" t="str">
        <f>IF(Tim!HH65=Sheet6!$C$2,Sheet6!$C$2,IF(Tim!HH65=Sheet6!$C$3,Sheet6!$C$3,IF(Tim!HH65=Sheet6!$C$4,Sheet6!$C$4,IF(Tim!HH65=Sheet6!$C$5,Sheet6!$C$5,IF(Tim!HH65=Sheet6!$C$6,Sheet6!$C$6,IF(Tim!HH65=Sheet6!$C$7,Sheet6!$C$7,IF(Tim!HH65=Sheet6!$C$8,Sheet6!$C$8,"")))))))</f>
        <v/>
      </c>
      <c r="CH63" s="53" t="str">
        <f>IF(Tim!HI65=Sheet6!$C$2,Sheet6!$C$2,IF(Tim!HI65=Sheet6!$C$3,Sheet6!$C$3,IF(Tim!HI65=Sheet6!$C$4,Sheet6!$C$4,IF(Tim!HI65=Sheet6!$C$5,Sheet6!$C$5,IF(Tim!HI65=Sheet6!$C$6,Sheet6!$C$6,IF(Tim!HI65=Sheet6!$C$7,Sheet6!$C$7,IF(Tim!HI65=Sheet6!$C$8,Sheet6!$C$8,"")))))))</f>
        <v/>
      </c>
      <c r="CI63" s="53" t="str">
        <f>IF(Tim!HJ65=Sheet6!$C$2,Sheet6!$C$2,IF(Tim!HJ65=Sheet6!$C$3,Sheet6!$C$3,IF(Tim!HJ65=Sheet6!$C$4,Sheet6!$C$4,IF(Tim!HJ65=Sheet6!$C$5,Sheet6!$C$5,IF(Tim!HJ65=Sheet6!$C$6,Sheet6!$C$6,IF(Tim!HJ65=Sheet6!$C$7,Sheet6!$C$7,IF(Tim!HJ65=Sheet6!$C$8,Sheet6!$C$8,"")))))))</f>
        <v/>
      </c>
      <c r="CJ63" s="53" t="str">
        <f>IF(Tim!HK65=Sheet6!$C$2,Sheet6!$C$2,IF(Tim!HK65=Sheet6!$C$3,Sheet6!$C$3,IF(Tim!HK65=Sheet6!$C$4,Sheet6!$C$4,IF(Tim!HK65=Sheet6!$C$5,Sheet6!$C$5,IF(Tim!HK65=Sheet6!$C$6,Sheet6!$C$6,IF(Tim!HK65=Sheet6!$C$7,Sheet6!$C$7,IF(Tim!HK65=Sheet6!$C$8,Sheet6!$C$8,"")))))))</f>
        <v/>
      </c>
      <c r="CK63" s="53" t="str">
        <f>IF(Tim!HL65=Sheet6!$C$2,Sheet6!$C$2,IF(Tim!HL65=Sheet6!$C$3,Sheet6!$C$3,IF(Tim!HL65=Sheet6!$C$4,Sheet6!$C$4,IF(Tim!HL65=Sheet6!$C$5,Sheet6!$C$5,IF(Tim!HL65=Sheet6!$C$6,Sheet6!$C$6,IF(Tim!HL65=Sheet6!$C$7,Sheet6!$C$7,IF(Tim!HL65=Sheet6!$C$8,Sheet6!$C$8,"")))))))</f>
        <v/>
      </c>
      <c r="CL63" s="176" t="str">
        <f>IF(Tim!HM65=Sheet6!$C$2,Sheet6!$C$2,IF(Tim!HM65=Sheet6!$C$3,Sheet6!$C$3,IF(Tim!HM65=Sheet6!$C$4,Sheet6!$C$4,IF(Tim!HM65=Sheet6!$C$5,Sheet6!$C$5,IF(Tim!HM65=Sheet6!$C$6,Sheet6!$C$6,IF(Tim!HM65=Sheet6!$C$7,Sheet6!$C$7,IF(Tim!HM65=Sheet6!$C$8,Sheet6!$C$8,"")))))))</f>
        <v/>
      </c>
      <c r="CM63" s="53" t="str">
        <f>IF(Tim!HQ65=Sheet6!$C$2,Sheet6!$C$2,IF(Tim!HQ65=Sheet6!$C$3,Sheet6!$C$3,IF(Tim!HQ65=Sheet6!$C$4,Sheet6!$C$4,IF(Tim!HQ65=Sheet6!$C$5,Sheet6!$C$5,IF(Tim!HQ65=Sheet6!$C$6,Sheet6!$C$6,IF(Tim!HQ65=Sheet6!$C$7,Sheet6!$C$7,IF(Tim!HQ65=Sheet6!$C$8,Sheet6!$C$8,"")))))))</f>
        <v/>
      </c>
      <c r="CN63" s="54" t="str">
        <f>IF(Tim!HR65=Sheet6!$C$2,Sheet6!$C$2,IF(Tim!HR65=Sheet6!$C$3,Sheet6!$C$3,IF(Tim!HR65=Sheet6!$C$4,Sheet6!$C$4,IF(Tim!HR65=Sheet6!$C$5,Sheet6!$C$5,IF(Tim!HR65=Sheet6!$C$6,Sheet6!$C$6,IF(Tim!HR65=Sheet6!$C$7,Sheet6!$C$7,IF(Tim!HR65=Sheet6!$C$8,Sheet6!$C$8,"")))))))</f>
        <v/>
      </c>
      <c r="CO63" s="54" t="str">
        <f>IF(Tim!HS65=Sheet6!$C$2,Sheet6!$C$2,IF(Tim!HS65=Sheet6!$C$3,Sheet6!$C$3,IF(Tim!HS65=Sheet6!$C$4,Sheet6!$C$4,IF(Tim!HS65=Sheet6!$C$5,Sheet6!$C$5,IF(Tim!HS65=Sheet6!$C$6,Sheet6!$C$6,IF(Tim!HS65=Sheet6!$C$7,Sheet6!$C$7,IF(Tim!HS65=Sheet6!$C$8,Sheet6!$C$8,"")))))))</f>
        <v/>
      </c>
      <c r="CP63" s="54" t="str">
        <f>IF(Tim!HT65=Sheet6!$C$2,Sheet6!$C$2,IF(Tim!HT65=Sheet6!$C$3,Sheet6!$C$3,IF(Tim!HT65=Sheet6!$C$4,Sheet6!$C$4,IF(Tim!HT65=Sheet6!$C$5,Sheet6!$C$5,IF(Tim!HT65=Sheet6!$C$6,Sheet6!$C$6,IF(Tim!HT65=Sheet6!$C$7,Sheet6!$C$7,IF(Tim!HT65=Sheet6!$C$8,Sheet6!$C$8,"")))))))</f>
        <v/>
      </c>
      <c r="CQ63" s="55" t="str">
        <f>IF(Tim!HU65=Sheet6!$C$2,Sheet6!$C$2,IF(Tim!HU65=Sheet6!$C$3,Sheet6!$C$3,IF(Tim!HU65=Sheet6!$C$4,Sheet6!$C$4,IF(Tim!HU65=Sheet6!$C$5,Sheet6!$C$5,IF(Tim!HU65=Sheet6!$C$6,Sheet6!$C$6,IF(Tim!HU65=Sheet6!$C$7,Sheet6!$C$7,IF(Tim!HU65=Sheet6!$C$8,Sheet6!$C$8,"")))))))</f>
        <v/>
      </c>
      <c r="CR63" s="469"/>
      <c r="CS63" s="366"/>
      <c r="CT63" s="366"/>
      <c r="CU63" s="366"/>
      <c r="CV63" s="366"/>
      <c r="CW63" s="366"/>
      <c r="CX63" s="366"/>
      <c r="CY63" s="366"/>
      <c r="CZ63" s="366"/>
      <c r="DA63" s="366"/>
      <c r="DB63" s="366"/>
      <c r="DC63" s="366"/>
      <c r="DD63" s="366"/>
      <c r="DE63" s="366"/>
      <c r="DF63" s="366"/>
      <c r="DG63" s="428"/>
      <c r="DH63" s="422"/>
      <c r="DI63" s="423"/>
      <c r="DJ63" s="423"/>
      <c r="DK63" s="423"/>
      <c r="DL63" s="423"/>
      <c r="DM63" s="423"/>
      <c r="DN63" s="423"/>
      <c r="DO63" s="423"/>
      <c r="DP63" s="423"/>
      <c r="DQ63" s="423"/>
      <c r="DR63" s="423"/>
      <c r="DS63" s="423"/>
      <c r="DT63" s="423"/>
      <c r="DU63" s="423"/>
      <c r="DV63" s="423"/>
      <c r="DW63" s="424"/>
      <c r="DX63" s="52">
        <v>0.89583333333333204</v>
      </c>
    </row>
    <row r="64" spans="2:128" ht="10.5" customHeight="1">
      <c r="B64" s="51">
        <v>0.25</v>
      </c>
      <c r="C64" s="51">
        <v>0.25</v>
      </c>
      <c r="D64" s="51">
        <v>0.25</v>
      </c>
      <c r="E64" s="52">
        <v>0.906249999999998</v>
      </c>
      <c r="F64" s="53" t="str">
        <f>IF(Tim!F66=Sheet6!$C$2,Sheet6!$C$2,IF(Tim!F66=Sheet6!$C$3,Sheet6!$C$3,IF(Tim!F66=Sheet6!$C$4,Sheet6!$C$4,IF(Tim!F66=Sheet6!$C$5,Sheet6!$C$5,IF(Tim!F66=Sheet6!$C$6,Sheet6!$C$6,IF(Tim!F66=Sheet6!$C$7,Sheet6!$C$7,IF(Tim!F66=Sheet6!$C$8,Sheet6!$C$8,"")))))))</f>
        <v/>
      </c>
      <c r="G64" s="53" t="str">
        <f>IF(Tim!G66=Sheet6!$C$2,Sheet6!$C$2,IF(Tim!G66=Sheet6!$C$3,Sheet6!$C$3,IF(Tim!G66=Sheet6!$C$4,Sheet6!$C$4,IF(Tim!G66=Sheet6!$C$5,Sheet6!$C$5,IF(Tim!G66=Sheet6!$C$6,Sheet6!$C$6,IF(Tim!G66=Sheet6!$C$7,Sheet6!$C$7,IF(Tim!G66=Sheet6!$C$8,Sheet6!$C$8,"")))))))</f>
        <v/>
      </c>
      <c r="H64" s="53" t="str">
        <f>IF(Tim!H66=Sheet6!$C$2,Sheet6!$C$2,IF(Tim!H66=Sheet6!$C$3,Sheet6!$C$3,IF(Tim!H66=Sheet6!$C$4,Sheet6!$C$4,IF(Tim!H66=Sheet6!$C$5,Sheet6!$C$5,IF(Tim!H66=Sheet6!$C$6,Sheet6!$C$6,IF(Tim!H66=Sheet6!$C$7,Sheet6!$C$7,IF(Tim!H66=Sheet6!$C$8,Sheet6!$C$8,"")))))))</f>
        <v/>
      </c>
      <c r="I64" s="53" t="str">
        <f>IF(Tim!L66=Sheet6!$C$2,Sheet6!$C$2,IF(Tim!L66=Sheet6!$C$3,Sheet6!$C$3,IF(Tim!L66=Sheet6!$C$4,Sheet6!$C$4,IF(Tim!L66=Sheet6!$C$5,Sheet6!$C$5,IF(Tim!L66=Sheet6!$C$6,Sheet6!$C$6,IF(Tim!L66=Sheet6!$C$7,Sheet6!$C$7,IF(Tim!L66=Sheet6!$C$8,Sheet6!$C$8,"")))))))</f>
        <v/>
      </c>
      <c r="J64" s="53" t="str">
        <f>IF(Tim!T66=Sheet6!$C$2,Sheet6!$C$2,IF(Tim!T66=Sheet6!$C$3,Sheet6!$C$3,IF(Tim!T66=Sheet6!$C$4,Sheet6!$C$4,IF(Tim!T66=Sheet6!$C$5,Sheet6!$C$5,IF(Tim!T66=Sheet6!$C$6,Sheet6!$C$6,IF(Tim!T66=Sheet6!$C$7,Sheet6!$C$7,IF(Tim!T66=Sheet6!$C$8,Sheet6!$C$8,"")))))))</f>
        <v/>
      </c>
      <c r="K64" s="53" t="str">
        <f>IF(Tim!AB66=Sheet6!$C$2,Sheet6!$C$2,IF(Tim!AB66=Sheet6!$C$3,Sheet6!$C$3,IF(Tim!AB66=Sheet6!$C$4,Sheet6!$C$4,IF(Tim!AB66=Sheet6!$C$5,Sheet6!$C$5,IF(Tim!AB66=Sheet6!$C$6,Sheet6!$C$6,IF(Tim!AB66=Sheet6!$C$7,Sheet6!$C$7,IF(Tim!AB66=Sheet6!$C$8,Sheet6!$C$8,"")))))))</f>
        <v/>
      </c>
      <c r="L64" s="53" t="str">
        <f>IF(Tim!AC66=Sheet6!$C$2,Sheet6!$C$2,IF(Tim!AC66=Sheet6!$C$3,Sheet6!$C$3,IF(Tim!AC66=Sheet6!$C$4,Sheet6!$C$4,IF(Tim!AC66=Sheet6!$C$5,Sheet6!$C$5,IF(Tim!AC66=Sheet6!$C$6,Sheet6!$C$6,IF(Tim!AC66=Sheet6!$C$7,Sheet6!$C$7,IF(Tim!AC66=Sheet6!$C$8,Sheet6!$C$8,"")))))))</f>
        <v/>
      </c>
      <c r="M64" s="53" t="str">
        <f>IF(Tim!AJ66=Sheet6!$C$2,Sheet6!$C$2,IF(Tim!AJ66=Sheet6!$C$3,Sheet6!$C$3,IF(Tim!AJ66=Sheet6!$C$4,Sheet6!$C$4,IF(Tim!AJ66=Sheet6!$C$5,Sheet6!$C$5,IF(Tim!AJ66=Sheet6!$C$6,Sheet6!$C$6,IF(Tim!AJ66=Sheet6!$C$7,Sheet6!$C$7,IF(Tim!AJ66=Sheet6!$C$8,Sheet6!$C$8,"")))))))</f>
        <v/>
      </c>
      <c r="N64" s="53" t="str">
        <f>IF(Tim!AK66=Sheet6!$C$2,Sheet6!$C$2,IF(Tim!AK66=Sheet6!$C$3,Sheet6!$C$3,IF(Tim!AK66=Sheet6!$C$4,Sheet6!$C$4,IF(Tim!AK66=Sheet6!$C$5,Sheet6!$C$5,IF(Tim!AK66=Sheet6!$C$6,Sheet6!$C$6,IF(Tim!AK66=Sheet6!$C$7,Sheet6!$C$7,IF(Tim!AK66=Sheet6!$C$8,Sheet6!$C$8,"")))))))</f>
        <v/>
      </c>
      <c r="O64" s="53" t="str">
        <f>IF(Tim!AL66=Sheet6!$C$2,Sheet6!$C$2,IF(Tim!AL66=Sheet6!$C$3,Sheet6!$C$3,IF(Tim!AL66=Sheet6!$C$4,Sheet6!$C$4,IF(Tim!AL66=Sheet6!$C$5,Sheet6!$C$5,IF(Tim!AL66=Sheet6!$C$6,Sheet6!$C$6,IF(Tim!AL66=Sheet6!$C$7,Sheet6!$C$7,IF(Tim!AL66=Sheet6!$C$8,Sheet6!$C$8,"")))))))</f>
        <v/>
      </c>
      <c r="P64" s="53" t="str">
        <f>IF(Tim!AN66=Sheet6!$C$2,Sheet6!$C$2,IF(Tim!AN66=Sheet6!$C$3,Sheet6!$C$3,IF(Tim!AN66=Sheet6!$C$4,Sheet6!$C$4,IF(Tim!AN66=Sheet6!$C$5,Sheet6!$C$5,IF(Tim!AN66=Sheet6!$C$6,Sheet6!$C$6,IF(Tim!AN66=Sheet6!$C$7,Sheet6!$C$7,IF(Tim!AN66=Sheet6!$C$8,Sheet6!$C$8,"")))))))</f>
        <v/>
      </c>
      <c r="Q64" s="53" t="str">
        <f>IF(Tim!AO66=Sheet6!$C$2,Sheet6!$C$2,IF(Tim!AO66=Sheet6!$C$3,Sheet6!$C$3,IF(Tim!AO66=Sheet6!$C$4,Sheet6!$C$4,IF(Tim!AO66=Sheet6!$C$5,Sheet6!$C$5,IF(Tim!AO66=Sheet6!$C$6,Sheet6!$C$6,IF(Tim!AO66=Sheet6!$C$7,Sheet6!$C$7,IF(Tim!AO66=Sheet6!$C$8,Sheet6!$C$8,"")))))))</f>
        <v/>
      </c>
      <c r="R64" s="53" t="str">
        <f>IF(Tim!AP66=Sheet6!$C$2,Sheet6!$C$2,IF(Tim!AP66=Sheet6!$C$3,Sheet6!$C$3,IF(Tim!AP66=Sheet6!$C$4,Sheet6!$C$4,IF(Tim!AP66=Sheet6!$C$5,Sheet6!$C$5,IF(Tim!AP66=Sheet6!$C$6,Sheet6!$C$6,IF(Tim!AP66=Sheet6!$C$7,Sheet6!$C$7,IF(Tim!AP66=Sheet6!$C$8,Sheet6!$C$8,"")))))))</f>
        <v/>
      </c>
      <c r="S64" s="53" t="str">
        <f>IF(Tim!AT66=Sheet6!$C$2,Sheet6!$C$2,IF(Tim!AT66=Sheet6!$C$3,Sheet6!$C$3,IF(Tim!AT66=Sheet6!$C$4,Sheet6!$C$4,IF(Tim!AT66=Sheet6!$C$5,Sheet6!$C$5,IF(Tim!AT66=Sheet6!$C$6,Sheet6!$C$6,IF(Tim!AT66=Sheet6!$C$7,Sheet6!$C$7,IF(Tim!AT66=Sheet6!$C$8,Sheet6!$C$8,"")))))))</f>
        <v/>
      </c>
      <c r="T64" s="54" t="str">
        <f>IF(Tim!AU66=Sheet6!$C$2,Sheet6!$C$2,IF(Tim!AU66=Sheet6!$C$3,Sheet6!$C$3,IF(Tim!AU66=Sheet6!$C$4,Sheet6!$C$4,IF(Tim!AU66=Sheet6!$C$5,Sheet6!$C$5,IF(Tim!AU66=Sheet6!$C$6,Sheet6!$C$6,IF(Tim!AU66=Sheet6!$C$7,Sheet6!$C$7,IF(Tim!AU66=Sheet6!$C$8,Sheet6!$C$8,"")))))))</f>
        <v/>
      </c>
      <c r="U64" s="54" t="str">
        <f>IF(Tim!AV66=Sheet6!$C$2,Sheet6!$C$2,IF(Tim!AV66=Sheet6!$C$3,Sheet6!$C$3,IF(Tim!AV66=Sheet6!$C$4,Sheet6!$C$4,IF(Tim!AV66=Sheet6!$C$5,Sheet6!$C$5,IF(Tim!AV66=Sheet6!$C$6,Sheet6!$C$6,IF(Tim!AV66=Sheet6!$C$7,Sheet6!$C$7,IF(Tim!AV66=Sheet6!$C$8,Sheet6!$C$8,"")))))))</f>
        <v/>
      </c>
      <c r="V64" s="54" t="str">
        <f>IF(Tim!AW66=Sheet6!$C$2,Sheet6!$C$2,IF(Tim!AW66=Sheet6!$C$3,Sheet6!$C$3,IF(Tim!AW66=Sheet6!$C$4,Sheet6!$C$4,IF(Tim!AW66=Sheet6!$C$5,Sheet6!$C$5,IF(Tim!AW66=Sheet6!$C$6,Sheet6!$C$6,IF(Tim!AW66=Sheet6!$C$7,Sheet6!$C$7,IF(Tim!AW66=Sheet6!$C$8,Sheet6!$C$8,"")))))))</f>
        <v/>
      </c>
      <c r="W64" s="55" t="str">
        <f>IF(Tim!AX66=Sheet6!$C$2,Sheet6!$C$2,IF(Tim!AX66=Sheet6!$C$3,Sheet6!$C$3,IF(Tim!AX66=Sheet6!$C$4,Sheet6!$C$4,IF(Tim!AX66=Sheet6!$C$5,Sheet6!$C$5,IF(Tim!AX66=Sheet6!$C$6,Sheet6!$C$6,IF(Tim!AX66=Sheet6!$C$7,Sheet6!$C$7,IF(Tim!AX66=Sheet6!$C$8,Sheet6!$C$8,"")))))))</f>
        <v/>
      </c>
      <c r="X64" s="53" t="str">
        <f>IF(Tim!AY66=Sheet6!$C$2,Sheet6!$C$2,IF(Tim!AY66=Sheet6!$C$3,Sheet6!$C$3,IF(Tim!AY66=Sheet6!$C$4,Sheet6!$C$4,IF(Tim!AY66=Sheet6!$C$5,Sheet6!$C$5,IF(Tim!AY66=Sheet6!$C$6,Sheet6!$C$6,IF(Tim!AY66=Sheet6!$C$7,Sheet6!$C$7,IF(Tim!AY66=Sheet6!$C$8,Sheet6!$C$8,"")))))))</f>
        <v/>
      </c>
      <c r="Y64" s="57" t="str">
        <f>IF(Tim!AZ66=Sheet6!$C$2,Sheet6!$C$2,IF(Tim!AZ66=Sheet6!$C$3,Sheet6!$C$3,IF(Tim!AZ66=Sheet6!$C$4,Sheet6!$C$4,IF(Tim!AZ66=Sheet6!$C$5,Sheet6!$C$5,IF(Tim!AZ66=Sheet6!$C$6,Sheet6!$C$6,IF(Tim!AZ66=Sheet6!$C$7,Sheet6!$C$7,IF(Tim!AZ66=Sheet6!$C$8,Sheet6!$C$8,"")))))))</f>
        <v/>
      </c>
      <c r="Z64" s="57" t="str">
        <f>IF(Tim!BD66=Sheet6!$C$2,Sheet6!$C$2,IF(Tim!BD66=Sheet6!$C$3,Sheet6!$C$3,IF(Tim!BD66=Sheet6!$C$4,Sheet6!$C$4,IF(Tim!BD66=Sheet6!$C$5,Sheet6!$C$5,IF(Tim!BD66=Sheet6!$C$6,Sheet6!$C$6,IF(Tim!BD66=Sheet6!$C$7,Sheet6!$C$7,IF(Tim!BD66=Sheet6!$C$8,Sheet6!$C$8,"")))))))</f>
        <v/>
      </c>
      <c r="AA64" s="57" t="str">
        <f>IF(Tim!BE66=Sheet6!$C$2,Sheet6!$C$2,IF(Tim!BE66=Sheet6!$C$3,Sheet6!$C$3,IF(Tim!BE66=Sheet6!$C$4,Sheet6!$C$4,IF(Tim!BE66=Sheet6!$C$5,Sheet6!$C$5,IF(Tim!BE66=Sheet6!$C$6,Sheet6!$C$6,IF(Tim!BE66=Sheet6!$C$7,Sheet6!$C$7,IF(Tim!BE66=Sheet6!$C$8,Sheet6!$C$8,"")))))))</f>
        <v/>
      </c>
      <c r="AB64" s="57" t="str">
        <f>IF(Tim!BL66=Sheet6!$C$2,Sheet6!$C$2,IF(Tim!BL66=Sheet6!$C$3,Sheet6!$C$3,IF(Tim!BL66=Sheet6!$C$4,Sheet6!$C$4,IF(Tim!BL66=Sheet6!$C$5,Sheet6!$C$5,IF(Tim!BL66=Sheet6!$C$6,Sheet6!$C$6,IF(Tim!BL66=Sheet6!$C$7,Sheet6!$C$7,IF(Tim!BL66=Sheet6!$C$8,Sheet6!$C$8,"")))))))</f>
        <v/>
      </c>
      <c r="AC64" s="53" t="str">
        <f>IF(Tim!BT66=Sheet6!$C$2,Sheet6!$C$2,IF(Tim!BT66=Sheet6!$C$3,Sheet6!$C$3,IF(Tim!BT66=Sheet6!$C$4,Sheet6!$C$4,IF(Tim!BT66=Sheet6!$C$5,Sheet6!$C$5,IF(Tim!BT66=Sheet6!$C$6,Sheet6!$C$6,IF(Tim!BT66=Sheet6!$C$7,Sheet6!$C$7,IF(Tim!BT66=Sheet6!$C$8,Sheet6!$C$8,"")))))))</f>
        <v/>
      </c>
      <c r="AD64" s="181" t="str">
        <f>IF(Tim!BU66=Sheet6!$C$2,Sheet6!$C$2,IF(Tim!BU66=Sheet6!$C$3,Sheet6!$C$3,IF(Tim!BU66=Sheet6!$C$4,Sheet6!$C$4,IF(Tim!BU66=Sheet6!$C$5,Sheet6!$C$5,IF(Tim!BU66=Sheet6!$C$6,Sheet6!$C$6,IF(Tim!BU66=Sheet6!$C$7,Sheet6!$C$7,IF(Tim!BU66=Sheet6!$C$8,Sheet6!$C$8,"")))))))</f>
        <v/>
      </c>
      <c r="AE64" s="53" t="str">
        <f>IF(Tim!CB66=Sheet6!$C$2,Sheet6!$C$2,IF(Tim!CB66=Sheet6!$C$3,Sheet6!$C$3,IF(Tim!CB66=Sheet6!$C$4,Sheet6!$C$4,IF(Tim!CB66=Sheet6!$C$5,Sheet6!$C$5,IF(Tim!CB66=Sheet6!$C$6,Sheet6!$C$6,IF(Tim!CB66=Sheet6!$C$7,Sheet6!$C$7,IF(Tim!CB66=Sheet6!$C$8,Sheet6!$C$8,"")))))))</f>
        <v/>
      </c>
      <c r="AF64" s="53" t="str">
        <f>IF(Tim!CD66=Sheet6!$C$2,Sheet6!$C$2,IF(Tim!CD66=Sheet6!$C$3,Sheet6!$C$3,IF(Tim!CD66=Sheet6!$C$4,Sheet6!$C$4,IF(Tim!CD66=Sheet6!$C$5,Sheet6!$C$5,IF(Tim!CD66=Sheet6!$C$6,Sheet6!$C$6,IF(Tim!CD66=Sheet6!$C$7,Sheet6!$C$7,IF(Tim!CD66=Sheet6!$C$8,Sheet6!$C$8,"")))))))</f>
        <v/>
      </c>
      <c r="AG64" s="53" t="str">
        <f>IF(Tim!CE66=Sheet6!$C$2,Sheet6!$C$2,IF(Tim!CE66=Sheet6!$C$3,Sheet6!$C$3,IF(Tim!CE66=Sheet6!$C$4,Sheet6!$C$4,IF(Tim!CE66=Sheet6!$C$5,Sheet6!$C$5,IF(Tim!CE66=Sheet6!$C$6,Sheet6!$C$6,IF(Tim!CE66=Sheet6!$C$7,Sheet6!$C$7,IF(Tim!CE66=Sheet6!$C$8,Sheet6!$C$8,"")))))))</f>
        <v/>
      </c>
      <c r="AH64" s="53" t="str">
        <f>IF(Tim!CF66=Sheet6!$C$2,Sheet6!$C$2,IF(Tim!CF66=Sheet6!$C$3,Sheet6!$C$3,IF(Tim!CF66=Sheet6!$C$4,Sheet6!$C$4,IF(Tim!CF66=Sheet6!$C$5,Sheet6!$C$5,IF(Tim!CF66=Sheet6!$C$6,Sheet6!$C$6,IF(Tim!CF66=Sheet6!$C$7,Sheet6!$C$7,IF(Tim!CF66=Sheet6!$C$8,Sheet6!$C$8,"")))))))</f>
        <v/>
      </c>
      <c r="AI64" s="53" t="str">
        <f>IF(Tim!CG66=Sheet6!$C$2,Sheet6!$C$2,IF(Tim!CG66=Sheet6!$C$3,Sheet6!$C$3,IF(Tim!CG66=Sheet6!$C$4,Sheet6!$C$4,IF(Tim!CG66=Sheet6!$C$5,Sheet6!$C$5,IF(Tim!CG66=Sheet6!$C$6,Sheet6!$C$6,IF(Tim!CG66=Sheet6!$C$7,Sheet6!$C$7,IF(Tim!CG66=Sheet6!$C$8,Sheet6!$C$8,"")))))))</f>
        <v/>
      </c>
      <c r="AJ64" s="53" t="str">
        <f>IF(Tim!CH66=Sheet6!$C$2,Sheet6!$C$2,IF(Tim!CH66=Sheet6!$C$3,Sheet6!$C$3,IF(Tim!CH66=Sheet6!$C$4,Sheet6!$C$4,IF(Tim!CH66=Sheet6!$C$5,Sheet6!$C$5,IF(Tim!CH66=Sheet6!$C$6,Sheet6!$C$6,IF(Tim!CH66=Sheet6!$C$7,Sheet6!$C$7,IF(Tim!CH66=Sheet6!$C$8,Sheet6!$C$8,"")))))))</f>
        <v/>
      </c>
      <c r="AK64" s="53" t="str">
        <f>IF(Tim!CL66=Sheet6!$C$2,Sheet6!$C$2,IF(Tim!CL66=Sheet6!$C$3,Sheet6!$C$3,IF(Tim!CL66=Sheet6!$C$4,Sheet6!$C$4,IF(Tim!CL66=Sheet6!$C$5,Sheet6!$C$5,IF(Tim!CL66=Sheet6!$C$6,Sheet6!$C$6,IF(Tim!CL66=Sheet6!$C$7,Sheet6!$C$7,IF(Tim!CL66=Sheet6!$C$8,Sheet6!$C$8,"")))))))</f>
        <v/>
      </c>
      <c r="AL64" s="54" t="str">
        <f>IF(Tim!CM66=Sheet6!$C$2,Sheet6!$C$2,IF(Tim!CM66=Sheet6!$C$3,Sheet6!$C$3,IF(Tim!CM66=Sheet6!$C$4,Sheet6!$C$4,IF(Tim!CM66=Sheet6!$C$5,Sheet6!$C$5,IF(Tim!CM66=Sheet6!$C$6,Sheet6!$C$6,IF(Tim!CM66=Sheet6!$C$7,Sheet6!$C$7,IF(Tim!CM66=Sheet6!$C$8,Sheet6!$C$8,"")))))))</f>
        <v/>
      </c>
      <c r="AM64" s="54" t="str">
        <f>IF(Tim!CN66=Sheet6!$C$2,Sheet6!$C$2,IF(Tim!CN66=Sheet6!$C$3,Sheet6!$C$3,IF(Tim!CN66=Sheet6!$C$4,Sheet6!$C$4,IF(Tim!CN66=Sheet6!$C$5,Sheet6!$C$5,IF(Tim!CN66=Sheet6!$C$6,Sheet6!$C$6,IF(Tim!CN66=Sheet6!$C$7,Sheet6!$C$7,IF(Tim!CN66=Sheet6!$C$8,Sheet6!$C$8,"")))))))</f>
        <v/>
      </c>
      <c r="AN64" s="54" t="str">
        <f>IF(Tim!CO66=Sheet6!$C$2,Sheet6!$C$2,IF(Tim!CO66=Sheet6!$C$3,Sheet6!$C$3,IF(Tim!CO66=Sheet6!$C$4,Sheet6!$C$4,IF(Tim!CO66=Sheet6!$C$5,Sheet6!$C$5,IF(Tim!CO66=Sheet6!$C$6,Sheet6!$C$6,IF(Tim!CO66=Sheet6!$C$7,Sheet6!$C$7,IF(Tim!CO66=Sheet6!$C$8,Sheet6!$C$8,"")))))))</f>
        <v/>
      </c>
      <c r="AO64" s="55" t="str">
        <f>IF(Tim!CP66=Sheet6!$C$2,Sheet6!$C$2,IF(Tim!CP66=Sheet6!$C$3,Sheet6!$C$3,IF(Tim!CP66=Sheet6!$C$4,Sheet6!$C$4,IF(Tim!CP66=Sheet6!$C$5,Sheet6!$C$5,IF(Tim!CP66=Sheet6!$C$6,Sheet6!$C$6,IF(Tim!CP66=Sheet6!$C$7,Sheet6!$C$7,IF(Tim!CP66=Sheet6!$C$8,Sheet6!$C$8,"")))))))</f>
        <v/>
      </c>
      <c r="AP64" s="53" t="str">
        <f>IF(Tim!CQ66=Sheet6!$C$2,Sheet6!$C$2,IF(Tim!CQ66=Sheet6!$C$3,Sheet6!$C$3,IF(Tim!CQ66=Sheet6!$C$4,Sheet6!$C$4,IF(Tim!CQ66=Sheet6!$C$5,Sheet6!$C$5,IF(Tim!CQ66=Sheet6!$C$6,Sheet6!$C$6,IF(Tim!CQ66=Sheet6!$C$7,Sheet6!$C$7,IF(Tim!CQ66=Sheet6!$C$8,Sheet6!$C$8,"")))))))</f>
        <v/>
      </c>
      <c r="AQ64" s="57" t="str">
        <f>IF(Tim!CR66=Sheet6!$C$2,Sheet6!$C$2,IF(Tim!CR66=Sheet6!$C$3,Sheet6!$C$3,IF(Tim!CR66=Sheet6!$C$4,Sheet6!$C$4,IF(Tim!CR66=Sheet6!$C$5,Sheet6!$C$5,IF(Tim!CR66=Sheet6!$C$6,Sheet6!$C$6,IF(Tim!CR66=Sheet6!$C$7,Sheet6!$C$7,IF(Tim!CR66=Sheet6!$C$8,Sheet6!$C$8,"")))))))</f>
        <v/>
      </c>
      <c r="AR64" s="57" t="str">
        <f>IF(Tim!CV66=Sheet6!$C$2,Sheet6!$C$2,IF(Tim!CV66=Sheet6!$C$3,Sheet6!$C$3,IF(Tim!CV66=Sheet6!$C$4,Sheet6!$C$4,IF(Tim!CV66=Sheet6!$C$5,Sheet6!$C$5,IF(Tim!CV66=Sheet6!$C$6,Sheet6!$C$6,IF(Tim!CV66=Sheet6!$C$7,Sheet6!$C$7,IF(Tim!CV66=Sheet6!$C$8,Sheet6!$C$8,"")))))))</f>
        <v/>
      </c>
      <c r="AS64" s="57" t="str">
        <f>IF(Tim!CW66=Sheet6!$C$2,Sheet6!$C$2,IF(Tim!CW66=Sheet6!$C$3,Sheet6!$C$3,IF(Tim!CW66=Sheet6!$C$4,Sheet6!$C$4,IF(Tim!CW66=Sheet6!$C$5,Sheet6!$C$5,IF(Tim!CW66=Sheet6!$C$6,Sheet6!$C$6,IF(Tim!CW66=Sheet6!$C$7,Sheet6!$C$7,IF(Tim!CW66=Sheet6!$C$8,Sheet6!$C$8,"")))))))</f>
        <v/>
      </c>
      <c r="AT64" s="57" t="str">
        <f>IF(Tim!DA66=Sheet6!$C$2,Sheet6!$C$2,IF(Tim!DA66=Sheet6!$C$3,Sheet6!$C$3,IF(Tim!DA66=Sheet6!$C$4,Sheet6!$C$4,IF(Tim!DA66=Sheet6!$C$5,Sheet6!$C$5,IF(Tim!DA66=Sheet6!$C$6,Sheet6!$C$6,IF(Tim!DA66=Sheet6!$C$7,Sheet6!$C$7,IF(Tim!DA66=Sheet6!$C$8,Sheet6!$C$8,"")))))))</f>
        <v/>
      </c>
      <c r="AU64" s="53" t="str">
        <f>IF(Tim!DO66=Sheet6!$C$2,Sheet6!$C$2,IF(Tim!DO66=Sheet6!$C$3,Sheet6!$C$3,IF(Tim!DO66=Sheet6!$C$4,Sheet6!$C$4,IF(Tim!DO66=Sheet6!$C$5,Sheet6!$C$5,IF(Tim!DO66=Sheet6!$C$6,Sheet6!$C$6,IF(Tim!DO66=Sheet6!$C$7,Sheet6!$C$7,IF(Tim!DO66=Sheet6!$C$8,Sheet6!$C$8,"")))))))</f>
        <v/>
      </c>
      <c r="AV64" s="53" t="str">
        <f>IF(Tim!DP66=Sheet6!$C$2,Sheet6!$C$2,IF(Tim!DP66=Sheet6!$C$3,Sheet6!$C$3,IF(Tim!DP66=Sheet6!$C$4,Sheet6!$C$4,IF(Tim!DP66=Sheet6!$C$5,Sheet6!$C$5,IF(Tim!DP66=Sheet6!$C$6,Sheet6!$C$6,IF(Tim!DP66=Sheet6!$C$7,Sheet6!$C$7,IF(Tim!DP66=Sheet6!$C$8,Sheet6!$C$8,"")))))))</f>
        <v/>
      </c>
      <c r="AW64" s="53" t="str">
        <f>IF(Tim!DX66=Sheet6!$C$2,Sheet6!$C$2,IF(Tim!DX66=Sheet6!$C$3,Sheet6!$C$3,IF(Tim!DX66=Sheet6!$C$4,Sheet6!$C$4,IF(Tim!DX66=Sheet6!$C$5,Sheet6!$C$5,IF(Tim!DX66=Sheet6!$C$6,Sheet6!$C$6,IF(Tim!DX66=Sheet6!$C$7,Sheet6!$C$7,IF(Tim!DX66=Sheet6!$C$8,Sheet6!$C$8,"")))))))</f>
        <v/>
      </c>
      <c r="AX64" s="53" t="str">
        <f>IF(Tim!DY66=Sheet6!$C$2,Sheet6!$C$2,IF(Tim!DY66=Sheet6!$C$3,Sheet6!$C$3,IF(Tim!DY66=Sheet6!$C$4,Sheet6!$C$4,IF(Tim!DY66=Sheet6!$C$5,Sheet6!$C$5,IF(Tim!DY66=Sheet6!$C$6,Sheet6!$C$6,IF(Tim!DY66=Sheet6!$C$7,Sheet6!$C$7,IF(Tim!DY66=Sheet6!$C$8,Sheet6!$C$8,"")))))))</f>
        <v/>
      </c>
      <c r="AY64" s="53" t="str">
        <f>IF(Tim!DZ66=Sheet6!$C$2,Sheet6!$C$2,IF(Tim!DZ66=Sheet6!$C$3,Sheet6!$C$3,IF(Tim!DZ66=Sheet6!$C$4,Sheet6!$C$4,IF(Tim!DZ66=Sheet6!$C$5,Sheet6!$C$5,IF(Tim!DZ66=Sheet6!$C$6,Sheet6!$C$6,IF(Tim!DZ66=Sheet6!$C$7,Sheet6!$C$7,IF(Tim!DZ66=Sheet6!$C$8,Sheet6!$C$8,"")))))))</f>
        <v/>
      </c>
      <c r="AZ64" s="53" t="str">
        <f>IF(Tim!EA66=Sheet6!$C$2,Sheet6!$C$2,IF(Tim!EA66=Sheet6!$C$3,Sheet6!$C$3,IF(Tim!EA66=Sheet6!$C$4,Sheet6!$C$4,IF(Tim!EA66=Sheet6!$C$5,Sheet6!$C$5,IF(Tim!EA66=Sheet6!$C$6,Sheet6!$C$6,IF(Tim!EA66=Sheet6!$C$7,Sheet6!$C$7,IF(Tim!EA66=Sheet6!$C$8,Sheet6!$C$8,"")))))))</f>
        <v/>
      </c>
      <c r="BA64" s="53" t="str">
        <f>IF(Tim!EB66=Sheet6!$C$2,Sheet6!$C$2,IF(Tim!EB66=Sheet6!$C$3,Sheet6!$C$3,IF(Tim!EB66=Sheet6!$C$4,Sheet6!$C$4,IF(Tim!EB66=Sheet6!$C$5,Sheet6!$C$5,IF(Tim!EB66=Sheet6!$C$6,Sheet6!$C$6,IF(Tim!EB66=Sheet6!$C$7,Sheet6!$C$7,IF(Tim!EB66=Sheet6!$C$8,Sheet6!$C$8,"")))))))</f>
        <v/>
      </c>
      <c r="BB64" s="53" t="str">
        <f>IF(Tim!EC66=Sheet6!$C$2,Sheet6!$C$2,IF(Tim!EC66=Sheet6!$C$3,Sheet6!$C$3,IF(Tim!EC66=Sheet6!$C$4,Sheet6!$C$4,IF(Tim!EC66=Sheet6!$C$5,Sheet6!$C$5,IF(Tim!EC66=Sheet6!$C$6,Sheet6!$C$6,IF(Tim!EC66=Sheet6!$C$7,Sheet6!$C$7,IF(Tim!EC66=Sheet6!$C$8,Sheet6!$C$8,"")))))))</f>
        <v/>
      </c>
      <c r="BC64" s="53" t="str">
        <f>IF(Tim!EG66=Sheet6!$C$2,Sheet6!$C$2,IF(Tim!EG66=Sheet6!$C$3,Sheet6!$C$3,IF(Tim!EG66=Sheet6!$C$4,Sheet6!$C$4,IF(Tim!EG66=Sheet6!$C$5,Sheet6!$C$5,IF(Tim!EG66=Sheet6!$C$6,Sheet6!$C$6,IF(Tim!EG66=Sheet6!$C$7,Sheet6!$C$7,IF(Tim!EG66=Sheet6!$C$8,Sheet6!$C$8,"")))))))</f>
        <v/>
      </c>
      <c r="BD64" s="54" t="str">
        <f>IF(Tim!EH66=Sheet6!$C$2,Sheet6!$C$2,IF(Tim!EH66=Sheet6!$C$3,Sheet6!$C$3,IF(Tim!EH66=Sheet6!$C$4,Sheet6!$C$4,IF(Tim!EH66=Sheet6!$C$5,Sheet6!$C$5,IF(Tim!EH66=Sheet6!$C$6,Sheet6!$C$6,IF(Tim!EH66=Sheet6!$C$7,Sheet6!$C$7,IF(Tim!EH66=Sheet6!$C$8,Sheet6!$C$8,"")))))))</f>
        <v/>
      </c>
      <c r="BE64" s="54" t="str">
        <f>IF(Tim!EI66=Sheet6!$C$2,Sheet6!$C$2,IF(Tim!EI66=Sheet6!$C$3,Sheet6!$C$3,IF(Tim!EI66=Sheet6!$C$4,Sheet6!$C$4,IF(Tim!EI66=Sheet6!$C$5,Sheet6!$C$5,IF(Tim!EI66=Sheet6!$C$6,Sheet6!$C$6,IF(Tim!EI66=Sheet6!$C$7,Sheet6!$C$7,IF(Tim!EI66=Sheet6!$C$8,Sheet6!$C$8,"")))))))</f>
        <v/>
      </c>
      <c r="BF64" s="54" t="str">
        <f>IF(Tim!EJ66=Sheet6!$C$2,Sheet6!$C$2,IF(Tim!EJ66=Sheet6!$C$3,Sheet6!$C$3,IF(Tim!EJ66=Sheet6!$C$4,Sheet6!$C$4,IF(Tim!EJ66=Sheet6!$C$5,Sheet6!$C$5,IF(Tim!EJ66=Sheet6!$C$6,Sheet6!$C$6,IF(Tim!EJ66=Sheet6!$C$7,Sheet6!$C$7,IF(Tim!EJ66=Sheet6!$C$8,Sheet6!$C$8,"")))))))</f>
        <v/>
      </c>
      <c r="BG64" s="55" t="str">
        <f>IF(Tim!EK66=Sheet6!$C$2,Sheet6!$C$2,IF(Tim!EK66=Sheet6!$C$3,Sheet6!$C$3,IF(Tim!EK66=Sheet6!$C$4,Sheet6!$C$4,IF(Tim!EK66=Sheet6!$C$5,Sheet6!$C$5,IF(Tim!EK66=Sheet6!$C$6,Sheet6!$C$6,IF(Tim!EK66=Sheet6!$C$7,Sheet6!$C$7,IF(Tim!EK66=Sheet6!$C$8,Sheet6!$C$8,"")))))))</f>
        <v/>
      </c>
      <c r="BH64" s="53" t="str">
        <f>IF(Tim!EL66=Sheet6!$C$2,Sheet6!$C$2,IF(Tim!EL66=Sheet6!$C$3,Sheet6!$C$3,IF(Tim!EL66=Sheet6!$C$4,Sheet6!$C$4,IF(Tim!EL66=Sheet6!$C$5,Sheet6!$C$5,IF(Tim!EL66=Sheet6!$C$6,Sheet6!$C$6,IF(Tim!EL66=Sheet6!$C$7,Sheet6!$C$7,IF(Tim!EL66=Sheet6!$C$8,Sheet6!$C$8,"")))))))</f>
        <v/>
      </c>
      <c r="BI64" s="57" t="str">
        <f>IF(Tim!EM66=Sheet6!$C$2,Sheet6!$C$2,IF(Tim!EM66=Sheet6!$C$3,Sheet6!$C$3,IF(Tim!EM66=Sheet6!$C$4,Sheet6!$C$4,IF(Tim!EM66=Sheet6!$C$5,Sheet6!$C$5,IF(Tim!EM66=Sheet6!$C$6,Sheet6!$C$6,IF(Tim!EM66=Sheet6!$C$7,Sheet6!$C$7,IF(Tim!EM66=Sheet6!$C$8,Sheet6!$C$8,"")))))))</f>
        <v/>
      </c>
      <c r="BJ64" s="57" t="str">
        <f>IF(Tim!EQ66=Sheet6!$C$2,Sheet6!$C$2,IF(Tim!EQ66=Sheet6!$C$3,Sheet6!$C$3,IF(Tim!EQ66=Sheet6!$C$4,Sheet6!$C$4,IF(Tim!EQ66=Sheet6!$C$5,Sheet6!$C$5,IF(Tim!EQ66=Sheet6!$C$6,Sheet6!$C$6,IF(Tim!EQ66=Sheet6!$C$7,Sheet6!$C$7,IF(Tim!EQ66=Sheet6!$C$8,Sheet6!$C$8,"")))))))</f>
        <v/>
      </c>
      <c r="BK64" s="57" t="str">
        <f>IF(Tim!ER66=Sheet6!$C$2,Sheet6!$C$2,IF(Tim!ER66=Sheet6!$C$3,Sheet6!$C$3,IF(Tim!ER66=Sheet6!$C$4,Sheet6!$C$4,IF(Tim!ER66=Sheet6!$C$5,Sheet6!$C$5,IF(Tim!ER66=Sheet6!$C$6,Sheet6!$C$6,IF(Tim!ER66=Sheet6!$C$7,Sheet6!$C$7,IF(Tim!ER66=Sheet6!$C$8,Sheet6!$C$8,"")))))))</f>
        <v/>
      </c>
      <c r="BL64" s="57" t="str">
        <f>IF(Tim!EZ66=Sheet6!$C$2,Sheet6!$C$2,IF(Tim!EZ66=Sheet6!$C$3,Sheet6!$C$3,IF(Tim!EZ66=Sheet6!$C$4,Sheet6!$C$4,IF(Tim!EZ66=Sheet6!$C$5,Sheet6!$C$5,IF(Tim!EZ66=Sheet6!$C$6,Sheet6!$C$6,IF(Tim!EZ66=Sheet6!$C$7,Sheet6!$C$7,IF(Tim!EZ66=Sheet6!$C$8,Sheet6!$C$8,"")))))))</f>
        <v/>
      </c>
      <c r="BM64" s="53" t="str">
        <f>IF(Tim!FG66=Sheet6!$C$2,Sheet6!$C$2,IF(Tim!FG66=Sheet6!$C$3,Sheet6!$C$3,IF(Tim!FG66=Sheet6!$C$4,Sheet6!$C$4,IF(Tim!FG66=Sheet6!$C$5,Sheet6!$C$5,IF(Tim!FG66=Sheet6!$C$6,Sheet6!$C$6,IF(Tim!FG66=Sheet6!$C$7,Sheet6!$C$7,IF(Tim!FG66=Sheet6!$C$8,Sheet6!$C$8,"")))))))</f>
        <v/>
      </c>
      <c r="BN64" s="181" t="str">
        <f>IF(Tim!FH66=Sheet6!$C$2,Sheet6!$C$2,IF(Tim!FH66=Sheet6!$C$3,Sheet6!$C$3,IF(Tim!FH66=Sheet6!$C$4,Sheet6!$C$4,IF(Tim!FH66=Sheet6!$C$5,Sheet6!$C$5,IF(Tim!FH66=Sheet6!$C$6,Sheet6!$C$6,IF(Tim!FH66=Sheet6!$C$7,Sheet6!$C$7,IF(Tim!FH66=Sheet6!$C$8,Sheet6!$C$8,"")))))))</f>
        <v/>
      </c>
      <c r="BO64" s="53" t="str">
        <f>IF(Tim!FP66=Sheet6!$C$2,Sheet6!$C$2,IF(Tim!FP66=Sheet6!$C$3,Sheet6!$C$3,IF(Tim!FP66=Sheet6!$C$4,Sheet6!$C$4,IF(Tim!FP66=Sheet6!$C$5,Sheet6!$C$5,IF(Tim!FP66=Sheet6!$C$6,Sheet6!$C$6,IF(Tim!FP66=Sheet6!$C$7,Sheet6!$C$7,IF(Tim!FP66=Sheet6!$C$8,Sheet6!$C$8,"")))))))</f>
        <v/>
      </c>
      <c r="BP64" s="53" t="str">
        <f>IF(Tim!FQ66=Sheet6!$C$2,Sheet6!$C$2,IF(Tim!FQ66=Sheet6!$C$3,Sheet6!$C$3,IF(Tim!FQ66=Sheet6!$C$4,Sheet6!$C$4,IF(Tim!FQ66=Sheet6!$C$5,Sheet6!$C$5,IF(Tim!FQ66=Sheet6!$C$6,Sheet6!$C$6,IF(Tim!FQ66=Sheet6!$C$7,Sheet6!$C$7,IF(Tim!FQ66=Sheet6!$C$8,Sheet6!$C$8,"")))))))</f>
        <v/>
      </c>
      <c r="BQ64" s="53" t="str">
        <f>IF(Tim!FR66=Sheet6!$C$2,Sheet6!$C$2,IF(Tim!FR66=Sheet6!$C$3,Sheet6!$C$3,IF(Tim!FR66=Sheet6!$C$4,Sheet6!$C$4,IF(Tim!FR66=Sheet6!$C$5,Sheet6!$C$5,IF(Tim!FR66=Sheet6!$C$6,Sheet6!$C$6,IF(Tim!FR66=Sheet6!$C$7,Sheet6!$C$7,IF(Tim!FR66=Sheet6!$C$8,Sheet6!$C$8,"")))))))</f>
        <v/>
      </c>
      <c r="BR64" s="176" t="str">
        <f>IF(Tim!FS66=Sheet6!$C$2,Sheet6!$C$2,IF(Tim!FS66=Sheet6!$C$3,Sheet6!$C$3,IF(Tim!FS66=Sheet6!$C$4,Sheet6!$C$4,IF(Tim!FS66=Sheet6!$C$5,Sheet6!$C$5,IF(Tim!FS66=Sheet6!$C$6,Sheet6!$C$6,IF(Tim!FS66=Sheet6!$C$7,Sheet6!$C$7,IF(Tim!FS66=Sheet6!$C$8,Sheet6!$C$8,"")))))))</f>
        <v/>
      </c>
      <c r="BS64" s="176" t="str">
        <f>IF(Tim!FT66=Sheet6!$C$2,Sheet6!$C$2,IF(Tim!FT66=Sheet6!$C$3,Sheet6!$C$3,IF(Tim!FT66=Sheet6!$C$4,Sheet6!$C$4,IF(Tim!FT66=Sheet6!$C$5,Sheet6!$C$5,IF(Tim!FT66=Sheet6!$C$6,Sheet6!$C$6,IF(Tim!FT66=Sheet6!$C$7,Sheet6!$C$7,IF(Tim!FT66=Sheet6!$C$8,Sheet6!$C$8,"")))))))</f>
        <v/>
      </c>
      <c r="BT64" s="53" t="str">
        <f>IF(Tim!FU66=Sheet6!$C$2,Sheet6!$C$2,IF(Tim!FU66=Sheet6!$C$3,Sheet6!$C$3,IF(Tim!FU66=Sheet6!$C$4,Sheet6!$C$4,IF(Tim!FU66=Sheet6!$C$5,Sheet6!$C$5,IF(Tim!FU66=Sheet6!$C$6,Sheet6!$C$6,IF(Tim!FU66=Sheet6!$C$7,Sheet6!$C$7,IF(Tim!FU66=Sheet6!$C$8,Sheet6!$C$8,"")))))))</f>
        <v/>
      </c>
      <c r="BU64" s="53" t="str">
        <f>IF(Tim!FY66=Sheet6!$C$2,Sheet6!$C$2,IF(Tim!FY66=Sheet6!$C$3,Sheet6!$C$3,IF(Tim!FY66=Sheet6!$C$4,Sheet6!$C$4,IF(Tim!FY66=Sheet6!$C$5,Sheet6!$C$5,IF(Tim!FY66=Sheet6!$C$6,Sheet6!$C$6,IF(Tim!FY66=Sheet6!$C$7,Sheet6!$C$7,IF(Tim!FY66=Sheet6!$C$8,Sheet6!$C$8,"")))))))</f>
        <v/>
      </c>
      <c r="BV64" s="54" t="str">
        <f>IF(Tim!FZ66=Sheet6!$C$2,Sheet6!$C$2,IF(Tim!FZ66=Sheet6!$C$3,Sheet6!$C$3,IF(Tim!FZ66=Sheet6!$C$4,Sheet6!$C$4,IF(Tim!FZ66=Sheet6!$C$5,Sheet6!$C$5,IF(Tim!FZ66=Sheet6!$C$6,Sheet6!$C$6,IF(Tim!FZ66=Sheet6!$C$7,Sheet6!$C$7,IF(Tim!FZ66=Sheet6!$C$8,Sheet6!$C$8,"")))))))</f>
        <v/>
      </c>
      <c r="BW64" s="54" t="str">
        <f>IF(Tim!GA66=Sheet6!$C$2,Sheet6!$C$2,IF(Tim!GA66=Sheet6!$C$3,Sheet6!$C$3,IF(Tim!GA66=Sheet6!$C$4,Sheet6!$C$4,IF(Tim!GA66=Sheet6!$C$5,Sheet6!$C$5,IF(Tim!GA66=Sheet6!$C$6,Sheet6!$C$6,IF(Tim!GA66=Sheet6!$C$7,Sheet6!$C$7,IF(Tim!GA66=Sheet6!$C$8,Sheet6!$C$8,"")))))))</f>
        <v/>
      </c>
      <c r="BX64" s="54" t="str">
        <f>IF(Tim!GB66=Sheet6!$C$2,Sheet6!$C$2,IF(Tim!GB66=Sheet6!$C$3,Sheet6!$C$3,IF(Tim!GB66=Sheet6!$C$4,Sheet6!$C$4,IF(Tim!GB66=Sheet6!$C$5,Sheet6!$C$5,IF(Tim!GB66=Sheet6!$C$6,Sheet6!$C$6,IF(Tim!GB66=Sheet6!$C$7,Sheet6!$C$7,IF(Tim!GB66=Sheet6!$C$8,Sheet6!$C$8,"")))))))</f>
        <v/>
      </c>
      <c r="BY64" s="55" t="str">
        <f>IF(Tim!GC66=Sheet6!$C$2,Sheet6!$C$2,IF(Tim!GC66=Sheet6!$C$3,Sheet6!$C$3,IF(Tim!GC66=Sheet6!$C$4,Sheet6!$C$4,IF(Tim!GC66=Sheet6!$C$5,Sheet6!$C$5,IF(Tim!GC66=Sheet6!$C$6,Sheet6!$C$6,IF(Tim!GC66=Sheet6!$C$7,Sheet6!$C$7,IF(Tim!GC66=Sheet6!$C$8,Sheet6!$C$8,"")))))))</f>
        <v/>
      </c>
      <c r="BZ64" s="53" t="str">
        <f>IF(Tim!GD66=Sheet6!$C$2,Sheet6!$C$2,IF(Tim!GD66=Sheet6!$C$3,Sheet6!$C$3,IF(Tim!GD66=Sheet6!$C$4,Sheet6!$C$4,IF(Tim!GD66=Sheet6!$C$5,Sheet6!$C$5,IF(Tim!GD66=Sheet6!$C$6,Sheet6!$C$6,IF(Tim!GD66=Sheet6!$C$7,Sheet6!$C$7,IF(Tim!GD66=Sheet6!$C$8,Sheet6!$C$8,"")))))))</f>
        <v/>
      </c>
      <c r="CA64" s="57" t="str">
        <f>IF(Tim!GE66=Sheet6!$C$2,Sheet6!$C$2,IF(Tim!GE66=Sheet6!$C$3,Sheet6!$C$3,IF(Tim!GE66=Sheet6!$C$4,Sheet6!$C$4,IF(Tim!GE66=Sheet6!$C$5,Sheet6!$C$5,IF(Tim!GE66=Sheet6!$C$6,Sheet6!$C$6,IF(Tim!GE66=Sheet6!$C$7,Sheet6!$C$7,IF(Tim!GE66=Sheet6!$C$8,Sheet6!$C$8,"")))))))</f>
        <v/>
      </c>
      <c r="CB64" s="57" t="str">
        <f>IF(Tim!GI66=Sheet6!$C$2,Sheet6!$C$2,IF(Tim!GI66=Sheet6!$C$3,Sheet6!$C$3,IF(Tim!GI66=Sheet6!$C$4,Sheet6!$C$4,IF(Tim!GI66=Sheet6!$C$5,Sheet6!$C$5,IF(Tim!GI66=Sheet6!$C$6,Sheet6!$C$6,IF(Tim!GI66=Sheet6!$C$7,Sheet6!$C$7,IF(Tim!GI66=Sheet6!$C$8,Sheet6!$C$8,"")))))))</f>
        <v/>
      </c>
      <c r="CC64" s="57" t="str">
        <f>IF(Tim!GJ66=Sheet6!$C$2,Sheet6!$C$2,IF(Tim!GJ66=Sheet6!$C$3,Sheet6!$C$3,IF(Tim!GJ66=Sheet6!$C$4,Sheet6!$C$4,IF(Tim!GJ66=Sheet6!$C$5,Sheet6!$C$5,IF(Tim!GJ66=Sheet6!$C$6,Sheet6!$C$6,IF(Tim!GJ66=Sheet6!$C$7,Sheet6!$C$7,IF(Tim!GJ66=Sheet6!$C$8,Sheet6!$C$8,"")))))))</f>
        <v/>
      </c>
      <c r="CD64" s="57" t="str">
        <f>IF(Tim!GN66=Sheet6!$C$2,Sheet6!$C$2,IF(Tim!GN66=Sheet6!$C$3,Sheet6!$C$3,IF(Tim!GN66=Sheet6!$C$4,Sheet6!$C$4,IF(Tim!GN66=Sheet6!$C$5,Sheet6!$C$5,IF(Tim!GN66=Sheet6!$C$6,Sheet6!$C$6,IF(Tim!GN66=Sheet6!$C$7,Sheet6!$C$7,IF(Tim!GN66=Sheet6!$C$8,Sheet6!$C$8,"")))))))</f>
        <v/>
      </c>
      <c r="CE64" s="53" t="str">
        <f>IF(Tim!GY66=Sheet6!$C$2,Sheet6!$C$2,IF(Tim!GY66=Sheet6!$C$3,Sheet6!$C$3,IF(Tim!GY66=Sheet6!$C$4,Sheet6!$C$4,IF(Tim!GY66=Sheet6!$C$5,Sheet6!$C$5,IF(Tim!GY66=Sheet6!$C$6,Sheet6!$C$6,IF(Tim!GY66=Sheet6!$C$7,Sheet6!$C$7,IF(Tim!GY66=Sheet6!$C$8,Sheet6!$C$8,"")))))))</f>
        <v/>
      </c>
      <c r="CF64" s="53" t="str">
        <f>IF(Tim!GZ66=Sheet6!$C$2,Sheet6!$C$2,IF(Tim!GZ66=Sheet6!$C$3,Sheet6!$C$3,IF(Tim!GZ66=Sheet6!$C$4,Sheet6!$C$4,IF(Tim!GZ66=Sheet6!$C$5,Sheet6!$C$5,IF(Tim!GZ66=Sheet6!$C$6,Sheet6!$C$6,IF(Tim!GZ66=Sheet6!$C$7,Sheet6!$C$7,IF(Tim!GZ66=Sheet6!$C$8,Sheet6!$C$8,"")))))))</f>
        <v/>
      </c>
      <c r="CG64" s="53" t="str">
        <f>IF(Tim!HH66=Sheet6!$C$2,Sheet6!$C$2,IF(Tim!HH66=Sheet6!$C$3,Sheet6!$C$3,IF(Tim!HH66=Sheet6!$C$4,Sheet6!$C$4,IF(Tim!HH66=Sheet6!$C$5,Sheet6!$C$5,IF(Tim!HH66=Sheet6!$C$6,Sheet6!$C$6,IF(Tim!HH66=Sheet6!$C$7,Sheet6!$C$7,IF(Tim!HH66=Sheet6!$C$8,Sheet6!$C$8,"")))))))</f>
        <v/>
      </c>
      <c r="CH64" s="53" t="str">
        <f>IF(Tim!HI66=Sheet6!$C$2,Sheet6!$C$2,IF(Tim!HI66=Sheet6!$C$3,Sheet6!$C$3,IF(Tim!HI66=Sheet6!$C$4,Sheet6!$C$4,IF(Tim!HI66=Sheet6!$C$5,Sheet6!$C$5,IF(Tim!HI66=Sheet6!$C$6,Sheet6!$C$6,IF(Tim!HI66=Sheet6!$C$7,Sheet6!$C$7,IF(Tim!HI66=Sheet6!$C$8,Sheet6!$C$8,"")))))))</f>
        <v/>
      </c>
      <c r="CI64" s="53" t="str">
        <f>IF(Tim!HJ66=Sheet6!$C$2,Sheet6!$C$2,IF(Tim!HJ66=Sheet6!$C$3,Sheet6!$C$3,IF(Tim!HJ66=Sheet6!$C$4,Sheet6!$C$4,IF(Tim!HJ66=Sheet6!$C$5,Sheet6!$C$5,IF(Tim!HJ66=Sheet6!$C$6,Sheet6!$C$6,IF(Tim!HJ66=Sheet6!$C$7,Sheet6!$C$7,IF(Tim!HJ66=Sheet6!$C$8,Sheet6!$C$8,"")))))))</f>
        <v/>
      </c>
      <c r="CJ64" s="53" t="str">
        <f>IF(Tim!HK66=Sheet6!$C$2,Sheet6!$C$2,IF(Tim!HK66=Sheet6!$C$3,Sheet6!$C$3,IF(Tim!HK66=Sheet6!$C$4,Sheet6!$C$4,IF(Tim!HK66=Sheet6!$C$5,Sheet6!$C$5,IF(Tim!HK66=Sheet6!$C$6,Sheet6!$C$6,IF(Tim!HK66=Sheet6!$C$7,Sheet6!$C$7,IF(Tim!HK66=Sheet6!$C$8,Sheet6!$C$8,"")))))))</f>
        <v/>
      </c>
      <c r="CK64" s="53" t="str">
        <f>IF(Tim!HL66=Sheet6!$C$2,Sheet6!$C$2,IF(Tim!HL66=Sheet6!$C$3,Sheet6!$C$3,IF(Tim!HL66=Sheet6!$C$4,Sheet6!$C$4,IF(Tim!HL66=Sheet6!$C$5,Sheet6!$C$5,IF(Tim!HL66=Sheet6!$C$6,Sheet6!$C$6,IF(Tim!HL66=Sheet6!$C$7,Sheet6!$C$7,IF(Tim!HL66=Sheet6!$C$8,Sheet6!$C$8,"")))))))</f>
        <v/>
      </c>
      <c r="CL64" s="176" t="str">
        <f>IF(Tim!HM66=Sheet6!$C$2,Sheet6!$C$2,IF(Tim!HM66=Sheet6!$C$3,Sheet6!$C$3,IF(Tim!HM66=Sheet6!$C$4,Sheet6!$C$4,IF(Tim!HM66=Sheet6!$C$5,Sheet6!$C$5,IF(Tim!HM66=Sheet6!$C$6,Sheet6!$C$6,IF(Tim!HM66=Sheet6!$C$7,Sheet6!$C$7,IF(Tim!HM66=Sheet6!$C$8,Sheet6!$C$8,"")))))))</f>
        <v/>
      </c>
      <c r="CM64" s="53" t="str">
        <f>IF(Tim!HQ66=Sheet6!$C$2,Sheet6!$C$2,IF(Tim!HQ66=Sheet6!$C$3,Sheet6!$C$3,IF(Tim!HQ66=Sheet6!$C$4,Sheet6!$C$4,IF(Tim!HQ66=Sheet6!$C$5,Sheet6!$C$5,IF(Tim!HQ66=Sheet6!$C$6,Sheet6!$C$6,IF(Tim!HQ66=Sheet6!$C$7,Sheet6!$C$7,IF(Tim!HQ66=Sheet6!$C$8,Sheet6!$C$8,"")))))))</f>
        <v/>
      </c>
      <c r="CN64" s="54" t="str">
        <f>IF(Tim!HR66=Sheet6!$C$2,Sheet6!$C$2,IF(Tim!HR66=Sheet6!$C$3,Sheet6!$C$3,IF(Tim!HR66=Sheet6!$C$4,Sheet6!$C$4,IF(Tim!HR66=Sheet6!$C$5,Sheet6!$C$5,IF(Tim!HR66=Sheet6!$C$6,Sheet6!$C$6,IF(Tim!HR66=Sheet6!$C$7,Sheet6!$C$7,IF(Tim!HR66=Sheet6!$C$8,Sheet6!$C$8,"")))))))</f>
        <v/>
      </c>
      <c r="CO64" s="54" t="str">
        <f>IF(Tim!HS66=Sheet6!$C$2,Sheet6!$C$2,IF(Tim!HS66=Sheet6!$C$3,Sheet6!$C$3,IF(Tim!HS66=Sheet6!$C$4,Sheet6!$C$4,IF(Tim!HS66=Sheet6!$C$5,Sheet6!$C$5,IF(Tim!HS66=Sheet6!$C$6,Sheet6!$C$6,IF(Tim!HS66=Sheet6!$C$7,Sheet6!$C$7,IF(Tim!HS66=Sheet6!$C$8,Sheet6!$C$8,"")))))))</f>
        <v/>
      </c>
      <c r="CP64" s="54" t="str">
        <f>IF(Tim!HT66=Sheet6!$C$2,Sheet6!$C$2,IF(Tim!HT66=Sheet6!$C$3,Sheet6!$C$3,IF(Tim!HT66=Sheet6!$C$4,Sheet6!$C$4,IF(Tim!HT66=Sheet6!$C$5,Sheet6!$C$5,IF(Tim!HT66=Sheet6!$C$6,Sheet6!$C$6,IF(Tim!HT66=Sheet6!$C$7,Sheet6!$C$7,IF(Tim!HT66=Sheet6!$C$8,Sheet6!$C$8,"")))))))</f>
        <v/>
      </c>
      <c r="CQ64" s="55" t="str">
        <f>IF(Tim!HU66=Sheet6!$C$2,Sheet6!$C$2,IF(Tim!HU66=Sheet6!$C$3,Sheet6!$C$3,IF(Tim!HU66=Sheet6!$C$4,Sheet6!$C$4,IF(Tim!HU66=Sheet6!$C$5,Sheet6!$C$5,IF(Tim!HU66=Sheet6!$C$6,Sheet6!$C$6,IF(Tim!HU66=Sheet6!$C$7,Sheet6!$C$7,IF(Tim!HU66=Sheet6!$C$8,Sheet6!$C$8,"")))))))</f>
        <v/>
      </c>
      <c r="CR64" s="469"/>
      <c r="CS64" s="366"/>
      <c r="CT64" s="366"/>
      <c r="CU64" s="366"/>
      <c r="CV64" s="366"/>
      <c r="CW64" s="366"/>
      <c r="CX64" s="366"/>
      <c r="CY64" s="366"/>
      <c r="CZ64" s="366"/>
      <c r="DA64" s="366"/>
      <c r="DB64" s="366"/>
      <c r="DC64" s="366"/>
      <c r="DD64" s="366"/>
      <c r="DE64" s="366"/>
      <c r="DF64" s="366"/>
      <c r="DG64" s="428"/>
      <c r="DH64" s="422"/>
      <c r="DI64" s="423"/>
      <c r="DJ64" s="423"/>
      <c r="DK64" s="423"/>
      <c r="DL64" s="423"/>
      <c r="DM64" s="423"/>
      <c r="DN64" s="423"/>
      <c r="DO64" s="423"/>
      <c r="DP64" s="423"/>
      <c r="DQ64" s="423"/>
      <c r="DR64" s="423"/>
      <c r="DS64" s="423"/>
      <c r="DT64" s="423"/>
      <c r="DU64" s="423"/>
      <c r="DV64" s="423"/>
      <c r="DW64" s="424"/>
      <c r="DX64" s="52">
        <v>0.906249999999998</v>
      </c>
    </row>
    <row r="65" spans="2:128" ht="10.5" customHeight="1">
      <c r="B65" s="51">
        <v>0.25</v>
      </c>
      <c r="C65" s="51">
        <v>0.25</v>
      </c>
      <c r="D65" s="51">
        <v>0.25</v>
      </c>
      <c r="E65" s="52">
        <v>0.91666666666666496</v>
      </c>
      <c r="F65" s="53" t="str">
        <f>IF(Tim!F67=Sheet6!$C$2,Sheet6!$C$2,IF(Tim!F67=Sheet6!$C$3,Sheet6!$C$3,IF(Tim!F67=Sheet6!$C$4,Sheet6!$C$4,IF(Tim!F67=Sheet6!$C$5,Sheet6!$C$5,IF(Tim!F67=Sheet6!$C$6,Sheet6!$C$6,IF(Tim!F67=Sheet6!$C$7,Sheet6!$C$7,IF(Tim!F67=Sheet6!$C$8,Sheet6!$C$8,"")))))))</f>
        <v/>
      </c>
      <c r="G65" s="53" t="str">
        <f>IF(Tim!G67=Sheet6!$C$2,Sheet6!$C$2,IF(Tim!G67=Sheet6!$C$3,Sheet6!$C$3,IF(Tim!G67=Sheet6!$C$4,Sheet6!$C$4,IF(Tim!G67=Sheet6!$C$5,Sheet6!$C$5,IF(Tim!G67=Sheet6!$C$6,Sheet6!$C$6,IF(Tim!G67=Sheet6!$C$7,Sheet6!$C$7,IF(Tim!G67=Sheet6!$C$8,Sheet6!$C$8,"")))))))</f>
        <v/>
      </c>
      <c r="H65" s="53" t="str">
        <f>IF(Tim!H67=Sheet6!$C$2,Sheet6!$C$2,IF(Tim!H67=Sheet6!$C$3,Sheet6!$C$3,IF(Tim!H67=Sheet6!$C$4,Sheet6!$C$4,IF(Tim!H67=Sheet6!$C$5,Sheet6!$C$5,IF(Tim!H67=Sheet6!$C$6,Sheet6!$C$6,IF(Tim!H67=Sheet6!$C$7,Sheet6!$C$7,IF(Tim!H67=Sheet6!$C$8,Sheet6!$C$8,"")))))))</f>
        <v/>
      </c>
      <c r="I65" s="53" t="str">
        <f>IF(Tim!L67=Sheet6!$C$2,Sheet6!$C$2,IF(Tim!L67=Sheet6!$C$3,Sheet6!$C$3,IF(Tim!L67=Sheet6!$C$4,Sheet6!$C$4,IF(Tim!L67=Sheet6!$C$5,Sheet6!$C$5,IF(Tim!L67=Sheet6!$C$6,Sheet6!$C$6,IF(Tim!L67=Sheet6!$C$7,Sheet6!$C$7,IF(Tim!L67=Sheet6!$C$8,Sheet6!$C$8,"")))))))</f>
        <v/>
      </c>
      <c r="J65" s="53" t="str">
        <f>IF(Tim!T67=Sheet6!$C$2,Sheet6!$C$2,IF(Tim!T67=Sheet6!$C$3,Sheet6!$C$3,IF(Tim!T67=Sheet6!$C$4,Sheet6!$C$4,IF(Tim!T67=Sheet6!$C$5,Sheet6!$C$5,IF(Tim!T67=Sheet6!$C$6,Sheet6!$C$6,IF(Tim!T67=Sheet6!$C$7,Sheet6!$C$7,IF(Tim!T67=Sheet6!$C$8,Sheet6!$C$8,"")))))))</f>
        <v/>
      </c>
      <c r="K65" s="53" t="str">
        <f>IF(Tim!AB67=Sheet6!$C$2,Sheet6!$C$2,IF(Tim!AB67=Sheet6!$C$3,Sheet6!$C$3,IF(Tim!AB67=Sheet6!$C$4,Sheet6!$C$4,IF(Tim!AB67=Sheet6!$C$5,Sheet6!$C$5,IF(Tim!AB67=Sheet6!$C$6,Sheet6!$C$6,IF(Tim!AB67=Sheet6!$C$7,Sheet6!$C$7,IF(Tim!AB67=Sheet6!$C$8,Sheet6!$C$8,"")))))))</f>
        <v/>
      </c>
      <c r="L65" s="53" t="str">
        <f>IF(Tim!AC67=Sheet6!$C$2,Sheet6!$C$2,IF(Tim!AC67=Sheet6!$C$3,Sheet6!$C$3,IF(Tim!AC67=Sheet6!$C$4,Sheet6!$C$4,IF(Tim!AC67=Sheet6!$C$5,Sheet6!$C$5,IF(Tim!AC67=Sheet6!$C$6,Sheet6!$C$6,IF(Tim!AC67=Sheet6!$C$7,Sheet6!$C$7,IF(Tim!AC67=Sheet6!$C$8,Sheet6!$C$8,"")))))))</f>
        <v/>
      </c>
      <c r="M65" s="53" t="str">
        <f>IF(Tim!AJ67=Sheet6!$C$2,Sheet6!$C$2,IF(Tim!AJ67=Sheet6!$C$3,Sheet6!$C$3,IF(Tim!AJ67=Sheet6!$C$4,Sheet6!$C$4,IF(Tim!AJ67=Sheet6!$C$5,Sheet6!$C$5,IF(Tim!AJ67=Sheet6!$C$6,Sheet6!$C$6,IF(Tim!AJ67=Sheet6!$C$7,Sheet6!$C$7,IF(Tim!AJ67=Sheet6!$C$8,Sheet6!$C$8,"")))))))</f>
        <v/>
      </c>
      <c r="N65" s="53" t="str">
        <f>IF(Tim!AK67=Sheet6!$C$2,Sheet6!$C$2,IF(Tim!AK67=Sheet6!$C$3,Sheet6!$C$3,IF(Tim!AK67=Sheet6!$C$4,Sheet6!$C$4,IF(Tim!AK67=Sheet6!$C$5,Sheet6!$C$5,IF(Tim!AK67=Sheet6!$C$6,Sheet6!$C$6,IF(Tim!AK67=Sheet6!$C$7,Sheet6!$C$7,IF(Tim!AK67=Sheet6!$C$8,Sheet6!$C$8,"")))))))</f>
        <v/>
      </c>
      <c r="O65" s="53" t="str">
        <f>IF(Tim!AL67=Sheet6!$C$2,Sheet6!$C$2,IF(Tim!AL67=Sheet6!$C$3,Sheet6!$C$3,IF(Tim!AL67=Sheet6!$C$4,Sheet6!$C$4,IF(Tim!AL67=Sheet6!$C$5,Sheet6!$C$5,IF(Tim!AL67=Sheet6!$C$6,Sheet6!$C$6,IF(Tim!AL67=Sheet6!$C$7,Sheet6!$C$7,IF(Tim!AL67=Sheet6!$C$8,Sheet6!$C$8,"")))))))</f>
        <v/>
      </c>
      <c r="P65" s="53" t="str">
        <f>IF(Tim!AN67=Sheet6!$C$2,Sheet6!$C$2,IF(Tim!AN67=Sheet6!$C$3,Sheet6!$C$3,IF(Tim!AN67=Sheet6!$C$4,Sheet6!$C$4,IF(Tim!AN67=Sheet6!$C$5,Sheet6!$C$5,IF(Tim!AN67=Sheet6!$C$6,Sheet6!$C$6,IF(Tim!AN67=Sheet6!$C$7,Sheet6!$C$7,IF(Tim!AN67=Sheet6!$C$8,Sheet6!$C$8,"")))))))</f>
        <v/>
      </c>
      <c r="Q65" s="53" t="str">
        <f>IF(Tim!AO67=Sheet6!$C$2,Sheet6!$C$2,IF(Tim!AO67=Sheet6!$C$3,Sheet6!$C$3,IF(Tim!AO67=Sheet6!$C$4,Sheet6!$C$4,IF(Tim!AO67=Sheet6!$C$5,Sheet6!$C$5,IF(Tim!AO67=Sheet6!$C$6,Sheet6!$C$6,IF(Tim!AO67=Sheet6!$C$7,Sheet6!$C$7,IF(Tim!AO67=Sheet6!$C$8,Sheet6!$C$8,"")))))))</f>
        <v/>
      </c>
      <c r="R65" s="53" t="str">
        <f>IF(Tim!AP67=Sheet6!$C$2,Sheet6!$C$2,IF(Tim!AP67=Sheet6!$C$3,Sheet6!$C$3,IF(Tim!AP67=Sheet6!$C$4,Sheet6!$C$4,IF(Tim!AP67=Sheet6!$C$5,Sheet6!$C$5,IF(Tim!AP67=Sheet6!$C$6,Sheet6!$C$6,IF(Tim!AP67=Sheet6!$C$7,Sheet6!$C$7,IF(Tim!AP67=Sheet6!$C$8,Sheet6!$C$8,"")))))))</f>
        <v/>
      </c>
      <c r="S65" s="53" t="str">
        <f>IF(Tim!AT67=Sheet6!$C$2,Sheet6!$C$2,IF(Tim!AT67=Sheet6!$C$3,Sheet6!$C$3,IF(Tim!AT67=Sheet6!$C$4,Sheet6!$C$4,IF(Tim!AT67=Sheet6!$C$5,Sheet6!$C$5,IF(Tim!AT67=Sheet6!$C$6,Sheet6!$C$6,IF(Tim!AT67=Sheet6!$C$7,Sheet6!$C$7,IF(Tim!AT67=Sheet6!$C$8,Sheet6!$C$8,"")))))))</f>
        <v/>
      </c>
      <c r="T65" s="54" t="str">
        <f>IF(Tim!AU67=Sheet6!$C$2,Sheet6!$C$2,IF(Tim!AU67=Sheet6!$C$3,Sheet6!$C$3,IF(Tim!AU67=Sheet6!$C$4,Sheet6!$C$4,IF(Tim!AU67=Sheet6!$C$5,Sheet6!$C$5,IF(Tim!AU67=Sheet6!$C$6,Sheet6!$C$6,IF(Tim!AU67=Sheet6!$C$7,Sheet6!$C$7,IF(Tim!AU67=Sheet6!$C$8,Sheet6!$C$8,"")))))))</f>
        <v/>
      </c>
      <c r="U65" s="54" t="str">
        <f>IF(Tim!AV67=Sheet6!$C$2,Sheet6!$C$2,IF(Tim!AV67=Sheet6!$C$3,Sheet6!$C$3,IF(Tim!AV67=Sheet6!$C$4,Sheet6!$C$4,IF(Tim!AV67=Sheet6!$C$5,Sheet6!$C$5,IF(Tim!AV67=Sheet6!$C$6,Sheet6!$C$6,IF(Tim!AV67=Sheet6!$C$7,Sheet6!$C$7,IF(Tim!AV67=Sheet6!$C$8,Sheet6!$C$8,"")))))))</f>
        <v/>
      </c>
      <c r="V65" s="54" t="str">
        <f>IF(Tim!AW67=Sheet6!$C$2,Sheet6!$C$2,IF(Tim!AW67=Sheet6!$C$3,Sheet6!$C$3,IF(Tim!AW67=Sheet6!$C$4,Sheet6!$C$4,IF(Tim!AW67=Sheet6!$C$5,Sheet6!$C$5,IF(Tim!AW67=Sheet6!$C$6,Sheet6!$C$6,IF(Tim!AW67=Sheet6!$C$7,Sheet6!$C$7,IF(Tim!AW67=Sheet6!$C$8,Sheet6!$C$8,"")))))))</f>
        <v/>
      </c>
      <c r="W65" s="55" t="str">
        <f>IF(Tim!AX67=Sheet6!$C$2,Sheet6!$C$2,IF(Tim!AX67=Sheet6!$C$3,Sheet6!$C$3,IF(Tim!AX67=Sheet6!$C$4,Sheet6!$C$4,IF(Tim!AX67=Sheet6!$C$5,Sheet6!$C$5,IF(Tim!AX67=Sheet6!$C$6,Sheet6!$C$6,IF(Tim!AX67=Sheet6!$C$7,Sheet6!$C$7,IF(Tim!AX67=Sheet6!$C$8,Sheet6!$C$8,"")))))))</f>
        <v/>
      </c>
      <c r="X65" s="53" t="str">
        <f>IF(Tim!AY67=Sheet6!$C$2,Sheet6!$C$2,IF(Tim!AY67=Sheet6!$C$3,Sheet6!$C$3,IF(Tim!AY67=Sheet6!$C$4,Sheet6!$C$4,IF(Tim!AY67=Sheet6!$C$5,Sheet6!$C$5,IF(Tim!AY67=Sheet6!$C$6,Sheet6!$C$6,IF(Tim!AY67=Sheet6!$C$7,Sheet6!$C$7,IF(Tim!AY67=Sheet6!$C$8,Sheet6!$C$8,"")))))))</f>
        <v/>
      </c>
      <c r="Y65" s="57" t="str">
        <f>IF(Tim!AZ67=Sheet6!$C$2,Sheet6!$C$2,IF(Tim!AZ67=Sheet6!$C$3,Sheet6!$C$3,IF(Tim!AZ67=Sheet6!$C$4,Sheet6!$C$4,IF(Tim!AZ67=Sheet6!$C$5,Sheet6!$C$5,IF(Tim!AZ67=Sheet6!$C$6,Sheet6!$C$6,IF(Tim!AZ67=Sheet6!$C$7,Sheet6!$C$7,IF(Tim!AZ67=Sheet6!$C$8,Sheet6!$C$8,"")))))))</f>
        <v/>
      </c>
      <c r="Z65" s="57" t="str">
        <f>IF(Tim!BD67=Sheet6!$C$2,Sheet6!$C$2,IF(Tim!BD67=Sheet6!$C$3,Sheet6!$C$3,IF(Tim!BD67=Sheet6!$C$4,Sheet6!$C$4,IF(Tim!BD67=Sheet6!$C$5,Sheet6!$C$5,IF(Tim!BD67=Sheet6!$C$6,Sheet6!$C$6,IF(Tim!BD67=Sheet6!$C$7,Sheet6!$C$7,IF(Tim!BD67=Sheet6!$C$8,Sheet6!$C$8,"")))))))</f>
        <v/>
      </c>
      <c r="AA65" s="57" t="str">
        <f>IF(Tim!BE67=Sheet6!$C$2,Sheet6!$C$2,IF(Tim!BE67=Sheet6!$C$3,Sheet6!$C$3,IF(Tim!BE67=Sheet6!$C$4,Sheet6!$C$4,IF(Tim!BE67=Sheet6!$C$5,Sheet6!$C$5,IF(Tim!BE67=Sheet6!$C$6,Sheet6!$C$6,IF(Tim!BE67=Sheet6!$C$7,Sheet6!$C$7,IF(Tim!BE67=Sheet6!$C$8,Sheet6!$C$8,"")))))))</f>
        <v/>
      </c>
      <c r="AB65" s="57" t="str">
        <f>IF(Tim!BL67=Sheet6!$C$2,Sheet6!$C$2,IF(Tim!BL67=Sheet6!$C$3,Sheet6!$C$3,IF(Tim!BL67=Sheet6!$C$4,Sheet6!$C$4,IF(Tim!BL67=Sheet6!$C$5,Sheet6!$C$5,IF(Tim!BL67=Sheet6!$C$6,Sheet6!$C$6,IF(Tim!BL67=Sheet6!$C$7,Sheet6!$C$7,IF(Tim!BL67=Sheet6!$C$8,Sheet6!$C$8,"")))))))</f>
        <v/>
      </c>
      <c r="AC65" s="53" t="str">
        <f>IF(Tim!BT67=Sheet6!$C$2,Sheet6!$C$2,IF(Tim!BT67=Sheet6!$C$3,Sheet6!$C$3,IF(Tim!BT67=Sheet6!$C$4,Sheet6!$C$4,IF(Tim!BT67=Sheet6!$C$5,Sheet6!$C$5,IF(Tim!BT67=Sheet6!$C$6,Sheet6!$C$6,IF(Tim!BT67=Sheet6!$C$7,Sheet6!$C$7,IF(Tim!BT67=Sheet6!$C$8,Sheet6!$C$8,"")))))))</f>
        <v/>
      </c>
      <c r="AD65" s="181" t="str">
        <f>IF(Tim!BU67=Sheet6!$C$2,Sheet6!$C$2,IF(Tim!BU67=Sheet6!$C$3,Sheet6!$C$3,IF(Tim!BU67=Sheet6!$C$4,Sheet6!$C$4,IF(Tim!BU67=Sheet6!$C$5,Sheet6!$C$5,IF(Tim!BU67=Sheet6!$C$6,Sheet6!$C$6,IF(Tim!BU67=Sheet6!$C$7,Sheet6!$C$7,IF(Tim!BU67=Sheet6!$C$8,Sheet6!$C$8,"")))))))</f>
        <v/>
      </c>
      <c r="AE65" s="53" t="str">
        <f>IF(Tim!CB67=Sheet6!$C$2,Sheet6!$C$2,IF(Tim!CB67=Sheet6!$C$3,Sheet6!$C$3,IF(Tim!CB67=Sheet6!$C$4,Sheet6!$C$4,IF(Tim!CB67=Sheet6!$C$5,Sheet6!$C$5,IF(Tim!CB67=Sheet6!$C$6,Sheet6!$C$6,IF(Tim!CB67=Sheet6!$C$7,Sheet6!$C$7,IF(Tim!CB67=Sheet6!$C$8,Sheet6!$C$8,"")))))))</f>
        <v/>
      </c>
      <c r="AF65" s="53" t="str">
        <f>IF(Tim!CD67=Sheet6!$C$2,Sheet6!$C$2,IF(Tim!CD67=Sheet6!$C$3,Sheet6!$C$3,IF(Tim!CD67=Sheet6!$C$4,Sheet6!$C$4,IF(Tim!CD67=Sheet6!$C$5,Sheet6!$C$5,IF(Tim!CD67=Sheet6!$C$6,Sheet6!$C$6,IF(Tim!CD67=Sheet6!$C$7,Sheet6!$C$7,IF(Tim!CD67=Sheet6!$C$8,Sheet6!$C$8,"")))))))</f>
        <v/>
      </c>
      <c r="AG65" s="53" t="str">
        <f>IF(Tim!CE67=Sheet6!$C$2,Sheet6!$C$2,IF(Tim!CE67=Sheet6!$C$3,Sheet6!$C$3,IF(Tim!CE67=Sheet6!$C$4,Sheet6!$C$4,IF(Tim!CE67=Sheet6!$C$5,Sheet6!$C$5,IF(Tim!CE67=Sheet6!$C$6,Sheet6!$C$6,IF(Tim!CE67=Sheet6!$C$7,Sheet6!$C$7,IF(Tim!CE67=Sheet6!$C$8,Sheet6!$C$8,"")))))))</f>
        <v/>
      </c>
      <c r="AH65" s="53" t="str">
        <f>IF(Tim!CF67=Sheet6!$C$2,Sheet6!$C$2,IF(Tim!CF67=Sheet6!$C$3,Sheet6!$C$3,IF(Tim!CF67=Sheet6!$C$4,Sheet6!$C$4,IF(Tim!CF67=Sheet6!$C$5,Sheet6!$C$5,IF(Tim!CF67=Sheet6!$C$6,Sheet6!$C$6,IF(Tim!CF67=Sheet6!$C$7,Sheet6!$C$7,IF(Tim!CF67=Sheet6!$C$8,Sheet6!$C$8,"")))))))</f>
        <v/>
      </c>
      <c r="AI65" s="53" t="str">
        <f>IF(Tim!CG67=Sheet6!$C$2,Sheet6!$C$2,IF(Tim!CG67=Sheet6!$C$3,Sheet6!$C$3,IF(Tim!CG67=Sheet6!$C$4,Sheet6!$C$4,IF(Tim!CG67=Sheet6!$C$5,Sheet6!$C$5,IF(Tim!CG67=Sheet6!$C$6,Sheet6!$C$6,IF(Tim!CG67=Sheet6!$C$7,Sheet6!$C$7,IF(Tim!CG67=Sheet6!$C$8,Sheet6!$C$8,"")))))))</f>
        <v/>
      </c>
      <c r="AJ65" s="53" t="str">
        <f>IF(Tim!CH67=Sheet6!$C$2,Sheet6!$C$2,IF(Tim!CH67=Sheet6!$C$3,Sheet6!$C$3,IF(Tim!CH67=Sheet6!$C$4,Sheet6!$C$4,IF(Tim!CH67=Sheet6!$C$5,Sheet6!$C$5,IF(Tim!CH67=Sheet6!$C$6,Sheet6!$C$6,IF(Tim!CH67=Sheet6!$C$7,Sheet6!$C$7,IF(Tim!CH67=Sheet6!$C$8,Sheet6!$C$8,"")))))))</f>
        <v/>
      </c>
      <c r="AK65" s="53" t="str">
        <f>IF(Tim!CL67=Sheet6!$C$2,Sheet6!$C$2,IF(Tim!CL67=Sheet6!$C$3,Sheet6!$C$3,IF(Tim!CL67=Sheet6!$C$4,Sheet6!$C$4,IF(Tim!CL67=Sheet6!$C$5,Sheet6!$C$5,IF(Tim!CL67=Sheet6!$C$6,Sheet6!$C$6,IF(Tim!CL67=Sheet6!$C$7,Sheet6!$C$7,IF(Tim!CL67=Sheet6!$C$8,Sheet6!$C$8,"")))))))</f>
        <v/>
      </c>
      <c r="AL65" s="54" t="str">
        <f>IF(Tim!CM67=Sheet6!$C$2,Sheet6!$C$2,IF(Tim!CM67=Sheet6!$C$3,Sheet6!$C$3,IF(Tim!CM67=Sheet6!$C$4,Sheet6!$C$4,IF(Tim!CM67=Sheet6!$C$5,Sheet6!$C$5,IF(Tim!CM67=Sheet6!$C$6,Sheet6!$C$6,IF(Tim!CM67=Sheet6!$C$7,Sheet6!$C$7,IF(Tim!CM67=Sheet6!$C$8,Sheet6!$C$8,"")))))))</f>
        <v/>
      </c>
      <c r="AM65" s="54" t="str">
        <f>IF(Tim!CN67=Sheet6!$C$2,Sheet6!$C$2,IF(Tim!CN67=Sheet6!$C$3,Sheet6!$C$3,IF(Tim!CN67=Sheet6!$C$4,Sheet6!$C$4,IF(Tim!CN67=Sheet6!$C$5,Sheet6!$C$5,IF(Tim!CN67=Sheet6!$C$6,Sheet6!$C$6,IF(Tim!CN67=Sheet6!$C$7,Sheet6!$C$7,IF(Tim!CN67=Sheet6!$C$8,Sheet6!$C$8,"")))))))</f>
        <v/>
      </c>
      <c r="AN65" s="54" t="str">
        <f>IF(Tim!CO67=Sheet6!$C$2,Sheet6!$C$2,IF(Tim!CO67=Sheet6!$C$3,Sheet6!$C$3,IF(Tim!CO67=Sheet6!$C$4,Sheet6!$C$4,IF(Tim!CO67=Sheet6!$C$5,Sheet6!$C$5,IF(Tim!CO67=Sheet6!$C$6,Sheet6!$C$6,IF(Tim!CO67=Sheet6!$C$7,Sheet6!$C$7,IF(Tim!CO67=Sheet6!$C$8,Sheet6!$C$8,"")))))))</f>
        <v/>
      </c>
      <c r="AO65" s="55" t="str">
        <f>IF(Tim!CP67=Sheet6!$C$2,Sheet6!$C$2,IF(Tim!CP67=Sheet6!$C$3,Sheet6!$C$3,IF(Tim!CP67=Sheet6!$C$4,Sheet6!$C$4,IF(Tim!CP67=Sheet6!$C$5,Sheet6!$C$5,IF(Tim!CP67=Sheet6!$C$6,Sheet6!$C$6,IF(Tim!CP67=Sheet6!$C$7,Sheet6!$C$7,IF(Tim!CP67=Sheet6!$C$8,Sheet6!$C$8,"")))))))</f>
        <v/>
      </c>
      <c r="AP65" s="53" t="str">
        <f>IF(Tim!CQ67=Sheet6!$C$2,Sheet6!$C$2,IF(Tim!CQ67=Sheet6!$C$3,Sheet6!$C$3,IF(Tim!CQ67=Sheet6!$C$4,Sheet6!$C$4,IF(Tim!CQ67=Sheet6!$C$5,Sheet6!$C$5,IF(Tim!CQ67=Sheet6!$C$6,Sheet6!$C$6,IF(Tim!CQ67=Sheet6!$C$7,Sheet6!$C$7,IF(Tim!CQ67=Sheet6!$C$8,Sheet6!$C$8,"")))))))</f>
        <v/>
      </c>
      <c r="AQ65" s="57" t="str">
        <f>IF(Tim!CR67=Sheet6!$C$2,Sheet6!$C$2,IF(Tim!CR67=Sheet6!$C$3,Sheet6!$C$3,IF(Tim!CR67=Sheet6!$C$4,Sheet6!$C$4,IF(Tim!CR67=Sheet6!$C$5,Sheet6!$C$5,IF(Tim!CR67=Sheet6!$C$6,Sheet6!$C$6,IF(Tim!CR67=Sheet6!$C$7,Sheet6!$C$7,IF(Tim!CR67=Sheet6!$C$8,Sheet6!$C$8,"")))))))</f>
        <v/>
      </c>
      <c r="AR65" s="57" t="str">
        <f>IF(Tim!CV67=Sheet6!$C$2,Sheet6!$C$2,IF(Tim!CV67=Sheet6!$C$3,Sheet6!$C$3,IF(Tim!CV67=Sheet6!$C$4,Sheet6!$C$4,IF(Tim!CV67=Sheet6!$C$5,Sheet6!$C$5,IF(Tim!CV67=Sheet6!$C$6,Sheet6!$C$6,IF(Tim!CV67=Sheet6!$C$7,Sheet6!$C$7,IF(Tim!CV67=Sheet6!$C$8,Sheet6!$C$8,"")))))))</f>
        <v/>
      </c>
      <c r="AS65" s="57" t="str">
        <f>IF(Tim!CW67=Sheet6!$C$2,Sheet6!$C$2,IF(Tim!CW67=Sheet6!$C$3,Sheet6!$C$3,IF(Tim!CW67=Sheet6!$C$4,Sheet6!$C$4,IF(Tim!CW67=Sheet6!$C$5,Sheet6!$C$5,IF(Tim!CW67=Sheet6!$C$6,Sheet6!$C$6,IF(Tim!CW67=Sheet6!$C$7,Sheet6!$C$7,IF(Tim!CW67=Sheet6!$C$8,Sheet6!$C$8,"")))))))</f>
        <v/>
      </c>
      <c r="AT65" s="57" t="str">
        <f>IF(Tim!DA67=Sheet6!$C$2,Sheet6!$C$2,IF(Tim!DA67=Sheet6!$C$3,Sheet6!$C$3,IF(Tim!DA67=Sheet6!$C$4,Sheet6!$C$4,IF(Tim!DA67=Sheet6!$C$5,Sheet6!$C$5,IF(Tim!DA67=Sheet6!$C$6,Sheet6!$C$6,IF(Tim!DA67=Sheet6!$C$7,Sheet6!$C$7,IF(Tim!DA67=Sheet6!$C$8,Sheet6!$C$8,"")))))))</f>
        <v/>
      </c>
      <c r="AU65" s="53" t="str">
        <f>IF(Tim!DO67=Sheet6!$C$2,Sheet6!$C$2,IF(Tim!DO67=Sheet6!$C$3,Sheet6!$C$3,IF(Tim!DO67=Sheet6!$C$4,Sheet6!$C$4,IF(Tim!DO67=Sheet6!$C$5,Sheet6!$C$5,IF(Tim!DO67=Sheet6!$C$6,Sheet6!$C$6,IF(Tim!DO67=Sheet6!$C$7,Sheet6!$C$7,IF(Tim!DO67=Sheet6!$C$8,Sheet6!$C$8,"")))))))</f>
        <v/>
      </c>
      <c r="AV65" s="53" t="str">
        <f>IF(Tim!DP67=Sheet6!$C$2,Sheet6!$C$2,IF(Tim!DP67=Sheet6!$C$3,Sheet6!$C$3,IF(Tim!DP67=Sheet6!$C$4,Sheet6!$C$4,IF(Tim!DP67=Sheet6!$C$5,Sheet6!$C$5,IF(Tim!DP67=Sheet6!$C$6,Sheet6!$C$6,IF(Tim!DP67=Sheet6!$C$7,Sheet6!$C$7,IF(Tim!DP67=Sheet6!$C$8,Sheet6!$C$8,"")))))))</f>
        <v/>
      </c>
      <c r="AW65" s="53" t="str">
        <f>IF(Tim!DX67=Sheet6!$C$2,Sheet6!$C$2,IF(Tim!DX67=Sheet6!$C$3,Sheet6!$C$3,IF(Tim!DX67=Sheet6!$C$4,Sheet6!$C$4,IF(Tim!DX67=Sheet6!$C$5,Sheet6!$C$5,IF(Tim!DX67=Sheet6!$C$6,Sheet6!$C$6,IF(Tim!DX67=Sheet6!$C$7,Sheet6!$C$7,IF(Tim!DX67=Sheet6!$C$8,Sheet6!$C$8,"")))))))</f>
        <v/>
      </c>
      <c r="AX65" s="53" t="str">
        <f>IF(Tim!DY67=Sheet6!$C$2,Sheet6!$C$2,IF(Tim!DY67=Sheet6!$C$3,Sheet6!$C$3,IF(Tim!DY67=Sheet6!$C$4,Sheet6!$C$4,IF(Tim!DY67=Sheet6!$C$5,Sheet6!$C$5,IF(Tim!DY67=Sheet6!$C$6,Sheet6!$C$6,IF(Tim!DY67=Sheet6!$C$7,Sheet6!$C$7,IF(Tim!DY67=Sheet6!$C$8,Sheet6!$C$8,"")))))))</f>
        <v/>
      </c>
      <c r="AY65" s="53" t="str">
        <f>IF(Tim!DZ67=Sheet6!$C$2,Sheet6!$C$2,IF(Tim!DZ67=Sheet6!$C$3,Sheet6!$C$3,IF(Tim!DZ67=Sheet6!$C$4,Sheet6!$C$4,IF(Tim!DZ67=Sheet6!$C$5,Sheet6!$C$5,IF(Tim!DZ67=Sheet6!$C$6,Sheet6!$C$6,IF(Tim!DZ67=Sheet6!$C$7,Sheet6!$C$7,IF(Tim!DZ67=Sheet6!$C$8,Sheet6!$C$8,"")))))))</f>
        <v/>
      </c>
      <c r="AZ65" s="53" t="str">
        <f>IF(Tim!EA67=Sheet6!$C$2,Sheet6!$C$2,IF(Tim!EA67=Sheet6!$C$3,Sheet6!$C$3,IF(Tim!EA67=Sheet6!$C$4,Sheet6!$C$4,IF(Tim!EA67=Sheet6!$C$5,Sheet6!$C$5,IF(Tim!EA67=Sheet6!$C$6,Sheet6!$C$6,IF(Tim!EA67=Sheet6!$C$7,Sheet6!$C$7,IF(Tim!EA67=Sheet6!$C$8,Sheet6!$C$8,"")))))))</f>
        <v/>
      </c>
      <c r="BA65" s="53" t="str">
        <f>IF(Tim!EB67=Sheet6!$C$2,Sheet6!$C$2,IF(Tim!EB67=Sheet6!$C$3,Sheet6!$C$3,IF(Tim!EB67=Sheet6!$C$4,Sheet6!$C$4,IF(Tim!EB67=Sheet6!$C$5,Sheet6!$C$5,IF(Tim!EB67=Sheet6!$C$6,Sheet6!$C$6,IF(Tim!EB67=Sheet6!$C$7,Sheet6!$C$7,IF(Tim!EB67=Sheet6!$C$8,Sheet6!$C$8,"")))))))</f>
        <v/>
      </c>
      <c r="BB65" s="53" t="str">
        <f>IF(Tim!EC67=Sheet6!$C$2,Sheet6!$C$2,IF(Tim!EC67=Sheet6!$C$3,Sheet6!$C$3,IF(Tim!EC67=Sheet6!$C$4,Sheet6!$C$4,IF(Tim!EC67=Sheet6!$C$5,Sheet6!$C$5,IF(Tim!EC67=Sheet6!$C$6,Sheet6!$C$6,IF(Tim!EC67=Sheet6!$C$7,Sheet6!$C$7,IF(Tim!EC67=Sheet6!$C$8,Sheet6!$C$8,"")))))))</f>
        <v/>
      </c>
      <c r="BC65" s="53" t="str">
        <f>IF(Tim!EG67=Sheet6!$C$2,Sheet6!$C$2,IF(Tim!EG67=Sheet6!$C$3,Sheet6!$C$3,IF(Tim!EG67=Sheet6!$C$4,Sheet6!$C$4,IF(Tim!EG67=Sheet6!$C$5,Sheet6!$C$5,IF(Tim!EG67=Sheet6!$C$6,Sheet6!$C$6,IF(Tim!EG67=Sheet6!$C$7,Sheet6!$C$7,IF(Tim!EG67=Sheet6!$C$8,Sheet6!$C$8,"")))))))</f>
        <v/>
      </c>
      <c r="BD65" s="54" t="str">
        <f>IF(Tim!EH67=Sheet6!$C$2,Sheet6!$C$2,IF(Tim!EH67=Sheet6!$C$3,Sheet6!$C$3,IF(Tim!EH67=Sheet6!$C$4,Sheet6!$C$4,IF(Tim!EH67=Sheet6!$C$5,Sheet6!$C$5,IF(Tim!EH67=Sheet6!$C$6,Sheet6!$C$6,IF(Tim!EH67=Sheet6!$C$7,Sheet6!$C$7,IF(Tim!EH67=Sheet6!$C$8,Sheet6!$C$8,"")))))))</f>
        <v/>
      </c>
      <c r="BE65" s="54" t="str">
        <f>IF(Tim!EI67=Sheet6!$C$2,Sheet6!$C$2,IF(Tim!EI67=Sheet6!$C$3,Sheet6!$C$3,IF(Tim!EI67=Sheet6!$C$4,Sheet6!$C$4,IF(Tim!EI67=Sheet6!$C$5,Sheet6!$C$5,IF(Tim!EI67=Sheet6!$C$6,Sheet6!$C$6,IF(Tim!EI67=Sheet6!$C$7,Sheet6!$C$7,IF(Tim!EI67=Sheet6!$C$8,Sheet6!$C$8,"")))))))</f>
        <v/>
      </c>
      <c r="BF65" s="54" t="str">
        <f>IF(Tim!EJ67=Sheet6!$C$2,Sheet6!$C$2,IF(Tim!EJ67=Sheet6!$C$3,Sheet6!$C$3,IF(Tim!EJ67=Sheet6!$C$4,Sheet6!$C$4,IF(Tim!EJ67=Sheet6!$C$5,Sheet6!$C$5,IF(Tim!EJ67=Sheet6!$C$6,Sheet6!$C$6,IF(Tim!EJ67=Sheet6!$C$7,Sheet6!$C$7,IF(Tim!EJ67=Sheet6!$C$8,Sheet6!$C$8,"")))))))</f>
        <v/>
      </c>
      <c r="BG65" s="55" t="str">
        <f>IF(Tim!EK67=Sheet6!$C$2,Sheet6!$C$2,IF(Tim!EK67=Sheet6!$C$3,Sheet6!$C$3,IF(Tim!EK67=Sheet6!$C$4,Sheet6!$C$4,IF(Tim!EK67=Sheet6!$C$5,Sheet6!$C$5,IF(Tim!EK67=Sheet6!$C$6,Sheet6!$C$6,IF(Tim!EK67=Sheet6!$C$7,Sheet6!$C$7,IF(Tim!EK67=Sheet6!$C$8,Sheet6!$C$8,"")))))))</f>
        <v/>
      </c>
      <c r="BH65" s="53" t="str">
        <f>IF(Tim!EL67=Sheet6!$C$2,Sheet6!$C$2,IF(Tim!EL67=Sheet6!$C$3,Sheet6!$C$3,IF(Tim!EL67=Sheet6!$C$4,Sheet6!$C$4,IF(Tim!EL67=Sheet6!$C$5,Sheet6!$C$5,IF(Tim!EL67=Sheet6!$C$6,Sheet6!$C$6,IF(Tim!EL67=Sheet6!$C$7,Sheet6!$C$7,IF(Tim!EL67=Sheet6!$C$8,Sheet6!$C$8,"")))))))</f>
        <v/>
      </c>
      <c r="BI65" s="57" t="str">
        <f>IF(Tim!EM67=Sheet6!$C$2,Sheet6!$C$2,IF(Tim!EM67=Sheet6!$C$3,Sheet6!$C$3,IF(Tim!EM67=Sheet6!$C$4,Sheet6!$C$4,IF(Tim!EM67=Sheet6!$C$5,Sheet6!$C$5,IF(Tim!EM67=Sheet6!$C$6,Sheet6!$C$6,IF(Tim!EM67=Sheet6!$C$7,Sheet6!$C$7,IF(Tim!EM67=Sheet6!$C$8,Sheet6!$C$8,"")))))))</f>
        <v/>
      </c>
      <c r="BJ65" s="57" t="str">
        <f>IF(Tim!EQ67=Sheet6!$C$2,Sheet6!$C$2,IF(Tim!EQ67=Sheet6!$C$3,Sheet6!$C$3,IF(Tim!EQ67=Sheet6!$C$4,Sheet6!$C$4,IF(Tim!EQ67=Sheet6!$C$5,Sheet6!$C$5,IF(Tim!EQ67=Sheet6!$C$6,Sheet6!$C$6,IF(Tim!EQ67=Sheet6!$C$7,Sheet6!$C$7,IF(Tim!EQ67=Sheet6!$C$8,Sheet6!$C$8,"")))))))</f>
        <v/>
      </c>
      <c r="BK65" s="57" t="str">
        <f>IF(Tim!ER67=Sheet6!$C$2,Sheet6!$C$2,IF(Tim!ER67=Sheet6!$C$3,Sheet6!$C$3,IF(Tim!ER67=Sheet6!$C$4,Sheet6!$C$4,IF(Tim!ER67=Sheet6!$C$5,Sheet6!$C$5,IF(Tim!ER67=Sheet6!$C$6,Sheet6!$C$6,IF(Tim!ER67=Sheet6!$C$7,Sheet6!$C$7,IF(Tim!ER67=Sheet6!$C$8,Sheet6!$C$8,"")))))))</f>
        <v/>
      </c>
      <c r="BL65" s="57" t="str">
        <f>IF(Tim!EZ67=Sheet6!$C$2,Sheet6!$C$2,IF(Tim!EZ67=Sheet6!$C$3,Sheet6!$C$3,IF(Tim!EZ67=Sheet6!$C$4,Sheet6!$C$4,IF(Tim!EZ67=Sheet6!$C$5,Sheet6!$C$5,IF(Tim!EZ67=Sheet6!$C$6,Sheet6!$C$6,IF(Tim!EZ67=Sheet6!$C$7,Sheet6!$C$7,IF(Tim!EZ67=Sheet6!$C$8,Sheet6!$C$8,"")))))))</f>
        <v/>
      </c>
      <c r="BM65" s="53" t="str">
        <f>IF(Tim!FG67=Sheet6!$C$2,Sheet6!$C$2,IF(Tim!FG67=Sheet6!$C$3,Sheet6!$C$3,IF(Tim!FG67=Sheet6!$C$4,Sheet6!$C$4,IF(Tim!FG67=Sheet6!$C$5,Sheet6!$C$5,IF(Tim!FG67=Sheet6!$C$6,Sheet6!$C$6,IF(Tim!FG67=Sheet6!$C$7,Sheet6!$C$7,IF(Tim!FG67=Sheet6!$C$8,Sheet6!$C$8,"")))))))</f>
        <v/>
      </c>
      <c r="BN65" s="181" t="str">
        <f>IF(Tim!FH67=Sheet6!$C$2,Sheet6!$C$2,IF(Tim!FH67=Sheet6!$C$3,Sheet6!$C$3,IF(Tim!FH67=Sheet6!$C$4,Sheet6!$C$4,IF(Tim!FH67=Sheet6!$C$5,Sheet6!$C$5,IF(Tim!FH67=Sheet6!$C$6,Sheet6!$C$6,IF(Tim!FH67=Sheet6!$C$7,Sheet6!$C$7,IF(Tim!FH67=Sheet6!$C$8,Sheet6!$C$8,"")))))))</f>
        <v/>
      </c>
      <c r="BO65" s="53" t="str">
        <f>IF(Tim!FP67=Sheet6!$C$2,Sheet6!$C$2,IF(Tim!FP67=Sheet6!$C$3,Sheet6!$C$3,IF(Tim!FP67=Sheet6!$C$4,Sheet6!$C$4,IF(Tim!FP67=Sheet6!$C$5,Sheet6!$C$5,IF(Tim!FP67=Sheet6!$C$6,Sheet6!$C$6,IF(Tim!FP67=Sheet6!$C$7,Sheet6!$C$7,IF(Tim!FP67=Sheet6!$C$8,Sheet6!$C$8,"")))))))</f>
        <v/>
      </c>
      <c r="BP65" s="53" t="str">
        <f>IF(Tim!FQ67=Sheet6!$C$2,Sheet6!$C$2,IF(Tim!FQ67=Sheet6!$C$3,Sheet6!$C$3,IF(Tim!FQ67=Sheet6!$C$4,Sheet6!$C$4,IF(Tim!FQ67=Sheet6!$C$5,Sheet6!$C$5,IF(Tim!FQ67=Sheet6!$C$6,Sheet6!$C$6,IF(Tim!FQ67=Sheet6!$C$7,Sheet6!$C$7,IF(Tim!FQ67=Sheet6!$C$8,Sheet6!$C$8,"")))))))</f>
        <v/>
      </c>
      <c r="BQ65" s="53" t="str">
        <f>IF(Tim!FR67=Sheet6!$C$2,Sheet6!$C$2,IF(Tim!FR67=Sheet6!$C$3,Sheet6!$C$3,IF(Tim!FR67=Sheet6!$C$4,Sheet6!$C$4,IF(Tim!FR67=Sheet6!$C$5,Sheet6!$C$5,IF(Tim!FR67=Sheet6!$C$6,Sheet6!$C$6,IF(Tim!FR67=Sheet6!$C$7,Sheet6!$C$7,IF(Tim!FR67=Sheet6!$C$8,Sheet6!$C$8,"")))))))</f>
        <v/>
      </c>
      <c r="BR65" s="53" t="str">
        <f>IF(Tim!FS67=Sheet6!$C$2,Sheet6!$C$2,IF(Tim!FS67=Sheet6!$C$3,Sheet6!$C$3,IF(Tim!FS67=Sheet6!$C$4,Sheet6!$C$4,IF(Tim!FS67=Sheet6!$C$5,Sheet6!$C$5,IF(Tim!FS67=Sheet6!$C$6,Sheet6!$C$6,IF(Tim!FS67=Sheet6!$C$7,Sheet6!$C$7,IF(Tim!FS67=Sheet6!$C$8,Sheet6!$C$8,"")))))))</f>
        <v/>
      </c>
      <c r="BS65" s="53" t="str">
        <f>IF(Tim!FT67=Sheet6!$C$2,Sheet6!$C$2,IF(Tim!FT67=Sheet6!$C$3,Sheet6!$C$3,IF(Tim!FT67=Sheet6!$C$4,Sheet6!$C$4,IF(Tim!FT67=Sheet6!$C$5,Sheet6!$C$5,IF(Tim!FT67=Sheet6!$C$6,Sheet6!$C$6,IF(Tim!FT67=Sheet6!$C$7,Sheet6!$C$7,IF(Tim!FT67=Sheet6!$C$8,Sheet6!$C$8,"")))))))</f>
        <v/>
      </c>
      <c r="BT65" s="53" t="str">
        <f>IF(Tim!FU67=Sheet6!$C$2,Sheet6!$C$2,IF(Tim!FU67=Sheet6!$C$3,Sheet6!$C$3,IF(Tim!FU67=Sheet6!$C$4,Sheet6!$C$4,IF(Tim!FU67=Sheet6!$C$5,Sheet6!$C$5,IF(Tim!FU67=Sheet6!$C$6,Sheet6!$C$6,IF(Tim!FU67=Sheet6!$C$7,Sheet6!$C$7,IF(Tim!FU67=Sheet6!$C$8,Sheet6!$C$8,"")))))))</f>
        <v/>
      </c>
      <c r="BU65" s="53" t="str">
        <f>IF(Tim!FY67=Sheet6!$C$2,Sheet6!$C$2,IF(Tim!FY67=Sheet6!$C$3,Sheet6!$C$3,IF(Tim!FY67=Sheet6!$C$4,Sheet6!$C$4,IF(Tim!FY67=Sheet6!$C$5,Sheet6!$C$5,IF(Tim!FY67=Sheet6!$C$6,Sheet6!$C$6,IF(Tim!FY67=Sheet6!$C$7,Sheet6!$C$7,IF(Tim!FY67=Sheet6!$C$8,Sheet6!$C$8,"")))))))</f>
        <v/>
      </c>
      <c r="BV65" s="54" t="str">
        <f>IF(Tim!FZ67=Sheet6!$C$2,Sheet6!$C$2,IF(Tim!FZ67=Sheet6!$C$3,Sheet6!$C$3,IF(Tim!FZ67=Sheet6!$C$4,Sheet6!$C$4,IF(Tim!FZ67=Sheet6!$C$5,Sheet6!$C$5,IF(Tim!FZ67=Sheet6!$C$6,Sheet6!$C$6,IF(Tim!FZ67=Sheet6!$C$7,Sheet6!$C$7,IF(Tim!FZ67=Sheet6!$C$8,Sheet6!$C$8,"")))))))</f>
        <v/>
      </c>
      <c r="BW65" s="54" t="str">
        <f>IF(Tim!GA67=Sheet6!$C$2,Sheet6!$C$2,IF(Tim!GA67=Sheet6!$C$3,Sheet6!$C$3,IF(Tim!GA67=Sheet6!$C$4,Sheet6!$C$4,IF(Tim!GA67=Sheet6!$C$5,Sheet6!$C$5,IF(Tim!GA67=Sheet6!$C$6,Sheet6!$C$6,IF(Tim!GA67=Sheet6!$C$7,Sheet6!$C$7,IF(Tim!GA67=Sheet6!$C$8,Sheet6!$C$8,"")))))))</f>
        <v/>
      </c>
      <c r="BX65" s="54" t="str">
        <f>IF(Tim!GB67=Sheet6!$C$2,Sheet6!$C$2,IF(Tim!GB67=Sheet6!$C$3,Sheet6!$C$3,IF(Tim!GB67=Sheet6!$C$4,Sheet6!$C$4,IF(Tim!GB67=Sheet6!$C$5,Sheet6!$C$5,IF(Tim!GB67=Sheet6!$C$6,Sheet6!$C$6,IF(Tim!GB67=Sheet6!$C$7,Sheet6!$C$7,IF(Tim!GB67=Sheet6!$C$8,Sheet6!$C$8,"")))))))</f>
        <v/>
      </c>
      <c r="BY65" s="55" t="str">
        <f>IF(Tim!GC67=Sheet6!$C$2,Sheet6!$C$2,IF(Tim!GC67=Sheet6!$C$3,Sheet6!$C$3,IF(Tim!GC67=Sheet6!$C$4,Sheet6!$C$4,IF(Tim!GC67=Sheet6!$C$5,Sheet6!$C$5,IF(Tim!GC67=Sheet6!$C$6,Sheet6!$C$6,IF(Tim!GC67=Sheet6!$C$7,Sheet6!$C$7,IF(Tim!GC67=Sheet6!$C$8,Sheet6!$C$8,"")))))))</f>
        <v/>
      </c>
      <c r="BZ65" s="53" t="str">
        <f>IF(Tim!GD67=Sheet6!$C$2,Sheet6!$C$2,IF(Tim!GD67=Sheet6!$C$3,Sheet6!$C$3,IF(Tim!GD67=Sheet6!$C$4,Sheet6!$C$4,IF(Tim!GD67=Sheet6!$C$5,Sheet6!$C$5,IF(Tim!GD67=Sheet6!$C$6,Sheet6!$C$6,IF(Tim!GD67=Sheet6!$C$7,Sheet6!$C$7,IF(Tim!GD67=Sheet6!$C$8,Sheet6!$C$8,"")))))))</f>
        <v/>
      </c>
      <c r="CA65" s="57" t="str">
        <f>IF(Tim!GE67=Sheet6!$C$2,Sheet6!$C$2,IF(Tim!GE67=Sheet6!$C$3,Sheet6!$C$3,IF(Tim!GE67=Sheet6!$C$4,Sheet6!$C$4,IF(Tim!GE67=Sheet6!$C$5,Sheet6!$C$5,IF(Tim!GE67=Sheet6!$C$6,Sheet6!$C$6,IF(Tim!GE67=Sheet6!$C$7,Sheet6!$C$7,IF(Tim!GE67=Sheet6!$C$8,Sheet6!$C$8,"")))))))</f>
        <v/>
      </c>
      <c r="CB65" s="57" t="str">
        <f>IF(Tim!GI67=Sheet6!$C$2,Sheet6!$C$2,IF(Tim!GI67=Sheet6!$C$3,Sheet6!$C$3,IF(Tim!GI67=Sheet6!$C$4,Sheet6!$C$4,IF(Tim!GI67=Sheet6!$C$5,Sheet6!$C$5,IF(Tim!GI67=Sheet6!$C$6,Sheet6!$C$6,IF(Tim!GI67=Sheet6!$C$7,Sheet6!$C$7,IF(Tim!GI67=Sheet6!$C$8,Sheet6!$C$8,"")))))))</f>
        <v/>
      </c>
      <c r="CC65" s="57" t="str">
        <f>IF(Tim!GJ67=Sheet6!$C$2,Sheet6!$C$2,IF(Tim!GJ67=Sheet6!$C$3,Sheet6!$C$3,IF(Tim!GJ67=Sheet6!$C$4,Sheet6!$C$4,IF(Tim!GJ67=Sheet6!$C$5,Sheet6!$C$5,IF(Tim!GJ67=Sheet6!$C$6,Sheet6!$C$6,IF(Tim!GJ67=Sheet6!$C$7,Sheet6!$C$7,IF(Tim!GJ67=Sheet6!$C$8,Sheet6!$C$8,"")))))))</f>
        <v/>
      </c>
      <c r="CD65" s="57" t="str">
        <f>IF(Tim!GN67=Sheet6!$C$2,Sheet6!$C$2,IF(Tim!GN67=Sheet6!$C$3,Sheet6!$C$3,IF(Tim!GN67=Sheet6!$C$4,Sheet6!$C$4,IF(Tim!GN67=Sheet6!$C$5,Sheet6!$C$5,IF(Tim!GN67=Sheet6!$C$6,Sheet6!$C$6,IF(Tim!GN67=Sheet6!$C$7,Sheet6!$C$7,IF(Tim!GN67=Sheet6!$C$8,Sheet6!$C$8,"")))))))</f>
        <v/>
      </c>
      <c r="CE65" s="53" t="str">
        <f>IF(Tim!GY67=Sheet6!$C$2,Sheet6!$C$2,IF(Tim!GY67=Sheet6!$C$3,Sheet6!$C$3,IF(Tim!GY67=Sheet6!$C$4,Sheet6!$C$4,IF(Tim!GY67=Sheet6!$C$5,Sheet6!$C$5,IF(Tim!GY67=Sheet6!$C$6,Sheet6!$C$6,IF(Tim!GY67=Sheet6!$C$7,Sheet6!$C$7,IF(Tim!GY67=Sheet6!$C$8,Sheet6!$C$8,"")))))))</f>
        <v/>
      </c>
      <c r="CF65" s="53" t="str">
        <f>IF(Tim!GZ67=Sheet6!$C$2,Sheet6!$C$2,IF(Tim!GZ67=Sheet6!$C$3,Sheet6!$C$3,IF(Tim!GZ67=Sheet6!$C$4,Sheet6!$C$4,IF(Tim!GZ67=Sheet6!$C$5,Sheet6!$C$5,IF(Tim!GZ67=Sheet6!$C$6,Sheet6!$C$6,IF(Tim!GZ67=Sheet6!$C$7,Sheet6!$C$7,IF(Tim!GZ67=Sheet6!$C$8,Sheet6!$C$8,"")))))))</f>
        <v/>
      </c>
      <c r="CG65" s="53" t="str">
        <f>IF(Tim!HH67=Sheet6!$C$2,Sheet6!$C$2,IF(Tim!HH67=Sheet6!$C$3,Sheet6!$C$3,IF(Tim!HH67=Sheet6!$C$4,Sheet6!$C$4,IF(Tim!HH67=Sheet6!$C$5,Sheet6!$C$5,IF(Tim!HH67=Sheet6!$C$6,Sheet6!$C$6,IF(Tim!HH67=Sheet6!$C$7,Sheet6!$C$7,IF(Tim!HH67=Sheet6!$C$8,Sheet6!$C$8,"")))))))</f>
        <v/>
      </c>
      <c r="CH65" s="53" t="str">
        <f>IF(Tim!HI67=Sheet6!$C$2,Sheet6!$C$2,IF(Tim!HI67=Sheet6!$C$3,Sheet6!$C$3,IF(Tim!HI67=Sheet6!$C$4,Sheet6!$C$4,IF(Tim!HI67=Sheet6!$C$5,Sheet6!$C$5,IF(Tim!HI67=Sheet6!$C$6,Sheet6!$C$6,IF(Tim!HI67=Sheet6!$C$7,Sheet6!$C$7,IF(Tim!HI67=Sheet6!$C$8,Sheet6!$C$8,"")))))))</f>
        <v/>
      </c>
      <c r="CI65" s="53" t="str">
        <f>IF(Tim!HJ67=Sheet6!$C$2,Sheet6!$C$2,IF(Tim!HJ67=Sheet6!$C$3,Sheet6!$C$3,IF(Tim!HJ67=Sheet6!$C$4,Sheet6!$C$4,IF(Tim!HJ67=Sheet6!$C$5,Sheet6!$C$5,IF(Tim!HJ67=Sheet6!$C$6,Sheet6!$C$6,IF(Tim!HJ67=Sheet6!$C$7,Sheet6!$C$7,IF(Tim!HJ67=Sheet6!$C$8,Sheet6!$C$8,"")))))))</f>
        <v/>
      </c>
      <c r="CJ65" s="53" t="str">
        <f>IF(Tim!HK67=Sheet6!$C$2,Sheet6!$C$2,IF(Tim!HK67=Sheet6!$C$3,Sheet6!$C$3,IF(Tim!HK67=Sheet6!$C$4,Sheet6!$C$4,IF(Tim!HK67=Sheet6!$C$5,Sheet6!$C$5,IF(Tim!HK67=Sheet6!$C$6,Sheet6!$C$6,IF(Tim!HK67=Sheet6!$C$7,Sheet6!$C$7,IF(Tim!HK67=Sheet6!$C$8,Sheet6!$C$8,"")))))))</f>
        <v/>
      </c>
      <c r="CK65" s="53" t="str">
        <f>IF(Tim!HL67=Sheet6!$C$2,Sheet6!$C$2,IF(Tim!HL67=Sheet6!$C$3,Sheet6!$C$3,IF(Tim!HL67=Sheet6!$C$4,Sheet6!$C$4,IF(Tim!HL67=Sheet6!$C$5,Sheet6!$C$5,IF(Tim!HL67=Sheet6!$C$6,Sheet6!$C$6,IF(Tim!HL67=Sheet6!$C$7,Sheet6!$C$7,IF(Tim!HL67=Sheet6!$C$8,Sheet6!$C$8,"")))))))</f>
        <v/>
      </c>
      <c r="CL65" s="176" t="str">
        <f>IF(Tim!HM67=Sheet6!$C$2,Sheet6!$C$2,IF(Tim!HM67=Sheet6!$C$3,Sheet6!$C$3,IF(Tim!HM67=Sheet6!$C$4,Sheet6!$C$4,IF(Tim!HM67=Sheet6!$C$5,Sheet6!$C$5,IF(Tim!HM67=Sheet6!$C$6,Sheet6!$C$6,IF(Tim!HM67=Sheet6!$C$7,Sheet6!$C$7,IF(Tim!HM67=Sheet6!$C$8,Sheet6!$C$8,"")))))))</f>
        <v/>
      </c>
      <c r="CM65" s="53" t="str">
        <f>IF(Tim!HQ67=Sheet6!$C$2,Sheet6!$C$2,IF(Tim!HQ67=Sheet6!$C$3,Sheet6!$C$3,IF(Tim!HQ67=Sheet6!$C$4,Sheet6!$C$4,IF(Tim!HQ67=Sheet6!$C$5,Sheet6!$C$5,IF(Tim!HQ67=Sheet6!$C$6,Sheet6!$C$6,IF(Tim!HQ67=Sheet6!$C$7,Sheet6!$C$7,IF(Tim!HQ67=Sheet6!$C$8,Sheet6!$C$8,"")))))))</f>
        <v/>
      </c>
      <c r="CN65" s="54" t="str">
        <f>IF(Tim!HR67=Sheet6!$C$2,Sheet6!$C$2,IF(Tim!HR67=Sheet6!$C$3,Sheet6!$C$3,IF(Tim!HR67=Sheet6!$C$4,Sheet6!$C$4,IF(Tim!HR67=Sheet6!$C$5,Sheet6!$C$5,IF(Tim!HR67=Sheet6!$C$6,Sheet6!$C$6,IF(Tim!HR67=Sheet6!$C$7,Sheet6!$C$7,IF(Tim!HR67=Sheet6!$C$8,Sheet6!$C$8,"")))))))</f>
        <v/>
      </c>
      <c r="CO65" s="54" t="str">
        <f>IF(Tim!HS67=Sheet6!$C$2,Sheet6!$C$2,IF(Tim!HS67=Sheet6!$C$3,Sheet6!$C$3,IF(Tim!HS67=Sheet6!$C$4,Sheet6!$C$4,IF(Tim!HS67=Sheet6!$C$5,Sheet6!$C$5,IF(Tim!HS67=Sheet6!$C$6,Sheet6!$C$6,IF(Tim!HS67=Sheet6!$C$7,Sheet6!$C$7,IF(Tim!HS67=Sheet6!$C$8,Sheet6!$C$8,"")))))))</f>
        <v/>
      </c>
      <c r="CP65" s="54" t="str">
        <f>IF(Tim!HT67=Sheet6!$C$2,Sheet6!$C$2,IF(Tim!HT67=Sheet6!$C$3,Sheet6!$C$3,IF(Tim!HT67=Sheet6!$C$4,Sheet6!$C$4,IF(Tim!HT67=Sheet6!$C$5,Sheet6!$C$5,IF(Tim!HT67=Sheet6!$C$6,Sheet6!$C$6,IF(Tim!HT67=Sheet6!$C$7,Sheet6!$C$7,IF(Tim!HT67=Sheet6!$C$8,Sheet6!$C$8,"")))))))</f>
        <v/>
      </c>
      <c r="CQ65" s="55" t="str">
        <f>IF(Tim!HU67=Sheet6!$C$2,Sheet6!$C$2,IF(Tim!HU67=Sheet6!$C$3,Sheet6!$C$3,IF(Tim!HU67=Sheet6!$C$4,Sheet6!$C$4,IF(Tim!HU67=Sheet6!$C$5,Sheet6!$C$5,IF(Tim!HU67=Sheet6!$C$6,Sheet6!$C$6,IF(Tim!HU67=Sheet6!$C$7,Sheet6!$C$7,IF(Tim!HU67=Sheet6!$C$8,Sheet6!$C$8,"")))))))</f>
        <v/>
      </c>
      <c r="CR65" s="469"/>
      <c r="CS65" s="366"/>
      <c r="CT65" s="366"/>
      <c r="CU65" s="366"/>
      <c r="CV65" s="366"/>
      <c r="CW65" s="366"/>
      <c r="CX65" s="366"/>
      <c r="CY65" s="366"/>
      <c r="CZ65" s="366"/>
      <c r="DA65" s="366"/>
      <c r="DB65" s="366"/>
      <c r="DC65" s="366"/>
      <c r="DD65" s="366"/>
      <c r="DE65" s="366"/>
      <c r="DF65" s="366"/>
      <c r="DG65" s="428"/>
      <c r="DH65" s="422"/>
      <c r="DI65" s="423"/>
      <c r="DJ65" s="423"/>
      <c r="DK65" s="423"/>
      <c r="DL65" s="423"/>
      <c r="DM65" s="423"/>
      <c r="DN65" s="423"/>
      <c r="DO65" s="423"/>
      <c r="DP65" s="423"/>
      <c r="DQ65" s="423"/>
      <c r="DR65" s="423"/>
      <c r="DS65" s="423"/>
      <c r="DT65" s="423"/>
      <c r="DU65" s="423"/>
      <c r="DV65" s="423"/>
      <c r="DW65" s="424"/>
      <c r="DX65" s="52">
        <v>0.91666666666666496</v>
      </c>
    </row>
    <row r="66" spans="2:128" ht="10.5" customHeight="1">
      <c r="B66" s="51">
        <v>0.25</v>
      </c>
      <c r="C66" s="51">
        <v>0.25</v>
      </c>
      <c r="D66" s="51">
        <v>0.25</v>
      </c>
      <c r="E66" s="52">
        <v>0.92708333333333104</v>
      </c>
      <c r="F66" s="53" t="str">
        <f>IF(Tim!F68=Sheet6!$C$2,Sheet6!$C$2,IF(Tim!F68=Sheet6!$C$3,Sheet6!$C$3,IF(Tim!F68=Sheet6!$C$4,Sheet6!$C$4,IF(Tim!F68=Sheet6!$C$5,Sheet6!$C$5,IF(Tim!F68=Sheet6!$C$6,Sheet6!$C$6,IF(Tim!F68=Sheet6!$C$7,Sheet6!$C$7,IF(Tim!F68=Sheet6!$C$8,Sheet6!$C$8,"")))))))</f>
        <v/>
      </c>
      <c r="G66" s="53" t="str">
        <f>IF(Tim!G68=Sheet6!$C$2,Sheet6!$C$2,IF(Tim!G68=Sheet6!$C$3,Sheet6!$C$3,IF(Tim!G68=Sheet6!$C$4,Sheet6!$C$4,IF(Tim!G68=Sheet6!$C$5,Sheet6!$C$5,IF(Tim!G68=Sheet6!$C$6,Sheet6!$C$6,IF(Tim!G68=Sheet6!$C$7,Sheet6!$C$7,IF(Tim!G68=Sheet6!$C$8,Sheet6!$C$8,"")))))))</f>
        <v/>
      </c>
      <c r="H66" s="53" t="str">
        <f>IF(Tim!H68=Sheet6!$C$2,Sheet6!$C$2,IF(Tim!H68=Sheet6!$C$3,Sheet6!$C$3,IF(Tim!H68=Sheet6!$C$4,Sheet6!$C$4,IF(Tim!H68=Sheet6!$C$5,Sheet6!$C$5,IF(Tim!H68=Sheet6!$C$6,Sheet6!$C$6,IF(Tim!H68=Sheet6!$C$7,Sheet6!$C$7,IF(Tim!H68=Sheet6!$C$8,Sheet6!$C$8,"")))))))</f>
        <v/>
      </c>
      <c r="I66" s="53" t="str">
        <f>IF(Tim!L68=Sheet6!$C$2,Sheet6!$C$2,IF(Tim!L68=Sheet6!$C$3,Sheet6!$C$3,IF(Tim!L68=Sheet6!$C$4,Sheet6!$C$4,IF(Tim!L68=Sheet6!$C$5,Sheet6!$C$5,IF(Tim!L68=Sheet6!$C$6,Sheet6!$C$6,IF(Tim!L68=Sheet6!$C$7,Sheet6!$C$7,IF(Tim!L68=Sheet6!$C$8,Sheet6!$C$8,"")))))))</f>
        <v/>
      </c>
      <c r="J66" s="53" t="str">
        <f>IF(Tim!T68=Sheet6!$C$2,Sheet6!$C$2,IF(Tim!T68=Sheet6!$C$3,Sheet6!$C$3,IF(Tim!T68=Sheet6!$C$4,Sheet6!$C$4,IF(Tim!T68=Sheet6!$C$5,Sheet6!$C$5,IF(Tim!T68=Sheet6!$C$6,Sheet6!$C$6,IF(Tim!T68=Sheet6!$C$7,Sheet6!$C$7,IF(Tim!T68=Sheet6!$C$8,Sheet6!$C$8,"")))))))</f>
        <v/>
      </c>
      <c r="K66" s="53" t="str">
        <f>IF(Tim!AB68=Sheet6!$C$2,Sheet6!$C$2,IF(Tim!AB68=Sheet6!$C$3,Sheet6!$C$3,IF(Tim!AB68=Sheet6!$C$4,Sheet6!$C$4,IF(Tim!AB68=Sheet6!$C$5,Sheet6!$C$5,IF(Tim!AB68=Sheet6!$C$6,Sheet6!$C$6,IF(Tim!AB68=Sheet6!$C$7,Sheet6!$C$7,IF(Tim!AB68=Sheet6!$C$8,Sheet6!$C$8,"")))))))</f>
        <v/>
      </c>
      <c r="L66" s="53" t="str">
        <f>IF(Tim!AC68=Sheet6!$C$2,Sheet6!$C$2,IF(Tim!AC68=Sheet6!$C$3,Sheet6!$C$3,IF(Tim!AC68=Sheet6!$C$4,Sheet6!$C$4,IF(Tim!AC68=Sheet6!$C$5,Sheet6!$C$5,IF(Tim!AC68=Sheet6!$C$6,Sheet6!$C$6,IF(Tim!AC68=Sheet6!$C$7,Sheet6!$C$7,IF(Tim!AC68=Sheet6!$C$8,Sheet6!$C$8,"")))))))</f>
        <v/>
      </c>
      <c r="M66" s="53" t="str">
        <f>IF(Tim!AJ68=Sheet6!$C$2,Sheet6!$C$2,IF(Tim!AJ68=Sheet6!$C$3,Sheet6!$C$3,IF(Tim!AJ68=Sheet6!$C$4,Sheet6!$C$4,IF(Tim!AJ68=Sheet6!$C$5,Sheet6!$C$5,IF(Tim!AJ68=Sheet6!$C$6,Sheet6!$C$6,IF(Tim!AJ68=Sheet6!$C$7,Sheet6!$C$7,IF(Tim!AJ68=Sheet6!$C$8,Sheet6!$C$8,"")))))))</f>
        <v/>
      </c>
      <c r="N66" s="53" t="str">
        <f>IF(Tim!AK68=Sheet6!$C$2,Sheet6!$C$2,IF(Tim!AK68=Sheet6!$C$3,Sheet6!$C$3,IF(Tim!AK68=Sheet6!$C$4,Sheet6!$C$4,IF(Tim!AK68=Sheet6!$C$5,Sheet6!$C$5,IF(Tim!AK68=Sheet6!$C$6,Sheet6!$C$6,IF(Tim!AK68=Sheet6!$C$7,Sheet6!$C$7,IF(Tim!AK68=Sheet6!$C$8,Sheet6!$C$8,"")))))))</f>
        <v/>
      </c>
      <c r="O66" s="53" t="str">
        <f>IF(Tim!AL68=Sheet6!$C$2,Sheet6!$C$2,IF(Tim!AL68=Sheet6!$C$3,Sheet6!$C$3,IF(Tim!AL68=Sheet6!$C$4,Sheet6!$C$4,IF(Tim!AL68=Sheet6!$C$5,Sheet6!$C$5,IF(Tim!AL68=Sheet6!$C$6,Sheet6!$C$6,IF(Tim!AL68=Sheet6!$C$7,Sheet6!$C$7,IF(Tim!AL68=Sheet6!$C$8,Sheet6!$C$8,"")))))))</f>
        <v/>
      </c>
      <c r="P66" s="53" t="str">
        <f>IF(Tim!AN68=Sheet6!$C$2,Sheet6!$C$2,IF(Tim!AN68=Sheet6!$C$3,Sheet6!$C$3,IF(Tim!AN68=Sheet6!$C$4,Sheet6!$C$4,IF(Tim!AN68=Sheet6!$C$5,Sheet6!$C$5,IF(Tim!AN68=Sheet6!$C$6,Sheet6!$C$6,IF(Tim!AN68=Sheet6!$C$7,Sheet6!$C$7,IF(Tim!AN68=Sheet6!$C$8,Sheet6!$C$8,"")))))))</f>
        <v/>
      </c>
      <c r="Q66" s="53" t="str">
        <f>IF(Tim!AO68=Sheet6!$C$2,Sheet6!$C$2,IF(Tim!AO68=Sheet6!$C$3,Sheet6!$C$3,IF(Tim!AO68=Sheet6!$C$4,Sheet6!$C$4,IF(Tim!AO68=Sheet6!$C$5,Sheet6!$C$5,IF(Tim!AO68=Sheet6!$C$6,Sheet6!$C$6,IF(Tim!AO68=Sheet6!$C$7,Sheet6!$C$7,IF(Tim!AO68=Sheet6!$C$8,Sheet6!$C$8,"")))))))</f>
        <v/>
      </c>
      <c r="R66" s="53" t="str">
        <f>IF(Tim!AP68=Sheet6!$C$2,Sheet6!$C$2,IF(Tim!AP68=Sheet6!$C$3,Sheet6!$C$3,IF(Tim!AP68=Sheet6!$C$4,Sheet6!$C$4,IF(Tim!AP68=Sheet6!$C$5,Sheet6!$C$5,IF(Tim!AP68=Sheet6!$C$6,Sheet6!$C$6,IF(Tim!AP68=Sheet6!$C$7,Sheet6!$C$7,IF(Tim!AP68=Sheet6!$C$8,Sheet6!$C$8,"")))))))</f>
        <v/>
      </c>
      <c r="S66" s="53" t="str">
        <f>IF(Tim!AT68=Sheet6!$C$2,Sheet6!$C$2,IF(Tim!AT68=Sheet6!$C$3,Sheet6!$C$3,IF(Tim!AT68=Sheet6!$C$4,Sheet6!$C$4,IF(Tim!AT68=Sheet6!$C$5,Sheet6!$C$5,IF(Tim!AT68=Sheet6!$C$6,Sheet6!$C$6,IF(Tim!AT68=Sheet6!$C$7,Sheet6!$C$7,IF(Tim!AT68=Sheet6!$C$8,Sheet6!$C$8,"")))))))</f>
        <v/>
      </c>
      <c r="T66" s="54" t="str">
        <f>IF(Tim!AU68=Sheet6!$C$2,Sheet6!$C$2,IF(Tim!AU68=Sheet6!$C$3,Sheet6!$C$3,IF(Tim!AU68=Sheet6!$C$4,Sheet6!$C$4,IF(Tim!AU68=Sheet6!$C$5,Sheet6!$C$5,IF(Tim!AU68=Sheet6!$C$6,Sheet6!$C$6,IF(Tim!AU68=Sheet6!$C$7,Sheet6!$C$7,IF(Tim!AU68=Sheet6!$C$8,Sheet6!$C$8,"")))))))</f>
        <v/>
      </c>
      <c r="U66" s="54" t="str">
        <f>IF(Tim!AV68=Sheet6!$C$2,Sheet6!$C$2,IF(Tim!AV68=Sheet6!$C$3,Sheet6!$C$3,IF(Tim!AV68=Sheet6!$C$4,Sheet6!$C$4,IF(Tim!AV68=Sheet6!$C$5,Sheet6!$C$5,IF(Tim!AV68=Sheet6!$C$6,Sheet6!$C$6,IF(Tim!AV68=Sheet6!$C$7,Sheet6!$C$7,IF(Tim!AV68=Sheet6!$C$8,Sheet6!$C$8,"")))))))</f>
        <v/>
      </c>
      <c r="V66" s="54" t="str">
        <f>IF(Tim!AW68=Sheet6!$C$2,Sheet6!$C$2,IF(Tim!AW68=Sheet6!$C$3,Sheet6!$C$3,IF(Tim!AW68=Sheet6!$C$4,Sheet6!$C$4,IF(Tim!AW68=Sheet6!$C$5,Sheet6!$C$5,IF(Tim!AW68=Sheet6!$C$6,Sheet6!$C$6,IF(Tim!AW68=Sheet6!$C$7,Sheet6!$C$7,IF(Tim!AW68=Sheet6!$C$8,Sheet6!$C$8,"")))))))</f>
        <v/>
      </c>
      <c r="W66" s="55" t="str">
        <f>IF(Tim!AX68=Sheet6!$C$2,Sheet6!$C$2,IF(Tim!AX68=Sheet6!$C$3,Sheet6!$C$3,IF(Tim!AX68=Sheet6!$C$4,Sheet6!$C$4,IF(Tim!AX68=Sheet6!$C$5,Sheet6!$C$5,IF(Tim!AX68=Sheet6!$C$6,Sheet6!$C$6,IF(Tim!AX68=Sheet6!$C$7,Sheet6!$C$7,IF(Tim!AX68=Sheet6!$C$8,Sheet6!$C$8,"")))))))</f>
        <v/>
      </c>
      <c r="X66" s="53" t="str">
        <f>IF(Tim!AY68=Sheet6!$C$2,Sheet6!$C$2,IF(Tim!AY68=Sheet6!$C$3,Sheet6!$C$3,IF(Tim!AY68=Sheet6!$C$4,Sheet6!$C$4,IF(Tim!AY68=Sheet6!$C$5,Sheet6!$C$5,IF(Tim!AY68=Sheet6!$C$6,Sheet6!$C$6,IF(Tim!AY68=Sheet6!$C$7,Sheet6!$C$7,IF(Tim!AY68=Sheet6!$C$8,Sheet6!$C$8,"")))))))</f>
        <v/>
      </c>
      <c r="Y66" s="57" t="str">
        <f>IF(Tim!AZ68=Sheet6!$C$2,Sheet6!$C$2,IF(Tim!AZ68=Sheet6!$C$3,Sheet6!$C$3,IF(Tim!AZ68=Sheet6!$C$4,Sheet6!$C$4,IF(Tim!AZ68=Sheet6!$C$5,Sheet6!$C$5,IF(Tim!AZ68=Sheet6!$C$6,Sheet6!$C$6,IF(Tim!AZ68=Sheet6!$C$7,Sheet6!$C$7,IF(Tim!AZ68=Sheet6!$C$8,Sheet6!$C$8,"")))))))</f>
        <v/>
      </c>
      <c r="Z66" s="57" t="str">
        <f>IF(Tim!BD68=Sheet6!$C$2,Sheet6!$C$2,IF(Tim!BD68=Sheet6!$C$3,Sheet6!$C$3,IF(Tim!BD68=Sheet6!$C$4,Sheet6!$C$4,IF(Tim!BD68=Sheet6!$C$5,Sheet6!$C$5,IF(Tim!BD68=Sheet6!$C$6,Sheet6!$C$6,IF(Tim!BD68=Sheet6!$C$7,Sheet6!$C$7,IF(Tim!BD68=Sheet6!$C$8,Sheet6!$C$8,"")))))))</f>
        <v/>
      </c>
      <c r="AA66" s="57" t="str">
        <f>IF(Tim!BE68=Sheet6!$C$2,Sheet6!$C$2,IF(Tim!BE68=Sheet6!$C$3,Sheet6!$C$3,IF(Tim!BE68=Sheet6!$C$4,Sheet6!$C$4,IF(Tim!BE68=Sheet6!$C$5,Sheet6!$C$5,IF(Tim!BE68=Sheet6!$C$6,Sheet6!$C$6,IF(Tim!BE68=Sheet6!$C$7,Sheet6!$C$7,IF(Tim!BE68=Sheet6!$C$8,Sheet6!$C$8,"")))))))</f>
        <v/>
      </c>
      <c r="AB66" s="57" t="str">
        <f>IF(Tim!BL68=Sheet6!$C$2,Sheet6!$C$2,IF(Tim!BL68=Sheet6!$C$3,Sheet6!$C$3,IF(Tim!BL68=Sheet6!$C$4,Sheet6!$C$4,IF(Tim!BL68=Sheet6!$C$5,Sheet6!$C$5,IF(Tim!BL68=Sheet6!$C$6,Sheet6!$C$6,IF(Tim!BL68=Sheet6!$C$7,Sheet6!$C$7,IF(Tim!BL68=Sheet6!$C$8,Sheet6!$C$8,"")))))))</f>
        <v/>
      </c>
      <c r="AC66" s="53" t="str">
        <f>IF(Tim!BT68=Sheet6!$C$2,Sheet6!$C$2,IF(Tim!BT68=Sheet6!$C$3,Sheet6!$C$3,IF(Tim!BT68=Sheet6!$C$4,Sheet6!$C$4,IF(Tim!BT68=Sheet6!$C$5,Sheet6!$C$5,IF(Tim!BT68=Sheet6!$C$6,Sheet6!$C$6,IF(Tim!BT68=Sheet6!$C$7,Sheet6!$C$7,IF(Tim!BT68=Sheet6!$C$8,Sheet6!$C$8,"")))))))</f>
        <v/>
      </c>
      <c r="AD66" s="181" t="str">
        <f>IF(Tim!BU68=Sheet6!$C$2,Sheet6!$C$2,IF(Tim!BU68=Sheet6!$C$3,Sheet6!$C$3,IF(Tim!BU68=Sheet6!$C$4,Sheet6!$C$4,IF(Tim!BU68=Sheet6!$C$5,Sheet6!$C$5,IF(Tim!BU68=Sheet6!$C$6,Sheet6!$C$6,IF(Tim!BU68=Sheet6!$C$7,Sheet6!$C$7,IF(Tim!BU68=Sheet6!$C$8,Sheet6!$C$8,"")))))))</f>
        <v/>
      </c>
      <c r="AE66" s="53" t="str">
        <f>IF(Tim!CB68=Sheet6!$C$2,Sheet6!$C$2,IF(Tim!CB68=Sheet6!$C$3,Sheet6!$C$3,IF(Tim!CB68=Sheet6!$C$4,Sheet6!$C$4,IF(Tim!CB68=Sheet6!$C$5,Sheet6!$C$5,IF(Tim!CB68=Sheet6!$C$6,Sheet6!$C$6,IF(Tim!CB68=Sheet6!$C$7,Sheet6!$C$7,IF(Tim!CB68=Sheet6!$C$8,Sheet6!$C$8,"")))))))</f>
        <v/>
      </c>
      <c r="AF66" s="53" t="str">
        <f>IF(Tim!CD68=Sheet6!$C$2,Sheet6!$C$2,IF(Tim!CD68=Sheet6!$C$3,Sheet6!$C$3,IF(Tim!CD68=Sheet6!$C$4,Sheet6!$C$4,IF(Tim!CD68=Sheet6!$C$5,Sheet6!$C$5,IF(Tim!CD68=Sheet6!$C$6,Sheet6!$C$6,IF(Tim!CD68=Sheet6!$C$7,Sheet6!$C$7,IF(Tim!CD68=Sheet6!$C$8,Sheet6!$C$8,"")))))))</f>
        <v/>
      </c>
      <c r="AG66" s="53" t="str">
        <f>IF(Tim!CE68=Sheet6!$C$2,Sheet6!$C$2,IF(Tim!CE68=Sheet6!$C$3,Sheet6!$C$3,IF(Tim!CE68=Sheet6!$C$4,Sheet6!$C$4,IF(Tim!CE68=Sheet6!$C$5,Sheet6!$C$5,IF(Tim!CE68=Sheet6!$C$6,Sheet6!$C$6,IF(Tim!CE68=Sheet6!$C$7,Sheet6!$C$7,IF(Tim!CE68=Sheet6!$C$8,Sheet6!$C$8,"")))))))</f>
        <v/>
      </c>
      <c r="AH66" s="53" t="str">
        <f>IF(Tim!CF68=Sheet6!$C$2,Sheet6!$C$2,IF(Tim!CF68=Sheet6!$C$3,Sheet6!$C$3,IF(Tim!CF68=Sheet6!$C$4,Sheet6!$C$4,IF(Tim!CF68=Sheet6!$C$5,Sheet6!$C$5,IF(Tim!CF68=Sheet6!$C$6,Sheet6!$C$6,IF(Tim!CF68=Sheet6!$C$7,Sheet6!$C$7,IF(Tim!CF68=Sheet6!$C$8,Sheet6!$C$8,"")))))))</f>
        <v/>
      </c>
      <c r="AI66" s="53" t="str">
        <f>IF(Tim!CG68=Sheet6!$C$2,Sheet6!$C$2,IF(Tim!CG68=Sheet6!$C$3,Sheet6!$C$3,IF(Tim!CG68=Sheet6!$C$4,Sheet6!$C$4,IF(Tim!CG68=Sheet6!$C$5,Sheet6!$C$5,IF(Tim!CG68=Sheet6!$C$6,Sheet6!$C$6,IF(Tim!CG68=Sheet6!$C$7,Sheet6!$C$7,IF(Tim!CG68=Sheet6!$C$8,Sheet6!$C$8,"")))))))</f>
        <v/>
      </c>
      <c r="AJ66" s="53" t="str">
        <f>IF(Tim!CH68=Sheet6!$C$2,Sheet6!$C$2,IF(Tim!CH68=Sheet6!$C$3,Sheet6!$C$3,IF(Tim!CH68=Sheet6!$C$4,Sheet6!$C$4,IF(Tim!CH68=Sheet6!$C$5,Sheet6!$C$5,IF(Tim!CH68=Sheet6!$C$6,Sheet6!$C$6,IF(Tim!CH68=Sheet6!$C$7,Sheet6!$C$7,IF(Tim!CH68=Sheet6!$C$8,Sheet6!$C$8,"")))))))</f>
        <v/>
      </c>
      <c r="AK66" s="53" t="str">
        <f>IF(Tim!CL68=Sheet6!$C$2,Sheet6!$C$2,IF(Tim!CL68=Sheet6!$C$3,Sheet6!$C$3,IF(Tim!CL68=Sheet6!$C$4,Sheet6!$C$4,IF(Tim!CL68=Sheet6!$C$5,Sheet6!$C$5,IF(Tim!CL68=Sheet6!$C$6,Sheet6!$C$6,IF(Tim!CL68=Sheet6!$C$7,Sheet6!$C$7,IF(Tim!CL68=Sheet6!$C$8,Sheet6!$C$8,"")))))))</f>
        <v/>
      </c>
      <c r="AL66" s="54" t="str">
        <f>IF(Tim!CM68=Sheet6!$C$2,Sheet6!$C$2,IF(Tim!CM68=Sheet6!$C$3,Sheet6!$C$3,IF(Tim!CM68=Sheet6!$C$4,Sheet6!$C$4,IF(Tim!CM68=Sheet6!$C$5,Sheet6!$C$5,IF(Tim!CM68=Sheet6!$C$6,Sheet6!$C$6,IF(Tim!CM68=Sheet6!$C$7,Sheet6!$C$7,IF(Tim!CM68=Sheet6!$C$8,Sheet6!$C$8,"")))))))</f>
        <v/>
      </c>
      <c r="AM66" s="54" t="str">
        <f>IF(Tim!CN68=Sheet6!$C$2,Sheet6!$C$2,IF(Tim!CN68=Sheet6!$C$3,Sheet6!$C$3,IF(Tim!CN68=Sheet6!$C$4,Sheet6!$C$4,IF(Tim!CN68=Sheet6!$C$5,Sheet6!$C$5,IF(Tim!CN68=Sheet6!$C$6,Sheet6!$C$6,IF(Tim!CN68=Sheet6!$C$7,Sheet6!$C$7,IF(Tim!CN68=Sheet6!$C$8,Sheet6!$C$8,"")))))))</f>
        <v/>
      </c>
      <c r="AN66" s="54" t="str">
        <f>IF(Tim!CO68=Sheet6!$C$2,Sheet6!$C$2,IF(Tim!CO68=Sheet6!$C$3,Sheet6!$C$3,IF(Tim!CO68=Sheet6!$C$4,Sheet6!$C$4,IF(Tim!CO68=Sheet6!$C$5,Sheet6!$C$5,IF(Tim!CO68=Sheet6!$C$6,Sheet6!$C$6,IF(Tim!CO68=Sheet6!$C$7,Sheet6!$C$7,IF(Tim!CO68=Sheet6!$C$8,Sheet6!$C$8,"")))))))</f>
        <v/>
      </c>
      <c r="AO66" s="55" t="str">
        <f>IF(Tim!CP68=Sheet6!$C$2,Sheet6!$C$2,IF(Tim!CP68=Sheet6!$C$3,Sheet6!$C$3,IF(Tim!CP68=Sheet6!$C$4,Sheet6!$C$4,IF(Tim!CP68=Sheet6!$C$5,Sheet6!$C$5,IF(Tim!CP68=Sheet6!$C$6,Sheet6!$C$6,IF(Tim!CP68=Sheet6!$C$7,Sheet6!$C$7,IF(Tim!CP68=Sheet6!$C$8,Sheet6!$C$8,"")))))))</f>
        <v/>
      </c>
      <c r="AP66" s="53" t="str">
        <f>IF(Tim!CQ68=Sheet6!$C$2,Sheet6!$C$2,IF(Tim!CQ68=Sheet6!$C$3,Sheet6!$C$3,IF(Tim!CQ68=Sheet6!$C$4,Sheet6!$C$4,IF(Tim!CQ68=Sheet6!$C$5,Sheet6!$C$5,IF(Tim!CQ68=Sheet6!$C$6,Sheet6!$C$6,IF(Tim!CQ68=Sheet6!$C$7,Sheet6!$C$7,IF(Tim!CQ68=Sheet6!$C$8,Sheet6!$C$8,"")))))))</f>
        <v/>
      </c>
      <c r="AQ66" s="57" t="str">
        <f>IF(Tim!CR68=Sheet6!$C$2,Sheet6!$C$2,IF(Tim!CR68=Sheet6!$C$3,Sheet6!$C$3,IF(Tim!CR68=Sheet6!$C$4,Sheet6!$C$4,IF(Tim!CR68=Sheet6!$C$5,Sheet6!$C$5,IF(Tim!CR68=Sheet6!$C$6,Sheet6!$C$6,IF(Tim!CR68=Sheet6!$C$7,Sheet6!$C$7,IF(Tim!CR68=Sheet6!$C$8,Sheet6!$C$8,"")))))))</f>
        <v/>
      </c>
      <c r="AR66" s="57" t="str">
        <f>IF(Tim!CV68=Sheet6!$C$2,Sheet6!$C$2,IF(Tim!CV68=Sheet6!$C$3,Sheet6!$C$3,IF(Tim!CV68=Sheet6!$C$4,Sheet6!$C$4,IF(Tim!CV68=Sheet6!$C$5,Sheet6!$C$5,IF(Tim!CV68=Sheet6!$C$6,Sheet6!$C$6,IF(Tim!CV68=Sheet6!$C$7,Sheet6!$C$7,IF(Tim!CV68=Sheet6!$C$8,Sheet6!$C$8,"")))))))</f>
        <v/>
      </c>
      <c r="AS66" s="57" t="str">
        <f>IF(Tim!CW68=Sheet6!$C$2,Sheet6!$C$2,IF(Tim!CW68=Sheet6!$C$3,Sheet6!$C$3,IF(Tim!CW68=Sheet6!$C$4,Sheet6!$C$4,IF(Tim!CW68=Sheet6!$C$5,Sheet6!$C$5,IF(Tim!CW68=Sheet6!$C$6,Sheet6!$C$6,IF(Tim!CW68=Sheet6!$C$7,Sheet6!$C$7,IF(Tim!CW68=Sheet6!$C$8,Sheet6!$C$8,"")))))))</f>
        <v/>
      </c>
      <c r="AT66" s="57" t="str">
        <f>IF(Tim!DA68=Sheet6!$C$2,Sheet6!$C$2,IF(Tim!DA68=Sheet6!$C$3,Sheet6!$C$3,IF(Tim!DA68=Sheet6!$C$4,Sheet6!$C$4,IF(Tim!DA68=Sheet6!$C$5,Sheet6!$C$5,IF(Tim!DA68=Sheet6!$C$6,Sheet6!$C$6,IF(Tim!DA68=Sheet6!$C$7,Sheet6!$C$7,IF(Tim!DA68=Sheet6!$C$8,Sheet6!$C$8,"")))))))</f>
        <v/>
      </c>
      <c r="AU66" s="53" t="str">
        <f>IF(Tim!DO68=Sheet6!$C$2,Sheet6!$C$2,IF(Tim!DO68=Sheet6!$C$3,Sheet6!$C$3,IF(Tim!DO68=Sheet6!$C$4,Sheet6!$C$4,IF(Tim!DO68=Sheet6!$C$5,Sheet6!$C$5,IF(Tim!DO68=Sheet6!$C$6,Sheet6!$C$6,IF(Tim!DO68=Sheet6!$C$7,Sheet6!$C$7,IF(Tim!DO68=Sheet6!$C$8,Sheet6!$C$8,"")))))))</f>
        <v/>
      </c>
      <c r="AV66" s="53" t="str">
        <f>IF(Tim!DP68=Sheet6!$C$2,Sheet6!$C$2,IF(Tim!DP68=Sheet6!$C$3,Sheet6!$C$3,IF(Tim!DP68=Sheet6!$C$4,Sheet6!$C$4,IF(Tim!DP68=Sheet6!$C$5,Sheet6!$C$5,IF(Tim!DP68=Sheet6!$C$6,Sheet6!$C$6,IF(Tim!DP68=Sheet6!$C$7,Sheet6!$C$7,IF(Tim!DP68=Sheet6!$C$8,Sheet6!$C$8,"")))))))</f>
        <v/>
      </c>
      <c r="AW66" s="53" t="str">
        <f>IF(Tim!DX68=Sheet6!$C$2,Sheet6!$C$2,IF(Tim!DX68=Sheet6!$C$3,Sheet6!$C$3,IF(Tim!DX68=Sheet6!$C$4,Sheet6!$C$4,IF(Tim!DX68=Sheet6!$C$5,Sheet6!$C$5,IF(Tim!DX68=Sheet6!$C$6,Sheet6!$C$6,IF(Tim!DX68=Sheet6!$C$7,Sheet6!$C$7,IF(Tim!DX68=Sheet6!$C$8,Sheet6!$C$8,"")))))))</f>
        <v/>
      </c>
      <c r="AX66" s="53" t="str">
        <f>IF(Tim!DY68=Sheet6!$C$2,Sheet6!$C$2,IF(Tim!DY68=Sheet6!$C$3,Sheet6!$C$3,IF(Tim!DY68=Sheet6!$C$4,Sheet6!$C$4,IF(Tim!DY68=Sheet6!$C$5,Sheet6!$C$5,IF(Tim!DY68=Sheet6!$C$6,Sheet6!$C$6,IF(Tim!DY68=Sheet6!$C$7,Sheet6!$C$7,IF(Tim!DY68=Sheet6!$C$8,Sheet6!$C$8,"")))))))</f>
        <v/>
      </c>
      <c r="AY66" s="53" t="str">
        <f>IF(Tim!DZ68=Sheet6!$C$2,Sheet6!$C$2,IF(Tim!DZ68=Sheet6!$C$3,Sheet6!$C$3,IF(Tim!DZ68=Sheet6!$C$4,Sheet6!$C$4,IF(Tim!DZ68=Sheet6!$C$5,Sheet6!$C$5,IF(Tim!DZ68=Sheet6!$C$6,Sheet6!$C$6,IF(Tim!DZ68=Sheet6!$C$7,Sheet6!$C$7,IF(Tim!DZ68=Sheet6!$C$8,Sheet6!$C$8,"")))))))</f>
        <v/>
      </c>
      <c r="AZ66" s="53" t="str">
        <f>IF(Tim!EA68=Sheet6!$C$2,Sheet6!$C$2,IF(Tim!EA68=Sheet6!$C$3,Sheet6!$C$3,IF(Tim!EA68=Sheet6!$C$4,Sheet6!$C$4,IF(Tim!EA68=Sheet6!$C$5,Sheet6!$C$5,IF(Tim!EA68=Sheet6!$C$6,Sheet6!$C$6,IF(Tim!EA68=Sheet6!$C$7,Sheet6!$C$7,IF(Tim!EA68=Sheet6!$C$8,Sheet6!$C$8,"")))))))</f>
        <v/>
      </c>
      <c r="BA66" s="53" t="str">
        <f>IF(Tim!EB68=Sheet6!$C$2,Sheet6!$C$2,IF(Tim!EB68=Sheet6!$C$3,Sheet6!$C$3,IF(Tim!EB68=Sheet6!$C$4,Sheet6!$C$4,IF(Tim!EB68=Sheet6!$C$5,Sheet6!$C$5,IF(Tim!EB68=Sheet6!$C$6,Sheet6!$C$6,IF(Tim!EB68=Sheet6!$C$7,Sheet6!$C$7,IF(Tim!EB68=Sheet6!$C$8,Sheet6!$C$8,"")))))))</f>
        <v/>
      </c>
      <c r="BB66" s="53" t="str">
        <f>IF(Tim!EC68=Sheet6!$C$2,Sheet6!$C$2,IF(Tim!EC68=Sheet6!$C$3,Sheet6!$C$3,IF(Tim!EC68=Sheet6!$C$4,Sheet6!$C$4,IF(Tim!EC68=Sheet6!$C$5,Sheet6!$C$5,IF(Tim!EC68=Sheet6!$C$6,Sheet6!$C$6,IF(Tim!EC68=Sheet6!$C$7,Sheet6!$C$7,IF(Tim!EC68=Sheet6!$C$8,Sheet6!$C$8,"")))))))</f>
        <v/>
      </c>
      <c r="BC66" s="53" t="str">
        <f>IF(Tim!EG68=Sheet6!$C$2,Sheet6!$C$2,IF(Tim!EG68=Sheet6!$C$3,Sheet6!$C$3,IF(Tim!EG68=Sheet6!$C$4,Sheet6!$C$4,IF(Tim!EG68=Sheet6!$C$5,Sheet6!$C$5,IF(Tim!EG68=Sheet6!$C$6,Sheet6!$C$6,IF(Tim!EG68=Sheet6!$C$7,Sheet6!$C$7,IF(Tim!EG68=Sheet6!$C$8,Sheet6!$C$8,"")))))))</f>
        <v/>
      </c>
      <c r="BD66" s="54" t="str">
        <f>IF(Tim!EH68=Sheet6!$C$2,Sheet6!$C$2,IF(Tim!EH68=Sheet6!$C$3,Sheet6!$C$3,IF(Tim!EH68=Sheet6!$C$4,Sheet6!$C$4,IF(Tim!EH68=Sheet6!$C$5,Sheet6!$C$5,IF(Tim!EH68=Sheet6!$C$6,Sheet6!$C$6,IF(Tim!EH68=Sheet6!$C$7,Sheet6!$C$7,IF(Tim!EH68=Sheet6!$C$8,Sheet6!$C$8,"")))))))</f>
        <v/>
      </c>
      <c r="BE66" s="54" t="str">
        <f>IF(Tim!EI68=Sheet6!$C$2,Sheet6!$C$2,IF(Tim!EI68=Sheet6!$C$3,Sheet6!$C$3,IF(Tim!EI68=Sheet6!$C$4,Sheet6!$C$4,IF(Tim!EI68=Sheet6!$C$5,Sheet6!$C$5,IF(Tim!EI68=Sheet6!$C$6,Sheet6!$C$6,IF(Tim!EI68=Sheet6!$C$7,Sheet6!$C$7,IF(Tim!EI68=Sheet6!$C$8,Sheet6!$C$8,"")))))))</f>
        <v/>
      </c>
      <c r="BF66" s="54" t="str">
        <f>IF(Tim!EJ68=Sheet6!$C$2,Sheet6!$C$2,IF(Tim!EJ68=Sheet6!$C$3,Sheet6!$C$3,IF(Tim!EJ68=Sheet6!$C$4,Sheet6!$C$4,IF(Tim!EJ68=Sheet6!$C$5,Sheet6!$C$5,IF(Tim!EJ68=Sheet6!$C$6,Sheet6!$C$6,IF(Tim!EJ68=Sheet6!$C$7,Sheet6!$C$7,IF(Tim!EJ68=Sheet6!$C$8,Sheet6!$C$8,"")))))))</f>
        <v/>
      </c>
      <c r="BG66" s="55" t="str">
        <f>IF(Tim!EK68=Sheet6!$C$2,Sheet6!$C$2,IF(Tim!EK68=Sheet6!$C$3,Sheet6!$C$3,IF(Tim!EK68=Sheet6!$C$4,Sheet6!$C$4,IF(Tim!EK68=Sheet6!$C$5,Sheet6!$C$5,IF(Tim!EK68=Sheet6!$C$6,Sheet6!$C$6,IF(Tim!EK68=Sheet6!$C$7,Sheet6!$C$7,IF(Tim!EK68=Sheet6!$C$8,Sheet6!$C$8,"")))))))</f>
        <v/>
      </c>
      <c r="BH66" s="53" t="str">
        <f>IF(Tim!EL68=Sheet6!$C$2,Sheet6!$C$2,IF(Tim!EL68=Sheet6!$C$3,Sheet6!$C$3,IF(Tim!EL68=Sheet6!$C$4,Sheet6!$C$4,IF(Tim!EL68=Sheet6!$C$5,Sheet6!$C$5,IF(Tim!EL68=Sheet6!$C$6,Sheet6!$C$6,IF(Tim!EL68=Sheet6!$C$7,Sheet6!$C$7,IF(Tim!EL68=Sheet6!$C$8,Sheet6!$C$8,"")))))))</f>
        <v/>
      </c>
      <c r="BI66" s="57" t="str">
        <f>IF(Tim!EM68=Sheet6!$C$2,Sheet6!$C$2,IF(Tim!EM68=Sheet6!$C$3,Sheet6!$C$3,IF(Tim!EM68=Sheet6!$C$4,Sheet6!$C$4,IF(Tim!EM68=Sheet6!$C$5,Sheet6!$C$5,IF(Tim!EM68=Sheet6!$C$6,Sheet6!$C$6,IF(Tim!EM68=Sheet6!$C$7,Sheet6!$C$7,IF(Tim!EM68=Sheet6!$C$8,Sheet6!$C$8,"")))))))</f>
        <v/>
      </c>
      <c r="BJ66" s="57" t="str">
        <f>IF(Tim!EQ68=Sheet6!$C$2,Sheet6!$C$2,IF(Tim!EQ68=Sheet6!$C$3,Sheet6!$C$3,IF(Tim!EQ68=Sheet6!$C$4,Sheet6!$C$4,IF(Tim!EQ68=Sheet6!$C$5,Sheet6!$C$5,IF(Tim!EQ68=Sheet6!$C$6,Sheet6!$C$6,IF(Tim!EQ68=Sheet6!$C$7,Sheet6!$C$7,IF(Tim!EQ68=Sheet6!$C$8,Sheet6!$C$8,"")))))))</f>
        <v/>
      </c>
      <c r="BK66" s="57" t="str">
        <f>IF(Tim!ER68=Sheet6!$C$2,Sheet6!$C$2,IF(Tim!ER68=Sheet6!$C$3,Sheet6!$C$3,IF(Tim!ER68=Sheet6!$C$4,Sheet6!$C$4,IF(Tim!ER68=Sheet6!$C$5,Sheet6!$C$5,IF(Tim!ER68=Sheet6!$C$6,Sheet6!$C$6,IF(Tim!ER68=Sheet6!$C$7,Sheet6!$C$7,IF(Tim!ER68=Sheet6!$C$8,Sheet6!$C$8,"")))))))</f>
        <v/>
      </c>
      <c r="BL66" s="57" t="str">
        <f>IF(Tim!EZ68=Sheet6!$C$2,Sheet6!$C$2,IF(Tim!EZ68=Sheet6!$C$3,Sheet6!$C$3,IF(Tim!EZ68=Sheet6!$C$4,Sheet6!$C$4,IF(Tim!EZ68=Sheet6!$C$5,Sheet6!$C$5,IF(Tim!EZ68=Sheet6!$C$6,Sheet6!$C$6,IF(Tim!EZ68=Sheet6!$C$7,Sheet6!$C$7,IF(Tim!EZ68=Sheet6!$C$8,Sheet6!$C$8,"")))))))</f>
        <v/>
      </c>
      <c r="BM66" s="53" t="str">
        <f>IF(Tim!FG68=Sheet6!$C$2,Sheet6!$C$2,IF(Tim!FG68=Sheet6!$C$3,Sheet6!$C$3,IF(Tim!FG68=Sheet6!$C$4,Sheet6!$C$4,IF(Tim!FG68=Sheet6!$C$5,Sheet6!$C$5,IF(Tim!FG68=Sheet6!$C$6,Sheet6!$C$6,IF(Tim!FG68=Sheet6!$C$7,Sheet6!$C$7,IF(Tim!FG68=Sheet6!$C$8,Sheet6!$C$8,"")))))))</f>
        <v/>
      </c>
      <c r="BN66" s="181" t="str">
        <f>IF(Tim!FH68=Sheet6!$C$2,Sheet6!$C$2,IF(Tim!FH68=Sheet6!$C$3,Sheet6!$C$3,IF(Tim!FH68=Sheet6!$C$4,Sheet6!$C$4,IF(Tim!FH68=Sheet6!$C$5,Sheet6!$C$5,IF(Tim!FH68=Sheet6!$C$6,Sheet6!$C$6,IF(Tim!FH68=Sheet6!$C$7,Sheet6!$C$7,IF(Tim!FH68=Sheet6!$C$8,Sheet6!$C$8,"")))))))</f>
        <v/>
      </c>
      <c r="BO66" s="53" t="str">
        <f>IF(Tim!FP68=Sheet6!$C$2,Sheet6!$C$2,IF(Tim!FP68=Sheet6!$C$3,Sheet6!$C$3,IF(Tim!FP68=Sheet6!$C$4,Sheet6!$C$4,IF(Tim!FP68=Sheet6!$C$5,Sheet6!$C$5,IF(Tim!FP68=Sheet6!$C$6,Sheet6!$C$6,IF(Tim!FP68=Sheet6!$C$7,Sheet6!$C$7,IF(Tim!FP68=Sheet6!$C$8,Sheet6!$C$8,"")))))))</f>
        <v/>
      </c>
      <c r="BP66" s="53" t="str">
        <f>IF(Tim!FQ68=Sheet6!$C$2,Sheet6!$C$2,IF(Tim!FQ68=Sheet6!$C$3,Sheet6!$C$3,IF(Tim!FQ68=Sheet6!$C$4,Sheet6!$C$4,IF(Tim!FQ68=Sheet6!$C$5,Sheet6!$C$5,IF(Tim!FQ68=Sheet6!$C$6,Sheet6!$C$6,IF(Tim!FQ68=Sheet6!$C$7,Sheet6!$C$7,IF(Tim!FQ68=Sheet6!$C$8,Sheet6!$C$8,"")))))))</f>
        <v/>
      </c>
      <c r="BQ66" s="53" t="str">
        <f>IF(Tim!FR68=Sheet6!$C$2,Sheet6!$C$2,IF(Tim!FR68=Sheet6!$C$3,Sheet6!$C$3,IF(Tim!FR68=Sheet6!$C$4,Sheet6!$C$4,IF(Tim!FR68=Sheet6!$C$5,Sheet6!$C$5,IF(Tim!FR68=Sheet6!$C$6,Sheet6!$C$6,IF(Tim!FR68=Sheet6!$C$7,Sheet6!$C$7,IF(Tim!FR68=Sheet6!$C$8,Sheet6!$C$8,"")))))))</f>
        <v/>
      </c>
      <c r="BR66" s="53" t="str">
        <f>IF(Tim!FS68=Sheet6!$C$2,Sheet6!$C$2,IF(Tim!FS68=Sheet6!$C$3,Sheet6!$C$3,IF(Tim!FS68=Sheet6!$C$4,Sheet6!$C$4,IF(Tim!FS68=Sheet6!$C$5,Sheet6!$C$5,IF(Tim!FS68=Sheet6!$C$6,Sheet6!$C$6,IF(Tim!FS68=Sheet6!$C$7,Sheet6!$C$7,IF(Tim!FS68=Sheet6!$C$8,Sheet6!$C$8,"")))))))</f>
        <v/>
      </c>
      <c r="BS66" s="53" t="str">
        <f>IF(Tim!FT68=Sheet6!$C$2,Sheet6!$C$2,IF(Tim!FT68=Sheet6!$C$3,Sheet6!$C$3,IF(Tim!FT68=Sheet6!$C$4,Sheet6!$C$4,IF(Tim!FT68=Sheet6!$C$5,Sheet6!$C$5,IF(Tim!FT68=Sheet6!$C$6,Sheet6!$C$6,IF(Tim!FT68=Sheet6!$C$7,Sheet6!$C$7,IF(Tim!FT68=Sheet6!$C$8,Sheet6!$C$8,"")))))))</f>
        <v/>
      </c>
      <c r="BT66" s="53" t="str">
        <f>IF(Tim!FU68=Sheet6!$C$2,Sheet6!$C$2,IF(Tim!FU68=Sheet6!$C$3,Sheet6!$C$3,IF(Tim!FU68=Sheet6!$C$4,Sheet6!$C$4,IF(Tim!FU68=Sheet6!$C$5,Sheet6!$C$5,IF(Tim!FU68=Sheet6!$C$6,Sheet6!$C$6,IF(Tim!FU68=Sheet6!$C$7,Sheet6!$C$7,IF(Tim!FU68=Sheet6!$C$8,Sheet6!$C$8,"")))))))</f>
        <v/>
      </c>
      <c r="BU66" s="53" t="str">
        <f>IF(Tim!FY68=Sheet6!$C$2,Sheet6!$C$2,IF(Tim!FY68=Sheet6!$C$3,Sheet6!$C$3,IF(Tim!FY68=Sheet6!$C$4,Sheet6!$C$4,IF(Tim!FY68=Sheet6!$C$5,Sheet6!$C$5,IF(Tim!FY68=Sheet6!$C$6,Sheet6!$C$6,IF(Tim!FY68=Sheet6!$C$7,Sheet6!$C$7,IF(Tim!FY68=Sheet6!$C$8,Sheet6!$C$8,"")))))))</f>
        <v/>
      </c>
      <c r="BV66" s="54" t="str">
        <f>IF(Tim!FZ68=Sheet6!$C$2,Sheet6!$C$2,IF(Tim!FZ68=Sheet6!$C$3,Sheet6!$C$3,IF(Tim!FZ68=Sheet6!$C$4,Sheet6!$C$4,IF(Tim!FZ68=Sheet6!$C$5,Sheet6!$C$5,IF(Tim!FZ68=Sheet6!$C$6,Sheet6!$C$6,IF(Tim!FZ68=Sheet6!$C$7,Sheet6!$C$7,IF(Tim!FZ68=Sheet6!$C$8,Sheet6!$C$8,"")))))))</f>
        <v/>
      </c>
      <c r="BW66" s="54" t="str">
        <f>IF(Tim!GA68=Sheet6!$C$2,Sheet6!$C$2,IF(Tim!GA68=Sheet6!$C$3,Sheet6!$C$3,IF(Tim!GA68=Sheet6!$C$4,Sheet6!$C$4,IF(Tim!GA68=Sheet6!$C$5,Sheet6!$C$5,IF(Tim!GA68=Sheet6!$C$6,Sheet6!$C$6,IF(Tim!GA68=Sheet6!$C$7,Sheet6!$C$7,IF(Tim!GA68=Sheet6!$C$8,Sheet6!$C$8,"")))))))</f>
        <v/>
      </c>
      <c r="BX66" s="54" t="str">
        <f>IF(Tim!GB68=Sheet6!$C$2,Sheet6!$C$2,IF(Tim!GB68=Sheet6!$C$3,Sheet6!$C$3,IF(Tim!GB68=Sheet6!$C$4,Sheet6!$C$4,IF(Tim!GB68=Sheet6!$C$5,Sheet6!$C$5,IF(Tim!GB68=Sheet6!$C$6,Sheet6!$C$6,IF(Tim!GB68=Sheet6!$C$7,Sheet6!$C$7,IF(Tim!GB68=Sheet6!$C$8,Sheet6!$C$8,"")))))))</f>
        <v/>
      </c>
      <c r="BY66" s="55" t="str">
        <f>IF(Tim!GC68=Sheet6!$C$2,Sheet6!$C$2,IF(Tim!GC68=Sheet6!$C$3,Sheet6!$C$3,IF(Tim!GC68=Sheet6!$C$4,Sheet6!$C$4,IF(Tim!GC68=Sheet6!$C$5,Sheet6!$C$5,IF(Tim!GC68=Sheet6!$C$6,Sheet6!$C$6,IF(Tim!GC68=Sheet6!$C$7,Sheet6!$C$7,IF(Tim!GC68=Sheet6!$C$8,Sheet6!$C$8,"")))))))</f>
        <v/>
      </c>
      <c r="BZ66" s="53" t="str">
        <f>IF(Tim!GD68=Sheet6!$C$2,Sheet6!$C$2,IF(Tim!GD68=Sheet6!$C$3,Sheet6!$C$3,IF(Tim!GD68=Sheet6!$C$4,Sheet6!$C$4,IF(Tim!GD68=Sheet6!$C$5,Sheet6!$C$5,IF(Tim!GD68=Sheet6!$C$6,Sheet6!$C$6,IF(Tim!GD68=Sheet6!$C$7,Sheet6!$C$7,IF(Tim!GD68=Sheet6!$C$8,Sheet6!$C$8,"")))))))</f>
        <v/>
      </c>
      <c r="CA66" s="57" t="str">
        <f>IF(Tim!GE68=Sheet6!$C$2,Sheet6!$C$2,IF(Tim!GE68=Sheet6!$C$3,Sheet6!$C$3,IF(Tim!GE68=Sheet6!$C$4,Sheet6!$C$4,IF(Tim!GE68=Sheet6!$C$5,Sheet6!$C$5,IF(Tim!GE68=Sheet6!$C$6,Sheet6!$C$6,IF(Tim!GE68=Sheet6!$C$7,Sheet6!$C$7,IF(Tim!GE68=Sheet6!$C$8,Sheet6!$C$8,"")))))))</f>
        <v/>
      </c>
      <c r="CB66" s="57" t="str">
        <f>IF(Tim!GI68=Sheet6!$C$2,Sheet6!$C$2,IF(Tim!GI68=Sheet6!$C$3,Sheet6!$C$3,IF(Tim!GI68=Sheet6!$C$4,Sheet6!$C$4,IF(Tim!GI68=Sheet6!$C$5,Sheet6!$C$5,IF(Tim!GI68=Sheet6!$C$6,Sheet6!$C$6,IF(Tim!GI68=Sheet6!$C$7,Sheet6!$C$7,IF(Tim!GI68=Sheet6!$C$8,Sheet6!$C$8,"")))))))</f>
        <v/>
      </c>
      <c r="CC66" s="57" t="str">
        <f>IF(Tim!GJ68=Sheet6!$C$2,Sheet6!$C$2,IF(Tim!GJ68=Sheet6!$C$3,Sheet6!$C$3,IF(Tim!GJ68=Sheet6!$C$4,Sheet6!$C$4,IF(Tim!GJ68=Sheet6!$C$5,Sheet6!$C$5,IF(Tim!GJ68=Sheet6!$C$6,Sheet6!$C$6,IF(Tim!GJ68=Sheet6!$C$7,Sheet6!$C$7,IF(Tim!GJ68=Sheet6!$C$8,Sheet6!$C$8,"")))))))</f>
        <v/>
      </c>
      <c r="CD66" s="57" t="str">
        <f>IF(Tim!GN68=Sheet6!$C$2,Sheet6!$C$2,IF(Tim!GN68=Sheet6!$C$3,Sheet6!$C$3,IF(Tim!GN68=Sheet6!$C$4,Sheet6!$C$4,IF(Tim!GN68=Sheet6!$C$5,Sheet6!$C$5,IF(Tim!GN68=Sheet6!$C$6,Sheet6!$C$6,IF(Tim!GN68=Sheet6!$C$7,Sheet6!$C$7,IF(Tim!GN68=Sheet6!$C$8,Sheet6!$C$8,"")))))))</f>
        <v/>
      </c>
      <c r="CE66" s="53" t="str">
        <f>IF(Tim!GY68=Sheet6!$C$2,Sheet6!$C$2,IF(Tim!GY68=Sheet6!$C$3,Sheet6!$C$3,IF(Tim!GY68=Sheet6!$C$4,Sheet6!$C$4,IF(Tim!GY68=Sheet6!$C$5,Sheet6!$C$5,IF(Tim!GY68=Sheet6!$C$6,Sheet6!$C$6,IF(Tim!GY68=Sheet6!$C$7,Sheet6!$C$7,IF(Tim!GY68=Sheet6!$C$8,Sheet6!$C$8,"")))))))</f>
        <v/>
      </c>
      <c r="CF66" s="53" t="str">
        <f>IF(Tim!GZ68=Sheet6!$C$2,Sheet6!$C$2,IF(Tim!GZ68=Sheet6!$C$3,Sheet6!$C$3,IF(Tim!GZ68=Sheet6!$C$4,Sheet6!$C$4,IF(Tim!GZ68=Sheet6!$C$5,Sheet6!$C$5,IF(Tim!GZ68=Sheet6!$C$6,Sheet6!$C$6,IF(Tim!GZ68=Sheet6!$C$7,Sheet6!$C$7,IF(Tim!GZ68=Sheet6!$C$8,Sheet6!$C$8,"")))))))</f>
        <v/>
      </c>
      <c r="CG66" s="53" t="str">
        <f>IF(Tim!HH68=Sheet6!$C$2,Sheet6!$C$2,IF(Tim!HH68=Sheet6!$C$3,Sheet6!$C$3,IF(Tim!HH68=Sheet6!$C$4,Sheet6!$C$4,IF(Tim!HH68=Sheet6!$C$5,Sheet6!$C$5,IF(Tim!HH68=Sheet6!$C$6,Sheet6!$C$6,IF(Tim!HH68=Sheet6!$C$7,Sheet6!$C$7,IF(Tim!HH68=Sheet6!$C$8,Sheet6!$C$8,"")))))))</f>
        <v/>
      </c>
      <c r="CH66" s="53" t="str">
        <f>IF(Tim!HI68=Sheet6!$C$2,Sheet6!$C$2,IF(Tim!HI68=Sheet6!$C$3,Sheet6!$C$3,IF(Tim!HI68=Sheet6!$C$4,Sheet6!$C$4,IF(Tim!HI68=Sheet6!$C$5,Sheet6!$C$5,IF(Tim!HI68=Sheet6!$C$6,Sheet6!$C$6,IF(Tim!HI68=Sheet6!$C$7,Sheet6!$C$7,IF(Tim!HI68=Sheet6!$C$8,Sheet6!$C$8,"")))))))</f>
        <v/>
      </c>
      <c r="CI66" s="53" t="str">
        <f>IF(Tim!HJ68=Sheet6!$C$2,Sheet6!$C$2,IF(Tim!HJ68=Sheet6!$C$3,Sheet6!$C$3,IF(Tim!HJ68=Sheet6!$C$4,Sheet6!$C$4,IF(Tim!HJ68=Sheet6!$C$5,Sheet6!$C$5,IF(Tim!HJ68=Sheet6!$C$6,Sheet6!$C$6,IF(Tim!HJ68=Sheet6!$C$7,Sheet6!$C$7,IF(Tim!HJ68=Sheet6!$C$8,Sheet6!$C$8,"")))))))</f>
        <v/>
      </c>
      <c r="CJ66" s="53" t="str">
        <f>IF(Tim!HK68=Sheet6!$C$2,Sheet6!$C$2,IF(Tim!HK68=Sheet6!$C$3,Sheet6!$C$3,IF(Tim!HK68=Sheet6!$C$4,Sheet6!$C$4,IF(Tim!HK68=Sheet6!$C$5,Sheet6!$C$5,IF(Tim!HK68=Sheet6!$C$6,Sheet6!$C$6,IF(Tim!HK68=Sheet6!$C$7,Sheet6!$C$7,IF(Tim!HK68=Sheet6!$C$8,Sheet6!$C$8,"")))))))</f>
        <v/>
      </c>
      <c r="CK66" s="53" t="str">
        <f>IF(Tim!HL68=Sheet6!$C$2,Sheet6!$C$2,IF(Tim!HL68=Sheet6!$C$3,Sheet6!$C$3,IF(Tim!HL68=Sheet6!$C$4,Sheet6!$C$4,IF(Tim!HL68=Sheet6!$C$5,Sheet6!$C$5,IF(Tim!HL68=Sheet6!$C$6,Sheet6!$C$6,IF(Tim!HL68=Sheet6!$C$7,Sheet6!$C$7,IF(Tim!HL68=Sheet6!$C$8,Sheet6!$C$8,"")))))))</f>
        <v/>
      </c>
      <c r="CL66" s="53" t="str">
        <f>IF(Tim!HM68=Sheet6!$C$2,Sheet6!$C$2,IF(Tim!HM68=Sheet6!$C$3,Sheet6!$C$3,IF(Tim!HM68=Sheet6!$C$4,Sheet6!$C$4,IF(Tim!HM68=Sheet6!$C$5,Sheet6!$C$5,IF(Tim!HM68=Sheet6!$C$6,Sheet6!$C$6,IF(Tim!HM68=Sheet6!$C$7,Sheet6!$C$7,IF(Tim!HM68=Sheet6!$C$8,Sheet6!$C$8,"")))))))</f>
        <v/>
      </c>
      <c r="CM66" s="53" t="str">
        <f>IF(Tim!HQ68=Sheet6!$C$2,Sheet6!$C$2,IF(Tim!HQ68=Sheet6!$C$3,Sheet6!$C$3,IF(Tim!HQ68=Sheet6!$C$4,Sheet6!$C$4,IF(Tim!HQ68=Sheet6!$C$5,Sheet6!$C$5,IF(Tim!HQ68=Sheet6!$C$6,Sheet6!$C$6,IF(Tim!HQ68=Sheet6!$C$7,Sheet6!$C$7,IF(Tim!HQ68=Sheet6!$C$8,Sheet6!$C$8,"")))))))</f>
        <v/>
      </c>
      <c r="CN66" s="54" t="str">
        <f>IF(Tim!HR68=Sheet6!$C$2,Sheet6!$C$2,IF(Tim!HR68=Sheet6!$C$3,Sheet6!$C$3,IF(Tim!HR68=Sheet6!$C$4,Sheet6!$C$4,IF(Tim!HR68=Sheet6!$C$5,Sheet6!$C$5,IF(Tim!HR68=Sheet6!$C$6,Sheet6!$C$6,IF(Tim!HR68=Sheet6!$C$7,Sheet6!$C$7,IF(Tim!HR68=Sheet6!$C$8,Sheet6!$C$8,"")))))))</f>
        <v/>
      </c>
      <c r="CO66" s="54" t="str">
        <f>IF(Tim!HS68=Sheet6!$C$2,Sheet6!$C$2,IF(Tim!HS68=Sheet6!$C$3,Sheet6!$C$3,IF(Tim!HS68=Sheet6!$C$4,Sheet6!$C$4,IF(Tim!HS68=Sheet6!$C$5,Sheet6!$C$5,IF(Tim!HS68=Sheet6!$C$6,Sheet6!$C$6,IF(Tim!HS68=Sheet6!$C$7,Sheet6!$C$7,IF(Tim!HS68=Sheet6!$C$8,Sheet6!$C$8,"")))))))</f>
        <v/>
      </c>
      <c r="CP66" s="54" t="str">
        <f>IF(Tim!HT68=Sheet6!$C$2,Sheet6!$C$2,IF(Tim!HT68=Sheet6!$C$3,Sheet6!$C$3,IF(Tim!HT68=Sheet6!$C$4,Sheet6!$C$4,IF(Tim!HT68=Sheet6!$C$5,Sheet6!$C$5,IF(Tim!HT68=Sheet6!$C$6,Sheet6!$C$6,IF(Tim!HT68=Sheet6!$C$7,Sheet6!$C$7,IF(Tim!HT68=Sheet6!$C$8,Sheet6!$C$8,"")))))))</f>
        <v/>
      </c>
      <c r="CQ66" s="55" t="str">
        <f>IF(Tim!HU68=Sheet6!$C$2,Sheet6!$C$2,IF(Tim!HU68=Sheet6!$C$3,Sheet6!$C$3,IF(Tim!HU68=Sheet6!$C$4,Sheet6!$C$4,IF(Tim!HU68=Sheet6!$C$5,Sheet6!$C$5,IF(Tim!HU68=Sheet6!$C$6,Sheet6!$C$6,IF(Tim!HU68=Sheet6!$C$7,Sheet6!$C$7,IF(Tim!HU68=Sheet6!$C$8,Sheet6!$C$8,"")))))))</f>
        <v/>
      </c>
      <c r="CR66" s="469"/>
      <c r="CS66" s="366"/>
      <c r="CT66" s="366"/>
      <c r="CU66" s="366"/>
      <c r="CV66" s="366"/>
      <c r="CW66" s="366"/>
      <c r="CX66" s="366"/>
      <c r="CY66" s="366"/>
      <c r="CZ66" s="366"/>
      <c r="DA66" s="366"/>
      <c r="DB66" s="366"/>
      <c r="DC66" s="366"/>
      <c r="DD66" s="366"/>
      <c r="DE66" s="366"/>
      <c r="DF66" s="366"/>
      <c r="DG66" s="428"/>
      <c r="DH66" s="422"/>
      <c r="DI66" s="423"/>
      <c r="DJ66" s="423"/>
      <c r="DK66" s="423"/>
      <c r="DL66" s="423"/>
      <c r="DM66" s="423"/>
      <c r="DN66" s="423"/>
      <c r="DO66" s="423"/>
      <c r="DP66" s="423"/>
      <c r="DQ66" s="423"/>
      <c r="DR66" s="423"/>
      <c r="DS66" s="423"/>
      <c r="DT66" s="423"/>
      <c r="DU66" s="423"/>
      <c r="DV66" s="423"/>
      <c r="DW66" s="424"/>
      <c r="DX66" s="52">
        <v>0.92708333333333104</v>
      </c>
    </row>
    <row r="67" spans="2:128" ht="10.5" customHeight="1">
      <c r="B67" s="51">
        <v>0.25</v>
      </c>
      <c r="C67" s="51">
        <v>0.25</v>
      </c>
      <c r="D67" s="51">
        <v>0.25</v>
      </c>
      <c r="E67" s="52">
        <v>0.937499999999998</v>
      </c>
      <c r="F67" s="53" t="str">
        <f>IF(Tim!F69=Sheet6!$C$2,Sheet6!$C$2,IF(Tim!F69=Sheet6!$C$3,Sheet6!$C$3,IF(Tim!F69=Sheet6!$C$4,Sheet6!$C$4,IF(Tim!F69=Sheet6!$C$5,Sheet6!$C$5,IF(Tim!F69=Sheet6!$C$6,Sheet6!$C$6,IF(Tim!F69=Sheet6!$C$7,Sheet6!$C$7,IF(Tim!F69=Sheet6!$C$8,Sheet6!$C$8,"")))))))</f>
        <v/>
      </c>
      <c r="G67" s="53" t="str">
        <f>IF(Tim!G69=Sheet6!$C$2,Sheet6!$C$2,IF(Tim!G69=Sheet6!$C$3,Sheet6!$C$3,IF(Tim!G69=Sheet6!$C$4,Sheet6!$C$4,IF(Tim!G69=Sheet6!$C$5,Sheet6!$C$5,IF(Tim!G69=Sheet6!$C$6,Sheet6!$C$6,IF(Tim!G69=Sheet6!$C$7,Sheet6!$C$7,IF(Tim!G69=Sheet6!$C$8,Sheet6!$C$8,"")))))))</f>
        <v/>
      </c>
      <c r="H67" s="53" t="str">
        <f>IF(Tim!H69=Sheet6!$C$2,Sheet6!$C$2,IF(Tim!H69=Sheet6!$C$3,Sheet6!$C$3,IF(Tim!H69=Sheet6!$C$4,Sheet6!$C$4,IF(Tim!H69=Sheet6!$C$5,Sheet6!$C$5,IF(Tim!H69=Sheet6!$C$6,Sheet6!$C$6,IF(Tim!H69=Sheet6!$C$7,Sheet6!$C$7,IF(Tim!H69=Sheet6!$C$8,Sheet6!$C$8,"")))))))</f>
        <v/>
      </c>
      <c r="I67" s="53" t="str">
        <f>IF(Tim!L69=Sheet6!$C$2,Sheet6!$C$2,IF(Tim!L69=Sheet6!$C$3,Sheet6!$C$3,IF(Tim!L69=Sheet6!$C$4,Sheet6!$C$4,IF(Tim!L69=Sheet6!$C$5,Sheet6!$C$5,IF(Tim!L69=Sheet6!$C$6,Sheet6!$C$6,IF(Tim!L69=Sheet6!$C$7,Sheet6!$C$7,IF(Tim!L69=Sheet6!$C$8,Sheet6!$C$8,"")))))))</f>
        <v/>
      </c>
      <c r="J67" s="53" t="str">
        <f>IF(Tim!T69=Sheet6!$C$2,Sheet6!$C$2,IF(Tim!T69=Sheet6!$C$3,Sheet6!$C$3,IF(Tim!T69=Sheet6!$C$4,Sheet6!$C$4,IF(Tim!T69=Sheet6!$C$5,Sheet6!$C$5,IF(Tim!T69=Sheet6!$C$6,Sheet6!$C$6,IF(Tim!T69=Sheet6!$C$7,Sheet6!$C$7,IF(Tim!T69=Sheet6!$C$8,Sheet6!$C$8,"")))))))</f>
        <v/>
      </c>
      <c r="K67" s="53" t="str">
        <f>IF(Tim!AB69=Sheet6!$C$2,Sheet6!$C$2,IF(Tim!AB69=Sheet6!$C$3,Sheet6!$C$3,IF(Tim!AB69=Sheet6!$C$4,Sheet6!$C$4,IF(Tim!AB69=Sheet6!$C$5,Sheet6!$C$5,IF(Tim!AB69=Sheet6!$C$6,Sheet6!$C$6,IF(Tim!AB69=Sheet6!$C$7,Sheet6!$C$7,IF(Tim!AB69=Sheet6!$C$8,Sheet6!$C$8,"")))))))</f>
        <v/>
      </c>
      <c r="L67" s="53" t="str">
        <f>IF(Tim!AC69=Sheet6!$C$2,Sheet6!$C$2,IF(Tim!AC69=Sheet6!$C$3,Sheet6!$C$3,IF(Tim!AC69=Sheet6!$C$4,Sheet6!$C$4,IF(Tim!AC69=Sheet6!$C$5,Sheet6!$C$5,IF(Tim!AC69=Sheet6!$C$6,Sheet6!$C$6,IF(Tim!AC69=Sheet6!$C$7,Sheet6!$C$7,IF(Tim!AC69=Sheet6!$C$8,Sheet6!$C$8,"")))))))</f>
        <v/>
      </c>
      <c r="M67" s="53" t="str">
        <f>IF(Tim!AJ69=Sheet6!$C$2,Sheet6!$C$2,IF(Tim!AJ69=Sheet6!$C$3,Sheet6!$C$3,IF(Tim!AJ69=Sheet6!$C$4,Sheet6!$C$4,IF(Tim!AJ69=Sheet6!$C$5,Sheet6!$C$5,IF(Tim!AJ69=Sheet6!$C$6,Sheet6!$C$6,IF(Tim!AJ69=Sheet6!$C$7,Sheet6!$C$7,IF(Tim!AJ69=Sheet6!$C$8,Sheet6!$C$8,"")))))))</f>
        <v/>
      </c>
      <c r="N67" s="53" t="str">
        <f>IF(Tim!AK69=Sheet6!$C$2,Sheet6!$C$2,IF(Tim!AK69=Sheet6!$C$3,Sheet6!$C$3,IF(Tim!AK69=Sheet6!$C$4,Sheet6!$C$4,IF(Tim!AK69=Sheet6!$C$5,Sheet6!$C$5,IF(Tim!AK69=Sheet6!$C$6,Sheet6!$C$6,IF(Tim!AK69=Sheet6!$C$7,Sheet6!$C$7,IF(Tim!AK69=Sheet6!$C$8,Sheet6!$C$8,"")))))))</f>
        <v/>
      </c>
      <c r="O67" s="53" t="str">
        <f>IF(Tim!AL69=Sheet6!$C$2,Sheet6!$C$2,IF(Tim!AL69=Sheet6!$C$3,Sheet6!$C$3,IF(Tim!AL69=Sheet6!$C$4,Sheet6!$C$4,IF(Tim!AL69=Sheet6!$C$5,Sheet6!$C$5,IF(Tim!AL69=Sheet6!$C$6,Sheet6!$C$6,IF(Tim!AL69=Sheet6!$C$7,Sheet6!$C$7,IF(Tim!AL69=Sheet6!$C$8,Sheet6!$C$8,"")))))))</f>
        <v/>
      </c>
      <c r="P67" s="53" t="str">
        <f>IF(Tim!AN69=Sheet6!$C$2,Sheet6!$C$2,IF(Tim!AN69=Sheet6!$C$3,Sheet6!$C$3,IF(Tim!AN69=Sheet6!$C$4,Sheet6!$C$4,IF(Tim!AN69=Sheet6!$C$5,Sheet6!$C$5,IF(Tim!AN69=Sheet6!$C$6,Sheet6!$C$6,IF(Tim!AN69=Sheet6!$C$7,Sheet6!$C$7,IF(Tim!AN69=Sheet6!$C$8,Sheet6!$C$8,"")))))))</f>
        <v/>
      </c>
      <c r="Q67" s="53" t="str">
        <f>IF(Tim!AO69=Sheet6!$C$2,Sheet6!$C$2,IF(Tim!AO69=Sheet6!$C$3,Sheet6!$C$3,IF(Tim!AO69=Sheet6!$C$4,Sheet6!$C$4,IF(Tim!AO69=Sheet6!$C$5,Sheet6!$C$5,IF(Tim!AO69=Sheet6!$C$6,Sheet6!$C$6,IF(Tim!AO69=Sheet6!$C$7,Sheet6!$C$7,IF(Tim!AO69=Sheet6!$C$8,Sheet6!$C$8,"")))))))</f>
        <v/>
      </c>
      <c r="R67" s="53" t="str">
        <f>IF(Tim!AP69=Sheet6!$C$2,Sheet6!$C$2,IF(Tim!AP69=Sheet6!$C$3,Sheet6!$C$3,IF(Tim!AP69=Sheet6!$C$4,Sheet6!$C$4,IF(Tim!AP69=Sheet6!$C$5,Sheet6!$C$5,IF(Tim!AP69=Sheet6!$C$6,Sheet6!$C$6,IF(Tim!AP69=Sheet6!$C$7,Sheet6!$C$7,IF(Tim!AP69=Sheet6!$C$8,Sheet6!$C$8,"")))))))</f>
        <v/>
      </c>
      <c r="S67" s="53" t="str">
        <f>IF(Tim!AT69=Sheet6!$C$2,Sheet6!$C$2,IF(Tim!AT69=Sheet6!$C$3,Sheet6!$C$3,IF(Tim!AT69=Sheet6!$C$4,Sheet6!$C$4,IF(Tim!AT69=Sheet6!$C$5,Sheet6!$C$5,IF(Tim!AT69=Sheet6!$C$6,Sheet6!$C$6,IF(Tim!AT69=Sheet6!$C$7,Sheet6!$C$7,IF(Tim!AT69=Sheet6!$C$8,Sheet6!$C$8,"")))))))</f>
        <v/>
      </c>
      <c r="T67" s="54" t="str">
        <f>IF(Tim!AU69=Sheet6!$C$2,Sheet6!$C$2,IF(Tim!AU69=Sheet6!$C$3,Sheet6!$C$3,IF(Tim!AU69=Sheet6!$C$4,Sheet6!$C$4,IF(Tim!AU69=Sheet6!$C$5,Sheet6!$C$5,IF(Tim!AU69=Sheet6!$C$6,Sheet6!$C$6,IF(Tim!AU69=Sheet6!$C$7,Sheet6!$C$7,IF(Tim!AU69=Sheet6!$C$8,Sheet6!$C$8,"")))))))</f>
        <v/>
      </c>
      <c r="U67" s="54" t="str">
        <f>IF(Tim!AV69=Sheet6!$C$2,Sheet6!$C$2,IF(Tim!AV69=Sheet6!$C$3,Sheet6!$C$3,IF(Tim!AV69=Sheet6!$C$4,Sheet6!$C$4,IF(Tim!AV69=Sheet6!$C$5,Sheet6!$C$5,IF(Tim!AV69=Sheet6!$C$6,Sheet6!$C$6,IF(Tim!AV69=Sheet6!$C$7,Sheet6!$C$7,IF(Tim!AV69=Sheet6!$C$8,Sheet6!$C$8,"")))))))</f>
        <v/>
      </c>
      <c r="V67" s="54" t="str">
        <f>IF(Tim!AW69=Sheet6!$C$2,Sheet6!$C$2,IF(Tim!AW69=Sheet6!$C$3,Sheet6!$C$3,IF(Tim!AW69=Sheet6!$C$4,Sheet6!$C$4,IF(Tim!AW69=Sheet6!$C$5,Sheet6!$C$5,IF(Tim!AW69=Sheet6!$C$6,Sheet6!$C$6,IF(Tim!AW69=Sheet6!$C$7,Sheet6!$C$7,IF(Tim!AW69=Sheet6!$C$8,Sheet6!$C$8,"")))))))</f>
        <v/>
      </c>
      <c r="W67" s="55" t="str">
        <f>IF(Tim!AX69=Sheet6!$C$2,Sheet6!$C$2,IF(Tim!AX69=Sheet6!$C$3,Sheet6!$C$3,IF(Tim!AX69=Sheet6!$C$4,Sheet6!$C$4,IF(Tim!AX69=Sheet6!$C$5,Sheet6!$C$5,IF(Tim!AX69=Sheet6!$C$6,Sheet6!$C$6,IF(Tim!AX69=Sheet6!$C$7,Sheet6!$C$7,IF(Tim!AX69=Sheet6!$C$8,Sheet6!$C$8,"")))))))</f>
        <v/>
      </c>
      <c r="X67" s="53" t="str">
        <f>IF(Tim!AY69=Sheet6!$C$2,Sheet6!$C$2,IF(Tim!AY69=Sheet6!$C$3,Sheet6!$C$3,IF(Tim!AY69=Sheet6!$C$4,Sheet6!$C$4,IF(Tim!AY69=Sheet6!$C$5,Sheet6!$C$5,IF(Tim!AY69=Sheet6!$C$6,Sheet6!$C$6,IF(Tim!AY69=Sheet6!$C$7,Sheet6!$C$7,IF(Tim!AY69=Sheet6!$C$8,Sheet6!$C$8,"")))))))</f>
        <v/>
      </c>
      <c r="Y67" s="57" t="str">
        <f>IF(Tim!AZ69=Sheet6!$C$2,Sheet6!$C$2,IF(Tim!AZ69=Sheet6!$C$3,Sheet6!$C$3,IF(Tim!AZ69=Sheet6!$C$4,Sheet6!$C$4,IF(Tim!AZ69=Sheet6!$C$5,Sheet6!$C$5,IF(Tim!AZ69=Sheet6!$C$6,Sheet6!$C$6,IF(Tim!AZ69=Sheet6!$C$7,Sheet6!$C$7,IF(Tim!AZ69=Sheet6!$C$8,Sheet6!$C$8,"")))))))</f>
        <v/>
      </c>
      <c r="Z67" s="57" t="str">
        <f>IF(Tim!BD69=Sheet6!$C$2,Sheet6!$C$2,IF(Tim!BD69=Sheet6!$C$3,Sheet6!$C$3,IF(Tim!BD69=Sheet6!$C$4,Sheet6!$C$4,IF(Tim!BD69=Sheet6!$C$5,Sheet6!$C$5,IF(Tim!BD69=Sheet6!$C$6,Sheet6!$C$6,IF(Tim!BD69=Sheet6!$C$7,Sheet6!$C$7,IF(Tim!BD69=Sheet6!$C$8,Sheet6!$C$8,"")))))))</f>
        <v/>
      </c>
      <c r="AA67" s="57" t="str">
        <f>IF(Tim!BE69=Sheet6!$C$2,Sheet6!$C$2,IF(Tim!BE69=Sheet6!$C$3,Sheet6!$C$3,IF(Tim!BE69=Sheet6!$C$4,Sheet6!$C$4,IF(Tim!BE69=Sheet6!$C$5,Sheet6!$C$5,IF(Tim!BE69=Sheet6!$C$6,Sheet6!$C$6,IF(Tim!BE69=Sheet6!$C$7,Sheet6!$C$7,IF(Tim!BE69=Sheet6!$C$8,Sheet6!$C$8,"")))))))</f>
        <v/>
      </c>
      <c r="AB67" s="57" t="str">
        <f>IF(Tim!BL69=Sheet6!$C$2,Sheet6!$C$2,IF(Tim!BL69=Sheet6!$C$3,Sheet6!$C$3,IF(Tim!BL69=Sheet6!$C$4,Sheet6!$C$4,IF(Tim!BL69=Sheet6!$C$5,Sheet6!$C$5,IF(Tim!BL69=Sheet6!$C$6,Sheet6!$C$6,IF(Tim!BL69=Sheet6!$C$7,Sheet6!$C$7,IF(Tim!BL69=Sheet6!$C$8,Sheet6!$C$8,"")))))))</f>
        <v/>
      </c>
      <c r="AC67" s="53" t="str">
        <f>IF(Tim!BT69=Sheet6!$C$2,Sheet6!$C$2,IF(Tim!BT69=Sheet6!$C$3,Sheet6!$C$3,IF(Tim!BT69=Sheet6!$C$4,Sheet6!$C$4,IF(Tim!BT69=Sheet6!$C$5,Sheet6!$C$5,IF(Tim!BT69=Sheet6!$C$6,Sheet6!$C$6,IF(Tim!BT69=Sheet6!$C$7,Sheet6!$C$7,IF(Tim!BT69=Sheet6!$C$8,Sheet6!$C$8,"")))))))</f>
        <v/>
      </c>
      <c r="AD67" s="181" t="str">
        <f>IF(Tim!BU69=Sheet6!$C$2,Sheet6!$C$2,IF(Tim!BU69=Sheet6!$C$3,Sheet6!$C$3,IF(Tim!BU69=Sheet6!$C$4,Sheet6!$C$4,IF(Tim!BU69=Sheet6!$C$5,Sheet6!$C$5,IF(Tim!BU69=Sheet6!$C$6,Sheet6!$C$6,IF(Tim!BU69=Sheet6!$C$7,Sheet6!$C$7,IF(Tim!BU69=Sheet6!$C$8,Sheet6!$C$8,"")))))))</f>
        <v/>
      </c>
      <c r="AE67" s="53" t="str">
        <f>IF(Tim!CB69=Sheet6!$C$2,Sheet6!$C$2,IF(Tim!CB69=Sheet6!$C$3,Sheet6!$C$3,IF(Tim!CB69=Sheet6!$C$4,Sheet6!$C$4,IF(Tim!CB69=Sheet6!$C$5,Sheet6!$C$5,IF(Tim!CB69=Sheet6!$C$6,Sheet6!$C$6,IF(Tim!CB69=Sheet6!$C$7,Sheet6!$C$7,IF(Tim!CB69=Sheet6!$C$8,Sheet6!$C$8,"")))))))</f>
        <v/>
      </c>
      <c r="AF67" s="53" t="str">
        <f>IF(Tim!CD69=Sheet6!$C$2,Sheet6!$C$2,IF(Tim!CD69=Sheet6!$C$3,Sheet6!$C$3,IF(Tim!CD69=Sheet6!$C$4,Sheet6!$C$4,IF(Tim!CD69=Sheet6!$C$5,Sheet6!$C$5,IF(Tim!CD69=Sheet6!$C$6,Sheet6!$C$6,IF(Tim!CD69=Sheet6!$C$7,Sheet6!$C$7,IF(Tim!CD69=Sheet6!$C$8,Sheet6!$C$8,"")))))))</f>
        <v/>
      </c>
      <c r="AG67" s="53" t="str">
        <f>IF(Tim!CE69=Sheet6!$C$2,Sheet6!$C$2,IF(Tim!CE69=Sheet6!$C$3,Sheet6!$C$3,IF(Tim!CE69=Sheet6!$C$4,Sheet6!$C$4,IF(Tim!CE69=Sheet6!$C$5,Sheet6!$C$5,IF(Tim!CE69=Sheet6!$C$6,Sheet6!$C$6,IF(Tim!CE69=Sheet6!$C$7,Sheet6!$C$7,IF(Tim!CE69=Sheet6!$C$8,Sheet6!$C$8,"")))))))</f>
        <v/>
      </c>
      <c r="AH67" s="53" t="str">
        <f>IF(Tim!CF69=Sheet6!$C$2,Sheet6!$C$2,IF(Tim!CF69=Sheet6!$C$3,Sheet6!$C$3,IF(Tim!CF69=Sheet6!$C$4,Sheet6!$C$4,IF(Tim!CF69=Sheet6!$C$5,Sheet6!$C$5,IF(Tim!CF69=Sheet6!$C$6,Sheet6!$C$6,IF(Tim!CF69=Sheet6!$C$7,Sheet6!$C$7,IF(Tim!CF69=Sheet6!$C$8,Sheet6!$C$8,"")))))))</f>
        <v/>
      </c>
      <c r="AI67" s="53" t="str">
        <f>IF(Tim!CG69=Sheet6!$C$2,Sheet6!$C$2,IF(Tim!CG69=Sheet6!$C$3,Sheet6!$C$3,IF(Tim!CG69=Sheet6!$C$4,Sheet6!$C$4,IF(Tim!CG69=Sheet6!$C$5,Sheet6!$C$5,IF(Tim!CG69=Sheet6!$C$6,Sheet6!$C$6,IF(Tim!CG69=Sheet6!$C$7,Sheet6!$C$7,IF(Tim!CG69=Sheet6!$C$8,Sheet6!$C$8,"")))))))</f>
        <v/>
      </c>
      <c r="AJ67" s="53" t="str">
        <f>IF(Tim!CH69=Sheet6!$C$2,Sheet6!$C$2,IF(Tim!CH69=Sheet6!$C$3,Sheet6!$C$3,IF(Tim!CH69=Sheet6!$C$4,Sheet6!$C$4,IF(Tim!CH69=Sheet6!$C$5,Sheet6!$C$5,IF(Tim!CH69=Sheet6!$C$6,Sheet6!$C$6,IF(Tim!CH69=Sheet6!$C$7,Sheet6!$C$7,IF(Tim!CH69=Sheet6!$C$8,Sheet6!$C$8,"")))))))</f>
        <v/>
      </c>
      <c r="AK67" s="53" t="str">
        <f>IF(Tim!CL69=Sheet6!$C$2,Sheet6!$C$2,IF(Tim!CL69=Sheet6!$C$3,Sheet6!$C$3,IF(Tim!CL69=Sheet6!$C$4,Sheet6!$C$4,IF(Tim!CL69=Sheet6!$C$5,Sheet6!$C$5,IF(Tim!CL69=Sheet6!$C$6,Sheet6!$C$6,IF(Tim!CL69=Sheet6!$C$7,Sheet6!$C$7,IF(Tim!CL69=Sheet6!$C$8,Sheet6!$C$8,"")))))))</f>
        <v/>
      </c>
      <c r="AL67" s="54" t="str">
        <f>IF(Tim!CM69=Sheet6!$C$2,Sheet6!$C$2,IF(Tim!CM69=Sheet6!$C$3,Sheet6!$C$3,IF(Tim!CM69=Sheet6!$C$4,Sheet6!$C$4,IF(Tim!CM69=Sheet6!$C$5,Sheet6!$C$5,IF(Tim!CM69=Sheet6!$C$6,Sheet6!$C$6,IF(Tim!CM69=Sheet6!$C$7,Sheet6!$C$7,IF(Tim!CM69=Sheet6!$C$8,Sheet6!$C$8,"")))))))</f>
        <v/>
      </c>
      <c r="AM67" s="54" t="str">
        <f>IF(Tim!CN69=Sheet6!$C$2,Sheet6!$C$2,IF(Tim!CN69=Sheet6!$C$3,Sheet6!$C$3,IF(Tim!CN69=Sheet6!$C$4,Sheet6!$C$4,IF(Tim!CN69=Sheet6!$C$5,Sheet6!$C$5,IF(Tim!CN69=Sheet6!$C$6,Sheet6!$C$6,IF(Tim!CN69=Sheet6!$C$7,Sheet6!$C$7,IF(Tim!CN69=Sheet6!$C$8,Sheet6!$C$8,"")))))))</f>
        <v/>
      </c>
      <c r="AN67" s="54" t="str">
        <f>IF(Tim!CO69=Sheet6!$C$2,Sheet6!$C$2,IF(Tim!CO69=Sheet6!$C$3,Sheet6!$C$3,IF(Tim!CO69=Sheet6!$C$4,Sheet6!$C$4,IF(Tim!CO69=Sheet6!$C$5,Sheet6!$C$5,IF(Tim!CO69=Sheet6!$C$6,Sheet6!$C$6,IF(Tim!CO69=Sheet6!$C$7,Sheet6!$C$7,IF(Tim!CO69=Sheet6!$C$8,Sheet6!$C$8,"")))))))</f>
        <v/>
      </c>
      <c r="AO67" s="55" t="str">
        <f>IF(Tim!CP69=Sheet6!$C$2,Sheet6!$C$2,IF(Tim!CP69=Sheet6!$C$3,Sheet6!$C$3,IF(Tim!CP69=Sheet6!$C$4,Sheet6!$C$4,IF(Tim!CP69=Sheet6!$C$5,Sheet6!$C$5,IF(Tim!CP69=Sheet6!$C$6,Sheet6!$C$6,IF(Tim!CP69=Sheet6!$C$7,Sheet6!$C$7,IF(Tim!CP69=Sheet6!$C$8,Sheet6!$C$8,"")))))))</f>
        <v/>
      </c>
      <c r="AP67" s="53" t="str">
        <f>IF(Tim!CQ69=Sheet6!$C$2,Sheet6!$C$2,IF(Tim!CQ69=Sheet6!$C$3,Sheet6!$C$3,IF(Tim!CQ69=Sheet6!$C$4,Sheet6!$C$4,IF(Tim!CQ69=Sheet6!$C$5,Sheet6!$C$5,IF(Tim!CQ69=Sheet6!$C$6,Sheet6!$C$6,IF(Tim!CQ69=Sheet6!$C$7,Sheet6!$C$7,IF(Tim!CQ69=Sheet6!$C$8,Sheet6!$C$8,"")))))))</f>
        <v/>
      </c>
      <c r="AQ67" s="57" t="str">
        <f>IF(Tim!CR69=Sheet6!$C$2,Sheet6!$C$2,IF(Tim!CR69=Sheet6!$C$3,Sheet6!$C$3,IF(Tim!CR69=Sheet6!$C$4,Sheet6!$C$4,IF(Tim!CR69=Sheet6!$C$5,Sheet6!$C$5,IF(Tim!CR69=Sheet6!$C$6,Sheet6!$C$6,IF(Tim!CR69=Sheet6!$C$7,Sheet6!$C$7,IF(Tim!CR69=Sheet6!$C$8,Sheet6!$C$8,"")))))))</f>
        <v/>
      </c>
      <c r="AR67" s="57" t="str">
        <f>IF(Tim!CV69=Sheet6!$C$2,Sheet6!$C$2,IF(Tim!CV69=Sheet6!$C$3,Sheet6!$C$3,IF(Tim!CV69=Sheet6!$C$4,Sheet6!$C$4,IF(Tim!CV69=Sheet6!$C$5,Sheet6!$C$5,IF(Tim!CV69=Sheet6!$C$6,Sheet6!$C$6,IF(Tim!CV69=Sheet6!$C$7,Sheet6!$C$7,IF(Tim!CV69=Sheet6!$C$8,Sheet6!$C$8,"")))))))</f>
        <v/>
      </c>
      <c r="AS67" s="57" t="str">
        <f>IF(Tim!CW69=Sheet6!$C$2,Sheet6!$C$2,IF(Tim!CW69=Sheet6!$C$3,Sheet6!$C$3,IF(Tim!CW69=Sheet6!$C$4,Sheet6!$C$4,IF(Tim!CW69=Sheet6!$C$5,Sheet6!$C$5,IF(Tim!CW69=Sheet6!$C$6,Sheet6!$C$6,IF(Tim!CW69=Sheet6!$C$7,Sheet6!$C$7,IF(Tim!CW69=Sheet6!$C$8,Sheet6!$C$8,"")))))))</f>
        <v/>
      </c>
      <c r="AT67" s="57" t="str">
        <f>IF(Tim!DA69=Sheet6!$C$2,Sheet6!$C$2,IF(Tim!DA69=Sheet6!$C$3,Sheet6!$C$3,IF(Tim!DA69=Sheet6!$C$4,Sheet6!$C$4,IF(Tim!DA69=Sheet6!$C$5,Sheet6!$C$5,IF(Tim!DA69=Sheet6!$C$6,Sheet6!$C$6,IF(Tim!DA69=Sheet6!$C$7,Sheet6!$C$7,IF(Tim!DA69=Sheet6!$C$8,Sheet6!$C$8,"")))))))</f>
        <v/>
      </c>
      <c r="AU67" s="53" t="str">
        <f>IF(Tim!DO69=Sheet6!$C$2,Sheet6!$C$2,IF(Tim!DO69=Sheet6!$C$3,Sheet6!$C$3,IF(Tim!DO69=Sheet6!$C$4,Sheet6!$C$4,IF(Tim!DO69=Sheet6!$C$5,Sheet6!$C$5,IF(Tim!DO69=Sheet6!$C$6,Sheet6!$C$6,IF(Tim!DO69=Sheet6!$C$7,Sheet6!$C$7,IF(Tim!DO69=Sheet6!$C$8,Sheet6!$C$8,"")))))))</f>
        <v/>
      </c>
      <c r="AV67" s="53" t="str">
        <f>IF(Tim!DP69=Sheet6!$C$2,Sheet6!$C$2,IF(Tim!DP69=Sheet6!$C$3,Sheet6!$C$3,IF(Tim!DP69=Sheet6!$C$4,Sheet6!$C$4,IF(Tim!DP69=Sheet6!$C$5,Sheet6!$C$5,IF(Tim!DP69=Sheet6!$C$6,Sheet6!$C$6,IF(Tim!DP69=Sheet6!$C$7,Sheet6!$C$7,IF(Tim!DP69=Sheet6!$C$8,Sheet6!$C$8,"")))))))</f>
        <v/>
      </c>
      <c r="AW67" s="53" t="str">
        <f>IF(Tim!DX69=Sheet6!$C$2,Sheet6!$C$2,IF(Tim!DX69=Sheet6!$C$3,Sheet6!$C$3,IF(Tim!DX69=Sheet6!$C$4,Sheet6!$C$4,IF(Tim!DX69=Sheet6!$C$5,Sheet6!$C$5,IF(Tim!DX69=Sheet6!$C$6,Sheet6!$C$6,IF(Tim!DX69=Sheet6!$C$7,Sheet6!$C$7,IF(Tim!DX69=Sheet6!$C$8,Sheet6!$C$8,"")))))))</f>
        <v/>
      </c>
      <c r="AX67" s="53" t="str">
        <f>IF(Tim!DY69=Sheet6!$C$2,Sheet6!$C$2,IF(Tim!DY69=Sheet6!$C$3,Sheet6!$C$3,IF(Tim!DY69=Sheet6!$C$4,Sheet6!$C$4,IF(Tim!DY69=Sheet6!$C$5,Sheet6!$C$5,IF(Tim!DY69=Sheet6!$C$6,Sheet6!$C$6,IF(Tim!DY69=Sheet6!$C$7,Sheet6!$C$7,IF(Tim!DY69=Sheet6!$C$8,Sheet6!$C$8,"")))))))</f>
        <v/>
      </c>
      <c r="AY67" s="53" t="str">
        <f>IF(Tim!DZ69=Sheet6!$C$2,Sheet6!$C$2,IF(Tim!DZ69=Sheet6!$C$3,Sheet6!$C$3,IF(Tim!DZ69=Sheet6!$C$4,Sheet6!$C$4,IF(Tim!DZ69=Sheet6!$C$5,Sheet6!$C$5,IF(Tim!DZ69=Sheet6!$C$6,Sheet6!$C$6,IF(Tim!DZ69=Sheet6!$C$7,Sheet6!$C$7,IF(Tim!DZ69=Sheet6!$C$8,Sheet6!$C$8,"")))))))</f>
        <v/>
      </c>
      <c r="AZ67" s="53" t="str">
        <f>IF(Tim!EA69=Sheet6!$C$2,Sheet6!$C$2,IF(Tim!EA69=Sheet6!$C$3,Sheet6!$C$3,IF(Tim!EA69=Sheet6!$C$4,Sheet6!$C$4,IF(Tim!EA69=Sheet6!$C$5,Sheet6!$C$5,IF(Tim!EA69=Sheet6!$C$6,Sheet6!$C$6,IF(Tim!EA69=Sheet6!$C$7,Sheet6!$C$7,IF(Tim!EA69=Sheet6!$C$8,Sheet6!$C$8,"")))))))</f>
        <v/>
      </c>
      <c r="BA67" s="53" t="str">
        <f>IF(Tim!EB69=Sheet6!$C$2,Sheet6!$C$2,IF(Tim!EB69=Sheet6!$C$3,Sheet6!$C$3,IF(Tim!EB69=Sheet6!$C$4,Sheet6!$C$4,IF(Tim!EB69=Sheet6!$C$5,Sheet6!$C$5,IF(Tim!EB69=Sheet6!$C$6,Sheet6!$C$6,IF(Tim!EB69=Sheet6!$C$7,Sheet6!$C$7,IF(Tim!EB69=Sheet6!$C$8,Sheet6!$C$8,"")))))))</f>
        <v/>
      </c>
      <c r="BB67" s="53" t="str">
        <f>IF(Tim!EC69=Sheet6!$C$2,Sheet6!$C$2,IF(Tim!EC69=Sheet6!$C$3,Sheet6!$C$3,IF(Tim!EC69=Sheet6!$C$4,Sheet6!$C$4,IF(Tim!EC69=Sheet6!$C$5,Sheet6!$C$5,IF(Tim!EC69=Sheet6!$C$6,Sheet6!$C$6,IF(Tim!EC69=Sheet6!$C$7,Sheet6!$C$7,IF(Tim!EC69=Sheet6!$C$8,Sheet6!$C$8,"")))))))</f>
        <v/>
      </c>
      <c r="BC67" s="53" t="str">
        <f>IF(Tim!EG69=Sheet6!$C$2,Sheet6!$C$2,IF(Tim!EG69=Sheet6!$C$3,Sheet6!$C$3,IF(Tim!EG69=Sheet6!$C$4,Sheet6!$C$4,IF(Tim!EG69=Sheet6!$C$5,Sheet6!$C$5,IF(Tim!EG69=Sheet6!$C$6,Sheet6!$C$6,IF(Tim!EG69=Sheet6!$C$7,Sheet6!$C$7,IF(Tim!EG69=Sheet6!$C$8,Sheet6!$C$8,"")))))))</f>
        <v/>
      </c>
      <c r="BD67" s="54" t="str">
        <f>IF(Tim!EH69=Sheet6!$C$2,Sheet6!$C$2,IF(Tim!EH69=Sheet6!$C$3,Sheet6!$C$3,IF(Tim!EH69=Sheet6!$C$4,Sheet6!$C$4,IF(Tim!EH69=Sheet6!$C$5,Sheet6!$C$5,IF(Tim!EH69=Sheet6!$C$6,Sheet6!$C$6,IF(Tim!EH69=Sheet6!$C$7,Sheet6!$C$7,IF(Tim!EH69=Sheet6!$C$8,Sheet6!$C$8,"")))))))</f>
        <v/>
      </c>
      <c r="BE67" s="54" t="str">
        <f>IF(Tim!EI69=Sheet6!$C$2,Sheet6!$C$2,IF(Tim!EI69=Sheet6!$C$3,Sheet6!$C$3,IF(Tim!EI69=Sheet6!$C$4,Sheet6!$C$4,IF(Tim!EI69=Sheet6!$C$5,Sheet6!$C$5,IF(Tim!EI69=Sheet6!$C$6,Sheet6!$C$6,IF(Tim!EI69=Sheet6!$C$7,Sheet6!$C$7,IF(Tim!EI69=Sheet6!$C$8,Sheet6!$C$8,"")))))))</f>
        <v/>
      </c>
      <c r="BF67" s="54" t="str">
        <f>IF(Tim!EJ69=Sheet6!$C$2,Sheet6!$C$2,IF(Tim!EJ69=Sheet6!$C$3,Sheet6!$C$3,IF(Tim!EJ69=Sheet6!$C$4,Sheet6!$C$4,IF(Tim!EJ69=Sheet6!$C$5,Sheet6!$C$5,IF(Tim!EJ69=Sheet6!$C$6,Sheet6!$C$6,IF(Tim!EJ69=Sheet6!$C$7,Sheet6!$C$7,IF(Tim!EJ69=Sheet6!$C$8,Sheet6!$C$8,"")))))))</f>
        <v/>
      </c>
      <c r="BG67" s="55" t="str">
        <f>IF(Tim!EK69=Sheet6!$C$2,Sheet6!$C$2,IF(Tim!EK69=Sheet6!$C$3,Sheet6!$C$3,IF(Tim!EK69=Sheet6!$C$4,Sheet6!$C$4,IF(Tim!EK69=Sheet6!$C$5,Sheet6!$C$5,IF(Tim!EK69=Sheet6!$C$6,Sheet6!$C$6,IF(Tim!EK69=Sheet6!$C$7,Sheet6!$C$7,IF(Tim!EK69=Sheet6!$C$8,Sheet6!$C$8,"")))))))</f>
        <v/>
      </c>
      <c r="BH67" s="53" t="str">
        <f>IF(Tim!EL69=Sheet6!$C$2,Sheet6!$C$2,IF(Tim!EL69=Sheet6!$C$3,Sheet6!$C$3,IF(Tim!EL69=Sheet6!$C$4,Sheet6!$C$4,IF(Tim!EL69=Sheet6!$C$5,Sheet6!$C$5,IF(Tim!EL69=Sheet6!$C$6,Sheet6!$C$6,IF(Tim!EL69=Sheet6!$C$7,Sheet6!$C$7,IF(Tim!EL69=Sheet6!$C$8,Sheet6!$C$8,"")))))))</f>
        <v/>
      </c>
      <c r="BI67" s="57" t="str">
        <f>IF(Tim!EM69=Sheet6!$C$2,Sheet6!$C$2,IF(Tim!EM69=Sheet6!$C$3,Sheet6!$C$3,IF(Tim!EM69=Sheet6!$C$4,Sheet6!$C$4,IF(Tim!EM69=Sheet6!$C$5,Sheet6!$C$5,IF(Tim!EM69=Sheet6!$C$6,Sheet6!$C$6,IF(Tim!EM69=Sheet6!$C$7,Sheet6!$C$7,IF(Tim!EM69=Sheet6!$C$8,Sheet6!$C$8,"")))))))</f>
        <v/>
      </c>
      <c r="BJ67" s="57" t="str">
        <f>IF(Tim!EQ69=Sheet6!$C$2,Sheet6!$C$2,IF(Tim!EQ69=Sheet6!$C$3,Sheet6!$C$3,IF(Tim!EQ69=Sheet6!$C$4,Sheet6!$C$4,IF(Tim!EQ69=Sheet6!$C$5,Sheet6!$C$5,IF(Tim!EQ69=Sheet6!$C$6,Sheet6!$C$6,IF(Tim!EQ69=Sheet6!$C$7,Sheet6!$C$7,IF(Tim!EQ69=Sheet6!$C$8,Sheet6!$C$8,"")))))))</f>
        <v/>
      </c>
      <c r="BK67" s="57" t="str">
        <f>IF(Tim!ER69=Sheet6!$C$2,Sheet6!$C$2,IF(Tim!ER69=Sheet6!$C$3,Sheet6!$C$3,IF(Tim!ER69=Sheet6!$C$4,Sheet6!$C$4,IF(Tim!ER69=Sheet6!$C$5,Sheet6!$C$5,IF(Tim!ER69=Sheet6!$C$6,Sheet6!$C$6,IF(Tim!ER69=Sheet6!$C$7,Sheet6!$C$7,IF(Tim!ER69=Sheet6!$C$8,Sheet6!$C$8,"")))))))</f>
        <v/>
      </c>
      <c r="BL67" s="57" t="str">
        <f>IF(Tim!EZ69=Sheet6!$C$2,Sheet6!$C$2,IF(Tim!EZ69=Sheet6!$C$3,Sheet6!$C$3,IF(Tim!EZ69=Sheet6!$C$4,Sheet6!$C$4,IF(Tim!EZ69=Sheet6!$C$5,Sheet6!$C$5,IF(Tim!EZ69=Sheet6!$C$6,Sheet6!$C$6,IF(Tim!EZ69=Sheet6!$C$7,Sheet6!$C$7,IF(Tim!EZ69=Sheet6!$C$8,Sheet6!$C$8,"")))))))</f>
        <v/>
      </c>
      <c r="BM67" s="53" t="str">
        <f>IF(Tim!FG69=Sheet6!$C$2,Sheet6!$C$2,IF(Tim!FG69=Sheet6!$C$3,Sheet6!$C$3,IF(Tim!FG69=Sheet6!$C$4,Sheet6!$C$4,IF(Tim!FG69=Sheet6!$C$5,Sheet6!$C$5,IF(Tim!FG69=Sheet6!$C$6,Sheet6!$C$6,IF(Tim!FG69=Sheet6!$C$7,Sheet6!$C$7,IF(Tim!FG69=Sheet6!$C$8,Sheet6!$C$8,"")))))))</f>
        <v/>
      </c>
      <c r="BN67" s="181" t="str">
        <f>IF(Tim!FH69=Sheet6!$C$2,Sheet6!$C$2,IF(Tim!FH69=Sheet6!$C$3,Sheet6!$C$3,IF(Tim!FH69=Sheet6!$C$4,Sheet6!$C$4,IF(Tim!FH69=Sheet6!$C$5,Sheet6!$C$5,IF(Tim!FH69=Sheet6!$C$6,Sheet6!$C$6,IF(Tim!FH69=Sheet6!$C$7,Sheet6!$C$7,IF(Tim!FH69=Sheet6!$C$8,Sheet6!$C$8,"")))))))</f>
        <v/>
      </c>
      <c r="BO67" s="53" t="str">
        <f>IF(Tim!FP69=Sheet6!$C$2,Sheet6!$C$2,IF(Tim!FP69=Sheet6!$C$3,Sheet6!$C$3,IF(Tim!FP69=Sheet6!$C$4,Sheet6!$C$4,IF(Tim!FP69=Sheet6!$C$5,Sheet6!$C$5,IF(Tim!FP69=Sheet6!$C$6,Sheet6!$C$6,IF(Tim!FP69=Sheet6!$C$7,Sheet6!$C$7,IF(Tim!FP69=Sheet6!$C$8,Sheet6!$C$8,"")))))))</f>
        <v/>
      </c>
      <c r="BP67" s="53" t="str">
        <f>IF(Tim!FQ69=Sheet6!$C$2,Sheet6!$C$2,IF(Tim!FQ69=Sheet6!$C$3,Sheet6!$C$3,IF(Tim!FQ69=Sheet6!$C$4,Sheet6!$C$4,IF(Tim!FQ69=Sheet6!$C$5,Sheet6!$C$5,IF(Tim!FQ69=Sheet6!$C$6,Sheet6!$C$6,IF(Tim!FQ69=Sheet6!$C$7,Sheet6!$C$7,IF(Tim!FQ69=Sheet6!$C$8,Sheet6!$C$8,"")))))))</f>
        <v/>
      </c>
      <c r="BQ67" s="53" t="str">
        <f>IF(Tim!FR69=Sheet6!$C$2,Sheet6!$C$2,IF(Tim!FR69=Sheet6!$C$3,Sheet6!$C$3,IF(Tim!FR69=Sheet6!$C$4,Sheet6!$C$4,IF(Tim!FR69=Sheet6!$C$5,Sheet6!$C$5,IF(Tim!FR69=Sheet6!$C$6,Sheet6!$C$6,IF(Tim!FR69=Sheet6!$C$7,Sheet6!$C$7,IF(Tim!FR69=Sheet6!$C$8,Sheet6!$C$8,"")))))))</f>
        <v/>
      </c>
      <c r="BR67" s="53" t="str">
        <f>IF(Tim!FS69=Sheet6!$C$2,Sheet6!$C$2,IF(Tim!FS69=Sheet6!$C$3,Sheet6!$C$3,IF(Tim!FS69=Sheet6!$C$4,Sheet6!$C$4,IF(Tim!FS69=Sheet6!$C$5,Sheet6!$C$5,IF(Tim!FS69=Sheet6!$C$6,Sheet6!$C$6,IF(Tim!FS69=Sheet6!$C$7,Sheet6!$C$7,IF(Tim!FS69=Sheet6!$C$8,Sheet6!$C$8,"")))))))</f>
        <v/>
      </c>
      <c r="BS67" s="53" t="str">
        <f>IF(Tim!FT69=Sheet6!$C$2,Sheet6!$C$2,IF(Tim!FT69=Sheet6!$C$3,Sheet6!$C$3,IF(Tim!FT69=Sheet6!$C$4,Sheet6!$C$4,IF(Tim!FT69=Sheet6!$C$5,Sheet6!$C$5,IF(Tim!FT69=Sheet6!$C$6,Sheet6!$C$6,IF(Tim!FT69=Sheet6!$C$7,Sheet6!$C$7,IF(Tim!FT69=Sheet6!$C$8,Sheet6!$C$8,"")))))))</f>
        <v/>
      </c>
      <c r="BT67" s="53" t="str">
        <f>IF(Tim!FU69=Sheet6!$C$2,Sheet6!$C$2,IF(Tim!FU69=Sheet6!$C$3,Sheet6!$C$3,IF(Tim!FU69=Sheet6!$C$4,Sheet6!$C$4,IF(Tim!FU69=Sheet6!$C$5,Sheet6!$C$5,IF(Tim!FU69=Sheet6!$C$6,Sheet6!$C$6,IF(Tim!FU69=Sheet6!$C$7,Sheet6!$C$7,IF(Tim!FU69=Sheet6!$C$8,Sheet6!$C$8,"")))))))</f>
        <v/>
      </c>
      <c r="BU67" s="53" t="str">
        <f>IF(Tim!FY69=Sheet6!$C$2,Sheet6!$C$2,IF(Tim!FY69=Sheet6!$C$3,Sheet6!$C$3,IF(Tim!FY69=Sheet6!$C$4,Sheet6!$C$4,IF(Tim!FY69=Sheet6!$C$5,Sheet6!$C$5,IF(Tim!FY69=Sheet6!$C$6,Sheet6!$C$6,IF(Tim!FY69=Sheet6!$C$7,Sheet6!$C$7,IF(Tim!FY69=Sheet6!$C$8,Sheet6!$C$8,"")))))))</f>
        <v/>
      </c>
      <c r="BV67" s="54" t="str">
        <f>IF(Tim!FZ69=Sheet6!$C$2,Sheet6!$C$2,IF(Tim!FZ69=Sheet6!$C$3,Sheet6!$C$3,IF(Tim!FZ69=Sheet6!$C$4,Sheet6!$C$4,IF(Tim!FZ69=Sheet6!$C$5,Sheet6!$C$5,IF(Tim!FZ69=Sheet6!$C$6,Sheet6!$C$6,IF(Tim!FZ69=Sheet6!$C$7,Sheet6!$C$7,IF(Tim!FZ69=Sheet6!$C$8,Sheet6!$C$8,"")))))))</f>
        <v/>
      </c>
      <c r="BW67" s="54" t="str">
        <f>IF(Tim!GA69=Sheet6!$C$2,Sheet6!$C$2,IF(Tim!GA69=Sheet6!$C$3,Sheet6!$C$3,IF(Tim!GA69=Sheet6!$C$4,Sheet6!$C$4,IF(Tim!GA69=Sheet6!$C$5,Sheet6!$C$5,IF(Tim!GA69=Sheet6!$C$6,Sheet6!$C$6,IF(Tim!GA69=Sheet6!$C$7,Sheet6!$C$7,IF(Tim!GA69=Sheet6!$C$8,Sheet6!$C$8,"")))))))</f>
        <v/>
      </c>
      <c r="BX67" s="54" t="str">
        <f>IF(Tim!GB69=Sheet6!$C$2,Sheet6!$C$2,IF(Tim!GB69=Sheet6!$C$3,Sheet6!$C$3,IF(Tim!GB69=Sheet6!$C$4,Sheet6!$C$4,IF(Tim!GB69=Sheet6!$C$5,Sheet6!$C$5,IF(Tim!GB69=Sheet6!$C$6,Sheet6!$C$6,IF(Tim!GB69=Sheet6!$C$7,Sheet6!$C$7,IF(Tim!GB69=Sheet6!$C$8,Sheet6!$C$8,"")))))))</f>
        <v/>
      </c>
      <c r="BY67" s="55" t="str">
        <f>IF(Tim!GC69=Sheet6!$C$2,Sheet6!$C$2,IF(Tim!GC69=Sheet6!$C$3,Sheet6!$C$3,IF(Tim!GC69=Sheet6!$C$4,Sheet6!$C$4,IF(Tim!GC69=Sheet6!$C$5,Sheet6!$C$5,IF(Tim!GC69=Sheet6!$C$6,Sheet6!$C$6,IF(Tim!GC69=Sheet6!$C$7,Sheet6!$C$7,IF(Tim!GC69=Sheet6!$C$8,Sheet6!$C$8,"")))))))</f>
        <v/>
      </c>
      <c r="BZ67" s="53" t="str">
        <f>IF(Tim!GD69=Sheet6!$C$2,Sheet6!$C$2,IF(Tim!GD69=Sheet6!$C$3,Sheet6!$C$3,IF(Tim!GD69=Sheet6!$C$4,Sheet6!$C$4,IF(Tim!GD69=Sheet6!$C$5,Sheet6!$C$5,IF(Tim!GD69=Sheet6!$C$6,Sheet6!$C$6,IF(Tim!GD69=Sheet6!$C$7,Sheet6!$C$7,IF(Tim!GD69=Sheet6!$C$8,Sheet6!$C$8,"")))))))</f>
        <v/>
      </c>
      <c r="CA67" s="57" t="str">
        <f>IF(Tim!GE69=Sheet6!$C$2,Sheet6!$C$2,IF(Tim!GE69=Sheet6!$C$3,Sheet6!$C$3,IF(Tim!GE69=Sheet6!$C$4,Sheet6!$C$4,IF(Tim!GE69=Sheet6!$C$5,Sheet6!$C$5,IF(Tim!GE69=Sheet6!$C$6,Sheet6!$C$6,IF(Tim!GE69=Sheet6!$C$7,Sheet6!$C$7,IF(Tim!GE69=Sheet6!$C$8,Sheet6!$C$8,"")))))))</f>
        <v/>
      </c>
      <c r="CB67" s="57" t="str">
        <f>IF(Tim!GI69=Sheet6!$C$2,Sheet6!$C$2,IF(Tim!GI69=Sheet6!$C$3,Sheet6!$C$3,IF(Tim!GI69=Sheet6!$C$4,Sheet6!$C$4,IF(Tim!GI69=Sheet6!$C$5,Sheet6!$C$5,IF(Tim!GI69=Sheet6!$C$6,Sheet6!$C$6,IF(Tim!GI69=Sheet6!$C$7,Sheet6!$C$7,IF(Tim!GI69=Sheet6!$C$8,Sheet6!$C$8,"")))))))</f>
        <v/>
      </c>
      <c r="CC67" s="57" t="str">
        <f>IF(Tim!GJ69=Sheet6!$C$2,Sheet6!$C$2,IF(Tim!GJ69=Sheet6!$C$3,Sheet6!$C$3,IF(Tim!GJ69=Sheet6!$C$4,Sheet6!$C$4,IF(Tim!GJ69=Sheet6!$C$5,Sheet6!$C$5,IF(Tim!GJ69=Sheet6!$C$6,Sheet6!$C$6,IF(Tim!GJ69=Sheet6!$C$7,Sheet6!$C$7,IF(Tim!GJ69=Sheet6!$C$8,Sheet6!$C$8,"")))))))</f>
        <v/>
      </c>
      <c r="CD67" s="57" t="str">
        <f>IF(Tim!GN69=Sheet6!$C$2,Sheet6!$C$2,IF(Tim!GN69=Sheet6!$C$3,Sheet6!$C$3,IF(Tim!GN69=Sheet6!$C$4,Sheet6!$C$4,IF(Tim!GN69=Sheet6!$C$5,Sheet6!$C$5,IF(Tim!GN69=Sheet6!$C$6,Sheet6!$C$6,IF(Tim!GN69=Sheet6!$C$7,Sheet6!$C$7,IF(Tim!GN69=Sheet6!$C$8,Sheet6!$C$8,"")))))))</f>
        <v/>
      </c>
      <c r="CE67" s="53" t="str">
        <f>IF(Tim!GY69=Sheet6!$C$2,Sheet6!$C$2,IF(Tim!GY69=Sheet6!$C$3,Sheet6!$C$3,IF(Tim!GY69=Sheet6!$C$4,Sheet6!$C$4,IF(Tim!GY69=Sheet6!$C$5,Sheet6!$C$5,IF(Tim!GY69=Sheet6!$C$6,Sheet6!$C$6,IF(Tim!GY69=Sheet6!$C$7,Sheet6!$C$7,IF(Tim!GY69=Sheet6!$C$8,Sheet6!$C$8,"")))))))</f>
        <v/>
      </c>
      <c r="CF67" s="53" t="str">
        <f>IF(Tim!GZ69=Sheet6!$C$2,Sheet6!$C$2,IF(Tim!GZ69=Sheet6!$C$3,Sheet6!$C$3,IF(Tim!GZ69=Sheet6!$C$4,Sheet6!$C$4,IF(Tim!GZ69=Sheet6!$C$5,Sheet6!$C$5,IF(Tim!GZ69=Sheet6!$C$6,Sheet6!$C$6,IF(Tim!GZ69=Sheet6!$C$7,Sheet6!$C$7,IF(Tim!GZ69=Sheet6!$C$8,Sheet6!$C$8,"")))))))</f>
        <v/>
      </c>
      <c r="CG67" s="53" t="str">
        <f>IF(Tim!HH69=Sheet6!$C$2,Sheet6!$C$2,IF(Tim!HH69=Sheet6!$C$3,Sheet6!$C$3,IF(Tim!HH69=Sheet6!$C$4,Sheet6!$C$4,IF(Tim!HH69=Sheet6!$C$5,Sheet6!$C$5,IF(Tim!HH69=Sheet6!$C$6,Sheet6!$C$6,IF(Tim!HH69=Sheet6!$C$7,Sheet6!$C$7,IF(Tim!HH69=Sheet6!$C$8,Sheet6!$C$8,"")))))))</f>
        <v/>
      </c>
      <c r="CH67" s="53" t="str">
        <f>IF(Tim!HI69=Sheet6!$C$2,Sheet6!$C$2,IF(Tim!HI69=Sheet6!$C$3,Sheet6!$C$3,IF(Tim!HI69=Sheet6!$C$4,Sheet6!$C$4,IF(Tim!HI69=Sheet6!$C$5,Sheet6!$C$5,IF(Tim!HI69=Sheet6!$C$6,Sheet6!$C$6,IF(Tim!HI69=Sheet6!$C$7,Sheet6!$C$7,IF(Tim!HI69=Sheet6!$C$8,Sheet6!$C$8,"")))))))</f>
        <v/>
      </c>
      <c r="CI67" s="53" t="str">
        <f>IF(Tim!HJ69=Sheet6!$C$2,Sheet6!$C$2,IF(Tim!HJ69=Sheet6!$C$3,Sheet6!$C$3,IF(Tim!HJ69=Sheet6!$C$4,Sheet6!$C$4,IF(Tim!HJ69=Sheet6!$C$5,Sheet6!$C$5,IF(Tim!HJ69=Sheet6!$C$6,Sheet6!$C$6,IF(Tim!HJ69=Sheet6!$C$7,Sheet6!$C$7,IF(Tim!HJ69=Sheet6!$C$8,Sheet6!$C$8,"")))))))</f>
        <v/>
      </c>
      <c r="CJ67" s="53" t="str">
        <f>IF(Tim!HK69=Sheet6!$C$2,Sheet6!$C$2,IF(Tim!HK69=Sheet6!$C$3,Sheet6!$C$3,IF(Tim!HK69=Sheet6!$C$4,Sheet6!$C$4,IF(Tim!HK69=Sheet6!$C$5,Sheet6!$C$5,IF(Tim!HK69=Sheet6!$C$6,Sheet6!$C$6,IF(Tim!HK69=Sheet6!$C$7,Sheet6!$C$7,IF(Tim!HK69=Sheet6!$C$8,Sheet6!$C$8,"")))))))</f>
        <v/>
      </c>
      <c r="CK67" s="53" t="str">
        <f>IF(Tim!HL69=Sheet6!$C$2,Sheet6!$C$2,IF(Tim!HL69=Sheet6!$C$3,Sheet6!$C$3,IF(Tim!HL69=Sheet6!$C$4,Sheet6!$C$4,IF(Tim!HL69=Sheet6!$C$5,Sheet6!$C$5,IF(Tim!HL69=Sheet6!$C$6,Sheet6!$C$6,IF(Tim!HL69=Sheet6!$C$7,Sheet6!$C$7,IF(Tim!HL69=Sheet6!$C$8,Sheet6!$C$8,"")))))))</f>
        <v/>
      </c>
      <c r="CL67" s="53" t="str">
        <f>IF(Tim!HM69=Sheet6!$C$2,Sheet6!$C$2,IF(Tim!HM69=Sheet6!$C$3,Sheet6!$C$3,IF(Tim!HM69=Sheet6!$C$4,Sheet6!$C$4,IF(Tim!HM69=Sheet6!$C$5,Sheet6!$C$5,IF(Tim!HM69=Sheet6!$C$6,Sheet6!$C$6,IF(Tim!HM69=Sheet6!$C$7,Sheet6!$C$7,IF(Tim!HM69=Sheet6!$C$8,Sheet6!$C$8,"")))))))</f>
        <v/>
      </c>
      <c r="CM67" s="53" t="str">
        <f>IF(Tim!HQ69=Sheet6!$C$2,Sheet6!$C$2,IF(Tim!HQ69=Sheet6!$C$3,Sheet6!$C$3,IF(Tim!HQ69=Sheet6!$C$4,Sheet6!$C$4,IF(Tim!HQ69=Sheet6!$C$5,Sheet6!$C$5,IF(Tim!HQ69=Sheet6!$C$6,Sheet6!$C$6,IF(Tim!HQ69=Sheet6!$C$7,Sheet6!$C$7,IF(Tim!HQ69=Sheet6!$C$8,Sheet6!$C$8,"")))))))</f>
        <v/>
      </c>
      <c r="CN67" s="54" t="str">
        <f>IF(Tim!HR69=Sheet6!$C$2,Sheet6!$C$2,IF(Tim!HR69=Sheet6!$C$3,Sheet6!$C$3,IF(Tim!HR69=Sheet6!$C$4,Sheet6!$C$4,IF(Tim!HR69=Sheet6!$C$5,Sheet6!$C$5,IF(Tim!HR69=Sheet6!$C$6,Sheet6!$C$6,IF(Tim!HR69=Sheet6!$C$7,Sheet6!$C$7,IF(Tim!HR69=Sheet6!$C$8,Sheet6!$C$8,"")))))))</f>
        <v/>
      </c>
      <c r="CO67" s="54" t="str">
        <f>IF(Tim!HS69=Sheet6!$C$2,Sheet6!$C$2,IF(Tim!HS69=Sheet6!$C$3,Sheet6!$C$3,IF(Tim!HS69=Sheet6!$C$4,Sheet6!$C$4,IF(Tim!HS69=Sheet6!$C$5,Sheet6!$C$5,IF(Tim!HS69=Sheet6!$C$6,Sheet6!$C$6,IF(Tim!HS69=Sheet6!$C$7,Sheet6!$C$7,IF(Tim!HS69=Sheet6!$C$8,Sheet6!$C$8,"")))))))</f>
        <v/>
      </c>
      <c r="CP67" s="54" t="str">
        <f>IF(Tim!HT69=Sheet6!$C$2,Sheet6!$C$2,IF(Tim!HT69=Sheet6!$C$3,Sheet6!$C$3,IF(Tim!HT69=Sheet6!$C$4,Sheet6!$C$4,IF(Tim!HT69=Sheet6!$C$5,Sheet6!$C$5,IF(Tim!HT69=Sheet6!$C$6,Sheet6!$C$6,IF(Tim!HT69=Sheet6!$C$7,Sheet6!$C$7,IF(Tim!HT69=Sheet6!$C$8,Sheet6!$C$8,"")))))))</f>
        <v/>
      </c>
      <c r="CQ67" s="55" t="str">
        <f>IF(Tim!HU69=Sheet6!$C$2,Sheet6!$C$2,IF(Tim!HU69=Sheet6!$C$3,Sheet6!$C$3,IF(Tim!HU69=Sheet6!$C$4,Sheet6!$C$4,IF(Tim!HU69=Sheet6!$C$5,Sheet6!$C$5,IF(Tim!HU69=Sheet6!$C$6,Sheet6!$C$6,IF(Tim!HU69=Sheet6!$C$7,Sheet6!$C$7,IF(Tim!HU69=Sheet6!$C$8,Sheet6!$C$8,"")))))))</f>
        <v/>
      </c>
      <c r="CR67" s="469"/>
      <c r="CS67" s="366"/>
      <c r="CT67" s="366"/>
      <c r="CU67" s="366"/>
      <c r="CV67" s="366"/>
      <c r="CW67" s="366"/>
      <c r="CX67" s="366"/>
      <c r="CY67" s="366"/>
      <c r="CZ67" s="366"/>
      <c r="DA67" s="366"/>
      <c r="DB67" s="366"/>
      <c r="DC67" s="366"/>
      <c r="DD67" s="366"/>
      <c r="DE67" s="366"/>
      <c r="DF67" s="366"/>
      <c r="DG67" s="428"/>
      <c r="DH67" s="422"/>
      <c r="DI67" s="423"/>
      <c r="DJ67" s="423"/>
      <c r="DK67" s="423"/>
      <c r="DL67" s="423"/>
      <c r="DM67" s="423"/>
      <c r="DN67" s="423"/>
      <c r="DO67" s="423"/>
      <c r="DP67" s="423"/>
      <c r="DQ67" s="423"/>
      <c r="DR67" s="423"/>
      <c r="DS67" s="423"/>
      <c r="DT67" s="423"/>
      <c r="DU67" s="423"/>
      <c r="DV67" s="423"/>
      <c r="DW67" s="424"/>
      <c r="DX67" s="52">
        <v>0.937499999999998</v>
      </c>
    </row>
    <row r="68" spans="2:128" ht="10.5" customHeight="1" thickBot="1">
      <c r="B68" s="51">
        <v>0.25</v>
      </c>
      <c r="C68" s="51">
        <v>0.25</v>
      </c>
      <c r="D68" s="51">
        <v>0.25</v>
      </c>
      <c r="E68" s="69">
        <v>0.94791666666666496</v>
      </c>
      <c r="F68" s="70" t="str">
        <f>IF(Tim!F70=Sheet6!$C$2,Sheet6!$C$2,IF(Tim!F70=Sheet6!$C$3,Sheet6!$C$3,IF(Tim!F70=Sheet6!$C$4,Sheet6!$C$4,IF(Tim!F70=Sheet6!$C$5,Sheet6!$C$5,IF(Tim!F70=Sheet6!$C$6,Sheet6!$C$6,IF(Tim!F70=Sheet6!$C$7,Sheet6!$C$7,IF(Tim!F70=Sheet6!$C$8,Sheet6!$C$8,"")))))))</f>
        <v/>
      </c>
      <c r="G68" s="70" t="str">
        <f>IF(Tim!G70=Sheet6!$C$2,Sheet6!$C$2,IF(Tim!G70=Sheet6!$C$3,Sheet6!$C$3,IF(Tim!G70=Sheet6!$C$4,Sheet6!$C$4,IF(Tim!G70=Sheet6!$C$5,Sheet6!$C$5,IF(Tim!G70=Sheet6!$C$6,Sheet6!$C$6,IF(Tim!G70=Sheet6!$C$7,Sheet6!$C$7,IF(Tim!G70=Sheet6!$C$8,Sheet6!$C$8,"")))))))</f>
        <v/>
      </c>
      <c r="H68" s="70" t="str">
        <f>IF(Tim!H70=Sheet6!$C$2,Sheet6!$C$2,IF(Tim!H70=Sheet6!$C$3,Sheet6!$C$3,IF(Tim!H70=Sheet6!$C$4,Sheet6!$C$4,IF(Tim!H70=Sheet6!$C$5,Sheet6!$C$5,IF(Tim!H70=Sheet6!$C$6,Sheet6!$C$6,IF(Tim!H70=Sheet6!$C$7,Sheet6!$C$7,IF(Tim!H70=Sheet6!$C$8,Sheet6!$C$8,"")))))))</f>
        <v/>
      </c>
      <c r="I68" s="70" t="str">
        <f>IF(Tim!L70=Sheet6!$C$2,Sheet6!$C$2,IF(Tim!L70=Sheet6!$C$3,Sheet6!$C$3,IF(Tim!L70=Sheet6!$C$4,Sheet6!$C$4,IF(Tim!L70=Sheet6!$C$5,Sheet6!$C$5,IF(Tim!L70=Sheet6!$C$6,Sheet6!$C$6,IF(Tim!L70=Sheet6!$C$7,Sheet6!$C$7,IF(Tim!L70=Sheet6!$C$8,Sheet6!$C$8,"")))))))</f>
        <v/>
      </c>
      <c r="J68" s="70" t="str">
        <f>IF(Tim!T70=Sheet6!$C$2,Sheet6!$C$2,IF(Tim!T70=Sheet6!$C$3,Sheet6!$C$3,IF(Tim!T70=Sheet6!$C$4,Sheet6!$C$4,IF(Tim!T70=Sheet6!$C$5,Sheet6!$C$5,IF(Tim!T70=Sheet6!$C$6,Sheet6!$C$6,IF(Tim!T70=Sheet6!$C$7,Sheet6!$C$7,IF(Tim!T70=Sheet6!$C$8,Sheet6!$C$8,"")))))))</f>
        <v/>
      </c>
      <c r="K68" s="70" t="str">
        <f>IF(Tim!AB70=Sheet6!$C$2,Sheet6!$C$2,IF(Tim!AB70=Sheet6!$C$3,Sheet6!$C$3,IF(Tim!AB70=Sheet6!$C$4,Sheet6!$C$4,IF(Tim!AB70=Sheet6!$C$5,Sheet6!$C$5,IF(Tim!AB70=Sheet6!$C$6,Sheet6!$C$6,IF(Tim!AB70=Sheet6!$C$7,Sheet6!$C$7,IF(Tim!AB70=Sheet6!$C$8,Sheet6!$C$8,"")))))))</f>
        <v/>
      </c>
      <c r="L68" s="70" t="str">
        <f>IF(Tim!AC70=Sheet6!$C$2,Sheet6!$C$2,IF(Tim!AC70=Sheet6!$C$3,Sheet6!$C$3,IF(Tim!AC70=Sheet6!$C$4,Sheet6!$C$4,IF(Tim!AC70=Sheet6!$C$5,Sheet6!$C$5,IF(Tim!AC70=Sheet6!$C$6,Sheet6!$C$6,IF(Tim!AC70=Sheet6!$C$7,Sheet6!$C$7,IF(Tim!AC70=Sheet6!$C$8,Sheet6!$C$8,"")))))))</f>
        <v/>
      </c>
      <c r="M68" s="70" t="str">
        <f>IF(Tim!AJ70=Sheet6!$C$2,Sheet6!$C$2,IF(Tim!AJ70=Sheet6!$C$3,Sheet6!$C$3,IF(Tim!AJ70=Sheet6!$C$4,Sheet6!$C$4,IF(Tim!AJ70=Sheet6!$C$5,Sheet6!$C$5,IF(Tim!AJ70=Sheet6!$C$6,Sheet6!$C$6,IF(Tim!AJ70=Sheet6!$C$7,Sheet6!$C$7,IF(Tim!AJ70=Sheet6!$C$8,Sheet6!$C$8,"")))))))</f>
        <v/>
      </c>
      <c r="N68" s="70" t="str">
        <f>IF(Tim!AK70=Sheet6!$C$2,Sheet6!$C$2,IF(Tim!AK70=Sheet6!$C$3,Sheet6!$C$3,IF(Tim!AK70=Sheet6!$C$4,Sheet6!$C$4,IF(Tim!AK70=Sheet6!$C$5,Sheet6!$C$5,IF(Tim!AK70=Sheet6!$C$6,Sheet6!$C$6,IF(Tim!AK70=Sheet6!$C$7,Sheet6!$C$7,IF(Tim!AK70=Sheet6!$C$8,Sheet6!$C$8,"")))))))</f>
        <v/>
      </c>
      <c r="O68" s="70" t="str">
        <f>IF(Tim!AL70=Sheet6!$C$2,Sheet6!$C$2,IF(Tim!AL70=Sheet6!$C$3,Sheet6!$C$3,IF(Tim!AL70=Sheet6!$C$4,Sheet6!$C$4,IF(Tim!AL70=Sheet6!$C$5,Sheet6!$C$5,IF(Tim!AL70=Sheet6!$C$6,Sheet6!$C$6,IF(Tim!AL70=Sheet6!$C$7,Sheet6!$C$7,IF(Tim!AL70=Sheet6!$C$8,Sheet6!$C$8,"")))))))</f>
        <v/>
      </c>
      <c r="P68" s="70" t="str">
        <f>IF(Tim!AN70=Sheet6!$C$2,Sheet6!$C$2,IF(Tim!AN70=Sheet6!$C$3,Sheet6!$C$3,IF(Tim!AN70=Sheet6!$C$4,Sheet6!$C$4,IF(Tim!AN70=Sheet6!$C$5,Sheet6!$C$5,IF(Tim!AN70=Sheet6!$C$6,Sheet6!$C$6,IF(Tim!AN70=Sheet6!$C$7,Sheet6!$C$7,IF(Tim!AN70=Sheet6!$C$8,Sheet6!$C$8,"")))))))</f>
        <v/>
      </c>
      <c r="Q68" s="70" t="str">
        <f>IF(Tim!AO70=Sheet6!$C$2,Sheet6!$C$2,IF(Tim!AO70=Sheet6!$C$3,Sheet6!$C$3,IF(Tim!AO70=Sheet6!$C$4,Sheet6!$C$4,IF(Tim!AO70=Sheet6!$C$5,Sheet6!$C$5,IF(Tim!AO70=Sheet6!$C$6,Sheet6!$C$6,IF(Tim!AO70=Sheet6!$C$7,Sheet6!$C$7,IF(Tim!AO70=Sheet6!$C$8,Sheet6!$C$8,"")))))))</f>
        <v/>
      </c>
      <c r="R68" s="70" t="str">
        <f>IF(Tim!AP70=Sheet6!$C$2,Sheet6!$C$2,IF(Tim!AP70=Sheet6!$C$3,Sheet6!$C$3,IF(Tim!AP70=Sheet6!$C$4,Sheet6!$C$4,IF(Tim!AP70=Sheet6!$C$5,Sheet6!$C$5,IF(Tim!AP70=Sheet6!$C$6,Sheet6!$C$6,IF(Tim!AP70=Sheet6!$C$7,Sheet6!$C$7,IF(Tim!AP70=Sheet6!$C$8,Sheet6!$C$8,"")))))))</f>
        <v/>
      </c>
      <c r="S68" s="70" t="str">
        <f>IF(Tim!AT70=Sheet6!$C$2,Sheet6!$C$2,IF(Tim!AT70=Sheet6!$C$3,Sheet6!$C$3,IF(Tim!AT70=Sheet6!$C$4,Sheet6!$C$4,IF(Tim!AT70=Sheet6!$C$5,Sheet6!$C$5,IF(Tim!AT70=Sheet6!$C$6,Sheet6!$C$6,IF(Tim!AT70=Sheet6!$C$7,Sheet6!$C$7,IF(Tim!AT70=Sheet6!$C$8,Sheet6!$C$8,"")))))))</f>
        <v/>
      </c>
      <c r="T68" s="71" t="str">
        <f>IF(Tim!AU70=Sheet6!$C$2,Sheet6!$C$2,IF(Tim!AU70=Sheet6!$C$3,Sheet6!$C$3,IF(Tim!AU70=Sheet6!$C$4,Sheet6!$C$4,IF(Tim!AU70=Sheet6!$C$5,Sheet6!$C$5,IF(Tim!AU70=Sheet6!$C$6,Sheet6!$C$6,IF(Tim!AU70=Sheet6!$C$7,Sheet6!$C$7,IF(Tim!AU70=Sheet6!$C$8,Sheet6!$C$8,"")))))))</f>
        <v/>
      </c>
      <c r="U68" s="71" t="str">
        <f>IF(Tim!AV70=Sheet6!$C$2,Sheet6!$C$2,IF(Tim!AV70=Sheet6!$C$3,Sheet6!$C$3,IF(Tim!AV70=Sheet6!$C$4,Sheet6!$C$4,IF(Tim!AV70=Sheet6!$C$5,Sheet6!$C$5,IF(Tim!AV70=Sheet6!$C$6,Sheet6!$C$6,IF(Tim!AV70=Sheet6!$C$7,Sheet6!$C$7,IF(Tim!AV70=Sheet6!$C$8,Sheet6!$C$8,"")))))))</f>
        <v/>
      </c>
      <c r="V68" s="71" t="str">
        <f>IF(Tim!AW70=Sheet6!$C$2,Sheet6!$C$2,IF(Tim!AW70=Sheet6!$C$3,Sheet6!$C$3,IF(Tim!AW70=Sheet6!$C$4,Sheet6!$C$4,IF(Tim!AW70=Sheet6!$C$5,Sheet6!$C$5,IF(Tim!AW70=Sheet6!$C$6,Sheet6!$C$6,IF(Tim!AW70=Sheet6!$C$7,Sheet6!$C$7,IF(Tim!AW70=Sheet6!$C$8,Sheet6!$C$8,"")))))))</f>
        <v/>
      </c>
      <c r="W68" s="72" t="str">
        <f>IF(Tim!AX70=Sheet6!$C$2,Sheet6!$C$2,IF(Tim!AX70=Sheet6!$C$3,Sheet6!$C$3,IF(Tim!AX70=Sheet6!$C$4,Sheet6!$C$4,IF(Tim!AX70=Sheet6!$C$5,Sheet6!$C$5,IF(Tim!AX70=Sheet6!$C$6,Sheet6!$C$6,IF(Tim!AX70=Sheet6!$C$7,Sheet6!$C$7,IF(Tim!AX70=Sheet6!$C$8,Sheet6!$C$8,"")))))))</f>
        <v/>
      </c>
      <c r="X68" s="73" t="str">
        <f>IF(Tim!AY70=Sheet6!$C$2,Sheet6!$C$2,IF(Tim!AY70=Sheet6!$C$3,Sheet6!$C$3,IF(Tim!AY70=Sheet6!$C$4,Sheet6!$C$4,IF(Tim!AY70=Sheet6!$C$5,Sheet6!$C$5,IF(Tim!AY70=Sheet6!$C$6,Sheet6!$C$6,IF(Tim!AY70=Sheet6!$C$7,Sheet6!$C$7,IF(Tim!AY70=Sheet6!$C$8,Sheet6!$C$8,"")))))))</f>
        <v/>
      </c>
      <c r="Y68" s="74" t="str">
        <f>IF(Tim!AZ70=Sheet6!$C$2,Sheet6!$C$2,IF(Tim!AZ70=Sheet6!$C$3,Sheet6!$C$3,IF(Tim!AZ70=Sheet6!$C$4,Sheet6!$C$4,IF(Tim!AZ70=Sheet6!$C$5,Sheet6!$C$5,IF(Tim!AZ70=Sheet6!$C$6,Sheet6!$C$6,IF(Tim!AZ70=Sheet6!$C$7,Sheet6!$C$7,IF(Tim!AZ70=Sheet6!$C$8,Sheet6!$C$8,"")))))))</f>
        <v/>
      </c>
      <c r="Z68" s="74" t="str">
        <f>IF(Tim!BD70=Sheet6!$C$2,Sheet6!$C$2,IF(Tim!BD70=Sheet6!$C$3,Sheet6!$C$3,IF(Tim!BD70=Sheet6!$C$4,Sheet6!$C$4,IF(Tim!BD70=Sheet6!$C$5,Sheet6!$C$5,IF(Tim!BD70=Sheet6!$C$6,Sheet6!$C$6,IF(Tim!BD70=Sheet6!$C$7,Sheet6!$C$7,IF(Tim!BD70=Sheet6!$C$8,Sheet6!$C$8,"")))))))</f>
        <v/>
      </c>
      <c r="AA68" s="74" t="str">
        <f>IF(Tim!BE70=Sheet6!$C$2,Sheet6!$C$2,IF(Tim!BE70=Sheet6!$C$3,Sheet6!$C$3,IF(Tim!BE70=Sheet6!$C$4,Sheet6!$C$4,IF(Tim!BE70=Sheet6!$C$5,Sheet6!$C$5,IF(Tim!BE70=Sheet6!$C$6,Sheet6!$C$6,IF(Tim!BE70=Sheet6!$C$7,Sheet6!$C$7,IF(Tim!BE70=Sheet6!$C$8,Sheet6!$C$8,"")))))))</f>
        <v/>
      </c>
      <c r="AB68" s="74" t="str">
        <f>IF(Tim!BL70=Sheet6!$C$2,Sheet6!$C$2,IF(Tim!BL70=Sheet6!$C$3,Sheet6!$C$3,IF(Tim!BL70=Sheet6!$C$4,Sheet6!$C$4,IF(Tim!BL70=Sheet6!$C$5,Sheet6!$C$5,IF(Tim!BL70=Sheet6!$C$6,Sheet6!$C$6,IF(Tim!BL70=Sheet6!$C$7,Sheet6!$C$7,IF(Tim!BL70=Sheet6!$C$8,Sheet6!$C$8,"")))))))</f>
        <v/>
      </c>
      <c r="AC68" s="70" t="str">
        <f>IF(Tim!BT70=Sheet6!$C$2,Sheet6!$C$2,IF(Tim!BT70=Sheet6!$C$3,Sheet6!$C$3,IF(Tim!BT70=Sheet6!$C$4,Sheet6!$C$4,IF(Tim!BT70=Sheet6!$C$5,Sheet6!$C$5,IF(Tim!BT70=Sheet6!$C$6,Sheet6!$C$6,IF(Tim!BT70=Sheet6!$C$7,Sheet6!$C$7,IF(Tim!BT70=Sheet6!$C$8,Sheet6!$C$8,"")))))))</f>
        <v/>
      </c>
      <c r="AD68" s="182" t="str">
        <f>IF(Tim!BU70=Sheet6!$C$2,Sheet6!$C$2,IF(Tim!BU70=Sheet6!$C$3,Sheet6!$C$3,IF(Tim!BU70=Sheet6!$C$4,Sheet6!$C$4,IF(Tim!BU70=Sheet6!$C$5,Sheet6!$C$5,IF(Tim!BU70=Sheet6!$C$6,Sheet6!$C$6,IF(Tim!BU70=Sheet6!$C$7,Sheet6!$C$7,IF(Tim!BU70=Sheet6!$C$8,Sheet6!$C$8,"")))))))</f>
        <v/>
      </c>
      <c r="AE68" s="70" t="str">
        <f>IF(Tim!CB70=Sheet6!$C$2,Sheet6!$C$2,IF(Tim!CB70=Sheet6!$C$3,Sheet6!$C$3,IF(Tim!CB70=Sheet6!$C$4,Sheet6!$C$4,IF(Tim!CB70=Sheet6!$C$5,Sheet6!$C$5,IF(Tim!CB70=Sheet6!$C$6,Sheet6!$C$6,IF(Tim!CB70=Sheet6!$C$7,Sheet6!$C$7,IF(Tim!CB70=Sheet6!$C$8,Sheet6!$C$8,"")))))))</f>
        <v/>
      </c>
      <c r="AF68" s="70" t="str">
        <f>IF(Tim!CD70=Sheet6!$C$2,Sheet6!$C$2,IF(Tim!CD70=Sheet6!$C$3,Sheet6!$C$3,IF(Tim!CD70=Sheet6!$C$4,Sheet6!$C$4,IF(Tim!CD70=Sheet6!$C$5,Sheet6!$C$5,IF(Tim!CD70=Sheet6!$C$6,Sheet6!$C$6,IF(Tim!CD70=Sheet6!$C$7,Sheet6!$C$7,IF(Tim!CD70=Sheet6!$C$8,Sheet6!$C$8,"")))))))</f>
        <v/>
      </c>
      <c r="AG68" s="70" t="str">
        <f>IF(Tim!CE70=Sheet6!$C$2,Sheet6!$C$2,IF(Tim!CE70=Sheet6!$C$3,Sheet6!$C$3,IF(Tim!CE70=Sheet6!$C$4,Sheet6!$C$4,IF(Tim!CE70=Sheet6!$C$5,Sheet6!$C$5,IF(Tim!CE70=Sheet6!$C$6,Sheet6!$C$6,IF(Tim!CE70=Sheet6!$C$7,Sheet6!$C$7,IF(Tim!CE70=Sheet6!$C$8,Sheet6!$C$8,"")))))))</f>
        <v/>
      </c>
      <c r="AH68" s="70" t="str">
        <f>IF(Tim!CF70=Sheet6!$C$2,Sheet6!$C$2,IF(Tim!CF70=Sheet6!$C$3,Sheet6!$C$3,IF(Tim!CF70=Sheet6!$C$4,Sheet6!$C$4,IF(Tim!CF70=Sheet6!$C$5,Sheet6!$C$5,IF(Tim!CF70=Sheet6!$C$6,Sheet6!$C$6,IF(Tim!CF70=Sheet6!$C$7,Sheet6!$C$7,IF(Tim!CF70=Sheet6!$C$8,Sheet6!$C$8,"")))))))</f>
        <v/>
      </c>
      <c r="AI68" s="70" t="str">
        <f>IF(Tim!CG70=Sheet6!$C$2,Sheet6!$C$2,IF(Tim!CG70=Sheet6!$C$3,Sheet6!$C$3,IF(Tim!CG70=Sheet6!$C$4,Sheet6!$C$4,IF(Tim!CG70=Sheet6!$C$5,Sheet6!$C$5,IF(Tim!CG70=Sheet6!$C$6,Sheet6!$C$6,IF(Tim!CG70=Sheet6!$C$7,Sheet6!$C$7,IF(Tim!CG70=Sheet6!$C$8,Sheet6!$C$8,"")))))))</f>
        <v/>
      </c>
      <c r="AJ68" s="70" t="str">
        <f>IF(Tim!CH70=Sheet6!$C$2,Sheet6!$C$2,IF(Tim!CH70=Sheet6!$C$3,Sheet6!$C$3,IF(Tim!CH70=Sheet6!$C$4,Sheet6!$C$4,IF(Tim!CH70=Sheet6!$C$5,Sheet6!$C$5,IF(Tim!CH70=Sheet6!$C$6,Sheet6!$C$6,IF(Tim!CH70=Sheet6!$C$7,Sheet6!$C$7,IF(Tim!CH70=Sheet6!$C$8,Sheet6!$C$8,"")))))))</f>
        <v/>
      </c>
      <c r="AK68" s="70" t="str">
        <f>IF(Tim!CL70=Sheet6!$C$2,Sheet6!$C$2,IF(Tim!CL70=Sheet6!$C$3,Sheet6!$C$3,IF(Tim!CL70=Sheet6!$C$4,Sheet6!$C$4,IF(Tim!CL70=Sheet6!$C$5,Sheet6!$C$5,IF(Tim!CL70=Sheet6!$C$6,Sheet6!$C$6,IF(Tim!CL70=Sheet6!$C$7,Sheet6!$C$7,IF(Tim!CL70=Sheet6!$C$8,Sheet6!$C$8,"")))))))</f>
        <v/>
      </c>
      <c r="AL68" s="71" t="str">
        <f>IF(Tim!CM70=Sheet6!$C$2,Sheet6!$C$2,IF(Tim!CM70=Sheet6!$C$3,Sheet6!$C$3,IF(Tim!CM70=Sheet6!$C$4,Sheet6!$C$4,IF(Tim!CM70=Sheet6!$C$5,Sheet6!$C$5,IF(Tim!CM70=Sheet6!$C$6,Sheet6!$C$6,IF(Tim!CM70=Sheet6!$C$7,Sheet6!$C$7,IF(Tim!CM70=Sheet6!$C$8,Sheet6!$C$8,"")))))))</f>
        <v/>
      </c>
      <c r="AM68" s="71" t="str">
        <f>IF(Tim!CN70=Sheet6!$C$2,Sheet6!$C$2,IF(Tim!CN70=Sheet6!$C$3,Sheet6!$C$3,IF(Tim!CN70=Sheet6!$C$4,Sheet6!$C$4,IF(Tim!CN70=Sheet6!$C$5,Sheet6!$C$5,IF(Tim!CN70=Sheet6!$C$6,Sheet6!$C$6,IF(Tim!CN70=Sheet6!$C$7,Sheet6!$C$7,IF(Tim!CN70=Sheet6!$C$8,Sheet6!$C$8,"")))))))</f>
        <v/>
      </c>
      <c r="AN68" s="71" t="str">
        <f>IF(Tim!CO70=Sheet6!$C$2,Sheet6!$C$2,IF(Tim!CO70=Sheet6!$C$3,Sheet6!$C$3,IF(Tim!CO70=Sheet6!$C$4,Sheet6!$C$4,IF(Tim!CO70=Sheet6!$C$5,Sheet6!$C$5,IF(Tim!CO70=Sheet6!$C$6,Sheet6!$C$6,IF(Tim!CO70=Sheet6!$C$7,Sheet6!$C$7,IF(Tim!CO70=Sheet6!$C$8,Sheet6!$C$8,"")))))))</f>
        <v/>
      </c>
      <c r="AO68" s="72" t="str">
        <f>IF(Tim!CP70=Sheet6!$C$2,Sheet6!$C$2,IF(Tim!CP70=Sheet6!$C$3,Sheet6!$C$3,IF(Tim!CP70=Sheet6!$C$4,Sheet6!$C$4,IF(Tim!CP70=Sheet6!$C$5,Sheet6!$C$5,IF(Tim!CP70=Sheet6!$C$6,Sheet6!$C$6,IF(Tim!CP70=Sheet6!$C$7,Sheet6!$C$7,IF(Tim!CP70=Sheet6!$C$8,Sheet6!$C$8,"")))))))</f>
        <v/>
      </c>
      <c r="AP68" s="73" t="str">
        <f>IF(Tim!CQ70=Sheet6!$C$2,Sheet6!$C$2,IF(Tim!CQ70=Sheet6!$C$3,Sheet6!$C$3,IF(Tim!CQ70=Sheet6!$C$4,Sheet6!$C$4,IF(Tim!CQ70=Sheet6!$C$5,Sheet6!$C$5,IF(Tim!CQ70=Sheet6!$C$6,Sheet6!$C$6,IF(Tim!CQ70=Sheet6!$C$7,Sheet6!$C$7,IF(Tim!CQ70=Sheet6!$C$8,Sheet6!$C$8,"")))))))</f>
        <v/>
      </c>
      <c r="AQ68" s="74" t="str">
        <f>IF(Tim!CR70=Sheet6!$C$2,Sheet6!$C$2,IF(Tim!CR70=Sheet6!$C$3,Sheet6!$C$3,IF(Tim!CR70=Sheet6!$C$4,Sheet6!$C$4,IF(Tim!CR70=Sheet6!$C$5,Sheet6!$C$5,IF(Tim!CR70=Sheet6!$C$6,Sheet6!$C$6,IF(Tim!CR70=Sheet6!$C$7,Sheet6!$C$7,IF(Tim!CR70=Sheet6!$C$8,Sheet6!$C$8,"")))))))</f>
        <v/>
      </c>
      <c r="AR68" s="74" t="str">
        <f>IF(Tim!CV70=Sheet6!$C$2,Sheet6!$C$2,IF(Tim!CV70=Sheet6!$C$3,Sheet6!$C$3,IF(Tim!CV70=Sheet6!$C$4,Sheet6!$C$4,IF(Tim!CV70=Sheet6!$C$5,Sheet6!$C$5,IF(Tim!CV70=Sheet6!$C$6,Sheet6!$C$6,IF(Tim!CV70=Sheet6!$C$7,Sheet6!$C$7,IF(Tim!CV70=Sheet6!$C$8,Sheet6!$C$8,"")))))))</f>
        <v/>
      </c>
      <c r="AS68" s="74" t="str">
        <f>IF(Tim!CW70=Sheet6!$C$2,Sheet6!$C$2,IF(Tim!CW70=Sheet6!$C$3,Sheet6!$C$3,IF(Tim!CW70=Sheet6!$C$4,Sheet6!$C$4,IF(Tim!CW70=Sheet6!$C$5,Sheet6!$C$5,IF(Tim!CW70=Sheet6!$C$6,Sheet6!$C$6,IF(Tim!CW70=Sheet6!$C$7,Sheet6!$C$7,IF(Tim!CW70=Sheet6!$C$8,Sheet6!$C$8,"")))))))</f>
        <v/>
      </c>
      <c r="AT68" s="74" t="str">
        <f>IF(Tim!DA70=Sheet6!$C$2,Sheet6!$C$2,IF(Tim!DA70=Sheet6!$C$3,Sheet6!$C$3,IF(Tim!DA70=Sheet6!$C$4,Sheet6!$C$4,IF(Tim!DA70=Sheet6!$C$5,Sheet6!$C$5,IF(Tim!DA70=Sheet6!$C$6,Sheet6!$C$6,IF(Tim!DA70=Sheet6!$C$7,Sheet6!$C$7,IF(Tim!DA70=Sheet6!$C$8,Sheet6!$C$8,"")))))))</f>
        <v/>
      </c>
      <c r="AU68" s="70" t="str">
        <f>IF(Tim!DO70=Sheet6!$C$2,Sheet6!$C$2,IF(Tim!DO70=Sheet6!$C$3,Sheet6!$C$3,IF(Tim!DO70=Sheet6!$C$4,Sheet6!$C$4,IF(Tim!DO70=Sheet6!$C$5,Sheet6!$C$5,IF(Tim!DO70=Sheet6!$C$6,Sheet6!$C$6,IF(Tim!DO70=Sheet6!$C$7,Sheet6!$C$7,IF(Tim!DO70=Sheet6!$C$8,Sheet6!$C$8,"")))))))</f>
        <v/>
      </c>
      <c r="AV68" s="70" t="str">
        <f>IF(Tim!DP70=Sheet6!$C$2,Sheet6!$C$2,IF(Tim!DP70=Sheet6!$C$3,Sheet6!$C$3,IF(Tim!DP70=Sheet6!$C$4,Sheet6!$C$4,IF(Tim!DP70=Sheet6!$C$5,Sheet6!$C$5,IF(Tim!DP70=Sheet6!$C$6,Sheet6!$C$6,IF(Tim!DP70=Sheet6!$C$7,Sheet6!$C$7,IF(Tim!DP70=Sheet6!$C$8,Sheet6!$C$8,"")))))))</f>
        <v/>
      </c>
      <c r="AW68" s="70" t="str">
        <f>IF(Tim!DX70=Sheet6!$C$2,Sheet6!$C$2,IF(Tim!DX70=Sheet6!$C$3,Sheet6!$C$3,IF(Tim!DX70=Sheet6!$C$4,Sheet6!$C$4,IF(Tim!DX70=Sheet6!$C$5,Sheet6!$C$5,IF(Tim!DX70=Sheet6!$C$6,Sheet6!$C$6,IF(Tim!DX70=Sheet6!$C$7,Sheet6!$C$7,IF(Tim!DX70=Sheet6!$C$8,Sheet6!$C$8,"")))))))</f>
        <v/>
      </c>
      <c r="AX68" s="70" t="str">
        <f>IF(Tim!DY70=Sheet6!$C$2,Sheet6!$C$2,IF(Tim!DY70=Sheet6!$C$3,Sheet6!$C$3,IF(Tim!DY70=Sheet6!$C$4,Sheet6!$C$4,IF(Tim!DY70=Sheet6!$C$5,Sheet6!$C$5,IF(Tim!DY70=Sheet6!$C$6,Sheet6!$C$6,IF(Tim!DY70=Sheet6!$C$7,Sheet6!$C$7,IF(Tim!DY70=Sheet6!$C$8,Sheet6!$C$8,"")))))))</f>
        <v/>
      </c>
      <c r="AY68" s="70" t="str">
        <f>IF(Tim!DZ70=Sheet6!$C$2,Sheet6!$C$2,IF(Tim!DZ70=Sheet6!$C$3,Sheet6!$C$3,IF(Tim!DZ70=Sheet6!$C$4,Sheet6!$C$4,IF(Tim!DZ70=Sheet6!$C$5,Sheet6!$C$5,IF(Tim!DZ70=Sheet6!$C$6,Sheet6!$C$6,IF(Tim!DZ70=Sheet6!$C$7,Sheet6!$C$7,IF(Tim!DZ70=Sheet6!$C$8,Sheet6!$C$8,"")))))))</f>
        <v/>
      </c>
      <c r="AZ68" s="70" t="str">
        <f>IF(Tim!EA70=Sheet6!$C$2,Sheet6!$C$2,IF(Tim!EA70=Sheet6!$C$3,Sheet6!$C$3,IF(Tim!EA70=Sheet6!$C$4,Sheet6!$C$4,IF(Tim!EA70=Sheet6!$C$5,Sheet6!$C$5,IF(Tim!EA70=Sheet6!$C$6,Sheet6!$C$6,IF(Tim!EA70=Sheet6!$C$7,Sheet6!$C$7,IF(Tim!EA70=Sheet6!$C$8,Sheet6!$C$8,"")))))))</f>
        <v/>
      </c>
      <c r="BA68" s="70" t="str">
        <f>IF(Tim!EB70=Sheet6!$C$2,Sheet6!$C$2,IF(Tim!EB70=Sheet6!$C$3,Sheet6!$C$3,IF(Tim!EB70=Sheet6!$C$4,Sheet6!$C$4,IF(Tim!EB70=Sheet6!$C$5,Sheet6!$C$5,IF(Tim!EB70=Sheet6!$C$6,Sheet6!$C$6,IF(Tim!EB70=Sheet6!$C$7,Sheet6!$C$7,IF(Tim!EB70=Sheet6!$C$8,Sheet6!$C$8,"")))))))</f>
        <v/>
      </c>
      <c r="BB68" s="70" t="str">
        <f>IF(Tim!EC70=Sheet6!$C$2,Sheet6!$C$2,IF(Tim!EC70=Sheet6!$C$3,Sheet6!$C$3,IF(Tim!EC70=Sheet6!$C$4,Sheet6!$C$4,IF(Tim!EC70=Sheet6!$C$5,Sheet6!$C$5,IF(Tim!EC70=Sheet6!$C$6,Sheet6!$C$6,IF(Tim!EC70=Sheet6!$C$7,Sheet6!$C$7,IF(Tim!EC70=Sheet6!$C$8,Sheet6!$C$8,"")))))))</f>
        <v/>
      </c>
      <c r="BC68" s="70" t="str">
        <f>IF(Tim!EG70=Sheet6!$C$2,Sheet6!$C$2,IF(Tim!EG70=Sheet6!$C$3,Sheet6!$C$3,IF(Tim!EG70=Sheet6!$C$4,Sheet6!$C$4,IF(Tim!EG70=Sheet6!$C$5,Sheet6!$C$5,IF(Tim!EG70=Sheet6!$C$6,Sheet6!$C$6,IF(Tim!EG70=Sheet6!$C$7,Sheet6!$C$7,IF(Tim!EG70=Sheet6!$C$8,Sheet6!$C$8,"")))))))</f>
        <v/>
      </c>
      <c r="BD68" s="71" t="str">
        <f>IF(Tim!EH70=Sheet6!$C$2,Sheet6!$C$2,IF(Tim!EH70=Sheet6!$C$3,Sheet6!$C$3,IF(Tim!EH70=Sheet6!$C$4,Sheet6!$C$4,IF(Tim!EH70=Sheet6!$C$5,Sheet6!$C$5,IF(Tim!EH70=Sheet6!$C$6,Sheet6!$C$6,IF(Tim!EH70=Sheet6!$C$7,Sheet6!$C$7,IF(Tim!EH70=Sheet6!$C$8,Sheet6!$C$8,"")))))))</f>
        <v/>
      </c>
      <c r="BE68" s="71" t="str">
        <f>IF(Tim!EI70=Sheet6!$C$2,Sheet6!$C$2,IF(Tim!EI70=Sheet6!$C$3,Sheet6!$C$3,IF(Tim!EI70=Sheet6!$C$4,Sheet6!$C$4,IF(Tim!EI70=Sheet6!$C$5,Sheet6!$C$5,IF(Tim!EI70=Sheet6!$C$6,Sheet6!$C$6,IF(Tim!EI70=Sheet6!$C$7,Sheet6!$C$7,IF(Tim!EI70=Sheet6!$C$8,Sheet6!$C$8,"")))))))</f>
        <v/>
      </c>
      <c r="BF68" s="71" t="str">
        <f>IF(Tim!EJ70=Sheet6!$C$2,Sheet6!$C$2,IF(Tim!EJ70=Sheet6!$C$3,Sheet6!$C$3,IF(Tim!EJ70=Sheet6!$C$4,Sheet6!$C$4,IF(Tim!EJ70=Sheet6!$C$5,Sheet6!$C$5,IF(Tim!EJ70=Sheet6!$C$6,Sheet6!$C$6,IF(Tim!EJ70=Sheet6!$C$7,Sheet6!$C$7,IF(Tim!EJ70=Sheet6!$C$8,Sheet6!$C$8,"")))))))</f>
        <v/>
      </c>
      <c r="BG68" s="72" t="str">
        <f>IF(Tim!EK70=Sheet6!$C$2,Sheet6!$C$2,IF(Tim!EK70=Sheet6!$C$3,Sheet6!$C$3,IF(Tim!EK70=Sheet6!$C$4,Sheet6!$C$4,IF(Tim!EK70=Sheet6!$C$5,Sheet6!$C$5,IF(Tim!EK70=Sheet6!$C$6,Sheet6!$C$6,IF(Tim!EK70=Sheet6!$C$7,Sheet6!$C$7,IF(Tim!EK70=Sheet6!$C$8,Sheet6!$C$8,"")))))))</f>
        <v/>
      </c>
      <c r="BH68" s="73" t="str">
        <f>IF(Tim!EL70=Sheet6!$C$2,Sheet6!$C$2,IF(Tim!EL70=Sheet6!$C$3,Sheet6!$C$3,IF(Tim!EL70=Sheet6!$C$4,Sheet6!$C$4,IF(Tim!EL70=Sheet6!$C$5,Sheet6!$C$5,IF(Tim!EL70=Sheet6!$C$6,Sheet6!$C$6,IF(Tim!EL70=Sheet6!$C$7,Sheet6!$C$7,IF(Tim!EL70=Sheet6!$C$8,Sheet6!$C$8,"")))))))</f>
        <v/>
      </c>
      <c r="BI68" s="74" t="str">
        <f>IF(Tim!EM70=Sheet6!$C$2,Sheet6!$C$2,IF(Tim!EM70=Sheet6!$C$3,Sheet6!$C$3,IF(Tim!EM70=Sheet6!$C$4,Sheet6!$C$4,IF(Tim!EM70=Sheet6!$C$5,Sheet6!$C$5,IF(Tim!EM70=Sheet6!$C$6,Sheet6!$C$6,IF(Tim!EM70=Sheet6!$C$7,Sheet6!$C$7,IF(Tim!EM70=Sheet6!$C$8,Sheet6!$C$8,"")))))))</f>
        <v/>
      </c>
      <c r="BJ68" s="74" t="str">
        <f>IF(Tim!EQ70=Sheet6!$C$2,Sheet6!$C$2,IF(Tim!EQ70=Sheet6!$C$3,Sheet6!$C$3,IF(Tim!EQ70=Sheet6!$C$4,Sheet6!$C$4,IF(Tim!EQ70=Sheet6!$C$5,Sheet6!$C$5,IF(Tim!EQ70=Sheet6!$C$6,Sheet6!$C$6,IF(Tim!EQ70=Sheet6!$C$7,Sheet6!$C$7,IF(Tim!EQ70=Sheet6!$C$8,Sheet6!$C$8,"")))))))</f>
        <v/>
      </c>
      <c r="BK68" s="74" t="str">
        <f>IF(Tim!ER70=Sheet6!$C$2,Sheet6!$C$2,IF(Tim!ER70=Sheet6!$C$3,Sheet6!$C$3,IF(Tim!ER70=Sheet6!$C$4,Sheet6!$C$4,IF(Tim!ER70=Sheet6!$C$5,Sheet6!$C$5,IF(Tim!ER70=Sheet6!$C$6,Sheet6!$C$6,IF(Tim!ER70=Sheet6!$C$7,Sheet6!$C$7,IF(Tim!ER70=Sheet6!$C$8,Sheet6!$C$8,"")))))))</f>
        <v/>
      </c>
      <c r="BL68" s="74" t="str">
        <f>IF(Tim!EZ70=Sheet6!$C$2,Sheet6!$C$2,IF(Tim!EZ70=Sheet6!$C$3,Sheet6!$C$3,IF(Tim!EZ70=Sheet6!$C$4,Sheet6!$C$4,IF(Tim!EZ70=Sheet6!$C$5,Sheet6!$C$5,IF(Tim!EZ70=Sheet6!$C$6,Sheet6!$C$6,IF(Tim!EZ70=Sheet6!$C$7,Sheet6!$C$7,IF(Tim!EZ70=Sheet6!$C$8,Sheet6!$C$8,"")))))))</f>
        <v/>
      </c>
      <c r="BM68" s="70" t="str">
        <f>IF(Tim!FG70=Sheet6!$C$2,Sheet6!$C$2,IF(Tim!FG70=Sheet6!$C$3,Sheet6!$C$3,IF(Tim!FG70=Sheet6!$C$4,Sheet6!$C$4,IF(Tim!FG70=Sheet6!$C$5,Sheet6!$C$5,IF(Tim!FG70=Sheet6!$C$6,Sheet6!$C$6,IF(Tim!FG70=Sheet6!$C$7,Sheet6!$C$7,IF(Tim!FG70=Sheet6!$C$8,Sheet6!$C$8,"")))))))</f>
        <v/>
      </c>
      <c r="BN68" s="182" t="str">
        <f>IF(Tim!FH70=Sheet6!$C$2,Sheet6!$C$2,IF(Tim!FH70=Sheet6!$C$3,Sheet6!$C$3,IF(Tim!FH70=Sheet6!$C$4,Sheet6!$C$4,IF(Tim!FH70=Sheet6!$C$5,Sheet6!$C$5,IF(Tim!FH70=Sheet6!$C$6,Sheet6!$C$6,IF(Tim!FH70=Sheet6!$C$7,Sheet6!$C$7,IF(Tim!FH70=Sheet6!$C$8,Sheet6!$C$8,"")))))))</f>
        <v/>
      </c>
      <c r="BO68" s="70" t="str">
        <f>IF(Tim!FP70=Sheet6!$C$2,Sheet6!$C$2,IF(Tim!FP70=Sheet6!$C$3,Sheet6!$C$3,IF(Tim!FP70=Sheet6!$C$4,Sheet6!$C$4,IF(Tim!FP70=Sheet6!$C$5,Sheet6!$C$5,IF(Tim!FP70=Sheet6!$C$6,Sheet6!$C$6,IF(Tim!FP70=Sheet6!$C$7,Sheet6!$C$7,IF(Tim!FP70=Sheet6!$C$8,Sheet6!$C$8,"")))))))</f>
        <v/>
      </c>
      <c r="BP68" s="70" t="str">
        <f>IF(Tim!FQ70=Sheet6!$C$2,Sheet6!$C$2,IF(Tim!FQ70=Sheet6!$C$3,Sheet6!$C$3,IF(Tim!FQ70=Sheet6!$C$4,Sheet6!$C$4,IF(Tim!FQ70=Sheet6!$C$5,Sheet6!$C$5,IF(Tim!FQ70=Sheet6!$C$6,Sheet6!$C$6,IF(Tim!FQ70=Sheet6!$C$7,Sheet6!$C$7,IF(Tim!FQ70=Sheet6!$C$8,Sheet6!$C$8,"")))))))</f>
        <v/>
      </c>
      <c r="BQ68" s="70" t="str">
        <f>IF(Tim!FR70=Sheet6!$C$2,Sheet6!$C$2,IF(Tim!FR70=Sheet6!$C$3,Sheet6!$C$3,IF(Tim!FR70=Sheet6!$C$4,Sheet6!$C$4,IF(Tim!FR70=Sheet6!$C$5,Sheet6!$C$5,IF(Tim!FR70=Sheet6!$C$6,Sheet6!$C$6,IF(Tim!FR70=Sheet6!$C$7,Sheet6!$C$7,IF(Tim!FR70=Sheet6!$C$8,Sheet6!$C$8,"")))))))</f>
        <v/>
      </c>
      <c r="BR68" s="70" t="str">
        <f>IF(Tim!FS70=Sheet6!$C$2,Sheet6!$C$2,IF(Tim!FS70=Sheet6!$C$3,Sheet6!$C$3,IF(Tim!FS70=Sheet6!$C$4,Sheet6!$C$4,IF(Tim!FS70=Sheet6!$C$5,Sheet6!$C$5,IF(Tim!FS70=Sheet6!$C$6,Sheet6!$C$6,IF(Tim!FS70=Sheet6!$C$7,Sheet6!$C$7,IF(Tim!FS70=Sheet6!$C$8,Sheet6!$C$8,"")))))))</f>
        <v/>
      </c>
      <c r="BS68" s="70" t="str">
        <f>IF(Tim!FT70=Sheet6!$C$2,Sheet6!$C$2,IF(Tim!FT70=Sheet6!$C$3,Sheet6!$C$3,IF(Tim!FT70=Sheet6!$C$4,Sheet6!$C$4,IF(Tim!FT70=Sheet6!$C$5,Sheet6!$C$5,IF(Tim!FT70=Sheet6!$C$6,Sheet6!$C$6,IF(Tim!FT70=Sheet6!$C$7,Sheet6!$C$7,IF(Tim!FT70=Sheet6!$C$8,Sheet6!$C$8,"")))))))</f>
        <v/>
      </c>
      <c r="BT68" s="70" t="str">
        <f>IF(Tim!FU70=Sheet6!$C$2,Sheet6!$C$2,IF(Tim!FU70=Sheet6!$C$3,Sheet6!$C$3,IF(Tim!FU70=Sheet6!$C$4,Sheet6!$C$4,IF(Tim!FU70=Sheet6!$C$5,Sheet6!$C$5,IF(Tim!FU70=Sheet6!$C$6,Sheet6!$C$6,IF(Tim!FU70=Sheet6!$C$7,Sheet6!$C$7,IF(Tim!FU70=Sheet6!$C$8,Sheet6!$C$8,"")))))))</f>
        <v/>
      </c>
      <c r="BU68" s="70" t="str">
        <f>IF(Tim!FY70=Sheet6!$C$2,Sheet6!$C$2,IF(Tim!FY70=Sheet6!$C$3,Sheet6!$C$3,IF(Tim!FY70=Sheet6!$C$4,Sheet6!$C$4,IF(Tim!FY70=Sheet6!$C$5,Sheet6!$C$5,IF(Tim!FY70=Sheet6!$C$6,Sheet6!$C$6,IF(Tim!FY70=Sheet6!$C$7,Sheet6!$C$7,IF(Tim!FY70=Sheet6!$C$8,Sheet6!$C$8,"")))))))</f>
        <v/>
      </c>
      <c r="BV68" s="71" t="str">
        <f>IF(Tim!FZ70=Sheet6!$C$2,Sheet6!$C$2,IF(Tim!FZ70=Sheet6!$C$3,Sheet6!$C$3,IF(Tim!FZ70=Sheet6!$C$4,Sheet6!$C$4,IF(Tim!FZ70=Sheet6!$C$5,Sheet6!$C$5,IF(Tim!FZ70=Sheet6!$C$6,Sheet6!$C$6,IF(Tim!FZ70=Sheet6!$C$7,Sheet6!$C$7,IF(Tim!FZ70=Sheet6!$C$8,Sheet6!$C$8,"")))))))</f>
        <v/>
      </c>
      <c r="BW68" s="71" t="str">
        <f>IF(Tim!GA70=Sheet6!$C$2,Sheet6!$C$2,IF(Tim!GA70=Sheet6!$C$3,Sheet6!$C$3,IF(Tim!GA70=Sheet6!$C$4,Sheet6!$C$4,IF(Tim!GA70=Sheet6!$C$5,Sheet6!$C$5,IF(Tim!GA70=Sheet6!$C$6,Sheet6!$C$6,IF(Tim!GA70=Sheet6!$C$7,Sheet6!$C$7,IF(Tim!GA70=Sheet6!$C$8,Sheet6!$C$8,"")))))))</f>
        <v/>
      </c>
      <c r="BX68" s="71" t="str">
        <f>IF(Tim!GB70=Sheet6!$C$2,Sheet6!$C$2,IF(Tim!GB70=Sheet6!$C$3,Sheet6!$C$3,IF(Tim!GB70=Sheet6!$C$4,Sheet6!$C$4,IF(Tim!GB70=Sheet6!$C$5,Sheet6!$C$5,IF(Tim!GB70=Sheet6!$C$6,Sheet6!$C$6,IF(Tim!GB70=Sheet6!$C$7,Sheet6!$C$7,IF(Tim!GB70=Sheet6!$C$8,Sheet6!$C$8,"")))))))</f>
        <v/>
      </c>
      <c r="BY68" s="72" t="str">
        <f>IF(Tim!GC70=Sheet6!$C$2,Sheet6!$C$2,IF(Tim!GC70=Sheet6!$C$3,Sheet6!$C$3,IF(Tim!GC70=Sheet6!$C$4,Sheet6!$C$4,IF(Tim!GC70=Sheet6!$C$5,Sheet6!$C$5,IF(Tim!GC70=Sheet6!$C$6,Sheet6!$C$6,IF(Tim!GC70=Sheet6!$C$7,Sheet6!$C$7,IF(Tim!GC70=Sheet6!$C$8,Sheet6!$C$8,"")))))))</f>
        <v/>
      </c>
      <c r="BZ68" s="73" t="str">
        <f>IF(Tim!GD70=Sheet6!$C$2,Sheet6!$C$2,IF(Tim!GD70=Sheet6!$C$3,Sheet6!$C$3,IF(Tim!GD70=Sheet6!$C$4,Sheet6!$C$4,IF(Tim!GD70=Sheet6!$C$5,Sheet6!$C$5,IF(Tim!GD70=Sheet6!$C$6,Sheet6!$C$6,IF(Tim!GD70=Sheet6!$C$7,Sheet6!$C$7,IF(Tim!GD70=Sheet6!$C$8,Sheet6!$C$8,"")))))))</f>
        <v/>
      </c>
      <c r="CA68" s="74" t="str">
        <f>IF(Tim!GE70=Sheet6!$C$2,Sheet6!$C$2,IF(Tim!GE70=Sheet6!$C$3,Sheet6!$C$3,IF(Tim!GE70=Sheet6!$C$4,Sheet6!$C$4,IF(Tim!GE70=Sheet6!$C$5,Sheet6!$C$5,IF(Tim!GE70=Sheet6!$C$6,Sheet6!$C$6,IF(Tim!GE70=Sheet6!$C$7,Sheet6!$C$7,IF(Tim!GE70=Sheet6!$C$8,Sheet6!$C$8,"")))))))</f>
        <v/>
      </c>
      <c r="CB68" s="74" t="str">
        <f>IF(Tim!GI70=Sheet6!$C$2,Sheet6!$C$2,IF(Tim!GI70=Sheet6!$C$3,Sheet6!$C$3,IF(Tim!GI70=Sheet6!$C$4,Sheet6!$C$4,IF(Tim!GI70=Sheet6!$C$5,Sheet6!$C$5,IF(Tim!GI70=Sheet6!$C$6,Sheet6!$C$6,IF(Tim!GI70=Sheet6!$C$7,Sheet6!$C$7,IF(Tim!GI70=Sheet6!$C$8,Sheet6!$C$8,"")))))))</f>
        <v/>
      </c>
      <c r="CC68" s="74" t="str">
        <f>IF(Tim!GJ70=Sheet6!$C$2,Sheet6!$C$2,IF(Tim!GJ70=Sheet6!$C$3,Sheet6!$C$3,IF(Tim!GJ70=Sheet6!$C$4,Sheet6!$C$4,IF(Tim!GJ70=Sheet6!$C$5,Sheet6!$C$5,IF(Tim!GJ70=Sheet6!$C$6,Sheet6!$C$6,IF(Tim!GJ70=Sheet6!$C$7,Sheet6!$C$7,IF(Tim!GJ70=Sheet6!$C$8,Sheet6!$C$8,"")))))))</f>
        <v/>
      </c>
      <c r="CD68" s="74" t="str">
        <f>IF(Tim!GN70=Sheet6!$C$2,Sheet6!$C$2,IF(Tim!GN70=Sheet6!$C$3,Sheet6!$C$3,IF(Tim!GN70=Sheet6!$C$4,Sheet6!$C$4,IF(Tim!GN70=Sheet6!$C$5,Sheet6!$C$5,IF(Tim!GN70=Sheet6!$C$6,Sheet6!$C$6,IF(Tim!GN70=Sheet6!$C$7,Sheet6!$C$7,IF(Tim!GN70=Sheet6!$C$8,Sheet6!$C$8,"")))))))</f>
        <v/>
      </c>
      <c r="CE68" s="70" t="str">
        <f>IF(Tim!GY70=Sheet6!$C$2,Sheet6!$C$2,IF(Tim!GY70=Sheet6!$C$3,Sheet6!$C$3,IF(Tim!GY70=Sheet6!$C$4,Sheet6!$C$4,IF(Tim!GY70=Sheet6!$C$5,Sheet6!$C$5,IF(Tim!GY70=Sheet6!$C$6,Sheet6!$C$6,IF(Tim!GY70=Sheet6!$C$7,Sheet6!$C$7,IF(Tim!GY70=Sheet6!$C$8,Sheet6!$C$8,"")))))))</f>
        <v/>
      </c>
      <c r="CF68" s="70" t="str">
        <f>IF(Tim!GZ70=Sheet6!$C$2,Sheet6!$C$2,IF(Tim!GZ70=Sheet6!$C$3,Sheet6!$C$3,IF(Tim!GZ70=Sheet6!$C$4,Sheet6!$C$4,IF(Tim!GZ70=Sheet6!$C$5,Sheet6!$C$5,IF(Tim!GZ70=Sheet6!$C$6,Sheet6!$C$6,IF(Tim!GZ70=Sheet6!$C$7,Sheet6!$C$7,IF(Tim!GZ70=Sheet6!$C$8,Sheet6!$C$8,"")))))))</f>
        <v/>
      </c>
      <c r="CG68" s="70" t="str">
        <f>IF(Tim!HH70=Sheet6!$C$2,Sheet6!$C$2,IF(Tim!HH70=Sheet6!$C$3,Sheet6!$C$3,IF(Tim!HH70=Sheet6!$C$4,Sheet6!$C$4,IF(Tim!HH70=Sheet6!$C$5,Sheet6!$C$5,IF(Tim!HH70=Sheet6!$C$6,Sheet6!$C$6,IF(Tim!HH70=Sheet6!$C$7,Sheet6!$C$7,IF(Tim!HH70=Sheet6!$C$8,Sheet6!$C$8,"")))))))</f>
        <v/>
      </c>
      <c r="CH68" s="70" t="str">
        <f>IF(Tim!HI70=Sheet6!$C$2,Sheet6!$C$2,IF(Tim!HI70=Sheet6!$C$3,Sheet6!$C$3,IF(Tim!HI70=Sheet6!$C$4,Sheet6!$C$4,IF(Tim!HI70=Sheet6!$C$5,Sheet6!$C$5,IF(Tim!HI70=Sheet6!$C$6,Sheet6!$C$6,IF(Tim!HI70=Sheet6!$C$7,Sheet6!$C$7,IF(Tim!HI70=Sheet6!$C$8,Sheet6!$C$8,"")))))))</f>
        <v/>
      </c>
      <c r="CI68" s="70" t="str">
        <f>IF(Tim!HJ70=Sheet6!$C$2,Sheet6!$C$2,IF(Tim!HJ70=Sheet6!$C$3,Sheet6!$C$3,IF(Tim!HJ70=Sheet6!$C$4,Sheet6!$C$4,IF(Tim!HJ70=Sheet6!$C$5,Sheet6!$C$5,IF(Tim!HJ70=Sheet6!$C$6,Sheet6!$C$6,IF(Tim!HJ70=Sheet6!$C$7,Sheet6!$C$7,IF(Tim!HJ70=Sheet6!$C$8,Sheet6!$C$8,"")))))))</f>
        <v/>
      </c>
      <c r="CJ68" s="70" t="str">
        <f>IF(Tim!HK70=Sheet6!$C$2,Sheet6!$C$2,IF(Tim!HK70=Sheet6!$C$3,Sheet6!$C$3,IF(Tim!HK70=Sheet6!$C$4,Sheet6!$C$4,IF(Tim!HK70=Sheet6!$C$5,Sheet6!$C$5,IF(Tim!HK70=Sheet6!$C$6,Sheet6!$C$6,IF(Tim!HK70=Sheet6!$C$7,Sheet6!$C$7,IF(Tim!HK70=Sheet6!$C$8,Sheet6!$C$8,"")))))))</f>
        <v/>
      </c>
      <c r="CK68" s="70" t="str">
        <f>IF(Tim!HL70=Sheet6!$C$2,Sheet6!$C$2,IF(Tim!HL70=Sheet6!$C$3,Sheet6!$C$3,IF(Tim!HL70=Sheet6!$C$4,Sheet6!$C$4,IF(Tim!HL70=Sheet6!$C$5,Sheet6!$C$5,IF(Tim!HL70=Sheet6!$C$6,Sheet6!$C$6,IF(Tim!HL70=Sheet6!$C$7,Sheet6!$C$7,IF(Tim!HL70=Sheet6!$C$8,Sheet6!$C$8,"")))))))</f>
        <v/>
      </c>
      <c r="CL68" s="70" t="str">
        <f>IF(Tim!HM70=Sheet6!$C$2,Sheet6!$C$2,IF(Tim!HM70=Sheet6!$C$3,Sheet6!$C$3,IF(Tim!HM70=Sheet6!$C$4,Sheet6!$C$4,IF(Tim!HM70=Sheet6!$C$5,Sheet6!$C$5,IF(Tim!HM70=Sheet6!$C$6,Sheet6!$C$6,IF(Tim!HM70=Sheet6!$C$7,Sheet6!$C$7,IF(Tim!HM70=Sheet6!$C$8,Sheet6!$C$8,"")))))))</f>
        <v/>
      </c>
      <c r="CM68" s="70" t="str">
        <f>IF(Tim!HQ70=Sheet6!$C$2,Sheet6!$C$2,IF(Tim!HQ70=Sheet6!$C$3,Sheet6!$C$3,IF(Tim!HQ70=Sheet6!$C$4,Sheet6!$C$4,IF(Tim!HQ70=Sheet6!$C$5,Sheet6!$C$5,IF(Tim!HQ70=Sheet6!$C$6,Sheet6!$C$6,IF(Tim!HQ70=Sheet6!$C$7,Sheet6!$C$7,IF(Tim!HQ70=Sheet6!$C$8,Sheet6!$C$8,"")))))))</f>
        <v/>
      </c>
      <c r="CN68" s="71" t="str">
        <f>IF(Tim!HR70=Sheet6!$C$2,Sheet6!$C$2,IF(Tim!HR70=Sheet6!$C$3,Sheet6!$C$3,IF(Tim!HR70=Sheet6!$C$4,Sheet6!$C$4,IF(Tim!HR70=Sheet6!$C$5,Sheet6!$C$5,IF(Tim!HR70=Sheet6!$C$6,Sheet6!$C$6,IF(Tim!HR70=Sheet6!$C$7,Sheet6!$C$7,IF(Tim!HR70=Sheet6!$C$8,Sheet6!$C$8,"")))))))</f>
        <v/>
      </c>
      <c r="CO68" s="71" t="str">
        <f>IF(Tim!HS70=Sheet6!$C$2,Sheet6!$C$2,IF(Tim!HS70=Sheet6!$C$3,Sheet6!$C$3,IF(Tim!HS70=Sheet6!$C$4,Sheet6!$C$4,IF(Tim!HS70=Sheet6!$C$5,Sheet6!$C$5,IF(Tim!HS70=Sheet6!$C$6,Sheet6!$C$6,IF(Tim!HS70=Sheet6!$C$7,Sheet6!$C$7,IF(Tim!HS70=Sheet6!$C$8,Sheet6!$C$8,"")))))))</f>
        <v/>
      </c>
      <c r="CP68" s="71" t="str">
        <f>IF(Tim!HT70=Sheet6!$C$2,Sheet6!$C$2,IF(Tim!HT70=Sheet6!$C$3,Sheet6!$C$3,IF(Tim!HT70=Sheet6!$C$4,Sheet6!$C$4,IF(Tim!HT70=Sheet6!$C$5,Sheet6!$C$5,IF(Tim!HT70=Sheet6!$C$6,Sheet6!$C$6,IF(Tim!HT70=Sheet6!$C$7,Sheet6!$C$7,IF(Tim!HT70=Sheet6!$C$8,Sheet6!$C$8,"")))))))</f>
        <v/>
      </c>
      <c r="CQ68" s="72" t="str">
        <f>IF(Tim!HU70=Sheet6!$C$2,Sheet6!$C$2,IF(Tim!HU70=Sheet6!$C$3,Sheet6!$C$3,IF(Tim!HU70=Sheet6!$C$4,Sheet6!$C$4,IF(Tim!HU70=Sheet6!$C$5,Sheet6!$C$5,IF(Tim!HU70=Sheet6!$C$6,Sheet6!$C$6,IF(Tim!HU70=Sheet6!$C$7,Sheet6!$C$7,IF(Tim!HU70=Sheet6!$C$8,Sheet6!$C$8,"")))))))</f>
        <v/>
      </c>
      <c r="CR68" s="470"/>
      <c r="CS68" s="384"/>
      <c r="CT68" s="384"/>
      <c r="CU68" s="384"/>
      <c r="CV68" s="384"/>
      <c r="CW68" s="384"/>
      <c r="CX68" s="384"/>
      <c r="CY68" s="384"/>
      <c r="CZ68" s="384"/>
      <c r="DA68" s="384"/>
      <c r="DB68" s="384"/>
      <c r="DC68" s="384"/>
      <c r="DD68" s="384"/>
      <c r="DE68" s="384"/>
      <c r="DF68" s="384"/>
      <c r="DG68" s="467"/>
      <c r="DH68" s="425"/>
      <c r="DI68" s="426"/>
      <c r="DJ68" s="426"/>
      <c r="DK68" s="426"/>
      <c r="DL68" s="426"/>
      <c r="DM68" s="426"/>
      <c r="DN68" s="426"/>
      <c r="DO68" s="426"/>
      <c r="DP68" s="426"/>
      <c r="DQ68" s="426"/>
      <c r="DR68" s="426"/>
      <c r="DS68" s="426"/>
      <c r="DT68" s="426"/>
      <c r="DU68" s="426"/>
      <c r="DV68" s="426"/>
      <c r="DW68" s="427"/>
      <c r="DX68" s="69">
        <v>0.94791666666666496</v>
      </c>
    </row>
  </sheetData>
  <mergeCells count="69">
    <mergeCell ref="DR2:DR4"/>
    <mergeCell ref="DS2:DW3"/>
    <mergeCell ref="CR5:DG12"/>
    <mergeCell ref="DH5:DW12"/>
    <mergeCell ref="DH49:DW68"/>
    <mergeCell ref="CR57:DG68"/>
    <mergeCell ref="DC2:DG3"/>
    <mergeCell ref="DH2:DH4"/>
    <mergeCell ref="DI2:DI4"/>
    <mergeCell ref="DJ2:DJ4"/>
    <mergeCell ref="DK2:DK4"/>
    <mergeCell ref="DL2:DP3"/>
    <mergeCell ref="CS2:CS4"/>
    <mergeCell ref="CT2:CT4"/>
    <mergeCell ref="CU2:CU4"/>
    <mergeCell ref="CV2:CZ3"/>
    <mergeCell ref="DA2:DA4"/>
    <mergeCell ref="DB2:DB4"/>
    <mergeCell ref="CR2:CR4"/>
    <mergeCell ref="DQ2:DQ4"/>
    <mergeCell ref="CE2:CE4"/>
    <mergeCell ref="CF2:CJ3"/>
    <mergeCell ref="CK2:CK4"/>
    <mergeCell ref="CL2:CL4"/>
    <mergeCell ref="CM2:CQ3"/>
    <mergeCell ref="CD2:CD4"/>
    <mergeCell ref="BC2:BG3"/>
    <mergeCell ref="BH2:BH4"/>
    <mergeCell ref="BI2:BK4"/>
    <mergeCell ref="BL2:BL4"/>
    <mergeCell ref="BM2:BM4"/>
    <mergeCell ref="BN2:BR3"/>
    <mergeCell ref="BS2:BS4"/>
    <mergeCell ref="BT2:BT4"/>
    <mergeCell ref="BU2:BY3"/>
    <mergeCell ref="BZ2:BZ4"/>
    <mergeCell ref="CA2:CC4"/>
    <mergeCell ref="CR1:DG1"/>
    <mergeCell ref="DH1:DW1"/>
    <mergeCell ref="DX1:DX4"/>
    <mergeCell ref="F2:F4"/>
    <mergeCell ref="G2:I4"/>
    <mergeCell ref="J2:J4"/>
    <mergeCell ref="K2:K4"/>
    <mergeCell ref="L2:P3"/>
    <mergeCell ref="Q2:Q4"/>
    <mergeCell ref="R2:R4"/>
    <mergeCell ref="BZ1:CQ1"/>
    <mergeCell ref="BB2:BB4"/>
    <mergeCell ref="AC2:AC4"/>
    <mergeCell ref="AD2:AH3"/>
    <mergeCell ref="AI2:AI4"/>
    <mergeCell ref="AJ2:AJ4"/>
    <mergeCell ref="E1:E4"/>
    <mergeCell ref="F1:W1"/>
    <mergeCell ref="X1:AO1"/>
    <mergeCell ref="AP1:BG1"/>
    <mergeCell ref="BH1:BY1"/>
    <mergeCell ref="S2:W3"/>
    <mergeCell ref="X2:X4"/>
    <mergeCell ref="Y2:AA4"/>
    <mergeCell ref="AB2:AB4"/>
    <mergeCell ref="AK2:AO3"/>
    <mergeCell ref="AP2:AP4"/>
    <mergeCell ref="AQ2:AS4"/>
    <mergeCell ref="AT2:AT4"/>
    <mergeCell ref="AU2:AU4"/>
    <mergeCell ref="AV2:AZ3"/>
    <mergeCell ref="BA2:BA4"/>
  </mergeCells>
  <conditionalFormatting sqref="E2:L2 Q2:AC3 AI2:AU4 BA2:BM4 BS2:CE4 CK2:CU4 DA2:DK4 DQ2:DX4 E3:K3 E5:E68 DX5:DX68">
    <cfRule type="cellIs" dxfId="47" priority="90" operator="equal">
      <formula>"PM"</formula>
    </cfRule>
  </conditionalFormatting>
  <conditionalFormatting sqref="E1:DK1">
    <cfRule type="cellIs" dxfId="46" priority="86" operator="equal">
      <formula>"PM"</formula>
    </cfRule>
  </conditionalFormatting>
  <conditionalFormatting sqref="E5:DW68">
    <cfRule type="cellIs" dxfId="45" priority="22" operator="equal">
      <formula>"AS"</formula>
    </cfRule>
    <cfRule type="cellIs" dxfId="44" priority="4" operator="equal">
      <formula>"KK"</formula>
    </cfRule>
    <cfRule type="cellIs" dxfId="43" priority="5" operator="equal">
      <formula>"RP"</formula>
    </cfRule>
    <cfRule type="cellIs" dxfId="42" priority="6" operator="equal">
      <formula>"LC"</formula>
    </cfRule>
    <cfRule type="cellIs" dxfId="41" priority="57" operator="equal">
      <formula>"F6"</formula>
    </cfRule>
    <cfRule type="cellIs" dxfId="40" priority="23" operator="equal">
      <formula>"AA"</formula>
    </cfRule>
    <cfRule type="cellIs" dxfId="39" priority="25" operator="equal">
      <formula>"RC"</formula>
    </cfRule>
    <cfRule type="cellIs" dxfId="38" priority="24" operator="equal">
      <formula>"AF"</formula>
    </cfRule>
    <cfRule type="cellIs" dxfId="37" priority="21" operator="equal">
      <formula>"CF"</formula>
    </cfRule>
    <cfRule type="cellIs" dxfId="36" priority="34" operator="equal">
      <formula>"RM"</formula>
    </cfRule>
    <cfRule type="cellIs" dxfId="35" priority="56" operator="equal">
      <formula>"VG"</formula>
    </cfRule>
    <cfRule type="cellIs" dxfId="34" priority="58" operator="equal">
      <formula>"F5"</formula>
    </cfRule>
    <cfRule type="cellIs" dxfId="33" priority="59" operator="equal">
      <formula>"F4"</formula>
    </cfRule>
    <cfRule type="cellIs" dxfId="32" priority="60" operator="equal">
      <formula>"F3"</formula>
    </cfRule>
  </conditionalFormatting>
  <conditionalFormatting sqref="E1:DX1048576">
    <cfRule type="cellIs" dxfId="31" priority="1" operator="equal">
      <formula>"PP"</formula>
    </cfRule>
  </conditionalFormatting>
  <conditionalFormatting sqref="E5:DX68">
    <cfRule type="cellIs" dxfId="30" priority="32" operator="equal">
      <formula>"JP"</formula>
    </cfRule>
  </conditionalFormatting>
  <conditionalFormatting sqref="F5:DW68">
    <cfRule type="cellIs" dxfId="29" priority="14" operator="equal">
      <formula>"TF"</formula>
    </cfRule>
    <cfRule type="cellIs" dxfId="28" priority="15" operator="equal">
      <formula>"TM"</formula>
    </cfRule>
    <cfRule type="cellIs" dxfId="27" priority="16" operator="equal">
      <formula>"RO"</formula>
    </cfRule>
    <cfRule type="cellIs" dxfId="26" priority="17" operator="equal">
      <formula>"PC"</formula>
    </cfRule>
    <cfRule type="cellIs" dxfId="25" priority="18" operator="equal">
      <formula>"LZ"</formula>
    </cfRule>
    <cfRule type="cellIs" dxfId="24" priority="20" operator="equal">
      <formula>"JO"</formula>
    </cfRule>
    <cfRule type="cellIs" dxfId="23" priority="7" operator="equal">
      <formula>"AO"</formula>
    </cfRule>
    <cfRule type="cellIs" dxfId="22" priority="27" operator="equal">
      <formula>"WH"</formula>
    </cfRule>
    <cfRule type="cellIs" dxfId="21" priority="28" operator="equal">
      <formula>"JL"</formula>
    </cfRule>
    <cfRule type="cellIs" dxfId="20" priority="29" operator="equal">
      <formula>"EF"</formula>
    </cfRule>
    <cfRule type="cellIs" dxfId="19" priority="30" operator="equal">
      <formula>"AC"</formula>
    </cfRule>
    <cfRule type="cellIs" dxfId="18" priority="31" operator="equal">
      <formula>"GR"</formula>
    </cfRule>
    <cfRule type="cellIs" dxfId="17" priority="33" operator="equal">
      <formula>"?"</formula>
    </cfRule>
    <cfRule type="cellIs" dxfId="16" priority="2" operator="equal">
      <formula>"TP"</formula>
    </cfRule>
    <cfRule type="cellIs" dxfId="15" priority="8" operator="equal">
      <formula>"MM"</formula>
    </cfRule>
    <cfRule type="cellIs" dxfId="14" priority="9" operator="equal">
      <formula>"DA"</formula>
    </cfRule>
    <cfRule type="cellIs" dxfId="13" priority="10" operator="equal">
      <formula>"MP"</formula>
    </cfRule>
    <cfRule type="cellIs" dxfId="12" priority="11" operator="equal">
      <formula>"LA"</formula>
    </cfRule>
    <cfRule type="cellIs" dxfId="11" priority="12" operator="equal">
      <formula>"PD"</formula>
    </cfRule>
    <cfRule type="cellIs" dxfId="10" priority="19" operator="equal">
      <formula>"LB"</formula>
    </cfRule>
    <cfRule type="cellIs" dxfId="9" priority="13" operator="equal">
      <formula>"SF"</formula>
    </cfRule>
  </conditionalFormatting>
  <conditionalFormatting sqref="AD2 E4:AH4">
    <cfRule type="cellIs" dxfId="8" priority="66" operator="equal">
      <formula>"PM"</formula>
    </cfRule>
  </conditionalFormatting>
  <conditionalFormatting sqref="AV2 AV4:AZ4">
    <cfRule type="cellIs" dxfId="7" priority="65" operator="equal">
      <formula>"PM"</formula>
    </cfRule>
  </conditionalFormatting>
  <conditionalFormatting sqref="BN2 BN4:BR4">
    <cfRule type="cellIs" dxfId="6" priority="64" operator="equal">
      <formula>"PM"</formula>
    </cfRule>
  </conditionalFormatting>
  <conditionalFormatting sqref="CF2 CF4:CJ4">
    <cfRule type="cellIs" dxfId="5" priority="63" operator="equal">
      <formula>"PM"</formula>
    </cfRule>
  </conditionalFormatting>
  <conditionalFormatting sqref="CV2 CV4:CZ4">
    <cfRule type="cellIs" dxfId="4" priority="62" operator="equal">
      <formula>"PM"</formula>
    </cfRule>
  </conditionalFormatting>
  <conditionalFormatting sqref="DJ14:DJ20 F21:DW68">
    <cfRule type="cellIs" dxfId="3" priority="26" operator="equal">
      <formula>"JN"</formula>
    </cfRule>
  </conditionalFormatting>
  <conditionalFormatting sqref="DK14:DK16">
    <cfRule type="cellIs" dxfId="2" priority="3" operator="equal">
      <formula>"JN"</formula>
    </cfRule>
  </conditionalFormatting>
  <conditionalFormatting sqref="DL1:DL2 DL4:DP4">
    <cfRule type="cellIs" dxfId="1" priority="61" operator="equal">
      <formula>"PM"</formula>
    </cfRule>
  </conditionalFormatting>
  <conditionalFormatting sqref="DM1:DX1 E69:DX70">
    <cfRule type="cellIs" dxfId="0" priority="70" operator="equal">
      <formula>"PM"</formula>
    </cfRule>
  </conditionalFormatting>
  <printOptions horizontalCentered="1" verticalCentered="1"/>
  <pageMargins left="0.21" right="0.57999999999999996" top="0.15" bottom="0.15" header="0.12" footer="0.12"/>
  <pageSetup paperSize="9" scale="34" orientation="landscape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C2:C8"/>
  <sheetViews>
    <sheetView workbookViewId="0">
      <selection activeCell="C2" sqref="C2:C8"/>
    </sheetView>
  </sheetViews>
  <sheetFormatPr defaultColWidth="8.6640625" defaultRowHeight="14.4"/>
  <sheetData>
    <row r="2" spans="3:3">
      <c r="C2" t="s">
        <v>196</v>
      </c>
    </row>
    <row r="3" spans="3:3">
      <c r="C3" t="s">
        <v>154</v>
      </c>
    </row>
    <row r="4" spans="3:3">
      <c r="C4" t="s">
        <v>339</v>
      </c>
    </row>
    <row r="5" spans="3:3">
      <c r="C5" t="s">
        <v>344</v>
      </c>
    </row>
    <row r="6" spans="3:3">
      <c r="C6" t="s">
        <v>348</v>
      </c>
    </row>
    <row r="7" spans="3:3">
      <c r="C7" t="s">
        <v>334</v>
      </c>
    </row>
    <row r="8" spans="3:3">
      <c r="C8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16</vt:i4>
      </vt:variant>
      <vt:variant>
        <vt:lpstr>Intervalos com Nome</vt:lpstr>
      </vt:variant>
      <vt:variant>
        <vt:i4>12</vt:i4>
      </vt:variant>
    </vt:vector>
  </HeadingPairs>
  <TitlesOfParts>
    <vt:vector size="28" baseType="lpstr">
      <vt:lpstr>Tim</vt:lpstr>
      <vt:lpstr>Ins</vt:lpstr>
      <vt:lpstr>IT Ctrl</vt:lpstr>
      <vt:lpstr>Max</vt:lpstr>
      <vt:lpstr>Map</vt:lpstr>
      <vt:lpstr>Map Ins</vt:lpstr>
      <vt:lpstr>Ins AG</vt:lpstr>
      <vt:lpstr>Nsm</vt:lpstr>
      <vt:lpstr>CC</vt:lpstr>
      <vt:lpstr>H2O</vt:lpstr>
      <vt:lpstr>Nat</vt:lpstr>
      <vt:lpstr>av</vt:lpstr>
      <vt:lpstr>Gra</vt:lpstr>
      <vt:lpstr>FIT</vt:lpstr>
      <vt:lpstr>Info</vt:lpstr>
      <vt:lpstr>Sheet6</vt:lpstr>
      <vt:lpstr>av!Área_de_Impressão</vt:lpstr>
      <vt:lpstr>CC!Área_de_Impressão</vt:lpstr>
      <vt:lpstr>FIT!Área_de_Impressão</vt:lpstr>
      <vt:lpstr>H2O!Área_de_Impressão</vt:lpstr>
      <vt:lpstr>Info!Área_de_Impressão</vt:lpstr>
      <vt:lpstr>Ins!Área_de_Impressão</vt:lpstr>
      <vt:lpstr>'IT Ctrl'!Área_de_Impressão</vt:lpstr>
      <vt:lpstr>Map!Área_de_Impressão</vt:lpstr>
      <vt:lpstr>'Map Ins'!Área_de_Impressão</vt:lpstr>
      <vt:lpstr>Nat!Área_de_Impressão</vt:lpstr>
      <vt:lpstr>Nsm!Área_de_Impressão</vt:lpstr>
      <vt:lpstr>Tim!Área_de_Impressão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Inês Batuca</dc:creator>
  <cp:lastModifiedBy>Joao Amorim Costa</cp:lastModifiedBy>
  <cp:lastPrinted>2025-03-31T09:57:22Z</cp:lastPrinted>
  <dcterms:created xsi:type="dcterms:W3CDTF">2012-04-12T15:15:54Z</dcterms:created>
  <dcterms:modified xsi:type="dcterms:W3CDTF">2026-06-09T13:38:22Z</dcterms:modified>
</cp:coreProperties>
</file>